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Inputs" sheetId="2" state="visible" r:id="rId2"/>
    <sheet name="FactorTable" sheetId="3" state="visible" r:id="rId3"/>
    <sheet name="Skills" sheetId="4" state="visible" r:id="rId4"/>
    <sheet name="Artifacts" sheetId="5" state="visible" r:id="rId5"/>
    <sheet name="Calc" sheetId="6" state="visible" r:id="rId6"/>
    <sheet name="Summary" sheetId="7" state="visible" r:id="rId7"/>
    <sheet name="Sensitivity" sheetId="8" state="visible" r:id="rId8"/>
    <sheet name="Equipment Compare" sheetId="9" state="visible" r:id="rId9"/>
    <sheet name="CubeData" sheetId="10" state="visible" r:id="rId10"/>
    <sheet name="ArtifactsInput" sheetId="11" state="visible" r:id="rId11"/>
    <sheet name="PotentialCubes" sheetId="12" state="visible" r:id="rId12"/>
  </sheets>
  <definedNames/>
  <calcPr calcId="124519" fullCalcOnLoad="1"/>
</workbook>
</file>

<file path=xl/styles.xml><?xml version="1.0" encoding="utf-8"?>
<styleSheet xmlns="http://schemas.openxmlformats.org/spreadsheetml/2006/main">
  <numFmts count="2">
    <numFmt numFmtId="164" formatCode="0.00&quot;%&quot;"/>
    <numFmt numFmtId="165" formatCode="+0.00&quot;%&quot;;-0.00&quot;%&quot;;0.00&quot;%&quot;"/>
  </numFmts>
  <fonts count="6">
    <font>
      <name val="Calibri"/>
      <family val="2"/>
      <color theme="1"/>
      <sz val="11"/>
      <scheme val="minor"/>
    </font>
    <font>
      <b val="1"/>
      <sz val="14"/>
    </font>
    <font>
      <b val="1"/>
      <sz val="12"/>
    </font>
    <font>
      <b val="1"/>
      <color rgb="00FFFFFF"/>
    </font>
    <font>
      <b val="1"/>
    </font>
    <font>
      <b val="1"/>
      <sz val="13"/>
    </font>
  </fonts>
  <fills count="5">
    <fill>
      <patternFill/>
    </fill>
    <fill>
      <patternFill patternType="gray125"/>
    </fill>
    <fill>
      <patternFill patternType="solid">
        <fgColor rgb="001F4E78"/>
      </patternFill>
    </fill>
    <fill>
      <patternFill patternType="solid">
        <fgColor rgb="00FFF2CC"/>
      </patternFill>
    </fill>
    <fill>
      <patternFill patternType="solid">
        <fgColor rgb="00D9D9D9"/>
      </patternFill>
    </fill>
  </fills>
  <borders count="1">
    <border>
      <left/>
      <right/>
      <top/>
      <bottom/>
      <diagonal/>
    </border>
  </borders>
  <cellStyleXfs count="1">
    <xf numFmtId="0" fontId="0" fillId="0" borderId="0"/>
  </cellStyleXfs>
  <cellXfs count="15">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2" fillId="0" borderId="0" applyAlignment="1" pivotButton="0" quotePrefix="0" xfId="0">
      <alignment vertical="top" wrapText="1"/>
    </xf>
    <xf numFmtId="0" fontId="1" fillId="0" borderId="0" pivotButton="0" quotePrefix="0" xfId="0"/>
    <xf numFmtId="0" fontId="3" fillId="2" borderId="0" applyAlignment="1" pivotButton="0" quotePrefix="0" xfId="0">
      <alignment horizontal="center"/>
    </xf>
    <xf numFmtId="0" fontId="4" fillId="0" borderId="0" pivotButton="0" quotePrefix="0" xfId="0"/>
    <xf numFmtId="0" fontId="0" fillId="3" borderId="0" pivotButton="0" quotePrefix="0" xfId="0"/>
    <xf numFmtId="0" fontId="0" fillId="4" borderId="0" pivotButton="0" quotePrefix="0" xfId="0"/>
    <xf numFmtId="0" fontId="2" fillId="0" borderId="0" pivotButton="0" quotePrefix="0" xfId="0"/>
    <xf numFmtId="0" fontId="5" fillId="0" borderId="0" pivotButton="0" quotePrefix="0" xfId="0"/>
    <xf numFmtId="0" fontId="3" fillId="2" borderId="0" pivotButton="0" quotePrefix="0" xfId="0"/>
    <xf numFmtId="0" fontId="0" fillId="2" borderId="0" pivotButton="0" quotePrefix="0" xfId="0"/>
    <xf numFmtId="164" fontId="0" fillId="0" borderId="0" pivotButton="0" quotePrefix="0" xfId="0"/>
    <xf numFmtId="165"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7"/>
  <sheetViews>
    <sheetView workbookViewId="0">
      <selection activeCell="A1" sqref="A1"/>
    </sheetView>
  </sheetViews>
  <sheetFormatPr baseColWidth="8" defaultRowHeight="15"/>
  <cols>
    <col width="110" customWidth="1" min="1" max="1"/>
  </cols>
  <sheetData>
    <row r="1">
      <c r="A1" s="1" t="inlineStr">
        <is>
          <t>Shadower — DPS Calculator: How to Use This Workbook</t>
        </is>
      </c>
    </row>
    <row r="2">
      <c r="A2" s="2" t="n"/>
    </row>
    <row r="3">
      <c r="A3" s="3" t="inlineStr">
        <is>
          <t>How to use this workbook</t>
        </is>
      </c>
    </row>
    <row r="4">
      <c r="A4" s="2" t="inlineStr">
        <is>
          <t>Only edit the yellow-highlighted cells on the Inputs sheet — every other sheet is computed from those values and will be overwritten if you rebuild the workbook.</t>
        </is>
      </c>
    </row>
    <row r="5">
      <c r="A5" s="2" t="inlineStr">
        <is>
          <t>Summary shows Total DPS, a Per-Skill DPS Breakdown (damage-dealing skills only — buffs/passives that never deal their own damage are omitted), and a Marginal DPS &amp; Stat Value table showing the DPS gained per +1 of each stat.</t>
        </is>
      </c>
    </row>
    <row r="6">
      <c r="A6" s="2" t="inlineStr">
        <is>
          <t>Sensitivity has the full detail behind that marginal-value table — one self-contained block per stat, showing exactly how bumping that stat by +1 changes every downstream number.</t>
        </is>
      </c>
    </row>
    <row r="7">
      <c r="A7" s="2" t="inlineStr">
        <is>
          <t>CubeData/PotentialCubes model your current gear's Potential Cube lines and drive cube-reroll expected-value decisions. For the full standalone Potential Cube EV calculator (exact optimal-stopping math, works from this workbook alone), see tools/potential_cubes_ev.py in the project repo.</t>
        </is>
      </c>
    </row>
    <row r="8">
      <c r="A8" s="2" t="n"/>
    </row>
    <row r="9">
      <c r="A9" s="3" t="inlineStr">
        <is>
          <t>Design decisions &amp; assumptions</t>
        </is>
      </c>
    </row>
    <row r="10">
      <c r="A10" s="2" t="inlineStr">
        <is>
          <t>Venom/Toxic Venom assume the target is permanently afflicted with Venom's poison at steady state, not an exact on/off timer — matches every other DoT-uptime assumption in this project.</t>
        </is>
      </c>
    </row>
    <row r="11">
      <c r="A11" s="2" t="inlineStr">
        <is>
          <t>Crit Rate pushed above 100% (e.g. by cube potential lines) automatically redirects its stat-value to Crit Damage's own per-unit DPS value on the PotentialCubes sheet, since excess Crit Rate cannot do anything past 100%.</t>
        </is>
      </c>
    </row>
    <row r="12">
      <c r="A12" s="2" t="inlineStr">
        <is>
          <t>Buffs and stacking resources (Dark Sight Attack, Into Darkness, Smokescreen, Meso Explosion/Blood Money stacks) are modeled at steady-state duty-cycle average uptime, not as an exact moment-to-moment state machine.</t>
        </is>
      </c>
    </row>
    <row r="13">
      <c r="A13" s="2" t="inlineStr">
        <is>
          <t>Assassinate's finishing blow is modeled as landing on average every 2nd cast (a flat 50% average multiplier), and Mastery Lv.108 Murderous Intent's finisher-doubling is a steady-state average multiplier based on relative cast rates, not an exact alternating state machine.</t>
        </is>
      </c>
    </row>
    <row r="14">
      <c r="A14" s="2" t="inlineStr">
        <is>
          <t>Channel Karma, Shadow Shifter's own Attack buff, Dagger Mastery, Critical Edge, Physical Training, Dagger Expert, and Shadower Instinct are always-on passives assumed to already be reflected in your own Inputs stat entries — only their Sensitivity marginal delta (what changes if their mastery level differs from what you assumed) is modeled live.</t>
        </is>
      </c>
    </row>
    <row r="15">
      <c r="A15" s="2" t="inlineStr">
        <is>
          <t>Content Type (Inputs) picks what you're fighting — Chapter Boss/Breakthrough/PvP/EXP Dungeon/Equipment Dungeon/Weapon Dungeon/Enhancement Dungeon/Hero Dungeon/World Boss/Chapter Hunt — and Monster Defense and Fixed Fight Duration are both auto-computed from it (plus Chapter/Stage for the chapter- and dungeon-based types); PvP still forces its own fixed 15-second window and uses your own Defense stat as the opponent's Defense estimate. See README.md's 'Content Type' section for the exact formulas.</t>
        </is>
      </c>
    </row>
    <row r="16">
      <c r="A16" s="2" t="inlineStr">
        <is>
          <t>Not modeled (out of scope): all forms of crowd control (Phase Dash/Dark Sight/Assassinate stuns), Accuracy/Evasion/Defense reduction (Smokescreen, Steal, Assassinate), movement speed (Nimble Feet, Haste), the character's own Defense stat (Shield Mastery), and Companion Summoning Time.</t>
        </is>
      </c>
    </row>
    <row r="17">
      <c r="A17" s="2"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50"/>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55" customWidth="1" min="1" max="1"/>
    <col width="16"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hidden="1" width="13" customWidth="1" min="14" max="14"/>
  </cols>
  <sheetData>
    <row r="1">
      <c r="A1" s="4" t="inlineStr">
        <is>
          <t>Shadower — DPS Calculator Inputs</t>
        </is>
      </c>
      <c r="N1" t="inlineStr">
        <is>
          <t>(none)</t>
        </is>
      </c>
    </row>
    <row r="2">
      <c r="C2" s="5" t="inlineStr">
        <is>
          <t>Chapter Boss</t>
        </is>
      </c>
      <c r="D2" s="5" t="inlineStr">
        <is>
          <t>Breakthrough</t>
        </is>
      </c>
      <c r="E2" s="5" t="inlineStr">
        <is>
          <t>PvP</t>
        </is>
      </c>
      <c r="F2" s="5" t="inlineStr">
        <is>
          <t>EXP Dungeon</t>
        </is>
      </c>
      <c r="G2" s="5" t="inlineStr">
        <is>
          <t>Equipment Dungeon</t>
        </is>
      </c>
      <c r="H2" s="5" t="inlineStr">
        <is>
          <t>Weapon Dungeon</t>
        </is>
      </c>
      <c r="I2" s="5" t="inlineStr">
        <is>
          <t>Enhancement Dungeon</t>
        </is>
      </c>
      <c r="J2" s="5" t="inlineStr">
        <is>
          <t>Hero Dungeon</t>
        </is>
      </c>
      <c r="K2" s="5" t="inlineStr">
        <is>
          <t>World Boss</t>
        </is>
      </c>
      <c r="L2" s="5" t="inlineStr">
        <is>
          <t>Chapter Hunt</t>
        </is>
      </c>
      <c r="N2" t="inlineStr">
        <is>
          <t>Charm of the Undead</t>
        </is>
      </c>
    </row>
    <row r="3">
      <c r="A3" s="6" t="inlineStr">
        <is>
          <t>Character Level</t>
        </is>
      </c>
      <c r="B3" s="7" t="n">
        <v>113</v>
      </c>
      <c r="N3" t="inlineStr">
        <is>
          <t>Pig's Ribbon</t>
        </is>
      </c>
    </row>
    <row r="4">
      <c r="A4" s="6" t="inlineStr">
        <is>
          <t>Content Type</t>
        </is>
      </c>
      <c r="B4" s="7" t="inlineStr">
        <is>
          <t>Chapter Boss</t>
        </is>
      </c>
      <c r="N4" t="inlineStr">
        <is>
          <t>Shamaness Marble</t>
        </is>
      </c>
    </row>
    <row r="5">
      <c r="A5" s="6" t="inlineStr">
        <is>
          <t>Chapter-Stage — 'chapter-substage' (e.g. '28-9') for Breakthrough/Chapter Hunt, just the chapter number for Chapter Boss, or just the stage number for Weapon/Equipment/Enhancement/EXP/Hero Dungeon. Not applicable to World Boss/PvP.</t>
        </is>
      </c>
      <c r="B5" s="8">
        <f>INDEX($C$5:$L$5,MATCH($B$4,$C$2:$L$2,0))</f>
        <v/>
      </c>
      <c r="C5" s="7" t="inlineStr">
        <is>
          <t>28</t>
        </is>
      </c>
      <c r="D5" s="7" t="inlineStr">
        <is>
          <t>28-9</t>
        </is>
      </c>
      <c r="E5" s="8" t="n"/>
      <c r="F5" s="7" t="inlineStr">
        <is>
          <t>80</t>
        </is>
      </c>
      <c r="G5" s="7" t="inlineStr">
        <is>
          <t>80</t>
        </is>
      </c>
      <c r="H5" s="7" t="inlineStr">
        <is>
          <t>80</t>
        </is>
      </c>
      <c r="I5" s="7" t="inlineStr">
        <is>
          <t>80</t>
        </is>
      </c>
      <c r="J5" s="7" t="inlineStr">
        <is>
          <t>80</t>
        </is>
      </c>
      <c r="K5" s="8" t="n"/>
      <c r="L5" s="7" t="inlineStr">
        <is>
          <t>28-9</t>
        </is>
      </c>
      <c r="N5" t="inlineStr">
        <is>
          <t>The Contract of Darkness</t>
        </is>
      </c>
    </row>
    <row r="6">
      <c r="A6" s="6" t="inlineStr">
        <is>
          <t>Flat ATTACK</t>
        </is>
      </c>
      <c r="B6" s="8">
        <f>INDEX($C$6:$L$6,MATCH($B$4,$C$2:$L$2,0))</f>
        <v/>
      </c>
      <c r="C6" s="7" t="n">
        <v>28374.5</v>
      </c>
      <c r="D6" s="7" t="n">
        <v>28374.5</v>
      </c>
      <c r="E6" s="7" t="n">
        <v>28374.5</v>
      </c>
      <c r="F6" s="7" t="n">
        <v>28374.5</v>
      </c>
      <c r="G6" s="7" t="n">
        <v>28374.5</v>
      </c>
      <c r="H6" s="7" t="n">
        <v>28374.5</v>
      </c>
      <c r="I6" s="7" t="n">
        <v>28374.5</v>
      </c>
      <c r="J6" s="7" t="n">
        <v>28374.5</v>
      </c>
      <c r="K6" s="7" t="n">
        <v>28374.5</v>
      </c>
      <c r="L6" s="7" t="n">
        <v>28374.5</v>
      </c>
      <c r="N6" t="inlineStr">
        <is>
          <t>Rainbow-colored Snail Shell</t>
        </is>
      </c>
    </row>
    <row r="7">
      <c r="A7" s="6" t="inlineStr">
        <is>
          <t>ATTACK %</t>
        </is>
      </c>
      <c r="B7" s="8">
        <f>INDEX($C$7:$L$7,MATCH($B$4,$C$2:$L$2,0))</f>
        <v/>
      </c>
      <c r="C7" s="7" t="n">
        <v>0</v>
      </c>
      <c r="D7" s="7" t="n">
        <v>0</v>
      </c>
      <c r="E7" s="7" t="n">
        <v>0</v>
      </c>
      <c r="F7" s="7" t="n">
        <v>0</v>
      </c>
      <c r="G7" s="7" t="n">
        <v>0</v>
      </c>
      <c r="H7" s="7" t="n">
        <v>0</v>
      </c>
      <c r="I7" s="7" t="n">
        <v>0</v>
      </c>
      <c r="J7" s="7" t="n">
        <v>0</v>
      </c>
      <c r="K7" s="7" t="n">
        <v>0</v>
      </c>
      <c r="L7" s="7" t="n">
        <v>0</v>
      </c>
      <c r="N7" t="inlineStr">
        <is>
          <t>Hexagon Necklace</t>
        </is>
      </c>
    </row>
    <row r="8">
      <c r="A8" s="6" t="inlineStr">
        <is>
          <t>Defense (your own DEF stat; PvP assumes the opponent has the same Defense as you)</t>
        </is>
      </c>
      <c r="B8" s="8">
        <f>INDEX($C$8:$L$8,MATCH($B$4,$C$2:$L$2,0))</f>
        <v/>
      </c>
      <c r="C8" s="7" t="n">
        <v>99.09999999999999</v>
      </c>
      <c r="D8" s="7" t="n">
        <v>99.09999999999999</v>
      </c>
      <c r="E8" s="7" t="n">
        <v>99.09999999999999</v>
      </c>
      <c r="F8" s="7" t="n">
        <v>99.09999999999999</v>
      </c>
      <c r="G8" s="7" t="n">
        <v>99.09999999999999</v>
      </c>
      <c r="H8" s="7" t="n">
        <v>99.09999999999999</v>
      </c>
      <c r="I8" s="7" t="n">
        <v>99.09999999999999</v>
      </c>
      <c r="J8" s="7" t="n">
        <v>99.09999999999999</v>
      </c>
      <c r="K8" s="7" t="n">
        <v>99.09999999999999</v>
      </c>
      <c r="L8" s="7" t="n">
        <v>99.09999999999999</v>
      </c>
      <c r="N8" t="inlineStr">
        <is>
          <t>Arwen's Glass Shoes</t>
        </is>
      </c>
    </row>
    <row r="9">
      <c r="A9" s="6" t="inlineStr">
        <is>
          <t>CRIT_RATE %</t>
        </is>
      </c>
      <c r="B9" s="8">
        <f>INDEX($C$9:$L$9,MATCH($B$4,$C$2:$L$2,0))</f>
        <v/>
      </c>
      <c r="C9" s="7" t="n">
        <v>244.4</v>
      </c>
      <c r="D9" s="7" t="n">
        <v>244.4</v>
      </c>
      <c r="E9" s="7" t="n">
        <v>244.4</v>
      </c>
      <c r="F9" s="7" t="n">
        <v>244.4</v>
      </c>
      <c r="G9" s="7" t="n">
        <v>244.4</v>
      </c>
      <c r="H9" s="7" t="n">
        <v>244.4</v>
      </c>
      <c r="I9" s="7" t="n">
        <v>244.4</v>
      </c>
      <c r="J9" s="7" t="n">
        <v>244.4</v>
      </c>
      <c r="K9" s="7" t="n">
        <v>244.4</v>
      </c>
      <c r="L9" s="7" t="n">
        <v>244.4</v>
      </c>
      <c r="N9" t="inlineStr">
        <is>
          <t>Mushmom's Cap</t>
        </is>
      </c>
    </row>
    <row r="10">
      <c r="A10" s="6" t="inlineStr">
        <is>
          <t>CRIT_DAMAGE %</t>
        </is>
      </c>
      <c r="B10" s="8">
        <f>INDEX($C$10:$L$10,MATCH($B$4,$C$2:$L$2,0))</f>
        <v/>
      </c>
      <c r="C10" s="7" t="n">
        <v>75.90000000000001</v>
      </c>
      <c r="D10" s="7" t="n">
        <v>75.90000000000001</v>
      </c>
      <c r="E10" s="7" t="n">
        <v>75.90000000000001</v>
      </c>
      <c r="F10" s="7" t="n">
        <v>75.90000000000001</v>
      </c>
      <c r="G10" s="7" t="n">
        <v>75.90000000000001</v>
      </c>
      <c r="H10" s="7" t="n">
        <v>75.90000000000001</v>
      </c>
      <c r="I10" s="7" t="n">
        <v>75.90000000000001</v>
      </c>
      <c r="J10" s="7" t="n">
        <v>75.90000000000001</v>
      </c>
      <c r="K10" s="7" t="n">
        <v>75.90000000000001</v>
      </c>
      <c r="L10" s="7" t="n">
        <v>75.90000000000001</v>
      </c>
      <c r="N10" t="inlineStr">
        <is>
          <t>Clear Spring Water</t>
        </is>
      </c>
    </row>
    <row r="11">
      <c r="A11" s="6" t="inlineStr">
        <is>
          <t>ATTACK_SPEED % (base, excludes Nimble Feet/Agile Daggers)</t>
        </is>
      </c>
      <c r="B11" s="8">
        <f>INDEX($C$11:$L$11,MATCH($B$4,$C$2:$L$2,0))</f>
        <v/>
      </c>
      <c r="C11" s="7" t="n">
        <v>45069</v>
      </c>
      <c r="D11" s="7" t="n">
        <v>45069</v>
      </c>
      <c r="E11" s="7" t="n">
        <v>45069</v>
      </c>
      <c r="F11" s="7" t="n">
        <v>45069</v>
      </c>
      <c r="G11" s="7" t="n">
        <v>45069</v>
      </c>
      <c r="H11" s="7" t="n">
        <v>45069</v>
      </c>
      <c r="I11" s="7" t="n">
        <v>45069</v>
      </c>
      <c r="J11" s="7" t="n">
        <v>45069</v>
      </c>
      <c r="K11" s="7" t="n">
        <v>45069</v>
      </c>
      <c r="L11" s="7" t="n">
        <v>45069</v>
      </c>
      <c r="N11" t="inlineStr">
        <is>
          <t>Athena Pierce's Old Gloves</t>
        </is>
      </c>
    </row>
    <row r="12">
      <c r="A12" s="6" t="inlineStr">
        <is>
          <t>Flat LUK</t>
        </is>
      </c>
      <c r="B12" s="8">
        <f>INDEX($C$12:$L$12,MATCH($B$4,$C$2:$L$2,0))</f>
        <v/>
      </c>
      <c r="C12" s="7" t="n">
        <v>292.9</v>
      </c>
      <c r="D12" s="7" t="n">
        <v>292.9</v>
      </c>
      <c r="E12" s="7" t="n">
        <v>292.9</v>
      </c>
      <c r="F12" s="7" t="n">
        <v>292.9</v>
      </c>
      <c r="G12" s="7" t="n">
        <v>292.9</v>
      </c>
      <c r="H12" s="7" t="n">
        <v>292.9</v>
      </c>
      <c r="I12" s="7" t="n">
        <v>292.9</v>
      </c>
      <c r="J12" s="7" t="n">
        <v>292.9</v>
      </c>
      <c r="K12" s="7" t="n">
        <v>292.9</v>
      </c>
      <c r="L12" s="7" t="n">
        <v>292.9</v>
      </c>
      <c r="N12" t="inlineStr">
        <is>
          <t>Zakum's Stone Piece</t>
        </is>
      </c>
    </row>
    <row r="13">
      <c r="A13" s="6" t="inlineStr">
        <is>
          <t>LUK %</t>
        </is>
      </c>
      <c r="B13" s="8">
        <f>INDEX($C$13:$L$13,MATCH($B$4,$C$2:$L$2,0))</f>
        <v/>
      </c>
      <c r="C13" s="7" t="n">
        <v>302</v>
      </c>
      <c r="D13" s="7" t="n">
        <v>302</v>
      </c>
      <c r="E13" s="7" t="n">
        <v>302</v>
      </c>
      <c r="F13" s="7" t="n">
        <v>302</v>
      </c>
      <c r="G13" s="7" t="n">
        <v>302</v>
      </c>
      <c r="H13" s="7" t="n">
        <v>302</v>
      </c>
      <c r="I13" s="7" t="n">
        <v>302</v>
      </c>
      <c r="J13" s="7" t="n">
        <v>302</v>
      </c>
      <c r="K13" s="7" t="n">
        <v>302</v>
      </c>
      <c r="L13" s="7" t="n">
        <v>302</v>
      </c>
      <c r="N13" t="inlineStr">
        <is>
          <t>Horntail's Scale</t>
        </is>
      </c>
    </row>
    <row r="14">
      <c r="A14" s="6" t="inlineStr">
        <is>
          <t>DEX</t>
        </is>
      </c>
      <c r="B14" s="8">
        <f>INDEX($C$14:$L$14,MATCH($B$4,$C$2:$L$2,0))</f>
        <v/>
      </c>
      <c r="C14" s="7" t="n">
        <v>840.7</v>
      </c>
      <c r="D14" s="7" t="n">
        <v>840.7</v>
      </c>
      <c r="E14" s="7" t="n">
        <v>840.7</v>
      </c>
      <c r="F14" s="7" t="n">
        <v>840.7</v>
      </c>
      <c r="G14" s="7" t="n">
        <v>840.7</v>
      </c>
      <c r="H14" s="7" t="n">
        <v>840.7</v>
      </c>
      <c r="I14" s="7" t="n">
        <v>840.7</v>
      </c>
      <c r="J14" s="7" t="n">
        <v>840.7</v>
      </c>
      <c r="K14" s="7" t="n">
        <v>840.7</v>
      </c>
      <c r="L14" s="7" t="n">
        <v>840.7</v>
      </c>
      <c r="N14" t="inlineStr">
        <is>
          <t>Pink Bean's Giant Rib</t>
        </is>
      </c>
    </row>
    <row r="15">
      <c r="A15" s="6" t="inlineStr">
        <is>
          <t>DAMAGE %</t>
        </is>
      </c>
      <c r="B15" s="8">
        <f>INDEX($C$15:$L$15,MATCH($B$4,$C$2:$L$2,0))</f>
        <v/>
      </c>
      <c r="C15" s="7" t="n">
        <v>65</v>
      </c>
      <c r="D15" s="7" t="n">
        <v>65</v>
      </c>
      <c r="E15" s="7" t="n">
        <v>65</v>
      </c>
      <c r="F15" s="7" t="n">
        <v>65</v>
      </c>
      <c r="G15" s="7" t="n">
        <v>65</v>
      </c>
      <c r="H15" s="7" t="n">
        <v>65</v>
      </c>
      <c r="I15" s="7" t="n">
        <v>65</v>
      </c>
      <c r="J15" s="7" t="n">
        <v>65</v>
      </c>
      <c r="K15" s="7" t="n">
        <v>65</v>
      </c>
      <c r="L15" s="7" t="n">
        <v>65</v>
      </c>
      <c r="N15" t="inlineStr">
        <is>
          <t>Chalice</t>
        </is>
      </c>
    </row>
    <row r="16">
      <c r="A16" s="6" t="inlineStr">
        <is>
          <t>DAMAGE_AMP %</t>
        </is>
      </c>
      <c r="B16" s="8">
        <f>INDEX($C$16:$L$16,MATCH($B$4,$C$2:$L$2,0))</f>
        <v/>
      </c>
      <c r="C16" s="7" t="n">
        <v>58</v>
      </c>
      <c r="D16" s="7" t="n">
        <v>58</v>
      </c>
      <c r="E16" s="7" t="n">
        <v>58</v>
      </c>
      <c r="F16" s="7" t="n">
        <v>58</v>
      </c>
      <c r="G16" s="7" t="n">
        <v>58</v>
      </c>
      <c r="H16" s="7" t="n">
        <v>58</v>
      </c>
      <c r="I16" s="7" t="n">
        <v>58</v>
      </c>
      <c r="J16" s="7" t="n">
        <v>58</v>
      </c>
      <c r="K16" s="7" t="n">
        <v>58</v>
      </c>
      <c r="L16" s="7" t="n">
        <v>58</v>
      </c>
      <c r="N16" t="inlineStr">
        <is>
          <t>Old Music Box</t>
        </is>
      </c>
    </row>
    <row r="17">
      <c r="A17" s="6" t="inlineStr">
        <is>
          <t>BASIC_ATTACK_DAMAGE %</t>
        </is>
      </c>
      <c r="B17" s="8">
        <f>INDEX($C$17:$L$17,MATCH($B$4,$C$2:$L$2,0))</f>
        <v/>
      </c>
      <c r="C17" s="7" t="n">
        <v>70.8</v>
      </c>
      <c r="D17" s="7" t="n">
        <v>70.8</v>
      </c>
      <c r="E17" s="7" t="n">
        <v>70.8</v>
      </c>
      <c r="F17" s="7" t="n">
        <v>70.8</v>
      </c>
      <c r="G17" s="7" t="n">
        <v>70.8</v>
      </c>
      <c r="H17" s="7" t="n">
        <v>70.8</v>
      </c>
      <c r="I17" s="7" t="n">
        <v>70.8</v>
      </c>
      <c r="J17" s="7" t="n">
        <v>70.8</v>
      </c>
      <c r="K17" s="7" t="n">
        <v>70.8</v>
      </c>
      <c r="L17" s="7" t="n">
        <v>70.8</v>
      </c>
      <c r="N17" t="inlineStr">
        <is>
          <t>Silver Pendant</t>
        </is>
      </c>
    </row>
    <row r="18">
      <c r="A18" s="6" t="inlineStr">
        <is>
          <t>SKILL_DAMAGE %</t>
        </is>
      </c>
      <c r="B18" s="8">
        <f>INDEX($C$18:$L$18,MATCH($B$4,$C$2:$L$2,0))</f>
        <v/>
      </c>
      <c r="C18" s="7" t="n">
        <v>24.6</v>
      </c>
      <c r="D18" s="7" t="n">
        <v>24.6</v>
      </c>
      <c r="E18" s="7" t="n">
        <v>24.6</v>
      </c>
      <c r="F18" s="7" t="n">
        <v>24.6</v>
      </c>
      <c r="G18" s="7" t="n">
        <v>24.6</v>
      </c>
      <c r="H18" s="7" t="n">
        <v>24.6</v>
      </c>
      <c r="I18" s="7" t="n">
        <v>24.6</v>
      </c>
      <c r="J18" s="7" t="n">
        <v>24.6</v>
      </c>
      <c r="K18" s="7" t="n">
        <v>24.6</v>
      </c>
      <c r="L18" s="7" t="n">
        <v>24.6</v>
      </c>
      <c r="N18" t="inlineStr">
        <is>
          <t>Star Rock</t>
        </is>
      </c>
    </row>
    <row r="19">
      <c r="A19" s="6" t="inlineStr">
        <is>
          <t>DEF_PEN %</t>
        </is>
      </c>
      <c r="B19" s="8">
        <f>INDEX($C$19:$L$19,MATCH($B$4,$C$2:$L$2,0))</f>
        <v/>
      </c>
      <c r="C19" s="7" t="n">
        <v>324.2</v>
      </c>
      <c r="D19" s="7" t="n">
        <v>324.2</v>
      </c>
      <c r="E19" s="7" t="n">
        <v>324.2</v>
      </c>
      <c r="F19" s="7" t="n">
        <v>324.2</v>
      </c>
      <c r="G19" s="7" t="n">
        <v>324.2</v>
      </c>
      <c r="H19" s="7" t="n">
        <v>324.2</v>
      </c>
      <c r="I19" s="7" t="n">
        <v>324.2</v>
      </c>
      <c r="J19" s="7" t="n">
        <v>324.2</v>
      </c>
      <c r="K19" s="7" t="n">
        <v>324.2</v>
      </c>
      <c r="L19" s="7" t="n">
        <v>324.2</v>
      </c>
      <c r="N19" t="inlineStr">
        <is>
          <t>Book of Ancient</t>
        </is>
      </c>
    </row>
    <row r="20">
      <c r="A20" s="6" t="inlineStr">
        <is>
          <t>BOSS_DAMAGE %</t>
        </is>
      </c>
      <c r="B20" s="8">
        <f>INDEX($C$20:$L$20,MATCH($B$4,$C$2:$L$2,0))</f>
        <v/>
      </c>
      <c r="C20" s="7" t="n">
        <v>235.2</v>
      </c>
      <c r="D20" s="7" t="n">
        <v>235.2</v>
      </c>
      <c r="E20" s="7" t="n">
        <v>235.2</v>
      </c>
      <c r="F20" s="7" t="n">
        <v>235.2</v>
      </c>
      <c r="G20" s="7" t="n">
        <v>235.2</v>
      </c>
      <c r="H20" s="7" t="n">
        <v>235.2</v>
      </c>
      <c r="I20" s="7" t="n">
        <v>235.2</v>
      </c>
      <c r="J20" s="7" t="n">
        <v>235.2</v>
      </c>
      <c r="K20" s="7" t="n">
        <v>235.2</v>
      </c>
      <c r="L20" s="7" t="n">
        <v>235.2</v>
      </c>
      <c r="N20" t="inlineStr">
        <is>
          <t>Lunar Dew</t>
        </is>
      </c>
    </row>
    <row r="21">
      <c r="A21" s="6" t="inlineStr">
        <is>
          <t>NORMAL_DAMAGE %</t>
        </is>
      </c>
      <c r="B21" s="8">
        <f>INDEX($C$21:$L$21,MATCH($B$4,$C$2:$L$2,0))</f>
        <v/>
      </c>
      <c r="C21" s="7" t="n">
        <v>250.4</v>
      </c>
      <c r="D21" s="7" t="n">
        <v>250.4</v>
      </c>
      <c r="E21" s="7" t="n">
        <v>250.4</v>
      </c>
      <c r="F21" s="7" t="n">
        <v>250.4</v>
      </c>
      <c r="G21" s="7" t="n">
        <v>250.4</v>
      </c>
      <c r="H21" s="7" t="n">
        <v>250.4</v>
      </c>
      <c r="I21" s="7" t="n">
        <v>250.4</v>
      </c>
      <c r="J21" s="7" t="n">
        <v>250.4</v>
      </c>
      <c r="K21" s="7" t="n">
        <v>250.4</v>
      </c>
      <c r="L21" s="7" t="n">
        <v>250.4</v>
      </c>
      <c r="N21" t="inlineStr">
        <is>
          <t>Fire Flower</t>
        </is>
      </c>
    </row>
    <row r="22">
      <c r="A22" s="6" t="inlineStr">
        <is>
          <t>MIN_DAMAGE %</t>
        </is>
      </c>
      <c r="B22" s="8">
        <f>INDEX($C$22:$L$22,MATCH($B$4,$C$2:$L$2,0))</f>
        <v/>
      </c>
      <c r="C22" s="7" t="n">
        <v>311</v>
      </c>
      <c r="D22" s="7" t="n">
        <v>311</v>
      </c>
      <c r="E22" s="7" t="n">
        <v>311</v>
      </c>
      <c r="F22" s="7" t="n">
        <v>311</v>
      </c>
      <c r="G22" s="7" t="n">
        <v>311</v>
      </c>
      <c r="H22" s="7" t="n">
        <v>311</v>
      </c>
      <c r="I22" s="7" t="n">
        <v>311</v>
      </c>
      <c r="J22" s="7" t="n">
        <v>311</v>
      </c>
      <c r="K22" s="7" t="n">
        <v>311</v>
      </c>
      <c r="L22" s="7" t="n">
        <v>311</v>
      </c>
      <c r="N22" t="inlineStr">
        <is>
          <t>Soul Contract</t>
        </is>
      </c>
    </row>
    <row r="23">
      <c r="A23" s="6" t="inlineStr">
        <is>
          <t>MAX_DAMAGE %</t>
        </is>
      </c>
      <c r="B23" s="8">
        <f>INDEX($C$23:$L$23,MATCH($B$4,$C$2:$L$2,0))</f>
        <v/>
      </c>
      <c r="C23" s="7" t="n">
        <v>10.9</v>
      </c>
      <c r="D23" s="7" t="n">
        <v>10.9</v>
      </c>
      <c r="E23" s="7" t="n">
        <v>10.9</v>
      </c>
      <c r="F23" s="7" t="n">
        <v>10.9</v>
      </c>
      <c r="G23" s="7" t="n">
        <v>10.9</v>
      </c>
      <c r="H23" s="7" t="n">
        <v>10.9</v>
      </c>
      <c r="I23" s="7" t="n">
        <v>10.9</v>
      </c>
      <c r="J23" s="7" t="n">
        <v>10.9</v>
      </c>
      <c r="K23" s="7" t="n">
        <v>10.9</v>
      </c>
      <c r="L23" s="7" t="n">
        <v>10.9</v>
      </c>
      <c r="N23" t="inlineStr">
        <is>
          <t>Lit Lamp</t>
        </is>
      </c>
    </row>
    <row r="24">
      <c r="A24" s="6" t="inlineStr">
        <is>
          <t>FINAL_DAMAGE % (base, excludes Into Darkness/Smokescreen)</t>
        </is>
      </c>
      <c r="B24" s="8">
        <f>INDEX($C$24:$L$24,MATCH($B$4,$C$2:$L$2,0))</f>
        <v/>
      </c>
      <c r="C24" s="7" t="n">
        <v>20</v>
      </c>
      <c r="D24" s="7" t="n">
        <v>20</v>
      </c>
      <c r="E24" s="7" t="n">
        <v>20</v>
      </c>
      <c r="F24" s="7" t="n">
        <v>20</v>
      </c>
      <c r="G24" s="7" t="n">
        <v>20</v>
      </c>
      <c r="H24" s="7" t="n">
        <v>20</v>
      </c>
      <c r="I24" s="7" t="n">
        <v>20</v>
      </c>
      <c r="J24" s="7" t="n">
        <v>20</v>
      </c>
      <c r="K24" s="7" t="n">
        <v>20</v>
      </c>
      <c r="L24" s="7" t="n">
        <v>20</v>
      </c>
      <c r="N24" t="inlineStr">
        <is>
          <t>Soul Pouch</t>
        </is>
      </c>
    </row>
    <row r="25">
      <c r="A25" s="6" t="inlineStr">
        <is>
          <t>Skill Level Bonus — 1st Job</t>
        </is>
      </c>
      <c r="B25" s="8">
        <f>INDEX($C$25:$L$25,MATCH($B$4,$C$2:$L$2,0))</f>
        <v/>
      </c>
      <c r="C25" s="7" t="n">
        <v>20</v>
      </c>
      <c r="D25" s="7" t="n">
        <v>20</v>
      </c>
      <c r="E25" s="7" t="n">
        <v>20</v>
      </c>
      <c r="F25" s="7" t="n">
        <v>20</v>
      </c>
      <c r="G25" s="7" t="n">
        <v>20</v>
      </c>
      <c r="H25" s="7" t="n">
        <v>20</v>
      </c>
      <c r="I25" s="7" t="n">
        <v>20</v>
      </c>
      <c r="J25" s="7" t="n">
        <v>20</v>
      </c>
      <c r="K25" s="7" t="n">
        <v>20</v>
      </c>
      <c r="L25" s="7" t="n">
        <v>20</v>
      </c>
      <c r="N25" t="inlineStr">
        <is>
          <t>Ancient Text Piece</t>
        </is>
      </c>
    </row>
    <row r="26">
      <c r="A26" s="6" t="inlineStr">
        <is>
          <t>Skill Level Bonus — 2nd Job</t>
        </is>
      </c>
      <c r="B26" s="8">
        <f>INDEX($C$26:$L$26,MATCH($B$4,$C$2:$L$2,0))</f>
        <v/>
      </c>
      <c r="C26" s="7" t="n">
        <v>27</v>
      </c>
      <c r="D26" s="7" t="n">
        <v>27</v>
      </c>
      <c r="E26" s="7" t="n">
        <v>27</v>
      </c>
      <c r="F26" s="7" t="n">
        <v>27</v>
      </c>
      <c r="G26" s="7" t="n">
        <v>27</v>
      </c>
      <c r="H26" s="7" t="n">
        <v>27</v>
      </c>
      <c r="I26" s="7" t="n">
        <v>27</v>
      </c>
      <c r="J26" s="7" t="n">
        <v>27</v>
      </c>
      <c r="K26" s="7" t="n">
        <v>27</v>
      </c>
      <c r="L26" s="7" t="n">
        <v>27</v>
      </c>
      <c r="N26" t="inlineStr">
        <is>
          <t>Icy Soul Rock</t>
        </is>
      </c>
    </row>
    <row r="27">
      <c r="A27" s="6" t="inlineStr">
        <is>
          <t>Skill Level Bonus — 3rd Job</t>
        </is>
      </c>
      <c r="B27" s="8">
        <f>INDEX($C$27:$L$27,MATCH($B$4,$C$2:$L$2,0))</f>
        <v/>
      </c>
      <c r="C27" s="7" t="n">
        <v>67</v>
      </c>
      <c r="D27" s="7" t="n">
        <v>67</v>
      </c>
      <c r="E27" s="7" t="n">
        <v>67</v>
      </c>
      <c r="F27" s="7" t="n">
        <v>67</v>
      </c>
      <c r="G27" s="7" t="n">
        <v>67</v>
      </c>
      <c r="H27" s="7" t="n">
        <v>67</v>
      </c>
      <c r="I27" s="7" t="n">
        <v>67</v>
      </c>
      <c r="J27" s="7" t="n">
        <v>67</v>
      </c>
      <c r="K27" s="7" t="n">
        <v>67</v>
      </c>
      <c r="L27" s="7" t="n">
        <v>67</v>
      </c>
      <c r="N27" t="inlineStr">
        <is>
          <t>Flaming Lava</t>
        </is>
      </c>
    </row>
    <row r="28">
      <c r="A28" s="6" t="inlineStr">
        <is>
          <t>Skill Level Bonus — 4th Job</t>
        </is>
      </c>
      <c r="B28" s="8">
        <f>INDEX($C$28:$L$28,MATCH($B$4,$C$2:$L$2,0))</f>
        <v/>
      </c>
      <c r="C28" s="7" t="n">
        <v>25</v>
      </c>
      <c r="D28" s="7" t="n">
        <v>25</v>
      </c>
      <c r="E28" s="7" t="n">
        <v>25</v>
      </c>
      <c r="F28" s="7" t="n">
        <v>25</v>
      </c>
      <c r="G28" s="7" t="n">
        <v>25</v>
      </c>
      <c r="H28" s="7" t="n">
        <v>25</v>
      </c>
      <c r="I28" s="7" t="n">
        <v>25</v>
      </c>
      <c r="J28" s="7" t="n">
        <v>25</v>
      </c>
      <c r="K28" s="7" t="n">
        <v>25</v>
      </c>
      <c r="L28" s="7" t="n">
        <v>25</v>
      </c>
      <c r="N28" t="inlineStr">
        <is>
          <t>Sayram's Necklace</t>
        </is>
      </c>
    </row>
    <row r="29">
      <c r="A29" s="6" t="inlineStr">
        <is>
          <t>Skill Level Bonus — All Skills</t>
        </is>
      </c>
      <c r="B29" s="8">
        <f>INDEX($C$29:$L$29,MATCH($B$4,$C$2:$L$2,0))</f>
        <v/>
      </c>
      <c r="C29" s="7" t="n">
        <v>0</v>
      </c>
      <c r="D29" s="7" t="n">
        <v>0</v>
      </c>
      <c r="E29" s="7" t="n">
        <v>0</v>
      </c>
      <c r="F29" s="7" t="n">
        <v>0</v>
      </c>
      <c r="G29" s="7" t="n">
        <v>0</v>
      </c>
      <c r="H29" s="7" t="n">
        <v>0</v>
      </c>
      <c r="I29" s="7" t="n">
        <v>0</v>
      </c>
      <c r="J29" s="7" t="n">
        <v>0</v>
      </c>
      <c r="K29" s="7" t="n">
        <v>0</v>
      </c>
      <c r="L29" s="7" t="n">
        <v>0</v>
      </c>
      <c r="N29" t="inlineStr">
        <is>
          <t>Bottle of Emotion</t>
        </is>
      </c>
    </row>
    <row r="30">
      <c r="N30" t="inlineStr">
        <is>
          <t>Peach Tree Herb Pouch</t>
        </is>
      </c>
    </row>
    <row r="31">
      <c r="A31" s="9" t="inlineStr">
        <is>
          <t>Additional Bonuses</t>
        </is>
      </c>
      <c r="N31" t="inlineStr">
        <is>
          <t>Candle</t>
        </is>
      </c>
    </row>
    <row r="32">
      <c r="A32" s="6" t="inlineStr">
        <is>
          <t>Skill Cooldown Decrease (seconds; applies to every cooldown — skills, buffs and passives)</t>
        </is>
      </c>
      <c r="B32" s="8">
        <f>INDEX($C$32:$L$32,MATCH($B$4,$C$2:$L$2,0))</f>
        <v/>
      </c>
      <c r="C32" s="7" t="n">
        <v>1</v>
      </c>
      <c r="D32" s="7" t="n">
        <v>1</v>
      </c>
      <c r="E32" s="7" t="n">
        <v>1</v>
      </c>
      <c r="F32" s="7" t="n">
        <v>1</v>
      </c>
      <c r="G32" s="7" t="n">
        <v>1</v>
      </c>
      <c r="H32" s="7" t="n">
        <v>1</v>
      </c>
      <c r="I32" s="7" t="n">
        <v>1</v>
      </c>
      <c r="J32" s="7" t="n">
        <v>1</v>
      </c>
      <c r="K32" s="7" t="n">
        <v>1</v>
      </c>
      <c r="L32" s="7" t="n">
        <v>1</v>
      </c>
      <c r="N32" t="inlineStr">
        <is>
          <t>Alliance Badge</t>
        </is>
      </c>
    </row>
    <row r="33">
      <c r="A33" s="6" t="inlineStr">
        <is>
          <t>Basic Attack Target Increase (flat, adds to the 6-target normal-monster base)</t>
        </is>
      </c>
      <c r="B33" s="8">
        <f>INDEX($C$33:$L$33,MATCH($B$4,$C$2:$L$2,0))</f>
        <v/>
      </c>
      <c r="C33" s="7" t="n">
        <v>0</v>
      </c>
      <c r="D33" s="7" t="n">
        <v>0</v>
      </c>
      <c r="E33" s="7" t="n">
        <v>0</v>
      </c>
      <c r="F33" s="7" t="n">
        <v>0</v>
      </c>
      <c r="G33" s="7" t="n">
        <v>0</v>
      </c>
      <c r="H33" s="7" t="n">
        <v>0</v>
      </c>
      <c r="I33" s="7" t="n">
        <v>0</v>
      </c>
      <c r="J33" s="7" t="n">
        <v>0</v>
      </c>
      <c r="K33" s="7" t="n">
        <v>0</v>
      </c>
      <c r="L33" s="7" t="n">
        <v>0</v>
      </c>
      <c r="N33" t="inlineStr">
        <is>
          <t>Horn Flute</t>
        </is>
      </c>
    </row>
    <row r="34">
      <c r="A34" s="6" t="inlineStr">
        <is>
          <t>Buff Duration Increase %</t>
        </is>
      </c>
      <c r="B34" s="8">
        <f>INDEX($C$34:$L$34,MATCH($B$4,$C$2:$L$2,0))</f>
        <v/>
      </c>
      <c r="C34" s="7" t="n">
        <v>12</v>
      </c>
      <c r="D34" s="7" t="n">
        <v>12</v>
      </c>
      <c r="E34" s="7" t="n">
        <v>12</v>
      </c>
      <c r="F34" s="7" t="n">
        <v>12</v>
      </c>
      <c r="G34" s="7" t="n">
        <v>12</v>
      </c>
      <c r="H34" s="7" t="n">
        <v>12</v>
      </c>
      <c r="I34" s="7" t="n">
        <v>12</v>
      </c>
      <c r="J34" s="7" t="n">
        <v>12</v>
      </c>
      <c r="K34" s="7" t="n">
        <v>12</v>
      </c>
      <c r="L34" s="7" t="n">
        <v>12</v>
      </c>
      <c r="N34" t="inlineStr">
        <is>
          <t>Cursed Doll</t>
        </is>
      </c>
    </row>
    <row r="35">
      <c r="A35" s="6" t="inlineStr">
        <is>
          <t>Companion Summoning Time Increase % (companions not modeled — always 0 DPS impact)</t>
        </is>
      </c>
      <c r="B35" s="8">
        <f>INDEX($C$35:$L$35,MATCH($B$4,$C$2:$L$2,0))</f>
        <v/>
      </c>
      <c r="C35" s="7" t="n">
        <v>0</v>
      </c>
      <c r="D35" s="7" t="n">
        <v>0</v>
      </c>
      <c r="E35" s="7" t="n">
        <v>0</v>
      </c>
      <c r="F35" s="7" t="n">
        <v>0</v>
      </c>
      <c r="G35" s="7" t="n">
        <v>0</v>
      </c>
      <c r="H35" s="7" t="n">
        <v>0</v>
      </c>
      <c r="I35" s="7" t="n">
        <v>0</v>
      </c>
      <c r="J35" s="7" t="n">
        <v>0</v>
      </c>
      <c r="K35" s="7" t="n">
        <v>0</v>
      </c>
      <c r="L35" s="7" t="n">
        <v>0</v>
      </c>
      <c r="N35" t="inlineStr">
        <is>
          <t>Reindeer's Spear</t>
        </is>
      </c>
    </row>
    <row r="36">
      <c r="A36" s="6" t="inlineStr">
        <is>
          <t>Boss/Normal Emphasis (Breakthrough/Hero Dungeon only)</t>
        </is>
      </c>
      <c r="B36" s="8">
        <f>INDEX($C$36:$L$36,MATCH($B$4,$C$2:$L$2,0))</f>
        <v/>
      </c>
      <c r="C36" s="8" t="n"/>
      <c r="D36" s="7" t="inlineStr">
        <is>
          <t>A Little More Normal</t>
        </is>
      </c>
      <c r="E36" s="8" t="n"/>
      <c r="F36" s="8" t="n"/>
      <c r="G36" s="8" t="n"/>
      <c r="H36" s="8" t="n"/>
      <c r="I36" s="8" t="n"/>
      <c r="J36" s="7" t="inlineStr">
        <is>
          <t>A Little More Normal</t>
        </is>
      </c>
      <c r="K36" s="8" t="n"/>
      <c r="L36" s="8" t="n"/>
      <c r="N36" t="inlineStr">
        <is>
          <t>Secret Map</t>
        </is>
      </c>
    </row>
    <row r="37">
      <c r="A37" s="6" t="inlineStr">
        <is>
          <t>Max Enemies Actually In Range (normal-monster content only; default 999 = uncapped)</t>
        </is>
      </c>
      <c r="B37" s="8">
        <f>INDEX($C$37:$L$37,MATCH($B$4,$C$2:$L$2,0))</f>
        <v/>
      </c>
      <c r="C37" s="8" t="n"/>
      <c r="D37" s="7" t="n">
        <v>999</v>
      </c>
      <c r="E37" s="8" t="n"/>
      <c r="F37" s="7" t="n">
        <v>999</v>
      </c>
      <c r="G37" s="7" t="n">
        <v>999</v>
      </c>
      <c r="H37" s="8" t="n"/>
      <c r="I37" s="8" t="n"/>
      <c r="J37" s="7" t="n">
        <v>999</v>
      </c>
      <c r="K37" s="8" t="n"/>
      <c r="L37" s="7" t="n">
        <v>999</v>
      </c>
      <c r="N37" t="inlineStr">
        <is>
          <t>Ring of Cycles</t>
        </is>
      </c>
    </row>
    <row r="38">
      <c r="A38" s="6" t="inlineStr">
        <is>
          <t>Incoming Hit Rate (hits/sec taken — user-estimated, feeds Shadow Shifter's counterattack only)</t>
        </is>
      </c>
      <c r="B38" s="8">
        <f>INDEX($C$38:$L$38,MATCH($B$4,$C$2:$L$2,0))</f>
        <v/>
      </c>
      <c r="C38" s="7" t="n">
        <v>1</v>
      </c>
      <c r="D38" s="7" t="n">
        <v>1</v>
      </c>
      <c r="E38" s="7" t="n">
        <v>1</v>
      </c>
      <c r="F38" s="7" t="n">
        <v>1</v>
      </c>
      <c r="G38" s="7" t="n">
        <v>1</v>
      </c>
      <c r="H38" s="7" t="n">
        <v>1</v>
      </c>
      <c r="I38" s="7" t="n">
        <v>1</v>
      </c>
      <c r="J38" s="7" t="n">
        <v>1</v>
      </c>
      <c r="K38" s="7" t="n">
        <v>1</v>
      </c>
      <c r="L38" s="7" t="n">
        <v>1</v>
      </c>
    </row>
    <row r="39" hidden="1">
      <c r="A39" s="6" t="inlineStr">
        <is>
          <t>Monster Type (auto-computed from Content Type) — computed, do not edit</t>
        </is>
      </c>
      <c r="B39" s="8">
        <f>IF(Inputs!$B$4="PvP","pvp",IF(OR(Inputs!$B$4="Breakthrough",Inputs!$B$4="Hero Dungeon"),"breakthrough",IF(OR(Inputs!$B$4="EXP Dungeon",Inputs!$B$4="Equipment Dungeon",Inputs!$B$4="Chapter Hunt"),"normal","boss")))</f>
        <v/>
      </c>
    </row>
    <row r="40" hidden="1">
      <c r="A40" s="6" t="inlineStr">
        <is>
          <t>Chapter (parsed from Chapter-Stage) — computed, do not edit</t>
        </is>
      </c>
      <c r="B40" s="8">
        <f>IFERROR(IF(ISNUMBER(FIND("-",Inputs!$B$5)),VALUE(LEFT(Inputs!$B$5,FIND("-",Inputs!$B$5)-1)),VALUE(Inputs!$B$5)),28)</f>
        <v/>
      </c>
    </row>
    <row r="41" hidden="1">
      <c r="A41" s="6" t="inlineStr">
        <is>
          <t>Stage (parsed from Chapter-Stage) — computed, do not edit</t>
        </is>
      </c>
      <c r="B41" s="8">
        <f>IFERROR(IF(ISNUMBER(FIND("-",Inputs!$B$5)),VALUE(MID(Inputs!$B$5,FIND("-",Inputs!$B$5)+1,50)),VALUE(Inputs!$B$5)),9)</f>
        <v/>
      </c>
    </row>
    <row r="42" hidden="1">
      <c r="A42" s="6" t="inlineStr">
        <is>
          <t>Breakthrough Global Stage Index (helper) — computed, do not edit</t>
        </is>
      </c>
      <c r="B42" s="8">
        <f>IF(Inputs!$B$40=28,Inputs!$B$41-9,Inputs!$B$41+14*MAX(0,MIN(Inputs!$B$40-1,38)-28)+19*MAX(0,Inputs!$B$40-39))</f>
        <v/>
      </c>
    </row>
    <row r="43" hidden="1">
      <c r="A43" s="6" t="inlineStr">
        <is>
          <t>Monster Defense (auto-computed from Content Type) — computed, do not edit</t>
        </is>
      </c>
      <c r="B43" s="8">
        <f>IF(Inputs!$B$4="Chapter Boss",3200+50*(Inputs!$B$40-28),IF(Inputs!$B$4="World Boss",62100,IF(Inputs!$B$4="Weapon Dungeon",Inputs!$B$41*50,IF(Inputs!$B$4="Enhancement Dungeon",950+Inputs!$B$41*50,IF(OR(Inputs!$B$4="EXP Dungeon",Inputs!$B$4="Equipment Dungeon"),250+Inputs!$B$41*50,IF(Inputs!$B$4="Hero Dungeon",650+Inputs!$B$41*50,IF(OR(Inputs!$B$4="Breakthrough",Inputs!$B$4="Chapter Hunt"),4860+20*Inputs!$B$42,Inputs!$B$8)))))))</f>
        <v/>
      </c>
    </row>
    <row r="44" hidden="1">
      <c r="A44" s="6" t="inlineStr">
        <is>
          <t>Fixed Fight Duration (auto-computed from Content Type; 0 = steady-state) — computed, do not edit</t>
        </is>
      </c>
      <c r="B44" s="8">
        <f>IF(Inputs!$B$4="Chapter Hunt",0,IF(Inputs!$B$4="Weapon Dungeon",22,IF(Inputs!$B$4="Equipment Dungeon",40,IF(Inputs!$B$4="Enhancement Dungeon",25,IF(Inputs!$B$4="Hero Dungeon",50,IF(Inputs!$B$4="EXP Dungeon",40,IF(Inputs!$B$4="World Boss",75,IF(Inputs!$B$4="Chapter Boss",70,IF(Inputs!$B$4="Breakthrough",40,0)))))))))</f>
        <v/>
      </c>
    </row>
    <row r="45" hidden="1">
      <c r="A45" s="6" t="inlineStr">
        <is>
          <t>Boss/Normal Weight % (parsed from Boss/Normal Emphasis) — computed, do not edit</t>
        </is>
      </c>
      <c r="B45" s="8">
        <f>IF(Inputs!$B$36="More Normal",70,IF(Inputs!$B$36="A Little More Normal",60,IF(Inputs!$B$36="Equal",50,IF(Inputs!$B$36="A Little More Boss",40,IF(Inputs!$B$36="More Boss",30,60)))))</f>
        <v/>
      </c>
    </row>
    <row r="46">
      <c r="A46" s="9" t="inlineStr">
        <is>
          <t>Equipped Artifacts (up to 4)</t>
        </is>
      </c>
    </row>
    <row r="47">
      <c r="A47" s="6" t="inlineStr">
        <is>
          <t>Slot 1</t>
        </is>
      </c>
      <c r="B47" s="8">
        <f>INDEX($C$47:$L$47,MATCH($B$4,$C$2:$L$2,0))</f>
        <v/>
      </c>
      <c r="C47" s="7" t="inlineStr">
        <is>
          <t>(none)</t>
        </is>
      </c>
      <c r="D47" s="7" t="inlineStr">
        <is>
          <t>(none)</t>
        </is>
      </c>
      <c r="E47" s="7" t="inlineStr">
        <is>
          <t>(none)</t>
        </is>
      </c>
      <c r="F47" s="7" t="inlineStr">
        <is>
          <t>(none)</t>
        </is>
      </c>
      <c r="G47" s="7" t="inlineStr">
        <is>
          <t>(none)</t>
        </is>
      </c>
      <c r="H47" s="7" t="inlineStr">
        <is>
          <t>(none)</t>
        </is>
      </c>
      <c r="I47" s="7" t="inlineStr">
        <is>
          <t>(none)</t>
        </is>
      </c>
      <c r="J47" s="7" t="inlineStr">
        <is>
          <t>(none)</t>
        </is>
      </c>
      <c r="K47" s="7" t="inlineStr">
        <is>
          <t>(none)</t>
        </is>
      </c>
      <c r="L47" s="7" t="inlineStr">
        <is>
          <t>(none)</t>
        </is>
      </c>
    </row>
    <row r="48">
      <c r="A48" s="6" t="inlineStr">
        <is>
          <t>Slot 2</t>
        </is>
      </c>
      <c r="B48" s="8">
        <f>INDEX($C$48:$L$48,MATCH($B$4,$C$2:$L$2,0))</f>
        <v/>
      </c>
      <c r="C48" s="7" t="inlineStr">
        <is>
          <t>(none)</t>
        </is>
      </c>
      <c r="D48" s="7" t="inlineStr">
        <is>
          <t>(none)</t>
        </is>
      </c>
      <c r="E48" s="7" t="inlineStr">
        <is>
          <t>(none)</t>
        </is>
      </c>
      <c r="F48" s="7" t="inlineStr">
        <is>
          <t>(none)</t>
        </is>
      </c>
      <c r="G48" s="7" t="inlineStr">
        <is>
          <t>(none)</t>
        </is>
      </c>
      <c r="H48" s="7" t="inlineStr">
        <is>
          <t>(none)</t>
        </is>
      </c>
      <c r="I48" s="7" t="inlineStr">
        <is>
          <t>(none)</t>
        </is>
      </c>
      <c r="J48" s="7" t="inlineStr">
        <is>
          <t>(none)</t>
        </is>
      </c>
      <c r="K48" s="7" t="inlineStr">
        <is>
          <t>(none)</t>
        </is>
      </c>
      <c r="L48" s="7" t="inlineStr">
        <is>
          <t>(none)</t>
        </is>
      </c>
    </row>
    <row r="49">
      <c r="A49" s="6" t="inlineStr">
        <is>
          <t>Slot 3</t>
        </is>
      </c>
      <c r="B49" s="8">
        <f>INDEX($C$49:$L$49,MATCH($B$4,$C$2:$L$2,0))</f>
        <v/>
      </c>
      <c r="C49" s="7" t="inlineStr">
        <is>
          <t>(none)</t>
        </is>
      </c>
      <c r="D49" s="7" t="inlineStr">
        <is>
          <t>(none)</t>
        </is>
      </c>
      <c r="E49" s="7" t="inlineStr">
        <is>
          <t>(none)</t>
        </is>
      </c>
      <c r="F49" s="7" t="inlineStr">
        <is>
          <t>(none)</t>
        </is>
      </c>
      <c r="G49" s="7" t="inlineStr">
        <is>
          <t>(none)</t>
        </is>
      </c>
      <c r="H49" s="7" t="inlineStr">
        <is>
          <t>(none)</t>
        </is>
      </c>
      <c r="I49" s="7" t="inlineStr">
        <is>
          <t>(none)</t>
        </is>
      </c>
      <c r="J49" s="7" t="inlineStr">
        <is>
          <t>(none)</t>
        </is>
      </c>
      <c r="K49" s="7" t="inlineStr">
        <is>
          <t>(none)</t>
        </is>
      </c>
      <c r="L49" s="7" t="inlineStr">
        <is>
          <t>(none)</t>
        </is>
      </c>
    </row>
    <row r="50">
      <c r="A50" s="6" t="inlineStr">
        <is>
          <t>Slot 4</t>
        </is>
      </c>
      <c r="B50" s="8">
        <f>INDEX($C$50:$L$50,MATCH($B$4,$C$2:$L$2,0))</f>
        <v/>
      </c>
      <c r="C50" s="7" t="inlineStr">
        <is>
          <t>(none)</t>
        </is>
      </c>
      <c r="D50" s="7" t="inlineStr">
        <is>
          <t>(none)</t>
        </is>
      </c>
      <c r="E50" s="7" t="inlineStr">
        <is>
          <t>(none)</t>
        </is>
      </c>
      <c r="F50" s="7" t="inlineStr">
        <is>
          <t>(none)</t>
        </is>
      </c>
      <c r="G50" s="7" t="inlineStr">
        <is>
          <t>(none)</t>
        </is>
      </c>
      <c r="H50" s="7" t="inlineStr">
        <is>
          <t>(none)</t>
        </is>
      </c>
      <c r="I50" s="7" t="inlineStr">
        <is>
          <t>(none)</t>
        </is>
      </c>
      <c r="J50" s="7" t="inlineStr">
        <is>
          <t>(none)</t>
        </is>
      </c>
      <c r="K50" s="7" t="inlineStr">
        <is>
          <t>(none)</t>
        </is>
      </c>
      <c r="L50" s="7" t="inlineStr">
        <is>
          <t>(none)</t>
        </is>
      </c>
    </row>
  </sheetData>
  <dataValidations count="3">
    <dataValidation sqref="B4" showDropDown="0" showInputMessage="0" showErrorMessage="0" allowBlank="0" type="list">
      <formula1>"Chapter Boss,Breakthrough,PvP,EXP Dungeon,Equipment Dungeon,Weapon Dungeon,Enhancement Dungeon,Hero Dungeon,World Boss,Chapter Hunt"</formula1>
    </dataValidation>
    <dataValidation sqref="D36 J36" showDropDown="0" showInputMessage="0" showErrorMessage="0" allowBlank="0" type="list">
      <formula1>"More Normal,A Little More Normal,Equal,A Little More Boss,More Boss"</formula1>
    </dataValidation>
    <dataValidation sqref="C47 C48 C49 C50 D47 D48 D49 D50 E47 E48 E49 E50 F47 F48 F49 F50 G47 G48 G49 G50 H47 H48 H49 H50 I47 I48 I49 I50 J47 J48 J49 J50 K47 K48 K49 K50 L47 L48 L49 L50" showDropDown="0" showInputMessage="0" showErrorMessage="0" allowBlank="0" type="list">
      <formula1>=$N$1:$N$37</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Y30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8" customWidth="1" min="1" max="1"/>
  </cols>
  <sheetData>
    <row r="1">
      <c r="A1" s="5" t="inlineStr">
        <is>
          <t>Level</t>
        </is>
      </c>
      <c r="B1" s="5" t="inlineStr">
        <is>
          <t>F0</t>
        </is>
      </c>
      <c r="C1" s="5" t="inlineStr">
        <is>
          <t>F1</t>
        </is>
      </c>
      <c r="D1" s="5" t="inlineStr">
        <is>
          <t>F2</t>
        </is>
      </c>
      <c r="E1" s="5" t="inlineStr">
        <is>
          <t>F3</t>
        </is>
      </c>
      <c r="F1" s="5" t="inlineStr">
        <is>
          <t>F4</t>
        </is>
      </c>
      <c r="G1" s="5" t="inlineStr">
        <is>
          <t>F5</t>
        </is>
      </c>
      <c r="H1" s="5" t="inlineStr">
        <is>
          <t>F6</t>
        </is>
      </c>
      <c r="I1" s="5" t="inlineStr">
        <is>
          <t>F7</t>
        </is>
      </c>
      <c r="J1" s="5" t="inlineStr">
        <is>
          <t>F8</t>
        </is>
      </c>
      <c r="K1" s="5" t="inlineStr">
        <is>
          <t>F9</t>
        </is>
      </c>
      <c r="L1" s="5" t="inlineStr">
        <is>
          <t>F10</t>
        </is>
      </c>
      <c r="M1" s="5" t="inlineStr">
        <is>
          <t>F11</t>
        </is>
      </c>
      <c r="N1" s="5" t="inlineStr">
        <is>
          <t>F12</t>
        </is>
      </c>
      <c r="O1" s="5" t="inlineStr">
        <is>
          <t>F13</t>
        </is>
      </c>
      <c r="P1" s="5" t="inlineStr">
        <is>
          <t>F14</t>
        </is>
      </c>
      <c r="Q1" s="5" t="inlineStr">
        <is>
          <t>F15</t>
        </is>
      </c>
      <c r="R1" s="5" t="inlineStr">
        <is>
          <t>F16</t>
        </is>
      </c>
      <c r="S1" s="5" t="inlineStr">
        <is>
          <t>F17</t>
        </is>
      </c>
      <c r="T1" s="5" t="inlineStr">
        <is>
          <t>F18</t>
        </is>
      </c>
      <c r="U1" s="5" t="inlineStr">
        <is>
          <t>F19</t>
        </is>
      </c>
      <c r="V1" s="5" t="inlineStr">
        <is>
          <t>F20</t>
        </is>
      </c>
      <c r="W1" s="5" t="inlineStr">
        <is>
          <t>F21</t>
        </is>
      </c>
      <c r="X1" s="5" t="inlineStr">
        <is>
          <t>F22</t>
        </is>
      </c>
      <c r="Y1" s="5" t="inlineStr">
        <is>
          <t>F23</t>
        </is>
      </c>
    </row>
    <row r="2">
      <c r="A2" t="n">
        <v>1</v>
      </c>
      <c r="B2" t="n">
        <v>0</v>
      </c>
      <c r="C2" t="n">
        <v>1000</v>
      </c>
      <c r="D2" t="n">
        <v>1000</v>
      </c>
      <c r="E2" t="n">
        <v>1000</v>
      </c>
      <c r="F2" t="n">
        <v>1000</v>
      </c>
      <c r="G2" t="n">
        <v>1000</v>
      </c>
      <c r="H2" t="n">
        <v>1000</v>
      </c>
      <c r="I2" t="n">
        <v>1000</v>
      </c>
      <c r="J2" t="n">
        <v>1000</v>
      </c>
      <c r="K2" t="n">
        <v>1000</v>
      </c>
      <c r="L2" t="n">
        <v>1000</v>
      </c>
      <c r="M2" t="n">
        <v>1000</v>
      </c>
      <c r="N2" t="n">
        <v>1000</v>
      </c>
      <c r="O2" t="n">
        <v>1000</v>
      </c>
      <c r="P2" t="n">
        <v>1000</v>
      </c>
      <c r="Q2" t="n">
        <v>1000</v>
      </c>
      <c r="R2" t="n">
        <v>1000</v>
      </c>
      <c r="S2" t="n">
        <v>1000</v>
      </c>
      <c r="T2" t="n">
        <v>1000</v>
      </c>
      <c r="U2" t="n">
        <v>1000</v>
      </c>
      <c r="V2" t="n">
        <v>1000</v>
      </c>
      <c r="W2" t="n">
        <v>1000</v>
      </c>
      <c r="X2" t="n">
        <v>1000</v>
      </c>
      <c r="Y2" t="n">
        <v>1000</v>
      </c>
    </row>
    <row r="3">
      <c r="A3" t="n">
        <v>2</v>
      </c>
      <c r="B3" t="n">
        <v>0</v>
      </c>
      <c r="C3" t="n">
        <v>1015</v>
      </c>
      <c r="D3" t="n">
        <v>1020</v>
      </c>
      <c r="E3" t="n">
        <v>1030</v>
      </c>
      <c r="F3" t="n">
        <v>1040</v>
      </c>
      <c r="G3" t="n">
        <v>1050</v>
      </c>
      <c r="H3" t="n">
        <v>1060</v>
      </c>
      <c r="I3" t="n">
        <v>1070</v>
      </c>
      <c r="J3" t="n">
        <v>1020</v>
      </c>
      <c r="K3" t="n">
        <v>1020</v>
      </c>
      <c r="L3" t="n">
        <v>1020</v>
      </c>
      <c r="M3" t="n">
        <v>1000</v>
      </c>
      <c r="N3" t="n">
        <v>1010</v>
      </c>
      <c r="O3" t="n">
        <v>1020</v>
      </c>
      <c r="P3" t="n">
        <v>1030</v>
      </c>
      <c r="Q3" t="n">
        <v>1040</v>
      </c>
      <c r="R3" t="n">
        <v>1050</v>
      </c>
      <c r="S3" t="n">
        <v>1060</v>
      </c>
      <c r="T3" t="n">
        <v>1070</v>
      </c>
      <c r="U3" t="n">
        <v>1080</v>
      </c>
      <c r="V3" t="n">
        <v>1010</v>
      </c>
      <c r="W3" t="n">
        <v>1008</v>
      </c>
      <c r="X3" t="n">
        <v>1006</v>
      </c>
      <c r="Y3" t="n">
        <v>1100</v>
      </c>
    </row>
    <row r="4">
      <c r="A4" t="n">
        <v>3</v>
      </c>
      <c r="B4" t="n">
        <v>0</v>
      </c>
      <c r="C4" t="n">
        <v>1031</v>
      </c>
      <c r="D4" t="n">
        <v>1041</v>
      </c>
      <c r="E4" t="n">
        <v>1061</v>
      </c>
      <c r="F4" t="n">
        <v>1082</v>
      </c>
      <c r="G4" t="n">
        <v>1103</v>
      </c>
      <c r="H4" t="n">
        <v>1124</v>
      </c>
      <c r="I4" t="n">
        <v>1145</v>
      </c>
      <c r="J4" t="n">
        <v>1030</v>
      </c>
      <c r="K4" t="n">
        <v>1041</v>
      </c>
      <c r="L4" t="n">
        <v>1030</v>
      </c>
      <c r="M4" t="n">
        <v>1000</v>
      </c>
      <c r="N4" t="n">
        <v>1015</v>
      </c>
      <c r="O4" t="n">
        <v>1030</v>
      </c>
      <c r="P4" t="n">
        <v>1045</v>
      </c>
      <c r="Q4" t="n">
        <v>1060</v>
      </c>
      <c r="R4" t="n">
        <v>1075</v>
      </c>
      <c r="S4" t="n">
        <v>1090</v>
      </c>
      <c r="T4" t="n">
        <v>1105</v>
      </c>
      <c r="U4" t="n">
        <v>1120</v>
      </c>
      <c r="V4" t="n">
        <v>1020</v>
      </c>
      <c r="W4" t="n">
        <v>1012</v>
      </c>
      <c r="X4" t="n">
        <v>1009</v>
      </c>
      <c r="Y4" t="n">
        <v>1150</v>
      </c>
    </row>
    <row r="5">
      <c r="A5" t="n">
        <v>4</v>
      </c>
      <c r="B5" t="n">
        <v>0</v>
      </c>
      <c r="C5" t="n">
        <v>1047</v>
      </c>
      <c r="D5" t="n">
        <v>1062</v>
      </c>
      <c r="E5" t="n">
        <v>1093</v>
      </c>
      <c r="F5" t="n">
        <v>1126</v>
      </c>
      <c r="G5" t="n">
        <v>1159</v>
      </c>
      <c r="H5" t="n">
        <v>1192</v>
      </c>
      <c r="I5" t="n">
        <v>1226</v>
      </c>
      <c r="J5" t="n">
        <v>1040</v>
      </c>
      <c r="K5" t="n">
        <v>1062</v>
      </c>
      <c r="L5" t="n">
        <v>1040</v>
      </c>
      <c r="M5" t="n">
        <v>1000</v>
      </c>
      <c r="N5" t="n">
        <v>1020</v>
      </c>
      <c r="O5" t="n">
        <v>1040</v>
      </c>
      <c r="P5" t="n">
        <v>1060</v>
      </c>
      <c r="Q5" t="n">
        <v>1080</v>
      </c>
      <c r="R5" t="n">
        <v>1100</v>
      </c>
      <c r="S5" t="n">
        <v>1120</v>
      </c>
      <c r="T5" t="n">
        <v>1140</v>
      </c>
      <c r="U5" t="n">
        <v>1160</v>
      </c>
      <c r="V5" t="n">
        <v>1030</v>
      </c>
      <c r="W5" t="n">
        <v>1016</v>
      </c>
      <c r="X5" t="n">
        <v>1012</v>
      </c>
      <c r="Y5" t="n">
        <v>1200</v>
      </c>
    </row>
    <row r="6">
      <c r="A6" t="n">
        <v>5</v>
      </c>
      <c r="B6" t="n">
        <v>0</v>
      </c>
      <c r="C6" t="n">
        <v>1063</v>
      </c>
      <c r="D6" t="n">
        <v>1084</v>
      </c>
      <c r="E6" t="n">
        <v>1126</v>
      </c>
      <c r="F6" t="n">
        <v>1172</v>
      </c>
      <c r="G6" t="n">
        <v>1217</v>
      </c>
      <c r="H6" t="n">
        <v>1264</v>
      </c>
      <c r="I6" t="n">
        <v>1312</v>
      </c>
      <c r="J6" t="n">
        <v>1050</v>
      </c>
      <c r="K6" t="n">
        <v>1084</v>
      </c>
      <c r="L6" t="n">
        <v>1050</v>
      </c>
      <c r="M6" t="n">
        <v>1000</v>
      </c>
      <c r="N6" t="n">
        <v>1025</v>
      </c>
      <c r="O6" t="n">
        <v>1050</v>
      </c>
      <c r="P6" t="n">
        <v>1075</v>
      </c>
      <c r="Q6" t="n">
        <v>1100</v>
      </c>
      <c r="R6" t="n">
        <v>1125</v>
      </c>
      <c r="S6" t="n">
        <v>1150</v>
      </c>
      <c r="T6" t="n">
        <v>1175</v>
      </c>
      <c r="U6" t="n">
        <v>1200</v>
      </c>
      <c r="V6" t="n">
        <v>1040</v>
      </c>
      <c r="W6" t="n">
        <v>1020</v>
      </c>
      <c r="X6" t="n">
        <v>1015</v>
      </c>
      <c r="Y6" t="n">
        <v>1250</v>
      </c>
    </row>
    <row r="7">
      <c r="A7" t="n">
        <v>6</v>
      </c>
      <c r="B7" t="n">
        <v>0</v>
      </c>
      <c r="C7" t="n">
        <v>1079</v>
      </c>
      <c r="D7" t="n">
        <v>1106</v>
      </c>
      <c r="E7" t="n">
        <v>1160</v>
      </c>
      <c r="F7" t="n">
        <v>1219</v>
      </c>
      <c r="G7" t="n">
        <v>1278</v>
      </c>
      <c r="H7" t="n">
        <v>1340</v>
      </c>
      <c r="I7" t="n">
        <v>1404</v>
      </c>
      <c r="J7" t="n">
        <v>1060</v>
      </c>
      <c r="K7" t="n">
        <v>1106</v>
      </c>
      <c r="L7" t="n">
        <v>1060</v>
      </c>
      <c r="M7" t="n">
        <v>1000</v>
      </c>
      <c r="N7" t="n">
        <v>1030</v>
      </c>
      <c r="O7" t="n">
        <v>1060</v>
      </c>
      <c r="P7" t="n">
        <v>1090</v>
      </c>
      <c r="Q7" t="n">
        <v>1120</v>
      </c>
      <c r="R7" t="n">
        <v>1150</v>
      </c>
      <c r="S7" t="n">
        <v>1180</v>
      </c>
      <c r="T7" t="n">
        <v>1210</v>
      </c>
      <c r="U7" t="n">
        <v>1240</v>
      </c>
      <c r="V7" t="n">
        <v>1050</v>
      </c>
      <c r="W7" t="n">
        <v>1024</v>
      </c>
      <c r="X7" t="n">
        <v>1018</v>
      </c>
      <c r="Y7" t="n">
        <v>1300</v>
      </c>
    </row>
    <row r="8">
      <c r="A8" t="n">
        <v>7</v>
      </c>
      <c r="B8" t="n">
        <v>0</v>
      </c>
      <c r="C8" t="n">
        <v>1096</v>
      </c>
      <c r="D8" t="n">
        <v>1129</v>
      </c>
      <c r="E8" t="n">
        <v>1195</v>
      </c>
      <c r="F8" t="n">
        <v>1268</v>
      </c>
      <c r="G8" t="n">
        <v>1342</v>
      </c>
      <c r="H8" t="n">
        <v>1421</v>
      </c>
      <c r="I8" t="n">
        <v>1503</v>
      </c>
      <c r="J8" t="n">
        <v>1070</v>
      </c>
      <c r="K8" t="n">
        <v>1129</v>
      </c>
      <c r="L8" t="n">
        <v>1070</v>
      </c>
      <c r="M8" t="n">
        <v>1000</v>
      </c>
      <c r="N8" t="n">
        <v>1035</v>
      </c>
      <c r="O8" t="n">
        <v>1070</v>
      </c>
      <c r="P8" t="n">
        <v>1105</v>
      </c>
      <c r="Q8" t="n">
        <v>1140</v>
      </c>
      <c r="R8" t="n">
        <v>1175</v>
      </c>
      <c r="S8" t="n">
        <v>1210</v>
      </c>
      <c r="T8" t="n">
        <v>1245</v>
      </c>
      <c r="U8" t="n">
        <v>1280</v>
      </c>
      <c r="V8" t="n">
        <v>1060</v>
      </c>
      <c r="W8" t="n">
        <v>1028</v>
      </c>
      <c r="X8" t="n">
        <v>1021</v>
      </c>
      <c r="Y8" t="n">
        <v>1350</v>
      </c>
    </row>
    <row r="9">
      <c r="A9" t="n">
        <v>8</v>
      </c>
      <c r="B9" t="n">
        <v>0</v>
      </c>
      <c r="C9" t="n">
        <v>1113</v>
      </c>
      <c r="D9" t="n">
        <v>1152</v>
      </c>
      <c r="E9" t="n">
        <v>1231</v>
      </c>
      <c r="F9" t="n">
        <v>1319</v>
      </c>
      <c r="G9" t="n">
        <v>1410</v>
      </c>
      <c r="H9" t="n">
        <v>1507</v>
      </c>
      <c r="I9" t="n">
        <v>1609</v>
      </c>
      <c r="J9" t="n">
        <v>1080</v>
      </c>
      <c r="K9" t="n">
        <v>1152</v>
      </c>
      <c r="L9" t="n">
        <v>1080</v>
      </c>
      <c r="M9" t="n">
        <v>1000</v>
      </c>
      <c r="N9" t="n">
        <v>1040</v>
      </c>
      <c r="O9" t="n">
        <v>1080</v>
      </c>
      <c r="P9" t="n">
        <v>1120</v>
      </c>
      <c r="Q9" t="n">
        <v>1160</v>
      </c>
      <c r="R9" t="n">
        <v>1200</v>
      </c>
      <c r="S9" t="n">
        <v>1240</v>
      </c>
      <c r="T9" t="n">
        <v>1280</v>
      </c>
      <c r="U9" t="n">
        <v>1320</v>
      </c>
      <c r="V9" t="n">
        <v>1070</v>
      </c>
      <c r="W9" t="n">
        <v>1032</v>
      </c>
      <c r="X9" t="n">
        <v>1024</v>
      </c>
      <c r="Y9" t="n">
        <v>1400</v>
      </c>
    </row>
    <row r="10">
      <c r="A10" t="n">
        <v>9</v>
      </c>
      <c r="B10" t="n">
        <v>0</v>
      </c>
      <c r="C10" t="n">
        <v>1130</v>
      </c>
      <c r="D10" t="n">
        <v>1176</v>
      </c>
      <c r="E10" t="n">
        <v>1268</v>
      </c>
      <c r="F10" t="n">
        <v>1372</v>
      </c>
      <c r="G10" t="n">
        <v>1481</v>
      </c>
      <c r="H10" t="n">
        <v>1598</v>
      </c>
      <c r="I10" t="n">
        <v>1722</v>
      </c>
      <c r="J10" t="n">
        <v>1090</v>
      </c>
      <c r="K10" t="n">
        <v>1176</v>
      </c>
      <c r="L10" t="n">
        <v>1090</v>
      </c>
      <c r="M10" t="n">
        <v>1000</v>
      </c>
      <c r="N10" t="n">
        <v>1045</v>
      </c>
      <c r="O10" t="n">
        <v>1090</v>
      </c>
      <c r="P10" t="n">
        <v>1135</v>
      </c>
      <c r="Q10" t="n">
        <v>1180</v>
      </c>
      <c r="R10" t="n">
        <v>1225</v>
      </c>
      <c r="S10" t="n">
        <v>1270</v>
      </c>
      <c r="T10" t="n">
        <v>1315</v>
      </c>
      <c r="U10" t="n">
        <v>1360</v>
      </c>
      <c r="V10" t="n">
        <v>1080</v>
      </c>
      <c r="W10" t="n">
        <v>1036</v>
      </c>
      <c r="X10" t="n">
        <v>1027</v>
      </c>
      <c r="Y10" t="n">
        <v>1450</v>
      </c>
    </row>
    <row r="11">
      <c r="A11" t="n">
        <v>10</v>
      </c>
      <c r="B11" t="n">
        <v>0</v>
      </c>
      <c r="C11" t="n">
        <v>1147</v>
      </c>
      <c r="D11" t="n">
        <v>1200</v>
      </c>
      <c r="E11" t="n">
        <v>1307</v>
      </c>
      <c r="F11" t="n">
        <v>1427</v>
      </c>
      <c r="G11" t="n">
        <v>1556</v>
      </c>
      <c r="H11" t="n">
        <v>1694</v>
      </c>
      <c r="I11" t="n">
        <v>1843</v>
      </c>
      <c r="J11" t="n">
        <v>1100</v>
      </c>
      <c r="K11" t="n">
        <v>1200</v>
      </c>
      <c r="L11" t="n">
        <v>1100</v>
      </c>
      <c r="M11" t="n">
        <v>1000</v>
      </c>
      <c r="N11" t="n">
        <v>1050</v>
      </c>
      <c r="O11" t="n">
        <v>1100</v>
      </c>
      <c r="P11" t="n">
        <v>1150</v>
      </c>
      <c r="Q11" t="n">
        <v>1200</v>
      </c>
      <c r="R11" t="n">
        <v>1250</v>
      </c>
      <c r="S11" t="n">
        <v>1300</v>
      </c>
      <c r="T11" t="n">
        <v>1350</v>
      </c>
      <c r="U11" t="n">
        <v>1400</v>
      </c>
      <c r="V11" t="n">
        <v>1090</v>
      </c>
      <c r="W11" t="n">
        <v>1040</v>
      </c>
      <c r="X11" t="n">
        <v>1030</v>
      </c>
      <c r="Y11" t="n">
        <v>1500</v>
      </c>
    </row>
    <row r="12">
      <c r="A12" t="n">
        <v>11</v>
      </c>
      <c r="B12" t="n">
        <v>0</v>
      </c>
      <c r="C12" t="n">
        <v>1165</v>
      </c>
      <c r="D12" t="n">
        <v>1224</v>
      </c>
      <c r="E12" t="n">
        <v>1347</v>
      </c>
      <c r="F12" t="n">
        <v>1485</v>
      </c>
      <c r="G12" t="n">
        <v>1634</v>
      </c>
      <c r="H12" t="n">
        <v>1796</v>
      </c>
      <c r="I12" t="n">
        <v>1973</v>
      </c>
      <c r="J12" t="n">
        <v>1110</v>
      </c>
      <c r="K12" t="n">
        <v>1224</v>
      </c>
      <c r="L12" t="n">
        <v>1110</v>
      </c>
      <c r="M12" t="n">
        <v>1000</v>
      </c>
      <c r="N12" t="n">
        <v>1055</v>
      </c>
      <c r="O12" t="n">
        <v>1110</v>
      </c>
      <c r="P12" t="n">
        <v>1165</v>
      </c>
      <c r="Q12" t="n">
        <v>1220</v>
      </c>
      <c r="R12" t="n">
        <v>1275</v>
      </c>
      <c r="S12" t="n">
        <v>1330</v>
      </c>
      <c r="T12" t="n">
        <v>1385</v>
      </c>
      <c r="U12" t="n">
        <v>1440</v>
      </c>
      <c r="V12" t="n">
        <v>1100</v>
      </c>
      <c r="W12" t="n">
        <v>1044</v>
      </c>
      <c r="X12" t="n">
        <v>1033</v>
      </c>
      <c r="Y12" t="n">
        <v>1550</v>
      </c>
    </row>
    <row r="13">
      <c r="A13" t="n">
        <v>12</v>
      </c>
      <c r="B13" t="n">
        <v>0</v>
      </c>
      <c r="C13" t="n">
        <v>1183</v>
      </c>
      <c r="D13" t="n">
        <v>1249</v>
      </c>
      <c r="E13" t="n">
        <v>1388</v>
      </c>
      <c r="F13" t="n">
        <v>1545</v>
      </c>
      <c r="G13" t="n">
        <v>1716</v>
      </c>
      <c r="H13" t="n">
        <v>1904</v>
      </c>
      <c r="I13" t="n">
        <v>2112</v>
      </c>
      <c r="J13" t="n">
        <v>1120</v>
      </c>
      <c r="K13" t="n">
        <v>1249</v>
      </c>
      <c r="L13" t="n">
        <v>1120</v>
      </c>
      <c r="M13" t="n">
        <v>1000</v>
      </c>
      <c r="N13" t="n">
        <v>1060</v>
      </c>
      <c r="O13" t="n">
        <v>1120</v>
      </c>
      <c r="P13" t="n">
        <v>1180</v>
      </c>
      <c r="Q13" t="n">
        <v>1240</v>
      </c>
      <c r="R13" t="n">
        <v>1300</v>
      </c>
      <c r="S13" t="n">
        <v>1360</v>
      </c>
      <c r="T13" t="n">
        <v>1420</v>
      </c>
      <c r="U13" t="n">
        <v>1480</v>
      </c>
      <c r="V13" t="n">
        <v>1110</v>
      </c>
      <c r="W13" t="n">
        <v>1048</v>
      </c>
      <c r="X13" t="n">
        <v>1036</v>
      </c>
      <c r="Y13" t="n">
        <v>1600</v>
      </c>
    </row>
    <row r="14">
      <c r="A14" t="n">
        <v>13</v>
      </c>
      <c r="B14" t="n">
        <v>0</v>
      </c>
      <c r="C14" t="n">
        <v>1201</v>
      </c>
      <c r="D14" t="n">
        <v>1274</v>
      </c>
      <c r="E14" t="n">
        <v>1430</v>
      </c>
      <c r="F14" t="n">
        <v>1607</v>
      </c>
      <c r="G14" t="n">
        <v>1802</v>
      </c>
      <c r="H14" t="n">
        <v>2019</v>
      </c>
      <c r="I14" t="n">
        <v>2260</v>
      </c>
      <c r="J14" t="n">
        <v>1130</v>
      </c>
      <c r="K14" t="n">
        <v>1274</v>
      </c>
      <c r="L14" t="n">
        <v>1130</v>
      </c>
      <c r="M14" t="n">
        <v>1000</v>
      </c>
      <c r="N14" t="n">
        <v>1065</v>
      </c>
      <c r="O14" t="n">
        <v>1130</v>
      </c>
      <c r="P14" t="n">
        <v>1195</v>
      </c>
      <c r="Q14" t="n">
        <v>1260</v>
      </c>
      <c r="R14" t="n">
        <v>1325</v>
      </c>
      <c r="S14" t="n">
        <v>1390</v>
      </c>
      <c r="T14" t="n">
        <v>1455</v>
      </c>
      <c r="U14" t="n">
        <v>1520</v>
      </c>
      <c r="V14" t="n">
        <v>1120</v>
      </c>
      <c r="W14" t="n">
        <v>1052</v>
      </c>
      <c r="X14" t="n">
        <v>1039</v>
      </c>
      <c r="Y14" t="n">
        <v>1650</v>
      </c>
    </row>
    <row r="15">
      <c r="A15" t="n">
        <v>14</v>
      </c>
      <c r="B15" t="n">
        <v>0</v>
      </c>
      <c r="C15" t="n">
        <v>1220</v>
      </c>
      <c r="D15" t="n">
        <v>1300</v>
      </c>
      <c r="E15" t="n">
        <v>1473</v>
      </c>
      <c r="F15" t="n">
        <v>1672</v>
      </c>
      <c r="G15" t="n">
        <v>1893</v>
      </c>
      <c r="H15" t="n">
        <v>2141</v>
      </c>
      <c r="I15" t="n">
        <v>2419</v>
      </c>
      <c r="J15" t="n">
        <v>1140</v>
      </c>
      <c r="K15" t="n">
        <v>1300</v>
      </c>
      <c r="L15" t="n">
        <v>1140</v>
      </c>
      <c r="M15" t="n">
        <v>1000</v>
      </c>
      <c r="N15" t="n">
        <v>1070</v>
      </c>
      <c r="O15" t="n">
        <v>1140</v>
      </c>
      <c r="P15" t="n">
        <v>1210</v>
      </c>
      <c r="Q15" t="n">
        <v>1280</v>
      </c>
      <c r="R15" t="n">
        <v>1350</v>
      </c>
      <c r="S15" t="n">
        <v>1420</v>
      </c>
      <c r="T15" t="n">
        <v>1490</v>
      </c>
      <c r="U15" t="n">
        <v>1560</v>
      </c>
      <c r="V15" t="n">
        <v>1130</v>
      </c>
      <c r="W15" t="n">
        <v>1056</v>
      </c>
      <c r="X15" t="n">
        <v>1042</v>
      </c>
      <c r="Y15" t="n">
        <v>1700</v>
      </c>
    </row>
    <row r="16">
      <c r="A16" t="n">
        <v>15</v>
      </c>
      <c r="B16" t="n">
        <v>0</v>
      </c>
      <c r="C16" t="n">
        <v>1239</v>
      </c>
      <c r="D16" t="n">
        <v>1326</v>
      </c>
      <c r="E16" t="n">
        <v>1518</v>
      </c>
      <c r="F16" t="n">
        <v>1739</v>
      </c>
      <c r="G16" t="n">
        <v>1988</v>
      </c>
      <c r="H16" t="n">
        <v>2270</v>
      </c>
      <c r="I16" t="n">
        <v>2589</v>
      </c>
      <c r="J16" t="n">
        <v>1150</v>
      </c>
      <c r="K16" t="n">
        <v>1326</v>
      </c>
      <c r="L16" t="n">
        <v>1150</v>
      </c>
      <c r="M16" t="n">
        <v>1000</v>
      </c>
      <c r="N16" t="n">
        <v>1075</v>
      </c>
      <c r="O16" t="n">
        <v>1150</v>
      </c>
      <c r="P16" t="n">
        <v>1225</v>
      </c>
      <c r="Q16" t="n">
        <v>1300</v>
      </c>
      <c r="R16" t="n">
        <v>1375</v>
      </c>
      <c r="S16" t="n">
        <v>1450</v>
      </c>
      <c r="T16" t="n">
        <v>1525</v>
      </c>
      <c r="U16" t="n">
        <v>1600</v>
      </c>
      <c r="V16" t="n">
        <v>1140</v>
      </c>
      <c r="W16" t="n">
        <v>1060</v>
      </c>
      <c r="X16" t="n">
        <v>1045</v>
      </c>
      <c r="Y16" t="n">
        <v>1750</v>
      </c>
    </row>
    <row r="17">
      <c r="A17" t="n">
        <v>16</v>
      </c>
      <c r="B17" t="n">
        <v>0</v>
      </c>
      <c r="C17" t="n">
        <v>1258</v>
      </c>
      <c r="D17" t="n">
        <v>1353</v>
      </c>
      <c r="E17" t="n">
        <v>1564</v>
      </c>
      <c r="F17" t="n">
        <v>1809</v>
      </c>
      <c r="G17" t="n">
        <v>2088</v>
      </c>
      <c r="H17" t="n">
        <v>2407</v>
      </c>
      <c r="I17" t="n">
        <v>2771</v>
      </c>
      <c r="J17" t="n">
        <v>1160</v>
      </c>
      <c r="K17" t="n">
        <v>1353</v>
      </c>
      <c r="L17" t="n">
        <v>1160</v>
      </c>
      <c r="M17" t="n">
        <v>1000</v>
      </c>
      <c r="N17" t="n">
        <v>1080</v>
      </c>
      <c r="O17" t="n">
        <v>1160</v>
      </c>
      <c r="P17" t="n">
        <v>1240</v>
      </c>
      <c r="Q17" t="n">
        <v>1320</v>
      </c>
      <c r="R17" t="n">
        <v>1400</v>
      </c>
      <c r="S17" t="n">
        <v>1480</v>
      </c>
      <c r="T17" t="n">
        <v>1560</v>
      </c>
      <c r="U17" t="n">
        <v>1640</v>
      </c>
      <c r="V17" t="n">
        <v>1150</v>
      </c>
      <c r="W17" t="n">
        <v>1064</v>
      </c>
      <c r="X17" t="n">
        <v>1048</v>
      </c>
      <c r="Y17" t="n">
        <v>1800</v>
      </c>
    </row>
    <row r="18">
      <c r="A18" t="n">
        <v>17</v>
      </c>
      <c r="B18" t="n">
        <v>0</v>
      </c>
      <c r="C18" t="n">
        <v>1277</v>
      </c>
      <c r="D18" t="n">
        <v>1381</v>
      </c>
      <c r="E18" t="n">
        <v>1611</v>
      </c>
      <c r="F18" t="n">
        <v>1882</v>
      </c>
      <c r="G18" t="n">
        <v>2193</v>
      </c>
      <c r="H18" t="n">
        <v>2552</v>
      </c>
      <c r="I18" t="n">
        <v>2965</v>
      </c>
      <c r="J18" t="n">
        <v>1170</v>
      </c>
      <c r="K18" t="n">
        <v>1381</v>
      </c>
      <c r="L18" t="n">
        <v>1170</v>
      </c>
      <c r="M18" t="n">
        <v>1000</v>
      </c>
      <c r="N18" t="n">
        <v>1085</v>
      </c>
      <c r="O18" t="n">
        <v>1170</v>
      </c>
      <c r="P18" t="n">
        <v>1255</v>
      </c>
      <c r="Q18" t="n">
        <v>1340</v>
      </c>
      <c r="R18" t="n">
        <v>1425</v>
      </c>
      <c r="S18" t="n">
        <v>1510</v>
      </c>
      <c r="T18" t="n">
        <v>1595</v>
      </c>
      <c r="U18" t="n">
        <v>1680</v>
      </c>
      <c r="V18" t="n">
        <v>1160</v>
      </c>
      <c r="W18" t="n">
        <v>1068</v>
      </c>
      <c r="X18" t="n">
        <v>1051</v>
      </c>
      <c r="Y18" t="n">
        <v>1850</v>
      </c>
    </row>
    <row r="19">
      <c r="A19" t="n">
        <v>18</v>
      </c>
      <c r="B19" t="n">
        <v>0</v>
      </c>
      <c r="C19" t="n">
        <v>1297</v>
      </c>
      <c r="D19" t="n">
        <v>1409</v>
      </c>
      <c r="E19" t="n">
        <v>1660</v>
      </c>
      <c r="F19" t="n">
        <v>1958</v>
      </c>
      <c r="G19" t="n">
        <v>2303</v>
      </c>
      <c r="H19" t="n">
        <v>2706</v>
      </c>
      <c r="I19" t="n">
        <v>3173</v>
      </c>
      <c r="J19" t="n">
        <v>1180</v>
      </c>
      <c r="K19" t="n">
        <v>1409</v>
      </c>
      <c r="L19" t="n">
        <v>1180</v>
      </c>
      <c r="M19" t="n">
        <v>1000</v>
      </c>
      <c r="N19" t="n">
        <v>1090</v>
      </c>
      <c r="O19" t="n">
        <v>1180</v>
      </c>
      <c r="P19" t="n">
        <v>1270</v>
      </c>
      <c r="Q19" t="n">
        <v>1360</v>
      </c>
      <c r="R19" t="n">
        <v>1450</v>
      </c>
      <c r="S19" t="n">
        <v>1540</v>
      </c>
      <c r="T19" t="n">
        <v>1630</v>
      </c>
      <c r="U19" t="n">
        <v>1720</v>
      </c>
      <c r="V19" t="n">
        <v>1170</v>
      </c>
      <c r="W19" t="n">
        <v>1072</v>
      </c>
      <c r="X19" t="n">
        <v>1054</v>
      </c>
      <c r="Y19" t="n">
        <v>1900</v>
      </c>
    </row>
    <row r="20">
      <c r="A20" t="n">
        <v>19</v>
      </c>
      <c r="B20" t="n">
        <v>0</v>
      </c>
      <c r="C20" t="n">
        <v>1317</v>
      </c>
      <c r="D20" t="n">
        <v>1438</v>
      </c>
      <c r="E20" t="n">
        <v>1710</v>
      </c>
      <c r="F20" t="n">
        <v>2037</v>
      </c>
      <c r="G20" t="n">
        <v>2419</v>
      </c>
      <c r="H20" t="n">
        <v>2869</v>
      </c>
      <c r="I20" t="n">
        <v>3396</v>
      </c>
      <c r="J20" t="n">
        <v>1190</v>
      </c>
      <c r="K20" t="n">
        <v>1438</v>
      </c>
      <c r="L20" t="n">
        <v>1190</v>
      </c>
      <c r="M20" t="n">
        <v>1000</v>
      </c>
      <c r="N20" t="n">
        <v>1095</v>
      </c>
      <c r="O20" t="n">
        <v>1190</v>
      </c>
      <c r="P20" t="n">
        <v>1285</v>
      </c>
      <c r="Q20" t="n">
        <v>1380</v>
      </c>
      <c r="R20" t="n">
        <v>1475</v>
      </c>
      <c r="S20" t="n">
        <v>1570</v>
      </c>
      <c r="T20" t="n">
        <v>1665</v>
      </c>
      <c r="U20" t="n">
        <v>1760</v>
      </c>
      <c r="V20" t="n">
        <v>1180</v>
      </c>
      <c r="W20" t="n">
        <v>1076</v>
      </c>
      <c r="X20" t="n">
        <v>1057</v>
      </c>
      <c r="Y20" t="n">
        <v>1950</v>
      </c>
    </row>
    <row r="21">
      <c r="A21" t="n">
        <v>20</v>
      </c>
      <c r="B21" t="n">
        <v>0</v>
      </c>
      <c r="C21" t="n">
        <v>1337</v>
      </c>
      <c r="D21" t="n">
        <v>1467</v>
      </c>
      <c r="E21" t="n">
        <v>1762</v>
      </c>
      <c r="F21" t="n">
        <v>2119</v>
      </c>
      <c r="G21" t="n">
        <v>2540</v>
      </c>
      <c r="H21" t="n">
        <v>3042</v>
      </c>
      <c r="I21" t="n">
        <v>3634</v>
      </c>
      <c r="J21" t="n">
        <v>1200</v>
      </c>
      <c r="K21" t="n">
        <v>1467</v>
      </c>
      <c r="L21" t="n">
        <v>1200</v>
      </c>
      <c r="M21" t="n">
        <v>1000</v>
      </c>
      <c r="N21" t="n">
        <v>1100</v>
      </c>
      <c r="O21" t="n">
        <v>1200</v>
      </c>
      <c r="P21" t="n">
        <v>1300</v>
      </c>
      <c r="Q21" t="n">
        <v>1400</v>
      </c>
      <c r="R21" t="n">
        <v>1500</v>
      </c>
      <c r="S21" t="n">
        <v>1600</v>
      </c>
      <c r="T21" t="n">
        <v>1700</v>
      </c>
      <c r="U21" t="n">
        <v>1800</v>
      </c>
      <c r="V21" t="n">
        <v>1190</v>
      </c>
      <c r="W21" t="n">
        <v>1080</v>
      </c>
      <c r="X21" t="n">
        <v>1060</v>
      </c>
      <c r="Y21" t="n">
        <v>2000</v>
      </c>
    </row>
    <row r="22">
      <c r="A22" t="n">
        <v>21</v>
      </c>
      <c r="B22" t="n">
        <v>0</v>
      </c>
      <c r="C22" t="n">
        <v>1358</v>
      </c>
      <c r="D22" t="n">
        <v>1497</v>
      </c>
      <c r="E22" t="n">
        <v>1815</v>
      </c>
      <c r="F22" t="n">
        <v>2204</v>
      </c>
      <c r="G22" t="n">
        <v>2667</v>
      </c>
      <c r="H22" t="n">
        <v>3225</v>
      </c>
      <c r="I22" t="n">
        <v>3889</v>
      </c>
      <c r="J22" t="n">
        <v>1210</v>
      </c>
      <c r="K22" t="n">
        <v>1497</v>
      </c>
      <c r="L22" t="n">
        <v>1210</v>
      </c>
      <c r="M22" t="n">
        <v>1000</v>
      </c>
      <c r="N22" t="n">
        <v>1105</v>
      </c>
      <c r="O22" t="n">
        <v>1210</v>
      </c>
      <c r="P22" t="n">
        <v>1315</v>
      </c>
      <c r="Q22" t="n">
        <v>1420</v>
      </c>
      <c r="R22" t="n">
        <v>1525</v>
      </c>
      <c r="S22" t="n">
        <v>1630</v>
      </c>
      <c r="T22" t="n">
        <v>1735</v>
      </c>
      <c r="U22" t="n">
        <v>1840</v>
      </c>
      <c r="V22" t="n">
        <v>1200</v>
      </c>
      <c r="W22" t="n">
        <v>1084</v>
      </c>
      <c r="X22" t="n">
        <v>1063</v>
      </c>
      <c r="Y22" t="n">
        <v>2050</v>
      </c>
    </row>
    <row r="23">
      <c r="A23" t="n">
        <v>22</v>
      </c>
      <c r="B23" t="n">
        <v>0</v>
      </c>
      <c r="C23" t="n">
        <v>1379</v>
      </c>
      <c r="D23" t="n">
        <v>1527</v>
      </c>
      <c r="E23" t="n">
        <v>1870</v>
      </c>
      <c r="F23" t="n">
        <v>2293</v>
      </c>
      <c r="G23" t="n">
        <v>2801</v>
      </c>
      <c r="H23" t="n">
        <v>3419</v>
      </c>
      <c r="I23" t="n">
        <v>4162</v>
      </c>
      <c r="J23" t="n">
        <v>1220</v>
      </c>
      <c r="K23" t="n">
        <v>1527</v>
      </c>
      <c r="L23" t="n">
        <v>1220</v>
      </c>
      <c r="M23" t="n">
        <v>1000</v>
      </c>
      <c r="N23" t="n">
        <v>1110</v>
      </c>
      <c r="O23" t="n">
        <v>1220</v>
      </c>
      <c r="P23" t="n">
        <v>1330</v>
      </c>
      <c r="Q23" t="n">
        <v>1440</v>
      </c>
      <c r="R23" t="n">
        <v>1550</v>
      </c>
      <c r="S23" t="n">
        <v>1660</v>
      </c>
      <c r="T23" t="n">
        <v>1770</v>
      </c>
      <c r="U23" t="n">
        <v>1880</v>
      </c>
      <c r="V23" t="n">
        <v>1211</v>
      </c>
      <c r="W23" t="n">
        <v>1088</v>
      </c>
      <c r="X23" t="n">
        <v>1066</v>
      </c>
      <c r="Y23" t="n">
        <v>2100</v>
      </c>
    </row>
    <row r="24">
      <c r="A24" t="n">
        <v>23</v>
      </c>
      <c r="B24" t="n">
        <v>0</v>
      </c>
      <c r="C24" t="n">
        <v>1400</v>
      </c>
      <c r="D24" t="n">
        <v>1558</v>
      </c>
      <c r="E24" t="n">
        <v>1927</v>
      </c>
      <c r="F24" t="n">
        <v>2385</v>
      </c>
      <c r="G24" t="n">
        <v>2942</v>
      </c>
      <c r="H24" t="n">
        <v>3625</v>
      </c>
      <c r="I24" t="n">
        <v>4454</v>
      </c>
      <c r="J24" t="n">
        <v>1230</v>
      </c>
      <c r="K24" t="n">
        <v>1558</v>
      </c>
      <c r="L24" t="n">
        <v>1230</v>
      </c>
      <c r="M24" t="n">
        <v>1000</v>
      </c>
      <c r="N24" t="n">
        <v>1115</v>
      </c>
      <c r="O24" t="n">
        <v>1230</v>
      </c>
      <c r="P24" t="n">
        <v>1345</v>
      </c>
      <c r="Q24" t="n">
        <v>1460</v>
      </c>
      <c r="R24" t="n">
        <v>1575</v>
      </c>
      <c r="S24" t="n">
        <v>1690</v>
      </c>
      <c r="T24" t="n">
        <v>1805</v>
      </c>
      <c r="U24" t="n">
        <v>1920</v>
      </c>
      <c r="V24" t="n">
        <v>1222</v>
      </c>
      <c r="W24" t="n">
        <v>1092</v>
      </c>
      <c r="X24" t="n">
        <v>1069</v>
      </c>
      <c r="Y24" t="n">
        <v>2150</v>
      </c>
    </row>
    <row r="25">
      <c r="A25" t="n">
        <v>24</v>
      </c>
      <c r="B25" t="n">
        <v>0</v>
      </c>
      <c r="C25" t="n">
        <v>1421</v>
      </c>
      <c r="D25" t="n">
        <v>1590</v>
      </c>
      <c r="E25" t="n">
        <v>1985</v>
      </c>
      <c r="F25" t="n">
        <v>2481</v>
      </c>
      <c r="G25" t="n">
        <v>3090</v>
      </c>
      <c r="H25" t="n">
        <v>3843</v>
      </c>
      <c r="I25" t="n">
        <v>4766</v>
      </c>
      <c r="J25" t="n">
        <v>1240</v>
      </c>
      <c r="K25" t="n">
        <v>1590</v>
      </c>
      <c r="L25" t="n">
        <v>1240</v>
      </c>
      <c r="M25" t="n">
        <v>1000</v>
      </c>
      <c r="N25" t="n">
        <v>1120</v>
      </c>
      <c r="O25" t="n">
        <v>1240</v>
      </c>
      <c r="P25" t="n">
        <v>1360</v>
      </c>
      <c r="Q25" t="n">
        <v>1480</v>
      </c>
      <c r="R25" t="n">
        <v>1600</v>
      </c>
      <c r="S25" t="n">
        <v>1720</v>
      </c>
      <c r="T25" t="n">
        <v>1840</v>
      </c>
      <c r="U25" t="n">
        <v>1960</v>
      </c>
      <c r="V25" t="n">
        <v>1233</v>
      </c>
      <c r="W25" t="n">
        <v>1096</v>
      </c>
      <c r="X25" t="n">
        <v>1072</v>
      </c>
      <c r="Y25" t="n">
        <v>2200</v>
      </c>
    </row>
    <row r="26">
      <c r="A26" t="n">
        <v>25</v>
      </c>
      <c r="B26" t="n">
        <v>0</v>
      </c>
      <c r="C26" t="n">
        <v>1443</v>
      </c>
      <c r="D26" t="n">
        <v>1622</v>
      </c>
      <c r="E26" t="n">
        <v>2045</v>
      </c>
      <c r="F26" t="n">
        <v>2581</v>
      </c>
      <c r="G26" t="n">
        <v>3245</v>
      </c>
      <c r="H26" t="n">
        <v>4074</v>
      </c>
      <c r="I26" t="n">
        <v>5100</v>
      </c>
      <c r="J26" t="n">
        <v>1250</v>
      </c>
      <c r="K26" t="n">
        <v>1622</v>
      </c>
      <c r="L26" t="n">
        <v>1250</v>
      </c>
      <c r="M26" t="n">
        <v>1000</v>
      </c>
      <c r="N26" t="n">
        <v>1125</v>
      </c>
      <c r="O26" t="n">
        <v>1250</v>
      </c>
      <c r="P26" t="n">
        <v>1375</v>
      </c>
      <c r="Q26" t="n">
        <v>1500</v>
      </c>
      <c r="R26" t="n">
        <v>1625</v>
      </c>
      <c r="S26" t="n">
        <v>1750</v>
      </c>
      <c r="T26" t="n">
        <v>1875</v>
      </c>
      <c r="U26" t="n">
        <v>2000</v>
      </c>
      <c r="V26" t="n">
        <v>1244</v>
      </c>
      <c r="W26" t="n">
        <v>1100</v>
      </c>
      <c r="X26" t="n">
        <v>1075</v>
      </c>
      <c r="Y26" t="n">
        <v>2250</v>
      </c>
    </row>
    <row r="27">
      <c r="A27" t="n">
        <v>26</v>
      </c>
      <c r="B27" t="n">
        <v>0</v>
      </c>
      <c r="C27" t="n">
        <v>1465</v>
      </c>
      <c r="D27" t="n">
        <v>1655</v>
      </c>
      <c r="E27" t="n">
        <v>2107</v>
      </c>
      <c r="F27" t="n">
        <v>2685</v>
      </c>
      <c r="G27" t="n">
        <v>3408</v>
      </c>
      <c r="H27" t="n">
        <v>4319</v>
      </c>
      <c r="I27" t="n">
        <v>5457</v>
      </c>
      <c r="J27" t="n">
        <v>1260</v>
      </c>
      <c r="K27" t="n">
        <v>1655</v>
      </c>
      <c r="L27" t="n">
        <v>1260</v>
      </c>
      <c r="M27" t="n">
        <v>1000</v>
      </c>
      <c r="N27" t="n">
        <v>1130</v>
      </c>
      <c r="O27" t="n">
        <v>1260</v>
      </c>
      <c r="P27" t="n">
        <v>1390</v>
      </c>
      <c r="Q27" t="n">
        <v>1520</v>
      </c>
      <c r="R27" t="n">
        <v>1650</v>
      </c>
      <c r="S27" t="n">
        <v>1780</v>
      </c>
      <c r="T27" t="n">
        <v>1910</v>
      </c>
      <c r="U27" t="n">
        <v>2040</v>
      </c>
      <c r="V27" t="n">
        <v>1255</v>
      </c>
      <c r="W27" t="n">
        <v>1104</v>
      </c>
      <c r="X27" t="n">
        <v>1078</v>
      </c>
      <c r="Y27" t="n">
        <v>2300</v>
      </c>
    </row>
    <row r="28">
      <c r="A28" t="n">
        <v>27</v>
      </c>
      <c r="B28" t="n">
        <v>0</v>
      </c>
      <c r="C28" t="n">
        <v>1487</v>
      </c>
      <c r="D28" t="n">
        <v>1689</v>
      </c>
      <c r="E28" t="n">
        <v>2171</v>
      </c>
      <c r="F28" t="n">
        <v>2793</v>
      </c>
      <c r="G28" t="n">
        <v>3579</v>
      </c>
      <c r="H28" t="n">
        <v>4579</v>
      </c>
      <c r="I28" t="n">
        <v>5839</v>
      </c>
      <c r="J28" t="n">
        <v>1270</v>
      </c>
      <c r="K28" t="n">
        <v>1689</v>
      </c>
      <c r="L28" t="n">
        <v>1270</v>
      </c>
      <c r="M28" t="n">
        <v>1000</v>
      </c>
      <c r="N28" t="n">
        <v>1135</v>
      </c>
      <c r="O28" t="n">
        <v>1270</v>
      </c>
      <c r="P28" t="n">
        <v>1405</v>
      </c>
      <c r="Q28" t="n">
        <v>1540</v>
      </c>
      <c r="R28" t="n">
        <v>1675</v>
      </c>
      <c r="S28" t="n">
        <v>1810</v>
      </c>
      <c r="T28" t="n">
        <v>1945</v>
      </c>
      <c r="U28" t="n">
        <v>2080</v>
      </c>
      <c r="V28" t="n">
        <v>1266</v>
      </c>
      <c r="W28" t="n">
        <v>1108</v>
      </c>
      <c r="X28" t="n">
        <v>1081</v>
      </c>
      <c r="Y28" t="n">
        <v>2350</v>
      </c>
    </row>
    <row r="29">
      <c r="A29" t="n">
        <v>28</v>
      </c>
      <c r="B29" t="n">
        <v>0</v>
      </c>
      <c r="C29" t="n">
        <v>1510</v>
      </c>
      <c r="D29" t="n">
        <v>1723</v>
      </c>
      <c r="E29" t="n">
        <v>2237</v>
      </c>
      <c r="F29" t="n">
        <v>2905</v>
      </c>
      <c r="G29" t="n">
        <v>3758</v>
      </c>
      <c r="H29" t="n">
        <v>4854</v>
      </c>
      <c r="I29" t="n">
        <v>6248</v>
      </c>
      <c r="J29" t="n">
        <v>1280</v>
      </c>
      <c r="K29" t="n">
        <v>1723</v>
      </c>
      <c r="L29" t="n">
        <v>1280</v>
      </c>
      <c r="M29" t="n">
        <v>1000</v>
      </c>
      <c r="N29" t="n">
        <v>1140</v>
      </c>
      <c r="O29" t="n">
        <v>1280</v>
      </c>
      <c r="P29" t="n">
        <v>1420</v>
      </c>
      <c r="Q29" t="n">
        <v>1560</v>
      </c>
      <c r="R29" t="n">
        <v>1700</v>
      </c>
      <c r="S29" t="n">
        <v>1840</v>
      </c>
      <c r="T29" t="n">
        <v>1980</v>
      </c>
      <c r="U29" t="n">
        <v>2120</v>
      </c>
      <c r="V29" t="n">
        <v>1277</v>
      </c>
      <c r="W29" t="n">
        <v>1112</v>
      </c>
      <c r="X29" t="n">
        <v>1084</v>
      </c>
      <c r="Y29" t="n">
        <v>2400</v>
      </c>
    </row>
    <row r="30">
      <c r="A30" t="n">
        <v>29</v>
      </c>
      <c r="B30" t="n">
        <v>0</v>
      </c>
      <c r="C30" t="n">
        <v>1533</v>
      </c>
      <c r="D30" t="n">
        <v>1758</v>
      </c>
      <c r="E30" t="n">
        <v>2305</v>
      </c>
      <c r="F30" t="n">
        <v>3022</v>
      </c>
      <c r="G30" t="n">
        <v>3946</v>
      </c>
      <c r="H30" t="n">
        <v>5146</v>
      </c>
      <c r="I30" t="n">
        <v>6686</v>
      </c>
      <c r="J30" t="n">
        <v>1290</v>
      </c>
      <c r="K30" t="n">
        <v>1758</v>
      </c>
      <c r="L30" t="n">
        <v>1290</v>
      </c>
      <c r="M30" t="n">
        <v>1000</v>
      </c>
      <c r="N30" t="n">
        <v>1145</v>
      </c>
      <c r="O30" t="n">
        <v>1290</v>
      </c>
      <c r="P30" t="n">
        <v>1435</v>
      </c>
      <c r="Q30" t="n">
        <v>1580</v>
      </c>
      <c r="R30" t="n">
        <v>1725</v>
      </c>
      <c r="S30" t="n">
        <v>1870</v>
      </c>
      <c r="T30" t="n">
        <v>2015</v>
      </c>
      <c r="U30" t="n">
        <v>2160</v>
      </c>
      <c r="V30" t="n">
        <v>1288</v>
      </c>
      <c r="W30" t="n">
        <v>1116</v>
      </c>
      <c r="X30" t="n">
        <v>1087</v>
      </c>
      <c r="Y30" t="n">
        <v>2450</v>
      </c>
    </row>
    <row r="31">
      <c r="A31" t="n">
        <v>30</v>
      </c>
      <c r="B31" t="n">
        <v>0</v>
      </c>
      <c r="C31" t="n">
        <v>1556</v>
      </c>
      <c r="D31" t="n">
        <v>1794</v>
      </c>
      <c r="E31" t="n">
        <v>2375</v>
      </c>
      <c r="F31" t="n">
        <v>3143</v>
      </c>
      <c r="G31" t="n">
        <v>4144</v>
      </c>
      <c r="H31" t="n">
        <v>5455</v>
      </c>
      <c r="I31" t="n">
        <v>7155</v>
      </c>
      <c r="J31" t="n">
        <v>1300</v>
      </c>
      <c r="K31" t="n">
        <v>1794</v>
      </c>
      <c r="L31" t="n">
        <v>1300</v>
      </c>
      <c r="M31" t="n">
        <v>1000</v>
      </c>
      <c r="N31" t="n">
        <v>1150</v>
      </c>
      <c r="O31" t="n">
        <v>1300</v>
      </c>
      <c r="P31" t="n">
        <v>1450</v>
      </c>
      <c r="Q31" t="n">
        <v>1600</v>
      </c>
      <c r="R31" t="n">
        <v>1750</v>
      </c>
      <c r="S31" t="n">
        <v>1900</v>
      </c>
      <c r="T31" t="n">
        <v>2050</v>
      </c>
      <c r="U31" t="n">
        <v>2200</v>
      </c>
      <c r="V31" t="n">
        <v>1299</v>
      </c>
      <c r="W31" t="n">
        <v>1120</v>
      </c>
      <c r="X31" t="n">
        <v>1090</v>
      </c>
      <c r="Y31" t="n">
        <v>2500</v>
      </c>
    </row>
    <row r="32">
      <c r="A32" t="n">
        <v>31</v>
      </c>
      <c r="B32" t="n">
        <v>0</v>
      </c>
      <c r="C32" t="n">
        <v>1580</v>
      </c>
      <c r="D32" t="n">
        <v>1830</v>
      </c>
      <c r="E32" t="n">
        <v>2447</v>
      </c>
      <c r="F32" t="n">
        <v>3269</v>
      </c>
      <c r="G32" t="n">
        <v>4352</v>
      </c>
      <c r="H32" t="n">
        <v>5783</v>
      </c>
      <c r="I32" t="n">
        <v>7656</v>
      </c>
      <c r="J32" t="n">
        <v>1310</v>
      </c>
      <c r="K32" t="n">
        <v>1830</v>
      </c>
      <c r="L32" t="n">
        <v>1310</v>
      </c>
      <c r="M32" t="n">
        <v>1000</v>
      </c>
      <c r="N32" t="n">
        <v>1155</v>
      </c>
      <c r="O32" t="n">
        <v>1310</v>
      </c>
      <c r="P32" t="n">
        <v>1465</v>
      </c>
      <c r="Q32" t="n">
        <v>1620</v>
      </c>
      <c r="R32" t="n">
        <v>1775</v>
      </c>
      <c r="S32" t="n">
        <v>1930</v>
      </c>
      <c r="T32" t="n">
        <v>2085</v>
      </c>
      <c r="U32" t="n">
        <v>2240</v>
      </c>
      <c r="V32" t="n">
        <v>1310</v>
      </c>
      <c r="W32" t="n">
        <v>1124</v>
      </c>
      <c r="X32" t="n">
        <v>1093</v>
      </c>
      <c r="Y32" t="n">
        <v>2550</v>
      </c>
    </row>
    <row r="33">
      <c r="A33" t="n">
        <v>32</v>
      </c>
      <c r="B33" t="n">
        <v>0</v>
      </c>
      <c r="C33" t="n">
        <v>1604</v>
      </c>
      <c r="D33" t="n">
        <v>1867</v>
      </c>
      <c r="E33" t="n">
        <v>2521</v>
      </c>
      <c r="F33" t="n">
        <v>3400</v>
      </c>
      <c r="G33" t="n">
        <v>4570</v>
      </c>
      <c r="H33" t="n">
        <v>6130</v>
      </c>
      <c r="I33" t="n">
        <v>8192</v>
      </c>
      <c r="J33" t="n">
        <v>1320</v>
      </c>
      <c r="K33" t="n">
        <v>1867</v>
      </c>
      <c r="L33" t="n">
        <v>1320</v>
      </c>
      <c r="M33" t="n">
        <v>1000</v>
      </c>
      <c r="N33" t="n">
        <v>1160</v>
      </c>
      <c r="O33" t="n">
        <v>1320</v>
      </c>
      <c r="P33" t="n">
        <v>1480</v>
      </c>
      <c r="Q33" t="n">
        <v>1640</v>
      </c>
      <c r="R33" t="n">
        <v>1800</v>
      </c>
      <c r="S33" t="n">
        <v>1960</v>
      </c>
      <c r="T33" t="n">
        <v>2120</v>
      </c>
      <c r="U33" t="n">
        <v>2280</v>
      </c>
      <c r="V33" t="n">
        <v>1321</v>
      </c>
      <c r="W33" t="n">
        <v>1128</v>
      </c>
      <c r="X33" t="n">
        <v>1096</v>
      </c>
      <c r="Y33" t="n">
        <v>2600</v>
      </c>
    </row>
    <row r="34">
      <c r="A34" t="n">
        <v>33</v>
      </c>
      <c r="B34" t="n">
        <v>0</v>
      </c>
      <c r="C34" t="n">
        <v>1629</v>
      </c>
      <c r="D34" t="n">
        <v>1905</v>
      </c>
      <c r="E34" t="n">
        <v>2597</v>
      </c>
      <c r="F34" t="n">
        <v>3536</v>
      </c>
      <c r="G34" t="n">
        <v>4799</v>
      </c>
      <c r="H34" t="n">
        <v>6498</v>
      </c>
      <c r="I34" t="n">
        <v>8766</v>
      </c>
      <c r="J34" t="n">
        <v>1330</v>
      </c>
      <c r="K34" t="n">
        <v>1905</v>
      </c>
      <c r="L34" t="n">
        <v>1330</v>
      </c>
      <c r="M34" t="n">
        <v>1000</v>
      </c>
      <c r="N34" t="n">
        <v>1165</v>
      </c>
      <c r="O34" t="n">
        <v>1330</v>
      </c>
      <c r="P34" t="n">
        <v>1495</v>
      </c>
      <c r="Q34" t="n">
        <v>1660</v>
      </c>
      <c r="R34" t="n">
        <v>1825</v>
      </c>
      <c r="S34" t="n">
        <v>1990</v>
      </c>
      <c r="T34" t="n">
        <v>2155</v>
      </c>
      <c r="U34" t="n">
        <v>2320</v>
      </c>
      <c r="V34" t="n">
        <v>1332</v>
      </c>
      <c r="W34" t="n">
        <v>1132</v>
      </c>
      <c r="X34" t="n">
        <v>1099</v>
      </c>
      <c r="Y34" t="n">
        <v>2650</v>
      </c>
    </row>
    <row r="35">
      <c r="A35" t="n">
        <v>34</v>
      </c>
      <c r="B35" t="n">
        <v>0</v>
      </c>
      <c r="C35" t="n">
        <v>1654</v>
      </c>
      <c r="D35" t="n">
        <v>1944</v>
      </c>
      <c r="E35" t="n">
        <v>2675</v>
      </c>
      <c r="F35" t="n">
        <v>3678</v>
      </c>
      <c r="G35" t="n">
        <v>5039</v>
      </c>
      <c r="H35" t="n">
        <v>6888</v>
      </c>
      <c r="I35" t="n">
        <v>9380</v>
      </c>
      <c r="J35" t="n">
        <v>1340</v>
      </c>
      <c r="K35" t="n">
        <v>1944</v>
      </c>
      <c r="L35" t="n">
        <v>1340</v>
      </c>
      <c r="M35" t="n">
        <v>1000</v>
      </c>
      <c r="N35" t="n">
        <v>1170</v>
      </c>
      <c r="O35" t="n">
        <v>1340</v>
      </c>
      <c r="P35" t="n">
        <v>1510</v>
      </c>
      <c r="Q35" t="n">
        <v>1680</v>
      </c>
      <c r="R35" t="n">
        <v>1850</v>
      </c>
      <c r="S35" t="n">
        <v>2020</v>
      </c>
      <c r="T35" t="n">
        <v>2190</v>
      </c>
      <c r="U35" t="n">
        <v>2360</v>
      </c>
      <c r="V35" t="n">
        <v>1343</v>
      </c>
      <c r="W35" t="n">
        <v>1136</v>
      </c>
      <c r="X35" t="n">
        <v>1102</v>
      </c>
      <c r="Y35" t="n">
        <v>2700</v>
      </c>
    </row>
    <row r="36">
      <c r="A36" t="n">
        <v>35</v>
      </c>
      <c r="B36" t="n">
        <v>0</v>
      </c>
      <c r="C36" t="n">
        <v>1679</v>
      </c>
      <c r="D36" t="n">
        <v>1983</v>
      </c>
      <c r="E36" t="n">
        <v>2756</v>
      </c>
      <c r="F36" t="n">
        <v>3826</v>
      </c>
      <c r="G36" t="n">
        <v>5291</v>
      </c>
      <c r="H36" t="n">
        <v>7302</v>
      </c>
      <c r="I36" t="n">
        <v>10037</v>
      </c>
      <c r="J36" t="n">
        <v>1350</v>
      </c>
      <c r="K36" t="n">
        <v>1983</v>
      </c>
      <c r="L36" t="n">
        <v>1350</v>
      </c>
      <c r="M36" t="n">
        <v>1000</v>
      </c>
      <c r="N36" t="n">
        <v>1175</v>
      </c>
      <c r="O36" t="n">
        <v>1350</v>
      </c>
      <c r="P36" t="n">
        <v>1525</v>
      </c>
      <c r="Q36" t="n">
        <v>1700</v>
      </c>
      <c r="R36" t="n">
        <v>1875</v>
      </c>
      <c r="S36" t="n">
        <v>2050</v>
      </c>
      <c r="T36" t="n">
        <v>2225</v>
      </c>
      <c r="U36" t="n">
        <v>2400</v>
      </c>
      <c r="V36" t="n">
        <v>1354</v>
      </c>
      <c r="W36" t="n">
        <v>1140</v>
      </c>
      <c r="X36" t="n">
        <v>1105</v>
      </c>
      <c r="Y36" t="n">
        <v>2750</v>
      </c>
    </row>
    <row r="37">
      <c r="A37" t="n">
        <v>36</v>
      </c>
      <c r="B37" t="n">
        <v>0</v>
      </c>
      <c r="C37" t="n">
        <v>1705</v>
      </c>
      <c r="D37" t="n">
        <v>2023</v>
      </c>
      <c r="E37" t="n">
        <v>2839</v>
      </c>
      <c r="F37" t="n">
        <v>3980</v>
      </c>
      <c r="G37" t="n">
        <v>5556</v>
      </c>
      <c r="H37" t="n">
        <v>7741</v>
      </c>
      <c r="I37" t="n">
        <v>10740</v>
      </c>
      <c r="J37" t="n">
        <v>1360</v>
      </c>
      <c r="K37" t="n">
        <v>2023</v>
      </c>
      <c r="L37" t="n">
        <v>1360</v>
      </c>
      <c r="M37" t="n">
        <v>1000</v>
      </c>
      <c r="N37" t="n">
        <v>1180</v>
      </c>
      <c r="O37" t="n">
        <v>1360</v>
      </c>
      <c r="P37" t="n">
        <v>1540</v>
      </c>
      <c r="Q37" t="n">
        <v>1720</v>
      </c>
      <c r="R37" t="n">
        <v>1900</v>
      </c>
      <c r="S37" t="n">
        <v>2080</v>
      </c>
      <c r="T37" t="n">
        <v>2260</v>
      </c>
      <c r="U37" t="n">
        <v>2440</v>
      </c>
      <c r="V37" t="n">
        <v>1365</v>
      </c>
      <c r="W37" t="n">
        <v>1144</v>
      </c>
      <c r="X37" t="n">
        <v>1108</v>
      </c>
      <c r="Y37" t="n">
        <v>2800</v>
      </c>
    </row>
    <row r="38">
      <c r="A38" t="n">
        <v>37</v>
      </c>
      <c r="B38" t="n">
        <v>0</v>
      </c>
      <c r="C38" t="n">
        <v>1731</v>
      </c>
      <c r="D38" t="n">
        <v>2064</v>
      </c>
      <c r="E38" t="n">
        <v>2925</v>
      </c>
      <c r="F38" t="n">
        <v>4140</v>
      </c>
      <c r="G38" t="n">
        <v>5834</v>
      </c>
      <c r="H38" t="n">
        <v>8206</v>
      </c>
      <c r="I38" t="n">
        <v>11492</v>
      </c>
      <c r="J38" t="n">
        <v>1370</v>
      </c>
      <c r="K38" t="n">
        <v>2064</v>
      </c>
      <c r="L38" t="n">
        <v>1370</v>
      </c>
      <c r="M38" t="n">
        <v>1000</v>
      </c>
      <c r="N38" t="n">
        <v>1185</v>
      </c>
      <c r="O38" t="n">
        <v>1370</v>
      </c>
      <c r="P38" t="n">
        <v>1555</v>
      </c>
      <c r="Q38" t="n">
        <v>1740</v>
      </c>
      <c r="R38" t="n">
        <v>1925</v>
      </c>
      <c r="S38" t="n">
        <v>2110</v>
      </c>
      <c r="T38" t="n">
        <v>2295</v>
      </c>
      <c r="U38" t="n">
        <v>2480</v>
      </c>
      <c r="V38" t="n">
        <v>1376</v>
      </c>
      <c r="W38" t="n">
        <v>1148</v>
      </c>
      <c r="X38" t="n">
        <v>1111</v>
      </c>
      <c r="Y38" t="n">
        <v>2850</v>
      </c>
    </row>
    <row r="39">
      <c r="A39" t="n">
        <v>38</v>
      </c>
      <c r="B39" t="n">
        <v>0</v>
      </c>
      <c r="C39" t="n">
        <v>1757</v>
      </c>
      <c r="D39" t="n">
        <v>2106</v>
      </c>
      <c r="E39" t="n">
        <v>3013</v>
      </c>
      <c r="F39" t="n">
        <v>4306</v>
      </c>
      <c r="G39" t="n">
        <v>6126</v>
      </c>
      <c r="H39" t="n">
        <v>8699</v>
      </c>
      <c r="I39" t="n">
        <v>12297</v>
      </c>
      <c r="J39" t="n">
        <v>1380</v>
      </c>
      <c r="K39" t="n">
        <v>2106</v>
      </c>
      <c r="L39" t="n">
        <v>1380</v>
      </c>
      <c r="M39" t="n">
        <v>1000</v>
      </c>
      <c r="N39" t="n">
        <v>1190</v>
      </c>
      <c r="O39" t="n">
        <v>1380</v>
      </c>
      <c r="P39" t="n">
        <v>1570</v>
      </c>
      <c r="Q39" t="n">
        <v>1760</v>
      </c>
      <c r="R39" t="n">
        <v>1950</v>
      </c>
      <c r="S39" t="n">
        <v>2140</v>
      </c>
      <c r="T39" t="n">
        <v>2330</v>
      </c>
      <c r="U39" t="n">
        <v>2520</v>
      </c>
      <c r="V39" t="n">
        <v>1387</v>
      </c>
      <c r="W39" t="n">
        <v>1152</v>
      </c>
      <c r="X39" t="n">
        <v>1114</v>
      </c>
      <c r="Y39" t="n">
        <v>2900</v>
      </c>
    </row>
    <row r="40">
      <c r="A40" t="n">
        <v>39</v>
      </c>
      <c r="B40" t="n">
        <v>0</v>
      </c>
      <c r="C40" t="n">
        <v>1784</v>
      </c>
      <c r="D40" t="n">
        <v>2149</v>
      </c>
      <c r="E40" t="n">
        <v>3104</v>
      </c>
      <c r="F40" t="n">
        <v>4479</v>
      </c>
      <c r="G40" t="n">
        <v>6433</v>
      </c>
      <c r="H40" t="n">
        <v>9221</v>
      </c>
      <c r="I40" t="n">
        <v>13158</v>
      </c>
      <c r="J40" t="n">
        <v>1390</v>
      </c>
      <c r="K40" t="n">
        <v>2149</v>
      </c>
      <c r="L40" t="n">
        <v>1390</v>
      </c>
      <c r="M40" t="n">
        <v>1000</v>
      </c>
      <c r="N40" t="n">
        <v>1195</v>
      </c>
      <c r="O40" t="n">
        <v>1390</v>
      </c>
      <c r="P40" t="n">
        <v>1585</v>
      </c>
      <c r="Q40" t="n">
        <v>1780</v>
      </c>
      <c r="R40" t="n">
        <v>1975</v>
      </c>
      <c r="S40" t="n">
        <v>2170</v>
      </c>
      <c r="T40" t="n">
        <v>2365</v>
      </c>
      <c r="U40" t="n">
        <v>2560</v>
      </c>
      <c r="V40" t="n">
        <v>1398</v>
      </c>
      <c r="W40" t="n">
        <v>1156</v>
      </c>
      <c r="X40" t="n">
        <v>1117</v>
      </c>
      <c r="Y40" t="n">
        <v>2950</v>
      </c>
    </row>
    <row r="41">
      <c r="A41" t="n">
        <v>40</v>
      </c>
      <c r="B41" t="n">
        <v>0</v>
      </c>
      <c r="C41" t="n">
        <v>1811</v>
      </c>
      <c r="D41" t="n">
        <v>2192</v>
      </c>
      <c r="E41" t="n">
        <v>3198</v>
      </c>
      <c r="F41" t="n">
        <v>4659</v>
      </c>
      <c r="G41" t="n">
        <v>6755</v>
      </c>
      <c r="H41" t="n">
        <v>9775</v>
      </c>
      <c r="I41" t="n">
        <v>14080</v>
      </c>
      <c r="J41" t="n">
        <v>1400</v>
      </c>
      <c r="K41" t="n">
        <v>2192</v>
      </c>
      <c r="L41" t="n">
        <v>1400</v>
      </c>
      <c r="M41" t="n">
        <v>1000</v>
      </c>
      <c r="N41" t="n">
        <v>1200</v>
      </c>
      <c r="O41" t="n">
        <v>1400</v>
      </c>
      <c r="P41" t="n">
        <v>1600</v>
      </c>
      <c r="Q41" t="n">
        <v>1800</v>
      </c>
      <c r="R41" t="n">
        <v>2000</v>
      </c>
      <c r="S41" t="n">
        <v>2200</v>
      </c>
      <c r="T41" t="n">
        <v>2400</v>
      </c>
      <c r="U41" t="n">
        <v>2600</v>
      </c>
      <c r="V41" t="n">
        <v>1410</v>
      </c>
      <c r="W41" t="n">
        <v>1160</v>
      </c>
      <c r="X41" t="n">
        <v>1120</v>
      </c>
      <c r="Y41" t="n">
        <v>3000</v>
      </c>
    </row>
    <row r="42">
      <c r="A42" t="n">
        <v>41</v>
      </c>
      <c r="B42" t="n">
        <v>0</v>
      </c>
      <c r="C42" t="n">
        <v>1839</v>
      </c>
      <c r="D42" t="n">
        <v>2236</v>
      </c>
      <c r="E42" t="n">
        <v>3294</v>
      </c>
      <c r="F42" t="n">
        <v>4846</v>
      </c>
      <c r="G42" t="n">
        <v>7093</v>
      </c>
      <c r="H42" t="n">
        <v>10362</v>
      </c>
      <c r="I42" t="n">
        <v>15066</v>
      </c>
      <c r="J42" t="n">
        <v>1410</v>
      </c>
      <c r="K42" t="n">
        <v>2236</v>
      </c>
      <c r="L42" t="n">
        <v>1410</v>
      </c>
      <c r="M42" t="n">
        <v>1000</v>
      </c>
      <c r="N42" t="n">
        <v>1205</v>
      </c>
      <c r="O42" t="n">
        <v>1410</v>
      </c>
      <c r="P42" t="n">
        <v>1615</v>
      </c>
      <c r="Q42" t="n">
        <v>1820</v>
      </c>
      <c r="R42" t="n">
        <v>2025</v>
      </c>
      <c r="S42" t="n">
        <v>2230</v>
      </c>
      <c r="T42" t="n">
        <v>2435</v>
      </c>
      <c r="U42" t="n">
        <v>2640</v>
      </c>
      <c r="V42" t="n">
        <v>1422</v>
      </c>
      <c r="W42" t="n">
        <v>1164</v>
      </c>
      <c r="X42" t="n">
        <v>1123</v>
      </c>
      <c r="Y42" t="n">
        <v>3050</v>
      </c>
    </row>
    <row r="43">
      <c r="A43" t="n">
        <v>42</v>
      </c>
      <c r="B43" t="n">
        <v>0</v>
      </c>
      <c r="C43" t="n">
        <v>1867</v>
      </c>
      <c r="D43" t="n">
        <v>2281</v>
      </c>
      <c r="E43" t="n">
        <v>3393</v>
      </c>
      <c r="F43" t="n">
        <v>5040</v>
      </c>
      <c r="G43" t="n">
        <v>7448</v>
      </c>
      <c r="H43" t="n">
        <v>10984</v>
      </c>
      <c r="I43" t="n">
        <v>16121</v>
      </c>
      <c r="J43" t="n">
        <v>1420</v>
      </c>
      <c r="K43" t="n">
        <v>2281</v>
      </c>
      <c r="L43" t="n">
        <v>1420</v>
      </c>
      <c r="M43" t="n">
        <v>1000</v>
      </c>
      <c r="N43" t="n">
        <v>1210</v>
      </c>
      <c r="O43" t="n">
        <v>1420</v>
      </c>
      <c r="P43" t="n">
        <v>1630</v>
      </c>
      <c r="Q43" t="n">
        <v>1840</v>
      </c>
      <c r="R43" t="n">
        <v>2050</v>
      </c>
      <c r="S43" t="n">
        <v>2260</v>
      </c>
      <c r="T43" t="n">
        <v>2470</v>
      </c>
      <c r="U43" t="n">
        <v>2680</v>
      </c>
      <c r="V43" t="n">
        <v>1434</v>
      </c>
      <c r="W43" t="n">
        <v>1168</v>
      </c>
      <c r="X43" t="n">
        <v>1126</v>
      </c>
      <c r="Y43" t="n">
        <v>3100</v>
      </c>
    </row>
    <row r="44">
      <c r="A44" t="n">
        <v>43</v>
      </c>
      <c r="B44" t="n">
        <v>0</v>
      </c>
      <c r="C44" t="n">
        <v>1896</v>
      </c>
      <c r="D44" t="n">
        <v>2327</v>
      </c>
      <c r="E44" t="n">
        <v>3495</v>
      </c>
      <c r="F44" t="n">
        <v>5242</v>
      </c>
      <c r="G44" t="n">
        <v>7821</v>
      </c>
      <c r="H44" t="n">
        <v>11644</v>
      </c>
      <c r="I44" t="n">
        <v>17250</v>
      </c>
      <c r="J44" t="n">
        <v>1430</v>
      </c>
      <c r="K44" t="n">
        <v>2327</v>
      </c>
      <c r="L44" t="n">
        <v>1430</v>
      </c>
      <c r="M44" t="n">
        <v>1000</v>
      </c>
      <c r="N44" t="n">
        <v>1215</v>
      </c>
      <c r="O44" t="n">
        <v>1430</v>
      </c>
      <c r="P44" t="n">
        <v>1645</v>
      </c>
      <c r="Q44" t="n">
        <v>1860</v>
      </c>
      <c r="R44" t="n">
        <v>2075</v>
      </c>
      <c r="S44" t="n">
        <v>2290</v>
      </c>
      <c r="T44" t="n">
        <v>2505</v>
      </c>
      <c r="U44" t="n">
        <v>2720</v>
      </c>
      <c r="V44" t="n">
        <v>1446</v>
      </c>
      <c r="W44" t="n">
        <v>1172</v>
      </c>
      <c r="X44" t="n">
        <v>1129</v>
      </c>
      <c r="Y44" t="n">
        <v>3150</v>
      </c>
    </row>
    <row r="45">
      <c r="A45" t="n">
        <v>44</v>
      </c>
      <c r="B45" t="n">
        <v>0</v>
      </c>
      <c r="C45" t="n">
        <v>1925</v>
      </c>
      <c r="D45" t="n">
        <v>2374</v>
      </c>
      <c r="E45" t="n">
        <v>3600</v>
      </c>
      <c r="F45" t="n">
        <v>5452</v>
      </c>
      <c r="G45" t="n">
        <v>8213</v>
      </c>
      <c r="H45" t="n">
        <v>12343</v>
      </c>
      <c r="I45" t="n">
        <v>18458</v>
      </c>
      <c r="J45" t="n">
        <v>1440</v>
      </c>
      <c r="K45" t="n">
        <v>2374</v>
      </c>
      <c r="L45" t="n">
        <v>1440</v>
      </c>
      <c r="M45" t="n">
        <v>1000</v>
      </c>
      <c r="N45" t="n">
        <v>1220</v>
      </c>
      <c r="O45" t="n">
        <v>1440</v>
      </c>
      <c r="P45" t="n">
        <v>1660</v>
      </c>
      <c r="Q45" t="n">
        <v>1880</v>
      </c>
      <c r="R45" t="n">
        <v>2100</v>
      </c>
      <c r="S45" t="n">
        <v>2320</v>
      </c>
      <c r="T45" t="n">
        <v>2540</v>
      </c>
      <c r="U45" t="n">
        <v>2760</v>
      </c>
      <c r="V45" t="n">
        <v>1458</v>
      </c>
      <c r="W45" t="n">
        <v>1176</v>
      </c>
      <c r="X45" t="n">
        <v>1132</v>
      </c>
      <c r="Y45" t="n">
        <v>3200</v>
      </c>
    </row>
    <row r="46">
      <c r="A46" t="n">
        <v>45</v>
      </c>
      <c r="B46" t="n">
        <v>0</v>
      </c>
      <c r="C46" t="n">
        <v>1954</v>
      </c>
      <c r="D46" t="n">
        <v>2422</v>
      </c>
      <c r="E46" t="n">
        <v>3708</v>
      </c>
      <c r="F46" t="n">
        <v>5671</v>
      </c>
      <c r="G46" t="n">
        <v>8624</v>
      </c>
      <c r="H46" t="n">
        <v>13084</v>
      </c>
      <c r="I46" t="n">
        <v>19751</v>
      </c>
      <c r="J46" t="n">
        <v>1450</v>
      </c>
      <c r="K46" t="n">
        <v>2422</v>
      </c>
      <c r="L46" t="n">
        <v>1450</v>
      </c>
      <c r="M46" t="n">
        <v>1000</v>
      </c>
      <c r="N46" t="n">
        <v>1225</v>
      </c>
      <c r="O46" t="n">
        <v>1450</v>
      </c>
      <c r="P46" t="n">
        <v>1675</v>
      </c>
      <c r="Q46" t="n">
        <v>1900</v>
      </c>
      <c r="R46" t="n">
        <v>2125</v>
      </c>
      <c r="S46" t="n">
        <v>2350</v>
      </c>
      <c r="T46" t="n">
        <v>2575</v>
      </c>
      <c r="U46" t="n">
        <v>2800</v>
      </c>
      <c r="V46" t="n">
        <v>1470</v>
      </c>
      <c r="W46" t="n">
        <v>1180</v>
      </c>
      <c r="X46" t="n">
        <v>1135</v>
      </c>
      <c r="Y46" t="n">
        <v>3250</v>
      </c>
    </row>
    <row r="47">
      <c r="A47" t="n">
        <v>46</v>
      </c>
      <c r="B47" t="n">
        <v>0</v>
      </c>
      <c r="C47" t="n">
        <v>1984</v>
      </c>
      <c r="D47" t="n">
        <v>2471</v>
      </c>
      <c r="E47" t="n">
        <v>3820</v>
      </c>
      <c r="F47" t="n">
        <v>5898</v>
      </c>
      <c r="G47" t="n">
        <v>9056</v>
      </c>
      <c r="H47" t="n">
        <v>13870</v>
      </c>
      <c r="I47" t="n">
        <v>21134</v>
      </c>
      <c r="J47" t="n">
        <v>1460</v>
      </c>
      <c r="K47" t="n">
        <v>2471</v>
      </c>
      <c r="L47" t="n">
        <v>1460</v>
      </c>
      <c r="M47" t="n">
        <v>1000</v>
      </c>
      <c r="N47" t="n">
        <v>1230</v>
      </c>
      <c r="O47" t="n">
        <v>1460</v>
      </c>
      <c r="P47" t="n">
        <v>1690</v>
      </c>
      <c r="Q47" t="n">
        <v>1920</v>
      </c>
      <c r="R47" t="n">
        <v>2150</v>
      </c>
      <c r="S47" t="n">
        <v>2380</v>
      </c>
      <c r="T47" t="n">
        <v>2610</v>
      </c>
      <c r="U47" t="n">
        <v>2840</v>
      </c>
      <c r="V47" t="n">
        <v>1482</v>
      </c>
      <c r="W47" t="n">
        <v>1184</v>
      </c>
      <c r="X47" t="n">
        <v>1138</v>
      </c>
      <c r="Y47" t="n">
        <v>3300</v>
      </c>
    </row>
    <row r="48">
      <c r="A48" t="n">
        <v>47</v>
      </c>
      <c r="B48" t="n">
        <v>0</v>
      </c>
      <c r="C48" t="n">
        <v>2014</v>
      </c>
      <c r="D48" t="n">
        <v>2521</v>
      </c>
      <c r="E48" t="n">
        <v>3935</v>
      </c>
      <c r="F48" t="n">
        <v>6134</v>
      </c>
      <c r="G48" t="n">
        <v>9509</v>
      </c>
      <c r="H48" t="n">
        <v>14703</v>
      </c>
      <c r="I48" t="n">
        <v>22614</v>
      </c>
      <c r="J48" t="n">
        <v>1470</v>
      </c>
      <c r="K48" t="n">
        <v>2521</v>
      </c>
      <c r="L48" t="n">
        <v>1470</v>
      </c>
      <c r="M48" t="n">
        <v>1000</v>
      </c>
      <c r="N48" t="n">
        <v>1235</v>
      </c>
      <c r="O48" t="n">
        <v>1470</v>
      </c>
      <c r="P48" t="n">
        <v>1705</v>
      </c>
      <c r="Q48" t="n">
        <v>1940</v>
      </c>
      <c r="R48" t="n">
        <v>2175</v>
      </c>
      <c r="S48" t="n">
        <v>2410</v>
      </c>
      <c r="T48" t="n">
        <v>2645</v>
      </c>
      <c r="U48" t="n">
        <v>2880</v>
      </c>
      <c r="V48" t="n">
        <v>1494</v>
      </c>
      <c r="W48" t="n">
        <v>1188</v>
      </c>
      <c r="X48" t="n">
        <v>1141</v>
      </c>
      <c r="Y48" t="n">
        <v>3350</v>
      </c>
    </row>
    <row r="49">
      <c r="A49" t="n">
        <v>48</v>
      </c>
      <c r="B49" t="n">
        <v>0</v>
      </c>
      <c r="C49" t="n">
        <v>2045</v>
      </c>
      <c r="D49" t="n">
        <v>2572</v>
      </c>
      <c r="E49" t="n">
        <v>4054</v>
      </c>
      <c r="F49" t="n">
        <v>6380</v>
      </c>
      <c r="G49" t="n">
        <v>9985</v>
      </c>
      <c r="H49" t="n">
        <v>15586</v>
      </c>
      <c r="I49" t="n">
        <v>24197</v>
      </c>
      <c r="J49" t="n">
        <v>1480</v>
      </c>
      <c r="K49" t="n">
        <v>2572</v>
      </c>
      <c r="L49" t="n">
        <v>1480</v>
      </c>
      <c r="M49" t="n">
        <v>1000</v>
      </c>
      <c r="N49" t="n">
        <v>1240</v>
      </c>
      <c r="O49" t="n">
        <v>1480</v>
      </c>
      <c r="P49" t="n">
        <v>1720</v>
      </c>
      <c r="Q49" t="n">
        <v>1960</v>
      </c>
      <c r="R49" t="n">
        <v>2200</v>
      </c>
      <c r="S49" t="n">
        <v>2440</v>
      </c>
      <c r="T49" t="n">
        <v>2680</v>
      </c>
      <c r="U49" t="n">
        <v>2920</v>
      </c>
      <c r="V49" t="n">
        <v>1506</v>
      </c>
      <c r="W49" t="n">
        <v>1192</v>
      </c>
      <c r="X49" t="n">
        <v>1144</v>
      </c>
      <c r="Y49" t="n">
        <v>3400</v>
      </c>
    </row>
    <row r="50">
      <c r="A50" t="n">
        <v>49</v>
      </c>
      <c r="B50" t="n">
        <v>0</v>
      </c>
      <c r="C50" t="n">
        <v>2076</v>
      </c>
      <c r="D50" t="n">
        <v>2624</v>
      </c>
      <c r="E50" t="n">
        <v>4176</v>
      </c>
      <c r="F50" t="n">
        <v>6636</v>
      </c>
      <c r="G50" t="n">
        <v>10485</v>
      </c>
      <c r="H50" t="n">
        <v>16522</v>
      </c>
      <c r="I50" t="n">
        <v>25891</v>
      </c>
      <c r="J50" t="n">
        <v>1490</v>
      </c>
      <c r="K50" t="n">
        <v>2624</v>
      </c>
      <c r="L50" t="n">
        <v>1490</v>
      </c>
      <c r="M50" t="n">
        <v>1000</v>
      </c>
      <c r="N50" t="n">
        <v>1245</v>
      </c>
      <c r="O50" t="n">
        <v>1490</v>
      </c>
      <c r="P50" t="n">
        <v>1735</v>
      </c>
      <c r="Q50" t="n">
        <v>1980</v>
      </c>
      <c r="R50" t="n">
        <v>2225</v>
      </c>
      <c r="S50" t="n">
        <v>2470</v>
      </c>
      <c r="T50" t="n">
        <v>2715</v>
      </c>
      <c r="U50" t="n">
        <v>2960</v>
      </c>
      <c r="V50" t="n">
        <v>1518</v>
      </c>
      <c r="W50" t="n">
        <v>1196</v>
      </c>
      <c r="X50" t="n">
        <v>1147</v>
      </c>
      <c r="Y50" t="n">
        <v>3450</v>
      </c>
    </row>
    <row r="51">
      <c r="A51" t="n">
        <v>50</v>
      </c>
      <c r="B51" t="n">
        <v>0</v>
      </c>
      <c r="C51" t="n">
        <v>2108</v>
      </c>
      <c r="D51" t="n">
        <v>2677</v>
      </c>
      <c r="E51" t="n">
        <v>4302</v>
      </c>
      <c r="F51" t="n">
        <v>6902</v>
      </c>
      <c r="G51" t="n">
        <v>11010</v>
      </c>
      <c r="H51" t="n">
        <v>17514</v>
      </c>
      <c r="I51" t="n">
        <v>27704</v>
      </c>
      <c r="J51" t="n">
        <v>1500</v>
      </c>
      <c r="K51" t="n">
        <v>2677</v>
      </c>
      <c r="L51" t="n">
        <v>1500</v>
      </c>
      <c r="M51" t="n">
        <v>1000</v>
      </c>
      <c r="N51" t="n">
        <v>1250</v>
      </c>
      <c r="O51" t="n">
        <v>1500</v>
      </c>
      <c r="P51" t="n">
        <v>1750</v>
      </c>
      <c r="Q51" t="n">
        <v>2000</v>
      </c>
      <c r="R51" t="n">
        <v>2250</v>
      </c>
      <c r="S51" t="n">
        <v>2500</v>
      </c>
      <c r="T51" t="n">
        <v>2750</v>
      </c>
      <c r="U51" t="n">
        <v>3000</v>
      </c>
      <c r="V51" t="n">
        <v>1530</v>
      </c>
      <c r="W51" t="n">
        <v>1200</v>
      </c>
      <c r="X51" t="n">
        <v>1150</v>
      </c>
      <c r="Y51" t="n">
        <v>3500</v>
      </c>
    </row>
    <row r="52">
      <c r="A52" t="n">
        <v>51</v>
      </c>
      <c r="B52" t="n">
        <v>0</v>
      </c>
      <c r="C52" t="n">
        <v>2140</v>
      </c>
      <c r="D52" t="n">
        <v>2731</v>
      </c>
      <c r="E52" t="n">
        <v>4432</v>
      </c>
      <c r="F52" t="n">
        <v>7179</v>
      </c>
      <c r="G52" t="n">
        <v>11561</v>
      </c>
      <c r="H52" t="n">
        <v>18565</v>
      </c>
      <c r="I52" t="n">
        <v>29644</v>
      </c>
      <c r="J52" t="n">
        <v>1510</v>
      </c>
      <c r="K52" t="n">
        <v>2731</v>
      </c>
      <c r="L52" t="n">
        <v>1510</v>
      </c>
      <c r="M52" t="n">
        <v>1000</v>
      </c>
      <c r="N52" t="n">
        <v>1255</v>
      </c>
      <c r="O52" t="n">
        <v>1510</v>
      </c>
      <c r="P52" t="n">
        <v>1765</v>
      </c>
      <c r="Q52" t="n">
        <v>2020</v>
      </c>
      <c r="R52" t="n">
        <v>2275</v>
      </c>
      <c r="S52" t="n">
        <v>2530</v>
      </c>
      <c r="T52" t="n">
        <v>2785</v>
      </c>
      <c r="U52" t="n">
        <v>3040</v>
      </c>
      <c r="V52" t="n">
        <v>1542</v>
      </c>
      <c r="W52" t="n">
        <v>1204</v>
      </c>
      <c r="X52" t="n">
        <v>1153</v>
      </c>
      <c r="Y52" t="n">
        <v>3550</v>
      </c>
    </row>
    <row r="53">
      <c r="A53" t="n">
        <v>52</v>
      </c>
      <c r="B53" t="n">
        <v>0</v>
      </c>
      <c r="C53" t="n">
        <v>2173</v>
      </c>
      <c r="D53" t="n">
        <v>2786</v>
      </c>
      <c r="E53" t="n">
        <v>4565</v>
      </c>
      <c r="F53" t="n">
        <v>7467</v>
      </c>
      <c r="G53" t="n">
        <v>12140</v>
      </c>
      <c r="H53" t="n">
        <v>19679</v>
      </c>
      <c r="I53" t="n">
        <v>31720</v>
      </c>
      <c r="J53" t="n">
        <v>1520</v>
      </c>
      <c r="K53" t="n">
        <v>2786</v>
      </c>
      <c r="L53" t="n">
        <v>1520</v>
      </c>
      <c r="M53" t="n">
        <v>1000</v>
      </c>
      <c r="N53" t="n">
        <v>1260</v>
      </c>
      <c r="O53" t="n">
        <v>1520</v>
      </c>
      <c r="P53" t="n">
        <v>1780</v>
      </c>
      <c r="Q53" t="n">
        <v>2040</v>
      </c>
      <c r="R53" t="n">
        <v>2300</v>
      </c>
      <c r="S53" t="n">
        <v>2560</v>
      </c>
      <c r="T53" t="n">
        <v>2820</v>
      </c>
      <c r="U53" t="n">
        <v>3080</v>
      </c>
      <c r="V53" t="n">
        <v>1554</v>
      </c>
      <c r="W53" t="n">
        <v>1208</v>
      </c>
      <c r="X53" t="n">
        <v>1156</v>
      </c>
      <c r="Y53" t="n">
        <v>3600</v>
      </c>
    </row>
    <row r="54">
      <c r="A54" t="n">
        <v>53</v>
      </c>
      <c r="B54" t="n">
        <v>0</v>
      </c>
      <c r="C54" t="n">
        <v>2206</v>
      </c>
      <c r="D54" t="n">
        <v>2842</v>
      </c>
      <c r="E54" t="n">
        <v>4702</v>
      </c>
      <c r="F54" t="n">
        <v>7766</v>
      </c>
      <c r="G54" t="n">
        <v>12747</v>
      </c>
      <c r="H54" t="n">
        <v>20860</v>
      </c>
      <c r="I54" t="n">
        <v>33941</v>
      </c>
      <c r="J54" t="n">
        <v>1530</v>
      </c>
      <c r="K54" t="n">
        <v>2842</v>
      </c>
      <c r="L54" t="n">
        <v>1530</v>
      </c>
      <c r="M54" t="n">
        <v>1000</v>
      </c>
      <c r="N54" t="n">
        <v>1265</v>
      </c>
      <c r="O54" t="n">
        <v>1530</v>
      </c>
      <c r="P54" t="n">
        <v>1795</v>
      </c>
      <c r="Q54" t="n">
        <v>2060</v>
      </c>
      <c r="R54" t="n">
        <v>2325</v>
      </c>
      <c r="S54" t="n">
        <v>2590</v>
      </c>
      <c r="T54" t="n">
        <v>2855</v>
      </c>
      <c r="U54" t="n">
        <v>3120</v>
      </c>
      <c r="V54" t="n">
        <v>1566</v>
      </c>
      <c r="W54" t="n">
        <v>1212</v>
      </c>
      <c r="X54" t="n">
        <v>1159</v>
      </c>
      <c r="Y54" t="n">
        <v>3650</v>
      </c>
    </row>
    <row r="55">
      <c r="A55" t="n">
        <v>54</v>
      </c>
      <c r="B55" t="n">
        <v>0</v>
      </c>
      <c r="C55" t="n">
        <v>2240</v>
      </c>
      <c r="D55" t="n">
        <v>2899</v>
      </c>
      <c r="E55" t="n">
        <v>4844</v>
      </c>
      <c r="F55" t="n">
        <v>8077</v>
      </c>
      <c r="G55" t="n">
        <v>13385</v>
      </c>
      <c r="H55" t="n">
        <v>22112</v>
      </c>
      <c r="I55" t="n">
        <v>36317</v>
      </c>
      <c r="J55" t="n">
        <v>1540</v>
      </c>
      <c r="K55" t="n">
        <v>2899</v>
      </c>
      <c r="L55" t="n">
        <v>1540</v>
      </c>
      <c r="M55" t="n">
        <v>1000</v>
      </c>
      <c r="N55" t="n">
        <v>1270</v>
      </c>
      <c r="O55" t="n">
        <v>1540</v>
      </c>
      <c r="P55" t="n">
        <v>1810</v>
      </c>
      <c r="Q55" t="n">
        <v>2080</v>
      </c>
      <c r="R55" t="n">
        <v>2350</v>
      </c>
      <c r="S55" t="n">
        <v>2620</v>
      </c>
      <c r="T55" t="n">
        <v>2890</v>
      </c>
      <c r="U55" t="n">
        <v>3160</v>
      </c>
      <c r="V55" t="n">
        <v>1578</v>
      </c>
      <c r="W55" t="n">
        <v>1216</v>
      </c>
      <c r="X55" t="n">
        <v>1162</v>
      </c>
      <c r="Y55" t="n">
        <v>3700</v>
      </c>
    </row>
    <row r="56">
      <c r="A56" t="n">
        <v>55</v>
      </c>
      <c r="B56" t="n">
        <v>0</v>
      </c>
      <c r="C56" t="n">
        <v>2274</v>
      </c>
      <c r="D56" t="n">
        <v>2957</v>
      </c>
      <c r="E56" t="n">
        <v>4990</v>
      </c>
      <c r="F56" t="n">
        <v>8401</v>
      </c>
      <c r="G56" t="n">
        <v>14055</v>
      </c>
      <c r="H56" t="n">
        <v>23439</v>
      </c>
      <c r="I56" t="n">
        <v>38860</v>
      </c>
      <c r="J56" t="n">
        <v>1550</v>
      </c>
      <c r="K56" t="n">
        <v>2957</v>
      </c>
      <c r="L56" t="n">
        <v>1550</v>
      </c>
      <c r="M56" t="n">
        <v>1000</v>
      </c>
      <c r="N56" t="n">
        <v>1275</v>
      </c>
      <c r="O56" t="n">
        <v>1550</v>
      </c>
      <c r="P56" t="n">
        <v>1825</v>
      </c>
      <c r="Q56" t="n">
        <v>2100</v>
      </c>
      <c r="R56" t="n">
        <v>2375</v>
      </c>
      <c r="S56" t="n">
        <v>2650</v>
      </c>
      <c r="T56" t="n">
        <v>2925</v>
      </c>
      <c r="U56" t="n">
        <v>3200</v>
      </c>
      <c r="V56" t="n">
        <v>1590</v>
      </c>
      <c r="W56" t="n">
        <v>1220</v>
      </c>
      <c r="X56" t="n">
        <v>1165</v>
      </c>
      <c r="Y56" t="n">
        <v>3750</v>
      </c>
    </row>
    <row r="57">
      <c r="A57" t="n">
        <v>56</v>
      </c>
      <c r="B57" t="n">
        <v>0</v>
      </c>
      <c r="C57" t="n">
        <v>2309</v>
      </c>
      <c r="D57" t="n">
        <v>3017</v>
      </c>
      <c r="E57" t="n">
        <v>5140</v>
      </c>
      <c r="F57" t="n">
        <v>8738</v>
      </c>
      <c r="G57" t="n">
        <v>14758</v>
      </c>
      <c r="H57" t="n">
        <v>24846</v>
      </c>
      <c r="I57" t="n">
        <v>41581</v>
      </c>
      <c r="J57" t="n">
        <v>1560</v>
      </c>
      <c r="K57" t="n">
        <v>3017</v>
      </c>
      <c r="L57" t="n">
        <v>1560</v>
      </c>
      <c r="M57" t="n">
        <v>1000</v>
      </c>
      <c r="N57" t="n">
        <v>1280</v>
      </c>
      <c r="O57" t="n">
        <v>1560</v>
      </c>
      <c r="P57" t="n">
        <v>1840</v>
      </c>
      <c r="Q57" t="n">
        <v>2120</v>
      </c>
      <c r="R57" t="n">
        <v>2400</v>
      </c>
      <c r="S57" t="n">
        <v>2680</v>
      </c>
      <c r="T57" t="n">
        <v>2960</v>
      </c>
      <c r="U57" t="n">
        <v>3240</v>
      </c>
      <c r="V57" t="n">
        <v>1602</v>
      </c>
      <c r="W57" t="n">
        <v>1224</v>
      </c>
      <c r="X57" t="n">
        <v>1168</v>
      </c>
      <c r="Y57" t="n">
        <v>3800</v>
      </c>
    </row>
    <row r="58">
      <c r="A58" t="n">
        <v>57</v>
      </c>
      <c r="B58" t="n">
        <v>0</v>
      </c>
      <c r="C58" t="n">
        <v>2344</v>
      </c>
      <c r="D58" t="n">
        <v>3078</v>
      </c>
      <c r="E58" t="n">
        <v>5295</v>
      </c>
      <c r="F58" t="n">
        <v>9088</v>
      </c>
      <c r="G58" t="n">
        <v>15496</v>
      </c>
      <c r="H58" t="n">
        <v>26337</v>
      </c>
      <c r="I58" t="n">
        <v>44492</v>
      </c>
      <c r="J58" t="n">
        <v>1570</v>
      </c>
      <c r="K58" t="n">
        <v>3078</v>
      </c>
      <c r="L58" t="n">
        <v>1570</v>
      </c>
      <c r="M58" t="n">
        <v>1000</v>
      </c>
      <c r="N58" t="n">
        <v>1285</v>
      </c>
      <c r="O58" t="n">
        <v>1570</v>
      </c>
      <c r="P58" t="n">
        <v>1855</v>
      </c>
      <c r="Q58" t="n">
        <v>2140</v>
      </c>
      <c r="R58" t="n">
        <v>2425</v>
      </c>
      <c r="S58" t="n">
        <v>2710</v>
      </c>
      <c r="T58" t="n">
        <v>2995</v>
      </c>
      <c r="U58" t="n">
        <v>3280</v>
      </c>
      <c r="V58" t="n">
        <v>1615</v>
      </c>
      <c r="W58" t="n">
        <v>1228</v>
      </c>
      <c r="X58" t="n">
        <v>1171</v>
      </c>
      <c r="Y58" t="n">
        <v>3850</v>
      </c>
    </row>
    <row r="59">
      <c r="A59" t="n">
        <v>58</v>
      </c>
      <c r="B59" t="n">
        <v>0</v>
      </c>
      <c r="C59" t="n">
        <v>2380</v>
      </c>
      <c r="D59" t="n">
        <v>3140</v>
      </c>
      <c r="E59" t="n">
        <v>5454</v>
      </c>
      <c r="F59" t="n">
        <v>9452</v>
      </c>
      <c r="G59" t="n">
        <v>16271</v>
      </c>
      <c r="H59" t="n">
        <v>27918</v>
      </c>
      <c r="I59" t="n">
        <v>47607</v>
      </c>
      <c r="J59" t="n">
        <v>1580</v>
      </c>
      <c r="K59" t="n">
        <v>3140</v>
      </c>
      <c r="L59" t="n">
        <v>1580</v>
      </c>
      <c r="M59" t="n">
        <v>1000</v>
      </c>
      <c r="N59" t="n">
        <v>1290</v>
      </c>
      <c r="O59" t="n">
        <v>1580</v>
      </c>
      <c r="P59" t="n">
        <v>1870</v>
      </c>
      <c r="Q59" t="n">
        <v>2160</v>
      </c>
      <c r="R59" t="n">
        <v>2450</v>
      </c>
      <c r="S59" t="n">
        <v>2740</v>
      </c>
      <c r="T59" t="n">
        <v>3030</v>
      </c>
      <c r="U59" t="n">
        <v>3320</v>
      </c>
      <c r="V59" t="n">
        <v>1628</v>
      </c>
      <c r="W59" t="n">
        <v>1232</v>
      </c>
      <c r="X59" t="n">
        <v>1174</v>
      </c>
      <c r="Y59" t="n">
        <v>3900</v>
      </c>
    </row>
    <row r="60">
      <c r="A60" t="n">
        <v>59</v>
      </c>
      <c r="B60" t="n">
        <v>0</v>
      </c>
      <c r="C60" t="n">
        <v>2416</v>
      </c>
      <c r="D60" t="n">
        <v>3203</v>
      </c>
      <c r="E60" t="n">
        <v>5618</v>
      </c>
      <c r="F60" t="n">
        <v>9831</v>
      </c>
      <c r="G60" t="n">
        <v>17085</v>
      </c>
      <c r="H60" t="n">
        <v>29594</v>
      </c>
      <c r="I60" t="n">
        <v>50940</v>
      </c>
      <c r="J60" t="n">
        <v>1590</v>
      </c>
      <c r="K60" t="n">
        <v>3203</v>
      </c>
      <c r="L60" t="n">
        <v>1590</v>
      </c>
      <c r="M60" t="n">
        <v>1000</v>
      </c>
      <c r="N60" t="n">
        <v>1295</v>
      </c>
      <c r="O60" t="n">
        <v>1590</v>
      </c>
      <c r="P60" t="n">
        <v>1885</v>
      </c>
      <c r="Q60" t="n">
        <v>2180</v>
      </c>
      <c r="R60" t="n">
        <v>2475</v>
      </c>
      <c r="S60" t="n">
        <v>2770</v>
      </c>
      <c r="T60" t="n">
        <v>3065</v>
      </c>
      <c r="U60" t="n">
        <v>3360</v>
      </c>
      <c r="V60" t="n">
        <v>1641</v>
      </c>
      <c r="W60" t="n">
        <v>1236</v>
      </c>
      <c r="X60" t="n">
        <v>1177</v>
      </c>
      <c r="Y60" t="n">
        <v>3950</v>
      </c>
    </row>
    <row r="61">
      <c r="A61" t="n">
        <v>60</v>
      </c>
      <c r="B61" t="n">
        <v>0</v>
      </c>
      <c r="C61" t="n">
        <v>2453</v>
      </c>
      <c r="D61" t="n">
        <v>3268</v>
      </c>
      <c r="E61" t="n">
        <v>5787</v>
      </c>
      <c r="F61" t="n">
        <v>10225</v>
      </c>
      <c r="G61" t="n">
        <v>17940</v>
      </c>
      <c r="H61" t="n">
        <v>31370</v>
      </c>
      <c r="I61" t="n">
        <v>54506</v>
      </c>
      <c r="J61" t="n">
        <v>1600</v>
      </c>
      <c r="K61" t="n">
        <v>3268</v>
      </c>
      <c r="L61" t="n">
        <v>1600</v>
      </c>
      <c r="M61" t="n">
        <v>1000</v>
      </c>
      <c r="N61" t="n">
        <v>1300</v>
      </c>
      <c r="O61" t="n">
        <v>1600</v>
      </c>
      <c r="P61" t="n">
        <v>1900</v>
      </c>
      <c r="Q61" t="n">
        <v>2200</v>
      </c>
      <c r="R61" t="n">
        <v>2500</v>
      </c>
      <c r="S61" t="n">
        <v>2800</v>
      </c>
      <c r="T61" t="n">
        <v>3100</v>
      </c>
      <c r="U61" t="n">
        <v>3400</v>
      </c>
      <c r="V61" t="n">
        <v>1654</v>
      </c>
      <c r="W61" t="n">
        <v>1240</v>
      </c>
      <c r="X61" t="n">
        <v>1180</v>
      </c>
      <c r="Y61" t="n">
        <v>4000</v>
      </c>
    </row>
    <row r="62">
      <c r="A62" t="n">
        <v>61</v>
      </c>
      <c r="B62" t="n">
        <v>0</v>
      </c>
      <c r="C62" t="n">
        <v>2490</v>
      </c>
      <c r="D62" t="n">
        <v>3334</v>
      </c>
      <c r="E62" t="n">
        <v>5961</v>
      </c>
      <c r="F62" t="n">
        <v>10634</v>
      </c>
      <c r="G62" t="n">
        <v>18837</v>
      </c>
      <c r="H62" t="n">
        <v>33253</v>
      </c>
      <c r="I62" t="n">
        <v>58322</v>
      </c>
      <c r="J62" t="n">
        <v>1610</v>
      </c>
      <c r="K62" t="n">
        <v>3334</v>
      </c>
      <c r="L62" t="n">
        <v>1610</v>
      </c>
      <c r="M62" t="n">
        <v>1000</v>
      </c>
      <c r="N62" t="n">
        <v>1305</v>
      </c>
      <c r="O62" t="n">
        <v>1610</v>
      </c>
      <c r="P62" t="n">
        <v>1915</v>
      </c>
      <c r="Q62" t="n">
        <v>2220</v>
      </c>
      <c r="R62" t="n">
        <v>2525</v>
      </c>
      <c r="S62" t="n">
        <v>2830</v>
      </c>
      <c r="T62" t="n">
        <v>3135</v>
      </c>
      <c r="U62" t="n">
        <v>3440</v>
      </c>
      <c r="V62" t="n">
        <v>1667</v>
      </c>
      <c r="W62" t="n">
        <v>1244</v>
      </c>
      <c r="X62" t="n">
        <v>1183</v>
      </c>
      <c r="Y62" t="n">
        <v>4050</v>
      </c>
    </row>
    <row r="63">
      <c r="A63" t="n">
        <v>62</v>
      </c>
      <c r="B63" t="n">
        <v>0</v>
      </c>
      <c r="C63" t="n">
        <v>2528</v>
      </c>
      <c r="D63" t="n">
        <v>3401</v>
      </c>
      <c r="E63" t="n">
        <v>6140</v>
      </c>
      <c r="F63" t="n">
        <v>11060</v>
      </c>
      <c r="G63" t="n">
        <v>19779</v>
      </c>
      <c r="H63" t="n">
        <v>35249</v>
      </c>
      <c r="I63" t="n">
        <v>62405</v>
      </c>
      <c r="J63" t="n">
        <v>1620</v>
      </c>
      <c r="K63" t="n">
        <v>3401</v>
      </c>
      <c r="L63" t="n">
        <v>1620</v>
      </c>
      <c r="M63" t="n">
        <v>1000</v>
      </c>
      <c r="N63" t="n">
        <v>1310</v>
      </c>
      <c r="O63" t="n">
        <v>1620</v>
      </c>
      <c r="P63" t="n">
        <v>1930</v>
      </c>
      <c r="Q63" t="n">
        <v>2240</v>
      </c>
      <c r="R63" t="n">
        <v>2550</v>
      </c>
      <c r="S63" t="n">
        <v>2860</v>
      </c>
      <c r="T63" t="n">
        <v>3170</v>
      </c>
      <c r="U63" t="n">
        <v>3480</v>
      </c>
      <c r="V63" t="n">
        <v>1680</v>
      </c>
      <c r="W63" t="n">
        <v>1248</v>
      </c>
      <c r="X63" t="n">
        <v>1186</v>
      </c>
      <c r="Y63" t="n">
        <v>4100</v>
      </c>
    </row>
    <row r="64">
      <c r="A64" t="n">
        <v>63</v>
      </c>
      <c r="B64" t="n">
        <v>0</v>
      </c>
      <c r="C64" t="n">
        <v>2566</v>
      </c>
      <c r="D64" t="n">
        <v>3470</v>
      </c>
      <c r="E64" t="n">
        <v>6325</v>
      </c>
      <c r="F64" t="n">
        <v>11503</v>
      </c>
      <c r="G64" t="n">
        <v>20768</v>
      </c>
      <c r="H64" t="n">
        <v>37364</v>
      </c>
      <c r="I64" t="n">
        <v>66774</v>
      </c>
      <c r="J64" t="n">
        <v>1630</v>
      </c>
      <c r="K64" t="n">
        <v>3470</v>
      </c>
      <c r="L64" t="n">
        <v>1630</v>
      </c>
      <c r="M64" t="n">
        <v>1000</v>
      </c>
      <c r="N64" t="n">
        <v>1315</v>
      </c>
      <c r="O64" t="n">
        <v>1630</v>
      </c>
      <c r="P64" t="n">
        <v>1945</v>
      </c>
      <c r="Q64" t="n">
        <v>2260</v>
      </c>
      <c r="R64" t="n">
        <v>2575</v>
      </c>
      <c r="S64" t="n">
        <v>2890</v>
      </c>
      <c r="T64" t="n">
        <v>3205</v>
      </c>
      <c r="U64" t="n">
        <v>3520</v>
      </c>
      <c r="V64" t="n">
        <v>1693</v>
      </c>
      <c r="W64" t="n">
        <v>1252</v>
      </c>
      <c r="X64" t="n">
        <v>1189</v>
      </c>
      <c r="Y64" t="n">
        <v>4150</v>
      </c>
    </row>
    <row r="65">
      <c r="A65" t="n">
        <v>64</v>
      </c>
      <c r="B65" t="n">
        <v>0</v>
      </c>
      <c r="C65" t="n">
        <v>2605</v>
      </c>
      <c r="D65" t="n">
        <v>3540</v>
      </c>
      <c r="E65" t="n">
        <v>6515</v>
      </c>
      <c r="F65" t="n">
        <v>11964</v>
      </c>
      <c r="G65" t="n">
        <v>21807</v>
      </c>
      <c r="H65" t="n">
        <v>39606</v>
      </c>
      <c r="I65" t="n">
        <v>71449</v>
      </c>
      <c r="J65" t="n">
        <v>1640</v>
      </c>
      <c r="K65" t="n">
        <v>3540</v>
      </c>
      <c r="L65" t="n">
        <v>1640</v>
      </c>
      <c r="M65" t="n">
        <v>1000</v>
      </c>
      <c r="N65" t="n">
        <v>1320</v>
      </c>
      <c r="O65" t="n">
        <v>1640</v>
      </c>
      <c r="P65" t="n">
        <v>1960</v>
      </c>
      <c r="Q65" t="n">
        <v>2280</v>
      </c>
      <c r="R65" t="n">
        <v>2600</v>
      </c>
      <c r="S65" t="n">
        <v>2920</v>
      </c>
      <c r="T65" t="n">
        <v>3240</v>
      </c>
      <c r="U65" t="n">
        <v>3560</v>
      </c>
      <c r="V65" t="n">
        <v>1706</v>
      </c>
      <c r="W65" t="n">
        <v>1256</v>
      </c>
      <c r="X65" t="n">
        <v>1192</v>
      </c>
      <c r="Y65" t="n">
        <v>4200</v>
      </c>
    </row>
    <row r="66">
      <c r="A66" t="n">
        <v>65</v>
      </c>
      <c r="B66" t="n">
        <v>0</v>
      </c>
      <c r="C66" t="n">
        <v>2645</v>
      </c>
      <c r="D66" t="n">
        <v>3611</v>
      </c>
      <c r="E66" t="n">
        <v>6711</v>
      </c>
      <c r="F66" t="n">
        <v>12443</v>
      </c>
      <c r="G66" t="n">
        <v>22898</v>
      </c>
      <c r="H66" t="n">
        <v>41983</v>
      </c>
      <c r="I66" t="n">
        <v>76451</v>
      </c>
      <c r="J66" t="n">
        <v>1650</v>
      </c>
      <c r="K66" t="n">
        <v>3611</v>
      </c>
      <c r="L66" t="n">
        <v>1650</v>
      </c>
      <c r="M66" t="n">
        <v>1000</v>
      </c>
      <c r="N66" t="n">
        <v>1325</v>
      </c>
      <c r="O66" t="n">
        <v>1650</v>
      </c>
      <c r="P66" t="n">
        <v>1975</v>
      </c>
      <c r="Q66" t="n">
        <v>2300</v>
      </c>
      <c r="R66" t="n">
        <v>2625</v>
      </c>
      <c r="S66" t="n">
        <v>2950</v>
      </c>
      <c r="T66" t="n">
        <v>3275</v>
      </c>
      <c r="U66" t="n">
        <v>3600</v>
      </c>
      <c r="V66" t="n">
        <v>1719</v>
      </c>
      <c r="W66" t="n">
        <v>1260</v>
      </c>
      <c r="X66" t="n">
        <v>1195</v>
      </c>
      <c r="Y66" t="n">
        <v>4250</v>
      </c>
    </row>
    <row r="67">
      <c r="A67" t="n">
        <v>66</v>
      </c>
      <c r="B67" t="n">
        <v>0</v>
      </c>
      <c r="C67" t="n">
        <v>2685</v>
      </c>
      <c r="D67" t="n">
        <v>3684</v>
      </c>
      <c r="E67" t="n">
        <v>6913</v>
      </c>
      <c r="F67" t="n">
        <v>12941</v>
      </c>
      <c r="G67" t="n">
        <v>24043</v>
      </c>
      <c r="H67" t="n">
        <v>44502</v>
      </c>
      <c r="I67" t="n">
        <v>81803</v>
      </c>
      <c r="J67" t="n">
        <v>1660</v>
      </c>
      <c r="K67" t="n">
        <v>3684</v>
      </c>
      <c r="L67" t="n">
        <v>1660</v>
      </c>
      <c r="M67" t="n">
        <v>1000</v>
      </c>
      <c r="N67" t="n">
        <v>1330</v>
      </c>
      <c r="O67" t="n">
        <v>1660</v>
      </c>
      <c r="P67" t="n">
        <v>1990</v>
      </c>
      <c r="Q67" t="n">
        <v>2320</v>
      </c>
      <c r="R67" t="n">
        <v>2650</v>
      </c>
      <c r="S67" t="n">
        <v>2980</v>
      </c>
      <c r="T67" t="n">
        <v>3310</v>
      </c>
      <c r="U67" t="n">
        <v>3640</v>
      </c>
      <c r="V67" t="n">
        <v>1732</v>
      </c>
      <c r="W67" t="n">
        <v>1264</v>
      </c>
      <c r="X67" t="n">
        <v>1198</v>
      </c>
      <c r="Y67" t="n">
        <v>4300</v>
      </c>
    </row>
    <row r="68">
      <c r="A68" t="n">
        <v>67</v>
      </c>
      <c r="B68" t="n">
        <v>0</v>
      </c>
      <c r="C68" t="n">
        <v>2726</v>
      </c>
      <c r="D68" t="n">
        <v>3758</v>
      </c>
      <c r="E68" t="n">
        <v>7121</v>
      </c>
      <c r="F68" t="n">
        <v>13459</v>
      </c>
      <c r="G68" t="n">
        <v>25246</v>
      </c>
      <c r="H68" t="n">
        <v>47173</v>
      </c>
      <c r="I68" t="n">
        <v>87530</v>
      </c>
      <c r="J68" t="n">
        <v>1670</v>
      </c>
      <c r="K68" t="n">
        <v>3758</v>
      </c>
      <c r="L68" t="n">
        <v>1670</v>
      </c>
      <c r="M68" t="n">
        <v>1000</v>
      </c>
      <c r="N68" t="n">
        <v>1335</v>
      </c>
      <c r="O68" t="n">
        <v>1670</v>
      </c>
      <c r="P68" t="n">
        <v>2005</v>
      </c>
      <c r="Q68" t="n">
        <v>2340</v>
      </c>
      <c r="R68" t="n">
        <v>2675</v>
      </c>
      <c r="S68" t="n">
        <v>3010</v>
      </c>
      <c r="T68" t="n">
        <v>3345</v>
      </c>
      <c r="U68" t="n">
        <v>3680</v>
      </c>
      <c r="V68" t="n">
        <v>1745</v>
      </c>
      <c r="W68" t="n">
        <v>1268</v>
      </c>
      <c r="X68" t="n">
        <v>1201</v>
      </c>
      <c r="Y68" t="n">
        <v>4350</v>
      </c>
    </row>
    <row r="69">
      <c r="A69" t="n">
        <v>68</v>
      </c>
      <c r="B69" t="n">
        <v>0</v>
      </c>
      <c r="C69" t="n">
        <v>2767</v>
      </c>
      <c r="D69" t="n">
        <v>3834</v>
      </c>
      <c r="E69" t="n">
        <v>7335</v>
      </c>
      <c r="F69" t="n">
        <v>13998</v>
      </c>
      <c r="G69" t="n">
        <v>26509</v>
      </c>
      <c r="H69" t="n">
        <v>50004</v>
      </c>
      <c r="I69" t="n">
        <v>93658</v>
      </c>
      <c r="J69" t="n">
        <v>1680</v>
      </c>
      <c r="K69" t="n">
        <v>3834</v>
      </c>
      <c r="L69" t="n">
        <v>1680</v>
      </c>
      <c r="M69" t="n">
        <v>1000</v>
      </c>
      <c r="N69" t="n">
        <v>1340</v>
      </c>
      <c r="O69" t="n">
        <v>1680</v>
      </c>
      <c r="P69" t="n">
        <v>2020</v>
      </c>
      <c r="Q69" t="n">
        <v>2360</v>
      </c>
      <c r="R69" t="n">
        <v>2700</v>
      </c>
      <c r="S69" t="n">
        <v>3040</v>
      </c>
      <c r="T69" t="n">
        <v>3380</v>
      </c>
      <c r="U69" t="n">
        <v>3720</v>
      </c>
      <c r="V69" t="n">
        <v>1758</v>
      </c>
      <c r="W69" t="n">
        <v>1272</v>
      </c>
      <c r="X69" t="n">
        <v>1204</v>
      </c>
      <c r="Y69" t="n">
        <v>4400</v>
      </c>
    </row>
    <row r="70">
      <c r="A70" t="n">
        <v>69</v>
      </c>
      <c r="B70" t="n">
        <v>0</v>
      </c>
      <c r="C70" t="n">
        <v>2809</v>
      </c>
      <c r="D70" t="n">
        <v>3911</v>
      </c>
      <c r="E70" t="n">
        <v>7556</v>
      </c>
      <c r="F70" t="n">
        <v>14558</v>
      </c>
      <c r="G70" t="n">
        <v>27835</v>
      </c>
      <c r="H70" t="n">
        <v>53005</v>
      </c>
      <c r="I70" t="n">
        <v>100215</v>
      </c>
      <c r="J70" t="n">
        <v>1690</v>
      </c>
      <c r="K70" t="n">
        <v>3911</v>
      </c>
      <c r="L70" t="n">
        <v>1690</v>
      </c>
      <c r="M70" t="n">
        <v>1000</v>
      </c>
      <c r="N70" t="n">
        <v>1345</v>
      </c>
      <c r="O70" t="n">
        <v>1690</v>
      </c>
      <c r="P70" t="n">
        <v>2035</v>
      </c>
      <c r="Q70" t="n">
        <v>2380</v>
      </c>
      <c r="R70" t="n">
        <v>2725</v>
      </c>
      <c r="S70" t="n">
        <v>3070</v>
      </c>
      <c r="T70" t="n">
        <v>3415</v>
      </c>
      <c r="U70" t="n">
        <v>3760</v>
      </c>
      <c r="V70" t="n">
        <v>1771</v>
      </c>
      <c r="W70" t="n">
        <v>1276</v>
      </c>
      <c r="X70" t="n">
        <v>1207</v>
      </c>
      <c r="Y70" t="n">
        <v>4450</v>
      </c>
    </row>
    <row r="71">
      <c r="A71" t="n">
        <v>70</v>
      </c>
      <c r="B71" t="n">
        <v>0</v>
      </c>
      <c r="C71" t="n">
        <v>2852</v>
      </c>
      <c r="D71" t="n">
        <v>3990</v>
      </c>
      <c r="E71" t="n">
        <v>7783</v>
      </c>
      <c r="F71" t="n">
        <v>15141</v>
      </c>
      <c r="G71" t="n">
        <v>29227</v>
      </c>
      <c r="H71" t="n">
        <v>56186</v>
      </c>
      <c r="I71" t="n">
        <v>107231</v>
      </c>
      <c r="J71" t="n">
        <v>1700</v>
      </c>
      <c r="K71" t="n">
        <v>3990</v>
      </c>
      <c r="L71" t="n">
        <v>1700</v>
      </c>
      <c r="M71" t="n">
        <v>1000</v>
      </c>
      <c r="N71" t="n">
        <v>1350</v>
      </c>
      <c r="O71" t="n">
        <v>1700</v>
      </c>
      <c r="P71" t="n">
        <v>2050</v>
      </c>
      <c r="Q71" t="n">
        <v>2400</v>
      </c>
      <c r="R71" t="n">
        <v>2750</v>
      </c>
      <c r="S71" t="n">
        <v>3100</v>
      </c>
      <c r="T71" t="n">
        <v>3450</v>
      </c>
      <c r="U71" t="n">
        <v>3800</v>
      </c>
      <c r="V71" t="n">
        <v>1784</v>
      </c>
      <c r="W71" t="n">
        <v>1280</v>
      </c>
      <c r="X71" t="n">
        <v>1210</v>
      </c>
      <c r="Y71" t="n">
        <v>4500</v>
      </c>
    </row>
    <row r="72">
      <c r="A72" t="n">
        <v>71</v>
      </c>
      <c r="B72" t="n">
        <v>0</v>
      </c>
      <c r="C72" t="n">
        <v>2895</v>
      </c>
      <c r="D72" t="n">
        <v>4070</v>
      </c>
      <c r="E72" t="n">
        <v>8017</v>
      </c>
      <c r="F72" t="n">
        <v>15747</v>
      </c>
      <c r="G72" t="n">
        <v>30689</v>
      </c>
      <c r="H72" t="n">
        <v>59558</v>
      </c>
      <c r="I72" t="n">
        <v>114738</v>
      </c>
      <c r="J72" t="n">
        <v>1710</v>
      </c>
      <c r="K72" t="n">
        <v>4070</v>
      </c>
      <c r="L72" t="n">
        <v>1710</v>
      </c>
      <c r="M72" t="n">
        <v>1000</v>
      </c>
      <c r="N72" t="n">
        <v>1355</v>
      </c>
      <c r="O72" t="n">
        <v>1710</v>
      </c>
      <c r="P72" t="n">
        <v>2065</v>
      </c>
      <c r="Q72" t="n">
        <v>2420</v>
      </c>
      <c r="R72" t="n">
        <v>2775</v>
      </c>
      <c r="S72" t="n">
        <v>3130</v>
      </c>
      <c r="T72" t="n">
        <v>3485</v>
      </c>
      <c r="U72" t="n">
        <v>3840</v>
      </c>
      <c r="V72" t="n">
        <v>1797</v>
      </c>
      <c r="W72" t="n">
        <v>1284</v>
      </c>
      <c r="X72" t="n">
        <v>1213</v>
      </c>
      <c r="Y72" t="n">
        <v>4550</v>
      </c>
    </row>
    <row r="73">
      <c r="A73" t="n">
        <v>72</v>
      </c>
      <c r="B73" t="n">
        <v>0</v>
      </c>
      <c r="C73" t="n">
        <v>2939</v>
      </c>
      <c r="D73" t="n">
        <v>4152</v>
      </c>
      <c r="E73" t="n">
        <v>8258</v>
      </c>
      <c r="F73" t="n">
        <v>16377</v>
      </c>
      <c r="G73" t="n">
        <v>32224</v>
      </c>
      <c r="H73" t="n">
        <v>63132</v>
      </c>
      <c r="I73" t="n">
        <v>122770</v>
      </c>
      <c r="J73" t="n">
        <v>1720</v>
      </c>
      <c r="K73" t="n">
        <v>4152</v>
      </c>
      <c r="L73" t="n">
        <v>1720</v>
      </c>
      <c r="M73" t="n">
        <v>1000</v>
      </c>
      <c r="N73" t="n">
        <v>1360</v>
      </c>
      <c r="O73" t="n">
        <v>1720</v>
      </c>
      <c r="P73" t="n">
        <v>2080</v>
      </c>
      <c r="Q73" t="n">
        <v>2440</v>
      </c>
      <c r="R73" t="n">
        <v>2800</v>
      </c>
      <c r="S73" t="n">
        <v>3160</v>
      </c>
      <c r="T73" t="n">
        <v>3520</v>
      </c>
      <c r="U73" t="n">
        <v>3880</v>
      </c>
      <c r="V73" t="n">
        <v>1811</v>
      </c>
      <c r="W73" t="n">
        <v>1288</v>
      </c>
      <c r="X73" t="n">
        <v>1216</v>
      </c>
      <c r="Y73" t="n">
        <v>4600</v>
      </c>
    </row>
    <row r="74">
      <c r="A74" t="n">
        <v>73</v>
      </c>
      <c r="B74" t="n">
        <v>0</v>
      </c>
      <c r="C74" t="n">
        <v>2984</v>
      </c>
      <c r="D74" t="n">
        <v>4236</v>
      </c>
      <c r="E74" t="n">
        <v>8506</v>
      </c>
      <c r="F74" t="n">
        <v>17033</v>
      </c>
      <c r="G74" t="n">
        <v>33836</v>
      </c>
      <c r="H74" t="n">
        <v>66920</v>
      </c>
      <c r="I74" t="n">
        <v>131364</v>
      </c>
      <c r="J74" t="n">
        <v>1730</v>
      </c>
      <c r="K74" t="n">
        <v>4236</v>
      </c>
      <c r="L74" t="n">
        <v>1730</v>
      </c>
      <c r="M74" t="n">
        <v>1000</v>
      </c>
      <c r="N74" t="n">
        <v>1365</v>
      </c>
      <c r="O74" t="n">
        <v>1730</v>
      </c>
      <c r="P74" t="n">
        <v>2095</v>
      </c>
      <c r="Q74" t="n">
        <v>2460</v>
      </c>
      <c r="R74" t="n">
        <v>2825</v>
      </c>
      <c r="S74" t="n">
        <v>3190</v>
      </c>
      <c r="T74" t="n">
        <v>3555</v>
      </c>
      <c r="U74" t="n">
        <v>3920</v>
      </c>
      <c r="V74" t="n">
        <v>1825</v>
      </c>
      <c r="W74" t="n">
        <v>1292</v>
      </c>
      <c r="X74" t="n">
        <v>1219</v>
      </c>
      <c r="Y74" t="n">
        <v>4650</v>
      </c>
    </row>
    <row r="75">
      <c r="A75" t="n">
        <v>74</v>
      </c>
      <c r="B75" t="n">
        <v>0</v>
      </c>
      <c r="C75" t="n">
        <v>3029</v>
      </c>
      <c r="D75" t="n">
        <v>4321</v>
      </c>
      <c r="E75" t="n">
        <v>8762</v>
      </c>
      <c r="F75" t="n">
        <v>17715</v>
      </c>
      <c r="G75" t="n">
        <v>35528</v>
      </c>
      <c r="H75" t="n">
        <v>70936</v>
      </c>
      <c r="I75" t="n">
        <v>140560</v>
      </c>
      <c r="J75" t="n">
        <v>1740</v>
      </c>
      <c r="K75" t="n">
        <v>4321</v>
      </c>
      <c r="L75" t="n">
        <v>1740</v>
      </c>
      <c r="M75" t="n">
        <v>1000</v>
      </c>
      <c r="N75" t="n">
        <v>1370</v>
      </c>
      <c r="O75" t="n">
        <v>1740</v>
      </c>
      <c r="P75" t="n">
        <v>2110</v>
      </c>
      <c r="Q75" t="n">
        <v>2480</v>
      </c>
      <c r="R75" t="n">
        <v>2850</v>
      </c>
      <c r="S75" t="n">
        <v>3220</v>
      </c>
      <c r="T75" t="n">
        <v>3590</v>
      </c>
      <c r="U75" t="n">
        <v>3960</v>
      </c>
      <c r="V75" t="n">
        <v>1839</v>
      </c>
      <c r="W75" t="n">
        <v>1296</v>
      </c>
      <c r="X75" t="n">
        <v>1222</v>
      </c>
      <c r="Y75" t="n">
        <v>4700</v>
      </c>
    </row>
    <row r="76">
      <c r="A76" t="n">
        <v>75</v>
      </c>
      <c r="B76" t="n">
        <v>0</v>
      </c>
      <c r="C76" t="n">
        <v>3075</v>
      </c>
      <c r="D76" t="n">
        <v>4408</v>
      </c>
      <c r="E76" t="n">
        <v>9025</v>
      </c>
      <c r="F76" t="n">
        <v>18424</v>
      </c>
      <c r="G76" t="n">
        <v>37305</v>
      </c>
      <c r="H76" t="n">
        <v>75193</v>
      </c>
      <c r="I76" t="n">
        <v>150400</v>
      </c>
      <c r="J76" t="n">
        <v>1750</v>
      </c>
      <c r="K76" t="n">
        <v>4408</v>
      </c>
      <c r="L76" t="n">
        <v>1750</v>
      </c>
      <c r="M76" t="n">
        <v>1000</v>
      </c>
      <c r="N76" t="n">
        <v>1375</v>
      </c>
      <c r="O76" t="n">
        <v>1750</v>
      </c>
      <c r="P76" t="n">
        <v>2125</v>
      </c>
      <c r="Q76" t="n">
        <v>2500</v>
      </c>
      <c r="R76" t="n">
        <v>2875</v>
      </c>
      <c r="S76" t="n">
        <v>3250</v>
      </c>
      <c r="T76" t="n">
        <v>3625</v>
      </c>
      <c r="U76" t="n">
        <v>4000</v>
      </c>
      <c r="V76" t="n">
        <v>1853</v>
      </c>
      <c r="W76" t="n">
        <v>1300</v>
      </c>
      <c r="X76" t="n">
        <v>1225</v>
      </c>
      <c r="Y76" t="n">
        <v>4750</v>
      </c>
    </row>
    <row r="77">
      <c r="A77" t="n">
        <v>76</v>
      </c>
      <c r="B77" t="n">
        <v>0</v>
      </c>
      <c r="C77" t="n">
        <v>3122</v>
      </c>
      <c r="D77" t="n">
        <v>4497</v>
      </c>
      <c r="E77" t="n">
        <v>9296</v>
      </c>
      <c r="F77" t="n">
        <v>19161</v>
      </c>
      <c r="G77" t="n">
        <v>39171</v>
      </c>
      <c r="H77" t="n">
        <v>79705</v>
      </c>
      <c r="I77" t="n">
        <v>160928</v>
      </c>
      <c r="J77" t="n">
        <v>1760</v>
      </c>
      <c r="K77" t="n">
        <v>4497</v>
      </c>
      <c r="L77" t="n">
        <v>1760</v>
      </c>
      <c r="M77" t="n">
        <v>1000</v>
      </c>
      <c r="N77" t="n">
        <v>1380</v>
      </c>
      <c r="O77" t="n">
        <v>1760</v>
      </c>
      <c r="P77" t="n">
        <v>2140</v>
      </c>
      <c r="Q77" t="n">
        <v>2520</v>
      </c>
      <c r="R77" t="n">
        <v>2900</v>
      </c>
      <c r="S77" t="n">
        <v>3280</v>
      </c>
      <c r="T77" t="n">
        <v>3660</v>
      </c>
      <c r="U77" t="n">
        <v>4040</v>
      </c>
      <c r="V77" t="n">
        <v>1867</v>
      </c>
      <c r="W77" t="n">
        <v>1304</v>
      </c>
      <c r="X77" t="n">
        <v>1228</v>
      </c>
      <c r="Y77" t="n">
        <v>4800</v>
      </c>
    </row>
    <row r="78">
      <c r="A78" t="n">
        <v>77</v>
      </c>
      <c r="B78" t="n">
        <v>0</v>
      </c>
      <c r="C78" t="n">
        <v>3169</v>
      </c>
      <c r="D78" t="n">
        <v>4587</v>
      </c>
      <c r="E78" t="n">
        <v>9575</v>
      </c>
      <c r="F78" t="n">
        <v>19928</v>
      </c>
      <c r="G78" t="n">
        <v>41130</v>
      </c>
      <c r="H78" t="n">
        <v>84488</v>
      </c>
      <c r="I78" t="n">
        <v>172193</v>
      </c>
      <c r="J78" t="n">
        <v>1770</v>
      </c>
      <c r="K78" t="n">
        <v>4587</v>
      </c>
      <c r="L78" t="n">
        <v>1770</v>
      </c>
      <c r="M78" t="n">
        <v>1000</v>
      </c>
      <c r="N78" t="n">
        <v>1385</v>
      </c>
      <c r="O78" t="n">
        <v>1770</v>
      </c>
      <c r="P78" t="n">
        <v>2155</v>
      </c>
      <c r="Q78" t="n">
        <v>2540</v>
      </c>
      <c r="R78" t="n">
        <v>2925</v>
      </c>
      <c r="S78" t="n">
        <v>3310</v>
      </c>
      <c r="T78" t="n">
        <v>3695</v>
      </c>
      <c r="U78" t="n">
        <v>4080</v>
      </c>
      <c r="V78" t="n">
        <v>1881</v>
      </c>
      <c r="W78" t="n">
        <v>1308</v>
      </c>
      <c r="X78" t="n">
        <v>1231</v>
      </c>
      <c r="Y78" t="n">
        <v>4850</v>
      </c>
    </row>
    <row r="79">
      <c r="A79" t="n">
        <v>78</v>
      </c>
      <c r="B79" t="n">
        <v>0</v>
      </c>
      <c r="C79" t="n">
        <v>3217</v>
      </c>
      <c r="D79" t="n">
        <v>4679</v>
      </c>
      <c r="E79" t="n">
        <v>9863</v>
      </c>
      <c r="F79" t="n">
        <v>20726</v>
      </c>
      <c r="G79" t="n">
        <v>43187</v>
      </c>
      <c r="H79" t="n">
        <v>89558</v>
      </c>
      <c r="I79" t="n">
        <v>184247</v>
      </c>
      <c r="J79" t="n">
        <v>1780</v>
      </c>
      <c r="K79" t="n">
        <v>4679</v>
      </c>
      <c r="L79" t="n">
        <v>1780</v>
      </c>
      <c r="M79" t="n">
        <v>1000</v>
      </c>
      <c r="N79" t="n">
        <v>1390</v>
      </c>
      <c r="O79" t="n">
        <v>1780</v>
      </c>
      <c r="P79" t="n">
        <v>2170</v>
      </c>
      <c r="Q79" t="n">
        <v>2560</v>
      </c>
      <c r="R79" t="n">
        <v>2950</v>
      </c>
      <c r="S79" t="n">
        <v>3340</v>
      </c>
      <c r="T79" t="n">
        <v>3730</v>
      </c>
      <c r="U79" t="n">
        <v>4120</v>
      </c>
      <c r="V79" t="n">
        <v>1895</v>
      </c>
      <c r="W79" t="n">
        <v>1312</v>
      </c>
      <c r="X79" t="n">
        <v>1234</v>
      </c>
      <c r="Y79" t="n">
        <v>4900</v>
      </c>
    </row>
    <row r="80">
      <c r="A80" t="n">
        <v>79</v>
      </c>
      <c r="B80" t="n">
        <v>0</v>
      </c>
      <c r="C80" t="n">
        <v>3266</v>
      </c>
      <c r="D80" t="n">
        <v>4773</v>
      </c>
      <c r="E80" t="n">
        <v>10159</v>
      </c>
      <c r="F80" t="n">
        <v>21556</v>
      </c>
      <c r="G80" t="n">
        <v>45347</v>
      </c>
      <c r="H80" t="n">
        <v>94932</v>
      </c>
      <c r="I80" t="n">
        <v>197145</v>
      </c>
      <c r="J80" t="n">
        <v>1790</v>
      </c>
      <c r="K80" t="n">
        <v>4773</v>
      </c>
      <c r="L80" t="n">
        <v>1790</v>
      </c>
      <c r="M80" t="n">
        <v>1000</v>
      </c>
      <c r="N80" t="n">
        <v>1395</v>
      </c>
      <c r="O80" t="n">
        <v>1790</v>
      </c>
      <c r="P80" t="n">
        <v>2185</v>
      </c>
      <c r="Q80" t="n">
        <v>2580</v>
      </c>
      <c r="R80" t="n">
        <v>2975</v>
      </c>
      <c r="S80" t="n">
        <v>3370</v>
      </c>
      <c r="T80" t="n">
        <v>3765</v>
      </c>
      <c r="U80" t="n">
        <v>4160</v>
      </c>
      <c r="V80" t="n">
        <v>1909</v>
      </c>
      <c r="W80" t="n">
        <v>1316</v>
      </c>
      <c r="X80" t="n">
        <v>1237</v>
      </c>
      <c r="Y80" t="n">
        <v>4950</v>
      </c>
    </row>
    <row r="81">
      <c r="A81" t="n">
        <v>80</v>
      </c>
      <c r="B81" t="n">
        <v>0</v>
      </c>
      <c r="C81" t="n">
        <v>3315</v>
      </c>
      <c r="D81" t="n">
        <v>4869</v>
      </c>
      <c r="E81" t="n">
        <v>10464</v>
      </c>
      <c r="F81" t="n">
        <v>22419</v>
      </c>
      <c r="G81" t="n">
        <v>47615</v>
      </c>
      <c r="H81" t="n">
        <v>100628</v>
      </c>
      <c r="I81" t="n">
        <v>210946</v>
      </c>
      <c r="J81" t="n">
        <v>1800</v>
      </c>
      <c r="K81" t="n">
        <v>4869</v>
      </c>
      <c r="L81" t="n">
        <v>1800</v>
      </c>
      <c r="M81" t="n">
        <v>1000</v>
      </c>
      <c r="N81" t="n">
        <v>1400</v>
      </c>
      <c r="O81" t="n">
        <v>1800</v>
      </c>
      <c r="P81" t="n">
        <v>2200</v>
      </c>
      <c r="Q81" t="n">
        <v>2600</v>
      </c>
      <c r="R81" t="n">
        <v>3000</v>
      </c>
      <c r="S81" t="n">
        <v>3400</v>
      </c>
      <c r="T81" t="n">
        <v>3800</v>
      </c>
      <c r="U81" t="n">
        <v>4200</v>
      </c>
      <c r="V81" t="n">
        <v>1923</v>
      </c>
      <c r="W81" t="n">
        <v>1320</v>
      </c>
      <c r="X81" t="n">
        <v>1240</v>
      </c>
      <c r="Y81" t="n">
        <v>5000</v>
      </c>
    </row>
    <row r="82">
      <c r="A82" t="n">
        <v>81</v>
      </c>
      <c r="B82" t="n">
        <v>0</v>
      </c>
      <c r="C82" t="n">
        <v>3365</v>
      </c>
      <c r="D82" t="n">
        <v>4967</v>
      </c>
      <c r="E82" t="n">
        <v>10778</v>
      </c>
      <c r="F82" t="n">
        <v>23316</v>
      </c>
      <c r="G82" t="n">
        <v>49996</v>
      </c>
      <c r="H82" t="n">
        <v>106666</v>
      </c>
      <c r="I82" t="n">
        <v>225713</v>
      </c>
      <c r="J82" t="n">
        <v>1810</v>
      </c>
      <c r="K82" t="n">
        <v>4967</v>
      </c>
      <c r="L82" t="n">
        <v>1810</v>
      </c>
      <c r="M82" t="n">
        <v>1000</v>
      </c>
      <c r="N82" t="n">
        <v>1405</v>
      </c>
      <c r="O82" t="n">
        <v>1810</v>
      </c>
      <c r="P82" t="n">
        <v>2215</v>
      </c>
      <c r="Q82" t="n">
        <v>2620</v>
      </c>
      <c r="R82" t="n">
        <v>3025</v>
      </c>
      <c r="S82" t="n">
        <v>3430</v>
      </c>
      <c r="T82" t="n">
        <v>3835</v>
      </c>
      <c r="U82" t="n">
        <v>4240</v>
      </c>
      <c r="V82" t="n">
        <v>1937</v>
      </c>
      <c r="W82" t="n">
        <v>1324</v>
      </c>
      <c r="X82" t="n">
        <v>1243</v>
      </c>
      <c r="Y82" t="n">
        <v>5050</v>
      </c>
    </row>
    <row r="83">
      <c r="A83" t="n">
        <v>82</v>
      </c>
      <c r="B83" t="n">
        <v>0</v>
      </c>
      <c r="C83" t="n">
        <v>3416</v>
      </c>
      <c r="D83" t="n">
        <v>5067</v>
      </c>
      <c r="E83" t="n">
        <v>11102</v>
      </c>
      <c r="F83" t="n">
        <v>24249</v>
      </c>
      <c r="G83" t="n">
        <v>52496</v>
      </c>
      <c r="H83" t="n">
        <v>113066</v>
      </c>
      <c r="I83" t="n">
        <v>241513</v>
      </c>
      <c r="J83" t="n">
        <v>1820</v>
      </c>
      <c r="K83" t="n">
        <v>5067</v>
      </c>
      <c r="L83" t="n">
        <v>1820</v>
      </c>
      <c r="M83" t="n">
        <v>1000</v>
      </c>
      <c r="N83" t="n">
        <v>1410</v>
      </c>
      <c r="O83" t="n">
        <v>1820</v>
      </c>
      <c r="P83" t="n">
        <v>2230</v>
      </c>
      <c r="Q83" t="n">
        <v>2640</v>
      </c>
      <c r="R83" t="n">
        <v>3050</v>
      </c>
      <c r="S83" t="n">
        <v>3460</v>
      </c>
      <c r="T83" t="n">
        <v>3870</v>
      </c>
      <c r="U83" t="n">
        <v>4280</v>
      </c>
      <c r="V83" t="n">
        <v>1951</v>
      </c>
      <c r="W83" t="n">
        <v>1328</v>
      </c>
      <c r="X83" t="n">
        <v>1246</v>
      </c>
      <c r="Y83" t="n">
        <v>5100</v>
      </c>
    </row>
    <row r="84">
      <c r="A84" t="n">
        <v>83</v>
      </c>
      <c r="B84" t="n">
        <v>0</v>
      </c>
      <c r="C84" t="n">
        <v>3468</v>
      </c>
      <c r="D84" t="n">
        <v>5169</v>
      </c>
      <c r="E84" t="n">
        <v>11436</v>
      </c>
      <c r="F84" t="n">
        <v>25219</v>
      </c>
      <c r="G84" t="n">
        <v>55121</v>
      </c>
      <c r="H84" t="n">
        <v>119850</v>
      </c>
      <c r="I84" t="n">
        <v>258419</v>
      </c>
      <c r="J84" t="n">
        <v>1830</v>
      </c>
      <c r="K84" t="n">
        <v>5169</v>
      </c>
      <c r="L84" t="n">
        <v>1830</v>
      </c>
      <c r="M84" t="n">
        <v>1000</v>
      </c>
      <c r="N84" t="n">
        <v>1415</v>
      </c>
      <c r="O84" t="n">
        <v>1830</v>
      </c>
      <c r="P84" t="n">
        <v>2245</v>
      </c>
      <c r="Q84" t="n">
        <v>2660</v>
      </c>
      <c r="R84" t="n">
        <v>3075</v>
      </c>
      <c r="S84" t="n">
        <v>3490</v>
      </c>
      <c r="T84" t="n">
        <v>3905</v>
      </c>
      <c r="U84" t="n">
        <v>4320</v>
      </c>
      <c r="V84" t="n">
        <v>1965</v>
      </c>
      <c r="W84" t="n">
        <v>1332</v>
      </c>
      <c r="X84" t="n">
        <v>1249</v>
      </c>
      <c r="Y84" t="n">
        <v>5150</v>
      </c>
    </row>
    <row r="85">
      <c r="A85" t="n">
        <v>84</v>
      </c>
      <c r="B85" t="n">
        <v>0</v>
      </c>
      <c r="C85" t="n">
        <v>3521</v>
      </c>
      <c r="D85" t="n">
        <v>5273</v>
      </c>
      <c r="E85" t="n">
        <v>11780</v>
      </c>
      <c r="F85" t="n">
        <v>26228</v>
      </c>
      <c r="G85" t="n">
        <v>57878</v>
      </c>
      <c r="H85" t="n">
        <v>127041</v>
      </c>
      <c r="I85" t="n">
        <v>276509</v>
      </c>
      <c r="J85" t="n">
        <v>1840</v>
      </c>
      <c r="K85" t="n">
        <v>5273</v>
      </c>
      <c r="L85" t="n">
        <v>1840</v>
      </c>
      <c r="M85" t="n">
        <v>1000</v>
      </c>
      <c r="N85" t="n">
        <v>1420</v>
      </c>
      <c r="O85" t="n">
        <v>1840</v>
      </c>
      <c r="P85" t="n">
        <v>2260</v>
      </c>
      <c r="Q85" t="n">
        <v>2680</v>
      </c>
      <c r="R85" t="n">
        <v>3100</v>
      </c>
      <c r="S85" t="n">
        <v>3520</v>
      </c>
      <c r="T85" t="n">
        <v>3940</v>
      </c>
      <c r="U85" t="n">
        <v>4360</v>
      </c>
      <c r="V85" t="n">
        <v>1979</v>
      </c>
      <c r="W85" t="n">
        <v>1336</v>
      </c>
      <c r="X85" t="n">
        <v>1252</v>
      </c>
      <c r="Y85" t="n">
        <v>5200</v>
      </c>
    </row>
    <row r="86">
      <c r="A86" t="n">
        <v>85</v>
      </c>
      <c r="B86" t="n">
        <v>0</v>
      </c>
      <c r="C86" t="n">
        <v>3574</v>
      </c>
      <c r="D86" t="n">
        <v>5379</v>
      </c>
      <c r="E86" t="n">
        <v>12134</v>
      </c>
      <c r="F86" t="n">
        <v>27278</v>
      </c>
      <c r="G86" t="n">
        <v>60772</v>
      </c>
      <c r="H86" t="n">
        <v>134664</v>
      </c>
      <c r="I86" t="n">
        <v>295865</v>
      </c>
      <c r="J86" t="n">
        <v>1850</v>
      </c>
      <c r="K86" t="n">
        <v>5379</v>
      </c>
      <c r="L86" t="n">
        <v>1850</v>
      </c>
      <c r="M86" t="n">
        <v>1000</v>
      </c>
      <c r="N86" t="n">
        <v>1425</v>
      </c>
      <c r="O86" t="n">
        <v>1850</v>
      </c>
      <c r="P86" t="n">
        <v>2275</v>
      </c>
      <c r="Q86" t="n">
        <v>2700</v>
      </c>
      <c r="R86" t="n">
        <v>3125</v>
      </c>
      <c r="S86" t="n">
        <v>3550</v>
      </c>
      <c r="T86" t="n">
        <v>3975</v>
      </c>
      <c r="U86" t="n">
        <v>4400</v>
      </c>
      <c r="V86" t="n">
        <v>1993</v>
      </c>
      <c r="W86" t="n">
        <v>1340</v>
      </c>
      <c r="X86" t="n">
        <v>1255</v>
      </c>
      <c r="Y86" t="n">
        <v>5250</v>
      </c>
    </row>
    <row r="87">
      <c r="A87" t="n">
        <v>86</v>
      </c>
      <c r="B87" t="n">
        <v>0</v>
      </c>
      <c r="C87" t="n">
        <v>3628</v>
      </c>
      <c r="D87" t="n">
        <v>5487</v>
      </c>
      <c r="E87" t="n">
        <v>12499</v>
      </c>
      <c r="F87" t="n">
        <v>28370</v>
      </c>
      <c r="G87" t="n">
        <v>63811</v>
      </c>
      <c r="H87" t="n">
        <v>142744</v>
      </c>
      <c r="I87" t="n">
        <v>316576</v>
      </c>
      <c r="J87" t="n">
        <v>1860</v>
      </c>
      <c r="K87" t="n">
        <v>5487</v>
      </c>
      <c r="L87" t="n">
        <v>1860</v>
      </c>
      <c r="M87" t="n">
        <v>1000</v>
      </c>
      <c r="N87" t="n">
        <v>1430</v>
      </c>
      <c r="O87" t="n">
        <v>1860</v>
      </c>
      <c r="P87" t="n">
        <v>2290</v>
      </c>
      <c r="Q87" t="n">
        <v>2720</v>
      </c>
      <c r="R87" t="n">
        <v>3150</v>
      </c>
      <c r="S87" t="n">
        <v>3580</v>
      </c>
      <c r="T87" t="n">
        <v>4010</v>
      </c>
      <c r="U87" t="n">
        <v>4440</v>
      </c>
      <c r="V87" t="n">
        <v>2007</v>
      </c>
      <c r="W87" t="n">
        <v>1344</v>
      </c>
      <c r="X87" t="n">
        <v>1258</v>
      </c>
      <c r="Y87" t="n">
        <v>5300</v>
      </c>
    </row>
    <row r="88">
      <c r="A88" t="n">
        <v>87</v>
      </c>
      <c r="B88" t="n">
        <v>0</v>
      </c>
      <c r="C88" t="n">
        <v>3683</v>
      </c>
      <c r="D88" t="n">
        <v>5597</v>
      </c>
      <c r="E88" t="n">
        <v>12874</v>
      </c>
      <c r="F88" t="n">
        <v>29505</v>
      </c>
      <c r="G88" t="n">
        <v>67002</v>
      </c>
      <c r="H88" t="n">
        <v>151309</v>
      </c>
      <c r="I88" t="n">
        <v>338737</v>
      </c>
      <c r="J88" t="n">
        <v>1870</v>
      </c>
      <c r="K88" t="n">
        <v>5597</v>
      </c>
      <c r="L88" t="n">
        <v>1870</v>
      </c>
      <c r="M88" t="n">
        <v>1000</v>
      </c>
      <c r="N88" t="n">
        <v>1435</v>
      </c>
      <c r="O88" t="n">
        <v>1870</v>
      </c>
      <c r="P88" t="n">
        <v>2305</v>
      </c>
      <c r="Q88" t="n">
        <v>2740</v>
      </c>
      <c r="R88" t="n">
        <v>3175</v>
      </c>
      <c r="S88" t="n">
        <v>3610</v>
      </c>
      <c r="T88" t="n">
        <v>4045</v>
      </c>
      <c r="U88" t="n">
        <v>4480</v>
      </c>
      <c r="V88" t="n">
        <v>2022</v>
      </c>
      <c r="W88" t="n">
        <v>1348</v>
      </c>
      <c r="X88" t="n">
        <v>1261</v>
      </c>
      <c r="Y88" t="n">
        <v>5350</v>
      </c>
    </row>
    <row r="89">
      <c r="A89" t="n">
        <v>88</v>
      </c>
      <c r="B89" t="n">
        <v>0</v>
      </c>
      <c r="C89" t="n">
        <v>3739</v>
      </c>
      <c r="D89" t="n">
        <v>5709</v>
      </c>
      <c r="E89" t="n">
        <v>13261</v>
      </c>
      <c r="F89" t="n">
        <v>30686</v>
      </c>
      <c r="G89" t="n">
        <v>70353</v>
      </c>
      <c r="H89" t="n">
        <v>160388</v>
      </c>
      <c r="I89" t="n">
        <v>362449</v>
      </c>
      <c r="J89" t="n">
        <v>1880</v>
      </c>
      <c r="K89" t="n">
        <v>5709</v>
      </c>
      <c r="L89" t="n">
        <v>1880</v>
      </c>
      <c r="M89" t="n">
        <v>1000</v>
      </c>
      <c r="N89" t="n">
        <v>1440</v>
      </c>
      <c r="O89" t="n">
        <v>1880</v>
      </c>
      <c r="P89" t="n">
        <v>2320</v>
      </c>
      <c r="Q89" t="n">
        <v>2760</v>
      </c>
      <c r="R89" t="n">
        <v>3200</v>
      </c>
      <c r="S89" t="n">
        <v>3640</v>
      </c>
      <c r="T89" t="n">
        <v>4080</v>
      </c>
      <c r="U89" t="n">
        <v>4520</v>
      </c>
      <c r="V89" t="n">
        <v>2037</v>
      </c>
      <c r="W89" t="n">
        <v>1352</v>
      </c>
      <c r="X89" t="n">
        <v>1264</v>
      </c>
      <c r="Y89" t="n">
        <v>5400</v>
      </c>
    </row>
    <row r="90">
      <c r="A90" t="n">
        <v>89</v>
      </c>
      <c r="B90" t="n">
        <v>0</v>
      </c>
      <c r="C90" t="n">
        <v>3796</v>
      </c>
      <c r="D90" t="n">
        <v>5824</v>
      </c>
      <c r="E90" t="n">
        <v>13659</v>
      </c>
      <c r="F90" t="n">
        <v>31914</v>
      </c>
      <c r="G90" t="n">
        <v>73871</v>
      </c>
      <c r="H90" t="n">
        <v>170012</v>
      </c>
      <c r="I90" t="n">
        <v>387821</v>
      </c>
      <c r="J90" t="n">
        <v>1890</v>
      </c>
      <c r="K90" t="n">
        <v>5824</v>
      </c>
      <c r="L90" t="n">
        <v>1890</v>
      </c>
      <c r="M90" t="n">
        <v>1000</v>
      </c>
      <c r="N90" t="n">
        <v>1445</v>
      </c>
      <c r="O90" t="n">
        <v>1890</v>
      </c>
      <c r="P90" t="n">
        <v>2335</v>
      </c>
      <c r="Q90" t="n">
        <v>2780</v>
      </c>
      <c r="R90" t="n">
        <v>3225</v>
      </c>
      <c r="S90" t="n">
        <v>3670</v>
      </c>
      <c r="T90" t="n">
        <v>4115</v>
      </c>
      <c r="U90" t="n">
        <v>4560</v>
      </c>
      <c r="V90" t="n">
        <v>2052</v>
      </c>
      <c r="W90" t="n">
        <v>1356</v>
      </c>
      <c r="X90" t="n">
        <v>1267</v>
      </c>
      <c r="Y90" t="n">
        <v>5450</v>
      </c>
    </row>
    <row r="91">
      <c r="A91" t="n">
        <v>90</v>
      </c>
      <c r="B91" t="n">
        <v>0</v>
      </c>
      <c r="C91" t="n">
        <v>3853</v>
      </c>
      <c r="D91" t="n">
        <v>5941</v>
      </c>
      <c r="E91" t="n">
        <v>14069</v>
      </c>
      <c r="F91" t="n">
        <v>33191</v>
      </c>
      <c r="G91" t="n">
        <v>77565</v>
      </c>
      <c r="H91" t="n">
        <v>180213</v>
      </c>
      <c r="I91" t="n">
        <v>414969</v>
      </c>
      <c r="J91" t="n">
        <v>1900</v>
      </c>
      <c r="K91" t="n">
        <v>5941</v>
      </c>
      <c r="L91" t="n">
        <v>1900</v>
      </c>
      <c r="M91" t="n">
        <v>1000</v>
      </c>
      <c r="N91" t="n">
        <v>1450</v>
      </c>
      <c r="O91" t="n">
        <v>1900</v>
      </c>
      <c r="P91" t="n">
        <v>2350</v>
      </c>
      <c r="Q91" t="n">
        <v>2800</v>
      </c>
      <c r="R91" t="n">
        <v>3250</v>
      </c>
      <c r="S91" t="n">
        <v>3700</v>
      </c>
      <c r="T91" t="n">
        <v>4150</v>
      </c>
      <c r="U91" t="n">
        <v>4600</v>
      </c>
      <c r="V91" t="n">
        <v>2067</v>
      </c>
      <c r="W91" t="n">
        <v>1360</v>
      </c>
      <c r="X91" t="n">
        <v>1270</v>
      </c>
      <c r="Y91" t="n">
        <v>5500</v>
      </c>
    </row>
    <row r="92">
      <c r="A92" t="n">
        <v>91</v>
      </c>
      <c r="B92" t="n">
        <v>0</v>
      </c>
      <c r="C92" t="n">
        <v>3911</v>
      </c>
      <c r="D92" t="n">
        <v>6060</v>
      </c>
      <c r="E92" t="n">
        <v>14492</v>
      </c>
      <c r="F92" t="n">
        <v>34519</v>
      </c>
      <c r="G92" t="n">
        <v>81444</v>
      </c>
      <c r="H92" t="n">
        <v>191026</v>
      </c>
      <c r="I92" t="n">
        <v>444017</v>
      </c>
      <c r="J92" t="n">
        <v>1910</v>
      </c>
      <c r="K92" t="n">
        <v>6060</v>
      </c>
      <c r="L92" t="n">
        <v>1910</v>
      </c>
      <c r="M92" t="n">
        <v>1000</v>
      </c>
      <c r="N92" t="n">
        <v>1455</v>
      </c>
      <c r="O92" t="n">
        <v>1910</v>
      </c>
      <c r="P92" t="n">
        <v>2365</v>
      </c>
      <c r="Q92" t="n">
        <v>2820</v>
      </c>
      <c r="R92" t="n">
        <v>3275</v>
      </c>
      <c r="S92" t="n">
        <v>3730</v>
      </c>
      <c r="T92" t="n">
        <v>4185</v>
      </c>
      <c r="U92" t="n">
        <v>4640</v>
      </c>
      <c r="V92" t="n">
        <v>2082</v>
      </c>
      <c r="W92" t="n">
        <v>1364</v>
      </c>
      <c r="X92" t="n">
        <v>1273</v>
      </c>
      <c r="Y92" t="n">
        <v>5550</v>
      </c>
    </row>
    <row r="93">
      <c r="A93" t="n">
        <v>92</v>
      </c>
      <c r="B93" t="n">
        <v>0</v>
      </c>
      <c r="C93" t="n">
        <v>3970</v>
      </c>
      <c r="D93" t="n">
        <v>6182</v>
      </c>
      <c r="E93" t="n">
        <v>14927</v>
      </c>
      <c r="F93" t="n">
        <v>35900</v>
      </c>
      <c r="G93" t="n">
        <v>85517</v>
      </c>
      <c r="H93" t="n">
        <v>202488</v>
      </c>
      <c r="I93" t="n">
        <v>475099</v>
      </c>
      <c r="J93" t="n">
        <v>1920</v>
      </c>
      <c r="K93" t="n">
        <v>6182</v>
      </c>
      <c r="L93" t="n">
        <v>1920</v>
      </c>
      <c r="M93" t="n">
        <v>1000</v>
      </c>
      <c r="N93" t="n">
        <v>1460</v>
      </c>
      <c r="O93" t="n">
        <v>1920</v>
      </c>
      <c r="P93" t="n">
        <v>2380</v>
      </c>
      <c r="Q93" t="n">
        <v>2840</v>
      </c>
      <c r="R93" t="n">
        <v>3300</v>
      </c>
      <c r="S93" t="n">
        <v>3760</v>
      </c>
      <c r="T93" t="n">
        <v>4220</v>
      </c>
      <c r="U93" t="n">
        <v>4680</v>
      </c>
      <c r="V93" t="n">
        <v>2097</v>
      </c>
      <c r="W93" t="n">
        <v>1368</v>
      </c>
      <c r="X93" t="n">
        <v>1276</v>
      </c>
      <c r="Y93" t="n">
        <v>5600</v>
      </c>
    </row>
    <row r="94">
      <c r="A94" t="n">
        <v>93</v>
      </c>
      <c r="B94" t="n">
        <v>0</v>
      </c>
      <c r="C94" t="n">
        <v>4030</v>
      </c>
      <c r="D94" t="n">
        <v>6306</v>
      </c>
      <c r="E94" t="n">
        <v>15375</v>
      </c>
      <c r="F94" t="n">
        <v>37336</v>
      </c>
      <c r="G94" t="n">
        <v>89793</v>
      </c>
      <c r="H94" t="n">
        <v>214638</v>
      </c>
      <c r="I94" t="n">
        <v>508356</v>
      </c>
      <c r="J94" t="n">
        <v>1930</v>
      </c>
      <c r="K94" t="n">
        <v>6306</v>
      </c>
      <c r="L94" t="n">
        <v>1930</v>
      </c>
      <c r="M94" t="n">
        <v>1000</v>
      </c>
      <c r="N94" t="n">
        <v>1465</v>
      </c>
      <c r="O94" t="n">
        <v>1930</v>
      </c>
      <c r="P94" t="n">
        <v>2395</v>
      </c>
      <c r="Q94" t="n">
        <v>2860</v>
      </c>
      <c r="R94" t="n">
        <v>3325</v>
      </c>
      <c r="S94" t="n">
        <v>3790</v>
      </c>
      <c r="T94" t="n">
        <v>4255</v>
      </c>
      <c r="U94" t="n">
        <v>4720</v>
      </c>
      <c r="V94" t="n">
        <v>2112</v>
      </c>
      <c r="W94" t="n">
        <v>1372</v>
      </c>
      <c r="X94" t="n">
        <v>1279</v>
      </c>
      <c r="Y94" t="n">
        <v>5650</v>
      </c>
    </row>
    <row r="95">
      <c r="A95" t="n">
        <v>94</v>
      </c>
      <c r="B95" t="n">
        <v>0</v>
      </c>
      <c r="C95" t="n">
        <v>4091</v>
      </c>
      <c r="D95" t="n">
        <v>6433</v>
      </c>
      <c r="E95" t="n">
        <v>15837</v>
      </c>
      <c r="F95" t="n">
        <v>38830</v>
      </c>
      <c r="G95" t="n">
        <v>94283</v>
      </c>
      <c r="H95" t="n">
        <v>227517</v>
      </c>
      <c r="I95" t="n">
        <v>543941</v>
      </c>
      <c r="J95" t="n">
        <v>1940</v>
      </c>
      <c r="K95" t="n">
        <v>6433</v>
      </c>
      <c r="L95" t="n">
        <v>1940</v>
      </c>
      <c r="M95" t="n">
        <v>1000</v>
      </c>
      <c r="N95" t="n">
        <v>1470</v>
      </c>
      <c r="O95" t="n">
        <v>1940</v>
      </c>
      <c r="P95" t="n">
        <v>2410</v>
      </c>
      <c r="Q95" t="n">
        <v>2880</v>
      </c>
      <c r="R95" t="n">
        <v>3350</v>
      </c>
      <c r="S95" t="n">
        <v>3820</v>
      </c>
      <c r="T95" t="n">
        <v>4290</v>
      </c>
      <c r="U95" t="n">
        <v>4760</v>
      </c>
      <c r="V95" t="n">
        <v>2127</v>
      </c>
      <c r="W95" t="n">
        <v>1376</v>
      </c>
      <c r="X95" t="n">
        <v>1282</v>
      </c>
      <c r="Y95" t="n">
        <v>5700</v>
      </c>
    </row>
    <row r="96">
      <c r="A96" t="n">
        <v>95</v>
      </c>
      <c r="B96" t="n">
        <v>0</v>
      </c>
      <c r="C96" t="n">
        <v>4153</v>
      </c>
      <c r="D96" t="n">
        <v>6562</v>
      </c>
      <c r="E96" t="n">
        <v>16313</v>
      </c>
      <c r="F96" t="n">
        <v>40384</v>
      </c>
      <c r="G96" t="n">
        <v>98998</v>
      </c>
      <c r="H96" t="n">
        <v>241169</v>
      </c>
      <c r="I96" t="n">
        <v>582017</v>
      </c>
      <c r="J96" t="n">
        <v>1950</v>
      </c>
      <c r="K96" t="n">
        <v>6562</v>
      </c>
      <c r="L96" t="n">
        <v>1950</v>
      </c>
      <c r="M96" t="n">
        <v>1000</v>
      </c>
      <c r="N96" t="n">
        <v>1475</v>
      </c>
      <c r="O96" t="n">
        <v>1950</v>
      </c>
      <c r="P96" t="n">
        <v>2425</v>
      </c>
      <c r="Q96" t="n">
        <v>2900</v>
      </c>
      <c r="R96" t="n">
        <v>3375</v>
      </c>
      <c r="S96" t="n">
        <v>3850</v>
      </c>
      <c r="T96" t="n">
        <v>4325</v>
      </c>
      <c r="U96" t="n">
        <v>4800</v>
      </c>
      <c r="V96" t="n">
        <v>2142</v>
      </c>
      <c r="W96" t="n">
        <v>1380</v>
      </c>
      <c r="X96" t="n">
        <v>1285</v>
      </c>
      <c r="Y96" t="n">
        <v>5750</v>
      </c>
    </row>
    <row r="97">
      <c r="A97" t="n">
        <v>96</v>
      </c>
      <c r="B97" t="n">
        <v>0</v>
      </c>
      <c r="C97" t="n">
        <v>4216</v>
      </c>
      <c r="D97" t="n">
        <v>6694</v>
      </c>
      <c r="E97" t="n">
        <v>16803</v>
      </c>
      <c r="F97" t="n">
        <v>42000</v>
      </c>
      <c r="G97" t="n">
        <v>103948</v>
      </c>
      <c r="H97" t="n">
        <v>255640</v>
      </c>
      <c r="I97" t="n">
        <v>622759</v>
      </c>
      <c r="J97" t="n">
        <v>1960</v>
      </c>
      <c r="K97" t="n">
        <v>6694</v>
      </c>
      <c r="L97" t="n">
        <v>1960</v>
      </c>
      <c r="M97" t="n">
        <v>1000</v>
      </c>
      <c r="N97" t="n">
        <v>1480</v>
      </c>
      <c r="O97" t="n">
        <v>1960</v>
      </c>
      <c r="P97" t="n">
        <v>2440</v>
      </c>
      <c r="Q97" t="n">
        <v>2920</v>
      </c>
      <c r="R97" t="n">
        <v>3400</v>
      </c>
      <c r="S97" t="n">
        <v>3880</v>
      </c>
      <c r="T97" t="n">
        <v>4360</v>
      </c>
      <c r="U97" t="n">
        <v>4840</v>
      </c>
      <c r="V97" t="n">
        <v>2157</v>
      </c>
      <c r="W97" t="n">
        <v>1384</v>
      </c>
      <c r="X97" t="n">
        <v>1288</v>
      </c>
      <c r="Y97" t="n">
        <v>5800</v>
      </c>
    </row>
    <row r="98">
      <c r="A98" t="n">
        <v>97</v>
      </c>
      <c r="B98" t="n">
        <v>0</v>
      </c>
      <c r="C98" t="n">
        <v>4280</v>
      </c>
      <c r="D98" t="n">
        <v>6828</v>
      </c>
      <c r="E98" t="n">
        <v>17308</v>
      </c>
      <c r="F98" t="n">
        <v>43680</v>
      </c>
      <c r="G98" t="n">
        <v>109146</v>
      </c>
      <c r="H98" t="n">
        <v>270979</v>
      </c>
      <c r="I98" t="n">
        <v>666353</v>
      </c>
      <c r="J98" t="n">
        <v>1970</v>
      </c>
      <c r="K98" t="n">
        <v>6828</v>
      </c>
      <c r="L98" t="n">
        <v>1970</v>
      </c>
      <c r="M98" t="n">
        <v>1000</v>
      </c>
      <c r="N98" t="n">
        <v>1485</v>
      </c>
      <c r="O98" t="n">
        <v>1970</v>
      </c>
      <c r="P98" t="n">
        <v>2455</v>
      </c>
      <c r="Q98" t="n">
        <v>2940</v>
      </c>
      <c r="R98" t="n">
        <v>3425</v>
      </c>
      <c r="S98" t="n">
        <v>3910</v>
      </c>
      <c r="T98" t="n">
        <v>4395</v>
      </c>
      <c r="U98" t="n">
        <v>4880</v>
      </c>
      <c r="V98" t="n">
        <v>2172</v>
      </c>
      <c r="W98" t="n">
        <v>1388</v>
      </c>
      <c r="X98" t="n">
        <v>1291</v>
      </c>
      <c r="Y98" t="n">
        <v>5850</v>
      </c>
    </row>
    <row r="99">
      <c r="A99" t="n">
        <v>98</v>
      </c>
      <c r="B99" t="n">
        <v>0</v>
      </c>
      <c r="C99" t="n">
        <v>4345</v>
      </c>
      <c r="D99" t="n">
        <v>6965</v>
      </c>
      <c r="E99" t="n">
        <v>17828</v>
      </c>
      <c r="F99" t="n">
        <v>45428</v>
      </c>
      <c r="G99" t="n">
        <v>114604</v>
      </c>
      <c r="H99" t="n">
        <v>287238</v>
      </c>
      <c r="I99" t="n">
        <v>712998</v>
      </c>
      <c r="J99" t="n">
        <v>1980</v>
      </c>
      <c r="K99" t="n">
        <v>6965</v>
      </c>
      <c r="L99" t="n">
        <v>1980</v>
      </c>
      <c r="M99" t="n">
        <v>1000</v>
      </c>
      <c r="N99" t="n">
        <v>1490</v>
      </c>
      <c r="O99" t="n">
        <v>1980</v>
      </c>
      <c r="P99" t="n">
        <v>2470</v>
      </c>
      <c r="Q99" t="n">
        <v>2960</v>
      </c>
      <c r="R99" t="n">
        <v>3450</v>
      </c>
      <c r="S99" t="n">
        <v>3940</v>
      </c>
      <c r="T99" t="n">
        <v>4430</v>
      </c>
      <c r="U99" t="n">
        <v>4920</v>
      </c>
      <c r="V99" t="n">
        <v>2187</v>
      </c>
      <c r="W99" t="n">
        <v>1392</v>
      </c>
      <c r="X99" t="n">
        <v>1294</v>
      </c>
      <c r="Y99" t="n">
        <v>5900</v>
      </c>
    </row>
    <row r="100">
      <c r="A100" t="n">
        <v>99</v>
      </c>
      <c r="B100" t="n">
        <v>0</v>
      </c>
      <c r="C100" t="n">
        <v>4411</v>
      </c>
      <c r="D100" t="n">
        <v>7105</v>
      </c>
      <c r="E100" t="n">
        <v>18363</v>
      </c>
      <c r="F100" t="n">
        <v>47246</v>
      </c>
      <c r="G100" t="n">
        <v>120335</v>
      </c>
      <c r="H100" t="n">
        <v>304473</v>
      </c>
      <c r="I100" t="n">
        <v>762908</v>
      </c>
      <c r="J100" t="n">
        <v>1990</v>
      </c>
      <c r="K100" t="n">
        <v>7105</v>
      </c>
      <c r="L100" t="n">
        <v>1990</v>
      </c>
      <c r="M100" t="n">
        <v>1000</v>
      </c>
      <c r="N100" t="n">
        <v>1495</v>
      </c>
      <c r="O100" t="n">
        <v>1990</v>
      </c>
      <c r="P100" t="n">
        <v>2485</v>
      </c>
      <c r="Q100" t="n">
        <v>2980</v>
      </c>
      <c r="R100" t="n">
        <v>3475</v>
      </c>
      <c r="S100" t="n">
        <v>3970</v>
      </c>
      <c r="T100" t="n">
        <v>4465</v>
      </c>
      <c r="U100" t="n">
        <v>4960</v>
      </c>
      <c r="V100" t="n">
        <v>2202</v>
      </c>
      <c r="W100" t="n">
        <v>1396</v>
      </c>
      <c r="X100" t="n">
        <v>1297</v>
      </c>
      <c r="Y100" t="n">
        <v>5950</v>
      </c>
    </row>
    <row r="101">
      <c r="A101" t="n">
        <v>100</v>
      </c>
      <c r="B101" t="n">
        <v>0</v>
      </c>
      <c r="C101" t="n">
        <v>4478</v>
      </c>
      <c r="D101" t="n">
        <v>7248</v>
      </c>
      <c r="E101" t="n">
        <v>18914</v>
      </c>
      <c r="F101" t="n">
        <v>49136</v>
      </c>
      <c r="G101" t="n">
        <v>126352</v>
      </c>
      <c r="H101" t="n">
        <v>322742</v>
      </c>
      <c r="I101" t="n">
        <v>816312</v>
      </c>
      <c r="J101" t="n">
        <v>2000</v>
      </c>
      <c r="K101" t="n">
        <v>7248</v>
      </c>
      <c r="L101" t="n">
        <v>2000</v>
      </c>
      <c r="M101" t="n">
        <v>1000</v>
      </c>
      <c r="N101" t="n">
        <v>1500</v>
      </c>
      <c r="O101" t="n">
        <v>2000</v>
      </c>
      <c r="P101" t="n">
        <v>2500</v>
      </c>
      <c r="Q101" t="n">
        <v>3000</v>
      </c>
      <c r="R101" t="n">
        <v>3500</v>
      </c>
      <c r="S101" t="n">
        <v>4000</v>
      </c>
      <c r="T101" t="n">
        <v>4500</v>
      </c>
      <c r="U101" t="n">
        <v>5000</v>
      </c>
      <c r="V101" t="n">
        <v>2218</v>
      </c>
      <c r="W101" t="n">
        <v>1400</v>
      </c>
      <c r="X101" t="n">
        <v>1300</v>
      </c>
      <c r="Y101" t="n">
        <v>6000</v>
      </c>
    </row>
    <row r="102">
      <c r="A102" t="n">
        <v>101</v>
      </c>
      <c r="B102" t="n">
        <v>0</v>
      </c>
      <c r="C102" t="n">
        <v>4546</v>
      </c>
      <c r="D102" t="n">
        <v>7393</v>
      </c>
      <c r="E102" t="n">
        <v>19482</v>
      </c>
      <c r="F102" t="n">
        <v>51102</v>
      </c>
      <c r="G102" t="n">
        <v>132670</v>
      </c>
      <c r="H102" t="n">
        <v>342107</v>
      </c>
      <c r="I102" t="n">
        <v>873454</v>
      </c>
      <c r="J102" t="n">
        <v>2000</v>
      </c>
      <c r="K102" t="n">
        <v>7321</v>
      </c>
      <c r="L102" t="n">
        <v>2010</v>
      </c>
      <c r="M102" t="n">
        <v>1001</v>
      </c>
      <c r="N102" t="n">
        <v>1505</v>
      </c>
      <c r="O102" t="n">
        <v>2010</v>
      </c>
      <c r="P102" t="n">
        <v>2515</v>
      </c>
      <c r="Q102" t="n">
        <v>3020</v>
      </c>
      <c r="R102" t="n">
        <v>3525</v>
      </c>
      <c r="S102" t="n">
        <v>4030</v>
      </c>
      <c r="T102" t="n">
        <v>4535</v>
      </c>
      <c r="U102" t="n">
        <v>5040</v>
      </c>
      <c r="V102" t="n">
        <v>2234</v>
      </c>
      <c r="W102" t="n">
        <v>1404</v>
      </c>
      <c r="X102" t="n">
        <v>1303</v>
      </c>
      <c r="Y102" t="n">
        <v>6050</v>
      </c>
    </row>
    <row r="103">
      <c r="A103" t="n">
        <v>102</v>
      </c>
      <c r="B103" t="n">
        <v>0</v>
      </c>
      <c r="C103" t="n">
        <v>4615</v>
      </c>
      <c r="D103" t="n">
        <v>7541</v>
      </c>
      <c r="E103" t="n">
        <v>20067</v>
      </c>
      <c r="F103" t="n">
        <v>53147</v>
      </c>
      <c r="G103" t="n">
        <v>139304</v>
      </c>
      <c r="H103" t="n">
        <v>362634</v>
      </c>
      <c r="I103" t="n">
        <v>934596</v>
      </c>
      <c r="J103" t="n">
        <v>2000</v>
      </c>
      <c r="K103" t="n">
        <v>7395</v>
      </c>
      <c r="L103" t="n">
        <v>2020</v>
      </c>
      <c r="M103" t="n">
        <v>1002</v>
      </c>
      <c r="N103" t="n">
        <v>1510</v>
      </c>
      <c r="O103" t="n">
        <v>2020</v>
      </c>
      <c r="P103" t="n">
        <v>2530</v>
      </c>
      <c r="Q103" t="n">
        <v>3040</v>
      </c>
      <c r="R103" t="n">
        <v>3550</v>
      </c>
      <c r="S103" t="n">
        <v>4060</v>
      </c>
      <c r="T103" t="n">
        <v>4570</v>
      </c>
      <c r="U103" t="n">
        <v>5080</v>
      </c>
      <c r="V103" t="n">
        <v>2250</v>
      </c>
      <c r="W103" t="n">
        <v>1408</v>
      </c>
      <c r="X103" t="n">
        <v>1306</v>
      </c>
      <c r="Y103" t="n">
        <v>6100</v>
      </c>
    </row>
    <row r="104">
      <c r="A104" t="n">
        <v>103</v>
      </c>
      <c r="B104" t="n">
        <v>0</v>
      </c>
      <c r="C104" t="n">
        <v>4685</v>
      </c>
      <c r="D104" t="n">
        <v>7692</v>
      </c>
      <c r="E104" t="n">
        <v>20670</v>
      </c>
      <c r="F104" t="n">
        <v>55273</v>
      </c>
      <c r="G104" t="n">
        <v>146270</v>
      </c>
      <c r="H104" t="n">
        <v>384393</v>
      </c>
      <c r="I104" t="n">
        <v>1000018</v>
      </c>
      <c r="J104" t="n">
        <v>2000</v>
      </c>
      <c r="K104" t="n">
        <v>7469</v>
      </c>
      <c r="L104" t="n">
        <v>2030</v>
      </c>
      <c r="M104" t="n">
        <v>1003</v>
      </c>
      <c r="N104" t="n">
        <v>1515</v>
      </c>
      <c r="O104" t="n">
        <v>2030</v>
      </c>
      <c r="P104" t="n">
        <v>2545</v>
      </c>
      <c r="Q104" t="n">
        <v>3060</v>
      </c>
      <c r="R104" t="n">
        <v>3575</v>
      </c>
      <c r="S104" t="n">
        <v>4090</v>
      </c>
      <c r="T104" t="n">
        <v>4605</v>
      </c>
      <c r="U104" t="n">
        <v>5120</v>
      </c>
      <c r="V104" t="n">
        <v>2266</v>
      </c>
      <c r="W104" t="n">
        <v>1412</v>
      </c>
      <c r="X104" t="n">
        <v>1309</v>
      </c>
      <c r="Y104" t="n">
        <v>6150</v>
      </c>
    </row>
    <row r="105">
      <c r="A105" t="n">
        <v>104</v>
      </c>
      <c r="B105" t="n">
        <v>0</v>
      </c>
      <c r="C105" t="n">
        <v>4756</v>
      </c>
      <c r="D105" t="n">
        <v>7846</v>
      </c>
      <c r="E105" t="n">
        <v>21291</v>
      </c>
      <c r="F105" t="n">
        <v>57484</v>
      </c>
      <c r="G105" t="n">
        <v>153584</v>
      </c>
      <c r="H105" t="n">
        <v>407457</v>
      </c>
      <c r="I105" t="n">
        <v>1070020</v>
      </c>
      <c r="J105" t="n">
        <v>2000</v>
      </c>
      <c r="K105" t="n">
        <v>7544</v>
      </c>
      <c r="L105" t="n">
        <v>2040</v>
      </c>
      <c r="M105" t="n">
        <v>1004</v>
      </c>
      <c r="N105" t="n">
        <v>1520</v>
      </c>
      <c r="O105" t="n">
        <v>2040</v>
      </c>
      <c r="P105" t="n">
        <v>2560</v>
      </c>
      <c r="Q105" t="n">
        <v>3080</v>
      </c>
      <c r="R105" t="n">
        <v>3600</v>
      </c>
      <c r="S105" t="n">
        <v>4120</v>
      </c>
      <c r="T105" t="n">
        <v>4640</v>
      </c>
      <c r="U105" t="n">
        <v>5160</v>
      </c>
      <c r="V105" t="n">
        <v>2282</v>
      </c>
      <c r="W105" t="n">
        <v>1416</v>
      </c>
      <c r="X105" t="n">
        <v>1312</v>
      </c>
      <c r="Y105" t="n">
        <v>6200</v>
      </c>
    </row>
    <row r="106">
      <c r="A106" t="n">
        <v>105</v>
      </c>
      <c r="B106" t="n">
        <v>0</v>
      </c>
      <c r="C106" t="n">
        <v>4828</v>
      </c>
      <c r="D106" t="n">
        <v>8003</v>
      </c>
      <c r="E106" t="n">
        <v>21930</v>
      </c>
      <c r="F106" t="n">
        <v>59784</v>
      </c>
      <c r="G106" t="n">
        <v>161264</v>
      </c>
      <c r="H106" t="n">
        <v>431905</v>
      </c>
      <c r="I106" t="n">
        <v>1144922</v>
      </c>
      <c r="J106" t="n">
        <v>2000</v>
      </c>
      <c r="K106" t="n">
        <v>7620</v>
      </c>
      <c r="L106" t="n">
        <v>2050</v>
      </c>
      <c r="M106" t="n">
        <v>1005</v>
      </c>
      <c r="N106" t="n">
        <v>1525</v>
      </c>
      <c r="O106" t="n">
        <v>2050</v>
      </c>
      <c r="P106" t="n">
        <v>2575</v>
      </c>
      <c r="Q106" t="n">
        <v>3100</v>
      </c>
      <c r="R106" t="n">
        <v>3625</v>
      </c>
      <c r="S106" t="n">
        <v>4150</v>
      </c>
      <c r="T106" t="n">
        <v>4675</v>
      </c>
      <c r="U106" t="n">
        <v>5200</v>
      </c>
      <c r="V106" t="n">
        <v>2298</v>
      </c>
      <c r="W106" t="n">
        <v>1420</v>
      </c>
      <c r="X106" t="n">
        <v>1315</v>
      </c>
      <c r="Y106" t="n">
        <v>6250</v>
      </c>
    </row>
    <row r="107">
      <c r="A107" t="n">
        <v>106</v>
      </c>
      <c r="B107" t="n">
        <v>0</v>
      </c>
      <c r="C107" t="n">
        <v>4901</v>
      </c>
      <c r="D107" t="n">
        <v>8164</v>
      </c>
      <c r="E107" t="n">
        <v>22588</v>
      </c>
      <c r="F107" t="n">
        <v>62176</v>
      </c>
      <c r="G107" t="n">
        <v>169328</v>
      </c>
      <c r="H107" t="n">
        <v>457820</v>
      </c>
      <c r="I107" t="n">
        <v>1225067</v>
      </c>
      <c r="J107" t="n">
        <v>2000</v>
      </c>
      <c r="K107" t="n">
        <v>7697</v>
      </c>
      <c r="L107" t="n">
        <v>2060</v>
      </c>
      <c r="M107" t="n">
        <v>1006</v>
      </c>
      <c r="N107" t="n">
        <v>1530</v>
      </c>
      <c r="O107" t="n">
        <v>2060</v>
      </c>
      <c r="P107" t="n">
        <v>2590</v>
      </c>
      <c r="Q107" t="n">
        <v>3120</v>
      </c>
      <c r="R107" t="n">
        <v>3650</v>
      </c>
      <c r="S107" t="n">
        <v>4180</v>
      </c>
      <c r="T107" t="n">
        <v>4710</v>
      </c>
      <c r="U107" t="n">
        <v>5240</v>
      </c>
      <c r="V107" t="n">
        <v>2314</v>
      </c>
      <c r="W107" t="n">
        <v>1424</v>
      </c>
      <c r="X107" t="n">
        <v>1318</v>
      </c>
      <c r="Y107" t="n">
        <v>6300</v>
      </c>
    </row>
    <row r="108">
      <c r="A108" t="n">
        <v>107</v>
      </c>
      <c r="B108" t="n">
        <v>0</v>
      </c>
      <c r="C108" t="n">
        <v>4975</v>
      </c>
      <c r="D108" t="n">
        <v>8328</v>
      </c>
      <c r="E108" t="n">
        <v>23266</v>
      </c>
      <c r="F108" t="n">
        <v>64664</v>
      </c>
      <c r="G108" t="n">
        <v>177795</v>
      </c>
      <c r="H108" t="n">
        <v>485290</v>
      </c>
      <c r="I108" t="n">
        <v>1310822</v>
      </c>
      <c r="J108" t="n">
        <v>2000</v>
      </c>
      <c r="K108" t="n">
        <v>7774</v>
      </c>
      <c r="L108" t="n">
        <v>2070</v>
      </c>
      <c r="M108" t="n">
        <v>1007</v>
      </c>
      <c r="N108" t="n">
        <v>1535</v>
      </c>
      <c r="O108" t="n">
        <v>2070</v>
      </c>
      <c r="P108" t="n">
        <v>2605</v>
      </c>
      <c r="Q108" t="n">
        <v>3140</v>
      </c>
      <c r="R108" t="n">
        <v>3675</v>
      </c>
      <c r="S108" t="n">
        <v>4210</v>
      </c>
      <c r="T108" t="n">
        <v>4745</v>
      </c>
      <c r="U108" t="n">
        <v>5280</v>
      </c>
      <c r="V108" t="n">
        <v>2330</v>
      </c>
      <c r="W108" t="n">
        <v>1428</v>
      </c>
      <c r="X108" t="n">
        <v>1321</v>
      </c>
      <c r="Y108" t="n">
        <v>6350</v>
      </c>
    </row>
    <row r="109">
      <c r="A109" t="n">
        <v>108</v>
      </c>
      <c r="B109" t="n">
        <v>0</v>
      </c>
      <c r="C109" t="n">
        <v>5050</v>
      </c>
      <c r="D109" t="n">
        <v>8495</v>
      </c>
      <c r="E109" t="n">
        <v>23964</v>
      </c>
      <c r="F109" t="n">
        <v>67251</v>
      </c>
      <c r="G109" t="n">
        <v>186685</v>
      </c>
      <c r="H109" t="n">
        <v>514408</v>
      </c>
      <c r="I109" t="n">
        <v>1402580</v>
      </c>
      <c r="J109" t="n">
        <v>2000</v>
      </c>
      <c r="K109" t="n">
        <v>7852</v>
      </c>
      <c r="L109" t="n">
        <v>2080</v>
      </c>
      <c r="M109" t="n">
        <v>1008</v>
      </c>
      <c r="N109" t="n">
        <v>1540</v>
      </c>
      <c r="O109" t="n">
        <v>2080</v>
      </c>
      <c r="P109" t="n">
        <v>2620</v>
      </c>
      <c r="Q109" t="n">
        <v>3160</v>
      </c>
      <c r="R109" t="n">
        <v>3700</v>
      </c>
      <c r="S109" t="n">
        <v>4240</v>
      </c>
      <c r="T109" t="n">
        <v>4780</v>
      </c>
      <c r="U109" t="n">
        <v>5320</v>
      </c>
      <c r="V109" t="n">
        <v>2346</v>
      </c>
      <c r="W109" t="n">
        <v>1432</v>
      </c>
      <c r="X109" t="n">
        <v>1324</v>
      </c>
      <c r="Y109" t="n">
        <v>6400</v>
      </c>
    </row>
    <row r="110">
      <c r="A110" t="n">
        <v>109</v>
      </c>
      <c r="B110" t="n">
        <v>0</v>
      </c>
      <c r="C110" t="n">
        <v>5126</v>
      </c>
      <c r="D110" t="n">
        <v>8665</v>
      </c>
      <c r="E110" t="n">
        <v>24683</v>
      </c>
      <c r="F110" t="n">
        <v>69942</v>
      </c>
      <c r="G110" t="n">
        <v>196020</v>
      </c>
      <c r="H110" t="n">
        <v>545273</v>
      </c>
      <c r="I110" t="n">
        <v>1500761</v>
      </c>
      <c r="J110" t="n">
        <v>2000</v>
      </c>
      <c r="K110" t="n">
        <v>7931</v>
      </c>
      <c r="L110" t="n">
        <v>2090</v>
      </c>
      <c r="M110" t="n">
        <v>1009</v>
      </c>
      <c r="N110" t="n">
        <v>1545</v>
      </c>
      <c r="O110" t="n">
        <v>2090</v>
      </c>
      <c r="P110" t="n">
        <v>2635</v>
      </c>
      <c r="Q110" t="n">
        <v>3180</v>
      </c>
      <c r="R110" t="n">
        <v>3725</v>
      </c>
      <c r="S110" t="n">
        <v>4270</v>
      </c>
      <c r="T110" t="n">
        <v>4815</v>
      </c>
      <c r="U110" t="n">
        <v>5360</v>
      </c>
      <c r="V110" t="n">
        <v>2362</v>
      </c>
      <c r="W110" t="n">
        <v>1436</v>
      </c>
      <c r="X110" t="n">
        <v>1327</v>
      </c>
      <c r="Y110" t="n">
        <v>6450</v>
      </c>
    </row>
    <row r="111">
      <c r="A111" t="n">
        <v>110</v>
      </c>
      <c r="B111" t="n">
        <v>0</v>
      </c>
      <c r="C111" t="n">
        <v>5203</v>
      </c>
      <c r="D111" t="n">
        <v>8839</v>
      </c>
      <c r="E111" t="n">
        <v>25424</v>
      </c>
      <c r="F111" t="n">
        <v>72740</v>
      </c>
      <c r="G111" t="n">
        <v>205821</v>
      </c>
      <c r="H111" t="n">
        <v>577990</v>
      </c>
      <c r="I111" t="n">
        <v>1605815</v>
      </c>
      <c r="J111" t="n">
        <v>2000</v>
      </c>
      <c r="K111" t="n">
        <v>8011</v>
      </c>
      <c r="L111" t="n">
        <v>2100</v>
      </c>
      <c r="M111" t="n">
        <v>1010</v>
      </c>
      <c r="N111" t="n">
        <v>1550</v>
      </c>
      <c r="O111" t="n">
        <v>2100</v>
      </c>
      <c r="P111" t="n">
        <v>2650</v>
      </c>
      <c r="Q111" t="n">
        <v>3200</v>
      </c>
      <c r="R111" t="n">
        <v>3750</v>
      </c>
      <c r="S111" t="n">
        <v>4300</v>
      </c>
      <c r="T111" t="n">
        <v>4850</v>
      </c>
      <c r="U111" t="n">
        <v>5400</v>
      </c>
      <c r="V111" t="n">
        <v>2378</v>
      </c>
      <c r="W111" t="n">
        <v>1440</v>
      </c>
      <c r="X111" t="n">
        <v>1330</v>
      </c>
      <c r="Y111" t="n">
        <v>6500</v>
      </c>
    </row>
    <row r="112">
      <c r="A112" t="n">
        <v>111</v>
      </c>
      <c r="B112" t="n">
        <v>0</v>
      </c>
      <c r="C112" t="n">
        <v>5282</v>
      </c>
      <c r="D112" t="n">
        <v>9016</v>
      </c>
      <c r="E112" t="n">
        <v>26187</v>
      </c>
      <c r="F112" t="n">
        <v>75650</v>
      </c>
      <c r="G112" t="n">
        <v>216113</v>
      </c>
      <c r="H112" t="n">
        <v>612670</v>
      </c>
      <c r="I112" t="n">
        <v>1718223</v>
      </c>
      <c r="J112" t="n">
        <v>2000</v>
      </c>
      <c r="K112" t="n">
        <v>8092</v>
      </c>
      <c r="L112" t="n">
        <v>2110</v>
      </c>
      <c r="M112" t="n">
        <v>1011</v>
      </c>
      <c r="N112" t="n">
        <v>1555</v>
      </c>
      <c r="O112" t="n">
        <v>2110</v>
      </c>
      <c r="P112" t="n">
        <v>2665</v>
      </c>
      <c r="Q112" t="n">
        <v>3220</v>
      </c>
      <c r="R112" t="n">
        <v>3775</v>
      </c>
      <c r="S112" t="n">
        <v>4330</v>
      </c>
      <c r="T112" t="n">
        <v>4885</v>
      </c>
      <c r="U112" t="n">
        <v>5440</v>
      </c>
      <c r="V112" t="n">
        <v>2394</v>
      </c>
      <c r="W112" t="n">
        <v>1444</v>
      </c>
      <c r="X112" t="n">
        <v>1333</v>
      </c>
      <c r="Y112" t="n">
        <v>6550</v>
      </c>
    </row>
    <row r="113">
      <c r="A113" t="n">
        <v>112</v>
      </c>
      <c r="B113" t="n">
        <v>0</v>
      </c>
      <c r="C113" t="n">
        <v>5362</v>
      </c>
      <c r="D113" t="n">
        <v>9197</v>
      </c>
      <c r="E113" t="n">
        <v>26973</v>
      </c>
      <c r="F113" t="n">
        <v>78676</v>
      </c>
      <c r="G113" t="n">
        <v>226919</v>
      </c>
      <c r="H113" t="n">
        <v>649431</v>
      </c>
      <c r="I113" t="n">
        <v>1838499</v>
      </c>
      <c r="J113" t="n">
        <v>2000</v>
      </c>
      <c r="K113" t="n">
        <v>8173</v>
      </c>
      <c r="L113" t="n">
        <v>2120</v>
      </c>
      <c r="M113" t="n">
        <v>1012</v>
      </c>
      <c r="N113" t="n">
        <v>1560</v>
      </c>
      <c r="O113" t="n">
        <v>2120</v>
      </c>
      <c r="P113" t="n">
        <v>2680</v>
      </c>
      <c r="Q113" t="n">
        <v>3240</v>
      </c>
      <c r="R113" t="n">
        <v>3800</v>
      </c>
      <c r="S113" t="n">
        <v>4360</v>
      </c>
      <c r="T113" t="n">
        <v>4920</v>
      </c>
      <c r="U113" t="n">
        <v>5480</v>
      </c>
      <c r="V113" t="n">
        <v>2410</v>
      </c>
      <c r="W113" t="n">
        <v>1448</v>
      </c>
      <c r="X113" t="n">
        <v>1336</v>
      </c>
      <c r="Y113" t="n">
        <v>6600</v>
      </c>
    </row>
    <row r="114">
      <c r="A114" t="n">
        <v>113</v>
      </c>
      <c r="B114" t="n">
        <v>0</v>
      </c>
      <c r="C114" t="n">
        <v>5443</v>
      </c>
      <c r="D114" t="n">
        <v>9381</v>
      </c>
      <c r="E114" t="n">
        <v>27783</v>
      </c>
      <c r="F114" t="n">
        <v>81824</v>
      </c>
      <c r="G114" t="n">
        <v>238265</v>
      </c>
      <c r="H114" t="n">
        <v>688397</v>
      </c>
      <c r="I114" t="n">
        <v>1967194</v>
      </c>
      <c r="J114" t="n">
        <v>2000</v>
      </c>
      <c r="K114" t="n">
        <v>8255</v>
      </c>
      <c r="L114" t="n">
        <v>2130</v>
      </c>
      <c r="M114" t="n">
        <v>1013</v>
      </c>
      <c r="N114" t="n">
        <v>1565</v>
      </c>
      <c r="O114" t="n">
        <v>2130</v>
      </c>
      <c r="P114" t="n">
        <v>2695</v>
      </c>
      <c r="Q114" t="n">
        <v>3260</v>
      </c>
      <c r="R114" t="n">
        <v>3825</v>
      </c>
      <c r="S114" t="n">
        <v>4390</v>
      </c>
      <c r="T114" t="n">
        <v>4955</v>
      </c>
      <c r="U114" t="n">
        <v>5520</v>
      </c>
      <c r="V114" t="n">
        <v>2427</v>
      </c>
      <c r="W114" t="n">
        <v>1452</v>
      </c>
      <c r="X114" t="n">
        <v>1339</v>
      </c>
      <c r="Y114" t="n">
        <v>6650</v>
      </c>
    </row>
    <row r="115">
      <c r="A115" t="n">
        <v>114</v>
      </c>
      <c r="B115" t="n">
        <v>0</v>
      </c>
      <c r="C115" t="n">
        <v>5525</v>
      </c>
      <c r="D115" t="n">
        <v>9569</v>
      </c>
      <c r="E115" t="n">
        <v>28617</v>
      </c>
      <c r="F115" t="n">
        <v>85097</v>
      </c>
      <c r="G115" t="n">
        <v>250179</v>
      </c>
      <c r="H115" t="n">
        <v>729701</v>
      </c>
      <c r="I115" t="n">
        <v>2104898</v>
      </c>
      <c r="J115" t="n">
        <v>2000</v>
      </c>
      <c r="K115" t="n">
        <v>8338</v>
      </c>
      <c r="L115" t="n">
        <v>2140</v>
      </c>
      <c r="M115" t="n">
        <v>1014</v>
      </c>
      <c r="N115" t="n">
        <v>1570</v>
      </c>
      <c r="O115" t="n">
        <v>2140</v>
      </c>
      <c r="P115" t="n">
        <v>2710</v>
      </c>
      <c r="Q115" t="n">
        <v>3280</v>
      </c>
      <c r="R115" t="n">
        <v>3850</v>
      </c>
      <c r="S115" t="n">
        <v>4420</v>
      </c>
      <c r="T115" t="n">
        <v>4990</v>
      </c>
      <c r="U115" t="n">
        <v>5560</v>
      </c>
      <c r="V115" t="n">
        <v>2444</v>
      </c>
      <c r="W115" t="n">
        <v>1456</v>
      </c>
      <c r="X115" t="n">
        <v>1342</v>
      </c>
      <c r="Y115" t="n">
        <v>6700</v>
      </c>
    </row>
    <row r="116">
      <c r="A116" t="n">
        <v>115</v>
      </c>
      <c r="B116" t="n">
        <v>0</v>
      </c>
      <c r="C116" t="n">
        <v>5608</v>
      </c>
      <c r="D116" t="n">
        <v>9761</v>
      </c>
      <c r="E116" t="n">
        <v>29476</v>
      </c>
      <c r="F116" t="n">
        <v>88501</v>
      </c>
      <c r="G116" t="n">
        <v>262688</v>
      </c>
      <c r="H116" t="n">
        <v>773484</v>
      </c>
      <c r="I116" t="n">
        <v>2252241</v>
      </c>
      <c r="J116" t="n">
        <v>2000</v>
      </c>
      <c r="K116" t="n">
        <v>8422</v>
      </c>
      <c r="L116" t="n">
        <v>2150</v>
      </c>
      <c r="M116" t="n">
        <v>1015</v>
      </c>
      <c r="N116" t="n">
        <v>1575</v>
      </c>
      <c r="O116" t="n">
        <v>2150</v>
      </c>
      <c r="P116" t="n">
        <v>2725</v>
      </c>
      <c r="Q116" t="n">
        <v>3300</v>
      </c>
      <c r="R116" t="n">
        <v>3875</v>
      </c>
      <c r="S116" t="n">
        <v>4450</v>
      </c>
      <c r="T116" t="n">
        <v>5025</v>
      </c>
      <c r="U116" t="n">
        <v>5600</v>
      </c>
      <c r="V116" t="n">
        <v>2461</v>
      </c>
      <c r="W116" t="n">
        <v>1460</v>
      </c>
      <c r="X116" t="n">
        <v>1345</v>
      </c>
      <c r="Y116" t="n">
        <v>6750</v>
      </c>
    </row>
    <row r="117">
      <c r="A117" t="n">
        <v>116</v>
      </c>
      <c r="B117" t="n">
        <v>0</v>
      </c>
      <c r="C117" t="n">
        <v>5693</v>
      </c>
      <c r="D117" t="n">
        <v>9957</v>
      </c>
      <c r="E117" t="n">
        <v>30361</v>
      </c>
      <c r="F117" t="n">
        <v>92042</v>
      </c>
      <c r="G117" t="n">
        <v>275823</v>
      </c>
      <c r="H117" t="n">
        <v>819894</v>
      </c>
      <c r="I117" t="n">
        <v>2409898</v>
      </c>
      <c r="J117" t="n">
        <v>2000</v>
      </c>
      <c r="K117" t="n">
        <v>8507</v>
      </c>
      <c r="L117" t="n">
        <v>2160</v>
      </c>
      <c r="M117" t="n">
        <v>1016</v>
      </c>
      <c r="N117" t="n">
        <v>1580</v>
      </c>
      <c r="O117" t="n">
        <v>2160</v>
      </c>
      <c r="P117" t="n">
        <v>2740</v>
      </c>
      <c r="Q117" t="n">
        <v>3320</v>
      </c>
      <c r="R117" t="n">
        <v>3900</v>
      </c>
      <c r="S117" t="n">
        <v>4480</v>
      </c>
      <c r="T117" t="n">
        <v>5060</v>
      </c>
      <c r="U117" t="n">
        <v>5640</v>
      </c>
      <c r="V117" t="n">
        <v>2478</v>
      </c>
      <c r="W117" t="n">
        <v>1464</v>
      </c>
      <c r="X117" t="n">
        <v>1348</v>
      </c>
      <c r="Y117" t="n">
        <v>6800</v>
      </c>
    </row>
    <row r="118">
      <c r="A118" t="n">
        <v>117</v>
      </c>
      <c r="B118" t="n">
        <v>0</v>
      </c>
      <c r="C118" t="n">
        <v>5779</v>
      </c>
      <c r="D118" t="n">
        <v>10157</v>
      </c>
      <c r="E118" t="n">
        <v>31272</v>
      </c>
      <c r="F118" t="n">
        <v>95724</v>
      </c>
      <c r="G118" t="n">
        <v>289615</v>
      </c>
      <c r="H118" t="n">
        <v>869088</v>
      </c>
      <c r="I118" t="n">
        <v>2578591</v>
      </c>
      <c r="J118" t="n">
        <v>2000</v>
      </c>
      <c r="K118" t="n">
        <v>8593</v>
      </c>
      <c r="L118" t="n">
        <v>2170</v>
      </c>
      <c r="M118" t="n">
        <v>1017</v>
      </c>
      <c r="N118" t="n">
        <v>1585</v>
      </c>
      <c r="O118" t="n">
        <v>2170</v>
      </c>
      <c r="P118" t="n">
        <v>2755</v>
      </c>
      <c r="Q118" t="n">
        <v>3340</v>
      </c>
      <c r="R118" t="n">
        <v>3925</v>
      </c>
      <c r="S118" t="n">
        <v>4510</v>
      </c>
      <c r="T118" t="n">
        <v>5095</v>
      </c>
      <c r="U118" t="n">
        <v>5680</v>
      </c>
      <c r="V118" t="n">
        <v>2495</v>
      </c>
      <c r="W118" t="n">
        <v>1468</v>
      </c>
      <c r="X118" t="n">
        <v>1351</v>
      </c>
      <c r="Y118" t="n">
        <v>6850</v>
      </c>
    </row>
    <row r="119">
      <c r="A119" t="n">
        <v>118</v>
      </c>
      <c r="B119" t="n">
        <v>0</v>
      </c>
      <c r="C119" t="n">
        <v>5866</v>
      </c>
      <c r="D119" t="n">
        <v>10361</v>
      </c>
      <c r="E119" t="n">
        <v>32211</v>
      </c>
      <c r="F119" t="n">
        <v>99553</v>
      </c>
      <c r="G119" t="n">
        <v>304096</v>
      </c>
      <c r="H119" t="n">
        <v>921234</v>
      </c>
      <c r="I119" t="n">
        <v>2759093</v>
      </c>
      <c r="J119" t="n">
        <v>2000</v>
      </c>
      <c r="K119" t="n">
        <v>8679</v>
      </c>
      <c r="L119" t="n">
        <v>2180</v>
      </c>
      <c r="M119" t="n">
        <v>1018</v>
      </c>
      <c r="N119" t="n">
        <v>1590</v>
      </c>
      <c r="O119" t="n">
        <v>2180</v>
      </c>
      <c r="P119" t="n">
        <v>2770</v>
      </c>
      <c r="Q119" t="n">
        <v>3360</v>
      </c>
      <c r="R119" t="n">
        <v>3950</v>
      </c>
      <c r="S119" t="n">
        <v>4540</v>
      </c>
      <c r="T119" t="n">
        <v>5130</v>
      </c>
      <c r="U119" t="n">
        <v>5720</v>
      </c>
      <c r="V119" t="n">
        <v>2512</v>
      </c>
      <c r="W119" t="n">
        <v>1472</v>
      </c>
      <c r="X119" t="n">
        <v>1354</v>
      </c>
      <c r="Y119" t="n">
        <v>6900</v>
      </c>
    </row>
    <row r="120">
      <c r="A120" t="n">
        <v>119</v>
      </c>
      <c r="B120" t="n">
        <v>0</v>
      </c>
      <c r="C120" t="n">
        <v>5954</v>
      </c>
      <c r="D120" t="n">
        <v>10569</v>
      </c>
      <c r="E120" t="n">
        <v>33178</v>
      </c>
      <c r="F120" t="n">
        <v>103536</v>
      </c>
      <c r="G120" t="n">
        <v>319301</v>
      </c>
      <c r="H120" t="n">
        <v>976509</v>
      </c>
      <c r="I120" t="n">
        <v>2952230</v>
      </c>
      <c r="J120" t="n">
        <v>2000</v>
      </c>
      <c r="K120" t="n">
        <v>8766</v>
      </c>
      <c r="L120" t="n">
        <v>2190</v>
      </c>
      <c r="M120" t="n">
        <v>1019</v>
      </c>
      <c r="N120" t="n">
        <v>1595</v>
      </c>
      <c r="O120" t="n">
        <v>2190</v>
      </c>
      <c r="P120" t="n">
        <v>2785</v>
      </c>
      <c r="Q120" t="n">
        <v>3380</v>
      </c>
      <c r="R120" t="n">
        <v>3975</v>
      </c>
      <c r="S120" t="n">
        <v>4570</v>
      </c>
      <c r="T120" t="n">
        <v>5165</v>
      </c>
      <c r="U120" t="n">
        <v>5760</v>
      </c>
      <c r="V120" t="n">
        <v>2529</v>
      </c>
      <c r="W120" t="n">
        <v>1476</v>
      </c>
      <c r="X120" t="n">
        <v>1357</v>
      </c>
      <c r="Y120" t="n">
        <v>6950</v>
      </c>
    </row>
    <row r="121">
      <c r="A121" t="n">
        <v>120</v>
      </c>
      <c r="B121" t="n">
        <v>0</v>
      </c>
      <c r="C121" t="n">
        <v>6044</v>
      </c>
      <c r="D121" t="n">
        <v>10781</v>
      </c>
      <c r="E121" t="n">
        <v>34174</v>
      </c>
      <c r="F121" t="n">
        <v>107678</v>
      </c>
      <c r="G121" t="n">
        <v>335267</v>
      </c>
      <c r="H121" t="n">
        <v>1035100</v>
      </c>
      <c r="I121" t="n">
        <v>3158887</v>
      </c>
      <c r="J121" t="n">
        <v>2000</v>
      </c>
      <c r="K121" t="n">
        <v>8854</v>
      </c>
      <c r="L121" t="n">
        <v>2200</v>
      </c>
      <c r="M121" t="n">
        <v>1020</v>
      </c>
      <c r="N121" t="n">
        <v>1600</v>
      </c>
      <c r="O121" t="n">
        <v>2200</v>
      </c>
      <c r="P121" t="n">
        <v>2800</v>
      </c>
      <c r="Q121" t="n">
        <v>3400</v>
      </c>
      <c r="R121" t="n">
        <v>4000</v>
      </c>
      <c r="S121" t="n">
        <v>4600</v>
      </c>
      <c r="T121" t="n">
        <v>5200</v>
      </c>
      <c r="U121" t="n">
        <v>5800</v>
      </c>
      <c r="V121" t="n">
        <v>2546</v>
      </c>
      <c r="W121" t="n">
        <v>1480</v>
      </c>
      <c r="X121" t="n">
        <v>1360</v>
      </c>
      <c r="Y121" t="n">
        <v>7000</v>
      </c>
    </row>
    <row r="122">
      <c r="A122" t="n">
        <v>121</v>
      </c>
      <c r="B122" t="n">
        <v>0</v>
      </c>
      <c r="C122" t="n">
        <v>6135</v>
      </c>
      <c r="D122" t="n">
        <v>10997</v>
      </c>
      <c r="E122" t="n">
        <v>35200</v>
      </c>
      <c r="F122" t="n">
        <v>111986</v>
      </c>
      <c r="G122" t="n">
        <v>352031</v>
      </c>
      <c r="H122" t="n">
        <v>1097206</v>
      </c>
      <c r="I122" t="n">
        <v>3380010</v>
      </c>
      <c r="J122" t="n">
        <v>2000</v>
      </c>
      <c r="K122" t="n">
        <v>8943</v>
      </c>
      <c r="L122" t="n">
        <v>2210</v>
      </c>
      <c r="M122" t="n">
        <v>1021</v>
      </c>
      <c r="N122" t="n">
        <v>1605</v>
      </c>
      <c r="O122" t="n">
        <v>2210</v>
      </c>
      <c r="P122" t="n">
        <v>2815</v>
      </c>
      <c r="Q122" t="n">
        <v>3420</v>
      </c>
      <c r="R122" t="n">
        <v>4025</v>
      </c>
      <c r="S122" t="n">
        <v>4630</v>
      </c>
      <c r="T122" t="n">
        <v>5235</v>
      </c>
      <c r="U122" t="n">
        <v>5840</v>
      </c>
      <c r="V122" t="n">
        <v>2563</v>
      </c>
      <c r="W122" t="n">
        <v>1484</v>
      </c>
      <c r="X122" t="n">
        <v>1363</v>
      </c>
      <c r="Y122" t="n">
        <v>7010</v>
      </c>
    </row>
    <row r="123">
      <c r="A123" t="n">
        <v>122</v>
      </c>
      <c r="B123" t="n">
        <v>0</v>
      </c>
      <c r="C123" t="n">
        <v>6228</v>
      </c>
      <c r="D123" t="n">
        <v>11217</v>
      </c>
      <c r="E123" t="n">
        <v>36256</v>
      </c>
      <c r="F123" t="n">
        <v>116466</v>
      </c>
      <c r="G123" t="n">
        <v>369633</v>
      </c>
      <c r="H123" t="n">
        <v>1163039</v>
      </c>
      <c r="I123" t="n">
        <v>3616611</v>
      </c>
      <c r="J123" t="n">
        <v>2000</v>
      </c>
      <c r="K123" t="n">
        <v>9033</v>
      </c>
      <c r="L123" t="n">
        <v>2220</v>
      </c>
      <c r="M123" t="n">
        <v>1022</v>
      </c>
      <c r="N123" t="n">
        <v>1610</v>
      </c>
      <c r="O123" t="n">
        <v>2220</v>
      </c>
      <c r="P123" t="n">
        <v>2830</v>
      </c>
      <c r="Q123" t="n">
        <v>3440</v>
      </c>
      <c r="R123" t="n">
        <v>4050</v>
      </c>
      <c r="S123" t="n">
        <v>4660</v>
      </c>
      <c r="T123" t="n">
        <v>5270</v>
      </c>
      <c r="U123" t="n">
        <v>5880</v>
      </c>
      <c r="V123" t="n">
        <v>2580</v>
      </c>
      <c r="W123" t="n">
        <v>1488</v>
      </c>
      <c r="X123" t="n">
        <v>1366</v>
      </c>
      <c r="Y123" t="n">
        <v>7020</v>
      </c>
    </row>
    <row r="124">
      <c r="A124" t="n">
        <v>123</v>
      </c>
      <c r="B124" t="n">
        <v>0</v>
      </c>
      <c r="C124" t="n">
        <v>6322</v>
      </c>
      <c r="D124" t="n">
        <v>11442</v>
      </c>
      <c r="E124" t="n">
        <v>37344</v>
      </c>
      <c r="F124" t="n">
        <v>121125</v>
      </c>
      <c r="G124" t="n">
        <v>388115</v>
      </c>
      <c r="H124" t="n">
        <v>1232822</v>
      </c>
      <c r="I124" t="n">
        <v>3869774</v>
      </c>
      <c r="J124" t="n">
        <v>2000</v>
      </c>
      <c r="K124" t="n">
        <v>9124</v>
      </c>
      <c r="L124" t="n">
        <v>2230</v>
      </c>
      <c r="M124" t="n">
        <v>1023</v>
      </c>
      <c r="N124" t="n">
        <v>1615</v>
      </c>
      <c r="O124" t="n">
        <v>2230</v>
      </c>
      <c r="P124" t="n">
        <v>2845</v>
      </c>
      <c r="Q124" t="n">
        <v>3460</v>
      </c>
      <c r="R124" t="n">
        <v>4075</v>
      </c>
      <c r="S124" t="n">
        <v>4690</v>
      </c>
      <c r="T124" t="n">
        <v>5305</v>
      </c>
      <c r="U124" t="n">
        <v>5920</v>
      </c>
      <c r="V124" t="n">
        <v>2597</v>
      </c>
      <c r="W124" t="n">
        <v>1492</v>
      </c>
      <c r="X124" t="n">
        <v>1369</v>
      </c>
      <c r="Y124" t="n">
        <v>7030</v>
      </c>
    </row>
    <row r="125">
      <c r="A125" t="n">
        <v>124</v>
      </c>
      <c r="B125" t="n">
        <v>0</v>
      </c>
      <c r="C125" t="n">
        <v>6417</v>
      </c>
      <c r="D125" t="n">
        <v>11671</v>
      </c>
      <c r="E125" t="n">
        <v>38465</v>
      </c>
      <c r="F125" t="n">
        <v>125970</v>
      </c>
      <c r="G125" t="n">
        <v>407521</v>
      </c>
      <c r="H125" t="n">
        <v>1306792</v>
      </c>
      <c r="I125" t="n">
        <v>4140659</v>
      </c>
      <c r="J125" t="n">
        <v>2000</v>
      </c>
      <c r="K125" t="n">
        <v>9216</v>
      </c>
      <c r="L125" t="n">
        <v>2240</v>
      </c>
      <c r="M125" t="n">
        <v>1024</v>
      </c>
      <c r="N125" t="n">
        <v>1620</v>
      </c>
      <c r="O125" t="n">
        <v>2240</v>
      </c>
      <c r="P125" t="n">
        <v>2860</v>
      </c>
      <c r="Q125" t="n">
        <v>3480</v>
      </c>
      <c r="R125" t="n">
        <v>4100</v>
      </c>
      <c r="S125" t="n">
        <v>4720</v>
      </c>
      <c r="T125" t="n">
        <v>5340</v>
      </c>
      <c r="U125" t="n">
        <v>5960</v>
      </c>
      <c r="V125" t="n">
        <v>2615</v>
      </c>
      <c r="W125" t="n">
        <v>1496</v>
      </c>
      <c r="X125" t="n">
        <v>1372</v>
      </c>
      <c r="Y125" t="n">
        <v>7040</v>
      </c>
    </row>
    <row r="126">
      <c r="A126" t="n">
        <v>125</v>
      </c>
      <c r="B126" t="n">
        <v>0</v>
      </c>
      <c r="C126" t="n">
        <v>6514</v>
      </c>
      <c r="D126" t="n">
        <v>11905</v>
      </c>
      <c r="E126" t="n">
        <v>39619</v>
      </c>
      <c r="F126" t="n">
        <v>131009</v>
      </c>
      <c r="G126" t="n">
        <v>427898</v>
      </c>
      <c r="H126" t="n">
        <v>1385200</v>
      </c>
      <c r="I126" t="n">
        <v>4430506</v>
      </c>
      <c r="J126" t="n">
        <v>2000</v>
      </c>
      <c r="K126" t="n">
        <v>9309</v>
      </c>
      <c r="L126" t="n">
        <v>2250</v>
      </c>
      <c r="M126" t="n">
        <v>1025</v>
      </c>
      <c r="N126" t="n">
        <v>1625</v>
      </c>
      <c r="O126" t="n">
        <v>2250</v>
      </c>
      <c r="P126" t="n">
        <v>2875</v>
      </c>
      <c r="Q126" t="n">
        <v>3500</v>
      </c>
      <c r="R126" t="n">
        <v>4125</v>
      </c>
      <c r="S126" t="n">
        <v>4750</v>
      </c>
      <c r="T126" t="n">
        <v>5375</v>
      </c>
      <c r="U126" t="n">
        <v>6000</v>
      </c>
      <c r="V126" t="n">
        <v>2633</v>
      </c>
      <c r="W126" t="n">
        <v>1500</v>
      </c>
      <c r="X126" t="n">
        <v>1375</v>
      </c>
      <c r="Y126" t="n">
        <v>7050</v>
      </c>
    </row>
    <row r="127">
      <c r="A127" t="n">
        <v>126</v>
      </c>
      <c r="B127" t="n">
        <v>0</v>
      </c>
      <c r="C127" t="n">
        <v>6612</v>
      </c>
      <c r="D127" t="n">
        <v>12144</v>
      </c>
      <c r="E127" t="n">
        <v>40808</v>
      </c>
      <c r="F127" t="n">
        <v>136250</v>
      </c>
      <c r="G127" t="n">
        <v>449293</v>
      </c>
      <c r="H127" t="n">
        <v>1468312</v>
      </c>
      <c r="I127" t="n">
        <v>4740642</v>
      </c>
      <c r="J127" t="n">
        <v>2000</v>
      </c>
      <c r="K127" t="n">
        <v>9403</v>
      </c>
      <c r="L127" t="n">
        <v>2260</v>
      </c>
      <c r="M127" t="n">
        <v>1026</v>
      </c>
      <c r="N127" t="n">
        <v>1630</v>
      </c>
      <c r="O127" t="n">
        <v>2260</v>
      </c>
      <c r="P127" t="n">
        <v>2890</v>
      </c>
      <c r="Q127" t="n">
        <v>3520</v>
      </c>
      <c r="R127" t="n">
        <v>4150</v>
      </c>
      <c r="S127" t="n">
        <v>4780</v>
      </c>
      <c r="T127" t="n">
        <v>5410</v>
      </c>
      <c r="U127" t="n">
        <v>6040</v>
      </c>
      <c r="V127" t="n">
        <v>2651</v>
      </c>
      <c r="W127" t="n">
        <v>1504</v>
      </c>
      <c r="X127" t="n">
        <v>1378</v>
      </c>
      <c r="Y127" t="n">
        <v>7060</v>
      </c>
    </row>
    <row r="128">
      <c r="A128" t="n">
        <v>127</v>
      </c>
      <c r="B128" t="n">
        <v>0</v>
      </c>
      <c r="C128" t="n">
        <v>6712</v>
      </c>
      <c r="D128" t="n">
        <v>12387</v>
      </c>
      <c r="E128" t="n">
        <v>42033</v>
      </c>
      <c r="F128" t="n">
        <v>141700</v>
      </c>
      <c r="G128" t="n">
        <v>471758</v>
      </c>
      <c r="H128" t="n">
        <v>1556411</v>
      </c>
      <c r="I128" t="n">
        <v>5072487</v>
      </c>
      <c r="J128" t="n">
        <v>2000</v>
      </c>
      <c r="K128" t="n">
        <v>9498</v>
      </c>
      <c r="L128" t="n">
        <v>2270</v>
      </c>
      <c r="M128" t="n">
        <v>1027</v>
      </c>
      <c r="N128" t="n">
        <v>1635</v>
      </c>
      <c r="O128" t="n">
        <v>2270</v>
      </c>
      <c r="P128" t="n">
        <v>2905</v>
      </c>
      <c r="Q128" t="n">
        <v>3540</v>
      </c>
      <c r="R128" t="n">
        <v>4175</v>
      </c>
      <c r="S128" t="n">
        <v>4810</v>
      </c>
      <c r="T128" t="n">
        <v>5445</v>
      </c>
      <c r="U128" t="n">
        <v>6080</v>
      </c>
      <c r="V128" t="n">
        <v>2669</v>
      </c>
      <c r="W128" t="n">
        <v>1508</v>
      </c>
      <c r="X128" t="n">
        <v>1381</v>
      </c>
      <c r="Y128" t="n">
        <v>7070</v>
      </c>
    </row>
    <row r="129">
      <c r="A129" t="n">
        <v>128</v>
      </c>
      <c r="B129" t="n">
        <v>0</v>
      </c>
      <c r="C129" t="n">
        <v>6813</v>
      </c>
      <c r="D129" t="n">
        <v>12635</v>
      </c>
      <c r="E129" t="n">
        <v>43294</v>
      </c>
      <c r="F129" t="n">
        <v>147368</v>
      </c>
      <c r="G129" t="n">
        <v>495346</v>
      </c>
      <c r="H129" t="n">
        <v>1649796</v>
      </c>
      <c r="I129" t="n">
        <v>5427562</v>
      </c>
      <c r="J129" t="n">
        <v>2000</v>
      </c>
      <c r="K129" t="n">
        <v>9593</v>
      </c>
      <c r="L129" t="n">
        <v>2280</v>
      </c>
      <c r="M129" t="n">
        <v>1028</v>
      </c>
      <c r="N129" t="n">
        <v>1640</v>
      </c>
      <c r="O129" t="n">
        <v>2280</v>
      </c>
      <c r="P129" t="n">
        <v>2920</v>
      </c>
      <c r="Q129" t="n">
        <v>3560</v>
      </c>
      <c r="R129" t="n">
        <v>4200</v>
      </c>
      <c r="S129" t="n">
        <v>4840</v>
      </c>
      <c r="T129" t="n">
        <v>5480</v>
      </c>
      <c r="U129" t="n">
        <v>6120</v>
      </c>
      <c r="V129" t="n">
        <v>2687</v>
      </c>
      <c r="W129" t="n">
        <v>1512</v>
      </c>
      <c r="X129" t="n">
        <v>1384</v>
      </c>
      <c r="Y129" t="n">
        <v>7080</v>
      </c>
    </row>
    <row r="130">
      <c r="A130" t="n">
        <v>129</v>
      </c>
      <c r="B130" t="n">
        <v>0</v>
      </c>
      <c r="C130" t="n">
        <v>6916</v>
      </c>
      <c r="D130" t="n">
        <v>12888</v>
      </c>
      <c r="E130" t="n">
        <v>44593</v>
      </c>
      <c r="F130" t="n">
        <v>153263</v>
      </c>
      <c r="G130" t="n">
        <v>520114</v>
      </c>
      <c r="H130" t="n">
        <v>1748784</v>
      </c>
      <c r="I130" t="n">
        <v>5807492</v>
      </c>
      <c r="J130" t="n">
        <v>2000</v>
      </c>
      <c r="K130" t="n">
        <v>9689</v>
      </c>
      <c r="L130" t="n">
        <v>2290</v>
      </c>
      <c r="M130" t="n">
        <v>1029</v>
      </c>
      <c r="N130" t="n">
        <v>1645</v>
      </c>
      <c r="O130" t="n">
        <v>2290</v>
      </c>
      <c r="P130" t="n">
        <v>2935</v>
      </c>
      <c r="Q130" t="n">
        <v>3580</v>
      </c>
      <c r="R130" t="n">
        <v>4225</v>
      </c>
      <c r="S130" t="n">
        <v>4870</v>
      </c>
      <c r="T130" t="n">
        <v>5515</v>
      </c>
      <c r="U130" t="n">
        <v>6160</v>
      </c>
      <c r="V130" t="n">
        <v>2705</v>
      </c>
      <c r="W130" t="n">
        <v>1516</v>
      </c>
      <c r="X130" t="n">
        <v>1387</v>
      </c>
      <c r="Y130" t="n">
        <v>7090</v>
      </c>
    </row>
    <row r="131">
      <c r="A131" t="n">
        <v>130</v>
      </c>
      <c r="B131" t="n">
        <v>0</v>
      </c>
      <c r="C131" t="n">
        <v>7020</v>
      </c>
      <c r="D131" t="n">
        <v>13146</v>
      </c>
      <c r="E131" t="n">
        <v>45931</v>
      </c>
      <c r="F131" t="n">
        <v>159394</v>
      </c>
      <c r="G131" t="n">
        <v>546120</v>
      </c>
      <c r="H131" t="n">
        <v>1853712</v>
      </c>
      <c r="I131" t="n">
        <v>6214017</v>
      </c>
      <c r="J131" t="n">
        <v>2000</v>
      </c>
      <c r="K131" t="n">
        <v>9786</v>
      </c>
      <c r="L131" t="n">
        <v>2300</v>
      </c>
      <c r="M131" t="n">
        <v>1030</v>
      </c>
      <c r="N131" t="n">
        <v>1650</v>
      </c>
      <c r="O131" t="n">
        <v>2300</v>
      </c>
      <c r="P131" t="n">
        <v>2950</v>
      </c>
      <c r="Q131" t="n">
        <v>3600</v>
      </c>
      <c r="R131" t="n">
        <v>4250</v>
      </c>
      <c r="S131" t="n">
        <v>4900</v>
      </c>
      <c r="T131" t="n">
        <v>5550</v>
      </c>
      <c r="U131" t="n">
        <v>6200</v>
      </c>
      <c r="V131" t="n">
        <v>2723</v>
      </c>
      <c r="W131" t="n">
        <v>1520</v>
      </c>
      <c r="X131" t="n">
        <v>1390</v>
      </c>
      <c r="Y131" t="n">
        <v>7100</v>
      </c>
    </row>
    <row r="132">
      <c r="A132" t="n">
        <v>131</v>
      </c>
      <c r="B132" t="n">
        <v>0</v>
      </c>
      <c r="C132" t="n">
        <v>7126</v>
      </c>
      <c r="D132" t="n">
        <v>13409</v>
      </c>
      <c r="E132" t="n">
        <v>47309</v>
      </c>
      <c r="F132" t="n">
        <v>165770</v>
      </c>
      <c r="G132" t="n">
        <v>573426</v>
      </c>
      <c r="H132" t="n">
        <v>1964935</v>
      </c>
      <c r="I132" t="n">
        <v>6648999</v>
      </c>
      <c r="J132" t="n">
        <v>2000</v>
      </c>
      <c r="K132" t="n">
        <v>9884</v>
      </c>
      <c r="L132" t="n">
        <v>2310</v>
      </c>
      <c r="M132" t="n">
        <v>1031</v>
      </c>
      <c r="N132" t="n">
        <v>1655</v>
      </c>
      <c r="O132" t="n">
        <v>2310</v>
      </c>
      <c r="P132" t="n">
        <v>2965</v>
      </c>
      <c r="Q132" t="n">
        <v>3620</v>
      </c>
      <c r="R132" t="n">
        <v>4275</v>
      </c>
      <c r="S132" t="n">
        <v>4930</v>
      </c>
      <c r="T132" t="n">
        <v>5585</v>
      </c>
      <c r="U132" t="n">
        <v>6240</v>
      </c>
      <c r="V132" t="n">
        <v>2741</v>
      </c>
      <c r="W132" t="n">
        <v>1524</v>
      </c>
      <c r="X132" t="n">
        <v>1393</v>
      </c>
      <c r="Y132" t="n">
        <v>7110</v>
      </c>
    </row>
    <row r="133">
      <c r="A133" t="n">
        <v>132</v>
      </c>
      <c r="B133" t="n">
        <v>0</v>
      </c>
      <c r="C133" t="n">
        <v>7233</v>
      </c>
      <c r="D133" t="n">
        <v>13678</v>
      </c>
      <c r="E133" t="n">
        <v>48729</v>
      </c>
      <c r="F133" t="n">
        <v>172401</v>
      </c>
      <c r="G133" t="n">
        <v>602098</v>
      </c>
      <c r="H133" t="n">
        <v>2082832</v>
      </c>
      <c r="I133" t="n">
        <v>7114429</v>
      </c>
      <c r="J133" t="n">
        <v>2000</v>
      </c>
      <c r="K133" t="n">
        <v>9983</v>
      </c>
      <c r="L133" t="n">
        <v>2320</v>
      </c>
      <c r="M133" t="n">
        <v>1032</v>
      </c>
      <c r="N133" t="n">
        <v>1660</v>
      </c>
      <c r="O133" t="n">
        <v>2320</v>
      </c>
      <c r="P133" t="n">
        <v>2980</v>
      </c>
      <c r="Q133" t="n">
        <v>3640</v>
      </c>
      <c r="R133" t="n">
        <v>4300</v>
      </c>
      <c r="S133" t="n">
        <v>4960</v>
      </c>
      <c r="T133" t="n">
        <v>5620</v>
      </c>
      <c r="U133" t="n">
        <v>6280</v>
      </c>
      <c r="V133" t="n">
        <v>2759</v>
      </c>
      <c r="W133" t="n">
        <v>1528</v>
      </c>
      <c r="X133" t="n">
        <v>1396</v>
      </c>
      <c r="Y133" t="n">
        <v>7120</v>
      </c>
    </row>
    <row r="134">
      <c r="A134" t="n">
        <v>133</v>
      </c>
      <c r="B134" t="n">
        <v>0</v>
      </c>
      <c r="C134" t="n">
        <v>7342</v>
      </c>
      <c r="D134" t="n">
        <v>13952</v>
      </c>
      <c r="E134" t="n">
        <v>50191</v>
      </c>
      <c r="F134" t="n">
        <v>179298</v>
      </c>
      <c r="G134" t="n">
        <v>632203</v>
      </c>
      <c r="H134" t="n">
        <v>2207802</v>
      </c>
      <c r="I134" t="n">
        <v>7612440</v>
      </c>
      <c r="J134" t="n">
        <v>2000</v>
      </c>
      <c r="K134" t="n">
        <v>10083</v>
      </c>
      <c r="L134" t="n">
        <v>2330</v>
      </c>
      <c r="M134" t="n">
        <v>1033</v>
      </c>
      <c r="N134" t="n">
        <v>1665</v>
      </c>
      <c r="O134" t="n">
        <v>2330</v>
      </c>
      <c r="P134" t="n">
        <v>2995</v>
      </c>
      <c r="Q134" t="n">
        <v>3660</v>
      </c>
      <c r="R134" t="n">
        <v>4325</v>
      </c>
      <c r="S134" t="n">
        <v>4990</v>
      </c>
      <c r="T134" t="n">
        <v>5655</v>
      </c>
      <c r="U134" t="n">
        <v>6320</v>
      </c>
      <c r="V134" t="n">
        <v>2777</v>
      </c>
      <c r="W134" t="n">
        <v>1532</v>
      </c>
      <c r="X134" t="n">
        <v>1399</v>
      </c>
      <c r="Y134" t="n">
        <v>7130</v>
      </c>
    </row>
    <row r="135">
      <c r="A135" t="n">
        <v>134</v>
      </c>
      <c r="B135" t="n">
        <v>0</v>
      </c>
      <c r="C135" t="n">
        <v>7453</v>
      </c>
      <c r="D135" t="n">
        <v>14232</v>
      </c>
      <c r="E135" t="n">
        <v>51697</v>
      </c>
      <c r="F135" t="n">
        <v>186470</v>
      </c>
      <c r="G135" t="n">
        <v>663814</v>
      </c>
      <c r="H135" t="n">
        <v>2340271</v>
      </c>
      <c r="I135" t="n">
        <v>8145311</v>
      </c>
      <c r="J135" t="n">
        <v>2000</v>
      </c>
      <c r="K135" t="n">
        <v>10184</v>
      </c>
      <c r="L135" t="n">
        <v>2340</v>
      </c>
      <c r="M135" t="n">
        <v>1034</v>
      </c>
      <c r="N135" t="n">
        <v>1670</v>
      </c>
      <c r="O135" t="n">
        <v>2340</v>
      </c>
      <c r="P135" t="n">
        <v>3010</v>
      </c>
      <c r="Q135" t="n">
        <v>3680</v>
      </c>
      <c r="R135" t="n">
        <v>4350</v>
      </c>
      <c r="S135" t="n">
        <v>5020</v>
      </c>
      <c r="T135" t="n">
        <v>5690</v>
      </c>
      <c r="U135" t="n">
        <v>6360</v>
      </c>
      <c r="V135" t="n">
        <v>2795</v>
      </c>
      <c r="W135" t="n">
        <v>1536</v>
      </c>
      <c r="X135" t="n">
        <v>1402</v>
      </c>
      <c r="Y135" t="n">
        <v>7140</v>
      </c>
    </row>
    <row r="136">
      <c r="A136" t="n">
        <v>135</v>
      </c>
      <c r="B136" t="n">
        <v>0</v>
      </c>
      <c r="C136" t="n">
        <v>7565</v>
      </c>
      <c r="D136" t="n">
        <v>14517</v>
      </c>
      <c r="E136" t="n">
        <v>53248</v>
      </c>
      <c r="F136" t="n">
        <v>193929</v>
      </c>
      <c r="G136" t="n">
        <v>697005</v>
      </c>
      <c r="H136" t="n">
        <v>2480688</v>
      </c>
      <c r="I136" t="n">
        <v>8715483</v>
      </c>
      <c r="J136" t="n">
        <v>2000</v>
      </c>
      <c r="K136" t="n">
        <v>10286</v>
      </c>
      <c r="L136" t="n">
        <v>2350</v>
      </c>
      <c r="M136" t="n">
        <v>1035</v>
      </c>
      <c r="N136" t="n">
        <v>1675</v>
      </c>
      <c r="O136" t="n">
        <v>2350</v>
      </c>
      <c r="P136" t="n">
        <v>3025</v>
      </c>
      <c r="Q136" t="n">
        <v>3700</v>
      </c>
      <c r="R136" t="n">
        <v>4375</v>
      </c>
      <c r="S136" t="n">
        <v>5050</v>
      </c>
      <c r="T136" t="n">
        <v>5725</v>
      </c>
      <c r="U136" t="n">
        <v>6400</v>
      </c>
      <c r="V136" t="n">
        <v>2813</v>
      </c>
      <c r="W136" t="n">
        <v>1540</v>
      </c>
      <c r="X136" t="n">
        <v>1405</v>
      </c>
      <c r="Y136" t="n">
        <v>7150</v>
      </c>
    </row>
    <row r="137">
      <c r="A137" t="n">
        <v>136</v>
      </c>
      <c r="B137" t="n">
        <v>0</v>
      </c>
      <c r="C137" t="n">
        <v>7679</v>
      </c>
      <c r="D137" t="n">
        <v>14808</v>
      </c>
      <c r="E137" t="n">
        <v>54846</v>
      </c>
      <c r="F137" t="n">
        <v>201687</v>
      </c>
      <c r="G137" t="n">
        <v>731856</v>
      </c>
      <c r="H137" t="n">
        <v>2629530</v>
      </c>
      <c r="I137" t="n">
        <v>9325567</v>
      </c>
      <c r="J137" t="n">
        <v>2000</v>
      </c>
      <c r="K137" t="n">
        <v>10389</v>
      </c>
      <c r="L137" t="n">
        <v>2360</v>
      </c>
      <c r="M137" t="n">
        <v>1036</v>
      </c>
      <c r="N137" t="n">
        <v>1680</v>
      </c>
      <c r="O137" t="n">
        <v>2360</v>
      </c>
      <c r="P137" t="n">
        <v>3040</v>
      </c>
      <c r="Q137" t="n">
        <v>3720</v>
      </c>
      <c r="R137" t="n">
        <v>4400</v>
      </c>
      <c r="S137" t="n">
        <v>5080</v>
      </c>
      <c r="T137" t="n">
        <v>5760</v>
      </c>
      <c r="U137" t="n">
        <v>6440</v>
      </c>
      <c r="V137" t="n">
        <v>2832</v>
      </c>
      <c r="W137" t="n">
        <v>1544</v>
      </c>
      <c r="X137" t="n">
        <v>1408</v>
      </c>
      <c r="Y137" t="n">
        <v>7160</v>
      </c>
    </row>
    <row r="138">
      <c r="A138" t="n">
        <v>137</v>
      </c>
      <c r="B138" t="n">
        <v>0</v>
      </c>
      <c r="C138" t="n">
        <v>7795</v>
      </c>
      <c r="D138" t="n">
        <v>15105</v>
      </c>
      <c r="E138" t="n">
        <v>56492</v>
      </c>
      <c r="F138" t="n">
        <v>209755</v>
      </c>
      <c r="G138" t="n">
        <v>768449</v>
      </c>
      <c r="H138" t="n">
        <v>2787302</v>
      </c>
      <c r="I138" t="n">
        <v>9978357</v>
      </c>
      <c r="J138" t="n">
        <v>2000</v>
      </c>
      <c r="K138" t="n">
        <v>10493</v>
      </c>
      <c r="L138" t="n">
        <v>2370</v>
      </c>
      <c r="M138" t="n">
        <v>1037</v>
      </c>
      <c r="N138" t="n">
        <v>1685</v>
      </c>
      <c r="O138" t="n">
        <v>2370</v>
      </c>
      <c r="P138" t="n">
        <v>3055</v>
      </c>
      <c r="Q138" t="n">
        <v>3740</v>
      </c>
      <c r="R138" t="n">
        <v>4425</v>
      </c>
      <c r="S138" t="n">
        <v>5110</v>
      </c>
      <c r="T138" t="n">
        <v>5795</v>
      </c>
      <c r="U138" t="n">
        <v>6480</v>
      </c>
      <c r="V138" t="n">
        <v>2851</v>
      </c>
      <c r="W138" t="n">
        <v>1548</v>
      </c>
      <c r="X138" t="n">
        <v>1411</v>
      </c>
      <c r="Y138" t="n">
        <v>7170</v>
      </c>
    </row>
    <row r="139">
      <c r="A139" t="n">
        <v>138</v>
      </c>
      <c r="B139" t="n">
        <v>0</v>
      </c>
      <c r="C139" t="n">
        <v>7912</v>
      </c>
      <c r="D139" t="n">
        <v>15408</v>
      </c>
      <c r="E139" t="n">
        <v>58187</v>
      </c>
      <c r="F139" t="n">
        <v>218146</v>
      </c>
      <c r="G139" t="n">
        <v>806872</v>
      </c>
      <c r="H139" t="n">
        <v>2954541</v>
      </c>
      <c r="I139" t="n">
        <v>10676842</v>
      </c>
      <c r="J139" t="n">
        <v>2000</v>
      </c>
      <c r="K139" t="n">
        <v>10598</v>
      </c>
      <c r="L139" t="n">
        <v>2380</v>
      </c>
      <c r="M139" t="n">
        <v>1038</v>
      </c>
      <c r="N139" t="n">
        <v>1690</v>
      </c>
      <c r="O139" t="n">
        <v>2380</v>
      </c>
      <c r="P139" t="n">
        <v>3070</v>
      </c>
      <c r="Q139" t="n">
        <v>3760</v>
      </c>
      <c r="R139" t="n">
        <v>4450</v>
      </c>
      <c r="S139" t="n">
        <v>5140</v>
      </c>
      <c r="T139" t="n">
        <v>5830</v>
      </c>
      <c r="U139" t="n">
        <v>6520</v>
      </c>
      <c r="V139" t="n">
        <v>2870</v>
      </c>
      <c r="W139" t="n">
        <v>1552</v>
      </c>
      <c r="X139" t="n">
        <v>1414</v>
      </c>
      <c r="Y139" t="n">
        <v>7180</v>
      </c>
    </row>
    <row r="140">
      <c r="A140" t="n">
        <v>139</v>
      </c>
      <c r="B140" t="n">
        <v>0</v>
      </c>
      <c r="C140" t="n">
        <v>8031</v>
      </c>
      <c r="D140" t="n">
        <v>15717</v>
      </c>
      <c r="E140" t="n">
        <v>59933</v>
      </c>
      <c r="F140" t="n">
        <v>226872</v>
      </c>
      <c r="G140" t="n">
        <v>847216</v>
      </c>
      <c r="H140" t="n">
        <v>3131814</v>
      </c>
      <c r="I140" t="n">
        <v>11424221</v>
      </c>
      <c r="J140" t="n">
        <v>2000</v>
      </c>
      <c r="K140" t="n">
        <v>10704</v>
      </c>
      <c r="L140" t="n">
        <v>2390</v>
      </c>
      <c r="M140" t="n">
        <v>1039</v>
      </c>
      <c r="N140" t="n">
        <v>1695</v>
      </c>
      <c r="O140" t="n">
        <v>2390</v>
      </c>
      <c r="P140" t="n">
        <v>3085</v>
      </c>
      <c r="Q140" t="n">
        <v>3780</v>
      </c>
      <c r="R140" t="n">
        <v>4475</v>
      </c>
      <c r="S140" t="n">
        <v>5170</v>
      </c>
      <c r="T140" t="n">
        <v>5865</v>
      </c>
      <c r="U140" t="n">
        <v>6560</v>
      </c>
      <c r="V140" t="n">
        <v>2889</v>
      </c>
      <c r="W140" t="n">
        <v>1556</v>
      </c>
      <c r="X140" t="n">
        <v>1417</v>
      </c>
      <c r="Y140" t="n">
        <v>7190</v>
      </c>
    </row>
    <row r="141">
      <c r="A141" t="n">
        <v>140</v>
      </c>
      <c r="B141" t="n">
        <v>0</v>
      </c>
      <c r="C141" t="n">
        <v>8152</v>
      </c>
      <c r="D141" t="n">
        <v>16032</v>
      </c>
      <c r="E141" t="n">
        <v>61731</v>
      </c>
      <c r="F141" t="n">
        <v>235947</v>
      </c>
      <c r="G141" t="n">
        <v>889577</v>
      </c>
      <c r="H141" t="n">
        <v>3319723</v>
      </c>
      <c r="I141" t="n">
        <v>12223917</v>
      </c>
      <c r="J141" t="n">
        <v>2000</v>
      </c>
      <c r="K141" t="n">
        <v>10812</v>
      </c>
      <c r="L141" t="n">
        <v>2400</v>
      </c>
      <c r="M141" t="n">
        <v>1040</v>
      </c>
      <c r="N141" t="n">
        <v>1700</v>
      </c>
      <c r="O141" t="n">
        <v>2400</v>
      </c>
      <c r="P141" t="n">
        <v>3100</v>
      </c>
      <c r="Q141" t="n">
        <v>3800</v>
      </c>
      <c r="R141" t="n">
        <v>4500</v>
      </c>
      <c r="S141" t="n">
        <v>5200</v>
      </c>
      <c r="T141" t="n">
        <v>5900</v>
      </c>
      <c r="U141" t="n">
        <v>6600</v>
      </c>
      <c r="V141" t="n">
        <v>2908</v>
      </c>
      <c r="W141" t="n">
        <v>1560</v>
      </c>
      <c r="X141" t="n">
        <v>1420</v>
      </c>
      <c r="Y141" t="n">
        <v>7200</v>
      </c>
    </row>
    <row r="142">
      <c r="A142" t="n">
        <v>141</v>
      </c>
      <c r="B142" t="n">
        <v>0</v>
      </c>
      <c r="C142" t="n">
        <v>8275</v>
      </c>
      <c r="D142" t="n">
        <v>16353</v>
      </c>
      <c r="E142" t="n">
        <v>63583</v>
      </c>
      <c r="F142" t="n">
        <v>245385</v>
      </c>
      <c r="G142" t="n">
        <v>934056</v>
      </c>
      <c r="H142" t="n">
        <v>3518907</v>
      </c>
      <c r="I142" t="n">
        <v>13079592</v>
      </c>
      <c r="J142" t="n">
        <v>2000</v>
      </c>
      <c r="K142" t="n">
        <v>10921</v>
      </c>
      <c r="L142" t="n">
        <v>2410</v>
      </c>
      <c r="M142" t="n">
        <v>1041</v>
      </c>
      <c r="N142" t="n">
        <v>1705</v>
      </c>
      <c r="O142" t="n">
        <v>2410</v>
      </c>
      <c r="P142" t="n">
        <v>3115</v>
      </c>
      <c r="Q142" t="n">
        <v>3820</v>
      </c>
      <c r="R142" t="n">
        <v>4525</v>
      </c>
      <c r="S142" t="n">
        <v>5230</v>
      </c>
      <c r="T142" t="n">
        <v>5935</v>
      </c>
      <c r="U142" t="n">
        <v>6640</v>
      </c>
      <c r="V142" t="n">
        <v>2927</v>
      </c>
      <c r="W142" t="n">
        <v>1564</v>
      </c>
      <c r="X142" t="n">
        <v>1423</v>
      </c>
      <c r="Y142" t="n">
        <v>7210</v>
      </c>
    </row>
    <row r="143">
      <c r="A143" t="n">
        <v>142</v>
      </c>
      <c r="B143" t="n">
        <v>0</v>
      </c>
      <c r="C143" t="n">
        <v>8400</v>
      </c>
      <c r="D143" t="n">
        <v>16681</v>
      </c>
      <c r="E143" t="n">
        <v>65491</v>
      </c>
      <c r="F143" t="n">
        <v>255201</v>
      </c>
      <c r="G143" t="n">
        <v>980759</v>
      </c>
      <c r="H143" t="n">
        <v>3730042</v>
      </c>
      <c r="I143" t="n">
        <v>13995164</v>
      </c>
      <c r="J143" t="n">
        <v>2000</v>
      </c>
      <c r="K143" t="n">
        <v>11031</v>
      </c>
      <c r="L143" t="n">
        <v>2420</v>
      </c>
      <c r="M143" t="n">
        <v>1042</v>
      </c>
      <c r="N143" t="n">
        <v>1710</v>
      </c>
      <c r="O143" t="n">
        <v>2420</v>
      </c>
      <c r="P143" t="n">
        <v>3130</v>
      </c>
      <c r="Q143" t="n">
        <v>3840</v>
      </c>
      <c r="R143" t="n">
        <v>4550</v>
      </c>
      <c r="S143" t="n">
        <v>5260</v>
      </c>
      <c r="T143" t="n">
        <v>5970</v>
      </c>
      <c r="U143" t="n">
        <v>6680</v>
      </c>
      <c r="V143" t="n">
        <v>2946</v>
      </c>
      <c r="W143" t="n">
        <v>1568</v>
      </c>
      <c r="X143" t="n">
        <v>1426</v>
      </c>
      <c r="Y143" t="n">
        <v>7220</v>
      </c>
    </row>
    <row r="144">
      <c r="A144" t="n">
        <v>143</v>
      </c>
      <c r="B144" t="n">
        <v>0</v>
      </c>
      <c r="C144" t="n">
        <v>8526</v>
      </c>
      <c r="D144" t="n">
        <v>17015</v>
      </c>
      <c r="E144" t="n">
        <v>67456</v>
      </c>
      <c r="F144" t="n">
        <v>265410</v>
      </c>
      <c r="G144" t="n">
        <v>1029797</v>
      </c>
      <c r="H144" t="n">
        <v>3953845</v>
      </c>
      <c r="I144" t="n">
        <v>14974826</v>
      </c>
      <c r="J144" t="n">
        <v>2000</v>
      </c>
      <c r="K144" t="n">
        <v>11142</v>
      </c>
      <c r="L144" t="n">
        <v>2430</v>
      </c>
      <c r="M144" t="n">
        <v>1043</v>
      </c>
      <c r="N144" t="n">
        <v>1715</v>
      </c>
      <c r="O144" t="n">
        <v>2430</v>
      </c>
      <c r="P144" t="n">
        <v>3145</v>
      </c>
      <c r="Q144" t="n">
        <v>3860</v>
      </c>
      <c r="R144" t="n">
        <v>4575</v>
      </c>
      <c r="S144" t="n">
        <v>5290</v>
      </c>
      <c r="T144" t="n">
        <v>6005</v>
      </c>
      <c r="U144" t="n">
        <v>6720</v>
      </c>
      <c r="V144" t="n">
        <v>2965</v>
      </c>
      <c r="W144" t="n">
        <v>1572</v>
      </c>
      <c r="X144" t="n">
        <v>1429</v>
      </c>
      <c r="Y144" t="n">
        <v>7230</v>
      </c>
    </row>
    <row r="145">
      <c r="A145" t="n">
        <v>144</v>
      </c>
      <c r="B145" t="n">
        <v>0</v>
      </c>
      <c r="C145" t="n">
        <v>8654</v>
      </c>
      <c r="D145" t="n">
        <v>17356</v>
      </c>
      <c r="E145" t="n">
        <v>69480</v>
      </c>
      <c r="F145" t="n">
        <v>276027</v>
      </c>
      <c r="G145" t="n">
        <v>1081287</v>
      </c>
      <c r="H145" t="n">
        <v>4191076</v>
      </c>
      <c r="I145" t="n">
        <v>16023064</v>
      </c>
      <c r="J145" t="n">
        <v>2000</v>
      </c>
      <c r="K145" t="n">
        <v>11254</v>
      </c>
      <c r="L145" t="n">
        <v>2440</v>
      </c>
      <c r="M145" t="n">
        <v>1044</v>
      </c>
      <c r="N145" t="n">
        <v>1720</v>
      </c>
      <c r="O145" t="n">
        <v>2440</v>
      </c>
      <c r="P145" t="n">
        <v>3160</v>
      </c>
      <c r="Q145" t="n">
        <v>3880</v>
      </c>
      <c r="R145" t="n">
        <v>4600</v>
      </c>
      <c r="S145" t="n">
        <v>5320</v>
      </c>
      <c r="T145" t="n">
        <v>6040</v>
      </c>
      <c r="U145" t="n">
        <v>6760</v>
      </c>
      <c r="V145" t="n">
        <v>2984</v>
      </c>
      <c r="W145" t="n">
        <v>1576</v>
      </c>
      <c r="X145" t="n">
        <v>1432</v>
      </c>
      <c r="Y145" t="n">
        <v>7240</v>
      </c>
    </row>
    <row r="146">
      <c r="A146" t="n">
        <v>145</v>
      </c>
      <c r="B146" t="n">
        <v>0</v>
      </c>
      <c r="C146" t="n">
        <v>8784</v>
      </c>
      <c r="D146" t="n">
        <v>17704</v>
      </c>
      <c r="E146" t="n">
        <v>71565</v>
      </c>
      <c r="F146" t="n">
        <v>287069</v>
      </c>
      <c r="G146" t="n">
        <v>1135352</v>
      </c>
      <c r="H146" t="n">
        <v>4442541</v>
      </c>
      <c r="I146" t="n">
        <v>17144679</v>
      </c>
      <c r="J146" t="n">
        <v>2000</v>
      </c>
      <c r="K146" t="n">
        <v>11367</v>
      </c>
      <c r="L146" t="n">
        <v>2450</v>
      </c>
      <c r="M146" t="n">
        <v>1045</v>
      </c>
      <c r="N146" t="n">
        <v>1725</v>
      </c>
      <c r="O146" t="n">
        <v>2450</v>
      </c>
      <c r="P146" t="n">
        <v>3175</v>
      </c>
      <c r="Q146" t="n">
        <v>3900</v>
      </c>
      <c r="R146" t="n">
        <v>4625</v>
      </c>
      <c r="S146" t="n">
        <v>5350</v>
      </c>
      <c r="T146" t="n">
        <v>6075</v>
      </c>
      <c r="U146" t="n">
        <v>6800</v>
      </c>
      <c r="V146" t="n">
        <v>3003</v>
      </c>
      <c r="W146" t="n">
        <v>1580</v>
      </c>
      <c r="X146" t="n">
        <v>1435</v>
      </c>
      <c r="Y146" t="n">
        <v>7250</v>
      </c>
    </row>
    <row r="147">
      <c r="A147" t="n">
        <v>146</v>
      </c>
      <c r="B147" t="n">
        <v>0</v>
      </c>
      <c r="C147" t="n">
        <v>8916</v>
      </c>
      <c r="D147" t="n">
        <v>18059</v>
      </c>
      <c r="E147" t="n">
        <v>73712</v>
      </c>
      <c r="F147" t="n">
        <v>298552</v>
      </c>
      <c r="G147" t="n">
        <v>1192120</v>
      </c>
      <c r="H147" t="n">
        <v>4709094</v>
      </c>
      <c r="I147" t="n">
        <v>18344807</v>
      </c>
      <c r="J147" t="n">
        <v>2000</v>
      </c>
      <c r="K147" t="n">
        <v>11481</v>
      </c>
      <c r="L147" t="n">
        <v>2460</v>
      </c>
      <c r="M147" t="n">
        <v>1046</v>
      </c>
      <c r="N147" t="n">
        <v>1730</v>
      </c>
      <c r="O147" t="n">
        <v>2460</v>
      </c>
      <c r="P147" t="n">
        <v>3190</v>
      </c>
      <c r="Q147" t="n">
        <v>3920</v>
      </c>
      <c r="R147" t="n">
        <v>4650</v>
      </c>
      <c r="S147" t="n">
        <v>5380</v>
      </c>
      <c r="T147" t="n">
        <v>6110</v>
      </c>
      <c r="U147" t="n">
        <v>6840</v>
      </c>
      <c r="V147" t="n">
        <v>3023</v>
      </c>
      <c r="W147" t="n">
        <v>1584</v>
      </c>
      <c r="X147" t="n">
        <v>1438</v>
      </c>
      <c r="Y147" t="n">
        <v>7260</v>
      </c>
    </row>
    <row r="148">
      <c r="A148" t="n">
        <v>147</v>
      </c>
      <c r="B148" t="n">
        <v>0</v>
      </c>
      <c r="C148" t="n">
        <v>9050</v>
      </c>
      <c r="D148" t="n">
        <v>18421</v>
      </c>
      <c r="E148" t="n">
        <v>75924</v>
      </c>
      <c r="F148" t="n">
        <v>310495</v>
      </c>
      <c r="G148" t="n">
        <v>1251726</v>
      </c>
      <c r="H148" t="n">
        <v>4991640</v>
      </c>
      <c r="I148" t="n">
        <v>19628944</v>
      </c>
      <c r="J148" t="n">
        <v>2000</v>
      </c>
      <c r="K148" t="n">
        <v>11596</v>
      </c>
      <c r="L148" t="n">
        <v>2470</v>
      </c>
      <c r="M148" t="n">
        <v>1047</v>
      </c>
      <c r="N148" t="n">
        <v>1735</v>
      </c>
      <c r="O148" t="n">
        <v>2470</v>
      </c>
      <c r="P148" t="n">
        <v>3205</v>
      </c>
      <c r="Q148" t="n">
        <v>3940</v>
      </c>
      <c r="R148" t="n">
        <v>4675</v>
      </c>
      <c r="S148" t="n">
        <v>5410</v>
      </c>
      <c r="T148" t="n">
        <v>6145</v>
      </c>
      <c r="U148" t="n">
        <v>6880</v>
      </c>
      <c r="V148" t="n">
        <v>3043</v>
      </c>
      <c r="W148" t="n">
        <v>1588</v>
      </c>
      <c r="X148" t="n">
        <v>1441</v>
      </c>
      <c r="Y148" t="n">
        <v>7270</v>
      </c>
    </row>
    <row r="149">
      <c r="A149" t="n">
        <v>148</v>
      </c>
      <c r="B149" t="n">
        <v>0</v>
      </c>
      <c r="C149" t="n">
        <v>9186</v>
      </c>
      <c r="D149" t="n">
        <v>18790</v>
      </c>
      <c r="E149" t="n">
        <v>78202</v>
      </c>
      <c r="F149" t="n">
        <v>322915</v>
      </c>
      <c r="G149" t="n">
        <v>1314313</v>
      </c>
      <c r="H149" t="n">
        <v>5291139</v>
      </c>
      <c r="I149" t="n">
        <v>21002971</v>
      </c>
      <c r="J149" t="n">
        <v>2000</v>
      </c>
      <c r="K149" t="n">
        <v>11712</v>
      </c>
      <c r="L149" t="n">
        <v>2480</v>
      </c>
      <c r="M149" t="n">
        <v>1048</v>
      </c>
      <c r="N149" t="n">
        <v>1740</v>
      </c>
      <c r="O149" t="n">
        <v>2480</v>
      </c>
      <c r="P149" t="n">
        <v>3220</v>
      </c>
      <c r="Q149" t="n">
        <v>3960</v>
      </c>
      <c r="R149" t="n">
        <v>4700</v>
      </c>
      <c r="S149" t="n">
        <v>5440</v>
      </c>
      <c r="T149" t="n">
        <v>6180</v>
      </c>
      <c r="U149" t="n">
        <v>6920</v>
      </c>
      <c r="V149" t="n">
        <v>3063</v>
      </c>
      <c r="W149" t="n">
        <v>1592</v>
      </c>
      <c r="X149" t="n">
        <v>1444</v>
      </c>
      <c r="Y149" t="n">
        <v>7280</v>
      </c>
    </row>
    <row r="150">
      <c r="A150" t="n">
        <v>149</v>
      </c>
      <c r="B150" t="n">
        <v>0</v>
      </c>
      <c r="C150" t="n">
        <v>9324</v>
      </c>
      <c r="D150" t="n">
        <v>19166</v>
      </c>
      <c r="E150" t="n">
        <v>80549</v>
      </c>
      <c r="F150" t="n">
        <v>335832</v>
      </c>
      <c r="G150" t="n">
        <v>1380029</v>
      </c>
      <c r="H150" t="n">
        <v>5608608</v>
      </c>
      <c r="I150" t="n">
        <v>22473179</v>
      </c>
      <c r="J150" t="n">
        <v>2000</v>
      </c>
      <c r="K150" t="n">
        <v>11830</v>
      </c>
      <c r="L150" t="n">
        <v>2490</v>
      </c>
      <c r="M150" t="n">
        <v>1049</v>
      </c>
      <c r="N150" t="n">
        <v>1745</v>
      </c>
      <c r="O150" t="n">
        <v>2490</v>
      </c>
      <c r="P150" t="n">
        <v>3235</v>
      </c>
      <c r="Q150" t="n">
        <v>3980</v>
      </c>
      <c r="R150" t="n">
        <v>4725</v>
      </c>
      <c r="S150" t="n">
        <v>5470</v>
      </c>
      <c r="T150" t="n">
        <v>6215</v>
      </c>
      <c r="U150" t="n">
        <v>6960</v>
      </c>
      <c r="V150" t="n">
        <v>3083</v>
      </c>
      <c r="W150" t="n">
        <v>1596</v>
      </c>
      <c r="X150" t="n">
        <v>1447</v>
      </c>
      <c r="Y150" t="n">
        <v>7290</v>
      </c>
    </row>
    <row r="151">
      <c r="A151" t="n">
        <v>150</v>
      </c>
      <c r="B151" t="n">
        <v>0</v>
      </c>
      <c r="C151" t="n">
        <v>9464</v>
      </c>
      <c r="D151" t="n">
        <v>19550</v>
      </c>
      <c r="E151" t="n">
        <v>82966</v>
      </c>
      <c r="F151" t="n">
        <v>349266</v>
      </c>
      <c r="G151" t="n">
        <v>1449031</v>
      </c>
      <c r="H151" t="n">
        <v>5945125</v>
      </c>
      <c r="I151" t="n">
        <v>24046302</v>
      </c>
      <c r="J151" t="n">
        <v>2000</v>
      </c>
      <c r="K151" t="n">
        <v>11949</v>
      </c>
      <c r="L151" t="n">
        <v>2500</v>
      </c>
      <c r="M151" t="n">
        <v>1050</v>
      </c>
      <c r="N151" t="n">
        <v>1750</v>
      </c>
      <c r="O151" t="n">
        <v>2500</v>
      </c>
      <c r="P151" t="n">
        <v>3250</v>
      </c>
      <c r="Q151" t="n">
        <v>4000</v>
      </c>
      <c r="R151" t="n">
        <v>4750</v>
      </c>
      <c r="S151" t="n">
        <v>5500</v>
      </c>
      <c r="T151" t="n">
        <v>6250</v>
      </c>
      <c r="U151" t="n">
        <v>7000</v>
      </c>
      <c r="V151" t="n">
        <v>3103</v>
      </c>
      <c r="W151" t="n">
        <v>1600</v>
      </c>
      <c r="X151" t="n">
        <v>1450</v>
      </c>
      <c r="Y151" t="n">
        <v>7300</v>
      </c>
    </row>
    <row r="152">
      <c r="A152" t="n">
        <v>151</v>
      </c>
      <c r="B152" t="n">
        <v>0</v>
      </c>
      <c r="C152" t="n">
        <v>9606</v>
      </c>
      <c r="D152" t="n">
        <v>19941</v>
      </c>
      <c r="E152" t="n">
        <v>85455</v>
      </c>
      <c r="F152" t="n">
        <v>363237</v>
      </c>
      <c r="G152" t="n">
        <v>1521483</v>
      </c>
      <c r="H152" t="n">
        <v>6301833</v>
      </c>
      <c r="I152" t="n">
        <v>25729544</v>
      </c>
      <c r="J152" t="n">
        <v>2000</v>
      </c>
      <c r="K152" t="n">
        <v>12069</v>
      </c>
      <c r="L152" t="n">
        <v>2500</v>
      </c>
      <c r="M152" t="n">
        <v>1051</v>
      </c>
      <c r="N152" t="n">
        <v>1755</v>
      </c>
      <c r="O152" t="n">
        <v>2510</v>
      </c>
      <c r="P152" t="n">
        <v>3265</v>
      </c>
      <c r="Q152" t="n">
        <v>4020</v>
      </c>
      <c r="R152" t="n">
        <v>4775</v>
      </c>
      <c r="S152" t="n">
        <v>5530</v>
      </c>
      <c r="T152" t="n">
        <v>6285</v>
      </c>
      <c r="U152" t="n">
        <v>7040</v>
      </c>
      <c r="V152" t="n">
        <v>3123</v>
      </c>
      <c r="W152" t="n">
        <v>1604</v>
      </c>
      <c r="X152" t="n">
        <v>1453</v>
      </c>
      <c r="Y152" t="n">
        <v>7310</v>
      </c>
    </row>
    <row r="153">
      <c r="A153" t="n">
        <v>152</v>
      </c>
      <c r="B153" t="n">
        <v>0</v>
      </c>
      <c r="C153" t="n">
        <v>9751</v>
      </c>
      <c r="D153" t="n">
        <v>20340</v>
      </c>
      <c r="E153" t="n">
        <v>88019</v>
      </c>
      <c r="F153" t="n">
        <v>377767</v>
      </c>
      <c r="G153" t="n">
        <v>1597558</v>
      </c>
      <c r="H153" t="n">
        <v>6679943</v>
      </c>
      <c r="I153" t="n">
        <v>27530613</v>
      </c>
      <c r="J153" t="n">
        <v>2000</v>
      </c>
      <c r="K153" t="n">
        <v>12190</v>
      </c>
      <c r="L153" t="n">
        <v>2500</v>
      </c>
      <c r="M153" t="n">
        <v>1052</v>
      </c>
      <c r="N153" t="n">
        <v>1760</v>
      </c>
      <c r="O153" t="n">
        <v>2520</v>
      </c>
      <c r="P153" t="n">
        <v>3280</v>
      </c>
      <c r="Q153" t="n">
        <v>4040</v>
      </c>
      <c r="R153" t="n">
        <v>4800</v>
      </c>
      <c r="S153" t="n">
        <v>5560</v>
      </c>
      <c r="T153" t="n">
        <v>6320</v>
      </c>
      <c r="U153" t="n">
        <v>7080</v>
      </c>
      <c r="V153" t="n">
        <v>3143</v>
      </c>
      <c r="W153" t="n">
        <v>1608</v>
      </c>
      <c r="X153" t="n">
        <v>1456</v>
      </c>
      <c r="Y153" t="n">
        <v>7320</v>
      </c>
    </row>
    <row r="154">
      <c r="A154" t="n">
        <v>153</v>
      </c>
      <c r="B154" t="n">
        <v>0</v>
      </c>
      <c r="C154" t="n">
        <v>9898</v>
      </c>
      <c r="D154" t="n">
        <v>20747</v>
      </c>
      <c r="E154" t="n">
        <v>90660</v>
      </c>
      <c r="F154" t="n">
        <v>392878</v>
      </c>
      <c r="G154" t="n">
        <v>1677436</v>
      </c>
      <c r="H154" t="n">
        <v>7080740</v>
      </c>
      <c r="I154" t="n">
        <v>29457756</v>
      </c>
      <c r="J154" t="n">
        <v>2000</v>
      </c>
      <c r="K154" t="n">
        <v>12312</v>
      </c>
      <c r="L154" t="n">
        <v>2500</v>
      </c>
      <c r="M154" t="n">
        <v>1053</v>
      </c>
      <c r="N154" t="n">
        <v>1765</v>
      </c>
      <c r="O154" t="n">
        <v>2530</v>
      </c>
      <c r="P154" t="n">
        <v>3295</v>
      </c>
      <c r="Q154" t="n">
        <v>4060</v>
      </c>
      <c r="R154" t="n">
        <v>4825</v>
      </c>
      <c r="S154" t="n">
        <v>5590</v>
      </c>
      <c r="T154" t="n">
        <v>6355</v>
      </c>
      <c r="U154" t="n">
        <v>7120</v>
      </c>
      <c r="V154" t="n">
        <v>3163</v>
      </c>
      <c r="W154" t="n">
        <v>1612</v>
      </c>
      <c r="X154" t="n">
        <v>1459</v>
      </c>
      <c r="Y154" t="n">
        <v>7330</v>
      </c>
    </row>
    <row r="155">
      <c r="A155" t="n">
        <v>154</v>
      </c>
      <c r="B155" t="n">
        <v>0</v>
      </c>
      <c r="C155" t="n">
        <v>10047</v>
      </c>
      <c r="D155" t="n">
        <v>21162</v>
      </c>
      <c r="E155" t="n">
        <v>93380</v>
      </c>
      <c r="F155" t="n">
        <v>408594</v>
      </c>
      <c r="G155" t="n">
        <v>1761308</v>
      </c>
      <c r="H155" t="n">
        <v>7505585</v>
      </c>
      <c r="I155" t="n">
        <v>31519799</v>
      </c>
      <c r="J155" t="n">
        <v>2000</v>
      </c>
      <c r="K155" t="n">
        <v>12436</v>
      </c>
      <c r="L155" t="n">
        <v>2500</v>
      </c>
      <c r="M155" t="n">
        <v>1054</v>
      </c>
      <c r="N155" t="n">
        <v>1770</v>
      </c>
      <c r="O155" t="n">
        <v>2540</v>
      </c>
      <c r="P155" t="n">
        <v>3310</v>
      </c>
      <c r="Q155" t="n">
        <v>4080</v>
      </c>
      <c r="R155" t="n">
        <v>4850</v>
      </c>
      <c r="S155" t="n">
        <v>5620</v>
      </c>
      <c r="T155" t="n">
        <v>6390</v>
      </c>
      <c r="U155" t="n">
        <v>7160</v>
      </c>
      <c r="V155" t="n">
        <v>3183</v>
      </c>
      <c r="W155" t="n">
        <v>1616</v>
      </c>
      <c r="X155" t="n">
        <v>1462</v>
      </c>
      <c r="Y155" t="n">
        <v>7340</v>
      </c>
    </row>
    <row r="156">
      <c r="A156" t="n">
        <v>155</v>
      </c>
      <c r="B156" t="n">
        <v>0</v>
      </c>
      <c r="C156" t="n">
        <v>10198</v>
      </c>
      <c r="D156" t="n">
        <v>21586</v>
      </c>
      <c r="E156" t="n">
        <v>96182</v>
      </c>
      <c r="F156" t="n">
        <v>424938</v>
      </c>
      <c r="G156" t="n">
        <v>1849374</v>
      </c>
      <c r="H156" t="n">
        <v>7955921</v>
      </c>
      <c r="I156" t="n">
        <v>33726185</v>
      </c>
      <c r="J156" t="n">
        <v>2000</v>
      </c>
      <c r="K156" t="n">
        <v>12561</v>
      </c>
      <c r="L156" t="n">
        <v>2500</v>
      </c>
      <c r="M156" t="n">
        <v>1055</v>
      </c>
      <c r="N156" t="n">
        <v>1775</v>
      </c>
      <c r="O156" t="n">
        <v>2550</v>
      </c>
      <c r="P156" t="n">
        <v>3325</v>
      </c>
      <c r="Q156" t="n">
        <v>4100</v>
      </c>
      <c r="R156" t="n">
        <v>4875</v>
      </c>
      <c r="S156" t="n">
        <v>5650</v>
      </c>
      <c r="T156" t="n">
        <v>6425</v>
      </c>
      <c r="U156" t="n">
        <v>7200</v>
      </c>
      <c r="V156" t="n">
        <v>3203</v>
      </c>
      <c r="W156" t="n">
        <v>1620</v>
      </c>
      <c r="X156" t="n">
        <v>1465</v>
      </c>
      <c r="Y156" t="n">
        <v>7350</v>
      </c>
    </row>
    <row r="157">
      <c r="A157" t="n">
        <v>156</v>
      </c>
      <c r="B157" t="n">
        <v>0</v>
      </c>
      <c r="C157" t="n">
        <v>10351</v>
      </c>
      <c r="D157" t="n">
        <v>22018</v>
      </c>
      <c r="E157" t="n">
        <v>99068</v>
      </c>
      <c r="F157" t="n">
        <v>441936</v>
      </c>
      <c r="G157" t="n">
        <v>1941843</v>
      </c>
      <c r="H157" t="n">
        <v>8433277</v>
      </c>
      <c r="I157" t="n">
        <v>36087018</v>
      </c>
      <c r="J157" t="n">
        <v>2000</v>
      </c>
      <c r="K157" t="n">
        <v>12687</v>
      </c>
      <c r="L157" t="n">
        <v>2500</v>
      </c>
      <c r="M157" t="n">
        <v>1056</v>
      </c>
      <c r="N157" t="n">
        <v>1780</v>
      </c>
      <c r="O157" t="n">
        <v>2560</v>
      </c>
      <c r="P157" t="n">
        <v>3340</v>
      </c>
      <c r="Q157" t="n">
        <v>4120</v>
      </c>
      <c r="R157" t="n">
        <v>4900</v>
      </c>
      <c r="S157" t="n">
        <v>5680</v>
      </c>
      <c r="T157" t="n">
        <v>6460</v>
      </c>
      <c r="U157" t="n">
        <v>7240</v>
      </c>
      <c r="V157" t="n">
        <v>3224</v>
      </c>
      <c r="W157" t="n">
        <v>1624</v>
      </c>
      <c r="X157" t="n">
        <v>1468</v>
      </c>
      <c r="Y157" t="n">
        <v>7360</v>
      </c>
    </row>
    <row r="158">
      <c r="A158" t="n">
        <v>157</v>
      </c>
      <c r="B158" t="n">
        <v>0</v>
      </c>
      <c r="C158" t="n">
        <v>10507</v>
      </c>
      <c r="D158" t="n">
        <v>22459</v>
      </c>
      <c r="E158" t="n">
        <v>102041</v>
      </c>
      <c r="F158" t="n">
        <v>459614</v>
      </c>
      <c r="G158" t="n">
        <v>2038936</v>
      </c>
      <c r="H158" t="n">
        <v>8939274</v>
      </c>
      <c r="I158" t="n">
        <v>38613110</v>
      </c>
      <c r="J158" t="n">
        <v>2000</v>
      </c>
      <c r="K158" t="n">
        <v>12814</v>
      </c>
      <c r="L158" t="n">
        <v>2500</v>
      </c>
      <c r="M158" t="n">
        <v>1057</v>
      </c>
      <c r="N158" t="n">
        <v>1785</v>
      </c>
      <c r="O158" t="n">
        <v>2570</v>
      </c>
      <c r="P158" t="n">
        <v>3355</v>
      </c>
      <c r="Q158" t="n">
        <v>4140</v>
      </c>
      <c r="R158" t="n">
        <v>4925</v>
      </c>
      <c r="S158" t="n">
        <v>5710</v>
      </c>
      <c r="T158" t="n">
        <v>6495</v>
      </c>
      <c r="U158" t="n">
        <v>7280</v>
      </c>
      <c r="V158" t="n">
        <v>3245</v>
      </c>
      <c r="W158" t="n">
        <v>1628</v>
      </c>
      <c r="X158" t="n">
        <v>1471</v>
      </c>
      <c r="Y158" t="n">
        <v>7370</v>
      </c>
    </row>
    <row r="159">
      <c r="A159" t="n">
        <v>158</v>
      </c>
      <c r="B159" t="n">
        <v>0</v>
      </c>
      <c r="C159" t="n">
        <v>10665</v>
      </c>
      <c r="D159" t="n">
        <v>22909</v>
      </c>
      <c r="E159" t="n">
        <v>105103</v>
      </c>
      <c r="F159" t="n">
        <v>477999</v>
      </c>
      <c r="G159" t="n">
        <v>2140883</v>
      </c>
      <c r="H159" t="n">
        <v>9475631</v>
      </c>
      <c r="I159" t="n">
        <v>41316028</v>
      </c>
      <c r="J159" t="n">
        <v>2000</v>
      </c>
      <c r="K159" t="n">
        <v>12943</v>
      </c>
      <c r="L159" t="n">
        <v>2500</v>
      </c>
      <c r="M159" t="n">
        <v>1058</v>
      </c>
      <c r="N159" t="n">
        <v>1790</v>
      </c>
      <c r="O159" t="n">
        <v>2580</v>
      </c>
      <c r="P159" t="n">
        <v>3370</v>
      </c>
      <c r="Q159" t="n">
        <v>4160</v>
      </c>
      <c r="R159" t="n">
        <v>4950</v>
      </c>
      <c r="S159" t="n">
        <v>5740</v>
      </c>
      <c r="T159" t="n">
        <v>6530</v>
      </c>
      <c r="U159" t="n">
        <v>7320</v>
      </c>
      <c r="V159" t="n">
        <v>3266</v>
      </c>
      <c r="W159" t="n">
        <v>1632</v>
      </c>
      <c r="X159" t="n">
        <v>1474</v>
      </c>
      <c r="Y159" t="n">
        <v>7380</v>
      </c>
    </row>
    <row r="160">
      <c r="A160" t="n">
        <v>159</v>
      </c>
      <c r="B160" t="n">
        <v>0</v>
      </c>
      <c r="C160" t="n">
        <v>10825</v>
      </c>
      <c r="D160" t="n">
        <v>23368</v>
      </c>
      <c r="E160" t="n">
        <v>108257</v>
      </c>
      <c r="F160" t="n">
        <v>497119</v>
      </c>
      <c r="G160" t="n">
        <v>2247928</v>
      </c>
      <c r="H160" t="n">
        <v>10044169</v>
      </c>
      <c r="I160" t="n">
        <v>44208150</v>
      </c>
      <c r="J160" t="n">
        <v>2000</v>
      </c>
      <c r="K160" t="n">
        <v>13073</v>
      </c>
      <c r="L160" t="n">
        <v>2500</v>
      </c>
      <c r="M160" t="n">
        <v>1059</v>
      </c>
      <c r="N160" t="n">
        <v>1795</v>
      </c>
      <c r="O160" t="n">
        <v>2590</v>
      </c>
      <c r="P160" t="n">
        <v>3385</v>
      </c>
      <c r="Q160" t="n">
        <v>4180</v>
      </c>
      <c r="R160" t="n">
        <v>4975</v>
      </c>
      <c r="S160" t="n">
        <v>5770</v>
      </c>
      <c r="T160" t="n">
        <v>6565</v>
      </c>
      <c r="U160" t="n">
        <v>7360</v>
      </c>
      <c r="V160" t="n">
        <v>3287</v>
      </c>
      <c r="W160" t="n">
        <v>1636</v>
      </c>
      <c r="X160" t="n">
        <v>1477</v>
      </c>
      <c r="Y160" t="n">
        <v>7390</v>
      </c>
    </row>
    <row r="161">
      <c r="A161" t="n">
        <v>160</v>
      </c>
      <c r="B161" t="n">
        <v>0</v>
      </c>
      <c r="C161" t="n">
        <v>10988</v>
      </c>
      <c r="D161" t="n">
        <v>23836</v>
      </c>
      <c r="E161" t="n">
        <v>111505</v>
      </c>
      <c r="F161" t="n">
        <v>517004</v>
      </c>
      <c r="G161" t="n">
        <v>2360325</v>
      </c>
      <c r="H161" t="n">
        <v>10646820</v>
      </c>
      <c r="I161" t="n">
        <v>47302721</v>
      </c>
      <c r="J161" t="n">
        <v>2000</v>
      </c>
      <c r="K161" t="n">
        <v>13204</v>
      </c>
      <c r="L161" t="n">
        <v>2500</v>
      </c>
      <c r="M161" t="n">
        <v>1060</v>
      </c>
      <c r="N161" t="n">
        <v>1800</v>
      </c>
      <c r="O161" t="n">
        <v>2600</v>
      </c>
      <c r="P161" t="n">
        <v>3400</v>
      </c>
      <c r="Q161" t="n">
        <v>4200</v>
      </c>
      <c r="R161" t="n">
        <v>5000</v>
      </c>
      <c r="S161" t="n">
        <v>5800</v>
      </c>
      <c r="T161" t="n">
        <v>6600</v>
      </c>
      <c r="U161" t="n">
        <v>7400</v>
      </c>
      <c r="V161" t="n">
        <v>3308</v>
      </c>
      <c r="W161" t="n">
        <v>1640</v>
      </c>
      <c r="X161" t="n">
        <v>1480</v>
      </c>
      <c r="Y161" t="n">
        <v>7400</v>
      </c>
    </row>
    <row r="162">
      <c r="A162" t="n">
        <v>161</v>
      </c>
      <c r="B162" t="n">
        <v>0</v>
      </c>
      <c r="C162" t="n">
        <v>11153</v>
      </c>
      <c r="D162" t="n">
        <v>24313</v>
      </c>
      <c r="E162" t="n">
        <v>114851</v>
      </c>
      <c r="F162" t="n">
        <v>537685</v>
      </c>
      <c r="G162" t="n">
        <v>2478342</v>
      </c>
      <c r="H162" t="n">
        <v>11285630</v>
      </c>
      <c r="I162" t="n">
        <v>50613912</v>
      </c>
      <c r="J162" t="n">
        <v>2000</v>
      </c>
      <c r="K162" t="n">
        <v>13337</v>
      </c>
      <c r="L162" t="n">
        <v>2500</v>
      </c>
      <c r="M162" t="n">
        <v>1061</v>
      </c>
      <c r="N162" t="n">
        <v>1805</v>
      </c>
      <c r="O162" t="n">
        <v>2610</v>
      </c>
      <c r="P162" t="n">
        <v>3415</v>
      </c>
      <c r="Q162" t="n">
        <v>4220</v>
      </c>
      <c r="R162" t="n">
        <v>5025</v>
      </c>
      <c r="S162" t="n">
        <v>5830</v>
      </c>
      <c r="T162" t="n">
        <v>6635</v>
      </c>
      <c r="U162" t="n">
        <v>7440</v>
      </c>
      <c r="V162" t="n">
        <v>3329</v>
      </c>
      <c r="W162" t="n">
        <v>1644</v>
      </c>
      <c r="X162" t="n">
        <v>1483</v>
      </c>
      <c r="Y162" t="n">
        <v>7410</v>
      </c>
    </row>
    <row r="163">
      <c r="A163" t="n">
        <v>162</v>
      </c>
      <c r="B163" t="n">
        <v>0</v>
      </c>
      <c r="C163" t="n">
        <v>11321</v>
      </c>
      <c r="D163" t="n">
        <v>24800</v>
      </c>
      <c r="E163" t="n">
        <v>118297</v>
      </c>
      <c r="F163" t="n">
        <v>559193</v>
      </c>
      <c r="G163" t="n">
        <v>2602260</v>
      </c>
      <c r="H163" t="n">
        <v>11962768</v>
      </c>
      <c r="I163" t="n">
        <v>54156886</v>
      </c>
      <c r="J163" t="n">
        <v>2000</v>
      </c>
      <c r="K163" t="n">
        <v>13471</v>
      </c>
      <c r="L163" t="n">
        <v>2500</v>
      </c>
      <c r="M163" t="n">
        <v>1062</v>
      </c>
      <c r="N163" t="n">
        <v>1810</v>
      </c>
      <c r="O163" t="n">
        <v>2620</v>
      </c>
      <c r="P163" t="n">
        <v>3430</v>
      </c>
      <c r="Q163" t="n">
        <v>4240</v>
      </c>
      <c r="R163" t="n">
        <v>5050</v>
      </c>
      <c r="S163" t="n">
        <v>5860</v>
      </c>
      <c r="T163" t="n">
        <v>6670</v>
      </c>
      <c r="U163" t="n">
        <v>7480</v>
      </c>
      <c r="V163" t="n">
        <v>3350</v>
      </c>
      <c r="W163" t="n">
        <v>1648</v>
      </c>
      <c r="X163" t="n">
        <v>1486</v>
      </c>
      <c r="Y163" t="n">
        <v>7420</v>
      </c>
    </row>
    <row r="164">
      <c r="A164" t="n">
        <v>163</v>
      </c>
      <c r="B164" t="n">
        <v>0</v>
      </c>
      <c r="C164" t="n">
        <v>11491</v>
      </c>
      <c r="D164" t="n">
        <v>25296</v>
      </c>
      <c r="E164" t="n">
        <v>121846</v>
      </c>
      <c r="F164" t="n">
        <v>581561</v>
      </c>
      <c r="G164" t="n">
        <v>2732373</v>
      </c>
      <c r="H164" t="n">
        <v>12680535</v>
      </c>
      <c r="I164" t="n">
        <v>57947869</v>
      </c>
      <c r="J164" t="n">
        <v>2000</v>
      </c>
      <c r="K164" t="n">
        <v>13606</v>
      </c>
      <c r="L164" t="n">
        <v>2500</v>
      </c>
      <c r="M164" t="n">
        <v>1063</v>
      </c>
      <c r="N164" t="n">
        <v>1815</v>
      </c>
      <c r="O164" t="n">
        <v>2630</v>
      </c>
      <c r="P164" t="n">
        <v>3445</v>
      </c>
      <c r="Q164" t="n">
        <v>4260</v>
      </c>
      <c r="R164" t="n">
        <v>5075</v>
      </c>
      <c r="S164" t="n">
        <v>5890</v>
      </c>
      <c r="T164" t="n">
        <v>6705</v>
      </c>
      <c r="U164" t="n">
        <v>7520</v>
      </c>
      <c r="V164" t="n">
        <v>3371</v>
      </c>
      <c r="W164" t="n">
        <v>1652</v>
      </c>
      <c r="X164" t="n">
        <v>1489</v>
      </c>
      <c r="Y164" t="n">
        <v>7430</v>
      </c>
    </row>
    <row r="165">
      <c r="A165" t="n">
        <v>164</v>
      </c>
      <c r="B165" t="n">
        <v>0</v>
      </c>
      <c r="C165" t="n">
        <v>11664</v>
      </c>
      <c r="D165" t="n">
        <v>25802</v>
      </c>
      <c r="E165" t="n">
        <v>125502</v>
      </c>
      <c r="F165" t="n">
        <v>604824</v>
      </c>
      <c r="G165" t="n">
        <v>2868992</v>
      </c>
      <c r="H165" t="n">
        <v>13441368</v>
      </c>
      <c r="I165" t="n">
        <v>62004220</v>
      </c>
      <c r="J165" t="n">
        <v>2000</v>
      </c>
      <c r="K165" t="n">
        <v>13743</v>
      </c>
      <c r="L165" t="n">
        <v>2500</v>
      </c>
      <c r="M165" t="n">
        <v>1064</v>
      </c>
      <c r="N165" t="n">
        <v>1820</v>
      </c>
      <c r="O165" t="n">
        <v>2640</v>
      </c>
      <c r="P165" t="n">
        <v>3460</v>
      </c>
      <c r="Q165" t="n">
        <v>4280</v>
      </c>
      <c r="R165" t="n">
        <v>5100</v>
      </c>
      <c r="S165" t="n">
        <v>5920</v>
      </c>
      <c r="T165" t="n">
        <v>6740</v>
      </c>
      <c r="U165" t="n">
        <v>7560</v>
      </c>
      <c r="V165" t="n">
        <v>3392</v>
      </c>
      <c r="W165" t="n">
        <v>1656</v>
      </c>
      <c r="X165" t="n">
        <v>1492</v>
      </c>
      <c r="Y165" t="n">
        <v>7440</v>
      </c>
    </row>
    <row r="166">
      <c r="A166" t="n">
        <v>165</v>
      </c>
      <c r="B166" t="n">
        <v>0</v>
      </c>
      <c r="C166" t="n">
        <v>11839</v>
      </c>
      <c r="D166" t="n">
        <v>26319</v>
      </c>
      <c r="E166" t="n">
        <v>129268</v>
      </c>
      <c r="F166" t="n">
        <v>629017</v>
      </c>
      <c r="G166" t="n">
        <v>3012442</v>
      </c>
      <c r="H166" t="n">
        <v>14247851</v>
      </c>
      <c r="I166" t="n">
        <v>66344516</v>
      </c>
      <c r="J166" t="n">
        <v>2000</v>
      </c>
      <c r="K166" t="n">
        <v>13881</v>
      </c>
      <c r="L166" t="n">
        <v>2500</v>
      </c>
      <c r="M166" t="n">
        <v>1065</v>
      </c>
      <c r="N166" t="n">
        <v>1825</v>
      </c>
      <c r="O166" t="n">
        <v>2650</v>
      </c>
      <c r="P166" t="n">
        <v>3475</v>
      </c>
      <c r="Q166" t="n">
        <v>4300</v>
      </c>
      <c r="R166" t="n">
        <v>5125</v>
      </c>
      <c r="S166" t="n">
        <v>5950</v>
      </c>
      <c r="T166" t="n">
        <v>6775</v>
      </c>
      <c r="U166" t="n">
        <v>7600</v>
      </c>
      <c r="V166" t="n">
        <v>3413</v>
      </c>
      <c r="W166" t="n">
        <v>1660</v>
      </c>
      <c r="X166" t="n">
        <v>1495</v>
      </c>
      <c r="Y166" t="n">
        <v>7450</v>
      </c>
    </row>
    <row r="167">
      <c r="A167" t="n">
        <v>166</v>
      </c>
      <c r="B167" t="n">
        <v>0</v>
      </c>
      <c r="C167" t="n">
        <v>12017</v>
      </c>
      <c r="D167" t="n">
        <v>26846</v>
      </c>
      <c r="E167" t="n">
        <v>133147</v>
      </c>
      <c r="F167" t="n">
        <v>654178</v>
      </c>
      <c r="G167" t="n">
        <v>3163065</v>
      </c>
      <c r="H167" t="n">
        <v>15102723</v>
      </c>
      <c r="I167" t="n">
        <v>70988633</v>
      </c>
      <c r="J167" t="n">
        <v>2000</v>
      </c>
      <c r="K167" t="n">
        <v>14020</v>
      </c>
      <c r="L167" t="n">
        <v>2500</v>
      </c>
      <c r="M167" t="n">
        <v>1066</v>
      </c>
      <c r="N167" t="n">
        <v>1830</v>
      </c>
      <c r="O167" t="n">
        <v>2660</v>
      </c>
      <c r="P167" t="n">
        <v>3490</v>
      </c>
      <c r="Q167" t="n">
        <v>4320</v>
      </c>
      <c r="R167" t="n">
        <v>5150</v>
      </c>
      <c r="S167" t="n">
        <v>5980</v>
      </c>
      <c r="T167" t="n">
        <v>6810</v>
      </c>
      <c r="U167" t="n">
        <v>7640</v>
      </c>
      <c r="V167" t="n">
        <v>3435</v>
      </c>
      <c r="W167" t="n">
        <v>1664</v>
      </c>
      <c r="X167" t="n">
        <v>1498</v>
      </c>
      <c r="Y167" t="n">
        <v>7460</v>
      </c>
    </row>
    <row r="168">
      <c r="A168" t="n">
        <v>167</v>
      </c>
      <c r="B168" t="n">
        <v>0</v>
      </c>
      <c r="C168" t="n">
        <v>12198</v>
      </c>
      <c r="D168" t="n">
        <v>27383</v>
      </c>
      <c r="E168" t="n">
        <v>137142</v>
      </c>
      <c r="F168" t="n">
        <v>680346</v>
      </c>
      <c r="G168" t="n">
        <v>3321219</v>
      </c>
      <c r="H168" t="n">
        <v>16008887</v>
      </c>
      <c r="I168" t="n">
        <v>75957838</v>
      </c>
      <c r="J168" t="n">
        <v>2000</v>
      </c>
      <c r="K168" t="n">
        <v>14161</v>
      </c>
      <c r="L168" t="n">
        <v>2500</v>
      </c>
      <c r="M168" t="n">
        <v>1067</v>
      </c>
      <c r="N168" t="n">
        <v>1835</v>
      </c>
      <c r="O168" t="n">
        <v>2670</v>
      </c>
      <c r="P168" t="n">
        <v>3505</v>
      </c>
      <c r="Q168" t="n">
        <v>4340</v>
      </c>
      <c r="R168" t="n">
        <v>5175</v>
      </c>
      <c r="S168" t="n">
        <v>6010</v>
      </c>
      <c r="T168" t="n">
        <v>6845</v>
      </c>
      <c r="U168" t="n">
        <v>7680</v>
      </c>
      <c r="V168" t="n">
        <v>3457</v>
      </c>
      <c r="W168" t="n">
        <v>1668</v>
      </c>
      <c r="X168" t="n">
        <v>1501</v>
      </c>
      <c r="Y168" t="n">
        <v>7470</v>
      </c>
    </row>
    <row r="169">
      <c r="A169" t="n">
        <v>168</v>
      </c>
      <c r="B169" t="n">
        <v>0</v>
      </c>
      <c r="C169" t="n">
        <v>12381</v>
      </c>
      <c r="D169" t="n">
        <v>27931</v>
      </c>
      <c r="E169" t="n">
        <v>141257</v>
      </c>
      <c r="F169" t="n">
        <v>707560</v>
      </c>
      <c r="G169" t="n">
        <v>3487280</v>
      </c>
      <c r="H169" t="n">
        <v>16969421</v>
      </c>
      <c r="I169" t="n">
        <v>81274887</v>
      </c>
      <c r="J169" t="n">
        <v>2000</v>
      </c>
      <c r="K169" t="n">
        <v>14303</v>
      </c>
      <c r="L169" t="n">
        <v>2500</v>
      </c>
      <c r="M169" t="n">
        <v>1068</v>
      </c>
      <c r="N169" t="n">
        <v>1840</v>
      </c>
      <c r="O169" t="n">
        <v>2680</v>
      </c>
      <c r="P169" t="n">
        <v>3520</v>
      </c>
      <c r="Q169" t="n">
        <v>4360</v>
      </c>
      <c r="R169" t="n">
        <v>5200</v>
      </c>
      <c r="S169" t="n">
        <v>6040</v>
      </c>
      <c r="T169" t="n">
        <v>6880</v>
      </c>
      <c r="U169" t="n">
        <v>7720</v>
      </c>
      <c r="V169" t="n">
        <v>3479</v>
      </c>
      <c r="W169" t="n">
        <v>1672</v>
      </c>
      <c r="X169" t="n">
        <v>1504</v>
      </c>
      <c r="Y169" t="n">
        <v>7480</v>
      </c>
    </row>
    <row r="170">
      <c r="A170" t="n">
        <v>169</v>
      </c>
      <c r="B170" t="n">
        <v>0</v>
      </c>
      <c r="C170" t="n">
        <v>12567</v>
      </c>
      <c r="D170" t="n">
        <v>28490</v>
      </c>
      <c r="E170" t="n">
        <v>145495</v>
      </c>
      <c r="F170" t="n">
        <v>735863</v>
      </c>
      <c r="G170" t="n">
        <v>3661644</v>
      </c>
      <c r="H170" t="n">
        <v>17987587</v>
      </c>
      <c r="I170" t="n">
        <v>86964130</v>
      </c>
      <c r="J170" t="n">
        <v>2000</v>
      </c>
      <c r="K170" t="n">
        <v>14447</v>
      </c>
      <c r="L170" t="n">
        <v>2500</v>
      </c>
      <c r="M170" t="n">
        <v>1069</v>
      </c>
      <c r="N170" t="n">
        <v>1845</v>
      </c>
      <c r="O170" t="n">
        <v>2690</v>
      </c>
      <c r="P170" t="n">
        <v>3535</v>
      </c>
      <c r="Q170" t="n">
        <v>4380</v>
      </c>
      <c r="R170" t="n">
        <v>5225</v>
      </c>
      <c r="S170" t="n">
        <v>6070</v>
      </c>
      <c r="T170" t="n">
        <v>6915</v>
      </c>
      <c r="U170" t="n">
        <v>7760</v>
      </c>
      <c r="V170" t="n">
        <v>3501</v>
      </c>
      <c r="W170" t="n">
        <v>1676</v>
      </c>
      <c r="X170" t="n">
        <v>1507</v>
      </c>
      <c r="Y170" t="n">
        <v>7490</v>
      </c>
    </row>
    <row r="171">
      <c r="A171" t="n">
        <v>170</v>
      </c>
      <c r="B171" t="n">
        <v>0</v>
      </c>
      <c r="C171" t="n">
        <v>12756</v>
      </c>
      <c r="D171" t="n">
        <v>29060</v>
      </c>
      <c r="E171" t="n">
        <v>149860</v>
      </c>
      <c r="F171" t="n">
        <v>765298</v>
      </c>
      <c r="G171" t="n">
        <v>3844727</v>
      </c>
      <c r="H171" t="n">
        <v>19066843</v>
      </c>
      <c r="I171" t="n">
        <v>93051620</v>
      </c>
      <c r="J171" t="n">
        <v>2000</v>
      </c>
      <c r="K171" t="n">
        <v>14592</v>
      </c>
      <c r="L171" t="n">
        <v>2500</v>
      </c>
      <c r="M171" t="n">
        <v>1070</v>
      </c>
      <c r="N171" t="n">
        <v>1850</v>
      </c>
      <c r="O171" t="n">
        <v>2700</v>
      </c>
      <c r="P171" t="n">
        <v>3550</v>
      </c>
      <c r="Q171" t="n">
        <v>4400</v>
      </c>
      <c r="R171" t="n">
        <v>5250</v>
      </c>
      <c r="S171" t="n">
        <v>6100</v>
      </c>
      <c r="T171" t="n">
        <v>6950</v>
      </c>
      <c r="U171" t="n">
        <v>7800</v>
      </c>
      <c r="V171" t="n">
        <v>3523</v>
      </c>
      <c r="W171" t="n">
        <v>1680</v>
      </c>
      <c r="X171" t="n">
        <v>1510</v>
      </c>
      <c r="Y171" t="n">
        <v>7500</v>
      </c>
    </row>
    <row r="172">
      <c r="A172" t="n">
        <v>171</v>
      </c>
      <c r="B172" t="n">
        <v>0</v>
      </c>
      <c r="C172" t="n">
        <v>12948</v>
      </c>
      <c r="D172" t="n">
        <v>29642</v>
      </c>
      <c r="E172" t="n">
        <v>154356</v>
      </c>
      <c r="F172" t="n">
        <v>795910</v>
      </c>
      <c r="G172" t="n">
        <v>4036964</v>
      </c>
      <c r="H172" t="n">
        <v>20210854</v>
      </c>
      <c r="I172" t="n">
        <v>99565234</v>
      </c>
      <c r="J172" t="n">
        <v>2000</v>
      </c>
      <c r="K172" t="n">
        <v>14738</v>
      </c>
      <c r="L172" t="n">
        <v>2500</v>
      </c>
      <c r="M172" t="n">
        <v>1071</v>
      </c>
      <c r="N172" t="n">
        <v>1855</v>
      </c>
      <c r="O172" t="n">
        <v>2710</v>
      </c>
      <c r="P172" t="n">
        <v>3565</v>
      </c>
      <c r="Q172" t="n">
        <v>4420</v>
      </c>
      <c r="R172" t="n">
        <v>5275</v>
      </c>
      <c r="S172" t="n">
        <v>6130</v>
      </c>
      <c r="T172" t="n">
        <v>6985</v>
      </c>
      <c r="U172" t="n">
        <v>7840</v>
      </c>
      <c r="V172" t="n">
        <v>3545</v>
      </c>
      <c r="W172" t="n">
        <v>1684</v>
      </c>
      <c r="X172" t="n">
        <v>1513</v>
      </c>
      <c r="Y172" t="n">
        <v>7510</v>
      </c>
    </row>
    <row r="173">
      <c r="A173" t="n">
        <v>172</v>
      </c>
      <c r="B173" t="n">
        <v>0</v>
      </c>
      <c r="C173" t="n">
        <v>13143</v>
      </c>
      <c r="D173" t="n">
        <v>30235</v>
      </c>
      <c r="E173" t="n">
        <v>158987</v>
      </c>
      <c r="F173" t="n">
        <v>827747</v>
      </c>
      <c r="G173" t="n">
        <v>4238813</v>
      </c>
      <c r="H173" t="n">
        <v>21423506</v>
      </c>
      <c r="I173" t="n">
        <v>106534801</v>
      </c>
      <c r="J173" t="n">
        <v>2000</v>
      </c>
      <c r="K173" t="n">
        <v>14886</v>
      </c>
      <c r="L173" t="n">
        <v>2500</v>
      </c>
      <c r="M173" t="n">
        <v>1072</v>
      </c>
      <c r="N173" t="n">
        <v>1860</v>
      </c>
      <c r="O173" t="n">
        <v>2720</v>
      </c>
      <c r="P173" t="n">
        <v>3580</v>
      </c>
      <c r="Q173" t="n">
        <v>4440</v>
      </c>
      <c r="R173" t="n">
        <v>5300</v>
      </c>
      <c r="S173" t="n">
        <v>6160</v>
      </c>
      <c r="T173" t="n">
        <v>7020</v>
      </c>
      <c r="U173" t="n">
        <v>7880</v>
      </c>
      <c r="V173" t="n">
        <v>3567</v>
      </c>
      <c r="W173" t="n">
        <v>1688</v>
      </c>
      <c r="X173" t="n">
        <v>1516</v>
      </c>
      <c r="Y173" t="n">
        <v>7520</v>
      </c>
    </row>
    <row r="174">
      <c r="A174" t="n">
        <v>173</v>
      </c>
      <c r="B174" t="n">
        <v>0</v>
      </c>
      <c r="C174" t="n">
        <v>13341</v>
      </c>
      <c r="D174" t="n">
        <v>30840</v>
      </c>
      <c r="E174" t="n">
        <v>163757</v>
      </c>
      <c r="F174" t="n">
        <v>860857</v>
      </c>
      <c r="G174" t="n">
        <v>4450754</v>
      </c>
      <c r="H174" t="n">
        <v>22708917</v>
      </c>
      <c r="I174" t="n">
        <v>113992238</v>
      </c>
      <c r="J174" t="n">
        <v>2000</v>
      </c>
      <c r="K174" t="n">
        <v>15035</v>
      </c>
      <c r="L174" t="n">
        <v>2500</v>
      </c>
      <c r="M174" t="n">
        <v>1073</v>
      </c>
      <c r="N174" t="n">
        <v>1865</v>
      </c>
      <c r="O174" t="n">
        <v>2730</v>
      </c>
      <c r="P174" t="n">
        <v>3595</v>
      </c>
      <c r="Q174" t="n">
        <v>4460</v>
      </c>
      <c r="R174" t="n">
        <v>5325</v>
      </c>
      <c r="S174" t="n">
        <v>6190</v>
      </c>
      <c r="T174" t="n">
        <v>7055</v>
      </c>
      <c r="U174" t="n">
        <v>7920</v>
      </c>
      <c r="V174" t="n">
        <v>3589</v>
      </c>
      <c r="W174" t="n">
        <v>1692</v>
      </c>
      <c r="X174" t="n">
        <v>1519</v>
      </c>
      <c r="Y174" t="n">
        <v>7530</v>
      </c>
    </row>
    <row r="175">
      <c r="A175" t="n">
        <v>174</v>
      </c>
      <c r="B175" t="n">
        <v>0</v>
      </c>
      <c r="C175" t="n">
        <v>13542</v>
      </c>
      <c r="D175" t="n">
        <v>31457</v>
      </c>
      <c r="E175" t="n">
        <v>168670</v>
      </c>
      <c r="F175" t="n">
        <v>895292</v>
      </c>
      <c r="G175" t="n">
        <v>4673292</v>
      </c>
      <c r="H175" t="n">
        <v>24071453</v>
      </c>
      <c r="I175" t="n">
        <v>121971695</v>
      </c>
      <c r="J175" t="n">
        <v>2000</v>
      </c>
      <c r="K175" t="n">
        <v>15186</v>
      </c>
      <c r="L175" t="n">
        <v>2500</v>
      </c>
      <c r="M175" t="n">
        <v>1074</v>
      </c>
      <c r="N175" t="n">
        <v>1870</v>
      </c>
      <c r="O175" t="n">
        <v>2740</v>
      </c>
      <c r="P175" t="n">
        <v>3610</v>
      </c>
      <c r="Q175" t="n">
        <v>4480</v>
      </c>
      <c r="R175" t="n">
        <v>5350</v>
      </c>
      <c r="S175" t="n">
        <v>6220</v>
      </c>
      <c r="T175" t="n">
        <v>7090</v>
      </c>
      <c r="U175" t="n">
        <v>7960</v>
      </c>
      <c r="V175" t="n">
        <v>3611</v>
      </c>
      <c r="W175" t="n">
        <v>1696</v>
      </c>
      <c r="X175" t="n">
        <v>1522</v>
      </c>
      <c r="Y175" t="n">
        <v>7540</v>
      </c>
    </row>
    <row r="176">
      <c r="A176" t="n">
        <v>175</v>
      </c>
      <c r="B176" t="n">
        <v>0</v>
      </c>
      <c r="C176" t="n">
        <v>13746</v>
      </c>
      <c r="D176" t="n">
        <v>32087</v>
      </c>
      <c r="E176" t="n">
        <v>173731</v>
      </c>
      <c r="F176" t="n">
        <v>931104</v>
      </c>
      <c r="G176" t="n">
        <v>4906957</v>
      </c>
      <c r="H176" t="n">
        <v>25515741</v>
      </c>
      <c r="I176" t="n">
        <v>130509714</v>
      </c>
      <c r="J176" t="n">
        <v>2000</v>
      </c>
      <c r="K176" t="n">
        <v>15338</v>
      </c>
      <c r="L176" t="n">
        <v>2500</v>
      </c>
      <c r="M176" t="n">
        <v>1075</v>
      </c>
      <c r="N176" t="n">
        <v>1875</v>
      </c>
      <c r="O176" t="n">
        <v>2750</v>
      </c>
      <c r="P176" t="n">
        <v>3625</v>
      </c>
      <c r="Q176" t="n">
        <v>4500</v>
      </c>
      <c r="R176" t="n">
        <v>5375</v>
      </c>
      <c r="S176" t="n">
        <v>6250</v>
      </c>
      <c r="T176" t="n">
        <v>7125</v>
      </c>
      <c r="U176" t="n">
        <v>8000</v>
      </c>
      <c r="V176" t="n">
        <v>3634</v>
      </c>
      <c r="W176" t="n">
        <v>1700</v>
      </c>
      <c r="X176" t="n">
        <v>1525</v>
      </c>
      <c r="Y176" t="n">
        <v>7550</v>
      </c>
    </row>
    <row r="177">
      <c r="A177" t="n">
        <v>176</v>
      </c>
      <c r="B177" t="n">
        <v>0</v>
      </c>
      <c r="C177" t="n">
        <v>13953</v>
      </c>
      <c r="D177" t="n">
        <v>32729</v>
      </c>
      <c r="E177" t="n">
        <v>178943</v>
      </c>
      <c r="F177" t="n">
        <v>968349</v>
      </c>
      <c r="G177" t="n">
        <v>5152305</v>
      </c>
      <c r="H177" t="n">
        <v>27046686</v>
      </c>
      <c r="I177" t="n">
        <v>139645394</v>
      </c>
      <c r="J177" t="n">
        <v>2000</v>
      </c>
      <c r="K177" t="n">
        <v>15492</v>
      </c>
      <c r="L177" t="n">
        <v>2500</v>
      </c>
      <c r="M177" t="n">
        <v>1076</v>
      </c>
      <c r="N177" t="n">
        <v>1880</v>
      </c>
      <c r="O177" t="n">
        <v>2760</v>
      </c>
      <c r="P177" t="n">
        <v>3640</v>
      </c>
      <c r="Q177" t="n">
        <v>4520</v>
      </c>
      <c r="R177" t="n">
        <v>5400</v>
      </c>
      <c r="S177" t="n">
        <v>6280</v>
      </c>
      <c r="T177" t="n">
        <v>7160</v>
      </c>
      <c r="U177" t="n">
        <v>8040</v>
      </c>
      <c r="V177" t="n">
        <v>3657</v>
      </c>
      <c r="W177" t="n">
        <v>1704</v>
      </c>
      <c r="X177" t="n">
        <v>1528</v>
      </c>
      <c r="Y177" t="n">
        <v>7560</v>
      </c>
    </row>
    <row r="178">
      <c r="A178" t="n">
        <v>177</v>
      </c>
      <c r="B178" t="n">
        <v>0</v>
      </c>
      <c r="C178" t="n">
        <v>14163</v>
      </c>
      <c r="D178" t="n">
        <v>33384</v>
      </c>
      <c r="E178" t="n">
        <v>184312</v>
      </c>
      <c r="F178" t="n">
        <v>1007083</v>
      </c>
      <c r="G178" t="n">
        <v>5409921</v>
      </c>
      <c r="H178" t="n">
        <v>28669488</v>
      </c>
      <c r="I178" t="n">
        <v>149420572</v>
      </c>
      <c r="J178" t="n">
        <v>2000</v>
      </c>
      <c r="K178" t="n">
        <v>15647</v>
      </c>
      <c r="L178" t="n">
        <v>2500</v>
      </c>
      <c r="M178" t="n">
        <v>1077</v>
      </c>
      <c r="N178" t="n">
        <v>1885</v>
      </c>
      <c r="O178" t="n">
        <v>2770</v>
      </c>
      <c r="P178" t="n">
        <v>3655</v>
      </c>
      <c r="Q178" t="n">
        <v>4540</v>
      </c>
      <c r="R178" t="n">
        <v>5425</v>
      </c>
      <c r="S178" t="n">
        <v>6310</v>
      </c>
      <c r="T178" t="n">
        <v>7195</v>
      </c>
      <c r="U178" t="n">
        <v>8080</v>
      </c>
      <c r="V178" t="n">
        <v>3680</v>
      </c>
      <c r="W178" t="n">
        <v>1708</v>
      </c>
      <c r="X178" t="n">
        <v>1531</v>
      </c>
      <c r="Y178" t="n">
        <v>7570</v>
      </c>
    </row>
    <row r="179">
      <c r="A179" t="n">
        <v>178</v>
      </c>
      <c r="B179" t="n">
        <v>0</v>
      </c>
      <c r="C179" t="n">
        <v>14376</v>
      </c>
      <c r="D179" t="n">
        <v>34052</v>
      </c>
      <c r="E179" t="n">
        <v>189842</v>
      </c>
      <c r="F179" t="n">
        <v>1047367</v>
      </c>
      <c r="G179" t="n">
        <v>5680418</v>
      </c>
      <c r="H179" t="n">
        <v>30389658</v>
      </c>
      <c r="I179" t="n">
        <v>159880013</v>
      </c>
      <c r="J179" t="n">
        <v>2000</v>
      </c>
      <c r="K179" t="n">
        <v>15804</v>
      </c>
      <c r="L179" t="n">
        <v>2500</v>
      </c>
      <c r="M179" t="n">
        <v>1078</v>
      </c>
      <c r="N179" t="n">
        <v>1890</v>
      </c>
      <c r="O179" t="n">
        <v>2780</v>
      </c>
      <c r="P179" t="n">
        <v>3670</v>
      </c>
      <c r="Q179" t="n">
        <v>4560</v>
      </c>
      <c r="R179" t="n">
        <v>5450</v>
      </c>
      <c r="S179" t="n">
        <v>6340</v>
      </c>
      <c r="T179" t="n">
        <v>7230</v>
      </c>
      <c r="U179" t="n">
        <v>8120</v>
      </c>
      <c r="V179" t="n">
        <v>3703</v>
      </c>
      <c r="W179" t="n">
        <v>1712</v>
      </c>
      <c r="X179" t="n">
        <v>1534</v>
      </c>
      <c r="Y179" t="n">
        <v>7580</v>
      </c>
    </row>
    <row r="180">
      <c r="A180" t="n">
        <v>179</v>
      </c>
      <c r="B180" t="n">
        <v>0</v>
      </c>
      <c r="C180" t="n">
        <v>14592</v>
      </c>
      <c r="D180" t="n">
        <v>34734</v>
      </c>
      <c r="E180" t="n">
        <v>195538</v>
      </c>
      <c r="F180" t="n">
        <v>1089262</v>
      </c>
      <c r="G180" t="n">
        <v>5964439</v>
      </c>
      <c r="H180" t="n">
        <v>32213038</v>
      </c>
      <c r="I180" t="n">
        <v>171071614</v>
      </c>
      <c r="J180" t="n">
        <v>2000</v>
      </c>
      <c r="K180" t="n">
        <v>15963</v>
      </c>
      <c r="L180" t="n">
        <v>2500</v>
      </c>
      <c r="M180" t="n">
        <v>1079</v>
      </c>
      <c r="N180" t="n">
        <v>1895</v>
      </c>
      <c r="O180" t="n">
        <v>2790</v>
      </c>
      <c r="P180" t="n">
        <v>3685</v>
      </c>
      <c r="Q180" t="n">
        <v>4580</v>
      </c>
      <c r="R180" t="n">
        <v>5475</v>
      </c>
      <c r="S180" t="n">
        <v>6370</v>
      </c>
      <c r="T180" t="n">
        <v>7265</v>
      </c>
      <c r="U180" t="n">
        <v>8160</v>
      </c>
      <c r="V180" t="n">
        <v>3726</v>
      </c>
      <c r="W180" t="n">
        <v>1716</v>
      </c>
      <c r="X180" t="n">
        <v>1537</v>
      </c>
      <c r="Y180" t="n">
        <v>7590</v>
      </c>
    </row>
    <row r="181">
      <c r="A181" t="n">
        <v>180</v>
      </c>
      <c r="B181" t="n">
        <v>0</v>
      </c>
      <c r="C181" t="n">
        <v>14811</v>
      </c>
      <c r="D181" t="n">
        <v>35429</v>
      </c>
      <c r="E181" t="n">
        <v>201405</v>
      </c>
      <c r="F181" t="n">
        <v>1132833</v>
      </c>
      <c r="G181" t="n">
        <v>6262661</v>
      </c>
      <c r="H181" t="n">
        <v>34145821</v>
      </c>
      <c r="I181" t="n">
        <v>183046627</v>
      </c>
      <c r="J181" t="n">
        <v>2000</v>
      </c>
      <c r="K181" t="n">
        <v>16123</v>
      </c>
      <c r="L181" t="n">
        <v>2500</v>
      </c>
      <c r="M181" t="n">
        <v>1080</v>
      </c>
      <c r="N181" t="n">
        <v>1900</v>
      </c>
      <c r="O181" t="n">
        <v>2800</v>
      </c>
      <c r="P181" t="n">
        <v>3700</v>
      </c>
      <c r="Q181" t="n">
        <v>4600</v>
      </c>
      <c r="R181" t="n">
        <v>5500</v>
      </c>
      <c r="S181" t="n">
        <v>6400</v>
      </c>
      <c r="T181" t="n">
        <v>7300</v>
      </c>
      <c r="U181" t="n">
        <v>8200</v>
      </c>
      <c r="V181" t="n">
        <v>3749</v>
      </c>
      <c r="W181" t="n">
        <v>1720</v>
      </c>
      <c r="X181" t="n">
        <v>1540</v>
      </c>
      <c r="Y181" t="n">
        <v>7600</v>
      </c>
    </row>
    <row r="182">
      <c r="A182" t="n">
        <v>181</v>
      </c>
      <c r="B182" t="n">
        <v>0</v>
      </c>
      <c r="C182" t="n">
        <v>15034</v>
      </c>
      <c r="D182" t="n">
        <v>36138</v>
      </c>
      <c r="E182" t="n">
        <v>207448</v>
      </c>
      <c r="F182" t="n">
        <v>1178147</v>
      </c>
      <c r="G182" t="n">
        <v>6575795</v>
      </c>
      <c r="H182" t="n">
        <v>36194571</v>
      </c>
      <c r="I182" t="n">
        <v>195859891</v>
      </c>
      <c r="J182" t="n">
        <v>2000</v>
      </c>
      <c r="K182" t="n">
        <v>16285</v>
      </c>
      <c r="L182" t="n">
        <v>2500</v>
      </c>
      <c r="M182" t="n">
        <v>1081</v>
      </c>
      <c r="N182" t="n">
        <v>1905</v>
      </c>
      <c r="O182" t="n">
        <v>2810</v>
      </c>
      <c r="P182" t="n">
        <v>3715</v>
      </c>
      <c r="Q182" t="n">
        <v>4620</v>
      </c>
      <c r="R182" t="n">
        <v>5525</v>
      </c>
      <c r="S182" t="n">
        <v>6430</v>
      </c>
      <c r="T182" t="n">
        <v>7335</v>
      </c>
      <c r="U182" t="n">
        <v>8240</v>
      </c>
      <c r="V182" t="n">
        <v>3772</v>
      </c>
      <c r="W182" t="n">
        <v>1724</v>
      </c>
      <c r="X182" t="n">
        <v>1543</v>
      </c>
      <c r="Y182" t="n">
        <v>7610</v>
      </c>
    </row>
    <row r="183">
      <c r="A183" t="n">
        <v>182</v>
      </c>
      <c r="B183" t="n">
        <v>0</v>
      </c>
      <c r="C183" t="n">
        <v>15260</v>
      </c>
      <c r="D183" t="n">
        <v>36861</v>
      </c>
      <c r="E183" t="n">
        <v>213672</v>
      </c>
      <c r="F183" t="n">
        <v>1225273</v>
      </c>
      <c r="G183" t="n">
        <v>6904585</v>
      </c>
      <c r="H183" t="n">
        <v>38366246</v>
      </c>
      <c r="I183" t="n">
        <v>209570084</v>
      </c>
      <c r="J183" t="n">
        <v>2000</v>
      </c>
      <c r="K183" t="n">
        <v>16448</v>
      </c>
      <c r="L183" t="n">
        <v>2500</v>
      </c>
      <c r="M183" t="n">
        <v>1082</v>
      </c>
      <c r="N183" t="n">
        <v>1910</v>
      </c>
      <c r="O183" t="n">
        <v>2820</v>
      </c>
      <c r="P183" t="n">
        <v>3730</v>
      </c>
      <c r="Q183" t="n">
        <v>4640</v>
      </c>
      <c r="R183" t="n">
        <v>5550</v>
      </c>
      <c r="S183" t="n">
        <v>6460</v>
      </c>
      <c r="T183" t="n">
        <v>7370</v>
      </c>
      <c r="U183" t="n">
        <v>8280</v>
      </c>
      <c r="V183" t="n">
        <v>3795</v>
      </c>
      <c r="W183" t="n">
        <v>1728</v>
      </c>
      <c r="X183" t="n">
        <v>1546</v>
      </c>
      <c r="Y183" t="n">
        <v>7620</v>
      </c>
    </row>
    <row r="184">
      <c r="A184" t="n">
        <v>183</v>
      </c>
      <c r="B184" t="n">
        <v>0</v>
      </c>
      <c r="C184" t="n">
        <v>15489</v>
      </c>
      <c r="D184" t="n">
        <v>37599</v>
      </c>
      <c r="E184" t="n">
        <v>220083</v>
      </c>
      <c r="F184" t="n">
        <v>1274284</v>
      </c>
      <c r="G184" t="n">
        <v>7249815</v>
      </c>
      <c r="H184" t="n">
        <v>40668221</v>
      </c>
      <c r="I184" t="n">
        <v>224239990</v>
      </c>
      <c r="J184" t="n">
        <v>2000</v>
      </c>
      <c r="K184" t="n">
        <v>16613</v>
      </c>
      <c r="L184" t="n">
        <v>2500</v>
      </c>
      <c r="M184" t="n">
        <v>1083</v>
      </c>
      <c r="N184" t="n">
        <v>1915</v>
      </c>
      <c r="O184" t="n">
        <v>2830</v>
      </c>
      <c r="P184" t="n">
        <v>3745</v>
      </c>
      <c r="Q184" t="n">
        <v>4660</v>
      </c>
      <c r="R184" t="n">
        <v>5575</v>
      </c>
      <c r="S184" t="n">
        <v>6490</v>
      </c>
      <c r="T184" t="n">
        <v>7405</v>
      </c>
      <c r="U184" t="n">
        <v>8320</v>
      </c>
      <c r="V184" t="n">
        <v>3818</v>
      </c>
      <c r="W184" t="n">
        <v>1732</v>
      </c>
      <c r="X184" t="n">
        <v>1549</v>
      </c>
      <c r="Y184" t="n">
        <v>7630</v>
      </c>
    </row>
    <row r="185">
      <c r="A185" t="n">
        <v>184</v>
      </c>
      <c r="B185" t="n">
        <v>0</v>
      </c>
      <c r="C185" t="n">
        <v>15722</v>
      </c>
      <c r="D185" t="n">
        <v>38351</v>
      </c>
      <c r="E185" t="n">
        <v>226686</v>
      </c>
      <c r="F185" t="n">
        <v>1325256</v>
      </c>
      <c r="G185" t="n">
        <v>7612306</v>
      </c>
      <c r="H185" t="n">
        <v>43108315</v>
      </c>
      <c r="I185" t="n">
        <v>239936790</v>
      </c>
      <c r="J185" t="n">
        <v>2000</v>
      </c>
      <c r="K185" t="n">
        <v>16780</v>
      </c>
      <c r="L185" t="n">
        <v>2500</v>
      </c>
      <c r="M185" t="n">
        <v>1084</v>
      </c>
      <c r="N185" t="n">
        <v>1920</v>
      </c>
      <c r="O185" t="n">
        <v>2840</v>
      </c>
      <c r="P185" t="n">
        <v>3760</v>
      </c>
      <c r="Q185" t="n">
        <v>4680</v>
      </c>
      <c r="R185" t="n">
        <v>5600</v>
      </c>
      <c r="S185" t="n">
        <v>6520</v>
      </c>
      <c r="T185" t="n">
        <v>7440</v>
      </c>
      <c r="U185" t="n">
        <v>8360</v>
      </c>
      <c r="V185" t="n">
        <v>3842</v>
      </c>
      <c r="W185" t="n">
        <v>1736</v>
      </c>
      <c r="X185" t="n">
        <v>1552</v>
      </c>
      <c r="Y185" t="n">
        <v>7640</v>
      </c>
    </row>
    <row r="186">
      <c r="A186" t="n">
        <v>185</v>
      </c>
      <c r="B186" t="n">
        <v>0</v>
      </c>
      <c r="C186" t="n">
        <v>15958</v>
      </c>
      <c r="D186" t="n">
        <v>39119</v>
      </c>
      <c r="E186" t="n">
        <v>233487</v>
      </c>
      <c r="F186" t="n">
        <v>1378267</v>
      </c>
      <c r="G186" t="n">
        <v>7992922</v>
      </c>
      <c r="H186" t="n">
        <v>45694814</v>
      </c>
      <c r="I186" t="n">
        <v>256732366</v>
      </c>
      <c r="J186" t="n">
        <v>2000</v>
      </c>
      <c r="K186" t="n">
        <v>16948</v>
      </c>
      <c r="L186" t="n">
        <v>2500</v>
      </c>
      <c r="M186" t="n">
        <v>1085</v>
      </c>
      <c r="N186" t="n">
        <v>1925</v>
      </c>
      <c r="O186" t="n">
        <v>2850</v>
      </c>
      <c r="P186" t="n">
        <v>3775</v>
      </c>
      <c r="Q186" t="n">
        <v>4700</v>
      </c>
      <c r="R186" t="n">
        <v>5625</v>
      </c>
      <c r="S186" t="n">
        <v>6550</v>
      </c>
      <c r="T186" t="n">
        <v>7475</v>
      </c>
      <c r="U186" t="n">
        <v>8400</v>
      </c>
      <c r="V186" t="n">
        <v>3866</v>
      </c>
      <c r="W186" t="n">
        <v>1740</v>
      </c>
      <c r="X186" t="n">
        <v>1555</v>
      </c>
      <c r="Y186" t="n">
        <v>7650</v>
      </c>
    </row>
    <row r="187">
      <c r="A187" t="n">
        <v>186</v>
      </c>
      <c r="B187" t="n">
        <v>0</v>
      </c>
      <c r="C187" t="n">
        <v>16198</v>
      </c>
      <c r="D187" t="n">
        <v>39902</v>
      </c>
      <c r="E187" t="n">
        <v>240492</v>
      </c>
      <c r="F187" t="n">
        <v>1433398</v>
      </c>
      <c r="G187" t="n">
        <v>8392569</v>
      </c>
      <c r="H187" t="n">
        <v>48436503</v>
      </c>
      <c r="I187" t="n">
        <v>274703632</v>
      </c>
      <c r="J187" t="n">
        <v>2000</v>
      </c>
      <c r="K187" t="n">
        <v>17118</v>
      </c>
      <c r="L187" t="n">
        <v>2500</v>
      </c>
      <c r="M187" t="n">
        <v>1086</v>
      </c>
      <c r="N187" t="n">
        <v>1930</v>
      </c>
      <c r="O187" t="n">
        <v>2860</v>
      </c>
      <c r="P187" t="n">
        <v>3790</v>
      </c>
      <c r="Q187" t="n">
        <v>4720</v>
      </c>
      <c r="R187" t="n">
        <v>5650</v>
      </c>
      <c r="S187" t="n">
        <v>6580</v>
      </c>
      <c r="T187" t="n">
        <v>7510</v>
      </c>
      <c r="U187" t="n">
        <v>8440</v>
      </c>
      <c r="V187" t="n">
        <v>3890</v>
      </c>
      <c r="W187" t="n">
        <v>1744</v>
      </c>
      <c r="X187" t="n">
        <v>1558</v>
      </c>
      <c r="Y187" t="n">
        <v>7660</v>
      </c>
    </row>
    <row r="188">
      <c r="A188" t="n">
        <v>187</v>
      </c>
      <c r="B188" t="n">
        <v>0</v>
      </c>
      <c r="C188" t="n">
        <v>16441</v>
      </c>
      <c r="D188" t="n">
        <v>40701</v>
      </c>
      <c r="E188" t="n">
        <v>247707</v>
      </c>
      <c r="F188" t="n">
        <v>1490734</v>
      </c>
      <c r="G188" t="n">
        <v>8812198</v>
      </c>
      <c r="H188" t="n">
        <v>51342694</v>
      </c>
      <c r="I188" t="n">
        <v>293932887</v>
      </c>
      <c r="J188" t="n">
        <v>2000</v>
      </c>
      <c r="K188" t="n">
        <v>17290</v>
      </c>
      <c r="L188" t="n">
        <v>2500</v>
      </c>
      <c r="M188" t="n">
        <v>1087</v>
      </c>
      <c r="N188" t="n">
        <v>1935</v>
      </c>
      <c r="O188" t="n">
        <v>2870</v>
      </c>
      <c r="P188" t="n">
        <v>3805</v>
      </c>
      <c r="Q188" t="n">
        <v>4740</v>
      </c>
      <c r="R188" t="n">
        <v>5675</v>
      </c>
      <c r="S188" t="n">
        <v>6610</v>
      </c>
      <c r="T188" t="n">
        <v>7545</v>
      </c>
      <c r="U188" t="n">
        <v>8480</v>
      </c>
      <c r="V188" t="n">
        <v>3914</v>
      </c>
      <c r="W188" t="n">
        <v>1748</v>
      </c>
      <c r="X188" t="n">
        <v>1561</v>
      </c>
      <c r="Y188" t="n">
        <v>7670</v>
      </c>
    </row>
    <row r="189">
      <c r="A189" t="n">
        <v>188</v>
      </c>
      <c r="B189" t="n">
        <v>0</v>
      </c>
      <c r="C189" t="n">
        <v>16688</v>
      </c>
      <c r="D189" t="n">
        <v>41516</v>
      </c>
      <c r="E189" t="n">
        <v>255139</v>
      </c>
      <c r="F189" t="n">
        <v>1550364</v>
      </c>
      <c r="G189" t="n">
        <v>9252808</v>
      </c>
      <c r="H189" t="n">
        <v>54423256</v>
      </c>
      <c r="I189" t="n">
        <v>314508190</v>
      </c>
      <c r="J189" t="n">
        <v>2000</v>
      </c>
      <c r="K189" t="n">
        <v>17463</v>
      </c>
      <c r="L189" t="n">
        <v>2500</v>
      </c>
      <c r="M189" t="n">
        <v>1088</v>
      </c>
      <c r="N189" t="n">
        <v>1940</v>
      </c>
      <c r="O189" t="n">
        <v>2880</v>
      </c>
      <c r="P189" t="n">
        <v>3820</v>
      </c>
      <c r="Q189" t="n">
        <v>4760</v>
      </c>
      <c r="R189" t="n">
        <v>5700</v>
      </c>
      <c r="S189" t="n">
        <v>6640</v>
      </c>
      <c r="T189" t="n">
        <v>7580</v>
      </c>
      <c r="U189" t="n">
        <v>8520</v>
      </c>
      <c r="V189" t="n">
        <v>3938</v>
      </c>
      <c r="W189" t="n">
        <v>1752</v>
      </c>
      <c r="X189" t="n">
        <v>1564</v>
      </c>
      <c r="Y189" t="n">
        <v>7680</v>
      </c>
    </row>
    <row r="190">
      <c r="A190" t="n">
        <v>189</v>
      </c>
      <c r="B190" t="n">
        <v>0</v>
      </c>
      <c r="C190" t="n">
        <v>16939</v>
      </c>
      <c r="D190" t="n">
        <v>42347</v>
      </c>
      <c r="E190" t="n">
        <v>262794</v>
      </c>
      <c r="F190" t="n">
        <v>1612379</v>
      </c>
      <c r="G190" t="n">
        <v>9715449</v>
      </c>
      <c r="H190" t="n">
        <v>57688652</v>
      </c>
      <c r="I190" t="n">
        <v>336523764</v>
      </c>
      <c r="J190" t="n">
        <v>2000</v>
      </c>
      <c r="K190" t="n">
        <v>17638</v>
      </c>
      <c r="L190" t="n">
        <v>2500</v>
      </c>
      <c r="M190" t="n">
        <v>1089</v>
      </c>
      <c r="N190" t="n">
        <v>1945</v>
      </c>
      <c r="O190" t="n">
        <v>2890</v>
      </c>
      <c r="P190" t="n">
        <v>3835</v>
      </c>
      <c r="Q190" t="n">
        <v>4780</v>
      </c>
      <c r="R190" t="n">
        <v>5725</v>
      </c>
      <c r="S190" t="n">
        <v>6670</v>
      </c>
      <c r="T190" t="n">
        <v>7615</v>
      </c>
      <c r="U190" t="n">
        <v>8560</v>
      </c>
      <c r="V190" t="n">
        <v>3962</v>
      </c>
      <c r="W190" t="n">
        <v>1756</v>
      </c>
      <c r="X190" t="n">
        <v>1567</v>
      </c>
      <c r="Y190" t="n">
        <v>7690</v>
      </c>
    </row>
    <row r="191">
      <c r="A191" t="n">
        <v>190</v>
      </c>
      <c r="B191" t="n">
        <v>0</v>
      </c>
      <c r="C191" t="n">
        <v>17194</v>
      </c>
      <c r="D191" t="n">
        <v>43194</v>
      </c>
      <c r="E191" t="n">
        <v>270678</v>
      </c>
      <c r="F191" t="n">
        <v>1676875</v>
      </c>
      <c r="G191" t="n">
        <v>10201222</v>
      </c>
      <c r="H191" t="n">
        <v>61149972</v>
      </c>
      <c r="I191" t="n">
        <v>360080428</v>
      </c>
      <c r="J191" t="n">
        <v>2000</v>
      </c>
      <c r="K191" t="n">
        <v>17815</v>
      </c>
      <c r="L191" t="n">
        <v>2500</v>
      </c>
      <c r="M191" t="n">
        <v>1090</v>
      </c>
      <c r="N191" t="n">
        <v>1950</v>
      </c>
      <c r="O191" t="n">
        <v>2900</v>
      </c>
      <c r="P191" t="n">
        <v>3850</v>
      </c>
      <c r="Q191" t="n">
        <v>4800</v>
      </c>
      <c r="R191" t="n">
        <v>5750</v>
      </c>
      <c r="S191" t="n">
        <v>6700</v>
      </c>
      <c r="T191" t="n">
        <v>7650</v>
      </c>
      <c r="U191" t="n">
        <v>8600</v>
      </c>
      <c r="V191" t="n">
        <v>3986</v>
      </c>
      <c r="W191" t="n">
        <v>1760</v>
      </c>
      <c r="X191" t="n">
        <v>1570</v>
      </c>
      <c r="Y191" t="n">
        <v>7700</v>
      </c>
    </row>
    <row r="192">
      <c r="A192" t="n">
        <v>191</v>
      </c>
      <c r="B192" t="n">
        <v>0</v>
      </c>
      <c r="C192" t="n">
        <v>17452</v>
      </c>
      <c r="D192" t="n">
        <v>44058</v>
      </c>
      <c r="E192" t="n">
        <v>278799</v>
      </c>
      <c r="F192" t="n">
        <v>1743950</v>
      </c>
      <c r="G192" t="n">
        <v>10711284</v>
      </c>
      <c r="H192" t="n">
        <v>64818971</v>
      </c>
      <c r="I192" t="n">
        <v>385286058</v>
      </c>
      <c r="J192" t="n">
        <v>2000</v>
      </c>
      <c r="K192" t="n">
        <v>17994</v>
      </c>
      <c r="L192" t="n">
        <v>2500</v>
      </c>
      <c r="M192" t="n">
        <v>1091</v>
      </c>
      <c r="N192" t="n">
        <v>1955</v>
      </c>
      <c r="O192" t="n">
        <v>2910</v>
      </c>
      <c r="P192" t="n">
        <v>3865</v>
      </c>
      <c r="Q192" t="n">
        <v>4820</v>
      </c>
      <c r="R192" t="n">
        <v>5775</v>
      </c>
      <c r="S192" t="n">
        <v>6730</v>
      </c>
      <c r="T192" t="n">
        <v>7685</v>
      </c>
      <c r="U192" t="n">
        <v>8640</v>
      </c>
      <c r="V192" t="n">
        <v>4010</v>
      </c>
      <c r="W192" t="n">
        <v>1764</v>
      </c>
      <c r="X192" t="n">
        <v>1573</v>
      </c>
      <c r="Y192" t="n">
        <v>7710</v>
      </c>
    </row>
    <row r="193">
      <c r="A193" t="n">
        <v>192</v>
      </c>
      <c r="B193" t="n">
        <v>0</v>
      </c>
      <c r="C193" t="n">
        <v>17714</v>
      </c>
      <c r="D193" t="n">
        <v>44940</v>
      </c>
      <c r="E193" t="n">
        <v>287163</v>
      </c>
      <c r="F193" t="n">
        <v>1813708</v>
      </c>
      <c r="G193" t="n">
        <v>11246849</v>
      </c>
      <c r="H193" t="n">
        <v>68708110</v>
      </c>
      <c r="I193" t="n">
        <v>412256083</v>
      </c>
      <c r="J193" t="n">
        <v>2000</v>
      </c>
      <c r="K193" t="n">
        <v>18174</v>
      </c>
      <c r="L193" t="n">
        <v>2500</v>
      </c>
      <c r="M193" t="n">
        <v>1092</v>
      </c>
      <c r="N193" t="n">
        <v>1960</v>
      </c>
      <c r="O193" t="n">
        <v>2920</v>
      </c>
      <c r="P193" t="n">
        <v>3880</v>
      </c>
      <c r="Q193" t="n">
        <v>4840</v>
      </c>
      <c r="R193" t="n">
        <v>5800</v>
      </c>
      <c r="S193" t="n">
        <v>6760</v>
      </c>
      <c r="T193" t="n">
        <v>7720</v>
      </c>
      <c r="U193" t="n">
        <v>8680</v>
      </c>
      <c r="V193" t="n">
        <v>4035</v>
      </c>
      <c r="W193" t="n">
        <v>1768</v>
      </c>
      <c r="X193" t="n">
        <v>1576</v>
      </c>
      <c r="Y193" t="n">
        <v>7720</v>
      </c>
    </row>
    <row r="194">
      <c r="A194" t="n">
        <v>193</v>
      </c>
      <c r="B194" t="n">
        <v>0</v>
      </c>
      <c r="C194" t="n">
        <v>17980</v>
      </c>
      <c r="D194" t="n">
        <v>45839</v>
      </c>
      <c r="E194" t="n">
        <v>295778</v>
      </c>
      <c r="F194" t="n">
        <v>1886257</v>
      </c>
      <c r="G194" t="n">
        <v>11809192</v>
      </c>
      <c r="H194" t="n">
        <v>72830597</v>
      </c>
      <c r="I194" t="n">
        <v>441114009</v>
      </c>
      <c r="J194" t="n">
        <v>2000</v>
      </c>
      <c r="K194" t="n">
        <v>18356</v>
      </c>
      <c r="L194" t="n">
        <v>2500</v>
      </c>
      <c r="M194" t="n">
        <v>1093</v>
      </c>
      <c r="N194" t="n">
        <v>1965</v>
      </c>
      <c r="O194" t="n">
        <v>2930</v>
      </c>
      <c r="P194" t="n">
        <v>3895</v>
      </c>
      <c r="Q194" t="n">
        <v>4860</v>
      </c>
      <c r="R194" t="n">
        <v>5825</v>
      </c>
      <c r="S194" t="n">
        <v>6790</v>
      </c>
      <c r="T194" t="n">
        <v>7755</v>
      </c>
      <c r="U194" t="n">
        <v>8720</v>
      </c>
      <c r="V194" t="n">
        <v>4060</v>
      </c>
      <c r="W194" t="n">
        <v>1772</v>
      </c>
      <c r="X194" t="n">
        <v>1579</v>
      </c>
      <c r="Y194" t="n">
        <v>7730</v>
      </c>
    </row>
    <row r="195">
      <c r="A195" t="n">
        <v>194</v>
      </c>
      <c r="B195" t="n">
        <v>0</v>
      </c>
      <c r="C195" t="n">
        <v>18250</v>
      </c>
      <c r="D195" t="n">
        <v>46756</v>
      </c>
      <c r="E195" t="n">
        <v>304652</v>
      </c>
      <c r="F195" t="n">
        <v>1961708</v>
      </c>
      <c r="G195" t="n">
        <v>12399652</v>
      </c>
      <c r="H195" t="n">
        <v>77200433</v>
      </c>
      <c r="I195" t="n">
        <v>471991990</v>
      </c>
      <c r="J195" t="n">
        <v>2000</v>
      </c>
      <c r="K195" t="n">
        <v>18540</v>
      </c>
      <c r="L195" t="n">
        <v>2500</v>
      </c>
      <c r="M195" t="n">
        <v>1094</v>
      </c>
      <c r="N195" t="n">
        <v>1970</v>
      </c>
      <c r="O195" t="n">
        <v>2940</v>
      </c>
      <c r="P195" t="n">
        <v>3910</v>
      </c>
      <c r="Q195" t="n">
        <v>4880</v>
      </c>
      <c r="R195" t="n">
        <v>5850</v>
      </c>
      <c r="S195" t="n">
        <v>6820</v>
      </c>
      <c r="T195" t="n">
        <v>7790</v>
      </c>
      <c r="U195" t="n">
        <v>8760</v>
      </c>
      <c r="V195" t="n">
        <v>4085</v>
      </c>
      <c r="W195" t="n">
        <v>1776</v>
      </c>
      <c r="X195" t="n">
        <v>1582</v>
      </c>
      <c r="Y195" t="n">
        <v>7740</v>
      </c>
    </row>
    <row r="196">
      <c r="A196" t="n">
        <v>195</v>
      </c>
      <c r="B196" t="n">
        <v>0</v>
      </c>
      <c r="C196" t="n">
        <v>18524</v>
      </c>
      <c r="D196" t="n">
        <v>47692</v>
      </c>
      <c r="E196" t="n">
        <v>313792</v>
      </c>
      <c r="F196" t="n">
        <v>2040177</v>
      </c>
      <c r="G196" t="n">
        <v>13019635</v>
      </c>
      <c r="H196" t="n">
        <v>81832459</v>
      </c>
      <c r="I196" t="n">
        <v>505031430</v>
      </c>
      <c r="J196" t="n">
        <v>2000</v>
      </c>
      <c r="K196" t="n">
        <v>18726</v>
      </c>
      <c r="L196" t="n">
        <v>2500</v>
      </c>
      <c r="M196" t="n">
        <v>1095</v>
      </c>
      <c r="N196" t="n">
        <v>1975</v>
      </c>
      <c r="O196" t="n">
        <v>2950</v>
      </c>
      <c r="P196" t="n">
        <v>3925</v>
      </c>
      <c r="Q196" t="n">
        <v>4900</v>
      </c>
      <c r="R196" t="n">
        <v>5875</v>
      </c>
      <c r="S196" t="n">
        <v>6850</v>
      </c>
      <c r="T196" t="n">
        <v>7825</v>
      </c>
      <c r="U196" t="n">
        <v>8800</v>
      </c>
      <c r="V196" t="n">
        <v>4110</v>
      </c>
      <c r="W196" t="n">
        <v>1780</v>
      </c>
      <c r="X196" t="n">
        <v>1585</v>
      </c>
      <c r="Y196" t="n">
        <v>7750</v>
      </c>
    </row>
    <row r="197">
      <c r="A197" t="n">
        <v>196</v>
      </c>
      <c r="B197" t="n">
        <v>0</v>
      </c>
      <c r="C197" t="n">
        <v>18802</v>
      </c>
      <c r="D197" t="n">
        <v>48646</v>
      </c>
      <c r="E197" t="n">
        <v>323206</v>
      </c>
      <c r="F197" t="n">
        <v>2121785</v>
      </c>
      <c r="G197" t="n">
        <v>13670617</v>
      </c>
      <c r="H197" t="n">
        <v>86742407</v>
      </c>
      <c r="I197" t="n">
        <v>540383631</v>
      </c>
      <c r="J197" t="n">
        <v>2000</v>
      </c>
      <c r="K197" t="n">
        <v>18914</v>
      </c>
      <c r="L197" t="n">
        <v>2500</v>
      </c>
      <c r="M197" t="n">
        <v>1096</v>
      </c>
      <c r="N197" t="n">
        <v>1980</v>
      </c>
      <c r="O197" t="n">
        <v>2960</v>
      </c>
      <c r="P197" t="n">
        <v>3940</v>
      </c>
      <c r="Q197" t="n">
        <v>4920</v>
      </c>
      <c r="R197" t="n">
        <v>5900</v>
      </c>
      <c r="S197" t="n">
        <v>6880</v>
      </c>
      <c r="T197" t="n">
        <v>7860</v>
      </c>
      <c r="U197" t="n">
        <v>8840</v>
      </c>
      <c r="V197" t="n">
        <v>4135</v>
      </c>
      <c r="W197" t="n">
        <v>1784</v>
      </c>
      <c r="X197" t="n">
        <v>1588</v>
      </c>
      <c r="Y197" t="n">
        <v>7760</v>
      </c>
    </row>
    <row r="198">
      <c r="A198" t="n">
        <v>197</v>
      </c>
      <c r="B198" t="n">
        <v>0</v>
      </c>
      <c r="C198" t="n">
        <v>19085</v>
      </c>
      <c r="D198" t="n">
        <v>49619</v>
      </c>
      <c r="E198" t="n">
        <v>332903</v>
      </c>
      <c r="F198" t="n">
        <v>2206657</v>
      </c>
      <c r="G198" t="n">
        <v>14354148</v>
      </c>
      <c r="H198" t="n">
        <v>91946952</v>
      </c>
      <c r="I198" t="n">
        <v>578210486</v>
      </c>
      <c r="J198" t="n">
        <v>2000</v>
      </c>
      <c r="K198" t="n">
        <v>19104</v>
      </c>
      <c r="L198" t="n">
        <v>2500</v>
      </c>
      <c r="M198" t="n">
        <v>1097</v>
      </c>
      <c r="N198" t="n">
        <v>1985</v>
      </c>
      <c r="O198" t="n">
        <v>2970</v>
      </c>
      <c r="P198" t="n">
        <v>3955</v>
      </c>
      <c r="Q198" t="n">
        <v>4940</v>
      </c>
      <c r="R198" t="n">
        <v>5925</v>
      </c>
      <c r="S198" t="n">
        <v>6910</v>
      </c>
      <c r="T198" t="n">
        <v>7895</v>
      </c>
      <c r="U198" t="n">
        <v>8880</v>
      </c>
      <c r="V198" t="n">
        <v>4160</v>
      </c>
      <c r="W198" t="n">
        <v>1788</v>
      </c>
      <c r="X198" t="n">
        <v>1591</v>
      </c>
      <c r="Y198" t="n">
        <v>7770</v>
      </c>
    </row>
    <row r="199">
      <c r="A199" t="n">
        <v>198</v>
      </c>
      <c r="B199" t="n">
        <v>0</v>
      </c>
      <c r="C199" t="n">
        <v>19372</v>
      </c>
      <c r="D199" t="n">
        <v>50612</v>
      </c>
      <c r="E199" t="n">
        <v>342891</v>
      </c>
      <c r="F199" t="n">
        <v>2294924</v>
      </c>
      <c r="G199" t="n">
        <v>15071856</v>
      </c>
      <c r="H199" t="n">
        <v>97463770</v>
      </c>
      <c r="I199" t="n">
        <v>618685221</v>
      </c>
      <c r="J199" t="n">
        <v>2000</v>
      </c>
      <c r="K199" t="n">
        <v>19296</v>
      </c>
      <c r="L199" t="n">
        <v>2500</v>
      </c>
      <c r="M199" t="n">
        <v>1098</v>
      </c>
      <c r="N199" t="n">
        <v>1990</v>
      </c>
      <c r="O199" t="n">
        <v>2980</v>
      </c>
      <c r="P199" t="n">
        <v>3970</v>
      </c>
      <c r="Q199" t="n">
        <v>4960</v>
      </c>
      <c r="R199" t="n">
        <v>5950</v>
      </c>
      <c r="S199" t="n">
        <v>6940</v>
      </c>
      <c r="T199" t="n">
        <v>7930</v>
      </c>
      <c r="U199" t="n">
        <v>8920</v>
      </c>
      <c r="V199" t="n">
        <v>4185</v>
      </c>
      <c r="W199" t="n">
        <v>1792</v>
      </c>
      <c r="X199" t="n">
        <v>1594</v>
      </c>
      <c r="Y199" t="n">
        <v>7780</v>
      </c>
    </row>
    <row r="200">
      <c r="A200" t="n">
        <v>199</v>
      </c>
      <c r="B200" t="n">
        <v>0</v>
      </c>
      <c r="C200" t="n">
        <v>19663</v>
      </c>
      <c r="D200" t="n">
        <v>51625</v>
      </c>
      <c r="E200" t="n">
        <v>353178</v>
      </c>
      <c r="F200" t="n">
        <v>2386721</v>
      </c>
      <c r="G200" t="n">
        <v>15825449</v>
      </c>
      <c r="H200" t="n">
        <v>103311597</v>
      </c>
      <c r="I200" t="n">
        <v>661993187</v>
      </c>
      <c r="J200" t="n">
        <v>2000</v>
      </c>
      <c r="K200" t="n">
        <v>19489</v>
      </c>
      <c r="L200" t="n">
        <v>2500</v>
      </c>
      <c r="M200" t="n">
        <v>1099</v>
      </c>
      <c r="N200" t="n">
        <v>1995</v>
      </c>
      <c r="O200" t="n">
        <v>2990</v>
      </c>
      <c r="P200" t="n">
        <v>3985</v>
      </c>
      <c r="Q200" t="n">
        <v>4980</v>
      </c>
      <c r="R200" t="n">
        <v>5975</v>
      </c>
      <c r="S200" t="n">
        <v>6970</v>
      </c>
      <c r="T200" t="n">
        <v>7965</v>
      </c>
      <c r="U200" t="n">
        <v>8960</v>
      </c>
      <c r="V200" t="n">
        <v>4210</v>
      </c>
      <c r="W200" t="n">
        <v>1796</v>
      </c>
      <c r="X200" t="n">
        <v>1597</v>
      </c>
      <c r="Y200" t="n">
        <v>7790</v>
      </c>
    </row>
    <row r="201">
      <c r="A201" t="n">
        <v>200</v>
      </c>
      <c r="B201" t="n">
        <v>0</v>
      </c>
      <c r="C201" t="n">
        <v>19958</v>
      </c>
      <c r="D201" t="n">
        <v>52658</v>
      </c>
      <c r="E201" t="n">
        <v>363774</v>
      </c>
      <c r="F201" t="n">
        <v>2482190</v>
      </c>
      <c r="G201" t="n">
        <v>16616722</v>
      </c>
      <c r="H201" t="n">
        <v>109510293</v>
      </c>
      <c r="I201" t="n">
        <v>708332711</v>
      </c>
      <c r="J201" t="n">
        <v>2000</v>
      </c>
      <c r="K201" t="n">
        <v>19684</v>
      </c>
      <c r="L201" t="n">
        <v>2500</v>
      </c>
      <c r="M201" t="n">
        <v>1100</v>
      </c>
      <c r="N201" t="n">
        <v>2000</v>
      </c>
      <c r="O201" t="n">
        <v>3000</v>
      </c>
      <c r="P201" t="n">
        <v>4000</v>
      </c>
      <c r="Q201" t="n">
        <v>5000</v>
      </c>
      <c r="R201" t="n">
        <v>6000</v>
      </c>
      <c r="S201" t="n">
        <v>7000</v>
      </c>
      <c r="T201" t="n">
        <v>8000</v>
      </c>
      <c r="U201" t="n">
        <v>9000</v>
      </c>
      <c r="V201" t="n">
        <v>4236</v>
      </c>
      <c r="W201" t="n">
        <v>1800</v>
      </c>
      <c r="X201" t="n">
        <v>1600</v>
      </c>
      <c r="Y201" t="n">
        <v>7800</v>
      </c>
    </row>
    <row r="202">
      <c r="A202" t="n">
        <v>201</v>
      </c>
      <c r="B202" t="n">
        <v>0</v>
      </c>
      <c r="C202" t="n">
        <v>20258</v>
      </c>
      <c r="D202" t="n">
        <v>53712</v>
      </c>
      <c r="E202" t="n">
        <v>374688</v>
      </c>
      <c r="F202" t="n">
        <v>2581478</v>
      </c>
      <c r="G202" t="n">
        <v>17447559</v>
      </c>
      <c r="H202" t="n">
        <v>116080911</v>
      </c>
      <c r="I202" t="n">
        <v>757916001</v>
      </c>
      <c r="J202" t="n">
        <v>2000</v>
      </c>
      <c r="K202" t="n">
        <v>19881</v>
      </c>
      <c r="L202" t="n">
        <v>2500</v>
      </c>
      <c r="M202" t="n">
        <v>1100</v>
      </c>
      <c r="N202" t="n">
        <v>2005</v>
      </c>
      <c r="O202" t="n">
        <v>3010</v>
      </c>
      <c r="P202" t="n">
        <v>4015</v>
      </c>
      <c r="Q202" t="n">
        <v>5020</v>
      </c>
      <c r="R202" t="n">
        <v>6025</v>
      </c>
      <c r="S202" t="n">
        <v>7030</v>
      </c>
      <c r="T202" t="n">
        <v>8035</v>
      </c>
      <c r="U202" t="n">
        <v>9040</v>
      </c>
      <c r="V202" t="n">
        <v>4262</v>
      </c>
      <c r="W202" t="n">
        <v>1804</v>
      </c>
      <c r="X202" t="n">
        <v>1603</v>
      </c>
      <c r="Y202" t="n">
        <v>7810</v>
      </c>
    </row>
    <row r="203">
      <c r="A203" t="n">
        <v>202</v>
      </c>
      <c r="B203" t="n">
        <v>0</v>
      </c>
      <c r="C203" t="n">
        <v>20562</v>
      </c>
      <c r="D203" t="n">
        <v>54787</v>
      </c>
      <c r="E203" t="n">
        <v>385929</v>
      </c>
      <c r="F203" t="n">
        <v>2684738</v>
      </c>
      <c r="G203" t="n">
        <v>18319937</v>
      </c>
      <c r="H203" t="n">
        <v>123045766</v>
      </c>
      <c r="I203" t="n">
        <v>810970122</v>
      </c>
      <c r="J203" t="n">
        <v>2000</v>
      </c>
      <c r="K203" t="n">
        <v>20080</v>
      </c>
      <c r="L203" t="n">
        <v>2500</v>
      </c>
      <c r="M203" t="n">
        <v>1100</v>
      </c>
      <c r="N203" t="n">
        <v>2010</v>
      </c>
      <c r="O203" t="n">
        <v>3020</v>
      </c>
      <c r="P203" t="n">
        <v>4030</v>
      </c>
      <c r="Q203" t="n">
        <v>5040</v>
      </c>
      <c r="R203" t="n">
        <v>6050</v>
      </c>
      <c r="S203" t="n">
        <v>7060</v>
      </c>
      <c r="T203" t="n">
        <v>8070</v>
      </c>
      <c r="U203" t="n">
        <v>9080</v>
      </c>
      <c r="V203" t="n">
        <v>4288</v>
      </c>
      <c r="W203" t="n">
        <v>1808</v>
      </c>
      <c r="X203" t="n">
        <v>1606</v>
      </c>
      <c r="Y203" t="n">
        <v>7820</v>
      </c>
    </row>
    <row r="204">
      <c r="A204" t="n">
        <v>203</v>
      </c>
      <c r="B204" t="n">
        <v>0</v>
      </c>
      <c r="C204" t="n">
        <v>20871</v>
      </c>
      <c r="D204" t="n">
        <v>55883</v>
      </c>
      <c r="E204" t="n">
        <v>397507</v>
      </c>
      <c r="F204" t="n">
        <v>2792128</v>
      </c>
      <c r="G204" t="n">
        <v>19235934</v>
      </c>
      <c r="H204" t="n">
        <v>130428512</v>
      </c>
      <c r="I204" t="n">
        <v>867738031</v>
      </c>
      <c r="J204" t="n">
        <v>2000</v>
      </c>
      <c r="K204" t="n">
        <v>20281</v>
      </c>
      <c r="L204" t="n">
        <v>2500</v>
      </c>
      <c r="M204" t="n">
        <v>1100</v>
      </c>
      <c r="N204" t="n">
        <v>2015</v>
      </c>
      <c r="O204" t="n">
        <v>3030</v>
      </c>
      <c r="P204" t="n">
        <v>4045</v>
      </c>
      <c r="Q204" t="n">
        <v>5060</v>
      </c>
      <c r="R204" t="n">
        <v>6075</v>
      </c>
      <c r="S204" t="n">
        <v>7090</v>
      </c>
      <c r="T204" t="n">
        <v>8105</v>
      </c>
      <c r="U204" t="n">
        <v>9120</v>
      </c>
      <c r="V204" t="n">
        <v>4314</v>
      </c>
      <c r="W204" t="n">
        <v>1812</v>
      </c>
      <c r="X204" t="n">
        <v>1609</v>
      </c>
      <c r="Y204" t="n">
        <v>7830</v>
      </c>
    </row>
    <row r="205">
      <c r="A205" t="n">
        <v>204</v>
      </c>
      <c r="B205" t="n">
        <v>0</v>
      </c>
      <c r="C205" t="n">
        <v>21185</v>
      </c>
      <c r="D205" t="n">
        <v>57001</v>
      </c>
      <c r="E205" t="n">
        <v>409433</v>
      </c>
      <c r="F205" t="n">
        <v>2903814</v>
      </c>
      <c r="G205" t="n">
        <v>20197731</v>
      </c>
      <c r="H205" t="n">
        <v>138254223</v>
      </c>
      <c r="I205" t="n">
        <v>928479694</v>
      </c>
      <c r="J205" t="n">
        <v>2000</v>
      </c>
      <c r="K205" t="n">
        <v>20484</v>
      </c>
      <c r="L205" t="n">
        <v>2500</v>
      </c>
      <c r="M205" t="n">
        <v>1100</v>
      </c>
      <c r="N205" t="n">
        <v>2020</v>
      </c>
      <c r="O205" t="n">
        <v>3040</v>
      </c>
      <c r="P205" t="n">
        <v>4060</v>
      </c>
      <c r="Q205" t="n">
        <v>5080</v>
      </c>
      <c r="R205" t="n">
        <v>6100</v>
      </c>
      <c r="S205" t="n">
        <v>7120</v>
      </c>
      <c r="T205" t="n">
        <v>8140</v>
      </c>
      <c r="U205" t="n">
        <v>9160</v>
      </c>
      <c r="V205" t="n">
        <v>4340</v>
      </c>
      <c r="W205" t="n">
        <v>1816</v>
      </c>
      <c r="X205" t="n">
        <v>1612</v>
      </c>
      <c r="Y205" t="n">
        <v>7840</v>
      </c>
    </row>
    <row r="206">
      <c r="A206" t="n">
        <v>205</v>
      </c>
      <c r="B206" t="n">
        <v>0</v>
      </c>
      <c r="C206" t="n">
        <v>21503</v>
      </c>
      <c r="D206" t="n">
        <v>58142</v>
      </c>
      <c r="E206" t="n">
        <v>421716</v>
      </c>
      <c r="F206" t="n">
        <v>3019967</v>
      </c>
      <c r="G206" t="n">
        <v>21207618</v>
      </c>
      <c r="H206" t="n">
        <v>146549477</v>
      </c>
      <c r="I206" t="n">
        <v>993473273</v>
      </c>
      <c r="J206" t="n">
        <v>2000</v>
      </c>
      <c r="K206" t="n">
        <v>20689</v>
      </c>
      <c r="L206" t="n">
        <v>2500</v>
      </c>
      <c r="M206" t="n">
        <v>1100</v>
      </c>
      <c r="N206" t="n">
        <v>2025</v>
      </c>
      <c r="O206" t="n">
        <v>3050</v>
      </c>
      <c r="P206" t="n">
        <v>4075</v>
      </c>
      <c r="Q206" t="n">
        <v>5100</v>
      </c>
      <c r="R206" t="n">
        <v>6125</v>
      </c>
      <c r="S206" t="n">
        <v>7150</v>
      </c>
      <c r="T206" t="n">
        <v>8175</v>
      </c>
      <c r="U206" t="n">
        <v>9200</v>
      </c>
      <c r="V206" t="n">
        <v>4366</v>
      </c>
      <c r="W206" t="n">
        <v>1820</v>
      </c>
      <c r="X206" t="n">
        <v>1615</v>
      </c>
      <c r="Y206" t="n">
        <v>7850</v>
      </c>
    </row>
    <row r="207">
      <c r="A207" t="n">
        <v>206</v>
      </c>
      <c r="B207" t="n">
        <v>0</v>
      </c>
      <c r="C207" t="n">
        <v>21826</v>
      </c>
      <c r="D207" t="n">
        <v>59305</v>
      </c>
      <c r="E207" t="n">
        <v>434368</v>
      </c>
      <c r="F207" t="n">
        <v>3140766</v>
      </c>
      <c r="G207" t="n">
        <v>22267999</v>
      </c>
      <c r="H207" t="n">
        <v>155342446</v>
      </c>
      <c r="I207" t="n">
        <v>1063016403</v>
      </c>
      <c r="J207" t="n">
        <v>2000</v>
      </c>
      <c r="K207" t="n">
        <v>20896</v>
      </c>
      <c r="L207" t="n">
        <v>2500</v>
      </c>
      <c r="M207" t="n">
        <v>1100</v>
      </c>
      <c r="N207" t="n">
        <v>2030</v>
      </c>
      <c r="O207" t="n">
        <v>3060</v>
      </c>
      <c r="P207" t="n">
        <v>4090</v>
      </c>
      <c r="Q207" t="n">
        <v>5120</v>
      </c>
      <c r="R207" t="n">
        <v>6150</v>
      </c>
      <c r="S207" t="n">
        <v>7180</v>
      </c>
      <c r="T207" t="n">
        <v>8210</v>
      </c>
      <c r="U207" t="n">
        <v>9240</v>
      </c>
      <c r="V207" t="n">
        <v>4392</v>
      </c>
      <c r="W207" t="n">
        <v>1824</v>
      </c>
      <c r="X207" t="n">
        <v>1618</v>
      </c>
      <c r="Y207" t="n">
        <v>7860</v>
      </c>
    </row>
    <row r="208">
      <c r="A208" t="n">
        <v>207</v>
      </c>
      <c r="B208" t="n">
        <v>0</v>
      </c>
      <c r="C208" t="n">
        <v>22154</v>
      </c>
      <c r="D208" t="n">
        <v>60492</v>
      </c>
      <c r="E208" t="n">
        <v>447400</v>
      </c>
      <c r="F208" t="n">
        <v>3266397</v>
      </c>
      <c r="G208" t="n">
        <v>23381399</v>
      </c>
      <c r="H208" t="n">
        <v>164662993</v>
      </c>
      <c r="I208" t="n">
        <v>1137427552</v>
      </c>
      <c r="J208" t="n">
        <v>2000</v>
      </c>
      <c r="K208" t="n">
        <v>21105</v>
      </c>
      <c r="L208" t="n">
        <v>2500</v>
      </c>
      <c r="M208" t="n">
        <v>1100</v>
      </c>
      <c r="N208" t="n">
        <v>2035</v>
      </c>
      <c r="O208" t="n">
        <v>3070</v>
      </c>
      <c r="P208" t="n">
        <v>4105</v>
      </c>
      <c r="Q208" t="n">
        <v>5140</v>
      </c>
      <c r="R208" t="n">
        <v>6175</v>
      </c>
      <c r="S208" t="n">
        <v>7210</v>
      </c>
      <c r="T208" t="n">
        <v>8245</v>
      </c>
      <c r="U208" t="n">
        <v>9280</v>
      </c>
      <c r="V208" t="n">
        <v>4418</v>
      </c>
      <c r="W208" t="n">
        <v>1828</v>
      </c>
      <c r="X208" t="n">
        <v>1621</v>
      </c>
      <c r="Y208" t="n">
        <v>7870</v>
      </c>
    </row>
    <row r="209">
      <c r="A209" t="n">
        <v>208</v>
      </c>
      <c r="B209" t="n">
        <v>0</v>
      </c>
      <c r="C209" t="n">
        <v>22487</v>
      </c>
      <c r="D209" t="n">
        <v>61702</v>
      </c>
      <c r="E209" t="n">
        <v>460822</v>
      </c>
      <c r="F209" t="n">
        <v>3397053</v>
      </c>
      <c r="G209" t="n">
        <v>24550469</v>
      </c>
      <c r="H209" t="n">
        <v>174542773</v>
      </c>
      <c r="I209" t="n">
        <v>1217047481</v>
      </c>
      <c r="J209" t="n">
        <v>2000</v>
      </c>
      <c r="K209" t="n">
        <v>21317</v>
      </c>
      <c r="L209" t="n">
        <v>2500</v>
      </c>
      <c r="M209" t="n">
        <v>1100</v>
      </c>
      <c r="N209" t="n">
        <v>2040</v>
      </c>
      <c r="O209" t="n">
        <v>3080</v>
      </c>
      <c r="P209" t="n">
        <v>4120</v>
      </c>
      <c r="Q209" t="n">
        <v>5160</v>
      </c>
      <c r="R209" t="n">
        <v>6200</v>
      </c>
      <c r="S209" t="n">
        <v>7240</v>
      </c>
      <c r="T209" t="n">
        <v>8280</v>
      </c>
      <c r="U209" t="n">
        <v>9320</v>
      </c>
      <c r="V209" t="n">
        <v>4445</v>
      </c>
      <c r="W209" t="n">
        <v>1832</v>
      </c>
      <c r="X209" t="n">
        <v>1624</v>
      </c>
      <c r="Y209" t="n">
        <v>7880</v>
      </c>
    </row>
    <row r="210">
      <c r="A210" t="n">
        <v>209</v>
      </c>
      <c r="B210" t="n">
        <v>0</v>
      </c>
      <c r="C210" t="n">
        <v>22825</v>
      </c>
      <c r="D210" t="n">
        <v>62937</v>
      </c>
      <c r="E210" t="n">
        <v>474647</v>
      </c>
      <c r="F210" t="n">
        <v>3532936</v>
      </c>
      <c r="G210" t="n">
        <v>25777993</v>
      </c>
      <c r="H210" t="n">
        <v>185015340</v>
      </c>
      <c r="I210" t="n">
        <v>1302240805</v>
      </c>
      <c r="J210" t="n">
        <v>2000</v>
      </c>
      <c r="K210" t="n">
        <v>21531</v>
      </c>
      <c r="L210" t="n">
        <v>2500</v>
      </c>
      <c r="M210" t="n">
        <v>1100</v>
      </c>
      <c r="N210" t="n">
        <v>2045</v>
      </c>
      <c r="O210" t="n">
        <v>3090</v>
      </c>
      <c r="P210" t="n">
        <v>4135</v>
      </c>
      <c r="Q210" t="n">
        <v>5180</v>
      </c>
      <c r="R210" t="n">
        <v>6225</v>
      </c>
      <c r="S210" t="n">
        <v>7270</v>
      </c>
      <c r="T210" t="n">
        <v>8315</v>
      </c>
      <c r="U210" t="n">
        <v>9360</v>
      </c>
      <c r="V210" t="n">
        <v>4472</v>
      </c>
      <c r="W210" t="n">
        <v>1836</v>
      </c>
      <c r="X210" t="n">
        <v>1627</v>
      </c>
      <c r="Y210" t="n">
        <v>7890</v>
      </c>
    </row>
    <row r="211">
      <c r="A211" t="n">
        <v>210</v>
      </c>
      <c r="B211" t="n">
        <v>0</v>
      </c>
      <c r="C211" t="n">
        <v>23168</v>
      </c>
      <c r="D211" t="n">
        <v>64196</v>
      </c>
      <c r="E211" t="n">
        <v>488887</v>
      </c>
      <c r="F211" t="n">
        <v>3674254</v>
      </c>
      <c r="G211" t="n">
        <v>27066893</v>
      </c>
      <c r="H211" t="n">
        <v>196116261</v>
      </c>
      <c r="I211" t="n">
        <v>1393397662</v>
      </c>
      <c r="J211" t="n">
        <v>2000</v>
      </c>
      <c r="K211" t="n">
        <v>21747</v>
      </c>
      <c r="L211" t="n">
        <v>2500</v>
      </c>
      <c r="M211" t="n">
        <v>1100</v>
      </c>
      <c r="N211" t="n">
        <v>2050</v>
      </c>
      <c r="O211" t="n">
        <v>3100</v>
      </c>
      <c r="P211" t="n">
        <v>4150</v>
      </c>
      <c r="Q211" t="n">
        <v>5200</v>
      </c>
      <c r="R211" t="n">
        <v>6250</v>
      </c>
      <c r="S211" t="n">
        <v>7300</v>
      </c>
      <c r="T211" t="n">
        <v>8350</v>
      </c>
      <c r="U211" t="n">
        <v>9400</v>
      </c>
      <c r="V211" t="n">
        <v>4499</v>
      </c>
      <c r="W211" t="n">
        <v>1840</v>
      </c>
      <c r="X211" t="n">
        <v>1630</v>
      </c>
      <c r="Y211" t="n">
        <v>7900</v>
      </c>
    </row>
    <row r="212">
      <c r="A212" t="n">
        <v>211</v>
      </c>
      <c r="B212" t="n">
        <v>0</v>
      </c>
      <c r="C212" t="n">
        <v>23516</v>
      </c>
      <c r="D212" t="n">
        <v>65480</v>
      </c>
      <c r="E212" t="n">
        <v>503554</v>
      </c>
      <c r="F212" t="n">
        <v>3821225</v>
      </c>
      <c r="G212" t="n">
        <v>28420238</v>
      </c>
      <c r="H212" t="n">
        <v>207883237</v>
      </c>
      <c r="I212" t="n">
        <v>1490935499</v>
      </c>
      <c r="J212" t="n">
        <v>2000</v>
      </c>
      <c r="K212" t="n">
        <v>21965</v>
      </c>
      <c r="L212" t="n">
        <v>2500</v>
      </c>
      <c r="M212" t="n">
        <v>1100</v>
      </c>
      <c r="N212" t="n">
        <v>2055</v>
      </c>
      <c r="O212" t="n">
        <v>3110</v>
      </c>
      <c r="P212" t="n">
        <v>4165</v>
      </c>
      <c r="Q212" t="n">
        <v>5220</v>
      </c>
      <c r="R212" t="n">
        <v>6275</v>
      </c>
      <c r="S212" t="n">
        <v>7330</v>
      </c>
      <c r="T212" t="n">
        <v>8385</v>
      </c>
      <c r="U212" t="n">
        <v>9440</v>
      </c>
      <c r="V212" t="n">
        <v>4526</v>
      </c>
      <c r="W212" t="n">
        <v>1844</v>
      </c>
      <c r="X212" t="n">
        <v>1633</v>
      </c>
      <c r="Y212" t="n">
        <v>7910</v>
      </c>
    </row>
    <row r="213">
      <c r="A213" t="n">
        <v>212</v>
      </c>
      <c r="B213" t="n">
        <v>0</v>
      </c>
      <c r="C213" t="n">
        <v>23869</v>
      </c>
      <c r="D213" t="n">
        <v>66790</v>
      </c>
      <c r="E213" t="n">
        <v>518661</v>
      </c>
      <c r="F213" t="n">
        <v>3974074</v>
      </c>
      <c r="G213" t="n">
        <v>29841250</v>
      </c>
      <c r="H213" t="n">
        <v>220356232</v>
      </c>
      <c r="I213" t="n">
        <v>1595300984</v>
      </c>
      <c r="J213" t="n">
        <v>2000</v>
      </c>
      <c r="K213" t="n">
        <v>22185</v>
      </c>
      <c r="L213" t="n">
        <v>2500</v>
      </c>
      <c r="M213" t="n">
        <v>1100</v>
      </c>
      <c r="N213" t="n">
        <v>2060</v>
      </c>
      <c r="O213" t="n">
        <v>3120</v>
      </c>
      <c r="P213" t="n">
        <v>4180</v>
      </c>
      <c r="Q213" t="n">
        <v>5240</v>
      </c>
      <c r="R213" t="n">
        <v>6300</v>
      </c>
      <c r="S213" t="n">
        <v>7360</v>
      </c>
      <c r="T213" t="n">
        <v>8420</v>
      </c>
      <c r="U213" t="n">
        <v>9480</v>
      </c>
      <c r="V213" t="n">
        <v>4553</v>
      </c>
      <c r="W213" t="n">
        <v>1848</v>
      </c>
      <c r="X213" t="n">
        <v>1636</v>
      </c>
      <c r="Y213" t="n">
        <v>7920</v>
      </c>
    </row>
    <row r="214">
      <c r="A214" t="n">
        <v>213</v>
      </c>
      <c r="B214" t="n">
        <v>0</v>
      </c>
      <c r="C214" t="n">
        <v>24228</v>
      </c>
      <c r="D214" t="n">
        <v>68126</v>
      </c>
      <c r="E214" t="n">
        <v>534221</v>
      </c>
      <c r="F214" t="n">
        <v>4133037</v>
      </c>
      <c r="G214" t="n">
        <v>31333313</v>
      </c>
      <c r="H214" t="n">
        <v>233577606</v>
      </c>
      <c r="I214" t="n">
        <v>1706972053</v>
      </c>
      <c r="J214" t="n">
        <v>2000</v>
      </c>
      <c r="K214" t="n">
        <v>22407</v>
      </c>
      <c r="L214" t="n">
        <v>2500</v>
      </c>
      <c r="M214" t="n">
        <v>1100</v>
      </c>
      <c r="N214" t="n">
        <v>2065</v>
      </c>
      <c r="O214" t="n">
        <v>3130</v>
      </c>
      <c r="P214" t="n">
        <v>4195</v>
      </c>
      <c r="Q214" t="n">
        <v>5260</v>
      </c>
      <c r="R214" t="n">
        <v>6325</v>
      </c>
      <c r="S214" t="n">
        <v>7390</v>
      </c>
      <c r="T214" t="n">
        <v>8455</v>
      </c>
      <c r="U214" t="n">
        <v>9520</v>
      </c>
      <c r="V214" t="n">
        <v>4580</v>
      </c>
      <c r="W214" t="n">
        <v>1852</v>
      </c>
      <c r="X214" t="n">
        <v>1639</v>
      </c>
      <c r="Y214" t="n">
        <v>7930</v>
      </c>
    </row>
    <row r="215">
      <c r="A215" t="n">
        <v>214</v>
      </c>
      <c r="B215" t="n">
        <v>0</v>
      </c>
      <c r="C215" t="n">
        <v>24592</v>
      </c>
      <c r="D215" t="n">
        <v>69489</v>
      </c>
      <c r="E215" t="n">
        <v>550248</v>
      </c>
      <c r="F215" t="n">
        <v>4298359</v>
      </c>
      <c r="G215" t="n">
        <v>32899979</v>
      </c>
      <c r="H215" t="n">
        <v>247592263</v>
      </c>
      <c r="I215" t="n">
        <v>1826460097</v>
      </c>
      <c r="J215" t="n">
        <v>2000</v>
      </c>
      <c r="K215" t="n">
        <v>22632</v>
      </c>
      <c r="L215" t="n">
        <v>2500</v>
      </c>
      <c r="M215" t="n">
        <v>1100</v>
      </c>
      <c r="N215" t="n">
        <v>2070</v>
      </c>
      <c r="O215" t="n">
        <v>3140</v>
      </c>
      <c r="P215" t="n">
        <v>4210</v>
      </c>
      <c r="Q215" t="n">
        <v>5280</v>
      </c>
      <c r="R215" t="n">
        <v>6350</v>
      </c>
      <c r="S215" t="n">
        <v>7420</v>
      </c>
      <c r="T215" t="n">
        <v>8490</v>
      </c>
      <c r="U215" t="n">
        <v>9560</v>
      </c>
      <c r="V215" t="n">
        <v>4607</v>
      </c>
      <c r="W215" t="n">
        <v>1856</v>
      </c>
      <c r="X215" t="n">
        <v>1642</v>
      </c>
      <c r="Y215" t="n">
        <v>7940</v>
      </c>
    </row>
    <row r="216">
      <c r="A216" t="n">
        <v>215</v>
      </c>
      <c r="B216" t="n">
        <v>0</v>
      </c>
      <c r="C216" t="n">
        <v>24961</v>
      </c>
      <c r="D216" t="n">
        <v>70879</v>
      </c>
      <c r="E216" t="n">
        <v>566756</v>
      </c>
      <c r="F216" t="n">
        <v>4470294</v>
      </c>
      <c r="G216" t="n">
        <v>34544978</v>
      </c>
      <c r="H216" t="n">
        <v>262447799</v>
      </c>
      <c r="I216" t="n">
        <v>1954312304</v>
      </c>
      <c r="J216" t="n">
        <v>2000</v>
      </c>
      <c r="K216" t="n">
        <v>22859</v>
      </c>
      <c r="L216" t="n">
        <v>2500</v>
      </c>
      <c r="M216" t="n">
        <v>1100</v>
      </c>
      <c r="N216" t="n">
        <v>2075</v>
      </c>
      <c r="O216" t="n">
        <v>3150</v>
      </c>
      <c r="P216" t="n">
        <v>4225</v>
      </c>
      <c r="Q216" t="n">
        <v>5300</v>
      </c>
      <c r="R216" t="n">
        <v>6375</v>
      </c>
      <c r="S216" t="n">
        <v>7450</v>
      </c>
      <c r="T216" t="n">
        <v>8525</v>
      </c>
      <c r="U216" t="n">
        <v>9600</v>
      </c>
      <c r="V216" t="n">
        <v>4635</v>
      </c>
      <c r="W216" t="n">
        <v>1860</v>
      </c>
      <c r="X216" t="n">
        <v>1645</v>
      </c>
      <c r="Y216" t="n">
        <v>7950</v>
      </c>
    </row>
    <row r="217">
      <c r="A217" t="n">
        <v>216</v>
      </c>
      <c r="B217" t="n">
        <v>0</v>
      </c>
      <c r="C217" t="n">
        <v>25336</v>
      </c>
      <c r="D217" t="n">
        <v>72297</v>
      </c>
      <c r="E217" t="n">
        <v>583759</v>
      </c>
      <c r="F217" t="n">
        <v>4649106</v>
      </c>
      <c r="G217" t="n">
        <v>36272227</v>
      </c>
      <c r="H217" t="n">
        <v>278194667</v>
      </c>
      <c r="I217" t="n">
        <v>2091114166</v>
      </c>
      <c r="J217" t="n">
        <v>2000</v>
      </c>
      <c r="K217" t="n">
        <v>23088</v>
      </c>
      <c r="L217" t="n">
        <v>2500</v>
      </c>
      <c r="M217" t="n">
        <v>1100</v>
      </c>
      <c r="N217" t="n">
        <v>2080</v>
      </c>
      <c r="O217" t="n">
        <v>3160</v>
      </c>
      <c r="P217" t="n">
        <v>4240</v>
      </c>
      <c r="Q217" t="n">
        <v>5320</v>
      </c>
      <c r="R217" t="n">
        <v>6400</v>
      </c>
      <c r="S217" t="n">
        <v>7480</v>
      </c>
      <c r="T217" t="n">
        <v>8560</v>
      </c>
      <c r="U217" t="n">
        <v>9640</v>
      </c>
      <c r="V217" t="n">
        <v>4663</v>
      </c>
      <c r="W217" t="n">
        <v>1864</v>
      </c>
      <c r="X217" t="n">
        <v>1648</v>
      </c>
      <c r="Y217" t="n">
        <v>7960</v>
      </c>
    </row>
    <row r="218">
      <c r="A218" t="n">
        <v>217</v>
      </c>
      <c r="B218" t="n">
        <v>0</v>
      </c>
      <c r="C218" t="n">
        <v>25717</v>
      </c>
      <c r="D218" t="n">
        <v>73743</v>
      </c>
      <c r="E218" t="n">
        <v>601272</v>
      </c>
      <c r="F218" t="n">
        <v>4835071</v>
      </c>
      <c r="G218" t="n">
        <v>38085839</v>
      </c>
      <c r="H218" t="n">
        <v>294886348</v>
      </c>
      <c r="I218" t="n">
        <v>2237492158</v>
      </c>
      <c r="J218" t="n">
        <v>2000</v>
      </c>
      <c r="K218" t="n">
        <v>23319</v>
      </c>
      <c r="L218" t="n">
        <v>2500</v>
      </c>
      <c r="M218" t="n">
        <v>1100</v>
      </c>
      <c r="N218" t="n">
        <v>2085</v>
      </c>
      <c r="O218" t="n">
        <v>3170</v>
      </c>
      <c r="P218" t="n">
        <v>4255</v>
      </c>
      <c r="Q218" t="n">
        <v>5340</v>
      </c>
      <c r="R218" t="n">
        <v>6425</v>
      </c>
      <c r="S218" t="n">
        <v>7510</v>
      </c>
      <c r="T218" t="n">
        <v>8595</v>
      </c>
      <c r="U218" t="n">
        <v>9680</v>
      </c>
      <c r="V218" t="n">
        <v>4691</v>
      </c>
      <c r="W218" t="n">
        <v>1868</v>
      </c>
      <c r="X218" t="n">
        <v>1651</v>
      </c>
      <c r="Y218" t="n">
        <v>7970</v>
      </c>
    </row>
    <row r="219">
      <c r="A219" t="n">
        <v>218</v>
      </c>
      <c r="B219" t="n">
        <v>0</v>
      </c>
      <c r="C219" t="n">
        <v>26103</v>
      </c>
      <c r="D219" t="n">
        <v>75218</v>
      </c>
      <c r="E219" t="n">
        <v>619311</v>
      </c>
      <c r="F219" t="n">
        <v>5028474</v>
      </c>
      <c r="G219" t="n">
        <v>39990131</v>
      </c>
      <c r="H219" t="n">
        <v>312579529</v>
      </c>
      <c r="I219" t="n">
        <v>2394116610</v>
      </c>
      <c r="J219" t="n">
        <v>2000</v>
      </c>
      <c r="K219" t="n">
        <v>23553</v>
      </c>
      <c r="L219" t="n">
        <v>2500</v>
      </c>
      <c r="M219" t="n">
        <v>1100</v>
      </c>
      <c r="N219" t="n">
        <v>2090</v>
      </c>
      <c r="O219" t="n">
        <v>3180</v>
      </c>
      <c r="P219" t="n">
        <v>4270</v>
      </c>
      <c r="Q219" t="n">
        <v>5360</v>
      </c>
      <c r="R219" t="n">
        <v>6450</v>
      </c>
      <c r="S219" t="n">
        <v>7540</v>
      </c>
      <c r="T219" t="n">
        <v>8630</v>
      </c>
      <c r="U219" t="n">
        <v>9720</v>
      </c>
      <c r="V219" t="n">
        <v>4719</v>
      </c>
      <c r="W219" t="n">
        <v>1872</v>
      </c>
      <c r="X219" t="n">
        <v>1654</v>
      </c>
      <c r="Y219" t="n">
        <v>7980</v>
      </c>
    </row>
    <row r="220">
      <c r="A220" t="n">
        <v>219</v>
      </c>
      <c r="B220" t="n">
        <v>0</v>
      </c>
      <c r="C220" t="n">
        <v>26495</v>
      </c>
      <c r="D220" t="n">
        <v>76723</v>
      </c>
      <c r="E220" t="n">
        <v>637891</v>
      </c>
      <c r="F220" t="n">
        <v>5229613</v>
      </c>
      <c r="G220" t="n">
        <v>41989638</v>
      </c>
      <c r="H220" t="n">
        <v>331334301</v>
      </c>
      <c r="I220" t="n">
        <v>2561704773</v>
      </c>
      <c r="J220" t="n">
        <v>2000</v>
      </c>
      <c r="K220" t="n">
        <v>23789</v>
      </c>
      <c r="L220" t="n">
        <v>2500</v>
      </c>
      <c r="M220" t="n">
        <v>1100</v>
      </c>
      <c r="N220" t="n">
        <v>2095</v>
      </c>
      <c r="O220" t="n">
        <v>3190</v>
      </c>
      <c r="P220" t="n">
        <v>4285</v>
      </c>
      <c r="Q220" t="n">
        <v>5380</v>
      </c>
      <c r="R220" t="n">
        <v>6475</v>
      </c>
      <c r="S220" t="n">
        <v>7570</v>
      </c>
      <c r="T220" t="n">
        <v>8665</v>
      </c>
      <c r="U220" t="n">
        <v>9760</v>
      </c>
      <c r="V220" t="n">
        <v>4747</v>
      </c>
      <c r="W220" t="n">
        <v>1876</v>
      </c>
      <c r="X220" t="n">
        <v>1657</v>
      </c>
      <c r="Y220" t="n">
        <v>7990</v>
      </c>
    </row>
    <row r="221">
      <c r="A221" t="n">
        <v>220</v>
      </c>
      <c r="B221" t="n">
        <v>0</v>
      </c>
      <c r="C221" t="n">
        <v>26893</v>
      </c>
      <c r="D221" t="n">
        <v>78258</v>
      </c>
      <c r="E221" t="n">
        <v>657028</v>
      </c>
      <c r="F221" t="n">
        <v>5438798</v>
      </c>
      <c r="G221" t="n">
        <v>44089120</v>
      </c>
      <c r="H221" t="n">
        <v>351214360</v>
      </c>
      <c r="I221" t="n">
        <v>2741024108</v>
      </c>
      <c r="J221" t="n">
        <v>2000</v>
      </c>
      <c r="K221" t="n">
        <v>24027</v>
      </c>
      <c r="L221" t="n">
        <v>2500</v>
      </c>
      <c r="M221" t="n">
        <v>1100</v>
      </c>
      <c r="N221" t="n">
        <v>2100</v>
      </c>
      <c r="O221" t="n">
        <v>3200</v>
      </c>
      <c r="P221" t="n">
        <v>4300</v>
      </c>
      <c r="Q221" t="n">
        <v>5400</v>
      </c>
      <c r="R221" t="n">
        <v>6500</v>
      </c>
      <c r="S221" t="n">
        <v>7600</v>
      </c>
      <c r="T221" t="n">
        <v>8700</v>
      </c>
      <c r="U221" t="n">
        <v>9800</v>
      </c>
      <c r="V221" t="n">
        <v>4775</v>
      </c>
      <c r="W221" t="n">
        <v>1880</v>
      </c>
      <c r="X221" t="n">
        <v>1660</v>
      </c>
      <c r="Y221" t="n">
        <v>8000</v>
      </c>
    </row>
    <row r="222">
      <c r="A222" t="n">
        <v>221</v>
      </c>
      <c r="B222" t="n">
        <v>0</v>
      </c>
      <c r="C222" t="n">
        <v>27297</v>
      </c>
      <c r="D222" t="n">
        <v>79824</v>
      </c>
      <c r="E222" t="n">
        <v>676739</v>
      </c>
      <c r="F222" t="n">
        <v>5656350</v>
      </c>
      <c r="G222" t="n">
        <v>46293576</v>
      </c>
      <c r="H222" t="n">
        <v>372287222</v>
      </c>
      <c r="I222" t="n">
        <v>2932895796</v>
      </c>
      <c r="J222" t="n">
        <v>2000</v>
      </c>
      <c r="K222" t="n">
        <v>24268</v>
      </c>
      <c r="L222" t="n">
        <v>2500</v>
      </c>
      <c r="M222" t="n">
        <v>1100</v>
      </c>
      <c r="N222" t="n">
        <v>2105</v>
      </c>
      <c r="O222" t="n">
        <v>3210</v>
      </c>
      <c r="P222" t="n">
        <v>4315</v>
      </c>
      <c r="Q222" t="n">
        <v>5420</v>
      </c>
      <c r="R222" t="n">
        <v>6525</v>
      </c>
      <c r="S222" t="n">
        <v>7630</v>
      </c>
      <c r="T222" t="n">
        <v>8735</v>
      </c>
      <c r="U222" t="n">
        <v>9840</v>
      </c>
      <c r="V222" t="n">
        <v>4803</v>
      </c>
      <c r="W222" t="n">
        <v>1884</v>
      </c>
      <c r="X222" t="n">
        <v>1663</v>
      </c>
      <c r="Y222" t="n">
        <v>8010</v>
      </c>
    </row>
    <row r="223">
      <c r="A223" t="n">
        <v>222</v>
      </c>
      <c r="B223" t="n">
        <v>0</v>
      </c>
      <c r="C223" t="n">
        <v>27707</v>
      </c>
      <c r="D223" t="n">
        <v>81421</v>
      </c>
      <c r="E223" t="n">
        <v>697042</v>
      </c>
      <c r="F223" t="n">
        <v>5882604</v>
      </c>
      <c r="G223" t="n">
        <v>48608255</v>
      </c>
      <c r="H223" t="n">
        <v>394624456</v>
      </c>
      <c r="I223" t="n">
        <v>3138198502</v>
      </c>
      <c r="J223" t="n">
        <v>2000</v>
      </c>
      <c r="K223" t="n">
        <v>24511</v>
      </c>
      <c r="L223" t="n">
        <v>2500</v>
      </c>
      <c r="M223" t="n">
        <v>1100</v>
      </c>
      <c r="N223" t="n">
        <v>2110</v>
      </c>
      <c r="O223" t="n">
        <v>3220</v>
      </c>
      <c r="P223" t="n">
        <v>4330</v>
      </c>
      <c r="Q223" t="n">
        <v>5440</v>
      </c>
      <c r="R223" t="n">
        <v>6550</v>
      </c>
      <c r="S223" t="n">
        <v>7660</v>
      </c>
      <c r="T223" t="n">
        <v>8770</v>
      </c>
      <c r="U223" t="n">
        <v>9880</v>
      </c>
      <c r="V223" t="n">
        <v>4832</v>
      </c>
      <c r="W223" t="n">
        <v>1888</v>
      </c>
      <c r="X223" t="n">
        <v>1666</v>
      </c>
      <c r="Y223" t="n">
        <v>8020</v>
      </c>
    </row>
    <row r="224">
      <c r="A224" t="n">
        <v>223</v>
      </c>
      <c r="B224" t="n">
        <v>0</v>
      </c>
      <c r="C224" t="n">
        <v>28123</v>
      </c>
      <c r="D224" t="n">
        <v>83050</v>
      </c>
      <c r="E224" t="n">
        <v>717954</v>
      </c>
      <c r="F224" t="n">
        <v>6117909</v>
      </c>
      <c r="G224" t="n">
        <v>51038668</v>
      </c>
      <c r="H224" t="n">
        <v>418301924</v>
      </c>
      <c r="I224" t="n">
        <v>3357872398</v>
      </c>
      <c r="J224" t="n">
        <v>2000</v>
      </c>
      <c r="K224" t="n">
        <v>24757</v>
      </c>
      <c r="L224" t="n">
        <v>2500</v>
      </c>
      <c r="M224" t="n">
        <v>1100</v>
      </c>
      <c r="N224" t="n">
        <v>2115</v>
      </c>
      <c r="O224" t="n">
        <v>3230</v>
      </c>
      <c r="P224" t="n">
        <v>4345</v>
      </c>
      <c r="Q224" t="n">
        <v>5460</v>
      </c>
      <c r="R224" t="n">
        <v>6575</v>
      </c>
      <c r="S224" t="n">
        <v>7690</v>
      </c>
      <c r="T224" t="n">
        <v>8805</v>
      </c>
      <c r="U224" t="n">
        <v>9920</v>
      </c>
      <c r="V224" t="n">
        <v>4861</v>
      </c>
      <c r="W224" t="n">
        <v>1892</v>
      </c>
      <c r="X224" t="n">
        <v>1669</v>
      </c>
      <c r="Y224" t="n">
        <v>8030</v>
      </c>
    </row>
    <row r="225">
      <c r="A225" t="n">
        <v>224</v>
      </c>
      <c r="B225" t="n">
        <v>0</v>
      </c>
      <c r="C225" t="n">
        <v>28545</v>
      </c>
      <c r="D225" t="n">
        <v>84711</v>
      </c>
      <c r="E225" t="n">
        <v>739493</v>
      </c>
      <c r="F225" t="n">
        <v>6362626</v>
      </c>
      <c r="G225" t="n">
        <v>53590602</v>
      </c>
      <c r="H225" t="n">
        <v>443400040</v>
      </c>
      <c r="I225" t="n">
        <v>3592923466</v>
      </c>
      <c r="J225" t="n">
        <v>2000</v>
      </c>
      <c r="K225" t="n">
        <v>25005</v>
      </c>
      <c r="L225" t="n">
        <v>2500</v>
      </c>
      <c r="M225" t="n">
        <v>1100</v>
      </c>
      <c r="N225" t="n">
        <v>2120</v>
      </c>
      <c r="O225" t="n">
        <v>3240</v>
      </c>
      <c r="P225" t="n">
        <v>4360</v>
      </c>
      <c r="Q225" t="n">
        <v>5480</v>
      </c>
      <c r="R225" t="n">
        <v>6600</v>
      </c>
      <c r="S225" t="n">
        <v>7720</v>
      </c>
      <c r="T225" t="n">
        <v>8840</v>
      </c>
      <c r="U225" t="n">
        <v>9960</v>
      </c>
      <c r="V225" t="n">
        <v>4890</v>
      </c>
      <c r="W225" t="n">
        <v>1896</v>
      </c>
      <c r="X225" t="n">
        <v>1672</v>
      </c>
      <c r="Y225" t="n">
        <v>8040</v>
      </c>
    </row>
    <row r="226">
      <c r="A226" t="n">
        <v>225</v>
      </c>
      <c r="B226" t="n">
        <v>0</v>
      </c>
      <c r="C226" t="n">
        <v>28974</v>
      </c>
      <c r="D226" t="n">
        <v>86406</v>
      </c>
      <c r="E226" t="n">
        <v>761678</v>
      </c>
      <c r="F226" t="n">
        <v>6617132</v>
      </c>
      <c r="G226" t="n">
        <v>56270133</v>
      </c>
      <c r="H226" t="n">
        <v>470004043</v>
      </c>
      <c r="I226" t="n">
        <v>3844428109</v>
      </c>
      <c r="J226" t="n">
        <v>2000</v>
      </c>
      <c r="K226" t="n">
        <v>25256</v>
      </c>
      <c r="L226" t="n">
        <v>2500</v>
      </c>
      <c r="M226" t="n">
        <v>1100</v>
      </c>
      <c r="N226" t="n">
        <v>2125</v>
      </c>
      <c r="O226" t="n">
        <v>3250</v>
      </c>
      <c r="P226" t="n">
        <v>4375</v>
      </c>
      <c r="Q226" t="n">
        <v>5500</v>
      </c>
      <c r="R226" t="n">
        <v>6625</v>
      </c>
      <c r="S226" t="n">
        <v>7750</v>
      </c>
      <c r="T226" t="n">
        <v>8875</v>
      </c>
      <c r="U226" t="n">
        <v>10000</v>
      </c>
      <c r="V226" t="n">
        <v>4919</v>
      </c>
      <c r="W226" t="n">
        <v>1900</v>
      </c>
      <c r="X226" t="n">
        <v>1675</v>
      </c>
      <c r="Y226" t="n">
        <v>8050</v>
      </c>
    </row>
    <row r="227">
      <c r="A227" t="n">
        <v>226</v>
      </c>
      <c r="B227" t="n">
        <v>0</v>
      </c>
      <c r="C227" t="n">
        <v>29409</v>
      </c>
      <c r="D227" t="n">
        <v>88135</v>
      </c>
      <c r="E227" t="n">
        <v>784529</v>
      </c>
      <c r="F227" t="n">
        <v>6881818</v>
      </c>
      <c r="G227" t="n">
        <v>59083640</v>
      </c>
      <c r="H227" t="n">
        <v>498204286</v>
      </c>
      <c r="I227" t="n">
        <v>4113538077</v>
      </c>
      <c r="J227" t="n">
        <v>2000</v>
      </c>
      <c r="K227" t="n">
        <v>25509</v>
      </c>
      <c r="L227" t="n">
        <v>2500</v>
      </c>
      <c r="M227" t="n">
        <v>1100</v>
      </c>
      <c r="N227" t="n">
        <v>2130</v>
      </c>
      <c r="O227" t="n">
        <v>3260</v>
      </c>
      <c r="P227" t="n">
        <v>4390</v>
      </c>
      <c r="Q227" t="n">
        <v>5520</v>
      </c>
      <c r="R227" t="n">
        <v>6650</v>
      </c>
      <c r="S227" t="n">
        <v>7780</v>
      </c>
      <c r="T227" t="n">
        <v>8910</v>
      </c>
      <c r="U227" t="n">
        <v>10040</v>
      </c>
      <c r="V227" t="n">
        <v>4948</v>
      </c>
      <c r="W227" t="n">
        <v>1904</v>
      </c>
      <c r="X227" t="n">
        <v>1678</v>
      </c>
      <c r="Y227" t="n">
        <v>8060</v>
      </c>
    </row>
    <row r="228">
      <c r="A228" t="n">
        <v>227</v>
      </c>
      <c r="B228" t="n">
        <v>0</v>
      </c>
      <c r="C228" t="n">
        <v>29851</v>
      </c>
      <c r="D228" t="n">
        <v>89898</v>
      </c>
      <c r="E228" t="n">
        <v>808065</v>
      </c>
      <c r="F228" t="n">
        <v>7157091</v>
      </c>
      <c r="G228" t="n">
        <v>62037822</v>
      </c>
      <c r="H228" t="n">
        <v>528096544</v>
      </c>
      <c r="I228" t="n">
        <v>4401485743</v>
      </c>
      <c r="J228" t="n">
        <v>2000</v>
      </c>
      <c r="K228" t="n">
        <v>25765</v>
      </c>
      <c r="L228" t="n">
        <v>2500</v>
      </c>
      <c r="M228" t="n">
        <v>1100</v>
      </c>
      <c r="N228" t="n">
        <v>2135</v>
      </c>
      <c r="O228" t="n">
        <v>3270</v>
      </c>
      <c r="P228" t="n">
        <v>4405</v>
      </c>
      <c r="Q228" t="n">
        <v>5540</v>
      </c>
      <c r="R228" t="n">
        <v>6675</v>
      </c>
      <c r="S228" t="n">
        <v>7810</v>
      </c>
      <c r="T228" t="n">
        <v>8945</v>
      </c>
      <c r="U228" t="n">
        <v>10080</v>
      </c>
      <c r="V228" t="n">
        <v>4977</v>
      </c>
      <c r="W228" t="n">
        <v>1908</v>
      </c>
      <c r="X228" t="n">
        <v>1681</v>
      </c>
      <c r="Y228" t="n">
        <v>8070</v>
      </c>
    </row>
    <row r="229">
      <c r="A229" t="n">
        <v>228</v>
      </c>
      <c r="B229" t="n">
        <v>0</v>
      </c>
      <c r="C229" t="n">
        <v>30299</v>
      </c>
      <c r="D229" t="n">
        <v>91696</v>
      </c>
      <c r="E229" t="n">
        <v>832307</v>
      </c>
      <c r="F229" t="n">
        <v>7443375</v>
      </c>
      <c r="G229" t="n">
        <v>65139714</v>
      </c>
      <c r="H229" t="n">
        <v>559782337</v>
      </c>
      <c r="I229" t="n">
        <v>4709589746</v>
      </c>
      <c r="J229" t="n">
        <v>2000</v>
      </c>
      <c r="K229" t="n">
        <v>26023</v>
      </c>
      <c r="L229" t="n">
        <v>2500</v>
      </c>
      <c r="M229" t="n">
        <v>1100</v>
      </c>
      <c r="N229" t="n">
        <v>2140</v>
      </c>
      <c r="O229" t="n">
        <v>3280</v>
      </c>
      <c r="P229" t="n">
        <v>4420</v>
      </c>
      <c r="Q229" t="n">
        <v>5560</v>
      </c>
      <c r="R229" t="n">
        <v>6700</v>
      </c>
      <c r="S229" t="n">
        <v>7840</v>
      </c>
      <c r="T229" t="n">
        <v>8980</v>
      </c>
      <c r="U229" t="n">
        <v>10120</v>
      </c>
      <c r="V229" t="n">
        <v>5006</v>
      </c>
      <c r="W229" t="n">
        <v>1912</v>
      </c>
      <c r="X229" t="n">
        <v>1684</v>
      </c>
      <c r="Y229" t="n">
        <v>8080</v>
      </c>
    </row>
    <row r="230">
      <c r="A230" t="n">
        <v>229</v>
      </c>
      <c r="B230" t="n">
        <v>0</v>
      </c>
      <c r="C230" t="n">
        <v>30754</v>
      </c>
      <c r="D230" t="n">
        <v>93530</v>
      </c>
      <c r="E230" t="n">
        <v>857277</v>
      </c>
      <c r="F230" t="n">
        <v>7741110</v>
      </c>
      <c r="G230" t="n">
        <v>68396700</v>
      </c>
      <c r="H230" t="n">
        <v>593369278</v>
      </c>
      <c r="I230" t="n">
        <v>5039261029</v>
      </c>
      <c r="J230" t="n">
        <v>2000</v>
      </c>
      <c r="K230" t="n">
        <v>26284</v>
      </c>
      <c r="L230" t="n">
        <v>2500</v>
      </c>
      <c r="M230" t="n">
        <v>1100</v>
      </c>
      <c r="N230" t="n">
        <v>2145</v>
      </c>
      <c r="O230" t="n">
        <v>3290</v>
      </c>
      <c r="P230" t="n">
        <v>4435</v>
      </c>
      <c r="Q230" t="n">
        <v>5580</v>
      </c>
      <c r="R230" t="n">
        <v>6725</v>
      </c>
      <c r="S230" t="n">
        <v>7870</v>
      </c>
      <c r="T230" t="n">
        <v>9015</v>
      </c>
      <c r="U230" t="n">
        <v>10160</v>
      </c>
      <c r="V230" t="n">
        <v>5036</v>
      </c>
      <c r="W230" t="n">
        <v>1916</v>
      </c>
      <c r="X230" t="n">
        <v>1687</v>
      </c>
      <c r="Y230" t="n">
        <v>8090</v>
      </c>
    </row>
    <row r="231">
      <c r="A231" t="n">
        <v>230</v>
      </c>
      <c r="B231" t="n">
        <v>0</v>
      </c>
      <c r="C231" t="n">
        <v>31216</v>
      </c>
      <c r="D231" t="n">
        <v>95401</v>
      </c>
      <c r="E231" t="n">
        <v>882996</v>
      </c>
      <c r="F231" t="n">
        <v>8050755</v>
      </c>
      <c r="G231" t="n">
        <v>71816535</v>
      </c>
      <c r="H231" t="n">
        <v>628971435</v>
      </c>
      <c r="I231" t="n">
        <v>5392009302</v>
      </c>
      <c r="J231" t="n">
        <v>2000</v>
      </c>
      <c r="K231" t="n">
        <v>26547</v>
      </c>
      <c r="L231" t="n">
        <v>2500</v>
      </c>
      <c r="M231" t="n">
        <v>1100</v>
      </c>
      <c r="N231" t="n">
        <v>2150</v>
      </c>
      <c r="O231" t="n">
        <v>3300</v>
      </c>
      <c r="P231" t="n">
        <v>4450</v>
      </c>
      <c r="Q231" t="n">
        <v>5600</v>
      </c>
      <c r="R231" t="n">
        <v>6750</v>
      </c>
      <c r="S231" t="n">
        <v>7900</v>
      </c>
      <c r="T231" t="n">
        <v>9050</v>
      </c>
      <c r="U231" t="n">
        <v>10200</v>
      </c>
      <c r="V231" t="n">
        <v>5066</v>
      </c>
      <c r="W231" t="n">
        <v>1920</v>
      </c>
      <c r="X231" t="n">
        <v>1690</v>
      </c>
      <c r="Y231" t="n">
        <v>8100</v>
      </c>
    </row>
    <row r="232">
      <c r="A232" t="n">
        <v>231</v>
      </c>
      <c r="B232" t="n">
        <v>0</v>
      </c>
      <c r="C232" t="n">
        <v>31685</v>
      </c>
      <c r="D232" t="n">
        <v>97310</v>
      </c>
      <c r="E232" t="n">
        <v>909486</v>
      </c>
      <c r="F232" t="n">
        <v>8372786</v>
      </c>
      <c r="G232" t="n">
        <v>75407362</v>
      </c>
      <c r="H232" t="n">
        <v>666709722</v>
      </c>
      <c r="I232" t="n">
        <v>5769449954</v>
      </c>
      <c r="J232" t="n">
        <v>2000</v>
      </c>
      <c r="K232" t="n">
        <v>26813</v>
      </c>
      <c r="L232" t="n">
        <v>2500</v>
      </c>
      <c r="M232" t="n">
        <v>1100</v>
      </c>
      <c r="N232" t="n">
        <v>2155</v>
      </c>
      <c r="O232" t="n">
        <v>3310</v>
      </c>
      <c r="P232" t="n">
        <v>4465</v>
      </c>
      <c r="Q232" t="n">
        <v>5620</v>
      </c>
      <c r="R232" t="n">
        <v>6775</v>
      </c>
      <c r="S232" t="n">
        <v>7930</v>
      </c>
      <c r="T232" t="n">
        <v>9085</v>
      </c>
      <c r="U232" t="n">
        <v>10240</v>
      </c>
      <c r="V232" t="n">
        <v>5096</v>
      </c>
      <c r="W232" t="n">
        <v>1924</v>
      </c>
      <c r="X232" t="n">
        <v>1693</v>
      </c>
      <c r="Y232" t="n">
        <v>8110</v>
      </c>
    </row>
    <row r="233">
      <c r="A233" t="n">
        <v>232</v>
      </c>
      <c r="B233" t="n">
        <v>0</v>
      </c>
      <c r="C233" t="n">
        <v>32161</v>
      </c>
      <c r="D233" t="n">
        <v>99257</v>
      </c>
      <c r="E233" t="n">
        <v>936771</v>
      </c>
      <c r="F233" t="n">
        <v>8707698</v>
      </c>
      <c r="G233" t="n">
        <v>79177731</v>
      </c>
      <c r="H233" t="n">
        <v>706712306</v>
      </c>
      <c r="I233" t="n">
        <v>6173311451</v>
      </c>
      <c r="J233" t="n">
        <v>2000</v>
      </c>
      <c r="K233" t="n">
        <v>27082</v>
      </c>
      <c r="L233" t="n">
        <v>2500</v>
      </c>
      <c r="M233" t="n">
        <v>1100</v>
      </c>
      <c r="N233" t="n">
        <v>2160</v>
      </c>
      <c r="O233" t="n">
        <v>3320</v>
      </c>
      <c r="P233" t="n">
        <v>4480</v>
      </c>
      <c r="Q233" t="n">
        <v>5640</v>
      </c>
      <c r="R233" t="n">
        <v>6800</v>
      </c>
      <c r="S233" t="n">
        <v>7960</v>
      </c>
      <c r="T233" t="n">
        <v>9120</v>
      </c>
      <c r="U233" t="n">
        <v>10280</v>
      </c>
      <c r="V233" t="n">
        <v>5126</v>
      </c>
      <c r="W233" t="n">
        <v>1928</v>
      </c>
      <c r="X233" t="n">
        <v>1696</v>
      </c>
      <c r="Y233" t="n">
        <v>8120</v>
      </c>
    </row>
    <row r="234">
      <c r="A234" t="n">
        <v>233</v>
      </c>
      <c r="B234" t="n">
        <v>0</v>
      </c>
      <c r="C234" t="n">
        <v>32644</v>
      </c>
      <c r="D234" t="n">
        <v>101243</v>
      </c>
      <c r="E234" t="n">
        <v>964875</v>
      </c>
      <c r="F234" t="n">
        <v>9056006</v>
      </c>
      <c r="G234" t="n">
        <v>83136618</v>
      </c>
      <c r="H234" t="n">
        <v>749115045</v>
      </c>
      <c r="I234" t="n">
        <v>6605443253</v>
      </c>
      <c r="J234" t="n">
        <v>2000</v>
      </c>
      <c r="K234" t="n">
        <v>27353</v>
      </c>
      <c r="L234" t="n">
        <v>2500</v>
      </c>
      <c r="M234" t="n">
        <v>1100</v>
      </c>
      <c r="N234" t="n">
        <v>2165</v>
      </c>
      <c r="O234" t="n">
        <v>3330</v>
      </c>
      <c r="P234" t="n">
        <v>4495</v>
      </c>
      <c r="Q234" t="n">
        <v>5660</v>
      </c>
      <c r="R234" t="n">
        <v>6825</v>
      </c>
      <c r="S234" t="n">
        <v>7990</v>
      </c>
      <c r="T234" t="n">
        <v>9155</v>
      </c>
      <c r="U234" t="n">
        <v>10320</v>
      </c>
      <c r="V234" t="n">
        <v>5156</v>
      </c>
      <c r="W234" t="n">
        <v>1932</v>
      </c>
      <c r="X234" t="n">
        <v>1699</v>
      </c>
      <c r="Y234" t="n">
        <v>8130</v>
      </c>
    </row>
    <row r="235">
      <c r="A235" t="n">
        <v>234</v>
      </c>
      <c r="B235" t="n">
        <v>0</v>
      </c>
      <c r="C235" t="n">
        <v>33134</v>
      </c>
      <c r="D235" t="n">
        <v>103268</v>
      </c>
      <c r="E235" t="n">
        <v>993822</v>
      </c>
      <c r="F235" t="n">
        <v>9418247</v>
      </c>
      <c r="G235" t="n">
        <v>87293449</v>
      </c>
      <c r="H235" t="n">
        <v>794061948</v>
      </c>
      <c r="I235" t="n">
        <v>7067824281</v>
      </c>
      <c r="J235" t="n">
        <v>2000</v>
      </c>
      <c r="K235" t="n">
        <v>27627</v>
      </c>
      <c r="L235" t="n">
        <v>2500</v>
      </c>
      <c r="M235" t="n">
        <v>1100</v>
      </c>
      <c r="N235" t="n">
        <v>2170</v>
      </c>
      <c r="O235" t="n">
        <v>3340</v>
      </c>
      <c r="P235" t="n">
        <v>4510</v>
      </c>
      <c r="Q235" t="n">
        <v>5680</v>
      </c>
      <c r="R235" t="n">
        <v>6850</v>
      </c>
      <c r="S235" t="n">
        <v>8020</v>
      </c>
      <c r="T235" t="n">
        <v>9190</v>
      </c>
      <c r="U235" t="n">
        <v>10360</v>
      </c>
      <c r="V235" t="n">
        <v>5186</v>
      </c>
      <c r="W235" t="n">
        <v>1936</v>
      </c>
      <c r="X235" t="n">
        <v>1702</v>
      </c>
      <c r="Y235" t="n">
        <v>8140</v>
      </c>
    </row>
    <row r="236">
      <c r="A236" t="n">
        <v>235</v>
      </c>
      <c r="B236" t="n">
        <v>0</v>
      </c>
      <c r="C236" t="n">
        <v>33632</v>
      </c>
      <c r="D236" t="n">
        <v>105334</v>
      </c>
      <c r="E236" t="n">
        <v>1023637</v>
      </c>
      <c r="F236" t="n">
        <v>9794977</v>
      </c>
      <c r="G236" t="n">
        <v>91658122</v>
      </c>
      <c r="H236" t="n">
        <v>841705665</v>
      </c>
      <c r="I236" t="n">
        <v>7562571981</v>
      </c>
      <c r="J236" t="n">
        <v>2000</v>
      </c>
      <c r="K236" t="n">
        <v>27904</v>
      </c>
      <c r="L236" t="n">
        <v>2500</v>
      </c>
      <c r="M236" t="n">
        <v>1100</v>
      </c>
      <c r="N236" t="n">
        <v>2175</v>
      </c>
      <c r="O236" t="n">
        <v>3350</v>
      </c>
      <c r="P236" t="n">
        <v>4525</v>
      </c>
      <c r="Q236" t="n">
        <v>5700</v>
      </c>
      <c r="R236" t="n">
        <v>6875</v>
      </c>
      <c r="S236" t="n">
        <v>8050</v>
      </c>
      <c r="T236" t="n">
        <v>9225</v>
      </c>
      <c r="U236" t="n">
        <v>10400</v>
      </c>
      <c r="V236" t="n">
        <v>5216</v>
      </c>
      <c r="W236" t="n">
        <v>1940</v>
      </c>
      <c r="X236" t="n">
        <v>1705</v>
      </c>
      <c r="Y236" t="n">
        <v>8150</v>
      </c>
    </row>
    <row r="237">
      <c r="A237" t="n">
        <v>236</v>
      </c>
      <c r="B237" t="n">
        <v>0</v>
      </c>
      <c r="C237" t="n">
        <v>34137</v>
      </c>
      <c r="D237" t="n">
        <v>107441</v>
      </c>
      <c r="E237" t="n">
        <v>1054347</v>
      </c>
      <c r="F237" t="n">
        <v>10186777</v>
      </c>
      <c r="G237" t="n">
        <v>96241029</v>
      </c>
      <c r="H237" t="n">
        <v>892208005</v>
      </c>
      <c r="I237" t="n">
        <v>8091952020</v>
      </c>
      <c r="J237" t="n">
        <v>2000</v>
      </c>
      <c r="K237" t="n">
        <v>28184</v>
      </c>
      <c r="L237" t="n">
        <v>2500</v>
      </c>
      <c r="M237" t="n">
        <v>1100</v>
      </c>
      <c r="N237" t="n">
        <v>2180</v>
      </c>
      <c r="O237" t="n">
        <v>3360</v>
      </c>
      <c r="P237" t="n">
        <v>4540</v>
      </c>
      <c r="Q237" t="n">
        <v>5720</v>
      </c>
      <c r="R237" t="n">
        <v>6900</v>
      </c>
      <c r="S237" t="n">
        <v>8080</v>
      </c>
      <c r="T237" t="n">
        <v>9260</v>
      </c>
      <c r="U237" t="n">
        <v>10440</v>
      </c>
      <c r="V237" t="n">
        <v>5247</v>
      </c>
      <c r="W237" t="n">
        <v>1944</v>
      </c>
      <c r="X237" t="n">
        <v>1708</v>
      </c>
      <c r="Y237" t="n">
        <v>8160</v>
      </c>
    </row>
    <row r="238">
      <c r="A238" t="n">
        <v>237</v>
      </c>
      <c r="B238" t="n">
        <v>0</v>
      </c>
      <c r="C238" t="n">
        <v>34650</v>
      </c>
      <c r="D238" t="n">
        <v>109590</v>
      </c>
      <c r="E238" t="n">
        <v>1085978</v>
      </c>
      <c r="F238" t="n">
        <v>10594249</v>
      </c>
      <c r="G238" t="n">
        <v>101053081</v>
      </c>
      <c r="H238" t="n">
        <v>945740486</v>
      </c>
      <c r="I238" t="n">
        <v>8658388662</v>
      </c>
      <c r="J238" t="n">
        <v>2000</v>
      </c>
      <c r="K238" t="n">
        <v>28466</v>
      </c>
      <c r="L238" t="n">
        <v>2500</v>
      </c>
      <c r="M238" t="n">
        <v>1100</v>
      </c>
      <c r="N238" t="n">
        <v>2185</v>
      </c>
      <c r="O238" t="n">
        <v>3370</v>
      </c>
      <c r="P238" t="n">
        <v>4555</v>
      </c>
      <c r="Q238" t="n">
        <v>5740</v>
      </c>
      <c r="R238" t="n">
        <v>6925</v>
      </c>
      <c r="S238" t="n">
        <v>8110</v>
      </c>
      <c r="T238" t="n">
        <v>9295</v>
      </c>
      <c r="U238" t="n">
        <v>10480</v>
      </c>
      <c r="V238" t="n">
        <v>5278</v>
      </c>
      <c r="W238" t="n">
        <v>1948</v>
      </c>
      <c r="X238" t="n">
        <v>1711</v>
      </c>
      <c r="Y238" t="n">
        <v>8170</v>
      </c>
    </row>
    <row r="239">
      <c r="A239" t="n">
        <v>238</v>
      </c>
      <c r="B239" t="n">
        <v>0</v>
      </c>
      <c r="C239" t="n">
        <v>35170</v>
      </c>
      <c r="D239" t="n">
        <v>111782</v>
      </c>
      <c r="E239" t="n">
        <v>1118558</v>
      </c>
      <c r="F239" t="n">
        <v>11018019</v>
      </c>
      <c r="G239" t="n">
        <v>106105736</v>
      </c>
      <c r="H239" t="n">
        <v>1002484916</v>
      </c>
      <c r="I239" t="n">
        <v>9264475869</v>
      </c>
      <c r="J239" t="n">
        <v>2000</v>
      </c>
      <c r="K239" t="n">
        <v>28751</v>
      </c>
      <c r="L239" t="n">
        <v>2500</v>
      </c>
      <c r="M239" t="n">
        <v>1100</v>
      </c>
      <c r="N239" t="n">
        <v>2190</v>
      </c>
      <c r="O239" t="n">
        <v>3380</v>
      </c>
      <c r="P239" t="n">
        <v>4570</v>
      </c>
      <c r="Q239" t="n">
        <v>5760</v>
      </c>
      <c r="R239" t="n">
        <v>6950</v>
      </c>
      <c r="S239" t="n">
        <v>8140</v>
      </c>
      <c r="T239" t="n">
        <v>9330</v>
      </c>
      <c r="U239" t="n">
        <v>10520</v>
      </c>
      <c r="V239" t="n">
        <v>5309</v>
      </c>
      <c r="W239" t="n">
        <v>1952</v>
      </c>
      <c r="X239" t="n">
        <v>1714</v>
      </c>
      <c r="Y239" t="n">
        <v>8180</v>
      </c>
    </row>
    <row r="240">
      <c r="A240" t="n">
        <v>239</v>
      </c>
      <c r="B240" t="n">
        <v>0</v>
      </c>
      <c r="C240" t="n">
        <v>35698</v>
      </c>
      <c r="D240" t="n">
        <v>114018</v>
      </c>
      <c r="E240" t="n">
        <v>1152115</v>
      </c>
      <c r="F240" t="n">
        <v>11458740</v>
      </c>
      <c r="G240" t="n">
        <v>111411023</v>
      </c>
      <c r="H240" t="n">
        <v>1062634011</v>
      </c>
      <c r="I240" t="n">
        <v>9912989180</v>
      </c>
      <c r="J240" t="n">
        <v>2000</v>
      </c>
      <c r="K240" t="n">
        <v>29039</v>
      </c>
      <c r="L240" t="n">
        <v>2500</v>
      </c>
      <c r="M240" t="n">
        <v>1100</v>
      </c>
      <c r="N240" t="n">
        <v>2195</v>
      </c>
      <c r="O240" t="n">
        <v>3390</v>
      </c>
      <c r="P240" t="n">
        <v>4585</v>
      </c>
      <c r="Q240" t="n">
        <v>5780</v>
      </c>
      <c r="R240" t="n">
        <v>6975</v>
      </c>
      <c r="S240" t="n">
        <v>8170</v>
      </c>
      <c r="T240" t="n">
        <v>9365</v>
      </c>
      <c r="U240" t="n">
        <v>10560</v>
      </c>
      <c r="V240" t="n">
        <v>5340</v>
      </c>
      <c r="W240" t="n">
        <v>1956</v>
      </c>
      <c r="X240" t="n">
        <v>1717</v>
      </c>
      <c r="Y240" t="n">
        <v>8190</v>
      </c>
    </row>
    <row r="241">
      <c r="A241" t="n">
        <v>240</v>
      </c>
      <c r="B241" t="n">
        <v>0</v>
      </c>
      <c r="C241" t="n">
        <v>36234</v>
      </c>
      <c r="D241" t="n">
        <v>116299</v>
      </c>
      <c r="E241" t="n">
        <v>1186679</v>
      </c>
      <c r="F241" t="n">
        <v>11917090</v>
      </c>
      <c r="G241" t="n">
        <v>116981575</v>
      </c>
      <c r="H241" t="n">
        <v>1126392052</v>
      </c>
      <c r="I241" t="n">
        <v>10606898423</v>
      </c>
      <c r="J241" t="n">
        <v>2000</v>
      </c>
      <c r="K241" t="n">
        <v>29330</v>
      </c>
      <c r="L241" t="n">
        <v>2500</v>
      </c>
      <c r="M241" t="n">
        <v>1100</v>
      </c>
      <c r="N241" t="n">
        <v>2200</v>
      </c>
      <c r="O241" t="n">
        <v>3400</v>
      </c>
      <c r="P241" t="n">
        <v>4600</v>
      </c>
      <c r="Q241" t="n">
        <v>5800</v>
      </c>
      <c r="R241" t="n">
        <v>7000</v>
      </c>
      <c r="S241" t="n">
        <v>8200</v>
      </c>
      <c r="T241" t="n">
        <v>9400</v>
      </c>
      <c r="U241" t="n">
        <v>10600</v>
      </c>
      <c r="V241" t="n">
        <v>5371</v>
      </c>
      <c r="W241" t="n">
        <v>1960</v>
      </c>
      <c r="X241" t="n">
        <v>1720</v>
      </c>
      <c r="Y241" t="n">
        <v>8200</v>
      </c>
    </row>
    <row r="242">
      <c r="A242" t="n">
        <v>241</v>
      </c>
      <c r="B242" t="n">
        <v>0</v>
      </c>
      <c r="C242" t="n">
        <v>36778</v>
      </c>
      <c r="D242" t="n">
        <v>118625</v>
      </c>
      <c r="E242" t="n">
        <v>1222280</v>
      </c>
      <c r="F242" t="n">
        <v>12393774</v>
      </c>
      <c r="G242" t="n">
        <v>122830654</v>
      </c>
      <c r="H242" t="n">
        <v>1193975576</v>
      </c>
      <c r="I242" t="n">
        <v>11349381313</v>
      </c>
      <c r="J242" t="n">
        <v>2000</v>
      </c>
      <c r="K242" t="n">
        <v>29624</v>
      </c>
      <c r="L242" t="n">
        <v>2500</v>
      </c>
      <c r="M242" t="n">
        <v>1100</v>
      </c>
      <c r="N242" t="n">
        <v>2205</v>
      </c>
      <c r="O242" t="n">
        <v>3410</v>
      </c>
      <c r="P242" t="n">
        <v>4615</v>
      </c>
      <c r="Q242" t="n">
        <v>5820</v>
      </c>
      <c r="R242" t="n">
        <v>7025</v>
      </c>
      <c r="S242" t="n">
        <v>8230</v>
      </c>
      <c r="T242" t="n">
        <v>9435</v>
      </c>
      <c r="U242" t="n">
        <v>10640</v>
      </c>
      <c r="V242" t="n">
        <v>5402</v>
      </c>
      <c r="W242" t="n">
        <v>1964</v>
      </c>
      <c r="X242" t="n">
        <v>1723</v>
      </c>
      <c r="Y242" t="n">
        <v>8210</v>
      </c>
    </row>
    <row r="243">
      <c r="A243" t="n">
        <v>242</v>
      </c>
      <c r="B243" t="n">
        <v>0</v>
      </c>
      <c r="C243" t="n">
        <v>37330</v>
      </c>
      <c r="D243" t="n">
        <v>120998</v>
      </c>
      <c r="E243" t="n">
        <v>1258949</v>
      </c>
      <c r="F243" t="n">
        <v>12889525</v>
      </c>
      <c r="G243" t="n">
        <v>128972187</v>
      </c>
      <c r="H243" t="n">
        <v>1265614111</v>
      </c>
      <c r="I243" t="n">
        <v>12143838005</v>
      </c>
      <c r="J243" t="n">
        <v>2000</v>
      </c>
      <c r="K243" t="n">
        <v>29921</v>
      </c>
      <c r="L243" t="n">
        <v>2500</v>
      </c>
      <c r="M243" t="n">
        <v>1100</v>
      </c>
      <c r="N243" t="n">
        <v>2210</v>
      </c>
      <c r="O243" t="n">
        <v>3420</v>
      </c>
      <c r="P243" t="n">
        <v>4630</v>
      </c>
      <c r="Q243" t="n">
        <v>5840</v>
      </c>
      <c r="R243" t="n">
        <v>7050</v>
      </c>
      <c r="S243" t="n">
        <v>8260</v>
      </c>
      <c r="T243" t="n">
        <v>9470</v>
      </c>
      <c r="U243" t="n">
        <v>10680</v>
      </c>
      <c r="V243" t="n">
        <v>5434</v>
      </c>
      <c r="W243" t="n">
        <v>1968</v>
      </c>
      <c r="X243" t="n">
        <v>1726</v>
      </c>
      <c r="Y243" t="n">
        <v>8220</v>
      </c>
    </row>
    <row r="244">
      <c r="A244" t="n">
        <v>243</v>
      </c>
      <c r="B244" t="n">
        <v>0</v>
      </c>
      <c r="C244" t="n">
        <v>37890</v>
      </c>
      <c r="D244" t="n">
        <v>123418</v>
      </c>
      <c r="E244" t="n">
        <v>1296718</v>
      </c>
      <c r="F244" t="n">
        <v>13405106</v>
      </c>
      <c r="G244" t="n">
        <v>135420797</v>
      </c>
      <c r="H244" t="n">
        <v>1341550958</v>
      </c>
      <c r="I244" t="n">
        <v>12993906666</v>
      </c>
      <c r="J244" t="n">
        <v>2000</v>
      </c>
      <c r="K244" t="n">
        <v>30221</v>
      </c>
      <c r="L244" t="n">
        <v>2500</v>
      </c>
      <c r="M244" t="n">
        <v>1100</v>
      </c>
      <c r="N244" t="n">
        <v>2215</v>
      </c>
      <c r="O244" t="n">
        <v>3430</v>
      </c>
      <c r="P244" t="n">
        <v>4645</v>
      </c>
      <c r="Q244" t="n">
        <v>5860</v>
      </c>
      <c r="R244" t="n">
        <v>7075</v>
      </c>
      <c r="S244" t="n">
        <v>8290</v>
      </c>
      <c r="T244" t="n">
        <v>9505</v>
      </c>
      <c r="U244" t="n">
        <v>10720</v>
      </c>
      <c r="V244" t="n">
        <v>5466</v>
      </c>
      <c r="W244" t="n">
        <v>1972</v>
      </c>
      <c r="X244" t="n">
        <v>1729</v>
      </c>
      <c r="Y244" t="n">
        <v>8230</v>
      </c>
    </row>
    <row r="245">
      <c r="A245" t="n">
        <v>244</v>
      </c>
      <c r="B245" t="n">
        <v>0</v>
      </c>
      <c r="C245" t="n">
        <v>38459</v>
      </c>
      <c r="D245" t="n">
        <v>125887</v>
      </c>
      <c r="E245" t="n">
        <v>1335620</v>
      </c>
      <c r="F245" t="n">
        <v>13941311</v>
      </c>
      <c r="G245" t="n">
        <v>142191837</v>
      </c>
      <c r="H245" t="n">
        <v>1422044016</v>
      </c>
      <c r="I245" t="n">
        <v>13903480133</v>
      </c>
      <c r="J245" t="n">
        <v>2000</v>
      </c>
      <c r="K245" t="n">
        <v>30524</v>
      </c>
      <c r="L245" t="n">
        <v>2500</v>
      </c>
      <c r="M245" t="n">
        <v>1100</v>
      </c>
      <c r="N245" t="n">
        <v>2220</v>
      </c>
      <c r="O245" t="n">
        <v>3440</v>
      </c>
      <c r="P245" t="n">
        <v>4660</v>
      </c>
      <c r="Q245" t="n">
        <v>5880</v>
      </c>
      <c r="R245" t="n">
        <v>7100</v>
      </c>
      <c r="S245" t="n">
        <v>8320</v>
      </c>
      <c r="T245" t="n">
        <v>9540</v>
      </c>
      <c r="U245" t="n">
        <v>10760</v>
      </c>
      <c r="V245" t="n">
        <v>5498</v>
      </c>
      <c r="W245" t="n">
        <v>1976</v>
      </c>
      <c r="X245" t="n">
        <v>1732</v>
      </c>
      <c r="Y245" t="n">
        <v>8240</v>
      </c>
    </row>
    <row r="246">
      <c r="A246" t="n">
        <v>245</v>
      </c>
      <c r="B246" t="n">
        <v>0</v>
      </c>
      <c r="C246" t="n">
        <v>39036</v>
      </c>
      <c r="D246" t="n">
        <v>128405</v>
      </c>
      <c r="E246" t="n">
        <v>1375689</v>
      </c>
      <c r="F246" t="n">
        <v>14498964</v>
      </c>
      <c r="G246" t="n">
        <v>149301429</v>
      </c>
      <c r="H246" t="n">
        <v>1507366657</v>
      </c>
      <c r="I246" t="n">
        <v>14876723743</v>
      </c>
      <c r="J246" t="n">
        <v>2000</v>
      </c>
      <c r="K246" t="n">
        <v>30830</v>
      </c>
      <c r="L246" t="n">
        <v>2500</v>
      </c>
      <c r="M246" t="n">
        <v>1100</v>
      </c>
      <c r="N246" t="n">
        <v>2225</v>
      </c>
      <c r="O246" t="n">
        <v>3450</v>
      </c>
      <c r="P246" t="n">
        <v>4675</v>
      </c>
      <c r="Q246" t="n">
        <v>5900</v>
      </c>
      <c r="R246" t="n">
        <v>7125</v>
      </c>
      <c r="S246" t="n">
        <v>8350</v>
      </c>
      <c r="T246" t="n">
        <v>9575</v>
      </c>
      <c r="U246" t="n">
        <v>10800</v>
      </c>
      <c r="V246" t="n">
        <v>5530</v>
      </c>
      <c r="W246" t="n">
        <v>1980</v>
      </c>
      <c r="X246" t="n">
        <v>1735</v>
      </c>
      <c r="Y246" t="n">
        <v>8250</v>
      </c>
    </row>
    <row r="247">
      <c r="A247" t="n">
        <v>246</v>
      </c>
      <c r="B247" t="n">
        <v>0</v>
      </c>
      <c r="C247" t="n">
        <v>39622</v>
      </c>
      <c r="D247" t="n">
        <v>130974</v>
      </c>
      <c r="E247" t="n">
        <v>1416960</v>
      </c>
      <c r="F247" t="n">
        <v>15078923</v>
      </c>
      <c r="G247" t="n">
        <v>156766501</v>
      </c>
      <c r="H247" t="n">
        <v>1597808657</v>
      </c>
      <c r="I247" t="n">
        <v>15918094406</v>
      </c>
      <c r="J247" t="n">
        <v>2000</v>
      </c>
      <c r="K247" t="n">
        <v>31139</v>
      </c>
      <c r="L247" t="n">
        <v>2500</v>
      </c>
      <c r="M247" t="n">
        <v>1100</v>
      </c>
      <c r="N247" t="n">
        <v>2230</v>
      </c>
      <c r="O247" t="n">
        <v>3460</v>
      </c>
      <c r="P247" t="n">
        <v>4690</v>
      </c>
      <c r="Q247" t="n">
        <v>5920</v>
      </c>
      <c r="R247" t="n">
        <v>7150</v>
      </c>
      <c r="S247" t="n">
        <v>8380</v>
      </c>
      <c r="T247" t="n">
        <v>9610</v>
      </c>
      <c r="U247" t="n">
        <v>10840</v>
      </c>
      <c r="V247" t="n">
        <v>5562</v>
      </c>
      <c r="W247" t="n">
        <v>1984</v>
      </c>
      <c r="X247" t="n">
        <v>1738</v>
      </c>
      <c r="Y247" t="n">
        <v>8260</v>
      </c>
    </row>
    <row r="248">
      <c r="A248" t="n">
        <v>247</v>
      </c>
      <c r="B248" t="n">
        <v>0</v>
      </c>
      <c r="C248" t="n">
        <v>40217</v>
      </c>
      <c r="D248" t="n">
        <v>133594</v>
      </c>
      <c r="E248" t="n">
        <v>1459469</v>
      </c>
      <c r="F248" t="n">
        <v>15682080</v>
      </c>
      <c r="G248" t="n">
        <v>164604827</v>
      </c>
      <c r="H248" t="n">
        <v>1693677177</v>
      </c>
      <c r="I248" t="n">
        <v>17032361015</v>
      </c>
      <c r="J248" t="n">
        <v>2000</v>
      </c>
      <c r="K248" t="n">
        <v>31451</v>
      </c>
      <c r="L248" t="n">
        <v>2500</v>
      </c>
      <c r="M248" t="n">
        <v>1100</v>
      </c>
      <c r="N248" t="n">
        <v>2235</v>
      </c>
      <c r="O248" t="n">
        <v>3470</v>
      </c>
      <c r="P248" t="n">
        <v>4705</v>
      </c>
      <c r="Q248" t="n">
        <v>5940</v>
      </c>
      <c r="R248" t="n">
        <v>7175</v>
      </c>
      <c r="S248" t="n">
        <v>8410</v>
      </c>
      <c r="T248" t="n">
        <v>9645</v>
      </c>
      <c r="U248" t="n">
        <v>10880</v>
      </c>
      <c r="V248" t="n">
        <v>5594</v>
      </c>
      <c r="W248" t="n">
        <v>1988</v>
      </c>
      <c r="X248" t="n">
        <v>1741</v>
      </c>
      <c r="Y248" t="n">
        <v>8270</v>
      </c>
    </row>
    <row r="249">
      <c r="A249" t="n">
        <v>248</v>
      </c>
      <c r="B249" t="n">
        <v>0</v>
      </c>
      <c r="C249" t="n">
        <v>40821</v>
      </c>
      <c r="D249" t="n">
        <v>136266</v>
      </c>
      <c r="E249" t="n">
        <v>1503254</v>
      </c>
      <c r="F249" t="n">
        <v>16309364</v>
      </c>
      <c r="G249" t="n">
        <v>172835069</v>
      </c>
      <c r="H249" t="n">
        <v>1795297808</v>
      </c>
      <c r="I249" t="n">
        <v>18224626287</v>
      </c>
      <c r="J249" t="n">
        <v>2000</v>
      </c>
      <c r="K249" t="n">
        <v>31766</v>
      </c>
      <c r="L249" t="n">
        <v>2500</v>
      </c>
      <c r="M249" t="n">
        <v>1100</v>
      </c>
      <c r="N249" t="n">
        <v>2240</v>
      </c>
      <c r="O249" t="n">
        <v>3480</v>
      </c>
      <c r="P249" t="n">
        <v>4720</v>
      </c>
      <c r="Q249" t="n">
        <v>5960</v>
      </c>
      <c r="R249" t="n">
        <v>7200</v>
      </c>
      <c r="S249" t="n">
        <v>8440</v>
      </c>
      <c r="T249" t="n">
        <v>9680</v>
      </c>
      <c r="U249" t="n">
        <v>10920</v>
      </c>
      <c r="V249" t="n">
        <v>5626</v>
      </c>
      <c r="W249" t="n">
        <v>1992</v>
      </c>
      <c r="X249" t="n">
        <v>1744</v>
      </c>
      <c r="Y249" t="n">
        <v>8280</v>
      </c>
    </row>
    <row r="250">
      <c r="A250" t="n">
        <v>249</v>
      </c>
      <c r="B250" t="n">
        <v>0</v>
      </c>
      <c r="C250" t="n">
        <v>41434</v>
      </c>
      <c r="D250" t="n">
        <v>138992</v>
      </c>
      <c r="E250" t="n">
        <v>1548352</v>
      </c>
      <c r="F250" t="n">
        <v>16961739</v>
      </c>
      <c r="G250" t="n">
        <v>181476823</v>
      </c>
      <c r="H250" t="n">
        <v>1903015677</v>
      </c>
      <c r="I250" t="n">
        <v>19500350128</v>
      </c>
      <c r="J250" t="n">
        <v>2000</v>
      </c>
      <c r="K250" t="n">
        <v>32084</v>
      </c>
      <c r="L250" t="n">
        <v>2500</v>
      </c>
      <c r="M250" t="n">
        <v>1100</v>
      </c>
      <c r="N250" t="n">
        <v>2245</v>
      </c>
      <c r="O250" t="n">
        <v>3490</v>
      </c>
      <c r="P250" t="n">
        <v>4735</v>
      </c>
      <c r="Q250" t="n">
        <v>5980</v>
      </c>
      <c r="R250" t="n">
        <v>7225</v>
      </c>
      <c r="S250" t="n">
        <v>8470</v>
      </c>
      <c r="T250" t="n">
        <v>9715</v>
      </c>
      <c r="U250" t="n">
        <v>10960</v>
      </c>
      <c r="V250" t="n">
        <v>5659</v>
      </c>
      <c r="W250" t="n">
        <v>1996</v>
      </c>
      <c r="X250" t="n">
        <v>1747</v>
      </c>
      <c r="Y250" t="n">
        <v>8290</v>
      </c>
    </row>
    <row r="251">
      <c r="A251" t="n">
        <v>250</v>
      </c>
      <c r="B251" t="n">
        <v>0</v>
      </c>
      <c r="C251" t="n">
        <v>42056</v>
      </c>
      <c r="D251" t="n">
        <v>141772</v>
      </c>
      <c r="E251" t="n">
        <v>1594803</v>
      </c>
      <c r="F251" t="n">
        <v>17640209</v>
      </c>
      <c r="G251" t="n">
        <v>190550665</v>
      </c>
      <c r="H251" t="n">
        <v>2017196618</v>
      </c>
      <c r="I251" t="n">
        <v>20865374637</v>
      </c>
      <c r="J251" t="n">
        <v>2000</v>
      </c>
      <c r="K251" t="n">
        <v>32405</v>
      </c>
      <c r="L251" t="n">
        <v>2500</v>
      </c>
      <c r="M251" t="n">
        <v>1100</v>
      </c>
      <c r="N251" t="n">
        <v>2250</v>
      </c>
      <c r="O251" t="n">
        <v>3500</v>
      </c>
      <c r="P251" t="n">
        <v>4750</v>
      </c>
      <c r="Q251" t="n">
        <v>6000</v>
      </c>
      <c r="R251" t="n">
        <v>7250</v>
      </c>
      <c r="S251" t="n">
        <v>8500</v>
      </c>
      <c r="T251" t="n">
        <v>9750</v>
      </c>
      <c r="U251" t="n">
        <v>11000</v>
      </c>
      <c r="V251" t="n">
        <v>5692</v>
      </c>
      <c r="W251" t="n">
        <v>2000</v>
      </c>
      <c r="X251" t="n">
        <v>1750</v>
      </c>
      <c r="Y251" t="n">
        <v>8300</v>
      </c>
    </row>
    <row r="252">
      <c r="A252" t="n">
        <v>251</v>
      </c>
      <c r="B252" t="n">
        <v>0</v>
      </c>
      <c r="C252" t="n">
        <v>42687</v>
      </c>
      <c r="D252" t="n">
        <v>144608</v>
      </c>
      <c r="E252" t="n">
        <v>1642648</v>
      </c>
      <c r="F252" t="n">
        <v>18345818</v>
      </c>
      <c r="G252" t="n">
        <v>200078199</v>
      </c>
      <c r="H252" t="n">
        <v>2138228416</v>
      </c>
      <c r="I252" t="n">
        <v>22325950862</v>
      </c>
      <c r="J252" t="n">
        <v>2000</v>
      </c>
      <c r="K252" t="n">
        <v>32730</v>
      </c>
      <c r="L252" t="n">
        <v>2500</v>
      </c>
      <c r="M252" t="n">
        <v>1100</v>
      </c>
      <c r="N252" t="n">
        <v>2255</v>
      </c>
      <c r="O252" t="n">
        <v>3510</v>
      </c>
      <c r="P252" t="n">
        <v>4765</v>
      </c>
      <c r="Q252" t="n">
        <v>6020</v>
      </c>
      <c r="R252" t="n">
        <v>7275</v>
      </c>
      <c r="S252" t="n">
        <v>8530</v>
      </c>
      <c r="T252" t="n">
        <v>9785</v>
      </c>
      <c r="U252" t="n">
        <v>11040</v>
      </c>
      <c r="V252" t="n">
        <v>5725</v>
      </c>
      <c r="W252" t="n">
        <v>2004</v>
      </c>
      <c r="X252" t="n">
        <v>1753</v>
      </c>
      <c r="Y252" t="n">
        <v>8310</v>
      </c>
    </row>
    <row r="253">
      <c r="A253" t="n">
        <v>252</v>
      </c>
      <c r="B253" t="n">
        <v>0</v>
      </c>
      <c r="C253" t="n">
        <v>43328</v>
      </c>
      <c r="D253" t="n">
        <v>147501</v>
      </c>
      <c r="E253" t="n">
        <v>1691928</v>
      </c>
      <c r="F253" t="n">
        <v>19079651</v>
      </c>
      <c r="G253" t="n">
        <v>210082109</v>
      </c>
      <c r="H253" t="n">
        <v>2266522121</v>
      </c>
      <c r="I253" t="n">
        <v>23888767423</v>
      </c>
      <c r="J253" t="n">
        <v>2000</v>
      </c>
      <c r="K253" t="n">
        <v>33058</v>
      </c>
      <c r="L253" t="n">
        <v>2500</v>
      </c>
      <c r="M253" t="n">
        <v>1100</v>
      </c>
      <c r="N253" t="n">
        <v>2260</v>
      </c>
      <c r="O253" t="n">
        <v>3520</v>
      </c>
      <c r="P253" t="n">
        <v>4780</v>
      </c>
      <c r="Q253" t="n">
        <v>6040</v>
      </c>
      <c r="R253" t="n">
        <v>7300</v>
      </c>
      <c r="S253" t="n">
        <v>8560</v>
      </c>
      <c r="T253" t="n">
        <v>9820</v>
      </c>
      <c r="U253" t="n">
        <v>11080</v>
      </c>
      <c r="V253" t="n">
        <v>5758</v>
      </c>
      <c r="W253" t="n">
        <v>2008</v>
      </c>
      <c r="X253" t="n">
        <v>1756</v>
      </c>
      <c r="Y253" t="n">
        <v>8320</v>
      </c>
    </row>
    <row r="254">
      <c r="A254" t="n">
        <v>253</v>
      </c>
      <c r="B254" t="n">
        <v>0</v>
      </c>
      <c r="C254" t="n">
        <v>43978</v>
      </c>
      <c r="D254" t="n">
        <v>150452</v>
      </c>
      <c r="E254" t="n">
        <v>1742686</v>
      </c>
      <c r="F254" t="n">
        <v>19842838</v>
      </c>
      <c r="G254" t="n">
        <v>220586215</v>
      </c>
      <c r="H254" t="n">
        <v>2402513449</v>
      </c>
      <c r="I254" t="n">
        <v>25560981143</v>
      </c>
      <c r="J254" t="n">
        <v>2000</v>
      </c>
      <c r="K254" t="n">
        <v>33389</v>
      </c>
      <c r="L254" t="n">
        <v>2500</v>
      </c>
      <c r="M254" t="n">
        <v>1100</v>
      </c>
      <c r="N254" t="n">
        <v>2265</v>
      </c>
      <c r="O254" t="n">
        <v>3530</v>
      </c>
      <c r="P254" t="n">
        <v>4795</v>
      </c>
      <c r="Q254" t="n">
        <v>6060</v>
      </c>
      <c r="R254" t="n">
        <v>7325</v>
      </c>
      <c r="S254" t="n">
        <v>8590</v>
      </c>
      <c r="T254" t="n">
        <v>9855</v>
      </c>
      <c r="U254" t="n">
        <v>11120</v>
      </c>
      <c r="V254" t="n">
        <v>5791</v>
      </c>
      <c r="W254" t="n">
        <v>2012</v>
      </c>
      <c r="X254" t="n">
        <v>1759</v>
      </c>
      <c r="Y254" t="n">
        <v>8330</v>
      </c>
    </row>
    <row r="255">
      <c r="A255" t="n">
        <v>254</v>
      </c>
      <c r="B255" t="n">
        <v>0</v>
      </c>
      <c r="C255" t="n">
        <v>44638</v>
      </c>
      <c r="D255" t="n">
        <v>153462</v>
      </c>
      <c r="E255" t="n">
        <v>1794967</v>
      </c>
      <c r="F255" t="n">
        <v>20636552</v>
      </c>
      <c r="G255" t="n">
        <v>231615526</v>
      </c>
      <c r="H255" t="n">
        <v>2546664256</v>
      </c>
      <c r="I255" t="n">
        <v>27350249824</v>
      </c>
      <c r="J255" t="n">
        <v>2000</v>
      </c>
      <c r="K255" t="n">
        <v>33723</v>
      </c>
      <c r="L255" t="n">
        <v>2500</v>
      </c>
      <c r="M255" t="n">
        <v>1100</v>
      </c>
      <c r="N255" t="n">
        <v>2270</v>
      </c>
      <c r="O255" t="n">
        <v>3540</v>
      </c>
      <c r="P255" t="n">
        <v>4810</v>
      </c>
      <c r="Q255" t="n">
        <v>6080</v>
      </c>
      <c r="R255" t="n">
        <v>7350</v>
      </c>
      <c r="S255" t="n">
        <v>8620</v>
      </c>
      <c r="T255" t="n">
        <v>9890</v>
      </c>
      <c r="U255" t="n">
        <v>11160</v>
      </c>
      <c r="V255" t="n">
        <v>5824</v>
      </c>
      <c r="W255" t="n">
        <v>2016</v>
      </c>
      <c r="X255" t="n">
        <v>1762</v>
      </c>
      <c r="Y255" t="n">
        <v>8340</v>
      </c>
    </row>
    <row r="256">
      <c r="A256" t="n">
        <v>255</v>
      </c>
      <c r="B256" t="n">
        <v>0</v>
      </c>
      <c r="C256" t="n">
        <v>45308</v>
      </c>
      <c r="D256" t="n">
        <v>156532</v>
      </c>
      <c r="E256" t="n">
        <v>1848817</v>
      </c>
      <c r="F256" t="n">
        <v>21462015</v>
      </c>
      <c r="G256" t="n">
        <v>243196303</v>
      </c>
      <c r="H256" t="n">
        <v>2699464112</v>
      </c>
      <c r="I256" t="n">
        <v>29264767312</v>
      </c>
      <c r="J256" t="n">
        <v>2000</v>
      </c>
      <c r="K256" t="n">
        <v>34061</v>
      </c>
      <c r="L256" t="n">
        <v>2500</v>
      </c>
      <c r="M256" t="n">
        <v>1100</v>
      </c>
      <c r="N256" t="n">
        <v>2275</v>
      </c>
      <c r="O256" t="n">
        <v>3550</v>
      </c>
      <c r="P256" t="n">
        <v>4825</v>
      </c>
      <c r="Q256" t="n">
        <v>6100</v>
      </c>
      <c r="R256" t="n">
        <v>7375</v>
      </c>
      <c r="S256" t="n">
        <v>8650</v>
      </c>
      <c r="T256" t="n">
        <v>9925</v>
      </c>
      <c r="U256" t="n">
        <v>11200</v>
      </c>
      <c r="V256" t="n">
        <v>5858</v>
      </c>
      <c r="W256" t="n">
        <v>2020</v>
      </c>
      <c r="X256" t="n">
        <v>1765</v>
      </c>
      <c r="Y256" t="n">
        <v>8350</v>
      </c>
    </row>
    <row r="257">
      <c r="A257" t="n">
        <v>256</v>
      </c>
      <c r="B257" t="n">
        <v>0</v>
      </c>
      <c r="C257" t="n">
        <v>45988</v>
      </c>
      <c r="D257" t="n">
        <v>159663</v>
      </c>
      <c r="E257" t="n">
        <v>1904282</v>
      </c>
      <c r="F257" t="n">
        <v>22320496</v>
      </c>
      <c r="G257" t="n">
        <v>255356119</v>
      </c>
      <c r="H257" t="n">
        <v>2861431959</v>
      </c>
      <c r="I257" t="n">
        <v>31313301024</v>
      </c>
      <c r="J257" t="n">
        <v>2000</v>
      </c>
      <c r="K257" t="n">
        <v>34402</v>
      </c>
      <c r="L257" t="n">
        <v>2500</v>
      </c>
      <c r="M257" t="n">
        <v>1100</v>
      </c>
      <c r="N257" t="n">
        <v>2280</v>
      </c>
      <c r="O257" t="n">
        <v>3560</v>
      </c>
      <c r="P257" t="n">
        <v>4840</v>
      </c>
      <c r="Q257" t="n">
        <v>6120</v>
      </c>
      <c r="R257" t="n">
        <v>7400</v>
      </c>
      <c r="S257" t="n">
        <v>8680</v>
      </c>
      <c r="T257" t="n">
        <v>9960</v>
      </c>
      <c r="U257" t="n">
        <v>11240</v>
      </c>
      <c r="V257" t="n">
        <v>5892</v>
      </c>
      <c r="W257" t="n">
        <v>2024</v>
      </c>
      <c r="X257" t="n">
        <v>1768</v>
      </c>
      <c r="Y257" t="n">
        <v>8360</v>
      </c>
    </row>
    <row r="258">
      <c r="A258" t="n">
        <v>257</v>
      </c>
      <c r="B258" t="n">
        <v>0</v>
      </c>
      <c r="C258" t="n">
        <v>46678</v>
      </c>
      <c r="D258" t="n">
        <v>162857</v>
      </c>
      <c r="E258" t="n">
        <v>1961411</v>
      </c>
      <c r="F258" t="n">
        <v>23213316</v>
      </c>
      <c r="G258" t="n">
        <v>268123925</v>
      </c>
      <c r="H258" t="n">
        <v>3033117877</v>
      </c>
      <c r="I258" t="n">
        <v>33505232096</v>
      </c>
      <c r="J258" t="n">
        <v>2000</v>
      </c>
      <c r="K258" t="n">
        <v>34747</v>
      </c>
      <c r="L258" t="n">
        <v>2500</v>
      </c>
      <c r="M258" t="n">
        <v>1100</v>
      </c>
      <c r="N258" t="n">
        <v>2285</v>
      </c>
      <c r="O258" t="n">
        <v>3570</v>
      </c>
      <c r="P258" t="n">
        <v>4855</v>
      </c>
      <c r="Q258" t="n">
        <v>6140</v>
      </c>
      <c r="R258" t="n">
        <v>7425</v>
      </c>
      <c r="S258" t="n">
        <v>8710</v>
      </c>
      <c r="T258" t="n">
        <v>9995</v>
      </c>
      <c r="U258" t="n">
        <v>11280</v>
      </c>
      <c r="V258" t="n">
        <v>5926</v>
      </c>
      <c r="W258" t="n">
        <v>2028</v>
      </c>
      <c r="X258" t="n">
        <v>1771</v>
      </c>
      <c r="Y258" t="n">
        <v>8370</v>
      </c>
    </row>
    <row r="259">
      <c r="A259" t="n">
        <v>258</v>
      </c>
      <c r="B259" t="n">
        <v>0</v>
      </c>
      <c r="C259" t="n">
        <v>47379</v>
      </c>
      <c r="D259" t="n">
        <v>166115</v>
      </c>
      <c r="E259" t="n">
        <v>2020254</v>
      </c>
      <c r="F259" t="n">
        <v>24141849</v>
      </c>
      <c r="G259" t="n">
        <v>281530122</v>
      </c>
      <c r="H259" t="n">
        <v>3215104950</v>
      </c>
      <c r="I259" t="n">
        <v>35850598343</v>
      </c>
      <c r="J259" t="n">
        <v>2000</v>
      </c>
      <c r="K259" t="n">
        <v>35095</v>
      </c>
      <c r="L259" t="n">
        <v>2500</v>
      </c>
      <c r="M259" t="n">
        <v>1100</v>
      </c>
      <c r="N259" t="n">
        <v>2290</v>
      </c>
      <c r="O259" t="n">
        <v>3580</v>
      </c>
      <c r="P259" t="n">
        <v>4870</v>
      </c>
      <c r="Q259" t="n">
        <v>6160</v>
      </c>
      <c r="R259" t="n">
        <v>7450</v>
      </c>
      <c r="S259" t="n">
        <v>8740</v>
      </c>
      <c r="T259" t="n">
        <v>10030</v>
      </c>
      <c r="U259" t="n">
        <v>11320</v>
      </c>
      <c r="V259" t="n">
        <v>5960</v>
      </c>
      <c r="W259" t="n">
        <v>2032</v>
      </c>
      <c r="X259" t="n">
        <v>1774</v>
      </c>
      <c r="Y259" t="n">
        <v>8380</v>
      </c>
    </row>
    <row r="260">
      <c r="A260" t="n">
        <v>259</v>
      </c>
      <c r="B260" t="n">
        <v>0</v>
      </c>
      <c r="C260" t="n">
        <v>48090</v>
      </c>
      <c r="D260" t="n">
        <v>169438</v>
      </c>
      <c r="E260" t="n">
        <v>2080862</v>
      </c>
      <c r="F260" t="n">
        <v>25107523</v>
      </c>
      <c r="G260" t="n">
        <v>295606629</v>
      </c>
      <c r="H260" t="n">
        <v>3408011247</v>
      </c>
      <c r="I260" t="n">
        <v>38360140228</v>
      </c>
      <c r="J260" t="n">
        <v>2000</v>
      </c>
      <c r="K260" t="n">
        <v>35446</v>
      </c>
      <c r="L260" t="n">
        <v>2500</v>
      </c>
      <c r="M260" t="n">
        <v>1100</v>
      </c>
      <c r="N260" t="n">
        <v>2295</v>
      </c>
      <c r="O260" t="n">
        <v>3590</v>
      </c>
      <c r="P260" t="n">
        <v>4885</v>
      </c>
      <c r="Q260" t="n">
        <v>6180</v>
      </c>
      <c r="R260" t="n">
        <v>7475</v>
      </c>
      <c r="S260" t="n">
        <v>8770</v>
      </c>
      <c r="T260" t="n">
        <v>10065</v>
      </c>
      <c r="U260" t="n">
        <v>11360</v>
      </c>
      <c r="V260" t="n">
        <v>5994</v>
      </c>
      <c r="W260" t="n">
        <v>2036</v>
      </c>
      <c r="X260" t="n">
        <v>1777</v>
      </c>
      <c r="Y260" t="n">
        <v>8390</v>
      </c>
    </row>
    <row r="261">
      <c r="A261" t="n">
        <v>260</v>
      </c>
      <c r="B261" t="n">
        <v>0</v>
      </c>
      <c r="C261" t="n">
        <v>48812</v>
      </c>
      <c r="D261" t="n">
        <v>172827</v>
      </c>
      <c r="E261" t="n">
        <v>2143288</v>
      </c>
      <c r="F261" t="n">
        <v>26111824</v>
      </c>
      <c r="G261" t="n">
        <v>310386961</v>
      </c>
      <c r="H261" t="n">
        <v>3612491922</v>
      </c>
      <c r="I261" t="n">
        <v>41045350044</v>
      </c>
      <c r="J261" t="n">
        <v>2000</v>
      </c>
      <c r="K261" t="n">
        <v>35801</v>
      </c>
      <c r="L261" t="n">
        <v>2500</v>
      </c>
      <c r="M261" t="n">
        <v>1100</v>
      </c>
      <c r="N261" t="n">
        <v>2300</v>
      </c>
      <c r="O261" t="n">
        <v>3600</v>
      </c>
      <c r="P261" t="n">
        <v>4900</v>
      </c>
      <c r="Q261" t="n">
        <v>6200</v>
      </c>
      <c r="R261" t="n">
        <v>7500</v>
      </c>
      <c r="S261" t="n">
        <v>8800</v>
      </c>
      <c r="T261" t="n">
        <v>10100</v>
      </c>
      <c r="U261" t="n">
        <v>11400</v>
      </c>
      <c r="V261" t="n">
        <v>6028</v>
      </c>
      <c r="W261" t="n">
        <v>2040</v>
      </c>
      <c r="X261" t="n">
        <v>1780</v>
      </c>
      <c r="Y261" t="n">
        <v>8400</v>
      </c>
    </row>
    <row r="262">
      <c r="A262" t="n">
        <v>261</v>
      </c>
      <c r="B262" t="n">
        <v>0</v>
      </c>
      <c r="C262" t="n">
        <v>49545</v>
      </c>
      <c r="D262" t="n">
        <v>176284</v>
      </c>
      <c r="E262" t="n">
        <v>2207587</v>
      </c>
      <c r="F262" t="n">
        <v>27156297</v>
      </c>
      <c r="G262" t="n">
        <v>325906310</v>
      </c>
      <c r="H262" t="n">
        <v>3829241438</v>
      </c>
      <c r="I262" t="n">
        <v>43918524548</v>
      </c>
      <c r="J262" t="n">
        <v>2000</v>
      </c>
      <c r="K262" t="n">
        <v>36160</v>
      </c>
      <c r="L262" t="n">
        <v>2500</v>
      </c>
      <c r="M262" t="n">
        <v>1100</v>
      </c>
      <c r="N262" t="n">
        <v>2305</v>
      </c>
      <c r="O262" t="n">
        <v>3610</v>
      </c>
      <c r="P262" t="n">
        <v>4915</v>
      </c>
      <c r="Q262" t="n">
        <v>6220</v>
      </c>
      <c r="R262" t="n">
        <v>7525</v>
      </c>
      <c r="S262" t="n">
        <v>8830</v>
      </c>
      <c r="T262" t="n">
        <v>10135</v>
      </c>
      <c r="U262" t="n">
        <v>11440</v>
      </c>
      <c r="V262" t="n">
        <v>6063</v>
      </c>
      <c r="W262" t="n">
        <v>2044</v>
      </c>
      <c r="X262" t="n">
        <v>1783</v>
      </c>
      <c r="Y262" t="n">
        <v>8410</v>
      </c>
    </row>
    <row r="263">
      <c r="A263" t="n">
        <v>262</v>
      </c>
      <c r="B263" t="n">
        <v>0</v>
      </c>
      <c r="C263" t="n">
        <v>50289</v>
      </c>
      <c r="D263" t="n">
        <v>179810</v>
      </c>
      <c r="E263" t="n">
        <v>2273815</v>
      </c>
      <c r="F263" t="n">
        <v>28242549</v>
      </c>
      <c r="G263" t="n">
        <v>342201626</v>
      </c>
      <c r="H263" t="n">
        <v>4058995925</v>
      </c>
      <c r="I263" t="n">
        <v>46992821267</v>
      </c>
      <c r="J263" t="n">
        <v>2000</v>
      </c>
      <c r="K263" t="n">
        <v>36522</v>
      </c>
      <c r="L263" t="n">
        <v>2500</v>
      </c>
      <c r="M263" t="n">
        <v>1100</v>
      </c>
      <c r="N263" t="n">
        <v>2310</v>
      </c>
      <c r="O263" t="n">
        <v>3620</v>
      </c>
      <c r="P263" t="n">
        <v>4930</v>
      </c>
      <c r="Q263" t="n">
        <v>6240</v>
      </c>
      <c r="R263" t="n">
        <v>7550</v>
      </c>
      <c r="S263" t="n">
        <v>8860</v>
      </c>
      <c r="T263" t="n">
        <v>10170</v>
      </c>
      <c r="U263" t="n">
        <v>11480</v>
      </c>
      <c r="V263" t="n">
        <v>6098</v>
      </c>
      <c r="W263" t="n">
        <v>2048</v>
      </c>
      <c r="X263" t="n">
        <v>1786</v>
      </c>
      <c r="Y263" t="n">
        <v>8420</v>
      </c>
    </row>
    <row r="264">
      <c r="A264" t="n">
        <v>263</v>
      </c>
      <c r="B264" t="n">
        <v>0</v>
      </c>
      <c r="C264" t="n">
        <v>51044</v>
      </c>
      <c r="D264" t="n">
        <v>183407</v>
      </c>
      <c r="E264" t="n">
        <v>2342030</v>
      </c>
      <c r="F264" t="n">
        <v>29372251</v>
      </c>
      <c r="G264" t="n">
        <v>359311708</v>
      </c>
      <c r="H264" t="n">
        <v>4302535681</v>
      </c>
      <c r="I264" t="n">
        <v>50282318756</v>
      </c>
      <c r="J264" t="n">
        <v>2000</v>
      </c>
      <c r="K264" t="n">
        <v>36888</v>
      </c>
      <c r="L264" t="n">
        <v>2500</v>
      </c>
      <c r="M264" t="n">
        <v>1100</v>
      </c>
      <c r="N264" t="n">
        <v>2315</v>
      </c>
      <c r="O264" t="n">
        <v>3630</v>
      </c>
      <c r="P264" t="n">
        <v>4945</v>
      </c>
      <c r="Q264" t="n">
        <v>6260</v>
      </c>
      <c r="R264" t="n">
        <v>7575</v>
      </c>
      <c r="S264" t="n">
        <v>8890</v>
      </c>
      <c r="T264" t="n">
        <v>10205</v>
      </c>
      <c r="U264" t="n">
        <v>11520</v>
      </c>
      <c r="V264" t="n">
        <v>6133</v>
      </c>
      <c r="W264" t="n">
        <v>2052</v>
      </c>
      <c r="X264" t="n">
        <v>1789</v>
      </c>
      <c r="Y264" t="n">
        <v>8430</v>
      </c>
    </row>
    <row r="265">
      <c r="A265" t="n">
        <v>264</v>
      </c>
      <c r="B265" t="n">
        <v>0</v>
      </c>
      <c r="C265" t="n">
        <v>51810</v>
      </c>
      <c r="D265" t="n">
        <v>187076</v>
      </c>
      <c r="E265" t="n">
        <v>2412291</v>
      </c>
      <c r="F265" t="n">
        <v>30547142</v>
      </c>
      <c r="G265" t="n">
        <v>377277294</v>
      </c>
      <c r="H265" t="n">
        <v>4560687822</v>
      </c>
      <c r="I265" t="n">
        <v>53802081069</v>
      </c>
      <c r="J265" t="n">
        <v>2000</v>
      </c>
      <c r="K265" t="n">
        <v>37257</v>
      </c>
      <c r="L265" t="n">
        <v>2500</v>
      </c>
      <c r="M265" t="n">
        <v>1100</v>
      </c>
      <c r="N265" t="n">
        <v>2320</v>
      </c>
      <c r="O265" t="n">
        <v>3640</v>
      </c>
      <c r="P265" t="n">
        <v>4960</v>
      </c>
      <c r="Q265" t="n">
        <v>6280</v>
      </c>
      <c r="R265" t="n">
        <v>7600</v>
      </c>
      <c r="S265" t="n">
        <v>8920</v>
      </c>
      <c r="T265" t="n">
        <v>10240</v>
      </c>
      <c r="U265" t="n">
        <v>11560</v>
      </c>
      <c r="V265" t="n">
        <v>6168</v>
      </c>
      <c r="W265" t="n">
        <v>2056</v>
      </c>
      <c r="X265" t="n">
        <v>1792</v>
      </c>
      <c r="Y265" t="n">
        <v>8440</v>
      </c>
    </row>
    <row r="266">
      <c r="A266" t="n">
        <v>265</v>
      </c>
      <c r="B266" t="n">
        <v>0</v>
      </c>
      <c r="C266" t="n">
        <v>52588</v>
      </c>
      <c r="D266" t="n">
        <v>190818</v>
      </c>
      <c r="E266" t="n">
        <v>2484660</v>
      </c>
      <c r="F266" t="n">
        <v>31769028</v>
      </c>
      <c r="G266" t="n">
        <v>396141159</v>
      </c>
      <c r="H266" t="n">
        <v>4834329092</v>
      </c>
      <c r="I266" t="n">
        <v>57568226744</v>
      </c>
      <c r="J266" t="n">
        <v>2000</v>
      </c>
      <c r="K266" t="n">
        <v>37630</v>
      </c>
      <c r="L266" t="n">
        <v>2500</v>
      </c>
      <c r="M266" t="n">
        <v>1100</v>
      </c>
      <c r="N266" t="n">
        <v>2325</v>
      </c>
      <c r="O266" t="n">
        <v>3650</v>
      </c>
      <c r="P266" t="n">
        <v>4975</v>
      </c>
      <c r="Q266" t="n">
        <v>6300</v>
      </c>
      <c r="R266" t="n">
        <v>7625</v>
      </c>
      <c r="S266" t="n">
        <v>8950</v>
      </c>
      <c r="T266" t="n">
        <v>10275</v>
      </c>
      <c r="U266" t="n">
        <v>11600</v>
      </c>
      <c r="V266" t="n">
        <v>6203</v>
      </c>
      <c r="W266" t="n">
        <v>2060</v>
      </c>
      <c r="X266" t="n">
        <v>1795</v>
      </c>
      <c r="Y266" t="n">
        <v>8450</v>
      </c>
    </row>
    <row r="267">
      <c r="A267" t="n">
        <v>266</v>
      </c>
      <c r="B267" t="n">
        <v>0</v>
      </c>
      <c r="C267" t="n">
        <v>53377</v>
      </c>
      <c r="D267" t="n">
        <v>194635</v>
      </c>
      <c r="E267" t="n">
        <v>2559200</v>
      </c>
      <c r="F267" t="n">
        <v>33039790</v>
      </c>
      <c r="G267" t="n">
        <v>415948217</v>
      </c>
      <c r="H267" t="n">
        <v>5124388838</v>
      </c>
      <c r="I267" t="n">
        <v>61598002617</v>
      </c>
      <c r="J267" t="n">
        <v>2000</v>
      </c>
      <c r="K267" t="n">
        <v>38007</v>
      </c>
      <c r="L267" t="n">
        <v>2500</v>
      </c>
      <c r="M267" t="n">
        <v>1100</v>
      </c>
      <c r="N267" t="n">
        <v>2330</v>
      </c>
      <c r="O267" t="n">
        <v>3660</v>
      </c>
      <c r="P267" t="n">
        <v>4990</v>
      </c>
      <c r="Q267" t="n">
        <v>6320</v>
      </c>
      <c r="R267" t="n">
        <v>7650</v>
      </c>
      <c r="S267" t="n">
        <v>8980</v>
      </c>
      <c r="T267" t="n">
        <v>10310</v>
      </c>
      <c r="U267" t="n">
        <v>11640</v>
      </c>
      <c r="V267" t="n">
        <v>6239</v>
      </c>
      <c r="W267" t="n">
        <v>2064</v>
      </c>
      <c r="X267" t="n">
        <v>1798</v>
      </c>
      <c r="Y267" t="n">
        <v>8460</v>
      </c>
    </row>
    <row r="268">
      <c r="A268" t="n">
        <v>267</v>
      </c>
      <c r="B268" t="n">
        <v>0</v>
      </c>
      <c r="C268" t="n">
        <v>54178</v>
      </c>
      <c r="D268" t="n">
        <v>198528</v>
      </c>
      <c r="E268" t="n">
        <v>2635976</v>
      </c>
      <c r="F268" t="n">
        <v>34361382</v>
      </c>
      <c r="G268" t="n">
        <v>436745628</v>
      </c>
      <c r="H268" t="n">
        <v>5431852169</v>
      </c>
      <c r="I268" t="n">
        <v>65909862801</v>
      </c>
      <c r="J268" t="n">
        <v>2000</v>
      </c>
      <c r="K268" t="n">
        <v>38388</v>
      </c>
      <c r="L268" t="n">
        <v>2500</v>
      </c>
      <c r="M268" t="n">
        <v>1100</v>
      </c>
      <c r="N268" t="n">
        <v>2335</v>
      </c>
      <c r="O268" t="n">
        <v>3670</v>
      </c>
      <c r="P268" t="n">
        <v>5005</v>
      </c>
      <c r="Q268" t="n">
        <v>6340</v>
      </c>
      <c r="R268" t="n">
        <v>7675</v>
      </c>
      <c r="S268" t="n">
        <v>9010</v>
      </c>
      <c r="T268" t="n">
        <v>10345</v>
      </c>
      <c r="U268" t="n">
        <v>11680</v>
      </c>
      <c r="V268" t="n">
        <v>6275</v>
      </c>
      <c r="W268" t="n">
        <v>2068</v>
      </c>
      <c r="X268" t="n">
        <v>1801</v>
      </c>
      <c r="Y268" t="n">
        <v>8470</v>
      </c>
    </row>
    <row r="269">
      <c r="A269" t="n">
        <v>268</v>
      </c>
      <c r="B269" t="n">
        <v>0</v>
      </c>
      <c r="C269" t="n">
        <v>54991</v>
      </c>
      <c r="D269" t="n">
        <v>202499</v>
      </c>
      <c r="E269" t="n">
        <v>2715056</v>
      </c>
      <c r="F269" t="n">
        <v>35735838</v>
      </c>
      <c r="G269" t="n">
        <v>458582910</v>
      </c>
      <c r="H269" t="n">
        <v>5757763300</v>
      </c>
      <c r="I269" t="n">
        <v>70523553198</v>
      </c>
      <c r="J269" t="n">
        <v>2000</v>
      </c>
      <c r="K269" t="n">
        <v>38772</v>
      </c>
      <c r="L269" t="n">
        <v>2500</v>
      </c>
      <c r="M269" t="n">
        <v>1100</v>
      </c>
      <c r="N269" t="n">
        <v>2340</v>
      </c>
      <c r="O269" t="n">
        <v>3680</v>
      </c>
      <c r="P269" t="n">
        <v>5020</v>
      </c>
      <c r="Q269" t="n">
        <v>6360</v>
      </c>
      <c r="R269" t="n">
        <v>7700</v>
      </c>
      <c r="S269" t="n">
        <v>9040</v>
      </c>
      <c r="T269" t="n">
        <v>10380</v>
      </c>
      <c r="U269" t="n">
        <v>11720</v>
      </c>
      <c r="V269" t="n">
        <v>6311</v>
      </c>
      <c r="W269" t="n">
        <v>2072</v>
      </c>
      <c r="X269" t="n">
        <v>1804</v>
      </c>
      <c r="Y269" t="n">
        <v>8480</v>
      </c>
    </row>
    <row r="270">
      <c r="A270" t="n">
        <v>269</v>
      </c>
      <c r="B270" t="n">
        <v>0</v>
      </c>
      <c r="C270" t="n">
        <v>55816</v>
      </c>
      <c r="D270" t="n">
        <v>206549</v>
      </c>
      <c r="E270" t="n">
        <v>2796508</v>
      </c>
      <c r="F270" t="n">
        <v>37165272</v>
      </c>
      <c r="G270" t="n">
        <v>481512056</v>
      </c>
      <c r="H270" t="n">
        <v>6103229098</v>
      </c>
      <c r="I270" t="n">
        <v>75460201922</v>
      </c>
      <c r="J270" t="n">
        <v>2000</v>
      </c>
      <c r="K270" t="n">
        <v>39160</v>
      </c>
      <c r="L270" t="n">
        <v>2500</v>
      </c>
      <c r="M270" t="n">
        <v>1100</v>
      </c>
      <c r="N270" t="n">
        <v>2345</v>
      </c>
      <c r="O270" t="n">
        <v>3690</v>
      </c>
      <c r="P270" t="n">
        <v>5035</v>
      </c>
      <c r="Q270" t="n">
        <v>6380</v>
      </c>
      <c r="R270" t="n">
        <v>7725</v>
      </c>
      <c r="S270" t="n">
        <v>9070</v>
      </c>
      <c r="T270" t="n">
        <v>10415</v>
      </c>
      <c r="U270" t="n">
        <v>11760</v>
      </c>
      <c r="V270" t="n">
        <v>6347</v>
      </c>
      <c r="W270" t="n">
        <v>2076</v>
      </c>
      <c r="X270" t="n">
        <v>1807</v>
      </c>
      <c r="Y270" t="n">
        <v>8490</v>
      </c>
    </row>
    <row r="271">
      <c r="A271" t="n">
        <v>270</v>
      </c>
      <c r="B271" t="n">
        <v>0</v>
      </c>
      <c r="C271" t="n">
        <v>56654</v>
      </c>
      <c r="D271" t="n">
        <v>210680</v>
      </c>
      <c r="E271" t="n">
        <v>2880404</v>
      </c>
      <c r="F271" t="n">
        <v>38651883</v>
      </c>
      <c r="G271" t="n">
        <v>505587659</v>
      </c>
      <c r="H271" t="n">
        <v>6469422844</v>
      </c>
      <c r="I271" t="n">
        <v>80742416057</v>
      </c>
      <c r="J271" t="n">
        <v>2000</v>
      </c>
      <c r="K271" t="n">
        <v>39552</v>
      </c>
      <c r="L271" t="n">
        <v>2500</v>
      </c>
      <c r="M271" t="n">
        <v>1100</v>
      </c>
      <c r="N271" t="n">
        <v>2350</v>
      </c>
      <c r="O271" t="n">
        <v>3700</v>
      </c>
      <c r="P271" t="n">
        <v>5050</v>
      </c>
      <c r="Q271" t="n">
        <v>6400</v>
      </c>
      <c r="R271" t="n">
        <v>7750</v>
      </c>
      <c r="S271" t="n">
        <v>9100</v>
      </c>
      <c r="T271" t="n">
        <v>10450</v>
      </c>
      <c r="U271" t="n">
        <v>11800</v>
      </c>
      <c r="V271" t="n">
        <v>6383</v>
      </c>
      <c r="W271" t="n">
        <v>2080</v>
      </c>
      <c r="X271" t="n">
        <v>1810</v>
      </c>
      <c r="Y271" t="n">
        <v>8500</v>
      </c>
    </row>
    <row r="272">
      <c r="A272" t="n">
        <v>271</v>
      </c>
      <c r="B272" t="n">
        <v>0</v>
      </c>
      <c r="C272" t="n">
        <v>57504</v>
      </c>
      <c r="D272" t="n">
        <v>214894</v>
      </c>
      <c r="E272" t="n">
        <v>2966817</v>
      </c>
      <c r="F272" t="n">
        <v>40197959</v>
      </c>
      <c r="G272" t="n">
        <v>530867042</v>
      </c>
      <c r="H272" t="n">
        <v>6857588215</v>
      </c>
      <c r="I272" t="n">
        <v>86394385181</v>
      </c>
      <c r="J272" t="n">
        <v>2000</v>
      </c>
      <c r="K272" t="n">
        <v>39948</v>
      </c>
      <c r="L272" t="n">
        <v>2500</v>
      </c>
      <c r="M272" t="n">
        <v>1100</v>
      </c>
      <c r="N272" t="n">
        <v>2355</v>
      </c>
      <c r="O272" t="n">
        <v>3710</v>
      </c>
      <c r="P272" t="n">
        <v>5065</v>
      </c>
      <c r="Q272" t="n">
        <v>6420</v>
      </c>
      <c r="R272" t="n">
        <v>7775</v>
      </c>
      <c r="S272" t="n">
        <v>9130</v>
      </c>
      <c r="T272" t="n">
        <v>10485</v>
      </c>
      <c r="U272" t="n">
        <v>11840</v>
      </c>
      <c r="V272" t="n">
        <v>6419</v>
      </c>
      <c r="W272" t="n">
        <v>2084</v>
      </c>
      <c r="X272" t="n">
        <v>1813</v>
      </c>
      <c r="Y272" t="n">
        <v>8510</v>
      </c>
    </row>
    <row r="273">
      <c r="A273" t="n">
        <v>272</v>
      </c>
      <c r="B273" t="n">
        <v>0</v>
      </c>
      <c r="C273" t="n">
        <v>58367</v>
      </c>
      <c r="D273" t="n">
        <v>219192</v>
      </c>
      <c r="E273" t="n">
        <v>3055822</v>
      </c>
      <c r="F273" t="n">
        <v>41805878</v>
      </c>
      <c r="G273" t="n">
        <v>557410395</v>
      </c>
      <c r="H273" t="n">
        <v>7269043508</v>
      </c>
      <c r="I273" t="n">
        <v>92441992144</v>
      </c>
      <c r="J273" t="n">
        <v>2000</v>
      </c>
      <c r="K273" t="n">
        <v>40348</v>
      </c>
      <c r="L273" t="n">
        <v>2500</v>
      </c>
      <c r="M273" t="n">
        <v>1100</v>
      </c>
      <c r="N273" t="n">
        <v>2360</v>
      </c>
      <c r="O273" t="n">
        <v>3720</v>
      </c>
      <c r="P273" t="n">
        <v>5080</v>
      </c>
      <c r="Q273" t="n">
        <v>6440</v>
      </c>
      <c r="R273" t="n">
        <v>7800</v>
      </c>
      <c r="S273" t="n">
        <v>9160</v>
      </c>
      <c r="T273" t="n">
        <v>10520</v>
      </c>
      <c r="U273" t="n">
        <v>11880</v>
      </c>
      <c r="V273" t="n">
        <v>6456</v>
      </c>
      <c r="W273" t="n">
        <v>2088</v>
      </c>
      <c r="X273" t="n">
        <v>1816</v>
      </c>
      <c r="Y273" t="n">
        <v>8520</v>
      </c>
    </row>
    <row r="274">
      <c r="A274" t="n">
        <v>273</v>
      </c>
      <c r="B274" t="n">
        <v>0</v>
      </c>
      <c r="C274" t="n">
        <v>59243</v>
      </c>
      <c r="D274" t="n">
        <v>223576</v>
      </c>
      <c r="E274" t="n">
        <v>3147497</v>
      </c>
      <c r="F274" t="n">
        <v>43478114</v>
      </c>
      <c r="G274" t="n">
        <v>585280915</v>
      </c>
      <c r="H274" t="n">
        <v>7705186119</v>
      </c>
      <c r="I274" t="n">
        <v>98912931595</v>
      </c>
      <c r="J274" t="n">
        <v>2000</v>
      </c>
      <c r="K274" t="n">
        <v>40752</v>
      </c>
      <c r="L274" t="n">
        <v>2500</v>
      </c>
      <c r="M274" t="n">
        <v>1100</v>
      </c>
      <c r="N274" t="n">
        <v>2365</v>
      </c>
      <c r="O274" t="n">
        <v>3730</v>
      </c>
      <c r="P274" t="n">
        <v>5095</v>
      </c>
      <c r="Q274" t="n">
        <v>6460</v>
      </c>
      <c r="R274" t="n">
        <v>7825</v>
      </c>
      <c r="S274" t="n">
        <v>9190</v>
      </c>
      <c r="T274" t="n">
        <v>10555</v>
      </c>
      <c r="U274" t="n">
        <v>11920</v>
      </c>
      <c r="V274" t="n">
        <v>6493</v>
      </c>
      <c r="W274" t="n">
        <v>2092</v>
      </c>
      <c r="X274" t="n">
        <v>1819</v>
      </c>
      <c r="Y274" t="n">
        <v>8530</v>
      </c>
    </row>
    <row r="275">
      <c r="A275" t="n">
        <v>274</v>
      </c>
      <c r="B275" t="n">
        <v>0</v>
      </c>
      <c r="C275" t="n">
        <v>60132</v>
      </c>
      <c r="D275" t="n">
        <v>228048</v>
      </c>
      <c r="E275" t="n">
        <v>3241922</v>
      </c>
      <c r="F275" t="n">
        <v>45217239</v>
      </c>
      <c r="G275" t="n">
        <v>614544961</v>
      </c>
      <c r="H275" t="n">
        <v>8167497287</v>
      </c>
      <c r="I275" t="n">
        <v>105836836807</v>
      </c>
      <c r="J275" t="n">
        <v>2000</v>
      </c>
      <c r="K275" t="n">
        <v>41160</v>
      </c>
      <c r="L275" t="n">
        <v>2500</v>
      </c>
      <c r="M275" t="n">
        <v>1100</v>
      </c>
      <c r="N275" t="n">
        <v>2370</v>
      </c>
      <c r="O275" t="n">
        <v>3740</v>
      </c>
      <c r="P275" t="n">
        <v>5110</v>
      </c>
      <c r="Q275" t="n">
        <v>6480</v>
      </c>
      <c r="R275" t="n">
        <v>7850</v>
      </c>
      <c r="S275" t="n">
        <v>9220</v>
      </c>
      <c r="T275" t="n">
        <v>10590</v>
      </c>
      <c r="U275" t="n">
        <v>11960</v>
      </c>
      <c r="V275" t="n">
        <v>6530</v>
      </c>
      <c r="W275" t="n">
        <v>2096</v>
      </c>
      <c r="X275" t="n">
        <v>1822</v>
      </c>
      <c r="Y275" t="n">
        <v>8540</v>
      </c>
    </row>
    <row r="276">
      <c r="A276" t="n">
        <v>275</v>
      </c>
      <c r="B276" t="n">
        <v>0</v>
      </c>
      <c r="C276" t="n">
        <v>61034</v>
      </c>
      <c r="D276" t="n">
        <v>232609</v>
      </c>
      <c r="E276" t="n">
        <v>3339180</v>
      </c>
      <c r="F276" t="n">
        <v>47025929</v>
      </c>
      <c r="G276" t="n">
        <v>645272210</v>
      </c>
      <c r="H276" t="n">
        <v>8657547125</v>
      </c>
      <c r="I276" t="n">
        <v>113245415384</v>
      </c>
      <c r="J276" t="n">
        <v>2000</v>
      </c>
      <c r="K276" t="n">
        <v>41572</v>
      </c>
      <c r="L276" t="n">
        <v>2500</v>
      </c>
      <c r="M276" t="n">
        <v>1100</v>
      </c>
      <c r="N276" t="n">
        <v>2375</v>
      </c>
      <c r="O276" t="n">
        <v>3750</v>
      </c>
      <c r="P276" t="n">
        <v>5125</v>
      </c>
      <c r="Q276" t="n">
        <v>6500</v>
      </c>
      <c r="R276" t="n">
        <v>7875</v>
      </c>
      <c r="S276" t="n">
        <v>9250</v>
      </c>
      <c r="T276" t="n">
        <v>10625</v>
      </c>
      <c r="U276" t="n">
        <v>12000</v>
      </c>
      <c r="V276" t="n">
        <v>6567</v>
      </c>
      <c r="W276" t="n">
        <v>2100</v>
      </c>
      <c r="X276" t="n">
        <v>1825</v>
      </c>
      <c r="Y276" t="n">
        <v>8550</v>
      </c>
    </row>
    <row r="277">
      <c r="A277" t="n">
        <v>276</v>
      </c>
      <c r="B277" t="n">
        <v>0</v>
      </c>
      <c r="C277" t="n">
        <v>61950</v>
      </c>
      <c r="D277" t="n">
        <v>237262</v>
      </c>
      <c r="E277" t="n">
        <v>3439356</v>
      </c>
      <c r="F277" t="n">
        <v>48906967</v>
      </c>
      <c r="G277" t="n">
        <v>677535821</v>
      </c>
      <c r="H277" t="n">
        <v>9176999953</v>
      </c>
      <c r="I277" t="n">
        <v>121172594461</v>
      </c>
      <c r="J277" t="n">
        <v>2000</v>
      </c>
      <c r="K277" t="n">
        <v>41988</v>
      </c>
      <c r="L277" t="n">
        <v>2500</v>
      </c>
      <c r="M277" t="n">
        <v>1100</v>
      </c>
      <c r="N277" t="n">
        <v>2380</v>
      </c>
      <c r="O277" t="n">
        <v>3760</v>
      </c>
      <c r="P277" t="n">
        <v>5140</v>
      </c>
      <c r="Q277" t="n">
        <v>6520</v>
      </c>
      <c r="R277" t="n">
        <v>7900</v>
      </c>
      <c r="S277" t="n">
        <v>9280</v>
      </c>
      <c r="T277" t="n">
        <v>10660</v>
      </c>
      <c r="U277" t="n">
        <v>12040</v>
      </c>
      <c r="V277" t="n">
        <v>6604</v>
      </c>
      <c r="W277" t="n">
        <v>2104</v>
      </c>
      <c r="X277" t="n">
        <v>1828</v>
      </c>
      <c r="Y277" t="n">
        <v>8560</v>
      </c>
    </row>
    <row r="278">
      <c r="A278" t="n">
        <v>277</v>
      </c>
      <c r="B278" t="n">
        <v>0</v>
      </c>
      <c r="C278" t="n">
        <v>62880</v>
      </c>
      <c r="D278" t="n">
        <v>242008</v>
      </c>
      <c r="E278" t="n">
        <v>3542537</v>
      </c>
      <c r="F278" t="n">
        <v>50863246</v>
      </c>
      <c r="G278" t="n">
        <v>711412613</v>
      </c>
      <c r="H278" t="n">
        <v>9727619951</v>
      </c>
      <c r="I278" t="n">
        <v>129654676074</v>
      </c>
      <c r="J278" t="n">
        <v>2000</v>
      </c>
      <c r="K278" t="n">
        <v>42408</v>
      </c>
      <c r="L278" t="n">
        <v>2500</v>
      </c>
      <c r="M278" t="n">
        <v>1100</v>
      </c>
      <c r="N278" t="n">
        <v>2385</v>
      </c>
      <c r="O278" t="n">
        <v>3770</v>
      </c>
      <c r="P278" t="n">
        <v>5155</v>
      </c>
      <c r="Q278" t="n">
        <v>6540</v>
      </c>
      <c r="R278" t="n">
        <v>7925</v>
      </c>
      <c r="S278" t="n">
        <v>9310</v>
      </c>
      <c r="T278" t="n">
        <v>10695</v>
      </c>
      <c r="U278" t="n">
        <v>12080</v>
      </c>
      <c r="V278" t="n">
        <v>6642</v>
      </c>
      <c r="W278" t="n">
        <v>2108</v>
      </c>
      <c r="X278" t="n">
        <v>1831</v>
      </c>
      <c r="Y278" t="n">
        <v>8570</v>
      </c>
    </row>
    <row r="279">
      <c r="A279" t="n">
        <v>278</v>
      </c>
      <c r="B279" t="n">
        <v>0</v>
      </c>
      <c r="C279" t="n">
        <v>63824</v>
      </c>
      <c r="D279" t="n">
        <v>246849</v>
      </c>
      <c r="E279" t="n">
        <v>3648814</v>
      </c>
      <c r="F279" t="n">
        <v>52897776</v>
      </c>
      <c r="G279" t="n">
        <v>746983244</v>
      </c>
      <c r="H279" t="n">
        <v>10311277149</v>
      </c>
      <c r="I279" t="n">
        <v>138730503400</v>
      </c>
      <c r="J279" t="n">
        <v>2000</v>
      </c>
      <c r="K279" t="n">
        <v>42833</v>
      </c>
      <c r="L279" t="n">
        <v>2500</v>
      </c>
      <c r="M279" t="n">
        <v>1100</v>
      </c>
      <c r="N279" t="n">
        <v>2390</v>
      </c>
      <c r="O279" t="n">
        <v>3780</v>
      </c>
      <c r="P279" t="n">
        <v>5170</v>
      </c>
      <c r="Q279" t="n">
        <v>6560</v>
      </c>
      <c r="R279" t="n">
        <v>7950</v>
      </c>
      <c r="S279" t="n">
        <v>9340</v>
      </c>
      <c r="T279" t="n">
        <v>10730</v>
      </c>
      <c r="U279" t="n">
        <v>12120</v>
      </c>
      <c r="V279" t="n">
        <v>6680</v>
      </c>
      <c r="W279" t="n">
        <v>2112</v>
      </c>
      <c r="X279" t="n">
        <v>1834</v>
      </c>
      <c r="Y279" t="n">
        <v>8580</v>
      </c>
    </row>
    <row r="280">
      <c r="A280" t="n">
        <v>279</v>
      </c>
      <c r="B280" t="n">
        <v>0</v>
      </c>
      <c r="C280" t="n">
        <v>64782</v>
      </c>
      <c r="D280" t="n">
        <v>251786</v>
      </c>
      <c r="E280" t="n">
        <v>3758279</v>
      </c>
      <c r="F280" t="n">
        <v>55013688</v>
      </c>
      <c r="G280" t="n">
        <v>784332407</v>
      </c>
      <c r="H280" t="n">
        <v>10929953778</v>
      </c>
      <c r="I280" t="n">
        <v>148441638638</v>
      </c>
      <c r="J280" t="n">
        <v>2000</v>
      </c>
      <c r="K280" t="n">
        <v>43262</v>
      </c>
      <c r="L280" t="n">
        <v>2500</v>
      </c>
      <c r="M280" t="n">
        <v>1100</v>
      </c>
      <c r="N280" t="n">
        <v>2395</v>
      </c>
      <c r="O280" t="n">
        <v>3790</v>
      </c>
      <c r="P280" t="n">
        <v>5185</v>
      </c>
      <c r="Q280" t="n">
        <v>6580</v>
      </c>
      <c r="R280" t="n">
        <v>7975</v>
      </c>
      <c r="S280" t="n">
        <v>9370</v>
      </c>
      <c r="T280" t="n">
        <v>10765</v>
      </c>
      <c r="U280" t="n">
        <v>12160</v>
      </c>
      <c r="V280" t="n">
        <v>6718</v>
      </c>
      <c r="W280" t="n">
        <v>2116</v>
      </c>
      <c r="X280" t="n">
        <v>1837</v>
      </c>
      <c r="Y280" t="n">
        <v>8590</v>
      </c>
    </row>
    <row r="281">
      <c r="A281" t="n">
        <v>280</v>
      </c>
      <c r="B281" t="n">
        <v>0</v>
      </c>
      <c r="C281" t="n">
        <v>65754</v>
      </c>
      <c r="D281" t="n">
        <v>256822</v>
      </c>
      <c r="E281" t="n">
        <v>3871028</v>
      </c>
      <c r="F281" t="n">
        <v>57214236</v>
      </c>
      <c r="G281" t="n">
        <v>823549028</v>
      </c>
      <c r="H281" t="n">
        <v>11585751005</v>
      </c>
      <c r="I281" t="n">
        <v>158832553343</v>
      </c>
      <c r="J281" t="n">
        <v>2000</v>
      </c>
      <c r="K281" t="n">
        <v>43695</v>
      </c>
      <c r="L281" t="n">
        <v>2500</v>
      </c>
      <c r="M281" t="n">
        <v>1100</v>
      </c>
      <c r="N281" t="n">
        <v>2400</v>
      </c>
      <c r="O281" t="n">
        <v>3800</v>
      </c>
      <c r="P281" t="n">
        <v>5200</v>
      </c>
      <c r="Q281" t="n">
        <v>6600</v>
      </c>
      <c r="R281" t="n">
        <v>8000</v>
      </c>
      <c r="S281" t="n">
        <v>9400</v>
      </c>
      <c r="T281" t="n">
        <v>10800</v>
      </c>
      <c r="U281" t="n">
        <v>12200</v>
      </c>
      <c r="V281" t="n">
        <v>6756</v>
      </c>
      <c r="W281" t="n">
        <v>2120</v>
      </c>
      <c r="X281" t="n">
        <v>1840</v>
      </c>
      <c r="Y281" t="n">
        <v>8600</v>
      </c>
    </row>
    <row r="282">
      <c r="A282" t="n">
        <v>281</v>
      </c>
      <c r="B282" t="n">
        <v>0</v>
      </c>
      <c r="C282" t="n">
        <v>66741</v>
      </c>
      <c r="D282" t="n">
        <v>261959</v>
      </c>
      <c r="E282" t="n">
        <v>3987159</v>
      </c>
      <c r="F282" t="n">
        <v>59502806</v>
      </c>
      <c r="G282" t="n">
        <v>864726480</v>
      </c>
      <c r="H282" t="n">
        <v>12280896066</v>
      </c>
      <c r="I282" t="n">
        <v>169950832078</v>
      </c>
      <c r="J282" t="n">
        <v>2000</v>
      </c>
      <c r="K282" t="n">
        <v>44132</v>
      </c>
      <c r="L282" t="n">
        <v>2500</v>
      </c>
      <c r="M282" t="n">
        <v>1100</v>
      </c>
      <c r="N282" t="n">
        <v>2405</v>
      </c>
      <c r="O282" t="n">
        <v>3810</v>
      </c>
      <c r="P282" t="n">
        <v>5215</v>
      </c>
      <c r="Q282" t="n">
        <v>6620</v>
      </c>
      <c r="R282" t="n">
        <v>8025</v>
      </c>
      <c r="S282" t="n">
        <v>9430</v>
      </c>
      <c r="T282" t="n">
        <v>10835</v>
      </c>
      <c r="U282" t="n">
        <v>12240</v>
      </c>
      <c r="V282" t="n">
        <v>6794</v>
      </c>
      <c r="W282" t="n">
        <v>2124</v>
      </c>
      <c r="X282" t="n">
        <v>1843</v>
      </c>
      <c r="Y282" t="n">
        <v>8610</v>
      </c>
    </row>
    <row r="283">
      <c r="A283" t="n">
        <v>282</v>
      </c>
      <c r="B283" t="n">
        <v>0</v>
      </c>
      <c r="C283" t="n">
        <v>67743</v>
      </c>
      <c r="D283" t="n">
        <v>267199</v>
      </c>
      <c r="E283" t="n">
        <v>4106774</v>
      </c>
      <c r="F283" t="n">
        <v>61882919</v>
      </c>
      <c r="G283" t="n">
        <v>907962804</v>
      </c>
      <c r="H283" t="n">
        <v>13017749830</v>
      </c>
      <c r="I283" t="n">
        <v>181847390324</v>
      </c>
      <c r="J283" t="n">
        <v>2000</v>
      </c>
      <c r="K283" t="n">
        <v>44574</v>
      </c>
      <c r="L283" t="n">
        <v>2500</v>
      </c>
      <c r="M283" t="n">
        <v>1100</v>
      </c>
      <c r="N283" t="n">
        <v>2410</v>
      </c>
      <c r="O283" t="n">
        <v>3820</v>
      </c>
      <c r="P283" t="n">
        <v>5230</v>
      </c>
      <c r="Q283" t="n">
        <v>6640</v>
      </c>
      <c r="R283" t="n">
        <v>8050</v>
      </c>
      <c r="S283" t="n">
        <v>9460</v>
      </c>
      <c r="T283" t="n">
        <v>10870</v>
      </c>
      <c r="U283" t="n">
        <v>12280</v>
      </c>
      <c r="V283" t="n">
        <v>6832</v>
      </c>
      <c r="W283" t="n">
        <v>2128</v>
      </c>
      <c r="X283" t="n">
        <v>1846</v>
      </c>
      <c r="Y283" t="n">
        <v>8620</v>
      </c>
    </row>
    <row r="284">
      <c r="A284" t="n">
        <v>283</v>
      </c>
      <c r="B284" t="n">
        <v>0</v>
      </c>
      <c r="C284" t="n">
        <v>68760</v>
      </c>
      <c r="D284" t="n">
        <v>272543</v>
      </c>
      <c r="E284" t="n">
        <v>4229978</v>
      </c>
      <c r="F284" t="n">
        <v>64358236</v>
      </c>
      <c r="G284" t="n">
        <v>953360945</v>
      </c>
      <c r="H284" t="n">
        <v>13798814820</v>
      </c>
      <c r="I284" t="n">
        <v>194576707647</v>
      </c>
      <c r="J284" t="n">
        <v>2000</v>
      </c>
      <c r="K284" t="n">
        <v>45020</v>
      </c>
      <c r="L284" t="n">
        <v>2500</v>
      </c>
      <c r="M284" t="n">
        <v>1100</v>
      </c>
      <c r="N284" t="n">
        <v>2415</v>
      </c>
      <c r="O284" t="n">
        <v>3830</v>
      </c>
      <c r="P284" t="n">
        <v>5245</v>
      </c>
      <c r="Q284" t="n">
        <v>6660</v>
      </c>
      <c r="R284" t="n">
        <v>8075</v>
      </c>
      <c r="S284" t="n">
        <v>9490</v>
      </c>
      <c r="T284" t="n">
        <v>10905</v>
      </c>
      <c r="U284" t="n">
        <v>12320</v>
      </c>
      <c r="V284" t="n">
        <v>6871</v>
      </c>
      <c r="W284" t="n">
        <v>2132</v>
      </c>
      <c r="X284" t="n">
        <v>1849</v>
      </c>
      <c r="Y284" t="n">
        <v>8630</v>
      </c>
    </row>
    <row r="285">
      <c r="A285" t="n">
        <v>284</v>
      </c>
      <c r="B285" t="n">
        <v>0</v>
      </c>
      <c r="C285" t="n">
        <v>69792</v>
      </c>
      <c r="D285" t="n">
        <v>277994</v>
      </c>
      <c r="E285" t="n">
        <v>4356878</v>
      </c>
      <c r="F285" t="n">
        <v>66932566</v>
      </c>
      <c r="G285" t="n">
        <v>1001028993</v>
      </c>
      <c r="H285" t="n">
        <v>14626743710</v>
      </c>
      <c r="I285" t="n">
        <v>208197077183</v>
      </c>
      <c r="J285" t="n">
        <v>2000</v>
      </c>
      <c r="K285" t="n">
        <v>45471</v>
      </c>
      <c r="L285" t="n">
        <v>2500</v>
      </c>
      <c r="M285" t="n">
        <v>1100</v>
      </c>
      <c r="N285" t="n">
        <v>2420</v>
      </c>
      <c r="O285" t="n">
        <v>3840</v>
      </c>
      <c r="P285" t="n">
        <v>5260</v>
      </c>
      <c r="Q285" t="n">
        <v>6680</v>
      </c>
      <c r="R285" t="n">
        <v>8100</v>
      </c>
      <c r="S285" t="n">
        <v>9520</v>
      </c>
      <c r="T285" t="n">
        <v>10940</v>
      </c>
      <c r="U285" t="n">
        <v>12360</v>
      </c>
      <c r="V285" t="n">
        <v>6910</v>
      </c>
      <c r="W285" t="n">
        <v>2136</v>
      </c>
      <c r="X285" t="n">
        <v>1852</v>
      </c>
      <c r="Y285" t="n">
        <v>8640</v>
      </c>
    </row>
    <row r="286">
      <c r="A286" t="n">
        <v>285</v>
      </c>
      <c r="B286" t="n">
        <v>0</v>
      </c>
      <c r="C286" t="n">
        <v>70839</v>
      </c>
      <c r="D286" t="n">
        <v>283554</v>
      </c>
      <c r="E286" t="n">
        <v>4487585</v>
      </c>
      <c r="F286" t="n">
        <v>69609869</v>
      </c>
      <c r="G286" t="n">
        <v>1051080443</v>
      </c>
      <c r="H286" t="n">
        <v>15504348333</v>
      </c>
      <c r="I286" t="n">
        <v>222770872586</v>
      </c>
      <c r="J286" t="n">
        <v>2000</v>
      </c>
      <c r="K286" t="n">
        <v>45926</v>
      </c>
      <c r="L286" t="n">
        <v>2500</v>
      </c>
      <c r="M286" t="n">
        <v>1100</v>
      </c>
      <c r="N286" t="n">
        <v>2425</v>
      </c>
      <c r="O286" t="n">
        <v>3850</v>
      </c>
      <c r="P286" t="n">
        <v>5275</v>
      </c>
      <c r="Q286" t="n">
        <v>6700</v>
      </c>
      <c r="R286" t="n">
        <v>8125</v>
      </c>
      <c r="S286" t="n">
        <v>9550</v>
      </c>
      <c r="T286" t="n">
        <v>10975</v>
      </c>
      <c r="U286" t="n">
        <v>12400</v>
      </c>
      <c r="V286" t="n">
        <v>6949</v>
      </c>
      <c r="W286" t="n">
        <v>2140</v>
      </c>
      <c r="X286" t="n">
        <v>1855</v>
      </c>
      <c r="Y286" t="n">
        <v>8650</v>
      </c>
    </row>
    <row r="287">
      <c r="A287" t="n">
        <v>286</v>
      </c>
      <c r="B287" t="n">
        <v>0</v>
      </c>
      <c r="C287" t="n">
        <v>71902</v>
      </c>
      <c r="D287" t="n">
        <v>289226</v>
      </c>
      <c r="E287" t="n">
        <v>4622213</v>
      </c>
      <c r="F287" t="n">
        <v>72394264</v>
      </c>
      <c r="G287" t="n">
        <v>1103634466</v>
      </c>
      <c r="H287" t="n">
        <v>16434609233</v>
      </c>
      <c r="I287" t="n">
        <v>238364833668</v>
      </c>
      <c r="J287" t="n">
        <v>2000</v>
      </c>
      <c r="K287" t="n">
        <v>46386</v>
      </c>
      <c r="L287" t="n">
        <v>2500</v>
      </c>
      <c r="M287" t="n">
        <v>1100</v>
      </c>
      <c r="N287" t="n">
        <v>2430</v>
      </c>
      <c r="O287" t="n">
        <v>3860</v>
      </c>
      <c r="P287" t="n">
        <v>5290</v>
      </c>
      <c r="Q287" t="n">
        <v>6720</v>
      </c>
      <c r="R287" t="n">
        <v>8150</v>
      </c>
      <c r="S287" t="n">
        <v>9580</v>
      </c>
      <c r="T287" t="n">
        <v>11010</v>
      </c>
      <c r="U287" t="n">
        <v>12440</v>
      </c>
      <c r="V287" t="n">
        <v>6988</v>
      </c>
      <c r="W287" t="n">
        <v>2144</v>
      </c>
      <c r="X287" t="n">
        <v>1858</v>
      </c>
      <c r="Y287" t="n">
        <v>8660</v>
      </c>
    </row>
    <row r="288">
      <c r="A288" t="n">
        <v>287</v>
      </c>
      <c r="B288" t="n">
        <v>0</v>
      </c>
      <c r="C288" t="n">
        <v>72981</v>
      </c>
      <c r="D288" t="n">
        <v>295011</v>
      </c>
      <c r="E288" t="n">
        <v>4760880</v>
      </c>
      <c r="F288" t="n">
        <v>75290035</v>
      </c>
      <c r="G288" t="n">
        <v>1158816190</v>
      </c>
      <c r="H288" t="n">
        <v>17420685787</v>
      </c>
      <c r="I288" t="n">
        <v>255050372025</v>
      </c>
      <c r="J288" t="n">
        <v>2000</v>
      </c>
      <c r="K288" t="n">
        <v>46850</v>
      </c>
      <c r="L288" t="n">
        <v>2500</v>
      </c>
      <c r="M288" t="n">
        <v>1100</v>
      </c>
      <c r="N288" t="n">
        <v>2435</v>
      </c>
      <c r="O288" t="n">
        <v>3870</v>
      </c>
      <c r="P288" t="n">
        <v>5305</v>
      </c>
      <c r="Q288" t="n">
        <v>6740</v>
      </c>
      <c r="R288" t="n">
        <v>8175</v>
      </c>
      <c r="S288" t="n">
        <v>9610</v>
      </c>
      <c r="T288" t="n">
        <v>11045</v>
      </c>
      <c r="U288" t="n">
        <v>12480</v>
      </c>
      <c r="V288" t="n">
        <v>7027</v>
      </c>
      <c r="W288" t="n">
        <v>2148</v>
      </c>
      <c r="X288" t="n">
        <v>1861</v>
      </c>
      <c r="Y288" t="n">
        <v>8670</v>
      </c>
    </row>
    <row r="289">
      <c r="A289" t="n">
        <v>288</v>
      </c>
      <c r="B289" t="n">
        <v>0</v>
      </c>
      <c r="C289" t="n">
        <v>74076</v>
      </c>
      <c r="D289" t="n">
        <v>300912</v>
      </c>
      <c r="E289" t="n">
        <v>4903707</v>
      </c>
      <c r="F289" t="n">
        <v>78301637</v>
      </c>
      <c r="G289" t="n">
        <v>1216757000</v>
      </c>
      <c r="H289" t="n">
        <v>18465926935</v>
      </c>
      <c r="I289" t="n">
        <v>272903898067</v>
      </c>
      <c r="J289" t="n">
        <v>2000</v>
      </c>
      <c r="K289" t="n">
        <v>47319</v>
      </c>
      <c r="L289" t="n">
        <v>2500</v>
      </c>
      <c r="M289" t="n">
        <v>1100</v>
      </c>
      <c r="N289" t="n">
        <v>2440</v>
      </c>
      <c r="O289" t="n">
        <v>3880</v>
      </c>
      <c r="P289" t="n">
        <v>5320</v>
      </c>
      <c r="Q289" t="n">
        <v>6760</v>
      </c>
      <c r="R289" t="n">
        <v>8200</v>
      </c>
      <c r="S289" t="n">
        <v>9640</v>
      </c>
      <c r="T289" t="n">
        <v>11080</v>
      </c>
      <c r="U289" t="n">
        <v>12520</v>
      </c>
      <c r="V289" t="n">
        <v>7067</v>
      </c>
      <c r="W289" t="n">
        <v>2152</v>
      </c>
      <c r="X289" t="n">
        <v>1864</v>
      </c>
      <c r="Y289" t="n">
        <v>8680</v>
      </c>
    </row>
    <row r="290">
      <c r="A290" t="n">
        <v>289</v>
      </c>
      <c r="B290" t="n">
        <v>0</v>
      </c>
      <c r="C290" t="n">
        <v>75188</v>
      </c>
      <c r="D290" t="n">
        <v>306931</v>
      </c>
      <c r="E290" t="n">
        <v>5050819</v>
      </c>
      <c r="F290" t="n">
        <v>81433703</v>
      </c>
      <c r="G290" t="n">
        <v>1277594850</v>
      </c>
      <c r="H290" t="n">
        <v>19573882552</v>
      </c>
      <c r="I290" t="n">
        <v>292007170932</v>
      </c>
      <c r="J290" t="n">
        <v>2000</v>
      </c>
      <c r="K290" t="n">
        <v>47793</v>
      </c>
      <c r="L290" t="n">
        <v>2500</v>
      </c>
      <c r="M290" t="n">
        <v>1100</v>
      </c>
      <c r="N290" t="n">
        <v>2445</v>
      </c>
      <c r="O290" t="n">
        <v>3890</v>
      </c>
      <c r="P290" t="n">
        <v>5335</v>
      </c>
      <c r="Q290" t="n">
        <v>6780</v>
      </c>
      <c r="R290" t="n">
        <v>8225</v>
      </c>
      <c r="S290" t="n">
        <v>9670</v>
      </c>
      <c r="T290" t="n">
        <v>11115</v>
      </c>
      <c r="U290" t="n">
        <v>12560</v>
      </c>
      <c r="V290" t="n">
        <v>7107</v>
      </c>
      <c r="W290" t="n">
        <v>2156</v>
      </c>
      <c r="X290" t="n">
        <v>1867</v>
      </c>
      <c r="Y290" t="n">
        <v>8690</v>
      </c>
    </row>
    <row r="291">
      <c r="A291" t="n">
        <v>290</v>
      </c>
      <c r="B291" t="n">
        <v>0</v>
      </c>
      <c r="C291" t="n">
        <v>76316</v>
      </c>
      <c r="D291" t="n">
        <v>313070</v>
      </c>
      <c r="E291" t="n">
        <v>5202344</v>
      </c>
      <c r="F291" t="n">
        <v>84691052</v>
      </c>
      <c r="G291" t="n">
        <v>1341474593</v>
      </c>
      <c r="H291" t="n">
        <v>20748315506</v>
      </c>
      <c r="I291" t="n">
        <v>312447672898</v>
      </c>
      <c r="J291" t="n">
        <v>2000</v>
      </c>
      <c r="K291" t="n">
        <v>48271</v>
      </c>
      <c r="L291" t="n">
        <v>2500</v>
      </c>
      <c r="M291" t="n">
        <v>1100</v>
      </c>
      <c r="N291" t="n">
        <v>2450</v>
      </c>
      <c r="O291" t="n">
        <v>3900</v>
      </c>
      <c r="P291" t="n">
        <v>5350</v>
      </c>
      <c r="Q291" t="n">
        <v>6800</v>
      </c>
      <c r="R291" t="n">
        <v>8250</v>
      </c>
      <c r="S291" t="n">
        <v>9700</v>
      </c>
      <c r="T291" t="n">
        <v>11150</v>
      </c>
      <c r="U291" t="n">
        <v>12600</v>
      </c>
      <c r="V291" t="n">
        <v>7147</v>
      </c>
      <c r="W291" t="n">
        <v>2160</v>
      </c>
      <c r="X291" t="n">
        <v>1870</v>
      </c>
      <c r="Y291" t="n">
        <v>8700</v>
      </c>
    </row>
    <row r="292">
      <c r="A292" t="n">
        <v>291</v>
      </c>
      <c r="B292" t="n">
        <v>0</v>
      </c>
      <c r="C292" t="n">
        <v>77461</v>
      </c>
      <c r="D292" t="n">
        <v>319332</v>
      </c>
      <c r="E292" t="n">
        <v>5358415</v>
      </c>
      <c r="F292" t="n">
        <v>88078695</v>
      </c>
      <c r="G292" t="n">
        <v>1408548323</v>
      </c>
      <c r="H292" t="n">
        <v>21993214437</v>
      </c>
      <c r="I292" t="n">
        <v>334319010001</v>
      </c>
      <c r="J292" t="n">
        <v>2000</v>
      </c>
      <c r="K292" t="n">
        <v>48754</v>
      </c>
      <c r="L292" t="n">
        <v>2500</v>
      </c>
      <c r="M292" t="n">
        <v>1100</v>
      </c>
      <c r="N292" t="n">
        <v>2455</v>
      </c>
      <c r="O292" t="n">
        <v>3910</v>
      </c>
      <c r="P292" t="n">
        <v>5365</v>
      </c>
      <c r="Q292" t="n">
        <v>6820</v>
      </c>
      <c r="R292" t="n">
        <v>8275</v>
      </c>
      <c r="S292" t="n">
        <v>9730</v>
      </c>
      <c r="T292" t="n">
        <v>11185</v>
      </c>
      <c r="U292" t="n">
        <v>12640</v>
      </c>
      <c r="V292" t="n">
        <v>7187</v>
      </c>
      <c r="W292" t="n">
        <v>2164</v>
      </c>
      <c r="X292" t="n">
        <v>1873</v>
      </c>
      <c r="Y292" t="n">
        <v>8710</v>
      </c>
    </row>
    <row r="293">
      <c r="A293" t="n">
        <v>292</v>
      </c>
      <c r="B293" t="n">
        <v>0</v>
      </c>
      <c r="C293" t="n">
        <v>78623</v>
      </c>
      <c r="D293" t="n">
        <v>325719</v>
      </c>
      <c r="E293" t="n">
        <v>5519168</v>
      </c>
      <c r="F293" t="n">
        <v>91601843</v>
      </c>
      <c r="G293" t="n">
        <v>1478975740</v>
      </c>
      <c r="H293" t="n">
        <v>23312807304</v>
      </c>
      <c r="I293" t="n">
        <v>357721340702</v>
      </c>
      <c r="J293" t="n">
        <v>2000</v>
      </c>
      <c r="K293" t="n">
        <v>49242</v>
      </c>
      <c r="L293" t="n">
        <v>2500</v>
      </c>
      <c r="M293" t="n">
        <v>1100</v>
      </c>
      <c r="N293" t="n">
        <v>2460</v>
      </c>
      <c r="O293" t="n">
        <v>3920</v>
      </c>
      <c r="P293" t="n">
        <v>5380</v>
      </c>
      <c r="Q293" t="n">
        <v>6840</v>
      </c>
      <c r="R293" t="n">
        <v>8300</v>
      </c>
      <c r="S293" t="n">
        <v>9760</v>
      </c>
      <c r="T293" t="n">
        <v>11220</v>
      </c>
      <c r="U293" t="n">
        <v>12680</v>
      </c>
      <c r="V293" t="n">
        <v>7227</v>
      </c>
      <c r="W293" t="n">
        <v>2168</v>
      </c>
      <c r="X293" t="n">
        <v>1876</v>
      </c>
      <c r="Y293" t="n">
        <v>8720</v>
      </c>
    </row>
    <row r="294">
      <c r="A294" t="n">
        <v>293</v>
      </c>
      <c r="B294" t="n">
        <v>0</v>
      </c>
      <c r="C294" t="n">
        <v>79803</v>
      </c>
      <c r="D294" t="n">
        <v>332234</v>
      </c>
      <c r="E294" t="n">
        <v>5684744</v>
      </c>
      <c r="F294" t="n">
        <v>95265917</v>
      </c>
      <c r="G294" t="n">
        <v>1552924527</v>
      </c>
      <c r="H294" t="n">
        <v>24711575743</v>
      </c>
      <c r="I294" t="n">
        <v>382761834552</v>
      </c>
      <c r="J294" t="n">
        <v>2000</v>
      </c>
      <c r="K294" t="n">
        <v>49735</v>
      </c>
      <c r="L294" t="n">
        <v>2500</v>
      </c>
      <c r="M294" t="n">
        <v>1100</v>
      </c>
      <c r="N294" t="n">
        <v>2465</v>
      </c>
      <c r="O294" t="n">
        <v>3930</v>
      </c>
      <c r="P294" t="n">
        <v>5395</v>
      </c>
      <c r="Q294" t="n">
        <v>6860</v>
      </c>
      <c r="R294" t="n">
        <v>8325</v>
      </c>
      <c r="S294" t="n">
        <v>9790</v>
      </c>
      <c r="T294" t="n">
        <v>11255</v>
      </c>
      <c r="U294" t="n">
        <v>12720</v>
      </c>
      <c r="V294" t="n">
        <v>7268</v>
      </c>
      <c r="W294" t="n">
        <v>2172</v>
      </c>
      <c r="X294" t="n">
        <v>1879</v>
      </c>
      <c r="Y294" t="n">
        <v>8730</v>
      </c>
    </row>
    <row r="295">
      <c r="A295" t="n">
        <v>294</v>
      </c>
      <c r="B295" t="n">
        <v>0</v>
      </c>
      <c r="C295" t="n">
        <v>81001</v>
      </c>
      <c r="D295" t="n">
        <v>338879</v>
      </c>
      <c r="E295" t="n">
        <v>5855287</v>
      </c>
      <c r="F295" t="n">
        <v>99076554</v>
      </c>
      <c r="G295" t="n">
        <v>1630570754</v>
      </c>
      <c r="H295" t="n">
        <v>26194270288</v>
      </c>
      <c r="I295" t="n">
        <v>409555162971</v>
      </c>
      <c r="J295" t="n">
        <v>2000</v>
      </c>
      <c r="K295" t="n">
        <v>50233</v>
      </c>
      <c r="L295" t="n">
        <v>2500</v>
      </c>
      <c r="M295" t="n">
        <v>1100</v>
      </c>
      <c r="N295" t="n">
        <v>2470</v>
      </c>
      <c r="O295" t="n">
        <v>3940</v>
      </c>
      <c r="P295" t="n">
        <v>5410</v>
      </c>
      <c r="Q295" t="n">
        <v>6880</v>
      </c>
      <c r="R295" t="n">
        <v>8350</v>
      </c>
      <c r="S295" t="n">
        <v>9820</v>
      </c>
      <c r="T295" t="n">
        <v>11290</v>
      </c>
      <c r="U295" t="n">
        <v>12760</v>
      </c>
      <c r="V295" t="n">
        <v>7309</v>
      </c>
      <c r="W295" t="n">
        <v>2176</v>
      </c>
      <c r="X295" t="n">
        <v>1882</v>
      </c>
      <c r="Y295" t="n">
        <v>8740</v>
      </c>
    </row>
    <row r="296">
      <c r="A296" t="n">
        <v>295</v>
      </c>
      <c r="B296" t="n">
        <v>0</v>
      </c>
      <c r="C296" t="n">
        <v>82217</v>
      </c>
      <c r="D296" t="n">
        <v>345657</v>
      </c>
      <c r="E296" t="n">
        <v>6030946</v>
      </c>
      <c r="F296" t="n">
        <v>103039617</v>
      </c>
      <c r="G296" t="n">
        <v>1712099292</v>
      </c>
      <c r="H296" t="n">
        <v>27765926506</v>
      </c>
      <c r="I296" t="n">
        <v>438224024379</v>
      </c>
      <c r="J296" t="n">
        <v>2000</v>
      </c>
      <c r="K296" t="n">
        <v>50736</v>
      </c>
      <c r="L296" t="n">
        <v>2500</v>
      </c>
      <c r="M296" t="n">
        <v>1100</v>
      </c>
      <c r="N296" t="n">
        <v>2475</v>
      </c>
      <c r="O296" t="n">
        <v>3950</v>
      </c>
      <c r="P296" t="n">
        <v>5425</v>
      </c>
      <c r="Q296" t="n">
        <v>6900</v>
      </c>
      <c r="R296" t="n">
        <v>8375</v>
      </c>
      <c r="S296" t="n">
        <v>9850</v>
      </c>
      <c r="T296" t="n">
        <v>11325</v>
      </c>
      <c r="U296" t="n">
        <v>12800</v>
      </c>
      <c r="V296" t="n">
        <v>7350</v>
      </c>
      <c r="W296" t="n">
        <v>2180</v>
      </c>
      <c r="X296" t="n">
        <v>1885</v>
      </c>
      <c r="Y296" t="n">
        <v>8750</v>
      </c>
    </row>
    <row r="297">
      <c r="A297" t="n">
        <v>296</v>
      </c>
      <c r="B297" t="n">
        <v>0</v>
      </c>
      <c r="C297" t="n">
        <v>83451</v>
      </c>
      <c r="D297" t="n">
        <v>352571</v>
      </c>
      <c r="E297" t="n">
        <v>6211875</v>
      </c>
      <c r="F297" t="n">
        <v>107161202</v>
      </c>
      <c r="G297" t="n">
        <v>1797704257</v>
      </c>
      <c r="H297" t="n">
        <v>29431882097</v>
      </c>
      <c r="I297" t="n">
        <v>468899706086</v>
      </c>
      <c r="J297" t="n">
        <v>2000</v>
      </c>
      <c r="K297" t="n">
        <v>51244</v>
      </c>
      <c r="L297" t="n">
        <v>2500</v>
      </c>
      <c r="M297" t="n">
        <v>1100</v>
      </c>
      <c r="N297" t="n">
        <v>2480</v>
      </c>
      <c r="O297" t="n">
        <v>3960</v>
      </c>
      <c r="P297" t="n">
        <v>5440</v>
      </c>
      <c r="Q297" t="n">
        <v>6920</v>
      </c>
      <c r="R297" t="n">
        <v>8400</v>
      </c>
      <c r="S297" t="n">
        <v>9880</v>
      </c>
      <c r="T297" t="n">
        <v>11360</v>
      </c>
      <c r="U297" t="n">
        <v>12840</v>
      </c>
      <c r="V297" t="n">
        <v>7391</v>
      </c>
      <c r="W297" t="n">
        <v>2184</v>
      </c>
      <c r="X297" t="n">
        <v>1888</v>
      </c>
      <c r="Y297" t="n">
        <v>8760</v>
      </c>
    </row>
    <row r="298">
      <c r="A298" t="n">
        <v>297</v>
      </c>
      <c r="B298" t="n">
        <v>0</v>
      </c>
      <c r="C298" t="n">
        <v>84703</v>
      </c>
      <c r="D298" t="n">
        <v>359623</v>
      </c>
      <c r="E298" t="n">
        <v>6398232</v>
      </c>
      <c r="F298" t="n">
        <v>111447651</v>
      </c>
      <c r="G298" t="n">
        <v>1887589470</v>
      </c>
      <c r="H298" t="n">
        <v>31197795023</v>
      </c>
      <c r="I298" t="n">
        <v>501722685513</v>
      </c>
      <c r="J298" t="n">
        <v>2000</v>
      </c>
      <c r="K298" t="n">
        <v>51757</v>
      </c>
      <c r="L298" t="n">
        <v>2500</v>
      </c>
      <c r="M298" t="n">
        <v>1100</v>
      </c>
      <c r="N298" t="n">
        <v>2485</v>
      </c>
      <c r="O298" t="n">
        <v>3970</v>
      </c>
      <c r="P298" t="n">
        <v>5455</v>
      </c>
      <c r="Q298" t="n">
        <v>6940</v>
      </c>
      <c r="R298" t="n">
        <v>8425</v>
      </c>
      <c r="S298" t="n">
        <v>9910</v>
      </c>
      <c r="T298" t="n">
        <v>11395</v>
      </c>
      <c r="U298" t="n">
        <v>12880</v>
      </c>
      <c r="V298" t="n">
        <v>7432</v>
      </c>
      <c r="W298" t="n">
        <v>2188</v>
      </c>
      <c r="X298" t="n">
        <v>1891</v>
      </c>
      <c r="Y298" t="n">
        <v>8770</v>
      </c>
    </row>
    <row r="299">
      <c r="A299" t="n">
        <v>298</v>
      </c>
      <c r="B299" t="n">
        <v>0</v>
      </c>
      <c r="C299" t="n">
        <v>85974</v>
      </c>
      <c r="D299" t="n">
        <v>366816</v>
      </c>
      <c r="E299" t="n">
        <v>6590179</v>
      </c>
      <c r="F299" t="n">
        <v>115905558</v>
      </c>
      <c r="G299" t="n">
        <v>1981968944</v>
      </c>
      <c r="H299" t="n">
        <v>33069662725</v>
      </c>
      <c r="I299" t="n">
        <v>536843273499</v>
      </c>
      <c r="J299" t="n">
        <v>2000</v>
      </c>
      <c r="K299" t="n">
        <v>52275</v>
      </c>
      <c r="L299" t="n">
        <v>2500</v>
      </c>
      <c r="M299" t="n">
        <v>1100</v>
      </c>
      <c r="N299" t="n">
        <v>2490</v>
      </c>
      <c r="O299" t="n">
        <v>3980</v>
      </c>
      <c r="P299" t="n">
        <v>5470</v>
      </c>
      <c r="Q299" t="n">
        <v>6960</v>
      </c>
      <c r="R299" t="n">
        <v>8450</v>
      </c>
      <c r="S299" t="n">
        <v>9940</v>
      </c>
      <c r="T299" t="n">
        <v>11430</v>
      </c>
      <c r="U299" t="n">
        <v>12920</v>
      </c>
      <c r="V299" t="n">
        <v>7474</v>
      </c>
      <c r="W299" t="n">
        <v>2192</v>
      </c>
      <c r="X299" t="n">
        <v>1894</v>
      </c>
      <c r="Y299" t="n">
        <v>8780</v>
      </c>
    </row>
    <row r="300">
      <c r="A300" t="n">
        <v>299</v>
      </c>
      <c r="B300" t="n">
        <v>0</v>
      </c>
      <c r="C300" t="n">
        <v>87264</v>
      </c>
      <c r="D300" t="n">
        <v>374153</v>
      </c>
      <c r="E300" t="n">
        <v>6787885</v>
      </c>
      <c r="F300" t="n">
        <v>120541781</v>
      </c>
      <c r="G300" t="n">
        <v>2081067392</v>
      </c>
      <c r="H300" t="n">
        <v>35053842489</v>
      </c>
      <c r="I300" t="n">
        <v>574422302644</v>
      </c>
      <c r="J300" t="n">
        <v>2000</v>
      </c>
      <c r="K300" t="n">
        <v>52798</v>
      </c>
      <c r="L300" t="n">
        <v>2500</v>
      </c>
      <c r="M300" t="n">
        <v>1100</v>
      </c>
      <c r="N300" t="n">
        <v>2495</v>
      </c>
      <c r="O300" t="n">
        <v>3990</v>
      </c>
      <c r="P300" t="n">
        <v>5485</v>
      </c>
      <c r="Q300" t="n">
        <v>6980</v>
      </c>
      <c r="R300" t="n">
        <v>8475</v>
      </c>
      <c r="S300" t="n">
        <v>9970</v>
      </c>
      <c r="T300" t="n">
        <v>11465</v>
      </c>
      <c r="U300" t="n">
        <v>12960</v>
      </c>
      <c r="V300" t="n">
        <v>7516</v>
      </c>
      <c r="W300" t="n">
        <v>2196</v>
      </c>
      <c r="X300" t="n">
        <v>1897</v>
      </c>
      <c r="Y300" t="n">
        <v>8790</v>
      </c>
    </row>
    <row r="301">
      <c r="A301" t="n">
        <v>300</v>
      </c>
      <c r="B301" t="n">
        <v>0</v>
      </c>
      <c r="C301" t="n">
        <v>88573</v>
      </c>
      <c r="D301" t="n">
        <v>381637</v>
      </c>
      <c r="E301" t="n">
        <v>6991522</v>
      </c>
      <c r="F301" t="n">
        <v>125363453</v>
      </c>
      <c r="G301" t="n">
        <v>2185120762</v>
      </c>
      <c r="H301" t="n">
        <v>37157073039</v>
      </c>
      <c r="I301" t="n">
        <v>614631863830</v>
      </c>
      <c r="J301" t="n">
        <v>2000</v>
      </c>
      <c r="K301" t="n">
        <v>53326</v>
      </c>
      <c r="L301" t="n">
        <v>2500</v>
      </c>
      <c r="M301" t="n">
        <v>1100</v>
      </c>
      <c r="N301" t="n">
        <v>2500</v>
      </c>
      <c r="O301" t="n">
        <v>4000</v>
      </c>
      <c r="P301" t="n">
        <v>5500</v>
      </c>
      <c r="Q301" t="n">
        <v>7000</v>
      </c>
      <c r="R301" t="n">
        <v>8500</v>
      </c>
      <c r="S301" t="n">
        <v>10000</v>
      </c>
      <c r="T301" t="n">
        <v>11500</v>
      </c>
      <c r="U301" t="n">
        <v>13000</v>
      </c>
      <c r="V301" t="n">
        <v>7558</v>
      </c>
      <c r="W301" t="n">
        <v>2200</v>
      </c>
      <c r="X301" t="n">
        <v>1900</v>
      </c>
      <c r="Y301" t="n">
        <v>8800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D31"/>
  <sheetViews>
    <sheetView workbookViewId="0">
      <pane ySplit="1" topLeftCell="A2" activePane="bottomLeft" state="frozen"/>
      <selection pane="bottomLeft" activeCell="A1" sqref="A1"/>
    </sheetView>
  </sheetViews>
  <sheetFormatPr baseColWidth="8" defaultRowHeight="15"/>
  <cols>
    <col width="26" customWidth="1" min="1" max="1"/>
    <col width="30" customWidth="1" min="2" max="2"/>
    <col width="8" customWidth="1" min="3" max="3"/>
    <col width="11" customWidth="1" min="4" max="4"/>
    <col width="15" customWidth="1" min="5" max="5"/>
    <col width="13" customWidth="1" min="6" max="6"/>
    <col width="11" customWidth="1" min="7" max="7"/>
    <col width="8" customWidth="1" min="8" max="8"/>
    <col width="13" customWidth="1" min="9" max="9"/>
    <col width="11" customWidth="1" min="10" max="10"/>
    <col width="12" customWidth="1" min="11" max="11"/>
    <col width="18" customWidth="1" min="12" max="12"/>
    <col width="11" customWidth="1" min="13" max="13"/>
    <col width="14" customWidth="1" min="14" max="14"/>
    <col width="17" customWidth="1" min="15" max="15"/>
    <col width="16" customWidth="1" min="16" max="16"/>
    <col width="18" customWidth="1" min="17" max="17"/>
    <col width="17" customWidth="1" min="18" max="18"/>
    <col width="16" customWidth="1" min="19" max="19"/>
    <col width="16" customWidth="1" min="20" max="20"/>
    <col width="17" customWidth="1" min="21" max="21"/>
    <col width="20" customWidth="1" min="22" max="22"/>
    <col width="18" customWidth="1" min="23" max="23"/>
    <col width="15" customWidth="1" min="24" max="24"/>
    <col width="14" customWidth="1" min="25" max="25"/>
    <col width="16" customWidth="1" min="26" max="26"/>
    <col width="20" customWidth="1" min="27" max="27"/>
    <col width="20" customWidth="1" min="28" max="28"/>
    <col width="8" customWidth="1" min="29" max="29"/>
    <col width="60" customWidth="1" min="30" max="30"/>
  </cols>
  <sheetData>
    <row r="1">
      <c r="A1" s="5" t="inlineStr">
        <is>
          <t>Key</t>
        </is>
      </c>
      <c r="B1" s="5" t="inlineStr">
        <is>
          <t>Name</t>
        </is>
      </c>
      <c r="C1" s="5" t="inlineStr">
        <is>
          <t>JobStep</t>
        </is>
      </c>
      <c r="D1" s="5" t="inlineStr">
        <is>
          <t>Cooldown(s)</t>
        </is>
      </c>
      <c r="E1" s="5" t="inlineStr">
        <is>
          <t>CostsActionSlot</t>
        </is>
      </c>
      <c r="F1" s="5" t="inlineStr">
        <is>
          <t>ActionsPerCast</t>
        </is>
      </c>
      <c r="G1" s="5" t="inlineStr">
        <is>
          <t>HitsPerCast</t>
        </is>
      </c>
      <c r="H1" s="5" t="inlineStr">
        <is>
          <t>ICD(s)</t>
        </is>
      </c>
      <c r="I1" s="5" t="inlineStr">
        <is>
          <t>ActiveWindow(s)</t>
        </is>
      </c>
      <c r="J1" s="5" t="inlineStr">
        <is>
          <t>ProcChance%</t>
        </is>
      </c>
      <c r="K1" s="5" t="inlineStr">
        <is>
          <t>RollsPerCast</t>
        </is>
      </c>
      <c r="L1" s="5" t="inlineStr">
        <is>
          <t>BaseDamage(tenths%)</t>
        </is>
      </c>
      <c r="M1" s="5" t="inlineStr">
        <is>
          <t>FactorIndex</t>
        </is>
      </c>
      <c r="N1" s="5" t="inlineStr">
        <is>
          <t>ScalesWithLevel</t>
        </is>
      </c>
      <c r="O1" s="5" t="inlineStr">
        <is>
          <t>SkillMasteryBonus%</t>
        </is>
      </c>
      <c r="P1" s="5" t="inlineStr">
        <is>
          <t>MasteryBossDamage%</t>
        </is>
      </c>
      <c r="Q1" s="5" t="inlineStr">
        <is>
          <t>MasteryNormalDamage%</t>
        </is>
      </c>
      <c r="R1" s="5" t="inlineStr">
        <is>
          <t>MasteryFinalDamage%</t>
        </is>
      </c>
      <c r="S1" s="5" t="inlineStr">
        <is>
          <t>MasteryMaxDamage%</t>
        </is>
      </c>
      <c r="T1" s="5" t="inlineStr">
        <is>
          <t>MasteryMinDamage%</t>
        </is>
      </c>
      <c r="U1" s="5" t="inlineStr">
        <is>
          <t>MasteryCooldownPct</t>
        </is>
      </c>
      <c r="V1" s="5" t="inlineStr">
        <is>
          <t>MasteryTargetIncrease</t>
        </is>
      </c>
      <c r="W1" s="5" t="inlineStr">
        <is>
          <t>NormalMonsterTargets</t>
        </is>
      </c>
      <c r="X1" s="5" t="inlineStr">
        <is>
          <t>BuffTargetStat</t>
        </is>
      </c>
      <c r="Y1" s="5" t="inlineStr">
        <is>
          <t>BuffDuration(s)</t>
        </is>
      </c>
      <c r="Z1" s="5" t="inlineStr">
        <is>
          <t>TriggersToxicVenom</t>
        </is>
      </c>
      <c r="AA1" s="5" t="inlineStr">
        <is>
          <t>MapleHeroBase(tenths%)</t>
        </is>
      </c>
      <c r="AB1" s="5" t="inlineStr">
        <is>
          <t>MapleHeroFactorIndex</t>
        </is>
      </c>
      <c r="AC1" s="5" t="inlineStr">
        <is>
          <t>Stacks</t>
        </is>
      </c>
      <c r="AD1" s="5" t="inlineStr">
        <is>
          <t>Note</t>
        </is>
      </c>
    </row>
    <row r="2">
      <c r="A2" t="inlineStr">
        <is>
          <t>CRUEL_STAB</t>
        </is>
      </c>
      <c r="B2" t="inlineStr">
        <is>
          <t>Cruel Stab</t>
        </is>
      </c>
      <c r="C2" t="n">
        <v>4</v>
      </c>
      <c r="D2" t="inlineStr"/>
      <c r="E2" t="b">
        <v>0</v>
      </c>
      <c r="F2" t="n">
        <v>1</v>
      </c>
      <c r="G2">
        <f>IF(Inputs!$B$3&gt;=136,6,5)</f>
        <v/>
      </c>
      <c r="H2" t="n">
        <v>0</v>
      </c>
      <c r="I2" t="n">
        <v>0</v>
      </c>
      <c r="J2" t="n">
        <v>100</v>
      </c>
      <c r="K2" t="n">
        <v>1</v>
      </c>
      <c r="L2" t="inlineStr"/>
      <c r="M2" t="inlineStr"/>
      <c r="N2" t="b">
        <v>1</v>
      </c>
      <c r="O2">
        <f>SUMPRODUCT((Inputs!$B$3&gt;={102,106,116,120,128,132})*{10,11,12,13,14,15})</f>
        <v/>
      </c>
      <c r="P2">
        <f>SUMPRODUCT((Inputs!$B$3&gt;={111,124})*{10,10})</f>
        <v/>
      </c>
      <c r="Q2" t="n">
        <v>0</v>
      </c>
      <c r="R2" t="n">
        <v>0</v>
      </c>
      <c r="S2" t="n">
        <v>0</v>
      </c>
      <c r="T2" t="n">
        <v>0</v>
      </c>
      <c r="U2" t="n">
        <v>0</v>
      </c>
      <c r="V2" t="n">
        <v>0</v>
      </c>
      <c r="W2">
        <f>6+Inputs!$B$33</f>
        <v/>
      </c>
      <c r="X2" t="inlineStr"/>
      <c r="Y2" t="n">
        <v>0</v>
      </c>
      <c r="Z2" t="b">
        <v>1</v>
      </c>
      <c r="AA2" t="inlineStr"/>
      <c r="AB2" t="inlineStr"/>
      <c r="AC2" t="inlineStr"/>
      <c r="AD2" t="inlineStr">
        <is>
          <t>4th-job basic-attack effect (supersedes Double Stab/Savage Blow/Midnight Carnival). HIGH-CONFIDENCE REUSE of the universal 4th-job basic-attack constant confirmed identical across every class built so far (Showdown/Chain Lightning/Big Bang/Cruel Stab all share this exact wiki-documented 290%-&gt;522% curve) — factorIndex 21, baseDamage 2900 tenths%, matching Inputs!skill_coefficient exactly. SkillMasteryBonus% is the 6-tier 'Cruel Stab - Damage' mastery chain (102-132, cumulative totals 10%-&gt;15%, DELTA increments). MasteryBossDamage% is the 2-tier 'Cruel Stab - Boss Monster Damage' chain (111/124, +20% total). HitsPerCast 5-&gt;6 once the level-136 'Strike' mastery unlocks. Triggers Toxic Venom.</t>
        </is>
      </c>
    </row>
    <row r="3">
      <c r="A3" t="inlineStr">
        <is>
          <t>STEAL</t>
        </is>
      </c>
      <c r="B3" t="inlineStr">
        <is>
          <t>Steal (self Attack%)</t>
        </is>
      </c>
      <c r="C3" t="n">
        <v>2</v>
      </c>
      <c r="D3" t="inlineStr"/>
      <c r="E3" t="b">
        <v>0</v>
      </c>
      <c r="F3" t="n">
        <v>1</v>
      </c>
      <c r="G3" t="n">
        <v>1</v>
      </c>
      <c r="H3" t="n">
        <v>0</v>
      </c>
      <c r="I3" t="n">
        <v>0</v>
      </c>
      <c r="J3" t="n">
        <v>100</v>
      </c>
      <c r="K3" t="n">
        <v>1</v>
      </c>
      <c r="L3" t="n">
        <v>50</v>
      </c>
      <c r="M3" t="n">
        <v>22</v>
      </c>
      <c r="N3" t="b">
        <v>1</v>
      </c>
      <c r="O3" t="n">
        <v>0</v>
      </c>
      <c r="P3" t="n">
        <v>0</v>
      </c>
      <c r="Q3" t="n">
        <v>0</v>
      </c>
      <c r="R3" t="n">
        <v>0</v>
      </c>
      <c r="S3" t="n">
        <v>0</v>
      </c>
      <c r="T3" t="n">
        <v>0</v>
      </c>
      <c r="U3" t="n">
        <v>0</v>
      </c>
      <c r="V3" t="n">
        <v>0</v>
      </c>
      <c r="W3" t="n">
        <v>1</v>
      </c>
      <c r="X3" t="inlineStr">
        <is>
          <t>ATTACK</t>
        </is>
      </c>
      <c r="Y3" t="n">
        <v>0</v>
      </c>
      <c r="Z3" t="b">
        <v>0</v>
      </c>
      <c r="AA3" t="inlineStr"/>
      <c r="AB3" t="inlineStr"/>
      <c r="AC3" t="inlineStr"/>
      <c r="AD3" t="inlineStr">
        <is>
          <t>Own self-Attack-buff component only (target-debuff component out of scope — not the caster's own damage). 5%-&gt;6.5% Attack per stack (levels 1-100), stacks up to 3 — modeled at steady-state max stacks (mirrors Elemental Drain's always-max-stacks convention), so this row's own contribution is 3x its own F-value, always-on once unlocked (no uptime averaging — see build_summary_sheet). factorIndex 22, baseDamage 50 tenths%. Mastery Lv.39 '+5%p activation chance' (10%-&gt;15%) has zero DPS effect under the always-max-stacks assumption (same no-op tier as Bishop's own Elemental-Reset-chance-doubling mastery). Mastery Lv.54 '+50% Attack reduction on target' is a target-debuff, out of scope.</t>
        </is>
      </c>
    </row>
    <row r="4">
      <c r="A4" t="inlineStr">
        <is>
          <t>MESO_EXPLOSION</t>
        </is>
      </c>
      <c r="B4" t="inlineStr">
        <is>
          <t>Meso Explosion</t>
        </is>
      </c>
      <c r="C4" t="n">
        <v>3</v>
      </c>
      <c r="D4" t="n">
        <v>11</v>
      </c>
      <c r="E4" t="b">
        <v>1</v>
      </c>
      <c r="F4" t="n">
        <v>1</v>
      </c>
      <c r="G4" t="n">
        <v>3</v>
      </c>
      <c r="H4" t="n">
        <v>0</v>
      </c>
      <c r="I4" t="n">
        <v>0</v>
      </c>
      <c r="J4" t="n">
        <v>100</v>
      </c>
      <c r="K4" t="n">
        <v>1</v>
      </c>
      <c r="L4" t="n">
        <v>2700</v>
      </c>
      <c r="M4" t="n">
        <v>12</v>
      </c>
      <c r="N4" t="b">
        <v>1</v>
      </c>
      <c r="O4">
        <f>SUMPRODUCT((Inputs!$B$3&gt;={90})*{100})</f>
        <v/>
      </c>
      <c r="P4" t="n">
        <v>0</v>
      </c>
      <c r="Q4" t="n">
        <v>0</v>
      </c>
      <c r="R4" t="n">
        <v>0</v>
      </c>
      <c r="S4" t="n">
        <v>0</v>
      </c>
      <c r="T4" t="n">
        <v>0</v>
      </c>
      <c r="U4" t="n">
        <v>0</v>
      </c>
      <c r="V4" t="n">
        <v>0</v>
      </c>
      <c r="W4" t="inlineStr"/>
      <c r="X4" t="inlineStr"/>
      <c r="Y4" t="n">
        <v>0</v>
      </c>
      <c r="Z4" t="b">
        <v>1</v>
      </c>
      <c r="AA4" t="inlineStr"/>
      <c r="AB4" t="inlineStr"/>
      <c r="AC4" t="inlineStr"/>
      <c r="AD4" t="inlineStr">
        <is>
          <t>Resource-gated activated skill: 50% chance per attack to generate a Meso stack (max 10); own cast (this row's own 11s cooldown) deals damage to (stack count) targets. Modeled at steady state: average stack count at cast time = MIN(10, 0.5*attack_rate*cooldown), computed as a bespoke NormalMonsterTargets-equivalent formula in build_calc_sheet (left blank here, NOT a Skills-sheet literal, since it depends on the live Summary attack-rate cell) — same 'assume steady accumulation' simplification tier as Frost stacks/Elemental Drain elsewhere. factorIndex 12, baseDamage 2700 tenths% (270% level-1). SkillMasteryBonus% is Mastery Lv.90 'Meso Explosion damage +100%' (content-based — the wiki mislabels this row 'Meso Explosion - Strike', ignore the label, the description is unambiguous). Triggers Toxic Venom.</t>
        </is>
      </c>
    </row>
    <row r="5">
      <c r="A5" t="inlineStr">
        <is>
          <t>MESO_MASTERY</t>
        </is>
      </c>
      <c r="B5" t="inlineStr">
        <is>
          <t>Meso Mastery (Attack buff)</t>
        </is>
      </c>
      <c r="C5" t="n">
        <v>3</v>
      </c>
      <c r="D5" t="inlineStr"/>
      <c r="E5" t="b">
        <v>0</v>
      </c>
      <c r="F5" t="n">
        <v>1</v>
      </c>
      <c r="G5" t="n">
        <v>1</v>
      </c>
      <c r="H5" t="n">
        <v>0</v>
      </c>
      <c r="I5" t="n">
        <v>0</v>
      </c>
      <c r="J5" t="n">
        <v>100</v>
      </c>
      <c r="K5" t="n">
        <v>1</v>
      </c>
      <c r="L5" t="n">
        <v>250</v>
      </c>
      <c r="M5" t="n">
        <v>0</v>
      </c>
      <c r="N5" t="b">
        <v>0</v>
      </c>
      <c r="O5" t="n">
        <v>0</v>
      </c>
      <c r="P5" t="n">
        <v>0</v>
      </c>
      <c r="Q5" t="n">
        <v>0</v>
      </c>
      <c r="R5" t="n">
        <v>0</v>
      </c>
      <c r="S5" t="n">
        <v>0</v>
      </c>
      <c r="T5" t="n">
        <v>0</v>
      </c>
      <c r="U5" t="n">
        <v>0</v>
      </c>
      <c r="V5" t="n">
        <v>0</v>
      </c>
      <c r="W5" t="n">
        <v>1</v>
      </c>
      <c r="X5" t="inlineStr">
        <is>
          <t>ATTACK</t>
        </is>
      </c>
      <c r="Y5" t="n">
        <v>0</v>
      </c>
      <c r="Z5" t="b">
        <v>0</v>
      </c>
      <c r="AA5" t="inlineStr"/>
      <c r="AB5" t="inlineStr"/>
      <c r="AC5" t="inlineStr"/>
      <c r="AD5" t="inlineStr">
        <is>
          <t>NEW (audit 2026-10-21): Lv75 passive 'Meso Mastery': Meso generation chance +25%p (50% -&gt; 75%, applied in the Meso Explosion / Blood Money stack formulas) AND 'whenever Meso is generated, Attack +25% for 5 sec'. The 25% is modeled as a flat Attack% term in the Attack% bucket, time-averaged as a 5s buff refreshed by Meso-generation events (rate = 0.75 x attack lines/s): uptime = 1-exp(-0.75*APS*5).</t>
        </is>
      </c>
    </row>
    <row r="6">
      <c r="A6" t="inlineStr">
        <is>
          <t>PHASE_DASH</t>
        </is>
      </c>
      <c r="B6" t="inlineStr">
        <is>
          <t>Phase Dash</t>
        </is>
      </c>
      <c r="C6" t="n">
        <v>3</v>
      </c>
      <c r="D6" t="n">
        <v>23</v>
      </c>
      <c r="E6" t="b">
        <v>1</v>
      </c>
      <c r="F6" t="n">
        <v>1</v>
      </c>
      <c r="G6" t="n">
        <v>2</v>
      </c>
      <c r="H6" t="n">
        <v>0</v>
      </c>
      <c r="I6" t="n">
        <v>0</v>
      </c>
      <c r="J6" t="n">
        <v>100</v>
      </c>
      <c r="K6" t="n">
        <v>1</v>
      </c>
      <c r="L6" t="n">
        <v>4500</v>
      </c>
      <c r="M6" t="n">
        <v>12</v>
      </c>
      <c r="N6" t="b">
        <v>1</v>
      </c>
      <c r="O6">
        <f>SUMPRODUCT((Inputs!$B$3&gt;={73})*{80})</f>
        <v/>
      </c>
      <c r="P6" t="n">
        <v>0</v>
      </c>
      <c r="Q6" t="n">
        <v>0</v>
      </c>
      <c r="R6" t="n">
        <v>0</v>
      </c>
      <c r="S6" t="n">
        <v>0</v>
      </c>
      <c r="T6" t="n">
        <v>0</v>
      </c>
      <c r="U6" t="n">
        <v>0</v>
      </c>
      <c r="V6" t="n">
        <v>0</v>
      </c>
      <c r="W6" t="n">
        <v>9</v>
      </c>
      <c r="X6" t="inlineStr"/>
      <c r="Y6" t="n">
        <v>0</v>
      </c>
      <c r="Z6" t="b">
        <v>1</v>
      </c>
      <c r="AA6" t="inlineStr"/>
      <c r="AB6" t="inlineStr"/>
      <c r="AC6" t="inlineStr"/>
      <c r="AD6" t="inlineStr">
        <is>
          <t>450%-&gt;... to 7 target(s) (patched Aug 13 2026 -&gt; 9, confirmed no tick/interval mechanic exists on this skill's own wiki page to change, despite an initially-mis-paired patch-note line — see the plan's Context section), 2 hits, cooldown 23s, stun not modeled. factorIndex 12, baseDamage 4500 tenths%. Mastery Lv.73 'Phase Dash - Damage' +80% (real SkillMasteryBonus%). Triggers Toxic Venom.</t>
        </is>
      </c>
    </row>
    <row r="7">
      <c r="A7" t="inlineStr">
        <is>
          <t>DARK_FLARE</t>
        </is>
      </c>
      <c r="B7" t="inlineStr">
        <is>
          <t>Dark Flare</t>
        </is>
      </c>
      <c r="C7" t="n">
        <v>3</v>
      </c>
      <c r="D7">
        <f>IF(Inputs!$B$3&gt;=94,45*0.7,45)</f>
        <v/>
      </c>
      <c r="E7" t="b">
        <v>1</v>
      </c>
      <c r="F7" t="n">
        <v>1</v>
      </c>
      <c r="G7">
        <f>IF(Inputs!$B$3&gt;=78,3,2)</f>
        <v/>
      </c>
      <c r="H7">
        <f>IF(Inputs!$B$3&gt;=104,2*0.75,2)</f>
        <v/>
      </c>
      <c r="I7" t="n">
        <v>20</v>
      </c>
      <c r="J7" t="n">
        <v>100</v>
      </c>
      <c r="K7" t="n">
        <v>1</v>
      </c>
      <c r="L7" t="n">
        <v>3300</v>
      </c>
      <c r="M7" t="n">
        <v>12</v>
      </c>
      <c r="N7" t="b">
        <v>1</v>
      </c>
      <c r="O7" t="n">
        <v>0</v>
      </c>
      <c r="P7" t="n">
        <v>0</v>
      </c>
      <c r="Q7" t="n">
        <v>0</v>
      </c>
      <c r="R7" t="n">
        <v>0</v>
      </c>
      <c r="S7" t="n">
        <v>0</v>
      </c>
      <c r="T7" t="n">
        <v>0</v>
      </c>
      <c r="U7">
        <f>IF(Inputs!$B$3&gt;=94,30,0)</f>
        <v/>
      </c>
      <c r="V7" t="n">
        <v>0</v>
      </c>
      <c r="W7" t="n">
        <v>8</v>
      </c>
      <c r="X7" t="inlineStr"/>
      <c r="Y7" t="n">
        <v>0</v>
      </c>
      <c r="Z7" t="b">
        <v>1</v>
      </c>
      <c r="AA7" t="inlineStr"/>
      <c r="AB7" t="inlineStr"/>
      <c r="AC7" t="inlineStr"/>
      <c r="AD7" t="inlineStr">
        <is>
          <t>Shared verbatim w/ Night Lord (identical wiki wording AND identical patch corrections: hit interval 5s-&gt;2s, targets 5-&gt;8, damage 400%-&gt;330%). factorIndex 12, baseDamage 3300 tenths%. Mastery Lv.104 (Shadower's own 'Dark Flare - Strike Interval', -25%, matches Night Lord's own mastery of the same name exactly) baked into the ICD(s) formula; Lv.92 -30% cooldown baked into Cooldown(s). Maple Hero (Shadower) target — see MAPLE_HERO_SHADOWER_RATIOS, NOT the generic MapleHeroBase mechanism (unlike Night Lord's own copy of this row, which uses the generic 'additional damage%' mechanism instead — the two classes' Maple Hero effects are structurally different even though the base skill is identical). Triggers Toxic Venom.</t>
        </is>
      </c>
    </row>
    <row r="8">
      <c r="A8" t="inlineStr">
        <is>
          <t>SHADOW_PARTNER</t>
        </is>
      </c>
      <c r="B8" t="inlineStr">
        <is>
          <t>Shadow Partner</t>
        </is>
      </c>
      <c r="C8" t="n">
        <v>3</v>
      </c>
      <c r="D8" t="inlineStr"/>
      <c r="E8" t="b">
        <v>0</v>
      </c>
      <c r="F8" t="n">
        <v>1</v>
      </c>
      <c r="G8" t="n">
        <v>1</v>
      </c>
      <c r="H8" t="n">
        <v>0</v>
      </c>
      <c r="I8" t="n">
        <v>0</v>
      </c>
      <c r="J8" t="n">
        <v>25</v>
      </c>
      <c r="K8" t="n">
        <v>1</v>
      </c>
      <c r="L8" t="n">
        <v>600</v>
      </c>
      <c r="M8" t="n">
        <v>21</v>
      </c>
      <c r="N8" t="b">
        <v>1</v>
      </c>
      <c r="O8">
        <f>SUMPRODUCT((Inputs!$B$3&gt;={68})*{100})</f>
        <v/>
      </c>
      <c r="P8" t="n">
        <v>0</v>
      </c>
      <c r="Q8" t="n">
        <v>0</v>
      </c>
      <c r="R8" t="n">
        <v>0</v>
      </c>
      <c r="S8" t="n">
        <v>0</v>
      </c>
      <c r="T8" t="n">
        <v>0</v>
      </c>
      <c r="U8" t="n">
        <v>0</v>
      </c>
      <c r="V8" t="n">
        <v>0</v>
      </c>
      <c r="W8" t="n">
        <v>1</v>
      </c>
      <c r="X8" t="inlineStr"/>
      <c r="Y8" t="n">
        <v>0</v>
      </c>
      <c r="Z8" t="b">
        <v>0</v>
      </c>
      <c r="AA8" t="inlineStr"/>
      <c r="AB8" t="inlineStr"/>
      <c r="AC8" t="inlineStr"/>
      <c r="AD8" t="inlineStr">
        <is>
          <t>Shared verbatim w/ Night Lord. Hybrid row: Calc columns D-I computed like a normal damage row but Calc!O forced to 0 — not an independent hit; Summary reads this row's Calc!F directly and folds into the shared extra_mult chain. factorIndex 21, baseDamage 840 tenths%. ProcChance% is the real 25% proc rate. SkillMasteryBonus% is Mastery Lv.68 'Shadow Partner - Damage' +100%. Maple Hero (Shadower) target — see MAPLE_HERO_SHADOWER_RATIOS (structurally different from Night Lord's own copy, same caveat as Dark Flare above).</t>
        </is>
      </c>
    </row>
    <row r="9">
      <c r="A9" t="inlineStr">
        <is>
          <t>VENOM</t>
        </is>
      </c>
      <c r="B9" t="inlineStr">
        <is>
          <t>Venom</t>
        </is>
      </c>
      <c r="C9" t="n">
        <v>3</v>
      </c>
      <c r="D9" t="n">
        <v>1</v>
      </c>
      <c r="E9" t="b">
        <v>0</v>
      </c>
      <c r="F9" t="n">
        <v>1</v>
      </c>
      <c r="G9" t="n">
        <v>1</v>
      </c>
      <c r="H9" t="n">
        <v>0</v>
      </c>
      <c r="I9" t="n">
        <v>0</v>
      </c>
      <c r="J9" t="n">
        <v>100</v>
      </c>
      <c r="K9" t="n">
        <v>1</v>
      </c>
      <c r="L9" t="n">
        <v>450</v>
      </c>
      <c r="M9" t="n">
        <v>21</v>
      </c>
      <c r="N9" t="b">
        <v>1</v>
      </c>
      <c r="O9" t="n">
        <v>0</v>
      </c>
      <c r="P9" t="n">
        <v>0</v>
      </c>
      <c r="Q9" t="n">
        <v>0</v>
      </c>
      <c r="R9" t="n">
        <v>0</v>
      </c>
      <c r="S9" t="n">
        <v>0</v>
      </c>
      <c r="T9" t="n">
        <v>0</v>
      </c>
      <c r="U9" t="n">
        <v>0</v>
      </c>
      <c r="V9" t="n">
        <v>0</v>
      </c>
      <c r="W9" t="n">
        <v>1</v>
      </c>
      <c r="X9" t="inlineStr"/>
      <c r="Y9" t="n">
        <v>0</v>
      </c>
      <c r="Z9" t="b">
        <v>0</v>
      </c>
      <c r="AA9" t="inlineStr"/>
      <c r="AB9" t="inlineStr"/>
      <c r="AC9" t="inlineStr"/>
      <c r="AD9" t="inlineStr">
        <is>
          <t>Shared verbatim w/ Night Lord (patched poison chance 30%-&gt;50%, modeled always-active at steady state — matches Night Lord's own treatment exactly, including the Cooldown=1 'always-on tick' trick). factorIndex 21, baseDamage 450 tenths% (45%-&gt;81%, levels 1-200) — reverse-engineered fresh this session and confirmed to resolve to the EXACT same tuple Night Lord already uses, cross-validating the shared-skill-reuse premise. Mastery Lv.82 Weaken (+15%p Damage Taken while poisoned, patched from 12% — matches Night Lord's own Venom - Weaken mastery exactly, confirmed via the patch note despite the wiki mastery table mislabeling this row 'Meso Explosion - Damage') is a GLOBAL always-on monster-damage-taken bonus, not a per-row Mastery column — see build_summary_sheet. Maple Hero (Shadower) target — see MAPLE_HERO_SHADOWER_RATIOS (structurally different from Night Lord's own copy, same caveat as Dark Flare above).</t>
        </is>
      </c>
    </row>
    <row r="10">
      <c r="A10" t="inlineStr">
        <is>
          <t>TOXIC_VENOM</t>
        </is>
      </c>
      <c r="B10" t="inlineStr">
        <is>
          <t>Toxic Venom</t>
        </is>
      </c>
      <c r="C10" t="n">
        <v>4</v>
      </c>
      <c r="D10" t="inlineStr"/>
      <c r="E10" t="b">
        <v>0</v>
      </c>
      <c r="F10" t="n">
        <v>1</v>
      </c>
      <c r="G10" t="n">
        <v>1</v>
      </c>
      <c r="H10" t="n">
        <v>0</v>
      </c>
      <c r="I10" t="n">
        <v>0</v>
      </c>
      <c r="J10" t="n">
        <v>20</v>
      </c>
      <c r="K10" t="n">
        <v>1</v>
      </c>
      <c r="L10" t="n">
        <v>6000</v>
      </c>
      <c r="M10" t="n">
        <v>21</v>
      </c>
      <c r="N10" t="b">
        <v>1</v>
      </c>
      <c r="O10">
        <f>SUMPRODUCT((Inputs!$B$3&gt;={130})*{100})</f>
        <v/>
      </c>
      <c r="P10" t="n">
        <v>0</v>
      </c>
      <c r="Q10" t="n">
        <v>0</v>
      </c>
      <c r="R10" t="n">
        <v>0</v>
      </c>
      <c r="S10" t="n">
        <v>0</v>
      </c>
      <c r="T10" t="n">
        <v>0</v>
      </c>
      <c r="U10" t="n">
        <v>0</v>
      </c>
      <c r="V10" t="n">
        <v>0</v>
      </c>
      <c r="W10" t="n">
        <v>1</v>
      </c>
      <c r="X10" t="inlineStr"/>
      <c r="Y10" t="n">
        <v>0</v>
      </c>
      <c r="Z10" t="b">
        <v>0</v>
      </c>
      <c r="AA10" t="inlineStr"/>
      <c r="AB10" t="inlineStr"/>
      <c r="AC10" t="inlineStr"/>
      <c r="AD10" t="inlineStr">
        <is>
          <t>Shared verbatim w/ Night Lord. No ICD — every attack against a (permanently poisoned) target independently rolls the 20% chance. Trigger rate = the combined per-second hit rate of every row with TriggersToxicVenom=TRUE. factorIndex 21, baseDamage 6000 tenths% (600%-&gt;1080%, levels 1-200). SkillMasteryBonus% is Mastery Lv.130 'Toxic Venom - Damage' +100% (Shadower's own tier — same mastery name/effect as Night Lord's own Lv.128 tier, just at a different level in this class's own mastery table).</t>
        </is>
      </c>
    </row>
    <row r="11">
      <c r="A11" t="inlineStr">
        <is>
          <t>INTO_DARKNESS</t>
        </is>
      </c>
      <c r="B11" t="inlineStr">
        <is>
          <t>Into Darkness</t>
        </is>
      </c>
      <c r="C11" t="n">
        <v>3</v>
      </c>
      <c r="D11" t="n">
        <v>40</v>
      </c>
      <c r="E11" t="b">
        <v>1</v>
      </c>
      <c r="F11" t="n">
        <v>1</v>
      </c>
      <c r="G11" t="n">
        <v>1</v>
      </c>
      <c r="H11" t="n">
        <v>0</v>
      </c>
      <c r="I11" t="n">
        <v>0</v>
      </c>
      <c r="J11" t="n">
        <v>100</v>
      </c>
      <c r="K11" t="n">
        <v>1</v>
      </c>
      <c r="L11" t="n">
        <v>200</v>
      </c>
      <c r="M11" t="n">
        <v>21</v>
      </c>
      <c r="N11" t="b">
        <v>1</v>
      </c>
      <c r="O11" t="n">
        <v>0</v>
      </c>
      <c r="P11" t="n">
        <v>0</v>
      </c>
      <c r="Q11" t="n">
        <v>0</v>
      </c>
      <c r="R11" t="n">
        <v>0</v>
      </c>
      <c r="S11" t="n">
        <v>0</v>
      </c>
      <c r="T11" t="n">
        <v>0</v>
      </c>
      <c r="U11" t="n">
        <v>0</v>
      </c>
      <c r="V11" t="n">
        <v>0</v>
      </c>
      <c r="W11" t="n">
        <v>1</v>
      </c>
      <c r="X11" t="inlineStr">
        <is>
          <t>FINAL_DAMAGE</t>
        </is>
      </c>
      <c r="Y11" t="n">
        <v>13</v>
      </c>
      <c r="Z11" t="b">
        <v>0</v>
      </c>
      <c r="AA11" t="inlineStr"/>
      <c r="AB11" t="inlineStr"/>
      <c r="AC11" t="inlineStr"/>
      <c r="AD11" t="inlineStr">
        <is>
          <t>FLAGGED (full curve exists, but a genuinely new skill with no cross-class precedent to sanity-check against): +20%-&gt;28% Final Damage for 13s, cooldown 40s. Basic-attack-damage immunity component (defensive) not modeled. factorIndex 21, baseDamage 200 tenths%.</t>
        </is>
      </c>
    </row>
    <row r="12">
      <c r="A12" t="inlineStr">
        <is>
          <t>ASSASSINATE</t>
        </is>
      </c>
      <c r="B12" t="inlineStr">
        <is>
          <t>Assassinate</t>
        </is>
      </c>
      <c r="C12" t="n">
        <v>4</v>
      </c>
      <c r="D12" t="n">
        <v>13</v>
      </c>
      <c r="E12" t="b">
        <v>1</v>
      </c>
      <c r="F12" t="n">
        <v>1</v>
      </c>
      <c r="G12" t="n">
        <v>2</v>
      </c>
      <c r="H12" t="n">
        <v>0</v>
      </c>
      <c r="I12" t="n">
        <v>0</v>
      </c>
      <c r="J12" t="n">
        <v>100</v>
      </c>
      <c r="K12" t="n">
        <v>1</v>
      </c>
      <c r="L12" t="n">
        <v>14000</v>
      </c>
      <c r="M12" t="n">
        <v>12</v>
      </c>
      <c r="N12" t="b">
        <v>1</v>
      </c>
      <c r="O12" t="n">
        <v>0</v>
      </c>
      <c r="P12" t="n">
        <v>0</v>
      </c>
      <c r="Q12" t="n">
        <v>0</v>
      </c>
      <c r="R12" t="n">
        <v>0</v>
      </c>
      <c r="S12" t="n">
        <v>0</v>
      </c>
      <c r="T12" t="n">
        <v>0</v>
      </c>
      <c r="U12" t="n">
        <v>0</v>
      </c>
      <c r="V12" t="n">
        <v>0</v>
      </c>
      <c r="W12" t="n">
        <v>1</v>
      </c>
      <c r="X12" t="inlineStr"/>
      <c r="Y12" t="n">
        <v>0</v>
      </c>
      <c r="Z12" t="b">
        <v>1</v>
      </c>
      <c r="AA12" t="inlineStr"/>
      <c r="AB12" t="inlineStr"/>
      <c r="AC12" t="inlineStr"/>
      <c r="AD12" t="inlineStr">
        <is>
          <t>2-part damage structure: base 1400%-&gt;1680%(lvl50, curve continues) x2 hits (factorIndex 21, baseDamage 14000 tenths%), PLUS a periodic finishing blow (+3000%-&gt;3750%(lvl50) additional damage, factorIndex 12, baseDamage 30000 tenths% — see FINISHER constants below) landing on average every 2nd cast (modeled as a flat 50% average multiplier, not an exact odd/even cast counter). This row needs a BESPOKE Calc!F formula (two independent FactorTable lookups combined additively, the finisher term halved for its average-every-2nd-cast frequency) — see build_calc_sheet. Mastery Lv.108 'Murderous Intent' doubles the NEXT finishing blow after a Blood Money attack — modeled as a steady-state average multiplier on the finisher term (probability = MIN(1, Blood-Money's own cast rate / Assassinate's own finisher rate)), not an exact alternating-state machine. Mastery Lv.134 'Assassinate - Damage' +50% (real, applies to the base-hit term only, matching the wiki's own 'Assassinate damage' wording which doesn't call out the finisher specifically). Curve confidence note: the patch's own qualitative text ('base hit damage now increases more significantly with skill level') has no numeric override — using the wiki's own current curve as the best available data. Triggers Toxic Venom (a genuine independent attack, unlike Venom/Shadow Partner/Shadow Shifter's own deliberate exclusions).</t>
        </is>
      </c>
    </row>
    <row r="13">
      <c r="A13" t="inlineStr">
        <is>
          <t>SUDDEN_RAID_BURST</t>
        </is>
      </c>
      <c r="B13" t="inlineStr">
        <is>
          <t>Sudden Raid (burst)</t>
        </is>
      </c>
      <c r="C13" t="n">
        <v>4</v>
      </c>
      <c r="D13" t="n">
        <v>19</v>
      </c>
      <c r="E13" t="b">
        <v>1</v>
      </c>
      <c r="F13" t="n">
        <v>1</v>
      </c>
      <c r="G13" t="n">
        <v>3</v>
      </c>
      <c r="H13" t="n">
        <v>0</v>
      </c>
      <c r="I13" t="n">
        <v>0</v>
      </c>
      <c r="J13" t="n">
        <v>100</v>
      </c>
      <c r="K13" t="n">
        <v>1</v>
      </c>
      <c r="L13" t="n">
        <v>14000</v>
      </c>
      <c r="M13" t="n">
        <v>12</v>
      </c>
      <c r="N13" t="b">
        <v>1</v>
      </c>
      <c r="O13">
        <f>SUMPRODUCT((Inputs!$B$3&gt;={126})*{50})</f>
        <v/>
      </c>
      <c r="P13" t="n">
        <v>0</v>
      </c>
      <c r="Q13" t="n">
        <v>0</v>
      </c>
      <c r="R13" t="n">
        <v>0</v>
      </c>
      <c r="S13" t="n">
        <v>0</v>
      </c>
      <c r="T13" t="n">
        <v>0</v>
      </c>
      <c r="U13" t="n">
        <v>0</v>
      </c>
      <c r="V13" t="n">
        <v>0</v>
      </c>
      <c r="W13" t="n">
        <v>8</v>
      </c>
      <c r="X13" t="inlineStr"/>
      <c r="Y13" t="n">
        <v>0</v>
      </c>
      <c r="Z13" t="b">
        <v>1</v>
      </c>
      <c r="AA13" t="inlineStr"/>
      <c r="AB13" t="inlineStr"/>
      <c r="AC13" t="inlineStr"/>
      <c r="AD13" t="inlineStr">
        <is>
          <t>Shared verbatim w/ Night Lord. factorIndex 12, baseDamage 14000 tenths% (1400%-&gt;2800%, levels 1-200). Mastery Lv.126 'Sudden Raid - Damage' +50% (Shadower's own tier, at a different level than Night Lord's own Lv.124 tier for the same mastery name — each class's mastery TABLE assigns its own level to a shared base skill's mastery, confirmed not an error). Does not apply to the DoT row below.</t>
        </is>
      </c>
    </row>
    <row r="14">
      <c r="A14" t="inlineStr">
        <is>
          <t>SUDDEN_RAID_DOT</t>
        </is>
      </c>
      <c r="B14" t="inlineStr">
        <is>
          <t>Sudden Raid (DoT)</t>
        </is>
      </c>
      <c r="C14" t="n">
        <v>4</v>
      </c>
      <c r="D14">
        <f>Skills!D13</f>
        <v/>
      </c>
      <c r="E14" t="b">
        <v>0</v>
      </c>
      <c r="F14" t="n">
        <v>1</v>
      </c>
      <c r="G14" t="n">
        <v>1</v>
      </c>
      <c r="H14" t="n">
        <v>1</v>
      </c>
      <c r="I14" t="n">
        <v>5</v>
      </c>
      <c r="J14" t="n">
        <v>100</v>
      </c>
      <c r="K14" t="n">
        <v>1</v>
      </c>
      <c r="L14" t="n">
        <v>3600</v>
      </c>
      <c r="M14" t="n">
        <v>12</v>
      </c>
      <c r="N14" t="b">
        <v>1</v>
      </c>
      <c r="O14" t="n">
        <v>0</v>
      </c>
      <c r="P14" t="n">
        <v>0</v>
      </c>
      <c r="Q14" t="n">
        <v>0</v>
      </c>
      <c r="R14" t="n">
        <v>0</v>
      </c>
      <c r="S14" t="n">
        <v>0</v>
      </c>
      <c r="T14" t="n">
        <v>0</v>
      </c>
      <c r="U14" t="n">
        <v>0</v>
      </c>
      <c r="V14" t="n">
        <v>0</v>
      </c>
      <c r="W14" t="n">
        <v>8</v>
      </c>
      <c r="X14" t="inlineStr"/>
      <c r="Y14" t="n">
        <v>0</v>
      </c>
      <c r="Z14" t="b">
        <v>1</v>
      </c>
      <c r="AA14" t="inlineStr"/>
      <c r="AB14" t="inlineStr"/>
      <c r="AC14" t="inlineStr"/>
      <c r="AD14" t="inlineStr">
        <is>
          <t>Shared verbatim w/ Night Lord. Shares Sudden Raid (burst)'s live Cooldown(s) cell. factorIndex 12, baseDamage 3600 tenths% (360%-&gt;720%, levels 1-200), 5s window / 1s ICD = 5 EffectiveHits per cast.</t>
        </is>
      </c>
    </row>
    <row r="15">
      <c r="A15" t="inlineStr">
        <is>
          <t>BLOOD_MONEY</t>
        </is>
      </c>
      <c r="B15" t="inlineStr">
        <is>
          <t>Blood Money</t>
        </is>
      </c>
      <c r="C15" t="n">
        <v>4</v>
      </c>
      <c r="D15">
        <f>Skills!D4</f>
        <v/>
      </c>
      <c r="E15" t="b">
        <v>0</v>
      </c>
      <c r="F15" t="n">
        <v>1</v>
      </c>
      <c r="G15" t="n">
        <v>3</v>
      </c>
      <c r="H15" t="n">
        <v>0</v>
      </c>
      <c r="I15" t="n">
        <v>0</v>
      </c>
      <c r="J15" t="n">
        <v>100</v>
      </c>
      <c r="K15" t="n">
        <v>1</v>
      </c>
      <c r="L15" t="n">
        <v>36000</v>
      </c>
      <c r="M15" t="n">
        <v>12</v>
      </c>
      <c r="N15" t="b">
        <v>1</v>
      </c>
      <c r="O15">
        <f>SUMPRODUCT((Inputs!$B$3&gt;={122,138})*{50,50})</f>
        <v/>
      </c>
      <c r="P15" t="n">
        <v>0</v>
      </c>
      <c r="Q15" t="n">
        <v>0</v>
      </c>
      <c r="R15" t="n">
        <v>0</v>
      </c>
      <c r="S15" t="n">
        <v>0</v>
      </c>
      <c r="T15" t="n">
        <v>0</v>
      </c>
      <c r="U15" t="n">
        <v>0</v>
      </c>
      <c r="V15">
        <f>IF(Inputs!$B$3&gt;=138,3,IF(Inputs!$B$3&gt;=122,2,1))</f>
        <v/>
      </c>
      <c r="W15" t="inlineStr"/>
      <c r="X15" t="inlineStr"/>
      <c r="Y15" t="n">
        <v>0</v>
      </c>
      <c r="Z15" t="b">
        <v>1</v>
      </c>
      <c r="AA15" t="inlineStr"/>
      <c r="AB15" t="inlineStr"/>
      <c r="AC15" t="inlineStr"/>
      <c r="AD15" t="inlineStr">
        <is>
          <t>PATCHED (Aug 13 2026): base damage 2800%-&gt;3600% (curve rescaled 1.2857x before reverse-engineering — factorIndex 12, baseDamage 36000 tenths% already reflects the patched value), single-target +5%/stack bonus REMOVED. Triggers alongside Meso Explosion's own cast (shares its live Cooldown(s) cell, no independent cooldown) — 50% chance PER meso-generation-roll to also create a Blood Money stack (max 5), modeled at steady state: MIN(5, 0.25*attack_rate*11) (0.5 meso-chance x 0.5 blood-money-chance), a bespoke NormalMonsterTargets-equivalent formula in build_calc_sheet (left blank here, same treatment as Meso Explosion's own targets formula). MasteryTargetIncrease field repurposed here as the stack-to-targets MULTIPLIER (1x pre-122, 2x at 122, 3x at 138 — both Lv.122 and Lv.138 masteries renamed 'Damage &amp; Target' by the patch, see the plan's Context section for the full before/after reconciliation). SkillMasteryBonus% is the combined +50%(122)+50%(138) = +100% total once both unlock. Triggers Toxic Venom.</t>
        </is>
      </c>
    </row>
    <row r="16">
      <c r="A16" t="inlineStr">
        <is>
          <t>SMOKESCREEN</t>
        </is>
      </c>
      <c r="B16" t="inlineStr">
        <is>
          <t>Smokescreen</t>
        </is>
      </c>
      <c r="C16" t="n">
        <v>4</v>
      </c>
      <c r="D16" t="n">
        <v>45</v>
      </c>
      <c r="E16" t="b">
        <v>1</v>
      </c>
      <c r="F16" t="n">
        <v>1</v>
      </c>
      <c r="G16" t="n">
        <v>1</v>
      </c>
      <c r="H16" t="n">
        <v>0</v>
      </c>
      <c r="I16" t="n">
        <v>0</v>
      </c>
      <c r="J16" t="n">
        <v>100</v>
      </c>
      <c r="K16" t="n">
        <v>1</v>
      </c>
      <c r="L16" t="n">
        <v>130</v>
      </c>
      <c r="M16" t="n">
        <v>22</v>
      </c>
      <c r="N16" t="b">
        <v>1</v>
      </c>
      <c r="O16" t="n">
        <v>0</v>
      </c>
      <c r="P16" t="n">
        <v>0</v>
      </c>
      <c r="Q16" t="n">
        <v>0</v>
      </c>
      <c r="R16" t="n">
        <v>0</v>
      </c>
      <c r="S16" t="n">
        <v>0</v>
      </c>
      <c r="T16" t="n">
        <v>0</v>
      </c>
      <c r="U16" t="n">
        <v>0</v>
      </c>
      <c r="V16" t="n">
        <v>0</v>
      </c>
      <c r="W16" t="n">
        <v>1</v>
      </c>
      <c r="X16" t="inlineStr">
        <is>
          <t>FINAL_DAMAGE</t>
        </is>
      </c>
      <c r="Y16" t="n">
        <v>20</v>
      </c>
      <c r="Z16" t="b">
        <v>0</v>
      </c>
      <c r="AA16" t="inlineStr"/>
      <c r="AB16" t="inlineStr"/>
      <c r="AC16" t="inlineStr"/>
      <c r="AD16" t="inlineStr">
        <is>
          <t>Enemy-debuff components (Accuracy/Evasion/Defense reduction) and ally-damage-taken-reduction not modeled (no such mechanics exist anywhere in this calculator). Self Final Damage component only: +13%-&gt;14.9%(lvl50, curve continues) for 20s, cooldown 45s. factorIndex 22, baseDamage 130 tenths% — confirmed via exact-floor curve matching (the naive mean-based resolver initially suggested 129, off by one due to this being a small-magnitude curve, same class of rounding issue flagged in this project's own memory notes for FP-Mage — resolved by checking which integer base reproduces every sampled level's value exactly under floor-to-1-decimal rounding, not just within a loose tolerance). Mastery Lv.113 'Smokescreen - Critical': -10% enemy Critical Resistance in range (not modeled) + allies' Critical Damage +30% (self-inclusive, feeds a Crit-Damage-bonus accumulator in build_summary_sheet, duty-cycle-averaged off this row's own uptime).</t>
        </is>
      </c>
    </row>
    <row r="17">
      <c r="A17" t="inlineStr">
        <is>
          <t>SHADOW_SHIFTER</t>
        </is>
      </c>
      <c r="B17" t="inlineStr">
        <is>
          <t>Shadow Shifter (counterattack)</t>
        </is>
      </c>
      <c r="C17" t="n">
        <v>4</v>
      </c>
      <c r="D17" t="inlineStr"/>
      <c r="E17" t="b">
        <v>0</v>
      </c>
      <c r="F17" t="n">
        <v>1</v>
      </c>
      <c r="G17" t="n">
        <v>1</v>
      </c>
      <c r="H17" t="n">
        <v>0</v>
      </c>
      <c r="I17" t="n">
        <v>0</v>
      </c>
      <c r="J17" t="n">
        <v>100</v>
      </c>
      <c r="K17" t="n">
        <v>1</v>
      </c>
      <c r="L17" t="n">
        <v>25000</v>
      </c>
      <c r="M17" t="n">
        <v>21</v>
      </c>
      <c r="N17" t="b">
        <v>1</v>
      </c>
      <c r="O17" t="n">
        <v>0</v>
      </c>
      <c r="P17" t="n">
        <v>0</v>
      </c>
      <c r="Q17" t="n">
        <v>0</v>
      </c>
      <c r="R17" t="n">
        <v>0</v>
      </c>
      <c r="S17" t="n">
        <v>0</v>
      </c>
      <c r="T17" t="n">
        <v>0</v>
      </c>
      <c r="U17" t="n">
        <v>0</v>
      </c>
      <c r="V17" t="n">
        <v>0</v>
      </c>
      <c r="W17" t="n">
        <v>1</v>
      </c>
      <c r="X17" t="inlineStr"/>
      <c r="Y17" t="n">
        <v>0</v>
      </c>
      <c r="Z17" t="b">
        <v>0</v>
      </c>
      <c r="AA17" t="inlineStr"/>
      <c r="AB17" t="inlineStr"/>
      <c r="AC17" t="inlineStr"/>
      <c r="AD17" t="inlineStr">
        <is>
          <t>Shared verbatim w/ Night Lord. Counterattack DPS = Inputs!incoming_hit_rate * 20% * ExpectedDamage(counterHit) — bespoke O-column branch, no Cooldown(s)/rate machinery of its own. factorIndex 21, baseDamage 25000 tenths% (2500%-&gt;4500%, levels 1-200).</t>
        </is>
      </c>
    </row>
    <row r="18">
      <c r="A18" t="inlineStr">
        <is>
          <t>SHADOW_SHIFTER_SELF_ATK</t>
        </is>
      </c>
      <c r="B18" t="inlineStr">
        <is>
          <t>Shadow Shifter (self Final Damage%)</t>
        </is>
      </c>
      <c r="C18" t="n">
        <v>4</v>
      </c>
      <c r="D18" t="inlineStr"/>
      <c r="E18" t="b">
        <v>0</v>
      </c>
      <c r="F18" t="n">
        <v>1</v>
      </c>
      <c r="G18" t="n">
        <v>1</v>
      </c>
      <c r="H18" t="n">
        <v>0</v>
      </c>
      <c r="I18" t="n">
        <v>0</v>
      </c>
      <c r="J18" t="n">
        <v>100</v>
      </c>
      <c r="K18" t="n">
        <v>1</v>
      </c>
      <c r="L18" t="n">
        <v>100</v>
      </c>
      <c r="M18" t="n">
        <v>22</v>
      </c>
      <c r="N18" t="b">
        <v>1</v>
      </c>
      <c r="O18">
        <f>SUMPRODUCT((Inputs!$B$3&gt;={118})*{10})</f>
        <v/>
      </c>
      <c r="P18" t="n">
        <v>0</v>
      </c>
      <c r="Q18" t="n">
        <v>0</v>
      </c>
      <c r="R18" t="n">
        <v>0</v>
      </c>
      <c r="S18" t="n">
        <v>0</v>
      </c>
      <c r="T18" t="n">
        <v>0</v>
      </c>
      <c r="U18" t="n">
        <v>0</v>
      </c>
      <c r="V18" t="n">
        <v>0</v>
      </c>
      <c r="W18" t="n">
        <v>1</v>
      </c>
      <c r="X18" t="inlineStr">
        <is>
          <t>FINAL_DAMAGE</t>
        </is>
      </c>
      <c r="Y18" t="n">
        <v>0</v>
      </c>
      <c r="Z18" t="b">
        <v>0</v>
      </c>
      <c r="AA18" t="inlineStr"/>
      <c r="AB18" t="inlineStr"/>
      <c r="AC18" t="inlineStr"/>
      <c r="AD18" t="inlineStr">
        <is>
          <t>AUDIT 2026-10-21: per the site (user decision) Shadow Shifter's passive is +10% FINAL DAMAGE (wiki said Attack); Mastery Lv118 adds +10%p. Baked-in-Inputs delta row, now feeding the Final Damage Sensitivity slot. Shared verbatim w/ Night Lord. Passive-mult delta-tracking row (10%-&gt;16% self Attack) — assumed already baked into Inputs!ATTACK_PCT (Magic Critical pattern). factorIndex 22, baseDamage 100 tenths%.</t>
        </is>
      </c>
    </row>
    <row r="19">
      <c r="A19" t="inlineStr">
        <is>
          <t>MAPLE_HERO_SHADOWER</t>
        </is>
      </c>
      <c r="B19" t="inlineStr">
        <is>
          <t>Maple Hero</t>
        </is>
      </c>
      <c r="C19" t="n">
        <v>4</v>
      </c>
      <c r="D19" t="inlineStr"/>
      <c r="E19" t="b">
        <v>0</v>
      </c>
      <c r="F19" t="n">
        <v>1</v>
      </c>
      <c r="G19" t="n">
        <v>1</v>
      </c>
      <c r="H19" t="n">
        <v>0</v>
      </c>
      <c r="I19" t="n">
        <v>0</v>
      </c>
      <c r="J19" t="n">
        <v>100</v>
      </c>
      <c r="K19" t="n">
        <v>1</v>
      </c>
      <c r="L19" t="n">
        <v>150</v>
      </c>
      <c r="M19" t="n">
        <v>23</v>
      </c>
      <c r="N19" t="b">
        <v>1</v>
      </c>
      <c r="O19" t="n">
        <v>0</v>
      </c>
      <c r="P19" t="n">
        <v>0</v>
      </c>
      <c r="Q19" t="n">
        <v>0</v>
      </c>
      <c r="R19" t="n">
        <v>0</v>
      </c>
      <c r="S19" t="n">
        <v>0</v>
      </c>
      <c r="T19" t="n">
        <v>0</v>
      </c>
      <c r="U19" t="n">
        <v>0</v>
      </c>
      <c r="V19" t="n">
        <v>0</v>
      </c>
      <c r="W19" t="n">
        <v>1</v>
      </c>
      <c r="X19" t="inlineStr"/>
      <c r="Y19" t="n">
        <v>0</v>
      </c>
      <c r="Z19" t="b">
        <v>0</v>
      </c>
      <c r="AA19" t="inlineStr"/>
      <c r="AB19" t="inlineStr"/>
      <c r="AC19" t="inlineStr"/>
      <c r="AD19" t="inlineStr">
        <is>
          <t>Shared curve feeding Dark Flare/Venom/Shadow Partner/Phase Dash's own Final Damage chains (see MAPLE_HERO_SHADOWER_RATIOS) — confirmed via reverse-engineering that all 4 target values scale proportionally across the full level range (factorIndex 23, baseDamage 150 tenths%, representing Dark Flare's own 1x share; Venom/Shadow Partner are 3.3333x, Phase Dash is 2.6667x). No independent DPS row of its own (Calc columns J-N stay blank/0, same 'no independent row' pattern as Night Lord's own Night Lord's Mark) — only D/E/F are computed, read directly by each target row's own K-column formula.</t>
        </is>
      </c>
    </row>
    <row r="20">
      <c r="A20" t="inlineStr">
        <is>
          <t>NIMBLE_FEET</t>
        </is>
      </c>
      <c r="B20" t="inlineStr">
        <is>
          <t>Nimble Feet</t>
        </is>
      </c>
      <c r="C20" t="n">
        <v>1</v>
      </c>
      <c r="D20" t="n">
        <v>60</v>
      </c>
      <c r="E20" t="b">
        <v>1</v>
      </c>
      <c r="F20" t="n">
        <v>1</v>
      </c>
      <c r="G20" t="n">
        <v>1</v>
      </c>
      <c r="H20" t="n">
        <v>0</v>
      </c>
      <c r="I20" t="n">
        <v>0</v>
      </c>
      <c r="J20" t="n">
        <v>100</v>
      </c>
      <c r="K20" t="n">
        <v>1</v>
      </c>
      <c r="L20" t="n">
        <v>150</v>
      </c>
      <c r="M20" t="n">
        <v>0</v>
      </c>
      <c r="N20" t="b">
        <v>0</v>
      </c>
      <c r="O20" t="n">
        <v>0</v>
      </c>
      <c r="P20" t="n">
        <v>0</v>
      </c>
      <c r="Q20" t="n">
        <v>0</v>
      </c>
      <c r="R20" t="n">
        <v>0</v>
      </c>
      <c r="S20" t="n">
        <v>0</v>
      </c>
      <c r="T20" t="n">
        <v>0</v>
      </c>
      <c r="U20" t="n">
        <v>0</v>
      </c>
      <c r="V20" t="n">
        <v>0</v>
      </c>
      <c r="W20" t="n">
        <v>1</v>
      </c>
      <c r="X20" t="inlineStr">
        <is>
          <t>ATTACK_SPEED</t>
        </is>
      </c>
      <c r="Y20" t="n">
        <v>15</v>
      </c>
      <c r="Z20" t="b">
        <v>0</v>
      </c>
      <c r="AA20" t="inlineStr"/>
      <c r="AB20" t="inlineStr"/>
      <c r="AC20" t="inlineStr"/>
      <c r="AD20" t="inlineStr">
        <is>
          <t>Shared verbatim w/ Night Lord/FP-Mage. Flat +15% Attack Speed / +10% Speed for 15s, 60s cooldown, non-scaling. FactorIndex unused placeholder.</t>
        </is>
      </c>
    </row>
    <row r="21">
      <c r="A21" t="inlineStr">
        <is>
          <t>DARK_SIGHT_CRIT</t>
        </is>
      </c>
      <c r="B21" t="inlineStr">
        <is>
          <t>Dark Sight (Crit Rate)</t>
        </is>
      </c>
      <c r="C21" t="n">
        <v>1</v>
      </c>
      <c r="D21" t="n">
        <v>25</v>
      </c>
      <c r="E21" t="b">
        <v>0</v>
      </c>
      <c r="F21" t="n">
        <v>1</v>
      </c>
      <c r="G21" t="n">
        <v>1</v>
      </c>
      <c r="H21" t="n">
        <v>0</v>
      </c>
      <c r="I21" t="n">
        <v>0</v>
      </c>
      <c r="J21" t="n">
        <v>100</v>
      </c>
      <c r="K21" t="n">
        <v>1</v>
      </c>
      <c r="L21" t="n">
        <v>60</v>
      </c>
      <c r="M21" t="n">
        <v>21</v>
      </c>
      <c r="N21" t="b">
        <v>1</v>
      </c>
      <c r="O21" t="n">
        <v>0</v>
      </c>
      <c r="P21" t="n">
        <v>0</v>
      </c>
      <c r="Q21" t="n">
        <v>0</v>
      </c>
      <c r="R21" t="n">
        <v>0</v>
      </c>
      <c r="S21" t="n">
        <v>0</v>
      </c>
      <c r="T21" t="n">
        <v>0</v>
      </c>
      <c r="U21" t="n">
        <v>0</v>
      </c>
      <c r="V21" t="n">
        <v>0</v>
      </c>
      <c r="W21" t="n">
        <v>1</v>
      </c>
      <c r="X21" t="inlineStr">
        <is>
          <t>CRIT_RATE</t>
        </is>
      </c>
      <c r="Y21">
        <f>IF(Inputs!$B$3&gt;=24,12,8)</f>
        <v/>
      </c>
      <c r="Z21" t="b">
        <v>0</v>
      </c>
      <c r="AA21" t="inlineStr"/>
      <c r="AB21" t="inlineStr"/>
      <c r="AC21" t="inlineStr"/>
      <c r="AD21" t="inlineStr">
        <is>
          <t>Shared verbatim w/ Night Lord (identical wording). Two-stage activation grants +6%-&gt;8.4% Crit Rate for 8s (-&gt;12s once Mastery Lv.24 'Dark Sight - Persistence' unlocks). factorIndex 21, baseDamage 60 tenths%. Passenger row (CostsActionSlot=False).</t>
        </is>
      </c>
    </row>
    <row r="22">
      <c r="A22" t="inlineStr">
        <is>
          <t>DARK_SIGHT_ATK</t>
        </is>
      </c>
      <c r="B22" t="inlineStr">
        <is>
          <t>Dark Sight (Attack)</t>
        </is>
      </c>
      <c r="C22" t="n">
        <v>1</v>
      </c>
      <c r="D22" t="n">
        <v>25</v>
      </c>
      <c r="E22" t="b">
        <v>1</v>
      </c>
      <c r="F22" t="n">
        <v>2</v>
      </c>
      <c r="G22" t="n">
        <v>1</v>
      </c>
      <c r="H22" t="n">
        <v>0</v>
      </c>
      <c r="I22" t="n">
        <v>0</v>
      </c>
      <c r="J22" t="n">
        <v>100</v>
      </c>
      <c r="K22" t="n">
        <v>1</v>
      </c>
      <c r="L22" t="n">
        <v>100</v>
      </c>
      <c r="M22" t="n">
        <v>21</v>
      </c>
      <c r="N22" t="b">
        <v>1</v>
      </c>
      <c r="O22" t="n">
        <v>0</v>
      </c>
      <c r="P22" t="n">
        <v>0</v>
      </c>
      <c r="Q22" t="n">
        <v>0</v>
      </c>
      <c r="R22" t="n">
        <v>0</v>
      </c>
      <c r="S22" t="n">
        <v>0</v>
      </c>
      <c r="T22" t="n">
        <v>0</v>
      </c>
      <c r="U22" t="n">
        <v>0</v>
      </c>
      <c r="V22" t="n">
        <v>0</v>
      </c>
      <c r="W22" t="n">
        <v>1</v>
      </c>
      <c r="X22" t="inlineStr">
        <is>
          <t>ATTACK</t>
        </is>
      </c>
      <c r="Y22">
        <f>IF(Inputs!$B$3&gt;=24,12,8)</f>
        <v/>
      </c>
      <c r="Z22" t="b">
        <v>0</v>
      </c>
      <c r="AA22" t="inlineStr"/>
      <c r="AB22" t="inlineStr"/>
      <c r="AC22" t="inlineStr"/>
      <c r="AD22" t="inlineStr">
        <is>
          <t>Shared verbatim w/ Night Lord. Same 2-stage activation, +10%-&gt;14% Attack for 8s (-&gt;12s at Mastery Lv.24). factorIndex 21, baseDamage 100 tenths%. ActionsPerCast=2.</t>
        </is>
      </c>
    </row>
    <row r="23">
      <c r="A23" t="inlineStr">
        <is>
          <t>AGILE_DAGGERS</t>
        </is>
      </c>
      <c r="B23" t="inlineStr">
        <is>
          <t>Agile Daggers</t>
        </is>
      </c>
      <c r="C23" t="n">
        <v>2</v>
      </c>
      <c r="D23" t="inlineStr"/>
      <c r="E23" t="b">
        <v>0</v>
      </c>
      <c r="F23" t="n">
        <v>1</v>
      </c>
      <c r="G23" t="n">
        <v>1</v>
      </c>
      <c r="H23" t="n">
        <v>0</v>
      </c>
      <c r="I23" t="n">
        <v>0</v>
      </c>
      <c r="J23" t="n">
        <v>100</v>
      </c>
      <c r="K23" t="n">
        <v>1</v>
      </c>
      <c r="L23" t="n">
        <v>50</v>
      </c>
      <c r="M23" t="n">
        <v>22</v>
      </c>
      <c r="N23" t="b">
        <v>1</v>
      </c>
      <c r="O23" t="n">
        <v>0</v>
      </c>
      <c r="P23" t="n">
        <v>0</v>
      </c>
      <c r="Q23" t="n">
        <v>0</v>
      </c>
      <c r="R23" t="n">
        <v>0</v>
      </c>
      <c r="S23" t="n">
        <v>0</v>
      </c>
      <c r="T23" t="n">
        <v>0</v>
      </c>
      <c r="U23" t="n">
        <v>0</v>
      </c>
      <c r="V23" t="n">
        <v>0</v>
      </c>
      <c r="W23" t="n">
        <v>1</v>
      </c>
      <c r="X23" t="inlineStr">
        <is>
          <t>ATTACK_SPEED</t>
        </is>
      </c>
      <c r="Y23" t="n">
        <v>0</v>
      </c>
      <c r="Z23" t="b">
        <v>0</v>
      </c>
      <c r="AA23" t="inlineStr"/>
      <c r="AB23" t="inlineStr"/>
      <c r="AC23" t="inlineStr"/>
      <c r="AD23" t="inlineStr">
        <is>
          <t>HIGH-CONFIDENCE REUSE (no individual wiki page exists for this specific skill, but its level-1 text '+5% Attack Speed' is word-for-word identical to Night Lord's own Agile Claws): reuses that exact factorIndex 22/baseDamage 50 tenths% pair. Magic Critical pattern — already baked into Inputs!ATTACK_SPEED%; feeds the 2nd-Job Skill Level Bonus Sensitivity delta only.</t>
        </is>
      </c>
    </row>
    <row r="24">
      <c r="A24" t="inlineStr">
        <is>
          <t>CHANNEL_KARMA</t>
        </is>
      </c>
      <c r="B24" t="inlineStr">
        <is>
          <t>Channel Karma (self Attack%)</t>
        </is>
      </c>
      <c r="C24" t="n">
        <v>2</v>
      </c>
      <c r="D24" t="inlineStr"/>
      <c r="E24" t="b">
        <v>0</v>
      </c>
      <c r="F24" t="n">
        <v>1</v>
      </c>
      <c r="G24" t="n">
        <v>1</v>
      </c>
      <c r="H24" t="n">
        <v>0</v>
      </c>
      <c r="I24" t="n">
        <v>0</v>
      </c>
      <c r="J24" t="n">
        <v>100</v>
      </c>
      <c r="K24" t="n">
        <v>1</v>
      </c>
      <c r="L24" t="n">
        <v>80</v>
      </c>
      <c r="M24" t="n">
        <v>22</v>
      </c>
      <c r="N24" t="b">
        <v>1</v>
      </c>
      <c r="O24" t="n">
        <v>0</v>
      </c>
      <c r="P24" t="n">
        <v>0</v>
      </c>
      <c r="Q24" t="n">
        <v>0</v>
      </c>
      <c r="R24" t="n">
        <v>0</v>
      </c>
      <c r="S24" t="n">
        <v>0</v>
      </c>
      <c r="T24" t="n">
        <v>0</v>
      </c>
      <c r="U24" t="n">
        <v>0</v>
      </c>
      <c r="V24" t="n">
        <v>0</v>
      </c>
      <c r="W24" t="n">
        <v>1</v>
      </c>
      <c r="X24" t="inlineStr">
        <is>
          <t>ATTACK</t>
        </is>
      </c>
      <c r="Y24" t="n">
        <v>0</v>
      </c>
      <c r="Z24" t="b">
        <v>0</v>
      </c>
      <c r="AA24" t="inlineStr"/>
      <c r="AB24" t="inlineStr"/>
      <c r="AC24" t="inlineStr"/>
      <c r="AD24" t="inlineStr">
        <is>
          <t>FLAGGED ASSUMPTION (no individual wiki page exists): factorIndex 22 (convention), baseDamage 80 tenths% (8% level-1 Attack component). Critical Resistance component not modeled (no such mechanic exists). Magic Critical pattern — already baked into Inputs!ATTACK_PCT; feeds the 2nd-Job Skill Level Bonus delta only.</t>
        </is>
      </c>
    </row>
    <row r="25">
      <c r="A25" t="inlineStr">
        <is>
          <t>DAGGER_MASTERY</t>
        </is>
      </c>
      <c r="B25" t="inlineStr">
        <is>
          <t>Dagger Mastery</t>
        </is>
      </c>
      <c r="C25" t="n">
        <v>2</v>
      </c>
      <c r="D25" t="inlineStr"/>
      <c r="E25" t="b">
        <v>0</v>
      </c>
      <c r="F25" t="n">
        <v>1</v>
      </c>
      <c r="G25" t="n">
        <v>1</v>
      </c>
      <c r="H25" t="n">
        <v>0</v>
      </c>
      <c r="I25" t="n">
        <v>0</v>
      </c>
      <c r="J25" t="n">
        <v>100</v>
      </c>
      <c r="K25" t="n">
        <v>1</v>
      </c>
      <c r="L25" t="n">
        <v>150</v>
      </c>
      <c r="M25" t="n">
        <v>22</v>
      </c>
      <c r="N25" t="b">
        <v>1</v>
      </c>
      <c r="O25" t="n">
        <v>0</v>
      </c>
      <c r="P25" t="n">
        <v>0</v>
      </c>
      <c r="Q25" t="n">
        <v>0</v>
      </c>
      <c r="R25" t="n">
        <v>0</v>
      </c>
      <c r="S25" t="n">
        <v>0</v>
      </c>
      <c r="T25" t="n">
        <v>0</v>
      </c>
      <c r="U25" t="n">
        <v>0</v>
      </c>
      <c r="V25" t="n">
        <v>0</v>
      </c>
      <c r="W25" t="n">
        <v>1</v>
      </c>
      <c r="X25" t="inlineStr">
        <is>
          <t>MIN_DAMAGE</t>
        </is>
      </c>
      <c r="Y25" t="n">
        <v>0</v>
      </c>
      <c r="Z25" t="b">
        <v>0</v>
      </c>
      <c r="AA25" t="inlineStr"/>
      <c r="AB25" t="inlineStr"/>
      <c r="AC25" t="inlineStr"/>
      <c r="AD25" t="inlineStr">
        <is>
          <t>Magic Critical pattern — already baked into Inputs!MIN_DAMAGE%; feeds the 2nd-Job Skill Level Bonus delta. factorIndex 22, baseDamage 150 tenths%.</t>
        </is>
      </c>
    </row>
    <row r="26">
      <c r="A26" t="inlineStr">
        <is>
          <t>CRITICAL_EDGE_RATE</t>
        </is>
      </c>
      <c r="B26" t="inlineStr">
        <is>
          <t>Critical Edge (Crit Rate)</t>
        </is>
      </c>
      <c r="C26" t="n">
        <v>2</v>
      </c>
      <c r="D26" t="inlineStr"/>
      <c r="E26" t="b">
        <v>0</v>
      </c>
      <c r="F26" t="n">
        <v>1</v>
      </c>
      <c r="G26" t="n">
        <v>1</v>
      </c>
      <c r="H26" t="n">
        <v>0</v>
      </c>
      <c r="I26" t="n">
        <v>0</v>
      </c>
      <c r="J26" t="n">
        <v>100</v>
      </c>
      <c r="K26" t="n">
        <v>1</v>
      </c>
      <c r="L26" t="n">
        <v>60</v>
      </c>
      <c r="M26" t="n">
        <v>22</v>
      </c>
      <c r="N26" t="b">
        <v>1</v>
      </c>
      <c r="O26" t="n">
        <v>0</v>
      </c>
      <c r="P26" t="n">
        <v>0</v>
      </c>
      <c r="Q26" t="n">
        <v>0</v>
      </c>
      <c r="R26" t="n">
        <v>0</v>
      </c>
      <c r="S26" t="n">
        <v>0</v>
      </c>
      <c r="T26" t="n">
        <v>0</v>
      </c>
      <c r="U26" t="n">
        <v>0</v>
      </c>
      <c r="V26" t="n">
        <v>0</v>
      </c>
      <c r="W26" t="n">
        <v>1</v>
      </c>
      <c r="X26" t="inlineStr">
        <is>
          <t>CRIT_RATE</t>
        </is>
      </c>
      <c r="Y26" t="n">
        <v>0</v>
      </c>
      <c r="Z26" t="b">
        <v>0</v>
      </c>
      <c r="AA26" t="inlineStr"/>
      <c r="AB26" t="inlineStr"/>
      <c r="AC26" t="inlineStr"/>
      <c r="AD26" t="inlineStr">
        <is>
          <t>Magic Critical pattern — already baked into Inputs!CRIT_RATE%; feeds the 2nd-Job Skill Level Bonus delta. factorIndex 22, baseDamage 60 tenths%.</t>
        </is>
      </c>
    </row>
    <row r="27">
      <c r="A27" t="inlineStr">
        <is>
          <t>CRITICAL_EDGE_DMG</t>
        </is>
      </c>
      <c r="B27" t="inlineStr">
        <is>
          <t>Critical Edge (Crit Damage)</t>
        </is>
      </c>
      <c r="C27" t="n">
        <v>2</v>
      </c>
      <c r="D27" t="inlineStr"/>
      <c r="E27" t="b">
        <v>0</v>
      </c>
      <c r="F27" t="n">
        <v>1</v>
      </c>
      <c r="G27" t="n">
        <v>1</v>
      </c>
      <c r="H27" t="n">
        <v>0</v>
      </c>
      <c r="I27" t="n">
        <v>0</v>
      </c>
      <c r="J27" t="n">
        <v>100</v>
      </c>
      <c r="K27" t="n">
        <v>1</v>
      </c>
      <c r="L27" t="n">
        <v>100</v>
      </c>
      <c r="M27" t="n">
        <v>22</v>
      </c>
      <c r="N27" t="b">
        <v>1</v>
      </c>
      <c r="O27" t="n">
        <v>0</v>
      </c>
      <c r="P27" t="n">
        <v>0</v>
      </c>
      <c r="Q27" t="n">
        <v>0</v>
      </c>
      <c r="R27" t="n">
        <v>0</v>
      </c>
      <c r="S27" t="n">
        <v>0</v>
      </c>
      <c r="T27" t="n">
        <v>0</v>
      </c>
      <c r="U27" t="n">
        <v>0</v>
      </c>
      <c r="V27" t="n">
        <v>0</v>
      </c>
      <c r="W27" t="n">
        <v>1</v>
      </c>
      <c r="X27" t="inlineStr">
        <is>
          <t>CRIT_DAMAGE</t>
        </is>
      </c>
      <c r="Y27" t="n">
        <v>0</v>
      </c>
      <c r="Z27" t="b">
        <v>0</v>
      </c>
      <c r="AA27" t="inlineStr"/>
      <c r="AB27" t="inlineStr"/>
      <c r="AC27" t="inlineStr"/>
      <c r="AD27" t="inlineStr">
        <is>
          <t>Same skill as Critical Edge (Crit Rate) above. Magic Critical pattern — already baked into Inputs!CRIT_DAMAGE%; feeds the 2nd-Job Skill Level Bonus delta. factorIndex 22, baseDamage 100 tenths%.</t>
        </is>
      </c>
    </row>
    <row r="28">
      <c r="A28" t="inlineStr">
        <is>
          <t>PHYSICAL_TRAINING</t>
        </is>
      </c>
      <c r="B28" t="inlineStr">
        <is>
          <t>Physical Training</t>
        </is>
      </c>
      <c r="C28" t="n">
        <v>2</v>
      </c>
      <c r="D28" t="inlineStr"/>
      <c r="E28" t="b">
        <v>0</v>
      </c>
      <c r="F28" t="n">
        <v>1</v>
      </c>
      <c r="G28" t="n">
        <v>1</v>
      </c>
      <c r="H28" t="n">
        <v>0</v>
      </c>
      <c r="I28" t="n">
        <v>0</v>
      </c>
      <c r="J28" t="n">
        <v>100</v>
      </c>
      <c r="K28" t="n">
        <v>1</v>
      </c>
      <c r="L28" t="n">
        <v>100</v>
      </c>
      <c r="M28" t="n">
        <v>22</v>
      </c>
      <c r="N28" t="b">
        <v>1</v>
      </c>
      <c r="O28" t="n">
        <v>0</v>
      </c>
      <c r="P28" t="n">
        <v>0</v>
      </c>
      <c r="Q28" t="n">
        <v>0</v>
      </c>
      <c r="R28" t="n">
        <v>0</v>
      </c>
      <c r="S28" t="n">
        <v>0</v>
      </c>
      <c r="T28" t="n">
        <v>0</v>
      </c>
      <c r="U28" t="n">
        <v>0</v>
      </c>
      <c r="V28" t="n">
        <v>0</v>
      </c>
      <c r="W28" t="n">
        <v>1</v>
      </c>
      <c r="X28" t="inlineStr">
        <is>
          <t>BASIC_ATTACK_DAMAGE</t>
        </is>
      </c>
      <c r="Y28" t="n">
        <v>0</v>
      </c>
      <c r="Z28" t="b">
        <v>0</v>
      </c>
      <c r="AA28" t="inlineStr"/>
      <c r="AB28" t="inlineStr"/>
      <c r="AC28" t="inlineStr"/>
      <c r="AD28" t="inlineStr">
        <is>
          <t>Magic Critical pattern — already baked into Inputs!BASIC_ATTACK_DAMAGE%; feeds the 2nd-Job Skill Level Bonus delta. factorIndex 22, baseDamage 100 tenths%.</t>
        </is>
      </c>
    </row>
    <row r="29">
      <c r="A29" t="inlineStr">
        <is>
          <t>DAGGER_EXPERT_SKILL</t>
        </is>
      </c>
      <c r="B29" t="inlineStr">
        <is>
          <t>Dagger Expert (Skill Damage)</t>
        </is>
      </c>
      <c r="C29" t="n">
        <v>4</v>
      </c>
      <c r="D29" t="inlineStr"/>
      <c r="E29" t="b">
        <v>0</v>
      </c>
      <c r="F29" t="n">
        <v>1</v>
      </c>
      <c r="G29" t="n">
        <v>1</v>
      </c>
      <c r="H29" t="n">
        <v>0</v>
      </c>
      <c r="I29" t="n">
        <v>0</v>
      </c>
      <c r="J29" t="n">
        <v>100</v>
      </c>
      <c r="K29" t="n">
        <v>1</v>
      </c>
      <c r="L29" t="n">
        <v>150</v>
      </c>
      <c r="M29" t="n">
        <v>22</v>
      </c>
      <c r="N29" t="b">
        <v>1</v>
      </c>
      <c r="O29" t="n">
        <v>0</v>
      </c>
      <c r="P29" t="n">
        <v>0</v>
      </c>
      <c r="Q29" t="n">
        <v>0</v>
      </c>
      <c r="R29" t="n">
        <v>0</v>
      </c>
      <c r="S29" t="n">
        <v>0</v>
      </c>
      <c r="T29" t="n">
        <v>0</v>
      </c>
      <c r="U29" t="n">
        <v>0</v>
      </c>
      <c r="V29" t="n">
        <v>0</v>
      </c>
      <c r="W29" t="n">
        <v>1</v>
      </c>
      <c r="X29" t="inlineStr">
        <is>
          <t>SKILL_DAMAGE</t>
        </is>
      </c>
      <c r="Y29" t="n">
        <v>0</v>
      </c>
      <c r="Z29" t="b">
        <v>0</v>
      </c>
      <c r="AA29" t="inlineStr"/>
      <c r="AB29" t="inlineStr"/>
      <c r="AC29" t="inlineStr"/>
      <c r="AD29" t="inlineStr">
        <is>
          <t>Magic Critical pattern — already baked into Inputs!SKILL_DAMAGE%; feeds the 4th-Job Skill Level Bonus delta (Skill Damage side). factorIndex 22, baseDamage 150 tenths%.</t>
        </is>
      </c>
    </row>
    <row r="30">
      <c r="A30" t="inlineStr">
        <is>
          <t>DAGGER_EXPERT_MAXDMG</t>
        </is>
      </c>
      <c r="B30" t="inlineStr">
        <is>
          <t>Dagger Expert (Max Damage Multiplier)</t>
        </is>
      </c>
      <c r="C30" t="n">
        <v>4</v>
      </c>
      <c r="D30" t="inlineStr"/>
      <c r="E30" t="b">
        <v>0</v>
      </c>
      <c r="F30" t="n">
        <v>1</v>
      </c>
      <c r="G30" t="n">
        <v>1</v>
      </c>
      <c r="H30" t="n">
        <v>0</v>
      </c>
      <c r="I30" t="n">
        <v>0</v>
      </c>
      <c r="J30" t="n">
        <v>100</v>
      </c>
      <c r="K30" t="n">
        <v>1</v>
      </c>
      <c r="L30" t="n">
        <v>200</v>
      </c>
      <c r="M30" t="n">
        <v>22</v>
      </c>
      <c r="N30" t="b">
        <v>1</v>
      </c>
      <c r="O30" t="n">
        <v>0</v>
      </c>
      <c r="P30" t="n">
        <v>0</v>
      </c>
      <c r="Q30" t="n">
        <v>0</v>
      </c>
      <c r="R30" t="n">
        <v>0</v>
      </c>
      <c r="S30" t="n">
        <v>0</v>
      </c>
      <c r="T30" t="n">
        <v>0</v>
      </c>
      <c r="U30" t="n">
        <v>0</v>
      </c>
      <c r="V30" t="n">
        <v>0</v>
      </c>
      <c r="W30" t="n">
        <v>1</v>
      </c>
      <c r="X30" t="inlineStr">
        <is>
          <t>MAX_DAMAGE</t>
        </is>
      </c>
      <c r="Y30" t="n">
        <v>0</v>
      </c>
      <c r="Z30" t="b">
        <v>0</v>
      </c>
      <c r="AA30" t="inlineStr"/>
      <c r="AB30" t="inlineStr"/>
      <c r="AC30" t="inlineStr"/>
      <c r="AD30" t="inlineStr">
        <is>
          <t>Same skill as Dagger Expert (Skill Damage) above, +20%-&gt;23% Max Damage Multiplier. Magic Critical pattern — already baked into Inputs!MAX_DAMAGE%; feeds the 4th-Job Skill Level Bonus delta (Max Damage Multiplier side). factorIndex 22, baseDamage 200 tenths%.</t>
        </is>
      </c>
    </row>
    <row r="31">
      <c r="A31" t="inlineStr">
        <is>
          <t>SHADOWER_INSTINCT</t>
        </is>
      </c>
      <c r="B31" t="inlineStr">
        <is>
          <t>Shadower Instinct</t>
        </is>
      </c>
      <c r="C31" t="n">
        <v>4</v>
      </c>
      <c r="D31" t="inlineStr"/>
      <c r="E31" t="b">
        <v>0</v>
      </c>
      <c r="F31" t="n">
        <v>1</v>
      </c>
      <c r="G31" t="n">
        <v>1</v>
      </c>
      <c r="H31" t="n">
        <v>0</v>
      </c>
      <c r="I31" t="n">
        <v>0</v>
      </c>
      <c r="J31" t="n">
        <v>100</v>
      </c>
      <c r="K31" t="n">
        <v>1</v>
      </c>
      <c r="L31" t="n">
        <v>200</v>
      </c>
      <c r="M31" t="n">
        <v>22</v>
      </c>
      <c r="N31" t="b">
        <v>1</v>
      </c>
      <c r="O31" t="n">
        <v>0</v>
      </c>
      <c r="P31" t="n">
        <v>0</v>
      </c>
      <c r="Q31" t="n">
        <v>0</v>
      </c>
      <c r="R31" t="n">
        <v>0</v>
      </c>
      <c r="S31" t="n">
        <v>0</v>
      </c>
      <c r="T31" t="n">
        <v>0</v>
      </c>
      <c r="U31" t="n">
        <v>0</v>
      </c>
      <c r="V31" t="n">
        <v>0</v>
      </c>
      <c r="W31" t="n">
        <v>1</v>
      </c>
      <c r="X31" t="inlineStr">
        <is>
          <t>FINAL_DAMAGE</t>
        </is>
      </c>
      <c r="Y31" t="n">
        <v>0</v>
      </c>
      <c r="Z31" t="b">
        <v>0</v>
      </c>
      <c r="AA31" t="inlineStr"/>
      <c r="AB31" t="inlineStr"/>
      <c r="AC31" t="inlineStr"/>
      <c r="AD31" t="inlineStr">
        <is>
          <t>Magic Critical pattern — already baked into Inputs!FINAL_DAMAGE%; feeds the 4th-Job Skill Level Bonus delta. factorIndex 22, baseDamage 200 tenths%.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81"/>
  <sheetViews>
    <sheetView workbookViewId="0">
      <selection activeCell="A1" sqref="A1"/>
    </sheetView>
  </sheetViews>
  <sheetFormatPr baseColWidth="8" defaultRowHeight="15"/>
  <cols>
    <col width="55" customWidth="1" min="1" max="1"/>
    <col width="16" customWidth="1" min="2" max="2"/>
  </cols>
  <sheetData>
    <row r="1">
      <c r="A1" s="4" t="inlineStr">
        <is>
          <t>Shadower — Artifacts (Equip Effect)</t>
        </is>
      </c>
    </row>
    <row r="3">
      <c r="A3" t="inlineStr">
        <is>
          <t>Book of Ancient — Crit Damage (from Crit Rate, reference only)</t>
        </is>
      </c>
      <c r="B3">
        <f>IF(ArtifactsInput!$M$24,CHOOSE(ArtifactsInput!$N$24+1,30,36,42,48,54,60)/100*(Inputs!$B$9+Summary!$B$14+B5+B29),0)</f>
        <v/>
      </c>
    </row>
    <row r="4">
      <c r="A4" t="inlineStr">
        <is>
          <t>Ring of Cycles — Threshold Crit Rate (excl. self)</t>
        </is>
      </c>
      <c r="B4">
        <f>Inputs!$B$9+Summary!$B$14+B29</f>
        <v/>
      </c>
    </row>
    <row r="5">
      <c r="A5" t="inlineStr">
        <is>
          <t>Ring of Cycles — Crit Rate (if threshold &lt; 100%)</t>
        </is>
      </c>
      <c r="B5">
        <f>IF(AND(Inputs!$B$39&lt;&gt;"pvp",Inputs!$B$44=0),1,IF(IF(Inputs!$B$39="pvp",15,Inputs!$B$44)-(Summary!$B$26)&lt;=0,1,MAX(0,IF(Inputs!$B$39="pvp",15,Inputs!$B$44)-MAX(5,Summary!$B$26))/(IF(Inputs!$B$39="pvp",15,Inputs!$B$44)-(Summary!$B$26))))*IF(AND(ArtifactsInput!$M$42,B4&lt;100),CHOOSE(ArtifactsInput!$N$42+1,30,36,42,48,54,60),0)</f>
        <v/>
      </c>
    </row>
    <row r="6">
      <c r="A6" t="inlineStr">
        <is>
          <t>Ring of Cycles — Skill Damage (if threshold &gt;= 100%)</t>
        </is>
      </c>
      <c r="B6">
        <f>IF(AND(Inputs!$B$39&lt;&gt;"pvp",Inputs!$B$44=0),1,IF(IF(Inputs!$B$39="pvp",15,Inputs!$B$44)-(Summary!$B$26)&lt;=0,1,MAX(0,IF(Inputs!$B$39="pvp",15,Inputs!$B$44)-MAX(5,Summary!$B$26))/(IF(Inputs!$B$39="pvp",15,Inputs!$B$44)-(Summary!$B$26))))*IF(AND(ArtifactsInput!$M$42,B4&gt;=100),CHOOSE(ArtifactsInput!$N$42+1,40,48,56,64,72,80),0)</f>
        <v/>
      </c>
    </row>
    <row r="7">
      <c r="A7" t="inlineStr">
        <is>
          <t>Ring of Cycles — Excess-100% Points (capped at 100)</t>
        </is>
      </c>
      <c r="B7">
        <f>IF(AND(ArtifactsInput!$M$42,B4&gt;=100),MIN(100,B4-100),0)</f>
        <v/>
      </c>
    </row>
    <row r="8">
      <c r="A8" t="inlineStr">
        <is>
          <t>Ring of Cycles — Basic Attack Damage (excess points x per-point)</t>
        </is>
      </c>
      <c r="B8">
        <f>IF(AND(Inputs!$B$39&lt;&gt;"pvp",Inputs!$B$44=0),1,IF(IF(Inputs!$B$39="pvp",15,Inputs!$B$44)-(Summary!$B$26)&lt;=0,1,MAX(0,IF(Inputs!$B$39="pvp",15,Inputs!$B$44)-MAX(5,Summary!$B$26))/(IF(Inputs!$B$39="pvp",15,Inputs!$B$44)-(Summary!$B$26))))*B7*CHOOSE(ArtifactsInput!$N$42+1,0.6,0.72,0.84,0.96,1.08,1.2)</f>
        <v/>
      </c>
    </row>
    <row r="9">
      <c r="A9" t="inlineStr">
        <is>
          <t>Candle — Effective Fight Duration</t>
        </is>
      </c>
      <c r="B9">
        <f>IF(Inputs!$B$39="pvp",15,Inputs!$B$44)</f>
        <v/>
      </c>
    </row>
    <row r="10">
      <c r="A10" t="inlineStr">
        <is>
          <t>Candle — Effective Active (fixed-duration or PvP)</t>
        </is>
      </c>
      <c r="B10">
        <f>IF(Inputs!$B$39="pvp",TRUE,AND(Inputs!$B$39&lt;&gt;"pvp",Inputs!$B$44&gt;0))</f>
        <v/>
      </c>
    </row>
    <row r="11">
      <c r="A11" t="inlineStr">
        <is>
          <t>Candle — Final Damage (100% uptime, patched)</t>
        </is>
      </c>
      <c r="B11">
        <f>IF(AND(ArtifactsInput!$M$36,B10),CHOOSE(ArtifactsInput!$N$36+1,8,9.6,11.2,12.8,14.4,16),0)</f>
        <v/>
      </c>
    </row>
    <row r="12">
      <c r="A12" t="inlineStr">
        <is>
          <t>Candle — Boss Monster Damage (20-40s window / boss-present-time uptime, patched)</t>
        </is>
      </c>
      <c r="B12">
        <f>IF(AND(ArtifactsInput!$M$36,B10),MAX(0,MIN(40,B9)-MAX(20,B41))/(B9-B41)*CHOOSE(ArtifactsInput!$N$36+1,30,36,42,48,54,60),0)</f>
        <v/>
      </c>
    </row>
    <row r="13">
      <c r="A13" t="inlineStr">
        <is>
          <t>Peach Tree Herb Pouch — Proc Rate (per second)</t>
        </is>
      </c>
      <c r="B13">
        <f>0.2*Summary!$B$18</f>
        <v/>
      </c>
    </row>
    <row r="14">
      <c r="A14" t="inlineStr">
        <is>
          <t>Peach Tree Herb Pouch — Uptime (refreshing 5s timer)</t>
        </is>
      </c>
      <c r="B14">
        <f>1-EXP(-B13*5)</f>
        <v/>
      </c>
    </row>
    <row r="15">
      <c r="A15" t="inlineStr">
        <is>
          <t>Peach Tree Herb Pouch — Enemy Damage Taken</t>
        </is>
      </c>
      <c r="B15">
        <f>IF(AND(ArtifactsInput!$M$35,Inputs!$B$4&lt;&gt;"Chapter Hunt"),CHOOSE(ArtifactsInput!$N$35+1,15,18,21,24,27,30)*B14,0)</f>
        <v/>
      </c>
    </row>
    <row r="16">
      <c r="A16" t="inlineStr">
        <is>
          <t>Silver Pendant — Offered Load (rho = lambda x duration)</t>
        </is>
      </c>
      <c r="B16">
        <f>0.15*Summary!$B$18*5</f>
        <v/>
      </c>
    </row>
    <row r="17">
      <c r="A17" t="inlineStr">
        <is>
          <t>Silver Pendant — Erlang Loss Weight (n=0)</t>
        </is>
      </c>
      <c r="B17">
        <f>B16^0/1</f>
        <v/>
      </c>
    </row>
    <row r="18">
      <c r="A18" t="inlineStr">
        <is>
          <t>Silver Pendant — Erlang Loss Weight (n=1)</t>
        </is>
      </c>
      <c r="B18">
        <f>B16^1/1</f>
        <v/>
      </c>
    </row>
    <row r="19">
      <c r="A19" t="inlineStr">
        <is>
          <t>Silver Pendant — Erlang Loss Weight (n=2)</t>
        </is>
      </c>
      <c r="B19">
        <f>B16^2/2</f>
        <v/>
      </c>
    </row>
    <row r="20">
      <c r="A20" t="inlineStr">
        <is>
          <t>Silver Pendant — Erlang Loss Weight (n=3)</t>
        </is>
      </c>
      <c r="B20">
        <f>B16^3/6</f>
        <v/>
      </c>
    </row>
    <row r="21">
      <c r="A21" t="inlineStr">
        <is>
          <t>Silver Pendant — Erlang Loss Weight (n=4)</t>
        </is>
      </c>
      <c r="B21">
        <f>B16^4/24</f>
        <v/>
      </c>
    </row>
    <row r="22">
      <c r="A22" t="inlineStr">
        <is>
          <t>Silver Pendant — Erlang Loss Weight (n=5)</t>
        </is>
      </c>
      <c r="B22">
        <f>B16^5/120</f>
        <v/>
      </c>
    </row>
    <row r="23">
      <c r="A23" t="inlineStr">
        <is>
          <t>Silver Pendant — Average Stacks (Erlang-loss mean)</t>
        </is>
      </c>
      <c r="B23">
        <f>(0*B17+1*B18+2*B19+3*B20+4*B21+5*B22)/(B17+B18+B19+B20+B21+B22)</f>
        <v/>
      </c>
    </row>
    <row r="24">
      <c r="A24" t="inlineStr">
        <is>
          <t>Silver Pendant — Enemy Damage Taken</t>
        </is>
      </c>
      <c r="B24">
        <f>IF(AND(ArtifactsInput!$M$22,Inputs!$B$4&lt;&gt;"Chapter Hunt"),CHOOSE(ArtifactsInput!$N$22+1,10,12,14,16,18,20)*B23,0)</f>
        <v/>
      </c>
    </row>
    <row r="25">
      <c r="A25" t="inlineStr">
        <is>
          <t>Athena Pierce's Old Gloves — Max Damage (from Attack Speed, reference only)</t>
        </is>
      </c>
      <c r="B25">
        <f>IF(ArtifactsInput!$M$15,CHOOSE(ArtifactsInput!$N$15+1,25,30,35,40,45,50)/100*Inputs!$B$11,0)</f>
        <v/>
      </c>
    </row>
    <row r="26">
      <c r="A26" t="inlineStr">
        <is>
          <t>Hexagon Necklace — Average Stacks</t>
        </is>
      </c>
      <c r="B26">
        <f>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f>
        <v/>
      </c>
    </row>
    <row r="27">
      <c r="A27" t="inlineStr">
        <is>
          <t>Hexagon Necklace — Damage %</t>
        </is>
      </c>
      <c r="B27">
        <f>IF(ArtifactsInput!$M$11,CHOOSE(ArtifactsInput!$N$11+1,15,18,21,24,27,30)*B26,0)</f>
        <v/>
      </c>
    </row>
    <row r="28">
      <c r="A28" t="inlineStr">
        <is>
          <t>Rainbow-colored Snail Shell — Uptime (0-15s window)</t>
        </is>
      </c>
      <c r="B28">
        <f>IF(Inputs!$B$39="pvp",MIN(15,15)/15,IF(AND(Inputs!$B$39&lt;&gt;"pvp",Inputs!$B$44&gt;0),MIN(15,Inputs!$B$44)/Inputs!$B$44,0))</f>
        <v/>
      </c>
    </row>
    <row r="29">
      <c r="A29" t="inlineStr">
        <is>
          <t>Rainbow-colored Snail Shell — Crit Rate</t>
        </is>
      </c>
      <c r="B29">
        <f>IF(ArtifactsInput!$M$10,CHOOSE(ArtifactsInput!$N$10+1,15,18,21,24,27,30)*B28,0)</f>
        <v/>
      </c>
    </row>
    <row r="30">
      <c r="A30" t="inlineStr">
        <is>
          <t>Rainbow-colored Snail Shell — Crit Damage</t>
        </is>
      </c>
      <c r="B30">
        <f>IF(ArtifactsInput!$M$10,CHOOSE(ArtifactsInput!$N$10+1,20,24,28,32,36,40)*B28,0)</f>
        <v/>
      </c>
    </row>
    <row r="32">
      <c r="A32" s="6" t="inlineStr">
        <is>
          <t>TOTAL — Artifact Crit Rate Bonus</t>
        </is>
      </c>
      <c r="B32" s="6">
        <f>B5+B29</f>
        <v/>
      </c>
    </row>
    <row r="33">
      <c r="A33" s="6" t="inlineStr">
        <is>
          <t>TOTAL — Artifact Crit Damage Bonus</t>
        </is>
      </c>
      <c r="B33" s="6">
        <f>B30+B47</f>
        <v/>
      </c>
    </row>
    <row r="34">
      <c r="A34" s="6" t="inlineStr">
        <is>
          <t>TOTAL — Artifact Final Damage Bonus (equivalent %, each real source combines MULTIPLICATIVELY — Candle x Flaming Lava x Horn Flute, not summed)</t>
        </is>
      </c>
      <c r="B34" s="6">
        <f>((1+B11/100)*(1+B46/100)*(1+B55/100)-1)*100</f>
        <v/>
      </c>
    </row>
    <row r="35">
      <c r="A35" s="6" t="inlineStr">
        <is>
          <t>TOTAL — Artifact Boss Monster Damage Bonus</t>
        </is>
      </c>
      <c r="B35" s="6">
        <f>B12+B60</f>
        <v/>
      </c>
    </row>
    <row r="36">
      <c r="A36" s="6" t="inlineStr">
        <is>
          <t>TOTAL — Artifact Enemy Damage Taken Bonus</t>
        </is>
      </c>
      <c r="B36" s="6">
        <f>B15+B24</f>
        <v/>
      </c>
    </row>
    <row r="38">
      <c r="A38" s="6" t="inlineStr">
        <is>
          <t>TOTAL — Artifact Damage Bonus (own separate final multiplier, like Magic Guard/Meditation's Average Buff Multiplier — not blended into Inputs!DAMAGE%)</t>
        </is>
      </c>
      <c r="B38" s="6">
        <f>B27</f>
        <v/>
      </c>
    </row>
    <row r="39">
      <c r="A39" s="6" t="inlineStr">
        <is>
          <t>TOTAL — Artifact Skill Damage Bonus</t>
        </is>
      </c>
      <c r="B39" s="6">
        <f>B6</f>
        <v/>
      </c>
    </row>
    <row r="40">
      <c r="A40" s="6" t="inlineStr">
        <is>
          <t>TOTAL — Artifact Basic Attack Damage Bonus</t>
        </is>
      </c>
      <c r="B40" s="6">
        <f>B8</f>
        <v/>
      </c>
    </row>
    <row r="41">
      <c r="A41" t="inlineStr">
        <is>
          <t>Candle — Boss Appear Time (Breakthrough/Hero Dungeon only)</t>
        </is>
      </c>
      <c r="B41">
        <f>IF(Inputs!$B$4="Breakthrough",20,IF(Inputs!$B$4="Hero Dungeon",30,0))</f>
        <v/>
      </c>
    </row>
    <row r="42">
      <c r="A42" t="inlineStr">
        <is>
          <t>Clear Spring Water — Final Damage (reference only, Growth Dungeon types)</t>
        </is>
      </c>
      <c r="B42">
        <f>IF(AND(ArtifactsInput!$M$14,OR(Inputs!$B$4="Weapon Dungeon",Inputs!$B$4="Equipment Dungeon",Inputs!$B$4="Enhancement Dungeon",Inputs!$B$4="EXP Dungeon",Inputs!$B$4="Hero Dungeon")),CHOOSE(ArtifactsInput!$N$14+1,10,12,14,16,18,20),0)</f>
        <v/>
      </c>
    </row>
    <row r="43">
      <c r="A43" t="inlineStr">
        <is>
          <t>Old Music Box — Attack % (content-type uptime assumption)</t>
        </is>
      </c>
      <c r="B43">
        <f>IF(ArtifactsInput!$M$21,CHOOSE(ArtifactsInput!$N$21+1,25,30,35,40,45,50)*(IF(OR(Inputs!$B$4="Chapter Hunt",Inputs!$B$4="Breakthrough",Inputs!$B$4="Weapon Dungeon",Inputs!$B$4="Equipment Dungeon",Inputs!$B$4="Enhancement Dungeon",Inputs!$B$4="EXP Dungeon",Inputs!$B$4="Hero Dungeon"),0,IF(OR(Inputs!$B$4="World Boss",Inputs!$B$4="PvP"),1,IF(Inputs!$B$4="Chapter Boss",60/70,0)))),0)</f>
        <v/>
      </c>
    </row>
    <row r="44">
      <c r="A44" t="inlineStr">
        <is>
          <t>Soul Contract — Skill Cooldown Decrease % (Chapter Hunt only)</t>
        </is>
      </c>
      <c r="B44">
        <f>IF(AND(ArtifactsInput!$M$27,Inputs!$B$4="Chapter Hunt"),CHOOSE(ArtifactsInput!$N$27+1,20,24,28,32,36,40),0)</f>
        <v/>
      </c>
    </row>
    <row r="45">
      <c r="A45" t="inlineStr">
        <is>
          <t>Soul Pouch — Final Damage (reference only, PvP/"Arena")</t>
        </is>
      </c>
      <c r="B45">
        <f>IF(AND(ArtifactsInput!$M$29,Inputs!$B$39="pvp"),CHOOSE(ArtifactsInput!$N$29+1,20,24,28,32,36,40),0)</f>
        <v/>
      </c>
    </row>
    <row r="46">
      <c r="A46" t="inlineStr">
        <is>
          <t>Flaming Lava — Final Damage (always assumes target is debuffed)</t>
        </is>
      </c>
      <c r="B46">
        <f>IF(AND(ArtifactsInput!$M$32,Inputs!$B$4&lt;&gt;"Chapter Hunt"),CHOOSE(ArtifactsInput!$N$32+1,8,9.6,11.2,12.8,14.4,16),0)</f>
        <v/>
      </c>
    </row>
    <row r="47">
      <c r="A47" t="inlineStr">
        <is>
          <t>Icy Soul Rock — Crit Damage (1.5x-averaged, MP not modeled)</t>
        </is>
      </c>
      <c r="B47">
        <f>IF(ArtifactsInput!$M$31,1.5*CHOOSE(ArtifactsInput!$N$31+1,20,24,28,32,36,40),0)</f>
        <v/>
      </c>
    </row>
    <row r="48">
      <c r="A48" t="inlineStr">
        <is>
          <t>Secret Map — Attack %</t>
        </is>
      </c>
      <c r="B48">
        <f>IF(ArtifactsInput!$M$41,CHOOSE(ArtifactsInput!$N$41+1,5,6,7,8,9,10),0)</f>
        <v/>
      </c>
    </row>
    <row r="49">
      <c r="A49" t="inlineStr">
        <is>
          <t>Secret Map — Final Damage (normal-monster branch only)</t>
        </is>
      </c>
      <c r="B49">
        <f>IF(AND(ArtifactsInput!$M$41,Inputs!$B$39&lt;&gt;"pvp"),CHOOSE(ArtifactsInput!$N$41+1,5,6,7,8,9,10)*IF(OR(Inputs!$B$4="Weapon Dungeon",Inputs!$B$4="Equipment Dungeon",Inputs!$B$4="Enhancement Dungeon",Inputs!$B$4="EXP Dungeon",Inputs!$B$4="Hero Dungeon"),3,1),0)</f>
        <v/>
      </c>
    </row>
    <row r="50">
      <c r="A50" t="inlineStr">
        <is>
          <t>Reindeer's Spear — Attack %</t>
        </is>
      </c>
      <c r="B50">
        <f>IF(ArtifactsInput!$M$40,CHOOSE(ArtifactsInput!$N$40+1,5,6,7,8,9,10),0)</f>
        <v/>
      </c>
    </row>
    <row r="51">
      <c r="A51" t="inlineStr">
        <is>
          <t>Reindeer's Spear — Base (1x) Defense Penetration (reference only)</t>
        </is>
      </c>
      <c r="B51">
        <f>IF(ArtifactsInput!$M$40,CHOOSE(ArtifactsInput!$N$40+1,5,6,7,8,9,10),0)</f>
        <v/>
      </c>
    </row>
    <row r="52">
      <c r="A52" s="6" t="inlineStr">
        <is>
          <t>TOTAL — Artifact Attack % Bonus (Old Music Box/Secret Map/Reindeer's Spear/Alliance Badge/Bottle of Emotion/Charm of the Undead — additive into the same bucket as Magic Guard/Meditation's Average Buff Multiplier)</t>
        </is>
      </c>
      <c r="B52" s="6">
        <f>B43+B48+B50+B58+B56+B71</f>
        <v/>
      </c>
    </row>
    <row r="53">
      <c r="A53" s="6" t="inlineStr">
        <is>
          <t>TOTAL — Artifact Final Damage Bonus, NORMAL-MONSTER BRANCH ONLY (Secret Map/Fire Flower/Chalice)</t>
        </is>
      </c>
      <c r="B53" s="6">
        <f>B49+B62+B65</f>
        <v/>
      </c>
    </row>
    <row r="54">
      <c r="A54" t="inlineStr">
        <is>
          <t>Cursed Doll — Final Damage (reference only)</t>
        </is>
      </c>
      <c r="B54">
        <f>IF(ArtifactsInput!$M$39,CHOOSE(ArtifactsInput!$N$39+1,7,8.4,9.8,11.2,12.6,14),0)</f>
        <v/>
      </c>
    </row>
    <row r="55">
      <c r="A55" t="inlineStr">
        <is>
          <t>Horn Flute — Final Damage (character's own portion only)</t>
        </is>
      </c>
      <c r="B55">
        <f>IF(AND(ArtifactsInput!$M$38,Inputs!$B$39&lt;&gt;"pvp",Inputs!$B$44&gt;0),CHOOSE(ArtifactsInput!$N$38+1,10,12,14,16,18,20)*(MIN(30,MAX(0,Inputs!$B$44-7))/Inputs!$B$44)*IF(Inputs!$B$4="Chapter Boss",2,1),0)</f>
        <v/>
      </c>
    </row>
    <row r="56">
      <c r="A56" t="inlineStr">
        <is>
          <t>Bottle of Emotion — Attack %</t>
        </is>
      </c>
      <c r="B56">
        <f>IF(ArtifactsInput!$M$34,CHOOSE(ArtifactsInput!$N$34+1,15,18,21,24,27,30),0)</f>
        <v/>
      </c>
    </row>
    <row r="57">
      <c r="A57" t="inlineStr">
        <is>
          <t>Bottle of Emotion — Final Damage from Attack Speed (reference only)</t>
        </is>
      </c>
      <c r="B57">
        <f>IF(ArtifactsInput!$M$34,MIN(CHOOSE(ArtifactsInput!$N$34+1,10,12,14,16,18,20),MAX(0,(CHOOSE(ArtifactsInput!$N$34+1,0.5,0.6,0.7,0.8,0.9,1)/3)*(Inputs!$B$11-60))),0)</f>
        <v/>
      </c>
    </row>
    <row r="58">
      <c r="A58" t="inlineStr">
        <is>
          <t>Alliance Badge — Attack %</t>
        </is>
      </c>
      <c r="B58">
        <f>IF(ArtifactsInput!$M$37,CHOOSE(ArtifactsInput!$N$37+1,10,12,14,16,18,20),0)</f>
        <v/>
      </c>
    </row>
    <row r="59">
      <c r="A59" t="inlineStr">
        <is>
          <t>Sayram's Necklace — Normal Monster Damage</t>
        </is>
      </c>
      <c r="B59">
        <f>IF(ArtifactsInput!$M$33,CHOOSE(ArtifactsInput!$N$33+1,30,36,42,48,54,60),0)</f>
        <v/>
      </c>
    </row>
    <row r="60">
      <c r="A60" t="inlineStr">
        <is>
          <t>Sayram's Necklace — Boss Monster Damage</t>
        </is>
      </c>
      <c r="B60">
        <f>IF(ArtifactsInput!$M$33,CHOOSE(ArtifactsInput!$N$33+1,10,12,14,16,18,20),0)</f>
        <v/>
      </c>
    </row>
    <row r="61">
      <c r="A61" t="inlineStr">
        <is>
          <t>Lit Lamp — Final Damage (reference only, World Boss)</t>
        </is>
      </c>
      <c r="B61">
        <f>IF(AND(ArtifactsInput!$M$28,Inputs!$B$4="World Boss"),CHOOSE(ArtifactsInput!$N$28+1,20,24,28,32,36,40),0)</f>
        <v/>
      </c>
    </row>
    <row r="62">
      <c r="A62" t="inlineStr">
        <is>
          <t>Fire Flower — Final Damage (normal-monster branch, 10 targets assumed)</t>
        </is>
      </c>
      <c r="B62">
        <f>IF(ArtifactsInput!$M$26,10*CHOOSE(ArtifactsInput!$N$26+1,1,1.2,1.4,1.6,1.8,2),0)</f>
        <v/>
      </c>
    </row>
    <row r="63">
      <c r="A63" t="inlineStr">
        <is>
          <t>Fire Flower — Final Damage (boss/PvP branch, 1 target assumed)</t>
        </is>
      </c>
      <c r="B63">
        <f>IF(ArtifactsInput!$M$26,1*CHOOSE(ArtifactsInput!$N$26+1,1,1.2,1.4,1.6,1.8,2),0)</f>
        <v/>
      </c>
    </row>
    <row r="64">
      <c r="A64" t="inlineStr">
        <is>
          <t>Star Rock — Boss Monster Damage (reference only)</t>
        </is>
      </c>
      <c r="B64">
        <f>IF(ArtifactsInput!$M$23,CHOOSE(ArtifactsInput!$N$23+1,50,60,70,80,90,100),0)</f>
        <v/>
      </c>
    </row>
    <row r="65">
      <c r="A65" t="inlineStr">
        <is>
          <t>Chalice — Final Damage (normal-monster branch)</t>
        </is>
      </c>
      <c r="B65">
        <f>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f>
        <v/>
      </c>
    </row>
    <row r="66">
      <c r="A66" t="inlineStr">
        <is>
          <t>Chalice — Final Damage (boss branch)</t>
        </is>
      </c>
      <c r="B66">
        <f>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f>
        <v/>
      </c>
    </row>
    <row r="69">
      <c r="A69" t="inlineStr">
        <is>
          <t>The Contract of Darkness — Crit Rate (boss branch only)</t>
        </is>
      </c>
      <c r="B69">
        <f>IF(AND(ArtifactsInput!$M$8,Inputs!$B$39&lt;&gt;"pvp"),CHOOSE(ArtifactsInput!$N$8+1,8,9.6,11.2,12.8,14.4,16),0)</f>
        <v/>
      </c>
    </row>
    <row r="70">
      <c r="A70" t="inlineStr">
        <is>
          <t>Shamaness Marble — Buff Duration Increase % (reference only)</t>
        </is>
      </c>
      <c r="B70">
        <f>IF(ArtifactsInput!$M$7,CHOOSE(ArtifactsInput!$N$7+1,6,7.2,8.4,9.6,10.8,12),0)</f>
        <v/>
      </c>
    </row>
    <row r="71">
      <c r="A71" t="inlineStr">
        <is>
          <t>Charm of the Undead — Attack % (periodic uptime)</t>
        </is>
      </c>
      <c r="B71">
        <f>IF(ArtifactsInput!$M$5,CHOOSE(ArtifactsInput!$N$5+1,10,12,14,16,18,20)*(IF(AND(Inputs!$B$39&lt;&gt;"pvp",Inputs!$B$44=0),0.5,(5*INT(MAX(0,IF(Inputs!$B$39="pvp",15,Inputs!$B$44)-10)/10)+MIN((MAX(0,IF(Inputs!$B$39="pvp",15,Inputs!$B$44)-10)-10*INT(MAX(0,IF(Inputs!$B$39="pvp",15,Inputs!$B$44)-10)/10)),5))/IF(Inputs!$B$39="pvp",15,Inputs!$B$44))),0)</f>
        <v/>
      </c>
    </row>
    <row r="72">
      <c r="A72" t="inlineStr">
        <is>
          <t>Ancient Text Piece — always 0 (Guild Conquest not modeled)</t>
        </is>
      </c>
      <c r="B72" t="n">
        <v>0</v>
      </c>
    </row>
    <row r="73">
      <c r="A73" t="inlineStr">
        <is>
          <t>Lunar Dew — always 0 (no attacking effect)</t>
        </is>
      </c>
      <c r="B73" t="n">
        <v>0</v>
      </c>
    </row>
    <row r="74">
      <c r="A74" t="inlineStr">
        <is>
          <t>Pink Bean's Giant Rib — always 0 (raid content not modeled)</t>
        </is>
      </c>
      <c r="B74" t="n">
        <v>0</v>
      </c>
    </row>
    <row r="75">
      <c r="A75" t="inlineStr">
        <is>
          <t>Horntail's Scale — always 0 (raid content not modeled)</t>
        </is>
      </c>
      <c r="B75" t="n">
        <v>0</v>
      </c>
    </row>
    <row r="76">
      <c r="A76" t="inlineStr">
        <is>
          <t>Zakum's Stone Piece — always 0 (raid content not modeled)</t>
        </is>
      </c>
      <c r="B76" t="n">
        <v>0</v>
      </c>
    </row>
    <row r="77">
      <c r="A77" t="inlineStr">
        <is>
          <t>Mushmom's Cap — always 0 (Accuracy-vs-Evasion not modeled)</t>
        </is>
      </c>
      <c r="B77" t="n">
        <v>0</v>
      </c>
    </row>
    <row r="78">
      <c r="A78" t="inlineStr">
        <is>
          <t>Arwen's Glass Shoes — always 0 (companions not modeled)</t>
        </is>
      </c>
      <c r="B78" t="n">
        <v>0</v>
      </c>
    </row>
    <row r="79">
      <c r="A79" t="inlineStr">
        <is>
          <t>Pig's Ribbon — always 0 (no attacking effect)</t>
        </is>
      </c>
      <c r="B79" t="n">
        <v>0</v>
      </c>
    </row>
    <row r="80">
      <c r="A80" s="6" t="inlineStr">
        <is>
          <t>TOTAL — Artifact Normal Monster Damage Bonus</t>
        </is>
      </c>
      <c r="B80" s="6">
        <f>B59</f>
        <v/>
      </c>
    </row>
    <row r="81">
      <c r="A81" s="6" t="inlineStr">
        <is>
          <t>TOTAL — Artifact Final Damage Bonus, BOSS BRANCH ONLY (Fire Flower/Chalice)</t>
        </is>
      </c>
      <c r="B81" s="6">
        <f>B63+B66</f>
        <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V3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26" customWidth="1" min="1" max="1"/>
    <col width="30" customWidth="1" min="2" max="2"/>
    <col width="10" customWidth="1" min="3" max="3"/>
    <col width="12" customWidth="1" min="4" max="4"/>
    <col width="9" customWidth="1" min="5" max="5"/>
    <col width="15" customWidth="1" min="6" max="6"/>
    <col width="13" customWidth="1" min="7" max="7"/>
    <col width="14" customWidth="1" min="8" max="8"/>
    <col width="17" customWidth="1" min="9" max="9"/>
    <col width="13" customWidth="1" min="10" max="10"/>
    <col width="15" customWidth="1" min="11" max="11"/>
    <col width="12" customWidth="1" min="12" max="12"/>
    <col width="12" customWidth="1" min="13" max="13"/>
    <col width="17" customWidth="1" min="14" max="14"/>
    <col width="12" customWidth="1" min="15" max="15"/>
    <col width="10" customWidth="1" min="16" max="16"/>
    <col width="12" customWidth="1" min="17" max="17"/>
    <col width="12" customWidth="1" min="18" max="18"/>
    <col width="14" customWidth="1" min="19" max="19"/>
  </cols>
  <sheetData>
    <row r="1">
      <c r="A1" s="5" t="inlineStr">
        <is>
          <t>Key</t>
        </is>
      </c>
      <c r="B1" s="5" t="inlineStr">
        <is>
          <t>Name</t>
        </is>
      </c>
      <c r="C1" s="5" t="inlineStr">
        <is>
          <t>Unlocked</t>
        </is>
      </c>
      <c r="D1" s="5" t="inlineStr">
        <is>
          <t>InputLevel</t>
        </is>
      </c>
      <c r="E1" s="5" t="inlineStr">
        <is>
          <t>Factor</t>
        </is>
      </c>
      <c r="F1" s="5" t="inlineStr">
        <is>
          <t>CoefficientPercent</t>
        </is>
      </c>
      <c r="G1" s="5" t="inlineStr">
        <is>
          <t>EffectiveHits</t>
        </is>
      </c>
      <c r="H1" s="5" t="inlineStr">
        <is>
          <t>ProcProbability</t>
        </is>
      </c>
      <c r="I1" s="5" t="inlineStr">
        <is>
          <t>MapleHeroMultiplier</t>
        </is>
      </c>
      <c r="J1" s="5" t="inlineStr">
        <is>
          <t>BaseDamage</t>
        </is>
      </c>
      <c r="K1" s="5" t="inlineStr">
        <is>
          <t>BaseHitDamage</t>
        </is>
      </c>
      <c r="L1" s="5" t="inlineStr">
        <is>
          <t>NonCritAvg</t>
        </is>
      </c>
      <c r="M1" s="5" t="inlineStr">
        <is>
          <t>CritAvg</t>
        </is>
      </c>
      <c r="N1" s="5" t="inlineStr">
        <is>
          <t>ExpectedDamage(perHit)</t>
        </is>
      </c>
      <c r="O1" s="5" t="inlineStr">
        <is>
          <t>DPS</t>
        </is>
      </c>
      <c r="P1" s="5" t="inlineStr">
        <is>
          <t>% of Total</t>
        </is>
      </c>
      <c r="Q1" s="5" t="inlineStr">
        <is>
          <t>InvCooldown</t>
        </is>
      </c>
      <c r="R1" s="5" t="inlineStr">
        <is>
          <t>CastsInFight</t>
        </is>
      </c>
      <c r="S1" s="5" t="inlineStr">
        <is>
          <t>HitRate(perSec)</t>
        </is>
      </c>
      <c r="T1" t="inlineStr">
        <is>
          <t>BossOnlyDPS</t>
        </is>
      </c>
      <c r="U1" s="6" t="inlineStr">
        <is>
          <t>Maple Hero (Shadower) helper — unused (see MAPLE_HERO_SHADOWER row's own Note)</t>
        </is>
      </c>
      <c r="V1" t="inlineStr">
        <is>
          <t>NormalOnlyDPS</t>
        </is>
      </c>
    </row>
    <row r="2">
      <c r="A2">
        <f>Skills!A2</f>
        <v/>
      </c>
      <c r="B2">
        <f>Skills!B2</f>
        <v/>
      </c>
      <c r="C2">
        <f>Inputs!$B$3&gt;=100</f>
        <v/>
      </c>
      <c r="D2" t="inlineStr"/>
      <c r="E2" t="inlineStr"/>
      <c r="F2">
        <f>Summary!$B$10+Skills!O2</f>
        <v/>
      </c>
      <c r="G2">
        <f>Skills!G2*IF(Skills!H2&gt;0,IF(Inputs!$B$39="pvp",MIN(Skills!I2,15),Skills!I2)/Skills!H2,1)</f>
        <v/>
      </c>
      <c r="H2">
        <f>1-(1-Skills!J2/100)^Skills!K2</f>
        <v/>
      </c>
      <c r="I2" t="inlineStr">
        <is>
          <t>1</t>
        </is>
      </c>
      <c r="J2">
        <f>Summary!$B$6*(F2/100)</f>
        <v/>
      </c>
      <c r="K2">
        <f>J2*(1+Summary!$B$7/100)*(1+Inputs!$B$15/100)*(1+Inputs!$B$16/100)*(5000/(6000+Inputs!$B$43*(1-Inputs!$B$19/100)))*(1+Inputs!$B$24/100)*(1+Artifacts!$B$34/100)*(1+(IF(Skills!A2="CRUEL_STAB",Inputs!$B$17+Artifacts!$B$40,Inputs!$B$18+Artifacts!$B$39))/100)*(Summary!$B$13*Summary!$B$16*(1+Artifacts!$B$38/100)*I2)</f>
        <v/>
      </c>
      <c r="L2">
        <f>K2*(MIN(Inputs!$B$22,Inputs!$B$23)/100+Inputs!$B$23/100)/2</f>
        <v/>
      </c>
      <c r="M2">
        <f>L2*(1+(Inputs!$B$10+Summary!$B$21+Artifacts!$B$33)/100)</f>
        <v/>
      </c>
      <c r="N2">
        <f>L2*(1-MIN((Inputs!$B$9+Summary!$B$14+Artifacts!$B$32),100)/100)+M2*(MIN((Inputs!$B$9+Summary!$B$14+Artifacts!$B$32),100)/100)</f>
        <v/>
      </c>
      <c r="O2">
        <f>(1-Summary!$B$11)*T2+Summary!$B$11*V2</f>
        <v/>
      </c>
      <c r="P2">
        <f>IF(Summary!$B$3=0,0,O2/Summary!$B$3)</f>
        <v/>
      </c>
      <c r="Q2" t="n">
        <v>0</v>
      </c>
      <c r="R2" t="n">
        <v>0</v>
      </c>
      <c r="S2">
        <f>IFERROR(O2/N2,0)</f>
        <v/>
      </c>
      <c r="T2">
        <f>IF(C2,(Skills!G2*N2*Summary!$B$20)*IF(Inputs!$B$39="pvp",1,1+(Inputs!$B$20+Skills!P2+Summary!$B$15+Artifacts!$B$35)/100)*((((5000/(6000+Inputs!$B$43*(1-(100*(1-(1-Inputs!$B$19/100)*(1-Artifacts!$B$51/100)^IF(Inputs!$B$39="pvp",1,2)))/100)))/(5000/(6000+Inputs!$B$43*(1-Inputs!$B$19/100))))*((L2*(1-MIN(100,(Inputs!$B$9+Summary!$B$14+Artifacts!$B$32)+Artifacts!$B$69)/100)+M2*(MIN(100,(Inputs!$B$9+Summary!$B$14+Artifacts!$B$32)+Artifacts!$B$69)/100))/(L2*(1-MIN(100,(Inputs!$B$9+Summary!$B$14+Artifacts!$B$32))/100)+M2*(MIN(100,(Inputs!$B$9+Summary!$B$14+Artifacts!$B$32))/100)))*(1+Artifacts!$B$81/100))),0)</f>
        <v/>
      </c>
      <c r="V2">
        <f>IF(C2,(Skills!G2*N2*Summary!$B$20)*IF(Inputs!$B$39="pvp",1,(1+(Inputs!$B$21+Skills!Q2+Summary!$B$15+Artifacts!$B$80)/100)*(MIN(Skills!W2,Inputs!$B$37)))*((1+Artifacts!$B$53/100)),0)</f>
        <v/>
      </c>
    </row>
    <row r="3">
      <c r="A3">
        <f>Skills!A3</f>
        <v/>
      </c>
      <c r="B3">
        <f>Skills!B3</f>
        <v/>
      </c>
      <c r="C3">
        <f>Inputs!$B$3&gt;=35</f>
        <v/>
      </c>
      <c r="D3">
        <f>IF(Skills!C3=1,60+Inputs!$B$25+Inputs!$B$29,IF(Skills!C3=2,90+Inputs!$B$26+Inputs!$B$29,IF(Skills!C3=3,120+Inputs!$B$27+Inputs!$B$29,MAX(0,(Inputs!$B$3-100)*3)+Inputs!$B$28+Inputs!$B$29)))</f>
        <v/>
      </c>
      <c r="E3">
        <f>INDEX(FactorTable!$B$2:$Y$301, MATCH(ROUND(MIN(300,MAX(1,D3)),0), FactorTable!$A$2:$A$301,0), Skills!M3+1)</f>
        <v/>
      </c>
      <c r="F3">
        <f>IF(Skills!N3=TRUE,(Skills!L3/10)*(E3/1000),Skills!L3/10)+Skills!O3</f>
        <v/>
      </c>
      <c r="G3">
        <f>Skills!G3*IF(Skills!H3&gt;0,IF(Inputs!$B$39="pvp",MIN(Skills!I3,15),Skills!I3)/Skills!H3,1)</f>
        <v/>
      </c>
      <c r="H3">
        <f>1-(1-Skills!J3/100)^Skills!K3</f>
        <v/>
      </c>
      <c r="I3" t="inlineStr">
        <is>
          <t>1</t>
        </is>
      </c>
      <c r="J3" t="inlineStr"/>
      <c r="K3" t="inlineStr"/>
      <c r="L3" t="inlineStr"/>
      <c r="M3" t="inlineStr"/>
      <c r="N3" t="inlineStr"/>
      <c r="O3">
        <f>(1-Summary!$B$11)*T3+Summary!$B$11*V3</f>
        <v/>
      </c>
      <c r="P3">
        <f>IF(Summary!$B$3=0,0,O3/Summary!$B$3)</f>
        <v/>
      </c>
      <c r="Q3" t="n">
        <v>0</v>
      </c>
      <c r="R3" t="n">
        <v>0</v>
      </c>
      <c r="S3">
        <f>IFERROR(O3/N3,0)</f>
        <v/>
      </c>
      <c r="T3" t="n">
        <v>0</v>
      </c>
      <c r="V3" t="n">
        <v>0</v>
      </c>
    </row>
    <row r="4">
      <c r="A4">
        <f>Skills!A4</f>
        <v/>
      </c>
      <c r="B4">
        <f>Skills!B4</f>
        <v/>
      </c>
      <c r="C4">
        <f>Inputs!$B$3&gt;=66</f>
        <v/>
      </c>
      <c r="D4">
        <f>IF(Skills!C4=1,60+Inputs!$B$25+Inputs!$B$29,IF(Skills!C4=2,90+Inputs!$B$26+Inputs!$B$29,IF(Skills!C4=3,120+Inputs!$B$27+Inputs!$B$29,MAX(0,(Inputs!$B$3-100)*3)+Inputs!$B$28+Inputs!$B$29)))</f>
        <v/>
      </c>
      <c r="E4">
        <f>INDEX(FactorTable!$B$2:$Y$301, MATCH(ROUND(MIN(300,MAX(1,D4)),0), FactorTable!$A$2:$A$301,0), Skills!M4+1)</f>
        <v/>
      </c>
      <c r="F4">
        <f>IF(Skills!N4=TRUE,(Skills!L4/10)*(E4/1000),Skills!L4/10)+Skills!O4</f>
        <v/>
      </c>
      <c r="G4">
        <f>Skills!G4*IF(Skills!H4&gt;0,IF(Inputs!$B$39="pvp",MIN(Skills!I4,15),Skills!I4)/Skills!H4,1)</f>
        <v/>
      </c>
      <c r="H4">
        <f>1-(1-Skills!J4/100)^Skills!K4</f>
        <v/>
      </c>
      <c r="I4" t="inlineStr">
        <is>
          <t>1</t>
        </is>
      </c>
      <c r="J4">
        <f>Summary!$B$6*(F4/100)</f>
        <v/>
      </c>
      <c r="K4">
        <f>J4*(1+Summary!$B$7/100)*(1+Inputs!$B$15/100)*(1+Inputs!$B$16/100)*(5000/(6000+Inputs!$B$43*(1-Inputs!$B$19/100)))*(1+Inputs!$B$24/100)*(1+Artifacts!$B$34/100)*(1+(IF(Skills!A4="CRUEL_STAB",Inputs!$B$17+Artifacts!$B$40,Inputs!$B$18+Artifacts!$B$39))/100)*(Summary!$B$13*Summary!$B$16*(1+Artifacts!$B$38/100)*I4)</f>
        <v/>
      </c>
      <c r="L4">
        <f>K4*(MIN(Inputs!$B$22,Inputs!$B$23)/100+Inputs!$B$23/100)/2</f>
        <v/>
      </c>
      <c r="M4">
        <f>L4*(1+(Inputs!$B$10+Summary!$B$21+Artifacts!$B$33)/100)</f>
        <v/>
      </c>
      <c r="N4">
        <f>L4*(1-MIN((Inputs!$B$9+Summary!$B$14+Artifacts!$B$32),100)/100)+M4*(MIN((Inputs!$B$9+Summary!$B$14+Artifacts!$B$32),100)/100)</f>
        <v/>
      </c>
      <c r="O4">
        <f>(1-Summary!$B$11)*T4+Summary!$B$11*V4</f>
        <v/>
      </c>
      <c r="P4">
        <f>IF(Summary!$B$3=0,0,O4/Summary!$B$3)</f>
        <v/>
      </c>
      <c r="Q4">
        <f>IFERROR(1/IF(Inputs!$B$39="pvp",15,MAX(0.1,Skills!D4-IF(TRUE=TRUE,Inputs!$B$32,0))),0)</f>
        <v/>
      </c>
      <c r="R4">
        <f>IF(AND(Inputs!$B$39&lt;&gt;"pvp",Inputs!$B$44&gt;0),IF(MAX(0,Inputs!$B$44-Summary!$B$26)&lt;=0,0,(INT(MAX(0,Inputs!$B$44-Summary!$B$26)/IF(Inputs!$B$39="pvp",15,MAX(0.1,Skills!D4-IF(TRUE=TRUE,Inputs!$B$32,0))))+1)),0)</f>
        <v/>
      </c>
      <c r="S4">
        <f>IFERROR(O4/N4,0)</f>
        <v/>
      </c>
      <c r="T4">
        <f>IF(C4,(H4*N4*IF(AND(Inputs!$B$39&lt;&gt;"pvp",Inputs!$B$44&gt;0),((Skills!G4*((R4-1)*IF(Skills!H4&gt;0,Skills!I4/Skills!H4,1)+IF(Skills!H4&gt;0,MIN(Skills!I4,MAX(0,MAX(0,Inputs!$B$44-Summary!$B$26)-((R4-1)*IF(Inputs!$B$39="pvp",15,MAX(0.1,Skills!D4-IF(TRUE=TRUE,Inputs!$B$32,0))))))/Skills!H4,1)))/Inputs!$B$44),G4*Q4))*IF(Inputs!$B$39="pvp",1,1+(Inputs!$B$20+Skills!P4+Summary!$B$15+Artifacts!$B$35)/100)*((((5000/(6000+Inputs!$B$43*(1-(100*(1-(1-Inputs!$B$19/100)*(1-Artifacts!$B$51/100)^IF(Inputs!$B$39="pvp",1,2)))/100)))/(5000/(6000+Inputs!$B$43*(1-Inputs!$B$19/100))))*((L4*(1-MIN(100,(Inputs!$B$9+Summary!$B$14+Artifacts!$B$32)+Artifacts!$B$69)/100)+M4*(MIN(100,(Inputs!$B$9+Summary!$B$14+Artifacts!$B$32)+Artifacts!$B$69)/100))/(L4*(1-MIN(100,(Inputs!$B$9+Summary!$B$14+Artifacts!$B$32))/100)+M4*(MIN(100,(Inputs!$B$9+Summary!$B$14+Artifacts!$B$32))/100)))*(1+Artifacts!$B$81/100))),0)</f>
        <v/>
      </c>
      <c r="V4">
        <f>IF(C4,(H4*N4*IF(AND(Inputs!$B$39&lt;&gt;"pvp",Inputs!$B$44&gt;0),((Skills!G4*((R4-1)*IF(Skills!H4&gt;0,Skills!I4/Skills!H4,1)+IF(Skills!H4&gt;0,MIN(Skills!I4,MAX(0,MAX(0,Inputs!$B$44-Summary!$B$26)-((R4-1)*IF(Inputs!$B$39="pvp",15,MAX(0.1,Skills!D4-IF(TRUE=TRUE,Inputs!$B$32,0))))))/Skills!H4,1)))/Inputs!$B$44),G4*Q4))*IF(Inputs!$B$39="pvp",1,(1+(Inputs!$B$21+Skills!Q4+Summary!$B$15+Artifacts!$B$80)/100)*(MIN(MIN(10,IF(Inputs!$B$3&gt;=75,0.75,0.5)*Summary!$B$18*(1/Calc!Q4)),Inputs!$B$37)))*((1+Artifacts!$B$53/100)),0)</f>
        <v/>
      </c>
    </row>
    <row r="5">
      <c r="A5">
        <f>Skills!A5</f>
        <v/>
      </c>
      <c r="B5">
        <f>Skills!B5</f>
        <v/>
      </c>
      <c r="C5">
        <f>Inputs!$B$3&gt;=75</f>
        <v/>
      </c>
      <c r="D5">
        <f>IF(Skills!C5=1,60+Inputs!$B$25+Inputs!$B$29,IF(Skills!C5=2,90+Inputs!$B$26+Inputs!$B$29,IF(Skills!C5=3,120+Inputs!$B$27+Inputs!$B$29,MAX(0,(Inputs!$B$3-100)*3)+Inputs!$B$28+Inputs!$B$29)))</f>
        <v/>
      </c>
      <c r="E5">
        <f>INDEX(FactorTable!$B$2:$Y$301, MATCH(ROUND(MIN(300,MAX(1,D5)),0), FactorTable!$A$2:$A$301,0), Skills!M5+1)</f>
        <v/>
      </c>
      <c r="F5">
        <f>IF(Skills!N5=TRUE,(Skills!L5/10)*(E5/1000),Skills!L5/10)+Skills!O5</f>
        <v/>
      </c>
      <c r="G5">
        <f>Skills!G5*IF(Skills!H5&gt;0,IF(Inputs!$B$39="pvp",MIN(Skills!I5,15),Skills!I5)/Skills!H5,1)</f>
        <v/>
      </c>
      <c r="H5">
        <f>1-(1-Skills!J5/100)^Skills!K5</f>
        <v/>
      </c>
      <c r="I5" t="inlineStr">
        <is>
          <t>1</t>
        </is>
      </c>
      <c r="J5" t="inlineStr"/>
      <c r="K5" t="inlineStr"/>
      <c r="L5" t="inlineStr"/>
      <c r="M5" t="inlineStr"/>
      <c r="N5" t="inlineStr"/>
      <c r="O5">
        <f>(1-Summary!$B$11)*T5+Summary!$B$11*V5</f>
        <v/>
      </c>
      <c r="P5">
        <f>IF(Summary!$B$3=0,0,O5/Summary!$B$3)</f>
        <v/>
      </c>
      <c r="Q5" t="n">
        <v>0</v>
      </c>
      <c r="R5" t="n">
        <v>0</v>
      </c>
      <c r="S5">
        <f>IFERROR(O5/N5,0)</f>
        <v/>
      </c>
      <c r="T5" t="n">
        <v>0</v>
      </c>
      <c r="V5" t="n">
        <v>0</v>
      </c>
    </row>
    <row r="6">
      <c r="A6">
        <f>Skills!A6</f>
        <v/>
      </c>
      <c r="B6">
        <f>Skills!B6</f>
        <v/>
      </c>
      <c r="C6">
        <f>Inputs!$B$3&gt;=63</f>
        <v/>
      </c>
      <c r="D6">
        <f>IF(Skills!C6=1,60+Inputs!$B$25+Inputs!$B$29,IF(Skills!C6=2,90+Inputs!$B$26+Inputs!$B$29,IF(Skills!C6=3,120+Inputs!$B$27+Inputs!$B$29,MAX(0,(Inputs!$B$3-100)*3)+Inputs!$B$28+Inputs!$B$29)))</f>
        <v/>
      </c>
      <c r="E6">
        <f>INDEX(FactorTable!$B$2:$Y$301, MATCH(ROUND(MIN(300,MAX(1,D6)),0), FactorTable!$A$2:$A$301,0), Skills!M6+1)</f>
        <v/>
      </c>
      <c r="F6">
        <f>IF(Skills!N6=TRUE,(Skills!L6/10)*(E6/1000),Skills!L6/10)+Skills!O6</f>
        <v/>
      </c>
      <c r="G6">
        <f>Skills!G6*IF(Skills!H6&gt;0,IF(Inputs!$B$39="pvp",MIN(Skills!I6,15),Skills!I6)/Skills!H6,1)</f>
        <v/>
      </c>
      <c r="H6">
        <f>1-(1-Skills!J6/100)^Skills!K6</f>
        <v/>
      </c>
      <c r="I6" t="inlineStr">
        <is>
          <t>1</t>
        </is>
      </c>
      <c r="J6">
        <f>Summary!$B$6*(F6/100)</f>
        <v/>
      </c>
      <c r="K6">
        <f>J6*(1+Summary!$B$7/100)*(1+Inputs!$B$15/100)*(1+Inputs!$B$16/100)*(5000/(6000+Inputs!$B$43*(1-Inputs!$B$19/100)))*(1+Inputs!$B$24/100)*(1+Artifacts!$B$34/100)*(1+2.6666666666666665*IF(C19=TRUE,F19,0)/100)*(1+(IF(Skills!A6="CRUEL_STAB",Inputs!$B$17+Artifacts!$B$40,Inputs!$B$18+Artifacts!$B$39))/100)*(Summary!$B$13*Summary!$B$16*(1+Artifacts!$B$38/100)*I6)</f>
        <v/>
      </c>
      <c r="L6">
        <f>K6*(MIN(Inputs!$B$22,Inputs!$B$23)/100+Inputs!$B$23/100)/2</f>
        <v/>
      </c>
      <c r="M6">
        <f>L6*(1+(Inputs!$B$10+Summary!$B$21+Artifacts!$B$33)/100)</f>
        <v/>
      </c>
      <c r="N6">
        <f>L6*(1-MIN((Inputs!$B$9+Summary!$B$14+Artifacts!$B$32),100)/100)+M6*(MIN((Inputs!$B$9+Summary!$B$14+Artifacts!$B$32),100)/100)</f>
        <v/>
      </c>
      <c r="O6">
        <f>(1-Summary!$B$11)*T6+Summary!$B$11*V6</f>
        <v/>
      </c>
      <c r="P6">
        <f>IF(Summary!$B$3=0,0,O6/Summary!$B$3)</f>
        <v/>
      </c>
      <c r="Q6">
        <f>IFERROR(1/IF(Inputs!$B$39="pvp",15,MAX(0.1,Skills!D6-IF(TRUE=TRUE,Inputs!$B$32,0))),0)</f>
        <v/>
      </c>
      <c r="R6">
        <f>IF(AND(Inputs!$B$39&lt;&gt;"pvp",Inputs!$B$44&gt;0),IF(MAX(0,Inputs!$B$44-Summary!$B$26)&lt;=0,0,(INT(MAX(0,Inputs!$B$44-Summary!$B$26)/IF(Inputs!$B$39="pvp",15,MAX(0.1,Skills!D6-IF(TRUE=TRUE,Inputs!$B$32,0))))+1)),0)</f>
        <v/>
      </c>
      <c r="S6">
        <f>IFERROR(O6/N6,0)</f>
        <v/>
      </c>
      <c r="T6">
        <f>IF(C6,(H6*N6*IF(AND(Inputs!$B$39&lt;&gt;"pvp",Inputs!$B$44&gt;0),((Skills!G6*((R6-1)*IF(Skills!H6&gt;0,Skills!I6/Skills!H6,1)+IF(Skills!H6&gt;0,MIN(Skills!I6,MAX(0,MAX(0,Inputs!$B$44-Summary!$B$26)-((R6-1)*IF(Inputs!$B$39="pvp",15,MAX(0.1,Skills!D6-IF(TRUE=TRUE,Inputs!$B$32,0))))))/Skills!H6,1)))/Inputs!$B$44),G6*Q6))*IF(Inputs!$B$39="pvp",1,1+(Inputs!$B$20+Skills!P6+Summary!$B$15+Artifacts!$B$35)/100)*((((5000/(6000+Inputs!$B$43*(1-(100*(1-(1-Inputs!$B$19/100)*(1-Artifacts!$B$51/100)^IF(Inputs!$B$39="pvp",1,2)))/100)))/(5000/(6000+Inputs!$B$43*(1-Inputs!$B$19/100))))*((L6*(1-MIN(100,(Inputs!$B$9+Summary!$B$14+Artifacts!$B$32)+Artifacts!$B$69)/100)+M6*(MIN(100,(Inputs!$B$9+Summary!$B$14+Artifacts!$B$32)+Artifacts!$B$69)/100))/(L6*(1-MIN(100,(Inputs!$B$9+Summary!$B$14+Artifacts!$B$32))/100)+M6*(MIN(100,(Inputs!$B$9+Summary!$B$14+Artifacts!$B$32))/100)))*(1+Artifacts!$B$81/100))),0)</f>
        <v/>
      </c>
      <c r="V6">
        <f>IF(C6,(H6*N6*IF(AND(Inputs!$B$39&lt;&gt;"pvp",Inputs!$B$44&gt;0),((Skills!G6*((R6-1)*IF(Skills!H6&gt;0,Skills!I6/Skills!H6,1)+IF(Skills!H6&gt;0,MIN(Skills!I6,MAX(0,MAX(0,Inputs!$B$44-Summary!$B$26)-((R6-1)*IF(Inputs!$B$39="pvp",15,MAX(0.1,Skills!D6-IF(TRUE=TRUE,Inputs!$B$32,0))))))/Skills!H6,1)))/Inputs!$B$44),G6*Q6))*IF(Inputs!$B$39="pvp",1,(1+(Inputs!$B$21+Skills!Q6+Summary!$B$15+Artifacts!$B$80)/100)*(MIN(Skills!W6,Inputs!$B$37)))*((1+Artifacts!$B$53/100)),0)</f>
        <v/>
      </c>
    </row>
    <row r="7">
      <c r="A7">
        <f>Skills!A7</f>
        <v/>
      </c>
      <c r="B7">
        <f>Skills!B7</f>
        <v/>
      </c>
      <c r="C7">
        <f>Inputs!$B$3&gt;=69</f>
        <v/>
      </c>
      <c r="D7">
        <f>IF(Skills!C7=1,60+Inputs!$B$25+Inputs!$B$29,IF(Skills!C7=2,90+Inputs!$B$26+Inputs!$B$29,IF(Skills!C7=3,120+Inputs!$B$27+Inputs!$B$29,MAX(0,(Inputs!$B$3-100)*3)+Inputs!$B$28+Inputs!$B$29)))</f>
        <v/>
      </c>
      <c r="E7">
        <f>INDEX(FactorTable!$B$2:$Y$301, MATCH(ROUND(MIN(300,MAX(1,D7)),0), FactorTable!$A$2:$A$301,0), Skills!M7+1)</f>
        <v/>
      </c>
      <c r="F7">
        <f>IF(Skills!N7=TRUE,(Skills!L7/10)*(E7/1000),Skills!L7/10)+Skills!O7</f>
        <v/>
      </c>
      <c r="G7">
        <f>Skills!G7*IF(Skills!H7&gt;0,IF(Inputs!$B$39="pvp",MIN(Skills!I7,15),Skills!I7)/Skills!H7,1)</f>
        <v/>
      </c>
      <c r="H7">
        <f>1-(1-Skills!J7/100)^Skills!K7</f>
        <v/>
      </c>
      <c r="I7" t="inlineStr">
        <is>
          <t>1</t>
        </is>
      </c>
      <c r="J7">
        <f>Summary!$B$6*(F7/100)</f>
        <v/>
      </c>
      <c r="K7">
        <f>J7*(1+Summary!$B$7/100)*(1+Inputs!$B$15/100)*(1+Inputs!$B$16/100)*(5000/(6000+Inputs!$B$43*(1-Inputs!$B$19/100)))*(1+Inputs!$B$24/100)*(1+Artifacts!$B$34/100)*(1+1.0*IF(C19=TRUE,F19,0)/100)*(1+(IF(Skills!A7="CRUEL_STAB",Inputs!$B$17+Artifacts!$B$40,Inputs!$B$18+Artifacts!$B$39))/100)*(Summary!$B$13*Summary!$B$16*(1+Artifacts!$B$38/100)*I7)</f>
        <v/>
      </c>
      <c r="L7">
        <f>K7*(MIN(Inputs!$B$22,Inputs!$B$23)/100+Inputs!$B$23/100)/2</f>
        <v/>
      </c>
      <c r="M7">
        <f>L7*(1+(Inputs!$B$10+Summary!$B$21+Artifacts!$B$33)/100)</f>
        <v/>
      </c>
      <c r="N7">
        <f>L7*(1-MIN((Inputs!$B$9+Summary!$B$14+Artifacts!$B$32),100)/100)+M7*(MIN((Inputs!$B$9+Summary!$B$14+Artifacts!$B$32),100)/100)</f>
        <v/>
      </c>
      <c r="O7">
        <f>(1-Summary!$B$11)*T7+Summary!$B$11*V7</f>
        <v/>
      </c>
      <c r="P7">
        <f>IF(Summary!$B$3=0,0,O7/Summary!$B$3)</f>
        <v/>
      </c>
      <c r="Q7">
        <f>IFERROR(1/IF(Inputs!$B$39="pvp",15,MAX(0.1,Skills!D7-IF(TRUE=TRUE,Inputs!$B$32,0))),0)</f>
        <v/>
      </c>
      <c r="R7">
        <f>IF(AND(Inputs!$B$39&lt;&gt;"pvp",Inputs!$B$44&gt;0),IF(MAX(0,Inputs!$B$44-Summary!$B$26)&lt;=0,0,(INT(MAX(0,Inputs!$B$44-Summary!$B$26)/IF(Inputs!$B$39="pvp",15,MAX(0.1,Skills!D7-IF(TRUE=TRUE,Inputs!$B$32,0))))+1)),0)</f>
        <v/>
      </c>
      <c r="S7">
        <f>IFERROR(O7/N7,0)</f>
        <v/>
      </c>
      <c r="T7">
        <f>IF(C7,(H7*N7*IF(AND(Inputs!$B$39&lt;&gt;"pvp",Inputs!$B$44&gt;0),((Skills!G7*((R7-1)*IF(Skills!H7&gt;0,Skills!I7/Skills!H7,1)+IF(Skills!H7&gt;0,MIN(Skills!I7,MAX(0,MAX(0,Inputs!$B$44-Summary!$B$26)-((R7-1)*IF(Inputs!$B$39="pvp",15,MAX(0.1,Skills!D7-IF(TRUE=TRUE,Inputs!$B$32,0))))))/Skills!H7,1)))/Inputs!$B$44),G7*Q7))*IF(Inputs!$B$39="pvp",1,1+(Inputs!$B$20+Skills!P7+Summary!$B$15+Artifacts!$B$35)/100)*((((5000/(6000+Inputs!$B$43*(1-(100*(1-(1-Inputs!$B$19/100)*(1-Artifacts!$B$51/100)^IF(Inputs!$B$39="pvp",1,2)))/100)))/(5000/(6000+Inputs!$B$43*(1-Inputs!$B$19/100))))*((L7*(1-MIN(100,(Inputs!$B$9+Summary!$B$14+Artifacts!$B$32)+Artifacts!$B$69)/100)+M7*(MIN(100,(Inputs!$B$9+Summary!$B$14+Artifacts!$B$32)+Artifacts!$B$69)/100))/(L7*(1-MIN(100,(Inputs!$B$9+Summary!$B$14+Artifacts!$B$32))/100)+M7*(MIN(100,(Inputs!$B$9+Summary!$B$14+Artifacts!$B$32))/100)))*(1+Artifacts!$B$81/100))),0)</f>
        <v/>
      </c>
      <c r="V7">
        <f>IF(C7,(H7*N7*IF(AND(Inputs!$B$39&lt;&gt;"pvp",Inputs!$B$44&gt;0),((Skills!G7*((R7-1)*IF(Skills!H7&gt;0,Skills!I7/Skills!H7,1)+IF(Skills!H7&gt;0,MIN(Skills!I7,MAX(0,MAX(0,Inputs!$B$44-Summary!$B$26)-((R7-1)*IF(Inputs!$B$39="pvp",15,MAX(0.1,Skills!D7-IF(TRUE=TRUE,Inputs!$B$32,0))))))/Skills!H7,1)))/Inputs!$B$44),G7*Q7))*IF(Inputs!$B$39="pvp",1,(1+(Inputs!$B$21+Skills!Q7+Summary!$B$15+Artifacts!$B$80)/100)*(MIN(Skills!W7,Inputs!$B$37)))*((1+Artifacts!$B$53/100)),0)</f>
        <v/>
      </c>
    </row>
    <row r="8">
      <c r="A8">
        <f>Skills!A8</f>
        <v/>
      </c>
      <c r="B8">
        <f>Skills!B8</f>
        <v/>
      </c>
      <c r="C8">
        <f>Inputs!$B$3&gt;=60</f>
        <v/>
      </c>
      <c r="D8">
        <f>IF(Skills!C8=1,60+Inputs!$B$25+Inputs!$B$29,IF(Skills!C8=2,90+Inputs!$B$26+Inputs!$B$29,IF(Skills!C8=3,120+Inputs!$B$27+Inputs!$B$29,MAX(0,(Inputs!$B$3-100)*3)+Inputs!$B$28+Inputs!$B$29)))</f>
        <v/>
      </c>
      <c r="E8">
        <f>INDEX(FactorTable!$B$2:$Y$301, MATCH(ROUND(MIN(300,MAX(1,D8)),0), FactorTable!$A$2:$A$301,0), Skills!M8+1)</f>
        <v/>
      </c>
      <c r="F8">
        <f>IF(Skills!N8=TRUE,(Skills!L8/10)*(E8/1000),Skills!L8/10)+Skills!O8</f>
        <v/>
      </c>
      <c r="G8">
        <f>Skills!G8*IF(Skills!H8&gt;0,IF(Inputs!$B$39="pvp",MIN(Skills!I8,15),Skills!I8)/Skills!H8,1)</f>
        <v/>
      </c>
      <c r="H8">
        <f>1-(1-Skills!J8/100)^Skills!K8</f>
        <v/>
      </c>
      <c r="I8" t="inlineStr">
        <is>
          <t>1</t>
        </is>
      </c>
      <c r="J8" t="inlineStr"/>
      <c r="K8" t="inlineStr"/>
      <c r="L8" t="inlineStr"/>
      <c r="M8" t="inlineStr"/>
      <c r="N8" t="inlineStr"/>
      <c r="O8">
        <f>(1-Summary!$B$11)*T8+Summary!$B$11*V8</f>
        <v/>
      </c>
      <c r="P8">
        <f>IF(Summary!$B$3=0,0,O8/Summary!$B$3)</f>
        <v/>
      </c>
      <c r="Q8" t="n">
        <v>0</v>
      </c>
      <c r="R8" t="n">
        <v>0</v>
      </c>
      <c r="S8">
        <f>IFERROR(O8/N8,0)</f>
        <v/>
      </c>
      <c r="T8" t="n">
        <v>0</v>
      </c>
      <c r="V8" t="n">
        <v>0</v>
      </c>
    </row>
    <row r="9">
      <c r="A9">
        <f>Skills!A9</f>
        <v/>
      </c>
      <c r="B9">
        <f>Skills!B9</f>
        <v/>
      </c>
      <c r="C9">
        <f>Inputs!$B$3&gt;=72</f>
        <v/>
      </c>
      <c r="D9">
        <f>IF(Skills!C9=1,60+Inputs!$B$25+Inputs!$B$29,IF(Skills!C9=2,90+Inputs!$B$26+Inputs!$B$29,IF(Skills!C9=3,120+Inputs!$B$27+Inputs!$B$29,MAX(0,(Inputs!$B$3-100)*3)+Inputs!$B$28+Inputs!$B$29)))</f>
        <v/>
      </c>
      <c r="E9">
        <f>INDEX(FactorTable!$B$2:$Y$301, MATCH(ROUND(MIN(300,MAX(1,D9)),0), FactorTable!$A$2:$A$301,0), Skills!M9+1)</f>
        <v/>
      </c>
      <c r="F9">
        <f>IF(Skills!N9=TRUE,(Skills!L9/10)*(E9/1000),Skills!L9/10)+Skills!O9</f>
        <v/>
      </c>
      <c r="G9">
        <f>Skills!G9*IF(Skills!H9&gt;0,IF(Inputs!$B$39="pvp",MIN(Skills!I9,15),Skills!I9)/Skills!H9,1)</f>
        <v/>
      </c>
      <c r="H9">
        <f>1-(1-Skills!J9/100)^Skills!K9</f>
        <v/>
      </c>
      <c r="I9" t="inlineStr">
        <is>
          <t>1</t>
        </is>
      </c>
      <c r="J9">
        <f>Summary!$B$6*(F9/100)</f>
        <v/>
      </c>
      <c r="K9">
        <f>J9*(1+Summary!$B$7/100)*(1+Inputs!$B$15/100)*(1+Inputs!$B$16/100)*(5000/(6000+Inputs!$B$43*(1-Inputs!$B$19/100)))*(1+Inputs!$B$24/100)*(1+Artifacts!$B$34/100)*(1+3.3333333333333335*IF(C19=TRUE,F19,0)/100)*(1+(IF(Skills!A9="CRUEL_STAB",Inputs!$B$17+Artifacts!$B$40,Inputs!$B$18+Artifacts!$B$39))/100)*(Summary!$B$13*Summary!$B$16*(1+Artifacts!$B$38/100)*I9)</f>
        <v/>
      </c>
      <c r="L9">
        <f>K9*(MIN(Inputs!$B$22,Inputs!$B$23)/100+Inputs!$B$23/100)/2</f>
        <v/>
      </c>
      <c r="M9">
        <f>L9*(1+(Inputs!$B$10+Summary!$B$21+Artifacts!$B$33)/100)</f>
        <v/>
      </c>
      <c r="N9">
        <f>L9*(1-MIN((Inputs!$B$9+Summary!$B$14+Artifacts!$B$32),100)/100)+M9*(MIN((Inputs!$B$9+Summary!$B$14+Artifacts!$B$32),100)/100)</f>
        <v/>
      </c>
      <c r="O9">
        <f>(1-Summary!$B$11)*T9+Summary!$B$11*V9</f>
        <v/>
      </c>
      <c r="P9">
        <f>IF(Summary!$B$3=0,0,O9/Summary!$B$3)</f>
        <v/>
      </c>
      <c r="Q9">
        <f>IFERROR(1/IF(Inputs!$B$39="pvp",15,MAX(0.1,Skills!D9-IF(FALSE=TRUE,Inputs!$B$32,0))),0)</f>
        <v/>
      </c>
      <c r="R9">
        <f>IF(AND(Inputs!$B$39&lt;&gt;"pvp",Inputs!$B$44&gt;0),IF(MAX(0,Inputs!$B$44-Summary!$B$26)&lt;=0,0,(INT(MAX(0,Inputs!$B$44-Summary!$B$26)/IF(Inputs!$B$39="pvp",15,MAX(0.1,Skills!D9-IF(FALSE=TRUE,Inputs!$B$32,0))))+1)),0)</f>
        <v/>
      </c>
      <c r="S9">
        <f>IFERROR(O9/N9,0)</f>
        <v/>
      </c>
      <c r="T9">
        <f>IF(C9,(H9*N9*IF(AND(Inputs!$B$39&lt;&gt;"pvp",Inputs!$B$44&gt;0),((Skills!G9*((R9-1)*IF(Skills!H9&gt;0,Skills!I9/Skills!H9,1)+IF(Skills!H9&gt;0,MIN(Skills!I9,MAX(0,MAX(0,Inputs!$B$44-Summary!$B$26)-((R9-1)*IF(Inputs!$B$39="pvp",15,MAX(0.1,Skills!D9-IF(FALSE=TRUE,Inputs!$B$32,0))))))/Skills!H9,1)))/Inputs!$B$44),G9*Q9))*IF(Inputs!$B$39="pvp",1,1+(Inputs!$B$20+Skills!P9+Summary!$B$15+Artifacts!$B$35)/100)*((((5000/(6000+Inputs!$B$43*(1-(100*(1-(1-Inputs!$B$19/100)*(1-Artifacts!$B$51/100)^IF(Inputs!$B$39="pvp",1,2)))/100)))/(5000/(6000+Inputs!$B$43*(1-Inputs!$B$19/100))))*((L9*(1-MIN(100,(Inputs!$B$9+Summary!$B$14+Artifacts!$B$32)+Artifacts!$B$69)/100)+M9*(MIN(100,(Inputs!$B$9+Summary!$B$14+Artifacts!$B$32)+Artifacts!$B$69)/100))/(L9*(1-MIN(100,(Inputs!$B$9+Summary!$B$14+Artifacts!$B$32))/100)+M9*(MIN(100,(Inputs!$B$9+Summary!$B$14+Artifacts!$B$32))/100)))*(1+Artifacts!$B$81/100))),0)</f>
        <v/>
      </c>
      <c r="V9">
        <f>IF(C9,(H9*N9*IF(AND(Inputs!$B$39&lt;&gt;"pvp",Inputs!$B$44&gt;0),((Skills!G9*((R9-1)*IF(Skills!H9&gt;0,Skills!I9/Skills!H9,1)+IF(Skills!H9&gt;0,MIN(Skills!I9,MAX(0,MAX(0,Inputs!$B$44-Summary!$B$26)-((R9-1)*IF(Inputs!$B$39="pvp",15,MAX(0.1,Skills!D9-IF(FALSE=TRUE,Inputs!$B$32,0))))))/Skills!H9,1)))/Inputs!$B$44),G9*Q9))*IF(Inputs!$B$39="pvp",1,(1+(Inputs!$B$21+Skills!Q9+Summary!$B$15+Artifacts!$B$80)/100)*(MIN(Skills!W9,Inputs!$B$37)))*((1+Artifacts!$B$53/100)),0)</f>
        <v/>
      </c>
    </row>
    <row r="10">
      <c r="A10">
        <f>Skills!A10</f>
        <v/>
      </c>
      <c r="B10">
        <f>Skills!B10</f>
        <v/>
      </c>
      <c r="C10">
        <f>Inputs!$B$3&gt;=117</f>
        <v/>
      </c>
      <c r="D10">
        <f>IF(Skills!C10=1,60+Inputs!$B$25+Inputs!$B$29,IF(Skills!C10=2,90+Inputs!$B$26+Inputs!$B$29,IF(Skills!C10=3,120+Inputs!$B$27+Inputs!$B$29,MAX(0,(Inputs!$B$3-100)*3)+Inputs!$B$28+Inputs!$B$29)))</f>
        <v/>
      </c>
      <c r="E10">
        <f>INDEX(FactorTable!$B$2:$Y$301, MATCH(ROUND(MIN(300,MAX(1,D10)),0), FactorTable!$A$2:$A$301,0), Skills!M10+1)</f>
        <v/>
      </c>
      <c r="F10">
        <f>IF(Skills!N10=TRUE,(Skills!L10/10)*(E10/1000),Skills!L10/10)+Skills!O10</f>
        <v/>
      </c>
      <c r="G10">
        <f>Skills!G10*IF(Skills!H10&gt;0,IF(Inputs!$B$39="pvp",MIN(Skills!I10,15),Skills!I10)/Skills!H10,1)</f>
        <v/>
      </c>
      <c r="H10">
        <f>1-(1-Skills!J10/100)^Skills!K10</f>
        <v/>
      </c>
      <c r="I10" t="inlineStr">
        <is>
          <t>1</t>
        </is>
      </c>
      <c r="J10">
        <f>Summary!$B$6*(F10/100)</f>
        <v/>
      </c>
      <c r="K10">
        <f>J10*(1+Summary!$B$7/100)*(1+Inputs!$B$15/100)*(1+Inputs!$B$16/100)*(5000/(6000+Inputs!$B$43*(1-Inputs!$B$19/100)))*(1+Inputs!$B$24/100)*(1+Artifacts!$B$34/100)*(1+(IF(Skills!A10="CRUEL_STAB",Inputs!$B$17+Artifacts!$B$40,Inputs!$B$18+Artifacts!$B$39))/100)*(Summary!$B$13*Summary!$B$16*(1+Artifacts!$B$38/100)*I10)</f>
        <v/>
      </c>
      <c r="L10">
        <f>K10*(MIN(Inputs!$B$22,Inputs!$B$23)/100+Inputs!$B$23/100)/2</f>
        <v/>
      </c>
      <c r="M10">
        <f>L10*(1+(Inputs!$B$10+Summary!$B$21+Artifacts!$B$33)/100)</f>
        <v/>
      </c>
      <c r="N10">
        <f>L10*(1-MIN((Inputs!$B$9+Summary!$B$14+Artifacts!$B$32),100)/100)+M10*(MIN((Inputs!$B$9+Summary!$B$14+Artifacts!$B$32),100)/100)</f>
        <v/>
      </c>
      <c r="O10">
        <f>(1-Summary!$B$11)*T10+Summary!$B$11*V10</f>
        <v/>
      </c>
      <c r="P10">
        <f>IF(Summary!$B$3=0,0,O10/Summary!$B$3)</f>
        <v/>
      </c>
      <c r="Q10" t="n">
        <v>0</v>
      </c>
      <c r="R10" t="n">
        <v>0</v>
      </c>
      <c r="S10" t="n">
        <v>0</v>
      </c>
      <c r="T10">
        <f>IF(C10,(0.2*SUMPRODUCT((Skills!Z2:Z31=TRUE)*(C2:C31=TRUE)*S2:S31)*N10)*IF(Inputs!$B$39="pvp",1,1+(Inputs!$B$20+Skills!P10+Summary!$B$15+Artifacts!$B$35)/100)*((((5000/(6000+Inputs!$B$43*(1-(100*(1-(1-Inputs!$B$19/100)*(1-Artifacts!$B$51/100)^IF(Inputs!$B$39="pvp",1,2)))/100)))/(5000/(6000+Inputs!$B$43*(1-Inputs!$B$19/100))))*((L10*(1-MIN(100,(Inputs!$B$9+Summary!$B$14+Artifacts!$B$32)+Artifacts!$B$69)/100)+M10*(MIN(100,(Inputs!$B$9+Summary!$B$14+Artifacts!$B$32)+Artifacts!$B$69)/100))/(L10*(1-MIN(100,(Inputs!$B$9+Summary!$B$14+Artifacts!$B$32))/100)+M10*(MIN(100,(Inputs!$B$9+Summary!$B$14+Artifacts!$B$32))/100)))*(1+Artifacts!$B$81/100))),0)</f>
        <v/>
      </c>
      <c r="V10">
        <f>IF(C10,(0.2*SUMPRODUCT((Skills!Z2:Z31=TRUE)*(C2:C31=TRUE)*S2:S31)*N10)*IF(Inputs!$B$39="pvp",1,(1+(Inputs!$B$21+Skills!Q10+Summary!$B$15+Artifacts!$B$80)/100)*(MIN(Skills!W10,Inputs!$B$37)))*((1+Artifacts!$B$53/100)),0)</f>
        <v/>
      </c>
    </row>
    <row r="11">
      <c r="A11">
        <f>Skills!A11</f>
        <v/>
      </c>
      <c r="B11">
        <f>Skills!B11</f>
        <v/>
      </c>
      <c r="C11">
        <f>Inputs!$B$3&gt;=74</f>
        <v/>
      </c>
      <c r="D11">
        <f>IF(Skills!C11=1,60+Inputs!$B$25+Inputs!$B$29,IF(Skills!C11=2,90+Inputs!$B$26+Inputs!$B$29,IF(Skills!C11=3,120+Inputs!$B$27+Inputs!$B$29,MAX(0,(Inputs!$B$3-100)*3)+Inputs!$B$28+Inputs!$B$29)))</f>
        <v/>
      </c>
      <c r="E11">
        <f>INDEX(FactorTable!$B$2:$Y$301, MATCH(ROUND(MIN(300,MAX(1,D11)),0), FactorTable!$A$2:$A$301,0), Skills!M11+1)</f>
        <v/>
      </c>
      <c r="F11">
        <f>IF(Skills!N11=TRUE,(Skills!L11/10)*(E11/1000),Skills!L11/10)+Skills!O11</f>
        <v/>
      </c>
      <c r="G11">
        <f>Skills!G11*IF(Skills!H11&gt;0,IF(Inputs!$B$39="pvp",MIN(Skills!I11,15),Skills!I11)/Skills!H11,1)</f>
        <v/>
      </c>
      <c r="H11">
        <f>1-(1-Skills!J11/100)^Skills!K11</f>
        <v/>
      </c>
      <c r="I11" t="inlineStr">
        <is>
          <t>1</t>
        </is>
      </c>
      <c r="J11" t="inlineStr"/>
      <c r="K11" t="inlineStr"/>
      <c r="L11" t="inlineStr"/>
      <c r="M11" t="inlineStr"/>
      <c r="N11" t="inlineStr"/>
      <c r="O11">
        <f>(1-Summary!$B$11)*T11+Summary!$B$11*V11</f>
        <v/>
      </c>
      <c r="P11">
        <f>IF(Summary!$B$3=0,0,O11/Summary!$B$3)</f>
        <v/>
      </c>
      <c r="Q11">
        <f>IFERROR(1/IF(Inputs!$B$39="pvp",15,MAX(0.1,Skills!D11-IF(TRUE=TRUE,Inputs!$B$32,0))),0)</f>
        <v/>
      </c>
      <c r="R11">
        <f>IF(AND(Inputs!$B$39&lt;&gt;"pvp",Inputs!$B$44&gt;0),IF(Inputs!$B$44&lt;=0,0,(INT(Inputs!$B$44/IF(Inputs!$B$39="pvp",15,MAX(0.1,Skills!D11-IF(TRUE=TRUE,Inputs!$B$32,0))))+1)),0)</f>
        <v/>
      </c>
      <c r="S11">
        <f>IFERROR(O11/N11,0)</f>
        <v/>
      </c>
      <c r="T11" t="n">
        <v>0</v>
      </c>
      <c r="V11" t="n">
        <v>0</v>
      </c>
    </row>
    <row r="12">
      <c r="A12">
        <f>Skills!A12</f>
        <v/>
      </c>
      <c r="B12">
        <f>Skills!B12</f>
        <v/>
      </c>
      <c r="C12">
        <f>Inputs!$B$3&gt;=103</f>
        <v/>
      </c>
      <c r="D12">
        <f>IF(Skills!C12=1,60+Inputs!$B$25+Inputs!$B$29,IF(Skills!C12=2,90+Inputs!$B$26+Inputs!$B$29,IF(Skills!C12=3,120+Inputs!$B$27+Inputs!$B$29,MAX(0,(Inputs!$B$3-100)*3)+Inputs!$B$28+Inputs!$B$29)))</f>
        <v/>
      </c>
      <c r="E12">
        <f>INDEX(FactorTable!$B$2:$Y$301, MATCH(ROUND(MIN(300,MAX(1,D12)),0), FactorTable!$A$2:$A$301,0), Skills!M12+1)</f>
        <v/>
      </c>
      <c r="F12">
        <f>(Skills!L12/10)*(E12/1000)+IF(Inputs!$B$3&gt;=134,50,0)+0.5*(30000/10)*(INDEX(FactorTable!$B$2:$Y$301, MATCH(ROUND(MIN(300,MAX(1,D12)),0), FactorTable!$A$2:$A$301,0), 13)/1000)*Summary!$B$24</f>
        <v/>
      </c>
      <c r="G12">
        <f>Skills!G12*IF(Skills!H12&gt;0,IF(Inputs!$B$39="pvp",MIN(Skills!I12,15),Skills!I12)/Skills!H12,1)</f>
        <v/>
      </c>
      <c r="H12">
        <f>1-(1-Skills!J12/100)^Skills!K12</f>
        <v/>
      </c>
      <c r="I12" t="inlineStr">
        <is>
          <t>1</t>
        </is>
      </c>
      <c r="J12">
        <f>Summary!$B$6*(F12/100)</f>
        <v/>
      </c>
      <c r="K12">
        <f>J12*(1+Summary!$B$7/100)*(1+Inputs!$B$15/100)*(1+Inputs!$B$16/100)*(5000/(6000+Inputs!$B$43*(1-Inputs!$B$19/100)))*(1+Inputs!$B$24/100)*(1+Artifacts!$B$34/100)*(1+(IF(Skills!A12="CRUEL_STAB",Inputs!$B$17+Artifacts!$B$40,Inputs!$B$18+Artifacts!$B$39))/100)*(Summary!$B$13*Summary!$B$16*(1+Artifacts!$B$38/100)*I12)</f>
        <v/>
      </c>
      <c r="L12">
        <f>K12*(MIN(Inputs!$B$22,Inputs!$B$23)/100+Inputs!$B$23/100)/2</f>
        <v/>
      </c>
      <c r="M12">
        <f>L12*(1+(Inputs!$B$10+Summary!$B$21+Artifacts!$B$33)/100)</f>
        <v/>
      </c>
      <c r="N12">
        <f>L12*(1-MIN((Inputs!$B$9+Summary!$B$14+Artifacts!$B$32),100)/100)+M12*(MIN((Inputs!$B$9+Summary!$B$14+Artifacts!$B$32),100)/100)</f>
        <v/>
      </c>
      <c r="O12">
        <f>(1-Summary!$B$11)*T12+Summary!$B$11*V12</f>
        <v/>
      </c>
      <c r="P12">
        <f>IF(Summary!$B$3=0,0,O12/Summary!$B$3)</f>
        <v/>
      </c>
      <c r="Q12">
        <f>IFERROR(1/IF(Inputs!$B$39="pvp",15,MAX(0.1,Skills!D12-IF(TRUE=TRUE,Inputs!$B$32,0))),0)</f>
        <v/>
      </c>
      <c r="R12">
        <f>IF(AND(Inputs!$B$39&lt;&gt;"pvp",Inputs!$B$44&gt;0),IF(MAX(0,Inputs!$B$44-Summary!$B$26)&lt;=0,0,(INT(MAX(0,Inputs!$B$44-Summary!$B$26)/IF(Inputs!$B$39="pvp",15,MAX(0.1,Skills!D12-IF(TRUE=TRUE,Inputs!$B$32,0))))+1)),0)</f>
        <v/>
      </c>
      <c r="S12">
        <f>IFERROR(O12/N12,0)</f>
        <v/>
      </c>
      <c r="T12">
        <f>IF(C12,(H12*N12*IF(AND(Inputs!$B$39&lt;&gt;"pvp",Inputs!$B$44&gt;0),((Skills!G12*((R12-1)*IF(Skills!H12&gt;0,Skills!I12/Skills!H12,1)+IF(Skills!H12&gt;0,MIN(Skills!I12,MAX(0,MAX(0,Inputs!$B$44-Summary!$B$26)-((R12-1)*IF(Inputs!$B$39="pvp",15,MAX(0.1,Skills!D12-IF(TRUE=TRUE,Inputs!$B$32,0))))))/Skills!H12,1)))/Inputs!$B$44),G12*Q12))*IF(Inputs!$B$39="pvp",1,1+(Inputs!$B$20+Skills!P12+Summary!$B$15+Artifacts!$B$35)/100)*((((5000/(6000+Inputs!$B$43*(1-(100*(1-(1-Inputs!$B$19/100)*(1-Artifacts!$B$51/100)^IF(Inputs!$B$39="pvp",1,2)))/100)))/(5000/(6000+Inputs!$B$43*(1-Inputs!$B$19/100))))*((L12*(1-MIN(100,(Inputs!$B$9+Summary!$B$14+Artifacts!$B$32)+Artifacts!$B$69)/100)+M12*(MIN(100,(Inputs!$B$9+Summary!$B$14+Artifacts!$B$32)+Artifacts!$B$69)/100))/(L12*(1-MIN(100,(Inputs!$B$9+Summary!$B$14+Artifacts!$B$32))/100)+M12*(MIN(100,(Inputs!$B$9+Summary!$B$14+Artifacts!$B$32))/100)))*(1+Artifacts!$B$81/100))),0)</f>
        <v/>
      </c>
      <c r="V12">
        <f>IF(C12,(H12*N12*IF(AND(Inputs!$B$39&lt;&gt;"pvp",Inputs!$B$44&gt;0),((Skills!G12*((R12-1)*IF(Skills!H12&gt;0,Skills!I12/Skills!H12,1)+IF(Skills!H12&gt;0,MIN(Skills!I12,MAX(0,MAX(0,Inputs!$B$44-Summary!$B$26)-((R12-1)*IF(Inputs!$B$39="pvp",15,MAX(0.1,Skills!D12-IF(TRUE=TRUE,Inputs!$B$32,0))))))/Skills!H12,1)))/Inputs!$B$44),G12*Q12))*IF(Inputs!$B$39="pvp",1,(1+(Inputs!$B$21+Skills!Q12+Summary!$B$15+Artifacts!$B$80)/100)*(MIN(Skills!W12,Inputs!$B$37)))*((1+Artifacts!$B$53/100)),0)</f>
        <v/>
      </c>
    </row>
    <row r="13">
      <c r="A13">
        <f>Skills!A13</f>
        <v/>
      </c>
      <c r="B13">
        <f>Skills!B13</f>
        <v/>
      </c>
      <c r="C13">
        <f>Inputs!$B$3&gt;=105</f>
        <v/>
      </c>
      <c r="D13">
        <f>IF(Skills!C13=1,60+Inputs!$B$25+Inputs!$B$29,IF(Skills!C13=2,90+Inputs!$B$26+Inputs!$B$29,IF(Skills!C13=3,120+Inputs!$B$27+Inputs!$B$29,MAX(0,(Inputs!$B$3-100)*3)+Inputs!$B$28+Inputs!$B$29)))</f>
        <v/>
      </c>
      <c r="E13">
        <f>INDEX(FactorTable!$B$2:$Y$301, MATCH(ROUND(MIN(300,MAX(1,D13)),0), FactorTable!$A$2:$A$301,0), Skills!M13+1)</f>
        <v/>
      </c>
      <c r="F13">
        <f>IF(Skills!N13=TRUE,(Skills!L13/10)*(E13/1000),Skills!L13/10)+Skills!O13</f>
        <v/>
      </c>
      <c r="G13">
        <f>Skills!G13*IF(Skills!H13&gt;0,IF(Inputs!$B$39="pvp",MIN(Skills!I13,15),Skills!I13)/Skills!H13,1)</f>
        <v/>
      </c>
      <c r="H13">
        <f>1-(1-Skills!J13/100)^Skills!K13</f>
        <v/>
      </c>
      <c r="I13" t="inlineStr">
        <is>
          <t>1</t>
        </is>
      </c>
      <c r="J13">
        <f>Summary!$B$6*(F13/100)</f>
        <v/>
      </c>
      <c r="K13">
        <f>J13*(1+Summary!$B$7/100)*(1+Inputs!$B$15/100)*(1+Inputs!$B$16/100)*(5000/(6000+Inputs!$B$43*(1-Inputs!$B$19/100)))*(1+Inputs!$B$24/100)*(1+Artifacts!$B$34/100)*(1+(IF(Skills!A13="CRUEL_STAB",Inputs!$B$17+Artifacts!$B$40,Inputs!$B$18+Artifacts!$B$39))/100)*(Summary!$B$13*Summary!$B$16*(1+Artifacts!$B$38/100)*I13)</f>
        <v/>
      </c>
      <c r="L13">
        <f>K13*(MIN(Inputs!$B$22,Inputs!$B$23)/100+Inputs!$B$23/100)/2</f>
        <v/>
      </c>
      <c r="M13">
        <f>L13*(1+(Inputs!$B$10+Summary!$B$21+Artifacts!$B$33)/100)</f>
        <v/>
      </c>
      <c r="N13">
        <f>L13*(1-MIN((Inputs!$B$9+Summary!$B$14+Artifacts!$B$32),100)/100)+M13*(MIN((Inputs!$B$9+Summary!$B$14+Artifacts!$B$32),100)/100)</f>
        <v/>
      </c>
      <c r="O13">
        <f>(1-Summary!$B$11)*T13+Summary!$B$11*V13</f>
        <v/>
      </c>
      <c r="P13">
        <f>IF(Summary!$B$3=0,0,O13/Summary!$B$3)</f>
        <v/>
      </c>
      <c r="Q13">
        <f>IFERROR(1/IF(Inputs!$B$39="pvp",15,MAX(0.1,Skills!D13-IF(TRUE=TRUE,Inputs!$B$32,0))),0)</f>
        <v/>
      </c>
      <c r="R13">
        <f>IF(AND(Inputs!$B$39&lt;&gt;"pvp",Inputs!$B$44&gt;0),IF(MAX(0,Inputs!$B$44-Summary!$B$26)&lt;=0,0,(INT(MAX(0,Inputs!$B$44-Summary!$B$26)/IF(Inputs!$B$39="pvp",15,MAX(0.1,Skills!D13-IF(TRUE=TRUE,Inputs!$B$32,0))))+1)),0)</f>
        <v/>
      </c>
      <c r="S13">
        <f>IFERROR(O13/N13,0)</f>
        <v/>
      </c>
      <c r="T13">
        <f>IF(C13,(H13*N13*IF(AND(Inputs!$B$39&lt;&gt;"pvp",Inputs!$B$44&gt;0),((Skills!G13*((R13-1)*IF(Skills!H13&gt;0,Skills!I13/Skills!H13,1)+IF(Skills!H13&gt;0,MIN(Skills!I13,MAX(0,MAX(0,Inputs!$B$44-Summary!$B$26)-((R13-1)*IF(Inputs!$B$39="pvp",15,MAX(0.1,Skills!D13-IF(TRUE=TRUE,Inputs!$B$32,0))))))/Skills!H13,1)))/Inputs!$B$44),G13*Q13))*IF(Inputs!$B$39="pvp",1,1+(Inputs!$B$20+Skills!P13+Summary!$B$15+Artifacts!$B$35)/100)*((((5000/(6000+Inputs!$B$43*(1-(100*(1-(1-Inputs!$B$19/100)*(1-Artifacts!$B$51/100)^IF(Inputs!$B$39="pvp",1,2)))/100)))/(5000/(6000+Inputs!$B$43*(1-Inputs!$B$19/100))))*((L13*(1-MIN(100,(Inputs!$B$9+Summary!$B$14+Artifacts!$B$32)+Artifacts!$B$69)/100)+M13*(MIN(100,(Inputs!$B$9+Summary!$B$14+Artifacts!$B$32)+Artifacts!$B$69)/100))/(L13*(1-MIN(100,(Inputs!$B$9+Summary!$B$14+Artifacts!$B$32))/100)+M13*(MIN(100,(Inputs!$B$9+Summary!$B$14+Artifacts!$B$32))/100)))*(1+Artifacts!$B$81/100))),0)</f>
        <v/>
      </c>
      <c r="V13">
        <f>IF(C13,(H13*N13*IF(AND(Inputs!$B$39&lt;&gt;"pvp",Inputs!$B$44&gt;0),((Skills!G13*((R13-1)*IF(Skills!H13&gt;0,Skills!I13/Skills!H13,1)+IF(Skills!H13&gt;0,MIN(Skills!I13,MAX(0,MAX(0,Inputs!$B$44-Summary!$B$26)-((R13-1)*IF(Inputs!$B$39="pvp",15,MAX(0.1,Skills!D13-IF(TRUE=TRUE,Inputs!$B$32,0))))))/Skills!H13,1)))/Inputs!$B$44),G13*Q13))*IF(Inputs!$B$39="pvp",1,(1+(Inputs!$B$21+Skills!Q13+Summary!$B$15+Artifacts!$B$80)/100)*(MIN(Skills!W13,Inputs!$B$37)))*((1+Artifacts!$B$53/100)),0)</f>
        <v/>
      </c>
    </row>
    <row r="14">
      <c r="A14">
        <f>Skills!A14</f>
        <v/>
      </c>
      <c r="B14">
        <f>Skills!B14</f>
        <v/>
      </c>
      <c r="C14">
        <f>Inputs!$B$3&gt;=105</f>
        <v/>
      </c>
      <c r="D14">
        <f>IF(Skills!C14=1,60+Inputs!$B$25+Inputs!$B$29,IF(Skills!C14=2,90+Inputs!$B$26+Inputs!$B$29,IF(Skills!C14=3,120+Inputs!$B$27+Inputs!$B$29,MAX(0,(Inputs!$B$3-100)*3)+Inputs!$B$28+Inputs!$B$29)))</f>
        <v/>
      </c>
      <c r="E14">
        <f>INDEX(FactorTable!$B$2:$Y$301, MATCH(ROUND(MIN(300,MAX(1,D14)),0), FactorTable!$A$2:$A$301,0), Skills!M14+1)</f>
        <v/>
      </c>
      <c r="F14">
        <f>IF(Skills!N14=TRUE,(Skills!L14/10)*(E14/1000),Skills!L14/10)+Skills!O14</f>
        <v/>
      </c>
      <c r="G14">
        <f>Skills!G14*IF(Skills!H14&gt;0,IF(Inputs!$B$39="pvp",MIN(Skills!I14,15),Skills!I14)/Skills!H14,1)</f>
        <v/>
      </c>
      <c r="H14">
        <f>1-(1-Skills!J14/100)^Skills!K14</f>
        <v/>
      </c>
      <c r="I14" t="inlineStr">
        <is>
          <t>1</t>
        </is>
      </c>
      <c r="J14">
        <f>Summary!$B$6*(F14/100)</f>
        <v/>
      </c>
      <c r="K14">
        <f>J14*(1+Summary!$B$7/100)*(1+Inputs!$B$15/100)*(1+Inputs!$B$16/100)*(5000/(6000+Inputs!$B$43*(1-Inputs!$B$19/100)))*(1+Inputs!$B$24/100)*(1+Artifacts!$B$34/100)*(1+(IF(Skills!A14="CRUEL_STAB",Inputs!$B$17+Artifacts!$B$40,Inputs!$B$18+Artifacts!$B$39))/100)*(Summary!$B$13*Summary!$B$16*(1+Artifacts!$B$38/100)*I14)</f>
        <v/>
      </c>
      <c r="L14">
        <f>K14*(MIN(Inputs!$B$22,Inputs!$B$23)/100+Inputs!$B$23/100)/2</f>
        <v/>
      </c>
      <c r="M14">
        <f>L14*(1+(Inputs!$B$10+Summary!$B$21+Artifacts!$B$33)/100)</f>
        <v/>
      </c>
      <c r="N14">
        <f>L14*(1-MIN((Inputs!$B$9+Summary!$B$14+Artifacts!$B$32),100)/100)+M14*(MIN((Inputs!$B$9+Summary!$B$14+Artifacts!$B$32),100)/100)</f>
        <v/>
      </c>
      <c r="O14">
        <f>(1-Summary!$B$11)*T14+Summary!$B$11*V14</f>
        <v/>
      </c>
      <c r="P14">
        <f>IF(Summary!$B$3=0,0,O14/Summary!$B$3)</f>
        <v/>
      </c>
      <c r="Q14">
        <f>IFERROR(1/IF(Inputs!$B$39="pvp",15,MAX(0.1,Skills!D14-IF(TRUE=TRUE,Inputs!$B$32,0))),0)</f>
        <v/>
      </c>
      <c r="R14">
        <f>IF(AND(Inputs!$B$39&lt;&gt;"pvp",Inputs!$B$44&gt;0),IF(MAX(0,Inputs!$B$44-Summary!$B$26)&lt;=0,0,(INT(MAX(0,Inputs!$B$44-Summary!$B$26)/IF(Inputs!$B$39="pvp",15,MAX(0.1,Skills!D14-IF(TRUE=TRUE,Inputs!$B$32,0))))+1)),0)</f>
        <v/>
      </c>
      <c r="S14">
        <f>IFERROR(O14/N14,0)</f>
        <v/>
      </c>
      <c r="T14">
        <f>IF(C14,(H14*N14*IF(AND(Inputs!$B$39&lt;&gt;"pvp",Inputs!$B$44&gt;0),((Skills!G14*((R14-1)*IF(Skills!H14&gt;0,Skills!I14/Skills!H14,1)+IF(Skills!H14&gt;0,MIN(Skills!I14,MAX(0,MAX(0,Inputs!$B$44-Summary!$B$26)-((R14-1)*IF(Inputs!$B$39="pvp",15,MAX(0.1,Skills!D14-IF(TRUE=TRUE,Inputs!$B$32,0))))))/Skills!H14,1)))/Inputs!$B$44),G14*Q14))*IF(Inputs!$B$39="pvp",1,1+(Inputs!$B$20+Skills!P14+Summary!$B$15+Artifacts!$B$35)/100)*((((5000/(6000+Inputs!$B$43*(1-(100*(1-(1-Inputs!$B$19/100)*(1-Artifacts!$B$51/100)^IF(Inputs!$B$39="pvp",1,2)))/100)))/(5000/(6000+Inputs!$B$43*(1-Inputs!$B$19/100))))*((L14*(1-MIN(100,(Inputs!$B$9+Summary!$B$14+Artifacts!$B$32)+Artifacts!$B$69)/100)+M14*(MIN(100,(Inputs!$B$9+Summary!$B$14+Artifacts!$B$32)+Artifacts!$B$69)/100))/(L14*(1-MIN(100,(Inputs!$B$9+Summary!$B$14+Artifacts!$B$32))/100)+M14*(MIN(100,(Inputs!$B$9+Summary!$B$14+Artifacts!$B$32))/100)))*(1+Artifacts!$B$81/100))),0)</f>
        <v/>
      </c>
      <c r="V14">
        <f>IF(C14,(H14*N14*IF(AND(Inputs!$B$39&lt;&gt;"pvp",Inputs!$B$44&gt;0),((Skills!G14*((R14-1)*IF(Skills!H14&gt;0,Skills!I14/Skills!H14,1)+IF(Skills!H14&gt;0,MIN(Skills!I14,MAX(0,MAX(0,Inputs!$B$44-Summary!$B$26)-((R14-1)*IF(Inputs!$B$39="pvp",15,MAX(0.1,Skills!D14-IF(TRUE=TRUE,Inputs!$B$32,0))))))/Skills!H14,1)))/Inputs!$B$44),G14*Q14))*IF(Inputs!$B$39="pvp",1,(1+(Inputs!$B$21+Skills!Q14+Summary!$B$15+Artifacts!$B$80)/100)*(MIN(Skills!W14,Inputs!$B$37)))*((1+Artifacts!$B$53/100)),0)</f>
        <v/>
      </c>
    </row>
    <row r="15">
      <c r="A15">
        <f>Skills!A15</f>
        <v/>
      </c>
      <c r="B15">
        <f>Skills!B15</f>
        <v/>
      </c>
      <c r="C15">
        <f>Inputs!$B$3&gt;=107</f>
        <v/>
      </c>
      <c r="D15">
        <f>IF(Skills!C15=1,60+Inputs!$B$25+Inputs!$B$29,IF(Skills!C15=2,90+Inputs!$B$26+Inputs!$B$29,IF(Skills!C15=3,120+Inputs!$B$27+Inputs!$B$29,MAX(0,(Inputs!$B$3-100)*3)+Inputs!$B$28+Inputs!$B$29)))</f>
        <v/>
      </c>
      <c r="E15">
        <f>INDEX(FactorTable!$B$2:$Y$301, MATCH(ROUND(MIN(300,MAX(1,D15)),0), FactorTable!$A$2:$A$301,0), Skills!M15+1)</f>
        <v/>
      </c>
      <c r="F15">
        <f>IF(Skills!N15=TRUE,(Skills!L15/10)*(E15/1000),Skills!L15/10)+Skills!O15</f>
        <v/>
      </c>
      <c r="G15">
        <f>Skills!G15*IF(Skills!H15&gt;0,IF(Inputs!$B$39="pvp",MIN(Skills!I15,15),Skills!I15)/Skills!H15,1)</f>
        <v/>
      </c>
      <c r="H15">
        <f>1-(1-Skills!J15/100)^Skills!K15</f>
        <v/>
      </c>
      <c r="I15" t="inlineStr">
        <is>
          <t>1</t>
        </is>
      </c>
      <c r="J15">
        <f>Summary!$B$6*(F15/100)</f>
        <v/>
      </c>
      <c r="K15">
        <f>J15*(1+Summary!$B$7/100)*(1+Inputs!$B$15/100)*(1+Inputs!$B$16/100)*(5000/(6000+Inputs!$B$43*(1-Inputs!$B$19/100)))*(1+Inputs!$B$24/100)*(1+Artifacts!$B$34/100)*(1+(IF(Skills!A15="CRUEL_STAB",Inputs!$B$17+Artifacts!$B$40,Inputs!$B$18+Artifacts!$B$39))/100)*(Summary!$B$13*Summary!$B$16*(1+Artifacts!$B$38/100)*I15)</f>
        <v/>
      </c>
      <c r="L15">
        <f>K15*(MIN(Inputs!$B$22,Inputs!$B$23)/100+Inputs!$B$23/100)/2</f>
        <v/>
      </c>
      <c r="M15">
        <f>L15*(1+(Inputs!$B$10+Summary!$B$21+Artifacts!$B$33)/100)</f>
        <v/>
      </c>
      <c r="N15">
        <f>L15*(1-MIN((Inputs!$B$9+Summary!$B$14+Artifacts!$B$32),100)/100)+M15*(MIN((Inputs!$B$9+Summary!$B$14+Artifacts!$B$32),100)/100)</f>
        <v/>
      </c>
      <c r="O15">
        <f>(1-Summary!$B$11)*T15+Summary!$B$11*V15</f>
        <v/>
      </c>
      <c r="P15">
        <f>IF(Summary!$B$3=0,0,O15/Summary!$B$3)</f>
        <v/>
      </c>
      <c r="Q15">
        <f>IFERROR(1/IF(Inputs!$B$39="pvp",15,MAX(0.1,Skills!D15-IF(TRUE=TRUE,Inputs!$B$32,0))),0)</f>
        <v/>
      </c>
      <c r="R15">
        <f>IF(AND(Inputs!$B$39&lt;&gt;"pvp",Inputs!$B$44&gt;0),IF(MAX(0,Inputs!$B$44-Summary!$B$26)&lt;=0,0,(INT(MAX(0,Inputs!$B$44-Summary!$B$26)/IF(Inputs!$B$39="pvp",15,MAX(0.1,Skills!D15-IF(TRUE=TRUE,Inputs!$B$32,0))))+1)),0)</f>
        <v/>
      </c>
      <c r="S15">
        <f>IFERROR(O15/N15,0)</f>
        <v/>
      </c>
      <c r="T15">
        <f>IF(C15,(H15*N15*IF(AND(Inputs!$B$39&lt;&gt;"pvp",Inputs!$B$44&gt;0),((Skills!G15*((R15-1)*IF(Skills!H15&gt;0,Skills!I15/Skills!H15,1)+IF(Skills!H15&gt;0,MIN(Skills!I15,MAX(0,MAX(0,Inputs!$B$44-Summary!$B$26)-((R15-1)*IF(Inputs!$B$39="pvp",15,MAX(0.1,Skills!D15-IF(TRUE=TRUE,Inputs!$B$32,0))))))/Skills!H15,1)))/Inputs!$B$44),G15*Q15))*IF(Inputs!$B$39="pvp",1,1+(Inputs!$B$20+Skills!P15+Summary!$B$15+Artifacts!$B$35)/100)*((((5000/(6000+Inputs!$B$43*(1-(100*(1-(1-Inputs!$B$19/100)*(1-Artifacts!$B$51/100)^IF(Inputs!$B$39="pvp",1,2)))/100)))/(5000/(6000+Inputs!$B$43*(1-Inputs!$B$19/100))))*((L15*(1-MIN(100,(Inputs!$B$9+Summary!$B$14+Artifacts!$B$32)+Artifacts!$B$69)/100)+M15*(MIN(100,(Inputs!$B$9+Summary!$B$14+Artifacts!$B$32)+Artifacts!$B$69)/100))/(L15*(1-MIN(100,(Inputs!$B$9+Summary!$B$14+Artifacts!$B$32))/100)+M15*(MIN(100,(Inputs!$B$9+Summary!$B$14+Artifacts!$B$32))/100)))*(1+Artifacts!$B$81/100))),0)</f>
        <v/>
      </c>
      <c r="V15">
        <f>IF(C15,(H15*N15*IF(AND(Inputs!$B$39&lt;&gt;"pvp",Inputs!$B$44&gt;0),((Skills!G15*((R15-1)*IF(Skills!H15&gt;0,Skills!I15/Skills!H15,1)+IF(Skills!H15&gt;0,MIN(Skills!I15,MAX(0,MAX(0,Inputs!$B$44-Summary!$B$26)-((R15-1)*IF(Inputs!$B$39="pvp",15,MAX(0.1,Skills!D15-IF(TRUE=TRUE,Inputs!$B$32,0))))))/Skills!H15,1)))/Inputs!$B$44),G15*Q15))*IF(Inputs!$B$39="pvp",1,(1+(Inputs!$B$21+Skills!Q15+Summary!$B$15+Artifacts!$B$80)/100)*(MIN(MIN(5,0.5*IF(Inputs!$B$3&gt;=75,0.75,0.5)*Summary!$B$18*(1/Calc!Q4))*Skills!V15,Inputs!$B$37)))*((1+Artifacts!$B$53/100)),0)</f>
        <v/>
      </c>
    </row>
    <row r="16">
      <c r="A16">
        <f>Skills!A16</f>
        <v/>
      </c>
      <c r="B16">
        <f>Skills!B16</f>
        <v/>
      </c>
      <c r="C16">
        <f>Inputs!$B$3&gt;=110</f>
        <v/>
      </c>
      <c r="D16">
        <f>IF(Skills!C16=1,60+Inputs!$B$25+Inputs!$B$29,IF(Skills!C16=2,90+Inputs!$B$26+Inputs!$B$29,IF(Skills!C16=3,120+Inputs!$B$27+Inputs!$B$29,MAX(0,(Inputs!$B$3-100)*3)+Inputs!$B$28+Inputs!$B$29)))</f>
        <v/>
      </c>
      <c r="E16">
        <f>INDEX(FactorTable!$B$2:$Y$301, MATCH(ROUND(MIN(300,MAX(1,D16)),0), FactorTable!$A$2:$A$301,0), Skills!M16+1)</f>
        <v/>
      </c>
      <c r="F16">
        <f>IF(Skills!N16=TRUE,(Skills!L16/10)*(E16/1000),Skills!L16/10)+Skills!O16</f>
        <v/>
      </c>
      <c r="G16">
        <f>Skills!G16*IF(Skills!H16&gt;0,IF(Inputs!$B$39="pvp",MIN(Skills!I16,15),Skills!I16)/Skills!H16,1)</f>
        <v/>
      </c>
      <c r="H16">
        <f>1-(1-Skills!J16/100)^Skills!K16</f>
        <v/>
      </c>
      <c r="I16" t="inlineStr">
        <is>
          <t>1</t>
        </is>
      </c>
      <c r="J16" t="inlineStr"/>
      <c r="K16" t="inlineStr"/>
      <c r="L16" t="inlineStr"/>
      <c r="M16" t="inlineStr"/>
      <c r="N16" t="inlineStr"/>
      <c r="O16">
        <f>(1-Summary!$B$11)*T16+Summary!$B$11*V16</f>
        <v/>
      </c>
      <c r="P16">
        <f>IF(Summary!$B$3=0,0,O16/Summary!$B$3)</f>
        <v/>
      </c>
      <c r="Q16">
        <f>IFERROR(1/IF(Inputs!$B$39="pvp",15,MAX(0.1,Skills!D16-IF(TRUE=TRUE,Inputs!$B$32,0))),0)</f>
        <v/>
      </c>
      <c r="R16">
        <f>IF(AND(Inputs!$B$39&lt;&gt;"pvp",Inputs!$B$44&gt;0),IF(Inputs!$B$44&lt;=0,0,(INT(Inputs!$B$44/IF(Inputs!$B$39="pvp",15,MAX(0.1,Skills!D16-IF(TRUE=TRUE,Inputs!$B$32,0))))+1)),0)</f>
        <v/>
      </c>
      <c r="S16">
        <f>IFERROR(O16/N16,0)</f>
        <v/>
      </c>
      <c r="T16" t="n">
        <v>0</v>
      </c>
      <c r="V16" t="n">
        <v>0</v>
      </c>
    </row>
    <row r="17">
      <c r="A17">
        <f>Skills!A17</f>
        <v/>
      </c>
      <c r="B17">
        <f>Skills!B17</f>
        <v/>
      </c>
      <c r="C17">
        <f>Inputs!$B$3&gt;=115</f>
        <v/>
      </c>
      <c r="D17">
        <f>IF(Skills!C17=1,60+Inputs!$B$25+Inputs!$B$29,IF(Skills!C17=2,90+Inputs!$B$26+Inputs!$B$29,IF(Skills!C17=3,120+Inputs!$B$27+Inputs!$B$29,MAX(0,(Inputs!$B$3-100)*3)+Inputs!$B$28+Inputs!$B$29)))</f>
        <v/>
      </c>
      <c r="E17">
        <f>INDEX(FactorTable!$B$2:$Y$301, MATCH(ROUND(MIN(300,MAX(1,D17)),0), FactorTable!$A$2:$A$301,0), Skills!M17+1)</f>
        <v/>
      </c>
      <c r="F17">
        <f>IF(Skills!N17=TRUE,(Skills!L17/10)*(E17/1000),Skills!L17/10)+Skills!O17</f>
        <v/>
      </c>
      <c r="G17">
        <f>Skills!G17*IF(Skills!H17&gt;0,IF(Inputs!$B$39="pvp",MIN(Skills!I17,15),Skills!I17)/Skills!H17,1)</f>
        <v/>
      </c>
      <c r="H17">
        <f>1-(1-Skills!J17/100)^Skills!K17</f>
        <v/>
      </c>
      <c r="I17" t="inlineStr">
        <is>
          <t>1</t>
        </is>
      </c>
      <c r="J17">
        <f>Summary!$B$6*(F17/100)</f>
        <v/>
      </c>
      <c r="K17">
        <f>J17*(1+Summary!$B$7/100)*(1+Inputs!$B$15/100)*(1+Inputs!$B$16/100)*(5000/(6000+Inputs!$B$43*(1-Inputs!$B$19/100)))*(1+Inputs!$B$24/100)*(1+Artifacts!$B$34/100)*(1+(IF(Skills!A17="CRUEL_STAB",Inputs!$B$17+Artifacts!$B$40,Inputs!$B$18+Artifacts!$B$39))/100)*(Summary!$B$13*Summary!$B$16*(1+Artifacts!$B$38/100)*I17)</f>
        <v/>
      </c>
      <c r="L17">
        <f>K17*(MIN(Inputs!$B$22,Inputs!$B$23)/100+Inputs!$B$23/100)/2</f>
        <v/>
      </c>
      <c r="M17">
        <f>L17*(1+(Inputs!$B$10+Summary!$B$21+Artifacts!$B$33)/100)</f>
        <v/>
      </c>
      <c r="N17">
        <f>L17*(1-MIN((Inputs!$B$9+Summary!$B$14+Artifacts!$B$32),100)/100)+M17*(MIN((Inputs!$B$9+Summary!$B$14+Artifacts!$B$32),100)/100)</f>
        <v/>
      </c>
      <c r="O17">
        <f>(1-Summary!$B$11)*T17+Summary!$B$11*V17</f>
        <v/>
      </c>
      <c r="P17">
        <f>IF(Summary!$B$3=0,0,O17/Summary!$B$3)</f>
        <v/>
      </c>
      <c r="Q17" t="n">
        <v>0</v>
      </c>
      <c r="R17" t="n">
        <v>0</v>
      </c>
      <c r="S17">
        <f>IFERROR(O17/N17,0)</f>
        <v/>
      </c>
      <c r="T17">
        <f>IF(C17,(Inputs!$B$38*0.2*N17)*IF(Inputs!$B$39="pvp",1,1+(Inputs!$B$20+Skills!P17+Summary!$B$15+Artifacts!$B$35)/100)*((((5000/(6000+Inputs!$B$43*(1-(100*(1-(1-Inputs!$B$19/100)*(1-Artifacts!$B$51/100)^IF(Inputs!$B$39="pvp",1,2)))/100)))/(5000/(6000+Inputs!$B$43*(1-Inputs!$B$19/100))))*((L17*(1-MIN(100,(Inputs!$B$9+Summary!$B$14+Artifacts!$B$32)+Artifacts!$B$69)/100)+M17*(MIN(100,(Inputs!$B$9+Summary!$B$14+Artifacts!$B$32)+Artifacts!$B$69)/100))/(L17*(1-MIN(100,(Inputs!$B$9+Summary!$B$14+Artifacts!$B$32))/100)+M17*(MIN(100,(Inputs!$B$9+Summary!$B$14+Artifacts!$B$32))/100)))*(1+Artifacts!$B$81/100))),0)</f>
        <v/>
      </c>
      <c r="V17">
        <f>IF(C17,(Inputs!$B$38*0.2*N17)*IF(Inputs!$B$39="pvp",1,(1+(Inputs!$B$21+Skills!Q17+Summary!$B$15+Artifacts!$B$80)/100)*(MIN(Skills!W17,Inputs!$B$37)))*((1+Artifacts!$B$53/100)),0)</f>
        <v/>
      </c>
    </row>
    <row r="18">
      <c r="A18">
        <f>Skills!A18</f>
        <v/>
      </c>
      <c r="B18">
        <f>Skills!B18</f>
        <v/>
      </c>
      <c r="C18">
        <f>Inputs!$B$3&gt;=115</f>
        <v/>
      </c>
      <c r="D18">
        <f>IF(Skills!C18=1,60+Inputs!$B$25+Inputs!$B$29,IF(Skills!C18=2,90+Inputs!$B$26+Inputs!$B$29,IF(Skills!C18=3,120+Inputs!$B$27+Inputs!$B$29,MAX(0,(Inputs!$B$3-100)*3)+Inputs!$B$28+Inputs!$B$29)))</f>
        <v/>
      </c>
      <c r="E18">
        <f>INDEX(FactorTable!$B$2:$Y$301, MATCH(ROUND(MIN(300,MAX(1,D18)),0), FactorTable!$A$2:$A$301,0), Skills!M18+1)</f>
        <v/>
      </c>
      <c r="F18">
        <f>IF(Skills!N18=TRUE,(Skills!L18/10)*(E18/1000),Skills!L18/10)+Skills!O18</f>
        <v/>
      </c>
      <c r="G18">
        <f>Skills!G18*IF(Skills!H18&gt;0,IF(Inputs!$B$39="pvp",MIN(Skills!I18,15),Skills!I18)/Skills!H18,1)</f>
        <v/>
      </c>
      <c r="H18">
        <f>1-(1-Skills!J18/100)^Skills!K18</f>
        <v/>
      </c>
      <c r="I18" t="inlineStr">
        <is>
          <t>1</t>
        </is>
      </c>
      <c r="J18" t="inlineStr"/>
      <c r="K18" t="inlineStr"/>
      <c r="L18" t="inlineStr"/>
      <c r="M18" t="inlineStr"/>
      <c r="N18" t="inlineStr"/>
      <c r="O18">
        <f>(1-Summary!$B$11)*T18+Summary!$B$11*V18</f>
        <v/>
      </c>
      <c r="P18">
        <f>IF(Summary!$B$3=0,0,O18/Summary!$B$3)</f>
        <v/>
      </c>
      <c r="Q18" t="n">
        <v>0</v>
      </c>
      <c r="R18" t="n">
        <v>0</v>
      </c>
      <c r="S18">
        <f>IFERROR(O18/N18,0)</f>
        <v/>
      </c>
      <c r="T18" t="n">
        <v>0</v>
      </c>
      <c r="V18" t="n">
        <v>0</v>
      </c>
    </row>
    <row r="19">
      <c r="A19">
        <f>Skills!A19</f>
        <v/>
      </c>
      <c r="B19">
        <f>Skills!B19</f>
        <v/>
      </c>
      <c r="C19">
        <f>Inputs!$B$3&gt;=100</f>
        <v/>
      </c>
      <c r="D19">
        <f>IF(Skills!C19=1,60+Inputs!$B$25+Inputs!$B$29,IF(Skills!C19=2,90+Inputs!$B$26+Inputs!$B$29,IF(Skills!C19=3,120+Inputs!$B$27+Inputs!$B$29,MAX(0,(Inputs!$B$3-100)*3)+Inputs!$B$28+Inputs!$B$29)))</f>
        <v/>
      </c>
      <c r="E19">
        <f>INDEX(FactorTable!$B$2:$Y$301, MATCH(ROUND(MIN(300,MAX(1,D19)),0), FactorTable!$A$2:$A$301,0), Skills!M19+1)</f>
        <v/>
      </c>
      <c r="F19">
        <f>IF(Skills!N19=TRUE,(Skills!L19/10)*(E19/1000),Skills!L19/10)+Skills!O19</f>
        <v/>
      </c>
      <c r="G19">
        <f>Skills!G19*IF(Skills!H19&gt;0,IF(Inputs!$B$39="pvp",MIN(Skills!I19,15),Skills!I19)/Skills!H19,1)</f>
        <v/>
      </c>
      <c r="H19">
        <f>1-(1-Skills!J19/100)^Skills!K19</f>
        <v/>
      </c>
      <c r="I19" t="inlineStr">
        <is>
          <t>1</t>
        </is>
      </c>
      <c r="J19" t="inlineStr"/>
      <c r="K19" t="inlineStr"/>
      <c r="L19" t="inlineStr"/>
      <c r="M19" t="inlineStr"/>
      <c r="N19" t="inlineStr"/>
      <c r="O19">
        <f>(1-Summary!$B$11)*T19+Summary!$B$11*V19</f>
        <v/>
      </c>
      <c r="P19">
        <f>IF(Summary!$B$3=0,0,O19/Summary!$B$3)</f>
        <v/>
      </c>
      <c r="Q19" t="n">
        <v>0</v>
      </c>
      <c r="R19" t="n">
        <v>0</v>
      </c>
      <c r="S19">
        <f>IFERROR(O19/N19,0)</f>
        <v/>
      </c>
      <c r="T19" t="n">
        <v>0</v>
      </c>
      <c r="V19" t="n">
        <v>0</v>
      </c>
    </row>
    <row r="20">
      <c r="A20">
        <f>Skills!A20</f>
        <v/>
      </c>
      <c r="B20">
        <f>Skills!B20</f>
        <v/>
      </c>
      <c r="C20">
        <f>TRUE</f>
        <v/>
      </c>
      <c r="D20">
        <f>IF(Skills!C20=1,60+Inputs!$B$25+Inputs!$B$29,IF(Skills!C20=2,90+Inputs!$B$26+Inputs!$B$29,IF(Skills!C20=3,120+Inputs!$B$27+Inputs!$B$29,MAX(0,(Inputs!$B$3-100)*3)+Inputs!$B$28+Inputs!$B$29)))</f>
        <v/>
      </c>
      <c r="E20">
        <f>INDEX(FactorTable!$B$2:$Y$301, MATCH(ROUND(MIN(300,MAX(1,D20)),0), FactorTable!$A$2:$A$301,0), Skills!M20+1)</f>
        <v/>
      </c>
      <c r="F20">
        <f>IF(Skills!N20=TRUE,(Skills!L20/10)*(E20/1000),Skills!L20/10)+Skills!O20</f>
        <v/>
      </c>
      <c r="G20">
        <f>Skills!G20*IF(Skills!H20&gt;0,IF(Inputs!$B$39="pvp",MIN(Skills!I20,15),Skills!I20)/Skills!H20,1)</f>
        <v/>
      </c>
      <c r="H20">
        <f>1-(1-Skills!J20/100)^Skills!K20</f>
        <v/>
      </c>
      <c r="I20" t="inlineStr">
        <is>
          <t>1</t>
        </is>
      </c>
      <c r="J20" t="inlineStr"/>
      <c r="K20" t="inlineStr"/>
      <c r="L20" t="inlineStr"/>
      <c r="M20" t="inlineStr"/>
      <c r="N20" t="inlineStr"/>
      <c r="O20">
        <f>(1-Summary!$B$11)*T20+Summary!$B$11*V20</f>
        <v/>
      </c>
      <c r="P20">
        <f>IF(Summary!$B$3=0,0,O20/Summary!$B$3)</f>
        <v/>
      </c>
      <c r="Q20">
        <f>IFERROR(1/IF(Inputs!$B$39="pvp",15,MAX(0.1,Skills!D20-IF(TRUE=TRUE,Inputs!$B$32,0))),0)</f>
        <v/>
      </c>
      <c r="R20">
        <f>IF(AND(Inputs!$B$39&lt;&gt;"pvp",Inputs!$B$44&gt;0),IF(Inputs!$B$44&lt;=0,0,(INT(Inputs!$B$44/IF(Inputs!$B$39="pvp",15,MAX(0.1,Skills!D20-IF(TRUE=TRUE,Inputs!$B$32,0))))+1)),0)</f>
        <v/>
      </c>
      <c r="S20">
        <f>IFERROR(O20/N20,0)</f>
        <v/>
      </c>
      <c r="T20" t="n">
        <v>0</v>
      </c>
      <c r="V20" t="n">
        <v>0</v>
      </c>
    </row>
    <row r="21">
      <c r="A21">
        <f>Skills!A21</f>
        <v/>
      </c>
      <c r="B21">
        <f>Skills!B21</f>
        <v/>
      </c>
      <c r="C21">
        <f>Inputs!$B$3&gt;=15</f>
        <v/>
      </c>
      <c r="D21">
        <f>IF(Skills!C21=1,60+Inputs!$B$25+Inputs!$B$29,IF(Skills!C21=2,90+Inputs!$B$26+Inputs!$B$29,IF(Skills!C21=3,120+Inputs!$B$27+Inputs!$B$29,MAX(0,(Inputs!$B$3-100)*3)+Inputs!$B$28+Inputs!$B$29)))</f>
        <v/>
      </c>
      <c r="E21">
        <f>INDEX(FactorTable!$B$2:$Y$301, MATCH(ROUND(MIN(300,MAX(1,D21)),0), FactorTable!$A$2:$A$301,0), Skills!M21+1)</f>
        <v/>
      </c>
      <c r="F21">
        <f>IF(Skills!N21=TRUE,(Skills!L21/10)*(E21/1000),Skills!L21/10)+Skills!O21</f>
        <v/>
      </c>
      <c r="G21">
        <f>Skills!G21*IF(Skills!H21&gt;0,IF(Inputs!$B$39="pvp",MIN(Skills!I21,15),Skills!I21)/Skills!H21,1)</f>
        <v/>
      </c>
      <c r="H21">
        <f>1-(1-Skills!J21/100)^Skills!K21</f>
        <v/>
      </c>
      <c r="I21" t="inlineStr">
        <is>
          <t>1</t>
        </is>
      </c>
      <c r="J21" t="inlineStr"/>
      <c r="K21" t="inlineStr"/>
      <c r="L21" t="inlineStr"/>
      <c r="M21" t="inlineStr"/>
      <c r="N21" t="inlineStr"/>
      <c r="O21">
        <f>(1-Summary!$B$11)*T21+Summary!$B$11*V21</f>
        <v/>
      </c>
      <c r="P21">
        <f>IF(Summary!$B$3=0,0,O21/Summary!$B$3)</f>
        <v/>
      </c>
      <c r="Q21">
        <f>IFERROR(1/IF(Inputs!$B$39="pvp",15,MAX(0.1,Skills!D21-IF(TRUE=TRUE,Inputs!$B$32,0))),0)</f>
        <v/>
      </c>
      <c r="R21">
        <f>IF(AND(Inputs!$B$39&lt;&gt;"pvp",Inputs!$B$44&gt;0),IF(Inputs!$B$44&lt;=0,0,(INT(Inputs!$B$44/IF(Inputs!$B$39="pvp",15,MAX(0.1,Skills!D21-IF(TRUE=TRUE,Inputs!$B$32,0))))+1)),0)</f>
        <v/>
      </c>
      <c r="S21">
        <f>IFERROR(O21/N21,0)</f>
        <v/>
      </c>
      <c r="T21" t="n">
        <v>0</v>
      </c>
      <c r="V21" t="n">
        <v>0</v>
      </c>
    </row>
    <row r="22">
      <c r="A22">
        <f>Skills!A22</f>
        <v/>
      </c>
      <c r="B22">
        <f>Skills!B22</f>
        <v/>
      </c>
      <c r="C22">
        <f>Inputs!$B$3&gt;=15</f>
        <v/>
      </c>
      <c r="D22">
        <f>IF(Skills!C22=1,60+Inputs!$B$25+Inputs!$B$29,IF(Skills!C22=2,90+Inputs!$B$26+Inputs!$B$29,IF(Skills!C22=3,120+Inputs!$B$27+Inputs!$B$29,MAX(0,(Inputs!$B$3-100)*3)+Inputs!$B$28+Inputs!$B$29)))</f>
        <v/>
      </c>
      <c r="E22">
        <f>INDEX(FactorTable!$B$2:$Y$301, MATCH(ROUND(MIN(300,MAX(1,D22)),0), FactorTable!$A$2:$A$301,0), Skills!M22+1)</f>
        <v/>
      </c>
      <c r="F22">
        <f>IF(Skills!N22=TRUE,(Skills!L22/10)*(E22/1000),Skills!L22/10)+Skills!O22</f>
        <v/>
      </c>
      <c r="G22">
        <f>Skills!G22*IF(Skills!H22&gt;0,IF(Inputs!$B$39="pvp",MIN(Skills!I22,15),Skills!I22)/Skills!H22,1)</f>
        <v/>
      </c>
      <c r="H22">
        <f>1-(1-Skills!J22/100)^Skills!K22</f>
        <v/>
      </c>
      <c r="I22" t="inlineStr">
        <is>
          <t>1</t>
        </is>
      </c>
      <c r="J22" t="inlineStr"/>
      <c r="K22" t="inlineStr"/>
      <c r="L22" t="inlineStr"/>
      <c r="M22" t="inlineStr"/>
      <c r="N22" t="inlineStr"/>
      <c r="O22">
        <f>(1-Summary!$B$11)*T22+Summary!$B$11*V22</f>
        <v/>
      </c>
      <c r="P22">
        <f>IF(Summary!$B$3=0,0,O22/Summary!$B$3)</f>
        <v/>
      </c>
      <c r="Q22">
        <f>IFERROR(1/IF(Inputs!$B$39="pvp",15,MAX(0.1,Skills!D22-IF(TRUE=TRUE,Inputs!$B$32,0))),0)</f>
        <v/>
      </c>
      <c r="R22">
        <f>IF(AND(Inputs!$B$39&lt;&gt;"pvp",Inputs!$B$44&gt;0),IF(Inputs!$B$44&lt;=0,0,(INT(Inputs!$B$44/IF(Inputs!$B$39="pvp",15,MAX(0.1,Skills!D22-IF(TRUE=TRUE,Inputs!$B$32,0))))+1)),0)</f>
        <v/>
      </c>
      <c r="S22">
        <f>IFERROR(O22/N22,0)</f>
        <v/>
      </c>
      <c r="T22" t="n">
        <v>0</v>
      </c>
      <c r="V22" t="n">
        <v>0</v>
      </c>
    </row>
    <row r="23">
      <c r="A23">
        <f>Skills!A23</f>
        <v/>
      </c>
      <c r="B23">
        <f>Skills!B23</f>
        <v/>
      </c>
      <c r="C23">
        <f>Inputs!$B$3&gt;=33</f>
        <v/>
      </c>
      <c r="D23">
        <f>IF(Skills!C23=1,60+Inputs!$B$25+Inputs!$B$29,IF(Skills!C23=2,90+Inputs!$B$26+Inputs!$B$29,IF(Skills!C23=3,120+Inputs!$B$27+Inputs!$B$29,MAX(0,(Inputs!$B$3-100)*3)+Inputs!$B$28+Inputs!$B$29)))</f>
        <v/>
      </c>
      <c r="E23">
        <f>INDEX(FactorTable!$B$2:$Y$301, MATCH(ROUND(MIN(300,MAX(1,D23)),0), FactorTable!$A$2:$A$301,0), Skills!M23+1)</f>
        <v/>
      </c>
      <c r="F23">
        <f>IF(Skills!N23=TRUE,(Skills!L23/10)*(E23/1000),Skills!L23/10)+Skills!O23</f>
        <v/>
      </c>
      <c r="G23">
        <f>Skills!G23*IF(Skills!H23&gt;0,IF(Inputs!$B$39="pvp",MIN(Skills!I23,15),Skills!I23)/Skills!H23,1)</f>
        <v/>
      </c>
      <c r="H23">
        <f>1-(1-Skills!J23/100)^Skills!K23</f>
        <v/>
      </c>
      <c r="I23" t="inlineStr">
        <is>
          <t>1</t>
        </is>
      </c>
      <c r="J23" t="inlineStr"/>
      <c r="K23" t="inlineStr"/>
      <c r="L23" t="inlineStr"/>
      <c r="M23" t="inlineStr"/>
      <c r="N23" t="inlineStr"/>
      <c r="O23">
        <f>(1-Summary!$B$11)*T23+Summary!$B$11*V23</f>
        <v/>
      </c>
      <c r="P23">
        <f>IF(Summary!$B$3=0,0,O23/Summary!$B$3)</f>
        <v/>
      </c>
      <c r="Q23" t="n">
        <v>0</v>
      </c>
      <c r="R23" t="n">
        <v>0</v>
      </c>
      <c r="S23">
        <f>IFERROR(O23/N23,0)</f>
        <v/>
      </c>
      <c r="T23" t="n">
        <v>0</v>
      </c>
      <c r="V23" t="n">
        <v>0</v>
      </c>
    </row>
    <row r="24">
      <c r="A24">
        <f>Skills!A24</f>
        <v/>
      </c>
      <c r="B24">
        <f>Skills!B24</f>
        <v/>
      </c>
      <c r="C24">
        <f>Inputs!$B$3&gt;=40</f>
        <v/>
      </c>
      <c r="D24">
        <f>IF(Skills!C24=1,60+Inputs!$B$25+Inputs!$B$29,IF(Skills!C24=2,90+Inputs!$B$26+Inputs!$B$29,IF(Skills!C24=3,120+Inputs!$B$27+Inputs!$B$29,MAX(0,(Inputs!$B$3-100)*3)+Inputs!$B$28+Inputs!$B$29)))</f>
        <v/>
      </c>
      <c r="E24">
        <f>INDEX(FactorTable!$B$2:$Y$301, MATCH(ROUND(MIN(300,MAX(1,D24)),0), FactorTable!$A$2:$A$301,0), Skills!M24+1)</f>
        <v/>
      </c>
      <c r="F24">
        <f>IF(Skills!N24=TRUE,(Skills!L24/10)*(E24/1000),Skills!L24/10)+Skills!O24</f>
        <v/>
      </c>
      <c r="G24">
        <f>Skills!G24*IF(Skills!H24&gt;0,IF(Inputs!$B$39="pvp",MIN(Skills!I24,15),Skills!I24)/Skills!H24,1)</f>
        <v/>
      </c>
      <c r="H24">
        <f>1-(1-Skills!J24/100)^Skills!K24</f>
        <v/>
      </c>
      <c r="I24" t="inlineStr">
        <is>
          <t>1</t>
        </is>
      </c>
      <c r="J24" t="inlineStr"/>
      <c r="K24" t="inlineStr"/>
      <c r="L24" t="inlineStr"/>
      <c r="M24" t="inlineStr"/>
      <c r="N24" t="inlineStr"/>
      <c r="O24">
        <f>(1-Summary!$B$11)*T24+Summary!$B$11*V24</f>
        <v/>
      </c>
      <c r="P24">
        <f>IF(Summary!$B$3=0,0,O24/Summary!$B$3)</f>
        <v/>
      </c>
      <c r="Q24" t="n">
        <v>0</v>
      </c>
      <c r="R24" t="n">
        <v>0</v>
      </c>
      <c r="S24">
        <f>IFERROR(O24/N24,0)</f>
        <v/>
      </c>
      <c r="T24" t="n">
        <v>0</v>
      </c>
      <c r="V24" t="n">
        <v>0</v>
      </c>
    </row>
    <row r="25">
      <c r="A25">
        <f>Skills!A25</f>
        <v/>
      </c>
      <c r="B25">
        <f>Skills!B25</f>
        <v/>
      </c>
      <c r="C25">
        <f>Inputs!$B$3&gt;=43</f>
        <v/>
      </c>
      <c r="D25">
        <f>IF(Skills!C25=1,60+Inputs!$B$25+Inputs!$B$29,IF(Skills!C25=2,90+Inputs!$B$26+Inputs!$B$29,IF(Skills!C25=3,120+Inputs!$B$27+Inputs!$B$29,MAX(0,(Inputs!$B$3-100)*3)+Inputs!$B$28+Inputs!$B$29)))</f>
        <v/>
      </c>
      <c r="E25">
        <f>INDEX(FactorTable!$B$2:$Y$301, MATCH(ROUND(MIN(300,MAX(1,D25)),0), FactorTable!$A$2:$A$301,0), Skills!M25+1)</f>
        <v/>
      </c>
      <c r="F25">
        <f>IF(Skills!N25=TRUE,(Skills!L25/10)*(E25/1000),Skills!L25/10)+Skills!O25</f>
        <v/>
      </c>
      <c r="G25">
        <f>Skills!G25*IF(Skills!H25&gt;0,IF(Inputs!$B$39="pvp",MIN(Skills!I25,15),Skills!I25)/Skills!H25,1)</f>
        <v/>
      </c>
      <c r="H25">
        <f>1-(1-Skills!J25/100)^Skills!K25</f>
        <v/>
      </c>
      <c r="I25" t="inlineStr">
        <is>
          <t>1</t>
        </is>
      </c>
      <c r="J25" t="inlineStr"/>
      <c r="K25" t="inlineStr"/>
      <c r="L25" t="inlineStr"/>
      <c r="M25" t="inlineStr"/>
      <c r="N25" t="inlineStr"/>
      <c r="O25">
        <f>(1-Summary!$B$11)*T25+Summary!$B$11*V25</f>
        <v/>
      </c>
      <c r="P25">
        <f>IF(Summary!$B$3=0,0,O25/Summary!$B$3)</f>
        <v/>
      </c>
      <c r="Q25" t="n">
        <v>0</v>
      </c>
      <c r="R25" t="n">
        <v>0</v>
      </c>
      <c r="S25">
        <f>IFERROR(O25/N25,0)</f>
        <v/>
      </c>
      <c r="T25" t="n">
        <v>0</v>
      </c>
      <c r="V25" t="n">
        <v>0</v>
      </c>
    </row>
    <row r="26">
      <c r="A26">
        <f>Skills!A26</f>
        <v/>
      </c>
      <c r="B26">
        <f>Skills!B26</f>
        <v/>
      </c>
      <c r="C26">
        <f>Inputs!$B$3&gt;=50</f>
        <v/>
      </c>
      <c r="D26">
        <f>IF(Skills!C26=1,60+Inputs!$B$25+Inputs!$B$29,IF(Skills!C26=2,90+Inputs!$B$26+Inputs!$B$29,IF(Skills!C26=3,120+Inputs!$B$27+Inputs!$B$29,MAX(0,(Inputs!$B$3-100)*3)+Inputs!$B$28+Inputs!$B$29)))</f>
        <v/>
      </c>
      <c r="E26">
        <f>INDEX(FactorTable!$B$2:$Y$301, MATCH(ROUND(MIN(300,MAX(1,D26)),0), FactorTable!$A$2:$A$301,0), Skills!M26+1)</f>
        <v/>
      </c>
      <c r="F26">
        <f>IF(Skills!N26=TRUE,(Skills!L26/10)*(E26/1000),Skills!L26/10)+Skills!O26</f>
        <v/>
      </c>
      <c r="G26">
        <f>Skills!G26*IF(Skills!H26&gt;0,IF(Inputs!$B$39="pvp",MIN(Skills!I26,15),Skills!I26)/Skills!H26,1)</f>
        <v/>
      </c>
      <c r="H26">
        <f>1-(1-Skills!J26/100)^Skills!K26</f>
        <v/>
      </c>
      <c r="I26" t="inlineStr">
        <is>
          <t>1</t>
        </is>
      </c>
      <c r="J26" t="inlineStr"/>
      <c r="K26" t="inlineStr"/>
      <c r="L26" t="inlineStr"/>
      <c r="M26" t="inlineStr"/>
      <c r="N26" t="inlineStr"/>
      <c r="O26">
        <f>(1-Summary!$B$11)*T26+Summary!$B$11*V26</f>
        <v/>
      </c>
      <c r="P26">
        <f>IF(Summary!$B$3=0,0,O26/Summary!$B$3)</f>
        <v/>
      </c>
      <c r="Q26" t="n">
        <v>0</v>
      </c>
      <c r="R26" t="n">
        <v>0</v>
      </c>
      <c r="S26">
        <f>IFERROR(O26/N26,0)</f>
        <v/>
      </c>
      <c r="T26" t="n">
        <v>0</v>
      </c>
      <c r="V26" t="n">
        <v>0</v>
      </c>
    </row>
    <row r="27">
      <c r="A27">
        <f>Skills!A27</f>
        <v/>
      </c>
      <c r="B27">
        <f>Skills!B27</f>
        <v/>
      </c>
      <c r="C27">
        <f>Inputs!$B$3&gt;=50</f>
        <v/>
      </c>
      <c r="D27">
        <f>IF(Skills!C27=1,60+Inputs!$B$25+Inputs!$B$29,IF(Skills!C27=2,90+Inputs!$B$26+Inputs!$B$29,IF(Skills!C27=3,120+Inputs!$B$27+Inputs!$B$29,MAX(0,(Inputs!$B$3-100)*3)+Inputs!$B$28+Inputs!$B$29)))</f>
        <v/>
      </c>
      <c r="E27">
        <f>INDEX(FactorTable!$B$2:$Y$301, MATCH(ROUND(MIN(300,MAX(1,D27)),0), FactorTable!$A$2:$A$301,0), Skills!M27+1)</f>
        <v/>
      </c>
      <c r="F27">
        <f>IF(Skills!N27=TRUE,(Skills!L27/10)*(E27/1000),Skills!L27/10)+Skills!O27</f>
        <v/>
      </c>
      <c r="G27">
        <f>Skills!G27*IF(Skills!H27&gt;0,IF(Inputs!$B$39="pvp",MIN(Skills!I27,15),Skills!I27)/Skills!H27,1)</f>
        <v/>
      </c>
      <c r="H27">
        <f>1-(1-Skills!J27/100)^Skills!K27</f>
        <v/>
      </c>
      <c r="I27" t="inlineStr">
        <is>
          <t>1</t>
        </is>
      </c>
      <c r="J27" t="inlineStr"/>
      <c r="K27" t="inlineStr"/>
      <c r="L27" t="inlineStr"/>
      <c r="M27" t="inlineStr"/>
      <c r="N27" t="inlineStr"/>
      <c r="O27">
        <f>(1-Summary!$B$11)*T27+Summary!$B$11*V27</f>
        <v/>
      </c>
      <c r="P27">
        <f>IF(Summary!$B$3=0,0,O27/Summary!$B$3)</f>
        <v/>
      </c>
      <c r="Q27" t="n">
        <v>0</v>
      </c>
      <c r="R27" t="n">
        <v>0</v>
      </c>
      <c r="S27">
        <f>IFERROR(O27/N27,0)</f>
        <v/>
      </c>
      <c r="T27" t="n">
        <v>0</v>
      </c>
      <c r="V27" t="n">
        <v>0</v>
      </c>
    </row>
    <row r="28">
      <c r="A28">
        <f>Skills!A28</f>
        <v/>
      </c>
      <c r="B28">
        <f>Skills!B28</f>
        <v/>
      </c>
      <c r="C28">
        <f>Inputs!$B$3&gt;=38</f>
        <v/>
      </c>
      <c r="D28">
        <f>IF(Skills!C28=1,60+Inputs!$B$25+Inputs!$B$29,IF(Skills!C28=2,90+Inputs!$B$26+Inputs!$B$29,IF(Skills!C28=3,120+Inputs!$B$27+Inputs!$B$29,MAX(0,(Inputs!$B$3-100)*3)+Inputs!$B$28+Inputs!$B$29)))</f>
        <v/>
      </c>
      <c r="E28">
        <f>INDEX(FactorTable!$B$2:$Y$301, MATCH(ROUND(MIN(300,MAX(1,D28)),0), FactorTable!$A$2:$A$301,0), Skills!M28+1)</f>
        <v/>
      </c>
      <c r="F28">
        <f>IF(Skills!N28=TRUE,(Skills!L28/10)*(E28/1000),Skills!L28/10)+Skills!O28</f>
        <v/>
      </c>
      <c r="G28">
        <f>Skills!G28*IF(Skills!H28&gt;0,IF(Inputs!$B$39="pvp",MIN(Skills!I28,15),Skills!I28)/Skills!H28,1)</f>
        <v/>
      </c>
      <c r="H28">
        <f>1-(1-Skills!J28/100)^Skills!K28</f>
        <v/>
      </c>
      <c r="I28" t="inlineStr">
        <is>
          <t>1</t>
        </is>
      </c>
      <c r="J28" t="inlineStr"/>
      <c r="K28" t="inlineStr"/>
      <c r="L28" t="inlineStr"/>
      <c r="M28" t="inlineStr"/>
      <c r="N28" t="inlineStr"/>
      <c r="O28">
        <f>(1-Summary!$B$11)*T28+Summary!$B$11*V28</f>
        <v/>
      </c>
      <c r="P28">
        <f>IF(Summary!$B$3=0,0,O28/Summary!$B$3)</f>
        <v/>
      </c>
      <c r="Q28" t="n">
        <v>0</v>
      </c>
      <c r="R28" t="n">
        <v>0</v>
      </c>
      <c r="S28">
        <f>IFERROR(O28/N28,0)</f>
        <v/>
      </c>
      <c r="T28" t="n">
        <v>0</v>
      </c>
      <c r="V28" t="n">
        <v>0</v>
      </c>
    </row>
    <row r="29">
      <c r="A29">
        <f>Skills!A29</f>
        <v/>
      </c>
      <c r="B29">
        <f>Skills!B29</f>
        <v/>
      </c>
      <c r="C29">
        <f>Inputs!$B$3&gt;=120</f>
        <v/>
      </c>
      <c r="D29">
        <f>IF(Skills!C29=1,60+Inputs!$B$25+Inputs!$B$29,IF(Skills!C29=2,90+Inputs!$B$26+Inputs!$B$29,IF(Skills!C29=3,120+Inputs!$B$27+Inputs!$B$29,MAX(0,(Inputs!$B$3-100)*3)+Inputs!$B$28+Inputs!$B$29)))</f>
        <v/>
      </c>
      <c r="E29">
        <f>INDEX(FactorTable!$B$2:$Y$301, MATCH(ROUND(MIN(300,MAX(1,D29)),0), FactorTable!$A$2:$A$301,0), Skills!M29+1)</f>
        <v/>
      </c>
      <c r="F29">
        <f>IF(Skills!N29=TRUE,(Skills!L29/10)*(E29/1000),Skills!L29/10)+Skills!O29</f>
        <v/>
      </c>
      <c r="G29">
        <f>Skills!G29*IF(Skills!H29&gt;0,IF(Inputs!$B$39="pvp",MIN(Skills!I29,15),Skills!I29)/Skills!H29,1)</f>
        <v/>
      </c>
      <c r="H29">
        <f>1-(1-Skills!J29/100)^Skills!K29</f>
        <v/>
      </c>
      <c r="I29" t="inlineStr">
        <is>
          <t>1</t>
        </is>
      </c>
      <c r="J29" t="inlineStr"/>
      <c r="K29" t="inlineStr"/>
      <c r="L29" t="inlineStr"/>
      <c r="M29" t="inlineStr"/>
      <c r="N29" t="inlineStr"/>
      <c r="O29">
        <f>(1-Summary!$B$11)*T29+Summary!$B$11*V29</f>
        <v/>
      </c>
      <c r="P29">
        <f>IF(Summary!$B$3=0,0,O29/Summary!$B$3)</f>
        <v/>
      </c>
      <c r="Q29" t="n">
        <v>0</v>
      </c>
      <c r="R29" t="n">
        <v>0</v>
      </c>
      <c r="S29">
        <f>IFERROR(O29/N29,0)</f>
        <v/>
      </c>
      <c r="T29" t="n">
        <v>0</v>
      </c>
      <c r="V29" t="n">
        <v>0</v>
      </c>
    </row>
    <row r="30">
      <c r="A30">
        <f>Skills!A30</f>
        <v/>
      </c>
      <c r="B30">
        <f>Skills!B30</f>
        <v/>
      </c>
      <c r="C30">
        <f>Inputs!$B$3&gt;=120</f>
        <v/>
      </c>
      <c r="D30">
        <f>IF(Skills!C30=1,60+Inputs!$B$25+Inputs!$B$29,IF(Skills!C30=2,90+Inputs!$B$26+Inputs!$B$29,IF(Skills!C30=3,120+Inputs!$B$27+Inputs!$B$29,MAX(0,(Inputs!$B$3-100)*3)+Inputs!$B$28+Inputs!$B$29)))</f>
        <v/>
      </c>
      <c r="E30">
        <f>INDEX(FactorTable!$B$2:$Y$301, MATCH(ROUND(MIN(300,MAX(1,D30)),0), FactorTable!$A$2:$A$301,0), Skills!M30+1)</f>
        <v/>
      </c>
      <c r="F30">
        <f>IF(Skills!N30=TRUE,(Skills!L30/10)*(E30/1000),Skills!L30/10)+Skills!O30</f>
        <v/>
      </c>
      <c r="G30">
        <f>Skills!G30*IF(Skills!H30&gt;0,IF(Inputs!$B$39="pvp",MIN(Skills!I30,15),Skills!I30)/Skills!H30,1)</f>
        <v/>
      </c>
      <c r="H30">
        <f>1-(1-Skills!J30/100)^Skills!K30</f>
        <v/>
      </c>
      <c r="I30" t="inlineStr">
        <is>
          <t>1</t>
        </is>
      </c>
      <c r="J30" t="inlineStr"/>
      <c r="K30" t="inlineStr"/>
      <c r="L30" t="inlineStr"/>
      <c r="M30" t="inlineStr"/>
      <c r="N30" t="inlineStr"/>
      <c r="O30">
        <f>(1-Summary!$B$11)*T30+Summary!$B$11*V30</f>
        <v/>
      </c>
      <c r="P30">
        <f>IF(Summary!$B$3=0,0,O30/Summary!$B$3)</f>
        <v/>
      </c>
      <c r="Q30" t="n">
        <v>0</v>
      </c>
      <c r="R30" t="n">
        <v>0</v>
      </c>
      <c r="S30">
        <f>IFERROR(O30/N30,0)</f>
        <v/>
      </c>
      <c r="T30" t="n">
        <v>0</v>
      </c>
      <c r="V30" t="n">
        <v>0</v>
      </c>
    </row>
    <row r="31">
      <c r="A31">
        <f>Skills!A31</f>
        <v/>
      </c>
      <c r="B31">
        <f>Skills!B31</f>
        <v/>
      </c>
      <c r="C31">
        <f>Inputs!$B$3&gt;=125</f>
        <v/>
      </c>
      <c r="D31">
        <f>IF(Skills!C31=1,60+Inputs!$B$25+Inputs!$B$29,IF(Skills!C31=2,90+Inputs!$B$26+Inputs!$B$29,IF(Skills!C31=3,120+Inputs!$B$27+Inputs!$B$29,MAX(0,(Inputs!$B$3-100)*3)+Inputs!$B$28+Inputs!$B$29)))</f>
        <v/>
      </c>
      <c r="E31">
        <f>INDEX(FactorTable!$B$2:$Y$301, MATCH(ROUND(MIN(300,MAX(1,D31)),0), FactorTable!$A$2:$A$301,0), Skills!M31+1)</f>
        <v/>
      </c>
      <c r="F31">
        <f>IF(Skills!N31=TRUE,(Skills!L31/10)*(E31/1000),Skills!L31/10)+Skills!O31</f>
        <v/>
      </c>
      <c r="G31">
        <f>Skills!G31*IF(Skills!H31&gt;0,IF(Inputs!$B$39="pvp",MIN(Skills!I31,15),Skills!I31)/Skills!H31,1)</f>
        <v/>
      </c>
      <c r="H31">
        <f>1-(1-Skills!J31/100)^Skills!K31</f>
        <v/>
      </c>
      <c r="I31" t="inlineStr">
        <is>
          <t>1</t>
        </is>
      </c>
      <c r="J31" t="inlineStr"/>
      <c r="K31" t="inlineStr"/>
      <c r="L31" t="inlineStr"/>
      <c r="M31" t="inlineStr"/>
      <c r="N31" t="inlineStr"/>
      <c r="O31">
        <f>(1-Summary!$B$11)*T31+Summary!$B$11*V31</f>
        <v/>
      </c>
      <c r="P31">
        <f>IF(Summary!$B$3=0,0,O31/Summary!$B$3)</f>
        <v/>
      </c>
      <c r="Q31" t="n">
        <v>0</v>
      </c>
      <c r="R31" t="n">
        <v>0</v>
      </c>
      <c r="S31">
        <f>IFERROR(O31/N31,0)</f>
        <v/>
      </c>
      <c r="T31" t="n">
        <v>0</v>
      </c>
      <c r="V31"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111"/>
  <sheetViews>
    <sheetView workbookViewId="0">
      <selection activeCell="A1" sqref="A1"/>
    </sheetView>
  </sheetViews>
  <sheetFormatPr baseColWidth="8" defaultRowHeight="15"/>
  <cols>
    <col width="65" customWidth="1" min="1" max="1"/>
    <col width="16" customWidth="1" min="2" max="2"/>
    <col width="12" customWidth="1" min="3" max="3"/>
  </cols>
  <sheetData>
    <row r="1">
      <c r="A1" s="4" t="inlineStr">
        <is>
          <t>Shadower — DPS Summary</t>
        </is>
      </c>
    </row>
    <row r="3">
      <c r="A3" s="10" t="inlineStr">
        <is>
          <t>TOTAL DPS</t>
        </is>
      </c>
      <c r="B3" s="10">
        <f>SUM(Calc!O2:O31)</f>
        <v/>
      </c>
    </row>
    <row r="5">
      <c r="A5" s="9" t="inlineStr">
        <is>
          <t>Derived Values (read-only, computed from Inputs)</t>
        </is>
      </c>
    </row>
    <row r="6">
      <c r="A6" t="inlineStr">
        <is>
          <t>ATTACK (= Flat ATTACK x (1+ATTACK%/100))</t>
        </is>
      </c>
      <c r="B6">
        <f>Inputs!$B$6*(1+Inputs!$B$7/100)</f>
        <v/>
      </c>
    </row>
    <row r="7">
      <c r="A7" t="inlineStr">
        <is>
          <t>STAT_DAMAGE % (= 1% of total LUK + 0.25% of DEX)</t>
        </is>
      </c>
      <c r="B7">
        <f>(Inputs!$B$12*(1+Inputs!$B$13/100))*0.01+Inputs!$B$14*0.0025</f>
        <v/>
      </c>
    </row>
    <row r="8">
      <c r="A8" t="inlineStr">
        <is>
          <t>Basic Attack (Cruel Stab) Input Level (4th job formula)</t>
        </is>
      </c>
      <c r="B8">
        <f>MAX(0,(Inputs!$B$3-100)*3)+Inputs!$B$28+Inputs!$B$29</f>
        <v/>
      </c>
    </row>
    <row r="9">
      <c r="A9" t="inlineStr">
        <is>
          <t>Basic Attack Factor (factorIndex 21, from Cruel Stab == Showdown/Chain Lightning/Big Bang reuse)</t>
        </is>
      </c>
      <c r="B9">
        <f>INDEX(FactorTable!$B$2:$Y$301, MATCH(ROUND(MIN(300,MAX(1,Summary!$B$8)),0), FactorTable!$A$2:$A$301,0), 22)</f>
        <v/>
      </c>
    </row>
    <row r="10">
      <c r="A10" t="inlineStr">
        <is>
          <t>SKILL_COEFFICIENT — Cruel Stab base coefficient % (before Skill Mastery)</t>
        </is>
      </c>
      <c r="B10">
        <f>290*Summary!$B$9/1000</f>
        <v/>
      </c>
    </row>
    <row r="11">
      <c r="A11" t="inlineStr">
        <is>
          <t>Normal-Monster Weight (= 0 for boss, 1 for normal, Breakthrough Normal Weight % for breakthrough, 0 for pvp)</t>
        </is>
      </c>
      <c r="B11">
        <f>IF(Inputs!$B$39="normal",1,IF(Inputs!$B$39="breakthrough",Inputs!$B$45/100,0))</f>
        <v/>
      </c>
    </row>
    <row r="13">
      <c r="A13" t="inlineStr">
        <is>
          <t>Average Buff Multiplier (Dark Sight Attack + Steal + Meso Mastery + Artifact Attack% summed additively, x Into Darkness FD x Smokescreen FD)</t>
        </is>
      </c>
      <c r="B13">
        <f>(1+(((Calc!C22=TRUE)*Calc!F22*IF(AND(Inputs!$B$39&lt;&gt;"pvp",Inputs!$B$44&gt;0),(((Calc!R22-1)*MIN((Skills!Y22*(1+Inputs!$B$34/100)),(1/Calc!Q22))+MIN((Skills!Y22*(1+Inputs!$B$34/100)),MAX(0,Inputs!$B$44-((Calc!R22-1)*(1/Calc!Q22)))))/Inputs!$B$44),IF(Inputs!$B$39="pvp",MIN((Skills!Y22*(1+Inputs!$B$34/100)),15)/15,MIN(1,(Skills!Y22*(1+Inputs!$B$34/100))/(1/Calc!Q22)))))+((Calc!C3=TRUE)*Calc!F3*3)+((Calc!C5=TRUE)*Calc!F5*(1-EXP(-0.75*Summary!$B$18*5)))+Artifacts!$B$52)/100)*(1+((Calc!C11=TRUE)*Calc!F11*IF(AND(Inputs!$B$39&lt;&gt;"pvp",Inputs!$B$44&gt;0),(((Calc!R11-1)*MIN((Skills!Y11*(1+Inputs!$B$34/100)),(1/Calc!Q11))+MIN((Skills!Y11*(1+Inputs!$B$34/100)),MAX(0,Inputs!$B$44-((Calc!R11-1)*(1/Calc!Q11)))))/Inputs!$B$44),IF(Inputs!$B$39="pvp",MIN((Skills!Y11*(1+Inputs!$B$34/100)),15)/15,MIN(1,(Skills!Y11*(1+Inputs!$B$34/100))/(1/Calc!Q11)))))/100)*(1+((Calc!C16=TRUE)*Calc!F16*IF(AND(Inputs!$B$39&lt;&gt;"pvp",Inputs!$B$44&gt;0),(((Calc!R16-1)*MIN((Skills!Y16*(1+Inputs!$B$34/100)),(1/Calc!Q16))+MIN((Skills!Y16*(1+Inputs!$B$34/100)),MAX(0,Inputs!$B$44-((Calc!R16-1)*(1/Calc!Q16)))))/Inputs!$B$44),IF(Inputs!$B$39="pvp",MIN((Skills!Y16*(1+Inputs!$B$34/100)),15)/15,MIN(1,(Skills!Y16*(1+Inputs!$B$34/100))/(1/Calc!Q16)))))/100)</f>
        <v/>
      </c>
    </row>
    <row r="14">
      <c r="A14" t="inlineStr">
        <is>
          <t>Global Crit Rate Bonus % (Dark Sight Crit Rate, duty-cycle averaged)</t>
        </is>
      </c>
      <c r="B14">
        <f>((Calc!C21=TRUE)*Calc!F21*IF(AND(Inputs!$B$39&lt;&gt;"pvp",Inputs!$B$44&gt;0),(((Calc!R21-1)*MIN((Skills!Y21*(1+Inputs!$B$34/100)),(1/Calc!Q21))+MIN((Skills!Y21*(1+Inputs!$B$34/100)),MAX(0,Inputs!$B$44-((Calc!R21-1)*(1/Calc!Q21)))))/Inputs!$B$44),IF(Inputs!$B$39="pvp",MIN((Skills!Y21*(1+Inputs!$B$34/100)),15)/15,MIN(1,(Skills!Y21*(1+Inputs!$B$34/100))/(1/Calc!Q21)))))</f>
        <v/>
      </c>
    </row>
    <row r="15">
      <c r="A15" t="inlineStr">
        <is>
          <t>Global Monster Damage-Taken Bonus % (Venom Lv.82 Weaken, patched 12%-&gt;15%, + Artifacts)</t>
        </is>
      </c>
      <c r="B15">
        <f>IF(Inputs!$B$3&gt;=82,15,0)+Artifacts!$B$36</f>
        <v/>
      </c>
    </row>
    <row r="16">
      <c r="A16" t="inlineStr">
        <is>
          <t>Shadow Partner Average Multiplier</t>
        </is>
      </c>
      <c r="B16">
        <f>1+((Calc!C8=TRUE)*Calc!F8*(1+3.3333333333333335*IF(Calc!C19=TRUE,Calc!F19,0)/100)*Calc!I8*Skills!J8/100)/100</f>
        <v/>
      </c>
    </row>
    <row r="17">
      <c r="A17" t="inlineStr">
        <is>
          <t>Attack Speed Buff Bonus % (Nimble Feet, averaged)</t>
        </is>
      </c>
      <c r="B17">
        <f>((Calc!C20=TRUE)*Calc!F20*IF(AND(Inputs!$B$39&lt;&gt;"pvp",Inputs!$B$44&gt;0),(((Calc!R20-1)*MIN((Skills!Y20*(1+Inputs!$B$34/100)),(1/Calc!Q20))+MIN((Skills!Y20*(1+Inputs!$B$34/100)),MAX(0,Inputs!$B$44-((Calc!R20-1)*(1/Calc!Q20)))))/Inputs!$B$44),IF(Inputs!$B$39="pvp",MIN((Skills!Y20*(1+Inputs!$B$34/100)),15)/15,MIN(1,(Skills!Y20*(1+Inputs!$B$34/100))/(1/Calc!Q20)))))</f>
        <v/>
      </c>
    </row>
    <row r="18">
      <c r="A18" t="inlineStr">
        <is>
          <t>Actions Per Second</t>
        </is>
      </c>
      <c r="B18">
        <f>1+MIN(150,150*(1-(1-Inputs!$B$11/150)*(1-B17/150)))/100</f>
        <v/>
      </c>
    </row>
    <row r="19">
      <c r="A19" t="inlineStr">
        <is>
          <t>Skill + Buff Cast Rate (subtracted from Cruel Stab, 1/s)</t>
        </is>
      </c>
      <c r="B19">
        <f>IF(AND(Inputs!$B$39&lt;&gt;"pvp",Inputs!$B$44&gt;0),SUMPRODUCT((Skills!E2:E31=TRUE)*(Calc!C2:C31=TRUE)*Calc!R2:R31*Skills!F2:F31)/Inputs!$B$44,SUMPRODUCT((Skills!E2:E31=TRUE)*(Calc!C2:C31=TRUE)*Calc!Q2:Q31*Skills!F2:F31))</f>
        <v/>
      </c>
    </row>
    <row r="20">
      <c r="A20" t="inlineStr">
        <is>
          <t>Cruel Stab (Basic Attack) Casts Per Second</t>
        </is>
      </c>
      <c r="B20">
        <f>MAX(0,B18-B19)</f>
        <v/>
      </c>
    </row>
    <row r="21">
      <c r="A21" t="inlineStr">
        <is>
          <t>Global Critical Damage Bonus % (Smokescreen Mastery Lv.113, duty-cycle-averaged)</t>
        </is>
      </c>
      <c r="B21">
        <f>IF(Inputs!$B$3&gt;=113,30,0)*IF(AND(Inputs!$B$39&lt;&gt;"pvp",Inputs!$B$44&gt;0),(((Calc!R16-1)*MIN((Skills!Y16*(1+Inputs!$B$34/100)),(1/Calc!Q16))+MIN((Skills!Y16*(1+Inputs!$B$34/100)),MAX(0,Inputs!$B$44-((Calc!R16-1)*(1/Calc!Q16)))))/Inputs!$B$44),IF(Inputs!$B$39="pvp",MIN((Skills!Y16*(1+Inputs!$B$34/100)),15)/15,MIN(1,(Skills!Y16*(1+Inputs!$B$34/100))/(1/Calc!Q16))))</f>
        <v/>
      </c>
    </row>
    <row r="22">
      <c r="A22" t="inlineStr">
        <is>
          <t>Meso Explosion — average stack count at cast time (steady-state)</t>
        </is>
      </c>
      <c r="B22">
        <f>MIN(10,IF(Inputs!$B$3&gt;=75,0.75,0.5)*B18*(1/Calc!Q4))</f>
        <v/>
      </c>
    </row>
    <row r="23">
      <c r="A23" t="inlineStr">
        <is>
          <t>Blood Money — average stack count at cast time (steady-state)</t>
        </is>
      </c>
      <c r="B23">
        <f>MIN(5,0.5*IF(Inputs!$B$3&gt;=75,0.75,0.5)*B18*(1/Calc!Q4))</f>
        <v/>
      </c>
    </row>
    <row r="24">
      <c r="A24" t="inlineStr">
        <is>
          <t>Assassinate Murderous Intent Multiplier (Mastery Lv.108, steady-state average)</t>
        </is>
      </c>
      <c r="B24">
        <f>1+IFERROR(MIN(1,(Calc!C15=TRUE)*Calc!Q15*2/Calc!Q12),0)</f>
        <v/>
      </c>
    </row>
    <row r="25">
      <c r="A25" t="inlineStr">
        <is>
          <t>Cruel Stab (Basic Attack) DPS</t>
        </is>
      </c>
      <c r="B25">
        <f>Calc!O2</f>
        <v/>
      </c>
    </row>
    <row r="26">
      <c r="A26" t="inlineStr">
        <is>
          <t>Buff-Casting Startup Delay (s, before first damage-skill cast; fixed-duration only)</t>
        </is>
      </c>
      <c r="B26">
        <f>IF(AND(Inputs!$B$39&lt;&gt;"pvp",Inputs!$B$44&gt;0),SUMPRODUCT((Skills!Y2:Y31&gt;0)*(Skills!E2:E31=TRUE)*(Calc!C2:C31=TRUE))/B18,0)</f>
        <v/>
      </c>
    </row>
    <row r="27">
      <c r="A27" t="inlineStr">
        <is>
          <t>Boss-Only Total DPS (Sensitivity baseline)</t>
        </is>
      </c>
      <c r="B27">
        <f>SUM(Calc!T2:T31)</f>
        <v/>
      </c>
    </row>
    <row r="28">
      <c r="A28" t="inlineStr">
        <is>
          <t>Normal-Only Total DPS (Sensitivity baseline)</t>
        </is>
      </c>
      <c r="B28">
        <f>SUM(Calc!V2:V31)</f>
        <v/>
      </c>
    </row>
    <row r="30">
      <c r="A30" s="9" t="inlineStr">
        <is>
          <t>Per-Skill DPS Breakdown</t>
        </is>
      </c>
    </row>
    <row r="31">
      <c r="A31" s="5" t="inlineStr">
        <is>
          <t>Skill</t>
        </is>
      </c>
      <c r="B31" s="5" t="inlineStr">
        <is>
          <t>DPS</t>
        </is>
      </c>
      <c r="C31" s="5" t="inlineStr">
        <is>
          <t>% of Total</t>
        </is>
      </c>
    </row>
    <row r="32">
      <c r="A32">
        <f>Calc!B2</f>
        <v/>
      </c>
      <c r="B32">
        <f>Calc!O2</f>
        <v/>
      </c>
      <c r="C32">
        <f>Calc!P2*100</f>
        <v/>
      </c>
    </row>
    <row r="33">
      <c r="A33">
        <f>Calc!B4</f>
        <v/>
      </c>
      <c r="B33">
        <f>Calc!O4</f>
        <v/>
      </c>
      <c r="C33">
        <f>Calc!P4*100</f>
        <v/>
      </c>
    </row>
    <row r="34">
      <c r="A34">
        <f>Calc!B6</f>
        <v/>
      </c>
      <c r="B34">
        <f>Calc!O6</f>
        <v/>
      </c>
      <c r="C34">
        <f>Calc!P6*100</f>
        <v/>
      </c>
    </row>
    <row r="35">
      <c r="A35">
        <f>Calc!B7</f>
        <v/>
      </c>
      <c r="B35">
        <f>Calc!O7</f>
        <v/>
      </c>
      <c r="C35">
        <f>Calc!P7*100</f>
        <v/>
      </c>
    </row>
    <row r="36">
      <c r="A36">
        <f>Calc!B9</f>
        <v/>
      </c>
      <c r="B36">
        <f>Calc!O9</f>
        <v/>
      </c>
      <c r="C36">
        <f>Calc!P9*100</f>
        <v/>
      </c>
    </row>
    <row r="37">
      <c r="A37">
        <f>Calc!B10</f>
        <v/>
      </c>
      <c r="B37">
        <f>Calc!O10</f>
        <v/>
      </c>
      <c r="C37">
        <f>Calc!P10*100</f>
        <v/>
      </c>
    </row>
    <row r="38">
      <c r="A38">
        <f>Calc!B12</f>
        <v/>
      </c>
      <c r="B38">
        <f>Calc!O12</f>
        <v/>
      </c>
      <c r="C38">
        <f>Calc!P12*100</f>
        <v/>
      </c>
    </row>
    <row r="39">
      <c r="A39">
        <f>Calc!B13</f>
        <v/>
      </c>
      <c r="B39">
        <f>Calc!O13</f>
        <v/>
      </c>
      <c r="C39">
        <f>Calc!P13*100</f>
        <v/>
      </c>
    </row>
    <row r="40">
      <c r="A40">
        <f>Calc!B14</f>
        <v/>
      </c>
      <c r="B40">
        <f>Calc!O14</f>
        <v/>
      </c>
      <c r="C40">
        <f>Calc!P14*100</f>
        <v/>
      </c>
    </row>
    <row r="41">
      <c r="A41">
        <f>Calc!B15</f>
        <v/>
      </c>
      <c r="B41">
        <f>Calc!O15</f>
        <v/>
      </c>
      <c r="C41">
        <f>Calc!P15*100</f>
        <v/>
      </c>
    </row>
    <row r="42">
      <c r="A42">
        <f>Calc!B17</f>
        <v/>
      </c>
      <c r="B42">
        <f>Calc!O17</f>
        <v/>
      </c>
      <c r="C42">
        <f>Calc!P17*100</f>
        <v/>
      </c>
    </row>
    <row r="43">
      <c r="A43" s="9" t="inlineStr">
        <is>
          <t>Marginal DPS &amp; Stat Value (see Sensitivity for full detail)</t>
        </is>
      </c>
    </row>
    <row r="45">
      <c r="A45" s="5" t="inlineStr">
        <is>
          <t>Stat</t>
        </is>
      </c>
      <c r="B45" s="5" t="inlineStr">
        <is>
          <t>DPS per +1</t>
        </is>
      </c>
      <c r="C45" s="5" t="inlineStr">
        <is>
          <t>Units per +1% DPS</t>
        </is>
      </c>
    </row>
    <row r="46">
      <c r="A46">
        <f>Sensitivity!A5</f>
        <v/>
      </c>
      <c r="B46">
        <f>Sensitivity!H5</f>
        <v/>
      </c>
      <c r="C46">
        <f>Sensitivity!B5</f>
        <v/>
      </c>
    </row>
    <row r="47">
      <c r="A47">
        <f>Sensitivity!A6</f>
        <v/>
      </c>
      <c r="B47">
        <f>Sensitivity!H6</f>
        <v/>
      </c>
      <c r="C47">
        <f>Sensitivity!B6</f>
        <v/>
      </c>
    </row>
    <row r="48">
      <c r="A48">
        <f>Sensitivity!A7</f>
        <v/>
      </c>
      <c r="B48">
        <f>Sensitivity!H7</f>
        <v/>
      </c>
      <c r="C48">
        <f>Sensitivity!B7</f>
        <v/>
      </c>
    </row>
    <row r="49">
      <c r="A49">
        <f>Sensitivity!A8</f>
        <v/>
      </c>
      <c r="B49">
        <f>Sensitivity!H8</f>
        <v/>
      </c>
      <c r="C49">
        <f>Sensitivity!B8</f>
        <v/>
      </c>
    </row>
    <row r="50">
      <c r="A50">
        <f>Sensitivity!A9</f>
        <v/>
      </c>
      <c r="B50">
        <f>Sensitivity!H9</f>
        <v/>
      </c>
      <c r="C50">
        <f>Sensitivity!B9</f>
        <v/>
      </c>
    </row>
    <row r="51">
      <c r="A51">
        <f>Sensitivity!A10</f>
        <v/>
      </c>
      <c r="B51">
        <f>Sensitivity!H10</f>
        <v/>
      </c>
      <c r="C51">
        <f>Sensitivity!B10</f>
        <v/>
      </c>
    </row>
    <row r="52">
      <c r="A52">
        <f>Sensitivity!A11</f>
        <v/>
      </c>
      <c r="B52">
        <f>Sensitivity!H11</f>
        <v/>
      </c>
      <c r="C52">
        <f>Sensitivity!B11</f>
        <v/>
      </c>
    </row>
    <row r="53">
      <c r="A53">
        <f>Sensitivity!A12</f>
        <v/>
      </c>
      <c r="B53">
        <f>Sensitivity!H12</f>
        <v/>
      </c>
      <c r="C53">
        <f>Sensitivity!B12</f>
        <v/>
      </c>
    </row>
    <row r="54">
      <c r="A54">
        <f>Sensitivity!A13</f>
        <v/>
      </c>
      <c r="B54">
        <f>Sensitivity!H13</f>
        <v/>
      </c>
      <c r="C54">
        <f>Sensitivity!B13</f>
        <v/>
      </c>
    </row>
    <row r="55">
      <c r="A55">
        <f>Sensitivity!A14</f>
        <v/>
      </c>
      <c r="B55">
        <f>Sensitivity!H14</f>
        <v/>
      </c>
      <c r="C55">
        <f>Sensitivity!B14</f>
        <v/>
      </c>
    </row>
    <row r="56">
      <c r="A56">
        <f>Sensitivity!A15</f>
        <v/>
      </c>
      <c r="B56">
        <f>Sensitivity!H15</f>
        <v/>
      </c>
      <c r="C56">
        <f>Sensitivity!B15</f>
        <v/>
      </c>
    </row>
    <row r="57">
      <c r="A57">
        <f>Sensitivity!A16</f>
        <v/>
      </c>
      <c r="B57">
        <f>Sensitivity!H16</f>
        <v/>
      </c>
      <c r="C57">
        <f>Sensitivity!B16</f>
        <v/>
      </c>
    </row>
    <row r="58">
      <c r="A58">
        <f>Sensitivity!A17</f>
        <v/>
      </c>
      <c r="B58">
        <f>Sensitivity!H17</f>
        <v/>
      </c>
      <c r="C58">
        <f>Sensitivity!B17</f>
        <v/>
      </c>
    </row>
    <row r="59">
      <c r="A59">
        <f>Sensitivity!A18</f>
        <v/>
      </c>
      <c r="B59">
        <f>Sensitivity!H18</f>
        <v/>
      </c>
      <c r="C59">
        <f>Sensitivity!B18</f>
        <v/>
      </c>
    </row>
    <row r="60">
      <c r="A60">
        <f>Sensitivity!A19</f>
        <v/>
      </c>
      <c r="B60">
        <f>Sensitivity!H19</f>
        <v/>
      </c>
      <c r="C60">
        <f>Sensitivity!B19</f>
        <v/>
      </c>
    </row>
    <row r="61">
      <c r="A61">
        <f>Sensitivity!A20</f>
        <v/>
      </c>
      <c r="B61">
        <f>Sensitivity!H20</f>
        <v/>
      </c>
      <c r="C61">
        <f>Sensitivity!B20</f>
        <v/>
      </c>
    </row>
    <row r="62">
      <c r="A62">
        <f>Sensitivity!A21</f>
        <v/>
      </c>
      <c r="B62">
        <f>Sensitivity!H21</f>
        <v/>
      </c>
      <c r="C62">
        <f>Sensitivity!B21</f>
        <v/>
      </c>
    </row>
    <row r="63">
      <c r="A63">
        <f>Sensitivity!A22</f>
        <v/>
      </c>
      <c r="B63">
        <f>Sensitivity!H22</f>
        <v/>
      </c>
      <c r="C63">
        <f>Sensitivity!B22</f>
        <v/>
      </c>
    </row>
    <row r="64">
      <c r="A64">
        <f>Sensitivity!A23</f>
        <v/>
      </c>
      <c r="B64">
        <f>Sensitivity!H23</f>
        <v/>
      </c>
      <c r="C64">
        <f>Sensitivity!B23</f>
        <v/>
      </c>
    </row>
    <row r="65">
      <c r="A65">
        <f>Sensitivity!A24</f>
        <v/>
      </c>
      <c r="B65">
        <f>Sensitivity!H24</f>
        <v/>
      </c>
      <c r="C65">
        <f>Sensitivity!B24</f>
        <v/>
      </c>
    </row>
    <row r="66">
      <c r="A66">
        <f>Sensitivity!A25</f>
        <v/>
      </c>
      <c r="B66">
        <f>Sensitivity!H25</f>
        <v/>
      </c>
      <c r="C66">
        <f>Sensitivity!B25</f>
        <v/>
      </c>
    </row>
    <row r="67">
      <c r="A67">
        <f>Sensitivity!A26</f>
        <v/>
      </c>
      <c r="B67">
        <f>Sensitivity!H26</f>
        <v/>
      </c>
      <c r="C67">
        <f>Sensitivity!B26</f>
        <v/>
      </c>
    </row>
    <row r="68">
      <c r="A68">
        <f>Sensitivity!A27</f>
        <v/>
      </c>
      <c r="B68">
        <f>Sensitivity!H27</f>
        <v/>
      </c>
      <c r="C68">
        <f>Sensitivity!B27</f>
        <v/>
      </c>
    </row>
    <row r="69">
      <c r="A69">
        <f>Sensitivity!A28</f>
        <v/>
      </c>
      <c r="B69">
        <f>Sensitivity!H28</f>
        <v/>
      </c>
      <c r="C69">
        <f>Sensitivity!B28</f>
        <v/>
      </c>
    </row>
    <row r="70">
      <c r="A70">
        <f>Sensitivity!A29</f>
        <v/>
      </c>
      <c r="B70">
        <f>Sensitivity!H29</f>
        <v/>
      </c>
      <c r="C70">
        <f>Sensitivity!B29</f>
        <v/>
      </c>
    </row>
    <row r="71">
      <c r="A71">
        <f>Sensitivity!A30</f>
        <v/>
      </c>
      <c r="B71">
        <f>Sensitivity!H30</f>
        <v/>
      </c>
      <c r="C71">
        <f>Sensitivity!B30</f>
        <v/>
      </c>
    </row>
    <row r="72">
      <c r="A72">
        <f>Sensitivity!A31</f>
        <v/>
      </c>
      <c r="B72">
        <f>Sensitivity!H31</f>
        <v/>
      </c>
      <c r="C72">
        <f>Sensitivity!B31</f>
        <v/>
      </c>
    </row>
    <row r="73">
      <c r="A73" s="9" t="inlineStr">
        <is>
          <t>Artifact Equip-Toggle DPS Gain, best to worst (see Sensitivity for full detail)</t>
        </is>
      </c>
    </row>
    <row r="75">
      <c r="A75" s="5" t="inlineStr">
        <is>
          <t>Artifact</t>
        </is>
      </c>
      <c r="B75" s="5" t="inlineStr">
        <is>
          <t>DPS Gain</t>
        </is>
      </c>
      <c r="C75" s="5" t="inlineStr">
        <is>
          <t>% Gain</t>
        </is>
      </c>
    </row>
    <row r="76">
      <c r="A76">
        <f>Sensitivity!A34</f>
        <v/>
      </c>
      <c r="B76">
        <f>Sensitivity!B34</f>
        <v/>
      </c>
      <c r="C76">
        <f>Sensitivity!C34</f>
        <v/>
      </c>
    </row>
    <row r="77">
      <c r="A77">
        <f>Sensitivity!A35</f>
        <v/>
      </c>
      <c r="B77">
        <f>Sensitivity!B35</f>
        <v/>
      </c>
      <c r="C77">
        <f>Sensitivity!C35</f>
        <v/>
      </c>
    </row>
    <row r="78">
      <c r="A78">
        <f>Sensitivity!A36</f>
        <v/>
      </c>
      <c r="B78">
        <f>Sensitivity!B36</f>
        <v/>
      </c>
      <c r="C78">
        <f>Sensitivity!C36</f>
        <v/>
      </c>
    </row>
    <row r="79">
      <c r="A79">
        <f>Sensitivity!A37</f>
        <v/>
      </c>
      <c r="B79">
        <f>Sensitivity!B37</f>
        <v/>
      </c>
      <c r="C79">
        <f>Sensitivity!C37</f>
        <v/>
      </c>
    </row>
    <row r="80">
      <c r="A80">
        <f>Sensitivity!A38</f>
        <v/>
      </c>
      <c r="B80">
        <f>Sensitivity!B38</f>
        <v/>
      </c>
      <c r="C80">
        <f>Sensitivity!C38</f>
        <v/>
      </c>
    </row>
    <row r="81">
      <c r="A81">
        <f>Sensitivity!A39</f>
        <v/>
      </c>
      <c r="B81">
        <f>Sensitivity!B39</f>
        <v/>
      </c>
      <c r="C81">
        <f>Sensitivity!C39</f>
        <v/>
      </c>
    </row>
    <row r="82">
      <c r="A82">
        <f>Sensitivity!A40</f>
        <v/>
      </c>
      <c r="B82">
        <f>Sensitivity!B40</f>
        <v/>
      </c>
      <c r="C82">
        <f>Sensitivity!C40</f>
        <v/>
      </c>
    </row>
    <row r="83">
      <c r="A83">
        <f>Sensitivity!A41</f>
        <v/>
      </c>
      <c r="B83">
        <f>Sensitivity!B41</f>
        <v/>
      </c>
      <c r="C83">
        <f>Sensitivity!C41</f>
        <v/>
      </c>
    </row>
    <row r="84">
      <c r="A84">
        <f>Sensitivity!A42</f>
        <v/>
      </c>
      <c r="B84">
        <f>Sensitivity!B42</f>
        <v/>
      </c>
      <c r="C84">
        <f>Sensitivity!C42</f>
        <v/>
      </c>
    </row>
    <row r="85">
      <c r="A85">
        <f>Sensitivity!A43</f>
        <v/>
      </c>
      <c r="B85">
        <f>Sensitivity!B43</f>
        <v/>
      </c>
      <c r="C85">
        <f>Sensitivity!C43</f>
        <v/>
      </c>
    </row>
    <row r="86">
      <c r="A86">
        <f>Sensitivity!A44</f>
        <v/>
      </c>
      <c r="B86">
        <f>Sensitivity!B44</f>
        <v/>
      </c>
      <c r="C86">
        <f>Sensitivity!C44</f>
        <v/>
      </c>
    </row>
    <row r="87">
      <c r="A87">
        <f>Sensitivity!A45</f>
        <v/>
      </c>
      <c r="B87">
        <f>Sensitivity!B45</f>
        <v/>
      </c>
      <c r="C87">
        <f>Sensitivity!C45</f>
        <v/>
      </c>
    </row>
    <row r="88">
      <c r="A88">
        <f>Sensitivity!A46</f>
        <v/>
      </c>
      <c r="B88">
        <f>Sensitivity!B46</f>
        <v/>
      </c>
      <c r="C88">
        <f>Sensitivity!C46</f>
        <v/>
      </c>
    </row>
    <row r="89">
      <c r="A89">
        <f>Sensitivity!A47</f>
        <v/>
      </c>
      <c r="B89">
        <f>Sensitivity!B47</f>
        <v/>
      </c>
      <c r="C89">
        <f>Sensitivity!C47</f>
        <v/>
      </c>
    </row>
    <row r="90">
      <c r="A90">
        <f>Sensitivity!A48</f>
        <v/>
      </c>
      <c r="B90">
        <f>Sensitivity!B48</f>
        <v/>
      </c>
      <c r="C90">
        <f>Sensitivity!C48</f>
        <v/>
      </c>
    </row>
    <row r="91">
      <c r="A91">
        <f>Sensitivity!A49</f>
        <v/>
      </c>
      <c r="B91">
        <f>Sensitivity!B49</f>
        <v/>
      </c>
      <c r="C91">
        <f>Sensitivity!C49</f>
        <v/>
      </c>
    </row>
    <row r="92">
      <c r="A92">
        <f>Sensitivity!A50</f>
        <v/>
      </c>
      <c r="B92">
        <f>Sensitivity!B50</f>
        <v/>
      </c>
      <c r="C92">
        <f>Sensitivity!C50</f>
        <v/>
      </c>
    </row>
    <row r="93">
      <c r="A93">
        <f>Sensitivity!A51</f>
        <v/>
      </c>
      <c r="B93">
        <f>Sensitivity!B51</f>
        <v/>
      </c>
      <c r="C93">
        <f>Sensitivity!C51</f>
        <v/>
      </c>
    </row>
    <row r="94">
      <c r="A94">
        <f>Sensitivity!A52</f>
        <v/>
      </c>
      <c r="B94">
        <f>Sensitivity!B52</f>
        <v/>
      </c>
      <c r="C94">
        <f>Sensitivity!C52</f>
        <v/>
      </c>
    </row>
    <row r="95">
      <c r="A95">
        <f>Sensitivity!A53</f>
        <v/>
      </c>
      <c r="B95">
        <f>Sensitivity!B53</f>
        <v/>
      </c>
      <c r="C95">
        <f>Sensitivity!C53</f>
        <v/>
      </c>
    </row>
    <row r="96">
      <c r="A96">
        <f>Sensitivity!A54</f>
        <v/>
      </c>
      <c r="B96">
        <f>Sensitivity!B54</f>
        <v/>
      </c>
      <c r="C96">
        <f>Sensitivity!C54</f>
        <v/>
      </c>
    </row>
    <row r="97">
      <c r="A97">
        <f>Sensitivity!A55</f>
        <v/>
      </c>
      <c r="B97">
        <f>Sensitivity!B55</f>
        <v/>
      </c>
      <c r="C97">
        <f>Sensitivity!C55</f>
        <v/>
      </c>
    </row>
    <row r="98">
      <c r="A98">
        <f>Sensitivity!A56</f>
        <v/>
      </c>
      <c r="B98">
        <f>Sensitivity!B56</f>
        <v/>
      </c>
      <c r="C98">
        <f>Sensitivity!C56</f>
        <v/>
      </c>
    </row>
    <row r="99">
      <c r="A99">
        <f>Sensitivity!A57</f>
        <v/>
      </c>
      <c r="B99">
        <f>Sensitivity!B57</f>
        <v/>
      </c>
      <c r="C99">
        <f>Sensitivity!C57</f>
        <v/>
      </c>
    </row>
    <row r="100">
      <c r="A100">
        <f>Sensitivity!A58</f>
        <v/>
      </c>
      <c r="B100">
        <f>Sensitivity!B58</f>
        <v/>
      </c>
      <c r="C100">
        <f>Sensitivity!C58</f>
        <v/>
      </c>
    </row>
    <row r="101">
      <c r="A101">
        <f>Sensitivity!A59</f>
        <v/>
      </c>
      <c r="B101">
        <f>Sensitivity!B59</f>
        <v/>
      </c>
      <c r="C101">
        <f>Sensitivity!C59</f>
        <v/>
      </c>
    </row>
    <row r="102">
      <c r="A102">
        <f>Sensitivity!A60</f>
        <v/>
      </c>
      <c r="B102">
        <f>Sensitivity!B60</f>
        <v/>
      </c>
      <c r="C102">
        <f>Sensitivity!C60</f>
        <v/>
      </c>
    </row>
    <row r="103">
      <c r="A103">
        <f>Sensitivity!A61</f>
        <v/>
      </c>
      <c r="B103">
        <f>Sensitivity!B61</f>
        <v/>
      </c>
      <c r="C103">
        <f>Sensitivity!C61</f>
        <v/>
      </c>
    </row>
    <row r="104">
      <c r="A104">
        <f>Sensitivity!A62</f>
        <v/>
      </c>
      <c r="B104">
        <f>Sensitivity!B62</f>
        <v/>
      </c>
      <c r="C104">
        <f>Sensitivity!C62</f>
        <v/>
      </c>
    </row>
    <row r="105">
      <c r="A105">
        <f>Sensitivity!A63</f>
        <v/>
      </c>
      <c r="B105">
        <f>Sensitivity!B63</f>
        <v/>
      </c>
      <c r="C105">
        <f>Sensitivity!C63</f>
        <v/>
      </c>
    </row>
    <row r="106">
      <c r="A106">
        <f>Sensitivity!A64</f>
        <v/>
      </c>
      <c r="B106">
        <f>Sensitivity!B64</f>
        <v/>
      </c>
      <c r="C106">
        <f>Sensitivity!C64</f>
        <v/>
      </c>
    </row>
    <row r="107">
      <c r="A107">
        <f>Sensitivity!A65</f>
        <v/>
      </c>
      <c r="B107">
        <f>Sensitivity!B65</f>
        <v/>
      </c>
      <c r="C107">
        <f>Sensitivity!C65</f>
        <v/>
      </c>
    </row>
    <row r="108">
      <c r="A108">
        <f>Sensitivity!A66</f>
        <v/>
      </c>
      <c r="B108">
        <f>Sensitivity!B66</f>
        <v/>
      </c>
      <c r="C108">
        <f>Sensitivity!C66</f>
        <v/>
      </c>
    </row>
    <row r="109">
      <c r="A109">
        <f>Sensitivity!A67</f>
        <v/>
      </c>
      <c r="B109">
        <f>Sensitivity!B67</f>
        <v/>
      </c>
      <c r="C109">
        <f>Sensitivity!C67</f>
        <v/>
      </c>
    </row>
    <row r="110">
      <c r="A110">
        <f>Sensitivity!A68</f>
        <v/>
      </c>
      <c r="B110">
        <f>Sensitivity!B68</f>
        <v/>
      </c>
      <c r="C110">
        <f>Sensitivity!C68</f>
        <v/>
      </c>
    </row>
    <row r="111">
      <c r="A111">
        <f>Sensitivity!A69</f>
        <v/>
      </c>
      <c r="B111">
        <f>Sensitivity!B69</f>
        <v/>
      </c>
      <c r="C111">
        <f>Sensitivity!C69</f>
        <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E3804"/>
  <sheetViews>
    <sheetView workbookViewId="0">
      <pane ySplit="4" topLeftCell="A5" activePane="bottomLeft" state="frozen"/>
      <selection pane="bottomLeft" activeCell="A1" sqref="A1"/>
    </sheetView>
  </sheetViews>
  <sheetFormatPr baseColWidth="8" defaultRowHeight="15"/>
  <cols>
    <col width="40" customWidth="1" min="1" max="1"/>
    <col width="16" customWidth="1" min="2" max="2"/>
    <col width="8" customWidth="1" min="3" max="3"/>
    <col width="14" customWidth="1" min="4" max="4"/>
    <col width="14" customWidth="1" min="5" max="5"/>
    <col width="16" customWidth="1" min="6" max="6"/>
    <col width="14" customWidth="1" min="7" max="7"/>
    <col width="12" customWidth="1" min="8" max="8"/>
    <col width="10" customWidth="1" min="9" max="9"/>
    <col hidden="1" width="13" customWidth="1" min="27" max="27"/>
    <col hidden="1" width="13" customWidth="1" min="28" max="28"/>
    <col hidden="1" width="13" customWidth="1" min="29" max="29"/>
    <col hidden="1" width="13" customWidth="1" min="30" max="30"/>
    <col hidden="1" width="13" customWidth="1" min="31" max="31"/>
  </cols>
  <sheetData>
    <row r="1">
      <c r="A1" s="4" t="inlineStr">
        <is>
          <t>Marginal DPS per +1 (percentage point / skill level / flat point)</t>
        </is>
      </c>
    </row>
    <row r="2">
      <c r="A2" t="inlineStr">
        <is>
          <t>Attack Speed and Def Pen combine their +1 via the diminishing-returns formula (new = (1-(1-old/factor)*(1-1/factor))*factor), not a flat add.</t>
        </is>
      </c>
    </row>
    <row r="4">
      <c r="A4" s="5" t="inlineStr">
        <is>
          <t>Stat</t>
        </is>
      </c>
      <c r="B4" s="5" t="inlineStr">
        <is>
          <t>Units per +1% DPS</t>
        </is>
      </c>
      <c r="C4" s="5" t="inlineStr">
        <is>
          <t>Type</t>
        </is>
      </c>
      <c r="D4" s="5" t="inlineStr">
        <is>
          <t>Current Value</t>
        </is>
      </c>
      <c r="E4" s="5" t="inlineStr">
        <is>
          <t>New Value</t>
        </is>
      </c>
      <c r="F4" s="5" t="inlineStr">
        <is>
          <t>Baseline Total DPS</t>
        </is>
      </c>
      <c r="G4" s="5" t="inlineStr">
        <is>
          <t>New Total DPS</t>
        </is>
      </c>
      <c r="H4" s="5" t="inlineStr">
        <is>
          <t>DPS Gain</t>
        </is>
      </c>
      <c r="I4" s="5" t="inlineStr">
        <is>
          <t>% Gain</t>
        </is>
      </c>
    </row>
    <row r="5">
      <c r="A5" t="inlineStr">
        <is>
          <t>Flat LUK</t>
        </is>
      </c>
      <c r="B5">
        <f>IFERROR(1/(I5-100),"n/a")</f>
        <v/>
      </c>
      <c r="C5" t="inlineStr">
        <is>
          <t>flat</t>
        </is>
      </c>
      <c r="D5">
        <f>Inputs!$B$12</f>
        <v/>
      </c>
      <c r="E5">
        <f>(Inputs!$B$12+1)</f>
        <v/>
      </c>
      <c r="F5">
        <f>Summary!$B$3</f>
        <v/>
      </c>
      <c r="G5">
        <f>B116</f>
        <v/>
      </c>
      <c r="H5">
        <f>Summary!$B$3*(((1-Summary!$B$11)*IFERROR(B117/Summary!$B$27,1)+Summary!$B$11*IFERROR(B118/Summary!$B$28,1))-1)</f>
        <v/>
      </c>
      <c r="I5">
        <f>((1-Summary!$B$11)*IFERROR(B117/Summary!$B$27,1)+Summary!$B$11*IFERROR(B118/Summary!$B$28,1))*100</f>
        <v/>
      </c>
    </row>
    <row r="6">
      <c r="A6" t="inlineStr">
        <is>
          <t>LUK %</t>
        </is>
      </c>
      <c r="B6">
        <f>IFERROR(1/(I6-100),"n/a")</f>
        <v/>
      </c>
      <c r="C6" t="inlineStr">
        <is>
          <t>pct</t>
        </is>
      </c>
      <c r="D6">
        <f>Inputs!$B$13</f>
        <v/>
      </c>
      <c r="E6">
        <f>(Inputs!$B$13+1)</f>
        <v/>
      </c>
      <c r="F6">
        <f>Summary!$B$3</f>
        <v/>
      </c>
      <c r="G6">
        <f>B167</f>
        <v/>
      </c>
      <c r="H6">
        <f>Summary!$B$3*(((1-Summary!$B$11)*IFERROR(B168/Summary!$B$27,1)+Summary!$B$11*IFERROR(B169/Summary!$B$28,1))-1)</f>
        <v/>
      </c>
      <c r="I6">
        <f>((1-Summary!$B$11)*IFERROR(B168/Summary!$B$27,1)+Summary!$B$11*IFERROR(B169/Summary!$B$28,1))*100</f>
        <v/>
      </c>
    </row>
    <row r="7">
      <c r="A7" t="inlineStr">
        <is>
          <t>DEX</t>
        </is>
      </c>
      <c r="B7">
        <f>IFERROR(1/(I7-100),"n/a")</f>
        <v/>
      </c>
      <c r="C7" t="inlineStr">
        <is>
          <t>flat</t>
        </is>
      </c>
      <c r="D7">
        <f>Inputs!$B$14</f>
        <v/>
      </c>
      <c r="E7">
        <f>(Inputs!$B$14+1)</f>
        <v/>
      </c>
      <c r="F7">
        <f>Summary!$B$3</f>
        <v/>
      </c>
      <c r="G7">
        <f>B218</f>
        <v/>
      </c>
      <c r="H7">
        <f>Summary!$B$3*(((1-Summary!$B$11)*IFERROR(B219/Summary!$B$27,1)+Summary!$B$11*IFERROR(B220/Summary!$B$28,1))-1)</f>
        <v/>
      </c>
      <c r="I7">
        <f>((1-Summary!$B$11)*IFERROR(B219/Summary!$B$27,1)+Summary!$B$11*IFERROR(B220/Summary!$B$28,1))*100</f>
        <v/>
      </c>
    </row>
    <row r="8">
      <c r="A8" t="inlineStr">
        <is>
          <t>DAMAGE %</t>
        </is>
      </c>
      <c r="B8">
        <f>IFERROR(1/(I8-100),"n/a")</f>
        <v/>
      </c>
      <c r="C8" t="inlineStr">
        <is>
          <t>pct</t>
        </is>
      </c>
      <c r="D8">
        <f>Inputs!$B$15</f>
        <v/>
      </c>
      <c r="E8">
        <f>(Inputs!$B$15+1)</f>
        <v/>
      </c>
      <c r="F8">
        <f>Summary!$B$3</f>
        <v/>
      </c>
      <c r="G8">
        <f>B269</f>
        <v/>
      </c>
      <c r="H8">
        <f>Summary!$B$3*(((1-Summary!$B$11)*IFERROR(B270/Summary!$B$27,1)+Summary!$B$11*IFERROR(B271/Summary!$B$28,1))-1)</f>
        <v/>
      </c>
      <c r="I8">
        <f>((1-Summary!$B$11)*IFERROR(B270/Summary!$B$27,1)+Summary!$B$11*IFERROR(B271/Summary!$B$28,1))*100</f>
        <v/>
      </c>
    </row>
    <row r="9">
      <c r="A9" t="inlineStr">
        <is>
          <t>DAMAGE_AMP %</t>
        </is>
      </c>
      <c r="B9">
        <f>IFERROR(1/(I9-100),"n/a")</f>
        <v/>
      </c>
      <c r="C9" t="inlineStr">
        <is>
          <t>pct</t>
        </is>
      </c>
      <c r="D9">
        <f>Inputs!$B$16</f>
        <v/>
      </c>
      <c r="E9">
        <f>(Inputs!$B$16+1)</f>
        <v/>
      </c>
      <c r="F9">
        <f>Summary!$B$3</f>
        <v/>
      </c>
      <c r="G9">
        <f>B320</f>
        <v/>
      </c>
      <c r="H9">
        <f>Summary!$B$3*(((1-Summary!$B$11)*IFERROR(B321/Summary!$B$27,1)+Summary!$B$11*IFERROR(B322/Summary!$B$28,1))-1)</f>
        <v/>
      </c>
      <c r="I9">
        <f>((1-Summary!$B$11)*IFERROR(B321/Summary!$B$27,1)+Summary!$B$11*IFERROR(B322/Summary!$B$28,1))*100</f>
        <v/>
      </c>
    </row>
    <row r="10">
      <c r="A10" t="inlineStr">
        <is>
          <t>BOSS_DAMAGE %</t>
        </is>
      </c>
      <c r="B10">
        <f>IFERROR(1/(I10-100),"n/a")</f>
        <v/>
      </c>
      <c r="C10" t="inlineStr">
        <is>
          <t>pct</t>
        </is>
      </c>
      <c r="D10">
        <f>Inputs!$B$20</f>
        <v/>
      </c>
      <c r="E10">
        <f>(Inputs!$B$20+1)</f>
        <v/>
      </c>
      <c r="F10">
        <f>Summary!$B$3</f>
        <v/>
      </c>
      <c r="G10">
        <f>B371</f>
        <v/>
      </c>
      <c r="H10">
        <f>Summary!$B$3*(((1-Summary!$B$11)*IFERROR(B372/Summary!$B$27,1)+Summary!$B$11*IFERROR(B373/Summary!$B$28,1))-1)</f>
        <v/>
      </c>
      <c r="I10">
        <f>((1-Summary!$B$11)*IFERROR(B372/Summary!$B$27,1)+Summary!$B$11*IFERROR(B373/Summary!$B$28,1))*100</f>
        <v/>
      </c>
    </row>
    <row r="11">
      <c r="A11" t="inlineStr">
        <is>
          <t>NORMAL_DAMAGE %</t>
        </is>
      </c>
      <c r="B11">
        <f>IFERROR(1/(I11-100),"n/a")</f>
        <v/>
      </c>
      <c r="C11" t="inlineStr">
        <is>
          <t>pct</t>
        </is>
      </c>
      <c r="D11">
        <f>Inputs!$B$21</f>
        <v/>
      </c>
      <c r="E11">
        <f>(Inputs!$B$21+1)</f>
        <v/>
      </c>
      <c r="F11">
        <f>Summary!$B$3</f>
        <v/>
      </c>
      <c r="G11">
        <f>B422</f>
        <v/>
      </c>
      <c r="H11">
        <f>Summary!$B$3*(((1-Summary!$B$11)*IFERROR(B423/Summary!$B$27,1)+Summary!$B$11*IFERROR(B424/Summary!$B$28,1))-1)</f>
        <v/>
      </c>
      <c r="I11">
        <f>((1-Summary!$B$11)*IFERROR(B423/Summary!$B$27,1)+Summary!$B$11*IFERROR(B424/Summary!$B$28,1))*100</f>
        <v/>
      </c>
    </row>
    <row r="12">
      <c r="A12" t="inlineStr">
        <is>
          <t>FINAL_DAMAGE % (multiplicative source)</t>
        </is>
      </c>
      <c r="B12">
        <f>IFERROR(1/(I12-100),"n/a")</f>
        <v/>
      </c>
      <c r="C12" t="inlineStr">
        <is>
          <t>mult</t>
        </is>
      </c>
      <c r="D12">
        <f>Inputs!$B$24</f>
        <v/>
      </c>
      <c r="E12">
        <f>((((1+Inputs!$B$24/100)*(1.01))-1)*100)</f>
        <v/>
      </c>
      <c r="F12">
        <f>Summary!$B$3</f>
        <v/>
      </c>
      <c r="G12">
        <f>B473</f>
        <v/>
      </c>
      <c r="H12">
        <f>Summary!$B$3*(((1-Summary!$B$11)*IFERROR(B474/Summary!$B$27,1)+Summary!$B$11*IFERROR(B475/Summary!$B$28,1))-1)</f>
        <v/>
      </c>
      <c r="I12">
        <f>((1-Summary!$B$11)*IFERROR(B474/Summary!$B$27,1)+Summary!$B$11*IFERROR(B475/Summary!$B$28,1))*100</f>
        <v/>
      </c>
    </row>
    <row r="13">
      <c r="A13" t="inlineStr">
        <is>
          <t>MIN_DAMAGE %</t>
        </is>
      </c>
      <c r="B13">
        <f>IFERROR(1/(I13-100),"n/a")</f>
        <v/>
      </c>
      <c r="C13" t="inlineStr">
        <is>
          <t>pct</t>
        </is>
      </c>
      <c r="D13">
        <f>Inputs!$B$22</f>
        <v/>
      </c>
      <c r="E13">
        <f>(Inputs!$B$22+1)</f>
        <v/>
      </c>
      <c r="F13">
        <f>Summary!$B$3</f>
        <v/>
      </c>
      <c r="G13">
        <f>B524</f>
        <v/>
      </c>
      <c r="H13">
        <f>Summary!$B$3*(((1-Summary!$B$11)*IFERROR(B525/Summary!$B$27,1)+Summary!$B$11*IFERROR(B526/Summary!$B$28,1))-1)</f>
        <v/>
      </c>
      <c r="I13">
        <f>((1-Summary!$B$11)*IFERROR(B525/Summary!$B$27,1)+Summary!$B$11*IFERROR(B526/Summary!$B$28,1))*100</f>
        <v/>
      </c>
    </row>
    <row r="14">
      <c r="A14" t="inlineStr">
        <is>
          <t>MAX_DAMAGE %</t>
        </is>
      </c>
      <c r="B14">
        <f>IFERROR(1/(I14-100),"n/a")</f>
        <v/>
      </c>
      <c r="C14" t="inlineStr">
        <is>
          <t>pct</t>
        </is>
      </c>
      <c r="D14">
        <f>Inputs!$B$23</f>
        <v/>
      </c>
      <c r="E14">
        <f>(Inputs!$B$23+1)</f>
        <v/>
      </c>
      <c r="F14">
        <f>Summary!$B$3</f>
        <v/>
      </c>
      <c r="G14">
        <f>B575</f>
        <v/>
      </c>
      <c r="H14">
        <f>Summary!$B$3*(((1-Summary!$B$11)*IFERROR(B576/Summary!$B$27,1)+Summary!$B$11*IFERROR(B577/Summary!$B$28,1))-1)</f>
        <v/>
      </c>
      <c r="I14">
        <f>((1-Summary!$B$11)*IFERROR(B576/Summary!$B$27,1)+Summary!$B$11*IFERROR(B577/Summary!$B$28,1))*100</f>
        <v/>
      </c>
    </row>
    <row r="15">
      <c r="A15" t="inlineStr">
        <is>
          <t>CRIT_RATE %</t>
        </is>
      </c>
      <c r="B15">
        <f>IFERROR(1/(I15-100),"n/a")</f>
        <v/>
      </c>
      <c r="C15" t="inlineStr">
        <is>
          <t>pct</t>
        </is>
      </c>
      <c r="D15">
        <f>Inputs!$B$9</f>
        <v/>
      </c>
      <c r="E15">
        <f>(Inputs!$B$9+1)</f>
        <v/>
      </c>
      <c r="F15">
        <f>Summary!$B$3</f>
        <v/>
      </c>
      <c r="G15">
        <f>B626</f>
        <v/>
      </c>
      <c r="H15">
        <f>Summary!$B$3*(((1-Summary!$B$11)*IFERROR(B627/Summary!$B$27,1)+Summary!$B$11*IFERROR(B628/Summary!$B$28,1))-1)</f>
        <v/>
      </c>
      <c r="I15">
        <f>((1-Summary!$B$11)*IFERROR(B627/Summary!$B$27,1)+Summary!$B$11*IFERROR(B628/Summary!$B$28,1))*100</f>
        <v/>
      </c>
    </row>
    <row r="16">
      <c r="A16" t="inlineStr">
        <is>
          <t>CRIT_DAMAGE %</t>
        </is>
      </c>
      <c r="B16">
        <f>IFERROR(1/(I16-100),"n/a")</f>
        <v/>
      </c>
      <c r="C16" t="inlineStr">
        <is>
          <t>pct</t>
        </is>
      </c>
      <c r="D16">
        <f>Inputs!$B$10</f>
        <v/>
      </c>
      <c r="E16">
        <f>(Inputs!$B$10+1)</f>
        <v/>
      </c>
      <c r="F16">
        <f>Summary!$B$3</f>
        <v/>
      </c>
      <c r="G16">
        <f>B677</f>
        <v/>
      </c>
      <c r="H16">
        <f>Summary!$B$3*(((1-Summary!$B$11)*IFERROR(B678/Summary!$B$27,1)+Summary!$B$11*IFERROR(B679/Summary!$B$28,1))-1)</f>
        <v/>
      </c>
      <c r="I16">
        <f>((1-Summary!$B$11)*IFERROR(B678/Summary!$B$27,1)+Summary!$B$11*IFERROR(B679/Summary!$B$28,1))*100</f>
        <v/>
      </c>
    </row>
    <row r="17">
      <c r="A17" t="inlineStr">
        <is>
          <t>ATTACK_SPEED % (diminishing returns, factor 150)</t>
        </is>
      </c>
      <c r="B17">
        <f>IFERROR(1/(I17-100),"n/a")</f>
        <v/>
      </c>
      <c r="C17" t="inlineStr">
        <is>
          <t>dr150</t>
        </is>
      </c>
      <c r="D17">
        <f>Inputs!$B$11</f>
        <v/>
      </c>
      <c r="E17">
        <f>((1-(1-Inputs!$B$11/150)*(1-1/150))*150)</f>
        <v/>
      </c>
      <c r="F17">
        <f>Summary!$B$3</f>
        <v/>
      </c>
      <c r="G17">
        <f>B728</f>
        <v/>
      </c>
      <c r="H17">
        <f>Summary!$B$3*(((1-Summary!$B$11)*IFERROR(B729/Summary!$B$27,1)+Summary!$B$11*IFERROR(B730/Summary!$B$28,1))-1)</f>
        <v/>
      </c>
      <c r="I17">
        <f>((1-Summary!$B$11)*IFERROR(B729/Summary!$B$27,1)+Summary!$B$11*IFERROR(B730/Summary!$B$28,1))*100</f>
        <v/>
      </c>
    </row>
    <row r="18">
      <c r="A18" t="inlineStr">
        <is>
          <t>DEF_PEN % (diminishing returns, factor 100)</t>
        </is>
      </c>
      <c r="B18">
        <f>IFERROR(1/(I18-100),"n/a")</f>
        <v/>
      </c>
      <c r="C18" t="inlineStr">
        <is>
          <t>dr100</t>
        </is>
      </c>
      <c r="D18">
        <f>Inputs!$B$19</f>
        <v/>
      </c>
      <c r="E18">
        <f>((1-(1-Inputs!$B$19/100)*(1-1/100))*100)</f>
        <v/>
      </c>
      <c r="F18">
        <f>Summary!$B$3</f>
        <v/>
      </c>
      <c r="G18">
        <f>B779</f>
        <v/>
      </c>
      <c r="H18">
        <f>Summary!$B$3*(((1-Summary!$B$11)*IFERROR(B780/Summary!$B$27,1)+Summary!$B$11*IFERROR(B781/Summary!$B$28,1))-1)</f>
        <v/>
      </c>
      <c r="I18">
        <f>((1-Summary!$B$11)*IFERROR(B780/Summary!$B$27,1)+Summary!$B$11*IFERROR(B781/Summary!$B$28,1))*100</f>
        <v/>
      </c>
    </row>
    <row r="19">
      <c r="A19" t="inlineStr">
        <is>
          <t>BASIC_ATTACK_DAMAGE %</t>
        </is>
      </c>
      <c r="B19">
        <f>IFERROR(1/(I19-100),"n/a")</f>
        <v/>
      </c>
      <c r="C19" t="inlineStr">
        <is>
          <t>pct</t>
        </is>
      </c>
      <c r="D19">
        <f>Inputs!$B$17</f>
        <v/>
      </c>
      <c r="E19">
        <f>(Inputs!$B$17+1)</f>
        <v/>
      </c>
      <c r="F19">
        <f>Summary!$B$3</f>
        <v/>
      </c>
      <c r="G19">
        <f>B830</f>
        <v/>
      </c>
      <c r="H19">
        <f>Summary!$B$3*(((1-Summary!$B$11)*IFERROR(B831/Summary!$B$27,1)+Summary!$B$11*IFERROR(B832/Summary!$B$28,1))-1)</f>
        <v/>
      </c>
      <c r="I19">
        <f>((1-Summary!$B$11)*IFERROR(B831/Summary!$B$27,1)+Summary!$B$11*IFERROR(B832/Summary!$B$28,1))*100</f>
        <v/>
      </c>
    </row>
    <row r="20">
      <c r="A20" t="inlineStr">
        <is>
          <t>SKILL_DAMAGE %</t>
        </is>
      </c>
      <c r="B20">
        <f>IFERROR(1/(I20-100),"n/a")</f>
        <v/>
      </c>
      <c r="C20" t="inlineStr">
        <is>
          <t>pct</t>
        </is>
      </c>
      <c r="D20">
        <f>Inputs!$B$18</f>
        <v/>
      </c>
      <c r="E20">
        <f>(Inputs!$B$18+1)</f>
        <v/>
      </c>
      <c r="F20">
        <f>Summary!$B$3</f>
        <v/>
      </c>
      <c r="G20">
        <f>B881</f>
        <v/>
      </c>
      <c r="H20">
        <f>Summary!$B$3*(((1-Summary!$B$11)*IFERROR(B882/Summary!$B$27,1)+Summary!$B$11*IFERROR(B883/Summary!$B$28,1))-1)</f>
        <v/>
      </c>
      <c r="I20">
        <f>((1-Summary!$B$11)*IFERROR(B882/Summary!$B$27,1)+Summary!$B$11*IFERROR(B883/Summary!$B$28,1))*100</f>
        <v/>
      </c>
    </row>
    <row r="21">
      <c r="A21" t="inlineStr">
        <is>
          <t>Skill Level Bonus — 1st Job</t>
        </is>
      </c>
      <c r="B21">
        <f>IFERROR(1/(I21-100),"n/a")</f>
        <v/>
      </c>
      <c r="C21" t="inlineStr">
        <is>
          <t>level</t>
        </is>
      </c>
      <c r="D21">
        <f>Inputs!$B$25</f>
        <v/>
      </c>
      <c r="E21">
        <f>(Inputs!$B$25+1)</f>
        <v/>
      </c>
      <c r="F21">
        <f>Summary!$B$3</f>
        <v/>
      </c>
      <c r="G21">
        <f>B932</f>
        <v/>
      </c>
      <c r="H21">
        <f>Summary!$B$3*(((1-Summary!$B$11)*IFERROR(B933/Summary!$B$27,1)+Summary!$B$11*IFERROR(B934/Summary!$B$28,1))-1)</f>
        <v/>
      </c>
      <c r="I21">
        <f>((1-Summary!$B$11)*IFERROR(B933/Summary!$B$27,1)+Summary!$B$11*IFERROR(B934/Summary!$B$28,1))*100</f>
        <v/>
      </c>
    </row>
    <row r="22">
      <c r="A22" t="inlineStr">
        <is>
          <t>Skill Level Bonus — 2nd Job</t>
        </is>
      </c>
      <c r="B22">
        <f>IFERROR(1/(I22-100),"n/a")</f>
        <v/>
      </c>
      <c r="C22" t="inlineStr">
        <is>
          <t>level</t>
        </is>
      </c>
      <c r="D22">
        <f>Inputs!$B$26</f>
        <v/>
      </c>
      <c r="E22">
        <f>(Inputs!$B$26+1)</f>
        <v/>
      </c>
      <c r="F22">
        <f>Summary!$B$3</f>
        <v/>
      </c>
      <c r="G22">
        <f>B983</f>
        <v/>
      </c>
      <c r="H22">
        <f>Summary!$B$3*(((1-Summary!$B$11)*IFERROR(B984/Summary!$B$27,1)+Summary!$B$11*IFERROR(B985/Summary!$B$28,1))-1)</f>
        <v/>
      </c>
      <c r="I22">
        <f>((1-Summary!$B$11)*IFERROR(B984/Summary!$B$27,1)+Summary!$B$11*IFERROR(B985/Summary!$B$28,1))*100</f>
        <v/>
      </c>
    </row>
    <row r="23">
      <c r="A23" t="inlineStr">
        <is>
          <t>Skill Level Bonus — 3rd Job</t>
        </is>
      </c>
      <c r="B23">
        <f>IFERROR(1/(I23-100),"n/a")</f>
        <v/>
      </c>
      <c r="C23" t="inlineStr">
        <is>
          <t>level</t>
        </is>
      </c>
      <c r="D23">
        <f>Inputs!$B$27</f>
        <v/>
      </c>
      <c r="E23">
        <f>(Inputs!$B$27+1)</f>
        <v/>
      </c>
      <c r="F23">
        <f>Summary!$B$3</f>
        <v/>
      </c>
      <c r="G23">
        <f>B1034</f>
        <v/>
      </c>
      <c r="H23">
        <f>Summary!$B$3*(((1-Summary!$B$11)*IFERROR(B1035/Summary!$B$27,1)+Summary!$B$11*IFERROR(B1036/Summary!$B$28,1))-1)</f>
        <v/>
      </c>
      <c r="I23">
        <f>((1-Summary!$B$11)*IFERROR(B1035/Summary!$B$27,1)+Summary!$B$11*IFERROR(B1036/Summary!$B$28,1))*100</f>
        <v/>
      </c>
    </row>
    <row r="24">
      <c r="A24" t="inlineStr">
        <is>
          <t>Skill Level Bonus — 4th Job</t>
        </is>
      </c>
      <c r="B24">
        <f>IFERROR(1/(I24-100),"n/a")</f>
        <v/>
      </c>
      <c r="C24" t="inlineStr">
        <is>
          <t>level</t>
        </is>
      </c>
      <c r="D24">
        <f>Inputs!$B$28</f>
        <v/>
      </c>
      <c r="E24">
        <f>(Inputs!$B$28+1)</f>
        <v/>
      </c>
      <c r="F24">
        <f>Summary!$B$3</f>
        <v/>
      </c>
      <c r="G24">
        <f>B1085</f>
        <v/>
      </c>
      <c r="H24">
        <f>Summary!$B$3*(((1-Summary!$B$11)*IFERROR(B1086/Summary!$B$27,1)+Summary!$B$11*IFERROR(B1087/Summary!$B$28,1))-1)</f>
        <v/>
      </c>
      <c r="I24">
        <f>((1-Summary!$B$11)*IFERROR(B1086/Summary!$B$27,1)+Summary!$B$11*IFERROR(B1087/Summary!$B$28,1))*100</f>
        <v/>
      </c>
    </row>
    <row r="25">
      <c r="A25" t="inlineStr">
        <is>
          <t>Skill Level Bonus — All Skills</t>
        </is>
      </c>
      <c r="B25">
        <f>IFERROR(1/(I25-100),"n/a")</f>
        <v/>
      </c>
      <c r="C25" t="inlineStr">
        <is>
          <t>level</t>
        </is>
      </c>
      <c r="D25">
        <f>Inputs!$B$29</f>
        <v/>
      </c>
      <c r="E25">
        <f>(Inputs!$B$29+1)</f>
        <v/>
      </c>
      <c r="F25">
        <f>Summary!$B$3</f>
        <v/>
      </c>
      <c r="G25">
        <f>B1136</f>
        <v/>
      </c>
      <c r="H25">
        <f>Summary!$B$3*(((1-Summary!$B$11)*IFERROR(B1137/Summary!$B$27,1)+Summary!$B$11*IFERROR(B1138/Summary!$B$28,1))-1)</f>
        <v/>
      </c>
      <c r="I25">
        <f>((1-Summary!$B$11)*IFERROR(B1137/Summary!$B$27,1)+Summary!$B$11*IFERROR(B1138/Summary!$B$28,1))*100</f>
        <v/>
      </c>
    </row>
    <row r="26">
      <c r="A26" t="inlineStr">
        <is>
          <t>Flat ATTACK</t>
        </is>
      </c>
      <c r="B26">
        <f>IFERROR(1/(I26-100),"n/a")</f>
        <v/>
      </c>
      <c r="C26" t="inlineStr">
        <is>
          <t>flat</t>
        </is>
      </c>
      <c r="D26">
        <f>Inputs!$B$6</f>
        <v/>
      </c>
      <c r="E26">
        <f>(Inputs!$B$6+1)</f>
        <v/>
      </c>
      <c r="F26">
        <f>Summary!$B$3</f>
        <v/>
      </c>
      <c r="G26">
        <f>B1187</f>
        <v/>
      </c>
      <c r="H26">
        <f>Summary!$B$3*(((1-Summary!$B$11)*IFERROR(B1188/Summary!$B$27,1)+Summary!$B$11*IFERROR(B1189/Summary!$B$28,1))-1)</f>
        <v/>
      </c>
      <c r="I26">
        <f>((1-Summary!$B$11)*IFERROR(B1188/Summary!$B$27,1)+Summary!$B$11*IFERROR(B1189/Summary!$B$28,1))*100</f>
        <v/>
      </c>
    </row>
    <row r="27">
      <c r="A27" t="inlineStr">
        <is>
          <t>ATTACK %</t>
        </is>
      </c>
      <c r="B27">
        <f>IFERROR(1/(I27-100),"n/a")</f>
        <v/>
      </c>
      <c r="C27" t="inlineStr">
        <is>
          <t>pct</t>
        </is>
      </c>
      <c r="D27">
        <f>Inputs!$B$7</f>
        <v/>
      </c>
      <c r="E27">
        <f>(Inputs!$B$7+1)</f>
        <v/>
      </c>
      <c r="F27">
        <f>Summary!$B$3</f>
        <v/>
      </c>
      <c r="G27">
        <f>B1238</f>
        <v/>
      </c>
      <c r="H27">
        <f>Summary!$B$3*(((1-Summary!$B$11)*IFERROR(B1239/Summary!$B$27,1)+Summary!$B$11*IFERROR(B1240/Summary!$B$28,1))-1)</f>
        <v/>
      </c>
      <c r="I27">
        <f>((1-Summary!$B$11)*IFERROR(B1239/Summary!$B$27,1)+Summary!$B$11*IFERROR(B1240/Summary!$B$28,1))*100</f>
        <v/>
      </c>
    </row>
    <row r="28">
      <c r="A28" t="inlineStr">
        <is>
          <t>Skill Cooldown Decrease (seconds)</t>
        </is>
      </c>
      <c r="B28">
        <f>IFERROR(1/(I28-100),"n/a")</f>
        <v/>
      </c>
      <c r="C28" t="inlineStr">
        <is>
          <t>flat</t>
        </is>
      </c>
      <c r="D28">
        <f>Inputs!$B$32</f>
        <v/>
      </c>
      <c r="E28">
        <f>(Inputs!$B$32+1)</f>
        <v/>
      </c>
      <c r="F28">
        <f>Summary!$B$3</f>
        <v/>
      </c>
      <c r="G28">
        <f>B1289</f>
        <v/>
      </c>
      <c r="H28">
        <f>Summary!$B$3*(((1-Summary!$B$11)*IFERROR(B1290/Summary!$B$27,1)+Summary!$B$11*IFERROR(B1291/Summary!$B$28,1))-1)</f>
        <v/>
      </c>
      <c r="I28">
        <f>((1-Summary!$B$11)*IFERROR(B1290/Summary!$B$27,1)+Summary!$B$11*IFERROR(B1291/Summary!$B$28,1))*100</f>
        <v/>
      </c>
    </row>
    <row r="29">
      <c r="A29" t="inlineStr">
        <is>
          <t>Basic Attack Target Increase (flat)</t>
        </is>
      </c>
      <c r="B29">
        <f>IFERROR(1/(I29-100),"n/a")</f>
        <v/>
      </c>
      <c r="C29" t="inlineStr">
        <is>
          <t>flat</t>
        </is>
      </c>
      <c r="D29">
        <f>Inputs!$B$33</f>
        <v/>
      </c>
      <c r="E29">
        <f>(Inputs!$B$33+1)</f>
        <v/>
      </c>
      <c r="F29">
        <f>Summary!$B$3</f>
        <v/>
      </c>
      <c r="G29">
        <f>B1340</f>
        <v/>
      </c>
      <c r="H29">
        <f>Summary!$B$3*(((1-Summary!$B$11)*IFERROR(B1341/Summary!$B$27,1)+Summary!$B$11*IFERROR(B1342/Summary!$B$28,1))-1)</f>
        <v/>
      </c>
      <c r="I29">
        <f>((1-Summary!$B$11)*IFERROR(B1341/Summary!$B$27,1)+Summary!$B$11*IFERROR(B1342/Summary!$B$28,1))*100</f>
        <v/>
      </c>
    </row>
    <row r="30">
      <c r="A30" t="inlineStr">
        <is>
          <t>Buff Duration Increase %</t>
        </is>
      </c>
      <c r="B30">
        <f>IFERROR(1/(I30-100),"n/a")</f>
        <v/>
      </c>
      <c r="C30" t="inlineStr">
        <is>
          <t>pct</t>
        </is>
      </c>
      <c r="D30">
        <f>Inputs!$B$34</f>
        <v/>
      </c>
      <c r="E30">
        <f>(Inputs!$B$34+1)</f>
        <v/>
      </c>
      <c r="F30">
        <f>Summary!$B$3</f>
        <v/>
      </c>
      <c r="G30">
        <f>B1391</f>
        <v/>
      </c>
      <c r="H30">
        <f>Summary!$B$3*(((1-Summary!$B$11)*IFERROR(B1392/Summary!$B$27,1)+Summary!$B$11*IFERROR(B1393/Summary!$B$28,1))-1)</f>
        <v/>
      </c>
      <c r="I30">
        <f>((1-Summary!$B$11)*IFERROR(B1392/Summary!$B$27,1)+Summary!$B$11*IFERROR(B1393/Summary!$B$28,1))*100</f>
        <v/>
      </c>
    </row>
    <row r="31">
      <c r="A31" t="inlineStr">
        <is>
          <t>Incoming Hit Rate (hits/sec, Shadow Shifter only)</t>
        </is>
      </c>
      <c r="B31">
        <f>IFERROR(1/(I31-100),"n/a")</f>
        <v/>
      </c>
      <c r="C31" t="inlineStr">
        <is>
          <t>flat</t>
        </is>
      </c>
      <c r="D31">
        <f>Inputs!$B$38</f>
        <v/>
      </c>
      <c r="E31">
        <f>(Inputs!$B$38+1)</f>
        <v/>
      </c>
      <c r="F31">
        <f>Summary!$B$3</f>
        <v/>
      </c>
      <c r="G31">
        <f>B1442</f>
        <v/>
      </c>
      <c r="H31">
        <f>Summary!$B$3*(((1-Summary!$B$11)*IFERROR(B1443/Summary!$B$27,1)+Summary!$B$11*IFERROR(B1444/Summary!$B$28,1))-1)</f>
        <v/>
      </c>
      <c r="I31">
        <f>((1-Summary!$B$11)*IFERROR(B1443/Summary!$B$27,1)+Summary!$B$11*IFERROR(B1444/Summary!$B$28,1))*100</f>
        <v/>
      </c>
    </row>
    <row r="32">
      <c r="A32" s="9" t="inlineStr">
        <is>
          <t>Artifact Equip-Toggle DPS Gain</t>
        </is>
      </c>
    </row>
    <row r="33">
      <c r="A33" s="5" t="inlineStr">
        <is>
          <t>Artifact</t>
        </is>
      </c>
      <c r="B33" s="5" t="inlineStr">
        <is>
          <t>DPS Gain</t>
        </is>
      </c>
      <c r="C33" s="5" t="inlineStr">
        <is>
          <t>% Gain</t>
        </is>
      </c>
    </row>
    <row r="34">
      <c r="A34">
        <f>IF(1&gt;COUNTIF($AD$34:$AD$69,TRUE),"",INDEX($AA$34:$AA$69,MATCH(1,$AE$34:$AE$69,0)))</f>
        <v/>
      </c>
      <c r="B34">
        <f>IF(1&gt;COUNTIF($AD$34:$AD$69,TRUE),"",INDEX($AB$34:$AB$69,MATCH(1,$AE$34:$AE$69,0)))</f>
        <v/>
      </c>
      <c r="C34">
        <f>IF(1&gt;COUNTIF($AD$34:$AD$69,TRUE),"",INDEX($AC$34:$AC$69,MATCH(1,$AE$34:$AE$69,0)))</f>
        <v/>
      </c>
      <c r="AA34" t="inlineStr">
        <is>
          <t>Charm of the Undead (Equip)</t>
        </is>
      </c>
      <c r="AB34">
        <f>(IF(ArtifactsInput!$M$5,-1,1)*Summary!$B$3*(((1-Summary!$B$11)*IFERROR(B1494/Summary!$B$27,1)+Summary!$B$11*IFERROR(B1495/Summary!$B$28,1))-1)+ArtifactsInput!$L$5)</f>
        <v/>
      </c>
      <c r="AC34">
        <f>IF(ArtifactsInput!$M$5,Summary!$B$3/(Summary!$B$3-(IF(ArtifactsInput!$M$5,-1,1)*Summary!$B$3*(((1-Summary!$B$11)*IFERROR(B1494/Summary!$B$27,1)+Summary!$B$11*IFERROR(B1495/Summary!$B$28,1))-1)+ArtifactsInput!$L$5))*100,(Summary!$B$3+(IF(ArtifactsInput!$M$5,-1,1)*Summary!$B$3*(((1-Summary!$B$11)*IFERROR(B1494/Summary!$B$27,1)+Summary!$B$11*IFERROR(B1495/Summary!$B$28,1))-1)+ArtifactsInput!$L$5))/Summary!$B$3*100)</f>
        <v/>
      </c>
      <c r="AD34">
        <f>ArtifactsInput!$B$5&lt;&gt;"Not Unlocked"</f>
        <v/>
      </c>
      <c r="AE34">
        <f>IF(AD34,SUMPRODUCT(($AD$34:$AD$69)*($AC$34:$AC$69&gt;AC34))+COUNTIFS($AD$34:AD34,TRUE,$AC$34:AC34,AC34),"")</f>
        <v/>
      </c>
    </row>
    <row r="35">
      <c r="A35">
        <f>IF(2&gt;COUNTIF($AD$34:$AD$69,TRUE),"",INDEX($AA$34:$AA$69,MATCH(2,$AE$34:$AE$69,0)))</f>
        <v/>
      </c>
      <c r="B35">
        <f>IF(2&gt;COUNTIF($AD$34:$AD$69,TRUE),"",INDEX($AB$34:$AB$69,MATCH(2,$AE$34:$AE$69,0)))</f>
        <v/>
      </c>
      <c r="C35">
        <f>IF(2&gt;COUNTIF($AD$34:$AD$69,TRUE),"",INDEX($AC$34:$AC$69,MATCH(2,$AE$34:$AE$69,0)))</f>
        <v/>
      </c>
      <c r="AA35" t="inlineStr">
        <is>
          <t>Pig's Ribbon (Equip)</t>
        </is>
      </c>
      <c r="AB35">
        <f>(IF(ArtifactsInput!$M$6,-1,1)*Summary!$B$3*(((1-Summary!$B$11)*IFERROR(B1545/Summary!$B$27,1)+Summary!$B$11*IFERROR(B1546/Summary!$B$28,1))-1)+ArtifactsInput!$L$6)</f>
        <v/>
      </c>
      <c r="AC35">
        <f>IF(ArtifactsInput!$M$6,Summary!$B$3/(Summary!$B$3-(IF(ArtifactsInput!$M$6,-1,1)*Summary!$B$3*(((1-Summary!$B$11)*IFERROR(B1545/Summary!$B$27,1)+Summary!$B$11*IFERROR(B1546/Summary!$B$28,1))-1)+ArtifactsInput!$L$6))*100,(Summary!$B$3+(IF(ArtifactsInput!$M$6,-1,1)*Summary!$B$3*(((1-Summary!$B$11)*IFERROR(B1545/Summary!$B$27,1)+Summary!$B$11*IFERROR(B1546/Summary!$B$28,1))-1)+ArtifactsInput!$L$6))/Summary!$B$3*100)</f>
        <v/>
      </c>
      <c r="AD35">
        <f>ArtifactsInput!$B$6&lt;&gt;"Not Unlocked"</f>
        <v/>
      </c>
      <c r="AE35">
        <f>IF(AD35,SUMPRODUCT(($AD$34:$AD$69)*($AC$34:$AC$69&gt;AC35))+COUNTIFS($AD$34:AD35,TRUE,$AC$34:AC35,AC35),"")</f>
        <v/>
      </c>
    </row>
    <row r="36">
      <c r="A36">
        <f>IF(3&gt;COUNTIF($AD$34:$AD$69,TRUE),"",INDEX($AA$34:$AA$69,MATCH(3,$AE$34:$AE$69,0)))</f>
        <v/>
      </c>
      <c r="B36">
        <f>IF(3&gt;COUNTIF($AD$34:$AD$69,TRUE),"",INDEX($AB$34:$AB$69,MATCH(3,$AE$34:$AE$69,0)))</f>
        <v/>
      </c>
      <c r="C36">
        <f>IF(3&gt;COUNTIF($AD$34:$AD$69,TRUE),"",INDEX($AC$34:$AC$69,MATCH(3,$AE$34:$AE$69,0)))</f>
        <v/>
      </c>
      <c r="AA36" t="inlineStr">
        <is>
          <t>Shamaness Marble (Equip)</t>
        </is>
      </c>
      <c r="AB36">
        <f>(IF(ArtifactsInput!$M$7,-1,1)*Summary!$B$3*(((1-Summary!$B$11)*IFERROR(B1596/Summary!$B$27,1)+Summary!$B$11*IFERROR(B1597/Summary!$B$28,1))-1)+ArtifactsInput!$L$7)</f>
        <v/>
      </c>
      <c r="AC36">
        <f>IF(ArtifactsInput!$M$7,Summary!$B$3/(Summary!$B$3-(IF(ArtifactsInput!$M$7,-1,1)*Summary!$B$3*(((1-Summary!$B$11)*IFERROR(B1596/Summary!$B$27,1)+Summary!$B$11*IFERROR(B1597/Summary!$B$28,1))-1)+ArtifactsInput!$L$7))*100,(Summary!$B$3+(IF(ArtifactsInput!$M$7,-1,1)*Summary!$B$3*(((1-Summary!$B$11)*IFERROR(B1596/Summary!$B$27,1)+Summary!$B$11*IFERROR(B1597/Summary!$B$28,1))-1)+ArtifactsInput!$L$7))/Summary!$B$3*100)</f>
        <v/>
      </c>
      <c r="AD36">
        <f>ArtifactsInput!$B$7&lt;&gt;"Not Unlocked"</f>
        <v/>
      </c>
      <c r="AE36">
        <f>IF(AD36,SUMPRODUCT(($AD$34:$AD$69)*($AC$34:$AC$69&gt;AC36))+COUNTIFS($AD$34:AD36,TRUE,$AC$34:AC36,AC36),"")</f>
        <v/>
      </c>
    </row>
    <row r="37">
      <c r="A37">
        <f>IF(4&gt;COUNTIF($AD$34:$AD$69,TRUE),"",INDEX($AA$34:$AA$69,MATCH(4,$AE$34:$AE$69,0)))</f>
        <v/>
      </c>
      <c r="B37">
        <f>IF(4&gt;COUNTIF($AD$34:$AD$69,TRUE),"",INDEX($AB$34:$AB$69,MATCH(4,$AE$34:$AE$69,0)))</f>
        <v/>
      </c>
      <c r="C37">
        <f>IF(4&gt;COUNTIF($AD$34:$AD$69,TRUE),"",INDEX($AC$34:$AC$69,MATCH(4,$AE$34:$AE$69,0)))</f>
        <v/>
      </c>
      <c r="AA37" t="inlineStr">
        <is>
          <t>The Contract of Darkness (Equip)</t>
        </is>
      </c>
      <c r="AB37">
        <f>(IF(ArtifactsInput!$M$8,-1,1)*Summary!$B$3*(((1-Summary!$B$11)*IFERROR(B1647/Summary!$B$27,1)+Summary!$B$11*IFERROR(B1648/Summary!$B$28,1))-1)+ArtifactsInput!$L$8)</f>
        <v/>
      </c>
      <c r="AC37">
        <f>IF(ArtifactsInput!$M$8,Summary!$B$3/(Summary!$B$3-(IF(ArtifactsInput!$M$8,-1,1)*Summary!$B$3*(((1-Summary!$B$11)*IFERROR(B1647/Summary!$B$27,1)+Summary!$B$11*IFERROR(B1648/Summary!$B$28,1))-1)+ArtifactsInput!$L$8))*100,(Summary!$B$3+(IF(ArtifactsInput!$M$8,-1,1)*Summary!$B$3*(((1-Summary!$B$11)*IFERROR(B1647/Summary!$B$27,1)+Summary!$B$11*IFERROR(B1648/Summary!$B$28,1))-1)+ArtifactsInput!$L$8))/Summary!$B$3*100)</f>
        <v/>
      </c>
      <c r="AD37">
        <f>ArtifactsInput!$B$8&lt;&gt;"Not Unlocked"</f>
        <v/>
      </c>
      <c r="AE37">
        <f>IF(AD37,SUMPRODUCT(($AD$34:$AD$69)*($AC$34:$AC$69&gt;AC37))+COUNTIFS($AD$34:AD37,TRUE,$AC$34:AC37,AC37),"")</f>
        <v/>
      </c>
    </row>
    <row r="38">
      <c r="A38">
        <f>IF(5&gt;COUNTIF($AD$34:$AD$69,TRUE),"",INDEX($AA$34:$AA$69,MATCH(5,$AE$34:$AE$69,0)))</f>
        <v/>
      </c>
      <c r="B38">
        <f>IF(5&gt;COUNTIF($AD$34:$AD$69,TRUE),"",INDEX($AB$34:$AB$69,MATCH(5,$AE$34:$AE$69,0)))</f>
        <v/>
      </c>
      <c r="C38">
        <f>IF(5&gt;COUNTIF($AD$34:$AD$69,TRUE),"",INDEX($AC$34:$AC$69,MATCH(5,$AE$34:$AE$69,0)))</f>
        <v/>
      </c>
      <c r="AA38" t="inlineStr">
        <is>
          <t>Rainbow-colored Snail Shell (Equip)</t>
        </is>
      </c>
      <c r="AB38">
        <f>(IF(ArtifactsInput!$M$10,-1,1)*Summary!$B$3*(((1-Summary!$B$11)*IFERROR(B1698/Summary!$B$27,1)+Summary!$B$11*IFERROR(B1699/Summary!$B$28,1))-1)+ArtifactsInput!$L$10)</f>
        <v/>
      </c>
      <c r="AC38">
        <f>IF(ArtifactsInput!$M$10,Summary!$B$3/(Summary!$B$3-(IF(ArtifactsInput!$M$10,-1,1)*Summary!$B$3*(((1-Summary!$B$11)*IFERROR(B1698/Summary!$B$27,1)+Summary!$B$11*IFERROR(B1699/Summary!$B$28,1))-1)+ArtifactsInput!$L$10))*100,(Summary!$B$3+(IF(ArtifactsInput!$M$10,-1,1)*Summary!$B$3*(((1-Summary!$B$11)*IFERROR(B1698/Summary!$B$27,1)+Summary!$B$11*IFERROR(B1699/Summary!$B$28,1))-1)+ArtifactsInput!$L$10))/Summary!$B$3*100)</f>
        <v/>
      </c>
      <c r="AD38">
        <f>ArtifactsInput!$B$10&lt;&gt;"Not Unlocked"</f>
        <v/>
      </c>
      <c r="AE38">
        <f>IF(AD38,SUMPRODUCT(($AD$34:$AD$69)*($AC$34:$AC$69&gt;AC38))+COUNTIFS($AD$34:AD38,TRUE,$AC$34:AC38,AC38),"")</f>
        <v/>
      </c>
    </row>
    <row r="39">
      <c r="A39">
        <f>IF(6&gt;COUNTIF($AD$34:$AD$69,TRUE),"",INDEX($AA$34:$AA$69,MATCH(6,$AE$34:$AE$69,0)))</f>
        <v/>
      </c>
      <c r="B39">
        <f>IF(6&gt;COUNTIF($AD$34:$AD$69,TRUE),"",INDEX($AB$34:$AB$69,MATCH(6,$AE$34:$AE$69,0)))</f>
        <v/>
      </c>
      <c r="C39">
        <f>IF(6&gt;COUNTIF($AD$34:$AD$69,TRUE),"",INDEX($AC$34:$AC$69,MATCH(6,$AE$34:$AE$69,0)))</f>
        <v/>
      </c>
      <c r="AA39" t="inlineStr">
        <is>
          <t>Hexagon Necklace (Equip)</t>
        </is>
      </c>
      <c r="AB39">
        <f>(IF(ArtifactsInput!$M$11,-1,1)*Summary!$B$3*(((1-Summary!$B$11)*IFERROR(B1749/Summary!$B$27,1)+Summary!$B$11*IFERROR(B1750/Summary!$B$28,1))-1)+ArtifactsInput!$L$11)</f>
        <v/>
      </c>
      <c r="AC39">
        <f>IF(ArtifactsInput!$M$11,Summary!$B$3/(Summary!$B$3-(IF(ArtifactsInput!$M$11,-1,1)*Summary!$B$3*(((1-Summary!$B$11)*IFERROR(B1749/Summary!$B$27,1)+Summary!$B$11*IFERROR(B1750/Summary!$B$28,1))-1)+ArtifactsInput!$L$11))*100,(Summary!$B$3+(IF(ArtifactsInput!$M$11,-1,1)*Summary!$B$3*(((1-Summary!$B$11)*IFERROR(B1749/Summary!$B$27,1)+Summary!$B$11*IFERROR(B1750/Summary!$B$28,1))-1)+ArtifactsInput!$L$11))/Summary!$B$3*100)</f>
        <v/>
      </c>
      <c r="AD39">
        <f>ArtifactsInput!$B$11&lt;&gt;"Not Unlocked"</f>
        <v/>
      </c>
      <c r="AE39">
        <f>IF(AD39,SUMPRODUCT(($AD$34:$AD$69)*($AC$34:$AC$69&gt;AC39))+COUNTIFS($AD$34:AD39,TRUE,$AC$34:AC39,AC39),"")</f>
        <v/>
      </c>
    </row>
    <row r="40">
      <c r="A40">
        <f>IF(7&gt;COUNTIF($AD$34:$AD$69,TRUE),"",INDEX($AA$34:$AA$69,MATCH(7,$AE$34:$AE$69,0)))</f>
        <v/>
      </c>
      <c r="B40">
        <f>IF(7&gt;COUNTIF($AD$34:$AD$69,TRUE),"",INDEX($AB$34:$AB$69,MATCH(7,$AE$34:$AE$69,0)))</f>
        <v/>
      </c>
      <c r="C40">
        <f>IF(7&gt;COUNTIF($AD$34:$AD$69,TRUE),"",INDEX($AC$34:$AC$69,MATCH(7,$AE$34:$AE$69,0)))</f>
        <v/>
      </c>
      <c r="AA40" t="inlineStr">
        <is>
          <t>Arwen's Glass Shoes (Equip)</t>
        </is>
      </c>
      <c r="AB40">
        <f>(IF(ArtifactsInput!$M$12,-1,1)*Summary!$B$3*(((1-Summary!$B$11)*IFERROR(B1800/Summary!$B$27,1)+Summary!$B$11*IFERROR(B1801/Summary!$B$28,1))-1)+ArtifactsInput!$L$12)</f>
        <v/>
      </c>
      <c r="AC40">
        <f>IF(ArtifactsInput!$M$12,Summary!$B$3/(Summary!$B$3-(IF(ArtifactsInput!$M$12,-1,1)*Summary!$B$3*(((1-Summary!$B$11)*IFERROR(B1800/Summary!$B$27,1)+Summary!$B$11*IFERROR(B1801/Summary!$B$28,1))-1)+ArtifactsInput!$L$12))*100,(Summary!$B$3+(IF(ArtifactsInput!$M$12,-1,1)*Summary!$B$3*(((1-Summary!$B$11)*IFERROR(B1800/Summary!$B$27,1)+Summary!$B$11*IFERROR(B1801/Summary!$B$28,1))-1)+ArtifactsInput!$L$12))/Summary!$B$3*100)</f>
        <v/>
      </c>
      <c r="AD40">
        <f>ArtifactsInput!$B$12&lt;&gt;"Not Unlocked"</f>
        <v/>
      </c>
      <c r="AE40">
        <f>IF(AD40,SUMPRODUCT(($AD$34:$AD$69)*($AC$34:$AC$69&gt;AC40))+COUNTIFS($AD$34:AD40,TRUE,$AC$34:AC40,AC40),"")</f>
        <v/>
      </c>
    </row>
    <row r="41">
      <c r="A41">
        <f>IF(8&gt;COUNTIF($AD$34:$AD$69,TRUE),"",INDEX($AA$34:$AA$69,MATCH(8,$AE$34:$AE$69,0)))</f>
        <v/>
      </c>
      <c r="B41">
        <f>IF(8&gt;COUNTIF($AD$34:$AD$69,TRUE),"",INDEX($AB$34:$AB$69,MATCH(8,$AE$34:$AE$69,0)))</f>
        <v/>
      </c>
      <c r="C41">
        <f>IF(8&gt;COUNTIF($AD$34:$AD$69,TRUE),"",INDEX($AC$34:$AC$69,MATCH(8,$AE$34:$AE$69,0)))</f>
        <v/>
      </c>
      <c r="AA41" t="inlineStr">
        <is>
          <t>Mushmom's Cap (Equip)</t>
        </is>
      </c>
      <c r="AB41">
        <f>(IF(ArtifactsInput!$M$13,-1,1)*Summary!$B$3*(((1-Summary!$B$11)*IFERROR(B1851/Summary!$B$27,1)+Summary!$B$11*IFERROR(B1852/Summary!$B$28,1))-1)+ArtifactsInput!$L$13)</f>
        <v/>
      </c>
      <c r="AC41">
        <f>IF(ArtifactsInput!$M$13,Summary!$B$3/(Summary!$B$3-(IF(ArtifactsInput!$M$13,-1,1)*Summary!$B$3*(((1-Summary!$B$11)*IFERROR(B1851/Summary!$B$27,1)+Summary!$B$11*IFERROR(B1852/Summary!$B$28,1))-1)+ArtifactsInput!$L$13))*100,(Summary!$B$3+(IF(ArtifactsInput!$M$13,-1,1)*Summary!$B$3*(((1-Summary!$B$11)*IFERROR(B1851/Summary!$B$27,1)+Summary!$B$11*IFERROR(B1852/Summary!$B$28,1))-1)+ArtifactsInput!$L$13))/Summary!$B$3*100)</f>
        <v/>
      </c>
      <c r="AD41">
        <f>ArtifactsInput!$B$13&lt;&gt;"Not Unlocked"</f>
        <v/>
      </c>
      <c r="AE41">
        <f>IF(AD41,SUMPRODUCT(($AD$34:$AD$69)*($AC$34:$AC$69&gt;AC41))+COUNTIFS($AD$34:AD41,TRUE,$AC$34:AC41,AC41),"")</f>
        <v/>
      </c>
    </row>
    <row r="42">
      <c r="A42">
        <f>IF(9&gt;COUNTIF($AD$34:$AD$69,TRUE),"",INDEX($AA$34:$AA$69,MATCH(9,$AE$34:$AE$69,0)))</f>
        <v/>
      </c>
      <c r="B42">
        <f>IF(9&gt;COUNTIF($AD$34:$AD$69,TRUE),"",INDEX($AB$34:$AB$69,MATCH(9,$AE$34:$AE$69,0)))</f>
        <v/>
      </c>
      <c r="C42">
        <f>IF(9&gt;COUNTIF($AD$34:$AD$69,TRUE),"",INDEX($AC$34:$AC$69,MATCH(9,$AE$34:$AE$69,0)))</f>
        <v/>
      </c>
      <c r="AA42" t="inlineStr">
        <is>
          <t>Clear Spring Water (Equip)</t>
        </is>
      </c>
      <c r="AB42">
        <f>(IF(ArtifactsInput!$M$14,-1,1)*Summary!$B$3*(((1-Summary!$B$11)*IFERROR(B1902/Summary!$B$27,1)+Summary!$B$11*IFERROR(B1903/Summary!$B$28,1))-1)+ArtifactsInput!$L$14)</f>
        <v/>
      </c>
      <c r="AC42">
        <f>IF(ArtifactsInput!$M$14,Summary!$B$3/(Summary!$B$3-(IF(ArtifactsInput!$M$14,-1,1)*Summary!$B$3*(((1-Summary!$B$11)*IFERROR(B1902/Summary!$B$27,1)+Summary!$B$11*IFERROR(B1903/Summary!$B$28,1))-1)+ArtifactsInput!$L$14))*100,(Summary!$B$3+(IF(ArtifactsInput!$M$14,-1,1)*Summary!$B$3*(((1-Summary!$B$11)*IFERROR(B1902/Summary!$B$27,1)+Summary!$B$11*IFERROR(B1903/Summary!$B$28,1))-1)+ArtifactsInput!$L$14))/Summary!$B$3*100)</f>
        <v/>
      </c>
      <c r="AD42">
        <f>ArtifactsInput!$B$14&lt;&gt;"Not Unlocked"</f>
        <v/>
      </c>
      <c r="AE42">
        <f>IF(AD42,SUMPRODUCT(($AD$34:$AD$69)*($AC$34:$AC$69&gt;AC42))+COUNTIFS($AD$34:AD42,TRUE,$AC$34:AC42,AC42),"")</f>
        <v/>
      </c>
    </row>
    <row r="43">
      <c r="A43">
        <f>IF(10&gt;COUNTIF($AD$34:$AD$69,TRUE),"",INDEX($AA$34:$AA$69,MATCH(10,$AE$34:$AE$69,0)))</f>
        <v/>
      </c>
      <c r="B43">
        <f>IF(10&gt;COUNTIF($AD$34:$AD$69,TRUE),"",INDEX($AB$34:$AB$69,MATCH(10,$AE$34:$AE$69,0)))</f>
        <v/>
      </c>
      <c r="C43">
        <f>IF(10&gt;COUNTIF($AD$34:$AD$69,TRUE),"",INDEX($AC$34:$AC$69,MATCH(10,$AE$34:$AE$69,0)))</f>
        <v/>
      </c>
      <c r="AA43" t="inlineStr">
        <is>
          <t>Athena Pierce's Old Gloves (Equip)</t>
        </is>
      </c>
      <c r="AB43">
        <f>(IF(ArtifactsInput!$M$15,-1,1)*Summary!$B$3*(((1-Summary!$B$11)*IFERROR(B1953/Summary!$B$27,1)+Summary!$B$11*IFERROR(B1954/Summary!$B$28,1))-1)+ArtifactsInput!$L$15)</f>
        <v/>
      </c>
      <c r="AC43">
        <f>IF(ArtifactsInput!$M$15,Summary!$B$3/(Summary!$B$3-(IF(ArtifactsInput!$M$15,-1,1)*Summary!$B$3*(((1-Summary!$B$11)*IFERROR(B1953/Summary!$B$27,1)+Summary!$B$11*IFERROR(B1954/Summary!$B$28,1))-1)+ArtifactsInput!$L$15))*100,(Summary!$B$3+(IF(ArtifactsInput!$M$15,-1,1)*Summary!$B$3*(((1-Summary!$B$11)*IFERROR(B1953/Summary!$B$27,1)+Summary!$B$11*IFERROR(B1954/Summary!$B$28,1))-1)+ArtifactsInput!$L$15))/Summary!$B$3*100)</f>
        <v/>
      </c>
      <c r="AD43">
        <f>ArtifactsInput!$B$15&lt;&gt;"Not Unlocked"</f>
        <v/>
      </c>
      <c r="AE43">
        <f>IF(AD43,SUMPRODUCT(($AD$34:$AD$69)*($AC$34:$AC$69&gt;AC43))+COUNTIFS($AD$34:AD43,TRUE,$AC$34:AC43,AC43),"")</f>
        <v/>
      </c>
    </row>
    <row r="44">
      <c r="A44">
        <f>IF(11&gt;COUNTIF($AD$34:$AD$69,TRUE),"",INDEX($AA$34:$AA$69,MATCH(11,$AE$34:$AE$69,0)))</f>
        <v/>
      </c>
      <c r="B44">
        <f>IF(11&gt;COUNTIF($AD$34:$AD$69,TRUE),"",INDEX($AB$34:$AB$69,MATCH(11,$AE$34:$AE$69,0)))</f>
        <v/>
      </c>
      <c r="C44">
        <f>IF(11&gt;COUNTIF($AD$34:$AD$69,TRUE),"",INDEX($AC$34:$AC$69,MATCH(11,$AE$34:$AE$69,0)))</f>
        <v/>
      </c>
      <c r="AA44" t="inlineStr">
        <is>
          <t>Zakum's Stone Piece (Equip)</t>
        </is>
      </c>
      <c r="AB44">
        <f>(IF(ArtifactsInput!$M$16,-1,1)*Summary!$B$3*(((1-Summary!$B$11)*IFERROR(B2004/Summary!$B$27,1)+Summary!$B$11*IFERROR(B2005/Summary!$B$28,1))-1)+ArtifactsInput!$L$16)</f>
        <v/>
      </c>
      <c r="AC44">
        <f>IF(ArtifactsInput!$M$16,Summary!$B$3/(Summary!$B$3-(IF(ArtifactsInput!$M$16,-1,1)*Summary!$B$3*(((1-Summary!$B$11)*IFERROR(B2004/Summary!$B$27,1)+Summary!$B$11*IFERROR(B2005/Summary!$B$28,1))-1)+ArtifactsInput!$L$16))*100,(Summary!$B$3+(IF(ArtifactsInput!$M$16,-1,1)*Summary!$B$3*(((1-Summary!$B$11)*IFERROR(B2004/Summary!$B$27,1)+Summary!$B$11*IFERROR(B2005/Summary!$B$28,1))-1)+ArtifactsInput!$L$16))/Summary!$B$3*100)</f>
        <v/>
      </c>
      <c r="AD44">
        <f>ArtifactsInput!$B$16&lt;&gt;"Not Unlocked"</f>
        <v/>
      </c>
      <c r="AE44">
        <f>IF(AD44,SUMPRODUCT(($AD$34:$AD$69)*($AC$34:$AC$69&gt;AC44))+COUNTIFS($AD$34:AD44,TRUE,$AC$34:AC44,AC44),"")</f>
        <v/>
      </c>
    </row>
    <row r="45">
      <c r="A45">
        <f>IF(12&gt;COUNTIF($AD$34:$AD$69,TRUE),"",INDEX($AA$34:$AA$69,MATCH(12,$AE$34:$AE$69,0)))</f>
        <v/>
      </c>
      <c r="B45">
        <f>IF(12&gt;COUNTIF($AD$34:$AD$69,TRUE),"",INDEX($AB$34:$AB$69,MATCH(12,$AE$34:$AE$69,0)))</f>
        <v/>
      </c>
      <c r="C45">
        <f>IF(12&gt;COUNTIF($AD$34:$AD$69,TRUE),"",INDEX($AC$34:$AC$69,MATCH(12,$AE$34:$AE$69,0)))</f>
        <v/>
      </c>
      <c r="AA45" t="inlineStr">
        <is>
          <t>Horntail's Scale (Equip)</t>
        </is>
      </c>
      <c r="AB45">
        <f>(IF(ArtifactsInput!$M$17,-1,1)*Summary!$B$3*(((1-Summary!$B$11)*IFERROR(B2055/Summary!$B$27,1)+Summary!$B$11*IFERROR(B2056/Summary!$B$28,1))-1)+ArtifactsInput!$L$17)</f>
        <v/>
      </c>
      <c r="AC45">
        <f>IF(ArtifactsInput!$M$17,Summary!$B$3/(Summary!$B$3-(IF(ArtifactsInput!$M$17,-1,1)*Summary!$B$3*(((1-Summary!$B$11)*IFERROR(B2055/Summary!$B$27,1)+Summary!$B$11*IFERROR(B2056/Summary!$B$28,1))-1)+ArtifactsInput!$L$17))*100,(Summary!$B$3+(IF(ArtifactsInput!$M$17,-1,1)*Summary!$B$3*(((1-Summary!$B$11)*IFERROR(B2055/Summary!$B$27,1)+Summary!$B$11*IFERROR(B2056/Summary!$B$28,1))-1)+ArtifactsInput!$L$17))/Summary!$B$3*100)</f>
        <v/>
      </c>
      <c r="AD45">
        <f>ArtifactsInput!$B$17&lt;&gt;"Not Unlocked"</f>
        <v/>
      </c>
      <c r="AE45">
        <f>IF(AD45,SUMPRODUCT(($AD$34:$AD$69)*($AC$34:$AC$69&gt;AC45))+COUNTIFS($AD$34:AD45,TRUE,$AC$34:AC45,AC45),"")</f>
        <v/>
      </c>
    </row>
    <row r="46">
      <c r="A46">
        <f>IF(13&gt;COUNTIF($AD$34:$AD$69,TRUE),"",INDEX($AA$34:$AA$69,MATCH(13,$AE$34:$AE$69,0)))</f>
        <v/>
      </c>
      <c r="B46">
        <f>IF(13&gt;COUNTIF($AD$34:$AD$69,TRUE),"",INDEX($AB$34:$AB$69,MATCH(13,$AE$34:$AE$69,0)))</f>
        <v/>
      </c>
      <c r="C46">
        <f>IF(13&gt;COUNTIF($AD$34:$AD$69,TRUE),"",INDEX($AC$34:$AC$69,MATCH(13,$AE$34:$AE$69,0)))</f>
        <v/>
      </c>
      <c r="AA46" t="inlineStr">
        <is>
          <t>Pink Bean's Giant Rib (Equip)</t>
        </is>
      </c>
      <c r="AB46">
        <f>(IF(ArtifactsInput!$M$18,-1,1)*Summary!$B$3*(((1-Summary!$B$11)*IFERROR(B2106/Summary!$B$27,1)+Summary!$B$11*IFERROR(B2107/Summary!$B$28,1))-1)+ArtifactsInput!$L$18)</f>
        <v/>
      </c>
      <c r="AC46">
        <f>IF(ArtifactsInput!$M$18,Summary!$B$3/(Summary!$B$3-(IF(ArtifactsInput!$M$18,-1,1)*Summary!$B$3*(((1-Summary!$B$11)*IFERROR(B2106/Summary!$B$27,1)+Summary!$B$11*IFERROR(B2107/Summary!$B$28,1))-1)+ArtifactsInput!$L$18))*100,(Summary!$B$3+(IF(ArtifactsInput!$M$18,-1,1)*Summary!$B$3*(((1-Summary!$B$11)*IFERROR(B2106/Summary!$B$27,1)+Summary!$B$11*IFERROR(B2107/Summary!$B$28,1))-1)+ArtifactsInput!$L$18))/Summary!$B$3*100)</f>
        <v/>
      </c>
      <c r="AD46">
        <f>ArtifactsInput!$B$18&lt;&gt;"Not Unlocked"</f>
        <v/>
      </c>
      <c r="AE46">
        <f>IF(AD46,SUMPRODUCT(($AD$34:$AD$69)*($AC$34:$AC$69&gt;AC46))+COUNTIFS($AD$34:AD46,TRUE,$AC$34:AC46,AC46),"")</f>
        <v/>
      </c>
    </row>
    <row r="47">
      <c r="A47">
        <f>IF(14&gt;COUNTIF($AD$34:$AD$69,TRUE),"",INDEX($AA$34:$AA$69,MATCH(14,$AE$34:$AE$69,0)))</f>
        <v/>
      </c>
      <c r="B47">
        <f>IF(14&gt;COUNTIF($AD$34:$AD$69,TRUE),"",INDEX($AB$34:$AB$69,MATCH(14,$AE$34:$AE$69,0)))</f>
        <v/>
      </c>
      <c r="C47">
        <f>IF(14&gt;COUNTIF($AD$34:$AD$69,TRUE),"",INDEX($AC$34:$AC$69,MATCH(14,$AE$34:$AE$69,0)))</f>
        <v/>
      </c>
      <c r="AA47" t="inlineStr">
        <is>
          <t>Chalice (Equip)</t>
        </is>
      </c>
      <c r="AB47">
        <f>(IF(ArtifactsInput!$M$20,-1,1)*Summary!$B$3*(((1-Summary!$B$11)*IFERROR(B2157/Summary!$B$27,1)+Summary!$B$11*IFERROR(B2158/Summary!$B$28,1))-1)+ArtifactsInput!$L$20)</f>
        <v/>
      </c>
      <c r="AC47">
        <f>IF(ArtifactsInput!$M$20,Summary!$B$3/(Summary!$B$3-(IF(ArtifactsInput!$M$20,-1,1)*Summary!$B$3*(((1-Summary!$B$11)*IFERROR(B2157/Summary!$B$27,1)+Summary!$B$11*IFERROR(B2158/Summary!$B$28,1))-1)+ArtifactsInput!$L$20))*100,(Summary!$B$3+(IF(ArtifactsInput!$M$20,-1,1)*Summary!$B$3*(((1-Summary!$B$11)*IFERROR(B2157/Summary!$B$27,1)+Summary!$B$11*IFERROR(B2158/Summary!$B$28,1))-1)+ArtifactsInput!$L$20))/Summary!$B$3*100)</f>
        <v/>
      </c>
      <c r="AD47">
        <f>ArtifactsInput!$B$20&lt;&gt;"Not Unlocked"</f>
        <v/>
      </c>
      <c r="AE47">
        <f>IF(AD47,SUMPRODUCT(($AD$34:$AD$69)*($AC$34:$AC$69&gt;AC47))+COUNTIFS($AD$34:AD47,TRUE,$AC$34:AC47,AC47),"")</f>
        <v/>
      </c>
    </row>
    <row r="48">
      <c r="A48">
        <f>IF(15&gt;COUNTIF($AD$34:$AD$69,TRUE),"",INDEX($AA$34:$AA$69,MATCH(15,$AE$34:$AE$69,0)))</f>
        <v/>
      </c>
      <c r="B48">
        <f>IF(15&gt;COUNTIF($AD$34:$AD$69,TRUE),"",INDEX($AB$34:$AB$69,MATCH(15,$AE$34:$AE$69,0)))</f>
        <v/>
      </c>
      <c r="C48">
        <f>IF(15&gt;COUNTIF($AD$34:$AD$69,TRUE),"",INDEX($AC$34:$AC$69,MATCH(15,$AE$34:$AE$69,0)))</f>
        <v/>
      </c>
      <c r="AA48" t="inlineStr">
        <is>
          <t>Old Music Box (Equip)</t>
        </is>
      </c>
      <c r="AB48">
        <f>(IF(ArtifactsInput!$M$21,-1,1)*Summary!$B$3*(((1-Summary!$B$11)*IFERROR(B2208/Summary!$B$27,1)+Summary!$B$11*IFERROR(B2209/Summary!$B$28,1))-1)+ArtifactsInput!$L$21)</f>
        <v/>
      </c>
      <c r="AC48">
        <f>IF(ArtifactsInput!$M$21,Summary!$B$3/(Summary!$B$3-(IF(ArtifactsInput!$M$21,-1,1)*Summary!$B$3*(((1-Summary!$B$11)*IFERROR(B2208/Summary!$B$27,1)+Summary!$B$11*IFERROR(B2209/Summary!$B$28,1))-1)+ArtifactsInput!$L$21))*100,(Summary!$B$3+(IF(ArtifactsInput!$M$21,-1,1)*Summary!$B$3*(((1-Summary!$B$11)*IFERROR(B2208/Summary!$B$27,1)+Summary!$B$11*IFERROR(B2209/Summary!$B$28,1))-1)+ArtifactsInput!$L$21))/Summary!$B$3*100)</f>
        <v/>
      </c>
      <c r="AD48">
        <f>ArtifactsInput!$B$21&lt;&gt;"Not Unlocked"</f>
        <v/>
      </c>
      <c r="AE48">
        <f>IF(AD48,SUMPRODUCT(($AD$34:$AD$69)*($AC$34:$AC$69&gt;AC48))+COUNTIFS($AD$34:AD48,TRUE,$AC$34:AC48,AC48),"")</f>
        <v/>
      </c>
    </row>
    <row r="49">
      <c r="A49">
        <f>IF(16&gt;COUNTIF($AD$34:$AD$69,TRUE),"",INDEX($AA$34:$AA$69,MATCH(16,$AE$34:$AE$69,0)))</f>
        <v/>
      </c>
      <c r="B49">
        <f>IF(16&gt;COUNTIF($AD$34:$AD$69,TRUE),"",INDEX($AB$34:$AB$69,MATCH(16,$AE$34:$AE$69,0)))</f>
        <v/>
      </c>
      <c r="C49">
        <f>IF(16&gt;COUNTIF($AD$34:$AD$69,TRUE),"",INDEX($AC$34:$AC$69,MATCH(16,$AE$34:$AE$69,0)))</f>
        <v/>
      </c>
      <c r="AA49" t="inlineStr">
        <is>
          <t>Silver Pendant (Equip)</t>
        </is>
      </c>
      <c r="AB49">
        <f>(IF(ArtifactsInput!$M$22,-1,1)*Summary!$B$3*(((1-Summary!$B$11)*IFERROR(B2259/Summary!$B$27,1)+Summary!$B$11*IFERROR(B2260/Summary!$B$28,1))-1)+ArtifactsInput!$L$22)</f>
        <v/>
      </c>
      <c r="AC49">
        <f>IF(ArtifactsInput!$M$22,Summary!$B$3/(Summary!$B$3-(IF(ArtifactsInput!$M$22,-1,1)*Summary!$B$3*(((1-Summary!$B$11)*IFERROR(B2259/Summary!$B$27,1)+Summary!$B$11*IFERROR(B2260/Summary!$B$28,1))-1)+ArtifactsInput!$L$22))*100,(Summary!$B$3+(IF(ArtifactsInput!$M$22,-1,1)*Summary!$B$3*(((1-Summary!$B$11)*IFERROR(B2259/Summary!$B$27,1)+Summary!$B$11*IFERROR(B2260/Summary!$B$28,1))-1)+ArtifactsInput!$L$22))/Summary!$B$3*100)</f>
        <v/>
      </c>
      <c r="AD49">
        <f>ArtifactsInput!$B$22&lt;&gt;"Not Unlocked"</f>
        <v/>
      </c>
      <c r="AE49">
        <f>IF(AD49,SUMPRODUCT(($AD$34:$AD$69)*($AC$34:$AC$69&gt;AC49))+COUNTIFS($AD$34:AD49,TRUE,$AC$34:AC49,AC49),"")</f>
        <v/>
      </c>
    </row>
    <row r="50">
      <c r="A50">
        <f>IF(17&gt;COUNTIF($AD$34:$AD$69,TRUE),"",INDEX($AA$34:$AA$69,MATCH(17,$AE$34:$AE$69,0)))</f>
        <v/>
      </c>
      <c r="B50">
        <f>IF(17&gt;COUNTIF($AD$34:$AD$69,TRUE),"",INDEX($AB$34:$AB$69,MATCH(17,$AE$34:$AE$69,0)))</f>
        <v/>
      </c>
      <c r="C50">
        <f>IF(17&gt;COUNTIF($AD$34:$AD$69,TRUE),"",INDEX($AC$34:$AC$69,MATCH(17,$AE$34:$AE$69,0)))</f>
        <v/>
      </c>
      <c r="AA50" t="inlineStr">
        <is>
          <t>Star Rock (Equip)</t>
        </is>
      </c>
      <c r="AB50">
        <f>(IF(ArtifactsInput!$M$23,-1,1)*Summary!$B$3*(((1-Summary!$B$11)*IFERROR(B2310/Summary!$B$27,1)+Summary!$B$11*IFERROR(B2311/Summary!$B$28,1))-1)+ArtifactsInput!$L$23)</f>
        <v/>
      </c>
      <c r="AC50">
        <f>IF(ArtifactsInput!$M$23,Summary!$B$3/(Summary!$B$3-(IF(ArtifactsInput!$M$23,-1,1)*Summary!$B$3*(((1-Summary!$B$11)*IFERROR(B2310/Summary!$B$27,1)+Summary!$B$11*IFERROR(B2311/Summary!$B$28,1))-1)+ArtifactsInput!$L$23))*100,(Summary!$B$3+(IF(ArtifactsInput!$M$23,-1,1)*Summary!$B$3*(((1-Summary!$B$11)*IFERROR(B2310/Summary!$B$27,1)+Summary!$B$11*IFERROR(B2311/Summary!$B$28,1))-1)+ArtifactsInput!$L$23))/Summary!$B$3*100)</f>
        <v/>
      </c>
      <c r="AD50">
        <f>ArtifactsInput!$B$23&lt;&gt;"Not Unlocked"</f>
        <v/>
      </c>
      <c r="AE50">
        <f>IF(AD50,SUMPRODUCT(($AD$34:$AD$69)*($AC$34:$AC$69&gt;AC50))+COUNTIFS($AD$34:AD50,TRUE,$AC$34:AC50,AC50),"")</f>
        <v/>
      </c>
    </row>
    <row r="51">
      <c r="A51">
        <f>IF(18&gt;COUNTIF($AD$34:$AD$69,TRUE),"",INDEX($AA$34:$AA$69,MATCH(18,$AE$34:$AE$69,0)))</f>
        <v/>
      </c>
      <c r="B51">
        <f>IF(18&gt;COUNTIF($AD$34:$AD$69,TRUE),"",INDEX($AB$34:$AB$69,MATCH(18,$AE$34:$AE$69,0)))</f>
        <v/>
      </c>
      <c r="C51">
        <f>IF(18&gt;COUNTIF($AD$34:$AD$69,TRUE),"",INDEX($AC$34:$AC$69,MATCH(18,$AE$34:$AE$69,0)))</f>
        <v/>
      </c>
      <c r="AA51" t="inlineStr">
        <is>
          <t>Book of Ancient (Equip)</t>
        </is>
      </c>
      <c r="AB51">
        <f>(IF(ArtifactsInput!$M$24,-1,1)*Summary!$B$3*(((1-Summary!$B$11)*IFERROR(B2361/Summary!$B$27,1)+Summary!$B$11*IFERROR(B2362/Summary!$B$28,1))-1)+ArtifactsInput!$L$24)</f>
        <v/>
      </c>
      <c r="AC51">
        <f>IF(ArtifactsInput!$M$24,Summary!$B$3/(Summary!$B$3-(IF(ArtifactsInput!$M$24,-1,1)*Summary!$B$3*(((1-Summary!$B$11)*IFERROR(B2361/Summary!$B$27,1)+Summary!$B$11*IFERROR(B2362/Summary!$B$28,1))-1)+ArtifactsInput!$L$24))*100,(Summary!$B$3+(IF(ArtifactsInput!$M$24,-1,1)*Summary!$B$3*(((1-Summary!$B$11)*IFERROR(B2361/Summary!$B$27,1)+Summary!$B$11*IFERROR(B2362/Summary!$B$28,1))-1)+ArtifactsInput!$L$24))/Summary!$B$3*100)</f>
        <v/>
      </c>
      <c r="AD51">
        <f>ArtifactsInput!$B$24&lt;&gt;"Not Unlocked"</f>
        <v/>
      </c>
      <c r="AE51">
        <f>IF(AD51,SUMPRODUCT(($AD$34:$AD$69)*($AC$34:$AC$69&gt;AC51))+COUNTIFS($AD$34:AD51,TRUE,$AC$34:AC51,AC51),"")</f>
        <v/>
      </c>
    </row>
    <row r="52">
      <c r="A52">
        <f>IF(19&gt;COUNTIF($AD$34:$AD$69,TRUE),"",INDEX($AA$34:$AA$69,MATCH(19,$AE$34:$AE$69,0)))</f>
        <v/>
      </c>
      <c r="B52">
        <f>IF(19&gt;COUNTIF($AD$34:$AD$69,TRUE),"",INDEX($AB$34:$AB$69,MATCH(19,$AE$34:$AE$69,0)))</f>
        <v/>
      </c>
      <c r="C52">
        <f>IF(19&gt;COUNTIF($AD$34:$AD$69,TRUE),"",INDEX($AC$34:$AC$69,MATCH(19,$AE$34:$AE$69,0)))</f>
        <v/>
      </c>
      <c r="AA52" t="inlineStr">
        <is>
          <t>Lunar Dew (Equip)</t>
        </is>
      </c>
      <c r="AB52">
        <f>(IF(ArtifactsInput!$M$25,-1,1)*Summary!$B$3*(((1-Summary!$B$11)*IFERROR(B2412/Summary!$B$27,1)+Summary!$B$11*IFERROR(B2413/Summary!$B$28,1))-1)+ArtifactsInput!$L$25)</f>
        <v/>
      </c>
      <c r="AC52">
        <f>IF(ArtifactsInput!$M$25,Summary!$B$3/(Summary!$B$3-(IF(ArtifactsInput!$M$25,-1,1)*Summary!$B$3*(((1-Summary!$B$11)*IFERROR(B2412/Summary!$B$27,1)+Summary!$B$11*IFERROR(B2413/Summary!$B$28,1))-1)+ArtifactsInput!$L$25))*100,(Summary!$B$3+(IF(ArtifactsInput!$M$25,-1,1)*Summary!$B$3*(((1-Summary!$B$11)*IFERROR(B2412/Summary!$B$27,1)+Summary!$B$11*IFERROR(B2413/Summary!$B$28,1))-1)+ArtifactsInput!$L$25))/Summary!$B$3*100)</f>
        <v/>
      </c>
      <c r="AD52">
        <f>ArtifactsInput!$B$25&lt;&gt;"Not Unlocked"</f>
        <v/>
      </c>
      <c r="AE52">
        <f>IF(AD52,SUMPRODUCT(($AD$34:$AD$69)*($AC$34:$AC$69&gt;AC52))+COUNTIFS($AD$34:AD52,TRUE,$AC$34:AC52,AC52),"")</f>
        <v/>
      </c>
    </row>
    <row r="53">
      <c r="A53">
        <f>IF(20&gt;COUNTIF($AD$34:$AD$69,TRUE),"",INDEX($AA$34:$AA$69,MATCH(20,$AE$34:$AE$69,0)))</f>
        <v/>
      </c>
      <c r="B53">
        <f>IF(20&gt;COUNTIF($AD$34:$AD$69,TRUE),"",INDEX($AB$34:$AB$69,MATCH(20,$AE$34:$AE$69,0)))</f>
        <v/>
      </c>
      <c r="C53">
        <f>IF(20&gt;COUNTIF($AD$34:$AD$69,TRUE),"",INDEX($AC$34:$AC$69,MATCH(20,$AE$34:$AE$69,0)))</f>
        <v/>
      </c>
      <c r="AA53" t="inlineStr">
        <is>
          <t>Fire Flower (Equip)</t>
        </is>
      </c>
      <c r="AB53">
        <f>(IF(ArtifactsInput!$M$26,-1,1)*Summary!$B$3*(((1-Summary!$B$11)*IFERROR(B2463/Summary!$B$27,1)+Summary!$B$11*IFERROR(B2464/Summary!$B$28,1))-1)+ArtifactsInput!$L$26)</f>
        <v/>
      </c>
      <c r="AC53">
        <f>IF(ArtifactsInput!$M$26,Summary!$B$3/(Summary!$B$3-(IF(ArtifactsInput!$M$26,-1,1)*Summary!$B$3*(((1-Summary!$B$11)*IFERROR(B2463/Summary!$B$27,1)+Summary!$B$11*IFERROR(B2464/Summary!$B$28,1))-1)+ArtifactsInput!$L$26))*100,(Summary!$B$3+(IF(ArtifactsInput!$M$26,-1,1)*Summary!$B$3*(((1-Summary!$B$11)*IFERROR(B2463/Summary!$B$27,1)+Summary!$B$11*IFERROR(B2464/Summary!$B$28,1))-1)+ArtifactsInput!$L$26))/Summary!$B$3*100)</f>
        <v/>
      </c>
      <c r="AD53">
        <f>ArtifactsInput!$B$26&lt;&gt;"Not Unlocked"</f>
        <v/>
      </c>
      <c r="AE53">
        <f>IF(AD53,SUMPRODUCT(($AD$34:$AD$69)*($AC$34:$AC$69&gt;AC53))+COUNTIFS($AD$34:AD53,TRUE,$AC$34:AC53,AC53),"")</f>
        <v/>
      </c>
    </row>
    <row r="54">
      <c r="A54">
        <f>IF(21&gt;COUNTIF($AD$34:$AD$69,TRUE),"",INDEX($AA$34:$AA$69,MATCH(21,$AE$34:$AE$69,0)))</f>
        <v/>
      </c>
      <c r="B54">
        <f>IF(21&gt;COUNTIF($AD$34:$AD$69,TRUE),"",INDEX($AB$34:$AB$69,MATCH(21,$AE$34:$AE$69,0)))</f>
        <v/>
      </c>
      <c r="C54">
        <f>IF(21&gt;COUNTIF($AD$34:$AD$69,TRUE),"",INDEX($AC$34:$AC$69,MATCH(21,$AE$34:$AE$69,0)))</f>
        <v/>
      </c>
      <c r="AA54" t="inlineStr">
        <is>
          <t>Soul Contract (Equip)</t>
        </is>
      </c>
      <c r="AB54">
        <f>(IF(ArtifactsInput!$M$27,-1,1)*Summary!$B$3*(((1-Summary!$B$11)*IFERROR(B2514/Summary!$B$27,1)+Summary!$B$11*IFERROR(B2515/Summary!$B$28,1))-1)+ArtifactsInput!$L$27)</f>
        <v/>
      </c>
      <c r="AC54">
        <f>IF(ArtifactsInput!$M$27,Summary!$B$3/(Summary!$B$3-(IF(ArtifactsInput!$M$27,-1,1)*Summary!$B$3*(((1-Summary!$B$11)*IFERROR(B2514/Summary!$B$27,1)+Summary!$B$11*IFERROR(B2515/Summary!$B$28,1))-1)+ArtifactsInput!$L$27))*100,(Summary!$B$3+(IF(ArtifactsInput!$M$27,-1,1)*Summary!$B$3*(((1-Summary!$B$11)*IFERROR(B2514/Summary!$B$27,1)+Summary!$B$11*IFERROR(B2515/Summary!$B$28,1))-1)+ArtifactsInput!$L$27))/Summary!$B$3*100)</f>
        <v/>
      </c>
      <c r="AD54">
        <f>ArtifactsInput!$B$27&lt;&gt;"Not Unlocked"</f>
        <v/>
      </c>
      <c r="AE54">
        <f>IF(AD54,SUMPRODUCT(($AD$34:$AD$69)*($AC$34:$AC$69&gt;AC54))+COUNTIFS($AD$34:AD54,TRUE,$AC$34:AC54,AC54),"")</f>
        <v/>
      </c>
    </row>
    <row r="55">
      <c r="A55">
        <f>IF(22&gt;COUNTIF($AD$34:$AD$69,TRUE),"",INDEX($AA$34:$AA$69,MATCH(22,$AE$34:$AE$69,0)))</f>
        <v/>
      </c>
      <c r="B55">
        <f>IF(22&gt;COUNTIF($AD$34:$AD$69,TRUE),"",INDEX($AB$34:$AB$69,MATCH(22,$AE$34:$AE$69,0)))</f>
        <v/>
      </c>
      <c r="C55">
        <f>IF(22&gt;COUNTIF($AD$34:$AD$69,TRUE),"",INDEX($AC$34:$AC$69,MATCH(22,$AE$34:$AE$69,0)))</f>
        <v/>
      </c>
      <c r="AA55" t="inlineStr">
        <is>
          <t>Lit Lamp (Equip)</t>
        </is>
      </c>
      <c r="AB55">
        <f>(IF(ArtifactsInput!$M$28,-1,1)*Summary!$B$3*(((1-Summary!$B$11)*IFERROR(B2565/Summary!$B$27,1)+Summary!$B$11*IFERROR(B2566/Summary!$B$28,1))-1)+ArtifactsInput!$L$28)</f>
        <v/>
      </c>
      <c r="AC55">
        <f>IF(ArtifactsInput!$M$28,Summary!$B$3/(Summary!$B$3-(IF(ArtifactsInput!$M$28,-1,1)*Summary!$B$3*(((1-Summary!$B$11)*IFERROR(B2565/Summary!$B$27,1)+Summary!$B$11*IFERROR(B2566/Summary!$B$28,1))-1)+ArtifactsInput!$L$28))*100,(Summary!$B$3+(IF(ArtifactsInput!$M$28,-1,1)*Summary!$B$3*(((1-Summary!$B$11)*IFERROR(B2565/Summary!$B$27,1)+Summary!$B$11*IFERROR(B2566/Summary!$B$28,1))-1)+ArtifactsInput!$L$28))/Summary!$B$3*100)</f>
        <v/>
      </c>
      <c r="AD55">
        <f>ArtifactsInput!$B$28&lt;&gt;"Not Unlocked"</f>
        <v/>
      </c>
      <c r="AE55">
        <f>IF(AD55,SUMPRODUCT(($AD$34:$AD$69)*($AC$34:$AC$69&gt;AC55))+COUNTIFS($AD$34:AD55,TRUE,$AC$34:AC55,AC55),"")</f>
        <v/>
      </c>
    </row>
    <row r="56">
      <c r="A56">
        <f>IF(23&gt;COUNTIF($AD$34:$AD$69,TRUE),"",INDEX($AA$34:$AA$69,MATCH(23,$AE$34:$AE$69,0)))</f>
        <v/>
      </c>
      <c r="B56">
        <f>IF(23&gt;COUNTIF($AD$34:$AD$69,TRUE),"",INDEX($AB$34:$AB$69,MATCH(23,$AE$34:$AE$69,0)))</f>
        <v/>
      </c>
      <c r="C56">
        <f>IF(23&gt;COUNTIF($AD$34:$AD$69,TRUE),"",INDEX($AC$34:$AC$69,MATCH(23,$AE$34:$AE$69,0)))</f>
        <v/>
      </c>
      <c r="AA56" t="inlineStr">
        <is>
          <t>Soul Pouch (Equip)</t>
        </is>
      </c>
      <c r="AB56">
        <f>(IF(ArtifactsInput!$M$29,-1,1)*Summary!$B$3*(((1-Summary!$B$11)*IFERROR(B2616/Summary!$B$27,1)+Summary!$B$11*IFERROR(B2617/Summary!$B$28,1))-1)+ArtifactsInput!$L$29)</f>
        <v/>
      </c>
      <c r="AC56">
        <f>IF(ArtifactsInput!$M$29,Summary!$B$3/(Summary!$B$3-(IF(ArtifactsInput!$M$29,-1,1)*Summary!$B$3*(((1-Summary!$B$11)*IFERROR(B2616/Summary!$B$27,1)+Summary!$B$11*IFERROR(B2617/Summary!$B$28,1))-1)+ArtifactsInput!$L$29))*100,(Summary!$B$3+(IF(ArtifactsInput!$M$29,-1,1)*Summary!$B$3*(((1-Summary!$B$11)*IFERROR(B2616/Summary!$B$27,1)+Summary!$B$11*IFERROR(B2617/Summary!$B$28,1))-1)+ArtifactsInput!$L$29))/Summary!$B$3*100)</f>
        <v/>
      </c>
      <c r="AD56">
        <f>ArtifactsInput!$B$29&lt;&gt;"Not Unlocked"</f>
        <v/>
      </c>
      <c r="AE56">
        <f>IF(AD56,SUMPRODUCT(($AD$34:$AD$69)*($AC$34:$AC$69&gt;AC56))+COUNTIFS($AD$34:AD56,TRUE,$AC$34:AC56,AC56),"")</f>
        <v/>
      </c>
    </row>
    <row r="57">
      <c r="A57">
        <f>IF(24&gt;COUNTIF($AD$34:$AD$69,TRUE),"",INDEX($AA$34:$AA$69,MATCH(24,$AE$34:$AE$69,0)))</f>
        <v/>
      </c>
      <c r="B57">
        <f>IF(24&gt;COUNTIF($AD$34:$AD$69,TRUE),"",INDEX($AB$34:$AB$69,MATCH(24,$AE$34:$AE$69,0)))</f>
        <v/>
      </c>
      <c r="C57">
        <f>IF(24&gt;COUNTIF($AD$34:$AD$69,TRUE),"",INDEX($AC$34:$AC$69,MATCH(24,$AE$34:$AE$69,0)))</f>
        <v/>
      </c>
      <c r="AA57" t="inlineStr">
        <is>
          <t>Ancient Text Piece (Equip)</t>
        </is>
      </c>
      <c r="AB57">
        <f>(IF(ArtifactsInput!$M$30,-1,1)*Summary!$B$3*(((1-Summary!$B$11)*IFERROR(B2667/Summary!$B$27,1)+Summary!$B$11*IFERROR(B2668/Summary!$B$28,1))-1)+ArtifactsInput!$L$30)</f>
        <v/>
      </c>
      <c r="AC57">
        <f>IF(ArtifactsInput!$M$30,Summary!$B$3/(Summary!$B$3-(IF(ArtifactsInput!$M$30,-1,1)*Summary!$B$3*(((1-Summary!$B$11)*IFERROR(B2667/Summary!$B$27,1)+Summary!$B$11*IFERROR(B2668/Summary!$B$28,1))-1)+ArtifactsInput!$L$30))*100,(Summary!$B$3+(IF(ArtifactsInput!$M$30,-1,1)*Summary!$B$3*(((1-Summary!$B$11)*IFERROR(B2667/Summary!$B$27,1)+Summary!$B$11*IFERROR(B2668/Summary!$B$28,1))-1)+ArtifactsInput!$L$30))/Summary!$B$3*100)</f>
        <v/>
      </c>
      <c r="AD57">
        <f>ArtifactsInput!$B$30&lt;&gt;"Not Unlocked"</f>
        <v/>
      </c>
      <c r="AE57">
        <f>IF(AD57,SUMPRODUCT(($AD$34:$AD$69)*($AC$34:$AC$69&gt;AC57))+COUNTIFS($AD$34:AD57,TRUE,$AC$34:AC57,AC57),"")</f>
        <v/>
      </c>
    </row>
    <row r="58">
      <c r="A58">
        <f>IF(25&gt;COUNTIF($AD$34:$AD$69,TRUE),"",INDEX($AA$34:$AA$69,MATCH(25,$AE$34:$AE$69,0)))</f>
        <v/>
      </c>
      <c r="B58">
        <f>IF(25&gt;COUNTIF($AD$34:$AD$69,TRUE),"",INDEX($AB$34:$AB$69,MATCH(25,$AE$34:$AE$69,0)))</f>
        <v/>
      </c>
      <c r="C58">
        <f>IF(25&gt;COUNTIF($AD$34:$AD$69,TRUE),"",INDEX($AC$34:$AC$69,MATCH(25,$AE$34:$AE$69,0)))</f>
        <v/>
      </c>
      <c r="AA58" t="inlineStr">
        <is>
          <t>Icy Soul Rock (Equip)</t>
        </is>
      </c>
      <c r="AB58">
        <f>(IF(ArtifactsInput!$M$31,-1,1)*Summary!$B$3*(((1-Summary!$B$11)*IFERROR(B2718/Summary!$B$27,1)+Summary!$B$11*IFERROR(B2719/Summary!$B$28,1))-1)+ArtifactsInput!$L$31)</f>
        <v/>
      </c>
      <c r="AC58">
        <f>IF(ArtifactsInput!$M$31,Summary!$B$3/(Summary!$B$3-(IF(ArtifactsInput!$M$31,-1,1)*Summary!$B$3*(((1-Summary!$B$11)*IFERROR(B2718/Summary!$B$27,1)+Summary!$B$11*IFERROR(B2719/Summary!$B$28,1))-1)+ArtifactsInput!$L$31))*100,(Summary!$B$3+(IF(ArtifactsInput!$M$31,-1,1)*Summary!$B$3*(((1-Summary!$B$11)*IFERROR(B2718/Summary!$B$27,1)+Summary!$B$11*IFERROR(B2719/Summary!$B$28,1))-1)+ArtifactsInput!$L$31))/Summary!$B$3*100)</f>
        <v/>
      </c>
      <c r="AD58">
        <f>ArtifactsInput!$B$31&lt;&gt;"Not Unlocked"</f>
        <v/>
      </c>
      <c r="AE58">
        <f>IF(AD58,SUMPRODUCT(($AD$34:$AD$69)*($AC$34:$AC$69&gt;AC58))+COUNTIFS($AD$34:AD58,TRUE,$AC$34:AC58,AC58),"")</f>
        <v/>
      </c>
    </row>
    <row r="59">
      <c r="A59">
        <f>IF(26&gt;COUNTIF($AD$34:$AD$69,TRUE),"",INDEX($AA$34:$AA$69,MATCH(26,$AE$34:$AE$69,0)))</f>
        <v/>
      </c>
      <c r="B59">
        <f>IF(26&gt;COUNTIF($AD$34:$AD$69,TRUE),"",INDEX($AB$34:$AB$69,MATCH(26,$AE$34:$AE$69,0)))</f>
        <v/>
      </c>
      <c r="C59">
        <f>IF(26&gt;COUNTIF($AD$34:$AD$69,TRUE),"",INDEX($AC$34:$AC$69,MATCH(26,$AE$34:$AE$69,0)))</f>
        <v/>
      </c>
      <c r="AA59" t="inlineStr">
        <is>
          <t>Flaming Lava (Equip)</t>
        </is>
      </c>
      <c r="AB59">
        <f>(IF(ArtifactsInput!$M$32,-1,1)*Summary!$B$3*(((1-Summary!$B$11)*IFERROR(B2769/Summary!$B$27,1)+Summary!$B$11*IFERROR(B2770/Summary!$B$28,1))-1)+ArtifactsInput!$L$32)</f>
        <v/>
      </c>
      <c r="AC59">
        <f>IF(ArtifactsInput!$M$32,Summary!$B$3/(Summary!$B$3-(IF(ArtifactsInput!$M$32,-1,1)*Summary!$B$3*(((1-Summary!$B$11)*IFERROR(B2769/Summary!$B$27,1)+Summary!$B$11*IFERROR(B2770/Summary!$B$28,1))-1)+ArtifactsInput!$L$32))*100,(Summary!$B$3+(IF(ArtifactsInput!$M$32,-1,1)*Summary!$B$3*(((1-Summary!$B$11)*IFERROR(B2769/Summary!$B$27,1)+Summary!$B$11*IFERROR(B2770/Summary!$B$28,1))-1)+ArtifactsInput!$L$32))/Summary!$B$3*100)</f>
        <v/>
      </c>
      <c r="AD59">
        <f>ArtifactsInput!$B$32&lt;&gt;"Not Unlocked"</f>
        <v/>
      </c>
      <c r="AE59">
        <f>IF(AD59,SUMPRODUCT(($AD$34:$AD$69)*($AC$34:$AC$69&gt;AC59))+COUNTIFS($AD$34:AD59,TRUE,$AC$34:AC59,AC59),"")</f>
        <v/>
      </c>
    </row>
    <row r="60">
      <c r="A60">
        <f>IF(27&gt;COUNTIF($AD$34:$AD$69,TRUE),"",INDEX($AA$34:$AA$69,MATCH(27,$AE$34:$AE$69,0)))</f>
        <v/>
      </c>
      <c r="B60">
        <f>IF(27&gt;COUNTIF($AD$34:$AD$69,TRUE),"",INDEX($AB$34:$AB$69,MATCH(27,$AE$34:$AE$69,0)))</f>
        <v/>
      </c>
      <c r="C60">
        <f>IF(27&gt;COUNTIF($AD$34:$AD$69,TRUE),"",INDEX($AC$34:$AC$69,MATCH(27,$AE$34:$AE$69,0)))</f>
        <v/>
      </c>
      <c r="AA60" t="inlineStr">
        <is>
          <t>Sayram's Necklace (Equip)</t>
        </is>
      </c>
      <c r="AB60">
        <f>(IF(ArtifactsInput!$M$33,-1,1)*Summary!$B$3*(((1-Summary!$B$11)*IFERROR(B2820/Summary!$B$27,1)+Summary!$B$11*IFERROR(B2821/Summary!$B$28,1))-1)+ArtifactsInput!$L$33)</f>
        <v/>
      </c>
      <c r="AC60">
        <f>IF(ArtifactsInput!$M$33,Summary!$B$3/(Summary!$B$3-(IF(ArtifactsInput!$M$33,-1,1)*Summary!$B$3*(((1-Summary!$B$11)*IFERROR(B2820/Summary!$B$27,1)+Summary!$B$11*IFERROR(B2821/Summary!$B$28,1))-1)+ArtifactsInput!$L$33))*100,(Summary!$B$3+(IF(ArtifactsInput!$M$33,-1,1)*Summary!$B$3*(((1-Summary!$B$11)*IFERROR(B2820/Summary!$B$27,1)+Summary!$B$11*IFERROR(B2821/Summary!$B$28,1))-1)+ArtifactsInput!$L$33))/Summary!$B$3*100)</f>
        <v/>
      </c>
      <c r="AD60">
        <f>ArtifactsInput!$B$33&lt;&gt;"Not Unlocked"</f>
        <v/>
      </c>
      <c r="AE60">
        <f>IF(AD60,SUMPRODUCT(($AD$34:$AD$69)*($AC$34:$AC$69&gt;AC60))+COUNTIFS($AD$34:AD60,TRUE,$AC$34:AC60,AC60),"")</f>
        <v/>
      </c>
    </row>
    <row r="61">
      <c r="A61">
        <f>IF(28&gt;COUNTIF($AD$34:$AD$69,TRUE),"",INDEX($AA$34:$AA$69,MATCH(28,$AE$34:$AE$69,0)))</f>
        <v/>
      </c>
      <c r="B61">
        <f>IF(28&gt;COUNTIF($AD$34:$AD$69,TRUE),"",INDEX($AB$34:$AB$69,MATCH(28,$AE$34:$AE$69,0)))</f>
        <v/>
      </c>
      <c r="C61">
        <f>IF(28&gt;COUNTIF($AD$34:$AD$69,TRUE),"",INDEX($AC$34:$AC$69,MATCH(28,$AE$34:$AE$69,0)))</f>
        <v/>
      </c>
      <c r="AA61" t="inlineStr">
        <is>
          <t>Bottle of Emotion (Equip)</t>
        </is>
      </c>
      <c r="AB61">
        <f>(IF(ArtifactsInput!$M$34,-1,1)*Summary!$B$3*(((1-Summary!$B$11)*IFERROR(B2871/Summary!$B$27,1)+Summary!$B$11*IFERROR(B2872/Summary!$B$28,1))-1)+ArtifactsInput!$L$34)</f>
        <v/>
      </c>
      <c r="AC61">
        <f>IF(ArtifactsInput!$M$34,Summary!$B$3/(Summary!$B$3-(IF(ArtifactsInput!$M$34,-1,1)*Summary!$B$3*(((1-Summary!$B$11)*IFERROR(B2871/Summary!$B$27,1)+Summary!$B$11*IFERROR(B2872/Summary!$B$28,1))-1)+ArtifactsInput!$L$34))*100,(Summary!$B$3+(IF(ArtifactsInput!$M$34,-1,1)*Summary!$B$3*(((1-Summary!$B$11)*IFERROR(B2871/Summary!$B$27,1)+Summary!$B$11*IFERROR(B2872/Summary!$B$28,1))-1)+ArtifactsInput!$L$34))/Summary!$B$3*100)</f>
        <v/>
      </c>
      <c r="AD61">
        <f>ArtifactsInput!$B$34&lt;&gt;"Not Unlocked"</f>
        <v/>
      </c>
      <c r="AE61">
        <f>IF(AD61,SUMPRODUCT(($AD$34:$AD$69)*($AC$34:$AC$69&gt;AC61))+COUNTIFS($AD$34:AD61,TRUE,$AC$34:AC61,AC61),"")</f>
        <v/>
      </c>
    </row>
    <row r="62">
      <c r="A62">
        <f>IF(29&gt;COUNTIF($AD$34:$AD$69,TRUE),"",INDEX($AA$34:$AA$69,MATCH(29,$AE$34:$AE$69,0)))</f>
        <v/>
      </c>
      <c r="B62">
        <f>IF(29&gt;COUNTIF($AD$34:$AD$69,TRUE),"",INDEX($AB$34:$AB$69,MATCH(29,$AE$34:$AE$69,0)))</f>
        <v/>
      </c>
      <c r="C62">
        <f>IF(29&gt;COUNTIF($AD$34:$AD$69,TRUE),"",INDEX($AC$34:$AC$69,MATCH(29,$AE$34:$AE$69,0)))</f>
        <v/>
      </c>
      <c r="AA62" t="inlineStr">
        <is>
          <t>Peach Tree Herb Pouch (Equip)</t>
        </is>
      </c>
      <c r="AB62">
        <f>(IF(ArtifactsInput!$M$35,-1,1)*Summary!$B$3*(((1-Summary!$B$11)*IFERROR(B2922/Summary!$B$27,1)+Summary!$B$11*IFERROR(B2923/Summary!$B$28,1))-1)+ArtifactsInput!$L$35)</f>
        <v/>
      </c>
      <c r="AC62">
        <f>IF(ArtifactsInput!$M$35,Summary!$B$3/(Summary!$B$3-(IF(ArtifactsInput!$M$35,-1,1)*Summary!$B$3*(((1-Summary!$B$11)*IFERROR(B2922/Summary!$B$27,1)+Summary!$B$11*IFERROR(B2923/Summary!$B$28,1))-1)+ArtifactsInput!$L$35))*100,(Summary!$B$3+(IF(ArtifactsInput!$M$35,-1,1)*Summary!$B$3*(((1-Summary!$B$11)*IFERROR(B2922/Summary!$B$27,1)+Summary!$B$11*IFERROR(B2923/Summary!$B$28,1))-1)+ArtifactsInput!$L$35))/Summary!$B$3*100)</f>
        <v/>
      </c>
      <c r="AD62">
        <f>ArtifactsInput!$B$35&lt;&gt;"Not Unlocked"</f>
        <v/>
      </c>
      <c r="AE62">
        <f>IF(AD62,SUMPRODUCT(($AD$34:$AD$69)*($AC$34:$AC$69&gt;AC62))+COUNTIFS($AD$34:AD62,TRUE,$AC$34:AC62,AC62),"")</f>
        <v/>
      </c>
    </row>
    <row r="63">
      <c r="A63">
        <f>IF(30&gt;COUNTIF($AD$34:$AD$69,TRUE),"",INDEX($AA$34:$AA$69,MATCH(30,$AE$34:$AE$69,0)))</f>
        <v/>
      </c>
      <c r="B63">
        <f>IF(30&gt;COUNTIF($AD$34:$AD$69,TRUE),"",INDEX($AB$34:$AB$69,MATCH(30,$AE$34:$AE$69,0)))</f>
        <v/>
      </c>
      <c r="C63">
        <f>IF(30&gt;COUNTIF($AD$34:$AD$69,TRUE),"",INDEX($AC$34:$AC$69,MATCH(30,$AE$34:$AE$69,0)))</f>
        <v/>
      </c>
      <c r="AA63" t="inlineStr">
        <is>
          <t>Candle (Equip)</t>
        </is>
      </c>
      <c r="AB63">
        <f>(IF(ArtifactsInput!$M$36,-1,1)*Summary!$B$3*(((1-Summary!$B$11)*IFERROR(B2973/Summary!$B$27,1)+Summary!$B$11*IFERROR(B2974/Summary!$B$28,1))-1)+ArtifactsInput!$L$36)</f>
        <v/>
      </c>
      <c r="AC63">
        <f>IF(ArtifactsInput!$M$36,Summary!$B$3/(Summary!$B$3-(IF(ArtifactsInput!$M$36,-1,1)*Summary!$B$3*(((1-Summary!$B$11)*IFERROR(B2973/Summary!$B$27,1)+Summary!$B$11*IFERROR(B2974/Summary!$B$28,1))-1)+ArtifactsInput!$L$36))*100,(Summary!$B$3+(IF(ArtifactsInput!$M$36,-1,1)*Summary!$B$3*(((1-Summary!$B$11)*IFERROR(B2973/Summary!$B$27,1)+Summary!$B$11*IFERROR(B2974/Summary!$B$28,1))-1)+ArtifactsInput!$L$36))/Summary!$B$3*100)</f>
        <v/>
      </c>
      <c r="AD63">
        <f>ArtifactsInput!$B$36&lt;&gt;"Not Unlocked"</f>
        <v/>
      </c>
      <c r="AE63">
        <f>IF(AD63,SUMPRODUCT(($AD$34:$AD$69)*($AC$34:$AC$69&gt;AC63))+COUNTIFS($AD$34:AD63,TRUE,$AC$34:AC63,AC63),"")</f>
        <v/>
      </c>
    </row>
    <row r="64">
      <c r="A64">
        <f>IF(31&gt;COUNTIF($AD$34:$AD$69,TRUE),"",INDEX($AA$34:$AA$69,MATCH(31,$AE$34:$AE$69,0)))</f>
        <v/>
      </c>
      <c r="B64">
        <f>IF(31&gt;COUNTIF($AD$34:$AD$69,TRUE),"",INDEX($AB$34:$AB$69,MATCH(31,$AE$34:$AE$69,0)))</f>
        <v/>
      </c>
      <c r="C64">
        <f>IF(31&gt;COUNTIF($AD$34:$AD$69,TRUE),"",INDEX($AC$34:$AC$69,MATCH(31,$AE$34:$AE$69,0)))</f>
        <v/>
      </c>
      <c r="AA64" t="inlineStr">
        <is>
          <t>Alliance Badge (Equip)</t>
        </is>
      </c>
      <c r="AB64">
        <f>(IF(ArtifactsInput!$M$37,-1,1)*Summary!$B$3*(((1-Summary!$B$11)*IFERROR(B3024/Summary!$B$27,1)+Summary!$B$11*IFERROR(B3025/Summary!$B$28,1))-1)+ArtifactsInput!$L$37)</f>
        <v/>
      </c>
      <c r="AC64">
        <f>IF(ArtifactsInput!$M$37,Summary!$B$3/(Summary!$B$3-(IF(ArtifactsInput!$M$37,-1,1)*Summary!$B$3*(((1-Summary!$B$11)*IFERROR(B3024/Summary!$B$27,1)+Summary!$B$11*IFERROR(B3025/Summary!$B$28,1))-1)+ArtifactsInput!$L$37))*100,(Summary!$B$3+(IF(ArtifactsInput!$M$37,-1,1)*Summary!$B$3*(((1-Summary!$B$11)*IFERROR(B3024/Summary!$B$27,1)+Summary!$B$11*IFERROR(B3025/Summary!$B$28,1))-1)+ArtifactsInput!$L$37))/Summary!$B$3*100)</f>
        <v/>
      </c>
      <c r="AD64">
        <f>ArtifactsInput!$B$37&lt;&gt;"Not Unlocked"</f>
        <v/>
      </c>
      <c r="AE64">
        <f>IF(AD64,SUMPRODUCT(($AD$34:$AD$69)*($AC$34:$AC$69&gt;AC64))+COUNTIFS($AD$34:AD64,TRUE,$AC$34:AC64,AC64),"")</f>
        <v/>
      </c>
    </row>
    <row r="65">
      <c r="A65">
        <f>IF(32&gt;COUNTIF($AD$34:$AD$69,TRUE),"",INDEX($AA$34:$AA$69,MATCH(32,$AE$34:$AE$69,0)))</f>
        <v/>
      </c>
      <c r="B65">
        <f>IF(32&gt;COUNTIF($AD$34:$AD$69,TRUE),"",INDEX($AB$34:$AB$69,MATCH(32,$AE$34:$AE$69,0)))</f>
        <v/>
      </c>
      <c r="C65">
        <f>IF(32&gt;COUNTIF($AD$34:$AD$69,TRUE),"",INDEX($AC$34:$AC$69,MATCH(32,$AE$34:$AE$69,0)))</f>
        <v/>
      </c>
      <c r="AA65" t="inlineStr">
        <is>
          <t>Horn Flute (Equip)</t>
        </is>
      </c>
      <c r="AB65">
        <f>(IF(ArtifactsInput!$M$38,-1,1)*Summary!$B$3*(((1-Summary!$B$11)*IFERROR(B3075/Summary!$B$27,1)+Summary!$B$11*IFERROR(B3076/Summary!$B$28,1))-1)+ArtifactsInput!$L$38)</f>
        <v/>
      </c>
      <c r="AC65">
        <f>IF(ArtifactsInput!$M$38,Summary!$B$3/(Summary!$B$3-(IF(ArtifactsInput!$M$38,-1,1)*Summary!$B$3*(((1-Summary!$B$11)*IFERROR(B3075/Summary!$B$27,1)+Summary!$B$11*IFERROR(B3076/Summary!$B$28,1))-1)+ArtifactsInput!$L$38))*100,(Summary!$B$3+(IF(ArtifactsInput!$M$38,-1,1)*Summary!$B$3*(((1-Summary!$B$11)*IFERROR(B3075/Summary!$B$27,1)+Summary!$B$11*IFERROR(B3076/Summary!$B$28,1))-1)+ArtifactsInput!$L$38))/Summary!$B$3*100)</f>
        <v/>
      </c>
      <c r="AD65">
        <f>ArtifactsInput!$B$38&lt;&gt;"Not Unlocked"</f>
        <v/>
      </c>
      <c r="AE65">
        <f>IF(AD65,SUMPRODUCT(($AD$34:$AD$69)*($AC$34:$AC$69&gt;AC65))+COUNTIFS($AD$34:AD65,TRUE,$AC$34:AC65,AC65),"")</f>
        <v/>
      </c>
    </row>
    <row r="66">
      <c r="A66">
        <f>IF(33&gt;COUNTIF($AD$34:$AD$69,TRUE),"",INDEX($AA$34:$AA$69,MATCH(33,$AE$34:$AE$69,0)))</f>
        <v/>
      </c>
      <c r="B66">
        <f>IF(33&gt;COUNTIF($AD$34:$AD$69,TRUE),"",INDEX($AB$34:$AB$69,MATCH(33,$AE$34:$AE$69,0)))</f>
        <v/>
      </c>
      <c r="C66">
        <f>IF(33&gt;COUNTIF($AD$34:$AD$69,TRUE),"",INDEX($AC$34:$AC$69,MATCH(33,$AE$34:$AE$69,0)))</f>
        <v/>
      </c>
      <c r="AA66" t="inlineStr">
        <is>
          <t>Cursed Doll (Equip)</t>
        </is>
      </c>
      <c r="AB66">
        <f>(IF(ArtifactsInput!$M$39,-1,1)*Summary!$B$3*(((1-Summary!$B$11)*IFERROR(B3126/Summary!$B$27,1)+Summary!$B$11*IFERROR(B3127/Summary!$B$28,1))-1)+ArtifactsInput!$L$39)</f>
        <v/>
      </c>
      <c r="AC66">
        <f>IF(ArtifactsInput!$M$39,Summary!$B$3/(Summary!$B$3-(IF(ArtifactsInput!$M$39,-1,1)*Summary!$B$3*(((1-Summary!$B$11)*IFERROR(B3126/Summary!$B$27,1)+Summary!$B$11*IFERROR(B3127/Summary!$B$28,1))-1)+ArtifactsInput!$L$39))*100,(Summary!$B$3+(IF(ArtifactsInput!$M$39,-1,1)*Summary!$B$3*(((1-Summary!$B$11)*IFERROR(B3126/Summary!$B$27,1)+Summary!$B$11*IFERROR(B3127/Summary!$B$28,1))-1)+ArtifactsInput!$L$39))/Summary!$B$3*100)</f>
        <v/>
      </c>
      <c r="AD66">
        <f>ArtifactsInput!$B$39&lt;&gt;"Not Unlocked"</f>
        <v/>
      </c>
      <c r="AE66">
        <f>IF(AD66,SUMPRODUCT(($AD$34:$AD$69)*($AC$34:$AC$69&gt;AC66))+COUNTIFS($AD$34:AD66,TRUE,$AC$34:AC66,AC66),"")</f>
        <v/>
      </c>
    </row>
    <row r="67">
      <c r="A67">
        <f>IF(34&gt;COUNTIF($AD$34:$AD$69,TRUE),"",INDEX($AA$34:$AA$69,MATCH(34,$AE$34:$AE$69,0)))</f>
        <v/>
      </c>
      <c r="B67">
        <f>IF(34&gt;COUNTIF($AD$34:$AD$69,TRUE),"",INDEX($AB$34:$AB$69,MATCH(34,$AE$34:$AE$69,0)))</f>
        <v/>
      </c>
      <c r="C67">
        <f>IF(34&gt;COUNTIF($AD$34:$AD$69,TRUE),"",INDEX($AC$34:$AC$69,MATCH(34,$AE$34:$AE$69,0)))</f>
        <v/>
      </c>
      <c r="AA67" t="inlineStr">
        <is>
          <t>Reindeer's Spear (Equip)</t>
        </is>
      </c>
      <c r="AB67">
        <f>(IF(ArtifactsInput!$M$40,-1,1)*Summary!$B$3*(((1-Summary!$B$11)*IFERROR(B3177/Summary!$B$27,1)+Summary!$B$11*IFERROR(B3178/Summary!$B$28,1))-1)+ArtifactsInput!$L$40)</f>
        <v/>
      </c>
      <c r="AC67">
        <f>IF(ArtifactsInput!$M$40,Summary!$B$3/(Summary!$B$3-(IF(ArtifactsInput!$M$40,-1,1)*Summary!$B$3*(((1-Summary!$B$11)*IFERROR(B3177/Summary!$B$27,1)+Summary!$B$11*IFERROR(B3178/Summary!$B$28,1))-1)+ArtifactsInput!$L$40))*100,(Summary!$B$3+(IF(ArtifactsInput!$M$40,-1,1)*Summary!$B$3*(((1-Summary!$B$11)*IFERROR(B3177/Summary!$B$27,1)+Summary!$B$11*IFERROR(B3178/Summary!$B$28,1))-1)+ArtifactsInput!$L$40))/Summary!$B$3*100)</f>
        <v/>
      </c>
      <c r="AD67">
        <f>ArtifactsInput!$B$40&lt;&gt;"Not Unlocked"</f>
        <v/>
      </c>
      <c r="AE67">
        <f>IF(AD67,SUMPRODUCT(($AD$34:$AD$69)*($AC$34:$AC$69&gt;AC67))+COUNTIFS($AD$34:AD67,TRUE,$AC$34:AC67,AC67),"")</f>
        <v/>
      </c>
    </row>
    <row r="68">
      <c r="A68">
        <f>IF(35&gt;COUNTIF($AD$34:$AD$69,TRUE),"",INDEX($AA$34:$AA$69,MATCH(35,$AE$34:$AE$69,0)))</f>
        <v/>
      </c>
      <c r="B68">
        <f>IF(35&gt;COUNTIF($AD$34:$AD$69,TRUE),"",INDEX($AB$34:$AB$69,MATCH(35,$AE$34:$AE$69,0)))</f>
        <v/>
      </c>
      <c r="C68">
        <f>IF(35&gt;COUNTIF($AD$34:$AD$69,TRUE),"",INDEX($AC$34:$AC$69,MATCH(35,$AE$34:$AE$69,0)))</f>
        <v/>
      </c>
      <c r="AA68" t="inlineStr">
        <is>
          <t>Secret Map (Equip)</t>
        </is>
      </c>
      <c r="AB68">
        <f>(IF(ArtifactsInput!$M$41,-1,1)*Summary!$B$3*(((1-Summary!$B$11)*IFERROR(B3228/Summary!$B$27,1)+Summary!$B$11*IFERROR(B3229/Summary!$B$28,1))-1)+ArtifactsInput!$L$41)</f>
        <v/>
      </c>
      <c r="AC68">
        <f>IF(ArtifactsInput!$M$41,Summary!$B$3/(Summary!$B$3-(IF(ArtifactsInput!$M$41,-1,1)*Summary!$B$3*(((1-Summary!$B$11)*IFERROR(B3228/Summary!$B$27,1)+Summary!$B$11*IFERROR(B3229/Summary!$B$28,1))-1)+ArtifactsInput!$L$41))*100,(Summary!$B$3+(IF(ArtifactsInput!$M$41,-1,1)*Summary!$B$3*(((1-Summary!$B$11)*IFERROR(B3228/Summary!$B$27,1)+Summary!$B$11*IFERROR(B3229/Summary!$B$28,1))-1)+ArtifactsInput!$L$41))/Summary!$B$3*100)</f>
        <v/>
      </c>
      <c r="AD68">
        <f>ArtifactsInput!$B$41&lt;&gt;"Not Unlocked"</f>
        <v/>
      </c>
      <c r="AE68">
        <f>IF(AD68,SUMPRODUCT(($AD$34:$AD$69)*($AC$34:$AC$69&gt;AC68))+COUNTIFS($AD$34:AD68,TRUE,$AC$34:AC68,AC68),"")</f>
        <v/>
      </c>
    </row>
    <row r="69">
      <c r="A69">
        <f>IF(36&gt;COUNTIF($AD$34:$AD$69,TRUE),"",INDEX($AA$34:$AA$69,MATCH(36,$AE$34:$AE$69,0)))</f>
        <v/>
      </c>
      <c r="B69">
        <f>IF(36&gt;COUNTIF($AD$34:$AD$69,TRUE),"",INDEX($AB$34:$AB$69,MATCH(36,$AE$34:$AE$69,0)))</f>
        <v/>
      </c>
      <c r="C69">
        <f>IF(36&gt;COUNTIF($AD$34:$AD$69,TRUE),"",INDEX($AC$34:$AC$69,MATCH(36,$AE$34:$AE$69,0)))</f>
        <v/>
      </c>
      <c r="AA69" t="inlineStr">
        <is>
          <t>Ring of Cycles (Equip)</t>
        </is>
      </c>
      <c r="AB69">
        <f>(IF(ArtifactsInput!$M$42,-1,1)*Summary!$B$3*(((1-Summary!$B$11)*IFERROR(B3279/Summary!$B$27,1)+Summary!$B$11*IFERROR(B3280/Summary!$B$28,1))-1)+ArtifactsInput!$L$42)</f>
        <v/>
      </c>
      <c r="AC69">
        <f>IF(ArtifactsInput!$M$42,Summary!$B$3/(Summary!$B$3-(IF(ArtifactsInput!$M$42,-1,1)*Summary!$B$3*(((1-Summary!$B$11)*IFERROR(B3279/Summary!$B$27,1)+Summary!$B$11*IFERROR(B3280/Summary!$B$28,1))-1)+ArtifactsInput!$L$42))*100,(Summary!$B$3+(IF(ArtifactsInput!$M$42,-1,1)*Summary!$B$3*(((1-Summary!$B$11)*IFERROR(B3279/Summary!$B$27,1)+Summary!$B$11*IFERROR(B3280/Summary!$B$28,1))-1)+ArtifactsInput!$L$42))/Summary!$B$3*100)</f>
        <v/>
      </c>
      <c r="AD69">
        <f>ArtifactsInput!$B$42&lt;&gt;"Not Unlocked"</f>
        <v/>
      </c>
      <c r="AE69">
        <f>IF(AD69,SUMPRODUCT(($AD$34:$AD$69)*($AC$34:$AC$69&gt;AC69))+COUNTIFS($AD$34:AD69,TRUE,$AC$34:AC69,AC69),"")</f>
        <v/>
      </c>
    </row>
    <row r="70">
      <c r="A70" s="6" t="inlineStr">
        <is>
          <t>Stat: Flat LUK</t>
        </is>
      </c>
    </row>
    <row r="71">
      <c r="A71" s="5" t="inlineStr">
        <is>
          <t>Key</t>
        </is>
      </c>
      <c r="B71" s="5" t="inlineStr">
        <is>
          <t>Name</t>
        </is>
      </c>
      <c r="C71" s="5" t="inlineStr">
        <is>
          <t>Unlocked</t>
        </is>
      </c>
      <c r="D71" s="5" t="inlineStr">
        <is>
          <t>InputLevel</t>
        </is>
      </c>
      <c r="E71" s="5" t="inlineStr">
        <is>
          <t>Factor</t>
        </is>
      </c>
      <c r="F71" s="5" t="inlineStr">
        <is>
          <t>CoefficientPercent</t>
        </is>
      </c>
      <c r="G71" s="5" t="inlineStr">
        <is>
          <t>EffectiveHits</t>
        </is>
      </c>
      <c r="H71" s="5" t="inlineStr">
        <is>
          <t>ProcProbability</t>
        </is>
      </c>
      <c r="I71" s="5" t="inlineStr">
        <is>
          <t>MapleHeroMultiplier</t>
        </is>
      </c>
      <c r="J71" s="5" t="inlineStr">
        <is>
          <t>BaseDamage</t>
        </is>
      </c>
      <c r="K71" s="5" t="inlineStr">
        <is>
          <t>BaseHitDamage</t>
        </is>
      </c>
      <c r="L71" s="5" t="inlineStr">
        <is>
          <t>NonCritAvg</t>
        </is>
      </c>
      <c r="M71" s="5" t="inlineStr">
        <is>
          <t>CritAvg</t>
        </is>
      </c>
      <c r="N71" s="5" t="inlineStr">
        <is>
          <t>ExpectedDamage(perHit)</t>
        </is>
      </c>
      <c r="O71" s="5" t="inlineStr">
        <is>
          <t>DPS</t>
        </is>
      </c>
      <c r="P71" s="5" t="inlineStr">
        <is>
          <t>% of Total</t>
        </is>
      </c>
      <c r="Q71" s="5" t="inlineStr">
        <is>
          <t>InvCooldown</t>
        </is>
      </c>
      <c r="R71" s="5" t="inlineStr">
        <is>
          <t>CastsInFight</t>
        </is>
      </c>
      <c r="S71" s="5" t="inlineStr">
        <is>
          <t>HitRate(perSec)</t>
        </is>
      </c>
      <c r="U71" t="inlineStr">
        <is>
          <t>helpers</t>
        </is>
      </c>
    </row>
    <row r="72">
      <c r="A72">
        <f>Skills!A2</f>
        <v/>
      </c>
      <c r="B72">
        <f>Skills!B2</f>
        <v/>
      </c>
      <c r="C72">
        <f>Inputs!$B$3&gt;=100</f>
        <v/>
      </c>
      <c r="D72" t="inlineStr"/>
      <c r="E72" t="inlineStr"/>
      <c r="F72">
        <f>U74+Skills!O2</f>
        <v/>
      </c>
      <c r="G72">
        <f>Skills!G2*IF(Skills!H2&gt;0,IF(Inputs!$B$39="pvp",MIN(Skills!I2,15),Skills!I2)/Skills!H2,1)</f>
        <v/>
      </c>
      <c r="H72">
        <f>1-(1-Skills!J2/100)^Skills!K2</f>
        <v/>
      </c>
      <c r="I72" t="inlineStr">
        <is>
          <t>1</t>
        </is>
      </c>
      <c r="J72">
        <f>((Inputs!$B$6*(1+Inputs!$B$7/100))+((((Inputs!$B$12+1)*(1+Inputs!$B$13/100))-(Inputs!$B$12*(1+Inputs!$B$13/100)))+0.25*(Inputs!$B$14-Inputs!$B$14))*(1+Inputs!$B$7/100))*(F72/100)</f>
        <v/>
      </c>
      <c r="K72">
        <f>J72*(1+(((Inputs!$B$12+1)*(1+Inputs!$B$13/100))*0.01+Inputs!$B$14*0.0025)/100)*(1+Inputs!$B$15/100)*(1+Inputs!$B$16/100)*(5000/(6000+Inputs!$B$43*(1-(100*(1-(1-Inputs!$B$19/100)*(1-CHOOSE(ArtifactsInput!$N$40+1,5,6,7,8,9,10)/100)^(ArtifactsInput!$M$40-ArtifactsInput!$M$40)))/100)))*(1+(Inputs!$B$24+((C101=TRUE)*(F101-Calc!F31))+((C88=TRUE)*(F88-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CRUEL_STAB",Inputs!$B$17+((C98=TRUE)*(F98-Calc!F28))+((IF(AND(Inputs!$B$39&lt;&gt;"pvp",Inputs!$B$44=0),1,IF(IF(Inputs!$B$39="pvp",15,Inputs!$B$44)-(B115)&lt;=0,1,MAX(0,IF(Inputs!$B$39="pvp",15,Inputs!$B$44)-MAX(5,B115))/(IF(Inputs!$B$39="pvp",15,Inputs!$B$44)-(B115))))*(IF(AND(ArtifactsInput!$M$42,((Inputs!$B$9+((C96=TRUE)*(F96-Calc!F26))+B104+(ArtifactsInput!$M$24-ArtifactsInput!$M$24)*CHOOSE(ArtifactsInput!$N$24+1,10,12,14,16,18,20)+IF(ArtifactsInput!$M$10,CHOOSE(ArtifactsInput!$N$10+1,15,18,21,24,27,30)*(IF(Inputs!$B$39="pvp",MIN(15,15)/15,IF(AND(Inputs!$B$39&lt;&gt;"pvp",Inputs!$B$44&gt;0),MIN(15,Inputs!$B$44)/(Inputs!$B$44),0))),0)))&gt;=100),MIN(100,((Inputs!$B$9+((C96=TRUE)*(F96-Calc!F26))+B104+(ArtifactsInput!$M$24-ArtifactsInput!$M$24)*CHOOSE(ArtifactsInput!$N$24+1,10,12,14,16,18,20)+IF(ArtifactsInput!$M$10,CHOOSE(ArtifactsInput!$N$10+1,15,18,21,24,27,30)*(IF(Inputs!$B$39="pvp",MIN(15,15)/15,IF(AND(Inputs!$B$39&lt;&gt;"pvp",Inputs!$B$44&gt;0),MIN(15,Inputs!$B$44)/(Inputs!$B$44),0))),0)))-100),0))*CHOOSE(ArtifactsInput!$N$42+1,0.6,0.72,0.84,0.96,1.08,1.2))),Inputs!$B$18+((C99=TRUE)*(F99-Calc!F29))+(IF(AND(Inputs!$B$39&lt;&gt;"pvp",Inputs!$B$44=0),1,IF(IF(Inputs!$B$39="pvp",15,Inputs!$B$44)-(B115)&lt;=0,1,MAX(0,IF(Inputs!$B$39="pvp",15,Inputs!$B$44)-MAX(5,B115))/(IF(Inputs!$B$39="pvp",15,Inputs!$B$44)-(B115))))*IF(AND(ArtifactsInput!$M$42,((Inputs!$B$9+((C96=TRUE)*(F96-Calc!F26))+B104+(ArtifactsInput!$M$24-ArtifactsInput!$M$24)*CHOOSE(ArtifactsInput!$N$24+1,10,12,14,16,18,20)+IF(ArtifactsInput!$M$10,CHOOSE(ArtifactsInput!$N$10+1,15,18,21,24,27,30)*(IF(Inputs!$B$39="pvp",MIN(15,15)/15,IF(AND(Inputs!$B$39&lt;&gt;"pvp",Inputs!$B$44&gt;0),MIN(15,Inputs!$B$44)/(Inputs!$B$44),0))),0)))&gt;=100),CHOOSE(ArtifactsInput!$N$42+1,40,48,56,64,72,80),0))))/100)*(((1+(((C92=TRUE)*F92*IF(AND(Inputs!$B$39&lt;&gt;"pvp",Inputs!$B$44&gt;0),(((R92-1)*MIN((Skills!Y22*(1+Inputs!$B$34/100)),(1/Q92))+MIN((Skills!Y22*(1+Inputs!$B$34/100)),MAX(0,Inputs!$B$44-((R92-1)*(1/Q92)))))/Inputs!$B$44),IF(Inputs!$B$39="pvp",MIN((Skills!Y22*(1+Inputs!$B$34/100)),15)/15,MIN(1,(Skills!Y22*(1+Inputs!$B$34/100))/(1/Q92)))))+((C73=TRUE)*F73*3)+((C75=TRUE)*F75*(1-EXP(-0.75*B108*5)))+((C94=TRUE)*(F94-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81=TRUE)*F81*IF(AND(Inputs!$B$39&lt;&gt;"pvp",Inputs!$B$44&gt;0),(((R81-1)*MIN((Skills!Y11*(1+Inputs!$B$34/100)),(1/Q81))+MIN((Skills!Y11*(1+Inputs!$B$34/100)),MAX(0,Inputs!$B$44-((R81-1)*(1/Q81)))))/Inputs!$B$44),IF(Inputs!$B$39="pvp",MIN((Skills!Y11*(1+Inputs!$B$34/100)),15)/15,MIN(1,(Skills!Y11*(1+Inputs!$B$34/100))/(1/Q81)))))/100)*(1+((C86=TRUE)*F86*IF(AND(Inputs!$B$39&lt;&gt;"pvp",Inputs!$B$44&gt;0),(((R86-1)*MIN((Skills!Y16*(1+Inputs!$B$34/100)),(1/Q86))+MIN((Skills!Y16*(1+Inputs!$B$34/100)),MAX(0,Inputs!$B$44-((R86-1)*(1/Q86)))))/Inputs!$B$44),IF(Inputs!$B$39="pvp",MIN((Skills!Y16*(1+Inputs!$B$34/100)),15)/15,MIN(1,(Skills!Y16*(1+Inputs!$B$34/100))/(1/Q86)))))/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106*I72)</f>
        <v/>
      </c>
      <c r="L72">
        <f>K72*(MIN(Inputs!$B$22+((C95=TRUE)*(F95-Calc!F25)),(Inputs!$B$23+((C100=TRUE)*(F100-Calc!F30))+IF(ArtifactsInput!$M$15,CHOOSE(ArtifactsInput!$N$15+1,25,30,35,40,45,50)/100*(Inputs!$B$11-Inputs!$B$11),0)))/100+(Inputs!$B$23+((C100=TRUE)*(F100-Calc!F30))+IF(ArtifactsInput!$M$15,CHOOSE(ArtifactsInput!$N$15+1,25,30,35,40,45,50)/100*(Inputs!$B$11-Inputs!$B$11),0))/100)/2</f>
        <v/>
      </c>
      <c r="M72">
        <f>L72*(1+(Inputs!$B$10+((C97=TRUE)*(F97-Calc!F27))+B111+(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72">
        <f>L72*(1-MIN((Inputs!$B$9+((C96=TRUE)*(F96-Calc!F26))+B104+(ArtifactsInput!$M$24-ArtifactsInput!$M$24)*CHOOSE(ArtifactsInput!$N$24+1,10,12,14,16,18,20)+(IF(AND(Inputs!$B$39&lt;&gt;"pvp",Inputs!$B$44=0),1,IF(IF(Inputs!$B$39="pvp",15,Inputs!$B$44)-(B115)&lt;=0,1,MAX(0,IF(Inputs!$B$39="pvp",15,Inputs!$B$44)-MAX(5,B115))/(IF(Inputs!$B$39="pvp",15,Inputs!$B$44)-(B115))))*IF(AND(ArtifactsInput!$M$42,((Inputs!$B$9+((C96=TRUE)*(F96-Calc!F26))+B104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72*(MIN((Inputs!$B$9+((C96=TRUE)*(F96-Calc!F26))+B104+(ArtifactsInput!$M$24-ArtifactsInput!$M$24)*CHOOSE(ArtifactsInput!$N$24+1,10,12,14,16,18,20)+(IF(AND(Inputs!$B$39&lt;&gt;"pvp",Inputs!$B$44=0),1,IF(IF(Inputs!$B$39="pvp",15,Inputs!$B$44)-(B115)&lt;=0,1,MAX(0,IF(Inputs!$B$39="pvp",15,Inputs!$B$44)-MAX(5,B115))/(IF(Inputs!$B$39="pvp",15,Inputs!$B$44)-(B115))))*IF(AND(ArtifactsInput!$M$42,((Inputs!$B$9+((C96=TRUE)*(F96-Calc!F26))+B104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72">
        <f>(1-Summary!$B$11)*T72+Summary!$B$11*V72</f>
        <v/>
      </c>
      <c r="P72">
        <f>IF(B116=0,0,O72/B116)</f>
        <v/>
      </c>
      <c r="Q72" t="n">
        <v>0</v>
      </c>
      <c r="R72" t="n">
        <v>0</v>
      </c>
      <c r="S72">
        <f>IFERROR(O72/N72,0)</f>
        <v/>
      </c>
      <c r="T72">
        <f>IF(C72,(Skills!G2*N72*B110)*IF(Inputs!$B$39="pvp",1,1+(Inputs!$B$20+0+Skills!P2+B105+(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Hunt"),CHOOSE(ArtifactsInput!$N$35+1,15,18,21,24,27,30)*(1-EXP(-(0.2*B108)*5)),0)+IF(AND(ArtifactsInput!$M$22,Inputs!$B$4&lt;&gt;"Chapter Hunt"),CHOOSE(ArtifactsInput!$N$22+1,10,12,14,16,18,20)*((0*(((0.15*B108*5))^0/1)+1*(((0.15*B108*5))^1/1)+2*(((0.15*B108*5))^2/2)+3*(((0.15*B108*5))^3/6)+4*(((0.15*B108*5))^4/24)+5*(((0.15*B108*5))^5/120))/((((0.15*B108*5))^0/1)+(((0.15*B108*5))^1/1)+(((0.15*B108*5))^2/2)+(((0.15*B108*5))^3/6)+(((0.15*B108*5))^4/24)+(((0.15*B108*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72*(1-MIN(100,(Inputs!$B$9+((C96=TRUE)*(F96-Calc!F26))+B104+(ArtifactsInput!$M$24-ArtifactsInput!$M$24)*CHOOSE(ArtifactsInput!$N$24+1,10,12,14,16,18,20)+(IF(AND(Inputs!$B$39&lt;&gt;"pvp",Inputs!$B$44=0),1,IF(IF(Inputs!$B$39="pvp",15,Inputs!$B$44)-(B115)&lt;=0,1,MAX(0,IF(Inputs!$B$39="pvp",15,Inputs!$B$44)-MAX(5,B115))/(IF(Inputs!$B$39="pvp",15,Inputs!$B$44)-(B115))))*IF(AND(ArtifactsInput!$M$42,((Inputs!$B$9+((C96=TRUE)*(F96-Calc!F26))+B104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72*(MIN(100,(Inputs!$B$9+((C96=TRUE)*(F96-Calc!F26))+B104+(ArtifactsInput!$M$24-ArtifactsInput!$M$24)*CHOOSE(ArtifactsInput!$N$24+1,10,12,14,16,18,20)+(IF(AND(Inputs!$B$39&lt;&gt;"pvp",Inputs!$B$44=0),1,IF(IF(Inputs!$B$39="pvp",15,Inputs!$B$44)-(B115)&lt;=0,1,MAX(0,IF(Inputs!$B$39="pvp",15,Inputs!$B$44)-MAX(5,B115))/(IF(Inputs!$B$39="pvp",15,Inputs!$B$44)-(B115))))*IF(AND(ArtifactsInput!$M$42,((Inputs!$B$9+((C96=TRUE)*(F96-Calc!F26))+B104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72*(1-MIN(100,(Inputs!$B$9+((C96=TRUE)*(F96-Calc!F26))+B104+(ArtifactsInput!$M$24-ArtifactsInput!$M$24)*CHOOSE(ArtifactsInput!$N$24+1,10,12,14,16,18,20)+(IF(AND(Inputs!$B$39&lt;&gt;"pvp",Inputs!$B$44=0),1,IF(IF(Inputs!$B$39="pvp",15,Inputs!$B$44)-(B115)&lt;=0,1,MAX(0,IF(Inputs!$B$39="pvp",15,Inputs!$B$44)-MAX(5,B115))/(IF(Inputs!$B$39="pvp",15,Inputs!$B$44)-(B115))))*IF(AND(ArtifactsInput!$M$42,((Inputs!$B$9+((C96=TRUE)*(F96-Calc!F26))+B104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72*(MIN(100,(Inputs!$B$9+((C96=TRUE)*(F96-Calc!F26))+B104+(ArtifactsInput!$M$24-ArtifactsInput!$M$24)*CHOOSE(ArtifactsInput!$N$24+1,10,12,14,16,18,20)+(IF(AND(Inputs!$B$39&lt;&gt;"pvp",Inputs!$B$44=0),1,IF(IF(Inputs!$B$39="pvp",15,Inputs!$B$44)-(B115)&lt;=0,1,MAX(0,IF(Inputs!$B$39="pvp",15,Inputs!$B$44)-MAX(5,B115))/(IF(Inputs!$B$39="pvp",15,Inputs!$B$44)-(B115))))*IF(AND(ArtifactsInput!$M$42,((Inputs!$B$9+((C96=TRUE)*(F96-Calc!F26))+B104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72">
        <f>MAX(0,(Inputs!$B$3-100)*3)+Inputs!$B$28+Inputs!$B$29</f>
        <v/>
      </c>
      <c r="V72">
        <f>IF(C72,(Skills!G2*N72*B110)*IF(Inputs!$B$39="pvp",1,(1+(Inputs!$B$21+Skills!Q2+B105+(IF(ArtifactsInput!$M$33,CHOOSE(ArtifactsInput!$N$33+1,30,36,42,48,54,60),0))+(IF(AND(ArtifactsInput!$M$35,Inputs!$B$4&lt;&gt;"Chapter Hunt"),CHOOSE(ArtifactsInput!$N$35+1,15,18,21,24,27,30)*(1-EXP(-(0.2*B108)*5)),0)+IF(AND(ArtifactsInput!$M$22,Inputs!$B$4&lt;&gt;"Chapter Hunt"),CHOOSE(ArtifactsInput!$N$22+1,10,12,14,16,18,20)*((0*(((0.15*B108*5))^0/1)+1*(((0.15*B108*5))^1/1)+2*(((0.15*B108*5))^2/2)+3*(((0.15*B108*5))^3/6)+4*(((0.15*B108*5))^4/24)+5*(((0.15*B108*5))^5/120))/((((0.15*B108*5))^0/1)+(((0.15*B108*5))^1/1)+(((0.15*B108*5))^2/2)+(((0.15*B108*5))^3/6)+(((0.15*B108*5))^4/24)+(((0.15*B108*5))^5/120))),0)))/100)*(MIN((6+Inputs!$B$33),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73">
      <c r="A73">
        <f>Skills!A3</f>
        <v/>
      </c>
      <c r="B73">
        <f>Skills!B3</f>
        <v/>
      </c>
      <c r="C73">
        <f>Inputs!$B$3&gt;=35</f>
        <v/>
      </c>
      <c r="D73">
        <f>IF(Skills!C3=1,60+Inputs!$B$25+Inputs!$B$29,IF(Skills!C3=2,90+Inputs!$B$26+Inputs!$B$29,IF(Skills!C3=3,120+Inputs!$B$27+Inputs!$B$29,MAX(0,(Inputs!$B$3-100)*3)+Inputs!$B$28+Inputs!$B$29)))</f>
        <v/>
      </c>
      <c r="E73">
        <f>INDEX(FactorTable!$B$2:$Y$301, MATCH(ROUND(MIN(300,MAX(1,D73)),0), FactorTable!$A$2:$A$301,0), Skills!M3+1)</f>
        <v/>
      </c>
      <c r="F73">
        <f>IF(Skills!N3=TRUE,(Skills!L3/10)*(E73/1000),Skills!L3/10)+Skills!O3</f>
        <v/>
      </c>
      <c r="G73">
        <f>Skills!G3*IF(Skills!H3&gt;0,IF(Inputs!$B$39="pvp",MIN(Skills!I3,15),Skills!I3)/Skills!H3,1)</f>
        <v/>
      </c>
      <c r="H73">
        <f>1-(1-Skills!J3/100)^Skills!K3</f>
        <v/>
      </c>
      <c r="I73" t="inlineStr">
        <is>
          <t>1</t>
        </is>
      </c>
      <c r="J73" t="inlineStr"/>
      <c r="K73" t="inlineStr"/>
      <c r="L73" t="inlineStr"/>
      <c r="M73" t="inlineStr"/>
      <c r="N73" t="inlineStr"/>
      <c r="O73">
        <f>(1-Summary!$B$11)*T73+Summary!$B$11*V73</f>
        <v/>
      </c>
      <c r="P73">
        <f>IF(B116=0,0,O73/B116)</f>
        <v/>
      </c>
      <c r="Q73" t="n">
        <v>0</v>
      </c>
      <c r="R73" t="n">
        <v>0</v>
      </c>
      <c r="S73">
        <f>IFERROR(O73/N73,0)</f>
        <v/>
      </c>
      <c r="T73" t="n">
        <v>0</v>
      </c>
      <c r="U73">
        <f>INDEX(FactorTable!$B$2:$Y$301, MATCH(ROUND(MIN(300,MAX(1,U72)),0), FactorTable!$A$2:$A$301,0), 22)</f>
        <v/>
      </c>
      <c r="V73" t="n">
        <v>0</v>
      </c>
    </row>
    <row r="74">
      <c r="A74">
        <f>Skills!A4</f>
        <v/>
      </c>
      <c r="B74">
        <f>Skills!B4</f>
        <v/>
      </c>
      <c r="C74">
        <f>Inputs!$B$3&gt;=66</f>
        <v/>
      </c>
      <c r="D74">
        <f>IF(Skills!C4=1,60+Inputs!$B$25+Inputs!$B$29,IF(Skills!C4=2,90+Inputs!$B$26+Inputs!$B$29,IF(Skills!C4=3,120+Inputs!$B$27+Inputs!$B$29,MAX(0,(Inputs!$B$3-100)*3)+Inputs!$B$28+Inputs!$B$29)))</f>
        <v/>
      </c>
      <c r="E74">
        <f>INDEX(FactorTable!$B$2:$Y$301, MATCH(ROUND(MIN(300,MAX(1,D74)),0), FactorTable!$A$2:$A$301,0), Skills!M4+1)</f>
        <v/>
      </c>
      <c r="F74">
        <f>IF(Skills!N4=TRUE,(Skills!L4/10)*(E74/1000),Skills!L4/10)+Skills!O4</f>
        <v/>
      </c>
      <c r="G74">
        <f>Skills!G4*IF(Skills!H4&gt;0,IF(Inputs!$B$39="pvp",MIN(Skills!I4,15),Skills!I4)/Skills!H4,1)</f>
        <v/>
      </c>
      <c r="H74">
        <f>1-(1-Skills!J4/100)^Skills!K4</f>
        <v/>
      </c>
      <c r="I74" t="inlineStr">
        <is>
          <t>1</t>
        </is>
      </c>
      <c r="J74">
        <f>((Inputs!$B$6*(1+Inputs!$B$7/100))+((((Inputs!$B$12+1)*(1+Inputs!$B$13/100))-(Inputs!$B$12*(1+Inputs!$B$13/100)))+0.25*(Inputs!$B$14-Inputs!$B$14))*(1+Inputs!$B$7/100))*(F74/100)</f>
        <v/>
      </c>
      <c r="K74">
        <f>J74*(1+(((Inputs!$B$12+1)*(1+Inputs!$B$13/100))*0.01+Inputs!$B$14*0.0025)/100)*(1+Inputs!$B$15/100)*(1+Inputs!$B$16/100)*(5000/(6000+Inputs!$B$43*(1-(100*(1-(1-Inputs!$B$19/100)*(1-CHOOSE(ArtifactsInput!$N$40+1,5,6,7,8,9,10)/100)^(ArtifactsInput!$M$40-ArtifactsInput!$M$40)))/100)))*(1+(Inputs!$B$24+((C101=TRUE)*(F101-Calc!F31))+((C88=TRUE)*(F88-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4="CRUEL_STAB",Inputs!$B$17+((C98=TRUE)*(F98-Calc!F28))+((IF(AND(Inputs!$B$39&lt;&gt;"pvp",Inputs!$B$44=0),1,IF(IF(Inputs!$B$39="pvp",15,Inputs!$B$44)-(B115)&lt;=0,1,MAX(0,IF(Inputs!$B$39="pvp",15,Inputs!$B$44)-MAX(5,B115))/(IF(Inputs!$B$39="pvp",15,Inputs!$B$44)-(B115))))*(IF(AND(ArtifactsInput!$M$42,((Inputs!$B$9+((C96=TRUE)*(F96-Calc!F26))+B104+(ArtifactsInput!$M$24-ArtifactsInput!$M$24)*CHOOSE(ArtifactsInput!$N$24+1,10,12,14,16,18,20)+IF(ArtifactsInput!$M$10,CHOOSE(ArtifactsInput!$N$10+1,15,18,21,24,27,30)*(IF(Inputs!$B$39="pvp",MIN(15,15)/15,IF(AND(Inputs!$B$39&lt;&gt;"pvp",Inputs!$B$44&gt;0),MIN(15,Inputs!$B$44)/(Inputs!$B$44),0))),0)))&gt;=100),MIN(100,((Inputs!$B$9+((C96=TRUE)*(F96-Calc!F26))+B104+(ArtifactsInput!$M$24-ArtifactsInput!$M$24)*CHOOSE(ArtifactsInput!$N$24+1,10,12,14,16,18,20)+IF(ArtifactsInput!$M$10,CHOOSE(ArtifactsInput!$N$10+1,15,18,21,24,27,30)*(IF(Inputs!$B$39="pvp",MIN(15,15)/15,IF(AND(Inputs!$B$39&lt;&gt;"pvp",Inputs!$B$44&gt;0),MIN(15,Inputs!$B$44)/(Inputs!$B$44),0))),0)))-100),0))*CHOOSE(ArtifactsInput!$N$42+1,0.6,0.72,0.84,0.96,1.08,1.2))),Inputs!$B$18+((C99=TRUE)*(F99-Calc!F29))+(IF(AND(Inputs!$B$39&lt;&gt;"pvp",Inputs!$B$44=0),1,IF(IF(Inputs!$B$39="pvp",15,Inputs!$B$44)-(B115)&lt;=0,1,MAX(0,IF(Inputs!$B$39="pvp",15,Inputs!$B$44)-MAX(5,B115))/(IF(Inputs!$B$39="pvp",15,Inputs!$B$44)-(B115))))*IF(AND(ArtifactsInput!$M$42,((Inputs!$B$9+((C96=TRUE)*(F96-Calc!F26))+B104+(ArtifactsInput!$M$24-ArtifactsInput!$M$24)*CHOOSE(ArtifactsInput!$N$24+1,10,12,14,16,18,20)+IF(ArtifactsInput!$M$10,CHOOSE(ArtifactsInput!$N$10+1,15,18,21,24,27,30)*(IF(Inputs!$B$39="pvp",MIN(15,15)/15,IF(AND(Inputs!$B$39&lt;&gt;"pvp",Inputs!$B$44&gt;0),MIN(15,Inputs!$B$44)/(Inputs!$B$44),0))),0)))&gt;=100),CHOOSE(ArtifactsInput!$N$42+1,40,48,56,64,72,80),0))))/100)*(((1+(((C92=TRUE)*F92*IF(AND(Inputs!$B$39&lt;&gt;"pvp",Inputs!$B$44&gt;0),(((R92-1)*MIN((Skills!Y22*(1+Inputs!$B$34/100)),(1/Q92))+MIN((Skills!Y22*(1+Inputs!$B$34/100)),MAX(0,Inputs!$B$44-((R92-1)*(1/Q92)))))/Inputs!$B$44),IF(Inputs!$B$39="pvp",MIN((Skills!Y22*(1+Inputs!$B$34/100)),15)/15,MIN(1,(Skills!Y22*(1+Inputs!$B$34/100))/(1/Q92)))))+((C73=TRUE)*F73*3)+((C75=TRUE)*F75*(1-EXP(-0.75*B108*5)))+((C94=TRUE)*(F94-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81=TRUE)*F81*IF(AND(Inputs!$B$39&lt;&gt;"pvp",Inputs!$B$44&gt;0),(((R81-1)*MIN((Skills!Y11*(1+Inputs!$B$34/100)),(1/Q81))+MIN((Skills!Y11*(1+Inputs!$B$34/100)),MAX(0,Inputs!$B$44-((R81-1)*(1/Q81)))))/Inputs!$B$44),IF(Inputs!$B$39="pvp",MIN((Skills!Y11*(1+Inputs!$B$34/100)),15)/15,MIN(1,(Skills!Y11*(1+Inputs!$B$34/100))/(1/Q81)))))/100)*(1+((C86=TRUE)*F86*IF(AND(Inputs!$B$39&lt;&gt;"pvp",Inputs!$B$44&gt;0),(((R86-1)*MIN((Skills!Y16*(1+Inputs!$B$34/100)),(1/Q86))+MIN((Skills!Y16*(1+Inputs!$B$34/100)),MAX(0,Inputs!$B$44-((R86-1)*(1/Q86)))))/Inputs!$B$44),IF(Inputs!$B$39="pvp",MIN((Skills!Y16*(1+Inputs!$B$34/100)),15)/15,MIN(1,(Skills!Y16*(1+Inputs!$B$34/100))/(1/Q86)))))/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106*I74)</f>
        <v/>
      </c>
      <c r="L74">
        <f>K74*(MIN(Inputs!$B$22+((C95=TRUE)*(F95-Calc!F25)),(Inputs!$B$23+((C100=TRUE)*(F100-Calc!F30))+IF(ArtifactsInput!$M$15,CHOOSE(ArtifactsInput!$N$15+1,25,30,35,40,45,50)/100*(Inputs!$B$11-Inputs!$B$11),0)))/100+(Inputs!$B$23+((C100=TRUE)*(F100-Calc!F30))+IF(ArtifactsInput!$M$15,CHOOSE(ArtifactsInput!$N$15+1,25,30,35,40,45,50)/100*(Inputs!$B$11-Inputs!$B$11),0))/100)/2</f>
        <v/>
      </c>
      <c r="M74">
        <f>L74*(1+(Inputs!$B$10+((C97=TRUE)*(F97-Calc!F27))+B111+(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74">
        <f>L74*(1-MIN((Inputs!$B$9+((C96=TRUE)*(F96-Calc!F26))+B104+(ArtifactsInput!$M$24-ArtifactsInput!$M$24)*CHOOSE(ArtifactsInput!$N$24+1,10,12,14,16,18,20)+(IF(AND(Inputs!$B$39&lt;&gt;"pvp",Inputs!$B$44=0),1,IF(IF(Inputs!$B$39="pvp",15,Inputs!$B$44)-(B115)&lt;=0,1,MAX(0,IF(Inputs!$B$39="pvp",15,Inputs!$B$44)-MAX(5,B115))/(IF(Inputs!$B$39="pvp",15,Inputs!$B$44)-(B115))))*IF(AND(ArtifactsInput!$M$42,((Inputs!$B$9+((C96=TRUE)*(F96-Calc!F26))+B104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74*(MIN((Inputs!$B$9+((C96=TRUE)*(F96-Calc!F26))+B104+(ArtifactsInput!$M$24-ArtifactsInput!$M$24)*CHOOSE(ArtifactsInput!$N$24+1,10,12,14,16,18,20)+(IF(AND(Inputs!$B$39&lt;&gt;"pvp",Inputs!$B$44=0),1,IF(IF(Inputs!$B$39="pvp",15,Inputs!$B$44)-(B115)&lt;=0,1,MAX(0,IF(Inputs!$B$39="pvp",15,Inputs!$B$44)-MAX(5,B115))/(IF(Inputs!$B$39="pvp",15,Inputs!$B$44)-(B115))))*IF(AND(ArtifactsInput!$M$42,((Inputs!$B$9+((C96=TRUE)*(F96-Calc!F26))+B104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74">
        <f>(1-Summary!$B$11)*T74+Summary!$B$11*V74</f>
        <v/>
      </c>
      <c r="P74">
        <f>IF(B116=0,0,O74/B116)</f>
        <v/>
      </c>
      <c r="Q74">
        <f>IFERROR(1/IF(Inputs!$B$39="pvp",15,MAX(0.1,Skills!D4-IF(TRUE=TRUE,Inputs!$B$32,0))),0)</f>
        <v/>
      </c>
      <c r="R74">
        <f>IF(AND(Inputs!$B$39&lt;&gt;"pvp",Inputs!$B$44&gt;0),IF(MAX(0,Inputs!$B$44-B115)&lt;=0,0,(INT(MAX(0,Inputs!$B$44-B115)/IF(Inputs!$B$39="pvp",15,MAX(0.1,Skills!D4-IF(TRUE=TRUE,Inputs!$B$32,0))))+1)),0)</f>
        <v/>
      </c>
      <c r="S74">
        <f>IFERROR(O74/N74,0)</f>
        <v/>
      </c>
      <c r="T74">
        <f>IF(C74,(H74*N74*IF(AND(Inputs!$B$39&lt;&gt;"pvp",Inputs!$B$44&gt;0),((Skills!G4*((R74-1)*IF(Skills!H4&gt;0,Skills!I4/Skills!H4,1)+IF(Skills!H4&gt;0,MIN(Skills!I4,MAX(0,MAX(0,Inputs!$B$44-B115)-((R74-1)*IF(Inputs!$B$39="pvp",15,MAX(0.1,Skills!D4-IF(TRUE=TRUE,Inputs!$B$32,0))))))/Skills!H4,1)))/Inputs!$B$44),G74*Q74))*IF(Inputs!$B$39="pvp",1,1+(Inputs!$B$20+0+Skills!P4+B105+(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Hunt"),CHOOSE(ArtifactsInput!$N$35+1,15,18,21,24,27,30)*(1-EXP(-(0.2*B108)*5)),0)+IF(AND(ArtifactsInput!$M$22,Inputs!$B$4&lt;&gt;"Chapter Hunt"),CHOOSE(ArtifactsInput!$N$22+1,10,12,14,16,18,20)*((0*(((0.15*B108*5))^0/1)+1*(((0.15*B108*5))^1/1)+2*(((0.15*B108*5))^2/2)+3*(((0.15*B108*5))^3/6)+4*(((0.15*B108*5))^4/24)+5*(((0.15*B108*5))^5/120))/((((0.15*B108*5))^0/1)+(((0.15*B108*5))^1/1)+(((0.15*B108*5))^2/2)+(((0.15*B108*5))^3/6)+(((0.15*B108*5))^4/24)+(((0.15*B108*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74*(1-MIN(100,(Inputs!$B$9+((C96=TRUE)*(F96-Calc!F26))+B104+(ArtifactsInput!$M$24-ArtifactsInput!$M$24)*CHOOSE(ArtifactsInput!$N$24+1,10,12,14,16,18,20)+(IF(AND(Inputs!$B$39&lt;&gt;"pvp",Inputs!$B$44=0),1,IF(IF(Inputs!$B$39="pvp",15,Inputs!$B$44)-(B115)&lt;=0,1,MAX(0,IF(Inputs!$B$39="pvp",15,Inputs!$B$44)-MAX(5,B115))/(IF(Inputs!$B$39="pvp",15,Inputs!$B$44)-(B115))))*IF(AND(ArtifactsInput!$M$42,((Inputs!$B$9+((C96=TRUE)*(F96-Calc!F26))+B104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74*(MIN(100,(Inputs!$B$9+((C96=TRUE)*(F96-Calc!F26))+B104+(ArtifactsInput!$M$24-ArtifactsInput!$M$24)*CHOOSE(ArtifactsInput!$N$24+1,10,12,14,16,18,20)+(IF(AND(Inputs!$B$39&lt;&gt;"pvp",Inputs!$B$44=0),1,IF(IF(Inputs!$B$39="pvp",15,Inputs!$B$44)-(B115)&lt;=0,1,MAX(0,IF(Inputs!$B$39="pvp",15,Inputs!$B$44)-MAX(5,B115))/(IF(Inputs!$B$39="pvp",15,Inputs!$B$44)-(B115))))*IF(AND(ArtifactsInput!$M$42,((Inputs!$B$9+((C96=TRUE)*(F96-Calc!F26))+B104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74*(1-MIN(100,(Inputs!$B$9+((C96=TRUE)*(F96-Calc!F26))+B104+(ArtifactsInput!$M$24-ArtifactsInput!$M$24)*CHOOSE(ArtifactsInput!$N$24+1,10,12,14,16,18,20)+(IF(AND(Inputs!$B$39&lt;&gt;"pvp",Inputs!$B$44=0),1,IF(IF(Inputs!$B$39="pvp",15,Inputs!$B$44)-(B115)&lt;=0,1,MAX(0,IF(Inputs!$B$39="pvp",15,Inputs!$B$44)-MAX(5,B115))/(IF(Inputs!$B$39="pvp",15,Inputs!$B$44)-(B115))))*IF(AND(ArtifactsInput!$M$42,((Inputs!$B$9+((C96=TRUE)*(F96-Calc!F26))+B104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74*(MIN(100,(Inputs!$B$9+((C96=TRUE)*(F96-Calc!F26))+B104+(ArtifactsInput!$M$24-ArtifactsInput!$M$24)*CHOOSE(ArtifactsInput!$N$24+1,10,12,14,16,18,20)+(IF(AND(Inputs!$B$39&lt;&gt;"pvp",Inputs!$B$44=0),1,IF(IF(Inputs!$B$39="pvp",15,Inputs!$B$44)-(B115)&lt;=0,1,MAX(0,IF(Inputs!$B$39="pvp",15,Inputs!$B$44)-MAX(5,B115))/(IF(Inputs!$B$39="pvp",15,Inputs!$B$44)-(B115))))*IF(AND(ArtifactsInput!$M$42,((Inputs!$B$9+((C96=TRUE)*(F96-Calc!F26))+B104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74">
        <f>290*U73/1000</f>
        <v/>
      </c>
      <c r="V74">
        <f>IF(C74,(H74*N74*IF(AND(Inputs!$B$39&lt;&gt;"pvp",Inputs!$B$44&gt;0),((Skills!G4*((R74-1)*IF(Skills!H4&gt;0,Skills!I4/Skills!H4,1)+IF(Skills!H4&gt;0,MIN(Skills!I4,MAX(0,MAX(0,Inputs!$B$44-B115)-((R74-1)*IF(Inputs!$B$39="pvp",15,MAX(0.1,Skills!D4-IF(TRUE=TRUE,Inputs!$B$32,0))))))/Skills!H4,1)))/Inputs!$B$44),G74*Q74))*IF(Inputs!$B$39="pvp",1,(1+(Inputs!$B$21+Skills!Q4+B105+(IF(ArtifactsInput!$M$33,CHOOSE(ArtifactsInput!$N$33+1,30,36,42,48,54,60),0))+(IF(AND(ArtifactsInput!$M$35,Inputs!$B$4&lt;&gt;"Chapter Hunt"),CHOOSE(ArtifactsInput!$N$35+1,15,18,21,24,27,30)*(1-EXP(-(0.2*B108)*5)),0)+IF(AND(ArtifactsInput!$M$22,Inputs!$B$4&lt;&gt;"Chapter Hunt"),CHOOSE(ArtifactsInput!$N$22+1,10,12,14,16,18,20)*((0*(((0.15*B108*5))^0/1)+1*(((0.15*B108*5))^1/1)+2*(((0.15*B108*5))^2/2)+3*(((0.15*B108*5))^3/6)+4*(((0.15*B108*5))^4/24)+5*(((0.15*B108*5))^5/120))/((((0.15*B108*5))^0/1)+(((0.15*B108*5))^1/1)+(((0.15*B108*5))^2/2)+(((0.15*B108*5))^3/6)+(((0.15*B108*5))^4/24)+(((0.15*B108*5))^5/120))),0)))/100)*(MIN(MIN(10,IF(Inputs!$B$3&gt;=75,0.75,0.5)*B108*(1/Q74)),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75">
      <c r="A75">
        <f>Skills!A5</f>
        <v/>
      </c>
      <c r="B75">
        <f>Skills!B5</f>
        <v/>
      </c>
      <c r="C75">
        <f>Inputs!$B$3&gt;=75</f>
        <v/>
      </c>
      <c r="D75">
        <f>IF(Skills!C5=1,60+Inputs!$B$25+Inputs!$B$29,IF(Skills!C5=2,90+Inputs!$B$26+Inputs!$B$29,IF(Skills!C5=3,120+Inputs!$B$27+Inputs!$B$29,MAX(0,(Inputs!$B$3-100)*3)+Inputs!$B$28+Inputs!$B$29)))</f>
        <v/>
      </c>
      <c r="E75">
        <f>INDEX(FactorTable!$B$2:$Y$301, MATCH(ROUND(MIN(300,MAX(1,D75)),0), FactorTable!$A$2:$A$301,0), Skills!M5+1)</f>
        <v/>
      </c>
      <c r="F75">
        <f>IF(Skills!N5=TRUE,(Skills!L5/10)*(E75/1000),Skills!L5/10)+Skills!O5</f>
        <v/>
      </c>
      <c r="G75">
        <f>Skills!G5*IF(Skills!H5&gt;0,IF(Inputs!$B$39="pvp",MIN(Skills!I5,15),Skills!I5)/Skills!H5,1)</f>
        <v/>
      </c>
      <c r="H75">
        <f>1-(1-Skills!J5/100)^Skills!K5</f>
        <v/>
      </c>
      <c r="I75" t="inlineStr">
        <is>
          <t>1</t>
        </is>
      </c>
      <c r="J75" t="inlineStr"/>
      <c r="K75" t="inlineStr"/>
      <c r="L75" t="inlineStr"/>
      <c r="M75" t="inlineStr"/>
      <c r="N75" t="inlineStr"/>
      <c r="O75">
        <f>(1-Summary!$B$11)*T75+Summary!$B$11*V75</f>
        <v/>
      </c>
      <c r="P75">
        <f>IF(B116=0,0,O75/B116)</f>
        <v/>
      </c>
      <c r="Q75" t="n">
        <v>0</v>
      </c>
      <c r="R75" t="n">
        <v>0</v>
      </c>
      <c r="S75">
        <f>IFERROR(O75/N75,0)</f>
        <v/>
      </c>
      <c r="T75" t="n">
        <v>0</v>
      </c>
      <c r="V75" t="n">
        <v>0</v>
      </c>
    </row>
    <row r="76">
      <c r="A76">
        <f>Skills!A6</f>
        <v/>
      </c>
      <c r="B76">
        <f>Skills!B6</f>
        <v/>
      </c>
      <c r="C76">
        <f>Inputs!$B$3&gt;=63</f>
        <v/>
      </c>
      <c r="D76">
        <f>IF(Skills!C6=1,60+Inputs!$B$25+Inputs!$B$29,IF(Skills!C6=2,90+Inputs!$B$26+Inputs!$B$29,IF(Skills!C6=3,120+Inputs!$B$27+Inputs!$B$29,MAX(0,(Inputs!$B$3-100)*3)+Inputs!$B$28+Inputs!$B$29)))</f>
        <v/>
      </c>
      <c r="E76">
        <f>INDEX(FactorTable!$B$2:$Y$301, MATCH(ROUND(MIN(300,MAX(1,D76)),0), FactorTable!$A$2:$A$301,0), Skills!M6+1)</f>
        <v/>
      </c>
      <c r="F76">
        <f>IF(Skills!N6=TRUE,(Skills!L6/10)*(E76/1000),Skills!L6/10)+Skills!O6</f>
        <v/>
      </c>
      <c r="G76">
        <f>Skills!G6*IF(Skills!H6&gt;0,IF(Inputs!$B$39="pvp",MIN(Skills!I6,15),Skills!I6)/Skills!H6,1)</f>
        <v/>
      </c>
      <c r="H76">
        <f>1-(1-Skills!J6/100)^Skills!K6</f>
        <v/>
      </c>
      <c r="I76" t="inlineStr">
        <is>
          <t>1</t>
        </is>
      </c>
      <c r="J76">
        <f>((Inputs!$B$6*(1+Inputs!$B$7/100))+((((Inputs!$B$12+1)*(1+Inputs!$B$13/100))-(Inputs!$B$12*(1+Inputs!$B$13/100)))+0.25*(Inputs!$B$14-Inputs!$B$14))*(1+Inputs!$B$7/100))*(F76/100)</f>
        <v/>
      </c>
      <c r="K76">
        <f>J76*(1+(((Inputs!$B$12+1)*(1+Inputs!$B$13/100))*0.01+Inputs!$B$14*0.0025)/100)*(1+Inputs!$B$15/100)*(1+Inputs!$B$16/100)*(5000/(6000+Inputs!$B$43*(1-(100*(1-(1-Inputs!$B$19/100)*(1-CHOOSE(ArtifactsInput!$N$40+1,5,6,7,8,9,10)/100)^(ArtifactsInput!$M$40-ArtifactsInput!$M$40)))/100)))*(1+(Inputs!$B$24+((C101=TRUE)*(F101-Calc!F31))+((C88=TRUE)*(F88-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+2.6666666666666665*IF(C89=TRUE,F89,0)/100)*(1+(IF(Skills!A6="CRUEL_STAB",Inputs!$B$17+((C98=TRUE)*(F98-Calc!F28))+((IF(AND(Inputs!$B$39&lt;&gt;"pvp",Inputs!$B$44=0),1,IF(IF(Inputs!$B$39="pvp",15,Inputs!$B$44)-(B115)&lt;=0,1,MAX(0,IF(Inputs!$B$39="pvp",15,Inputs!$B$44)-MAX(5,B115))/(IF(Inputs!$B$39="pvp",15,Inputs!$B$44)-(B115))))*(IF(AND(ArtifactsInput!$M$42,((Inputs!$B$9+((C96=TRUE)*(F96-Calc!F26))+B104+(ArtifactsInput!$M$24-ArtifactsInput!$M$24)*CHOOSE(ArtifactsInput!$N$24+1,10,12,14,16,18,20)+IF(ArtifactsInput!$M$10,CHOOSE(ArtifactsInput!$N$10+1,15,18,21,24,27,30)*(IF(Inputs!$B$39="pvp",MIN(15,15)/15,IF(AND(Inputs!$B$39&lt;&gt;"pvp",Inputs!$B$44&gt;0),MIN(15,Inputs!$B$44)/(Inputs!$B$44),0))),0)))&gt;=100),MIN(100,((Inputs!$B$9+((C96=TRUE)*(F96-Calc!F26))+B104+(ArtifactsInput!$M$24-ArtifactsInput!$M$24)*CHOOSE(ArtifactsInput!$N$24+1,10,12,14,16,18,20)+IF(ArtifactsInput!$M$10,CHOOSE(ArtifactsInput!$N$10+1,15,18,21,24,27,30)*(IF(Inputs!$B$39="pvp",MIN(15,15)/15,IF(AND(Inputs!$B$39&lt;&gt;"pvp",Inputs!$B$44&gt;0),MIN(15,Inputs!$B$44)/(Inputs!$B$44),0))),0)))-100),0))*CHOOSE(ArtifactsInput!$N$42+1,0.6,0.72,0.84,0.96,1.08,1.2))),Inputs!$B$18+((C99=TRUE)*(F99-Calc!F29))+(IF(AND(Inputs!$B$39&lt;&gt;"pvp",Inputs!$B$44=0),1,IF(IF(Inputs!$B$39="pvp",15,Inputs!$B$44)-(B115)&lt;=0,1,MAX(0,IF(Inputs!$B$39="pvp",15,Inputs!$B$44)-MAX(5,B115))/(IF(Inputs!$B$39="pvp",15,Inputs!$B$44)-(B115))))*IF(AND(ArtifactsInput!$M$42,((Inputs!$B$9+((C96=TRUE)*(F96-Calc!F26))+B104+(ArtifactsInput!$M$24-ArtifactsInput!$M$24)*CHOOSE(ArtifactsInput!$N$24+1,10,12,14,16,18,20)+IF(ArtifactsInput!$M$10,CHOOSE(ArtifactsInput!$N$10+1,15,18,21,24,27,30)*(IF(Inputs!$B$39="pvp",MIN(15,15)/15,IF(AND(Inputs!$B$39&lt;&gt;"pvp",Inputs!$B$44&gt;0),MIN(15,Inputs!$B$44)/(Inputs!$B$44),0))),0)))&gt;=100),CHOOSE(ArtifactsInput!$N$42+1,40,48,56,64,72,80),0))))/100)*(((1+(((C92=TRUE)*F92*IF(AND(Inputs!$B$39&lt;&gt;"pvp",Inputs!$B$44&gt;0),(((R92-1)*MIN((Skills!Y22*(1+Inputs!$B$34/100)),(1/Q92))+MIN((Skills!Y22*(1+Inputs!$B$34/100)),MAX(0,Inputs!$B$44-((R92-1)*(1/Q92)))))/Inputs!$B$44),IF(Inputs!$B$39="pvp",MIN((Skills!Y22*(1+Inputs!$B$34/100)),15)/15,MIN(1,(Skills!Y22*(1+Inputs!$B$34/100))/(1/Q92)))))+((C73=TRUE)*F73*3)+((C75=TRUE)*F75*(1-EXP(-0.75*B108*5)))+((C94=TRUE)*(F94-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81=TRUE)*F81*IF(AND(Inputs!$B$39&lt;&gt;"pvp",Inputs!$B$44&gt;0),(((R81-1)*MIN((Skills!Y11*(1+Inputs!$B$34/100)),(1/Q81))+MIN((Skills!Y11*(1+Inputs!$B$34/100)),MAX(0,Inputs!$B$44-((R81-1)*(1/Q81)))))/Inputs!$B$44),IF(Inputs!$B$39="pvp",MIN((Skills!Y11*(1+Inputs!$B$34/100)),15)/15,MIN(1,(Skills!Y11*(1+Inputs!$B$34/100))/(1/Q81)))))/100)*(1+((C86=TRUE)*F86*IF(AND(Inputs!$B$39&lt;&gt;"pvp",Inputs!$B$44&gt;0),(((R86-1)*MIN((Skills!Y16*(1+Inputs!$B$34/100)),(1/Q86))+MIN((Skills!Y16*(1+Inputs!$B$34/100)),MAX(0,Inputs!$B$44-((R86-1)*(1/Q86)))))/Inputs!$B$44),IF(Inputs!$B$39="pvp",MIN((Skills!Y16*(1+Inputs!$B$34/100)),15)/15,MIN(1,(Skills!Y16*(1+Inputs!$B$34/100))/(1/Q86)))))/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106*I76)</f>
        <v/>
      </c>
      <c r="L76">
        <f>K76*(MIN(Inputs!$B$22+((C95=TRUE)*(F95-Calc!F25)),(Inputs!$B$23+((C100=TRUE)*(F100-Calc!F30))+IF(ArtifactsInput!$M$15,CHOOSE(ArtifactsInput!$N$15+1,25,30,35,40,45,50)/100*(Inputs!$B$11-Inputs!$B$11),0)))/100+(Inputs!$B$23+((C100=TRUE)*(F100-Calc!F30))+IF(ArtifactsInput!$M$15,CHOOSE(ArtifactsInput!$N$15+1,25,30,35,40,45,50)/100*(Inputs!$B$11-Inputs!$B$11),0))/100)/2</f>
        <v/>
      </c>
      <c r="M76">
        <f>L76*(1+(Inputs!$B$10+((C97=TRUE)*(F97-Calc!F27))+B111+(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76">
        <f>L76*(1-MIN((Inputs!$B$9+((C96=TRUE)*(F96-Calc!F26))+B104+(ArtifactsInput!$M$24-ArtifactsInput!$M$24)*CHOOSE(ArtifactsInput!$N$24+1,10,12,14,16,18,20)+(IF(AND(Inputs!$B$39&lt;&gt;"pvp",Inputs!$B$44=0),1,IF(IF(Inputs!$B$39="pvp",15,Inputs!$B$44)-(B115)&lt;=0,1,MAX(0,IF(Inputs!$B$39="pvp",15,Inputs!$B$44)-MAX(5,B115))/(IF(Inputs!$B$39="pvp",15,Inputs!$B$44)-(B115))))*IF(AND(ArtifactsInput!$M$42,((Inputs!$B$9+((C96=TRUE)*(F96-Calc!F26))+B104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76*(MIN((Inputs!$B$9+((C96=TRUE)*(F96-Calc!F26))+B104+(ArtifactsInput!$M$24-ArtifactsInput!$M$24)*CHOOSE(ArtifactsInput!$N$24+1,10,12,14,16,18,20)+(IF(AND(Inputs!$B$39&lt;&gt;"pvp",Inputs!$B$44=0),1,IF(IF(Inputs!$B$39="pvp",15,Inputs!$B$44)-(B115)&lt;=0,1,MAX(0,IF(Inputs!$B$39="pvp",15,Inputs!$B$44)-MAX(5,B115))/(IF(Inputs!$B$39="pvp",15,Inputs!$B$44)-(B115))))*IF(AND(ArtifactsInput!$M$42,((Inputs!$B$9+((C96=TRUE)*(F96-Calc!F26))+B104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76">
        <f>(1-Summary!$B$11)*T76+Summary!$B$11*V76</f>
        <v/>
      </c>
      <c r="P76">
        <f>IF(B116=0,0,O76/B116)</f>
        <v/>
      </c>
      <c r="Q76">
        <f>IFERROR(1/IF(Inputs!$B$39="pvp",15,MAX(0.1,Skills!D6-IF(TRUE=TRUE,Inputs!$B$32,0))),0)</f>
        <v/>
      </c>
      <c r="R76">
        <f>IF(AND(Inputs!$B$39&lt;&gt;"pvp",Inputs!$B$44&gt;0),IF(MAX(0,Inputs!$B$44-B115)&lt;=0,0,(INT(MAX(0,Inputs!$B$44-B115)/IF(Inputs!$B$39="pvp",15,MAX(0.1,Skills!D6-IF(TRUE=TRUE,Inputs!$B$32,0))))+1)),0)</f>
        <v/>
      </c>
      <c r="S76">
        <f>IFERROR(O76/N76,0)</f>
        <v/>
      </c>
      <c r="T76">
        <f>IF(C76,(H76*N76*IF(AND(Inputs!$B$39&lt;&gt;"pvp",Inputs!$B$44&gt;0),((Skills!G6*((R76-1)*IF(Skills!H6&gt;0,Skills!I6/Skills!H6,1)+IF(Skills!H6&gt;0,MIN(Skills!I6,MAX(0,MAX(0,Inputs!$B$44-B115)-((R76-1)*IF(Inputs!$B$39="pvp",15,MAX(0.1,Skills!D6-IF(TRUE=TRUE,Inputs!$B$32,0))))))/Skills!H6,1)))/Inputs!$B$44),G76*Q76))*IF(Inputs!$B$39="pvp",1,1+(Inputs!$B$20+0+Skills!P6+B105+(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Hunt"),CHOOSE(ArtifactsInput!$N$35+1,15,18,21,24,27,30)*(1-EXP(-(0.2*B108)*5)),0)+IF(AND(ArtifactsInput!$M$22,Inputs!$B$4&lt;&gt;"Chapter Hunt"),CHOOSE(ArtifactsInput!$N$22+1,10,12,14,16,18,20)*((0*(((0.15*B108*5))^0/1)+1*(((0.15*B108*5))^1/1)+2*(((0.15*B108*5))^2/2)+3*(((0.15*B108*5))^3/6)+4*(((0.15*B108*5))^4/24)+5*(((0.15*B108*5))^5/120))/((((0.15*B108*5))^0/1)+(((0.15*B108*5))^1/1)+(((0.15*B108*5))^2/2)+(((0.15*B108*5))^3/6)+(((0.15*B108*5))^4/24)+(((0.15*B108*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76*(1-MIN(100,(Inputs!$B$9+((C96=TRUE)*(F96-Calc!F26))+B104+(ArtifactsInput!$M$24-ArtifactsInput!$M$24)*CHOOSE(ArtifactsInput!$N$24+1,10,12,14,16,18,20)+(IF(AND(Inputs!$B$39&lt;&gt;"pvp",Inputs!$B$44=0),1,IF(IF(Inputs!$B$39="pvp",15,Inputs!$B$44)-(B115)&lt;=0,1,MAX(0,IF(Inputs!$B$39="pvp",15,Inputs!$B$44)-MAX(5,B115))/(IF(Inputs!$B$39="pvp",15,Inputs!$B$44)-(B115))))*IF(AND(ArtifactsInput!$M$42,((Inputs!$B$9+((C96=TRUE)*(F96-Calc!F26))+B104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76*(MIN(100,(Inputs!$B$9+((C96=TRUE)*(F96-Calc!F26))+B104+(ArtifactsInput!$M$24-ArtifactsInput!$M$24)*CHOOSE(ArtifactsInput!$N$24+1,10,12,14,16,18,20)+(IF(AND(Inputs!$B$39&lt;&gt;"pvp",Inputs!$B$44=0),1,IF(IF(Inputs!$B$39="pvp",15,Inputs!$B$44)-(B115)&lt;=0,1,MAX(0,IF(Inputs!$B$39="pvp",15,Inputs!$B$44)-MAX(5,B115))/(IF(Inputs!$B$39="pvp",15,Inputs!$B$44)-(B115))))*IF(AND(ArtifactsInput!$M$42,((Inputs!$B$9+((C96=TRUE)*(F96-Calc!F26))+B104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76*(1-MIN(100,(Inputs!$B$9+((C96=TRUE)*(F96-Calc!F26))+B104+(ArtifactsInput!$M$24-ArtifactsInput!$M$24)*CHOOSE(ArtifactsInput!$N$24+1,10,12,14,16,18,20)+(IF(AND(Inputs!$B$39&lt;&gt;"pvp",Inputs!$B$44=0),1,IF(IF(Inputs!$B$39="pvp",15,Inputs!$B$44)-(B115)&lt;=0,1,MAX(0,IF(Inputs!$B$39="pvp",15,Inputs!$B$44)-MAX(5,B115))/(IF(Inputs!$B$39="pvp",15,Inputs!$B$44)-(B115))))*IF(AND(ArtifactsInput!$M$42,((Inputs!$B$9+((C96=TRUE)*(F96-Calc!F26))+B104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76*(MIN(100,(Inputs!$B$9+((C96=TRUE)*(F96-Calc!F26))+B104+(ArtifactsInput!$M$24-ArtifactsInput!$M$24)*CHOOSE(ArtifactsInput!$N$24+1,10,12,14,16,18,20)+(IF(AND(Inputs!$B$39&lt;&gt;"pvp",Inputs!$B$44=0),1,IF(IF(Inputs!$B$39="pvp",15,Inputs!$B$44)-(B115)&lt;=0,1,MAX(0,IF(Inputs!$B$39="pvp",15,Inputs!$B$44)-MAX(5,B115))/(IF(Inputs!$B$39="pvp",15,Inputs!$B$44)-(B115))))*IF(AND(ArtifactsInput!$M$42,((Inputs!$B$9+((C96=TRUE)*(F96-Calc!F26))+B104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76">
        <f>IF(C76,(H76*N76*IF(AND(Inputs!$B$39&lt;&gt;"pvp",Inputs!$B$44&gt;0),((Skills!G6*((R76-1)*IF(Skills!H6&gt;0,Skills!I6/Skills!H6,1)+IF(Skills!H6&gt;0,MIN(Skills!I6,MAX(0,MAX(0,Inputs!$B$44-B115)-((R76-1)*IF(Inputs!$B$39="pvp",15,MAX(0.1,Skills!D6-IF(TRUE=TRUE,Inputs!$B$32,0))))))/Skills!H6,1)))/Inputs!$B$44),G76*Q76))*IF(Inputs!$B$39="pvp",1,(1+(Inputs!$B$21+Skills!Q6+B105+(IF(ArtifactsInput!$M$33,CHOOSE(ArtifactsInput!$N$33+1,30,36,42,48,54,60),0))+(IF(AND(ArtifactsInput!$M$35,Inputs!$B$4&lt;&gt;"Chapter Hunt"),CHOOSE(ArtifactsInput!$N$35+1,15,18,21,24,27,30)*(1-EXP(-(0.2*B108)*5)),0)+IF(AND(ArtifactsInput!$M$22,Inputs!$B$4&lt;&gt;"Chapter Hunt"),CHOOSE(ArtifactsInput!$N$22+1,10,12,14,16,18,20)*((0*(((0.15*B108*5))^0/1)+1*(((0.15*B108*5))^1/1)+2*(((0.15*B108*5))^2/2)+3*(((0.15*B108*5))^3/6)+4*(((0.15*B108*5))^4/24)+5*(((0.15*B108*5))^5/120))/((((0.15*B108*5))^0/1)+(((0.15*B108*5))^1/1)+(((0.15*B108*5))^2/2)+(((0.15*B108*5))^3/6)+(((0.15*B108*5))^4/24)+(((0.15*B108*5))^5/120))),0)))/100)*(MIN(Skills!W6,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77">
      <c r="A77">
        <f>Skills!A7</f>
        <v/>
      </c>
      <c r="B77">
        <f>Skills!B7</f>
        <v/>
      </c>
      <c r="C77">
        <f>Inputs!$B$3&gt;=69</f>
        <v/>
      </c>
      <c r="D77">
        <f>IF(Skills!C7=1,60+Inputs!$B$25+Inputs!$B$29,IF(Skills!C7=2,90+Inputs!$B$26+Inputs!$B$29,IF(Skills!C7=3,120+Inputs!$B$27+Inputs!$B$29,MAX(0,(Inputs!$B$3-100)*3)+Inputs!$B$28+Inputs!$B$29)))</f>
        <v/>
      </c>
      <c r="E77">
        <f>INDEX(FactorTable!$B$2:$Y$301, MATCH(ROUND(MIN(300,MAX(1,D77)),0), FactorTable!$A$2:$A$301,0), Skills!M7+1)</f>
        <v/>
      </c>
      <c r="F77">
        <f>IF(Skills!N7=TRUE,(Skills!L7/10)*(E77/1000),Skills!L7/10)+Skills!O7</f>
        <v/>
      </c>
      <c r="G77">
        <f>Skills!G7*IF(Skills!H7&gt;0,IF(Inputs!$B$39="pvp",MIN(Skills!I7,15),Skills!I7)/Skills!H7,1)</f>
        <v/>
      </c>
      <c r="H77">
        <f>1-(1-Skills!J7/100)^Skills!K7</f>
        <v/>
      </c>
      <c r="I77" t="inlineStr">
        <is>
          <t>1</t>
        </is>
      </c>
      <c r="J77">
        <f>((Inputs!$B$6*(1+Inputs!$B$7/100))+((((Inputs!$B$12+1)*(1+Inputs!$B$13/100))-(Inputs!$B$12*(1+Inputs!$B$13/100)))+0.25*(Inputs!$B$14-Inputs!$B$14))*(1+Inputs!$B$7/100))*(F77/100)</f>
        <v/>
      </c>
      <c r="K77">
        <f>J77*(1+(((Inputs!$B$12+1)*(1+Inputs!$B$13/100))*0.01+Inputs!$B$14*0.0025)/100)*(1+Inputs!$B$15/100)*(1+Inputs!$B$16/100)*(5000/(6000+Inputs!$B$43*(1-(100*(1-(1-Inputs!$B$19/100)*(1-CHOOSE(ArtifactsInput!$N$40+1,5,6,7,8,9,10)/100)^(ArtifactsInput!$M$40-ArtifactsInput!$M$40)))/100)))*(1+(Inputs!$B$24+((C101=TRUE)*(F101-Calc!F31))+((C88=TRUE)*(F88-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89=TRUE,F89,0)/100)*(1+(IF(Skills!A7="CRUEL_STAB",Inputs!$B$17+((C98=TRUE)*(F98-Calc!F28))+((IF(AND(Inputs!$B$39&lt;&gt;"pvp",Inputs!$B$44=0),1,IF(IF(Inputs!$B$39="pvp",15,Inputs!$B$44)-(B115)&lt;=0,1,MAX(0,IF(Inputs!$B$39="pvp",15,Inputs!$B$44)-MAX(5,B115))/(IF(Inputs!$B$39="pvp",15,Inputs!$B$44)-(B115))))*(IF(AND(ArtifactsInput!$M$42,((Inputs!$B$9+((C96=TRUE)*(F96-Calc!F26))+B104+(ArtifactsInput!$M$24-ArtifactsInput!$M$24)*CHOOSE(ArtifactsInput!$N$24+1,10,12,14,16,18,20)+IF(ArtifactsInput!$M$10,CHOOSE(ArtifactsInput!$N$10+1,15,18,21,24,27,30)*(IF(Inputs!$B$39="pvp",MIN(15,15)/15,IF(AND(Inputs!$B$39&lt;&gt;"pvp",Inputs!$B$44&gt;0),MIN(15,Inputs!$B$44)/(Inputs!$B$44),0))),0)))&gt;=100),MIN(100,((Inputs!$B$9+((C96=TRUE)*(F96-Calc!F26))+B104+(ArtifactsInput!$M$24-ArtifactsInput!$M$24)*CHOOSE(ArtifactsInput!$N$24+1,10,12,14,16,18,20)+IF(ArtifactsInput!$M$10,CHOOSE(ArtifactsInput!$N$10+1,15,18,21,24,27,30)*(IF(Inputs!$B$39="pvp",MIN(15,15)/15,IF(AND(Inputs!$B$39&lt;&gt;"pvp",Inputs!$B$44&gt;0),MIN(15,Inputs!$B$44)/(Inputs!$B$44),0))),0)))-100),0))*CHOOSE(ArtifactsInput!$N$42+1,0.6,0.72,0.84,0.96,1.08,1.2))),Inputs!$B$18+((C99=TRUE)*(F99-Calc!F29))+(IF(AND(Inputs!$B$39&lt;&gt;"pvp",Inputs!$B$44=0),1,IF(IF(Inputs!$B$39="pvp",15,Inputs!$B$44)-(B115)&lt;=0,1,MAX(0,IF(Inputs!$B$39="pvp",15,Inputs!$B$44)-MAX(5,B115))/(IF(Inputs!$B$39="pvp",15,Inputs!$B$44)-(B115))))*IF(AND(ArtifactsInput!$M$42,((Inputs!$B$9+((C96=TRUE)*(F96-Calc!F26))+B104+(ArtifactsInput!$M$24-ArtifactsInput!$M$24)*CHOOSE(ArtifactsInput!$N$24+1,10,12,14,16,18,20)+IF(ArtifactsInput!$M$10,CHOOSE(ArtifactsInput!$N$10+1,15,18,21,24,27,30)*(IF(Inputs!$B$39="pvp",MIN(15,15)/15,IF(AND(Inputs!$B$39&lt;&gt;"pvp",Inputs!$B$44&gt;0),MIN(15,Inputs!$B$44)/(Inputs!$B$44),0))),0)))&gt;=100),CHOOSE(ArtifactsInput!$N$42+1,40,48,56,64,72,80),0))))/100)*(((1+(((C92=TRUE)*F92*IF(AND(Inputs!$B$39&lt;&gt;"pvp",Inputs!$B$44&gt;0),(((R92-1)*MIN((Skills!Y22*(1+Inputs!$B$34/100)),(1/Q92))+MIN((Skills!Y22*(1+Inputs!$B$34/100)),MAX(0,Inputs!$B$44-((R92-1)*(1/Q92)))))/Inputs!$B$44),IF(Inputs!$B$39="pvp",MIN((Skills!Y22*(1+Inputs!$B$34/100)),15)/15,MIN(1,(Skills!Y22*(1+Inputs!$B$34/100))/(1/Q92)))))+((C73=TRUE)*F73*3)+((C75=TRUE)*F75*(1-EXP(-0.75*B108*5)))+((C94=TRUE)*(F94-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81=TRUE)*F81*IF(AND(Inputs!$B$39&lt;&gt;"pvp",Inputs!$B$44&gt;0),(((R81-1)*MIN((Skills!Y11*(1+Inputs!$B$34/100)),(1/Q81))+MIN((Skills!Y11*(1+Inputs!$B$34/100)),MAX(0,Inputs!$B$44-((R81-1)*(1/Q81)))))/Inputs!$B$44),IF(Inputs!$B$39="pvp",MIN((Skills!Y11*(1+Inputs!$B$34/100)),15)/15,MIN(1,(Skills!Y11*(1+Inputs!$B$34/100))/(1/Q81)))))/100)*(1+((C86=TRUE)*F86*IF(AND(Inputs!$B$39&lt;&gt;"pvp",Inputs!$B$44&gt;0),(((R86-1)*MIN((Skills!Y16*(1+Inputs!$B$34/100)),(1/Q86))+MIN((Skills!Y16*(1+Inputs!$B$34/100)),MAX(0,Inputs!$B$44-((R86-1)*(1/Q86)))))/Inputs!$B$44),IF(Inputs!$B$39="pvp",MIN((Skills!Y16*(1+Inputs!$B$34/100)),15)/15,MIN(1,(Skills!Y16*(1+Inputs!$B$34/100))/(1/Q86)))))/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106*I77)</f>
        <v/>
      </c>
      <c r="L77">
        <f>K77*(MIN(Inputs!$B$22+((C95=TRUE)*(F95-Calc!F25)),(Inputs!$B$23+((C100=TRUE)*(F100-Calc!F30))+IF(ArtifactsInput!$M$15,CHOOSE(ArtifactsInput!$N$15+1,25,30,35,40,45,50)/100*(Inputs!$B$11-Inputs!$B$11),0)))/100+(Inputs!$B$23+((C100=TRUE)*(F100-Calc!F30))+IF(ArtifactsInput!$M$15,CHOOSE(ArtifactsInput!$N$15+1,25,30,35,40,45,50)/100*(Inputs!$B$11-Inputs!$B$11),0))/100)/2</f>
        <v/>
      </c>
      <c r="M77">
        <f>L77*(1+(Inputs!$B$10+((C97=TRUE)*(F97-Calc!F27))+B111+(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77">
        <f>L77*(1-MIN((Inputs!$B$9+((C96=TRUE)*(F96-Calc!F26))+B104+(ArtifactsInput!$M$24-ArtifactsInput!$M$24)*CHOOSE(ArtifactsInput!$N$24+1,10,12,14,16,18,20)+(IF(AND(Inputs!$B$39&lt;&gt;"pvp",Inputs!$B$44=0),1,IF(IF(Inputs!$B$39="pvp",15,Inputs!$B$44)-(B115)&lt;=0,1,MAX(0,IF(Inputs!$B$39="pvp",15,Inputs!$B$44)-MAX(5,B115))/(IF(Inputs!$B$39="pvp",15,Inputs!$B$44)-(B115))))*IF(AND(ArtifactsInput!$M$42,((Inputs!$B$9+((C96=TRUE)*(F96-Calc!F26))+B104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77*(MIN((Inputs!$B$9+((C96=TRUE)*(F96-Calc!F26))+B104+(ArtifactsInput!$M$24-ArtifactsInput!$M$24)*CHOOSE(ArtifactsInput!$N$24+1,10,12,14,16,18,20)+(IF(AND(Inputs!$B$39&lt;&gt;"pvp",Inputs!$B$44=0),1,IF(IF(Inputs!$B$39="pvp",15,Inputs!$B$44)-(B115)&lt;=0,1,MAX(0,IF(Inputs!$B$39="pvp",15,Inputs!$B$44)-MAX(5,B115))/(IF(Inputs!$B$39="pvp",15,Inputs!$B$44)-(B115))))*IF(AND(ArtifactsInput!$M$42,((Inputs!$B$9+((C96=TRUE)*(F96-Calc!F26))+B104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77">
        <f>(1-Summary!$B$11)*T77+Summary!$B$11*V77</f>
        <v/>
      </c>
      <c r="P77">
        <f>IF(B116=0,0,O77/B116)</f>
        <v/>
      </c>
      <c r="Q77">
        <f>IFERROR(1/IF(Inputs!$B$39="pvp",15,MAX(0.1,Skills!D7-IF(TRUE=TRUE,Inputs!$B$32,0))),0)</f>
        <v/>
      </c>
      <c r="R77">
        <f>IF(AND(Inputs!$B$39&lt;&gt;"pvp",Inputs!$B$44&gt;0),IF(MAX(0,Inputs!$B$44-B115)&lt;=0,0,(INT(MAX(0,Inputs!$B$44-B115)/IF(Inputs!$B$39="pvp",15,MAX(0.1,Skills!D7-IF(TRUE=TRUE,Inputs!$B$32,0))))+1)),0)</f>
        <v/>
      </c>
      <c r="S77">
        <f>IFERROR(O77/N77,0)</f>
        <v/>
      </c>
      <c r="T77">
        <f>IF(C77,(H77*N77*IF(AND(Inputs!$B$39&lt;&gt;"pvp",Inputs!$B$44&gt;0),((Skills!G7*((R77-1)*IF(Skills!H7&gt;0,Skills!I7/Skills!H7,1)+IF(Skills!H7&gt;0,MIN(Skills!I7,MAX(0,MAX(0,Inputs!$B$44-B115)-((R77-1)*IF(Inputs!$B$39="pvp",15,MAX(0.1,Skills!D7-IF(TRUE=TRUE,Inputs!$B$32,0))))))/Skills!H7,1)))/Inputs!$B$44),G77*Q77))*IF(Inputs!$B$39="pvp",1,1+(Inputs!$B$20+0+Skills!P7+B105+(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Hunt"),CHOOSE(ArtifactsInput!$N$35+1,15,18,21,24,27,30)*(1-EXP(-(0.2*B108)*5)),0)+IF(AND(ArtifactsInput!$M$22,Inputs!$B$4&lt;&gt;"Chapter Hunt"),CHOOSE(ArtifactsInput!$N$22+1,10,12,14,16,18,20)*((0*(((0.15*B108*5))^0/1)+1*(((0.15*B108*5))^1/1)+2*(((0.15*B108*5))^2/2)+3*(((0.15*B108*5))^3/6)+4*(((0.15*B108*5))^4/24)+5*(((0.15*B108*5))^5/120))/((((0.15*B108*5))^0/1)+(((0.15*B108*5))^1/1)+(((0.15*B108*5))^2/2)+(((0.15*B108*5))^3/6)+(((0.15*B108*5))^4/24)+(((0.15*B108*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77*(1-MIN(100,(Inputs!$B$9+((C96=TRUE)*(F96-Calc!F26))+B104+(ArtifactsInput!$M$24-ArtifactsInput!$M$24)*CHOOSE(ArtifactsInput!$N$24+1,10,12,14,16,18,20)+(IF(AND(Inputs!$B$39&lt;&gt;"pvp",Inputs!$B$44=0),1,IF(IF(Inputs!$B$39="pvp",15,Inputs!$B$44)-(B115)&lt;=0,1,MAX(0,IF(Inputs!$B$39="pvp",15,Inputs!$B$44)-MAX(5,B115))/(IF(Inputs!$B$39="pvp",15,Inputs!$B$44)-(B115))))*IF(AND(ArtifactsInput!$M$42,((Inputs!$B$9+((C96=TRUE)*(F96-Calc!F26))+B104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77*(MIN(100,(Inputs!$B$9+((C96=TRUE)*(F96-Calc!F26))+B104+(ArtifactsInput!$M$24-ArtifactsInput!$M$24)*CHOOSE(ArtifactsInput!$N$24+1,10,12,14,16,18,20)+(IF(AND(Inputs!$B$39&lt;&gt;"pvp",Inputs!$B$44=0),1,IF(IF(Inputs!$B$39="pvp",15,Inputs!$B$44)-(B115)&lt;=0,1,MAX(0,IF(Inputs!$B$39="pvp",15,Inputs!$B$44)-MAX(5,B115))/(IF(Inputs!$B$39="pvp",15,Inputs!$B$44)-(B115))))*IF(AND(ArtifactsInput!$M$42,((Inputs!$B$9+((C96=TRUE)*(F96-Calc!F26))+B104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77*(1-MIN(100,(Inputs!$B$9+((C96=TRUE)*(F96-Calc!F26))+B104+(ArtifactsInput!$M$24-ArtifactsInput!$M$24)*CHOOSE(ArtifactsInput!$N$24+1,10,12,14,16,18,20)+(IF(AND(Inputs!$B$39&lt;&gt;"pvp",Inputs!$B$44=0),1,IF(IF(Inputs!$B$39="pvp",15,Inputs!$B$44)-(B115)&lt;=0,1,MAX(0,IF(Inputs!$B$39="pvp",15,Inputs!$B$44)-MAX(5,B115))/(IF(Inputs!$B$39="pvp",15,Inputs!$B$44)-(B115))))*IF(AND(ArtifactsInput!$M$42,((Inputs!$B$9+((C96=TRUE)*(F96-Calc!F26))+B104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77*(MIN(100,(Inputs!$B$9+((C96=TRUE)*(F96-Calc!F26))+B104+(ArtifactsInput!$M$24-ArtifactsInput!$M$24)*CHOOSE(ArtifactsInput!$N$24+1,10,12,14,16,18,20)+(IF(AND(Inputs!$B$39&lt;&gt;"pvp",Inputs!$B$44=0),1,IF(IF(Inputs!$B$39="pvp",15,Inputs!$B$44)-(B115)&lt;=0,1,MAX(0,IF(Inputs!$B$39="pvp",15,Inputs!$B$44)-MAX(5,B115))/(IF(Inputs!$B$39="pvp",15,Inputs!$B$44)-(B115))))*IF(AND(ArtifactsInput!$M$42,((Inputs!$B$9+((C96=TRUE)*(F96-Calc!F26))+B104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77">
        <f>IF(C77,(H77*N77*IF(AND(Inputs!$B$39&lt;&gt;"pvp",Inputs!$B$44&gt;0),((Skills!G7*((R77-1)*IF(Skills!H7&gt;0,Skills!I7/Skills!H7,1)+IF(Skills!H7&gt;0,MIN(Skills!I7,MAX(0,MAX(0,Inputs!$B$44-B115)-((R77-1)*IF(Inputs!$B$39="pvp",15,MAX(0.1,Skills!D7-IF(TRUE=TRUE,Inputs!$B$32,0))))))/Skills!H7,1)))/Inputs!$B$44),G77*Q77))*IF(Inputs!$B$39="pvp",1,(1+(Inputs!$B$21+Skills!Q7+B105+(IF(ArtifactsInput!$M$33,CHOOSE(ArtifactsInput!$N$33+1,30,36,42,48,54,60),0))+(IF(AND(ArtifactsInput!$M$35,Inputs!$B$4&lt;&gt;"Chapter Hunt"),CHOOSE(ArtifactsInput!$N$35+1,15,18,21,24,27,30)*(1-EXP(-(0.2*B108)*5)),0)+IF(AND(ArtifactsInput!$M$22,Inputs!$B$4&lt;&gt;"Chapter Hunt"),CHOOSE(ArtifactsInput!$N$22+1,10,12,14,16,18,20)*((0*(((0.15*B108*5))^0/1)+1*(((0.15*B108*5))^1/1)+2*(((0.15*B108*5))^2/2)+3*(((0.15*B108*5))^3/6)+4*(((0.15*B108*5))^4/24)+5*(((0.15*B108*5))^5/120))/((((0.15*B108*5))^0/1)+(((0.15*B108*5))^1/1)+(((0.15*B108*5))^2/2)+(((0.15*B108*5))^3/6)+(((0.15*B108*5))^4/24)+(((0.15*B108*5))^5/120))),0)))/100)*(MIN(Skills!W7,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78">
      <c r="A78">
        <f>Skills!A8</f>
        <v/>
      </c>
      <c r="B78">
        <f>Skills!B8</f>
        <v/>
      </c>
      <c r="C78">
        <f>Inputs!$B$3&gt;=60</f>
        <v/>
      </c>
      <c r="D78">
        <f>IF(Skills!C8=1,60+Inputs!$B$25+Inputs!$B$29,IF(Skills!C8=2,90+Inputs!$B$26+Inputs!$B$29,IF(Skills!C8=3,120+Inputs!$B$27+Inputs!$B$29,MAX(0,(Inputs!$B$3-100)*3)+Inputs!$B$28+Inputs!$B$29)))</f>
        <v/>
      </c>
      <c r="E78">
        <f>INDEX(FactorTable!$B$2:$Y$301, MATCH(ROUND(MIN(300,MAX(1,D78)),0), FactorTable!$A$2:$A$301,0), Skills!M8+1)</f>
        <v/>
      </c>
      <c r="F78">
        <f>IF(Skills!N8=TRUE,(Skills!L8/10)*(E78/1000),Skills!L8/10)+Skills!O8</f>
        <v/>
      </c>
      <c r="G78">
        <f>Skills!G8*IF(Skills!H8&gt;0,IF(Inputs!$B$39="pvp",MIN(Skills!I8,15),Skills!I8)/Skills!H8,1)</f>
        <v/>
      </c>
      <c r="H78">
        <f>1-(1-Skills!J8/100)^Skills!K8</f>
        <v/>
      </c>
      <c r="I78" t="inlineStr">
        <is>
          <t>1</t>
        </is>
      </c>
      <c r="J78" t="inlineStr"/>
      <c r="K78" t="inlineStr"/>
      <c r="L78" t="inlineStr"/>
      <c r="M78" t="inlineStr"/>
      <c r="N78" t="inlineStr"/>
      <c r="O78">
        <f>(1-Summary!$B$11)*T78+Summary!$B$11*V78</f>
        <v/>
      </c>
      <c r="P78">
        <f>IF(B116=0,0,O78/B116)</f>
        <v/>
      </c>
      <c r="Q78" t="n">
        <v>0</v>
      </c>
      <c r="R78" t="n">
        <v>0</v>
      </c>
      <c r="S78">
        <f>IFERROR(O78/N78,0)</f>
        <v/>
      </c>
      <c r="T78" t="n">
        <v>0</v>
      </c>
      <c r="V78" t="n">
        <v>0</v>
      </c>
    </row>
    <row r="79">
      <c r="A79">
        <f>Skills!A9</f>
        <v/>
      </c>
      <c r="B79">
        <f>Skills!B9</f>
        <v/>
      </c>
      <c r="C79">
        <f>Inputs!$B$3&gt;=72</f>
        <v/>
      </c>
      <c r="D79">
        <f>IF(Skills!C9=1,60+Inputs!$B$25+Inputs!$B$29,IF(Skills!C9=2,90+Inputs!$B$26+Inputs!$B$29,IF(Skills!C9=3,120+Inputs!$B$27+Inputs!$B$29,MAX(0,(Inputs!$B$3-100)*3)+Inputs!$B$28+Inputs!$B$29)))</f>
        <v/>
      </c>
      <c r="E79">
        <f>INDEX(FactorTable!$B$2:$Y$301, MATCH(ROUND(MIN(300,MAX(1,D79)),0), FactorTable!$A$2:$A$301,0), Skills!M9+1)</f>
        <v/>
      </c>
      <c r="F79">
        <f>IF(Skills!N9=TRUE,(Skills!L9/10)*(E79/1000),Skills!L9/10)+Skills!O9</f>
        <v/>
      </c>
      <c r="G79">
        <f>Skills!G9*IF(Skills!H9&gt;0,IF(Inputs!$B$39="pvp",MIN(Skills!I9,15),Skills!I9)/Skills!H9,1)</f>
        <v/>
      </c>
      <c r="H79">
        <f>1-(1-Skills!J9/100)^Skills!K9</f>
        <v/>
      </c>
      <c r="I79" t="inlineStr">
        <is>
          <t>1</t>
        </is>
      </c>
      <c r="J79">
        <f>((Inputs!$B$6*(1+Inputs!$B$7/100))+((((Inputs!$B$12+1)*(1+Inputs!$B$13/100))-(Inputs!$B$12*(1+Inputs!$B$13/100)))+0.25*(Inputs!$B$14-Inputs!$B$14))*(1+Inputs!$B$7/100))*(F79/100)</f>
        <v/>
      </c>
      <c r="K79">
        <f>J79*(1+(((Inputs!$B$12+1)*(1+Inputs!$B$13/100))*0.01+Inputs!$B$14*0.0025)/100)*(1+Inputs!$B$15/100)*(1+Inputs!$B$16/100)*(5000/(6000+Inputs!$B$43*(1-(100*(1-(1-Inputs!$B$19/100)*(1-CHOOSE(ArtifactsInput!$N$40+1,5,6,7,8,9,10)/100)^(ArtifactsInput!$M$40-ArtifactsInput!$M$40)))/100)))*(1+(Inputs!$B$24+((C101=TRUE)*(F101-Calc!F31))+((C88=TRUE)*(F88-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+3.3333333333333335*IF(C89=TRUE,F89,0)/100)*(1+(IF(Skills!A9="CRUEL_STAB",Inputs!$B$17+((C98=TRUE)*(F98-Calc!F28))+((IF(AND(Inputs!$B$39&lt;&gt;"pvp",Inputs!$B$44=0),1,IF(IF(Inputs!$B$39="pvp",15,Inputs!$B$44)-(B115)&lt;=0,1,MAX(0,IF(Inputs!$B$39="pvp",15,Inputs!$B$44)-MAX(5,B115))/(IF(Inputs!$B$39="pvp",15,Inputs!$B$44)-(B115))))*(IF(AND(ArtifactsInput!$M$42,((Inputs!$B$9+((C96=TRUE)*(F96-Calc!F26))+B104+(ArtifactsInput!$M$24-ArtifactsInput!$M$24)*CHOOSE(ArtifactsInput!$N$24+1,10,12,14,16,18,20)+IF(ArtifactsInput!$M$10,CHOOSE(ArtifactsInput!$N$10+1,15,18,21,24,27,30)*(IF(Inputs!$B$39="pvp",MIN(15,15)/15,IF(AND(Inputs!$B$39&lt;&gt;"pvp",Inputs!$B$44&gt;0),MIN(15,Inputs!$B$44)/(Inputs!$B$44),0))),0)))&gt;=100),MIN(100,((Inputs!$B$9+((C96=TRUE)*(F96-Calc!F26))+B104+(ArtifactsInput!$M$24-ArtifactsInput!$M$24)*CHOOSE(ArtifactsInput!$N$24+1,10,12,14,16,18,20)+IF(ArtifactsInput!$M$10,CHOOSE(ArtifactsInput!$N$10+1,15,18,21,24,27,30)*(IF(Inputs!$B$39="pvp",MIN(15,15)/15,IF(AND(Inputs!$B$39&lt;&gt;"pvp",Inputs!$B$44&gt;0),MIN(15,Inputs!$B$44)/(Inputs!$B$44),0))),0)))-100),0))*CHOOSE(ArtifactsInput!$N$42+1,0.6,0.72,0.84,0.96,1.08,1.2))),Inputs!$B$18+((C99=TRUE)*(F99-Calc!F29))+(IF(AND(Inputs!$B$39&lt;&gt;"pvp",Inputs!$B$44=0),1,IF(IF(Inputs!$B$39="pvp",15,Inputs!$B$44)-(B115)&lt;=0,1,MAX(0,IF(Inputs!$B$39="pvp",15,Inputs!$B$44)-MAX(5,B115))/(IF(Inputs!$B$39="pvp",15,Inputs!$B$44)-(B115))))*IF(AND(ArtifactsInput!$M$42,((Inputs!$B$9+((C96=TRUE)*(F96-Calc!F26))+B104+(ArtifactsInput!$M$24-ArtifactsInput!$M$24)*CHOOSE(ArtifactsInput!$N$24+1,10,12,14,16,18,20)+IF(ArtifactsInput!$M$10,CHOOSE(ArtifactsInput!$N$10+1,15,18,21,24,27,30)*(IF(Inputs!$B$39="pvp",MIN(15,15)/15,IF(AND(Inputs!$B$39&lt;&gt;"pvp",Inputs!$B$44&gt;0),MIN(15,Inputs!$B$44)/(Inputs!$B$44),0))),0)))&gt;=100),CHOOSE(ArtifactsInput!$N$42+1,40,48,56,64,72,80),0))))/100)*(((1+(((C92=TRUE)*F92*IF(AND(Inputs!$B$39&lt;&gt;"pvp",Inputs!$B$44&gt;0),(((R92-1)*MIN((Skills!Y22*(1+Inputs!$B$34/100)),(1/Q92))+MIN((Skills!Y22*(1+Inputs!$B$34/100)),MAX(0,Inputs!$B$44-((R92-1)*(1/Q92)))))/Inputs!$B$44),IF(Inputs!$B$39="pvp",MIN((Skills!Y22*(1+Inputs!$B$34/100)),15)/15,MIN(1,(Skills!Y22*(1+Inputs!$B$34/100))/(1/Q92)))))+((C73=TRUE)*F73*3)+((C75=TRUE)*F75*(1-EXP(-0.75*B108*5)))+((C94=TRUE)*(F94-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81=TRUE)*F81*IF(AND(Inputs!$B$39&lt;&gt;"pvp",Inputs!$B$44&gt;0),(((R81-1)*MIN((Skills!Y11*(1+Inputs!$B$34/100)),(1/Q81))+MIN((Skills!Y11*(1+Inputs!$B$34/100)),MAX(0,Inputs!$B$44-((R81-1)*(1/Q81)))))/Inputs!$B$44),IF(Inputs!$B$39="pvp",MIN((Skills!Y11*(1+Inputs!$B$34/100)),15)/15,MIN(1,(Skills!Y11*(1+Inputs!$B$34/100))/(1/Q81)))))/100)*(1+((C86=TRUE)*F86*IF(AND(Inputs!$B$39&lt;&gt;"pvp",Inputs!$B$44&gt;0),(((R86-1)*MIN((Skills!Y16*(1+Inputs!$B$34/100)),(1/Q86))+MIN((Skills!Y16*(1+Inputs!$B$34/100)),MAX(0,Inputs!$B$44-((R86-1)*(1/Q86)))))/Inputs!$B$44),IF(Inputs!$B$39="pvp",MIN((Skills!Y16*(1+Inputs!$B$34/100)),15)/15,MIN(1,(Skills!Y16*(1+Inputs!$B$34/100))/(1/Q86)))))/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106*I79)</f>
        <v/>
      </c>
      <c r="L79">
        <f>K79*(MIN(Inputs!$B$22+((C95=TRUE)*(F95-Calc!F25)),(Inputs!$B$23+((C100=TRUE)*(F100-Calc!F30))+IF(ArtifactsInput!$M$15,CHOOSE(ArtifactsInput!$N$15+1,25,30,35,40,45,50)/100*(Inputs!$B$11-Inputs!$B$11),0)))/100+(Inputs!$B$23+((C100=TRUE)*(F100-Calc!F30))+IF(ArtifactsInput!$M$15,CHOOSE(ArtifactsInput!$N$15+1,25,30,35,40,45,50)/100*(Inputs!$B$11-Inputs!$B$11),0))/100)/2</f>
        <v/>
      </c>
      <c r="M79">
        <f>L79*(1+(Inputs!$B$10+((C97=TRUE)*(F97-Calc!F27))+B111+(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79">
        <f>L79*(1-MIN((Inputs!$B$9+((C96=TRUE)*(F96-Calc!F26))+B104+(ArtifactsInput!$M$24-ArtifactsInput!$M$24)*CHOOSE(ArtifactsInput!$N$24+1,10,12,14,16,18,20)+(IF(AND(Inputs!$B$39&lt;&gt;"pvp",Inputs!$B$44=0),1,IF(IF(Inputs!$B$39="pvp",15,Inputs!$B$44)-(B115)&lt;=0,1,MAX(0,IF(Inputs!$B$39="pvp",15,Inputs!$B$44)-MAX(5,B115))/(IF(Inputs!$B$39="pvp",15,Inputs!$B$44)-(B115))))*IF(AND(ArtifactsInput!$M$42,((Inputs!$B$9+((C96=TRUE)*(F96-Calc!F26))+B104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79*(MIN((Inputs!$B$9+((C96=TRUE)*(F96-Calc!F26))+B104+(ArtifactsInput!$M$24-ArtifactsInput!$M$24)*CHOOSE(ArtifactsInput!$N$24+1,10,12,14,16,18,20)+(IF(AND(Inputs!$B$39&lt;&gt;"pvp",Inputs!$B$44=0),1,IF(IF(Inputs!$B$39="pvp",15,Inputs!$B$44)-(B115)&lt;=0,1,MAX(0,IF(Inputs!$B$39="pvp",15,Inputs!$B$44)-MAX(5,B115))/(IF(Inputs!$B$39="pvp",15,Inputs!$B$44)-(B115))))*IF(AND(ArtifactsInput!$M$42,((Inputs!$B$9+((C96=TRUE)*(F96-Calc!F26))+B104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79">
        <f>(1-Summary!$B$11)*T79+Summary!$B$11*V79</f>
        <v/>
      </c>
      <c r="P79">
        <f>IF(B116=0,0,O79/B116)</f>
        <v/>
      </c>
      <c r="Q79">
        <f>IFERROR(1/IF(Inputs!$B$39="pvp",15,MAX(0.1,Skills!D9-IF(FALSE=TRUE,Inputs!$B$32,0))),0)</f>
        <v/>
      </c>
      <c r="R79">
        <f>IF(AND(Inputs!$B$39&lt;&gt;"pvp",Inputs!$B$44&gt;0),IF(MAX(0,Inputs!$B$44-B115)&lt;=0,0,(INT(MAX(0,Inputs!$B$44-B115)/IF(Inputs!$B$39="pvp",15,MAX(0.1,Skills!D9-IF(FALSE=TRUE,Inputs!$B$32,0))))+1)),0)</f>
        <v/>
      </c>
      <c r="S79">
        <f>IFERROR(O79/N79,0)</f>
        <v/>
      </c>
      <c r="T79">
        <f>IF(C79,(H79*N79*IF(AND(Inputs!$B$39&lt;&gt;"pvp",Inputs!$B$44&gt;0),((Skills!G9*((R79-1)*IF(Skills!H9&gt;0,Skills!I9/Skills!H9,1)+IF(Skills!H9&gt;0,MIN(Skills!I9,MAX(0,MAX(0,Inputs!$B$44-B115)-((R79-1)*IF(Inputs!$B$39="pvp",15,MAX(0.1,Skills!D9-IF(FALSE=TRUE,Inputs!$B$32,0))))))/Skills!H9,1)))/Inputs!$B$44),G79*Q79))*IF(Inputs!$B$39="pvp",1,1+(Inputs!$B$20+0+Skills!P9+B105+(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Hunt"),CHOOSE(ArtifactsInput!$N$35+1,15,18,21,24,27,30)*(1-EXP(-(0.2*B108)*5)),0)+IF(AND(ArtifactsInput!$M$22,Inputs!$B$4&lt;&gt;"Chapter Hunt"),CHOOSE(ArtifactsInput!$N$22+1,10,12,14,16,18,20)*((0*(((0.15*B108*5))^0/1)+1*(((0.15*B108*5))^1/1)+2*(((0.15*B108*5))^2/2)+3*(((0.15*B108*5))^3/6)+4*(((0.15*B108*5))^4/24)+5*(((0.15*B108*5))^5/120))/((((0.15*B108*5))^0/1)+(((0.15*B108*5))^1/1)+(((0.15*B108*5))^2/2)+(((0.15*B108*5))^3/6)+(((0.15*B108*5))^4/24)+(((0.15*B108*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79*(1-MIN(100,(Inputs!$B$9+((C96=TRUE)*(F96-Calc!F26))+B104+(ArtifactsInput!$M$24-ArtifactsInput!$M$24)*CHOOSE(ArtifactsInput!$N$24+1,10,12,14,16,18,20)+(IF(AND(Inputs!$B$39&lt;&gt;"pvp",Inputs!$B$44=0),1,IF(IF(Inputs!$B$39="pvp",15,Inputs!$B$44)-(B115)&lt;=0,1,MAX(0,IF(Inputs!$B$39="pvp",15,Inputs!$B$44)-MAX(5,B115))/(IF(Inputs!$B$39="pvp",15,Inputs!$B$44)-(B115))))*IF(AND(ArtifactsInput!$M$42,((Inputs!$B$9+((C96=TRUE)*(F96-Calc!F26))+B104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79*(MIN(100,(Inputs!$B$9+((C96=TRUE)*(F96-Calc!F26))+B104+(ArtifactsInput!$M$24-ArtifactsInput!$M$24)*CHOOSE(ArtifactsInput!$N$24+1,10,12,14,16,18,20)+(IF(AND(Inputs!$B$39&lt;&gt;"pvp",Inputs!$B$44=0),1,IF(IF(Inputs!$B$39="pvp",15,Inputs!$B$44)-(B115)&lt;=0,1,MAX(0,IF(Inputs!$B$39="pvp",15,Inputs!$B$44)-MAX(5,B115))/(IF(Inputs!$B$39="pvp",15,Inputs!$B$44)-(B115))))*IF(AND(ArtifactsInput!$M$42,((Inputs!$B$9+((C96=TRUE)*(F96-Calc!F26))+B104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79*(1-MIN(100,(Inputs!$B$9+((C96=TRUE)*(F96-Calc!F26))+B104+(ArtifactsInput!$M$24-ArtifactsInput!$M$24)*CHOOSE(ArtifactsInput!$N$24+1,10,12,14,16,18,20)+(IF(AND(Inputs!$B$39&lt;&gt;"pvp",Inputs!$B$44=0),1,IF(IF(Inputs!$B$39="pvp",15,Inputs!$B$44)-(B115)&lt;=0,1,MAX(0,IF(Inputs!$B$39="pvp",15,Inputs!$B$44)-MAX(5,B115))/(IF(Inputs!$B$39="pvp",15,Inputs!$B$44)-(B115))))*IF(AND(ArtifactsInput!$M$42,((Inputs!$B$9+((C96=TRUE)*(F96-Calc!F26))+B104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79*(MIN(100,(Inputs!$B$9+((C96=TRUE)*(F96-Calc!F26))+B104+(ArtifactsInput!$M$24-ArtifactsInput!$M$24)*CHOOSE(ArtifactsInput!$N$24+1,10,12,14,16,18,20)+(IF(AND(Inputs!$B$39&lt;&gt;"pvp",Inputs!$B$44=0),1,IF(IF(Inputs!$B$39="pvp",15,Inputs!$B$44)-(B115)&lt;=0,1,MAX(0,IF(Inputs!$B$39="pvp",15,Inputs!$B$44)-MAX(5,B115))/(IF(Inputs!$B$39="pvp",15,Inputs!$B$44)-(B115))))*IF(AND(ArtifactsInput!$M$42,((Inputs!$B$9+((C96=TRUE)*(F96-Calc!F26))+B104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79">
        <f>IF(C79,(H79*N79*IF(AND(Inputs!$B$39&lt;&gt;"pvp",Inputs!$B$44&gt;0),((Skills!G9*((R79-1)*IF(Skills!H9&gt;0,Skills!I9/Skills!H9,1)+IF(Skills!H9&gt;0,MIN(Skills!I9,MAX(0,MAX(0,Inputs!$B$44-B115)-((R79-1)*IF(Inputs!$B$39="pvp",15,MAX(0.1,Skills!D9-IF(FALSE=TRUE,Inputs!$B$32,0))))))/Skills!H9,1)))/Inputs!$B$44),G79*Q79))*IF(Inputs!$B$39="pvp",1,(1+(Inputs!$B$21+Skills!Q9+B105+(IF(ArtifactsInput!$M$33,CHOOSE(ArtifactsInput!$N$33+1,30,36,42,48,54,60),0))+(IF(AND(ArtifactsInput!$M$35,Inputs!$B$4&lt;&gt;"Chapter Hunt"),CHOOSE(ArtifactsInput!$N$35+1,15,18,21,24,27,30)*(1-EXP(-(0.2*B108)*5)),0)+IF(AND(ArtifactsInput!$M$22,Inputs!$B$4&lt;&gt;"Chapter Hunt"),CHOOSE(ArtifactsInput!$N$22+1,10,12,14,16,18,20)*((0*(((0.15*B108*5))^0/1)+1*(((0.15*B108*5))^1/1)+2*(((0.15*B108*5))^2/2)+3*(((0.15*B108*5))^3/6)+4*(((0.15*B108*5))^4/24)+5*(((0.15*B108*5))^5/120))/((((0.15*B108*5))^0/1)+(((0.15*B108*5))^1/1)+(((0.15*B108*5))^2/2)+(((0.15*B108*5))^3/6)+(((0.15*B108*5))^4/24)+(((0.15*B108*5))^5/120))),0)))/100)*(MIN(Skills!W9,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80">
      <c r="A80">
        <f>Skills!A10</f>
        <v/>
      </c>
      <c r="B80">
        <f>Skills!B10</f>
        <v/>
      </c>
      <c r="C80">
        <f>Inputs!$B$3&gt;=117</f>
        <v/>
      </c>
      <c r="D80">
        <f>IF(Skills!C10=1,60+Inputs!$B$25+Inputs!$B$29,IF(Skills!C10=2,90+Inputs!$B$26+Inputs!$B$29,IF(Skills!C10=3,120+Inputs!$B$27+Inputs!$B$29,MAX(0,(Inputs!$B$3-100)*3)+Inputs!$B$28+Inputs!$B$29)))</f>
        <v/>
      </c>
      <c r="E80">
        <f>INDEX(FactorTable!$B$2:$Y$301, MATCH(ROUND(MIN(300,MAX(1,D80)),0), FactorTable!$A$2:$A$301,0), Skills!M10+1)</f>
        <v/>
      </c>
      <c r="F80">
        <f>IF(Skills!N10=TRUE,(Skills!L10/10)*(E80/1000),Skills!L10/10)+Skills!O10</f>
        <v/>
      </c>
      <c r="G80">
        <f>Skills!G10*IF(Skills!H10&gt;0,IF(Inputs!$B$39="pvp",MIN(Skills!I10,15),Skills!I10)/Skills!H10,1)</f>
        <v/>
      </c>
      <c r="H80">
        <f>1-(1-Skills!J10/100)^Skills!K10</f>
        <v/>
      </c>
      <c r="I80" t="inlineStr">
        <is>
          <t>1</t>
        </is>
      </c>
      <c r="J80">
        <f>((Inputs!$B$6*(1+Inputs!$B$7/100))+((((Inputs!$B$12+1)*(1+Inputs!$B$13/100))-(Inputs!$B$12*(1+Inputs!$B$13/100)))+0.25*(Inputs!$B$14-Inputs!$B$14))*(1+Inputs!$B$7/100))*(F80/100)</f>
        <v/>
      </c>
      <c r="K80">
        <f>J80*(1+(((Inputs!$B$12+1)*(1+Inputs!$B$13/100))*0.01+Inputs!$B$14*0.0025)/100)*(1+Inputs!$B$15/100)*(1+Inputs!$B$16/100)*(5000/(6000+Inputs!$B$43*(1-(100*(1-(1-Inputs!$B$19/100)*(1-CHOOSE(ArtifactsInput!$N$40+1,5,6,7,8,9,10)/100)^(ArtifactsInput!$M$40-ArtifactsInput!$M$40)))/100)))*(1+(Inputs!$B$24+((C101=TRUE)*(F101-Calc!F31))+((C88=TRUE)*(F88-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10="CRUEL_STAB",Inputs!$B$17+((C98=TRUE)*(F98-Calc!F28))+((IF(AND(Inputs!$B$39&lt;&gt;"pvp",Inputs!$B$44=0),1,IF(IF(Inputs!$B$39="pvp",15,Inputs!$B$44)-(B115)&lt;=0,1,MAX(0,IF(Inputs!$B$39="pvp",15,Inputs!$B$44)-MAX(5,B115))/(IF(Inputs!$B$39="pvp",15,Inputs!$B$44)-(B115))))*(IF(AND(ArtifactsInput!$M$42,((Inputs!$B$9+((C96=TRUE)*(F96-Calc!F26))+B104+(ArtifactsInput!$M$24-ArtifactsInput!$M$24)*CHOOSE(ArtifactsInput!$N$24+1,10,12,14,16,18,20)+IF(ArtifactsInput!$M$10,CHOOSE(ArtifactsInput!$N$10+1,15,18,21,24,27,30)*(IF(Inputs!$B$39="pvp",MIN(15,15)/15,IF(AND(Inputs!$B$39&lt;&gt;"pvp",Inputs!$B$44&gt;0),MIN(15,Inputs!$B$44)/(Inputs!$B$44),0))),0)))&gt;=100),MIN(100,((Inputs!$B$9+((C96=TRUE)*(F96-Calc!F26))+B104+(ArtifactsInput!$M$24-ArtifactsInput!$M$24)*CHOOSE(ArtifactsInput!$N$24+1,10,12,14,16,18,20)+IF(ArtifactsInput!$M$10,CHOOSE(ArtifactsInput!$N$10+1,15,18,21,24,27,30)*(IF(Inputs!$B$39="pvp",MIN(15,15)/15,IF(AND(Inputs!$B$39&lt;&gt;"pvp",Inputs!$B$44&gt;0),MIN(15,Inputs!$B$44)/(Inputs!$B$44),0))),0)))-100),0))*CHOOSE(ArtifactsInput!$N$42+1,0.6,0.72,0.84,0.96,1.08,1.2))),Inputs!$B$18+((C99=TRUE)*(F99-Calc!F29))+(IF(AND(Inputs!$B$39&lt;&gt;"pvp",Inputs!$B$44=0),1,IF(IF(Inputs!$B$39="pvp",15,Inputs!$B$44)-(B115)&lt;=0,1,MAX(0,IF(Inputs!$B$39="pvp",15,Inputs!$B$44)-MAX(5,B115))/(IF(Inputs!$B$39="pvp",15,Inputs!$B$44)-(B115))))*IF(AND(ArtifactsInput!$M$42,((Inputs!$B$9+((C96=TRUE)*(F96-Calc!F26))+B104+(ArtifactsInput!$M$24-ArtifactsInput!$M$24)*CHOOSE(ArtifactsInput!$N$24+1,10,12,14,16,18,20)+IF(ArtifactsInput!$M$10,CHOOSE(ArtifactsInput!$N$10+1,15,18,21,24,27,30)*(IF(Inputs!$B$39="pvp",MIN(15,15)/15,IF(AND(Inputs!$B$39&lt;&gt;"pvp",Inputs!$B$44&gt;0),MIN(15,Inputs!$B$44)/(Inputs!$B$44),0))),0)))&gt;=100),CHOOSE(ArtifactsInput!$N$42+1,40,48,56,64,72,80),0))))/100)*(((1+(((C92=TRUE)*F92*IF(AND(Inputs!$B$39&lt;&gt;"pvp",Inputs!$B$44&gt;0),(((R92-1)*MIN((Skills!Y22*(1+Inputs!$B$34/100)),(1/Q92))+MIN((Skills!Y22*(1+Inputs!$B$34/100)),MAX(0,Inputs!$B$44-((R92-1)*(1/Q92)))))/Inputs!$B$44),IF(Inputs!$B$39="pvp",MIN((Skills!Y22*(1+Inputs!$B$34/100)),15)/15,MIN(1,(Skills!Y22*(1+Inputs!$B$34/100))/(1/Q92)))))+((C73=TRUE)*F73*3)+((C75=TRUE)*F75*(1-EXP(-0.75*B108*5)))+((C94=TRUE)*(F94-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81=TRUE)*F81*IF(AND(Inputs!$B$39&lt;&gt;"pvp",Inputs!$B$44&gt;0),(((R81-1)*MIN((Skills!Y11*(1+Inputs!$B$34/100)),(1/Q81))+MIN((Skills!Y11*(1+Inputs!$B$34/100)),MAX(0,Inputs!$B$44-((R81-1)*(1/Q81)))))/Inputs!$B$44),IF(Inputs!$B$39="pvp",MIN((Skills!Y11*(1+Inputs!$B$34/100)),15)/15,MIN(1,(Skills!Y11*(1+Inputs!$B$34/100))/(1/Q81)))))/100)*(1+((C86=TRUE)*F86*IF(AND(Inputs!$B$39&lt;&gt;"pvp",Inputs!$B$44&gt;0),(((R86-1)*MIN((Skills!Y16*(1+Inputs!$B$34/100)),(1/Q86))+MIN((Skills!Y16*(1+Inputs!$B$34/100)),MAX(0,Inputs!$B$44-((R86-1)*(1/Q86)))))/Inputs!$B$44),IF(Inputs!$B$39="pvp",MIN((Skills!Y16*(1+Inputs!$B$34/100)),15)/15,MIN(1,(Skills!Y16*(1+Inputs!$B$34/100))/(1/Q86)))))/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106*I80)</f>
        <v/>
      </c>
      <c r="L80">
        <f>K80*(MIN(Inputs!$B$22+((C95=TRUE)*(F95-Calc!F25)),(Inputs!$B$23+((C100=TRUE)*(F100-Calc!F30))+IF(ArtifactsInput!$M$15,CHOOSE(ArtifactsInput!$N$15+1,25,30,35,40,45,50)/100*(Inputs!$B$11-Inputs!$B$11),0)))/100+(Inputs!$B$23+((C100=TRUE)*(F100-Calc!F30))+IF(ArtifactsInput!$M$15,CHOOSE(ArtifactsInput!$N$15+1,25,30,35,40,45,50)/100*(Inputs!$B$11-Inputs!$B$11),0))/100)/2</f>
        <v/>
      </c>
      <c r="M80">
        <f>L80*(1+(Inputs!$B$10+((C97=TRUE)*(F97-Calc!F27))+B111+(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80">
        <f>L80*(1-MIN((Inputs!$B$9+((C96=TRUE)*(F96-Calc!F26))+B104+(ArtifactsInput!$M$24-ArtifactsInput!$M$24)*CHOOSE(ArtifactsInput!$N$24+1,10,12,14,16,18,20)+(IF(AND(Inputs!$B$39&lt;&gt;"pvp",Inputs!$B$44=0),1,IF(IF(Inputs!$B$39="pvp",15,Inputs!$B$44)-(B115)&lt;=0,1,MAX(0,IF(Inputs!$B$39="pvp",15,Inputs!$B$44)-MAX(5,B115))/(IF(Inputs!$B$39="pvp",15,Inputs!$B$44)-(B115))))*IF(AND(ArtifactsInput!$M$42,((Inputs!$B$9+((C96=TRUE)*(F96-Calc!F26))+B104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80*(MIN((Inputs!$B$9+((C96=TRUE)*(F96-Calc!F26))+B104+(ArtifactsInput!$M$24-ArtifactsInput!$M$24)*CHOOSE(ArtifactsInput!$N$24+1,10,12,14,16,18,20)+(IF(AND(Inputs!$B$39&lt;&gt;"pvp",Inputs!$B$44=0),1,IF(IF(Inputs!$B$39="pvp",15,Inputs!$B$44)-(B115)&lt;=0,1,MAX(0,IF(Inputs!$B$39="pvp",15,Inputs!$B$44)-MAX(5,B115))/(IF(Inputs!$B$39="pvp",15,Inputs!$B$44)-(B115))))*IF(AND(ArtifactsInput!$M$42,((Inputs!$B$9+((C96=TRUE)*(F96-Calc!F26))+B104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80">
        <f>(1-Summary!$B$11)*T80+Summary!$B$11*V80</f>
        <v/>
      </c>
      <c r="P80">
        <f>IF(B116=0,0,O80/B116)</f>
        <v/>
      </c>
      <c r="Q80" t="n">
        <v>0</v>
      </c>
      <c r="R80" t="n">
        <v>0</v>
      </c>
      <c r="S80" t="n">
        <v>0</v>
      </c>
      <c r="T80">
        <f>IF(C80,(0.2*SUMPRODUCT((Skills!Z2:Z31=TRUE)*(C72:C101=TRUE)*S72:S101)*N80)*IF(Inputs!$B$39="pvp",1,1+(Inputs!$B$20+0+Skills!P10+B105+(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Hunt"),CHOOSE(ArtifactsInput!$N$35+1,15,18,21,24,27,30)*(1-EXP(-(0.2*B108)*5)),0)+IF(AND(ArtifactsInput!$M$22,Inputs!$B$4&lt;&gt;"Chapter Hunt"),CHOOSE(ArtifactsInput!$N$22+1,10,12,14,16,18,20)*((0*(((0.15*B108*5))^0/1)+1*(((0.15*B108*5))^1/1)+2*(((0.15*B108*5))^2/2)+3*(((0.15*B108*5))^3/6)+4*(((0.15*B108*5))^4/24)+5*(((0.15*B108*5))^5/120))/((((0.15*B108*5))^0/1)+(((0.15*B108*5))^1/1)+(((0.15*B108*5))^2/2)+(((0.15*B108*5))^3/6)+(((0.15*B108*5))^4/24)+(((0.15*B108*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80*(1-MIN(100,(Inputs!$B$9+((C96=TRUE)*(F96-Calc!F26))+B104+(ArtifactsInput!$M$24-ArtifactsInput!$M$24)*CHOOSE(ArtifactsInput!$N$24+1,10,12,14,16,18,20)+(IF(AND(Inputs!$B$39&lt;&gt;"pvp",Inputs!$B$44=0),1,IF(IF(Inputs!$B$39="pvp",15,Inputs!$B$44)-(B115)&lt;=0,1,MAX(0,IF(Inputs!$B$39="pvp",15,Inputs!$B$44)-MAX(5,B115))/(IF(Inputs!$B$39="pvp",15,Inputs!$B$44)-(B115))))*IF(AND(ArtifactsInput!$M$42,((Inputs!$B$9+((C96=TRUE)*(F96-Calc!F26))+B104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80*(MIN(100,(Inputs!$B$9+((C96=TRUE)*(F96-Calc!F26))+B104+(ArtifactsInput!$M$24-ArtifactsInput!$M$24)*CHOOSE(ArtifactsInput!$N$24+1,10,12,14,16,18,20)+(IF(AND(Inputs!$B$39&lt;&gt;"pvp",Inputs!$B$44=0),1,IF(IF(Inputs!$B$39="pvp",15,Inputs!$B$44)-(B115)&lt;=0,1,MAX(0,IF(Inputs!$B$39="pvp",15,Inputs!$B$44)-MAX(5,B115))/(IF(Inputs!$B$39="pvp",15,Inputs!$B$44)-(B115))))*IF(AND(ArtifactsInput!$M$42,((Inputs!$B$9+((C96=TRUE)*(F96-Calc!F26))+B104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80*(1-MIN(100,(Inputs!$B$9+((C96=TRUE)*(F96-Calc!F26))+B104+(ArtifactsInput!$M$24-ArtifactsInput!$M$24)*CHOOSE(ArtifactsInput!$N$24+1,10,12,14,16,18,20)+(IF(AND(Inputs!$B$39&lt;&gt;"pvp",Inputs!$B$44=0),1,IF(IF(Inputs!$B$39="pvp",15,Inputs!$B$44)-(B115)&lt;=0,1,MAX(0,IF(Inputs!$B$39="pvp",15,Inputs!$B$44)-MAX(5,B115))/(IF(Inputs!$B$39="pvp",15,Inputs!$B$44)-(B115))))*IF(AND(ArtifactsInput!$M$42,((Inputs!$B$9+((C96=TRUE)*(F96-Calc!F26))+B104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80*(MIN(100,(Inputs!$B$9+((C96=TRUE)*(F96-Calc!F26))+B104+(ArtifactsInput!$M$24-ArtifactsInput!$M$24)*CHOOSE(ArtifactsInput!$N$24+1,10,12,14,16,18,20)+(IF(AND(Inputs!$B$39&lt;&gt;"pvp",Inputs!$B$44=0),1,IF(IF(Inputs!$B$39="pvp",15,Inputs!$B$44)-(B115)&lt;=0,1,MAX(0,IF(Inputs!$B$39="pvp",15,Inputs!$B$44)-MAX(5,B115))/(IF(Inputs!$B$39="pvp",15,Inputs!$B$44)-(B115))))*IF(AND(ArtifactsInput!$M$42,((Inputs!$B$9+((C96=TRUE)*(F96-Calc!F26))+B104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80">
        <f>IF(C80,(0.2*SUMPRODUCT((Skills!Z2:Z31=TRUE)*(C72:C101=TRUE)*S72:S101)*N80)*IF(Inputs!$B$39="pvp",1,(1+(Inputs!$B$21+Skills!Q10+B105+(IF(ArtifactsInput!$M$33,CHOOSE(ArtifactsInput!$N$33+1,30,36,42,48,54,60),0))+(IF(AND(ArtifactsInput!$M$35,Inputs!$B$4&lt;&gt;"Chapter Hunt"),CHOOSE(ArtifactsInput!$N$35+1,15,18,21,24,27,30)*(1-EXP(-(0.2*B108)*5)),0)+IF(AND(ArtifactsInput!$M$22,Inputs!$B$4&lt;&gt;"Chapter Hunt"),CHOOSE(ArtifactsInput!$N$22+1,10,12,14,16,18,20)*((0*(((0.15*B108*5))^0/1)+1*(((0.15*B108*5))^1/1)+2*(((0.15*B108*5))^2/2)+3*(((0.15*B108*5))^3/6)+4*(((0.15*B108*5))^4/24)+5*(((0.15*B108*5))^5/120))/((((0.15*B108*5))^0/1)+(((0.15*B108*5))^1/1)+(((0.15*B108*5))^2/2)+(((0.15*B108*5))^3/6)+(((0.15*B108*5))^4/24)+(((0.15*B108*5))^5/120))),0)))/100)*(MIN(Skills!W10,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81">
      <c r="A81">
        <f>Skills!A11</f>
        <v/>
      </c>
      <c r="B81">
        <f>Skills!B11</f>
        <v/>
      </c>
      <c r="C81">
        <f>Inputs!$B$3&gt;=74</f>
        <v/>
      </c>
      <c r="D81">
        <f>IF(Skills!C11=1,60+Inputs!$B$25+Inputs!$B$29,IF(Skills!C11=2,90+Inputs!$B$26+Inputs!$B$29,IF(Skills!C11=3,120+Inputs!$B$27+Inputs!$B$29,MAX(0,(Inputs!$B$3-100)*3)+Inputs!$B$28+Inputs!$B$29)))</f>
        <v/>
      </c>
      <c r="E81">
        <f>INDEX(FactorTable!$B$2:$Y$301, MATCH(ROUND(MIN(300,MAX(1,D81)),0), FactorTable!$A$2:$A$301,0), Skills!M11+1)</f>
        <v/>
      </c>
      <c r="F81">
        <f>IF(Skills!N11=TRUE,(Skills!L11/10)*(E81/1000),Skills!L11/10)+Skills!O11</f>
        <v/>
      </c>
      <c r="G81">
        <f>Skills!G11*IF(Skills!H11&gt;0,IF(Inputs!$B$39="pvp",MIN(Skills!I11,15),Skills!I11)/Skills!H11,1)</f>
        <v/>
      </c>
      <c r="H81">
        <f>1-(1-Skills!J11/100)^Skills!K11</f>
        <v/>
      </c>
      <c r="I81" t="inlineStr">
        <is>
          <t>1</t>
        </is>
      </c>
      <c r="J81" t="inlineStr"/>
      <c r="K81" t="inlineStr"/>
      <c r="L81" t="inlineStr"/>
      <c r="M81" t="inlineStr"/>
      <c r="N81" t="inlineStr"/>
      <c r="O81">
        <f>(1-Summary!$B$11)*T81+Summary!$B$11*V81</f>
        <v/>
      </c>
      <c r="P81">
        <f>IF(B116=0,0,O81/B116)</f>
        <v/>
      </c>
      <c r="Q81">
        <f>IFERROR(1/IF(Inputs!$B$39="pvp",15,MAX(0.1,Skills!D11-IF(TRUE=TRUE,Inputs!$B$32,0))),0)</f>
        <v/>
      </c>
      <c r="R81">
        <f>IF(AND(Inputs!$B$39&lt;&gt;"pvp",Inputs!$B$44&gt;0),IF(Inputs!$B$44&lt;=0,0,(INT(Inputs!$B$44/IF(Inputs!$B$39="pvp",15,MAX(0.1,Skills!D11-IF(TRUE=TRUE,Inputs!$B$32,0))))+1)),0)</f>
        <v/>
      </c>
      <c r="S81">
        <f>IFERROR(O81/N81,0)</f>
        <v/>
      </c>
      <c r="T81" t="n">
        <v>0</v>
      </c>
      <c r="V81" t="n">
        <v>0</v>
      </c>
    </row>
    <row r="82">
      <c r="A82">
        <f>Skills!A12</f>
        <v/>
      </c>
      <c r="B82">
        <f>Skills!B12</f>
        <v/>
      </c>
      <c r="C82">
        <f>Inputs!$B$3&gt;=103</f>
        <v/>
      </c>
      <c r="D82">
        <f>IF(Skills!C12=1,60+Inputs!$B$25+Inputs!$B$29,IF(Skills!C12=2,90+Inputs!$B$26+Inputs!$B$29,IF(Skills!C12=3,120+Inputs!$B$27+Inputs!$B$29,MAX(0,(Inputs!$B$3-100)*3)+Inputs!$B$28+Inputs!$B$29)))</f>
        <v/>
      </c>
      <c r="E82">
        <f>INDEX(FactorTable!$B$2:$Y$301, MATCH(ROUND(MIN(300,MAX(1,D82)),0), FactorTable!$A$2:$A$301,0), Skills!M12+1)</f>
        <v/>
      </c>
      <c r="F82">
        <f>(Skills!L12/10)*(E82/1000)+IF(Inputs!$B$3&gt;=134,50,0)+0.5*(30000/10)*(INDEX(FactorTable!$B$2:$Y$301, MATCH(ROUND(MIN(300,MAX(1,D82)),0), FactorTable!$A$2:$A$301,0), 13)/1000)*B114</f>
        <v/>
      </c>
      <c r="G82">
        <f>Skills!G12*IF(Skills!H12&gt;0,IF(Inputs!$B$39="pvp",MIN(Skills!I12,15),Skills!I12)/Skills!H12,1)</f>
        <v/>
      </c>
      <c r="H82">
        <f>1-(1-Skills!J12/100)^Skills!K12</f>
        <v/>
      </c>
      <c r="I82" t="inlineStr">
        <is>
          <t>1</t>
        </is>
      </c>
      <c r="J82">
        <f>((Inputs!$B$6*(1+Inputs!$B$7/100))+((((Inputs!$B$12+1)*(1+Inputs!$B$13/100))-(Inputs!$B$12*(1+Inputs!$B$13/100)))+0.25*(Inputs!$B$14-Inputs!$B$14))*(1+Inputs!$B$7/100))*(F82/100)</f>
        <v/>
      </c>
      <c r="K82">
        <f>J82*(1+(((Inputs!$B$12+1)*(1+Inputs!$B$13/100))*0.01+Inputs!$B$14*0.0025)/100)*(1+Inputs!$B$15/100)*(1+Inputs!$B$16/100)*(5000/(6000+Inputs!$B$43*(1-(100*(1-(1-Inputs!$B$19/100)*(1-CHOOSE(ArtifactsInput!$N$40+1,5,6,7,8,9,10)/100)^(ArtifactsInput!$M$40-ArtifactsInput!$M$40)))/100)))*(1+(Inputs!$B$24+((C101=TRUE)*(F101-Calc!F31))+((C88=TRUE)*(F88-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12="CRUEL_STAB",Inputs!$B$17+((C98=TRUE)*(F98-Calc!F28))+((IF(AND(Inputs!$B$39&lt;&gt;"pvp",Inputs!$B$44=0),1,IF(IF(Inputs!$B$39="pvp",15,Inputs!$B$44)-(B115)&lt;=0,1,MAX(0,IF(Inputs!$B$39="pvp",15,Inputs!$B$44)-MAX(5,B115))/(IF(Inputs!$B$39="pvp",15,Inputs!$B$44)-(B115))))*(IF(AND(ArtifactsInput!$M$42,((Inputs!$B$9+((C96=TRUE)*(F96-Calc!F26))+B104+(ArtifactsInput!$M$24-ArtifactsInput!$M$24)*CHOOSE(ArtifactsInput!$N$24+1,10,12,14,16,18,20)+IF(ArtifactsInput!$M$10,CHOOSE(ArtifactsInput!$N$10+1,15,18,21,24,27,30)*(IF(Inputs!$B$39="pvp",MIN(15,15)/15,IF(AND(Inputs!$B$39&lt;&gt;"pvp",Inputs!$B$44&gt;0),MIN(15,Inputs!$B$44)/(Inputs!$B$44),0))),0)))&gt;=100),MIN(100,((Inputs!$B$9+((C96=TRUE)*(F96-Calc!F26))+B104+(ArtifactsInput!$M$24-ArtifactsInput!$M$24)*CHOOSE(ArtifactsInput!$N$24+1,10,12,14,16,18,20)+IF(ArtifactsInput!$M$10,CHOOSE(ArtifactsInput!$N$10+1,15,18,21,24,27,30)*(IF(Inputs!$B$39="pvp",MIN(15,15)/15,IF(AND(Inputs!$B$39&lt;&gt;"pvp",Inputs!$B$44&gt;0),MIN(15,Inputs!$B$44)/(Inputs!$B$44),0))),0)))-100),0))*CHOOSE(ArtifactsInput!$N$42+1,0.6,0.72,0.84,0.96,1.08,1.2))),Inputs!$B$18+((C99=TRUE)*(F99-Calc!F29))+(IF(AND(Inputs!$B$39&lt;&gt;"pvp",Inputs!$B$44=0),1,IF(IF(Inputs!$B$39="pvp",15,Inputs!$B$44)-(B115)&lt;=0,1,MAX(0,IF(Inputs!$B$39="pvp",15,Inputs!$B$44)-MAX(5,B115))/(IF(Inputs!$B$39="pvp",15,Inputs!$B$44)-(B115))))*IF(AND(ArtifactsInput!$M$42,((Inputs!$B$9+((C96=TRUE)*(F96-Calc!F26))+B104+(ArtifactsInput!$M$24-ArtifactsInput!$M$24)*CHOOSE(ArtifactsInput!$N$24+1,10,12,14,16,18,20)+IF(ArtifactsInput!$M$10,CHOOSE(ArtifactsInput!$N$10+1,15,18,21,24,27,30)*(IF(Inputs!$B$39="pvp",MIN(15,15)/15,IF(AND(Inputs!$B$39&lt;&gt;"pvp",Inputs!$B$44&gt;0),MIN(15,Inputs!$B$44)/(Inputs!$B$44),0))),0)))&gt;=100),CHOOSE(ArtifactsInput!$N$42+1,40,48,56,64,72,80),0))))/100)*(((1+(((C92=TRUE)*F92*IF(AND(Inputs!$B$39&lt;&gt;"pvp",Inputs!$B$44&gt;0),(((R92-1)*MIN((Skills!Y22*(1+Inputs!$B$34/100)),(1/Q92))+MIN((Skills!Y22*(1+Inputs!$B$34/100)),MAX(0,Inputs!$B$44-((R92-1)*(1/Q92)))))/Inputs!$B$44),IF(Inputs!$B$39="pvp",MIN((Skills!Y22*(1+Inputs!$B$34/100)),15)/15,MIN(1,(Skills!Y22*(1+Inputs!$B$34/100))/(1/Q92)))))+((C73=TRUE)*F73*3)+((C75=TRUE)*F75*(1-EXP(-0.75*B108*5)))+((C94=TRUE)*(F94-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81=TRUE)*F81*IF(AND(Inputs!$B$39&lt;&gt;"pvp",Inputs!$B$44&gt;0),(((R81-1)*MIN((Skills!Y11*(1+Inputs!$B$34/100)),(1/Q81))+MIN((Skills!Y11*(1+Inputs!$B$34/100)),MAX(0,Inputs!$B$44-((R81-1)*(1/Q81)))))/Inputs!$B$44),IF(Inputs!$B$39="pvp",MIN((Skills!Y11*(1+Inputs!$B$34/100)),15)/15,MIN(1,(Skills!Y11*(1+Inputs!$B$34/100))/(1/Q81)))))/100)*(1+((C86=TRUE)*F86*IF(AND(Inputs!$B$39&lt;&gt;"pvp",Inputs!$B$44&gt;0),(((R86-1)*MIN((Skills!Y16*(1+Inputs!$B$34/100)),(1/Q86))+MIN((Skills!Y16*(1+Inputs!$B$34/100)),MAX(0,Inputs!$B$44-((R86-1)*(1/Q86)))))/Inputs!$B$44),IF(Inputs!$B$39="pvp",MIN((Skills!Y16*(1+Inputs!$B$34/100)),15)/15,MIN(1,(Skills!Y16*(1+Inputs!$B$34/100))/(1/Q86)))))/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106*I82)</f>
        <v/>
      </c>
      <c r="L82">
        <f>K82*(MIN(Inputs!$B$22+((C95=TRUE)*(F95-Calc!F25)),(Inputs!$B$23+((C100=TRUE)*(F100-Calc!F30))+IF(ArtifactsInput!$M$15,CHOOSE(ArtifactsInput!$N$15+1,25,30,35,40,45,50)/100*(Inputs!$B$11-Inputs!$B$11),0)))/100+(Inputs!$B$23+((C100=TRUE)*(F100-Calc!F30))+IF(ArtifactsInput!$M$15,CHOOSE(ArtifactsInput!$N$15+1,25,30,35,40,45,50)/100*(Inputs!$B$11-Inputs!$B$11),0))/100)/2</f>
        <v/>
      </c>
      <c r="M82">
        <f>L82*(1+(Inputs!$B$10+((C97=TRUE)*(F97-Calc!F27))+B111+(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82">
        <f>L82*(1-MIN((Inputs!$B$9+((C96=TRUE)*(F96-Calc!F26))+B104+(ArtifactsInput!$M$24-ArtifactsInput!$M$24)*CHOOSE(ArtifactsInput!$N$24+1,10,12,14,16,18,20)+(IF(AND(Inputs!$B$39&lt;&gt;"pvp",Inputs!$B$44=0),1,IF(IF(Inputs!$B$39="pvp",15,Inputs!$B$44)-(B115)&lt;=0,1,MAX(0,IF(Inputs!$B$39="pvp",15,Inputs!$B$44)-MAX(5,B115))/(IF(Inputs!$B$39="pvp",15,Inputs!$B$44)-(B115))))*IF(AND(ArtifactsInput!$M$42,((Inputs!$B$9+((C96=TRUE)*(F96-Calc!F26))+B104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82*(MIN((Inputs!$B$9+((C96=TRUE)*(F96-Calc!F26))+B104+(ArtifactsInput!$M$24-ArtifactsInput!$M$24)*CHOOSE(ArtifactsInput!$N$24+1,10,12,14,16,18,20)+(IF(AND(Inputs!$B$39&lt;&gt;"pvp",Inputs!$B$44=0),1,IF(IF(Inputs!$B$39="pvp",15,Inputs!$B$44)-(B115)&lt;=0,1,MAX(0,IF(Inputs!$B$39="pvp",15,Inputs!$B$44)-MAX(5,B115))/(IF(Inputs!$B$39="pvp",15,Inputs!$B$44)-(B115))))*IF(AND(ArtifactsInput!$M$42,((Inputs!$B$9+((C96=TRUE)*(F96-Calc!F26))+B104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82">
        <f>(1-Summary!$B$11)*T82+Summary!$B$11*V82</f>
        <v/>
      </c>
      <c r="P82">
        <f>IF(B116=0,0,O82/B116)</f>
        <v/>
      </c>
      <c r="Q82">
        <f>IFERROR(1/IF(Inputs!$B$39="pvp",15,MAX(0.1,Skills!D12-IF(TRUE=TRUE,Inputs!$B$32,0))),0)</f>
        <v/>
      </c>
      <c r="R82">
        <f>IF(AND(Inputs!$B$39&lt;&gt;"pvp",Inputs!$B$44&gt;0),IF(MAX(0,Inputs!$B$44-B115)&lt;=0,0,(INT(MAX(0,Inputs!$B$44-B115)/IF(Inputs!$B$39="pvp",15,MAX(0.1,Skills!D12-IF(TRUE=TRUE,Inputs!$B$32,0))))+1)),0)</f>
        <v/>
      </c>
      <c r="S82">
        <f>IFERROR(O82/N82,0)</f>
        <v/>
      </c>
      <c r="T82">
        <f>IF(C82,(H82*N82*IF(AND(Inputs!$B$39&lt;&gt;"pvp",Inputs!$B$44&gt;0),((Skills!G12*((R82-1)*IF(Skills!H12&gt;0,Skills!I12/Skills!H12,1)+IF(Skills!H12&gt;0,MIN(Skills!I12,MAX(0,MAX(0,Inputs!$B$44-B115)-((R82-1)*IF(Inputs!$B$39="pvp",15,MAX(0.1,Skills!D12-IF(TRUE=TRUE,Inputs!$B$32,0))))))/Skills!H12,1)))/Inputs!$B$44),G82*Q82))*IF(Inputs!$B$39="pvp",1,1+(Inputs!$B$20+0+Skills!P12+B105+(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Hunt"),CHOOSE(ArtifactsInput!$N$35+1,15,18,21,24,27,30)*(1-EXP(-(0.2*B108)*5)),0)+IF(AND(ArtifactsInput!$M$22,Inputs!$B$4&lt;&gt;"Chapter Hunt"),CHOOSE(ArtifactsInput!$N$22+1,10,12,14,16,18,20)*((0*(((0.15*B108*5))^0/1)+1*(((0.15*B108*5))^1/1)+2*(((0.15*B108*5))^2/2)+3*(((0.15*B108*5))^3/6)+4*(((0.15*B108*5))^4/24)+5*(((0.15*B108*5))^5/120))/((((0.15*B108*5))^0/1)+(((0.15*B108*5))^1/1)+(((0.15*B108*5))^2/2)+(((0.15*B108*5))^3/6)+(((0.15*B108*5))^4/24)+(((0.15*B108*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82*(1-MIN(100,(Inputs!$B$9+((C96=TRUE)*(F96-Calc!F26))+B104+(ArtifactsInput!$M$24-ArtifactsInput!$M$24)*CHOOSE(ArtifactsInput!$N$24+1,10,12,14,16,18,20)+(IF(AND(Inputs!$B$39&lt;&gt;"pvp",Inputs!$B$44=0),1,IF(IF(Inputs!$B$39="pvp",15,Inputs!$B$44)-(B115)&lt;=0,1,MAX(0,IF(Inputs!$B$39="pvp",15,Inputs!$B$44)-MAX(5,B115))/(IF(Inputs!$B$39="pvp",15,Inputs!$B$44)-(B115))))*IF(AND(ArtifactsInput!$M$42,((Inputs!$B$9+((C96=TRUE)*(F96-Calc!F26))+B104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82*(MIN(100,(Inputs!$B$9+((C96=TRUE)*(F96-Calc!F26))+B104+(ArtifactsInput!$M$24-ArtifactsInput!$M$24)*CHOOSE(ArtifactsInput!$N$24+1,10,12,14,16,18,20)+(IF(AND(Inputs!$B$39&lt;&gt;"pvp",Inputs!$B$44=0),1,IF(IF(Inputs!$B$39="pvp",15,Inputs!$B$44)-(B115)&lt;=0,1,MAX(0,IF(Inputs!$B$39="pvp",15,Inputs!$B$44)-MAX(5,B115))/(IF(Inputs!$B$39="pvp",15,Inputs!$B$44)-(B115))))*IF(AND(ArtifactsInput!$M$42,((Inputs!$B$9+((C96=TRUE)*(F96-Calc!F26))+B104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82*(1-MIN(100,(Inputs!$B$9+((C96=TRUE)*(F96-Calc!F26))+B104+(ArtifactsInput!$M$24-ArtifactsInput!$M$24)*CHOOSE(ArtifactsInput!$N$24+1,10,12,14,16,18,20)+(IF(AND(Inputs!$B$39&lt;&gt;"pvp",Inputs!$B$44=0),1,IF(IF(Inputs!$B$39="pvp",15,Inputs!$B$44)-(B115)&lt;=0,1,MAX(0,IF(Inputs!$B$39="pvp",15,Inputs!$B$44)-MAX(5,B115))/(IF(Inputs!$B$39="pvp",15,Inputs!$B$44)-(B115))))*IF(AND(ArtifactsInput!$M$42,((Inputs!$B$9+((C96=TRUE)*(F96-Calc!F26))+B104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82*(MIN(100,(Inputs!$B$9+((C96=TRUE)*(F96-Calc!F26))+B104+(ArtifactsInput!$M$24-ArtifactsInput!$M$24)*CHOOSE(ArtifactsInput!$N$24+1,10,12,14,16,18,20)+(IF(AND(Inputs!$B$39&lt;&gt;"pvp",Inputs!$B$44=0),1,IF(IF(Inputs!$B$39="pvp",15,Inputs!$B$44)-(B115)&lt;=0,1,MAX(0,IF(Inputs!$B$39="pvp",15,Inputs!$B$44)-MAX(5,B115))/(IF(Inputs!$B$39="pvp",15,Inputs!$B$44)-(B115))))*IF(AND(ArtifactsInput!$M$42,((Inputs!$B$9+((C96=TRUE)*(F96-Calc!F26))+B104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82">
        <f>IF(C82,(H82*N82*IF(AND(Inputs!$B$39&lt;&gt;"pvp",Inputs!$B$44&gt;0),((Skills!G12*((R82-1)*IF(Skills!H12&gt;0,Skills!I12/Skills!H12,1)+IF(Skills!H12&gt;0,MIN(Skills!I12,MAX(0,MAX(0,Inputs!$B$44-B115)-((R82-1)*IF(Inputs!$B$39="pvp",15,MAX(0.1,Skills!D12-IF(TRUE=TRUE,Inputs!$B$32,0))))))/Skills!H12,1)))/Inputs!$B$44),G82*Q82))*IF(Inputs!$B$39="pvp",1,(1+(Inputs!$B$21+Skills!Q12+B105+(IF(ArtifactsInput!$M$33,CHOOSE(ArtifactsInput!$N$33+1,30,36,42,48,54,60),0))+(IF(AND(ArtifactsInput!$M$35,Inputs!$B$4&lt;&gt;"Chapter Hunt"),CHOOSE(ArtifactsInput!$N$35+1,15,18,21,24,27,30)*(1-EXP(-(0.2*B108)*5)),0)+IF(AND(ArtifactsInput!$M$22,Inputs!$B$4&lt;&gt;"Chapter Hunt"),CHOOSE(ArtifactsInput!$N$22+1,10,12,14,16,18,20)*((0*(((0.15*B108*5))^0/1)+1*(((0.15*B108*5))^1/1)+2*(((0.15*B108*5))^2/2)+3*(((0.15*B108*5))^3/6)+4*(((0.15*B108*5))^4/24)+5*(((0.15*B108*5))^5/120))/((((0.15*B108*5))^0/1)+(((0.15*B108*5))^1/1)+(((0.15*B108*5))^2/2)+(((0.15*B108*5))^3/6)+(((0.15*B108*5))^4/24)+(((0.15*B108*5))^5/120))),0)))/100)*(MIN(Skills!W12,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83">
      <c r="A83">
        <f>Skills!A13</f>
        <v/>
      </c>
      <c r="B83">
        <f>Skills!B13</f>
        <v/>
      </c>
      <c r="C83">
        <f>Inputs!$B$3&gt;=105</f>
        <v/>
      </c>
      <c r="D83">
        <f>IF(Skills!C13=1,60+Inputs!$B$25+Inputs!$B$29,IF(Skills!C13=2,90+Inputs!$B$26+Inputs!$B$29,IF(Skills!C13=3,120+Inputs!$B$27+Inputs!$B$29,MAX(0,(Inputs!$B$3-100)*3)+Inputs!$B$28+Inputs!$B$29)))</f>
        <v/>
      </c>
      <c r="E83">
        <f>INDEX(FactorTable!$B$2:$Y$301, MATCH(ROUND(MIN(300,MAX(1,D83)),0), FactorTable!$A$2:$A$301,0), Skills!M13+1)</f>
        <v/>
      </c>
      <c r="F83">
        <f>IF(Skills!N13=TRUE,(Skills!L13/10)*(E83/1000),Skills!L13/10)+Skills!O13</f>
        <v/>
      </c>
      <c r="G83">
        <f>Skills!G13*IF(Skills!H13&gt;0,IF(Inputs!$B$39="pvp",MIN(Skills!I13,15),Skills!I13)/Skills!H13,1)</f>
        <v/>
      </c>
      <c r="H83">
        <f>1-(1-Skills!J13/100)^Skills!K13</f>
        <v/>
      </c>
      <c r="I83" t="inlineStr">
        <is>
          <t>1</t>
        </is>
      </c>
      <c r="J83">
        <f>((Inputs!$B$6*(1+Inputs!$B$7/100))+((((Inputs!$B$12+1)*(1+Inputs!$B$13/100))-(Inputs!$B$12*(1+Inputs!$B$13/100)))+0.25*(Inputs!$B$14-Inputs!$B$14))*(1+Inputs!$B$7/100))*(F83/100)</f>
        <v/>
      </c>
      <c r="K83">
        <f>J83*(1+(((Inputs!$B$12+1)*(1+Inputs!$B$13/100))*0.01+Inputs!$B$14*0.0025)/100)*(1+Inputs!$B$15/100)*(1+Inputs!$B$16/100)*(5000/(6000+Inputs!$B$43*(1-(100*(1-(1-Inputs!$B$19/100)*(1-CHOOSE(ArtifactsInput!$N$40+1,5,6,7,8,9,10)/100)^(ArtifactsInput!$M$40-ArtifactsInput!$M$40)))/100)))*(1+(Inputs!$B$24+((C101=TRUE)*(F101-Calc!F31))+((C88=TRUE)*(F88-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13="CRUEL_STAB",Inputs!$B$17+((C98=TRUE)*(F98-Calc!F28))+((IF(AND(Inputs!$B$39&lt;&gt;"pvp",Inputs!$B$44=0),1,IF(IF(Inputs!$B$39="pvp",15,Inputs!$B$44)-(B115)&lt;=0,1,MAX(0,IF(Inputs!$B$39="pvp",15,Inputs!$B$44)-MAX(5,B115))/(IF(Inputs!$B$39="pvp",15,Inputs!$B$44)-(B115))))*(IF(AND(ArtifactsInput!$M$42,((Inputs!$B$9+((C96=TRUE)*(F96-Calc!F26))+B104+(ArtifactsInput!$M$24-ArtifactsInput!$M$24)*CHOOSE(ArtifactsInput!$N$24+1,10,12,14,16,18,20)+IF(ArtifactsInput!$M$10,CHOOSE(ArtifactsInput!$N$10+1,15,18,21,24,27,30)*(IF(Inputs!$B$39="pvp",MIN(15,15)/15,IF(AND(Inputs!$B$39&lt;&gt;"pvp",Inputs!$B$44&gt;0),MIN(15,Inputs!$B$44)/(Inputs!$B$44),0))),0)))&gt;=100),MIN(100,((Inputs!$B$9+((C96=TRUE)*(F96-Calc!F26))+B104+(ArtifactsInput!$M$24-ArtifactsInput!$M$24)*CHOOSE(ArtifactsInput!$N$24+1,10,12,14,16,18,20)+IF(ArtifactsInput!$M$10,CHOOSE(ArtifactsInput!$N$10+1,15,18,21,24,27,30)*(IF(Inputs!$B$39="pvp",MIN(15,15)/15,IF(AND(Inputs!$B$39&lt;&gt;"pvp",Inputs!$B$44&gt;0),MIN(15,Inputs!$B$44)/(Inputs!$B$44),0))),0)))-100),0))*CHOOSE(ArtifactsInput!$N$42+1,0.6,0.72,0.84,0.96,1.08,1.2))),Inputs!$B$18+((C99=TRUE)*(F99-Calc!F29))+(IF(AND(Inputs!$B$39&lt;&gt;"pvp",Inputs!$B$44=0),1,IF(IF(Inputs!$B$39="pvp",15,Inputs!$B$44)-(B115)&lt;=0,1,MAX(0,IF(Inputs!$B$39="pvp",15,Inputs!$B$44)-MAX(5,B115))/(IF(Inputs!$B$39="pvp",15,Inputs!$B$44)-(B115))))*IF(AND(ArtifactsInput!$M$42,((Inputs!$B$9+((C96=TRUE)*(F96-Calc!F26))+B104+(ArtifactsInput!$M$24-ArtifactsInput!$M$24)*CHOOSE(ArtifactsInput!$N$24+1,10,12,14,16,18,20)+IF(ArtifactsInput!$M$10,CHOOSE(ArtifactsInput!$N$10+1,15,18,21,24,27,30)*(IF(Inputs!$B$39="pvp",MIN(15,15)/15,IF(AND(Inputs!$B$39&lt;&gt;"pvp",Inputs!$B$44&gt;0),MIN(15,Inputs!$B$44)/(Inputs!$B$44),0))),0)))&gt;=100),CHOOSE(ArtifactsInput!$N$42+1,40,48,56,64,72,80),0))))/100)*(((1+(((C92=TRUE)*F92*IF(AND(Inputs!$B$39&lt;&gt;"pvp",Inputs!$B$44&gt;0),(((R92-1)*MIN((Skills!Y22*(1+Inputs!$B$34/100)),(1/Q92))+MIN((Skills!Y22*(1+Inputs!$B$34/100)),MAX(0,Inputs!$B$44-((R92-1)*(1/Q92)))))/Inputs!$B$44),IF(Inputs!$B$39="pvp",MIN((Skills!Y22*(1+Inputs!$B$34/100)),15)/15,MIN(1,(Skills!Y22*(1+Inputs!$B$34/100))/(1/Q92)))))+((C73=TRUE)*F73*3)+((C75=TRUE)*F75*(1-EXP(-0.75*B108*5)))+((C94=TRUE)*(F94-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81=TRUE)*F81*IF(AND(Inputs!$B$39&lt;&gt;"pvp",Inputs!$B$44&gt;0),(((R81-1)*MIN((Skills!Y11*(1+Inputs!$B$34/100)),(1/Q81))+MIN((Skills!Y11*(1+Inputs!$B$34/100)),MAX(0,Inputs!$B$44-((R81-1)*(1/Q81)))))/Inputs!$B$44),IF(Inputs!$B$39="pvp",MIN((Skills!Y11*(1+Inputs!$B$34/100)),15)/15,MIN(1,(Skills!Y11*(1+Inputs!$B$34/100))/(1/Q81)))))/100)*(1+((C86=TRUE)*F86*IF(AND(Inputs!$B$39&lt;&gt;"pvp",Inputs!$B$44&gt;0),(((R86-1)*MIN((Skills!Y16*(1+Inputs!$B$34/100)),(1/Q86))+MIN((Skills!Y16*(1+Inputs!$B$34/100)),MAX(0,Inputs!$B$44-((R86-1)*(1/Q86)))))/Inputs!$B$44),IF(Inputs!$B$39="pvp",MIN((Skills!Y16*(1+Inputs!$B$34/100)),15)/15,MIN(1,(Skills!Y16*(1+Inputs!$B$34/100))/(1/Q86)))))/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106*I83)</f>
        <v/>
      </c>
      <c r="L83">
        <f>K83*(MIN(Inputs!$B$22+((C95=TRUE)*(F95-Calc!F25)),(Inputs!$B$23+((C100=TRUE)*(F100-Calc!F30))+IF(ArtifactsInput!$M$15,CHOOSE(ArtifactsInput!$N$15+1,25,30,35,40,45,50)/100*(Inputs!$B$11-Inputs!$B$11),0)))/100+(Inputs!$B$23+((C100=TRUE)*(F100-Calc!F30))+IF(ArtifactsInput!$M$15,CHOOSE(ArtifactsInput!$N$15+1,25,30,35,40,45,50)/100*(Inputs!$B$11-Inputs!$B$11),0))/100)/2</f>
        <v/>
      </c>
      <c r="M83">
        <f>L83*(1+(Inputs!$B$10+((C97=TRUE)*(F97-Calc!F27))+B111+(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83">
        <f>L83*(1-MIN((Inputs!$B$9+((C96=TRUE)*(F96-Calc!F26))+B104+(ArtifactsInput!$M$24-ArtifactsInput!$M$24)*CHOOSE(ArtifactsInput!$N$24+1,10,12,14,16,18,20)+(IF(AND(Inputs!$B$39&lt;&gt;"pvp",Inputs!$B$44=0),1,IF(IF(Inputs!$B$39="pvp",15,Inputs!$B$44)-(B115)&lt;=0,1,MAX(0,IF(Inputs!$B$39="pvp",15,Inputs!$B$44)-MAX(5,B115))/(IF(Inputs!$B$39="pvp",15,Inputs!$B$44)-(B115))))*IF(AND(ArtifactsInput!$M$42,((Inputs!$B$9+((C96=TRUE)*(F96-Calc!F26))+B104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83*(MIN((Inputs!$B$9+((C96=TRUE)*(F96-Calc!F26))+B104+(ArtifactsInput!$M$24-ArtifactsInput!$M$24)*CHOOSE(ArtifactsInput!$N$24+1,10,12,14,16,18,20)+(IF(AND(Inputs!$B$39&lt;&gt;"pvp",Inputs!$B$44=0),1,IF(IF(Inputs!$B$39="pvp",15,Inputs!$B$44)-(B115)&lt;=0,1,MAX(0,IF(Inputs!$B$39="pvp",15,Inputs!$B$44)-MAX(5,B115))/(IF(Inputs!$B$39="pvp",15,Inputs!$B$44)-(B115))))*IF(AND(ArtifactsInput!$M$42,((Inputs!$B$9+((C96=TRUE)*(F96-Calc!F26))+B104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83">
        <f>(1-Summary!$B$11)*T83+Summary!$B$11*V83</f>
        <v/>
      </c>
      <c r="P83">
        <f>IF(B116=0,0,O83/B116)</f>
        <v/>
      </c>
      <c r="Q83">
        <f>IFERROR(1/IF(Inputs!$B$39="pvp",15,MAX(0.1,Skills!D13-IF(TRUE=TRUE,Inputs!$B$32,0))),0)</f>
        <v/>
      </c>
      <c r="R83">
        <f>IF(AND(Inputs!$B$39&lt;&gt;"pvp",Inputs!$B$44&gt;0),IF(MAX(0,Inputs!$B$44-B115)&lt;=0,0,(INT(MAX(0,Inputs!$B$44-B115)/IF(Inputs!$B$39="pvp",15,MAX(0.1,Skills!D13-IF(TRUE=TRUE,Inputs!$B$32,0))))+1)),0)</f>
        <v/>
      </c>
      <c r="S83">
        <f>IFERROR(O83/N83,0)</f>
        <v/>
      </c>
      <c r="T83">
        <f>IF(C83,(H83*N83*IF(AND(Inputs!$B$39&lt;&gt;"pvp",Inputs!$B$44&gt;0),((Skills!G13*((R83-1)*IF(Skills!H13&gt;0,Skills!I13/Skills!H13,1)+IF(Skills!H13&gt;0,MIN(Skills!I13,MAX(0,MAX(0,Inputs!$B$44-B115)-((R83-1)*IF(Inputs!$B$39="pvp",15,MAX(0.1,Skills!D13-IF(TRUE=TRUE,Inputs!$B$32,0))))))/Skills!H13,1)))/Inputs!$B$44),G83*Q83))*IF(Inputs!$B$39="pvp",1,1+(Inputs!$B$20+0+Skills!P13+B105+(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Hunt"),CHOOSE(ArtifactsInput!$N$35+1,15,18,21,24,27,30)*(1-EXP(-(0.2*B108)*5)),0)+IF(AND(ArtifactsInput!$M$22,Inputs!$B$4&lt;&gt;"Chapter Hunt"),CHOOSE(ArtifactsInput!$N$22+1,10,12,14,16,18,20)*((0*(((0.15*B108*5))^0/1)+1*(((0.15*B108*5))^1/1)+2*(((0.15*B108*5))^2/2)+3*(((0.15*B108*5))^3/6)+4*(((0.15*B108*5))^4/24)+5*(((0.15*B108*5))^5/120))/((((0.15*B108*5))^0/1)+(((0.15*B108*5))^1/1)+(((0.15*B108*5))^2/2)+(((0.15*B108*5))^3/6)+(((0.15*B108*5))^4/24)+(((0.15*B108*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83*(1-MIN(100,(Inputs!$B$9+((C96=TRUE)*(F96-Calc!F26))+B104+(ArtifactsInput!$M$24-ArtifactsInput!$M$24)*CHOOSE(ArtifactsInput!$N$24+1,10,12,14,16,18,20)+(IF(AND(Inputs!$B$39&lt;&gt;"pvp",Inputs!$B$44=0),1,IF(IF(Inputs!$B$39="pvp",15,Inputs!$B$44)-(B115)&lt;=0,1,MAX(0,IF(Inputs!$B$39="pvp",15,Inputs!$B$44)-MAX(5,B115))/(IF(Inputs!$B$39="pvp",15,Inputs!$B$44)-(B115))))*IF(AND(ArtifactsInput!$M$42,((Inputs!$B$9+((C96=TRUE)*(F96-Calc!F26))+B104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83*(MIN(100,(Inputs!$B$9+((C96=TRUE)*(F96-Calc!F26))+B104+(ArtifactsInput!$M$24-ArtifactsInput!$M$24)*CHOOSE(ArtifactsInput!$N$24+1,10,12,14,16,18,20)+(IF(AND(Inputs!$B$39&lt;&gt;"pvp",Inputs!$B$44=0),1,IF(IF(Inputs!$B$39="pvp",15,Inputs!$B$44)-(B115)&lt;=0,1,MAX(0,IF(Inputs!$B$39="pvp",15,Inputs!$B$44)-MAX(5,B115))/(IF(Inputs!$B$39="pvp",15,Inputs!$B$44)-(B115))))*IF(AND(ArtifactsInput!$M$42,((Inputs!$B$9+((C96=TRUE)*(F96-Calc!F26))+B104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83*(1-MIN(100,(Inputs!$B$9+((C96=TRUE)*(F96-Calc!F26))+B104+(ArtifactsInput!$M$24-ArtifactsInput!$M$24)*CHOOSE(ArtifactsInput!$N$24+1,10,12,14,16,18,20)+(IF(AND(Inputs!$B$39&lt;&gt;"pvp",Inputs!$B$44=0),1,IF(IF(Inputs!$B$39="pvp",15,Inputs!$B$44)-(B115)&lt;=0,1,MAX(0,IF(Inputs!$B$39="pvp",15,Inputs!$B$44)-MAX(5,B115))/(IF(Inputs!$B$39="pvp",15,Inputs!$B$44)-(B115))))*IF(AND(ArtifactsInput!$M$42,((Inputs!$B$9+((C96=TRUE)*(F96-Calc!F26))+B104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83*(MIN(100,(Inputs!$B$9+((C96=TRUE)*(F96-Calc!F26))+B104+(ArtifactsInput!$M$24-ArtifactsInput!$M$24)*CHOOSE(ArtifactsInput!$N$24+1,10,12,14,16,18,20)+(IF(AND(Inputs!$B$39&lt;&gt;"pvp",Inputs!$B$44=0),1,IF(IF(Inputs!$B$39="pvp",15,Inputs!$B$44)-(B115)&lt;=0,1,MAX(0,IF(Inputs!$B$39="pvp",15,Inputs!$B$44)-MAX(5,B115))/(IF(Inputs!$B$39="pvp",15,Inputs!$B$44)-(B115))))*IF(AND(ArtifactsInput!$M$42,((Inputs!$B$9+((C96=TRUE)*(F96-Calc!F26))+B104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83">
        <f>IF(C83,(H83*N83*IF(AND(Inputs!$B$39&lt;&gt;"pvp",Inputs!$B$44&gt;0),((Skills!G13*((R83-1)*IF(Skills!H13&gt;0,Skills!I13/Skills!H13,1)+IF(Skills!H13&gt;0,MIN(Skills!I13,MAX(0,MAX(0,Inputs!$B$44-B115)-((R83-1)*IF(Inputs!$B$39="pvp",15,MAX(0.1,Skills!D13-IF(TRUE=TRUE,Inputs!$B$32,0))))))/Skills!H13,1)))/Inputs!$B$44),G83*Q83))*IF(Inputs!$B$39="pvp",1,(1+(Inputs!$B$21+Skills!Q13+B105+(IF(ArtifactsInput!$M$33,CHOOSE(ArtifactsInput!$N$33+1,30,36,42,48,54,60),0))+(IF(AND(ArtifactsInput!$M$35,Inputs!$B$4&lt;&gt;"Chapter Hunt"),CHOOSE(ArtifactsInput!$N$35+1,15,18,21,24,27,30)*(1-EXP(-(0.2*B108)*5)),0)+IF(AND(ArtifactsInput!$M$22,Inputs!$B$4&lt;&gt;"Chapter Hunt"),CHOOSE(ArtifactsInput!$N$22+1,10,12,14,16,18,20)*((0*(((0.15*B108*5))^0/1)+1*(((0.15*B108*5))^1/1)+2*(((0.15*B108*5))^2/2)+3*(((0.15*B108*5))^3/6)+4*(((0.15*B108*5))^4/24)+5*(((0.15*B108*5))^5/120))/((((0.15*B108*5))^0/1)+(((0.15*B108*5))^1/1)+(((0.15*B108*5))^2/2)+(((0.15*B108*5))^3/6)+(((0.15*B108*5))^4/24)+(((0.15*B108*5))^5/120))),0)))/100)*(MIN(Skills!W13,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84">
      <c r="A84">
        <f>Skills!A14</f>
        <v/>
      </c>
      <c r="B84">
        <f>Skills!B14</f>
        <v/>
      </c>
      <c r="C84">
        <f>Inputs!$B$3&gt;=105</f>
        <v/>
      </c>
      <c r="D84">
        <f>IF(Skills!C14=1,60+Inputs!$B$25+Inputs!$B$29,IF(Skills!C14=2,90+Inputs!$B$26+Inputs!$B$29,IF(Skills!C14=3,120+Inputs!$B$27+Inputs!$B$29,MAX(0,(Inputs!$B$3-100)*3)+Inputs!$B$28+Inputs!$B$29)))</f>
        <v/>
      </c>
      <c r="E84">
        <f>INDEX(FactorTable!$B$2:$Y$301, MATCH(ROUND(MIN(300,MAX(1,D84)),0), FactorTable!$A$2:$A$301,0), Skills!M14+1)</f>
        <v/>
      </c>
      <c r="F84">
        <f>IF(Skills!N14=TRUE,(Skills!L14/10)*(E84/1000),Skills!L14/10)+Skills!O14</f>
        <v/>
      </c>
      <c r="G84">
        <f>Skills!G14*IF(Skills!H14&gt;0,IF(Inputs!$B$39="pvp",MIN(Skills!I14,15),Skills!I14)/Skills!H14,1)</f>
        <v/>
      </c>
      <c r="H84">
        <f>1-(1-Skills!J14/100)^Skills!K14</f>
        <v/>
      </c>
      <c r="I84" t="inlineStr">
        <is>
          <t>1</t>
        </is>
      </c>
      <c r="J84">
        <f>((Inputs!$B$6*(1+Inputs!$B$7/100))+((((Inputs!$B$12+1)*(1+Inputs!$B$13/100))-(Inputs!$B$12*(1+Inputs!$B$13/100)))+0.25*(Inputs!$B$14-Inputs!$B$14))*(1+Inputs!$B$7/100))*(F84/100)</f>
        <v/>
      </c>
      <c r="K84">
        <f>J84*(1+(((Inputs!$B$12+1)*(1+Inputs!$B$13/100))*0.01+Inputs!$B$14*0.0025)/100)*(1+Inputs!$B$15/100)*(1+Inputs!$B$16/100)*(5000/(6000+Inputs!$B$43*(1-(100*(1-(1-Inputs!$B$19/100)*(1-CHOOSE(ArtifactsInput!$N$40+1,5,6,7,8,9,10)/100)^(ArtifactsInput!$M$40-ArtifactsInput!$M$40)))/100)))*(1+(Inputs!$B$24+((C101=TRUE)*(F101-Calc!F31))+((C88=TRUE)*(F88-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14="CRUEL_STAB",Inputs!$B$17+((C98=TRUE)*(F98-Calc!F28))+((IF(AND(Inputs!$B$39&lt;&gt;"pvp",Inputs!$B$44=0),1,IF(IF(Inputs!$B$39="pvp",15,Inputs!$B$44)-(B115)&lt;=0,1,MAX(0,IF(Inputs!$B$39="pvp",15,Inputs!$B$44)-MAX(5,B115))/(IF(Inputs!$B$39="pvp",15,Inputs!$B$44)-(B115))))*(IF(AND(ArtifactsInput!$M$42,((Inputs!$B$9+((C96=TRUE)*(F96-Calc!F26))+B104+(ArtifactsInput!$M$24-ArtifactsInput!$M$24)*CHOOSE(ArtifactsInput!$N$24+1,10,12,14,16,18,20)+IF(ArtifactsInput!$M$10,CHOOSE(ArtifactsInput!$N$10+1,15,18,21,24,27,30)*(IF(Inputs!$B$39="pvp",MIN(15,15)/15,IF(AND(Inputs!$B$39&lt;&gt;"pvp",Inputs!$B$44&gt;0),MIN(15,Inputs!$B$44)/(Inputs!$B$44),0))),0)))&gt;=100),MIN(100,((Inputs!$B$9+((C96=TRUE)*(F96-Calc!F26))+B104+(ArtifactsInput!$M$24-ArtifactsInput!$M$24)*CHOOSE(ArtifactsInput!$N$24+1,10,12,14,16,18,20)+IF(ArtifactsInput!$M$10,CHOOSE(ArtifactsInput!$N$10+1,15,18,21,24,27,30)*(IF(Inputs!$B$39="pvp",MIN(15,15)/15,IF(AND(Inputs!$B$39&lt;&gt;"pvp",Inputs!$B$44&gt;0),MIN(15,Inputs!$B$44)/(Inputs!$B$44),0))),0)))-100),0))*CHOOSE(ArtifactsInput!$N$42+1,0.6,0.72,0.84,0.96,1.08,1.2))),Inputs!$B$18+((C99=TRUE)*(F99-Calc!F29))+(IF(AND(Inputs!$B$39&lt;&gt;"pvp",Inputs!$B$44=0),1,IF(IF(Inputs!$B$39="pvp",15,Inputs!$B$44)-(B115)&lt;=0,1,MAX(0,IF(Inputs!$B$39="pvp",15,Inputs!$B$44)-MAX(5,B115))/(IF(Inputs!$B$39="pvp",15,Inputs!$B$44)-(B115))))*IF(AND(ArtifactsInput!$M$42,((Inputs!$B$9+((C96=TRUE)*(F96-Calc!F26))+B104+(ArtifactsInput!$M$24-ArtifactsInput!$M$24)*CHOOSE(ArtifactsInput!$N$24+1,10,12,14,16,18,20)+IF(ArtifactsInput!$M$10,CHOOSE(ArtifactsInput!$N$10+1,15,18,21,24,27,30)*(IF(Inputs!$B$39="pvp",MIN(15,15)/15,IF(AND(Inputs!$B$39&lt;&gt;"pvp",Inputs!$B$44&gt;0),MIN(15,Inputs!$B$44)/(Inputs!$B$44),0))),0)))&gt;=100),CHOOSE(ArtifactsInput!$N$42+1,40,48,56,64,72,80),0))))/100)*(((1+(((C92=TRUE)*F92*IF(AND(Inputs!$B$39&lt;&gt;"pvp",Inputs!$B$44&gt;0),(((R92-1)*MIN((Skills!Y22*(1+Inputs!$B$34/100)),(1/Q92))+MIN((Skills!Y22*(1+Inputs!$B$34/100)),MAX(0,Inputs!$B$44-((R92-1)*(1/Q92)))))/Inputs!$B$44),IF(Inputs!$B$39="pvp",MIN((Skills!Y22*(1+Inputs!$B$34/100)),15)/15,MIN(1,(Skills!Y22*(1+Inputs!$B$34/100))/(1/Q92)))))+((C73=TRUE)*F73*3)+((C75=TRUE)*F75*(1-EXP(-0.75*B108*5)))+((C94=TRUE)*(F94-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81=TRUE)*F81*IF(AND(Inputs!$B$39&lt;&gt;"pvp",Inputs!$B$44&gt;0),(((R81-1)*MIN((Skills!Y11*(1+Inputs!$B$34/100)),(1/Q81))+MIN((Skills!Y11*(1+Inputs!$B$34/100)),MAX(0,Inputs!$B$44-((R81-1)*(1/Q81)))))/Inputs!$B$44),IF(Inputs!$B$39="pvp",MIN((Skills!Y11*(1+Inputs!$B$34/100)),15)/15,MIN(1,(Skills!Y11*(1+Inputs!$B$34/100))/(1/Q81)))))/100)*(1+((C86=TRUE)*F86*IF(AND(Inputs!$B$39&lt;&gt;"pvp",Inputs!$B$44&gt;0),(((R86-1)*MIN((Skills!Y16*(1+Inputs!$B$34/100)),(1/Q86))+MIN((Skills!Y16*(1+Inputs!$B$34/100)),MAX(0,Inputs!$B$44-((R86-1)*(1/Q86)))))/Inputs!$B$44),IF(Inputs!$B$39="pvp",MIN((Skills!Y16*(1+Inputs!$B$34/100)),15)/15,MIN(1,(Skills!Y16*(1+Inputs!$B$34/100))/(1/Q86)))))/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106*I84)</f>
        <v/>
      </c>
      <c r="L84">
        <f>K84*(MIN(Inputs!$B$22+((C95=TRUE)*(F95-Calc!F25)),(Inputs!$B$23+((C100=TRUE)*(F100-Calc!F30))+IF(ArtifactsInput!$M$15,CHOOSE(ArtifactsInput!$N$15+1,25,30,35,40,45,50)/100*(Inputs!$B$11-Inputs!$B$11),0)))/100+(Inputs!$B$23+((C100=TRUE)*(F100-Calc!F30))+IF(ArtifactsInput!$M$15,CHOOSE(ArtifactsInput!$N$15+1,25,30,35,40,45,50)/100*(Inputs!$B$11-Inputs!$B$11),0))/100)/2</f>
        <v/>
      </c>
      <c r="M84">
        <f>L84*(1+(Inputs!$B$10+((C97=TRUE)*(F97-Calc!F27))+B111+(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84">
        <f>L84*(1-MIN((Inputs!$B$9+((C96=TRUE)*(F96-Calc!F26))+B104+(ArtifactsInput!$M$24-ArtifactsInput!$M$24)*CHOOSE(ArtifactsInput!$N$24+1,10,12,14,16,18,20)+(IF(AND(Inputs!$B$39&lt;&gt;"pvp",Inputs!$B$44=0),1,IF(IF(Inputs!$B$39="pvp",15,Inputs!$B$44)-(B115)&lt;=0,1,MAX(0,IF(Inputs!$B$39="pvp",15,Inputs!$B$44)-MAX(5,B115))/(IF(Inputs!$B$39="pvp",15,Inputs!$B$44)-(B115))))*IF(AND(ArtifactsInput!$M$42,((Inputs!$B$9+((C96=TRUE)*(F96-Calc!F26))+B104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84*(MIN((Inputs!$B$9+((C96=TRUE)*(F96-Calc!F26))+B104+(ArtifactsInput!$M$24-ArtifactsInput!$M$24)*CHOOSE(ArtifactsInput!$N$24+1,10,12,14,16,18,20)+(IF(AND(Inputs!$B$39&lt;&gt;"pvp",Inputs!$B$44=0),1,IF(IF(Inputs!$B$39="pvp",15,Inputs!$B$44)-(B115)&lt;=0,1,MAX(0,IF(Inputs!$B$39="pvp",15,Inputs!$B$44)-MAX(5,B115))/(IF(Inputs!$B$39="pvp",15,Inputs!$B$44)-(B115))))*IF(AND(ArtifactsInput!$M$42,((Inputs!$B$9+((C96=TRUE)*(F96-Calc!F26))+B104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84">
        <f>(1-Summary!$B$11)*T84+Summary!$B$11*V84</f>
        <v/>
      </c>
      <c r="P84">
        <f>IF(B116=0,0,O84/B116)</f>
        <v/>
      </c>
      <c r="Q84">
        <f>IFERROR(1/IF(Inputs!$B$39="pvp",15,MAX(0.1,Skills!D14-IF(TRUE=TRUE,Inputs!$B$32,0))),0)</f>
        <v/>
      </c>
      <c r="R84">
        <f>IF(AND(Inputs!$B$39&lt;&gt;"pvp",Inputs!$B$44&gt;0),IF(MAX(0,Inputs!$B$44-B115)&lt;=0,0,(INT(MAX(0,Inputs!$B$44-B115)/IF(Inputs!$B$39="pvp",15,MAX(0.1,Skills!D14-IF(TRUE=TRUE,Inputs!$B$32,0))))+1)),0)</f>
        <v/>
      </c>
      <c r="S84">
        <f>IFERROR(O84/N84,0)</f>
        <v/>
      </c>
      <c r="T84">
        <f>IF(C84,(H84*N84*IF(AND(Inputs!$B$39&lt;&gt;"pvp",Inputs!$B$44&gt;0),((Skills!G14*((R84-1)*IF(Skills!H14&gt;0,Skills!I14/Skills!H14,1)+IF(Skills!H14&gt;0,MIN(Skills!I14,MAX(0,MAX(0,Inputs!$B$44-B115)-((R84-1)*IF(Inputs!$B$39="pvp",15,MAX(0.1,Skills!D14-IF(TRUE=TRUE,Inputs!$B$32,0))))))/Skills!H14,1)))/Inputs!$B$44),G84*Q84))*IF(Inputs!$B$39="pvp",1,1+(Inputs!$B$20+0+Skills!P14+B105+(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Hunt"),CHOOSE(ArtifactsInput!$N$35+1,15,18,21,24,27,30)*(1-EXP(-(0.2*B108)*5)),0)+IF(AND(ArtifactsInput!$M$22,Inputs!$B$4&lt;&gt;"Chapter Hunt"),CHOOSE(ArtifactsInput!$N$22+1,10,12,14,16,18,20)*((0*(((0.15*B108*5))^0/1)+1*(((0.15*B108*5))^1/1)+2*(((0.15*B108*5))^2/2)+3*(((0.15*B108*5))^3/6)+4*(((0.15*B108*5))^4/24)+5*(((0.15*B108*5))^5/120))/((((0.15*B108*5))^0/1)+(((0.15*B108*5))^1/1)+(((0.15*B108*5))^2/2)+(((0.15*B108*5))^3/6)+(((0.15*B108*5))^4/24)+(((0.15*B108*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84*(1-MIN(100,(Inputs!$B$9+((C96=TRUE)*(F96-Calc!F26))+B104+(ArtifactsInput!$M$24-ArtifactsInput!$M$24)*CHOOSE(ArtifactsInput!$N$24+1,10,12,14,16,18,20)+(IF(AND(Inputs!$B$39&lt;&gt;"pvp",Inputs!$B$44=0),1,IF(IF(Inputs!$B$39="pvp",15,Inputs!$B$44)-(B115)&lt;=0,1,MAX(0,IF(Inputs!$B$39="pvp",15,Inputs!$B$44)-MAX(5,B115))/(IF(Inputs!$B$39="pvp",15,Inputs!$B$44)-(B115))))*IF(AND(ArtifactsInput!$M$42,((Inputs!$B$9+((C96=TRUE)*(F96-Calc!F26))+B104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84*(MIN(100,(Inputs!$B$9+((C96=TRUE)*(F96-Calc!F26))+B104+(ArtifactsInput!$M$24-ArtifactsInput!$M$24)*CHOOSE(ArtifactsInput!$N$24+1,10,12,14,16,18,20)+(IF(AND(Inputs!$B$39&lt;&gt;"pvp",Inputs!$B$44=0),1,IF(IF(Inputs!$B$39="pvp",15,Inputs!$B$44)-(B115)&lt;=0,1,MAX(0,IF(Inputs!$B$39="pvp",15,Inputs!$B$44)-MAX(5,B115))/(IF(Inputs!$B$39="pvp",15,Inputs!$B$44)-(B115))))*IF(AND(ArtifactsInput!$M$42,((Inputs!$B$9+((C96=TRUE)*(F96-Calc!F26))+B104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84*(1-MIN(100,(Inputs!$B$9+((C96=TRUE)*(F96-Calc!F26))+B104+(ArtifactsInput!$M$24-ArtifactsInput!$M$24)*CHOOSE(ArtifactsInput!$N$24+1,10,12,14,16,18,20)+(IF(AND(Inputs!$B$39&lt;&gt;"pvp",Inputs!$B$44=0),1,IF(IF(Inputs!$B$39="pvp",15,Inputs!$B$44)-(B115)&lt;=0,1,MAX(0,IF(Inputs!$B$39="pvp",15,Inputs!$B$44)-MAX(5,B115))/(IF(Inputs!$B$39="pvp",15,Inputs!$B$44)-(B115))))*IF(AND(ArtifactsInput!$M$42,((Inputs!$B$9+((C96=TRUE)*(F96-Calc!F26))+B104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84*(MIN(100,(Inputs!$B$9+((C96=TRUE)*(F96-Calc!F26))+B104+(ArtifactsInput!$M$24-ArtifactsInput!$M$24)*CHOOSE(ArtifactsInput!$N$24+1,10,12,14,16,18,20)+(IF(AND(Inputs!$B$39&lt;&gt;"pvp",Inputs!$B$44=0),1,IF(IF(Inputs!$B$39="pvp",15,Inputs!$B$44)-(B115)&lt;=0,1,MAX(0,IF(Inputs!$B$39="pvp",15,Inputs!$B$44)-MAX(5,B115))/(IF(Inputs!$B$39="pvp",15,Inputs!$B$44)-(B115))))*IF(AND(ArtifactsInput!$M$42,((Inputs!$B$9+((C96=TRUE)*(F96-Calc!F26))+B104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84">
        <f>IF(C84,(H84*N84*IF(AND(Inputs!$B$39&lt;&gt;"pvp",Inputs!$B$44&gt;0),((Skills!G14*((R84-1)*IF(Skills!H14&gt;0,Skills!I14/Skills!H14,1)+IF(Skills!H14&gt;0,MIN(Skills!I14,MAX(0,MAX(0,Inputs!$B$44-B115)-((R84-1)*IF(Inputs!$B$39="pvp",15,MAX(0.1,Skills!D14-IF(TRUE=TRUE,Inputs!$B$32,0))))))/Skills!H14,1)))/Inputs!$B$44),G84*Q84))*IF(Inputs!$B$39="pvp",1,(1+(Inputs!$B$21+Skills!Q14+B105+(IF(ArtifactsInput!$M$33,CHOOSE(ArtifactsInput!$N$33+1,30,36,42,48,54,60),0))+(IF(AND(ArtifactsInput!$M$35,Inputs!$B$4&lt;&gt;"Chapter Hunt"),CHOOSE(ArtifactsInput!$N$35+1,15,18,21,24,27,30)*(1-EXP(-(0.2*B108)*5)),0)+IF(AND(ArtifactsInput!$M$22,Inputs!$B$4&lt;&gt;"Chapter Hunt"),CHOOSE(ArtifactsInput!$N$22+1,10,12,14,16,18,20)*((0*(((0.15*B108*5))^0/1)+1*(((0.15*B108*5))^1/1)+2*(((0.15*B108*5))^2/2)+3*(((0.15*B108*5))^3/6)+4*(((0.15*B108*5))^4/24)+5*(((0.15*B108*5))^5/120))/((((0.15*B108*5))^0/1)+(((0.15*B108*5))^1/1)+(((0.15*B108*5))^2/2)+(((0.15*B108*5))^3/6)+(((0.15*B108*5))^4/24)+(((0.15*B108*5))^5/120))),0)))/100)*(MIN(Skills!W14,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85">
      <c r="A85">
        <f>Skills!A15</f>
        <v/>
      </c>
      <c r="B85">
        <f>Skills!B15</f>
        <v/>
      </c>
      <c r="C85">
        <f>Inputs!$B$3&gt;=107</f>
        <v/>
      </c>
      <c r="D85">
        <f>IF(Skills!C15=1,60+Inputs!$B$25+Inputs!$B$29,IF(Skills!C15=2,90+Inputs!$B$26+Inputs!$B$29,IF(Skills!C15=3,120+Inputs!$B$27+Inputs!$B$29,MAX(0,(Inputs!$B$3-100)*3)+Inputs!$B$28+Inputs!$B$29)))</f>
        <v/>
      </c>
      <c r="E85">
        <f>INDEX(FactorTable!$B$2:$Y$301, MATCH(ROUND(MIN(300,MAX(1,D85)),0), FactorTable!$A$2:$A$301,0), Skills!M15+1)</f>
        <v/>
      </c>
      <c r="F85">
        <f>IF(Skills!N15=TRUE,(Skills!L15/10)*(E85/1000),Skills!L15/10)+Skills!O15</f>
        <v/>
      </c>
      <c r="G85">
        <f>Skills!G15*IF(Skills!H15&gt;0,IF(Inputs!$B$39="pvp",MIN(Skills!I15,15),Skills!I15)/Skills!H15,1)</f>
        <v/>
      </c>
      <c r="H85">
        <f>1-(1-Skills!J15/100)^Skills!K15</f>
        <v/>
      </c>
      <c r="I85" t="inlineStr">
        <is>
          <t>1</t>
        </is>
      </c>
      <c r="J85">
        <f>((Inputs!$B$6*(1+Inputs!$B$7/100))+((((Inputs!$B$12+1)*(1+Inputs!$B$13/100))-(Inputs!$B$12*(1+Inputs!$B$13/100)))+0.25*(Inputs!$B$14-Inputs!$B$14))*(1+Inputs!$B$7/100))*(F85/100)</f>
        <v/>
      </c>
      <c r="K85">
        <f>J85*(1+(((Inputs!$B$12+1)*(1+Inputs!$B$13/100))*0.01+Inputs!$B$14*0.0025)/100)*(1+Inputs!$B$15/100)*(1+Inputs!$B$16/100)*(5000/(6000+Inputs!$B$43*(1-(100*(1-(1-Inputs!$B$19/100)*(1-CHOOSE(ArtifactsInput!$N$40+1,5,6,7,8,9,10)/100)^(ArtifactsInput!$M$40-ArtifactsInput!$M$40)))/100)))*(1+(Inputs!$B$24+((C101=TRUE)*(F101-Calc!F31))+((C88=TRUE)*(F88-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15="CRUEL_STAB",Inputs!$B$17+((C98=TRUE)*(F98-Calc!F28))+((IF(AND(Inputs!$B$39&lt;&gt;"pvp",Inputs!$B$44=0),1,IF(IF(Inputs!$B$39="pvp",15,Inputs!$B$44)-(B115)&lt;=0,1,MAX(0,IF(Inputs!$B$39="pvp",15,Inputs!$B$44)-MAX(5,B115))/(IF(Inputs!$B$39="pvp",15,Inputs!$B$44)-(B115))))*(IF(AND(ArtifactsInput!$M$42,((Inputs!$B$9+((C96=TRUE)*(F96-Calc!F26))+B104+(ArtifactsInput!$M$24-ArtifactsInput!$M$24)*CHOOSE(ArtifactsInput!$N$24+1,10,12,14,16,18,20)+IF(ArtifactsInput!$M$10,CHOOSE(ArtifactsInput!$N$10+1,15,18,21,24,27,30)*(IF(Inputs!$B$39="pvp",MIN(15,15)/15,IF(AND(Inputs!$B$39&lt;&gt;"pvp",Inputs!$B$44&gt;0),MIN(15,Inputs!$B$44)/(Inputs!$B$44),0))),0)))&gt;=100),MIN(100,((Inputs!$B$9+((C96=TRUE)*(F96-Calc!F26))+B104+(ArtifactsInput!$M$24-ArtifactsInput!$M$24)*CHOOSE(ArtifactsInput!$N$24+1,10,12,14,16,18,20)+IF(ArtifactsInput!$M$10,CHOOSE(ArtifactsInput!$N$10+1,15,18,21,24,27,30)*(IF(Inputs!$B$39="pvp",MIN(15,15)/15,IF(AND(Inputs!$B$39&lt;&gt;"pvp",Inputs!$B$44&gt;0),MIN(15,Inputs!$B$44)/(Inputs!$B$44),0))),0)))-100),0))*CHOOSE(ArtifactsInput!$N$42+1,0.6,0.72,0.84,0.96,1.08,1.2))),Inputs!$B$18+((C99=TRUE)*(F99-Calc!F29))+(IF(AND(Inputs!$B$39&lt;&gt;"pvp",Inputs!$B$44=0),1,IF(IF(Inputs!$B$39="pvp",15,Inputs!$B$44)-(B115)&lt;=0,1,MAX(0,IF(Inputs!$B$39="pvp",15,Inputs!$B$44)-MAX(5,B115))/(IF(Inputs!$B$39="pvp",15,Inputs!$B$44)-(B115))))*IF(AND(ArtifactsInput!$M$42,((Inputs!$B$9+((C96=TRUE)*(F96-Calc!F26))+B104+(ArtifactsInput!$M$24-ArtifactsInput!$M$24)*CHOOSE(ArtifactsInput!$N$24+1,10,12,14,16,18,20)+IF(ArtifactsInput!$M$10,CHOOSE(ArtifactsInput!$N$10+1,15,18,21,24,27,30)*(IF(Inputs!$B$39="pvp",MIN(15,15)/15,IF(AND(Inputs!$B$39&lt;&gt;"pvp",Inputs!$B$44&gt;0),MIN(15,Inputs!$B$44)/(Inputs!$B$44),0))),0)))&gt;=100),CHOOSE(ArtifactsInput!$N$42+1,40,48,56,64,72,80),0))))/100)*(((1+(((C92=TRUE)*F92*IF(AND(Inputs!$B$39&lt;&gt;"pvp",Inputs!$B$44&gt;0),(((R92-1)*MIN((Skills!Y22*(1+Inputs!$B$34/100)),(1/Q92))+MIN((Skills!Y22*(1+Inputs!$B$34/100)),MAX(0,Inputs!$B$44-((R92-1)*(1/Q92)))))/Inputs!$B$44),IF(Inputs!$B$39="pvp",MIN((Skills!Y22*(1+Inputs!$B$34/100)),15)/15,MIN(1,(Skills!Y22*(1+Inputs!$B$34/100))/(1/Q92)))))+((C73=TRUE)*F73*3)+((C75=TRUE)*F75*(1-EXP(-0.75*B108*5)))+((C94=TRUE)*(F94-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81=TRUE)*F81*IF(AND(Inputs!$B$39&lt;&gt;"pvp",Inputs!$B$44&gt;0),(((R81-1)*MIN((Skills!Y11*(1+Inputs!$B$34/100)),(1/Q81))+MIN((Skills!Y11*(1+Inputs!$B$34/100)),MAX(0,Inputs!$B$44-((R81-1)*(1/Q81)))))/Inputs!$B$44),IF(Inputs!$B$39="pvp",MIN((Skills!Y11*(1+Inputs!$B$34/100)),15)/15,MIN(1,(Skills!Y11*(1+Inputs!$B$34/100))/(1/Q81)))))/100)*(1+((C86=TRUE)*F86*IF(AND(Inputs!$B$39&lt;&gt;"pvp",Inputs!$B$44&gt;0),(((R86-1)*MIN((Skills!Y16*(1+Inputs!$B$34/100)),(1/Q86))+MIN((Skills!Y16*(1+Inputs!$B$34/100)),MAX(0,Inputs!$B$44-((R86-1)*(1/Q86)))))/Inputs!$B$44),IF(Inputs!$B$39="pvp",MIN((Skills!Y16*(1+Inputs!$B$34/100)),15)/15,MIN(1,(Skills!Y16*(1+Inputs!$B$34/100))/(1/Q86)))))/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106*I85)</f>
        <v/>
      </c>
      <c r="L85">
        <f>K85*(MIN(Inputs!$B$22+((C95=TRUE)*(F95-Calc!F25)),(Inputs!$B$23+((C100=TRUE)*(F100-Calc!F30))+IF(ArtifactsInput!$M$15,CHOOSE(ArtifactsInput!$N$15+1,25,30,35,40,45,50)/100*(Inputs!$B$11-Inputs!$B$11),0)))/100+(Inputs!$B$23+((C100=TRUE)*(F100-Calc!F30))+IF(ArtifactsInput!$M$15,CHOOSE(ArtifactsInput!$N$15+1,25,30,35,40,45,50)/100*(Inputs!$B$11-Inputs!$B$11),0))/100)/2</f>
        <v/>
      </c>
      <c r="M85">
        <f>L85*(1+(Inputs!$B$10+((C97=TRUE)*(F97-Calc!F27))+B111+(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85">
        <f>L85*(1-MIN((Inputs!$B$9+((C96=TRUE)*(F96-Calc!F26))+B104+(ArtifactsInput!$M$24-ArtifactsInput!$M$24)*CHOOSE(ArtifactsInput!$N$24+1,10,12,14,16,18,20)+(IF(AND(Inputs!$B$39&lt;&gt;"pvp",Inputs!$B$44=0),1,IF(IF(Inputs!$B$39="pvp",15,Inputs!$B$44)-(B115)&lt;=0,1,MAX(0,IF(Inputs!$B$39="pvp",15,Inputs!$B$44)-MAX(5,B115))/(IF(Inputs!$B$39="pvp",15,Inputs!$B$44)-(B115))))*IF(AND(ArtifactsInput!$M$42,((Inputs!$B$9+((C96=TRUE)*(F96-Calc!F26))+B104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85*(MIN((Inputs!$B$9+((C96=TRUE)*(F96-Calc!F26))+B104+(ArtifactsInput!$M$24-ArtifactsInput!$M$24)*CHOOSE(ArtifactsInput!$N$24+1,10,12,14,16,18,20)+(IF(AND(Inputs!$B$39&lt;&gt;"pvp",Inputs!$B$44=0),1,IF(IF(Inputs!$B$39="pvp",15,Inputs!$B$44)-(B115)&lt;=0,1,MAX(0,IF(Inputs!$B$39="pvp",15,Inputs!$B$44)-MAX(5,B115))/(IF(Inputs!$B$39="pvp",15,Inputs!$B$44)-(B115))))*IF(AND(ArtifactsInput!$M$42,((Inputs!$B$9+((C96=TRUE)*(F96-Calc!F26))+B104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85">
        <f>(1-Summary!$B$11)*T85+Summary!$B$11*V85</f>
        <v/>
      </c>
      <c r="P85">
        <f>IF(B116=0,0,O85/B116)</f>
        <v/>
      </c>
      <c r="Q85">
        <f>IFERROR(1/IF(Inputs!$B$39="pvp",15,MAX(0.1,Skills!D15-IF(TRUE=TRUE,Inputs!$B$32,0))),0)</f>
        <v/>
      </c>
      <c r="R85">
        <f>IF(AND(Inputs!$B$39&lt;&gt;"pvp",Inputs!$B$44&gt;0),IF(MAX(0,Inputs!$B$44-B115)&lt;=0,0,(INT(MAX(0,Inputs!$B$44-B115)/IF(Inputs!$B$39="pvp",15,MAX(0.1,Skills!D15-IF(TRUE=TRUE,Inputs!$B$32,0))))+1)),0)</f>
        <v/>
      </c>
      <c r="S85">
        <f>IFERROR(O85/N85,0)</f>
        <v/>
      </c>
      <c r="T85">
        <f>IF(C85,(H85*N85*IF(AND(Inputs!$B$39&lt;&gt;"pvp",Inputs!$B$44&gt;0),((Skills!G15*((R85-1)*IF(Skills!H15&gt;0,Skills!I15/Skills!H15,1)+IF(Skills!H15&gt;0,MIN(Skills!I15,MAX(0,MAX(0,Inputs!$B$44-B115)-((R85-1)*IF(Inputs!$B$39="pvp",15,MAX(0.1,Skills!D15-IF(TRUE=TRUE,Inputs!$B$32,0))))))/Skills!H15,1)))/Inputs!$B$44),G85*Q85))*IF(Inputs!$B$39="pvp",1,1+(Inputs!$B$20+0+Skills!P15+B105+(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Hunt"),CHOOSE(ArtifactsInput!$N$35+1,15,18,21,24,27,30)*(1-EXP(-(0.2*B108)*5)),0)+IF(AND(ArtifactsInput!$M$22,Inputs!$B$4&lt;&gt;"Chapter Hunt"),CHOOSE(ArtifactsInput!$N$22+1,10,12,14,16,18,20)*((0*(((0.15*B108*5))^0/1)+1*(((0.15*B108*5))^1/1)+2*(((0.15*B108*5))^2/2)+3*(((0.15*B108*5))^3/6)+4*(((0.15*B108*5))^4/24)+5*(((0.15*B108*5))^5/120))/((((0.15*B108*5))^0/1)+(((0.15*B108*5))^1/1)+(((0.15*B108*5))^2/2)+(((0.15*B108*5))^3/6)+(((0.15*B108*5))^4/24)+(((0.15*B108*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85*(1-MIN(100,(Inputs!$B$9+((C96=TRUE)*(F96-Calc!F26))+B104+(ArtifactsInput!$M$24-ArtifactsInput!$M$24)*CHOOSE(ArtifactsInput!$N$24+1,10,12,14,16,18,20)+(IF(AND(Inputs!$B$39&lt;&gt;"pvp",Inputs!$B$44=0),1,IF(IF(Inputs!$B$39="pvp",15,Inputs!$B$44)-(B115)&lt;=0,1,MAX(0,IF(Inputs!$B$39="pvp",15,Inputs!$B$44)-MAX(5,B115))/(IF(Inputs!$B$39="pvp",15,Inputs!$B$44)-(B115))))*IF(AND(ArtifactsInput!$M$42,((Inputs!$B$9+((C96=TRUE)*(F96-Calc!F26))+B104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85*(MIN(100,(Inputs!$B$9+((C96=TRUE)*(F96-Calc!F26))+B104+(ArtifactsInput!$M$24-ArtifactsInput!$M$24)*CHOOSE(ArtifactsInput!$N$24+1,10,12,14,16,18,20)+(IF(AND(Inputs!$B$39&lt;&gt;"pvp",Inputs!$B$44=0),1,IF(IF(Inputs!$B$39="pvp",15,Inputs!$B$44)-(B115)&lt;=0,1,MAX(0,IF(Inputs!$B$39="pvp",15,Inputs!$B$44)-MAX(5,B115))/(IF(Inputs!$B$39="pvp",15,Inputs!$B$44)-(B115))))*IF(AND(ArtifactsInput!$M$42,((Inputs!$B$9+((C96=TRUE)*(F96-Calc!F26))+B104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85*(1-MIN(100,(Inputs!$B$9+((C96=TRUE)*(F96-Calc!F26))+B104+(ArtifactsInput!$M$24-ArtifactsInput!$M$24)*CHOOSE(ArtifactsInput!$N$24+1,10,12,14,16,18,20)+(IF(AND(Inputs!$B$39&lt;&gt;"pvp",Inputs!$B$44=0),1,IF(IF(Inputs!$B$39="pvp",15,Inputs!$B$44)-(B115)&lt;=0,1,MAX(0,IF(Inputs!$B$39="pvp",15,Inputs!$B$44)-MAX(5,B115))/(IF(Inputs!$B$39="pvp",15,Inputs!$B$44)-(B115))))*IF(AND(ArtifactsInput!$M$42,((Inputs!$B$9+((C96=TRUE)*(F96-Calc!F26))+B104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85*(MIN(100,(Inputs!$B$9+((C96=TRUE)*(F96-Calc!F26))+B104+(ArtifactsInput!$M$24-ArtifactsInput!$M$24)*CHOOSE(ArtifactsInput!$N$24+1,10,12,14,16,18,20)+(IF(AND(Inputs!$B$39&lt;&gt;"pvp",Inputs!$B$44=0),1,IF(IF(Inputs!$B$39="pvp",15,Inputs!$B$44)-(B115)&lt;=0,1,MAX(0,IF(Inputs!$B$39="pvp",15,Inputs!$B$44)-MAX(5,B115))/(IF(Inputs!$B$39="pvp",15,Inputs!$B$44)-(B115))))*IF(AND(ArtifactsInput!$M$42,((Inputs!$B$9+((C96=TRUE)*(F96-Calc!F26))+B104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85">
        <f>IF(C85,(H85*N85*IF(AND(Inputs!$B$39&lt;&gt;"pvp",Inputs!$B$44&gt;0),((Skills!G15*((R85-1)*IF(Skills!H15&gt;0,Skills!I15/Skills!H15,1)+IF(Skills!H15&gt;0,MIN(Skills!I15,MAX(0,MAX(0,Inputs!$B$44-B115)-((R85-1)*IF(Inputs!$B$39="pvp",15,MAX(0.1,Skills!D15-IF(TRUE=TRUE,Inputs!$B$32,0))))))/Skills!H15,1)))/Inputs!$B$44),G85*Q85))*IF(Inputs!$B$39="pvp",1,(1+(Inputs!$B$21+Skills!Q15+B105+(IF(ArtifactsInput!$M$33,CHOOSE(ArtifactsInput!$N$33+1,30,36,42,48,54,60),0))+(IF(AND(ArtifactsInput!$M$35,Inputs!$B$4&lt;&gt;"Chapter Hunt"),CHOOSE(ArtifactsInput!$N$35+1,15,18,21,24,27,30)*(1-EXP(-(0.2*B108)*5)),0)+IF(AND(ArtifactsInput!$M$22,Inputs!$B$4&lt;&gt;"Chapter Hunt"),CHOOSE(ArtifactsInput!$N$22+1,10,12,14,16,18,20)*((0*(((0.15*B108*5))^0/1)+1*(((0.15*B108*5))^1/1)+2*(((0.15*B108*5))^2/2)+3*(((0.15*B108*5))^3/6)+4*(((0.15*B108*5))^4/24)+5*(((0.15*B108*5))^5/120))/((((0.15*B108*5))^0/1)+(((0.15*B108*5))^1/1)+(((0.15*B108*5))^2/2)+(((0.15*B108*5))^3/6)+(((0.15*B108*5))^4/24)+(((0.15*B108*5))^5/120))),0)))/100)*(MIN(MIN(5,0.5*IF(Inputs!$B$3&gt;=75,0.75,0.5)*B108*(1/Q74))*Skills!V15,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86">
      <c r="A86">
        <f>Skills!A16</f>
        <v/>
      </c>
      <c r="B86">
        <f>Skills!B16</f>
        <v/>
      </c>
      <c r="C86">
        <f>Inputs!$B$3&gt;=110</f>
        <v/>
      </c>
      <c r="D86">
        <f>IF(Skills!C16=1,60+Inputs!$B$25+Inputs!$B$29,IF(Skills!C16=2,90+Inputs!$B$26+Inputs!$B$29,IF(Skills!C16=3,120+Inputs!$B$27+Inputs!$B$29,MAX(0,(Inputs!$B$3-100)*3)+Inputs!$B$28+Inputs!$B$29)))</f>
        <v/>
      </c>
      <c r="E86">
        <f>INDEX(FactorTable!$B$2:$Y$301, MATCH(ROUND(MIN(300,MAX(1,D86)),0), FactorTable!$A$2:$A$301,0), Skills!M16+1)</f>
        <v/>
      </c>
      <c r="F86">
        <f>IF(Skills!N16=TRUE,(Skills!L16/10)*(E86/1000),Skills!L16/10)+Skills!O16</f>
        <v/>
      </c>
      <c r="G86">
        <f>Skills!G16*IF(Skills!H16&gt;0,IF(Inputs!$B$39="pvp",MIN(Skills!I16,15),Skills!I16)/Skills!H16,1)</f>
        <v/>
      </c>
      <c r="H86">
        <f>1-(1-Skills!J16/100)^Skills!K16</f>
        <v/>
      </c>
      <c r="I86" t="inlineStr">
        <is>
          <t>1</t>
        </is>
      </c>
      <c r="J86" t="inlineStr"/>
      <c r="K86" t="inlineStr"/>
      <c r="L86" t="inlineStr"/>
      <c r="M86" t="inlineStr"/>
      <c r="N86" t="inlineStr"/>
      <c r="O86">
        <f>(1-Summary!$B$11)*T86+Summary!$B$11*V86</f>
        <v/>
      </c>
      <c r="P86">
        <f>IF(B116=0,0,O86/B116)</f>
        <v/>
      </c>
      <c r="Q86">
        <f>IFERROR(1/IF(Inputs!$B$39="pvp",15,MAX(0.1,Skills!D16-IF(TRUE=TRUE,Inputs!$B$32,0))),0)</f>
        <v/>
      </c>
      <c r="R86">
        <f>IF(AND(Inputs!$B$39&lt;&gt;"pvp",Inputs!$B$44&gt;0),IF(Inputs!$B$44&lt;=0,0,(INT(Inputs!$B$44/IF(Inputs!$B$39="pvp",15,MAX(0.1,Skills!D16-IF(TRUE=TRUE,Inputs!$B$32,0))))+1)),0)</f>
        <v/>
      </c>
      <c r="S86">
        <f>IFERROR(O86/N86,0)</f>
        <v/>
      </c>
      <c r="T86" t="n">
        <v>0</v>
      </c>
      <c r="V86" t="n">
        <v>0</v>
      </c>
    </row>
    <row r="87">
      <c r="A87">
        <f>Skills!A17</f>
        <v/>
      </c>
      <c r="B87">
        <f>Skills!B17</f>
        <v/>
      </c>
      <c r="C87">
        <f>Inputs!$B$3&gt;=115</f>
        <v/>
      </c>
      <c r="D87">
        <f>IF(Skills!C17=1,60+Inputs!$B$25+Inputs!$B$29,IF(Skills!C17=2,90+Inputs!$B$26+Inputs!$B$29,IF(Skills!C17=3,120+Inputs!$B$27+Inputs!$B$29,MAX(0,(Inputs!$B$3-100)*3)+Inputs!$B$28+Inputs!$B$29)))</f>
        <v/>
      </c>
      <c r="E87">
        <f>INDEX(FactorTable!$B$2:$Y$301, MATCH(ROUND(MIN(300,MAX(1,D87)),0), FactorTable!$A$2:$A$301,0), Skills!M17+1)</f>
        <v/>
      </c>
      <c r="F87">
        <f>IF(Skills!N17=TRUE,(Skills!L17/10)*(E87/1000),Skills!L17/10)+Skills!O17</f>
        <v/>
      </c>
      <c r="G87">
        <f>Skills!G17*IF(Skills!H17&gt;0,IF(Inputs!$B$39="pvp",MIN(Skills!I17,15),Skills!I17)/Skills!H17,1)</f>
        <v/>
      </c>
      <c r="H87">
        <f>1-(1-Skills!J17/100)^Skills!K17</f>
        <v/>
      </c>
      <c r="I87" t="inlineStr">
        <is>
          <t>1</t>
        </is>
      </c>
      <c r="J87">
        <f>((Inputs!$B$6*(1+Inputs!$B$7/100))+((((Inputs!$B$12+1)*(1+Inputs!$B$13/100))-(Inputs!$B$12*(1+Inputs!$B$13/100)))+0.25*(Inputs!$B$14-Inputs!$B$14))*(1+Inputs!$B$7/100))*(F87/100)</f>
        <v/>
      </c>
      <c r="K87">
        <f>J87*(1+(((Inputs!$B$12+1)*(1+Inputs!$B$13/100))*0.01+Inputs!$B$14*0.0025)/100)*(1+Inputs!$B$15/100)*(1+Inputs!$B$16/100)*(5000/(6000+Inputs!$B$43*(1-(100*(1-(1-Inputs!$B$19/100)*(1-CHOOSE(ArtifactsInput!$N$40+1,5,6,7,8,9,10)/100)^(ArtifactsInput!$M$40-ArtifactsInput!$M$40)))/100)))*(1+(Inputs!$B$24+((C101=TRUE)*(F101-Calc!F31))+((C88=TRUE)*(F88-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17="CRUEL_STAB",Inputs!$B$17+((C98=TRUE)*(F98-Calc!F28))+((IF(AND(Inputs!$B$39&lt;&gt;"pvp",Inputs!$B$44=0),1,IF(IF(Inputs!$B$39="pvp",15,Inputs!$B$44)-(B115)&lt;=0,1,MAX(0,IF(Inputs!$B$39="pvp",15,Inputs!$B$44)-MAX(5,B115))/(IF(Inputs!$B$39="pvp",15,Inputs!$B$44)-(B115))))*(IF(AND(ArtifactsInput!$M$42,((Inputs!$B$9+((C96=TRUE)*(F96-Calc!F26))+B104+(ArtifactsInput!$M$24-ArtifactsInput!$M$24)*CHOOSE(ArtifactsInput!$N$24+1,10,12,14,16,18,20)+IF(ArtifactsInput!$M$10,CHOOSE(ArtifactsInput!$N$10+1,15,18,21,24,27,30)*(IF(Inputs!$B$39="pvp",MIN(15,15)/15,IF(AND(Inputs!$B$39&lt;&gt;"pvp",Inputs!$B$44&gt;0),MIN(15,Inputs!$B$44)/(Inputs!$B$44),0))),0)))&gt;=100),MIN(100,((Inputs!$B$9+((C96=TRUE)*(F96-Calc!F26))+B104+(ArtifactsInput!$M$24-ArtifactsInput!$M$24)*CHOOSE(ArtifactsInput!$N$24+1,10,12,14,16,18,20)+IF(ArtifactsInput!$M$10,CHOOSE(ArtifactsInput!$N$10+1,15,18,21,24,27,30)*(IF(Inputs!$B$39="pvp",MIN(15,15)/15,IF(AND(Inputs!$B$39&lt;&gt;"pvp",Inputs!$B$44&gt;0),MIN(15,Inputs!$B$44)/(Inputs!$B$44),0))),0)))-100),0))*CHOOSE(ArtifactsInput!$N$42+1,0.6,0.72,0.84,0.96,1.08,1.2))),Inputs!$B$18+((C99=TRUE)*(F99-Calc!F29))+(IF(AND(Inputs!$B$39&lt;&gt;"pvp",Inputs!$B$44=0),1,IF(IF(Inputs!$B$39="pvp",15,Inputs!$B$44)-(B115)&lt;=0,1,MAX(0,IF(Inputs!$B$39="pvp",15,Inputs!$B$44)-MAX(5,B115))/(IF(Inputs!$B$39="pvp",15,Inputs!$B$44)-(B115))))*IF(AND(ArtifactsInput!$M$42,((Inputs!$B$9+((C96=TRUE)*(F96-Calc!F26))+B104+(ArtifactsInput!$M$24-ArtifactsInput!$M$24)*CHOOSE(ArtifactsInput!$N$24+1,10,12,14,16,18,20)+IF(ArtifactsInput!$M$10,CHOOSE(ArtifactsInput!$N$10+1,15,18,21,24,27,30)*(IF(Inputs!$B$39="pvp",MIN(15,15)/15,IF(AND(Inputs!$B$39&lt;&gt;"pvp",Inputs!$B$44&gt;0),MIN(15,Inputs!$B$44)/(Inputs!$B$44),0))),0)))&gt;=100),CHOOSE(ArtifactsInput!$N$42+1,40,48,56,64,72,80),0))))/100)*(((1+(((C92=TRUE)*F92*IF(AND(Inputs!$B$39&lt;&gt;"pvp",Inputs!$B$44&gt;0),(((R92-1)*MIN((Skills!Y22*(1+Inputs!$B$34/100)),(1/Q92))+MIN((Skills!Y22*(1+Inputs!$B$34/100)),MAX(0,Inputs!$B$44-((R92-1)*(1/Q92)))))/Inputs!$B$44),IF(Inputs!$B$39="pvp",MIN((Skills!Y22*(1+Inputs!$B$34/100)),15)/15,MIN(1,(Skills!Y22*(1+Inputs!$B$34/100))/(1/Q92)))))+((C73=TRUE)*F73*3)+((C75=TRUE)*F75*(1-EXP(-0.75*B108*5)))+((C94=TRUE)*(F94-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81=TRUE)*F81*IF(AND(Inputs!$B$39&lt;&gt;"pvp",Inputs!$B$44&gt;0),(((R81-1)*MIN((Skills!Y11*(1+Inputs!$B$34/100)),(1/Q81))+MIN((Skills!Y11*(1+Inputs!$B$34/100)),MAX(0,Inputs!$B$44-((R81-1)*(1/Q81)))))/Inputs!$B$44),IF(Inputs!$B$39="pvp",MIN((Skills!Y11*(1+Inputs!$B$34/100)),15)/15,MIN(1,(Skills!Y11*(1+Inputs!$B$34/100))/(1/Q81)))))/100)*(1+((C86=TRUE)*F86*IF(AND(Inputs!$B$39&lt;&gt;"pvp",Inputs!$B$44&gt;0),(((R86-1)*MIN((Skills!Y16*(1+Inputs!$B$34/100)),(1/Q86))+MIN((Skills!Y16*(1+Inputs!$B$34/100)),MAX(0,Inputs!$B$44-((R86-1)*(1/Q86)))))/Inputs!$B$44),IF(Inputs!$B$39="pvp",MIN((Skills!Y16*(1+Inputs!$B$34/100)),15)/15,MIN(1,(Skills!Y16*(1+Inputs!$B$34/100))/(1/Q86)))))/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106*I87)</f>
        <v/>
      </c>
      <c r="L87">
        <f>K87*(MIN(Inputs!$B$22+((C95=TRUE)*(F95-Calc!F25)),(Inputs!$B$23+((C100=TRUE)*(F100-Calc!F30))+IF(ArtifactsInput!$M$15,CHOOSE(ArtifactsInput!$N$15+1,25,30,35,40,45,50)/100*(Inputs!$B$11-Inputs!$B$11),0)))/100+(Inputs!$B$23+((C100=TRUE)*(F100-Calc!F30))+IF(ArtifactsInput!$M$15,CHOOSE(ArtifactsInput!$N$15+1,25,30,35,40,45,50)/100*(Inputs!$B$11-Inputs!$B$11),0))/100)/2</f>
        <v/>
      </c>
      <c r="M87">
        <f>L87*(1+(Inputs!$B$10+((C97=TRUE)*(F97-Calc!F27))+B111+(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87">
        <f>L87*(1-MIN((Inputs!$B$9+((C96=TRUE)*(F96-Calc!F26))+B104+(ArtifactsInput!$M$24-ArtifactsInput!$M$24)*CHOOSE(ArtifactsInput!$N$24+1,10,12,14,16,18,20)+(IF(AND(Inputs!$B$39&lt;&gt;"pvp",Inputs!$B$44=0),1,IF(IF(Inputs!$B$39="pvp",15,Inputs!$B$44)-(B115)&lt;=0,1,MAX(0,IF(Inputs!$B$39="pvp",15,Inputs!$B$44)-MAX(5,B115))/(IF(Inputs!$B$39="pvp",15,Inputs!$B$44)-(B115))))*IF(AND(ArtifactsInput!$M$42,((Inputs!$B$9+((C96=TRUE)*(F96-Calc!F26))+B104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87*(MIN((Inputs!$B$9+((C96=TRUE)*(F96-Calc!F26))+B104+(ArtifactsInput!$M$24-ArtifactsInput!$M$24)*CHOOSE(ArtifactsInput!$N$24+1,10,12,14,16,18,20)+(IF(AND(Inputs!$B$39&lt;&gt;"pvp",Inputs!$B$44=0),1,IF(IF(Inputs!$B$39="pvp",15,Inputs!$B$44)-(B115)&lt;=0,1,MAX(0,IF(Inputs!$B$39="pvp",15,Inputs!$B$44)-MAX(5,B115))/(IF(Inputs!$B$39="pvp",15,Inputs!$B$44)-(B115))))*IF(AND(ArtifactsInput!$M$42,((Inputs!$B$9+((C96=TRUE)*(F96-Calc!F26))+B104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87">
        <f>(1-Summary!$B$11)*T87+Summary!$B$11*V87</f>
        <v/>
      </c>
      <c r="P87">
        <f>IF(B116=0,0,O87/B116)</f>
        <v/>
      </c>
      <c r="Q87" t="n">
        <v>0</v>
      </c>
      <c r="R87" t="n">
        <v>0</v>
      </c>
      <c r="S87">
        <f>IFERROR(O87/N87,0)</f>
        <v/>
      </c>
      <c r="T87">
        <f>IF(C87,(Inputs!$B$38*0.2*N87)*IF(Inputs!$B$39="pvp",1,1+(Inputs!$B$20+0+Skills!P17+B105+(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Hunt"),CHOOSE(ArtifactsInput!$N$35+1,15,18,21,24,27,30)*(1-EXP(-(0.2*B108)*5)),0)+IF(AND(ArtifactsInput!$M$22,Inputs!$B$4&lt;&gt;"Chapter Hunt"),CHOOSE(ArtifactsInput!$N$22+1,10,12,14,16,18,20)*((0*(((0.15*B108*5))^0/1)+1*(((0.15*B108*5))^1/1)+2*(((0.15*B108*5))^2/2)+3*(((0.15*B108*5))^3/6)+4*(((0.15*B108*5))^4/24)+5*(((0.15*B108*5))^5/120))/((((0.15*B108*5))^0/1)+(((0.15*B108*5))^1/1)+(((0.15*B108*5))^2/2)+(((0.15*B108*5))^3/6)+(((0.15*B108*5))^4/24)+(((0.15*B108*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87*(1-MIN(100,(Inputs!$B$9+((C96=TRUE)*(F96-Calc!F26))+B104+(ArtifactsInput!$M$24-ArtifactsInput!$M$24)*CHOOSE(ArtifactsInput!$N$24+1,10,12,14,16,18,20)+(IF(AND(Inputs!$B$39&lt;&gt;"pvp",Inputs!$B$44=0),1,IF(IF(Inputs!$B$39="pvp",15,Inputs!$B$44)-(B115)&lt;=0,1,MAX(0,IF(Inputs!$B$39="pvp",15,Inputs!$B$44)-MAX(5,B115))/(IF(Inputs!$B$39="pvp",15,Inputs!$B$44)-(B115))))*IF(AND(ArtifactsInput!$M$42,((Inputs!$B$9+((C96=TRUE)*(F96-Calc!F26))+B104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87*(MIN(100,(Inputs!$B$9+((C96=TRUE)*(F96-Calc!F26))+B104+(ArtifactsInput!$M$24-ArtifactsInput!$M$24)*CHOOSE(ArtifactsInput!$N$24+1,10,12,14,16,18,20)+(IF(AND(Inputs!$B$39&lt;&gt;"pvp",Inputs!$B$44=0),1,IF(IF(Inputs!$B$39="pvp",15,Inputs!$B$44)-(B115)&lt;=0,1,MAX(0,IF(Inputs!$B$39="pvp",15,Inputs!$B$44)-MAX(5,B115))/(IF(Inputs!$B$39="pvp",15,Inputs!$B$44)-(B115))))*IF(AND(ArtifactsInput!$M$42,((Inputs!$B$9+((C96=TRUE)*(F96-Calc!F26))+B104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87*(1-MIN(100,(Inputs!$B$9+((C96=TRUE)*(F96-Calc!F26))+B104+(ArtifactsInput!$M$24-ArtifactsInput!$M$24)*CHOOSE(ArtifactsInput!$N$24+1,10,12,14,16,18,20)+(IF(AND(Inputs!$B$39&lt;&gt;"pvp",Inputs!$B$44=0),1,IF(IF(Inputs!$B$39="pvp",15,Inputs!$B$44)-(B115)&lt;=0,1,MAX(0,IF(Inputs!$B$39="pvp",15,Inputs!$B$44)-MAX(5,B115))/(IF(Inputs!$B$39="pvp",15,Inputs!$B$44)-(B115))))*IF(AND(ArtifactsInput!$M$42,((Inputs!$B$9+((C96=TRUE)*(F96-Calc!F26))+B104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87*(MIN(100,(Inputs!$B$9+((C96=TRUE)*(F96-Calc!F26))+B104+(ArtifactsInput!$M$24-ArtifactsInput!$M$24)*CHOOSE(ArtifactsInput!$N$24+1,10,12,14,16,18,20)+(IF(AND(Inputs!$B$39&lt;&gt;"pvp",Inputs!$B$44=0),1,IF(IF(Inputs!$B$39="pvp",15,Inputs!$B$44)-(B115)&lt;=0,1,MAX(0,IF(Inputs!$B$39="pvp",15,Inputs!$B$44)-MAX(5,B115))/(IF(Inputs!$B$39="pvp",15,Inputs!$B$44)-(B115))))*IF(AND(ArtifactsInput!$M$42,((Inputs!$B$9+((C96=TRUE)*(F96-Calc!F26))+B104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87">
        <f>IF(C87,(Inputs!$B$38*0.2*N87)*IF(Inputs!$B$39="pvp",1,(1+(Inputs!$B$21+Skills!Q17+B105+(IF(ArtifactsInput!$M$33,CHOOSE(ArtifactsInput!$N$33+1,30,36,42,48,54,60),0))+(IF(AND(ArtifactsInput!$M$35,Inputs!$B$4&lt;&gt;"Chapter Hunt"),CHOOSE(ArtifactsInput!$N$35+1,15,18,21,24,27,30)*(1-EXP(-(0.2*B108)*5)),0)+IF(AND(ArtifactsInput!$M$22,Inputs!$B$4&lt;&gt;"Chapter Hunt"),CHOOSE(ArtifactsInput!$N$22+1,10,12,14,16,18,20)*((0*(((0.15*B108*5))^0/1)+1*(((0.15*B108*5))^1/1)+2*(((0.15*B108*5))^2/2)+3*(((0.15*B108*5))^3/6)+4*(((0.15*B108*5))^4/24)+5*(((0.15*B108*5))^5/120))/((((0.15*B108*5))^0/1)+(((0.15*B108*5))^1/1)+(((0.15*B108*5))^2/2)+(((0.15*B108*5))^3/6)+(((0.15*B108*5))^4/24)+(((0.15*B108*5))^5/120))),0)))/100)*(MIN(Skills!W17,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88">
      <c r="A88">
        <f>Skills!A18</f>
        <v/>
      </c>
      <c r="B88">
        <f>Skills!B18</f>
        <v/>
      </c>
      <c r="C88">
        <f>Inputs!$B$3&gt;=115</f>
        <v/>
      </c>
      <c r="D88">
        <f>IF(Skills!C18=1,60+Inputs!$B$25+Inputs!$B$29,IF(Skills!C18=2,90+Inputs!$B$26+Inputs!$B$29,IF(Skills!C18=3,120+Inputs!$B$27+Inputs!$B$29,MAX(0,(Inputs!$B$3-100)*3)+Inputs!$B$28+Inputs!$B$29)))</f>
        <v/>
      </c>
      <c r="E88">
        <f>INDEX(FactorTable!$B$2:$Y$301, MATCH(ROUND(MIN(300,MAX(1,D88)),0), FactorTable!$A$2:$A$301,0), Skills!M18+1)</f>
        <v/>
      </c>
      <c r="F88">
        <f>IF(Skills!N18=TRUE,(Skills!L18/10)*(E88/1000),Skills!L18/10)+Skills!O18</f>
        <v/>
      </c>
      <c r="G88">
        <f>Skills!G18*IF(Skills!H18&gt;0,IF(Inputs!$B$39="pvp",MIN(Skills!I18,15),Skills!I18)/Skills!H18,1)</f>
        <v/>
      </c>
      <c r="H88">
        <f>1-(1-Skills!J18/100)^Skills!K18</f>
        <v/>
      </c>
      <c r="I88" t="inlineStr">
        <is>
          <t>1</t>
        </is>
      </c>
      <c r="J88" t="inlineStr"/>
      <c r="K88" t="inlineStr"/>
      <c r="L88" t="inlineStr"/>
      <c r="M88" t="inlineStr"/>
      <c r="N88" t="inlineStr"/>
      <c r="O88">
        <f>(1-Summary!$B$11)*T88+Summary!$B$11*V88</f>
        <v/>
      </c>
      <c r="P88">
        <f>IF(B116=0,0,O88/B116)</f>
        <v/>
      </c>
      <c r="Q88" t="n">
        <v>0</v>
      </c>
      <c r="R88" t="n">
        <v>0</v>
      </c>
      <c r="S88">
        <f>IFERROR(O88/N88,0)</f>
        <v/>
      </c>
      <c r="T88" t="n">
        <v>0</v>
      </c>
      <c r="V88" t="n">
        <v>0</v>
      </c>
    </row>
    <row r="89">
      <c r="A89">
        <f>Skills!A19</f>
        <v/>
      </c>
      <c r="B89">
        <f>Skills!B19</f>
        <v/>
      </c>
      <c r="C89">
        <f>Inputs!$B$3&gt;=100</f>
        <v/>
      </c>
      <c r="D89">
        <f>IF(Skills!C19=1,60+Inputs!$B$25+Inputs!$B$29,IF(Skills!C19=2,90+Inputs!$B$26+Inputs!$B$29,IF(Skills!C19=3,120+Inputs!$B$27+Inputs!$B$29,MAX(0,(Inputs!$B$3-100)*3)+Inputs!$B$28+Inputs!$B$29)))</f>
        <v/>
      </c>
      <c r="E89">
        <f>INDEX(FactorTable!$B$2:$Y$301, MATCH(ROUND(MIN(300,MAX(1,D89)),0), FactorTable!$A$2:$A$301,0), Skills!M19+1)</f>
        <v/>
      </c>
      <c r="F89">
        <f>IF(Skills!N19=TRUE,(Skills!L19/10)*(E89/1000),Skills!L19/10)+Skills!O19</f>
        <v/>
      </c>
      <c r="G89">
        <f>Skills!G19*IF(Skills!H19&gt;0,IF(Inputs!$B$39="pvp",MIN(Skills!I19,15),Skills!I19)/Skills!H19,1)</f>
        <v/>
      </c>
      <c r="H89">
        <f>1-(1-Skills!J19/100)^Skills!K19</f>
        <v/>
      </c>
      <c r="I89" t="inlineStr">
        <is>
          <t>1</t>
        </is>
      </c>
      <c r="J89" t="inlineStr"/>
      <c r="K89" t="inlineStr"/>
      <c r="L89" t="inlineStr"/>
      <c r="M89" t="inlineStr"/>
      <c r="N89" t="inlineStr"/>
      <c r="O89">
        <f>(1-Summary!$B$11)*T89+Summary!$B$11*V89</f>
        <v/>
      </c>
      <c r="P89">
        <f>IF(B116=0,0,O89/B116)</f>
        <v/>
      </c>
      <c r="Q89" t="n">
        <v>0</v>
      </c>
      <c r="R89" t="n">
        <v>0</v>
      </c>
      <c r="S89">
        <f>IFERROR(O89/N89,0)</f>
        <v/>
      </c>
      <c r="T89" t="n">
        <v>0</v>
      </c>
      <c r="V89" t="n">
        <v>0</v>
      </c>
    </row>
    <row r="90">
      <c r="A90">
        <f>Skills!A20</f>
        <v/>
      </c>
      <c r="B90">
        <f>Skills!B20</f>
        <v/>
      </c>
      <c r="C90">
        <f>TRUE</f>
        <v/>
      </c>
      <c r="D90">
        <f>IF(Skills!C20=1,60+Inputs!$B$25+Inputs!$B$29,IF(Skills!C20=2,90+Inputs!$B$26+Inputs!$B$29,IF(Skills!C20=3,120+Inputs!$B$27+Inputs!$B$29,MAX(0,(Inputs!$B$3-100)*3)+Inputs!$B$28+Inputs!$B$29)))</f>
        <v/>
      </c>
      <c r="E90">
        <f>INDEX(FactorTable!$B$2:$Y$301, MATCH(ROUND(MIN(300,MAX(1,D90)),0), FactorTable!$A$2:$A$301,0), Skills!M20+1)</f>
        <v/>
      </c>
      <c r="F90">
        <f>IF(Skills!N20=TRUE,(Skills!L20/10)*(E90/1000),Skills!L20/10)+Skills!O20</f>
        <v/>
      </c>
      <c r="G90">
        <f>Skills!G20*IF(Skills!H20&gt;0,IF(Inputs!$B$39="pvp",MIN(Skills!I20,15),Skills!I20)/Skills!H20,1)</f>
        <v/>
      </c>
      <c r="H90">
        <f>1-(1-Skills!J20/100)^Skills!K20</f>
        <v/>
      </c>
      <c r="I90" t="inlineStr">
        <is>
          <t>1</t>
        </is>
      </c>
      <c r="J90" t="inlineStr"/>
      <c r="K90" t="inlineStr"/>
      <c r="L90" t="inlineStr"/>
      <c r="M90" t="inlineStr"/>
      <c r="N90" t="inlineStr"/>
      <c r="O90">
        <f>(1-Summary!$B$11)*T90+Summary!$B$11*V90</f>
        <v/>
      </c>
      <c r="P90">
        <f>IF(B116=0,0,O90/B116)</f>
        <v/>
      </c>
      <c r="Q90">
        <f>IFERROR(1/IF(Inputs!$B$39="pvp",15,MAX(0.1,Skills!D20-IF(TRUE=TRUE,Inputs!$B$32,0))),0)</f>
        <v/>
      </c>
      <c r="R90">
        <f>IF(AND(Inputs!$B$39&lt;&gt;"pvp",Inputs!$B$44&gt;0),IF(Inputs!$B$44&lt;=0,0,(INT(Inputs!$B$44/IF(Inputs!$B$39="pvp",15,MAX(0.1,Skills!D20-IF(TRUE=TRUE,Inputs!$B$32,0))))+1)),0)</f>
        <v/>
      </c>
      <c r="S90">
        <f>IFERROR(O90/N90,0)</f>
        <v/>
      </c>
      <c r="T90" t="n">
        <v>0</v>
      </c>
      <c r="V90" t="n">
        <v>0</v>
      </c>
    </row>
    <row r="91">
      <c r="A91">
        <f>Skills!A21</f>
        <v/>
      </c>
      <c r="B91">
        <f>Skills!B21</f>
        <v/>
      </c>
      <c r="C91">
        <f>Inputs!$B$3&gt;=15</f>
        <v/>
      </c>
      <c r="D91">
        <f>IF(Skills!C21=1,60+Inputs!$B$25+Inputs!$B$29,IF(Skills!C21=2,90+Inputs!$B$26+Inputs!$B$29,IF(Skills!C21=3,120+Inputs!$B$27+Inputs!$B$29,MAX(0,(Inputs!$B$3-100)*3)+Inputs!$B$28+Inputs!$B$29)))</f>
        <v/>
      </c>
      <c r="E91">
        <f>INDEX(FactorTable!$B$2:$Y$301, MATCH(ROUND(MIN(300,MAX(1,D91)),0), FactorTable!$A$2:$A$301,0), Skills!M21+1)</f>
        <v/>
      </c>
      <c r="F91">
        <f>IF(Skills!N21=TRUE,(Skills!L21/10)*(E91/1000),Skills!L21/10)+Skills!O21</f>
        <v/>
      </c>
      <c r="G91">
        <f>Skills!G21*IF(Skills!H21&gt;0,IF(Inputs!$B$39="pvp",MIN(Skills!I21,15),Skills!I21)/Skills!H21,1)</f>
        <v/>
      </c>
      <c r="H91">
        <f>1-(1-Skills!J21/100)^Skills!K21</f>
        <v/>
      </c>
      <c r="I91" t="inlineStr">
        <is>
          <t>1</t>
        </is>
      </c>
      <c r="J91" t="inlineStr"/>
      <c r="K91" t="inlineStr"/>
      <c r="L91" t="inlineStr"/>
      <c r="M91" t="inlineStr"/>
      <c r="N91" t="inlineStr"/>
      <c r="O91">
        <f>(1-Summary!$B$11)*T91+Summary!$B$11*V91</f>
        <v/>
      </c>
      <c r="P91">
        <f>IF(B116=0,0,O91/B116)</f>
        <v/>
      </c>
      <c r="Q91">
        <f>IFERROR(1/IF(Inputs!$B$39="pvp",15,MAX(0.1,Skills!D21-IF(TRUE=TRUE,Inputs!$B$32,0))),0)</f>
        <v/>
      </c>
      <c r="R91">
        <f>IF(AND(Inputs!$B$39&lt;&gt;"pvp",Inputs!$B$44&gt;0),IF(Inputs!$B$44&lt;=0,0,(INT(Inputs!$B$44/IF(Inputs!$B$39="pvp",15,MAX(0.1,Skills!D21-IF(TRUE=TRUE,Inputs!$B$32,0))))+1)),0)</f>
        <v/>
      </c>
      <c r="S91">
        <f>IFERROR(O91/N91,0)</f>
        <v/>
      </c>
      <c r="T91" t="n">
        <v>0</v>
      </c>
      <c r="V91" t="n">
        <v>0</v>
      </c>
    </row>
    <row r="92">
      <c r="A92">
        <f>Skills!A22</f>
        <v/>
      </c>
      <c r="B92">
        <f>Skills!B22</f>
        <v/>
      </c>
      <c r="C92">
        <f>Inputs!$B$3&gt;=15</f>
        <v/>
      </c>
      <c r="D92">
        <f>IF(Skills!C22=1,60+Inputs!$B$25+Inputs!$B$29,IF(Skills!C22=2,90+Inputs!$B$26+Inputs!$B$29,IF(Skills!C22=3,120+Inputs!$B$27+Inputs!$B$29,MAX(0,(Inputs!$B$3-100)*3)+Inputs!$B$28+Inputs!$B$29)))</f>
        <v/>
      </c>
      <c r="E92">
        <f>INDEX(FactorTable!$B$2:$Y$301, MATCH(ROUND(MIN(300,MAX(1,D92)),0), FactorTable!$A$2:$A$301,0), Skills!M22+1)</f>
        <v/>
      </c>
      <c r="F92">
        <f>IF(Skills!N22=TRUE,(Skills!L22/10)*(E92/1000),Skills!L22/10)+Skills!O22</f>
        <v/>
      </c>
      <c r="G92">
        <f>Skills!G22*IF(Skills!H22&gt;0,IF(Inputs!$B$39="pvp",MIN(Skills!I22,15),Skills!I22)/Skills!H22,1)</f>
        <v/>
      </c>
      <c r="H92">
        <f>1-(1-Skills!J22/100)^Skills!K22</f>
        <v/>
      </c>
      <c r="I92" t="inlineStr">
        <is>
          <t>1</t>
        </is>
      </c>
      <c r="J92" t="inlineStr"/>
      <c r="K92" t="inlineStr"/>
      <c r="L92" t="inlineStr"/>
      <c r="M92" t="inlineStr"/>
      <c r="N92" t="inlineStr"/>
      <c r="O92">
        <f>(1-Summary!$B$11)*T92+Summary!$B$11*V92</f>
        <v/>
      </c>
      <c r="P92">
        <f>IF(B116=0,0,O92/B116)</f>
        <v/>
      </c>
      <c r="Q92">
        <f>IFERROR(1/IF(Inputs!$B$39="pvp",15,MAX(0.1,Skills!D22-IF(TRUE=TRUE,Inputs!$B$32,0))),0)</f>
        <v/>
      </c>
      <c r="R92">
        <f>IF(AND(Inputs!$B$39&lt;&gt;"pvp",Inputs!$B$44&gt;0),IF(Inputs!$B$44&lt;=0,0,(INT(Inputs!$B$44/IF(Inputs!$B$39="pvp",15,MAX(0.1,Skills!D22-IF(TRUE=TRUE,Inputs!$B$32,0))))+1)),0)</f>
        <v/>
      </c>
      <c r="S92">
        <f>IFERROR(O92/N92,0)</f>
        <v/>
      </c>
      <c r="T92" t="n">
        <v>0</v>
      </c>
      <c r="V92" t="n">
        <v>0</v>
      </c>
    </row>
    <row r="93">
      <c r="A93">
        <f>Skills!A23</f>
        <v/>
      </c>
      <c r="B93">
        <f>Skills!B23</f>
        <v/>
      </c>
      <c r="C93">
        <f>Inputs!$B$3&gt;=33</f>
        <v/>
      </c>
      <c r="D93">
        <f>IF(Skills!C23=1,60+Inputs!$B$25+Inputs!$B$29,IF(Skills!C23=2,90+Inputs!$B$26+Inputs!$B$29,IF(Skills!C23=3,120+Inputs!$B$27+Inputs!$B$29,MAX(0,(Inputs!$B$3-100)*3)+Inputs!$B$28+Inputs!$B$29)))</f>
        <v/>
      </c>
      <c r="E93">
        <f>INDEX(FactorTable!$B$2:$Y$301, MATCH(ROUND(MIN(300,MAX(1,D93)),0), FactorTable!$A$2:$A$301,0), Skills!M23+1)</f>
        <v/>
      </c>
      <c r="F93">
        <f>IF(Skills!N23=TRUE,(Skills!L23/10)*(E93/1000),Skills!L23/10)+Skills!O23</f>
        <v/>
      </c>
      <c r="G93">
        <f>Skills!G23*IF(Skills!H23&gt;0,IF(Inputs!$B$39="pvp",MIN(Skills!I23,15),Skills!I23)/Skills!H23,1)</f>
        <v/>
      </c>
      <c r="H93">
        <f>1-(1-Skills!J23/100)^Skills!K23</f>
        <v/>
      </c>
      <c r="I93" t="inlineStr">
        <is>
          <t>1</t>
        </is>
      </c>
      <c r="J93" t="inlineStr"/>
      <c r="K93" t="inlineStr"/>
      <c r="L93" t="inlineStr"/>
      <c r="M93" t="inlineStr"/>
      <c r="N93" t="inlineStr"/>
      <c r="O93">
        <f>(1-Summary!$B$11)*T93+Summary!$B$11*V93</f>
        <v/>
      </c>
      <c r="P93">
        <f>IF(B116=0,0,O93/B116)</f>
        <v/>
      </c>
      <c r="Q93" t="n">
        <v>0</v>
      </c>
      <c r="R93" t="n">
        <v>0</v>
      </c>
      <c r="S93">
        <f>IFERROR(O93/N93,0)</f>
        <v/>
      </c>
      <c r="T93" t="n">
        <v>0</v>
      </c>
      <c r="V93" t="n">
        <v>0</v>
      </c>
    </row>
    <row r="94">
      <c r="A94">
        <f>Skills!A24</f>
        <v/>
      </c>
      <c r="B94">
        <f>Skills!B24</f>
        <v/>
      </c>
      <c r="C94">
        <f>Inputs!$B$3&gt;=40</f>
        <v/>
      </c>
      <c r="D94">
        <f>IF(Skills!C24=1,60+Inputs!$B$25+Inputs!$B$29,IF(Skills!C24=2,90+Inputs!$B$26+Inputs!$B$29,IF(Skills!C24=3,120+Inputs!$B$27+Inputs!$B$29,MAX(0,(Inputs!$B$3-100)*3)+Inputs!$B$28+Inputs!$B$29)))</f>
        <v/>
      </c>
      <c r="E94">
        <f>INDEX(FactorTable!$B$2:$Y$301, MATCH(ROUND(MIN(300,MAX(1,D94)),0), FactorTable!$A$2:$A$301,0), Skills!M24+1)</f>
        <v/>
      </c>
      <c r="F94">
        <f>IF(Skills!N24=TRUE,(Skills!L24/10)*(E94/1000),Skills!L24/10)+Skills!O24</f>
        <v/>
      </c>
      <c r="G94">
        <f>Skills!G24*IF(Skills!H24&gt;0,IF(Inputs!$B$39="pvp",MIN(Skills!I24,15),Skills!I24)/Skills!H24,1)</f>
        <v/>
      </c>
      <c r="H94">
        <f>1-(1-Skills!J24/100)^Skills!K24</f>
        <v/>
      </c>
      <c r="I94" t="inlineStr">
        <is>
          <t>1</t>
        </is>
      </c>
      <c r="J94" t="inlineStr"/>
      <c r="K94" t="inlineStr"/>
      <c r="L94" t="inlineStr"/>
      <c r="M94" t="inlineStr"/>
      <c r="N94" t="inlineStr"/>
      <c r="O94">
        <f>(1-Summary!$B$11)*T94+Summary!$B$11*V94</f>
        <v/>
      </c>
      <c r="P94">
        <f>IF(B116=0,0,O94/B116)</f>
        <v/>
      </c>
      <c r="Q94" t="n">
        <v>0</v>
      </c>
      <c r="R94" t="n">
        <v>0</v>
      </c>
      <c r="S94">
        <f>IFERROR(O94/N94,0)</f>
        <v/>
      </c>
      <c r="T94" t="n">
        <v>0</v>
      </c>
      <c r="V94" t="n">
        <v>0</v>
      </c>
    </row>
    <row r="95">
      <c r="A95">
        <f>Skills!A25</f>
        <v/>
      </c>
      <c r="B95">
        <f>Skills!B25</f>
        <v/>
      </c>
      <c r="C95">
        <f>Inputs!$B$3&gt;=43</f>
        <v/>
      </c>
      <c r="D95">
        <f>IF(Skills!C25=1,60+Inputs!$B$25+Inputs!$B$29,IF(Skills!C25=2,90+Inputs!$B$26+Inputs!$B$29,IF(Skills!C25=3,120+Inputs!$B$27+Inputs!$B$29,MAX(0,(Inputs!$B$3-100)*3)+Inputs!$B$28+Inputs!$B$29)))</f>
        <v/>
      </c>
      <c r="E95">
        <f>INDEX(FactorTable!$B$2:$Y$301, MATCH(ROUND(MIN(300,MAX(1,D95)),0), FactorTable!$A$2:$A$301,0), Skills!M25+1)</f>
        <v/>
      </c>
      <c r="F95">
        <f>IF(Skills!N25=TRUE,(Skills!L25/10)*(E95/1000),Skills!L25/10)+Skills!O25</f>
        <v/>
      </c>
      <c r="G95">
        <f>Skills!G25*IF(Skills!H25&gt;0,IF(Inputs!$B$39="pvp",MIN(Skills!I25,15),Skills!I25)/Skills!H25,1)</f>
        <v/>
      </c>
      <c r="H95">
        <f>1-(1-Skills!J25/100)^Skills!K25</f>
        <v/>
      </c>
      <c r="I95" t="inlineStr">
        <is>
          <t>1</t>
        </is>
      </c>
      <c r="J95" t="inlineStr"/>
      <c r="K95" t="inlineStr"/>
      <c r="L95" t="inlineStr"/>
      <c r="M95" t="inlineStr"/>
      <c r="N95" t="inlineStr"/>
      <c r="O95">
        <f>(1-Summary!$B$11)*T95+Summary!$B$11*V95</f>
        <v/>
      </c>
      <c r="P95">
        <f>IF(B116=0,0,O95/B116)</f>
        <v/>
      </c>
      <c r="Q95" t="n">
        <v>0</v>
      </c>
      <c r="R95" t="n">
        <v>0</v>
      </c>
      <c r="S95">
        <f>IFERROR(O95/N95,0)</f>
        <v/>
      </c>
      <c r="T95" t="n">
        <v>0</v>
      </c>
      <c r="V95" t="n">
        <v>0</v>
      </c>
    </row>
    <row r="96">
      <c r="A96">
        <f>Skills!A26</f>
        <v/>
      </c>
      <c r="B96">
        <f>Skills!B26</f>
        <v/>
      </c>
      <c r="C96">
        <f>Inputs!$B$3&gt;=50</f>
        <v/>
      </c>
      <c r="D96">
        <f>IF(Skills!C26=1,60+Inputs!$B$25+Inputs!$B$29,IF(Skills!C26=2,90+Inputs!$B$26+Inputs!$B$29,IF(Skills!C26=3,120+Inputs!$B$27+Inputs!$B$29,MAX(0,(Inputs!$B$3-100)*3)+Inputs!$B$28+Inputs!$B$29)))</f>
        <v/>
      </c>
      <c r="E96">
        <f>INDEX(FactorTable!$B$2:$Y$301, MATCH(ROUND(MIN(300,MAX(1,D96)),0), FactorTable!$A$2:$A$301,0), Skills!M26+1)</f>
        <v/>
      </c>
      <c r="F96">
        <f>IF(Skills!N26=TRUE,(Skills!L26/10)*(E96/1000),Skills!L26/10)+Skills!O26</f>
        <v/>
      </c>
      <c r="G96">
        <f>Skills!G26*IF(Skills!H26&gt;0,IF(Inputs!$B$39="pvp",MIN(Skills!I26,15),Skills!I26)/Skills!H26,1)</f>
        <v/>
      </c>
      <c r="H96">
        <f>1-(1-Skills!J26/100)^Skills!K26</f>
        <v/>
      </c>
      <c r="I96" t="inlineStr">
        <is>
          <t>1</t>
        </is>
      </c>
      <c r="J96" t="inlineStr"/>
      <c r="K96" t="inlineStr"/>
      <c r="L96" t="inlineStr"/>
      <c r="M96" t="inlineStr"/>
      <c r="N96" t="inlineStr"/>
      <c r="O96">
        <f>(1-Summary!$B$11)*T96+Summary!$B$11*V96</f>
        <v/>
      </c>
      <c r="P96">
        <f>IF(B116=0,0,O96/B116)</f>
        <v/>
      </c>
      <c r="Q96" t="n">
        <v>0</v>
      </c>
      <c r="R96" t="n">
        <v>0</v>
      </c>
      <c r="S96">
        <f>IFERROR(O96/N96,0)</f>
        <v/>
      </c>
      <c r="T96" t="n">
        <v>0</v>
      </c>
      <c r="V96" t="n">
        <v>0</v>
      </c>
    </row>
    <row r="97">
      <c r="A97">
        <f>Skills!A27</f>
        <v/>
      </c>
      <c r="B97">
        <f>Skills!B27</f>
        <v/>
      </c>
      <c r="C97">
        <f>Inputs!$B$3&gt;=50</f>
        <v/>
      </c>
      <c r="D97">
        <f>IF(Skills!C27=1,60+Inputs!$B$25+Inputs!$B$29,IF(Skills!C27=2,90+Inputs!$B$26+Inputs!$B$29,IF(Skills!C27=3,120+Inputs!$B$27+Inputs!$B$29,MAX(0,(Inputs!$B$3-100)*3)+Inputs!$B$28+Inputs!$B$29)))</f>
        <v/>
      </c>
      <c r="E97">
        <f>INDEX(FactorTable!$B$2:$Y$301, MATCH(ROUND(MIN(300,MAX(1,D97)),0), FactorTable!$A$2:$A$301,0), Skills!M27+1)</f>
        <v/>
      </c>
      <c r="F97">
        <f>IF(Skills!N27=TRUE,(Skills!L27/10)*(E97/1000),Skills!L27/10)+Skills!O27</f>
        <v/>
      </c>
      <c r="G97">
        <f>Skills!G27*IF(Skills!H27&gt;0,IF(Inputs!$B$39="pvp",MIN(Skills!I27,15),Skills!I27)/Skills!H27,1)</f>
        <v/>
      </c>
      <c r="H97">
        <f>1-(1-Skills!J27/100)^Skills!K27</f>
        <v/>
      </c>
      <c r="I97" t="inlineStr">
        <is>
          <t>1</t>
        </is>
      </c>
      <c r="J97" t="inlineStr"/>
      <c r="K97" t="inlineStr"/>
      <c r="L97" t="inlineStr"/>
      <c r="M97" t="inlineStr"/>
      <c r="N97" t="inlineStr"/>
      <c r="O97">
        <f>(1-Summary!$B$11)*T97+Summary!$B$11*V97</f>
        <v/>
      </c>
      <c r="P97">
        <f>IF(B116=0,0,O97/B116)</f>
        <v/>
      </c>
      <c r="Q97" t="n">
        <v>0</v>
      </c>
      <c r="R97" t="n">
        <v>0</v>
      </c>
      <c r="S97">
        <f>IFERROR(O97/N97,0)</f>
        <v/>
      </c>
      <c r="T97" t="n">
        <v>0</v>
      </c>
      <c r="V97" t="n">
        <v>0</v>
      </c>
    </row>
    <row r="98">
      <c r="A98">
        <f>Skills!A28</f>
        <v/>
      </c>
      <c r="B98">
        <f>Skills!B28</f>
        <v/>
      </c>
      <c r="C98">
        <f>Inputs!$B$3&gt;=38</f>
        <v/>
      </c>
      <c r="D98">
        <f>IF(Skills!C28=1,60+Inputs!$B$25+Inputs!$B$29,IF(Skills!C28=2,90+Inputs!$B$26+Inputs!$B$29,IF(Skills!C28=3,120+Inputs!$B$27+Inputs!$B$29,MAX(0,(Inputs!$B$3-100)*3)+Inputs!$B$28+Inputs!$B$29)))</f>
        <v/>
      </c>
      <c r="E98">
        <f>INDEX(FactorTable!$B$2:$Y$301, MATCH(ROUND(MIN(300,MAX(1,D98)),0), FactorTable!$A$2:$A$301,0), Skills!M28+1)</f>
        <v/>
      </c>
      <c r="F98">
        <f>IF(Skills!N28=TRUE,(Skills!L28/10)*(E98/1000),Skills!L28/10)+Skills!O28</f>
        <v/>
      </c>
      <c r="G98">
        <f>Skills!G28*IF(Skills!H28&gt;0,IF(Inputs!$B$39="pvp",MIN(Skills!I28,15),Skills!I28)/Skills!H28,1)</f>
        <v/>
      </c>
      <c r="H98">
        <f>1-(1-Skills!J28/100)^Skills!K28</f>
        <v/>
      </c>
      <c r="I98" t="inlineStr">
        <is>
          <t>1</t>
        </is>
      </c>
      <c r="J98" t="inlineStr"/>
      <c r="K98" t="inlineStr"/>
      <c r="L98" t="inlineStr"/>
      <c r="M98" t="inlineStr"/>
      <c r="N98" t="inlineStr"/>
      <c r="O98">
        <f>(1-Summary!$B$11)*T98+Summary!$B$11*V98</f>
        <v/>
      </c>
      <c r="P98">
        <f>IF(B116=0,0,O98/B116)</f>
        <v/>
      </c>
      <c r="Q98" t="n">
        <v>0</v>
      </c>
      <c r="R98" t="n">
        <v>0</v>
      </c>
      <c r="S98">
        <f>IFERROR(O98/N98,0)</f>
        <v/>
      </c>
      <c r="T98" t="n">
        <v>0</v>
      </c>
      <c r="V98" t="n">
        <v>0</v>
      </c>
    </row>
    <row r="99">
      <c r="A99">
        <f>Skills!A29</f>
        <v/>
      </c>
      <c r="B99">
        <f>Skills!B29</f>
        <v/>
      </c>
      <c r="C99">
        <f>Inputs!$B$3&gt;=120</f>
        <v/>
      </c>
      <c r="D99">
        <f>IF(Skills!C29=1,60+Inputs!$B$25+Inputs!$B$29,IF(Skills!C29=2,90+Inputs!$B$26+Inputs!$B$29,IF(Skills!C29=3,120+Inputs!$B$27+Inputs!$B$29,MAX(0,(Inputs!$B$3-100)*3)+Inputs!$B$28+Inputs!$B$29)))</f>
        <v/>
      </c>
      <c r="E99">
        <f>INDEX(FactorTable!$B$2:$Y$301, MATCH(ROUND(MIN(300,MAX(1,D99)),0), FactorTable!$A$2:$A$301,0), Skills!M29+1)</f>
        <v/>
      </c>
      <c r="F99">
        <f>IF(Skills!N29=TRUE,(Skills!L29/10)*(E99/1000),Skills!L29/10)+Skills!O29</f>
        <v/>
      </c>
      <c r="G99">
        <f>Skills!G29*IF(Skills!H29&gt;0,IF(Inputs!$B$39="pvp",MIN(Skills!I29,15),Skills!I29)/Skills!H29,1)</f>
        <v/>
      </c>
      <c r="H99">
        <f>1-(1-Skills!J29/100)^Skills!K29</f>
        <v/>
      </c>
      <c r="I99" t="inlineStr">
        <is>
          <t>1</t>
        </is>
      </c>
      <c r="J99" t="inlineStr"/>
      <c r="K99" t="inlineStr"/>
      <c r="L99" t="inlineStr"/>
      <c r="M99" t="inlineStr"/>
      <c r="N99" t="inlineStr"/>
      <c r="O99">
        <f>(1-Summary!$B$11)*T99+Summary!$B$11*V99</f>
        <v/>
      </c>
      <c r="P99">
        <f>IF(B116=0,0,O99/B116)</f>
        <v/>
      </c>
      <c r="Q99" t="n">
        <v>0</v>
      </c>
      <c r="R99" t="n">
        <v>0</v>
      </c>
      <c r="S99">
        <f>IFERROR(O99/N99,0)</f>
        <v/>
      </c>
      <c r="T99" t="n">
        <v>0</v>
      </c>
      <c r="V99" t="n">
        <v>0</v>
      </c>
    </row>
    <row r="100">
      <c r="A100">
        <f>Skills!A30</f>
        <v/>
      </c>
      <c r="B100">
        <f>Skills!B30</f>
        <v/>
      </c>
      <c r="C100">
        <f>Inputs!$B$3&gt;=120</f>
        <v/>
      </c>
      <c r="D100">
        <f>IF(Skills!C30=1,60+Inputs!$B$25+Inputs!$B$29,IF(Skills!C30=2,90+Inputs!$B$26+Inputs!$B$29,IF(Skills!C30=3,120+Inputs!$B$27+Inputs!$B$29,MAX(0,(Inputs!$B$3-100)*3)+Inputs!$B$28+Inputs!$B$29)))</f>
        <v/>
      </c>
      <c r="E100">
        <f>INDEX(FactorTable!$B$2:$Y$301, MATCH(ROUND(MIN(300,MAX(1,D100)),0), FactorTable!$A$2:$A$301,0), Skills!M30+1)</f>
        <v/>
      </c>
      <c r="F100">
        <f>IF(Skills!N30=TRUE,(Skills!L30/10)*(E100/1000),Skills!L30/10)+Skills!O30</f>
        <v/>
      </c>
      <c r="G100">
        <f>Skills!G30*IF(Skills!H30&gt;0,IF(Inputs!$B$39="pvp",MIN(Skills!I30,15),Skills!I30)/Skills!H30,1)</f>
        <v/>
      </c>
      <c r="H100">
        <f>1-(1-Skills!J30/100)^Skills!K30</f>
        <v/>
      </c>
      <c r="I100" t="inlineStr">
        <is>
          <t>1</t>
        </is>
      </c>
      <c r="J100" t="inlineStr"/>
      <c r="K100" t="inlineStr"/>
      <c r="L100" t="inlineStr"/>
      <c r="M100" t="inlineStr"/>
      <c r="N100" t="inlineStr"/>
      <c r="O100">
        <f>(1-Summary!$B$11)*T100+Summary!$B$11*V100</f>
        <v/>
      </c>
      <c r="P100">
        <f>IF(B116=0,0,O100/B116)</f>
        <v/>
      </c>
      <c r="Q100" t="n">
        <v>0</v>
      </c>
      <c r="R100" t="n">
        <v>0</v>
      </c>
      <c r="S100">
        <f>IFERROR(O100/N100,0)</f>
        <v/>
      </c>
      <c r="T100" t="n">
        <v>0</v>
      </c>
      <c r="V100" t="n">
        <v>0</v>
      </c>
    </row>
    <row r="101">
      <c r="A101">
        <f>Skills!A31</f>
        <v/>
      </c>
      <c r="B101">
        <f>Skills!B31</f>
        <v/>
      </c>
      <c r="C101">
        <f>Inputs!$B$3&gt;=125</f>
        <v/>
      </c>
      <c r="D101">
        <f>IF(Skills!C31=1,60+Inputs!$B$25+Inputs!$B$29,IF(Skills!C31=2,90+Inputs!$B$26+Inputs!$B$29,IF(Skills!C31=3,120+Inputs!$B$27+Inputs!$B$29,MAX(0,(Inputs!$B$3-100)*3)+Inputs!$B$28+Inputs!$B$29)))</f>
        <v/>
      </c>
      <c r="E101">
        <f>INDEX(FactorTable!$B$2:$Y$301, MATCH(ROUND(MIN(300,MAX(1,D101)),0), FactorTable!$A$2:$A$301,0), Skills!M31+1)</f>
        <v/>
      </c>
      <c r="F101">
        <f>IF(Skills!N31=TRUE,(Skills!L31/10)*(E101/1000),Skills!L31/10)+Skills!O31</f>
        <v/>
      </c>
      <c r="G101">
        <f>Skills!G31*IF(Skills!H31&gt;0,IF(Inputs!$B$39="pvp",MIN(Skills!I31,15),Skills!I31)/Skills!H31,1)</f>
        <v/>
      </c>
      <c r="H101">
        <f>1-(1-Skills!J31/100)^Skills!K31</f>
        <v/>
      </c>
      <c r="I101" t="inlineStr">
        <is>
          <t>1</t>
        </is>
      </c>
      <c r="J101" t="inlineStr"/>
      <c r="K101" t="inlineStr"/>
      <c r="L101" t="inlineStr"/>
      <c r="M101" t="inlineStr"/>
      <c r="N101" t="inlineStr"/>
      <c r="O101">
        <f>(1-Summary!$B$11)*T101+Summary!$B$11*V101</f>
        <v/>
      </c>
      <c r="P101">
        <f>IF(B116=0,0,O101/B116)</f>
        <v/>
      </c>
      <c r="Q101" t="n">
        <v>0</v>
      </c>
      <c r="R101" t="n">
        <v>0</v>
      </c>
      <c r="S101">
        <f>IFERROR(O101/N101,0)</f>
        <v/>
      </c>
      <c r="T101" t="n">
        <v>0</v>
      </c>
      <c r="V101" t="n">
        <v>0</v>
      </c>
    </row>
    <row r="103">
      <c r="A103" t="inlineStr">
        <is>
          <t>Average Buff Multiplier</t>
        </is>
      </c>
      <c r="B103">
        <f>(1+(((C92=TRUE)*F92*IF(AND(Inputs!$B$39&lt;&gt;"pvp",Inputs!$B$44&gt;0),(((R92-1)*MIN((Skills!Y22*(1+Inputs!$B$34/100)),(1/Q92))+MIN((Skills!Y22*(1+Inputs!$B$34/100)),MAX(0,Inputs!$B$44-((R92-1)*(1/Q92)))))/Inputs!$B$44),IF(Inputs!$B$39="pvp",MIN((Skills!Y22*(1+Inputs!$B$34/100)),15)/15,MIN(1,(Skills!Y22*(1+Inputs!$B$34/100))/(1/Q92)))))+((C73=TRUE)*F73*3)+((C75=TRUE)*F75*(1-EXP(-0.75*B108*5)))+((C94=TRUE)*(F94-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81=TRUE)*F81*IF(AND(Inputs!$B$39&lt;&gt;"pvp",Inputs!$B$44&gt;0),(((R81-1)*MIN((Skills!Y11*(1+Inputs!$B$34/100)),(1/Q81))+MIN((Skills!Y11*(1+Inputs!$B$34/100)),MAX(0,Inputs!$B$44-((R81-1)*(1/Q81)))))/Inputs!$B$44),IF(Inputs!$B$39="pvp",MIN((Skills!Y11*(1+Inputs!$B$34/100)),15)/15,MIN(1,(Skills!Y11*(1+Inputs!$B$34/100))/(1/Q81)))))/100)*(1+((C86=TRUE)*F86*IF(AND(Inputs!$B$39&lt;&gt;"pvp",Inputs!$B$44&gt;0),(((R86-1)*MIN((Skills!Y16*(1+Inputs!$B$34/100)),(1/Q86))+MIN((Skills!Y16*(1+Inputs!$B$34/100)),MAX(0,Inputs!$B$44-((R86-1)*(1/Q86)))))/Inputs!$B$44),IF(Inputs!$B$39="pvp",MIN((Skills!Y16*(1+Inputs!$B$34/100)),15)/15,MIN(1,(Skills!Y16*(1+Inputs!$B$34/100))/(1/Q86)))))/100)</f>
        <v/>
      </c>
    </row>
    <row r="104">
      <c r="A104" t="inlineStr">
        <is>
          <t>Global Crit Rate Bonus %</t>
        </is>
      </c>
      <c r="B104">
        <f>((C91=TRUE)*F91*IF(AND(Inputs!$B$39&lt;&gt;"pvp",Inputs!$B$44&gt;0),(((R91-1)*MIN((Skills!Y21*(1+Inputs!$B$34/100)),(1/Q91))+MIN((Skills!Y21*(1+Inputs!$B$34/100)),MAX(0,Inputs!$B$44-((R91-1)*(1/Q91)))))/Inputs!$B$44),IF(Inputs!$B$39="pvp",MIN((Skills!Y21*(1+Inputs!$B$34/100)),15)/15,MIN(1,(Skills!Y21*(1+Inputs!$B$34/100))/(1/Q91)))))</f>
        <v/>
      </c>
    </row>
    <row r="105">
      <c r="A105" t="inlineStr">
        <is>
          <t>Global Monster Damage-Taken Bonus %</t>
        </is>
      </c>
      <c r="B105">
        <f>IF(Inputs!$B$3&gt;=82,15,0)</f>
        <v/>
      </c>
    </row>
    <row r="106">
      <c r="A106" t="inlineStr">
        <is>
          <t>Shadow Partner Average Multiplier</t>
        </is>
      </c>
      <c r="B106">
        <f>1+((C78=TRUE)*F78*(1+3.3333333333333335*IF(C89=TRUE,F89,0)/100)*I78*Skills!J8/100)/100</f>
        <v/>
      </c>
    </row>
    <row r="107">
      <c r="A107" t="inlineStr">
        <is>
          <t>Attack Speed Buff Bonus %</t>
        </is>
      </c>
      <c r="B107">
        <f>((C90=TRUE)*F90*IF(AND(Inputs!$B$39&lt;&gt;"pvp",Inputs!$B$44&gt;0),(((R90-1)*MIN((Skills!Y20*(1+Inputs!$B$34/100)),(1/Q90))+MIN((Skills!Y20*(1+Inputs!$B$34/100)),MAX(0,Inputs!$B$44-((R90-1)*(1/Q90)))))/Inputs!$B$44),IF(Inputs!$B$39="pvp",MIN((Skills!Y20*(1+Inputs!$B$34/100)),15)/15,MIN(1,(Skills!Y20*(1+Inputs!$B$34/100))/(1/Q90)))))</f>
        <v/>
      </c>
    </row>
    <row r="108">
      <c r="A108" t="inlineStr">
        <is>
          <t>Actions Per Second</t>
        </is>
      </c>
      <c r="B108">
        <f>1+MIN(150,150*(1-(1-(Inputs!$B$11+((C93=TRUE)*(F93-Calc!F23)))/150)*(1-B107/150)))/100</f>
        <v/>
      </c>
    </row>
    <row r="109">
      <c r="A109" t="inlineStr">
        <is>
          <t>Skill + Buff Cast Rate</t>
        </is>
      </c>
      <c r="B109">
        <f>IF(AND(Inputs!$B$39&lt;&gt;"pvp",Inputs!$B$44&gt;0),SUMPRODUCT((Skills!E2:E31=TRUE)*(C72:C101=TRUE)*R72:R101*Skills!F2:F31)/Inputs!$B$44,SUMPRODUCT((Skills!E2:E31=TRUE)*(C72:C101=TRUE)*Q72:Q101*Skills!F2:F31))</f>
        <v/>
      </c>
    </row>
    <row r="110">
      <c r="A110" t="inlineStr">
        <is>
          <t>Cruel Stab Casts Per Second</t>
        </is>
      </c>
      <c r="B110">
        <f>MAX(0,B108-B109)</f>
        <v/>
      </c>
    </row>
    <row r="111">
      <c r="A111" t="inlineStr">
        <is>
          <t>Global Critical Damage Bonus % (Smokescreen Mastery Lv.113)</t>
        </is>
      </c>
      <c r="B111">
        <f>IF(Inputs!$B$3&gt;=113,30,0)*IF(AND(Inputs!$B$39&lt;&gt;"pvp",Inputs!$B$44&gt;0),(((R86-1)*MIN((Skills!Y16*(1+Inputs!$B$34/100)),(1/Q86))+MIN((Skills!Y16*(1+Inputs!$B$34/100)),MAX(0,Inputs!$B$44-((R86-1)*(1/Q86)))))/Inputs!$B$44),IF(Inputs!$B$39="pvp",MIN((Skills!Y16*(1+Inputs!$B$34/100)),15)/15,MIN(1,(Skills!Y16*(1+Inputs!$B$34/100))/(1/Q86))))</f>
        <v/>
      </c>
    </row>
    <row r="112">
      <c r="A112" t="inlineStr">
        <is>
          <t>Meso Explosion average stack count</t>
        </is>
      </c>
      <c r="B112">
        <f>MIN(10,IF(Inputs!$B$3&gt;=75,0.75,0.5)*B108*(1/Q74))</f>
        <v/>
      </c>
    </row>
    <row r="113">
      <c r="A113" t="inlineStr">
        <is>
          <t>Blood Money average stack count</t>
        </is>
      </c>
      <c r="B113">
        <f>MIN(5,0.5*IF(Inputs!$B$3&gt;=75,0.75,0.5)*B108*(1/Q74))</f>
        <v/>
      </c>
    </row>
    <row r="114">
      <c r="A114" t="inlineStr">
        <is>
          <t>Assassinate Murderous Intent Multiplier</t>
        </is>
      </c>
      <c r="B114">
        <f>1+IFERROR(MIN(1,Q85*2/Q82),0)</f>
        <v/>
      </c>
    </row>
    <row r="115">
      <c r="A115" t="inlineStr">
        <is>
          <t>Buff-Casting Startup Delay (s, fixed-duration only)</t>
        </is>
      </c>
      <c r="B115">
        <f>IF(AND(Inputs!$B$39&lt;&gt;"pvp",Inputs!$B$44&gt;0),SUMPRODUCT((Skills!Y2:Y31&gt;0)*(Skills!E2:E31=TRUE)*(C72:C101=TRUE))/B108,0)</f>
        <v/>
      </c>
    </row>
    <row r="116">
      <c r="A116" s="6" t="inlineStr">
        <is>
          <t>TOTAL DPS</t>
        </is>
      </c>
      <c r="B116" s="6">
        <f>SUM(O72:O101)</f>
        <v/>
      </c>
    </row>
    <row r="117">
      <c r="A117" t="inlineStr">
        <is>
          <t>Boss-Only Total DPS (this block's swept value)</t>
        </is>
      </c>
      <c r="B117">
        <f>SUM(T72:T101)</f>
        <v/>
      </c>
    </row>
    <row r="118">
      <c r="A118" t="inlineStr">
        <is>
          <t>Normal-Only Total DPS (this block's swept value)</t>
        </is>
      </c>
      <c r="B118">
        <f>SUM(V72:V101)</f>
        <v/>
      </c>
    </row>
    <row r="121">
      <c r="A121" s="6" t="inlineStr">
        <is>
          <t>Stat: LUK %</t>
        </is>
      </c>
    </row>
    <row r="122">
      <c r="A122" s="5" t="inlineStr">
        <is>
          <t>Key</t>
        </is>
      </c>
      <c r="B122" s="5" t="inlineStr">
        <is>
          <t>Name</t>
        </is>
      </c>
      <c r="C122" s="5" t="inlineStr">
        <is>
          <t>Unlocked</t>
        </is>
      </c>
      <c r="D122" s="5" t="inlineStr">
        <is>
          <t>InputLevel</t>
        </is>
      </c>
      <c r="E122" s="5" t="inlineStr">
        <is>
          <t>Factor</t>
        </is>
      </c>
      <c r="F122" s="5" t="inlineStr">
        <is>
          <t>CoefficientPercent</t>
        </is>
      </c>
      <c r="G122" s="5" t="inlineStr">
        <is>
          <t>EffectiveHits</t>
        </is>
      </c>
      <c r="H122" s="5" t="inlineStr">
        <is>
          <t>ProcProbability</t>
        </is>
      </c>
      <c r="I122" s="5" t="inlineStr">
        <is>
          <t>MapleHeroMultiplier</t>
        </is>
      </c>
      <c r="J122" s="5" t="inlineStr">
        <is>
          <t>BaseDamage</t>
        </is>
      </c>
      <c r="K122" s="5" t="inlineStr">
        <is>
          <t>BaseHitDamage</t>
        </is>
      </c>
      <c r="L122" s="5" t="inlineStr">
        <is>
          <t>NonCritAvg</t>
        </is>
      </c>
      <c r="M122" s="5" t="inlineStr">
        <is>
          <t>CritAvg</t>
        </is>
      </c>
      <c r="N122" s="5" t="inlineStr">
        <is>
          <t>ExpectedDamage(perHit)</t>
        </is>
      </c>
      <c r="O122" s="5" t="inlineStr">
        <is>
          <t>DPS</t>
        </is>
      </c>
      <c r="P122" s="5" t="inlineStr">
        <is>
          <t>% of Total</t>
        </is>
      </c>
      <c r="Q122" s="5" t="inlineStr">
        <is>
          <t>InvCooldown</t>
        </is>
      </c>
      <c r="R122" s="5" t="inlineStr">
        <is>
          <t>CastsInFight</t>
        </is>
      </c>
      <c r="S122" s="5" t="inlineStr">
        <is>
          <t>HitRate(perSec)</t>
        </is>
      </c>
      <c r="U122" t="inlineStr">
        <is>
          <t>helpers</t>
        </is>
      </c>
    </row>
    <row r="123">
      <c r="A123">
        <f>Skills!A2</f>
        <v/>
      </c>
      <c r="B123">
        <f>Skills!B2</f>
        <v/>
      </c>
      <c r="C123">
        <f>Inputs!$B$3&gt;=100</f>
        <v/>
      </c>
      <c r="D123" t="inlineStr"/>
      <c r="E123" t="inlineStr"/>
      <c r="F123">
        <f>U125+Skills!O2</f>
        <v/>
      </c>
      <c r="G123">
        <f>Skills!G2*IF(Skills!H2&gt;0,IF(Inputs!$B$39="pvp",MIN(Skills!I2,15),Skills!I2)/Skills!H2,1)</f>
        <v/>
      </c>
      <c r="H123">
        <f>1-(1-Skills!J2/100)^Skills!K2</f>
        <v/>
      </c>
      <c r="I123" t="inlineStr">
        <is>
          <t>1</t>
        </is>
      </c>
      <c r="J123">
        <f>((Inputs!$B$6*(1+Inputs!$B$7/100))+(((Inputs!$B$12*(1+(Inputs!$B$13+1)/100))-(Inputs!$B$12*(1+Inputs!$B$13/100)))+0.25*(Inputs!$B$14-Inputs!$B$14))*(1+Inputs!$B$7/100))*(F123/100)</f>
        <v/>
      </c>
      <c r="K123">
        <f>J123*(1+((Inputs!$B$12*(1+(Inputs!$B$13+1)/100))*0.01+Inputs!$B$14*0.0025)/100)*(1+Inputs!$B$15/100)*(1+Inputs!$B$16/100)*(5000/(6000+Inputs!$B$43*(1-(100*(1-(1-Inputs!$B$19/100)*(1-CHOOSE(ArtifactsInput!$N$40+1,5,6,7,8,9,10)/100)^(ArtifactsInput!$M$40-ArtifactsInput!$M$40)))/100)))*(1+(Inputs!$B$24+((C152=TRUE)*(F152-Calc!F31))+((C139=TRUE)*(F139-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CRUEL_STAB",Inputs!$B$17+((C149=TRUE)*(F149-Calc!F28))+((IF(AND(Inputs!$B$39&lt;&gt;"pvp",Inputs!$B$44=0),1,IF(IF(Inputs!$B$39="pvp",15,Inputs!$B$44)-(B166)&lt;=0,1,MAX(0,IF(Inputs!$B$39="pvp",15,Inputs!$B$44)-MAX(5,B166))/(IF(Inputs!$B$39="pvp",15,Inputs!$B$44)-(B166))))*(IF(AND(ArtifactsInput!$M$42,((Inputs!$B$9+((C147=TRUE)*(F147-Calc!F26))+B155+(ArtifactsInput!$M$24-ArtifactsInput!$M$24)*CHOOSE(ArtifactsInput!$N$24+1,10,12,14,16,18,20)+IF(ArtifactsInput!$M$10,CHOOSE(ArtifactsInput!$N$10+1,15,18,21,24,27,30)*(IF(Inputs!$B$39="pvp",MIN(15,15)/15,IF(AND(Inputs!$B$39&lt;&gt;"pvp",Inputs!$B$44&gt;0),MIN(15,Inputs!$B$44)/(Inputs!$B$44),0))),0)))&gt;=100),MIN(100,((Inputs!$B$9+((C147=TRUE)*(F147-Calc!F26))+B155+(ArtifactsInput!$M$24-ArtifactsInput!$M$24)*CHOOSE(ArtifactsInput!$N$24+1,10,12,14,16,18,20)+IF(ArtifactsInput!$M$10,CHOOSE(ArtifactsInput!$N$10+1,15,18,21,24,27,30)*(IF(Inputs!$B$39="pvp",MIN(15,15)/15,IF(AND(Inputs!$B$39&lt;&gt;"pvp",Inputs!$B$44&gt;0),MIN(15,Inputs!$B$44)/(Inputs!$B$44),0))),0)))-100),0))*CHOOSE(ArtifactsInput!$N$42+1,0.6,0.72,0.84,0.96,1.08,1.2))),Inputs!$B$18+((C150=TRUE)*(F150-Calc!F29))+(IF(AND(Inputs!$B$39&lt;&gt;"pvp",Inputs!$B$44=0),1,IF(IF(Inputs!$B$39="pvp",15,Inputs!$B$44)-(B166)&lt;=0,1,MAX(0,IF(Inputs!$B$39="pvp",15,Inputs!$B$44)-MAX(5,B166))/(IF(Inputs!$B$39="pvp",15,Inputs!$B$44)-(B166))))*IF(AND(ArtifactsInput!$M$42,((Inputs!$B$9+((C147=TRUE)*(F147-Calc!F26))+B155+(ArtifactsInput!$M$24-ArtifactsInput!$M$24)*CHOOSE(ArtifactsInput!$N$24+1,10,12,14,16,18,20)+IF(ArtifactsInput!$M$10,CHOOSE(ArtifactsInput!$N$10+1,15,18,21,24,27,30)*(IF(Inputs!$B$39="pvp",MIN(15,15)/15,IF(AND(Inputs!$B$39&lt;&gt;"pvp",Inputs!$B$44&gt;0),MIN(15,Inputs!$B$44)/(Inputs!$B$44),0))),0)))&gt;=100),CHOOSE(ArtifactsInput!$N$42+1,40,48,56,64,72,80),0))))/100)*(((1+(((C143=TRUE)*F143*IF(AND(Inputs!$B$39&lt;&gt;"pvp",Inputs!$B$44&gt;0),(((R143-1)*MIN((Skills!Y22*(1+Inputs!$B$34/100)),(1/Q143))+MIN((Skills!Y22*(1+Inputs!$B$34/100)),MAX(0,Inputs!$B$44-((R143-1)*(1/Q143)))))/Inputs!$B$44),IF(Inputs!$B$39="pvp",MIN((Skills!Y22*(1+Inputs!$B$34/100)),15)/15,MIN(1,(Skills!Y22*(1+Inputs!$B$34/100))/(1/Q143)))))+((C124=TRUE)*F124*3)+((C126=TRUE)*F126*(1-EXP(-0.75*B159*5)))+((C145=TRUE)*(F145-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132=TRUE)*F132*IF(AND(Inputs!$B$39&lt;&gt;"pvp",Inputs!$B$44&gt;0),(((R132-1)*MIN((Skills!Y11*(1+Inputs!$B$34/100)),(1/Q132))+MIN((Skills!Y11*(1+Inputs!$B$34/100)),MAX(0,Inputs!$B$44-((R132-1)*(1/Q132)))))/Inputs!$B$44),IF(Inputs!$B$39="pvp",MIN((Skills!Y11*(1+Inputs!$B$34/100)),15)/15,MIN(1,(Skills!Y11*(1+Inputs!$B$34/100))/(1/Q132)))))/100)*(1+((C137=TRUE)*F137*IF(AND(Inputs!$B$39&lt;&gt;"pvp",Inputs!$B$44&gt;0),(((R137-1)*MIN((Skills!Y16*(1+Inputs!$B$34/100)),(1/Q137))+MIN((Skills!Y16*(1+Inputs!$B$34/100)),MAX(0,Inputs!$B$44-((R137-1)*(1/Q137)))))/Inputs!$B$44),IF(Inputs!$B$39="pvp",MIN((Skills!Y16*(1+Inputs!$B$34/100)),15)/15,MIN(1,(Skills!Y16*(1+Inputs!$B$34/100))/(1/Q137)))))/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157*I123)</f>
        <v/>
      </c>
      <c r="L123">
        <f>K123*(MIN(Inputs!$B$22+((C146=TRUE)*(F146-Calc!F25)),(Inputs!$B$23+((C151=TRUE)*(F151-Calc!F30))+IF(ArtifactsInput!$M$15,CHOOSE(ArtifactsInput!$N$15+1,25,30,35,40,45,50)/100*(Inputs!$B$11-Inputs!$B$11),0)))/100+(Inputs!$B$23+((C151=TRUE)*(F151-Calc!F30))+IF(ArtifactsInput!$M$15,CHOOSE(ArtifactsInput!$N$15+1,25,30,35,40,45,50)/100*(Inputs!$B$11-Inputs!$B$11),0))/100)/2</f>
        <v/>
      </c>
      <c r="M123">
        <f>L123*(1+(Inputs!$B$10+((C148=TRUE)*(F148-Calc!F27))+B162+(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123">
        <f>L123*(1-MIN((Inputs!$B$9+((C147=TRUE)*(F147-Calc!F26))+B155+(ArtifactsInput!$M$24-ArtifactsInput!$M$24)*CHOOSE(ArtifactsInput!$N$24+1,10,12,14,16,18,20)+(IF(AND(Inputs!$B$39&lt;&gt;"pvp",Inputs!$B$44=0),1,IF(IF(Inputs!$B$39="pvp",15,Inputs!$B$44)-(B166)&lt;=0,1,MAX(0,IF(Inputs!$B$39="pvp",15,Inputs!$B$44)-MAX(5,B166))/(IF(Inputs!$B$39="pvp",15,Inputs!$B$44)-(B166))))*IF(AND(ArtifactsInput!$M$42,((Inputs!$B$9+((C147=TRUE)*(F147-Calc!F26))+B155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123*(MIN((Inputs!$B$9+((C147=TRUE)*(F147-Calc!F26))+B155+(ArtifactsInput!$M$24-ArtifactsInput!$M$24)*CHOOSE(ArtifactsInput!$N$24+1,10,12,14,16,18,20)+(IF(AND(Inputs!$B$39&lt;&gt;"pvp",Inputs!$B$44=0),1,IF(IF(Inputs!$B$39="pvp",15,Inputs!$B$44)-(B166)&lt;=0,1,MAX(0,IF(Inputs!$B$39="pvp",15,Inputs!$B$44)-MAX(5,B166))/(IF(Inputs!$B$39="pvp",15,Inputs!$B$44)-(B166))))*IF(AND(ArtifactsInput!$M$42,((Inputs!$B$9+((C147=TRUE)*(F147-Calc!F26))+B155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23">
        <f>(1-Summary!$B$11)*T123+Summary!$B$11*V123</f>
        <v/>
      </c>
      <c r="P123">
        <f>IF(B167=0,0,O123/B167)</f>
        <v/>
      </c>
      <c r="Q123" t="n">
        <v>0</v>
      </c>
      <c r="R123" t="n">
        <v>0</v>
      </c>
      <c r="S123">
        <f>IFERROR(O123/N123,0)</f>
        <v/>
      </c>
      <c r="T123">
        <f>IF(C123,(Skills!G2*N123*B161)*IF(Inputs!$B$39="pvp",1,1+(Inputs!$B$20+0+Skills!P2+B156+(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Hunt"),CHOOSE(ArtifactsInput!$N$35+1,15,18,21,24,27,30)*(1-EXP(-(0.2*B159)*5)),0)+IF(AND(ArtifactsInput!$M$22,Inputs!$B$4&lt;&gt;"Chapter Hunt"),CHOOSE(ArtifactsInput!$N$22+1,10,12,14,16,18,20)*((0*(((0.15*B159*5))^0/1)+1*(((0.15*B159*5))^1/1)+2*(((0.15*B159*5))^2/2)+3*(((0.15*B159*5))^3/6)+4*(((0.15*B159*5))^4/24)+5*(((0.15*B159*5))^5/120))/((((0.15*B159*5))^0/1)+(((0.15*B159*5))^1/1)+(((0.15*B159*5))^2/2)+(((0.15*B159*5))^3/6)+(((0.15*B159*5))^4/24)+(((0.15*B159*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123*(1-MIN(100,(Inputs!$B$9+((C147=TRUE)*(F147-Calc!F26))+B155+(ArtifactsInput!$M$24-ArtifactsInput!$M$24)*CHOOSE(ArtifactsInput!$N$24+1,10,12,14,16,18,20)+(IF(AND(Inputs!$B$39&lt;&gt;"pvp",Inputs!$B$44=0),1,IF(IF(Inputs!$B$39="pvp",15,Inputs!$B$44)-(B166)&lt;=0,1,MAX(0,IF(Inputs!$B$39="pvp",15,Inputs!$B$44)-MAX(5,B166))/(IF(Inputs!$B$39="pvp",15,Inputs!$B$44)-(B166))))*IF(AND(ArtifactsInput!$M$42,((Inputs!$B$9+((C147=TRUE)*(F147-Calc!F26))+B155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123*(MIN(100,(Inputs!$B$9+((C147=TRUE)*(F147-Calc!F26))+B155+(ArtifactsInput!$M$24-ArtifactsInput!$M$24)*CHOOSE(ArtifactsInput!$N$24+1,10,12,14,16,18,20)+(IF(AND(Inputs!$B$39&lt;&gt;"pvp",Inputs!$B$44=0),1,IF(IF(Inputs!$B$39="pvp",15,Inputs!$B$44)-(B166)&lt;=0,1,MAX(0,IF(Inputs!$B$39="pvp",15,Inputs!$B$44)-MAX(5,B166))/(IF(Inputs!$B$39="pvp",15,Inputs!$B$44)-(B166))))*IF(AND(ArtifactsInput!$M$42,((Inputs!$B$9+((C147=TRUE)*(F147-Calc!F26))+B155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123*(1-MIN(100,(Inputs!$B$9+((C147=TRUE)*(F147-Calc!F26))+B155+(ArtifactsInput!$M$24-ArtifactsInput!$M$24)*CHOOSE(ArtifactsInput!$N$24+1,10,12,14,16,18,20)+(IF(AND(Inputs!$B$39&lt;&gt;"pvp",Inputs!$B$44=0),1,IF(IF(Inputs!$B$39="pvp",15,Inputs!$B$44)-(B166)&lt;=0,1,MAX(0,IF(Inputs!$B$39="pvp",15,Inputs!$B$44)-MAX(5,B166))/(IF(Inputs!$B$39="pvp",15,Inputs!$B$44)-(B166))))*IF(AND(ArtifactsInput!$M$42,((Inputs!$B$9+((C147=TRUE)*(F147-Calc!F26))+B155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123*(MIN(100,(Inputs!$B$9+((C147=TRUE)*(F147-Calc!F26))+B155+(ArtifactsInput!$M$24-ArtifactsInput!$M$24)*CHOOSE(ArtifactsInput!$N$24+1,10,12,14,16,18,20)+(IF(AND(Inputs!$B$39&lt;&gt;"pvp",Inputs!$B$44=0),1,IF(IF(Inputs!$B$39="pvp",15,Inputs!$B$44)-(B166)&lt;=0,1,MAX(0,IF(Inputs!$B$39="pvp",15,Inputs!$B$44)-MAX(5,B166))/(IF(Inputs!$B$39="pvp",15,Inputs!$B$44)-(B166))))*IF(AND(ArtifactsInput!$M$42,((Inputs!$B$9+((C147=TRUE)*(F147-Calc!F26))+B155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123">
        <f>MAX(0,(Inputs!$B$3-100)*3)+Inputs!$B$28+Inputs!$B$29</f>
        <v/>
      </c>
      <c r="V123">
        <f>IF(C123,(Skills!G2*N123*B161)*IF(Inputs!$B$39="pvp",1,(1+(Inputs!$B$21+Skills!Q2+B156+(IF(ArtifactsInput!$M$33,CHOOSE(ArtifactsInput!$N$33+1,30,36,42,48,54,60),0))+(IF(AND(ArtifactsInput!$M$35,Inputs!$B$4&lt;&gt;"Chapter Hunt"),CHOOSE(ArtifactsInput!$N$35+1,15,18,21,24,27,30)*(1-EXP(-(0.2*B159)*5)),0)+IF(AND(ArtifactsInput!$M$22,Inputs!$B$4&lt;&gt;"Chapter Hunt"),CHOOSE(ArtifactsInput!$N$22+1,10,12,14,16,18,20)*((0*(((0.15*B159*5))^0/1)+1*(((0.15*B159*5))^1/1)+2*(((0.15*B159*5))^2/2)+3*(((0.15*B159*5))^3/6)+4*(((0.15*B159*5))^4/24)+5*(((0.15*B159*5))^5/120))/((((0.15*B159*5))^0/1)+(((0.15*B159*5))^1/1)+(((0.15*B159*5))^2/2)+(((0.15*B159*5))^3/6)+(((0.15*B159*5))^4/24)+(((0.15*B159*5))^5/120))),0)))/100)*(MIN((6+Inputs!$B$33),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24">
      <c r="A124">
        <f>Skills!A3</f>
        <v/>
      </c>
      <c r="B124">
        <f>Skills!B3</f>
        <v/>
      </c>
      <c r="C124">
        <f>Inputs!$B$3&gt;=35</f>
        <v/>
      </c>
      <c r="D124">
        <f>IF(Skills!C3=1,60+Inputs!$B$25+Inputs!$B$29,IF(Skills!C3=2,90+Inputs!$B$26+Inputs!$B$29,IF(Skills!C3=3,120+Inputs!$B$27+Inputs!$B$29,MAX(0,(Inputs!$B$3-100)*3)+Inputs!$B$28+Inputs!$B$29)))</f>
        <v/>
      </c>
      <c r="E124">
        <f>INDEX(FactorTable!$B$2:$Y$301, MATCH(ROUND(MIN(300,MAX(1,D124)),0), FactorTable!$A$2:$A$301,0), Skills!M3+1)</f>
        <v/>
      </c>
      <c r="F124">
        <f>IF(Skills!N3=TRUE,(Skills!L3/10)*(E124/1000),Skills!L3/10)+Skills!O3</f>
        <v/>
      </c>
      <c r="G124">
        <f>Skills!G3*IF(Skills!H3&gt;0,IF(Inputs!$B$39="pvp",MIN(Skills!I3,15),Skills!I3)/Skills!H3,1)</f>
        <v/>
      </c>
      <c r="H124">
        <f>1-(1-Skills!J3/100)^Skills!K3</f>
        <v/>
      </c>
      <c r="I124" t="inlineStr">
        <is>
          <t>1</t>
        </is>
      </c>
      <c r="J124" t="inlineStr"/>
      <c r="K124" t="inlineStr"/>
      <c r="L124" t="inlineStr"/>
      <c r="M124" t="inlineStr"/>
      <c r="N124" t="inlineStr"/>
      <c r="O124">
        <f>(1-Summary!$B$11)*T124+Summary!$B$11*V124</f>
        <v/>
      </c>
      <c r="P124">
        <f>IF(B167=0,0,O124/B167)</f>
        <v/>
      </c>
      <c r="Q124" t="n">
        <v>0</v>
      </c>
      <c r="R124" t="n">
        <v>0</v>
      </c>
      <c r="S124">
        <f>IFERROR(O124/N124,0)</f>
        <v/>
      </c>
      <c r="T124" t="n">
        <v>0</v>
      </c>
      <c r="U124">
        <f>INDEX(FactorTable!$B$2:$Y$301, MATCH(ROUND(MIN(300,MAX(1,U123)),0), FactorTable!$A$2:$A$301,0), 22)</f>
        <v/>
      </c>
      <c r="V124" t="n">
        <v>0</v>
      </c>
    </row>
    <row r="125">
      <c r="A125">
        <f>Skills!A4</f>
        <v/>
      </c>
      <c r="B125">
        <f>Skills!B4</f>
        <v/>
      </c>
      <c r="C125">
        <f>Inputs!$B$3&gt;=66</f>
        <v/>
      </c>
      <c r="D125">
        <f>IF(Skills!C4=1,60+Inputs!$B$25+Inputs!$B$29,IF(Skills!C4=2,90+Inputs!$B$26+Inputs!$B$29,IF(Skills!C4=3,120+Inputs!$B$27+Inputs!$B$29,MAX(0,(Inputs!$B$3-100)*3)+Inputs!$B$28+Inputs!$B$29)))</f>
        <v/>
      </c>
      <c r="E125">
        <f>INDEX(FactorTable!$B$2:$Y$301, MATCH(ROUND(MIN(300,MAX(1,D125)),0), FactorTable!$A$2:$A$301,0), Skills!M4+1)</f>
        <v/>
      </c>
      <c r="F125">
        <f>IF(Skills!N4=TRUE,(Skills!L4/10)*(E125/1000),Skills!L4/10)+Skills!O4</f>
        <v/>
      </c>
      <c r="G125">
        <f>Skills!G4*IF(Skills!H4&gt;0,IF(Inputs!$B$39="pvp",MIN(Skills!I4,15),Skills!I4)/Skills!H4,1)</f>
        <v/>
      </c>
      <c r="H125">
        <f>1-(1-Skills!J4/100)^Skills!K4</f>
        <v/>
      </c>
      <c r="I125" t="inlineStr">
        <is>
          <t>1</t>
        </is>
      </c>
      <c r="J125">
        <f>((Inputs!$B$6*(1+Inputs!$B$7/100))+(((Inputs!$B$12*(1+(Inputs!$B$13+1)/100))-(Inputs!$B$12*(1+Inputs!$B$13/100)))+0.25*(Inputs!$B$14-Inputs!$B$14))*(1+Inputs!$B$7/100))*(F125/100)</f>
        <v/>
      </c>
      <c r="K125">
        <f>J125*(1+((Inputs!$B$12*(1+(Inputs!$B$13+1)/100))*0.01+Inputs!$B$14*0.0025)/100)*(1+Inputs!$B$15/100)*(1+Inputs!$B$16/100)*(5000/(6000+Inputs!$B$43*(1-(100*(1-(1-Inputs!$B$19/100)*(1-CHOOSE(ArtifactsInput!$N$40+1,5,6,7,8,9,10)/100)^(ArtifactsInput!$M$40-ArtifactsInput!$M$40)))/100)))*(1+(Inputs!$B$24+((C152=TRUE)*(F152-Calc!F31))+((C139=TRUE)*(F139-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4="CRUEL_STAB",Inputs!$B$17+((C149=TRUE)*(F149-Calc!F28))+((IF(AND(Inputs!$B$39&lt;&gt;"pvp",Inputs!$B$44=0),1,IF(IF(Inputs!$B$39="pvp",15,Inputs!$B$44)-(B166)&lt;=0,1,MAX(0,IF(Inputs!$B$39="pvp",15,Inputs!$B$44)-MAX(5,B166))/(IF(Inputs!$B$39="pvp",15,Inputs!$B$44)-(B166))))*(IF(AND(ArtifactsInput!$M$42,((Inputs!$B$9+((C147=TRUE)*(F147-Calc!F26))+B155+(ArtifactsInput!$M$24-ArtifactsInput!$M$24)*CHOOSE(ArtifactsInput!$N$24+1,10,12,14,16,18,20)+IF(ArtifactsInput!$M$10,CHOOSE(ArtifactsInput!$N$10+1,15,18,21,24,27,30)*(IF(Inputs!$B$39="pvp",MIN(15,15)/15,IF(AND(Inputs!$B$39&lt;&gt;"pvp",Inputs!$B$44&gt;0),MIN(15,Inputs!$B$44)/(Inputs!$B$44),0))),0)))&gt;=100),MIN(100,((Inputs!$B$9+((C147=TRUE)*(F147-Calc!F26))+B155+(ArtifactsInput!$M$24-ArtifactsInput!$M$24)*CHOOSE(ArtifactsInput!$N$24+1,10,12,14,16,18,20)+IF(ArtifactsInput!$M$10,CHOOSE(ArtifactsInput!$N$10+1,15,18,21,24,27,30)*(IF(Inputs!$B$39="pvp",MIN(15,15)/15,IF(AND(Inputs!$B$39&lt;&gt;"pvp",Inputs!$B$44&gt;0),MIN(15,Inputs!$B$44)/(Inputs!$B$44),0))),0)))-100),0))*CHOOSE(ArtifactsInput!$N$42+1,0.6,0.72,0.84,0.96,1.08,1.2))),Inputs!$B$18+((C150=TRUE)*(F150-Calc!F29))+(IF(AND(Inputs!$B$39&lt;&gt;"pvp",Inputs!$B$44=0),1,IF(IF(Inputs!$B$39="pvp",15,Inputs!$B$44)-(B166)&lt;=0,1,MAX(0,IF(Inputs!$B$39="pvp",15,Inputs!$B$44)-MAX(5,B166))/(IF(Inputs!$B$39="pvp",15,Inputs!$B$44)-(B166))))*IF(AND(ArtifactsInput!$M$42,((Inputs!$B$9+((C147=TRUE)*(F147-Calc!F26))+B155+(ArtifactsInput!$M$24-ArtifactsInput!$M$24)*CHOOSE(ArtifactsInput!$N$24+1,10,12,14,16,18,20)+IF(ArtifactsInput!$M$10,CHOOSE(ArtifactsInput!$N$10+1,15,18,21,24,27,30)*(IF(Inputs!$B$39="pvp",MIN(15,15)/15,IF(AND(Inputs!$B$39&lt;&gt;"pvp",Inputs!$B$44&gt;0),MIN(15,Inputs!$B$44)/(Inputs!$B$44),0))),0)))&gt;=100),CHOOSE(ArtifactsInput!$N$42+1,40,48,56,64,72,80),0))))/100)*(((1+(((C143=TRUE)*F143*IF(AND(Inputs!$B$39&lt;&gt;"pvp",Inputs!$B$44&gt;0),(((R143-1)*MIN((Skills!Y22*(1+Inputs!$B$34/100)),(1/Q143))+MIN((Skills!Y22*(1+Inputs!$B$34/100)),MAX(0,Inputs!$B$44-((R143-1)*(1/Q143)))))/Inputs!$B$44),IF(Inputs!$B$39="pvp",MIN((Skills!Y22*(1+Inputs!$B$34/100)),15)/15,MIN(1,(Skills!Y22*(1+Inputs!$B$34/100))/(1/Q143)))))+((C124=TRUE)*F124*3)+((C126=TRUE)*F126*(1-EXP(-0.75*B159*5)))+((C145=TRUE)*(F145-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132=TRUE)*F132*IF(AND(Inputs!$B$39&lt;&gt;"pvp",Inputs!$B$44&gt;0),(((R132-1)*MIN((Skills!Y11*(1+Inputs!$B$34/100)),(1/Q132))+MIN((Skills!Y11*(1+Inputs!$B$34/100)),MAX(0,Inputs!$B$44-((R132-1)*(1/Q132)))))/Inputs!$B$44),IF(Inputs!$B$39="pvp",MIN((Skills!Y11*(1+Inputs!$B$34/100)),15)/15,MIN(1,(Skills!Y11*(1+Inputs!$B$34/100))/(1/Q132)))))/100)*(1+((C137=TRUE)*F137*IF(AND(Inputs!$B$39&lt;&gt;"pvp",Inputs!$B$44&gt;0),(((R137-1)*MIN((Skills!Y16*(1+Inputs!$B$34/100)),(1/Q137))+MIN((Skills!Y16*(1+Inputs!$B$34/100)),MAX(0,Inputs!$B$44-((R137-1)*(1/Q137)))))/Inputs!$B$44),IF(Inputs!$B$39="pvp",MIN((Skills!Y16*(1+Inputs!$B$34/100)),15)/15,MIN(1,(Skills!Y16*(1+Inputs!$B$34/100))/(1/Q137)))))/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157*I125)</f>
        <v/>
      </c>
      <c r="L125">
        <f>K125*(MIN(Inputs!$B$22+((C146=TRUE)*(F146-Calc!F25)),(Inputs!$B$23+((C151=TRUE)*(F151-Calc!F30))+IF(ArtifactsInput!$M$15,CHOOSE(ArtifactsInput!$N$15+1,25,30,35,40,45,50)/100*(Inputs!$B$11-Inputs!$B$11),0)))/100+(Inputs!$B$23+((C151=TRUE)*(F151-Calc!F30))+IF(ArtifactsInput!$M$15,CHOOSE(ArtifactsInput!$N$15+1,25,30,35,40,45,50)/100*(Inputs!$B$11-Inputs!$B$11),0))/100)/2</f>
        <v/>
      </c>
      <c r="M125">
        <f>L125*(1+(Inputs!$B$10+((C148=TRUE)*(F148-Calc!F27))+B162+(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125">
        <f>L125*(1-MIN((Inputs!$B$9+((C147=TRUE)*(F147-Calc!F26))+B155+(ArtifactsInput!$M$24-ArtifactsInput!$M$24)*CHOOSE(ArtifactsInput!$N$24+1,10,12,14,16,18,20)+(IF(AND(Inputs!$B$39&lt;&gt;"pvp",Inputs!$B$44=0),1,IF(IF(Inputs!$B$39="pvp",15,Inputs!$B$44)-(B166)&lt;=0,1,MAX(0,IF(Inputs!$B$39="pvp",15,Inputs!$B$44)-MAX(5,B166))/(IF(Inputs!$B$39="pvp",15,Inputs!$B$44)-(B166))))*IF(AND(ArtifactsInput!$M$42,((Inputs!$B$9+((C147=TRUE)*(F147-Calc!F26))+B155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125*(MIN((Inputs!$B$9+((C147=TRUE)*(F147-Calc!F26))+B155+(ArtifactsInput!$M$24-ArtifactsInput!$M$24)*CHOOSE(ArtifactsInput!$N$24+1,10,12,14,16,18,20)+(IF(AND(Inputs!$B$39&lt;&gt;"pvp",Inputs!$B$44=0),1,IF(IF(Inputs!$B$39="pvp",15,Inputs!$B$44)-(B166)&lt;=0,1,MAX(0,IF(Inputs!$B$39="pvp",15,Inputs!$B$44)-MAX(5,B166))/(IF(Inputs!$B$39="pvp",15,Inputs!$B$44)-(B166))))*IF(AND(ArtifactsInput!$M$42,((Inputs!$B$9+((C147=TRUE)*(F147-Calc!F26))+B155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25">
        <f>(1-Summary!$B$11)*T125+Summary!$B$11*V125</f>
        <v/>
      </c>
      <c r="P125">
        <f>IF(B167=0,0,O125/B167)</f>
        <v/>
      </c>
      <c r="Q125">
        <f>IFERROR(1/IF(Inputs!$B$39="pvp",15,MAX(0.1,Skills!D4-IF(TRUE=TRUE,Inputs!$B$32,0))),0)</f>
        <v/>
      </c>
      <c r="R125">
        <f>IF(AND(Inputs!$B$39&lt;&gt;"pvp",Inputs!$B$44&gt;0),IF(MAX(0,Inputs!$B$44-B166)&lt;=0,0,(INT(MAX(0,Inputs!$B$44-B166)/IF(Inputs!$B$39="pvp",15,MAX(0.1,Skills!D4-IF(TRUE=TRUE,Inputs!$B$32,0))))+1)),0)</f>
        <v/>
      </c>
      <c r="S125">
        <f>IFERROR(O125/N125,0)</f>
        <v/>
      </c>
      <c r="T125">
        <f>IF(C125,(H125*N125*IF(AND(Inputs!$B$39&lt;&gt;"pvp",Inputs!$B$44&gt;0),((Skills!G4*((R125-1)*IF(Skills!H4&gt;0,Skills!I4/Skills!H4,1)+IF(Skills!H4&gt;0,MIN(Skills!I4,MAX(0,MAX(0,Inputs!$B$44-B166)-((R125-1)*IF(Inputs!$B$39="pvp",15,MAX(0.1,Skills!D4-IF(TRUE=TRUE,Inputs!$B$32,0))))))/Skills!H4,1)))/Inputs!$B$44),G125*Q125))*IF(Inputs!$B$39="pvp",1,1+(Inputs!$B$20+0+Skills!P4+B156+(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Hunt"),CHOOSE(ArtifactsInput!$N$35+1,15,18,21,24,27,30)*(1-EXP(-(0.2*B159)*5)),0)+IF(AND(ArtifactsInput!$M$22,Inputs!$B$4&lt;&gt;"Chapter Hunt"),CHOOSE(ArtifactsInput!$N$22+1,10,12,14,16,18,20)*((0*(((0.15*B159*5))^0/1)+1*(((0.15*B159*5))^1/1)+2*(((0.15*B159*5))^2/2)+3*(((0.15*B159*5))^3/6)+4*(((0.15*B159*5))^4/24)+5*(((0.15*B159*5))^5/120))/((((0.15*B159*5))^0/1)+(((0.15*B159*5))^1/1)+(((0.15*B159*5))^2/2)+(((0.15*B159*5))^3/6)+(((0.15*B159*5))^4/24)+(((0.15*B159*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125*(1-MIN(100,(Inputs!$B$9+((C147=TRUE)*(F147-Calc!F26))+B155+(ArtifactsInput!$M$24-ArtifactsInput!$M$24)*CHOOSE(ArtifactsInput!$N$24+1,10,12,14,16,18,20)+(IF(AND(Inputs!$B$39&lt;&gt;"pvp",Inputs!$B$44=0),1,IF(IF(Inputs!$B$39="pvp",15,Inputs!$B$44)-(B166)&lt;=0,1,MAX(0,IF(Inputs!$B$39="pvp",15,Inputs!$B$44)-MAX(5,B166))/(IF(Inputs!$B$39="pvp",15,Inputs!$B$44)-(B166))))*IF(AND(ArtifactsInput!$M$42,((Inputs!$B$9+((C147=TRUE)*(F147-Calc!F26))+B155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125*(MIN(100,(Inputs!$B$9+((C147=TRUE)*(F147-Calc!F26))+B155+(ArtifactsInput!$M$24-ArtifactsInput!$M$24)*CHOOSE(ArtifactsInput!$N$24+1,10,12,14,16,18,20)+(IF(AND(Inputs!$B$39&lt;&gt;"pvp",Inputs!$B$44=0),1,IF(IF(Inputs!$B$39="pvp",15,Inputs!$B$44)-(B166)&lt;=0,1,MAX(0,IF(Inputs!$B$39="pvp",15,Inputs!$B$44)-MAX(5,B166))/(IF(Inputs!$B$39="pvp",15,Inputs!$B$44)-(B166))))*IF(AND(ArtifactsInput!$M$42,((Inputs!$B$9+((C147=TRUE)*(F147-Calc!F26))+B155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125*(1-MIN(100,(Inputs!$B$9+((C147=TRUE)*(F147-Calc!F26))+B155+(ArtifactsInput!$M$24-ArtifactsInput!$M$24)*CHOOSE(ArtifactsInput!$N$24+1,10,12,14,16,18,20)+(IF(AND(Inputs!$B$39&lt;&gt;"pvp",Inputs!$B$44=0),1,IF(IF(Inputs!$B$39="pvp",15,Inputs!$B$44)-(B166)&lt;=0,1,MAX(0,IF(Inputs!$B$39="pvp",15,Inputs!$B$44)-MAX(5,B166))/(IF(Inputs!$B$39="pvp",15,Inputs!$B$44)-(B166))))*IF(AND(ArtifactsInput!$M$42,((Inputs!$B$9+((C147=TRUE)*(F147-Calc!F26))+B155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125*(MIN(100,(Inputs!$B$9+((C147=TRUE)*(F147-Calc!F26))+B155+(ArtifactsInput!$M$24-ArtifactsInput!$M$24)*CHOOSE(ArtifactsInput!$N$24+1,10,12,14,16,18,20)+(IF(AND(Inputs!$B$39&lt;&gt;"pvp",Inputs!$B$44=0),1,IF(IF(Inputs!$B$39="pvp",15,Inputs!$B$44)-(B166)&lt;=0,1,MAX(0,IF(Inputs!$B$39="pvp",15,Inputs!$B$44)-MAX(5,B166))/(IF(Inputs!$B$39="pvp",15,Inputs!$B$44)-(B166))))*IF(AND(ArtifactsInput!$M$42,((Inputs!$B$9+((C147=TRUE)*(F147-Calc!F26))+B155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125">
        <f>290*U124/1000</f>
        <v/>
      </c>
      <c r="V125">
        <f>IF(C125,(H125*N125*IF(AND(Inputs!$B$39&lt;&gt;"pvp",Inputs!$B$44&gt;0),((Skills!G4*((R125-1)*IF(Skills!H4&gt;0,Skills!I4/Skills!H4,1)+IF(Skills!H4&gt;0,MIN(Skills!I4,MAX(0,MAX(0,Inputs!$B$44-B166)-((R125-1)*IF(Inputs!$B$39="pvp",15,MAX(0.1,Skills!D4-IF(TRUE=TRUE,Inputs!$B$32,0))))))/Skills!H4,1)))/Inputs!$B$44),G125*Q125))*IF(Inputs!$B$39="pvp",1,(1+(Inputs!$B$21+Skills!Q4+B156+(IF(ArtifactsInput!$M$33,CHOOSE(ArtifactsInput!$N$33+1,30,36,42,48,54,60),0))+(IF(AND(ArtifactsInput!$M$35,Inputs!$B$4&lt;&gt;"Chapter Hunt"),CHOOSE(ArtifactsInput!$N$35+1,15,18,21,24,27,30)*(1-EXP(-(0.2*B159)*5)),0)+IF(AND(ArtifactsInput!$M$22,Inputs!$B$4&lt;&gt;"Chapter Hunt"),CHOOSE(ArtifactsInput!$N$22+1,10,12,14,16,18,20)*((0*(((0.15*B159*5))^0/1)+1*(((0.15*B159*5))^1/1)+2*(((0.15*B159*5))^2/2)+3*(((0.15*B159*5))^3/6)+4*(((0.15*B159*5))^4/24)+5*(((0.15*B159*5))^5/120))/((((0.15*B159*5))^0/1)+(((0.15*B159*5))^1/1)+(((0.15*B159*5))^2/2)+(((0.15*B159*5))^3/6)+(((0.15*B159*5))^4/24)+(((0.15*B159*5))^5/120))),0)))/100)*(MIN(MIN(10,IF(Inputs!$B$3&gt;=75,0.75,0.5)*B159*(1/Q125)),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26">
      <c r="A126">
        <f>Skills!A5</f>
        <v/>
      </c>
      <c r="B126">
        <f>Skills!B5</f>
        <v/>
      </c>
      <c r="C126">
        <f>Inputs!$B$3&gt;=75</f>
        <v/>
      </c>
      <c r="D126">
        <f>IF(Skills!C5=1,60+Inputs!$B$25+Inputs!$B$29,IF(Skills!C5=2,90+Inputs!$B$26+Inputs!$B$29,IF(Skills!C5=3,120+Inputs!$B$27+Inputs!$B$29,MAX(0,(Inputs!$B$3-100)*3)+Inputs!$B$28+Inputs!$B$29)))</f>
        <v/>
      </c>
      <c r="E126">
        <f>INDEX(FactorTable!$B$2:$Y$301, MATCH(ROUND(MIN(300,MAX(1,D126)),0), FactorTable!$A$2:$A$301,0), Skills!M5+1)</f>
        <v/>
      </c>
      <c r="F126">
        <f>IF(Skills!N5=TRUE,(Skills!L5/10)*(E126/1000),Skills!L5/10)+Skills!O5</f>
        <v/>
      </c>
      <c r="G126">
        <f>Skills!G5*IF(Skills!H5&gt;0,IF(Inputs!$B$39="pvp",MIN(Skills!I5,15),Skills!I5)/Skills!H5,1)</f>
        <v/>
      </c>
      <c r="H126">
        <f>1-(1-Skills!J5/100)^Skills!K5</f>
        <v/>
      </c>
      <c r="I126" t="inlineStr">
        <is>
          <t>1</t>
        </is>
      </c>
      <c r="J126" t="inlineStr"/>
      <c r="K126" t="inlineStr"/>
      <c r="L126" t="inlineStr"/>
      <c r="M126" t="inlineStr"/>
      <c r="N126" t="inlineStr"/>
      <c r="O126">
        <f>(1-Summary!$B$11)*T126+Summary!$B$11*V126</f>
        <v/>
      </c>
      <c r="P126">
        <f>IF(B167=0,0,O126/B167)</f>
        <v/>
      </c>
      <c r="Q126" t="n">
        <v>0</v>
      </c>
      <c r="R126" t="n">
        <v>0</v>
      </c>
      <c r="S126">
        <f>IFERROR(O126/N126,0)</f>
        <v/>
      </c>
      <c r="T126" t="n">
        <v>0</v>
      </c>
      <c r="V126" t="n">
        <v>0</v>
      </c>
    </row>
    <row r="127">
      <c r="A127">
        <f>Skills!A6</f>
        <v/>
      </c>
      <c r="B127">
        <f>Skills!B6</f>
        <v/>
      </c>
      <c r="C127">
        <f>Inputs!$B$3&gt;=63</f>
        <v/>
      </c>
      <c r="D127">
        <f>IF(Skills!C6=1,60+Inputs!$B$25+Inputs!$B$29,IF(Skills!C6=2,90+Inputs!$B$26+Inputs!$B$29,IF(Skills!C6=3,120+Inputs!$B$27+Inputs!$B$29,MAX(0,(Inputs!$B$3-100)*3)+Inputs!$B$28+Inputs!$B$29)))</f>
        <v/>
      </c>
      <c r="E127">
        <f>INDEX(FactorTable!$B$2:$Y$301, MATCH(ROUND(MIN(300,MAX(1,D127)),0), FactorTable!$A$2:$A$301,0), Skills!M6+1)</f>
        <v/>
      </c>
      <c r="F127">
        <f>IF(Skills!N6=TRUE,(Skills!L6/10)*(E127/1000),Skills!L6/10)+Skills!O6</f>
        <v/>
      </c>
      <c r="G127">
        <f>Skills!G6*IF(Skills!H6&gt;0,IF(Inputs!$B$39="pvp",MIN(Skills!I6,15),Skills!I6)/Skills!H6,1)</f>
        <v/>
      </c>
      <c r="H127">
        <f>1-(1-Skills!J6/100)^Skills!K6</f>
        <v/>
      </c>
      <c r="I127" t="inlineStr">
        <is>
          <t>1</t>
        </is>
      </c>
      <c r="J127">
        <f>((Inputs!$B$6*(1+Inputs!$B$7/100))+(((Inputs!$B$12*(1+(Inputs!$B$13+1)/100))-(Inputs!$B$12*(1+Inputs!$B$13/100)))+0.25*(Inputs!$B$14-Inputs!$B$14))*(1+Inputs!$B$7/100))*(F127/100)</f>
        <v/>
      </c>
      <c r="K127">
        <f>J127*(1+((Inputs!$B$12*(1+(Inputs!$B$13+1)/100))*0.01+Inputs!$B$14*0.0025)/100)*(1+Inputs!$B$15/100)*(1+Inputs!$B$16/100)*(5000/(6000+Inputs!$B$43*(1-(100*(1-(1-Inputs!$B$19/100)*(1-CHOOSE(ArtifactsInput!$N$40+1,5,6,7,8,9,10)/100)^(ArtifactsInput!$M$40-ArtifactsInput!$M$40)))/100)))*(1+(Inputs!$B$24+((C152=TRUE)*(F152-Calc!F31))+((C139=TRUE)*(F139-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+2.6666666666666665*IF(C140=TRUE,F140,0)/100)*(1+(IF(Skills!A6="CRUEL_STAB",Inputs!$B$17+((C149=TRUE)*(F149-Calc!F28))+((IF(AND(Inputs!$B$39&lt;&gt;"pvp",Inputs!$B$44=0),1,IF(IF(Inputs!$B$39="pvp",15,Inputs!$B$44)-(B166)&lt;=0,1,MAX(0,IF(Inputs!$B$39="pvp",15,Inputs!$B$44)-MAX(5,B166))/(IF(Inputs!$B$39="pvp",15,Inputs!$B$44)-(B166))))*(IF(AND(ArtifactsInput!$M$42,((Inputs!$B$9+((C147=TRUE)*(F147-Calc!F26))+B155+(ArtifactsInput!$M$24-ArtifactsInput!$M$24)*CHOOSE(ArtifactsInput!$N$24+1,10,12,14,16,18,20)+IF(ArtifactsInput!$M$10,CHOOSE(ArtifactsInput!$N$10+1,15,18,21,24,27,30)*(IF(Inputs!$B$39="pvp",MIN(15,15)/15,IF(AND(Inputs!$B$39&lt;&gt;"pvp",Inputs!$B$44&gt;0),MIN(15,Inputs!$B$44)/(Inputs!$B$44),0))),0)))&gt;=100),MIN(100,((Inputs!$B$9+((C147=TRUE)*(F147-Calc!F26))+B155+(ArtifactsInput!$M$24-ArtifactsInput!$M$24)*CHOOSE(ArtifactsInput!$N$24+1,10,12,14,16,18,20)+IF(ArtifactsInput!$M$10,CHOOSE(ArtifactsInput!$N$10+1,15,18,21,24,27,30)*(IF(Inputs!$B$39="pvp",MIN(15,15)/15,IF(AND(Inputs!$B$39&lt;&gt;"pvp",Inputs!$B$44&gt;0),MIN(15,Inputs!$B$44)/(Inputs!$B$44),0))),0)))-100),0))*CHOOSE(ArtifactsInput!$N$42+1,0.6,0.72,0.84,0.96,1.08,1.2))),Inputs!$B$18+((C150=TRUE)*(F150-Calc!F29))+(IF(AND(Inputs!$B$39&lt;&gt;"pvp",Inputs!$B$44=0),1,IF(IF(Inputs!$B$39="pvp",15,Inputs!$B$44)-(B166)&lt;=0,1,MAX(0,IF(Inputs!$B$39="pvp",15,Inputs!$B$44)-MAX(5,B166))/(IF(Inputs!$B$39="pvp",15,Inputs!$B$44)-(B166))))*IF(AND(ArtifactsInput!$M$42,((Inputs!$B$9+((C147=TRUE)*(F147-Calc!F26))+B155+(ArtifactsInput!$M$24-ArtifactsInput!$M$24)*CHOOSE(ArtifactsInput!$N$24+1,10,12,14,16,18,20)+IF(ArtifactsInput!$M$10,CHOOSE(ArtifactsInput!$N$10+1,15,18,21,24,27,30)*(IF(Inputs!$B$39="pvp",MIN(15,15)/15,IF(AND(Inputs!$B$39&lt;&gt;"pvp",Inputs!$B$44&gt;0),MIN(15,Inputs!$B$44)/(Inputs!$B$44),0))),0)))&gt;=100),CHOOSE(ArtifactsInput!$N$42+1,40,48,56,64,72,80),0))))/100)*(((1+(((C143=TRUE)*F143*IF(AND(Inputs!$B$39&lt;&gt;"pvp",Inputs!$B$44&gt;0),(((R143-1)*MIN((Skills!Y22*(1+Inputs!$B$34/100)),(1/Q143))+MIN((Skills!Y22*(1+Inputs!$B$34/100)),MAX(0,Inputs!$B$44-((R143-1)*(1/Q143)))))/Inputs!$B$44),IF(Inputs!$B$39="pvp",MIN((Skills!Y22*(1+Inputs!$B$34/100)),15)/15,MIN(1,(Skills!Y22*(1+Inputs!$B$34/100))/(1/Q143)))))+((C124=TRUE)*F124*3)+((C126=TRUE)*F126*(1-EXP(-0.75*B159*5)))+((C145=TRUE)*(F145-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132=TRUE)*F132*IF(AND(Inputs!$B$39&lt;&gt;"pvp",Inputs!$B$44&gt;0),(((R132-1)*MIN((Skills!Y11*(1+Inputs!$B$34/100)),(1/Q132))+MIN((Skills!Y11*(1+Inputs!$B$34/100)),MAX(0,Inputs!$B$44-((R132-1)*(1/Q132)))))/Inputs!$B$44),IF(Inputs!$B$39="pvp",MIN((Skills!Y11*(1+Inputs!$B$34/100)),15)/15,MIN(1,(Skills!Y11*(1+Inputs!$B$34/100))/(1/Q132)))))/100)*(1+((C137=TRUE)*F137*IF(AND(Inputs!$B$39&lt;&gt;"pvp",Inputs!$B$44&gt;0),(((R137-1)*MIN((Skills!Y16*(1+Inputs!$B$34/100)),(1/Q137))+MIN((Skills!Y16*(1+Inputs!$B$34/100)),MAX(0,Inputs!$B$44-((R137-1)*(1/Q137)))))/Inputs!$B$44),IF(Inputs!$B$39="pvp",MIN((Skills!Y16*(1+Inputs!$B$34/100)),15)/15,MIN(1,(Skills!Y16*(1+Inputs!$B$34/100))/(1/Q137)))))/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157*I127)</f>
        <v/>
      </c>
      <c r="L127">
        <f>K127*(MIN(Inputs!$B$22+((C146=TRUE)*(F146-Calc!F25)),(Inputs!$B$23+((C151=TRUE)*(F151-Calc!F30))+IF(ArtifactsInput!$M$15,CHOOSE(ArtifactsInput!$N$15+1,25,30,35,40,45,50)/100*(Inputs!$B$11-Inputs!$B$11),0)))/100+(Inputs!$B$23+((C151=TRUE)*(F151-Calc!F30))+IF(ArtifactsInput!$M$15,CHOOSE(ArtifactsInput!$N$15+1,25,30,35,40,45,50)/100*(Inputs!$B$11-Inputs!$B$11),0))/100)/2</f>
        <v/>
      </c>
      <c r="M127">
        <f>L127*(1+(Inputs!$B$10+((C148=TRUE)*(F148-Calc!F27))+B162+(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127">
        <f>L127*(1-MIN((Inputs!$B$9+((C147=TRUE)*(F147-Calc!F26))+B155+(ArtifactsInput!$M$24-ArtifactsInput!$M$24)*CHOOSE(ArtifactsInput!$N$24+1,10,12,14,16,18,20)+(IF(AND(Inputs!$B$39&lt;&gt;"pvp",Inputs!$B$44=0),1,IF(IF(Inputs!$B$39="pvp",15,Inputs!$B$44)-(B166)&lt;=0,1,MAX(0,IF(Inputs!$B$39="pvp",15,Inputs!$B$44)-MAX(5,B166))/(IF(Inputs!$B$39="pvp",15,Inputs!$B$44)-(B166))))*IF(AND(ArtifactsInput!$M$42,((Inputs!$B$9+((C147=TRUE)*(F147-Calc!F26))+B155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127*(MIN((Inputs!$B$9+((C147=TRUE)*(F147-Calc!F26))+B155+(ArtifactsInput!$M$24-ArtifactsInput!$M$24)*CHOOSE(ArtifactsInput!$N$24+1,10,12,14,16,18,20)+(IF(AND(Inputs!$B$39&lt;&gt;"pvp",Inputs!$B$44=0),1,IF(IF(Inputs!$B$39="pvp",15,Inputs!$B$44)-(B166)&lt;=0,1,MAX(0,IF(Inputs!$B$39="pvp",15,Inputs!$B$44)-MAX(5,B166))/(IF(Inputs!$B$39="pvp",15,Inputs!$B$44)-(B166))))*IF(AND(ArtifactsInput!$M$42,((Inputs!$B$9+((C147=TRUE)*(F147-Calc!F26))+B155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27">
        <f>(1-Summary!$B$11)*T127+Summary!$B$11*V127</f>
        <v/>
      </c>
      <c r="P127">
        <f>IF(B167=0,0,O127/B167)</f>
        <v/>
      </c>
      <c r="Q127">
        <f>IFERROR(1/IF(Inputs!$B$39="pvp",15,MAX(0.1,Skills!D6-IF(TRUE=TRUE,Inputs!$B$32,0))),0)</f>
        <v/>
      </c>
      <c r="R127">
        <f>IF(AND(Inputs!$B$39&lt;&gt;"pvp",Inputs!$B$44&gt;0),IF(MAX(0,Inputs!$B$44-B166)&lt;=0,0,(INT(MAX(0,Inputs!$B$44-B166)/IF(Inputs!$B$39="pvp",15,MAX(0.1,Skills!D6-IF(TRUE=TRUE,Inputs!$B$32,0))))+1)),0)</f>
        <v/>
      </c>
      <c r="S127">
        <f>IFERROR(O127/N127,0)</f>
        <v/>
      </c>
      <c r="T127">
        <f>IF(C127,(H127*N127*IF(AND(Inputs!$B$39&lt;&gt;"pvp",Inputs!$B$44&gt;0),((Skills!G6*((R127-1)*IF(Skills!H6&gt;0,Skills!I6/Skills!H6,1)+IF(Skills!H6&gt;0,MIN(Skills!I6,MAX(0,MAX(0,Inputs!$B$44-B166)-((R127-1)*IF(Inputs!$B$39="pvp",15,MAX(0.1,Skills!D6-IF(TRUE=TRUE,Inputs!$B$32,0))))))/Skills!H6,1)))/Inputs!$B$44),G127*Q127))*IF(Inputs!$B$39="pvp",1,1+(Inputs!$B$20+0+Skills!P6+B156+(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Hunt"),CHOOSE(ArtifactsInput!$N$35+1,15,18,21,24,27,30)*(1-EXP(-(0.2*B159)*5)),0)+IF(AND(ArtifactsInput!$M$22,Inputs!$B$4&lt;&gt;"Chapter Hunt"),CHOOSE(ArtifactsInput!$N$22+1,10,12,14,16,18,20)*((0*(((0.15*B159*5))^0/1)+1*(((0.15*B159*5))^1/1)+2*(((0.15*B159*5))^2/2)+3*(((0.15*B159*5))^3/6)+4*(((0.15*B159*5))^4/24)+5*(((0.15*B159*5))^5/120))/((((0.15*B159*5))^0/1)+(((0.15*B159*5))^1/1)+(((0.15*B159*5))^2/2)+(((0.15*B159*5))^3/6)+(((0.15*B159*5))^4/24)+(((0.15*B159*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127*(1-MIN(100,(Inputs!$B$9+((C147=TRUE)*(F147-Calc!F26))+B155+(ArtifactsInput!$M$24-ArtifactsInput!$M$24)*CHOOSE(ArtifactsInput!$N$24+1,10,12,14,16,18,20)+(IF(AND(Inputs!$B$39&lt;&gt;"pvp",Inputs!$B$44=0),1,IF(IF(Inputs!$B$39="pvp",15,Inputs!$B$44)-(B166)&lt;=0,1,MAX(0,IF(Inputs!$B$39="pvp",15,Inputs!$B$44)-MAX(5,B166))/(IF(Inputs!$B$39="pvp",15,Inputs!$B$44)-(B166))))*IF(AND(ArtifactsInput!$M$42,((Inputs!$B$9+((C147=TRUE)*(F147-Calc!F26))+B155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127*(MIN(100,(Inputs!$B$9+((C147=TRUE)*(F147-Calc!F26))+B155+(ArtifactsInput!$M$24-ArtifactsInput!$M$24)*CHOOSE(ArtifactsInput!$N$24+1,10,12,14,16,18,20)+(IF(AND(Inputs!$B$39&lt;&gt;"pvp",Inputs!$B$44=0),1,IF(IF(Inputs!$B$39="pvp",15,Inputs!$B$44)-(B166)&lt;=0,1,MAX(0,IF(Inputs!$B$39="pvp",15,Inputs!$B$44)-MAX(5,B166))/(IF(Inputs!$B$39="pvp",15,Inputs!$B$44)-(B166))))*IF(AND(ArtifactsInput!$M$42,((Inputs!$B$9+((C147=TRUE)*(F147-Calc!F26))+B155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127*(1-MIN(100,(Inputs!$B$9+((C147=TRUE)*(F147-Calc!F26))+B155+(ArtifactsInput!$M$24-ArtifactsInput!$M$24)*CHOOSE(ArtifactsInput!$N$24+1,10,12,14,16,18,20)+(IF(AND(Inputs!$B$39&lt;&gt;"pvp",Inputs!$B$44=0),1,IF(IF(Inputs!$B$39="pvp",15,Inputs!$B$44)-(B166)&lt;=0,1,MAX(0,IF(Inputs!$B$39="pvp",15,Inputs!$B$44)-MAX(5,B166))/(IF(Inputs!$B$39="pvp",15,Inputs!$B$44)-(B166))))*IF(AND(ArtifactsInput!$M$42,((Inputs!$B$9+((C147=TRUE)*(F147-Calc!F26))+B155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127*(MIN(100,(Inputs!$B$9+((C147=TRUE)*(F147-Calc!F26))+B155+(ArtifactsInput!$M$24-ArtifactsInput!$M$24)*CHOOSE(ArtifactsInput!$N$24+1,10,12,14,16,18,20)+(IF(AND(Inputs!$B$39&lt;&gt;"pvp",Inputs!$B$44=0),1,IF(IF(Inputs!$B$39="pvp",15,Inputs!$B$44)-(B166)&lt;=0,1,MAX(0,IF(Inputs!$B$39="pvp",15,Inputs!$B$44)-MAX(5,B166))/(IF(Inputs!$B$39="pvp",15,Inputs!$B$44)-(B166))))*IF(AND(ArtifactsInput!$M$42,((Inputs!$B$9+((C147=TRUE)*(F147-Calc!F26))+B155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127">
        <f>IF(C127,(H127*N127*IF(AND(Inputs!$B$39&lt;&gt;"pvp",Inputs!$B$44&gt;0),((Skills!G6*((R127-1)*IF(Skills!H6&gt;0,Skills!I6/Skills!H6,1)+IF(Skills!H6&gt;0,MIN(Skills!I6,MAX(0,MAX(0,Inputs!$B$44-B166)-((R127-1)*IF(Inputs!$B$39="pvp",15,MAX(0.1,Skills!D6-IF(TRUE=TRUE,Inputs!$B$32,0))))))/Skills!H6,1)))/Inputs!$B$44),G127*Q127))*IF(Inputs!$B$39="pvp",1,(1+(Inputs!$B$21+Skills!Q6+B156+(IF(ArtifactsInput!$M$33,CHOOSE(ArtifactsInput!$N$33+1,30,36,42,48,54,60),0))+(IF(AND(ArtifactsInput!$M$35,Inputs!$B$4&lt;&gt;"Chapter Hunt"),CHOOSE(ArtifactsInput!$N$35+1,15,18,21,24,27,30)*(1-EXP(-(0.2*B159)*5)),0)+IF(AND(ArtifactsInput!$M$22,Inputs!$B$4&lt;&gt;"Chapter Hunt"),CHOOSE(ArtifactsInput!$N$22+1,10,12,14,16,18,20)*((0*(((0.15*B159*5))^0/1)+1*(((0.15*B159*5))^1/1)+2*(((0.15*B159*5))^2/2)+3*(((0.15*B159*5))^3/6)+4*(((0.15*B159*5))^4/24)+5*(((0.15*B159*5))^5/120))/((((0.15*B159*5))^0/1)+(((0.15*B159*5))^1/1)+(((0.15*B159*5))^2/2)+(((0.15*B159*5))^3/6)+(((0.15*B159*5))^4/24)+(((0.15*B159*5))^5/120))),0)))/100)*(MIN(Skills!W6,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28">
      <c r="A128">
        <f>Skills!A7</f>
        <v/>
      </c>
      <c r="B128">
        <f>Skills!B7</f>
        <v/>
      </c>
      <c r="C128">
        <f>Inputs!$B$3&gt;=69</f>
        <v/>
      </c>
      <c r="D128">
        <f>IF(Skills!C7=1,60+Inputs!$B$25+Inputs!$B$29,IF(Skills!C7=2,90+Inputs!$B$26+Inputs!$B$29,IF(Skills!C7=3,120+Inputs!$B$27+Inputs!$B$29,MAX(0,(Inputs!$B$3-100)*3)+Inputs!$B$28+Inputs!$B$29)))</f>
        <v/>
      </c>
      <c r="E128">
        <f>INDEX(FactorTable!$B$2:$Y$301, MATCH(ROUND(MIN(300,MAX(1,D128)),0), FactorTable!$A$2:$A$301,0), Skills!M7+1)</f>
        <v/>
      </c>
      <c r="F128">
        <f>IF(Skills!N7=TRUE,(Skills!L7/10)*(E128/1000),Skills!L7/10)+Skills!O7</f>
        <v/>
      </c>
      <c r="G128">
        <f>Skills!G7*IF(Skills!H7&gt;0,IF(Inputs!$B$39="pvp",MIN(Skills!I7,15),Skills!I7)/Skills!H7,1)</f>
        <v/>
      </c>
      <c r="H128">
        <f>1-(1-Skills!J7/100)^Skills!K7</f>
        <v/>
      </c>
      <c r="I128" t="inlineStr">
        <is>
          <t>1</t>
        </is>
      </c>
      <c r="J128">
        <f>((Inputs!$B$6*(1+Inputs!$B$7/100))+(((Inputs!$B$12*(1+(Inputs!$B$13+1)/100))-(Inputs!$B$12*(1+Inputs!$B$13/100)))+0.25*(Inputs!$B$14-Inputs!$B$14))*(1+Inputs!$B$7/100))*(F128/100)</f>
        <v/>
      </c>
      <c r="K128">
        <f>J128*(1+((Inputs!$B$12*(1+(Inputs!$B$13+1)/100))*0.01+Inputs!$B$14*0.0025)/100)*(1+Inputs!$B$15/100)*(1+Inputs!$B$16/100)*(5000/(6000+Inputs!$B$43*(1-(100*(1-(1-Inputs!$B$19/100)*(1-CHOOSE(ArtifactsInput!$N$40+1,5,6,7,8,9,10)/100)^(ArtifactsInput!$M$40-ArtifactsInput!$M$40)))/100)))*(1+(Inputs!$B$24+((C152=TRUE)*(F152-Calc!F31))+((C139=TRUE)*(F139-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140=TRUE,F140,0)/100)*(1+(IF(Skills!A7="CRUEL_STAB",Inputs!$B$17+((C149=TRUE)*(F149-Calc!F28))+((IF(AND(Inputs!$B$39&lt;&gt;"pvp",Inputs!$B$44=0),1,IF(IF(Inputs!$B$39="pvp",15,Inputs!$B$44)-(B166)&lt;=0,1,MAX(0,IF(Inputs!$B$39="pvp",15,Inputs!$B$44)-MAX(5,B166))/(IF(Inputs!$B$39="pvp",15,Inputs!$B$44)-(B166))))*(IF(AND(ArtifactsInput!$M$42,((Inputs!$B$9+((C147=TRUE)*(F147-Calc!F26))+B155+(ArtifactsInput!$M$24-ArtifactsInput!$M$24)*CHOOSE(ArtifactsInput!$N$24+1,10,12,14,16,18,20)+IF(ArtifactsInput!$M$10,CHOOSE(ArtifactsInput!$N$10+1,15,18,21,24,27,30)*(IF(Inputs!$B$39="pvp",MIN(15,15)/15,IF(AND(Inputs!$B$39&lt;&gt;"pvp",Inputs!$B$44&gt;0),MIN(15,Inputs!$B$44)/(Inputs!$B$44),0))),0)))&gt;=100),MIN(100,((Inputs!$B$9+((C147=TRUE)*(F147-Calc!F26))+B155+(ArtifactsInput!$M$24-ArtifactsInput!$M$24)*CHOOSE(ArtifactsInput!$N$24+1,10,12,14,16,18,20)+IF(ArtifactsInput!$M$10,CHOOSE(ArtifactsInput!$N$10+1,15,18,21,24,27,30)*(IF(Inputs!$B$39="pvp",MIN(15,15)/15,IF(AND(Inputs!$B$39&lt;&gt;"pvp",Inputs!$B$44&gt;0),MIN(15,Inputs!$B$44)/(Inputs!$B$44),0))),0)))-100),0))*CHOOSE(ArtifactsInput!$N$42+1,0.6,0.72,0.84,0.96,1.08,1.2))),Inputs!$B$18+((C150=TRUE)*(F150-Calc!F29))+(IF(AND(Inputs!$B$39&lt;&gt;"pvp",Inputs!$B$44=0),1,IF(IF(Inputs!$B$39="pvp",15,Inputs!$B$44)-(B166)&lt;=0,1,MAX(0,IF(Inputs!$B$39="pvp",15,Inputs!$B$44)-MAX(5,B166))/(IF(Inputs!$B$39="pvp",15,Inputs!$B$44)-(B166))))*IF(AND(ArtifactsInput!$M$42,((Inputs!$B$9+((C147=TRUE)*(F147-Calc!F26))+B155+(ArtifactsInput!$M$24-ArtifactsInput!$M$24)*CHOOSE(ArtifactsInput!$N$24+1,10,12,14,16,18,20)+IF(ArtifactsInput!$M$10,CHOOSE(ArtifactsInput!$N$10+1,15,18,21,24,27,30)*(IF(Inputs!$B$39="pvp",MIN(15,15)/15,IF(AND(Inputs!$B$39&lt;&gt;"pvp",Inputs!$B$44&gt;0),MIN(15,Inputs!$B$44)/(Inputs!$B$44),0))),0)))&gt;=100),CHOOSE(ArtifactsInput!$N$42+1,40,48,56,64,72,80),0))))/100)*(((1+(((C143=TRUE)*F143*IF(AND(Inputs!$B$39&lt;&gt;"pvp",Inputs!$B$44&gt;0),(((R143-1)*MIN((Skills!Y22*(1+Inputs!$B$34/100)),(1/Q143))+MIN((Skills!Y22*(1+Inputs!$B$34/100)),MAX(0,Inputs!$B$44-((R143-1)*(1/Q143)))))/Inputs!$B$44),IF(Inputs!$B$39="pvp",MIN((Skills!Y22*(1+Inputs!$B$34/100)),15)/15,MIN(1,(Skills!Y22*(1+Inputs!$B$34/100))/(1/Q143)))))+((C124=TRUE)*F124*3)+((C126=TRUE)*F126*(1-EXP(-0.75*B159*5)))+((C145=TRUE)*(F145-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132=TRUE)*F132*IF(AND(Inputs!$B$39&lt;&gt;"pvp",Inputs!$B$44&gt;0),(((R132-1)*MIN((Skills!Y11*(1+Inputs!$B$34/100)),(1/Q132))+MIN((Skills!Y11*(1+Inputs!$B$34/100)),MAX(0,Inputs!$B$44-((R132-1)*(1/Q132)))))/Inputs!$B$44),IF(Inputs!$B$39="pvp",MIN((Skills!Y11*(1+Inputs!$B$34/100)),15)/15,MIN(1,(Skills!Y11*(1+Inputs!$B$34/100))/(1/Q132)))))/100)*(1+((C137=TRUE)*F137*IF(AND(Inputs!$B$39&lt;&gt;"pvp",Inputs!$B$44&gt;0),(((R137-1)*MIN((Skills!Y16*(1+Inputs!$B$34/100)),(1/Q137))+MIN((Skills!Y16*(1+Inputs!$B$34/100)),MAX(0,Inputs!$B$44-((R137-1)*(1/Q137)))))/Inputs!$B$44),IF(Inputs!$B$39="pvp",MIN((Skills!Y16*(1+Inputs!$B$34/100)),15)/15,MIN(1,(Skills!Y16*(1+Inputs!$B$34/100))/(1/Q137)))))/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157*I128)</f>
        <v/>
      </c>
      <c r="L128">
        <f>K128*(MIN(Inputs!$B$22+((C146=TRUE)*(F146-Calc!F25)),(Inputs!$B$23+((C151=TRUE)*(F151-Calc!F30))+IF(ArtifactsInput!$M$15,CHOOSE(ArtifactsInput!$N$15+1,25,30,35,40,45,50)/100*(Inputs!$B$11-Inputs!$B$11),0)))/100+(Inputs!$B$23+((C151=TRUE)*(F151-Calc!F30))+IF(ArtifactsInput!$M$15,CHOOSE(ArtifactsInput!$N$15+1,25,30,35,40,45,50)/100*(Inputs!$B$11-Inputs!$B$11),0))/100)/2</f>
        <v/>
      </c>
      <c r="M128">
        <f>L128*(1+(Inputs!$B$10+((C148=TRUE)*(F148-Calc!F27))+B162+(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128">
        <f>L128*(1-MIN((Inputs!$B$9+((C147=TRUE)*(F147-Calc!F26))+B155+(ArtifactsInput!$M$24-ArtifactsInput!$M$24)*CHOOSE(ArtifactsInput!$N$24+1,10,12,14,16,18,20)+(IF(AND(Inputs!$B$39&lt;&gt;"pvp",Inputs!$B$44=0),1,IF(IF(Inputs!$B$39="pvp",15,Inputs!$B$44)-(B166)&lt;=0,1,MAX(0,IF(Inputs!$B$39="pvp",15,Inputs!$B$44)-MAX(5,B166))/(IF(Inputs!$B$39="pvp",15,Inputs!$B$44)-(B166))))*IF(AND(ArtifactsInput!$M$42,((Inputs!$B$9+((C147=TRUE)*(F147-Calc!F26))+B155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128*(MIN((Inputs!$B$9+((C147=TRUE)*(F147-Calc!F26))+B155+(ArtifactsInput!$M$24-ArtifactsInput!$M$24)*CHOOSE(ArtifactsInput!$N$24+1,10,12,14,16,18,20)+(IF(AND(Inputs!$B$39&lt;&gt;"pvp",Inputs!$B$44=0),1,IF(IF(Inputs!$B$39="pvp",15,Inputs!$B$44)-(B166)&lt;=0,1,MAX(0,IF(Inputs!$B$39="pvp",15,Inputs!$B$44)-MAX(5,B166))/(IF(Inputs!$B$39="pvp",15,Inputs!$B$44)-(B166))))*IF(AND(ArtifactsInput!$M$42,((Inputs!$B$9+((C147=TRUE)*(F147-Calc!F26))+B155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28">
        <f>(1-Summary!$B$11)*T128+Summary!$B$11*V128</f>
        <v/>
      </c>
      <c r="P128">
        <f>IF(B167=0,0,O128/B167)</f>
        <v/>
      </c>
      <c r="Q128">
        <f>IFERROR(1/IF(Inputs!$B$39="pvp",15,MAX(0.1,Skills!D7-IF(TRUE=TRUE,Inputs!$B$32,0))),0)</f>
        <v/>
      </c>
      <c r="R128">
        <f>IF(AND(Inputs!$B$39&lt;&gt;"pvp",Inputs!$B$44&gt;0),IF(MAX(0,Inputs!$B$44-B166)&lt;=0,0,(INT(MAX(0,Inputs!$B$44-B166)/IF(Inputs!$B$39="pvp",15,MAX(0.1,Skills!D7-IF(TRUE=TRUE,Inputs!$B$32,0))))+1)),0)</f>
        <v/>
      </c>
      <c r="S128">
        <f>IFERROR(O128/N128,0)</f>
        <v/>
      </c>
      <c r="T128">
        <f>IF(C128,(H128*N128*IF(AND(Inputs!$B$39&lt;&gt;"pvp",Inputs!$B$44&gt;0),((Skills!G7*((R128-1)*IF(Skills!H7&gt;0,Skills!I7/Skills!H7,1)+IF(Skills!H7&gt;0,MIN(Skills!I7,MAX(0,MAX(0,Inputs!$B$44-B166)-((R128-1)*IF(Inputs!$B$39="pvp",15,MAX(0.1,Skills!D7-IF(TRUE=TRUE,Inputs!$B$32,0))))))/Skills!H7,1)))/Inputs!$B$44),G128*Q128))*IF(Inputs!$B$39="pvp",1,1+(Inputs!$B$20+0+Skills!P7+B156+(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Hunt"),CHOOSE(ArtifactsInput!$N$35+1,15,18,21,24,27,30)*(1-EXP(-(0.2*B159)*5)),0)+IF(AND(ArtifactsInput!$M$22,Inputs!$B$4&lt;&gt;"Chapter Hunt"),CHOOSE(ArtifactsInput!$N$22+1,10,12,14,16,18,20)*((0*(((0.15*B159*5))^0/1)+1*(((0.15*B159*5))^1/1)+2*(((0.15*B159*5))^2/2)+3*(((0.15*B159*5))^3/6)+4*(((0.15*B159*5))^4/24)+5*(((0.15*B159*5))^5/120))/((((0.15*B159*5))^0/1)+(((0.15*B159*5))^1/1)+(((0.15*B159*5))^2/2)+(((0.15*B159*5))^3/6)+(((0.15*B159*5))^4/24)+(((0.15*B159*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128*(1-MIN(100,(Inputs!$B$9+((C147=TRUE)*(F147-Calc!F26))+B155+(ArtifactsInput!$M$24-ArtifactsInput!$M$24)*CHOOSE(ArtifactsInput!$N$24+1,10,12,14,16,18,20)+(IF(AND(Inputs!$B$39&lt;&gt;"pvp",Inputs!$B$44=0),1,IF(IF(Inputs!$B$39="pvp",15,Inputs!$B$44)-(B166)&lt;=0,1,MAX(0,IF(Inputs!$B$39="pvp",15,Inputs!$B$44)-MAX(5,B166))/(IF(Inputs!$B$39="pvp",15,Inputs!$B$44)-(B166))))*IF(AND(ArtifactsInput!$M$42,((Inputs!$B$9+((C147=TRUE)*(F147-Calc!F26))+B155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128*(MIN(100,(Inputs!$B$9+((C147=TRUE)*(F147-Calc!F26))+B155+(ArtifactsInput!$M$24-ArtifactsInput!$M$24)*CHOOSE(ArtifactsInput!$N$24+1,10,12,14,16,18,20)+(IF(AND(Inputs!$B$39&lt;&gt;"pvp",Inputs!$B$44=0),1,IF(IF(Inputs!$B$39="pvp",15,Inputs!$B$44)-(B166)&lt;=0,1,MAX(0,IF(Inputs!$B$39="pvp",15,Inputs!$B$44)-MAX(5,B166))/(IF(Inputs!$B$39="pvp",15,Inputs!$B$44)-(B166))))*IF(AND(ArtifactsInput!$M$42,((Inputs!$B$9+((C147=TRUE)*(F147-Calc!F26))+B155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128*(1-MIN(100,(Inputs!$B$9+((C147=TRUE)*(F147-Calc!F26))+B155+(ArtifactsInput!$M$24-ArtifactsInput!$M$24)*CHOOSE(ArtifactsInput!$N$24+1,10,12,14,16,18,20)+(IF(AND(Inputs!$B$39&lt;&gt;"pvp",Inputs!$B$44=0),1,IF(IF(Inputs!$B$39="pvp",15,Inputs!$B$44)-(B166)&lt;=0,1,MAX(0,IF(Inputs!$B$39="pvp",15,Inputs!$B$44)-MAX(5,B166))/(IF(Inputs!$B$39="pvp",15,Inputs!$B$44)-(B166))))*IF(AND(ArtifactsInput!$M$42,((Inputs!$B$9+((C147=TRUE)*(F147-Calc!F26))+B155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128*(MIN(100,(Inputs!$B$9+((C147=TRUE)*(F147-Calc!F26))+B155+(ArtifactsInput!$M$24-ArtifactsInput!$M$24)*CHOOSE(ArtifactsInput!$N$24+1,10,12,14,16,18,20)+(IF(AND(Inputs!$B$39&lt;&gt;"pvp",Inputs!$B$44=0),1,IF(IF(Inputs!$B$39="pvp",15,Inputs!$B$44)-(B166)&lt;=0,1,MAX(0,IF(Inputs!$B$39="pvp",15,Inputs!$B$44)-MAX(5,B166))/(IF(Inputs!$B$39="pvp",15,Inputs!$B$44)-(B166))))*IF(AND(ArtifactsInput!$M$42,((Inputs!$B$9+((C147=TRUE)*(F147-Calc!F26))+B155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128">
        <f>IF(C128,(H128*N128*IF(AND(Inputs!$B$39&lt;&gt;"pvp",Inputs!$B$44&gt;0),((Skills!G7*((R128-1)*IF(Skills!H7&gt;0,Skills!I7/Skills!H7,1)+IF(Skills!H7&gt;0,MIN(Skills!I7,MAX(0,MAX(0,Inputs!$B$44-B166)-((R128-1)*IF(Inputs!$B$39="pvp",15,MAX(0.1,Skills!D7-IF(TRUE=TRUE,Inputs!$B$32,0))))))/Skills!H7,1)))/Inputs!$B$44),G128*Q128))*IF(Inputs!$B$39="pvp",1,(1+(Inputs!$B$21+Skills!Q7+B156+(IF(ArtifactsInput!$M$33,CHOOSE(ArtifactsInput!$N$33+1,30,36,42,48,54,60),0))+(IF(AND(ArtifactsInput!$M$35,Inputs!$B$4&lt;&gt;"Chapter Hunt"),CHOOSE(ArtifactsInput!$N$35+1,15,18,21,24,27,30)*(1-EXP(-(0.2*B159)*5)),0)+IF(AND(ArtifactsInput!$M$22,Inputs!$B$4&lt;&gt;"Chapter Hunt"),CHOOSE(ArtifactsInput!$N$22+1,10,12,14,16,18,20)*((0*(((0.15*B159*5))^0/1)+1*(((0.15*B159*5))^1/1)+2*(((0.15*B159*5))^2/2)+3*(((0.15*B159*5))^3/6)+4*(((0.15*B159*5))^4/24)+5*(((0.15*B159*5))^5/120))/((((0.15*B159*5))^0/1)+(((0.15*B159*5))^1/1)+(((0.15*B159*5))^2/2)+(((0.15*B159*5))^3/6)+(((0.15*B159*5))^4/24)+(((0.15*B159*5))^5/120))),0)))/100)*(MIN(Skills!W7,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29">
      <c r="A129">
        <f>Skills!A8</f>
        <v/>
      </c>
      <c r="B129">
        <f>Skills!B8</f>
        <v/>
      </c>
      <c r="C129">
        <f>Inputs!$B$3&gt;=60</f>
        <v/>
      </c>
      <c r="D129">
        <f>IF(Skills!C8=1,60+Inputs!$B$25+Inputs!$B$29,IF(Skills!C8=2,90+Inputs!$B$26+Inputs!$B$29,IF(Skills!C8=3,120+Inputs!$B$27+Inputs!$B$29,MAX(0,(Inputs!$B$3-100)*3)+Inputs!$B$28+Inputs!$B$29)))</f>
        <v/>
      </c>
      <c r="E129">
        <f>INDEX(FactorTable!$B$2:$Y$301, MATCH(ROUND(MIN(300,MAX(1,D129)),0), FactorTable!$A$2:$A$301,0), Skills!M8+1)</f>
        <v/>
      </c>
      <c r="F129">
        <f>IF(Skills!N8=TRUE,(Skills!L8/10)*(E129/1000),Skills!L8/10)+Skills!O8</f>
        <v/>
      </c>
      <c r="G129">
        <f>Skills!G8*IF(Skills!H8&gt;0,IF(Inputs!$B$39="pvp",MIN(Skills!I8,15),Skills!I8)/Skills!H8,1)</f>
        <v/>
      </c>
      <c r="H129">
        <f>1-(1-Skills!J8/100)^Skills!K8</f>
        <v/>
      </c>
      <c r="I129" t="inlineStr">
        <is>
          <t>1</t>
        </is>
      </c>
      <c r="J129" t="inlineStr"/>
      <c r="K129" t="inlineStr"/>
      <c r="L129" t="inlineStr"/>
      <c r="M129" t="inlineStr"/>
      <c r="N129" t="inlineStr"/>
      <c r="O129">
        <f>(1-Summary!$B$11)*T129+Summary!$B$11*V129</f>
        <v/>
      </c>
      <c r="P129">
        <f>IF(B167=0,0,O129/B167)</f>
        <v/>
      </c>
      <c r="Q129" t="n">
        <v>0</v>
      </c>
      <c r="R129" t="n">
        <v>0</v>
      </c>
      <c r="S129">
        <f>IFERROR(O129/N129,0)</f>
        <v/>
      </c>
      <c r="T129" t="n">
        <v>0</v>
      </c>
      <c r="V129" t="n">
        <v>0</v>
      </c>
    </row>
    <row r="130">
      <c r="A130">
        <f>Skills!A9</f>
        <v/>
      </c>
      <c r="B130">
        <f>Skills!B9</f>
        <v/>
      </c>
      <c r="C130">
        <f>Inputs!$B$3&gt;=72</f>
        <v/>
      </c>
      <c r="D130">
        <f>IF(Skills!C9=1,60+Inputs!$B$25+Inputs!$B$29,IF(Skills!C9=2,90+Inputs!$B$26+Inputs!$B$29,IF(Skills!C9=3,120+Inputs!$B$27+Inputs!$B$29,MAX(0,(Inputs!$B$3-100)*3)+Inputs!$B$28+Inputs!$B$29)))</f>
        <v/>
      </c>
      <c r="E130">
        <f>INDEX(FactorTable!$B$2:$Y$301, MATCH(ROUND(MIN(300,MAX(1,D130)),0), FactorTable!$A$2:$A$301,0), Skills!M9+1)</f>
        <v/>
      </c>
      <c r="F130">
        <f>IF(Skills!N9=TRUE,(Skills!L9/10)*(E130/1000),Skills!L9/10)+Skills!O9</f>
        <v/>
      </c>
      <c r="G130">
        <f>Skills!G9*IF(Skills!H9&gt;0,IF(Inputs!$B$39="pvp",MIN(Skills!I9,15),Skills!I9)/Skills!H9,1)</f>
        <v/>
      </c>
      <c r="H130">
        <f>1-(1-Skills!J9/100)^Skills!K9</f>
        <v/>
      </c>
      <c r="I130" t="inlineStr">
        <is>
          <t>1</t>
        </is>
      </c>
      <c r="J130">
        <f>((Inputs!$B$6*(1+Inputs!$B$7/100))+(((Inputs!$B$12*(1+(Inputs!$B$13+1)/100))-(Inputs!$B$12*(1+Inputs!$B$13/100)))+0.25*(Inputs!$B$14-Inputs!$B$14))*(1+Inputs!$B$7/100))*(F130/100)</f>
        <v/>
      </c>
      <c r="K130">
        <f>J130*(1+((Inputs!$B$12*(1+(Inputs!$B$13+1)/100))*0.01+Inputs!$B$14*0.0025)/100)*(1+Inputs!$B$15/100)*(1+Inputs!$B$16/100)*(5000/(6000+Inputs!$B$43*(1-(100*(1-(1-Inputs!$B$19/100)*(1-CHOOSE(ArtifactsInput!$N$40+1,5,6,7,8,9,10)/100)^(ArtifactsInput!$M$40-ArtifactsInput!$M$40)))/100)))*(1+(Inputs!$B$24+((C152=TRUE)*(F152-Calc!F31))+((C139=TRUE)*(F139-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+3.3333333333333335*IF(C140=TRUE,F140,0)/100)*(1+(IF(Skills!A9="CRUEL_STAB",Inputs!$B$17+((C149=TRUE)*(F149-Calc!F28))+((IF(AND(Inputs!$B$39&lt;&gt;"pvp",Inputs!$B$44=0),1,IF(IF(Inputs!$B$39="pvp",15,Inputs!$B$44)-(B166)&lt;=0,1,MAX(0,IF(Inputs!$B$39="pvp",15,Inputs!$B$44)-MAX(5,B166))/(IF(Inputs!$B$39="pvp",15,Inputs!$B$44)-(B166))))*(IF(AND(ArtifactsInput!$M$42,((Inputs!$B$9+((C147=TRUE)*(F147-Calc!F26))+B155+(ArtifactsInput!$M$24-ArtifactsInput!$M$24)*CHOOSE(ArtifactsInput!$N$24+1,10,12,14,16,18,20)+IF(ArtifactsInput!$M$10,CHOOSE(ArtifactsInput!$N$10+1,15,18,21,24,27,30)*(IF(Inputs!$B$39="pvp",MIN(15,15)/15,IF(AND(Inputs!$B$39&lt;&gt;"pvp",Inputs!$B$44&gt;0),MIN(15,Inputs!$B$44)/(Inputs!$B$44),0))),0)))&gt;=100),MIN(100,((Inputs!$B$9+((C147=TRUE)*(F147-Calc!F26))+B155+(ArtifactsInput!$M$24-ArtifactsInput!$M$24)*CHOOSE(ArtifactsInput!$N$24+1,10,12,14,16,18,20)+IF(ArtifactsInput!$M$10,CHOOSE(ArtifactsInput!$N$10+1,15,18,21,24,27,30)*(IF(Inputs!$B$39="pvp",MIN(15,15)/15,IF(AND(Inputs!$B$39&lt;&gt;"pvp",Inputs!$B$44&gt;0),MIN(15,Inputs!$B$44)/(Inputs!$B$44),0))),0)))-100),0))*CHOOSE(ArtifactsInput!$N$42+1,0.6,0.72,0.84,0.96,1.08,1.2))),Inputs!$B$18+((C150=TRUE)*(F150-Calc!F29))+(IF(AND(Inputs!$B$39&lt;&gt;"pvp",Inputs!$B$44=0),1,IF(IF(Inputs!$B$39="pvp",15,Inputs!$B$44)-(B166)&lt;=0,1,MAX(0,IF(Inputs!$B$39="pvp",15,Inputs!$B$44)-MAX(5,B166))/(IF(Inputs!$B$39="pvp",15,Inputs!$B$44)-(B166))))*IF(AND(ArtifactsInput!$M$42,((Inputs!$B$9+((C147=TRUE)*(F147-Calc!F26))+B155+(ArtifactsInput!$M$24-ArtifactsInput!$M$24)*CHOOSE(ArtifactsInput!$N$24+1,10,12,14,16,18,20)+IF(ArtifactsInput!$M$10,CHOOSE(ArtifactsInput!$N$10+1,15,18,21,24,27,30)*(IF(Inputs!$B$39="pvp",MIN(15,15)/15,IF(AND(Inputs!$B$39&lt;&gt;"pvp",Inputs!$B$44&gt;0),MIN(15,Inputs!$B$44)/(Inputs!$B$44),0))),0)))&gt;=100),CHOOSE(ArtifactsInput!$N$42+1,40,48,56,64,72,80),0))))/100)*(((1+(((C143=TRUE)*F143*IF(AND(Inputs!$B$39&lt;&gt;"pvp",Inputs!$B$44&gt;0),(((R143-1)*MIN((Skills!Y22*(1+Inputs!$B$34/100)),(1/Q143))+MIN((Skills!Y22*(1+Inputs!$B$34/100)),MAX(0,Inputs!$B$44-((R143-1)*(1/Q143)))))/Inputs!$B$44),IF(Inputs!$B$39="pvp",MIN((Skills!Y22*(1+Inputs!$B$34/100)),15)/15,MIN(1,(Skills!Y22*(1+Inputs!$B$34/100))/(1/Q143)))))+((C124=TRUE)*F124*3)+((C126=TRUE)*F126*(1-EXP(-0.75*B159*5)))+((C145=TRUE)*(F145-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132=TRUE)*F132*IF(AND(Inputs!$B$39&lt;&gt;"pvp",Inputs!$B$44&gt;0),(((R132-1)*MIN((Skills!Y11*(1+Inputs!$B$34/100)),(1/Q132))+MIN((Skills!Y11*(1+Inputs!$B$34/100)),MAX(0,Inputs!$B$44-((R132-1)*(1/Q132)))))/Inputs!$B$44),IF(Inputs!$B$39="pvp",MIN((Skills!Y11*(1+Inputs!$B$34/100)),15)/15,MIN(1,(Skills!Y11*(1+Inputs!$B$34/100))/(1/Q132)))))/100)*(1+((C137=TRUE)*F137*IF(AND(Inputs!$B$39&lt;&gt;"pvp",Inputs!$B$44&gt;0),(((R137-1)*MIN((Skills!Y16*(1+Inputs!$B$34/100)),(1/Q137))+MIN((Skills!Y16*(1+Inputs!$B$34/100)),MAX(0,Inputs!$B$44-((R137-1)*(1/Q137)))))/Inputs!$B$44),IF(Inputs!$B$39="pvp",MIN((Skills!Y16*(1+Inputs!$B$34/100)),15)/15,MIN(1,(Skills!Y16*(1+Inputs!$B$34/100))/(1/Q137)))))/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157*I130)</f>
        <v/>
      </c>
      <c r="L130">
        <f>K130*(MIN(Inputs!$B$22+((C146=TRUE)*(F146-Calc!F25)),(Inputs!$B$23+((C151=TRUE)*(F151-Calc!F30))+IF(ArtifactsInput!$M$15,CHOOSE(ArtifactsInput!$N$15+1,25,30,35,40,45,50)/100*(Inputs!$B$11-Inputs!$B$11),0)))/100+(Inputs!$B$23+((C151=TRUE)*(F151-Calc!F30))+IF(ArtifactsInput!$M$15,CHOOSE(ArtifactsInput!$N$15+1,25,30,35,40,45,50)/100*(Inputs!$B$11-Inputs!$B$11),0))/100)/2</f>
        <v/>
      </c>
      <c r="M130">
        <f>L130*(1+(Inputs!$B$10+((C148=TRUE)*(F148-Calc!F27))+B162+(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130">
        <f>L130*(1-MIN((Inputs!$B$9+((C147=TRUE)*(F147-Calc!F26))+B155+(ArtifactsInput!$M$24-ArtifactsInput!$M$24)*CHOOSE(ArtifactsInput!$N$24+1,10,12,14,16,18,20)+(IF(AND(Inputs!$B$39&lt;&gt;"pvp",Inputs!$B$44=0),1,IF(IF(Inputs!$B$39="pvp",15,Inputs!$B$44)-(B166)&lt;=0,1,MAX(0,IF(Inputs!$B$39="pvp",15,Inputs!$B$44)-MAX(5,B166))/(IF(Inputs!$B$39="pvp",15,Inputs!$B$44)-(B166))))*IF(AND(ArtifactsInput!$M$42,((Inputs!$B$9+((C147=TRUE)*(F147-Calc!F26))+B155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130*(MIN((Inputs!$B$9+((C147=TRUE)*(F147-Calc!F26))+B155+(ArtifactsInput!$M$24-ArtifactsInput!$M$24)*CHOOSE(ArtifactsInput!$N$24+1,10,12,14,16,18,20)+(IF(AND(Inputs!$B$39&lt;&gt;"pvp",Inputs!$B$44=0),1,IF(IF(Inputs!$B$39="pvp",15,Inputs!$B$44)-(B166)&lt;=0,1,MAX(0,IF(Inputs!$B$39="pvp",15,Inputs!$B$44)-MAX(5,B166))/(IF(Inputs!$B$39="pvp",15,Inputs!$B$44)-(B166))))*IF(AND(ArtifactsInput!$M$42,((Inputs!$B$9+((C147=TRUE)*(F147-Calc!F26))+B155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30">
        <f>(1-Summary!$B$11)*T130+Summary!$B$11*V130</f>
        <v/>
      </c>
      <c r="P130">
        <f>IF(B167=0,0,O130/B167)</f>
        <v/>
      </c>
      <c r="Q130">
        <f>IFERROR(1/IF(Inputs!$B$39="pvp",15,MAX(0.1,Skills!D9-IF(FALSE=TRUE,Inputs!$B$32,0))),0)</f>
        <v/>
      </c>
      <c r="R130">
        <f>IF(AND(Inputs!$B$39&lt;&gt;"pvp",Inputs!$B$44&gt;0),IF(MAX(0,Inputs!$B$44-B166)&lt;=0,0,(INT(MAX(0,Inputs!$B$44-B166)/IF(Inputs!$B$39="pvp",15,MAX(0.1,Skills!D9-IF(FALSE=TRUE,Inputs!$B$32,0))))+1)),0)</f>
        <v/>
      </c>
      <c r="S130">
        <f>IFERROR(O130/N130,0)</f>
        <v/>
      </c>
      <c r="T130">
        <f>IF(C130,(H130*N130*IF(AND(Inputs!$B$39&lt;&gt;"pvp",Inputs!$B$44&gt;0),((Skills!G9*((R130-1)*IF(Skills!H9&gt;0,Skills!I9/Skills!H9,1)+IF(Skills!H9&gt;0,MIN(Skills!I9,MAX(0,MAX(0,Inputs!$B$44-B166)-((R130-1)*IF(Inputs!$B$39="pvp",15,MAX(0.1,Skills!D9-IF(FALSE=TRUE,Inputs!$B$32,0))))))/Skills!H9,1)))/Inputs!$B$44),G130*Q130))*IF(Inputs!$B$39="pvp",1,1+(Inputs!$B$20+0+Skills!P9+B156+(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Hunt"),CHOOSE(ArtifactsInput!$N$35+1,15,18,21,24,27,30)*(1-EXP(-(0.2*B159)*5)),0)+IF(AND(ArtifactsInput!$M$22,Inputs!$B$4&lt;&gt;"Chapter Hunt"),CHOOSE(ArtifactsInput!$N$22+1,10,12,14,16,18,20)*((0*(((0.15*B159*5))^0/1)+1*(((0.15*B159*5))^1/1)+2*(((0.15*B159*5))^2/2)+3*(((0.15*B159*5))^3/6)+4*(((0.15*B159*5))^4/24)+5*(((0.15*B159*5))^5/120))/((((0.15*B159*5))^0/1)+(((0.15*B159*5))^1/1)+(((0.15*B159*5))^2/2)+(((0.15*B159*5))^3/6)+(((0.15*B159*5))^4/24)+(((0.15*B159*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130*(1-MIN(100,(Inputs!$B$9+((C147=TRUE)*(F147-Calc!F26))+B155+(ArtifactsInput!$M$24-ArtifactsInput!$M$24)*CHOOSE(ArtifactsInput!$N$24+1,10,12,14,16,18,20)+(IF(AND(Inputs!$B$39&lt;&gt;"pvp",Inputs!$B$44=0),1,IF(IF(Inputs!$B$39="pvp",15,Inputs!$B$44)-(B166)&lt;=0,1,MAX(0,IF(Inputs!$B$39="pvp",15,Inputs!$B$44)-MAX(5,B166))/(IF(Inputs!$B$39="pvp",15,Inputs!$B$44)-(B166))))*IF(AND(ArtifactsInput!$M$42,((Inputs!$B$9+((C147=TRUE)*(F147-Calc!F26))+B155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130*(MIN(100,(Inputs!$B$9+((C147=TRUE)*(F147-Calc!F26))+B155+(ArtifactsInput!$M$24-ArtifactsInput!$M$24)*CHOOSE(ArtifactsInput!$N$24+1,10,12,14,16,18,20)+(IF(AND(Inputs!$B$39&lt;&gt;"pvp",Inputs!$B$44=0),1,IF(IF(Inputs!$B$39="pvp",15,Inputs!$B$44)-(B166)&lt;=0,1,MAX(0,IF(Inputs!$B$39="pvp",15,Inputs!$B$44)-MAX(5,B166))/(IF(Inputs!$B$39="pvp",15,Inputs!$B$44)-(B166))))*IF(AND(ArtifactsInput!$M$42,((Inputs!$B$9+((C147=TRUE)*(F147-Calc!F26))+B155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130*(1-MIN(100,(Inputs!$B$9+((C147=TRUE)*(F147-Calc!F26))+B155+(ArtifactsInput!$M$24-ArtifactsInput!$M$24)*CHOOSE(ArtifactsInput!$N$24+1,10,12,14,16,18,20)+(IF(AND(Inputs!$B$39&lt;&gt;"pvp",Inputs!$B$44=0),1,IF(IF(Inputs!$B$39="pvp",15,Inputs!$B$44)-(B166)&lt;=0,1,MAX(0,IF(Inputs!$B$39="pvp",15,Inputs!$B$44)-MAX(5,B166))/(IF(Inputs!$B$39="pvp",15,Inputs!$B$44)-(B166))))*IF(AND(ArtifactsInput!$M$42,((Inputs!$B$9+((C147=TRUE)*(F147-Calc!F26))+B155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130*(MIN(100,(Inputs!$B$9+((C147=TRUE)*(F147-Calc!F26))+B155+(ArtifactsInput!$M$24-ArtifactsInput!$M$24)*CHOOSE(ArtifactsInput!$N$24+1,10,12,14,16,18,20)+(IF(AND(Inputs!$B$39&lt;&gt;"pvp",Inputs!$B$44=0),1,IF(IF(Inputs!$B$39="pvp",15,Inputs!$B$44)-(B166)&lt;=0,1,MAX(0,IF(Inputs!$B$39="pvp",15,Inputs!$B$44)-MAX(5,B166))/(IF(Inputs!$B$39="pvp",15,Inputs!$B$44)-(B166))))*IF(AND(ArtifactsInput!$M$42,((Inputs!$B$9+((C147=TRUE)*(F147-Calc!F26))+B155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130">
        <f>IF(C130,(H130*N130*IF(AND(Inputs!$B$39&lt;&gt;"pvp",Inputs!$B$44&gt;0),((Skills!G9*((R130-1)*IF(Skills!H9&gt;0,Skills!I9/Skills!H9,1)+IF(Skills!H9&gt;0,MIN(Skills!I9,MAX(0,MAX(0,Inputs!$B$44-B166)-((R130-1)*IF(Inputs!$B$39="pvp",15,MAX(0.1,Skills!D9-IF(FALSE=TRUE,Inputs!$B$32,0))))))/Skills!H9,1)))/Inputs!$B$44),G130*Q130))*IF(Inputs!$B$39="pvp",1,(1+(Inputs!$B$21+Skills!Q9+B156+(IF(ArtifactsInput!$M$33,CHOOSE(ArtifactsInput!$N$33+1,30,36,42,48,54,60),0))+(IF(AND(ArtifactsInput!$M$35,Inputs!$B$4&lt;&gt;"Chapter Hunt"),CHOOSE(ArtifactsInput!$N$35+1,15,18,21,24,27,30)*(1-EXP(-(0.2*B159)*5)),0)+IF(AND(ArtifactsInput!$M$22,Inputs!$B$4&lt;&gt;"Chapter Hunt"),CHOOSE(ArtifactsInput!$N$22+1,10,12,14,16,18,20)*((0*(((0.15*B159*5))^0/1)+1*(((0.15*B159*5))^1/1)+2*(((0.15*B159*5))^2/2)+3*(((0.15*B159*5))^3/6)+4*(((0.15*B159*5))^4/24)+5*(((0.15*B159*5))^5/120))/((((0.15*B159*5))^0/1)+(((0.15*B159*5))^1/1)+(((0.15*B159*5))^2/2)+(((0.15*B159*5))^3/6)+(((0.15*B159*5))^4/24)+(((0.15*B159*5))^5/120))),0)))/100)*(MIN(Skills!W9,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31">
      <c r="A131">
        <f>Skills!A10</f>
        <v/>
      </c>
      <c r="B131">
        <f>Skills!B10</f>
        <v/>
      </c>
      <c r="C131">
        <f>Inputs!$B$3&gt;=117</f>
        <v/>
      </c>
      <c r="D131">
        <f>IF(Skills!C10=1,60+Inputs!$B$25+Inputs!$B$29,IF(Skills!C10=2,90+Inputs!$B$26+Inputs!$B$29,IF(Skills!C10=3,120+Inputs!$B$27+Inputs!$B$29,MAX(0,(Inputs!$B$3-100)*3)+Inputs!$B$28+Inputs!$B$29)))</f>
        <v/>
      </c>
      <c r="E131">
        <f>INDEX(FactorTable!$B$2:$Y$301, MATCH(ROUND(MIN(300,MAX(1,D131)),0), FactorTable!$A$2:$A$301,0), Skills!M10+1)</f>
        <v/>
      </c>
      <c r="F131">
        <f>IF(Skills!N10=TRUE,(Skills!L10/10)*(E131/1000),Skills!L10/10)+Skills!O10</f>
        <v/>
      </c>
      <c r="G131">
        <f>Skills!G10*IF(Skills!H10&gt;0,IF(Inputs!$B$39="pvp",MIN(Skills!I10,15),Skills!I10)/Skills!H10,1)</f>
        <v/>
      </c>
      <c r="H131">
        <f>1-(1-Skills!J10/100)^Skills!K10</f>
        <v/>
      </c>
      <c r="I131" t="inlineStr">
        <is>
          <t>1</t>
        </is>
      </c>
      <c r="J131">
        <f>((Inputs!$B$6*(1+Inputs!$B$7/100))+(((Inputs!$B$12*(1+(Inputs!$B$13+1)/100))-(Inputs!$B$12*(1+Inputs!$B$13/100)))+0.25*(Inputs!$B$14-Inputs!$B$14))*(1+Inputs!$B$7/100))*(F131/100)</f>
        <v/>
      </c>
      <c r="K131">
        <f>J131*(1+((Inputs!$B$12*(1+(Inputs!$B$13+1)/100))*0.01+Inputs!$B$14*0.0025)/100)*(1+Inputs!$B$15/100)*(1+Inputs!$B$16/100)*(5000/(6000+Inputs!$B$43*(1-(100*(1-(1-Inputs!$B$19/100)*(1-CHOOSE(ArtifactsInput!$N$40+1,5,6,7,8,9,10)/100)^(ArtifactsInput!$M$40-ArtifactsInput!$M$40)))/100)))*(1+(Inputs!$B$24+((C152=TRUE)*(F152-Calc!F31))+((C139=TRUE)*(F139-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10="CRUEL_STAB",Inputs!$B$17+((C149=TRUE)*(F149-Calc!F28))+((IF(AND(Inputs!$B$39&lt;&gt;"pvp",Inputs!$B$44=0),1,IF(IF(Inputs!$B$39="pvp",15,Inputs!$B$44)-(B166)&lt;=0,1,MAX(0,IF(Inputs!$B$39="pvp",15,Inputs!$B$44)-MAX(5,B166))/(IF(Inputs!$B$39="pvp",15,Inputs!$B$44)-(B166))))*(IF(AND(ArtifactsInput!$M$42,((Inputs!$B$9+((C147=TRUE)*(F147-Calc!F26))+B155+(ArtifactsInput!$M$24-ArtifactsInput!$M$24)*CHOOSE(ArtifactsInput!$N$24+1,10,12,14,16,18,20)+IF(ArtifactsInput!$M$10,CHOOSE(ArtifactsInput!$N$10+1,15,18,21,24,27,30)*(IF(Inputs!$B$39="pvp",MIN(15,15)/15,IF(AND(Inputs!$B$39&lt;&gt;"pvp",Inputs!$B$44&gt;0),MIN(15,Inputs!$B$44)/(Inputs!$B$44),0))),0)))&gt;=100),MIN(100,((Inputs!$B$9+((C147=TRUE)*(F147-Calc!F26))+B155+(ArtifactsInput!$M$24-ArtifactsInput!$M$24)*CHOOSE(ArtifactsInput!$N$24+1,10,12,14,16,18,20)+IF(ArtifactsInput!$M$10,CHOOSE(ArtifactsInput!$N$10+1,15,18,21,24,27,30)*(IF(Inputs!$B$39="pvp",MIN(15,15)/15,IF(AND(Inputs!$B$39&lt;&gt;"pvp",Inputs!$B$44&gt;0),MIN(15,Inputs!$B$44)/(Inputs!$B$44),0))),0)))-100),0))*CHOOSE(ArtifactsInput!$N$42+1,0.6,0.72,0.84,0.96,1.08,1.2))),Inputs!$B$18+((C150=TRUE)*(F150-Calc!F29))+(IF(AND(Inputs!$B$39&lt;&gt;"pvp",Inputs!$B$44=0),1,IF(IF(Inputs!$B$39="pvp",15,Inputs!$B$44)-(B166)&lt;=0,1,MAX(0,IF(Inputs!$B$39="pvp",15,Inputs!$B$44)-MAX(5,B166))/(IF(Inputs!$B$39="pvp",15,Inputs!$B$44)-(B166))))*IF(AND(ArtifactsInput!$M$42,((Inputs!$B$9+((C147=TRUE)*(F147-Calc!F26))+B155+(ArtifactsInput!$M$24-ArtifactsInput!$M$24)*CHOOSE(ArtifactsInput!$N$24+1,10,12,14,16,18,20)+IF(ArtifactsInput!$M$10,CHOOSE(ArtifactsInput!$N$10+1,15,18,21,24,27,30)*(IF(Inputs!$B$39="pvp",MIN(15,15)/15,IF(AND(Inputs!$B$39&lt;&gt;"pvp",Inputs!$B$44&gt;0),MIN(15,Inputs!$B$44)/(Inputs!$B$44),0))),0)))&gt;=100),CHOOSE(ArtifactsInput!$N$42+1,40,48,56,64,72,80),0))))/100)*(((1+(((C143=TRUE)*F143*IF(AND(Inputs!$B$39&lt;&gt;"pvp",Inputs!$B$44&gt;0),(((R143-1)*MIN((Skills!Y22*(1+Inputs!$B$34/100)),(1/Q143))+MIN((Skills!Y22*(1+Inputs!$B$34/100)),MAX(0,Inputs!$B$44-((R143-1)*(1/Q143)))))/Inputs!$B$44),IF(Inputs!$B$39="pvp",MIN((Skills!Y22*(1+Inputs!$B$34/100)),15)/15,MIN(1,(Skills!Y22*(1+Inputs!$B$34/100))/(1/Q143)))))+((C124=TRUE)*F124*3)+((C126=TRUE)*F126*(1-EXP(-0.75*B159*5)))+((C145=TRUE)*(F145-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132=TRUE)*F132*IF(AND(Inputs!$B$39&lt;&gt;"pvp",Inputs!$B$44&gt;0),(((R132-1)*MIN((Skills!Y11*(1+Inputs!$B$34/100)),(1/Q132))+MIN((Skills!Y11*(1+Inputs!$B$34/100)),MAX(0,Inputs!$B$44-((R132-1)*(1/Q132)))))/Inputs!$B$44),IF(Inputs!$B$39="pvp",MIN((Skills!Y11*(1+Inputs!$B$34/100)),15)/15,MIN(1,(Skills!Y11*(1+Inputs!$B$34/100))/(1/Q132)))))/100)*(1+((C137=TRUE)*F137*IF(AND(Inputs!$B$39&lt;&gt;"pvp",Inputs!$B$44&gt;0),(((R137-1)*MIN((Skills!Y16*(1+Inputs!$B$34/100)),(1/Q137))+MIN((Skills!Y16*(1+Inputs!$B$34/100)),MAX(0,Inputs!$B$44-((R137-1)*(1/Q137)))))/Inputs!$B$44),IF(Inputs!$B$39="pvp",MIN((Skills!Y16*(1+Inputs!$B$34/100)),15)/15,MIN(1,(Skills!Y16*(1+Inputs!$B$34/100))/(1/Q137)))))/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157*I131)</f>
        <v/>
      </c>
      <c r="L131">
        <f>K131*(MIN(Inputs!$B$22+((C146=TRUE)*(F146-Calc!F25)),(Inputs!$B$23+((C151=TRUE)*(F151-Calc!F30))+IF(ArtifactsInput!$M$15,CHOOSE(ArtifactsInput!$N$15+1,25,30,35,40,45,50)/100*(Inputs!$B$11-Inputs!$B$11),0)))/100+(Inputs!$B$23+((C151=TRUE)*(F151-Calc!F30))+IF(ArtifactsInput!$M$15,CHOOSE(ArtifactsInput!$N$15+1,25,30,35,40,45,50)/100*(Inputs!$B$11-Inputs!$B$11),0))/100)/2</f>
        <v/>
      </c>
      <c r="M131">
        <f>L131*(1+(Inputs!$B$10+((C148=TRUE)*(F148-Calc!F27))+B162+(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131">
        <f>L131*(1-MIN((Inputs!$B$9+((C147=TRUE)*(F147-Calc!F26))+B155+(ArtifactsInput!$M$24-ArtifactsInput!$M$24)*CHOOSE(ArtifactsInput!$N$24+1,10,12,14,16,18,20)+(IF(AND(Inputs!$B$39&lt;&gt;"pvp",Inputs!$B$44=0),1,IF(IF(Inputs!$B$39="pvp",15,Inputs!$B$44)-(B166)&lt;=0,1,MAX(0,IF(Inputs!$B$39="pvp",15,Inputs!$B$44)-MAX(5,B166))/(IF(Inputs!$B$39="pvp",15,Inputs!$B$44)-(B166))))*IF(AND(ArtifactsInput!$M$42,((Inputs!$B$9+((C147=TRUE)*(F147-Calc!F26))+B155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131*(MIN((Inputs!$B$9+((C147=TRUE)*(F147-Calc!F26))+B155+(ArtifactsInput!$M$24-ArtifactsInput!$M$24)*CHOOSE(ArtifactsInput!$N$24+1,10,12,14,16,18,20)+(IF(AND(Inputs!$B$39&lt;&gt;"pvp",Inputs!$B$44=0),1,IF(IF(Inputs!$B$39="pvp",15,Inputs!$B$44)-(B166)&lt;=0,1,MAX(0,IF(Inputs!$B$39="pvp",15,Inputs!$B$44)-MAX(5,B166))/(IF(Inputs!$B$39="pvp",15,Inputs!$B$44)-(B166))))*IF(AND(ArtifactsInput!$M$42,((Inputs!$B$9+((C147=TRUE)*(F147-Calc!F26))+B155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31">
        <f>(1-Summary!$B$11)*T131+Summary!$B$11*V131</f>
        <v/>
      </c>
      <c r="P131">
        <f>IF(B167=0,0,O131/B167)</f>
        <v/>
      </c>
      <c r="Q131" t="n">
        <v>0</v>
      </c>
      <c r="R131" t="n">
        <v>0</v>
      </c>
      <c r="S131" t="n">
        <v>0</v>
      </c>
      <c r="T131">
        <f>IF(C131,(0.2*SUMPRODUCT((Skills!Z2:Z31=TRUE)*(C123:C152=TRUE)*S123:S152)*N131)*IF(Inputs!$B$39="pvp",1,1+(Inputs!$B$20+0+Skills!P10+B156+(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Hunt"),CHOOSE(ArtifactsInput!$N$35+1,15,18,21,24,27,30)*(1-EXP(-(0.2*B159)*5)),0)+IF(AND(ArtifactsInput!$M$22,Inputs!$B$4&lt;&gt;"Chapter Hunt"),CHOOSE(ArtifactsInput!$N$22+1,10,12,14,16,18,20)*((0*(((0.15*B159*5))^0/1)+1*(((0.15*B159*5))^1/1)+2*(((0.15*B159*5))^2/2)+3*(((0.15*B159*5))^3/6)+4*(((0.15*B159*5))^4/24)+5*(((0.15*B159*5))^5/120))/((((0.15*B159*5))^0/1)+(((0.15*B159*5))^1/1)+(((0.15*B159*5))^2/2)+(((0.15*B159*5))^3/6)+(((0.15*B159*5))^4/24)+(((0.15*B159*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131*(1-MIN(100,(Inputs!$B$9+((C147=TRUE)*(F147-Calc!F26))+B155+(ArtifactsInput!$M$24-ArtifactsInput!$M$24)*CHOOSE(ArtifactsInput!$N$24+1,10,12,14,16,18,20)+(IF(AND(Inputs!$B$39&lt;&gt;"pvp",Inputs!$B$44=0),1,IF(IF(Inputs!$B$39="pvp",15,Inputs!$B$44)-(B166)&lt;=0,1,MAX(0,IF(Inputs!$B$39="pvp",15,Inputs!$B$44)-MAX(5,B166))/(IF(Inputs!$B$39="pvp",15,Inputs!$B$44)-(B166))))*IF(AND(ArtifactsInput!$M$42,((Inputs!$B$9+((C147=TRUE)*(F147-Calc!F26))+B155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131*(MIN(100,(Inputs!$B$9+((C147=TRUE)*(F147-Calc!F26))+B155+(ArtifactsInput!$M$24-ArtifactsInput!$M$24)*CHOOSE(ArtifactsInput!$N$24+1,10,12,14,16,18,20)+(IF(AND(Inputs!$B$39&lt;&gt;"pvp",Inputs!$B$44=0),1,IF(IF(Inputs!$B$39="pvp",15,Inputs!$B$44)-(B166)&lt;=0,1,MAX(0,IF(Inputs!$B$39="pvp",15,Inputs!$B$44)-MAX(5,B166))/(IF(Inputs!$B$39="pvp",15,Inputs!$B$44)-(B166))))*IF(AND(ArtifactsInput!$M$42,((Inputs!$B$9+((C147=TRUE)*(F147-Calc!F26))+B155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131*(1-MIN(100,(Inputs!$B$9+((C147=TRUE)*(F147-Calc!F26))+B155+(ArtifactsInput!$M$24-ArtifactsInput!$M$24)*CHOOSE(ArtifactsInput!$N$24+1,10,12,14,16,18,20)+(IF(AND(Inputs!$B$39&lt;&gt;"pvp",Inputs!$B$44=0),1,IF(IF(Inputs!$B$39="pvp",15,Inputs!$B$44)-(B166)&lt;=0,1,MAX(0,IF(Inputs!$B$39="pvp",15,Inputs!$B$44)-MAX(5,B166))/(IF(Inputs!$B$39="pvp",15,Inputs!$B$44)-(B166))))*IF(AND(ArtifactsInput!$M$42,((Inputs!$B$9+((C147=TRUE)*(F147-Calc!F26))+B155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131*(MIN(100,(Inputs!$B$9+((C147=TRUE)*(F147-Calc!F26))+B155+(ArtifactsInput!$M$24-ArtifactsInput!$M$24)*CHOOSE(ArtifactsInput!$N$24+1,10,12,14,16,18,20)+(IF(AND(Inputs!$B$39&lt;&gt;"pvp",Inputs!$B$44=0),1,IF(IF(Inputs!$B$39="pvp",15,Inputs!$B$44)-(B166)&lt;=0,1,MAX(0,IF(Inputs!$B$39="pvp",15,Inputs!$B$44)-MAX(5,B166))/(IF(Inputs!$B$39="pvp",15,Inputs!$B$44)-(B166))))*IF(AND(ArtifactsInput!$M$42,((Inputs!$B$9+((C147=TRUE)*(F147-Calc!F26))+B155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131">
        <f>IF(C131,(0.2*SUMPRODUCT((Skills!Z2:Z31=TRUE)*(C123:C152=TRUE)*S123:S152)*N131)*IF(Inputs!$B$39="pvp",1,(1+(Inputs!$B$21+Skills!Q10+B156+(IF(ArtifactsInput!$M$33,CHOOSE(ArtifactsInput!$N$33+1,30,36,42,48,54,60),0))+(IF(AND(ArtifactsInput!$M$35,Inputs!$B$4&lt;&gt;"Chapter Hunt"),CHOOSE(ArtifactsInput!$N$35+1,15,18,21,24,27,30)*(1-EXP(-(0.2*B159)*5)),0)+IF(AND(ArtifactsInput!$M$22,Inputs!$B$4&lt;&gt;"Chapter Hunt"),CHOOSE(ArtifactsInput!$N$22+1,10,12,14,16,18,20)*((0*(((0.15*B159*5))^0/1)+1*(((0.15*B159*5))^1/1)+2*(((0.15*B159*5))^2/2)+3*(((0.15*B159*5))^3/6)+4*(((0.15*B159*5))^4/24)+5*(((0.15*B159*5))^5/120))/((((0.15*B159*5))^0/1)+(((0.15*B159*5))^1/1)+(((0.15*B159*5))^2/2)+(((0.15*B159*5))^3/6)+(((0.15*B159*5))^4/24)+(((0.15*B159*5))^5/120))),0)))/100)*(MIN(Skills!W10,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32">
      <c r="A132">
        <f>Skills!A11</f>
        <v/>
      </c>
      <c r="B132">
        <f>Skills!B11</f>
        <v/>
      </c>
      <c r="C132">
        <f>Inputs!$B$3&gt;=74</f>
        <v/>
      </c>
      <c r="D132">
        <f>IF(Skills!C11=1,60+Inputs!$B$25+Inputs!$B$29,IF(Skills!C11=2,90+Inputs!$B$26+Inputs!$B$29,IF(Skills!C11=3,120+Inputs!$B$27+Inputs!$B$29,MAX(0,(Inputs!$B$3-100)*3)+Inputs!$B$28+Inputs!$B$29)))</f>
        <v/>
      </c>
      <c r="E132">
        <f>INDEX(FactorTable!$B$2:$Y$301, MATCH(ROUND(MIN(300,MAX(1,D132)),0), FactorTable!$A$2:$A$301,0), Skills!M11+1)</f>
        <v/>
      </c>
      <c r="F132">
        <f>IF(Skills!N11=TRUE,(Skills!L11/10)*(E132/1000),Skills!L11/10)+Skills!O11</f>
        <v/>
      </c>
      <c r="G132">
        <f>Skills!G11*IF(Skills!H11&gt;0,IF(Inputs!$B$39="pvp",MIN(Skills!I11,15),Skills!I11)/Skills!H11,1)</f>
        <v/>
      </c>
      <c r="H132">
        <f>1-(1-Skills!J11/100)^Skills!K11</f>
        <v/>
      </c>
      <c r="I132" t="inlineStr">
        <is>
          <t>1</t>
        </is>
      </c>
      <c r="J132" t="inlineStr"/>
      <c r="K132" t="inlineStr"/>
      <c r="L132" t="inlineStr"/>
      <c r="M132" t="inlineStr"/>
      <c r="N132" t="inlineStr"/>
      <c r="O132">
        <f>(1-Summary!$B$11)*T132+Summary!$B$11*V132</f>
        <v/>
      </c>
      <c r="P132">
        <f>IF(B167=0,0,O132/B167)</f>
        <v/>
      </c>
      <c r="Q132">
        <f>IFERROR(1/IF(Inputs!$B$39="pvp",15,MAX(0.1,Skills!D11-IF(TRUE=TRUE,Inputs!$B$32,0))),0)</f>
        <v/>
      </c>
      <c r="R132">
        <f>IF(AND(Inputs!$B$39&lt;&gt;"pvp",Inputs!$B$44&gt;0),IF(Inputs!$B$44&lt;=0,0,(INT(Inputs!$B$44/IF(Inputs!$B$39="pvp",15,MAX(0.1,Skills!D11-IF(TRUE=TRUE,Inputs!$B$32,0))))+1)),0)</f>
        <v/>
      </c>
      <c r="S132">
        <f>IFERROR(O132/N132,0)</f>
        <v/>
      </c>
      <c r="T132" t="n">
        <v>0</v>
      </c>
      <c r="V132" t="n">
        <v>0</v>
      </c>
    </row>
    <row r="133">
      <c r="A133">
        <f>Skills!A12</f>
        <v/>
      </c>
      <c r="B133">
        <f>Skills!B12</f>
        <v/>
      </c>
      <c r="C133">
        <f>Inputs!$B$3&gt;=103</f>
        <v/>
      </c>
      <c r="D133">
        <f>IF(Skills!C12=1,60+Inputs!$B$25+Inputs!$B$29,IF(Skills!C12=2,90+Inputs!$B$26+Inputs!$B$29,IF(Skills!C12=3,120+Inputs!$B$27+Inputs!$B$29,MAX(0,(Inputs!$B$3-100)*3)+Inputs!$B$28+Inputs!$B$29)))</f>
        <v/>
      </c>
      <c r="E133">
        <f>INDEX(FactorTable!$B$2:$Y$301, MATCH(ROUND(MIN(300,MAX(1,D133)),0), FactorTable!$A$2:$A$301,0), Skills!M12+1)</f>
        <v/>
      </c>
      <c r="F133">
        <f>(Skills!L12/10)*(E133/1000)+IF(Inputs!$B$3&gt;=134,50,0)+0.5*(30000/10)*(INDEX(FactorTable!$B$2:$Y$301, MATCH(ROUND(MIN(300,MAX(1,D133)),0), FactorTable!$A$2:$A$301,0), 13)/1000)*B165</f>
        <v/>
      </c>
      <c r="G133">
        <f>Skills!G12*IF(Skills!H12&gt;0,IF(Inputs!$B$39="pvp",MIN(Skills!I12,15),Skills!I12)/Skills!H12,1)</f>
        <v/>
      </c>
      <c r="H133">
        <f>1-(1-Skills!J12/100)^Skills!K12</f>
        <v/>
      </c>
      <c r="I133" t="inlineStr">
        <is>
          <t>1</t>
        </is>
      </c>
      <c r="J133">
        <f>((Inputs!$B$6*(1+Inputs!$B$7/100))+(((Inputs!$B$12*(1+(Inputs!$B$13+1)/100))-(Inputs!$B$12*(1+Inputs!$B$13/100)))+0.25*(Inputs!$B$14-Inputs!$B$14))*(1+Inputs!$B$7/100))*(F133/100)</f>
        <v/>
      </c>
      <c r="K133">
        <f>J133*(1+((Inputs!$B$12*(1+(Inputs!$B$13+1)/100))*0.01+Inputs!$B$14*0.0025)/100)*(1+Inputs!$B$15/100)*(1+Inputs!$B$16/100)*(5000/(6000+Inputs!$B$43*(1-(100*(1-(1-Inputs!$B$19/100)*(1-CHOOSE(ArtifactsInput!$N$40+1,5,6,7,8,9,10)/100)^(ArtifactsInput!$M$40-ArtifactsInput!$M$40)))/100)))*(1+(Inputs!$B$24+((C152=TRUE)*(F152-Calc!F31))+((C139=TRUE)*(F139-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12="CRUEL_STAB",Inputs!$B$17+((C149=TRUE)*(F149-Calc!F28))+((IF(AND(Inputs!$B$39&lt;&gt;"pvp",Inputs!$B$44=0),1,IF(IF(Inputs!$B$39="pvp",15,Inputs!$B$44)-(B166)&lt;=0,1,MAX(0,IF(Inputs!$B$39="pvp",15,Inputs!$B$44)-MAX(5,B166))/(IF(Inputs!$B$39="pvp",15,Inputs!$B$44)-(B166))))*(IF(AND(ArtifactsInput!$M$42,((Inputs!$B$9+((C147=TRUE)*(F147-Calc!F26))+B155+(ArtifactsInput!$M$24-ArtifactsInput!$M$24)*CHOOSE(ArtifactsInput!$N$24+1,10,12,14,16,18,20)+IF(ArtifactsInput!$M$10,CHOOSE(ArtifactsInput!$N$10+1,15,18,21,24,27,30)*(IF(Inputs!$B$39="pvp",MIN(15,15)/15,IF(AND(Inputs!$B$39&lt;&gt;"pvp",Inputs!$B$44&gt;0),MIN(15,Inputs!$B$44)/(Inputs!$B$44),0))),0)))&gt;=100),MIN(100,((Inputs!$B$9+((C147=TRUE)*(F147-Calc!F26))+B155+(ArtifactsInput!$M$24-ArtifactsInput!$M$24)*CHOOSE(ArtifactsInput!$N$24+1,10,12,14,16,18,20)+IF(ArtifactsInput!$M$10,CHOOSE(ArtifactsInput!$N$10+1,15,18,21,24,27,30)*(IF(Inputs!$B$39="pvp",MIN(15,15)/15,IF(AND(Inputs!$B$39&lt;&gt;"pvp",Inputs!$B$44&gt;0),MIN(15,Inputs!$B$44)/(Inputs!$B$44),0))),0)))-100),0))*CHOOSE(ArtifactsInput!$N$42+1,0.6,0.72,0.84,0.96,1.08,1.2))),Inputs!$B$18+((C150=TRUE)*(F150-Calc!F29))+(IF(AND(Inputs!$B$39&lt;&gt;"pvp",Inputs!$B$44=0),1,IF(IF(Inputs!$B$39="pvp",15,Inputs!$B$44)-(B166)&lt;=0,1,MAX(0,IF(Inputs!$B$39="pvp",15,Inputs!$B$44)-MAX(5,B166))/(IF(Inputs!$B$39="pvp",15,Inputs!$B$44)-(B166))))*IF(AND(ArtifactsInput!$M$42,((Inputs!$B$9+((C147=TRUE)*(F147-Calc!F26))+B155+(ArtifactsInput!$M$24-ArtifactsInput!$M$24)*CHOOSE(ArtifactsInput!$N$24+1,10,12,14,16,18,20)+IF(ArtifactsInput!$M$10,CHOOSE(ArtifactsInput!$N$10+1,15,18,21,24,27,30)*(IF(Inputs!$B$39="pvp",MIN(15,15)/15,IF(AND(Inputs!$B$39&lt;&gt;"pvp",Inputs!$B$44&gt;0),MIN(15,Inputs!$B$44)/(Inputs!$B$44),0))),0)))&gt;=100),CHOOSE(ArtifactsInput!$N$42+1,40,48,56,64,72,80),0))))/100)*(((1+(((C143=TRUE)*F143*IF(AND(Inputs!$B$39&lt;&gt;"pvp",Inputs!$B$44&gt;0),(((R143-1)*MIN((Skills!Y22*(1+Inputs!$B$34/100)),(1/Q143))+MIN((Skills!Y22*(1+Inputs!$B$34/100)),MAX(0,Inputs!$B$44-((R143-1)*(1/Q143)))))/Inputs!$B$44),IF(Inputs!$B$39="pvp",MIN((Skills!Y22*(1+Inputs!$B$34/100)),15)/15,MIN(1,(Skills!Y22*(1+Inputs!$B$34/100))/(1/Q143)))))+((C124=TRUE)*F124*3)+((C126=TRUE)*F126*(1-EXP(-0.75*B159*5)))+((C145=TRUE)*(F145-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132=TRUE)*F132*IF(AND(Inputs!$B$39&lt;&gt;"pvp",Inputs!$B$44&gt;0),(((R132-1)*MIN((Skills!Y11*(1+Inputs!$B$34/100)),(1/Q132))+MIN((Skills!Y11*(1+Inputs!$B$34/100)),MAX(0,Inputs!$B$44-((R132-1)*(1/Q132)))))/Inputs!$B$44),IF(Inputs!$B$39="pvp",MIN((Skills!Y11*(1+Inputs!$B$34/100)),15)/15,MIN(1,(Skills!Y11*(1+Inputs!$B$34/100))/(1/Q132)))))/100)*(1+((C137=TRUE)*F137*IF(AND(Inputs!$B$39&lt;&gt;"pvp",Inputs!$B$44&gt;0),(((R137-1)*MIN((Skills!Y16*(1+Inputs!$B$34/100)),(1/Q137))+MIN((Skills!Y16*(1+Inputs!$B$34/100)),MAX(0,Inputs!$B$44-((R137-1)*(1/Q137)))))/Inputs!$B$44),IF(Inputs!$B$39="pvp",MIN((Skills!Y16*(1+Inputs!$B$34/100)),15)/15,MIN(1,(Skills!Y16*(1+Inputs!$B$34/100))/(1/Q137)))))/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157*I133)</f>
        <v/>
      </c>
      <c r="L133">
        <f>K133*(MIN(Inputs!$B$22+((C146=TRUE)*(F146-Calc!F25)),(Inputs!$B$23+((C151=TRUE)*(F151-Calc!F30))+IF(ArtifactsInput!$M$15,CHOOSE(ArtifactsInput!$N$15+1,25,30,35,40,45,50)/100*(Inputs!$B$11-Inputs!$B$11),0)))/100+(Inputs!$B$23+((C151=TRUE)*(F151-Calc!F30))+IF(ArtifactsInput!$M$15,CHOOSE(ArtifactsInput!$N$15+1,25,30,35,40,45,50)/100*(Inputs!$B$11-Inputs!$B$11),0))/100)/2</f>
        <v/>
      </c>
      <c r="M133">
        <f>L133*(1+(Inputs!$B$10+((C148=TRUE)*(F148-Calc!F27))+B162+(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133">
        <f>L133*(1-MIN((Inputs!$B$9+((C147=TRUE)*(F147-Calc!F26))+B155+(ArtifactsInput!$M$24-ArtifactsInput!$M$24)*CHOOSE(ArtifactsInput!$N$24+1,10,12,14,16,18,20)+(IF(AND(Inputs!$B$39&lt;&gt;"pvp",Inputs!$B$44=0),1,IF(IF(Inputs!$B$39="pvp",15,Inputs!$B$44)-(B166)&lt;=0,1,MAX(0,IF(Inputs!$B$39="pvp",15,Inputs!$B$44)-MAX(5,B166))/(IF(Inputs!$B$39="pvp",15,Inputs!$B$44)-(B166))))*IF(AND(ArtifactsInput!$M$42,((Inputs!$B$9+((C147=TRUE)*(F147-Calc!F26))+B155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133*(MIN((Inputs!$B$9+((C147=TRUE)*(F147-Calc!F26))+B155+(ArtifactsInput!$M$24-ArtifactsInput!$M$24)*CHOOSE(ArtifactsInput!$N$24+1,10,12,14,16,18,20)+(IF(AND(Inputs!$B$39&lt;&gt;"pvp",Inputs!$B$44=0),1,IF(IF(Inputs!$B$39="pvp",15,Inputs!$B$44)-(B166)&lt;=0,1,MAX(0,IF(Inputs!$B$39="pvp",15,Inputs!$B$44)-MAX(5,B166))/(IF(Inputs!$B$39="pvp",15,Inputs!$B$44)-(B166))))*IF(AND(ArtifactsInput!$M$42,((Inputs!$B$9+((C147=TRUE)*(F147-Calc!F26))+B155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33">
        <f>(1-Summary!$B$11)*T133+Summary!$B$11*V133</f>
        <v/>
      </c>
      <c r="P133">
        <f>IF(B167=0,0,O133/B167)</f>
        <v/>
      </c>
      <c r="Q133">
        <f>IFERROR(1/IF(Inputs!$B$39="pvp",15,MAX(0.1,Skills!D12-IF(TRUE=TRUE,Inputs!$B$32,0))),0)</f>
        <v/>
      </c>
      <c r="R133">
        <f>IF(AND(Inputs!$B$39&lt;&gt;"pvp",Inputs!$B$44&gt;0),IF(MAX(0,Inputs!$B$44-B166)&lt;=0,0,(INT(MAX(0,Inputs!$B$44-B166)/IF(Inputs!$B$39="pvp",15,MAX(0.1,Skills!D12-IF(TRUE=TRUE,Inputs!$B$32,0))))+1)),0)</f>
        <v/>
      </c>
      <c r="S133">
        <f>IFERROR(O133/N133,0)</f>
        <v/>
      </c>
      <c r="T133">
        <f>IF(C133,(H133*N133*IF(AND(Inputs!$B$39&lt;&gt;"pvp",Inputs!$B$44&gt;0),((Skills!G12*((R133-1)*IF(Skills!H12&gt;0,Skills!I12/Skills!H12,1)+IF(Skills!H12&gt;0,MIN(Skills!I12,MAX(0,MAX(0,Inputs!$B$44-B166)-((R133-1)*IF(Inputs!$B$39="pvp",15,MAX(0.1,Skills!D12-IF(TRUE=TRUE,Inputs!$B$32,0))))))/Skills!H12,1)))/Inputs!$B$44),G133*Q133))*IF(Inputs!$B$39="pvp",1,1+(Inputs!$B$20+0+Skills!P12+B156+(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Hunt"),CHOOSE(ArtifactsInput!$N$35+1,15,18,21,24,27,30)*(1-EXP(-(0.2*B159)*5)),0)+IF(AND(ArtifactsInput!$M$22,Inputs!$B$4&lt;&gt;"Chapter Hunt"),CHOOSE(ArtifactsInput!$N$22+1,10,12,14,16,18,20)*((0*(((0.15*B159*5))^0/1)+1*(((0.15*B159*5))^1/1)+2*(((0.15*B159*5))^2/2)+3*(((0.15*B159*5))^3/6)+4*(((0.15*B159*5))^4/24)+5*(((0.15*B159*5))^5/120))/((((0.15*B159*5))^0/1)+(((0.15*B159*5))^1/1)+(((0.15*B159*5))^2/2)+(((0.15*B159*5))^3/6)+(((0.15*B159*5))^4/24)+(((0.15*B159*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133*(1-MIN(100,(Inputs!$B$9+((C147=TRUE)*(F147-Calc!F26))+B155+(ArtifactsInput!$M$24-ArtifactsInput!$M$24)*CHOOSE(ArtifactsInput!$N$24+1,10,12,14,16,18,20)+(IF(AND(Inputs!$B$39&lt;&gt;"pvp",Inputs!$B$44=0),1,IF(IF(Inputs!$B$39="pvp",15,Inputs!$B$44)-(B166)&lt;=0,1,MAX(0,IF(Inputs!$B$39="pvp",15,Inputs!$B$44)-MAX(5,B166))/(IF(Inputs!$B$39="pvp",15,Inputs!$B$44)-(B166))))*IF(AND(ArtifactsInput!$M$42,((Inputs!$B$9+((C147=TRUE)*(F147-Calc!F26))+B155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133*(MIN(100,(Inputs!$B$9+((C147=TRUE)*(F147-Calc!F26))+B155+(ArtifactsInput!$M$24-ArtifactsInput!$M$24)*CHOOSE(ArtifactsInput!$N$24+1,10,12,14,16,18,20)+(IF(AND(Inputs!$B$39&lt;&gt;"pvp",Inputs!$B$44=0),1,IF(IF(Inputs!$B$39="pvp",15,Inputs!$B$44)-(B166)&lt;=0,1,MAX(0,IF(Inputs!$B$39="pvp",15,Inputs!$B$44)-MAX(5,B166))/(IF(Inputs!$B$39="pvp",15,Inputs!$B$44)-(B166))))*IF(AND(ArtifactsInput!$M$42,((Inputs!$B$9+((C147=TRUE)*(F147-Calc!F26))+B155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133*(1-MIN(100,(Inputs!$B$9+((C147=TRUE)*(F147-Calc!F26))+B155+(ArtifactsInput!$M$24-ArtifactsInput!$M$24)*CHOOSE(ArtifactsInput!$N$24+1,10,12,14,16,18,20)+(IF(AND(Inputs!$B$39&lt;&gt;"pvp",Inputs!$B$44=0),1,IF(IF(Inputs!$B$39="pvp",15,Inputs!$B$44)-(B166)&lt;=0,1,MAX(0,IF(Inputs!$B$39="pvp",15,Inputs!$B$44)-MAX(5,B166))/(IF(Inputs!$B$39="pvp",15,Inputs!$B$44)-(B166))))*IF(AND(ArtifactsInput!$M$42,((Inputs!$B$9+((C147=TRUE)*(F147-Calc!F26))+B155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133*(MIN(100,(Inputs!$B$9+((C147=TRUE)*(F147-Calc!F26))+B155+(ArtifactsInput!$M$24-ArtifactsInput!$M$24)*CHOOSE(ArtifactsInput!$N$24+1,10,12,14,16,18,20)+(IF(AND(Inputs!$B$39&lt;&gt;"pvp",Inputs!$B$44=0),1,IF(IF(Inputs!$B$39="pvp",15,Inputs!$B$44)-(B166)&lt;=0,1,MAX(0,IF(Inputs!$B$39="pvp",15,Inputs!$B$44)-MAX(5,B166))/(IF(Inputs!$B$39="pvp",15,Inputs!$B$44)-(B166))))*IF(AND(ArtifactsInput!$M$42,((Inputs!$B$9+((C147=TRUE)*(F147-Calc!F26))+B155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133">
        <f>IF(C133,(H133*N133*IF(AND(Inputs!$B$39&lt;&gt;"pvp",Inputs!$B$44&gt;0),((Skills!G12*((R133-1)*IF(Skills!H12&gt;0,Skills!I12/Skills!H12,1)+IF(Skills!H12&gt;0,MIN(Skills!I12,MAX(0,MAX(0,Inputs!$B$44-B166)-((R133-1)*IF(Inputs!$B$39="pvp",15,MAX(0.1,Skills!D12-IF(TRUE=TRUE,Inputs!$B$32,0))))))/Skills!H12,1)))/Inputs!$B$44),G133*Q133))*IF(Inputs!$B$39="pvp",1,(1+(Inputs!$B$21+Skills!Q12+B156+(IF(ArtifactsInput!$M$33,CHOOSE(ArtifactsInput!$N$33+1,30,36,42,48,54,60),0))+(IF(AND(ArtifactsInput!$M$35,Inputs!$B$4&lt;&gt;"Chapter Hunt"),CHOOSE(ArtifactsInput!$N$35+1,15,18,21,24,27,30)*(1-EXP(-(0.2*B159)*5)),0)+IF(AND(ArtifactsInput!$M$22,Inputs!$B$4&lt;&gt;"Chapter Hunt"),CHOOSE(ArtifactsInput!$N$22+1,10,12,14,16,18,20)*((0*(((0.15*B159*5))^0/1)+1*(((0.15*B159*5))^1/1)+2*(((0.15*B159*5))^2/2)+3*(((0.15*B159*5))^3/6)+4*(((0.15*B159*5))^4/24)+5*(((0.15*B159*5))^5/120))/((((0.15*B159*5))^0/1)+(((0.15*B159*5))^1/1)+(((0.15*B159*5))^2/2)+(((0.15*B159*5))^3/6)+(((0.15*B159*5))^4/24)+(((0.15*B159*5))^5/120))),0)))/100)*(MIN(Skills!W12,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34">
      <c r="A134">
        <f>Skills!A13</f>
        <v/>
      </c>
      <c r="B134">
        <f>Skills!B13</f>
        <v/>
      </c>
      <c r="C134">
        <f>Inputs!$B$3&gt;=105</f>
        <v/>
      </c>
      <c r="D134">
        <f>IF(Skills!C13=1,60+Inputs!$B$25+Inputs!$B$29,IF(Skills!C13=2,90+Inputs!$B$26+Inputs!$B$29,IF(Skills!C13=3,120+Inputs!$B$27+Inputs!$B$29,MAX(0,(Inputs!$B$3-100)*3)+Inputs!$B$28+Inputs!$B$29)))</f>
        <v/>
      </c>
      <c r="E134">
        <f>INDEX(FactorTable!$B$2:$Y$301, MATCH(ROUND(MIN(300,MAX(1,D134)),0), FactorTable!$A$2:$A$301,0), Skills!M13+1)</f>
        <v/>
      </c>
      <c r="F134">
        <f>IF(Skills!N13=TRUE,(Skills!L13/10)*(E134/1000),Skills!L13/10)+Skills!O13</f>
        <v/>
      </c>
      <c r="G134">
        <f>Skills!G13*IF(Skills!H13&gt;0,IF(Inputs!$B$39="pvp",MIN(Skills!I13,15),Skills!I13)/Skills!H13,1)</f>
        <v/>
      </c>
      <c r="H134">
        <f>1-(1-Skills!J13/100)^Skills!K13</f>
        <v/>
      </c>
      <c r="I134" t="inlineStr">
        <is>
          <t>1</t>
        </is>
      </c>
      <c r="J134">
        <f>((Inputs!$B$6*(1+Inputs!$B$7/100))+(((Inputs!$B$12*(1+(Inputs!$B$13+1)/100))-(Inputs!$B$12*(1+Inputs!$B$13/100)))+0.25*(Inputs!$B$14-Inputs!$B$14))*(1+Inputs!$B$7/100))*(F134/100)</f>
        <v/>
      </c>
      <c r="K134">
        <f>J134*(1+((Inputs!$B$12*(1+(Inputs!$B$13+1)/100))*0.01+Inputs!$B$14*0.0025)/100)*(1+Inputs!$B$15/100)*(1+Inputs!$B$16/100)*(5000/(6000+Inputs!$B$43*(1-(100*(1-(1-Inputs!$B$19/100)*(1-CHOOSE(ArtifactsInput!$N$40+1,5,6,7,8,9,10)/100)^(ArtifactsInput!$M$40-ArtifactsInput!$M$40)))/100)))*(1+(Inputs!$B$24+((C152=TRUE)*(F152-Calc!F31))+((C139=TRUE)*(F139-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13="CRUEL_STAB",Inputs!$B$17+((C149=TRUE)*(F149-Calc!F28))+((IF(AND(Inputs!$B$39&lt;&gt;"pvp",Inputs!$B$44=0),1,IF(IF(Inputs!$B$39="pvp",15,Inputs!$B$44)-(B166)&lt;=0,1,MAX(0,IF(Inputs!$B$39="pvp",15,Inputs!$B$44)-MAX(5,B166))/(IF(Inputs!$B$39="pvp",15,Inputs!$B$44)-(B166))))*(IF(AND(ArtifactsInput!$M$42,((Inputs!$B$9+((C147=TRUE)*(F147-Calc!F26))+B155+(ArtifactsInput!$M$24-ArtifactsInput!$M$24)*CHOOSE(ArtifactsInput!$N$24+1,10,12,14,16,18,20)+IF(ArtifactsInput!$M$10,CHOOSE(ArtifactsInput!$N$10+1,15,18,21,24,27,30)*(IF(Inputs!$B$39="pvp",MIN(15,15)/15,IF(AND(Inputs!$B$39&lt;&gt;"pvp",Inputs!$B$44&gt;0),MIN(15,Inputs!$B$44)/(Inputs!$B$44),0))),0)))&gt;=100),MIN(100,((Inputs!$B$9+((C147=TRUE)*(F147-Calc!F26))+B155+(ArtifactsInput!$M$24-ArtifactsInput!$M$24)*CHOOSE(ArtifactsInput!$N$24+1,10,12,14,16,18,20)+IF(ArtifactsInput!$M$10,CHOOSE(ArtifactsInput!$N$10+1,15,18,21,24,27,30)*(IF(Inputs!$B$39="pvp",MIN(15,15)/15,IF(AND(Inputs!$B$39&lt;&gt;"pvp",Inputs!$B$44&gt;0),MIN(15,Inputs!$B$44)/(Inputs!$B$44),0))),0)))-100),0))*CHOOSE(ArtifactsInput!$N$42+1,0.6,0.72,0.84,0.96,1.08,1.2))),Inputs!$B$18+((C150=TRUE)*(F150-Calc!F29))+(IF(AND(Inputs!$B$39&lt;&gt;"pvp",Inputs!$B$44=0),1,IF(IF(Inputs!$B$39="pvp",15,Inputs!$B$44)-(B166)&lt;=0,1,MAX(0,IF(Inputs!$B$39="pvp",15,Inputs!$B$44)-MAX(5,B166))/(IF(Inputs!$B$39="pvp",15,Inputs!$B$44)-(B166))))*IF(AND(ArtifactsInput!$M$42,((Inputs!$B$9+((C147=TRUE)*(F147-Calc!F26))+B155+(ArtifactsInput!$M$24-ArtifactsInput!$M$24)*CHOOSE(ArtifactsInput!$N$24+1,10,12,14,16,18,20)+IF(ArtifactsInput!$M$10,CHOOSE(ArtifactsInput!$N$10+1,15,18,21,24,27,30)*(IF(Inputs!$B$39="pvp",MIN(15,15)/15,IF(AND(Inputs!$B$39&lt;&gt;"pvp",Inputs!$B$44&gt;0),MIN(15,Inputs!$B$44)/(Inputs!$B$44),0))),0)))&gt;=100),CHOOSE(ArtifactsInput!$N$42+1,40,48,56,64,72,80),0))))/100)*(((1+(((C143=TRUE)*F143*IF(AND(Inputs!$B$39&lt;&gt;"pvp",Inputs!$B$44&gt;0),(((R143-1)*MIN((Skills!Y22*(1+Inputs!$B$34/100)),(1/Q143))+MIN((Skills!Y22*(1+Inputs!$B$34/100)),MAX(0,Inputs!$B$44-((R143-1)*(1/Q143)))))/Inputs!$B$44),IF(Inputs!$B$39="pvp",MIN((Skills!Y22*(1+Inputs!$B$34/100)),15)/15,MIN(1,(Skills!Y22*(1+Inputs!$B$34/100))/(1/Q143)))))+((C124=TRUE)*F124*3)+((C126=TRUE)*F126*(1-EXP(-0.75*B159*5)))+((C145=TRUE)*(F145-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132=TRUE)*F132*IF(AND(Inputs!$B$39&lt;&gt;"pvp",Inputs!$B$44&gt;0),(((R132-1)*MIN((Skills!Y11*(1+Inputs!$B$34/100)),(1/Q132))+MIN((Skills!Y11*(1+Inputs!$B$34/100)),MAX(0,Inputs!$B$44-((R132-1)*(1/Q132)))))/Inputs!$B$44),IF(Inputs!$B$39="pvp",MIN((Skills!Y11*(1+Inputs!$B$34/100)),15)/15,MIN(1,(Skills!Y11*(1+Inputs!$B$34/100))/(1/Q132)))))/100)*(1+((C137=TRUE)*F137*IF(AND(Inputs!$B$39&lt;&gt;"pvp",Inputs!$B$44&gt;0),(((R137-1)*MIN((Skills!Y16*(1+Inputs!$B$34/100)),(1/Q137))+MIN((Skills!Y16*(1+Inputs!$B$34/100)),MAX(0,Inputs!$B$44-((R137-1)*(1/Q137)))))/Inputs!$B$44),IF(Inputs!$B$39="pvp",MIN((Skills!Y16*(1+Inputs!$B$34/100)),15)/15,MIN(1,(Skills!Y16*(1+Inputs!$B$34/100))/(1/Q137)))))/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157*I134)</f>
        <v/>
      </c>
      <c r="L134">
        <f>K134*(MIN(Inputs!$B$22+((C146=TRUE)*(F146-Calc!F25)),(Inputs!$B$23+((C151=TRUE)*(F151-Calc!F30))+IF(ArtifactsInput!$M$15,CHOOSE(ArtifactsInput!$N$15+1,25,30,35,40,45,50)/100*(Inputs!$B$11-Inputs!$B$11),0)))/100+(Inputs!$B$23+((C151=TRUE)*(F151-Calc!F30))+IF(ArtifactsInput!$M$15,CHOOSE(ArtifactsInput!$N$15+1,25,30,35,40,45,50)/100*(Inputs!$B$11-Inputs!$B$11),0))/100)/2</f>
        <v/>
      </c>
      <c r="M134">
        <f>L134*(1+(Inputs!$B$10+((C148=TRUE)*(F148-Calc!F27))+B162+(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134">
        <f>L134*(1-MIN((Inputs!$B$9+((C147=TRUE)*(F147-Calc!F26))+B155+(ArtifactsInput!$M$24-ArtifactsInput!$M$24)*CHOOSE(ArtifactsInput!$N$24+1,10,12,14,16,18,20)+(IF(AND(Inputs!$B$39&lt;&gt;"pvp",Inputs!$B$44=0),1,IF(IF(Inputs!$B$39="pvp",15,Inputs!$B$44)-(B166)&lt;=0,1,MAX(0,IF(Inputs!$B$39="pvp",15,Inputs!$B$44)-MAX(5,B166))/(IF(Inputs!$B$39="pvp",15,Inputs!$B$44)-(B166))))*IF(AND(ArtifactsInput!$M$42,((Inputs!$B$9+((C147=TRUE)*(F147-Calc!F26))+B155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134*(MIN((Inputs!$B$9+((C147=TRUE)*(F147-Calc!F26))+B155+(ArtifactsInput!$M$24-ArtifactsInput!$M$24)*CHOOSE(ArtifactsInput!$N$24+1,10,12,14,16,18,20)+(IF(AND(Inputs!$B$39&lt;&gt;"pvp",Inputs!$B$44=0),1,IF(IF(Inputs!$B$39="pvp",15,Inputs!$B$44)-(B166)&lt;=0,1,MAX(0,IF(Inputs!$B$39="pvp",15,Inputs!$B$44)-MAX(5,B166))/(IF(Inputs!$B$39="pvp",15,Inputs!$B$44)-(B166))))*IF(AND(ArtifactsInput!$M$42,((Inputs!$B$9+((C147=TRUE)*(F147-Calc!F26))+B155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34">
        <f>(1-Summary!$B$11)*T134+Summary!$B$11*V134</f>
        <v/>
      </c>
      <c r="P134">
        <f>IF(B167=0,0,O134/B167)</f>
        <v/>
      </c>
      <c r="Q134">
        <f>IFERROR(1/IF(Inputs!$B$39="pvp",15,MAX(0.1,Skills!D13-IF(TRUE=TRUE,Inputs!$B$32,0))),0)</f>
        <v/>
      </c>
      <c r="R134">
        <f>IF(AND(Inputs!$B$39&lt;&gt;"pvp",Inputs!$B$44&gt;0),IF(MAX(0,Inputs!$B$44-B166)&lt;=0,0,(INT(MAX(0,Inputs!$B$44-B166)/IF(Inputs!$B$39="pvp",15,MAX(0.1,Skills!D13-IF(TRUE=TRUE,Inputs!$B$32,0))))+1)),0)</f>
        <v/>
      </c>
      <c r="S134">
        <f>IFERROR(O134/N134,0)</f>
        <v/>
      </c>
      <c r="T134">
        <f>IF(C134,(H134*N134*IF(AND(Inputs!$B$39&lt;&gt;"pvp",Inputs!$B$44&gt;0),((Skills!G13*((R134-1)*IF(Skills!H13&gt;0,Skills!I13/Skills!H13,1)+IF(Skills!H13&gt;0,MIN(Skills!I13,MAX(0,MAX(0,Inputs!$B$44-B166)-((R134-1)*IF(Inputs!$B$39="pvp",15,MAX(0.1,Skills!D13-IF(TRUE=TRUE,Inputs!$B$32,0))))))/Skills!H13,1)))/Inputs!$B$44),G134*Q134))*IF(Inputs!$B$39="pvp",1,1+(Inputs!$B$20+0+Skills!P13+B156+(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Hunt"),CHOOSE(ArtifactsInput!$N$35+1,15,18,21,24,27,30)*(1-EXP(-(0.2*B159)*5)),0)+IF(AND(ArtifactsInput!$M$22,Inputs!$B$4&lt;&gt;"Chapter Hunt"),CHOOSE(ArtifactsInput!$N$22+1,10,12,14,16,18,20)*((0*(((0.15*B159*5))^0/1)+1*(((0.15*B159*5))^1/1)+2*(((0.15*B159*5))^2/2)+3*(((0.15*B159*5))^3/6)+4*(((0.15*B159*5))^4/24)+5*(((0.15*B159*5))^5/120))/((((0.15*B159*5))^0/1)+(((0.15*B159*5))^1/1)+(((0.15*B159*5))^2/2)+(((0.15*B159*5))^3/6)+(((0.15*B159*5))^4/24)+(((0.15*B159*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134*(1-MIN(100,(Inputs!$B$9+((C147=TRUE)*(F147-Calc!F26))+B155+(ArtifactsInput!$M$24-ArtifactsInput!$M$24)*CHOOSE(ArtifactsInput!$N$24+1,10,12,14,16,18,20)+(IF(AND(Inputs!$B$39&lt;&gt;"pvp",Inputs!$B$44=0),1,IF(IF(Inputs!$B$39="pvp",15,Inputs!$B$44)-(B166)&lt;=0,1,MAX(0,IF(Inputs!$B$39="pvp",15,Inputs!$B$44)-MAX(5,B166))/(IF(Inputs!$B$39="pvp",15,Inputs!$B$44)-(B166))))*IF(AND(ArtifactsInput!$M$42,((Inputs!$B$9+((C147=TRUE)*(F147-Calc!F26))+B155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134*(MIN(100,(Inputs!$B$9+((C147=TRUE)*(F147-Calc!F26))+B155+(ArtifactsInput!$M$24-ArtifactsInput!$M$24)*CHOOSE(ArtifactsInput!$N$24+1,10,12,14,16,18,20)+(IF(AND(Inputs!$B$39&lt;&gt;"pvp",Inputs!$B$44=0),1,IF(IF(Inputs!$B$39="pvp",15,Inputs!$B$44)-(B166)&lt;=0,1,MAX(0,IF(Inputs!$B$39="pvp",15,Inputs!$B$44)-MAX(5,B166))/(IF(Inputs!$B$39="pvp",15,Inputs!$B$44)-(B166))))*IF(AND(ArtifactsInput!$M$42,((Inputs!$B$9+((C147=TRUE)*(F147-Calc!F26))+B155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134*(1-MIN(100,(Inputs!$B$9+((C147=TRUE)*(F147-Calc!F26))+B155+(ArtifactsInput!$M$24-ArtifactsInput!$M$24)*CHOOSE(ArtifactsInput!$N$24+1,10,12,14,16,18,20)+(IF(AND(Inputs!$B$39&lt;&gt;"pvp",Inputs!$B$44=0),1,IF(IF(Inputs!$B$39="pvp",15,Inputs!$B$44)-(B166)&lt;=0,1,MAX(0,IF(Inputs!$B$39="pvp",15,Inputs!$B$44)-MAX(5,B166))/(IF(Inputs!$B$39="pvp",15,Inputs!$B$44)-(B166))))*IF(AND(ArtifactsInput!$M$42,((Inputs!$B$9+((C147=TRUE)*(F147-Calc!F26))+B155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134*(MIN(100,(Inputs!$B$9+((C147=TRUE)*(F147-Calc!F26))+B155+(ArtifactsInput!$M$24-ArtifactsInput!$M$24)*CHOOSE(ArtifactsInput!$N$24+1,10,12,14,16,18,20)+(IF(AND(Inputs!$B$39&lt;&gt;"pvp",Inputs!$B$44=0),1,IF(IF(Inputs!$B$39="pvp",15,Inputs!$B$44)-(B166)&lt;=0,1,MAX(0,IF(Inputs!$B$39="pvp",15,Inputs!$B$44)-MAX(5,B166))/(IF(Inputs!$B$39="pvp",15,Inputs!$B$44)-(B166))))*IF(AND(ArtifactsInput!$M$42,((Inputs!$B$9+((C147=TRUE)*(F147-Calc!F26))+B155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134">
        <f>IF(C134,(H134*N134*IF(AND(Inputs!$B$39&lt;&gt;"pvp",Inputs!$B$44&gt;0),((Skills!G13*((R134-1)*IF(Skills!H13&gt;0,Skills!I13/Skills!H13,1)+IF(Skills!H13&gt;0,MIN(Skills!I13,MAX(0,MAX(0,Inputs!$B$44-B166)-((R134-1)*IF(Inputs!$B$39="pvp",15,MAX(0.1,Skills!D13-IF(TRUE=TRUE,Inputs!$B$32,0))))))/Skills!H13,1)))/Inputs!$B$44),G134*Q134))*IF(Inputs!$B$39="pvp",1,(1+(Inputs!$B$21+Skills!Q13+B156+(IF(ArtifactsInput!$M$33,CHOOSE(ArtifactsInput!$N$33+1,30,36,42,48,54,60),0))+(IF(AND(ArtifactsInput!$M$35,Inputs!$B$4&lt;&gt;"Chapter Hunt"),CHOOSE(ArtifactsInput!$N$35+1,15,18,21,24,27,30)*(1-EXP(-(0.2*B159)*5)),0)+IF(AND(ArtifactsInput!$M$22,Inputs!$B$4&lt;&gt;"Chapter Hunt"),CHOOSE(ArtifactsInput!$N$22+1,10,12,14,16,18,20)*((0*(((0.15*B159*5))^0/1)+1*(((0.15*B159*5))^1/1)+2*(((0.15*B159*5))^2/2)+3*(((0.15*B159*5))^3/6)+4*(((0.15*B159*5))^4/24)+5*(((0.15*B159*5))^5/120))/((((0.15*B159*5))^0/1)+(((0.15*B159*5))^1/1)+(((0.15*B159*5))^2/2)+(((0.15*B159*5))^3/6)+(((0.15*B159*5))^4/24)+(((0.15*B159*5))^5/120))),0)))/100)*(MIN(Skills!W13,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35">
      <c r="A135">
        <f>Skills!A14</f>
        <v/>
      </c>
      <c r="B135">
        <f>Skills!B14</f>
        <v/>
      </c>
      <c r="C135">
        <f>Inputs!$B$3&gt;=105</f>
        <v/>
      </c>
      <c r="D135">
        <f>IF(Skills!C14=1,60+Inputs!$B$25+Inputs!$B$29,IF(Skills!C14=2,90+Inputs!$B$26+Inputs!$B$29,IF(Skills!C14=3,120+Inputs!$B$27+Inputs!$B$29,MAX(0,(Inputs!$B$3-100)*3)+Inputs!$B$28+Inputs!$B$29)))</f>
        <v/>
      </c>
      <c r="E135">
        <f>INDEX(FactorTable!$B$2:$Y$301, MATCH(ROUND(MIN(300,MAX(1,D135)),0), FactorTable!$A$2:$A$301,0), Skills!M14+1)</f>
        <v/>
      </c>
      <c r="F135">
        <f>IF(Skills!N14=TRUE,(Skills!L14/10)*(E135/1000),Skills!L14/10)+Skills!O14</f>
        <v/>
      </c>
      <c r="G135">
        <f>Skills!G14*IF(Skills!H14&gt;0,IF(Inputs!$B$39="pvp",MIN(Skills!I14,15),Skills!I14)/Skills!H14,1)</f>
        <v/>
      </c>
      <c r="H135">
        <f>1-(1-Skills!J14/100)^Skills!K14</f>
        <v/>
      </c>
      <c r="I135" t="inlineStr">
        <is>
          <t>1</t>
        </is>
      </c>
      <c r="J135">
        <f>((Inputs!$B$6*(1+Inputs!$B$7/100))+(((Inputs!$B$12*(1+(Inputs!$B$13+1)/100))-(Inputs!$B$12*(1+Inputs!$B$13/100)))+0.25*(Inputs!$B$14-Inputs!$B$14))*(1+Inputs!$B$7/100))*(F135/100)</f>
        <v/>
      </c>
      <c r="K135">
        <f>J135*(1+((Inputs!$B$12*(1+(Inputs!$B$13+1)/100))*0.01+Inputs!$B$14*0.0025)/100)*(1+Inputs!$B$15/100)*(1+Inputs!$B$16/100)*(5000/(6000+Inputs!$B$43*(1-(100*(1-(1-Inputs!$B$19/100)*(1-CHOOSE(ArtifactsInput!$N$40+1,5,6,7,8,9,10)/100)^(ArtifactsInput!$M$40-ArtifactsInput!$M$40)))/100)))*(1+(Inputs!$B$24+((C152=TRUE)*(F152-Calc!F31))+((C139=TRUE)*(F139-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14="CRUEL_STAB",Inputs!$B$17+((C149=TRUE)*(F149-Calc!F28))+((IF(AND(Inputs!$B$39&lt;&gt;"pvp",Inputs!$B$44=0),1,IF(IF(Inputs!$B$39="pvp",15,Inputs!$B$44)-(B166)&lt;=0,1,MAX(0,IF(Inputs!$B$39="pvp",15,Inputs!$B$44)-MAX(5,B166))/(IF(Inputs!$B$39="pvp",15,Inputs!$B$44)-(B166))))*(IF(AND(ArtifactsInput!$M$42,((Inputs!$B$9+((C147=TRUE)*(F147-Calc!F26))+B155+(ArtifactsInput!$M$24-ArtifactsInput!$M$24)*CHOOSE(ArtifactsInput!$N$24+1,10,12,14,16,18,20)+IF(ArtifactsInput!$M$10,CHOOSE(ArtifactsInput!$N$10+1,15,18,21,24,27,30)*(IF(Inputs!$B$39="pvp",MIN(15,15)/15,IF(AND(Inputs!$B$39&lt;&gt;"pvp",Inputs!$B$44&gt;0),MIN(15,Inputs!$B$44)/(Inputs!$B$44),0))),0)))&gt;=100),MIN(100,((Inputs!$B$9+((C147=TRUE)*(F147-Calc!F26))+B155+(ArtifactsInput!$M$24-ArtifactsInput!$M$24)*CHOOSE(ArtifactsInput!$N$24+1,10,12,14,16,18,20)+IF(ArtifactsInput!$M$10,CHOOSE(ArtifactsInput!$N$10+1,15,18,21,24,27,30)*(IF(Inputs!$B$39="pvp",MIN(15,15)/15,IF(AND(Inputs!$B$39&lt;&gt;"pvp",Inputs!$B$44&gt;0),MIN(15,Inputs!$B$44)/(Inputs!$B$44),0))),0)))-100),0))*CHOOSE(ArtifactsInput!$N$42+1,0.6,0.72,0.84,0.96,1.08,1.2))),Inputs!$B$18+((C150=TRUE)*(F150-Calc!F29))+(IF(AND(Inputs!$B$39&lt;&gt;"pvp",Inputs!$B$44=0),1,IF(IF(Inputs!$B$39="pvp",15,Inputs!$B$44)-(B166)&lt;=0,1,MAX(0,IF(Inputs!$B$39="pvp",15,Inputs!$B$44)-MAX(5,B166))/(IF(Inputs!$B$39="pvp",15,Inputs!$B$44)-(B166))))*IF(AND(ArtifactsInput!$M$42,((Inputs!$B$9+((C147=TRUE)*(F147-Calc!F26))+B155+(ArtifactsInput!$M$24-ArtifactsInput!$M$24)*CHOOSE(ArtifactsInput!$N$24+1,10,12,14,16,18,20)+IF(ArtifactsInput!$M$10,CHOOSE(ArtifactsInput!$N$10+1,15,18,21,24,27,30)*(IF(Inputs!$B$39="pvp",MIN(15,15)/15,IF(AND(Inputs!$B$39&lt;&gt;"pvp",Inputs!$B$44&gt;0),MIN(15,Inputs!$B$44)/(Inputs!$B$44),0))),0)))&gt;=100),CHOOSE(ArtifactsInput!$N$42+1,40,48,56,64,72,80),0))))/100)*(((1+(((C143=TRUE)*F143*IF(AND(Inputs!$B$39&lt;&gt;"pvp",Inputs!$B$44&gt;0),(((R143-1)*MIN((Skills!Y22*(1+Inputs!$B$34/100)),(1/Q143))+MIN((Skills!Y22*(1+Inputs!$B$34/100)),MAX(0,Inputs!$B$44-((R143-1)*(1/Q143)))))/Inputs!$B$44),IF(Inputs!$B$39="pvp",MIN((Skills!Y22*(1+Inputs!$B$34/100)),15)/15,MIN(1,(Skills!Y22*(1+Inputs!$B$34/100))/(1/Q143)))))+((C124=TRUE)*F124*3)+((C126=TRUE)*F126*(1-EXP(-0.75*B159*5)))+((C145=TRUE)*(F145-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132=TRUE)*F132*IF(AND(Inputs!$B$39&lt;&gt;"pvp",Inputs!$B$44&gt;0),(((R132-1)*MIN((Skills!Y11*(1+Inputs!$B$34/100)),(1/Q132))+MIN((Skills!Y11*(1+Inputs!$B$34/100)),MAX(0,Inputs!$B$44-((R132-1)*(1/Q132)))))/Inputs!$B$44),IF(Inputs!$B$39="pvp",MIN((Skills!Y11*(1+Inputs!$B$34/100)),15)/15,MIN(1,(Skills!Y11*(1+Inputs!$B$34/100))/(1/Q132)))))/100)*(1+((C137=TRUE)*F137*IF(AND(Inputs!$B$39&lt;&gt;"pvp",Inputs!$B$44&gt;0),(((R137-1)*MIN((Skills!Y16*(1+Inputs!$B$34/100)),(1/Q137))+MIN((Skills!Y16*(1+Inputs!$B$34/100)),MAX(0,Inputs!$B$44-((R137-1)*(1/Q137)))))/Inputs!$B$44),IF(Inputs!$B$39="pvp",MIN((Skills!Y16*(1+Inputs!$B$34/100)),15)/15,MIN(1,(Skills!Y16*(1+Inputs!$B$34/100))/(1/Q137)))))/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157*I135)</f>
        <v/>
      </c>
      <c r="L135">
        <f>K135*(MIN(Inputs!$B$22+((C146=TRUE)*(F146-Calc!F25)),(Inputs!$B$23+((C151=TRUE)*(F151-Calc!F30))+IF(ArtifactsInput!$M$15,CHOOSE(ArtifactsInput!$N$15+1,25,30,35,40,45,50)/100*(Inputs!$B$11-Inputs!$B$11),0)))/100+(Inputs!$B$23+((C151=TRUE)*(F151-Calc!F30))+IF(ArtifactsInput!$M$15,CHOOSE(ArtifactsInput!$N$15+1,25,30,35,40,45,50)/100*(Inputs!$B$11-Inputs!$B$11),0))/100)/2</f>
        <v/>
      </c>
      <c r="M135">
        <f>L135*(1+(Inputs!$B$10+((C148=TRUE)*(F148-Calc!F27))+B162+(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135">
        <f>L135*(1-MIN((Inputs!$B$9+((C147=TRUE)*(F147-Calc!F26))+B155+(ArtifactsInput!$M$24-ArtifactsInput!$M$24)*CHOOSE(ArtifactsInput!$N$24+1,10,12,14,16,18,20)+(IF(AND(Inputs!$B$39&lt;&gt;"pvp",Inputs!$B$44=0),1,IF(IF(Inputs!$B$39="pvp",15,Inputs!$B$44)-(B166)&lt;=0,1,MAX(0,IF(Inputs!$B$39="pvp",15,Inputs!$B$44)-MAX(5,B166))/(IF(Inputs!$B$39="pvp",15,Inputs!$B$44)-(B166))))*IF(AND(ArtifactsInput!$M$42,((Inputs!$B$9+((C147=TRUE)*(F147-Calc!F26))+B155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135*(MIN((Inputs!$B$9+((C147=TRUE)*(F147-Calc!F26))+B155+(ArtifactsInput!$M$24-ArtifactsInput!$M$24)*CHOOSE(ArtifactsInput!$N$24+1,10,12,14,16,18,20)+(IF(AND(Inputs!$B$39&lt;&gt;"pvp",Inputs!$B$44=0),1,IF(IF(Inputs!$B$39="pvp",15,Inputs!$B$44)-(B166)&lt;=0,1,MAX(0,IF(Inputs!$B$39="pvp",15,Inputs!$B$44)-MAX(5,B166))/(IF(Inputs!$B$39="pvp",15,Inputs!$B$44)-(B166))))*IF(AND(ArtifactsInput!$M$42,((Inputs!$B$9+((C147=TRUE)*(F147-Calc!F26))+B155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35">
        <f>(1-Summary!$B$11)*T135+Summary!$B$11*V135</f>
        <v/>
      </c>
      <c r="P135">
        <f>IF(B167=0,0,O135/B167)</f>
        <v/>
      </c>
      <c r="Q135">
        <f>IFERROR(1/IF(Inputs!$B$39="pvp",15,MAX(0.1,Skills!D14-IF(TRUE=TRUE,Inputs!$B$32,0))),0)</f>
        <v/>
      </c>
      <c r="R135">
        <f>IF(AND(Inputs!$B$39&lt;&gt;"pvp",Inputs!$B$44&gt;0),IF(MAX(0,Inputs!$B$44-B166)&lt;=0,0,(INT(MAX(0,Inputs!$B$44-B166)/IF(Inputs!$B$39="pvp",15,MAX(0.1,Skills!D14-IF(TRUE=TRUE,Inputs!$B$32,0))))+1)),0)</f>
        <v/>
      </c>
      <c r="S135">
        <f>IFERROR(O135/N135,0)</f>
        <v/>
      </c>
      <c r="T135">
        <f>IF(C135,(H135*N135*IF(AND(Inputs!$B$39&lt;&gt;"pvp",Inputs!$B$44&gt;0),((Skills!G14*((R135-1)*IF(Skills!H14&gt;0,Skills!I14/Skills!H14,1)+IF(Skills!H14&gt;0,MIN(Skills!I14,MAX(0,MAX(0,Inputs!$B$44-B166)-((R135-1)*IF(Inputs!$B$39="pvp",15,MAX(0.1,Skills!D14-IF(TRUE=TRUE,Inputs!$B$32,0))))))/Skills!H14,1)))/Inputs!$B$44),G135*Q135))*IF(Inputs!$B$39="pvp",1,1+(Inputs!$B$20+0+Skills!P14+B156+(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Hunt"),CHOOSE(ArtifactsInput!$N$35+1,15,18,21,24,27,30)*(1-EXP(-(0.2*B159)*5)),0)+IF(AND(ArtifactsInput!$M$22,Inputs!$B$4&lt;&gt;"Chapter Hunt"),CHOOSE(ArtifactsInput!$N$22+1,10,12,14,16,18,20)*((0*(((0.15*B159*5))^0/1)+1*(((0.15*B159*5))^1/1)+2*(((0.15*B159*5))^2/2)+3*(((0.15*B159*5))^3/6)+4*(((0.15*B159*5))^4/24)+5*(((0.15*B159*5))^5/120))/((((0.15*B159*5))^0/1)+(((0.15*B159*5))^1/1)+(((0.15*B159*5))^2/2)+(((0.15*B159*5))^3/6)+(((0.15*B159*5))^4/24)+(((0.15*B159*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135*(1-MIN(100,(Inputs!$B$9+((C147=TRUE)*(F147-Calc!F26))+B155+(ArtifactsInput!$M$24-ArtifactsInput!$M$24)*CHOOSE(ArtifactsInput!$N$24+1,10,12,14,16,18,20)+(IF(AND(Inputs!$B$39&lt;&gt;"pvp",Inputs!$B$44=0),1,IF(IF(Inputs!$B$39="pvp",15,Inputs!$B$44)-(B166)&lt;=0,1,MAX(0,IF(Inputs!$B$39="pvp",15,Inputs!$B$44)-MAX(5,B166))/(IF(Inputs!$B$39="pvp",15,Inputs!$B$44)-(B166))))*IF(AND(ArtifactsInput!$M$42,((Inputs!$B$9+((C147=TRUE)*(F147-Calc!F26))+B155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135*(MIN(100,(Inputs!$B$9+((C147=TRUE)*(F147-Calc!F26))+B155+(ArtifactsInput!$M$24-ArtifactsInput!$M$24)*CHOOSE(ArtifactsInput!$N$24+1,10,12,14,16,18,20)+(IF(AND(Inputs!$B$39&lt;&gt;"pvp",Inputs!$B$44=0),1,IF(IF(Inputs!$B$39="pvp",15,Inputs!$B$44)-(B166)&lt;=0,1,MAX(0,IF(Inputs!$B$39="pvp",15,Inputs!$B$44)-MAX(5,B166))/(IF(Inputs!$B$39="pvp",15,Inputs!$B$44)-(B166))))*IF(AND(ArtifactsInput!$M$42,((Inputs!$B$9+((C147=TRUE)*(F147-Calc!F26))+B155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135*(1-MIN(100,(Inputs!$B$9+((C147=TRUE)*(F147-Calc!F26))+B155+(ArtifactsInput!$M$24-ArtifactsInput!$M$24)*CHOOSE(ArtifactsInput!$N$24+1,10,12,14,16,18,20)+(IF(AND(Inputs!$B$39&lt;&gt;"pvp",Inputs!$B$44=0),1,IF(IF(Inputs!$B$39="pvp",15,Inputs!$B$44)-(B166)&lt;=0,1,MAX(0,IF(Inputs!$B$39="pvp",15,Inputs!$B$44)-MAX(5,B166))/(IF(Inputs!$B$39="pvp",15,Inputs!$B$44)-(B166))))*IF(AND(ArtifactsInput!$M$42,((Inputs!$B$9+((C147=TRUE)*(F147-Calc!F26))+B155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135*(MIN(100,(Inputs!$B$9+((C147=TRUE)*(F147-Calc!F26))+B155+(ArtifactsInput!$M$24-ArtifactsInput!$M$24)*CHOOSE(ArtifactsInput!$N$24+1,10,12,14,16,18,20)+(IF(AND(Inputs!$B$39&lt;&gt;"pvp",Inputs!$B$44=0),1,IF(IF(Inputs!$B$39="pvp",15,Inputs!$B$44)-(B166)&lt;=0,1,MAX(0,IF(Inputs!$B$39="pvp",15,Inputs!$B$44)-MAX(5,B166))/(IF(Inputs!$B$39="pvp",15,Inputs!$B$44)-(B166))))*IF(AND(ArtifactsInput!$M$42,((Inputs!$B$9+((C147=TRUE)*(F147-Calc!F26))+B155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135">
        <f>IF(C135,(H135*N135*IF(AND(Inputs!$B$39&lt;&gt;"pvp",Inputs!$B$44&gt;0),((Skills!G14*((R135-1)*IF(Skills!H14&gt;0,Skills!I14/Skills!H14,1)+IF(Skills!H14&gt;0,MIN(Skills!I14,MAX(0,MAX(0,Inputs!$B$44-B166)-((R135-1)*IF(Inputs!$B$39="pvp",15,MAX(0.1,Skills!D14-IF(TRUE=TRUE,Inputs!$B$32,0))))))/Skills!H14,1)))/Inputs!$B$44),G135*Q135))*IF(Inputs!$B$39="pvp",1,(1+(Inputs!$B$21+Skills!Q14+B156+(IF(ArtifactsInput!$M$33,CHOOSE(ArtifactsInput!$N$33+1,30,36,42,48,54,60),0))+(IF(AND(ArtifactsInput!$M$35,Inputs!$B$4&lt;&gt;"Chapter Hunt"),CHOOSE(ArtifactsInput!$N$35+1,15,18,21,24,27,30)*(1-EXP(-(0.2*B159)*5)),0)+IF(AND(ArtifactsInput!$M$22,Inputs!$B$4&lt;&gt;"Chapter Hunt"),CHOOSE(ArtifactsInput!$N$22+1,10,12,14,16,18,20)*((0*(((0.15*B159*5))^0/1)+1*(((0.15*B159*5))^1/1)+2*(((0.15*B159*5))^2/2)+3*(((0.15*B159*5))^3/6)+4*(((0.15*B159*5))^4/24)+5*(((0.15*B159*5))^5/120))/((((0.15*B159*5))^0/1)+(((0.15*B159*5))^1/1)+(((0.15*B159*5))^2/2)+(((0.15*B159*5))^3/6)+(((0.15*B159*5))^4/24)+(((0.15*B159*5))^5/120))),0)))/100)*(MIN(Skills!W14,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36">
      <c r="A136">
        <f>Skills!A15</f>
        <v/>
      </c>
      <c r="B136">
        <f>Skills!B15</f>
        <v/>
      </c>
      <c r="C136">
        <f>Inputs!$B$3&gt;=107</f>
        <v/>
      </c>
      <c r="D136">
        <f>IF(Skills!C15=1,60+Inputs!$B$25+Inputs!$B$29,IF(Skills!C15=2,90+Inputs!$B$26+Inputs!$B$29,IF(Skills!C15=3,120+Inputs!$B$27+Inputs!$B$29,MAX(0,(Inputs!$B$3-100)*3)+Inputs!$B$28+Inputs!$B$29)))</f>
        <v/>
      </c>
      <c r="E136">
        <f>INDEX(FactorTable!$B$2:$Y$301, MATCH(ROUND(MIN(300,MAX(1,D136)),0), FactorTable!$A$2:$A$301,0), Skills!M15+1)</f>
        <v/>
      </c>
      <c r="F136">
        <f>IF(Skills!N15=TRUE,(Skills!L15/10)*(E136/1000),Skills!L15/10)+Skills!O15</f>
        <v/>
      </c>
      <c r="G136">
        <f>Skills!G15*IF(Skills!H15&gt;0,IF(Inputs!$B$39="pvp",MIN(Skills!I15,15),Skills!I15)/Skills!H15,1)</f>
        <v/>
      </c>
      <c r="H136">
        <f>1-(1-Skills!J15/100)^Skills!K15</f>
        <v/>
      </c>
      <c r="I136" t="inlineStr">
        <is>
          <t>1</t>
        </is>
      </c>
      <c r="J136">
        <f>((Inputs!$B$6*(1+Inputs!$B$7/100))+(((Inputs!$B$12*(1+(Inputs!$B$13+1)/100))-(Inputs!$B$12*(1+Inputs!$B$13/100)))+0.25*(Inputs!$B$14-Inputs!$B$14))*(1+Inputs!$B$7/100))*(F136/100)</f>
        <v/>
      </c>
      <c r="K136">
        <f>J136*(1+((Inputs!$B$12*(1+(Inputs!$B$13+1)/100))*0.01+Inputs!$B$14*0.0025)/100)*(1+Inputs!$B$15/100)*(1+Inputs!$B$16/100)*(5000/(6000+Inputs!$B$43*(1-(100*(1-(1-Inputs!$B$19/100)*(1-CHOOSE(ArtifactsInput!$N$40+1,5,6,7,8,9,10)/100)^(ArtifactsInput!$M$40-ArtifactsInput!$M$40)))/100)))*(1+(Inputs!$B$24+((C152=TRUE)*(F152-Calc!F31))+((C139=TRUE)*(F139-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15="CRUEL_STAB",Inputs!$B$17+((C149=TRUE)*(F149-Calc!F28))+((IF(AND(Inputs!$B$39&lt;&gt;"pvp",Inputs!$B$44=0),1,IF(IF(Inputs!$B$39="pvp",15,Inputs!$B$44)-(B166)&lt;=0,1,MAX(0,IF(Inputs!$B$39="pvp",15,Inputs!$B$44)-MAX(5,B166))/(IF(Inputs!$B$39="pvp",15,Inputs!$B$44)-(B166))))*(IF(AND(ArtifactsInput!$M$42,((Inputs!$B$9+((C147=TRUE)*(F147-Calc!F26))+B155+(ArtifactsInput!$M$24-ArtifactsInput!$M$24)*CHOOSE(ArtifactsInput!$N$24+1,10,12,14,16,18,20)+IF(ArtifactsInput!$M$10,CHOOSE(ArtifactsInput!$N$10+1,15,18,21,24,27,30)*(IF(Inputs!$B$39="pvp",MIN(15,15)/15,IF(AND(Inputs!$B$39&lt;&gt;"pvp",Inputs!$B$44&gt;0),MIN(15,Inputs!$B$44)/(Inputs!$B$44),0))),0)))&gt;=100),MIN(100,((Inputs!$B$9+((C147=TRUE)*(F147-Calc!F26))+B155+(ArtifactsInput!$M$24-ArtifactsInput!$M$24)*CHOOSE(ArtifactsInput!$N$24+1,10,12,14,16,18,20)+IF(ArtifactsInput!$M$10,CHOOSE(ArtifactsInput!$N$10+1,15,18,21,24,27,30)*(IF(Inputs!$B$39="pvp",MIN(15,15)/15,IF(AND(Inputs!$B$39&lt;&gt;"pvp",Inputs!$B$44&gt;0),MIN(15,Inputs!$B$44)/(Inputs!$B$44),0))),0)))-100),0))*CHOOSE(ArtifactsInput!$N$42+1,0.6,0.72,0.84,0.96,1.08,1.2))),Inputs!$B$18+((C150=TRUE)*(F150-Calc!F29))+(IF(AND(Inputs!$B$39&lt;&gt;"pvp",Inputs!$B$44=0),1,IF(IF(Inputs!$B$39="pvp",15,Inputs!$B$44)-(B166)&lt;=0,1,MAX(0,IF(Inputs!$B$39="pvp",15,Inputs!$B$44)-MAX(5,B166))/(IF(Inputs!$B$39="pvp",15,Inputs!$B$44)-(B166))))*IF(AND(ArtifactsInput!$M$42,((Inputs!$B$9+((C147=TRUE)*(F147-Calc!F26))+B155+(ArtifactsInput!$M$24-ArtifactsInput!$M$24)*CHOOSE(ArtifactsInput!$N$24+1,10,12,14,16,18,20)+IF(ArtifactsInput!$M$10,CHOOSE(ArtifactsInput!$N$10+1,15,18,21,24,27,30)*(IF(Inputs!$B$39="pvp",MIN(15,15)/15,IF(AND(Inputs!$B$39&lt;&gt;"pvp",Inputs!$B$44&gt;0),MIN(15,Inputs!$B$44)/(Inputs!$B$44),0))),0)))&gt;=100),CHOOSE(ArtifactsInput!$N$42+1,40,48,56,64,72,80),0))))/100)*(((1+(((C143=TRUE)*F143*IF(AND(Inputs!$B$39&lt;&gt;"pvp",Inputs!$B$44&gt;0),(((R143-1)*MIN((Skills!Y22*(1+Inputs!$B$34/100)),(1/Q143))+MIN((Skills!Y22*(1+Inputs!$B$34/100)),MAX(0,Inputs!$B$44-((R143-1)*(1/Q143)))))/Inputs!$B$44),IF(Inputs!$B$39="pvp",MIN((Skills!Y22*(1+Inputs!$B$34/100)),15)/15,MIN(1,(Skills!Y22*(1+Inputs!$B$34/100))/(1/Q143)))))+((C124=TRUE)*F124*3)+((C126=TRUE)*F126*(1-EXP(-0.75*B159*5)))+((C145=TRUE)*(F145-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132=TRUE)*F132*IF(AND(Inputs!$B$39&lt;&gt;"pvp",Inputs!$B$44&gt;0),(((R132-1)*MIN((Skills!Y11*(1+Inputs!$B$34/100)),(1/Q132))+MIN((Skills!Y11*(1+Inputs!$B$34/100)),MAX(0,Inputs!$B$44-((R132-1)*(1/Q132)))))/Inputs!$B$44),IF(Inputs!$B$39="pvp",MIN((Skills!Y11*(1+Inputs!$B$34/100)),15)/15,MIN(1,(Skills!Y11*(1+Inputs!$B$34/100))/(1/Q132)))))/100)*(1+((C137=TRUE)*F137*IF(AND(Inputs!$B$39&lt;&gt;"pvp",Inputs!$B$44&gt;0),(((R137-1)*MIN((Skills!Y16*(1+Inputs!$B$34/100)),(1/Q137))+MIN((Skills!Y16*(1+Inputs!$B$34/100)),MAX(0,Inputs!$B$44-((R137-1)*(1/Q137)))))/Inputs!$B$44),IF(Inputs!$B$39="pvp",MIN((Skills!Y16*(1+Inputs!$B$34/100)),15)/15,MIN(1,(Skills!Y16*(1+Inputs!$B$34/100))/(1/Q137)))))/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157*I136)</f>
        <v/>
      </c>
      <c r="L136">
        <f>K136*(MIN(Inputs!$B$22+((C146=TRUE)*(F146-Calc!F25)),(Inputs!$B$23+((C151=TRUE)*(F151-Calc!F30))+IF(ArtifactsInput!$M$15,CHOOSE(ArtifactsInput!$N$15+1,25,30,35,40,45,50)/100*(Inputs!$B$11-Inputs!$B$11),0)))/100+(Inputs!$B$23+((C151=TRUE)*(F151-Calc!F30))+IF(ArtifactsInput!$M$15,CHOOSE(ArtifactsInput!$N$15+1,25,30,35,40,45,50)/100*(Inputs!$B$11-Inputs!$B$11),0))/100)/2</f>
        <v/>
      </c>
      <c r="M136">
        <f>L136*(1+(Inputs!$B$10+((C148=TRUE)*(F148-Calc!F27))+B162+(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136">
        <f>L136*(1-MIN((Inputs!$B$9+((C147=TRUE)*(F147-Calc!F26))+B155+(ArtifactsInput!$M$24-ArtifactsInput!$M$24)*CHOOSE(ArtifactsInput!$N$24+1,10,12,14,16,18,20)+(IF(AND(Inputs!$B$39&lt;&gt;"pvp",Inputs!$B$44=0),1,IF(IF(Inputs!$B$39="pvp",15,Inputs!$B$44)-(B166)&lt;=0,1,MAX(0,IF(Inputs!$B$39="pvp",15,Inputs!$B$44)-MAX(5,B166))/(IF(Inputs!$B$39="pvp",15,Inputs!$B$44)-(B166))))*IF(AND(ArtifactsInput!$M$42,((Inputs!$B$9+((C147=TRUE)*(F147-Calc!F26))+B155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136*(MIN((Inputs!$B$9+((C147=TRUE)*(F147-Calc!F26))+B155+(ArtifactsInput!$M$24-ArtifactsInput!$M$24)*CHOOSE(ArtifactsInput!$N$24+1,10,12,14,16,18,20)+(IF(AND(Inputs!$B$39&lt;&gt;"pvp",Inputs!$B$44=0),1,IF(IF(Inputs!$B$39="pvp",15,Inputs!$B$44)-(B166)&lt;=0,1,MAX(0,IF(Inputs!$B$39="pvp",15,Inputs!$B$44)-MAX(5,B166))/(IF(Inputs!$B$39="pvp",15,Inputs!$B$44)-(B166))))*IF(AND(ArtifactsInput!$M$42,((Inputs!$B$9+((C147=TRUE)*(F147-Calc!F26))+B155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36">
        <f>(1-Summary!$B$11)*T136+Summary!$B$11*V136</f>
        <v/>
      </c>
      <c r="P136">
        <f>IF(B167=0,0,O136/B167)</f>
        <v/>
      </c>
      <c r="Q136">
        <f>IFERROR(1/IF(Inputs!$B$39="pvp",15,MAX(0.1,Skills!D15-IF(TRUE=TRUE,Inputs!$B$32,0))),0)</f>
        <v/>
      </c>
      <c r="R136">
        <f>IF(AND(Inputs!$B$39&lt;&gt;"pvp",Inputs!$B$44&gt;0),IF(MAX(0,Inputs!$B$44-B166)&lt;=0,0,(INT(MAX(0,Inputs!$B$44-B166)/IF(Inputs!$B$39="pvp",15,MAX(0.1,Skills!D15-IF(TRUE=TRUE,Inputs!$B$32,0))))+1)),0)</f>
        <v/>
      </c>
      <c r="S136">
        <f>IFERROR(O136/N136,0)</f>
        <v/>
      </c>
      <c r="T136">
        <f>IF(C136,(H136*N136*IF(AND(Inputs!$B$39&lt;&gt;"pvp",Inputs!$B$44&gt;0),((Skills!G15*((R136-1)*IF(Skills!H15&gt;0,Skills!I15/Skills!H15,1)+IF(Skills!H15&gt;0,MIN(Skills!I15,MAX(0,MAX(0,Inputs!$B$44-B166)-((R136-1)*IF(Inputs!$B$39="pvp",15,MAX(0.1,Skills!D15-IF(TRUE=TRUE,Inputs!$B$32,0))))))/Skills!H15,1)))/Inputs!$B$44),G136*Q136))*IF(Inputs!$B$39="pvp",1,1+(Inputs!$B$20+0+Skills!P15+B156+(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Hunt"),CHOOSE(ArtifactsInput!$N$35+1,15,18,21,24,27,30)*(1-EXP(-(0.2*B159)*5)),0)+IF(AND(ArtifactsInput!$M$22,Inputs!$B$4&lt;&gt;"Chapter Hunt"),CHOOSE(ArtifactsInput!$N$22+1,10,12,14,16,18,20)*((0*(((0.15*B159*5))^0/1)+1*(((0.15*B159*5))^1/1)+2*(((0.15*B159*5))^2/2)+3*(((0.15*B159*5))^3/6)+4*(((0.15*B159*5))^4/24)+5*(((0.15*B159*5))^5/120))/((((0.15*B159*5))^0/1)+(((0.15*B159*5))^1/1)+(((0.15*B159*5))^2/2)+(((0.15*B159*5))^3/6)+(((0.15*B159*5))^4/24)+(((0.15*B159*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136*(1-MIN(100,(Inputs!$B$9+((C147=TRUE)*(F147-Calc!F26))+B155+(ArtifactsInput!$M$24-ArtifactsInput!$M$24)*CHOOSE(ArtifactsInput!$N$24+1,10,12,14,16,18,20)+(IF(AND(Inputs!$B$39&lt;&gt;"pvp",Inputs!$B$44=0),1,IF(IF(Inputs!$B$39="pvp",15,Inputs!$B$44)-(B166)&lt;=0,1,MAX(0,IF(Inputs!$B$39="pvp",15,Inputs!$B$44)-MAX(5,B166))/(IF(Inputs!$B$39="pvp",15,Inputs!$B$44)-(B166))))*IF(AND(ArtifactsInput!$M$42,((Inputs!$B$9+((C147=TRUE)*(F147-Calc!F26))+B155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136*(MIN(100,(Inputs!$B$9+((C147=TRUE)*(F147-Calc!F26))+B155+(ArtifactsInput!$M$24-ArtifactsInput!$M$24)*CHOOSE(ArtifactsInput!$N$24+1,10,12,14,16,18,20)+(IF(AND(Inputs!$B$39&lt;&gt;"pvp",Inputs!$B$44=0),1,IF(IF(Inputs!$B$39="pvp",15,Inputs!$B$44)-(B166)&lt;=0,1,MAX(0,IF(Inputs!$B$39="pvp",15,Inputs!$B$44)-MAX(5,B166))/(IF(Inputs!$B$39="pvp",15,Inputs!$B$44)-(B166))))*IF(AND(ArtifactsInput!$M$42,((Inputs!$B$9+((C147=TRUE)*(F147-Calc!F26))+B155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136*(1-MIN(100,(Inputs!$B$9+((C147=TRUE)*(F147-Calc!F26))+B155+(ArtifactsInput!$M$24-ArtifactsInput!$M$24)*CHOOSE(ArtifactsInput!$N$24+1,10,12,14,16,18,20)+(IF(AND(Inputs!$B$39&lt;&gt;"pvp",Inputs!$B$44=0),1,IF(IF(Inputs!$B$39="pvp",15,Inputs!$B$44)-(B166)&lt;=0,1,MAX(0,IF(Inputs!$B$39="pvp",15,Inputs!$B$44)-MAX(5,B166))/(IF(Inputs!$B$39="pvp",15,Inputs!$B$44)-(B166))))*IF(AND(ArtifactsInput!$M$42,((Inputs!$B$9+((C147=TRUE)*(F147-Calc!F26))+B155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136*(MIN(100,(Inputs!$B$9+((C147=TRUE)*(F147-Calc!F26))+B155+(ArtifactsInput!$M$24-ArtifactsInput!$M$24)*CHOOSE(ArtifactsInput!$N$24+1,10,12,14,16,18,20)+(IF(AND(Inputs!$B$39&lt;&gt;"pvp",Inputs!$B$44=0),1,IF(IF(Inputs!$B$39="pvp",15,Inputs!$B$44)-(B166)&lt;=0,1,MAX(0,IF(Inputs!$B$39="pvp",15,Inputs!$B$44)-MAX(5,B166))/(IF(Inputs!$B$39="pvp",15,Inputs!$B$44)-(B166))))*IF(AND(ArtifactsInput!$M$42,((Inputs!$B$9+((C147=TRUE)*(F147-Calc!F26))+B155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136">
        <f>IF(C136,(H136*N136*IF(AND(Inputs!$B$39&lt;&gt;"pvp",Inputs!$B$44&gt;0),((Skills!G15*((R136-1)*IF(Skills!H15&gt;0,Skills!I15/Skills!H15,1)+IF(Skills!H15&gt;0,MIN(Skills!I15,MAX(0,MAX(0,Inputs!$B$44-B166)-((R136-1)*IF(Inputs!$B$39="pvp",15,MAX(0.1,Skills!D15-IF(TRUE=TRUE,Inputs!$B$32,0))))))/Skills!H15,1)))/Inputs!$B$44),G136*Q136))*IF(Inputs!$B$39="pvp",1,(1+(Inputs!$B$21+Skills!Q15+B156+(IF(ArtifactsInput!$M$33,CHOOSE(ArtifactsInput!$N$33+1,30,36,42,48,54,60),0))+(IF(AND(ArtifactsInput!$M$35,Inputs!$B$4&lt;&gt;"Chapter Hunt"),CHOOSE(ArtifactsInput!$N$35+1,15,18,21,24,27,30)*(1-EXP(-(0.2*B159)*5)),0)+IF(AND(ArtifactsInput!$M$22,Inputs!$B$4&lt;&gt;"Chapter Hunt"),CHOOSE(ArtifactsInput!$N$22+1,10,12,14,16,18,20)*((0*(((0.15*B159*5))^0/1)+1*(((0.15*B159*5))^1/1)+2*(((0.15*B159*5))^2/2)+3*(((0.15*B159*5))^3/6)+4*(((0.15*B159*5))^4/24)+5*(((0.15*B159*5))^5/120))/((((0.15*B159*5))^0/1)+(((0.15*B159*5))^1/1)+(((0.15*B159*5))^2/2)+(((0.15*B159*5))^3/6)+(((0.15*B159*5))^4/24)+(((0.15*B159*5))^5/120))),0)))/100)*(MIN(MIN(5,0.5*IF(Inputs!$B$3&gt;=75,0.75,0.5)*B159*(1/Q125))*Skills!V15,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37">
      <c r="A137">
        <f>Skills!A16</f>
        <v/>
      </c>
      <c r="B137">
        <f>Skills!B16</f>
        <v/>
      </c>
      <c r="C137">
        <f>Inputs!$B$3&gt;=110</f>
        <v/>
      </c>
      <c r="D137">
        <f>IF(Skills!C16=1,60+Inputs!$B$25+Inputs!$B$29,IF(Skills!C16=2,90+Inputs!$B$26+Inputs!$B$29,IF(Skills!C16=3,120+Inputs!$B$27+Inputs!$B$29,MAX(0,(Inputs!$B$3-100)*3)+Inputs!$B$28+Inputs!$B$29)))</f>
        <v/>
      </c>
      <c r="E137">
        <f>INDEX(FactorTable!$B$2:$Y$301, MATCH(ROUND(MIN(300,MAX(1,D137)),0), FactorTable!$A$2:$A$301,0), Skills!M16+1)</f>
        <v/>
      </c>
      <c r="F137">
        <f>IF(Skills!N16=TRUE,(Skills!L16/10)*(E137/1000),Skills!L16/10)+Skills!O16</f>
        <v/>
      </c>
      <c r="G137">
        <f>Skills!G16*IF(Skills!H16&gt;0,IF(Inputs!$B$39="pvp",MIN(Skills!I16,15),Skills!I16)/Skills!H16,1)</f>
        <v/>
      </c>
      <c r="H137">
        <f>1-(1-Skills!J16/100)^Skills!K16</f>
        <v/>
      </c>
      <c r="I137" t="inlineStr">
        <is>
          <t>1</t>
        </is>
      </c>
      <c r="J137" t="inlineStr"/>
      <c r="K137" t="inlineStr"/>
      <c r="L137" t="inlineStr"/>
      <c r="M137" t="inlineStr"/>
      <c r="N137" t="inlineStr"/>
      <c r="O137">
        <f>(1-Summary!$B$11)*T137+Summary!$B$11*V137</f>
        <v/>
      </c>
      <c r="P137">
        <f>IF(B167=0,0,O137/B167)</f>
        <v/>
      </c>
      <c r="Q137">
        <f>IFERROR(1/IF(Inputs!$B$39="pvp",15,MAX(0.1,Skills!D16-IF(TRUE=TRUE,Inputs!$B$32,0))),0)</f>
        <v/>
      </c>
      <c r="R137">
        <f>IF(AND(Inputs!$B$39&lt;&gt;"pvp",Inputs!$B$44&gt;0),IF(Inputs!$B$44&lt;=0,0,(INT(Inputs!$B$44/IF(Inputs!$B$39="pvp",15,MAX(0.1,Skills!D16-IF(TRUE=TRUE,Inputs!$B$32,0))))+1)),0)</f>
        <v/>
      </c>
      <c r="S137">
        <f>IFERROR(O137/N137,0)</f>
        <v/>
      </c>
      <c r="T137" t="n">
        <v>0</v>
      </c>
      <c r="V137" t="n">
        <v>0</v>
      </c>
    </row>
    <row r="138">
      <c r="A138">
        <f>Skills!A17</f>
        <v/>
      </c>
      <c r="B138">
        <f>Skills!B17</f>
        <v/>
      </c>
      <c r="C138">
        <f>Inputs!$B$3&gt;=115</f>
        <v/>
      </c>
      <c r="D138">
        <f>IF(Skills!C17=1,60+Inputs!$B$25+Inputs!$B$29,IF(Skills!C17=2,90+Inputs!$B$26+Inputs!$B$29,IF(Skills!C17=3,120+Inputs!$B$27+Inputs!$B$29,MAX(0,(Inputs!$B$3-100)*3)+Inputs!$B$28+Inputs!$B$29)))</f>
        <v/>
      </c>
      <c r="E138">
        <f>INDEX(FactorTable!$B$2:$Y$301, MATCH(ROUND(MIN(300,MAX(1,D138)),0), FactorTable!$A$2:$A$301,0), Skills!M17+1)</f>
        <v/>
      </c>
      <c r="F138">
        <f>IF(Skills!N17=TRUE,(Skills!L17/10)*(E138/1000),Skills!L17/10)+Skills!O17</f>
        <v/>
      </c>
      <c r="G138">
        <f>Skills!G17*IF(Skills!H17&gt;0,IF(Inputs!$B$39="pvp",MIN(Skills!I17,15),Skills!I17)/Skills!H17,1)</f>
        <v/>
      </c>
      <c r="H138">
        <f>1-(1-Skills!J17/100)^Skills!K17</f>
        <v/>
      </c>
      <c r="I138" t="inlineStr">
        <is>
          <t>1</t>
        </is>
      </c>
      <c r="J138">
        <f>((Inputs!$B$6*(1+Inputs!$B$7/100))+(((Inputs!$B$12*(1+(Inputs!$B$13+1)/100))-(Inputs!$B$12*(1+Inputs!$B$13/100)))+0.25*(Inputs!$B$14-Inputs!$B$14))*(1+Inputs!$B$7/100))*(F138/100)</f>
        <v/>
      </c>
      <c r="K138">
        <f>J138*(1+((Inputs!$B$12*(1+(Inputs!$B$13+1)/100))*0.01+Inputs!$B$14*0.0025)/100)*(1+Inputs!$B$15/100)*(1+Inputs!$B$16/100)*(5000/(6000+Inputs!$B$43*(1-(100*(1-(1-Inputs!$B$19/100)*(1-CHOOSE(ArtifactsInput!$N$40+1,5,6,7,8,9,10)/100)^(ArtifactsInput!$M$40-ArtifactsInput!$M$40)))/100)))*(1+(Inputs!$B$24+((C152=TRUE)*(F152-Calc!F31))+((C139=TRUE)*(F139-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17="CRUEL_STAB",Inputs!$B$17+((C149=TRUE)*(F149-Calc!F28))+((IF(AND(Inputs!$B$39&lt;&gt;"pvp",Inputs!$B$44=0),1,IF(IF(Inputs!$B$39="pvp",15,Inputs!$B$44)-(B166)&lt;=0,1,MAX(0,IF(Inputs!$B$39="pvp",15,Inputs!$B$44)-MAX(5,B166))/(IF(Inputs!$B$39="pvp",15,Inputs!$B$44)-(B166))))*(IF(AND(ArtifactsInput!$M$42,((Inputs!$B$9+((C147=TRUE)*(F147-Calc!F26))+B155+(ArtifactsInput!$M$24-ArtifactsInput!$M$24)*CHOOSE(ArtifactsInput!$N$24+1,10,12,14,16,18,20)+IF(ArtifactsInput!$M$10,CHOOSE(ArtifactsInput!$N$10+1,15,18,21,24,27,30)*(IF(Inputs!$B$39="pvp",MIN(15,15)/15,IF(AND(Inputs!$B$39&lt;&gt;"pvp",Inputs!$B$44&gt;0),MIN(15,Inputs!$B$44)/(Inputs!$B$44),0))),0)))&gt;=100),MIN(100,((Inputs!$B$9+((C147=TRUE)*(F147-Calc!F26))+B155+(ArtifactsInput!$M$24-ArtifactsInput!$M$24)*CHOOSE(ArtifactsInput!$N$24+1,10,12,14,16,18,20)+IF(ArtifactsInput!$M$10,CHOOSE(ArtifactsInput!$N$10+1,15,18,21,24,27,30)*(IF(Inputs!$B$39="pvp",MIN(15,15)/15,IF(AND(Inputs!$B$39&lt;&gt;"pvp",Inputs!$B$44&gt;0),MIN(15,Inputs!$B$44)/(Inputs!$B$44),0))),0)))-100),0))*CHOOSE(ArtifactsInput!$N$42+1,0.6,0.72,0.84,0.96,1.08,1.2))),Inputs!$B$18+((C150=TRUE)*(F150-Calc!F29))+(IF(AND(Inputs!$B$39&lt;&gt;"pvp",Inputs!$B$44=0),1,IF(IF(Inputs!$B$39="pvp",15,Inputs!$B$44)-(B166)&lt;=0,1,MAX(0,IF(Inputs!$B$39="pvp",15,Inputs!$B$44)-MAX(5,B166))/(IF(Inputs!$B$39="pvp",15,Inputs!$B$44)-(B166))))*IF(AND(ArtifactsInput!$M$42,((Inputs!$B$9+((C147=TRUE)*(F147-Calc!F26))+B155+(ArtifactsInput!$M$24-ArtifactsInput!$M$24)*CHOOSE(ArtifactsInput!$N$24+1,10,12,14,16,18,20)+IF(ArtifactsInput!$M$10,CHOOSE(ArtifactsInput!$N$10+1,15,18,21,24,27,30)*(IF(Inputs!$B$39="pvp",MIN(15,15)/15,IF(AND(Inputs!$B$39&lt;&gt;"pvp",Inputs!$B$44&gt;0),MIN(15,Inputs!$B$44)/(Inputs!$B$44),0))),0)))&gt;=100),CHOOSE(ArtifactsInput!$N$42+1,40,48,56,64,72,80),0))))/100)*(((1+(((C143=TRUE)*F143*IF(AND(Inputs!$B$39&lt;&gt;"pvp",Inputs!$B$44&gt;0),(((R143-1)*MIN((Skills!Y22*(1+Inputs!$B$34/100)),(1/Q143))+MIN((Skills!Y22*(1+Inputs!$B$34/100)),MAX(0,Inputs!$B$44-((R143-1)*(1/Q143)))))/Inputs!$B$44),IF(Inputs!$B$39="pvp",MIN((Skills!Y22*(1+Inputs!$B$34/100)),15)/15,MIN(1,(Skills!Y22*(1+Inputs!$B$34/100))/(1/Q143)))))+((C124=TRUE)*F124*3)+((C126=TRUE)*F126*(1-EXP(-0.75*B159*5)))+((C145=TRUE)*(F145-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132=TRUE)*F132*IF(AND(Inputs!$B$39&lt;&gt;"pvp",Inputs!$B$44&gt;0),(((R132-1)*MIN((Skills!Y11*(1+Inputs!$B$34/100)),(1/Q132))+MIN((Skills!Y11*(1+Inputs!$B$34/100)),MAX(0,Inputs!$B$44-((R132-1)*(1/Q132)))))/Inputs!$B$44),IF(Inputs!$B$39="pvp",MIN((Skills!Y11*(1+Inputs!$B$34/100)),15)/15,MIN(1,(Skills!Y11*(1+Inputs!$B$34/100))/(1/Q132)))))/100)*(1+((C137=TRUE)*F137*IF(AND(Inputs!$B$39&lt;&gt;"pvp",Inputs!$B$44&gt;0),(((R137-1)*MIN((Skills!Y16*(1+Inputs!$B$34/100)),(1/Q137))+MIN((Skills!Y16*(1+Inputs!$B$34/100)),MAX(0,Inputs!$B$44-((R137-1)*(1/Q137)))))/Inputs!$B$44),IF(Inputs!$B$39="pvp",MIN((Skills!Y16*(1+Inputs!$B$34/100)),15)/15,MIN(1,(Skills!Y16*(1+Inputs!$B$34/100))/(1/Q137)))))/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157*I138)</f>
        <v/>
      </c>
      <c r="L138">
        <f>K138*(MIN(Inputs!$B$22+((C146=TRUE)*(F146-Calc!F25)),(Inputs!$B$23+((C151=TRUE)*(F151-Calc!F30))+IF(ArtifactsInput!$M$15,CHOOSE(ArtifactsInput!$N$15+1,25,30,35,40,45,50)/100*(Inputs!$B$11-Inputs!$B$11),0)))/100+(Inputs!$B$23+((C151=TRUE)*(F151-Calc!F30))+IF(ArtifactsInput!$M$15,CHOOSE(ArtifactsInput!$N$15+1,25,30,35,40,45,50)/100*(Inputs!$B$11-Inputs!$B$11),0))/100)/2</f>
        <v/>
      </c>
      <c r="M138">
        <f>L138*(1+(Inputs!$B$10+((C148=TRUE)*(F148-Calc!F27))+B162+(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138">
        <f>L138*(1-MIN((Inputs!$B$9+((C147=TRUE)*(F147-Calc!F26))+B155+(ArtifactsInput!$M$24-ArtifactsInput!$M$24)*CHOOSE(ArtifactsInput!$N$24+1,10,12,14,16,18,20)+(IF(AND(Inputs!$B$39&lt;&gt;"pvp",Inputs!$B$44=0),1,IF(IF(Inputs!$B$39="pvp",15,Inputs!$B$44)-(B166)&lt;=0,1,MAX(0,IF(Inputs!$B$39="pvp",15,Inputs!$B$44)-MAX(5,B166))/(IF(Inputs!$B$39="pvp",15,Inputs!$B$44)-(B166))))*IF(AND(ArtifactsInput!$M$42,((Inputs!$B$9+((C147=TRUE)*(F147-Calc!F26))+B155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138*(MIN((Inputs!$B$9+((C147=TRUE)*(F147-Calc!F26))+B155+(ArtifactsInput!$M$24-ArtifactsInput!$M$24)*CHOOSE(ArtifactsInput!$N$24+1,10,12,14,16,18,20)+(IF(AND(Inputs!$B$39&lt;&gt;"pvp",Inputs!$B$44=0),1,IF(IF(Inputs!$B$39="pvp",15,Inputs!$B$44)-(B166)&lt;=0,1,MAX(0,IF(Inputs!$B$39="pvp",15,Inputs!$B$44)-MAX(5,B166))/(IF(Inputs!$B$39="pvp",15,Inputs!$B$44)-(B166))))*IF(AND(ArtifactsInput!$M$42,((Inputs!$B$9+((C147=TRUE)*(F147-Calc!F26))+B155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38">
        <f>(1-Summary!$B$11)*T138+Summary!$B$11*V138</f>
        <v/>
      </c>
      <c r="P138">
        <f>IF(B167=0,0,O138/B167)</f>
        <v/>
      </c>
      <c r="Q138" t="n">
        <v>0</v>
      </c>
      <c r="R138" t="n">
        <v>0</v>
      </c>
      <c r="S138">
        <f>IFERROR(O138/N138,0)</f>
        <v/>
      </c>
      <c r="T138">
        <f>IF(C138,(Inputs!$B$38*0.2*N138)*IF(Inputs!$B$39="pvp",1,1+(Inputs!$B$20+0+Skills!P17+B156+(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Hunt"),CHOOSE(ArtifactsInput!$N$35+1,15,18,21,24,27,30)*(1-EXP(-(0.2*B159)*5)),0)+IF(AND(ArtifactsInput!$M$22,Inputs!$B$4&lt;&gt;"Chapter Hunt"),CHOOSE(ArtifactsInput!$N$22+1,10,12,14,16,18,20)*((0*(((0.15*B159*5))^0/1)+1*(((0.15*B159*5))^1/1)+2*(((0.15*B159*5))^2/2)+3*(((0.15*B159*5))^3/6)+4*(((0.15*B159*5))^4/24)+5*(((0.15*B159*5))^5/120))/((((0.15*B159*5))^0/1)+(((0.15*B159*5))^1/1)+(((0.15*B159*5))^2/2)+(((0.15*B159*5))^3/6)+(((0.15*B159*5))^4/24)+(((0.15*B159*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138*(1-MIN(100,(Inputs!$B$9+((C147=TRUE)*(F147-Calc!F26))+B155+(ArtifactsInput!$M$24-ArtifactsInput!$M$24)*CHOOSE(ArtifactsInput!$N$24+1,10,12,14,16,18,20)+(IF(AND(Inputs!$B$39&lt;&gt;"pvp",Inputs!$B$44=0),1,IF(IF(Inputs!$B$39="pvp",15,Inputs!$B$44)-(B166)&lt;=0,1,MAX(0,IF(Inputs!$B$39="pvp",15,Inputs!$B$44)-MAX(5,B166))/(IF(Inputs!$B$39="pvp",15,Inputs!$B$44)-(B166))))*IF(AND(ArtifactsInput!$M$42,((Inputs!$B$9+((C147=TRUE)*(F147-Calc!F26))+B155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138*(MIN(100,(Inputs!$B$9+((C147=TRUE)*(F147-Calc!F26))+B155+(ArtifactsInput!$M$24-ArtifactsInput!$M$24)*CHOOSE(ArtifactsInput!$N$24+1,10,12,14,16,18,20)+(IF(AND(Inputs!$B$39&lt;&gt;"pvp",Inputs!$B$44=0),1,IF(IF(Inputs!$B$39="pvp",15,Inputs!$B$44)-(B166)&lt;=0,1,MAX(0,IF(Inputs!$B$39="pvp",15,Inputs!$B$44)-MAX(5,B166))/(IF(Inputs!$B$39="pvp",15,Inputs!$B$44)-(B166))))*IF(AND(ArtifactsInput!$M$42,((Inputs!$B$9+((C147=TRUE)*(F147-Calc!F26))+B155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138*(1-MIN(100,(Inputs!$B$9+((C147=TRUE)*(F147-Calc!F26))+B155+(ArtifactsInput!$M$24-ArtifactsInput!$M$24)*CHOOSE(ArtifactsInput!$N$24+1,10,12,14,16,18,20)+(IF(AND(Inputs!$B$39&lt;&gt;"pvp",Inputs!$B$44=0),1,IF(IF(Inputs!$B$39="pvp",15,Inputs!$B$44)-(B166)&lt;=0,1,MAX(0,IF(Inputs!$B$39="pvp",15,Inputs!$B$44)-MAX(5,B166))/(IF(Inputs!$B$39="pvp",15,Inputs!$B$44)-(B166))))*IF(AND(ArtifactsInput!$M$42,((Inputs!$B$9+((C147=TRUE)*(F147-Calc!F26))+B155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138*(MIN(100,(Inputs!$B$9+((C147=TRUE)*(F147-Calc!F26))+B155+(ArtifactsInput!$M$24-ArtifactsInput!$M$24)*CHOOSE(ArtifactsInput!$N$24+1,10,12,14,16,18,20)+(IF(AND(Inputs!$B$39&lt;&gt;"pvp",Inputs!$B$44=0),1,IF(IF(Inputs!$B$39="pvp",15,Inputs!$B$44)-(B166)&lt;=0,1,MAX(0,IF(Inputs!$B$39="pvp",15,Inputs!$B$44)-MAX(5,B166))/(IF(Inputs!$B$39="pvp",15,Inputs!$B$44)-(B166))))*IF(AND(ArtifactsInput!$M$42,((Inputs!$B$9+((C147=TRUE)*(F147-Calc!F26))+B155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138">
        <f>IF(C138,(Inputs!$B$38*0.2*N138)*IF(Inputs!$B$39="pvp",1,(1+(Inputs!$B$21+Skills!Q17+B156+(IF(ArtifactsInput!$M$33,CHOOSE(ArtifactsInput!$N$33+1,30,36,42,48,54,60),0))+(IF(AND(ArtifactsInput!$M$35,Inputs!$B$4&lt;&gt;"Chapter Hunt"),CHOOSE(ArtifactsInput!$N$35+1,15,18,21,24,27,30)*(1-EXP(-(0.2*B159)*5)),0)+IF(AND(ArtifactsInput!$M$22,Inputs!$B$4&lt;&gt;"Chapter Hunt"),CHOOSE(ArtifactsInput!$N$22+1,10,12,14,16,18,20)*((0*(((0.15*B159*5))^0/1)+1*(((0.15*B159*5))^1/1)+2*(((0.15*B159*5))^2/2)+3*(((0.15*B159*5))^3/6)+4*(((0.15*B159*5))^4/24)+5*(((0.15*B159*5))^5/120))/((((0.15*B159*5))^0/1)+(((0.15*B159*5))^1/1)+(((0.15*B159*5))^2/2)+(((0.15*B159*5))^3/6)+(((0.15*B159*5))^4/24)+(((0.15*B159*5))^5/120))),0)))/100)*(MIN(Skills!W17,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39">
      <c r="A139">
        <f>Skills!A18</f>
        <v/>
      </c>
      <c r="B139">
        <f>Skills!B18</f>
        <v/>
      </c>
      <c r="C139">
        <f>Inputs!$B$3&gt;=115</f>
        <v/>
      </c>
      <c r="D139">
        <f>IF(Skills!C18=1,60+Inputs!$B$25+Inputs!$B$29,IF(Skills!C18=2,90+Inputs!$B$26+Inputs!$B$29,IF(Skills!C18=3,120+Inputs!$B$27+Inputs!$B$29,MAX(0,(Inputs!$B$3-100)*3)+Inputs!$B$28+Inputs!$B$29)))</f>
        <v/>
      </c>
      <c r="E139">
        <f>INDEX(FactorTable!$B$2:$Y$301, MATCH(ROUND(MIN(300,MAX(1,D139)),0), FactorTable!$A$2:$A$301,0), Skills!M18+1)</f>
        <v/>
      </c>
      <c r="F139">
        <f>IF(Skills!N18=TRUE,(Skills!L18/10)*(E139/1000),Skills!L18/10)+Skills!O18</f>
        <v/>
      </c>
      <c r="G139">
        <f>Skills!G18*IF(Skills!H18&gt;0,IF(Inputs!$B$39="pvp",MIN(Skills!I18,15),Skills!I18)/Skills!H18,1)</f>
        <v/>
      </c>
      <c r="H139">
        <f>1-(1-Skills!J18/100)^Skills!K18</f>
        <v/>
      </c>
      <c r="I139" t="inlineStr">
        <is>
          <t>1</t>
        </is>
      </c>
      <c r="J139" t="inlineStr"/>
      <c r="K139" t="inlineStr"/>
      <c r="L139" t="inlineStr"/>
      <c r="M139" t="inlineStr"/>
      <c r="N139" t="inlineStr"/>
      <c r="O139">
        <f>(1-Summary!$B$11)*T139+Summary!$B$11*V139</f>
        <v/>
      </c>
      <c r="P139">
        <f>IF(B167=0,0,O139/B167)</f>
        <v/>
      </c>
      <c r="Q139" t="n">
        <v>0</v>
      </c>
      <c r="R139" t="n">
        <v>0</v>
      </c>
      <c r="S139">
        <f>IFERROR(O139/N139,0)</f>
        <v/>
      </c>
      <c r="T139" t="n">
        <v>0</v>
      </c>
      <c r="V139" t="n">
        <v>0</v>
      </c>
    </row>
    <row r="140">
      <c r="A140">
        <f>Skills!A19</f>
        <v/>
      </c>
      <c r="B140">
        <f>Skills!B19</f>
        <v/>
      </c>
      <c r="C140">
        <f>Inputs!$B$3&gt;=100</f>
        <v/>
      </c>
      <c r="D140">
        <f>IF(Skills!C19=1,60+Inputs!$B$25+Inputs!$B$29,IF(Skills!C19=2,90+Inputs!$B$26+Inputs!$B$29,IF(Skills!C19=3,120+Inputs!$B$27+Inputs!$B$29,MAX(0,(Inputs!$B$3-100)*3)+Inputs!$B$28+Inputs!$B$29)))</f>
        <v/>
      </c>
      <c r="E140">
        <f>INDEX(FactorTable!$B$2:$Y$301, MATCH(ROUND(MIN(300,MAX(1,D140)),0), FactorTable!$A$2:$A$301,0), Skills!M19+1)</f>
        <v/>
      </c>
      <c r="F140">
        <f>IF(Skills!N19=TRUE,(Skills!L19/10)*(E140/1000),Skills!L19/10)+Skills!O19</f>
        <v/>
      </c>
      <c r="G140">
        <f>Skills!G19*IF(Skills!H19&gt;0,IF(Inputs!$B$39="pvp",MIN(Skills!I19,15),Skills!I19)/Skills!H19,1)</f>
        <v/>
      </c>
      <c r="H140">
        <f>1-(1-Skills!J19/100)^Skills!K19</f>
        <v/>
      </c>
      <c r="I140" t="inlineStr">
        <is>
          <t>1</t>
        </is>
      </c>
      <c r="J140" t="inlineStr"/>
      <c r="K140" t="inlineStr"/>
      <c r="L140" t="inlineStr"/>
      <c r="M140" t="inlineStr"/>
      <c r="N140" t="inlineStr"/>
      <c r="O140">
        <f>(1-Summary!$B$11)*T140+Summary!$B$11*V140</f>
        <v/>
      </c>
      <c r="P140">
        <f>IF(B167=0,0,O140/B167)</f>
        <v/>
      </c>
      <c r="Q140" t="n">
        <v>0</v>
      </c>
      <c r="R140" t="n">
        <v>0</v>
      </c>
      <c r="S140">
        <f>IFERROR(O140/N140,0)</f>
        <v/>
      </c>
      <c r="T140" t="n">
        <v>0</v>
      </c>
      <c r="V140" t="n">
        <v>0</v>
      </c>
    </row>
    <row r="141">
      <c r="A141">
        <f>Skills!A20</f>
        <v/>
      </c>
      <c r="B141">
        <f>Skills!B20</f>
        <v/>
      </c>
      <c r="C141">
        <f>TRUE</f>
        <v/>
      </c>
      <c r="D141">
        <f>IF(Skills!C20=1,60+Inputs!$B$25+Inputs!$B$29,IF(Skills!C20=2,90+Inputs!$B$26+Inputs!$B$29,IF(Skills!C20=3,120+Inputs!$B$27+Inputs!$B$29,MAX(0,(Inputs!$B$3-100)*3)+Inputs!$B$28+Inputs!$B$29)))</f>
        <v/>
      </c>
      <c r="E141">
        <f>INDEX(FactorTable!$B$2:$Y$301, MATCH(ROUND(MIN(300,MAX(1,D141)),0), FactorTable!$A$2:$A$301,0), Skills!M20+1)</f>
        <v/>
      </c>
      <c r="F141">
        <f>IF(Skills!N20=TRUE,(Skills!L20/10)*(E141/1000),Skills!L20/10)+Skills!O20</f>
        <v/>
      </c>
      <c r="G141">
        <f>Skills!G20*IF(Skills!H20&gt;0,IF(Inputs!$B$39="pvp",MIN(Skills!I20,15),Skills!I20)/Skills!H20,1)</f>
        <v/>
      </c>
      <c r="H141">
        <f>1-(1-Skills!J20/100)^Skills!K20</f>
        <v/>
      </c>
      <c r="I141" t="inlineStr">
        <is>
          <t>1</t>
        </is>
      </c>
      <c r="J141" t="inlineStr"/>
      <c r="K141" t="inlineStr"/>
      <c r="L141" t="inlineStr"/>
      <c r="M141" t="inlineStr"/>
      <c r="N141" t="inlineStr"/>
      <c r="O141">
        <f>(1-Summary!$B$11)*T141+Summary!$B$11*V141</f>
        <v/>
      </c>
      <c r="P141">
        <f>IF(B167=0,0,O141/B167)</f>
        <v/>
      </c>
      <c r="Q141">
        <f>IFERROR(1/IF(Inputs!$B$39="pvp",15,MAX(0.1,Skills!D20-IF(TRUE=TRUE,Inputs!$B$32,0))),0)</f>
        <v/>
      </c>
      <c r="R141">
        <f>IF(AND(Inputs!$B$39&lt;&gt;"pvp",Inputs!$B$44&gt;0),IF(Inputs!$B$44&lt;=0,0,(INT(Inputs!$B$44/IF(Inputs!$B$39="pvp",15,MAX(0.1,Skills!D20-IF(TRUE=TRUE,Inputs!$B$32,0))))+1)),0)</f>
        <v/>
      </c>
      <c r="S141">
        <f>IFERROR(O141/N141,0)</f>
        <v/>
      </c>
      <c r="T141" t="n">
        <v>0</v>
      </c>
      <c r="V141" t="n">
        <v>0</v>
      </c>
    </row>
    <row r="142">
      <c r="A142">
        <f>Skills!A21</f>
        <v/>
      </c>
      <c r="B142">
        <f>Skills!B21</f>
        <v/>
      </c>
      <c r="C142">
        <f>Inputs!$B$3&gt;=15</f>
        <v/>
      </c>
      <c r="D142">
        <f>IF(Skills!C21=1,60+Inputs!$B$25+Inputs!$B$29,IF(Skills!C21=2,90+Inputs!$B$26+Inputs!$B$29,IF(Skills!C21=3,120+Inputs!$B$27+Inputs!$B$29,MAX(0,(Inputs!$B$3-100)*3)+Inputs!$B$28+Inputs!$B$29)))</f>
        <v/>
      </c>
      <c r="E142">
        <f>INDEX(FactorTable!$B$2:$Y$301, MATCH(ROUND(MIN(300,MAX(1,D142)),0), FactorTable!$A$2:$A$301,0), Skills!M21+1)</f>
        <v/>
      </c>
      <c r="F142">
        <f>IF(Skills!N21=TRUE,(Skills!L21/10)*(E142/1000),Skills!L21/10)+Skills!O21</f>
        <v/>
      </c>
      <c r="G142">
        <f>Skills!G21*IF(Skills!H21&gt;0,IF(Inputs!$B$39="pvp",MIN(Skills!I21,15),Skills!I21)/Skills!H21,1)</f>
        <v/>
      </c>
      <c r="H142">
        <f>1-(1-Skills!J21/100)^Skills!K21</f>
        <v/>
      </c>
      <c r="I142" t="inlineStr">
        <is>
          <t>1</t>
        </is>
      </c>
      <c r="J142" t="inlineStr"/>
      <c r="K142" t="inlineStr"/>
      <c r="L142" t="inlineStr"/>
      <c r="M142" t="inlineStr"/>
      <c r="N142" t="inlineStr"/>
      <c r="O142">
        <f>(1-Summary!$B$11)*T142+Summary!$B$11*V142</f>
        <v/>
      </c>
      <c r="P142">
        <f>IF(B167=0,0,O142/B167)</f>
        <v/>
      </c>
      <c r="Q142">
        <f>IFERROR(1/IF(Inputs!$B$39="pvp",15,MAX(0.1,Skills!D21-IF(TRUE=TRUE,Inputs!$B$32,0))),0)</f>
        <v/>
      </c>
      <c r="R142">
        <f>IF(AND(Inputs!$B$39&lt;&gt;"pvp",Inputs!$B$44&gt;0),IF(Inputs!$B$44&lt;=0,0,(INT(Inputs!$B$44/IF(Inputs!$B$39="pvp",15,MAX(0.1,Skills!D21-IF(TRUE=TRUE,Inputs!$B$32,0))))+1)),0)</f>
        <v/>
      </c>
      <c r="S142">
        <f>IFERROR(O142/N142,0)</f>
        <v/>
      </c>
      <c r="T142" t="n">
        <v>0</v>
      </c>
      <c r="V142" t="n">
        <v>0</v>
      </c>
    </row>
    <row r="143">
      <c r="A143">
        <f>Skills!A22</f>
        <v/>
      </c>
      <c r="B143">
        <f>Skills!B22</f>
        <v/>
      </c>
      <c r="C143">
        <f>Inputs!$B$3&gt;=15</f>
        <v/>
      </c>
      <c r="D143">
        <f>IF(Skills!C22=1,60+Inputs!$B$25+Inputs!$B$29,IF(Skills!C22=2,90+Inputs!$B$26+Inputs!$B$29,IF(Skills!C22=3,120+Inputs!$B$27+Inputs!$B$29,MAX(0,(Inputs!$B$3-100)*3)+Inputs!$B$28+Inputs!$B$29)))</f>
        <v/>
      </c>
      <c r="E143">
        <f>INDEX(FactorTable!$B$2:$Y$301, MATCH(ROUND(MIN(300,MAX(1,D143)),0), FactorTable!$A$2:$A$301,0), Skills!M22+1)</f>
        <v/>
      </c>
      <c r="F143">
        <f>IF(Skills!N22=TRUE,(Skills!L22/10)*(E143/1000),Skills!L22/10)+Skills!O22</f>
        <v/>
      </c>
      <c r="G143">
        <f>Skills!G22*IF(Skills!H22&gt;0,IF(Inputs!$B$39="pvp",MIN(Skills!I22,15),Skills!I22)/Skills!H22,1)</f>
        <v/>
      </c>
      <c r="H143">
        <f>1-(1-Skills!J22/100)^Skills!K22</f>
        <v/>
      </c>
      <c r="I143" t="inlineStr">
        <is>
          <t>1</t>
        </is>
      </c>
      <c r="J143" t="inlineStr"/>
      <c r="K143" t="inlineStr"/>
      <c r="L143" t="inlineStr"/>
      <c r="M143" t="inlineStr"/>
      <c r="N143" t="inlineStr"/>
      <c r="O143">
        <f>(1-Summary!$B$11)*T143+Summary!$B$11*V143</f>
        <v/>
      </c>
      <c r="P143">
        <f>IF(B167=0,0,O143/B167)</f>
        <v/>
      </c>
      <c r="Q143">
        <f>IFERROR(1/IF(Inputs!$B$39="pvp",15,MAX(0.1,Skills!D22-IF(TRUE=TRUE,Inputs!$B$32,0))),0)</f>
        <v/>
      </c>
      <c r="R143">
        <f>IF(AND(Inputs!$B$39&lt;&gt;"pvp",Inputs!$B$44&gt;0),IF(Inputs!$B$44&lt;=0,0,(INT(Inputs!$B$44/IF(Inputs!$B$39="pvp",15,MAX(0.1,Skills!D22-IF(TRUE=TRUE,Inputs!$B$32,0))))+1)),0)</f>
        <v/>
      </c>
      <c r="S143">
        <f>IFERROR(O143/N143,0)</f>
        <v/>
      </c>
      <c r="T143" t="n">
        <v>0</v>
      </c>
      <c r="V143" t="n">
        <v>0</v>
      </c>
    </row>
    <row r="144">
      <c r="A144">
        <f>Skills!A23</f>
        <v/>
      </c>
      <c r="B144">
        <f>Skills!B23</f>
        <v/>
      </c>
      <c r="C144">
        <f>Inputs!$B$3&gt;=33</f>
        <v/>
      </c>
      <c r="D144">
        <f>IF(Skills!C23=1,60+Inputs!$B$25+Inputs!$B$29,IF(Skills!C23=2,90+Inputs!$B$26+Inputs!$B$29,IF(Skills!C23=3,120+Inputs!$B$27+Inputs!$B$29,MAX(0,(Inputs!$B$3-100)*3)+Inputs!$B$28+Inputs!$B$29)))</f>
        <v/>
      </c>
      <c r="E144">
        <f>INDEX(FactorTable!$B$2:$Y$301, MATCH(ROUND(MIN(300,MAX(1,D144)),0), FactorTable!$A$2:$A$301,0), Skills!M23+1)</f>
        <v/>
      </c>
      <c r="F144">
        <f>IF(Skills!N23=TRUE,(Skills!L23/10)*(E144/1000),Skills!L23/10)+Skills!O23</f>
        <v/>
      </c>
      <c r="G144">
        <f>Skills!G23*IF(Skills!H23&gt;0,IF(Inputs!$B$39="pvp",MIN(Skills!I23,15),Skills!I23)/Skills!H23,1)</f>
        <v/>
      </c>
      <c r="H144">
        <f>1-(1-Skills!J23/100)^Skills!K23</f>
        <v/>
      </c>
      <c r="I144" t="inlineStr">
        <is>
          <t>1</t>
        </is>
      </c>
      <c r="J144" t="inlineStr"/>
      <c r="K144" t="inlineStr"/>
      <c r="L144" t="inlineStr"/>
      <c r="M144" t="inlineStr"/>
      <c r="N144" t="inlineStr"/>
      <c r="O144">
        <f>(1-Summary!$B$11)*T144+Summary!$B$11*V144</f>
        <v/>
      </c>
      <c r="P144">
        <f>IF(B167=0,0,O144/B167)</f>
        <v/>
      </c>
      <c r="Q144" t="n">
        <v>0</v>
      </c>
      <c r="R144" t="n">
        <v>0</v>
      </c>
      <c r="S144">
        <f>IFERROR(O144/N144,0)</f>
        <v/>
      </c>
      <c r="T144" t="n">
        <v>0</v>
      </c>
      <c r="V144" t="n">
        <v>0</v>
      </c>
    </row>
    <row r="145">
      <c r="A145">
        <f>Skills!A24</f>
        <v/>
      </c>
      <c r="B145">
        <f>Skills!B24</f>
        <v/>
      </c>
      <c r="C145">
        <f>Inputs!$B$3&gt;=40</f>
        <v/>
      </c>
      <c r="D145">
        <f>IF(Skills!C24=1,60+Inputs!$B$25+Inputs!$B$29,IF(Skills!C24=2,90+Inputs!$B$26+Inputs!$B$29,IF(Skills!C24=3,120+Inputs!$B$27+Inputs!$B$29,MAX(0,(Inputs!$B$3-100)*3)+Inputs!$B$28+Inputs!$B$29)))</f>
        <v/>
      </c>
      <c r="E145">
        <f>INDEX(FactorTable!$B$2:$Y$301, MATCH(ROUND(MIN(300,MAX(1,D145)),0), FactorTable!$A$2:$A$301,0), Skills!M24+1)</f>
        <v/>
      </c>
      <c r="F145">
        <f>IF(Skills!N24=TRUE,(Skills!L24/10)*(E145/1000),Skills!L24/10)+Skills!O24</f>
        <v/>
      </c>
      <c r="G145">
        <f>Skills!G24*IF(Skills!H24&gt;0,IF(Inputs!$B$39="pvp",MIN(Skills!I24,15),Skills!I24)/Skills!H24,1)</f>
        <v/>
      </c>
      <c r="H145">
        <f>1-(1-Skills!J24/100)^Skills!K24</f>
        <v/>
      </c>
      <c r="I145" t="inlineStr">
        <is>
          <t>1</t>
        </is>
      </c>
      <c r="J145" t="inlineStr"/>
      <c r="K145" t="inlineStr"/>
      <c r="L145" t="inlineStr"/>
      <c r="M145" t="inlineStr"/>
      <c r="N145" t="inlineStr"/>
      <c r="O145">
        <f>(1-Summary!$B$11)*T145+Summary!$B$11*V145</f>
        <v/>
      </c>
      <c r="P145">
        <f>IF(B167=0,0,O145/B167)</f>
        <v/>
      </c>
      <c r="Q145" t="n">
        <v>0</v>
      </c>
      <c r="R145" t="n">
        <v>0</v>
      </c>
      <c r="S145">
        <f>IFERROR(O145/N145,0)</f>
        <v/>
      </c>
      <c r="T145" t="n">
        <v>0</v>
      </c>
      <c r="V145" t="n">
        <v>0</v>
      </c>
    </row>
    <row r="146">
      <c r="A146">
        <f>Skills!A25</f>
        <v/>
      </c>
      <c r="B146">
        <f>Skills!B25</f>
        <v/>
      </c>
      <c r="C146">
        <f>Inputs!$B$3&gt;=43</f>
        <v/>
      </c>
      <c r="D146">
        <f>IF(Skills!C25=1,60+Inputs!$B$25+Inputs!$B$29,IF(Skills!C25=2,90+Inputs!$B$26+Inputs!$B$29,IF(Skills!C25=3,120+Inputs!$B$27+Inputs!$B$29,MAX(0,(Inputs!$B$3-100)*3)+Inputs!$B$28+Inputs!$B$29)))</f>
        <v/>
      </c>
      <c r="E146">
        <f>INDEX(FactorTable!$B$2:$Y$301, MATCH(ROUND(MIN(300,MAX(1,D146)),0), FactorTable!$A$2:$A$301,0), Skills!M25+1)</f>
        <v/>
      </c>
      <c r="F146">
        <f>IF(Skills!N25=TRUE,(Skills!L25/10)*(E146/1000),Skills!L25/10)+Skills!O25</f>
        <v/>
      </c>
      <c r="G146">
        <f>Skills!G25*IF(Skills!H25&gt;0,IF(Inputs!$B$39="pvp",MIN(Skills!I25,15),Skills!I25)/Skills!H25,1)</f>
        <v/>
      </c>
      <c r="H146">
        <f>1-(1-Skills!J25/100)^Skills!K25</f>
        <v/>
      </c>
      <c r="I146" t="inlineStr">
        <is>
          <t>1</t>
        </is>
      </c>
      <c r="J146" t="inlineStr"/>
      <c r="K146" t="inlineStr"/>
      <c r="L146" t="inlineStr"/>
      <c r="M146" t="inlineStr"/>
      <c r="N146" t="inlineStr"/>
      <c r="O146">
        <f>(1-Summary!$B$11)*T146+Summary!$B$11*V146</f>
        <v/>
      </c>
      <c r="P146">
        <f>IF(B167=0,0,O146/B167)</f>
        <v/>
      </c>
      <c r="Q146" t="n">
        <v>0</v>
      </c>
      <c r="R146" t="n">
        <v>0</v>
      </c>
      <c r="S146">
        <f>IFERROR(O146/N146,0)</f>
        <v/>
      </c>
      <c r="T146" t="n">
        <v>0</v>
      </c>
      <c r="V146" t="n">
        <v>0</v>
      </c>
    </row>
    <row r="147">
      <c r="A147">
        <f>Skills!A26</f>
        <v/>
      </c>
      <c r="B147">
        <f>Skills!B26</f>
        <v/>
      </c>
      <c r="C147">
        <f>Inputs!$B$3&gt;=50</f>
        <v/>
      </c>
      <c r="D147">
        <f>IF(Skills!C26=1,60+Inputs!$B$25+Inputs!$B$29,IF(Skills!C26=2,90+Inputs!$B$26+Inputs!$B$29,IF(Skills!C26=3,120+Inputs!$B$27+Inputs!$B$29,MAX(0,(Inputs!$B$3-100)*3)+Inputs!$B$28+Inputs!$B$29)))</f>
        <v/>
      </c>
      <c r="E147">
        <f>INDEX(FactorTable!$B$2:$Y$301, MATCH(ROUND(MIN(300,MAX(1,D147)),0), FactorTable!$A$2:$A$301,0), Skills!M26+1)</f>
        <v/>
      </c>
      <c r="F147">
        <f>IF(Skills!N26=TRUE,(Skills!L26/10)*(E147/1000),Skills!L26/10)+Skills!O26</f>
        <v/>
      </c>
      <c r="G147">
        <f>Skills!G26*IF(Skills!H26&gt;0,IF(Inputs!$B$39="pvp",MIN(Skills!I26,15),Skills!I26)/Skills!H26,1)</f>
        <v/>
      </c>
      <c r="H147">
        <f>1-(1-Skills!J26/100)^Skills!K26</f>
        <v/>
      </c>
      <c r="I147" t="inlineStr">
        <is>
          <t>1</t>
        </is>
      </c>
      <c r="J147" t="inlineStr"/>
      <c r="K147" t="inlineStr"/>
      <c r="L147" t="inlineStr"/>
      <c r="M147" t="inlineStr"/>
      <c r="N147" t="inlineStr"/>
      <c r="O147">
        <f>(1-Summary!$B$11)*T147+Summary!$B$11*V147</f>
        <v/>
      </c>
      <c r="P147">
        <f>IF(B167=0,0,O147/B167)</f>
        <v/>
      </c>
      <c r="Q147" t="n">
        <v>0</v>
      </c>
      <c r="R147" t="n">
        <v>0</v>
      </c>
      <c r="S147">
        <f>IFERROR(O147/N147,0)</f>
        <v/>
      </c>
      <c r="T147" t="n">
        <v>0</v>
      </c>
      <c r="V147" t="n">
        <v>0</v>
      </c>
    </row>
    <row r="148">
      <c r="A148">
        <f>Skills!A27</f>
        <v/>
      </c>
      <c r="B148">
        <f>Skills!B27</f>
        <v/>
      </c>
      <c r="C148">
        <f>Inputs!$B$3&gt;=50</f>
        <v/>
      </c>
      <c r="D148">
        <f>IF(Skills!C27=1,60+Inputs!$B$25+Inputs!$B$29,IF(Skills!C27=2,90+Inputs!$B$26+Inputs!$B$29,IF(Skills!C27=3,120+Inputs!$B$27+Inputs!$B$29,MAX(0,(Inputs!$B$3-100)*3)+Inputs!$B$28+Inputs!$B$29)))</f>
        <v/>
      </c>
      <c r="E148">
        <f>INDEX(FactorTable!$B$2:$Y$301, MATCH(ROUND(MIN(300,MAX(1,D148)),0), FactorTable!$A$2:$A$301,0), Skills!M27+1)</f>
        <v/>
      </c>
      <c r="F148">
        <f>IF(Skills!N27=TRUE,(Skills!L27/10)*(E148/1000),Skills!L27/10)+Skills!O27</f>
        <v/>
      </c>
      <c r="G148">
        <f>Skills!G27*IF(Skills!H27&gt;0,IF(Inputs!$B$39="pvp",MIN(Skills!I27,15),Skills!I27)/Skills!H27,1)</f>
        <v/>
      </c>
      <c r="H148">
        <f>1-(1-Skills!J27/100)^Skills!K27</f>
        <v/>
      </c>
      <c r="I148" t="inlineStr">
        <is>
          <t>1</t>
        </is>
      </c>
      <c r="J148" t="inlineStr"/>
      <c r="K148" t="inlineStr"/>
      <c r="L148" t="inlineStr"/>
      <c r="M148" t="inlineStr"/>
      <c r="N148" t="inlineStr"/>
      <c r="O148">
        <f>(1-Summary!$B$11)*T148+Summary!$B$11*V148</f>
        <v/>
      </c>
      <c r="P148">
        <f>IF(B167=0,0,O148/B167)</f>
        <v/>
      </c>
      <c r="Q148" t="n">
        <v>0</v>
      </c>
      <c r="R148" t="n">
        <v>0</v>
      </c>
      <c r="S148">
        <f>IFERROR(O148/N148,0)</f>
        <v/>
      </c>
      <c r="T148" t="n">
        <v>0</v>
      </c>
      <c r="V148" t="n">
        <v>0</v>
      </c>
    </row>
    <row r="149">
      <c r="A149">
        <f>Skills!A28</f>
        <v/>
      </c>
      <c r="B149">
        <f>Skills!B28</f>
        <v/>
      </c>
      <c r="C149">
        <f>Inputs!$B$3&gt;=38</f>
        <v/>
      </c>
      <c r="D149">
        <f>IF(Skills!C28=1,60+Inputs!$B$25+Inputs!$B$29,IF(Skills!C28=2,90+Inputs!$B$26+Inputs!$B$29,IF(Skills!C28=3,120+Inputs!$B$27+Inputs!$B$29,MAX(0,(Inputs!$B$3-100)*3)+Inputs!$B$28+Inputs!$B$29)))</f>
        <v/>
      </c>
      <c r="E149">
        <f>INDEX(FactorTable!$B$2:$Y$301, MATCH(ROUND(MIN(300,MAX(1,D149)),0), FactorTable!$A$2:$A$301,0), Skills!M28+1)</f>
        <v/>
      </c>
      <c r="F149">
        <f>IF(Skills!N28=TRUE,(Skills!L28/10)*(E149/1000),Skills!L28/10)+Skills!O28</f>
        <v/>
      </c>
      <c r="G149">
        <f>Skills!G28*IF(Skills!H28&gt;0,IF(Inputs!$B$39="pvp",MIN(Skills!I28,15),Skills!I28)/Skills!H28,1)</f>
        <v/>
      </c>
      <c r="H149">
        <f>1-(1-Skills!J28/100)^Skills!K28</f>
        <v/>
      </c>
      <c r="I149" t="inlineStr">
        <is>
          <t>1</t>
        </is>
      </c>
      <c r="J149" t="inlineStr"/>
      <c r="K149" t="inlineStr"/>
      <c r="L149" t="inlineStr"/>
      <c r="M149" t="inlineStr"/>
      <c r="N149" t="inlineStr"/>
      <c r="O149">
        <f>(1-Summary!$B$11)*T149+Summary!$B$11*V149</f>
        <v/>
      </c>
      <c r="P149">
        <f>IF(B167=0,0,O149/B167)</f>
        <v/>
      </c>
      <c r="Q149" t="n">
        <v>0</v>
      </c>
      <c r="R149" t="n">
        <v>0</v>
      </c>
      <c r="S149">
        <f>IFERROR(O149/N149,0)</f>
        <v/>
      </c>
      <c r="T149" t="n">
        <v>0</v>
      </c>
      <c r="V149" t="n">
        <v>0</v>
      </c>
    </row>
    <row r="150">
      <c r="A150">
        <f>Skills!A29</f>
        <v/>
      </c>
      <c r="B150">
        <f>Skills!B29</f>
        <v/>
      </c>
      <c r="C150">
        <f>Inputs!$B$3&gt;=120</f>
        <v/>
      </c>
      <c r="D150">
        <f>IF(Skills!C29=1,60+Inputs!$B$25+Inputs!$B$29,IF(Skills!C29=2,90+Inputs!$B$26+Inputs!$B$29,IF(Skills!C29=3,120+Inputs!$B$27+Inputs!$B$29,MAX(0,(Inputs!$B$3-100)*3)+Inputs!$B$28+Inputs!$B$29)))</f>
        <v/>
      </c>
      <c r="E150">
        <f>INDEX(FactorTable!$B$2:$Y$301, MATCH(ROUND(MIN(300,MAX(1,D150)),0), FactorTable!$A$2:$A$301,0), Skills!M29+1)</f>
        <v/>
      </c>
      <c r="F150">
        <f>IF(Skills!N29=TRUE,(Skills!L29/10)*(E150/1000),Skills!L29/10)+Skills!O29</f>
        <v/>
      </c>
      <c r="G150">
        <f>Skills!G29*IF(Skills!H29&gt;0,IF(Inputs!$B$39="pvp",MIN(Skills!I29,15),Skills!I29)/Skills!H29,1)</f>
        <v/>
      </c>
      <c r="H150">
        <f>1-(1-Skills!J29/100)^Skills!K29</f>
        <v/>
      </c>
      <c r="I150" t="inlineStr">
        <is>
          <t>1</t>
        </is>
      </c>
      <c r="J150" t="inlineStr"/>
      <c r="K150" t="inlineStr"/>
      <c r="L150" t="inlineStr"/>
      <c r="M150" t="inlineStr"/>
      <c r="N150" t="inlineStr"/>
      <c r="O150">
        <f>(1-Summary!$B$11)*T150+Summary!$B$11*V150</f>
        <v/>
      </c>
      <c r="P150">
        <f>IF(B167=0,0,O150/B167)</f>
        <v/>
      </c>
      <c r="Q150" t="n">
        <v>0</v>
      </c>
      <c r="R150" t="n">
        <v>0</v>
      </c>
      <c r="S150">
        <f>IFERROR(O150/N150,0)</f>
        <v/>
      </c>
      <c r="T150" t="n">
        <v>0</v>
      </c>
      <c r="V150" t="n">
        <v>0</v>
      </c>
    </row>
    <row r="151">
      <c r="A151">
        <f>Skills!A30</f>
        <v/>
      </c>
      <c r="B151">
        <f>Skills!B30</f>
        <v/>
      </c>
      <c r="C151">
        <f>Inputs!$B$3&gt;=120</f>
        <v/>
      </c>
      <c r="D151">
        <f>IF(Skills!C30=1,60+Inputs!$B$25+Inputs!$B$29,IF(Skills!C30=2,90+Inputs!$B$26+Inputs!$B$29,IF(Skills!C30=3,120+Inputs!$B$27+Inputs!$B$29,MAX(0,(Inputs!$B$3-100)*3)+Inputs!$B$28+Inputs!$B$29)))</f>
        <v/>
      </c>
      <c r="E151">
        <f>INDEX(FactorTable!$B$2:$Y$301, MATCH(ROUND(MIN(300,MAX(1,D151)),0), FactorTable!$A$2:$A$301,0), Skills!M30+1)</f>
        <v/>
      </c>
      <c r="F151">
        <f>IF(Skills!N30=TRUE,(Skills!L30/10)*(E151/1000),Skills!L30/10)+Skills!O30</f>
        <v/>
      </c>
      <c r="G151">
        <f>Skills!G30*IF(Skills!H30&gt;0,IF(Inputs!$B$39="pvp",MIN(Skills!I30,15),Skills!I30)/Skills!H30,1)</f>
        <v/>
      </c>
      <c r="H151">
        <f>1-(1-Skills!J30/100)^Skills!K30</f>
        <v/>
      </c>
      <c r="I151" t="inlineStr">
        <is>
          <t>1</t>
        </is>
      </c>
      <c r="J151" t="inlineStr"/>
      <c r="K151" t="inlineStr"/>
      <c r="L151" t="inlineStr"/>
      <c r="M151" t="inlineStr"/>
      <c r="N151" t="inlineStr"/>
      <c r="O151">
        <f>(1-Summary!$B$11)*T151+Summary!$B$11*V151</f>
        <v/>
      </c>
      <c r="P151">
        <f>IF(B167=0,0,O151/B167)</f>
        <v/>
      </c>
      <c r="Q151" t="n">
        <v>0</v>
      </c>
      <c r="R151" t="n">
        <v>0</v>
      </c>
      <c r="S151">
        <f>IFERROR(O151/N151,0)</f>
        <v/>
      </c>
      <c r="T151" t="n">
        <v>0</v>
      </c>
      <c r="V151" t="n">
        <v>0</v>
      </c>
    </row>
    <row r="152">
      <c r="A152">
        <f>Skills!A31</f>
        <v/>
      </c>
      <c r="B152">
        <f>Skills!B31</f>
        <v/>
      </c>
      <c r="C152">
        <f>Inputs!$B$3&gt;=125</f>
        <v/>
      </c>
      <c r="D152">
        <f>IF(Skills!C31=1,60+Inputs!$B$25+Inputs!$B$29,IF(Skills!C31=2,90+Inputs!$B$26+Inputs!$B$29,IF(Skills!C31=3,120+Inputs!$B$27+Inputs!$B$29,MAX(0,(Inputs!$B$3-100)*3)+Inputs!$B$28+Inputs!$B$29)))</f>
        <v/>
      </c>
      <c r="E152">
        <f>INDEX(FactorTable!$B$2:$Y$301, MATCH(ROUND(MIN(300,MAX(1,D152)),0), FactorTable!$A$2:$A$301,0), Skills!M31+1)</f>
        <v/>
      </c>
      <c r="F152">
        <f>IF(Skills!N31=TRUE,(Skills!L31/10)*(E152/1000),Skills!L31/10)+Skills!O31</f>
        <v/>
      </c>
      <c r="G152">
        <f>Skills!G31*IF(Skills!H31&gt;0,IF(Inputs!$B$39="pvp",MIN(Skills!I31,15),Skills!I31)/Skills!H31,1)</f>
        <v/>
      </c>
      <c r="H152">
        <f>1-(1-Skills!J31/100)^Skills!K31</f>
        <v/>
      </c>
      <c r="I152" t="inlineStr">
        <is>
          <t>1</t>
        </is>
      </c>
      <c r="J152" t="inlineStr"/>
      <c r="K152" t="inlineStr"/>
      <c r="L152" t="inlineStr"/>
      <c r="M152" t="inlineStr"/>
      <c r="N152" t="inlineStr"/>
      <c r="O152">
        <f>(1-Summary!$B$11)*T152+Summary!$B$11*V152</f>
        <v/>
      </c>
      <c r="P152">
        <f>IF(B167=0,0,O152/B167)</f>
        <v/>
      </c>
      <c r="Q152" t="n">
        <v>0</v>
      </c>
      <c r="R152" t="n">
        <v>0</v>
      </c>
      <c r="S152">
        <f>IFERROR(O152/N152,0)</f>
        <v/>
      </c>
      <c r="T152" t="n">
        <v>0</v>
      </c>
      <c r="V152" t="n">
        <v>0</v>
      </c>
    </row>
    <row r="154">
      <c r="A154" t="inlineStr">
        <is>
          <t>Average Buff Multiplier</t>
        </is>
      </c>
      <c r="B154">
        <f>(1+(((C143=TRUE)*F143*IF(AND(Inputs!$B$39&lt;&gt;"pvp",Inputs!$B$44&gt;0),(((R143-1)*MIN((Skills!Y22*(1+Inputs!$B$34/100)),(1/Q143))+MIN((Skills!Y22*(1+Inputs!$B$34/100)),MAX(0,Inputs!$B$44-((R143-1)*(1/Q143)))))/Inputs!$B$44),IF(Inputs!$B$39="pvp",MIN((Skills!Y22*(1+Inputs!$B$34/100)),15)/15,MIN(1,(Skills!Y22*(1+Inputs!$B$34/100))/(1/Q143)))))+((C124=TRUE)*F124*3)+((C126=TRUE)*F126*(1-EXP(-0.75*B159*5)))+((C145=TRUE)*(F145-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132=TRUE)*F132*IF(AND(Inputs!$B$39&lt;&gt;"pvp",Inputs!$B$44&gt;0),(((R132-1)*MIN((Skills!Y11*(1+Inputs!$B$34/100)),(1/Q132))+MIN((Skills!Y11*(1+Inputs!$B$34/100)),MAX(0,Inputs!$B$44-((R132-1)*(1/Q132)))))/Inputs!$B$44),IF(Inputs!$B$39="pvp",MIN((Skills!Y11*(1+Inputs!$B$34/100)),15)/15,MIN(1,(Skills!Y11*(1+Inputs!$B$34/100))/(1/Q132)))))/100)*(1+((C137=TRUE)*F137*IF(AND(Inputs!$B$39&lt;&gt;"pvp",Inputs!$B$44&gt;0),(((R137-1)*MIN((Skills!Y16*(1+Inputs!$B$34/100)),(1/Q137))+MIN((Skills!Y16*(1+Inputs!$B$34/100)),MAX(0,Inputs!$B$44-((R137-1)*(1/Q137)))))/Inputs!$B$44),IF(Inputs!$B$39="pvp",MIN((Skills!Y16*(1+Inputs!$B$34/100)),15)/15,MIN(1,(Skills!Y16*(1+Inputs!$B$34/100))/(1/Q137)))))/100)</f>
        <v/>
      </c>
    </row>
    <row r="155">
      <c r="A155" t="inlineStr">
        <is>
          <t>Global Crit Rate Bonus %</t>
        </is>
      </c>
      <c r="B155">
        <f>((C142=TRUE)*F142*IF(AND(Inputs!$B$39&lt;&gt;"pvp",Inputs!$B$44&gt;0),(((R142-1)*MIN((Skills!Y21*(1+Inputs!$B$34/100)),(1/Q142))+MIN((Skills!Y21*(1+Inputs!$B$34/100)),MAX(0,Inputs!$B$44-((R142-1)*(1/Q142)))))/Inputs!$B$44),IF(Inputs!$B$39="pvp",MIN((Skills!Y21*(1+Inputs!$B$34/100)),15)/15,MIN(1,(Skills!Y21*(1+Inputs!$B$34/100))/(1/Q142)))))</f>
        <v/>
      </c>
    </row>
    <row r="156">
      <c r="A156" t="inlineStr">
        <is>
          <t>Global Monster Damage-Taken Bonus %</t>
        </is>
      </c>
      <c r="B156">
        <f>IF(Inputs!$B$3&gt;=82,15,0)</f>
        <v/>
      </c>
    </row>
    <row r="157">
      <c r="A157" t="inlineStr">
        <is>
          <t>Shadow Partner Average Multiplier</t>
        </is>
      </c>
      <c r="B157">
        <f>1+((C129=TRUE)*F129*(1+3.3333333333333335*IF(C140=TRUE,F140,0)/100)*I129*Skills!J8/100)/100</f>
        <v/>
      </c>
    </row>
    <row r="158">
      <c r="A158" t="inlineStr">
        <is>
          <t>Attack Speed Buff Bonus %</t>
        </is>
      </c>
      <c r="B158">
        <f>((C141=TRUE)*F141*IF(AND(Inputs!$B$39&lt;&gt;"pvp",Inputs!$B$44&gt;0),(((R141-1)*MIN((Skills!Y20*(1+Inputs!$B$34/100)),(1/Q141))+MIN((Skills!Y20*(1+Inputs!$B$34/100)),MAX(0,Inputs!$B$44-((R141-1)*(1/Q141)))))/Inputs!$B$44),IF(Inputs!$B$39="pvp",MIN((Skills!Y20*(1+Inputs!$B$34/100)),15)/15,MIN(1,(Skills!Y20*(1+Inputs!$B$34/100))/(1/Q141)))))</f>
        <v/>
      </c>
    </row>
    <row r="159">
      <c r="A159" t="inlineStr">
        <is>
          <t>Actions Per Second</t>
        </is>
      </c>
      <c r="B159">
        <f>1+MIN(150,150*(1-(1-(Inputs!$B$11+((C144=TRUE)*(F144-Calc!F23)))/150)*(1-B158/150)))/100</f>
        <v/>
      </c>
    </row>
    <row r="160">
      <c r="A160" t="inlineStr">
        <is>
          <t>Skill + Buff Cast Rate</t>
        </is>
      </c>
      <c r="B160">
        <f>IF(AND(Inputs!$B$39&lt;&gt;"pvp",Inputs!$B$44&gt;0),SUMPRODUCT((Skills!E2:E31=TRUE)*(C123:C152=TRUE)*R123:R152*Skills!F2:F31)/Inputs!$B$44,SUMPRODUCT((Skills!E2:E31=TRUE)*(C123:C152=TRUE)*Q123:Q152*Skills!F2:F31))</f>
        <v/>
      </c>
    </row>
    <row r="161">
      <c r="A161" t="inlineStr">
        <is>
          <t>Cruel Stab Casts Per Second</t>
        </is>
      </c>
      <c r="B161">
        <f>MAX(0,B159-B160)</f>
        <v/>
      </c>
    </row>
    <row r="162">
      <c r="A162" t="inlineStr">
        <is>
          <t>Global Critical Damage Bonus % (Smokescreen Mastery Lv.113)</t>
        </is>
      </c>
      <c r="B162">
        <f>IF(Inputs!$B$3&gt;=113,30,0)*IF(AND(Inputs!$B$39&lt;&gt;"pvp",Inputs!$B$44&gt;0),(((R137-1)*MIN((Skills!Y16*(1+Inputs!$B$34/100)),(1/Q137))+MIN((Skills!Y16*(1+Inputs!$B$34/100)),MAX(0,Inputs!$B$44-((R137-1)*(1/Q137)))))/Inputs!$B$44),IF(Inputs!$B$39="pvp",MIN((Skills!Y16*(1+Inputs!$B$34/100)),15)/15,MIN(1,(Skills!Y16*(1+Inputs!$B$34/100))/(1/Q137))))</f>
        <v/>
      </c>
    </row>
    <row r="163">
      <c r="A163" t="inlineStr">
        <is>
          <t>Meso Explosion average stack count</t>
        </is>
      </c>
      <c r="B163">
        <f>MIN(10,IF(Inputs!$B$3&gt;=75,0.75,0.5)*B159*(1/Q125))</f>
        <v/>
      </c>
    </row>
    <row r="164">
      <c r="A164" t="inlineStr">
        <is>
          <t>Blood Money average stack count</t>
        </is>
      </c>
      <c r="B164">
        <f>MIN(5,0.5*IF(Inputs!$B$3&gt;=75,0.75,0.5)*B159*(1/Q125))</f>
        <v/>
      </c>
    </row>
    <row r="165">
      <c r="A165" t="inlineStr">
        <is>
          <t>Assassinate Murderous Intent Multiplier</t>
        </is>
      </c>
      <c r="B165">
        <f>1+IFERROR(MIN(1,Q136*2/Q133),0)</f>
        <v/>
      </c>
    </row>
    <row r="166">
      <c r="A166" t="inlineStr">
        <is>
          <t>Buff-Casting Startup Delay (s, fixed-duration only)</t>
        </is>
      </c>
      <c r="B166">
        <f>IF(AND(Inputs!$B$39&lt;&gt;"pvp",Inputs!$B$44&gt;0),SUMPRODUCT((Skills!Y2:Y31&gt;0)*(Skills!E2:E31=TRUE)*(C123:C152=TRUE))/B159,0)</f>
        <v/>
      </c>
    </row>
    <row r="167">
      <c r="A167" s="6" t="inlineStr">
        <is>
          <t>TOTAL DPS</t>
        </is>
      </c>
      <c r="B167" s="6">
        <f>SUM(O123:O152)</f>
        <v/>
      </c>
    </row>
    <row r="168">
      <c r="A168" t="inlineStr">
        <is>
          <t>Boss-Only Total DPS (this block's swept value)</t>
        </is>
      </c>
      <c r="B168">
        <f>SUM(T123:T152)</f>
        <v/>
      </c>
    </row>
    <row r="169">
      <c r="A169" t="inlineStr">
        <is>
          <t>Normal-Only Total DPS (this block's swept value)</t>
        </is>
      </c>
      <c r="B169">
        <f>SUM(V123:V152)</f>
        <v/>
      </c>
    </row>
    <row r="172">
      <c r="A172" s="6" t="inlineStr">
        <is>
          <t>Stat: DEX</t>
        </is>
      </c>
    </row>
    <row r="173">
      <c r="A173" s="5" t="inlineStr">
        <is>
          <t>Key</t>
        </is>
      </c>
      <c r="B173" s="5" t="inlineStr">
        <is>
          <t>Name</t>
        </is>
      </c>
      <c r="C173" s="5" t="inlineStr">
        <is>
          <t>Unlocked</t>
        </is>
      </c>
      <c r="D173" s="5" t="inlineStr">
        <is>
          <t>InputLevel</t>
        </is>
      </c>
      <c r="E173" s="5" t="inlineStr">
        <is>
          <t>Factor</t>
        </is>
      </c>
      <c r="F173" s="5" t="inlineStr">
        <is>
          <t>CoefficientPercent</t>
        </is>
      </c>
      <c r="G173" s="5" t="inlineStr">
        <is>
          <t>EffectiveHits</t>
        </is>
      </c>
      <c r="H173" s="5" t="inlineStr">
        <is>
          <t>ProcProbability</t>
        </is>
      </c>
      <c r="I173" s="5" t="inlineStr">
        <is>
          <t>MapleHeroMultiplier</t>
        </is>
      </c>
      <c r="J173" s="5" t="inlineStr">
        <is>
          <t>BaseDamage</t>
        </is>
      </c>
      <c r="K173" s="5" t="inlineStr">
        <is>
          <t>BaseHitDamage</t>
        </is>
      </c>
      <c r="L173" s="5" t="inlineStr">
        <is>
          <t>NonCritAvg</t>
        </is>
      </c>
      <c r="M173" s="5" t="inlineStr">
        <is>
          <t>CritAvg</t>
        </is>
      </c>
      <c r="N173" s="5" t="inlineStr">
        <is>
          <t>ExpectedDamage(perHit)</t>
        </is>
      </c>
      <c r="O173" s="5" t="inlineStr">
        <is>
          <t>DPS</t>
        </is>
      </c>
      <c r="P173" s="5" t="inlineStr">
        <is>
          <t>% of Total</t>
        </is>
      </c>
      <c r="Q173" s="5" t="inlineStr">
        <is>
          <t>InvCooldown</t>
        </is>
      </c>
      <c r="R173" s="5" t="inlineStr">
        <is>
          <t>CastsInFight</t>
        </is>
      </c>
      <c r="S173" s="5" t="inlineStr">
        <is>
          <t>HitRate(perSec)</t>
        </is>
      </c>
      <c r="U173" t="inlineStr">
        <is>
          <t>helpers</t>
        </is>
      </c>
    </row>
    <row r="174">
      <c r="A174">
        <f>Skills!A2</f>
        <v/>
      </c>
      <c r="B174">
        <f>Skills!B2</f>
        <v/>
      </c>
      <c r="C174">
        <f>Inputs!$B$3&gt;=100</f>
        <v/>
      </c>
      <c r="D174" t="inlineStr"/>
      <c r="E174" t="inlineStr"/>
      <c r="F174">
        <f>U176+Skills!O2</f>
        <v/>
      </c>
      <c r="G174">
        <f>Skills!G2*IF(Skills!H2&gt;0,IF(Inputs!$B$39="pvp",MIN(Skills!I2,15),Skills!I2)/Skills!H2,1)</f>
        <v/>
      </c>
      <c r="H174">
        <f>1-(1-Skills!J2/100)^Skills!K2</f>
        <v/>
      </c>
      <c r="I174" t="inlineStr">
        <is>
          <t>1</t>
        </is>
      </c>
      <c r="J174">
        <f>((Inputs!$B$6*(1+Inputs!$B$7/100))+(((Inputs!$B$12*(1+Inputs!$B$13/100))-(Inputs!$B$12*(1+Inputs!$B$13/100)))+0.25*((Inputs!$B$14+1)-Inputs!$B$14))*(1+Inputs!$B$7/100))*(F174/100)</f>
        <v/>
      </c>
      <c r="K174">
        <f>J174*(1+((Inputs!$B$12*(1+Inputs!$B$13/100))*0.01+(Inputs!$B$14+1)*0.0025)/100)*(1+Inputs!$B$15/100)*(1+Inputs!$B$16/100)*(5000/(6000+Inputs!$B$43*(1-(100*(1-(1-Inputs!$B$19/100)*(1-CHOOSE(ArtifactsInput!$N$40+1,5,6,7,8,9,10)/100)^(ArtifactsInput!$M$40-ArtifactsInput!$M$40)))/100)))*(1+(Inputs!$B$24+((C203=TRUE)*(F203-Calc!F31))+((C190=TRUE)*(F190-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CRUEL_STAB",Inputs!$B$17+((C200=TRUE)*(F200-Calc!F28))+((IF(AND(Inputs!$B$39&lt;&gt;"pvp",Inputs!$B$44=0),1,IF(IF(Inputs!$B$39="pvp",15,Inputs!$B$44)-(B217)&lt;=0,1,MAX(0,IF(Inputs!$B$39="pvp",15,Inputs!$B$44)-MAX(5,B217))/(IF(Inputs!$B$39="pvp",15,Inputs!$B$44)-(B217))))*(IF(AND(ArtifactsInput!$M$42,((Inputs!$B$9+((C198=TRUE)*(F198-Calc!F26))+B206+(ArtifactsInput!$M$24-ArtifactsInput!$M$24)*CHOOSE(ArtifactsInput!$N$24+1,10,12,14,16,18,20)+IF(ArtifactsInput!$M$10,CHOOSE(ArtifactsInput!$N$10+1,15,18,21,24,27,30)*(IF(Inputs!$B$39="pvp",MIN(15,15)/15,IF(AND(Inputs!$B$39&lt;&gt;"pvp",Inputs!$B$44&gt;0),MIN(15,Inputs!$B$44)/(Inputs!$B$44),0))),0)))&gt;=100),MIN(100,((Inputs!$B$9+((C198=TRUE)*(F198-Calc!F26))+B206+(ArtifactsInput!$M$24-ArtifactsInput!$M$24)*CHOOSE(ArtifactsInput!$N$24+1,10,12,14,16,18,20)+IF(ArtifactsInput!$M$10,CHOOSE(ArtifactsInput!$N$10+1,15,18,21,24,27,30)*(IF(Inputs!$B$39="pvp",MIN(15,15)/15,IF(AND(Inputs!$B$39&lt;&gt;"pvp",Inputs!$B$44&gt;0),MIN(15,Inputs!$B$44)/(Inputs!$B$44),0))),0)))-100),0))*CHOOSE(ArtifactsInput!$N$42+1,0.6,0.72,0.84,0.96,1.08,1.2))),Inputs!$B$18+((C201=TRUE)*(F201-Calc!F29))+(IF(AND(Inputs!$B$39&lt;&gt;"pvp",Inputs!$B$44=0),1,IF(IF(Inputs!$B$39="pvp",15,Inputs!$B$44)-(B217)&lt;=0,1,MAX(0,IF(Inputs!$B$39="pvp",15,Inputs!$B$44)-MAX(5,B217))/(IF(Inputs!$B$39="pvp",15,Inputs!$B$44)-(B217))))*IF(AND(ArtifactsInput!$M$42,((Inputs!$B$9+((C198=TRUE)*(F198-Calc!F26))+B206+(ArtifactsInput!$M$24-ArtifactsInput!$M$24)*CHOOSE(ArtifactsInput!$N$24+1,10,12,14,16,18,20)+IF(ArtifactsInput!$M$10,CHOOSE(ArtifactsInput!$N$10+1,15,18,21,24,27,30)*(IF(Inputs!$B$39="pvp",MIN(15,15)/15,IF(AND(Inputs!$B$39&lt;&gt;"pvp",Inputs!$B$44&gt;0),MIN(15,Inputs!$B$44)/(Inputs!$B$44),0))),0)))&gt;=100),CHOOSE(ArtifactsInput!$N$42+1,40,48,56,64,72,80),0))))/100)*(((1+(((C194=TRUE)*F194*IF(AND(Inputs!$B$39&lt;&gt;"pvp",Inputs!$B$44&gt;0),(((R194-1)*MIN((Skills!Y22*(1+Inputs!$B$34/100)),(1/Q194))+MIN((Skills!Y22*(1+Inputs!$B$34/100)),MAX(0,Inputs!$B$44-((R194-1)*(1/Q194)))))/Inputs!$B$44),IF(Inputs!$B$39="pvp",MIN((Skills!Y22*(1+Inputs!$B$34/100)),15)/15,MIN(1,(Skills!Y22*(1+Inputs!$B$34/100))/(1/Q194)))))+((C175=TRUE)*F175*3)+((C177=TRUE)*F177*(1-EXP(-0.75*B210*5)))+((C196=TRUE)*(F196-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183=TRUE)*F183*IF(AND(Inputs!$B$39&lt;&gt;"pvp",Inputs!$B$44&gt;0),(((R183-1)*MIN((Skills!Y11*(1+Inputs!$B$34/100)),(1/Q183))+MIN((Skills!Y11*(1+Inputs!$B$34/100)),MAX(0,Inputs!$B$44-((R183-1)*(1/Q183)))))/Inputs!$B$44),IF(Inputs!$B$39="pvp",MIN((Skills!Y11*(1+Inputs!$B$34/100)),15)/15,MIN(1,(Skills!Y11*(1+Inputs!$B$34/100))/(1/Q183)))))/100)*(1+((C188=TRUE)*F188*IF(AND(Inputs!$B$39&lt;&gt;"pvp",Inputs!$B$44&gt;0),(((R188-1)*MIN((Skills!Y16*(1+Inputs!$B$34/100)),(1/Q188))+MIN((Skills!Y16*(1+Inputs!$B$34/100)),MAX(0,Inputs!$B$44-((R188-1)*(1/Q188)))))/Inputs!$B$44),IF(Inputs!$B$39="pvp",MIN((Skills!Y16*(1+Inputs!$B$34/100)),15)/15,MIN(1,(Skills!Y16*(1+Inputs!$B$34/100))/(1/Q188)))))/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208*I174)</f>
        <v/>
      </c>
      <c r="L174">
        <f>K174*(MIN(Inputs!$B$22+((C197=TRUE)*(F197-Calc!F25)),(Inputs!$B$23+((C202=TRUE)*(F202-Calc!F30))+IF(ArtifactsInput!$M$15,CHOOSE(ArtifactsInput!$N$15+1,25,30,35,40,45,50)/100*(Inputs!$B$11-Inputs!$B$11),0)))/100+(Inputs!$B$23+((C202=TRUE)*(F202-Calc!F30))+IF(ArtifactsInput!$M$15,CHOOSE(ArtifactsInput!$N$15+1,25,30,35,40,45,50)/100*(Inputs!$B$11-Inputs!$B$11),0))/100)/2</f>
        <v/>
      </c>
      <c r="M174">
        <f>L174*(1+(Inputs!$B$10+((C199=TRUE)*(F199-Calc!F27))+B213+(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174">
        <f>L174*(1-MIN((Inputs!$B$9+((C198=TRUE)*(F198-Calc!F26))+B206+(ArtifactsInput!$M$24-ArtifactsInput!$M$24)*CHOOSE(ArtifactsInput!$N$24+1,10,12,14,16,18,20)+(IF(AND(Inputs!$B$39&lt;&gt;"pvp",Inputs!$B$44=0),1,IF(IF(Inputs!$B$39="pvp",15,Inputs!$B$44)-(B217)&lt;=0,1,MAX(0,IF(Inputs!$B$39="pvp",15,Inputs!$B$44)-MAX(5,B217))/(IF(Inputs!$B$39="pvp",15,Inputs!$B$44)-(B217))))*IF(AND(ArtifactsInput!$M$42,((Inputs!$B$9+((C198=TRUE)*(F198-Calc!F26))+B206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174*(MIN((Inputs!$B$9+((C198=TRUE)*(F198-Calc!F26))+B206+(ArtifactsInput!$M$24-ArtifactsInput!$M$24)*CHOOSE(ArtifactsInput!$N$24+1,10,12,14,16,18,20)+(IF(AND(Inputs!$B$39&lt;&gt;"pvp",Inputs!$B$44=0),1,IF(IF(Inputs!$B$39="pvp",15,Inputs!$B$44)-(B217)&lt;=0,1,MAX(0,IF(Inputs!$B$39="pvp",15,Inputs!$B$44)-MAX(5,B217))/(IF(Inputs!$B$39="pvp",15,Inputs!$B$44)-(B217))))*IF(AND(ArtifactsInput!$M$42,((Inputs!$B$9+((C198=TRUE)*(F198-Calc!F26))+B206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74">
        <f>(1-Summary!$B$11)*T174+Summary!$B$11*V174</f>
        <v/>
      </c>
      <c r="P174">
        <f>IF(B218=0,0,O174/B218)</f>
        <v/>
      </c>
      <c r="Q174" t="n">
        <v>0</v>
      </c>
      <c r="R174" t="n">
        <v>0</v>
      </c>
      <c r="S174">
        <f>IFERROR(O174/N174,0)</f>
        <v/>
      </c>
      <c r="T174">
        <f>IF(C174,(Skills!G2*N174*B212)*IF(Inputs!$B$39="pvp",1,1+(Inputs!$B$20+0+Skills!P2+B207+(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Hunt"),CHOOSE(ArtifactsInput!$N$35+1,15,18,21,24,27,30)*(1-EXP(-(0.2*B210)*5)),0)+IF(AND(ArtifactsInput!$M$22,Inputs!$B$4&lt;&gt;"Chapter Hunt"),CHOOSE(ArtifactsInput!$N$22+1,10,12,14,16,18,20)*((0*(((0.15*B210*5))^0/1)+1*(((0.15*B210*5))^1/1)+2*(((0.15*B210*5))^2/2)+3*(((0.15*B210*5))^3/6)+4*(((0.15*B210*5))^4/24)+5*(((0.15*B210*5))^5/120))/((((0.15*B210*5))^0/1)+(((0.15*B210*5))^1/1)+(((0.15*B210*5))^2/2)+(((0.15*B210*5))^3/6)+(((0.15*B210*5))^4/24)+(((0.15*B210*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174*(1-MIN(100,(Inputs!$B$9+((C198=TRUE)*(F198-Calc!F26))+B206+(ArtifactsInput!$M$24-ArtifactsInput!$M$24)*CHOOSE(ArtifactsInput!$N$24+1,10,12,14,16,18,20)+(IF(AND(Inputs!$B$39&lt;&gt;"pvp",Inputs!$B$44=0),1,IF(IF(Inputs!$B$39="pvp",15,Inputs!$B$44)-(B217)&lt;=0,1,MAX(0,IF(Inputs!$B$39="pvp",15,Inputs!$B$44)-MAX(5,B217))/(IF(Inputs!$B$39="pvp",15,Inputs!$B$44)-(B217))))*IF(AND(ArtifactsInput!$M$42,((Inputs!$B$9+((C198=TRUE)*(F198-Calc!F26))+B206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174*(MIN(100,(Inputs!$B$9+((C198=TRUE)*(F198-Calc!F26))+B206+(ArtifactsInput!$M$24-ArtifactsInput!$M$24)*CHOOSE(ArtifactsInput!$N$24+1,10,12,14,16,18,20)+(IF(AND(Inputs!$B$39&lt;&gt;"pvp",Inputs!$B$44=0),1,IF(IF(Inputs!$B$39="pvp",15,Inputs!$B$44)-(B217)&lt;=0,1,MAX(0,IF(Inputs!$B$39="pvp",15,Inputs!$B$44)-MAX(5,B217))/(IF(Inputs!$B$39="pvp",15,Inputs!$B$44)-(B217))))*IF(AND(ArtifactsInput!$M$42,((Inputs!$B$9+((C198=TRUE)*(F198-Calc!F26))+B206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174*(1-MIN(100,(Inputs!$B$9+((C198=TRUE)*(F198-Calc!F26))+B206+(ArtifactsInput!$M$24-ArtifactsInput!$M$24)*CHOOSE(ArtifactsInput!$N$24+1,10,12,14,16,18,20)+(IF(AND(Inputs!$B$39&lt;&gt;"pvp",Inputs!$B$44=0),1,IF(IF(Inputs!$B$39="pvp",15,Inputs!$B$44)-(B217)&lt;=0,1,MAX(0,IF(Inputs!$B$39="pvp",15,Inputs!$B$44)-MAX(5,B217))/(IF(Inputs!$B$39="pvp",15,Inputs!$B$44)-(B217))))*IF(AND(ArtifactsInput!$M$42,((Inputs!$B$9+((C198=TRUE)*(F198-Calc!F26))+B206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174*(MIN(100,(Inputs!$B$9+((C198=TRUE)*(F198-Calc!F26))+B206+(ArtifactsInput!$M$24-ArtifactsInput!$M$24)*CHOOSE(ArtifactsInput!$N$24+1,10,12,14,16,18,20)+(IF(AND(Inputs!$B$39&lt;&gt;"pvp",Inputs!$B$44=0),1,IF(IF(Inputs!$B$39="pvp",15,Inputs!$B$44)-(B217)&lt;=0,1,MAX(0,IF(Inputs!$B$39="pvp",15,Inputs!$B$44)-MAX(5,B217))/(IF(Inputs!$B$39="pvp",15,Inputs!$B$44)-(B217))))*IF(AND(ArtifactsInput!$M$42,((Inputs!$B$9+((C198=TRUE)*(F198-Calc!F26))+B206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174">
        <f>MAX(0,(Inputs!$B$3-100)*3)+Inputs!$B$28+Inputs!$B$29</f>
        <v/>
      </c>
      <c r="V174">
        <f>IF(C174,(Skills!G2*N174*B212)*IF(Inputs!$B$39="pvp",1,(1+(Inputs!$B$21+Skills!Q2+B207+(IF(ArtifactsInput!$M$33,CHOOSE(ArtifactsInput!$N$33+1,30,36,42,48,54,60),0))+(IF(AND(ArtifactsInput!$M$35,Inputs!$B$4&lt;&gt;"Chapter Hunt"),CHOOSE(ArtifactsInput!$N$35+1,15,18,21,24,27,30)*(1-EXP(-(0.2*B210)*5)),0)+IF(AND(ArtifactsInput!$M$22,Inputs!$B$4&lt;&gt;"Chapter Hunt"),CHOOSE(ArtifactsInput!$N$22+1,10,12,14,16,18,20)*((0*(((0.15*B210*5))^0/1)+1*(((0.15*B210*5))^1/1)+2*(((0.15*B210*5))^2/2)+3*(((0.15*B210*5))^3/6)+4*(((0.15*B210*5))^4/24)+5*(((0.15*B210*5))^5/120))/((((0.15*B210*5))^0/1)+(((0.15*B210*5))^1/1)+(((0.15*B210*5))^2/2)+(((0.15*B210*5))^3/6)+(((0.15*B210*5))^4/24)+(((0.15*B210*5))^5/120))),0)))/100)*(MIN((6+Inputs!$B$33),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75">
      <c r="A175">
        <f>Skills!A3</f>
        <v/>
      </c>
      <c r="B175">
        <f>Skills!B3</f>
        <v/>
      </c>
      <c r="C175">
        <f>Inputs!$B$3&gt;=35</f>
        <v/>
      </c>
      <c r="D175">
        <f>IF(Skills!C3=1,60+Inputs!$B$25+Inputs!$B$29,IF(Skills!C3=2,90+Inputs!$B$26+Inputs!$B$29,IF(Skills!C3=3,120+Inputs!$B$27+Inputs!$B$29,MAX(0,(Inputs!$B$3-100)*3)+Inputs!$B$28+Inputs!$B$29)))</f>
        <v/>
      </c>
      <c r="E175">
        <f>INDEX(FactorTable!$B$2:$Y$301, MATCH(ROUND(MIN(300,MAX(1,D175)),0), FactorTable!$A$2:$A$301,0), Skills!M3+1)</f>
        <v/>
      </c>
      <c r="F175">
        <f>IF(Skills!N3=TRUE,(Skills!L3/10)*(E175/1000),Skills!L3/10)+Skills!O3</f>
        <v/>
      </c>
      <c r="G175">
        <f>Skills!G3*IF(Skills!H3&gt;0,IF(Inputs!$B$39="pvp",MIN(Skills!I3,15),Skills!I3)/Skills!H3,1)</f>
        <v/>
      </c>
      <c r="H175">
        <f>1-(1-Skills!J3/100)^Skills!K3</f>
        <v/>
      </c>
      <c r="I175" t="inlineStr">
        <is>
          <t>1</t>
        </is>
      </c>
      <c r="J175" t="inlineStr"/>
      <c r="K175" t="inlineStr"/>
      <c r="L175" t="inlineStr"/>
      <c r="M175" t="inlineStr"/>
      <c r="N175" t="inlineStr"/>
      <c r="O175">
        <f>(1-Summary!$B$11)*T175+Summary!$B$11*V175</f>
        <v/>
      </c>
      <c r="P175">
        <f>IF(B218=0,0,O175/B218)</f>
        <v/>
      </c>
      <c r="Q175" t="n">
        <v>0</v>
      </c>
      <c r="R175" t="n">
        <v>0</v>
      </c>
      <c r="S175">
        <f>IFERROR(O175/N175,0)</f>
        <v/>
      </c>
      <c r="T175" t="n">
        <v>0</v>
      </c>
      <c r="U175">
        <f>INDEX(FactorTable!$B$2:$Y$301, MATCH(ROUND(MIN(300,MAX(1,U174)),0), FactorTable!$A$2:$A$301,0), 22)</f>
        <v/>
      </c>
      <c r="V175" t="n">
        <v>0</v>
      </c>
    </row>
    <row r="176">
      <c r="A176">
        <f>Skills!A4</f>
        <v/>
      </c>
      <c r="B176">
        <f>Skills!B4</f>
        <v/>
      </c>
      <c r="C176">
        <f>Inputs!$B$3&gt;=66</f>
        <v/>
      </c>
      <c r="D176">
        <f>IF(Skills!C4=1,60+Inputs!$B$25+Inputs!$B$29,IF(Skills!C4=2,90+Inputs!$B$26+Inputs!$B$29,IF(Skills!C4=3,120+Inputs!$B$27+Inputs!$B$29,MAX(0,(Inputs!$B$3-100)*3)+Inputs!$B$28+Inputs!$B$29)))</f>
        <v/>
      </c>
      <c r="E176">
        <f>INDEX(FactorTable!$B$2:$Y$301, MATCH(ROUND(MIN(300,MAX(1,D176)),0), FactorTable!$A$2:$A$301,0), Skills!M4+1)</f>
        <v/>
      </c>
      <c r="F176">
        <f>IF(Skills!N4=TRUE,(Skills!L4/10)*(E176/1000),Skills!L4/10)+Skills!O4</f>
        <v/>
      </c>
      <c r="G176">
        <f>Skills!G4*IF(Skills!H4&gt;0,IF(Inputs!$B$39="pvp",MIN(Skills!I4,15),Skills!I4)/Skills!H4,1)</f>
        <v/>
      </c>
      <c r="H176">
        <f>1-(1-Skills!J4/100)^Skills!K4</f>
        <v/>
      </c>
      <c r="I176" t="inlineStr">
        <is>
          <t>1</t>
        </is>
      </c>
      <c r="J176">
        <f>((Inputs!$B$6*(1+Inputs!$B$7/100))+(((Inputs!$B$12*(1+Inputs!$B$13/100))-(Inputs!$B$12*(1+Inputs!$B$13/100)))+0.25*((Inputs!$B$14+1)-Inputs!$B$14))*(1+Inputs!$B$7/100))*(F176/100)</f>
        <v/>
      </c>
      <c r="K176">
        <f>J176*(1+((Inputs!$B$12*(1+Inputs!$B$13/100))*0.01+(Inputs!$B$14+1)*0.0025)/100)*(1+Inputs!$B$15/100)*(1+Inputs!$B$16/100)*(5000/(6000+Inputs!$B$43*(1-(100*(1-(1-Inputs!$B$19/100)*(1-CHOOSE(ArtifactsInput!$N$40+1,5,6,7,8,9,10)/100)^(ArtifactsInput!$M$40-ArtifactsInput!$M$40)))/100)))*(1+(Inputs!$B$24+((C203=TRUE)*(F203-Calc!F31))+((C190=TRUE)*(F190-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4="CRUEL_STAB",Inputs!$B$17+((C200=TRUE)*(F200-Calc!F28))+((IF(AND(Inputs!$B$39&lt;&gt;"pvp",Inputs!$B$44=0),1,IF(IF(Inputs!$B$39="pvp",15,Inputs!$B$44)-(B217)&lt;=0,1,MAX(0,IF(Inputs!$B$39="pvp",15,Inputs!$B$44)-MAX(5,B217))/(IF(Inputs!$B$39="pvp",15,Inputs!$B$44)-(B217))))*(IF(AND(ArtifactsInput!$M$42,((Inputs!$B$9+((C198=TRUE)*(F198-Calc!F26))+B206+(ArtifactsInput!$M$24-ArtifactsInput!$M$24)*CHOOSE(ArtifactsInput!$N$24+1,10,12,14,16,18,20)+IF(ArtifactsInput!$M$10,CHOOSE(ArtifactsInput!$N$10+1,15,18,21,24,27,30)*(IF(Inputs!$B$39="pvp",MIN(15,15)/15,IF(AND(Inputs!$B$39&lt;&gt;"pvp",Inputs!$B$44&gt;0),MIN(15,Inputs!$B$44)/(Inputs!$B$44),0))),0)))&gt;=100),MIN(100,((Inputs!$B$9+((C198=TRUE)*(F198-Calc!F26))+B206+(ArtifactsInput!$M$24-ArtifactsInput!$M$24)*CHOOSE(ArtifactsInput!$N$24+1,10,12,14,16,18,20)+IF(ArtifactsInput!$M$10,CHOOSE(ArtifactsInput!$N$10+1,15,18,21,24,27,30)*(IF(Inputs!$B$39="pvp",MIN(15,15)/15,IF(AND(Inputs!$B$39&lt;&gt;"pvp",Inputs!$B$44&gt;0),MIN(15,Inputs!$B$44)/(Inputs!$B$44),0))),0)))-100),0))*CHOOSE(ArtifactsInput!$N$42+1,0.6,0.72,0.84,0.96,1.08,1.2))),Inputs!$B$18+((C201=TRUE)*(F201-Calc!F29))+(IF(AND(Inputs!$B$39&lt;&gt;"pvp",Inputs!$B$44=0),1,IF(IF(Inputs!$B$39="pvp",15,Inputs!$B$44)-(B217)&lt;=0,1,MAX(0,IF(Inputs!$B$39="pvp",15,Inputs!$B$44)-MAX(5,B217))/(IF(Inputs!$B$39="pvp",15,Inputs!$B$44)-(B217))))*IF(AND(ArtifactsInput!$M$42,((Inputs!$B$9+((C198=TRUE)*(F198-Calc!F26))+B206+(ArtifactsInput!$M$24-ArtifactsInput!$M$24)*CHOOSE(ArtifactsInput!$N$24+1,10,12,14,16,18,20)+IF(ArtifactsInput!$M$10,CHOOSE(ArtifactsInput!$N$10+1,15,18,21,24,27,30)*(IF(Inputs!$B$39="pvp",MIN(15,15)/15,IF(AND(Inputs!$B$39&lt;&gt;"pvp",Inputs!$B$44&gt;0),MIN(15,Inputs!$B$44)/(Inputs!$B$44),0))),0)))&gt;=100),CHOOSE(ArtifactsInput!$N$42+1,40,48,56,64,72,80),0))))/100)*(((1+(((C194=TRUE)*F194*IF(AND(Inputs!$B$39&lt;&gt;"pvp",Inputs!$B$44&gt;0),(((R194-1)*MIN((Skills!Y22*(1+Inputs!$B$34/100)),(1/Q194))+MIN((Skills!Y22*(1+Inputs!$B$34/100)),MAX(0,Inputs!$B$44-((R194-1)*(1/Q194)))))/Inputs!$B$44),IF(Inputs!$B$39="pvp",MIN((Skills!Y22*(1+Inputs!$B$34/100)),15)/15,MIN(1,(Skills!Y22*(1+Inputs!$B$34/100))/(1/Q194)))))+((C175=TRUE)*F175*3)+((C177=TRUE)*F177*(1-EXP(-0.75*B210*5)))+((C196=TRUE)*(F196-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183=TRUE)*F183*IF(AND(Inputs!$B$39&lt;&gt;"pvp",Inputs!$B$44&gt;0),(((R183-1)*MIN((Skills!Y11*(1+Inputs!$B$34/100)),(1/Q183))+MIN((Skills!Y11*(1+Inputs!$B$34/100)),MAX(0,Inputs!$B$44-((R183-1)*(1/Q183)))))/Inputs!$B$44),IF(Inputs!$B$39="pvp",MIN((Skills!Y11*(1+Inputs!$B$34/100)),15)/15,MIN(1,(Skills!Y11*(1+Inputs!$B$34/100))/(1/Q183)))))/100)*(1+((C188=TRUE)*F188*IF(AND(Inputs!$B$39&lt;&gt;"pvp",Inputs!$B$44&gt;0),(((R188-1)*MIN((Skills!Y16*(1+Inputs!$B$34/100)),(1/Q188))+MIN((Skills!Y16*(1+Inputs!$B$34/100)),MAX(0,Inputs!$B$44-((R188-1)*(1/Q188)))))/Inputs!$B$44),IF(Inputs!$B$39="pvp",MIN((Skills!Y16*(1+Inputs!$B$34/100)),15)/15,MIN(1,(Skills!Y16*(1+Inputs!$B$34/100))/(1/Q188)))))/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208*I176)</f>
        <v/>
      </c>
      <c r="L176">
        <f>K176*(MIN(Inputs!$B$22+((C197=TRUE)*(F197-Calc!F25)),(Inputs!$B$23+((C202=TRUE)*(F202-Calc!F30))+IF(ArtifactsInput!$M$15,CHOOSE(ArtifactsInput!$N$15+1,25,30,35,40,45,50)/100*(Inputs!$B$11-Inputs!$B$11),0)))/100+(Inputs!$B$23+((C202=TRUE)*(F202-Calc!F30))+IF(ArtifactsInput!$M$15,CHOOSE(ArtifactsInput!$N$15+1,25,30,35,40,45,50)/100*(Inputs!$B$11-Inputs!$B$11),0))/100)/2</f>
        <v/>
      </c>
      <c r="M176">
        <f>L176*(1+(Inputs!$B$10+((C199=TRUE)*(F199-Calc!F27))+B213+(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176">
        <f>L176*(1-MIN((Inputs!$B$9+((C198=TRUE)*(F198-Calc!F26))+B206+(ArtifactsInput!$M$24-ArtifactsInput!$M$24)*CHOOSE(ArtifactsInput!$N$24+1,10,12,14,16,18,20)+(IF(AND(Inputs!$B$39&lt;&gt;"pvp",Inputs!$B$44=0),1,IF(IF(Inputs!$B$39="pvp",15,Inputs!$B$44)-(B217)&lt;=0,1,MAX(0,IF(Inputs!$B$39="pvp",15,Inputs!$B$44)-MAX(5,B217))/(IF(Inputs!$B$39="pvp",15,Inputs!$B$44)-(B217))))*IF(AND(ArtifactsInput!$M$42,((Inputs!$B$9+((C198=TRUE)*(F198-Calc!F26))+B206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176*(MIN((Inputs!$B$9+((C198=TRUE)*(F198-Calc!F26))+B206+(ArtifactsInput!$M$24-ArtifactsInput!$M$24)*CHOOSE(ArtifactsInput!$N$24+1,10,12,14,16,18,20)+(IF(AND(Inputs!$B$39&lt;&gt;"pvp",Inputs!$B$44=0),1,IF(IF(Inputs!$B$39="pvp",15,Inputs!$B$44)-(B217)&lt;=0,1,MAX(0,IF(Inputs!$B$39="pvp",15,Inputs!$B$44)-MAX(5,B217))/(IF(Inputs!$B$39="pvp",15,Inputs!$B$44)-(B217))))*IF(AND(ArtifactsInput!$M$42,((Inputs!$B$9+((C198=TRUE)*(F198-Calc!F26))+B206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76">
        <f>(1-Summary!$B$11)*T176+Summary!$B$11*V176</f>
        <v/>
      </c>
      <c r="P176">
        <f>IF(B218=0,0,O176/B218)</f>
        <v/>
      </c>
      <c r="Q176">
        <f>IFERROR(1/IF(Inputs!$B$39="pvp",15,MAX(0.1,Skills!D4-IF(TRUE=TRUE,Inputs!$B$32,0))),0)</f>
        <v/>
      </c>
      <c r="R176">
        <f>IF(AND(Inputs!$B$39&lt;&gt;"pvp",Inputs!$B$44&gt;0),IF(MAX(0,Inputs!$B$44-B217)&lt;=0,0,(INT(MAX(0,Inputs!$B$44-B217)/IF(Inputs!$B$39="pvp",15,MAX(0.1,Skills!D4-IF(TRUE=TRUE,Inputs!$B$32,0))))+1)),0)</f>
        <v/>
      </c>
      <c r="S176">
        <f>IFERROR(O176/N176,0)</f>
        <v/>
      </c>
      <c r="T176">
        <f>IF(C176,(H176*N176*IF(AND(Inputs!$B$39&lt;&gt;"pvp",Inputs!$B$44&gt;0),((Skills!G4*((R176-1)*IF(Skills!H4&gt;0,Skills!I4/Skills!H4,1)+IF(Skills!H4&gt;0,MIN(Skills!I4,MAX(0,MAX(0,Inputs!$B$44-B217)-((R176-1)*IF(Inputs!$B$39="pvp",15,MAX(0.1,Skills!D4-IF(TRUE=TRUE,Inputs!$B$32,0))))))/Skills!H4,1)))/Inputs!$B$44),G176*Q176))*IF(Inputs!$B$39="pvp",1,1+(Inputs!$B$20+0+Skills!P4+B207+(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Hunt"),CHOOSE(ArtifactsInput!$N$35+1,15,18,21,24,27,30)*(1-EXP(-(0.2*B210)*5)),0)+IF(AND(ArtifactsInput!$M$22,Inputs!$B$4&lt;&gt;"Chapter Hunt"),CHOOSE(ArtifactsInput!$N$22+1,10,12,14,16,18,20)*((0*(((0.15*B210*5))^0/1)+1*(((0.15*B210*5))^1/1)+2*(((0.15*B210*5))^2/2)+3*(((0.15*B210*5))^3/6)+4*(((0.15*B210*5))^4/24)+5*(((0.15*B210*5))^5/120))/((((0.15*B210*5))^0/1)+(((0.15*B210*5))^1/1)+(((0.15*B210*5))^2/2)+(((0.15*B210*5))^3/6)+(((0.15*B210*5))^4/24)+(((0.15*B210*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176*(1-MIN(100,(Inputs!$B$9+((C198=TRUE)*(F198-Calc!F26))+B206+(ArtifactsInput!$M$24-ArtifactsInput!$M$24)*CHOOSE(ArtifactsInput!$N$24+1,10,12,14,16,18,20)+(IF(AND(Inputs!$B$39&lt;&gt;"pvp",Inputs!$B$44=0),1,IF(IF(Inputs!$B$39="pvp",15,Inputs!$B$44)-(B217)&lt;=0,1,MAX(0,IF(Inputs!$B$39="pvp",15,Inputs!$B$44)-MAX(5,B217))/(IF(Inputs!$B$39="pvp",15,Inputs!$B$44)-(B217))))*IF(AND(ArtifactsInput!$M$42,((Inputs!$B$9+((C198=TRUE)*(F198-Calc!F26))+B206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176*(MIN(100,(Inputs!$B$9+((C198=TRUE)*(F198-Calc!F26))+B206+(ArtifactsInput!$M$24-ArtifactsInput!$M$24)*CHOOSE(ArtifactsInput!$N$24+1,10,12,14,16,18,20)+(IF(AND(Inputs!$B$39&lt;&gt;"pvp",Inputs!$B$44=0),1,IF(IF(Inputs!$B$39="pvp",15,Inputs!$B$44)-(B217)&lt;=0,1,MAX(0,IF(Inputs!$B$39="pvp",15,Inputs!$B$44)-MAX(5,B217))/(IF(Inputs!$B$39="pvp",15,Inputs!$B$44)-(B217))))*IF(AND(ArtifactsInput!$M$42,((Inputs!$B$9+((C198=TRUE)*(F198-Calc!F26))+B206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176*(1-MIN(100,(Inputs!$B$9+((C198=TRUE)*(F198-Calc!F26))+B206+(ArtifactsInput!$M$24-ArtifactsInput!$M$24)*CHOOSE(ArtifactsInput!$N$24+1,10,12,14,16,18,20)+(IF(AND(Inputs!$B$39&lt;&gt;"pvp",Inputs!$B$44=0),1,IF(IF(Inputs!$B$39="pvp",15,Inputs!$B$44)-(B217)&lt;=0,1,MAX(0,IF(Inputs!$B$39="pvp",15,Inputs!$B$44)-MAX(5,B217))/(IF(Inputs!$B$39="pvp",15,Inputs!$B$44)-(B217))))*IF(AND(ArtifactsInput!$M$42,((Inputs!$B$9+((C198=TRUE)*(F198-Calc!F26))+B206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176*(MIN(100,(Inputs!$B$9+((C198=TRUE)*(F198-Calc!F26))+B206+(ArtifactsInput!$M$24-ArtifactsInput!$M$24)*CHOOSE(ArtifactsInput!$N$24+1,10,12,14,16,18,20)+(IF(AND(Inputs!$B$39&lt;&gt;"pvp",Inputs!$B$44=0),1,IF(IF(Inputs!$B$39="pvp",15,Inputs!$B$44)-(B217)&lt;=0,1,MAX(0,IF(Inputs!$B$39="pvp",15,Inputs!$B$44)-MAX(5,B217))/(IF(Inputs!$B$39="pvp",15,Inputs!$B$44)-(B217))))*IF(AND(ArtifactsInput!$M$42,((Inputs!$B$9+((C198=TRUE)*(F198-Calc!F26))+B206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176">
        <f>290*U175/1000</f>
        <v/>
      </c>
      <c r="V176">
        <f>IF(C176,(H176*N176*IF(AND(Inputs!$B$39&lt;&gt;"pvp",Inputs!$B$44&gt;0),((Skills!G4*((R176-1)*IF(Skills!H4&gt;0,Skills!I4/Skills!H4,1)+IF(Skills!H4&gt;0,MIN(Skills!I4,MAX(0,MAX(0,Inputs!$B$44-B217)-((R176-1)*IF(Inputs!$B$39="pvp",15,MAX(0.1,Skills!D4-IF(TRUE=TRUE,Inputs!$B$32,0))))))/Skills!H4,1)))/Inputs!$B$44),G176*Q176))*IF(Inputs!$B$39="pvp",1,(1+(Inputs!$B$21+Skills!Q4+B207+(IF(ArtifactsInput!$M$33,CHOOSE(ArtifactsInput!$N$33+1,30,36,42,48,54,60),0))+(IF(AND(ArtifactsInput!$M$35,Inputs!$B$4&lt;&gt;"Chapter Hunt"),CHOOSE(ArtifactsInput!$N$35+1,15,18,21,24,27,30)*(1-EXP(-(0.2*B210)*5)),0)+IF(AND(ArtifactsInput!$M$22,Inputs!$B$4&lt;&gt;"Chapter Hunt"),CHOOSE(ArtifactsInput!$N$22+1,10,12,14,16,18,20)*((0*(((0.15*B210*5))^0/1)+1*(((0.15*B210*5))^1/1)+2*(((0.15*B210*5))^2/2)+3*(((0.15*B210*5))^3/6)+4*(((0.15*B210*5))^4/24)+5*(((0.15*B210*5))^5/120))/((((0.15*B210*5))^0/1)+(((0.15*B210*5))^1/1)+(((0.15*B210*5))^2/2)+(((0.15*B210*5))^3/6)+(((0.15*B210*5))^4/24)+(((0.15*B210*5))^5/120))),0)))/100)*(MIN(MIN(10,IF(Inputs!$B$3&gt;=75,0.75,0.5)*B210*(1/Q176)),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77">
      <c r="A177">
        <f>Skills!A5</f>
        <v/>
      </c>
      <c r="B177">
        <f>Skills!B5</f>
        <v/>
      </c>
      <c r="C177">
        <f>Inputs!$B$3&gt;=75</f>
        <v/>
      </c>
      <c r="D177">
        <f>IF(Skills!C5=1,60+Inputs!$B$25+Inputs!$B$29,IF(Skills!C5=2,90+Inputs!$B$26+Inputs!$B$29,IF(Skills!C5=3,120+Inputs!$B$27+Inputs!$B$29,MAX(0,(Inputs!$B$3-100)*3)+Inputs!$B$28+Inputs!$B$29)))</f>
        <v/>
      </c>
      <c r="E177">
        <f>INDEX(FactorTable!$B$2:$Y$301, MATCH(ROUND(MIN(300,MAX(1,D177)),0), FactorTable!$A$2:$A$301,0), Skills!M5+1)</f>
        <v/>
      </c>
      <c r="F177">
        <f>IF(Skills!N5=TRUE,(Skills!L5/10)*(E177/1000),Skills!L5/10)+Skills!O5</f>
        <v/>
      </c>
      <c r="G177">
        <f>Skills!G5*IF(Skills!H5&gt;0,IF(Inputs!$B$39="pvp",MIN(Skills!I5,15),Skills!I5)/Skills!H5,1)</f>
        <v/>
      </c>
      <c r="H177">
        <f>1-(1-Skills!J5/100)^Skills!K5</f>
        <v/>
      </c>
      <c r="I177" t="inlineStr">
        <is>
          <t>1</t>
        </is>
      </c>
      <c r="J177" t="inlineStr"/>
      <c r="K177" t="inlineStr"/>
      <c r="L177" t="inlineStr"/>
      <c r="M177" t="inlineStr"/>
      <c r="N177" t="inlineStr"/>
      <c r="O177">
        <f>(1-Summary!$B$11)*T177+Summary!$B$11*V177</f>
        <v/>
      </c>
      <c r="P177">
        <f>IF(B218=0,0,O177/B218)</f>
        <v/>
      </c>
      <c r="Q177" t="n">
        <v>0</v>
      </c>
      <c r="R177" t="n">
        <v>0</v>
      </c>
      <c r="S177">
        <f>IFERROR(O177/N177,0)</f>
        <v/>
      </c>
      <c r="T177" t="n">
        <v>0</v>
      </c>
      <c r="V177" t="n">
        <v>0</v>
      </c>
    </row>
    <row r="178">
      <c r="A178">
        <f>Skills!A6</f>
        <v/>
      </c>
      <c r="B178">
        <f>Skills!B6</f>
        <v/>
      </c>
      <c r="C178">
        <f>Inputs!$B$3&gt;=63</f>
        <v/>
      </c>
      <c r="D178">
        <f>IF(Skills!C6=1,60+Inputs!$B$25+Inputs!$B$29,IF(Skills!C6=2,90+Inputs!$B$26+Inputs!$B$29,IF(Skills!C6=3,120+Inputs!$B$27+Inputs!$B$29,MAX(0,(Inputs!$B$3-100)*3)+Inputs!$B$28+Inputs!$B$29)))</f>
        <v/>
      </c>
      <c r="E178">
        <f>INDEX(FactorTable!$B$2:$Y$301, MATCH(ROUND(MIN(300,MAX(1,D178)),0), FactorTable!$A$2:$A$301,0), Skills!M6+1)</f>
        <v/>
      </c>
      <c r="F178">
        <f>IF(Skills!N6=TRUE,(Skills!L6/10)*(E178/1000),Skills!L6/10)+Skills!O6</f>
        <v/>
      </c>
      <c r="G178">
        <f>Skills!G6*IF(Skills!H6&gt;0,IF(Inputs!$B$39="pvp",MIN(Skills!I6,15),Skills!I6)/Skills!H6,1)</f>
        <v/>
      </c>
      <c r="H178">
        <f>1-(1-Skills!J6/100)^Skills!K6</f>
        <v/>
      </c>
      <c r="I178" t="inlineStr">
        <is>
          <t>1</t>
        </is>
      </c>
      <c r="J178">
        <f>((Inputs!$B$6*(1+Inputs!$B$7/100))+(((Inputs!$B$12*(1+Inputs!$B$13/100))-(Inputs!$B$12*(1+Inputs!$B$13/100)))+0.25*((Inputs!$B$14+1)-Inputs!$B$14))*(1+Inputs!$B$7/100))*(F178/100)</f>
        <v/>
      </c>
      <c r="K178">
        <f>J178*(1+((Inputs!$B$12*(1+Inputs!$B$13/100))*0.01+(Inputs!$B$14+1)*0.0025)/100)*(1+Inputs!$B$15/100)*(1+Inputs!$B$16/100)*(5000/(6000+Inputs!$B$43*(1-(100*(1-(1-Inputs!$B$19/100)*(1-CHOOSE(ArtifactsInput!$N$40+1,5,6,7,8,9,10)/100)^(ArtifactsInput!$M$40-ArtifactsInput!$M$40)))/100)))*(1+(Inputs!$B$24+((C203=TRUE)*(F203-Calc!F31))+((C190=TRUE)*(F190-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+2.6666666666666665*IF(C191=TRUE,F191,0)/100)*(1+(IF(Skills!A6="CRUEL_STAB",Inputs!$B$17+((C200=TRUE)*(F200-Calc!F28))+((IF(AND(Inputs!$B$39&lt;&gt;"pvp",Inputs!$B$44=0),1,IF(IF(Inputs!$B$39="pvp",15,Inputs!$B$44)-(B217)&lt;=0,1,MAX(0,IF(Inputs!$B$39="pvp",15,Inputs!$B$44)-MAX(5,B217))/(IF(Inputs!$B$39="pvp",15,Inputs!$B$44)-(B217))))*(IF(AND(ArtifactsInput!$M$42,((Inputs!$B$9+((C198=TRUE)*(F198-Calc!F26))+B206+(ArtifactsInput!$M$24-ArtifactsInput!$M$24)*CHOOSE(ArtifactsInput!$N$24+1,10,12,14,16,18,20)+IF(ArtifactsInput!$M$10,CHOOSE(ArtifactsInput!$N$10+1,15,18,21,24,27,30)*(IF(Inputs!$B$39="pvp",MIN(15,15)/15,IF(AND(Inputs!$B$39&lt;&gt;"pvp",Inputs!$B$44&gt;0),MIN(15,Inputs!$B$44)/(Inputs!$B$44),0))),0)))&gt;=100),MIN(100,((Inputs!$B$9+((C198=TRUE)*(F198-Calc!F26))+B206+(ArtifactsInput!$M$24-ArtifactsInput!$M$24)*CHOOSE(ArtifactsInput!$N$24+1,10,12,14,16,18,20)+IF(ArtifactsInput!$M$10,CHOOSE(ArtifactsInput!$N$10+1,15,18,21,24,27,30)*(IF(Inputs!$B$39="pvp",MIN(15,15)/15,IF(AND(Inputs!$B$39&lt;&gt;"pvp",Inputs!$B$44&gt;0),MIN(15,Inputs!$B$44)/(Inputs!$B$44),0))),0)))-100),0))*CHOOSE(ArtifactsInput!$N$42+1,0.6,0.72,0.84,0.96,1.08,1.2))),Inputs!$B$18+((C201=TRUE)*(F201-Calc!F29))+(IF(AND(Inputs!$B$39&lt;&gt;"pvp",Inputs!$B$44=0),1,IF(IF(Inputs!$B$39="pvp",15,Inputs!$B$44)-(B217)&lt;=0,1,MAX(0,IF(Inputs!$B$39="pvp",15,Inputs!$B$44)-MAX(5,B217))/(IF(Inputs!$B$39="pvp",15,Inputs!$B$44)-(B217))))*IF(AND(ArtifactsInput!$M$42,((Inputs!$B$9+((C198=TRUE)*(F198-Calc!F26))+B206+(ArtifactsInput!$M$24-ArtifactsInput!$M$24)*CHOOSE(ArtifactsInput!$N$24+1,10,12,14,16,18,20)+IF(ArtifactsInput!$M$10,CHOOSE(ArtifactsInput!$N$10+1,15,18,21,24,27,30)*(IF(Inputs!$B$39="pvp",MIN(15,15)/15,IF(AND(Inputs!$B$39&lt;&gt;"pvp",Inputs!$B$44&gt;0),MIN(15,Inputs!$B$44)/(Inputs!$B$44),0))),0)))&gt;=100),CHOOSE(ArtifactsInput!$N$42+1,40,48,56,64,72,80),0))))/100)*(((1+(((C194=TRUE)*F194*IF(AND(Inputs!$B$39&lt;&gt;"pvp",Inputs!$B$44&gt;0),(((R194-1)*MIN((Skills!Y22*(1+Inputs!$B$34/100)),(1/Q194))+MIN((Skills!Y22*(1+Inputs!$B$34/100)),MAX(0,Inputs!$B$44-((R194-1)*(1/Q194)))))/Inputs!$B$44),IF(Inputs!$B$39="pvp",MIN((Skills!Y22*(1+Inputs!$B$34/100)),15)/15,MIN(1,(Skills!Y22*(1+Inputs!$B$34/100))/(1/Q194)))))+((C175=TRUE)*F175*3)+((C177=TRUE)*F177*(1-EXP(-0.75*B210*5)))+((C196=TRUE)*(F196-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183=TRUE)*F183*IF(AND(Inputs!$B$39&lt;&gt;"pvp",Inputs!$B$44&gt;0),(((R183-1)*MIN((Skills!Y11*(1+Inputs!$B$34/100)),(1/Q183))+MIN((Skills!Y11*(1+Inputs!$B$34/100)),MAX(0,Inputs!$B$44-((R183-1)*(1/Q183)))))/Inputs!$B$44),IF(Inputs!$B$39="pvp",MIN((Skills!Y11*(1+Inputs!$B$34/100)),15)/15,MIN(1,(Skills!Y11*(1+Inputs!$B$34/100))/(1/Q183)))))/100)*(1+((C188=TRUE)*F188*IF(AND(Inputs!$B$39&lt;&gt;"pvp",Inputs!$B$44&gt;0),(((R188-1)*MIN((Skills!Y16*(1+Inputs!$B$34/100)),(1/Q188))+MIN((Skills!Y16*(1+Inputs!$B$34/100)),MAX(0,Inputs!$B$44-((R188-1)*(1/Q188)))))/Inputs!$B$44),IF(Inputs!$B$39="pvp",MIN((Skills!Y16*(1+Inputs!$B$34/100)),15)/15,MIN(1,(Skills!Y16*(1+Inputs!$B$34/100))/(1/Q188)))))/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208*I178)</f>
        <v/>
      </c>
      <c r="L178">
        <f>K178*(MIN(Inputs!$B$22+((C197=TRUE)*(F197-Calc!F25)),(Inputs!$B$23+((C202=TRUE)*(F202-Calc!F30))+IF(ArtifactsInput!$M$15,CHOOSE(ArtifactsInput!$N$15+1,25,30,35,40,45,50)/100*(Inputs!$B$11-Inputs!$B$11),0)))/100+(Inputs!$B$23+((C202=TRUE)*(F202-Calc!F30))+IF(ArtifactsInput!$M$15,CHOOSE(ArtifactsInput!$N$15+1,25,30,35,40,45,50)/100*(Inputs!$B$11-Inputs!$B$11),0))/100)/2</f>
        <v/>
      </c>
      <c r="M178">
        <f>L178*(1+(Inputs!$B$10+((C199=TRUE)*(F199-Calc!F27))+B213+(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178">
        <f>L178*(1-MIN((Inputs!$B$9+((C198=TRUE)*(F198-Calc!F26))+B206+(ArtifactsInput!$M$24-ArtifactsInput!$M$24)*CHOOSE(ArtifactsInput!$N$24+1,10,12,14,16,18,20)+(IF(AND(Inputs!$B$39&lt;&gt;"pvp",Inputs!$B$44=0),1,IF(IF(Inputs!$B$39="pvp",15,Inputs!$B$44)-(B217)&lt;=0,1,MAX(0,IF(Inputs!$B$39="pvp",15,Inputs!$B$44)-MAX(5,B217))/(IF(Inputs!$B$39="pvp",15,Inputs!$B$44)-(B217))))*IF(AND(ArtifactsInput!$M$42,((Inputs!$B$9+((C198=TRUE)*(F198-Calc!F26))+B206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178*(MIN((Inputs!$B$9+((C198=TRUE)*(F198-Calc!F26))+B206+(ArtifactsInput!$M$24-ArtifactsInput!$M$24)*CHOOSE(ArtifactsInput!$N$24+1,10,12,14,16,18,20)+(IF(AND(Inputs!$B$39&lt;&gt;"pvp",Inputs!$B$44=0),1,IF(IF(Inputs!$B$39="pvp",15,Inputs!$B$44)-(B217)&lt;=0,1,MAX(0,IF(Inputs!$B$39="pvp",15,Inputs!$B$44)-MAX(5,B217))/(IF(Inputs!$B$39="pvp",15,Inputs!$B$44)-(B217))))*IF(AND(ArtifactsInput!$M$42,((Inputs!$B$9+((C198=TRUE)*(F198-Calc!F26))+B206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78">
        <f>(1-Summary!$B$11)*T178+Summary!$B$11*V178</f>
        <v/>
      </c>
      <c r="P178">
        <f>IF(B218=0,0,O178/B218)</f>
        <v/>
      </c>
      <c r="Q178">
        <f>IFERROR(1/IF(Inputs!$B$39="pvp",15,MAX(0.1,Skills!D6-IF(TRUE=TRUE,Inputs!$B$32,0))),0)</f>
        <v/>
      </c>
      <c r="R178">
        <f>IF(AND(Inputs!$B$39&lt;&gt;"pvp",Inputs!$B$44&gt;0),IF(MAX(0,Inputs!$B$44-B217)&lt;=0,0,(INT(MAX(0,Inputs!$B$44-B217)/IF(Inputs!$B$39="pvp",15,MAX(0.1,Skills!D6-IF(TRUE=TRUE,Inputs!$B$32,0))))+1)),0)</f>
        <v/>
      </c>
      <c r="S178">
        <f>IFERROR(O178/N178,0)</f>
        <v/>
      </c>
      <c r="T178">
        <f>IF(C178,(H178*N178*IF(AND(Inputs!$B$39&lt;&gt;"pvp",Inputs!$B$44&gt;0),((Skills!G6*((R178-1)*IF(Skills!H6&gt;0,Skills!I6/Skills!H6,1)+IF(Skills!H6&gt;0,MIN(Skills!I6,MAX(0,MAX(0,Inputs!$B$44-B217)-((R178-1)*IF(Inputs!$B$39="pvp",15,MAX(0.1,Skills!D6-IF(TRUE=TRUE,Inputs!$B$32,0))))))/Skills!H6,1)))/Inputs!$B$44),G178*Q178))*IF(Inputs!$B$39="pvp",1,1+(Inputs!$B$20+0+Skills!P6+B207+(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Hunt"),CHOOSE(ArtifactsInput!$N$35+1,15,18,21,24,27,30)*(1-EXP(-(0.2*B210)*5)),0)+IF(AND(ArtifactsInput!$M$22,Inputs!$B$4&lt;&gt;"Chapter Hunt"),CHOOSE(ArtifactsInput!$N$22+1,10,12,14,16,18,20)*((0*(((0.15*B210*5))^0/1)+1*(((0.15*B210*5))^1/1)+2*(((0.15*B210*5))^2/2)+3*(((0.15*B210*5))^3/6)+4*(((0.15*B210*5))^4/24)+5*(((0.15*B210*5))^5/120))/((((0.15*B210*5))^0/1)+(((0.15*B210*5))^1/1)+(((0.15*B210*5))^2/2)+(((0.15*B210*5))^3/6)+(((0.15*B210*5))^4/24)+(((0.15*B210*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178*(1-MIN(100,(Inputs!$B$9+((C198=TRUE)*(F198-Calc!F26))+B206+(ArtifactsInput!$M$24-ArtifactsInput!$M$24)*CHOOSE(ArtifactsInput!$N$24+1,10,12,14,16,18,20)+(IF(AND(Inputs!$B$39&lt;&gt;"pvp",Inputs!$B$44=0),1,IF(IF(Inputs!$B$39="pvp",15,Inputs!$B$44)-(B217)&lt;=0,1,MAX(0,IF(Inputs!$B$39="pvp",15,Inputs!$B$44)-MAX(5,B217))/(IF(Inputs!$B$39="pvp",15,Inputs!$B$44)-(B217))))*IF(AND(ArtifactsInput!$M$42,((Inputs!$B$9+((C198=TRUE)*(F198-Calc!F26))+B206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178*(MIN(100,(Inputs!$B$9+((C198=TRUE)*(F198-Calc!F26))+B206+(ArtifactsInput!$M$24-ArtifactsInput!$M$24)*CHOOSE(ArtifactsInput!$N$24+1,10,12,14,16,18,20)+(IF(AND(Inputs!$B$39&lt;&gt;"pvp",Inputs!$B$44=0),1,IF(IF(Inputs!$B$39="pvp",15,Inputs!$B$44)-(B217)&lt;=0,1,MAX(0,IF(Inputs!$B$39="pvp",15,Inputs!$B$44)-MAX(5,B217))/(IF(Inputs!$B$39="pvp",15,Inputs!$B$44)-(B217))))*IF(AND(ArtifactsInput!$M$42,((Inputs!$B$9+((C198=TRUE)*(F198-Calc!F26))+B206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178*(1-MIN(100,(Inputs!$B$9+((C198=TRUE)*(F198-Calc!F26))+B206+(ArtifactsInput!$M$24-ArtifactsInput!$M$24)*CHOOSE(ArtifactsInput!$N$24+1,10,12,14,16,18,20)+(IF(AND(Inputs!$B$39&lt;&gt;"pvp",Inputs!$B$44=0),1,IF(IF(Inputs!$B$39="pvp",15,Inputs!$B$44)-(B217)&lt;=0,1,MAX(0,IF(Inputs!$B$39="pvp",15,Inputs!$B$44)-MAX(5,B217))/(IF(Inputs!$B$39="pvp",15,Inputs!$B$44)-(B217))))*IF(AND(ArtifactsInput!$M$42,((Inputs!$B$9+((C198=TRUE)*(F198-Calc!F26))+B206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178*(MIN(100,(Inputs!$B$9+((C198=TRUE)*(F198-Calc!F26))+B206+(ArtifactsInput!$M$24-ArtifactsInput!$M$24)*CHOOSE(ArtifactsInput!$N$24+1,10,12,14,16,18,20)+(IF(AND(Inputs!$B$39&lt;&gt;"pvp",Inputs!$B$44=0),1,IF(IF(Inputs!$B$39="pvp",15,Inputs!$B$44)-(B217)&lt;=0,1,MAX(0,IF(Inputs!$B$39="pvp",15,Inputs!$B$44)-MAX(5,B217))/(IF(Inputs!$B$39="pvp",15,Inputs!$B$44)-(B217))))*IF(AND(ArtifactsInput!$M$42,((Inputs!$B$9+((C198=TRUE)*(F198-Calc!F26))+B206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178">
        <f>IF(C178,(H178*N178*IF(AND(Inputs!$B$39&lt;&gt;"pvp",Inputs!$B$44&gt;0),((Skills!G6*((R178-1)*IF(Skills!H6&gt;0,Skills!I6/Skills!H6,1)+IF(Skills!H6&gt;0,MIN(Skills!I6,MAX(0,MAX(0,Inputs!$B$44-B217)-((R178-1)*IF(Inputs!$B$39="pvp",15,MAX(0.1,Skills!D6-IF(TRUE=TRUE,Inputs!$B$32,0))))))/Skills!H6,1)))/Inputs!$B$44),G178*Q178))*IF(Inputs!$B$39="pvp",1,(1+(Inputs!$B$21+Skills!Q6+B207+(IF(ArtifactsInput!$M$33,CHOOSE(ArtifactsInput!$N$33+1,30,36,42,48,54,60),0))+(IF(AND(ArtifactsInput!$M$35,Inputs!$B$4&lt;&gt;"Chapter Hunt"),CHOOSE(ArtifactsInput!$N$35+1,15,18,21,24,27,30)*(1-EXP(-(0.2*B210)*5)),0)+IF(AND(ArtifactsInput!$M$22,Inputs!$B$4&lt;&gt;"Chapter Hunt"),CHOOSE(ArtifactsInput!$N$22+1,10,12,14,16,18,20)*((0*(((0.15*B210*5))^0/1)+1*(((0.15*B210*5))^1/1)+2*(((0.15*B210*5))^2/2)+3*(((0.15*B210*5))^3/6)+4*(((0.15*B210*5))^4/24)+5*(((0.15*B210*5))^5/120))/((((0.15*B210*5))^0/1)+(((0.15*B210*5))^1/1)+(((0.15*B210*5))^2/2)+(((0.15*B210*5))^3/6)+(((0.15*B210*5))^4/24)+(((0.15*B210*5))^5/120))),0)))/100)*(MIN(Skills!W6,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79">
      <c r="A179">
        <f>Skills!A7</f>
        <v/>
      </c>
      <c r="B179">
        <f>Skills!B7</f>
        <v/>
      </c>
      <c r="C179">
        <f>Inputs!$B$3&gt;=69</f>
        <v/>
      </c>
      <c r="D179">
        <f>IF(Skills!C7=1,60+Inputs!$B$25+Inputs!$B$29,IF(Skills!C7=2,90+Inputs!$B$26+Inputs!$B$29,IF(Skills!C7=3,120+Inputs!$B$27+Inputs!$B$29,MAX(0,(Inputs!$B$3-100)*3)+Inputs!$B$28+Inputs!$B$29)))</f>
        <v/>
      </c>
      <c r="E179">
        <f>INDEX(FactorTable!$B$2:$Y$301, MATCH(ROUND(MIN(300,MAX(1,D179)),0), FactorTable!$A$2:$A$301,0), Skills!M7+1)</f>
        <v/>
      </c>
      <c r="F179">
        <f>IF(Skills!N7=TRUE,(Skills!L7/10)*(E179/1000),Skills!L7/10)+Skills!O7</f>
        <v/>
      </c>
      <c r="G179">
        <f>Skills!G7*IF(Skills!H7&gt;0,IF(Inputs!$B$39="pvp",MIN(Skills!I7,15),Skills!I7)/Skills!H7,1)</f>
        <v/>
      </c>
      <c r="H179">
        <f>1-(1-Skills!J7/100)^Skills!K7</f>
        <v/>
      </c>
      <c r="I179" t="inlineStr">
        <is>
          <t>1</t>
        </is>
      </c>
      <c r="J179">
        <f>((Inputs!$B$6*(1+Inputs!$B$7/100))+(((Inputs!$B$12*(1+Inputs!$B$13/100))-(Inputs!$B$12*(1+Inputs!$B$13/100)))+0.25*((Inputs!$B$14+1)-Inputs!$B$14))*(1+Inputs!$B$7/100))*(F179/100)</f>
        <v/>
      </c>
      <c r="K179">
        <f>J179*(1+((Inputs!$B$12*(1+Inputs!$B$13/100))*0.01+(Inputs!$B$14+1)*0.0025)/100)*(1+Inputs!$B$15/100)*(1+Inputs!$B$16/100)*(5000/(6000+Inputs!$B$43*(1-(100*(1-(1-Inputs!$B$19/100)*(1-CHOOSE(ArtifactsInput!$N$40+1,5,6,7,8,9,10)/100)^(ArtifactsInput!$M$40-ArtifactsInput!$M$40)))/100)))*(1+(Inputs!$B$24+((C203=TRUE)*(F203-Calc!F31))+((C190=TRUE)*(F190-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191=TRUE,F191,0)/100)*(1+(IF(Skills!A7="CRUEL_STAB",Inputs!$B$17+((C200=TRUE)*(F200-Calc!F28))+((IF(AND(Inputs!$B$39&lt;&gt;"pvp",Inputs!$B$44=0),1,IF(IF(Inputs!$B$39="pvp",15,Inputs!$B$44)-(B217)&lt;=0,1,MAX(0,IF(Inputs!$B$39="pvp",15,Inputs!$B$44)-MAX(5,B217))/(IF(Inputs!$B$39="pvp",15,Inputs!$B$44)-(B217))))*(IF(AND(ArtifactsInput!$M$42,((Inputs!$B$9+((C198=TRUE)*(F198-Calc!F26))+B206+(ArtifactsInput!$M$24-ArtifactsInput!$M$24)*CHOOSE(ArtifactsInput!$N$24+1,10,12,14,16,18,20)+IF(ArtifactsInput!$M$10,CHOOSE(ArtifactsInput!$N$10+1,15,18,21,24,27,30)*(IF(Inputs!$B$39="pvp",MIN(15,15)/15,IF(AND(Inputs!$B$39&lt;&gt;"pvp",Inputs!$B$44&gt;0),MIN(15,Inputs!$B$44)/(Inputs!$B$44),0))),0)))&gt;=100),MIN(100,((Inputs!$B$9+((C198=TRUE)*(F198-Calc!F26))+B206+(ArtifactsInput!$M$24-ArtifactsInput!$M$24)*CHOOSE(ArtifactsInput!$N$24+1,10,12,14,16,18,20)+IF(ArtifactsInput!$M$10,CHOOSE(ArtifactsInput!$N$10+1,15,18,21,24,27,30)*(IF(Inputs!$B$39="pvp",MIN(15,15)/15,IF(AND(Inputs!$B$39&lt;&gt;"pvp",Inputs!$B$44&gt;0),MIN(15,Inputs!$B$44)/(Inputs!$B$44),0))),0)))-100),0))*CHOOSE(ArtifactsInput!$N$42+1,0.6,0.72,0.84,0.96,1.08,1.2))),Inputs!$B$18+((C201=TRUE)*(F201-Calc!F29))+(IF(AND(Inputs!$B$39&lt;&gt;"pvp",Inputs!$B$44=0),1,IF(IF(Inputs!$B$39="pvp",15,Inputs!$B$44)-(B217)&lt;=0,1,MAX(0,IF(Inputs!$B$39="pvp",15,Inputs!$B$44)-MAX(5,B217))/(IF(Inputs!$B$39="pvp",15,Inputs!$B$44)-(B217))))*IF(AND(ArtifactsInput!$M$42,((Inputs!$B$9+((C198=TRUE)*(F198-Calc!F26))+B206+(ArtifactsInput!$M$24-ArtifactsInput!$M$24)*CHOOSE(ArtifactsInput!$N$24+1,10,12,14,16,18,20)+IF(ArtifactsInput!$M$10,CHOOSE(ArtifactsInput!$N$10+1,15,18,21,24,27,30)*(IF(Inputs!$B$39="pvp",MIN(15,15)/15,IF(AND(Inputs!$B$39&lt;&gt;"pvp",Inputs!$B$44&gt;0),MIN(15,Inputs!$B$44)/(Inputs!$B$44),0))),0)))&gt;=100),CHOOSE(ArtifactsInput!$N$42+1,40,48,56,64,72,80),0))))/100)*(((1+(((C194=TRUE)*F194*IF(AND(Inputs!$B$39&lt;&gt;"pvp",Inputs!$B$44&gt;0),(((R194-1)*MIN((Skills!Y22*(1+Inputs!$B$34/100)),(1/Q194))+MIN((Skills!Y22*(1+Inputs!$B$34/100)),MAX(0,Inputs!$B$44-((R194-1)*(1/Q194)))))/Inputs!$B$44),IF(Inputs!$B$39="pvp",MIN((Skills!Y22*(1+Inputs!$B$34/100)),15)/15,MIN(1,(Skills!Y22*(1+Inputs!$B$34/100))/(1/Q194)))))+((C175=TRUE)*F175*3)+((C177=TRUE)*F177*(1-EXP(-0.75*B210*5)))+((C196=TRUE)*(F196-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183=TRUE)*F183*IF(AND(Inputs!$B$39&lt;&gt;"pvp",Inputs!$B$44&gt;0),(((R183-1)*MIN((Skills!Y11*(1+Inputs!$B$34/100)),(1/Q183))+MIN((Skills!Y11*(1+Inputs!$B$34/100)),MAX(0,Inputs!$B$44-((R183-1)*(1/Q183)))))/Inputs!$B$44),IF(Inputs!$B$39="pvp",MIN((Skills!Y11*(1+Inputs!$B$34/100)),15)/15,MIN(1,(Skills!Y11*(1+Inputs!$B$34/100))/(1/Q183)))))/100)*(1+((C188=TRUE)*F188*IF(AND(Inputs!$B$39&lt;&gt;"pvp",Inputs!$B$44&gt;0),(((R188-1)*MIN((Skills!Y16*(1+Inputs!$B$34/100)),(1/Q188))+MIN((Skills!Y16*(1+Inputs!$B$34/100)),MAX(0,Inputs!$B$44-((R188-1)*(1/Q188)))))/Inputs!$B$44),IF(Inputs!$B$39="pvp",MIN((Skills!Y16*(1+Inputs!$B$34/100)),15)/15,MIN(1,(Skills!Y16*(1+Inputs!$B$34/100))/(1/Q188)))))/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208*I179)</f>
        <v/>
      </c>
      <c r="L179">
        <f>K179*(MIN(Inputs!$B$22+((C197=TRUE)*(F197-Calc!F25)),(Inputs!$B$23+((C202=TRUE)*(F202-Calc!F30))+IF(ArtifactsInput!$M$15,CHOOSE(ArtifactsInput!$N$15+1,25,30,35,40,45,50)/100*(Inputs!$B$11-Inputs!$B$11),0)))/100+(Inputs!$B$23+((C202=TRUE)*(F202-Calc!F30))+IF(ArtifactsInput!$M$15,CHOOSE(ArtifactsInput!$N$15+1,25,30,35,40,45,50)/100*(Inputs!$B$11-Inputs!$B$11),0))/100)/2</f>
        <v/>
      </c>
      <c r="M179">
        <f>L179*(1+(Inputs!$B$10+((C199=TRUE)*(F199-Calc!F27))+B213+(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179">
        <f>L179*(1-MIN((Inputs!$B$9+((C198=TRUE)*(F198-Calc!F26))+B206+(ArtifactsInput!$M$24-ArtifactsInput!$M$24)*CHOOSE(ArtifactsInput!$N$24+1,10,12,14,16,18,20)+(IF(AND(Inputs!$B$39&lt;&gt;"pvp",Inputs!$B$44=0),1,IF(IF(Inputs!$B$39="pvp",15,Inputs!$B$44)-(B217)&lt;=0,1,MAX(0,IF(Inputs!$B$39="pvp",15,Inputs!$B$44)-MAX(5,B217))/(IF(Inputs!$B$39="pvp",15,Inputs!$B$44)-(B217))))*IF(AND(ArtifactsInput!$M$42,((Inputs!$B$9+((C198=TRUE)*(F198-Calc!F26))+B206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179*(MIN((Inputs!$B$9+((C198=TRUE)*(F198-Calc!F26))+B206+(ArtifactsInput!$M$24-ArtifactsInput!$M$24)*CHOOSE(ArtifactsInput!$N$24+1,10,12,14,16,18,20)+(IF(AND(Inputs!$B$39&lt;&gt;"pvp",Inputs!$B$44=0),1,IF(IF(Inputs!$B$39="pvp",15,Inputs!$B$44)-(B217)&lt;=0,1,MAX(0,IF(Inputs!$B$39="pvp",15,Inputs!$B$44)-MAX(5,B217))/(IF(Inputs!$B$39="pvp",15,Inputs!$B$44)-(B217))))*IF(AND(ArtifactsInput!$M$42,((Inputs!$B$9+((C198=TRUE)*(F198-Calc!F26))+B206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79">
        <f>(1-Summary!$B$11)*T179+Summary!$B$11*V179</f>
        <v/>
      </c>
      <c r="P179">
        <f>IF(B218=0,0,O179/B218)</f>
        <v/>
      </c>
      <c r="Q179">
        <f>IFERROR(1/IF(Inputs!$B$39="pvp",15,MAX(0.1,Skills!D7-IF(TRUE=TRUE,Inputs!$B$32,0))),0)</f>
        <v/>
      </c>
      <c r="R179">
        <f>IF(AND(Inputs!$B$39&lt;&gt;"pvp",Inputs!$B$44&gt;0),IF(MAX(0,Inputs!$B$44-B217)&lt;=0,0,(INT(MAX(0,Inputs!$B$44-B217)/IF(Inputs!$B$39="pvp",15,MAX(0.1,Skills!D7-IF(TRUE=TRUE,Inputs!$B$32,0))))+1)),0)</f>
        <v/>
      </c>
      <c r="S179">
        <f>IFERROR(O179/N179,0)</f>
        <v/>
      </c>
      <c r="T179">
        <f>IF(C179,(H179*N179*IF(AND(Inputs!$B$39&lt;&gt;"pvp",Inputs!$B$44&gt;0),((Skills!G7*((R179-1)*IF(Skills!H7&gt;0,Skills!I7/Skills!H7,1)+IF(Skills!H7&gt;0,MIN(Skills!I7,MAX(0,MAX(0,Inputs!$B$44-B217)-((R179-1)*IF(Inputs!$B$39="pvp",15,MAX(0.1,Skills!D7-IF(TRUE=TRUE,Inputs!$B$32,0))))))/Skills!H7,1)))/Inputs!$B$44),G179*Q179))*IF(Inputs!$B$39="pvp",1,1+(Inputs!$B$20+0+Skills!P7+B207+(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Hunt"),CHOOSE(ArtifactsInput!$N$35+1,15,18,21,24,27,30)*(1-EXP(-(0.2*B210)*5)),0)+IF(AND(ArtifactsInput!$M$22,Inputs!$B$4&lt;&gt;"Chapter Hunt"),CHOOSE(ArtifactsInput!$N$22+1,10,12,14,16,18,20)*((0*(((0.15*B210*5))^0/1)+1*(((0.15*B210*5))^1/1)+2*(((0.15*B210*5))^2/2)+3*(((0.15*B210*5))^3/6)+4*(((0.15*B210*5))^4/24)+5*(((0.15*B210*5))^5/120))/((((0.15*B210*5))^0/1)+(((0.15*B210*5))^1/1)+(((0.15*B210*5))^2/2)+(((0.15*B210*5))^3/6)+(((0.15*B210*5))^4/24)+(((0.15*B210*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179*(1-MIN(100,(Inputs!$B$9+((C198=TRUE)*(F198-Calc!F26))+B206+(ArtifactsInput!$M$24-ArtifactsInput!$M$24)*CHOOSE(ArtifactsInput!$N$24+1,10,12,14,16,18,20)+(IF(AND(Inputs!$B$39&lt;&gt;"pvp",Inputs!$B$44=0),1,IF(IF(Inputs!$B$39="pvp",15,Inputs!$B$44)-(B217)&lt;=0,1,MAX(0,IF(Inputs!$B$39="pvp",15,Inputs!$B$44)-MAX(5,B217))/(IF(Inputs!$B$39="pvp",15,Inputs!$B$44)-(B217))))*IF(AND(ArtifactsInput!$M$42,((Inputs!$B$9+((C198=TRUE)*(F198-Calc!F26))+B206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179*(MIN(100,(Inputs!$B$9+((C198=TRUE)*(F198-Calc!F26))+B206+(ArtifactsInput!$M$24-ArtifactsInput!$M$24)*CHOOSE(ArtifactsInput!$N$24+1,10,12,14,16,18,20)+(IF(AND(Inputs!$B$39&lt;&gt;"pvp",Inputs!$B$44=0),1,IF(IF(Inputs!$B$39="pvp",15,Inputs!$B$44)-(B217)&lt;=0,1,MAX(0,IF(Inputs!$B$39="pvp",15,Inputs!$B$44)-MAX(5,B217))/(IF(Inputs!$B$39="pvp",15,Inputs!$B$44)-(B217))))*IF(AND(ArtifactsInput!$M$42,((Inputs!$B$9+((C198=TRUE)*(F198-Calc!F26))+B206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179*(1-MIN(100,(Inputs!$B$9+((C198=TRUE)*(F198-Calc!F26))+B206+(ArtifactsInput!$M$24-ArtifactsInput!$M$24)*CHOOSE(ArtifactsInput!$N$24+1,10,12,14,16,18,20)+(IF(AND(Inputs!$B$39&lt;&gt;"pvp",Inputs!$B$44=0),1,IF(IF(Inputs!$B$39="pvp",15,Inputs!$B$44)-(B217)&lt;=0,1,MAX(0,IF(Inputs!$B$39="pvp",15,Inputs!$B$44)-MAX(5,B217))/(IF(Inputs!$B$39="pvp",15,Inputs!$B$44)-(B217))))*IF(AND(ArtifactsInput!$M$42,((Inputs!$B$9+((C198=TRUE)*(F198-Calc!F26))+B206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179*(MIN(100,(Inputs!$B$9+((C198=TRUE)*(F198-Calc!F26))+B206+(ArtifactsInput!$M$24-ArtifactsInput!$M$24)*CHOOSE(ArtifactsInput!$N$24+1,10,12,14,16,18,20)+(IF(AND(Inputs!$B$39&lt;&gt;"pvp",Inputs!$B$44=0),1,IF(IF(Inputs!$B$39="pvp",15,Inputs!$B$44)-(B217)&lt;=0,1,MAX(0,IF(Inputs!$B$39="pvp",15,Inputs!$B$44)-MAX(5,B217))/(IF(Inputs!$B$39="pvp",15,Inputs!$B$44)-(B217))))*IF(AND(ArtifactsInput!$M$42,((Inputs!$B$9+((C198=TRUE)*(F198-Calc!F26))+B206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179">
        <f>IF(C179,(H179*N179*IF(AND(Inputs!$B$39&lt;&gt;"pvp",Inputs!$B$44&gt;0),((Skills!G7*((R179-1)*IF(Skills!H7&gt;0,Skills!I7/Skills!H7,1)+IF(Skills!H7&gt;0,MIN(Skills!I7,MAX(0,MAX(0,Inputs!$B$44-B217)-((R179-1)*IF(Inputs!$B$39="pvp",15,MAX(0.1,Skills!D7-IF(TRUE=TRUE,Inputs!$B$32,0))))))/Skills!H7,1)))/Inputs!$B$44),G179*Q179))*IF(Inputs!$B$39="pvp",1,(1+(Inputs!$B$21+Skills!Q7+B207+(IF(ArtifactsInput!$M$33,CHOOSE(ArtifactsInput!$N$33+1,30,36,42,48,54,60),0))+(IF(AND(ArtifactsInput!$M$35,Inputs!$B$4&lt;&gt;"Chapter Hunt"),CHOOSE(ArtifactsInput!$N$35+1,15,18,21,24,27,30)*(1-EXP(-(0.2*B210)*5)),0)+IF(AND(ArtifactsInput!$M$22,Inputs!$B$4&lt;&gt;"Chapter Hunt"),CHOOSE(ArtifactsInput!$N$22+1,10,12,14,16,18,20)*((0*(((0.15*B210*5))^0/1)+1*(((0.15*B210*5))^1/1)+2*(((0.15*B210*5))^2/2)+3*(((0.15*B210*5))^3/6)+4*(((0.15*B210*5))^4/24)+5*(((0.15*B210*5))^5/120))/((((0.15*B210*5))^0/1)+(((0.15*B210*5))^1/1)+(((0.15*B210*5))^2/2)+(((0.15*B210*5))^3/6)+(((0.15*B210*5))^4/24)+(((0.15*B210*5))^5/120))),0)))/100)*(MIN(Skills!W7,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80">
      <c r="A180">
        <f>Skills!A8</f>
        <v/>
      </c>
      <c r="B180">
        <f>Skills!B8</f>
        <v/>
      </c>
      <c r="C180">
        <f>Inputs!$B$3&gt;=60</f>
        <v/>
      </c>
      <c r="D180">
        <f>IF(Skills!C8=1,60+Inputs!$B$25+Inputs!$B$29,IF(Skills!C8=2,90+Inputs!$B$26+Inputs!$B$29,IF(Skills!C8=3,120+Inputs!$B$27+Inputs!$B$29,MAX(0,(Inputs!$B$3-100)*3)+Inputs!$B$28+Inputs!$B$29)))</f>
        <v/>
      </c>
      <c r="E180">
        <f>INDEX(FactorTable!$B$2:$Y$301, MATCH(ROUND(MIN(300,MAX(1,D180)),0), FactorTable!$A$2:$A$301,0), Skills!M8+1)</f>
        <v/>
      </c>
      <c r="F180">
        <f>IF(Skills!N8=TRUE,(Skills!L8/10)*(E180/1000),Skills!L8/10)+Skills!O8</f>
        <v/>
      </c>
      <c r="G180">
        <f>Skills!G8*IF(Skills!H8&gt;0,IF(Inputs!$B$39="pvp",MIN(Skills!I8,15),Skills!I8)/Skills!H8,1)</f>
        <v/>
      </c>
      <c r="H180">
        <f>1-(1-Skills!J8/100)^Skills!K8</f>
        <v/>
      </c>
      <c r="I180" t="inlineStr">
        <is>
          <t>1</t>
        </is>
      </c>
      <c r="J180" t="inlineStr"/>
      <c r="K180" t="inlineStr"/>
      <c r="L180" t="inlineStr"/>
      <c r="M180" t="inlineStr"/>
      <c r="N180" t="inlineStr"/>
      <c r="O180">
        <f>(1-Summary!$B$11)*T180+Summary!$B$11*V180</f>
        <v/>
      </c>
      <c r="P180">
        <f>IF(B218=0,0,O180/B218)</f>
        <v/>
      </c>
      <c r="Q180" t="n">
        <v>0</v>
      </c>
      <c r="R180" t="n">
        <v>0</v>
      </c>
      <c r="S180">
        <f>IFERROR(O180/N180,0)</f>
        <v/>
      </c>
      <c r="T180" t="n">
        <v>0</v>
      </c>
      <c r="V180" t="n">
        <v>0</v>
      </c>
    </row>
    <row r="181">
      <c r="A181">
        <f>Skills!A9</f>
        <v/>
      </c>
      <c r="B181">
        <f>Skills!B9</f>
        <v/>
      </c>
      <c r="C181">
        <f>Inputs!$B$3&gt;=72</f>
        <v/>
      </c>
      <c r="D181">
        <f>IF(Skills!C9=1,60+Inputs!$B$25+Inputs!$B$29,IF(Skills!C9=2,90+Inputs!$B$26+Inputs!$B$29,IF(Skills!C9=3,120+Inputs!$B$27+Inputs!$B$29,MAX(0,(Inputs!$B$3-100)*3)+Inputs!$B$28+Inputs!$B$29)))</f>
        <v/>
      </c>
      <c r="E181">
        <f>INDEX(FactorTable!$B$2:$Y$301, MATCH(ROUND(MIN(300,MAX(1,D181)),0), FactorTable!$A$2:$A$301,0), Skills!M9+1)</f>
        <v/>
      </c>
      <c r="F181">
        <f>IF(Skills!N9=TRUE,(Skills!L9/10)*(E181/1000),Skills!L9/10)+Skills!O9</f>
        <v/>
      </c>
      <c r="G181">
        <f>Skills!G9*IF(Skills!H9&gt;0,IF(Inputs!$B$39="pvp",MIN(Skills!I9,15),Skills!I9)/Skills!H9,1)</f>
        <v/>
      </c>
      <c r="H181">
        <f>1-(1-Skills!J9/100)^Skills!K9</f>
        <v/>
      </c>
      <c r="I181" t="inlineStr">
        <is>
          <t>1</t>
        </is>
      </c>
      <c r="J181">
        <f>((Inputs!$B$6*(1+Inputs!$B$7/100))+(((Inputs!$B$12*(1+Inputs!$B$13/100))-(Inputs!$B$12*(1+Inputs!$B$13/100)))+0.25*((Inputs!$B$14+1)-Inputs!$B$14))*(1+Inputs!$B$7/100))*(F181/100)</f>
        <v/>
      </c>
      <c r="K181">
        <f>J181*(1+((Inputs!$B$12*(1+Inputs!$B$13/100))*0.01+(Inputs!$B$14+1)*0.0025)/100)*(1+Inputs!$B$15/100)*(1+Inputs!$B$16/100)*(5000/(6000+Inputs!$B$43*(1-(100*(1-(1-Inputs!$B$19/100)*(1-CHOOSE(ArtifactsInput!$N$40+1,5,6,7,8,9,10)/100)^(ArtifactsInput!$M$40-ArtifactsInput!$M$40)))/100)))*(1+(Inputs!$B$24+((C203=TRUE)*(F203-Calc!F31))+((C190=TRUE)*(F190-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+3.3333333333333335*IF(C191=TRUE,F191,0)/100)*(1+(IF(Skills!A9="CRUEL_STAB",Inputs!$B$17+((C200=TRUE)*(F200-Calc!F28))+((IF(AND(Inputs!$B$39&lt;&gt;"pvp",Inputs!$B$44=0),1,IF(IF(Inputs!$B$39="pvp",15,Inputs!$B$44)-(B217)&lt;=0,1,MAX(0,IF(Inputs!$B$39="pvp",15,Inputs!$B$44)-MAX(5,B217))/(IF(Inputs!$B$39="pvp",15,Inputs!$B$44)-(B217))))*(IF(AND(ArtifactsInput!$M$42,((Inputs!$B$9+((C198=TRUE)*(F198-Calc!F26))+B206+(ArtifactsInput!$M$24-ArtifactsInput!$M$24)*CHOOSE(ArtifactsInput!$N$24+1,10,12,14,16,18,20)+IF(ArtifactsInput!$M$10,CHOOSE(ArtifactsInput!$N$10+1,15,18,21,24,27,30)*(IF(Inputs!$B$39="pvp",MIN(15,15)/15,IF(AND(Inputs!$B$39&lt;&gt;"pvp",Inputs!$B$44&gt;0),MIN(15,Inputs!$B$44)/(Inputs!$B$44),0))),0)))&gt;=100),MIN(100,((Inputs!$B$9+((C198=TRUE)*(F198-Calc!F26))+B206+(ArtifactsInput!$M$24-ArtifactsInput!$M$24)*CHOOSE(ArtifactsInput!$N$24+1,10,12,14,16,18,20)+IF(ArtifactsInput!$M$10,CHOOSE(ArtifactsInput!$N$10+1,15,18,21,24,27,30)*(IF(Inputs!$B$39="pvp",MIN(15,15)/15,IF(AND(Inputs!$B$39&lt;&gt;"pvp",Inputs!$B$44&gt;0),MIN(15,Inputs!$B$44)/(Inputs!$B$44),0))),0)))-100),0))*CHOOSE(ArtifactsInput!$N$42+1,0.6,0.72,0.84,0.96,1.08,1.2))),Inputs!$B$18+((C201=TRUE)*(F201-Calc!F29))+(IF(AND(Inputs!$B$39&lt;&gt;"pvp",Inputs!$B$44=0),1,IF(IF(Inputs!$B$39="pvp",15,Inputs!$B$44)-(B217)&lt;=0,1,MAX(0,IF(Inputs!$B$39="pvp",15,Inputs!$B$44)-MAX(5,B217))/(IF(Inputs!$B$39="pvp",15,Inputs!$B$44)-(B217))))*IF(AND(ArtifactsInput!$M$42,((Inputs!$B$9+((C198=TRUE)*(F198-Calc!F26))+B206+(ArtifactsInput!$M$24-ArtifactsInput!$M$24)*CHOOSE(ArtifactsInput!$N$24+1,10,12,14,16,18,20)+IF(ArtifactsInput!$M$10,CHOOSE(ArtifactsInput!$N$10+1,15,18,21,24,27,30)*(IF(Inputs!$B$39="pvp",MIN(15,15)/15,IF(AND(Inputs!$B$39&lt;&gt;"pvp",Inputs!$B$44&gt;0),MIN(15,Inputs!$B$44)/(Inputs!$B$44),0))),0)))&gt;=100),CHOOSE(ArtifactsInput!$N$42+1,40,48,56,64,72,80),0))))/100)*(((1+(((C194=TRUE)*F194*IF(AND(Inputs!$B$39&lt;&gt;"pvp",Inputs!$B$44&gt;0),(((R194-1)*MIN((Skills!Y22*(1+Inputs!$B$34/100)),(1/Q194))+MIN((Skills!Y22*(1+Inputs!$B$34/100)),MAX(0,Inputs!$B$44-((R194-1)*(1/Q194)))))/Inputs!$B$44),IF(Inputs!$B$39="pvp",MIN((Skills!Y22*(1+Inputs!$B$34/100)),15)/15,MIN(1,(Skills!Y22*(1+Inputs!$B$34/100))/(1/Q194)))))+((C175=TRUE)*F175*3)+((C177=TRUE)*F177*(1-EXP(-0.75*B210*5)))+((C196=TRUE)*(F196-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183=TRUE)*F183*IF(AND(Inputs!$B$39&lt;&gt;"pvp",Inputs!$B$44&gt;0),(((R183-1)*MIN((Skills!Y11*(1+Inputs!$B$34/100)),(1/Q183))+MIN((Skills!Y11*(1+Inputs!$B$34/100)),MAX(0,Inputs!$B$44-((R183-1)*(1/Q183)))))/Inputs!$B$44),IF(Inputs!$B$39="pvp",MIN((Skills!Y11*(1+Inputs!$B$34/100)),15)/15,MIN(1,(Skills!Y11*(1+Inputs!$B$34/100))/(1/Q183)))))/100)*(1+((C188=TRUE)*F188*IF(AND(Inputs!$B$39&lt;&gt;"pvp",Inputs!$B$44&gt;0),(((R188-1)*MIN((Skills!Y16*(1+Inputs!$B$34/100)),(1/Q188))+MIN((Skills!Y16*(1+Inputs!$B$34/100)),MAX(0,Inputs!$B$44-((R188-1)*(1/Q188)))))/Inputs!$B$44),IF(Inputs!$B$39="pvp",MIN((Skills!Y16*(1+Inputs!$B$34/100)),15)/15,MIN(1,(Skills!Y16*(1+Inputs!$B$34/100))/(1/Q188)))))/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208*I181)</f>
        <v/>
      </c>
      <c r="L181">
        <f>K181*(MIN(Inputs!$B$22+((C197=TRUE)*(F197-Calc!F25)),(Inputs!$B$23+((C202=TRUE)*(F202-Calc!F30))+IF(ArtifactsInput!$M$15,CHOOSE(ArtifactsInput!$N$15+1,25,30,35,40,45,50)/100*(Inputs!$B$11-Inputs!$B$11),0)))/100+(Inputs!$B$23+((C202=TRUE)*(F202-Calc!F30))+IF(ArtifactsInput!$M$15,CHOOSE(ArtifactsInput!$N$15+1,25,30,35,40,45,50)/100*(Inputs!$B$11-Inputs!$B$11),0))/100)/2</f>
        <v/>
      </c>
      <c r="M181">
        <f>L181*(1+(Inputs!$B$10+((C199=TRUE)*(F199-Calc!F27))+B213+(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181">
        <f>L181*(1-MIN((Inputs!$B$9+((C198=TRUE)*(F198-Calc!F26))+B206+(ArtifactsInput!$M$24-ArtifactsInput!$M$24)*CHOOSE(ArtifactsInput!$N$24+1,10,12,14,16,18,20)+(IF(AND(Inputs!$B$39&lt;&gt;"pvp",Inputs!$B$44=0),1,IF(IF(Inputs!$B$39="pvp",15,Inputs!$B$44)-(B217)&lt;=0,1,MAX(0,IF(Inputs!$B$39="pvp",15,Inputs!$B$44)-MAX(5,B217))/(IF(Inputs!$B$39="pvp",15,Inputs!$B$44)-(B217))))*IF(AND(ArtifactsInput!$M$42,((Inputs!$B$9+((C198=TRUE)*(F198-Calc!F26))+B206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181*(MIN((Inputs!$B$9+((C198=TRUE)*(F198-Calc!F26))+B206+(ArtifactsInput!$M$24-ArtifactsInput!$M$24)*CHOOSE(ArtifactsInput!$N$24+1,10,12,14,16,18,20)+(IF(AND(Inputs!$B$39&lt;&gt;"pvp",Inputs!$B$44=0),1,IF(IF(Inputs!$B$39="pvp",15,Inputs!$B$44)-(B217)&lt;=0,1,MAX(0,IF(Inputs!$B$39="pvp",15,Inputs!$B$44)-MAX(5,B217))/(IF(Inputs!$B$39="pvp",15,Inputs!$B$44)-(B217))))*IF(AND(ArtifactsInput!$M$42,((Inputs!$B$9+((C198=TRUE)*(F198-Calc!F26))+B206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81">
        <f>(1-Summary!$B$11)*T181+Summary!$B$11*V181</f>
        <v/>
      </c>
      <c r="P181">
        <f>IF(B218=0,0,O181/B218)</f>
        <v/>
      </c>
      <c r="Q181">
        <f>IFERROR(1/IF(Inputs!$B$39="pvp",15,MAX(0.1,Skills!D9-IF(FALSE=TRUE,Inputs!$B$32,0))),0)</f>
        <v/>
      </c>
      <c r="R181">
        <f>IF(AND(Inputs!$B$39&lt;&gt;"pvp",Inputs!$B$44&gt;0),IF(MAX(0,Inputs!$B$44-B217)&lt;=0,0,(INT(MAX(0,Inputs!$B$44-B217)/IF(Inputs!$B$39="pvp",15,MAX(0.1,Skills!D9-IF(FALSE=TRUE,Inputs!$B$32,0))))+1)),0)</f>
        <v/>
      </c>
      <c r="S181">
        <f>IFERROR(O181/N181,0)</f>
        <v/>
      </c>
      <c r="T181">
        <f>IF(C181,(H181*N181*IF(AND(Inputs!$B$39&lt;&gt;"pvp",Inputs!$B$44&gt;0),((Skills!G9*((R181-1)*IF(Skills!H9&gt;0,Skills!I9/Skills!H9,1)+IF(Skills!H9&gt;0,MIN(Skills!I9,MAX(0,MAX(0,Inputs!$B$44-B217)-((R181-1)*IF(Inputs!$B$39="pvp",15,MAX(0.1,Skills!D9-IF(FALSE=TRUE,Inputs!$B$32,0))))))/Skills!H9,1)))/Inputs!$B$44),G181*Q181))*IF(Inputs!$B$39="pvp",1,1+(Inputs!$B$20+0+Skills!P9+B207+(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Hunt"),CHOOSE(ArtifactsInput!$N$35+1,15,18,21,24,27,30)*(1-EXP(-(0.2*B210)*5)),0)+IF(AND(ArtifactsInput!$M$22,Inputs!$B$4&lt;&gt;"Chapter Hunt"),CHOOSE(ArtifactsInput!$N$22+1,10,12,14,16,18,20)*((0*(((0.15*B210*5))^0/1)+1*(((0.15*B210*5))^1/1)+2*(((0.15*B210*5))^2/2)+3*(((0.15*B210*5))^3/6)+4*(((0.15*B210*5))^4/24)+5*(((0.15*B210*5))^5/120))/((((0.15*B210*5))^0/1)+(((0.15*B210*5))^1/1)+(((0.15*B210*5))^2/2)+(((0.15*B210*5))^3/6)+(((0.15*B210*5))^4/24)+(((0.15*B210*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181*(1-MIN(100,(Inputs!$B$9+((C198=TRUE)*(F198-Calc!F26))+B206+(ArtifactsInput!$M$24-ArtifactsInput!$M$24)*CHOOSE(ArtifactsInput!$N$24+1,10,12,14,16,18,20)+(IF(AND(Inputs!$B$39&lt;&gt;"pvp",Inputs!$B$44=0),1,IF(IF(Inputs!$B$39="pvp",15,Inputs!$B$44)-(B217)&lt;=0,1,MAX(0,IF(Inputs!$B$39="pvp",15,Inputs!$B$44)-MAX(5,B217))/(IF(Inputs!$B$39="pvp",15,Inputs!$B$44)-(B217))))*IF(AND(ArtifactsInput!$M$42,((Inputs!$B$9+((C198=TRUE)*(F198-Calc!F26))+B206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181*(MIN(100,(Inputs!$B$9+((C198=TRUE)*(F198-Calc!F26))+B206+(ArtifactsInput!$M$24-ArtifactsInput!$M$24)*CHOOSE(ArtifactsInput!$N$24+1,10,12,14,16,18,20)+(IF(AND(Inputs!$B$39&lt;&gt;"pvp",Inputs!$B$44=0),1,IF(IF(Inputs!$B$39="pvp",15,Inputs!$B$44)-(B217)&lt;=0,1,MAX(0,IF(Inputs!$B$39="pvp",15,Inputs!$B$44)-MAX(5,B217))/(IF(Inputs!$B$39="pvp",15,Inputs!$B$44)-(B217))))*IF(AND(ArtifactsInput!$M$42,((Inputs!$B$9+((C198=TRUE)*(F198-Calc!F26))+B206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181*(1-MIN(100,(Inputs!$B$9+((C198=TRUE)*(F198-Calc!F26))+B206+(ArtifactsInput!$M$24-ArtifactsInput!$M$24)*CHOOSE(ArtifactsInput!$N$24+1,10,12,14,16,18,20)+(IF(AND(Inputs!$B$39&lt;&gt;"pvp",Inputs!$B$44=0),1,IF(IF(Inputs!$B$39="pvp",15,Inputs!$B$44)-(B217)&lt;=0,1,MAX(0,IF(Inputs!$B$39="pvp",15,Inputs!$B$44)-MAX(5,B217))/(IF(Inputs!$B$39="pvp",15,Inputs!$B$44)-(B217))))*IF(AND(ArtifactsInput!$M$42,((Inputs!$B$9+((C198=TRUE)*(F198-Calc!F26))+B206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181*(MIN(100,(Inputs!$B$9+((C198=TRUE)*(F198-Calc!F26))+B206+(ArtifactsInput!$M$24-ArtifactsInput!$M$24)*CHOOSE(ArtifactsInput!$N$24+1,10,12,14,16,18,20)+(IF(AND(Inputs!$B$39&lt;&gt;"pvp",Inputs!$B$44=0),1,IF(IF(Inputs!$B$39="pvp",15,Inputs!$B$44)-(B217)&lt;=0,1,MAX(0,IF(Inputs!$B$39="pvp",15,Inputs!$B$44)-MAX(5,B217))/(IF(Inputs!$B$39="pvp",15,Inputs!$B$44)-(B217))))*IF(AND(ArtifactsInput!$M$42,((Inputs!$B$9+((C198=TRUE)*(F198-Calc!F26))+B206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181">
        <f>IF(C181,(H181*N181*IF(AND(Inputs!$B$39&lt;&gt;"pvp",Inputs!$B$44&gt;0),((Skills!G9*((R181-1)*IF(Skills!H9&gt;0,Skills!I9/Skills!H9,1)+IF(Skills!H9&gt;0,MIN(Skills!I9,MAX(0,MAX(0,Inputs!$B$44-B217)-((R181-1)*IF(Inputs!$B$39="pvp",15,MAX(0.1,Skills!D9-IF(FALSE=TRUE,Inputs!$B$32,0))))))/Skills!H9,1)))/Inputs!$B$44),G181*Q181))*IF(Inputs!$B$39="pvp",1,(1+(Inputs!$B$21+Skills!Q9+B207+(IF(ArtifactsInput!$M$33,CHOOSE(ArtifactsInput!$N$33+1,30,36,42,48,54,60),0))+(IF(AND(ArtifactsInput!$M$35,Inputs!$B$4&lt;&gt;"Chapter Hunt"),CHOOSE(ArtifactsInput!$N$35+1,15,18,21,24,27,30)*(1-EXP(-(0.2*B210)*5)),0)+IF(AND(ArtifactsInput!$M$22,Inputs!$B$4&lt;&gt;"Chapter Hunt"),CHOOSE(ArtifactsInput!$N$22+1,10,12,14,16,18,20)*((0*(((0.15*B210*5))^0/1)+1*(((0.15*B210*5))^1/1)+2*(((0.15*B210*5))^2/2)+3*(((0.15*B210*5))^3/6)+4*(((0.15*B210*5))^4/24)+5*(((0.15*B210*5))^5/120))/((((0.15*B210*5))^0/1)+(((0.15*B210*5))^1/1)+(((0.15*B210*5))^2/2)+(((0.15*B210*5))^3/6)+(((0.15*B210*5))^4/24)+(((0.15*B210*5))^5/120))),0)))/100)*(MIN(Skills!W9,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82">
      <c r="A182">
        <f>Skills!A10</f>
        <v/>
      </c>
      <c r="B182">
        <f>Skills!B10</f>
        <v/>
      </c>
      <c r="C182">
        <f>Inputs!$B$3&gt;=117</f>
        <v/>
      </c>
      <c r="D182">
        <f>IF(Skills!C10=1,60+Inputs!$B$25+Inputs!$B$29,IF(Skills!C10=2,90+Inputs!$B$26+Inputs!$B$29,IF(Skills!C10=3,120+Inputs!$B$27+Inputs!$B$29,MAX(0,(Inputs!$B$3-100)*3)+Inputs!$B$28+Inputs!$B$29)))</f>
        <v/>
      </c>
      <c r="E182">
        <f>INDEX(FactorTable!$B$2:$Y$301, MATCH(ROUND(MIN(300,MAX(1,D182)),0), FactorTable!$A$2:$A$301,0), Skills!M10+1)</f>
        <v/>
      </c>
      <c r="F182">
        <f>IF(Skills!N10=TRUE,(Skills!L10/10)*(E182/1000),Skills!L10/10)+Skills!O10</f>
        <v/>
      </c>
      <c r="G182">
        <f>Skills!G10*IF(Skills!H10&gt;0,IF(Inputs!$B$39="pvp",MIN(Skills!I10,15),Skills!I10)/Skills!H10,1)</f>
        <v/>
      </c>
      <c r="H182">
        <f>1-(1-Skills!J10/100)^Skills!K10</f>
        <v/>
      </c>
      <c r="I182" t="inlineStr">
        <is>
          <t>1</t>
        </is>
      </c>
      <c r="J182">
        <f>((Inputs!$B$6*(1+Inputs!$B$7/100))+(((Inputs!$B$12*(1+Inputs!$B$13/100))-(Inputs!$B$12*(1+Inputs!$B$13/100)))+0.25*((Inputs!$B$14+1)-Inputs!$B$14))*(1+Inputs!$B$7/100))*(F182/100)</f>
        <v/>
      </c>
      <c r="K182">
        <f>J182*(1+((Inputs!$B$12*(1+Inputs!$B$13/100))*0.01+(Inputs!$B$14+1)*0.0025)/100)*(1+Inputs!$B$15/100)*(1+Inputs!$B$16/100)*(5000/(6000+Inputs!$B$43*(1-(100*(1-(1-Inputs!$B$19/100)*(1-CHOOSE(ArtifactsInput!$N$40+1,5,6,7,8,9,10)/100)^(ArtifactsInput!$M$40-ArtifactsInput!$M$40)))/100)))*(1+(Inputs!$B$24+((C203=TRUE)*(F203-Calc!F31))+((C190=TRUE)*(F190-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10="CRUEL_STAB",Inputs!$B$17+((C200=TRUE)*(F200-Calc!F28))+((IF(AND(Inputs!$B$39&lt;&gt;"pvp",Inputs!$B$44=0),1,IF(IF(Inputs!$B$39="pvp",15,Inputs!$B$44)-(B217)&lt;=0,1,MAX(0,IF(Inputs!$B$39="pvp",15,Inputs!$B$44)-MAX(5,B217))/(IF(Inputs!$B$39="pvp",15,Inputs!$B$44)-(B217))))*(IF(AND(ArtifactsInput!$M$42,((Inputs!$B$9+((C198=TRUE)*(F198-Calc!F26))+B206+(ArtifactsInput!$M$24-ArtifactsInput!$M$24)*CHOOSE(ArtifactsInput!$N$24+1,10,12,14,16,18,20)+IF(ArtifactsInput!$M$10,CHOOSE(ArtifactsInput!$N$10+1,15,18,21,24,27,30)*(IF(Inputs!$B$39="pvp",MIN(15,15)/15,IF(AND(Inputs!$B$39&lt;&gt;"pvp",Inputs!$B$44&gt;0),MIN(15,Inputs!$B$44)/(Inputs!$B$44),0))),0)))&gt;=100),MIN(100,((Inputs!$B$9+((C198=TRUE)*(F198-Calc!F26))+B206+(ArtifactsInput!$M$24-ArtifactsInput!$M$24)*CHOOSE(ArtifactsInput!$N$24+1,10,12,14,16,18,20)+IF(ArtifactsInput!$M$10,CHOOSE(ArtifactsInput!$N$10+1,15,18,21,24,27,30)*(IF(Inputs!$B$39="pvp",MIN(15,15)/15,IF(AND(Inputs!$B$39&lt;&gt;"pvp",Inputs!$B$44&gt;0),MIN(15,Inputs!$B$44)/(Inputs!$B$44),0))),0)))-100),0))*CHOOSE(ArtifactsInput!$N$42+1,0.6,0.72,0.84,0.96,1.08,1.2))),Inputs!$B$18+((C201=TRUE)*(F201-Calc!F29))+(IF(AND(Inputs!$B$39&lt;&gt;"pvp",Inputs!$B$44=0),1,IF(IF(Inputs!$B$39="pvp",15,Inputs!$B$44)-(B217)&lt;=0,1,MAX(0,IF(Inputs!$B$39="pvp",15,Inputs!$B$44)-MAX(5,B217))/(IF(Inputs!$B$39="pvp",15,Inputs!$B$44)-(B217))))*IF(AND(ArtifactsInput!$M$42,((Inputs!$B$9+((C198=TRUE)*(F198-Calc!F26))+B206+(ArtifactsInput!$M$24-ArtifactsInput!$M$24)*CHOOSE(ArtifactsInput!$N$24+1,10,12,14,16,18,20)+IF(ArtifactsInput!$M$10,CHOOSE(ArtifactsInput!$N$10+1,15,18,21,24,27,30)*(IF(Inputs!$B$39="pvp",MIN(15,15)/15,IF(AND(Inputs!$B$39&lt;&gt;"pvp",Inputs!$B$44&gt;0),MIN(15,Inputs!$B$44)/(Inputs!$B$44),0))),0)))&gt;=100),CHOOSE(ArtifactsInput!$N$42+1,40,48,56,64,72,80),0))))/100)*(((1+(((C194=TRUE)*F194*IF(AND(Inputs!$B$39&lt;&gt;"pvp",Inputs!$B$44&gt;0),(((R194-1)*MIN((Skills!Y22*(1+Inputs!$B$34/100)),(1/Q194))+MIN((Skills!Y22*(1+Inputs!$B$34/100)),MAX(0,Inputs!$B$44-((R194-1)*(1/Q194)))))/Inputs!$B$44),IF(Inputs!$B$39="pvp",MIN((Skills!Y22*(1+Inputs!$B$34/100)),15)/15,MIN(1,(Skills!Y22*(1+Inputs!$B$34/100))/(1/Q194)))))+((C175=TRUE)*F175*3)+((C177=TRUE)*F177*(1-EXP(-0.75*B210*5)))+((C196=TRUE)*(F196-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183=TRUE)*F183*IF(AND(Inputs!$B$39&lt;&gt;"pvp",Inputs!$B$44&gt;0),(((R183-1)*MIN((Skills!Y11*(1+Inputs!$B$34/100)),(1/Q183))+MIN((Skills!Y11*(1+Inputs!$B$34/100)),MAX(0,Inputs!$B$44-((R183-1)*(1/Q183)))))/Inputs!$B$44),IF(Inputs!$B$39="pvp",MIN((Skills!Y11*(1+Inputs!$B$34/100)),15)/15,MIN(1,(Skills!Y11*(1+Inputs!$B$34/100))/(1/Q183)))))/100)*(1+((C188=TRUE)*F188*IF(AND(Inputs!$B$39&lt;&gt;"pvp",Inputs!$B$44&gt;0),(((R188-1)*MIN((Skills!Y16*(1+Inputs!$B$34/100)),(1/Q188))+MIN((Skills!Y16*(1+Inputs!$B$34/100)),MAX(0,Inputs!$B$44-((R188-1)*(1/Q188)))))/Inputs!$B$44),IF(Inputs!$B$39="pvp",MIN((Skills!Y16*(1+Inputs!$B$34/100)),15)/15,MIN(1,(Skills!Y16*(1+Inputs!$B$34/100))/(1/Q188)))))/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208*I182)</f>
        <v/>
      </c>
      <c r="L182">
        <f>K182*(MIN(Inputs!$B$22+((C197=TRUE)*(F197-Calc!F25)),(Inputs!$B$23+((C202=TRUE)*(F202-Calc!F30))+IF(ArtifactsInput!$M$15,CHOOSE(ArtifactsInput!$N$15+1,25,30,35,40,45,50)/100*(Inputs!$B$11-Inputs!$B$11),0)))/100+(Inputs!$B$23+((C202=TRUE)*(F202-Calc!F30))+IF(ArtifactsInput!$M$15,CHOOSE(ArtifactsInput!$N$15+1,25,30,35,40,45,50)/100*(Inputs!$B$11-Inputs!$B$11),0))/100)/2</f>
        <v/>
      </c>
      <c r="M182">
        <f>L182*(1+(Inputs!$B$10+((C199=TRUE)*(F199-Calc!F27))+B213+(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182">
        <f>L182*(1-MIN((Inputs!$B$9+((C198=TRUE)*(F198-Calc!F26))+B206+(ArtifactsInput!$M$24-ArtifactsInput!$M$24)*CHOOSE(ArtifactsInput!$N$24+1,10,12,14,16,18,20)+(IF(AND(Inputs!$B$39&lt;&gt;"pvp",Inputs!$B$44=0),1,IF(IF(Inputs!$B$39="pvp",15,Inputs!$B$44)-(B217)&lt;=0,1,MAX(0,IF(Inputs!$B$39="pvp",15,Inputs!$B$44)-MAX(5,B217))/(IF(Inputs!$B$39="pvp",15,Inputs!$B$44)-(B217))))*IF(AND(ArtifactsInput!$M$42,((Inputs!$B$9+((C198=TRUE)*(F198-Calc!F26))+B206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182*(MIN((Inputs!$B$9+((C198=TRUE)*(F198-Calc!F26))+B206+(ArtifactsInput!$M$24-ArtifactsInput!$M$24)*CHOOSE(ArtifactsInput!$N$24+1,10,12,14,16,18,20)+(IF(AND(Inputs!$B$39&lt;&gt;"pvp",Inputs!$B$44=0),1,IF(IF(Inputs!$B$39="pvp",15,Inputs!$B$44)-(B217)&lt;=0,1,MAX(0,IF(Inputs!$B$39="pvp",15,Inputs!$B$44)-MAX(5,B217))/(IF(Inputs!$B$39="pvp",15,Inputs!$B$44)-(B217))))*IF(AND(ArtifactsInput!$M$42,((Inputs!$B$9+((C198=TRUE)*(F198-Calc!F26))+B206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82">
        <f>(1-Summary!$B$11)*T182+Summary!$B$11*V182</f>
        <v/>
      </c>
      <c r="P182">
        <f>IF(B218=0,0,O182/B218)</f>
        <v/>
      </c>
      <c r="Q182" t="n">
        <v>0</v>
      </c>
      <c r="R182" t="n">
        <v>0</v>
      </c>
      <c r="S182" t="n">
        <v>0</v>
      </c>
      <c r="T182">
        <f>IF(C182,(0.2*SUMPRODUCT((Skills!Z2:Z31=TRUE)*(C174:C203=TRUE)*S174:S203)*N182)*IF(Inputs!$B$39="pvp",1,1+(Inputs!$B$20+0+Skills!P10+B207+(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Hunt"),CHOOSE(ArtifactsInput!$N$35+1,15,18,21,24,27,30)*(1-EXP(-(0.2*B210)*5)),0)+IF(AND(ArtifactsInput!$M$22,Inputs!$B$4&lt;&gt;"Chapter Hunt"),CHOOSE(ArtifactsInput!$N$22+1,10,12,14,16,18,20)*((0*(((0.15*B210*5))^0/1)+1*(((0.15*B210*5))^1/1)+2*(((0.15*B210*5))^2/2)+3*(((0.15*B210*5))^3/6)+4*(((0.15*B210*5))^4/24)+5*(((0.15*B210*5))^5/120))/((((0.15*B210*5))^0/1)+(((0.15*B210*5))^1/1)+(((0.15*B210*5))^2/2)+(((0.15*B210*5))^3/6)+(((0.15*B210*5))^4/24)+(((0.15*B210*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182*(1-MIN(100,(Inputs!$B$9+((C198=TRUE)*(F198-Calc!F26))+B206+(ArtifactsInput!$M$24-ArtifactsInput!$M$24)*CHOOSE(ArtifactsInput!$N$24+1,10,12,14,16,18,20)+(IF(AND(Inputs!$B$39&lt;&gt;"pvp",Inputs!$B$44=0),1,IF(IF(Inputs!$B$39="pvp",15,Inputs!$B$44)-(B217)&lt;=0,1,MAX(0,IF(Inputs!$B$39="pvp",15,Inputs!$B$44)-MAX(5,B217))/(IF(Inputs!$B$39="pvp",15,Inputs!$B$44)-(B217))))*IF(AND(ArtifactsInput!$M$42,((Inputs!$B$9+((C198=TRUE)*(F198-Calc!F26))+B206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182*(MIN(100,(Inputs!$B$9+((C198=TRUE)*(F198-Calc!F26))+B206+(ArtifactsInput!$M$24-ArtifactsInput!$M$24)*CHOOSE(ArtifactsInput!$N$24+1,10,12,14,16,18,20)+(IF(AND(Inputs!$B$39&lt;&gt;"pvp",Inputs!$B$44=0),1,IF(IF(Inputs!$B$39="pvp",15,Inputs!$B$44)-(B217)&lt;=0,1,MAX(0,IF(Inputs!$B$39="pvp",15,Inputs!$B$44)-MAX(5,B217))/(IF(Inputs!$B$39="pvp",15,Inputs!$B$44)-(B217))))*IF(AND(ArtifactsInput!$M$42,((Inputs!$B$9+((C198=TRUE)*(F198-Calc!F26))+B206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182*(1-MIN(100,(Inputs!$B$9+((C198=TRUE)*(F198-Calc!F26))+B206+(ArtifactsInput!$M$24-ArtifactsInput!$M$24)*CHOOSE(ArtifactsInput!$N$24+1,10,12,14,16,18,20)+(IF(AND(Inputs!$B$39&lt;&gt;"pvp",Inputs!$B$44=0),1,IF(IF(Inputs!$B$39="pvp",15,Inputs!$B$44)-(B217)&lt;=0,1,MAX(0,IF(Inputs!$B$39="pvp",15,Inputs!$B$44)-MAX(5,B217))/(IF(Inputs!$B$39="pvp",15,Inputs!$B$44)-(B217))))*IF(AND(ArtifactsInput!$M$42,((Inputs!$B$9+((C198=TRUE)*(F198-Calc!F26))+B206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182*(MIN(100,(Inputs!$B$9+((C198=TRUE)*(F198-Calc!F26))+B206+(ArtifactsInput!$M$24-ArtifactsInput!$M$24)*CHOOSE(ArtifactsInput!$N$24+1,10,12,14,16,18,20)+(IF(AND(Inputs!$B$39&lt;&gt;"pvp",Inputs!$B$44=0),1,IF(IF(Inputs!$B$39="pvp",15,Inputs!$B$44)-(B217)&lt;=0,1,MAX(0,IF(Inputs!$B$39="pvp",15,Inputs!$B$44)-MAX(5,B217))/(IF(Inputs!$B$39="pvp",15,Inputs!$B$44)-(B217))))*IF(AND(ArtifactsInput!$M$42,((Inputs!$B$9+((C198=TRUE)*(F198-Calc!F26))+B206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182">
        <f>IF(C182,(0.2*SUMPRODUCT((Skills!Z2:Z31=TRUE)*(C174:C203=TRUE)*S174:S203)*N182)*IF(Inputs!$B$39="pvp",1,(1+(Inputs!$B$21+Skills!Q10+B207+(IF(ArtifactsInput!$M$33,CHOOSE(ArtifactsInput!$N$33+1,30,36,42,48,54,60),0))+(IF(AND(ArtifactsInput!$M$35,Inputs!$B$4&lt;&gt;"Chapter Hunt"),CHOOSE(ArtifactsInput!$N$35+1,15,18,21,24,27,30)*(1-EXP(-(0.2*B210)*5)),0)+IF(AND(ArtifactsInput!$M$22,Inputs!$B$4&lt;&gt;"Chapter Hunt"),CHOOSE(ArtifactsInput!$N$22+1,10,12,14,16,18,20)*((0*(((0.15*B210*5))^0/1)+1*(((0.15*B210*5))^1/1)+2*(((0.15*B210*5))^2/2)+3*(((0.15*B210*5))^3/6)+4*(((0.15*B210*5))^4/24)+5*(((0.15*B210*5))^5/120))/((((0.15*B210*5))^0/1)+(((0.15*B210*5))^1/1)+(((0.15*B210*5))^2/2)+(((0.15*B210*5))^3/6)+(((0.15*B210*5))^4/24)+(((0.15*B210*5))^5/120))),0)))/100)*(MIN(Skills!W10,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83">
      <c r="A183">
        <f>Skills!A11</f>
        <v/>
      </c>
      <c r="B183">
        <f>Skills!B11</f>
        <v/>
      </c>
      <c r="C183">
        <f>Inputs!$B$3&gt;=74</f>
        <v/>
      </c>
      <c r="D183">
        <f>IF(Skills!C11=1,60+Inputs!$B$25+Inputs!$B$29,IF(Skills!C11=2,90+Inputs!$B$26+Inputs!$B$29,IF(Skills!C11=3,120+Inputs!$B$27+Inputs!$B$29,MAX(0,(Inputs!$B$3-100)*3)+Inputs!$B$28+Inputs!$B$29)))</f>
        <v/>
      </c>
      <c r="E183">
        <f>INDEX(FactorTable!$B$2:$Y$301, MATCH(ROUND(MIN(300,MAX(1,D183)),0), FactorTable!$A$2:$A$301,0), Skills!M11+1)</f>
        <v/>
      </c>
      <c r="F183">
        <f>IF(Skills!N11=TRUE,(Skills!L11/10)*(E183/1000),Skills!L11/10)+Skills!O11</f>
        <v/>
      </c>
      <c r="G183">
        <f>Skills!G11*IF(Skills!H11&gt;0,IF(Inputs!$B$39="pvp",MIN(Skills!I11,15),Skills!I11)/Skills!H11,1)</f>
        <v/>
      </c>
      <c r="H183">
        <f>1-(1-Skills!J11/100)^Skills!K11</f>
        <v/>
      </c>
      <c r="I183" t="inlineStr">
        <is>
          <t>1</t>
        </is>
      </c>
      <c r="J183" t="inlineStr"/>
      <c r="K183" t="inlineStr"/>
      <c r="L183" t="inlineStr"/>
      <c r="M183" t="inlineStr"/>
      <c r="N183" t="inlineStr"/>
      <c r="O183">
        <f>(1-Summary!$B$11)*T183+Summary!$B$11*V183</f>
        <v/>
      </c>
      <c r="P183">
        <f>IF(B218=0,0,O183/B218)</f>
        <v/>
      </c>
      <c r="Q183">
        <f>IFERROR(1/IF(Inputs!$B$39="pvp",15,MAX(0.1,Skills!D11-IF(TRUE=TRUE,Inputs!$B$32,0))),0)</f>
        <v/>
      </c>
      <c r="R183">
        <f>IF(AND(Inputs!$B$39&lt;&gt;"pvp",Inputs!$B$44&gt;0),IF(Inputs!$B$44&lt;=0,0,(INT(Inputs!$B$44/IF(Inputs!$B$39="pvp",15,MAX(0.1,Skills!D11-IF(TRUE=TRUE,Inputs!$B$32,0))))+1)),0)</f>
        <v/>
      </c>
      <c r="S183">
        <f>IFERROR(O183/N183,0)</f>
        <v/>
      </c>
      <c r="T183" t="n">
        <v>0</v>
      </c>
      <c r="V183" t="n">
        <v>0</v>
      </c>
    </row>
    <row r="184">
      <c r="A184">
        <f>Skills!A12</f>
        <v/>
      </c>
      <c r="B184">
        <f>Skills!B12</f>
        <v/>
      </c>
      <c r="C184">
        <f>Inputs!$B$3&gt;=103</f>
        <v/>
      </c>
      <c r="D184">
        <f>IF(Skills!C12=1,60+Inputs!$B$25+Inputs!$B$29,IF(Skills!C12=2,90+Inputs!$B$26+Inputs!$B$29,IF(Skills!C12=3,120+Inputs!$B$27+Inputs!$B$29,MAX(0,(Inputs!$B$3-100)*3)+Inputs!$B$28+Inputs!$B$29)))</f>
        <v/>
      </c>
      <c r="E184">
        <f>INDEX(FactorTable!$B$2:$Y$301, MATCH(ROUND(MIN(300,MAX(1,D184)),0), FactorTable!$A$2:$A$301,0), Skills!M12+1)</f>
        <v/>
      </c>
      <c r="F184">
        <f>(Skills!L12/10)*(E184/1000)+IF(Inputs!$B$3&gt;=134,50,0)+0.5*(30000/10)*(INDEX(FactorTable!$B$2:$Y$301, MATCH(ROUND(MIN(300,MAX(1,D184)),0), FactorTable!$A$2:$A$301,0), 13)/1000)*B216</f>
        <v/>
      </c>
      <c r="G184">
        <f>Skills!G12*IF(Skills!H12&gt;0,IF(Inputs!$B$39="pvp",MIN(Skills!I12,15),Skills!I12)/Skills!H12,1)</f>
        <v/>
      </c>
      <c r="H184">
        <f>1-(1-Skills!J12/100)^Skills!K12</f>
        <v/>
      </c>
      <c r="I184" t="inlineStr">
        <is>
          <t>1</t>
        </is>
      </c>
      <c r="J184">
        <f>((Inputs!$B$6*(1+Inputs!$B$7/100))+(((Inputs!$B$12*(1+Inputs!$B$13/100))-(Inputs!$B$12*(1+Inputs!$B$13/100)))+0.25*((Inputs!$B$14+1)-Inputs!$B$14))*(1+Inputs!$B$7/100))*(F184/100)</f>
        <v/>
      </c>
      <c r="K184">
        <f>J184*(1+((Inputs!$B$12*(1+Inputs!$B$13/100))*0.01+(Inputs!$B$14+1)*0.0025)/100)*(1+Inputs!$B$15/100)*(1+Inputs!$B$16/100)*(5000/(6000+Inputs!$B$43*(1-(100*(1-(1-Inputs!$B$19/100)*(1-CHOOSE(ArtifactsInput!$N$40+1,5,6,7,8,9,10)/100)^(ArtifactsInput!$M$40-ArtifactsInput!$M$40)))/100)))*(1+(Inputs!$B$24+((C203=TRUE)*(F203-Calc!F31))+((C190=TRUE)*(F190-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12="CRUEL_STAB",Inputs!$B$17+((C200=TRUE)*(F200-Calc!F28))+((IF(AND(Inputs!$B$39&lt;&gt;"pvp",Inputs!$B$44=0),1,IF(IF(Inputs!$B$39="pvp",15,Inputs!$B$44)-(B217)&lt;=0,1,MAX(0,IF(Inputs!$B$39="pvp",15,Inputs!$B$44)-MAX(5,B217))/(IF(Inputs!$B$39="pvp",15,Inputs!$B$44)-(B217))))*(IF(AND(ArtifactsInput!$M$42,((Inputs!$B$9+((C198=TRUE)*(F198-Calc!F26))+B206+(ArtifactsInput!$M$24-ArtifactsInput!$M$24)*CHOOSE(ArtifactsInput!$N$24+1,10,12,14,16,18,20)+IF(ArtifactsInput!$M$10,CHOOSE(ArtifactsInput!$N$10+1,15,18,21,24,27,30)*(IF(Inputs!$B$39="pvp",MIN(15,15)/15,IF(AND(Inputs!$B$39&lt;&gt;"pvp",Inputs!$B$44&gt;0),MIN(15,Inputs!$B$44)/(Inputs!$B$44),0))),0)))&gt;=100),MIN(100,((Inputs!$B$9+((C198=TRUE)*(F198-Calc!F26))+B206+(ArtifactsInput!$M$24-ArtifactsInput!$M$24)*CHOOSE(ArtifactsInput!$N$24+1,10,12,14,16,18,20)+IF(ArtifactsInput!$M$10,CHOOSE(ArtifactsInput!$N$10+1,15,18,21,24,27,30)*(IF(Inputs!$B$39="pvp",MIN(15,15)/15,IF(AND(Inputs!$B$39&lt;&gt;"pvp",Inputs!$B$44&gt;0),MIN(15,Inputs!$B$44)/(Inputs!$B$44),0))),0)))-100),0))*CHOOSE(ArtifactsInput!$N$42+1,0.6,0.72,0.84,0.96,1.08,1.2))),Inputs!$B$18+((C201=TRUE)*(F201-Calc!F29))+(IF(AND(Inputs!$B$39&lt;&gt;"pvp",Inputs!$B$44=0),1,IF(IF(Inputs!$B$39="pvp",15,Inputs!$B$44)-(B217)&lt;=0,1,MAX(0,IF(Inputs!$B$39="pvp",15,Inputs!$B$44)-MAX(5,B217))/(IF(Inputs!$B$39="pvp",15,Inputs!$B$44)-(B217))))*IF(AND(ArtifactsInput!$M$42,((Inputs!$B$9+((C198=TRUE)*(F198-Calc!F26))+B206+(ArtifactsInput!$M$24-ArtifactsInput!$M$24)*CHOOSE(ArtifactsInput!$N$24+1,10,12,14,16,18,20)+IF(ArtifactsInput!$M$10,CHOOSE(ArtifactsInput!$N$10+1,15,18,21,24,27,30)*(IF(Inputs!$B$39="pvp",MIN(15,15)/15,IF(AND(Inputs!$B$39&lt;&gt;"pvp",Inputs!$B$44&gt;0),MIN(15,Inputs!$B$44)/(Inputs!$B$44),0))),0)))&gt;=100),CHOOSE(ArtifactsInput!$N$42+1,40,48,56,64,72,80),0))))/100)*(((1+(((C194=TRUE)*F194*IF(AND(Inputs!$B$39&lt;&gt;"pvp",Inputs!$B$44&gt;0),(((R194-1)*MIN((Skills!Y22*(1+Inputs!$B$34/100)),(1/Q194))+MIN((Skills!Y22*(1+Inputs!$B$34/100)),MAX(0,Inputs!$B$44-((R194-1)*(1/Q194)))))/Inputs!$B$44),IF(Inputs!$B$39="pvp",MIN((Skills!Y22*(1+Inputs!$B$34/100)),15)/15,MIN(1,(Skills!Y22*(1+Inputs!$B$34/100))/(1/Q194)))))+((C175=TRUE)*F175*3)+((C177=TRUE)*F177*(1-EXP(-0.75*B210*5)))+((C196=TRUE)*(F196-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183=TRUE)*F183*IF(AND(Inputs!$B$39&lt;&gt;"pvp",Inputs!$B$44&gt;0),(((R183-1)*MIN((Skills!Y11*(1+Inputs!$B$34/100)),(1/Q183))+MIN((Skills!Y11*(1+Inputs!$B$34/100)),MAX(0,Inputs!$B$44-((R183-1)*(1/Q183)))))/Inputs!$B$44),IF(Inputs!$B$39="pvp",MIN((Skills!Y11*(1+Inputs!$B$34/100)),15)/15,MIN(1,(Skills!Y11*(1+Inputs!$B$34/100))/(1/Q183)))))/100)*(1+((C188=TRUE)*F188*IF(AND(Inputs!$B$39&lt;&gt;"pvp",Inputs!$B$44&gt;0),(((R188-1)*MIN((Skills!Y16*(1+Inputs!$B$34/100)),(1/Q188))+MIN((Skills!Y16*(1+Inputs!$B$34/100)),MAX(0,Inputs!$B$44-((R188-1)*(1/Q188)))))/Inputs!$B$44),IF(Inputs!$B$39="pvp",MIN((Skills!Y16*(1+Inputs!$B$34/100)),15)/15,MIN(1,(Skills!Y16*(1+Inputs!$B$34/100))/(1/Q188)))))/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208*I184)</f>
        <v/>
      </c>
      <c r="L184">
        <f>K184*(MIN(Inputs!$B$22+((C197=TRUE)*(F197-Calc!F25)),(Inputs!$B$23+((C202=TRUE)*(F202-Calc!F30))+IF(ArtifactsInput!$M$15,CHOOSE(ArtifactsInput!$N$15+1,25,30,35,40,45,50)/100*(Inputs!$B$11-Inputs!$B$11),0)))/100+(Inputs!$B$23+((C202=TRUE)*(F202-Calc!F30))+IF(ArtifactsInput!$M$15,CHOOSE(ArtifactsInput!$N$15+1,25,30,35,40,45,50)/100*(Inputs!$B$11-Inputs!$B$11),0))/100)/2</f>
        <v/>
      </c>
      <c r="M184">
        <f>L184*(1+(Inputs!$B$10+((C199=TRUE)*(F199-Calc!F27))+B213+(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184">
        <f>L184*(1-MIN((Inputs!$B$9+((C198=TRUE)*(F198-Calc!F26))+B206+(ArtifactsInput!$M$24-ArtifactsInput!$M$24)*CHOOSE(ArtifactsInput!$N$24+1,10,12,14,16,18,20)+(IF(AND(Inputs!$B$39&lt;&gt;"pvp",Inputs!$B$44=0),1,IF(IF(Inputs!$B$39="pvp",15,Inputs!$B$44)-(B217)&lt;=0,1,MAX(0,IF(Inputs!$B$39="pvp",15,Inputs!$B$44)-MAX(5,B217))/(IF(Inputs!$B$39="pvp",15,Inputs!$B$44)-(B217))))*IF(AND(ArtifactsInput!$M$42,((Inputs!$B$9+((C198=TRUE)*(F198-Calc!F26))+B206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184*(MIN((Inputs!$B$9+((C198=TRUE)*(F198-Calc!F26))+B206+(ArtifactsInput!$M$24-ArtifactsInput!$M$24)*CHOOSE(ArtifactsInput!$N$24+1,10,12,14,16,18,20)+(IF(AND(Inputs!$B$39&lt;&gt;"pvp",Inputs!$B$44=0),1,IF(IF(Inputs!$B$39="pvp",15,Inputs!$B$44)-(B217)&lt;=0,1,MAX(0,IF(Inputs!$B$39="pvp",15,Inputs!$B$44)-MAX(5,B217))/(IF(Inputs!$B$39="pvp",15,Inputs!$B$44)-(B217))))*IF(AND(ArtifactsInput!$M$42,((Inputs!$B$9+((C198=TRUE)*(F198-Calc!F26))+B206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84">
        <f>(1-Summary!$B$11)*T184+Summary!$B$11*V184</f>
        <v/>
      </c>
      <c r="P184">
        <f>IF(B218=0,0,O184/B218)</f>
        <v/>
      </c>
      <c r="Q184">
        <f>IFERROR(1/IF(Inputs!$B$39="pvp",15,MAX(0.1,Skills!D12-IF(TRUE=TRUE,Inputs!$B$32,0))),0)</f>
        <v/>
      </c>
      <c r="R184">
        <f>IF(AND(Inputs!$B$39&lt;&gt;"pvp",Inputs!$B$44&gt;0),IF(MAX(0,Inputs!$B$44-B217)&lt;=0,0,(INT(MAX(0,Inputs!$B$44-B217)/IF(Inputs!$B$39="pvp",15,MAX(0.1,Skills!D12-IF(TRUE=TRUE,Inputs!$B$32,0))))+1)),0)</f>
        <v/>
      </c>
      <c r="S184">
        <f>IFERROR(O184/N184,0)</f>
        <v/>
      </c>
      <c r="T184">
        <f>IF(C184,(H184*N184*IF(AND(Inputs!$B$39&lt;&gt;"pvp",Inputs!$B$44&gt;0),((Skills!G12*((R184-1)*IF(Skills!H12&gt;0,Skills!I12/Skills!H12,1)+IF(Skills!H12&gt;0,MIN(Skills!I12,MAX(0,MAX(0,Inputs!$B$44-B217)-((R184-1)*IF(Inputs!$B$39="pvp",15,MAX(0.1,Skills!D12-IF(TRUE=TRUE,Inputs!$B$32,0))))))/Skills!H12,1)))/Inputs!$B$44),G184*Q184))*IF(Inputs!$B$39="pvp",1,1+(Inputs!$B$20+0+Skills!P12+B207+(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Hunt"),CHOOSE(ArtifactsInput!$N$35+1,15,18,21,24,27,30)*(1-EXP(-(0.2*B210)*5)),0)+IF(AND(ArtifactsInput!$M$22,Inputs!$B$4&lt;&gt;"Chapter Hunt"),CHOOSE(ArtifactsInput!$N$22+1,10,12,14,16,18,20)*((0*(((0.15*B210*5))^0/1)+1*(((0.15*B210*5))^1/1)+2*(((0.15*B210*5))^2/2)+3*(((0.15*B210*5))^3/6)+4*(((0.15*B210*5))^4/24)+5*(((0.15*B210*5))^5/120))/((((0.15*B210*5))^0/1)+(((0.15*B210*5))^1/1)+(((0.15*B210*5))^2/2)+(((0.15*B210*5))^3/6)+(((0.15*B210*5))^4/24)+(((0.15*B210*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184*(1-MIN(100,(Inputs!$B$9+((C198=TRUE)*(F198-Calc!F26))+B206+(ArtifactsInput!$M$24-ArtifactsInput!$M$24)*CHOOSE(ArtifactsInput!$N$24+1,10,12,14,16,18,20)+(IF(AND(Inputs!$B$39&lt;&gt;"pvp",Inputs!$B$44=0),1,IF(IF(Inputs!$B$39="pvp",15,Inputs!$B$44)-(B217)&lt;=0,1,MAX(0,IF(Inputs!$B$39="pvp",15,Inputs!$B$44)-MAX(5,B217))/(IF(Inputs!$B$39="pvp",15,Inputs!$B$44)-(B217))))*IF(AND(ArtifactsInput!$M$42,((Inputs!$B$9+((C198=TRUE)*(F198-Calc!F26))+B206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184*(MIN(100,(Inputs!$B$9+((C198=TRUE)*(F198-Calc!F26))+B206+(ArtifactsInput!$M$24-ArtifactsInput!$M$24)*CHOOSE(ArtifactsInput!$N$24+1,10,12,14,16,18,20)+(IF(AND(Inputs!$B$39&lt;&gt;"pvp",Inputs!$B$44=0),1,IF(IF(Inputs!$B$39="pvp",15,Inputs!$B$44)-(B217)&lt;=0,1,MAX(0,IF(Inputs!$B$39="pvp",15,Inputs!$B$44)-MAX(5,B217))/(IF(Inputs!$B$39="pvp",15,Inputs!$B$44)-(B217))))*IF(AND(ArtifactsInput!$M$42,((Inputs!$B$9+((C198=TRUE)*(F198-Calc!F26))+B206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184*(1-MIN(100,(Inputs!$B$9+((C198=TRUE)*(F198-Calc!F26))+B206+(ArtifactsInput!$M$24-ArtifactsInput!$M$24)*CHOOSE(ArtifactsInput!$N$24+1,10,12,14,16,18,20)+(IF(AND(Inputs!$B$39&lt;&gt;"pvp",Inputs!$B$44=0),1,IF(IF(Inputs!$B$39="pvp",15,Inputs!$B$44)-(B217)&lt;=0,1,MAX(0,IF(Inputs!$B$39="pvp",15,Inputs!$B$44)-MAX(5,B217))/(IF(Inputs!$B$39="pvp",15,Inputs!$B$44)-(B217))))*IF(AND(ArtifactsInput!$M$42,((Inputs!$B$9+((C198=TRUE)*(F198-Calc!F26))+B206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184*(MIN(100,(Inputs!$B$9+((C198=TRUE)*(F198-Calc!F26))+B206+(ArtifactsInput!$M$24-ArtifactsInput!$M$24)*CHOOSE(ArtifactsInput!$N$24+1,10,12,14,16,18,20)+(IF(AND(Inputs!$B$39&lt;&gt;"pvp",Inputs!$B$44=0),1,IF(IF(Inputs!$B$39="pvp",15,Inputs!$B$44)-(B217)&lt;=0,1,MAX(0,IF(Inputs!$B$39="pvp",15,Inputs!$B$44)-MAX(5,B217))/(IF(Inputs!$B$39="pvp",15,Inputs!$B$44)-(B217))))*IF(AND(ArtifactsInput!$M$42,((Inputs!$B$9+((C198=TRUE)*(F198-Calc!F26))+B206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184">
        <f>IF(C184,(H184*N184*IF(AND(Inputs!$B$39&lt;&gt;"pvp",Inputs!$B$44&gt;0),((Skills!G12*((R184-1)*IF(Skills!H12&gt;0,Skills!I12/Skills!H12,1)+IF(Skills!H12&gt;0,MIN(Skills!I12,MAX(0,MAX(0,Inputs!$B$44-B217)-((R184-1)*IF(Inputs!$B$39="pvp",15,MAX(0.1,Skills!D12-IF(TRUE=TRUE,Inputs!$B$32,0))))))/Skills!H12,1)))/Inputs!$B$44),G184*Q184))*IF(Inputs!$B$39="pvp",1,(1+(Inputs!$B$21+Skills!Q12+B207+(IF(ArtifactsInput!$M$33,CHOOSE(ArtifactsInput!$N$33+1,30,36,42,48,54,60),0))+(IF(AND(ArtifactsInput!$M$35,Inputs!$B$4&lt;&gt;"Chapter Hunt"),CHOOSE(ArtifactsInput!$N$35+1,15,18,21,24,27,30)*(1-EXP(-(0.2*B210)*5)),0)+IF(AND(ArtifactsInput!$M$22,Inputs!$B$4&lt;&gt;"Chapter Hunt"),CHOOSE(ArtifactsInput!$N$22+1,10,12,14,16,18,20)*((0*(((0.15*B210*5))^0/1)+1*(((0.15*B210*5))^1/1)+2*(((0.15*B210*5))^2/2)+3*(((0.15*B210*5))^3/6)+4*(((0.15*B210*5))^4/24)+5*(((0.15*B210*5))^5/120))/((((0.15*B210*5))^0/1)+(((0.15*B210*5))^1/1)+(((0.15*B210*5))^2/2)+(((0.15*B210*5))^3/6)+(((0.15*B210*5))^4/24)+(((0.15*B210*5))^5/120))),0)))/100)*(MIN(Skills!W12,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85">
      <c r="A185">
        <f>Skills!A13</f>
        <v/>
      </c>
      <c r="B185">
        <f>Skills!B13</f>
        <v/>
      </c>
      <c r="C185">
        <f>Inputs!$B$3&gt;=105</f>
        <v/>
      </c>
      <c r="D185">
        <f>IF(Skills!C13=1,60+Inputs!$B$25+Inputs!$B$29,IF(Skills!C13=2,90+Inputs!$B$26+Inputs!$B$29,IF(Skills!C13=3,120+Inputs!$B$27+Inputs!$B$29,MAX(0,(Inputs!$B$3-100)*3)+Inputs!$B$28+Inputs!$B$29)))</f>
        <v/>
      </c>
      <c r="E185">
        <f>INDEX(FactorTable!$B$2:$Y$301, MATCH(ROUND(MIN(300,MAX(1,D185)),0), FactorTable!$A$2:$A$301,0), Skills!M13+1)</f>
        <v/>
      </c>
      <c r="F185">
        <f>IF(Skills!N13=TRUE,(Skills!L13/10)*(E185/1000),Skills!L13/10)+Skills!O13</f>
        <v/>
      </c>
      <c r="G185">
        <f>Skills!G13*IF(Skills!H13&gt;0,IF(Inputs!$B$39="pvp",MIN(Skills!I13,15),Skills!I13)/Skills!H13,1)</f>
        <v/>
      </c>
      <c r="H185">
        <f>1-(1-Skills!J13/100)^Skills!K13</f>
        <v/>
      </c>
      <c r="I185" t="inlineStr">
        <is>
          <t>1</t>
        </is>
      </c>
      <c r="J185">
        <f>((Inputs!$B$6*(1+Inputs!$B$7/100))+(((Inputs!$B$12*(1+Inputs!$B$13/100))-(Inputs!$B$12*(1+Inputs!$B$13/100)))+0.25*((Inputs!$B$14+1)-Inputs!$B$14))*(1+Inputs!$B$7/100))*(F185/100)</f>
        <v/>
      </c>
      <c r="K185">
        <f>J185*(1+((Inputs!$B$12*(1+Inputs!$B$13/100))*0.01+(Inputs!$B$14+1)*0.0025)/100)*(1+Inputs!$B$15/100)*(1+Inputs!$B$16/100)*(5000/(6000+Inputs!$B$43*(1-(100*(1-(1-Inputs!$B$19/100)*(1-CHOOSE(ArtifactsInput!$N$40+1,5,6,7,8,9,10)/100)^(ArtifactsInput!$M$40-ArtifactsInput!$M$40)))/100)))*(1+(Inputs!$B$24+((C203=TRUE)*(F203-Calc!F31))+((C190=TRUE)*(F190-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13="CRUEL_STAB",Inputs!$B$17+((C200=TRUE)*(F200-Calc!F28))+((IF(AND(Inputs!$B$39&lt;&gt;"pvp",Inputs!$B$44=0),1,IF(IF(Inputs!$B$39="pvp",15,Inputs!$B$44)-(B217)&lt;=0,1,MAX(0,IF(Inputs!$B$39="pvp",15,Inputs!$B$44)-MAX(5,B217))/(IF(Inputs!$B$39="pvp",15,Inputs!$B$44)-(B217))))*(IF(AND(ArtifactsInput!$M$42,((Inputs!$B$9+((C198=TRUE)*(F198-Calc!F26))+B206+(ArtifactsInput!$M$24-ArtifactsInput!$M$24)*CHOOSE(ArtifactsInput!$N$24+1,10,12,14,16,18,20)+IF(ArtifactsInput!$M$10,CHOOSE(ArtifactsInput!$N$10+1,15,18,21,24,27,30)*(IF(Inputs!$B$39="pvp",MIN(15,15)/15,IF(AND(Inputs!$B$39&lt;&gt;"pvp",Inputs!$B$44&gt;0),MIN(15,Inputs!$B$44)/(Inputs!$B$44),0))),0)))&gt;=100),MIN(100,((Inputs!$B$9+((C198=TRUE)*(F198-Calc!F26))+B206+(ArtifactsInput!$M$24-ArtifactsInput!$M$24)*CHOOSE(ArtifactsInput!$N$24+1,10,12,14,16,18,20)+IF(ArtifactsInput!$M$10,CHOOSE(ArtifactsInput!$N$10+1,15,18,21,24,27,30)*(IF(Inputs!$B$39="pvp",MIN(15,15)/15,IF(AND(Inputs!$B$39&lt;&gt;"pvp",Inputs!$B$44&gt;0),MIN(15,Inputs!$B$44)/(Inputs!$B$44),0))),0)))-100),0))*CHOOSE(ArtifactsInput!$N$42+1,0.6,0.72,0.84,0.96,1.08,1.2))),Inputs!$B$18+((C201=TRUE)*(F201-Calc!F29))+(IF(AND(Inputs!$B$39&lt;&gt;"pvp",Inputs!$B$44=0),1,IF(IF(Inputs!$B$39="pvp",15,Inputs!$B$44)-(B217)&lt;=0,1,MAX(0,IF(Inputs!$B$39="pvp",15,Inputs!$B$44)-MAX(5,B217))/(IF(Inputs!$B$39="pvp",15,Inputs!$B$44)-(B217))))*IF(AND(ArtifactsInput!$M$42,((Inputs!$B$9+((C198=TRUE)*(F198-Calc!F26))+B206+(ArtifactsInput!$M$24-ArtifactsInput!$M$24)*CHOOSE(ArtifactsInput!$N$24+1,10,12,14,16,18,20)+IF(ArtifactsInput!$M$10,CHOOSE(ArtifactsInput!$N$10+1,15,18,21,24,27,30)*(IF(Inputs!$B$39="pvp",MIN(15,15)/15,IF(AND(Inputs!$B$39&lt;&gt;"pvp",Inputs!$B$44&gt;0),MIN(15,Inputs!$B$44)/(Inputs!$B$44),0))),0)))&gt;=100),CHOOSE(ArtifactsInput!$N$42+1,40,48,56,64,72,80),0))))/100)*(((1+(((C194=TRUE)*F194*IF(AND(Inputs!$B$39&lt;&gt;"pvp",Inputs!$B$44&gt;0),(((R194-1)*MIN((Skills!Y22*(1+Inputs!$B$34/100)),(1/Q194))+MIN((Skills!Y22*(1+Inputs!$B$34/100)),MAX(0,Inputs!$B$44-((R194-1)*(1/Q194)))))/Inputs!$B$44),IF(Inputs!$B$39="pvp",MIN((Skills!Y22*(1+Inputs!$B$34/100)),15)/15,MIN(1,(Skills!Y22*(1+Inputs!$B$34/100))/(1/Q194)))))+((C175=TRUE)*F175*3)+((C177=TRUE)*F177*(1-EXP(-0.75*B210*5)))+((C196=TRUE)*(F196-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183=TRUE)*F183*IF(AND(Inputs!$B$39&lt;&gt;"pvp",Inputs!$B$44&gt;0),(((R183-1)*MIN((Skills!Y11*(1+Inputs!$B$34/100)),(1/Q183))+MIN((Skills!Y11*(1+Inputs!$B$34/100)),MAX(0,Inputs!$B$44-((R183-1)*(1/Q183)))))/Inputs!$B$44),IF(Inputs!$B$39="pvp",MIN((Skills!Y11*(1+Inputs!$B$34/100)),15)/15,MIN(1,(Skills!Y11*(1+Inputs!$B$34/100))/(1/Q183)))))/100)*(1+((C188=TRUE)*F188*IF(AND(Inputs!$B$39&lt;&gt;"pvp",Inputs!$B$44&gt;0),(((R188-1)*MIN((Skills!Y16*(1+Inputs!$B$34/100)),(1/Q188))+MIN((Skills!Y16*(1+Inputs!$B$34/100)),MAX(0,Inputs!$B$44-((R188-1)*(1/Q188)))))/Inputs!$B$44),IF(Inputs!$B$39="pvp",MIN((Skills!Y16*(1+Inputs!$B$34/100)),15)/15,MIN(1,(Skills!Y16*(1+Inputs!$B$34/100))/(1/Q188)))))/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208*I185)</f>
        <v/>
      </c>
      <c r="L185">
        <f>K185*(MIN(Inputs!$B$22+((C197=TRUE)*(F197-Calc!F25)),(Inputs!$B$23+((C202=TRUE)*(F202-Calc!F30))+IF(ArtifactsInput!$M$15,CHOOSE(ArtifactsInput!$N$15+1,25,30,35,40,45,50)/100*(Inputs!$B$11-Inputs!$B$11),0)))/100+(Inputs!$B$23+((C202=TRUE)*(F202-Calc!F30))+IF(ArtifactsInput!$M$15,CHOOSE(ArtifactsInput!$N$15+1,25,30,35,40,45,50)/100*(Inputs!$B$11-Inputs!$B$11),0))/100)/2</f>
        <v/>
      </c>
      <c r="M185">
        <f>L185*(1+(Inputs!$B$10+((C199=TRUE)*(F199-Calc!F27))+B213+(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185">
        <f>L185*(1-MIN((Inputs!$B$9+((C198=TRUE)*(F198-Calc!F26))+B206+(ArtifactsInput!$M$24-ArtifactsInput!$M$24)*CHOOSE(ArtifactsInput!$N$24+1,10,12,14,16,18,20)+(IF(AND(Inputs!$B$39&lt;&gt;"pvp",Inputs!$B$44=0),1,IF(IF(Inputs!$B$39="pvp",15,Inputs!$B$44)-(B217)&lt;=0,1,MAX(0,IF(Inputs!$B$39="pvp",15,Inputs!$B$44)-MAX(5,B217))/(IF(Inputs!$B$39="pvp",15,Inputs!$B$44)-(B217))))*IF(AND(ArtifactsInput!$M$42,((Inputs!$B$9+((C198=TRUE)*(F198-Calc!F26))+B206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185*(MIN((Inputs!$B$9+((C198=TRUE)*(F198-Calc!F26))+B206+(ArtifactsInput!$M$24-ArtifactsInput!$M$24)*CHOOSE(ArtifactsInput!$N$24+1,10,12,14,16,18,20)+(IF(AND(Inputs!$B$39&lt;&gt;"pvp",Inputs!$B$44=0),1,IF(IF(Inputs!$B$39="pvp",15,Inputs!$B$44)-(B217)&lt;=0,1,MAX(0,IF(Inputs!$B$39="pvp",15,Inputs!$B$44)-MAX(5,B217))/(IF(Inputs!$B$39="pvp",15,Inputs!$B$44)-(B217))))*IF(AND(ArtifactsInput!$M$42,((Inputs!$B$9+((C198=TRUE)*(F198-Calc!F26))+B206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85">
        <f>(1-Summary!$B$11)*T185+Summary!$B$11*V185</f>
        <v/>
      </c>
      <c r="P185">
        <f>IF(B218=0,0,O185/B218)</f>
        <v/>
      </c>
      <c r="Q185">
        <f>IFERROR(1/IF(Inputs!$B$39="pvp",15,MAX(0.1,Skills!D13-IF(TRUE=TRUE,Inputs!$B$32,0))),0)</f>
        <v/>
      </c>
      <c r="R185">
        <f>IF(AND(Inputs!$B$39&lt;&gt;"pvp",Inputs!$B$44&gt;0),IF(MAX(0,Inputs!$B$44-B217)&lt;=0,0,(INT(MAX(0,Inputs!$B$44-B217)/IF(Inputs!$B$39="pvp",15,MAX(0.1,Skills!D13-IF(TRUE=TRUE,Inputs!$B$32,0))))+1)),0)</f>
        <v/>
      </c>
      <c r="S185">
        <f>IFERROR(O185/N185,0)</f>
        <v/>
      </c>
      <c r="T185">
        <f>IF(C185,(H185*N185*IF(AND(Inputs!$B$39&lt;&gt;"pvp",Inputs!$B$44&gt;0),((Skills!G13*((R185-1)*IF(Skills!H13&gt;0,Skills!I13/Skills!H13,1)+IF(Skills!H13&gt;0,MIN(Skills!I13,MAX(0,MAX(0,Inputs!$B$44-B217)-((R185-1)*IF(Inputs!$B$39="pvp",15,MAX(0.1,Skills!D13-IF(TRUE=TRUE,Inputs!$B$32,0))))))/Skills!H13,1)))/Inputs!$B$44),G185*Q185))*IF(Inputs!$B$39="pvp",1,1+(Inputs!$B$20+0+Skills!P13+B207+(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Hunt"),CHOOSE(ArtifactsInput!$N$35+1,15,18,21,24,27,30)*(1-EXP(-(0.2*B210)*5)),0)+IF(AND(ArtifactsInput!$M$22,Inputs!$B$4&lt;&gt;"Chapter Hunt"),CHOOSE(ArtifactsInput!$N$22+1,10,12,14,16,18,20)*((0*(((0.15*B210*5))^0/1)+1*(((0.15*B210*5))^1/1)+2*(((0.15*B210*5))^2/2)+3*(((0.15*B210*5))^3/6)+4*(((0.15*B210*5))^4/24)+5*(((0.15*B210*5))^5/120))/((((0.15*B210*5))^0/1)+(((0.15*B210*5))^1/1)+(((0.15*B210*5))^2/2)+(((0.15*B210*5))^3/6)+(((0.15*B210*5))^4/24)+(((0.15*B210*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185*(1-MIN(100,(Inputs!$B$9+((C198=TRUE)*(F198-Calc!F26))+B206+(ArtifactsInput!$M$24-ArtifactsInput!$M$24)*CHOOSE(ArtifactsInput!$N$24+1,10,12,14,16,18,20)+(IF(AND(Inputs!$B$39&lt;&gt;"pvp",Inputs!$B$44=0),1,IF(IF(Inputs!$B$39="pvp",15,Inputs!$B$44)-(B217)&lt;=0,1,MAX(0,IF(Inputs!$B$39="pvp",15,Inputs!$B$44)-MAX(5,B217))/(IF(Inputs!$B$39="pvp",15,Inputs!$B$44)-(B217))))*IF(AND(ArtifactsInput!$M$42,((Inputs!$B$9+((C198=TRUE)*(F198-Calc!F26))+B206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185*(MIN(100,(Inputs!$B$9+((C198=TRUE)*(F198-Calc!F26))+B206+(ArtifactsInput!$M$24-ArtifactsInput!$M$24)*CHOOSE(ArtifactsInput!$N$24+1,10,12,14,16,18,20)+(IF(AND(Inputs!$B$39&lt;&gt;"pvp",Inputs!$B$44=0),1,IF(IF(Inputs!$B$39="pvp",15,Inputs!$B$44)-(B217)&lt;=0,1,MAX(0,IF(Inputs!$B$39="pvp",15,Inputs!$B$44)-MAX(5,B217))/(IF(Inputs!$B$39="pvp",15,Inputs!$B$44)-(B217))))*IF(AND(ArtifactsInput!$M$42,((Inputs!$B$9+((C198=TRUE)*(F198-Calc!F26))+B206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185*(1-MIN(100,(Inputs!$B$9+((C198=TRUE)*(F198-Calc!F26))+B206+(ArtifactsInput!$M$24-ArtifactsInput!$M$24)*CHOOSE(ArtifactsInput!$N$24+1,10,12,14,16,18,20)+(IF(AND(Inputs!$B$39&lt;&gt;"pvp",Inputs!$B$44=0),1,IF(IF(Inputs!$B$39="pvp",15,Inputs!$B$44)-(B217)&lt;=0,1,MAX(0,IF(Inputs!$B$39="pvp",15,Inputs!$B$44)-MAX(5,B217))/(IF(Inputs!$B$39="pvp",15,Inputs!$B$44)-(B217))))*IF(AND(ArtifactsInput!$M$42,((Inputs!$B$9+((C198=TRUE)*(F198-Calc!F26))+B206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185*(MIN(100,(Inputs!$B$9+((C198=TRUE)*(F198-Calc!F26))+B206+(ArtifactsInput!$M$24-ArtifactsInput!$M$24)*CHOOSE(ArtifactsInput!$N$24+1,10,12,14,16,18,20)+(IF(AND(Inputs!$B$39&lt;&gt;"pvp",Inputs!$B$44=0),1,IF(IF(Inputs!$B$39="pvp",15,Inputs!$B$44)-(B217)&lt;=0,1,MAX(0,IF(Inputs!$B$39="pvp",15,Inputs!$B$44)-MAX(5,B217))/(IF(Inputs!$B$39="pvp",15,Inputs!$B$44)-(B217))))*IF(AND(ArtifactsInput!$M$42,((Inputs!$B$9+((C198=TRUE)*(F198-Calc!F26))+B206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185">
        <f>IF(C185,(H185*N185*IF(AND(Inputs!$B$39&lt;&gt;"pvp",Inputs!$B$44&gt;0),((Skills!G13*((R185-1)*IF(Skills!H13&gt;0,Skills!I13/Skills!H13,1)+IF(Skills!H13&gt;0,MIN(Skills!I13,MAX(0,MAX(0,Inputs!$B$44-B217)-((R185-1)*IF(Inputs!$B$39="pvp",15,MAX(0.1,Skills!D13-IF(TRUE=TRUE,Inputs!$B$32,0))))))/Skills!H13,1)))/Inputs!$B$44),G185*Q185))*IF(Inputs!$B$39="pvp",1,(1+(Inputs!$B$21+Skills!Q13+B207+(IF(ArtifactsInput!$M$33,CHOOSE(ArtifactsInput!$N$33+1,30,36,42,48,54,60),0))+(IF(AND(ArtifactsInput!$M$35,Inputs!$B$4&lt;&gt;"Chapter Hunt"),CHOOSE(ArtifactsInput!$N$35+1,15,18,21,24,27,30)*(1-EXP(-(0.2*B210)*5)),0)+IF(AND(ArtifactsInput!$M$22,Inputs!$B$4&lt;&gt;"Chapter Hunt"),CHOOSE(ArtifactsInput!$N$22+1,10,12,14,16,18,20)*((0*(((0.15*B210*5))^0/1)+1*(((0.15*B210*5))^1/1)+2*(((0.15*B210*5))^2/2)+3*(((0.15*B210*5))^3/6)+4*(((0.15*B210*5))^4/24)+5*(((0.15*B210*5))^5/120))/((((0.15*B210*5))^0/1)+(((0.15*B210*5))^1/1)+(((0.15*B210*5))^2/2)+(((0.15*B210*5))^3/6)+(((0.15*B210*5))^4/24)+(((0.15*B210*5))^5/120))),0)))/100)*(MIN(Skills!W13,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86">
      <c r="A186">
        <f>Skills!A14</f>
        <v/>
      </c>
      <c r="B186">
        <f>Skills!B14</f>
        <v/>
      </c>
      <c r="C186">
        <f>Inputs!$B$3&gt;=105</f>
        <v/>
      </c>
      <c r="D186">
        <f>IF(Skills!C14=1,60+Inputs!$B$25+Inputs!$B$29,IF(Skills!C14=2,90+Inputs!$B$26+Inputs!$B$29,IF(Skills!C14=3,120+Inputs!$B$27+Inputs!$B$29,MAX(0,(Inputs!$B$3-100)*3)+Inputs!$B$28+Inputs!$B$29)))</f>
        <v/>
      </c>
      <c r="E186">
        <f>INDEX(FactorTable!$B$2:$Y$301, MATCH(ROUND(MIN(300,MAX(1,D186)),0), FactorTable!$A$2:$A$301,0), Skills!M14+1)</f>
        <v/>
      </c>
      <c r="F186">
        <f>IF(Skills!N14=TRUE,(Skills!L14/10)*(E186/1000),Skills!L14/10)+Skills!O14</f>
        <v/>
      </c>
      <c r="G186">
        <f>Skills!G14*IF(Skills!H14&gt;0,IF(Inputs!$B$39="pvp",MIN(Skills!I14,15),Skills!I14)/Skills!H14,1)</f>
        <v/>
      </c>
      <c r="H186">
        <f>1-(1-Skills!J14/100)^Skills!K14</f>
        <v/>
      </c>
      <c r="I186" t="inlineStr">
        <is>
          <t>1</t>
        </is>
      </c>
      <c r="J186">
        <f>((Inputs!$B$6*(1+Inputs!$B$7/100))+(((Inputs!$B$12*(1+Inputs!$B$13/100))-(Inputs!$B$12*(1+Inputs!$B$13/100)))+0.25*((Inputs!$B$14+1)-Inputs!$B$14))*(1+Inputs!$B$7/100))*(F186/100)</f>
        <v/>
      </c>
      <c r="K186">
        <f>J186*(1+((Inputs!$B$12*(1+Inputs!$B$13/100))*0.01+(Inputs!$B$14+1)*0.0025)/100)*(1+Inputs!$B$15/100)*(1+Inputs!$B$16/100)*(5000/(6000+Inputs!$B$43*(1-(100*(1-(1-Inputs!$B$19/100)*(1-CHOOSE(ArtifactsInput!$N$40+1,5,6,7,8,9,10)/100)^(ArtifactsInput!$M$40-ArtifactsInput!$M$40)))/100)))*(1+(Inputs!$B$24+((C203=TRUE)*(F203-Calc!F31))+((C190=TRUE)*(F190-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14="CRUEL_STAB",Inputs!$B$17+((C200=TRUE)*(F200-Calc!F28))+((IF(AND(Inputs!$B$39&lt;&gt;"pvp",Inputs!$B$44=0),1,IF(IF(Inputs!$B$39="pvp",15,Inputs!$B$44)-(B217)&lt;=0,1,MAX(0,IF(Inputs!$B$39="pvp",15,Inputs!$B$44)-MAX(5,B217))/(IF(Inputs!$B$39="pvp",15,Inputs!$B$44)-(B217))))*(IF(AND(ArtifactsInput!$M$42,((Inputs!$B$9+((C198=TRUE)*(F198-Calc!F26))+B206+(ArtifactsInput!$M$24-ArtifactsInput!$M$24)*CHOOSE(ArtifactsInput!$N$24+1,10,12,14,16,18,20)+IF(ArtifactsInput!$M$10,CHOOSE(ArtifactsInput!$N$10+1,15,18,21,24,27,30)*(IF(Inputs!$B$39="pvp",MIN(15,15)/15,IF(AND(Inputs!$B$39&lt;&gt;"pvp",Inputs!$B$44&gt;0),MIN(15,Inputs!$B$44)/(Inputs!$B$44),0))),0)))&gt;=100),MIN(100,((Inputs!$B$9+((C198=TRUE)*(F198-Calc!F26))+B206+(ArtifactsInput!$M$24-ArtifactsInput!$M$24)*CHOOSE(ArtifactsInput!$N$24+1,10,12,14,16,18,20)+IF(ArtifactsInput!$M$10,CHOOSE(ArtifactsInput!$N$10+1,15,18,21,24,27,30)*(IF(Inputs!$B$39="pvp",MIN(15,15)/15,IF(AND(Inputs!$B$39&lt;&gt;"pvp",Inputs!$B$44&gt;0),MIN(15,Inputs!$B$44)/(Inputs!$B$44),0))),0)))-100),0))*CHOOSE(ArtifactsInput!$N$42+1,0.6,0.72,0.84,0.96,1.08,1.2))),Inputs!$B$18+((C201=TRUE)*(F201-Calc!F29))+(IF(AND(Inputs!$B$39&lt;&gt;"pvp",Inputs!$B$44=0),1,IF(IF(Inputs!$B$39="pvp",15,Inputs!$B$44)-(B217)&lt;=0,1,MAX(0,IF(Inputs!$B$39="pvp",15,Inputs!$B$44)-MAX(5,B217))/(IF(Inputs!$B$39="pvp",15,Inputs!$B$44)-(B217))))*IF(AND(ArtifactsInput!$M$42,((Inputs!$B$9+((C198=TRUE)*(F198-Calc!F26))+B206+(ArtifactsInput!$M$24-ArtifactsInput!$M$24)*CHOOSE(ArtifactsInput!$N$24+1,10,12,14,16,18,20)+IF(ArtifactsInput!$M$10,CHOOSE(ArtifactsInput!$N$10+1,15,18,21,24,27,30)*(IF(Inputs!$B$39="pvp",MIN(15,15)/15,IF(AND(Inputs!$B$39&lt;&gt;"pvp",Inputs!$B$44&gt;0),MIN(15,Inputs!$B$44)/(Inputs!$B$44),0))),0)))&gt;=100),CHOOSE(ArtifactsInput!$N$42+1,40,48,56,64,72,80),0))))/100)*(((1+(((C194=TRUE)*F194*IF(AND(Inputs!$B$39&lt;&gt;"pvp",Inputs!$B$44&gt;0),(((R194-1)*MIN((Skills!Y22*(1+Inputs!$B$34/100)),(1/Q194))+MIN((Skills!Y22*(1+Inputs!$B$34/100)),MAX(0,Inputs!$B$44-((R194-1)*(1/Q194)))))/Inputs!$B$44),IF(Inputs!$B$39="pvp",MIN((Skills!Y22*(1+Inputs!$B$34/100)),15)/15,MIN(1,(Skills!Y22*(1+Inputs!$B$34/100))/(1/Q194)))))+((C175=TRUE)*F175*3)+((C177=TRUE)*F177*(1-EXP(-0.75*B210*5)))+((C196=TRUE)*(F196-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183=TRUE)*F183*IF(AND(Inputs!$B$39&lt;&gt;"pvp",Inputs!$B$44&gt;0),(((R183-1)*MIN((Skills!Y11*(1+Inputs!$B$34/100)),(1/Q183))+MIN((Skills!Y11*(1+Inputs!$B$34/100)),MAX(0,Inputs!$B$44-((R183-1)*(1/Q183)))))/Inputs!$B$44),IF(Inputs!$B$39="pvp",MIN((Skills!Y11*(1+Inputs!$B$34/100)),15)/15,MIN(1,(Skills!Y11*(1+Inputs!$B$34/100))/(1/Q183)))))/100)*(1+((C188=TRUE)*F188*IF(AND(Inputs!$B$39&lt;&gt;"pvp",Inputs!$B$44&gt;0),(((R188-1)*MIN((Skills!Y16*(1+Inputs!$B$34/100)),(1/Q188))+MIN((Skills!Y16*(1+Inputs!$B$34/100)),MAX(0,Inputs!$B$44-((R188-1)*(1/Q188)))))/Inputs!$B$44),IF(Inputs!$B$39="pvp",MIN((Skills!Y16*(1+Inputs!$B$34/100)),15)/15,MIN(1,(Skills!Y16*(1+Inputs!$B$34/100))/(1/Q188)))))/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208*I186)</f>
        <v/>
      </c>
      <c r="L186">
        <f>K186*(MIN(Inputs!$B$22+((C197=TRUE)*(F197-Calc!F25)),(Inputs!$B$23+((C202=TRUE)*(F202-Calc!F30))+IF(ArtifactsInput!$M$15,CHOOSE(ArtifactsInput!$N$15+1,25,30,35,40,45,50)/100*(Inputs!$B$11-Inputs!$B$11),0)))/100+(Inputs!$B$23+((C202=TRUE)*(F202-Calc!F30))+IF(ArtifactsInput!$M$15,CHOOSE(ArtifactsInput!$N$15+1,25,30,35,40,45,50)/100*(Inputs!$B$11-Inputs!$B$11),0))/100)/2</f>
        <v/>
      </c>
      <c r="M186">
        <f>L186*(1+(Inputs!$B$10+((C199=TRUE)*(F199-Calc!F27))+B213+(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186">
        <f>L186*(1-MIN((Inputs!$B$9+((C198=TRUE)*(F198-Calc!F26))+B206+(ArtifactsInput!$M$24-ArtifactsInput!$M$24)*CHOOSE(ArtifactsInput!$N$24+1,10,12,14,16,18,20)+(IF(AND(Inputs!$B$39&lt;&gt;"pvp",Inputs!$B$44=0),1,IF(IF(Inputs!$B$39="pvp",15,Inputs!$B$44)-(B217)&lt;=0,1,MAX(0,IF(Inputs!$B$39="pvp",15,Inputs!$B$44)-MAX(5,B217))/(IF(Inputs!$B$39="pvp",15,Inputs!$B$44)-(B217))))*IF(AND(ArtifactsInput!$M$42,((Inputs!$B$9+((C198=TRUE)*(F198-Calc!F26))+B206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186*(MIN((Inputs!$B$9+((C198=TRUE)*(F198-Calc!F26))+B206+(ArtifactsInput!$M$24-ArtifactsInput!$M$24)*CHOOSE(ArtifactsInput!$N$24+1,10,12,14,16,18,20)+(IF(AND(Inputs!$B$39&lt;&gt;"pvp",Inputs!$B$44=0),1,IF(IF(Inputs!$B$39="pvp",15,Inputs!$B$44)-(B217)&lt;=0,1,MAX(0,IF(Inputs!$B$39="pvp",15,Inputs!$B$44)-MAX(5,B217))/(IF(Inputs!$B$39="pvp",15,Inputs!$B$44)-(B217))))*IF(AND(ArtifactsInput!$M$42,((Inputs!$B$9+((C198=TRUE)*(F198-Calc!F26))+B206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86">
        <f>(1-Summary!$B$11)*T186+Summary!$B$11*V186</f>
        <v/>
      </c>
      <c r="P186">
        <f>IF(B218=0,0,O186/B218)</f>
        <v/>
      </c>
      <c r="Q186">
        <f>IFERROR(1/IF(Inputs!$B$39="pvp",15,MAX(0.1,Skills!D14-IF(TRUE=TRUE,Inputs!$B$32,0))),0)</f>
        <v/>
      </c>
      <c r="R186">
        <f>IF(AND(Inputs!$B$39&lt;&gt;"pvp",Inputs!$B$44&gt;0),IF(MAX(0,Inputs!$B$44-B217)&lt;=0,0,(INT(MAX(0,Inputs!$B$44-B217)/IF(Inputs!$B$39="pvp",15,MAX(0.1,Skills!D14-IF(TRUE=TRUE,Inputs!$B$32,0))))+1)),0)</f>
        <v/>
      </c>
      <c r="S186">
        <f>IFERROR(O186/N186,0)</f>
        <v/>
      </c>
      <c r="T186">
        <f>IF(C186,(H186*N186*IF(AND(Inputs!$B$39&lt;&gt;"pvp",Inputs!$B$44&gt;0),((Skills!G14*((R186-1)*IF(Skills!H14&gt;0,Skills!I14/Skills!H14,1)+IF(Skills!H14&gt;0,MIN(Skills!I14,MAX(0,MAX(0,Inputs!$B$44-B217)-((R186-1)*IF(Inputs!$B$39="pvp",15,MAX(0.1,Skills!D14-IF(TRUE=TRUE,Inputs!$B$32,0))))))/Skills!H14,1)))/Inputs!$B$44),G186*Q186))*IF(Inputs!$B$39="pvp",1,1+(Inputs!$B$20+0+Skills!P14+B207+(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Hunt"),CHOOSE(ArtifactsInput!$N$35+1,15,18,21,24,27,30)*(1-EXP(-(0.2*B210)*5)),0)+IF(AND(ArtifactsInput!$M$22,Inputs!$B$4&lt;&gt;"Chapter Hunt"),CHOOSE(ArtifactsInput!$N$22+1,10,12,14,16,18,20)*((0*(((0.15*B210*5))^0/1)+1*(((0.15*B210*5))^1/1)+2*(((0.15*B210*5))^2/2)+3*(((0.15*B210*5))^3/6)+4*(((0.15*B210*5))^4/24)+5*(((0.15*B210*5))^5/120))/((((0.15*B210*5))^0/1)+(((0.15*B210*5))^1/1)+(((0.15*B210*5))^2/2)+(((0.15*B210*5))^3/6)+(((0.15*B210*5))^4/24)+(((0.15*B210*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186*(1-MIN(100,(Inputs!$B$9+((C198=TRUE)*(F198-Calc!F26))+B206+(ArtifactsInput!$M$24-ArtifactsInput!$M$24)*CHOOSE(ArtifactsInput!$N$24+1,10,12,14,16,18,20)+(IF(AND(Inputs!$B$39&lt;&gt;"pvp",Inputs!$B$44=0),1,IF(IF(Inputs!$B$39="pvp",15,Inputs!$B$44)-(B217)&lt;=0,1,MAX(0,IF(Inputs!$B$39="pvp",15,Inputs!$B$44)-MAX(5,B217))/(IF(Inputs!$B$39="pvp",15,Inputs!$B$44)-(B217))))*IF(AND(ArtifactsInput!$M$42,((Inputs!$B$9+((C198=TRUE)*(F198-Calc!F26))+B206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186*(MIN(100,(Inputs!$B$9+((C198=TRUE)*(F198-Calc!F26))+B206+(ArtifactsInput!$M$24-ArtifactsInput!$M$24)*CHOOSE(ArtifactsInput!$N$24+1,10,12,14,16,18,20)+(IF(AND(Inputs!$B$39&lt;&gt;"pvp",Inputs!$B$44=0),1,IF(IF(Inputs!$B$39="pvp",15,Inputs!$B$44)-(B217)&lt;=0,1,MAX(0,IF(Inputs!$B$39="pvp",15,Inputs!$B$44)-MAX(5,B217))/(IF(Inputs!$B$39="pvp",15,Inputs!$B$44)-(B217))))*IF(AND(ArtifactsInput!$M$42,((Inputs!$B$9+((C198=TRUE)*(F198-Calc!F26))+B206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186*(1-MIN(100,(Inputs!$B$9+((C198=TRUE)*(F198-Calc!F26))+B206+(ArtifactsInput!$M$24-ArtifactsInput!$M$24)*CHOOSE(ArtifactsInput!$N$24+1,10,12,14,16,18,20)+(IF(AND(Inputs!$B$39&lt;&gt;"pvp",Inputs!$B$44=0),1,IF(IF(Inputs!$B$39="pvp",15,Inputs!$B$44)-(B217)&lt;=0,1,MAX(0,IF(Inputs!$B$39="pvp",15,Inputs!$B$44)-MAX(5,B217))/(IF(Inputs!$B$39="pvp",15,Inputs!$B$44)-(B217))))*IF(AND(ArtifactsInput!$M$42,((Inputs!$B$9+((C198=TRUE)*(F198-Calc!F26))+B206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186*(MIN(100,(Inputs!$B$9+((C198=TRUE)*(F198-Calc!F26))+B206+(ArtifactsInput!$M$24-ArtifactsInput!$M$24)*CHOOSE(ArtifactsInput!$N$24+1,10,12,14,16,18,20)+(IF(AND(Inputs!$B$39&lt;&gt;"pvp",Inputs!$B$44=0),1,IF(IF(Inputs!$B$39="pvp",15,Inputs!$B$44)-(B217)&lt;=0,1,MAX(0,IF(Inputs!$B$39="pvp",15,Inputs!$B$44)-MAX(5,B217))/(IF(Inputs!$B$39="pvp",15,Inputs!$B$44)-(B217))))*IF(AND(ArtifactsInput!$M$42,((Inputs!$B$9+((C198=TRUE)*(F198-Calc!F26))+B206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186">
        <f>IF(C186,(H186*N186*IF(AND(Inputs!$B$39&lt;&gt;"pvp",Inputs!$B$44&gt;0),((Skills!G14*((R186-1)*IF(Skills!H14&gt;0,Skills!I14/Skills!H14,1)+IF(Skills!H14&gt;0,MIN(Skills!I14,MAX(0,MAX(0,Inputs!$B$44-B217)-((R186-1)*IF(Inputs!$B$39="pvp",15,MAX(0.1,Skills!D14-IF(TRUE=TRUE,Inputs!$B$32,0))))))/Skills!H14,1)))/Inputs!$B$44),G186*Q186))*IF(Inputs!$B$39="pvp",1,(1+(Inputs!$B$21+Skills!Q14+B207+(IF(ArtifactsInput!$M$33,CHOOSE(ArtifactsInput!$N$33+1,30,36,42,48,54,60),0))+(IF(AND(ArtifactsInput!$M$35,Inputs!$B$4&lt;&gt;"Chapter Hunt"),CHOOSE(ArtifactsInput!$N$35+1,15,18,21,24,27,30)*(1-EXP(-(0.2*B210)*5)),0)+IF(AND(ArtifactsInput!$M$22,Inputs!$B$4&lt;&gt;"Chapter Hunt"),CHOOSE(ArtifactsInput!$N$22+1,10,12,14,16,18,20)*((0*(((0.15*B210*5))^0/1)+1*(((0.15*B210*5))^1/1)+2*(((0.15*B210*5))^2/2)+3*(((0.15*B210*5))^3/6)+4*(((0.15*B210*5))^4/24)+5*(((0.15*B210*5))^5/120))/((((0.15*B210*5))^0/1)+(((0.15*B210*5))^1/1)+(((0.15*B210*5))^2/2)+(((0.15*B210*5))^3/6)+(((0.15*B210*5))^4/24)+(((0.15*B210*5))^5/120))),0)))/100)*(MIN(Skills!W14,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87">
      <c r="A187">
        <f>Skills!A15</f>
        <v/>
      </c>
      <c r="B187">
        <f>Skills!B15</f>
        <v/>
      </c>
      <c r="C187">
        <f>Inputs!$B$3&gt;=107</f>
        <v/>
      </c>
      <c r="D187">
        <f>IF(Skills!C15=1,60+Inputs!$B$25+Inputs!$B$29,IF(Skills!C15=2,90+Inputs!$B$26+Inputs!$B$29,IF(Skills!C15=3,120+Inputs!$B$27+Inputs!$B$29,MAX(0,(Inputs!$B$3-100)*3)+Inputs!$B$28+Inputs!$B$29)))</f>
        <v/>
      </c>
      <c r="E187">
        <f>INDEX(FactorTable!$B$2:$Y$301, MATCH(ROUND(MIN(300,MAX(1,D187)),0), FactorTable!$A$2:$A$301,0), Skills!M15+1)</f>
        <v/>
      </c>
      <c r="F187">
        <f>IF(Skills!N15=TRUE,(Skills!L15/10)*(E187/1000),Skills!L15/10)+Skills!O15</f>
        <v/>
      </c>
      <c r="G187">
        <f>Skills!G15*IF(Skills!H15&gt;0,IF(Inputs!$B$39="pvp",MIN(Skills!I15,15),Skills!I15)/Skills!H15,1)</f>
        <v/>
      </c>
      <c r="H187">
        <f>1-(1-Skills!J15/100)^Skills!K15</f>
        <v/>
      </c>
      <c r="I187" t="inlineStr">
        <is>
          <t>1</t>
        </is>
      </c>
      <c r="J187">
        <f>((Inputs!$B$6*(1+Inputs!$B$7/100))+(((Inputs!$B$12*(1+Inputs!$B$13/100))-(Inputs!$B$12*(1+Inputs!$B$13/100)))+0.25*((Inputs!$B$14+1)-Inputs!$B$14))*(1+Inputs!$B$7/100))*(F187/100)</f>
        <v/>
      </c>
      <c r="K187">
        <f>J187*(1+((Inputs!$B$12*(1+Inputs!$B$13/100))*0.01+(Inputs!$B$14+1)*0.0025)/100)*(1+Inputs!$B$15/100)*(1+Inputs!$B$16/100)*(5000/(6000+Inputs!$B$43*(1-(100*(1-(1-Inputs!$B$19/100)*(1-CHOOSE(ArtifactsInput!$N$40+1,5,6,7,8,9,10)/100)^(ArtifactsInput!$M$40-ArtifactsInput!$M$40)))/100)))*(1+(Inputs!$B$24+((C203=TRUE)*(F203-Calc!F31))+((C190=TRUE)*(F190-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15="CRUEL_STAB",Inputs!$B$17+((C200=TRUE)*(F200-Calc!F28))+((IF(AND(Inputs!$B$39&lt;&gt;"pvp",Inputs!$B$44=0),1,IF(IF(Inputs!$B$39="pvp",15,Inputs!$B$44)-(B217)&lt;=0,1,MAX(0,IF(Inputs!$B$39="pvp",15,Inputs!$B$44)-MAX(5,B217))/(IF(Inputs!$B$39="pvp",15,Inputs!$B$44)-(B217))))*(IF(AND(ArtifactsInput!$M$42,((Inputs!$B$9+((C198=TRUE)*(F198-Calc!F26))+B206+(ArtifactsInput!$M$24-ArtifactsInput!$M$24)*CHOOSE(ArtifactsInput!$N$24+1,10,12,14,16,18,20)+IF(ArtifactsInput!$M$10,CHOOSE(ArtifactsInput!$N$10+1,15,18,21,24,27,30)*(IF(Inputs!$B$39="pvp",MIN(15,15)/15,IF(AND(Inputs!$B$39&lt;&gt;"pvp",Inputs!$B$44&gt;0),MIN(15,Inputs!$B$44)/(Inputs!$B$44),0))),0)))&gt;=100),MIN(100,((Inputs!$B$9+((C198=TRUE)*(F198-Calc!F26))+B206+(ArtifactsInput!$M$24-ArtifactsInput!$M$24)*CHOOSE(ArtifactsInput!$N$24+1,10,12,14,16,18,20)+IF(ArtifactsInput!$M$10,CHOOSE(ArtifactsInput!$N$10+1,15,18,21,24,27,30)*(IF(Inputs!$B$39="pvp",MIN(15,15)/15,IF(AND(Inputs!$B$39&lt;&gt;"pvp",Inputs!$B$44&gt;0),MIN(15,Inputs!$B$44)/(Inputs!$B$44),0))),0)))-100),0))*CHOOSE(ArtifactsInput!$N$42+1,0.6,0.72,0.84,0.96,1.08,1.2))),Inputs!$B$18+((C201=TRUE)*(F201-Calc!F29))+(IF(AND(Inputs!$B$39&lt;&gt;"pvp",Inputs!$B$44=0),1,IF(IF(Inputs!$B$39="pvp",15,Inputs!$B$44)-(B217)&lt;=0,1,MAX(0,IF(Inputs!$B$39="pvp",15,Inputs!$B$44)-MAX(5,B217))/(IF(Inputs!$B$39="pvp",15,Inputs!$B$44)-(B217))))*IF(AND(ArtifactsInput!$M$42,((Inputs!$B$9+((C198=TRUE)*(F198-Calc!F26))+B206+(ArtifactsInput!$M$24-ArtifactsInput!$M$24)*CHOOSE(ArtifactsInput!$N$24+1,10,12,14,16,18,20)+IF(ArtifactsInput!$M$10,CHOOSE(ArtifactsInput!$N$10+1,15,18,21,24,27,30)*(IF(Inputs!$B$39="pvp",MIN(15,15)/15,IF(AND(Inputs!$B$39&lt;&gt;"pvp",Inputs!$B$44&gt;0),MIN(15,Inputs!$B$44)/(Inputs!$B$44),0))),0)))&gt;=100),CHOOSE(ArtifactsInput!$N$42+1,40,48,56,64,72,80),0))))/100)*(((1+(((C194=TRUE)*F194*IF(AND(Inputs!$B$39&lt;&gt;"pvp",Inputs!$B$44&gt;0),(((R194-1)*MIN((Skills!Y22*(1+Inputs!$B$34/100)),(1/Q194))+MIN((Skills!Y22*(1+Inputs!$B$34/100)),MAX(0,Inputs!$B$44-((R194-1)*(1/Q194)))))/Inputs!$B$44),IF(Inputs!$B$39="pvp",MIN((Skills!Y22*(1+Inputs!$B$34/100)),15)/15,MIN(1,(Skills!Y22*(1+Inputs!$B$34/100))/(1/Q194)))))+((C175=TRUE)*F175*3)+((C177=TRUE)*F177*(1-EXP(-0.75*B210*5)))+((C196=TRUE)*(F196-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183=TRUE)*F183*IF(AND(Inputs!$B$39&lt;&gt;"pvp",Inputs!$B$44&gt;0),(((R183-1)*MIN((Skills!Y11*(1+Inputs!$B$34/100)),(1/Q183))+MIN((Skills!Y11*(1+Inputs!$B$34/100)),MAX(0,Inputs!$B$44-((R183-1)*(1/Q183)))))/Inputs!$B$44),IF(Inputs!$B$39="pvp",MIN((Skills!Y11*(1+Inputs!$B$34/100)),15)/15,MIN(1,(Skills!Y11*(1+Inputs!$B$34/100))/(1/Q183)))))/100)*(1+((C188=TRUE)*F188*IF(AND(Inputs!$B$39&lt;&gt;"pvp",Inputs!$B$44&gt;0),(((R188-1)*MIN((Skills!Y16*(1+Inputs!$B$34/100)),(1/Q188))+MIN((Skills!Y16*(1+Inputs!$B$34/100)),MAX(0,Inputs!$B$44-((R188-1)*(1/Q188)))))/Inputs!$B$44),IF(Inputs!$B$39="pvp",MIN((Skills!Y16*(1+Inputs!$B$34/100)),15)/15,MIN(1,(Skills!Y16*(1+Inputs!$B$34/100))/(1/Q188)))))/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208*I187)</f>
        <v/>
      </c>
      <c r="L187">
        <f>K187*(MIN(Inputs!$B$22+((C197=TRUE)*(F197-Calc!F25)),(Inputs!$B$23+((C202=TRUE)*(F202-Calc!F30))+IF(ArtifactsInput!$M$15,CHOOSE(ArtifactsInput!$N$15+1,25,30,35,40,45,50)/100*(Inputs!$B$11-Inputs!$B$11),0)))/100+(Inputs!$B$23+((C202=TRUE)*(F202-Calc!F30))+IF(ArtifactsInput!$M$15,CHOOSE(ArtifactsInput!$N$15+1,25,30,35,40,45,50)/100*(Inputs!$B$11-Inputs!$B$11),0))/100)/2</f>
        <v/>
      </c>
      <c r="M187">
        <f>L187*(1+(Inputs!$B$10+((C199=TRUE)*(F199-Calc!F27))+B213+(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187">
        <f>L187*(1-MIN((Inputs!$B$9+((C198=TRUE)*(F198-Calc!F26))+B206+(ArtifactsInput!$M$24-ArtifactsInput!$M$24)*CHOOSE(ArtifactsInput!$N$24+1,10,12,14,16,18,20)+(IF(AND(Inputs!$B$39&lt;&gt;"pvp",Inputs!$B$44=0),1,IF(IF(Inputs!$B$39="pvp",15,Inputs!$B$44)-(B217)&lt;=0,1,MAX(0,IF(Inputs!$B$39="pvp",15,Inputs!$B$44)-MAX(5,B217))/(IF(Inputs!$B$39="pvp",15,Inputs!$B$44)-(B217))))*IF(AND(ArtifactsInput!$M$42,((Inputs!$B$9+((C198=TRUE)*(F198-Calc!F26))+B206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187*(MIN((Inputs!$B$9+((C198=TRUE)*(F198-Calc!F26))+B206+(ArtifactsInput!$M$24-ArtifactsInput!$M$24)*CHOOSE(ArtifactsInput!$N$24+1,10,12,14,16,18,20)+(IF(AND(Inputs!$B$39&lt;&gt;"pvp",Inputs!$B$44=0),1,IF(IF(Inputs!$B$39="pvp",15,Inputs!$B$44)-(B217)&lt;=0,1,MAX(0,IF(Inputs!$B$39="pvp",15,Inputs!$B$44)-MAX(5,B217))/(IF(Inputs!$B$39="pvp",15,Inputs!$B$44)-(B217))))*IF(AND(ArtifactsInput!$M$42,((Inputs!$B$9+((C198=TRUE)*(F198-Calc!F26))+B206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87">
        <f>(1-Summary!$B$11)*T187+Summary!$B$11*V187</f>
        <v/>
      </c>
      <c r="P187">
        <f>IF(B218=0,0,O187/B218)</f>
        <v/>
      </c>
      <c r="Q187">
        <f>IFERROR(1/IF(Inputs!$B$39="pvp",15,MAX(0.1,Skills!D15-IF(TRUE=TRUE,Inputs!$B$32,0))),0)</f>
        <v/>
      </c>
      <c r="R187">
        <f>IF(AND(Inputs!$B$39&lt;&gt;"pvp",Inputs!$B$44&gt;0),IF(MAX(0,Inputs!$B$44-B217)&lt;=0,0,(INT(MAX(0,Inputs!$B$44-B217)/IF(Inputs!$B$39="pvp",15,MAX(0.1,Skills!D15-IF(TRUE=TRUE,Inputs!$B$32,0))))+1)),0)</f>
        <v/>
      </c>
      <c r="S187">
        <f>IFERROR(O187/N187,0)</f>
        <v/>
      </c>
      <c r="T187">
        <f>IF(C187,(H187*N187*IF(AND(Inputs!$B$39&lt;&gt;"pvp",Inputs!$B$44&gt;0),((Skills!G15*((R187-1)*IF(Skills!H15&gt;0,Skills!I15/Skills!H15,1)+IF(Skills!H15&gt;0,MIN(Skills!I15,MAX(0,MAX(0,Inputs!$B$44-B217)-((R187-1)*IF(Inputs!$B$39="pvp",15,MAX(0.1,Skills!D15-IF(TRUE=TRUE,Inputs!$B$32,0))))))/Skills!H15,1)))/Inputs!$B$44),G187*Q187))*IF(Inputs!$B$39="pvp",1,1+(Inputs!$B$20+0+Skills!P15+B207+(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Hunt"),CHOOSE(ArtifactsInput!$N$35+1,15,18,21,24,27,30)*(1-EXP(-(0.2*B210)*5)),0)+IF(AND(ArtifactsInput!$M$22,Inputs!$B$4&lt;&gt;"Chapter Hunt"),CHOOSE(ArtifactsInput!$N$22+1,10,12,14,16,18,20)*((0*(((0.15*B210*5))^0/1)+1*(((0.15*B210*5))^1/1)+2*(((0.15*B210*5))^2/2)+3*(((0.15*B210*5))^3/6)+4*(((0.15*B210*5))^4/24)+5*(((0.15*B210*5))^5/120))/((((0.15*B210*5))^0/1)+(((0.15*B210*5))^1/1)+(((0.15*B210*5))^2/2)+(((0.15*B210*5))^3/6)+(((0.15*B210*5))^4/24)+(((0.15*B210*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187*(1-MIN(100,(Inputs!$B$9+((C198=TRUE)*(F198-Calc!F26))+B206+(ArtifactsInput!$M$24-ArtifactsInput!$M$24)*CHOOSE(ArtifactsInput!$N$24+1,10,12,14,16,18,20)+(IF(AND(Inputs!$B$39&lt;&gt;"pvp",Inputs!$B$44=0),1,IF(IF(Inputs!$B$39="pvp",15,Inputs!$B$44)-(B217)&lt;=0,1,MAX(0,IF(Inputs!$B$39="pvp",15,Inputs!$B$44)-MAX(5,B217))/(IF(Inputs!$B$39="pvp",15,Inputs!$B$44)-(B217))))*IF(AND(ArtifactsInput!$M$42,((Inputs!$B$9+((C198=TRUE)*(F198-Calc!F26))+B206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187*(MIN(100,(Inputs!$B$9+((C198=TRUE)*(F198-Calc!F26))+B206+(ArtifactsInput!$M$24-ArtifactsInput!$M$24)*CHOOSE(ArtifactsInput!$N$24+1,10,12,14,16,18,20)+(IF(AND(Inputs!$B$39&lt;&gt;"pvp",Inputs!$B$44=0),1,IF(IF(Inputs!$B$39="pvp",15,Inputs!$B$44)-(B217)&lt;=0,1,MAX(0,IF(Inputs!$B$39="pvp",15,Inputs!$B$44)-MAX(5,B217))/(IF(Inputs!$B$39="pvp",15,Inputs!$B$44)-(B217))))*IF(AND(ArtifactsInput!$M$42,((Inputs!$B$9+((C198=TRUE)*(F198-Calc!F26))+B206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187*(1-MIN(100,(Inputs!$B$9+((C198=TRUE)*(F198-Calc!F26))+B206+(ArtifactsInput!$M$24-ArtifactsInput!$M$24)*CHOOSE(ArtifactsInput!$N$24+1,10,12,14,16,18,20)+(IF(AND(Inputs!$B$39&lt;&gt;"pvp",Inputs!$B$44=0),1,IF(IF(Inputs!$B$39="pvp",15,Inputs!$B$44)-(B217)&lt;=0,1,MAX(0,IF(Inputs!$B$39="pvp",15,Inputs!$B$44)-MAX(5,B217))/(IF(Inputs!$B$39="pvp",15,Inputs!$B$44)-(B217))))*IF(AND(ArtifactsInput!$M$42,((Inputs!$B$9+((C198=TRUE)*(F198-Calc!F26))+B206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187*(MIN(100,(Inputs!$B$9+((C198=TRUE)*(F198-Calc!F26))+B206+(ArtifactsInput!$M$24-ArtifactsInput!$M$24)*CHOOSE(ArtifactsInput!$N$24+1,10,12,14,16,18,20)+(IF(AND(Inputs!$B$39&lt;&gt;"pvp",Inputs!$B$44=0),1,IF(IF(Inputs!$B$39="pvp",15,Inputs!$B$44)-(B217)&lt;=0,1,MAX(0,IF(Inputs!$B$39="pvp",15,Inputs!$B$44)-MAX(5,B217))/(IF(Inputs!$B$39="pvp",15,Inputs!$B$44)-(B217))))*IF(AND(ArtifactsInput!$M$42,((Inputs!$B$9+((C198=TRUE)*(F198-Calc!F26))+B206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187">
        <f>IF(C187,(H187*N187*IF(AND(Inputs!$B$39&lt;&gt;"pvp",Inputs!$B$44&gt;0),((Skills!G15*((R187-1)*IF(Skills!H15&gt;0,Skills!I15/Skills!H15,1)+IF(Skills!H15&gt;0,MIN(Skills!I15,MAX(0,MAX(0,Inputs!$B$44-B217)-((R187-1)*IF(Inputs!$B$39="pvp",15,MAX(0.1,Skills!D15-IF(TRUE=TRUE,Inputs!$B$32,0))))))/Skills!H15,1)))/Inputs!$B$44),G187*Q187))*IF(Inputs!$B$39="pvp",1,(1+(Inputs!$B$21+Skills!Q15+B207+(IF(ArtifactsInput!$M$33,CHOOSE(ArtifactsInput!$N$33+1,30,36,42,48,54,60),0))+(IF(AND(ArtifactsInput!$M$35,Inputs!$B$4&lt;&gt;"Chapter Hunt"),CHOOSE(ArtifactsInput!$N$35+1,15,18,21,24,27,30)*(1-EXP(-(0.2*B210)*5)),0)+IF(AND(ArtifactsInput!$M$22,Inputs!$B$4&lt;&gt;"Chapter Hunt"),CHOOSE(ArtifactsInput!$N$22+1,10,12,14,16,18,20)*((0*(((0.15*B210*5))^0/1)+1*(((0.15*B210*5))^1/1)+2*(((0.15*B210*5))^2/2)+3*(((0.15*B210*5))^3/6)+4*(((0.15*B210*5))^4/24)+5*(((0.15*B210*5))^5/120))/((((0.15*B210*5))^0/1)+(((0.15*B210*5))^1/1)+(((0.15*B210*5))^2/2)+(((0.15*B210*5))^3/6)+(((0.15*B210*5))^4/24)+(((0.15*B210*5))^5/120))),0)))/100)*(MIN(MIN(5,0.5*IF(Inputs!$B$3&gt;=75,0.75,0.5)*B210*(1/Q176))*Skills!V15,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88">
      <c r="A188">
        <f>Skills!A16</f>
        <v/>
      </c>
      <c r="B188">
        <f>Skills!B16</f>
        <v/>
      </c>
      <c r="C188">
        <f>Inputs!$B$3&gt;=110</f>
        <v/>
      </c>
      <c r="D188">
        <f>IF(Skills!C16=1,60+Inputs!$B$25+Inputs!$B$29,IF(Skills!C16=2,90+Inputs!$B$26+Inputs!$B$29,IF(Skills!C16=3,120+Inputs!$B$27+Inputs!$B$29,MAX(0,(Inputs!$B$3-100)*3)+Inputs!$B$28+Inputs!$B$29)))</f>
        <v/>
      </c>
      <c r="E188">
        <f>INDEX(FactorTable!$B$2:$Y$301, MATCH(ROUND(MIN(300,MAX(1,D188)),0), FactorTable!$A$2:$A$301,0), Skills!M16+1)</f>
        <v/>
      </c>
      <c r="F188">
        <f>IF(Skills!N16=TRUE,(Skills!L16/10)*(E188/1000),Skills!L16/10)+Skills!O16</f>
        <v/>
      </c>
      <c r="G188">
        <f>Skills!G16*IF(Skills!H16&gt;0,IF(Inputs!$B$39="pvp",MIN(Skills!I16,15),Skills!I16)/Skills!H16,1)</f>
        <v/>
      </c>
      <c r="H188">
        <f>1-(1-Skills!J16/100)^Skills!K16</f>
        <v/>
      </c>
      <c r="I188" t="inlineStr">
        <is>
          <t>1</t>
        </is>
      </c>
      <c r="J188" t="inlineStr"/>
      <c r="K188" t="inlineStr"/>
      <c r="L188" t="inlineStr"/>
      <c r="M188" t="inlineStr"/>
      <c r="N188" t="inlineStr"/>
      <c r="O188">
        <f>(1-Summary!$B$11)*T188+Summary!$B$11*V188</f>
        <v/>
      </c>
      <c r="P188">
        <f>IF(B218=0,0,O188/B218)</f>
        <v/>
      </c>
      <c r="Q188">
        <f>IFERROR(1/IF(Inputs!$B$39="pvp",15,MAX(0.1,Skills!D16-IF(TRUE=TRUE,Inputs!$B$32,0))),0)</f>
        <v/>
      </c>
      <c r="R188">
        <f>IF(AND(Inputs!$B$39&lt;&gt;"pvp",Inputs!$B$44&gt;0),IF(Inputs!$B$44&lt;=0,0,(INT(Inputs!$B$44/IF(Inputs!$B$39="pvp",15,MAX(0.1,Skills!D16-IF(TRUE=TRUE,Inputs!$B$32,0))))+1)),0)</f>
        <v/>
      </c>
      <c r="S188">
        <f>IFERROR(O188/N188,0)</f>
        <v/>
      </c>
      <c r="T188" t="n">
        <v>0</v>
      </c>
      <c r="V188" t="n">
        <v>0</v>
      </c>
    </row>
    <row r="189">
      <c r="A189">
        <f>Skills!A17</f>
        <v/>
      </c>
      <c r="B189">
        <f>Skills!B17</f>
        <v/>
      </c>
      <c r="C189">
        <f>Inputs!$B$3&gt;=115</f>
        <v/>
      </c>
      <c r="D189">
        <f>IF(Skills!C17=1,60+Inputs!$B$25+Inputs!$B$29,IF(Skills!C17=2,90+Inputs!$B$26+Inputs!$B$29,IF(Skills!C17=3,120+Inputs!$B$27+Inputs!$B$29,MAX(0,(Inputs!$B$3-100)*3)+Inputs!$B$28+Inputs!$B$29)))</f>
        <v/>
      </c>
      <c r="E189">
        <f>INDEX(FactorTable!$B$2:$Y$301, MATCH(ROUND(MIN(300,MAX(1,D189)),0), FactorTable!$A$2:$A$301,0), Skills!M17+1)</f>
        <v/>
      </c>
      <c r="F189">
        <f>IF(Skills!N17=TRUE,(Skills!L17/10)*(E189/1000),Skills!L17/10)+Skills!O17</f>
        <v/>
      </c>
      <c r="G189">
        <f>Skills!G17*IF(Skills!H17&gt;0,IF(Inputs!$B$39="pvp",MIN(Skills!I17,15),Skills!I17)/Skills!H17,1)</f>
        <v/>
      </c>
      <c r="H189">
        <f>1-(1-Skills!J17/100)^Skills!K17</f>
        <v/>
      </c>
      <c r="I189" t="inlineStr">
        <is>
          <t>1</t>
        </is>
      </c>
      <c r="J189">
        <f>((Inputs!$B$6*(1+Inputs!$B$7/100))+(((Inputs!$B$12*(1+Inputs!$B$13/100))-(Inputs!$B$12*(1+Inputs!$B$13/100)))+0.25*((Inputs!$B$14+1)-Inputs!$B$14))*(1+Inputs!$B$7/100))*(F189/100)</f>
        <v/>
      </c>
      <c r="K189">
        <f>J189*(1+((Inputs!$B$12*(1+Inputs!$B$13/100))*0.01+(Inputs!$B$14+1)*0.0025)/100)*(1+Inputs!$B$15/100)*(1+Inputs!$B$16/100)*(5000/(6000+Inputs!$B$43*(1-(100*(1-(1-Inputs!$B$19/100)*(1-CHOOSE(ArtifactsInput!$N$40+1,5,6,7,8,9,10)/100)^(ArtifactsInput!$M$40-ArtifactsInput!$M$40)))/100)))*(1+(Inputs!$B$24+((C203=TRUE)*(F203-Calc!F31))+((C190=TRUE)*(F190-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17="CRUEL_STAB",Inputs!$B$17+((C200=TRUE)*(F200-Calc!F28))+((IF(AND(Inputs!$B$39&lt;&gt;"pvp",Inputs!$B$44=0),1,IF(IF(Inputs!$B$39="pvp",15,Inputs!$B$44)-(B217)&lt;=0,1,MAX(0,IF(Inputs!$B$39="pvp",15,Inputs!$B$44)-MAX(5,B217))/(IF(Inputs!$B$39="pvp",15,Inputs!$B$44)-(B217))))*(IF(AND(ArtifactsInput!$M$42,((Inputs!$B$9+((C198=TRUE)*(F198-Calc!F26))+B206+(ArtifactsInput!$M$24-ArtifactsInput!$M$24)*CHOOSE(ArtifactsInput!$N$24+1,10,12,14,16,18,20)+IF(ArtifactsInput!$M$10,CHOOSE(ArtifactsInput!$N$10+1,15,18,21,24,27,30)*(IF(Inputs!$B$39="pvp",MIN(15,15)/15,IF(AND(Inputs!$B$39&lt;&gt;"pvp",Inputs!$B$44&gt;0),MIN(15,Inputs!$B$44)/(Inputs!$B$44),0))),0)))&gt;=100),MIN(100,((Inputs!$B$9+((C198=TRUE)*(F198-Calc!F26))+B206+(ArtifactsInput!$M$24-ArtifactsInput!$M$24)*CHOOSE(ArtifactsInput!$N$24+1,10,12,14,16,18,20)+IF(ArtifactsInput!$M$10,CHOOSE(ArtifactsInput!$N$10+1,15,18,21,24,27,30)*(IF(Inputs!$B$39="pvp",MIN(15,15)/15,IF(AND(Inputs!$B$39&lt;&gt;"pvp",Inputs!$B$44&gt;0),MIN(15,Inputs!$B$44)/(Inputs!$B$44),0))),0)))-100),0))*CHOOSE(ArtifactsInput!$N$42+1,0.6,0.72,0.84,0.96,1.08,1.2))),Inputs!$B$18+((C201=TRUE)*(F201-Calc!F29))+(IF(AND(Inputs!$B$39&lt;&gt;"pvp",Inputs!$B$44=0),1,IF(IF(Inputs!$B$39="pvp",15,Inputs!$B$44)-(B217)&lt;=0,1,MAX(0,IF(Inputs!$B$39="pvp",15,Inputs!$B$44)-MAX(5,B217))/(IF(Inputs!$B$39="pvp",15,Inputs!$B$44)-(B217))))*IF(AND(ArtifactsInput!$M$42,((Inputs!$B$9+((C198=TRUE)*(F198-Calc!F26))+B206+(ArtifactsInput!$M$24-ArtifactsInput!$M$24)*CHOOSE(ArtifactsInput!$N$24+1,10,12,14,16,18,20)+IF(ArtifactsInput!$M$10,CHOOSE(ArtifactsInput!$N$10+1,15,18,21,24,27,30)*(IF(Inputs!$B$39="pvp",MIN(15,15)/15,IF(AND(Inputs!$B$39&lt;&gt;"pvp",Inputs!$B$44&gt;0),MIN(15,Inputs!$B$44)/(Inputs!$B$44),0))),0)))&gt;=100),CHOOSE(ArtifactsInput!$N$42+1,40,48,56,64,72,80),0))))/100)*(((1+(((C194=TRUE)*F194*IF(AND(Inputs!$B$39&lt;&gt;"pvp",Inputs!$B$44&gt;0),(((R194-1)*MIN((Skills!Y22*(1+Inputs!$B$34/100)),(1/Q194))+MIN((Skills!Y22*(1+Inputs!$B$34/100)),MAX(0,Inputs!$B$44-((R194-1)*(1/Q194)))))/Inputs!$B$44),IF(Inputs!$B$39="pvp",MIN((Skills!Y22*(1+Inputs!$B$34/100)),15)/15,MIN(1,(Skills!Y22*(1+Inputs!$B$34/100))/(1/Q194)))))+((C175=TRUE)*F175*3)+((C177=TRUE)*F177*(1-EXP(-0.75*B210*5)))+((C196=TRUE)*(F196-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183=TRUE)*F183*IF(AND(Inputs!$B$39&lt;&gt;"pvp",Inputs!$B$44&gt;0),(((R183-1)*MIN((Skills!Y11*(1+Inputs!$B$34/100)),(1/Q183))+MIN((Skills!Y11*(1+Inputs!$B$34/100)),MAX(0,Inputs!$B$44-((R183-1)*(1/Q183)))))/Inputs!$B$44),IF(Inputs!$B$39="pvp",MIN((Skills!Y11*(1+Inputs!$B$34/100)),15)/15,MIN(1,(Skills!Y11*(1+Inputs!$B$34/100))/(1/Q183)))))/100)*(1+((C188=TRUE)*F188*IF(AND(Inputs!$B$39&lt;&gt;"pvp",Inputs!$B$44&gt;0),(((R188-1)*MIN((Skills!Y16*(1+Inputs!$B$34/100)),(1/Q188))+MIN((Skills!Y16*(1+Inputs!$B$34/100)),MAX(0,Inputs!$B$44-((R188-1)*(1/Q188)))))/Inputs!$B$44),IF(Inputs!$B$39="pvp",MIN((Skills!Y16*(1+Inputs!$B$34/100)),15)/15,MIN(1,(Skills!Y16*(1+Inputs!$B$34/100))/(1/Q188)))))/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208*I189)</f>
        <v/>
      </c>
      <c r="L189">
        <f>K189*(MIN(Inputs!$B$22+((C197=TRUE)*(F197-Calc!F25)),(Inputs!$B$23+((C202=TRUE)*(F202-Calc!F30))+IF(ArtifactsInput!$M$15,CHOOSE(ArtifactsInput!$N$15+1,25,30,35,40,45,50)/100*(Inputs!$B$11-Inputs!$B$11),0)))/100+(Inputs!$B$23+((C202=TRUE)*(F202-Calc!F30))+IF(ArtifactsInput!$M$15,CHOOSE(ArtifactsInput!$N$15+1,25,30,35,40,45,50)/100*(Inputs!$B$11-Inputs!$B$11),0))/100)/2</f>
        <v/>
      </c>
      <c r="M189">
        <f>L189*(1+(Inputs!$B$10+((C199=TRUE)*(F199-Calc!F27))+B213+(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189">
        <f>L189*(1-MIN((Inputs!$B$9+((C198=TRUE)*(F198-Calc!F26))+B206+(ArtifactsInput!$M$24-ArtifactsInput!$M$24)*CHOOSE(ArtifactsInput!$N$24+1,10,12,14,16,18,20)+(IF(AND(Inputs!$B$39&lt;&gt;"pvp",Inputs!$B$44=0),1,IF(IF(Inputs!$B$39="pvp",15,Inputs!$B$44)-(B217)&lt;=0,1,MAX(0,IF(Inputs!$B$39="pvp",15,Inputs!$B$44)-MAX(5,B217))/(IF(Inputs!$B$39="pvp",15,Inputs!$B$44)-(B217))))*IF(AND(ArtifactsInput!$M$42,((Inputs!$B$9+((C198=TRUE)*(F198-Calc!F26))+B206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189*(MIN((Inputs!$B$9+((C198=TRUE)*(F198-Calc!F26))+B206+(ArtifactsInput!$M$24-ArtifactsInput!$M$24)*CHOOSE(ArtifactsInput!$N$24+1,10,12,14,16,18,20)+(IF(AND(Inputs!$B$39&lt;&gt;"pvp",Inputs!$B$44=0),1,IF(IF(Inputs!$B$39="pvp",15,Inputs!$B$44)-(B217)&lt;=0,1,MAX(0,IF(Inputs!$B$39="pvp",15,Inputs!$B$44)-MAX(5,B217))/(IF(Inputs!$B$39="pvp",15,Inputs!$B$44)-(B217))))*IF(AND(ArtifactsInput!$M$42,((Inputs!$B$9+((C198=TRUE)*(F198-Calc!F26))+B206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89">
        <f>(1-Summary!$B$11)*T189+Summary!$B$11*V189</f>
        <v/>
      </c>
      <c r="P189">
        <f>IF(B218=0,0,O189/B218)</f>
        <v/>
      </c>
      <c r="Q189" t="n">
        <v>0</v>
      </c>
      <c r="R189" t="n">
        <v>0</v>
      </c>
      <c r="S189">
        <f>IFERROR(O189/N189,0)</f>
        <v/>
      </c>
      <c r="T189">
        <f>IF(C189,(Inputs!$B$38*0.2*N189)*IF(Inputs!$B$39="pvp",1,1+(Inputs!$B$20+0+Skills!P17+B207+(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Hunt"),CHOOSE(ArtifactsInput!$N$35+1,15,18,21,24,27,30)*(1-EXP(-(0.2*B210)*5)),0)+IF(AND(ArtifactsInput!$M$22,Inputs!$B$4&lt;&gt;"Chapter Hunt"),CHOOSE(ArtifactsInput!$N$22+1,10,12,14,16,18,20)*((0*(((0.15*B210*5))^0/1)+1*(((0.15*B210*5))^1/1)+2*(((0.15*B210*5))^2/2)+3*(((0.15*B210*5))^3/6)+4*(((0.15*B210*5))^4/24)+5*(((0.15*B210*5))^5/120))/((((0.15*B210*5))^0/1)+(((0.15*B210*5))^1/1)+(((0.15*B210*5))^2/2)+(((0.15*B210*5))^3/6)+(((0.15*B210*5))^4/24)+(((0.15*B210*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189*(1-MIN(100,(Inputs!$B$9+((C198=TRUE)*(F198-Calc!F26))+B206+(ArtifactsInput!$M$24-ArtifactsInput!$M$24)*CHOOSE(ArtifactsInput!$N$24+1,10,12,14,16,18,20)+(IF(AND(Inputs!$B$39&lt;&gt;"pvp",Inputs!$B$44=0),1,IF(IF(Inputs!$B$39="pvp",15,Inputs!$B$44)-(B217)&lt;=0,1,MAX(0,IF(Inputs!$B$39="pvp",15,Inputs!$B$44)-MAX(5,B217))/(IF(Inputs!$B$39="pvp",15,Inputs!$B$44)-(B217))))*IF(AND(ArtifactsInput!$M$42,((Inputs!$B$9+((C198=TRUE)*(F198-Calc!F26))+B206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189*(MIN(100,(Inputs!$B$9+((C198=TRUE)*(F198-Calc!F26))+B206+(ArtifactsInput!$M$24-ArtifactsInput!$M$24)*CHOOSE(ArtifactsInput!$N$24+1,10,12,14,16,18,20)+(IF(AND(Inputs!$B$39&lt;&gt;"pvp",Inputs!$B$44=0),1,IF(IF(Inputs!$B$39="pvp",15,Inputs!$B$44)-(B217)&lt;=0,1,MAX(0,IF(Inputs!$B$39="pvp",15,Inputs!$B$44)-MAX(5,B217))/(IF(Inputs!$B$39="pvp",15,Inputs!$B$44)-(B217))))*IF(AND(ArtifactsInput!$M$42,((Inputs!$B$9+((C198=TRUE)*(F198-Calc!F26))+B206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189*(1-MIN(100,(Inputs!$B$9+((C198=TRUE)*(F198-Calc!F26))+B206+(ArtifactsInput!$M$24-ArtifactsInput!$M$24)*CHOOSE(ArtifactsInput!$N$24+1,10,12,14,16,18,20)+(IF(AND(Inputs!$B$39&lt;&gt;"pvp",Inputs!$B$44=0),1,IF(IF(Inputs!$B$39="pvp",15,Inputs!$B$44)-(B217)&lt;=0,1,MAX(0,IF(Inputs!$B$39="pvp",15,Inputs!$B$44)-MAX(5,B217))/(IF(Inputs!$B$39="pvp",15,Inputs!$B$44)-(B217))))*IF(AND(ArtifactsInput!$M$42,((Inputs!$B$9+((C198=TRUE)*(F198-Calc!F26))+B206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189*(MIN(100,(Inputs!$B$9+((C198=TRUE)*(F198-Calc!F26))+B206+(ArtifactsInput!$M$24-ArtifactsInput!$M$24)*CHOOSE(ArtifactsInput!$N$24+1,10,12,14,16,18,20)+(IF(AND(Inputs!$B$39&lt;&gt;"pvp",Inputs!$B$44=0),1,IF(IF(Inputs!$B$39="pvp",15,Inputs!$B$44)-(B217)&lt;=0,1,MAX(0,IF(Inputs!$B$39="pvp",15,Inputs!$B$44)-MAX(5,B217))/(IF(Inputs!$B$39="pvp",15,Inputs!$B$44)-(B217))))*IF(AND(ArtifactsInput!$M$42,((Inputs!$B$9+((C198=TRUE)*(F198-Calc!F26))+B206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189">
        <f>IF(C189,(Inputs!$B$38*0.2*N189)*IF(Inputs!$B$39="pvp",1,(1+(Inputs!$B$21+Skills!Q17+B207+(IF(ArtifactsInput!$M$33,CHOOSE(ArtifactsInput!$N$33+1,30,36,42,48,54,60),0))+(IF(AND(ArtifactsInput!$M$35,Inputs!$B$4&lt;&gt;"Chapter Hunt"),CHOOSE(ArtifactsInput!$N$35+1,15,18,21,24,27,30)*(1-EXP(-(0.2*B210)*5)),0)+IF(AND(ArtifactsInput!$M$22,Inputs!$B$4&lt;&gt;"Chapter Hunt"),CHOOSE(ArtifactsInput!$N$22+1,10,12,14,16,18,20)*((0*(((0.15*B210*5))^0/1)+1*(((0.15*B210*5))^1/1)+2*(((0.15*B210*5))^2/2)+3*(((0.15*B210*5))^3/6)+4*(((0.15*B210*5))^4/24)+5*(((0.15*B210*5))^5/120))/((((0.15*B210*5))^0/1)+(((0.15*B210*5))^1/1)+(((0.15*B210*5))^2/2)+(((0.15*B210*5))^3/6)+(((0.15*B210*5))^4/24)+(((0.15*B210*5))^5/120))),0)))/100)*(MIN(Skills!W17,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90">
      <c r="A190">
        <f>Skills!A18</f>
        <v/>
      </c>
      <c r="B190">
        <f>Skills!B18</f>
        <v/>
      </c>
      <c r="C190">
        <f>Inputs!$B$3&gt;=115</f>
        <v/>
      </c>
      <c r="D190">
        <f>IF(Skills!C18=1,60+Inputs!$B$25+Inputs!$B$29,IF(Skills!C18=2,90+Inputs!$B$26+Inputs!$B$29,IF(Skills!C18=3,120+Inputs!$B$27+Inputs!$B$29,MAX(0,(Inputs!$B$3-100)*3)+Inputs!$B$28+Inputs!$B$29)))</f>
        <v/>
      </c>
      <c r="E190">
        <f>INDEX(FactorTable!$B$2:$Y$301, MATCH(ROUND(MIN(300,MAX(1,D190)),0), FactorTable!$A$2:$A$301,0), Skills!M18+1)</f>
        <v/>
      </c>
      <c r="F190">
        <f>IF(Skills!N18=TRUE,(Skills!L18/10)*(E190/1000),Skills!L18/10)+Skills!O18</f>
        <v/>
      </c>
      <c r="G190">
        <f>Skills!G18*IF(Skills!H18&gt;0,IF(Inputs!$B$39="pvp",MIN(Skills!I18,15),Skills!I18)/Skills!H18,1)</f>
        <v/>
      </c>
      <c r="H190">
        <f>1-(1-Skills!J18/100)^Skills!K18</f>
        <v/>
      </c>
      <c r="I190" t="inlineStr">
        <is>
          <t>1</t>
        </is>
      </c>
      <c r="J190" t="inlineStr"/>
      <c r="K190" t="inlineStr"/>
      <c r="L190" t="inlineStr"/>
      <c r="M190" t="inlineStr"/>
      <c r="N190" t="inlineStr"/>
      <c r="O190">
        <f>(1-Summary!$B$11)*T190+Summary!$B$11*V190</f>
        <v/>
      </c>
      <c r="P190">
        <f>IF(B218=0,0,O190/B218)</f>
        <v/>
      </c>
      <c r="Q190" t="n">
        <v>0</v>
      </c>
      <c r="R190" t="n">
        <v>0</v>
      </c>
      <c r="S190">
        <f>IFERROR(O190/N190,0)</f>
        <v/>
      </c>
      <c r="T190" t="n">
        <v>0</v>
      </c>
      <c r="V190" t="n">
        <v>0</v>
      </c>
    </row>
    <row r="191">
      <c r="A191">
        <f>Skills!A19</f>
        <v/>
      </c>
      <c r="B191">
        <f>Skills!B19</f>
        <v/>
      </c>
      <c r="C191">
        <f>Inputs!$B$3&gt;=100</f>
        <v/>
      </c>
      <c r="D191">
        <f>IF(Skills!C19=1,60+Inputs!$B$25+Inputs!$B$29,IF(Skills!C19=2,90+Inputs!$B$26+Inputs!$B$29,IF(Skills!C19=3,120+Inputs!$B$27+Inputs!$B$29,MAX(0,(Inputs!$B$3-100)*3)+Inputs!$B$28+Inputs!$B$29)))</f>
        <v/>
      </c>
      <c r="E191">
        <f>INDEX(FactorTable!$B$2:$Y$301, MATCH(ROUND(MIN(300,MAX(1,D191)),0), FactorTable!$A$2:$A$301,0), Skills!M19+1)</f>
        <v/>
      </c>
      <c r="F191">
        <f>IF(Skills!N19=TRUE,(Skills!L19/10)*(E191/1000),Skills!L19/10)+Skills!O19</f>
        <v/>
      </c>
      <c r="G191">
        <f>Skills!G19*IF(Skills!H19&gt;0,IF(Inputs!$B$39="pvp",MIN(Skills!I19,15),Skills!I19)/Skills!H19,1)</f>
        <v/>
      </c>
      <c r="H191">
        <f>1-(1-Skills!J19/100)^Skills!K19</f>
        <v/>
      </c>
      <c r="I191" t="inlineStr">
        <is>
          <t>1</t>
        </is>
      </c>
      <c r="J191" t="inlineStr"/>
      <c r="K191" t="inlineStr"/>
      <c r="L191" t="inlineStr"/>
      <c r="M191" t="inlineStr"/>
      <c r="N191" t="inlineStr"/>
      <c r="O191">
        <f>(1-Summary!$B$11)*T191+Summary!$B$11*V191</f>
        <v/>
      </c>
      <c r="P191">
        <f>IF(B218=0,0,O191/B218)</f>
        <v/>
      </c>
      <c r="Q191" t="n">
        <v>0</v>
      </c>
      <c r="R191" t="n">
        <v>0</v>
      </c>
      <c r="S191">
        <f>IFERROR(O191/N191,0)</f>
        <v/>
      </c>
      <c r="T191" t="n">
        <v>0</v>
      </c>
      <c r="V191" t="n">
        <v>0</v>
      </c>
    </row>
    <row r="192">
      <c r="A192">
        <f>Skills!A20</f>
        <v/>
      </c>
      <c r="B192">
        <f>Skills!B20</f>
        <v/>
      </c>
      <c r="C192">
        <f>TRUE</f>
        <v/>
      </c>
      <c r="D192">
        <f>IF(Skills!C20=1,60+Inputs!$B$25+Inputs!$B$29,IF(Skills!C20=2,90+Inputs!$B$26+Inputs!$B$29,IF(Skills!C20=3,120+Inputs!$B$27+Inputs!$B$29,MAX(0,(Inputs!$B$3-100)*3)+Inputs!$B$28+Inputs!$B$29)))</f>
        <v/>
      </c>
      <c r="E192">
        <f>INDEX(FactorTable!$B$2:$Y$301, MATCH(ROUND(MIN(300,MAX(1,D192)),0), FactorTable!$A$2:$A$301,0), Skills!M20+1)</f>
        <v/>
      </c>
      <c r="F192">
        <f>IF(Skills!N20=TRUE,(Skills!L20/10)*(E192/1000),Skills!L20/10)+Skills!O20</f>
        <v/>
      </c>
      <c r="G192">
        <f>Skills!G20*IF(Skills!H20&gt;0,IF(Inputs!$B$39="pvp",MIN(Skills!I20,15),Skills!I20)/Skills!H20,1)</f>
        <v/>
      </c>
      <c r="H192">
        <f>1-(1-Skills!J20/100)^Skills!K20</f>
        <v/>
      </c>
      <c r="I192" t="inlineStr">
        <is>
          <t>1</t>
        </is>
      </c>
      <c r="J192" t="inlineStr"/>
      <c r="K192" t="inlineStr"/>
      <c r="L192" t="inlineStr"/>
      <c r="M192" t="inlineStr"/>
      <c r="N192" t="inlineStr"/>
      <c r="O192">
        <f>(1-Summary!$B$11)*T192+Summary!$B$11*V192</f>
        <v/>
      </c>
      <c r="P192">
        <f>IF(B218=0,0,O192/B218)</f>
        <v/>
      </c>
      <c r="Q192">
        <f>IFERROR(1/IF(Inputs!$B$39="pvp",15,MAX(0.1,Skills!D20-IF(TRUE=TRUE,Inputs!$B$32,0))),0)</f>
        <v/>
      </c>
      <c r="R192">
        <f>IF(AND(Inputs!$B$39&lt;&gt;"pvp",Inputs!$B$44&gt;0),IF(Inputs!$B$44&lt;=0,0,(INT(Inputs!$B$44/IF(Inputs!$B$39="pvp",15,MAX(0.1,Skills!D20-IF(TRUE=TRUE,Inputs!$B$32,0))))+1)),0)</f>
        <v/>
      </c>
      <c r="S192">
        <f>IFERROR(O192/N192,0)</f>
        <v/>
      </c>
      <c r="T192" t="n">
        <v>0</v>
      </c>
      <c r="V192" t="n">
        <v>0</v>
      </c>
    </row>
    <row r="193">
      <c r="A193">
        <f>Skills!A21</f>
        <v/>
      </c>
      <c r="B193">
        <f>Skills!B21</f>
        <v/>
      </c>
      <c r="C193">
        <f>Inputs!$B$3&gt;=15</f>
        <v/>
      </c>
      <c r="D193">
        <f>IF(Skills!C21=1,60+Inputs!$B$25+Inputs!$B$29,IF(Skills!C21=2,90+Inputs!$B$26+Inputs!$B$29,IF(Skills!C21=3,120+Inputs!$B$27+Inputs!$B$29,MAX(0,(Inputs!$B$3-100)*3)+Inputs!$B$28+Inputs!$B$29)))</f>
        <v/>
      </c>
      <c r="E193">
        <f>INDEX(FactorTable!$B$2:$Y$301, MATCH(ROUND(MIN(300,MAX(1,D193)),0), FactorTable!$A$2:$A$301,0), Skills!M21+1)</f>
        <v/>
      </c>
      <c r="F193">
        <f>IF(Skills!N21=TRUE,(Skills!L21/10)*(E193/1000),Skills!L21/10)+Skills!O21</f>
        <v/>
      </c>
      <c r="G193">
        <f>Skills!G21*IF(Skills!H21&gt;0,IF(Inputs!$B$39="pvp",MIN(Skills!I21,15),Skills!I21)/Skills!H21,1)</f>
        <v/>
      </c>
      <c r="H193">
        <f>1-(1-Skills!J21/100)^Skills!K21</f>
        <v/>
      </c>
      <c r="I193" t="inlineStr">
        <is>
          <t>1</t>
        </is>
      </c>
      <c r="J193" t="inlineStr"/>
      <c r="K193" t="inlineStr"/>
      <c r="L193" t="inlineStr"/>
      <c r="M193" t="inlineStr"/>
      <c r="N193" t="inlineStr"/>
      <c r="O193">
        <f>(1-Summary!$B$11)*T193+Summary!$B$11*V193</f>
        <v/>
      </c>
      <c r="P193">
        <f>IF(B218=0,0,O193/B218)</f>
        <v/>
      </c>
      <c r="Q193">
        <f>IFERROR(1/IF(Inputs!$B$39="pvp",15,MAX(0.1,Skills!D21-IF(TRUE=TRUE,Inputs!$B$32,0))),0)</f>
        <v/>
      </c>
      <c r="R193">
        <f>IF(AND(Inputs!$B$39&lt;&gt;"pvp",Inputs!$B$44&gt;0),IF(Inputs!$B$44&lt;=0,0,(INT(Inputs!$B$44/IF(Inputs!$B$39="pvp",15,MAX(0.1,Skills!D21-IF(TRUE=TRUE,Inputs!$B$32,0))))+1)),0)</f>
        <v/>
      </c>
      <c r="S193">
        <f>IFERROR(O193/N193,0)</f>
        <v/>
      </c>
      <c r="T193" t="n">
        <v>0</v>
      </c>
      <c r="V193" t="n">
        <v>0</v>
      </c>
    </row>
    <row r="194">
      <c r="A194">
        <f>Skills!A22</f>
        <v/>
      </c>
      <c r="B194">
        <f>Skills!B22</f>
        <v/>
      </c>
      <c r="C194">
        <f>Inputs!$B$3&gt;=15</f>
        <v/>
      </c>
      <c r="D194">
        <f>IF(Skills!C22=1,60+Inputs!$B$25+Inputs!$B$29,IF(Skills!C22=2,90+Inputs!$B$26+Inputs!$B$29,IF(Skills!C22=3,120+Inputs!$B$27+Inputs!$B$29,MAX(0,(Inputs!$B$3-100)*3)+Inputs!$B$28+Inputs!$B$29)))</f>
        <v/>
      </c>
      <c r="E194">
        <f>INDEX(FactorTable!$B$2:$Y$301, MATCH(ROUND(MIN(300,MAX(1,D194)),0), FactorTable!$A$2:$A$301,0), Skills!M22+1)</f>
        <v/>
      </c>
      <c r="F194">
        <f>IF(Skills!N22=TRUE,(Skills!L22/10)*(E194/1000),Skills!L22/10)+Skills!O22</f>
        <v/>
      </c>
      <c r="G194">
        <f>Skills!G22*IF(Skills!H22&gt;0,IF(Inputs!$B$39="pvp",MIN(Skills!I22,15),Skills!I22)/Skills!H22,1)</f>
        <v/>
      </c>
      <c r="H194">
        <f>1-(1-Skills!J22/100)^Skills!K22</f>
        <v/>
      </c>
      <c r="I194" t="inlineStr">
        <is>
          <t>1</t>
        </is>
      </c>
      <c r="J194" t="inlineStr"/>
      <c r="K194" t="inlineStr"/>
      <c r="L194" t="inlineStr"/>
      <c r="M194" t="inlineStr"/>
      <c r="N194" t="inlineStr"/>
      <c r="O194">
        <f>(1-Summary!$B$11)*T194+Summary!$B$11*V194</f>
        <v/>
      </c>
      <c r="P194">
        <f>IF(B218=0,0,O194/B218)</f>
        <v/>
      </c>
      <c r="Q194">
        <f>IFERROR(1/IF(Inputs!$B$39="pvp",15,MAX(0.1,Skills!D22-IF(TRUE=TRUE,Inputs!$B$32,0))),0)</f>
        <v/>
      </c>
      <c r="R194">
        <f>IF(AND(Inputs!$B$39&lt;&gt;"pvp",Inputs!$B$44&gt;0),IF(Inputs!$B$44&lt;=0,0,(INT(Inputs!$B$44/IF(Inputs!$B$39="pvp",15,MAX(0.1,Skills!D22-IF(TRUE=TRUE,Inputs!$B$32,0))))+1)),0)</f>
        <v/>
      </c>
      <c r="S194">
        <f>IFERROR(O194/N194,0)</f>
        <v/>
      </c>
      <c r="T194" t="n">
        <v>0</v>
      </c>
      <c r="V194" t="n">
        <v>0</v>
      </c>
    </row>
    <row r="195">
      <c r="A195">
        <f>Skills!A23</f>
        <v/>
      </c>
      <c r="B195">
        <f>Skills!B23</f>
        <v/>
      </c>
      <c r="C195">
        <f>Inputs!$B$3&gt;=33</f>
        <v/>
      </c>
      <c r="D195">
        <f>IF(Skills!C23=1,60+Inputs!$B$25+Inputs!$B$29,IF(Skills!C23=2,90+Inputs!$B$26+Inputs!$B$29,IF(Skills!C23=3,120+Inputs!$B$27+Inputs!$B$29,MAX(0,(Inputs!$B$3-100)*3)+Inputs!$B$28+Inputs!$B$29)))</f>
        <v/>
      </c>
      <c r="E195">
        <f>INDEX(FactorTable!$B$2:$Y$301, MATCH(ROUND(MIN(300,MAX(1,D195)),0), FactorTable!$A$2:$A$301,0), Skills!M23+1)</f>
        <v/>
      </c>
      <c r="F195">
        <f>IF(Skills!N23=TRUE,(Skills!L23/10)*(E195/1000),Skills!L23/10)+Skills!O23</f>
        <v/>
      </c>
      <c r="G195">
        <f>Skills!G23*IF(Skills!H23&gt;0,IF(Inputs!$B$39="pvp",MIN(Skills!I23,15),Skills!I23)/Skills!H23,1)</f>
        <v/>
      </c>
      <c r="H195">
        <f>1-(1-Skills!J23/100)^Skills!K23</f>
        <v/>
      </c>
      <c r="I195" t="inlineStr">
        <is>
          <t>1</t>
        </is>
      </c>
      <c r="J195" t="inlineStr"/>
      <c r="K195" t="inlineStr"/>
      <c r="L195" t="inlineStr"/>
      <c r="M195" t="inlineStr"/>
      <c r="N195" t="inlineStr"/>
      <c r="O195">
        <f>(1-Summary!$B$11)*T195+Summary!$B$11*V195</f>
        <v/>
      </c>
      <c r="P195">
        <f>IF(B218=0,0,O195/B218)</f>
        <v/>
      </c>
      <c r="Q195" t="n">
        <v>0</v>
      </c>
      <c r="R195" t="n">
        <v>0</v>
      </c>
      <c r="S195">
        <f>IFERROR(O195/N195,0)</f>
        <v/>
      </c>
      <c r="T195" t="n">
        <v>0</v>
      </c>
      <c r="V195" t="n">
        <v>0</v>
      </c>
    </row>
    <row r="196">
      <c r="A196">
        <f>Skills!A24</f>
        <v/>
      </c>
      <c r="B196">
        <f>Skills!B24</f>
        <v/>
      </c>
      <c r="C196">
        <f>Inputs!$B$3&gt;=40</f>
        <v/>
      </c>
      <c r="D196">
        <f>IF(Skills!C24=1,60+Inputs!$B$25+Inputs!$B$29,IF(Skills!C24=2,90+Inputs!$B$26+Inputs!$B$29,IF(Skills!C24=3,120+Inputs!$B$27+Inputs!$B$29,MAX(0,(Inputs!$B$3-100)*3)+Inputs!$B$28+Inputs!$B$29)))</f>
        <v/>
      </c>
      <c r="E196">
        <f>INDEX(FactorTable!$B$2:$Y$301, MATCH(ROUND(MIN(300,MAX(1,D196)),0), FactorTable!$A$2:$A$301,0), Skills!M24+1)</f>
        <v/>
      </c>
      <c r="F196">
        <f>IF(Skills!N24=TRUE,(Skills!L24/10)*(E196/1000),Skills!L24/10)+Skills!O24</f>
        <v/>
      </c>
      <c r="G196">
        <f>Skills!G24*IF(Skills!H24&gt;0,IF(Inputs!$B$39="pvp",MIN(Skills!I24,15),Skills!I24)/Skills!H24,1)</f>
        <v/>
      </c>
      <c r="H196">
        <f>1-(1-Skills!J24/100)^Skills!K24</f>
        <v/>
      </c>
      <c r="I196" t="inlineStr">
        <is>
          <t>1</t>
        </is>
      </c>
      <c r="J196" t="inlineStr"/>
      <c r="K196" t="inlineStr"/>
      <c r="L196" t="inlineStr"/>
      <c r="M196" t="inlineStr"/>
      <c r="N196" t="inlineStr"/>
      <c r="O196">
        <f>(1-Summary!$B$11)*T196+Summary!$B$11*V196</f>
        <v/>
      </c>
      <c r="P196">
        <f>IF(B218=0,0,O196/B218)</f>
        <v/>
      </c>
      <c r="Q196" t="n">
        <v>0</v>
      </c>
      <c r="R196" t="n">
        <v>0</v>
      </c>
      <c r="S196">
        <f>IFERROR(O196/N196,0)</f>
        <v/>
      </c>
      <c r="T196" t="n">
        <v>0</v>
      </c>
      <c r="V196" t="n">
        <v>0</v>
      </c>
    </row>
    <row r="197">
      <c r="A197">
        <f>Skills!A25</f>
        <v/>
      </c>
      <c r="B197">
        <f>Skills!B25</f>
        <v/>
      </c>
      <c r="C197">
        <f>Inputs!$B$3&gt;=43</f>
        <v/>
      </c>
      <c r="D197">
        <f>IF(Skills!C25=1,60+Inputs!$B$25+Inputs!$B$29,IF(Skills!C25=2,90+Inputs!$B$26+Inputs!$B$29,IF(Skills!C25=3,120+Inputs!$B$27+Inputs!$B$29,MAX(0,(Inputs!$B$3-100)*3)+Inputs!$B$28+Inputs!$B$29)))</f>
        <v/>
      </c>
      <c r="E197">
        <f>INDEX(FactorTable!$B$2:$Y$301, MATCH(ROUND(MIN(300,MAX(1,D197)),0), FactorTable!$A$2:$A$301,0), Skills!M25+1)</f>
        <v/>
      </c>
      <c r="F197">
        <f>IF(Skills!N25=TRUE,(Skills!L25/10)*(E197/1000),Skills!L25/10)+Skills!O25</f>
        <v/>
      </c>
      <c r="G197">
        <f>Skills!G25*IF(Skills!H25&gt;0,IF(Inputs!$B$39="pvp",MIN(Skills!I25,15),Skills!I25)/Skills!H25,1)</f>
        <v/>
      </c>
      <c r="H197">
        <f>1-(1-Skills!J25/100)^Skills!K25</f>
        <v/>
      </c>
      <c r="I197" t="inlineStr">
        <is>
          <t>1</t>
        </is>
      </c>
      <c r="J197" t="inlineStr"/>
      <c r="K197" t="inlineStr"/>
      <c r="L197" t="inlineStr"/>
      <c r="M197" t="inlineStr"/>
      <c r="N197" t="inlineStr"/>
      <c r="O197">
        <f>(1-Summary!$B$11)*T197+Summary!$B$11*V197</f>
        <v/>
      </c>
      <c r="P197">
        <f>IF(B218=0,0,O197/B218)</f>
        <v/>
      </c>
      <c r="Q197" t="n">
        <v>0</v>
      </c>
      <c r="R197" t="n">
        <v>0</v>
      </c>
      <c r="S197">
        <f>IFERROR(O197/N197,0)</f>
        <v/>
      </c>
      <c r="T197" t="n">
        <v>0</v>
      </c>
      <c r="V197" t="n">
        <v>0</v>
      </c>
    </row>
    <row r="198">
      <c r="A198">
        <f>Skills!A26</f>
        <v/>
      </c>
      <c r="B198">
        <f>Skills!B26</f>
        <v/>
      </c>
      <c r="C198">
        <f>Inputs!$B$3&gt;=50</f>
        <v/>
      </c>
      <c r="D198">
        <f>IF(Skills!C26=1,60+Inputs!$B$25+Inputs!$B$29,IF(Skills!C26=2,90+Inputs!$B$26+Inputs!$B$29,IF(Skills!C26=3,120+Inputs!$B$27+Inputs!$B$29,MAX(0,(Inputs!$B$3-100)*3)+Inputs!$B$28+Inputs!$B$29)))</f>
        <v/>
      </c>
      <c r="E198">
        <f>INDEX(FactorTable!$B$2:$Y$301, MATCH(ROUND(MIN(300,MAX(1,D198)),0), FactorTable!$A$2:$A$301,0), Skills!M26+1)</f>
        <v/>
      </c>
      <c r="F198">
        <f>IF(Skills!N26=TRUE,(Skills!L26/10)*(E198/1000),Skills!L26/10)+Skills!O26</f>
        <v/>
      </c>
      <c r="G198">
        <f>Skills!G26*IF(Skills!H26&gt;0,IF(Inputs!$B$39="pvp",MIN(Skills!I26,15),Skills!I26)/Skills!H26,1)</f>
        <v/>
      </c>
      <c r="H198">
        <f>1-(1-Skills!J26/100)^Skills!K26</f>
        <v/>
      </c>
      <c r="I198" t="inlineStr">
        <is>
          <t>1</t>
        </is>
      </c>
      <c r="J198" t="inlineStr"/>
      <c r="K198" t="inlineStr"/>
      <c r="L198" t="inlineStr"/>
      <c r="M198" t="inlineStr"/>
      <c r="N198" t="inlineStr"/>
      <c r="O198">
        <f>(1-Summary!$B$11)*T198+Summary!$B$11*V198</f>
        <v/>
      </c>
      <c r="P198">
        <f>IF(B218=0,0,O198/B218)</f>
        <v/>
      </c>
      <c r="Q198" t="n">
        <v>0</v>
      </c>
      <c r="R198" t="n">
        <v>0</v>
      </c>
      <c r="S198">
        <f>IFERROR(O198/N198,0)</f>
        <v/>
      </c>
      <c r="T198" t="n">
        <v>0</v>
      </c>
      <c r="V198" t="n">
        <v>0</v>
      </c>
    </row>
    <row r="199">
      <c r="A199">
        <f>Skills!A27</f>
        <v/>
      </c>
      <c r="B199">
        <f>Skills!B27</f>
        <v/>
      </c>
      <c r="C199">
        <f>Inputs!$B$3&gt;=50</f>
        <v/>
      </c>
      <c r="D199">
        <f>IF(Skills!C27=1,60+Inputs!$B$25+Inputs!$B$29,IF(Skills!C27=2,90+Inputs!$B$26+Inputs!$B$29,IF(Skills!C27=3,120+Inputs!$B$27+Inputs!$B$29,MAX(0,(Inputs!$B$3-100)*3)+Inputs!$B$28+Inputs!$B$29)))</f>
        <v/>
      </c>
      <c r="E199">
        <f>INDEX(FactorTable!$B$2:$Y$301, MATCH(ROUND(MIN(300,MAX(1,D199)),0), FactorTable!$A$2:$A$301,0), Skills!M27+1)</f>
        <v/>
      </c>
      <c r="F199">
        <f>IF(Skills!N27=TRUE,(Skills!L27/10)*(E199/1000),Skills!L27/10)+Skills!O27</f>
        <v/>
      </c>
      <c r="G199">
        <f>Skills!G27*IF(Skills!H27&gt;0,IF(Inputs!$B$39="pvp",MIN(Skills!I27,15),Skills!I27)/Skills!H27,1)</f>
        <v/>
      </c>
      <c r="H199">
        <f>1-(1-Skills!J27/100)^Skills!K27</f>
        <v/>
      </c>
      <c r="I199" t="inlineStr">
        <is>
          <t>1</t>
        </is>
      </c>
      <c r="J199" t="inlineStr"/>
      <c r="K199" t="inlineStr"/>
      <c r="L199" t="inlineStr"/>
      <c r="M199" t="inlineStr"/>
      <c r="N199" t="inlineStr"/>
      <c r="O199">
        <f>(1-Summary!$B$11)*T199+Summary!$B$11*V199</f>
        <v/>
      </c>
      <c r="P199">
        <f>IF(B218=0,0,O199/B218)</f>
        <v/>
      </c>
      <c r="Q199" t="n">
        <v>0</v>
      </c>
      <c r="R199" t="n">
        <v>0</v>
      </c>
      <c r="S199">
        <f>IFERROR(O199/N199,0)</f>
        <v/>
      </c>
      <c r="T199" t="n">
        <v>0</v>
      </c>
      <c r="V199" t="n">
        <v>0</v>
      </c>
    </row>
    <row r="200">
      <c r="A200">
        <f>Skills!A28</f>
        <v/>
      </c>
      <c r="B200">
        <f>Skills!B28</f>
        <v/>
      </c>
      <c r="C200">
        <f>Inputs!$B$3&gt;=38</f>
        <v/>
      </c>
      <c r="D200">
        <f>IF(Skills!C28=1,60+Inputs!$B$25+Inputs!$B$29,IF(Skills!C28=2,90+Inputs!$B$26+Inputs!$B$29,IF(Skills!C28=3,120+Inputs!$B$27+Inputs!$B$29,MAX(0,(Inputs!$B$3-100)*3)+Inputs!$B$28+Inputs!$B$29)))</f>
        <v/>
      </c>
      <c r="E200">
        <f>INDEX(FactorTable!$B$2:$Y$301, MATCH(ROUND(MIN(300,MAX(1,D200)),0), FactorTable!$A$2:$A$301,0), Skills!M28+1)</f>
        <v/>
      </c>
      <c r="F200">
        <f>IF(Skills!N28=TRUE,(Skills!L28/10)*(E200/1000),Skills!L28/10)+Skills!O28</f>
        <v/>
      </c>
      <c r="G200">
        <f>Skills!G28*IF(Skills!H28&gt;0,IF(Inputs!$B$39="pvp",MIN(Skills!I28,15),Skills!I28)/Skills!H28,1)</f>
        <v/>
      </c>
      <c r="H200">
        <f>1-(1-Skills!J28/100)^Skills!K28</f>
        <v/>
      </c>
      <c r="I200" t="inlineStr">
        <is>
          <t>1</t>
        </is>
      </c>
      <c r="J200" t="inlineStr"/>
      <c r="K200" t="inlineStr"/>
      <c r="L200" t="inlineStr"/>
      <c r="M200" t="inlineStr"/>
      <c r="N200" t="inlineStr"/>
      <c r="O200">
        <f>(1-Summary!$B$11)*T200+Summary!$B$11*V200</f>
        <v/>
      </c>
      <c r="P200">
        <f>IF(B218=0,0,O200/B218)</f>
        <v/>
      </c>
      <c r="Q200" t="n">
        <v>0</v>
      </c>
      <c r="R200" t="n">
        <v>0</v>
      </c>
      <c r="S200">
        <f>IFERROR(O200/N200,0)</f>
        <v/>
      </c>
      <c r="T200" t="n">
        <v>0</v>
      </c>
      <c r="V200" t="n">
        <v>0</v>
      </c>
    </row>
    <row r="201">
      <c r="A201">
        <f>Skills!A29</f>
        <v/>
      </c>
      <c r="B201">
        <f>Skills!B29</f>
        <v/>
      </c>
      <c r="C201">
        <f>Inputs!$B$3&gt;=120</f>
        <v/>
      </c>
      <c r="D201">
        <f>IF(Skills!C29=1,60+Inputs!$B$25+Inputs!$B$29,IF(Skills!C29=2,90+Inputs!$B$26+Inputs!$B$29,IF(Skills!C29=3,120+Inputs!$B$27+Inputs!$B$29,MAX(0,(Inputs!$B$3-100)*3)+Inputs!$B$28+Inputs!$B$29)))</f>
        <v/>
      </c>
      <c r="E201">
        <f>INDEX(FactorTable!$B$2:$Y$301, MATCH(ROUND(MIN(300,MAX(1,D201)),0), FactorTable!$A$2:$A$301,0), Skills!M29+1)</f>
        <v/>
      </c>
      <c r="F201">
        <f>IF(Skills!N29=TRUE,(Skills!L29/10)*(E201/1000),Skills!L29/10)+Skills!O29</f>
        <v/>
      </c>
      <c r="G201">
        <f>Skills!G29*IF(Skills!H29&gt;0,IF(Inputs!$B$39="pvp",MIN(Skills!I29,15),Skills!I29)/Skills!H29,1)</f>
        <v/>
      </c>
      <c r="H201">
        <f>1-(1-Skills!J29/100)^Skills!K29</f>
        <v/>
      </c>
      <c r="I201" t="inlineStr">
        <is>
          <t>1</t>
        </is>
      </c>
      <c r="J201" t="inlineStr"/>
      <c r="K201" t="inlineStr"/>
      <c r="L201" t="inlineStr"/>
      <c r="M201" t="inlineStr"/>
      <c r="N201" t="inlineStr"/>
      <c r="O201">
        <f>(1-Summary!$B$11)*T201+Summary!$B$11*V201</f>
        <v/>
      </c>
      <c r="P201">
        <f>IF(B218=0,0,O201/B218)</f>
        <v/>
      </c>
      <c r="Q201" t="n">
        <v>0</v>
      </c>
      <c r="R201" t="n">
        <v>0</v>
      </c>
      <c r="S201">
        <f>IFERROR(O201/N201,0)</f>
        <v/>
      </c>
      <c r="T201" t="n">
        <v>0</v>
      </c>
      <c r="V201" t="n">
        <v>0</v>
      </c>
    </row>
    <row r="202">
      <c r="A202">
        <f>Skills!A30</f>
        <v/>
      </c>
      <c r="B202">
        <f>Skills!B30</f>
        <v/>
      </c>
      <c r="C202">
        <f>Inputs!$B$3&gt;=120</f>
        <v/>
      </c>
      <c r="D202">
        <f>IF(Skills!C30=1,60+Inputs!$B$25+Inputs!$B$29,IF(Skills!C30=2,90+Inputs!$B$26+Inputs!$B$29,IF(Skills!C30=3,120+Inputs!$B$27+Inputs!$B$29,MAX(0,(Inputs!$B$3-100)*3)+Inputs!$B$28+Inputs!$B$29)))</f>
        <v/>
      </c>
      <c r="E202">
        <f>INDEX(FactorTable!$B$2:$Y$301, MATCH(ROUND(MIN(300,MAX(1,D202)),0), FactorTable!$A$2:$A$301,0), Skills!M30+1)</f>
        <v/>
      </c>
      <c r="F202">
        <f>IF(Skills!N30=TRUE,(Skills!L30/10)*(E202/1000),Skills!L30/10)+Skills!O30</f>
        <v/>
      </c>
      <c r="G202">
        <f>Skills!G30*IF(Skills!H30&gt;0,IF(Inputs!$B$39="pvp",MIN(Skills!I30,15),Skills!I30)/Skills!H30,1)</f>
        <v/>
      </c>
      <c r="H202">
        <f>1-(1-Skills!J30/100)^Skills!K30</f>
        <v/>
      </c>
      <c r="I202" t="inlineStr">
        <is>
          <t>1</t>
        </is>
      </c>
      <c r="J202" t="inlineStr"/>
      <c r="K202" t="inlineStr"/>
      <c r="L202" t="inlineStr"/>
      <c r="M202" t="inlineStr"/>
      <c r="N202" t="inlineStr"/>
      <c r="O202">
        <f>(1-Summary!$B$11)*T202+Summary!$B$11*V202</f>
        <v/>
      </c>
      <c r="P202">
        <f>IF(B218=0,0,O202/B218)</f>
        <v/>
      </c>
      <c r="Q202" t="n">
        <v>0</v>
      </c>
      <c r="R202" t="n">
        <v>0</v>
      </c>
      <c r="S202">
        <f>IFERROR(O202/N202,0)</f>
        <v/>
      </c>
      <c r="T202" t="n">
        <v>0</v>
      </c>
      <c r="V202" t="n">
        <v>0</v>
      </c>
    </row>
    <row r="203">
      <c r="A203">
        <f>Skills!A31</f>
        <v/>
      </c>
      <c r="B203">
        <f>Skills!B31</f>
        <v/>
      </c>
      <c r="C203">
        <f>Inputs!$B$3&gt;=125</f>
        <v/>
      </c>
      <c r="D203">
        <f>IF(Skills!C31=1,60+Inputs!$B$25+Inputs!$B$29,IF(Skills!C31=2,90+Inputs!$B$26+Inputs!$B$29,IF(Skills!C31=3,120+Inputs!$B$27+Inputs!$B$29,MAX(0,(Inputs!$B$3-100)*3)+Inputs!$B$28+Inputs!$B$29)))</f>
        <v/>
      </c>
      <c r="E203">
        <f>INDEX(FactorTable!$B$2:$Y$301, MATCH(ROUND(MIN(300,MAX(1,D203)),0), FactorTable!$A$2:$A$301,0), Skills!M31+1)</f>
        <v/>
      </c>
      <c r="F203">
        <f>IF(Skills!N31=TRUE,(Skills!L31/10)*(E203/1000),Skills!L31/10)+Skills!O31</f>
        <v/>
      </c>
      <c r="G203">
        <f>Skills!G31*IF(Skills!H31&gt;0,IF(Inputs!$B$39="pvp",MIN(Skills!I31,15),Skills!I31)/Skills!H31,1)</f>
        <v/>
      </c>
      <c r="H203">
        <f>1-(1-Skills!J31/100)^Skills!K31</f>
        <v/>
      </c>
      <c r="I203" t="inlineStr">
        <is>
          <t>1</t>
        </is>
      </c>
      <c r="J203" t="inlineStr"/>
      <c r="K203" t="inlineStr"/>
      <c r="L203" t="inlineStr"/>
      <c r="M203" t="inlineStr"/>
      <c r="N203" t="inlineStr"/>
      <c r="O203">
        <f>(1-Summary!$B$11)*T203+Summary!$B$11*V203</f>
        <v/>
      </c>
      <c r="P203">
        <f>IF(B218=0,0,O203/B218)</f>
        <v/>
      </c>
      <c r="Q203" t="n">
        <v>0</v>
      </c>
      <c r="R203" t="n">
        <v>0</v>
      </c>
      <c r="S203">
        <f>IFERROR(O203/N203,0)</f>
        <v/>
      </c>
      <c r="T203" t="n">
        <v>0</v>
      </c>
      <c r="V203" t="n">
        <v>0</v>
      </c>
    </row>
    <row r="205">
      <c r="A205" t="inlineStr">
        <is>
          <t>Average Buff Multiplier</t>
        </is>
      </c>
      <c r="B205">
        <f>(1+(((C194=TRUE)*F194*IF(AND(Inputs!$B$39&lt;&gt;"pvp",Inputs!$B$44&gt;0),(((R194-1)*MIN((Skills!Y22*(1+Inputs!$B$34/100)),(1/Q194))+MIN((Skills!Y22*(1+Inputs!$B$34/100)),MAX(0,Inputs!$B$44-((R194-1)*(1/Q194)))))/Inputs!$B$44),IF(Inputs!$B$39="pvp",MIN((Skills!Y22*(1+Inputs!$B$34/100)),15)/15,MIN(1,(Skills!Y22*(1+Inputs!$B$34/100))/(1/Q194)))))+((C175=TRUE)*F175*3)+((C177=TRUE)*F177*(1-EXP(-0.75*B210*5)))+((C196=TRUE)*(F196-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183=TRUE)*F183*IF(AND(Inputs!$B$39&lt;&gt;"pvp",Inputs!$B$44&gt;0),(((R183-1)*MIN((Skills!Y11*(1+Inputs!$B$34/100)),(1/Q183))+MIN((Skills!Y11*(1+Inputs!$B$34/100)),MAX(0,Inputs!$B$44-((R183-1)*(1/Q183)))))/Inputs!$B$44),IF(Inputs!$B$39="pvp",MIN((Skills!Y11*(1+Inputs!$B$34/100)),15)/15,MIN(1,(Skills!Y11*(1+Inputs!$B$34/100))/(1/Q183)))))/100)*(1+((C188=TRUE)*F188*IF(AND(Inputs!$B$39&lt;&gt;"pvp",Inputs!$B$44&gt;0),(((R188-1)*MIN((Skills!Y16*(1+Inputs!$B$34/100)),(1/Q188))+MIN((Skills!Y16*(1+Inputs!$B$34/100)),MAX(0,Inputs!$B$44-((R188-1)*(1/Q188)))))/Inputs!$B$44),IF(Inputs!$B$39="pvp",MIN((Skills!Y16*(1+Inputs!$B$34/100)),15)/15,MIN(1,(Skills!Y16*(1+Inputs!$B$34/100))/(1/Q188)))))/100)</f>
        <v/>
      </c>
    </row>
    <row r="206">
      <c r="A206" t="inlineStr">
        <is>
          <t>Global Crit Rate Bonus %</t>
        </is>
      </c>
      <c r="B206">
        <f>((C193=TRUE)*F193*IF(AND(Inputs!$B$39&lt;&gt;"pvp",Inputs!$B$44&gt;0),(((R193-1)*MIN((Skills!Y21*(1+Inputs!$B$34/100)),(1/Q193))+MIN((Skills!Y21*(1+Inputs!$B$34/100)),MAX(0,Inputs!$B$44-((R193-1)*(1/Q193)))))/Inputs!$B$44),IF(Inputs!$B$39="pvp",MIN((Skills!Y21*(1+Inputs!$B$34/100)),15)/15,MIN(1,(Skills!Y21*(1+Inputs!$B$34/100))/(1/Q193)))))</f>
        <v/>
      </c>
    </row>
    <row r="207">
      <c r="A207" t="inlineStr">
        <is>
          <t>Global Monster Damage-Taken Bonus %</t>
        </is>
      </c>
      <c r="B207">
        <f>IF(Inputs!$B$3&gt;=82,15,0)</f>
        <v/>
      </c>
    </row>
    <row r="208">
      <c r="A208" t="inlineStr">
        <is>
          <t>Shadow Partner Average Multiplier</t>
        </is>
      </c>
      <c r="B208">
        <f>1+((C180=TRUE)*F180*(1+3.3333333333333335*IF(C191=TRUE,F191,0)/100)*I180*Skills!J8/100)/100</f>
        <v/>
      </c>
    </row>
    <row r="209">
      <c r="A209" t="inlineStr">
        <is>
          <t>Attack Speed Buff Bonus %</t>
        </is>
      </c>
      <c r="B209">
        <f>((C192=TRUE)*F192*IF(AND(Inputs!$B$39&lt;&gt;"pvp",Inputs!$B$44&gt;0),(((R192-1)*MIN((Skills!Y20*(1+Inputs!$B$34/100)),(1/Q192))+MIN((Skills!Y20*(1+Inputs!$B$34/100)),MAX(0,Inputs!$B$44-((R192-1)*(1/Q192)))))/Inputs!$B$44),IF(Inputs!$B$39="pvp",MIN((Skills!Y20*(1+Inputs!$B$34/100)),15)/15,MIN(1,(Skills!Y20*(1+Inputs!$B$34/100))/(1/Q192)))))</f>
        <v/>
      </c>
    </row>
    <row r="210">
      <c r="A210" t="inlineStr">
        <is>
          <t>Actions Per Second</t>
        </is>
      </c>
      <c r="B210">
        <f>1+MIN(150,150*(1-(1-(Inputs!$B$11+((C195=TRUE)*(F195-Calc!F23)))/150)*(1-B209/150)))/100</f>
        <v/>
      </c>
    </row>
    <row r="211">
      <c r="A211" t="inlineStr">
        <is>
          <t>Skill + Buff Cast Rate</t>
        </is>
      </c>
      <c r="B211">
        <f>IF(AND(Inputs!$B$39&lt;&gt;"pvp",Inputs!$B$44&gt;0),SUMPRODUCT((Skills!E2:E31=TRUE)*(C174:C203=TRUE)*R174:R203*Skills!F2:F31)/Inputs!$B$44,SUMPRODUCT((Skills!E2:E31=TRUE)*(C174:C203=TRUE)*Q174:Q203*Skills!F2:F31))</f>
        <v/>
      </c>
    </row>
    <row r="212">
      <c r="A212" t="inlineStr">
        <is>
          <t>Cruel Stab Casts Per Second</t>
        </is>
      </c>
      <c r="B212">
        <f>MAX(0,B210-B211)</f>
        <v/>
      </c>
    </row>
    <row r="213">
      <c r="A213" t="inlineStr">
        <is>
          <t>Global Critical Damage Bonus % (Smokescreen Mastery Lv.113)</t>
        </is>
      </c>
      <c r="B213">
        <f>IF(Inputs!$B$3&gt;=113,30,0)*IF(AND(Inputs!$B$39&lt;&gt;"pvp",Inputs!$B$44&gt;0),(((R188-1)*MIN((Skills!Y16*(1+Inputs!$B$34/100)),(1/Q188))+MIN((Skills!Y16*(1+Inputs!$B$34/100)),MAX(0,Inputs!$B$44-((R188-1)*(1/Q188)))))/Inputs!$B$44),IF(Inputs!$B$39="pvp",MIN((Skills!Y16*(1+Inputs!$B$34/100)),15)/15,MIN(1,(Skills!Y16*(1+Inputs!$B$34/100))/(1/Q188))))</f>
        <v/>
      </c>
    </row>
    <row r="214">
      <c r="A214" t="inlineStr">
        <is>
          <t>Meso Explosion average stack count</t>
        </is>
      </c>
      <c r="B214">
        <f>MIN(10,IF(Inputs!$B$3&gt;=75,0.75,0.5)*B210*(1/Q176))</f>
        <v/>
      </c>
    </row>
    <row r="215">
      <c r="A215" t="inlineStr">
        <is>
          <t>Blood Money average stack count</t>
        </is>
      </c>
      <c r="B215">
        <f>MIN(5,0.5*IF(Inputs!$B$3&gt;=75,0.75,0.5)*B210*(1/Q176))</f>
        <v/>
      </c>
    </row>
    <row r="216">
      <c r="A216" t="inlineStr">
        <is>
          <t>Assassinate Murderous Intent Multiplier</t>
        </is>
      </c>
      <c r="B216">
        <f>1+IFERROR(MIN(1,Q187*2/Q184),0)</f>
        <v/>
      </c>
    </row>
    <row r="217">
      <c r="A217" t="inlineStr">
        <is>
          <t>Buff-Casting Startup Delay (s, fixed-duration only)</t>
        </is>
      </c>
      <c r="B217">
        <f>IF(AND(Inputs!$B$39&lt;&gt;"pvp",Inputs!$B$44&gt;0),SUMPRODUCT((Skills!Y2:Y31&gt;0)*(Skills!E2:E31=TRUE)*(C174:C203=TRUE))/B210,0)</f>
        <v/>
      </c>
    </row>
    <row r="218">
      <c r="A218" s="6" t="inlineStr">
        <is>
          <t>TOTAL DPS</t>
        </is>
      </c>
      <c r="B218" s="6">
        <f>SUM(O174:O203)</f>
        <v/>
      </c>
    </row>
    <row r="219">
      <c r="A219" t="inlineStr">
        <is>
          <t>Boss-Only Total DPS (this block's swept value)</t>
        </is>
      </c>
      <c r="B219">
        <f>SUM(T174:T203)</f>
        <v/>
      </c>
    </row>
    <row r="220">
      <c r="A220" t="inlineStr">
        <is>
          <t>Normal-Only Total DPS (this block's swept value)</t>
        </is>
      </c>
      <c r="B220">
        <f>SUM(V174:V203)</f>
        <v/>
      </c>
    </row>
    <row r="223">
      <c r="A223" s="6" t="inlineStr">
        <is>
          <t>Stat: DAMAGE %</t>
        </is>
      </c>
    </row>
    <row r="224">
      <c r="A224" s="5" t="inlineStr">
        <is>
          <t>Key</t>
        </is>
      </c>
      <c r="B224" s="5" t="inlineStr">
        <is>
          <t>Name</t>
        </is>
      </c>
      <c r="C224" s="5" t="inlineStr">
        <is>
          <t>Unlocked</t>
        </is>
      </c>
      <c r="D224" s="5" t="inlineStr">
        <is>
          <t>InputLevel</t>
        </is>
      </c>
      <c r="E224" s="5" t="inlineStr">
        <is>
          <t>Factor</t>
        </is>
      </c>
      <c r="F224" s="5" t="inlineStr">
        <is>
          <t>CoefficientPercent</t>
        </is>
      </c>
      <c r="G224" s="5" t="inlineStr">
        <is>
          <t>EffectiveHits</t>
        </is>
      </c>
      <c r="H224" s="5" t="inlineStr">
        <is>
          <t>ProcProbability</t>
        </is>
      </c>
      <c r="I224" s="5" t="inlineStr">
        <is>
          <t>MapleHeroMultiplier</t>
        </is>
      </c>
      <c r="J224" s="5" t="inlineStr">
        <is>
          <t>BaseDamage</t>
        </is>
      </c>
      <c r="K224" s="5" t="inlineStr">
        <is>
          <t>BaseHitDamage</t>
        </is>
      </c>
      <c r="L224" s="5" t="inlineStr">
        <is>
          <t>NonCritAvg</t>
        </is>
      </c>
      <c r="M224" s="5" t="inlineStr">
        <is>
          <t>CritAvg</t>
        </is>
      </c>
      <c r="N224" s="5" t="inlineStr">
        <is>
          <t>ExpectedDamage(perHit)</t>
        </is>
      </c>
      <c r="O224" s="5" t="inlineStr">
        <is>
          <t>DPS</t>
        </is>
      </c>
      <c r="P224" s="5" t="inlineStr">
        <is>
          <t>% of Total</t>
        </is>
      </c>
      <c r="Q224" s="5" t="inlineStr">
        <is>
          <t>InvCooldown</t>
        </is>
      </c>
      <c r="R224" s="5" t="inlineStr">
        <is>
          <t>CastsInFight</t>
        </is>
      </c>
      <c r="S224" s="5" t="inlineStr">
        <is>
          <t>HitRate(perSec)</t>
        </is>
      </c>
      <c r="U224" t="inlineStr">
        <is>
          <t>helpers</t>
        </is>
      </c>
    </row>
    <row r="225">
      <c r="A225">
        <f>Skills!A2</f>
        <v/>
      </c>
      <c r="B225">
        <f>Skills!B2</f>
        <v/>
      </c>
      <c r="C225">
        <f>Inputs!$B$3&gt;=100</f>
        <v/>
      </c>
      <c r="D225" t="inlineStr"/>
      <c r="E225" t="inlineStr"/>
      <c r="F225">
        <f>U227+Skills!O2</f>
        <v/>
      </c>
      <c r="G225">
        <f>Skills!G2*IF(Skills!H2&gt;0,IF(Inputs!$B$39="pvp",MIN(Skills!I2,15),Skills!I2)/Skills!H2,1)</f>
        <v/>
      </c>
      <c r="H225">
        <f>1-(1-Skills!J2/100)^Skills!K2</f>
        <v/>
      </c>
      <c r="I225" t="inlineStr">
        <is>
          <t>1</t>
        </is>
      </c>
      <c r="J225">
        <f>((Inputs!$B$6*(1+Inputs!$B$7/100))+(((Inputs!$B$12*(1+Inputs!$B$13/100))-(Inputs!$B$12*(1+Inputs!$B$13/100)))+0.25*(Inputs!$B$14-Inputs!$B$14))*(1+Inputs!$B$7/100))*(F225/100)</f>
        <v/>
      </c>
      <c r="K225">
        <f>J225*(1+((Inputs!$B$12*(1+Inputs!$B$13/100))*0.01+Inputs!$B$14*0.0025)/100)*(1+(Inputs!$B$15+1)/100)*(1+Inputs!$B$16/100)*(5000/(6000+Inputs!$B$43*(1-(100*(1-(1-Inputs!$B$19/100)*(1-CHOOSE(ArtifactsInput!$N$40+1,5,6,7,8,9,10)/100)^(ArtifactsInput!$M$40-ArtifactsInput!$M$40)))/100)))*(1+(Inputs!$B$24+((C254=TRUE)*(F254-Calc!F31))+((C241=TRUE)*(F241-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CRUEL_STAB",Inputs!$B$17+((C251=TRUE)*(F251-Calc!F28))+((IF(AND(Inputs!$B$39&lt;&gt;"pvp",Inputs!$B$44=0),1,IF(IF(Inputs!$B$39="pvp",15,Inputs!$B$44)-(B268)&lt;=0,1,MAX(0,IF(Inputs!$B$39="pvp",15,Inputs!$B$44)-MAX(5,B268))/(IF(Inputs!$B$39="pvp",15,Inputs!$B$44)-(B268))))*(IF(AND(ArtifactsInput!$M$42,((Inputs!$B$9+((C249=TRUE)*(F249-Calc!F26))+B257+(ArtifactsInput!$M$24-ArtifactsInput!$M$24)*CHOOSE(ArtifactsInput!$N$24+1,10,12,14,16,18,20)+IF(ArtifactsInput!$M$10,CHOOSE(ArtifactsInput!$N$10+1,15,18,21,24,27,30)*(IF(Inputs!$B$39="pvp",MIN(15,15)/15,IF(AND(Inputs!$B$39&lt;&gt;"pvp",Inputs!$B$44&gt;0),MIN(15,Inputs!$B$44)/(Inputs!$B$44),0))),0)))&gt;=100),MIN(100,((Inputs!$B$9+((C249=TRUE)*(F249-Calc!F26))+B257+(ArtifactsInput!$M$24-ArtifactsInput!$M$24)*CHOOSE(ArtifactsInput!$N$24+1,10,12,14,16,18,20)+IF(ArtifactsInput!$M$10,CHOOSE(ArtifactsInput!$N$10+1,15,18,21,24,27,30)*(IF(Inputs!$B$39="pvp",MIN(15,15)/15,IF(AND(Inputs!$B$39&lt;&gt;"pvp",Inputs!$B$44&gt;0),MIN(15,Inputs!$B$44)/(Inputs!$B$44),0))),0)))-100),0))*CHOOSE(ArtifactsInput!$N$42+1,0.6,0.72,0.84,0.96,1.08,1.2))),Inputs!$B$18+((C252=TRUE)*(F252-Calc!F29))+(IF(AND(Inputs!$B$39&lt;&gt;"pvp",Inputs!$B$44=0),1,IF(IF(Inputs!$B$39="pvp",15,Inputs!$B$44)-(B268)&lt;=0,1,MAX(0,IF(Inputs!$B$39="pvp",15,Inputs!$B$44)-MAX(5,B268))/(IF(Inputs!$B$39="pvp",15,Inputs!$B$44)-(B268))))*IF(AND(ArtifactsInput!$M$42,((Inputs!$B$9+((C249=TRUE)*(F249-Calc!F26))+B257+(ArtifactsInput!$M$24-ArtifactsInput!$M$24)*CHOOSE(ArtifactsInput!$N$24+1,10,12,14,16,18,20)+IF(ArtifactsInput!$M$10,CHOOSE(ArtifactsInput!$N$10+1,15,18,21,24,27,30)*(IF(Inputs!$B$39="pvp",MIN(15,15)/15,IF(AND(Inputs!$B$39&lt;&gt;"pvp",Inputs!$B$44&gt;0),MIN(15,Inputs!$B$44)/(Inputs!$B$44),0))),0)))&gt;=100),CHOOSE(ArtifactsInput!$N$42+1,40,48,56,64,72,80),0))))/100)*(((1+(((C245=TRUE)*F245*IF(AND(Inputs!$B$39&lt;&gt;"pvp",Inputs!$B$44&gt;0),(((R245-1)*MIN((Skills!Y22*(1+Inputs!$B$34/100)),(1/Q245))+MIN((Skills!Y22*(1+Inputs!$B$34/100)),MAX(0,Inputs!$B$44-((R245-1)*(1/Q245)))))/Inputs!$B$44),IF(Inputs!$B$39="pvp",MIN((Skills!Y22*(1+Inputs!$B$34/100)),15)/15,MIN(1,(Skills!Y22*(1+Inputs!$B$34/100))/(1/Q245)))))+((C226=TRUE)*F226*3)+((C228=TRUE)*F228*(1-EXP(-0.75*B261*5)))+((C247=TRUE)*(F247-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234=TRUE)*F234*IF(AND(Inputs!$B$39&lt;&gt;"pvp",Inputs!$B$44&gt;0),(((R234-1)*MIN((Skills!Y11*(1+Inputs!$B$34/100)),(1/Q234))+MIN((Skills!Y11*(1+Inputs!$B$34/100)),MAX(0,Inputs!$B$44-((R234-1)*(1/Q234)))))/Inputs!$B$44),IF(Inputs!$B$39="pvp",MIN((Skills!Y11*(1+Inputs!$B$34/100)),15)/15,MIN(1,(Skills!Y11*(1+Inputs!$B$34/100))/(1/Q234)))))/100)*(1+((C239=TRUE)*F239*IF(AND(Inputs!$B$39&lt;&gt;"pvp",Inputs!$B$44&gt;0),(((R239-1)*MIN((Skills!Y16*(1+Inputs!$B$34/100)),(1/Q239))+MIN((Skills!Y16*(1+Inputs!$B$34/100)),MAX(0,Inputs!$B$44-((R239-1)*(1/Q239)))))/Inputs!$B$44),IF(Inputs!$B$39="pvp",MIN((Skills!Y16*(1+Inputs!$B$34/100)),15)/15,MIN(1,(Skills!Y16*(1+Inputs!$B$34/100))/(1/Q239)))))/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259*I225)</f>
        <v/>
      </c>
      <c r="L225">
        <f>K225*(MIN(Inputs!$B$22+((C248=TRUE)*(F248-Calc!F25)),(Inputs!$B$23+((C253=TRUE)*(F253-Calc!F30))+IF(ArtifactsInput!$M$15,CHOOSE(ArtifactsInput!$N$15+1,25,30,35,40,45,50)/100*(Inputs!$B$11-Inputs!$B$11),0)))/100+(Inputs!$B$23+((C253=TRUE)*(F253-Calc!F30))+IF(ArtifactsInput!$M$15,CHOOSE(ArtifactsInput!$N$15+1,25,30,35,40,45,50)/100*(Inputs!$B$11-Inputs!$B$11),0))/100)/2</f>
        <v/>
      </c>
      <c r="M225">
        <f>L225*(1+(Inputs!$B$10+((C250=TRUE)*(F250-Calc!F27))+B264+(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225">
        <f>L225*(1-MIN((Inputs!$B$9+((C249=TRUE)*(F249-Calc!F26))+B257+(ArtifactsInput!$M$24-ArtifactsInput!$M$24)*CHOOSE(ArtifactsInput!$N$24+1,10,12,14,16,18,20)+(IF(AND(Inputs!$B$39&lt;&gt;"pvp",Inputs!$B$44=0),1,IF(IF(Inputs!$B$39="pvp",15,Inputs!$B$44)-(B268)&lt;=0,1,MAX(0,IF(Inputs!$B$39="pvp",15,Inputs!$B$44)-MAX(5,B268))/(IF(Inputs!$B$39="pvp",15,Inputs!$B$44)-(B268))))*IF(AND(ArtifactsInput!$M$42,((Inputs!$B$9+((C249=TRUE)*(F249-Calc!F26))+B257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225*(MIN((Inputs!$B$9+((C249=TRUE)*(F249-Calc!F26))+B257+(ArtifactsInput!$M$24-ArtifactsInput!$M$24)*CHOOSE(ArtifactsInput!$N$24+1,10,12,14,16,18,20)+(IF(AND(Inputs!$B$39&lt;&gt;"pvp",Inputs!$B$44=0),1,IF(IF(Inputs!$B$39="pvp",15,Inputs!$B$44)-(B268)&lt;=0,1,MAX(0,IF(Inputs!$B$39="pvp",15,Inputs!$B$44)-MAX(5,B268))/(IF(Inputs!$B$39="pvp",15,Inputs!$B$44)-(B268))))*IF(AND(ArtifactsInput!$M$42,((Inputs!$B$9+((C249=TRUE)*(F249-Calc!F26))+B257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25">
        <f>(1-Summary!$B$11)*T225+Summary!$B$11*V225</f>
        <v/>
      </c>
      <c r="P225">
        <f>IF(B269=0,0,O225/B269)</f>
        <v/>
      </c>
      <c r="Q225" t="n">
        <v>0</v>
      </c>
      <c r="R225" t="n">
        <v>0</v>
      </c>
      <c r="S225">
        <f>IFERROR(O225/N225,0)</f>
        <v/>
      </c>
      <c r="T225">
        <f>IF(C225,(Skills!G2*N225*B263)*IF(Inputs!$B$39="pvp",1,1+(Inputs!$B$20+0+Skills!P2+B258+(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Hunt"),CHOOSE(ArtifactsInput!$N$35+1,15,18,21,24,27,30)*(1-EXP(-(0.2*B261)*5)),0)+IF(AND(ArtifactsInput!$M$22,Inputs!$B$4&lt;&gt;"Chapter Hunt"),CHOOSE(ArtifactsInput!$N$22+1,10,12,14,16,18,20)*((0*(((0.15*B261*5))^0/1)+1*(((0.15*B261*5))^1/1)+2*(((0.15*B261*5))^2/2)+3*(((0.15*B261*5))^3/6)+4*(((0.15*B261*5))^4/24)+5*(((0.15*B261*5))^5/120))/((((0.15*B261*5))^0/1)+(((0.15*B261*5))^1/1)+(((0.15*B261*5))^2/2)+(((0.15*B261*5))^3/6)+(((0.15*B261*5))^4/24)+(((0.15*B261*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225*(1-MIN(100,(Inputs!$B$9+((C249=TRUE)*(F249-Calc!F26))+B257+(ArtifactsInput!$M$24-ArtifactsInput!$M$24)*CHOOSE(ArtifactsInput!$N$24+1,10,12,14,16,18,20)+(IF(AND(Inputs!$B$39&lt;&gt;"pvp",Inputs!$B$44=0),1,IF(IF(Inputs!$B$39="pvp",15,Inputs!$B$44)-(B268)&lt;=0,1,MAX(0,IF(Inputs!$B$39="pvp",15,Inputs!$B$44)-MAX(5,B268))/(IF(Inputs!$B$39="pvp",15,Inputs!$B$44)-(B268))))*IF(AND(ArtifactsInput!$M$42,((Inputs!$B$9+((C249=TRUE)*(F249-Calc!F26))+B257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225*(MIN(100,(Inputs!$B$9+((C249=TRUE)*(F249-Calc!F26))+B257+(ArtifactsInput!$M$24-ArtifactsInput!$M$24)*CHOOSE(ArtifactsInput!$N$24+1,10,12,14,16,18,20)+(IF(AND(Inputs!$B$39&lt;&gt;"pvp",Inputs!$B$44=0),1,IF(IF(Inputs!$B$39="pvp",15,Inputs!$B$44)-(B268)&lt;=0,1,MAX(0,IF(Inputs!$B$39="pvp",15,Inputs!$B$44)-MAX(5,B268))/(IF(Inputs!$B$39="pvp",15,Inputs!$B$44)-(B268))))*IF(AND(ArtifactsInput!$M$42,((Inputs!$B$9+((C249=TRUE)*(F249-Calc!F26))+B257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225*(1-MIN(100,(Inputs!$B$9+((C249=TRUE)*(F249-Calc!F26))+B257+(ArtifactsInput!$M$24-ArtifactsInput!$M$24)*CHOOSE(ArtifactsInput!$N$24+1,10,12,14,16,18,20)+(IF(AND(Inputs!$B$39&lt;&gt;"pvp",Inputs!$B$44=0),1,IF(IF(Inputs!$B$39="pvp",15,Inputs!$B$44)-(B268)&lt;=0,1,MAX(0,IF(Inputs!$B$39="pvp",15,Inputs!$B$44)-MAX(5,B268))/(IF(Inputs!$B$39="pvp",15,Inputs!$B$44)-(B268))))*IF(AND(ArtifactsInput!$M$42,((Inputs!$B$9+((C249=TRUE)*(F249-Calc!F26))+B257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225*(MIN(100,(Inputs!$B$9+((C249=TRUE)*(F249-Calc!F26))+B257+(ArtifactsInput!$M$24-ArtifactsInput!$M$24)*CHOOSE(ArtifactsInput!$N$24+1,10,12,14,16,18,20)+(IF(AND(Inputs!$B$39&lt;&gt;"pvp",Inputs!$B$44=0),1,IF(IF(Inputs!$B$39="pvp",15,Inputs!$B$44)-(B268)&lt;=0,1,MAX(0,IF(Inputs!$B$39="pvp",15,Inputs!$B$44)-MAX(5,B268))/(IF(Inputs!$B$39="pvp",15,Inputs!$B$44)-(B268))))*IF(AND(ArtifactsInput!$M$42,((Inputs!$B$9+((C249=TRUE)*(F249-Calc!F26))+B257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225">
        <f>MAX(0,(Inputs!$B$3-100)*3)+Inputs!$B$28+Inputs!$B$29</f>
        <v/>
      </c>
      <c r="V225">
        <f>IF(C225,(Skills!G2*N225*B263)*IF(Inputs!$B$39="pvp",1,(1+(Inputs!$B$21+Skills!Q2+B258+(IF(ArtifactsInput!$M$33,CHOOSE(ArtifactsInput!$N$33+1,30,36,42,48,54,60),0))+(IF(AND(ArtifactsInput!$M$35,Inputs!$B$4&lt;&gt;"Chapter Hunt"),CHOOSE(ArtifactsInput!$N$35+1,15,18,21,24,27,30)*(1-EXP(-(0.2*B261)*5)),0)+IF(AND(ArtifactsInput!$M$22,Inputs!$B$4&lt;&gt;"Chapter Hunt"),CHOOSE(ArtifactsInput!$N$22+1,10,12,14,16,18,20)*((0*(((0.15*B261*5))^0/1)+1*(((0.15*B261*5))^1/1)+2*(((0.15*B261*5))^2/2)+3*(((0.15*B261*5))^3/6)+4*(((0.15*B261*5))^4/24)+5*(((0.15*B261*5))^5/120))/((((0.15*B261*5))^0/1)+(((0.15*B261*5))^1/1)+(((0.15*B261*5))^2/2)+(((0.15*B261*5))^3/6)+(((0.15*B261*5))^4/24)+(((0.15*B261*5))^5/120))),0)))/100)*(MIN((6+Inputs!$B$33),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26">
      <c r="A226">
        <f>Skills!A3</f>
        <v/>
      </c>
      <c r="B226">
        <f>Skills!B3</f>
        <v/>
      </c>
      <c r="C226">
        <f>Inputs!$B$3&gt;=35</f>
        <v/>
      </c>
      <c r="D226">
        <f>IF(Skills!C3=1,60+Inputs!$B$25+Inputs!$B$29,IF(Skills!C3=2,90+Inputs!$B$26+Inputs!$B$29,IF(Skills!C3=3,120+Inputs!$B$27+Inputs!$B$29,MAX(0,(Inputs!$B$3-100)*3)+Inputs!$B$28+Inputs!$B$29)))</f>
        <v/>
      </c>
      <c r="E226">
        <f>INDEX(FactorTable!$B$2:$Y$301, MATCH(ROUND(MIN(300,MAX(1,D226)),0), FactorTable!$A$2:$A$301,0), Skills!M3+1)</f>
        <v/>
      </c>
      <c r="F226">
        <f>IF(Skills!N3=TRUE,(Skills!L3/10)*(E226/1000),Skills!L3/10)+Skills!O3</f>
        <v/>
      </c>
      <c r="G226">
        <f>Skills!G3*IF(Skills!H3&gt;0,IF(Inputs!$B$39="pvp",MIN(Skills!I3,15),Skills!I3)/Skills!H3,1)</f>
        <v/>
      </c>
      <c r="H226">
        <f>1-(1-Skills!J3/100)^Skills!K3</f>
        <v/>
      </c>
      <c r="I226" t="inlineStr">
        <is>
          <t>1</t>
        </is>
      </c>
      <c r="J226" t="inlineStr"/>
      <c r="K226" t="inlineStr"/>
      <c r="L226" t="inlineStr"/>
      <c r="M226" t="inlineStr"/>
      <c r="N226" t="inlineStr"/>
      <c r="O226">
        <f>(1-Summary!$B$11)*T226+Summary!$B$11*V226</f>
        <v/>
      </c>
      <c r="P226">
        <f>IF(B269=0,0,O226/B269)</f>
        <v/>
      </c>
      <c r="Q226" t="n">
        <v>0</v>
      </c>
      <c r="R226" t="n">
        <v>0</v>
      </c>
      <c r="S226">
        <f>IFERROR(O226/N226,0)</f>
        <v/>
      </c>
      <c r="T226" t="n">
        <v>0</v>
      </c>
      <c r="U226">
        <f>INDEX(FactorTable!$B$2:$Y$301, MATCH(ROUND(MIN(300,MAX(1,U225)),0), FactorTable!$A$2:$A$301,0), 22)</f>
        <v/>
      </c>
      <c r="V226" t="n">
        <v>0</v>
      </c>
    </row>
    <row r="227">
      <c r="A227">
        <f>Skills!A4</f>
        <v/>
      </c>
      <c r="B227">
        <f>Skills!B4</f>
        <v/>
      </c>
      <c r="C227">
        <f>Inputs!$B$3&gt;=66</f>
        <v/>
      </c>
      <c r="D227">
        <f>IF(Skills!C4=1,60+Inputs!$B$25+Inputs!$B$29,IF(Skills!C4=2,90+Inputs!$B$26+Inputs!$B$29,IF(Skills!C4=3,120+Inputs!$B$27+Inputs!$B$29,MAX(0,(Inputs!$B$3-100)*3)+Inputs!$B$28+Inputs!$B$29)))</f>
        <v/>
      </c>
      <c r="E227">
        <f>INDEX(FactorTable!$B$2:$Y$301, MATCH(ROUND(MIN(300,MAX(1,D227)),0), FactorTable!$A$2:$A$301,0), Skills!M4+1)</f>
        <v/>
      </c>
      <c r="F227">
        <f>IF(Skills!N4=TRUE,(Skills!L4/10)*(E227/1000),Skills!L4/10)+Skills!O4</f>
        <v/>
      </c>
      <c r="G227">
        <f>Skills!G4*IF(Skills!H4&gt;0,IF(Inputs!$B$39="pvp",MIN(Skills!I4,15),Skills!I4)/Skills!H4,1)</f>
        <v/>
      </c>
      <c r="H227">
        <f>1-(1-Skills!J4/100)^Skills!K4</f>
        <v/>
      </c>
      <c r="I227" t="inlineStr">
        <is>
          <t>1</t>
        </is>
      </c>
      <c r="J227">
        <f>((Inputs!$B$6*(1+Inputs!$B$7/100))+(((Inputs!$B$12*(1+Inputs!$B$13/100))-(Inputs!$B$12*(1+Inputs!$B$13/100)))+0.25*(Inputs!$B$14-Inputs!$B$14))*(1+Inputs!$B$7/100))*(F227/100)</f>
        <v/>
      </c>
      <c r="K227">
        <f>J227*(1+((Inputs!$B$12*(1+Inputs!$B$13/100))*0.01+Inputs!$B$14*0.0025)/100)*(1+(Inputs!$B$15+1)/100)*(1+Inputs!$B$16/100)*(5000/(6000+Inputs!$B$43*(1-(100*(1-(1-Inputs!$B$19/100)*(1-CHOOSE(ArtifactsInput!$N$40+1,5,6,7,8,9,10)/100)^(ArtifactsInput!$M$40-ArtifactsInput!$M$40)))/100)))*(1+(Inputs!$B$24+((C254=TRUE)*(F254-Calc!F31))+((C241=TRUE)*(F241-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4="CRUEL_STAB",Inputs!$B$17+((C251=TRUE)*(F251-Calc!F28))+((IF(AND(Inputs!$B$39&lt;&gt;"pvp",Inputs!$B$44=0),1,IF(IF(Inputs!$B$39="pvp",15,Inputs!$B$44)-(B268)&lt;=0,1,MAX(0,IF(Inputs!$B$39="pvp",15,Inputs!$B$44)-MAX(5,B268))/(IF(Inputs!$B$39="pvp",15,Inputs!$B$44)-(B268))))*(IF(AND(ArtifactsInput!$M$42,((Inputs!$B$9+((C249=TRUE)*(F249-Calc!F26))+B257+(ArtifactsInput!$M$24-ArtifactsInput!$M$24)*CHOOSE(ArtifactsInput!$N$24+1,10,12,14,16,18,20)+IF(ArtifactsInput!$M$10,CHOOSE(ArtifactsInput!$N$10+1,15,18,21,24,27,30)*(IF(Inputs!$B$39="pvp",MIN(15,15)/15,IF(AND(Inputs!$B$39&lt;&gt;"pvp",Inputs!$B$44&gt;0),MIN(15,Inputs!$B$44)/(Inputs!$B$44),0))),0)))&gt;=100),MIN(100,((Inputs!$B$9+((C249=TRUE)*(F249-Calc!F26))+B257+(ArtifactsInput!$M$24-ArtifactsInput!$M$24)*CHOOSE(ArtifactsInput!$N$24+1,10,12,14,16,18,20)+IF(ArtifactsInput!$M$10,CHOOSE(ArtifactsInput!$N$10+1,15,18,21,24,27,30)*(IF(Inputs!$B$39="pvp",MIN(15,15)/15,IF(AND(Inputs!$B$39&lt;&gt;"pvp",Inputs!$B$44&gt;0),MIN(15,Inputs!$B$44)/(Inputs!$B$44),0))),0)))-100),0))*CHOOSE(ArtifactsInput!$N$42+1,0.6,0.72,0.84,0.96,1.08,1.2))),Inputs!$B$18+((C252=TRUE)*(F252-Calc!F29))+(IF(AND(Inputs!$B$39&lt;&gt;"pvp",Inputs!$B$44=0),1,IF(IF(Inputs!$B$39="pvp",15,Inputs!$B$44)-(B268)&lt;=0,1,MAX(0,IF(Inputs!$B$39="pvp",15,Inputs!$B$44)-MAX(5,B268))/(IF(Inputs!$B$39="pvp",15,Inputs!$B$44)-(B268))))*IF(AND(ArtifactsInput!$M$42,((Inputs!$B$9+((C249=TRUE)*(F249-Calc!F26))+B257+(ArtifactsInput!$M$24-ArtifactsInput!$M$24)*CHOOSE(ArtifactsInput!$N$24+1,10,12,14,16,18,20)+IF(ArtifactsInput!$M$10,CHOOSE(ArtifactsInput!$N$10+1,15,18,21,24,27,30)*(IF(Inputs!$B$39="pvp",MIN(15,15)/15,IF(AND(Inputs!$B$39&lt;&gt;"pvp",Inputs!$B$44&gt;0),MIN(15,Inputs!$B$44)/(Inputs!$B$44),0))),0)))&gt;=100),CHOOSE(ArtifactsInput!$N$42+1,40,48,56,64,72,80),0))))/100)*(((1+(((C245=TRUE)*F245*IF(AND(Inputs!$B$39&lt;&gt;"pvp",Inputs!$B$44&gt;0),(((R245-1)*MIN((Skills!Y22*(1+Inputs!$B$34/100)),(1/Q245))+MIN((Skills!Y22*(1+Inputs!$B$34/100)),MAX(0,Inputs!$B$44-((R245-1)*(1/Q245)))))/Inputs!$B$44),IF(Inputs!$B$39="pvp",MIN((Skills!Y22*(1+Inputs!$B$34/100)),15)/15,MIN(1,(Skills!Y22*(1+Inputs!$B$34/100))/(1/Q245)))))+((C226=TRUE)*F226*3)+((C228=TRUE)*F228*(1-EXP(-0.75*B261*5)))+((C247=TRUE)*(F247-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234=TRUE)*F234*IF(AND(Inputs!$B$39&lt;&gt;"pvp",Inputs!$B$44&gt;0),(((R234-1)*MIN((Skills!Y11*(1+Inputs!$B$34/100)),(1/Q234))+MIN((Skills!Y11*(1+Inputs!$B$34/100)),MAX(0,Inputs!$B$44-((R234-1)*(1/Q234)))))/Inputs!$B$44),IF(Inputs!$B$39="pvp",MIN((Skills!Y11*(1+Inputs!$B$34/100)),15)/15,MIN(1,(Skills!Y11*(1+Inputs!$B$34/100))/(1/Q234)))))/100)*(1+((C239=TRUE)*F239*IF(AND(Inputs!$B$39&lt;&gt;"pvp",Inputs!$B$44&gt;0),(((R239-1)*MIN((Skills!Y16*(1+Inputs!$B$34/100)),(1/Q239))+MIN((Skills!Y16*(1+Inputs!$B$34/100)),MAX(0,Inputs!$B$44-((R239-1)*(1/Q239)))))/Inputs!$B$44),IF(Inputs!$B$39="pvp",MIN((Skills!Y16*(1+Inputs!$B$34/100)),15)/15,MIN(1,(Skills!Y16*(1+Inputs!$B$34/100))/(1/Q239)))))/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259*I227)</f>
        <v/>
      </c>
      <c r="L227">
        <f>K227*(MIN(Inputs!$B$22+((C248=TRUE)*(F248-Calc!F25)),(Inputs!$B$23+((C253=TRUE)*(F253-Calc!F30))+IF(ArtifactsInput!$M$15,CHOOSE(ArtifactsInput!$N$15+1,25,30,35,40,45,50)/100*(Inputs!$B$11-Inputs!$B$11),0)))/100+(Inputs!$B$23+((C253=TRUE)*(F253-Calc!F30))+IF(ArtifactsInput!$M$15,CHOOSE(ArtifactsInput!$N$15+1,25,30,35,40,45,50)/100*(Inputs!$B$11-Inputs!$B$11),0))/100)/2</f>
        <v/>
      </c>
      <c r="M227">
        <f>L227*(1+(Inputs!$B$10+((C250=TRUE)*(F250-Calc!F27))+B264+(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227">
        <f>L227*(1-MIN((Inputs!$B$9+((C249=TRUE)*(F249-Calc!F26))+B257+(ArtifactsInput!$M$24-ArtifactsInput!$M$24)*CHOOSE(ArtifactsInput!$N$24+1,10,12,14,16,18,20)+(IF(AND(Inputs!$B$39&lt;&gt;"pvp",Inputs!$B$44=0),1,IF(IF(Inputs!$B$39="pvp",15,Inputs!$B$44)-(B268)&lt;=0,1,MAX(0,IF(Inputs!$B$39="pvp",15,Inputs!$B$44)-MAX(5,B268))/(IF(Inputs!$B$39="pvp",15,Inputs!$B$44)-(B268))))*IF(AND(ArtifactsInput!$M$42,((Inputs!$B$9+((C249=TRUE)*(F249-Calc!F26))+B257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227*(MIN((Inputs!$B$9+((C249=TRUE)*(F249-Calc!F26))+B257+(ArtifactsInput!$M$24-ArtifactsInput!$M$24)*CHOOSE(ArtifactsInput!$N$24+1,10,12,14,16,18,20)+(IF(AND(Inputs!$B$39&lt;&gt;"pvp",Inputs!$B$44=0),1,IF(IF(Inputs!$B$39="pvp",15,Inputs!$B$44)-(B268)&lt;=0,1,MAX(0,IF(Inputs!$B$39="pvp",15,Inputs!$B$44)-MAX(5,B268))/(IF(Inputs!$B$39="pvp",15,Inputs!$B$44)-(B268))))*IF(AND(ArtifactsInput!$M$42,((Inputs!$B$9+((C249=TRUE)*(F249-Calc!F26))+B257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27">
        <f>(1-Summary!$B$11)*T227+Summary!$B$11*V227</f>
        <v/>
      </c>
      <c r="P227">
        <f>IF(B269=0,0,O227/B269)</f>
        <v/>
      </c>
      <c r="Q227">
        <f>IFERROR(1/IF(Inputs!$B$39="pvp",15,MAX(0.1,Skills!D4-IF(TRUE=TRUE,Inputs!$B$32,0))),0)</f>
        <v/>
      </c>
      <c r="R227">
        <f>IF(AND(Inputs!$B$39&lt;&gt;"pvp",Inputs!$B$44&gt;0),IF(MAX(0,Inputs!$B$44-B268)&lt;=0,0,(INT(MAX(0,Inputs!$B$44-B268)/IF(Inputs!$B$39="pvp",15,MAX(0.1,Skills!D4-IF(TRUE=TRUE,Inputs!$B$32,0))))+1)),0)</f>
        <v/>
      </c>
      <c r="S227">
        <f>IFERROR(O227/N227,0)</f>
        <v/>
      </c>
      <c r="T227">
        <f>IF(C227,(H227*N227*IF(AND(Inputs!$B$39&lt;&gt;"pvp",Inputs!$B$44&gt;0),((Skills!G4*((R227-1)*IF(Skills!H4&gt;0,Skills!I4/Skills!H4,1)+IF(Skills!H4&gt;0,MIN(Skills!I4,MAX(0,MAX(0,Inputs!$B$44-B268)-((R227-1)*IF(Inputs!$B$39="pvp",15,MAX(0.1,Skills!D4-IF(TRUE=TRUE,Inputs!$B$32,0))))))/Skills!H4,1)))/Inputs!$B$44),G227*Q227))*IF(Inputs!$B$39="pvp",1,1+(Inputs!$B$20+0+Skills!P4+B258+(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Hunt"),CHOOSE(ArtifactsInput!$N$35+1,15,18,21,24,27,30)*(1-EXP(-(0.2*B261)*5)),0)+IF(AND(ArtifactsInput!$M$22,Inputs!$B$4&lt;&gt;"Chapter Hunt"),CHOOSE(ArtifactsInput!$N$22+1,10,12,14,16,18,20)*((0*(((0.15*B261*5))^0/1)+1*(((0.15*B261*5))^1/1)+2*(((0.15*B261*5))^2/2)+3*(((0.15*B261*5))^3/6)+4*(((0.15*B261*5))^4/24)+5*(((0.15*B261*5))^5/120))/((((0.15*B261*5))^0/1)+(((0.15*B261*5))^1/1)+(((0.15*B261*5))^2/2)+(((0.15*B261*5))^3/6)+(((0.15*B261*5))^4/24)+(((0.15*B261*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227*(1-MIN(100,(Inputs!$B$9+((C249=TRUE)*(F249-Calc!F26))+B257+(ArtifactsInput!$M$24-ArtifactsInput!$M$24)*CHOOSE(ArtifactsInput!$N$24+1,10,12,14,16,18,20)+(IF(AND(Inputs!$B$39&lt;&gt;"pvp",Inputs!$B$44=0),1,IF(IF(Inputs!$B$39="pvp",15,Inputs!$B$44)-(B268)&lt;=0,1,MAX(0,IF(Inputs!$B$39="pvp",15,Inputs!$B$44)-MAX(5,B268))/(IF(Inputs!$B$39="pvp",15,Inputs!$B$44)-(B268))))*IF(AND(ArtifactsInput!$M$42,((Inputs!$B$9+((C249=TRUE)*(F249-Calc!F26))+B257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227*(MIN(100,(Inputs!$B$9+((C249=TRUE)*(F249-Calc!F26))+B257+(ArtifactsInput!$M$24-ArtifactsInput!$M$24)*CHOOSE(ArtifactsInput!$N$24+1,10,12,14,16,18,20)+(IF(AND(Inputs!$B$39&lt;&gt;"pvp",Inputs!$B$44=0),1,IF(IF(Inputs!$B$39="pvp",15,Inputs!$B$44)-(B268)&lt;=0,1,MAX(0,IF(Inputs!$B$39="pvp",15,Inputs!$B$44)-MAX(5,B268))/(IF(Inputs!$B$39="pvp",15,Inputs!$B$44)-(B268))))*IF(AND(ArtifactsInput!$M$42,((Inputs!$B$9+((C249=TRUE)*(F249-Calc!F26))+B257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227*(1-MIN(100,(Inputs!$B$9+((C249=TRUE)*(F249-Calc!F26))+B257+(ArtifactsInput!$M$24-ArtifactsInput!$M$24)*CHOOSE(ArtifactsInput!$N$24+1,10,12,14,16,18,20)+(IF(AND(Inputs!$B$39&lt;&gt;"pvp",Inputs!$B$44=0),1,IF(IF(Inputs!$B$39="pvp",15,Inputs!$B$44)-(B268)&lt;=0,1,MAX(0,IF(Inputs!$B$39="pvp",15,Inputs!$B$44)-MAX(5,B268))/(IF(Inputs!$B$39="pvp",15,Inputs!$B$44)-(B268))))*IF(AND(ArtifactsInput!$M$42,((Inputs!$B$9+((C249=TRUE)*(F249-Calc!F26))+B257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227*(MIN(100,(Inputs!$B$9+((C249=TRUE)*(F249-Calc!F26))+B257+(ArtifactsInput!$M$24-ArtifactsInput!$M$24)*CHOOSE(ArtifactsInput!$N$24+1,10,12,14,16,18,20)+(IF(AND(Inputs!$B$39&lt;&gt;"pvp",Inputs!$B$44=0),1,IF(IF(Inputs!$B$39="pvp",15,Inputs!$B$44)-(B268)&lt;=0,1,MAX(0,IF(Inputs!$B$39="pvp",15,Inputs!$B$44)-MAX(5,B268))/(IF(Inputs!$B$39="pvp",15,Inputs!$B$44)-(B268))))*IF(AND(ArtifactsInput!$M$42,((Inputs!$B$9+((C249=TRUE)*(F249-Calc!F26))+B257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227">
        <f>290*U226/1000</f>
        <v/>
      </c>
      <c r="V227">
        <f>IF(C227,(H227*N227*IF(AND(Inputs!$B$39&lt;&gt;"pvp",Inputs!$B$44&gt;0),((Skills!G4*((R227-1)*IF(Skills!H4&gt;0,Skills!I4/Skills!H4,1)+IF(Skills!H4&gt;0,MIN(Skills!I4,MAX(0,MAX(0,Inputs!$B$44-B268)-((R227-1)*IF(Inputs!$B$39="pvp",15,MAX(0.1,Skills!D4-IF(TRUE=TRUE,Inputs!$B$32,0))))))/Skills!H4,1)))/Inputs!$B$44),G227*Q227))*IF(Inputs!$B$39="pvp",1,(1+(Inputs!$B$21+Skills!Q4+B258+(IF(ArtifactsInput!$M$33,CHOOSE(ArtifactsInput!$N$33+1,30,36,42,48,54,60),0))+(IF(AND(ArtifactsInput!$M$35,Inputs!$B$4&lt;&gt;"Chapter Hunt"),CHOOSE(ArtifactsInput!$N$35+1,15,18,21,24,27,30)*(1-EXP(-(0.2*B261)*5)),0)+IF(AND(ArtifactsInput!$M$22,Inputs!$B$4&lt;&gt;"Chapter Hunt"),CHOOSE(ArtifactsInput!$N$22+1,10,12,14,16,18,20)*((0*(((0.15*B261*5))^0/1)+1*(((0.15*B261*5))^1/1)+2*(((0.15*B261*5))^2/2)+3*(((0.15*B261*5))^3/6)+4*(((0.15*B261*5))^4/24)+5*(((0.15*B261*5))^5/120))/((((0.15*B261*5))^0/1)+(((0.15*B261*5))^1/1)+(((0.15*B261*5))^2/2)+(((0.15*B261*5))^3/6)+(((0.15*B261*5))^4/24)+(((0.15*B261*5))^5/120))),0)))/100)*(MIN(MIN(10,IF(Inputs!$B$3&gt;=75,0.75,0.5)*B261*(1/Q227)),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28">
      <c r="A228">
        <f>Skills!A5</f>
        <v/>
      </c>
      <c r="B228">
        <f>Skills!B5</f>
        <v/>
      </c>
      <c r="C228">
        <f>Inputs!$B$3&gt;=75</f>
        <v/>
      </c>
      <c r="D228">
        <f>IF(Skills!C5=1,60+Inputs!$B$25+Inputs!$B$29,IF(Skills!C5=2,90+Inputs!$B$26+Inputs!$B$29,IF(Skills!C5=3,120+Inputs!$B$27+Inputs!$B$29,MAX(0,(Inputs!$B$3-100)*3)+Inputs!$B$28+Inputs!$B$29)))</f>
        <v/>
      </c>
      <c r="E228">
        <f>INDEX(FactorTable!$B$2:$Y$301, MATCH(ROUND(MIN(300,MAX(1,D228)),0), FactorTable!$A$2:$A$301,0), Skills!M5+1)</f>
        <v/>
      </c>
      <c r="F228">
        <f>IF(Skills!N5=TRUE,(Skills!L5/10)*(E228/1000),Skills!L5/10)+Skills!O5</f>
        <v/>
      </c>
      <c r="G228">
        <f>Skills!G5*IF(Skills!H5&gt;0,IF(Inputs!$B$39="pvp",MIN(Skills!I5,15),Skills!I5)/Skills!H5,1)</f>
        <v/>
      </c>
      <c r="H228">
        <f>1-(1-Skills!J5/100)^Skills!K5</f>
        <v/>
      </c>
      <c r="I228" t="inlineStr">
        <is>
          <t>1</t>
        </is>
      </c>
      <c r="J228" t="inlineStr"/>
      <c r="K228" t="inlineStr"/>
      <c r="L228" t="inlineStr"/>
      <c r="M228" t="inlineStr"/>
      <c r="N228" t="inlineStr"/>
      <c r="O228">
        <f>(1-Summary!$B$11)*T228+Summary!$B$11*V228</f>
        <v/>
      </c>
      <c r="P228">
        <f>IF(B269=0,0,O228/B269)</f>
        <v/>
      </c>
      <c r="Q228" t="n">
        <v>0</v>
      </c>
      <c r="R228" t="n">
        <v>0</v>
      </c>
      <c r="S228">
        <f>IFERROR(O228/N228,0)</f>
        <v/>
      </c>
      <c r="T228" t="n">
        <v>0</v>
      </c>
      <c r="V228" t="n">
        <v>0</v>
      </c>
    </row>
    <row r="229">
      <c r="A229">
        <f>Skills!A6</f>
        <v/>
      </c>
      <c r="B229">
        <f>Skills!B6</f>
        <v/>
      </c>
      <c r="C229">
        <f>Inputs!$B$3&gt;=63</f>
        <v/>
      </c>
      <c r="D229">
        <f>IF(Skills!C6=1,60+Inputs!$B$25+Inputs!$B$29,IF(Skills!C6=2,90+Inputs!$B$26+Inputs!$B$29,IF(Skills!C6=3,120+Inputs!$B$27+Inputs!$B$29,MAX(0,(Inputs!$B$3-100)*3)+Inputs!$B$28+Inputs!$B$29)))</f>
        <v/>
      </c>
      <c r="E229">
        <f>INDEX(FactorTable!$B$2:$Y$301, MATCH(ROUND(MIN(300,MAX(1,D229)),0), FactorTable!$A$2:$A$301,0), Skills!M6+1)</f>
        <v/>
      </c>
      <c r="F229">
        <f>IF(Skills!N6=TRUE,(Skills!L6/10)*(E229/1000),Skills!L6/10)+Skills!O6</f>
        <v/>
      </c>
      <c r="G229">
        <f>Skills!G6*IF(Skills!H6&gt;0,IF(Inputs!$B$39="pvp",MIN(Skills!I6,15),Skills!I6)/Skills!H6,1)</f>
        <v/>
      </c>
      <c r="H229">
        <f>1-(1-Skills!J6/100)^Skills!K6</f>
        <v/>
      </c>
      <c r="I229" t="inlineStr">
        <is>
          <t>1</t>
        </is>
      </c>
      <c r="J229">
        <f>((Inputs!$B$6*(1+Inputs!$B$7/100))+(((Inputs!$B$12*(1+Inputs!$B$13/100))-(Inputs!$B$12*(1+Inputs!$B$13/100)))+0.25*(Inputs!$B$14-Inputs!$B$14))*(1+Inputs!$B$7/100))*(F229/100)</f>
        <v/>
      </c>
      <c r="K229">
        <f>J229*(1+((Inputs!$B$12*(1+Inputs!$B$13/100))*0.01+Inputs!$B$14*0.0025)/100)*(1+(Inputs!$B$15+1)/100)*(1+Inputs!$B$16/100)*(5000/(6000+Inputs!$B$43*(1-(100*(1-(1-Inputs!$B$19/100)*(1-CHOOSE(ArtifactsInput!$N$40+1,5,6,7,8,9,10)/100)^(ArtifactsInput!$M$40-ArtifactsInput!$M$40)))/100)))*(1+(Inputs!$B$24+((C254=TRUE)*(F254-Calc!F31))+((C241=TRUE)*(F241-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+2.6666666666666665*IF(C242=TRUE,F242,0)/100)*(1+(IF(Skills!A6="CRUEL_STAB",Inputs!$B$17+((C251=TRUE)*(F251-Calc!F28))+((IF(AND(Inputs!$B$39&lt;&gt;"pvp",Inputs!$B$44=0),1,IF(IF(Inputs!$B$39="pvp",15,Inputs!$B$44)-(B268)&lt;=0,1,MAX(0,IF(Inputs!$B$39="pvp",15,Inputs!$B$44)-MAX(5,B268))/(IF(Inputs!$B$39="pvp",15,Inputs!$B$44)-(B268))))*(IF(AND(ArtifactsInput!$M$42,((Inputs!$B$9+((C249=TRUE)*(F249-Calc!F26))+B257+(ArtifactsInput!$M$24-ArtifactsInput!$M$24)*CHOOSE(ArtifactsInput!$N$24+1,10,12,14,16,18,20)+IF(ArtifactsInput!$M$10,CHOOSE(ArtifactsInput!$N$10+1,15,18,21,24,27,30)*(IF(Inputs!$B$39="pvp",MIN(15,15)/15,IF(AND(Inputs!$B$39&lt;&gt;"pvp",Inputs!$B$44&gt;0),MIN(15,Inputs!$B$44)/(Inputs!$B$44),0))),0)))&gt;=100),MIN(100,((Inputs!$B$9+((C249=TRUE)*(F249-Calc!F26))+B257+(ArtifactsInput!$M$24-ArtifactsInput!$M$24)*CHOOSE(ArtifactsInput!$N$24+1,10,12,14,16,18,20)+IF(ArtifactsInput!$M$10,CHOOSE(ArtifactsInput!$N$10+1,15,18,21,24,27,30)*(IF(Inputs!$B$39="pvp",MIN(15,15)/15,IF(AND(Inputs!$B$39&lt;&gt;"pvp",Inputs!$B$44&gt;0),MIN(15,Inputs!$B$44)/(Inputs!$B$44),0))),0)))-100),0))*CHOOSE(ArtifactsInput!$N$42+1,0.6,0.72,0.84,0.96,1.08,1.2))),Inputs!$B$18+((C252=TRUE)*(F252-Calc!F29))+(IF(AND(Inputs!$B$39&lt;&gt;"pvp",Inputs!$B$44=0),1,IF(IF(Inputs!$B$39="pvp",15,Inputs!$B$44)-(B268)&lt;=0,1,MAX(0,IF(Inputs!$B$39="pvp",15,Inputs!$B$44)-MAX(5,B268))/(IF(Inputs!$B$39="pvp",15,Inputs!$B$44)-(B268))))*IF(AND(ArtifactsInput!$M$42,((Inputs!$B$9+((C249=TRUE)*(F249-Calc!F26))+B257+(ArtifactsInput!$M$24-ArtifactsInput!$M$24)*CHOOSE(ArtifactsInput!$N$24+1,10,12,14,16,18,20)+IF(ArtifactsInput!$M$10,CHOOSE(ArtifactsInput!$N$10+1,15,18,21,24,27,30)*(IF(Inputs!$B$39="pvp",MIN(15,15)/15,IF(AND(Inputs!$B$39&lt;&gt;"pvp",Inputs!$B$44&gt;0),MIN(15,Inputs!$B$44)/(Inputs!$B$44),0))),0)))&gt;=100),CHOOSE(ArtifactsInput!$N$42+1,40,48,56,64,72,80),0))))/100)*(((1+(((C245=TRUE)*F245*IF(AND(Inputs!$B$39&lt;&gt;"pvp",Inputs!$B$44&gt;0),(((R245-1)*MIN((Skills!Y22*(1+Inputs!$B$34/100)),(1/Q245))+MIN((Skills!Y22*(1+Inputs!$B$34/100)),MAX(0,Inputs!$B$44-((R245-1)*(1/Q245)))))/Inputs!$B$44),IF(Inputs!$B$39="pvp",MIN((Skills!Y22*(1+Inputs!$B$34/100)),15)/15,MIN(1,(Skills!Y22*(1+Inputs!$B$34/100))/(1/Q245)))))+((C226=TRUE)*F226*3)+((C228=TRUE)*F228*(1-EXP(-0.75*B261*5)))+((C247=TRUE)*(F247-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234=TRUE)*F234*IF(AND(Inputs!$B$39&lt;&gt;"pvp",Inputs!$B$44&gt;0),(((R234-1)*MIN((Skills!Y11*(1+Inputs!$B$34/100)),(1/Q234))+MIN((Skills!Y11*(1+Inputs!$B$34/100)),MAX(0,Inputs!$B$44-((R234-1)*(1/Q234)))))/Inputs!$B$44),IF(Inputs!$B$39="pvp",MIN((Skills!Y11*(1+Inputs!$B$34/100)),15)/15,MIN(1,(Skills!Y11*(1+Inputs!$B$34/100))/(1/Q234)))))/100)*(1+((C239=TRUE)*F239*IF(AND(Inputs!$B$39&lt;&gt;"pvp",Inputs!$B$44&gt;0),(((R239-1)*MIN((Skills!Y16*(1+Inputs!$B$34/100)),(1/Q239))+MIN((Skills!Y16*(1+Inputs!$B$34/100)),MAX(0,Inputs!$B$44-((R239-1)*(1/Q239)))))/Inputs!$B$44),IF(Inputs!$B$39="pvp",MIN((Skills!Y16*(1+Inputs!$B$34/100)),15)/15,MIN(1,(Skills!Y16*(1+Inputs!$B$34/100))/(1/Q239)))))/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259*I229)</f>
        <v/>
      </c>
      <c r="L229">
        <f>K229*(MIN(Inputs!$B$22+((C248=TRUE)*(F248-Calc!F25)),(Inputs!$B$23+((C253=TRUE)*(F253-Calc!F30))+IF(ArtifactsInput!$M$15,CHOOSE(ArtifactsInput!$N$15+1,25,30,35,40,45,50)/100*(Inputs!$B$11-Inputs!$B$11),0)))/100+(Inputs!$B$23+((C253=TRUE)*(F253-Calc!F30))+IF(ArtifactsInput!$M$15,CHOOSE(ArtifactsInput!$N$15+1,25,30,35,40,45,50)/100*(Inputs!$B$11-Inputs!$B$11),0))/100)/2</f>
        <v/>
      </c>
      <c r="M229">
        <f>L229*(1+(Inputs!$B$10+((C250=TRUE)*(F250-Calc!F27))+B264+(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229">
        <f>L229*(1-MIN((Inputs!$B$9+((C249=TRUE)*(F249-Calc!F26))+B257+(ArtifactsInput!$M$24-ArtifactsInput!$M$24)*CHOOSE(ArtifactsInput!$N$24+1,10,12,14,16,18,20)+(IF(AND(Inputs!$B$39&lt;&gt;"pvp",Inputs!$B$44=0),1,IF(IF(Inputs!$B$39="pvp",15,Inputs!$B$44)-(B268)&lt;=0,1,MAX(0,IF(Inputs!$B$39="pvp",15,Inputs!$B$44)-MAX(5,B268))/(IF(Inputs!$B$39="pvp",15,Inputs!$B$44)-(B268))))*IF(AND(ArtifactsInput!$M$42,((Inputs!$B$9+((C249=TRUE)*(F249-Calc!F26))+B257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229*(MIN((Inputs!$B$9+((C249=TRUE)*(F249-Calc!F26))+B257+(ArtifactsInput!$M$24-ArtifactsInput!$M$24)*CHOOSE(ArtifactsInput!$N$24+1,10,12,14,16,18,20)+(IF(AND(Inputs!$B$39&lt;&gt;"pvp",Inputs!$B$44=0),1,IF(IF(Inputs!$B$39="pvp",15,Inputs!$B$44)-(B268)&lt;=0,1,MAX(0,IF(Inputs!$B$39="pvp",15,Inputs!$B$44)-MAX(5,B268))/(IF(Inputs!$B$39="pvp",15,Inputs!$B$44)-(B268))))*IF(AND(ArtifactsInput!$M$42,((Inputs!$B$9+((C249=TRUE)*(F249-Calc!F26))+B257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29">
        <f>(1-Summary!$B$11)*T229+Summary!$B$11*V229</f>
        <v/>
      </c>
      <c r="P229">
        <f>IF(B269=0,0,O229/B269)</f>
        <v/>
      </c>
      <c r="Q229">
        <f>IFERROR(1/IF(Inputs!$B$39="pvp",15,MAX(0.1,Skills!D6-IF(TRUE=TRUE,Inputs!$B$32,0))),0)</f>
        <v/>
      </c>
      <c r="R229">
        <f>IF(AND(Inputs!$B$39&lt;&gt;"pvp",Inputs!$B$44&gt;0),IF(MAX(0,Inputs!$B$44-B268)&lt;=0,0,(INT(MAX(0,Inputs!$B$44-B268)/IF(Inputs!$B$39="pvp",15,MAX(0.1,Skills!D6-IF(TRUE=TRUE,Inputs!$B$32,0))))+1)),0)</f>
        <v/>
      </c>
      <c r="S229">
        <f>IFERROR(O229/N229,0)</f>
        <v/>
      </c>
      <c r="T229">
        <f>IF(C229,(H229*N229*IF(AND(Inputs!$B$39&lt;&gt;"pvp",Inputs!$B$44&gt;0),((Skills!G6*((R229-1)*IF(Skills!H6&gt;0,Skills!I6/Skills!H6,1)+IF(Skills!H6&gt;0,MIN(Skills!I6,MAX(0,MAX(0,Inputs!$B$44-B268)-((R229-1)*IF(Inputs!$B$39="pvp",15,MAX(0.1,Skills!D6-IF(TRUE=TRUE,Inputs!$B$32,0))))))/Skills!H6,1)))/Inputs!$B$44),G229*Q229))*IF(Inputs!$B$39="pvp",1,1+(Inputs!$B$20+0+Skills!P6+B258+(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Hunt"),CHOOSE(ArtifactsInput!$N$35+1,15,18,21,24,27,30)*(1-EXP(-(0.2*B261)*5)),0)+IF(AND(ArtifactsInput!$M$22,Inputs!$B$4&lt;&gt;"Chapter Hunt"),CHOOSE(ArtifactsInput!$N$22+1,10,12,14,16,18,20)*((0*(((0.15*B261*5))^0/1)+1*(((0.15*B261*5))^1/1)+2*(((0.15*B261*5))^2/2)+3*(((0.15*B261*5))^3/6)+4*(((0.15*B261*5))^4/24)+5*(((0.15*B261*5))^5/120))/((((0.15*B261*5))^0/1)+(((0.15*B261*5))^1/1)+(((0.15*B261*5))^2/2)+(((0.15*B261*5))^3/6)+(((0.15*B261*5))^4/24)+(((0.15*B261*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229*(1-MIN(100,(Inputs!$B$9+((C249=TRUE)*(F249-Calc!F26))+B257+(ArtifactsInput!$M$24-ArtifactsInput!$M$24)*CHOOSE(ArtifactsInput!$N$24+1,10,12,14,16,18,20)+(IF(AND(Inputs!$B$39&lt;&gt;"pvp",Inputs!$B$44=0),1,IF(IF(Inputs!$B$39="pvp",15,Inputs!$B$44)-(B268)&lt;=0,1,MAX(0,IF(Inputs!$B$39="pvp",15,Inputs!$B$44)-MAX(5,B268))/(IF(Inputs!$B$39="pvp",15,Inputs!$B$44)-(B268))))*IF(AND(ArtifactsInput!$M$42,((Inputs!$B$9+((C249=TRUE)*(F249-Calc!F26))+B257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229*(MIN(100,(Inputs!$B$9+((C249=TRUE)*(F249-Calc!F26))+B257+(ArtifactsInput!$M$24-ArtifactsInput!$M$24)*CHOOSE(ArtifactsInput!$N$24+1,10,12,14,16,18,20)+(IF(AND(Inputs!$B$39&lt;&gt;"pvp",Inputs!$B$44=0),1,IF(IF(Inputs!$B$39="pvp",15,Inputs!$B$44)-(B268)&lt;=0,1,MAX(0,IF(Inputs!$B$39="pvp",15,Inputs!$B$44)-MAX(5,B268))/(IF(Inputs!$B$39="pvp",15,Inputs!$B$44)-(B268))))*IF(AND(ArtifactsInput!$M$42,((Inputs!$B$9+((C249=TRUE)*(F249-Calc!F26))+B257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229*(1-MIN(100,(Inputs!$B$9+((C249=TRUE)*(F249-Calc!F26))+B257+(ArtifactsInput!$M$24-ArtifactsInput!$M$24)*CHOOSE(ArtifactsInput!$N$24+1,10,12,14,16,18,20)+(IF(AND(Inputs!$B$39&lt;&gt;"pvp",Inputs!$B$44=0),1,IF(IF(Inputs!$B$39="pvp",15,Inputs!$B$44)-(B268)&lt;=0,1,MAX(0,IF(Inputs!$B$39="pvp",15,Inputs!$B$44)-MAX(5,B268))/(IF(Inputs!$B$39="pvp",15,Inputs!$B$44)-(B268))))*IF(AND(ArtifactsInput!$M$42,((Inputs!$B$9+((C249=TRUE)*(F249-Calc!F26))+B257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229*(MIN(100,(Inputs!$B$9+((C249=TRUE)*(F249-Calc!F26))+B257+(ArtifactsInput!$M$24-ArtifactsInput!$M$24)*CHOOSE(ArtifactsInput!$N$24+1,10,12,14,16,18,20)+(IF(AND(Inputs!$B$39&lt;&gt;"pvp",Inputs!$B$44=0),1,IF(IF(Inputs!$B$39="pvp",15,Inputs!$B$44)-(B268)&lt;=0,1,MAX(0,IF(Inputs!$B$39="pvp",15,Inputs!$B$44)-MAX(5,B268))/(IF(Inputs!$B$39="pvp",15,Inputs!$B$44)-(B268))))*IF(AND(ArtifactsInput!$M$42,((Inputs!$B$9+((C249=TRUE)*(F249-Calc!F26))+B257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29">
        <f>IF(C229,(H229*N229*IF(AND(Inputs!$B$39&lt;&gt;"pvp",Inputs!$B$44&gt;0),((Skills!G6*((R229-1)*IF(Skills!H6&gt;0,Skills!I6/Skills!H6,1)+IF(Skills!H6&gt;0,MIN(Skills!I6,MAX(0,MAX(0,Inputs!$B$44-B268)-((R229-1)*IF(Inputs!$B$39="pvp",15,MAX(0.1,Skills!D6-IF(TRUE=TRUE,Inputs!$B$32,0))))))/Skills!H6,1)))/Inputs!$B$44),G229*Q229))*IF(Inputs!$B$39="pvp",1,(1+(Inputs!$B$21+Skills!Q6+B258+(IF(ArtifactsInput!$M$33,CHOOSE(ArtifactsInput!$N$33+1,30,36,42,48,54,60),0))+(IF(AND(ArtifactsInput!$M$35,Inputs!$B$4&lt;&gt;"Chapter Hunt"),CHOOSE(ArtifactsInput!$N$35+1,15,18,21,24,27,30)*(1-EXP(-(0.2*B261)*5)),0)+IF(AND(ArtifactsInput!$M$22,Inputs!$B$4&lt;&gt;"Chapter Hunt"),CHOOSE(ArtifactsInput!$N$22+1,10,12,14,16,18,20)*((0*(((0.15*B261*5))^0/1)+1*(((0.15*B261*5))^1/1)+2*(((0.15*B261*5))^2/2)+3*(((0.15*B261*5))^3/6)+4*(((0.15*B261*5))^4/24)+5*(((0.15*B261*5))^5/120))/((((0.15*B261*5))^0/1)+(((0.15*B261*5))^1/1)+(((0.15*B261*5))^2/2)+(((0.15*B261*5))^3/6)+(((0.15*B261*5))^4/24)+(((0.15*B261*5))^5/120))),0)))/100)*(MIN(Skills!W6,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30">
      <c r="A230">
        <f>Skills!A7</f>
        <v/>
      </c>
      <c r="B230">
        <f>Skills!B7</f>
        <v/>
      </c>
      <c r="C230">
        <f>Inputs!$B$3&gt;=69</f>
        <v/>
      </c>
      <c r="D230">
        <f>IF(Skills!C7=1,60+Inputs!$B$25+Inputs!$B$29,IF(Skills!C7=2,90+Inputs!$B$26+Inputs!$B$29,IF(Skills!C7=3,120+Inputs!$B$27+Inputs!$B$29,MAX(0,(Inputs!$B$3-100)*3)+Inputs!$B$28+Inputs!$B$29)))</f>
        <v/>
      </c>
      <c r="E230">
        <f>INDEX(FactorTable!$B$2:$Y$301, MATCH(ROUND(MIN(300,MAX(1,D230)),0), FactorTable!$A$2:$A$301,0), Skills!M7+1)</f>
        <v/>
      </c>
      <c r="F230">
        <f>IF(Skills!N7=TRUE,(Skills!L7/10)*(E230/1000),Skills!L7/10)+Skills!O7</f>
        <v/>
      </c>
      <c r="G230">
        <f>Skills!G7*IF(Skills!H7&gt;0,IF(Inputs!$B$39="pvp",MIN(Skills!I7,15),Skills!I7)/Skills!H7,1)</f>
        <v/>
      </c>
      <c r="H230">
        <f>1-(1-Skills!J7/100)^Skills!K7</f>
        <v/>
      </c>
      <c r="I230" t="inlineStr">
        <is>
          <t>1</t>
        </is>
      </c>
      <c r="J230">
        <f>((Inputs!$B$6*(1+Inputs!$B$7/100))+(((Inputs!$B$12*(1+Inputs!$B$13/100))-(Inputs!$B$12*(1+Inputs!$B$13/100)))+0.25*(Inputs!$B$14-Inputs!$B$14))*(1+Inputs!$B$7/100))*(F230/100)</f>
        <v/>
      </c>
      <c r="K230">
        <f>J230*(1+((Inputs!$B$12*(1+Inputs!$B$13/100))*0.01+Inputs!$B$14*0.0025)/100)*(1+(Inputs!$B$15+1)/100)*(1+Inputs!$B$16/100)*(5000/(6000+Inputs!$B$43*(1-(100*(1-(1-Inputs!$B$19/100)*(1-CHOOSE(ArtifactsInput!$N$40+1,5,6,7,8,9,10)/100)^(ArtifactsInput!$M$40-ArtifactsInput!$M$40)))/100)))*(1+(Inputs!$B$24+((C254=TRUE)*(F254-Calc!F31))+((C241=TRUE)*(F241-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242=TRUE,F242,0)/100)*(1+(IF(Skills!A7="CRUEL_STAB",Inputs!$B$17+((C251=TRUE)*(F251-Calc!F28))+((IF(AND(Inputs!$B$39&lt;&gt;"pvp",Inputs!$B$44=0),1,IF(IF(Inputs!$B$39="pvp",15,Inputs!$B$44)-(B268)&lt;=0,1,MAX(0,IF(Inputs!$B$39="pvp",15,Inputs!$B$44)-MAX(5,B268))/(IF(Inputs!$B$39="pvp",15,Inputs!$B$44)-(B268))))*(IF(AND(ArtifactsInput!$M$42,((Inputs!$B$9+((C249=TRUE)*(F249-Calc!F26))+B257+(ArtifactsInput!$M$24-ArtifactsInput!$M$24)*CHOOSE(ArtifactsInput!$N$24+1,10,12,14,16,18,20)+IF(ArtifactsInput!$M$10,CHOOSE(ArtifactsInput!$N$10+1,15,18,21,24,27,30)*(IF(Inputs!$B$39="pvp",MIN(15,15)/15,IF(AND(Inputs!$B$39&lt;&gt;"pvp",Inputs!$B$44&gt;0),MIN(15,Inputs!$B$44)/(Inputs!$B$44),0))),0)))&gt;=100),MIN(100,((Inputs!$B$9+((C249=TRUE)*(F249-Calc!F26))+B257+(ArtifactsInput!$M$24-ArtifactsInput!$M$24)*CHOOSE(ArtifactsInput!$N$24+1,10,12,14,16,18,20)+IF(ArtifactsInput!$M$10,CHOOSE(ArtifactsInput!$N$10+1,15,18,21,24,27,30)*(IF(Inputs!$B$39="pvp",MIN(15,15)/15,IF(AND(Inputs!$B$39&lt;&gt;"pvp",Inputs!$B$44&gt;0),MIN(15,Inputs!$B$44)/(Inputs!$B$44),0))),0)))-100),0))*CHOOSE(ArtifactsInput!$N$42+1,0.6,0.72,0.84,0.96,1.08,1.2))),Inputs!$B$18+((C252=TRUE)*(F252-Calc!F29))+(IF(AND(Inputs!$B$39&lt;&gt;"pvp",Inputs!$B$44=0),1,IF(IF(Inputs!$B$39="pvp",15,Inputs!$B$44)-(B268)&lt;=0,1,MAX(0,IF(Inputs!$B$39="pvp",15,Inputs!$B$44)-MAX(5,B268))/(IF(Inputs!$B$39="pvp",15,Inputs!$B$44)-(B268))))*IF(AND(ArtifactsInput!$M$42,((Inputs!$B$9+((C249=TRUE)*(F249-Calc!F26))+B257+(ArtifactsInput!$M$24-ArtifactsInput!$M$24)*CHOOSE(ArtifactsInput!$N$24+1,10,12,14,16,18,20)+IF(ArtifactsInput!$M$10,CHOOSE(ArtifactsInput!$N$10+1,15,18,21,24,27,30)*(IF(Inputs!$B$39="pvp",MIN(15,15)/15,IF(AND(Inputs!$B$39&lt;&gt;"pvp",Inputs!$B$44&gt;0),MIN(15,Inputs!$B$44)/(Inputs!$B$44),0))),0)))&gt;=100),CHOOSE(ArtifactsInput!$N$42+1,40,48,56,64,72,80),0))))/100)*(((1+(((C245=TRUE)*F245*IF(AND(Inputs!$B$39&lt;&gt;"pvp",Inputs!$B$44&gt;0),(((R245-1)*MIN((Skills!Y22*(1+Inputs!$B$34/100)),(1/Q245))+MIN((Skills!Y22*(1+Inputs!$B$34/100)),MAX(0,Inputs!$B$44-((R245-1)*(1/Q245)))))/Inputs!$B$44),IF(Inputs!$B$39="pvp",MIN((Skills!Y22*(1+Inputs!$B$34/100)),15)/15,MIN(1,(Skills!Y22*(1+Inputs!$B$34/100))/(1/Q245)))))+((C226=TRUE)*F226*3)+((C228=TRUE)*F228*(1-EXP(-0.75*B261*5)))+((C247=TRUE)*(F247-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234=TRUE)*F234*IF(AND(Inputs!$B$39&lt;&gt;"pvp",Inputs!$B$44&gt;0),(((R234-1)*MIN((Skills!Y11*(1+Inputs!$B$34/100)),(1/Q234))+MIN((Skills!Y11*(1+Inputs!$B$34/100)),MAX(0,Inputs!$B$44-((R234-1)*(1/Q234)))))/Inputs!$B$44),IF(Inputs!$B$39="pvp",MIN((Skills!Y11*(1+Inputs!$B$34/100)),15)/15,MIN(1,(Skills!Y11*(1+Inputs!$B$34/100))/(1/Q234)))))/100)*(1+((C239=TRUE)*F239*IF(AND(Inputs!$B$39&lt;&gt;"pvp",Inputs!$B$44&gt;0),(((R239-1)*MIN((Skills!Y16*(1+Inputs!$B$34/100)),(1/Q239))+MIN((Skills!Y16*(1+Inputs!$B$34/100)),MAX(0,Inputs!$B$44-((R239-1)*(1/Q239)))))/Inputs!$B$44),IF(Inputs!$B$39="pvp",MIN((Skills!Y16*(1+Inputs!$B$34/100)),15)/15,MIN(1,(Skills!Y16*(1+Inputs!$B$34/100))/(1/Q239)))))/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259*I230)</f>
        <v/>
      </c>
      <c r="L230">
        <f>K230*(MIN(Inputs!$B$22+((C248=TRUE)*(F248-Calc!F25)),(Inputs!$B$23+((C253=TRUE)*(F253-Calc!F30))+IF(ArtifactsInput!$M$15,CHOOSE(ArtifactsInput!$N$15+1,25,30,35,40,45,50)/100*(Inputs!$B$11-Inputs!$B$11),0)))/100+(Inputs!$B$23+((C253=TRUE)*(F253-Calc!F30))+IF(ArtifactsInput!$M$15,CHOOSE(ArtifactsInput!$N$15+1,25,30,35,40,45,50)/100*(Inputs!$B$11-Inputs!$B$11),0))/100)/2</f>
        <v/>
      </c>
      <c r="M230">
        <f>L230*(1+(Inputs!$B$10+((C250=TRUE)*(F250-Calc!F27))+B264+(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230">
        <f>L230*(1-MIN((Inputs!$B$9+((C249=TRUE)*(F249-Calc!F26))+B257+(ArtifactsInput!$M$24-ArtifactsInput!$M$24)*CHOOSE(ArtifactsInput!$N$24+1,10,12,14,16,18,20)+(IF(AND(Inputs!$B$39&lt;&gt;"pvp",Inputs!$B$44=0),1,IF(IF(Inputs!$B$39="pvp",15,Inputs!$B$44)-(B268)&lt;=0,1,MAX(0,IF(Inputs!$B$39="pvp",15,Inputs!$B$44)-MAX(5,B268))/(IF(Inputs!$B$39="pvp",15,Inputs!$B$44)-(B268))))*IF(AND(ArtifactsInput!$M$42,((Inputs!$B$9+((C249=TRUE)*(F249-Calc!F26))+B257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230*(MIN((Inputs!$B$9+((C249=TRUE)*(F249-Calc!F26))+B257+(ArtifactsInput!$M$24-ArtifactsInput!$M$24)*CHOOSE(ArtifactsInput!$N$24+1,10,12,14,16,18,20)+(IF(AND(Inputs!$B$39&lt;&gt;"pvp",Inputs!$B$44=0),1,IF(IF(Inputs!$B$39="pvp",15,Inputs!$B$44)-(B268)&lt;=0,1,MAX(0,IF(Inputs!$B$39="pvp",15,Inputs!$B$44)-MAX(5,B268))/(IF(Inputs!$B$39="pvp",15,Inputs!$B$44)-(B268))))*IF(AND(ArtifactsInput!$M$42,((Inputs!$B$9+((C249=TRUE)*(F249-Calc!F26))+B257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30">
        <f>(1-Summary!$B$11)*T230+Summary!$B$11*V230</f>
        <v/>
      </c>
      <c r="P230">
        <f>IF(B269=0,0,O230/B269)</f>
        <v/>
      </c>
      <c r="Q230">
        <f>IFERROR(1/IF(Inputs!$B$39="pvp",15,MAX(0.1,Skills!D7-IF(TRUE=TRUE,Inputs!$B$32,0))),0)</f>
        <v/>
      </c>
      <c r="R230">
        <f>IF(AND(Inputs!$B$39&lt;&gt;"pvp",Inputs!$B$44&gt;0),IF(MAX(0,Inputs!$B$44-B268)&lt;=0,0,(INT(MAX(0,Inputs!$B$44-B268)/IF(Inputs!$B$39="pvp",15,MAX(0.1,Skills!D7-IF(TRUE=TRUE,Inputs!$B$32,0))))+1)),0)</f>
        <v/>
      </c>
      <c r="S230">
        <f>IFERROR(O230/N230,0)</f>
        <v/>
      </c>
      <c r="T230">
        <f>IF(C230,(H230*N230*IF(AND(Inputs!$B$39&lt;&gt;"pvp",Inputs!$B$44&gt;0),((Skills!G7*((R230-1)*IF(Skills!H7&gt;0,Skills!I7/Skills!H7,1)+IF(Skills!H7&gt;0,MIN(Skills!I7,MAX(0,MAX(0,Inputs!$B$44-B268)-((R230-1)*IF(Inputs!$B$39="pvp",15,MAX(0.1,Skills!D7-IF(TRUE=TRUE,Inputs!$B$32,0))))))/Skills!H7,1)))/Inputs!$B$44),G230*Q230))*IF(Inputs!$B$39="pvp",1,1+(Inputs!$B$20+0+Skills!P7+B258+(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Hunt"),CHOOSE(ArtifactsInput!$N$35+1,15,18,21,24,27,30)*(1-EXP(-(0.2*B261)*5)),0)+IF(AND(ArtifactsInput!$M$22,Inputs!$B$4&lt;&gt;"Chapter Hunt"),CHOOSE(ArtifactsInput!$N$22+1,10,12,14,16,18,20)*((0*(((0.15*B261*5))^0/1)+1*(((0.15*B261*5))^1/1)+2*(((0.15*B261*5))^2/2)+3*(((0.15*B261*5))^3/6)+4*(((0.15*B261*5))^4/24)+5*(((0.15*B261*5))^5/120))/((((0.15*B261*5))^0/1)+(((0.15*B261*5))^1/1)+(((0.15*B261*5))^2/2)+(((0.15*B261*5))^3/6)+(((0.15*B261*5))^4/24)+(((0.15*B261*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230*(1-MIN(100,(Inputs!$B$9+((C249=TRUE)*(F249-Calc!F26))+B257+(ArtifactsInput!$M$24-ArtifactsInput!$M$24)*CHOOSE(ArtifactsInput!$N$24+1,10,12,14,16,18,20)+(IF(AND(Inputs!$B$39&lt;&gt;"pvp",Inputs!$B$44=0),1,IF(IF(Inputs!$B$39="pvp",15,Inputs!$B$44)-(B268)&lt;=0,1,MAX(0,IF(Inputs!$B$39="pvp",15,Inputs!$B$44)-MAX(5,B268))/(IF(Inputs!$B$39="pvp",15,Inputs!$B$44)-(B268))))*IF(AND(ArtifactsInput!$M$42,((Inputs!$B$9+((C249=TRUE)*(F249-Calc!F26))+B257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230*(MIN(100,(Inputs!$B$9+((C249=TRUE)*(F249-Calc!F26))+B257+(ArtifactsInput!$M$24-ArtifactsInput!$M$24)*CHOOSE(ArtifactsInput!$N$24+1,10,12,14,16,18,20)+(IF(AND(Inputs!$B$39&lt;&gt;"pvp",Inputs!$B$44=0),1,IF(IF(Inputs!$B$39="pvp",15,Inputs!$B$44)-(B268)&lt;=0,1,MAX(0,IF(Inputs!$B$39="pvp",15,Inputs!$B$44)-MAX(5,B268))/(IF(Inputs!$B$39="pvp",15,Inputs!$B$44)-(B268))))*IF(AND(ArtifactsInput!$M$42,((Inputs!$B$9+((C249=TRUE)*(F249-Calc!F26))+B257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230*(1-MIN(100,(Inputs!$B$9+((C249=TRUE)*(F249-Calc!F26))+B257+(ArtifactsInput!$M$24-ArtifactsInput!$M$24)*CHOOSE(ArtifactsInput!$N$24+1,10,12,14,16,18,20)+(IF(AND(Inputs!$B$39&lt;&gt;"pvp",Inputs!$B$44=0),1,IF(IF(Inputs!$B$39="pvp",15,Inputs!$B$44)-(B268)&lt;=0,1,MAX(0,IF(Inputs!$B$39="pvp",15,Inputs!$B$44)-MAX(5,B268))/(IF(Inputs!$B$39="pvp",15,Inputs!$B$44)-(B268))))*IF(AND(ArtifactsInput!$M$42,((Inputs!$B$9+((C249=TRUE)*(F249-Calc!F26))+B257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230*(MIN(100,(Inputs!$B$9+((C249=TRUE)*(F249-Calc!F26))+B257+(ArtifactsInput!$M$24-ArtifactsInput!$M$24)*CHOOSE(ArtifactsInput!$N$24+1,10,12,14,16,18,20)+(IF(AND(Inputs!$B$39&lt;&gt;"pvp",Inputs!$B$44=0),1,IF(IF(Inputs!$B$39="pvp",15,Inputs!$B$44)-(B268)&lt;=0,1,MAX(0,IF(Inputs!$B$39="pvp",15,Inputs!$B$44)-MAX(5,B268))/(IF(Inputs!$B$39="pvp",15,Inputs!$B$44)-(B268))))*IF(AND(ArtifactsInput!$M$42,((Inputs!$B$9+((C249=TRUE)*(F249-Calc!F26))+B257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30">
        <f>IF(C230,(H230*N230*IF(AND(Inputs!$B$39&lt;&gt;"pvp",Inputs!$B$44&gt;0),((Skills!G7*((R230-1)*IF(Skills!H7&gt;0,Skills!I7/Skills!H7,1)+IF(Skills!H7&gt;0,MIN(Skills!I7,MAX(0,MAX(0,Inputs!$B$44-B268)-((R230-1)*IF(Inputs!$B$39="pvp",15,MAX(0.1,Skills!D7-IF(TRUE=TRUE,Inputs!$B$32,0))))))/Skills!H7,1)))/Inputs!$B$44),G230*Q230))*IF(Inputs!$B$39="pvp",1,(1+(Inputs!$B$21+Skills!Q7+B258+(IF(ArtifactsInput!$M$33,CHOOSE(ArtifactsInput!$N$33+1,30,36,42,48,54,60),0))+(IF(AND(ArtifactsInput!$M$35,Inputs!$B$4&lt;&gt;"Chapter Hunt"),CHOOSE(ArtifactsInput!$N$35+1,15,18,21,24,27,30)*(1-EXP(-(0.2*B261)*5)),0)+IF(AND(ArtifactsInput!$M$22,Inputs!$B$4&lt;&gt;"Chapter Hunt"),CHOOSE(ArtifactsInput!$N$22+1,10,12,14,16,18,20)*((0*(((0.15*B261*5))^0/1)+1*(((0.15*B261*5))^1/1)+2*(((0.15*B261*5))^2/2)+3*(((0.15*B261*5))^3/6)+4*(((0.15*B261*5))^4/24)+5*(((0.15*B261*5))^5/120))/((((0.15*B261*5))^0/1)+(((0.15*B261*5))^1/1)+(((0.15*B261*5))^2/2)+(((0.15*B261*5))^3/6)+(((0.15*B261*5))^4/24)+(((0.15*B261*5))^5/120))),0)))/100)*(MIN(Skills!W7,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31">
      <c r="A231">
        <f>Skills!A8</f>
        <v/>
      </c>
      <c r="B231">
        <f>Skills!B8</f>
        <v/>
      </c>
      <c r="C231">
        <f>Inputs!$B$3&gt;=60</f>
        <v/>
      </c>
      <c r="D231">
        <f>IF(Skills!C8=1,60+Inputs!$B$25+Inputs!$B$29,IF(Skills!C8=2,90+Inputs!$B$26+Inputs!$B$29,IF(Skills!C8=3,120+Inputs!$B$27+Inputs!$B$29,MAX(0,(Inputs!$B$3-100)*3)+Inputs!$B$28+Inputs!$B$29)))</f>
        <v/>
      </c>
      <c r="E231">
        <f>INDEX(FactorTable!$B$2:$Y$301, MATCH(ROUND(MIN(300,MAX(1,D231)),0), FactorTable!$A$2:$A$301,0), Skills!M8+1)</f>
        <v/>
      </c>
      <c r="F231">
        <f>IF(Skills!N8=TRUE,(Skills!L8/10)*(E231/1000),Skills!L8/10)+Skills!O8</f>
        <v/>
      </c>
      <c r="G231">
        <f>Skills!G8*IF(Skills!H8&gt;0,IF(Inputs!$B$39="pvp",MIN(Skills!I8,15),Skills!I8)/Skills!H8,1)</f>
        <v/>
      </c>
      <c r="H231">
        <f>1-(1-Skills!J8/100)^Skills!K8</f>
        <v/>
      </c>
      <c r="I231" t="inlineStr">
        <is>
          <t>1</t>
        </is>
      </c>
      <c r="J231" t="inlineStr"/>
      <c r="K231" t="inlineStr"/>
      <c r="L231" t="inlineStr"/>
      <c r="M231" t="inlineStr"/>
      <c r="N231" t="inlineStr"/>
      <c r="O231">
        <f>(1-Summary!$B$11)*T231+Summary!$B$11*V231</f>
        <v/>
      </c>
      <c r="P231">
        <f>IF(B269=0,0,O231/B269)</f>
        <v/>
      </c>
      <c r="Q231" t="n">
        <v>0</v>
      </c>
      <c r="R231" t="n">
        <v>0</v>
      </c>
      <c r="S231">
        <f>IFERROR(O231/N231,0)</f>
        <v/>
      </c>
      <c r="T231" t="n">
        <v>0</v>
      </c>
      <c r="V231" t="n">
        <v>0</v>
      </c>
    </row>
    <row r="232">
      <c r="A232">
        <f>Skills!A9</f>
        <v/>
      </c>
      <c r="B232">
        <f>Skills!B9</f>
        <v/>
      </c>
      <c r="C232">
        <f>Inputs!$B$3&gt;=72</f>
        <v/>
      </c>
      <c r="D232">
        <f>IF(Skills!C9=1,60+Inputs!$B$25+Inputs!$B$29,IF(Skills!C9=2,90+Inputs!$B$26+Inputs!$B$29,IF(Skills!C9=3,120+Inputs!$B$27+Inputs!$B$29,MAX(0,(Inputs!$B$3-100)*3)+Inputs!$B$28+Inputs!$B$29)))</f>
        <v/>
      </c>
      <c r="E232">
        <f>INDEX(FactorTable!$B$2:$Y$301, MATCH(ROUND(MIN(300,MAX(1,D232)),0), FactorTable!$A$2:$A$301,0), Skills!M9+1)</f>
        <v/>
      </c>
      <c r="F232">
        <f>IF(Skills!N9=TRUE,(Skills!L9/10)*(E232/1000),Skills!L9/10)+Skills!O9</f>
        <v/>
      </c>
      <c r="G232">
        <f>Skills!G9*IF(Skills!H9&gt;0,IF(Inputs!$B$39="pvp",MIN(Skills!I9,15),Skills!I9)/Skills!H9,1)</f>
        <v/>
      </c>
      <c r="H232">
        <f>1-(1-Skills!J9/100)^Skills!K9</f>
        <v/>
      </c>
      <c r="I232" t="inlineStr">
        <is>
          <t>1</t>
        </is>
      </c>
      <c r="J232">
        <f>((Inputs!$B$6*(1+Inputs!$B$7/100))+(((Inputs!$B$12*(1+Inputs!$B$13/100))-(Inputs!$B$12*(1+Inputs!$B$13/100)))+0.25*(Inputs!$B$14-Inputs!$B$14))*(1+Inputs!$B$7/100))*(F232/100)</f>
        <v/>
      </c>
      <c r="K232">
        <f>J232*(1+((Inputs!$B$12*(1+Inputs!$B$13/100))*0.01+Inputs!$B$14*0.0025)/100)*(1+(Inputs!$B$15+1)/100)*(1+Inputs!$B$16/100)*(5000/(6000+Inputs!$B$43*(1-(100*(1-(1-Inputs!$B$19/100)*(1-CHOOSE(ArtifactsInput!$N$40+1,5,6,7,8,9,10)/100)^(ArtifactsInput!$M$40-ArtifactsInput!$M$40)))/100)))*(1+(Inputs!$B$24+((C254=TRUE)*(F254-Calc!F31))+((C241=TRUE)*(F241-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+3.3333333333333335*IF(C242=TRUE,F242,0)/100)*(1+(IF(Skills!A9="CRUEL_STAB",Inputs!$B$17+((C251=TRUE)*(F251-Calc!F28))+((IF(AND(Inputs!$B$39&lt;&gt;"pvp",Inputs!$B$44=0),1,IF(IF(Inputs!$B$39="pvp",15,Inputs!$B$44)-(B268)&lt;=0,1,MAX(0,IF(Inputs!$B$39="pvp",15,Inputs!$B$44)-MAX(5,B268))/(IF(Inputs!$B$39="pvp",15,Inputs!$B$44)-(B268))))*(IF(AND(ArtifactsInput!$M$42,((Inputs!$B$9+((C249=TRUE)*(F249-Calc!F26))+B257+(ArtifactsInput!$M$24-ArtifactsInput!$M$24)*CHOOSE(ArtifactsInput!$N$24+1,10,12,14,16,18,20)+IF(ArtifactsInput!$M$10,CHOOSE(ArtifactsInput!$N$10+1,15,18,21,24,27,30)*(IF(Inputs!$B$39="pvp",MIN(15,15)/15,IF(AND(Inputs!$B$39&lt;&gt;"pvp",Inputs!$B$44&gt;0),MIN(15,Inputs!$B$44)/(Inputs!$B$44),0))),0)))&gt;=100),MIN(100,((Inputs!$B$9+((C249=TRUE)*(F249-Calc!F26))+B257+(ArtifactsInput!$M$24-ArtifactsInput!$M$24)*CHOOSE(ArtifactsInput!$N$24+1,10,12,14,16,18,20)+IF(ArtifactsInput!$M$10,CHOOSE(ArtifactsInput!$N$10+1,15,18,21,24,27,30)*(IF(Inputs!$B$39="pvp",MIN(15,15)/15,IF(AND(Inputs!$B$39&lt;&gt;"pvp",Inputs!$B$44&gt;0),MIN(15,Inputs!$B$44)/(Inputs!$B$44),0))),0)))-100),0))*CHOOSE(ArtifactsInput!$N$42+1,0.6,0.72,0.84,0.96,1.08,1.2))),Inputs!$B$18+((C252=TRUE)*(F252-Calc!F29))+(IF(AND(Inputs!$B$39&lt;&gt;"pvp",Inputs!$B$44=0),1,IF(IF(Inputs!$B$39="pvp",15,Inputs!$B$44)-(B268)&lt;=0,1,MAX(0,IF(Inputs!$B$39="pvp",15,Inputs!$B$44)-MAX(5,B268))/(IF(Inputs!$B$39="pvp",15,Inputs!$B$44)-(B268))))*IF(AND(ArtifactsInput!$M$42,((Inputs!$B$9+((C249=TRUE)*(F249-Calc!F26))+B257+(ArtifactsInput!$M$24-ArtifactsInput!$M$24)*CHOOSE(ArtifactsInput!$N$24+1,10,12,14,16,18,20)+IF(ArtifactsInput!$M$10,CHOOSE(ArtifactsInput!$N$10+1,15,18,21,24,27,30)*(IF(Inputs!$B$39="pvp",MIN(15,15)/15,IF(AND(Inputs!$B$39&lt;&gt;"pvp",Inputs!$B$44&gt;0),MIN(15,Inputs!$B$44)/(Inputs!$B$44),0))),0)))&gt;=100),CHOOSE(ArtifactsInput!$N$42+1,40,48,56,64,72,80),0))))/100)*(((1+(((C245=TRUE)*F245*IF(AND(Inputs!$B$39&lt;&gt;"pvp",Inputs!$B$44&gt;0),(((R245-1)*MIN((Skills!Y22*(1+Inputs!$B$34/100)),(1/Q245))+MIN((Skills!Y22*(1+Inputs!$B$34/100)),MAX(0,Inputs!$B$44-((R245-1)*(1/Q245)))))/Inputs!$B$44),IF(Inputs!$B$39="pvp",MIN((Skills!Y22*(1+Inputs!$B$34/100)),15)/15,MIN(1,(Skills!Y22*(1+Inputs!$B$34/100))/(1/Q245)))))+((C226=TRUE)*F226*3)+((C228=TRUE)*F228*(1-EXP(-0.75*B261*5)))+((C247=TRUE)*(F247-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234=TRUE)*F234*IF(AND(Inputs!$B$39&lt;&gt;"pvp",Inputs!$B$44&gt;0),(((R234-1)*MIN((Skills!Y11*(1+Inputs!$B$34/100)),(1/Q234))+MIN((Skills!Y11*(1+Inputs!$B$34/100)),MAX(0,Inputs!$B$44-((R234-1)*(1/Q234)))))/Inputs!$B$44),IF(Inputs!$B$39="pvp",MIN((Skills!Y11*(1+Inputs!$B$34/100)),15)/15,MIN(1,(Skills!Y11*(1+Inputs!$B$34/100))/(1/Q234)))))/100)*(1+((C239=TRUE)*F239*IF(AND(Inputs!$B$39&lt;&gt;"pvp",Inputs!$B$44&gt;0),(((R239-1)*MIN((Skills!Y16*(1+Inputs!$B$34/100)),(1/Q239))+MIN((Skills!Y16*(1+Inputs!$B$34/100)),MAX(0,Inputs!$B$44-((R239-1)*(1/Q239)))))/Inputs!$B$44),IF(Inputs!$B$39="pvp",MIN((Skills!Y16*(1+Inputs!$B$34/100)),15)/15,MIN(1,(Skills!Y16*(1+Inputs!$B$34/100))/(1/Q239)))))/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259*I232)</f>
        <v/>
      </c>
      <c r="L232">
        <f>K232*(MIN(Inputs!$B$22+((C248=TRUE)*(F248-Calc!F25)),(Inputs!$B$23+((C253=TRUE)*(F253-Calc!F30))+IF(ArtifactsInput!$M$15,CHOOSE(ArtifactsInput!$N$15+1,25,30,35,40,45,50)/100*(Inputs!$B$11-Inputs!$B$11),0)))/100+(Inputs!$B$23+((C253=TRUE)*(F253-Calc!F30))+IF(ArtifactsInput!$M$15,CHOOSE(ArtifactsInput!$N$15+1,25,30,35,40,45,50)/100*(Inputs!$B$11-Inputs!$B$11),0))/100)/2</f>
        <v/>
      </c>
      <c r="M232">
        <f>L232*(1+(Inputs!$B$10+((C250=TRUE)*(F250-Calc!F27))+B264+(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232">
        <f>L232*(1-MIN((Inputs!$B$9+((C249=TRUE)*(F249-Calc!F26))+B257+(ArtifactsInput!$M$24-ArtifactsInput!$M$24)*CHOOSE(ArtifactsInput!$N$24+1,10,12,14,16,18,20)+(IF(AND(Inputs!$B$39&lt;&gt;"pvp",Inputs!$B$44=0),1,IF(IF(Inputs!$B$39="pvp",15,Inputs!$B$44)-(B268)&lt;=0,1,MAX(0,IF(Inputs!$B$39="pvp",15,Inputs!$B$44)-MAX(5,B268))/(IF(Inputs!$B$39="pvp",15,Inputs!$B$44)-(B268))))*IF(AND(ArtifactsInput!$M$42,((Inputs!$B$9+((C249=TRUE)*(F249-Calc!F26))+B257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232*(MIN((Inputs!$B$9+((C249=TRUE)*(F249-Calc!F26))+B257+(ArtifactsInput!$M$24-ArtifactsInput!$M$24)*CHOOSE(ArtifactsInput!$N$24+1,10,12,14,16,18,20)+(IF(AND(Inputs!$B$39&lt;&gt;"pvp",Inputs!$B$44=0),1,IF(IF(Inputs!$B$39="pvp",15,Inputs!$B$44)-(B268)&lt;=0,1,MAX(0,IF(Inputs!$B$39="pvp",15,Inputs!$B$44)-MAX(5,B268))/(IF(Inputs!$B$39="pvp",15,Inputs!$B$44)-(B268))))*IF(AND(ArtifactsInput!$M$42,((Inputs!$B$9+((C249=TRUE)*(F249-Calc!F26))+B257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32">
        <f>(1-Summary!$B$11)*T232+Summary!$B$11*V232</f>
        <v/>
      </c>
      <c r="P232">
        <f>IF(B269=0,0,O232/B269)</f>
        <v/>
      </c>
      <c r="Q232">
        <f>IFERROR(1/IF(Inputs!$B$39="pvp",15,MAX(0.1,Skills!D9-IF(FALSE=TRUE,Inputs!$B$32,0))),0)</f>
        <v/>
      </c>
      <c r="R232">
        <f>IF(AND(Inputs!$B$39&lt;&gt;"pvp",Inputs!$B$44&gt;0),IF(MAX(0,Inputs!$B$44-B268)&lt;=0,0,(INT(MAX(0,Inputs!$B$44-B268)/IF(Inputs!$B$39="pvp",15,MAX(0.1,Skills!D9-IF(FALSE=TRUE,Inputs!$B$32,0))))+1)),0)</f>
        <v/>
      </c>
      <c r="S232">
        <f>IFERROR(O232/N232,0)</f>
        <v/>
      </c>
      <c r="T232">
        <f>IF(C232,(H232*N232*IF(AND(Inputs!$B$39&lt;&gt;"pvp",Inputs!$B$44&gt;0),((Skills!G9*((R232-1)*IF(Skills!H9&gt;0,Skills!I9/Skills!H9,1)+IF(Skills!H9&gt;0,MIN(Skills!I9,MAX(0,MAX(0,Inputs!$B$44-B268)-((R232-1)*IF(Inputs!$B$39="pvp",15,MAX(0.1,Skills!D9-IF(FALSE=TRUE,Inputs!$B$32,0))))))/Skills!H9,1)))/Inputs!$B$44),G232*Q232))*IF(Inputs!$B$39="pvp",1,1+(Inputs!$B$20+0+Skills!P9+B258+(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Hunt"),CHOOSE(ArtifactsInput!$N$35+1,15,18,21,24,27,30)*(1-EXP(-(0.2*B261)*5)),0)+IF(AND(ArtifactsInput!$M$22,Inputs!$B$4&lt;&gt;"Chapter Hunt"),CHOOSE(ArtifactsInput!$N$22+1,10,12,14,16,18,20)*((0*(((0.15*B261*5))^0/1)+1*(((0.15*B261*5))^1/1)+2*(((0.15*B261*5))^2/2)+3*(((0.15*B261*5))^3/6)+4*(((0.15*B261*5))^4/24)+5*(((0.15*B261*5))^5/120))/((((0.15*B261*5))^0/1)+(((0.15*B261*5))^1/1)+(((0.15*B261*5))^2/2)+(((0.15*B261*5))^3/6)+(((0.15*B261*5))^4/24)+(((0.15*B261*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232*(1-MIN(100,(Inputs!$B$9+((C249=TRUE)*(F249-Calc!F26))+B257+(ArtifactsInput!$M$24-ArtifactsInput!$M$24)*CHOOSE(ArtifactsInput!$N$24+1,10,12,14,16,18,20)+(IF(AND(Inputs!$B$39&lt;&gt;"pvp",Inputs!$B$44=0),1,IF(IF(Inputs!$B$39="pvp",15,Inputs!$B$44)-(B268)&lt;=0,1,MAX(0,IF(Inputs!$B$39="pvp",15,Inputs!$B$44)-MAX(5,B268))/(IF(Inputs!$B$39="pvp",15,Inputs!$B$44)-(B268))))*IF(AND(ArtifactsInput!$M$42,((Inputs!$B$9+((C249=TRUE)*(F249-Calc!F26))+B257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232*(MIN(100,(Inputs!$B$9+((C249=TRUE)*(F249-Calc!F26))+B257+(ArtifactsInput!$M$24-ArtifactsInput!$M$24)*CHOOSE(ArtifactsInput!$N$24+1,10,12,14,16,18,20)+(IF(AND(Inputs!$B$39&lt;&gt;"pvp",Inputs!$B$44=0),1,IF(IF(Inputs!$B$39="pvp",15,Inputs!$B$44)-(B268)&lt;=0,1,MAX(0,IF(Inputs!$B$39="pvp",15,Inputs!$B$44)-MAX(5,B268))/(IF(Inputs!$B$39="pvp",15,Inputs!$B$44)-(B268))))*IF(AND(ArtifactsInput!$M$42,((Inputs!$B$9+((C249=TRUE)*(F249-Calc!F26))+B257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232*(1-MIN(100,(Inputs!$B$9+((C249=TRUE)*(F249-Calc!F26))+B257+(ArtifactsInput!$M$24-ArtifactsInput!$M$24)*CHOOSE(ArtifactsInput!$N$24+1,10,12,14,16,18,20)+(IF(AND(Inputs!$B$39&lt;&gt;"pvp",Inputs!$B$44=0),1,IF(IF(Inputs!$B$39="pvp",15,Inputs!$B$44)-(B268)&lt;=0,1,MAX(0,IF(Inputs!$B$39="pvp",15,Inputs!$B$44)-MAX(5,B268))/(IF(Inputs!$B$39="pvp",15,Inputs!$B$44)-(B268))))*IF(AND(ArtifactsInput!$M$42,((Inputs!$B$9+((C249=TRUE)*(F249-Calc!F26))+B257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232*(MIN(100,(Inputs!$B$9+((C249=TRUE)*(F249-Calc!F26))+B257+(ArtifactsInput!$M$24-ArtifactsInput!$M$24)*CHOOSE(ArtifactsInput!$N$24+1,10,12,14,16,18,20)+(IF(AND(Inputs!$B$39&lt;&gt;"pvp",Inputs!$B$44=0),1,IF(IF(Inputs!$B$39="pvp",15,Inputs!$B$44)-(B268)&lt;=0,1,MAX(0,IF(Inputs!$B$39="pvp",15,Inputs!$B$44)-MAX(5,B268))/(IF(Inputs!$B$39="pvp",15,Inputs!$B$44)-(B268))))*IF(AND(ArtifactsInput!$M$42,((Inputs!$B$9+((C249=TRUE)*(F249-Calc!F26))+B257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32">
        <f>IF(C232,(H232*N232*IF(AND(Inputs!$B$39&lt;&gt;"pvp",Inputs!$B$44&gt;0),((Skills!G9*((R232-1)*IF(Skills!H9&gt;0,Skills!I9/Skills!H9,1)+IF(Skills!H9&gt;0,MIN(Skills!I9,MAX(0,MAX(0,Inputs!$B$44-B268)-((R232-1)*IF(Inputs!$B$39="pvp",15,MAX(0.1,Skills!D9-IF(FALSE=TRUE,Inputs!$B$32,0))))))/Skills!H9,1)))/Inputs!$B$44),G232*Q232))*IF(Inputs!$B$39="pvp",1,(1+(Inputs!$B$21+Skills!Q9+B258+(IF(ArtifactsInput!$M$33,CHOOSE(ArtifactsInput!$N$33+1,30,36,42,48,54,60),0))+(IF(AND(ArtifactsInput!$M$35,Inputs!$B$4&lt;&gt;"Chapter Hunt"),CHOOSE(ArtifactsInput!$N$35+1,15,18,21,24,27,30)*(1-EXP(-(0.2*B261)*5)),0)+IF(AND(ArtifactsInput!$M$22,Inputs!$B$4&lt;&gt;"Chapter Hunt"),CHOOSE(ArtifactsInput!$N$22+1,10,12,14,16,18,20)*((0*(((0.15*B261*5))^0/1)+1*(((0.15*B261*5))^1/1)+2*(((0.15*B261*5))^2/2)+3*(((0.15*B261*5))^3/6)+4*(((0.15*B261*5))^4/24)+5*(((0.15*B261*5))^5/120))/((((0.15*B261*5))^0/1)+(((0.15*B261*5))^1/1)+(((0.15*B261*5))^2/2)+(((0.15*B261*5))^3/6)+(((0.15*B261*5))^4/24)+(((0.15*B261*5))^5/120))),0)))/100)*(MIN(Skills!W9,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33">
      <c r="A233">
        <f>Skills!A10</f>
        <v/>
      </c>
      <c r="B233">
        <f>Skills!B10</f>
        <v/>
      </c>
      <c r="C233">
        <f>Inputs!$B$3&gt;=117</f>
        <v/>
      </c>
      <c r="D233">
        <f>IF(Skills!C10=1,60+Inputs!$B$25+Inputs!$B$29,IF(Skills!C10=2,90+Inputs!$B$26+Inputs!$B$29,IF(Skills!C10=3,120+Inputs!$B$27+Inputs!$B$29,MAX(0,(Inputs!$B$3-100)*3)+Inputs!$B$28+Inputs!$B$29)))</f>
        <v/>
      </c>
      <c r="E233">
        <f>INDEX(FactorTable!$B$2:$Y$301, MATCH(ROUND(MIN(300,MAX(1,D233)),0), FactorTable!$A$2:$A$301,0), Skills!M10+1)</f>
        <v/>
      </c>
      <c r="F233">
        <f>IF(Skills!N10=TRUE,(Skills!L10/10)*(E233/1000),Skills!L10/10)+Skills!O10</f>
        <v/>
      </c>
      <c r="G233">
        <f>Skills!G10*IF(Skills!H10&gt;0,IF(Inputs!$B$39="pvp",MIN(Skills!I10,15),Skills!I10)/Skills!H10,1)</f>
        <v/>
      </c>
      <c r="H233">
        <f>1-(1-Skills!J10/100)^Skills!K10</f>
        <v/>
      </c>
      <c r="I233" t="inlineStr">
        <is>
          <t>1</t>
        </is>
      </c>
      <c r="J233">
        <f>((Inputs!$B$6*(1+Inputs!$B$7/100))+(((Inputs!$B$12*(1+Inputs!$B$13/100))-(Inputs!$B$12*(1+Inputs!$B$13/100)))+0.25*(Inputs!$B$14-Inputs!$B$14))*(1+Inputs!$B$7/100))*(F233/100)</f>
        <v/>
      </c>
      <c r="K233">
        <f>J233*(1+((Inputs!$B$12*(1+Inputs!$B$13/100))*0.01+Inputs!$B$14*0.0025)/100)*(1+(Inputs!$B$15+1)/100)*(1+Inputs!$B$16/100)*(5000/(6000+Inputs!$B$43*(1-(100*(1-(1-Inputs!$B$19/100)*(1-CHOOSE(ArtifactsInput!$N$40+1,5,6,7,8,9,10)/100)^(ArtifactsInput!$M$40-ArtifactsInput!$M$40)))/100)))*(1+(Inputs!$B$24+((C254=TRUE)*(F254-Calc!F31))+((C241=TRUE)*(F241-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10="CRUEL_STAB",Inputs!$B$17+((C251=TRUE)*(F251-Calc!F28))+((IF(AND(Inputs!$B$39&lt;&gt;"pvp",Inputs!$B$44=0),1,IF(IF(Inputs!$B$39="pvp",15,Inputs!$B$44)-(B268)&lt;=0,1,MAX(0,IF(Inputs!$B$39="pvp",15,Inputs!$B$44)-MAX(5,B268))/(IF(Inputs!$B$39="pvp",15,Inputs!$B$44)-(B268))))*(IF(AND(ArtifactsInput!$M$42,((Inputs!$B$9+((C249=TRUE)*(F249-Calc!F26))+B257+(ArtifactsInput!$M$24-ArtifactsInput!$M$24)*CHOOSE(ArtifactsInput!$N$24+1,10,12,14,16,18,20)+IF(ArtifactsInput!$M$10,CHOOSE(ArtifactsInput!$N$10+1,15,18,21,24,27,30)*(IF(Inputs!$B$39="pvp",MIN(15,15)/15,IF(AND(Inputs!$B$39&lt;&gt;"pvp",Inputs!$B$44&gt;0),MIN(15,Inputs!$B$44)/(Inputs!$B$44),0))),0)))&gt;=100),MIN(100,((Inputs!$B$9+((C249=TRUE)*(F249-Calc!F26))+B257+(ArtifactsInput!$M$24-ArtifactsInput!$M$24)*CHOOSE(ArtifactsInput!$N$24+1,10,12,14,16,18,20)+IF(ArtifactsInput!$M$10,CHOOSE(ArtifactsInput!$N$10+1,15,18,21,24,27,30)*(IF(Inputs!$B$39="pvp",MIN(15,15)/15,IF(AND(Inputs!$B$39&lt;&gt;"pvp",Inputs!$B$44&gt;0),MIN(15,Inputs!$B$44)/(Inputs!$B$44),0))),0)))-100),0))*CHOOSE(ArtifactsInput!$N$42+1,0.6,0.72,0.84,0.96,1.08,1.2))),Inputs!$B$18+((C252=TRUE)*(F252-Calc!F29))+(IF(AND(Inputs!$B$39&lt;&gt;"pvp",Inputs!$B$44=0),1,IF(IF(Inputs!$B$39="pvp",15,Inputs!$B$44)-(B268)&lt;=0,1,MAX(0,IF(Inputs!$B$39="pvp",15,Inputs!$B$44)-MAX(5,B268))/(IF(Inputs!$B$39="pvp",15,Inputs!$B$44)-(B268))))*IF(AND(ArtifactsInput!$M$42,((Inputs!$B$9+((C249=TRUE)*(F249-Calc!F26))+B257+(ArtifactsInput!$M$24-ArtifactsInput!$M$24)*CHOOSE(ArtifactsInput!$N$24+1,10,12,14,16,18,20)+IF(ArtifactsInput!$M$10,CHOOSE(ArtifactsInput!$N$10+1,15,18,21,24,27,30)*(IF(Inputs!$B$39="pvp",MIN(15,15)/15,IF(AND(Inputs!$B$39&lt;&gt;"pvp",Inputs!$B$44&gt;0),MIN(15,Inputs!$B$44)/(Inputs!$B$44),0))),0)))&gt;=100),CHOOSE(ArtifactsInput!$N$42+1,40,48,56,64,72,80),0))))/100)*(((1+(((C245=TRUE)*F245*IF(AND(Inputs!$B$39&lt;&gt;"pvp",Inputs!$B$44&gt;0),(((R245-1)*MIN((Skills!Y22*(1+Inputs!$B$34/100)),(1/Q245))+MIN((Skills!Y22*(1+Inputs!$B$34/100)),MAX(0,Inputs!$B$44-((R245-1)*(1/Q245)))))/Inputs!$B$44),IF(Inputs!$B$39="pvp",MIN((Skills!Y22*(1+Inputs!$B$34/100)),15)/15,MIN(1,(Skills!Y22*(1+Inputs!$B$34/100))/(1/Q245)))))+((C226=TRUE)*F226*3)+((C228=TRUE)*F228*(1-EXP(-0.75*B261*5)))+((C247=TRUE)*(F247-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234=TRUE)*F234*IF(AND(Inputs!$B$39&lt;&gt;"pvp",Inputs!$B$44&gt;0),(((R234-1)*MIN((Skills!Y11*(1+Inputs!$B$34/100)),(1/Q234))+MIN((Skills!Y11*(1+Inputs!$B$34/100)),MAX(0,Inputs!$B$44-((R234-1)*(1/Q234)))))/Inputs!$B$44),IF(Inputs!$B$39="pvp",MIN((Skills!Y11*(1+Inputs!$B$34/100)),15)/15,MIN(1,(Skills!Y11*(1+Inputs!$B$34/100))/(1/Q234)))))/100)*(1+((C239=TRUE)*F239*IF(AND(Inputs!$B$39&lt;&gt;"pvp",Inputs!$B$44&gt;0),(((R239-1)*MIN((Skills!Y16*(1+Inputs!$B$34/100)),(1/Q239))+MIN((Skills!Y16*(1+Inputs!$B$34/100)),MAX(0,Inputs!$B$44-((R239-1)*(1/Q239)))))/Inputs!$B$44),IF(Inputs!$B$39="pvp",MIN((Skills!Y16*(1+Inputs!$B$34/100)),15)/15,MIN(1,(Skills!Y16*(1+Inputs!$B$34/100))/(1/Q239)))))/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259*I233)</f>
        <v/>
      </c>
      <c r="L233">
        <f>K233*(MIN(Inputs!$B$22+((C248=TRUE)*(F248-Calc!F25)),(Inputs!$B$23+((C253=TRUE)*(F253-Calc!F30))+IF(ArtifactsInput!$M$15,CHOOSE(ArtifactsInput!$N$15+1,25,30,35,40,45,50)/100*(Inputs!$B$11-Inputs!$B$11),0)))/100+(Inputs!$B$23+((C253=TRUE)*(F253-Calc!F30))+IF(ArtifactsInput!$M$15,CHOOSE(ArtifactsInput!$N$15+1,25,30,35,40,45,50)/100*(Inputs!$B$11-Inputs!$B$11),0))/100)/2</f>
        <v/>
      </c>
      <c r="M233">
        <f>L233*(1+(Inputs!$B$10+((C250=TRUE)*(F250-Calc!F27))+B264+(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233">
        <f>L233*(1-MIN((Inputs!$B$9+((C249=TRUE)*(F249-Calc!F26))+B257+(ArtifactsInput!$M$24-ArtifactsInput!$M$24)*CHOOSE(ArtifactsInput!$N$24+1,10,12,14,16,18,20)+(IF(AND(Inputs!$B$39&lt;&gt;"pvp",Inputs!$B$44=0),1,IF(IF(Inputs!$B$39="pvp",15,Inputs!$B$44)-(B268)&lt;=0,1,MAX(0,IF(Inputs!$B$39="pvp",15,Inputs!$B$44)-MAX(5,B268))/(IF(Inputs!$B$39="pvp",15,Inputs!$B$44)-(B268))))*IF(AND(ArtifactsInput!$M$42,((Inputs!$B$9+((C249=TRUE)*(F249-Calc!F26))+B257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233*(MIN((Inputs!$B$9+((C249=TRUE)*(F249-Calc!F26))+B257+(ArtifactsInput!$M$24-ArtifactsInput!$M$24)*CHOOSE(ArtifactsInput!$N$24+1,10,12,14,16,18,20)+(IF(AND(Inputs!$B$39&lt;&gt;"pvp",Inputs!$B$44=0),1,IF(IF(Inputs!$B$39="pvp",15,Inputs!$B$44)-(B268)&lt;=0,1,MAX(0,IF(Inputs!$B$39="pvp",15,Inputs!$B$44)-MAX(5,B268))/(IF(Inputs!$B$39="pvp",15,Inputs!$B$44)-(B268))))*IF(AND(ArtifactsInput!$M$42,((Inputs!$B$9+((C249=TRUE)*(F249-Calc!F26))+B257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33">
        <f>(1-Summary!$B$11)*T233+Summary!$B$11*V233</f>
        <v/>
      </c>
      <c r="P233">
        <f>IF(B269=0,0,O233/B269)</f>
        <v/>
      </c>
      <c r="Q233" t="n">
        <v>0</v>
      </c>
      <c r="R233" t="n">
        <v>0</v>
      </c>
      <c r="S233" t="n">
        <v>0</v>
      </c>
      <c r="T233">
        <f>IF(C233,(0.2*SUMPRODUCT((Skills!Z2:Z31=TRUE)*(C225:C254=TRUE)*S225:S254)*N233)*IF(Inputs!$B$39="pvp",1,1+(Inputs!$B$20+0+Skills!P10+B258+(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Hunt"),CHOOSE(ArtifactsInput!$N$35+1,15,18,21,24,27,30)*(1-EXP(-(0.2*B261)*5)),0)+IF(AND(ArtifactsInput!$M$22,Inputs!$B$4&lt;&gt;"Chapter Hunt"),CHOOSE(ArtifactsInput!$N$22+1,10,12,14,16,18,20)*((0*(((0.15*B261*5))^0/1)+1*(((0.15*B261*5))^1/1)+2*(((0.15*B261*5))^2/2)+3*(((0.15*B261*5))^3/6)+4*(((0.15*B261*5))^4/24)+5*(((0.15*B261*5))^5/120))/((((0.15*B261*5))^0/1)+(((0.15*B261*5))^1/1)+(((0.15*B261*5))^2/2)+(((0.15*B261*5))^3/6)+(((0.15*B261*5))^4/24)+(((0.15*B261*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233*(1-MIN(100,(Inputs!$B$9+((C249=TRUE)*(F249-Calc!F26))+B257+(ArtifactsInput!$M$24-ArtifactsInput!$M$24)*CHOOSE(ArtifactsInput!$N$24+1,10,12,14,16,18,20)+(IF(AND(Inputs!$B$39&lt;&gt;"pvp",Inputs!$B$44=0),1,IF(IF(Inputs!$B$39="pvp",15,Inputs!$B$44)-(B268)&lt;=0,1,MAX(0,IF(Inputs!$B$39="pvp",15,Inputs!$B$44)-MAX(5,B268))/(IF(Inputs!$B$39="pvp",15,Inputs!$B$44)-(B268))))*IF(AND(ArtifactsInput!$M$42,((Inputs!$B$9+((C249=TRUE)*(F249-Calc!F26))+B257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233*(MIN(100,(Inputs!$B$9+((C249=TRUE)*(F249-Calc!F26))+B257+(ArtifactsInput!$M$24-ArtifactsInput!$M$24)*CHOOSE(ArtifactsInput!$N$24+1,10,12,14,16,18,20)+(IF(AND(Inputs!$B$39&lt;&gt;"pvp",Inputs!$B$44=0),1,IF(IF(Inputs!$B$39="pvp",15,Inputs!$B$44)-(B268)&lt;=0,1,MAX(0,IF(Inputs!$B$39="pvp",15,Inputs!$B$44)-MAX(5,B268))/(IF(Inputs!$B$39="pvp",15,Inputs!$B$44)-(B268))))*IF(AND(ArtifactsInput!$M$42,((Inputs!$B$9+((C249=TRUE)*(F249-Calc!F26))+B257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233*(1-MIN(100,(Inputs!$B$9+((C249=TRUE)*(F249-Calc!F26))+B257+(ArtifactsInput!$M$24-ArtifactsInput!$M$24)*CHOOSE(ArtifactsInput!$N$24+1,10,12,14,16,18,20)+(IF(AND(Inputs!$B$39&lt;&gt;"pvp",Inputs!$B$44=0),1,IF(IF(Inputs!$B$39="pvp",15,Inputs!$B$44)-(B268)&lt;=0,1,MAX(0,IF(Inputs!$B$39="pvp",15,Inputs!$B$44)-MAX(5,B268))/(IF(Inputs!$B$39="pvp",15,Inputs!$B$44)-(B268))))*IF(AND(ArtifactsInput!$M$42,((Inputs!$B$9+((C249=TRUE)*(F249-Calc!F26))+B257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233*(MIN(100,(Inputs!$B$9+((C249=TRUE)*(F249-Calc!F26))+B257+(ArtifactsInput!$M$24-ArtifactsInput!$M$24)*CHOOSE(ArtifactsInput!$N$24+1,10,12,14,16,18,20)+(IF(AND(Inputs!$B$39&lt;&gt;"pvp",Inputs!$B$44=0),1,IF(IF(Inputs!$B$39="pvp",15,Inputs!$B$44)-(B268)&lt;=0,1,MAX(0,IF(Inputs!$B$39="pvp",15,Inputs!$B$44)-MAX(5,B268))/(IF(Inputs!$B$39="pvp",15,Inputs!$B$44)-(B268))))*IF(AND(ArtifactsInput!$M$42,((Inputs!$B$9+((C249=TRUE)*(F249-Calc!F26))+B257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33">
        <f>IF(C233,(0.2*SUMPRODUCT((Skills!Z2:Z31=TRUE)*(C225:C254=TRUE)*S225:S254)*N233)*IF(Inputs!$B$39="pvp",1,(1+(Inputs!$B$21+Skills!Q10+B258+(IF(ArtifactsInput!$M$33,CHOOSE(ArtifactsInput!$N$33+1,30,36,42,48,54,60),0))+(IF(AND(ArtifactsInput!$M$35,Inputs!$B$4&lt;&gt;"Chapter Hunt"),CHOOSE(ArtifactsInput!$N$35+1,15,18,21,24,27,30)*(1-EXP(-(0.2*B261)*5)),0)+IF(AND(ArtifactsInput!$M$22,Inputs!$B$4&lt;&gt;"Chapter Hunt"),CHOOSE(ArtifactsInput!$N$22+1,10,12,14,16,18,20)*((0*(((0.15*B261*5))^0/1)+1*(((0.15*B261*5))^1/1)+2*(((0.15*B261*5))^2/2)+3*(((0.15*B261*5))^3/6)+4*(((0.15*B261*5))^4/24)+5*(((0.15*B261*5))^5/120))/((((0.15*B261*5))^0/1)+(((0.15*B261*5))^1/1)+(((0.15*B261*5))^2/2)+(((0.15*B261*5))^3/6)+(((0.15*B261*5))^4/24)+(((0.15*B261*5))^5/120))),0)))/100)*(MIN(Skills!W10,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34">
      <c r="A234">
        <f>Skills!A11</f>
        <v/>
      </c>
      <c r="B234">
        <f>Skills!B11</f>
        <v/>
      </c>
      <c r="C234">
        <f>Inputs!$B$3&gt;=74</f>
        <v/>
      </c>
      <c r="D234">
        <f>IF(Skills!C11=1,60+Inputs!$B$25+Inputs!$B$29,IF(Skills!C11=2,90+Inputs!$B$26+Inputs!$B$29,IF(Skills!C11=3,120+Inputs!$B$27+Inputs!$B$29,MAX(0,(Inputs!$B$3-100)*3)+Inputs!$B$28+Inputs!$B$29)))</f>
        <v/>
      </c>
      <c r="E234">
        <f>INDEX(FactorTable!$B$2:$Y$301, MATCH(ROUND(MIN(300,MAX(1,D234)),0), FactorTable!$A$2:$A$301,0), Skills!M11+1)</f>
        <v/>
      </c>
      <c r="F234">
        <f>IF(Skills!N11=TRUE,(Skills!L11/10)*(E234/1000),Skills!L11/10)+Skills!O11</f>
        <v/>
      </c>
      <c r="G234">
        <f>Skills!G11*IF(Skills!H11&gt;0,IF(Inputs!$B$39="pvp",MIN(Skills!I11,15),Skills!I11)/Skills!H11,1)</f>
        <v/>
      </c>
      <c r="H234">
        <f>1-(1-Skills!J11/100)^Skills!K11</f>
        <v/>
      </c>
      <c r="I234" t="inlineStr">
        <is>
          <t>1</t>
        </is>
      </c>
      <c r="J234" t="inlineStr"/>
      <c r="K234" t="inlineStr"/>
      <c r="L234" t="inlineStr"/>
      <c r="M234" t="inlineStr"/>
      <c r="N234" t="inlineStr"/>
      <c r="O234">
        <f>(1-Summary!$B$11)*T234+Summary!$B$11*V234</f>
        <v/>
      </c>
      <c r="P234">
        <f>IF(B269=0,0,O234/B269)</f>
        <v/>
      </c>
      <c r="Q234">
        <f>IFERROR(1/IF(Inputs!$B$39="pvp",15,MAX(0.1,Skills!D11-IF(TRUE=TRUE,Inputs!$B$32,0))),0)</f>
        <v/>
      </c>
      <c r="R234">
        <f>IF(AND(Inputs!$B$39&lt;&gt;"pvp",Inputs!$B$44&gt;0),IF(Inputs!$B$44&lt;=0,0,(INT(Inputs!$B$44/IF(Inputs!$B$39="pvp",15,MAX(0.1,Skills!D11-IF(TRUE=TRUE,Inputs!$B$32,0))))+1)),0)</f>
        <v/>
      </c>
      <c r="S234">
        <f>IFERROR(O234/N234,0)</f>
        <v/>
      </c>
      <c r="T234" t="n">
        <v>0</v>
      </c>
      <c r="V234" t="n">
        <v>0</v>
      </c>
    </row>
    <row r="235">
      <c r="A235">
        <f>Skills!A12</f>
        <v/>
      </c>
      <c r="B235">
        <f>Skills!B12</f>
        <v/>
      </c>
      <c r="C235">
        <f>Inputs!$B$3&gt;=103</f>
        <v/>
      </c>
      <c r="D235">
        <f>IF(Skills!C12=1,60+Inputs!$B$25+Inputs!$B$29,IF(Skills!C12=2,90+Inputs!$B$26+Inputs!$B$29,IF(Skills!C12=3,120+Inputs!$B$27+Inputs!$B$29,MAX(0,(Inputs!$B$3-100)*3)+Inputs!$B$28+Inputs!$B$29)))</f>
        <v/>
      </c>
      <c r="E235">
        <f>INDEX(FactorTable!$B$2:$Y$301, MATCH(ROUND(MIN(300,MAX(1,D235)),0), FactorTable!$A$2:$A$301,0), Skills!M12+1)</f>
        <v/>
      </c>
      <c r="F235">
        <f>(Skills!L12/10)*(E235/1000)+IF(Inputs!$B$3&gt;=134,50,0)+0.5*(30000/10)*(INDEX(FactorTable!$B$2:$Y$301, MATCH(ROUND(MIN(300,MAX(1,D235)),0), FactorTable!$A$2:$A$301,0), 13)/1000)*B267</f>
        <v/>
      </c>
      <c r="G235">
        <f>Skills!G12*IF(Skills!H12&gt;0,IF(Inputs!$B$39="pvp",MIN(Skills!I12,15),Skills!I12)/Skills!H12,1)</f>
        <v/>
      </c>
      <c r="H235">
        <f>1-(1-Skills!J12/100)^Skills!K12</f>
        <v/>
      </c>
      <c r="I235" t="inlineStr">
        <is>
          <t>1</t>
        </is>
      </c>
      <c r="J235">
        <f>((Inputs!$B$6*(1+Inputs!$B$7/100))+(((Inputs!$B$12*(1+Inputs!$B$13/100))-(Inputs!$B$12*(1+Inputs!$B$13/100)))+0.25*(Inputs!$B$14-Inputs!$B$14))*(1+Inputs!$B$7/100))*(F235/100)</f>
        <v/>
      </c>
      <c r="K235">
        <f>J235*(1+((Inputs!$B$12*(1+Inputs!$B$13/100))*0.01+Inputs!$B$14*0.0025)/100)*(1+(Inputs!$B$15+1)/100)*(1+Inputs!$B$16/100)*(5000/(6000+Inputs!$B$43*(1-(100*(1-(1-Inputs!$B$19/100)*(1-CHOOSE(ArtifactsInput!$N$40+1,5,6,7,8,9,10)/100)^(ArtifactsInput!$M$40-ArtifactsInput!$M$40)))/100)))*(1+(Inputs!$B$24+((C254=TRUE)*(F254-Calc!F31))+((C241=TRUE)*(F241-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12="CRUEL_STAB",Inputs!$B$17+((C251=TRUE)*(F251-Calc!F28))+((IF(AND(Inputs!$B$39&lt;&gt;"pvp",Inputs!$B$44=0),1,IF(IF(Inputs!$B$39="pvp",15,Inputs!$B$44)-(B268)&lt;=0,1,MAX(0,IF(Inputs!$B$39="pvp",15,Inputs!$B$44)-MAX(5,B268))/(IF(Inputs!$B$39="pvp",15,Inputs!$B$44)-(B268))))*(IF(AND(ArtifactsInput!$M$42,((Inputs!$B$9+((C249=TRUE)*(F249-Calc!F26))+B257+(ArtifactsInput!$M$24-ArtifactsInput!$M$24)*CHOOSE(ArtifactsInput!$N$24+1,10,12,14,16,18,20)+IF(ArtifactsInput!$M$10,CHOOSE(ArtifactsInput!$N$10+1,15,18,21,24,27,30)*(IF(Inputs!$B$39="pvp",MIN(15,15)/15,IF(AND(Inputs!$B$39&lt;&gt;"pvp",Inputs!$B$44&gt;0),MIN(15,Inputs!$B$44)/(Inputs!$B$44),0))),0)))&gt;=100),MIN(100,((Inputs!$B$9+((C249=TRUE)*(F249-Calc!F26))+B257+(ArtifactsInput!$M$24-ArtifactsInput!$M$24)*CHOOSE(ArtifactsInput!$N$24+1,10,12,14,16,18,20)+IF(ArtifactsInput!$M$10,CHOOSE(ArtifactsInput!$N$10+1,15,18,21,24,27,30)*(IF(Inputs!$B$39="pvp",MIN(15,15)/15,IF(AND(Inputs!$B$39&lt;&gt;"pvp",Inputs!$B$44&gt;0),MIN(15,Inputs!$B$44)/(Inputs!$B$44),0))),0)))-100),0))*CHOOSE(ArtifactsInput!$N$42+1,0.6,0.72,0.84,0.96,1.08,1.2))),Inputs!$B$18+((C252=TRUE)*(F252-Calc!F29))+(IF(AND(Inputs!$B$39&lt;&gt;"pvp",Inputs!$B$44=0),1,IF(IF(Inputs!$B$39="pvp",15,Inputs!$B$44)-(B268)&lt;=0,1,MAX(0,IF(Inputs!$B$39="pvp",15,Inputs!$B$44)-MAX(5,B268))/(IF(Inputs!$B$39="pvp",15,Inputs!$B$44)-(B268))))*IF(AND(ArtifactsInput!$M$42,((Inputs!$B$9+((C249=TRUE)*(F249-Calc!F26))+B257+(ArtifactsInput!$M$24-ArtifactsInput!$M$24)*CHOOSE(ArtifactsInput!$N$24+1,10,12,14,16,18,20)+IF(ArtifactsInput!$M$10,CHOOSE(ArtifactsInput!$N$10+1,15,18,21,24,27,30)*(IF(Inputs!$B$39="pvp",MIN(15,15)/15,IF(AND(Inputs!$B$39&lt;&gt;"pvp",Inputs!$B$44&gt;0),MIN(15,Inputs!$B$44)/(Inputs!$B$44),0))),0)))&gt;=100),CHOOSE(ArtifactsInput!$N$42+1,40,48,56,64,72,80),0))))/100)*(((1+(((C245=TRUE)*F245*IF(AND(Inputs!$B$39&lt;&gt;"pvp",Inputs!$B$44&gt;0),(((R245-1)*MIN((Skills!Y22*(1+Inputs!$B$34/100)),(1/Q245))+MIN((Skills!Y22*(1+Inputs!$B$34/100)),MAX(0,Inputs!$B$44-((R245-1)*(1/Q245)))))/Inputs!$B$44),IF(Inputs!$B$39="pvp",MIN((Skills!Y22*(1+Inputs!$B$34/100)),15)/15,MIN(1,(Skills!Y22*(1+Inputs!$B$34/100))/(1/Q245)))))+((C226=TRUE)*F226*3)+((C228=TRUE)*F228*(1-EXP(-0.75*B261*5)))+((C247=TRUE)*(F247-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234=TRUE)*F234*IF(AND(Inputs!$B$39&lt;&gt;"pvp",Inputs!$B$44&gt;0),(((R234-1)*MIN((Skills!Y11*(1+Inputs!$B$34/100)),(1/Q234))+MIN((Skills!Y11*(1+Inputs!$B$34/100)),MAX(0,Inputs!$B$44-((R234-1)*(1/Q234)))))/Inputs!$B$44),IF(Inputs!$B$39="pvp",MIN((Skills!Y11*(1+Inputs!$B$34/100)),15)/15,MIN(1,(Skills!Y11*(1+Inputs!$B$34/100))/(1/Q234)))))/100)*(1+((C239=TRUE)*F239*IF(AND(Inputs!$B$39&lt;&gt;"pvp",Inputs!$B$44&gt;0),(((R239-1)*MIN((Skills!Y16*(1+Inputs!$B$34/100)),(1/Q239))+MIN((Skills!Y16*(1+Inputs!$B$34/100)),MAX(0,Inputs!$B$44-((R239-1)*(1/Q239)))))/Inputs!$B$44),IF(Inputs!$B$39="pvp",MIN((Skills!Y16*(1+Inputs!$B$34/100)),15)/15,MIN(1,(Skills!Y16*(1+Inputs!$B$34/100))/(1/Q239)))))/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259*I235)</f>
        <v/>
      </c>
      <c r="L235">
        <f>K235*(MIN(Inputs!$B$22+((C248=TRUE)*(F248-Calc!F25)),(Inputs!$B$23+((C253=TRUE)*(F253-Calc!F30))+IF(ArtifactsInput!$M$15,CHOOSE(ArtifactsInput!$N$15+1,25,30,35,40,45,50)/100*(Inputs!$B$11-Inputs!$B$11),0)))/100+(Inputs!$B$23+((C253=TRUE)*(F253-Calc!F30))+IF(ArtifactsInput!$M$15,CHOOSE(ArtifactsInput!$N$15+1,25,30,35,40,45,50)/100*(Inputs!$B$11-Inputs!$B$11),0))/100)/2</f>
        <v/>
      </c>
      <c r="M235">
        <f>L235*(1+(Inputs!$B$10+((C250=TRUE)*(F250-Calc!F27))+B264+(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235">
        <f>L235*(1-MIN((Inputs!$B$9+((C249=TRUE)*(F249-Calc!F26))+B257+(ArtifactsInput!$M$24-ArtifactsInput!$M$24)*CHOOSE(ArtifactsInput!$N$24+1,10,12,14,16,18,20)+(IF(AND(Inputs!$B$39&lt;&gt;"pvp",Inputs!$B$44=0),1,IF(IF(Inputs!$B$39="pvp",15,Inputs!$B$44)-(B268)&lt;=0,1,MAX(0,IF(Inputs!$B$39="pvp",15,Inputs!$B$44)-MAX(5,B268))/(IF(Inputs!$B$39="pvp",15,Inputs!$B$44)-(B268))))*IF(AND(ArtifactsInput!$M$42,((Inputs!$B$9+((C249=TRUE)*(F249-Calc!F26))+B257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235*(MIN((Inputs!$B$9+((C249=TRUE)*(F249-Calc!F26))+B257+(ArtifactsInput!$M$24-ArtifactsInput!$M$24)*CHOOSE(ArtifactsInput!$N$24+1,10,12,14,16,18,20)+(IF(AND(Inputs!$B$39&lt;&gt;"pvp",Inputs!$B$44=0),1,IF(IF(Inputs!$B$39="pvp",15,Inputs!$B$44)-(B268)&lt;=0,1,MAX(0,IF(Inputs!$B$39="pvp",15,Inputs!$B$44)-MAX(5,B268))/(IF(Inputs!$B$39="pvp",15,Inputs!$B$44)-(B268))))*IF(AND(ArtifactsInput!$M$42,((Inputs!$B$9+((C249=TRUE)*(F249-Calc!F26))+B257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35">
        <f>(1-Summary!$B$11)*T235+Summary!$B$11*V235</f>
        <v/>
      </c>
      <c r="P235">
        <f>IF(B269=0,0,O235/B269)</f>
        <v/>
      </c>
      <c r="Q235">
        <f>IFERROR(1/IF(Inputs!$B$39="pvp",15,MAX(0.1,Skills!D12-IF(TRUE=TRUE,Inputs!$B$32,0))),0)</f>
        <v/>
      </c>
      <c r="R235">
        <f>IF(AND(Inputs!$B$39&lt;&gt;"pvp",Inputs!$B$44&gt;0),IF(MAX(0,Inputs!$B$44-B268)&lt;=0,0,(INT(MAX(0,Inputs!$B$44-B268)/IF(Inputs!$B$39="pvp",15,MAX(0.1,Skills!D12-IF(TRUE=TRUE,Inputs!$B$32,0))))+1)),0)</f>
        <v/>
      </c>
      <c r="S235">
        <f>IFERROR(O235/N235,0)</f>
        <v/>
      </c>
      <c r="T235">
        <f>IF(C235,(H235*N235*IF(AND(Inputs!$B$39&lt;&gt;"pvp",Inputs!$B$44&gt;0),((Skills!G12*((R235-1)*IF(Skills!H12&gt;0,Skills!I12/Skills!H12,1)+IF(Skills!H12&gt;0,MIN(Skills!I12,MAX(0,MAX(0,Inputs!$B$44-B268)-((R235-1)*IF(Inputs!$B$39="pvp",15,MAX(0.1,Skills!D12-IF(TRUE=TRUE,Inputs!$B$32,0))))))/Skills!H12,1)))/Inputs!$B$44),G235*Q235))*IF(Inputs!$B$39="pvp",1,1+(Inputs!$B$20+0+Skills!P12+B258+(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Hunt"),CHOOSE(ArtifactsInput!$N$35+1,15,18,21,24,27,30)*(1-EXP(-(0.2*B261)*5)),0)+IF(AND(ArtifactsInput!$M$22,Inputs!$B$4&lt;&gt;"Chapter Hunt"),CHOOSE(ArtifactsInput!$N$22+1,10,12,14,16,18,20)*((0*(((0.15*B261*5))^0/1)+1*(((0.15*B261*5))^1/1)+2*(((0.15*B261*5))^2/2)+3*(((0.15*B261*5))^3/6)+4*(((0.15*B261*5))^4/24)+5*(((0.15*B261*5))^5/120))/((((0.15*B261*5))^0/1)+(((0.15*B261*5))^1/1)+(((0.15*B261*5))^2/2)+(((0.15*B261*5))^3/6)+(((0.15*B261*5))^4/24)+(((0.15*B261*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235*(1-MIN(100,(Inputs!$B$9+((C249=TRUE)*(F249-Calc!F26))+B257+(ArtifactsInput!$M$24-ArtifactsInput!$M$24)*CHOOSE(ArtifactsInput!$N$24+1,10,12,14,16,18,20)+(IF(AND(Inputs!$B$39&lt;&gt;"pvp",Inputs!$B$44=0),1,IF(IF(Inputs!$B$39="pvp",15,Inputs!$B$44)-(B268)&lt;=0,1,MAX(0,IF(Inputs!$B$39="pvp",15,Inputs!$B$44)-MAX(5,B268))/(IF(Inputs!$B$39="pvp",15,Inputs!$B$44)-(B268))))*IF(AND(ArtifactsInput!$M$42,((Inputs!$B$9+((C249=TRUE)*(F249-Calc!F26))+B257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235*(MIN(100,(Inputs!$B$9+((C249=TRUE)*(F249-Calc!F26))+B257+(ArtifactsInput!$M$24-ArtifactsInput!$M$24)*CHOOSE(ArtifactsInput!$N$24+1,10,12,14,16,18,20)+(IF(AND(Inputs!$B$39&lt;&gt;"pvp",Inputs!$B$44=0),1,IF(IF(Inputs!$B$39="pvp",15,Inputs!$B$44)-(B268)&lt;=0,1,MAX(0,IF(Inputs!$B$39="pvp",15,Inputs!$B$44)-MAX(5,B268))/(IF(Inputs!$B$39="pvp",15,Inputs!$B$44)-(B268))))*IF(AND(ArtifactsInput!$M$42,((Inputs!$B$9+((C249=TRUE)*(F249-Calc!F26))+B257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235*(1-MIN(100,(Inputs!$B$9+((C249=TRUE)*(F249-Calc!F26))+B257+(ArtifactsInput!$M$24-ArtifactsInput!$M$24)*CHOOSE(ArtifactsInput!$N$24+1,10,12,14,16,18,20)+(IF(AND(Inputs!$B$39&lt;&gt;"pvp",Inputs!$B$44=0),1,IF(IF(Inputs!$B$39="pvp",15,Inputs!$B$44)-(B268)&lt;=0,1,MAX(0,IF(Inputs!$B$39="pvp",15,Inputs!$B$44)-MAX(5,B268))/(IF(Inputs!$B$39="pvp",15,Inputs!$B$44)-(B268))))*IF(AND(ArtifactsInput!$M$42,((Inputs!$B$9+((C249=TRUE)*(F249-Calc!F26))+B257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235*(MIN(100,(Inputs!$B$9+((C249=TRUE)*(F249-Calc!F26))+B257+(ArtifactsInput!$M$24-ArtifactsInput!$M$24)*CHOOSE(ArtifactsInput!$N$24+1,10,12,14,16,18,20)+(IF(AND(Inputs!$B$39&lt;&gt;"pvp",Inputs!$B$44=0),1,IF(IF(Inputs!$B$39="pvp",15,Inputs!$B$44)-(B268)&lt;=0,1,MAX(0,IF(Inputs!$B$39="pvp",15,Inputs!$B$44)-MAX(5,B268))/(IF(Inputs!$B$39="pvp",15,Inputs!$B$44)-(B268))))*IF(AND(ArtifactsInput!$M$42,((Inputs!$B$9+((C249=TRUE)*(F249-Calc!F26))+B257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35">
        <f>IF(C235,(H235*N235*IF(AND(Inputs!$B$39&lt;&gt;"pvp",Inputs!$B$44&gt;0),((Skills!G12*((R235-1)*IF(Skills!H12&gt;0,Skills!I12/Skills!H12,1)+IF(Skills!H12&gt;0,MIN(Skills!I12,MAX(0,MAX(0,Inputs!$B$44-B268)-((R235-1)*IF(Inputs!$B$39="pvp",15,MAX(0.1,Skills!D12-IF(TRUE=TRUE,Inputs!$B$32,0))))))/Skills!H12,1)))/Inputs!$B$44),G235*Q235))*IF(Inputs!$B$39="pvp",1,(1+(Inputs!$B$21+Skills!Q12+B258+(IF(ArtifactsInput!$M$33,CHOOSE(ArtifactsInput!$N$33+1,30,36,42,48,54,60),0))+(IF(AND(ArtifactsInput!$M$35,Inputs!$B$4&lt;&gt;"Chapter Hunt"),CHOOSE(ArtifactsInput!$N$35+1,15,18,21,24,27,30)*(1-EXP(-(0.2*B261)*5)),0)+IF(AND(ArtifactsInput!$M$22,Inputs!$B$4&lt;&gt;"Chapter Hunt"),CHOOSE(ArtifactsInput!$N$22+1,10,12,14,16,18,20)*((0*(((0.15*B261*5))^0/1)+1*(((0.15*B261*5))^1/1)+2*(((0.15*B261*5))^2/2)+3*(((0.15*B261*5))^3/6)+4*(((0.15*B261*5))^4/24)+5*(((0.15*B261*5))^5/120))/((((0.15*B261*5))^0/1)+(((0.15*B261*5))^1/1)+(((0.15*B261*5))^2/2)+(((0.15*B261*5))^3/6)+(((0.15*B261*5))^4/24)+(((0.15*B261*5))^5/120))),0)))/100)*(MIN(Skills!W12,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36">
      <c r="A236">
        <f>Skills!A13</f>
        <v/>
      </c>
      <c r="B236">
        <f>Skills!B13</f>
        <v/>
      </c>
      <c r="C236">
        <f>Inputs!$B$3&gt;=105</f>
        <v/>
      </c>
      <c r="D236">
        <f>IF(Skills!C13=1,60+Inputs!$B$25+Inputs!$B$29,IF(Skills!C13=2,90+Inputs!$B$26+Inputs!$B$29,IF(Skills!C13=3,120+Inputs!$B$27+Inputs!$B$29,MAX(0,(Inputs!$B$3-100)*3)+Inputs!$B$28+Inputs!$B$29)))</f>
        <v/>
      </c>
      <c r="E236">
        <f>INDEX(FactorTable!$B$2:$Y$301, MATCH(ROUND(MIN(300,MAX(1,D236)),0), FactorTable!$A$2:$A$301,0), Skills!M13+1)</f>
        <v/>
      </c>
      <c r="F236">
        <f>IF(Skills!N13=TRUE,(Skills!L13/10)*(E236/1000),Skills!L13/10)+Skills!O13</f>
        <v/>
      </c>
      <c r="G236">
        <f>Skills!G13*IF(Skills!H13&gt;0,IF(Inputs!$B$39="pvp",MIN(Skills!I13,15),Skills!I13)/Skills!H13,1)</f>
        <v/>
      </c>
      <c r="H236">
        <f>1-(1-Skills!J13/100)^Skills!K13</f>
        <v/>
      </c>
      <c r="I236" t="inlineStr">
        <is>
          <t>1</t>
        </is>
      </c>
      <c r="J236">
        <f>((Inputs!$B$6*(1+Inputs!$B$7/100))+(((Inputs!$B$12*(1+Inputs!$B$13/100))-(Inputs!$B$12*(1+Inputs!$B$13/100)))+0.25*(Inputs!$B$14-Inputs!$B$14))*(1+Inputs!$B$7/100))*(F236/100)</f>
        <v/>
      </c>
      <c r="K236">
        <f>J236*(1+((Inputs!$B$12*(1+Inputs!$B$13/100))*0.01+Inputs!$B$14*0.0025)/100)*(1+(Inputs!$B$15+1)/100)*(1+Inputs!$B$16/100)*(5000/(6000+Inputs!$B$43*(1-(100*(1-(1-Inputs!$B$19/100)*(1-CHOOSE(ArtifactsInput!$N$40+1,5,6,7,8,9,10)/100)^(ArtifactsInput!$M$40-ArtifactsInput!$M$40)))/100)))*(1+(Inputs!$B$24+((C254=TRUE)*(F254-Calc!F31))+((C241=TRUE)*(F241-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13="CRUEL_STAB",Inputs!$B$17+((C251=TRUE)*(F251-Calc!F28))+((IF(AND(Inputs!$B$39&lt;&gt;"pvp",Inputs!$B$44=0),1,IF(IF(Inputs!$B$39="pvp",15,Inputs!$B$44)-(B268)&lt;=0,1,MAX(0,IF(Inputs!$B$39="pvp",15,Inputs!$B$44)-MAX(5,B268))/(IF(Inputs!$B$39="pvp",15,Inputs!$B$44)-(B268))))*(IF(AND(ArtifactsInput!$M$42,((Inputs!$B$9+((C249=TRUE)*(F249-Calc!F26))+B257+(ArtifactsInput!$M$24-ArtifactsInput!$M$24)*CHOOSE(ArtifactsInput!$N$24+1,10,12,14,16,18,20)+IF(ArtifactsInput!$M$10,CHOOSE(ArtifactsInput!$N$10+1,15,18,21,24,27,30)*(IF(Inputs!$B$39="pvp",MIN(15,15)/15,IF(AND(Inputs!$B$39&lt;&gt;"pvp",Inputs!$B$44&gt;0),MIN(15,Inputs!$B$44)/(Inputs!$B$44),0))),0)))&gt;=100),MIN(100,((Inputs!$B$9+((C249=TRUE)*(F249-Calc!F26))+B257+(ArtifactsInput!$M$24-ArtifactsInput!$M$24)*CHOOSE(ArtifactsInput!$N$24+1,10,12,14,16,18,20)+IF(ArtifactsInput!$M$10,CHOOSE(ArtifactsInput!$N$10+1,15,18,21,24,27,30)*(IF(Inputs!$B$39="pvp",MIN(15,15)/15,IF(AND(Inputs!$B$39&lt;&gt;"pvp",Inputs!$B$44&gt;0),MIN(15,Inputs!$B$44)/(Inputs!$B$44),0))),0)))-100),0))*CHOOSE(ArtifactsInput!$N$42+1,0.6,0.72,0.84,0.96,1.08,1.2))),Inputs!$B$18+((C252=TRUE)*(F252-Calc!F29))+(IF(AND(Inputs!$B$39&lt;&gt;"pvp",Inputs!$B$44=0),1,IF(IF(Inputs!$B$39="pvp",15,Inputs!$B$44)-(B268)&lt;=0,1,MAX(0,IF(Inputs!$B$39="pvp",15,Inputs!$B$44)-MAX(5,B268))/(IF(Inputs!$B$39="pvp",15,Inputs!$B$44)-(B268))))*IF(AND(ArtifactsInput!$M$42,((Inputs!$B$9+((C249=TRUE)*(F249-Calc!F26))+B257+(ArtifactsInput!$M$24-ArtifactsInput!$M$24)*CHOOSE(ArtifactsInput!$N$24+1,10,12,14,16,18,20)+IF(ArtifactsInput!$M$10,CHOOSE(ArtifactsInput!$N$10+1,15,18,21,24,27,30)*(IF(Inputs!$B$39="pvp",MIN(15,15)/15,IF(AND(Inputs!$B$39&lt;&gt;"pvp",Inputs!$B$44&gt;0),MIN(15,Inputs!$B$44)/(Inputs!$B$44),0))),0)))&gt;=100),CHOOSE(ArtifactsInput!$N$42+1,40,48,56,64,72,80),0))))/100)*(((1+(((C245=TRUE)*F245*IF(AND(Inputs!$B$39&lt;&gt;"pvp",Inputs!$B$44&gt;0),(((R245-1)*MIN((Skills!Y22*(1+Inputs!$B$34/100)),(1/Q245))+MIN((Skills!Y22*(1+Inputs!$B$34/100)),MAX(0,Inputs!$B$44-((R245-1)*(1/Q245)))))/Inputs!$B$44),IF(Inputs!$B$39="pvp",MIN((Skills!Y22*(1+Inputs!$B$34/100)),15)/15,MIN(1,(Skills!Y22*(1+Inputs!$B$34/100))/(1/Q245)))))+((C226=TRUE)*F226*3)+((C228=TRUE)*F228*(1-EXP(-0.75*B261*5)))+((C247=TRUE)*(F247-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234=TRUE)*F234*IF(AND(Inputs!$B$39&lt;&gt;"pvp",Inputs!$B$44&gt;0),(((R234-1)*MIN((Skills!Y11*(1+Inputs!$B$34/100)),(1/Q234))+MIN((Skills!Y11*(1+Inputs!$B$34/100)),MAX(0,Inputs!$B$44-((R234-1)*(1/Q234)))))/Inputs!$B$44),IF(Inputs!$B$39="pvp",MIN((Skills!Y11*(1+Inputs!$B$34/100)),15)/15,MIN(1,(Skills!Y11*(1+Inputs!$B$34/100))/(1/Q234)))))/100)*(1+((C239=TRUE)*F239*IF(AND(Inputs!$B$39&lt;&gt;"pvp",Inputs!$B$44&gt;0),(((R239-1)*MIN((Skills!Y16*(1+Inputs!$B$34/100)),(1/Q239))+MIN((Skills!Y16*(1+Inputs!$B$34/100)),MAX(0,Inputs!$B$44-((R239-1)*(1/Q239)))))/Inputs!$B$44),IF(Inputs!$B$39="pvp",MIN((Skills!Y16*(1+Inputs!$B$34/100)),15)/15,MIN(1,(Skills!Y16*(1+Inputs!$B$34/100))/(1/Q239)))))/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259*I236)</f>
        <v/>
      </c>
      <c r="L236">
        <f>K236*(MIN(Inputs!$B$22+((C248=TRUE)*(F248-Calc!F25)),(Inputs!$B$23+((C253=TRUE)*(F253-Calc!F30))+IF(ArtifactsInput!$M$15,CHOOSE(ArtifactsInput!$N$15+1,25,30,35,40,45,50)/100*(Inputs!$B$11-Inputs!$B$11),0)))/100+(Inputs!$B$23+((C253=TRUE)*(F253-Calc!F30))+IF(ArtifactsInput!$M$15,CHOOSE(ArtifactsInput!$N$15+1,25,30,35,40,45,50)/100*(Inputs!$B$11-Inputs!$B$11),0))/100)/2</f>
        <v/>
      </c>
      <c r="M236">
        <f>L236*(1+(Inputs!$B$10+((C250=TRUE)*(F250-Calc!F27))+B264+(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236">
        <f>L236*(1-MIN((Inputs!$B$9+((C249=TRUE)*(F249-Calc!F26))+B257+(ArtifactsInput!$M$24-ArtifactsInput!$M$24)*CHOOSE(ArtifactsInput!$N$24+1,10,12,14,16,18,20)+(IF(AND(Inputs!$B$39&lt;&gt;"pvp",Inputs!$B$44=0),1,IF(IF(Inputs!$B$39="pvp",15,Inputs!$B$44)-(B268)&lt;=0,1,MAX(0,IF(Inputs!$B$39="pvp",15,Inputs!$B$44)-MAX(5,B268))/(IF(Inputs!$B$39="pvp",15,Inputs!$B$44)-(B268))))*IF(AND(ArtifactsInput!$M$42,((Inputs!$B$9+((C249=TRUE)*(F249-Calc!F26))+B257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236*(MIN((Inputs!$B$9+((C249=TRUE)*(F249-Calc!F26))+B257+(ArtifactsInput!$M$24-ArtifactsInput!$M$24)*CHOOSE(ArtifactsInput!$N$24+1,10,12,14,16,18,20)+(IF(AND(Inputs!$B$39&lt;&gt;"pvp",Inputs!$B$44=0),1,IF(IF(Inputs!$B$39="pvp",15,Inputs!$B$44)-(B268)&lt;=0,1,MAX(0,IF(Inputs!$B$39="pvp",15,Inputs!$B$44)-MAX(5,B268))/(IF(Inputs!$B$39="pvp",15,Inputs!$B$44)-(B268))))*IF(AND(ArtifactsInput!$M$42,((Inputs!$B$9+((C249=TRUE)*(F249-Calc!F26))+B257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36">
        <f>(1-Summary!$B$11)*T236+Summary!$B$11*V236</f>
        <v/>
      </c>
      <c r="P236">
        <f>IF(B269=0,0,O236/B269)</f>
        <v/>
      </c>
      <c r="Q236">
        <f>IFERROR(1/IF(Inputs!$B$39="pvp",15,MAX(0.1,Skills!D13-IF(TRUE=TRUE,Inputs!$B$32,0))),0)</f>
        <v/>
      </c>
      <c r="R236">
        <f>IF(AND(Inputs!$B$39&lt;&gt;"pvp",Inputs!$B$44&gt;0),IF(MAX(0,Inputs!$B$44-B268)&lt;=0,0,(INT(MAX(0,Inputs!$B$44-B268)/IF(Inputs!$B$39="pvp",15,MAX(0.1,Skills!D13-IF(TRUE=TRUE,Inputs!$B$32,0))))+1)),0)</f>
        <v/>
      </c>
      <c r="S236">
        <f>IFERROR(O236/N236,0)</f>
        <v/>
      </c>
      <c r="T236">
        <f>IF(C236,(H236*N236*IF(AND(Inputs!$B$39&lt;&gt;"pvp",Inputs!$B$44&gt;0),((Skills!G13*((R236-1)*IF(Skills!H13&gt;0,Skills!I13/Skills!H13,1)+IF(Skills!H13&gt;0,MIN(Skills!I13,MAX(0,MAX(0,Inputs!$B$44-B268)-((R236-1)*IF(Inputs!$B$39="pvp",15,MAX(0.1,Skills!D13-IF(TRUE=TRUE,Inputs!$B$32,0))))))/Skills!H13,1)))/Inputs!$B$44),G236*Q236))*IF(Inputs!$B$39="pvp",1,1+(Inputs!$B$20+0+Skills!P13+B258+(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Hunt"),CHOOSE(ArtifactsInput!$N$35+1,15,18,21,24,27,30)*(1-EXP(-(0.2*B261)*5)),0)+IF(AND(ArtifactsInput!$M$22,Inputs!$B$4&lt;&gt;"Chapter Hunt"),CHOOSE(ArtifactsInput!$N$22+1,10,12,14,16,18,20)*((0*(((0.15*B261*5))^0/1)+1*(((0.15*B261*5))^1/1)+2*(((0.15*B261*5))^2/2)+3*(((0.15*B261*5))^3/6)+4*(((0.15*B261*5))^4/24)+5*(((0.15*B261*5))^5/120))/((((0.15*B261*5))^0/1)+(((0.15*B261*5))^1/1)+(((0.15*B261*5))^2/2)+(((0.15*B261*5))^3/6)+(((0.15*B261*5))^4/24)+(((0.15*B261*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236*(1-MIN(100,(Inputs!$B$9+((C249=TRUE)*(F249-Calc!F26))+B257+(ArtifactsInput!$M$24-ArtifactsInput!$M$24)*CHOOSE(ArtifactsInput!$N$24+1,10,12,14,16,18,20)+(IF(AND(Inputs!$B$39&lt;&gt;"pvp",Inputs!$B$44=0),1,IF(IF(Inputs!$B$39="pvp",15,Inputs!$B$44)-(B268)&lt;=0,1,MAX(0,IF(Inputs!$B$39="pvp",15,Inputs!$B$44)-MAX(5,B268))/(IF(Inputs!$B$39="pvp",15,Inputs!$B$44)-(B268))))*IF(AND(ArtifactsInput!$M$42,((Inputs!$B$9+((C249=TRUE)*(F249-Calc!F26))+B257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236*(MIN(100,(Inputs!$B$9+((C249=TRUE)*(F249-Calc!F26))+B257+(ArtifactsInput!$M$24-ArtifactsInput!$M$24)*CHOOSE(ArtifactsInput!$N$24+1,10,12,14,16,18,20)+(IF(AND(Inputs!$B$39&lt;&gt;"pvp",Inputs!$B$44=0),1,IF(IF(Inputs!$B$39="pvp",15,Inputs!$B$44)-(B268)&lt;=0,1,MAX(0,IF(Inputs!$B$39="pvp",15,Inputs!$B$44)-MAX(5,B268))/(IF(Inputs!$B$39="pvp",15,Inputs!$B$44)-(B268))))*IF(AND(ArtifactsInput!$M$42,((Inputs!$B$9+((C249=TRUE)*(F249-Calc!F26))+B257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236*(1-MIN(100,(Inputs!$B$9+((C249=TRUE)*(F249-Calc!F26))+B257+(ArtifactsInput!$M$24-ArtifactsInput!$M$24)*CHOOSE(ArtifactsInput!$N$24+1,10,12,14,16,18,20)+(IF(AND(Inputs!$B$39&lt;&gt;"pvp",Inputs!$B$44=0),1,IF(IF(Inputs!$B$39="pvp",15,Inputs!$B$44)-(B268)&lt;=0,1,MAX(0,IF(Inputs!$B$39="pvp",15,Inputs!$B$44)-MAX(5,B268))/(IF(Inputs!$B$39="pvp",15,Inputs!$B$44)-(B268))))*IF(AND(ArtifactsInput!$M$42,((Inputs!$B$9+((C249=TRUE)*(F249-Calc!F26))+B257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236*(MIN(100,(Inputs!$B$9+((C249=TRUE)*(F249-Calc!F26))+B257+(ArtifactsInput!$M$24-ArtifactsInput!$M$24)*CHOOSE(ArtifactsInput!$N$24+1,10,12,14,16,18,20)+(IF(AND(Inputs!$B$39&lt;&gt;"pvp",Inputs!$B$44=0),1,IF(IF(Inputs!$B$39="pvp",15,Inputs!$B$44)-(B268)&lt;=0,1,MAX(0,IF(Inputs!$B$39="pvp",15,Inputs!$B$44)-MAX(5,B268))/(IF(Inputs!$B$39="pvp",15,Inputs!$B$44)-(B268))))*IF(AND(ArtifactsInput!$M$42,((Inputs!$B$9+((C249=TRUE)*(F249-Calc!F26))+B257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36">
        <f>IF(C236,(H236*N236*IF(AND(Inputs!$B$39&lt;&gt;"pvp",Inputs!$B$44&gt;0),((Skills!G13*((R236-1)*IF(Skills!H13&gt;0,Skills!I13/Skills!H13,1)+IF(Skills!H13&gt;0,MIN(Skills!I13,MAX(0,MAX(0,Inputs!$B$44-B268)-((R236-1)*IF(Inputs!$B$39="pvp",15,MAX(0.1,Skills!D13-IF(TRUE=TRUE,Inputs!$B$32,0))))))/Skills!H13,1)))/Inputs!$B$44),G236*Q236))*IF(Inputs!$B$39="pvp",1,(1+(Inputs!$B$21+Skills!Q13+B258+(IF(ArtifactsInput!$M$33,CHOOSE(ArtifactsInput!$N$33+1,30,36,42,48,54,60),0))+(IF(AND(ArtifactsInput!$M$35,Inputs!$B$4&lt;&gt;"Chapter Hunt"),CHOOSE(ArtifactsInput!$N$35+1,15,18,21,24,27,30)*(1-EXP(-(0.2*B261)*5)),0)+IF(AND(ArtifactsInput!$M$22,Inputs!$B$4&lt;&gt;"Chapter Hunt"),CHOOSE(ArtifactsInput!$N$22+1,10,12,14,16,18,20)*((0*(((0.15*B261*5))^0/1)+1*(((0.15*B261*5))^1/1)+2*(((0.15*B261*5))^2/2)+3*(((0.15*B261*5))^3/6)+4*(((0.15*B261*5))^4/24)+5*(((0.15*B261*5))^5/120))/((((0.15*B261*5))^0/1)+(((0.15*B261*5))^1/1)+(((0.15*B261*5))^2/2)+(((0.15*B261*5))^3/6)+(((0.15*B261*5))^4/24)+(((0.15*B261*5))^5/120))),0)))/100)*(MIN(Skills!W13,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37">
      <c r="A237">
        <f>Skills!A14</f>
        <v/>
      </c>
      <c r="B237">
        <f>Skills!B14</f>
        <v/>
      </c>
      <c r="C237">
        <f>Inputs!$B$3&gt;=105</f>
        <v/>
      </c>
      <c r="D237">
        <f>IF(Skills!C14=1,60+Inputs!$B$25+Inputs!$B$29,IF(Skills!C14=2,90+Inputs!$B$26+Inputs!$B$29,IF(Skills!C14=3,120+Inputs!$B$27+Inputs!$B$29,MAX(0,(Inputs!$B$3-100)*3)+Inputs!$B$28+Inputs!$B$29)))</f>
        <v/>
      </c>
      <c r="E237">
        <f>INDEX(FactorTable!$B$2:$Y$301, MATCH(ROUND(MIN(300,MAX(1,D237)),0), FactorTable!$A$2:$A$301,0), Skills!M14+1)</f>
        <v/>
      </c>
      <c r="F237">
        <f>IF(Skills!N14=TRUE,(Skills!L14/10)*(E237/1000),Skills!L14/10)+Skills!O14</f>
        <v/>
      </c>
      <c r="G237">
        <f>Skills!G14*IF(Skills!H14&gt;0,IF(Inputs!$B$39="pvp",MIN(Skills!I14,15),Skills!I14)/Skills!H14,1)</f>
        <v/>
      </c>
      <c r="H237">
        <f>1-(1-Skills!J14/100)^Skills!K14</f>
        <v/>
      </c>
      <c r="I237" t="inlineStr">
        <is>
          <t>1</t>
        </is>
      </c>
      <c r="J237">
        <f>((Inputs!$B$6*(1+Inputs!$B$7/100))+(((Inputs!$B$12*(1+Inputs!$B$13/100))-(Inputs!$B$12*(1+Inputs!$B$13/100)))+0.25*(Inputs!$B$14-Inputs!$B$14))*(1+Inputs!$B$7/100))*(F237/100)</f>
        <v/>
      </c>
      <c r="K237">
        <f>J237*(1+((Inputs!$B$12*(1+Inputs!$B$13/100))*0.01+Inputs!$B$14*0.0025)/100)*(1+(Inputs!$B$15+1)/100)*(1+Inputs!$B$16/100)*(5000/(6000+Inputs!$B$43*(1-(100*(1-(1-Inputs!$B$19/100)*(1-CHOOSE(ArtifactsInput!$N$40+1,5,6,7,8,9,10)/100)^(ArtifactsInput!$M$40-ArtifactsInput!$M$40)))/100)))*(1+(Inputs!$B$24+((C254=TRUE)*(F254-Calc!F31))+((C241=TRUE)*(F241-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14="CRUEL_STAB",Inputs!$B$17+((C251=TRUE)*(F251-Calc!F28))+((IF(AND(Inputs!$B$39&lt;&gt;"pvp",Inputs!$B$44=0),1,IF(IF(Inputs!$B$39="pvp",15,Inputs!$B$44)-(B268)&lt;=0,1,MAX(0,IF(Inputs!$B$39="pvp",15,Inputs!$B$44)-MAX(5,B268))/(IF(Inputs!$B$39="pvp",15,Inputs!$B$44)-(B268))))*(IF(AND(ArtifactsInput!$M$42,((Inputs!$B$9+((C249=TRUE)*(F249-Calc!F26))+B257+(ArtifactsInput!$M$24-ArtifactsInput!$M$24)*CHOOSE(ArtifactsInput!$N$24+1,10,12,14,16,18,20)+IF(ArtifactsInput!$M$10,CHOOSE(ArtifactsInput!$N$10+1,15,18,21,24,27,30)*(IF(Inputs!$B$39="pvp",MIN(15,15)/15,IF(AND(Inputs!$B$39&lt;&gt;"pvp",Inputs!$B$44&gt;0),MIN(15,Inputs!$B$44)/(Inputs!$B$44),0))),0)))&gt;=100),MIN(100,((Inputs!$B$9+((C249=TRUE)*(F249-Calc!F26))+B257+(ArtifactsInput!$M$24-ArtifactsInput!$M$24)*CHOOSE(ArtifactsInput!$N$24+1,10,12,14,16,18,20)+IF(ArtifactsInput!$M$10,CHOOSE(ArtifactsInput!$N$10+1,15,18,21,24,27,30)*(IF(Inputs!$B$39="pvp",MIN(15,15)/15,IF(AND(Inputs!$B$39&lt;&gt;"pvp",Inputs!$B$44&gt;0),MIN(15,Inputs!$B$44)/(Inputs!$B$44),0))),0)))-100),0))*CHOOSE(ArtifactsInput!$N$42+1,0.6,0.72,0.84,0.96,1.08,1.2))),Inputs!$B$18+((C252=TRUE)*(F252-Calc!F29))+(IF(AND(Inputs!$B$39&lt;&gt;"pvp",Inputs!$B$44=0),1,IF(IF(Inputs!$B$39="pvp",15,Inputs!$B$44)-(B268)&lt;=0,1,MAX(0,IF(Inputs!$B$39="pvp",15,Inputs!$B$44)-MAX(5,B268))/(IF(Inputs!$B$39="pvp",15,Inputs!$B$44)-(B268))))*IF(AND(ArtifactsInput!$M$42,((Inputs!$B$9+((C249=TRUE)*(F249-Calc!F26))+B257+(ArtifactsInput!$M$24-ArtifactsInput!$M$24)*CHOOSE(ArtifactsInput!$N$24+1,10,12,14,16,18,20)+IF(ArtifactsInput!$M$10,CHOOSE(ArtifactsInput!$N$10+1,15,18,21,24,27,30)*(IF(Inputs!$B$39="pvp",MIN(15,15)/15,IF(AND(Inputs!$B$39&lt;&gt;"pvp",Inputs!$B$44&gt;0),MIN(15,Inputs!$B$44)/(Inputs!$B$44),0))),0)))&gt;=100),CHOOSE(ArtifactsInput!$N$42+1,40,48,56,64,72,80),0))))/100)*(((1+(((C245=TRUE)*F245*IF(AND(Inputs!$B$39&lt;&gt;"pvp",Inputs!$B$44&gt;0),(((R245-1)*MIN((Skills!Y22*(1+Inputs!$B$34/100)),(1/Q245))+MIN((Skills!Y22*(1+Inputs!$B$34/100)),MAX(0,Inputs!$B$44-((R245-1)*(1/Q245)))))/Inputs!$B$44),IF(Inputs!$B$39="pvp",MIN((Skills!Y22*(1+Inputs!$B$34/100)),15)/15,MIN(1,(Skills!Y22*(1+Inputs!$B$34/100))/(1/Q245)))))+((C226=TRUE)*F226*3)+((C228=TRUE)*F228*(1-EXP(-0.75*B261*5)))+((C247=TRUE)*(F247-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234=TRUE)*F234*IF(AND(Inputs!$B$39&lt;&gt;"pvp",Inputs!$B$44&gt;0),(((R234-1)*MIN((Skills!Y11*(1+Inputs!$B$34/100)),(1/Q234))+MIN((Skills!Y11*(1+Inputs!$B$34/100)),MAX(0,Inputs!$B$44-((R234-1)*(1/Q234)))))/Inputs!$B$44),IF(Inputs!$B$39="pvp",MIN((Skills!Y11*(1+Inputs!$B$34/100)),15)/15,MIN(1,(Skills!Y11*(1+Inputs!$B$34/100))/(1/Q234)))))/100)*(1+((C239=TRUE)*F239*IF(AND(Inputs!$B$39&lt;&gt;"pvp",Inputs!$B$44&gt;0),(((R239-1)*MIN((Skills!Y16*(1+Inputs!$B$34/100)),(1/Q239))+MIN((Skills!Y16*(1+Inputs!$B$34/100)),MAX(0,Inputs!$B$44-((R239-1)*(1/Q239)))))/Inputs!$B$44),IF(Inputs!$B$39="pvp",MIN((Skills!Y16*(1+Inputs!$B$34/100)),15)/15,MIN(1,(Skills!Y16*(1+Inputs!$B$34/100))/(1/Q239)))))/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259*I237)</f>
        <v/>
      </c>
      <c r="L237">
        <f>K237*(MIN(Inputs!$B$22+((C248=TRUE)*(F248-Calc!F25)),(Inputs!$B$23+((C253=TRUE)*(F253-Calc!F30))+IF(ArtifactsInput!$M$15,CHOOSE(ArtifactsInput!$N$15+1,25,30,35,40,45,50)/100*(Inputs!$B$11-Inputs!$B$11),0)))/100+(Inputs!$B$23+((C253=TRUE)*(F253-Calc!F30))+IF(ArtifactsInput!$M$15,CHOOSE(ArtifactsInput!$N$15+1,25,30,35,40,45,50)/100*(Inputs!$B$11-Inputs!$B$11),0))/100)/2</f>
        <v/>
      </c>
      <c r="M237">
        <f>L237*(1+(Inputs!$B$10+((C250=TRUE)*(F250-Calc!F27))+B264+(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237">
        <f>L237*(1-MIN((Inputs!$B$9+((C249=TRUE)*(F249-Calc!F26))+B257+(ArtifactsInput!$M$24-ArtifactsInput!$M$24)*CHOOSE(ArtifactsInput!$N$24+1,10,12,14,16,18,20)+(IF(AND(Inputs!$B$39&lt;&gt;"pvp",Inputs!$B$44=0),1,IF(IF(Inputs!$B$39="pvp",15,Inputs!$B$44)-(B268)&lt;=0,1,MAX(0,IF(Inputs!$B$39="pvp",15,Inputs!$B$44)-MAX(5,B268))/(IF(Inputs!$B$39="pvp",15,Inputs!$B$44)-(B268))))*IF(AND(ArtifactsInput!$M$42,((Inputs!$B$9+((C249=TRUE)*(F249-Calc!F26))+B257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237*(MIN((Inputs!$B$9+((C249=TRUE)*(F249-Calc!F26))+B257+(ArtifactsInput!$M$24-ArtifactsInput!$M$24)*CHOOSE(ArtifactsInput!$N$24+1,10,12,14,16,18,20)+(IF(AND(Inputs!$B$39&lt;&gt;"pvp",Inputs!$B$44=0),1,IF(IF(Inputs!$B$39="pvp",15,Inputs!$B$44)-(B268)&lt;=0,1,MAX(0,IF(Inputs!$B$39="pvp",15,Inputs!$B$44)-MAX(5,B268))/(IF(Inputs!$B$39="pvp",15,Inputs!$B$44)-(B268))))*IF(AND(ArtifactsInput!$M$42,((Inputs!$B$9+((C249=TRUE)*(F249-Calc!F26))+B257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37">
        <f>(1-Summary!$B$11)*T237+Summary!$B$11*V237</f>
        <v/>
      </c>
      <c r="P237">
        <f>IF(B269=0,0,O237/B269)</f>
        <v/>
      </c>
      <c r="Q237">
        <f>IFERROR(1/IF(Inputs!$B$39="pvp",15,MAX(0.1,Skills!D14-IF(TRUE=TRUE,Inputs!$B$32,0))),0)</f>
        <v/>
      </c>
      <c r="R237">
        <f>IF(AND(Inputs!$B$39&lt;&gt;"pvp",Inputs!$B$44&gt;0),IF(MAX(0,Inputs!$B$44-B268)&lt;=0,0,(INT(MAX(0,Inputs!$B$44-B268)/IF(Inputs!$B$39="pvp",15,MAX(0.1,Skills!D14-IF(TRUE=TRUE,Inputs!$B$32,0))))+1)),0)</f>
        <v/>
      </c>
      <c r="S237">
        <f>IFERROR(O237/N237,0)</f>
        <v/>
      </c>
      <c r="T237">
        <f>IF(C237,(H237*N237*IF(AND(Inputs!$B$39&lt;&gt;"pvp",Inputs!$B$44&gt;0),((Skills!G14*((R237-1)*IF(Skills!H14&gt;0,Skills!I14/Skills!H14,1)+IF(Skills!H14&gt;0,MIN(Skills!I14,MAX(0,MAX(0,Inputs!$B$44-B268)-((R237-1)*IF(Inputs!$B$39="pvp",15,MAX(0.1,Skills!D14-IF(TRUE=TRUE,Inputs!$B$32,0))))))/Skills!H14,1)))/Inputs!$B$44),G237*Q237))*IF(Inputs!$B$39="pvp",1,1+(Inputs!$B$20+0+Skills!P14+B258+(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Hunt"),CHOOSE(ArtifactsInput!$N$35+1,15,18,21,24,27,30)*(1-EXP(-(0.2*B261)*5)),0)+IF(AND(ArtifactsInput!$M$22,Inputs!$B$4&lt;&gt;"Chapter Hunt"),CHOOSE(ArtifactsInput!$N$22+1,10,12,14,16,18,20)*((0*(((0.15*B261*5))^0/1)+1*(((0.15*B261*5))^1/1)+2*(((0.15*B261*5))^2/2)+3*(((0.15*B261*5))^3/6)+4*(((0.15*B261*5))^4/24)+5*(((0.15*B261*5))^5/120))/((((0.15*B261*5))^0/1)+(((0.15*B261*5))^1/1)+(((0.15*B261*5))^2/2)+(((0.15*B261*5))^3/6)+(((0.15*B261*5))^4/24)+(((0.15*B261*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237*(1-MIN(100,(Inputs!$B$9+((C249=TRUE)*(F249-Calc!F26))+B257+(ArtifactsInput!$M$24-ArtifactsInput!$M$24)*CHOOSE(ArtifactsInput!$N$24+1,10,12,14,16,18,20)+(IF(AND(Inputs!$B$39&lt;&gt;"pvp",Inputs!$B$44=0),1,IF(IF(Inputs!$B$39="pvp",15,Inputs!$B$44)-(B268)&lt;=0,1,MAX(0,IF(Inputs!$B$39="pvp",15,Inputs!$B$44)-MAX(5,B268))/(IF(Inputs!$B$39="pvp",15,Inputs!$B$44)-(B268))))*IF(AND(ArtifactsInput!$M$42,((Inputs!$B$9+((C249=TRUE)*(F249-Calc!F26))+B257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237*(MIN(100,(Inputs!$B$9+((C249=TRUE)*(F249-Calc!F26))+B257+(ArtifactsInput!$M$24-ArtifactsInput!$M$24)*CHOOSE(ArtifactsInput!$N$24+1,10,12,14,16,18,20)+(IF(AND(Inputs!$B$39&lt;&gt;"pvp",Inputs!$B$44=0),1,IF(IF(Inputs!$B$39="pvp",15,Inputs!$B$44)-(B268)&lt;=0,1,MAX(0,IF(Inputs!$B$39="pvp",15,Inputs!$B$44)-MAX(5,B268))/(IF(Inputs!$B$39="pvp",15,Inputs!$B$44)-(B268))))*IF(AND(ArtifactsInput!$M$42,((Inputs!$B$9+((C249=TRUE)*(F249-Calc!F26))+B257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237*(1-MIN(100,(Inputs!$B$9+((C249=TRUE)*(F249-Calc!F26))+B257+(ArtifactsInput!$M$24-ArtifactsInput!$M$24)*CHOOSE(ArtifactsInput!$N$24+1,10,12,14,16,18,20)+(IF(AND(Inputs!$B$39&lt;&gt;"pvp",Inputs!$B$44=0),1,IF(IF(Inputs!$B$39="pvp",15,Inputs!$B$44)-(B268)&lt;=0,1,MAX(0,IF(Inputs!$B$39="pvp",15,Inputs!$B$44)-MAX(5,B268))/(IF(Inputs!$B$39="pvp",15,Inputs!$B$44)-(B268))))*IF(AND(ArtifactsInput!$M$42,((Inputs!$B$9+((C249=TRUE)*(F249-Calc!F26))+B257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237*(MIN(100,(Inputs!$B$9+((C249=TRUE)*(F249-Calc!F26))+B257+(ArtifactsInput!$M$24-ArtifactsInput!$M$24)*CHOOSE(ArtifactsInput!$N$24+1,10,12,14,16,18,20)+(IF(AND(Inputs!$B$39&lt;&gt;"pvp",Inputs!$B$44=0),1,IF(IF(Inputs!$B$39="pvp",15,Inputs!$B$44)-(B268)&lt;=0,1,MAX(0,IF(Inputs!$B$39="pvp",15,Inputs!$B$44)-MAX(5,B268))/(IF(Inputs!$B$39="pvp",15,Inputs!$B$44)-(B268))))*IF(AND(ArtifactsInput!$M$42,((Inputs!$B$9+((C249=TRUE)*(F249-Calc!F26))+B257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37">
        <f>IF(C237,(H237*N237*IF(AND(Inputs!$B$39&lt;&gt;"pvp",Inputs!$B$44&gt;0),((Skills!G14*((R237-1)*IF(Skills!H14&gt;0,Skills!I14/Skills!H14,1)+IF(Skills!H14&gt;0,MIN(Skills!I14,MAX(0,MAX(0,Inputs!$B$44-B268)-((R237-1)*IF(Inputs!$B$39="pvp",15,MAX(0.1,Skills!D14-IF(TRUE=TRUE,Inputs!$B$32,0))))))/Skills!H14,1)))/Inputs!$B$44),G237*Q237))*IF(Inputs!$B$39="pvp",1,(1+(Inputs!$B$21+Skills!Q14+B258+(IF(ArtifactsInput!$M$33,CHOOSE(ArtifactsInput!$N$33+1,30,36,42,48,54,60),0))+(IF(AND(ArtifactsInput!$M$35,Inputs!$B$4&lt;&gt;"Chapter Hunt"),CHOOSE(ArtifactsInput!$N$35+1,15,18,21,24,27,30)*(1-EXP(-(0.2*B261)*5)),0)+IF(AND(ArtifactsInput!$M$22,Inputs!$B$4&lt;&gt;"Chapter Hunt"),CHOOSE(ArtifactsInput!$N$22+1,10,12,14,16,18,20)*((0*(((0.15*B261*5))^0/1)+1*(((0.15*B261*5))^1/1)+2*(((0.15*B261*5))^2/2)+3*(((0.15*B261*5))^3/6)+4*(((0.15*B261*5))^4/24)+5*(((0.15*B261*5))^5/120))/((((0.15*B261*5))^0/1)+(((0.15*B261*5))^1/1)+(((0.15*B261*5))^2/2)+(((0.15*B261*5))^3/6)+(((0.15*B261*5))^4/24)+(((0.15*B261*5))^5/120))),0)))/100)*(MIN(Skills!W14,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38">
      <c r="A238">
        <f>Skills!A15</f>
        <v/>
      </c>
      <c r="B238">
        <f>Skills!B15</f>
        <v/>
      </c>
      <c r="C238">
        <f>Inputs!$B$3&gt;=107</f>
        <v/>
      </c>
      <c r="D238">
        <f>IF(Skills!C15=1,60+Inputs!$B$25+Inputs!$B$29,IF(Skills!C15=2,90+Inputs!$B$26+Inputs!$B$29,IF(Skills!C15=3,120+Inputs!$B$27+Inputs!$B$29,MAX(0,(Inputs!$B$3-100)*3)+Inputs!$B$28+Inputs!$B$29)))</f>
        <v/>
      </c>
      <c r="E238">
        <f>INDEX(FactorTable!$B$2:$Y$301, MATCH(ROUND(MIN(300,MAX(1,D238)),0), FactorTable!$A$2:$A$301,0), Skills!M15+1)</f>
        <v/>
      </c>
      <c r="F238">
        <f>IF(Skills!N15=TRUE,(Skills!L15/10)*(E238/1000),Skills!L15/10)+Skills!O15</f>
        <v/>
      </c>
      <c r="G238">
        <f>Skills!G15*IF(Skills!H15&gt;0,IF(Inputs!$B$39="pvp",MIN(Skills!I15,15),Skills!I15)/Skills!H15,1)</f>
        <v/>
      </c>
      <c r="H238">
        <f>1-(1-Skills!J15/100)^Skills!K15</f>
        <v/>
      </c>
      <c r="I238" t="inlineStr">
        <is>
          <t>1</t>
        </is>
      </c>
      <c r="J238">
        <f>((Inputs!$B$6*(1+Inputs!$B$7/100))+(((Inputs!$B$12*(1+Inputs!$B$13/100))-(Inputs!$B$12*(1+Inputs!$B$13/100)))+0.25*(Inputs!$B$14-Inputs!$B$14))*(1+Inputs!$B$7/100))*(F238/100)</f>
        <v/>
      </c>
      <c r="K238">
        <f>J238*(1+((Inputs!$B$12*(1+Inputs!$B$13/100))*0.01+Inputs!$B$14*0.0025)/100)*(1+(Inputs!$B$15+1)/100)*(1+Inputs!$B$16/100)*(5000/(6000+Inputs!$B$43*(1-(100*(1-(1-Inputs!$B$19/100)*(1-CHOOSE(ArtifactsInput!$N$40+1,5,6,7,8,9,10)/100)^(ArtifactsInput!$M$40-ArtifactsInput!$M$40)))/100)))*(1+(Inputs!$B$24+((C254=TRUE)*(F254-Calc!F31))+((C241=TRUE)*(F241-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15="CRUEL_STAB",Inputs!$B$17+((C251=TRUE)*(F251-Calc!F28))+((IF(AND(Inputs!$B$39&lt;&gt;"pvp",Inputs!$B$44=0),1,IF(IF(Inputs!$B$39="pvp",15,Inputs!$B$44)-(B268)&lt;=0,1,MAX(0,IF(Inputs!$B$39="pvp",15,Inputs!$B$44)-MAX(5,B268))/(IF(Inputs!$B$39="pvp",15,Inputs!$B$44)-(B268))))*(IF(AND(ArtifactsInput!$M$42,((Inputs!$B$9+((C249=TRUE)*(F249-Calc!F26))+B257+(ArtifactsInput!$M$24-ArtifactsInput!$M$24)*CHOOSE(ArtifactsInput!$N$24+1,10,12,14,16,18,20)+IF(ArtifactsInput!$M$10,CHOOSE(ArtifactsInput!$N$10+1,15,18,21,24,27,30)*(IF(Inputs!$B$39="pvp",MIN(15,15)/15,IF(AND(Inputs!$B$39&lt;&gt;"pvp",Inputs!$B$44&gt;0),MIN(15,Inputs!$B$44)/(Inputs!$B$44),0))),0)))&gt;=100),MIN(100,((Inputs!$B$9+((C249=TRUE)*(F249-Calc!F26))+B257+(ArtifactsInput!$M$24-ArtifactsInput!$M$24)*CHOOSE(ArtifactsInput!$N$24+1,10,12,14,16,18,20)+IF(ArtifactsInput!$M$10,CHOOSE(ArtifactsInput!$N$10+1,15,18,21,24,27,30)*(IF(Inputs!$B$39="pvp",MIN(15,15)/15,IF(AND(Inputs!$B$39&lt;&gt;"pvp",Inputs!$B$44&gt;0),MIN(15,Inputs!$B$44)/(Inputs!$B$44),0))),0)))-100),0))*CHOOSE(ArtifactsInput!$N$42+1,0.6,0.72,0.84,0.96,1.08,1.2))),Inputs!$B$18+((C252=TRUE)*(F252-Calc!F29))+(IF(AND(Inputs!$B$39&lt;&gt;"pvp",Inputs!$B$44=0),1,IF(IF(Inputs!$B$39="pvp",15,Inputs!$B$44)-(B268)&lt;=0,1,MAX(0,IF(Inputs!$B$39="pvp",15,Inputs!$B$44)-MAX(5,B268))/(IF(Inputs!$B$39="pvp",15,Inputs!$B$44)-(B268))))*IF(AND(ArtifactsInput!$M$42,((Inputs!$B$9+((C249=TRUE)*(F249-Calc!F26))+B257+(ArtifactsInput!$M$24-ArtifactsInput!$M$24)*CHOOSE(ArtifactsInput!$N$24+1,10,12,14,16,18,20)+IF(ArtifactsInput!$M$10,CHOOSE(ArtifactsInput!$N$10+1,15,18,21,24,27,30)*(IF(Inputs!$B$39="pvp",MIN(15,15)/15,IF(AND(Inputs!$B$39&lt;&gt;"pvp",Inputs!$B$44&gt;0),MIN(15,Inputs!$B$44)/(Inputs!$B$44),0))),0)))&gt;=100),CHOOSE(ArtifactsInput!$N$42+1,40,48,56,64,72,80),0))))/100)*(((1+(((C245=TRUE)*F245*IF(AND(Inputs!$B$39&lt;&gt;"pvp",Inputs!$B$44&gt;0),(((R245-1)*MIN((Skills!Y22*(1+Inputs!$B$34/100)),(1/Q245))+MIN((Skills!Y22*(1+Inputs!$B$34/100)),MAX(0,Inputs!$B$44-((R245-1)*(1/Q245)))))/Inputs!$B$44),IF(Inputs!$B$39="pvp",MIN((Skills!Y22*(1+Inputs!$B$34/100)),15)/15,MIN(1,(Skills!Y22*(1+Inputs!$B$34/100))/(1/Q245)))))+((C226=TRUE)*F226*3)+((C228=TRUE)*F228*(1-EXP(-0.75*B261*5)))+((C247=TRUE)*(F247-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234=TRUE)*F234*IF(AND(Inputs!$B$39&lt;&gt;"pvp",Inputs!$B$44&gt;0),(((R234-1)*MIN((Skills!Y11*(1+Inputs!$B$34/100)),(1/Q234))+MIN((Skills!Y11*(1+Inputs!$B$34/100)),MAX(0,Inputs!$B$44-((R234-1)*(1/Q234)))))/Inputs!$B$44),IF(Inputs!$B$39="pvp",MIN((Skills!Y11*(1+Inputs!$B$34/100)),15)/15,MIN(1,(Skills!Y11*(1+Inputs!$B$34/100))/(1/Q234)))))/100)*(1+((C239=TRUE)*F239*IF(AND(Inputs!$B$39&lt;&gt;"pvp",Inputs!$B$44&gt;0),(((R239-1)*MIN((Skills!Y16*(1+Inputs!$B$34/100)),(1/Q239))+MIN((Skills!Y16*(1+Inputs!$B$34/100)),MAX(0,Inputs!$B$44-((R239-1)*(1/Q239)))))/Inputs!$B$44),IF(Inputs!$B$39="pvp",MIN((Skills!Y16*(1+Inputs!$B$34/100)),15)/15,MIN(1,(Skills!Y16*(1+Inputs!$B$34/100))/(1/Q239)))))/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259*I238)</f>
        <v/>
      </c>
      <c r="L238">
        <f>K238*(MIN(Inputs!$B$22+((C248=TRUE)*(F248-Calc!F25)),(Inputs!$B$23+((C253=TRUE)*(F253-Calc!F30))+IF(ArtifactsInput!$M$15,CHOOSE(ArtifactsInput!$N$15+1,25,30,35,40,45,50)/100*(Inputs!$B$11-Inputs!$B$11),0)))/100+(Inputs!$B$23+((C253=TRUE)*(F253-Calc!F30))+IF(ArtifactsInput!$M$15,CHOOSE(ArtifactsInput!$N$15+1,25,30,35,40,45,50)/100*(Inputs!$B$11-Inputs!$B$11),0))/100)/2</f>
        <v/>
      </c>
      <c r="M238">
        <f>L238*(1+(Inputs!$B$10+((C250=TRUE)*(F250-Calc!F27))+B264+(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238">
        <f>L238*(1-MIN((Inputs!$B$9+((C249=TRUE)*(F249-Calc!F26))+B257+(ArtifactsInput!$M$24-ArtifactsInput!$M$24)*CHOOSE(ArtifactsInput!$N$24+1,10,12,14,16,18,20)+(IF(AND(Inputs!$B$39&lt;&gt;"pvp",Inputs!$B$44=0),1,IF(IF(Inputs!$B$39="pvp",15,Inputs!$B$44)-(B268)&lt;=0,1,MAX(0,IF(Inputs!$B$39="pvp",15,Inputs!$B$44)-MAX(5,B268))/(IF(Inputs!$B$39="pvp",15,Inputs!$B$44)-(B268))))*IF(AND(ArtifactsInput!$M$42,((Inputs!$B$9+((C249=TRUE)*(F249-Calc!F26))+B257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238*(MIN((Inputs!$B$9+((C249=TRUE)*(F249-Calc!F26))+B257+(ArtifactsInput!$M$24-ArtifactsInput!$M$24)*CHOOSE(ArtifactsInput!$N$24+1,10,12,14,16,18,20)+(IF(AND(Inputs!$B$39&lt;&gt;"pvp",Inputs!$B$44=0),1,IF(IF(Inputs!$B$39="pvp",15,Inputs!$B$44)-(B268)&lt;=0,1,MAX(0,IF(Inputs!$B$39="pvp",15,Inputs!$B$44)-MAX(5,B268))/(IF(Inputs!$B$39="pvp",15,Inputs!$B$44)-(B268))))*IF(AND(ArtifactsInput!$M$42,((Inputs!$B$9+((C249=TRUE)*(F249-Calc!F26))+B257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38">
        <f>(1-Summary!$B$11)*T238+Summary!$B$11*V238</f>
        <v/>
      </c>
      <c r="P238">
        <f>IF(B269=0,0,O238/B269)</f>
        <v/>
      </c>
      <c r="Q238">
        <f>IFERROR(1/IF(Inputs!$B$39="pvp",15,MAX(0.1,Skills!D15-IF(TRUE=TRUE,Inputs!$B$32,0))),0)</f>
        <v/>
      </c>
      <c r="R238">
        <f>IF(AND(Inputs!$B$39&lt;&gt;"pvp",Inputs!$B$44&gt;0),IF(MAX(0,Inputs!$B$44-B268)&lt;=0,0,(INT(MAX(0,Inputs!$B$44-B268)/IF(Inputs!$B$39="pvp",15,MAX(0.1,Skills!D15-IF(TRUE=TRUE,Inputs!$B$32,0))))+1)),0)</f>
        <v/>
      </c>
      <c r="S238">
        <f>IFERROR(O238/N238,0)</f>
        <v/>
      </c>
      <c r="T238">
        <f>IF(C238,(H238*N238*IF(AND(Inputs!$B$39&lt;&gt;"pvp",Inputs!$B$44&gt;0),((Skills!G15*((R238-1)*IF(Skills!H15&gt;0,Skills!I15/Skills!H15,1)+IF(Skills!H15&gt;0,MIN(Skills!I15,MAX(0,MAX(0,Inputs!$B$44-B268)-((R238-1)*IF(Inputs!$B$39="pvp",15,MAX(0.1,Skills!D15-IF(TRUE=TRUE,Inputs!$B$32,0))))))/Skills!H15,1)))/Inputs!$B$44),G238*Q238))*IF(Inputs!$B$39="pvp",1,1+(Inputs!$B$20+0+Skills!P15+B258+(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Hunt"),CHOOSE(ArtifactsInput!$N$35+1,15,18,21,24,27,30)*(1-EXP(-(0.2*B261)*5)),0)+IF(AND(ArtifactsInput!$M$22,Inputs!$B$4&lt;&gt;"Chapter Hunt"),CHOOSE(ArtifactsInput!$N$22+1,10,12,14,16,18,20)*((0*(((0.15*B261*5))^0/1)+1*(((0.15*B261*5))^1/1)+2*(((0.15*B261*5))^2/2)+3*(((0.15*B261*5))^3/6)+4*(((0.15*B261*5))^4/24)+5*(((0.15*B261*5))^5/120))/((((0.15*B261*5))^0/1)+(((0.15*B261*5))^1/1)+(((0.15*B261*5))^2/2)+(((0.15*B261*5))^3/6)+(((0.15*B261*5))^4/24)+(((0.15*B261*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238*(1-MIN(100,(Inputs!$B$9+((C249=TRUE)*(F249-Calc!F26))+B257+(ArtifactsInput!$M$24-ArtifactsInput!$M$24)*CHOOSE(ArtifactsInput!$N$24+1,10,12,14,16,18,20)+(IF(AND(Inputs!$B$39&lt;&gt;"pvp",Inputs!$B$44=0),1,IF(IF(Inputs!$B$39="pvp",15,Inputs!$B$44)-(B268)&lt;=0,1,MAX(0,IF(Inputs!$B$39="pvp",15,Inputs!$B$44)-MAX(5,B268))/(IF(Inputs!$B$39="pvp",15,Inputs!$B$44)-(B268))))*IF(AND(ArtifactsInput!$M$42,((Inputs!$B$9+((C249=TRUE)*(F249-Calc!F26))+B257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238*(MIN(100,(Inputs!$B$9+((C249=TRUE)*(F249-Calc!F26))+B257+(ArtifactsInput!$M$24-ArtifactsInput!$M$24)*CHOOSE(ArtifactsInput!$N$24+1,10,12,14,16,18,20)+(IF(AND(Inputs!$B$39&lt;&gt;"pvp",Inputs!$B$44=0),1,IF(IF(Inputs!$B$39="pvp",15,Inputs!$B$44)-(B268)&lt;=0,1,MAX(0,IF(Inputs!$B$39="pvp",15,Inputs!$B$44)-MAX(5,B268))/(IF(Inputs!$B$39="pvp",15,Inputs!$B$44)-(B268))))*IF(AND(ArtifactsInput!$M$42,((Inputs!$B$9+((C249=TRUE)*(F249-Calc!F26))+B257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238*(1-MIN(100,(Inputs!$B$9+((C249=TRUE)*(F249-Calc!F26))+B257+(ArtifactsInput!$M$24-ArtifactsInput!$M$24)*CHOOSE(ArtifactsInput!$N$24+1,10,12,14,16,18,20)+(IF(AND(Inputs!$B$39&lt;&gt;"pvp",Inputs!$B$44=0),1,IF(IF(Inputs!$B$39="pvp",15,Inputs!$B$44)-(B268)&lt;=0,1,MAX(0,IF(Inputs!$B$39="pvp",15,Inputs!$B$44)-MAX(5,B268))/(IF(Inputs!$B$39="pvp",15,Inputs!$B$44)-(B268))))*IF(AND(ArtifactsInput!$M$42,((Inputs!$B$9+((C249=TRUE)*(F249-Calc!F26))+B257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238*(MIN(100,(Inputs!$B$9+((C249=TRUE)*(F249-Calc!F26))+B257+(ArtifactsInput!$M$24-ArtifactsInput!$M$24)*CHOOSE(ArtifactsInput!$N$24+1,10,12,14,16,18,20)+(IF(AND(Inputs!$B$39&lt;&gt;"pvp",Inputs!$B$44=0),1,IF(IF(Inputs!$B$39="pvp",15,Inputs!$B$44)-(B268)&lt;=0,1,MAX(0,IF(Inputs!$B$39="pvp",15,Inputs!$B$44)-MAX(5,B268))/(IF(Inputs!$B$39="pvp",15,Inputs!$B$44)-(B268))))*IF(AND(ArtifactsInput!$M$42,((Inputs!$B$9+((C249=TRUE)*(F249-Calc!F26))+B257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38">
        <f>IF(C238,(H238*N238*IF(AND(Inputs!$B$39&lt;&gt;"pvp",Inputs!$B$44&gt;0),((Skills!G15*((R238-1)*IF(Skills!H15&gt;0,Skills!I15/Skills!H15,1)+IF(Skills!H15&gt;0,MIN(Skills!I15,MAX(0,MAX(0,Inputs!$B$44-B268)-((R238-1)*IF(Inputs!$B$39="pvp",15,MAX(0.1,Skills!D15-IF(TRUE=TRUE,Inputs!$B$32,0))))))/Skills!H15,1)))/Inputs!$B$44),G238*Q238))*IF(Inputs!$B$39="pvp",1,(1+(Inputs!$B$21+Skills!Q15+B258+(IF(ArtifactsInput!$M$33,CHOOSE(ArtifactsInput!$N$33+1,30,36,42,48,54,60),0))+(IF(AND(ArtifactsInput!$M$35,Inputs!$B$4&lt;&gt;"Chapter Hunt"),CHOOSE(ArtifactsInput!$N$35+1,15,18,21,24,27,30)*(1-EXP(-(0.2*B261)*5)),0)+IF(AND(ArtifactsInput!$M$22,Inputs!$B$4&lt;&gt;"Chapter Hunt"),CHOOSE(ArtifactsInput!$N$22+1,10,12,14,16,18,20)*((0*(((0.15*B261*5))^0/1)+1*(((0.15*B261*5))^1/1)+2*(((0.15*B261*5))^2/2)+3*(((0.15*B261*5))^3/6)+4*(((0.15*B261*5))^4/24)+5*(((0.15*B261*5))^5/120))/((((0.15*B261*5))^0/1)+(((0.15*B261*5))^1/1)+(((0.15*B261*5))^2/2)+(((0.15*B261*5))^3/6)+(((0.15*B261*5))^4/24)+(((0.15*B261*5))^5/120))),0)))/100)*(MIN(MIN(5,0.5*IF(Inputs!$B$3&gt;=75,0.75,0.5)*B261*(1/Q227))*Skills!V15,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39">
      <c r="A239">
        <f>Skills!A16</f>
        <v/>
      </c>
      <c r="B239">
        <f>Skills!B16</f>
        <v/>
      </c>
      <c r="C239">
        <f>Inputs!$B$3&gt;=110</f>
        <v/>
      </c>
      <c r="D239">
        <f>IF(Skills!C16=1,60+Inputs!$B$25+Inputs!$B$29,IF(Skills!C16=2,90+Inputs!$B$26+Inputs!$B$29,IF(Skills!C16=3,120+Inputs!$B$27+Inputs!$B$29,MAX(0,(Inputs!$B$3-100)*3)+Inputs!$B$28+Inputs!$B$29)))</f>
        <v/>
      </c>
      <c r="E239">
        <f>INDEX(FactorTable!$B$2:$Y$301, MATCH(ROUND(MIN(300,MAX(1,D239)),0), FactorTable!$A$2:$A$301,0), Skills!M16+1)</f>
        <v/>
      </c>
      <c r="F239">
        <f>IF(Skills!N16=TRUE,(Skills!L16/10)*(E239/1000),Skills!L16/10)+Skills!O16</f>
        <v/>
      </c>
      <c r="G239">
        <f>Skills!G16*IF(Skills!H16&gt;0,IF(Inputs!$B$39="pvp",MIN(Skills!I16,15),Skills!I16)/Skills!H16,1)</f>
        <v/>
      </c>
      <c r="H239">
        <f>1-(1-Skills!J16/100)^Skills!K16</f>
        <v/>
      </c>
      <c r="I239" t="inlineStr">
        <is>
          <t>1</t>
        </is>
      </c>
      <c r="J239" t="inlineStr"/>
      <c r="K239" t="inlineStr"/>
      <c r="L239" t="inlineStr"/>
      <c r="M239" t="inlineStr"/>
      <c r="N239" t="inlineStr"/>
      <c r="O239">
        <f>(1-Summary!$B$11)*T239+Summary!$B$11*V239</f>
        <v/>
      </c>
      <c r="P239">
        <f>IF(B269=0,0,O239/B269)</f>
        <v/>
      </c>
      <c r="Q239">
        <f>IFERROR(1/IF(Inputs!$B$39="pvp",15,MAX(0.1,Skills!D16-IF(TRUE=TRUE,Inputs!$B$32,0))),0)</f>
        <v/>
      </c>
      <c r="R239">
        <f>IF(AND(Inputs!$B$39&lt;&gt;"pvp",Inputs!$B$44&gt;0),IF(Inputs!$B$44&lt;=0,0,(INT(Inputs!$B$44/IF(Inputs!$B$39="pvp",15,MAX(0.1,Skills!D16-IF(TRUE=TRUE,Inputs!$B$32,0))))+1)),0)</f>
        <v/>
      </c>
      <c r="S239">
        <f>IFERROR(O239/N239,0)</f>
        <v/>
      </c>
      <c r="T239" t="n">
        <v>0</v>
      </c>
      <c r="V239" t="n">
        <v>0</v>
      </c>
    </row>
    <row r="240">
      <c r="A240">
        <f>Skills!A17</f>
        <v/>
      </c>
      <c r="B240">
        <f>Skills!B17</f>
        <v/>
      </c>
      <c r="C240">
        <f>Inputs!$B$3&gt;=115</f>
        <v/>
      </c>
      <c r="D240">
        <f>IF(Skills!C17=1,60+Inputs!$B$25+Inputs!$B$29,IF(Skills!C17=2,90+Inputs!$B$26+Inputs!$B$29,IF(Skills!C17=3,120+Inputs!$B$27+Inputs!$B$29,MAX(0,(Inputs!$B$3-100)*3)+Inputs!$B$28+Inputs!$B$29)))</f>
        <v/>
      </c>
      <c r="E240">
        <f>INDEX(FactorTable!$B$2:$Y$301, MATCH(ROUND(MIN(300,MAX(1,D240)),0), FactorTable!$A$2:$A$301,0), Skills!M17+1)</f>
        <v/>
      </c>
      <c r="F240">
        <f>IF(Skills!N17=TRUE,(Skills!L17/10)*(E240/1000),Skills!L17/10)+Skills!O17</f>
        <v/>
      </c>
      <c r="G240">
        <f>Skills!G17*IF(Skills!H17&gt;0,IF(Inputs!$B$39="pvp",MIN(Skills!I17,15),Skills!I17)/Skills!H17,1)</f>
        <v/>
      </c>
      <c r="H240">
        <f>1-(1-Skills!J17/100)^Skills!K17</f>
        <v/>
      </c>
      <c r="I240" t="inlineStr">
        <is>
          <t>1</t>
        </is>
      </c>
      <c r="J240">
        <f>((Inputs!$B$6*(1+Inputs!$B$7/100))+(((Inputs!$B$12*(1+Inputs!$B$13/100))-(Inputs!$B$12*(1+Inputs!$B$13/100)))+0.25*(Inputs!$B$14-Inputs!$B$14))*(1+Inputs!$B$7/100))*(F240/100)</f>
        <v/>
      </c>
      <c r="K240">
        <f>J240*(1+((Inputs!$B$12*(1+Inputs!$B$13/100))*0.01+Inputs!$B$14*0.0025)/100)*(1+(Inputs!$B$15+1)/100)*(1+Inputs!$B$16/100)*(5000/(6000+Inputs!$B$43*(1-(100*(1-(1-Inputs!$B$19/100)*(1-CHOOSE(ArtifactsInput!$N$40+1,5,6,7,8,9,10)/100)^(ArtifactsInput!$M$40-ArtifactsInput!$M$40)))/100)))*(1+(Inputs!$B$24+((C254=TRUE)*(F254-Calc!F31))+((C241=TRUE)*(F241-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17="CRUEL_STAB",Inputs!$B$17+((C251=TRUE)*(F251-Calc!F28))+((IF(AND(Inputs!$B$39&lt;&gt;"pvp",Inputs!$B$44=0),1,IF(IF(Inputs!$B$39="pvp",15,Inputs!$B$44)-(B268)&lt;=0,1,MAX(0,IF(Inputs!$B$39="pvp",15,Inputs!$B$44)-MAX(5,B268))/(IF(Inputs!$B$39="pvp",15,Inputs!$B$44)-(B268))))*(IF(AND(ArtifactsInput!$M$42,((Inputs!$B$9+((C249=TRUE)*(F249-Calc!F26))+B257+(ArtifactsInput!$M$24-ArtifactsInput!$M$24)*CHOOSE(ArtifactsInput!$N$24+1,10,12,14,16,18,20)+IF(ArtifactsInput!$M$10,CHOOSE(ArtifactsInput!$N$10+1,15,18,21,24,27,30)*(IF(Inputs!$B$39="pvp",MIN(15,15)/15,IF(AND(Inputs!$B$39&lt;&gt;"pvp",Inputs!$B$44&gt;0),MIN(15,Inputs!$B$44)/(Inputs!$B$44),0))),0)))&gt;=100),MIN(100,((Inputs!$B$9+((C249=TRUE)*(F249-Calc!F26))+B257+(ArtifactsInput!$M$24-ArtifactsInput!$M$24)*CHOOSE(ArtifactsInput!$N$24+1,10,12,14,16,18,20)+IF(ArtifactsInput!$M$10,CHOOSE(ArtifactsInput!$N$10+1,15,18,21,24,27,30)*(IF(Inputs!$B$39="pvp",MIN(15,15)/15,IF(AND(Inputs!$B$39&lt;&gt;"pvp",Inputs!$B$44&gt;0),MIN(15,Inputs!$B$44)/(Inputs!$B$44),0))),0)))-100),0))*CHOOSE(ArtifactsInput!$N$42+1,0.6,0.72,0.84,0.96,1.08,1.2))),Inputs!$B$18+((C252=TRUE)*(F252-Calc!F29))+(IF(AND(Inputs!$B$39&lt;&gt;"pvp",Inputs!$B$44=0),1,IF(IF(Inputs!$B$39="pvp",15,Inputs!$B$44)-(B268)&lt;=0,1,MAX(0,IF(Inputs!$B$39="pvp",15,Inputs!$B$44)-MAX(5,B268))/(IF(Inputs!$B$39="pvp",15,Inputs!$B$44)-(B268))))*IF(AND(ArtifactsInput!$M$42,((Inputs!$B$9+((C249=TRUE)*(F249-Calc!F26))+B257+(ArtifactsInput!$M$24-ArtifactsInput!$M$24)*CHOOSE(ArtifactsInput!$N$24+1,10,12,14,16,18,20)+IF(ArtifactsInput!$M$10,CHOOSE(ArtifactsInput!$N$10+1,15,18,21,24,27,30)*(IF(Inputs!$B$39="pvp",MIN(15,15)/15,IF(AND(Inputs!$B$39&lt;&gt;"pvp",Inputs!$B$44&gt;0),MIN(15,Inputs!$B$44)/(Inputs!$B$44),0))),0)))&gt;=100),CHOOSE(ArtifactsInput!$N$42+1,40,48,56,64,72,80),0))))/100)*(((1+(((C245=TRUE)*F245*IF(AND(Inputs!$B$39&lt;&gt;"pvp",Inputs!$B$44&gt;0),(((R245-1)*MIN((Skills!Y22*(1+Inputs!$B$34/100)),(1/Q245))+MIN((Skills!Y22*(1+Inputs!$B$34/100)),MAX(0,Inputs!$B$44-((R245-1)*(1/Q245)))))/Inputs!$B$44),IF(Inputs!$B$39="pvp",MIN((Skills!Y22*(1+Inputs!$B$34/100)),15)/15,MIN(1,(Skills!Y22*(1+Inputs!$B$34/100))/(1/Q245)))))+((C226=TRUE)*F226*3)+((C228=TRUE)*F228*(1-EXP(-0.75*B261*5)))+((C247=TRUE)*(F247-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234=TRUE)*F234*IF(AND(Inputs!$B$39&lt;&gt;"pvp",Inputs!$B$44&gt;0),(((R234-1)*MIN((Skills!Y11*(1+Inputs!$B$34/100)),(1/Q234))+MIN((Skills!Y11*(1+Inputs!$B$34/100)),MAX(0,Inputs!$B$44-((R234-1)*(1/Q234)))))/Inputs!$B$44),IF(Inputs!$B$39="pvp",MIN((Skills!Y11*(1+Inputs!$B$34/100)),15)/15,MIN(1,(Skills!Y11*(1+Inputs!$B$34/100))/(1/Q234)))))/100)*(1+((C239=TRUE)*F239*IF(AND(Inputs!$B$39&lt;&gt;"pvp",Inputs!$B$44&gt;0),(((R239-1)*MIN((Skills!Y16*(1+Inputs!$B$34/100)),(1/Q239))+MIN((Skills!Y16*(1+Inputs!$B$34/100)),MAX(0,Inputs!$B$44-((R239-1)*(1/Q239)))))/Inputs!$B$44),IF(Inputs!$B$39="pvp",MIN((Skills!Y16*(1+Inputs!$B$34/100)),15)/15,MIN(1,(Skills!Y16*(1+Inputs!$B$34/100))/(1/Q239)))))/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259*I240)</f>
        <v/>
      </c>
      <c r="L240">
        <f>K240*(MIN(Inputs!$B$22+((C248=TRUE)*(F248-Calc!F25)),(Inputs!$B$23+((C253=TRUE)*(F253-Calc!F30))+IF(ArtifactsInput!$M$15,CHOOSE(ArtifactsInput!$N$15+1,25,30,35,40,45,50)/100*(Inputs!$B$11-Inputs!$B$11),0)))/100+(Inputs!$B$23+((C253=TRUE)*(F253-Calc!F30))+IF(ArtifactsInput!$M$15,CHOOSE(ArtifactsInput!$N$15+1,25,30,35,40,45,50)/100*(Inputs!$B$11-Inputs!$B$11),0))/100)/2</f>
        <v/>
      </c>
      <c r="M240">
        <f>L240*(1+(Inputs!$B$10+((C250=TRUE)*(F250-Calc!F27))+B264+(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240">
        <f>L240*(1-MIN((Inputs!$B$9+((C249=TRUE)*(F249-Calc!F26))+B257+(ArtifactsInput!$M$24-ArtifactsInput!$M$24)*CHOOSE(ArtifactsInput!$N$24+1,10,12,14,16,18,20)+(IF(AND(Inputs!$B$39&lt;&gt;"pvp",Inputs!$B$44=0),1,IF(IF(Inputs!$B$39="pvp",15,Inputs!$B$44)-(B268)&lt;=0,1,MAX(0,IF(Inputs!$B$39="pvp",15,Inputs!$B$44)-MAX(5,B268))/(IF(Inputs!$B$39="pvp",15,Inputs!$B$44)-(B268))))*IF(AND(ArtifactsInput!$M$42,((Inputs!$B$9+((C249=TRUE)*(F249-Calc!F26))+B257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240*(MIN((Inputs!$B$9+((C249=TRUE)*(F249-Calc!F26))+B257+(ArtifactsInput!$M$24-ArtifactsInput!$M$24)*CHOOSE(ArtifactsInput!$N$24+1,10,12,14,16,18,20)+(IF(AND(Inputs!$B$39&lt;&gt;"pvp",Inputs!$B$44=0),1,IF(IF(Inputs!$B$39="pvp",15,Inputs!$B$44)-(B268)&lt;=0,1,MAX(0,IF(Inputs!$B$39="pvp",15,Inputs!$B$44)-MAX(5,B268))/(IF(Inputs!$B$39="pvp",15,Inputs!$B$44)-(B268))))*IF(AND(ArtifactsInput!$M$42,((Inputs!$B$9+((C249=TRUE)*(F249-Calc!F26))+B257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40">
        <f>(1-Summary!$B$11)*T240+Summary!$B$11*V240</f>
        <v/>
      </c>
      <c r="P240">
        <f>IF(B269=0,0,O240/B269)</f>
        <v/>
      </c>
      <c r="Q240" t="n">
        <v>0</v>
      </c>
      <c r="R240" t="n">
        <v>0</v>
      </c>
      <c r="S240">
        <f>IFERROR(O240/N240,0)</f>
        <v/>
      </c>
      <c r="T240">
        <f>IF(C240,(Inputs!$B$38*0.2*N240)*IF(Inputs!$B$39="pvp",1,1+(Inputs!$B$20+0+Skills!P17+B258+(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Hunt"),CHOOSE(ArtifactsInput!$N$35+1,15,18,21,24,27,30)*(1-EXP(-(0.2*B261)*5)),0)+IF(AND(ArtifactsInput!$M$22,Inputs!$B$4&lt;&gt;"Chapter Hunt"),CHOOSE(ArtifactsInput!$N$22+1,10,12,14,16,18,20)*((0*(((0.15*B261*5))^0/1)+1*(((0.15*B261*5))^1/1)+2*(((0.15*B261*5))^2/2)+3*(((0.15*B261*5))^3/6)+4*(((0.15*B261*5))^4/24)+5*(((0.15*B261*5))^5/120))/((((0.15*B261*5))^0/1)+(((0.15*B261*5))^1/1)+(((0.15*B261*5))^2/2)+(((0.15*B261*5))^3/6)+(((0.15*B261*5))^4/24)+(((0.15*B261*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240*(1-MIN(100,(Inputs!$B$9+((C249=TRUE)*(F249-Calc!F26))+B257+(ArtifactsInput!$M$24-ArtifactsInput!$M$24)*CHOOSE(ArtifactsInput!$N$24+1,10,12,14,16,18,20)+(IF(AND(Inputs!$B$39&lt;&gt;"pvp",Inputs!$B$44=0),1,IF(IF(Inputs!$B$39="pvp",15,Inputs!$B$44)-(B268)&lt;=0,1,MAX(0,IF(Inputs!$B$39="pvp",15,Inputs!$B$44)-MAX(5,B268))/(IF(Inputs!$B$39="pvp",15,Inputs!$B$44)-(B268))))*IF(AND(ArtifactsInput!$M$42,((Inputs!$B$9+((C249=TRUE)*(F249-Calc!F26))+B257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240*(MIN(100,(Inputs!$B$9+((C249=TRUE)*(F249-Calc!F26))+B257+(ArtifactsInput!$M$24-ArtifactsInput!$M$24)*CHOOSE(ArtifactsInput!$N$24+1,10,12,14,16,18,20)+(IF(AND(Inputs!$B$39&lt;&gt;"pvp",Inputs!$B$44=0),1,IF(IF(Inputs!$B$39="pvp",15,Inputs!$B$44)-(B268)&lt;=0,1,MAX(0,IF(Inputs!$B$39="pvp",15,Inputs!$B$44)-MAX(5,B268))/(IF(Inputs!$B$39="pvp",15,Inputs!$B$44)-(B268))))*IF(AND(ArtifactsInput!$M$42,((Inputs!$B$9+((C249=TRUE)*(F249-Calc!F26))+B257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240*(1-MIN(100,(Inputs!$B$9+((C249=TRUE)*(F249-Calc!F26))+B257+(ArtifactsInput!$M$24-ArtifactsInput!$M$24)*CHOOSE(ArtifactsInput!$N$24+1,10,12,14,16,18,20)+(IF(AND(Inputs!$B$39&lt;&gt;"pvp",Inputs!$B$44=0),1,IF(IF(Inputs!$B$39="pvp",15,Inputs!$B$44)-(B268)&lt;=0,1,MAX(0,IF(Inputs!$B$39="pvp",15,Inputs!$B$44)-MAX(5,B268))/(IF(Inputs!$B$39="pvp",15,Inputs!$B$44)-(B268))))*IF(AND(ArtifactsInput!$M$42,((Inputs!$B$9+((C249=TRUE)*(F249-Calc!F26))+B257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240*(MIN(100,(Inputs!$B$9+((C249=TRUE)*(F249-Calc!F26))+B257+(ArtifactsInput!$M$24-ArtifactsInput!$M$24)*CHOOSE(ArtifactsInput!$N$24+1,10,12,14,16,18,20)+(IF(AND(Inputs!$B$39&lt;&gt;"pvp",Inputs!$B$44=0),1,IF(IF(Inputs!$B$39="pvp",15,Inputs!$B$44)-(B268)&lt;=0,1,MAX(0,IF(Inputs!$B$39="pvp",15,Inputs!$B$44)-MAX(5,B268))/(IF(Inputs!$B$39="pvp",15,Inputs!$B$44)-(B268))))*IF(AND(ArtifactsInput!$M$42,((Inputs!$B$9+((C249=TRUE)*(F249-Calc!F26))+B257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40">
        <f>IF(C240,(Inputs!$B$38*0.2*N240)*IF(Inputs!$B$39="pvp",1,(1+(Inputs!$B$21+Skills!Q17+B258+(IF(ArtifactsInput!$M$33,CHOOSE(ArtifactsInput!$N$33+1,30,36,42,48,54,60),0))+(IF(AND(ArtifactsInput!$M$35,Inputs!$B$4&lt;&gt;"Chapter Hunt"),CHOOSE(ArtifactsInput!$N$35+1,15,18,21,24,27,30)*(1-EXP(-(0.2*B261)*5)),0)+IF(AND(ArtifactsInput!$M$22,Inputs!$B$4&lt;&gt;"Chapter Hunt"),CHOOSE(ArtifactsInput!$N$22+1,10,12,14,16,18,20)*((0*(((0.15*B261*5))^0/1)+1*(((0.15*B261*5))^1/1)+2*(((0.15*B261*5))^2/2)+3*(((0.15*B261*5))^3/6)+4*(((0.15*B261*5))^4/24)+5*(((0.15*B261*5))^5/120))/((((0.15*B261*5))^0/1)+(((0.15*B261*5))^1/1)+(((0.15*B261*5))^2/2)+(((0.15*B261*5))^3/6)+(((0.15*B261*5))^4/24)+(((0.15*B261*5))^5/120))),0)))/100)*(MIN(Skills!W17,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41">
      <c r="A241">
        <f>Skills!A18</f>
        <v/>
      </c>
      <c r="B241">
        <f>Skills!B18</f>
        <v/>
      </c>
      <c r="C241">
        <f>Inputs!$B$3&gt;=115</f>
        <v/>
      </c>
      <c r="D241">
        <f>IF(Skills!C18=1,60+Inputs!$B$25+Inputs!$B$29,IF(Skills!C18=2,90+Inputs!$B$26+Inputs!$B$29,IF(Skills!C18=3,120+Inputs!$B$27+Inputs!$B$29,MAX(0,(Inputs!$B$3-100)*3)+Inputs!$B$28+Inputs!$B$29)))</f>
        <v/>
      </c>
      <c r="E241">
        <f>INDEX(FactorTable!$B$2:$Y$301, MATCH(ROUND(MIN(300,MAX(1,D241)),0), FactorTable!$A$2:$A$301,0), Skills!M18+1)</f>
        <v/>
      </c>
      <c r="F241">
        <f>IF(Skills!N18=TRUE,(Skills!L18/10)*(E241/1000),Skills!L18/10)+Skills!O18</f>
        <v/>
      </c>
      <c r="G241">
        <f>Skills!G18*IF(Skills!H18&gt;0,IF(Inputs!$B$39="pvp",MIN(Skills!I18,15),Skills!I18)/Skills!H18,1)</f>
        <v/>
      </c>
      <c r="H241">
        <f>1-(1-Skills!J18/100)^Skills!K18</f>
        <v/>
      </c>
      <c r="I241" t="inlineStr">
        <is>
          <t>1</t>
        </is>
      </c>
      <c r="J241" t="inlineStr"/>
      <c r="K241" t="inlineStr"/>
      <c r="L241" t="inlineStr"/>
      <c r="M241" t="inlineStr"/>
      <c r="N241" t="inlineStr"/>
      <c r="O241">
        <f>(1-Summary!$B$11)*T241+Summary!$B$11*V241</f>
        <v/>
      </c>
      <c r="P241">
        <f>IF(B269=0,0,O241/B269)</f>
        <v/>
      </c>
      <c r="Q241" t="n">
        <v>0</v>
      </c>
      <c r="R241" t="n">
        <v>0</v>
      </c>
      <c r="S241">
        <f>IFERROR(O241/N241,0)</f>
        <v/>
      </c>
      <c r="T241" t="n">
        <v>0</v>
      </c>
      <c r="V241" t="n">
        <v>0</v>
      </c>
    </row>
    <row r="242">
      <c r="A242">
        <f>Skills!A19</f>
        <v/>
      </c>
      <c r="B242">
        <f>Skills!B19</f>
        <v/>
      </c>
      <c r="C242">
        <f>Inputs!$B$3&gt;=100</f>
        <v/>
      </c>
      <c r="D242">
        <f>IF(Skills!C19=1,60+Inputs!$B$25+Inputs!$B$29,IF(Skills!C19=2,90+Inputs!$B$26+Inputs!$B$29,IF(Skills!C19=3,120+Inputs!$B$27+Inputs!$B$29,MAX(0,(Inputs!$B$3-100)*3)+Inputs!$B$28+Inputs!$B$29)))</f>
        <v/>
      </c>
      <c r="E242">
        <f>INDEX(FactorTable!$B$2:$Y$301, MATCH(ROUND(MIN(300,MAX(1,D242)),0), FactorTable!$A$2:$A$301,0), Skills!M19+1)</f>
        <v/>
      </c>
      <c r="F242">
        <f>IF(Skills!N19=TRUE,(Skills!L19/10)*(E242/1000),Skills!L19/10)+Skills!O19</f>
        <v/>
      </c>
      <c r="G242">
        <f>Skills!G19*IF(Skills!H19&gt;0,IF(Inputs!$B$39="pvp",MIN(Skills!I19,15),Skills!I19)/Skills!H19,1)</f>
        <v/>
      </c>
      <c r="H242">
        <f>1-(1-Skills!J19/100)^Skills!K19</f>
        <v/>
      </c>
      <c r="I242" t="inlineStr">
        <is>
          <t>1</t>
        </is>
      </c>
      <c r="J242" t="inlineStr"/>
      <c r="K242" t="inlineStr"/>
      <c r="L242" t="inlineStr"/>
      <c r="M242" t="inlineStr"/>
      <c r="N242" t="inlineStr"/>
      <c r="O242">
        <f>(1-Summary!$B$11)*T242+Summary!$B$11*V242</f>
        <v/>
      </c>
      <c r="P242">
        <f>IF(B269=0,0,O242/B269)</f>
        <v/>
      </c>
      <c r="Q242" t="n">
        <v>0</v>
      </c>
      <c r="R242" t="n">
        <v>0</v>
      </c>
      <c r="S242">
        <f>IFERROR(O242/N242,0)</f>
        <v/>
      </c>
      <c r="T242" t="n">
        <v>0</v>
      </c>
      <c r="V242" t="n">
        <v>0</v>
      </c>
    </row>
    <row r="243">
      <c r="A243">
        <f>Skills!A20</f>
        <v/>
      </c>
      <c r="B243">
        <f>Skills!B20</f>
        <v/>
      </c>
      <c r="C243">
        <f>TRUE</f>
        <v/>
      </c>
      <c r="D243">
        <f>IF(Skills!C20=1,60+Inputs!$B$25+Inputs!$B$29,IF(Skills!C20=2,90+Inputs!$B$26+Inputs!$B$29,IF(Skills!C20=3,120+Inputs!$B$27+Inputs!$B$29,MAX(0,(Inputs!$B$3-100)*3)+Inputs!$B$28+Inputs!$B$29)))</f>
        <v/>
      </c>
      <c r="E243">
        <f>INDEX(FactorTable!$B$2:$Y$301, MATCH(ROUND(MIN(300,MAX(1,D243)),0), FactorTable!$A$2:$A$301,0), Skills!M20+1)</f>
        <v/>
      </c>
      <c r="F243">
        <f>IF(Skills!N20=TRUE,(Skills!L20/10)*(E243/1000),Skills!L20/10)+Skills!O20</f>
        <v/>
      </c>
      <c r="G243">
        <f>Skills!G20*IF(Skills!H20&gt;0,IF(Inputs!$B$39="pvp",MIN(Skills!I20,15),Skills!I20)/Skills!H20,1)</f>
        <v/>
      </c>
      <c r="H243">
        <f>1-(1-Skills!J20/100)^Skills!K20</f>
        <v/>
      </c>
      <c r="I243" t="inlineStr">
        <is>
          <t>1</t>
        </is>
      </c>
      <c r="J243" t="inlineStr"/>
      <c r="K243" t="inlineStr"/>
      <c r="L243" t="inlineStr"/>
      <c r="M243" t="inlineStr"/>
      <c r="N243" t="inlineStr"/>
      <c r="O243">
        <f>(1-Summary!$B$11)*T243+Summary!$B$11*V243</f>
        <v/>
      </c>
      <c r="P243">
        <f>IF(B269=0,0,O243/B269)</f>
        <v/>
      </c>
      <c r="Q243">
        <f>IFERROR(1/IF(Inputs!$B$39="pvp",15,MAX(0.1,Skills!D20-IF(TRUE=TRUE,Inputs!$B$32,0))),0)</f>
        <v/>
      </c>
      <c r="R243">
        <f>IF(AND(Inputs!$B$39&lt;&gt;"pvp",Inputs!$B$44&gt;0),IF(Inputs!$B$44&lt;=0,0,(INT(Inputs!$B$44/IF(Inputs!$B$39="pvp",15,MAX(0.1,Skills!D20-IF(TRUE=TRUE,Inputs!$B$32,0))))+1)),0)</f>
        <v/>
      </c>
      <c r="S243">
        <f>IFERROR(O243/N243,0)</f>
        <v/>
      </c>
      <c r="T243" t="n">
        <v>0</v>
      </c>
      <c r="V243" t="n">
        <v>0</v>
      </c>
    </row>
    <row r="244">
      <c r="A244">
        <f>Skills!A21</f>
        <v/>
      </c>
      <c r="B244">
        <f>Skills!B21</f>
        <v/>
      </c>
      <c r="C244">
        <f>Inputs!$B$3&gt;=15</f>
        <v/>
      </c>
      <c r="D244">
        <f>IF(Skills!C21=1,60+Inputs!$B$25+Inputs!$B$29,IF(Skills!C21=2,90+Inputs!$B$26+Inputs!$B$29,IF(Skills!C21=3,120+Inputs!$B$27+Inputs!$B$29,MAX(0,(Inputs!$B$3-100)*3)+Inputs!$B$28+Inputs!$B$29)))</f>
        <v/>
      </c>
      <c r="E244">
        <f>INDEX(FactorTable!$B$2:$Y$301, MATCH(ROUND(MIN(300,MAX(1,D244)),0), FactorTable!$A$2:$A$301,0), Skills!M21+1)</f>
        <v/>
      </c>
      <c r="F244">
        <f>IF(Skills!N21=TRUE,(Skills!L21/10)*(E244/1000),Skills!L21/10)+Skills!O21</f>
        <v/>
      </c>
      <c r="G244">
        <f>Skills!G21*IF(Skills!H21&gt;0,IF(Inputs!$B$39="pvp",MIN(Skills!I21,15),Skills!I21)/Skills!H21,1)</f>
        <v/>
      </c>
      <c r="H244">
        <f>1-(1-Skills!J21/100)^Skills!K21</f>
        <v/>
      </c>
      <c r="I244" t="inlineStr">
        <is>
          <t>1</t>
        </is>
      </c>
      <c r="J244" t="inlineStr"/>
      <c r="K244" t="inlineStr"/>
      <c r="L244" t="inlineStr"/>
      <c r="M244" t="inlineStr"/>
      <c r="N244" t="inlineStr"/>
      <c r="O244">
        <f>(1-Summary!$B$11)*T244+Summary!$B$11*V244</f>
        <v/>
      </c>
      <c r="P244">
        <f>IF(B269=0,0,O244/B269)</f>
        <v/>
      </c>
      <c r="Q244">
        <f>IFERROR(1/IF(Inputs!$B$39="pvp",15,MAX(0.1,Skills!D21-IF(TRUE=TRUE,Inputs!$B$32,0))),0)</f>
        <v/>
      </c>
      <c r="R244">
        <f>IF(AND(Inputs!$B$39&lt;&gt;"pvp",Inputs!$B$44&gt;0),IF(Inputs!$B$44&lt;=0,0,(INT(Inputs!$B$44/IF(Inputs!$B$39="pvp",15,MAX(0.1,Skills!D21-IF(TRUE=TRUE,Inputs!$B$32,0))))+1)),0)</f>
        <v/>
      </c>
      <c r="S244">
        <f>IFERROR(O244/N244,0)</f>
        <v/>
      </c>
      <c r="T244" t="n">
        <v>0</v>
      </c>
      <c r="V244" t="n">
        <v>0</v>
      </c>
    </row>
    <row r="245">
      <c r="A245">
        <f>Skills!A22</f>
        <v/>
      </c>
      <c r="B245">
        <f>Skills!B22</f>
        <v/>
      </c>
      <c r="C245">
        <f>Inputs!$B$3&gt;=15</f>
        <v/>
      </c>
      <c r="D245">
        <f>IF(Skills!C22=1,60+Inputs!$B$25+Inputs!$B$29,IF(Skills!C22=2,90+Inputs!$B$26+Inputs!$B$29,IF(Skills!C22=3,120+Inputs!$B$27+Inputs!$B$29,MAX(0,(Inputs!$B$3-100)*3)+Inputs!$B$28+Inputs!$B$29)))</f>
        <v/>
      </c>
      <c r="E245">
        <f>INDEX(FactorTable!$B$2:$Y$301, MATCH(ROUND(MIN(300,MAX(1,D245)),0), FactorTable!$A$2:$A$301,0), Skills!M22+1)</f>
        <v/>
      </c>
      <c r="F245">
        <f>IF(Skills!N22=TRUE,(Skills!L22/10)*(E245/1000),Skills!L22/10)+Skills!O22</f>
        <v/>
      </c>
      <c r="G245">
        <f>Skills!G22*IF(Skills!H22&gt;0,IF(Inputs!$B$39="pvp",MIN(Skills!I22,15),Skills!I22)/Skills!H22,1)</f>
        <v/>
      </c>
      <c r="H245">
        <f>1-(1-Skills!J22/100)^Skills!K22</f>
        <v/>
      </c>
      <c r="I245" t="inlineStr">
        <is>
          <t>1</t>
        </is>
      </c>
      <c r="J245" t="inlineStr"/>
      <c r="K245" t="inlineStr"/>
      <c r="L245" t="inlineStr"/>
      <c r="M245" t="inlineStr"/>
      <c r="N245" t="inlineStr"/>
      <c r="O245">
        <f>(1-Summary!$B$11)*T245+Summary!$B$11*V245</f>
        <v/>
      </c>
      <c r="P245">
        <f>IF(B269=0,0,O245/B269)</f>
        <v/>
      </c>
      <c r="Q245">
        <f>IFERROR(1/IF(Inputs!$B$39="pvp",15,MAX(0.1,Skills!D22-IF(TRUE=TRUE,Inputs!$B$32,0))),0)</f>
        <v/>
      </c>
      <c r="R245">
        <f>IF(AND(Inputs!$B$39&lt;&gt;"pvp",Inputs!$B$44&gt;0),IF(Inputs!$B$44&lt;=0,0,(INT(Inputs!$B$44/IF(Inputs!$B$39="pvp",15,MAX(0.1,Skills!D22-IF(TRUE=TRUE,Inputs!$B$32,0))))+1)),0)</f>
        <v/>
      </c>
      <c r="S245">
        <f>IFERROR(O245/N245,0)</f>
        <v/>
      </c>
      <c r="T245" t="n">
        <v>0</v>
      </c>
      <c r="V245" t="n">
        <v>0</v>
      </c>
    </row>
    <row r="246">
      <c r="A246">
        <f>Skills!A23</f>
        <v/>
      </c>
      <c r="B246">
        <f>Skills!B23</f>
        <v/>
      </c>
      <c r="C246">
        <f>Inputs!$B$3&gt;=33</f>
        <v/>
      </c>
      <c r="D246">
        <f>IF(Skills!C23=1,60+Inputs!$B$25+Inputs!$B$29,IF(Skills!C23=2,90+Inputs!$B$26+Inputs!$B$29,IF(Skills!C23=3,120+Inputs!$B$27+Inputs!$B$29,MAX(0,(Inputs!$B$3-100)*3)+Inputs!$B$28+Inputs!$B$29)))</f>
        <v/>
      </c>
      <c r="E246">
        <f>INDEX(FactorTable!$B$2:$Y$301, MATCH(ROUND(MIN(300,MAX(1,D246)),0), FactorTable!$A$2:$A$301,0), Skills!M23+1)</f>
        <v/>
      </c>
      <c r="F246">
        <f>IF(Skills!N23=TRUE,(Skills!L23/10)*(E246/1000),Skills!L23/10)+Skills!O23</f>
        <v/>
      </c>
      <c r="G246">
        <f>Skills!G23*IF(Skills!H23&gt;0,IF(Inputs!$B$39="pvp",MIN(Skills!I23,15),Skills!I23)/Skills!H23,1)</f>
        <v/>
      </c>
      <c r="H246">
        <f>1-(1-Skills!J23/100)^Skills!K23</f>
        <v/>
      </c>
      <c r="I246" t="inlineStr">
        <is>
          <t>1</t>
        </is>
      </c>
      <c r="J246" t="inlineStr"/>
      <c r="K246" t="inlineStr"/>
      <c r="L246" t="inlineStr"/>
      <c r="M246" t="inlineStr"/>
      <c r="N246" t="inlineStr"/>
      <c r="O246">
        <f>(1-Summary!$B$11)*T246+Summary!$B$11*V246</f>
        <v/>
      </c>
      <c r="P246">
        <f>IF(B269=0,0,O246/B269)</f>
        <v/>
      </c>
      <c r="Q246" t="n">
        <v>0</v>
      </c>
      <c r="R246" t="n">
        <v>0</v>
      </c>
      <c r="S246">
        <f>IFERROR(O246/N246,0)</f>
        <v/>
      </c>
      <c r="T246" t="n">
        <v>0</v>
      </c>
      <c r="V246" t="n">
        <v>0</v>
      </c>
    </row>
    <row r="247">
      <c r="A247">
        <f>Skills!A24</f>
        <v/>
      </c>
      <c r="B247">
        <f>Skills!B24</f>
        <v/>
      </c>
      <c r="C247">
        <f>Inputs!$B$3&gt;=40</f>
        <v/>
      </c>
      <c r="D247">
        <f>IF(Skills!C24=1,60+Inputs!$B$25+Inputs!$B$29,IF(Skills!C24=2,90+Inputs!$B$26+Inputs!$B$29,IF(Skills!C24=3,120+Inputs!$B$27+Inputs!$B$29,MAX(0,(Inputs!$B$3-100)*3)+Inputs!$B$28+Inputs!$B$29)))</f>
        <v/>
      </c>
      <c r="E247">
        <f>INDEX(FactorTable!$B$2:$Y$301, MATCH(ROUND(MIN(300,MAX(1,D247)),0), FactorTable!$A$2:$A$301,0), Skills!M24+1)</f>
        <v/>
      </c>
      <c r="F247">
        <f>IF(Skills!N24=TRUE,(Skills!L24/10)*(E247/1000),Skills!L24/10)+Skills!O24</f>
        <v/>
      </c>
      <c r="G247">
        <f>Skills!G24*IF(Skills!H24&gt;0,IF(Inputs!$B$39="pvp",MIN(Skills!I24,15),Skills!I24)/Skills!H24,1)</f>
        <v/>
      </c>
      <c r="H247">
        <f>1-(1-Skills!J24/100)^Skills!K24</f>
        <v/>
      </c>
      <c r="I247" t="inlineStr">
        <is>
          <t>1</t>
        </is>
      </c>
      <c r="J247" t="inlineStr"/>
      <c r="K247" t="inlineStr"/>
      <c r="L247" t="inlineStr"/>
      <c r="M247" t="inlineStr"/>
      <c r="N247" t="inlineStr"/>
      <c r="O247">
        <f>(1-Summary!$B$11)*T247+Summary!$B$11*V247</f>
        <v/>
      </c>
      <c r="P247">
        <f>IF(B269=0,0,O247/B269)</f>
        <v/>
      </c>
      <c r="Q247" t="n">
        <v>0</v>
      </c>
      <c r="R247" t="n">
        <v>0</v>
      </c>
      <c r="S247">
        <f>IFERROR(O247/N247,0)</f>
        <v/>
      </c>
      <c r="T247" t="n">
        <v>0</v>
      </c>
      <c r="V247" t="n">
        <v>0</v>
      </c>
    </row>
    <row r="248">
      <c r="A248">
        <f>Skills!A25</f>
        <v/>
      </c>
      <c r="B248">
        <f>Skills!B25</f>
        <v/>
      </c>
      <c r="C248">
        <f>Inputs!$B$3&gt;=43</f>
        <v/>
      </c>
      <c r="D248">
        <f>IF(Skills!C25=1,60+Inputs!$B$25+Inputs!$B$29,IF(Skills!C25=2,90+Inputs!$B$26+Inputs!$B$29,IF(Skills!C25=3,120+Inputs!$B$27+Inputs!$B$29,MAX(0,(Inputs!$B$3-100)*3)+Inputs!$B$28+Inputs!$B$29)))</f>
        <v/>
      </c>
      <c r="E248">
        <f>INDEX(FactorTable!$B$2:$Y$301, MATCH(ROUND(MIN(300,MAX(1,D248)),0), FactorTable!$A$2:$A$301,0), Skills!M25+1)</f>
        <v/>
      </c>
      <c r="F248">
        <f>IF(Skills!N25=TRUE,(Skills!L25/10)*(E248/1000),Skills!L25/10)+Skills!O25</f>
        <v/>
      </c>
      <c r="G248">
        <f>Skills!G25*IF(Skills!H25&gt;0,IF(Inputs!$B$39="pvp",MIN(Skills!I25,15),Skills!I25)/Skills!H25,1)</f>
        <v/>
      </c>
      <c r="H248">
        <f>1-(1-Skills!J25/100)^Skills!K25</f>
        <v/>
      </c>
      <c r="I248" t="inlineStr">
        <is>
          <t>1</t>
        </is>
      </c>
      <c r="J248" t="inlineStr"/>
      <c r="K248" t="inlineStr"/>
      <c r="L248" t="inlineStr"/>
      <c r="M248" t="inlineStr"/>
      <c r="N248" t="inlineStr"/>
      <c r="O248">
        <f>(1-Summary!$B$11)*T248+Summary!$B$11*V248</f>
        <v/>
      </c>
      <c r="P248">
        <f>IF(B269=0,0,O248/B269)</f>
        <v/>
      </c>
      <c r="Q248" t="n">
        <v>0</v>
      </c>
      <c r="R248" t="n">
        <v>0</v>
      </c>
      <c r="S248">
        <f>IFERROR(O248/N248,0)</f>
        <v/>
      </c>
      <c r="T248" t="n">
        <v>0</v>
      </c>
      <c r="V248" t="n">
        <v>0</v>
      </c>
    </row>
    <row r="249">
      <c r="A249">
        <f>Skills!A26</f>
        <v/>
      </c>
      <c r="B249">
        <f>Skills!B26</f>
        <v/>
      </c>
      <c r="C249">
        <f>Inputs!$B$3&gt;=50</f>
        <v/>
      </c>
      <c r="D249">
        <f>IF(Skills!C26=1,60+Inputs!$B$25+Inputs!$B$29,IF(Skills!C26=2,90+Inputs!$B$26+Inputs!$B$29,IF(Skills!C26=3,120+Inputs!$B$27+Inputs!$B$29,MAX(0,(Inputs!$B$3-100)*3)+Inputs!$B$28+Inputs!$B$29)))</f>
        <v/>
      </c>
      <c r="E249">
        <f>INDEX(FactorTable!$B$2:$Y$301, MATCH(ROUND(MIN(300,MAX(1,D249)),0), FactorTable!$A$2:$A$301,0), Skills!M26+1)</f>
        <v/>
      </c>
      <c r="F249">
        <f>IF(Skills!N26=TRUE,(Skills!L26/10)*(E249/1000),Skills!L26/10)+Skills!O26</f>
        <v/>
      </c>
      <c r="G249">
        <f>Skills!G26*IF(Skills!H26&gt;0,IF(Inputs!$B$39="pvp",MIN(Skills!I26,15),Skills!I26)/Skills!H26,1)</f>
        <v/>
      </c>
      <c r="H249">
        <f>1-(1-Skills!J26/100)^Skills!K26</f>
        <v/>
      </c>
      <c r="I249" t="inlineStr">
        <is>
          <t>1</t>
        </is>
      </c>
      <c r="J249" t="inlineStr"/>
      <c r="K249" t="inlineStr"/>
      <c r="L249" t="inlineStr"/>
      <c r="M249" t="inlineStr"/>
      <c r="N249" t="inlineStr"/>
      <c r="O249">
        <f>(1-Summary!$B$11)*T249+Summary!$B$11*V249</f>
        <v/>
      </c>
      <c r="P249">
        <f>IF(B269=0,0,O249/B269)</f>
        <v/>
      </c>
      <c r="Q249" t="n">
        <v>0</v>
      </c>
      <c r="R249" t="n">
        <v>0</v>
      </c>
      <c r="S249">
        <f>IFERROR(O249/N249,0)</f>
        <v/>
      </c>
      <c r="T249" t="n">
        <v>0</v>
      </c>
      <c r="V249" t="n">
        <v>0</v>
      </c>
    </row>
    <row r="250">
      <c r="A250">
        <f>Skills!A27</f>
        <v/>
      </c>
      <c r="B250">
        <f>Skills!B27</f>
        <v/>
      </c>
      <c r="C250">
        <f>Inputs!$B$3&gt;=50</f>
        <v/>
      </c>
      <c r="D250">
        <f>IF(Skills!C27=1,60+Inputs!$B$25+Inputs!$B$29,IF(Skills!C27=2,90+Inputs!$B$26+Inputs!$B$29,IF(Skills!C27=3,120+Inputs!$B$27+Inputs!$B$29,MAX(0,(Inputs!$B$3-100)*3)+Inputs!$B$28+Inputs!$B$29)))</f>
        <v/>
      </c>
      <c r="E250">
        <f>INDEX(FactorTable!$B$2:$Y$301, MATCH(ROUND(MIN(300,MAX(1,D250)),0), FactorTable!$A$2:$A$301,0), Skills!M27+1)</f>
        <v/>
      </c>
      <c r="F250">
        <f>IF(Skills!N27=TRUE,(Skills!L27/10)*(E250/1000),Skills!L27/10)+Skills!O27</f>
        <v/>
      </c>
      <c r="G250">
        <f>Skills!G27*IF(Skills!H27&gt;0,IF(Inputs!$B$39="pvp",MIN(Skills!I27,15),Skills!I27)/Skills!H27,1)</f>
        <v/>
      </c>
      <c r="H250">
        <f>1-(1-Skills!J27/100)^Skills!K27</f>
        <v/>
      </c>
      <c r="I250" t="inlineStr">
        <is>
          <t>1</t>
        </is>
      </c>
      <c r="J250" t="inlineStr"/>
      <c r="K250" t="inlineStr"/>
      <c r="L250" t="inlineStr"/>
      <c r="M250" t="inlineStr"/>
      <c r="N250" t="inlineStr"/>
      <c r="O250">
        <f>(1-Summary!$B$11)*T250+Summary!$B$11*V250</f>
        <v/>
      </c>
      <c r="P250">
        <f>IF(B269=0,0,O250/B269)</f>
        <v/>
      </c>
      <c r="Q250" t="n">
        <v>0</v>
      </c>
      <c r="R250" t="n">
        <v>0</v>
      </c>
      <c r="S250">
        <f>IFERROR(O250/N250,0)</f>
        <v/>
      </c>
      <c r="T250" t="n">
        <v>0</v>
      </c>
      <c r="V250" t="n">
        <v>0</v>
      </c>
    </row>
    <row r="251">
      <c r="A251">
        <f>Skills!A28</f>
        <v/>
      </c>
      <c r="B251">
        <f>Skills!B28</f>
        <v/>
      </c>
      <c r="C251">
        <f>Inputs!$B$3&gt;=38</f>
        <v/>
      </c>
      <c r="D251">
        <f>IF(Skills!C28=1,60+Inputs!$B$25+Inputs!$B$29,IF(Skills!C28=2,90+Inputs!$B$26+Inputs!$B$29,IF(Skills!C28=3,120+Inputs!$B$27+Inputs!$B$29,MAX(0,(Inputs!$B$3-100)*3)+Inputs!$B$28+Inputs!$B$29)))</f>
        <v/>
      </c>
      <c r="E251">
        <f>INDEX(FactorTable!$B$2:$Y$301, MATCH(ROUND(MIN(300,MAX(1,D251)),0), FactorTable!$A$2:$A$301,0), Skills!M28+1)</f>
        <v/>
      </c>
      <c r="F251">
        <f>IF(Skills!N28=TRUE,(Skills!L28/10)*(E251/1000),Skills!L28/10)+Skills!O28</f>
        <v/>
      </c>
      <c r="G251">
        <f>Skills!G28*IF(Skills!H28&gt;0,IF(Inputs!$B$39="pvp",MIN(Skills!I28,15),Skills!I28)/Skills!H28,1)</f>
        <v/>
      </c>
      <c r="H251">
        <f>1-(1-Skills!J28/100)^Skills!K28</f>
        <v/>
      </c>
      <c r="I251" t="inlineStr">
        <is>
          <t>1</t>
        </is>
      </c>
      <c r="J251" t="inlineStr"/>
      <c r="K251" t="inlineStr"/>
      <c r="L251" t="inlineStr"/>
      <c r="M251" t="inlineStr"/>
      <c r="N251" t="inlineStr"/>
      <c r="O251">
        <f>(1-Summary!$B$11)*T251+Summary!$B$11*V251</f>
        <v/>
      </c>
      <c r="P251">
        <f>IF(B269=0,0,O251/B269)</f>
        <v/>
      </c>
      <c r="Q251" t="n">
        <v>0</v>
      </c>
      <c r="R251" t="n">
        <v>0</v>
      </c>
      <c r="S251">
        <f>IFERROR(O251/N251,0)</f>
        <v/>
      </c>
      <c r="T251" t="n">
        <v>0</v>
      </c>
      <c r="V251" t="n">
        <v>0</v>
      </c>
    </row>
    <row r="252">
      <c r="A252">
        <f>Skills!A29</f>
        <v/>
      </c>
      <c r="B252">
        <f>Skills!B29</f>
        <v/>
      </c>
      <c r="C252">
        <f>Inputs!$B$3&gt;=120</f>
        <v/>
      </c>
      <c r="D252">
        <f>IF(Skills!C29=1,60+Inputs!$B$25+Inputs!$B$29,IF(Skills!C29=2,90+Inputs!$B$26+Inputs!$B$29,IF(Skills!C29=3,120+Inputs!$B$27+Inputs!$B$29,MAX(0,(Inputs!$B$3-100)*3)+Inputs!$B$28+Inputs!$B$29)))</f>
        <v/>
      </c>
      <c r="E252">
        <f>INDEX(FactorTable!$B$2:$Y$301, MATCH(ROUND(MIN(300,MAX(1,D252)),0), FactorTable!$A$2:$A$301,0), Skills!M29+1)</f>
        <v/>
      </c>
      <c r="F252">
        <f>IF(Skills!N29=TRUE,(Skills!L29/10)*(E252/1000),Skills!L29/10)+Skills!O29</f>
        <v/>
      </c>
      <c r="G252">
        <f>Skills!G29*IF(Skills!H29&gt;0,IF(Inputs!$B$39="pvp",MIN(Skills!I29,15),Skills!I29)/Skills!H29,1)</f>
        <v/>
      </c>
      <c r="H252">
        <f>1-(1-Skills!J29/100)^Skills!K29</f>
        <v/>
      </c>
      <c r="I252" t="inlineStr">
        <is>
          <t>1</t>
        </is>
      </c>
      <c r="J252" t="inlineStr"/>
      <c r="K252" t="inlineStr"/>
      <c r="L252" t="inlineStr"/>
      <c r="M252" t="inlineStr"/>
      <c r="N252" t="inlineStr"/>
      <c r="O252">
        <f>(1-Summary!$B$11)*T252+Summary!$B$11*V252</f>
        <v/>
      </c>
      <c r="P252">
        <f>IF(B269=0,0,O252/B269)</f>
        <v/>
      </c>
      <c r="Q252" t="n">
        <v>0</v>
      </c>
      <c r="R252" t="n">
        <v>0</v>
      </c>
      <c r="S252">
        <f>IFERROR(O252/N252,0)</f>
        <v/>
      </c>
      <c r="T252" t="n">
        <v>0</v>
      </c>
      <c r="V252" t="n">
        <v>0</v>
      </c>
    </row>
    <row r="253">
      <c r="A253">
        <f>Skills!A30</f>
        <v/>
      </c>
      <c r="B253">
        <f>Skills!B30</f>
        <v/>
      </c>
      <c r="C253">
        <f>Inputs!$B$3&gt;=120</f>
        <v/>
      </c>
      <c r="D253">
        <f>IF(Skills!C30=1,60+Inputs!$B$25+Inputs!$B$29,IF(Skills!C30=2,90+Inputs!$B$26+Inputs!$B$29,IF(Skills!C30=3,120+Inputs!$B$27+Inputs!$B$29,MAX(0,(Inputs!$B$3-100)*3)+Inputs!$B$28+Inputs!$B$29)))</f>
        <v/>
      </c>
      <c r="E253">
        <f>INDEX(FactorTable!$B$2:$Y$301, MATCH(ROUND(MIN(300,MAX(1,D253)),0), FactorTable!$A$2:$A$301,0), Skills!M30+1)</f>
        <v/>
      </c>
      <c r="F253">
        <f>IF(Skills!N30=TRUE,(Skills!L30/10)*(E253/1000),Skills!L30/10)+Skills!O30</f>
        <v/>
      </c>
      <c r="G253">
        <f>Skills!G30*IF(Skills!H30&gt;0,IF(Inputs!$B$39="pvp",MIN(Skills!I30,15),Skills!I30)/Skills!H30,1)</f>
        <v/>
      </c>
      <c r="H253">
        <f>1-(1-Skills!J30/100)^Skills!K30</f>
        <v/>
      </c>
      <c r="I253" t="inlineStr">
        <is>
          <t>1</t>
        </is>
      </c>
      <c r="J253" t="inlineStr"/>
      <c r="K253" t="inlineStr"/>
      <c r="L253" t="inlineStr"/>
      <c r="M253" t="inlineStr"/>
      <c r="N253" t="inlineStr"/>
      <c r="O253">
        <f>(1-Summary!$B$11)*T253+Summary!$B$11*V253</f>
        <v/>
      </c>
      <c r="P253">
        <f>IF(B269=0,0,O253/B269)</f>
        <v/>
      </c>
      <c r="Q253" t="n">
        <v>0</v>
      </c>
      <c r="R253" t="n">
        <v>0</v>
      </c>
      <c r="S253">
        <f>IFERROR(O253/N253,0)</f>
        <v/>
      </c>
      <c r="T253" t="n">
        <v>0</v>
      </c>
      <c r="V253" t="n">
        <v>0</v>
      </c>
    </row>
    <row r="254">
      <c r="A254">
        <f>Skills!A31</f>
        <v/>
      </c>
      <c r="B254">
        <f>Skills!B31</f>
        <v/>
      </c>
      <c r="C254">
        <f>Inputs!$B$3&gt;=125</f>
        <v/>
      </c>
      <c r="D254">
        <f>IF(Skills!C31=1,60+Inputs!$B$25+Inputs!$B$29,IF(Skills!C31=2,90+Inputs!$B$26+Inputs!$B$29,IF(Skills!C31=3,120+Inputs!$B$27+Inputs!$B$29,MAX(0,(Inputs!$B$3-100)*3)+Inputs!$B$28+Inputs!$B$29)))</f>
        <v/>
      </c>
      <c r="E254">
        <f>INDEX(FactorTable!$B$2:$Y$301, MATCH(ROUND(MIN(300,MAX(1,D254)),0), FactorTable!$A$2:$A$301,0), Skills!M31+1)</f>
        <v/>
      </c>
      <c r="F254">
        <f>IF(Skills!N31=TRUE,(Skills!L31/10)*(E254/1000),Skills!L31/10)+Skills!O31</f>
        <v/>
      </c>
      <c r="G254">
        <f>Skills!G31*IF(Skills!H31&gt;0,IF(Inputs!$B$39="pvp",MIN(Skills!I31,15),Skills!I31)/Skills!H31,1)</f>
        <v/>
      </c>
      <c r="H254">
        <f>1-(1-Skills!J31/100)^Skills!K31</f>
        <v/>
      </c>
      <c r="I254" t="inlineStr">
        <is>
          <t>1</t>
        </is>
      </c>
      <c r="J254" t="inlineStr"/>
      <c r="K254" t="inlineStr"/>
      <c r="L254" t="inlineStr"/>
      <c r="M254" t="inlineStr"/>
      <c r="N254" t="inlineStr"/>
      <c r="O254">
        <f>(1-Summary!$B$11)*T254+Summary!$B$11*V254</f>
        <v/>
      </c>
      <c r="P254">
        <f>IF(B269=0,0,O254/B269)</f>
        <v/>
      </c>
      <c r="Q254" t="n">
        <v>0</v>
      </c>
      <c r="R254" t="n">
        <v>0</v>
      </c>
      <c r="S254">
        <f>IFERROR(O254/N254,0)</f>
        <v/>
      </c>
      <c r="T254" t="n">
        <v>0</v>
      </c>
      <c r="V254" t="n">
        <v>0</v>
      </c>
    </row>
    <row r="256">
      <c r="A256" t="inlineStr">
        <is>
          <t>Average Buff Multiplier</t>
        </is>
      </c>
      <c r="B256">
        <f>(1+(((C245=TRUE)*F245*IF(AND(Inputs!$B$39&lt;&gt;"pvp",Inputs!$B$44&gt;0),(((R245-1)*MIN((Skills!Y22*(1+Inputs!$B$34/100)),(1/Q245))+MIN((Skills!Y22*(1+Inputs!$B$34/100)),MAX(0,Inputs!$B$44-((R245-1)*(1/Q245)))))/Inputs!$B$44),IF(Inputs!$B$39="pvp",MIN((Skills!Y22*(1+Inputs!$B$34/100)),15)/15,MIN(1,(Skills!Y22*(1+Inputs!$B$34/100))/(1/Q245)))))+((C226=TRUE)*F226*3)+((C228=TRUE)*F228*(1-EXP(-0.75*B261*5)))+((C247=TRUE)*(F247-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234=TRUE)*F234*IF(AND(Inputs!$B$39&lt;&gt;"pvp",Inputs!$B$44&gt;0),(((R234-1)*MIN((Skills!Y11*(1+Inputs!$B$34/100)),(1/Q234))+MIN((Skills!Y11*(1+Inputs!$B$34/100)),MAX(0,Inputs!$B$44-((R234-1)*(1/Q234)))))/Inputs!$B$44),IF(Inputs!$B$39="pvp",MIN((Skills!Y11*(1+Inputs!$B$34/100)),15)/15,MIN(1,(Skills!Y11*(1+Inputs!$B$34/100))/(1/Q234)))))/100)*(1+((C239=TRUE)*F239*IF(AND(Inputs!$B$39&lt;&gt;"pvp",Inputs!$B$44&gt;0),(((R239-1)*MIN((Skills!Y16*(1+Inputs!$B$34/100)),(1/Q239))+MIN((Skills!Y16*(1+Inputs!$B$34/100)),MAX(0,Inputs!$B$44-((R239-1)*(1/Q239)))))/Inputs!$B$44),IF(Inputs!$B$39="pvp",MIN((Skills!Y16*(1+Inputs!$B$34/100)),15)/15,MIN(1,(Skills!Y16*(1+Inputs!$B$34/100))/(1/Q239)))))/100)</f>
        <v/>
      </c>
    </row>
    <row r="257">
      <c r="A257" t="inlineStr">
        <is>
          <t>Global Crit Rate Bonus %</t>
        </is>
      </c>
      <c r="B257">
        <f>((C244=TRUE)*F244*IF(AND(Inputs!$B$39&lt;&gt;"pvp",Inputs!$B$44&gt;0),(((R244-1)*MIN((Skills!Y21*(1+Inputs!$B$34/100)),(1/Q244))+MIN((Skills!Y21*(1+Inputs!$B$34/100)),MAX(0,Inputs!$B$44-((R244-1)*(1/Q244)))))/Inputs!$B$44),IF(Inputs!$B$39="pvp",MIN((Skills!Y21*(1+Inputs!$B$34/100)),15)/15,MIN(1,(Skills!Y21*(1+Inputs!$B$34/100))/(1/Q244)))))</f>
        <v/>
      </c>
    </row>
    <row r="258">
      <c r="A258" t="inlineStr">
        <is>
          <t>Global Monster Damage-Taken Bonus %</t>
        </is>
      </c>
      <c r="B258">
        <f>IF(Inputs!$B$3&gt;=82,15,0)</f>
        <v/>
      </c>
    </row>
    <row r="259">
      <c r="A259" t="inlineStr">
        <is>
          <t>Shadow Partner Average Multiplier</t>
        </is>
      </c>
      <c r="B259">
        <f>1+((C231=TRUE)*F231*(1+3.3333333333333335*IF(C242=TRUE,F242,0)/100)*I231*Skills!J8/100)/100</f>
        <v/>
      </c>
    </row>
    <row r="260">
      <c r="A260" t="inlineStr">
        <is>
          <t>Attack Speed Buff Bonus %</t>
        </is>
      </c>
      <c r="B260">
        <f>((C243=TRUE)*F243*IF(AND(Inputs!$B$39&lt;&gt;"pvp",Inputs!$B$44&gt;0),(((R243-1)*MIN((Skills!Y20*(1+Inputs!$B$34/100)),(1/Q243))+MIN((Skills!Y20*(1+Inputs!$B$34/100)),MAX(0,Inputs!$B$44-((R243-1)*(1/Q243)))))/Inputs!$B$44),IF(Inputs!$B$39="pvp",MIN((Skills!Y20*(1+Inputs!$B$34/100)),15)/15,MIN(1,(Skills!Y20*(1+Inputs!$B$34/100))/(1/Q243)))))</f>
        <v/>
      </c>
    </row>
    <row r="261">
      <c r="A261" t="inlineStr">
        <is>
          <t>Actions Per Second</t>
        </is>
      </c>
      <c r="B261">
        <f>1+MIN(150,150*(1-(1-(Inputs!$B$11+((C246=TRUE)*(F246-Calc!F23)))/150)*(1-B260/150)))/100</f>
        <v/>
      </c>
    </row>
    <row r="262">
      <c r="A262" t="inlineStr">
        <is>
          <t>Skill + Buff Cast Rate</t>
        </is>
      </c>
      <c r="B262">
        <f>IF(AND(Inputs!$B$39&lt;&gt;"pvp",Inputs!$B$44&gt;0),SUMPRODUCT((Skills!E2:E31=TRUE)*(C225:C254=TRUE)*R225:R254*Skills!F2:F31)/Inputs!$B$44,SUMPRODUCT((Skills!E2:E31=TRUE)*(C225:C254=TRUE)*Q225:Q254*Skills!F2:F31))</f>
        <v/>
      </c>
    </row>
    <row r="263">
      <c r="A263" t="inlineStr">
        <is>
          <t>Cruel Stab Casts Per Second</t>
        </is>
      </c>
      <c r="B263">
        <f>MAX(0,B261-B262)</f>
        <v/>
      </c>
    </row>
    <row r="264">
      <c r="A264" t="inlineStr">
        <is>
          <t>Global Critical Damage Bonus % (Smokescreen Mastery Lv.113)</t>
        </is>
      </c>
      <c r="B264">
        <f>IF(Inputs!$B$3&gt;=113,30,0)*IF(AND(Inputs!$B$39&lt;&gt;"pvp",Inputs!$B$44&gt;0),(((R239-1)*MIN((Skills!Y16*(1+Inputs!$B$34/100)),(1/Q239))+MIN((Skills!Y16*(1+Inputs!$B$34/100)),MAX(0,Inputs!$B$44-((R239-1)*(1/Q239)))))/Inputs!$B$44),IF(Inputs!$B$39="pvp",MIN((Skills!Y16*(1+Inputs!$B$34/100)),15)/15,MIN(1,(Skills!Y16*(1+Inputs!$B$34/100))/(1/Q239))))</f>
        <v/>
      </c>
    </row>
    <row r="265">
      <c r="A265" t="inlineStr">
        <is>
          <t>Meso Explosion average stack count</t>
        </is>
      </c>
      <c r="B265">
        <f>MIN(10,IF(Inputs!$B$3&gt;=75,0.75,0.5)*B261*(1/Q227))</f>
        <v/>
      </c>
    </row>
    <row r="266">
      <c r="A266" t="inlineStr">
        <is>
          <t>Blood Money average stack count</t>
        </is>
      </c>
      <c r="B266">
        <f>MIN(5,0.5*IF(Inputs!$B$3&gt;=75,0.75,0.5)*B261*(1/Q227))</f>
        <v/>
      </c>
    </row>
    <row r="267">
      <c r="A267" t="inlineStr">
        <is>
          <t>Assassinate Murderous Intent Multiplier</t>
        </is>
      </c>
      <c r="B267">
        <f>1+IFERROR(MIN(1,Q238*2/Q235),0)</f>
        <v/>
      </c>
    </row>
    <row r="268">
      <c r="A268" t="inlineStr">
        <is>
          <t>Buff-Casting Startup Delay (s, fixed-duration only)</t>
        </is>
      </c>
      <c r="B268">
        <f>IF(AND(Inputs!$B$39&lt;&gt;"pvp",Inputs!$B$44&gt;0),SUMPRODUCT((Skills!Y2:Y31&gt;0)*(Skills!E2:E31=TRUE)*(C225:C254=TRUE))/B261,0)</f>
        <v/>
      </c>
    </row>
    <row r="269">
      <c r="A269" s="6" t="inlineStr">
        <is>
          <t>TOTAL DPS</t>
        </is>
      </c>
      <c r="B269" s="6">
        <f>SUM(O225:O254)</f>
        <v/>
      </c>
    </row>
    <row r="270">
      <c r="A270" t="inlineStr">
        <is>
          <t>Boss-Only Total DPS (this block's swept value)</t>
        </is>
      </c>
      <c r="B270">
        <f>SUM(T225:T254)</f>
        <v/>
      </c>
    </row>
    <row r="271">
      <c r="A271" t="inlineStr">
        <is>
          <t>Normal-Only Total DPS (this block's swept value)</t>
        </is>
      </c>
      <c r="B271">
        <f>SUM(V225:V254)</f>
        <v/>
      </c>
    </row>
    <row r="274">
      <c r="A274" s="6" t="inlineStr">
        <is>
          <t>Stat: DAMAGE_AMP %</t>
        </is>
      </c>
    </row>
    <row r="275">
      <c r="A275" s="5" t="inlineStr">
        <is>
          <t>Key</t>
        </is>
      </c>
      <c r="B275" s="5" t="inlineStr">
        <is>
          <t>Name</t>
        </is>
      </c>
      <c r="C275" s="5" t="inlineStr">
        <is>
          <t>Unlocked</t>
        </is>
      </c>
      <c r="D275" s="5" t="inlineStr">
        <is>
          <t>InputLevel</t>
        </is>
      </c>
      <c r="E275" s="5" t="inlineStr">
        <is>
          <t>Factor</t>
        </is>
      </c>
      <c r="F275" s="5" t="inlineStr">
        <is>
          <t>CoefficientPercent</t>
        </is>
      </c>
      <c r="G275" s="5" t="inlineStr">
        <is>
          <t>EffectiveHits</t>
        </is>
      </c>
      <c r="H275" s="5" t="inlineStr">
        <is>
          <t>ProcProbability</t>
        </is>
      </c>
      <c r="I275" s="5" t="inlineStr">
        <is>
          <t>MapleHeroMultiplier</t>
        </is>
      </c>
      <c r="J275" s="5" t="inlineStr">
        <is>
          <t>BaseDamage</t>
        </is>
      </c>
      <c r="K275" s="5" t="inlineStr">
        <is>
          <t>BaseHitDamage</t>
        </is>
      </c>
      <c r="L275" s="5" t="inlineStr">
        <is>
          <t>NonCritAvg</t>
        </is>
      </c>
      <c r="M275" s="5" t="inlineStr">
        <is>
          <t>CritAvg</t>
        </is>
      </c>
      <c r="N275" s="5" t="inlineStr">
        <is>
          <t>ExpectedDamage(perHit)</t>
        </is>
      </c>
      <c r="O275" s="5" t="inlineStr">
        <is>
          <t>DPS</t>
        </is>
      </c>
      <c r="P275" s="5" t="inlineStr">
        <is>
          <t>% of Total</t>
        </is>
      </c>
      <c r="Q275" s="5" t="inlineStr">
        <is>
          <t>InvCooldown</t>
        </is>
      </c>
      <c r="R275" s="5" t="inlineStr">
        <is>
          <t>CastsInFight</t>
        </is>
      </c>
      <c r="S275" s="5" t="inlineStr">
        <is>
          <t>HitRate(perSec)</t>
        </is>
      </c>
      <c r="U275" t="inlineStr">
        <is>
          <t>helpers</t>
        </is>
      </c>
    </row>
    <row r="276">
      <c r="A276">
        <f>Skills!A2</f>
        <v/>
      </c>
      <c r="B276">
        <f>Skills!B2</f>
        <v/>
      </c>
      <c r="C276">
        <f>Inputs!$B$3&gt;=100</f>
        <v/>
      </c>
      <c r="D276" t="inlineStr"/>
      <c r="E276" t="inlineStr"/>
      <c r="F276">
        <f>U278+Skills!O2</f>
        <v/>
      </c>
      <c r="G276">
        <f>Skills!G2*IF(Skills!H2&gt;0,IF(Inputs!$B$39="pvp",MIN(Skills!I2,15),Skills!I2)/Skills!H2,1)</f>
        <v/>
      </c>
      <c r="H276">
        <f>1-(1-Skills!J2/100)^Skills!K2</f>
        <v/>
      </c>
      <c r="I276" t="inlineStr">
        <is>
          <t>1</t>
        </is>
      </c>
      <c r="J276">
        <f>((Inputs!$B$6*(1+Inputs!$B$7/100))+(((Inputs!$B$12*(1+Inputs!$B$13/100))-(Inputs!$B$12*(1+Inputs!$B$13/100)))+0.25*(Inputs!$B$14-Inputs!$B$14))*(1+Inputs!$B$7/100))*(F276/100)</f>
        <v/>
      </c>
      <c r="K276">
        <f>J276*(1+((Inputs!$B$12*(1+Inputs!$B$13/100))*0.01+Inputs!$B$14*0.0025)/100)*(1+Inputs!$B$15/100)*(1+(Inputs!$B$16+1)/100)*(5000/(6000+Inputs!$B$43*(1-(100*(1-(1-Inputs!$B$19/100)*(1-CHOOSE(ArtifactsInput!$N$40+1,5,6,7,8,9,10)/100)^(ArtifactsInput!$M$40-ArtifactsInput!$M$40)))/100)))*(1+(Inputs!$B$24+((C305=TRUE)*(F305-Calc!F31))+((C292=TRUE)*(F292-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CRUEL_STAB",Inputs!$B$17+((C302=TRUE)*(F302-Calc!F28))+((IF(AND(Inputs!$B$39&lt;&gt;"pvp",Inputs!$B$44=0),1,IF(IF(Inputs!$B$39="pvp",15,Inputs!$B$44)-(B319)&lt;=0,1,MAX(0,IF(Inputs!$B$39="pvp",15,Inputs!$B$44)-MAX(5,B319))/(IF(Inputs!$B$39="pvp",15,Inputs!$B$44)-(B319))))*(IF(AND(ArtifactsInput!$M$42,((Inputs!$B$9+((C300=TRUE)*(F300-Calc!F26))+B308+(ArtifactsInput!$M$24-ArtifactsInput!$M$24)*CHOOSE(ArtifactsInput!$N$24+1,10,12,14,16,18,20)+IF(ArtifactsInput!$M$10,CHOOSE(ArtifactsInput!$N$10+1,15,18,21,24,27,30)*(IF(Inputs!$B$39="pvp",MIN(15,15)/15,IF(AND(Inputs!$B$39&lt;&gt;"pvp",Inputs!$B$44&gt;0),MIN(15,Inputs!$B$44)/(Inputs!$B$44),0))),0)))&gt;=100),MIN(100,((Inputs!$B$9+((C300=TRUE)*(F300-Calc!F26))+B308+(ArtifactsInput!$M$24-ArtifactsInput!$M$24)*CHOOSE(ArtifactsInput!$N$24+1,10,12,14,16,18,20)+IF(ArtifactsInput!$M$10,CHOOSE(ArtifactsInput!$N$10+1,15,18,21,24,27,30)*(IF(Inputs!$B$39="pvp",MIN(15,15)/15,IF(AND(Inputs!$B$39&lt;&gt;"pvp",Inputs!$B$44&gt;0),MIN(15,Inputs!$B$44)/(Inputs!$B$44),0))),0)))-100),0))*CHOOSE(ArtifactsInput!$N$42+1,0.6,0.72,0.84,0.96,1.08,1.2))),Inputs!$B$18+((C303=TRUE)*(F303-Calc!F29))+(IF(AND(Inputs!$B$39&lt;&gt;"pvp",Inputs!$B$44=0),1,IF(IF(Inputs!$B$39="pvp",15,Inputs!$B$44)-(B319)&lt;=0,1,MAX(0,IF(Inputs!$B$39="pvp",15,Inputs!$B$44)-MAX(5,B319))/(IF(Inputs!$B$39="pvp",15,Inputs!$B$44)-(B319))))*IF(AND(ArtifactsInput!$M$42,((Inputs!$B$9+((C300=TRUE)*(F300-Calc!F26))+B308+(ArtifactsInput!$M$24-ArtifactsInput!$M$24)*CHOOSE(ArtifactsInput!$N$24+1,10,12,14,16,18,20)+IF(ArtifactsInput!$M$10,CHOOSE(ArtifactsInput!$N$10+1,15,18,21,24,27,30)*(IF(Inputs!$B$39="pvp",MIN(15,15)/15,IF(AND(Inputs!$B$39&lt;&gt;"pvp",Inputs!$B$44&gt;0),MIN(15,Inputs!$B$44)/(Inputs!$B$44),0))),0)))&gt;=100),CHOOSE(ArtifactsInput!$N$42+1,40,48,56,64,72,80),0))))/100)*(((1+(((C296=TRUE)*F296*IF(AND(Inputs!$B$39&lt;&gt;"pvp",Inputs!$B$44&gt;0),(((R296-1)*MIN((Skills!Y22*(1+Inputs!$B$34/100)),(1/Q296))+MIN((Skills!Y22*(1+Inputs!$B$34/100)),MAX(0,Inputs!$B$44-((R296-1)*(1/Q296)))))/Inputs!$B$44),IF(Inputs!$B$39="pvp",MIN((Skills!Y22*(1+Inputs!$B$34/100)),15)/15,MIN(1,(Skills!Y22*(1+Inputs!$B$34/100))/(1/Q296)))))+((C277=TRUE)*F277*3)+((C279=TRUE)*F279*(1-EXP(-0.75*B312*5)))+((C298=TRUE)*(F298-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285=TRUE)*F285*IF(AND(Inputs!$B$39&lt;&gt;"pvp",Inputs!$B$44&gt;0),(((R285-1)*MIN((Skills!Y11*(1+Inputs!$B$34/100)),(1/Q285))+MIN((Skills!Y11*(1+Inputs!$B$34/100)),MAX(0,Inputs!$B$44-((R285-1)*(1/Q285)))))/Inputs!$B$44),IF(Inputs!$B$39="pvp",MIN((Skills!Y11*(1+Inputs!$B$34/100)),15)/15,MIN(1,(Skills!Y11*(1+Inputs!$B$34/100))/(1/Q285)))))/100)*(1+((C290=TRUE)*F290*IF(AND(Inputs!$B$39&lt;&gt;"pvp",Inputs!$B$44&gt;0),(((R290-1)*MIN((Skills!Y16*(1+Inputs!$B$34/100)),(1/Q290))+MIN((Skills!Y16*(1+Inputs!$B$34/100)),MAX(0,Inputs!$B$44-((R290-1)*(1/Q290)))))/Inputs!$B$44),IF(Inputs!$B$39="pvp",MIN((Skills!Y16*(1+Inputs!$B$34/100)),15)/15,MIN(1,(Skills!Y16*(1+Inputs!$B$34/100))/(1/Q290)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310*I276)</f>
        <v/>
      </c>
      <c r="L276">
        <f>K276*(MIN(Inputs!$B$22+((C299=TRUE)*(F299-Calc!F25)),(Inputs!$B$23+((C304=TRUE)*(F304-Calc!F30))+IF(ArtifactsInput!$M$15,CHOOSE(ArtifactsInput!$N$15+1,25,30,35,40,45,50)/100*(Inputs!$B$11-Inputs!$B$11),0)))/100+(Inputs!$B$23+((C304=TRUE)*(F304-Calc!F30))+IF(ArtifactsInput!$M$15,CHOOSE(ArtifactsInput!$N$15+1,25,30,35,40,45,50)/100*(Inputs!$B$11-Inputs!$B$11),0))/100)/2</f>
        <v/>
      </c>
      <c r="M276">
        <f>L276*(1+(Inputs!$B$10+((C301=TRUE)*(F301-Calc!F27))+B315+(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276">
        <f>L276*(1-MIN((Inputs!$B$9+((C300=TRUE)*(F300-Calc!F26))+B308+(ArtifactsInput!$M$24-ArtifactsInput!$M$24)*CHOOSE(ArtifactsInput!$N$24+1,10,12,14,16,18,20)+(IF(AND(Inputs!$B$39&lt;&gt;"pvp",Inputs!$B$44=0),1,IF(IF(Inputs!$B$39="pvp",15,Inputs!$B$44)-(B319)&lt;=0,1,MAX(0,IF(Inputs!$B$39="pvp",15,Inputs!$B$44)-MAX(5,B319))/(IF(Inputs!$B$39="pvp",15,Inputs!$B$44)-(B319))))*IF(AND(ArtifactsInput!$M$42,((Inputs!$B$9+((C300=TRUE)*(F300-Calc!F26))+B308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276*(MIN((Inputs!$B$9+((C300=TRUE)*(F300-Calc!F26))+B308+(ArtifactsInput!$M$24-ArtifactsInput!$M$24)*CHOOSE(ArtifactsInput!$N$24+1,10,12,14,16,18,20)+(IF(AND(Inputs!$B$39&lt;&gt;"pvp",Inputs!$B$44=0),1,IF(IF(Inputs!$B$39="pvp",15,Inputs!$B$44)-(B319)&lt;=0,1,MAX(0,IF(Inputs!$B$39="pvp",15,Inputs!$B$44)-MAX(5,B319))/(IF(Inputs!$B$39="pvp",15,Inputs!$B$44)-(B319))))*IF(AND(ArtifactsInput!$M$42,((Inputs!$B$9+((C300=TRUE)*(F300-Calc!F26))+B308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76">
        <f>(1-Summary!$B$11)*T276+Summary!$B$11*V276</f>
        <v/>
      </c>
      <c r="P276">
        <f>IF(B320=0,0,O276/B320)</f>
        <v/>
      </c>
      <c r="Q276" t="n">
        <v>0</v>
      </c>
      <c r="R276" t="n">
        <v>0</v>
      </c>
      <c r="S276">
        <f>IFERROR(O276/N276,0)</f>
        <v/>
      </c>
      <c r="T276">
        <f>IF(C276,(Skills!G2*N276*B314)*IF(Inputs!$B$39="pvp",1,1+(Inputs!$B$20+0+Skills!P2+B309+(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Hunt"),CHOOSE(ArtifactsInput!$N$35+1,15,18,21,24,27,30)*(1-EXP(-(0.2*B312)*5)),0)+IF(AND(ArtifactsInput!$M$22,Inputs!$B$4&lt;&gt;"Chapter Hunt"),CHOOSE(ArtifactsInput!$N$22+1,10,12,14,16,18,20)*((0*(((0.15*B312*5))^0/1)+1*(((0.15*B312*5))^1/1)+2*(((0.15*B312*5))^2/2)+3*(((0.15*B312*5))^3/6)+4*(((0.15*B312*5))^4/24)+5*(((0.15*B312*5))^5/120))/((((0.15*B312*5))^0/1)+(((0.15*B312*5))^1/1)+(((0.15*B312*5))^2/2)+(((0.15*B312*5))^3/6)+(((0.15*B312*5))^4/24)+(((0.15*B312*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276*(1-MIN(100,(Inputs!$B$9+((C300=TRUE)*(F300-Calc!F26))+B308+(ArtifactsInput!$M$24-ArtifactsInput!$M$24)*CHOOSE(ArtifactsInput!$N$24+1,10,12,14,16,18,20)+(IF(AND(Inputs!$B$39&lt;&gt;"pvp",Inputs!$B$44=0),1,IF(IF(Inputs!$B$39="pvp",15,Inputs!$B$44)-(B319)&lt;=0,1,MAX(0,IF(Inputs!$B$39="pvp",15,Inputs!$B$44)-MAX(5,B319))/(IF(Inputs!$B$39="pvp",15,Inputs!$B$44)-(B319))))*IF(AND(ArtifactsInput!$M$42,((Inputs!$B$9+((C300=TRUE)*(F300-Calc!F26))+B308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276*(MIN(100,(Inputs!$B$9+((C300=TRUE)*(F300-Calc!F26))+B308+(ArtifactsInput!$M$24-ArtifactsInput!$M$24)*CHOOSE(ArtifactsInput!$N$24+1,10,12,14,16,18,20)+(IF(AND(Inputs!$B$39&lt;&gt;"pvp",Inputs!$B$44=0),1,IF(IF(Inputs!$B$39="pvp",15,Inputs!$B$44)-(B319)&lt;=0,1,MAX(0,IF(Inputs!$B$39="pvp",15,Inputs!$B$44)-MAX(5,B319))/(IF(Inputs!$B$39="pvp",15,Inputs!$B$44)-(B319))))*IF(AND(ArtifactsInput!$M$42,((Inputs!$B$9+((C300=TRUE)*(F300-Calc!F26))+B308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276*(1-MIN(100,(Inputs!$B$9+((C300=TRUE)*(F300-Calc!F26))+B308+(ArtifactsInput!$M$24-ArtifactsInput!$M$24)*CHOOSE(ArtifactsInput!$N$24+1,10,12,14,16,18,20)+(IF(AND(Inputs!$B$39&lt;&gt;"pvp",Inputs!$B$44=0),1,IF(IF(Inputs!$B$39="pvp",15,Inputs!$B$44)-(B319)&lt;=0,1,MAX(0,IF(Inputs!$B$39="pvp",15,Inputs!$B$44)-MAX(5,B319))/(IF(Inputs!$B$39="pvp",15,Inputs!$B$44)-(B319))))*IF(AND(ArtifactsInput!$M$42,((Inputs!$B$9+((C300=TRUE)*(F300-Calc!F26))+B308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276*(MIN(100,(Inputs!$B$9+((C300=TRUE)*(F300-Calc!F26))+B308+(ArtifactsInput!$M$24-ArtifactsInput!$M$24)*CHOOSE(ArtifactsInput!$N$24+1,10,12,14,16,18,20)+(IF(AND(Inputs!$B$39&lt;&gt;"pvp",Inputs!$B$44=0),1,IF(IF(Inputs!$B$39="pvp",15,Inputs!$B$44)-(B319)&lt;=0,1,MAX(0,IF(Inputs!$B$39="pvp",15,Inputs!$B$44)-MAX(5,B319))/(IF(Inputs!$B$39="pvp",15,Inputs!$B$44)-(B319))))*IF(AND(ArtifactsInput!$M$42,((Inputs!$B$9+((C300=TRUE)*(F300-Calc!F26))+B308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276">
        <f>MAX(0,(Inputs!$B$3-100)*3)+Inputs!$B$28+Inputs!$B$29</f>
        <v/>
      </c>
      <c r="V276">
        <f>IF(C276,(Skills!G2*N276*B314)*IF(Inputs!$B$39="pvp",1,(1+(Inputs!$B$21+Skills!Q2+B309+(IF(ArtifactsInput!$M$33,CHOOSE(ArtifactsInput!$N$33+1,30,36,42,48,54,60),0))+(IF(AND(ArtifactsInput!$M$35,Inputs!$B$4&lt;&gt;"Chapter Hunt"),CHOOSE(ArtifactsInput!$N$35+1,15,18,21,24,27,30)*(1-EXP(-(0.2*B312)*5)),0)+IF(AND(ArtifactsInput!$M$22,Inputs!$B$4&lt;&gt;"Chapter Hunt"),CHOOSE(ArtifactsInput!$N$22+1,10,12,14,16,18,20)*((0*(((0.15*B312*5))^0/1)+1*(((0.15*B312*5))^1/1)+2*(((0.15*B312*5))^2/2)+3*(((0.15*B312*5))^3/6)+4*(((0.15*B312*5))^4/24)+5*(((0.15*B312*5))^5/120))/((((0.15*B312*5))^0/1)+(((0.15*B312*5))^1/1)+(((0.15*B312*5))^2/2)+(((0.15*B312*5))^3/6)+(((0.15*B312*5))^4/24)+(((0.15*B312*5))^5/120))),0)))/100)*(MIN((6+Inputs!$B$33),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77">
      <c r="A277">
        <f>Skills!A3</f>
        <v/>
      </c>
      <c r="B277">
        <f>Skills!B3</f>
        <v/>
      </c>
      <c r="C277">
        <f>Inputs!$B$3&gt;=35</f>
        <v/>
      </c>
      <c r="D277">
        <f>IF(Skills!C3=1,60+Inputs!$B$25+Inputs!$B$29,IF(Skills!C3=2,90+Inputs!$B$26+Inputs!$B$29,IF(Skills!C3=3,120+Inputs!$B$27+Inputs!$B$29,MAX(0,(Inputs!$B$3-100)*3)+Inputs!$B$28+Inputs!$B$29)))</f>
        <v/>
      </c>
      <c r="E277">
        <f>INDEX(FactorTable!$B$2:$Y$301, MATCH(ROUND(MIN(300,MAX(1,D277)),0), FactorTable!$A$2:$A$301,0), Skills!M3+1)</f>
        <v/>
      </c>
      <c r="F277">
        <f>IF(Skills!N3=TRUE,(Skills!L3/10)*(E277/1000),Skills!L3/10)+Skills!O3</f>
        <v/>
      </c>
      <c r="G277">
        <f>Skills!G3*IF(Skills!H3&gt;0,IF(Inputs!$B$39="pvp",MIN(Skills!I3,15),Skills!I3)/Skills!H3,1)</f>
        <v/>
      </c>
      <c r="H277">
        <f>1-(1-Skills!J3/100)^Skills!K3</f>
        <v/>
      </c>
      <c r="I277" t="inlineStr">
        <is>
          <t>1</t>
        </is>
      </c>
      <c r="J277" t="inlineStr"/>
      <c r="K277" t="inlineStr"/>
      <c r="L277" t="inlineStr"/>
      <c r="M277" t="inlineStr"/>
      <c r="N277" t="inlineStr"/>
      <c r="O277">
        <f>(1-Summary!$B$11)*T277+Summary!$B$11*V277</f>
        <v/>
      </c>
      <c r="P277">
        <f>IF(B320=0,0,O277/B320)</f>
        <v/>
      </c>
      <c r="Q277" t="n">
        <v>0</v>
      </c>
      <c r="R277" t="n">
        <v>0</v>
      </c>
      <c r="S277">
        <f>IFERROR(O277/N277,0)</f>
        <v/>
      </c>
      <c r="T277" t="n">
        <v>0</v>
      </c>
      <c r="U277">
        <f>INDEX(FactorTable!$B$2:$Y$301, MATCH(ROUND(MIN(300,MAX(1,U276)),0), FactorTable!$A$2:$A$301,0), 22)</f>
        <v/>
      </c>
      <c r="V277" t="n">
        <v>0</v>
      </c>
    </row>
    <row r="278">
      <c r="A278">
        <f>Skills!A4</f>
        <v/>
      </c>
      <c r="B278">
        <f>Skills!B4</f>
        <v/>
      </c>
      <c r="C278">
        <f>Inputs!$B$3&gt;=66</f>
        <v/>
      </c>
      <c r="D278">
        <f>IF(Skills!C4=1,60+Inputs!$B$25+Inputs!$B$29,IF(Skills!C4=2,90+Inputs!$B$26+Inputs!$B$29,IF(Skills!C4=3,120+Inputs!$B$27+Inputs!$B$29,MAX(0,(Inputs!$B$3-100)*3)+Inputs!$B$28+Inputs!$B$29)))</f>
        <v/>
      </c>
      <c r="E278">
        <f>INDEX(FactorTable!$B$2:$Y$301, MATCH(ROUND(MIN(300,MAX(1,D278)),0), FactorTable!$A$2:$A$301,0), Skills!M4+1)</f>
        <v/>
      </c>
      <c r="F278">
        <f>IF(Skills!N4=TRUE,(Skills!L4/10)*(E278/1000),Skills!L4/10)+Skills!O4</f>
        <v/>
      </c>
      <c r="G278">
        <f>Skills!G4*IF(Skills!H4&gt;0,IF(Inputs!$B$39="pvp",MIN(Skills!I4,15),Skills!I4)/Skills!H4,1)</f>
        <v/>
      </c>
      <c r="H278">
        <f>1-(1-Skills!J4/100)^Skills!K4</f>
        <v/>
      </c>
      <c r="I278" t="inlineStr">
        <is>
          <t>1</t>
        </is>
      </c>
      <c r="J278">
        <f>((Inputs!$B$6*(1+Inputs!$B$7/100))+(((Inputs!$B$12*(1+Inputs!$B$13/100))-(Inputs!$B$12*(1+Inputs!$B$13/100)))+0.25*(Inputs!$B$14-Inputs!$B$14))*(1+Inputs!$B$7/100))*(F278/100)</f>
        <v/>
      </c>
      <c r="K278">
        <f>J278*(1+((Inputs!$B$12*(1+Inputs!$B$13/100))*0.01+Inputs!$B$14*0.0025)/100)*(1+Inputs!$B$15/100)*(1+(Inputs!$B$16+1)/100)*(5000/(6000+Inputs!$B$43*(1-(100*(1-(1-Inputs!$B$19/100)*(1-CHOOSE(ArtifactsInput!$N$40+1,5,6,7,8,9,10)/100)^(ArtifactsInput!$M$40-ArtifactsInput!$M$40)))/100)))*(1+(Inputs!$B$24+((C305=TRUE)*(F305-Calc!F31))+((C292=TRUE)*(F292-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4="CRUEL_STAB",Inputs!$B$17+((C302=TRUE)*(F302-Calc!F28))+((IF(AND(Inputs!$B$39&lt;&gt;"pvp",Inputs!$B$44=0),1,IF(IF(Inputs!$B$39="pvp",15,Inputs!$B$44)-(B319)&lt;=0,1,MAX(0,IF(Inputs!$B$39="pvp",15,Inputs!$B$44)-MAX(5,B319))/(IF(Inputs!$B$39="pvp",15,Inputs!$B$44)-(B319))))*(IF(AND(ArtifactsInput!$M$42,((Inputs!$B$9+((C300=TRUE)*(F300-Calc!F26))+B308+(ArtifactsInput!$M$24-ArtifactsInput!$M$24)*CHOOSE(ArtifactsInput!$N$24+1,10,12,14,16,18,20)+IF(ArtifactsInput!$M$10,CHOOSE(ArtifactsInput!$N$10+1,15,18,21,24,27,30)*(IF(Inputs!$B$39="pvp",MIN(15,15)/15,IF(AND(Inputs!$B$39&lt;&gt;"pvp",Inputs!$B$44&gt;0),MIN(15,Inputs!$B$44)/(Inputs!$B$44),0))),0)))&gt;=100),MIN(100,((Inputs!$B$9+((C300=TRUE)*(F300-Calc!F26))+B308+(ArtifactsInput!$M$24-ArtifactsInput!$M$24)*CHOOSE(ArtifactsInput!$N$24+1,10,12,14,16,18,20)+IF(ArtifactsInput!$M$10,CHOOSE(ArtifactsInput!$N$10+1,15,18,21,24,27,30)*(IF(Inputs!$B$39="pvp",MIN(15,15)/15,IF(AND(Inputs!$B$39&lt;&gt;"pvp",Inputs!$B$44&gt;0),MIN(15,Inputs!$B$44)/(Inputs!$B$44),0))),0)))-100),0))*CHOOSE(ArtifactsInput!$N$42+1,0.6,0.72,0.84,0.96,1.08,1.2))),Inputs!$B$18+((C303=TRUE)*(F303-Calc!F29))+(IF(AND(Inputs!$B$39&lt;&gt;"pvp",Inputs!$B$44=0),1,IF(IF(Inputs!$B$39="pvp",15,Inputs!$B$44)-(B319)&lt;=0,1,MAX(0,IF(Inputs!$B$39="pvp",15,Inputs!$B$44)-MAX(5,B319))/(IF(Inputs!$B$39="pvp",15,Inputs!$B$44)-(B319))))*IF(AND(ArtifactsInput!$M$42,((Inputs!$B$9+((C300=TRUE)*(F300-Calc!F26))+B308+(ArtifactsInput!$M$24-ArtifactsInput!$M$24)*CHOOSE(ArtifactsInput!$N$24+1,10,12,14,16,18,20)+IF(ArtifactsInput!$M$10,CHOOSE(ArtifactsInput!$N$10+1,15,18,21,24,27,30)*(IF(Inputs!$B$39="pvp",MIN(15,15)/15,IF(AND(Inputs!$B$39&lt;&gt;"pvp",Inputs!$B$44&gt;0),MIN(15,Inputs!$B$44)/(Inputs!$B$44),0))),0)))&gt;=100),CHOOSE(ArtifactsInput!$N$42+1,40,48,56,64,72,80),0))))/100)*(((1+(((C296=TRUE)*F296*IF(AND(Inputs!$B$39&lt;&gt;"pvp",Inputs!$B$44&gt;0),(((R296-1)*MIN((Skills!Y22*(1+Inputs!$B$34/100)),(1/Q296))+MIN((Skills!Y22*(1+Inputs!$B$34/100)),MAX(0,Inputs!$B$44-((R296-1)*(1/Q296)))))/Inputs!$B$44),IF(Inputs!$B$39="pvp",MIN((Skills!Y22*(1+Inputs!$B$34/100)),15)/15,MIN(1,(Skills!Y22*(1+Inputs!$B$34/100))/(1/Q296)))))+((C277=TRUE)*F277*3)+((C279=TRUE)*F279*(1-EXP(-0.75*B312*5)))+((C298=TRUE)*(F298-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285=TRUE)*F285*IF(AND(Inputs!$B$39&lt;&gt;"pvp",Inputs!$B$44&gt;0),(((R285-1)*MIN((Skills!Y11*(1+Inputs!$B$34/100)),(1/Q285))+MIN((Skills!Y11*(1+Inputs!$B$34/100)),MAX(0,Inputs!$B$44-((R285-1)*(1/Q285)))))/Inputs!$B$44),IF(Inputs!$B$39="pvp",MIN((Skills!Y11*(1+Inputs!$B$34/100)),15)/15,MIN(1,(Skills!Y11*(1+Inputs!$B$34/100))/(1/Q285)))))/100)*(1+((C290=TRUE)*F290*IF(AND(Inputs!$B$39&lt;&gt;"pvp",Inputs!$B$44&gt;0),(((R290-1)*MIN((Skills!Y16*(1+Inputs!$B$34/100)),(1/Q290))+MIN((Skills!Y16*(1+Inputs!$B$34/100)),MAX(0,Inputs!$B$44-((R290-1)*(1/Q290)))))/Inputs!$B$44),IF(Inputs!$B$39="pvp",MIN((Skills!Y16*(1+Inputs!$B$34/100)),15)/15,MIN(1,(Skills!Y16*(1+Inputs!$B$34/100))/(1/Q290)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310*I278)</f>
        <v/>
      </c>
      <c r="L278">
        <f>K278*(MIN(Inputs!$B$22+((C299=TRUE)*(F299-Calc!F25)),(Inputs!$B$23+((C304=TRUE)*(F304-Calc!F30))+IF(ArtifactsInput!$M$15,CHOOSE(ArtifactsInput!$N$15+1,25,30,35,40,45,50)/100*(Inputs!$B$11-Inputs!$B$11),0)))/100+(Inputs!$B$23+((C304=TRUE)*(F304-Calc!F30))+IF(ArtifactsInput!$M$15,CHOOSE(ArtifactsInput!$N$15+1,25,30,35,40,45,50)/100*(Inputs!$B$11-Inputs!$B$11),0))/100)/2</f>
        <v/>
      </c>
      <c r="M278">
        <f>L278*(1+(Inputs!$B$10+((C301=TRUE)*(F301-Calc!F27))+B315+(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278">
        <f>L278*(1-MIN((Inputs!$B$9+((C300=TRUE)*(F300-Calc!F26))+B308+(ArtifactsInput!$M$24-ArtifactsInput!$M$24)*CHOOSE(ArtifactsInput!$N$24+1,10,12,14,16,18,20)+(IF(AND(Inputs!$B$39&lt;&gt;"pvp",Inputs!$B$44=0),1,IF(IF(Inputs!$B$39="pvp",15,Inputs!$B$44)-(B319)&lt;=0,1,MAX(0,IF(Inputs!$B$39="pvp",15,Inputs!$B$44)-MAX(5,B319))/(IF(Inputs!$B$39="pvp",15,Inputs!$B$44)-(B319))))*IF(AND(ArtifactsInput!$M$42,((Inputs!$B$9+((C300=TRUE)*(F300-Calc!F26))+B308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278*(MIN((Inputs!$B$9+((C300=TRUE)*(F300-Calc!F26))+B308+(ArtifactsInput!$M$24-ArtifactsInput!$M$24)*CHOOSE(ArtifactsInput!$N$24+1,10,12,14,16,18,20)+(IF(AND(Inputs!$B$39&lt;&gt;"pvp",Inputs!$B$44=0),1,IF(IF(Inputs!$B$39="pvp",15,Inputs!$B$44)-(B319)&lt;=0,1,MAX(0,IF(Inputs!$B$39="pvp",15,Inputs!$B$44)-MAX(5,B319))/(IF(Inputs!$B$39="pvp",15,Inputs!$B$44)-(B319))))*IF(AND(ArtifactsInput!$M$42,((Inputs!$B$9+((C300=TRUE)*(F300-Calc!F26))+B308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78">
        <f>(1-Summary!$B$11)*T278+Summary!$B$11*V278</f>
        <v/>
      </c>
      <c r="P278">
        <f>IF(B320=0,0,O278/B320)</f>
        <v/>
      </c>
      <c r="Q278">
        <f>IFERROR(1/IF(Inputs!$B$39="pvp",15,MAX(0.1,Skills!D4-IF(TRUE=TRUE,Inputs!$B$32,0))),0)</f>
        <v/>
      </c>
      <c r="R278">
        <f>IF(AND(Inputs!$B$39&lt;&gt;"pvp",Inputs!$B$44&gt;0),IF(MAX(0,Inputs!$B$44-B319)&lt;=0,0,(INT(MAX(0,Inputs!$B$44-B319)/IF(Inputs!$B$39="pvp",15,MAX(0.1,Skills!D4-IF(TRUE=TRUE,Inputs!$B$32,0))))+1)),0)</f>
        <v/>
      </c>
      <c r="S278">
        <f>IFERROR(O278/N278,0)</f>
        <v/>
      </c>
      <c r="T278">
        <f>IF(C278,(H278*N278*IF(AND(Inputs!$B$39&lt;&gt;"pvp",Inputs!$B$44&gt;0),((Skills!G4*((R278-1)*IF(Skills!H4&gt;0,Skills!I4/Skills!H4,1)+IF(Skills!H4&gt;0,MIN(Skills!I4,MAX(0,MAX(0,Inputs!$B$44-B319)-((R278-1)*IF(Inputs!$B$39="pvp",15,MAX(0.1,Skills!D4-IF(TRUE=TRUE,Inputs!$B$32,0))))))/Skills!H4,1)))/Inputs!$B$44),G278*Q278))*IF(Inputs!$B$39="pvp",1,1+(Inputs!$B$20+0+Skills!P4+B309+(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Hunt"),CHOOSE(ArtifactsInput!$N$35+1,15,18,21,24,27,30)*(1-EXP(-(0.2*B312)*5)),0)+IF(AND(ArtifactsInput!$M$22,Inputs!$B$4&lt;&gt;"Chapter Hunt"),CHOOSE(ArtifactsInput!$N$22+1,10,12,14,16,18,20)*((0*(((0.15*B312*5))^0/1)+1*(((0.15*B312*5))^1/1)+2*(((0.15*B312*5))^2/2)+3*(((0.15*B312*5))^3/6)+4*(((0.15*B312*5))^4/24)+5*(((0.15*B312*5))^5/120))/((((0.15*B312*5))^0/1)+(((0.15*B312*5))^1/1)+(((0.15*B312*5))^2/2)+(((0.15*B312*5))^3/6)+(((0.15*B312*5))^4/24)+(((0.15*B312*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278*(1-MIN(100,(Inputs!$B$9+((C300=TRUE)*(F300-Calc!F26))+B308+(ArtifactsInput!$M$24-ArtifactsInput!$M$24)*CHOOSE(ArtifactsInput!$N$24+1,10,12,14,16,18,20)+(IF(AND(Inputs!$B$39&lt;&gt;"pvp",Inputs!$B$44=0),1,IF(IF(Inputs!$B$39="pvp",15,Inputs!$B$44)-(B319)&lt;=0,1,MAX(0,IF(Inputs!$B$39="pvp",15,Inputs!$B$44)-MAX(5,B319))/(IF(Inputs!$B$39="pvp",15,Inputs!$B$44)-(B319))))*IF(AND(ArtifactsInput!$M$42,((Inputs!$B$9+((C300=TRUE)*(F300-Calc!F26))+B308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278*(MIN(100,(Inputs!$B$9+((C300=TRUE)*(F300-Calc!F26))+B308+(ArtifactsInput!$M$24-ArtifactsInput!$M$24)*CHOOSE(ArtifactsInput!$N$24+1,10,12,14,16,18,20)+(IF(AND(Inputs!$B$39&lt;&gt;"pvp",Inputs!$B$44=0),1,IF(IF(Inputs!$B$39="pvp",15,Inputs!$B$44)-(B319)&lt;=0,1,MAX(0,IF(Inputs!$B$39="pvp",15,Inputs!$B$44)-MAX(5,B319))/(IF(Inputs!$B$39="pvp",15,Inputs!$B$44)-(B319))))*IF(AND(ArtifactsInput!$M$42,((Inputs!$B$9+((C300=TRUE)*(F300-Calc!F26))+B308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278*(1-MIN(100,(Inputs!$B$9+((C300=TRUE)*(F300-Calc!F26))+B308+(ArtifactsInput!$M$24-ArtifactsInput!$M$24)*CHOOSE(ArtifactsInput!$N$24+1,10,12,14,16,18,20)+(IF(AND(Inputs!$B$39&lt;&gt;"pvp",Inputs!$B$44=0),1,IF(IF(Inputs!$B$39="pvp",15,Inputs!$B$44)-(B319)&lt;=0,1,MAX(0,IF(Inputs!$B$39="pvp",15,Inputs!$B$44)-MAX(5,B319))/(IF(Inputs!$B$39="pvp",15,Inputs!$B$44)-(B319))))*IF(AND(ArtifactsInput!$M$42,((Inputs!$B$9+((C300=TRUE)*(F300-Calc!F26))+B308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278*(MIN(100,(Inputs!$B$9+((C300=TRUE)*(F300-Calc!F26))+B308+(ArtifactsInput!$M$24-ArtifactsInput!$M$24)*CHOOSE(ArtifactsInput!$N$24+1,10,12,14,16,18,20)+(IF(AND(Inputs!$B$39&lt;&gt;"pvp",Inputs!$B$44=0),1,IF(IF(Inputs!$B$39="pvp",15,Inputs!$B$44)-(B319)&lt;=0,1,MAX(0,IF(Inputs!$B$39="pvp",15,Inputs!$B$44)-MAX(5,B319))/(IF(Inputs!$B$39="pvp",15,Inputs!$B$44)-(B319))))*IF(AND(ArtifactsInput!$M$42,((Inputs!$B$9+((C300=TRUE)*(F300-Calc!F26))+B308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278">
        <f>290*U277/1000</f>
        <v/>
      </c>
      <c r="V278">
        <f>IF(C278,(H278*N278*IF(AND(Inputs!$B$39&lt;&gt;"pvp",Inputs!$B$44&gt;0),((Skills!G4*((R278-1)*IF(Skills!H4&gt;0,Skills!I4/Skills!H4,1)+IF(Skills!H4&gt;0,MIN(Skills!I4,MAX(0,MAX(0,Inputs!$B$44-B319)-((R278-1)*IF(Inputs!$B$39="pvp",15,MAX(0.1,Skills!D4-IF(TRUE=TRUE,Inputs!$B$32,0))))))/Skills!H4,1)))/Inputs!$B$44),G278*Q278))*IF(Inputs!$B$39="pvp",1,(1+(Inputs!$B$21+Skills!Q4+B309+(IF(ArtifactsInput!$M$33,CHOOSE(ArtifactsInput!$N$33+1,30,36,42,48,54,60),0))+(IF(AND(ArtifactsInput!$M$35,Inputs!$B$4&lt;&gt;"Chapter Hunt"),CHOOSE(ArtifactsInput!$N$35+1,15,18,21,24,27,30)*(1-EXP(-(0.2*B312)*5)),0)+IF(AND(ArtifactsInput!$M$22,Inputs!$B$4&lt;&gt;"Chapter Hunt"),CHOOSE(ArtifactsInput!$N$22+1,10,12,14,16,18,20)*((0*(((0.15*B312*5))^0/1)+1*(((0.15*B312*5))^1/1)+2*(((0.15*B312*5))^2/2)+3*(((0.15*B312*5))^3/6)+4*(((0.15*B312*5))^4/24)+5*(((0.15*B312*5))^5/120))/((((0.15*B312*5))^0/1)+(((0.15*B312*5))^1/1)+(((0.15*B312*5))^2/2)+(((0.15*B312*5))^3/6)+(((0.15*B312*5))^4/24)+(((0.15*B312*5))^5/120))),0)))/100)*(MIN(MIN(10,IF(Inputs!$B$3&gt;=75,0.75,0.5)*B312*(1/Q278)),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79">
      <c r="A279">
        <f>Skills!A5</f>
        <v/>
      </c>
      <c r="B279">
        <f>Skills!B5</f>
        <v/>
      </c>
      <c r="C279">
        <f>Inputs!$B$3&gt;=75</f>
        <v/>
      </c>
      <c r="D279">
        <f>IF(Skills!C5=1,60+Inputs!$B$25+Inputs!$B$29,IF(Skills!C5=2,90+Inputs!$B$26+Inputs!$B$29,IF(Skills!C5=3,120+Inputs!$B$27+Inputs!$B$29,MAX(0,(Inputs!$B$3-100)*3)+Inputs!$B$28+Inputs!$B$29)))</f>
        <v/>
      </c>
      <c r="E279">
        <f>INDEX(FactorTable!$B$2:$Y$301, MATCH(ROUND(MIN(300,MAX(1,D279)),0), FactorTable!$A$2:$A$301,0), Skills!M5+1)</f>
        <v/>
      </c>
      <c r="F279">
        <f>IF(Skills!N5=TRUE,(Skills!L5/10)*(E279/1000),Skills!L5/10)+Skills!O5</f>
        <v/>
      </c>
      <c r="G279">
        <f>Skills!G5*IF(Skills!H5&gt;0,IF(Inputs!$B$39="pvp",MIN(Skills!I5,15),Skills!I5)/Skills!H5,1)</f>
        <v/>
      </c>
      <c r="H279">
        <f>1-(1-Skills!J5/100)^Skills!K5</f>
        <v/>
      </c>
      <c r="I279" t="inlineStr">
        <is>
          <t>1</t>
        </is>
      </c>
      <c r="J279" t="inlineStr"/>
      <c r="K279" t="inlineStr"/>
      <c r="L279" t="inlineStr"/>
      <c r="M279" t="inlineStr"/>
      <c r="N279" t="inlineStr"/>
      <c r="O279">
        <f>(1-Summary!$B$11)*T279+Summary!$B$11*V279</f>
        <v/>
      </c>
      <c r="P279">
        <f>IF(B320=0,0,O279/B320)</f>
        <v/>
      </c>
      <c r="Q279" t="n">
        <v>0</v>
      </c>
      <c r="R279" t="n">
        <v>0</v>
      </c>
      <c r="S279">
        <f>IFERROR(O279/N279,0)</f>
        <v/>
      </c>
      <c r="T279" t="n">
        <v>0</v>
      </c>
      <c r="V279" t="n">
        <v>0</v>
      </c>
    </row>
    <row r="280">
      <c r="A280">
        <f>Skills!A6</f>
        <v/>
      </c>
      <c r="B280">
        <f>Skills!B6</f>
        <v/>
      </c>
      <c r="C280">
        <f>Inputs!$B$3&gt;=63</f>
        <v/>
      </c>
      <c r="D280">
        <f>IF(Skills!C6=1,60+Inputs!$B$25+Inputs!$B$29,IF(Skills!C6=2,90+Inputs!$B$26+Inputs!$B$29,IF(Skills!C6=3,120+Inputs!$B$27+Inputs!$B$29,MAX(0,(Inputs!$B$3-100)*3)+Inputs!$B$28+Inputs!$B$29)))</f>
        <v/>
      </c>
      <c r="E280">
        <f>INDEX(FactorTable!$B$2:$Y$301, MATCH(ROUND(MIN(300,MAX(1,D280)),0), FactorTable!$A$2:$A$301,0), Skills!M6+1)</f>
        <v/>
      </c>
      <c r="F280">
        <f>IF(Skills!N6=TRUE,(Skills!L6/10)*(E280/1000),Skills!L6/10)+Skills!O6</f>
        <v/>
      </c>
      <c r="G280">
        <f>Skills!G6*IF(Skills!H6&gt;0,IF(Inputs!$B$39="pvp",MIN(Skills!I6,15),Skills!I6)/Skills!H6,1)</f>
        <v/>
      </c>
      <c r="H280">
        <f>1-(1-Skills!J6/100)^Skills!K6</f>
        <v/>
      </c>
      <c r="I280" t="inlineStr">
        <is>
          <t>1</t>
        </is>
      </c>
      <c r="J280">
        <f>((Inputs!$B$6*(1+Inputs!$B$7/100))+(((Inputs!$B$12*(1+Inputs!$B$13/100))-(Inputs!$B$12*(1+Inputs!$B$13/100)))+0.25*(Inputs!$B$14-Inputs!$B$14))*(1+Inputs!$B$7/100))*(F280/100)</f>
        <v/>
      </c>
      <c r="K280">
        <f>J280*(1+((Inputs!$B$12*(1+Inputs!$B$13/100))*0.01+Inputs!$B$14*0.0025)/100)*(1+Inputs!$B$15/100)*(1+(Inputs!$B$16+1)/100)*(5000/(6000+Inputs!$B$43*(1-(100*(1-(1-Inputs!$B$19/100)*(1-CHOOSE(ArtifactsInput!$N$40+1,5,6,7,8,9,10)/100)^(ArtifactsInput!$M$40-ArtifactsInput!$M$40)))/100)))*(1+(Inputs!$B$24+((C305=TRUE)*(F305-Calc!F31))+((C292=TRUE)*(F292-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+2.6666666666666665*IF(C293=TRUE,F293,0)/100)*(1+(IF(Skills!A6="CRUEL_STAB",Inputs!$B$17+((C302=TRUE)*(F302-Calc!F28))+((IF(AND(Inputs!$B$39&lt;&gt;"pvp",Inputs!$B$44=0),1,IF(IF(Inputs!$B$39="pvp",15,Inputs!$B$44)-(B319)&lt;=0,1,MAX(0,IF(Inputs!$B$39="pvp",15,Inputs!$B$44)-MAX(5,B319))/(IF(Inputs!$B$39="pvp",15,Inputs!$B$44)-(B319))))*(IF(AND(ArtifactsInput!$M$42,((Inputs!$B$9+((C300=TRUE)*(F300-Calc!F26))+B308+(ArtifactsInput!$M$24-ArtifactsInput!$M$24)*CHOOSE(ArtifactsInput!$N$24+1,10,12,14,16,18,20)+IF(ArtifactsInput!$M$10,CHOOSE(ArtifactsInput!$N$10+1,15,18,21,24,27,30)*(IF(Inputs!$B$39="pvp",MIN(15,15)/15,IF(AND(Inputs!$B$39&lt;&gt;"pvp",Inputs!$B$44&gt;0),MIN(15,Inputs!$B$44)/(Inputs!$B$44),0))),0)))&gt;=100),MIN(100,((Inputs!$B$9+((C300=TRUE)*(F300-Calc!F26))+B308+(ArtifactsInput!$M$24-ArtifactsInput!$M$24)*CHOOSE(ArtifactsInput!$N$24+1,10,12,14,16,18,20)+IF(ArtifactsInput!$M$10,CHOOSE(ArtifactsInput!$N$10+1,15,18,21,24,27,30)*(IF(Inputs!$B$39="pvp",MIN(15,15)/15,IF(AND(Inputs!$B$39&lt;&gt;"pvp",Inputs!$B$44&gt;0),MIN(15,Inputs!$B$44)/(Inputs!$B$44),0))),0)))-100),0))*CHOOSE(ArtifactsInput!$N$42+1,0.6,0.72,0.84,0.96,1.08,1.2))),Inputs!$B$18+((C303=TRUE)*(F303-Calc!F29))+(IF(AND(Inputs!$B$39&lt;&gt;"pvp",Inputs!$B$44=0),1,IF(IF(Inputs!$B$39="pvp",15,Inputs!$B$44)-(B319)&lt;=0,1,MAX(0,IF(Inputs!$B$39="pvp",15,Inputs!$B$44)-MAX(5,B319))/(IF(Inputs!$B$39="pvp",15,Inputs!$B$44)-(B319))))*IF(AND(ArtifactsInput!$M$42,((Inputs!$B$9+((C300=TRUE)*(F300-Calc!F26))+B308+(ArtifactsInput!$M$24-ArtifactsInput!$M$24)*CHOOSE(ArtifactsInput!$N$24+1,10,12,14,16,18,20)+IF(ArtifactsInput!$M$10,CHOOSE(ArtifactsInput!$N$10+1,15,18,21,24,27,30)*(IF(Inputs!$B$39="pvp",MIN(15,15)/15,IF(AND(Inputs!$B$39&lt;&gt;"pvp",Inputs!$B$44&gt;0),MIN(15,Inputs!$B$44)/(Inputs!$B$44),0))),0)))&gt;=100),CHOOSE(ArtifactsInput!$N$42+1,40,48,56,64,72,80),0))))/100)*(((1+(((C296=TRUE)*F296*IF(AND(Inputs!$B$39&lt;&gt;"pvp",Inputs!$B$44&gt;0),(((R296-1)*MIN((Skills!Y22*(1+Inputs!$B$34/100)),(1/Q296))+MIN((Skills!Y22*(1+Inputs!$B$34/100)),MAX(0,Inputs!$B$44-((R296-1)*(1/Q296)))))/Inputs!$B$44),IF(Inputs!$B$39="pvp",MIN((Skills!Y22*(1+Inputs!$B$34/100)),15)/15,MIN(1,(Skills!Y22*(1+Inputs!$B$34/100))/(1/Q296)))))+((C277=TRUE)*F277*3)+((C279=TRUE)*F279*(1-EXP(-0.75*B312*5)))+((C298=TRUE)*(F298-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285=TRUE)*F285*IF(AND(Inputs!$B$39&lt;&gt;"pvp",Inputs!$B$44&gt;0),(((R285-1)*MIN((Skills!Y11*(1+Inputs!$B$34/100)),(1/Q285))+MIN((Skills!Y11*(1+Inputs!$B$34/100)),MAX(0,Inputs!$B$44-((R285-1)*(1/Q285)))))/Inputs!$B$44),IF(Inputs!$B$39="pvp",MIN((Skills!Y11*(1+Inputs!$B$34/100)),15)/15,MIN(1,(Skills!Y11*(1+Inputs!$B$34/100))/(1/Q285)))))/100)*(1+((C290=TRUE)*F290*IF(AND(Inputs!$B$39&lt;&gt;"pvp",Inputs!$B$44&gt;0),(((R290-1)*MIN((Skills!Y16*(1+Inputs!$B$34/100)),(1/Q290))+MIN((Skills!Y16*(1+Inputs!$B$34/100)),MAX(0,Inputs!$B$44-((R290-1)*(1/Q290)))))/Inputs!$B$44),IF(Inputs!$B$39="pvp",MIN((Skills!Y16*(1+Inputs!$B$34/100)),15)/15,MIN(1,(Skills!Y16*(1+Inputs!$B$34/100))/(1/Q290)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310*I280)</f>
        <v/>
      </c>
      <c r="L280">
        <f>K280*(MIN(Inputs!$B$22+((C299=TRUE)*(F299-Calc!F25)),(Inputs!$B$23+((C304=TRUE)*(F304-Calc!F30))+IF(ArtifactsInput!$M$15,CHOOSE(ArtifactsInput!$N$15+1,25,30,35,40,45,50)/100*(Inputs!$B$11-Inputs!$B$11),0)))/100+(Inputs!$B$23+((C304=TRUE)*(F304-Calc!F30))+IF(ArtifactsInput!$M$15,CHOOSE(ArtifactsInput!$N$15+1,25,30,35,40,45,50)/100*(Inputs!$B$11-Inputs!$B$11),0))/100)/2</f>
        <v/>
      </c>
      <c r="M280">
        <f>L280*(1+(Inputs!$B$10+((C301=TRUE)*(F301-Calc!F27))+B315+(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280">
        <f>L280*(1-MIN((Inputs!$B$9+((C300=TRUE)*(F300-Calc!F26))+B308+(ArtifactsInput!$M$24-ArtifactsInput!$M$24)*CHOOSE(ArtifactsInput!$N$24+1,10,12,14,16,18,20)+(IF(AND(Inputs!$B$39&lt;&gt;"pvp",Inputs!$B$44=0),1,IF(IF(Inputs!$B$39="pvp",15,Inputs!$B$44)-(B319)&lt;=0,1,MAX(0,IF(Inputs!$B$39="pvp",15,Inputs!$B$44)-MAX(5,B319))/(IF(Inputs!$B$39="pvp",15,Inputs!$B$44)-(B319))))*IF(AND(ArtifactsInput!$M$42,((Inputs!$B$9+((C300=TRUE)*(F300-Calc!F26))+B308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280*(MIN((Inputs!$B$9+((C300=TRUE)*(F300-Calc!F26))+B308+(ArtifactsInput!$M$24-ArtifactsInput!$M$24)*CHOOSE(ArtifactsInput!$N$24+1,10,12,14,16,18,20)+(IF(AND(Inputs!$B$39&lt;&gt;"pvp",Inputs!$B$44=0),1,IF(IF(Inputs!$B$39="pvp",15,Inputs!$B$44)-(B319)&lt;=0,1,MAX(0,IF(Inputs!$B$39="pvp",15,Inputs!$B$44)-MAX(5,B319))/(IF(Inputs!$B$39="pvp",15,Inputs!$B$44)-(B319))))*IF(AND(ArtifactsInput!$M$42,((Inputs!$B$9+((C300=TRUE)*(F300-Calc!F26))+B308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80">
        <f>(1-Summary!$B$11)*T280+Summary!$B$11*V280</f>
        <v/>
      </c>
      <c r="P280">
        <f>IF(B320=0,0,O280/B320)</f>
        <v/>
      </c>
      <c r="Q280">
        <f>IFERROR(1/IF(Inputs!$B$39="pvp",15,MAX(0.1,Skills!D6-IF(TRUE=TRUE,Inputs!$B$32,0))),0)</f>
        <v/>
      </c>
      <c r="R280">
        <f>IF(AND(Inputs!$B$39&lt;&gt;"pvp",Inputs!$B$44&gt;0),IF(MAX(0,Inputs!$B$44-B319)&lt;=0,0,(INT(MAX(0,Inputs!$B$44-B319)/IF(Inputs!$B$39="pvp",15,MAX(0.1,Skills!D6-IF(TRUE=TRUE,Inputs!$B$32,0))))+1)),0)</f>
        <v/>
      </c>
      <c r="S280">
        <f>IFERROR(O280/N280,0)</f>
        <v/>
      </c>
      <c r="T280">
        <f>IF(C280,(H280*N280*IF(AND(Inputs!$B$39&lt;&gt;"pvp",Inputs!$B$44&gt;0),((Skills!G6*((R280-1)*IF(Skills!H6&gt;0,Skills!I6/Skills!H6,1)+IF(Skills!H6&gt;0,MIN(Skills!I6,MAX(0,MAX(0,Inputs!$B$44-B319)-((R280-1)*IF(Inputs!$B$39="pvp",15,MAX(0.1,Skills!D6-IF(TRUE=TRUE,Inputs!$B$32,0))))))/Skills!H6,1)))/Inputs!$B$44),G280*Q280))*IF(Inputs!$B$39="pvp",1,1+(Inputs!$B$20+0+Skills!P6+B309+(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Hunt"),CHOOSE(ArtifactsInput!$N$35+1,15,18,21,24,27,30)*(1-EXP(-(0.2*B312)*5)),0)+IF(AND(ArtifactsInput!$M$22,Inputs!$B$4&lt;&gt;"Chapter Hunt"),CHOOSE(ArtifactsInput!$N$22+1,10,12,14,16,18,20)*((0*(((0.15*B312*5))^0/1)+1*(((0.15*B312*5))^1/1)+2*(((0.15*B312*5))^2/2)+3*(((0.15*B312*5))^3/6)+4*(((0.15*B312*5))^4/24)+5*(((0.15*B312*5))^5/120))/((((0.15*B312*5))^0/1)+(((0.15*B312*5))^1/1)+(((0.15*B312*5))^2/2)+(((0.15*B312*5))^3/6)+(((0.15*B312*5))^4/24)+(((0.15*B312*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280*(1-MIN(100,(Inputs!$B$9+((C300=TRUE)*(F300-Calc!F26))+B308+(ArtifactsInput!$M$24-ArtifactsInput!$M$24)*CHOOSE(ArtifactsInput!$N$24+1,10,12,14,16,18,20)+(IF(AND(Inputs!$B$39&lt;&gt;"pvp",Inputs!$B$44=0),1,IF(IF(Inputs!$B$39="pvp",15,Inputs!$B$44)-(B319)&lt;=0,1,MAX(0,IF(Inputs!$B$39="pvp",15,Inputs!$B$44)-MAX(5,B319))/(IF(Inputs!$B$39="pvp",15,Inputs!$B$44)-(B319))))*IF(AND(ArtifactsInput!$M$42,((Inputs!$B$9+((C300=TRUE)*(F300-Calc!F26))+B308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280*(MIN(100,(Inputs!$B$9+((C300=TRUE)*(F300-Calc!F26))+B308+(ArtifactsInput!$M$24-ArtifactsInput!$M$24)*CHOOSE(ArtifactsInput!$N$24+1,10,12,14,16,18,20)+(IF(AND(Inputs!$B$39&lt;&gt;"pvp",Inputs!$B$44=0),1,IF(IF(Inputs!$B$39="pvp",15,Inputs!$B$44)-(B319)&lt;=0,1,MAX(0,IF(Inputs!$B$39="pvp",15,Inputs!$B$44)-MAX(5,B319))/(IF(Inputs!$B$39="pvp",15,Inputs!$B$44)-(B319))))*IF(AND(ArtifactsInput!$M$42,((Inputs!$B$9+((C300=TRUE)*(F300-Calc!F26))+B308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280*(1-MIN(100,(Inputs!$B$9+((C300=TRUE)*(F300-Calc!F26))+B308+(ArtifactsInput!$M$24-ArtifactsInput!$M$24)*CHOOSE(ArtifactsInput!$N$24+1,10,12,14,16,18,20)+(IF(AND(Inputs!$B$39&lt;&gt;"pvp",Inputs!$B$44=0),1,IF(IF(Inputs!$B$39="pvp",15,Inputs!$B$44)-(B319)&lt;=0,1,MAX(0,IF(Inputs!$B$39="pvp",15,Inputs!$B$44)-MAX(5,B319))/(IF(Inputs!$B$39="pvp",15,Inputs!$B$44)-(B319))))*IF(AND(ArtifactsInput!$M$42,((Inputs!$B$9+((C300=TRUE)*(F300-Calc!F26))+B308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280*(MIN(100,(Inputs!$B$9+((C300=TRUE)*(F300-Calc!F26))+B308+(ArtifactsInput!$M$24-ArtifactsInput!$M$24)*CHOOSE(ArtifactsInput!$N$24+1,10,12,14,16,18,20)+(IF(AND(Inputs!$B$39&lt;&gt;"pvp",Inputs!$B$44=0),1,IF(IF(Inputs!$B$39="pvp",15,Inputs!$B$44)-(B319)&lt;=0,1,MAX(0,IF(Inputs!$B$39="pvp",15,Inputs!$B$44)-MAX(5,B319))/(IF(Inputs!$B$39="pvp",15,Inputs!$B$44)-(B319))))*IF(AND(ArtifactsInput!$M$42,((Inputs!$B$9+((C300=TRUE)*(F300-Calc!F26))+B308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80">
        <f>IF(C280,(H280*N280*IF(AND(Inputs!$B$39&lt;&gt;"pvp",Inputs!$B$44&gt;0),((Skills!G6*((R280-1)*IF(Skills!H6&gt;0,Skills!I6/Skills!H6,1)+IF(Skills!H6&gt;0,MIN(Skills!I6,MAX(0,MAX(0,Inputs!$B$44-B319)-((R280-1)*IF(Inputs!$B$39="pvp",15,MAX(0.1,Skills!D6-IF(TRUE=TRUE,Inputs!$B$32,0))))))/Skills!H6,1)))/Inputs!$B$44),G280*Q280))*IF(Inputs!$B$39="pvp",1,(1+(Inputs!$B$21+Skills!Q6+B309+(IF(ArtifactsInput!$M$33,CHOOSE(ArtifactsInput!$N$33+1,30,36,42,48,54,60),0))+(IF(AND(ArtifactsInput!$M$35,Inputs!$B$4&lt;&gt;"Chapter Hunt"),CHOOSE(ArtifactsInput!$N$35+1,15,18,21,24,27,30)*(1-EXP(-(0.2*B312)*5)),0)+IF(AND(ArtifactsInput!$M$22,Inputs!$B$4&lt;&gt;"Chapter Hunt"),CHOOSE(ArtifactsInput!$N$22+1,10,12,14,16,18,20)*((0*(((0.15*B312*5))^0/1)+1*(((0.15*B312*5))^1/1)+2*(((0.15*B312*5))^2/2)+3*(((0.15*B312*5))^3/6)+4*(((0.15*B312*5))^4/24)+5*(((0.15*B312*5))^5/120))/((((0.15*B312*5))^0/1)+(((0.15*B312*5))^1/1)+(((0.15*B312*5))^2/2)+(((0.15*B312*5))^3/6)+(((0.15*B312*5))^4/24)+(((0.15*B312*5))^5/120))),0)))/100)*(MIN(Skills!W6,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81">
      <c r="A281">
        <f>Skills!A7</f>
        <v/>
      </c>
      <c r="B281">
        <f>Skills!B7</f>
        <v/>
      </c>
      <c r="C281">
        <f>Inputs!$B$3&gt;=69</f>
        <v/>
      </c>
      <c r="D281">
        <f>IF(Skills!C7=1,60+Inputs!$B$25+Inputs!$B$29,IF(Skills!C7=2,90+Inputs!$B$26+Inputs!$B$29,IF(Skills!C7=3,120+Inputs!$B$27+Inputs!$B$29,MAX(0,(Inputs!$B$3-100)*3)+Inputs!$B$28+Inputs!$B$29)))</f>
        <v/>
      </c>
      <c r="E281">
        <f>INDEX(FactorTable!$B$2:$Y$301, MATCH(ROUND(MIN(300,MAX(1,D281)),0), FactorTable!$A$2:$A$301,0), Skills!M7+1)</f>
        <v/>
      </c>
      <c r="F281">
        <f>IF(Skills!N7=TRUE,(Skills!L7/10)*(E281/1000),Skills!L7/10)+Skills!O7</f>
        <v/>
      </c>
      <c r="G281">
        <f>Skills!G7*IF(Skills!H7&gt;0,IF(Inputs!$B$39="pvp",MIN(Skills!I7,15),Skills!I7)/Skills!H7,1)</f>
        <v/>
      </c>
      <c r="H281">
        <f>1-(1-Skills!J7/100)^Skills!K7</f>
        <v/>
      </c>
      <c r="I281" t="inlineStr">
        <is>
          <t>1</t>
        </is>
      </c>
      <c r="J281">
        <f>((Inputs!$B$6*(1+Inputs!$B$7/100))+(((Inputs!$B$12*(1+Inputs!$B$13/100))-(Inputs!$B$12*(1+Inputs!$B$13/100)))+0.25*(Inputs!$B$14-Inputs!$B$14))*(1+Inputs!$B$7/100))*(F281/100)</f>
        <v/>
      </c>
      <c r="K281">
        <f>J281*(1+((Inputs!$B$12*(1+Inputs!$B$13/100))*0.01+Inputs!$B$14*0.0025)/100)*(1+Inputs!$B$15/100)*(1+(Inputs!$B$16+1)/100)*(5000/(6000+Inputs!$B$43*(1-(100*(1-(1-Inputs!$B$19/100)*(1-CHOOSE(ArtifactsInput!$N$40+1,5,6,7,8,9,10)/100)^(ArtifactsInput!$M$40-ArtifactsInput!$M$40)))/100)))*(1+(Inputs!$B$24+((C305=TRUE)*(F305-Calc!F31))+((C292=TRUE)*(F292-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293=TRUE,F293,0)/100)*(1+(IF(Skills!A7="CRUEL_STAB",Inputs!$B$17+((C302=TRUE)*(F302-Calc!F28))+((IF(AND(Inputs!$B$39&lt;&gt;"pvp",Inputs!$B$44=0),1,IF(IF(Inputs!$B$39="pvp",15,Inputs!$B$44)-(B319)&lt;=0,1,MAX(0,IF(Inputs!$B$39="pvp",15,Inputs!$B$44)-MAX(5,B319))/(IF(Inputs!$B$39="pvp",15,Inputs!$B$44)-(B319))))*(IF(AND(ArtifactsInput!$M$42,((Inputs!$B$9+((C300=TRUE)*(F300-Calc!F26))+B308+(ArtifactsInput!$M$24-ArtifactsInput!$M$24)*CHOOSE(ArtifactsInput!$N$24+1,10,12,14,16,18,20)+IF(ArtifactsInput!$M$10,CHOOSE(ArtifactsInput!$N$10+1,15,18,21,24,27,30)*(IF(Inputs!$B$39="pvp",MIN(15,15)/15,IF(AND(Inputs!$B$39&lt;&gt;"pvp",Inputs!$B$44&gt;0),MIN(15,Inputs!$B$44)/(Inputs!$B$44),0))),0)))&gt;=100),MIN(100,((Inputs!$B$9+((C300=TRUE)*(F300-Calc!F26))+B308+(ArtifactsInput!$M$24-ArtifactsInput!$M$24)*CHOOSE(ArtifactsInput!$N$24+1,10,12,14,16,18,20)+IF(ArtifactsInput!$M$10,CHOOSE(ArtifactsInput!$N$10+1,15,18,21,24,27,30)*(IF(Inputs!$B$39="pvp",MIN(15,15)/15,IF(AND(Inputs!$B$39&lt;&gt;"pvp",Inputs!$B$44&gt;0),MIN(15,Inputs!$B$44)/(Inputs!$B$44),0))),0)))-100),0))*CHOOSE(ArtifactsInput!$N$42+1,0.6,0.72,0.84,0.96,1.08,1.2))),Inputs!$B$18+((C303=TRUE)*(F303-Calc!F29))+(IF(AND(Inputs!$B$39&lt;&gt;"pvp",Inputs!$B$44=0),1,IF(IF(Inputs!$B$39="pvp",15,Inputs!$B$44)-(B319)&lt;=0,1,MAX(0,IF(Inputs!$B$39="pvp",15,Inputs!$B$44)-MAX(5,B319))/(IF(Inputs!$B$39="pvp",15,Inputs!$B$44)-(B319))))*IF(AND(ArtifactsInput!$M$42,((Inputs!$B$9+((C300=TRUE)*(F300-Calc!F26))+B308+(ArtifactsInput!$M$24-ArtifactsInput!$M$24)*CHOOSE(ArtifactsInput!$N$24+1,10,12,14,16,18,20)+IF(ArtifactsInput!$M$10,CHOOSE(ArtifactsInput!$N$10+1,15,18,21,24,27,30)*(IF(Inputs!$B$39="pvp",MIN(15,15)/15,IF(AND(Inputs!$B$39&lt;&gt;"pvp",Inputs!$B$44&gt;0),MIN(15,Inputs!$B$44)/(Inputs!$B$44),0))),0)))&gt;=100),CHOOSE(ArtifactsInput!$N$42+1,40,48,56,64,72,80),0))))/100)*(((1+(((C296=TRUE)*F296*IF(AND(Inputs!$B$39&lt;&gt;"pvp",Inputs!$B$44&gt;0),(((R296-1)*MIN((Skills!Y22*(1+Inputs!$B$34/100)),(1/Q296))+MIN((Skills!Y22*(1+Inputs!$B$34/100)),MAX(0,Inputs!$B$44-((R296-1)*(1/Q296)))))/Inputs!$B$44),IF(Inputs!$B$39="pvp",MIN((Skills!Y22*(1+Inputs!$B$34/100)),15)/15,MIN(1,(Skills!Y22*(1+Inputs!$B$34/100))/(1/Q296)))))+((C277=TRUE)*F277*3)+((C279=TRUE)*F279*(1-EXP(-0.75*B312*5)))+((C298=TRUE)*(F298-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285=TRUE)*F285*IF(AND(Inputs!$B$39&lt;&gt;"pvp",Inputs!$B$44&gt;0),(((R285-1)*MIN((Skills!Y11*(1+Inputs!$B$34/100)),(1/Q285))+MIN((Skills!Y11*(1+Inputs!$B$34/100)),MAX(0,Inputs!$B$44-((R285-1)*(1/Q285)))))/Inputs!$B$44),IF(Inputs!$B$39="pvp",MIN((Skills!Y11*(1+Inputs!$B$34/100)),15)/15,MIN(1,(Skills!Y11*(1+Inputs!$B$34/100))/(1/Q285)))))/100)*(1+((C290=TRUE)*F290*IF(AND(Inputs!$B$39&lt;&gt;"pvp",Inputs!$B$44&gt;0),(((R290-1)*MIN((Skills!Y16*(1+Inputs!$B$34/100)),(1/Q290))+MIN((Skills!Y16*(1+Inputs!$B$34/100)),MAX(0,Inputs!$B$44-((R290-1)*(1/Q290)))))/Inputs!$B$44),IF(Inputs!$B$39="pvp",MIN((Skills!Y16*(1+Inputs!$B$34/100)),15)/15,MIN(1,(Skills!Y16*(1+Inputs!$B$34/100))/(1/Q290)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310*I281)</f>
        <v/>
      </c>
      <c r="L281">
        <f>K281*(MIN(Inputs!$B$22+((C299=TRUE)*(F299-Calc!F25)),(Inputs!$B$23+((C304=TRUE)*(F304-Calc!F30))+IF(ArtifactsInput!$M$15,CHOOSE(ArtifactsInput!$N$15+1,25,30,35,40,45,50)/100*(Inputs!$B$11-Inputs!$B$11),0)))/100+(Inputs!$B$23+((C304=TRUE)*(F304-Calc!F30))+IF(ArtifactsInput!$M$15,CHOOSE(ArtifactsInput!$N$15+1,25,30,35,40,45,50)/100*(Inputs!$B$11-Inputs!$B$11),0))/100)/2</f>
        <v/>
      </c>
      <c r="M281">
        <f>L281*(1+(Inputs!$B$10+((C301=TRUE)*(F301-Calc!F27))+B315+(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281">
        <f>L281*(1-MIN((Inputs!$B$9+((C300=TRUE)*(F300-Calc!F26))+B308+(ArtifactsInput!$M$24-ArtifactsInput!$M$24)*CHOOSE(ArtifactsInput!$N$24+1,10,12,14,16,18,20)+(IF(AND(Inputs!$B$39&lt;&gt;"pvp",Inputs!$B$44=0),1,IF(IF(Inputs!$B$39="pvp",15,Inputs!$B$44)-(B319)&lt;=0,1,MAX(0,IF(Inputs!$B$39="pvp",15,Inputs!$B$44)-MAX(5,B319))/(IF(Inputs!$B$39="pvp",15,Inputs!$B$44)-(B319))))*IF(AND(ArtifactsInput!$M$42,((Inputs!$B$9+((C300=TRUE)*(F300-Calc!F26))+B308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281*(MIN((Inputs!$B$9+((C300=TRUE)*(F300-Calc!F26))+B308+(ArtifactsInput!$M$24-ArtifactsInput!$M$24)*CHOOSE(ArtifactsInput!$N$24+1,10,12,14,16,18,20)+(IF(AND(Inputs!$B$39&lt;&gt;"pvp",Inputs!$B$44=0),1,IF(IF(Inputs!$B$39="pvp",15,Inputs!$B$44)-(B319)&lt;=0,1,MAX(0,IF(Inputs!$B$39="pvp",15,Inputs!$B$44)-MAX(5,B319))/(IF(Inputs!$B$39="pvp",15,Inputs!$B$44)-(B319))))*IF(AND(ArtifactsInput!$M$42,((Inputs!$B$9+((C300=TRUE)*(F300-Calc!F26))+B308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81">
        <f>(1-Summary!$B$11)*T281+Summary!$B$11*V281</f>
        <v/>
      </c>
      <c r="P281">
        <f>IF(B320=0,0,O281/B320)</f>
        <v/>
      </c>
      <c r="Q281">
        <f>IFERROR(1/IF(Inputs!$B$39="pvp",15,MAX(0.1,Skills!D7-IF(TRUE=TRUE,Inputs!$B$32,0))),0)</f>
        <v/>
      </c>
      <c r="R281">
        <f>IF(AND(Inputs!$B$39&lt;&gt;"pvp",Inputs!$B$44&gt;0),IF(MAX(0,Inputs!$B$44-B319)&lt;=0,0,(INT(MAX(0,Inputs!$B$44-B319)/IF(Inputs!$B$39="pvp",15,MAX(0.1,Skills!D7-IF(TRUE=TRUE,Inputs!$B$32,0))))+1)),0)</f>
        <v/>
      </c>
      <c r="S281">
        <f>IFERROR(O281/N281,0)</f>
        <v/>
      </c>
      <c r="T281">
        <f>IF(C281,(H281*N281*IF(AND(Inputs!$B$39&lt;&gt;"pvp",Inputs!$B$44&gt;0),((Skills!G7*((R281-1)*IF(Skills!H7&gt;0,Skills!I7/Skills!H7,1)+IF(Skills!H7&gt;0,MIN(Skills!I7,MAX(0,MAX(0,Inputs!$B$44-B319)-((R281-1)*IF(Inputs!$B$39="pvp",15,MAX(0.1,Skills!D7-IF(TRUE=TRUE,Inputs!$B$32,0))))))/Skills!H7,1)))/Inputs!$B$44),G281*Q281))*IF(Inputs!$B$39="pvp",1,1+(Inputs!$B$20+0+Skills!P7+B309+(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Hunt"),CHOOSE(ArtifactsInput!$N$35+1,15,18,21,24,27,30)*(1-EXP(-(0.2*B312)*5)),0)+IF(AND(ArtifactsInput!$M$22,Inputs!$B$4&lt;&gt;"Chapter Hunt"),CHOOSE(ArtifactsInput!$N$22+1,10,12,14,16,18,20)*((0*(((0.15*B312*5))^0/1)+1*(((0.15*B312*5))^1/1)+2*(((0.15*B312*5))^2/2)+3*(((0.15*B312*5))^3/6)+4*(((0.15*B312*5))^4/24)+5*(((0.15*B312*5))^5/120))/((((0.15*B312*5))^0/1)+(((0.15*B312*5))^1/1)+(((0.15*B312*5))^2/2)+(((0.15*B312*5))^3/6)+(((0.15*B312*5))^4/24)+(((0.15*B312*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281*(1-MIN(100,(Inputs!$B$9+((C300=TRUE)*(F300-Calc!F26))+B308+(ArtifactsInput!$M$24-ArtifactsInput!$M$24)*CHOOSE(ArtifactsInput!$N$24+1,10,12,14,16,18,20)+(IF(AND(Inputs!$B$39&lt;&gt;"pvp",Inputs!$B$44=0),1,IF(IF(Inputs!$B$39="pvp",15,Inputs!$B$44)-(B319)&lt;=0,1,MAX(0,IF(Inputs!$B$39="pvp",15,Inputs!$B$44)-MAX(5,B319))/(IF(Inputs!$B$39="pvp",15,Inputs!$B$44)-(B319))))*IF(AND(ArtifactsInput!$M$42,((Inputs!$B$9+((C300=TRUE)*(F300-Calc!F26))+B308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281*(MIN(100,(Inputs!$B$9+((C300=TRUE)*(F300-Calc!F26))+B308+(ArtifactsInput!$M$24-ArtifactsInput!$M$24)*CHOOSE(ArtifactsInput!$N$24+1,10,12,14,16,18,20)+(IF(AND(Inputs!$B$39&lt;&gt;"pvp",Inputs!$B$44=0),1,IF(IF(Inputs!$B$39="pvp",15,Inputs!$B$44)-(B319)&lt;=0,1,MAX(0,IF(Inputs!$B$39="pvp",15,Inputs!$B$44)-MAX(5,B319))/(IF(Inputs!$B$39="pvp",15,Inputs!$B$44)-(B319))))*IF(AND(ArtifactsInput!$M$42,((Inputs!$B$9+((C300=TRUE)*(F300-Calc!F26))+B308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281*(1-MIN(100,(Inputs!$B$9+((C300=TRUE)*(F300-Calc!F26))+B308+(ArtifactsInput!$M$24-ArtifactsInput!$M$24)*CHOOSE(ArtifactsInput!$N$24+1,10,12,14,16,18,20)+(IF(AND(Inputs!$B$39&lt;&gt;"pvp",Inputs!$B$44=0),1,IF(IF(Inputs!$B$39="pvp",15,Inputs!$B$44)-(B319)&lt;=0,1,MAX(0,IF(Inputs!$B$39="pvp",15,Inputs!$B$44)-MAX(5,B319))/(IF(Inputs!$B$39="pvp",15,Inputs!$B$44)-(B319))))*IF(AND(ArtifactsInput!$M$42,((Inputs!$B$9+((C300=TRUE)*(F300-Calc!F26))+B308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281*(MIN(100,(Inputs!$B$9+((C300=TRUE)*(F300-Calc!F26))+B308+(ArtifactsInput!$M$24-ArtifactsInput!$M$24)*CHOOSE(ArtifactsInput!$N$24+1,10,12,14,16,18,20)+(IF(AND(Inputs!$B$39&lt;&gt;"pvp",Inputs!$B$44=0),1,IF(IF(Inputs!$B$39="pvp",15,Inputs!$B$44)-(B319)&lt;=0,1,MAX(0,IF(Inputs!$B$39="pvp",15,Inputs!$B$44)-MAX(5,B319))/(IF(Inputs!$B$39="pvp",15,Inputs!$B$44)-(B319))))*IF(AND(ArtifactsInput!$M$42,((Inputs!$B$9+((C300=TRUE)*(F300-Calc!F26))+B308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81">
        <f>IF(C281,(H281*N281*IF(AND(Inputs!$B$39&lt;&gt;"pvp",Inputs!$B$44&gt;0),((Skills!G7*((R281-1)*IF(Skills!H7&gt;0,Skills!I7/Skills!H7,1)+IF(Skills!H7&gt;0,MIN(Skills!I7,MAX(0,MAX(0,Inputs!$B$44-B319)-((R281-1)*IF(Inputs!$B$39="pvp",15,MAX(0.1,Skills!D7-IF(TRUE=TRUE,Inputs!$B$32,0))))))/Skills!H7,1)))/Inputs!$B$44),G281*Q281))*IF(Inputs!$B$39="pvp",1,(1+(Inputs!$B$21+Skills!Q7+B309+(IF(ArtifactsInput!$M$33,CHOOSE(ArtifactsInput!$N$33+1,30,36,42,48,54,60),0))+(IF(AND(ArtifactsInput!$M$35,Inputs!$B$4&lt;&gt;"Chapter Hunt"),CHOOSE(ArtifactsInput!$N$35+1,15,18,21,24,27,30)*(1-EXP(-(0.2*B312)*5)),0)+IF(AND(ArtifactsInput!$M$22,Inputs!$B$4&lt;&gt;"Chapter Hunt"),CHOOSE(ArtifactsInput!$N$22+1,10,12,14,16,18,20)*((0*(((0.15*B312*5))^0/1)+1*(((0.15*B312*5))^1/1)+2*(((0.15*B312*5))^2/2)+3*(((0.15*B312*5))^3/6)+4*(((0.15*B312*5))^4/24)+5*(((0.15*B312*5))^5/120))/((((0.15*B312*5))^0/1)+(((0.15*B312*5))^1/1)+(((0.15*B312*5))^2/2)+(((0.15*B312*5))^3/6)+(((0.15*B312*5))^4/24)+(((0.15*B312*5))^5/120))),0)))/100)*(MIN(Skills!W7,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82">
      <c r="A282">
        <f>Skills!A8</f>
        <v/>
      </c>
      <c r="B282">
        <f>Skills!B8</f>
        <v/>
      </c>
      <c r="C282">
        <f>Inputs!$B$3&gt;=60</f>
        <v/>
      </c>
      <c r="D282">
        <f>IF(Skills!C8=1,60+Inputs!$B$25+Inputs!$B$29,IF(Skills!C8=2,90+Inputs!$B$26+Inputs!$B$29,IF(Skills!C8=3,120+Inputs!$B$27+Inputs!$B$29,MAX(0,(Inputs!$B$3-100)*3)+Inputs!$B$28+Inputs!$B$29)))</f>
        <v/>
      </c>
      <c r="E282">
        <f>INDEX(FactorTable!$B$2:$Y$301, MATCH(ROUND(MIN(300,MAX(1,D282)),0), FactorTable!$A$2:$A$301,0), Skills!M8+1)</f>
        <v/>
      </c>
      <c r="F282">
        <f>IF(Skills!N8=TRUE,(Skills!L8/10)*(E282/1000),Skills!L8/10)+Skills!O8</f>
        <v/>
      </c>
      <c r="G282">
        <f>Skills!G8*IF(Skills!H8&gt;0,IF(Inputs!$B$39="pvp",MIN(Skills!I8,15),Skills!I8)/Skills!H8,1)</f>
        <v/>
      </c>
      <c r="H282">
        <f>1-(1-Skills!J8/100)^Skills!K8</f>
        <v/>
      </c>
      <c r="I282" t="inlineStr">
        <is>
          <t>1</t>
        </is>
      </c>
      <c r="J282" t="inlineStr"/>
      <c r="K282" t="inlineStr"/>
      <c r="L282" t="inlineStr"/>
      <c r="M282" t="inlineStr"/>
      <c r="N282" t="inlineStr"/>
      <c r="O282">
        <f>(1-Summary!$B$11)*T282+Summary!$B$11*V282</f>
        <v/>
      </c>
      <c r="P282">
        <f>IF(B320=0,0,O282/B320)</f>
        <v/>
      </c>
      <c r="Q282" t="n">
        <v>0</v>
      </c>
      <c r="R282" t="n">
        <v>0</v>
      </c>
      <c r="S282">
        <f>IFERROR(O282/N282,0)</f>
        <v/>
      </c>
      <c r="T282" t="n">
        <v>0</v>
      </c>
      <c r="V282" t="n">
        <v>0</v>
      </c>
    </row>
    <row r="283">
      <c r="A283">
        <f>Skills!A9</f>
        <v/>
      </c>
      <c r="B283">
        <f>Skills!B9</f>
        <v/>
      </c>
      <c r="C283">
        <f>Inputs!$B$3&gt;=72</f>
        <v/>
      </c>
      <c r="D283">
        <f>IF(Skills!C9=1,60+Inputs!$B$25+Inputs!$B$29,IF(Skills!C9=2,90+Inputs!$B$26+Inputs!$B$29,IF(Skills!C9=3,120+Inputs!$B$27+Inputs!$B$29,MAX(0,(Inputs!$B$3-100)*3)+Inputs!$B$28+Inputs!$B$29)))</f>
        <v/>
      </c>
      <c r="E283">
        <f>INDEX(FactorTable!$B$2:$Y$301, MATCH(ROUND(MIN(300,MAX(1,D283)),0), FactorTable!$A$2:$A$301,0), Skills!M9+1)</f>
        <v/>
      </c>
      <c r="F283">
        <f>IF(Skills!N9=TRUE,(Skills!L9/10)*(E283/1000),Skills!L9/10)+Skills!O9</f>
        <v/>
      </c>
      <c r="G283">
        <f>Skills!G9*IF(Skills!H9&gt;0,IF(Inputs!$B$39="pvp",MIN(Skills!I9,15),Skills!I9)/Skills!H9,1)</f>
        <v/>
      </c>
      <c r="H283">
        <f>1-(1-Skills!J9/100)^Skills!K9</f>
        <v/>
      </c>
      <c r="I283" t="inlineStr">
        <is>
          <t>1</t>
        </is>
      </c>
      <c r="J283">
        <f>((Inputs!$B$6*(1+Inputs!$B$7/100))+(((Inputs!$B$12*(1+Inputs!$B$13/100))-(Inputs!$B$12*(1+Inputs!$B$13/100)))+0.25*(Inputs!$B$14-Inputs!$B$14))*(1+Inputs!$B$7/100))*(F283/100)</f>
        <v/>
      </c>
      <c r="K283">
        <f>J283*(1+((Inputs!$B$12*(1+Inputs!$B$13/100))*0.01+Inputs!$B$14*0.0025)/100)*(1+Inputs!$B$15/100)*(1+(Inputs!$B$16+1)/100)*(5000/(6000+Inputs!$B$43*(1-(100*(1-(1-Inputs!$B$19/100)*(1-CHOOSE(ArtifactsInput!$N$40+1,5,6,7,8,9,10)/100)^(ArtifactsInput!$M$40-ArtifactsInput!$M$40)))/100)))*(1+(Inputs!$B$24+((C305=TRUE)*(F305-Calc!F31))+((C292=TRUE)*(F292-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+3.3333333333333335*IF(C293=TRUE,F293,0)/100)*(1+(IF(Skills!A9="CRUEL_STAB",Inputs!$B$17+((C302=TRUE)*(F302-Calc!F28))+((IF(AND(Inputs!$B$39&lt;&gt;"pvp",Inputs!$B$44=0),1,IF(IF(Inputs!$B$39="pvp",15,Inputs!$B$44)-(B319)&lt;=0,1,MAX(0,IF(Inputs!$B$39="pvp",15,Inputs!$B$44)-MAX(5,B319))/(IF(Inputs!$B$39="pvp",15,Inputs!$B$44)-(B319))))*(IF(AND(ArtifactsInput!$M$42,((Inputs!$B$9+((C300=TRUE)*(F300-Calc!F26))+B308+(ArtifactsInput!$M$24-ArtifactsInput!$M$24)*CHOOSE(ArtifactsInput!$N$24+1,10,12,14,16,18,20)+IF(ArtifactsInput!$M$10,CHOOSE(ArtifactsInput!$N$10+1,15,18,21,24,27,30)*(IF(Inputs!$B$39="pvp",MIN(15,15)/15,IF(AND(Inputs!$B$39&lt;&gt;"pvp",Inputs!$B$44&gt;0),MIN(15,Inputs!$B$44)/(Inputs!$B$44),0))),0)))&gt;=100),MIN(100,((Inputs!$B$9+((C300=TRUE)*(F300-Calc!F26))+B308+(ArtifactsInput!$M$24-ArtifactsInput!$M$24)*CHOOSE(ArtifactsInput!$N$24+1,10,12,14,16,18,20)+IF(ArtifactsInput!$M$10,CHOOSE(ArtifactsInput!$N$10+1,15,18,21,24,27,30)*(IF(Inputs!$B$39="pvp",MIN(15,15)/15,IF(AND(Inputs!$B$39&lt;&gt;"pvp",Inputs!$B$44&gt;0),MIN(15,Inputs!$B$44)/(Inputs!$B$44),0))),0)))-100),0))*CHOOSE(ArtifactsInput!$N$42+1,0.6,0.72,0.84,0.96,1.08,1.2))),Inputs!$B$18+((C303=TRUE)*(F303-Calc!F29))+(IF(AND(Inputs!$B$39&lt;&gt;"pvp",Inputs!$B$44=0),1,IF(IF(Inputs!$B$39="pvp",15,Inputs!$B$44)-(B319)&lt;=0,1,MAX(0,IF(Inputs!$B$39="pvp",15,Inputs!$B$44)-MAX(5,B319))/(IF(Inputs!$B$39="pvp",15,Inputs!$B$44)-(B319))))*IF(AND(ArtifactsInput!$M$42,((Inputs!$B$9+((C300=TRUE)*(F300-Calc!F26))+B308+(ArtifactsInput!$M$24-ArtifactsInput!$M$24)*CHOOSE(ArtifactsInput!$N$24+1,10,12,14,16,18,20)+IF(ArtifactsInput!$M$10,CHOOSE(ArtifactsInput!$N$10+1,15,18,21,24,27,30)*(IF(Inputs!$B$39="pvp",MIN(15,15)/15,IF(AND(Inputs!$B$39&lt;&gt;"pvp",Inputs!$B$44&gt;0),MIN(15,Inputs!$B$44)/(Inputs!$B$44),0))),0)))&gt;=100),CHOOSE(ArtifactsInput!$N$42+1,40,48,56,64,72,80),0))))/100)*(((1+(((C296=TRUE)*F296*IF(AND(Inputs!$B$39&lt;&gt;"pvp",Inputs!$B$44&gt;0),(((R296-1)*MIN((Skills!Y22*(1+Inputs!$B$34/100)),(1/Q296))+MIN((Skills!Y22*(1+Inputs!$B$34/100)),MAX(0,Inputs!$B$44-((R296-1)*(1/Q296)))))/Inputs!$B$44),IF(Inputs!$B$39="pvp",MIN((Skills!Y22*(1+Inputs!$B$34/100)),15)/15,MIN(1,(Skills!Y22*(1+Inputs!$B$34/100))/(1/Q296)))))+((C277=TRUE)*F277*3)+((C279=TRUE)*F279*(1-EXP(-0.75*B312*5)))+((C298=TRUE)*(F298-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285=TRUE)*F285*IF(AND(Inputs!$B$39&lt;&gt;"pvp",Inputs!$B$44&gt;0),(((R285-1)*MIN((Skills!Y11*(1+Inputs!$B$34/100)),(1/Q285))+MIN((Skills!Y11*(1+Inputs!$B$34/100)),MAX(0,Inputs!$B$44-((R285-1)*(1/Q285)))))/Inputs!$B$44),IF(Inputs!$B$39="pvp",MIN((Skills!Y11*(1+Inputs!$B$34/100)),15)/15,MIN(1,(Skills!Y11*(1+Inputs!$B$34/100))/(1/Q285)))))/100)*(1+((C290=TRUE)*F290*IF(AND(Inputs!$B$39&lt;&gt;"pvp",Inputs!$B$44&gt;0),(((R290-1)*MIN((Skills!Y16*(1+Inputs!$B$34/100)),(1/Q290))+MIN((Skills!Y16*(1+Inputs!$B$34/100)),MAX(0,Inputs!$B$44-((R290-1)*(1/Q290)))))/Inputs!$B$44),IF(Inputs!$B$39="pvp",MIN((Skills!Y16*(1+Inputs!$B$34/100)),15)/15,MIN(1,(Skills!Y16*(1+Inputs!$B$34/100))/(1/Q290)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310*I283)</f>
        <v/>
      </c>
      <c r="L283">
        <f>K283*(MIN(Inputs!$B$22+((C299=TRUE)*(F299-Calc!F25)),(Inputs!$B$23+((C304=TRUE)*(F304-Calc!F30))+IF(ArtifactsInput!$M$15,CHOOSE(ArtifactsInput!$N$15+1,25,30,35,40,45,50)/100*(Inputs!$B$11-Inputs!$B$11),0)))/100+(Inputs!$B$23+((C304=TRUE)*(F304-Calc!F30))+IF(ArtifactsInput!$M$15,CHOOSE(ArtifactsInput!$N$15+1,25,30,35,40,45,50)/100*(Inputs!$B$11-Inputs!$B$11),0))/100)/2</f>
        <v/>
      </c>
      <c r="M283">
        <f>L283*(1+(Inputs!$B$10+((C301=TRUE)*(F301-Calc!F27))+B315+(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283">
        <f>L283*(1-MIN((Inputs!$B$9+((C300=TRUE)*(F300-Calc!F26))+B308+(ArtifactsInput!$M$24-ArtifactsInput!$M$24)*CHOOSE(ArtifactsInput!$N$24+1,10,12,14,16,18,20)+(IF(AND(Inputs!$B$39&lt;&gt;"pvp",Inputs!$B$44=0),1,IF(IF(Inputs!$B$39="pvp",15,Inputs!$B$44)-(B319)&lt;=0,1,MAX(0,IF(Inputs!$B$39="pvp",15,Inputs!$B$44)-MAX(5,B319))/(IF(Inputs!$B$39="pvp",15,Inputs!$B$44)-(B319))))*IF(AND(ArtifactsInput!$M$42,((Inputs!$B$9+((C300=TRUE)*(F300-Calc!F26))+B308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283*(MIN((Inputs!$B$9+((C300=TRUE)*(F300-Calc!F26))+B308+(ArtifactsInput!$M$24-ArtifactsInput!$M$24)*CHOOSE(ArtifactsInput!$N$24+1,10,12,14,16,18,20)+(IF(AND(Inputs!$B$39&lt;&gt;"pvp",Inputs!$B$44=0),1,IF(IF(Inputs!$B$39="pvp",15,Inputs!$B$44)-(B319)&lt;=0,1,MAX(0,IF(Inputs!$B$39="pvp",15,Inputs!$B$44)-MAX(5,B319))/(IF(Inputs!$B$39="pvp",15,Inputs!$B$44)-(B319))))*IF(AND(ArtifactsInput!$M$42,((Inputs!$B$9+((C300=TRUE)*(F300-Calc!F26))+B308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83">
        <f>(1-Summary!$B$11)*T283+Summary!$B$11*V283</f>
        <v/>
      </c>
      <c r="P283">
        <f>IF(B320=0,0,O283/B320)</f>
        <v/>
      </c>
      <c r="Q283">
        <f>IFERROR(1/IF(Inputs!$B$39="pvp",15,MAX(0.1,Skills!D9-IF(FALSE=TRUE,Inputs!$B$32,0))),0)</f>
        <v/>
      </c>
      <c r="R283">
        <f>IF(AND(Inputs!$B$39&lt;&gt;"pvp",Inputs!$B$44&gt;0),IF(MAX(0,Inputs!$B$44-B319)&lt;=0,0,(INT(MAX(0,Inputs!$B$44-B319)/IF(Inputs!$B$39="pvp",15,MAX(0.1,Skills!D9-IF(FALSE=TRUE,Inputs!$B$32,0))))+1)),0)</f>
        <v/>
      </c>
      <c r="S283">
        <f>IFERROR(O283/N283,0)</f>
        <v/>
      </c>
      <c r="T283">
        <f>IF(C283,(H283*N283*IF(AND(Inputs!$B$39&lt;&gt;"pvp",Inputs!$B$44&gt;0),((Skills!G9*((R283-1)*IF(Skills!H9&gt;0,Skills!I9/Skills!H9,1)+IF(Skills!H9&gt;0,MIN(Skills!I9,MAX(0,MAX(0,Inputs!$B$44-B319)-((R283-1)*IF(Inputs!$B$39="pvp",15,MAX(0.1,Skills!D9-IF(FALSE=TRUE,Inputs!$B$32,0))))))/Skills!H9,1)))/Inputs!$B$44),G283*Q283))*IF(Inputs!$B$39="pvp",1,1+(Inputs!$B$20+0+Skills!P9+B309+(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Hunt"),CHOOSE(ArtifactsInput!$N$35+1,15,18,21,24,27,30)*(1-EXP(-(0.2*B312)*5)),0)+IF(AND(ArtifactsInput!$M$22,Inputs!$B$4&lt;&gt;"Chapter Hunt"),CHOOSE(ArtifactsInput!$N$22+1,10,12,14,16,18,20)*((0*(((0.15*B312*5))^0/1)+1*(((0.15*B312*5))^1/1)+2*(((0.15*B312*5))^2/2)+3*(((0.15*B312*5))^3/6)+4*(((0.15*B312*5))^4/24)+5*(((0.15*B312*5))^5/120))/((((0.15*B312*5))^0/1)+(((0.15*B312*5))^1/1)+(((0.15*B312*5))^2/2)+(((0.15*B312*5))^3/6)+(((0.15*B312*5))^4/24)+(((0.15*B312*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283*(1-MIN(100,(Inputs!$B$9+((C300=TRUE)*(F300-Calc!F26))+B308+(ArtifactsInput!$M$24-ArtifactsInput!$M$24)*CHOOSE(ArtifactsInput!$N$24+1,10,12,14,16,18,20)+(IF(AND(Inputs!$B$39&lt;&gt;"pvp",Inputs!$B$44=0),1,IF(IF(Inputs!$B$39="pvp",15,Inputs!$B$44)-(B319)&lt;=0,1,MAX(0,IF(Inputs!$B$39="pvp",15,Inputs!$B$44)-MAX(5,B319))/(IF(Inputs!$B$39="pvp",15,Inputs!$B$44)-(B319))))*IF(AND(ArtifactsInput!$M$42,((Inputs!$B$9+((C300=TRUE)*(F300-Calc!F26))+B308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283*(MIN(100,(Inputs!$B$9+((C300=TRUE)*(F300-Calc!F26))+B308+(ArtifactsInput!$M$24-ArtifactsInput!$M$24)*CHOOSE(ArtifactsInput!$N$24+1,10,12,14,16,18,20)+(IF(AND(Inputs!$B$39&lt;&gt;"pvp",Inputs!$B$44=0),1,IF(IF(Inputs!$B$39="pvp",15,Inputs!$B$44)-(B319)&lt;=0,1,MAX(0,IF(Inputs!$B$39="pvp",15,Inputs!$B$44)-MAX(5,B319))/(IF(Inputs!$B$39="pvp",15,Inputs!$B$44)-(B319))))*IF(AND(ArtifactsInput!$M$42,((Inputs!$B$9+((C300=TRUE)*(F300-Calc!F26))+B308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283*(1-MIN(100,(Inputs!$B$9+((C300=TRUE)*(F300-Calc!F26))+B308+(ArtifactsInput!$M$24-ArtifactsInput!$M$24)*CHOOSE(ArtifactsInput!$N$24+1,10,12,14,16,18,20)+(IF(AND(Inputs!$B$39&lt;&gt;"pvp",Inputs!$B$44=0),1,IF(IF(Inputs!$B$39="pvp",15,Inputs!$B$44)-(B319)&lt;=0,1,MAX(0,IF(Inputs!$B$39="pvp",15,Inputs!$B$44)-MAX(5,B319))/(IF(Inputs!$B$39="pvp",15,Inputs!$B$44)-(B319))))*IF(AND(ArtifactsInput!$M$42,((Inputs!$B$9+((C300=TRUE)*(F300-Calc!F26))+B308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283*(MIN(100,(Inputs!$B$9+((C300=TRUE)*(F300-Calc!F26))+B308+(ArtifactsInput!$M$24-ArtifactsInput!$M$24)*CHOOSE(ArtifactsInput!$N$24+1,10,12,14,16,18,20)+(IF(AND(Inputs!$B$39&lt;&gt;"pvp",Inputs!$B$44=0),1,IF(IF(Inputs!$B$39="pvp",15,Inputs!$B$44)-(B319)&lt;=0,1,MAX(0,IF(Inputs!$B$39="pvp",15,Inputs!$B$44)-MAX(5,B319))/(IF(Inputs!$B$39="pvp",15,Inputs!$B$44)-(B319))))*IF(AND(ArtifactsInput!$M$42,((Inputs!$B$9+((C300=TRUE)*(F300-Calc!F26))+B308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83">
        <f>IF(C283,(H283*N283*IF(AND(Inputs!$B$39&lt;&gt;"pvp",Inputs!$B$44&gt;0),((Skills!G9*((R283-1)*IF(Skills!H9&gt;0,Skills!I9/Skills!H9,1)+IF(Skills!H9&gt;0,MIN(Skills!I9,MAX(0,MAX(0,Inputs!$B$44-B319)-((R283-1)*IF(Inputs!$B$39="pvp",15,MAX(0.1,Skills!D9-IF(FALSE=TRUE,Inputs!$B$32,0))))))/Skills!H9,1)))/Inputs!$B$44),G283*Q283))*IF(Inputs!$B$39="pvp",1,(1+(Inputs!$B$21+Skills!Q9+B309+(IF(ArtifactsInput!$M$33,CHOOSE(ArtifactsInput!$N$33+1,30,36,42,48,54,60),0))+(IF(AND(ArtifactsInput!$M$35,Inputs!$B$4&lt;&gt;"Chapter Hunt"),CHOOSE(ArtifactsInput!$N$35+1,15,18,21,24,27,30)*(1-EXP(-(0.2*B312)*5)),0)+IF(AND(ArtifactsInput!$M$22,Inputs!$B$4&lt;&gt;"Chapter Hunt"),CHOOSE(ArtifactsInput!$N$22+1,10,12,14,16,18,20)*((0*(((0.15*B312*5))^0/1)+1*(((0.15*B312*5))^1/1)+2*(((0.15*B312*5))^2/2)+3*(((0.15*B312*5))^3/6)+4*(((0.15*B312*5))^4/24)+5*(((0.15*B312*5))^5/120))/((((0.15*B312*5))^0/1)+(((0.15*B312*5))^1/1)+(((0.15*B312*5))^2/2)+(((0.15*B312*5))^3/6)+(((0.15*B312*5))^4/24)+(((0.15*B312*5))^5/120))),0)))/100)*(MIN(Skills!W9,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84">
      <c r="A284">
        <f>Skills!A10</f>
        <v/>
      </c>
      <c r="B284">
        <f>Skills!B10</f>
        <v/>
      </c>
      <c r="C284">
        <f>Inputs!$B$3&gt;=117</f>
        <v/>
      </c>
      <c r="D284">
        <f>IF(Skills!C10=1,60+Inputs!$B$25+Inputs!$B$29,IF(Skills!C10=2,90+Inputs!$B$26+Inputs!$B$29,IF(Skills!C10=3,120+Inputs!$B$27+Inputs!$B$29,MAX(0,(Inputs!$B$3-100)*3)+Inputs!$B$28+Inputs!$B$29)))</f>
        <v/>
      </c>
      <c r="E284">
        <f>INDEX(FactorTable!$B$2:$Y$301, MATCH(ROUND(MIN(300,MAX(1,D284)),0), FactorTable!$A$2:$A$301,0), Skills!M10+1)</f>
        <v/>
      </c>
      <c r="F284">
        <f>IF(Skills!N10=TRUE,(Skills!L10/10)*(E284/1000),Skills!L10/10)+Skills!O10</f>
        <v/>
      </c>
      <c r="G284">
        <f>Skills!G10*IF(Skills!H10&gt;0,IF(Inputs!$B$39="pvp",MIN(Skills!I10,15),Skills!I10)/Skills!H10,1)</f>
        <v/>
      </c>
      <c r="H284">
        <f>1-(1-Skills!J10/100)^Skills!K10</f>
        <v/>
      </c>
      <c r="I284" t="inlineStr">
        <is>
          <t>1</t>
        </is>
      </c>
      <c r="J284">
        <f>((Inputs!$B$6*(1+Inputs!$B$7/100))+(((Inputs!$B$12*(1+Inputs!$B$13/100))-(Inputs!$B$12*(1+Inputs!$B$13/100)))+0.25*(Inputs!$B$14-Inputs!$B$14))*(1+Inputs!$B$7/100))*(F284/100)</f>
        <v/>
      </c>
      <c r="K284">
        <f>J284*(1+((Inputs!$B$12*(1+Inputs!$B$13/100))*0.01+Inputs!$B$14*0.0025)/100)*(1+Inputs!$B$15/100)*(1+(Inputs!$B$16+1)/100)*(5000/(6000+Inputs!$B$43*(1-(100*(1-(1-Inputs!$B$19/100)*(1-CHOOSE(ArtifactsInput!$N$40+1,5,6,7,8,9,10)/100)^(ArtifactsInput!$M$40-ArtifactsInput!$M$40)))/100)))*(1+(Inputs!$B$24+((C305=TRUE)*(F305-Calc!F31))+((C292=TRUE)*(F292-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10="CRUEL_STAB",Inputs!$B$17+((C302=TRUE)*(F302-Calc!F28))+((IF(AND(Inputs!$B$39&lt;&gt;"pvp",Inputs!$B$44=0),1,IF(IF(Inputs!$B$39="pvp",15,Inputs!$B$44)-(B319)&lt;=0,1,MAX(0,IF(Inputs!$B$39="pvp",15,Inputs!$B$44)-MAX(5,B319))/(IF(Inputs!$B$39="pvp",15,Inputs!$B$44)-(B319))))*(IF(AND(ArtifactsInput!$M$42,((Inputs!$B$9+((C300=TRUE)*(F300-Calc!F26))+B308+(ArtifactsInput!$M$24-ArtifactsInput!$M$24)*CHOOSE(ArtifactsInput!$N$24+1,10,12,14,16,18,20)+IF(ArtifactsInput!$M$10,CHOOSE(ArtifactsInput!$N$10+1,15,18,21,24,27,30)*(IF(Inputs!$B$39="pvp",MIN(15,15)/15,IF(AND(Inputs!$B$39&lt;&gt;"pvp",Inputs!$B$44&gt;0),MIN(15,Inputs!$B$44)/(Inputs!$B$44),0))),0)))&gt;=100),MIN(100,((Inputs!$B$9+((C300=TRUE)*(F300-Calc!F26))+B308+(ArtifactsInput!$M$24-ArtifactsInput!$M$24)*CHOOSE(ArtifactsInput!$N$24+1,10,12,14,16,18,20)+IF(ArtifactsInput!$M$10,CHOOSE(ArtifactsInput!$N$10+1,15,18,21,24,27,30)*(IF(Inputs!$B$39="pvp",MIN(15,15)/15,IF(AND(Inputs!$B$39&lt;&gt;"pvp",Inputs!$B$44&gt;0),MIN(15,Inputs!$B$44)/(Inputs!$B$44),0))),0)))-100),0))*CHOOSE(ArtifactsInput!$N$42+1,0.6,0.72,0.84,0.96,1.08,1.2))),Inputs!$B$18+((C303=TRUE)*(F303-Calc!F29))+(IF(AND(Inputs!$B$39&lt;&gt;"pvp",Inputs!$B$44=0),1,IF(IF(Inputs!$B$39="pvp",15,Inputs!$B$44)-(B319)&lt;=0,1,MAX(0,IF(Inputs!$B$39="pvp",15,Inputs!$B$44)-MAX(5,B319))/(IF(Inputs!$B$39="pvp",15,Inputs!$B$44)-(B319))))*IF(AND(ArtifactsInput!$M$42,((Inputs!$B$9+((C300=TRUE)*(F300-Calc!F26))+B308+(ArtifactsInput!$M$24-ArtifactsInput!$M$24)*CHOOSE(ArtifactsInput!$N$24+1,10,12,14,16,18,20)+IF(ArtifactsInput!$M$10,CHOOSE(ArtifactsInput!$N$10+1,15,18,21,24,27,30)*(IF(Inputs!$B$39="pvp",MIN(15,15)/15,IF(AND(Inputs!$B$39&lt;&gt;"pvp",Inputs!$B$44&gt;0),MIN(15,Inputs!$B$44)/(Inputs!$B$44),0))),0)))&gt;=100),CHOOSE(ArtifactsInput!$N$42+1,40,48,56,64,72,80),0))))/100)*(((1+(((C296=TRUE)*F296*IF(AND(Inputs!$B$39&lt;&gt;"pvp",Inputs!$B$44&gt;0),(((R296-1)*MIN((Skills!Y22*(1+Inputs!$B$34/100)),(1/Q296))+MIN((Skills!Y22*(1+Inputs!$B$34/100)),MAX(0,Inputs!$B$44-((R296-1)*(1/Q296)))))/Inputs!$B$44),IF(Inputs!$B$39="pvp",MIN((Skills!Y22*(1+Inputs!$B$34/100)),15)/15,MIN(1,(Skills!Y22*(1+Inputs!$B$34/100))/(1/Q296)))))+((C277=TRUE)*F277*3)+((C279=TRUE)*F279*(1-EXP(-0.75*B312*5)))+((C298=TRUE)*(F298-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285=TRUE)*F285*IF(AND(Inputs!$B$39&lt;&gt;"pvp",Inputs!$B$44&gt;0),(((R285-1)*MIN((Skills!Y11*(1+Inputs!$B$34/100)),(1/Q285))+MIN((Skills!Y11*(1+Inputs!$B$34/100)),MAX(0,Inputs!$B$44-((R285-1)*(1/Q285)))))/Inputs!$B$44),IF(Inputs!$B$39="pvp",MIN((Skills!Y11*(1+Inputs!$B$34/100)),15)/15,MIN(1,(Skills!Y11*(1+Inputs!$B$34/100))/(1/Q285)))))/100)*(1+((C290=TRUE)*F290*IF(AND(Inputs!$B$39&lt;&gt;"pvp",Inputs!$B$44&gt;0),(((R290-1)*MIN((Skills!Y16*(1+Inputs!$B$34/100)),(1/Q290))+MIN((Skills!Y16*(1+Inputs!$B$34/100)),MAX(0,Inputs!$B$44-((R290-1)*(1/Q290)))))/Inputs!$B$44),IF(Inputs!$B$39="pvp",MIN((Skills!Y16*(1+Inputs!$B$34/100)),15)/15,MIN(1,(Skills!Y16*(1+Inputs!$B$34/100))/(1/Q290)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310*I284)</f>
        <v/>
      </c>
      <c r="L284">
        <f>K284*(MIN(Inputs!$B$22+((C299=TRUE)*(F299-Calc!F25)),(Inputs!$B$23+((C304=TRUE)*(F304-Calc!F30))+IF(ArtifactsInput!$M$15,CHOOSE(ArtifactsInput!$N$15+1,25,30,35,40,45,50)/100*(Inputs!$B$11-Inputs!$B$11),0)))/100+(Inputs!$B$23+((C304=TRUE)*(F304-Calc!F30))+IF(ArtifactsInput!$M$15,CHOOSE(ArtifactsInput!$N$15+1,25,30,35,40,45,50)/100*(Inputs!$B$11-Inputs!$B$11),0))/100)/2</f>
        <v/>
      </c>
      <c r="M284">
        <f>L284*(1+(Inputs!$B$10+((C301=TRUE)*(F301-Calc!F27))+B315+(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284">
        <f>L284*(1-MIN((Inputs!$B$9+((C300=TRUE)*(F300-Calc!F26))+B308+(ArtifactsInput!$M$24-ArtifactsInput!$M$24)*CHOOSE(ArtifactsInput!$N$24+1,10,12,14,16,18,20)+(IF(AND(Inputs!$B$39&lt;&gt;"pvp",Inputs!$B$44=0),1,IF(IF(Inputs!$B$39="pvp",15,Inputs!$B$44)-(B319)&lt;=0,1,MAX(0,IF(Inputs!$B$39="pvp",15,Inputs!$B$44)-MAX(5,B319))/(IF(Inputs!$B$39="pvp",15,Inputs!$B$44)-(B319))))*IF(AND(ArtifactsInput!$M$42,((Inputs!$B$9+((C300=TRUE)*(F300-Calc!F26))+B308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284*(MIN((Inputs!$B$9+((C300=TRUE)*(F300-Calc!F26))+B308+(ArtifactsInput!$M$24-ArtifactsInput!$M$24)*CHOOSE(ArtifactsInput!$N$24+1,10,12,14,16,18,20)+(IF(AND(Inputs!$B$39&lt;&gt;"pvp",Inputs!$B$44=0),1,IF(IF(Inputs!$B$39="pvp",15,Inputs!$B$44)-(B319)&lt;=0,1,MAX(0,IF(Inputs!$B$39="pvp",15,Inputs!$B$44)-MAX(5,B319))/(IF(Inputs!$B$39="pvp",15,Inputs!$B$44)-(B319))))*IF(AND(ArtifactsInput!$M$42,((Inputs!$B$9+((C300=TRUE)*(F300-Calc!F26))+B308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84">
        <f>(1-Summary!$B$11)*T284+Summary!$B$11*V284</f>
        <v/>
      </c>
      <c r="P284">
        <f>IF(B320=0,0,O284/B320)</f>
        <v/>
      </c>
      <c r="Q284" t="n">
        <v>0</v>
      </c>
      <c r="R284" t="n">
        <v>0</v>
      </c>
      <c r="S284" t="n">
        <v>0</v>
      </c>
      <c r="T284">
        <f>IF(C284,(0.2*SUMPRODUCT((Skills!Z2:Z31=TRUE)*(C276:C305=TRUE)*S276:S305)*N284)*IF(Inputs!$B$39="pvp",1,1+(Inputs!$B$20+0+Skills!P10+B309+(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Hunt"),CHOOSE(ArtifactsInput!$N$35+1,15,18,21,24,27,30)*(1-EXP(-(0.2*B312)*5)),0)+IF(AND(ArtifactsInput!$M$22,Inputs!$B$4&lt;&gt;"Chapter Hunt"),CHOOSE(ArtifactsInput!$N$22+1,10,12,14,16,18,20)*((0*(((0.15*B312*5))^0/1)+1*(((0.15*B312*5))^1/1)+2*(((0.15*B312*5))^2/2)+3*(((0.15*B312*5))^3/6)+4*(((0.15*B312*5))^4/24)+5*(((0.15*B312*5))^5/120))/((((0.15*B312*5))^0/1)+(((0.15*B312*5))^1/1)+(((0.15*B312*5))^2/2)+(((0.15*B312*5))^3/6)+(((0.15*B312*5))^4/24)+(((0.15*B312*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284*(1-MIN(100,(Inputs!$B$9+((C300=TRUE)*(F300-Calc!F26))+B308+(ArtifactsInput!$M$24-ArtifactsInput!$M$24)*CHOOSE(ArtifactsInput!$N$24+1,10,12,14,16,18,20)+(IF(AND(Inputs!$B$39&lt;&gt;"pvp",Inputs!$B$44=0),1,IF(IF(Inputs!$B$39="pvp",15,Inputs!$B$44)-(B319)&lt;=0,1,MAX(0,IF(Inputs!$B$39="pvp",15,Inputs!$B$44)-MAX(5,B319))/(IF(Inputs!$B$39="pvp",15,Inputs!$B$44)-(B319))))*IF(AND(ArtifactsInput!$M$42,((Inputs!$B$9+((C300=TRUE)*(F300-Calc!F26))+B308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284*(MIN(100,(Inputs!$B$9+((C300=TRUE)*(F300-Calc!F26))+B308+(ArtifactsInput!$M$24-ArtifactsInput!$M$24)*CHOOSE(ArtifactsInput!$N$24+1,10,12,14,16,18,20)+(IF(AND(Inputs!$B$39&lt;&gt;"pvp",Inputs!$B$44=0),1,IF(IF(Inputs!$B$39="pvp",15,Inputs!$B$44)-(B319)&lt;=0,1,MAX(0,IF(Inputs!$B$39="pvp",15,Inputs!$B$44)-MAX(5,B319))/(IF(Inputs!$B$39="pvp",15,Inputs!$B$44)-(B319))))*IF(AND(ArtifactsInput!$M$42,((Inputs!$B$9+((C300=TRUE)*(F300-Calc!F26))+B308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284*(1-MIN(100,(Inputs!$B$9+((C300=TRUE)*(F300-Calc!F26))+B308+(ArtifactsInput!$M$24-ArtifactsInput!$M$24)*CHOOSE(ArtifactsInput!$N$24+1,10,12,14,16,18,20)+(IF(AND(Inputs!$B$39&lt;&gt;"pvp",Inputs!$B$44=0),1,IF(IF(Inputs!$B$39="pvp",15,Inputs!$B$44)-(B319)&lt;=0,1,MAX(0,IF(Inputs!$B$39="pvp",15,Inputs!$B$44)-MAX(5,B319))/(IF(Inputs!$B$39="pvp",15,Inputs!$B$44)-(B319))))*IF(AND(ArtifactsInput!$M$42,((Inputs!$B$9+((C300=TRUE)*(F300-Calc!F26))+B308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284*(MIN(100,(Inputs!$B$9+((C300=TRUE)*(F300-Calc!F26))+B308+(ArtifactsInput!$M$24-ArtifactsInput!$M$24)*CHOOSE(ArtifactsInput!$N$24+1,10,12,14,16,18,20)+(IF(AND(Inputs!$B$39&lt;&gt;"pvp",Inputs!$B$44=0),1,IF(IF(Inputs!$B$39="pvp",15,Inputs!$B$44)-(B319)&lt;=0,1,MAX(0,IF(Inputs!$B$39="pvp",15,Inputs!$B$44)-MAX(5,B319))/(IF(Inputs!$B$39="pvp",15,Inputs!$B$44)-(B319))))*IF(AND(ArtifactsInput!$M$42,((Inputs!$B$9+((C300=TRUE)*(F300-Calc!F26))+B308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84">
        <f>IF(C284,(0.2*SUMPRODUCT((Skills!Z2:Z31=TRUE)*(C276:C305=TRUE)*S276:S305)*N284)*IF(Inputs!$B$39="pvp",1,(1+(Inputs!$B$21+Skills!Q10+B309+(IF(ArtifactsInput!$M$33,CHOOSE(ArtifactsInput!$N$33+1,30,36,42,48,54,60),0))+(IF(AND(ArtifactsInput!$M$35,Inputs!$B$4&lt;&gt;"Chapter Hunt"),CHOOSE(ArtifactsInput!$N$35+1,15,18,21,24,27,30)*(1-EXP(-(0.2*B312)*5)),0)+IF(AND(ArtifactsInput!$M$22,Inputs!$B$4&lt;&gt;"Chapter Hunt"),CHOOSE(ArtifactsInput!$N$22+1,10,12,14,16,18,20)*((0*(((0.15*B312*5))^0/1)+1*(((0.15*B312*5))^1/1)+2*(((0.15*B312*5))^2/2)+3*(((0.15*B312*5))^3/6)+4*(((0.15*B312*5))^4/24)+5*(((0.15*B312*5))^5/120))/((((0.15*B312*5))^0/1)+(((0.15*B312*5))^1/1)+(((0.15*B312*5))^2/2)+(((0.15*B312*5))^3/6)+(((0.15*B312*5))^4/24)+(((0.15*B312*5))^5/120))),0)))/100)*(MIN(Skills!W10,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85">
      <c r="A285">
        <f>Skills!A11</f>
        <v/>
      </c>
      <c r="B285">
        <f>Skills!B11</f>
        <v/>
      </c>
      <c r="C285">
        <f>Inputs!$B$3&gt;=74</f>
        <v/>
      </c>
      <c r="D285">
        <f>IF(Skills!C11=1,60+Inputs!$B$25+Inputs!$B$29,IF(Skills!C11=2,90+Inputs!$B$26+Inputs!$B$29,IF(Skills!C11=3,120+Inputs!$B$27+Inputs!$B$29,MAX(0,(Inputs!$B$3-100)*3)+Inputs!$B$28+Inputs!$B$29)))</f>
        <v/>
      </c>
      <c r="E285">
        <f>INDEX(FactorTable!$B$2:$Y$301, MATCH(ROUND(MIN(300,MAX(1,D285)),0), FactorTable!$A$2:$A$301,0), Skills!M11+1)</f>
        <v/>
      </c>
      <c r="F285">
        <f>IF(Skills!N11=TRUE,(Skills!L11/10)*(E285/1000),Skills!L11/10)+Skills!O11</f>
        <v/>
      </c>
      <c r="G285">
        <f>Skills!G11*IF(Skills!H11&gt;0,IF(Inputs!$B$39="pvp",MIN(Skills!I11,15),Skills!I11)/Skills!H11,1)</f>
        <v/>
      </c>
      <c r="H285">
        <f>1-(1-Skills!J11/100)^Skills!K11</f>
        <v/>
      </c>
      <c r="I285" t="inlineStr">
        <is>
          <t>1</t>
        </is>
      </c>
      <c r="J285" t="inlineStr"/>
      <c r="K285" t="inlineStr"/>
      <c r="L285" t="inlineStr"/>
      <c r="M285" t="inlineStr"/>
      <c r="N285" t="inlineStr"/>
      <c r="O285">
        <f>(1-Summary!$B$11)*T285+Summary!$B$11*V285</f>
        <v/>
      </c>
      <c r="P285">
        <f>IF(B320=0,0,O285/B320)</f>
        <v/>
      </c>
      <c r="Q285">
        <f>IFERROR(1/IF(Inputs!$B$39="pvp",15,MAX(0.1,Skills!D11-IF(TRUE=TRUE,Inputs!$B$32,0))),0)</f>
        <v/>
      </c>
      <c r="R285">
        <f>IF(AND(Inputs!$B$39&lt;&gt;"pvp",Inputs!$B$44&gt;0),IF(Inputs!$B$44&lt;=0,0,(INT(Inputs!$B$44/IF(Inputs!$B$39="pvp",15,MAX(0.1,Skills!D11-IF(TRUE=TRUE,Inputs!$B$32,0))))+1)),0)</f>
        <v/>
      </c>
      <c r="S285">
        <f>IFERROR(O285/N285,0)</f>
        <v/>
      </c>
      <c r="T285" t="n">
        <v>0</v>
      </c>
      <c r="V285" t="n">
        <v>0</v>
      </c>
    </row>
    <row r="286">
      <c r="A286">
        <f>Skills!A12</f>
        <v/>
      </c>
      <c r="B286">
        <f>Skills!B12</f>
        <v/>
      </c>
      <c r="C286">
        <f>Inputs!$B$3&gt;=103</f>
        <v/>
      </c>
      <c r="D286">
        <f>IF(Skills!C12=1,60+Inputs!$B$25+Inputs!$B$29,IF(Skills!C12=2,90+Inputs!$B$26+Inputs!$B$29,IF(Skills!C12=3,120+Inputs!$B$27+Inputs!$B$29,MAX(0,(Inputs!$B$3-100)*3)+Inputs!$B$28+Inputs!$B$29)))</f>
        <v/>
      </c>
      <c r="E286">
        <f>INDEX(FactorTable!$B$2:$Y$301, MATCH(ROUND(MIN(300,MAX(1,D286)),0), FactorTable!$A$2:$A$301,0), Skills!M12+1)</f>
        <v/>
      </c>
      <c r="F286">
        <f>(Skills!L12/10)*(E286/1000)+IF(Inputs!$B$3&gt;=134,50,0)+0.5*(30000/10)*(INDEX(FactorTable!$B$2:$Y$301, MATCH(ROUND(MIN(300,MAX(1,D286)),0), FactorTable!$A$2:$A$301,0), 13)/1000)*B318</f>
        <v/>
      </c>
      <c r="G286">
        <f>Skills!G12*IF(Skills!H12&gt;0,IF(Inputs!$B$39="pvp",MIN(Skills!I12,15),Skills!I12)/Skills!H12,1)</f>
        <v/>
      </c>
      <c r="H286">
        <f>1-(1-Skills!J12/100)^Skills!K12</f>
        <v/>
      </c>
      <c r="I286" t="inlineStr">
        <is>
          <t>1</t>
        </is>
      </c>
      <c r="J286">
        <f>((Inputs!$B$6*(1+Inputs!$B$7/100))+(((Inputs!$B$12*(1+Inputs!$B$13/100))-(Inputs!$B$12*(1+Inputs!$B$13/100)))+0.25*(Inputs!$B$14-Inputs!$B$14))*(1+Inputs!$B$7/100))*(F286/100)</f>
        <v/>
      </c>
      <c r="K286">
        <f>J286*(1+((Inputs!$B$12*(1+Inputs!$B$13/100))*0.01+Inputs!$B$14*0.0025)/100)*(1+Inputs!$B$15/100)*(1+(Inputs!$B$16+1)/100)*(5000/(6000+Inputs!$B$43*(1-(100*(1-(1-Inputs!$B$19/100)*(1-CHOOSE(ArtifactsInput!$N$40+1,5,6,7,8,9,10)/100)^(ArtifactsInput!$M$40-ArtifactsInput!$M$40)))/100)))*(1+(Inputs!$B$24+((C305=TRUE)*(F305-Calc!F31))+((C292=TRUE)*(F292-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12="CRUEL_STAB",Inputs!$B$17+((C302=TRUE)*(F302-Calc!F28))+((IF(AND(Inputs!$B$39&lt;&gt;"pvp",Inputs!$B$44=0),1,IF(IF(Inputs!$B$39="pvp",15,Inputs!$B$44)-(B319)&lt;=0,1,MAX(0,IF(Inputs!$B$39="pvp",15,Inputs!$B$44)-MAX(5,B319))/(IF(Inputs!$B$39="pvp",15,Inputs!$B$44)-(B319))))*(IF(AND(ArtifactsInput!$M$42,((Inputs!$B$9+((C300=TRUE)*(F300-Calc!F26))+B308+(ArtifactsInput!$M$24-ArtifactsInput!$M$24)*CHOOSE(ArtifactsInput!$N$24+1,10,12,14,16,18,20)+IF(ArtifactsInput!$M$10,CHOOSE(ArtifactsInput!$N$10+1,15,18,21,24,27,30)*(IF(Inputs!$B$39="pvp",MIN(15,15)/15,IF(AND(Inputs!$B$39&lt;&gt;"pvp",Inputs!$B$44&gt;0),MIN(15,Inputs!$B$44)/(Inputs!$B$44),0))),0)))&gt;=100),MIN(100,((Inputs!$B$9+((C300=TRUE)*(F300-Calc!F26))+B308+(ArtifactsInput!$M$24-ArtifactsInput!$M$24)*CHOOSE(ArtifactsInput!$N$24+1,10,12,14,16,18,20)+IF(ArtifactsInput!$M$10,CHOOSE(ArtifactsInput!$N$10+1,15,18,21,24,27,30)*(IF(Inputs!$B$39="pvp",MIN(15,15)/15,IF(AND(Inputs!$B$39&lt;&gt;"pvp",Inputs!$B$44&gt;0),MIN(15,Inputs!$B$44)/(Inputs!$B$44),0))),0)))-100),0))*CHOOSE(ArtifactsInput!$N$42+1,0.6,0.72,0.84,0.96,1.08,1.2))),Inputs!$B$18+((C303=TRUE)*(F303-Calc!F29))+(IF(AND(Inputs!$B$39&lt;&gt;"pvp",Inputs!$B$44=0),1,IF(IF(Inputs!$B$39="pvp",15,Inputs!$B$44)-(B319)&lt;=0,1,MAX(0,IF(Inputs!$B$39="pvp",15,Inputs!$B$44)-MAX(5,B319))/(IF(Inputs!$B$39="pvp",15,Inputs!$B$44)-(B319))))*IF(AND(ArtifactsInput!$M$42,((Inputs!$B$9+((C300=TRUE)*(F300-Calc!F26))+B308+(ArtifactsInput!$M$24-ArtifactsInput!$M$24)*CHOOSE(ArtifactsInput!$N$24+1,10,12,14,16,18,20)+IF(ArtifactsInput!$M$10,CHOOSE(ArtifactsInput!$N$10+1,15,18,21,24,27,30)*(IF(Inputs!$B$39="pvp",MIN(15,15)/15,IF(AND(Inputs!$B$39&lt;&gt;"pvp",Inputs!$B$44&gt;0),MIN(15,Inputs!$B$44)/(Inputs!$B$44),0))),0)))&gt;=100),CHOOSE(ArtifactsInput!$N$42+1,40,48,56,64,72,80),0))))/100)*(((1+(((C296=TRUE)*F296*IF(AND(Inputs!$B$39&lt;&gt;"pvp",Inputs!$B$44&gt;0),(((R296-1)*MIN((Skills!Y22*(1+Inputs!$B$34/100)),(1/Q296))+MIN((Skills!Y22*(1+Inputs!$B$34/100)),MAX(0,Inputs!$B$44-((R296-1)*(1/Q296)))))/Inputs!$B$44),IF(Inputs!$B$39="pvp",MIN((Skills!Y22*(1+Inputs!$B$34/100)),15)/15,MIN(1,(Skills!Y22*(1+Inputs!$B$34/100))/(1/Q296)))))+((C277=TRUE)*F277*3)+((C279=TRUE)*F279*(1-EXP(-0.75*B312*5)))+((C298=TRUE)*(F298-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285=TRUE)*F285*IF(AND(Inputs!$B$39&lt;&gt;"pvp",Inputs!$B$44&gt;0),(((R285-1)*MIN((Skills!Y11*(1+Inputs!$B$34/100)),(1/Q285))+MIN((Skills!Y11*(1+Inputs!$B$34/100)),MAX(0,Inputs!$B$44-((R285-1)*(1/Q285)))))/Inputs!$B$44),IF(Inputs!$B$39="pvp",MIN((Skills!Y11*(1+Inputs!$B$34/100)),15)/15,MIN(1,(Skills!Y11*(1+Inputs!$B$34/100))/(1/Q285)))))/100)*(1+((C290=TRUE)*F290*IF(AND(Inputs!$B$39&lt;&gt;"pvp",Inputs!$B$44&gt;0),(((R290-1)*MIN((Skills!Y16*(1+Inputs!$B$34/100)),(1/Q290))+MIN((Skills!Y16*(1+Inputs!$B$34/100)),MAX(0,Inputs!$B$44-((R290-1)*(1/Q290)))))/Inputs!$B$44),IF(Inputs!$B$39="pvp",MIN((Skills!Y16*(1+Inputs!$B$34/100)),15)/15,MIN(1,(Skills!Y16*(1+Inputs!$B$34/100))/(1/Q290)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310*I286)</f>
        <v/>
      </c>
      <c r="L286">
        <f>K286*(MIN(Inputs!$B$22+((C299=TRUE)*(F299-Calc!F25)),(Inputs!$B$23+((C304=TRUE)*(F304-Calc!F30))+IF(ArtifactsInput!$M$15,CHOOSE(ArtifactsInput!$N$15+1,25,30,35,40,45,50)/100*(Inputs!$B$11-Inputs!$B$11),0)))/100+(Inputs!$B$23+((C304=TRUE)*(F304-Calc!F30))+IF(ArtifactsInput!$M$15,CHOOSE(ArtifactsInput!$N$15+1,25,30,35,40,45,50)/100*(Inputs!$B$11-Inputs!$B$11),0))/100)/2</f>
        <v/>
      </c>
      <c r="M286">
        <f>L286*(1+(Inputs!$B$10+((C301=TRUE)*(F301-Calc!F27))+B315+(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286">
        <f>L286*(1-MIN((Inputs!$B$9+((C300=TRUE)*(F300-Calc!F26))+B308+(ArtifactsInput!$M$24-ArtifactsInput!$M$24)*CHOOSE(ArtifactsInput!$N$24+1,10,12,14,16,18,20)+(IF(AND(Inputs!$B$39&lt;&gt;"pvp",Inputs!$B$44=0),1,IF(IF(Inputs!$B$39="pvp",15,Inputs!$B$44)-(B319)&lt;=0,1,MAX(0,IF(Inputs!$B$39="pvp",15,Inputs!$B$44)-MAX(5,B319))/(IF(Inputs!$B$39="pvp",15,Inputs!$B$44)-(B319))))*IF(AND(ArtifactsInput!$M$42,((Inputs!$B$9+((C300=TRUE)*(F300-Calc!F26))+B308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286*(MIN((Inputs!$B$9+((C300=TRUE)*(F300-Calc!F26))+B308+(ArtifactsInput!$M$24-ArtifactsInput!$M$24)*CHOOSE(ArtifactsInput!$N$24+1,10,12,14,16,18,20)+(IF(AND(Inputs!$B$39&lt;&gt;"pvp",Inputs!$B$44=0),1,IF(IF(Inputs!$B$39="pvp",15,Inputs!$B$44)-(B319)&lt;=0,1,MAX(0,IF(Inputs!$B$39="pvp",15,Inputs!$B$44)-MAX(5,B319))/(IF(Inputs!$B$39="pvp",15,Inputs!$B$44)-(B319))))*IF(AND(ArtifactsInput!$M$42,((Inputs!$B$9+((C300=TRUE)*(F300-Calc!F26))+B308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86">
        <f>(1-Summary!$B$11)*T286+Summary!$B$11*V286</f>
        <v/>
      </c>
      <c r="P286">
        <f>IF(B320=0,0,O286/B320)</f>
        <v/>
      </c>
      <c r="Q286">
        <f>IFERROR(1/IF(Inputs!$B$39="pvp",15,MAX(0.1,Skills!D12-IF(TRUE=TRUE,Inputs!$B$32,0))),0)</f>
        <v/>
      </c>
      <c r="R286">
        <f>IF(AND(Inputs!$B$39&lt;&gt;"pvp",Inputs!$B$44&gt;0),IF(MAX(0,Inputs!$B$44-B319)&lt;=0,0,(INT(MAX(0,Inputs!$B$44-B319)/IF(Inputs!$B$39="pvp",15,MAX(0.1,Skills!D12-IF(TRUE=TRUE,Inputs!$B$32,0))))+1)),0)</f>
        <v/>
      </c>
      <c r="S286">
        <f>IFERROR(O286/N286,0)</f>
        <v/>
      </c>
      <c r="T286">
        <f>IF(C286,(H286*N286*IF(AND(Inputs!$B$39&lt;&gt;"pvp",Inputs!$B$44&gt;0),((Skills!G12*((R286-1)*IF(Skills!H12&gt;0,Skills!I12/Skills!H12,1)+IF(Skills!H12&gt;0,MIN(Skills!I12,MAX(0,MAX(0,Inputs!$B$44-B319)-((R286-1)*IF(Inputs!$B$39="pvp",15,MAX(0.1,Skills!D12-IF(TRUE=TRUE,Inputs!$B$32,0))))))/Skills!H12,1)))/Inputs!$B$44),G286*Q286))*IF(Inputs!$B$39="pvp",1,1+(Inputs!$B$20+0+Skills!P12+B309+(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Hunt"),CHOOSE(ArtifactsInput!$N$35+1,15,18,21,24,27,30)*(1-EXP(-(0.2*B312)*5)),0)+IF(AND(ArtifactsInput!$M$22,Inputs!$B$4&lt;&gt;"Chapter Hunt"),CHOOSE(ArtifactsInput!$N$22+1,10,12,14,16,18,20)*((0*(((0.15*B312*5))^0/1)+1*(((0.15*B312*5))^1/1)+2*(((0.15*B312*5))^2/2)+3*(((0.15*B312*5))^3/6)+4*(((0.15*B312*5))^4/24)+5*(((0.15*B312*5))^5/120))/((((0.15*B312*5))^0/1)+(((0.15*B312*5))^1/1)+(((0.15*B312*5))^2/2)+(((0.15*B312*5))^3/6)+(((0.15*B312*5))^4/24)+(((0.15*B312*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286*(1-MIN(100,(Inputs!$B$9+((C300=TRUE)*(F300-Calc!F26))+B308+(ArtifactsInput!$M$24-ArtifactsInput!$M$24)*CHOOSE(ArtifactsInput!$N$24+1,10,12,14,16,18,20)+(IF(AND(Inputs!$B$39&lt;&gt;"pvp",Inputs!$B$44=0),1,IF(IF(Inputs!$B$39="pvp",15,Inputs!$B$44)-(B319)&lt;=0,1,MAX(0,IF(Inputs!$B$39="pvp",15,Inputs!$B$44)-MAX(5,B319))/(IF(Inputs!$B$39="pvp",15,Inputs!$B$44)-(B319))))*IF(AND(ArtifactsInput!$M$42,((Inputs!$B$9+((C300=TRUE)*(F300-Calc!F26))+B308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286*(MIN(100,(Inputs!$B$9+((C300=TRUE)*(F300-Calc!F26))+B308+(ArtifactsInput!$M$24-ArtifactsInput!$M$24)*CHOOSE(ArtifactsInput!$N$24+1,10,12,14,16,18,20)+(IF(AND(Inputs!$B$39&lt;&gt;"pvp",Inputs!$B$44=0),1,IF(IF(Inputs!$B$39="pvp",15,Inputs!$B$44)-(B319)&lt;=0,1,MAX(0,IF(Inputs!$B$39="pvp",15,Inputs!$B$44)-MAX(5,B319))/(IF(Inputs!$B$39="pvp",15,Inputs!$B$44)-(B319))))*IF(AND(ArtifactsInput!$M$42,((Inputs!$B$9+((C300=TRUE)*(F300-Calc!F26))+B308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286*(1-MIN(100,(Inputs!$B$9+((C300=TRUE)*(F300-Calc!F26))+B308+(ArtifactsInput!$M$24-ArtifactsInput!$M$24)*CHOOSE(ArtifactsInput!$N$24+1,10,12,14,16,18,20)+(IF(AND(Inputs!$B$39&lt;&gt;"pvp",Inputs!$B$44=0),1,IF(IF(Inputs!$B$39="pvp",15,Inputs!$B$44)-(B319)&lt;=0,1,MAX(0,IF(Inputs!$B$39="pvp",15,Inputs!$B$44)-MAX(5,B319))/(IF(Inputs!$B$39="pvp",15,Inputs!$B$44)-(B319))))*IF(AND(ArtifactsInput!$M$42,((Inputs!$B$9+((C300=TRUE)*(F300-Calc!F26))+B308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286*(MIN(100,(Inputs!$B$9+((C300=TRUE)*(F300-Calc!F26))+B308+(ArtifactsInput!$M$24-ArtifactsInput!$M$24)*CHOOSE(ArtifactsInput!$N$24+1,10,12,14,16,18,20)+(IF(AND(Inputs!$B$39&lt;&gt;"pvp",Inputs!$B$44=0),1,IF(IF(Inputs!$B$39="pvp",15,Inputs!$B$44)-(B319)&lt;=0,1,MAX(0,IF(Inputs!$B$39="pvp",15,Inputs!$B$44)-MAX(5,B319))/(IF(Inputs!$B$39="pvp",15,Inputs!$B$44)-(B319))))*IF(AND(ArtifactsInput!$M$42,((Inputs!$B$9+((C300=TRUE)*(F300-Calc!F26))+B308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86">
        <f>IF(C286,(H286*N286*IF(AND(Inputs!$B$39&lt;&gt;"pvp",Inputs!$B$44&gt;0),((Skills!G12*((R286-1)*IF(Skills!H12&gt;0,Skills!I12/Skills!H12,1)+IF(Skills!H12&gt;0,MIN(Skills!I12,MAX(0,MAX(0,Inputs!$B$44-B319)-((R286-1)*IF(Inputs!$B$39="pvp",15,MAX(0.1,Skills!D12-IF(TRUE=TRUE,Inputs!$B$32,0))))))/Skills!H12,1)))/Inputs!$B$44),G286*Q286))*IF(Inputs!$B$39="pvp",1,(1+(Inputs!$B$21+Skills!Q12+B309+(IF(ArtifactsInput!$M$33,CHOOSE(ArtifactsInput!$N$33+1,30,36,42,48,54,60),0))+(IF(AND(ArtifactsInput!$M$35,Inputs!$B$4&lt;&gt;"Chapter Hunt"),CHOOSE(ArtifactsInput!$N$35+1,15,18,21,24,27,30)*(1-EXP(-(0.2*B312)*5)),0)+IF(AND(ArtifactsInput!$M$22,Inputs!$B$4&lt;&gt;"Chapter Hunt"),CHOOSE(ArtifactsInput!$N$22+1,10,12,14,16,18,20)*((0*(((0.15*B312*5))^0/1)+1*(((0.15*B312*5))^1/1)+2*(((0.15*B312*5))^2/2)+3*(((0.15*B312*5))^3/6)+4*(((0.15*B312*5))^4/24)+5*(((0.15*B312*5))^5/120))/((((0.15*B312*5))^0/1)+(((0.15*B312*5))^1/1)+(((0.15*B312*5))^2/2)+(((0.15*B312*5))^3/6)+(((0.15*B312*5))^4/24)+(((0.15*B312*5))^5/120))),0)))/100)*(MIN(Skills!W12,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87">
      <c r="A287">
        <f>Skills!A13</f>
        <v/>
      </c>
      <c r="B287">
        <f>Skills!B13</f>
        <v/>
      </c>
      <c r="C287">
        <f>Inputs!$B$3&gt;=105</f>
        <v/>
      </c>
      <c r="D287">
        <f>IF(Skills!C13=1,60+Inputs!$B$25+Inputs!$B$29,IF(Skills!C13=2,90+Inputs!$B$26+Inputs!$B$29,IF(Skills!C13=3,120+Inputs!$B$27+Inputs!$B$29,MAX(0,(Inputs!$B$3-100)*3)+Inputs!$B$28+Inputs!$B$29)))</f>
        <v/>
      </c>
      <c r="E287">
        <f>INDEX(FactorTable!$B$2:$Y$301, MATCH(ROUND(MIN(300,MAX(1,D287)),0), FactorTable!$A$2:$A$301,0), Skills!M13+1)</f>
        <v/>
      </c>
      <c r="F287">
        <f>IF(Skills!N13=TRUE,(Skills!L13/10)*(E287/1000),Skills!L13/10)+Skills!O13</f>
        <v/>
      </c>
      <c r="G287">
        <f>Skills!G13*IF(Skills!H13&gt;0,IF(Inputs!$B$39="pvp",MIN(Skills!I13,15),Skills!I13)/Skills!H13,1)</f>
        <v/>
      </c>
      <c r="H287">
        <f>1-(1-Skills!J13/100)^Skills!K13</f>
        <v/>
      </c>
      <c r="I287" t="inlineStr">
        <is>
          <t>1</t>
        </is>
      </c>
      <c r="J287">
        <f>((Inputs!$B$6*(1+Inputs!$B$7/100))+(((Inputs!$B$12*(1+Inputs!$B$13/100))-(Inputs!$B$12*(1+Inputs!$B$13/100)))+0.25*(Inputs!$B$14-Inputs!$B$14))*(1+Inputs!$B$7/100))*(F287/100)</f>
        <v/>
      </c>
      <c r="K287">
        <f>J287*(1+((Inputs!$B$12*(1+Inputs!$B$13/100))*0.01+Inputs!$B$14*0.0025)/100)*(1+Inputs!$B$15/100)*(1+(Inputs!$B$16+1)/100)*(5000/(6000+Inputs!$B$43*(1-(100*(1-(1-Inputs!$B$19/100)*(1-CHOOSE(ArtifactsInput!$N$40+1,5,6,7,8,9,10)/100)^(ArtifactsInput!$M$40-ArtifactsInput!$M$40)))/100)))*(1+(Inputs!$B$24+((C305=TRUE)*(F305-Calc!F31))+((C292=TRUE)*(F292-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13="CRUEL_STAB",Inputs!$B$17+((C302=TRUE)*(F302-Calc!F28))+((IF(AND(Inputs!$B$39&lt;&gt;"pvp",Inputs!$B$44=0),1,IF(IF(Inputs!$B$39="pvp",15,Inputs!$B$44)-(B319)&lt;=0,1,MAX(0,IF(Inputs!$B$39="pvp",15,Inputs!$B$44)-MAX(5,B319))/(IF(Inputs!$B$39="pvp",15,Inputs!$B$44)-(B319))))*(IF(AND(ArtifactsInput!$M$42,((Inputs!$B$9+((C300=TRUE)*(F300-Calc!F26))+B308+(ArtifactsInput!$M$24-ArtifactsInput!$M$24)*CHOOSE(ArtifactsInput!$N$24+1,10,12,14,16,18,20)+IF(ArtifactsInput!$M$10,CHOOSE(ArtifactsInput!$N$10+1,15,18,21,24,27,30)*(IF(Inputs!$B$39="pvp",MIN(15,15)/15,IF(AND(Inputs!$B$39&lt;&gt;"pvp",Inputs!$B$44&gt;0),MIN(15,Inputs!$B$44)/(Inputs!$B$44),0))),0)))&gt;=100),MIN(100,((Inputs!$B$9+((C300=TRUE)*(F300-Calc!F26))+B308+(ArtifactsInput!$M$24-ArtifactsInput!$M$24)*CHOOSE(ArtifactsInput!$N$24+1,10,12,14,16,18,20)+IF(ArtifactsInput!$M$10,CHOOSE(ArtifactsInput!$N$10+1,15,18,21,24,27,30)*(IF(Inputs!$B$39="pvp",MIN(15,15)/15,IF(AND(Inputs!$B$39&lt;&gt;"pvp",Inputs!$B$44&gt;0),MIN(15,Inputs!$B$44)/(Inputs!$B$44),0))),0)))-100),0))*CHOOSE(ArtifactsInput!$N$42+1,0.6,0.72,0.84,0.96,1.08,1.2))),Inputs!$B$18+((C303=TRUE)*(F303-Calc!F29))+(IF(AND(Inputs!$B$39&lt;&gt;"pvp",Inputs!$B$44=0),1,IF(IF(Inputs!$B$39="pvp",15,Inputs!$B$44)-(B319)&lt;=0,1,MAX(0,IF(Inputs!$B$39="pvp",15,Inputs!$B$44)-MAX(5,B319))/(IF(Inputs!$B$39="pvp",15,Inputs!$B$44)-(B319))))*IF(AND(ArtifactsInput!$M$42,((Inputs!$B$9+((C300=TRUE)*(F300-Calc!F26))+B308+(ArtifactsInput!$M$24-ArtifactsInput!$M$24)*CHOOSE(ArtifactsInput!$N$24+1,10,12,14,16,18,20)+IF(ArtifactsInput!$M$10,CHOOSE(ArtifactsInput!$N$10+1,15,18,21,24,27,30)*(IF(Inputs!$B$39="pvp",MIN(15,15)/15,IF(AND(Inputs!$B$39&lt;&gt;"pvp",Inputs!$B$44&gt;0),MIN(15,Inputs!$B$44)/(Inputs!$B$44),0))),0)))&gt;=100),CHOOSE(ArtifactsInput!$N$42+1,40,48,56,64,72,80),0))))/100)*(((1+(((C296=TRUE)*F296*IF(AND(Inputs!$B$39&lt;&gt;"pvp",Inputs!$B$44&gt;0),(((R296-1)*MIN((Skills!Y22*(1+Inputs!$B$34/100)),(1/Q296))+MIN((Skills!Y22*(1+Inputs!$B$34/100)),MAX(0,Inputs!$B$44-((R296-1)*(1/Q296)))))/Inputs!$B$44),IF(Inputs!$B$39="pvp",MIN((Skills!Y22*(1+Inputs!$B$34/100)),15)/15,MIN(1,(Skills!Y22*(1+Inputs!$B$34/100))/(1/Q296)))))+((C277=TRUE)*F277*3)+((C279=TRUE)*F279*(1-EXP(-0.75*B312*5)))+((C298=TRUE)*(F298-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285=TRUE)*F285*IF(AND(Inputs!$B$39&lt;&gt;"pvp",Inputs!$B$44&gt;0),(((R285-1)*MIN((Skills!Y11*(1+Inputs!$B$34/100)),(1/Q285))+MIN((Skills!Y11*(1+Inputs!$B$34/100)),MAX(0,Inputs!$B$44-((R285-1)*(1/Q285)))))/Inputs!$B$44),IF(Inputs!$B$39="pvp",MIN((Skills!Y11*(1+Inputs!$B$34/100)),15)/15,MIN(1,(Skills!Y11*(1+Inputs!$B$34/100))/(1/Q285)))))/100)*(1+((C290=TRUE)*F290*IF(AND(Inputs!$B$39&lt;&gt;"pvp",Inputs!$B$44&gt;0),(((R290-1)*MIN((Skills!Y16*(1+Inputs!$B$34/100)),(1/Q290))+MIN((Skills!Y16*(1+Inputs!$B$34/100)),MAX(0,Inputs!$B$44-((R290-1)*(1/Q290)))))/Inputs!$B$44),IF(Inputs!$B$39="pvp",MIN((Skills!Y16*(1+Inputs!$B$34/100)),15)/15,MIN(1,(Skills!Y16*(1+Inputs!$B$34/100))/(1/Q290)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310*I287)</f>
        <v/>
      </c>
      <c r="L287">
        <f>K287*(MIN(Inputs!$B$22+((C299=TRUE)*(F299-Calc!F25)),(Inputs!$B$23+((C304=TRUE)*(F304-Calc!F30))+IF(ArtifactsInput!$M$15,CHOOSE(ArtifactsInput!$N$15+1,25,30,35,40,45,50)/100*(Inputs!$B$11-Inputs!$B$11),0)))/100+(Inputs!$B$23+((C304=TRUE)*(F304-Calc!F30))+IF(ArtifactsInput!$M$15,CHOOSE(ArtifactsInput!$N$15+1,25,30,35,40,45,50)/100*(Inputs!$B$11-Inputs!$B$11),0))/100)/2</f>
        <v/>
      </c>
      <c r="M287">
        <f>L287*(1+(Inputs!$B$10+((C301=TRUE)*(F301-Calc!F27))+B315+(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287">
        <f>L287*(1-MIN((Inputs!$B$9+((C300=TRUE)*(F300-Calc!F26))+B308+(ArtifactsInput!$M$24-ArtifactsInput!$M$24)*CHOOSE(ArtifactsInput!$N$24+1,10,12,14,16,18,20)+(IF(AND(Inputs!$B$39&lt;&gt;"pvp",Inputs!$B$44=0),1,IF(IF(Inputs!$B$39="pvp",15,Inputs!$B$44)-(B319)&lt;=0,1,MAX(0,IF(Inputs!$B$39="pvp",15,Inputs!$B$44)-MAX(5,B319))/(IF(Inputs!$B$39="pvp",15,Inputs!$B$44)-(B319))))*IF(AND(ArtifactsInput!$M$42,((Inputs!$B$9+((C300=TRUE)*(F300-Calc!F26))+B308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287*(MIN((Inputs!$B$9+((C300=TRUE)*(F300-Calc!F26))+B308+(ArtifactsInput!$M$24-ArtifactsInput!$M$24)*CHOOSE(ArtifactsInput!$N$24+1,10,12,14,16,18,20)+(IF(AND(Inputs!$B$39&lt;&gt;"pvp",Inputs!$B$44=0),1,IF(IF(Inputs!$B$39="pvp",15,Inputs!$B$44)-(B319)&lt;=0,1,MAX(0,IF(Inputs!$B$39="pvp",15,Inputs!$B$44)-MAX(5,B319))/(IF(Inputs!$B$39="pvp",15,Inputs!$B$44)-(B319))))*IF(AND(ArtifactsInput!$M$42,((Inputs!$B$9+((C300=TRUE)*(F300-Calc!F26))+B308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87">
        <f>(1-Summary!$B$11)*T287+Summary!$B$11*V287</f>
        <v/>
      </c>
      <c r="P287">
        <f>IF(B320=0,0,O287/B320)</f>
        <v/>
      </c>
      <c r="Q287">
        <f>IFERROR(1/IF(Inputs!$B$39="pvp",15,MAX(0.1,Skills!D13-IF(TRUE=TRUE,Inputs!$B$32,0))),0)</f>
        <v/>
      </c>
      <c r="R287">
        <f>IF(AND(Inputs!$B$39&lt;&gt;"pvp",Inputs!$B$44&gt;0),IF(MAX(0,Inputs!$B$44-B319)&lt;=0,0,(INT(MAX(0,Inputs!$B$44-B319)/IF(Inputs!$B$39="pvp",15,MAX(0.1,Skills!D13-IF(TRUE=TRUE,Inputs!$B$32,0))))+1)),0)</f>
        <v/>
      </c>
      <c r="S287">
        <f>IFERROR(O287/N287,0)</f>
        <v/>
      </c>
      <c r="T287">
        <f>IF(C287,(H287*N287*IF(AND(Inputs!$B$39&lt;&gt;"pvp",Inputs!$B$44&gt;0),((Skills!G13*((R287-1)*IF(Skills!H13&gt;0,Skills!I13/Skills!H13,1)+IF(Skills!H13&gt;0,MIN(Skills!I13,MAX(0,MAX(0,Inputs!$B$44-B319)-((R287-1)*IF(Inputs!$B$39="pvp",15,MAX(0.1,Skills!D13-IF(TRUE=TRUE,Inputs!$B$32,0))))))/Skills!H13,1)))/Inputs!$B$44),G287*Q287))*IF(Inputs!$B$39="pvp",1,1+(Inputs!$B$20+0+Skills!P13+B309+(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Hunt"),CHOOSE(ArtifactsInput!$N$35+1,15,18,21,24,27,30)*(1-EXP(-(0.2*B312)*5)),0)+IF(AND(ArtifactsInput!$M$22,Inputs!$B$4&lt;&gt;"Chapter Hunt"),CHOOSE(ArtifactsInput!$N$22+1,10,12,14,16,18,20)*((0*(((0.15*B312*5))^0/1)+1*(((0.15*B312*5))^1/1)+2*(((0.15*B312*5))^2/2)+3*(((0.15*B312*5))^3/6)+4*(((0.15*B312*5))^4/24)+5*(((0.15*B312*5))^5/120))/((((0.15*B312*5))^0/1)+(((0.15*B312*5))^1/1)+(((0.15*B312*5))^2/2)+(((0.15*B312*5))^3/6)+(((0.15*B312*5))^4/24)+(((0.15*B312*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287*(1-MIN(100,(Inputs!$B$9+((C300=TRUE)*(F300-Calc!F26))+B308+(ArtifactsInput!$M$24-ArtifactsInput!$M$24)*CHOOSE(ArtifactsInput!$N$24+1,10,12,14,16,18,20)+(IF(AND(Inputs!$B$39&lt;&gt;"pvp",Inputs!$B$44=0),1,IF(IF(Inputs!$B$39="pvp",15,Inputs!$B$44)-(B319)&lt;=0,1,MAX(0,IF(Inputs!$B$39="pvp",15,Inputs!$B$44)-MAX(5,B319))/(IF(Inputs!$B$39="pvp",15,Inputs!$B$44)-(B319))))*IF(AND(ArtifactsInput!$M$42,((Inputs!$B$9+((C300=TRUE)*(F300-Calc!F26))+B308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287*(MIN(100,(Inputs!$B$9+((C300=TRUE)*(F300-Calc!F26))+B308+(ArtifactsInput!$M$24-ArtifactsInput!$M$24)*CHOOSE(ArtifactsInput!$N$24+1,10,12,14,16,18,20)+(IF(AND(Inputs!$B$39&lt;&gt;"pvp",Inputs!$B$44=0),1,IF(IF(Inputs!$B$39="pvp",15,Inputs!$B$44)-(B319)&lt;=0,1,MAX(0,IF(Inputs!$B$39="pvp",15,Inputs!$B$44)-MAX(5,B319))/(IF(Inputs!$B$39="pvp",15,Inputs!$B$44)-(B319))))*IF(AND(ArtifactsInput!$M$42,((Inputs!$B$9+((C300=TRUE)*(F300-Calc!F26))+B308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287*(1-MIN(100,(Inputs!$B$9+((C300=TRUE)*(F300-Calc!F26))+B308+(ArtifactsInput!$M$24-ArtifactsInput!$M$24)*CHOOSE(ArtifactsInput!$N$24+1,10,12,14,16,18,20)+(IF(AND(Inputs!$B$39&lt;&gt;"pvp",Inputs!$B$44=0),1,IF(IF(Inputs!$B$39="pvp",15,Inputs!$B$44)-(B319)&lt;=0,1,MAX(0,IF(Inputs!$B$39="pvp",15,Inputs!$B$44)-MAX(5,B319))/(IF(Inputs!$B$39="pvp",15,Inputs!$B$44)-(B319))))*IF(AND(ArtifactsInput!$M$42,((Inputs!$B$9+((C300=TRUE)*(F300-Calc!F26))+B308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287*(MIN(100,(Inputs!$B$9+((C300=TRUE)*(F300-Calc!F26))+B308+(ArtifactsInput!$M$24-ArtifactsInput!$M$24)*CHOOSE(ArtifactsInput!$N$24+1,10,12,14,16,18,20)+(IF(AND(Inputs!$B$39&lt;&gt;"pvp",Inputs!$B$44=0),1,IF(IF(Inputs!$B$39="pvp",15,Inputs!$B$44)-(B319)&lt;=0,1,MAX(0,IF(Inputs!$B$39="pvp",15,Inputs!$B$44)-MAX(5,B319))/(IF(Inputs!$B$39="pvp",15,Inputs!$B$44)-(B319))))*IF(AND(ArtifactsInput!$M$42,((Inputs!$B$9+((C300=TRUE)*(F300-Calc!F26))+B308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87">
        <f>IF(C287,(H287*N287*IF(AND(Inputs!$B$39&lt;&gt;"pvp",Inputs!$B$44&gt;0),((Skills!G13*((R287-1)*IF(Skills!H13&gt;0,Skills!I13/Skills!H13,1)+IF(Skills!H13&gt;0,MIN(Skills!I13,MAX(0,MAX(0,Inputs!$B$44-B319)-((R287-1)*IF(Inputs!$B$39="pvp",15,MAX(0.1,Skills!D13-IF(TRUE=TRUE,Inputs!$B$32,0))))))/Skills!H13,1)))/Inputs!$B$44),G287*Q287))*IF(Inputs!$B$39="pvp",1,(1+(Inputs!$B$21+Skills!Q13+B309+(IF(ArtifactsInput!$M$33,CHOOSE(ArtifactsInput!$N$33+1,30,36,42,48,54,60),0))+(IF(AND(ArtifactsInput!$M$35,Inputs!$B$4&lt;&gt;"Chapter Hunt"),CHOOSE(ArtifactsInput!$N$35+1,15,18,21,24,27,30)*(1-EXP(-(0.2*B312)*5)),0)+IF(AND(ArtifactsInput!$M$22,Inputs!$B$4&lt;&gt;"Chapter Hunt"),CHOOSE(ArtifactsInput!$N$22+1,10,12,14,16,18,20)*((0*(((0.15*B312*5))^0/1)+1*(((0.15*B312*5))^1/1)+2*(((0.15*B312*5))^2/2)+3*(((0.15*B312*5))^3/6)+4*(((0.15*B312*5))^4/24)+5*(((0.15*B312*5))^5/120))/((((0.15*B312*5))^0/1)+(((0.15*B312*5))^1/1)+(((0.15*B312*5))^2/2)+(((0.15*B312*5))^3/6)+(((0.15*B312*5))^4/24)+(((0.15*B312*5))^5/120))),0)))/100)*(MIN(Skills!W13,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88">
      <c r="A288">
        <f>Skills!A14</f>
        <v/>
      </c>
      <c r="B288">
        <f>Skills!B14</f>
        <v/>
      </c>
      <c r="C288">
        <f>Inputs!$B$3&gt;=105</f>
        <v/>
      </c>
      <c r="D288">
        <f>IF(Skills!C14=1,60+Inputs!$B$25+Inputs!$B$29,IF(Skills!C14=2,90+Inputs!$B$26+Inputs!$B$29,IF(Skills!C14=3,120+Inputs!$B$27+Inputs!$B$29,MAX(0,(Inputs!$B$3-100)*3)+Inputs!$B$28+Inputs!$B$29)))</f>
        <v/>
      </c>
      <c r="E288">
        <f>INDEX(FactorTable!$B$2:$Y$301, MATCH(ROUND(MIN(300,MAX(1,D288)),0), FactorTable!$A$2:$A$301,0), Skills!M14+1)</f>
        <v/>
      </c>
      <c r="F288">
        <f>IF(Skills!N14=TRUE,(Skills!L14/10)*(E288/1000),Skills!L14/10)+Skills!O14</f>
        <v/>
      </c>
      <c r="G288">
        <f>Skills!G14*IF(Skills!H14&gt;0,IF(Inputs!$B$39="pvp",MIN(Skills!I14,15),Skills!I14)/Skills!H14,1)</f>
        <v/>
      </c>
      <c r="H288">
        <f>1-(1-Skills!J14/100)^Skills!K14</f>
        <v/>
      </c>
      <c r="I288" t="inlineStr">
        <is>
          <t>1</t>
        </is>
      </c>
      <c r="J288">
        <f>((Inputs!$B$6*(1+Inputs!$B$7/100))+(((Inputs!$B$12*(1+Inputs!$B$13/100))-(Inputs!$B$12*(1+Inputs!$B$13/100)))+0.25*(Inputs!$B$14-Inputs!$B$14))*(1+Inputs!$B$7/100))*(F288/100)</f>
        <v/>
      </c>
      <c r="K288">
        <f>J288*(1+((Inputs!$B$12*(1+Inputs!$B$13/100))*0.01+Inputs!$B$14*0.0025)/100)*(1+Inputs!$B$15/100)*(1+(Inputs!$B$16+1)/100)*(5000/(6000+Inputs!$B$43*(1-(100*(1-(1-Inputs!$B$19/100)*(1-CHOOSE(ArtifactsInput!$N$40+1,5,6,7,8,9,10)/100)^(ArtifactsInput!$M$40-ArtifactsInput!$M$40)))/100)))*(1+(Inputs!$B$24+((C305=TRUE)*(F305-Calc!F31))+((C292=TRUE)*(F292-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14="CRUEL_STAB",Inputs!$B$17+((C302=TRUE)*(F302-Calc!F28))+((IF(AND(Inputs!$B$39&lt;&gt;"pvp",Inputs!$B$44=0),1,IF(IF(Inputs!$B$39="pvp",15,Inputs!$B$44)-(B319)&lt;=0,1,MAX(0,IF(Inputs!$B$39="pvp",15,Inputs!$B$44)-MAX(5,B319))/(IF(Inputs!$B$39="pvp",15,Inputs!$B$44)-(B319))))*(IF(AND(ArtifactsInput!$M$42,((Inputs!$B$9+((C300=TRUE)*(F300-Calc!F26))+B308+(ArtifactsInput!$M$24-ArtifactsInput!$M$24)*CHOOSE(ArtifactsInput!$N$24+1,10,12,14,16,18,20)+IF(ArtifactsInput!$M$10,CHOOSE(ArtifactsInput!$N$10+1,15,18,21,24,27,30)*(IF(Inputs!$B$39="pvp",MIN(15,15)/15,IF(AND(Inputs!$B$39&lt;&gt;"pvp",Inputs!$B$44&gt;0),MIN(15,Inputs!$B$44)/(Inputs!$B$44),0))),0)))&gt;=100),MIN(100,((Inputs!$B$9+((C300=TRUE)*(F300-Calc!F26))+B308+(ArtifactsInput!$M$24-ArtifactsInput!$M$24)*CHOOSE(ArtifactsInput!$N$24+1,10,12,14,16,18,20)+IF(ArtifactsInput!$M$10,CHOOSE(ArtifactsInput!$N$10+1,15,18,21,24,27,30)*(IF(Inputs!$B$39="pvp",MIN(15,15)/15,IF(AND(Inputs!$B$39&lt;&gt;"pvp",Inputs!$B$44&gt;0),MIN(15,Inputs!$B$44)/(Inputs!$B$44),0))),0)))-100),0))*CHOOSE(ArtifactsInput!$N$42+1,0.6,0.72,0.84,0.96,1.08,1.2))),Inputs!$B$18+((C303=TRUE)*(F303-Calc!F29))+(IF(AND(Inputs!$B$39&lt;&gt;"pvp",Inputs!$B$44=0),1,IF(IF(Inputs!$B$39="pvp",15,Inputs!$B$44)-(B319)&lt;=0,1,MAX(0,IF(Inputs!$B$39="pvp",15,Inputs!$B$44)-MAX(5,B319))/(IF(Inputs!$B$39="pvp",15,Inputs!$B$44)-(B319))))*IF(AND(ArtifactsInput!$M$42,((Inputs!$B$9+((C300=TRUE)*(F300-Calc!F26))+B308+(ArtifactsInput!$M$24-ArtifactsInput!$M$24)*CHOOSE(ArtifactsInput!$N$24+1,10,12,14,16,18,20)+IF(ArtifactsInput!$M$10,CHOOSE(ArtifactsInput!$N$10+1,15,18,21,24,27,30)*(IF(Inputs!$B$39="pvp",MIN(15,15)/15,IF(AND(Inputs!$B$39&lt;&gt;"pvp",Inputs!$B$44&gt;0),MIN(15,Inputs!$B$44)/(Inputs!$B$44),0))),0)))&gt;=100),CHOOSE(ArtifactsInput!$N$42+1,40,48,56,64,72,80),0))))/100)*(((1+(((C296=TRUE)*F296*IF(AND(Inputs!$B$39&lt;&gt;"pvp",Inputs!$B$44&gt;0),(((R296-1)*MIN((Skills!Y22*(1+Inputs!$B$34/100)),(1/Q296))+MIN((Skills!Y22*(1+Inputs!$B$34/100)),MAX(0,Inputs!$B$44-((R296-1)*(1/Q296)))))/Inputs!$B$44),IF(Inputs!$B$39="pvp",MIN((Skills!Y22*(1+Inputs!$B$34/100)),15)/15,MIN(1,(Skills!Y22*(1+Inputs!$B$34/100))/(1/Q296)))))+((C277=TRUE)*F277*3)+((C279=TRUE)*F279*(1-EXP(-0.75*B312*5)))+((C298=TRUE)*(F298-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285=TRUE)*F285*IF(AND(Inputs!$B$39&lt;&gt;"pvp",Inputs!$B$44&gt;0),(((R285-1)*MIN((Skills!Y11*(1+Inputs!$B$34/100)),(1/Q285))+MIN((Skills!Y11*(1+Inputs!$B$34/100)),MAX(0,Inputs!$B$44-((R285-1)*(1/Q285)))))/Inputs!$B$44),IF(Inputs!$B$39="pvp",MIN((Skills!Y11*(1+Inputs!$B$34/100)),15)/15,MIN(1,(Skills!Y11*(1+Inputs!$B$34/100))/(1/Q285)))))/100)*(1+((C290=TRUE)*F290*IF(AND(Inputs!$B$39&lt;&gt;"pvp",Inputs!$B$44&gt;0),(((R290-1)*MIN((Skills!Y16*(1+Inputs!$B$34/100)),(1/Q290))+MIN((Skills!Y16*(1+Inputs!$B$34/100)),MAX(0,Inputs!$B$44-((R290-1)*(1/Q290)))))/Inputs!$B$44),IF(Inputs!$B$39="pvp",MIN((Skills!Y16*(1+Inputs!$B$34/100)),15)/15,MIN(1,(Skills!Y16*(1+Inputs!$B$34/100))/(1/Q290)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310*I288)</f>
        <v/>
      </c>
      <c r="L288">
        <f>K288*(MIN(Inputs!$B$22+((C299=TRUE)*(F299-Calc!F25)),(Inputs!$B$23+((C304=TRUE)*(F304-Calc!F30))+IF(ArtifactsInput!$M$15,CHOOSE(ArtifactsInput!$N$15+1,25,30,35,40,45,50)/100*(Inputs!$B$11-Inputs!$B$11),0)))/100+(Inputs!$B$23+((C304=TRUE)*(F304-Calc!F30))+IF(ArtifactsInput!$M$15,CHOOSE(ArtifactsInput!$N$15+1,25,30,35,40,45,50)/100*(Inputs!$B$11-Inputs!$B$11),0))/100)/2</f>
        <v/>
      </c>
      <c r="M288">
        <f>L288*(1+(Inputs!$B$10+((C301=TRUE)*(F301-Calc!F27))+B315+(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288">
        <f>L288*(1-MIN((Inputs!$B$9+((C300=TRUE)*(F300-Calc!F26))+B308+(ArtifactsInput!$M$24-ArtifactsInput!$M$24)*CHOOSE(ArtifactsInput!$N$24+1,10,12,14,16,18,20)+(IF(AND(Inputs!$B$39&lt;&gt;"pvp",Inputs!$B$44=0),1,IF(IF(Inputs!$B$39="pvp",15,Inputs!$B$44)-(B319)&lt;=0,1,MAX(0,IF(Inputs!$B$39="pvp",15,Inputs!$B$44)-MAX(5,B319))/(IF(Inputs!$B$39="pvp",15,Inputs!$B$44)-(B319))))*IF(AND(ArtifactsInput!$M$42,((Inputs!$B$9+((C300=TRUE)*(F300-Calc!F26))+B308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288*(MIN((Inputs!$B$9+((C300=TRUE)*(F300-Calc!F26))+B308+(ArtifactsInput!$M$24-ArtifactsInput!$M$24)*CHOOSE(ArtifactsInput!$N$24+1,10,12,14,16,18,20)+(IF(AND(Inputs!$B$39&lt;&gt;"pvp",Inputs!$B$44=0),1,IF(IF(Inputs!$B$39="pvp",15,Inputs!$B$44)-(B319)&lt;=0,1,MAX(0,IF(Inputs!$B$39="pvp",15,Inputs!$B$44)-MAX(5,B319))/(IF(Inputs!$B$39="pvp",15,Inputs!$B$44)-(B319))))*IF(AND(ArtifactsInput!$M$42,((Inputs!$B$9+((C300=TRUE)*(F300-Calc!F26))+B308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88">
        <f>(1-Summary!$B$11)*T288+Summary!$B$11*V288</f>
        <v/>
      </c>
      <c r="P288">
        <f>IF(B320=0,0,O288/B320)</f>
        <v/>
      </c>
      <c r="Q288">
        <f>IFERROR(1/IF(Inputs!$B$39="pvp",15,MAX(0.1,Skills!D14-IF(TRUE=TRUE,Inputs!$B$32,0))),0)</f>
        <v/>
      </c>
      <c r="R288">
        <f>IF(AND(Inputs!$B$39&lt;&gt;"pvp",Inputs!$B$44&gt;0),IF(MAX(0,Inputs!$B$44-B319)&lt;=0,0,(INT(MAX(0,Inputs!$B$44-B319)/IF(Inputs!$B$39="pvp",15,MAX(0.1,Skills!D14-IF(TRUE=TRUE,Inputs!$B$32,0))))+1)),0)</f>
        <v/>
      </c>
      <c r="S288">
        <f>IFERROR(O288/N288,0)</f>
        <v/>
      </c>
      <c r="T288">
        <f>IF(C288,(H288*N288*IF(AND(Inputs!$B$39&lt;&gt;"pvp",Inputs!$B$44&gt;0),((Skills!G14*((R288-1)*IF(Skills!H14&gt;0,Skills!I14/Skills!H14,1)+IF(Skills!H14&gt;0,MIN(Skills!I14,MAX(0,MAX(0,Inputs!$B$44-B319)-((R288-1)*IF(Inputs!$B$39="pvp",15,MAX(0.1,Skills!D14-IF(TRUE=TRUE,Inputs!$B$32,0))))))/Skills!H14,1)))/Inputs!$B$44),G288*Q288))*IF(Inputs!$B$39="pvp",1,1+(Inputs!$B$20+0+Skills!P14+B309+(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Hunt"),CHOOSE(ArtifactsInput!$N$35+1,15,18,21,24,27,30)*(1-EXP(-(0.2*B312)*5)),0)+IF(AND(ArtifactsInput!$M$22,Inputs!$B$4&lt;&gt;"Chapter Hunt"),CHOOSE(ArtifactsInput!$N$22+1,10,12,14,16,18,20)*((0*(((0.15*B312*5))^0/1)+1*(((0.15*B312*5))^1/1)+2*(((0.15*B312*5))^2/2)+3*(((0.15*B312*5))^3/6)+4*(((0.15*B312*5))^4/24)+5*(((0.15*B312*5))^5/120))/((((0.15*B312*5))^0/1)+(((0.15*B312*5))^1/1)+(((0.15*B312*5))^2/2)+(((0.15*B312*5))^3/6)+(((0.15*B312*5))^4/24)+(((0.15*B312*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288*(1-MIN(100,(Inputs!$B$9+((C300=TRUE)*(F300-Calc!F26))+B308+(ArtifactsInput!$M$24-ArtifactsInput!$M$24)*CHOOSE(ArtifactsInput!$N$24+1,10,12,14,16,18,20)+(IF(AND(Inputs!$B$39&lt;&gt;"pvp",Inputs!$B$44=0),1,IF(IF(Inputs!$B$39="pvp",15,Inputs!$B$44)-(B319)&lt;=0,1,MAX(0,IF(Inputs!$B$39="pvp",15,Inputs!$B$44)-MAX(5,B319))/(IF(Inputs!$B$39="pvp",15,Inputs!$B$44)-(B319))))*IF(AND(ArtifactsInput!$M$42,((Inputs!$B$9+((C300=TRUE)*(F300-Calc!F26))+B308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288*(MIN(100,(Inputs!$B$9+((C300=TRUE)*(F300-Calc!F26))+B308+(ArtifactsInput!$M$24-ArtifactsInput!$M$24)*CHOOSE(ArtifactsInput!$N$24+1,10,12,14,16,18,20)+(IF(AND(Inputs!$B$39&lt;&gt;"pvp",Inputs!$B$44=0),1,IF(IF(Inputs!$B$39="pvp",15,Inputs!$B$44)-(B319)&lt;=0,1,MAX(0,IF(Inputs!$B$39="pvp",15,Inputs!$B$44)-MAX(5,B319))/(IF(Inputs!$B$39="pvp",15,Inputs!$B$44)-(B319))))*IF(AND(ArtifactsInput!$M$42,((Inputs!$B$9+((C300=TRUE)*(F300-Calc!F26))+B308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288*(1-MIN(100,(Inputs!$B$9+((C300=TRUE)*(F300-Calc!F26))+B308+(ArtifactsInput!$M$24-ArtifactsInput!$M$24)*CHOOSE(ArtifactsInput!$N$24+1,10,12,14,16,18,20)+(IF(AND(Inputs!$B$39&lt;&gt;"pvp",Inputs!$B$44=0),1,IF(IF(Inputs!$B$39="pvp",15,Inputs!$B$44)-(B319)&lt;=0,1,MAX(0,IF(Inputs!$B$39="pvp",15,Inputs!$B$44)-MAX(5,B319))/(IF(Inputs!$B$39="pvp",15,Inputs!$B$44)-(B319))))*IF(AND(ArtifactsInput!$M$42,((Inputs!$B$9+((C300=TRUE)*(F300-Calc!F26))+B308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288*(MIN(100,(Inputs!$B$9+((C300=TRUE)*(F300-Calc!F26))+B308+(ArtifactsInput!$M$24-ArtifactsInput!$M$24)*CHOOSE(ArtifactsInput!$N$24+1,10,12,14,16,18,20)+(IF(AND(Inputs!$B$39&lt;&gt;"pvp",Inputs!$B$44=0),1,IF(IF(Inputs!$B$39="pvp",15,Inputs!$B$44)-(B319)&lt;=0,1,MAX(0,IF(Inputs!$B$39="pvp",15,Inputs!$B$44)-MAX(5,B319))/(IF(Inputs!$B$39="pvp",15,Inputs!$B$44)-(B319))))*IF(AND(ArtifactsInput!$M$42,((Inputs!$B$9+((C300=TRUE)*(F300-Calc!F26))+B308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88">
        <f>IF(C288,(H288*N288*IF(AND(Inputs!$B$39&lt;&gt;"pvp",Inputs!$B$44&gt;0),((Skills!G14*((R288-1)*IF(Skills!H14&gt;0,Skills!I14/Skills!H14,1)+IF(Skills!H14&gt;0,MIN(Skills!I14,MAX(0,MAX(0,Inputs!$B$44-B319)-((R288-1)*IF(Inputs!$B$39="pvp",15,MAX(0.1,Skills!D14-IF(TRUE=TRUE,Inputs!$B$32,0))))))/Skills!H14,1)))/Inputs!$B$44),G288*Q288))*IF(Inputs!$B$39="pvp",1,(1+(Inputs!$B$21+Skills!Q14+B309+(IF(ArtifactsInput!$M$33,CHOOSE(ArtifactsInput!$N$33+1,30,36,42,48,54,60),0))+(IF(AND(ArtifactsInput!$M$35,Inputs!$B$4&lt;&gt;"Chapter Hunt"),CHOOSE(ArtifactsInput!$N$35+1,15,18,21,24,27,30)*(1-EXP(-(0.2*B312)*5)),0)+IF(AND(ArtifactsInput!$M$22,Inputs!$B$4&lt;&gt;"Chapter Hunt"),CHOOSE(ArtifactsInput!$N$22+1,10,12,14,16,18,20)*((0*(((0.15*B312*5))^0/1)+1*(((0.15*B312*5))^1/1)+2*(((0.15*B312*5))^2/2)+3*(((0.15*B312*5))^3/6)+4*(((0.15*B312*5))^4/24)+5*(((0.15*B312*5))^5/120))/((((0.15*B312*5))^0/1)+(((0.15*B312*5))^1/1)+(((0.15*B312*5))^2/2)+(((0.15*B312*5))^3/6)+(((0.15*B312*5))^4/24)+(((0.15*B312*5))^5/120))),0)))/100)*(MIN(Skills!W14,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89">
      <c r="A289">
        <f>Skills!A15</f>
        <v/>
      </c>
      <c r="B289">
        <f>Skills!B15</f>
        <v/>
      </c>
      <c r="C289">
        <f>Inputs!$B$3&gt;=107</f>
        <v/>
      </c>
      <c r="D289">
        <f>IF(Skills!C15=1,60+Inputs!$B$25+Inputs!$B$29,IF(Skills!C15=2,90+Inputs!$B$26+Inputs!$B$29,IF(Skills!C15=3,120+Inputs!$B$27+Inputs!$B$29,MAX(0,(Inputs!$B$3-100)*3)+Inputs!$B$28+Inputs!$B$29)))</f>
        <v/>
      </c>
      <c r="E289">
        <f>INDEX(FactorTable!$B$2:$Y$301, MATCH(ROUND(MIN(300,MAX(1,D289)),0), FactorTable!$A$2:$A$301,0), Skills!M15+1)</f>
        <v/>
      </c>
      <c r="F289">
        <f>IF(Skills!N15=TRUE,(Skills!L15/10)*(E289/1000),Skills!L15/10)+Skills!O15</f>
        <v/>
      </c>
      <c r="G289">
        <f>Skills!G15*IF(Skills!H15&gt;0,IF(Inputs!$B$39="pvp",MIN(Skills!I15,15),Skills!I15)/Skills!H15,1)</f>
        <v/>
      </c>
      <c r="H289">
        <f>1-(1-Skills!J15/100)^Skills!K15</f>
        <v/>
      </c>
      <c r="I289" t="inlineStr">
        <is>
          <t>1</t>
        </is>
      </c>
      <c r="J289">
        <f>((Inputs!$B$6*(1+Inputs!$B$7/100))+(((Inputs!$B$12*(1+Inputs!$B$13/100))-(Inputs!$B$12*(1+Inputs!$B$13/100)))+0.25*(Inputs!$B$14-Inputs!$B$14))*(1+Inputs!$B$7/100))*(F289/100)</f>
        <v/>
      </c>
      <c r="K289">
        <f>J289*(1+((Inputs!$B$12*(1+Inputs!$B$13/100))*0.01+Inputs!$B$14*0.0025)/100)*(1+Inputs!$B$15/100)*(1+(Inputs!$B$16+1)/100)*(5000/(6000+Inputs!$B$43*(1-(100*(1-(1-Inputs!$B$19/100)*(1-CHOOSE(ArtifactsInput!$N$40+1,5,6,7,8,9,10)/100)^(ArtifactsInput!$M$40-ArtifactsInput!$M$40)))/100)))*(1+(Inputs!$B$24+((C305=TRUE)*(F305-Calc!F31))+((C292=TRUE)*(F292-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15="CRUEL_STAB",Inputs!$B$17+((C302=TRUE)*(F302-Calc!F28))+((IF(AND(Inputs!$B$39&lt;&gt;"pvp",Inputs!$B$44=0),1,IF(IF(Inputs!$B$39="pvp",15,Inputs!$B$44)-(B319)&lt;=0,1,MAX(0,IF(Inputs!$B$39="pvp",15,Inputs!$B$44)-MAX(5,B319))/(IF(Inputs!$B$39="pvp",15,Inputs!$B$44)-(B319))))*(IF(AND(ArtifactsInput!$M$42,((Inputs!$B$9+((C300=TRUE)*(F300-Calc!F26))+B308+(ArtifactsInput!$M$24-ArtifactsInput!$M$24)*CHOOSE(ArtifactsInput!$N$24+1,10,12,14,16,18,20)+IF(ArtifactsInput!$M$10,CHOOSE(ArtifactsInput!$N$10+1,15,18,21,24,27,30)*(IF(Inputs!$B$39="pvp",MIN(15,15)/15,IF(AND(Inputs!$B$39&lt;&gt;"pvp",Inputs!$B$44&gt;0),MIN(15,Inputs!$B$44)/(Inputs!$B$44),0))),0)))&gt;=100),MIN(100,((Inputs!$B$9+((C300=TRUE)*(F300-Calc!F26))+B308+(ArtifactsInput!$M$24-ArtifactsInput!$M$24)*CHOOSE(ArtifactsInput!$N$24+1,10,12,14,16,18,20)+IF(ArtifactsInput!$M$10,CHOOSE(ArtifactsInput!$N$10+1,15,18,21,24,27,30)*(IF(Inputs!$B$39="pvp",MIN(15,15)/15,IF(AND(Inputs!$B$39&lt;&gt;"pvp",Inputs!$B$44&gt;0),MIN(15,Inputs!$B$44)/(Inputs!$B$44),0))),0)))-100),0))*CHOOSE(ArtifactsInput!$N$42+1,0.6,0.72,0.84,0.96,1.08,1.2))),Inputs!$B$18+((C303=TRUE)*(F303-Calc!F29))+(IF(AND(Inputs!$B$39&lt;&gt;"pvp",Inputs!$B$44=0),1,IF(IF(Inputs!$B$39="pvp",15,Inputs!$B$44)-(B319)&lt;=0,1,MAX(0,IF(Inputs!$B$39="pvp",15,Inputs!$B$44)-MAX(5,B319))/(IF(Inputs!$B$39="pvp",15,Inputs!$B$44)-(B319))))*IF(AND(ArtifactsInput!$M$42,((Inputs!$B$9+((C300=TRUE)*(F300-Calc!F26))+B308+(ArtifactsInput!$M$24-ArtifactsInput!$M$24)*CHOOSE(ArtifactsInput!$N$24+1,10,12,14,16,18,20)+IF(ArtifactsInput!$M$10,CHOOSE(ArtifactsInput!$N$10+1,15,18,21,24,27,30)*(IF(Inputs!$B$39="pvp",MIN(15,15)/15,IF(AND(Inputs!$B$39&lt;&gt;"pvp",Inputs!$B$44&gt;0),MIN(15,Inputs!$B$44)/(Inputs!$B$44),0))),0)))&gt;=100),CHOOSE(ArtifactsInput!$N$42+1,40,48,56,64,72,80),0))))/100)*(((1+(((C296=TRUE)*F296*IF(AND(Inputs!$B$39&lt;&gt;"pvp",Inputs!$B$44&gt;0),(((R296-1)*MIN((Skills!Y22*(1+Inputs!$B$34/100)),(1/Q296))+MIN((Skills!Y22*(1+Inputs!$B$34/100)),MAX(0,Inputs!$B$44-((R296-1)*(1/Q296)))))/Inputs!$B$44),IF(Inputs!$B$39="pvp",MIN((Skills!Y22*(1+Inputs!$B$34/100)),15)/15,MIN(1,(Skills!Y22*(1+Inputs!$B$34/100))/(1/Q296)))))+((C277=TRUE)*F277*3)+((C279=TRUE)*F279*(1-EXP(-0.75*B312*5)))+((C298=TRUE)*(F298-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285=TRUE)*F285*IF(AND(Inputs!$B$39&lt;&gt;"pvp",Inputs!$B$44&gt;0),(((R285-1)*MIN((Skills!Y11*(1+Inputs!$B$34/100)),(1/Q285))+MIN((Skills!Y11*(1+Inputs!$B$34/100)),MAX(0,Inputs!$B$44-((R285-1)*(1/Q285)))))/Inputs!$B$44),IF(Inputs!$B$39="pvp",MIN((Skills!Y11*(1+Inputs!$B$34/100)),15)/15,MIN(1,(Skills!Y11*(1+Inputs!$B$34/100))/(1/Q285)))))/100)*(1+((C290=TRUE)*F290*IF(AND(Inputs!$B$39&lt;&gt;"pvp",Inputs!$B$44&gt;0),(((R290-1)*MIN((Skills!Y16*(1+Inputs!$B$34/100)),(1/Q290))+MIN((Skills!Y16*(1+Inputs!$B$34/100)),MAX(0,Inputs!$B$44-((R290-1)*(1/Q290)))))/Inputs!$B$44),IF(Inputs!$B$39="pvp",MIN((Skills!Y16*(1+Inputs!$B$34/100)),15)/15,MIN(1,(Skills!Y16*(1+Inputs!$B$34/100))/(1/Q290)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310*I289)</f>
        <v/>
      </c>
      <c r="L289">
        <f>K289*(MIN(Inputs!$B$22+((C299=TRUE)*(F299-Calc!F25)),(Inputs!$B$23+((C304=TRUE)*(F304-Calc!F30))+IF(ArtifactsInput!$M$15,CHOOSE(ArtifactsInput!$N$15+1,25,30,35,40,45,50)/100*(Inputs!$B$11-Inputs!$B$11),0)))/100+(Inputs!$B$23+((C304=TRUE)*(F304-Calc!F30))+IF(ArtifactsInput!$M$15,CHOOSE(ArtifactsInput!$N$15+1,25,30,35,40,45,50)/100*(Inputs!$B$11-Inputs!$B$11),0))/100)/2</f>
        <v/>
      </c>
      <c r="M289">
        <f>L289*(1+(Inputs!$B$10+((C301=TRUE)*(F301-Calc!F27))+B315+(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289">
        <f>L289*(1-MIN((Inputs!$B$9+((C300=TRUE)*(F300-Calc!F26))+B308+(ArtifactsInput!$M$24-ArtifactsInput!$M$24)*CHOOSE(ArtifactsInput!$N$24+1,10,12,14,16,18,20)+(IF(AND(Inputs!$B$39&lt;&gt;"pvp",Inputs!$B$44=0),1,IF(IF(Inputs!$B$39="pvp",15,Inputs!$B$44)-(B319)&lt;=0,1,MAX(0,IF(Inputs!$B$39="pvp",15,Inputs!$B$44)-MAX(5,B319))/(IF(Inputs!$B$39="pvp",15,Inputs!$B$44)-(B319))))*IF(AND(ArtifactsInput!$M$42,((Inputs!$B$9+((C300=TRUE)*(F300-Calc!F26))+B308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289*(MIN((Inputs!$B$9+((C300=TRUE)*(F300-Calc!F26))+B308+(ArtifactsInput!$M$24-ArtifactsInput!$M$24)*CHOOSE(ArtifactsInput!$N$24+1,10,12,14,16,18,20)+(IF(AND(Inputs!$B$39&lt;&gt;"pvp",Inputs!$B$44=0),1,IF(IF(Inputs!$B$39="pvp",15,Inputs!$B$44)-(B319)&lt;=0,1,MAX(0,IF(Inputs!$B$39="pvp",15,Inputs!$B$44)-MAX(5,B319))/(IF(Inputs!$B$39="pvp",15,Inputs!$B$44)-(B319))))*IF(AND(ArtifactsInput!$M$42,((Inputs!$B$9+((C300=TRUE)*(F300-Calc!F26))+B308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89">
        <f>(1-Summary!$B$11)*T289+Summary!$B$11*V289</f>
        <v/>
      </c>
      <c r="P289">
        <f>IF(B320=0,0,O289/B320)</f>
        <v/>
      </c>
      <c r="Q289">
        <f>IFERROR(1/IF(Inputs!$B$39="pvp",15,MAX(0.1,Skills!D15-IF(TRUE=TRUE,Inputs!$B$32,0))),0)</f>
        <v/>
      </c>
      <c r="R289">
        <f>IF(AND(Inputs!$B$39&lt;&gt;"pvp",Inputs!$B$44&gt;0),IF(MAX(0,Inputs!$B$44-B319)&lt;=0,0,(INT(MAX(0,Inputs!$B$44-B319)/IF(Inputs!$B$39="pvp",15,MAX(0.1,Skills!D15-IF(TRUE=TRUE,Inputs!$B$32,0))))+1)),0)</f>
        <v/>
      </c>
      <c r="S289">
        <f>IFERROR(O289/N289,0)</f>
        <v/>
      </c>
      <c r="T289">
        <f>IF(C289,(H289*N289*IF(AND(Inputs!$B$39&lt;&gt;"pvp",Inputs!$B$44&gt;0),((Skills!G15*((R289-1)*IF(Skills!H15&gt;0,Skills!I15/Skills!H15,1)+IF(Skills!H15&gt;0,MIN(Skills!I15,MAX(0,MAX(0,Inputs!$B$44-B319)-((R289-1)*IF(Inputs!$B$39="pvp",15,MAX(0.1,Skills!D15-IF(TRUE=TRUE,Inputs!$B$32,0))))))/Skills!H15,1)))/Inputs!$B$44),G289*Q289))*IF(Inputs!$B$39="pvp",1,1+(Inputs!$B$20+0+Skills!P15+B309+(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Hunt"),CHOOSE(ArtifactsInput!$N$35+1,15,18,21,24,27,30)*(1-EXP(-(0.2*B312)*5)),0)+IF(AND(ArtifactsInput!$M$22,Inputs!$B$4&lt;&gt;"Chapter Hunt"),CHOOSE(ArtifactsInput!$N$22+1,10,12,14,16,18,20)*((0*(((0.15*B312*5))^0/1)+1*(((0.15*B312*5))^1/1)+2*(((0.15*B312*5))^2/2)+3*(((0.15*B312*5))^3/6)+4*(((0.15*B312*5))^4/24)+5*(((0.15*B312*5))^5/120))/((((0.15*B312*5))^0/1)+(((0.15*B312*5))^1/1)+(((0.15*B312*5))^2/2)+(((0.15*B312*5))^3/6)+(((0.15*B312*5))^4/24)+(((0.15*B312*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289*(1-MIN(100,(Inputs!$B$9+((C300=TRUE)*(F300-Calc!F26))+B308+(ArtifactsInput!$M$24-ArtifactsInput!$M$24)*CHOOSE(ArtifactsInput!$N$24+1,10,12,14,16,18,20)+(IF(AND(Inputs!$B$39&lt;&gt;"pvp",Inputs!$B$44=0),1,IF(IF(Inputs!$B$39="pvp",15,Inputs!$B$44)-(B319)&lt;=0,1,MAX(0,IF(Inputs!$B$39="pvp",15,Inputs!$B$44)-MAX(5,B319))/(IF(Inputs!$B$39="pvp",15,Inputs!$B$44)-(B319))))*IF(AND(ArtifactsInput!$M$42,((Inputs!$B$9+((C300=TRUE)*(F300-Calc!F26))+B308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289*(MIN(100,(Inputs!$B$9+((C300=TRUE)*(F300-Calc!F26))+B308+(ArtifactsInput!$M$24-ArtifactsInput!$M$24)*CHOOSE(ArtifactsInput!$N$24+1,10,12,14,16,18,20)+(IF(AND(Inputs!$B$39&lt;&gt;"pvp",Inputs!$B$44=0),1,IF(IF(Inputs!$B$39="pvp",15,Inputs!$B$44)-(B319)&lt;=0,1,MAX(0,IF(Inputs!$B$39="pvp",15,Inputs!$B$44)-MAX(5,B319))/(IF(Inputs!$B$39="pvp",15,Inputs!$B$44)-(B319))))*IF(AND(ArtifactsInput!$M$42,((Inputs!$B$9+((C300=TRUE)*(F300-Calc!F26))+B308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289*(1-MIN(100,(Inputs!$B$9+((C300=TRUE)*(F300-Calc!F26))+B308+(ArtifactsInput!$M$24-ArtifactsInput!$M$24)*CHOOSE(ArtifactsInput!$N$24+1,10,12,14,16,18,20)+(IF(AND(Inputs!$B$39&lt;&gt;"pvp",Inputs!$B$44=0),1,IF(IF(Inputs!$B$39="pvp",15,Inputs!$B$44)-(B319)&lt;=0,1,MAX(0,IF(Inputs!$B$39="pvp",15,Inputs!$B$44)-MAX(5,B319))/(IF(Inputs!$B$39="pvp",15,Inputs!$B$44)-(B319))))*IF(AND(ArtifactsInput!$M$42,((Inputs!$B$9+((C300=TRUE)*(F300-Calc!F26))+B308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289*(MIN(100,(Inputs!$B$9+((C300=TRUE)*(F300-Calc!F26))+B308+(ArtifactsInput!$M$24-ArtifactsInput!$M$24)*CHOOSE(ArtifactsInput!$N$24+1,10,12,14,16,18,20)+(IF(AND(Inputs!$B$39&lt;&gt;"pvp",Inputs!$B$44=0),1,IF(IF(Inputs!$B$39="pvp",15,Inputs!$B$44)-(B319)&lt;=0,1,MAX(0,IF(Inputs!$B$39="pvp",15,Inputs!$B$44)-MAX(5,B319))/(IF(Inputs!$B$39="pvp",15,Inputs!$B$44)-(B319))))*IF(AND(ArtifactsInput!$M$42,((Inputs!$B$9+((C300=TRUE)*(F300-Calc!F26))+B308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89">
        <f>IF(C289,(H289*N289*IF(AND(Inputs!$B$39&lt;&gt;"pvp",Inputs!$B$44&gt;0),((Skills!G15*((R289-1)*IF(Skills!H15&gt;0,Skills!I15/Skills!H15,1)+IF(Skills!H15&gt;0,MIN(Skills!I15,MAX(0,MAX(0,Inputs!$B$44-B319)-((R289-1)*IF(Inputs!$B$39="pvp",15,MAX(0.1,Skills!D15-IF(TRUE=TRUE,Inputs!$B$32,0))))))/Skills!H15,1)))/Inputs!$B$44),G289*Q289))*IF(Inputs!$B$39="pvp",1,(1+(Inputs!$B$21+Skills!Q15+B309+(IF(ArtifactsInput!$M$33,CHOOSE(ArtifactsInput!$N$33+1,30,36,42,48,54,60),0))+(IF(AND(ArtifactsInput!$M$35,Inputs!$B$4&lt;&gt;"Chapter Hunt"),CHOOSE(ArtifactsInput!$N$35+1,15,18,21,24,27,30)*(1-EXP(-(0.2*B312)*5)),0)+IF(AND(ArtifactsInput!$M$22,Inputs!$B$4&lt;&gt;"Chapter Hunt"),CHOOSE(ArtifactsInput!$N$22+1,10,12,14,16,18,20)*((0*(((0.15*B312*5))^0/1)+1*(((0.15*B312*5))^1/1)+2*(((0.15*B312*5))^2/2)+3*(((0.15*B312*5))^3/6)+4*(((0.15*B312*5))^4/24)+5*(((0.15*B312*5))^5/120))/((((0.15*B312*5))^0/1)+(((0.15*B312*5))^1/1)+(((0.15*B312*5))^2/2)+(((0.15*B312*5))^3/6)+(((0.15*B312*5))^4/24)+(((0.15*B312*5))^5/120))),0)))/100)*(MIN(MIN(5,0.5*IF(Inputs!$B$3&gt;=75,0.75,0.5)*B312*(1/Q278))*Skills!V15,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90">
      <c r="A290">
        <f>Skills!A16</f>
        <v/>
      </c>
      <c r="B290">
        <f>Skills!B16</f>
        <v/>
      </c>
      <c r="C290">
        <f>Inputs!$B$3&gt;=110</f>
        <v/>
      </c>
      <c r="D290">
        <f>IF(Skills!C16=1,60+Inputs!$B$25+Inputs!$B$29,IF(Skills!C16=2,90+Inputs!$B$26+Inputs!$B$29,IF(Skills!C16=3,120+Inputs!$B$27+Inputs!$B$29,MAX(0,(Inputs!$B$3-100)*3)+Inputs!$B$28+Inputs!$B$29)))</f>
        <v/>
      </c>
      <c r="E290">
        <f>INDEX(FactorTable!$B$2:$Y$301, MATCH(ROUND(MIN(300,MAX(1,D290)),0), FactorTable!$A$2:$A$301,0), Skills!M16+1)</f>
        <v/>
      </c>
      <c r="F290">
        <f>IF(Skills!N16=TRUE,(Skills!L16/10)*(E290/1000),Skills!L16/10)+Skills!O16</f>
        <v/>
      </c>
      <c r="G290">
        <f>Skills!G16*IF(Skills!H16&gt;0,IF(Inputs!$B$39="pvp",MIN(Skills!I16,15),Skills!I16)/Skills!H16,1)</f>
        <v/>
      </c>
      <c r="H290">
        <f>1-(1-Skills!J16/100)^Skills!K16</f>
        <v/>
      </c>
      <c r="I290" t="inlineStr">
        <is>
          <t>1</t>
        </is>
      </c>
      <c r="J290" t="inlineStr"/>
      <c r="K290" t="inlineStr"/>
      <c r="L290" t="inlineStr"/>
      <c r="M290" t="inlineStr"/>
      <c r="N290" t="inlineStr"/>
      <c r="O290">
        <f>(1-Summary!$B$11)*T290+Summary!$B$11*V290</f>
        <v/>
      </c>
      <c r="P290">
        <f>IF(B320=0,0,O290/B320)</f>
        <v/>
      </c>
      <c r="Q290">
        <f>IFERROR(1/IF(Inputs!$B$39="pvp",15,MAX(0.1,Skills!D16-IF(TRUE=TRUE,Inputs!$B$32,0))),0)</f>
        <v/>
      </c>
      <c r="R290">
        <f>IF(AND(Inputs!$B$39&lt;&gt;"pvp",Inputs!$B$44&gt;0),IF(Inputs!$B$44&lt;=0,0,(INT(Inputs!$B$44/IF(Inputs!$B$39="pvp",15,MAX(0.1,Skills!D16-IF(TRUE=TRUE,Inputs!$B$32,0))))+1)),0)</f>
        <v/>
      </c>
      <c r="S290">
        <f>IFERROR(O290/N290,0)</f>
        <v/>
      </c>
      <c r="T290" t="n">
        <v>0</v>
      </c>
      <c r="V290" t="n">
        <v>0</v>
      </c>
    </row>
    <row r="291">
      <c r="A291">
        <f>Skills!A17</f>
        <v/>
      </c>
      <c r="B291">
        <f>Skills!B17</f>
        <v/>
      </c>
      <c r="C291">
        <f>Inputs!$B$3&gt;=115</f>
        <v/>
      </c>
      <c r="D291">
        <f>IF(Skills!C17=1,60+Inputs!$B$25+Inputs!$B$29,IF(Skills!C17=2,90+Inputs!$B$26+Inputs!$B$29,IF(Skills!C17=3,120+Inputs!$B$27+Inputs!$B$29,MAX(0,(Inputs!$B$3-100)*3)+Inputs!$B$28+Inputs!$B$29)))</f>
        <v/>
      </c>
      <c r="E291">
        <f>INDEX(FactorTable!$B$2:$Y$301, MATCH(ROUND(MIN(300,MAX(1,D291)),0), FactorTable!$A$2:$A$301,0), Skills!M17+1)</f>
        <v/>
      </c>
      <c r="F291">
        <f>IF(Skills!N17=TRUE,(Skills!L17/10)*(E291/1000),Skills!L17/10)+Skills!O17</f>
        <v/>
      </c>
      <c r="G291">
        <f>Skills!G17*IF(Skills!H17&gt;0,IF(Inputs!$B$39="pvp",MIN(Skills!I17,15),Skills!I17)/Skills!H17,1)</f>
        <v/>
      </c>
      <c r="H291">
        <f>1-(1-Skills!J17/100)^Skills!K17</f>
        <v/>
      </c>
      <c r="I291" t="inlineStr">
        <is>
          <t>1</t>
        </is>
      </c>
      <c r="J291">
        <f>((Inputs!$B$6*(1+Inputs!$B$7/100))+(((Inputs!$B$12*(1+Inputs!$B$13/100))-(Inputs!$B$12*(1+Inputs!$B$13/100)))+0.25*(Inputs!$B$14-Inputs!$B$14))*(1+Inputs!$B$7/100))*(F291/100)</f>
        <v/>
      </c>
      <c r="K291">
        <f>J291*(1+((Inputs!$B$12*(1+Inputs!$B$13/100))*0.01+Inputs!$B$14*0.0025)/100)*(1+Inputs!$B$15/100)*(1+(Inputs!$B$16+1)/100)*(5000/(6000+Inputs!$B$43*(1-(100*(1-(1-Inputs!$B$19/100)*(1-CHOOSE(ArtifactsInput!$N$40+1,5,6,7,8,9,10)/100)^(ArtifactsInput!$M$40-ArtifactsInput!$M$40)))/100)))*(1+(Inputs!$B$24+((C305=TRUE)*(F305-Calc!F31))+((C292=TRUE)*(F292-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17="CRUEL_STAB",Inputs!$B$17+((C302=TRUE)*(F302-Calc!F28))+((IF(AND(Inputs!$B$39&lt;&gt;"pvp",Inputs!$B$44=0),1,IF(IF(Inputs!$B$39="pvp",15,Inputs!$B$44)-(B319)&lt;=0,1,MAX(0,IF(Inputs!$B$39="pvp",15,Inputs!$B$44)-MAX(5,B319))/(IF(Inputs!$B$39="pvp",15,Inputs!$B$44)-(B319))))*(IF(AND(ArtifactsInput!$M$42,((Inputs!$B$9+((C300=TRUE)*(F300-Calc!F26))+B308+(ArtifactsInput!$M$24-ArtifactsInput!$M$24)*CHOOSE(ArtifactsInput!$N$24+1,10,12,14,16,18,20)+IF(ArtifactsInput!$M$10,CHOOSE(ArtifactsInput!$N$10+1,15,18,21,24,27,30)*(IF(Inputs!$B$39="pvp",MIN(15,15)/15,IF(AND(Inputs!$B$39&lt;&gt;"pvp",Inputs!$B$44&gt;0),MIN(15,Inputs!$B$44)/(Inputs!$B$44),0))),0)))&gt;=100),MIN(100,((Inputs!$B$9+((C300=TRUE)*(F300-Calc!F26))+B308+(ArtifactsInput!$M$24-ArtifactsInput!$M$24)*CHOOSE(ArtifactsInput!$N$24+1,10,12,14,16,18,20)+IF(ArtifactsInput!$M$10,CHOOSE(ArtifactsInput!$N$10+1,15,18,21,24,27,30)*(IF(Inputs!$B$39="pvp",MIN(15,15)/15,IF(AND(Inputs!$B$39&lt;&gt;"pvp",Inputs!$B$44&gt;0),MIN(15,Inputs!$B$44)/(Inputs!$B$44),0))),0)))-100),0))*CHOOSE(ArtifactsInput!$N$42+1,0.6,0.72,0.84,0.96,1.08,1.2))),Inputs!$B$18+((C303=TRUE)*(F303-Calc!F29))+(IF(AND(Inputs!$B$39&lt;&gt;"pvp",Inputs!$B$44=0),1,IF(IF(Inputs!$B$39="pvp",15,Inputs!$B$44)-(B319)&lt;=0,1,MAX(0,IF(Inputs!$B$39="pvp",15,Inputs!$B$44)-MAX(5,B319))/(IF(Inputs!$B$39="pvp",15,Inputs!$B$44)-(B319))))*IF(AND(ArtifactsInput!$M$42,((Inputs!$B$9+((C300=TRUE)*(F300-Calc!F26))+B308+(ArtifactsInput!$M$24-ArtifactsInput!$M$24)*CHOOSE(ArtifactsInput!$N$24+1,10,12,14,16,18,20)+IF(ArtifactsInput!$M$10,CHOOSE(ArtifactsInput!$N$10+1,15,18,21,24,27,30)*(IF(Inputs!$B$39="pvp",MIN(15,15)/15,IF(AND(Inputs!$B$39&lt;&gt;"pvp",Inputs!$B$44&gt;0),MIN(15,Inputs!$B$44)/(Inputs!$B$44),0))),0)))&gt;=100),CHOOSE(ArtifactsInput!$N$42+1,40,48,56,64,72,80),0))))/100)*(((1+(((C296=TRUE)*F296*IF(AND(Inputs!$B$39&lt;&gt;"pvp",Inputs!$B$44&gt;0),(((R296-1)*MIN((Skills!Y22*(1+Inputs!$B$34/100)),(1/Q296))+MIN((Skills!Y22*(1+Inputs!$B$34/100)),MAX(0,Inputs!$B$44-((R296-1)*(1/Q296)))))/Inputs!$B$44),IF(Inputs!$B$39="pvp",MIN((Skills!Y22*(1+Inputs!$B$34/100)),15)/15,MIN(1,(Skills!Y22*(1+Inputs!$B$34/100))/(1/Q296)))))+((C277=TRUE)*F277*3)+((C279=TRUE)*F279*(1-EXP(-0.75*B312*5)))+((C298=TRUE)*(F298-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285=TRUE)*F285*IF(AND(Inputs!$B$39&lt;&gt;"pvp",Inputs!$B$44&gt;0),(((R285-1)*MIN((Skills!Y11*(1+Inputs!$B$34/100)),(1/Q285))+MIN((Skills!Y11*(1+Inputs!$B$34/100)),MAX(0,Inputs!$B$44-((R285-1)*(1/Q285)))))/Inputs!$B$44),IF(Inputs!$B$39="pvp",MIN((Skills!Y11*(1+Inputs!$B$34/100)),15)/15,MIN(1,(Skills!Y11*(1+Inputs!$B$34/100))/(1/Q285)))))/100)*(1+((C290=TRUE)*F290*IF(AND(Inputs!$B$39&lt;&gt;"pvp",Inputs!$B$44&gt;0),(((R290-1)*MIN((Skills!Y16*(1+Inputs!$B$34/100)),(1/Q290))+MIN((Skills!Y16*(1+Inputs!$B$34/100)),MAX(0,Inputs!$B$44-((R290-1)*(1/Q290)))))/Inputs!$B$44),IF(Inputs!$B$39="pvp",MIN((Skills!Y16*(1+Inputs!$B$34/100)),15)/15,MIN(1,(Skills!Y16*(1+Inputs!$B$34/100))/(1/Q290)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310*I291)</f>
        <v/>
      </c>
      <c r="L291">
        <f>K291*(MIN(Inputs!$B$22+((C299=TRUE)*(F299-Calc!F25)),(Inputs!$B$23+((C304=TRUE)*(F304-Calc!F30))+IF(ArtifactsInput!$M$15,CHOOSE(ArtifactsInput!$N$15+1,25,30,35,40,45,50)/100*(Inputs!$B$11-Inputs!$B$11),0)))/100+(Inputs!$B$23+((C304=TRUE)*(F304-Calc!F30))+IF(ArtifactsInput!$M$15,CHOOSE(ArtifactsInput!$N$15+1,25,30,35,40,45,50)/100*(Inputs!$B$11-Inputs!$B$11),0))/100)/2</f>
        <v/>
      </c>
      <c r="M291">
        <f>L291*(1+(Inputs!$B$10+((C301=TRUE)*(F301-Calc!F27))+B315+(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291">
        <f>L291*(1-MIN((Inputs!$B$9+((C300=TRUE)*(F300-Calc!F26))+B308+(ArtifactsInput!$M$24-ArtifactsInput!$M$24)*CHOOSE(ArtifactsInput!$N$24+1,10,12,14,16,18,20)+(IF(AND(Inputs!$B$39&lt;&gt;"pvp",Inputs!$B$44=0),1,IF(IF(Inputs!$B$39="pvp",15,Inputs!$B$44)-(B319)&lt;=0,1,MAX(0,IF(Inputs!$B$39="pvp",15,Inputs!$B$44)-MAX(5,B319))/(IF(Inputs!$B$39="pvp",15,Inputs!$B$44)-(B319))))*IF(AND(ArtifactsInput!$M$42,((Inputs!$B$9+((C300=TRUE)*(F300-Calc!F26))+B308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291*(MIN((Inputs!$B$9+((C300=TRUE)*(F300-Calc!F26))+B308+(ArtifactsInput!$M$24-ArtifactsInput!$M$24)*CHOOSE(ArtifactsInput!$N$24+1,10,12,14,16,18,20)+(IF(AND(Inputs!$B$39&lt;&gt;"pvp",Inputs!$B$44=0),1,IF(IF(Inputs!$B$39="pvp",15,Inputs!$B$44)-(B319)&lt;=0,1,MAX(0,IF(Inputs!$B$39="pvp",15,Inputs!$B$44)-MAX(5,B319))/(IF(Inputs!$B$39="pvp",15,Inputs!$B$44)-(B319))))*IF(AND(ArtifactsInput!$M$42,((Inputs!$B$9+((C300=TRUE)*(F300-Calc!F26))+B308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91">
        <f>(1-Summary!$B$11)*T291+Summary!$B$11*V291</f>
        <v/>
      </c>
      <c r="P291">
        <f>IF(B320=0,0,O291/B320)</f>
        <v/>
      </c>
      <c r="Q291" t="n">
        <v>0</v>
      </c>
      <c r="R291" t="n">
        <v>0</v>
      </c>
      <c r="S291">
        <f>IFERROR(O291/N291,0)</f>
        <v/>
      </c>
      <c r="T291">
        <f>IF(C291,(Inputs!$B$38*0.2*N291)*IF(Inputs!$B$39="pvp",1,1+(Inputs!$B$20+0+Skills!P17+B309+(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Hunt"),CHOOSE(ArtifactsInput!$N$35+1,15,18,21,24,27,30)*(1-EXP(-(0.2*B312)*5)),0)+IF(AND(ArtifactsInput!$M$22,Inputs!$B$4&lt;&gt;"Chapter Hunt"),CHOOSE(ArtifactsInput!$N$22+1,10,12,14,16,18,20)*((0*(((0.15*B312*5))^0/1)+1*(((0.15*B312*5))^1/1)+2*(((0.15*B312*5))^2/2)+3*(((0.15*B312*5))^3/6)+4*(((0.15*B312*5))^4/24)+5*(((0.15*B312*5))^5/120))/((((0.15*B312*5))^0/1)+(((0.15*B312*5))^1/1)+(((0.15*B312*5))^2/2)+(((0.15*B312*5))^3/6)+(((0.15*B312*5))^4/24)+(((0.15*B312*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291*(1-MIN(100,(Inputs!$B$9+((C300=TRUE)*(F300-Calc!F26))+B308+(ArtifactsInput!$M$24-ArtifactsInput!$M$24)*CHOOSE(ArtifactsInput!$N$24+1,10,12,14,16,18,20)+(IF(AND(Inputs!$B$39&lt;&gt;"pvp",Inputs!$B$44=0),1,IF(IF(Inputs!$B$39="pvp",15,Inputs!$B$44)-(B319)&lt;=0,1,MAX(0,IF(Inputs!$B$39="pvp",15,Inputs!$B$44)-MAX(5,B319))/(IF(Inputs!$B$39="pvp",15,Inputs!$B$44)-(B319))))*IF(AND(ArtifactsInput!$M$42,((Inputs!$B$9+((C300=TRUE)*(F300-Calc!F26))+B308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291*(MIN(100,(Inputs!$B$9+((C300=TRUE)*(F300-Calc!F26))+B308+(ArtifactsInput!$M$24-ArtifactsInput!$M$24)*CHOOSE(ArtifactsInput!$N$24+1,10,12,14,16,18,20)+(IF(AND(Inputs!$B$39&lt;&gt;"pvp",Inputs!$B$44=0),1,IF(IF(Inputs!$B$39="pvp",15,Inputs!$B$44)-(B319)&lt;=0,1,MAX(0,IF(Inputs!$B$39="pvp",15,Inputs!$B$44)-MAX(5,B319))/(IF(Inputs!$B$39="pvp",15,Inputs!$B$44)-(B319))))*IF(AND(ArtifactsInput!$M$42,((Inputs!$B$9+((C300=TRUE)*(F300-Calc!F26))+B308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291*(1-MIN(100,(Inputs!$B$9+((C300=TRUE)*(F300-Calc!F26))+B308+(ArtifactsInput!$M$24-ArtifactsInput!$M$24)*CHOOSE(ArtifactsInput!$N$24+1,10,12,14,16,18,20)+(IF(AND(Inputs!$B$39&lt;&gt;"pvp",Inputs!$B$44=0),1,IF(IF(Inputs!$B$39="pvp",15,Inputs!$B$44)-(B319)&lt;=0,1,MAX(0,IF(Inputs!$B$39="pvp",15,Inputs!$B$44)-MAX(5,B319))/(IF(Inputs!$B$39="pvp",15,Inputs!$B$44)-(B319))))*IF(AND(ArtifactsInput!$M$42,((Inputs!$B$9+((C300=TRUE)*(F300-Calc!F26))+B308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291*(MIN(100,(Inputs!$B$9+((C300=TRUE)*(F300-Calc!F26))+B308+(ArtifactsInput!$M$24-ArtifactsInput!$M$24)*CHOOSE(ArtifactsInput!$N$24+1,10,12,14,16,18,20)+(IF(AND(Inputs!$B$39&lt;&gt;"pvp",Inputs!$B$44=0),1,IF(IF(Inputs!$B$39="pvp",15,Inputs!$B$44)-(B319)&lt;=0,1,MAX(0,IF(Inputs!$B$39="pvp",15,Inputs!$B$44)-MAX(5,B319))/(IF(Inputs!$B$39="pvp",15,Inputs!$B$44)-(B319))))*IF(AND(ArtifactsInput!$M$42,((Inputs!$B$9+((C300=TRUE)*(F300-Calc!F26))+B308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91">
        <f>IF(C291,(Inputs!$B$38*0.2*N291)*IF(Inputs!$B$39="pvp",1,(1+(Inputs!$B$21+Skills!Q17+B309+(IF(ArtifactsInput!$M$33,CHOOSE(ArtifactsInput!$N$33+1,30,36,42,48,54,60),0))+(IF(AND(ArtifactsInput!$M$35,Inputs!$B$4&lt;&gt;"Chapter Hunt"),CHOOSE(ArtifactsInput!$N$35+1,15,18,21,24,27,30)*(1-EXP(-(0.2*B312)*5)),0)+IF(AND(ArtifactsInput!$M$22,Inputs!$B$4&lt;&gt;"Chapter Hunt"),CHOOSE(ArtifactsInput!$N$22+1,10,12,14,16,18,20)*((0*(((0.15*B312*5))^0/1)+1*(((0.15*B312*5))^1/1)+2*(((0.15*B312*5))^2/2)+3*(((0.15*B312*5))^3/6)+4*(((0.15*B312*5))^4/24)+5*(((0.15*B312*5))^5/120))/((((0.15*B312*5))^0/1)+(((0.15*B312*5))^1/1)+(((0.15*B312*5))^2/2)+(((0.15*B312*5))^3/6)+(((0.15*B312*5))^4/24)+(((0.15*B312*5))^5/120))),0)))/100)*(MIN(Skills!W17,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92">
      <c r="A292">
        <f>Skills!A18</f>
        <v/>
      </c>
      <c r="B292">
        <f>Skills!B18</f>
        <v/>
      </c>
      <c r="C292">
        <f>Inputs!$B$3&gt;=115</f>
        <v/>
      </c>
      <c r="D292">
        <f>IF(Skills!C18=1,60+Inputs!$B$25+Inputs!$B$29,IF(Skills!C18=2,90+Inputs!$B$26+Inputs!$B$29,IF(Skills!C18=3,120+Inputs!$B$27+Inputs!$B$29,MAX(0,(Inputs!$B$3-100)*3)+Inputs!$B$28+Inputs!$B$29)))</f>
        <v/>
      </c>
      <c r="E292">
        <f>INDEX(FactorTable!$B$2:$Y$301, MATCH(ROUND(MIN(300,MAX(1,D292)),0), FactorTable!$A$2:$A$301,0), Skills!M18+1)</f>
        <v/>
      </c>
      <c r="F292">
        <f>IF(Skills!N18=TRUE,(Skills!L18/10)*(E292/1000),Skills!L18/10)+Skills!O18</f>
        <v/>
      </c>
      <c r="G292">
        <f>Skills!G18*IF(Skills!H18&gt;0,IF(Inputs!$B$39="pvp",MIN(Skills!I18,15),Skills!I18)/Skills!H18,1)</f>
        <v/>
      </c>
      <c r="H292">
        <f>1-(1-Skills!J18/100)^Skills!K18</f>
        <v/>
      </c>
      <c r="I292" t="inlineStr">
        <is>
          <t>1</t>
        </is>
      </c>
      <c r="J292" t="inlineStr"/>
      <c r="K292" t="inlineStr"/>
      <c r="L292" t="inlineStr"/>
      <c r="M292" t="inlineStr"/>
      <c r="N292" t="inlineStr"/>
      <c r="O292">
        <f>(1-Summary!$B$11)*T292+Summary!$B$11*V292</f>
        <v/>
      </c>
      <c r="P292">
        <f>IF(B320=0,0,O292/B320)</f>
        <v/>
      </c>
      <c r="Q292" t="n">
        <v>0</v>
      </c>
      <c r="R292" t="n">
        <v>0</v>
      </c>
      <c r="S292">
        <f>IFERROR(O292/N292,0)</f>
        <v/>
      </c>
      <c r="T292" t="n">
        <v>0</v>
      </c>
      <c r="V292" t="n">
        <v>0</v>
      </c>
    </row>
    <row r="293">
      <c r="A293">
        <f>Skills!A19</f>
        <v/>
      </c>
      <c r="B293">
        <f>Skills!B19</f>
        <v/>
      </c>
      <c r="C293">
        <f>Inputs!$B$3&gt;=100</f>
        <v/>
      </c>
      <c r="D293">
        <f>IF(Skills!C19=1,60+Inputs!$B$25+Inputs!$B$29,IF(Skills!C19=2,90+Inputs!$B$26+Inputs!$B$29,IF(Skills!C19=3,120+Inputs!$B$27+Inputs!$B$29,MAX(0,(Inputs!$B$3-100)*3)+Inputs!$B$28+Inputs!$B$29)))</f>
        <v/>
      </c>
      <c r="E293">
        <f>INDEX(FactorTable!$B$2:$Y$301, MATCH(ROUND(MIN(300,MAX(1,D293)),0), FactorTable!$A$2:$A$301,0), Skills!M19+1)</f>
        <v/>
      </c>
      <c r="F293">
        <f>IF(Skills!N19=TRUE,(Skills!L19/10)*(E293/1000),Skills!L19/10)+Skills!O19</f>
        <v/>
      </c>
      <c r="G293">
        <f>Skills!G19*IF(Skills!H19&gt;0,IF(Inputs!$B$39="pvp",MIN(Skills!I19,15),Skills!I19)/Skills!H19,1)</f>
        <v/>
      </c>
      <c r="H293">
        <f>1-(1-Skills!J19/100)^Skills!K19</f>
        <v/>
      </c>
      <c r="I293" t="inlineStr">
        <is>
          <t>1</t>
        </is>
      </c>
      <c r="J293" t="inlineStr"/>
      <c r="K293" t="inlineStr"/>
      <c r="L293" t="inlineStr"/>
      <c r="M293" t="inlineStr"/>
      <c r="N293" t="inlineStr"/>
      <c r="O293">
        <f>(1-Summary!$B$11)*T293+Summary!$B$11*V293</f>
        <v/>
      </c>
      <c r="P293">
        <f>IF(B320=0,0,O293/B320)</f>
        <v/>
      </c>
      <c r="Q293" t="n">
        <v>0</v>
      </c>
      <c r="R293" t="n">
        <v>0</v>
      </c>
      <c r="S293">
        <f>IFERROR(O293/N293,0)</f>
        <v/>
      </c>
      <c r="T293" t="n">
        <v>0</v>
      </c>
      <c r="V293" t="n">
        <v>0</v>
      </c>
    </row>
    <row r="294">
      <c r="A294">
        <f>Skills!A20</f>
        <v/>
      </c>
      <c r="B294">
        <f>Skills!B20</f>
        <v/>
      </c>
      <c r="C294">
        <f>TRUE</f>
        <v/>
      </c>
      <c r="D294">
        <f>IF(Skills!C20=1,60+Inputs!$B$25+Inputs!$B$29,IF(Skills!C20=2,90+Inputs!$B$26+Inputs!$B$29,IF(Skills!C20=3,120+Inputs!$B$27+Inputs!$B$29,MAX(0,(Inputs!$B$3-100)*3)+Inputs!$B$28+Inputs!$B$29)))</f>
        <v/>
      </c>
      <c r="E294">
        <f>INDEX(FactorTable!$B$2:$Y$301, MATCH(ROUND(MIN(300,MAX(1,D294)),0), FactorTable!$A$2:$A$301,0), Skills!M20+1)</f>
        <v/>
      </c>
      <c r="F294">
        <f>IF(Skills!N20=TRUE,(Skills!L20/10)*(E294/1000),Skills!L20/10)+Skills!O20</f>
        <v/>
      </c>
      <c r="G294">
        <f>Skills!G20*IF(Skills!H20&gt;0,IF(Inputs!$B$39="pvp",MIN(Skills!I20,15),Skills!I20)/Skills!H20,1)</f>
        <v/>
      </c>
      <c r="H294">
        <f>1-(1-Skills!J20/100)^Skills!K20</f>
        <v/>
      </c>
      <c r="I294" t="inlineStr">
        <is>
          <t>1</t>
        </is>
      </c>
      <c r="J294" t="inlineStr"/>
      <c r="K294" t="inlineStr"/>
      <c r="L294" t="inlineStr"/>
      <c r="M294" t="inlineStr"/>
      <c r="N294" t="inlineStr"/>
      <c r="O294">
        <f>(1-Summary!$B$11)*T294+Summary!$B$11*V294</f>
        <v/>
      </c>
      <c r="P294">
        <f>IF(B320=0,0,O294/B320)</f>
        <v/>
      </c>
      <c r="Q294">
        <f>IFERROR(1/IF(Inputs!$B$39="pvp",15,MAX(0.1,Skills!D20-IF(TRUE=TRUE,Inputs!$B$32,0))),0)</f>
        <v/>
      </c>
      <c r="R294">
        <f>IF(AND(Inputs!$B$39&lt;&gt;"pvp",Inputs!$B$44&gt;0),IF(Inputs!$B$44&lt;=0,0,(INT(Inputs!$B$44/IF(Inputs!$B$39="pvp",15,MAX(0.1,Skills!D20-IF(TRUE=TRUE,Inputs!$B$32,0))))+1)),0)</f>
        <v/>
      </c>
      <c r="S294">
        <f>IFERROR(O294/N294,0)</f>
        <v/>
      </c>
      <c r="T294" t="n">
        <v>0</v>
      </c>
      <c r="V294" t="n">
        <v>0</v>
      </c>
    </row>
    <row r="295">
      <c r="A295">
        <f>Skills!A21</f>
        <v/>
      </c>
      <c r="B295">
        <f>Skills!B21</f>
        <v/>
      </c>
      <c r="C295">
        <f>Inputs!$B$3&gt;=15</f>
        <v/>
      </c>
      <c r="D295">
        <f>IF(Skills!C21=1,60+Inputs!$B$25+Inputs!$B$29,IF(Skills!C21=2,90+Inputs!$B$26+Inputs!$B$29,IF(Skills!C21=3,120+Inputs!$B$27+Inputs!$B$29,MAX(0,(Inputs!$B$3-100)*3)+Inputs!$B$28+Inputs!$B$29)))</f>
        <v/>
      </c>
      <c r="E295">
        <f>INDEX(FactorTable!$B$2:$Y$301, MATCH(ROUND(MIN(300,MAX(1,D295)),0), FactorTable!$A$2:$A$301,0), Skills!M21+1)</f>
        <v/>
      </c>
      <c r="F295">
        <f>IF(Skills!N21=TRUE,(Skills!L21/10)*(E295/1000),Skills!L21/10)+Skills!O21</f>
        <v/>
      </c>
      <c r="G295">
        <f>Skills!G21*IF(Skills!H21&gt;0,IF(Inputs!$B$39="pvp",MIN(Skills!I21,15),Skills!I21)/Skills!H21,1)</f>
        <v/>
      </c>
      <c r="H295">
        <f>1-(1-Skills!J21/100)^Skills!K21</f>
        <v/>
      </c>
      <c r="I295" t="inlineStr">
        <is>
          <t>1</t>
        </is>
      </c>
      <c r="J295" t="inlineStr"/>
      <c r="K295" t="inlineStr"/>
      <c r="L295" t="inlineStr"/>
      <c r="M295" t="inlineStr"/>
      <c r="N295" t="inlineStr"/>
      <c r="O295">
        <f>(1-Summary!$B$11)*T295+Summary!$B$11*V295</f>
        <v/>
      </c>
      <c r="P295">
        <f>IF(B320=0,0,O295/B320)</f>
        <v/>
      </c>
      <c r="Q295">
        <f>IFERROR(1/IF(Inputs!$B$39="pvp",15,MAX(0.1,Skills!D21-IF(TRUE=TRUE,Inputs!$B$32,0))),0)</f>
        <v/>
      </c>
      <c r="R295">
        <f>IF(AND(Inputs!$B$39&lt;&gt;"pvp",Inputs!$B$44&gt;0),IF(Inputs!$B$44&lt;=0,0,(INT(Inputs!$B$44/IF(Inputs!$B$39="pvp",15,MAX(0.1,Skills!D21-IF(TRUE=TRUE,Inputs!$B$32,0))))+1)),0)</f>
        <v/>
      </c>
      <c r="S295">
        <f>IFERROR(O295/N295,0)</f>
        <v/>
      </c>
      <c r="T295" t="n">
        <v>0</v>
      </c>
      <c r="V295" t="n">
        <v>0</v>
      </c>
    </row>
    <row r="296">
      <c r="A296">
        <f>Skills!A22</f>
        <v/>
      </c>
      <c r="B296">
        <f>Skills!B22</f>
        <v/>
      </c>
      <c r="C296">
        <f>Inputs!$B$3&gt;=15</f>
        <v/>
      </c>
      <c r="D296">
        <f>IF(Skills!C22=1,60+Inputs!$B$25+Inputs!$B$29,IF(Skills!C22=2,90+Inputs!$B$26+Inputs!$B$29,IF(Skills!C22=3,120+Inputs!$B$27+Inputs!$B$29,MAX(0,(Inputs!$B$3-100)*3)+Inputs!$B$28+Inputs!$B$29)))</f>
        <v/>
      </c>
      <c r="E296">
        <f>INDEX(FactorTable!$B$2:$Y$301, MATCH(ROUND(MIN(300,MAX(1,D296)),0), FactorTable!$A$2:$A$301,0), Skills!M22+1)</f>
        <v/>
      </c>
      <c r="F296">
        <f>IF(Skills!N22=TRUE,(Skills!L22/10)*(E296/1000),Skills!L22/10)+Skills!O22</f>
        <v/>
      </c>
      <c r="G296">
        <f>Skills!G22*IF(Skills!H22&gt;0,IF(Inputs!$B$39="pvp",MIN(Skills!I22,15),Skills!I22)/Skills!H22,1)</f>
        <v/>
      </c>
      <c r="H296">
        <f>1-(1-Skills!J22/100)^Skills!K22</f>
        <v/>
      </c>
      <c r="I296" t="inlineStr">
        <is>
          <t>1</t>
        </is>
      </c>
      <c r="J296" t="inlineStr"/>
      <c r="K296" t="inlineStr"/>
      <c r="L296" t="inlineStr"/>
      <c r="M296" t="inlineStr"/>
      <c r="N296" t="inlineStr"/>
      <c r="O296">
        <f>(1-Summary!$B$11)*T296+Summary!$B$11*V296</f>
        <v/>
      </c>
      <c r="P296">
        <f>IF(B320=0,0,O296/B320)</f>
        <v/>
      </c>
      <c r="Q296">
        <f>IFERROR(1/IF(Inputs!$B$39="pvp",15,MAX(0.1,Skills!D22-IF(TRUE=TRUE,Inputs!$B$32,0))),0)</f>
        <v/>
      </c>
      <c r="R296">
        <f>IF(AND(Inputs!$B$39&lt;&gt;"pvp",Inputs!$B$44&gt;0),IF(Inputs!$B$44&lt;=0,0,(INT(Inputs!$B$44/IF(Inputs!$B$39="pvp",15,MAX(0.1,Skills!D22-IF(TRUE=TRUE,Inputs!$B$32,0))))+1)),0)</f>
        <v/>
      </c>
      <c r="S296">
        <f>IFERROR(O296/N296,0)</f>
        <v/>
      </c>
      <c r="T296" t="n">
        <v>0</v>
      </c>
      <c r="V296" t="n">
        <v>0</v>
      </c>
    </row>
    <row r="297">
      <c r="A297">
        <f>Skills!A23</f>
        <v/>
      </c>
      <c r="B297">
        <f>Skills!B23</f>
        <v/>
      </c>
      <c r="C297">
        <f>Inputs!$B$3&gt;=33</f>
        <v/>
      </c>
      <c r="D297">
        <f>IF(Skills!C23=1,60+Inputs!$B$25+Inputs!$B$29,IF(Skills!C23=2,90+Inputs!$B$26+Inputs!$B$29,IF(Skills!C23=3,120+Inputs!$B$27+Inputs!$B$29,MAX(0,(Inputs!$B$3-100)*3)+Inputs!$B$28+Inputs!$B$29)))</f>
        <v/>
      </c>
      <c r="E297">
        <f>INDEX(FactorTable!$B$2:$Y$301, MATCH(ROUND(MIN(300,MAX(1,D297)),0), FactorTable!$A$2:$A$301,0), Skills!M23+1)</f>
        <v/>
      </c>
      <c r="F297">
        <f>IF(Skills!N23=TRUE,(Skills!L23/10)*(E297/1000),Skills!L23/10)+Skills!O23</f>
        <v/>
      </c>
      <c r="G297">
        <f>Skills!G23*IF(Skills!H23&gt;0,IF(Inputs!$B$39="pvp",MIN(Skills!I23,15),Skills!I23)/Skills!H23,1)</f>
        <v/>
      </c>
      <c r="H297">
        <f>1-(1-Skills!J23/100)^Skills!K23</f>
        <v/>
      </c>
      <c r="I297" t="inlineStr">
        <is>
          <t>1</t>
        </is>
      </c>
      <c r="J297" t="inlineStr"/>
      <c r="K297" t="inlineStr"/>
      <c r="L297" t="inlineStr"/>
      <c r="M297" t="inlineStr"/>
      <c r="N297" t="inlineStr"/>
      <c r="O297">
        <f>(1-Summary!$B$11)*T297+Summary!$B$11*V297</f>
        <v/>
      </c>
      <c r="P297">
        <f>IF(B320=0,0,O297/B320)</f>
        <v/>
      </c>
      <c r="Q297" t="n">
        <v>0</v>
      </c>
      <c r="R297" t="n">
        <v>0</v>
      </c>
      <c r="S297">
        <f>IFERROR(O297/N297,0)</f>
        <v/>
      </c>
      <c r="T297" t="n">
        <v>0</v>
      </c>
      <c r="V297" t="n">
        <v>0</v>
      </c>
    </row>
    <row r="298">
      <c r="A298">
        <f>Skills!A24</f>
        <v/>
      </c>
      <c r="B298">
        <f>Skills!B24</f>
        <v/>
      </c>
      <c r="C298">
        <f>Inputs!$B$3&gt;=40</f>
        <v/>
      </c>
      <c r="D298">
        <f>IF(Skills!C24=1,60+Inputs!$B$25+Inputs!$B$29,IF(Skills!C24=2,90+Inputs!$B$26+Inputs!$B$29,IF(Skills!C24=3,120+Inputs!$B$27+Inputs!$B$29,MAX(0,(Inputs!$B$3-100)*3)+Inputs!$B$28+Inputs!$B$29)))</f>
        <v/>
      </c>
      <c r="E298">
        <f>INDEX(FactorTable!$B$2:$Y$301, MATCH(ROUND(MIN(300,MAX(1,D298)),0), FactorTable!$A$2:$A$301,0), Skills!M24+1)</f>
        <v/>
      </c>
      <c r="F298">
        <f>IF(Skills!N24=TRUE,(Skills!L24/10)*(E298/1000),Skills!L24/10)+Skills!O24</f>
        <v/>
      </c>
      <c r="G298">
        <f>Skills!G24*IF(Skills!H24&gt;0,IF(Inputs!$B$39="pvp",MIN(Skills!I24,15),Skills!I24)/Skills!H24,1)</f>
        <v/>
      </c>
      <c r="H298">
        <f>1-(1-Skills!J24/100)^Skills!K24</f>
        <v/>
      </c>
      <c r="I298" t="inlineStr">
        <is>
          <t>1</t>
        </is>
      </c>
      <c r="J298" t="inlineStr"/>
      <c r="K298" t="inlineStr"/>
      <c r="L298" t="inlineStr"/>
      <c r="M298" t="inlineStr"/>
      <c r="N298" t="inlineStr"/>
      <c r="O298">
        <f>(1-Summary!$B$11)*T298+Summary!$B$11*V298</f>
        <v/>
      </c>
      <c r="P298">
        <f>IF(B320=0,0,O298/B320)</f>
        <v/>
      </c>
      <c r="Q298" t="n">
        <v>0</v>
      </c>
      <c r="R298" t="n">
        <v>0</v>
      </c>
      <c r="S298">
        <f>IFERROR(O298/N298,0)</f>
        <v/>
      </c>
      <c r="T298" t="n">
        <v>0</v>
      </c>
      <c r="V298" t="n">
        <v>0</v>
      </c>
    </row>
    <row r="299">
      <c r="A299">
        <f>Skills!A25</f>
        <v/>
      </c>
      <c r="B299">
        <f>Skills!B25</f>
        <v/>
      </c>
      <c r="C299">
        <f>Inputs!$B$3&gt;=43</f>
        <v/>
      </c>
      <c r="D299">
        <f>IF(Skills!C25=1,60+Inputs!$B$25+Inputs!$B$29,IF(Skills!C25=2,90+Inputs!$B$26+Inputs!$B$29,IF(Skills!C25=3,120+Inputs!$B$27+Inputs!$B$29,MAX(0,(Inputs!$B$3-100)*3)+Inputs!$B$28+Inputs!$B$29)))</f>
        <v/>
      </c>
      <c r="E299">
        <f>INDEX(FactorTable!$B$2:$Y$301, MATCH(ROUND(MIN(300,MAX(1,D299)),0), FactorTable!$A$2:$A$301,0), Skills!M25+1)</f>
        <v/>
      </c>
      <c r="F299">
        <f>IF(Skills!N25=TRUE,(Skills!L25/10)*(E299/1000),Skills!L25/10)+Skills!O25</f>
        <v/>
      </c>
      <c r="G299">
        <f>Skills!G25*IF(Skills!H25&gt;0,IF(Inputs!$B$39="pvp",MIN(Skills!I25,15),Skills!I25)/Skills!H25,1)</f>
        <v/>
      </c>
      <c r="H299">
        <f>1-(1-Skills!J25/100)^Skills!K25</f>
        <v/>
      </c>
      <c r="I299" t="inlineStr">
        <is>
          <t>1</t>
        </is>
      </c>
      <c r="J299" t="inlineStr"/>
      <c r="K299" t="inlineStr"/>
      <c r="L299" t="inlineStr"/>
      <c r="M299" t="inlineStr"/>
      <c r="N299" t="inlineStr"/>
      <c r="O299">
        <f>(1-Summary!$B$11)*T299+Summary!$B$11*V299</f>
        <v/>
      </c>
      <c r="P299">
        <f>IF(B320=0,0,O299/B320)</f>
        <v/>
      </c>
      <c r="Q299" t="n">
        <v>0</v>
      </c>
      <c r="R299" t="n">
        <v>0</v>
      </c>
      <c r="S299">
        <f>IFERROR(O299/N299,0)</f>
        <v/>
      </c>
      <c r="T299" t="n">
        <v>0</v>
      </c>
      <c r="V299" t="n">
        <v>0</v>
      </c>
    </row>
    <row r="300">
      <c r="A300">
        <f>Skills!A26</f>
        <v/>
      </c>
      <c r="B300">
        <f>Skills!B26</f>
        <v/>
      </c>
      <c r="C300">
        <f>Inputs!$B$3&gt;=50</f>
        <v/>
      </c>
      <c r="D300">
        <f>IF(Skills!C26=1,60+Inputs!$B$25+Inputs!$B$29,IF(Skills!C26=2,90+Inputs!$B$26+Inputs!$B$29,IF(Skills!C26=3,120+Inputs!$B$27+Inputs!$B$29,MAX(0,(Inputs!$B$3-100)*3)+Inputs!$B$28+Inputs!$B$29)))</f>
        <v/>
      </c>
      <c r="E300">
        <f>INDEX(FactorTable!$B$2:$Y$301, MATCH(ROUND(MIN(300,MAX(1,D300)),0), FactorTable!$A$2:$A$301,0), Skills!M26+1)</f>
        <v/>
      </c>
      <c r="F300">
        <f>IF(Skills!N26=TRUE,(Skills!L26/10)*(E300/1000),Skills!L26/10)+Skills!O26</f>
        <v/>
      </c>
      <c r="G300">
        <f>Skills!G26*IF(Skills!H26&gt;0,IF(Inputs!$B$39="pvp",MIN(Skills!I26,15),Skills!I26)/Skills!H26,1)</f>
        <v/>
      </c>
      <c r="H300">
        <f>1-(1-Skills!J26/100)^Skills!K26</f>
        <v/>
      </c>
      <c r="I300" t="inlineStr">
        <is>
          <t>1</t>
        </is>
      </c>
      <c r="J300" t="inlineStr"/>
      <c r="K300" t="inlineStr"/>
      <c r="L300" t="inlineStr"/>
      <c r="M300" t="inlineStr"/>
      <c r="N300" t="inlineStr"/>
      <c r="O300">
        <f>(1-Summary!$B$11)*T300+Summary!$B$11*V300</f>
        <v/>
      </c>
      <c r="P300">
        <f>IF(B320=0,0,O300/B320)</f>
        <v/>
      </c>
      <c r="Q300" t="n">
        <v>0</v>
      </c>
      <c r="R300" t="n">
        <v>0</v>
      </c>
      <c r="S300">
        <f>IFERROR(O300/N300,0)</f>
        <v/>
      </c>
      <c r="T300" t="n">
        <v>0</v>
      </c>
      <c r="V300" t="n">
        <v>0</v>
      </c>
    </row>
    <row r="301">
      <c r="A301">
        <f>Skills!A27</f>
        <v/>
      </c>
      <c r="B301">
        <f>Skills!B27</f>
        <v/>
      </c>
      <c r="C301">
        <f>Inputs!$B$3&gt;=50</f>
        <v/>
      </c>
      <c r="D301">
        <f>IF(Skills!C27=1,60+Inputs!$B$25+Inputs!$B$29,IF(Skills!C27=2,90+Inputs!$B$26+Inputs!$B$29,IF(Skills!C27=3,120+Inputs!$B$27+Inputs!$B$29,MAX(0,(Inputs!$B$3-100)*3)+Inputs!$B$28+Inputs!$B$29)))</f>
        <v/>
      </c>
      <c r="E301">
        <f>INDEX(FactorTable!$B$2:$Y$301, MATCH(ROUND(MIN(300,MAX(1,D301)),0), FactorTable!$A$2:$A$301,0), Skills!M27+1)</f>
        <v/>
      </c>
      <c r="F301">
        <f>IF(Skills!N27=TRUE,(Skills!L27/10)*(E301/1000),Skills!L27/10)+Skills!O27</f>
        <v/>
      </c>
      <c r="G301">
        <f>Skills!G27*IF(Skills!H27&gt;0,IF(Inputs!$B$39="pvp",MIN(Skills!I27,15),Skills!I27)/Skills!H27,1)</f>
        <v/>
      </c>
      <c r="H301">
        <f>1-(1-Skills!J27/100)^Skills!K27</f>
        <v/>
      </c>
      <c r="I301" t="inlineStr">
        <is>
          <t>1</t>
        </is>
      </c>
      <c r="J301" t="inlineStr"/>
      <c r="K301" t="inlineStr"/>
      <c r="L301" t="inlineStr"/>
      <c r="M301" t="inlineStr"/>
      <c r="N301" t="inlineStr"/>
      <c r="O301">
        <f>(1-Summary!$B$11)*T301+Summary!$B$11*V301</f>
        <v/>
      </c>
      <c r="P301">
        <f>IF(B320=0,0,O301/B320)</f>
        <v/>
      </c>
      <c r="Q301" t="n">
        <v>0</v>
      </c>
      <c r="R301" t="n">
        <v>0</v>
      </c>
      <c r="S301">
        <f>IFERROR(O301/N301,0)</f>
        <v/>
      </c>
      <c r="T301" t="n">
        <v>0</v>
      </c>
      <c r="V301" t="n">
        <v>0</v>
      </c>
    </row>
    <row r="302">
      <c r="A302">
        <f>Skills!A28</f>
        <v/>
      </c>
      <c r="B302">
        <f>Skills!B28</f>
        <v/>
      </c>
      <c r="C302">
        <f>Inputs!$B$3&gt;=38</f>
        <v/>
      </c>
      <c r="D302">
        <f>IF(Skills!C28=1,60+Inputs!$B$25+Inputs!$B$29,IF(Skills!C28=2,90+Inputs!$B$26+Inputs!$B$29,IF(Skills!C28=3,120+Inputs!$B$27+Inputs!$B$29,MAX(0,(Inputs!$B$3-100)*3)+Inputs!$B$28+Inputs!$B$29)))</f>
        <v/>
      </c>
      <c r="E302">
        <f>INDEX(FactorTable!$B$2:$Y$301, MATCH(ROUND(MIN(300,MAX(1,D302)),0), FactorTable!$A$2:$A$301,0), Skills!M28+1)</f>
        <v/>
      </c>
      <c r="F302">
        <f>IF(Skills!N28=TRUE,(Skills!L28/10)*(E302/1000),Skills!L28/10)+Skills!O28</f>
        <v/>
      </c>
      <c r="G302">
        <f>Skills!G28*IF(Skills!H28&gt;0,IF(Inputs!$B$39="pvp",MIN(Skills!I28,15),Skills!I28)/Skills!H28,1)</f>
        <v/>
      </c>
      <c r="H302">
        <f>1-(1-Skills!J28/100)^Skills!K28</f>
        <v/>
      </c>
      <c r="I302" t="inlineStr">
        <is>
          <t>1</t>
        </is>
      </c>
      <c r="J302" t="inlineStr"/>
      <c r="K302" t="inlineStr"/>
      <c r="L302" t="inlineStr"/>
      <c r="M302" t="inlineStr"/>
      <c r="N302" t="inlineStr"/>
      <c r="O302">
        <f>(1-Summary!$B$11)*T302+Summary!$B$11*V302</f>
        <v/>
      </c>
      <c r="P302">
        <f>IF(B320=0,0,O302/B320)</f>
        <v/>
      </c>
      <c r="Q302" t="n">
        <v>0</v>
      </c>
      <c r="R302" t="n">
        <v>0</v>
      </c>
      <c r="S302">
        <f>IFERROR(O302/N302,0)</f>
        <v/>
      </c>
      <c r="T302" t="n">
        <v>0</v>
      </c>
      <c r="V302" t="n">
        <v>0</v>
      </c>
    </row>
    <row r="303">
      <c r="A303">
        <f>Skills!A29</f>
        <v/>
      </c>
      <c r="B303">
        <f>Skills!B29</f>
        <v/>
      </c>
      <c r="C303">
        <f>Inputs!$B$3&gt;=120</f>
        <v/>
      </c>
      <c r="D303">
        <f>IF(Skills!C29=1,60+Inputs!$B$25+Inputs!$B$29,IF(Skills!C29=2,90+Inputs!$B$26+Inputs!$B$29,IF(Skills!C29=3,120+Inputs!$B$27+Inputs!$B$29,MAX(0,(Inputs!$B$3-100)*3)+Inputs!$B$28+Inputs!$B$29)))</f>
        <v/>
      </c>
      <c r="E303">
        <f>INDEX(FactorTable!$B$2:$Y$301, MATCH(ROUND(MIN(300,MAX(1,D303)),0), FactorTable!$A$2:$A$301,0), Skills!M29+1)</f>
        <v/>
      </c>
      <c r="F303">
        <f>IF(Skills!N29=TRUE,(Skills!L29/10)*(E303/1000),Skills!L29/10)+Skills!O29</f>
        <v/>
      </c>
      <c r="G303">
        <f>Skills!G29*IF(Skills!H29&gt;0,IF(Inputs!$B$39="pvp",MIN(Skills!I29,15),Skills!I29)/Skills!H29,1)</f>
        <v/>
      </c>
      <c r="H303">
        <f>1-(1-Skills!J29/100)^Skills!K29</f>
        <v/>
      </c>
      <c r="I303" t="inlineStr">
        <is>
          <t>1</t>
        </is>
      </c>
      <c r="J303" t="inlineStr"/>
      <c r="K303" t="inlineStr"/>
      <c r="L303" t="inlineStr"/>
      <c r="M303" t="inlineStr"/>
      <c r="N303" t="inlineStr"/>
      <c r="O303">
        <f>(1-Summary!$B$11)*T303+Summary!$B$11*V303</f>
        <v/>
      </c>
      <c r="P303">
        <f>IF(B320=0,0,O303/B320)</f>
        <v/>
      </c>
      <c r="Q303" t="n">
        <v>0</v>
      </c>
      <c r="R303" t="n">
        <v>0</v>
      </c>
      <c r="S303">
        <f>IFERROR(O303/N303,0)</f>
        <v/>
      </c>
      <c r="T303" t="n">
        <v>0</v>
      </c>
      <c r="V303" t="n">
        <v>0</v>
      </c>
    </row>
    <row r="304">
      <c r="A304">
        <f>Skills!A30</f>
        <v/>
      </c>
      <c r="B304">
        <f>Skills!B30</f>
        <v/>
      </c>
      <c r="C304">
        <f>Inputs!$B$3&gt;=120</f>
        <v/>
      </c>
      <c r="D304">
        <f>IF(Skills!C30=1,60+Inputs!$B$25+Inputs!$B$29,IF(Skills!C30=2,90+Inputs!$B$26+Inputs!$B$29,IF(Skills!C30=3,120+Inputs!$B$27+Inputs!$B$29,MAX(0,(Inputs!$B$3-100)*3)+Inputs!$B$28+Inputs!$B$29)))</f>
        <v/>
      </c>
      <c r="E304">
        <f>INDEX(FactorTable!$B$2:$Y$301, MATCH(ROUND(MIN(300,MAX(1,D304)),0), FactorTable!$A$2:$A$301,0), Skills!M30+1)</f>
        <v/>
      </c>
      <c r="F304">
        <f>IF(Skills!N30=TRUE,(Skills!L30/10)*(E304/1000),Skills!L30/10)+Skills!O30</f>
        <v/>
      </c>
      <c r="G304">
        <f>Skills!G30*IF(Skills!H30&gt;0,IF(Inputs!$B$39="pvp",MIN(Skills!I30,15),Skills!I30)/Skills!H30,1)</f>
        <v/>
      </c>
      <c r="H304">
        <f>1-(1-Skills!J30/100)^Skills!K30</f>
        <v/>
      </c>
      <c r="I304" t="inlineStr">
        <is>
          <t>1</t>
        </is>
      </c>
      <c r="J304" t="inlineStr"/>
      <c r="K304" t="inlineStr"/>
      <c r="L304" t="inlineStr"/>
      <c r="M304" t="inlineStr"/>
      <c r="N304" t="inlineStr"/>
      <c r="O304">
        <f>(1-Summary!$B$11)*T304+Summary!$B$11*V304</f>
        <v/>
      </c>
      <c r="P304">
        <f>IF(B320=0,0,O304/B320)</f>
        <v/>
      </c>
      <c r="Q304" t="n">
        <v>0</v>
      </c>
      <c r="R304" t="n">
        <v>0</v>
      </c>
      <c r="S304">
        <f>IFERROR(O304/N304,0)</f>
        <v/>
      </c>
      <c r="T304" t="n">
        <v>0</v>
      </c>
      <c r="V304" t="n">
        <v>0</v>
      </c>
    </row>
    <row r="305">
      <c r="A305">
        <f>Skills!A31</f>
        <v/>
      </c>
      <c r="B305">
        <f>Skills!B31</f>
        <v/>
      </c>
      <c r="C305">
        <f>Inputs!$B$3&gt;=125</f>
        <v/>
      </c>
      <c r="D305">
        <f>IF(Skills!C31=1,60+Inputs!$B$25+Inputs!$B$29,IF(Skills!C31=2,90+Inputs!$B$26+Inputs!$B$29,IF(Skills!C31=3,120+Inputs!$B$27+Inputs!$B$29,MAX(0,(Inputs!$B$3-100)*3)+Inputs!$B$28+Inputs!$B$29)))</f>
        <v/>
      </c>
      <c r="E305">
        <f>INDEX(FactorTable!$B$2:$Y$301, MATCH(ROUND(MIN(300,MAX(1,D305)),0), FactorTable!$A$2:$A$301,0), Skills!M31+1)</f>
        <v/>
      </c>
      <c r="F305">
        <f>IF(Skills!N31=TRUE,(Skills!L31/10)*(E305/1000),Skills!L31/10)+Skills!O31</f>
        <v/>
      </c>
      <c r="G305">
        <f>Skills!G31*IF(Skills!H31&gt;0,IF(Inputs!$B$39="pvp",MIN(Skills!I31,15),Skills!I31)/Skills!H31,1)</f>
        <v/>
      </c>
      <c r="H305">
        <f>1-(1-Skills!J31/100)^Skills!K31</f>
        <v/>
      </c>
      <c r="I305" t="inlineStr">
        <is>
          <t>1</t>
        </is>
      </c>
      <c r="J305" t="inlineStr"/>
      <c r="K305" t="inlineStr"/>
      <c r="L305" t="inlineStr"/>
      <c r="M305" t="inlineStr"/>
      <c r="N305" t="inlineStr"/>
      <c r="O305">
        <f>(1-Summary!$B$11)*T305+Summary!$B$11*V305</f>
        <v/>
      </c>
      <c r="P305">
        <f>IF(B320=0,0,O305/B320)</f>
        <v/>
      </c>
      <c r="Q305" t="n">
        <v>0</v>
      </c>
      <c r="R305" t="n">
        <v>0</v>
      </c>
      <c r="S305">
        <f>IFERROR(O305/N305,0)</f>
        <v/>
      </c>
      <c r="T305" t="n">
        <v>0</v>
      </c>
      <c r="V305" t="n">
        <v>0</v>
      </c>
    </row>
    <row r="307">
      <c r="A307" t="inlineStr">
        <is>
          <t>Average Buff Multiplier</t>
        </is>
      </c>
      <c r="B307">
        <f>(1+(((C296=TRUE)*F296*IF(AND(Inputs!$B$39&lt;&gt;"pvp",Inputs!$B$44&gt;0),(((R296-1)*MIN((Skills!Y22*(1+Inputs!$B$34/100)),(1/Q296))+MIN((Skills!Y22*(1+Inputs!$B$34/100)),MAX(0,Inputs!$B$44-((R296-1)*(1/Q296)))))/Inputs!$B$44),IF(Inputs!$B$39="pvp",MIN((Skills!Y22*(1+Inputs!$B$34/100)),15)/15,MIN(1,(Skills!Y22*(1+Inputs!$B$34/100))/(1/Q296)))))+((C277=TRUE)*F277*3)+((C279=TRUE)*F279*(1-EXP(-0.75*B312*5)))+((C298=TRUE)*(F298-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285=TRUE)*F285*IF(AND(Inputs!$B$39&lt;&gt;"pvp",Inputs!$B$44&gt;0),(((R285-1)*MIN((Skills!Y11*(1+Inputs!$B$34/100)),(1/Q285))+MIN((Skills!Y11*(1+Inputs!$B$34/100)),MAX(0,Inputs!$B$44-((R285-1)*(1/Q285)))))/Inputs!$B$44),IF(Inputs!$B$39="pvp",MIN((Skills!Y11*(1+Inputs!$B$34/100)),15)/15,MIN(1,(Skills!Y11*(1+Inputs!$B$34/100))/(1/Q285)))))/100)*(1+((C290=TRUE)*F290*IF(AND(Inputs!$B$39&lt;&gt;"pvp",Inputs!$B$44&gt;0),(((R290-1)*MIN((Skills!Y16*(1+Inputs!$B$34/100)),(1/Q290))+MIN((Skills!Y16*(1+Inputs!$B$34/100)),MAX(0,Inputs!$B$44-((R290-1)*(1/Q290)))))/Inputs!$B$44),IF(Inputs!$B$39="pvp",MIN((Skills!Y16*(1+Inputs!$B$34/100)),15)/15,MIN(1,(Skills!Y16*(1+Inputs!$B$34/100))/(1/Q290)))))/100)</f>
        <v/>
      </c>
    </row>
    <row r="308">
      <c r="A308" t="inlineStr">
        <is>
          <t>Global Crit Rate Bonus %</t>
        </is>
      </c>
      <c r="B308">
        <f>((C295=TRUE)*F295*IF(AND(Inputs!$B$39&lt;&gt;"pvp",Inputs!$B$44&gt;0),(((R295-1)*MIN((Skills!Y21*(1+Inputs!$B$34/100)),(1/Q295))+MIN((Skills!Y21*(1+Inputs!$B$34/100)),MAX(0,Inputs!$B$44-((R295-1)*(1/Q295)))))/Inputs!$B$44),IF(Inputs!$B$39="pvp",MIN((Skills!Y21*(1+Inputs!$B$34/100)),15)/15,MIN(1,(Skills!Y21*(1+Inputs!$B$34/100))/(1/Q295)))))</f>
        <v/>
      </c>
    </row>
    <row r="309">
      <c r="A309" t="inlineStr">
        <is>
          <t>Global Monster Damage-Taken Bonus %</t>
        </is>
      </c>
      <c r="B309">
        <f>IF(Inputs!$B$3&gt;=82,15,0)</f>
        <v/>
      </c>
    </row>
    <row r="310">
      <c r="A310" t="inlineStr">
        <is>
          <t>Shadow Partner Average Multiplier</t>
        </is>
      </c>
      <c r="B310">
        <f>1+((C282=TRUE)*F282*(1+3.3333333333333335*IF(C293=TRUE,F293,0)/100)*I282*Skills!J8/100)/100</f>
        <v/>
      </c>
    </row>
    <row r="311">
      <c r="A311" t="inlineStr">
        <is>
          <t>Attack Speed Buff Bonus %</t>
        </is>
      </c>
      <c r="B311">
        <f>((C294=TRUE)*F294*IF(AND(Inputs!$B$39&lt;&gt;"pvp",Inputs!$B$44&gt;0),(((R294-1)*MIN((Skills!Y20*(1+Inputs!$B$34/100)),(1/Q294))+MIN((Skills!Y20*(1+Inputs!$B$34/100)),MAX(0,Inputs!$B$44-((R294-1)*(1/Q294)))))/Inputs!$B$44),IF(Inputs!$B$39="pvp",MIN((Skills!Y20*(1+Inputs!$B$34/100)),15)/15,MIN(1,(Skills!Y20*(1+Inputs!$B$34/100))/(1/Q294)))))</f>
        <v/>
      </c>
    </row>
    <row r="312">
      <c r="A312" t="inlineStr">
        <is>
          <t>Actions Per Second</t>
        </is>
      </c>
      <c r="B312">
        <f>1+MIN(150,150*(1-(1-(Inputs!$B$11+((C297=TRUE)*(F297-Calc!F23)))/150)*(1-B311/150)))/100</f>
        <v/>
      </c>
    </row>
    <row r="313">
      <c r="A313" t="inlineStr">
        <is>
          <t>Skill + Buff Cast Rate</t>
        </is>
      </c>
      <c r="B313">
        <f>IF(AND(Inputs!$B$39&lt;&gt;"pvp",Inputs!$B$44&gt;0),SUMPRODUCT((Skills!E2:E31=TRUE)*(C276:C305=TRUE)*R276:R305*Skills!F2:F31)/Inputs!$B$44,SUMPRODUCT((Skills!E2:E31=TRUE)*(C276:C305=TRUE)*Q276:Q305*Skills!F2:F31))</f>
        <v/>
      </c>
    </row>
    <row r="314">
      <c r="A314" t="inlineStr">
        <is>
          <t>Cruel Stab Casts Per Second</t>
        </is>
      </c>
      <c r="B314">
        <f>MAX(0,B312-B313)</f>
        <v/>
      </c>
    </row>
    <row r="315">
      <c r="A315" t="inlineStr">
        <is>
          <t>Global Critical Damage Bonus % (Smokescreen Mastery Lv.113)</t>
        </is>
      </c>
      <c r="B315">
        <f>IF(Inputs!$B$3&gt;=113,30,0)*IF(AND(Inputs!$B$39&lt;&gt;"pvp",Inputs!$B$44&gt;0),(((R290-1)*MIN((Skills!Y16*(1+Inputs!$B$34/100)),(1/Q290))+MIN((Skills!Y16*(1+Inputs!$B$34/100)),MAX(0,Inputs!$B$44-((R290-1)*(1/Q290)))))/Inputs!$B$44),IF(Inputs!$B$39="pvp",MIN((Skills!Y16*(1+Inputs!$B$34/100)),15)/15,MIN(1,(Skills!Y16*(1+Inputs!$B$34/100))/(1/Q290))))</f>
        <v/>
      </c>
    </row>
    <row r="316">
      <c r="A316" t="inlineStr">
        <is>
          <t>Meso Explosion average stack count</t>
        </is>
      </c>
      <c r="B316">
        <f>MIN(10,IF(Inputs!$B$3&gt;=75,0.75,0.5)*B312*(1/Q278))</f>
        <v/>
      </c>
    </row>
    <row r="317">
      <c r="A317" t="inlineStr">
        <is>
          <t>Blood Money average stack count</t>
        </is>
      </c>
      <c r="B317">
        <f>MIN(5,0.5*IF(Inputs!$B$3&gt;=75,0.75,0.5)*B312*(1/Q278))</f>
        <v/>
      </c>
    </row>
    <row r="318">
      <c r="A318" t="inlineStr">
        <is>
          <t>Assassinate Murderous Intent Multiplier</t>
        </is>
      </c>
      <c r="B318">
        <f>1+IFERROR(MIN(1,Q289*2/Q286),0)</f>
        <v/>
      </c>
    </row>
    <row r="319">
      <c r="A319" t="inlineStr">
        <is>
          <t>Buff-Casting Startup Delay (s, fixed-duration only)</t>
        </is>
      </c>
      <c r="B319">
        <f>IF(AND(Inputs!$B$39&lt;&gt;"pvp",Inputs!$B$44&gt;0),SUMPRODUCT((Skills!Y2:Y31&gt;0)*(Skills!E2:E31=TRUE)*(C276:C305=TRUE))/B312,0)</f>
        <v/>
      </c>
    </row>
    <row r="320">
      <c r="A320" s="6" t="inlineStr">
        <is>
          <t>TOTAL DPS</t>
        </is>
      </c>
      <c r="B320" s="6">
        <f>SUM(O276:O305)</f>
        <v/>
      </c>
    </row>
    <row r="321">
      <c r="A321" t="inlineStr">
        <is>
          <t>Boss-Only Total DPS (this block's swept value)</t>
        </is>
      </c>
      <c r="B321">
        <f>SUM(T276:T305)</f>
        <v/>
      </c>
    </row>
    <row r="322">
      <c r="A322" t="inlineStr">
        <is>
          <t>Normal-Only Total DPS (this block's swept value)</t>
        </is>
      </c>
      <c r="B322">
        <f>SUM(V276:V305)</f>
        <v/>
      </c>
    </row>
    <row r="325">
      <c r="A325" s="6" t="inlineStr">
        <is>
          <t>Stat: BOSS_DAMAGE %</t>
        </is>
      </c>
    </row>
    <row r="326">
      <c r="A326" s="5" t="inlineStr">
        <is>
          <t>Key</t>
        </is>
      </c>
      <c r="B326" s="5" t="inlineStr">
        <is>
          <t>Name</t>
        </is>
      </c>
      <c r="C326" s="5" t="inlineStr">
        <is>
          <t>Unlocked</t>
        </is>
      </c>
      <c r="D326" s="5" t="inlineStr">
        <is>
          <t>InputLevel</t>
        </is>
      </c>
      <c r="E326" s="5" t="inlineStr">
        <is>
          <t>Factor</t>
        </is>
      </c>
      <c r="F326" s="5" t="inlineStr">
        <is>
          <t>CoefficientPercent</t>
        </is>
      </c>
      <c r="G326" s="5" t="inlineStr">
        <is>
          <t>EffectiveHits</t>
        </is>
      </c>
      <c r="H326" s="5" t="inlineStr">
        <is>
          <t>ProcProbability</t>
        </is>
      </c>
      <c r="I326" s="5" t="inlineStr">
        <is>
          <t>MapleHeroMultiplier</t>
        </is>
      </c>
      <c r="J326" s="5" t="inlineStr">
        <is>
          <t>BaseDamage</t>
        </is>
      </c>
      <c r="K326" s="5" t="inlineStr">
        <is>
          <t>BaseHitDamage</t>
        </is>
      </c>
      <c r="L326" s="5" t="inlineStr">
        <is>
          <t>NonCritAvg</t>
        </is>
      </c>
      <c r="M326" s="5" t="inlineStr">
        <is>
          <t>CritAvg</t>
        </is>
      </c>
      <c r="N326" s="5" t="inlineStr">
        <is>
          <t>ExpectedDamage(perHit)</t>
        </is>
      </c>
      <c r="O326" s="5" t="inlineStr">
        <is>
          <t>DPS</t>
        </is>
      </c>
      <c r="P326" s="5" t="inlineStr">
        <is>
          <t>% of Total</t>
        </is>
      </c>
      <c r="Q326" s="5" t="inlineStr">
        <is>
          <t>InvCooldown</t>
        </is>
      </c>
      <c r="R326" s="5" t="inlineStr">
        <is>
          <t>CastsInFight</t>
        </is>
      </c>
      <c r="S326" s="5" t="inlineStr">
        <is>
          <t>HitRate(perSec)</t>
        </is>
      </c>
      <c r="U326" t="inlineStr">
        <is>
          <t>helpers</t>
        </is>
      </c>
    </row>
    <row r="327">
      <c r="A327">
        <f>Skills!A2</f>
        <v/>
      </c>
      <c r="B327">
        <f>Skills!B2</f>
        <v/>
      </c>
      <c r="C327">
        <f>Inputs!$B$3&gt;=100</f>
        <v/>
      </c>
      <c r="D327" t="inlineStr"/>
      <c r="E327" t="inlineStr"/>
      <c r="F327">
        <f>U329+Skills!O2</f>
        <v/>
      </c>
      <c r="G327">
        <f>Skills!G2*IF(Skills!H2&gt;0,IF(Inputs!$B$39="pvp",MIN(Skills!I2,15),Skills!I2)/Skills!H2,1)</f>
        <v/>
      </c>
      <c r="H327">
        <f>1-(1-Skills!J2/100)^Skills!K2</f>
        <v/>
      </c>
      <c r="I327" t="inlineStr">
        <is>
          <t>1</t>
        </is>
      </c>
      <c r="J327">
        <f>((Inputs!$B$6*(1+Inputs!$B$7/100))+(((Inputs!$B$12*(1+Inputs!$B$13/100))-(Inputs!$B$12*(1+Inputs!$B$13/100)))+0.25*(Inputs!$B$14-Inputs!$B$14))*(1+Inputs!$B$7/100))*(F327/100)</f>
        <v/>
      </c>
      <c r="K327">
        <f>J327*(1+((Inputs!$B$12*(1+Inputs!$B$13/100))*0.01+Inputs!$B$14*0.0025)/100)*(1+Inputs!$B$15/100)*(1+Inputs!$B$16/100)*(5000/(6000+Inputs!$B$43*(1-(100*(1-(1-Inputs!$B$19/100)*(1-CHOOSE(ArtifactsInput!$N$40+1,5,6,7,8,9,10)/100)^(ArtifactsInput!$M$40-ArtifactsInput!$M$40)))/100)))*(1+(Inputs!$B$24+((C356=TRUE)*(F356-Calc!F31))+((C343=TRUE)*(F343-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CRUEL_STAB",Inputs!$B$17+((C353=TRUE)*(F353-Calc!F28))+((IF(AND(Inputs!$B$39&lt;&gt;"pvp",Inputs!$B$44=0),1,IF(IF(Inputs!$B$39="pvp",15,Inputs!$B$44)-(B370)&lt;=0,1,MAX(0,IF(Inputs!$B$39="pvp",15,Inputs!$B$44)-MAX(5,B370))/(IF(Inputs!$B$39="pvp",15,Inputs!$B$44)-(B370))))*(IF(AND(ArtifactsInput!$M$42,((Inputs!$B$9+((C351=TRUE)*(F351-Calc!F26))+B359+(ArtifactsInput!$M$24-ArtifactsInput!$M$24)*CHOOSE(ArtifactsInput!$N$24+1,10,12,14,16,18,20)+IF(ArtifactsInput!$M$10,CHOOSE(ArtifactsInput!$N$10+1,15,18,21,24,27,30)*(IF(Inputs!$B$39="pvp",MIN(15,15)/15,IF(AND(Inputs!$B$39&lt;&gt;"pvp",Inputs!$B$44&gt;0),MIN(15,Inputs!$B$44)/(Inputs!$B$44),0))),0)))&gt;=100),MIN(100,((Inputs!$B$9+((C351=TRUE)*(F351-Calc!F26))+B359+(ArtifactsInput!$M$24-ArtifactsInput!$M$24)*CHOOSE(ArtifactsInput!$N$24+1,10,12,14,16,18,20)+IF(ArtifactsInput!$M$10,CHOOSE(ArtifactsInput!$N$10+1,15,18,21,24,27,30)*(IF(Inputs!$B$39="pvp",MIN(15,15)/15,IF(AND(Inputs!$B$39&lt;&gt;"pvp",Inputs!$B$44&gt;0),MIN(15,Inputs!$B$44)/(Inputs!$B$44),0))),0)))-100),0))*CHOOSE(ArtifactsInput!$N$42+1,0.6,0.72,0.84,0.96,1.08,1.2))),Inputs!$B$18+((C354=TRUE)*(F354-Calc!F29))+(IF(AND(Inputs!$B$39&lt;&gt;"pvp",Inputs!$B$44=0),1,IF(IF(Inputs!$B$39="pvp",15,Inputs!$B$44)-(B370)&lt;=0,1,MAX(0,IF(Inputs!$B$39="pvp",15,Inputs!$B$44)-MAX(5,B370))/(IF(Inputs!$B$39="pvp",15,Inputs!$B$44)-(B370))))*IF(AND(ArtifactsInput!$M$42,((Inputs!$B$9+((C351=TRUE)*(F351-Calc!F26))+B359+(ArtifactsInput!$M$24-ArtifactsInput!$M$24)*CHOOSE(ArtifactsInput!$N$24+1,10,12,14,16,18,20)+IF(ArtifactsInput!$M$10,CHOOSE(ArtifactsInput!$N$10+1,15,18,21,24,27,30)*(IF(Inputs!$B$39="pvp",MIN(15,15)/15,IF(AND(Inputs!$B$39&lt;&gt;"pvp",Inputs!$B$44&gt;0),MIN(15,Inputs!$B$44)/(Inputs!$B$44),0))),0)))&gt;=100),CHOOSE(ArtifactsInput!$N$42+1,40,48,56,64,72,80),0))))/100)*(((1+(((C347=TRUE)*F347*IF(AND(Inputs!$B$39&lt;&gt;"pvp",Inputs!$B$44&gt;0),(((R347-1)*MIN((Skills!Y22*(1+Inputs!$B$34/100)),(1/Q347))+MIN((Skills!Y22*(1+Inputs!$B$34/100)),MAX(0,Inputs!$B$44-((R347-1)*(1/Q347)))))/Inputs!$B$44),IF(Inputs!$B$39="pvp",MIN((Skills!Y22*(1+Inputs!$B$34/100)),15)/15,MIN(1,(Skills!Y22*(1+Inputs!$B$34/100))/(1/Q347)))))+((C328=TRUE)*F328*3)+((C330=TRUE)*F330*(1-EXP(-0.75*B363*5)))+((C349=TRUE)*(F349-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336=TRUE)*F336*IF(AND(Inputs!$B$39&lt;&gt;"pvp",Inputs!$B$44&gt;0),(((R336-1)*MIN((Skills!Y11*(1+Inputs!$B$34/100)),(1/Q336))+MIN((Skills!Y11*(1+Inputs!$B$34/100)),MAX(0,Inputs!$B$44-((R336-1)*(1/Q336)))))/Inputs!$B$44),IF(Inputs!$B$39="pvp",MIN((Skills!Y11*(1+Inputs!$B$34/100)),15)/15,MIN(1,(Skills!Y11*(1+Inputs!$B$34/100))/(1/Q336)))))/100)*(1+((C341=TRUE)*F341*IF(AND(Inputs!$B$39&lt;&gt;"pvp",Inputs!$B$44&gt;0),(((R341-1)*MIN((Skills!Y16*(1+Inputs!$B$34/100)),(1/Q341))+MIN((Skills!Y16*(1+Inputs!$B$34/100)),MAX(0,Inputs!$B$44-((R341-1)*(1/Q341)))))/Inputs!$B$44),IF(Inputs!$B$39="pvp",MIN((Skills!Y16*(1+Inputs!$B$34/100)),15)/15,MIN(1,(Skills!Y16*(1+Inputs!$B$34/100))/(1/Q341)))))/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361*I327)</f>
        <v/>
      </c>
      <c r="L327">
        <f>K327*(MIN(Inputs!$B$22+((C350=TRUE)*(F350-Calc!F25)),(Inputs!$B$23+((C355=TRUE)*(F355-Calc!F30))+IF(ArtifactsInput!$M$15,CHOOSE(ArtifactsInput!$N$15+1,25,30,35,40,45,50)/100*(Inputs!$B$11-Inputs!$B$11),0)))/100+(Inputs!$B$23+((C355=TRUE)*(F355-Calc!F30))+IF(ArtifactsInput!$M$15,CHOOSE(ArtifactsInput!$N$15+1,25,30,35,40,45,50)/100*(Inputs!$B$11-Inputs!$B$11),0))/100)/2</f>
        <v/>
      </c>
      <c r="M327">
        <f>L327*(1+(Inputs!$B$10+((C352=TRUE)*(F352-Calc!F27))+B366+(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327">
        <f>L327*(1-MIN((Inputs!$B$9+((C351=TRUE)*(F351-Calc!F26))+B359+(ArtifactsInput!$M$24-ArtifactsInput!$M$24)*CHOOSE(ArtifactsInput!$N$24+1,10,12,14,16,18,20)+(IF(AND(Inputs!$B$39&lt;&gt;"pvp",Inputs!$B$44=0),1,IF(IF(Inputs!$B$39="pvp",15,Inputs!$B$44)-(B370)&lt;=0,1,MAX(0,IF(Inputs!$B$39="pvp",15,Inputs!$B$44)-MAX(5,B370))/(IF(Inputs!$B$39="pvp",15,Inputs!$B$44)-(B370))))*IF(AND(ArtifactsInput!$M$42,((Inputs!$B$9+((C351=TRUE)*(F351-Calc!F26))+B359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327*(MIN((Inputs!$B$9+((C351=TRUE)*(F351-Calc!F26))+B359+(ArtifactsInput!$M$24-ArtifactsInput!$M$24)*CHOOSE(ArtifactsInput!$N$24+1,10,12,14,16,18,20)+(IF(AND(Inputs!$B$39&lt;&gt;"pvp",Inputs!$B$44=0),1,IF(IF(Inputs!$B$39="pvp",15,Inputs!$B$44)-(B370)&lt;=0,1,MAX(0,IF(Inputs!$B$39="pvp",15,Inputs!$B$44)-MAX(5,B370))/(IF(Inputs!$B$39="pvp",15,Inputs!$B$44)-(B370))))*IF(AND(ArtifactsInput!$M$42,((Inputs!$B$9+((C351=TRUE)*(F351-Calc!F26))+B359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327">
        <f>(1-Summary!$B$11)*T327+Summary!$B$11*V327</f>
        <v/>
      </c>
      <c r="P327">
        <f>IF(B371=0,0,O327/B371)</f>
        <v/>
      </c>
      <c r="Q327" t="n">
        <v>0</v>
      </c>
      <c r="R327" t="n">
        <v>0</v>
      </c>
      <c r="S327">
        <f>IFERROR(O327/N327,0)</f>
        <v/>
      </c>
      <c r="T327">
        <f>IF(C327,(Skills!G2*N327*B365)*IF(Inputs!$B$39="pvp",1,1+((Inputs!$B$20+1)+0+Skills!P2+B360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Hunt"),CHOOSE(ArtifactsInput!$N$35+1,15,18,21,24,27,30)*(1-EXP(-(0.2*B363)*5)),0)+IF(AND(ArtifactsInput!$M$22,Inputs!$B$4&lt;&gt;"Chapter Hunt"),CHOOSE(ArtifactsInput!$N$22+1,10,12,14,16,18,20)*((0*(((0.15*B363*5))^0/1)+1*(((0.15*B363*5))^1/1)+2*(((0.15*B363*5))^2/2)+3*(((0.15*B363*5))^3/6)+4*(((0.15*B363*5))^4/24)+5*(((0.15*B363*5))^5/120))/((((0.15*B363*5))^0/1)+(((0.15*B363*5))^1/1)+(((0.15*B363*5))^2/2)+(((0.15*B363*5))^3/6)+(((0.15*B363*5))^4/24)+(((0.15*B363*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327*(1-MIN(100,(Inputs!$B$9+((C351=TRUE)*(F351-Calc!F26))+B359+(ArtifactsInput!$M$24-ArtifactsInput!$M$24)*CHOOSE(ArtifactsInput!$N$24+1,10,12,14,16,18,20)+(IF(AND(Inputs!$B$39&lt;&gt;"pvp",Inputs!$B$44=0),1,IF(IF(Inputs!$B$39="pvp",15,Inputs!$B$44)-(B370)&lt;=0,1,MAX(0,IF(Inputs!$B$39="pvp",15,Inputs!$B$44)-MAX(5,B370))/(IF(Inputs!$B$39="pvp",15,Inputs!$B$44)-(B370))))*IF(AND(ArtifactsInput!$M$42,((Inputs!$B$9+((C351=TRUE)*(F351-Calc!F26))+B359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327*(MIN(100,(Inputs!$B$9+((C351=TRUE)*(F351-Calc!F26))+B359+(ArtifactsInput!$M$24-ArtifactsInput!$M$24)*CHOOSE(ArtifactsInput!$N$24+1,10,12,14,16,18,20)+(IF(AND(Inputs!$B$39&lt;&gt;"pvp",Inputs!$B$44=0),1,IF(IF(Inputs!$B$39="pvp",15,Inputs!$B$44)-(B370)&lt;=0,1,MAX(0,IF(Inputs!$B$39="pvp",15,Inputs!$B$44)-MAX(5,B370))/(IF(Inputs!$B$39="pvp",15,Inputs!$B$44)-(B370))))*IF(AND(ArtifactsInput!$M$42,((Inputs!$B$9+((C351=TRUE)*(F351-Calc!F26))+B359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327*(1-MIN(100,(Inputs!$B$9+((C351=TRUE)*(F351-Calc!F26))+B359+(ArtifactsInput!$M$24-ArtifactsInput!$M$24)*CHOOSE(ArtifactsInput!$N$24+1,10,12,14,16,18,20)+(IF(AND(Inputs!$B$39&lt;&gt;"pvp",Inputs!$B$44=0),1,IF(IF(Inputs!$B$39="pvp",15,Inputs!$B$44)-(B370)&lt;=0,1,MAX(0,IF(Inputs!$B$39="pvp",15,Inputs!$B$44)-MAX(5,B370))/(IF(Inputs!$B$39="pvp",15,Inputs!$B$44)-(B370))))*IF(AND(ArtifactsInput!$M$42,((Inputs!$B$9+((C351=TRUE)*(F351-Calc!F26))+B359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327*(MIN(100,(Inputs!$B$9+((C351=TRUE)*(F351-Calc!F26))+B359+(ArtifactsInput!$M$24-ArtifactsInput!$M$24)*CHOOSE(ArtifactsInput!$N$24+1,10,12,14,16,18,20)+(IF(AND(Inputs!$B$39&lt;&gt;"pvp",Inputs!$B$44=0),1,IF(IF(Inputs!$B$39="pvp",15,Inputs!$B$44)-(B370)&lt;=0,1,MAX(0,IF(Inputs!$B$39="pvp",15,Inputs!$B$44)-MAX(5,B370))/(IF(Inputs!$B$39="pvp",15,Inputs!$B$44)-(B370))))*IF(AND(ArtifactsInput!$M$42,((Inputs!$B$9+((C351=TRUE)*(F351-Calc!F26))+B359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327">
        <f>MAX(0,(Inputs!$B$3-100)*3)+Inputs!$B$28+Inputs!$B$29</f>
        <v/>
      </c>
      <c r="V327">
        <f>IF(C327,(Skills!G2*N327*B365)*IF(Inputs!$B$39="pvp",1,(1+(Inputs!$B$21+Skills!Q2+B360+(IF(ArtifactsInput!$M$33,CHOOSE(ArtifactsInput!$N$33+1,30,36,42,48,54,60),0))+(IF(AND(ArtifactsInput!$M$35,Inputs!$B$4&lt;&gt;"Chapter Hunt"),CHOOSE(ArtifactsInput!$N$35+1,15,18,21,24,27,30)*(1-EXP(-(0.2*B363)*5)),0)+IF(AND(ArtifactsInput!$M$22,Inputs!$B$4&lt;&gt;"Chapter Hunt"),CHOOSE(ArtifactsInput!$N$22+1,10,12,14,16,18,20)*((0*(((0.15*B363*5))^0/1)+1*(((0.15*B363*5))^1/1)+2*(((0.15*B363*5))^2/2)+3*(((0.15*B363*5))^3/6)+4*(((0.15*B363*5))^4/24)+5*(((0.15*B363*5))^5/120))/((((0.15*B363*5))^0/1)+(((0.15*B363*5))^1/1)+(((0.15*B363*5))^2/2)+(((0.15*B363*5))^3/6)+(((0.15*B363*5))^4/24)+(((0.15*B363*5))^5/120))),0)))/100)*(MIN((6+Inputs!$B$33),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328">
      <c r="A328">
        <f>Skills!A3</f>
        <v/>
      </c>
      <c r="B328">
        <f>Skills!B3</f>
        <v/>
      </c>
      <c r="C328">
        <f>Inputs!$B$3&gt;=35</f>
        <v/>
      </c>
      <c r="D328">
        <f>IF(Skills!C3=1,60+Inputs!$B$25+Inputs!$B$29,IF(Skills!C3=2,90+Inputs!$B$26+Inputs!$B$29,IF(Skills!C3=3,120+Inputs!$B$27+Inputs!$B$29,MAX(0,(Inputs!$B$3-100)*3)+Inputs!$B$28+Inputs!$B$29)))</f>
        <v/>
      </c>
      <c r="E328">
        <f>INDEX(FactorTable!$B$2:$Y$301, MATCH(ROUND(MIN(300,MAX(1,D328)),0), FactorTable!$A$2:$A$301,0), Skills!M3+1)</f>
        <v/>
      </c>
      <c r="F328">
        <f>IF(Skills!N3=TRUE,(Skills!L3/10)*(E328/1000),Skills!L3/10)+Skills!O3</f>
        <v/>
      </c>
      <c r="G328">
        <f>Skills!G3*IF(Skills!H3&gt;0,IF(Inputs!$B$39="pvp",MIN(Skills!I3,15),Skills!I3)/Skills!H3,1)</f>
        <v/>
      </c>
      <c r="H328">
        <f>1-(1-Skills!J3/100)^Skills!K3</f>
        <v/>
      </c>
      <c r="I328" t="inlineStr">
        <is>
          <t>1</t>
        </is>
      </c>
      <c r="J328" t="inlineStr"/>
      <c r="K328" t="inlineStr"/>
      <c r="L328" t="inlineStr"/>
      <c r="M328" t="inlineStr"/>
      <c r="N328" t="inlineStr"/>
      <c r="O328">
        <f>(1-Summary!$B$11)*T328+Summary!$B$11*V328</f>
        <v/>
      </c>
      <c r="P328">
        <f>IF(B371=0,0,O328/B371)</f>
        <v/>
      </c>
      <c r="Q328" t="n">
        <v>0</v>
      </c>
      <c r="R328" t="n">
        <v>0</v>
      </c>
      <c r="S328">
        <f>IFERROR(O328/N328,0)</f>
        <v/>
      </c>
      <c r="T328" t="n">
        <v>0</v>
      </c>
      <c r="U328">
        <f>INDEX(FactorTable!$B$2:$Y$301, MATCH(ROUND(MIN(300,MAX(1,U327)),0), FactorTable!$A$2:$A$301,0), 22)</f>
        <v/>
      </c>
      <c r="V328" t="n">
        <v>0</v>
      </c>
    </row>
    <row r="329">
      <c r="A329">
        <f>Skills!A4</f>
        <v/>
      </c>
      <c r="B329">
        <f>Skills!B4</f>
        <v/>
      </c>
      <c r="C329">
        <f>Inputs!$B$3&gt;=66</f>
        <v/>
      </c>
      <c r="D329">
        <f>IF(Skills!C4=1,60+Inputs!$B$25+Inputs!$B$29,IF(Skills!C4=2,90+Inputs!$B$26+Inputs!$B$29,IF(Skills!C4=3,120+Inputs!$B$27+Inputs!$B$29,MAX(0,(Inputs!$B$3-100)*3)+Inputs!$B$28+Inputs!$B$29)))</f>
        <v/>
      </c>
      <c r="E329">
        <f>INDEX(FactorTable!$B$2:$Y$301, MATCH(ROUND(MIN(300,MAX(1,D329)),0), FactorTable!$A$2:$A$301,0), Skills!M4+1)</f>
        <v/>
      </c>
      <c r="F329">
        <f>IF(Skills!N4=TRUE,(Skills!L4/10)*(E329/1000),Skills!L4/10)+Skills!O4</f>
        <v/>
      </c>
      <c r="G329">
        <f>Skills!G4*IF(Skills!H4&gt;0,IF(Inputs!$B$39="pvp",MIN(Skills!I4,15),Skills!I4)/Skills!H4,1)</f>
        <v/>
      </c>
      <c r="H329">
        <f>1-(1-Skills!J4/100)^Skills!K4</f>
        <v/>
      </c>
      <c r="I329" t="inlineStr">
        <is>
          <t>1</t>
        </is>
      </c>
      <c r="J329">
        <f>((Inputs!$B$6*(1+Inputs!$B$7/100))+(((Inputs!$B$12*(1+Inputs!$B$13/100))-(Inputs!$B$12*(1+Inputs!$B$13/100)))+0.25*(Inputs!$B$14-Inputs!$B$14))*(1+Inputs!$B$7/100))*(F329/100)</f>
        <v/>
      </c>
      <c r="K329">
        <f>J329*(1+((Inputs!$B$12*(1+Inputs!$B$13/100))*0.01+Inputs!$B$14*0.0025)/100)*(1+Inputs!$B$15/100)*(1+Inputs!$B$16/100)*(5000/(6000+Inputs!$B$43*(1-(100*(1-(1-Inputs!$B$19/100)*(1-CHOOSE(ArtifactsInput!$N$40+1,5,6,7,8,9,10)/100)^(ArtifactsInput!$M$40-ArtifactsInput!$M$40)))/100)))*(1+(Inputs!$B$24+((C356=TRUE)*(F356-Calc!F31))+((C343=TRUE)*(F343-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4="CRUEL_STAB",Inputs!$B$17+((C353=TRUE)*(F353-Calc!F28))+((IF(AND(Inputs!$B$39&lt;&gt;"pvp",Inputs!$B$44=0),1,IF(IF(Inputs!$B$39="pvp",15,Inputs!$B$44)-(B370)&lt;=0,1,MAX(0,IF(Inputs!$B$39="pvp",15,Inputs!$B$44)-MAX(5,B370))/(IF(Inputs!$B$39="pvp",15,Inputs!$B$44)-(B370))))*(IF(AND(ArtifactsInput!$M$42,((Inputs!$B$9+((C351=TRUE)*(F351-Calc!F26))+B359+(ArtifactsInput!$M$24-ArtifactsInput!$M$24)*CHOOSE(ArtifactsInput!$N$24+1,10,12,14,16,18,20)+IF(ArtifactsInput!$M$10,CHOOSE(ArtifactsInput!$N$10+1,15,18,21,24,27,30)*(IF(Inputs!$B$39="pvp",MIN(15,15)/15,IF(AND(Inputs!$B$39&lt;&gt;"pvp",Inputs!$B$44&gt;0),MIN(15,Inputs!$B$44)/(Inputs!$B$44),0))),0)))&gt;=100),MIN(100,((Inputs!$B$9+((C351=TRUE)*(F351-Calc!F26))+B359+(ArtifactsInput!$M$24-ArtifactsInput!$M$24)*CHOOSE(ArtifactsInput!$N$24+1,10,12,14,16,18,20)+IF(ArtifactsInput!$M$10,CHOOSE(ArtifactsInput!$N$10+1,15,18,21,24,27,30)*(IF(Inputs!$B$39="pvp",MIN(15,15)/15,IF(AND(Inputs!$B$39&lt;&gt;"pvp",Inputs!$B$44&gt;0),MIN(15,Inputs!$B$44)/(Inputs!$B$44),0))),0)))-100),0))*CHOOSE(ArtifactsInput!$N$42+1,0.6,0.72,0.84,0.96,1.08,1.2))),Inputs!$B$18+((C354=TRUE)*(F354-Calc!F29))+(IF(AND(Inputs!$B$39&lt;&gt;"pvp",Inputs!$B$44=0),1,IF(IF(Inputs!$B$39="pvp",15,Inputs!$B$44)-(B370)&lt;=0,1,MAX(0,IF(Inputs!$B$39="pvp",15,Inputs!$B$44)-MAX(5,B370))/(IF(Inputs!$B$39="pvp",15,Inputs!$B$44)-(B370))))*IF(AND(ArtifactsInput!$M$42,((Inputs!$B$9+((C351=TRUE)*(F351-Calc!F26))+B359+(ArtifactsInput!$M$24-ArtifactsInput!$M$24)*CHOOSE(ArtifactsInput!$N$24+1,10,12,14,16,18,20)+IF(ArtifactsInput!$M$10,CHOOSE(ArtifactsInput!$N$10+1,15,18,21,24,27,30)*(IF(Inputs!$B$39="pvp",MIN(15,15)/15,IF(AND(Inputs!$B$39&lt;&gt;"pvp",Inputs!$B$44&gt;0),MIN(15,Inputs!$B$44)/(Inputs!$B$44),0))),0)))&gt;=100),CHOOSE(ArtifactsInput!$N$42+1,40,48,56,64,72,80),0))))/100)*(((1+(((C347=TRUE)*F347*IF(AND(Inputs!$B$39&lt;&gt;"pvp",Inputs!$B$44&gt;0),(((R347-1)*MIN((Skills!Y22*(1+Inputs!$B$34/100)),(1/Q347))+MIN((Skills!Y22*(1+Inputs!$B$34/100)),MAX(0,Inputs!$B$44-((R347-1)*(1/Q347)))))/Inputs!$B$44),IF(Inputs!$B$39="pvp",MIN((Skills!Y22*(1+Inputs!$B$34/100)),15)/15,MIN(1,(Skills!Y22*(1+Inputs!$B$34/100))/(1/Q347)))))+((C328=TRUE)*F328*3)+((C330=TRUE)*F330*(1-EXP(-0.75*B363*5)))+((C349=TRUE)*(F349-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336=TRUE)*F336*IF(AND(Inputs!$B$39&lt;&gt;"pvp",Inputs!$B$44&gt;0),(((R336-1)*MIN((Skills!Y11*(1+Inputs!$B$34/100)),(1/Q336))+MIN((Skills!Y11*(1+Inputs!$B$34/100)),MAX(0,Inputs!$B$44-((R336-1)*(1/Q336)))))/Inputs!$B$44),IF(Inputs!$B$39="pvp",MIN((Skills!Y11*(1+Inputs!$B$34/100)),15)/15,MIN(1,(Skills!Y11*(1+Inputs!$B$34/100))/(1/Q336)))))/100)*(1+((C341=TRUE)*F341*IF(AND(Inputs!$B$39&lt;&gt;"pvp",Inputs!$B$44&gt;0),(((R341-1)*MIN((Skills!Y16*(1+Inputs!$B$34/100)),(1/Q341))+MIN((Skills!Y16*(1+Inputs!$B$34/100)),MAX(0,Inputs!$B$44-((R341-1)*(1/Q341)))))/Inputs!$B$44),IF(Inputs!$B$39="pvp",MIN((Skills!Y16*(1+Inputs!$B$34/100)),15)/15,MIN(1,(Skills!Y16*(1+Inputs!$B$34/100))/(1/Q341)))))/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361*I329)</f>
        <v/>
      </c>
      <c r="L329">
        <f>K329*(MIN(Inputs!$B$22+((C350=TRUE)*(F350-Calc!F25)),(Inputs!$B$23+((C355=TRUE)*(F355-Calc!F30))+IF(ArtifactsInput!$M$15,CHOOSE(ArtifactsInput!$N$15+1,25,30,35,40,45,50)/100*(Inputs!$B$11-Inputs!$B$11),0)))/100+(Inputs!$B$23+((C355=TRUE)*(F355-Calc!F30))+IF(ArtifactsInput!$M$15,CHOOSE(ArtifactsInput!$N$15+1,25,30,35,40,45,50)/100*(Inputs!$B$11-Inputs!$B$11),0))/100)/2</f>
        <v/>
      </c>
      <c r="M329">
        <f>L329*(1+(Inputs!$B$10+((C352=TRUE)*(F352-Calc!F27))+B366+(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329">
        <f>L329*(1-MIN((Inputs!$B$9+((C351=TRUE)*(F351-Calc!F26))+B359+(ArtifactsInput!$M$24-ArtifactsInput!$M$24)*CHOOSE(ArtifactsInput!$N$24+1,10,12,14,16,18,20)+(IF(AND(Inputs!$B$39&lt;&gt;"pvp",Inputs!$B$44=0),1,IF(IF(Inputs!$B$39="pvp",15,Inputs!$B$44)-(B370)&lt;=0,1,MAX(0,IF(Inputs!$B$39="pvp",15,Inputs!$B$44)-MAX(5,B370))/(IF(Inputs!$B$39="pvp",15,Inputs!$B$44)-(B370))))*IF(AND(ArtifactsInput!$M$42,((Inputs!$B$9+((C351=TRUE)*(F351-Calc!F26))+B359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329*(MIN((Inputs!$B$9+((C351=TRUE)*(F351-Calc!F26))+B359+(ArtifactsInput!$M$24-ArtifactsInput!$M$24)*CHOOSE(ArtifactsInput!$N$24+1,10,12,14,16,18,20)+(IF(AND(Inputs!$B$39&lt;&gt;"pvp",Inputs!$B$44=0),1,IF(IF(Inputs!$B$39="pvp",15,Inputs!$B$44)-(B370)&lt;=0,1,MAX(0,IF(Inputs!$B$39="pvp",15,Inputs!$B$44)-MAX(5,B370))/(IF(Inputs!$B$39="pvp",15,Inputs!$B$44)-(B370))))*IF(AND(ArtifactsInput!$M$42,((Inputs!$B$9+((C351=TRUE)*(F351-Calc!F26))+B359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329">
        <f>(1-Summary!$B$11)*T329+Summary!$B$11*V329</f>
        <v/>
      </c>
      <c r="P329">
        <f>IF(B371=0,0,O329/B371)</f>
        <v/>
      </c>
      <c r="Q329">
        <f>IFERROR(1/IF(Inputs!$B$39="pvp",15,MAX(0.1,Skills!D4-IF(TRUE=TRUE,Inputs!$B$32,0))),0)</f>
        <v/>
      </c>
      <c r="R329">
        <f>IF(AND(Inputs!$B$39&lt;&gt;"pvp",Inputs!$B$44&gt;0),IF(MAX(0,Inputs!$B$44-B370)&lt;=0,0,(INT(MAX(0,Inputs!$B$44-B370)/IF(Inputs!$B$39="pvp",15,MAX(0.1,Skills!D4-IF(TRUE=TRUE,Inputs!$B$32,0))))+1)),0)</f>
        <v/>
      </c>
      <c r="S329">
        <f>IFERROR(O329/N329,0)</f>
        <v/>
      </c>
      <c r="T329">
        <f>IF(C329,(H329*N329*IF(AND(Inputs!$B$39&lt;&gt;"pvp",Inputs!$B$44&gt;0),((Skills!G4*((R329-1)*IF(Skills!H4&gt;0,Skills!I4/Skills!H4,1)+IF(Skills!H4&gt;0,MIN(Skills!I4,MAX(0,MAX(0,Inputs!$B$44-B370)-((R329-1)*IF(Inputs!$B$39="pvp",15,MAX(0.1,Skills!D4-IF(TRUE=TRUE,Inputs!$B$32,0))))))/Skills!H4,1)))/Inputs!$B$44),G329*Q329))*IF(Inputs!$B$39="pvp",1,1+((Inputs!$B$20+1)+0+Skills!P4+B360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Hunt"),CHOOSE(ArtifactsInput!$N$35+1,15,18,21,24,27,30)*(1-EXP(-(0.2*B363)*5)),0)+IF(AND(ArtifactsInput!$M$22,Inputs!$B$4&lt;&gt;"Chapter Hunt"),CHOOSE(ArtifactsInput!$N$22+1,10,12,14,16,18,20)*((0*(((0.15*B363*5))^0/1)+1*(((0.15*B363*5))^1/1)+2*(((0.15*B363*5))^2/2)+3*(((0.15*B363*5))^3/6)+4*(((0.15*B363*5))^4/24)+5*(((0.15*B363*5))^5/120))/((((0.15*B363*5))^0/1)+(((0.15*B363*5))^1/1)+(((0.15*B363*5))^2/2)+(((0.15*B363*5))^3/6)+(((0.15*B363*5))^4/24)+(((0.15*B363*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329*(1-MIN(100,(Inputs!$B$9+((C351=TRUE)*(F351-Calc!F26))+B359+(ArtifactsInput!$M$24-ArtifactsInput!$M$24)*CHOOSE(ArtifactsInput!$N$24+1,10,12,14,16,18,20)+(IF(AND(Inputs!$B$39&lt;&gt;"pvp",Inputs!$B$44=0),1,IF(IF(Inputs!$B$39="pvp",15,Inputs!$B$44)-(B370)&lt;=0,1,MAX(0,IF(Inputs!$B$39="pvp",15,Inputs!$B$44)-MAX(5,B370))/(IF(Inputs!$B$39="pvp",15,Inputs!$B$44)-(B370))))*IF(AND(ArtifactsInput!$M$42,((Inputs!$B$9+((C351=TRUE)*(F351-Calc!F26))+B359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329*(MIN(100,(Inputs!$B$9+((C351=TRUE)*(F351-Calc!F26))+B359+(ArtifactsInput!$M$24-ArtifactsInput!$M$24)*CHOOSE(ArtifactsInput!$N$24+1,10,12,14,16,18,20)+(IF(AND(Inputs!$B$39&lt;&gt;"pvp",Inputs!$B$44=0),1,IF(IF(Inputs!$B$39="pvp",15,Inputs!$B$44)-(B370)&lt;=0,1,MAX(0,IF(Inputs!$B$39="pvp",15,Inputs!$B$44)-MAX(5,B370))/(IF(Inputs!$B$39="pvp",15,Inputs!$B$44)-(B370))))*IF(AND(ArtifactsInput!$M$42,((Inputs!$B$9+((C351=TRUE)*(F351-Calc!F26))+B359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329*(1-MIN(100,(Inputs!$B$9+((C351=TRUE)*(F351-Calc!F26))+B359+(ArtifactsInput!$M$24-ArtifactsInput!$M$24)*CHOOSE(ArtifactsInput!$N$24+1,10,12,14,16,18,20)+(IF(AND(Inputs!$B$39&lt;&gt;"pvp",Inputs!$B$44=0),1,IF(IF(Inputs!$B$39="pvp",15,Inputs!$B$44)-(B370)&lt;=0,1,MAX(0,IF(Inputs!$B$39="pvp",15,Inputs!$B$44)-MAX(5,B370))/(IF(Inputs!$B$39="pvp",15,Inputs!$B$44)-(B370))))*IF(AND(ArtifactsInput!$M$42,((Inputs!$B$9+((C351=TRUE)*(F351-Calc!F26))+B359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329*(MIN(100,(Inputs!$B$9+((C351=TRUE)*(F351-Calc!F26))+B359+(ArtifactsInput!$M$24-ArtifactsInput!$M$24)*CHOOSE(ArtifactsInput!$N$24+1,10,12,14,16,18,20)+(IF(AND(Inputs!$B$39&lt;&gt;"pvp",Inputs!$B$44=0),1,IF(IF(Inputs!$B$39="pvp",15,Inputs!$B$44)-(B370)&lt;=0,1,MAX(0,IF(Inputs!$B$39="pvp",15,Inputs!$B$44)-MAX(5,B370))/(IF(Inputs!$B$39="pvp",15,Inputs!$B$44)-(B370))))*IF(AND(ArtifactsInput!$M$42,((Inputs!$B$9+((C351=TRUE)*(F351-Calc!F26))+B359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329">
        <f>290*U328/1000</f>
        <v/>
      </c>
      <c r="V329">
        <f>IF(C329,(H329*N329*IF(AND(Inputs!$B$39&lt;&gt;"pvp",Inputs!$B$44&gt;0),((Skills!G4*((R329-1)*IF(Skills!H4&gt;0,Skills!I4/Skills!H4,1)+IF(Skills!H4&gt;0,MIN(Skills!I4,MAX(0,MAX(0,Inputs!$B$44-B370)-((R329-1)*IF(Inputs!$B$39="pvp",15,MAX(0.1,Skills!D4-IF(TRUE=TRUE,Inputs!$B$32,0))))))/Skills!H4,1)))/Inputs!$B$44),G329*Q329))*IF(Inputs!$B$39="pvp",1,(1+(Inputs!$B$21+Skills!Q4+B360+(IF(ArtifactsInput!$M$33,CHOOSE(ArtifactsInput!$N$33+1,30,36,42,48,54,60),0))+(IF(AND(ArtifactsInput!$M$35,Inputs!$B$4&lt;&gt;"Chapter Hunt"),CHOOSE(ArtifactsInput!$N$35+1,15,18,21,24,27,30)*(1-EXP(-(0.2*B363)*5)),0)+IF(AND(ArtifactsInput!$M$22,Inputs!$B$4&lt;&gt;"Chapter Hunt"),CHOOSE(ArtifactsInput!$N$22+1,10,12,14,16,18,20)*((0*(((0.15*B363*5))^0/1)+1*(((0.15*B363*5))^1/1)+2*(((0.15*B363*5))^2/2)+3*(((0.15*B363*5))^3/6)+4*(((0.15*B363*5))^4/24)+5*(((0.15*B363*5))^5/120))/((((0.15*B363*5))^0/1)+(((0.15*B363*5))^1/1)+(((0.15*B363*5))^2/2)+(((0.15*B363*5))^3/6)+(((0.15*B363*5))^4/24)+(((0.15*B363*5))^5/120))),0)))/100)*(MIN(MIN(10,IF(Inputs!$B$3&gt;=75,0.75,0.5)*B363*(1/Q329)),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330">
      <c r="A330">
        <f>Skills!A5</f>
        <v/>
      </c>
      <c r="B330">
        <f>Skills!B5</f>
        <v/>
      </c>
      <c r="C330">
        <f>Inputs!$B$3&gt;=75</f>
        <v/>
      </c>
      <c r="D330">
        <f>IF(Skills!C5=1,60+Inputs!$B$25+Inputs!$B$29,IF(Skills!C5=2,90+Inputs!$B$26+Inputs!$B$29,IF(Skills!C5=3,120+Inputs!$B$27+Inputs!$B$29,MAX(0,(Inputs!$B$3-100)*3)+Inputs!$B$28+Inputs!$B$29)))</f>
        <v/>
      </c>
      <c r="E330">
        <f>INDEX(FactorTable!$B$2:$Y$301, MATCH(ROUND(MIN(300,MAX(1,D330)),0), FactorTable!$A$2:$A$301,0), Skills!M5+1)</f>
        <v/>
      </c>
      <c r="F330">
        <f>IF(Skills!N5=TRUE,(Skills!L5/10)*(E330/1000),Skills!L5/10)+Skills!O5</f>
        <v/>
      </c>
      <c r="G330">
        <f>Skills!G5*IF(Skills!H5&gt;0,IF(Inputs!$B$39="pvp",MIN(Skills!I5,15),Skills!I5)/Skills!H5,1)</f>
        <v/>
      </c>
      <c r="H330">
        <f>1-(1-Skills!J5/100)^Skills!K5</f>
        <v/>
      </c>
      <c r="I330" t="inlineStr">
        <is>
          <t>1</t>
        </is>
      </c>
      <c r="J330" t="inlineStr"/>
      <c r="K330" t="inlineStr"/>
      <c r="L330" t="inlineStr"/>
      <c r="M330" t="inlineStr"/>
      <c r="N330" t="inlineStr"/>
      <c r="O330">
        <f>(1-Summary!$B$11)*T330+Summary!$B$11*V330</f>
        <v/>
      </c>
      <c r="P330">
        <f>IF(B371=0,0,O330/B371)</f>
        <v/>
      </c>
      <c r="Q330" t="n">
        <v>0</v>
      </c>
      <c r="R330" t="n">
        <v>0</v>
      </c>
      <c r="S330">
        <f>IFERROR(O330/N330,0)</f>
        <v/>
      </c>
      <c r="T330" t="n">
        <v>0</v>
      </c>
      <c r="V330" t="n">
        <v>0</v>
      </c>
    </row>
    <row r="331">
      <c r="A331">
        <f>Skills!A6</f>
        <v/>
      </c>
      <c r="B331">
        <f>Skills!B6</f>
        <v/>
      </c>
      <c r="C331">
        <f>Inputs!$B$3&gt;=63</f>
        <v/>
      </c>
      <c r="D331">
        <f>IF(Skills!C6=1,60+Inputs!$B$25+Inputs!$B$29,IF(Skills!C6=2,90+Inputs!$B$26+Inputs!$B$29,IF(Skills!C6=3,120+Inputs!$B$27+Inputs!$B$29,MAX(0,(Inputs!$B$3-100)*3)+Inputs!$B$28+Inputs!$B$29)))</f>
        <v/>
      </c>
      <c r="E331">
        <f>INDEX(FactorTable!$B$2:$Y$301, MATCH(ROUND(MIN(300,MAX(1,D331)),0), FactorTable!$A$2:$A$301,0), Skills!M6+1)</f>
        <v/>
      </c>
      <c r="F331">
        <f>IF(Skills!N6=TRUE,(Skills!L6/10)*(E331/1000),Skills!L6/10)+Skills!O6</f>
        <v/>
      </c>
      <c r="G331">
        <f>Skills!G6*IF(Skills!H6&gt;0,IF(Inputs!$B$39="pvp",MIN(Skills!I6,15),Skills!I6)/Skills!H6,1)</f>
        <v/>
      </c>
      <c r="H331">
        <f>1-(1-Skills!J6/100)^Skills!K6</f>
        <v/>
      </c>
      <c r="I331" t="inlineStr">
        <is>
          <t>1</t>
        </is>
      </c>
      <c r="J331">
        <f>((Inputs!$B$6*(1+Inputs!$B$7/100))+(((Inputs!$B$12*(1+Inputs!$B$13/100))-(Inputs!$B$12*(1+Inputs!$B$13/100)))+0.25*(Inputs!$B$14-Inputs!$B$14))*(1+Inputs!$B$7/100))*(F331/100)</f>
        <v/>
      </c>
      <c r="K331">
        <f>J331*(1+((Inputs!$B$12*(1+Inputs!$B$13/100))*0.01+Inputs!$B$14*0.0025)/100)*(1+Inputs!$B$15/100)*(1+Inputs!$B$16/100)*(5000/(6000+Inputs!$B$43*(1-(100*(1-(1-Inputs!$B$19/100)*(1-CHOOSE(ArtifactsInput!$N$40+1,5,6,7,8,9,10)/100)^(ArtifactsInput!$M$40-ArtifactsInput!$M$40)))/100)))*(1+(Inputs!$B$24+((C356=TRUE)*(F356-Calc!F31))+((C343=TRUE)*(F343-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+2.6666666666666665*IF(C344=TRUE,F344,0)/100)*(1+(IF(Skills!A6="CRUEL_STAB",Inputs!$B$17+((C353=TRUE)*(F353-Calc!F28))+((IF(AND(Inputs!$B$39&lt;&gt;"pvp",Inputs!$B$44=0),1,IF(IF(Inputs!$B$39="pvp",15,Inputs!$B$44)-(B370)&lt;=0,1,MAX(0,IF(Inputs!$B$39="pvp",15,Inputs!$B$44)-MAX(5,B370))/(IF(Inputs!$B$39="pvp",15,Inputs!$B$44)-(B370))))*(IF(AND(ArtifactsInput!$M$42,((Inputs!$B$9+((C351=TRUE)*(F351-Calc!F26))+B359+(ArtifactsInput!$M$24-ArtifactsInput!$M$24)*CHOOSE(ArtifactsInput!$N$24+1,10,12,14,16,18,20)+IF(ArtifactsInput!$M$10,CHOOSE(ArtifactsInput!$N$10+1,15,18,21,24,27,30)*(IF(Inputs!$B$39="pvp",MIN(15,15)/15,IF(AND(Inputs!$B$39&lt;&gt;"pvp",Inputs!$B$44&gt;0),MIN(15,Inputs!$B$44)/(Inputs!$B$44),0))),0)))&gt;=100),MIN(100,((Inputs!$B$9+((C351=TRUE)*(F351-Calc!F26))+B359+(ArtifactsInput!$M$24-ArtifactsInput!$M$24)*CHOOSE(ArtifactsInput!$N$24+1,10,12,14,16,18,20)+IF(ArtifactsInput!$M$10,CHOOSE(ArtifactsInput!$N$10+1,15,18,21,24,27,30)*(IF(Inputs!$B$39="pvp",MIN(15,15)/15,IF(AND(Inputs!$B$39&lt;&gt;"pvp",Inputs!$B$44&gt;0),MIN(15,Inputs!$B$44)/(Inputs!$B$44),0))),0)))-100),0))*CHOOSE(ArtifactsInput!$N$42+1,0.6,0.72,0.84,0.96,1.08,1.2))),Inputs!$B$18+((C354=TRUE)*(F354-Calc!F29))+(IF(AND(Inputs!$B$39&lt;&gt;"pvp",Inputs!$B$44=0),1,IF(IF(Inputs!$B$39="pvp",15,Inputs!$B$44)-(B370)&lt;=0,1,MAX(0,IF(Inputs!$B$39="pvp",15,Inputs!$B$44)-MAX(5,B370))/(IF(Inputs!$B$39="pvp",15,Inputs!$B$44)-(B370))))*IF(AND(ArtifactsInput!$M$42,((Inputs!$B$9+((C351=TRUE)*(F351-Calc!F26))+B359+(ArtifactsInput!$M$24-ArtifactsInput!$M$24)*CHOOSE(ArtifactsInput!$N$24+1,10,12,14,16,18,20)+IF(ArtifactsInput!$M$10,CHOOSE(ArtifactsInput!$N$10+1,15,18,21,24,27,30)*(IF(Inputs!$B$39="pvp",MIN(15,15)/15,IF(AND(Inputs!$B$39&lt;&gt;"pvp",Inputs!$B$44&gt;0),MIN(15,Inputs!$B$44)/(Inputs!$B$44),0))),0)))&gt;=100),CHOOSE(ArtifactsInput!$N$42+1,40,48,56,64,72,80),0))))/100)*(((1+(((C347=TRUE)*F347*IF(AND(Inputs!$B$39&lt;&gt;"pvp",Inputs!$B$44&gt;0),(((R347-1)*MIN((Skills!Y22*(1+Inputs!$B$34/100)),(1/Q347))+MIN((Skills!Y22*(1+Inputs!$B$34/100)),MAX(0,Inputs!$B$44-((R347-1)*(1/Q347)))))/Inputs!$B$44),IF(Inputs!$B$39="pvp",MIN((Skills!Y22*(1+Inputs!$B$34/100)),15)/15,MIN(1,(Skills!Y22*(1+Inputs!$B$34/100))/(1/Q347)))))+((C328=TRUE)*F328*3)+((C330=TRUE)*F330*(1-EXP(-0.75*B363*5)))+((C349=TRUE)*(F349-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336=TRUE)*F336*IF(AND(Inputs!$B$39&lt;&gt;"pvp",Inputs!$B$44&gt;0),(((R336-1)*MIN((Skills!Y11*(1+Inputs!$B$34/100)),(1/Q336))+MIN((Skills!Y11*(1+Inputs!$B$34/100)),MAX(0,Inputs!$B$44-((R336-1)*(1/Q336)))))/Inputs!$B$44),IF(Inputs!$B$39="pvp",MIN((Skills!Y11*(1+Inputs!$B$34/100)),15)/15,MIN(1,(Skills!Y11*(1+Inputs!$B$34/100))/(1/Q336)))))/100)*(1+((C341=TRUE)*F341*IF(AND(Inputs!$B$39&lt;&gt;"pvp",Inputs!$B$44&gt;0),(((R341-1)*MIN((Skills!Y16*(1+Inputs!$B$34/100)),(1/Q341))+MIN((Skills!Y16*(1+Inputs!$B$34/100)),MAX(0,Inputs!$B$44-((R341-1)*(1/Q341)))))/Inputs!$B$44),IF(Inputs!$B$39="pvp",MIN((Skills!Y16*(1+Inputs!$B$34/100)),15)/15,MIN(1,(Skills!Y16*(1+Inputs!$B$34/100))/(1/Q341)))))/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361*I331)</f>
        <v/>
      </c>
      <c r="L331">
        <f>K331*(MIN(Inputs!$B$22+((C350=TRUE)*(F350-Calc!F25)),(Inputs!$B$23+((C355=TRUE)*(F355-Calc!F30))+IF(ArtifactsInput!$M$15,CHOOSE(ArtifactsInput!$N$15+1,25,30,35,40,45,50)/100*(Inputs!$B$11-Inputs!$B$11),0)))/100+(Inputs!$B$23+((C355=TRUE)*(F355-Calc!F30))+IF(ArtifactsInput!$M$15,CHOOSE(ArtifactsInput!$N$15+1,25,30,35,40,45,50)/100*(Inputs!$B$11-Inputs!$B$11),0))/100)/2</f>
        <v/>
      </c>
      <c r="M331">
        <f>L331*(1+(Inputs!$B$10+((C352=TRUE)*(F352-Calc!F27))+B366+(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331">
        <f>L331*(1-MIN((Inputs!$B$9+((C351=TRUE)*(F351-Calc!F26))+B359+(ArtifactsInput!$M$24-ArtifactsInput!$M$24)*CHOOSE(ArtifactsInput!$N$24+1,10,12,14,16,18,20)+(IF(AND(Inputs!$B$39&lt;&gt;"pvp",Inputs!$B$44=0),1,IF(IF(Inputs!$B$39="pvp",15,Inputs!$B$44)-(B370)&lt;=0,1,MAX(0,IF(Inputs!$B$39="pvp",15,Inputs!$B$44)-MAX(5,B370))/(IF(Inputs!$B$39="pvp",15,Inputs!$B$44)-(B370))))*IF(AND(ArtifactsInput!$M$42,((Inputs!$B$9+((C351=TRUE)*(F351-Calc!F26))+B359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331*(MIN((Inputs!$B$9+((C351=TRUE)*(F351-Calc!F26))+B359+(ArtifactsInput!$M$24-ArtifactsInput!$M$24)*CHOOSE(ArtifactsInput!$N$24+1,10,12,14,16,18,20)+(IF(AND(Inputs!$B$39&lt;&gt;"pvp",Inputs!$B$44=0),1,IF(IF(Inputs!$B$39="pvp",15,Inputs!$B$44)-(B370)&lt;=0,1,MAX(0,IF(Inputs!$B$39="pvp",15,Inputs!$B$44)-MAX(5,B370))/(IF(Inputs!$B$39="pvp",15,Inputs!$B$44)-(B370))))*IF(AND(ArtifactsInput!$M$42,((Inputs!$B$9+((C351=TRUE)*(F351-Calc!F26))+B359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331">
        <f>(1-Summary!$B$11)*T331+Summary!$B$11*V331</f>
        <v/>
      </c>
      <c r="P331">
        <f>IF(B371=0,0,O331/B371)</f>
        <v/>
      </c>
      <c r="Q331">
        <f>IFERROR(1/IF(Inputs!$B$39="pvp",15,MAX(0.1,Skills!D6-IF(TRUE=TRUE,Inputs!$B$32,0))),0)</f>
        <v/>
      </c>
      <c r="R331">
        <f>IF(AND(Inputs!$B$39&lt;&gt;"pvp",Inputs!$B$44&gt;0),IF(MAX(0,Inputs!$B$44-B370)&lt;=0,0,(INT(MAX(0,Inputs!$B$44-B370)/IF(Inputs!$B$39="pvp",15,MAX(0.1,Skills!D6-IF(TRUE=TRUE,Inputs!$B$32,0))))+1)),0)</f>
        <v/>
      </c>
      <c r="S331">
        <f>IFERROR(O331/N331,0)</f>
        <v/>
      </c>
      <c r="T331">
        <f>IF(C331,(H331*N331*IF(AND(Inputs!$B$39&lt;&gt;"pvp",Inputs!$B$44&gt;0),((Skills!G6*((R331-1)*IF(Skills!H6&gt;0,Skills!I6/Skills!H6,1)+IF(Skills!H6&gt;0,MIN(Skills!I6,MAX(0,MAX(0,Inputs!$B$44-B370)-((R331-1)*IF(Inputs!$B$39="pvp",15,MAX(0.1,Skills!D6-IF(TRUE=TRUE,Inputs!$B$32,0))))))/Skills!H6,1)))/Inputs!$B$44),G331*Q331))*IF(Inputs!$B$39="pvp",1,1+((Inputs!$B$20+1)+0+Skills!P6+B360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Hunt"),CHOOSE(ArtifactsInput!$N$35+1,15,18,21,24,27,30)*(1-EXP(-(0.2*B363)*5)),0)+IF(AND(ArtifactsInput!$M$22,Inputs!$B$4&lt;&gt;"Chapter Hunt"),CHOOSE(ArtifactsInput!$N$22+1,10,12,14,16,18,20)*((0*(((0.15*B363*5))^0/1)+1*(((0.15*B363*5))^1/1)+2*(((0.15*B363*5))^2/2)+3*(((0.15*B363*5))^3/6)+4*(((0.15*B363*5))^4/24)+5*(((0.15*B363*5))^5/120))/((((0.15*B363*5))^0/1)+(((0.15*B363*5))^1/1)+(((0.15*B363*5))^2/2)+(((0.15*B363*5))^3/6)+(((0.15*B363*5))^4/24)+(((0.15*B363*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331*(1-MIN(100,(Inputs!$B$9+((C351=TRUE)*(F351-Calc!F26))+B359+(ArtifactsInput!$M$24-ArtifactsInput!$M$24)*CHOOSE(ArtifactsInput!$N$24+1,10,12,14,16,18,20)+(IF(AND(Inputs!$B$39&lt;&gt;"pvp",Inputs!$B$44=0),1,IF(IF(Inputs!$B$39="pvp",15,Inputs!$B$44)-(B370)&lt;=0,1,MAX(0,IF(Inputs!$B$39="pvp",15,Inputs!$B$44)-MAX(5,B370))/(IF(Inputs!$B$39="pvp",15,Inputs!$B$44)-(B370))))*IF(AND(ArtifactsInput!$M$42,((Inputs!$B$9+((C351=TRUE)*(F351-Calc!F26))+B359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331*(MIN(100,(Inputs!$B$9+((C351=TRUE)*(F351-Calc!F26))+B359+(ArtifactsInput!$M$24-ArtifactsInput!$M$24)*CHOOSE(ArtifactsInput!$N$24+1,10,12,14,16,18,20)+(IF(AND(Inputs!$B$39&lt;&gt;"pvp",Inputs!$B$44=0),1,IF(IF(Inputs!$B$39="pvp",15,Inputs!$B$44)-(B370)&lt;=0,1,MAX(0,IF(Inputs!$B$39="pvp",15,Inputs!$B$44)-MAX(5,B370))/(IF(Inputs!$B$39="pvp",15,Inputs!$B$44)-(B370))))*IF(AND(ArtifactsInput!$M$42,((Inputs!$B$9+((C351=TRUE)*(F351-Calc!F26))+B359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331*(1-MIN(100,(Inputs!$B$9+((C351=TRUE)*(F351-Calc!F26))+B359+(ArtifactsInput!$M$24-ArtifactsInput!$M$24)*CHOOSE(ArtifactsInput!$N$24+1,10,12,14,16,18,20)+(IF(AND(Inputs!$B$39&lt;&gt;"pvp",Inputs!$B$44=0),1,IF(IF(Inputs!$B$39="pvp",15,Inputs!$B$44)-(B370)&lt;=0,1,MAX(0,IF(Inputs!$B$39="pvp",15,Inputs!$B$44)-MAX(5,B370))/(IF(Inputs!$B$39="pvp",15,Inputs!$B$44)-(B370))))*IF(AND(ArtifactsInput!$M$42,((Inputs!$B$9+((C351=TRUE)*(F351-Calc!F26))+B359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331*(MIN(100,(Inputs!$B$9+((C351=TRUE)*(F351-Calc!F26))+B359+(ArtifactsInput!$M$24-ArtifactsInput!$M$24)*CHOOSE(ArtifactsInput!$N$24+1,10,12,14,16,18,20)+(IF(AND(Inputs!$B$39&lt;&gt;"pvp",Inputs!$B$44=0),1,IF(IF(Inputs!$B$39="pvp",15,Inputs!$B$44)-(B370)&lt;=0,1,MAX(0,IF(Inputs!$B$39="pvp",15,Inputs!$B$44)-MAX(5,B370))/(IF(Inputs!$B$39="pvp",15,Inputs!$B$44)-(B370))))*IF(AND(ArtifactsInput!$M$42,((Inputs!$B$9+((C351=TRUE)*(F351-Calc!F26))+B359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331">
        <f>IF(C331,(H331*N331*IF(AND(Inputs!$B$39&lt;&gt;"pvp",Inputs!$B$44&gt;0),((Skills!G6*((R331-1)*IF(Skills!H6&gt;0,Skills!I6/Skills!H6,1)+IF(Skills!H6&gt;0,MIN(Skills!I6,MAX(0,MAX(0,Inputs!$B$44-B370)-((R331-1)*IF(Inputs!$B$39="pvp",15,MAX(0.1,Skills!D6-IF(TRUE=TRUE,Inputs!$B$32,0))))))/Skills!H6,1)))/Inputs!$B$44),G331*Q331))*IF(Inputs!$B$39="pvp",1,(1+(Inputs!$B$21+Skills!Q6+B360+(IF(ArtifactsInput!$M$33,CHOOSE(ArtifactsInput!$N$33+1,30,36,42,48,54,60),0))+(IF(AND(ArtifactsInput!$M$35,Inputs!$B$4&lt;&gt;"Chapter Hunt"),CHOOSE(ArtifactsInput!$N$35+1,15,18,21,24,27,30)*(1-EXP(-(0.2*B363)*5)),0)+IF(AND(ArtifactsInput!$M$22,Inputs!$B$4&lt;&gt;"Chapter Hunt"),CHOOSE(ArtifactsInput!$N$22+1,10,12,14,16,18,20)*((0*(((0.15*B363*5))^0/1)+1*(((0.15*B363*5))^1/1)+2*(((0.15*B363*5))^2/2)+3*(((0.15*B363*5))^3/6)+4*(((0.15*B363*5))^4/24)+5*(((0.15*B363*5))^5/120))/((((0.15*B363*5))^0/1)+(((0.15*B363*5))^1/1)+(((0.15*B363*5))^2/2)+(((0.15*B363*5))^3/6)+(((0.15*B363*5))^4/24)+(((0.15*B363*5))^5/120))),0)))/100)*(MIN(Skills!W6,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332">
      <c r="A332">
        <f>Skills!A7</f>
        <v/>
      </c>
      <c r="B332">
        <f>Skills!B7</f>
        <v/>
      </c>
      <c r="C332">
        <f>Inputs!$B$3&gt;=69</f>
        <v/>
      </c>
      <c r="D332">
        <f>IF(Skills!C7=1,60+Inputs!$B$25+Inputs!$B$29,IF(Skills!C7=2,90+Inputs!$B$26+Inputs!$B$29,IF(Skills!C7=3,120+Inputs!$B$27+Inputs!$B$29,MAX(0,(Inputs!$B$3-100)*3)+Inputs!$B$28+Inputs!$B$29)))</f>
        <v/>
      </c>
      <c r="E332">
        <f>INDEX(FactorTable!$B$2:$Y$301, MATCH(ROUND(MIN(300,MAX(1,D332)),0), FactorTable!$A$2:$A$301,0), Skills!M7+1)</f>
        <v/>
      </c>
      <c r="F332">
        <f>IF(Skills!N7=TRUE,(Skills!L7/10)*(E332/1000),Skills!L7/10)+Skills!O7</f>
        <v/>
      </c>
      <c r="G332">
        <f>Skills!G7*IF(Skills!H7&gt;0,IF(Inputs!$B$39="pvp",MIN(Skills!I7,15),Skills!I7)/Skills!H7,1)</f>
        <v/>
      </c>
      <c r="H332">
        <f>1-(1-Skills!J7/100)^Skills!K7</f>
        <v/>
      </c>
      <c r="I332" t="inlineStr">
        <is>
          <t>1</t>
        </is>
      </c>
      <c r="J332">
        <f>((Inputs!$B$6*(1+Inputs!$B$7/100))+(((Inputs!$B$12*(1+Inputs!$B$13/100))-(Inputs!$B$12*(1+Inputs!$B$13/100)))+0.25*(Inputs!$B$14-Inputs!$B$14))*(1+Inputs!$B$7/100))*(F332/100)</f>
        <v/>
      </c>
      <c r="K332">
        <f>J332*(1+((Inputs!$B$12*(1+Inputs!$B$13/100))*0.01+Inputs!$B$14*0.0025)/100)*(1+Inputs!$B$15/100)*(1+Inputs!$B$16/100)*(5000/(6000+Inputs!$B$43*(1-(100*(1-(1-Inputs!$B$19/100)*(1-CHOOSE(ArtifactsInput!$N$40+1,5,6,7,8,9,10)/100)^(ArtifactsInput!$M$40-ArtifactsInput!$M$40)))/100)))*(1+(Inputs!$B$24+((C356=TRUE)*(F356-Calc!F31))+((C343=TRUE)*(F343-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344=TRUE,F344,0)/100)*(1+(IF(Skills!A7="CRUEL_STAB",Inputs!$B$17+((C353=TRUE)*(F353-Calc!F28))+((IF(AND(Inputs!$B$39&lt;&gt;"pvp",Inputs!$B$44=0),1,IF(IF(Inputs!$B$39="pvp",15,Inputs!$B$44)-(B370)&lt;=0,1,MAX(0,IF(Inputs!$B$39="pvp",15,Inputs!$B$44)-MAX(5,B370))/(IF(Inputs!$B$39="pvp",15,Inputs!$B$44)-(B370))))*(IF(AND(ArtifactsInput!$M$42,((Inputs!$B$9+((C351=TRUE)*(F351-Calc!F26))+B359+(ArtifactsInput!$M$24-ArtifactsInput!$M$24)*CHOOSE(ArtifactsInput!$N$24+1,10,12,14,16,18,20)+IF(ArtifactsInput!$M$10,CHOOSE(ArtifactsInput!$N$10+1,15,18,21,24,27,30)*(IF(Inputs!$B$39="pvp",MIN(15,15)/15,IF(AND(Inputs!$B$39&lt;&gt;"pvp",Inputs!$B$44&gt;0),MIN(15,Inputs!$B$44)/(Inputs!$B$44),0))),0)))&gt;=100),MIN(100,((Inputs!$B$9+((C351=TRUE)*(F351-Calc!F26))+B359+(ArtifactsInput!$M$24-ArtifactsInput!$M$24)*CHOOSE(ArtifactsInput!$N$24+1,10,12,14,16,18,20)+IF(ArtifactsInput!$M$10,CHOOSE(ArtifactsInput!$N$10+1,15,18,21,24,27,30)*(IF(Inputs!$B$39="pvp",MIN(15,15)/15,IF(AND(Inputs!$B$39&lt;&gt;"pvp",Inputs!$B$44&gt;0),MIN(15,Inputs!$B$44)/(Inputs!$B$44),0))),0)))-100),0))*CHOOSE(ArtifactsInput!$N$42+1,0.6,0.72,0.84,0.96,1.08,1.2))),Inputs!$B$18+((C354=TRUE)*(F354-Calc!F29))+(IF(AND(Inputs!$B$39&lt;&gt;"pvp",Inputs!$B$44=0),1,IF(IF(Inputs!$B$39="pvp",15,Inputs!$B$44)-(B370)&lt;=0,1,MAX(0,IF(Inputs!$B$39="pvp",15,Inputs!$B$44)-MAX(5,B370))/(IF(Inputs!$B$39="pvp",15,Inputs!$B$44)-(B370))))*IF(AND(ArtifactsInput!$M$42,((Inputs!$B$9+((C351=TRUE)*(F351-Calc!F26))+B359+(ArtifactsInput!$M$24-ArtifactsInput!$M$24)*CHOOSE(ArtifactsInput!$N$24+1,10,12,14,16,18,20)+IF(ArtifactsInput!$M$10,CHOOSE(ArtifactsInput!$N$10+1,15,18,21,24,27,30)*(IF(Inputs!$B$39="pvp",MIN(15,15)/15,IF(AND(Inputs!$B$39&lt;&gt;"pvp",Inputs!$B$44&gt;0),MIN(15,Inputs!$B$44)/(Inputs!$B$44),0))),0)))&gt;=100),CHOOSE(ArtifactsInput!$N$42+1,40,48,56,64,72,80),0))))/100)*(((1+(((C347=TRUE)*F347*IF(AND(Inputs!$B$39&lt;&gt;"pvp",Inputs!$B$44&gt;0),(((R347-1)*MIN((Skills!Y22*(1+Inputs!$B$34/100)),(1/Q347))+MIN((Skills!Y22*(1+Inputs!$B$34/100)),MAX(0,Inputs!$B$44-((R347-1)*(1/Q347)))))/Inputs!$B$44),IF(Inputs!$B$39="pvp",MIN((Skills!Y22*(1+Inputs!$B$34/100)),15)/15,MIN(1,(Skills!Y22*(1+Inputs!$B$34/100))/(1/Q347)))))+((C328=TRUE)*F328*3)+((C330=TRUE)*F330*(1-EXP(-0.75*B363*5)))+((C349=TRUE)*(F349-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336=TRUE)*F336*IF(AND(Inputs!$B$39&lt;&gt;"pvp",Inputs!$B$44&gt;0),(((R336-1)*MIN((Skills!Y11*(1+Inputs!$B$34/100)),(1/Q336))+MIN((Skills!Y11*(1+Inputs!$B$34/100)),MAX(0,Inputs!$B$44-((R336-1)*(1/Q336)))))/Inputs!$B$44),IF(Inputs!$B$39="pvp",MIN((Skills!Y11*(1+Inputs!$B$34/100)),15)/15,MIN(1,(Skills!Y11*(1+Inputs!$B$34/100))/(1/Q336)))))/100)*(1+((C341=TRUE)*F341*IF(AND(Inputs!$B$39&lt;&gt;"pvp",Inputs!$B$44&gt;0),(((R341-1)*MIN((Skills!Y16*(1+Inputs!$B$34/100)),(1/Q341))+MIN((Skills!Y16*(1+Inputs!$B$34/100)),MAX(0,Inputs!$B$44-((R341-1)*(1/Q341)))))/Inputs!$B$44),IF(Inputs!$B$39="pvp",MIN((Skills!Y16*(1+Inputs!$B$34/100)),15)/15,MIN(1,(Skills!Y16*(1+Inputs!$B$34/100))/(1/Q341)))))/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361*I332)</f>
        <v/>
      </c>
      <c r="L332">
        <f>K332*(MIN(Inputs!$B$22+((C350=TRUE)*(F350-Calc!F25)),(Inputs!$B$23+((C355=TRUE)*(F355-Calc!F30))+IF(ArtifactsInput!$M$15,CHOOSE(ArtifactsInput!$N$15+1,25,30,35,40,45,50)/100*(Inputs!$B$11-Inputs!$B$11),0)))/100+(Inputs!$B$23+((C355=TRUE)*(F355-Calc!F30))+IF(ArtifactsInput!$M$15,CHOOSE(ArtifactsInput!$N$15+1,25,30,35,40,45,50)/100*(Inputs!$B$11-Inputs!$B$11),0))/100)/2</f>
        <v/>
      </c>
      <c r="M332">
        <f>L332*(1+(Inputs!$B$10+((C352=TRUE)*(F352-Calc!F27))+B366+(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332">
        <f>L332*(1-MIN((Inputs!$B$9+((C351=TRUE)*(F351-Calc!F26))+B359+(ArtifactsInput!$M$24-ArtifactsInput!$M$24)*CHOOSE(ArtifactsInput!$N$24+1,10,12,14,16,18,20)+(IF(AND(Inputs!$B$39&lt;&gt;"pvp",Inputs!$B$44=0),1,IF(IF(Inputs!$B$39="pvp",15,Inputs!$B$44)-(B370)&lt;=0,1,MAX(0,IF(Inputs!$B$39="pvp",15,Inputs!$B$44)-MAX(5,B370))/(IF(Inputs!$B$39="pvp",15,Inputs!$B$44)-(B370))))*IF(AND(ArtifactsInput!$M$42,((Inputs!$B$9+((C351=TRUE)*(F351-Calc!F26))+B359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332*(MIN((Inputs!$B$9+((C351=TRUE)*(F351-Calc!F26))+B359+(ArtifactsInput!$M$24-ArtifactsInput!$M$24)*CHOOSE(ArtifactsInput!$N$24+1,10,12,14,16,18,20)+(IF(AND(Inputs!$B$39&lt;&gt;"pvp",Inputs!$B$44=0),1,IF(IF(Inputs!$B$39="pvp",15,Inputs!$B$44)-(B370)&lt;=0,1,MAX(0,IF(Inputs!$B$39="pvp",15,Inputs!$B$44)-MAX(5,B370))/(IF(Inputs!$B$39="pvp",15,Inputs!$B$44)-(B370))))*IF(AND(ArtifactsInput!$M$42,((Inputs!$B$9+((C351=TRUE)*(F351-Calc!F26))+B359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332">
        <f>(1-Summary!$B$11)*T332+Summary!$B$11*V332</f>
        <v/>
      </c>
      <c r="P332">
        <f>IF(B371=0,0,O332/B371)</f>
        <v/>
      </c>
      <c r="Q332">
        <f>IFERROR(1/IF(Inputs!$B$39="pvp",15,MAX(0.1,Skills!D7-IF(TRUE=TRUE,Inputs!$B$32,0))),0)</f>
        <v/>
      </c>
      <c r="R332">
        <f>IF(AND(Inputs!$B$39&lt;&gt;"pvp",Inputs!$B$44&gt;0),IF(MAX(0,Inputs!$B$44-B370)&lt;=0,0,(INT(MAX(0,Inputs!$B$44-B370)/IF(Inputs!$B$39="pvp",15,MAX(0.1,Skills!D7-IF(TRUE=TRUE,Inputs!$B$32,0))))+1)),0)</f>
        <v/>
      </c>
      <c r="S332">
        <f>IFERROR(O332/N332,0)</f>
        <v/>
      </c>
      <c r="T332">
        <f>IF(C332,(H332*N332*IF(AND(Inputs!$B$39&lt;&gt;"pvp",Inputs!$B$44&gt;0),((Skills!G7*((R332-1)*IF(Skills!H7&gt;0,Skills!I7/Skills!H7,1)+IF(Skills!H7&gt;0,MIN(Skills!I7,MAX(0,MAX(0,Inputs!$B$44-B370)-((R332-1)*IF(Inputs!$B$39="pvp",15,MAX(0.1,Skills!D7-IF(TRUE=TRUE,Inputs!$B$32,0))))))/Skills!H7,1)))/Inputs!$B$44),G332*Q332))*IF(Inputs!$B$39="pvp",1,1+((Inputs!$B$20+1)+0+Skills!P7+B360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Hunt"),CHOOSE(ArtifactsInput!$N$35+1,15,18,21,24,27,30)*(1-EXP(-(0.2*B363)*5)),0)+IF(AND(ArtifactsInput!$M$22,Inputs!$B$4&lt;&gt;"Chapter Hunt"),CHOOSE(ArtifactsInput!$N$22+1,10,12,14,16,18,20)*((0*(((0.15*B363*5))^0/1)+1*(((0.15*B363*5))^1/1)+2*(((0.15*B363*5))^2/2)+3*(((0.15*B363*5))^3/6)+4*(((0.15*B363*5))^4/24)+5*(((0.15*B363*5))^5/120))/((((0.15*B363*5))^0/1)+(((0.15*B363*5))^1/1)+(((0.15*B363*5))^2/2)+(((0.15*B363*5))^3/6)+(((0.15*B363*5))^4/24)+(((0.15*B363*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332*(1-MIN(100,(Inputs!$B$9+((C351=TRUE)*(F351-Calc!F26))+B359+(ArtifactsInput!$M$24-ArtifactsInput!$M$24)*CHOOSE(ArtifactsInput!$N$24+1,10,12,14,16,18,20)+(IF(AND(Inputs!$B$39&lt;&gt;"pvp",Inputs!$B$44=0),1,IF(IF(Inputs!$B$39="pvp",15,Inputs!$B$44)-(B370)&lt;=0,1,MAX(0,IF(Inputs!$B$39="pvp",15,Inputs!$B$44)-MAX(5,B370))/(IF(Inputs!$B$39="pvp",15,Inputs!$B$44)-(B370))))*IF(AND(ArtifactsInput!$M$42,((Inputs!$B$9+((C351=TRUE)*(F351-Calc!F26))+B359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332*(MIN(100,(Inputs!$B$9+((C351=TRUE)*(F351-Calc!F26))+B359+(ArtifactsInput!$M$24-ArtifactsInput!$M$24)*CHOOSE(ArtifactsInput!$N$24+1,10,12,14,16,18,20)+(IF(AND(Inputs!$B$39&lt;&gt;"pvp",Inputs!$B$44=0),1,IF(IF(Inputs!$B$39="pvp",15,Inputs!$B$44)-(B370)&lt;=0,1,MAX(0,IF(Inputs!$B$39="pvp",15,Inputs!$B$44)-MAX(5,B370))/(IF(Inputs!$B$39="pvp",15,Inputs!$B$44)-(B370))))*IF(AND(ArtifactsInput!$M$42,((Inputs!$B$9+((C351=TRUE)*(F351-Calc!F26))+B359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332*(1-MIN(100,(Inputs!$B$9+((C351=TRUE)*(F351-Calc!F26))+B359+(ArtifactsInput!$M$24-ArtifactsInput!$M$24)*CHOOSE(ArtifactsInput!$N$24+1,10,12,14,16,18,20)+(IF(AND(Inputs!$B$39&lt;&gt;"pvp",Inputs!$B$44=0),1,IF(IF(Inputs!$B$39="pvp",15,Inputs!$B$44)-(B370)&lt;=0,1,MAX(0,IF(Inputs!$B$39="pvp",15,Inputs!$B$44)-MAX(5,B370))/(IF(Inputs!$B$39="pvp",15,Inputs!$B$44)-(B370))))*IF(AND(ArtifactsInput!$M$42,((Inputs!$B$9+((C351=TRUE)*(F351-Calc!F26))+B359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332*(MIN(100,(Inputs!$B$9+((C351=TRUE)*(F351-Calc!F26))+B359+(ArtifactsInput!$M$24-ArtifactsInput!$M$24)*CHOOSE(ArtifactsInput!$N$24+1,10,12,14,16,18,20)+(IF(AND(Inputs!$B$39&lt;&gt;"pvp",Inputs!$B$44=0),1,IF(IF(Inputs!$B$39="pvp",15,Inputs!$B$44)-(B370)&lt;=0,1,MAX(0,IF(Inputs!$B$39="pvp",15,Inputs!$B$44)-MAX(5,B370))/(IF(Inputs!$B$39="pvp",15,Inputs!$B$44)-(B370))))*IF(AND(ArtifactsInput!$M$42,((Inputs!$B$9+((C351=TRUE)*(F351-Calc!F26))+B359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332">
        <f>IF(C332,(H332*N332*IF(AND(Inputs!$B$39&lt;&gt;"pvp",Inputs!$B$44&gt;0),((Skills!G7*((R332-1)*IF(Skills!H7&gt;0,Skills!I7/Skills!H7,1)+IF(Skills!H7&gt;0,MIN(Skills!I7,MAX(0,MAX(0,Inputs!$B$44-B370)-((R332-1)*IF(Inputs!$B$39="pvp",15,MAX(0.1,Skills!D7-IF(TRUE=TRUE,Inputs!$B$32,0))))))/Skills!H7,1)))/Inputs!$B$44),G332*Q332))*IF(Inputs!$B$39="pvp",1,(1+(Inputs!$B$21+Skills!Q7+B360+(IF(ArtifactsInput!$M$33,CHOOSE(ArtifactsInput!$N$33+1,30,36,42,48,54,60),0))+(IF(AND(ArtifactsInput!$M$35,Inputs!$B$4&lt;&gt;"Chapter Hunt"),CHOOSE(ArtifactsInput!$N$35+1,15,18,21,24,27,30)*(1-EXP(-(0.2*B363)*5)),0)+IF(AND(ArtifactsInput!$M$22,Inputs!$B$4&lt;&gt;"Chapter Hunt"),CHOOSE(ArtifactsInput!$N$22+1,10,12,14,16,18,20)*((0*(((0.15*B363*5))^0/1)+1*(((0.15*B363*5))^1/1)+2*(((0.15*B363*5))^2/2)+3*(((0.15*B363*5))^3/6)+4*(((0.15*B363*5))^4/24)+5*(((0.15*B363*5))^5/120))/((((0.15*B363*5))^0/1)+(((0.15*B363*5))^1/1)+(((0.15*B363*5))^2/2)+(((0.15*B363*5))^3/6)+(((0.15*B363*5))^4/24)+(((0.15*B363*5))^5/120))),0)))/100)*(MIN(Skills!W7,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333">
      <c r="A333">
        <f>Skills!A8</f>
        <v/>
      </c>
      <c r="B333">
        <f>Skills!B8</f>
        <v/>
      </c>
      <c r="C333">
        <f>Inputs!$B$3&gt;=60</f>
        <v/>
      </c>
      <c r="D333">
        <f>IF(Skills!C8=1,60+Inputs!$B$25+Inputs!$B$29,IF(Skills!C8=2,90+Inputs!$B$26+Inputs!$B$29,IF(Skills!C8=3,120+Inputs!$B$27+Inputs!$B$29,MAX(0,(Inputs!$B$3-100)*3)+Inputs!$B$28+Inputs!$B$29)))</f>
        <v/>
      </c>
      <c r="E333">
        <f>INDEX(FactorTable!$B$2:$Y$301, MATCH(ROUND(MIN(300,MAX(1,D333)),0), FactorTable!$A$2:$A$301,0), Skills!M8+1)</f>
        <v/>
      </c>
      <c r="F333">
        <f>IF(Skills!N8=TRUE,(Skills!L8/10)*(E333/1000),Skills!L8/10)+Skills!O8</f>
        <v/>
      </c>
      <c r="G333">
        <f>Skills!G8*IF(Skills!H8&gt;0,IF(Inputs!$B$39="pvp",MIN(Skills!I8,15),Skills!I8)/Skills!H8,1)</f>
        <v/>
      </c>
      <c r="H333">
        <f>1-(1-Skills!J8/100)^Skills!K8</f>
        <v/>
      </c>
      <c r="I333" t="inlineStr">
        <is>
          <t>1</t>
        </is>
      </c>
      <c r="J333" t="inlineStr"/>
      <c r="K333" t="inlineStr"/>
      <c r="L333" t="inlineStr"/>
      <c r="M333" t="inlineStr"/>
      <c r="N333" t="inlineStr"/>
      <c r="O333">
        <f>(1-Summary!$B$11)*T333+Summary!$B$11*V333</f>
        <v/>
      </c>
      <c r="P333">
        <f>IF(B371=0,0,O333/B371)</f>
        <v/>
      </c>
      <c r="Q333" t="n">
        <v>0</v>
      </c>
      <c r="R333" t="n">
        <v>0</v>
      </c>
      <c r="S333">
        <f>IFERROR(O333/N333,0)</f>
        <v/>
      </c>
      <c r="T333" t="n">
        <v>0</v>
      </c>
      <c r="V333" t="n">
        <v>0</v>
      </c>
    </row>
    <row r="334">
      <c r="A334">
        <f>Skills!A9</f>
        <v/>
      </c>
      <c r="B334">
        <f>Skills!B9</f>
        <v/>
      </c>
      <c r="C334">
        <f>Inputs!$B$3&gt;=72</f>
        <v/>
      </c>
      <c r="D334">
        <f>IF(Skills!C9=1,60+Inputs!$B$25+Inputs!$B$29,IF(Skills!C9=2,90+Inputs!$B$26+Inputs!$B$29,IF(Skills!C9=3,120+Inputs!$B$27+Inputs!$B$29,MAX(0,(Inputs!$B$3-100)*3)+Inputs!$B$28+Inputs!$B$29)))</f>
        <v/>
      </c>
      <c r="E334">
        <f>INDEX(FactorTable!$B$2:$Y$301, MATCH(ROUND(MIN(300,MAX(1,D334)),0), FactorTable!$A$2:$A$301,0), Skills!M9+1)</f>
        <v/>
      </c>
      <c r="F334">
        <f>IF(Skills!N9=TRUE,(Skills!L9/10)*(E334/1000),Skills!L9/10)+Skills!O9</f>
        <v/>
      </c>
      <c r="G334">
        <f>Skills!G9*IF(Skills!H9&gt;0,IF(Inputs!$B$39="pvp",MIN(Skills!I9,15),Skills!I9)/Skills!H9,1)</f>
        <v/>
      </c>
      <c r="H334">
        <f>1-(1-Skills!J9/100)^Skills!K9</f>
        <v/>
      </c>
      <c r="I334" t="inlineStr">
        <is>
          <t>1</t>
        </is>
      </c>
      <c r="J334">
        <f>((Inputs!$B$6*(1+Inputs!$B$7/100))+(((Inputs!$B$12*(1+Inputs!$B$13/100))-(Inputs!$B$12*(1+Inputs!$B$13/100)))+0.25*(Inputs!$B$14-Inputs!$B$14))*(1+Inputs!$B$7/100))*(F334/100)</f>
        <v/>
      </c>
      <c r="K334">
        <f>J334*(1+((Inputs!$B$12*(1+Inputs!$B$13/100))*0.01+Inputs!$B$14*0.0025)/100)*(1+Inputs!$B$15/100)*(1+Inputs!$B$16/100)*(5000/(6000+Inputs!$B$43*(1-(100*(1-(1-Inputs!$B$19/100)*(1-CHOOSE(ArtifactsInput!$N$40+1,5,6,7,8,9,10)/100)^(ArtifactsInput!$M$40-ArtifactsInput!$M$40)))/100)))*(1+(Inputs!$B$24+((C356=TRUE)*(F356-Calc!F31))+((C343=TRUE)*(F343-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+3.3333333333333335*IF(C344=TRUE,F344,0)/100)*(1+(IF(Skills!A9="CRUEL_STAB",Inputs!$B$17+((C353=TRUE)*(F353-Calc!F28))+((IF(AND(Inputs!$B$39&lt;&gt;"pvp",Inputs!$B$44=0),1,IF(IF(Inputs!$B$39="pvp",15,Inputs!$B$44)-(B370)&lt;=0,1,MAX(0,IF(Inputs!$B$39="pvp",15,Inputs!$B$44)-MAX(5,B370))/(IF(Inputs!$B$39="pvp",15,Inputs!$B$44)-(B370))))*(IF(AND(ArtifactsInput!$M$42,((Inputs!$B$9+((C351=TRUE)*(F351-Calc!F26))+B359+(ArtifactsInput!$M$24-ArtifactsInput!$M$24)*CHOOSE(ArtifactsInput!$N$24+1,10,12,14,16,18,20)+IF(ArtifactsInput!$M$10,CHOOSE(ArtifactsInput!$N$10+1,15,18,21,24,27,30)*(IF(Inputs!$B$39="pvp",MIN(15,15)/15,IF(AND(Inputs!$B$39&lt;&gt;"pvp",Inputs!$B$44&gt;0),MIN(15,Inputs!$B$44)/(Inputs!$B$44),0))),0)))&gt;=100),MIN(100,((Inputs!$B$9+((C351=TRUE)*(F351-Calc!F26))+B359+(ArtifactsInput!$M$24-ArtifactsInput!$M$24)*CHOOSE(ArtifactsInput!$N$24+1,10,12,14,16,18,20)+IF(ArtifactsInput!$M$10,CHOOSE(ArtifactsInput!$N$10+1,15,18,21,24,27,30)*(IF(Inputs!$B$39="pvp",MIN(15,15)/15,IF(AND(Inputs!$B$39&lt;&gt;"pvp",Inputs!$B$44&gt;0),MIN(15,Inputs!$B$44)/(Inputs!$B$44),0))),0)))-100),0))*CHOOSE(ArtifactsInput!$N$42+1,0.6,0.72,0.84,0.96,1.08,1.2))),Inputs!$B$18+((C354=TRUE)*(F354-Calc!F29))+(IF(AND(Inputs!$B$39&lt;&gt;"pvp",Inputs!$B$44=0),1,IF(IF(Inputs!$B$39="pvp",15,Inputs!$B$44)-(B370)&lt;=0,1,MAX(0,IF(Inputs!$B$39="pvp",15,Inputs!$B$44)-MAX(5,B370))/(IF(Inputs!$B$39="pvp",15,Inputs!$B$44)-(B370))))*IF(AND(ArtifactsInput!$M$42,((Inputs!$B$9+((C351=TRUE)*(F351-Calc!F26))+B359+(ArtifactsInput!$M$24-ArtifactsInput!$M$24)*CHOOSE(ArtifactsInput!$N$24+1,10,12,14,16,18,20)+IF(ArtifactsInput!$M$10,CHOOSE(ArtifactsInput!$N$10+1,15,18,21,24,27,30)*(IF(Inputs!$B$39="pvp",MIN(15,15)/15,IF(AND(Inputs!$B$39&lt;&gt;"pvp",Inputs!$B$44&gt;0),MIN(15,Inputs!$B$44)/(Inputs!$B$44),0))),0)))&gt;=100),CHOOSE(ArtifactsInput!$N$42+1,40,48,56,64,72,80),0))))/100)*(((1+(((C347=TRUE)*F347*IF(AND(Inputs!$B$39&lt;&gt;"pvp",Inputs!$B$44&gt;0),(((R347-1)*MIN((Skills!Y22*(1+Inputs!$B$34/100)),(1/Q347))+MIN((Skills!Y22*(1+Inputs!$B$34/100)),MAX(0,Inputs!$B$44-((R347-1)*(1/Q347)))))/Inputs!$B$44),IF(Inputs!$B$39="pvp",MIN((Skills!Y22*(1+Inputs!$B$34/100)),15)/15,MIN(1,(Skills!Y22*(1+Inputs!$B$34/100))/(1/Q347)))))+((C328=TRUE)*F328*3)+((C330=TRUE)*F330*(1-EXP(-0.75*B363*5)))+((C349=TRUE)*(F349-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336=TRUE)*F336*IF(AND(Inputs!$B$39&lt;&gt;"pvp",Inputs!$B$44&gt;0),(((R336-1)*MIN((Skills!Y11*(1+Inputs!$B$34/100)),(1/Q336))+MIN((Skills!Y11*(1+Inputs!$B$34/100)),MAX(0,Inputs!$B$44-((R336-1)*(1/Q336)))))/Inputs!$B$44),IF(Inputs!$B$39="pvp",MIN((Skills!Y11*(1+Inputs!$B$34/100)),15)/15,MIN(1,(Skills!Y11*(1+Inputs!$B$34/100))/(1/Q336)))))/100)*(1+((C341=TRUE)*F341*IF(AND(Inputs!$B$39&lt;&gt;"pvp",Inputs!$B$44&gt;0),(((R341-1)*MIN((Skills!Y16*(1+Inputs!$B$34/100)),(1/Q341))+MIN((Skills!Y16*(1+Inputs!$B$34/100)),MAX(0,Inputs!$B$44-((R341-1)*(1/Q341)))))/Inputs!$B$44),IF(Inputs!$B$39="pvp",MIN((Skills!Y16*(1+Inputs!$B$34/100)),15)/15,MIN(1,(Skills!Y16*(1+Inputs!$B$34/100))/(1/Q341)))))/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361*I334)</f>
        <v/>
      </c>
      <c r="L334">
        <f>K334*(MIN(Inputs!$B$22+((C350=TRUE)*(F350-Calc!F25)),(Inputs!$B$23+((C355=TRUE)*(F355-Calc!F30))+IF(ArtifactsInput!$M$15,CHOOSE(ArtifactsInput!$N$15+1,25,30,35,40,45,50)/100*(Inputs!$B$11-Inputs!$B$11),0)))/100+(Inputs!$B$23+((C355=TRUE)*(F355-Calc!F30))+IF(ArtifactsInput!$M$15,CHOOSE(ArtifactsInput!$N$15+1,25,30,35,40,45,50)/100*(Inputs!$B$11-Inputs!$B$11),0))/100)/2</f>
        <v/>
      </c>
      <c r="M334">
        <f>L334*(1+(Inputs!$B$10+((C352=TRUE)*(F352-Calc!F27))+B366+(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334">
        <f>L334*(1-MIN((Inputs!$B$9+((C351=TRUE)*(F351-Calc!F26))+B359+(ArtifactsInput!$M$24-ArtifactsInput!$M$24)*CHOOSE(ArtifactsInput!$N$24+1,10,12,14,16,18,20)+(IF(AND(Inputs!$B$39&lt;&gt;"pvp",Inputs!$B$44=0),1,IF(IF(Inputs!$B$39="pvp",15,Inputs!$B$44)-(B370)&lt;=0,1,MAX(0,IF(Inputs!$B$39="pvp",15,Inputs!$B$44)-MAX(5,B370))/(IF(Inputs!$B$39="pvp",15,Inputs!$B$44)-(B370))))*IF(AND(ArtifactsInput!$M$42,((Inputs!$B$9+((C351=TRUE)*(F351-Calc!F26))+B359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334*(MIN((Inputs!$B$9+((C351=TRUE)*(F351-Calc!F26))+B359+(ArtifactsInput!$M$24-ArtifactsInput!$M$24)*CHOOSE(ArtifactsInput!$N$24+1,10,12,14,16,18,20)+(IF(AND(Inputs!$B$39&lt;&gt;"pvp",Inputs!$B$44=0),1,IF(IF(Inputs!$B$39="pvp",15,Inputs!$B$44)-(B370)&lt;=0,1,MAX(0,IF(Inputs!$B$39="pvp",15,Inputs!$B$44)-MAX(5,B370))/(IF(Inputs!$B$39="pvp",15,Inputs!$B$44)-(B370))))*IF(AND(ArtifactsInput!$M$42,((Inputs!$B$9+((C351=TRUE)*(F351-Calc!F26))+B359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334">
        <f>(1-Summary!$B$11)*T334+Summary!$B$11*V334</f>
        <v/>
      </c>
      <c r="P334">
        <f>IF(B371=0,0,O334/B371)</f>
        <v/>
      </c>
      <c r="Q334">
        <f>IFERROR(1/IF(Inputs!$B$39="pvp",15,MAX(0.1,Skills!D9-IF(FALSE=TRUE,Inputs!$B$32,0))),0)</f>
        <v/>
      </c>
      <c r="R334">
        <f>IF(AND(Inputs!$B$39&lt;&gt;"pvp",Inputs!$B$44&gt;0),IF(MAX(0,Inputs!$B$44-B370)&lt;=0,0,(INT(MAX(0,Inputs!$B$44-B370)/IF(Inputs!$B$39="pvp",15,MAX(0.1,Skills!D9-IF(FALSE=TRUE,Inputs!$B$32,0))))+1)),0)</f>
        <v/>
      </c>
      <c r="S334">
        <f>IFERROR(O334/N334,0)</f>
        <v/>
      </c>
      <c r="T334">
        <f>IF(C334,(H334*N334*IF(AND(Inputs!$B$39&lt;&gt;"pvp",Inputs!$B$44&gt;0),((Skills!G9*((R334-1)*IF(Skills!H9&gt;0,Skills!I9/Skills!H9,1)+IF(Skills!H9&gt;0,MIN(Skills!I9,MAX(0,MAX(0,Inputs!$B$44-B370)-((R334-1)*IF(Inputs!$B$39="pvp",15,MAX(0.1,Skills!D9-IF(FALSE=TRUE,Inputs!$B$32,0))))))/Skills!H9,1)))/Inputs!$B$44),G334*Q334))*IF(Inputs!$B$39="pvp",1,1+((Inputs!$B$20+1)+0+Skills!P9+B360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Hunt"),CHOOSE(ArtifactsInput!$N$35+1,15,18,21,24,27,30)*(1-EXP(-(0.2*B363)*5)),0)+IF(AND(ArtifactsInput!$M$22,Inputs!$B$4&lt;&gt;"Chapter Hunt"),CHOOSE(ArtifactsInput!$N$22+1,10,12,14,16,18,20)*((0*(((0.15*B363*5))^0/1)+1*(((0.15*B363*5))^1/1)+2*(((0.15*B363*5))^2/2)+3*(((0.15*B363*5))^3/6)+4*(((0.15*B363*5))^4/24)+5*(((0.15*B363*5))^5/120))/((((0.15*B363*5))^0/1)+(((0.15*B363*5))^1/1)+(((0.15*B363*5))^2/2)+(((0.15*B363*5))^3/6)+(((0.15*B363*5))^4/24)+(((0.15*B363*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334*(1-MIN(100,(Inputs!$B$9+((C351=TRUE)*(F351-Calc!F26))+B359+(ArtifactsInput!$M$24-ArtifactsInput!$M$24)*CHOOSE(ArtifactsInput!$N$24+1,10,12,14,16,18,20)+(IF(AND(Inputs!$B$39&lt;&gt;"pvp",Inputs!$B$44=0),1,IF(IF(Inputs!$B$39="pvp",15,Inputs!$B$44)-(B370)&lt;=0,1,MAX(0,IF(Inputs!$B$39="pvp",15,Inputs!$B$44)-MAX(5,B370))/(IF(Inputs!$B$39="pvp",15,Inputs!$B$44)-(B370))))*IF(AND(ArtifactsInput!$M$42,((Inputs!$B$9+((C351=TRUE)*(F351-Calc!F26))+B359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334*(MIN(100,(Inputs!$B$9+((C351=TRUE)*(F351-Calc!F26))+B359+(ArtifactsInput!$M$24-ArtifactsInput!$M$24)*CHOOSE(ArtifactsInput!$N$24+1,10,12,14,16,18,20)+(IF(AND(Inputs!$B$39&lt;&gt;"pvp",Inputs!$B$44=0),1,IF(IF(Inputs!$B$39="pvp",15,Inputs!$B$44)-(B370)&lt;=0,1,MAX(0,IF(Inputs!$B$39="pvp",15,Inputs!$B$44)-MAX(5,B370))/(IF(Inputs!$B$39="pvp",15,Inputs!$B$44)-(B370))))*IF(AND(ArtifactsInput!$M$42,((Inputs!$B$9+((C351=TRUE)*(F351-Calc!F26))+B359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334*(1-MIN(100,(Inputs!$B$9+((C351=TRUE)*(F351-Calc!F26))+B359+(ArtifactsInput!$M$24-ArtifactsInput!$M$24)*CHOOSE(ArtifactsInput!$N$24+1,10,12,14,16,18,20)+(IF(AND(Inputs!$B$39&lt;&gt;"pvp",Inputs!$B$44=0),1,IF(IF(Inputs!$B$39="pvp",15,Inputs!$B$44)-(B370)&lt;=0,1,MAX(0,IF(Inputs!$B$39="pvp",15,Inputs!$B$44)-MAX(5,B370))/(IF(Inputs!$B$39="pvp",15,Inputs!$B$44)-(B370))))*IF(AND(ArtifactsInput!$M$42,((Inputs!$B$9+((C351=TRUE)*(F351-Calc!F26))+B359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334*(MIN(100,(Inputs!$B$9+((C351=TRUE)*(F351-Calc!F26))+B359+(ArtifactsInput!$M$24-ArtifactsInput!$M$24)*CHOOSE(ArtifactsInput!$N$24+1,10,12,14,16,18,20)+(IF(AND(Inputs!$B$39&lt;&gt;"pvp",Inputs!$B$44=0),1,IF(IF(Inputs!$B$39="pvp",15,Inputs!$B$44)-(B370)&lt;=0,1,MAX(0,IF(Inputs!$B$39="pvp",15,Inputs!$B$44)-MAX(5,B370))/(IF(Inputs!$B$39="pvp",15,Inputs!$B$44)-(B370))))*IF(AND(ArtifactsInput!$M$42,((Inputs!$B$9+((C351=TRUE)*(F351-Calc!F26))+B359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334">
        <f>IF(C334,(H334*N334*IF(AND(Inputs!$B$39&lt;&gt;"pvp",Inputs!$B$44&gt;0),((Skills!G9*((R334-1)*IF(Skills!H9&gt;0,Skills!I9/Skills!H9,1)+IF(Skills!H9&gt;0,MIN(Skills!I9,MAX(0,MAX(0,Inputs!$B$44-B370)-((R334-1)*IF(Inputs!$B$39="pvp",15,MAX(0.1,Skills!D9-IF(FALSE=TRUE,Inputs!$B$32,0))))))/Skills!H9,1)))/Inputs!$B$44),G334*Q334))*IF(Inputs!$B$39="pvp",1,(1+(Inputs!$B$21+Skills!Q9+B360+(IF(ArtifactsInput!$M$33,CHOOSE(ArtifactsInput!$N$33+1,30,36,42,48,54,60),0))+(IF(AND(ArtifactsInput!$M$35,Inputs!$B$4&lt;&gt;"Chapter Hunt"),CHOOSE(ArtifactsInput!$N$35+1,15,18,21,24,27,30)*(1-EXP(-(0.2*B363)*5)),0)+IF(AND(ArtifactsInput!$M$22,Inputs!$B$4&lt;&gt;"Chapter Hunt"),CHOOSE(ArtifactsInput!$N$22+1,10,12,14,16,18,20)*((0*(((0.15*B363*5))^0/1)+1*(((0.15*B363*5))^1/1)+2*(((0.15*B363*5))^2/2)+3*(((0.15*B363*5))^3/6)+4*(((0.15*B363*5))^4/24)+5*(((0.15*B363*5))^5/120))/((((0.15*B363*5))^0/1)+(((0.15*B363*5))^1/1)+(((0.15*B363*5))^2/2)+(((0.15*B363*5))^3/6)+(((0.15*B363*5))^4/24)+(((0.15*B363*5))^5/120))),0)))/100)*(MIN(Skills!W9,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335">
      <c r="A335">
        <f>Skills!A10</f>
        <v/>
      </c>
      <c r="B335">
        <f>Skills!B10</f>
        <v/>
      </c>
      <c r="C335">
        <f>Inputs!$B$3&gt;=117</f>
        <v/>
      </c>
      <c r="D335">
        <f>IF(Skills!C10=1,60+Inputs!$B$25+Inputs!$B$29,IF(Skills!C10=2,90+Inputs!$B$26+Inputs!$B$29,IF(Skills!C10=3,120+Inputs!$B$27+Inputs!$B$29,MAX(0,(Inputs!$B$3-100)*3)+Inputs!$B$28+Inputs!$B$29)))</f>
        <v/>
      </c>
      <c r="E335">
        <f>INDEX(FactorTable!$B$2:$Y$301, MATCH(ROUND(MIN(300,MAX(1,D335)),0), FactorTable!$A$2:$A$301,0), Skills!M10+1)</f>
        <v/>
      </c>
      <c r="F335">
        <f>IF(Skills!N10=TRUE,(Skills!L10/10)*(E335/1000),Skills!L10/10)+Skills!O10</f>
        <v/>
      </c>
      <c r="G335">
        <f>Skills!G10*IF(Skills!H10&gt;0,IF(Inputs!$B$39="pvp",MIN(Skills!I10,15),Skills!I10)/Skills!H10,1)</f>
        <v/>
      </c>
      <c r="H335">
        <f>1-(1-Skills!J10/100)^Skills!K10</f>
        <v/>
      </c>
      <c r="I335" t="inlineStr">
        <is>
          <t>1</t>
        </is>
      </c>
      <c r="J335">
        <f>((Inputs!$B$6*(1+Inputs!$B$7/100))+(((Inputs!$B$12*(1+Inputs!$B$13/100))-(Inputs!$B$12*(1+Inputs!$B$13/100)))+0.25*(Inputs!$B$14-Inputs!$B$14))*(1+Inputs!$B$7/100))*(F335/100)</f>
        <v/>
      </c>
      <c r="K335">
        <f>J335*(1+((Inputs!$B$12*(1+Inputs!$B$13/100))*0.01+Inputs!$B$14*0.0025)/100)*(1+Inputs!$B$15/100)*(1+Inputs!$B$16/100)*(5000/(6000+Inputs!$B$43*(1-(100*(1-(1-Inputs!$B$19/100)*(1-CHOOSE(ArtifactsInput!$N$40+1,5,6,7,8,9,10)/100)^(ArtifactsInput!$M$40-ArtifactsInput!$M$40)))/100)))*(1+(Inputs!$B$24+((C356=TRUE)*(F356-Calc!F31))+((C343=TRUE)*(F343-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10="CRUEL_STAB",Inputs!$B$17+((C353=TRUE)*(F353-Calc!F28))+((IF(AND(Inputs!$B$39&lt;&gt;"pvp",Inputs!$B$44=0),1,IF(IF(Inputs!$B$39="pvp",15,Inputs!$B$44)-(B370)&lt;=0,1,MAX(0,IF(Inputs!$B$39="pvp",15,Inputs!$B$44)-MAX(5,B370))/(IF(Inputs!$B$39="pvp",15,Inputs!$B$44)-(B370))))*(IF(AND(ArtifactsInput!$M$42,((Inputs!$B$9+((C351=TRUE)*(F351-Calc!F26))+B359+(ArtifactsInput!$M$24-ArtifactsInput!$M$24)*CHOOSE(ArtifactsInput!$N$24+1,10,12,14,16,18,20)+IF(ArtifactsInput!$M$10,CHOOSE(ArtifactsInput!$N$10+1,15,18,21,24,27,30)*(IF(Inputs!$B$39="pvp",MIN(15,15)/15,IF(AND(Inputs!$B$39&lt;&gt;"pvp",Inputs!$B$44&gt;0),MIN(15,Inputs!$B$44)/(Inputs!$B$44),0))),0)))&gt;=100),MIN(100,((Inputs!$B$9+((C351=TRUE)*(F351-Calc!F26))+B359+(ArtifactsInput!$M$24-ArtifactsInput!$M$24)*CHOOSE(ArtifactsInput!$N$24+1,10,12,14,16,18,20)+IF(ArtifactsInput!$M$10,CHOOSE(ArtifactsInput!$N$10+1,15,18,21,24,27,30)*(IF(Inputs!$B$39="pvp",MIN(15,15)/15,IF(AND(Inputs!$B$39&lt;&gt;"pvp",Inputs!$B$44&gt;0),MIN(15,Inputs!$B$44)/(Inputs!$B$44),0))),0)))-100),0))*CHOOSE(ArtifactsInput!$N$42+1,0.6,0.72,0.84,0.96,1.08,1.2))),Inputs!$B$18+((C354=TRUE)*(F354-Calc!F29))+(IF(AND(Inputs!$B$39&lt;&gt;"pvp",Inputs!$B$44=0),1,IF(IF(Inputs!$B$39="pvp",15,Inputs!$B$44)-(B370)&lt;=0,1,MAX(0,IF(Inputs!$B$39="pvp",15,Inputs!$B$44)-MAX(5,B370))/(IF(Inputs!$B$39="pvp",15,Inputs!$B$44)-(B370))))*IF(AND(ArtifactsInput!$M$42,((Inputs!$B$9+((C351=TRUE)*(F351-Calc!F26))+B359+(ArtifactsInput!$M$24-ArtifactsInput!$M$24)*CHOOSE(ArtifactsInput!$N$24+1,10,12,14,16,18,20)+IF(ArtifactsInput!$M$10,CHOOSE(ArtifactsInput!$N$10+1,15,18,21,24,27,30)*(IF(Inputs!$B$39="pvp",MIN(15,15)/15,IF(AND(Inputs!$B$39&lt;&gt;"pvp",Inputs!$B$44&gt;0),MIN(15,Inputs!$B$44)/(Inputs!$B$44),0))),0)))&gt;=100),CHOOSE(ArtifactsInput!$N$42+1,40,48,56,64,72,80),0))))/100)*(((1+(((C347=TRUE)*F347*IF(AND(Inputs!$B$39&lt;&gt;"pvp",Inputs!$B$44&gt;0),(((R347-1)*MIN((Skills!Y22*(1+Inputs!$B$34/100)),(1/Q347))+MIN((Skills!Y22*(1+Inputs!$B$34/100)),MAX(0,Inputs!$B$44-((R347-1)*(1/Q347)))))/Inputs!$B$44),IF(Inputs!$B$39="pvp",MIN((Skills!Y22*(1+Inputs!$B$34/100)),15)/15,MIN(1,(Skills!Y22*(1+Inputs!$B$34/100))/(1/Q347)))))+((C328=TRUE)*F328*3)+((C330=TRUE)*F330*(1-EXP(-0.75*B363*5)))+((C349=TRUE)*(F349-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336=TRUE)*F336*IF(AND(Inputs!$B$39&lt;&gt;"pvp",Inputs!$B$44&gt;0),(((R336-1)*MIN((Skills!Y11*(1+Inputs!$B$34/100)),(1/Q336))+MIN((Skills!Y11*(1+Inputs!$B$34/100)),MAX(0,Inputs!$B$44-((R336-1)*(1/Q336)))))/Inputs!$B$44),IF(Inputs!$B$39="pvp",MIN((Skills!Y11*(1+Inputs!$B$34/100)),15)/15,MIN(1,(Skills!Y11*(1+Inputs!$B$34/100))/(1/Q336)))))/100)*(1+((C341=TRUE)*F341*IF(AND(Inputs!$B$39&lt;&gt;"pvp",Inputs!$B$44&gt;0),(((R341-1)*MIN((Skills!Y16*(1+Inputs!$B$34/100)),(1/Q341))+MIN((Skills!Y16*(1+Inputs!$B$34/100)),MAX(0,Inputs!$B$44-((R341-1)*(1/Q341)))))/Inputs!$B$44),IF(Inputs!$B$39="pvp",MIN((Skills!Y16*(1+Inputs!$B$34/100)),15)/15,MIN(1,(Skills!Y16*(1+Inputs!$B$34/100))/(1/Q341)))))/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361*I335)</f>
        <v/>
      </c>
      <c r="L335">
        <f>K335*(MIN(Inputs!$B$22+((C350=TRUE)*(F350-Calc!F25)),(Inputs!$B$23+((C355=TRUE)*(F355-Calc!F30))+IF(ArtifactsInput!$M$15,CHOOSE(ArtifactsInput!$N$15+1,25,30,35,40,45,50)/100*(Inputs!$B$11-Inputs!$B$11),0)))/100+(Inputs!$B$23+((C355=TRUE)*(F355-Calc!F30))+IF(ArtifactsInput!$M$15,CHOOSE(ArtifactsInput!$N$15+1,25,30,35,40,45,50)/100*(Inputs!$B$11-Inputs!$B$11),0))/100)/2</f>
        <v/>
      </c>
      <c r="M335">
        <f>L335*(1+(Inputs!$B$10+((C352=TRUE)*(F352-Calc!F27))+B366+(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335">
        <f>L335*(1-MIN((Inputs!$B$9+((C351=TRUE)*(F351-Calc!F26))+B359+(ArtifactsInput!$M$24-ArtifactsInput!$M$24)*CHOOSE(ArtifactsInput!$N$24+1,10,12,14,16,18,20)+(IF(AND(Inputs!$B$39&lt;&gt;"pvp",Inputs!$B$44=0),1,IF(IF(Inputs!$B$39="pvp",15,Inputs!$B$44)-(B370)&lt;=0,1,MAX(0,IF(Inputs!$B$39="pvp",15,Inputs!$B$44)-MAX(5,B370))/(IF(Inputs!$B$39="pvp",15,Inputs!$B$44)-(B370))))*IF(AND(ArtifactsInput!$M$42,((Inputs!$B$9+((C351=TRUE)*(F351-Calc!F26))+B359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335*(MIN((Inputs!$B$9+((C351=TRUE)*(F351-Calc!F26))+B359+(ArtifactsInput!$M$24-ArtifactsInput!$M$24)*CHOOSE(ArtifactsInput!$N$24+1,10,12,14,16,18,20)+(IF(AND(Inputs!$B$39&lt;&gt;"pvp",Inputs!$B$44=0),1,IF(IF(Inputs!$B$39="pvp",15,Inputs!$B$44)-(B370)&lt;=0,1,MAX(0,IF(Inputs!$B$39="pvp",15,Inputs!$B$44)-MAX(5,B370))/(IF(Inputs!$B$39="pvp",15,Inputs!$B$44)-(B370))))*IF(AND(ArtifactsInput!$M$42,((Inputs!$B$9+((C351=TRUE)*(F351-Calc!F26))+B359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335">
        <f>(1-Summary!$B$11)*T335+Summary!$B$11*V335</f>
        <v/>
      </c>
      <c r="P335">
        <f>IF(B371=0,0,O335/B371)</f>
        <v/>
      </c>
      <c r="Q335" t="n">
        <v>0</v>
      </c>
      <c r="R335" t="n">
        <v>0</v>
      </c>
      <c r="S335" t="n">
        <v>0</v>
      </c>
      <c r="T335">
        <f>IF(C335,(0.2*SUMPRODUCT((Skills!Z2:Z31=TRUE)*(C327:C356=TRUE)*S327:S356)*N335)*IF(Inputs!$B$39="pvp",1,1+((Inputs!$B$20+1)+0+Skills!P10+B360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Hunt"),CHOOSE(ArtifactsInput!$N$35+1,15,18,21,24,27,30)*(1-EXP(-(0.2*B363)*5)),0)+IF(AND(ArtifactsInput!$M$22,Inputs!$B$4&lt;&gt;"Chapter Hunt"),CHOOSE(ArtifactsInput!$N$22+1,10,12,14,16,18,20)*((0*(((0.15*B363*5))^0/1)+1*(((0.15*B363*5))^1/1)+2*(((0.15*B363*5))^2/2)+3*(((0.15*B363*5))^3/6)+4*(((0.15*B363*5))^4/24)+5*(((0.15*B363*5))^5/120))/((((0.15*B363*5))^0/1)+(((0.15*B363*5))^1/1)+(((0.15*B363*5))^2/2)+(((0.15*B363*5))^3/6)+(((0.15*B363*5))^4/24)+(((0.15*B363*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335*(1-MIN(100,(Inputs!$B$9+((C351=TRUE)*(F351-Calc!F26))+B359+(ArtifactsInput!$M$24-ArtifactsInput!$M$24)*CHOOSE(ArtifactsInput!$N$24+1,10,12,14,16,18,20)+(IF(AND(Inputs!$B$39&lt;&gt;"pvp",Inputs!$B$44=0),1,IF(IF(Inputs!$B$39="pvp",15,Inputs!$B$44)-(B370)&lt;=0,1,MAX(0,IF(Inputs!$B$39="pvp",15,Inputs!$B$44)-MAX(5,B370))/(IF(Inputs!$B$39="pvp",15,Inputs!$B$44)-(B370))))*IF(AND(ArtifactsInput!$M$42,((Inputs!$B$9+((C351=TRUE)*(F351-Calc!F26))+B359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335*(MIN(100,(Inputs!$B$9+((C351=TRUE)*(F351-Calc!F26))+B359+(ArtifactsInput!$M$24-ArtifactsInput!$M$24)*CHOOSE(ArtifactsInput!$N$24+1,10,12,14,16,18,20)+(IF(AND(Inputs!$B$39&lt;&gt;"pvp",Inputs!$B$44=0),1,IF(IF(Inputs!$B$39="pvp",15,Inputs!$B$44)-(B370)&lt;=0,1,MAX(0,IF(Inputs!$B$39="pvp",15,Inputs!$B$44)-MAX(5,B370))/(IF(Inputs!$B$39="pvp",15,Inputs!$B$44)-(B370))))*IF(AND(ArtifactsInput!$M$42,((Inputs!$B$9+((C351=TRUE)*(F351-Calc!F26))+B359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335*(1-MIN(100,(Inputs!$B$9+((C351=TRUE)*(F351-Calc!F26))+B359+(ArtifactsInput!$M$24-ArtifactsInput!$M$24)*CHOOSE(ArtifactsInput!$N$24+1,10,12,14,16,18,20)+(IF(AND(Inputs!$B$39&lt;&gt;"pvp",Inputs!$B$44=0),1,IF(IF(Inputs!$B$39="pvp",15,Inputs!$B$44)-(B370)&lt;=0,1,MAX(0,IF(Inputs!$B$39="pvp",15,Inputs!$B$44)-MAX(5,B370))/(IF(Inputs!$B$39="pvp",15,Inputs!$B$44)-(B370))))*IF(AND(ArtifactsInput!$M$42,((Inputs!$B$9+((C351=TRUE)*(F351-Calc!F26))+B359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335*(MIN(100,(Inputs!$B$9+((C351=TRUE)*(F351-Calc!F26))+B359+(ArtifactsInput!$M$24-ArtifactsInput!$M$24)*CHOOSE(ArtifactsInput!$N$24+1,10,12,14,16,18,20)+(IF(AND(Inputs!$B$39&lt;&gt;"pvp",Inputs!$B$44=0),1,IF(IF(Inputs!$B$39="pvp",15,Inputs!$B$44)-(B370)&lt;=0,1,MAX(0,IF(Inputs!$B$39="pvp",15,Inputs!$B$44)-MAX(5,B370))/(IF(Inputs!$B$39="pvp",15,Inputs!$B$44)-(B370))))*IF(AND(ArtifactsInput!$M$42,((Inputs!$B$9+((C351=TRUE)*(F351-Calc!F26))+B359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335">
        <f>IF(C335,(0.2*SUMPRODUCT((Skills!Z2:Z31=TRUE)*(C327:C356=TRUE)*S327:S356)*N335)*IF(Inputs!$B$39="pvp",1,(1+(Inputs!$B$21+Skills!Q10+B360+(IF(ArtifactsInput!$M$33,CHOOSE(ArtifactsInput!$N$33+1,30,36,42,48,54,60),0))+(IF(AND(ArtifactsInput!$M$35,Inputs!$B$4&lt;&gt;"Chapter Hunt"),CHOOSE(ArtifactsInput!$N$35+1,15,18,21,24,27,30)*(1-EXP(-(0.2*B363)*5)),0)+IF(AND(ArtifactsInput!$M$22,Inputs!$B$4&lt;&gt;"Chapter Hunt"),CHOOSE(ArtifactsInput!$N$22+1,10,12,14,16,18,20)*((0*(((0.15*B363*5))^0/1)+1*(((0.15*B363*5))^1/1)+2*(((0.15*B363*5))^2/2)+3*(((0.15*B363*5))^3/6)+4*(((0.15*B363*5))^4/24)+5*(((0.15*B363*5))^5/120))/((((0.15*B363*5))^0/1)+(((0.15*B363*5))^1/1)+(((0.15*B363*5))^2/2)+(((0.15*B363*5))^3/6)+(((0.15*B363*5))^4/24)+(((0.15*B363*5))^5/120))),0)))/100)*(MIN(Skills!W10,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336">
      <c r="A336">
        <f>Skills!A11</f>
        <v/>
      </c>
      <c r="B336">
        <f>Skills!B11</f>
        <v/>
      </c>
      <c r="C336">
        <f>Inputs!$B$3&gt;=74</f>
        <v/>
      </c>
      <c r="D336">
        <f>IF(Skills!C11=1,60+Inputs!$B$25+Inputs!$B$29,IF(Skills!C11=2,90+Inputs!$B$26+Inputs!$B$29,IF(Skills!C11=3,120+Inputs!$B$27+Inputs!$B$29,MAX(0,(Inputs!$B$3-100)*3)+Inputs!$B$28+Inputs!$B$29)))</f>
        <v/>
      </c>
      <c r="E336">
        <f>INDEX(FactorTable!$B$2:$Y$301, MATCH(ROUND(MIN(300,MAX(1,D336)),0), FactorTable!$A$2:$A$301,0), Skills!M11+1)</f>
        <v/>
      </c>
      <c r="F336">
        <f>IF(Skills!N11=TRUE,(Skills!L11/10)*(E336/1000),Skills!L11/10)+Skills!O11</f>
        <v/>
      </c>
      <c r="G336">
        <f>Skills!G11*IF(Skills!H11&gt;0,IF(Inputs!$B$39="pvp",MIN(Skills!I11,15),Skills!I11)/Skills!H11,1)</f>
        <v/>
      </c>
      <c r="H336">
        <f>1-(1-Skills!J11/100)^Skills!K11</f>
        <v/>
      </c>
      <c r="I336" t="inlineStr">
        <is>
          <t>1</t>
        </is>
      </c>
      <c r="J336" t="inlineStr"/>
      <c r="K336" t="inlineStr"/>
      <c r="L336" t="inlineStr"/>
      <c r="M336" t="inlineStr"/>
      <c r="N336" t="inlineStr"/>
      <c r="O336">
        <f>(1-Summary!$B$11)*T336+Summary!$B$11*V336</f>
        <v/>
      </c>
      <c r="P336">
        <f>IF(B371=0,0,O336/B371)</f>
        <v/>
      </c>
      <c r="Q336">
        <f>IFERROR(1/IF(Inputs!$B$39="pvp",15,MAX(0.1,Skills!D11-IF(TRUE=TRUE,Inputs!$B$32,0))),0)</f>
        <v/>
      </c>
      <c r="R336">
        <f>IF(AND(Inputs!$B$39&lt;&gt;"pvp",Inputs!$B$44&gt;0),IF(Inputs!$B$44&lt;=0,0,(INT(Inputs!$B$44/IF(Inputs!$B$39="pvp",15,MAX(0.1,Skills!D11-IF(TRUE=TRUE,Inputs!$B$32,0))))+1)),0)</f>
        <v/>
      </c>
      <c r="S336">
        <f>IFERROR(O336/N336,0)</f>
        <v/>
      </c>
      <c r="T336" t="n">
        <v>0</v>
      </c>
      <c r="V336" t="n">
        <v>0</v>
      </c>
    </row>
    <row r="337">
      <c r="A337">
        <f>Skills!A12</f>
        <v/>
      </c>
      <c r="B337">
        <f>Skills!B12</f>
        <v/>
      </c>
      <c r="C337">
        <f>Inputs!$B$3&gt;=103</f>
        <v/>
      </c>
      <c r="D337">
        <f>IF(Skills!C12=1,60+Inputs!$B$25+Inputs!$B$29,IF(Skills!C12=2,90+Inputs!$B$26+Inputs!$B$29,IF(Skills!C12=3,120+Inputs!$B$27+Inputs!$B$29,MAX(0,(Inputs!$B$3-100)*3)+Inputs!$B$28+Inputs!$B$29)))</f>
        <v/>
      </c>
      <c r="E337">
        <f>INDEX(FactorTable!$B$2:$Y$301, MATCH(ROUND(MIN(300,MAX(1,D337)),0), FactorTable!$A$2:$A$301,0), Skills!M12+1)</f>
        <v/>
      </c>
      <c r="F337">
        <f>(Skills!L12/10)*(E337/1000)+IF(Inputs!$B$3&gt;=134,50,0)+0.5*(30000/10)*(INDEX(FactorTable!$B$2:$Y$301, MATCH(ROUND(MIN(300,MAX(1,D337)),0), FactorTable!$A$2:$A$301,0), 13)/1000)*B369</f>
        <v/>
      </c>
      <c r="G337">
        <f>Skills!G12*IF(Skills!H12&gt;0,IF(Inputs!$B$39="pvp",MIN(Skills!I12,15),Skills!I12)/Skills!H12,1)</f>
        <v/>
      </c>
      <c r="H337">
        <f>1-(1-Skills!J12/100)^Skills!K12</f>
        <v/>
      </c>
      <c r="I337" t="inlineStr">
        <is>
          <t>1</t>
        </is>
      </c>
      <c r="J337">
        <f>((Inputs!$B$6*(1+Inputs!$B$7/100))+(((Inputs!$B$12*(1+Inputs!$B$13/100))-(Inputs!$B$12*(1+Inputs!$B$13/100)))+0.25*(Inputs!$B$14-Inputs!$B$14))*(1+Inputs!$B$7/100))*(F337/100)</f>
        <v/>
      </c>
      <c r="K337">
        <f>J337*(1+((Inputs!$B$12*(1+Inputs!$B$13/100))*0.01+Inputs!$B$14*0.0025)/100)*(1+Inputs!$B$15/100)*(1+Inputs!$B$16/100)*(5000/(6000+Inputs!$B$43*(1-(100*(1-(1-Inputs!$B$19/100)*(1-CHOOSE(ArtifactsInput!$N$40+1,5,6,7,8,9,10)/100)^(ArtifactsInput!$M$40-ArtifactsInput!$M$40)))/100)))*(1+(Inputs!$B$24+((C356=TRUE)*(F356-Calc!F31))+((C343=TRUE)*(F343-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12="CRUEL_STAB",Inputs!$B$17+((C353=TRUE)*(F353-Calc!F28))+((IF(AND(Inputs!$B$39&lt;&gt;"pvp",Inputs!$B$44=0),1,IF(IF(Inputs!$B$39="pvp",15,Inputs!$B$44)-(B370)&lt;=0,1,MAX(0,IF(Inputs!$B$39="pvp",15,Inputs!$B$44)-MAX(5,B370))/(IF(Inputs!$B$39="pvp",15,Inputs!$B$44)-(B370))))*(IF(AND(ArtifactsInput!$M$42,((Inputs!$B$9+((C351=TRUE)*(F351-Calc!F26))+B359+(ArtifactsInput!$M$24-ArtifactsInput!$M$24)*CHOOSE(ArtifactsInput!$N$24+1,10,12,14,16,18,20)+IF(ArtifactsInput!$M$10,CHOOSE(ArtifactsInput!$N$10+1,15,18,21,24,27,30)*(IF(Inputs!$B$39="pvp",MIN(15,15)/15,IF(AND(Inputs!$B$39&lt;&gt;"pvp",Inputs!$B$44&gt;0),MIN(15,Inputs!$B$44)/(Inputs!$B$44),0))),0)))&gt;=100),MIN(100,((Inputs!$B$9+((C351=TRUE)*(F351-Calc!F26))+B359+(ArtifactsInput!$M$24-ArtifactsInput!$M$24)*CHOOSE(ArtifactsInput!$N$24+1,10,12,14,16,18,20)+IF(ArtifactsInput!$M$10,CHOOSE(ArtifactsInput!$N$10+1,15,18,21,24,27,30)*(IF(Inputs!$B$39="pvp",MIN(15,15)/15,IF(AND(Inputs!$B$39&lt;&gt;"pvp",Inputs!$B$44&gt;0),MIN(15,Inputs!$B$44)/(Inputs!$B$44),0))),0)))-100),0))*CHOOSE(ArtifactsInput!$N$42+1,0.6,0.72,0.84,0.96,1.08,1.2))),Inputs!$B$18+((C354=TRUE)*(F354-Calc!F29))+(IF(AND(Inputs!$B$39&lt;&gt;"pvp",Inputs!$B$44=0),1,IF(IF(Inputs!$B$39="pvp",15,Inputs!$B$44)-(B370)&lt;=0,1,MAX(0,IF(Inputs!$B$39="pvp",15,Inputs!$B$44)-MAX(5,B370))/(IF(Inputs!$B$39="pvp",15,Inputs!$B$44)-(B370))))*IF(AND(ArtifactsInput!$M$42,((Inputs!$B$9+((C351=TRUE)*(F351-Calc!F26))+B359+(ArtifactsInput!$M$24-ArtifactsInput!$M$24)*CHOOSE(ArtifactsInput!$N$24+1,10,12,14,16,18,20)+IF(ArtifactsInput!$M$10,CHOOSE(ArtifactsInput!$N$10+1,15,18,21,24,27,30)*(IF(Inputs!$B$39="pvp",MIN(15,15)/15,IF(AND(Inputs!$B$39&lt;&gt;"pvp",Inputs!$B$44&gt;0),MIN(15,Inputs!$B$44)/(Inputs!$B$44),0))),0)))&gt;=100),CHOOSE(ArtifactsInput!$N$42+1,40,48,56,64,72,80),0))))/100)*(((1+(((C347=TRUE)*F347*IF(AND(Inputs!$B$39&lt;&gt;"pvp",Inputs!$B$44&gt;0),(((R347-1)*MIN((Skills!Y22*(1+Inputs!$B$34/100)),(1/Q347))+MIN((Skills!Y22*(1+Inputs!$B$34/100)),MAX(0,Inputs!$B$44-((R347-1)*(1/Q347)))))/Inputs!$B$44),IF(Inputs!$B$39="pvp",MIN((Skills!Y22*(1+Inputs!$B$34/100)),15)/15,MIN(1,(Skills!Y22*(1+Inputs!$B$34/100))/(1/Q347)))))+((C328=TRUE)*F328*3)+((C330=TRUE)*F330*(1-EXP(-0.75*B363*5)))+((C349=TRUE)*(F349-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336=TRUE)*F336*IF(AND(Inputs!$B$39&lt;&gt;"pvp",Inputs!$B$44&gt;0),(((R336-1)*MIN((Skills!Y11*(1+Inputs!$B$34/100)),(1/Q336))+MIN((Skills!Y11*(1+Inputs!$B$34/100)),MAX(0,Inputs!$B$44-((R336-1)*(1/Q336)))))/Inputs!$B$44),IF(Inputs!$B$39="pvp",MIN((Skills!Y11*(1+Inputs!$B$34/100)),15)/15,MIN(1,(Skills!Y11*(1+Inputs!$B$34/100))/(1/Q336)))))/100)*(1+((C341=TRUE)*F341*IF(AND(Inputs!$B$39&lt;&gt;"pvp",Inputs!$B$44&gt;0),(((R341-1)*MIN((Skills!Y16*(1+Inputs!$B$34/100)),(1/Q341))+MIN((Skills!Y16*(1+Inputs!$B$34/100)),MAX(0,Inputs!$B$44-((R341-1)*(1/Q341)))))/Inputs!$B$44),IF(Inputs!$B$39="pvp",MIN((Skills!Y16*(1+Inputs!$B$34/100)),15)/15,MIN(1,(Skills!Y16*(1+Inputs!$B$34/100))/(1/Q341)))))/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361*I337)</f>
        <v/>
      </c>
      <c r="L337">
        <f>K337*(MIN(Inputs!$B$22+((C350=TRUE)*(F350-Calc!F25)),(Inputs!$B$23+((C355=TRUE)*(F355-Calc!F30))+IF(ArtifactsInput!$M$15,CHOOSE(ArtifactsInput!$N$15+1,25,30,35,40,45,50)/100*(Inputs!$B$11-Inputs!$B$11),0)))/100+(Inputs!$B$23+((C355=TRUE)*(F355-Calc!F30))+IF(ArtifactsInput!$M$15,CHOOSE(ArtifactsInput!$N$15+1,25,30,35,40,45,50)/100*(Inputs!$B$11-Inputs!$B$11),0))/100)/2</f>
        <v/>
      </c>
      <c r="M337">
        <f>L337*(1+(Inputs!$B$10+((C352=TRUE)*(F352-Calc!F27))+B366+(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337">
        <f>L337*(1-MIN((Inputs!$B$9+((C351=TRUE)*(F351-Calc!F26))+B359+(ArtifactsInput!$M$24-ArtifactsInput!$M$24)*CHOOSE(ArtifactsInput!$N$24+1,10,12,14,16,18,20)+(IF(AND(Inputs!$B$39&lt;&gt;"pvp",Inputs!$B$44=0),1,IF(IF(Inputs!$B$39="pvp",15,Inputs!$B$44)-(B370)&lt;=0,1,MAX(0,IF(Inputs!$B$39="pvp",15,Inputs!$B$44)-MAX(5,B370))/(IF(Inputs!$B$39="pvp",15,Inputs!$B$44)-(B370))))*IF(AND(ArtifactsInput!$M$42,((Inputs!$B$9+((C351=TRUE)*(F351-Calc!F26))+B359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337*(MIN((Inputs!$B$9+((C351=TRUE)*(F351-Calc!F26))+B359+(ArtifactsInput!$M$24-ArtifactsInput!$M$24)*CHOOSE(ArtifactsInput!$N$24+1,10,12,14,16,18,20)+(IF(AND(Inputs!$B$39&lt;&gt;"pvp",Inputs!$B$44=0),1,IF(IF(Inputs!$B$39="pvp",15,Inputs!$B$44)-(B370)&lt;=0,1,MAX(0,IF(Inputs!$B$39="pvp",15,Inputs!$B$44)-MAX(5,B370))/(IF(Inputs!$B$39="pvp",15,Inputs!$B$44)-(B370))))*IF(AND(ArtifactsInput!$M$42,((Inputs!$B$9+((C351=TRUE)*(F351-Calc!F26))+B359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337">
        <f>(1-Summary!$B$11)*T337+Summary!$B$11*V337</f>
        <v/>
      </c>
      <c r="P337">
        <f>IF(B371=0,0,O337/B371)</f>
        <v/>
      </c>
      <c r="Q337">
        <f>IFERROR(1/IF(Inputs!$B$39="pvp",15,MAX(0.1,Skills!D12-IF(TRUE=TRUE,Inputs!$B$32,0))),0)</f>
        <v/>
      </c>
      <c r="R337">
        <f>IF(AND(Inputs!$B$39&lt;&gt;"pvp",Inputs!$B$44&gt;0),IF(MAX(0,Inputs!$B$44-B370)&lt;=0,0,(INT(MAX(0,Inputs!$B$44-B370)/IF(Inputs!$B$39="pvp",15,MAX(0.1,Skills!D12-IF(TRUE=TRUE,Inputs!$B$32,0))))+1)),0)</f>
        <v/>
      </c>
      <c r="S337">
        <f>IFERROR(O337/N337,0)</f>
        <v/>
      </c>
      <c r="T337">
        <f>IF(C337,(H337*N337*IF(AND(Inputs!$B$39&lt;&gt;"pvp",Inputs!$B$44&gt;0),((Skills!G12*((R337-1)*IF(Skills!H12&gt;0,Skills!I12/Skills!H12,1)+IF(Skills!H12&gt;0,MIN(Skills!I12,MAX(0,MAX(0,Inputs!$B$44-B370)-((R337-1)*IF(Inputs!$B$39="pvp",15,MAX(0.1,Skills!D12-IF(TRUE=TRUE,Inputs!$B$32,0))))))/Skills!H12,1)))/Inputs!$B$44),G337*Q337))*IF(Inputs!$B$39="pvp",1,1+((Inputs!$B$20+1)+0+Skills!P12+B360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Hunt"),CHOOSE(ArtifactsInput!$N$35+1,15,18,21,24,27,30)*(1-EXP(-(0.2*B363)*5)),0)+IF(AND(ArtifactsInput!$M$22,Inputs!$B$4&lt;&gt;"Chapter Hunt"),CHOOSE(ArtifactsInput!$N$22+1,10,12,14,16,18,20)*((0*(((0.15*B363*5))^0/1)+1*(((0.15*B363*5))^1/1)+2*(((0.15*B363*5))^2/2)+3*(((0.15*B363*5))^3/6)+4*(((0.15*B363*5))^4/24)+5*(((0.15*B363*5))^5/120))/((((0.15*B363*5))^0/1)+(((0.15*B363*5))^1/1)+(((0.15*B363*5))^2/2)+(((0.15*B363*5))^3/6)+(((0.15*B363*5))^4/24)+(((0.15*B363*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337*(1-MIN(100,(Inputs!$B$9+((C351=TRUE)*(F351-Calc!F26))+B359+(ArtifactsInput!$M$24-ArtifactsInput!$M$24)*CHOOSE(ArtifactsInput!$N$24+1,10,12,14,16,18,20)+(IF(AND(Inputs!$B$39&lt;&gt;"pvp",Inputs!$B$44=0),1,IF(IF(Inputs!$B$39="pvp",15,Inputs!$B$44)-(B370)&lt;=0,1,MAX(0,IF(Inputs!$B$39="pvp",15,Inputs!$B$44)-MAX(5,B370))/(IF(Inputs!$B$39="pvp",15,Inputs!$B$44)-(B370))))*IF(AND(ArtifactsInput!$M$42,((Inputs!$B$9+((C351=TRUE)*(F351-Calc!F26))+B359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337*(MIN(100,(Inputs!$B$9+((C351=TRUE)*(F351-Calc!F26))+B359+(ArtifactsInput!$M$24-ArtifactsInput!$M$24)*CHOOSE(ArtifactsInput!$N$24+1,10,12,14,16,18,20)+(IF(AND(Inputs!$B$39&lt;&gt;"pvp",Inputs!$B$44=0),1,IF(IF(Inputs!$B$39="pvp",15,Inputs!$B$44)-(B370)&lt;=0,1,MAX(0,IF(Inputs!$B$39="pvp",15,Inputs!$B$44)-MAX(5,B370))/(IF(Inputs!$B$39="pvp",15,Inputs!$B$44)-(B370))))*IF(AND(ArtifactsInput!$M$42,((Inputs!$B$9+((C351=TRUE)*(F351-Calc!F26))+B359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337*(1-MIN(100,(Inputs!$B$9+((C351=TRUE)*(F351-Calc!F26))+B359+(ArtifactsInput!$M$24-ArtifactsInput!$M$24)*CHOOSE(ArtifactsInput!$N$24+1,10,12,14,16,18,20)+(IF(AND(Inputs!$B$39&lt;&gt;"pvp",Inputs!$B$44=0),1,IF(IF(Inputs!$B$39="pvp",15,Inputs!$B$44)-(B370)&lt;=0,1,MAX(0,IF(Inputs!$B$39="pvp",15,Inputs!$B$44)-MAX(5,B370))/(IF(Inputs!$B$39="pvp",15,Inputs!$B$44)-(B370))))*IF(AND(ArtifactsInput!$M$42,((Inputs!$B$9+((C351=TRUE)*(F351-Calc!F26))+B359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337*(MIN(100,(Inputs!$B$9+((C351=TRUE)*(F351-Calc!F26))+B359+(ArtifactsInput!$M$24-ArtifactsInput!$M$24)*CHOOSE(ArtifactsInput!$N$24+1,10,12,14,16,18,20)+(IF(AND(Inputs!$B$39&lt;&gt;"pvp",Inputs!$B$44=0),1,IF(IF(Inputs!$B$39="pvp",15,Inputs!$B$44)-(B370)&lt;=0,1,MAX(0,IF(Inputs!$B$39="pvp",15,Inputs!$B$44)-MAX(5,B370))/(IF(Inputs!$B$39="pvp",15,Inputs!$B$44)-(B370))))*IF(AND(ArtifactsInput!$M$42,((Inputs!$B$9+((C351=TRUE)*(F351-Calc!F26))+B359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337">
        <f>IF(C337,(H337*N337*IF(AND(Inputs!$B$39&lt;&gt;"pvp",Inputs!$B$44&gt;0),((Skills!G12*((R337-1)*IF(Skills!H12&gt;0,Skills!I12/Skills!H12,1)+IF(Skills!H12&gt;0,MIN(Skills!I12,MAX(0,MAX(0,Inputs!$B$44-B370)-((R337-1)*IF(Inputs!$B$39="pvp",15,MAX(0.1,Skills!D12-IF(TRUE=TRUE,Inputs!$B$32,0))))))/Skills!H12,1)))/Inputs!$B$44),G337*Q337))*IF(Inputs!$B$39="pvp",1,(1+(Inputs!$B$21+Skills!Q12+B360+(IF(ArtifactsInput!$M$33,CHOOSE(ArtifactsInput!$N$33+1,30,36,42,48,54,60),0))+(IF(AND(ArtifactsInput!$M$35,Inputs!$B$4&lt;&gt;"Chapter Hunt"),CHOOSE(ArtifactsInput!$N$35+1,15,18,21,24,27,30)*(1-EXP(-(0.2*B363)*5)),0)+IF(AND(ArtifactsInput!$M$22,Inputs!$B$4&lt;&gt;"Chapter Hunt"),CHOOSE(ArtifactsInput!$N$22+1,10,12,14,16,18,20)*((0*(((0.15*B363*5))^0/1)+1*(((0.15*B363*5))^1/1)+2*(((0.15*B363*5))^2/2)+3*(((0.15*B363*5))^3/6)+4*(((0.15*B363*5))^4/24)+5*(((0.15*B363*5))^5/120))/((((0.15*B363*5))^0/1)+(((0.15*B363*5))^1/1)+(((0.15*B363*5))^2/2)+(((0.15*B363*5))^3/6)+(((0.15*B363*5))^4/24)+(((0.15*B363*5))^5/120))),0)))/100)*(MIN(Skills!W12,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338">
      <c r="A338">
        <f>Skills!A13</f>
        <v/>
      </c>
      <c r="B338">
        <f>Skills!B13</f>
        <v/>
      </c>
      <c r="C338">
        <f>Inputs!$B$3&gt;=105</f>
        <v/>
      </c>
      <c r="D338">
        <f>IF(Skills!C13=1,60+Inputs!$B$25+Inputs!$B$29,IF(Skills!C13=2,90+Inputs!$B$26+Inputs!$B$29,IF(Skills!C13=3,120+Inputs!$B$27+Inputs!$B$29,MAX(0,(Inputs!$B$3-100)*3)+Inputs!$B$28+Inputs!$B$29)))</f>
        <v/>
      </c>
      <c r="E338">
        <f>INDEX(FactorTable!$B$2:$Y$301, MATCH(ROUND(MIN(300,MAX(1,D338)),0), FactorTable!$A$2:$A$301,0), Skills!M13+1)</f>
        <v/>
      </c>
      <c r="F338">
        <f>IF(Skills!N13=TRUE,(Skills!L13/10)*(E338/1000),Skills!L13/10)+Skills!O13</f>
        <v/>
      </c>
      <c r="G338">
        <f>Skills!G13*IF(Skills!H13&gt;0,IF(Inputs!$B$39="pvp",MIN(Skills!I13,15),Skills!I13)/Skills!H13,1)</f>
        <v/>
      </c>
      <c r="H338">
        <f>1-(1-Skills!J13/100)^Skills!K13</f>
        <v/>
      </c>
      <c r="I338" t="inlineStr">
        <is>
          <t>1</t>
        </is>
      </c>
      <c r="J338">
        <f>((Inputs!$B$6*(1+Inputs!$B$7/100))+(((Inputs!$B$12*(1+Inputs!$B$13/100))-(Inputs!$B$12*(1+Inputs!$B$13/100)))+0.25*(Inputs!$B$14-Inputs!$B$14))*(1+Inputs!$B$7/100))*(F338/100)</f>
        <v/>
      </c>
      <c r="K338">
        <f>J338*(1+((Inputs!$B$12*(1+Inputs!$B$13/100))*0.01+Inputs!$B$14*0.0025)/100)*(1+Inputs!$B$15/100)*(1+Inputs!$B$16/100)*(5000/(6000+Inputs!$B$43*(1-(100*(1-(1-Inputs!$B$19/100)*(1-CHOOSE(ArtifactsInput!$N$40+1,5,6,7,8,9,10)/100)^(ArtifactsInput!$M$40-ArtifactsInput!$M$40)))/100)))*(1+(Inputs!$B$24+((C356=TRUE)*(F356-Calc!F31))+((C343=TRUE)*(F343-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13="CRUEL_STAB",Inputs!$B$17+((C353=TRUE)*(F353-Calc!F28))+((IF(AND(Inputs!$B$39&lt;&gt;"pvp",Inputs!$B$44=0),1,IF(IF(Inputs!$B$39="pvp",15,Inputs!$B$44)-(B370)&lt;=0,1,MAX(0,IF(Inputs!$B$39="pvp",15,Inputs!$B$44)-MAX(5,B370))/(IF(Inputs!$B$39="pvp",15,Inputs!$B$44)-(B370))))*(IF(AND(ArtifactsInput!$M$42,((Inputs!$B$9+((C351=TRUE)*(F351-Calc!F26))+B359+(ArtifactsInput!$M$24-ArtifactsInput!$M$24)*CHOOSE(ArtifactsInput!$N$24+1,10,12,14,16,18,20)+IF(ArtifactsInput!$M$10,CHOOSE(ArtifactsInput!$N$10+1,15,18,21,24,27,30)*(IF(Inputs!$B$39="pvp",MIN(15,15)/15,IF(AND(Inputs!$B$39&lt;&gt;"pvp",Inputs!$B$44&gt;0),MIN(15,Inputs!$B$44)/(Inputs!$B$44),0))),0)))&gt;=100),MIN(100,((Inputs!$B$9+((C351=TRUE)*(F351-Calc!F26))+B359+(ArtifactsInput!$M$24-ArtifactsInput!$M$24)*CHOOSE(ArtifactsInput!$N$24+1,10,12,14,16,18,20)+IF(ArtifactsInput!$M$10,CHOOSE(ArtifactsInput!$N$10+1,15,18,21,24,27,30)*(IF(Inputs!$B$39="pvp",MIN(15,15)/15,IF(AND(Inputs!$B$39&lt;&gt;"pvp",Inputs!$B$44&gt;0),MIN(15,Inputs!$B$44)/(Inputs!$B$44),0))),0)))-100),0))*CHOOSE(ArtifactsInput!$N$42+1,0.6,0.72,0.84,0.96,1.08,1.2))),Inputs!$B$18+((C354=TRUE)*(F354-Calc!F29))+(IF(AND(Inputs!$B$39&lt;&gt;"pvp",Inputs!$B$44=0),1,IF(IF(Inputs!$B$39="pvp",15,Inputs!$B$44)-(B370)&lt;=0,1,MAX(0,IF(Inputs!$B$39="pvp",15,Inputs!$B$44)-MAX(5,B370))/(IF(Inputs!$B$39="pvp",15,Inputs!$B$44)-(B370))))*IF(AND(ArtifactsInput!$M$42,((Inputs!$B$9+((C351=TRUE)*(F351-Calc!F26))+B359+(ArtifactsInput!$M$24-ArtifactsInput!$M$24)*CHOOSE(ArtifactsInput!$N$24+1,10,12,14,16,18,20)+IF(ArtifactsInput!$M$10,CHOOSE(ArtifactsInput!$N$10+1,15,18,21,24,27,30)*(IF(Inputs!$B$39="pvp",MIN(15,15)/15,IF(AND(Inputs!$B$39&lt;&gt;"pvp",Inputs!$B$44&gt;0),MIN(15,Inputs!$B$44)/(Inputs!$B$44),0))),0)))&gt;=100),CHOOSE(ArtifactsInput!$N$42+1,40,48,56,64,72,80),0))))/100)*(((1+(((C347=TRUE)*F347*IF(AND(Inputs!$B$39&lt;&gt;"pvp",Inputs!$B$44&gt;0),(((R347-1)*MIN((Skills!Y22*(1+Inputs!$B$34/100)),(1/Q347))+MIN((Skills!Y22*(1+Inputs!$B$34/100)),MAX(0,Inputs!$B$44-((R347-1)*(1/Q347)))))/Inputs!$B$44),IF(Inputs!$B$39="pvp",MIN((Skills!Y22*(1+Inputs!$B$34/100)),15)/15,MIN(1,(Skills!Y22*(1+Inputs!$B$34/100))/(1/Q347)))))+((C328=TRUE)*F328*3)+((C330=TRUE)*F330*(1-EXP(-0.75*B363*5)))+((C349=TRUE)*(F349-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336=TRUE)*F336*IF(AND(Inputs!$B$39&lt;&gt;"pvp",Inputs!$B$44&gt;0),(((R336-1)*MIN((Skills!Y11*(1+Inputs!$B$34/100)),(1/Q336))+MIN((Skills!Y11*(1+Inputs!$B$34/100)),MAX(0,Inputs!$B$44-((R336-1)*(1/Q336)))))/Inputs!$B$44),IF(Inputs!$B$39="pvp",MIN((Skills!Y11*(1+Inputs!$B$34/100)),15)/15,MIN(1,(Skills!Y11*(1+Inputs!$B$34/100))/(1/Q336)))))/100)*(1+((C341=TRUE)*F341*IF(AND(Inputs!$B$39&lt;&gt;"pvp",Inputs!$B$44&gt;0),(((R341-1)*MIN((Skills!Y16*(1+Inputs!$B$34/100)),(1/Q341))+MIN((Skills!Y16*(1+Inputs!$B$34/100)),MAX(0,Inputs!$B$44-((R341-1)*(1/Q341)))))/Inputs!$B$44),IF(Inputs!$B$39="pvp",MIN((Skills!Y16*(1+Inputs!$B$34/100)),15)/15,MIN(1,(Skills!Y16*(1+Inputs!$B$34/100))/(1/Q341)))))/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361*I338)</f>
        <v/>
      </c>
      <c r="L338">
        <f>K338*(MIN(Inputs!$B$22+((C350=TRUE)*(F350-Calc!F25)),(Inputs!$B$23+((C355=TRUE)*(F355-Calc!F30))+IF(ArtifactsInput!$M$15,CHOOSE(ArtifactsInput!$N$15+1,25,30,35,40,45,50)/100*(Inputs!$B$11-Inputs!$B$11),0)))/100+(Inputs!$B$23+((C355=TRUE)*(F355-Calc!F30))+IF(ArtifactsInput!$M$15,CHOOSE(ArtifactsInput!$N$15+1,25,30,35,40,45,50)/100*(Inputs!$B$11-Inputs!$B$11),0))/100)/2</f>
        <v/>
      </c>
      <c r="M338">
        <f>L338*(1+(Inputs!$B$10+((C352=TRUE)*(F352-Calc!F27))+B366+(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338">
        <f>L338*(1-MIN((Inputs!$B$9+((C351=TRUE)*(F351-Calc!F26))+B359+(ArtifactsInput!$M$24-ArtifactsInput!$M$24)*CHOOSE(ArtifactsInput!$N$24+1,10,12,14,16,18,20)+(IF(AND(Inputs!$B$39&lt;&gt;"pvp",Inputs!$B$44=0),1,IF(IF(Inputs!$B$39="pvp",15,Inputs!$B$44)-(B370)&lt;=0,1,MAX(0,IF(Inputs!$B$39="pvp",15,Inputs!$B$44)-MAX(5,B370))/(IF(Inputs!$B$39="pvp",15,Inputs!$B$44)-(B370))))*IF(AND(ArtifactsInput!$M$42,((Inputs!$B$9+((C351=TRUE)*(F351-Calc!F26))+B359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338*(MIN((Inputs!$B$9+((C351=TRUE)*(F351-Calc!F26))+B359+(ArtifactsInput!$M$24-ArtifactsInput!$M$24)*CHOOSE(ArtifactsInput!$N$24+1,10,12,14,16,18,20)+(IF(AND(Inputs!$B$39&lt;&gt;"pvp",Inputs!$B$44=0),1,IF(IF(Inputs!$B$39="pvp",15,Inputs!$B$44)-(B370)&lt;=0,1,MAX(0,IF(Inputs!$B$39="pvp",15,Inputs!$B$44)-MAX(5,B370))/(IF(Inputs!$B$39="pvp",15,Inputs!$B$44)-(B370))))*IF(AND(ArtifactsInput!$M$42,((Inputs!$B$9+((C351=TRUE)*(F351-Calc!F26))+B359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338">
        <f>(1-Summary!$B$11)*T338+Summary!$B$11*V338</f>
        <v/>
      </c>
      <c r="P338">
        <f>IF(B371=0,0,O338/B371)</f>
        <v/>
      </c>
      <c r="Q338">
        <f>IFERROR(1/IF(Inputs!$B$39="pvp",15,MAX(0.1,Skills!D13-IF(TRUE=TRUE,Inputs!$B$32,0))),0)</f>
        <v/>
      </c>
      <c r="R338">
        <f>IF(AND(Inputs!$B$39&lt;&gt;"pvp",Inputs!$B$44&gt;0),IF(MAX(0,Inputs!$B$44-B370)&lt;=0,0,(INT(MAX(0,Inputs!$B$44-B370)/IF(Inputs!$B$39="pvp",15,MAX(0.1,Skills!D13-IF(TRUE=TRUE,Inputs!$B$32,0))))+1)),0)</f>
        <v/>
      </c>
      <c r="S338">
        <f>IFERROR(O338/N338,0)</f>
        <v/>
      </c>
      <c r="T338">
        <f>IF(C338,(H338*N338*IF(AND(Inputs!$B$39&lt;&gt;"pvp",Inputs!$B$44&gt;0),((Skills!G13*((R338-1)*IF(Skills!H13&gt;0,Skills!I13/Skills!H13,1)+IF(Skills!H13&gt;0,MIN(Skills!I13,MAX(0,MAX(0,Inputs!$B$44-B370)-((R338-1)*IF(Inputs!$B$39="pvp",15,MAX(0.1,Skills!D13-IF(TRUE=TRUE,Inputs!$B$32,0))))))/Skills!H13,1)))/Inputs!$B$44),G338*Q338))*IF(Inputs!$B$39="pvp",1,1+((Inputs!$B$20+1)+0+Skills!P13+B360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Hunt"),CHOOSE(ArtifactsInput!$N$35+1,15,18,21,24,27,30)*(1-EXP(-(0.2*B363)*5)),0)+IF(AND(ArtifactsInput!$M$22,Inputs!$B$4&lt;&gt;"Chapter Hunt"),CHOOSE(ArtifactsInput!$N$22+1,10,12,14,16,18,20)*((0*(((0.15*B363*5))^0/1)+1*(((0.15*B363*5))^1/1)+2*(((0.15*B363*5))^2/2)+3*(((0.15*B363*5))^3/6)+4*(((0.15*B363*5))^4/24)+5*(((0.15*B363*5))^5/120))/((((0.15*B363*5))^0/1)+(((0.15*B363*5))^1/1)+(((0.15*B363*5))^2/2)+(((0.15*B363*5))^3/6)+(((0.15*B363*5))^4/24)+(((0.15*B363*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338*(1-MIN(100,(Inputs!$B$9+((C351=TRUE)*(F351-Calc!F26))+B359+(ArtifactsInput!$M$24-ArtifactsInput!$M$24)*CHOOSE(ArtifactsInput!$N$24+1,10,12,14,16,18,20)+(IF(AND(Inputs!$B$39&lt;&gt;"pvp",Inputs!$B$44=0),1,IF(IF(Inputs!$B$39="pvp",15,Inputs!$B$44)-(B370)&lt;=0,1,MAX(0,IF(Inputs!$B$39="pvp",15,Inputs!$B$44)-MAX(5,B370))/(IF(Inputs!$B$39="pvp",15,Inputs!$B$44)-(B370))))*IF(AND(ArtifactsInput!$M$42,((Inputs!$B$9+((C351=TRUE)*(F351-Calc!F26))+B359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338*(MIN(100,(Inputs!$B$9+((C351=TRUE)*(F351-Calc!F26))+B359+(ArtifactsInput!$M$24-ArtifactsInput!$M$24)*CHOOSE(ArtifactsInput!$N$24+1,10,12,14,16,18,20)+(IF(AND(Inputs!$B$39&lt;&gt;"pvp",Inputs!$B$44=0),1,IF(IF(Inputs!$B$39="pvp",15,Inputs!$B$44)-(B370)&lt;=0,1,MAX(0,IF(Inputs!$B$39="pvp",15,Inputs!$B$44)-MAX(5,B370))/(IF(Inputs!$B$39="pvp",15,Inputs!$B$44)-(B370))))*IF(AND(ArtifactsInput!$M$42,((Inputs!$B$9+((C351=TRUE)*(F351-Calc!F26))+B359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338*(1-MIN(100,(Inputs!$B$9+((C351=TRUE)*(F351-Calc!F26))+B359+(ArtifactsInput!$M$24-ArtifactsInput!$M$24)*CHOOSE(ArtifactsInput!$N$24+1,10,12,14,16,18,20)+(IF(AND(Inputs!$B$39&lt;&gt;"pvp",Inputs!$B$44=0),1,IF(IF(Inputs!$B$39="pvp",15,Inputs!$B$44)-(B370)&lt;=0,1,MAX(0,IF(Inputs!$B$39="pvp",15,Inputs!$B$44)-MAX(5,B370))/(IF(Inputs!$B$39="pvp",15,Inputs!$B$44)-(B370))))*IF(AND(ArtifactsInput!$M$42,((Inputs!$B$9+((C351=TRUE)*(F351-Calc!F26))+B359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338*(MIN(100,(Inputs!$B$9+((C351=TRUE)*(F351-Calc!F26))+B359+(ArtifactsInput!$M$24-ArtifactsInput!$M$24)*CHOOSE(ArtifactsInput!$N$24+1,10,12,14,16,18,20)+(IF(AND(Inputs!$B$39&lt;&gt;"pvp",Inputs!$B$44=0),1,IF(IF(Inputs!$B$39="pvp",15,Inputs!$B$44)-(B370)&lt;=0,1,MAX(0,IF(Inputs!$B$39="pvp",15,Inputs!$B$44)-MAX(5,B370))/(IF(Inputs!$B$39="pvp",15,Inputs!$B$44)-(B370))))*IF(AND(ArtifactsInput!$M$42,((Inputs!$B$9+((C351=TRUE)*(F351-Calc!F26))+B359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338">
        <f>IF(C338,(H338*N338*IF(AND(Inputs!$B$39&lt;&gt;"pvp",Inputs!$B$44&gt;0),((Skills!G13*((R338-1)*IF(Skills!H13&gt;0,Skills!I13/Skills!H13,1)+IF(Skills!H13&gt;0,MIN(Skills!I13,MAX(0,MAX(0,Inputs!$B$44-B370)-((R338-1)*IF(Inputs!$B$39="pvp",15,MAX(0.1,Skills!D13-IF(TRUE=TRUE,Inputs!$B$32,0))))))/Skills!H13,1)))/Inputs!$B$44),G338*Q338))*IF(Inputs!$B$39="pvp",1,(1+(Inputs!$B$21+Skills!Q13+B360+(IF(ArtifactsInput!$M$33,CHOOSE(ArtifactsInput!$N$33+1,30,36,42,48,54,60),0))+(IF(AND(ArtifactsInput!$M$35,Inputs!$B$4&lt;&gt;"Chapter Hunt"),CHOOSE(ArtifactsInput!$N$35+1,15,18,21,24,27,30)*(1-EXP(-(0.2*B363)*5)),0)+IF(AND(ArtifactsInput!$M$22,Inputs!$B$4&lt;&gt;"Chapter Hunt"),CHOOSE(ArtifactsInput!$N$22+1,10,12,14,16,18,20)*((0*(((0.15*B363*5))^0/1)+1*(((0.15*B363*5))^1/1)+2*(((0.15*B363*5))^2/2)+3*(((0.15*B363*5))^3/6)+4*(((0.15*B363*5))^4/24)+5*(((0.15*B363*5))^5/120))/((((0.15*B363*5))^0/1)+(((0.15*B363*5))^1/1)+(((0.15*B363*5))^2/2)+(((0.15*B363*5))^3/6)+(((0.15*B363*5))^4/24)+(((0.15*B363*5))^5/120))),0)))/100)*(MIN(Skills!W13,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339">
      <c r="A339">
        <f>Skills!A14</f>
        <v/>
      </c>
      <c r="B339">
        <f>Skills!B14</f>
        <v/>
      </c>
      <c r="C339">
        <f>Inputs!$B$3&gt;=105</f>
        <v/>
      </c>
      <c r="D339">
        <f>IF(Skills!C14=1,60+Inputs!$B$25+Inputs!$B$29,IF(Skills!C14=2,90+Inputs!$B$26+Inputs!$B$29,IF(Skills!C14=3,120+Inputs!$B$27+Inputs!$B$29,MAX(0,(Inputs!$B$3-100)*3)+Inputs!$B$28+Inputs!$B$29)))</f>
        <v/>
      </c>
      <c r="E339">
        <f>INDEX(FactorTable!$B$2:$Y$301, MATCH(ROUND(MIN(300,MAX(1,D339)),0), FactorTable!$A$2:$A$301,0), Skills!M14+1)</f>
        <v/>
      </c>
      <c r="F339">
        <f>IF(Skills!N14=TRUE,(Skills!L14/10)*(E339/1000),Skills!L14/10)+Skills!O14</f>
        <v/>
      </c>
      <c r="G339">
        <f>Skills!G14*IF(Skills!H14&gt;0,IF(Inputs!$B$39="pvp",MIN(Skills!I14,15),Skills!I14)/Skills!H14,1)</f>
        <v/>
      </c>
      <c r="H339">
        <f>1-(1-Skills!J14/100)^Skills!K14</f>
        <v/>
      </c>
      <c r="I339" t="inlineStr">
        <is>
          <t>1</t>
        </is>
      </c>
      <c r="J339">
        <f>((Inputs!$B$6*(1+Inputs!$B$7/100))+(((Inputs!$B$12*(1+Inputs!$B$13/100))-(Inputs!$B$12*(1+Inputs!$B$13/100)))+0.25*(Inputs!$B$14-Inputs!$B$14))*(1+Inputs!$B$7/100))*(F339/100)</f>
        <v/>
      </c>
      <c r="K339">
        <f>J339*(1+((Inputs!$B$12*(1+Inputs!$B$13/100))*0.01+Inputs!$B$14*0.0025)/100)*(1+Inputs!$B$15/100)*(1+Inputs!$B$16/100)*(5000/(6000+Inputs!$B$43*(1-(100*(1-(1-Inputs!$B$19/100)*(1-CHOOSE(ArtifactsInput!$N$40+1,5,6,7,8,9,10)/100)^(ArtifactsInput!$M$40-ArtifactsInput!$M$40)))/100)))*(1+(Inputs!$B$24+((C356=TRUE)*(F356-Calc!F31))+((C343=TRUE)*(F343-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14="CRUEL_STAB",Inputs!$B$17+((C353=TRUE)*(F353-Calc!F28))+((IF(AND(Inputs!$B$39&lt;&gt;"pvp",Inputs!$B$44=0),1,IF(IF(Inputs!$B$39="pvp",15,Inputs!$B$44)-(B370)&lt;=0,1,MAX(0,IF(Inputs!$B$39="pvp",15,Inputs!$B$44)-MAX(5,B370))/(IF(Inputs!$B$39="pvp",15,Inputs!$B$44)-(B370))))*(IF(AND(ArtifactsInput!$M$42,((Inputs!$B$9+((C351=TRUE)*(F351-Calc!F26))+B359+(ArtifactsInput!$M$24-ArtifactsInput!$M$24)*CHOOSE(ArtifactsInput!$N$24+1,10,12,14,16,18,20)+IF(ArtifactsInput!$M$10,CHOOSE(ArtifactsInput!$N$10+1,15,18,21,24,27,30)*(IF(Inputs!$B$39="pvp",MIN(15,15)/15,IF(AND(Inputs!$B$39&lt;&gt;"pvp",Inputs!$B$44&gt;0),MIN(15,Inputs!$B$44)/(Inputs!$B$44),0))),0)))&gt;=100),MIN(100,((Inputs!$B$9+((C351=TRUE)*(F351-Calc!F26))+B359+(ArtifactsInput!$M$24-ArtifactsInput!$M$24)*CHOOSE(ArtifactsInput!$N$24+1,10,12,14,16,18,20)+IF(ArtifactsInput!$M$10,CHOOSE(ArtifactsInput!$N$10+1,15,18,21,24,27,30)*(IF(Inputs!$B$39="pvp",MIN(15,15)/15,IF(AND(Inputs!$B$39&lt;&gt;"pvp",Inputs!$B$44&gt;0),MIN(15,Inputs!$B$44)/(Inputs!$B$44),0))),0)))-100),0))*CHOOSE(ArtifactsInput!$N$42+1,0.6,0.72,0.84,0.96,1.08,1.2))),Inputs!$B$18+((C354=TRUE)*(F354-Calc!F29))+(IF(AND(Inputs!$B$39&lt;&gt;"pvp",Inputs!$B$44=0),1,IF(IF(Inputs!$B$39="pvp",15,Inputs!$B$44)-(B370)&lt;=0,1,MAX(0,IF(Inputs!$B$39="pvp",15,Inputs!$B$44)-MAX(5,B370))/(IF(Inputs!$B$39="pvp",15,Inputs!$B$44)-(B370))))*IF(AND(ArtifactsInput!$M$42,((Inputs!$B$9+((C351=TRUE)*(F351-Calc!F26))+B359+(ArtifactsInput!$M$24-ArtifactsInput!$M$24)*CHOOSE(ArtifactsInput!$N$24+1,10,12,14,16,18,20)+IF(ArtifactsInput!$M$10,CHOOSE(ArtifactsInput!$N$10+1,15,18,21,24,27,30)*(IF(Inputs!$B$39="pvp",MIN(15,15)/15,IF(AND(Inputs!$B$39&lt;&gt;"pvp",Inputs!$B$44&gt;0),MIN(15,Inputs!$B$44)/(Inputs!$B$44),0))),0)))&gt;=100),CHOOSE(ArtifactsInput!$N$42+1,40,48,56,64,72,80),0))))/100)*(((1+(((C347=TRUE)*F347*IF(AND(Inputs!$B$39&lt;&gt;"pvp",Inputs!$B$44&gt;0),(((R347-1)*MIN((Skills!Y22*(1+Inputs!$B$34/100)),(1/Q347))+MIN((Skills!Y22*(1+Inputs!$B$34/100)),MAX(0,Inputs!$B$44-((R347-1)*(1/Q347)))))/Inputs!$B$44),IF(Inputs!$B$39="pvp",MIN((Skills!Y22*(1+Inputs!$B$34/100)),15)/15,MIN(1,(Skills!Y22*(1+Inputs!$B$34/100))/(1/Q347)))))+((C328=TRUE)*F328*3)+((C330=TRUE)*F330*(1-EXP(-0.75*B363*5)))+((C349=TRUE)*(F349-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336=TRUE)*F336*IF(AND(Inputs!$B$39&lt;&gt;"pvp",Inputs!$B$44&gt;0),(((R336-1)*MIN((Skills!Y11*(1+Inputs!$B$34/100)),(1/Q336))+MIN((Skills!Y11*(1+Inputs!$B$34/100)),MAX(0,Inputs!$B$44-((R336-1)*(1/Q336)))))/Inputs!$B$44),IF(Inputs!$B$39="pvp",MIN((Skills!Y11*(1+Inputs!$B$34/100)),15)/15,MIN(1,(Skills!Y11*(1+Inputs!$B$34/100))/(1/Q336)))))/100)*(1+((C341=TRUE)*F341*IF(AND(Inputs!$B$39&lt;&gt;"pvp",Inputs!$B$44&gt;0),(((R341-1)*MIN((Skills!Y16*(1+Inputs!$B$34/100)),(1/Q341))+MIN((Skills!Y16*(1+Inputs!$B$34/100)),MAX(0,Inputs!$B$44-((R341-1)*(1/Q341)))))/Inputs!$B$44),IF(Inputs!$B$39="pvp",MIN((Skills!Y16*(1+Inputs!$B$34/100)),15)/15,MIN(1,(Skills!Y16*(1+Inputs!$B$34/100))/(1/Q341)))))/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361*I339)</f>
        <v/>
      </c>
      <c r="L339">
        <f>K339*(MIN(Inputs!$B$22+((C350=TRUE)*(F350-Calc!F25)),(Inputs!$B$23+((C355=TRUE)*(F355-Calc!F30))+IF(ArtifactsInput!$M$15,CHOOSE(ArtifactsInput!$N$15+1,25,30,35,40,45,50)/100*(Inputs!$B$11-Inputs!$B$11),0)))/100+(Inputs!$B$23+((C355=TRUE)*(F355-Calc!F30))+IF(ArtifactsInput!$M$15,CHOOSE(ArtifactsInput!$N$15+1,25,30,35,40,45,50)/100*(Inputs!$B$11-Inputs!$B$11),0))/100)/2</f>
        <v/>
      </c>
      <c r="M339">
        <f>L339*(1+(Inputs!$B$10+((C352=TRUE)*(F352-Calc!F27))+B366+(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339">
        <f>L339*(1-MIN((Inputs!$B$9+((C351=TRUE)*(F351-Calc!F26))+B359+(ArtifactsInput!$M$24-ArtifactsInput!$M$24)*CHOOSE(ArtifactsInput!$N$24+1,10,12,14,16,18,20)+(IF(AND(Inputs!$B$39&lt;&gt;"pvp",Inputs!$B$44=0),1,IF(IF(Inputs!$B$39="pvp",15,Inputs!$B$44)-(B370)&lt;=0,1,MAX(0,IF(Inputs!$B$39="pvp",15,Inputs!$B$44)-MAX(5,B370))/(IF(Inputs!$B$39="pvp",15,Inputs!$B$44)-(B370))))*IF(AND(ArtifactsInput!$M$42,((Inputs!$B$9+((C351=TRUE)*(F351-Calc!F26))+B359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339*(MIN((Inputs!$B$9+((C351=TRUE)*(F351-Calc!F26))+B359+(ArtifactsInput!$M$24-ArtifactsInput!$M$24)*CHOOSE(ArtifactsInput!$N$24+1,10,12,14,16,18,20)+(IF(AND(Inputs!$B$39&lt;&gt;"pvp",Inputs!$B$44=0),1,IF(IF(Inputs!$B$39="pvp",15,Inputs!$B$44)-(B370)&lt;=0,1,MAX(0,IF(Inputs!$B$39="pvp",15,Inputs!$B$44)-MAX(5,B370))/(IF(Inputs!$B$39="pvp",15,Inputs!$B$44)-(B370))))*IF(AND(ArtifactsInput!$M$42,((Inputs!$B$9+((C351=TRUE)*(F351-Calc!F26))+B359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339">
        <f>(1-Summary!$B$11)*T339+Summary!$B$11*V339</f>
        <v/>
      </c>
      <c r="P339">
        <f>IF(B371=0,0,O339/B371)</f>
        <v/>
      </c>
      <c r="Q339">
        <f>IFERROR(1/IF(Inputs!$B$39="pvp",15,MAX(0.1,Skills!D14-IF(TRUE=TRUE,Inputs!$B$32,0))),0)</f>
        <v/>
      </c>
      <c r="R339">
        <f>IF(AND(Inputs!$B$39&lt;&gt;"pvp",Inputs!$B$44&gt;0),IF(MAX(0,Inputs!$B$44-B370)&lt;=0,0,(INT(MAX(0,Inputs!$B$44-B370)/IF(Inputs!$B$39="pvp",15,MAX(0.1,Skills!D14-IF(TRUE=TRUE,Inputs!$B$32,0))))+1)),0)</f>
        <v/>
      </c>
      <c r="S339">
        <f>IFERROR(O339/N339,0)</f>
        <v/>
      </c>
      <c r="T339">
        <f>IF(C339,(H339*N339*IF(AND(Inputs!$B$39&lt;&gt;"pvp",Inputs!$B$44&gt;0),((Skills!G14*((R339-1)*IF(Skills!H14&gt;0,Skills!I14/Skills!H14,1)+IF(Skills!H14&gt;0,MIN(Skills!I14,MAX(0,MAX(0,Inputs!$B$44-B370)-((R339-1)*IF(Inputs!$B$39="pvp",15,MAX(0.1,Skills!D14-IF(TRUE=TRUE,Inputs!$B$32,0))))))/Skills!H14,1)))/Inputs!$B$44),G339*Q339))*IF(Inputs!$B$39="pvp",1,1+((Inputs!$B$20+1)+0+Skills!P14+B360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Hunt"),CHOOSE(ArtifactsInput!$N$35+1,15,18,21,24,27,30)*(1-EXP(-(0.2*B363)*5)),0)+IF(AND(ArtifactsInput!$M$22,Inputs!$B$4&lt;&gt;"Chapter Hunt"),CHOOSE(ArtifactsInput!$N$22+1,10,12,14,16,18,20)*((0*(((0.15*B363*5))^0/1)+1*(((0.15*B363*5))^1/1)+2*(((0.15*B363*5))^2/2)+3*(((0.15*B363*5))^3/6)+4*(((0.15*B363*5))^4/24)+5*(((0.15*B363*5))^5/120))/((((0.15*B363*5))^0/1)+(((0.15*B363*5))^1/1)+(((0.15*B363*5))^2/2)+(((0.15*B363*5))^3/6)+(((0.15*B363*5))^4/24)+(((0.15*B363*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339*(1-MIN(100,(Inputs!$B$9+((C351=TRUE)*(F351-Calc!F26))+B359+(ArtifactsInput!$M$24-ArtifactsInput!$M$24)*CHOOSE(ArtifactsInput!$N$24+1,10,12,14,16,18,20)+(IF(AND(Inputs!$B$39&lt;&gt;"pvp",Inputs!$B$44=0),1,IF(IF(Inputs!$B$39="pvp",15,Inputs!$B$44)-(B370)&lt;=0,1,MAX(0,IF(Inputs!$B$39="pvp",15,Inputs!$B$44)-MAX(5,B370))/(IF(Inputs!$B$39="pvp",15,Inputs!$B$44)-(B370))))*IF(AND(ArtifactsInput!$M$42,((Inputs!$B$9+((C351=TRUE)*(F351-Calc!F26))+B359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339*(MIN(100,(Inputs!$B$9+((C351=TRUE)*(F351-Calc!F26))+B359+(ArtifactsInput!$M$24-ArtifactsInput!$M$24)*CHOOSE(ArtifactsInput!$N$24+1,10,12,14,16,18,20)+(IF(AND(Inputs!$B$39&lt;&gt;"pvp",Inputs!$B$44=0),1,IF(IF(Inputs!$B$39="pvp",15,Inputs!$B$44)-(B370)&lt;=0,1,MAX(0,IF(Inputs!$B$39="pvp",15,Inputs!$B$44)-MAX(5,B370))/(IF(Inputs!$B$39="pvp",15,Inputs!$B$44)-(B370))))*IF(AND(ArtifactsInput!$M$42,((Inputs!$B$9+((C351=TRUE)*(F351-Calc!F26))+B359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339*(1-MIN(100,(Inputs!$B$9+((C351=TRUE)*(F351-Calc!F26))+B359+(ArtifactsInput!$M$24-ArtifactsInput!$M$24)*CHOOSE(ArtifactsInput!$N$24+1,10,12,14,16,18,20)+(IF(AND(Inputs!$B$39&lt;&gt;"pvp",Inputs!$B$44=0),1,IF(IF(Inputs!$B$39="pvp",15,Inputs!$B$44)-(B370)&lt;=0,1,MAX(0,IF(Inputs!$B$39="pvp",15,Inputs!$B$44)-MAX(5,B370))/(IF(Inputs!$B$39="pvp",15,Inputs!$B$44)-(B370))))*IF(AND(ArtifactsInput!$M$42,((Inputs!$B$9+((C351=TRUE)*(F351-Calc!F26))+B359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339*(MIN(100,(Inputs!$B$9+((C351=TRUE)*(F351-Calc!F26))+B359+(ArtifactsInput!$M$24-ArtifactsInput!$M$24)*CHOOSE(ArtifactsInput!$N$24+1,10,12,14,16,18,20)+(IF(AND(Inputs!$B$39&lt;&gt;"pvp",Inputs!$B$44=0),1,IF(IF(Inputs!$B$39="pvp",15,Inputs!$B$44)-(B370)&lt;=0,1,MAX(0,IF(Inputs!$B$39="pvp",15,Inputs!$B$44)-MAX(5,B370))/(IF(Inputs!$B$39="pvp",15,Inputs!$B$44)-(B370))))*IF(AND(ArtifactsInput!$M$42,((Inputs!$B$9+((C351=TRUE)*(F351-Calc!F26))+B359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339">
        <f>IF(C339,(H339*N339*IF(AND(Inputs!$B$39&lt;&gt;"pvp",Inputs!$B$44&gt;0),((Skills!G14*((R339-1)*IF(Skills!H14&gt;0,Skills!I14/Skills!H14,1)+IF(Skills!H14&gt;0,MIN(Skills!I14,MAX(0,MAX(0,Inputs!$B$44-B370)-((R339-1)*IF(Inputs!$B$39="pvp",15,MAX(0.1,Skills!D14-IF(TRUE=TRUE,Inputs!$B$32,0))))))/Skills!H14,1)))/Inputs!$B$44),G339*Q339))*IF(Inputs!$B$39="pvp",1,(1+(Inputs!$B$21+Skills!Q14+B360+(IF(ArtifactsInput!$M$33,CHOOSE(ArtifactsInput!$N$33+1,30,36,42,48,54,60),0))+(IF(AND(ArtifactsInput!$M$35,Inputs!$B$4&lt;&gt;"Chapter Hunt"),CHOOSE(ArtifactsInput!$N$35+1,15,18,21,24,27,30)*(1-EXP(-(0.2*B363)*5)),0)+IF(AND(ArtifactsInput!$M$22,Inputs!$B$4&lt;&gt;"Chapter Hunt"),CHOOSE(ArtifactsInput!$N$22+1,10,12,14,16,18,20)*((0*(((0.15*B363*5))^0/1)+1*(((0.15*B363*5))^1/1)+2*(((0.15*B363*5))^2/2)+3*(((0.15*B363*5))^3/6)+4*(((0.15*B363*5))^4/24)+5*(((0.15*B363*5))^5/120))/((((0.15*B363*5))^0/1)+(((0.15*B363*5))^1/1)+(((0.15*B363*5))^2/2)+(((0.15*B363*5))^3/6)+(((0.15*B363*5))^4/24)+(((0.15*B363*5))^5/120))),0)))/100)*(MIN(Skills!W14,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340">
      <c r="A340">
        <f>Skills!A15</f>
        <v/>
      </c>
      <c r="B340">
        <f>Skills!B15</f>
        <v/>
      </c>
      <c r="C340">
        <f>Inputs!$B$3&gt;=107</f>
        <v/>
      </c>
      <c r="D340">
        <f>IF(Skills!C15=1,60+Inputs!$B$25+Inputs!$B$29,IF(Skills!C15=2,90+Inputs!$B$26+Inputs!$B$29,IF(Skills!C15=3,120+Inputs!$B$27+Inputs!$B$29,MAX(0,(Inputs!$B$3-100)*3)+Inputs!$B$28+Inputs!$B$29)))</f>
        <v/>
      </c>
      <c r="E340">
        <f>INDEX(FactorTable!$B$2:$Y$301, MATCH(ROUND(MIN(300,MAX(1,D340)),0), FactorTable!$A$2:$A$301,0), Skills!M15+1)</f>
        <v/>
      </c>
      <c r="F340">
        <f>IF(Skills!N15=TRUE,(Skills!L15/10)*(E340/1000),Skills!L15/10)+Skills!O15</f>
        <v/>
      </c>
      <c r="G340">
        <f>Skills!G15*IF(Skills!H15&gt;0,IF(Inputs!$B$39="pvp",MIN(Skills!I15,15),Skills!I15)/Skills!H15,1)</f>
        <v/>
      </c>
      <c r="H340">
        <f>1-(1-Skills!J15/100)^Skills!K15</f>
        <v/>
      </c>
      <c r="I340" t="inlineStr">
        <is>
          <t>1</t>
        </is>
      </c>
      <c r="J340">
        <f>((Inputs!$B$6*(1+Inputs!$B$7/100))+(((Inputs!$B$12*(1+Inputs!$B$13/100))-(Inputs!$B$12*(1+Inputs!$B$13/100)))+0.25*(Inputs!$B$14-Inputs!$B$14))*(1+Inputs!$B$7/100))*(F340/100)</f>
        <v/>
      </c>
      <c r="K340">
        <f>J340*(1+((Inputs!$B$12*(1+Inputs!$B$13/100))*0.01+Inputs!$B$14*0.0025)/100)*(1+Inputs!$B$15/100)*(1+Inputs!$B$16/100)*(5000/(6000+Inputs!$B$43*(1-(100*(1-(1-Inputs!$B$19/100)*(1-CHOOSE(ArtifactsInput!$N$40+1,5,6,7,8,9,10)/100)^(ArtifactsInput!$M$40-ArtifactsInput!$M$40)))/100)))*(1+(Inputs!$B$24+((C356=TRUE)*(F356-Calc!F31))+((C343=TRUE)*(F343-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15="CRUEL_STAB",Inputs!$B$17+((C353=TRUE)*(F353-Calc!F28))+((IF(AND(Inputs!$B$39&lt;&gt;"pvp",Inputs!$B$44=0),1,IF(IF(Inputs!$B$39="pvp",15,Inputs!$B$44)-(B370)&lt;=0,1,MAX(0,IF(Inputs!$B$39="pvp",15,Inputs!$B$44)-MAX(5,B370))/(IF(Inputs!$B$39="pvp",15,Inputs!$B$44)-(B370))))*(IF(AND(ArtifactsInput!$M$42,((Inputs!$B$9+((C351=TRUE)*(F351-Calc!F26))+B359+(ArtifactsInput!$M$24-ArtifactsInput!$M$24)*CHOOSE(ArtifactsInput!$N$24+1,10,12,14,16,18,20)+IF(ArtifactsInput!$M$10,CHOOSE(ArtifactsInput!$N$10+1,15,18,21,24,27,30)*(IF(Inputs!$B$39="pvp",MIN(15,15)/15,IF(AND(Inputs!$B$39&lt;&gt;"pvp",Inputs!$B$44&gt;0),MIN(15,Inputs!$B$44)/(Inputs!$B$44),0))),0)))&gt;=100),MIN(100,((Inputs!$B$9+((C351=TRUE)*(F351-Calc!F26))+B359+(ArtifactsInput!$M$24-ArtifactsInput!$M$24)*CHOOSE(ArtifactsInput!$N$24+1,10,12,14,16,18,20)+IF(ArtifactsInput!$M$10,CHOOSE(ArtifactsInput!$N$10+1,15,18,21,24,27,30)*(IF(Inputs!$B$39="pvp",MIN(15,15)/15,IF(AND(Inputs!$B$39&lt;&gt;"pvp",Inputs!$B$44&gt;0),MIN(15,Inputs!$B$44)/(Inputs!$B$44),0))),0)))-100),0))*CHOOSE(ArtifactsInput!$N$42+1,0.6,0.72,0.84,0.96,1.08,1.2))),Inputs!$B$18+((C354=TRUE)*(F354-Calc!F29))+(IF(AND(Inputs!$B$39&lt;&gt;"pvp",Inputs!$B$44=0),1,IF(IF(Inputs!$B$39="pvp",15,Inputs!$B$44)-(B370)&lt;=0,1,MAX(0,IF(Inputs!$B$39="pvp",15,Inputs!$B$44)-MAX(5,B370))/(IF(Inputs!$B$39="pvp",15,Inputs!$B$44)-(B370))))*IF(AND(ArtifactsInput!$M$42,((Inputs!$B$9+((C351=TRUE)*(F351-Calc!F26))+B359+(ArtifactsInput!$M$24-ArtifactsInput!$M$24)*CHOOSE(ArtifactsInput!$N$24+1,10,12,14,16,18,20)+IF(ArtifactsInput!$M$10,CHOOSE(ArtifactsInput!$N$10+1,15,18,21,24,27,30)*(IF(Inputs!$B$39="pvp",MIN(15,15)/15,IF(AND(Inputs!$B$39&lt;&gt;"pvp",Inputs!$B$44&gt;0),MIN(15,Inputs!$B$44)/(Inputs!$B$44),0))),0)))&gt;=100),CHOOSE(ArtifactsInput!$N$42+1,40,48,56,64,72,80),0))))/100)*(((1+(((C347=TRUE)*F347*IF(AND(Inputs!$B$39&lt;&gt;"pvp",Inputs!$B$44&gt;0),(((R347-1)*MIN((Skills!Y22*(1+Inputs!$B$34/100)),(1/Q347))+MIN((Skills!Y22*(1+Inputs!$B$34/100)),MAX(0,Inputs!$B$44-((R347-1)*(1/Q347)))))/Inputs!$B$44),IF(Inputs!$B$39="pvp",MIN((Skills!Y22*(1+Inputs!$B$34/100)),15)/15,MIN(1,(Skills!Y22*(1+Inputs!$B$34/100))/(1/Q347)))))+((C328=TRUE)*F328*3)+((C330=TRUE)*F330*(1-EXP(-0.75*B363*5)))+((C349=TRUE)*(F349-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336=TRUE)*F336*IF(AND(Inputs!$B$39&lt;&gt;"pvp",Inputs!$B$44&gt;0),(((R336-1)*MIN((Skills!Y11*(1+Inputs!$B$34/100)),(1/Q336))+MIN((Skills!Y11*(1+Inputs!$B$34/100)),MAX(0,Inputs!$B$44-((R336-1)*(1/Q336)))))/Inputs!$B$44),IF(Inputs!$B$39="pvp",MIN((Skills!Y11*(1+Inputs!$B$34/100)),15)/15,MIN(1,(Skills!Y11*(1+Inputs!$B$34/100))/(1/Q336)))))/100)*(1+((C341=TRUE)*F341*IF(AND(Inputs!$B$39&lt;&gt;"pvp",Inputs!$B$44&gt;0),(((R341-1)*MIN((Skills!Y16*(1+Inputs!$B$34/100)),(1/Q341))+MIN((Skills!Y16*(1+Inputs!$B$34/100)),MAX(0,Inputs!$B$44-((R341-1)*(1/Q341)))))/Inputs!$B$44),IF(Inputs!$B$39="pvp",MIN((Skills!Y16*(1+Inputs!$B$34/100)),15)/15,MIN(1,(Skills!Y16*(1+Inputs!$B$34/100))/(1/Q341)))))/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361*I340)</f>
        <v/>
      </c>
      <c r="L340">
        <f>K340*(MIN(Inputs!$B$22+((C350=TRUE)*(F350-Calc!F25)),(Inputs!$B$23+((C355=TRUE)*(F355-Calc!F30))+IF(ArtifactsInput!$M$15,CHOOSE(ArtifactsInput!$N$15+1,25,30,35,40,45,50)/100*(Inputs!$B$11-Inputs!$B$11),0)))/100+(Inputs!$B$23+((C355=TRUE)*(F355-Calc!F30))+IF(ArtifactsInput!$M$15,CHOOSE(ArtifactsInput!$N$15+1,25,30,35,40,45,50)/100*(Inputs!$B$11-Inputs!$B$11),0))/100)/2</f>
        <v/>
      </c>
      <c r="M340">
        <f>L340*(1+(Inputs!$B$10+((C352=TRUE)*(F352-Calc!F27))+B366+(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340">
        <f>L340*(1-MIN((Inputs!$B$9+((C351=TRUE)*(F351-Calc!F26))+B359+(ArtifactsInput!$M$24-ArtifactsInput!$M$24)*CHOOSE(ArtifactsInput!$N$24+1,10,12,14,16,18,20)+(IF(AND(Inputs!$B$39&lt;&gt;"pvp",Inputs!$B$44=0),1,IF(IF(Inputs!$B$39="pvp",15,Inputs!$B$44)-(B370)&lt;=0,1,MAX(0,IF(Inputs!$B$39="pvp",15,Inputs!$B$44)-MAX(5,B370))/(IF(Inputs!$B$39="pvp",15,Inputs!$B$44)-(B370))))*IF(AND(ArtifactsInput!$M$42,((Inputs!$B$9+((C351=TRUE)*(F351-Calc!F26))+B359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340*(MIN((Inputs!$B$9+((C351=TRUE)*(F351-Calc!F26))+B359+(ArtifactsInput!$M$24-ArtifactsInput!$M$24)*CHOOSE(ArtifactsInput!$N$24+1,10,12,14,16,18,20)+(IF(AND(Inputs!$B$39&lt;&gt;"pvp",Inputs!$B$44=0),1,IF(IF(Inputs!$B$39="pvp",15,Inputs!$B$44)-(B370)&lt;=0,1,MAX(0,IF(Inputs!$B$39="pvp",15,Inputs!$B$44)-MAX(5,B370))/(IF(Inputs!$B$39="pvp",15,Inputs!$B$44)-(B370))))*IF(AND(ArtifactsInput!$M$42,((Inputs!$B$9+((C351=TRUE)*(F351-Calc!F26))+B359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340">
        <f>(1-Summary!$B$11)*T340+Summary!$B$11*V340</f>
        <v/>
      </c>
      <c r="P340">
        <f>IF(B371=0,0,O340/B371)</f>
        <v/>
      </c>
      <c r="Q340">
        <f>IFERROR(1/IF(Inputs!$B$39="pvp",15,MAX(0.1,Skills!D15-IF(TRUE=TRUE,Inputs!$B$32,0))),0)</f>
        <v/>
      </c>
      <c r="R340">
        <f>IF(AND(Inputs!$B$39&lt;&gt;"pvp",Inputs!$B$44&gt;0),IF(MAX(0,Inputs!$B$44-B370)&lt;=0,0,(INT(MAX(0,Inputs!$B$44-B370)/IF(Inputs!$B$39="pvp",15,MAX(0.1,Skills!D15-IF(TRUE=TRUE,Inputs!$B$32,0))))+1)),0)</f>
        <v/>
      </c>
      <c r="S340">
        <f>IFERROR(O340/N340,0)</f>
        <v/>
      </c>
      <c r="T340">
        <f>IF(C340,(H340*N340*IF(AND(Inputs!$B$39&lt;&gt;"pvp",Inputs!$B$44&gt;0),((Skills!G15*((R340-1)*IF(Skills!H15&gt;0,Skills!I15/Skills!H15,1)+IF(Skills!H15&gt;0,MIN(Skills!I15,MAX(0,MAX(0,Inputs!$B$44-B370)-((R340-1)*IF(Inputs!$B$39="pvp",15,MAX(0.1,Skills!D15-IF(TRUE=TRUE,Inputs!$B$32,0))))))/Skills!H15,1)))/Inputs!$B$44),G340*Q340))*IF(Inputs!$B$39="pvp",1,1+((Inputs!$B$20+1)+0+Skills!P15+B360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Hunt"),CHOOSE(ArtifactsInput!$N$35+1,15,18,21,24,27,30)*(1-EXP(-(0.2*B363)*5)),0)+IF(AND(ArtifactsInput!$M$22,Inputs!$B$4&lt;&gt;"Chapter Hunt"),CHOOSE(ArtifactsInput!$N$22+1,10,12,14,16,18,20)*((0*(((0.15*B363*5))^0/1)+1*(((0.15*B363*5))^1/1)+2*(((0.15*B363*5))^2/2)+3*(((0.15*B363*5))^3/6)+4*(((0.15*B363*5))^4/24)+5*(((0.15*B363*5))^5/120))/((((0.15*B363*5))^0/1)+(((0.15*B363*5))^1/1)+(((0.15*B363*5))^2/2)+(((0.15*B363*5))^3/6)+(((0.15*B363*5))^4/24)+(((0.15*B363*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340*(1-MIN(100,(Inputs!$B$9+((C351=TRUE)*(F351-Calc!F26))+B359+(ArtifactsInput!$M$24-ArtifactsInput!$M$24)*CHOOSE(ArtifactsInput!$N$24+1,10,12,14,16,18,20)+(IF(AND(Inputs!$B$39&lt;&gt;"pvp",Inputs!$B$44=0),1,IF(IF(Inputs!$B$39="pvp",15,Inputs!$B$44)-(B370)&lt;=0,1,MAX(0,IF(Inputs!$B$39="pvp",15,Inputs!$B$44)-MAX(5,B370))/(IF(Inputs!$B$39="pvp",15,Inputs!$B$44)-(B370))))*IF(AND(ArtifactsInput!$M$42,((Inputs!$B$9+((C351=TRUE)*(F351-Calc!F26))+B359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340*(MIN(100,(Inputs!$B$9+((C351=TRUE)*(F351-Calc!F26))+B359+(ArtifactsInput!$M$24-ArtifactsInput!$M$24)*CHOOSE(ArtifactsInput!$N$24+1,10,12,14,16,18,20)+(IF(AND(Inputs!$B$39&lt;&gt;"pvp",Inputs!$B$44=0),1,IF(IF(Inputs!$B$39="pvp",15,Inputs!$B$44)-(B370)&lt;=0,1,MAX(0,IF(Inputs!$B$39="pvp",15,Inputs!$B$44)-MAX(5,B370))/(IF(Inputs!$B$39="pvp",15,Inputs!$B$44)-(B370))))*IF(AND(ArtifactsInput!$M$42,((Inputs!$B$9+((C351=TRUE)*(F351-Calc!F26))+B359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340*(1-MIN(100,(Inputs!$B$9+((C351=TRUE)*(F351-Calc!F26))+B359+(ArtifactsInput!$M$24-ArtifactsInput!$M$24)*CHOOSE(ArtifactsInput!$N$24+1,10,12,14,16,18,20)+(IF(AND(Inputs!$B$39&lt;&gt;"pvp",Inputs!$B$44=0),1,IF(IF(Inputs!$B$39="pvp",15,Inputs!$B$44)-(B370)&lt;=0,1,MAX(0,IF(Inputs!$B$39="pvp",15,Inputs!$B$44)-MAX(5,B370))/(IF(Inputs!$B$39="pvp",15,Inputs!$B$44)-(B370))))*IF(AND(ArtifactsInput!$M$42,((Inputs!$B$9+((C351=TRUE)*(F351-Calc!F26))+B359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340*(MIN(100,(Inputs!$B$9+((C351=TRUE)*(F351-Calc!F26))+B359+(ArtifactsInput!$M$24-ArtifactsInput!$M$24)*CHOOSE(ArtifactsInput!$N$24+1,10,12,14,16,18,20)+(IF(AND(Inputs!$B$39&lt;&gt;"pvp",Inputs!$B$44=0),1,IF(IF(Inputs!$B$39="pvp",15,Inputs!$B$44)-(B370)&lt;=0,1,MAX(0,IF(Inputs!$B$39="pvp",15,Inputs!$B$44)-MAX(5,B370))/(IF(Inputs!$B$39="pvp",15,Inputs!$B$44)-(B370))))*IF(AND(ArtifactsInput!$M$42,((Inputs!$B$9+((C351=TRUE)*(F351-Calc!F26))+B359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340">
        <f>IF(C340,(H340*N340*IF(AND(Inputs!$B$39&lt;&gt;"pvp",Inputs!$B$44&gt;0),((Skills!G15*((R340-1)*IF(Skills!H15&gt;0,Skills!I15/Skills!H15,1)+IF(Skills!H15&gt;0,MIN(Skills!I15,MAX(0,MAX(0,Inputs!$B$44-B370)-((R340-1)*IF(Inputs!$B$39="pvp",15,MAX(0.1,Skills!D15-IF(TRUE=TRUE,Inputs!$B$32,0))))))/Skills!H15,1)))/Inputs!$B$44),G340*Q340))*IF(Inputs!$B$39="pvp",1,(1+(Inputs!$B$21+Skills!Q15+B360+(IF(ArtifactsInput!$M$33,CHOOSE(ArtifactsInput!$N$33+1,30,36,42,48,54,60),0))+(IF(AND(ArtifactsInput!$M$35,Inputs!$B$4&lt;&gt;"Chapter Hunt"),CHOOSE(ArtifactsInput!$N$35+1,15,18,21,24,27,30)*(1-EXP(-(0.2*B363)*5)),0)+IF(AND(ArtifactsInput!$M$22,Inputs!$B$4&lt;&gt;"Chapter Hunt"),CHOOSE(ArtifactsInput!$N$22+1,10,12,14,16,18,20)*((0*(((0.15*B363*5))^0/1)+1*(((0.15*B363*5))^1/1)+2*(((0.15*B363*5))^2/2)+3*(((0.15*B363*5))^3/6)+4*(((0.15*B363*5))^4/24)+5*(((0.15*B363*5))^5/120))/((((0.15*B363*5))^0/1)+(((0.15*B363*5))^1/1)+(((0.15*B363*5))^2/2)+(((0.15*B363*5))^3/6)+(((0.15*B363*5))^4/24)+(((0.15*B363*5))^5/120))),0)))/100)*(MIN(MIN(5,0.5*IF(Inputs!$B$3&gt;=75,0.75,0.5)*B363*(1/Q329))*Skills!V15,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341">
      <c r="A341">
        <f>Skills!A16</f>
        <v/>
      </c>
      <c r="B341">
        <f>Skills!B16</f>
        <v/>
      </c>
      <c r="C341">
        <f>Inputs!$B$3&gt;=110</f>
        <v/>
      </c>
      <c r="D341">
        <f>IF(Skills!C16=1,60+Inputs!$B$25+Inputs!$B$29,IF(Skills!C16=2,90+Inputs!$B$26+Inputs!$B$29,IF(Skills!C16=3,120+Inputs!$B$27+Inputs!$B$29,MAX(0,(Inputs!$B$3-100)*3)+Inputs!$B$28+Inputs!$B$29)))</f>
        <v/>
      </c>
      <c r="E341">
        <f>INDEX(FactorTable!$B$2:$Y$301, MATCH(ROUND(MIN(300,MAX(1,D341)),0), FactorTable!$A$2:$A$301,0), Skills!M16+1)</f>
        <v/>
      </c>
      <c r="F341">
        <f>IF(Skills!N16=TRUE,(Skills!L16/10)*(E341/1000),Skills!L16/10)+Skills!O16</f>
        <v/>
      </c>
      <c r="G341">
        <f>Skills!G16*IF(Skills!H16&gt;0,IF(Inputs!$B$39="pvp",MIN(Skills!I16,15),Skills!I16)/Skills!H16,1)</f>
        <v/>
      </c>
      <c r="H341">
        <f>1-(1-Skills!J16/100)^Skills!K16</f>
        <v/>
      </c>
      <c r="I341" t="inlineStr">
        <is>
          <t>1</t>
        </is>
      </c>
      <c r="J341" t="inlineStr"/>
      <c r="K341" t="inlineStr"/>
      <c r="L341" t="inlineStr"/>
      <c r="M341" t="inlineStr"/>
      <c r="N341" t="inlineStr"/>
      <c r="O341">
        <f>(1-Summary!$B$11)*T341+Summary!$B$11*V341</f>
        <v/>
      </c>
      <c r="P341">
        <f>IF(B371=0,0,O341/B371)</f>
        <v/>
      </c>
      <c r="Q341">
        <f>IFERROR(1/IF(Inputs!$B$39="pvp",15,MAX(0.1,Skills!D16-IF(TRUE=TRUE,Inputs!$B$32,0))),0)</f>
        <v/>
      </c>
      <c r="R341">
        <f>IF(AND(Inputs!$B$39&lt;&gt;"pvp",Inputs!$B$44&gt;0),IF(Inputs!$B$44&lt;=0,0,(INT(Inputs!$B$44/IF(Inputs!$B$39="pvp",15,MAX(0.1,Skills!D16-IF(TRUE=TRUE,Inputs!$B$32,0))))+1)),0)</f>
        <v/>
      </c>
      <c r="S341">
        <f>IFERROR(O341/N341,0)</f>
        <v/>
      </c>
      <c r="T341" t="n">
        <v>0</v>
      </c>
      <c r="V341" t="n">
        <v>0</v>
      </c>
    </row>
    <row r="342">
      <c r="A342">
        <f>Skills!A17</f>
        <v/>
      </c>
      <c r="B342">
        <f>Skills!B17</f>
        <v/>
      </c>
      <c r="C342">
        <f>Inputs!$B$3&gt;=115</f>
        <v/>
      </c>
      <c r="D342">
        <f>IF(Skills!C17=1,60+Inputs!$B$25+Inputs!$B$29,IF(Skills!C17=2,90+Inputs!$B$26+Inputs!$B$29,IF(Skills!C17=3,120+Inputs!$B$27+Inputs!$B$29,MAX(0,(Inputs!$B$3-100)*3)+Inputs!$B$28+Inputs!$B$29)))</f>
        <v/>
      </c>
      <c r="E342">
        <f>INDEX(FactorTable!$B$2:$Y$301, MATCH(ROUND(MIN(300,MAX(1,D342)),0), FactorTable!$A$2:$A$301,0), Skills!M17+1)</f>
        <v/>
      </c>
      <c r="F342">
        <f>IF(Skills!N17=TRUE,(Skills!L17/10)*(E342/1000),Skills!L17/10)+Skills!O17</f>
        <v/>
      </c>
      <c r="G342">
        <f>Skills!G17*IF(Skills!H17&gt;0,IF(Inputs!$B$39="pvp",MIN(Skills!I17,15),Skills!I17)/Skills!H17,1)</f>
        <v/>
      </c>
      <c r="H342">
        <f>1-(1-Skills!J17/100)^Skills!K17</f>
        <v/>
      </c>
      <c r="I342" t="inlineStr">
        <is>
          <t>1</t>
        </is>
      </c>
      <c r="J342">
        <f>((Inputs!$B$6*(1+Inputs!$B$7/100))+(((Inputs!$B$12*(1+Inputs!$B$13/100))-(Inputs!$B$12*(1+Inputs!$B$13/100)))+0.25*(Inputs!$B$14-Inputs!$B$14))*(1+Inputs!$B$7/100))*(F342/100)</f>
        <v/>
      </c>
      <c r="K342">
        <f>J342*(1+((Inputs!$B$12*(1+Inputs!$B$13/100))*0.01+Inputs!$B$14*0.0025)/100)*(1+Inputs!$B$15/100)*(1+Inputs!$B$16/100)*(5000/(6000+Inputs!$B$43*(1-(100*(1-(1-Inputs!$B$19/100)*(1-CHOOSE(ArtifactsInput!$N$40+1,5,6,7,8,9,10)/100)^(ArtifactsInput!$M$40-ArtifactsInput!$M$40)))/100)))*(1+(Inputs!$B$24+((C356=TRUE)*(F356-Calc!F31))+((C343=TRUE)*(F343-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17="CRUEL_STAB",Inputs!$B$17+((C353=TRUE)*(F353-Calc!F28))+((IF(AND(Inputs!$B$39&lt;&gt;"pvp",Inputs!$B$44=0),1,IF(IF(Inputs!$B$39="pvp",15,Inputs!$B$44)-(B370)&lt;=0,1,MAX(0,IF(Inputs!$B$39="pvp",15,Inputs!$B$44)-MAX(5,B370))/(IF(Inputs!$B$39="pvp",15,Inputs!$B$44)-(B370))))*(IF(AND(ArtifactsInput!$M$42,((Inputs!$B$9+((C351=TRUE)*(F351-Calc!F26))+B359+(ArtifactsInput!$M$24-ArtifactsInput!$M$24)*CHOOSE(ArtifactsInput!$N$24+1,10,12,14,16,18,20)+IF(ArtifactsInput!$M$10,CHOOSE(ArtifactsInput!$N$10+1,15,18,21,24,27,30)*(IF(Inputs!$B$39="pvp",MIN(15,15)/15,IF(AND(Inputs!$B$39&lt;&gt;"pvp",Inputs!$B$44&gt;0),MIN(15,Inputs!$B$44)/(Inputs!$B$44),0))),0)))&gt;=100),MIN(100,((Inputs!$B$9+((C351=TRUE)*(F351-Calc!F26))+B359+(ArtifactsInput!$M$24-ArtifactsInput!$M$24)*CHOOSE(ArtifactsInput!$N$24+1,10,12,14,16,18,20)+IF(ArtifactsInput!$M$10,CHOOSE(ArtifactsInput!$N$10+1,15,18,21,24,27,30)*(IF(Inputs!$B$39="pvp",MIN(15,15)/15,IF(AND(Inputs!$B$39&lt;&gt;"pvp",Inputs!$B$44&gt;0),MIN(15,Inputs!$B$44)/(Inputs!$B$44),0))),0)))-100),0))*CHOOSE(ArtifactsInput!$N$42+1,0.6,0.72,0.84,0.96,1.08,1.2))),Inputs!$B$18+((C354=TRUE)*(F354-Calc!F29))+(IF(AND(Inputs!$B$39&lt;&gt;"pvp",Inputs!$B$44=0),1,IF(IF(Inputs!$B$39="pvp",15,Inputs!$B$44)-(B370)&lt;=0,1,MAX(0,IF(Inputs!$B$39="pvp",15,Inputs!$B$44)-MAX(5,B370))/(IF(Inputs!$B$39="pvp",15,Inputs!$B$44)-(B370))))*IF(AND(ArtifactsInput!$M$42,((Inputs!$B$9+((C351=TRUE)*(F351-Calc!F26))+B359+(ArtifactsInput!$M$24-ArtifactsInput!$M$24)*CHOOSE(ArtifactsInput!$N$24+1,10,12,14,16,18,20)+IF(ArtifactsInput!$M$10,CHOOSE(ArtifactsInput!$N$10+1,15,18,21,24,27,30)*(IF(Inputs!$B$39="pvp",MIN(15,15)/15,IF(AND(Inputs!$B$39&lt;&gt;"pvp",Inputs!$B$44&gt;0),MIN(15,Inputs!$B$44)/(Inputs!$B$44),0))),0)))&gt;=100),CHOOSE(ArtifactsInput!$N$42+1,40,48,56,64,72,80),0))))/100)*(((1+(((C347=TRUE)*F347*IF(AND(Inputs!$B$39&lt;&gt;"pvp",Inputs!$B$44&gt;0),(((R347-1)*MIN((Skills!Y22*(1+Inputs!$B$34/100)),(1/Q347))+MIN((Skills!Y22*(1+Inputs!$B$34/100)),MAX(0,Inputs!$B$44-((R347-1)*(1/Q347)))))/Inputs!$B$44),IF(Inputs!$B$39="pvp",MIN((Skills!Y22*(1+Inputs!$B$34/100)),15)/15,MIN(1,(Skills!Y22*(1+Inputs!$B$34/100))/(1/Q347)))))+((C328=TRUE)*F328*3)+((C330=TRUE)*F330*(1-EXP(-0.75*B363*5)))+((C349=TRUE)*(F349-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336=TRUE)*F336*IF(AND(Inputs!$B$39&lt;&gt;"pvp",Inputs!$B$44&gt;0),(((R336-1)*MIN((Skills!Y11*(1+Inputs!$B$34/100)),(1/Q336))+MIN((Skills!Y11*(1+Inputs!$B$34/100)),MAX(0,Inputs!$B$44-((R336-1)*(1/Q336)))))/Inputs!$B$44),IF(Inputs!$B$39="pvp",MIN((Skills!Y11*(1+Inputs!$B$34/100)),15)/15,MIN(1,(Skills!Y11*(1+Inputs!$B$34/100))/(1/Q336)))))/100)*(1+((C341=TRUE)*F341*IF(AND(Inputs!$B$39&lt;&gt;"pvp",Inputs!$B$44&gt;0),(((R341-1)*MIN((Skills!Y16*(1+Inputs!$B$34/100)),(1/Q341))+MIN((Skills!Y16*(1+Inputs!$B$34/100)),MAX(0,Inputs!$B$44-((R341-1)*(1/Q341)))))/Inputs!$B$44),IF(Inputs!$B$39="pvp",MIN((Skills!Y16*(1+Inputs!$B$34/100)),15)/15,MIN(1,(Skills!Y16*(1+Inputs!$B$34/100))/(1/Q341)))))/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361*I342)</f>
        <v/>
      </c>
      <c r="L342">
        <f>K342*(MIN(Inputs!$B$22+((C350=TRUE)*(F350-Calc!F25)),(Inputs!$B$23+((C355=TRUE)*(F355-Calc!F30))+IF(ArtifactsInput!$M$15,CHOOSE(ArtifactsInput!$N$15+1,25,30,35,40,45,50)/100*(Inputs!$B$11-Inputs!$B$11),0)))/100+(Inputs!$B$23+((C355=TRUE)*(F355-Calc!F30))+IF(ArtifactsInput!$M$15,CHOOSE(ArtifactsInput!$N$15+1,25,30,35,40,45,50)/100*(Inputs!$B$11-Inputs!$B$11),0))/100)/2</f>
        <v/>
      </c>
      <c r="M342">
        <f>L342*(1+(Inputs!$B$10+((C352=TRUE)*(F352-Calc!F27))+B366+(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342">
        <f>L342*(1-MIN((Inputs!$B$9+((C351=TRUE)*(F351-Calc!F26))+B359+(ArtifactsInput!$M$24-ArtifactsInput!$M$24)*CHOOSE(ArtifactsInput!$N$24+1,10,12,14,16,18,20)+(IF(AND(Inputs!$B$39&lt;&gt;"pvp",Inputs!$B$44=0),1,IF(IF(Inputs!$B$39="pvp",15,Inputs!$B$44)-(B370)&lt;=0,1,MAX(0,IF(Inputs!$B$39="pvp",15,Inputs!$B$44)-MAX(5,B370))/(IF(Inputs!$B$39="pvp",15,Inputs!$B$44)-(B370))))*IF(AND(ArtifactsInput!$M$42,((Inputs!$B$9+((C351=TRUE)*(F351-Calc!F26))+B359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342*(MIN((Inputs!$B$9+((C351=TRUE)*(F351-Calc!F26))+B359+(ArtifactsInput!$M$24-ArtifactsInput!$M$24)*CHOOSE(ArtifactsInput!$N$24+1,10,12,14,16,18,20)+(IF(AND(Inputs!$B$39&lt;&gt;"pvp",Inputs!$B$44=0),1,IF(IF(Inputs!$B$39="pvp",15,Inputs!$B$44)-(B370)&lt;=0,1,MAX(0,IF(Inputs!$B$39="pvp",15,Inputs!$B$44)-MAX(5,B370))/(IF(Inputs!$B$39="pvp",15,Inputs!$B$44)-(B370))))*IF(AND(ArtifactsInput!$M$42,((Inputs!$B$9+((C351=TRUE)*(F351-Calc!F26))+B359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342">
        <f>(1-Summary!$B$11)*T342+Summary!$B$11*V342</f>
        <v/>
      </c>
      <c r="P342">
        <f>IF(B371=0,0,O342/B371)</f>
        <v/>
      </c>
      <c r="Q342" t="n">
        <v>0</v>
      </c>
      <c r="R342" t="n">
        <v>0</v>
      </c>
      <c r="S342">
        <f>IFERROR(O342/N342,0)</f>
        <v/>
      </c>
      <c r="T342">
        <f>IF(C342,(Inputs!$B$38*0.2*N342)*IF(Inputs!$B$39="pvp",1,1+((Inputs!$B$20+1)+0+Skills!P17+B360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Hunt"),CHOOSE(ArtifactsInput!$N$35+1,15,18,21,24,27,30)*(1-EXP(-(0.2*B363)*5)),0)+IF(AND(ArtifactsInput!$M$22,Inputs!$B$4&lt;&gt;"Chapter Hunt"),CHOOSE(ArtifactsInput!$N$22+1,10,12,14,16,18,20)*((0*(((0.15*B363*5))^0/1)+1*(((0.15*B363*5))^1/1)+2*(((0.15*B363*5))^2/2)+3*(((0.15*B363*5))^3/6)+4*(((0.15*B363*5))^4/24)+5*(((0.15*B363*5))^5/120))/((((0.15*B363*5))^0/1)+(((0.15*B363*5))^1/1)+(((0.15*B363*5))^2/2)+(((0.15*B363*5))^3/6)+(((0.15*B363*5))^4/24)+(((0.15*B363*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342*(1-MIN(100,(Inputs!$B$9+((C351=TRUE)*(F351-Calc!F26))+B359+(ArtifactsInput!$M$24-ArtifactsInput!$M$24)*CHOOSE(ArtifactsInput!$N$24+1,10,12,14,16,18,20)+(IF(AND(Inputs!$B$39&lt;&gt;"pvp",Inputs!$B$44=0),1,IF(IF(Inputs!$B$39="pvp",15,Inputs!$B$44)-(B370)&lt;=0,1,MAX(0,IF(Inputs!$B$39="pvp",15,Inputs!$B$44)-MAX(5,B370))/(IF(Inputs!$B$39="pvp",15,Inputs!$B$44)-(B370))))*IF(AND(ArtifactsInput!$M$42,((Inputs!$B$9+((C351=TRUE)*(F351-Calc!F26))+B359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342*(MIN(100,(Inputs!$B$9+((C351=TRUE)*(F351-Calc!F26))+B359+(ArtifactsInput!$M$24-ArtifactsInput!$M$24)*CHOOSE(ArtifactsInput!$N$24+1,10,12,14,16,18,20)+(IF(AND(Inputs!$B$39&lt;&gt;"pvp",Inputs!$B$44=0),1,IF(IF(Inputs!$B$39="pvp",15,Inputs!$B$44)-(B370)&lt;=0,1,MAX(0,IF(Inputs!$B$39="pvp",15,Inputs!$B$44)-MAX(5,B370))/(IF(Inputs!$B$39="pvp",15,Inputs!$B$44)-(B370))))*IF(AND(ArtifactsInput!$M$42,((Inputs!$B$9+((C351=TRUE)*(F351-Calc!F26))+B359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342*(1-MIN(100,(Inputs!$B$9+((C351=TRUE)*(F351-Calc!F26))+B359+(ArtifactsInput!$M$24-ArtifactsInput!$M$24)*CHOOSE(ArtifactsInput!$N$24+1,10,12,14,16,18,20)+(IF(AND(Inputs!$B$39&lt;&gt;"pvp",Inputs!$B$44=0),1,IF(IF(Inputs!$B$39="pvp",15,Inputs!$B$44)-(B370)&lt;=0,1,MAX(0,IF(Inputs!$B$39="pvp",15,Inputs!$B$44)-MAX(5,B370))/(IF(Inputs!$B$39="pvp",15,Inputs!$B$44)-(B370))))*IF(AND(ArtifactsInput!$M$42,((Inputs!$B$9+((C351=TRUE)*(F351-Calc!F26))+B359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342*(MIN(100,(Inputs!$B$9+((C351=TRUE)*(F351-Calc!F26))+B359+(ArtifactsInput!$M$24-ArtifactsInput!$M$24)*CHOOSE(ArtifactsInput!$N$24+1,10,12,14,16,18,20)+(IF(AND(Inputs!$B$39&lt;&gt;"pvp",Inputs!$B$44=0),1,IF(IF(Inputs!$B$39="pvp",15,Inputs!$B$44)-(B370)&lt;=0,1,MAX(0,IF(Inputs!$B$39="pvp",15,Inputs!$B$44)-MAX(5,B370))/(IF(Inputs!$B$39="pvp",15,Inputs!$B$44)-(B370))))*IF(AND(ArtifactsInput!$M$42,((Inputs!$B$9+((C351=TRUE)*(F351-Calc!F26))+B359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342">
        <f>IF(C342,(Inputs!$B$38*0.2*N342)*IF(Inputs!$B$39="pvp",1,(1+(Inputs!$B$21+Skills!Q17+B360+(IF(ArtifactsInput!$M$33,CHOOSE(ArtifactsInput!$N$33+1,30,36,42,48,54,60),0))+(IF(AND(ArtifactsInput!$M$35,Inputs!$B$4&lt;&gt;"Chapter Hunt"),CHOOSE(ArtifactsInput!$N$35+1,15,18,21,24,27,30)*(1-EXP(-(0.2*B363)*5)),0)+IF(AND(ArtifactsInput!$M$22,Inputs!$B$4&lt;&gt;"Chapter Hunt"),CHOOSE(ArtifactsInput!$N$22+1,10,12,14,16,18,20)*((0*(((0.15*B363*5))^0/1)+1*(((0.15*B363*5))^1/1)+2*(((0.15*B363*5))^2/2)+3*(((0.15*B363*5))^3/6)+4*(((0.15*B363*5))^4/24)+5*(((0.15*B363*5))^5/120))/((((0.15*B363*5))^0/1)+(((0.15*B363*5))^1/1)+(((0.15*B363*5))^2/2)+(((0.15*B363*5))^3/6)+(((0.15*B363*5))^4/24)+(((0.15*B363*5))^5/120))),0)))/100)*(MIN(Skills!W17,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343">
      <c r="A343">
        <f>Skills!A18</f>
        <v/>
      </c>
      <c r="B343">
        <f>Skills!B18</f>
        <v/>
      </c>
      <c r="C343">
        <f>Inputs!$B$3&gt;=115</f>
        <v/>
      </c>
      <c r="D343">
        <f>IF(Skills!C18=1,60+Inputs!$B$25+Inputs!$B$29,IF(Skills!C18=2,90+Inputs!$B$26+Inputs!$B$29,IF(Skills!C18=3,120+Inputs!$B$27+Inputs!$B$29,MAX(0,(Inputs!$B$3-100)*3)+Inputs!$B$28+Inputs!$B$29)))</f>
        <v/>
      </c>
      <c r="E343">
        <f>INDEX(FactorTable!$B$2:$Y$301, MATCH(ROUND(MIN(300,MAX(1,D343)),0), FactorTable!$A$2:$A$301,0), Skills!M18+1)</f>
        <v/>
      </c>
      <c r="F343">
        <f>IF(Skills!N18=TRUE,(Skills!L18/10)*(E343/1000),Skills!L18/10)+Skills!O18</f>
        <v/>
      </c>
      <c r="G343">
        <f>Skills!G18*IF(Skills!H18&gt;0,IF(Inputs!$B$39="pvp",MIN(Skills!I18,15),Skills!I18)/Skills!H18,1)</f>
        <v/>
      </c>
      <c r="H343">
        <f>1-(1-Skills!J18/100)^Skills!K18</f>
        <v/>
      </c>
      <c r="I343" t="inlineStr">
        <is>
          <t>1</t>
        </is>
      </c>
      <c r="J343" t="inlineStr"/>
      <c r="K343" t="inlineStr"/>
      <c r="L343" t="inlineStr"/>
      <c r="M343" t="inlineStr"/>
      <c r="N343" t="inlineStr"/>
      <c r="O343">
        <f>(1-Summary!$B$11)*T343+Summary!$B$11*V343</f>
        <v/>
      </c>
      <c r="P343">
        <f>IF(B371=0,0,O343/B371)</f>
        <v/>
      </c>
      <c r="Q343" t="n">
        <v>0</v>
      </c>
      <c r="R343" t="n">
        <v>0</v>
      </c>
      <c r="S343">
        <f>IFERROR(O343/N343,0)</f>
        <v/>
      </c>
      <c r="T343" t="n">
        <v>0</v>
      </c>
      <c r="V343" t="n">
        <v>0</v>
      </c>
    </row>
    <row r="344">
      <c r="A344">
        <f>Skills!A19</f>
        <v/>
      </c>
      <c r="B344">
        <f>Skills!B19</f>
        <v/>
      </c>
      <c r="C344">
        <f>Inputs!$B$3&gt;=100</f>
        <v/>
      </c>
      <c r="D344">
        <f>IF(Skills!C19=1,60+Inputs!$B$25+Inputs!$B$29,IF(Skills!C19=2,90+Inputs!$B$26+Inputs!$B$29,IF(Skills!C19=3,120+Inputs!$B$27+Inputs!$B$29,MAX(0,(Inputs!$B$3-100)*3)+Inputs!$B$28+Inputs!$B$29)))</f>
        <v/>
      </c>
      <c r="E344">
        <f>INDEX(FactorTable!$B$2:$Y$301, MATCH(ROUND(MIN(300,MAX(1,D344)),0), FactorTable!$A$2:$A$301,0), Skills!M19+1)</f>
        <v/>
      </c>
      <c r="F344">
        <f>IF(Skills!N19=TRUE,(Skills!L19/10)*(E344/1000),Skills!L19/10)+Skills!O19</f>
        <v/>
      </c>
      <c r="G344">
        <f>Skills!G19*IF(Skills!H19&gt;0,IF(Inputs!$B$39="pvp",MIN(Skills!I19,15),Skills!I19)/Skills!H19,1)</f>
        <v/>
      </c>
      <c r="H344">
        <f>1-(1-Skills!J19/100)^Skills!K19</f>
        <v/>
      </c>
      <c r="I344" t="inlineStr">
        <is>
          <t>1</t>
        </is>
      </c>
      <c r="J344" t="inlineStr"/>
      <c r="K344" t="inlineStr"/>
      <c r="L344" t="inlineStr"/>
      <c r="M344" t="inlineStr"/>
      <c r="N344" t="inlineStr"/>
      <c r="O344">
        <f>(1-Summary!$B$11)*T344+Summary!$B$11*V344</f>
        <v/>
      </c>
      <c r="P344">
        <f>IF(B371=0,0,O344/B371)</f>
        <v/>
      </c>
      <c r="Q344" t="n">
        <v>0</v>
      </c>
      <c r="R344" t="n">
        <v>0</v>
      </c>
      <c r="S344">
        <f>IFERROR(O344/N344,0)</f>
        <v/>
      </c>
      <c r="T344" t="n">
        <v>0</v>
      </c>
      <c r="V344" t="n">
        <v>0</v>
      </c>
    </row>
    <row r="345">
      <c r="A345">
        <f>Skills!A20</f>
        <v/>
      </c>
      <c r="B345">
        <f>Skills!B20</f>
        <v/>
      </c>
      <c r="C345">
        <f>TRUE</f>
        <v/>
      </c>
      <c r="D345">
        <f>IF(Skills!C20=1,60+Inputs!$B$25+Inputs!$B$29,IF(Skills!C20=2,90+Inputs!$B$26+Inputs!$B$29,IF(Skills!C20=3,120+Inputs!$B$27+Inputs!$B$29,MAX(0,(Inputs!$B$3-100)*3)+Inputs!$B$28+Inputs!$B$29)))</f>
        <v/>
      </c>
      <c r="E345">
        <f>INDEX(FactorTable!$B$2:$Y$301, MATCH(ROUND(MIN(300,MAX(1,D345)),0), FactorTable!$A$2:$A$301,0), Skills!M20+1)</f>
        <v/>
      </c>
      <c r="F345">
        <f>IF(Skills!N20=TRUE,(Skills!L20/10)*(E345/1000),Skills!L20/10)+Skills!O20</f>
        <v/>
      </c>
      <c r="G345">
        <f>Skills!G20*IF(Skills!H20&gt;0,IF(Inputs!$B$39="pvp",MIN(Skills!I20,15),Skills!I20)/Skills!H20,1)</f>
        <v/>
      </c>
      <c r="H345">
        <f>1-(1-Skills!J20/100)^Skills!K20</f>
        <v/>
      </c>
      <c r="I345" t="inlineStr">
        <is>
          <t>1</t>
        </is>
      </c>
      <c r="J345" t="inlineStr"/>
      <c r="K345" t="inlineStr"/>
      <c r="L345" t="inlineStr"/>
      <c r="M345" t="inlineStr"/>
      <c r="N345" t="inlineStr"/>
      <c r="O345">
        <f>(1-Summary!$B$11)*T345+Summary!$B$11*V345</f>
        <v/>
      </c>
      <c r="P345">
        <f>IF(B371=0,0,O345/B371)</f>
        <v/>
      </c>
      <c r="Q345">
        <f>IFERROR(1/IF(Inputs!$B$39="pvp",15,MAX(0.1,Skills!D20-IF(TRUE=TRUE,Inputs!$B$32,0))),0)</f>
        <v/>
      </c>
      <c r="R345">
        <f>IF(AND(Inputs!$B$39&lt;&gt;"pvp",Inputs!$B$44&gt;0),IF(Inputs!$B$44&lt;=0,0,(INT(Inputs!$B$44/IF(Inputs!$B$39="pvp",15,MAX(0.1,Skills!D20-IF(TRUE=TRUE,Inputs!$B$32,0))))+1)),0)</f>
        <v/>
      </c>
      <c r="S345">
        <f>IFERROR(O345/N345,0)</f>
        <v/>
      </c>
      <c r="T345" t="n">
        <v>0</v>
      </c>
      <c r="V345" t="n">
        <v>0</v>
      </c>
    </row>
    <row r="346">
      <c r="A346">
        <f>Skills!A21</f>
        <v/>
      </c>
      <c r="B346">
        <f>Skills!B21</f>
        <v/>
      </c>
      <c r="C346">
        <f>Inputs!$B$3&gt;=15</f>
        <v/>
      </c>
      <c r="D346">
        <f>IF(Skills!C21=1,60+Inputs!$B$25+Inputs!$B$29,IF(Skills!C21=2,90+Inputs!$B$26+Inputs!$B$29,IF(Skills!C21=3,120+Inputs!$B$27+Inputs!$B$29,MAX(0,(Inputs!$B$3-100)*3)+Inputs!$B$28+Inputs!$B$29)))</f>
        <v/>
      </c>
      <c r="E346">
        <f>INDEX(FactorTable!$B$2:$Y$301, MATCH(ROUND(MIN(300,MAX(1,D346)),0), FactorTable!$A$2:$A$301,0), Skills!M21+1)</f>
        <v/>
      </c>
      <c r="F346">
        <f>IF(Skills!N21=TRUE,(Skills!L21/10)*(E346/1000),Skills!L21/10)+Skills!O21</f>
        <v/>
      </c>
      <c r="G346">
        <f>Skills!G21*IF(Skills!H21&gt;0,IF(Inputs!$B$39="pvp",MIN(Skills!I21,15),Skills!I21)/Skills!H21,1)</f>
        <v/>
      </c>
      <c r="H346">
        <f>1-(1-Skills!J21/100)^Skills!K21</f>
        <v/>
      </c>
      <c r="I346" t="inlineStr">
        <is>
          <t>1</t>
        </is>
      </c>
      <c r="J346" t="inlineStr"/>
      <c r="K346" t="inlineStr"/>
      <c r="L346" t="inlineStr"/>
      <c r="M346" t="inlineStr"/>
      <c r="N346" t="inlineStr"/>
      <c r="O346">
        <f>(1-Summary!$B$11)*T346+Summary!$B$11*V346</f>
        <v/>
      </c>
      <c r="P346">
        <f>IF(B371=0,0,O346/B371)</f>
        <v/>
      </c>
      <c r="Q346">
        <f>IFERROR(1/IF(Inputs!$B$39="pvp",15,MAX(0.1,Skills!D21-IF(TRUE=TRUE,Inputs!$B$32,0))),0)</f>
        <v/>
      </c>
      <c r="R346">
        <f>IF(AND(Inputs!$B$39&lt;&gt;"pvp",Inputs!$B$44&gt;0),IF(Inputs!$B$44&lt;=0,0,(INT(Inputs!$B$44/IF(Inputs!$B$39="pvp",15,MAX(0.1,Skills!D21-IF(TRUE=TRUE,Inputs!$B$32,0))))+1)),0)</f>
        <v/>
      </c>
      <c r="S346">
        <f>IFERROR(O346/N346,0)</f>
        <v/>
      </c>
      <c r="T346" t="n">
        <v>0</v>
      </c>
      <c r="V346" t="n">
        <v>0</v>
      </c>
    </row>
    <row r="347">
      <c r="A347">
        <f>Skills!A22</f>
        <v/>
      </c>
      <c r="B347">
        <f>Skills!B22</f>
        <v/>
      </c>
      <c r="C347">
        <f>Inputs!$B$3&gt;=15</f>
        <v/>
      </c>
      <c r="D347">
        <f>IF(Skills!C22=1,60+Inputs!$B$25+Inputs!$B$29,IF(Skills!C22=2,90+Inputs!$B$26+Inputs!$B$29,IF(Skills!C22=3,120+Inputs!$B$27+Inputs!$B$29,MAX(0,(Inputs!$B$3-100)*3)+Inputs!$B$28+Inputs!$B$29)))</f>
        <v/>
      </c>
      <c r="E347">
        <f>INDEX(FactorTable!$B$2:$Y$301, MATCH(ROUND(MIN(300,MAX(1,D347)),0), FactorTable!$A$2:$A$301,0), Skills!M22+1)</f>
        <v/>
      </c>
      <c r="F347">
        <f>IF(Skills!N22=TRUE,(Skills!L22/10)*(E347/1000),Skills!L22/10)+Skills!O22</f>
        <v/>
      </c>
      <c r="G347">
        <f>Skills!G22*IF(Skills!H22&gt;0,IF(Inputs!$B$39="pvp",MIN(Skills!I22,15),Skills!I22)/Skills!H22,1)</f>
        <v/>
      </c>
      <c r="H347">
        <f>1-(1-Skills!J22/100)^Skills!K22</f>
        <v/>
      </c>
      <c r="I347" t="inlineStr">
        <is>
          <t>1</t>
        </is>
      </c>
      <c r="J347" t="inlineStr"/>
      <c r="K347" t="inlineStr"/>
      <c r="L347" t="inlineStr"/>
      <c r="M347" t="inlineStr"/>
      <c r="N347" t="inlineStr"/>
      <c r="O347">
        <f>(1-Summary!$B$11)*T347+Summary!$B$11*V347</f>
        <v/>
      </c>
      <c r="P347">
        <f>IF(B371=0,0,O347/B371)</f>
        <v/>
      </c>
      <c r="Q347">
        <f>IFERROR(1/IF(Inputs!$B$39="pvp",15,MAX(0.1,Skills!D22-IF(TRUE=TRUE,Inputs!$B$32,0))),0)</f>
        <v/>
      </c>
      <c r="R347">
        <f>IF(AND(Inputs!$B$39&lt;&gt;"pvp",Inputs!$B$44&gt;0),IF(Inputs!$B$44&lt;=0,0,(INT(Inputs!$B$44/IF(Inputs!$B$39="pvp",15,MAX(0.1,Skills!D22-IF(TRUE=TRUE,Inputs!$B$32,0))))+1)),0)</f>
        <v/>
      </c>
      <c r="S347">
        <f>IFERROR(O347/N347,0)</f>
        <v/>
      </c>
      <c r="T347" t="n">
        <v>0</v>
      </c>
      <c r="V347" t="n">
        <v>0</v>
      </c>
    </row>
    <row r="348">
      <c r="A348">
        <f>Skills!A23</f>
        <v/>
      </c>
      <c r="B348">
        <f>Skills!B23</f>
        <v/>
      </c>
      <c r="C348">
        <f>Inputs!$B$3&gt;=33</f>
        <v/>
      </c>
      <c r="D348">
        <f>IF(Skills!C23=1,60+Inputs!$B$25+Inputs!$B$29,IF(Skills!C23=2,90+Inputs!$B$26+Inputs!$B$29,IF(Skills!C23=3,120+Inputs!$B$27+Inputs!$B$29,MAX(0,(Inputs!$B$3-100)*3)+Inputs!$B$28+Inputs!$B$29)))</f>
        <v/>
      </c>
      <c r="E348">
        <f>INDEX(FactorTable!$B$2:$Y$301, MATCH(ROUND(MIN(300,MAX(1,D348)),0), FactorTable!$A$2:$A$301,0), Skills!M23+1)</f>
        <v/>
      </c>
      <c r="F348">
        <f>IF(Skills!N23=TRUE,(Skills!L23/10)*(E348/1000),Skills!L23/10)+Skills!O23</f>
        <v/>
      </c>
      <c r="G348">
        <f>Skills!G23*IF(Skills!H23&gt;0,IF(Inputs!$B$39="pvp",MIN(Skills!I23,15),Skills!I23)/Skills!H23,1)</f>
        <v/>
      </c>
      <c r="H348">
        <f>1-(1-Skills!J23/100)^Skills!K23</f>
        <v/>
      </c>
      <c r="I348" t="inlineStr">
        <is>
          <t>1</t>
        </is>
      </c>
      <c r="J348" t="inlineStr"/>
      <c r="K348" t="inlineStr"/>
      <c r="L348" t="inlineStr"/>
      <c r="M348" t="inlineStr"/>
      <c r="N348" t="inlineStr"/>
      <c r="O348">
        <f>(1-Summary!$B$11)*T348+Summary!$B$11*V348</f>
        <v/>
      </c>
      <c r="P348">
        <f>IF(B371=0,0,O348/B371)</f>
        <v/>
      </c>
      <c r="Q348" t="n">
        <v>0</v>
      </c>
      <c r="R348" t="n">
        <v>0</v>
      </c>
      <c r="S348">
        <f>IFERROR(O348/N348,0)</f>
        <v/>
      </c>
      <c r="T348" t="n">
        <v>0</v>
      </c>
      <c r="V348" t="n">
        <v>0</v>
      </c>
    </row>
    <row r="349">
      <c r="A349">
        <f>Skills!A24</f>
        <v/>
      </c>
      <c r="B349">
        <f>Skills!B24</f>
        <v/>
      </c>
      <c r="C349">
        <f>Inputs!$B$3&gt;=40</f>
        <v/>
      </c>
      <c r="D349">
        <f>IF(Skills!C24=1,60+Inputs!$B$25+Inputs!$B$29,IF(Skills!C24=2,90+Inputs!$B$26+Inputs!$B$29,IF(Skills!C24=3,120+Inputs!$B$27+Inputs!$B$29,MAX(0,(Inputs!$B$3-100)*3)+Inputs!$B$28+Inputs!$B$29)))</f>
        <v/>
      </c>
      <c r="E349">
        <f>INDEX(FactorTable!$B$2:$Y$301, MATCH(ROUND(MIN(300,MAX(1,D349)),0), FactorTable!$A$2:$A$301,0), Skills!M24+1)</f>
        <v/>
      </c>
      <c r="F349">
        <f>IF(Skills!N24=TRUE,(Skills!L24/10)*(E349/1000),Skills!L24/10)+Skills!O24</f>
        <v/>
      </c>
      <c r="G349">
        <f>Skills!G24*IF(Skills!H24&gt;0,IF(Inputs!$B$39="pvp",MIN(Skills!I24,15),Skills!I24)/Skills!H24,1)</f>
        <v/>
      </c>
      <c r="H349">
        <f>1-(1-Skills!J24/100)^Skills!K24</f>
        <v/>
      </c>
      <c r="I349" t="inlineStr">
        <is>
          <t>1</t>
        </is>
      </c>
      <c r="J349" t="inlineStr"/>
      <c r="K349" t="inlineStr"/>
      <c r="L349" t="inlineStr"/>
      <c r="M349" t="inlineStr"/>
      <c r="N349" t="inlineStr"/>
      <c r="O349">
        <f>(1-Summary!$B$11)*T349+Summary!$B$11*V349</f>
        <v/>
      </c>
      <c r="P349">
        <f>IF(B371=0,0,O349/B371)</f>
        <v/>
      </c>
      <c r="Q349" t="n">
        <v>0</v>
      </c>
      <c r="R349" t="n">
        <v>0</v>
      </c>
      <c r="S349">
        <f>IFERROR(O349/N349,0)</f>
        <v/>
      </c>
      <c r="T349" t="n">
        <v>0</v>
      </c>
      <c r="V349" t="n">
        <v>0</v>
      </c>
    </row>
    <row r="350">
      <c r="A350">
        <f>Skills!A25</f>
        <v/>
      </c>
      <c r="B350">
        <f>Skills!B25</f>
        <v/>
      </c>
      <c r="C350">
        <f>Inputs!$B$3&gt;=43</f>
        <v/>
      </c>
      <c r="D350">
        <f>IF(Skills!C25=1,60+Inputs!$B$25+Inputs!$B$29,IF(Skills!C25=2,90+Inputs!$B$26+Inputs!$B$29,IF(Skills!C25=3,120+Inputs!$B$27+Inputs!$B$29,MAX(0,(Inputs!$B$3-100)*3)+Inputs!$B$28+Inputs!$B$29)))</f>
        <v/>
      </c>
      <c r="E350">
        <f>INDEX(FactorTable!$B$2:$Y$301, MATCH(ROUND(MIN(300,MAX(1,D350)),0), FactorTable!$A$2:$A$301,0), Skills!M25+1)</f>
        <v/>
      </c>
      <c r="F350">
        <f>IF(Skills!N25=TRUE,(Skills!L25/10)*(E350/1000),Skills!L25/10)+Skills!O25</f>
        <v/>
      </c>
      <c r="G350">
        <f>Skills!G25*IF(Skills!H25&gt;0,IF(Inputs!$B$39="pvp",MIN(Skills!I25,15),Skills!I25)/Skills!H25,1)</f>
        <v/>
      </c>
      <c r="H350">
        <f>1-(1-Skills!J25/100)^Skills!K25</f>
        <v/>
      </c>
      <c r="I350" t="inlineStr">
        <is>
          <t>1</t>
        </is>
      </c>
      <c r="J350" t="inlineStr"/>
      <c r="K350" t="inlineStr"/>
      <c r="L350" t="inlineStr"/>
      <c r="M350" t="inlineStr"/>
      <c r="N350" t="inlineStr"/>
      <c r="O350">
        <f>(1-Summary!$B$11)*T350+Summary!$B$11*V350</f>
        <v/>
      </c>
      <c r="P350">
        <f>IF(B371=0,0,O350/B371)</f>
        <v/>
      </c>
      <c r="Q350" t="n">
        <v>0</v>
      </c>
      <c r="R350" t="n">
        <v>0</v>
      </c>
      <c r="S350">
        <f>IFERROR(O350/N350,0)</f>
        <v/>
      </c>
      <c r="T350" t="n">
        <v>0</v>
      </c>
      <c r="V350" t="n">
        <v>0</v>
      </c>
    </row>
    <row r="351">
      <c r="A351">
        <f>Skills!A26</f>
        <v/>
      </c>
      <c r="B351">
        <f>Skills!B26</f>
        <v/>
      </c>
      <c r="C351">
        <f>Inputs!$B$3&gt;=50</f>
        <v/>
      </c>
      <c r="D351">
        <f>IF(Skills!C26=1,60+Inputs!$B$25+Inputs!$B$29,IF(Skills!C26=2,90+Inputs!$B$26+Inputs!$B$29,IF(Skills!C26=3,120+Inputs!$B$27+Inputs!$B$29,MAX(0,(Inputs!$B$3-100)*3)+Inputs!$B$28+Inputs!$B$29)))</f>
        <v/>
      </c>
      <c r="E351">
        <f>INDEX(FactorTable!$B$2:$Y$301, MATCH(ROUND(MIN(300,MAX(1,D351)),0), FactorTable!$A$2:$A$301,0), Skills!M26+1)</f>
        <v/>
      </c>
      <c r="F351">
        <f>IF(Skills!N26=TRUE,(Skills!L26/10)*(E351/1000),Skills!L26/10)+Skills!O26</f>
        <v/>
      </c>
      <c r="G351">
        <f>Skills!G26*IF(Skills!H26&gt;0,IF(Inputs!$B$39="pvp",MIN(Skills!I26,15),Skills!I26)/Skills!H26,1)</f>
        <v/>
      </c>
      <c r="H351">
        <f>1-(1-Skills!J26/100)^Skills!K26</f>
        <v/>
      </c>
      <c r="I351" t="inlineStr">
        <is>
          <t>1</t>
        </is>
      </c>
      <c r="J351" t="inlineStr"/>
      <c r="K351" t="inlineStr"/>
      <c r="L351" t="inlineStr"/>
      <c r="M351" t="inlineStr"/>
      <c r="N351" t="inlineStr"/>
      <c r="O351">
        <f>(1-Summary!$B$11)*T351+Summary!$B$11*V351</f>
        <v/>
      </c>
      <c r="P351">
        <f>IF(B371=0,0,O351/B371)</f>
        <v/>
      </c>
      <c r="Q351" t="n">
        <v>0</v>
      </c>
      <c r="R351" t="n">
        <v>0</v>
      </c>
      <c r="S351">
        <f>IFERROR(O351/N351,0)</f>
        <v/>
      </c>
      <c r="T351" t="n">
        <v>0</v>
      </c>
      <c r="V351" t="n">
        <v>0</v>
      </c>
    </row>
    <row r="352">
      <c r="A352">
        <f>Skills!A27</f>
        <v/>
      </c>
      <c r="B352">
        <f>Skills!B27</f>
        <v/>
      </c>
      <c r="C352">
        <f>Inputs!$B$3&gt;=50</f>
        <v/>
      </c>
      <c r="D352">
        <f>IF(Skills!C27=1,60+Inputs!$B$25+Inputs!$B$29,IF(Skills!C27=2,90+Inputs!$B$26+Inputs!$B$29,IF(Skills!C27=3,120+Inputs!$B$27+Inputs!$B$29,MAX(0,(Inputs!$B$3-100)*3)+Inputs!$B$28+Inputs!$B$29)))</f>
        <v/>
      </c>
      <c r="E352">
        <f>INDEX(FactorTable!$B$2:$Y$301, MATCH(ROUND(MIN(300,MAX(1,D352)),0), FactorTable!$A$2:$A$301,0), Skills!M27+1)</f>
        <v/>
      </c>
      <c r="F352">
        <f>IF(Skills!N27=TRUE,(Skills!L27/10)*(E352/1000),Skills!L27/10)+Skills!O27</f>
        <v/>
      </c>
      <c r="G352">
        <f>Skills!G27*IF(Skills!H27&gt;0,IF(Inputs!$B$39="pvp",MIN(Skills!I27,15),Skills!I27)/Skills!H27,1)</f>
        <v/>
      </c>
      <c r="H352">
        <f>1-(1-Skills!J27/100)^Skills!K27</f>
        <v/>
      </c>
      <c r="I352" t="inlineStr">
        <is>
          <t>1</t>
        </is>
      </c>
      <c r="J352" t="inlineStr"/>
      <c r="K352" t="inlineStr"/>
      <c r="L352" t="inlineStr"/>
      <c r="M352" t="inlineStr"/>
      <c r="N352" t="inlineStr"/>
      <c r="O352">
        <f>(1-Summary!$B$11)*T352+Summary!$B$11*V352</f>
        <v/>
      </c>
      <c r="P352">
        <f>IF(B371=0,0,O352/B371)</f>
        <v/>
      </c>
      <c r="Q352" t="n">
        <v>0</v>
      </c>
      <c r="R352" t="n">
        <v>0</v>
      </c>
      <c r="S352">
        <f>IFERROR(O352/N352,0)</f>
        <v/>
      </c>
      <c r="T352" t="n">
        <v>0</v>
      </c>
      <c r="V352" t="n">
        <v>0</v>
      </c>
    </row>
    <row r="353">
      <c r="A353">
        <f>Skills!A28</f>
        <v/>
      </c>
      <c r="B353">
        <f>Skills!B28</f>
        <v/>
      </c>
      <c r="C353">
        <f>Inputs!$B$3&gt;=38</f>
        <v/>
      </c>
      <c r="D353">
        <f>IF(Skills!C28=1,60+Inputs!$B$25+Inputs!$B$29,IF(Skills!C28=2,90+Inputs!$B$26+Inputs!$B$29,IF(Skills!C28=3,120+Inputs!$B$27+Inputs!$B$29,MAX(0,(Inputs!$B$3-100)*3)+Inputs!$B$28+Inputs!$B$29)))</f>
        <v/>
      </c>
      <c r="E353">
        <f>INDEX(FactorTable!$B$2:$Y$301, MATCH(ROUND(MIN(300,MAX(1,D353)),0), FactorTable!$A$2:$A$301,0), Skills!M28+1)</f>
        <v/>
      </c>
      <c r="F353">
        <f>IF(Skills!N28=TRUE,(Skills!L28/10)*(E353/1000),Skills!L28/10)+Skills!O28</f>
        <v/>
      </c>
      <c r="G353">
        <f>Skills!G28*IF(Skills!H28&gt;0,IF(Inputs!$B$39="pvp",MIN(Skills!I28,15),Skills!I28)/Skills!H28,1)</f>
        <v/>
      </c>
      <c r="H353">
        <f>1-(1-Skills!J28/100)^Skills!K28</f>
        <v/>
      </c>
      <c r="I353" t="inlineStr">
        <is>
          <t>1</t>
        </is>
      </c>
      <c r="J353" t="inlineStr"/>
      <c r="K353" t="inlineStr"/>
      <c r="L353" t="inlineStr"/>
      <c r="M353" t="inlineStr"/>
      <c r="N353" t="inlineStr"/>
      <c r="O353">
        <f>(1-Summary!$B$11)*T353+Summary!$B$11*V353</f>
        <v/>
      </c>
      <c r="P353">
        <f>IF(B371=0,0,O353/B371)</f>
        <v/>
      </c>
      <c r="Q353" t="n">
        <v>0</v>
      </c>
      <c r="R353" t="n">
        <v>0</v>
      </c>
      <c r="S353">
        <f>IFERROR(O353/N353,0)</f>
        <v/>
      </c>
      <c r="T353" t="n">
        <v>0</v>
      </c>
      <c r="V353" t="n">
        <v>0</v>
      </c>
    </row>
    <row r="354">
      <c r="A354">
        <f>Skills!A29</f>
        <v/>
      </c>
      <c r="B354">
        <f>Skills!B29</f>
        <v/>
      </c>
      <c r="C354">
        <f>Inputs!$B$3&gt;=120</f>
        <v/>
      </c>
      <c r="D354">
        <f>IF(Skills!C29=1,60+Inputs!$B$25+Inputs!$B$29,IF(Skills!C29=2,90+Inputs!$B$26+Inputs!$B$29,IF(Skills!C29=3,120+Inputs!$B$27+Inputs!$B$29,MAX(0,(Inputs!$B$3-100)*3)+Inputs!$B$28+Inputs!$B$29)))</f>
        <v/>
      </c>
      <c r="E354">
        <f>INDEX(FactorTable!$B$2:$Y$301, MATCH(ROUND(MIN(300,MAX(1,D354)),0), FactorTable!$A$2:$A$301,0), Skills!M29+1)</f>
        <v/>
      </c>
      <c r="F354">
        <f>IF(Skills!N29=TRUE,(Skills!L29/10)*(E354/1000),Skills!L29/10)+Skills!O29</f>
        <v/>
      </c>
      <c r="G354">
        <f>Skills!G29*IF(Skills!H29&gt;0,IF(Inputs!$B$39="pvp",MIN(Skills!I29,15),Skills!I29)/Skills!H29,1)</f>
        <v/>
      </c>
      <c r="H354">
        <f>1-(1-Skills!J29/100)^Skills!K29</f>
        <v/>
      </c>
      <c r="I354" t="inlineStr">
        <is>
          <t>1</t>
        </is>
      </c>
      <c r="J354" t="inlineStr"/>
      <c r="K354" t="inlineStr"/>
      <c r="L354" t="inlineStr"/>
      <c r="M354" t="inlineStr"/>
      <c r="N354" t="inlineStr"/>
      <c r="O354">
        <f>(1-Summary!$B$11)*T354+Summary!$B$11*V354</f>
        <v/>
      </c>
      <c r="P354">
        <f>IF(B371=0,0,O354/B371)</f>
        <v/>
      </c>
      <c r="Q354" t="n">
        <v>0</v>
      </c>
      <c r="R354" t="n">
        <v>0</v>
      </c>
      <c r="S354">
        <f>IFERROR(O354/N354,0)</f>
        <v/>
      </c>
      <c r="T354" t="n">
        <v>0</v>
      </c>
      <c r="V354" t="n">
        <v>0</v>
      </c>
    </row>
    <row r="355">
      <c r="A355">
        <f>Skills!A30</f>
        <v/>
      </c>
      <c r="B355">
        <f>Skills!B30</f>
        <v/>
      </c>
      <c r="C355">
        <f>Inputs!$B$3&gt;=120</f>
        <v/>
      </c>
      <c r="D355">
        <f>IF(Skills!C30=1,60+Inputs!$B$25+Inputs!$B$29,IF(Skills!C30=2,90+Inputs!$B$26+Inputs!$B$29,IF(Skills!C30=3,120+Inputs!$B$27+Inputs!$B$29,MAX(0,(Inputs!$B$3-100)*3)+Inputs!$B$28+Inputs!$B$29)))</f>
        <v/>
      </c>
      <c r="E355">
        <f>INDEX(FactorTable!$B$2:$Y$301, MATCH(ROUND(MIN(300,MAX(1,D355)),0), FactorTable!$A$2:$A$301,0), Skills!M30+1)</f>
        <v/>
      </c>
      <c r="F355">
        <f>IF(Skills!N30=TRUE,(Skills!L30/10)*(E355/1000),Skills!L30/10)+Skills!O30</f>
        <v/>
      </c>
      <c r="G355">
        <f>Skills!G30*IF(Skills!H30&gt;0,IF(Inputs!$B$39="pvp",MIN(Skills!I30,15),Skills!I30)/Skills!H30,1)</f>
        <v/>
      </c>
      <c r="H355">
        <f>1-(1-Skills!J30/100)^Skills!K30</f>
        <v/>
      </c>
      <c r="I355" t="inlineStr">
        <is>
          <t>1</t>
        </is>
      </c>
      <c r="J355" t="inlineStr"/>
      <c r="K355" t="inlineStr"/>
      <c r="L355" t="inlineStr"/>
      <c r="M355" t="inlineStr"/>
      <c r="N355" t="inlineStr"/>
      <c r="O355">
        <f>(1-Summary!$B$11)*T355+Summary!$B$11*V355</f>
        <v/>
      </c>
      <c r="P355">
        <f>IF(B371=0,0,O355/B371)</f>
        <v/>
      </c>
      <c r="Q355" t="n">
        <v>0</v>
      </c>
      <c r="R355" t="n">
        <v>0</v>
      </c>
      <c r="S355">
        <f>IFERROR(O355/N355,0)</f>
        <v/>
      </c>
      <c r="T355" t="n">
        <v>0</v>
      </c>
      <c r="V355" t="n">
        <v>0</v>
      </c>
    </row>
    <row r="356">
      <c r="A356">
        <f>Skills!A31</f>
        <v/>
      </c>
      <c r="B356">
        <f>Skills!B31</f>
        <v/>
      </c>
      <c r="C356">
        <f>Inputs!$B$3&gt;=125</f>
        <v/>
      </c>
      <c r="D356">
        <f>IF(Skills!C31=1,60+Inputs!$B$25+Inputs!$B$29,IF(Skills!C31=2,90+Inputs!$B$26+Inputs!$B$29,IF(Skills!C31=3,120+Inputs!$B$27+Inputs!$B$29,MAX(0,(Inputs!$B$3-100)*3)+Inputs!$B$28+Inputs!$B$29)))</f>
        <v/>
      </c>
      <c r="E356">
        <f>INDEX(FactorTable!$B$2:$Y$301, MATCH(ROUND(MIN(300,MAX(1,D356)),0), FactorTable!$A$2:$A$301,0), Skills!M31+1)</f>
        <v/>
      </c>
      <c r="F356">
        <f>IF(Skills!N31=TRUE,(Skills!L31/10)*(E356/1000),Skills!L31/10)+Skills!O31</f>
        <v/>
      </c>
      <c r="G356">
        <f>Skills!G31*IF(Skills!H31&gt;0,IF(Inputs!$B$39="pvp",MIN(Skills!I31,15),Skills!I31)/Skills!H31,1)</f>
        <v/>
      </c>
      <c r="H356">
        <f>1-(1-Skills!J31/100)^Skills!K31</f>
        <v/>
      </c>
      <c r="I356" t="inlineStr">
        <is>
          <t>1</t>
        </is>
      </c>
      <c r="J356" t="inlineStr"/>
      <c r="K356" t="inlineStr"/>
      <c r="L356" t="inlineStr"/>
      <c r="M356" t="inlineStr"/>
      <c r="N356" t="inlineStr"/>
      <c r="O356">
        <f>(1-Summary!$B$11)*T356+Summary!$B$11*V356</f>
        <v/>
      </c>
      <c r="P356">
        <f>IF(B371=0,0,O356/B371)</f>
        <v/>
      </c>
      <c r="Q356" t="n">
        <v>0</v>
      </c>
      <c r="R356" t="n">
        <v>0</v>
      </c>
      <c r="S356">
        <f>IFERROR(O356/N356,0)</f>
        <v/>
      </c>
      <c r="T356" t="n">
        <v>0</v>
      </c>
      <c r="V356" t="n">
        <v>0</v>
      </c>
    </row>
    <row r="358">
      <c r="A358" t="inlineStr">
        <is>
          <t>Average Buff Multiplier</t>
        </is>
      </c>
      <c r="B358">
        <f>(1+(((C347=TRUE)*F347*IF(AND(Inputs!$B$39&lt;&gt;"pvp",Inputs!$B$44&gt;0),(((R347-1)*MIN((Skills!Y22*(1+Inputs!$B$34/100)),(1/Q347))+MIN((Skills!Y22*(1+Inputs!$B$34/100)),MAX(0,Inputs!$B$44-((R347-1)*(1/Q347)))))/Inputs!$B$44),IF(Inputs!$B$39="pvp",MIN((Skills!Y22*(1+Inputs!$B$34/100)),15)/15,MIN(1,(Skills!Y22*(1+Inputs!$B$34/100))/(1/Q347)))))+((C328=TRUE)*F328*3)+((C330=TRUE)*F330*(1-EXP(-0.75*B363*5)))+((C349=TRUE)*(F349-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336=TRUE)*F336*IF(AND(Inputs!$B$39&lt;&gt;"pvp",Inputs!$B$44&gt;0),(((R336-1)*MIN((Skills!Y11*(1+Inputs!$B$34/100)),(1/Q336))+MIN((Skills!Y11*(1+Inputs!$B$34/100)),MAX(0,Inputs!$B$44-((R336-1)*(1/Q336)))))/Inputs!$B$44),IF(Inputs!$B$39="pvp",MIN((Skills!Y11*(1+Inputs!$B$34/100)),15)/15,MIN(1,(Skills!Y11*(1+Inputs!$B$34/100))/(1/Q336)))))/100)*(1+((C341=TRUE)*F341*IF(AND(Inputs!$B$39&lt;&gt;"pvp",Inputs!$B$44&gt;0),(((R341-1)*MIN((Skills!Y16*(1+Inputs!$B$34/100)),(1/Q341))+MIN((Skills!Y16*(1+Inputs!$B$34/100)),MAX(0,Inputs!$B$44-((R341-1)*(1/Q341)))))/Inputs!$B$44),IF(Inputs!$B$39="pvp",MIN((Skills!Y16*(1+Inputs!$B$34/100)),15)/15,MIN(1,(Skills!Y16*(1+Inputs!$B$34/100))/(1/Q341)))))/100)</f>
        <v/>
      </c>
    </row>
    <row r="359">
      <c r="A359" t="inlineStr">
        <is>
          <t>Global Crit Rate Bonus %</t>
        </is>
      </c>
      <c r="B359">
        <f>((C346=TRUE)*F346*IF(AND(Inputs!$B$39&lt;&gt;"pvp",Inputs!$B$44&gt;0),(((R346-1)*MIN((Skills!Y21*(1+Inputs!$B$34/100)),(1/Q346))+MIN((Skills!Y21*(1+Inputs!$B$34/100)),MAX(0,Inputs!$B$44-((R346-1)*(1/Q346)))))/Inputs!$B$44),IF(Inputs!$B$39="pvp",MIN((Skills!Y21*(1+Inputs!$B$34/100)),15)/15,MIN(1,(Skills!Y21*(1+Inputs!$B$34/100))/(1/Q346)))))</f>
        <v/>
      </c>
    </row>
    <row r="360">
      <c r="A360" t="inlineStr">
        <is>
          <t>Global Monster Damage-Taken Bonus %</t>
        </is>
      </c>
      <c r="B360">
        <f>IF(Inputs!$B$3&gt;=82,15,0)</f>
        <v/>
      </c>
    </row>
    <row r="361">
      <c r="A361" t="inlineStr">
        <is>
          <t>Shadow Partner Average Multiplier</t>
        </is>
      </c>
      <c r="B361">
        <f>1+((C333=TRUE)*F333*(1+3.3333333333333335*IF(C344=TRUE,F344,0)/100)*I333*Skills!J8/100)/100</f>
        <v/>
      </c>
    </row>
    <row r="362">
      <c r="A362" t="inlineStr">
        <is>
          <t>Attack Speed Buff Bonus %</t>
        </is>
      </c>
      <c r="B362">
        <f>((C345=TRUE)*F345*IF(AND(Inputs!$B$39&lt;&gt;"pvp",Inputs!$B$44&gt;0),(((R345-1)*MIN((Skills!Y20*(1+Inputs!$B$34/100)),(1/Q345))+MIN((Skills!Y20*(1+Inputs!$B$34/100)),MAX(0,Inputs!$B$44-((R345-1)*(1/Q345)))))/Inputs!$B$44),IF(Inputs!$B$39="pvp",MIN((Skills!Y20*(1+Inputs!$B$34/100)),15)/15,MIN(1,(Skills!Y20*(1+Inputs!$B$34/100))/(1/Q345)))))</f>
        <v/>
      </c>
    </row>
    <row r="363">
      <c r="A363" t="inlineStr">
        <is>
          <t>Actions Per Second</t>
        </is>
      </c>
      <c r="B363">
        <f>1+MIN(150,150*(1-(1-(Inputs!$B$11+((C348=TRUE)*(F348-Calc!F23)))/150)*(1-B362/150)))/100</f>
        <v/>
      </c>
    </row>
    <row r="364">
      <c r="A364" t="inlineStr">
        <is>
          <t>Skill + Buff Cast Rate</t>
        </is>
      </c>
      <c r="B364">
        <f>IF(AND(Inputs!$B$39&lt;&gt;"pvp",Inputs!$B$44&gt;0),SUMPRODUCT((Skills!E2:E31=TRUE)*(C327:C356=TRUE)*R327:R356*Skills!F2:F31)/Inputs!$B$44,SUMPRODUCT((Skills!E2:E31=TRUE)*(C327:C356=TRUE)*Q327:Q356*Skills!F2:F31))</f>
        <v/>
      </c>
    </row>
    <row r="365">
      <c r="A365" t="inlineStr">
        <is>
          <t>Cruel Stab Casts Per Second</t>
        </is>
      </c>
      <c r="B365">
        <f>MAX(0,B363-B364)</f>
        <v/>
      </c>
    </row>
    <row r="366">
      <c r="A366" t="inlineStr">
        <is>
          <t>Global Critical Damage Bonus % (Smokescreen Mastery Lv.113)</t>
        </is>
      </c>
      <c r="B366">
        <f>IF(Inputs!$B$3&gt;=113,30,0)*IF(AND(Inputs!$B$39&lt;&gt;"pvp",Inputs!$B$44&gt;0),(((R341-1)*MIN((Skills!Y16*(1+Inputs!$B$34/100)),(1/Q341))+MIN((Skills!Y16*(1+Inputs!$B$34/100)),MAX(0,Inputs!$B$44-((R341-1)*(1/Q341)))))/Inputs!$B$44),IF(Inputs!$B$39="pvp",MIN((Skills!Y16*(1+Inputs!$B$34/100)),15)/15,MIN(1,(Skills!Y16*(1+Inputs!$B$34/100))/(1/Q341))))</f>
        <v/>
      </c>
    </row>
    <row r="367">
      <c r="A367" t="inlineStr">
        <is>
          <t>Meso Explosion average stack count</t>
        </is>
      </c>
      <c r="B367">
        <f>MIN(10,IF(Inputs!$B$3&gt;=75,0.75,0.5)*B363*(1/Q329))</f>
        <v/>
      </c>
    </row>
    <row r="368">
      <c r="A368" t="inlineStr">
        <is>
          <t>Blood Money average stack count</t>
        </is>
      </c>
      <c r="B368">
        <f>MIN(5,0.5*IF(Inputs!$B$3&gt;=75,0.75,0.5)*B363*(1/Q329))</f>
        <v/>
      </c>
    </row>
    <row r="369">
      <c r="A369" t="inlineStr">
        <is>
          <t>Assassinate Murderous Intent Multiplier</t>
        </is>
      </c>
      <c r="B369">
        <f>1+IFERROR(MIN(1,Q340*2/Q337),0)</f>
        <v/>
      </c>
    </row>
    <row r="370">
      <c r="A370" t="inlineStr">
        <is>
          <t>Buff-Casting Startup Delay (s, fixed-duration only)</t>
        </is>
      </c>
      <c r="B370">
        <f>IF(AND(Inputs!$B$39&lt;&gt;"pvp",Inputs!$B$44&gt;0),SUMPRODUCT((Skills!Y2:Y31&gt;0)*(Skills!E2:E31=TRUE)*(C327:C356=TRUE))/B363,0)</f>
        <v/>
      </c>
    </row>
    <row r="371">
      <c r="A371" s="6" t="inlineStr">
        <is>
          <t>TOTAL DPS</t>
        </is>
      </c>
      <c r="B371" s="6">
        <f>SUM(O327:O356)</f>
        <v/>
      </c>
    </row>
    <row r="372">
      <c r="A372" t="inlineStr">
        <is>
          <t>Boss-Only Total DPS (this block's swept value)</t>
        </is>
      </c>
      <c r="B372">
        <f>SUM(T327:T356)</f>
        <v/>
      </c>
    </row>
    <row r="373">
      <c r="A373" t="inlineStr">
        <is>
          <t>Normal-Only Total DPS (this block's swept value)</t>
        </is>
      </c>
      <c r="B373">
        <f>SUM(V327:V356)</f>
        <v/>
      </c>
    </row>
    <row r="376">
      <c r="A376" s="6" t="inlineStr">
        <is>
          <t>Stat: NORMAL_DAMAGE %</t>
        </is>
      </c>
    </row>
    <row r="377">
      <c r="A377" s="5" t="inlineStr">
        <is>
          <t>Key</t>
        </is>
      </c>
      <c r="B377" s="5" t="inlineStr">
        <is>
          <t>Name</t>
        </is>
      </c>
      <c r="C377" s="5" t="inlineStr">
        <is>
          <t>Unlocked</t>
        </is>
      </c>
      <c r="D377" s="5" t="inlineStr">
        <is>
          <t>InputLevel</t>
        </is>
      </c>
      <c r="E377" s="5" t="inlineStr">
        <is>
          <t>Factor</t>
        </is>
      </c>
      <c r="F377" s="5" t="inlineStr">
        <is>
          <t>CoefficientPercent</t>
        </is>
      </c>
      <c r="G377" s="5" t="inlineStr">
        <is>
          <t>EffectiveHits</t>
        </is>
      </c>
      <c r="H377" s="5" t="inlineStr">
        <is>
          <t>ProcProbability</t>
        </is>
      </c>
      <c r="I377" s="5" t="inlineStr">
        <is>
          <t>MapleHeroMultiplier</t>
        </is>
      </c>
      <c r="J377" s="5" t="inlineStr">
        <is>
          <t>BaseDamage</t>
        </is>
      </c>
      <c r="K377" s="5" t="inlineStr">
        <is>
          <t>BaseHitDamage</t>
        </is>
      </c>
      <c r="L377" s="5" t="inlineStr">
        <is>
          <t>NonCritAvg</t>
        </is>
      </c>
      <c r="M377" s="5" t="inlineStr">
        <is>
          <t>CritAvg</t>
        </is>
      </c>
      <c r="N377" s="5" t="inlineStr">
        <is>
          <t>ExpectedDamage(perHit)</t>
        </is>
      </c>
      <c r="O377" s="5" t="inlineStr">
        <is>
          <t>DPS</t>
        </is>
      </c>
      <c r="P377" s="5" t="inlineStr">
        <is>
          <t>% of Total</t>
        </is>
      </c>
      <c r="Q377" s="5" t="inlineStr">
        <is>
          <t>InvCooldown</t>
        </is>
      </c>
      <c r="R377" s="5" t="inlineStr">
        <is>
          <t>CastsInFight</t>
        </is>
      </c>
      <c r="S377" s="5" t="inlineStr">
        <is>
          <t>HitRate(perSec)</t>
        </is>
      </c>
      <c r="U377" t="inlineStr">
        <is>
          <t>helpers</t>
        </is>
      </c>
    </row>
    <row r="378">
      <c r="A378">
        <f>Skills!A2</f>
        <v/>
      </c>
      <c r="B378">
        <f>Skills!B2</f>
        <v/>
      </c>
      <c r="C378">
        <f>Inputs!$B$3&gt;=100</f>
        <v/>
      </c>
      <c r="D378" t="inlineStr"/>
      <c r="E378" t="inlineStr"/>
      <c r="F378">
        <f>U380+Skills!O2</f>
        <v/>
      </c>
      <c r="G378">
        <f>Skills!G2*IF(Skills!H2&gt;0,IF(Inputs!$B$39="pvp",MIN(Skills!I2,15),Skills!I2)/Skills!H2,1)</f>
        <v/>
      </c>
      <c r="H378">
        <f>1-(1-Skills!J2/100)^Skills!K2</f>
        <v/>
      </c>
      <c r="I378" t="inlineStr">
        <is>
          <t>1</t>
        </is>
      </c>
      <c r="J378">
        <f>((Inputs!$B$6*(1+Inputs!$B$7/100))+(((Inputs!$B$12*(1+Inputs!$B$13/100))-(Inputs!$B$12*(1+Inputs!$B$13/100)))+0.25*(Inputs!$B$14-Inputs!$B$14))*(1+Inputs!$B$7/100))*(F378/100)</f>
        <v/>
      </c>
      <c r="K378">
        <f>J378*(1+((Inputs!$B$12*(1+Inputs!$B$13/100))*0.01+Inputs!$B$14*0.0025)/100)*(1+Inputs!$B$15/100)*(1+Inputs!$B$16/100)*(5000/(6000+Inputs!$B$43*(1-(100*(1-(1-Inputs!$B$19/100)*(1-CHOOSE(ArtifactsInput!$N$40+1,5,6,7,8,9,10)/100)^(ArtifactsInput!$M$40-ArtifactsInput!$M$40)))/100)))*(1+(Inputs!$B$24+((C407=TRUE)*(F407-Calc!F31))+((C394=TRUE)*(F394-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CRUEL_STAB",Inputs!$B$17+((C404=TRUE)*(F404-Calc!F28))+((IF(AND(Inputs!$B$39&lt;&gt;"pvp",Inputs!$B$44=0),1,IF(IF(Inputs!$B$39="pvp",15,Inputs!$B$44)-(B421)&lt;=0,1,MAX(0,IF(Inputs!$B$39="pvp",15,Inputs!$B$44)-MAX(5,B421))/(IF(Inputs!$B$39="pvp",15,Inputs!$B$44)-(B421))))*(IF(AND(ArtifactsInput!$M$42,((Inputs!$B$9+((C402=TRUE)*(F402-Calc!F26))+B410+(ArtifactsInput!$M$24-ArtifactsInput!$M$24)*CHOOSE(ArtifactsInput!$N$24+1,10,12,14,16,18,20)+IF(ArtifactsInput!$M$10,CHOOSE(ArtifactsInput!$N$10+1,15,18,21,24,27,30)*(IF(Inputs!$B$39="pvp",MIN(15,15)/15,IF(AND(Inputs!$B$39&lt;&gt;"pvp",Inputs!$B$44&gt;0),MIN(15,Inputs!$B$44)/(Inputs!$B$44),0))),0)))&gt;=100),MIN(100,((Inputs!$B$9+((C402=TRUE)*(F402-Calc!F26))+B410+(ArtifactsInput!$M$24-ArtifactsInput!$M$24)*CHOOSE(ArtifactsInput!$N$24+1,10,12,14,16,18,20)+IF(ArtifactsInput!$M$10,CHOOSE(ArtifactsInput!$N$10+1,15,18,21,24,27,30)*(IF(Inputs!$B$39="pvp",MIN(15,15)/15,IF(AND(Inputs!$B$39&lt;&gt;"pvp",Inputs!$B$44&gt;0),MIN(15,Inputs!$B$44)/(Inputs!$B$44),0))),0)))-100),0))*CHOOSE(ArtifactsInput!$N$42+1,0.6,0.72,0.84,0.96,1.08,1.2))),Inputs!$B$18+((C405=TRUE)*(F405-Calc!F29))+(IF(AND(Inputs!$B$39&lt;&gt;"pvp",Inputs!$B$44=0),1,IF(IF(Inputs!$B$39="pvp",15,Inputs!$B$44)-(B421)&lt;=0,1,MAX(0,IF(Inputs!$B$39="pvp",15,Inputs!$B$44)-MAX(5,B421))/(IF(Inputs!$B$39="pvp",15,Inputs!$B$44)-(B421))))*IF(AND(ArtifactsInput!$M$42,((Inputs!$B$9+((C402=TRUE)*(F402-Calc!F26))+B410+(ArtifactsInput!$M$24-ArtifactsInput!$M$24)*CHOOSE(ArtifactsInput!$N$24+1,10,12,14,16,18,20)+IF(ArtifactsInput!$M$10,CHOOSE(ArtifactsInput!$N$10+1,15,18,21,24,27,30)*(IF(Inputs!$B$39="pvp",MIN(15,15)/15,IF(AND(Inputs!$B$39&lt;&gt;"pvp",Inputs!$B$44&gt;0),MIN(15,Inputs!$B$44)/(Inputs!$B$44),0))),0)))&gt;=100),CHOOSE(ArtifactsInput!$N$42+1,40,48,56,64,72,80),0))))/100)*(((1+(((C398=TRUE)*F398*IF(AND(Inputs!$B$39&lt;&gt;"pvp",Inputs!$B$44&gt;0),(((R398-1)*MIN((Skills!Y22*(1+Inputs!$B$34/100)),(1/Q398))+MIN((Skills!Y22*(1+Inputs!$B$34/100)),MAX(0,Inputs!$B$44-((R398-1)*(1/Q398)))))/Inputs!$B$44),IF(Inputs!$B$39="pvp",MIN((Skills!Y22*(1+Inputs!$B$34/100)),15)/15,MIN(1,(Skills!Y22*(1+Inputs!$B$34/100))/(1/Q398)))))+((C379=TRUE)*F379*3)+((C381=TRUE)*F381*(1-EXP(-0.75*B414*5)))+((C400=TRUE)*(F400-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387=TRUE)*F387*IF(AND(Inputs!$B$39&lt;&gt;"pvp",Inputs!$B$44&gt;0),(((R387-1)*MIN((Skills!Y11*(1+Inputs!$B$34/100)),(1/Q387))+MIN((Skills!Y11*(1+Inputs!$B$34/100)),MAX(0,Inputs!$B$44-((R387-1)*(1/Q387)))))/Inputs!$B$44),IF(Inputs!$B$39="pvp",MIN((Skills!Y11*(1+Inputs!$B$34/100)),15)/15,MIN(1,(Skills!Y11*(1+Inputs!$B$34/100))/(1/Q387)))))/100)*(1+((C392=TRUE)*F392*IF(AND(Inputs!$B$39&lt;&gt;"pvp",Inputs!$B$44&gt;0),(((R392-1)*MIN((Skills!Y16*(1+Inputs!$B$34/100)),(1/Q392))+MIN((Skills!Y16*(1+Inputs!$B$34/100)),MAX(0,Inputs!$B$44-((R392-1)*(1/Q392)))))/Inputs!$B$44),IF(Inputs!$B$39="pvp",MIN((Skills!Y16*(1+Inputs!$B$34/100)),15)/15,MIN(1,(Skills!Y16*(1+Inputs!$B$34/100))/(1/Q392)))))/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412*I378)</f>
        <v/>
      </c>
      <c r="L378">
        <f>K378*(MIN(Inputs!$B$22+((C401=TRUE)*(F401-Calc!F25)),(Inputs!$B$23+((C406=TRUE)*(F406-Calc!F30))+IF(ArtifactsInput!$M$15,CHOOSE(ArtifactsInput!$N$15+1,25,30,35,40,45,50)/100*(Inputs!$B$11-Inputs!$B$11),0)))/100+(Inputs!$B$23+((C406=TRUE)*(F406-Calc!F30))+IF(ArtifactsInput!$M$15,CHOOSE(ArtifactsInput!$N$15+1,25,30,35,40,45,50)/100*(Inputs!$B$11-Inputs!$B$11),0))/100)/2</f>
        <v/>
      </c>
      <c r="M378">
        <f>L378*(1+(Inputs!$B$10+((C403=TRUE)*(F403-Calc!F27))+B417+(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378">
        <f>L378*(1-MIN((Inputs!$B$9+((C402=TRUE)*(F402-Calc!F26))+B410+(ArtifactsInput!$M$24-ArtifactsInput!$M$24)*CHOOSE(ArtifactsInput!$N$24+1,10,12,14,16,18,20)+(IF(AND(Inputs!$B$39&lt;&gt;"pvp",Inputs!$B$44=0),1,IF(IF(Inputs!$B$39="pvp",15,Inputs!$B$44)-(B421)&lt;=0,1,MAX(0,IF(Inputs!$B$39="pvp",15,Inputs!$B$44)-MAX(5,B421))/(IF(Inputs!$B$39="pvp",15,Inputs!$B$44)-(B421))))*IF(AND(ArtifactsInput!$M$42,((Inputs!$B$9+((C402=TRUE)*(F402-Calc!F26))+B410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378*(MIN((Inputs!$B$9+((C402=TRUE)*(F402-Calc!F26))+B410+(ArtifactsInput!$M$24-ArtifactsInput!$M$24)*CHOOSE(ArtifactsInput!$N$24+1,10,12,14,16,18,20)+(IF(AND(Inputs!$B$39&lt;&gt;"pvp",Inputs!$B$44=0),1,IF(IF(Inputs!$B$39="pvp",15,Inputs!$B$44)-(B421)&lt;=0,1,MAX(0,IF(Inputs!$B$39="pvp",15,Inputs!$B$44)-MAX(5,B421))/(IF(Inputs!$B$39="pvp",15,Inputs!$B$44)-(B421))))*IF(AND(ArtifactsInput!$M$42,((Inputs!$B$9+((C402=TRUE)*(F402-Calc!F26))+B410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378">
        <f>(1-Summary!$B$11)*T378+Summary!$B$11*V378</f>
        <v/>
      </c>
      <c r="P378">
        <f>IF(B422=0,0,O378/B422)</f>
        <v/>
      </c>
      <c r="Q378" t="n">
        <v>0</v>
      </c>
      <c r="R378" t="n">
        <v>0</v>
      </c>
      <c r="S378">
        <f>IFERROR(O378/N378,0)</f>
        <v/>
      </c>
      <c r="T378">
        <f>IF(C378,(Skills!G2*N378*B416)*IF(Inputs!$B$39="pvp",1,1+(Inputs!$B$20+0+Skills!P2+B411+(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Hunt"),CHOOSE(ArtifactsInput!$N$35+1,15,18,21,24,27,30)*(1-EXP(-(0.2*B414)*5)),0)+IF(AND(ArtifactsInput!$M$22,Inputs!$B$4&lt;&gt;"Chapter Hunt"),CHOOSE(ArtifactsInput!$N$22+1,10,12,14,16,18,20)*((0*(((0.15*B414*5))^0/1)+1*(((0.15*B414*5))^1/1)+2*(((0.15*B414*5))^2/2)+3*(((0.15*B414*5))^3/6)+4*(((0.15*B414*5))^4/24)+5*(((0.15*B414*5))^5/120))/((((0.15*B414*5))^0/1)+(((0.15*B414*5))^1/1)+(((0.15*B414*5))^2/2)+(((0.15*B414*5))^3/6)+(((0.15*B414*5))^4/24)+(((0.15*B414*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378*(1-MIN(100,(Inputs!$B$9+((C402=TRUE)*(F402-Calc!F26))+B410+(ArtifactsInput!$M$24-ArtifactsInput!$M$24)*CHOOSE(ArtifactsInput!$N$24+1,10,12,14,16,18,20)+(IF(AND(Inputs!$B$39&lt;&gt;"pvp",Inputs!$B$44=0),1,IF(IF(Inputs!$B$39="pvp",15,Inputs!$B$44)-(B421)&lt;=0,1,MAX(0,IF(Inputs!$B$39="pvp",15,Inputs!$B$44)-MAX(5,B421))/(IF(Inputs!$B$39="pvp",15,Inputs!$B$44)-(B421))))*IF(AND(ArtifactsInput!$M$42,((Inputs!$B$9+((C402=TRUE)*(F402-Calc!F26))+B410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378*(MIN(100,(Inputs!$B$9+((C402=TRUE)*(F402-Calc!F26))+B410+(ArtifactsInput!$M$24-ArtifactsInput!$M$24)*CHOOSE(ArtifactsInput!$N$24+1,10,12,14,16,18,20)+(IF(AND(Inputs!$B$39&lt;&gt;"pvp",Inputs!$B$44=0),1,IF(IF(Inputs!$B$39="pvp",15,Inputs!$B$44)-(B421)&lt;=0,1,MAX(0,IF(Inputs!$B$39="pvp",15,Inputs!$B$44)-MAX(5,B421))/(IF(Inputs!$B$39="pvp",15,Inputs!$B$44)-(B421))))*IF(AND(ArtifactsInput!$M$42,((Inputs!$B$9+((C402=TRUE)*(F402-Calc!F26))+B410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378*(1-MIN(100,(Inputs!$B$9+((C402=TRUE)*(F402-Calc!F26))+B410+(ArtifactsInput!$M$24-ArtifactsInput!$M$24)*CHOOSE(ArtifactsInput!$N$24+1,10,12,14,16,18,20)+(IF(AND(Inputs!$B$39&lt;&gt;"pvp",Inputs!$B$44=0),1,IF(IF(Inputs!$B$39="pvp",15,Inputs!$B$44)-(B421)&lt;=0,1,MAX(0,IF(Inputs!$B$39="pvp",15,Inputs!$B$44)-MAX(5,B421))/(IF(Inputs!$B$39="pvp",15,Inputs!$B$44)-(B421))))*IF(AND(ArtifactsInput!$M$42,((Inputs!$B$9+((C402=TRUE)*(F402-Calc!F26))+B410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378*(MIN(100,(Inputs!$B$9+((C402=TRUE)*(F402-Calc!F26))+B410+(ArtifactsInput!$M$24-ArtifactsInput!$M$24)*CHOOSE(ArtifactsInput!$N$24+1,10,12,14,16,18,20)+(IF(AND(Inputs!$B$39&lt;&gt;"pvp",Inputs!$B$44=0),1,IF(IF(Inputs!$B$39="pvp",15,Inputs!$B$44)-(B421)&lt;=0,1,MAX(0,IF(Inputs!$B$39="pvp",15,Inputs!$B$44)-MAX(5,B421))/(IF(Inputs!$B$39="pvp",15,Inputs!$B$44)-(B421))))*IF(AND(ArtifactsInput!$M$42,((Inputs!$B$9+((C402=TRUE)*(F402-Calc!F26))+B410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378">
        <f>MAX(0,(Inputs!$B$3-100)*3)+Inputs!$B$28+Inputs!$B$29</f>
        <v/>
      </c>
      <c r="V378">
        <f>IF(C378,(Skills!G2*N378*B416)*IF(Inputs!$B$39="pvp",1,(1+((Inputs!$B$21+1)+Skills!Q2+B411+(IF(ArtifactsInput!$M$33,CHOOSE(ArtifactsInput!$N$33+1,30,36,42,48,54,60),0))+(IF(AND(ArtifactsInput!$M$35,Inputs!$B$4&lt;&gt;"Chapter Hunt"),CHOOSE(ArtifactsInput!$N$35+1,15,18,21,24,27,30)*(1-EXP(-(0.2*B414)*5)),0)+IF(AND(ArtifactsInput!$M$22,Inputs!$B$4&lt;&gt;"Chapter Hunt"),CHOOSE(ArtifactsInput!$N$22+1,10,12,14,16,18,20)*((0*(((0.15*B414*5))^0/1)+1*(((0.15*B414*5))^1/1)+2*(((0.15*B414*5))^2/2)+3*(((0.15*B414*5))^3/6)+4*(((0.15*B414*5))^4/24)+5*(((0.15*B414*5))^5/120))/((((0.15*B414*5))^0/1)+(((0.15*B414*5))^1/1)+(((0.15*B414*5))^2/2)+(((0.15*B414*5))^3/6)+(((0.15*B414*5))^4/24)+(((0.15*B414*5))^5/120))),0)))/100)*(MIN((6+Inputs!$B$33),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379">
      <c r="A379">
        <f>Skills!A3</f>
        <v/>
      </c>
      <c r="B379">
        <f>Skills!B3</f>
        <v/>
      </c>
      <c r="C379">
        <f>Inputs!$B$3&gt;=35</f>
        <v/>
      </c>
      <c r="D379">
        <f>IF(Skills!C3=1,60+Inputs!$B$25+Inputs!$B$29,IF(Skills!C3=2,90+Inputs!$B$26+Inputs!$B$29,IF(Skills!C3=3,120+Inputs!$B$27+Inputs!$B$29,MAX(0,(Inputs!$B$3-100)*3)+Inputs!$B$28+Inputs!$B$29)))</f>
        <v/>
      </c>
      <c r="E379">
        <f>INDEX(FactorTable!$B$2:$Y$301, MATCH(ROUND(MIN(300,MAX(1,D379)),0), FactorTable!$A$2:$A$301,0), Skills!M3+1)</f>
        <v/>
      </c>
      <c r="F379">
        <f>IF(Skills!N3=TRUE,(Skills!L3/10)*(E379/1000),Skills!L3/10)+Skills!O3</f>
        <v/>
      </c>
      <c r="G379">
        <f>Skills!G3*IF(Skills!H3&gt;0,IF(Inputs!$B$39="pvp",MIN(Skills!I3,15),Skills!I3)/Skills!H3,1)</f>
        <v/>
      </c>
      <c r="H379">
        <f>1-(1-Skills!J3/100)^Skills!K3</f>
        <v/>
      </c>
      <c r="I379" t="inlineStr">
        <is>
          <t>1</t>
        </is>
      </c>
      <c r="J379" t="inlineStr"/>
      <c r="K379" t="inlineStr"/>
      <c r="L379" t="inlineStr"/>
      <c r="M379" t="inlineStr"/>
      <c r="N379" t="inlineStr"/>
      <c r="O379">
        <f>(1-Summary!$B$11)*T379+Summary!$B$11*V379</f>
        <v/>
      </c>
      <c r="P379">
        <f>IF(B422=0,0,O379/B422)</f>
        <v/>
      </c>
      <c r="Q379" t="n">
        <v>0</v>
      </c>
      <c r="R379" t="n">
        <v>0</v>
      </c>
      <c r="S379">
        <f>IFERROR(O379/N379,0)</f>
        <v/>
      </c>
      <c r="T379" t="n">
        <v>0</v>
      </c>
      <c r="U379">
        <f>INDEX(FactorTable!$B$2:$Y$301, MATCH(ROUND(MIN(300,MAX(1,U378)),0), FactorTable!$A$2:$A$301,0), 22)</f>
        <v/>
      </c>
      <c r="V379" t="n">
        <v>0</v>
      </c>
    </row>
    <row r="380">
      <c r="A380">
        <f>Skills!A4</f>
        <v/>
      </c>
      <c r="B380">
        <f>Skills!B4</f>
        <v/>
      </c>
      <c r="C380">
        <f>Inputs!$B$3&gt;=66</f>
        <v/>
      </c>
      <c r="D380">
        <f>IF(Skills!C4=1,60+Inputs!$B$25+Inputs!$B$29,IF(Skills!C4=2,90+Inputs!$B$26+Inputs!$B$29,IF(Skills!C4=3,120+Inputs!$B$27+Inputs!$B$29,MAX(0,(Inputs!$B$3-100)*3)+Inputs!$B$28+Inputs!$B$29)))</f>
        <v/>
      </c>
      <c r="E380">
        <f>INDEX(FactorTable!$B$2:$Y$301, MATCH(ROUND(MIN(300,MAX(1,D380)),0), FactorTable!$A$2:$A$301,0), Skills!M4+1)</f>
        <v/>
      </c>
      <c r="F380">
        <f>IF(Skills!N4=TRUE,(Skills!L4/10)*(E380/1000),Skills!L4/10)+Skills!O4</f>
        <v/>
      </c>
      <c r="G380">
        <f>Skills!G4*IF(Skills!H4&gt;0,IF(Inputs!$B$39="pvp",MIN(Skills!I4,15),Skills!I4)/Skills!H4,1)</f>
        <v/>
      </c>
      <c r="H380">
        <f>1-(1-Skills!J4/100)^Skills!K4</f>
        <v/>
      </c>
      <c r="I380" t="inlineStr">
        <is>
          <t>1</t>
        </is>
      </c>
      <c r="J380">
        <f>((Inputs!$B$6*(1+Inputs!$B$7/100))+(((Inputs!$B$12*(1+Inputs!$B$13/100))-(Inputs!$B$12*(1+Inputs!$B$13/100)))+0.25*(Inputs!$B$14-Inputs!$B$14))*(1+Inputs!$B$7/100))*(F380/100)</f>
        <v/>
      </c>
      <c r="K380">
        <f>J380*(1+((Inputs!$B$12*(1+Inputs!$B$13/100))*0.01+Inputs!$B$14*0.0025)/100)*(1+Inputs!$B$15/100)*(1+Inputs!$B$16/100)*(5000/(6000+Inputs!$B$43*(1-(100*(1-(1-Inputs!$B$19/100)*(1-CHOOSE(ArtifactsInput!$N$40+1,5,6,7,8,9,10)/100)^(ArtifactsInput!$M$40-ArtifactsInput!$M$40)))/100)))*(1+(Inputs!$B$24+((C407=TRUE)*(F407-Calc!F31))+((C394=TRUE)*(F394-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4="CRUEL_STAB",Inputs!$B$17+((C404=TRUE)*(F404-Calc!F28))+((IF(AND(Inputs!$B$39&lt;&gt;"pvp",Inputs!$B$44=0),1,IF(IF(Inputs!$B$39="pvp",15,Inputs!$B$44)-(B421)&lt;=0,1,MAX(0,IF(Inputs!$B$39="pvp",15,Inputs!$B$44)-MAX(5,B421))/(IF(Inputs!$B$39="pvp",15,Inputs!$B$44)-(B421))))*(IF(AND(ArtifactsInput!$M$42,((Inputs!$B$9+((C402=TRUE)*(F402-Calc!F26))+B410+(ArtifactsInput!$M$24-ArtifactsInput!$M$24)*CHOOSE(ArtifactsInput!$N$24+1,10,12,14,16,18,20)+IF(ArtifactsInput!$M$10,CHOOSE(ArtifactsInput!$N$10+1,15,18,21,24,27,30)*(IF(Inputs!$B$39="pvp",MIN(15,15)/15,IF(AND(Inputs!$B$39&lt;&gt;"pvp",Inputs!$B$44&gt;0),MIN(15,Inputs!$B$44)/(Inputs!$B$44),0))),0)))&gt;=100),MIN(100,((Inputs!$B$9+((C402=TRUE)*(F402-Calc!F26))+B410+(ArtifactsInput!$M$24-ArtifactsInput!$M$24)*CHOOSE(ArtifactsInput!$N$24+1,10,12,14,16,18,20)+IF(ArtifactsInput!$M$10,CHOOSE(ArtifactsInput!$N$10+1,15,18,21,24,27,30)*(IF(Inputs!$B$39="pvp",MIN(15,15)/15,IF(AND(Inputs!$B$39&lt;&gt;"pvp",Inputs!$B$44&gt;0),MIN(15,Inputs!$B$44)/(Inputs!$B$44),0))),0)))-100),0))*CHOOSE(ArtifactsInput!$N$42+1,0.6,0.72,0.84,0.96,1.08,1.2))),Inputs!$B$18+((C405=TRUE)*(F405-Calc!F29))+(IF(AND(Inputs!$B$39&lt;&gt;"pvp",Inputs!$B$44=0),1,IF(IF(Inputs!$B$39="pvp",15,Inputs!$B$44)-(B421)&lt;=0,1,MAX(0,IF(Inputs!$B$39="pvp",15,Inputs!$B$44)-MAX(5,B421))/(IF(Inputs!$B$39="pvp",15,Inputs!$B$44)-(B421))))*IF(AND(ArtifactsInput!$M$42,((Inputs!$B$9+((C402=TRUE)*(F402-Calc!F26))+B410+(ArtifactsInput!$M$24-ArtifactsInput!$M$24)*CHOOSE(ArtifactsInput!$N$24+1,10,12,14,16,18,20)+IF(ArtifactsInput!$M$10,CHOOSE(ArtifactsInput!$N$10+1,15,18,21,24,27,30)*(IF(Inputs!$B$39="pvp",MIN(15,15)/15,IF(AND(Inputs!$B$39&lt;&gt;"pvp",Inputs!$B$44&gt;0),MIN(15,Inputs!$B$44)/(Inputs!$B$44),0))),0)))&gt;=100),CHOOSE(ArtifactsInput!$N$42+1,40,48,56,64,72,80),0))))/100)*(((1+(((C398=TRUE)*F398*IF(AND(Inputs!$B$39&lt;&gt;"pvp",Inputs!$B$44&gt;0),(((R398-1)*MIN((Skills!Y22*(1+Inputs!$B$34/100)),(1/Q398))+MIN((Skills!Y22*(1+Inputs!$B$34/100)),MAX(0,Inputs!$B$44-((R398-1)*(1/Q398)))))/Inputs!$B$44),IF(Inputs!$B$39="pvp",MIN((Skills!Y22*(1+Inputs!$B$34/100)),15)/15,MIN(1,(Skills!Y22*(1+Inputs!$B$34/100))/(1/Q398)))))+((C379=TRUE)*F379*3)+((C381=TRUE)*F381*(1-EXP(-0.75*B414*5)))+((C400=TRUE)*(F400-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387=TRUE)*F387*IF(AND(Inputs!$B$39&lt;&gt;"pvp",Inputs!$B$44&gt;0),(((R387-1)*MIN((Skills!Y11*(1+Inputs!$B$34/100)),(1/Q387))+MIN((Skills!Y11*(1+Inputs!$B$34/100)),MAX(0,Inputs!$B$44-((R387-1)*(1/Q387)))))/Inputs!$B$44),IF(Inputs!$B$39="pvp",MIN((Skills!Y11*(1+Inputs!$B$34/100)),15)/15,MIN(1,(Skills!Y11*(1+Inputs!$B$34/100))/(1/Q387)))))/100)*(1+((C392=TRUE)*F392*IF(AND(Inputs!$B$39&lt;&gt;"pvp",Inputs!$B$44&gt;0),(((R392-1)*MIN((Skills!Y16*(1+Inputs!$B$34/100)),(1/Q392))+MIN((Skills!Y16*(1+Inputs!$B$34/100)),MAX(0,Inputs!$B$44-((R392-1)*(1/Q392)))))/Inputs!$B$44),IF(Inputs!$B$39="pvp",MIN((Skills!Y16*(1+Inputs!$B$34/100)),15)/15,MIN(1,(Skills!Y16*(1+Inputs!$B$34/100))/(1/Q392)))))/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412*I380)</f>
        <v/>
      </c>
      <c r="L380">
        <f>K380*(MIN(Inputs!$B$22+((C401=TRUE)*(F401-Calc!F25)),(Inputs!$B$23+((C406=TRUE)*(F406-Calc!F30))+IF(ArtifactsInput!$M$15,CHOOSE(ArtifactsInput!$N$15+1,25,30,35,40,45,50)/100*(Inputs!$B$11-Inputs!$B$11),0)))/100+(Inputs!$B$23+((C406=TRUE)*(F406-Calc!F30))+IF(ArtifactsInput!$M$15,CHOOSE(ArtifactsInput!$N$15+1,25,30,35,40,45,50)/100*(Inputs!$B$11-Inputs!$B$11),0))/100)/2</f>
        <v/>
      </c>
      <c r="M380">
        <f>L380*(1+(Inputs!$B$10+((C403=TRUE)*(F403-Calc!F27))+B417+(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380">
        <f>L380*(1-MIN((Inputs!$B$9+((C402=TRUE)*(F402-Calc!F26))+B410+(ArtifactsInput!$M$24-ArtifactsInput!$M$24)*CHOOSE(ArtifactsInput!$N$24+1,10,12,14,16,18,20)+(IF(AND(Inputs!$B$39&lt;&gt;"pvp",Inputs!$B$44=0),1,IF(IF(Inputs!$B$39="pvp",15,Inputs!$B$44)-(B421)&lt;=0,1,MAX(0,IF(Inputs!$B$39="pvp",15,Inputs!$B$44)-MAX(5,B421))/(IF(Inputs!$B$39="pvp",15,Inputs!$B$44)-(B421))))*IF(AND(ArtifactsInput!$M$42,((Inputs!$B$9+((C402=TRUE)*(F402-Calc!F26))+B410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380*(MIN((Inputs!$B$9+((C402=TRUE)*(F402-Calc!F26))+B410+(ArtifactsInput!$M$24-ArtifactsInput!$M$24)*CHOOSE(ArtifactsInput!$N$24+1,10,12,14,16,18,20)+(IF(AND(Inputs!$B$39&lt;&gt;"pvp",Inputs!$B$44=0),1,IF(IF(Inputs!$B$39="pvp",15,Inputs!$B$44)-(B421)&lt;=0,1,MAX(0,IF(Inputs!$B$39="pvp",15,Inputs!$B$44)-MAX(5,B421))/(IF(Inputs!$B$39="pvp",15,Inputs!$B$44)-(B421))))*IF(AND(ArtifactsInput!$M$42,((Inputs!$B$9+((C402=TRUE)*(F402-Calc!F26))+B410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380">
        <f>(1-Summary!$B$11)*T380+Summary!$B$11*V380</f>
        <v/>
      </c>
      <c r="P380">
        <f>IF(B422=0,0,O380/B422)</f>
        <v/>
      </c>
      <c r="Q380">
        <f>IFERROR(1/IF(Inputs!$B$39="pvp",15,MAX(0.1,Skills!D4-IF(TRUE=TRUE,Inputs!$B$32,0))),0)</f>
        <v/>
      </c>
      <c r="R380">
        <f>IF(AND(Inputs!$B$39&lt;&gt;"pvp",Inputs!$B$44&gt;0),IF(MAX(0,Inputs!$B$44-B421)&lt;=0,0,(INT(MAX(0,Inputs!$B$44-B421)/IF(Inputs!$B$39="pvp",15,MAX(0.1,Skills!D4-IF(TRUE=TRUE,Inputs!$B$32,0))))+1)),0)</f>
        <v/>
      </c>
      <c r="S380">
        <f>IFERROR(O380/N380,0)</f>
        <v/>
      </c>
      <c r="T380">
        <f>IF(C380,(H380*N380*IF(AND(Inputs!$B$39&lt;&gt;"pvp",Inputs!$B$44&gt;0),((Skills!G4*((R380-1)*IF(Skills!H4&gt;0,Skills!I4/Skills!H4,1)+IF(Skills!H4&gt;0,MIN(Skills!I4,MAX(0,MAX(0,Inputs!$B$44-B421)-((R380-1)*IF(Inputs!$B$39="pvp",15,MAX(0.1,Skills!D4-IF(TRUE=TRUE,Inputs!$B$32,0))))))/Skills!H4,1)))/Inputs!$B$44),G380*Q380))*IF(Inputs!$B$39="pvp",1,1+(Inputs!$B$20+0+Skills!P4+B411+(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Hunt"),CHOOSE(ArtifactsInput!$N$35+1,15,18,21,24,27,30)*(1-EXP(-(0.2*B414)*5)),0)+IF(AND(ArtifactsInput!$M$22,Inputs!$B$4&lt;&gt;"Chapter Hunt"),CHOOSE(ArtifactsInput!$N$22+1,10,12,14,16,18,20)*((0*(((0.15*B414*5))^0/1)+1*(((0.15*B414*5))^1/1)+2*(((0.15*B414*5))^2/2)+3*(((0.15*B414*5))^3/6)+4*(((0.15*B414*5))^4/24)+5*(((0.15*B414*5))^5/120))/((((0.15*B414*5))^0/1)+(((0.15*B414*5))^1/1)+(((0.15*B414*5))^2/2)+(((0.15*B414*5))^3/6)+(((0.15*B414*5))^4/24)+(((0.15*B414*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380*(1-MIN(100,(Inputs!$B$9+((C402=TRUE)*(F402-Calc!F26))+B410+(ArtifactsInput!$M$24-ArtifactsInput!$M$24)*CHOOSE(ArtifactsInput!$N$24+1,10,12,14,16,18,20)+(IF(AND(Inputs!$B$39&lt;&gt;"pvp",Inputs!$B$44=0),1,IF(IF(Inputs!$B$39="pvp",15,Inputs!$B$44)-(B421)&lt;=0,1,MAX(0,IF(Inputs!$B$39="pvp",15,Inputs!$B$44)-MAX(5,B421))/(IF(Inputs!$B$39="pvp",15,Inputs!$B$44)-(B421))))*IF(AND(ArtifactsInput!$M$42,((Inputs!$B$9+((C402=TRUE)*(F402-Calc!F26))+B410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380*(MIN(100,(Inputs!$B$9+((C402=TRUE)*(F402-Calc!F26))+B410+(ArtifactsInput!$M$24-ArtifactsInput!$M$24)*CHOOSE(ArtifactsInput!$N$24+1,10,12,14,16,18,20)+(IF(AND(Inputs!$B$39&lt;&gt;"pvp",Inputs!$B$44=0),1,IF(IF(Inputs!$B$39="pvp",15,Inputs!$B$44)-(B421)&lt;=0,1,MAX(0,IF(Inputs!$B$39="pvp",15,Inputs!$B$44)-MAX(5,B421))/(IF(Inputs!$B$39="pvp",15,Inputs!$B$44)-(B421))))*IF(AND(ArtifactsInput!$M$42,((Inputs!$B$9+((C402=TRUE)*(F402-Calc!F26))+B410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380*(1-MIN(100,(Inputs!$B$9+((C402=TRUE)*(F402-Calc!F26))+B410+(ArtifactsInput!$M$24-ArtifactsInput!$M$24)*CHOOSE(ArtifactsInput!$N$24+1,10,12,14,16,18,20)+(IF(AND(Inputs!$B$39&lt;&gt;"pvp",Inputs!$B$44=0),1,IF(IF(Inputs!$B$39="pvp",15,Inputs!$B$44)-(B421)&lt;=0,1,MAX(0,IF(Inputs!$B$39="pvp",15,Inputs!$B$44)-MAX(5,B421))/(IF(Inputs!$B$39="pvp",15,Inputs!$B$44)-(B421))))*IF(AND(ArtifactsInput!$M$42,((Inputs!$B$9+((C402=TRUE)*(F402-Calc!F26))+B410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380*(MIN(100,(Inputs!$B$9+((C402=TRUE)*(F402-Calc!F26))+B410+(ArtifactsInput!$M$24-ArtifactsInput!$M$24)*CHOOSE(ArtifactsInput!$N$24+1,10,12,14,16,18,20)+(IF(AND(Inputs!$B$39&lt;&gt;"pvp",Inputs!$B$44=0),1,IF(IF(Inputs!$B$39="pvp",15,Inputs!$B$44)-(B421)&lt;=0,1,MAX(0,IF(Inputs!$B$39="pvp",15,Inputs!$B$44)-MAX(5,B421))/(IF(Inputs!$B$39="pvp",15,Inputs!$B$44)-(B421))))*IF(AND(ArtifactsInput!$M$42,((Inputs!$B$9+((C402=TRUE)*(F402-Calc!F26))+B410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380">
        <f>290*U379/1000</f>
        <v/>
      </c>
      <c r="V380">
        <f>IF(C380,(H380*N380*IF(AND(Inputs!$B$39&lt;&gt;"pvp",Inputs!$B$44&gt;0),((Skills!G4*((R380-1)*IF(Skills!H4&gt;0,Skills!I4/Skills!H4,1)+IF(Skills!H4&gt;0,MIN(Skills!I4,MAX(0,MAX(0,Inputs!$B$44-B421)-((R380-1)*IF(Inputs!$B$39="pvp",15,MAX(0.1,Skills!D4-IF(TRUE=TRUE,Inputs!$B$32,0))))))/Skills!H4,1)))/Inputs!$B$44),G380*Q380))*IF(Inputs!$B$39="pvp",1,(1+((Inputs!$B$21+1)+Skills!Q4+B411+(IF(ArtifactsInput!$M$33,CHOOSE(ArtifactsInput!$N$33+1,30,36,42,48,54,60),0))+(IF(AND(ArtifactsInput!$M$35,Inputs!$B$4&lt;&gt;"Chapter Hunt"),CHOOSE(ArtifactsInput!$N$35+1,15,18,21,24,27,30)*(1-EXP(-(0.2*B414)*5)),0)+IF(AND(ArtifactsInput!$M$22,Inputs!$B$4&lt;&gt;"Chapter Hunt"),CHOOSE(ArtifactsInput!$N$22+1,10,12,14,16,18,20)*((0*(((0.15*B414*5))^0/1)+1*(((0.15*B414*5))^1/1)+2*(((0.15*B414*5))^2/2)+3*(((0.15*B414*5))^3/6)+4*(((0.15*B414*5))^4/24)+5*(((0.15*B414*5))^5/120))/((((0.15*B414*5))^0/1)+(((0.15*B414*5))^1/1)+(((0.15*B414*5))^2/2)+(((0.15*B414*5))^3/6)+(((0.15*B414*5))^4/24)+(((0.15*B414*5))^5/120))),0)))/100)*(MIN(MIN(10,IF(Inputs!$B$3&gt;=75,0.75,0.5)*B414*(1/Q380)),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381">
      <c r="A381">
        <f>Skills!A5</f>
        <v/>
      </c>
      <c r="B381">
        <f>Skills!B5</f>
        <v/>
      </c>
      <c r="C381">
        <f>Inputs!$B$3&gt;=75</f>
        <v/>
      </c>
      <c r="D381">
        <f>IF(Skills!C5=1,60+Inputs!$B$25+Inputs!$B$29,IF(Skills!C5=2,90+Inputs!$B$26+Inputs!$B$29,IF(Skills!C5=3,120+Inputs!$B$27+Inputs!$B$29,MAX(0,(Inputs!$B$3-100)*3)+Inputs!$B$28+Inputs!$B$29)))</f>
        <v/>
      </c>
      <c r="E381">
        <f>INDEX(FactorTable!$B$2:$Y$301, MATCH(ROUND(MIN(300,MAX(1,D381)),0), FactorTable!$A$2:$A$301,0), Skills!M5+1)</f>
        <v/>
      </c>
      <c r="F381">
        <f>IF(Skills!N5=TRUE,(Skills!L5/10)*(E381/1000),Skills!L5/10)+Skills!O5</f>
        <v/>
      </c>
      <c r="G381">
        <f>Skills!G5*IF(Skills!H5&gt;0,IF(Inputs!$B$39="pvp",MIN(Skills!I5,15),Skills!I5)/Skills!H5,1)</f>
        <v/>
      </c>
      <c r="H381">
        <f>1-(1-Skills!J5/100)^Skills!K5</f>
        <v/>
      </c>
      <c r="I381" t="inlineStr">
        <is>
          <t>1</t>
        </is>
      </c>
      <c r="J381" t="inlineStr"/>
      <c r="K381" t="inlineStr"/>
      <c r="L381" t="inlineStr"/>
      <c r="M381" t="inlineStr"/>
      <c r="N381" t="inlineStr"/>
      <c r="O381">
        <f>(1-Summary!$B$11)*T381+Summary!$B$11*V381</f>
        <v/>
      </c>
      <c r="P381">
        <f>IF(B422=0,0,O381/B422)</f>
        <v/>
      </c>
      <c r="Q381" t="n">
        <v>0</v>
      </c>
      <c r="R381" t="n">
        <v>0</v>
      </c>
      <c r="S381">
        <f>IFERROR(O381/N381,0)</f>
        <v/>
      </c>
      <c r="T381" t="n">
        <v>0</v>
      </c>
      <c r="V381" t="n">
        <v>0</v>
      </c>
    </row>
    <row r="382">
      <c r="A382">
        <f>Skills!A6</f>
        <v/>
      </c>
      <c r="B382">
        <f>Skills!B6</f>
        <v/>
      </c>
      <c r="C382">
        <f>Inputs!$B$3&gt;=63</f>
        <v/>
      </c>
      <c r="D382">
        <f>IF(Skills!C6=1,60+Inputs!$B$25+Inputs!$B$29,IF(Skills!C6=2,90+Inputs!$B$26+Inputs!$B$29,IF(Skills!C6=3,120+Inputs!$B$27+Inputs!$B$29,MAX(0,(Inputs!$B$3-100)*3)+Inputs!$B$28+Inputs!$B$29)))</f>
        <v/>
      </c>
      <c r="E382">
        <f>INDEX(FactorTable!$B$2:$Y$301, MATCH(ROUND(MIN(300,MAX(1,D382)),0), FactorTable!$A$2:$A$301,0), Skills!M6+1)</f>
        <v/>
      </c>
      <c r="F382">
        <f>IF(Skills!N6=TRUE,(Skills!L6/10)*(E382/1000),Skills!L6/10)+Skills!O6</f>
        <v/>
      </c>
      <c r="G382">
        <f>Skills!G6*IF(Skills!H6&gt;0,IF(Inputs!$B$39="pvp",MIN(Skills!I6,15),Skills!I6)/Skills!H6,1)</f>
        <v/>
      </c>
      <c r="H382">
        <f>1-(1-Skills!J6/100)^Skills!K6</f>
        <v/>
      </c>
      <c r="I382" t="inlineStr">
        <is>
          <t>1</t>
        </is>
      </c>
      <c r="J382">
        <f>((Inputs!$B$6*(1+Inputs!$B$7/100))+(((Inputs!$B$12*(1+Inputs!$B$13/100))-(Inputs!$B$12*(1+Inputs!$B$13/100)))+0.25*(Inputs!$B$14-Inputs!$B$14))*(1+Inputs!$B$7/100))*(F382/100)</f>
        <v/>
      </c>
      <c r="K382">
        <f>J382*(1+((Inputs!$B$12*(1+Inputs!$B$13/100))*0.01+Inputs!$B$14*0.0025)/100)*(1+Inputs!$B$15/100)*(1+Inputs!$B$16/100)*(5000/(6000+Inputs!$B$43*(1-(100*(1-(1-Inputs!$B$19/100)*(1-CHOOSE(ArtifactsInput!$N$40+1,5,6,7,8,9,10)/100)^(ArtifactsInput!$M$40-ArtifactsInput!$M$40)))/100)))*(1+(Inputs!$B$24+((C407=TRUE)*(F407-Calc!F31))+((C394=TRUE)*(F394-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+2.6666666666666665*IF(C395=TRUE,F395,0)/100)*(1+(IF(Skills!A6="CRUEL_STAB",Inputs!$B$17+((C404=TRUE)*(F404-Calc!F28))+((IF(AND(Inputs!$B$39&lt;&gt;"pvp",Inputs!$B$44=0),1,IF(IF(Inputs!$B$39="pvp",15,Inputs!$B$44)-(B421)&lt;=0,1,MAX(0,IF(Inputs!$B$39="pvp",15,Inputs!$B$44)-MAX(5,B421))/(IF(Inputs!$B$39="pvp",15,Inputs!$B$44)-(B421))))*(IF(AND(ArtifactsInput!$M$42,((Inputs!$B$9+((C402=TRUE)*(F402-Calc!F26))+B410+(ArtifactsInput!$M$24-ArtifactsInput!$M$24)*CHOOSE(ArtifactsInput!$N$24+1,10,12,14,16,18,20)+IF(ArtifactsInput!$M$10,CHOOSE(ArtifactsInput!$N$10+1,15,18,21,24,27,30)*(IF(Inputs!$B$39="pvp",MIN(15,15)/15,IF(AND(Inputs!$B$39&lt;&gt;"pvp",Inputs!$B$44&gt;0),MIN(15,Inputs!$B$44)/(Inputs!$B$44),0))),0)))&gt;=100),MIN(100,((Inputs!$B$9+((C402=TRUE)*(F402-Calc!F26))+B410+(ArtifactsInput!$M$24-ArtifactsInput!$M$24)*CHOOSE(ArtifactsInput!$N$24+1,10,12,14,16,18,20)+IF(ArtifactsInput!$M$10,CHOOSE(ArtifactsInput!$N$10+1,15,18,21,24,27,30)*(IF(Inputs!$B$39="pvp",MIN(15,15)/15,IF(AND(Inputs!$B$39&lt;&gt;"pvp",Inputs!$B$44&gt;0),MIN(15,Inputs!$B$44)/(Inputs!$B$44),0))),0)))-100),0))*CHOOSE(ArtifactsInput!$N$42+1,0.6,0.72,0.84,0.96,1.08,1.2))),Inputs!$B$18+((C405=TRUE)*(F405-Calc!F29))+(IF(AND(Inputs!$B$39&lt;&gt;"pvp",Inputs!$B$44=0),1,IF(IF(Inputs!$B$39="pvp",15,Inputs!$B$44)-(B421)&lt;=0,1,MAX(0,IF(Inputs!$B$39="pvp",15,Inputs!$B$44)-MAX(5,B421))/(IF(Inputs!$B$39="pvp",15,Inputs!$B$44)-(B421))))*IF(AND(ArtifactsInput!$M$42,((Inputs!$B$9+((C402=TRUE)*(F402-Calc!F26))+B410+(ArtifactsInput!$M$24-ArtifactsInput!$M$24)*CHOOSE(ArtifactsInput!$N$24+1,10,12,14,16,18,20)+IF(ArtifactsInput!$M$10,CHOOSE(ArtifactsInput!$N$10+1,15,18,21,24,27,30)*(IF(Inputs!$B$39="pvp",MIN(15,15)/15,IF(AND(Inputs!$B$39&lt;&gt;"pvp",Inputs!$B$44&gt;0),MIN(15,Inputs!$B$44)/(Inputs!$B$44),0))),0)))&gt;=100),CHOOSE(ArtifactsInput!$N$42+1,40,48,56,64,72,80),0))))/100)*(((1+(((C398=TRUE)*F398*IF(AND(Inputs!$B$39&lt;&gt;"pvp",Inputs!$B$44&gt;0),(((R398-1)*MIN((Skills!Y22*(1+Inputs!$B$34/100)),(1/Q398))+MIN((Skills!Y22*(1+Inputs!$B$34/100)),MAX(0,Inputs!$B$44-((R398-1)*(1/Q398)))))/Inputs!$B$44),IF(Inputs!$B$39="pvp",MIN((Skills!Y22*(1+Inputs!$B$34/100)),15)/15,MIN(1,(Skills!Y22*(1+Inputs!$B$34/100))/(1/Q398)))))+((C379=TRUE)*F379*3)+((C381=TRUE)*F381*(1-EXP(-0.75*B414*5)))+((C400=TRUE)*(F400-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387=TRUE)*F387*IF(AND(Inputs!$B$39&lt;&gt;"pvp",Inputs!$B$44&gt;0),(((R387-1)*MIN((Skills!Y11*(1+Inputs!$B$34/100)),(1/Q387))+MIN((Skills!Y11*(1+Inputs!$B$34/100)),MAX(0,Inputs!$B$44-((R387-1)*(1/Q387)))))/Inputs!$B$44),IF(Inputs!$B$39="pvp",MIN((Skills!Y11*(1+Inputs!$B$34/100)),15)/15,MIN(1,(Skills!Y11*(1+Inputs!$B$34/100))/(1/Q387)))))/100)*(1+((C392=TRUE)*F392*IF(AND(Inputs!$B$39&lt;&gt;"pvp",Inputs!$B$44&gt;0),(((R392-1)*MIN((Skills!Y16*(1+Inputs!$B$34/100)),(1/Q392))+MIN((Skills!Y16*(1+Inputs!$B$34/100)),MAX(0,Inputs!$B$44-((R392-1)*(1/Q392)))))/Inputs!$B$44),IF(Inputs!$B$39="pvp",MIN((Skills!Y16*(1+Inputs!$B$34/100)),15)/15,MIN(1,(Skills!Y16*(1+Inputs!$B$34/100))/(1/Q392)))))/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412*I382)</f>
        <v/>
      </c>
      <c r="L382">
        <f>K382*(MIN(Inputs!$B$22+((C401=TRUE)*(F401-Calc!F25)),(Inputs!$B$23+((C406=TRUE)*(F406-Calc!F30))+IF(ArtifactsInput!$M$15,CHOOSE(ArtifactsInput!$N$15+1,25,30,35,40,45,50)/100*(Inputs!$B$11-Inputs!$B$11),0)))/100+(Inputs!$B$23+((C406=TRUE)*(F406-Calc!F30))+IF(ArtifactsInput!$M$15,CHOOSE(ArtifactsInput!$N$15+1,25,30,35,40,45,50)/100*(Inputs!$B$11-Inputs!$B$11),0))/100)/2</f>
        <v/>
      </c>
      <c r="M382">
        <f>L382*(1+(Inputs!$B$10+((C403=TRUE)*(F403-Calc!F27))+B417+(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382">
        <f>L382*(1-MIN((Inputs!$B$9+((C402=TRUE)*(F402-Calc!F26))+B410+(ArtifactsInput!$M$24-ArtifactsInput!$M$24)*CHOOSE(ArtifactsInput!$N$24+1,10,12,14,16,18,20)+(IF(AND(Inputs!$B$39&lt;&gt;"pvp",Inputs!$B$44=0),1,IF(IF(Inputs!$B$39="pvp",15,Inputs!$B$44)-(B421)&lt;=0,1,MAX(0,IF(Inputs!$B$39="pvp",15,Inputs!$B$44)-MAX(5,B421))/(IF(Inputs!$B$39="pvp",15,Inputs!$B$44)-(B421))))*IF(AND(ArtifactsInput!$M$42,((Inputs!$B$9+((C402=TRUE)*(F402-Calc!F26))+B410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382*(MIN((Inputs!$B$9+((C402=TRUE)*(F402-Calc!F26))+B410+(ArtifactsInput!$M$24-ArtifactsInput!$M$24)*CHOOSE(ArtifactsInput!$N$24+1,10,12,14,16,18,20)+(IF(AND(Inputs!$B$39&lt;&gt;"pvp",Inputs!$B$44=0),1,IF(IF(Inputs!$B$39="pvp",15,Inputs!$B$44)-(B421)&lt;=0,1,MAX(0,IF(Inputs!$B$39="pvp",15,Inputs!$B$44)-MAX(5,B421))/(IF(Inputs!$B$39="pvp",15,Inputs!$B$44)-(B421))))*IF(AND(ArtifactsInput!$M$42,((Inputs!$B$9+((C402=TRUE)*(F402-Calc!F26))+B410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382">
        <f>(1-Summary!$B$11)*T382+Summary!$B$11*V382</f>
        <v/>
      </c>
      <c r="P382">
        <f>IF(B422=0,0,O382/B422)</f>
        <v/>
      </c>
      <c r="Q382">
        <f>IFERROR(1/IF(Inputs!$B$39="pvp",15,MAX(0.1,Skills!D6-IF(TRUE=TRUE,Inputs!$B$32,0))),0)</f>
        <v/>
      </c>
      <c r="R382">
        <f>IF(AND(Inputs!$B$39&lt;&gt;"pvp",Inputs!$B$44&gt;0),IF(MAX(0,Inputs!$B$44-B421)&lt;=0,0,(INT(MAX(0,Inputs!$B$44-B421)/IF(Inputs!$B$39="pvp",15,MAX(0.1,Skills!D6-IF(TRUE=TRUE,Inputs!$B$32,0))))+1)),0)</f>
        <v/>
      </c>
      <c r="S382">
        <f>IFERROR(O382/N382,0)</f>
        <v/>
      </c>
      <c r="T382">
        <f>IF(C382,(H382*N382*IF(AND(Inputs!$B$39&lt;&gt;"pvp",Inputs!$B$44&gt;0),((Skills!G6*((R382-1)*IF(Skills!H6&gt;0,Skills!I6/Skills!H6,1)+IF(Skills!H6&gt;0,MIN(Skills!I6,MAX(0,MAX(0,Inputs!$B$44-B421)-((R382-1)*IF(Inputs!$B$39="pvp",15,MAX(0.1,Skills!D6-IF(TRUE=TRUE,Inputs!$B$32,0))))))/Skills!H6,1)))/Inputs!$B$44),G382*Q382))*IF(Inputs!$B$39="pvp",1,1+(Inputs!$B$20+0+Skills!P6+B411+(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Hunt"),CHOOSE(ArtifactsInput!$N$35+1,15,18,21,24,27,30)*(1-EXP(-(0.2*B414)*5)),0)+IF(AND(ArtifactsInput!$M$22,Inputs!$B$4&lt;&gt;"Chapter Hunt"),CHOOSE(ArtifactsInput!$N$22+1,10,12,14,16,18,20)*((0*(((0.15*B414*5))^0/1)+1*(((0.15*B414*5))^1/1)+2*(((0.15*B414*5))^2/2)+3*(((0.15*B414*5))^3/6)+4*(((0.15*B414*5))^4/24)+5*(((0.15*B414*5))^5/120))/((((0.15*B414*5))^0/1)+(((0.15*B414*5))^1/1)+(((0.15*B414*5))^2/2)+(((0.15*B414*5))^3/6)+(((0.15*B414*5))^4/24)+(((0.15*B414*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382*(1-MIN(100,(Inputs!$B$9+((C402=TRUE)*(F402-Calc!F26))+B410+(ArtifactsInput!$M$24-ArtifactsInput!$M$24)*CHOOSE(ArtifactsInput!$N$24+1,10,12,14,16,18,20)+(IF(AND(Inputs!$B$39&lt;&gt;"pvp",Inputs!$B$44=0),1,IF(IF(Inputs!$B$39="pvp",15,Inputs!$B$44)-(B421)&lt;=0,1,MAX(0,IF(Inputs!$B$39="pvp",15,Inputs!$B$44)-MAX(5,B421))/(IF(Inputs!$B$39="pvp",15,Inputs!$B$44)-(B421))))*IF(AND(ArtifactsInput!$M$42,((Inputs!$B$9+((C402=TRUE)*(F402-Calc!F26))+B410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382*(MIN(100,(Inputs!$B$9+((C402=TRUE)*(F402-Calc!F26))+B410+(ArtifactsInput!$M$24-ArtifactsInput!$M$24)*CHOOSE(ArtifactsInput!$N$24+1,10,12,14,16,18,20)+(IF(AND(Inputs!$B$39&lt;&gt;"pvp",Inputs!$B$44=0),1,IF(IF(Inputs!$B$39="pvp",15,Inputs!$B$44)-(B421)&lt;=0,1,MAX(0,IF(Inputs!$B$39="pvp",15,Inputs!$B$44)-MAX(5,B421))/(IF(Inputs!$B$39="pvp",15,Inputs!$B$44)-(B421))))*IF(AND(ArtifactsInput!$M$42,((Inputs!$B$9+((C402=TRUE)*(F402-Calc!F26))+B410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382*(1-MIN(100,(Inputs!$B$9+((C402=TRUE)*(F402-Calc!F26))+B410+(ArtifactsInput!$M$24-ArtifactsInput!$M$24)*CHOOSE(ArtifactsInput!$N$24+1,10,12,14,16,18,20)+(IF(AND(Inputs!$B$39&lt;&gt;"pvp",Inputs!$B$44=0),1,IF(IF(Inputs!$B$39="pvp",15,Inputs!$B$44)-(B421)&lt;=0,1,MAX(0,IF(Inputs!$B$39="pvp",15,Inputs!$B$44)-MAX(5,B421))/(IF(Inputs!$B$39="pvp",15,Inputs!$B$44)-(B421))))*IF(AND(ArtifactsInput!$M$42,((Inputs!$B$9+((C402=TRUE)*(F402-Calc!F26))+B410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382*(MIN(100,(Inputs!$B$9+((C402=TRUE)*(F402-Calc!F26))+B410+(ArtifactsInput!$M$24-ArtifactsInput!$M$24)*CHOOSE(ArtifactsInput!$N$24+1,10,12,14,16,18,20)+(IF(AND(Inputs!$B$39&lt;&gt;"pvp",Inputs!$B$44=0),1,IF(IF(Inputs!$B$39="pvp",15,Inputs!$B$44)-(B421)&lt;=0,1,MAX(0,IF(Inputs!$B$39="pvp",15,Inputs!$B$44)-MAX(5,B421))/(IF(Inputs!$B$39="pvp",15,Inputs!$B$44)-(B421))))*IF(AND(ArtifactsInput!$M$42,((Inputs!$B$9+((C402=TRUE)*(F402-Calc!F26))+B410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382">
        <f>IF(C382,(H382*N382*IF(AND(Inputs!$B$39&lt;&gt;"pvp",Inputs!$B$44&gt;0),((Skills!G6*((R382-1)*IF(Skills!H6&gt;0,Skills!I6/Skills!H6,1)+IF(Skills!H6&gt;0,MIN(Skills!I6,MAX(0,MAX(0,Inputs!$B$44-B421)-((R382-1)*IF(Inputs!$B$39="pvp",15,MAX(0.1,Skills!D6-IF(TRUE=TRUE,Inputs!$B$32,0))))))/Skills!H6,1)))/Inputs!$B$44),G382*Q382))*IF(Inputs!$B$39="pvp",1,(1+((Inputs!$B$21+1)+Skills!Q6+B411+(IF(ArtifactsInput!$M$33,CHOOSE(ArtifactsInput!$N$33+1,30,36,42,48,54,60),0))+(IF(AND(ArtifactsInput!$M$35,Inputs!$B$4&lt;&gt;"Chapter Hunt"),CHOOSE(ArtifactsInput!$N$35+1,15,18,21,24,27,30)*(1-EXP(-(0.2*B414)*5)),0)+IF(AND(ArtifactsInput!$M$22,Inputs!$B$4&lt;&gt;"Chapter Hunt"),CHOOSE(ArtifactsInput!$N$22+1,10,12,14,16,18,20)*((0*(((0.15*B414*5))^0/1)+1*(((0.15*B414*5))^1/1)+2*(((0.15*B414*5))^2/2)+3*(((0.15*B414*5))^3/6)+4*(((0.15*B414*5))^4/24)+5*(((0.15*B414*5))^5/120))/((((0.15*B414*5))^0/1)+(((0.15*B414*5))^1/1)+(((0.15*B414*5))^2/2)+(((0.15*B414*5))^3/6)+(((0.15*B414*5))^4/24)+(((0.15*B414*5))^5/120))),0)))/100)*(MIN(Skills!W6,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383">
      <c r="A383">
        <f>Skills!A7</f>
        <v/>
      </c>
      <c r="B383">
        <f>Skills!B7</f>
        <v/>
      </c>
      <c r="C383">
        <f>Inputs!$B$3&gt;=69</f>
        <v/>
      </c>
      <c r="D383">
        <f>IF(Skills!C7=1,60+Inputs!$B$25+Inputs!$B$29,IF(Skills!C7=2,90+Inputs!$B$26+Inputs!$B$29,IF(Skills!C7=3,120+Inputs!$B$27+Inputs!$B$29,MAX(0,(Inputs!$B$3-100)*3)+Inputs!$B$28+Inputs!$B$29)))</f>
        <v/>
      </c>
      <c r="E383">
        <f>INDEX(FactorTable!$B$2:$Y$301, MATCH(ROUND(MIN(300,MAX(1,D383)),0), FactorTable!$A$2:$A$301,0), Skills!M7+1)</f>
        <v/>
      </c>
      <c r="F383">
        <f>IF(Skills!N7=TRUE,(Skills!L7/10)*(E383/1000),Skills!L7/10)+Skills!O7</f>
        <v/>
      </c>
      <c r="G383">
        <f>Skills!G7*IF(Skills!H7&gt;0,IF(Inputs!$B$39="pvp",MIN(Skills!I7,15),Skills!I7)/Skills!H7,1)</f>
        <v/>
      </c>
      <c r="H383">
        <f>1-(1-Skills!J7/100)^Skills!K7</f>
        <v/>
      </c>
      <c r="I383" t="inlineStr">
        <is>
          <t>1</t>
        </is>
      </c>
      <c r="J383">
        <f>((Inputs!$B$6*(1+Inputs!$B$7/100))+(((Inputs!$B$12*(1+Inputs!$B$13/100))-(Inputs!$B$12*(1+Inputs!$B$13/100)))+0.25*(Inputs!$B$14-Inputs!$B$14))*(1+Inputs!$B$7/100))*(F383/100)</f>
        <v/>
      </c>
      <c r="K383">
        <f>J383*(1+((Inputs!$B$12*(1+Inputs!$B$13/100))*0.01+Inputs!$B$14*0.0025)/100)*(1+Inputs!$B$15/100)*(1+Inputs!$B$16/100)*(5000/(6000+Inputs!$B$43*(1-(100*(1-(1-Inputs!$B$19/100)*(1-CHOOSE(ArtifactsInput!$N$40+1,5,6,7,8,9,10)/100)^(ArtifactsInput!$M$40-ArtifactsInput!$M$40)))/100)))*(1+(Inputs!$B$24+((C407=TRUE)*(F407-Calc!F31))+((C394=TRUE)*(F394-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395=TRUE,F395,0)/100)*(1+(IF(Skills!A7="CRUEL_STAB",Inputs!$B$17+((C404=TRUE)*(F404-Calc!F28))+((IF(AND(Inputs!$B$39&lt;&gt;"pvp",Inputs!$B$44=0),1,IF(IF(Inputs!$B$39="pvp",15,Inputs!$B$44)-(B421)&lt;=0,1,MAX(0,IF(Inputs!$B$39="pvp",15,Inputs!$B$44)-MAX(5,B421))/(IF(Inputs!$B$39="pvp",15,Inputs!$B$44)-(B421))))*(IF(AND(ArtifactsInput!$M$42,((Inputs!$B$9+((C402=TRUE)*(F402-Calc!F26))+B410+(ArtifactsInput!$M$24-ArtifactsInput!$M$24)*CHOOSE(ArtifactsInput!$N$24+1,10,12,14,16,18,20)+IF(ArtifactsInput!$M$10,CHOOSE(ArtifactsInput!$N$10+1,15,18,21,24,27,30)*(IF(Inputs!$B$39="pvp",MIN(15,15)/15,IF(AND(Inputs!$B$39&lt;&gt;"pvp",Inputs!$B$44&gt;0),MIN(15,Inputs!$B$44)/(Inputs!$B$44),0))),0)))&gt;=100),MIN(100,((Inputs!$B$9+((C402=TRUE)*(F402-Calc!F26))+B410+(ArtifactsInput!$M$24-ArtifactsInput!$M$24)*CHOOSE(ArtifactsInput!$N$24+1,10,12,14,16,18,20)+IF(ArtifactsInput!$M$10,CHOOSE(ArtifactsInput!$N$10+1,15,18,21,24,27,30)*(IF(Inputs!$B$39="pvp",MIN(15,15)/15,IF(AND(Inputs!$B$39&lt;&gt;"pvp",Inputs!$B$44&gt;0),MIN(15,Inputs!$B$44)/(Inputs!$B$44),0))),0)))-100),0))*CHOOSE(ArtifactsInput!$N$42+1,0.6,0.72,0.84,0.96,1.08,1.2))),Inputs!$B$18+((C405=TRUE)*(F405-Calc!F29))+(IF(AND(Inputs!$B$39&lt;&gt;"pvp",Inputs!$B$44=0),1,IF(IF(Inputs!$B$39="pvp",15,Inputs!$B$44)-(B421)&lt;=0,1,MAX(0,IF(Inputs!$B$39="pvp",15,Inputs!$B$44)-MAX(5,B421))/(IF(Inputs!$B$39="pvp",15,Inputs!$B$44)-(B421))))*IF(AND(ArtifactsInput!$M$42,((Inputs!$B$9+((C402=TRUE)*(F402-Calc!F26))+B410+(ArtifactsInput!$M$24-ArtifactsInput!$M$24)*CHOOSE(ArtifactsInput!$N$24+1,10,12,14,16,18,20)+IF(ArtifactsInput!$M$10,CHOOSE(ArtifactsInput!$N$10+1,15,18,21,24,27,30)*(IF(Inputs!$B$39="pvp",MIN(15,15)/15,IF(AND(Inputs!$B$39&lt;&gt;"pvp",Inputs!$B$44&gt;0),MIN(15,Inputs!$B$44)/(Inputs!$B$44),0))),0)))&gt;=100),CHOOSE(ArtifactsInput!$N$42+1,40,48,56,64,72,80),0))))/100)*(((1+(((C398=TRUE)*F398*IF(AND(Inputs!$B$39&lt;&gt;"pvp",Inputs!$B$44&gt;0),(((R398-1)*MIN((Skills!Y22*(1+Inputs!$B$34/100)),(1/Q398))+MIN((Skills!Y22*(1+Inputs!$B$34/100)),MAX(0,Inputs!$B$44-((R398-1)*(1/Q398)))))/Inputs!$B$44),IF(Inputs!$B$39="pvp",MIN((Skills!Y22*(1+Inputs!$B$34/100)),15)/15,MIN(1,(Skills!Y22*(1+Inputs!$B$34/100))/(1/Q398)))))+((C379=TRUE)*F379*3)+((C381=TRUE)*F381*(1-EXP(-0.75*B414*5)))+((C400=TRUE)*(F400-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387=TRUE)*F387*IF(AND(Inputs!$B$39&lt;&gt;"pvp",Inputs!$B$44&gt;0),(((R387-1)*MIN((Skills!Y11*(1+Inputs!$B$34/100)),(1/Q387))+MIN((Skills!Y11*(1+Inputs!$B$34/100)),MAX(0,Inputs!$B$44-((R387-1)*(1/Q387)))))/Inputs!$B$44),IF(Inputs!$B$39="pvp",MIN((Skills!Y11*(1+Inputs!$B$34/100)),15)/15,MIN(1,(Skills!Y11*(1+Inputs!$B$34/100))/(1/Q387)))))/100)*(1+((C392=TRUE)*F392*IF(AND(Inputs!$B$39&lt;&gt;"pvp",Inputs!$B$44&gt;0),(((R392-1)*MIN((Skills!Y16*(1+Inputs!$B$34/100)),(1/Q392))+MIN((Skills!Y16*(1+Inputs!$B$34/100)),MAX(0,Inputs!$B$44-((R392-1)*(1/Q392)))))/Inputs!$B$44),IF(Inputs!$B$39="pvp",MIN((Skills!Y16*(1+Inputs!$B$34/100)),15)/15,MIN(1,(Skills!Y16*(1+Inputs!$B$34/100))/(1/Q392)))))/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412*I383)</f>
        <v/>
      </c>
      <c r="L383">
        <f>K383*(MIN(Inputs!$B$22+((C401=TRUE)*(F401-Calc!F25)),(Inputs!$B$23+((C406=TRUE)*(F406-Calc!F30))+IF(ArtifactsInput!$M$15,CHOOSE(ArtifactsInput!$N$15+1,25,30,35,40,45,50)/100*(Inputs!$B$11-Inputs!$B$11),0)))/100+(Inputs!$B$23+((C406=TRUE)*(F406-Calc!F30))+IF(ArtifactsInput!$M$15,CHOOSE(ArtifactsInput!$N$15+1,25,30,35,40,45,50)/100*(Inputs!$B$11-Inputs!$B$11),0))/100)/2</f>
        <v/>
      </c>
      <c r="M383">
        <f>L383*(1+(Inputs!$B$10+((C403=TRUE)*(F403-Calc!F27))+B417+(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383">
        <f>L383*(1-MIN((Inputs!$B$9+((C402=TRUE)*(F402-Calc!F26))+B410+(ArtifactsInput!$M$24-ArtifactsInput!$M$24)*CHOOSE(ArtifactsInput!$N$24+1,10,12,14,16,18,20)+(IF(AND(Inputs!$B$39&lt;&gt;"pvp",Inputs!$B$44=0),1,IF(IF(Inputs!$B$39="pvp",15,Inputs!$B$44)-(B421)&lt;=0,1,MAX(0,IF(Inputs!$B$39="pvp",15,Inputs!$B$44)-MAX(5,B421))/(IF(Inputs!$B$39="pvp",15,Inputs!$B$44)-(B421))))*IF(AND(ArtifactsInput!$M$42,((Inputs!$B$9+((C402=TRUE)*(F402-Calc!F26))+B410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383*(MIN((Inputs!$B$9+((C402=TRUE)*(F402-Calc!F26))+B410+(ArtifactsInput!$M$24-ArtifactsInput!$M$24)*CHOOSE(ArtifactsInput!$N$24+1,10,12,14,16,18,20)+(IF(AND(Inputs!$B$39&lt;&gt;"pvp",Inputs!$B$44=0),1,IF(IF(Inputs!$B$39="pvp",15,Inputs!$B$44)-(B421)&lt;=0,1,MAX(0,IF(Inputs!$B$39="pvp",15,Inputs!$B$44)-MAX(5,B421))/(IF(Inputs!$B$39="pvp",15,Inputs!$B$44)-(B421))))*IF(AND(ArtifactsInput!$M$42,((Inputs!$B$9+((C402=TRUE)*(F402-Calc!F26))+B410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383">
        <f>(1-Summary!$B$11)*T383+Summary!$B$11*V383</f>
        <v/>
      </c>
      <c r="P383">
        <f>IF(B422=0,0,O383/B422)</f>
        <v/>
      </c>
      <c r="Q383">
        <f>IFERROR(1/IF(Inputs!$B$39="pvp",15,MAX(0.1,Skills!D7-IF(TRUE=TRUE,Inputs!$B$32,0))),0)</f>
        <v/>
      </c>
      <c r="R383">
        <f>IF(AND(Inputs!$B$39&lt;&gt;"pvp",Inputs!$B$44&gt;0),IF(MAX(0,Inputs!$B$44-B421)&lt;=0,0,(INT(MAX(0,Inputs!$B$44-B421)/IF(Inputs!$B$39="pvp",15,MAX(0.1,Skills!D7-IF(TRUE=TRUE,Inputs!$B$32,0))))+1)),0)</f>
        <v/>
      </c>
      <c r="S383">
        <f>IFERROR(O383/N383,0)</f>
        <v/>
      </c>
      <c r="T383">
        <f>IF(C383,(H383*N383*IF(AND(Inputs!$B$39&lt;&gt;"pvp",Inputs!$B$44&gt;0),((Skills!G7*((R383-1)*IF(Skills!H7&gt;0,Skills!I7/Skills!H7,1)+IF(Skills!H7&gt;0,MIN(Skills!I7,MAX(0,MAX(0,Inputs!$B$44-B421)-((R383-1)*IF(Inputs!$B$39="pvp",15,MAX(0.1,Skills!D7-IF(TRUE=TRUE,Inputs!$B$32,0))))))/Skills!H7,1)))/Inputs!$B$44),G383*Q383))*IF(Inputs!$B$39="pvp",1,1+(Inputs!$B$20+0+Skills!P7+B411+(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Hunt"),CHOOSE(ArtifactsInput!$N$35+1,15,18,21,24,27,30)*(1-EXP(-(0.2*B414)*5)),0)+IF(AND(ArtifactsInput!$M$22,Inputs!$B$4&lt;&gt;"Chapter Hunt"),CHOOSE(ArtifactsInput!$N$22+1,10,12,14,16,18,20)*((0*(((0.15*B414*5))^0/1)+1*(((0.15*B414*5))^1/1)+2*(((0.15*B414*5))^2/2)+3*(((0.15*B414*5))^3/6)+4*(((0.15*B414*5))^4/24)+5*(((0.15*B414*5))^5/120))/((((0.15*B414*5))^0/1)+(((0.15*B414*5))^1/1)+(((0.15*B414*5))^2/2)+(((0.15*B414*5))^3/6)+(((0.15*B414*5))^4/24)+(((0.15*B414*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383*(1-MIN(100,(Inputs!$B$9+((C402=TRUE)*(F402-Calc!F26))+B410+(ArtifactsInput!$M$24-ArtifactsInput!$M$24)*CHOOSE(ArtifactsInput!$N$24+1,10,12,14,16,18,20)+(IF(AND(Inputs!$B$39&lt;&gt;"pvp",Inputs!$B$44=0),1,IF(IF(Inputs!$B$39="pvp",15,Inputs!$B$44)-(B421)&lt;=0,1,MAX(0,IF(Inputs!$B$39="pvp",15,Inputs!$B$44)-MAX(5,B421))/(IF(Inputs!$B$39="pvp",15,Inputs!$B$44)-(B421))))*IF(AND(ArtifactsInput!$M$42,((Inputs!$B$9+((C402=TRUE)*(F402-Calc!F26))+B410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383*(MIN(100,(Inputs!$B$9+((C402=TRUE)*(F402-Calc!F26))+B410+(ArtifactsInput!$M$24-ArtifactsInput!$M$24)*CHOOSE(ArtifactsInput!$N$24+1,10,12,14,16,18,20)+(IF(AND(Inputs!$B$39&lt;&gt;"pvp",Inputs!$B$44=0),1,IF(IF(Inputs!$B$39="pvp",15,Inputs!$B$44)-(B421)&lt;=0,1,MAX(0,IF(Inputs!$B$39="pvp",15,Inputs!$B$44)-MAX(5,B421))/(IF(Inputs!$B$39="pvp",15,Inputs!$B$44)-(B421))))*IF(AND(ArtifactsInput!$M$42,((Inputs!$B$9+((C402=TRUE)*(F402-Calc!F26))+B410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383*(1-MIN(100,(Inputs!$B$9+((C402=TRUE)*(F402-Calc!F26))+B410+(ArtifactsInput!$M$24-ArtifactsInput!$M$24)*CHOOSE(ArtifactsInput!$N$24+1,10,12,14,16,18,20)+(IF(AND(Inputs!$B$39&lt;&gt;"pvp",Inputs!$B$44=0),1,IF(IF(Inputs!$B$39="pvp",15,Inputs!$B$44)-(B421)&lt;=0,1,MAX(0,IF(Inputs!$B$39="pvp",15,Inputs!$B$44)-MAX(5,B421))/(IF(Inputs!$B$39="pvp",15,Inputs!$B$44)-(B421))))*IF(AND(ArtifactsInput!$M$42,((Inputs!$B$9+((C402=TRUE)*(F402-Calc!F26))+B410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383*(MIN(100,(Inputs!$B$9+((C402=TRUE)*(F402-Calc!F26))+B410+(ArtifactsInput!$M$24-ArtifactsInput!$M$24)*CHOOSE(ArtifactsInput!$N$24+1,10,12,14,16,18,20)+(IF(AND(Inputs!$B$39&lt;&gt;"pvp",Inputs!$B$44=0),1,IF(IF(Inputs!$B$39="pvp",15,Inputs!$B$44)-(B421)&lt;=0,1,MAX(0,IF(Inputs!$B$39="pvp",15,Inputs!$B$44)-MAX(5,B421))/(IF(Inputs!$B$39="pvp",15,Inputs!$B$44)-(B421))))*IF(AND(ArtifactsInput!$M$42,((Inputs!$B$9+((C402=TRUE)*(F402-Calc!F26))+B410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383">
        <f>IF(C383,(H383*N383*IF(AND(Inputs!$B$39&lt;&gt;"pvp",Inputs!$B$44&gt;0),((Skills!G7*((R383-1)*IF(Skills!H7&gt;0,Skills!I7/Skills!H7,1)+IF(Skills!H7&gt;0,MIN(Skills!I7,MAX(0,MAX(0,Inputs!$B$44-B421)-((R383-1)*IF(Inputs!$B$39="pvp",15,MAX(0.1,Skills!D7-IF(TRUE=TRUE,Inputs!$B$32,0))))))/Skills!H7,1)))/Inputs!$B$44),G383*Q383))*IF(Inputs!$B$39="pvp",1,(1+((Inputs!$B$21+1)+Skills!Q7+B411+(IF(ArtifactsInput!$M$33,CHOOSE(ArtifactsInput!$N$33+1,30,36,42,48,54,60),0))+(IF(AND(ArtifactsInput!$M$35,Inputs!$B$4&lt;&gt;"Chapter Hunt"),CHOOSE(ArtifactsInput!$N$35+1,15,18,21,24,27,30)*(1-EXP(-(0.2*B414)*5)),0)+IF(AND(ArtifactsInput!$M$22,Inputs!$B$4&lt;&gt;"Chapter Hunt"),CHOOSE(ArtifactsInput!$N$22+1,10,12,14,16,18,20)*((0*(((0.15*B414*5))^0/1)+1*(((0.15*B414*5))^1/1)+2*(((0.15*B414*5))^2/2)+3*(((0.15*B414*5))^3/6)+4*(((0.15*B414*5))^4/24)+5*(((0.15*B414*5))^5/120))/((((0.15*B414*5))^0/1)+(((0.15*B414*5))^1/1)+(((0.15*B414*5))^2/2)+(((0.15*B414*5))^3/6)+(((0.15*B414*5))^4/24)+(((0.15*B414*5))^5/120))),0)))/100)*(MIN(Skills!W7,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384">
      <c r="A384">
        <f>Skills!A8</f>
        <v/>
      </c>
      <c r="B384">
        <f>Skills!B8</f>
        <v/>
      </c>
      <c r="C384">
        <f>Inputs!$B$3&gt;=60</f>
        <v/>
      </c>
      <c r="D384">
        <f>IF(Skills!C8=1,60+Inputs!$B$25+Inputs!$B$29,IF(Skills!C8=2,90+Inputs!$B$26+Inputs!$B$29,IF(Skills!C8=3,120+Inputs!$B$27+Inputs!$B$29,MAX(0,(Inputs!$B$3-100)*3)+Inputs!$B$28+Inputs!$B$29)))</f>
        <v/>
      </c>
      <c r="E384">
        <f>INDEX(FactorTable!$B$2:$Y$301, MATCH(ROUND(MIN(300,MAX(1,D384)),0), FactorTable!$A$2:$A$301,0), Skills!M8+1)</f>
        <v/>
      </c>
      <c r="F384">
        <f>IF(Skills!N8=TRUE,(Skills!L8/10)*(E384/1000),Skills!L8/10)+Skills!O8</f>
        <v/>
      </c>
      <c r="G384">
        <f>Skills!G8*IF(Skills!H8&gt;0,IF(Inputs!$B$39="pvp",MIN(Skills!I8,15),Skills!I8)/Skills!H8,1)</f>
        <v/>
      </c>
      <c r="H384">
        <f>1-(1-Skills!J8/100)^Skills!K8</f>
        <v/>
      </c>
      <c r="I384" t="inlineStr">
        <is>
          <t>1</t>
        </is>
      </c>
      <c r="J384" t="inlineStr"/>
      <c r="K384" t="inlineStr"/>
      <c r="L384" t="inlineStr"/>
      <c r="M384" t="inlineStr"/>
      <c r="N384" t="inlineStr"/>
      <c r="O384">
        <f>(1-Summary!$B$11)*T384+Summary!$B$11*V384</f>
        <v/>
      </c>
      <c r="P384">
        <f>IF(B422=0,0,O384/B422)</f>
        <v/>
      </c>
      <c r="Q384" t="n">
        <v>0</v>
      </c>
      <c r="R384" t="n">
        <v>0</v>
      </c>
      <c r="S384">
        <f>IFERROR(O384/N384,0)</f>
        <v/>
      </c>
      <c r="T384" t="n">
        <v>0</v>
      </c>
      <c r="V384" t="n">
        <v>0</v>
      </c>
    </row>
    <row r="385">
      <c r="A385">
        <f>Skills!A9</f>
        <v/>
      </c>
      <c r="B385">
        <f>Skills!B9</f>
        <v/>
      </c>
      <c r="C385">
        <f>Inputs!$B$3&gt;=72</f>
        <v/>
      </c>
      <c r="D385">
        <f>IF(Skills!C9=1,60+Inputs!$B$25+Inputs!$B$29,IF(Skills!C9=2,90+Inputs!$B$26+Inputs!$B$29,IF(Skills!C9=3,120+Inputs!$B$27+Inputs!$B$29,MAX(0,(Inputs!$B$3-100)*3)+Inputs!$B$28+Inputs!$B$29)))</f>
        <v/>
      </c>
      <c r="E385">
        <f>INDEX(FactorTable!$B$2:$Y$301, MATCH(ROUND(MIN(300,MAX(1,D385)),0), FactorTable!$A$2:$A$301,0), Skills!M9+1)</f>
        <v/>
      </c>
      <c r="F385">
        <f>IF(Skills!N9=TRUE,(Skills!L9/10)*(E385/1000),Skills!L9/10)+Skills!O9</f>
        <v/>
      </c>
      <c r="G385">
        <f>Skills!G9*IF(Skills!H9&gt;0,IF(Inputs!$B$39="pvp",MIN(Skills!I9,15),Skills!I9)/Skills!H9,1)</f>
        <v/>
      </c>
      <c r="H385">
        <f>1-(1-Skills!J9/100)^Skills!K9</f>
        <v/>
      </c>
      <c r="I385" t="inlineStr">
        <is>
          <t>1</t>
        </is>
      </c>
      <c r="J385">
        <f>((Inputs!$B$6*(1+Inputs!$B$7/100))+(((Inputs!$B$12*(1+Inputs!$B$13/100))-(Inputs!$B$12*(1+Inputs!$B$13/100)))+0.25*(Inputs!$B$14-Inputs!$B$14))*(1+Inputs!$B$7/100))*(F385/100)</f>
        <v/>
      </c>
      <c r="K385">
        <f>J385*(1+((Inputs!$B$12*(1+Inputs!$B$13/100))*0.01+Inputs!$B$14*0.0025)/100)*(1+Inputs!$B$15/100)*(1+Inputs!$B$16/100)*(5000/(6000+Inputs!$B$43*(1-(100*(1-(1-Inputs!$B$19/100)*(1-CHOOSE(ArtifactsInput!$N$40+1,5,6,7,8,9,10)/100)^(ArtifactsInput!$M$40-ArtifactsInput!$M$40)))/100)))*(1+(Inputs!$B$24+((C407=TRUE)*(F407-Calc!F31))+((C394=TRUE)*(F394-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+3.3333333333333335*IF(C395=TRUE,F395,0)/100)*(1+(IF(Skills!A9="CRUEL_STAB",Inputs!$B$17+((C404=TRUE)*(F404-Calc!F28))+((IF(AND(Inputs!$B$39&lt;&gt;"pvp",Inputs!$B$44=0),1,IF(IF(Inputs!$B$39="pvp",15,Inputs!$B$44)-(B421)&lt;=0,1,MAX(0,IF(Inputs!$B$39="pvp",15,Inputs!$B$44)-MAX(5,B421))/(IF(Inputs!$B$39="pvp",15,Inputs!$B$44)-(B421))))*(IF(AND(ArtifactsInput!$M$42,((Inputs!$B$9+((C402=TRUE)*(F402-Calc!F26))+B410+(ArtifactsInput!$M$24-ArtifactsInput!$M$24)*CHOOSE(ArtifactsInput!$N$24+1,10,12,14,16,18,20)+IF(ArtifactsInput!$M$10,CHOOSE(ArtifactsInput!$N$10+1,15,18,21,24,27,30)*(IF(Inputs!$B$39="pvp",MIN(15,15)/15,IF(AND(Inputs!$B$39&lt;&gt;"pvp",Inputs!$B$44&gt;0),MIN(15,Inputs!$B$44)/(Inputs!$B$44),0))),0)))&gt;=100),MIN(100,((Inputs!$B$9+((C402=TRUE)*(F402-Calc!F26))+B410+(ArtifactsInput!$M$24-ArtifactsInput!$M$24)*CHOOSE(ArtifactsInput!$N$24+1,10,12,14,16,18,20)+IF(ArtifactsInput!$M$10,CHOOSE(ArtifactsInput!$N$10+1,15,18,21,24,27,30)*(IF(Inputs!$B$39="pvp",MIN(15,15)/15,IF(AND(Inputs!$B$39&lt;&gt;"pvp",Inputs!$B$44&gt;0),MIN(15,Inputs!$B$44)/(Inputs!$B$44),0))),0)))-100),0))*CHOOSE(ArtifactsInput!$N$42+1,0.6,0.72,0.84,0.96,1.08,1.2))),Inputs!$B$18+((C405=TRUE)*(F405-Calc!F29))+(IF(AND(Inputs!$B$39&lt;&gt;"pvp",Inputs!$B$44=0),1,IF(IF(Inputs!$B$39="pvp",15,Inputs!$B$44)-(B421)&lt;=0,1,MAX(0,IF(Inputs!$B$39="pvp",15,Inputs!$B$44)-MAX(5,B421))/(IF(Inputs!$B$39="pvp",15,Inputs!$B$44)-(B421))))*IF(AND(ArtifactsInput!$M$42,((Inputs!$B$9+((C402=TRUE)*(F402-Calc!F26))+B410+(ArtifactsInput!$M$24-ArtifactsInput!$M$24)*CHOOSE(ArtifactsInput!$N$24+1,10,12,14,16,18,20)+IF(ArtifactsInput!$M$10,CHOOSE(ArtifactsInput!$N$10+1,15,18,21,24,27,30)*(IF(Inputs!$B$39="pvp",MIN(15,15)/15,IF(AND(Inputs!$B$39&lt;&gt;"pvp",Inputs!$B$44&gt;0),MIN(15,Inputs!$B$44)/(Inputs!$B$44),0))),0)))&gt;=100),CHOOSE(ArtifactsInput!$N$42+1,40,48,56,64,72,80),0))))/100)*(((1+(((C398=TRUE)*F398*IF(AND(Inputs!$B$39&lt;&gt;"pvp",Inputs!$B$44&gt;0),(((R398-1)*MIN((Skills!Y22*(1+Inputs!$B$34/100)),(1/Q398))+MIN((Skills!Y22*(1+Inputs!$B$34/100)),MAX(0,Inputs!$B$44-((R398-1)*(1/Q398)))))/Inputs!$B$44),IF(Inputs!$B$39="pvp",MIN((Skills!Y22*(1+Inputs!$B$34/100)),15)/15,MIN(1,(Skills!Y22*(1+Inputs!$B$34/100))/(1/Q398)))))+((C379=TRUE)*F379*3)+((C381=TRUE)*F381*(1-EXP(-0.75*B414*5)))+((C400=TRUE)*(F400-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387=TRUE)*F387*IF(AND(Inputs!$B$39&lt;&gt;"pvp",Inputs!$B$44&gt;0),(((R387-1)*MIN((Skills!Y11*(1+Inputs!$B$34/100)),(1/Q387))+MIN((Skills!Y11*(1+Inputs!$B$34/100)),MAX(0,Inputs!$B$44-((R387-1)*(1/Q387)))))/Inputs!$B$44),IF(Inputs!$B$39="pvp",MIN((Skills!Y11*(1+Inputs!$B$34/100)),15)/15,MIN(1,(Skills!Y11*(1+Inputs!$B$34/100))/(1/Q387)))))/100)*(1+((C392=TRUE)*F392*IF(AND(Inputs!$B$39&lt;&gt;"pvp",Inputs!$B$44&gt;0),(((R392-1)*MIN((Skills!Y16*(1+Inputs!$B$34/100)),(1/Q392))+MIN((Skills!Y16*(1+Inputs!$B$34/100)),MAX(0,Inputs!$B$44-((R392-1)*(1/Q392)))))/Inputs!$B$44),IF(Inputs!$B$39="pvp",MIN((Skills!Y16*(1+Inputs!$B$34/100)),15)/15,MIN(1,(Skills!Y16*(1+Inputs!$B$34/100))/(1/Q392)))))/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412*I385)</f>
        <v/>
      </c>
      <c r="L385">
        <f>K385*(MIN(Inputs!$B$22+((C401=TRUE)*(F401-Calc!F25)),(Inputs!$B$23+((C406=TRUE)*(F406-Calc!F30))+IF(ArtifactsInput!$M$15,CHOOSE(ArtifactsInput!$N$15+1,25,30,35,40,45,50)/100*(Inputs!$B$11-Inputs!$B$11),0)))/100+(Inputs!$B$23+((C406=TRUE)*(F406-Calc!F30))+IF(ArtifactsInput!$M$15,CHOOSE(ArtifactsInput!$N$15+1,25,30,35,40,45,50)/100*(Inputs!$B$11-Inputs!$B$11),0))/100)/2</f>
        <v/>
      </c>
      <c r="M385">
        <f>L385*(1+(Inputs!$B$10+((C403=TRUE)*(F403-Calc!F27))+B417+(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385">
        <f>L385*(1-MIN((Inputs!$B$9+((C402=TRUE)*(F402-Calc!F26))+B410+(ArtifactsInput!$M$24-ArtifactsInput!$M$24)*CHOOSE(ArtifactsInput!$N$24+1,10,12,14,16,18,20)+(IF(AND(Inputs!$B$39&lt;&gt;"pvp",Inputs!$B$44=0),1,IF(IF(Inputs!$B$39="pvp",15,Inputs!$B$44)-(B421)&lt;=0,1,MAX(0,IF(Inputs!$B$39="pvp",15,Inputs!$B$44)-MAX(5,B421))/(IF(Inputs!$B$39="pvp",15,Inputs!$B$44)-(B421))))*IF(AND(ArtifactsInput!$M$42,((Inputs!$B$9+((C402=TRUE)*(F402-Calc!F26))+B410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385*(MIN((Inputs!$B$9+((C402=TRUE)*(F402-Calc!F26))+B410+(ArtifactsInput!$M$24-ArtifactsInput!$M$24)*CHOOSE(ArtifactsInput!$N$24+1,10,12,14,16,18,20)+(IF(AND(Inputs!$B$39&lt;&gt;"pvp",Inputs!$B$44=0),1,IF(IF(Inputs!$B$39="pvp",15,Inputs!$B$44)-(B421)&lt;=0,1,MAX(0,IF(Inputs!$B$39="pvp",15,Inputs!$B$44)-MAX(5,B421))/(IF(Inputs!$B$39="pvp",15,Inputs!$B$44)-(B421))))*IF(AND(ArtifactsInput!$M$42,((Inputs!$B$9+((C402=TRUE)*(F402-Calc!F26))+B410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385">
        <f>(1-Summary!$B$11)*T385+Summary!$B$11*V385</f>
        <v/>
      </c>
      <c r="P385">
        <f>IF(B422=0,0,O385/B422)</f>
        <v/>
      </c>
      <c r="Q385">
        <f>IFERROR(1/IF(Inputs!$B$39="pvp",15,MAX(0.1,Skills!D9-IF(FALSE=TRUE,Inputs!$B$32,0))),0)</f>
        <v/>
      </c>
      <c r="R385">
        <f>IF(AND(Inputs!$B$39&lt;&gt;"pvp",Inputs!$B$44&gt;0),IF(MAX(0,Inputs!$B$44-B421)&lt;=0,0,(INT(MAX(0,Inputs!$B$44-B421)/IF(Inputs!$B$39="pvp",15,MAX(0.1,Skills!D9-IF(FALSE=TRUE,Inputs!$B$32,0))))+1)),0)</f>
        <v/>
      </c>
      <c r="S385">
        <f>IFERROR(O385/N385,0)</f>
        <v/>
      </c>
      <c r="T385">
        <f>IF(C385,(H385*N385*IF(AND(Inputs!$B$39&lt;&gt;"pvp",Inputs!$B$44&gt;0),((Skills!G9*((R385-1)*IF(Skills!H9&gt;0,Skills!I9/Skills!H9,1)+IF(Skills!H9&gt;0,MIN(Skills!I9,MAX(0,MAX(0,Inputs!$B$44-B421)-((R385-1)*IF(Inputs!$B$39="pvp",15,MAX(0.1,Skills!D9-IF(FALSE=TRUE,Inputs!$B$32,0))))))/Skills!H9,1)))/Inputs!$B$44),G385*Q385))*IF(Inputs!$B$39="pvp",1,1+(Inputs!$B$20+0+Skills!P9+B411+(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Hunt"),CHOOSE(ArtifactsInput!$N$35+1,15,18,21,24,27,30)*(1-EXP(-(0.2*B414)*5)),0)+IF(AND(ArtifactsInput!$M$22,Inputs!$B$4&lt;&gt;"Chapter Hunt"),CHOOSE(ArtifactsInput!$N$22+1,10,12,14,16,18,20)*((0*(((0.15*B414*5))^0/1)+1*(((0.15*B414*5))^1/1)+2*(((0.15*B414*5))^2/2)+3*(((0.15*B414*5))^3/6)+4*(((0.15*B414*5))^4/24)+5*(((0.15*B414*5))^5/120))/((((0.15*B414*5))^0/1)+(((0.15*B414*5))^1/1)+(((0.15*B414*5))^2/2)+(((0.15*B414*5))^3/6)+(((0.15*B414*5))^4/24)+(((0.15*B414*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385*(1-MIN(100,(Inputs!$B$9+((C402=TRUE)*(F402-Calc!F26))+B410+(ArtifactsInput!$M$24-ArtifactsInput!$M$24)*CHOOSE(ArtifactsInput!$N$24+1,10,12,14,16,18,20)+(IF(AND(Inputs!$B$39&lt;&gt;"pvp",Inputs!$B$44=0),1,IF(IF(Inputs!$B$39="pvp",15,Inputs!$B$44)-(B421)&lt;=0,1,MAX(0,IF(Inputs!$B$39="pvp",15,Inputs!$B$44)-MAX(5,B421))/(IF(Inputs!$B$39="pvp",15,Inputs!$B$44)-(B421))))*IF(AND(ArtifactsInput!$M$42,((Inputs!$B$9+((C402=TRUE)*(F402-Calc!F26))+B410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385*(MIN(100,(Inputs!$B$9+((C402=TRUE)*(F402-Calc!F26))+B410+(ArtifactsInput!$M$24-ArtifactsInput!$M$24)*CHOOSE(ArtifactsInput!$N$24+1,10,12,14,16,18,20)+(IF(AND(Inputs!$B$39&lt;&gt;"pvp",Inputs!$B$44=0),1,IF(IF(Inputs!$B$39="pvp",15,Inputs!$B$44)-(B421)&lt;=0,1,MAX(0,IF(Inputs!$B$39="pvp",15,Inputs!$B$44)-MAX(5,B421))/(IF(Inputs!$B$39="pvp",15,Inputs!$B$44)-(B421))))*IF(AND(ArtifactsInput!$M$42,((Inputs!$B$9+((C402=TRUE)*(F402-Calc!F26))+B410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385*(1-MIN(100,(Inputs!$B$9+((C402=TRUE)*(F402-Calc!F26))+B410+(ArtifactsInput!$M$24-ArtifactsInput!$M$24)*CHOOSE(ArtifactsInput!$N$24+1,10,12,14,16,18,20)+(IF(AND(Inputs!$B$39&lt;&gt;"pvp",Inputs!$B$44=0),1,IF(IF(Inputs!$B$39="pvp",15,Inputs!$B$44)-(B421)&lt;=0,1,MAX(0,IF(Inputs!$B$39="pvp",15,Inputs!$B$44)-MAX(5,B421))/(IF(Inputs!$B$39="pvp",15,Inputs!$B$44)-(B421))))*IF(AND(ArtifactsInput!$M$42,((Inputs!$B$9+((C402=TRUE)*(F402-Calc!F26))+B410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385*(MIN(100,(Inputs!$B$9+((C402=TRUE)*(F402-Calc!F26))+B410+(ArtifactsInput!$M$24-ArtifactsInput!$M$24)*CHOOSE(ArtifactsInput!$N$24+1,10,12,14,16,18,20)+(IF(AND(Inputs!$B$39&lt;&gt;"pvp",Inputs!$B$44=0),1,IF(IF(Inputs!$B$39="pvp",15,Inputs!$B$44)-(B421)&lt;=0,1,MAX(0,IF(Inputs!$B$39="pvp",15,Inputs!$B$44)-MAX(5,B421))/(IF(Inputs!$B$39="pvp",15,Inputs!$B$44)-(B421))))*IF(AND(ArtifactsInput!$M$42,((Inputs!$B$9+((C402=TRUE)*(F402-Calc!F26))+B410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385">
        <f>IF(C385,(H385*N385*IF(AND(Inputs!$B$39&lt;&gt;"pvp",Inputs!$B$44&gt;0),((Skills!G9*((R385-1)*IF(Skills!H9&gt;0,Skills!I9/Skills!H9,1)+IF(Skills!H9&gt;0,MIN(Skills!I9,MAX(0,MAX(0,Inputs!$B$44-B421)-((R385-1)*IF(Inputs!$B$39="pvp",15,MAX(0.1,Skills!D9-IF(FALSE=TRUE,Inputs!$B$32,0))))))/Skills!H9,1)))/Inputs!$B$44),G385*Q385))*IF(Inputs!$B$39="pvp",1,(1+((Inputs!$B$21+1)+Skills!Q9+B411+(IF(ArtifactsInput!$M$33,CHOOSE(ArtifactsInput!$N$33+1,30,36,42,48,54,60),0))+(IF(AND(ArtifactsInput!$M$35,Inputs!$B$4&lt;&gt;"Chapter Hunt"),CHOOSE(ArtifactsInput!$N$35+1,15,18,21,24,27,30)*(1-EXP(-(0.2*B414)*5)),0)+IF(AND(ArtifactsInput!$M$22,Inputs!$B$4&lt;&gt;"Chapter Hunt"),CHOOSE(ArtifactsInput!$N$22+1,10,12,14,16,18,20)*((0*(((0.15*B414*5))^0/1)+1*(((0.15*B414*5))^1/1)+2*(((0.15*B414*5))^2/2)+3*(((0.15*B414*5))^3/6)+4*(((0.15*B414*5))^4/24)+5*(((0.15*B414*5))^5/120))/((((0.15*B414*5))^0/1)+(((0.15*B414*5))^1/1)+(((0.15*B414*5))^2/2)+(((0.15*B414*5))^3/6)+(((0.15*B414*5))^4/24)+(((0.15*B414*5))^5/120))),0)))/100)*(MIN(Skills!W9,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386">
      <c r="A386">
        <f>Skills!A10</f>
        <v/>
      </c>
      <c r="B386">
        <f>Skills!B10</f>
        <v/>
      </c>
      <c r="C386">
        <f>Inputs!$B$3&gt;=117</f>
        <v/>
      </c>
      <c r="D386">
        <f>IF(Skills!C10=1,60+Inputs!$B$25+Inputs!$B$29,IF(Skills!C10=2,90+Inputs!$B$26+Inputs!$B$29,IF(Skills!C10=3,120+Inputs!$B$27+Inputs!$B$29,MAX(0,(Inputs!$B$3-100)*3)+Inputs!$B$28+Inputs!$B$29)))</f>
        <v/>
      </c>
      <c r="E386">
        <f>INDEX(FactorTable!$B$2:$Y$301, MATCH(ROUND(MIN(300,MAX(1,D386)),0), FactorTable!$A$2:$A$301,0), Skills!M10+1)</f>
        <v/>
      </c>
      <c r="F386">
        <f>IF(Skills!N10=TRUE,(Skills!L10/10)*(E386/1000),Skills!L10/10)+Skills!O10</f>
        <v/>
      </c>
      <c r="G386">
        <f>Skills!G10*IF(Skills!H10&gt;0,IF(Inputs!$B$39="pvp",MIN(Skills!I10,15),Skills!I10)/Skills!H10,1)</f>
        <v/>
      </c>
      <c r="H386">
        <f>1-(1-Skills!J10/100)^Skills!K10</f>
        <v/>
      </c>
      <c r="I386" t="inlineStr">
        <is>
          <t>1</t>
        </is>
      </c>
      <c r="J386">
        <f>((Inputs!$B$6*(1+Inputs!$B$7/100))+(((Inputs!$B$12*(1+Inputs!$B$13/100))-(Inputs!$B$12*(1+Inputs!$B$13/100)))+0.25*(Inputs!$B$14-Inputs!$B$14))*(1+Inputs!$B$7/100))*(F386/100)</f>
        <v/>
      </c>
      <c r="K386">
        <f>J386*(1+((Inputs!$B$12*(1+Inputs!$B$13/100))*0.01+Inputs!$B$14*0.0025)/100)*(1+Inputs!$B$15/100)*(1+Inputs!$B$16/100)*(5000/(6000+Inputs!$B$43*(1-(100*(1-(1-Inputs!$B$19/100)*(1-CHOOSE(ArtifactsInput!$N$40+1,5,6,7,8,9,10)/100)^(ArtifactsInput!$M$40-ArtifactsInput!$M$40)))/100)))*(1+(Inputs!$B$24+((C407=TRUE)*(F407-Calc!F31))+((C394=TRUE)*(F394-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10="CRUEL_STAB",Inputs!$B$17+((C404=TRUE)*(F404-Calc!F28))+((IF(AND(Inputs!$B$39&lt;&gt;"pvp",Inputs!$B$44=0),1,IF(IF(Inputs!$B$39="pvp",15,Inputs!$B$44)-(B421)&lt;=0,1,MAX(0,IF(Inputs!$B$39="pvp",15,Inputs!$B$44)-MAX(5,B421))/(IF(Inputs!$B$39="pvp",15,Inputs!$B$44)-(B421))))*(IF(AND(ArtifactsInput!$M$42,((Inputs!$B$9+((C402=TRUE)*(F402-Calc!F26))+B410+(ArtifactsInput!$M$24-ArtifactsInput!$M$24)*CHOOSE(ArtifactsInput!$N$24+1,10,12,14,16,18,20)+IF(ArtifactsInput!$M$10,CHOOSE(ArtifactsInput!$N$10+1,15,18,21,24,27,30)*(IF(Inputs!$B$39="pvp",MIN(15,15)/15,IF(AND(Inputs!$B$39&lt;&gt;"pvp",Inputs!$B$44&gt;0),MIN(15,Inputs!$B$44)/(Inputs!$B$44),0))),0)))&gt;=100),MIN(100,((Inputs!$B$9+((C402=TRUE)*(F402-Calc!F26))+B410+(ArtifactsInput!$M$24-ArtifactsInput!$M$24)*CHOOSE(ArtifactsInput!$N$24+1,10,12,14,16,18,20)+IF(ArtifactsInput!$M$10,CHOOSE(ArtifactsInput!$N$10+1,15,18,21,24,27,30)*(IF(Inputs!$B$39="pvp",MIN(15,15)/15,IF(AND(Inputs!$B$39&lt;&gt;"pvp",Inputs!$B$44&gt;0),MIN(15,Inputs!$B$44)/(Inputs!$B$44),0))),0)))-100),0))*CHOOSE(ArtifactsInput!$N$42+1,0.6,0.72,0.84,0.96,1.08,1.2))),Inputs!$B$18+((C405=TRUE)*(F405-Calc!F29))+(IF(AND(Inputs!$B$39&lt;&gt;"pvp",Inputs!$B$44=0),1,IF(IF(Inputs!$B$39="pvp",15,Inputs!$B$44)-(B421)&lt;=0,1,MAX(0,IF(Inputs!$B$39="pvp",15,Inputs!$B$44)-MAX(5,B421))/(IF(Inputs!$B$39="pvp",15,Inputs!$B$44)-(B421))))*IF(AND(ArtifactsInput!$M$42,((Inputs!$B$9+((C402=TRUE)*(F402-Calc!F26))+B410+(ArtifactsInput!$M$24-ArtifactsInput!$M$24)*CHOOSE(ArtifactsInput!$N$24+1,10,12,14,16,18,20)+IF(ArtifactsInput!$M$10,CHOOSE(ArtifactsInput!$N$10+1,15,18,21,24,27,30)*(IF(Inputs!$B$39="pvp",MIN(15,15)/15,IF(AND(Inputs!$B$39&lt;&gt;"pvp",Inputs!$B$44&gt;0),MIN(15,Inputs!$B$44)/(Inputs!$B$44),0))),0)))&gt;=100),CHOOSE(ArtifactsInput!$N$42+1,40,48,56,64,72,80),0))))/100)*(((1+(((C398=TRUE)*F398*IF(AND(Inputs!$B$39&lt;&gt;"pvp",Inputs!$B$44&gt;0),(((R398-1)*MIN((Skills!Y22*(1+Inputs!$B$34/100)),(1/Q398))+MIN((Skills!Y22*(1+Inputs!$B$34/100)),MAX(0,Inputs!$B$44-((R398-1)*(1/Q398)))))/Inputs!$B$44),IF(Inputs!$B$39="pvp",MIN((Skills!Y22*(1+Inputs!$B$34/100)),15)/15,MIN(1,(Skills!Y22*(1+Inputs!$B$34/100))/(1/Q398)))))+((C379=TRUE)*F379*3)+((C381=TRUE)*F381*(1-EXP(-0.75*B414*5)))+((C400=TRUE)*(F400-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387=TRUE)*F387*IF(AND(Inputs!$B$39&lt;&gt;"pvp",Inputs!$B$44&gt;0),(((R387-1)*MIN((Skills!Y11*(1+Inputs!$B$34/100)),(1/Q387))+MIN((Skills!Y11*(1+Inputs!$B$34/100)),MAX(0,Inputs!$B$44-((R387-1)*(1/Q387)))))/Inputs!$B$44),IF(Inputs!$B$39="pvp",MIN((Skills!Y11*(1+Inputs!$B$34/100)),15)/15,MIN(1,(Skills!Y11*(1+Inputs!$B$34/100))/(1/Q387)))))/100)*(1+((C392=TRUE)*F392*IF(AND(Inputs!$B$39&lt;&gt;"pvp",Inputs!$B$44&gt;0),(((R392-1)*MIN((Skills!Y16*(1+Inputs!$B$34/100)),(1/Q392))+MIN((Skills!Y16*(1+Inputs!$B$34/100)),MAX(0,Inputs!$B$44-((R392-1)*(1/Q392)))))/Inputs!$B$44),IF(Inputs!$B$39="pvp",MIN((Skills!Y16*(1+Inputs!$B$34/100)),15)/15,MIN(1,(Skills!Y16*(1+Inputs!$B$34/100))/(1/Q392)))))/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412*I386)</f>
        <v/>
      </c>
      <c r="L386">
        <f>K386*(MIN(Inputs!$B$22+((C401=TRUE)*(F401-Calc!F25)),(Inputs!$B$23+((C406=TRUE)*(F406-Calc!F30))+IF(ArtifactsInput!$M$15,CHOOSE(ArtifactsInput!$N$15+1,25,30,35,40,45,50)/100*(Inputs!$B$11-Inputs!$B$11),0)))/100+(Inputs!$B$23+((C406=TRUE)*(F406-Calc!F30))+IF(ArtifactsInput!$M$15,CHOOSE(ArtifactsInput!$N$15+1,25,30,35,40,45,50)/100*(Inputs!$B$11-Inputs!$B$11),0))/100)/2</f>
        <v/>
      </c>
      <c r="M386">
        <f>L386*(1+(Inputs!$B$10+((C403=TRUE)*(F403-Calc!F27))+B417+(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386">
        <f>L386*(1-MIN((Inputs!$B$9+((C402=TRUE)*(F402-Calc!F26))+B410+(ArtifactsInput!$M$24-ArtifactsInput!$M$24)*CHOOSE(ArtifactsInput!$N$24+1,10,12,14,16,18,20)+(IF(AND(Inputs!$B$39&lt;&gt;"pvp",Inputs!$B$44=0),1,IF(IF(Inputs!$B$39="pvp",15,Inputs!$B$44)-(B421)&lt;=0,1,MAX(0,IF(Inputs!$B$39="pvp",15,Inputs!$B$44)-MAX(5,B421))/(IF(Inputs!$B$39="pvp",15,Inputs!$B$44)-(B421))))*IF(AND(ArtifactsInput!$M$42,((Inputs!$B$9+((C402=TRUE)*(F402-Calc!F26))+B410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386*(MIN((Inputs!$B$9+((C402=TRUE)*(F402-Calc!F26))+B410+(ArtifactsInput!$M$24-ArtifactsInput!$M$24)*CHOOSE(ArtifactsInput!$N$24+1,10,12,14,16,18,20)+(IF(AND(Inputs!$B$39&lt;&gt;"pvp",Inputs!$B$44=0),1,IF(IF(Inputs!$B$39="pvp",15,Inputs!$B$44)-(B421)&lt;=0,1,MAX(0,IF(Inputs!$B$39="pvp",15,Inputs!$B$44)-MAX(5,B421))/(IF(Inputs!$B$39="pvp",15,Inputs!$B$44)-(B421))))*IF(AND(ArtifactsInput!$M$42,((Inputs!$B$9+((C402=TRUE)*(F402-Calc!F26))+B410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386">
        <f>(1-Summary!$B$11)*T386+Summary!$B$11*V386</f>
        <v/>
      </c>
      <c r="P386">
        <f>IF(B422=0,0,O386/B422)</f>
        <v/>
      </c>
      <c r="Q386" t="n">
        <v>0</v>
      </c>
      <c r="R386" t="n">
        <v>0</v>
      </c>
      <c r="S386" t="n">
        <v>0</v>
      </c>
      <c r="T386">
        <f>IF(C386,(0.2*SUMPRODUCT((Skills!Z2:Z31=TRUE)*(C378:C407=TRUE)*S378:S407)*N386)*IF(Inputs!$B$39="pvp",1,1+(Inputs!$B$20+0+Skills!P10+B411+(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Hunt"),CHOOSE(ArtifactsInput!$N$35+1,15,18,21,24,27,30)*(1-EXP(-(0.2*B414)*5)),0)+IF(AND(ArtifactsInput!$M$22,Inputs!$B$4&lt;&gt;"Chapter Hunt"),CHOOSE(ArtifactsInput!$N$22+1,10,12,14,16,18,20)*((0*(((0.15*B414*5))^0/1)+1*(((0.15*B414*5))^1/1)+2*(((0.15*B414*5))^2/2)+3*(((0.15*B414*5))^3/6)+4*(((0.15*B414*5))^4/24)+5*(((0.15*B414*5))^5/120))/((((0.15*B414*5))^0/1)+(((0.15*B414*5))^1/1)+(((0.15*B414*5))^2/2)+(((0.15*B414*5))^3/6)+(((0.15*B414*5))^4/24)+(((0.15*B414*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386*(1-MIN(100,(Inputs!$B$9+((C402=TRUE)*(F402-Calc!F26))+B410+(ArtifactsInput!$M$24-ArtifactsInput!$M$24)*CHOOSE(ArtifactsInput!$N$24+1,10,12,14,16,18,20)+(IF(AND(Inputs!$B$39&lt;&gt;"pvp",Inputs!$B$44=0),1,IF(IF(Inputs!$B$39="pvp",15,Inputs!$B$44)-(B421)&lt;=0,1,MAX(0,IF(Inputs!$B$39="pvp",15,Inputs!$B$44)-MAX(5,B421))/(IF(Inputs!$B$39="pvp",15,Inputs!$B$44)-(B421))))*IF(AND(ArtifactsInput!$M$42,((Inputs!$B$9+((C402=TRUE)*(F402-Calc!F26))+B410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386*(MIN(100,(Inputs!$B$9+((C402=TRUE)*(F402-Calc!F26))+B410+(ArtifactsInput!$M$24-ArtifactsInput!$M$24)*CHOOSE(ArtifactsInput!$N$24+1,10,12,14,16,18,20)+(IF(AND(Inputs!$B$39&lt;&gt;"pvp",Inputs!$B$44=0),1,IF(IF(Inputs!$B$39="pvp",15,Inputs!$B$44)-(B421)&lt;=0,1,MAX(0,IF(Inputs!$B$39="pvp",15,Inputs!$B$44)-MAX(5,B421))/(IF(Inputs!$B$39="pvp",15,Inputs!$B$44)-(B421))))*IF(AND(ArtifactsInput!$M$42,((Inputs!$B$9+((C402=TRUE)*(F402-Calc!F26))+B410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386*(1-MIN(100,(Inputs!$B$9+((C402=TRUE)*(F402-Calc!F26))+B410+(ArtifactsInput!$M$24-ArtifactsInput!$M$24)*CHOOSE(ArtifactsInput!$N$24+1,10,12,14,16,18,20)+(IF(AND(Inputs!$B$39&lt;&gt;"pvp",Inputs!$B$44=0),1,IF(IF(Inputs!$B$39="pvp",15,Inputs!$B$44)-(B421)&lt;=0,1,MAX(0,IF(Inputs!$B$39="pvp",15,Inputs!$B$44)-MAX(5,B421))/(IF(Inputs!$B$39="pvp",15,Inputs!$B$44)-(B421))))*IF(AND(ArtifactsInput!$M$42,((Inputs!$B$9+((C402=TRUE)*(F402-Calc!F26))+B410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386*(MIN(100,(Inputs!$B$9+((C402=TRUE)*(F402-Calc!F26))+B410+(ArtifactsInput!$M$24-ArtifactsInput!$M$24)*CHOOSE(ArtifactsInput!$N$24+1,10,12,14,16,18,20)+(IF(AND(Inputs!$B$39&lt;&gt;"pvp",Inputs!$B$44=0),1,IF(IF(Inputs!$B$39="pvp",15,Inputs!$B$44)-(B421)&lt;=0,1,MAX(0,IF(Inputs!$B$39="pvp",15,Inputs!$B$44)-MAX(5,B421))/(IF(Inputs!$B$39="pvp",15,Inputs!$B$44)-(B421))))*IF(AND(ArtifactsInput!$M$42,((Inputs!$B$9+((C402=TRUE)*(F402-Calc!F26))+B410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386">
        <f>IF(C386,(0.2*SUMPRODUCT((Skills!Z2:Z31=TRUE)*(C378:C407=TRUE)*S378:S407)*N386)*IF(Inputs!$B$39="pvp",1,(1+((Inputs!$B$21+1)+Skills!Q10+B411+(IF(ArtifactsInput!$M$33,CHOOSE(ArtifactsInput!$N$33+1,30,36,42,48,54,60),0))+(IF(AND(ArtifactsInput!$M$35,Inputs!$B$4&lt;&gt;"Chapter Hunt"),CHOOSE(ArtifactsInput!$N$35+1,15,18,21,24,27,30)*(1-EXP(-(0.2*B414)*5)),0)+IF(AND(ArtifactsInput!$M$22,Inputs!$B$4&lt;&gt;"Chapter Hunt"),CHOOSE(ArtifactsInput!$N$22+1,10,12,14,16,18,20)*((0*(((0.15*B414*5))^0/1)+1*(((0.15*B414*5))^1/1)+2*(((0.15*B414*5))^2/2)+3*(((0.15*B414*5))^3/6)+4*(((0.15*B414*5))^4/24)+5*(((0.15*B414*5))^5/120))/((((0.15*B414*5))^0/1)+(((0.15*B414*5))^1/1)+(((0.15*B414*5))^2/2)+(((0.15*B414*5))^3/6)+(((0.15*B414*5))^4/24)+(((0.15*B414*5))^5/120))),0)))/100)*(MIN(Skills!W10,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387">
      <c r="A387">
        <f>Skills!A11</f>
        <v/>
      </c>
      <c r="B387">
        <f>Skills!B11</f>
        <v/>
      </c>
      <c r="C387">
        <f>Inputs!$B$3&gt;=74</f>
        <v/>
      </c>
      <c r="D387">
        <f>IF(Skills!C11=1,60+Inputs!$B$25+Inputs!$B$29,IF(Skills!C11=2,90+Inputs!$B$26+Inputs!$B$29,IF(Skills!C11=3,120+Inputs!$B$27+Inputs!$B$29,MAX(0,(Inputs!$B$3-100)*3)+Inputs!$B$28+Inputs!$B$29)))</f>
        <v/>
      </c>
      <c r="E387">
        <f>INDEX(FactorTable!$B$2:$Y$301, MATCH(ROUND(MIN(300,MAX(1,D387)),0), FactorTable!$A$2:$A$301,0), Skills!M11+1)</f>
        <v/>
      </c>
      <c r="F387">
        <f>IF(Skills!N11=TRUE,(Skills!L11/10)*(E387/1000),Skills!L11/10)+Skills!O11</f>
        <v/>
      </c>
      <c r="G387">
        <f>Skills!G11*IF(Skills!H11&gt;0,IF(Inputs!$B$39="pvp",MIN(Skills!I11,15),Skills!I11)/Skills!H11,1)</f>
        <v/>
      </c>
      <c r="H387">
        <f>1-(1-Skills!J11/100)^Skills!K11</f>
        <v/>
      </c>
      <c r="I387" t="inlineStr">
        <is>
          <t>1</t>
        </is>
      </c>
      <c r="J387" t="inlineStr"/>
      <c r="K387" t="inlineStr"/>
      <c r="L387" t="inlineStr"/>
      <c r="M387" t="inlineStr"/>
      <c r="N387" t="inlineStr"/>
      <c r="O387">
        <f>(1-Summary!$B$11)*T387+Summary!$B$11*V387</f>
        <v/>
      </c>
      <c r="P387">
        <f>IF(B422=0,0,O387/B422)</f>
        <v/>
      </c>
      <c r="Q387">
        <f>IFERROR(1/IF(Inputs!$B$39="pvp",15,MAX(0.1,Skills!D11-IF(TRUE=TRUE,Inputs!$B$32,0))),0)</f>
        <v/>
      </c>
      <c r="R387">
        <f>IF(AND(Inputs!$B$39&lt;&gt;"pvp",Inputs!$B$44&gt;0),IF(Inputs!$B$44&lt;=0,0,(INT(Inputs!$B$44/IF(Inputs!$B$39="pvp",15,MAX(0.1,Skills!D11-IF(TRUE=TRUE,Inputs!$B$32,0))))+1)),0)</f>
        <v/>
      </c>
      <c r="S387">
        <f>IFERROR(O387/N387,0)</f>
        <v/>
      </c>
      <c r="T387" t="n">
        <v>0</v>
      </c>
      <c r="V387" t="n">
        <v>0</v>
      </c>
    </row>
    <row r="388">
      <c r="A388">
        <f>Skills!A12</f>
        <v/>
      </c>
      <c r="B388">
        <f>Skills!B12</f>
        <v/>
      </c>
      <c r="C388">
        <f>Inputs!$B$3&gt;=103</f>
        <v/>
      </c>
      <c r="D388">
        <f>IF(Skills!C12=1,60+Inputs!$B$25+Inputs!$B$29,IF(Skills!C12=2,90+Inputs!$B$26+Inputs!$B$29,IF(Skills!C12=3,120+Inputs!$B$27+Inputs!$B$29,MAX(0,(Inputs!$B$3-100)*3)+Inputs!$B$28+Inputs!$B$29)))</f>
        <v/>
      </c>
      <c r="E388">
        <f>INDEX(FactorTable!$B$2:$Y$301, MATCH(ROUND(MIN(300,MAX(1,D388)),0), FactorTable!$A$2:$A$301,0), Skills!M12+1)</f>
        <v/>
      </c>
      <c r="F388">
        <f>(Skills!L12/10)*(E388/1000)+IF(Inputs!$B$3&gt;=134,50,0)+0.5*(30000/10)*(INDEX(FactorTable!$B$2:$Y$301, MATCH(ROUND(MIN(300,MAX(1,D388)),0), FactorTable!$A$2:$A$301,0), 13)/1000)*B420</f>
        <v/>
      </c>
      <c r="G388">
        <f>Skills!G12*IF(Skills!H12&gt;0,IF(Inputs!$B$39="pvp",MIN(Skills!I12,15),Skills!I12)/Skills!H12,1)</f>
        <v/>
      </c>
      <c r="H388">
        <f>1-(1-Skills!J12/100)^Skills!K12</f>
        <v/>
      </c>
      <c r="I388" t="inlineStr">
        <is>
          <t>1</t>
        </is>
      </c>
      <c r="J388">
        <f>((Inputs!$B$6*(1+Inputs!$B$7/100))+(((Inputs!$B$12*(1+Inputs!$B$13/100))-(Inputs!$B$12*(1+Inputs!$B$13/100)))+0.25*(Inputs!$B$14-Inputs!$B$14))*(1+Inputs!$B$7/100))*(F388/100)</f>
        <v/>
      </c>
      <c r="K388">
        <f>J388*(1+((Inputs!$B$12*(1+Inputs!$B$13/100))*0.01+Inputs!$B$14*0.0025)/100)*(1+Inputs!$B$15/100)*(1+Inputs!$B$16/100)*(5000/(6000+Inputs!$B$43*(1-(100*(1-(1-Inputs!$B$19/100)*(1-CHOOSE(ArtifactsInput!$N$40+1,5,6,7,8,9,10)/100)^(ArtifactsInput!$M$40-ArtifactsInput!$M$40)))/100)))*(1+(Inputs!$B$24+((C407=TRUE)*(F407-Calc!F31))+((C394=TRUE)*(F394-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12="CRUEL_STAB",Inputs!$B$17+((C404=TRUE)*(F404-Calc!F28))+((IF(AND(Inputs!$B$39&lt;&gt;"pvp",Inputs!$B$44=0),1,IF(IF(Inputs!$B$39="pvp",15,Inputs!$B$44)-(B421)&lt;=0,1,MAX(0,IF(Inputs!$B$39="pvp",15,Inputs!$B$44)-MAX(5,B421))/(IF(Inputs!$B$39="pvp",15,Inputs!$B$44)-(B421))))*(IF(AND(ArtifactsInput!$M$42,((Inputs!$B$9+((C402=TRUE)*(F402-Calc!F26))+B410+(ArtifactsInput!$M$24-ArtifactsInput!$M$24)*CHOOSE(ArtifactsInput!$N$24+1,10,12,14,16,18,20)+IF(ArtifactsInput!$M$10,CHOOSE(ArtifactsInput!$N$10+1,15,18,21,24,27,30)*(IF(Inputs!$B$39="pvp",MIN(15,15)/15,IF(AND(Inputs!$B$39&lt;&gt;"pvp",Inputs!$B$44&gt;0),MIN(15,Inputs!$B$44)/(Inputs!$B$44),0))),0)))&gt;=100),MIN(100,((Inputs!$B$9+((C402=TRUE)*(F402-Calc!F26))+B410+(ArtifactsInput!$M$24-ArtifactsInput!$M$24)*CHOOSE(ArtifactsInput!$N$24+1,10,12,14,16,18,20)+IF(ArtifactsInput!$M$10,CHOOSE(ArtifactsInput!$N$10+1,15,18,21,24,27,30)*(IF(Inputs!$B$39="pvp",MIN(15,15)/15,IF(AND(Inputs!$B$39&lt;&gt;"pvp",Inputs!$B$44&gt;0),MIN(15,Inputs!$B$44)/(Inputs!$B$44),0))),0)))-100),0))*CHOOSE(ArtifactsInput!$N$42+1,0.6,0.72,0.84,0.96,1.08,1.2))),Inputs!$B$18+((C405=TRUE)*(F405-Calc!F29))+(IF(AND(Inputs!$B$39&lt;&gt;"pvp",Inputs!$B$44=0),1,IF(IF(Inputs!$B$39="pvp",15,Inputs!$B$44)-(B421)&lt;=0,1,MAX(0,IF(Inputs!$B$39="pvp",15,Inputs!$B$44)-MAX(5,B421))/(IF(Inputs!$B$39="pvp",15,Inputs!$B$44)-(B421))))*IF(AND(ArtifactsInput!$M$42,((Inputs!$B$9+((C402=TRUE)*(F402-Calc!F26))+B410+(ArtifactsInput!$M$24-ArtifactsInput!$M$24)*CHOOSE(ArtifactsInput!$N$24+1,10,12,14,16,18,20)+IF(ArtifactsInput!$M$10,CHOOSE(ArtifactsInput!$N$10+1,15,18,21,24,27,30)*(IF(Inputs!$B$39="pvp",MIN(15,15)/15,IF(AND(Inputs!$B$39&lt;&gt;"pvp",Inputs!$B$44&gt;0),MIN(15,Inputs!$B$44)/(Inputs!$B$44),0))),0)))&gt;=100),CHOOSE(ArtifactsInput!$N$42+1,40,48,56,64,72,80),0))))/100)*(((1+(((C398=TRUE)*F398*IF(AND(Inputs!$B$39&lt;&gt;"pvp",Inputs!$B$44&gt;0),(((R398-1)*MIN((Skills!Y22*(1+Inputs!$B$34/100)),(1/Q398))+MIN((Skills!Y22*(1+Inputs!$B$34/100)),MAX(0,Inputs!$B$44-((R398-1)*(1/Q398)))))/Inputs!$B$44),IF(Inputs!$B$39="pvp",MIN((Skills!Y22*(1+Inputs!$B$34/100)),15)/15,MIN(1,(Skills!Y22*(1+Inputs!$B$34/100))/(1/Q398)))))+((C379=TRUE)*F379*3)+((C381=TRUE)*F381*(1-EXP(-0.75*B414*5)))+((C400=TRUE)*(F400-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387=TRUE)*F387*IF(AND(Inputs!$B$39&lt;&gt;"pvp",Inputs!$B$44&gt;0),(((R387-1)*MIN((Skills!Y11*(1+Inputs!$B$34/100)),(1/Q387))+MIN((Skills!Y11*(1+Inputs!$B$34/100)),MAX(0,Inputs!$B$44-((R387-1)*(1/Q387)))))/Inputs!$B$44),IF(Inputs!$B$39="pvp",MIN((Skills!Y11*(1+Inputs!$B$34/100)),15)/15,MIN(1,(Skills!Y11*(1+Inputs!$B$34/100))/(1/Q387)))))/100)*(1+((C392=TRUE)*F392*IF(AND(Inputs!$B$39&lt;&gt;"pvp",Inputs!$B$44&gt;0),(((R392-1)*MIN((Skills!Y16*(1+Inputs!$B$34/100)),(1/Q392))+MIN((Skills!Y16*(1+Inputs!$B$34/100)),MAX(0,Inputs!$B$44-((R392-1)*(1/Q392)))))/Inputs!$B$44),IF(Inputs!$B$39="pvp",MIN((Skills!Y16*(1+Inputs!$B$34/100)),15)/15,MIN(1,(Skills!Y16*(1+Inputs!$B$34/100))/(1/Q392)))))/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412*I388)</f>
        <v/>
      </c>
      <c r="L388">
        <f>K388*(MIN(Inputs!$B$22+((C401=TRUE)*(F401-Calc!F25)),(Inputs!$B$23+((C406=TRUE)*(F406-Calc!F30))+IF(ArtifactsInput!$M$15,CHOOSE(ArtifactsInput!$N$15+1,25,30,35,40,45,50)/100*(Inputs!$B$11-Inputs!$B$11),0)))/100+(Inputs!$B$23+((C406=TRUE)*(F406-Calc!F30))+IF(ArtifactsInput!$M$15,CHOOSE(ArtifactsInput!$N$15+1,25,30,35,40,45,50)/100*(Inputs!$B$11-Inputs!$B$11),0))/100)/2</f>
        <v/>
      </c>
      <c r="M388">
        <f>L388*(1+(Inputs!$B$10+((C403=TRUE)*(F403-Calc!F27))+B417+(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388">
        <f>L388*(1-MIN((Inputs!$B$9+((C402=TRUE)*(F402-Calc!F26))+B410+(ArtifactsInput!$M$24-ArtifactsInput!$M$24)*CHOOSE(ArtifactsInput!$N$24+1,10,12,14,16,18,20)+(IF(AND(Inputs!$B$39&lt;&gt;"pvp",Inputs!$B$44=0),1,IF(IF(Inputs!$B$39="pvp",15,Inputs!$B$44)-(B421)&lt;=0,1,MAX(0,IF(Inputs!$B$39="pvp",15,Inputs!$B$44)-MAX(5,B421))/(IF(Inputs!$B$39="pvp",15,Inputs!$B$44)-(B421))))*IF(AND(ArtifactsInput!$M$42,((Inputs!$B$9+((C402=TRUE)*(F402-Calc!F26))+B410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388*(MIN((Inputs!$B$9+((C402=TRUE)*(F402-Calc!F26))+B410+(ArtifactsInput!$M$24-ArtifactsInput!$M$24)*CHOOSE(ArtifactsInput!$N$24+1,10,12,14,16,18,20)+(IF(AND(Inputs!$B$39&lt;&gt;"pvp",Inputs!$B$44=0),1,IF(IF(Inputs!$B$39="pvp",15,Inputs!$B$44)-(B421)&lt;=0,1,MAX(0,IF(Inputs!$B$39="pvp",15,Inputs!$B$44)-MAX(5,B421))/(IF(Inputs!$B$39="pvp",15,Inputs!$B$44)-(B421))))*IF(AND(ArtifactsInput!$M$42,((Inputs!$B$9+((C402=TRUE)*(F402-Calc!F26))+B410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388">
        <f>(1-Summary!$B$11)*T388+Summary!$B$11*V388</f>
        <v/>
      </c>
      <c r="P388">
        <f>IF(B422=0,0,O388/B422)</f>
        <v/>
      </c>
      <c r="Q388">
        <f>IFERROR(1/IF(Inputs!$B$39="pvp",15,MAX(0.1,Skills!D12-IF(TRUE=TRUE,Inputs!$B$32,0))),0)</f>
        <v/>
      </c>
      <c r="R388">
        <f>IF(AND(Inputs!$B$39&lt;&gt;"pvp",Inputs!$B$44&gt;0),IF(MAX(0,Inputs!$B$44-B421)&lt;=0,0,(INT(MAX(0,Inputs!$B$44-B421)/IF(Inputs!$B$39="pvp",15,MAX(0.1,Skills!D12-IF(TRUE=TRUE,Inputs!$B$32,0))))+1)),0)</f>
        <v/>
      </c>
      <c r="S388">
        <f>IFERROR(O388/N388,0)</f>
        <v/>
      </c>
      <c r="T388">
        <f>IF(C388,(H388*N388*IF(AND(Inputs!$B$39&lt;&gt;"pvp",Inputs!$B$44&gt;0),((Skills!G12*((R388-1)*IF(Skills!H12&gt;0,Skills!I12/Skills!H12,1)+IF(Skills!H12&gt;0,MIN(Skills!I12,MAX(0,MAX(0,Inputs!$B$44-B421)-((R388-1)*IF(Inputs!$B$39="pvp",15,MAX(0.1,Skills!D12-IF(TRUE=TRUE,Inputs!$B$32,0))))))/Skills!H12,1)))/Inputs!$B$44),G388*Q388))*IF(Inputs!$B$39="pvp",1,1+(Inputs!$B$20+0+Skills!P12+B411+(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Hunt"),CHOOSE(ArtifactsInput!$N$35+1,15,18,21,24,27,30)*(1-EXP(-(0.2*B414)*5)),0)+IF(AND(ArtifactsInput!$M$22,Inputs!$B$4&lt;&gt;"Chapter Hunt"),CHOOSE(ArtifactsInput!$N$22+1,10,12,14,16,18,20)*((0*(((0.15*B414*5))^0/1)+1*(((0.15*B414*5))^1/1)+2*(((0.15*B414*5))^2/2)+3*(((0.15*B414*5))^3/6)+4*(((0.15*B414*5))^4/24)+5*(((0.15*B414*5))^5/120))/((((0.15*B414*5))^0/1)+(((0.15*B414*5))^1/1)+(((0.15*B414*5))^2/2)+(((0.15*B414*5))^3/6)+(((0.15*B414*5))^4/24)+(((0.15*B414*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388*(1-MIN(100,(Inputs!$B$9+((C402=TRUE)*(F402-Calc!F26))+B410+(ArtifactsInput!$M$24-ArtifactsInput!$M$24)*CHOOSE(ArtifactsInput!$N$24+1,10,12,14,16,18,20)+(IF(AND(Inputs!$B$39&lt;&gt;"pvp",Inputs!$B$44=0),1,IF(IF(Inputs!$B$39="pvp",15,Inputs!$B$44)-(B421)&lt;=0,1,MAX(0,IF(Inputs!$B$39="pvp",15,Inputs!$B$44)-MAX(5,B421))/(IF(Inputs!$B$39="pvp",15,Inputs!$B$44)-(B421))))*IF(AND(ArtifactsInput!$M$42,((Inputs!$B$9+((C402=TRUE)*(F402-Calc!F26))+B410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388*(MIN(100,(Inputs!$B$9+((C402=TRUE)*(F402-Calc!F26))+B410+(ArtifactsInput!$M$24-ArtifactsInput!$M$24)*CHOOSE(ArtifactsInput!$N$24+1,10,12,14,16,18,20)+(IF(AND(Inputs!$B$39&lt;&gt;"pvp",Inputs!$B$44=0),1,IF(IF(Inputs!$B$39="pvp",15,Inputs!$B$44)-(B421)&lt;=0,1,MAX(0,IF(Inputs!$B$39="pvp",15,Inputs!$B$44)-MAX(5,B421))/(IF(Inputs!$B$39="pvp",15,Inputs!$B$44)-(B421))))*IF(AND(ArtifactsInput!$M$42,((Inputs!$B$9+((C402=TRUE)*(F402-Calc!F26))+B410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388*(1-MIN(100,(Inputs!$B$9+((C402=TRUE)*(F402-Calc!F26))+B410+(ArtifactsInput!$M$24-ArtifactsInput!$M$24)*CHOOSE(ArtifactsInput!$N$24+1,10,12,14,16,18,20)+(IF(AND(Inputs!$B$39&lt;&gt;"pvp",Inputs!$B$44=0),1,IF(IF(Inputs!$B$39="pvp",15,Inputs!$B$44)-(B421)&lt;=0,1,MAX(0,IF(Inputs!$B$39="pvp",15,Inputs!$B$44)-MAX(5,B421))/(IF(Inputs!$B$39="pvp",15,Inputs!$B$44)-(B421))))*IF(AND(ArtifactsInput!$M$42,((Inputs!$B$9+((C402=TRUE)*(F402-Calc!F26))+B410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388*(MIN(100,(Inputs!$B$9+((C402=TRUE)*(F402-Calc!F26))+B410+(ArtifactsInput!$M$24-ArtifactsInput!$M$24)*CHOOSE(ArtifactsInput!$N$24+1,10,12,14,16,18,20)+(IF(AND(Inputs!$B$39&lt;&gt;"pvp",Inputs!$B$44=0),1,IF(IF(Inputs!$B$39="pvp",15,Inputs!$B$44)-(B421)&lt;=0,1,MAX(0,IF(Inputs!$B$39="pvp",15,Inputs!$B$44)-MAX(5,B421))/(IF(Inputs!$B$39="pvp",15,Inputs!$B$44)-(B421))))*IF(AND(ArtifactsInput!$M$42,((Inputs!$B$9+((C402=TRUE)*(F402-Calc!F26))+B410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388">
        <f>IF(C388,(H388*N388*IF(AND(Inputs!$B$39&lt;&gt;"pvp",Inputs!$B$44&gt;0),((Skills!G12*((R388-1)*IF(Skills!H12&gt;0,Skills!I12/Skills!H12,1)+IF(Skills!H12&gt;0,MIN(Skills!I12,MAX(0,MAX(0,Inputs!$B$44-B421)-((R388-1)*IF(Inputs!$B$39="pvp",15,MAX(0.1,Skills!D12-IF(TRUE=TRUE,Inputs!$B$32,0))))))/Skills!H12,1)))/Inputs!$B$44),G388*Q388))*IF(Inputs!$B$39="pvp",1,(1+((Inputs!$B$21+1)+Skills!Q12+B411+(IF(ArtifactsInput!$M$33,CHOOSE(ArtifactsInput!$N$33+1,30,36,42,48,54,60),0))+(IF(AND(ArtifactsInput!$M$35,Inputs!$B$4&lt;&gt;"Chapter Hunt"),CHOOSE(ArtifactsInput!$N$35+1,15,18,21,24,27,30)*(1-EXP(-(0.2*B414)*5)),0)+IF(AND(ArtifactsInput!$M$22,Inputs!$B$4&lt;&gt;"Chapter Hunt"),CHOOSE(ArtifactsInput!$N$22+1,10,12,14,16,18,20)*((0*(((0.15*B414*5))^0/1)+1*(((0.15*B414*5))^1/1)+2*(((0.15*B414*5))^2/2)+3*(((0.15*B414*5))^3/6)+4*(((0.15*B414*5))^4/24)+5*(((0.15*B414*5))^5/120))/((((0.15*B414*5))^0/1)+(((0.15*B414*5))^1/1)+(((0.15*B414*5))^2/2)+(((0.15*B414*5))^3/6)+(((0.15*B414*5))^4/24)+(((0.15*B414*5))^5/120))),0)))/100)*(MIN(Skills!W12,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389">
      <c r="A389">
        <f>Skills!A13</f>
        <v/>
      </c>
      <c r="B389">
        <f>Skills!B13</f>
        <v/>
      </c>
      <c r="C389">
        <f>Inputs!$B$3&gt;=105</f>
        <v/>
      </c>
      <c r="D389">
        <f>IF(Skills!C13=1,60+Inputs!$B$25+Inputs!$B$29,IF(Skills!C13=2,90+Inputs!$B$26+Inputs!$B$29,IF(Skills!C13=3,120+Inputs!$B$27+Inputs!$B$29,MAX(0,(Inputs!$B$3-100)*3)+Inputs!$B$28+Inputs!$B$29)))</f>
        <v/>
      </c>
      <c r="E389">
        <f>INDEX(FactorTable!$B$2:$Y$301, MATCH(ROUND(MIN(300,MAX(1,D389)),0), FactorTable!$A$2:$A$301,0), Skills!M13+1)</f>
        <v/>
      </c>
      <c r="F389">
        <f>IF(Skills!N13=TRUE,(Skills!L13/10)*(E389/1000),Skills!L13/10)+Skills!O13</f>
        <v/>
      </c>
      <c r="G389">
        <f>Skills!G13*IF(Skills!H13&gt;0,IF(Inputs!$B$39="pvp",MIN(Skills!I13,15),Skills!I13)/Skills!H13,1)</f>
        <v/>
      </c>
      <c r="H389">
        <f>1-(1-Skills!J13/100)^Skills!K13</f>
        <v/>
      </c>
      <c r="I389" t="inlineStr">
        <is>
          <t>1</t>
        </is>
      </c>
      <c r="J389">
        <f>((Inputs!$B$6*(1+Inputs!$B$7/100))+(((Inputs!$B$12*(1+Inputs!$B$13/100))-(Inputs!$B$12*(1+Inputs!$B$13/100)))+0.25*(Inputs!$B$14-Inputs!$B$14))*(1+Inputs!$B$7/100))*(F389/100)</f>
        <v/>
      </c>
      <c r="K389">
        <f>J389*(1+((Inputs!$B$12*(1+Inputs!$B$13/100))*0.01+Inputs!$B$14*0.0025)/100)*(1+Inputs!$B$15/100)*(1+Inputs!$B$16/100)*(5000/(6000+Inputs!$B$43*(1-(100*(1-(1-Inputs!$B$19/100)*(1-CHOOSE(ArtifactsInput!$N$40+1,5,6,7,8,9,10)/100)^(ArtifactsInput!$M$40-ArtifactsInput!$M$40)))/100)))*(1+(Inputs!$B$24+((C407=TRUE)*(F407-Calc!F31))+((C394=TRUE)*(F394-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13="CRUEL_STAB",Inputs!$B$17+((C404=TRUE)*(F404-Calc!F28))+((IF(AND(Inputs!$B$39&lt;&gt;"pvp",Inputs!$B$44=0),1,IF(IF(Inputs!$B$39="pvp",15,Inputs!$B$44)-(B421)&lt;=0,1,MAX(0,IF(Inputs!$B$39="pvp",15,Inputs!$B$44)-MAX(5,B421))/(IF(Inputs!$B$39="pvp",15,Inputs!$B$44)-(B421))))*(IF(AND(ArtifactsInput!$M$42,((Inputs!$B$9+((C402=TRUE)*(F402-Calc!F26))+B410+(ArtifactsInput!$M$24-ArtifactsInput!$M$24)*CHOOSE(ArtifactsInput!$N$24+1,10,12,14,16,18,20)+IF(ArtifactsInput!$M$10,CHOOSE(ArtifactsInput!$N$10+1,15,18,21,24,27,30)*(IF(Inputs!$B$39="pvp",MIN(15,15)/15,IF(AND(Inputs!$B$39&lt;&gt;"pvp",Inputs!$B$44&gt;0),MIN(15,Inputs!$B$44)/(Inputs!$B$44),0))),0)))&gt;=100),MIN(100,((Inputs!$B$9+((C402=TRUE)*(F402-Calc!F26))+B410+(ArtifactsInput!$M$24-ArtifactsInput!$M$24)*CHOOSE(ArtifactsInput!$N$24+1,10,12,14,16,18,20)+IF(ArtifactsInput!$M$10,CHOOSE(ArtifactsInput!$N$10+1,15,18,21,24,27,30)*(IF(Inputs!$B$39="pvp",MIN(15,15)/15,IF(AND(Inputs!$B$39&lt;&gt;"pvp",Inputs!$B$44&gt;0),MIN(15,Inputs!$B$44)/(Inputs!$B$44),0))),0)))-100),0))*CHOOSE(ArtifactsInput!$N$42+1,0.6,0.72,0.84,0.96,1.08,1.2))),Inputs!$B$18+((C405=TRUE)*(F405-Calc!F29))+(IF(AND(Inputs!$B$39&lt;&gt;"pvp",Inputs!$B$44=0),1,IF(IF(Inputs!$B$39="pvp",15,Inputs!$B$44)-(B421)&lt;=0,1,MAX(0,IF(Inputs!$B$39="pvp",15,Inputs!$B$44)-MAX(5,B421))/(IF(Inputs!$B$39="pvp",15,Inputs!$B$44)-(B421))))*IF(AND(ArtifactsInput!$M$42,((Inputs!$B$9+((C402=TRUE)*(F402-Calc!F26))+B410+(ArtifactsInput!$M$24-ArtifactsInput!$M$24)*CHOOSE(ArtifactsInput!$N$24+1,10,12,14,16,18,20)+IF(ArtifactsInput!$M$10,CHOOSE(ArtifactsInput!$N$10+1,15,18,21,24,27,30)*(IF(Inputs!$B$39="pvp",MIN(15,15)/15,IF(AND(Inputs!$B$39&lt;&gt;"pvp",Inputs!$B$44&gt;0),MIN(15,Inputs!$B$44)/(Inputs!$B$44),0))),0)))&gt;=100),CHOOSE(ArtifactsInput!$N$42+1,40,48,56,64,72,80),0))))/100)*(((1+(((C398=TRUE)*F398*IF(AND(Inputs!$B$39&lt;&gt;"pvp",Inputs!$B$44&gt;0),(((R398-1)*MIN((Skills!Y22*(1+Inputs!$B$34/100)),(1/Q398))+MIN((Skills!Y22*(1+Inputs!$B$34/100)),MAX(0,Inputs!$B$44-((R398-1)*(1/Q398)))))/Inputs!$B$44),IF(Inputs!$B$39="pvp",MIN((Skills!Y22*(1+Inputs!$B$34/100)),15)/15,MIN(1,(Skills!Y22*(1+Inputs!$B$34/100))/(1/Q398)))))+((C379=TRUE)*F379*3)+((C381=TRUE)*F381*(1-EXP(-0.75*B414*5)))+((C400=TRUE)*(F400-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387=TRUE)*F387*IF(AND(Inputs!$B$39&lt;&gt;"pvp",Inputs!$B$44&gt;0),(((R387-1)*MIN((Skills!Y11*(1+Inputs!$B$34/100)),(1/Q387))+MIN((Skills!Y11*(1+Inputs!$B$34/100)),MAX(0,Inputs!$B$44-((R387-1)*(1/Q387)))))/Inputs!$B$44),IF(Inputs!$B$39="pvp",MIN((Skills!Y11*(1+Inputs!$B$34/100)),15)/15,MIN(1,(Skills!Y11*(1+Inputs!$B$34/100))/(1/Q387)))))/100)*(1+((C392=TRUE)*F392*IF(AND(Inputs!$B$39&lt;&gt;"pvp",Inputs!$B$44&gt;0),(((R392-1)*MIN((Skills!Y16*(1+Inputs!$B$34/100)),(1/Q392))+MIN((Skills!Y16*(1+Inputs!$B$34/100)),MAX(0,Inputs!$B$44-((R392-1)*(1/Q392)))))/Inputs!$B$44),IF(Inputs!$B$39="pvp",MIN((Skills!Y16*(1+Inputs!$B$34/100)),15)/15,MIN(1,(Skills!Y16*(1+Inputs!$B$34/100))/(1/Q392)))))/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412*I389)</f>
        <v/>
      </c>
      <c r="L389">
        <f>K389*(MIN(Inputs!$B$22+((C401=TRUE)*(F401-Calc!F25)),(Inputs!$B$23+((C406=TRUE)*(F406-Calc!F30))+IF(ArtifactsInput!$M$15,CHOOSE(ArtifactsInput!$N$15+1,25,30,35,40,45,50)/100*(Inputs!$B$11-Inputs!$B$11),0)))/100+(Inputs!$B$23+((C406=TRUE)*(F406-Calc!F30))+IF(ArtifactsInput!$M$15,CHOOSE(ArtifactsInput!$N$15+1,25,30,35,40,45,50)/100*(Inputs!$B$11-Inputs!$B$11),0))/100)/2</f>
        <v/>
      </c>
      <c r="M389">
        <f>L389*(1+(Inputs!$B$10+((C403=TRUE)*(F403-Calc!F27))+B417+(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389">
        <f>L389*(1-MIN((Inputs!$B$9+((C402=TRUE)*(F402-Calc!F26))+B410+(ArtifactsInput!$M$24-ArtifactsInput!$M$24)*CHOOSE(ArtifactsInput!$N$24+1,10,12,14,16,18,20)+(IF(AND(Inputs!$B$39&lt;&gt;"pvp",Inputs!$B$44=0),1,IF(IF(Inputs!$B$39="pvp",15,Inputs!$B$44)-(B421)&lt;=0,1,MAX(0,IF(Inputs!$B$39="pvp",15,Inputs!$B$44)-MAX(5,B421))/(IF(Inputs!$B$39="pvp",15,Inputs!$B$44)-(B421))))*IF(AND(ArtifactsInput!$M$42,((Inputs!$B$9+((C402=TRUE)*(F402-Calc!F26))+B410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389*(MIN((Inputs!$B$9+((C402=TRUE)*(F402-Calc!F26))+B410+(ArtifactsInput!$M$24-ArtifactsInput!$M$24)*CHOOSE(ArtifactsInput!$N$24+1,10,12,14,16,18,20)+(IF(AND(Inputs!$B$39&lt;&gt;"pvp",Inputs!$B$44=0),1,IF(IF(Inputs!$B$39="pvp",15,Inputs!$B$44)-(B421)&lt;=0,1,MAX(0,IF(Inputs!$B$39="pvp",15,Inputs!$B$44)-MAX(5,B421))/(IF(Inputs!$B$39="pvp",15,Inputs!$B$44)-(B421))))*IF(AND(ArtifactsInput!$M$42,((Inputs!$B$9+((C402=TRUE)*(F402-Calc!F26))+B410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389">
        <f>(1-Summary!$B$11)*T389+Summary!$B$11*V389</f>
        <v/>
      </c>
      <c r="P389">
        <f>IF(B422=0,0,O389/B422)</f>
        <v/>
      </c>
      <c r="Q389">
        <f>IFERROR(1/IF(Inputs!$B$39="pvp",15,MAX(0.1,Skills!D13-IF(TRUE=TRUE,Inputs!$B$32,0))),0)</f>
        <v/>
      </c>
      <c r="R389">
        <f>IF(AND(Inputs!$B$39&lt;&gt;"pvp",Inputs!$B$44&gt;0),IF(MAX(0,Inputs!$B$44-B421)&lt;=0,0,(INT(MAX(0,Inputs!$B$44-B421)/IF(Inputs!$B$39="pvp",15,MAX(0.1,Skills!D13-IF(TRUE=TRUE,Inputs!$B$32,0))))+1)),0)</f>
        <v/>
      </c>
      <c r="S389">
        <f>IFERROR(O389/N389,0)</f>
        <v/>
      </c>
      <c r="T389">
        <f>IF(C389,(H389*N389*IF(AND(Inputs!$B$39&lt;&gt;"pvp",Inputs!$B$44&gt;0),((Skills!G13*((R389-1)*IF(Skills!H13&gt;0,Skills!I13/Skills!H13,1)+IF(Skills!H13&gt;0,MIN(Skills!I13,MAX(0,MAX(0,Inputs!$B$44-B421)-((R389-1)*IF(Inputs!$B$39="pvp",15,MAX(0.1,Skills!D13-IF(TRUE=TRUE,Inputs!$B$32,0))))))/Skills!H13,1)))/Inputs!$B$44),G389*Q389))*IF(Inputs!$B$39="pvp",1,1+(Inputs!$B$20+0+Skills!P13+B411+(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Hunt"),CHOOSE(ArtifactsInput!$N$35+1,15,18,21,24,27,30)*(1-EXP(-(0.2*B414)*5)),0)+IF(AND(ArtifactsInput!$M$22,Inputs!$B$4&lt;&gt;"Chapter Hunt"),CHOOSE(ArtifactsInput!$N$22+1,10,12,14,16,18,20)*((0*(((0.15*B414*5))^0/1)+1*(((0.15*B414*5))^1/1)+2*(((0.15*B414*5))^2/2)+3*(((0.15*B414*5))^3/6)+4*(((0.15*B414*5))^4/24)+5*(((0.15*B414*5))^5/120))/((((0.15*B414*5))^0/1)+(((0.15*B414*5))^1/1)+(((0.15*B414*5))^2/2)+(((0.15*B414*5))^3/6)+(((0.15*B414*5))^4/24)+(((0.15*B414*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389*(1-MIN(100,(Inputs!$B$9+((C402=TRUE)*(F402-Calc!F26))+B410+(ArtifactsInput!$M$24-ArtifactsInput!$M$24)*CHOOSE(ArtifactsInput!$N$24+1,10,12,14,16,18,20)+(IF(AND(Inputs!$B$39&lt;&gt;"pvp",Inputs!$B$44=0),1,IF(IF(Inputs!$B$39="pvp",15,Inputs!$B$44)-(B421)&lt;=0,1,MAX(0,IF(Inputs!$B$39="pvp",15,Inputs!$B$44)-MAX(5,B421))/(IF(Inputs!$B$39="pvp",15,Inputs!$B$44)-(B421))))*IF(AND(ArtifactsInput!$M$42,((Inputs!$B$9+((C402=TRUE)*(F402-Calc!F26))+B410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389*(MIN(100,(Inputs!$B$9+((C402=TRUE)*(F402-Calc!F26))+B410+(ArtifactsInput!$M$24-ArtifactsInput!$M$24)*CHOOSE(ArtifactsInput!$N$24+1,10,12,14,16,18,20)+(IF(AND(Inputs!$B$39&lt;&gt;"pvp",Inputs!$B$44=0),1,IF(IF(Inputs!$B$39="pvp",15,Inputs!$B$44)-(B421)&lt;=0,1,MAX(0,IF(Inputs!$B$39="pvp",15,Inputs!$B$44)-MAX(5,B421))/(IF(Inputs!$B$39="pvp",15,Inputs!$B$44)-(B421))))*IF(AND(ArtifactsInput!$M$42,((Inputs!$B$9+((C402=TRUE)*(F402-Calc!F26))+B410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389*(1-MIN(100,(Inputs!$B$9+((C402=TRUE)*(F402-Calc!F26))+B410+(ArtifactsInput!$M$24-ArtifactsInput!$M$24)*CHOOSE(ArtifactsInput!$N$24+1,10,12,14,16,18,20)+(IF(AND(Inputs!$B$39&lt;&gt;"pvp",Inputs!$B$44=0),1,IF(IF(Inputs!$B$39="pvp",15,Inputs!$B$44)-(B421)&lt;=0,1,MAX(0,IF(Inputs!$B$39="pvp",15,Inputs!$B$44)-MAX(5,B421))/(IF(Inputs!$B$39="pvp",15,Inputs!$B$44)-(B421))))*IF(AND(ArtifactsInput!$M$42,((Inputs!$B$9+((C402=TRUE)*(F402-Calc!F26))+B410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389*(MIN(100,(Inputs!$B$9+((C402=TRUE)*(F402-Calc!F26))+B410+(ArtifactsInput!$M$24-ArtifactsInput!$M$24)*CHOOSE(ArtifactsInput!$N$24+1,10,12,14,16,18,20)+(IF(AND(Inputs!$B$39&lt;&gt;"pvp",Inputs!$B$44=0),1,IF(IF(Inputs!$B$39="pvp",15,Inputs!$B$44)-(B421)&lt;=0,1,MAX(0,IF(Inputs!$B$39="pvp",15,Inputs!$B$44)-MAX(5,B421))/(IF(Inputs!$B$39="pvp",15,Inputs!$B$44)-(B421))))*IF(AND(ArtifactsInput!$M$42,((Inputs!$B$9+((C402=TRUE)*(F402-Calc!F26))+B410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389">
        <f>IF(C389,(H389*N389*IF(AND(Inputs!$B$39&lt;&gt;"pvp",Inputs!$B$44&gt;0),((Skills!G13*((R389-1)*IF(Skills!H13&gt;0,Skills!I13/Skills!H13,1)+IF(Skills!H13&gt;0,MIN(Skills!I13,MAX(0,MAX(0,Inputs!$B$44-B421)-((R389-1)*IF(Inputs!$B$39="pvp",15,MAX(0.1,Skills!D13-IF(TRUE=TRUE,Inputs!$B$32,0))))))/Skills!H13,1)))/Inputs!$B$44),G389*Q389))*IF(Inputs!$B$39="pvp",1,(1+((Inputs!$B$21+1)+Skills!Q13+B411+(IF(ArtifactsInput!$M$33,CHOOSE(ArtifactsInput!$N$33+1,30,36,42,48,54,60),0))+(IF(AND(ArtifactsInput!$M$35,Inputs!$B$4&lt;&gt;"Chapter Hunt"),CHOOSE(ArtifactsInput!$N$35+1,15,18,21,24,27,30)*(1-EXP(-(0.2*B414)*5)),0)+IF(AND(ArtifactsInput!$M$22,Inputs!$B$4&lt;&gt;"Chapter Hunt"),CHOOSE(ArtifactsInput!$N$22+1,10,12,14,16,18,20)*((0*(((0.15*B414*5))^0/1)+1*(((0.15*B414*5))^1/1)+2*(((0.15*B414*5))^2/2)+3*(((0.15*B414*5))^3/6)+4*(((0.15*B414*5))^4/24)+5*(((0.15*B414*5))^5/120))/((((0.15*B414*5))^0/1)+(((0.15*B414*5))^1/1)+(((0.15*B414*5))^2/2)+(((0.15*B414*5))^3/6)+(((0.15*B414*5))^4/24)+(((0.15*B414*5))^5/120))),0)))/100)*(MIN(Skills!W13,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390">
      <c r="A390">
        <f>Skills!A14</f>
        <v/>
      </c>
      <c r="B390">
        <f>Skills!B14</f>
        <v/>
      </c>
      <c r="C390">
        <f>Inputs!$B$3&gt;=105</f>
        <v/>
      </c>
      <c r="D390">
        <f>IF(Skills!C14=1,60+Inputs!$B$25+Inputs!$B$29,IF(Skills!C14=2,90+Inputs!$B$26+Inputs!$B$29,IF(Skills!C14=3,120+Inputs!$B$27+Inputs!$B$29,MAX(0,(Inputs!$B$3-100)*3)+Inputs!$B$28+Inputs!$B$29)))</f>
        <v/>
      </c>
      <c r="E390">
        <f>INDEX(FactorTable!$B$2:$Y$301, MATCH(ROUND(MIN(300,MAX(1,D390)),0), FactorTable!$A$2:$A$301,0), Skills!M14+1)</f>
        <v/>
      </c>
      <c r="F390">
        <f>IF(Skills!N14=TRUE,(Skills!L14/10)*(E390/1000),Skills!L14/10)+Skills!O14</f>
        <v/>
      </c>
      <c r="G390">
        <f>Skills!G14*IF(Skills!H14&gt;0,IF(Inputs!$B$39="pvp",MIN(Skills!I14,15),Skills!I14)/Skills!H14,1)</f>
        <v/>
      </c>
      <c r="H390">
        <f>1-(1-Skills!J14/100)^Skills!K14</f>
        <v/>
      </c>
      <c r="I390" t="inlineStr">
        <is>
          <t>1</t>
        </is>
      </c>
      <c r="J390">
        <f>((Inputs!$B$6*(1+Inputs!$B$7/100))+(((Inputs!$B$12*(1+Inputs!$B$13/100))-(Inputs!$B$12*(1+Inputs!$B$13/100)))+0.25*(Inputs!$B$14-Inputs!$B$14))*(1+Inputs!$B$7/100))*(F390/100)</f>
        <v/>
      </c>
      <c r="K390">
        <f>J390*(1+((Inputs!$B$12*(1+Inputs!$B$13/100))*0.01+Inputs!$B$14*0.0025)/100)*(1+Inputs!$B$15/100)*(1+Inputs!$B$16/100)*(5000/(6000+Inputs!$B$43*(1-(100*(1-(1-Inputs!$B$19/100)*(1-CHOOSE(ArtifactsInput!$N$40+1,5,6,7,8,9,10)/100)^(ArtifactsInput!$M$40-ArtifactsInput!$M$40)))/100)))*(1+(Inputs!$B$24+((C407=TRUE)*(F407-Calc!F31))+((C394=TRUE)*(F394-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14="CRUEL_STAB",Inputs!$B$17+((C404=TRUE)*(F404-Calc!F28))+((IF(AND(Inputs!$B$39&lt;&gt;"pvp",Inputs!$B$44=0),1,IF(IF(Inputs!$B$39="pvp",15,Inputs!$B$44)-(B421)&lt;=0,1,MAX(0,IF(Inputs!$B$39="pvp",15,Inputs!$B$44)-MAX(5,B421))/(IF(Inputs!$B$39="pvp",15,Inputs!$B$44)-(B421))))*(IF(AND(ArtifactsInput!$M$42,((Inputs!$B$9+((C402=TRUE)*(F402-Calc!F26))+B410+(ArtifactsInput!$M$24-ArtifactsInput!$M$24)*CHOOSE(ArtifactsInput!$N$24+1,10,12,14,16,18,20)+IF(ArtifactsInput!$M$10,CHOOSE(ArtifactsInput!$N$10+1,15,18,21,24,27,30)*(IF(Inputs!$B$39="pvp",MIN(15,15)/15,IF(AND(Inputs!$B$39&lt;&gt;"pvp",Inputs!$B$44&gt;0),MIN(15,Inputs!$B$44)/(Inputs!$B$44),0))),0)))&gt;=100),MIN(100,((Inputs!$B$9+((C402=TRUE)*(F402-Calc!F26))+B410+(ArtifactsInput!$M$24-ArtifactsInput!$M$24)*CHOOSE(ArtifactsInput!$N$24+1,10,12,14,16,18,20)+IF(ArtifactsInput!$M$10,CHOOSE(ArtifactsInput!$N$10+1,15,18,21,24,27,30)*(IF(Inputs!$B$39="pvp",MIN(15,15)/15,IF(AND(Inputs!$B$39&lt;&gt;"pvp",Inputs!$B$44&gt;0),MIN(15,Inputs!$B$44)/(Inputs!$B$44),0))),0)))-100),0))*CHOOSE(ArtifactsInput!$N$42+1,0.6,0.72,0.84,0.96,1.08,1.2))),Inputs!$B$18+((C405=TRUE)*(F405-Calc!F29))+(IF(AND(Inputs!$B$39&lt;&gt;"pvp",Inputs!$B$44=0),1,IF(IF(Inputs!$B$39="pvp",15,Inputs!$B$44)-(B421)&lt;=0,1,MAX(0,IF(Inputs!$B$39="pvp",15,Inputs!$B$44)-MAX(5,B421))/(IF(Inputs!$B$39="pvp",15,Inputs!$B$44)-(B421))))*IF(AND(ArtifactsInput!$M$42,((Inputs!$B$9+((C402=TRUE)*(F402-Calc!F26))+B410+(ArtifactsInput!$M$24-ArtifactsInput!$M$24)*CHOOSE(ArtifactsInput!$N$24+1,10,12,14,16,18,20)+IF(ArtifactsInput!$M$10,CHOOSE(ArtifactsInput!$N$10+1,15,18,21,24,27,30)*(IF(Inputs!$B$39="pvp",MIN(15,15)/15,IF(AND(Inputs!$B$39&lt;&gt;"pvp",Inputs!$B$44&gt;0),MIN(15,Inputs!$B$44)/(Inputs!$B$44),0))),0)))&gt;=100),CHOOSE(ArtifactsInput!$N$42+1,40,48,56,64,72,80),0))))/100)*(((1+(((C398=TRUE)*F398*IF(AND(Inputs!$B$39&lt;&gt;"pvp",Inputs!$B$44&gt;0),(((R398-1)*MIN((Skills!Y22*(1+Inputs!$B$34/100)),(1/Q398))+MIN((Skills!Y22*(1+Inputs!$B$34/100)),MAX(0,Inputs!$B$44-((R398-1)*(1/Q398)))))/Inputs!$B$44),IF(Inputs!$B$39="pvp",MIN((Skills!Y22*(1+Inputs!$B$34/100)),15)/15,MIN(1,(Skills!Y22*(1+Inputs!$B$34/100))/(1/Q398)))))+((C379=TRUE)*F379*3)+((C381=TRUE)*F381*(1-EXP(-0.75*B414*5)))+((C400=TRUE)*(F400-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387=TRUE)*F387*IF(AND(Inputs!$B$39&lt;&gt;"pvp",Inputs!$B$44&gt;0),(((R387-1)*MIN((Skills!Y11*(1+Inputs!$B$34/100)),(1/Q387))+MIN((Skills!Y11*(1+Inputs!$B$34/100)),MAX(0,Inputs!$B$44-((R387-1)*(1/Q387)))))/Inputs!$B$44),IF(Inputs!$B$39="pvp",MIN((Skills!Y11*(1+Inputs!$B$34/100)),15)/15,MIN(1,(Skills!Y11*(1+Inputs!$B$34/100))/(1/Q387)))))/100)*(1+((C392=TRUE)*F392*IF(AND(Inputs!$B$39&lt;&gt;"pvp",Inputs!$B$44&gt;0),(((R392-1)*MIN((Skills!Y16*(1+Inputs!$B$34/100)),(1/Q392))+MIN((Skills!Y16*(1+Inputs!$B$34/100)),MAX(0,Inputs!$B$44-((R392-1)*(1/Q392)))))/Inputs!$B$44),IF(Inputs!$B$39="pvp",MIN((Skills!Y16*(1+Inputs!$B$34/100)),15)/15,MIN(1,(Skills!Y16*(1+Inputs!$B$34/100))/(1/Q392)))))/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412*I390)</f>
        <v/>
      </c>
      <c r="L390">
        <f>K390*(MIN(Inputs!$B$22+((C401=TRUE)*(F401-Calc!F25)),(Inputs!$B$23+((C406=TRUE)*(F406-Calc!F30))+IF(ArtifactsInput!$M$15,CHOOSE(ArtifactsInput!$N$15+1,25,30,35,40,45,50)/100*(Inputs!$B$11-Inputs!$B$11),0)))/100+(Inputs!$B$23+((C406=TRUE)*(F406-Calc!F30))+IF(ArtifactsInput!$M$15,CHOOSE(ArtifactsInput!$N$15+1,25,30,35,40,45,50)/100*(Inputs!$B$11-Inputs!$B$11),0))/100)/2</f>
        <v/>
      </c>
      <c r="M390">
        <f>L390*(1+(Inputs!$B$10+((C403=TRUE)*(F403-Calc!F27))+B417+(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390">
        <f>L390*(1-MIN((Inputs!$B$9+((C402=TRUE)*(F402-Calc!F26))+B410+(ArtifactsInput!$M$24-ArtifactsInput!$M$24)*CHOOSE(ArtifactsInput!$N$24+1,10,12,14,16,18,20)+(IF(AND(Inputs!$B$39&lt;&gt;"pvp",Inputs!$B$44=0),1,IF(IF(Inputs!$B$39="pvp",15,Inputs!$B$44)-(B421)&lt;=0,1,MAX(0,IF(Inputs!$B$39="pvp",15,Inputs!$B$44)-MAX(5,B421))/(IF(Inputs!$B$39="pvp",15,Inputs!$B$44)-(B421))))*IF(AND(ArtifactsInput!$M$42,((Inputs!$B$9+((C402=TRUE)*(F402-Calc!F26))+B410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390*(MIN((Inputs!$B$9+((C402=TRUE)*(F402-Calc!F26))+B410+(ArtifactsInput!$M$24-ArtifactsInput!$M$24)*CHOOSE(ArtifactsInput!$N$24+1,10,12,14,16,18,20)+(IF(AND(Inputs!$B$39&lt;&gt;"pvp",Inputs!$B$44=0),1,IF(IF(Inputs!$B$39="pvp",15,Inputs!$B$44)-(B421)&lt;=0,1,MAX(0,IF(Inputs!$B$39="pvp",15,Inputs!$B$44)-MAX(5,B421))/(IF(Inputs!$B$39="pvp",15,Inputs!$B$44)-(B421))))*IF(AND(ArtifactsInput!$M$42,((Inputs!$B$9+((C402=TRUE)*(F402-Calc!F26))+B410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390">
        <f>(1-Summary!$B$11)*T390+Summary!$B$11*V390</f>
        <v/>
      </c>
      <c r="P390">
        <f>IF(B422=0,0,O390/B422)</f>
        <v/>
      </c>
      <c r="Q390">
        <f>IFERROR(1/IF(Inputs!$B$39="pvp",15,MAX(0.1,Skills!D14-IF(TRUE=TRUE,Inputs!$B$32,0))),0)</f>
        <v/>
      </c>
      <c r="R390">
        <f>IF(AND(Inputs!$B$39&lt;&gt;"pvp",Inputs!$B$44&gt;0),IF(MAX(0,Inputs!$B$44-B421)&lt;=0,0,(INT(MAX(0,Inputs!$B$44-B421)/IF(Inputs!$B$39="pvp",15,MAX(0.1,Skills!D14-IF(TRUE=TRUE,Inputs!$B$32,0))))+1)),0)</f>
        <v/>
      </c>
      <c r="S390">
        <f>IFERROR(O390/N390,0)</f>
        <v/>
      </c>
      <c r="T390">
        <f>IF(C390,(H390*N390*IF(AND(Inputs!$B$39&lt;&gt;"pvp",Inputs!$B$44&gt;0),((Skills!G14*((R390-1)*IF(Skills!H14&gt;0,Skills!I14/Skills!H14,1)+IF(Skills!H14&gt;0,MIN(Skills!I14,MAX(0,MAX(0,Inputs!$B$44-B421)-((R390-1)*IF(Inputs!$B$39="pvp",15,MAX(0.1,Skills!D14-IF(TRUE=TRUE,Inputs!$B$32,0))))))/Skills!H14,1)))/Inputs!$B$44),G390*Q390))*IF(Inputs!$B$39="pvp",1,1+(Inputs!$B$20+0+Skills!P14+B411+(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Hunt"),CHOOSE(ArtifactsInput!$N$35+1,15,18,21,24,27,30)*(1-EXP(-(0.2*B414)*5)),0)+IF(AND(ArtifactsInput!$M$22,Inputs!$B$4&lt;&gt;"Chapter Hunt"),CHOOSE(ArtifactsInput!$N$22+1,10,12,14,16,18,20)*((0*(((0.15*B414*5))^0/1)+1*(((0.15*B414*5))^1/1)+2*(((0.15*B414*5))^2/2)+3*(((0.15*B414*5))^3/6)+4*(((0.15*B414*5))^4/24)+5*(((0.15*B414*5))^5/120))/((((0.15*B414*5))^0/1)+(((0.15*B414*5))^1/1)+(((0.15*B414*5))^2/2)+(((0.15*B414*5))^3/6)+(((0.15*B414*5))^4/24)+(((0.15*B414*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390*(1-MIN(100,(Inputs!$B$9+((C402=TRUE)*(F402-Calc!F26))+B410+(ArtifactsInput!$M$24-ArtifactsInput!$M$24)*CHOOSE(ArtifactsInput!$N$24+1,10,12,14,16,18,20)+(IF(AND(Inputs!$B$39&lt;&gt;"pvp",Inputs!$B$44=0),1,IF(IF(Inputs!$B$39="pvp",15,Inputs!$B$44)-(B421)&lt;=0,1,MAX(0,IF(Inputs!$B$39="pvp",15,Inputs!$B$44)-MAX(5,B421))/(IF(Inputs!$B$39="pvp",15,Inputs!$B$44)-(B421))))*IF(AND(ArtifactsInput!$M$42,((Inputs!$B$9+((C402=TRUE)*(F402-Calc!F26))+B410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390*(MIN(100,(Inputs!$B$9+((C402=TRUE)*(F402-Calc!F26))+B410+(ArtifactsInput!$M$24-ArtifactsInput!$M$24)*CHOOSE(ArtifactsInput!$N$24+1,10,12,14,16,18,20)+(IF(AND(Inputs!$B$39&lt;&gt;"pvp",Inputs!$B$44=0),1,IF(IF(Inputs!$B$39="pvp",15,Inputs!$B$44)-(B421)&lt;=0,1,MAX(0,IF(Inputs!$B$39="pvp",15,Inputs!$B$44)-MAX(5,B421))/(IF(Inputs!$B$39="pvp",15,Inputs!$B$44)-(B421))))*IF(AND(ArtifactsInput!$M$42,((Inputs!$B$9+((C402=TRUE)*(F402-Calc!F26))+B410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390*(1-MIN(100,(Inputs!$B$9+((C402=TRUE)*(F402-Calc!F26))+B410+(ArtifactsInput!$M$24-ArtifactsInput!$M$24)*CHOOSE(ArtifactsInput!$N$24+1,10,12,14,16,18,20)+(IF(AND(Inputs!$B$39&lt;&gt;"pvp",Inputs!$B$44=0),1,IF(IF(Inputs!$B$39="pvp",15,Inputs!$B$44)-(B421)&lt;=0,1,MAX(0,IF(Inputs!$B$39="pvp",15,Inputs!$B$44)-MAX(5,B421))/(IF(Inputs!$B$39="pvp",15,Inputs!$B$44)-(B421))))*IF(AND(ArtifactsInput!$M$42,((Inputs!$B$9+((C402=TRUE)*(F402-Calc!F26))+B410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390*(MIN(100,(Inputs!$B$9+((C402=TRUE)*(F402-Calc!F26))+B410+(ArtifactsInput!$M$24-ArtifactsInput!$M$24)*CHOOSE(ArtifactsInput!$N$24+1,10,12,14,16,18,20)+(IF(AND(Inputs!$B$39&lt;&gt;"pvp",Inputs!$B$44=0),1,IF(IF(Inputs!$B$39="pvp",15,Inputs!$B$44)-(B421)&lt;=0,1,MAX(0,IF(Inputs!$B$39="pvp",15,Inputs!$B$44)-MAX(5,B421))/(IF(Inputs!$B$39="pvp",15,Inputs!$B$44)-(B421))))*IF(AND(ArtifactsInput!$M$42,((Inputs!$B$9+((C402=TRUE)*(F402-Calc!F26))+B410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390">
        <f>IF(C390,(H390*N390*IF(AND(Inputs!$B$39&lt;&gt;"pvp",Inputs!$B$44&gt;0),((Skills!G14*((R390-1)*IF(Skills!H14&gt;0,Skills!I14/Skills!H14,1)+IF(Skills!H14&gt;0,MIN(Skills!I14,MAX(0,MAX(0,Inputs!$B$44-B421)-((R390-1)*IF(Inputs!$B$39="pvp",15,MAX(0.1,Skills!D14-IF(TRUE=TRUE,Inputs!$B$32,0))))))/Skills!H14,1)))/Inputs!$B$44),G390*Q390))*IF(Inputs!$B$39="pvp",1,(1+((Inputs!$B$21+1)+Skills!Q14+B411+(IF(ArtifactsInput!$M$33,CHOOSE(ArtifactsInput!$N$33+1,30,36,42,48,54,60),0))+(IF(AND(ArtifactsInput!$M$35,Inputs!$B$4&lt;&gt;"Chapter Hunt"),CHOOSE(ArtifactsInput!$N$35+1,15,18,21,24,27,30)*(1-EXP(-(0.2*B414)*5)),0)+IF(AND(ArtifactsInput!$M$22,Inputs!$B$4&lt;&gt;"Chapter Hunt"),CHOOSE(ArtifactsInput!$N$22+1,10,12,14,16,18,20)*((0*(((0.15*B414*5))^0/1)+1*(((0.15*B414*5))^1/1)+2*(((0.15*B414*5))^2/2)+3*(((0.15*B414*5))^3/6)+4*(((0.15*B414*5))^4/24)+5*(((0.15*B414*5))^5/120))/((((0.15*B414*5))^0/1)+(((0.15*B414*5))^1/1)+(((0.15*B414*5))^2/2)+(((0.15*B414*5))^3/6)+(((0.15*B414*5))^4/24)+(((0.15*B414*5))^5/120))),0)))/100)*(MIN(Skills!W14,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391">
      <c r="A391">
        <f>Skills!A15</f>
        <v/>
      </c>
      <c r="B391">
        <f>Skills!B15</f>
        <v/>
      </c>
      <c r="C391">
        <f>Inputs!$B$3&gt;=107</f>
        <v/>
      </c>
      <c r="D391">
        <f>IF(Skills!C15=1,60+Inputs!$B$25+Inputs!$B$29,IF(Skills!C15=2,90+Inputs!$B$26+Inputs!$B$29,IF(Skills!C15=3,120+Inputs!$B$27+Inputs!$B$29,MAX(0,(Inputs!$B$3-100)*3)+Inputs!$B$28+Inputs!$B$29)))</f>
        <v/>
      </c>
      <c r="E391">
        <f>INDEX(FactorTable!$B$2:$Y$301, MATCH(ROUND(MIN(300,MAX(1,D391)),0), FactorTable!$A$2:$A$301,0), Skills!M15+1)</f>
        <v/>
      </c>
      <c r="F391">
        <f>IF(Skills!N15=TRUE,(Skills!L15/10)*(E391/1000),Skills!L15/10)+Skills!O15</f>
        <v/>
      </c>
      <c r="G391">
        <f>Skills!G15*IF(Skills!H15&gt;0,IF(Inputs!$B$39="pvp",MIN(Skills!I15,15),Skills!I15)/Skills!H15,1)</f>
        <v/>
      </c>
      <c r="H391">
        <f>1-(1-Skills!J15/100)^Skills!K15</f>
        <v/>
      </c>
      <c r="I391" t="inlineStr">
        <is>
          <t>1</t>
        </is>
      </c>
      <c r="J391">
        <f>((Inputs!$B$6*(1+Inputs!$B$7/100))+(((Inputs!$B$12*(1+Inputs!$B$13/100))-(Inputs!$B$12*(1+Inputs!$B$13/100)))+0.25*(Inputs!$B$14-Inputs!$B$14))*(1+Inputs!$B$7/100))*(F391/100)</f>
        <v/>
      </c>
      <c r="K391">
        <f>J391*(1+((Inputs!$B$12*(1+Inputs!$B$13/100))*0.01+Inputs!$B$14*0.0025)/100)*(1+Inputs!$B$15/100)*(1+Inputs!$B$16/100)*(5000/(6000+Inputs!$B$43*(1-(100*(1-(1-Inputs!$B$19/100)*(1-CHOOSE(ArtifactsInput!$N$40+1,5,6,7,8,9,10)/100)^(ArtifactsInput!$M$40-ArtifactsInput!$M$40)))/100)))*(1+(Inputs!$B$24+((C407=TRUE)*(F407-Calc!F31))+((C394=TRUE)*(F394-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15="CRUEL_STAB",Inputs!$B$17+((C404=TRUE)*(F404-Calc!F28))+((IF(AND(Inputs!$B$39&lt;&gt;"pvp",Inputs!$B$44=0),1,IF(IF(Inputs!$B$39="pvp",15,Inputs!$B$44)-(B421)&lt;=0,1,MAX(0,IF(Inputs!$B$39="pvp",15,Inputs!$B$44)-MAX(5,B421))/(IF(Inputs!$B$39="pvp",15,Inputs!$B$44)-(B421))))*(IF(AND(ArtifactsInput!$M$42,((Inputs!$B$9+((C402=TRUE)*(F402-Calc!F26))+B410+(ArtifactsInput!$M$24-ArtifactsInput!$M$24)*CHOOSE(ArtifactsInput!$N$24+1,10,12,14,16,18,20)+IF(ArtifactsInput!$M$10,CHOOSE(ArtifactsInput!$N$10+1,15,18,21,24,27,30)*(IF(Inputs!$B$39="pvp",MIN(15,15)/15,IF(AND(Inputs!$B$39&lt;&gt;"pvp",Inputs!$B$44&gt;0),MIN(15,Inputs!$B$44)/(Inputs!$B$44),0))),0)))&gt;=100),MIN(100,((Inputs!$B$9+((C402=TRUE)*(F402-Calc!F26))+B410+(ArtifactsInput!$M$24-ArtifactsInput!$M$24)*CHOOSE(ArtifactsInput!$N$24+1,10,12,14,16,18,20)+IF(ArtifactsInput!$M$10,CHOOSE(ArtifactsInput!$N$10+1,15,18,21,24,27,30)*(IF(Inputs!$B$39="pvp",MIN(15,15)/15,IF(AND(Inputs!$B$39&lt;&gt;"pvp",Inputs!$B$44&gt;0),MIN(15,Inputs!$B$44)/(Inputs!$B$44),0))),0)))-100),0))*CHOOSE(ArtifactsInput!$N$42+1,0.6,0.72,0.84,0.96,1.08,1.2))),Inputs!$B$18+((C405=TRUE)*(F405-Calc!F29))+(IF(AND(Inputs!$B$39&lt;&gt;"pvp",Inputs!$B$44=0),1,IF(IF(Inputs!$B$39="pvp",15,Inputs!$B$44)-(B421)&lt;=0,1,MAX(0,IF(Inputs!$B$39="pvp",15,Inputs!$B$44)-MAX(5,B421))/(IF(Inputs!$B$39="pvp",15,Inputs!$B$44)-(B421))))*IF(AND(ArtifactsInput!$M$42,((Inputs!$B$9+((C402=TRUE)*(F402-Calc!F26))+B410+(ArtifactsInput!$M$24-ArtifactsInput!$M$24)*CHOOSE(ArtifactsInput!$N$24+1,10,12,14,16,18,20)+IF(ArtifactsInput!$M$10,CHOOSE(ArtifactsInput!$N$10+1,15,18,21,24,27,30)*(IF(Inputs!$B$39="pvp",MIN(15,15)/15,IF(AND(Inputs!$B$39&lt;&gt;"pvp",Inputs!$B$44&gt;0),MIN(15,Inputs!$B$44)/(Inputs!$B$44),0))),0)))&gt;=100),CHOOSE(ArtifactsInput!$N$42+1,40,48,56,64,72,80),0))))/100)*(((1+(((C398=TRUE)*F398*IF(AND(Inputs!$B$39&lt;&gt;"pvp",Inputs!$B$44&gt;0),(((R398-1)*MIN((Skills!Y22*(1+Inputs!$B$34/100)),(1/Q398))+MIN((Skills!Y22*(1+Inputs!$B$34/100)),MAX(0,Inputs!$B$44-((R398-1)*(1/Q398)))))/Inputs!$B$44),IF(Inputs!$B$39="pvp",MIN((Skills!Y22*(1+Inputs!$B$34/100)),15)/15,MIN(1,(Skills!Y22*(1+Inputs!$B$34/100))/(1/Q398)))))+((C379=TRUE)*F379*3)+((C381=TRUE)*F381*(1-EXP(-0.75*B414*5)))+((C400=TRUE)*(F400-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387=TRUE)*F387*IF(AND(Inputs!$B$39&lt;&gt;"pvp",Inputs!$B$44&gt;0),(((R387-1)*MIN((Skills!Y11*(1+Inputs!$B$34/100)),(1/Q387))+MIN((Skills!Y11*(1+Inputs!$B$34/100)),MAX(0,Inputs!$B$44-((R387-1)*(1/Q387)))))/Inputs!$B$44),IF(Inputs!$B$39="pvp",MIN((Skills!Y11*(1+Inputs!$B$34/100)),15)/15,MIN(1,(Skills!Y11*(1+Inputs!$B$34/100))/(1/Q387)))))/100)*(1+((C392=TRUE)*F392*IF(AND(Inputs!$B$39&lt;&gt;"pvp",Inputs!$B$44&gt;0),(((R392-1)*MIN((Skills!Y16*(1+Inputs!$B$34/100)),(1/Q392))+MIN((Skills!Y16*(1+Inputs!$B$34/100)),MAX(0,Inputs!$B$44-((R392-1)*(1/Q392)))))/Inputs!$B$44),IF(Inputs!$B$39="pvp",MIN((Skills!Y16*(1+Inputs!$B$34/100)),15)/15,MIN(1,(Skills!Y16*(1+Inputs!$B$34/100))/(1/Q392)))))/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412*I391)</f>
        <v/>
      </c>
      <c r="L391">
        <f>K391*(MIN(Inputs!$B$22+((C401=TRUE)*(F401-Calc!F25)),(Inputs!$B$23+((C406=TRUE)*(F406-Calc!F30))+IF(ArtifactsInput!$M$15,CHOOSE(ArtifactsInput!$N$15+1,25,30,35,40,45,50)/100*(Inputs!$B$11-Inputs!$B$11),0)))/100+(Inputs!$B$23+((C406=TRUE)*(F406-Calc!F30))+IF(ArtifactsInput!$M$15,CHOOSE(ArtifactsInput!$N$15+1,25,30,35,40,45,50)/100*(Inputs!$B$11-Inputs!$B$11),0))/100)/2</f>
        <v/>
      </c>
      <c r="M391">
        <f>L391*(1+(Inputs!$B$10+((C403=TRUE)*(F403-Calc!F27))+B417+(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391">
        <f>L391*(1-MIN((Inputs!$B$9+((C402=TRUE)*(F402-Calc!F26))+B410+(ArtifactsInput!$M$24-ArtifactsInput!$M$24)*CHOOSE(ArtifactsInput!$N$24+1,10,12,14,16,18,20)+(IF(AND(Inputs!$B$39&lt;&gt;"pvp",Inputs!$B$44=0),1,IF(IF(Inputs!$B$39="pvp",15,Inputs!$B$44)-(B421)&lt;=0,1,MAX(0,IF(Inputs!$B$39="pvp",15,Inputs!$B$44)-MAX(5,B421))/(IF(Inputs!$B$39="pvp",15,Inputs!$B$44)-(B421))))*IF(AND(ArtifactsInput!$M$42,((Inputs!$B$9+((C402=TRUE)*(F402-Calc!F26))+B410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391*(MIN((Inputs!$B$9+((C402=TRUE)*(F402-Calc!F26))+B410+(ArtifactsInput!$M$24-ArtifactsInput!$M$24)*CHOOSE(ArtifactsInput!$N$24+1,10,12,14,16,18,20)+(IF(AND(Inputs!$B$39&lt;&gt;"pvp",Inputs!$B$44=0),1,IF(IF(Inputs!$B$39="pvp",15,Inputs!$B$44)-(B421)&lt;=0,1,MAX(0,IF(Inputs!$B$39="pvp",15,Inputs!$B$44)-MAX(5,B421))/(IF(Inputs!$B$39="pvp",15,Inputs!$B$44)-(B421))))*IF(AND(ArtifactsInput!$M$42,((Inputs!$B$9+((C402=TRUE)*(F402-Calc!F26))+B410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391">
        <f>(1-Summary!$B$11)*T391+Summary!$B$11*V391</f>
        <v/>
      </c>
      <c r="P391">
        <f>IF(B422=0,0,O391/B422)</f>
        <v/>
      </c>
      <c r="Q391">
        <f>IFERROR(1/IF(Inputs!$B$39="pvp",15,MAX(0.1,Skills!D15-IF(TRUE=TRUE,Inputs!$B$32,0))),0)</f>
        <v/>
      </c>
      <c r="R391">
        <f>IF(AND(Inputs!$B$39&lt;&gt;"pvp",Inputs!$B$44&gt;0),IF(MAX(0,Inputs!$B$44-B421)&lt;=0,0,(INT(MAX(0,Inputs!$B$44-B421)/IF(Inputs!$B$39="pvp",15,MAX(0.1,Skills!D15-IF(TRUE=TRUE,Inputs!$B$32,0))))+1)),0)</f>
        <v/>
      </c>
      <c r="S391">
        <f>IFERROR(O391/N391,0)</f>
        <v/>
      </c>
      <c r="T391">
        <f>IF(C391,(H391*N391*IF(AND(Inputs!$B$39&lt;&gt;"pvp",Inputs!$B$44&gt;0),((Skills!G15*((R391-1)*IF(Skills!H15&gt;0,Skills!I15/Skills!H15,1)+IF(Skills!H15&gt;0,MIN(Skills!I15,MAX(0,MAX(0,Inputs!$B$44-B421)-((R391-1)*IF(Inputs!$B$39="pvp",15,MAX(0.1,Skills!D15-IF(TRUE=TRUE,Inputs!$B$32,0))))))/Skills!H15,1)))/Inputs!$B$44),G391*Q391))*IF(Inputs!$B$39="pvp",1,1+(Inputs!$B$20+0+Skills!P15+B411+(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Hunt"),CHOOSE(ArtifactsInput!$N$35+1,15,18,21,24,27,30)*(1-EXP(-(0.2*B414)*5)),0)+IF(AND(ArtifactsInput!$M$22,Inputs!$B$4&lt;&gt;"Chapter Hunt"),CHOOSE(ArtifactsInput!$N$22+1,10,12,14,16,18,20)*((0*(((0.15*B414*5))^0/1)+1*(((0.15*B414*5))^1/1)+2*(((0.15*B414*5))^2/2)+3*(((0.15*B414*5))^3/6)+4*(((0.15*B414*5))^4/24)+5*(((0.15*B414*5))^5/120))/((((0.15*B414*5))^0/1)+(((0.15*B414*5))^1/1)+(((0.15*B414*5))^2/2)+(((0.15*B414*5))^3/6)+(((0.15*B414*5))^4/24)+(((0.15*B414*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391*(1-MIN(100,(Inputs!$B$9+((C402=TRUE)*(F402-Calc!F26))+B410+(ArtifactsInput!$M$24-ArtifactsInput!$M$24)*CHOOSE(ArtifactsInput!$N$24+1,10,12,14,16,18,20)+(IF(AND(Inputs!$B$39&lt;&gt;"pvp",Inputs!$B$44=0),1,IF(IF(Inputs!$B$39="pvp",15,Inputs!$B$44)-(B421)&lt;=0,1,MAX(0,IF(Inputs!$B$39="pvp",15,Inputs!$B$44)-MAX(5,B421))/(IF(Inputs!$B$39="pvp",15,Inputs!$B$44)-(B421))))*IF(AND(ArtifactsInput!$M$42,((Inputs!$B$9+((C402=TRUE)*(F402-Calc!F26))+B410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391*(MIN(100,(Inputs!$B$9+((C402=TRUE)*(F402-Calc!F26))+B410+(ArtifactsInput!$M$24-ArtifactsInput!$M$24)*CHOOSE(ArtifactsInput!$N$24+1,10,12,14,16,18,20)+(IF(AND(Inputs!$B$39&lt;&gt;"pvp",Inputs!$B$44=0),1,IF(IF(Inputs!$B$39="pvp",15,Inputs!$B$44)-(B421)&lt;=0,1,MAX(0,IF(Inputs!$B$39="pvp",15,Inputs!$B$44)-MAX(5,B421))/(IF(Inputs!$B$39="pvp",15,Inputs!$B$44)-(B421))))*IF(AND(ArtifactsInput!$M$42,((Inputs!$B$9+((C402=TRUE)*(F402-Calc!F26))+B410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391*(1-MIN(100,(Inputs!$B$9+((C402=TRUE)*(F402-Calc!F26))+B410+(ArtifactsInput!$M$24-ArtifactsInput!$M$24)*CHOOSE(ArtifactsInput!$N$24+1,10,12,14,16,18,20)+(IF(AND(Inputs!$B$39&lt;&gt;"pvp",Inputs!$B$44=0),1,IF(IF(Inputs!$B$39="pvp",15,Inputs!$B$44)-(B421)&lt;=0,1,MAX(0,IF(Inputs!$B$39="pvp",15,Inputs!$B$44)-MAX(5,B421))/(IF(Inputs!$B$39="pvp",15,Inputs!$B$44)-(B421))))*IF(AND(ArtifactsInput!$M$42,((Inputs!$B$9+((C402=TRUE)*(F402-Calc!F26))+B410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391*(MIN(100,(Inputs!$B$9+((C402=TRUE)*(F402-Calc!F26))+B410+(ArtifactsInput!$M$24-ArtifactsInput!$M$24)*CHOOSE(ArtifactsInput!$N$24+1,10,12,14,16,18,20)+(IF(AND(Inputs!$B$39&lt;&gt;"pvp",Inputs!$B$44=0),1,IF(IF(Inputs!$B$39="pvp",15,Inputs!$B$44)-(B421)&lt;=0,1,MAX(0,IF(Inputs!$B$39="pvp",15,Inputs!$B$44)-MAX(5,B421))/(IF(Inputs!$B$39="pvp",15,Inputs!$B$44)-(B421))))*IF(AND(ArtifactsInput!$M$42,((Inputs!$B$9+((C402=TRUE)*(F402-Calc!F26))+B410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391">
        <f>IF(C391,(H391*N391*IF(AND(Inputs!$B$39&lt;&gt;"pvp",Inputs!$B$44&gt;0),((Skills!G15*((R391-1)*IF(Skills!H15&gt;0,Skills!I15/Skills!H15,1)+IF(Skills!H15&gt;0,MIN(Skills!I15,MAX(0,MAX(0,Inputs!$B$44-B421)-((R391-1)*IF(Inputs!$B$39="pvp",15,MAX(0.1,Skills!D15-IF(TRUE=TRUE,Inputs!$B$32,0))))))/Skills!H15,1)))/Inputs!$B$44),G391*Q391))*IF(Inputs!$B$39="pvp",1,(1+((Inputs!$B$21+1)+Skills!Q15+B411+(IF(ArtifactsInput!$M$33,CHOOSE(ArtifactsInput!$N$33+1,30,36,42,48,54,60),0))+(IF(AND(ArtifactsInput!$M$35,Inputs!$B$4&lt;&gt;"Chapter Hunt"),CHOOSE(ArtifactsInput!$N$35+1,15,18,21,24,27,30)*(1-EXP(-(0.2*B414)*5)),0)+IF(AND(ArtifactsInput!$M$22,Inputs!$B$4&lt;&gt;"Chapter Hunt"),CHOOSE(ArtifactsInput!$N$22+1,10,12,14,16,18,20)*((0*(((0.15*B414*5))^0/1)+1*(((0.15*B414*5))^1/1)+2*(((0.15*B414*5))^2/2)+3*(((0.15*B414*5))^3/6)+4*(((0.15*B414*5))^4/24)+5*(((0.15*B414*5))^5/120))/((((0.15*B414*5))^0/1)+(((0.15*B414*5))^1/1)+(((0.15*B414*5))^2/2)+(((0.15*B414*5))^3/6)+(((0.15*B414*5))^4/24)+(((0.15*B414*5))^5/120))),0)))/100)*(MIN(MIN(5,0.5*IF(Inputs!$B$3&gt;=75,0.75,0.5)*B414*(1/Q380))*Skills!V15,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392">
      <c r="A392">
        <f>Skills!A16</f>
        <v/>
      </c>
      <c r="B392">
        <f>Skills!B16</f>
        <v/>
      </c>
      <c r="C392">
        <f>Inputs!$B$3&gt;=110</f>
        <v/>
      </c>
      <c r="D392">
        <f>IF(Skills!C16=1,60+Inputs!$B$25+Inputs!$B$29,IF(Skills!C16=2,90+Inputs!$B$26+Inputs!$B$29,IF(Skills!C16=3,120+Inputs!$B$27+Inputs!$B$29,MAX(0,(Inputs!$B$3-100)*3)+Inputs!$B$28+Inputs!$B$29)))</f>
        <v/>
      </c>
      <c r="E392">
        <f>INDEX(FactorTable!$B$2:$Y$301, MATCH(ROUND(MIN(300,MAX(1,D392)),0), FactorTable!$A$2:$A$301,0), Skills!M16+1)</f>
        <v/>
      </c>
      <c r="F392">
        <f>IF(Skills!N16=TRUE,(Skills!L16/10)*(E392/1000),Skills!L16/10)+Skills!O16</f>
        <v/>
      </c>
      <c r="G392">
        <f>Skills!G16*IF(Skills!H16&gt;0,IF(Inputs!$B$39="pvp",MIN(Skills!I16,15),Skills!I16)/Skills!H16,1)</f>
        <v/>
      </c>
      <c r="H392">
        <f>1-(1-Skills!J16/100)^Skills!K16</f>
        <v/>
      </c>
      <c r="I392" t="inlineStr">
        <is>
          <t>1</t>
        </is>
      </c>
      <c r="J392" t="inlineStr"/>
      <c r="K392" t="inlineStr"/>
      <c r="L392" t="inlineStr"/>
      <c r="M392" t="inlineStr"/>
      <c r="N392" t="inlineStr"/>
      <c r="O392">
        <f>(1-Summary!$B$11)*T392+Summary!$B$11*V392</f>
        <v/>
      </c>
      <c r="P392">
        <f>IF(B422=0,0,O392/B422)</f>
        <v/>
      </c>
      <c r="Q392">
        <f>IFERROR(1/IF(Inputs!$B$39="pvp",15,MAX(0.1,Skills!D16-IF(TRUE=TRUE,Inputs!$B$32,0))),0)</f>
        <v/>
      </c>
      <c r="R392">
        <f>IF(AND(Inputs!$B$39&lt;&gt;"pvp",Inputs!$B$44&gt;0),IF(Inputs!$B$44&lt;=0,0,(INT(Inputs!$B$44/IF(Inputs!$B$39="pvp",15,MAX(0.1,Skills!D16-IF(TRUE=TRUE,Inputs!$B$32,0))))+1)),0)</f>
        <v/>
      </c>
      <c r="S392">
        <f>IFERROR(O392/N392,0)</f>
        <v/>
      </c>
      <c r="T392" t="n">
        <v>0</v>
      </c>
      <c r="V392" t="n">
        <v>0</v>
      </c>
    </row>
    <row r="393">
      <c r="A393">
        <f>Skills!A17</f>
        <v/>
      </c>
      <c r="B393">
        <f>Skills!B17</f>
        <v/>
      </c>
      <c r="C393">
        <f>Inputs!$B$3&gt;=115</f>
        <v/>
      </c>
      <c r="D393">
        <f>IF(Skills!C17=1,60+Inputs!$B$25+Inputs!$B$29,IF(Skills!C17=2,90+Inputs!$B$26+Inputs!$B$29,IF(Skills!C17=3,120+Inputs!$B$27+Inputs!$B$29,MAX(0,(Inputs!$B$3-100)*3)+Inputs!$B$28+Inputs!$B$29)))</f>
        <v/>
      </c>
      <c r="E393">
        <f>INDEX(FactorTable!$B$2:$Y$301, MATCH(ROUND(MIN(300,MAX(1,D393)),0), FactorTable!$A$2:$A$301,0), Skills!M17+1)</f>
        <v/>
      </c>
      <c r="F393">
        <f>IF(Skills!N17=TRUE,(Skills!L17/10)*(E393/1000),Skills!L17/10)+Skills!O17</f>
        <v/>
      </c>
      <c r="G393">
        <f>Skills!G17*IF(Skills!H17&gt;0,IF(Inputs!$B$39="pvp",MIN(Skills!I17,15),Skills!I17)/Skills!H17,1)</f>
        <v/>
      </c>
      <c r="H393">
        <f>1-(1-Skills!J17/100)^Skills!K17</f>
        <v/>
      </c>
      <c r="I393" t="inlineStr">
        <is>
          <t>1</t>
        </is>
      </c>
      <c r="J393">
        <f>((Inputs!$B$6*(1+Inputs!$B$7/100))+(((Inputs!$B$12*(1+Inputs!$B$13/100))-(Inputs!$B$12*(1+Inputs!$B$13/100)))+0.25*(Inputs!$B$14-Inputs!$B$14))*(1+Inputs!$B$7/100))*(F393/100)</f>
        <v/>
      </c>
      <c r="K393">
        <f>J393*(1+((Inputs!$B$12*(1+Inputs!$B$13/100))*0.01+Inputs!$B$14*0.0025)/100)*(1+Inputs!$B$15/100)*(1+Inputs!$B$16/100)*(5000/(6000+Inputs!$B$43*(1-(100*(1-(1-Inputs!$B$19/100)*(1-CHOOSE(ArtifactsInput!$N$40+1,5,6,7,8,9,10)/100)^(ArtifactsInput!$M$40-ArtifactsInput!$M$40)))/100)))*(1+(Inputs!$B$24+((C407=TRUE)*(F407-Calc!F31))+((C394=TRUE)*(F394-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17="CRUEL_STAB",Inputs!$B$17+((C404=TRUE)*(F404-Calc!F28))+((IF(AND(Inputs!$B$39&lt;&gt;"pvp",Inputs!$B$44=0),1,IF(IF(Inputs!$B$39="pvp",15,Inputs!$B$44)-(B421)&lt;=0,1,MAX(0,IF(Inputs!$B$39="pvp",15,Inputs!$B$44)-MAX(5,B421))/(IF(Inputs!$B$39="pvp",15,Inputs!$B$44)-(B421))))*(IF(AND(ArtifactsInput!$M$42,((Inputs!$B$9+((C402=TRUE)*(F402-Calc!F26))+B410+(ArtifactsInput!$M$24-ArtifactsInput!$M$24)*CHOOSE(ArtifactsInput!$N$24+1,10,12,14,16,18,20)+IF(ArtifactsInput!$M$10,CHOOSE(ArtifactsInput!$N$10+1,15,18,21,24,27,30)*(IF(Inputs!$B$39="pvp",MIN(15,15)/15,IF(AND(Inputs!$B$39&lt;&gt;"pvp",Inputs!$B$44&gt;0),MIN(15,Inputs!$B$44)/(Inputs!$B$44),0))),0)))&gt;=100),MIN(100,((Inputs!$B$9+((C402=TRUE)*(F402-Calc!F26))+B410+(ArtifactsInput!$M$24-ArtifactsInput!$M$24)*CHOOSE(ArtifactsInput!$N$24+1,10,12,14,16,18,20)+IF(ArtifactsInput!$M$10,CHOOSE(ArtifactsInput!$N$10+1,15,18,21,24,27,30)*(IF(Inputs!$B$39="pvp",MIN(15,15)/15,IF(AND(Inputs!$B$39&lt;&gt;"pvp",Inputs!$B$44&gt;0),MIN(15,Inputs!$B$44)/(Inputs!$B$44),0))),0)))-100),0))*CHOOSE(ArtifactsInput!$N$42+1,0.6,0.72,0.84,0.96,1.08,1.2))),Inputs!$B$18+((C405=TRUE)*(F405-Calc!F29))+(IF(AND(Inputs!$B$39&lt;&gt;"pvp",Inputs!$B$44=0),1,IF(IF(Inputs!$B$39="pvp",15,Inputs!$B$44)-(B421)&lt;=0,1,MAX(0,IF(Inputs!$B$39="pvp",15,Inputs!$B$44)-MAX(5,B421))/(IF(Inputs!$B$39="pvp",15,Inputs!$B$44)-(B421))))*IF(AND(ArtifactsInput!$M$42,((Inputs!$B$9+((C402=TRUE)*(F402-Calc!F26))+B410+(ArtifactsInput!$M$24-ArtifactsInput!$M$24)*CHOOSE(ArtifactsInput!$N$24+1,10,12,14,16,18,20)+IF(ArtifactsInput!$M$10,CHOOSE(ArtifactsInput!$N$10+1,15,18,21,24,27,30)*(IF(Inputs!$B$39="pvp",MIN(15,15)/15,IF(AND(Inputs!$B$39&lt;&gt;"pvp",Inputs!$B$44&gt;0),MIN(15,Inputs!$B$44)/(Inputs!$B$44),0))),0)))&gt;=100),CHOOSE(ArtifactsInput!$N$42+1,40,48,56,64,72,80),0))))/100)*(((1+(((C398=TRUE)*F398*IF(AND(Inputs!$B$39&lt;&gt;"pvp",Inputs!$B$44&gt;0),(((R398-1)*MIN((Skills!Y22*(1+Inputs!$B$34/100)),(1/Q398))+MIN((Skills!Y22*(1+Inputs!$B$34/100)),MAX(0,Inputs!$B$44-((R398-1)*(1/Q398)))))/Inputs!$B$44),IF(Inputs!$B$39="pvp",MIN((Skills!Y22*(1+Inputs!$B$34/100)),15)/15,MIN(1,(Skills!Y22*(1+Inputs!$B$34/100))/(1/Q398)))))+((C379=TRUE)*F379*3)+((C381=TRUE)*F381*(1-EXP(-0.75*B414*5)))+((C400=TRUE)*(F400-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387=TRUE)*F387*IF(AND(Inputs!$B$39&lt;&gt;"pvp",Inputs!$B$44&gt;0),(((R387-1)*MIN((Skills!Y11*(1+Inputs!$B$34/100)),(1/Q387))+MIN((Skills!Y11*(1+Inputs!$B$34/100)),MAX(0,Inputs!$B$44-((R387-1)*(1/Q387)))))/Inputs!$B$44),IF(Inputs!$B$39="pvp",MIN((Skills!Y11*(1+Inputs!$B$34/100)),15)/15,MIN(1,(Skills!Y11*(1+Inputs!$B$34/100))/(1/Q387)))))/100)*(1+((C392=TRUE)*F392*IF(AND(Inputs!$B$39&lt;&gt;"pvp",Inputs!$B$44&gt;0),(((R392-1)*MIN((Skills!Y16*(1+Inputs!$B$34/100)),(1/Q392))+MIN((Skills!Y16*(1+Inputs!$B$34/100)),MAX(0,Inputs!$B$44-((R392-1)*(1/Q392)))))/Inputs!$B$44),IF(Inputs!$B$39="pvp",MIN((Skills!Y16*(1+Inputs!$B$34/100)),15)/15,MIN(1,(Skills!Y16*(1+Inputs!$B$34/100))/(1/Q392)))))/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412*I393)</f>
        <v/>
      </c>
      <c r="L393">
        <f>K393*(MIN(Inputs!$B$22+((C401=TRUE)*(F401-Calc!F25)),(Inputs!$B$23+((C406=TRUE)*(F406-Calc!F30))+IF(ArtifactsInput!$M$15,CHOOSE(ArtifactsInput!$N$15+1,25,30,35,40,45,50)/100*(Inputs!$B$11-Inputs!$B$11),0)))/100+(Inputs!$B$23+((C406=TRUE)*(F406-Calc!F30))+IF(ArtifactsInput!$M$15,CHOOSE(ArtifactsInput!$N$15+1,25,30,35,40,45,50)/100*(Inputs!$B$11-Inputs!$B$11),0))/100)/2</f>
        <v/>
      </c>
      <c r="M393">
        <f>L393*(1+(Inputs!$B$10+((C403=TRUE)*(F403-Calc!F27))+B417+(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393">
        <f>L393*(1-MIN((Inputs!$B$9+((C402=TRUE)*(F402-Calc!F26))+B410+(ArtifactsInput!$M$24-ArtifactsInput!$M$24)*CHOOSE(ArtifactsInput!$N$24+1,10,12,14,16,18,20)+(IF(AND(Inputs!$B$39&lt;&gt;"pvp",Inputs!$B$44=0),1,IF(IF(Inputs!$B$39="pvp",15,Inputs!$B$44)-(B421)&lt;=0,1,MAX(0,IF(Inputs!$B$39="pvp",15,Inputs!$B$44)-MAX(5,B421))/(IF(Inputs!$B$39="pvp",15,Inputs!$B$44)-(B421))))*IF(AND(ArtifactsInput!$M$42,((Inputs!$B$9+((C402=TRUE)*(F402-Calc!F26))+B410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393*(MIN((Inputs!$B$9+((C402=TRUE)*(F402-Calc!F26))+B410+(ArtifactsInput!$M$24-ArtifactsInput!$M$24)*CHOOSE(ArtifactsInput!$N$24+1,10,12,14,16,18,20)+(IF(AND(Inputs!$B$39&lt;&gt;"pvp",Inputs!$B$44=0),1,IF(IF(Inputs!$B$39="pvp",15,Inputs!$B$44)-(B421)&lt;=0,1,MAX(0,IF(Inputs!$B$39="pvp",15,Inputs!$B$44)-MAX(5,B421))/(IF(Inputs!$B$39="pvp",15,Inputs!$B$44)-(B421))))*IF(AND(ArtifactsInput!$M$42,((Inputs!$B$9+((C402=TRUE)*(F402-Calc!F26))+B410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393">
        <f>(1-Summary!$B$11)*T393+Summary!$B$11*V393</f>
        <v/>
      </c>
      <c r="P393">
        <f>IF(B422=0,0,O393/B422)</f>
        <v/>
      </c>
      <c r="Q393" t="n">
        <v>0</v>
      </c>
      <c r="R393" t="n">
        <v>0</v>
      </c>
      <c r="S393">
        <f>IFERROR(O393/N393,0)</f>
        <v/>
      </c>
      <c r="T393">
        <f>IF(C393,(Inputs!$B$38*0.2*N393)*IF(Inputs!$B$39="pvp",1,1+(Inputs!$B$20+0+Skills!P17+B411+(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Hunt"),CHOOSE(ArtifactsInput!$N$35+1,15,18,21,24,27,30)*(1-EXP(-(0.2*B414)*5)),0)+IF(AND(ArtifactsInput!$M$22,Inputs!$B$4&lt;&gt;"Chapter Hunt"),CHOOSE(ArtifactsInput!$N$22+1,10,12,14,16,18,20)*((0*(((0.15*B414*5))^0/1)+1*(((0.15*B414*5))^1/1)+2*(((0.15*B414*5))^2/2)+3*(((0.15*B414*5))^3/6)+4*(((0.15*B414*5))^4/24)+5*(((0.15*B414*5))^5/120))/((((0.15*B414*5))^0/1)+(((0.15*B414*5))^1/1)+(((0.15*B414*5))^2/2)+(((0.15*B414*5))^3/6)+(((0.15*B414*5))^4/24)+(((0.15*B414*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393*(1-MIN(100,(Inputs!$B$9+((C402=TRUE)*(F402-Calc!F26))+B410+(ArtifactsInput!$M$24-ArtifactsInput!$M$24)*CHOOSE(ArtifactsInput!$N$24+1,10,12,14,16,18,20)+(IF(AND(Inputs!$B$39&lt;&gt;"pvp",Inputs!$B$44=0),1,IF(IF(Inputs!$B$39="pvp",15,Inputs!$B$44)-(B421)&lt;=0,1,MAX(0,IF(Inputs!$B$39="pvp",15,Inputs!$B$44)-MAX(5,B421))/(IF(Inputs!$B$39="pvp",15,Inputs!$B$44)-(B421))))*IF(AND(ArtifactsInput!$M$42,((Inputs!$B$9+((C402=TRUE)*(F402-Calc!F26))+B410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393*(MIN(100,(Inputs!$B$9+((C402=TRUE)*(F402-Calc!F26))+B410+(ArtifactsInput!$M$24-ArtifactsInput!$M$24)*CHOOSE(ArtifactsInput!$N$24+1,10,12,14,16,18,20)+(IF(AND(Inputs!$B$39&lt;&gt;"pvp",Inputs!$B$44=0),1,IF(IF(Inputs!$B$39="pvp",15,Inputs!$B$44)-(B421)&lt;=0,1,MAX(0,IF(Inputs!$B$39="pvp",15,Inputs!$B$44)-MAX(5,B421))/(IF(Inputs!$B$39="pvp",15,Inputs!$B$44)-(B421))))*IF(AND(ArtifactsInput!$M$42,((Inputs!$B$9+((C402=TRUE)*(F402-Calc!F26))+B410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393*(1-MIN(100,(Inputs!$B$9+((C402=TRUE)*(F402-Calc!F26))+B410+(ArtifactsInput!$M$24-ArtifactsInput!$M$24)*CHOOSE(ArtifactsInput!$N$24+1,10,12,14,16,18,20)+(IF(AND(Inputs!$B$39&lt;&gt;"pvp",Inputs!$B$44=0),1,IF(IF(Inputs!$B$39="pvp",15,Inputs!$B$44)-(B421)&lt;=0,1,MAX(0,IF(Inputs!$B$39="pvp",15,Inputs!$B$44)-MAX(5,B421))/(IF(Inputs!$B$39="pvp",15,Inputs!$B$44)-(B421))))*IF(AND(ArtifactsInput!$M$42,((Inputs!$B$9+((C402=TRUE)*(F402-Calc!F26))+B410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393*(MIN(100,(Inputs!$B$9+((C402=TRUE)*(F402-Calc!F26))+B410+(ArtifactsInput!$M$24-ArtifactsInput!$M$24)*CHOOSE(ArtifactsInput!$N$24+1,10,12,14,16,18,20)+(IF(AND(Inputs!$B$39&lt;&gt;"pvp",Inputs!$B$44=0),1,IF(IF(Inputs!$B$39="pvp",15,Inputs!$B$44)-(B421)&lt;=0,1,MAX(0,IF(Inputs!$B$39="pvp",15,Inputs!$B$44)-MAX(5,B421))/(IF(Inputs!$B$39="pvp",15,Inputs!$B$44)-(B421))))*IF(AND(ArtifactsInput!$M$42,((Inputs!$B$9+((C402=TRUE)*(F402-Calc!F26))+B410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393">
        <f>IF(C393,(Inputs!$B$38*0.2*N393)*IF(Inputs!$B$39="pvp",1,(1+((Inputs!$B$21+1)+Skills!Q17+B411+(IF(ArtifactsInput!$M$33,CHOOSE(ArtifactsInput!$N$33+1,30,36,42,48,54,60),0))+(IF(AND(ArtifactsInput!$M$35,Inputs!$B$4&lt;&gt;"Chapter Hunt"),CHOOSE(ArtifactsInput!$N$35+1,15,18,21,24,27,30)*(1-EXP(-(0.2*B414)*5)),0)+IF(AND(ArtifactsInput!$M$22,Inputs!$B$4&lt;&gt;"Chapter Hunt"),CHOOSE(ArtifactsInput!$N$22+1,10,12,14,16,18,20)*((0*(((0.15*B414*5))^0/1)+1*(((0.15*B414*5))^1/1)+2*(((0.15*B414*5))^2/2)+3*(((0.15*B414*5))^3/6)+4*(((0.15*B414*5))^4/24)+5*(((0.15*B414*5))^5/120))/((((0.15*B414*5))^0/1)+(((0.15*B414*5))^1/1)+(((0.15*B414*5))^2/2)+(((0.15*B414*5))^3/6)+(((0.15*B414*5))^4/24)+(((0.15*B414*5))^5/120))),0)))/100)*(MIN(Skills!W17,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394">
      <c r="A394">
        <f>Skills!A18</f>
        <v/>
      </c>
      <c r="B394">
        <f>Skills!B18</f>
        <v/>
      </c>
      <c r="C394">
        <f>Inputs!$B$3&gt;=115</f>
        <v/>
      </c>
      <c r="D394">
        <f>IF(Skills!C18=1,60+Inputs!$B$25+Inputs!$B$29,IF(Skills!C18=2,90+Inputs!$B$26+Inputs!$B$29,IF(Skills!C18=3,120+Inputs!$B$27+Inputs!$B$29,MAX(0,(Inputs!$B$3-100)*3)+Inputs!$B$28+Inputs!$B$29)))</f>
        <v/>
      </c>
      <c r="E394">
        <f>INDEX(FactorTable!$B$2:$Y$301, MATCH(ROUND(MIN(300,MAX(1,D394)),0), FactorTable!$A$2:$A$301,0), Skills!M18+1)</f>
        <v/>
      </c>
      <c r="F394">
        <f>IF(Skills!N18=TRUE,(Skills!L18/10)*(E394/1000),Skills!L18/10)+Skills!O18</f>
        <v/>
      </c>
      <c r="G394">
        <f>Skills!G18*IF(Skills!H18&gt;0,IF(Inputs!$B$39="pvp",MIN(Skills!I18,15),Skills!I18)/Skills!H18,1)</f>
        <v/>
      </c>
      <c r="H394">
        <f>1-(1-Skills!J18/100)^Skills!K18</f>
        <v/>
      </c>
      <c r="I394" t="inlineStr">
        <is>
          <t>1</t>
        </is>
      </c>
      <c r="J394" t="inlineStr"/>
      <c r="K394" t="inlineStr"/>
      <c r="L394" t="inlineStr"/>
      <c r="M394" t="inlineStr"/>
      <c r="N394" t="inlineStr"/>
      <c r="O394">
        <f>(1-Summary!$B$11)*T394+Summary!$B$11*V394</f>
        <v/>
      </c>
      <c r="P394">
        <f>IF(B422=0,0,O394/B422)</f>
        <v/>
      </c>
      <c r="Q394" t="n">
        <v>0</v>
      </c>
      <c r="R394" t="n">
        <v>0</v>
      </c>
      <c r="S394">
        <f>IFERROR(O394/N394,0)</f>
        <v/>
      </c>
      <c r="T394" t="n">
        <v>0</v>
      </c>
      <c r="V394" t="n">
        <v>0</v>
      </c>
    </row>
    <row r="395">
      <c r="A395">
        <f>Skills!A19</f>
        <v/>
      </c>
      <c r="B395">
        <f>Skills!B19</f>
        <v/>
      </c>
      <c r="C395">
        <f>Inputs!$B$3&gt;=100</f>
        <v/>
      </c>
      <c r="D395">
        <f>IF(Skills!C19=1,60+Inputs!$B$25+Inputs!$B$29,IF(Skills!C19=2,90+Inputs!$B$26+Inputs!$B$29,IF(Skills!C19=3,120+Inputs!$B$27+Inputs!$B$29,MAX(0,(Inputs!$B$3-100)*3)+Inputs!$B$28+Inputs!$B$29)))</f>
        <v/>
      </c>
      <c r="E395">
        <f>INDEX(FactorTable!$B$2:$Y$301, MATCH(ROUND(MIN(300,MAX(1,D395)),0), FactorTable!$A$2:$A$301,0), Skills!M19+1)</f>
        <v/>
      </c>
      <c r="F395">
        <f>IF(Skills!N19=TRUE,(Skills!L19/10)*(E395/1000),Skills!L19/10)+Skills!O19</f>
        <v/>
      </c>
      <c r="G395">
        <f>Skills!G19*IF(Skills!H19&gt;0,IF(Inputs!$B$39="pvp",MIN(Skills!I19,15),Skills!I19)/Skills!H19,1)</f>
        <v/>
      </c>
      <c r="H395">
        <f>1-(1-Skills!J19/100)^Skills!K19</f>
        <v/>
      </c>
      <c r="I395" t="inlineStr">
        <is>
          <t>1</t>
        </is>
      </c>
      <c r="J395" t="inlineStr"/>
      <c r="K395" t="inlineStr"/>
      <c r="L395" t="inlineStr"/>
      <c r="M395" t="inlineStr"/>
      <c r="N395" t="inlineStr"/>
      <c r="O395">
        <f>(1-Summary!$B$11)*T395+Summary!$B$11*V395</f>
        <v/>
      </c>
      <c r="P395">
        <f>IF(B422=0,0,O395/B422)</f>
        <v/>
      </c>
      <c r="Q395" t="n">
        <v>0</v>
      </c>
      <c r="R395" t="n">
        <v>0</v>
      </c>
      <c r="S395">
        <f>IFERROR(O395/N395,0)</f>
        <v/>
      </c>
      <c r="T395" t="n">
        <v>0</v>
      </c>
      <c r="V395" t="n">
        <v>0</v>
      </c>
    </row>
    <row r="396">
      <c r="A396">
        <f>Skills!A20</f>
        <v/>
      </c>
      <c r="B396">
        <f>Skills!B20</f>
        <v/>
      </c>
      <c r="C396">
        <f>TRUE</f>
        <v/>
      </c>
      <c r="D396">
        <f>IF(Skills!C20=1,60+Inputs!$B$25+Inputs!$B$29,IF(Skills!C20=2,90+Inputs!$B$26+Inputs!$B$29,IF(Skills!C20=3,120+Inputs!$B$27+Inputs!$B$29,MAX(0,(Inputs!$B$3-100)*3)+Inputs!$B$28+Inputs!$B$29)))</f>
        <v/>
      </c>
      <c r="E396">
        <f>INDEX(FactorTable!$B$2:$Y$301, MATCH(ROUND(MIN(300,MAX(1,D396)),0), FactorTable!$A$2:$A$301,0), Skills!M20+1)</f>
        <v/>
      </c>
      <c r="F396">
        <f>IF(Skills!N20=TRUE,(Skills!L20/10)*(E396/1000),Skills!L20/10)+Skills!O20</f>
        <v/>
      </c>
      <c r="G396">
        <f>Skills!G20*IF(Skills!H20&gt;0,IF(Inputs!$B$39="pvp",MIN(Skills!I20,15),Skills!I20)/Skills!H20,1)</f>
        <v/>
      </c>
      <c r="H396">
        <f>1-(1-Skills!J20/100)^Skills!K20</f>
        <v/>
      </c>
      <c r="I396" t="inlineStr">
        <is>
          <t>1</t>
        </is>
      </c>
      <c r="J396" t="inlineStr"/>
      <c r="K396" t="inlineStr"/>
      <c r="L396" t="inlineStr"/>
      <c r="M396" t="inlineStr"/>
      <c r="N396" t="inlineStr"/>
      <c r="O396">
        <f>(1-Summary!$B$11)*T396+Summary!$B$11*V396</f>
        <v/>
      </c>
      <c r="P396">
        <f>IF(B422=0,0,O396/B422)</f>
        <v/>
      </c>
      <c r="Q396">
        <f>IFERROR(1/IF(Inputs!$B$39="pvp",15,MAX(0.1,Skills!D20-IF(TRUE=TRUE,Inputs!$B$32,0))),0)</f>
        <v/>
      </c>
      <c r="R396">
        <f>IF(AND(Inputs!$B$39&lt;&gt;"pvp",Inputs!$B$44&gt;0),IF(Inputs!$B$44&lt;=0,0,(INT(Inputs!$B$44/IF(Inputs!$B$39="pvp",15,MAX(0.1,Skills!D20-IF(TRUE=TRUE,Inputs!$B$32,0))))+1)),0)</f>
        <v/>
      </c>
      <c r="S396">
        <f>IFERROR(O396/N396,0)</f>
        <v/>
      </c>
      <c r="T396" t="n">
        <v>0</v>
      </c>
      <c r="V396" t="n">
        <v>0</v>
      </c>
    </row>
    <row r="397">
      <c r="A397">
        <f>Skills!A21</f>
        <v/>
      </c>
      <c r="B397">
        <f>Skills!B21</f>
        <v/>
      </c>
      <c r="C397">
        <f>Inputs!$B$3&gt;=15</f>
        <v/>
      </c>
      <c r="D397">
        <f>IF(Skills!C21=1,60+Inputs!$B$25+Inputs!$B$29,IF(Skills!C21=2,90+Inputs!$B$26+Inputs!$B$29,IF(Skills!C21=3,120+Inputs!$B$27+Inputs!$B$29,MAX(0,(Inputs!$B$3-100)*3)+Inputs!$B$28+Inputs!$B$29)))</f>
        <v/>
      </c>
      <c r="E397">
        <f>INDEX(FactorTable!$B$2:$Y$301, MATCH(ROUND(MIN(300,MAX(1,D397)),0), FactorTable!$A$2:$A$301,0), Skills!M21+1)</f>
        <v/>
      </c>
      <c r="F397">
        <f>IF(Skills!N21=TRUE,(Skills!L21/10)*(E397/1000),Skills!L21/10)+Skills!O21</f>
        <v/>
      </c>
      <c r="G397">
        <f>Skills!G21*IF(Skills!H21&gt;0,IF(Inputs!$B$39="pvp",MIN(Skills!I21,15),Skills!I21)/Skills!H21,1)</f>
        <v/>
      </c>
      <c r="H397">
        <f>1-(1-Skills!J21/100)^Skills!K21</f>
        <v/>
      </c>
      <c r="I397" t="inlineStr">
        <is>
          <t>1</t>
        </is>
      </c>
      <c r="J397" t="inlineStr"/>
      <c r="K397" t="inlineStr"/>
      <c r="L397" t="inlineStr"/>
      <c r="M397" t="inlineStr"/>
      <c r="N397" t="inlineStr"/>
      <c r="O397">
        <f>(1-Summary!$B$11)*T397+Summary!$B$11*V397</f>
        <v/>
      </c>
      <c r="P397">
        <f>IF(B422=0,0,O397/B422)</f>
        <v/>
      </c>
      <c r="Q397">
        <f>IFERROR(1/IF(Inputs!$B$39="pvp",15,MAX(0.1,Skills!D21-IF(TRUE=TRUE,Inputs!$B$32,0))),0)</f>
        <v/>
      </c>
      <c r="R397">
        <f>IF(AND(Inputs!$B$39&lt;&gt;"pvp",Inputs!$B$44&gt;0),IF(Inputs!$B$44&lt;=0,0,(INT(Inputs!$B$44/IF(Inputs!$B$39="pvp",15,MAX(0.1,Skills!D21-IF(TRUE=TRUE,Inputs!$B$32,0))))+1)),0)</f>
        <v/>
      </c>
      <c r="S397">
        <f>IFERROR(O397/N397,0)</f>
        <v/>
      </c>
      <c r="T397" t="n">
        <v>0</v>
      </c>
      <c r="V397" t="n">
        <v>0</v>
      </c>
    </row>
    <row r="398">
      <c r="A398">
        <f>Skills!A22</f>
        <v/>
      </c>
      <c r="B398">
        <f>Skills!B22</f>
        <v/>
      </c>
      <c r="C398">
        <f>Inputs!$B$3&gt;=15</f>
        <v/>
      </c>
      <c r="D398">
        <f>IF(Skills!C22=1,60+Inputs!$B$25+Inputs!$B$29,IF(Skills!C22=2,90+Inputs!$B$26+Inputs!$B$29,IF(Skills!C22=3,120+Inputs!$B$27+Inputs!$B$29,MAX(0,(Inputs!$B$3-100)*3)+Inputs!$B$28+Inputs!$B$29)))</f>
        <v/>
      </c>
      <c r="E398">
        <f>INDEX(FactorTable!$B$2:$Y$301, MATCH(ROUND(MIN(300,MAX(1,D398)),0), FactorTable!$A$2:$A$301,0), Skills!M22+1)</f>
        <v/>
      </c>
      <c r="F398">
        <f>IF(Skills!N22=TRUE,(Skills!L22/10)*(E398/1000),Skills!L22/10)+Skills!O22</f>
        <v/>
      </c>
      <c r="G398">
        <f>Skills!G22*IF(Skills!H22&gt;0,IF(Inputs!$B$39="pvp",MIN(Skills!I22,15),Skills!I22)/Skills!H22,1)</f>
        <v/>
      </c>
      <c r="H398">
        <f>1-(1-Skills!J22/100)^Skills!K22</f>
        <v/>
      </c>
      <c r="I398" t="inlineStr">
        <is>
          <t>1</t>
        </is>
      </c>
      <c r="J398" t="inlineStr"/>
      <c r="K398" t="inlineStr"/>
      <c r="L398" t="inlineStr"/>
      <c r="M398" t="inlineStr"/>
      <c r="N398" t="inlineStr"/>
      <c r="O398">
        <f>(1-Summary!$B$11)*T398+Summary!$B$11*V398</f>
        <v/>
      </c>
      <c r="P398">
        <f>IF(B422=0,0,O398/B422)</f>
        <v/>
      </c>
      <c r="Q398">
        <f>IFERROR(1/IF(Inputs!$B$39="pvp",15,MAX(0.1,Skills!D22-IF(TRUE=TRUE,Inputs!$B$32,0))),0)</f>
        <v/>
      </c>
      <c r="R398">
        <f>IF(AND(Inputs!$B$39&lt;&gt;"pvp",Inputs!$B$44&gt;0),IF(Inputs!$B$44&lt;=0,0,(INT(Inputs!$B$44/IF(Inputs!$B$39="pvp",15,MAX(0.1,Skills!D22-IF(TRUE=TRUE,Inputs!$B$32,0))))+1)),0)</f>
        <v/>
      </c>
      <c r="S398">
        <f>IFERROR(O398/N398,0)</f>
        <v/>
      </c>
      <c r="T398" t="n">
        <v>0</v>
      </c>
      <c r="V398" t="n">
        <v>0</v>
      </c>
    </row>
    <row r="399">
      <c r="A399">
        <f>Skills!A23</f>
        <v/>
      </c>
      <c r="B399">
        <f>Skills!B23</f>
        <v/>
      </c>
      <c r="C399">
        <f>Inputs!$B$3&gt;=33</f>
        <v/>
      </c>
      <c r="D399">
        <f>IF(Skills!C23=1,60+Inputs!$B$25+Inputs!$B$29,IF(Skills!C23=2,90+Inputs!$B$26+Inputs!$B$29,IF(Skills!C23=3,120+Inputs!$B$27+Inputs!$B$29,MAX(0,(Inputs!$B$3-100)*3)+Inputs!$B$28+Inputs!$B$29)))</f>
        <v/>
      </c>
      <c r="E399">
        <f>INDEX(FactorTable!$B$2:$Y$301, MATCH(ROUND(MIN(300,MAX(1,D399)),0), FactorTable!$A$2:$A$301,0), Skills!M23+1)</f>
        <v/>
      </c>
      <c r="F399">
        <f>IF(Skills!N23=TRUE,(Skills!L23/10)*(E399/1000),Skills!L23/10)+Skills!O23</f>
        <v/>
      </c>
      <c r="G399">
        <f>Skills!G23*IF(Skills!H23&gt;0,IF(Inputs!$B$39="pvp",MIN(Skills!I23,15),Skills!I23)/Skills!H23,1)</f>
        <v/>
      </c>
      <c r="H399">
        <f>1-(1-Skills!J23/100)^Skills!K23</f>
        <v/>
      </c>
      <c r="I399" t="inlineStr">
        <is>
          <t>1</t>
        </is>
      </c>
      <c r="J399" t="inlineStr"/>
      <c r="K399" t="inlineStr"/>
      <c r="L399" t="inlineStr"/>
      <c r="M399" t="inlineStr"/>
      <c r="N399" t="inlineStr"/>
      <c r="O399">
        <f>(1-Summary!$B$11)*T399+Summary!$B$11*V399</f>
        <v/>
      </c>
      <c r="P399">
        <f>IF(B422=0,0,O399/B422)</f>
        <v/>
      </c>
      <c r="Q399" t="n">
        <v>0</v>
      </c>
      <c r="R399" t="n">
        <v>0</v>
      </c>
      <c r="S399">
        <f>IFERROR(O399/N399,0)</f>
        <v/>
      </c>
      <c r="T399" t="n">
        <v>0</v>
      </c>
      <c r="V399" t="n">
        <v>0</v>
      </c>
    </row>
    <row r="400">
      <c r="A400">
        <f>Skills!A24</f>
        <v/>
      </c>
      <c r="B400">
        <f>Skills!B24</f>
        <v/>
      </c>
      <c r="C400">
        <f>Inputs!$B$3&gt;=40</f>
        <v/>
      </c>
      <c r="D400">
        <f>IF(Skills!C24=1,60+Inputs!$B$25+Inputs!$B$29,IF(Skills!C24=2,90+Inputs!$B$26+Inputs!$B$29,IF(Skills!C24=3,120+Inputs!$B$27+Inputs!$B$29,MAX(0,(Inputs!$B$3-100)*3)+Inputs!$B$28+Inputs!$B$29)))</f>
        <v/>
      </c>
      <c r="E400">
        <f>INDEX(FactorTable!$B$2:$Y$301, MATCH(ROUND(MIN(300,MAX(1,D400)),0), FactorTable!$A$2:$A$301,0), Skills!M24+1)</f>
        <v/>
      </c>
      <c r="F400">
        <f>IF(Skills!N24=TRUE,(Skills!L24/10)*(E400/1000),Skills!L24/10)+Skills!O24</f>
        <v/>
      </c>
      <c r="G400">
        <f>Skills!G24*IF(Skills!H24&gt;0,IF(Inputs!$B$39="pvp",MIN(Skills!I24,15),Skills!I24)/Skills!H24,1)</f>
        <v/>
      </c>
      <c r="H400">
        <f>1-(1-Skills!J24/100)^Skills!K24</f>
        <v/>
      </c>
      <c r="I400" t="inlineStr">
        <is>
          <t>1</t>
        </is>
      </c>
      <c r="J400" t="inlineStr"/>
      <c r="K400" t="inlineStr"/>
      <c r="L400" t="inlineStr"/>
      <c r="M400" t="inlineStr"/>
      <c r="N400" t="inlineStr"/>
      <c r="O400">
        <f>(1-Summary!$B$11)*T400+Summary!$B$11*V400</f>
        <v/>
      </c>
      <c r="P400">
        <f>IF(B422=0,0,O400/B422)</f>
        <v/>
      </c>
      <c r="Q400" t="n">
        <v>0</v>
      </c>
      <c r="R400" t="n">
        <v>0</v>
      </c>
      <c r="S400">
        <f>IFERROR(O400/N400,0)</f>
        <v/>
      </c>
      <c r="T400" t="n">
        <v>0</v>
      </c>
      <c r="V400" t="n">
        <v>0</v>
      </c>
    </row>
    <row r="401">
      <c r="A401">
        <f>Skills!A25</f>
        <v/>
      </c>
      <c r="B401">
        <f>Skills!B25</f>
        <v/>
      </c>
      <c r="C401">
        <f>Inputs!$B$3&gt;=43</f>
        <v/>
      </c>
      <c r="D401">
        <f>IF(Skills!C25=1,60+Inputs!$B$25+Inputs!$B$29,IF(Skills!C25=2,90+Inputs!$B$26+Inputs!$B$29,IF(Skills!C25=3,120+Inputs!$B$27+Inputs!$B$29,MAX(0,(Inputs!$B$3-100)*3)+Inputs!$B$28+Inputs!$B$29)))</f>
        <v/>
      </c>
      <c r="E401">
        <f>INDEX(FactorTable!$B$2:$Y$301, MATCH(ROUND(MIN(300,MAX(1,D401)),0), FactorTable!$A$2:$A$301,0), Skills!M25+1)</f>
        <v/>
      </c>
      <c r="F401">
        <f>IF(Skills!N25=TRUE,(Skills!L25/10)*(E401/1000),Skills!L25/10)+Skills!O25</f>
        <v/>
      </c>
      <c r="G401">
        <f>Skills!G25*IF(Skills!H25&gt;0,IF(Inputs!$B$39="pvp",MIN(Skills!I25,15),Skills!I25)/Skills!H25,1)</f>
        <v/>
      </c>
      <c r="H401">
        <f>1-(1-Skills!J25/100)^Skills!K25</f>
        <v/>
      </c>
      <c r="I401" t="inlineStr">
        <is>
          <t>1</t>
        </is>
      </c>
      <c r="J401" t="inlineStr"/>
      <c r="K401" t="inlineStr"/>
      <c r="L401" t="inlineStr"/>
      <c r="M401" t="inlineStr"/>
      <c r="N401" t="inlineStr"/>
      <c r="O401">
        <f>(1-Summary!$B$11)*T401+Summary!$B$11*V401</f>
        <v/>
      </c>
      <c r="P401">
        <f>IF(B422=0,0,O401/B422)</f>
        <v/>
      </c>
      <c r="Q401" t="n">
        <v>0</v>
      </c>
      <c r="R401" t="n">
        <v>0</v>
      </c>
      <c r="S401">
        <f>IFERROR(O401/N401,0)</f>
        <v/>
      </c>
      <c r="T401" t="n">
        <v>0</v>
      </c>
      <c r="V401" t="n">
        <v>0</v>
      </c>
    </row>
    <row r="402">
      <c r="A402">
        <f>Skills!A26</f>
        <v/>
      </c>
      <c r="B402">
        <f>Skills!B26</f>
        <v/>
      </c>
      <c r="C402">
        <f>Inputs!$B$3&gt;=50</f>
        <v/>
      </c>
      <c r="D402">
        <f>IF(Skills!C26=1,60+Inputs!$B$25+Inputs!$B$29,IF(Skills!C26=2,90+Inputs!$B$26+Inputs!$B$29,IF(Skills!C26=3,120+Inputs!$B$27+Inputs!$B$29,MAX(0,(Inputs!$B$3-100)*3)+Inputs!$B$28+Inputs!$B$29)))</f>
        <v/>
      </c>
      <c r="E402">
        <f>INDEX(FactorTable!$B$2:$Y$301, MATCH(ROUND(MIN(300,MAX(1,D402)),0), FactorTable!$A$2:$A$301,0), Skills!M26+1)</f>
        <v/>
      </c>
      <c r="F402">
        <f>IF(Skills!N26=TRUE,(Skills!L26/10)*(E402/1000),Skills!L26/10)+Skills!O26</f>
        <v/>
      </c>
      <c r="G402">
        <f>Skills!G26*IF(Skills!H26&gt;0,IF(Inputs!$B$39="pvp",MIN(Skills!I26,15),Skills!I26)/Skills!H26,1)</f>
        <v/>
      </c>
      <c r="H402">
        <f>1-(1-Skills!J26/100)^Skills!K26</f>
        <v/>
      </c>
      <c r="I402" t="inlineStr">
        <is>
          <t>1</t>
        </is>
      </c>
      <c r="J402" t="inlineStr"/>
      <c r="K402" t="inlineStr"/>
      <c r="L402" t="inlineStr"/>
      <c r="M402" t="inlineStr"/>
      <c r="N402" t="inlineStr"/>
      <c r="O402">
        <f>(1-Summary!$B$11)*T402+Summary!$B$11*V402</f>
        <v/>
      </c>
      <c r="P402">
        <f>IF(B422=0,0,O402/B422)</f>
        <v/>
      </c>
      <c r="Q402" t="n">
        <v>0</v>
      </c>
      <c r="R402" t="n">
        <v>0</v>
      </c>
      <c r="S402">
        <f>IFERROR(O402/N402,0)</f>
        <v/>
      </c>
      <c r="T402" t="n">
        <v>0</v>
      </c>
      <c r="V402" t="n">
        <v>0</v>
      </c>
    </row>
    <row r="403">
      <c r="A403">
        <f>Skills!A27</f>
        <v/>
      </c>
      <c r="B403">
        <f>Skills!B27</f>
        <v/>
      </c>
      <c r="C403">
        <f>Inputs!$B$3&gt;=50</f>
        <v/>
      </c>
      <c r="D403">
        <f>IF(Skills!C27=1,60+Inputs!$B$25+Inputs!$B$29,IF(Skills!C27=2,90+Inputs!$B$26+Inputs!$B$29,IF(Skills!C27=3,120+Inputs!$B$27+Inputs!$B$29,MAX(0,(Inputs!$B$3-100)*3)+Inputs!$B$28+Inputs!$B$29)))</f>
        <v/>
      </c>
      <c r="E403">
        <f>INDEX(FactorTable!$B$2:$Y$301, MATCH(ROUND(MIN(300,MAX(1,D403)),0), FactorTable!$A$2:$A$301,0), Skills!M27+1)</f>
        <v/>
      </c>
      <c r="F403">
        <f>IF(Skills!N27=TRUE,(Skills!L27/10)*(E403/1000),Skills!L27/10)+Skills!O27</f>
        <v/>
      </c>
      <c r="G403">
        <f>Skills!G27*IF(Skills!H27&gt;0,IF(Inputs!$B$39="pvp",MIN(Skills!I27,15),Skills!I27)/Skills!H27,1)</f>
        <v/>
      </c>
      <c r="H403">
        <f>1-(1-Skills!J27/100)^Skills!K27</f>
        <v/>
      </c>
      <c r="I403" t="inlineStr">
        <is>
          <t>1</t>
        </is>
      </c>
      <c r="J403" t="inlineStr"/>
      <c r="K403" t="inlineStr"/>
      <c r="L403" t="inlineStr"/>
      <c r="M403" t="inlineStr"/>
      <c r="N403" t="inlineStr"/>
      <c r="O403">
        <f>(1-Summary!$B$11)*T403+Summary!$B$11*V403</f>
        <v/>
      </c>
      <c r="P403">
        <f>IF(B422=0,0,O403/B422)</f>
        <v/>
      </c>
      <c r="Q403" t="n">
        <v>0</v>
      </c>
      <c r="R403" t="n">
        <v>0</v>
      </c>
      <c r="S403">
        <f>IFERROR(O403/N403,0)</f>
        <v/>
      </c>
      <c r="T403" t="n">
        <v>0</v>
      </c>
      <c r="V403" t="n">
        <v>0</v>
      </c>
    </row>
    <row r="404">
      <c r="A404">
        <f>Skills!A28</f>
        <v/>
      </c>
      <c r="B404">
        <f>Skills!B28</f>
        <v/>
      </c>
      <c r="C404">
        <f>Inputs!$B$3&gt;=38</f>
        <v/>
      </c>
      <c r="D404">
        <f>IF(Skills!C28=1,60+Inputs!$B$25+Inputs!$B$29,IF(Skills!C28=2,90+Inputs!$B$26+Inputs!$B$29,IF(Skills!C28=3,120+Inputs!$B$27+Inputs!$B$29,MAX(0,(Inputs!$B$3-100)*3)+Inputs!$B$28+Inputs!$B$29)))</f>
        <v/>
      </c>
      <c r="E404">
        <f>INDEX(FactorTable!$B$2:$Y$301, MATCH(ROUND(MIN(300,MAX(1,D404)),0), FactorTable!$A$2:$A$301,0), Skills!M28+1)</f>
        <v/>
      </c>
      <c r="F404">
        <f>IF(Skills!N28=TRUE,(Skills!L28/10)*(E404/1000),Skills!L28/10)+Skills!O28</f>
        <v/>
      </c>
      <c r="G404">
        <f>Skills!G28*IF(Skills!H28&gt;0,IF(Inputs!$B$39="pvp",MIN(Skills!I28,15),Skills!I28)/Skills!H28,1)</f>
        <v/>
      </c>
      <c r="H404">
        <f>1-(1-Skills!J28/100)^Skills!K28</f>
        <v/>
      </c>
      <c r="I404" t="inlineStr">
        <is>
          <t>1</t>
        </is>
      </c>
      <c r="J404" t="inlineStr"/>
      <c r="K404" t="inlineStr"/>
      <c r="L404" t="inlineStr"/>
      <c r="M404" t="inlineStr"/>
      <c r="N404" t="inlineStr"/>
      <c r="O404">
        <f>(1-Summary!$B$11)*T404+Summary!$B$11*V404</f>
        <v/>
      </c>
      <c r="P404">
        <f>IF(B422=0,0,O404/B422)</f>
        <v/>
      </c>
      <c r="Q404" t="n">
        <v>0</v>
      </c>
      <c r="R404" t="n">
        <v>0</v>
      </c>
      <c r="S404">
        <f>IFERROR(O404/N404,0)</f>
        <v/>
      </c>
      <c r="T404" t="n">
        <v>0</v>
      </c>
      <c r="V404" t="n">
        <v>0</v>
      </c>
    </row>
    <row r="405">
      <c r="A405">
        <f>Skills!A29</f>
        <v/>
      </c>
      <c r="B405">
        <f>Skills!B29</f>
        <v/>
      </c>
      <c r="C405">
        <f>Inputs!$B$3&gt;=120</f>
        <v/>
      </c>
      <c r="D405">
        <f>IF(Skills!C29=1,60+Inputs!$B$25+Inputs!$B$29,IF(Skills!C29=2,90+Inputs!$B$26+Inputs!$B$29,IF(Skills!C29=3,120+Inputs!$B$27+Inputs!$B$29,MAX(0,(Inputs!$B$3-100)*3)+Inputs!$B$28+Inputs!$B$29)))</f>
        <v/>
      </c>
      <c r="E405">
        <f>INDEX(FactorTable!$B$2:$Y$301, MATCH(ROUND(MIN(300,MAX(1,D405)),0), FactorTable!$A$2:$A$301,0), Skills!M29+1)</f>
        <v/>
      </c>
      <c r="F405">
        <f>IF(Skills!N29=TRUE,(Skills!L29/10)*(E405/1000),Skills!L29/10)+Skills!O29</f>
        <v/>
      </c>
      <c r="G405">
        <f>Skills!G29*IF(Skills!H29&gt;0,IF(Inputs!$B$39="pvp",MIN(Skills!I29,15),Skills!I29)/Skills!H29,1)</f>
        <v/>
      </c>
      <c r="H405">
        <f>1-(1-Skills!J29/100)^Skills!K29</f>
        <v/>
      </c>
      <c r="I405" t="inlineStr">
        <is>
          <t>1</t>
        </is>
      </c>
      <c r="J405" t="inlineStr"/>
      <c r="K405" t="inlineStr"/>
      <c r="L405" t="inlineStr"/>
      <c r="M405" t="inlineStr"/>
      <c r="N405" t="inlineStr"/>
      <c r="O405">
        <f>(1-Summary!$B$11)*T405+Summary!$B$11*V405</f>
        <v/>
      </c>
      <c r="P405">
        <f>IF(B422=0,0,O405/B422)</f>
        <v/>
      </c>
      <c r="Q405" t="n">
        <v>0</v>
      </c>
      <c r="R405" t="n">
        <v>0</v>
      </c>
      <c r="S405">
        <f>IFERROR(O405/N405,0)</f>
        <v/>
      </c>
      <c r="T405" t="n">
        <v>0</v>
      </c>
      <c r="V405" t="n">
        <v>0</v>
      </c>
    </row>
    <row r="406">
      <c r="A406">
        <f>Skills!A30</f>
        <v/>
      </c>
      <c r="B406">
        <f>Skills!B30</f>
        <v/>
      </c>
      <c r="C406">
        <f>Inputs!$B$3&gt;=120</f>
        <v/>
      </c>
      <c r="D406">
        <f>IF(Skills!C30=1,60+Inputs!$B$25+Inputs!$B$29,IF(Skills!C30=2,90+Inputs!$B$26+Inputs!$B$29,IF(Skills!C30=3,120+Inputs!$B$27+Inputs!$B$29,MAX(0,(Inputs!$B$3-100)*3)+Inputs!$B$28+Inputs!$B$29)))</f>
        <v/>
      </c>
      <c r="E406">
        <f>INDEX(FactorTable!$B$2:$Y$301, MATCH(ROUND(MIN(300,MAX(1,D406)),0), FactorTable!$A$2:$A$301,0), Skills!M30+1)</f>
        <v/>
      </c>
      <c r="F406">
        <f>IF(Skills!N30=TRUE,(Skills!L30/10)*(E406/1000),Skills!L30/10)+Skills!O30</f>
        <v/>
      </c>
      <c r="G406">
        <f>Skills!G30*IF(Skills!H30&gt;0,IF(Inputs!$B$39="pvp",MIN(Skills!I30,15),Skills!I30)/Skills!H30,1)</f>
        <v/>
      </c>
      <c r="H406">
        <f>1-(1-Skills!J30/100)^Skills!K30</f>
        <v/>
      </c>
      <c r="I406" t="inlineStr">
        <is>
          <t>1</t>
        </is>
      </c>
      <c r="J406" t="inlineStr"/>
      <c r="K406" t="inlineStr"/>
      <c r="L406" t="inlineStr"/>
      <c r="M406" t="inlineStr"/>
      <c r="N406" t="inlineStr"/>
      <c r="O406">
        <f>(1-Summary!$B$11)*T406+Summary!$B$11*V406</f>
        <v/>
      </c>
      <c r="P406">
        <f>IF(B422=0,0,O406/B422)</f>
        <v/>
      </c>
      <c r="Q406" t="n">
        <v>0</v>
      </c>
      <c r="R406" t="n">
        <v>0</v>
      </c>
      <c r="S406">
        <f>IFERROR(O406/N406,0)</f>
        <v/>
      </c>
      <c r="T406" t="n">
        <v>0</v>
      </c>
      <c r="V406" t="n">
        <v>0</v>
      </c>
    </row>
    <row r="407">
      <c r="A407">
        <f>Skills!A31</f>
        <v/>
      </c>
      <c r="B407">
        <f>Skills!B31</f>
        <v/>
      </c>
      <c r="C407">
        <f>Inputs!$B$3&gt;=125</f>
        <v/>
      </c>
      <c r="D407">
        <f>IF(Skills!C31=1,60+Inputs!$B$25+Inputs!$B$29,IF(Skills!C31=2,90+Inputs!$B$26+Inputs!$B$29,IF(Skills!C31=3,120+Inputs!$B$27+Inputs!$B$29,MAX(0,(Inputs!$B$3-100)*3)+Inputs!$B$28+Inputs!$B$29)))</f>
        <v/>
      </c>
      <c r="E407">
        <f>INDEX(FactorTable!$B$2:$Y$301, MATCH(ROUND(MIN(300,MAX(1,D407)),0), FactorTable!$A$2:$A$301,0), Skills!M31+1)</f>
        <v/>
      </c>
      <c r="F407">
        <f>IF(Skills!N31=TRUE,(Skills!L31/10)*(E407/1000),Skills!L31/10)+Skills!O31</f>
        <v/>
      </c>
      <c r="G407">
        <f>Skills!G31*IF(Skills!H31&gt;0,IF(Inputs!$B$39="pvp",MIN(Skills!I31,15),Skills!I31)/Skills!H31,1)</f>
        <v/>
      </c>
      <c r="H407">
        <f>1-(1-Skills!J31/100)^Skills!K31</f>
        <v/>
      </c>
      <c r="I407" t="inlineStr">
        <is>
          <t>1</t>
        </is>
      </c>
      <c r="J407" t="inlineStr"/>
      <c r="K407" t="inlineStr"/>
      <c r="L407" t="inlineStr"/>
      <c r="M407" t="inlineStr"/>
      <c r="N407" t="inlineStr"/>
      <c r="O407">
        <f>(1-Summary!$B$11)*T407+Summary!$B$11*V407</f>
        <v/>
      </c>
      <c r="P407">
        <f>IF(B422=0,0,O407/B422)</f>
        <v/>
      </c>
      <c r="Q407" t="n">
        <v>0</v>
      </c>
      <c r="R407" t="n">
        <v>0</v>
      </c>
      <c r="S407">
        <f>IFERROR(O407/N407,0)</f>
        <v/>
      </c>
      <c r="T407" t="n">
        <v>0</v>
      </c>
      <c r="V407" t="n">
        <v>0</v>
      </c>
    </row>
    <row r="409">
      <c r="A409" t="inlineStr">
        <is>
          <t>Average Buff Multiplier</t>
        </is>
      </c>
      <c r="B409">
        <f>(1+(((C398=TRUE)*F398*IF(AND(Inputs!$B$39&lt;&gt;"pvp",Inputs!$B$44&gt;0),(((R398-1)*MIN((Skills!Y22*(1+Inputs!$B$34/100)),(1/Q398))+MIN((Skills!Y22*(1+Inputs!$B$34/100)),MAX(0,Inputs!$B$44-((R398-1)*(1/Q398)))))/Inputs!$B$44),IF(Inputs!$B$39="pvp",MIN((Skills!Y22*(1+Inputs!$B$34/100)),15)/15,MIN(1,(Skills!Y22*(1+Inputs!$B$34/100))/(1/Q398)))))+((C379=TRUE)*F379*3)+((C381=TRUE)*F381*(1-EXP(-0.75*B414*5)))+((C400=TRUE)*(F400-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387=TRUE)*F387*IF(AND(Inputs!$B$39&lt;&gt;"pvp",Inputs!$B$44&gt;0),(((R387-1)*MIN((Skills!Y11*(1+Inputs!$B$34/100)),(1/Q387))+MIN((Skills!Y11*(1+Inputs!$B$34/100)),MAX(0,Inputs!$B$44-((R387-1)*(1/Q387)))))/Inputs!$B$44),IF(Inputs!$B$39="pvp",MIN((Skills!Y11*(1+Inputs!$B$34/100)),15)/15,MIN(1,(Skills!Y11*(1+Inputs!$B$34/100))/(1/Q387)))))/100)*(1+((C392=TRUE)*F392*IF(AND(Inputs!$B$39&lt;&gt;"pvp",Inputs!$B$44&gt;0),(((R392-1)*MIN((Skills!Y16*(1+Inputs!$B$34/100)),(1/Q392))+MIN((Skills!Y16*(1+Inputs!$B$34/100)),MAX(0,Inputs!$B$44-((R392-1)*(1/Q392)))))/Inputs!$B$44),IF(Inputs!$B$39="pvp",MIN((Skills!Y16*(1+Inputs!$B$34/100)),15)/15,MIN(1,(Skills!Y16*(1+Inputs!$B$34/100))/(1/Q392)))))/100)</f>
        <v/>
      </c>
    </row>
    <row r="410">
      <c r="A410" t="inlineStr">
        <is>
          <t>Global Crit Rate Bonus %</t>
        </is>
      </c>
      <c r="B410">
        <f>((C397=TRUE)*F397*IF(AND(Inputs!$B$39&lt;&gt;"pvp",Inputs!$B$44&gt;0),(((R397-1)*MIN((Skills!Y21*(1+Inputs!$B$34/100)),(1/Q397))+MIN((Skills!Y21*(1+Inputs!$B$34/100)),MAX(0,Inputs!$B$44-((R397-1)*(1/Q397)))))/Inputs!$B$44),IF(Inputs!$B$39="pvp",MIN((Skills!Y21*(1+Inputs!$B$34/100)),15)/15,MIN(1,(Skills!Y21*(1+Inputs!$B$34/100))/(1/Q397)))))</f>
        <v/>
      </c>
    </row>
    <row r="411">
      <c r="A411" t="inlineStr">
        <is>
          <t>Global Monster Damage-Taken Bonus %</t>
        </is>
      </c>
      <c r="B411">
        <f>IF(Inputs!$B$3&gt;=82,15,0)</f>
        <v/>
      </c>
    </row>
    <row r="412">
      <c r="A412" t="inlineStr">
        <is>
          <t>Shadow Partner Average Multiplier</t>
        </is>
      </c>
      <c r="B412">
        <f>1+((C384=TRUE)*F384*(1+3.3333333333333335*IF(C395=TRUE,F395,0)/100)*I384*Skills!J8/100)/100</f>
        <v/>
      </c>
    </row>
    <row r="413">
      <c r="A413" t="inlineStr">
        <is>
          <t>Attack Speed Buff Bonus %</t>
        </is>
      </c>
      <c r="B413">
        <f>((C396=TRUE)*F396*IF(AND(Inputs!$B$39&lt;&gt;"pvp",Inputs!$B$44&gt;0),(((R396-1)*MIN((Skills!Y20*(1+Inputs!$B$34/100)),(1/Q396))+MIN((Skills!Y20*(1+Inputs!$B$34/100)),MAX(0,Inputs!$B$44-((R396-1)*(1/Q396)))))/Inputs!$B$44),IF(Inputs!$B$39="pvp",MIN((Skills!Y20*(1+Inputs!$B$34/100)),15)/15,MIN(1,(Skills!Y20*(1+Inputs!$B$34/100))/(1/Q396)))))</f>
        <v/>
      </c>
    </row>
    <row r="414">
      <c r="A414" t="inlineStr">
        <is>
          <t>Actions Per Second</t>
        </is>
      </c>
      <c r="B414">
        <f>1+MIN(150,150*(1-(1-(Inputs!$B$11+((C399=TRUE)*(F399-Calc!F23)))/150)*(1-B413/150)))/100</f>
        <v/>
      </c>
    </row>
    <row r="415">
      <c r="A415" t="inlineStr">
        <is>
          <t>Skill + Buff Cast Rate</t>
        </is>
      </c>
      <c r="B415">
        <f>IF(AND(Inputs!$B$39&lt;&gt;"pvp",Inputs!$B$44&gt;0),SUMPRODUCT((Skills!E2:E31=TRUE)*(C378:C407=TRUE)*R378:R407*Skills!F2:F31)/Inputs!$B$44,SUMPRODUCT((Skills!E2:E31=TRUE)*(C378:C407=TRUE)*Q378:Q407*Skills!F2:F31))</f>
        <v/>
      </c>
    </row>
    <row r="416">
      <c r="A416" t="inlineStr">
        <is>
          <t>Cruel Stab Casts Per Second</t>
        </is>
      </c>
      <c r="B416">
        <f>MAX(0,B414-B415)</f>
        <v/>
      </c>
    </row>
    <row r="417">
      <c r="A417" t="inlineStr">
        <is>
          <t>Global Critical Damage Bonus % (Smokescreen Mastery Lv.113)</t>
        </is>
      </c>
      <c r="B417">
        <f>IF(Inputs!$B$3&gt;=113,30,0)*IF(AND(Inputs!$B$39&lt;&gt;"pvp",Inputs!$B$44&gt;0),(((R392-1)*MIN((Skills!Y16*(1+Inputs!$B$34/100)),(1/Q392))+MIN((Skills!Y16*(1+Inputs!$B$34/100)),MAX(0,Inputs!$B$44-((R392-1)*(1/Q392)))))/Inputs!$B$44),IF(Inputs!$B$39="pvp",MIN((Skills!Y16*(1+Inputs!$B$34/100)),15)/15,MIN(1,(Skills!Y16*(1+Inputs!$B$34/100))/(1/Q392))))</f>
        <v/>
      </c>
    </row>
    <row r="418">
      <c r="A418" t="inlineStr">
        <is>
          <t>Meso Explosion average stack count</t>
        </is>
      </c>
      <c r="B418">
        <f>MIN(10,IF(Inputs!$B$3&gt;=75,0.75,0.5)*B414*(1/Q380))</f>
        <v/>
      </c>
    </row>
    <row r="419">
      <c r="A419" t="inlineStr">
        <is>
          <t>Blood Money average stack count</t>
        </is>
      </c>
      <c r="B419">
        <f>MIN(5,0.5*IF(Inputs!$B$3&gt;=75,0.75,0.5)*B414*(1/Q380))</f>
        <v/>
      </c>
    </row>
    <row r="420">
      <c r="A420" t="inlineStr">
        <is>
          <t>Assassinate Murderous Intent Multiplier</t>
        </is>
      </c>
      <c r="B420">
        <f>1+IFERROR(MIN(1,Q391*2/Q388),0)</f>
        <v/>
      </c>
    </row>
    <row r="421">
      <c r="A421" t="inlineStr">
        <is>
          <t>Buff-Casting Startup Delay (s, fixed-duration only)</t>
        </is>
      </c>
      <c r="B421">
        <f>IF(AND(Inputs!$B$39&lt;&gt;"pvp",Inputs!$B$44&gt;0),SUMPRODUCT((Skills!Y2:Y31&gt;0)*(Skills!E2:E31=TRUE)*(C378:C407=TRUE))/B414,0)</f>
        <v/>
      </c>
    </row>
    <row r="422">
      <c r="A422" s="6" t="inlineStr">
        <is>
          <t>TOTAL DPS</t>
        </is>
      </c>
      <c r="B422" s="6">
        <f>SUM(O378:O407)</f>
        <v/>
      </c>
    </row>
    <row r="423">
      <c r="A423" t="inlineStr">
        <is>
          <t>Boss-Only Total DPS (this block's swept value)</t>
        </is>
      </c>
      <c r="B423">
        <f>SUM(T378:T407)</f>
        <v/>
      </c>
    </row>
    <row r="424">
      <c r="A424" t="inlineStr">
        <is>
          <t>Normal-Only Total DPS (this block's swept value)</t>
        </is>
      </c>
      <c r="B424">
        <f>SUM(V378:V407)</f>
        <v/>
      </c>
    </row>
    <row r="427">
      <c r="A427" s="6" t="inlineStr">
        <is>
          <t>Stat: FINAL_DAMAGE % (multiplicative source)</t>
        </is>
      </c>
    </row>
    <row r="428">
      <c r="A428" s="5" t="inlineStr">
        <is>
          <t>Key</t>
        </is>
      </c>
      <c r="B428" s="5" t="inlineStr">
        <is>
          <t>Name</t>
        </is>
      </c>
      <c r="C428" s="5" t="inlineStr">
        <is>
          <t>Unlocked</t>
        </is>
      </c>
      <c r="D428" s="5" t="inlineStr">
        <is>
          <t>InputLevel</t>
        </is>
      </c>
      <c r="E428" s="5" t="inlineStr">
        <is>
          <t>Factor</t>
        </is>
      </c>
      <c r="F428" s="5" t="inlineStr">
        <is>
          <t>CoefficientPercent</t>
        </is>
      </c>
      <c r="G428" s="5" t="inlineStr">
        <is>
          <t>EffectiveHits</t>
        </is>
      </c>
      <c r="H428" s="5" t="inlineStr">
        <is>
          <t>ProcProbability</t>
        </is>
      </c>
      <c r="I428" s="5" t="inlineStr">
        <is>
          <t>MapleHeroMultiplier</t>
        </is>
      </c>
      <c r="J428" s="5" t="inlineStr">
        <is>
          <t>BaseDamage</t>
        </is>
      </c>
      <c r="K428" s="5" t="inlineStr">
        <is>
          <t>BaseHitDamage</t>
        </is>
      </c>
      <c r="L428" s="5" t="inlineStr">
        <is>
          <t>NonCritAvg</t>
        </is>
      </c>
      <c r="M428" s="5" t="inlineStr">
        <is>
          <t>CritAvg</t>
        </is>
      </c>
      <c r="N428" s="5" t="inlineStr">
        <is>
          <t>ExpectedDamage(perHit)</t>
        </is>
      </c>
      <c r="O428" s="5" t="inlineStr">
        <is>
          <t>DPS</t>
        </is>
      </c>
      <c r="P428" s="5" t="inlineStr">
        <is>
          <t>% of Total</t>
        </is>
      </c>
      <c r="Q428" s="5" t="inlineStr">
        <is>
          <t>InvCooldown</t>
        </is>
      </c>
      <c r="R428" s="5" t="inlineStr">
        <is>
          <t>CastsInFight</t>
        </is>
      </c>
      <c r="S428" s="5" t="inlineStr">
        <is>
          <t>HitRate(perSec)</t>
        </is>
      </c>
      <c r="U428" t="inlineStr">
        <is>
          <t>helpers</t>
        </is>
      </c>
    </row>
    <row r="429">
      <c r="A429">
        <f>Skills!A2</f>
        <v/>
      </c>
      <c r="B429">
        <f>Skills!B2</f>
        <v/>
      </c>
      <c r="C429">
        <f>Inputs!$B$3&gt;=100</f>
        <v/>
      </c>
      <c r="D429" t="inlineStr"/>
      <c r="E429" t="inlineStr"/>
      <c r="F429">
        <f>U431+Skills!O2</f>
        <v/>
      </c>
      <c r="G429">
        <f>Skills!G2*IF(Skills!H2&gt;0,IF(Inputs!$B$39="pvp",MIN(Skills!I2,15),Skills!I2)/Skills!H2,1)</f>
        <v/>
      </c>
      <c r="H429">
        <f>1-(1-Skills!J2/100)^Skills!K2</f>
        <v/>
      </c>
      <c r="I429" t="inlineStr">
        <is>
          <t>1</t>
        </is>
      </c>
      <c r="J429">
        <f>((Inputs!$B$6*(1+Inputs!$B$7/100))+(((Inputs!$B$12*(1+Inputs!$B$13/100))-(Inputs!$B$12*(1+Inputs!$B$13/100)))+0.25*(Inputs!$B$14-Inputs!$B$14))*(1+Inputs!$B$7/100))*(F429/100)</f>
        <v/>
      </c>
      <c r="K429">
        <f>J429*(1+((Inputs!$B$12*(1+Inputs!$B$13/100))*0.01+Inputs!$B$14*0.0025)/100)*(1+Inputs!$B$15/100)*(1+Inputs!$B$16/100)*(5000/(6000+Inputs!$B$43*(1-(100*(1-(1-Inputs!$B$19/100)*(1-CHOOSE(ArtifactsInput!$N$40+1,5,6,7,8,9,10)/100)^(ArtifactsInput!$M$40-ArtifactsInput!$M$40)))/100)))*(1+(((((1+Inputs!$B$24/100)*(1.01))-1)*100)+((C458=TRUE)*(F458-Calc!F31))+((C445=TRUE)*(F445-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CRUEL_STAB",Inputs!$B$17+((C455=TRUE)*(F455-Calc!F28))+((IF(AND(Inputs!$B$39&lt;&gt;"pvp",Inputs!$B$44=0),1,IF(IF(Inputs!$B$39="pvp",15,Inputs!$B$44)-(B472)&lt;=0,1,MAX(0,IF(Inputs!$B$39="pvp",15,Inputs!$B$44)-MAX(5,B472))/(IF(Inputs!$B$39="pvp",15,Inputs!$B$44)-(B472))))*(IF(AND(ArtifactsInput!$M$42,((Inputs!$B$9+((C453=TRUE)*(F453-Calc!F26))+B461+(ArtifactsInput!$M$24-ArtifactsInput!$M$24)*CHOOSE(ArtifactsInput!$N$24+1,10,12,14,16,18,20)+IF(ArtifactsInput!$M$10,CHOOSE(ArtifactsInput!$N$10+1,15,18,21,24,27,30)*(IF(Inputs!$B$39="pvp",MIN(15,15)/15,IF(AND(Inputs!$B$39&lt;&gt;"pvp",Inputs!$B$44&gt;0),MIN(15,Inputs!$B$44)/(Inputs!$B$44),0))),0)))&gt;=100),MIN(100,((Inputs!$B$9+((C453=TRUE)*(F453-Calc!F26))+B461+(ArtifactsInput!$M$24-ArtifactsInput!$M$24)*CHOOSE(ArtifactsInput!$N$24+1,10,12,14,16,18,20)+IF(ArtifactsInput!$M$10,CHOOSE(ArtifactsInput!$N$10+1,15,18,21,24,27,30)*(IF(Inputs!$B$39="pvp",MIN(15,15)/15,IF(AND(Inputs!$B$39&lt;&gt;"pvp",Inputs!$B$44&gt;0),MIN(15,Inputs!$B$44)/(Inputs!$B$44),0))),0)))-100),0))*CHOOSE(ArtifactsInput!$N$42+1,0.6,0.72,0.84,0.96,1.08,1.2))),Inputs!$B$18+((C456=TRUE)*(F456-Calc!F29))+(IF(AND(Inputs!$B$39&lt;&gt;"pvp",Inputs!$B$44=0),1,IF(IF(Inputs!$B$39="pvp",15,Inputs!$B$44)-(B472)&lt;=0,1,MAX(0,IF(Inputs!$B$39="pvp",15,Inputs!$B$44)-MAX(5,B472))/(IF(Inputs!$B$39="pvp",15,Inputs!$B$44)-(B472))))*IF(AND(ArtifactsInput!$M$42,((Inputs!$B$9+((C453=TRUE)*(F453-Calc!F26))+B461+(ArtifactsInput!$M$24-ArtifactsInput!$M$24)*CHOOSE(ArtifactsInput!$N$24+1,10,12,14,16,18,20)+IF(ArtifactsInput!$M$10,CHOOSE(ArtifactsInput!$N$10+1,15,18,21,24,27,30)*(IF(Inputs!$B$39="pvp",MIN(15,15)/15,IF(AND(Inputs!$B$39&lt;&gt;"pvp",Inputs!$B$44&gt;0),MIN(15,Inputs!$B$44)/(Inputs!$B$44),0))),0)))&gt;=100),CHOOSE(ArtifactsInput!$N$42+1,40,48,56,64,72,80),0))))/100)*(((1+(((C449=TRUE)*F449*IF(AND(Inputs!$B$39&lt;&gt;"pvp",Inputs!$B$44&gt;0),(((R449-1)*MIN((Skills!Y22*(1+Inputs!$B$34/100)),(1/Q449))+MIN((Skills!Y22*(1+Inputs!$B$34/100)),MAX(0,Inputs!$B$44-((R449-1)*(1/Q449)))))/Inputs!$B$44),IF(Inputs!$B$39="pvp",MIN((Skills!Y22*(1+Inputs!$B$34/100)),15)/15,MIN(1,(Skills!Y22*(1+Inputs!$B$34/100))/(1/Q449)))))+((C430=TRUE)*F430*3)+((C432=TRUE)*F432*(1-EXP(-0.75*B465*5)))+((C451=TRUE)*(F451-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438=TRUE)*F438*IF(AND(Inputs!$B$39&lt;&gt;"pvp",Inputs!$B$44&gt;0),(((R438-1)*MIN((Skills!Y11*(1+Inputs!$B$34/100)),(1/Q438))+MIN((Skills!Y11*(1+Inputs!$B$34/100)),MAX(0,Inputs!$B$44-((R438-1)*(1/Q438)))))/Inputs!$B$44),IF(Inputs!$B$39="pvp",MIN((Skills!Y11*(1+Inputs!$B$34/100)),15)/15,MIN(1,(Skills!Y11*(1+Inputs!$B$34/100))/(1/Q438)))))/100)*(1+((C443=TRUE)*F443*IF(AND(Inputs!$B$39&lt;&gt;"pvp",Inputs!$B$44&gt;0),(((R443-1)*MIN((Skills!Y16*(1+Inputs!$B$34/100)),(1/Q443))+MIN((Skills!Y16*(1+Inputs!$B$34/100)),MAX(0,Inputs!$B$44-((R443-1)*(1/Q443)))))/Inputs!$B$44),IF(Inputs!$B$39="pvp",MIN((Skills!Y16*(1+Inputs!$B$34/100)),15)/15,MIN(1,(Skills!Y16*(1+Inputs!$B$34/100))/(1/Q443)))))/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463*I429)</f>
        <v/>
      </c>
      <c r="L429">
        <f>K429*(MIN(Inputs!$B$22+((C452=TRUE)*(F452-Calc!F25)),(Inputs!$B$23+((C457=TRUE)*(F457-Calc!F30))+IF(ArtifactsInput!$M$15,CHOOSE(ArtifactsInput!$N$15+1,25,30,35,40,45,50)/100*(Inputs!$B$11-Inputs!$B$11),0)))/100+(Inputs!$B$23+((C457=TRUE)*(F457-Calc!F30))+IF(ArtifactsInput!$M$15,CHOOSE(ArtifactsInput!$N$15+1,25,30,35,40,45,50)/100*(Inputs!$B$11-Inputs!$B$11),0))/100)/2</f>
        <v/>
      </c>
      <c r="M429">
        <f>L429*(1+(Inputs!$B$10+((C454=TRUE)*(F454-Calc!F27))+B468+(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429">
        <f>L429*(1-MIN((Inputs!$B$9+((C453=TRUE)*(F453-Calc!F26))+B461+(ArtifactsInput!$M$24-ArtifactsInput!$M$24)*CHOOSE(ArtifactsInput!$N$24+1,10,12,14,16,18,20)+(IF(AND(Inputs!$B$39&lt;&gt;"pvp",Inputs!$B$44=0),1,IF(IF(Inputs!$B$39="pvp",15,Inputs!$B$44)-(B472)&lt;=0,1,MAX(0,IF(Inputs!$B$39="pvp",15,Inputs!$B$44)-MAX(5,B472))/(IF(Inputs!$B$39="pvp",15,Inputs!$B$44)-(B472))))*IF(AND(ArtifactsInput!$M$42,((Inputs!$B$9+((C453=TRUE)*(F453-Calc!F26))+B461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429*(MIN((Inputs!$B$9+((C453=TRUE)*(F453-Calc!F26))+B461+(ArtifactsInput!$M$24-ArtifactsInput!$M$24)*CHOOSE(ArtifactsInput!$N$24+1,10,12,14,16,18,20)+(IF(AND(Inputs!$B$39&lt;&gt;"pvp",Inputs!$B$44=0),1,IF(IF(Inputs!$B$39="pvp",15,Inputs!$B$44)-(B472)&lt;=0,1,MAX(0,IF(Inputs!$B$39="pvp",15,Inputs!$B$44)-MAX(5,B472))/(IF(Inputs!$B$39="pvp",15,Inputs!$B$44)-(B472))))*IF(AND(ArtifactsInput!$M$42,((Inputs!$B$9+((C453=TRUE)*(F453-Calc!F26))+B461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429">
        <f>(1-Summary!$B$11)*T429+Summary!$B$11*V429</f>
        <v/>
      </c>
      <c r="P429">
        <f>IF(B473=0,0,O429/B473)</f>
        <v/>
      </c>
      <c r="Q429" t="n">
        <v>0</v>
      </c>
      <c r="R429" t="n">
        <v>0</v>
      </c>
      <c r="S429">
        <f>IFERROR(O429/N429,0)</f>
        <v/>
      </c>
      <c r="T429">
        <f>IF(C429,(Skills!G2*N429*B467)*IF(Inputs!$B$39="pvp",1,1+(Inputs!$B$20+0+Skills!P2+B462+(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Hunt"),CHOOSE(ArtifactsInput!$N$35+1,15,18,21,24,27,30)*(1-EXP(-(0.2*B465)*5)),0)+IF(AND(ArtifactsInput!$M$22,Inputs!$B$4&lt;&gt;"Chapter Hunt"),CHOOSE(ArtifactsInput!$N$22+1,10,12,14,16,18,20)*((0*(((0.15*B465*5))^0/1)+1*(((0.15*B465*5))^1/1)+2*(((0.15*B465*5))^2/2)+3*(((0.15*B465*5))^3/6)+4*(((0.15*B465*5))^4/24)+5*(((0.15*B465*5))^5/120))/((((0.15*B465*5))^0/1)+(((0.15*B465*5))^1/1)+(((0.15*B465*5))^2/2)+(((0.15*B465*5))^3/6)+(((0.15*B465*5))^4/24)+(((0.15*B465*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429*(1-MIN(100,(Inputs!$B$9+((C453=TRUE)*(F453-Calc!F26))+B461+(ArtifactsInput!$M$24-ArtifactsInput!$M$24)*CHOOSE(ArtifactsInput!$N$24+1,10,12,14,16,18,20)+(IF(AND(Inputs!$B$39&lt;&gt;"pvp",Inputs!$B$44=0),1,IF(IF(Inputs!$B$39="pvp",15,Inputs!$B$44)-(B472)&lt;=0,1,MAX(0,IF(Inputs!$B$39="pvp",15,Inputs!$B$44)-MAX(5,B472))/(IF(Inputs!$B$39="pvp",15,Inputs!$B$44)-(B472))))*IF(AND(ArtifactsInput!$M$42,((Inputs!$B$9+((C453=TRUE)*(F453-Calc!F26))+B461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429*(MIN(100,(Inputs!$B$9+((C453=TRUE)*(F453-Calc!F26))+B461+(ArtifactsInput!$M$24-ArtifactsInput!$M$24)*CHOOSE(ArtifactsInput!$N$24+1,10,12,14,16,18,20)+(IF(AND(Inputs!$B$39&lt;&gt;"pvp",Inputs!$B$44=0),1,IF(IF(Inputs!$B$39="pvp",15,Inputs!$B$44)-(B472)&lt;=0,1,MAX(0,IF(Inputs!$B$39="pvp",15,Inputs!$B$44)-MAX(5,B472))/(IF(Inputs!$B$39="pvp",15,Inputs!$B$44)-(B472))))*IF(AND(ArtifactsInput!$M$42,((Inputs!$B$9+((C453=TRUE)*(F453-Calc!F26))+B461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429*(1-MIN(100,(Inputs!$B$9+((C453=TRUE)*(F453-Calc!F26))+B461+(ArtifactsInput!$M$24-ArtifactsInput!$M$24)*CHOOSE(ArtifactsInput!$N$24+1,10,12,14,16,18,20)+(IF(AND(Inputs!$B$39&lt;&gt;"pvp",Inputs!$B$44=0),1,IF(IF(Inputs!$B$39="pvp",15,Inputs!$B$44)-(B472)&lt;=0,1,MAX(0,IF(Inputs!$B$39="pvp",15,Inputs!$B$44)-MAX(5,B472))/(IF(Inputs!$B$39="pvp",15,Inputs!$B$44)-(B472))))*IF(AND(ArtifactsInput!$M$42,((Inputs!$B$9+((C453=TRUE)*(F453-Calc!F26))+B461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429*(MIN(100,(Inputs!$B$9+((C453=TRUE)*(F453-Calc!F26))+B461+(ArtifactsInput!$M$24-ArtifactsInput!$M$24)*CHOOSE(ArtifactsInput!$N$24+1,10,12,14,16,18,20)+(IF(AND(Inputs!$B$39&lt;&gt;"pvp",Inputs!$B$44=0),1,IF(IF(Inputs!$B$39="pvp",15,Inputs!$B$44)-(B472)&lt;=0,1,MAX(0,IF(Inputs!$B$39="pvp",15,Inputs!$B$44)-MAX(5,B472))/(IF(Inputs!$B$39="pvp",15,Inputs!$B$44)-(B472))))*IF(AND(ArtifactsInput!$M$42,((Inputs!$B$9+((C453=TRUE)*(F453-Calc!F26))+B461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429">
        <f>MAX(0,(Inputs!$B$3-100)*3)+Inputs!$B$28+Inputs!$B$29</f>
        <v/>
      </c>
      <c r="V429">
        <f>IF(C429,(Skills!G2*N429*B467)*IF(Inputs!$B$39="pvp",1,(1+(Inputs!$B$21+Skills!Q2+B462+(IF(ArtifactsInput!$M$33,CHOOSE(ArtifactsInput!$N$33+1,30,36,42,48,54,60),0))+(IF(AND(ArtifactsInput!$M$35,Inputs!$B$4&lt;&gt;"Chapter Hunt"),CHOOSE(ArtifactsInput!$N$35+1,15,18,21,24,27,30)*(1-EXP(-(0.2*B465)*5)),0)+IF(AND(ArtifactsInput!$M$22,Inputs!$B$4&lt;&gt;"Chapter Hunt"),CHOOSE(ArtifactsInput!$N$22+1,10,12,14,16,18,20)*((0*(((0.15*B465*5))^0/1)+1*(((0.15*B465*5))^1/1)+2*(((0.15*B465*5))^2/2)+3*(((0.15*B465*5))^3/6)+4*(((0.15*B465*5))^4/24)+5*(((0.15*B465*5))^5/120))/((((0.15*B465*5))^0/1)+(((0.15*B465*5))^1/1)+(((0.15*B465*5))^2/2)+(((0.15*B465*5))^3/6)+(((0.15*B465*5))^4/24)+(((0.15*B465*5))^5/120))),0)))/100)*(MIN((6+Inputs!$B$33),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430">
      <c r="A430">
        <f>Skills!A3</f>
        <v/>
      </c>
      <c r="B430">
        <f>Skills!B3</f>
        <v/>
      </c>
      <c r="C430">
        <f>Inputs!$B$3&gt;=35</f>
        <v/>
      </c>
      <c r="D430">
        <f>IF(Skills!C3=1,60+Inputs!$B$25+Inputs!$B$29,IF(Skills!C3=2,90+Inputs!$B$26+Inputs!$B$29,IF(Skills!C3=3,120+Inputs!$B$27+Inputs!$B$29,MAX(0,(Inputs!$B$3-100)*3)+Inputs!$B$28+Inputs!$B$29)))</f>
        <v/>
      </c>
      <c r="E430">
        <f>INDEX(FactorTable!$B$2:$Y$301, MATCH(ROUND(MIN(300,MAX(1,D430)),0), FactorTable!$A$2:$A$301,0), Skills!M3+1)</f>
        <v/>
      </c>
      <c r="F430">
        <f>IF(Skills!N3=TRUE,(Skills!L3/10)*(E430/1000),Skills!L3/10)+Skills!O3</f>
        <v/>
      </c>
      <c r="G430">
        <f>Skills!G3*IF(Skills!H3&gt;0,IF(Inputs!$B$39="pvp",MIN(Skills!I3,15),Skills!I3)/Skills!H3,1)</f>
        <v/>
      </c>
      <c r="H430">
        <f>1-(1-Skills!J3/100)^Skills!K3</f>
        <v/>
      </c>
      <c r="I430" t="inlineStr">
        <is>
          <t>1</t>
        </is>
      </c>
      <c r="J430" t="inlineStr"/>
      <c r="K430" t="inlineStr"/>
      <c r="L430" t="inlineStr"/>
      <c r="M430" t="inlineStr"/>
      <c r="N430" t="inlineStr"/>
      <c r="O430">
        <f>(1-Summary!$B$11)*T430+Summary!$B$11*V430</f>
        <v/>
      </c>
      <c r="P430">
        <f>IF(B473=0,0,O430/B473)</f>
        <v/>
      </c>
      <c r="Q430" t="n">
        <v>0</v>
      </c>
      <c r="R430" t="n">
        <v>0</v>
      </c>
      <c r="S430">
        <f>IFERROR(O430/N430,0)</f>
        <v/>
      </c>
      <c r="T430" t="n">
        <v>0</v>
      </c>
      <c r="U430">
        <f>INDEX(FactorTable!$B$2:$Y$301, MATCH(ROUND(MIN(300,MAX(1,U429)),0), FactorTable!$A$2:$A$301,0), 22)</f>
        <v/>
      </c>
      <c r="V430" t="n">
        <v>0</v>
      </c>
    </row>
    <row r="431">
      <c r="A431">
        <f>Skills!A4</f>
        <v/>
      </c>
      <c r="B431">
        <f>Skills!B4</f>
        <v/>
      </c>
      <c r="C431">
        <f>Inputs!$B$3&gt;=66</f>
        <v/>
      </c>
      <c r="D431">
        <f>IF(Skills!C4=1,60+Inputs!$B$25+Inputs!$B$29,IF(Skills!C4=2,90+Inputs!$B$26+Inputs!$B$29,IF(Skills!C4=3,120+Inputs!$B$27+Inputs!$B$29,MAX(0,(Inputs!$B$3-100)*3)+Inputs!$B$28+Inputs!$B$29)))</f>
        <v/>
      </c>
      <c r="E431">
        <f>INDEX(FactorTable!$B$2:$Y$301, MATCH(ROUND(MIN(300,MAX(1,D431)),0), FactorTable!$A$2:$A$301,0), Skills!M4+1)</f>
        <v/>
      </c>
      <c r="F431">
        <f>IF(Skills!N4=TRUE,(Skills!L4/10)*(E431/1000),Skills!L4/10)+Skills!O4</f>
        <v/>
      </c>
      <c r="G431">
        <f>Skills!G4*IF(Skills!H4&gt;0,IF(Inputs!$B$39="pvp",MIN(Skills!I4,15),Skills!I4)/Skills!H4,1)</f>
        <v/>
      </c>
      <c r="H431">
        <f>1-(1-Skills!J4/100)^Skills!K4</f>
        <v/>
      </c>
      <c r="I431" t="inlineStr">
        <is>
          <t>1</t>
        </is>
      </c>
      <c r="J431">
        <f>((Inputs!$B$6*(1+Inputs!$B$7/100))+(((Inputs!$B$12*(1+Inputs!$B$13/100))-(Inputs!$B$12*(1+Inputs!$B$13/100)))+0.25*(Inputs!$B$14-Inputs!$B$14))*(1+Inputs!$B$7/100))*(F431/100)</f>
        <v/>
      </c>
      <c r="K431">
        <f>J431*(1+((Inputs!$B$12*(1+Inputs!$B$13/100))*0.01+Inputs!$B$14*0.0025)/100)*(1+Inputs!$B$15/100)*(1+Inputs!$B$16/100)*(5000/(6000+Inputs!$B$43*(1-(100*(1-(1-Inputs!$B$19/100)*(1-CHOOSE(ArtifactsInput!$N$40+1,5,6,7,8,9,10)/100)^(ArtifactsInput!$M$40-ArtifactsInput!$M$40)))/100)))*(1+(((((1+Inputs!$B$24/100)*(1.01))-1)*100)+((C458=TRUE)*(F458-Calc!F31))+((C445=TRUE)*(F445-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4="CRUEL_STAB",Inputs!$B$17+((C455=TRUE)*(F455-Calc!F28))+((IF(AND(Inputs!$B$39&lt;&gt;"pvp",Inputs!$B$44=0),1,IF(IF(Inputs!$B$39="pvp",15,Inputs!$B$44)-(B472)&lt;=0,1,MAX(0,IF(Inputs!$B$39="pvp",15,Inputs!$B$44)-MAX(5,B472))/(IF(Inputs!$B$39="pvp",15,Inputs!$B$44)-(B472))))*(IF(AND(ArtifactsInput!$M$42,((Inputs!$B$9+((C453=TRUE)*(F453-Calc!F26))+B461+(ArtifactsInput!$M$24-ArtifactsInput!$M$24)*CHOOSE(ArtifactsInput!$N$24+1,10,12,14,16,18,20)+IF(ArtifactsInput!$M$10,CHOOSE(ArtifactsInput!$N$10+1,15,18,21,24,27,30)*(IF(Inputs!$B$39="pvp",MIN(15,15)/15,IF(AND(Inputs!$B$39&lt;&gt;"pvp",Inputs!$B$44&gt;0),MIN(15,Inputs!$B$44)/(Inputs!$B$44),0))),0)))&gt;=100),MIN(100,((Inputs!$B$9+((C453=TRUE)*(F453-Calc!F26))+B461+(ArtifactsInput!$M$24-ArtifactsInput!$M$24)*CHOOSE(ArtifactsInput!$N$24+1,10,12,14,16,18,20)+IF(ArtifactsInput!$M$10,CHOOSE(ArtifactsInput!$N$10+1,15,18,21,24,27,30)*(IF(Inputs!$B$39="pvp",MIN(15,15)/15,IF(AND(Inputs!$B$39&lt;&gt;"pvp",Inputs!$B$44&gt;0),MIN(15,Inputs!$B$44)/(Inputs!$B$44),0))),0)))-100),0))*CHOOSE(ArtifactsInput!$N$42+1,0.6,0.72,0.84,0.96,1.08,1.2))),Inputs!$B$18+((C456=TRUE)*(F456-Calc!F29))+(IF(AND(Inputs!$B$39&lt;&gt;"pvp",Inputs!$B$44=0),1,IF(IF(Inputs!$B$39="pvp",15,Inputs!$B$44)-(B472)&lt;=0,1,MAX(0,IF(Inputs!$B$39="pvp",15,Inputs!$B$44)-MAX(5,B472))/(IF(Inputs!$B$39="pvp",15,Inputs!$B$44)-(B472))))*IF(AND(ArtifactsInput!$M$42,((Inputs!$B$9+((C453=TRUE)*(F453-Calc!F26))+B461+(ArtifactsInput!$M$24-ArtifactsInput!$M$24)*CHOOSE(ArtifactsInput!$N$24+1,10,12,14,16,18,20)+IF(ArtifactsInput!$M$10,CHOOSE(ArtifactsInput!$N$10+1,15,18,21,24,27,30)*(IF(Inputs!$B$39="pvp",MIN(15,15)/15,IF(AND(Inputs!$B$39&lt;&gt;"pvp",Inputs!$B$44&gt;0),MIN(15,Inputs!$B$44)/(Inputs!$B$44),0))),0)))&gt;=100),CHOOSE(ArtifactsInput!$N$42+1,40,48,56,64,72,80),0))))/100)*(((1+(((C449=TRUE)*F449*IF(AND(Inputs!$B$39&lt;&gt;"pvp",Inputs!$B$44&gt;0),(((R449-1)*MIN((Skills!Y22*(1+Inputs!$B$34/100)),(1/Q449))+MIN((Skills!Y22*(1+Inputs!$B$34/100)),MAX(0,Inputs!$B$44-((R449-1)*(1/Q449)))))/Inputs!$B$44),IF(Inputs!$B$39="pvp",MIN((Skills!Y22*(1+Inputs!$B$34/100)),15)/15,MIN(1,(Skills!Y22*(1+Inputs!$B$34/100))/(1/Q449)))))+((C430=TRUE)*F430*3)+((C432=TRUE)*F432*(1-EXP(-0.75*B465*5)))+((C451=TRUE)*(F451-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438=TRUE)*F438*IF(AND(Inputs!$B$39&lt;&gt;"pvp",Inputs!$B$44&gt;0),(((R438-1)*MIN((Skills!Y11*(1+Inputs!$B$34/100)),(1/Q438))+MIN((Skills!Y11*(1+Inputs!$B$34/100)),MAX(0,Inputs!$B$44-((R438-1)*(1/Q438)))))/Inputs!$B$44),IF(Inputs!$B$39="pvp",MIN((Skills!Y11*(1+Inputs!$B$34/100)),15)/15,MIN(1,(Skills!Y11*(1+Inputs!$B$34/100))/(1/Q438)))))/100)*(1+((C443=TRUE)*F443*IF(AND(Inputs!$B$39&lt;&gt;"pvp",Inputs!$B$44&gt;0),(((R443-1)*MIN((Skills!Y16*(1+Inputs!$B$34/100)),(1/Q443))+MIN((Skills!Y16*(1+Inputs!$B$34/100)),MAX(0,Inputs!$B$44-((R443-1)*(1/Q443)))))/Inputs!$B$44),IF(Inputs!$B$39="pvp",MIN((Skills!Y16*(1+Inputs!$B$34/100)),15)/15,MIN(1,(Skills!Y16*(1+Inputs!$B$34/100))/(1/Q443)))))/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463*I431)</f>
        <v/>
      </c>
      <c r="L431">
        <f>K431*(MIN(Inputs!$B$22+((C452=TRUE)*(F452-Calc!F25)),(Inputs!$B$23+((C457=TRUE)*(F457-Calc!F30))+IF(ArtifactsInput!$M$15,CHOOSE(ArtifactsInput!$N$15+1,25,30,35,40,45,50)/100*(Inputs!$B$11-Inputs!$B$11),0)))/100+(Inputs!$B$23+((C457=TRUE)*(F457-Calc!F30))+IF(ArtifactsInput!$M$15,CHOOSE(ArtifactsInput!$N$15+1,25,30,35,40,45,50)/100*(Inputs!$B$11-Inputs!$B$11),0))/100)/2</f>
        <v/>
      </c>
      <c r="M431">
        <f>L431*(1+(Inputs!$B$10+((C454=TRUE)*(F454-Calc!F27))+B468+(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431">
        <f>L431*(1-MIN((Inputs!$B$9+((C453=TRUE)*(F453-Calc!F26))+B461+(ArtifactsInput!$M$24-ArtifactsInput!$M$24)*CHOOSE(ArtifactsInput!$N$24+1,10,12,14,16,18,20)+(IF(AND(Inputs!$B$39&lt;&gt;"pvp",Inputs!$B$44=0),1,IF(IF(Inputs!$B$39="pvp",15,Inputs!$B$44)-(B472)&lt;=0,1,MAX(0,IF(Inputs!$B$39="pvp",15,Inputs!$B$44)-MAX(5,B472))/(IF(Inputs!$B$39="pvp",15,Inputs!$B$44)-(B472))))*IF(AND(ArtifactsInput!$M$42,((Inputs!$B$9+((C453=TRUE)*(F453-Calc!F26))+B461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431*(MIN((Inputs!$B$9+((C453=TRUE)*(F453-Calc!F26))+B461+(ArtifactsInput!$M$24-ArtifactsInput!$M$24)*CHOOSE(ArtifactsInput!$N$24+1,10,12,14,16,18,20)+(IF(AND(Inputs!$B$39&lt;&gt;"pvp",Inputs!$B$44=0),1,IF(IF(Inputs!$B$39="pvp",15,Inputs!$B$44)-(B472)&lt;=0,1,MAX(0,IF(Inputs!$B$39="pvp",15,Inputs!$B$44)-MAX(5,B472))/(IF(Inputs!$B$39="pvp",15,Inputs!$B$44)-(B472))))*IF(AND(ArtifactsInput!$M$42,((Inputs!$B$9+((C453=TRUE)*(F453-Calc!F26))+B461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431">
        <f>(1-Summary!$B$11)*T431+Summary!$B$11*V431</f>
        <v/>
      </c>
      <c r="P431">
        <f>IF(B473=0,0,O431/B473)</f>
        <v/>
      </c>
      <c r="Q431">
        <f>IFERROR(1/IF(Inputs!$B$39="pvp",15,MAX(0.1,Skills!D4-IF(TRUE=TRUE,Inputs!$B$32,0))),0)</f>
        <v/>
      </c>
      <c r="R431">
        <f>IF(AND(Inputs!$B$39&lt;&gt;"pvp",Inputs!$B$44&gt;0),IF(MAX(0,Inputs!$B$44-B472)&lt;=0,0,(INT(MAX(0,Inputs!$B$44-B472)/IF(Inputs!$B$39="pvp",15,MAX(0.1,Skills!D4-IF(TRUE=TRUE,Inputs!$B$32,0))))+1)),0)</f>
        <v/>
      </c>
      <c r="S431">
        <f>IFERROR(O431/N431,0)</f>
        <v/>
      </c>
      <c r="T431">
        <f>IF(C431,(H431*N431*IF(AND(Inputs!$B$39&lt;&gt;"pvp",Inputs!$B$44&gt;0),((Skills!G4*((R431-1)*IF(Skills!H4&gt;0,Skills!I4/Skills!H4,1)+IF(Skills!H4&gt;0,MIN(Skills!I4,MAX(0,MAX(0,Inputs!$B$44-B472)-((R431-1)*IF(Inputs!$B$39="pvp",15,MAX(0.1,Skills!D4-IF(TRUE=TRUE,Inputs!$B$32,0))))))/Skills!H4,1)))/Inputs!$B$44),G431*Q431))*IF(Inputs!$B$39="pvp",1,1+(Inputs!$B$20+0+Skills!P4+B462+(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Hunt"),CHOOSE(ArtifactsInput!$N$35+1,15,18,21,24,27,30)*(1-EXP(-(0.2*B465)*5)),0)+IF(AND(ArtifactsInput!$M$22,Inputs!$B$4&lt;&gt;"Chapter Hunt"),CHOOSE(ArtifactsInput!$N$22+1,10,12,14,16,18,20)*((0*(((0.15*B465*5))^0/1)+1*(((0.15*B465*5))^1/1)+2*(((0.15*B465*5))^2/2)+3*(((0.15*B465*5))^3/6)+4*(((0.15*B465*5))^4/24)+5*(((0.15*B465*5))^5/120))/((((0.15*B465*5))^0/1)+(((0.15*B465*5))^1/1)+(((0.15*B465*5))^2/2)+(((0.15*B465*5))^3/6)+(((0.15*B465*5))^4/24)+(((0.15*B465*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431*(1-MIN(100,(Inputs!$B$9+((C453=TRUE)*(F453-Calc!F26))+B461+(ArtifactsInput!$M$24-ArtifactsInput!$M$24)*CHOOSE(ArtifactsInput!$N$24+1,10,12,14,16,18,20)+(IF(AND(Inputs!$B$39&lt;&gt;"pvp",Inputs!$B$44=0),1,IF(IF(Inputs!$B$39="pvp",15,Inputs!$B$44)-(B472)&lt;=0,1,MAX(0,IF(Inputs!$B$39="pvp",15,Inputs!$B$44)-MAX(5,B472))/(IF(Inputs!$B$39="pvp",15,Inputs!$B$44)-(B472))))*IF(AND(ArtifactsInput!$M$42,((Inputs!$B$9+((C453=TRUE)*(F453-Calc!F26))+B461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431*(MIN(100,(Inputs!$B$9+((C453=TRUE)*(F453-Calc!F26))+B461+(ArtifactsInput!$M$24-ArtifactsInput!$M$24)*CHOOSE(ArtifactsInput!$N$24+1,10,12,14,16,18,20)+(IF(AND(Inputs!$B$39&lt;&gt;"pvp",Inputs!$B$44=0),1,IF(IF(Inputs!$B$39="pvp",15,Inputs!$B$44)-(B472)&lt;=0,1,MAX(0,IF(Inputs!$B$39="pvp",15,Inputs!$B$44)-MAX(5,B472))/(IF(Inputs!$B$39="pvp",15,Inputs!$B$44)-(B472))))*IF(AND(ArtifactsInput!$M$42,((Inputs!$B$9+((C453=TRUE)*(F453-Calc!F26))+B461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431*(1-MIN(100,(Inputs!$B$9+((C453=TRUE)*(F453-Calc!F26))+B461+(ArtifactsInput!$M$24-ArtifactsInput!$M$24)*CHOOSE(ArtifactsInput!$N$24+1,10,12,14,16,18,20)+(IF(AND(Inputs!$B$39&lt;&gt;"pvp",Inputs!$B$44=0),1,IF(IF(Inputs!$B$39="pvp",15,Inputs!$B$44)-(B472)&lt;=0,1,MAX(0,IF(Inputs!$B$39="pvp",15,Inputs!$B$44)-MAX(5,B472))/(IF(Inputs!$B$39="pvp",15,Inputs!$B$44)-(B472))))*IF(AND(ArtifactsInput!$M$42,((Inputs!$B$9+((C453=TRUE)*(F453-Calc!F26))+B461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431*(MIN(100,(Inputs!$B$9+((C453=TRUE)*(F453-Calc!F26))+B461+(ArtifactsInput!$M$24-ArtifactsInput!$M$24)*CHOOSE(ArtifactsInput!$N$24+1,10,12,14,16,18,20)+(IF(AND(Inputs!$B$39&lt;&gt;"pvp",Inputs!$B$44=0),1,IF(IF(Inputs!$B$39="pvp",15,Inputs!$B$44)-(B472)&lt;=0,1,MAX(0,IF(Inputs!$B$39="pvp",15,Inputs!$B$44)-MAX(5,B472))/(IF(Inputs!$B$39="pvp",15,Inputs!$B$44)-(B472))))*IF(AND(ArtifactsInput!$M$42,((Inputs!$B$9+((C453=TRUE)*(F453-Calc!F26))+B461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431">
        <f>290*U430/1000</f>
        <v/>
      </c>
      <c r="V431">
        <f>IF(C431,(H431*N431*IF(AND(Inputs!$B$39&lt;&gt;"pvp",Inputs!$B$44&gt;0),((Skills!G4*((R431-1)*IF(Skills!H4&gt;0,Skills!I4/Skills!H4,1)+IF(Skills!H4&gt;0,MIN(Skills!I4,MAX(0,MAX(0,Inputs!$B$44-B472)-((R431-1)*IF(Inputs!$B$39="pvp",15,MAX(0.1,Skills!D4-IF(TRUE=TRUE,Inputs!$B$32,0))))))/Skills!H4,1)))/Inputs!$B$44),G431*Q431))*IF(Inputs!$B$39="pvp",1,(1+(Inputs!$B$21+Skills!Q4+B462+(IF(ArtifactsInput!$M$33,CHOOSE(ArtifactsInput!$N$33+1,30,36,42,48,54,60),0))+(IF(AND(ArtifactsInput!$M$35,Inputs!$B$4&lt;&gt;"Chapter Hunt"),CHOOSE(ArtifactsInput!$N$35+1,15,18,21,24,27,30)*(1-EXP(-(0.2*B465)*5)),0)+IF(AND(ArtifactsInput!$M$22,Inputs!$B$4&lt;&gt;"Chapter Hunt"),CHOOSE(ArtifactsInput!$N$22+1,10,12,14,16,18,20)*((0*(((0.15*B465*5))^0/1)+1*(((0.15*B465*5))^1/1)+2*(((0.15*B465*5))^2/2)+3*(((0.15*B465*5))^3/6)+4*(((0.15*B465*5))^4/24)+5*(((0.15*B465*5))^5/120))/((((0.15*B465*5))^0/1)+(((0.15*B465*5))^1/1)+(((0.15*B465*5))^2/2)+(((0.15*B465*5))^3/6)+(((0.15*B465*5))^4/24)+(((0.15*B465*5))^5/120))),0)))/100)*(MIN(MIN(10,IF(Inputs!$B$3&gt;=75,0.75,0.5)*B465*(1/Q431)),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432">
      <c r="A432">
        <f>Skills!A5</f>
        <v/>
      </c>
      <c r="B432">
        <f>Skills!B5</f>
        <v/>
      </c>
      <c r="C432">
        <f>Inputs!$B$3&gt;=75</f>
        <v/>
      </c>
      <c r="D432">
        <f>IF(Skills!C5=1,60+Inputs!$B$25+Inputs!$B$29,IF(Skills!C5=2,90+Inputs!$B$26+Inputs!$B$29,IF(Skills!C5=3,120+Inputs!$B$27+Inputs!$B$29,MAX(0,(Inputs!$B$3-100)*3)+Inputs!$B$28+Inputs!$B$29)))</f>
        <v/>
      </c>
      <c r="E432">
        <f>INDEX(FactorTable!$B$2:$Y$301, MATCH(ROUND(MIN(300,MAX(1,D432)),0), FactorTable!$A$2:$A$301,0), Skills!M5+1)</f>
        <v/>
      </c>
      <c r="F432">
        <f>IF(Skills!N5=TRUE,(Skills!L5/10)*(E432/1000),Skills!L5/10)+Skills!O5</f>
        <v/>
      </c>
      <c r="G432">
        <f>Skills!G5*IF(Skills!H5&gt;0,IF(Inputs!$B$39="pvp",MIN(Skills!I5,15),Skills!I5)/Skills!H5,1)</f>
        <v/>
      </c>
      <c r="H432">
        <f>1-(1-Skills!J5/100)^Skills!K5</f>
        <v/>
      </c>
      <c r="I432" t="inlineStr">
        <is>
          <t>1</t>
        </is>
      </c>
      <c r="J432" t="inlineStr"/>
      <c r="K432" t="inlineStr"/>
      <c r="L432" t="inlineStr"/>
      <c r="M432" t="inlineStr"/>
      <c r="N432" t="inlineStr"/>
      <c r="O432">
        <f>(1-Summary!$B$11)*T432+Summary!$B$11*V432</f>
        <v/>
      </c>
      <c r="P432">
        <f>IF(B473=0,0,O432/B473)</f>
        <v/>
      </c>
      <c r="Q432" t="n">
        <v>0</v>
      </c>
      <c r="R432" t="n">
        <v>0</v>
      </c>
      <c r="S432">
        <f>IFERROR(O432/N432,0)</f>
        <v/>
      </c>
      <c r="T432" t="n">
        <v>0</v>
      </c>
      <c r="V432" t="n">
        <v>0</v>
      </c>
    </row>
    <row r="433">
      <c r="A433">
        <f>Skills!A6</f>
        <v/>
      </c>
      <c r="B433">
        <f>Skills!B6</f>
        <v/>
      </c>
      <c r="C433">
        <f>Inputs!$B$3&gt;=63</f>
        <v/>
      </c>
      <c r="D433">
        <f>IF(Skills!C6=1,60+Inputs!$B$25+Inputs!$B$29,IF(Skills!C6=2,90+Inputs!$B$26+Inputs!$B$29,IF(Skills!C6=3,120+Inputs!$B$27+Inputs!$B$29,MAX(0,(Inputs!$B$3-100)*3)+Inputs!$B$28+Inputs!$B$29)))</f>
        <v/>
      </c>
      <c r="E433">
        <f>INDEX(FactorTable!$B$2:$Y$301, MATCH(ROUND(MIN(300,MAX(1,D433)),0), FactorTable!$A$2:$A$301,0), Skills!M6+1)</f>
        <v/>
      </c>
      <c r="F433">
        <f>IF(Skills!N6=TRUE,(Skills!L6/10)*(E433/1000),Skills!L6/10)+Skills!O6</f>
        <v/>
      </c>
      <c r="G433">
        <f>Skills!G6*IF(Skills!H6&gt;0,IF(Inputs!$B$39="pvp",MIN(Skills!I6,15),Skills!I6)/Skills!H6,1)</f>
        <v/>
      </c>
      <c r="H433">
        <f>1-(1-Skills!J6/100)^Skills!K6</f>
        <v/>
      </c>
      <c r="I433" t="inlineStr">
        <is>
          <t>1</t>
        </is>
      </c>
      <c r="J433">
        <f>((Inputs!$B$6*(1+Inputs!$B$7/100))+(((Inputs!$B$12*(1+Inputs!$B$13/100))-(Inputs!$B$12*(1+Inputs!$B$13/100)))+0.25*(Inputs!$B$14-Inputs!$B$14))*(1+Inputs!$B$7/100))*(F433/100)</f>
        <v/>
      </c>
      <c r="K433">
        <f>J433*(1+((Inputs!$B$12*(1+Inputs!$B$13/100))*0.01+Inputs!$B$14*0.0025)/100)*(1+Inputs!$B$15/100)*(1+Inputs!$B$16/100)*(5000/(6000+Inputs!$B$43*(1-(100*(1-(1-Inputs!$B$19/100)*(1-CHOOSE(ArtifactsInput!$N$40+1,5,6,7,8,9,10)/100)^(ArtifactsInput!$M$40-ArtifactsInput!$M$40)))/100)))*(1+(((((1+Inputs!$B$24/100)*(1.01))-1)*100)+((C458=TRUE)*(F458-Calc!F31))+((C445=TRUE)*(F445-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+2.6666666666666665*IF(C446=TRUE,F446,0)/100)*(1+(IF(Skills!A6="CRUEL_STAB",Inputs!$B$17+((C455=TRUE)*(F455-Calc!F28))+((IF(AND(Inputs!$B$39&lt;&gt;"pvp",Inputs!$B$44=0),1,IF(IF(Inputs!$B$39="pvp",15,Inputs!$B$44)-(B472)&lt;=0,1,MAX(0,IF(Inputs!$B$39="pvp",15,Inputs!$B$44)-MAX(5,B472))/(IF(Inputs!$B$39="pvp",15,Inputs!$B$44)-(B472))))*(IF(AND(ArtifactsInput!$M$42,((Inputs!$B$9+((C453=TRUE)*(F453-Calc!F26))+B461+(ArtifactsInput!$M$24-ArtifactsInput!$M$24)*CHOOSE(ArtifactsInput!$N$24+1,10,12,14,16,18,20)+IF(ArtifactsInput!$M$10,CHOOSE(ArtifactsInput!$N$10+1,15,18,21,24,27,30)*(IF(Inputs!$B$39="pvp",MIN(15,15)/15,IF(AND(Inputs!$B$39&lt;&gt;"pvp",Inputs!$B$44&gt;0),MIN(15,Inputs!$B$44)/(Inputs!$B$44),0))),0)))&gt;=100),MIN(100,((Inputs!$B$9+((C453=TRUE)*(F453-Calc!F26))+B461+(ArtifactsInput!$M$24-ArtifactsInput!$M$24)*CHOOSE(ArtifactsInput!$N$24+1,10,12,14,16,18,20)+IF(ArtifactsInput!$M$10,CHOOSE(ArtifactsInput!$N$10+1,15,18,21,24,27,30)*(IF(Inputs!$B$39="pvp",MIN(15,15)/15,IF(AND(Inputs!$B$39&lt;&gt;"pvp",Inputs!$B$44&gt;0),MIN(15,Inputs!$B$44)/(Inputs!$B$44),0))),0)))-100),0))*CHOOSE(ArtifactsInput!$N$42+1,0.6,0.72,0.84,0.96,1.08,1.2))),Inputs!$B$18+((C456=TRUE)*(F456-Calc!F29))+(IF(AND(Inputs!$B$39&lt;&gt;"pvp",Inputs!$B$44=0),1,IF(IF(Inputs!$B$39="pvp",15,Inputs!$B$44)-(B472)&lt;=0,1,MAX(0,IF(Inputs!$B$39="pvp",15,Inputs!$B$44)-MAX(5,B472))/(IF(Inputs!$B$39="pvp",15,Inputs!$B$44)-(B472))))*IF(AND(ArtifactsInput!$M$42,((Inputs!$B$9+((C453=TRUE)*(F453-Calc!F26))+B461+(ArtifactsInput!$M$24-ArtifactsInput!$M$24)*CHOOSE(ArtifactsInput!$N$24+1,10,12,14,16,18,20)+IF(ArtifactsInput!$M$10,CHOOSE(ArtifactsInput!$N$10+1,15,18,21,24,27,30)*(IF(Inputs!$B$39="pvp",MIN(15,15)/15,IF(AND(Inputs!$B$39&lt;&gt;"pvp",Inputs!$B$44&gt;0),MIN(15,Inputs!$B$44)/(Inputs!$B$44),0))),0)))&gt;=100),CHOOSE(ArtifactsInput!$N$42+1,40,48,56,64,72,80),0))))/100)*(((1+(((C449=TRUE)*F449*IF(AND(Inputs!$B$39&lt;&gt;"pvp",Inputs!$B$44&gt;0),(((R449-1)*MIN((Skills!Y22*(1+Inputs!$B$34/100)),(1/Q449))+MIN((Skills!Y22*(1+Inputs!$B$34/100)),MAX(0,Inputs!$B$44-((R449-1)*(1/Q449)))))/Inputs!$B$44),IF(Inputs!$B$39="pvp",MIN((Skills!Y22*(1+Inputs!$B$34/100)),15)/15,MIN(1,(Skills!Y22*(1+Inputs!$B$34/100))/(1/Q449)))))+((C430=TRUE)*F430*3)+((C432=TRUE)*F432*(1-EXP(-0.75*B465*5)))+((C451=TRUE)*(F451-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438=TRUE)*F438*IF(AND(Inputs!$B$39&lt;&gt;"pvp",Inputs!$B$44&gt;0),(((R438-1)*MIN((Skills!Y11*(1+Inputs!$B$34/100)),(1/Q438))+MIN((Skills!Y11*(1+Inputs!$B$34/100)),MAX(0,Inputs!$B$44-((R438-1)*(1/Q438)))))/Inputs!$B$44),IF(Inputs!$B$39="pvp",MIN((Skills!Y11*(1+Inputs!$B$34/100)),15)/15,MIN(1,(Skills!Y11*(1+Inputs!$B$34/100))/(1/Q438)))))/100)*(1+((C443=TRUE)*F443*IF(AND(Inputs!$B$39&lt;&gt;"pvp",Inputs!$B$44&gt;0),(((R443-1)*MIN((Skills!Y16*(1+Inputs!$B$34/100)),(1/Q443))+MIN((Skills!Y16*(1+Inputs!$B$34/100)),MAX(0,Inputs!$B$44-((R443-1)*(1/Q443)))))/Inputs!$B$44),IF(Inputs!$B$39="pvp",MIN((Skills!Y16*(1+Inputs!$B$34/100)),15)/15,MIN(1,(Skills!Y16*(1+Inputs!$B$34/100))/(1/Q443)))))/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463*I433)</f>
        <v/>
      </c>
      <c r="L433">
        <f>K433*(MIN(Inputs!$B$22+((C452=TRUE)*(F452-Calc!F25)),(Inputs!$B$23+((C457=TRUE)*(F457-Calc!F30))+IF(ArtifactsInput!$M$15,CHOOSE(ArtifactsInput!$N$15+1,25,30,35,40,45,50)/100*(Inputs!$B$11-Inputs!$B$11),0)))/100+(Inputs!$B$23+((C457=TRUE)*(F457-Calc!F30))+IF(ArtifactsInput!$M$15,CHOOSE(ArtifactsInput!$N$15+1,25,30,35,40,45,50)/100*(Inputs!$B$11-Inputs!$B$11),0))/100)/2</f>
        <v/>
      </c>
      <c r="M433">
        <f>L433*(1+(Inputs!$B$10+((C454=TRUE)*(F454-Calc!F27))+B468+(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433">
        <f>L433*(1-MIN((Inputs!$B$9+((C453=TRUE)*(F453-Calc!F26))+B461+(ArtifactsInput!$M$24-ArtifactsInput!$M$24)*CHOOSE(ArtifactsInput!$N$24+1,10,12,14,16,18,20)+(IF(AND(Inputs!$B$39&lt;&gt;"pvp",Inputs!$B$44=0),1,IF(IF(Inputs!$B$39="pvp",15,Inputs!$B$44)-(B472)&lt;=0,1,MAX(0,IF(Inputs!$B$39="pvp",15,Inputs!$B$44)-MAX(5,B472))/(IF(Inputs!$B$39="pvp",15,Inputs!$B$44)-(B472))))*IF(AND(ArtifactsInput!$M$42,((Inputs!$B$9+((C453=TRUE)*(F453-Calc!F26))+B461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433*(MIN((Inputs!$B$9+((C453=TRUE)*(F453-Calc!F26))+B461+(ArtifactsInput!$M$24-ArtifactsInput!$M$24)*CHOOSE(ArtifactsInput!$N$24+1,10,12,14,16,18,20)+(IF(AND(Inputs!$B$39&lt;&gt;"pvp",Inputs!$B$44=0),1,IF(IF(Inputs!$B$39="pvp",15,Inputs!$B$44)-(B472)&lt;=0,1,MAX(0,IF(Inputs!$B$39="pvp",15,Inputs!$B$44)-MAX(5,B472))/(IF(Inputs!$B$39="pvp",15,Inputs!$B$44)-(B472))))*IF(AND(ArtifactsInput!$M$42,((Inputs!$B$9+((C453=TRUE)*(F453-Calc!F26))+B461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433">
        <f>(1-Summary!$B$11)*T433+Summary!$B$11*V433</f>
        <v/>
      </c>
      <c r="P433">
        <f>IF(B473=0,0,O433/B473)</f>
        <v/>
      </c>
      <c r="Q433">
        <f>IFERROR(1/IF(Inputs!$B$39="pvp",15,MAX(0.1,Skills!D6-IF(TRUE=TRUE,Inputs!$B$32,0))),0)</f>
        <v/>
      </c>
      <c r="R433">
        <f>IF(AND(Inputs!$B$39&lt;&gt;"pvp",Inputs!$B$44&gt;0),IF(MAX(0,Inputs!$B$44-B472)&lt;=0,0,(INT(MAX(0,Inputs!$B$44-B472)/IF(Inputs!$B$39="pvp",15,MAX(0.1,Skills!D6-IF(TRUE=TRUE,Inputs!$B$32,0))))+1)),0)</f>
        <v/>
      </c>
      <c r="S433">
        <f>IFERROR(O433/N433,0)</f>
        <v/>
      </c>
      <c r="T433">
        <f>IF(C433,(H433*N433*IF(AND(Inputs!$B$39&lt;&gt;"pvp",Inputs!$B$44&gt;0),((Skills!G6*((R433-1)*IF(Skills!H6&gt;0,Skills!I6/Skills!H6,1)+IF(Skills!H6&gt;0,MIN(Skills!I6,MAX(0,MAX(0,Inputs!$B$44-B472)-((R433-1)*IF(Inputs!$B$39="pvp",15,MAX(0.1,Skills!D6-IF(TRUE=TRUE,Inputs!$B$32,0))))))/Skills!H6,1)))/Inputs!$B$44),G433*Q433))*IF(Inputs!$B$39="pvp",1,1+(Inputs!$B$20+0+Skills!P6+B462+(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Hunt"),CHOOSE(ArtifactsInput!$N$35+1,15,18,21,24,27,30)*(1-EXP(-(0.2*B465)*5)),0)+IF(AND(ArtifactsInput!$M$22,Inputs!$B$4&lt;&gt;"Chapter Hunt"),CHOOSE(ArtifactsInput!$N$22+1,10,12,14,16,18,20)*((0*(((0.15*B465*5))^0/1)+1*(((0.15*B465*5))^1/1)+2*(((0.15*B465*5))^2/2)+3*(((0.15*B465*5))^3/6)+4*(((0.15*B465*5))^4/24)+5*(((0.15*B465*5))^5/120))/((((0.15*B465*5))^0/1)+(((0.15*B465*5))^1/1)+(((0.15*B465*5))^2/2)+(((0.15*B465*5))^3/6)+(((0.15*B465*5))^4/24)+(((0.15*B465*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433*(1-MIN(100,(Inputs!$B$9+((C453=TRUE)*(F453-Calc!F26))+B461+(ArtifactsInput!$M$24-ArtifactsInput!$M$24)*CHOOSE(ArtifactsInput!$N$24+1,10,12,14,16,18,20)+(IF(AND(Inputs!$B$39&lt;&gt;"pvp",Inputs!$B$44=0),1,IF(IF(Inputs!$B$39="pvp",15,Inputs!$B$44)-(B472)&lt;=0,1,MAX(0,IF(Inputs!$B$39="pvp",15,Inputs!$B$44)-MAX(5,B472))/(IF(Inputs!$B$39="pvp",15,Inputs!$B$44)-(B472))))*IF(AND(ArtifactsInput!$M$42,((Inputs!$B$9+((C453=TRUE)*(F453-Calc!F26))+B461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433*(MIN(100,(Inputs!$B$9+((C453=TRUE)*(F453-Calc!F26))+B461+(ArtifactsInput!$M$24-ArtifactsInput!$M$24)*CHOOSE(ArtifactsInput!$N$24+1,10,12,14,16,18,20)+(IF(AND(Inputs!$B$39&lt;&gt;"pvp",Inputs!$B$44=0),1,IF(IF(Inputs!$B$39="pvp",15,Inputs!$B$44)-(B472)&lt;=0,1,MAX(0,IF(Inputs!$B$39="pvp",15,Inputs!$B$44)-MAX(5,B472))/(IF(Inputs!$B$39="pvp",15,Inputs!$B$44)-(B472))))*IF(AND(ArtifactsInput!$M$42,((Inputs!$B$9+((C453=TRUE)*(F453-Calc!F26))+B461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433*(1-MIN(100,(Inputs!$B$9+((C453=TRUE)*(F453-Calc!F26))+B461+(ArtifactsInput!$M$24-ArtifactsInput!$M$24)*CHOOSE(ArtifactsInput!$N$24+1,10,12,14,16,18,20)+(IF(AND(Inputs!$B$39&lt;&gt;"pvp",Inputs!$B$44=0),1,IF(IF(Inputs!$B$39="pvp",15,Inputs!$B$44)-(B472)&lt;=0,1,MAX(0,IF(Inputs!$B$39="pvp",15,Inputs!$B$44)-MAX(5,B472))/(IF(Inputs!$B$39="pvp",15,Inputs!$B$44)-(B472))))*IF(AND(ArtifactsInput!$M$42,((Inputs!$B$9+((C453=TRUE)*(F453-Calc!F26))+B461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433*(MIN(100,(Inputs!$B$9+((C453=TRUE)*(F453-Calc!F26))+B461+(ArtifactsInput!$M$24-ArtifactsInput!$M$24)*CHOOSE(ArtifactsInput!$N$24+1,10,12,14,16,18,20)+(IF(AND(Inputs!$B$39&lt;&gt;"pvp",Inputs!$B$44=0),1,IF(IF(Inputs!$B$39="pvp",15,Inputs!$B$44)-(B472)&lt;=0,1,MAX(0,IF(Inputs!$B$39="pvp",15,Inputs!$B$44)-MAX(5,B472))/(IF(Inputs!$B$39="pvp",15,Inputs!$B$44)-(B472))))*IF(AND(ArtifactsInput!$M$42,((Inputs!$B$9+((C453=TRUE)*(F453-Calc!F26))+B461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433">
        <f>IF(C433,(H433*N433*IF(AND(Inputs!$B$39&lt;&gt;"pvp",Inputs!$B$44&gt;0),((Skills!G6*((R433-1)*IF(Skills!H6&gt;0,Skills!I6/Skills!H6,1)+IF(Skills!H6&gt;0,MIN(Skills!I6,MAX(0,MAX(0,Inputs!$B$44-B472)-((R433-1)*IF(Inputs!$B$39="pvp",15,MAX(0.1,Skills!D6-IF(TRUE=TRUE,Inputs!$B$32,0))))))/Skills!H6,1)))/Inputs!$B$44),G433*Q433))*IF(Inputs!$B$39="pvp",1,(1+(Inputs!$B$21+Skills!Q6+B462+(IF(ArtifactsInput!$M$33,CHOOSE(ArtifactsInput!$N$33+1,30,36,42,48,54,60),0))+(IF(AND(ArtifactsInput!$M$35,Inputs!$B$4&lt;&gt;"Chapter Hunt"),CHOOSE(ArtifactsInput!$N$35+1,15,18,21,24,27,30)*(1-EXP(-(0.2*B465)*5)),0)+IF(AND(ArtifactsInput!$M$22,Inputs!$B$4&lt;&gt;"Chapter Hunt"),CHOOSE(ArtifactsInput!$N$22+1,10,12,14,16,18,20)*((0*(((0.15*B465*5))^0/1)+1*(((0.15*B465*5))^1/1)+2*(((0.15*B465*5))^2/2)+3*(((0.15*B465*5))^3/6)+4*(((0.15*B465*5))^4/24)+5*(((0.15*B465*5))^5/120))/((((0.15*B465*5))^0/1)+(((0.15*B465*5))^1/1)+(((0.15*B465*5))^2/2)+(((0.15*B465*5))^3/6)+(((0.15*B465*5))^4/24)+(((0.15*B465*5))^5/120))),0)))/100)*(MIN(Skills!W6,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434">
      <c r="A434">
        <f>Skills!A7</f>
        <v/>
      </c>
      <c r="B434">
        <f>Skills!B7</f>
        <v/>
      </c>
      <c r="C434">
        <f>Inputs!$B$3&gt;=69</f>
        <v/>
      </c>
      <c r="D434">
        <f>IF(Skills!C7=1,60+Inputs!$B$25+Inputs!$B$29,IF(Skills!C7=2,90+Inputs!$B$26+Inputs!$B$29,IF(Skills!C7=3,120+Inputs!$B$27+Inputs!$B$29,MAX(0,(Inputs!$B$3-100)*3)+Inputs!$B$28+Inputs!$B$29)))</f>
        <v/>
      </c>
      <c r="E434">
        <f>INDEX(FactorTable!$B$2:$Y$301, MATCH(ROUND(MIN(300,MAX(1,D434)),0), FactorTable!$A$2:$A$301,0), Skills!M7+1)</f>
        <v/>
      </c>
      <c r="F434">
        <f>IF(Skills!N7=TRUE,(Skills!L7/10)*(E434/1000),Skills!L7/10)+Skills!O7</f>
        <v/>
      </c>
      <c r="G434">
        <f>Skills!G7*IF(Skills!H7&gt;0,IF(Inputs!$B$39="pvp",MIN(Skills!I7,15),Skills!I7)/Skills!H7,1)</f>
        <v/>
      </c>
      <c r="H434">
        <f>1-(1-Skills!J7/100)^Skills!K7</f>
        <v/>
      </c>
      <c r="I434" t="inlineStr">
        <is>
          <t>1</t>
        </is>
      </c>
      <c r="J434">
        <f>((Inputs!$B$6*(1+Inputs!$B$7/100))+(((Inputs!$B$12*(1+Inputs!$B$13/100))-(Inputs!$B$12*(1+Inputs!$B$13/100)))+0.25*(Inputs!$B$14-Inputs!$B$14))*(1+Inputs!$B$7/100))*(F434/100)</f>
        <v/>
      </c>
      <c r="K434">
        <f>J434*(1+((Inputs!$B$12*(1+Inputs!$B$13/100))*0.01+Inputs!$B$14*0.0025)/100)*(1+Inputs!$B$15/100)*(1+Inputs!$B$16/100)*(5000/(6000+Inputs!$B$43*(1-(100*(1-(1-Inputs!$B$19/100)*(1-CHOOSE(ArtifactsInput!$N$40+1,5,6,7,8,9,10)/100)^(ArtifactsInput!$M$40-ArtifactsInput!$M$40)))/100)))*(1+(((((1+Inputs!$B$24/100)*(1.01))-1)*100)+((C458=TRUE)*(F458-Calc!F31))+((C445=TRUE)*(F445-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446=TRUE,F446,0)/100)*(1+(IF(Skills!A7="CRUEL_STAB",Inputs!$B$17+((C455=TRUE)*(F455-Calc!F28))+((IF(AND(Inputs!$B$39&lt;&gt;"pvp",Inputs!$B$44=0),1,IF(IF(Inputs!$B$39="pvp",15,Inputs!$B$44)-(B472)&lt;=0,1,MAX(0,IF(Inputs!$B$39="pvp",15,Inputs!$B$44)-MAX(5,B472))/(IF(Inputs!$B$39="pvp",15,Inputs!$B$44)-(B472))))*(IF(AND(ArtifactsInput!$M$42,((Inputs!$B$9+((C453=TRUE)*(F453-Calc!F26))+B461+(ArtifactsInput!$M$24-ArtifactsInput!$M$24)*CHOOSE(ArtifactsInput!$N$24+1,10,12,14,16,18,20)+IF(ArtifactsInput!$M$10,CHOOSE(ArtifactsInput!$N$10+1,15,18,21,24,27,30)*(IF(Inputs!$B$39="pvp",MIN(15,15)/15,IF(AND(Inputs!$B$39&lt;&gt;"pvp",Inputs!$B$44&gt;0),MIN(15,Inputs!$B$44)/(Inputs!$B$44),0))),0)))&gt;=100),MIN(100,((Inputs!$B$9+((C453=TRUE)*(F453-Calc!F26))+B461+(ArtifactsInput!$M$24-ArtifactsInput!$M$24)*CHOOSE(ArtifactsInput!$N$24+1,10,12,14,16,18,20)+IF(ArtifactsInput!$M$10,CHOOSE(ArtifactsInput!$N$10+1,15,18,21,24,27,30)*(IF(Inputs!$B$39="pvp",MIN(15,15)/15,IF(AND(Inputs!$B$39&lt;&gt;"pvp",Inputs!$B$44&gt;0),MIN(15,Inputs!$B$44)/(Inputs!$B$44),0))),0)))-100),0))*CHOOSE(ArtifactsInput!$N$42+1,0.6,0.72,0.84,0.96,1.08,1.2))),Inputs!$B$18+((C456=TRUE)*(F456-Calc!F29))+(IF(AND(Inputs!$B$39&lt;&gt;"pvp",Inputs!$B$44=0),1,IF(IF(Inputs!$B$39="pvp",15,Inputs!$B$44)-(B472)&lt;=0,1,MAX(0,IF(Inputs!$B$39="pvp",15,Inputs!$B$44)-MAX(5,B472))/(IF(Inputs!$B$39="pvp",15,Inputs!$B$44)-(B472))))*IF(AND(ArtifactsInput!$M$42,((Inputs!$B$9+((C453=TRUE)*(F453-Calc!F26))+B461+(ArtifactsInput!$M$24-ArtifactsInput!$M$24)*CHOOSE(ArtifactsInput!$N$24+1,10,12,14,16,18,20)+IF(ArtifactsInput!$M$10,CHOOSE(ArtifactsInput!$N$10+1,15,18,21,24,27,30)*(IF(Inputs!$B$39="pvp",MIN(15,15)/15,IF(AND(Inputs!$B$39&lt;&gt;"pvp",Inputs!$B$44&gt;0),MIN(15,Inputs!$B$44)/(Inputs!$B$44),0))),0)))&gt;=100),CHOOSE(ArtifactsInput!$N$42+1,40,48,56,64,72,80),0))))/100)*(((1+(((C449=TRUE)*F449*IF(AND(Inputs!$B$39&lt;&gt;"pvp",Inputs!$B$44&gt;0),(((R449-1)*MIN((Skills!Y22*(1+Inputs!$B$34/100)),(1/Q449))+MIN((Skills!Y22*(1+Inputs!$B$34/100)),MAX(0,Inputs!$B$44-((R449-1)*(1/Q449)))))/Inputs!$B$44),IF(Inputs!$B$39="pvp",MIN((Skills!Y22*(1+Inputs!$B$34/100)),15)/15,MIN(1,(Skills!Y22*(1+Inputs!$B$34/100))/(1/Q449)))))+((C430=TRUE)*F430*3)+((C432=TRUE)*F432*(1-EXP(-0.75*B465*5)))+((C451=TRUE)*(F451-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438=TRUE)*F438*IF(AND(Inputs!$B$39&lt;&gt;"pvp",Inputs!$B$44&gt;0),(((R438-1)*MIN((Skills!Y11*(1+Inputs!$B$34/100)),(1/Q438))+MIN((Skills!Y11*(1+Inputs!$B$34/100)),MAX(0,Inputs!$B$44-((R438-1)*(1/Q438)))))/Inputs!$B$44),IF(Inputs!$B$39="pvp",MIN((Skills!Y11*(1+Inputs!$B$34/100)),15)/15,MIN(1,(Skills!Y11*(1+Inputs!$B$34/100))/(1/Q438)))))/100)*(1+((C443=TRUE)*F443*IF(AND(Inputs!$B$39&lt;&gt;"pvp",Inputs!$B$44&gt;0),(((R443-1)*MIN((Skills!Y16*(1+Inputs!$B$34/100)),(1/Q443))+MIN((Skills!Y16*(1+Inputs!$B$34/100)),MAX(0,Inputs!$B$44-((R443-1)*(1/Q443)))))/Inputs!$B$44),IF(Inputs!$B$39="pvp",MIN((Skills!Y16*(1+Inputs!$B$34/100)),15)/15,MIN(1,(Skills!Y16*(1+Inputs!$B$34/100))/(1/Q443)))))/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463*I434)</f>
        <v/>
      </c>
      <c r="L434">
        <f>K434*(MIN(Inputs!$B$22+((C452=TRUE)*(F452-Calc!F25)),(Inputs!$B$23+((C457=TRUE)*(F457-Calc!F30))+IF(ArtifactsInput!$M$15,CHOOSE(ArtifactsInput!$N$15+1,25,30,35,40,45,50)/100*(Inputs!$B$11-Inputs!$B$11),0)))/100+(Inputs!$B$23+((C457=TRUE)*(F457-Calc!F30))+IF(ArtifactsInput!$M$15,CHOOSE(ArtifactsInput!$N$15+1,25,30,35,40,45,50)/100*(Inputs!$B$11-Inputs!$B$11),0))/100)/2</f>
        <v/>
      </c>
      <c r="M434">
        <f>L434*(1+(Inputs!$B$10+((C454=TRUE)*(F454-Calc!F27))+B468+(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434">
        <f>L434*(1-MIN((Inputs!$B$9+((C453=TRUE)*(F453-Calc!F26))+B461+(ArtifactsInput!$M$24-ArtifactsInput!$M$24)*CHOOSE(ArtifactsInput!$N$24+1,10,12,14,16,18,20)+(IF(AND(Inputs!$B$39&lt;&gt;"pvp",Inputs!$B$44=0),1,IF(IF(Inputs!$B$39="pvp",15,Inputs!$B$44)-(B472)&lt;=0,1,MAX(0,IF(Inputs!$B$39="pvp",15,Inputs!$B$44)-MAX(5,B472))/(IF(Inputs!$B$39="pvp",15,Inputs!$B$44)-(B472))))*IF(AND(ArtifactsInput!$M$42,((Inputs!$B$9+((C453=TRUE)*(F453-Calc!F26))+B461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434*(MIN((Inputs!$B$9+((C453=TRUE)*(F453-Calc!F26))+B461+(ArtifactsInput!$M$24-ArtifactsInput!$M$24)*CHOOSE(ArtifactsInput!$N$24+1,10,12,14,16,18,20)+(IF(AND(Inputs!$B$39&lt;&gt;"pvp",Inputs!$B$44=0),1,IF(IF(Inputs!$B$39="pvp",15,Inputs!$B$44)-(B472)&lt;=0,1,MAX(0,IF(Inputs!$B$39="pvp",15,Inputs!$B$44)-MAX(5,B472))/(IF(Inputs!$B$39="pvp",15,Inputs!$B$44)-(B472))))*IF(AND(ArtifactsInput!$M$42,((Inputs!$B$9+((C453=TRUE)*(F453-Calc!F26))+B461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434">
        <f>(1-Summary!$B$11)*T434+Summary!$B$11*V434</f>
        <v/>
      </c>
      <c r="P434">
        <f>IF(B473=0,0,O434/B473)</f>
        <v/>
      </c>
      <c r="Q434">
        <f>IFERROR(1/IF(Inputs!$B$39="pvp",15,MAX(0.1,Skills!D7-IF(TRUE=TRUE,Inputs!$B$32,0))),0)</f>
        <v/>
      </c>
      <c r="R434">
        <f>IF(AND(Inputs!$B$39&lt;&gt;"pvp",Inputs!$B$44&gt;0),IF(MAX(0,Inputs!$B$44-B472)&lt;=0,0,(INT(MAX(0,Inputs!$B$44-B472)/IF(Inputs!$B$39="pvp",15,MAX(0.1,Skills!D7-IF(TRUE=TRUE,Inputs!$B$32,0))))+1)),0)</f>
        <v/>
      </c>
      <c r="S434">
        <f>IFERROR(O434/N434,0)</f>
        <v/>
      </c>
      <c r="T434">
        <f>IF(C434,(H434*N434*IF(AND(Inputs!$B$39&lt;&gt;"pvp",Inputs!$B$44&gt;0),((Skills!G7*((R434-1)*IF(Skills!H7&gt;0,Skills!I7/Skills!H7,1)+IF(Skills!H7&gt;0,MIN(Skills!I7,MAX(0,MAX(0,Inputs!$B$44-B472)-((R434-1)*IF(Inputs!$B$39="pvp",15,MAX(0.1,Skills!D7-IF(TRUE=TRUE,Inputs!$B$32,0))))))/Skills!H7,1)))/Inputs!$B$44),G434*Q434))*IF(Inputs!$B$39="pvp",1,1+(Inputs!$B$20+0+Skills!P7+B462+(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Hunt"),CHOOSE(ArtifactsInput!$N$35+1,15,18,21,24,27,30)*(1-EXP(-(0.2*B465)*5)),0)+IF(AND(ArtifactsInput!$M$22,Inputs!$B$4&lt;&gt;"Chapter Hunt"),CHOOSE(ArtifactsInput!$N$22+1,10,12,14,16,18,20)*((0*(((0.15*B465*5))^0/1)+1*(((0.15*B465*5))^1/1)+2*(((0.15*B465*5))^2/2)+3*(((0.15*B465*5))^3/6)+4*(((0.15*B465*5))^4/24)+5*(((0.15*B465*5))^5/120))/((((0.15*B465*5))^0/1)+(((0.15*B465*5))^1/1)+(((0.15*B465*5))^2/2)+(((0.15*B465*5))^3/6)+(((0.15*B465*5))^4/24)+(((0.15*B465*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434*(1-MIN(100,(Inputs!$B$9+((C453=TRUE)*(F453-Calc!F26))+B461+(ArtifactsInput!$M$24-ArtifactsInput!$M$24)*CHOOSE(ArtifactsInput!$N$24+1,10,12,14,16,18,20)+(IF(AND(Inputs!$B$39&lt;&gt;"pvp",Inputs!$B$44=0),1,IF(IF(Inputs!$B$39="pvp",15,Inputs!$B$44)-(B472)&lt;=0,1,MAX(0,IF(Inputs!$B$39="pvp",15,Inputs!$B$44)-MAX(5,B472))/(IF(Inputs!$B$39="pvp",15,Inputs!$B$44)-(B472))))*IF(AND(ArtifactsInput!$M$42,((Inputs!$B$9+((C453=TRUE)*(F453-Calc!F26))+B461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434*(MIN(100,(Inputs!$B$9+((C453=TRUE)*(F453-Calc!F26))+B461+(ArtifactsInput!$M$24-ArtifactsInput!$M$24)*CHOOSE(ArtifactsInput!$N$24+1,10,12,14,16,18,20)+(IF(AND(Inputs!$B$39&lt;&gt;"pvp",Inputs!$B$44=0),1,IF(IF(Inputs!$B$39="pvp",15,Inputs!$B$44)-(B472)&lt;=0,1,MAX(0,IF(Inputs!$B$39="pvp",15,Inputs!$B$44)-MAX(5,B472))/(IF(Inputs!$B$39="pvp",15,Inputs!$B$44)-(B472))))*IF(AND(ArtifactsInput!$M$42,((Inputs!$B$9+((C453=TRUE)*(F453-Calc!F26))+B461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434*(1-MIN(100,(Inputs!$B$9+((C453=TRUE)*(F453-Calc!F26))+B461+(ArtifactsInput!$M$24-ArtifactsInput!$M$24)*CHOOSE(ArtifactsInput!$N$24+1,10,12,14,16,18,20)+(IF(AND(Inputs!$B$39&lt;&gt;"pvp",Inputs!$B$44=0),1,IF(IF(Inputs!$B$39="pvp",15,Inputs!$B$44)-(B472)&lt;=0,1,MAX(0,IF(Inputs!$B$39="pvp",15,Inputs!$B$44)-MAX(5,B472))/(IF(Inputs!$B$39="pvp",15,Inputs!$B$44)-(B472))))*IF(AND(ArtifactsInput!$M$42,((Inputs!$B$9+((C453=TRUE)*(F453-Calc!F26))+B461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434*(MIN(100,(Inputs!$B$9+((C453=TRUE)*(F453-Calc!F26))+B461+(ArtifactsInput!$M$24-ArtifactsInput!$M$24)*CHOOSE(ArtifactsInput!$N$24+1,10,12,14,16,18,20)+(IF(AND(Inputs!$B$39&lt;&gt;"pvp",Inputs!$B$44=0),1,IF(IF(Inputs!$B$39="pvp",15,Inputs!$B$44)-(B472)&lt;=0,1,MAX(0,IF(Inputs!$B$39="pvp",15,Inputs!$B$44)-MAX(5,B472))/(IF(Inputs!$B$39="pvp",15,Inputs!$B$44)-(B472))))*IF(AND(ArtifactsInput!$M$42,((Inputs!$B$9+((C453=TRUE)*(F453-Calc!F26))+B461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434">
        <f>IF(C434,(H434*N434*IF(AND(Inputs!$B$39&lt;&gt;"pvp",Inputs!$B$44&gt;0),((Skills!G7*((R434-1)*IF(Skills!H7&gt;0,Skills!I7/Skills!H7,1)+IF(Skills!H7&gt;0,MIN(Skills!I7,MAX(0,MAX(0,Inputs!$B$44-B472)-((R434-1)*IF(Inputs!$B$39="pvp",15,MAX(0.1,Skills!D7-IF(TRUE=TRUE,Inputs!$B$32,0))))))/Skills!H7,1)))/Inputs!$B$44),G434*Q434))*IF(Inputs!$B$39="pvp",1,(1+(Inputs!$B$21+Skills!Q7+B462+(IF(ArtifactsInput!$M$33,CHOOSE(ArtifactsInput!$N$33+1,30,36,42,48,54,60),0))+(IF(AND(ArtifactsInput!$M$35,Inputs!$B$4&lt;&gt;"Chapter Hunt"),CHOOSE(ArtifactsInput!$N$35+1,15,18,21,24,27,30)*(1-EXP(-(0.2*B465)*5)),0)+IF(AND(ArtifactsInput!$M$22,Inputs!$B$4&lt;&gt;"Chapter Hunt"),CHOOSE(ArtifactsInput!$N$22+1,10,12,14,16,18,20)*((0*(((0.15*B465*5))^0/1)+1*(((0.15*B465*5))^1/1)+2*(((0.15*B465*5))^2/2)+3*(((0.15*B465*5))^3/6)+4*(((0.15*B465*5))^4/24)+5*(((0.15*B465*5))^5/120))/((((0.15*B465*5))^0/1)+(((0.15*B465*5))^1/1)+(((0.15*B465*5))^2/2)+(((0.15*B465*5))^3/6)+(((0.15*B465*5))^4/24)+(((0.15*B465*5))^5/120))),0)))/100)*(MIN(Skills!W7,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435">
      <c r="A435">
        <f>Skills!A8</f>
        <v/>
      </c>
      <c r="B435">
        <f>Skills!B8</f>
        <v/>
      </c>
      <c r="C435">
        <f>Inputs!$B$3&gt;=60</f>
        <v/>
      </c>
      <c r="D435">
        <f>IF(Skills!C8=1,60+Inputs!$B$25+Inputs!$B$29,IF(Skills!C8=2,90+Inputs!$B$26+Inputs!$B$29,IF(Skills!C8=3,120+Inputs!$B$27+Inputs!$B$29,MAX(0,(Inputs!$B$3-100)*3)+Inputs!$B$28+Inputs!$B$29)))</f>
        <v/>
      </c>
      <c r="E435">
        <f>INDEX(FactorTable!$B$2:$Y$301, MATCH(ROUND(MIN(300,MAX(1,D435)),0), FactorTable!$A$2:$A$301,0), Skills!M8+1)</f>
        <v/>
      </c>
      <c r="F435">
        <f>IF(Skills!N8=TRUE,(Skills!L8/10)*(E435/1000),Skills!L8/10)+Skills!O8</f>
        <v/>
      </c>
      <c r="G435">
        <f>Skills!G8*IF(Skills!H8&gt;0,IF(Inputs!$B$39="pvp",MIN(Skills!I8,15),Skills!I8)/Skills!H8,1)</f>
        <v/>
      </c>
      <c r="H435">
        <f>1-(1-Skills!J8/100)^Skills!K8</f>
        <v/>
      </c>
      <c r="I435" t="inlineStr">
        <is>
          <t>1</t>
        </is>
      </c>
      <c r="J435" t="inlineStr"/>
      <c r="K435" t="inlineStr"/>
      <c r="L435" t="inlineStr"/>
      <c r="M435" t="inlineStr"/>
      <c r="N435" t="inlineStr"/>
      <c r="O435">
        <f>(1-Summary!$B$11)*T435+Summary!$B$11*V435</f>
        <v/>
      </c>
      <c r="P435">
        <f>IF(B473=0,0,O435/B473)</f>
        <v/>
      </c>
      <c r="Q435" t="n">
        <v>0</v>
      </c>
      <c r="R435" t="n">
        <v>0</v>
      </c>
      <c r="S435">
        <f>IFERROR(O435/N435,0)</f>
        <v/>
      </c>
      <c r="T435" t="n">
        <v>0</v>
      </c>
      <c r="V435" t="n">
        <v>0</v>
      </c>
    </row>
    <row r="436">
      <c r="A436">
        <f>Skills!A9</f>
        <v/>
      </c>
      <c r="B436">
        <f>Skills!B9</f>
        <v/>
      </c>
      <c r="C436">
        <f>Inputs!$B$3&gt;=72</f>
        <v/>
      </c>
      <c r="D436">
        <f>IF(Skills!C9=1,60+Inputs!$B$25+Inputs!$B$29,IF(Skills!C9=2,90+Inputs!$B$26+Inputs!$B$29,IF(Skills!C9=3,120+Inputs!$B$27+Inputs!$B$29,MAX(0,(Inputs!$B$3-100)*3)+Inputs!$B$28+Inputs!$B$29)))</f>
        <v/>
      </c>
      <c r="E436">
        <f>INDEX(FactorTable!$B$2:$Y$301, MATCH(ROUND(MIN(300,MAX(1,D436)),0), FactorTable!$A$2:$A$301,0), Skills!M9+1)</f>
        <v/>
      </c>
      <c r="F436">
        <f>IF(Skills!N9=TRUE,(Skills!L9/10)*(E436/1000),Skills!L9/10)+Skills!O9</f>
        <v/>
      </c>
      <c r="G436">
        <f>Skills!G9*IF(Skills!H9&gt;0,IF(Inputs!$B$39="pvp",MIN(Skills!I9,15),Skills!I9)/Skills!H9,1)</f>
        <v/>
      </c>
      <c r="H436">
        <f>1-(1-Skills!J9/100)^Skills!K9</f>
        <v/>
      </c>
      <c r="I436" t="inlineStr">
        <is>
          <t>1</t>
        </is>
      </c>
      <c r="J436">
        <f>((Inputs!$B$6*(1+Inputs!$B$7/100))+(((Inputs!$B$12*(1+Inputs!$B$13/100))-(Inputs!$B$12*(1+Inputs!$B$13/100)))+0.25*(Inputs!$B$14-Inputs!$B$14))*(1+Inputs!$B$7/100))*(F436/100)</f>
        <v/>
      </c>
      <c r="K436">
        <f>J436*(1+((Inputs!$B$12*(1+Inputs!$B$13/100))*0.01+Inputs!$B$14*0.0025)/100)*(1+Inputs!$B$15/100)*(1+Inputs!$B$16/100)*(5000/(6000+Inputs!$B$43*(1-(100*(1-(1-Inputs!$B$19/100)*(1-CHOOSE(ArtifactsInput!$N$40+1,5,6,7,8,9,10)/100)^(ArtifactsInput!$M$40-ArtifactsInput!$M$40)))/100)))*(1+(((((1+Inputs!$B$24/100)*(1.01))-1)*100)+((C458=TRUE)*(F458-Calc!F31))+((C445=TRUE)*(F445-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+3.3333333333333335*IF(C446=TRUE,F446,0)/100)*(1+(IF(Skills!A9="CRUEL_STAB",Inputs!$B$17+((C455=TRUE)*(F455-Calc!F28))+((IF(AND(Inputs!$B$39&lt;&gt;"pvp",Inputs!$B$44=0),1,IF(IF(Inputs!$B$39="pvp",15,Inputs!$B$44)-(B472)&lt;=0,1,MAX(0,IF(Inputs!$B$39="pvp",15,Inputs!$B$44)-MAX(5,B472))/(IF(Inputs!$B$39="pvp",15,Inputs!$B$44)-(B472))))*(IF(AND(ArtifactsInput!$M$42,((Inputs!$B$9+((C453=TRUE)*(F453-Calc!F26))+B461+(ArtifactsInput!$M$24-ArtifactsInput!$M$24)*CHOOSE(ArtifactsInput!$N$24+1,10,12,14,16,18,20)+IF(ArtifactsInput!$M$10,CHOOSE(ArtifactsInput!$N$10+1,15,18,21,24,27,30)*(IF(Inputs!$B$39="pvp",MIN(15,15)/15,IF(AND(Inputs!$B$39&lt;&gt;"pvp",Inputs!$B$44&gt;0),MIN(15,Inputs!$B$44)/(Inputs!$B$44),0))),0)))&gt;=100),MIN(100,((Inputs!$B$9+((C453=TRUE)*(F453-Calc!F26))+B461+(ArtifactsInput!$M$24-ArtifactsInput!$M$24)*CHOOSE(ArtifactsInput!$N$24+1,10,12,14,16,18,20)+IF(ArtifactsInput!$M$10,CHOOSE(ArtifactsInput!$N$10+1,15,18,21,24,27,30)*(IF(Inputs!$B$39="pvp",MIN(15,15)/15,IF(AND(Inputs!$B$39&lt;&gt;"pvp",Inputs!$B$44&gt;0),MIN(15,Inputs!$B$44)/(Inputs!$B$44),0))),0)))-100),0))*CHOOSE(ArtifactsInput!$N$42+1,0.6,0.72,0.84,0.96,1.08,1.2))),Inputs!$B$18+((C456=TRUE)*(F456-Calc!F29))+(IF(AND(Inputs!$B$39&lt;&gt;"pvp",Inputs!$B$44=0),1,IF(IF(Inputs!$B$39="pvp",15,Inputs!$B$44)-(B472)&lt;=0,1,MAX(0,IF(Inputs!$B$39="pvp",15,Inputs!$B$44)-MAX(5,B472))/(IF(Inputs!$B$39="pvp",15,Inputs!$B$44)-(B472))))*IF(AND(ArtifactsInput!$M$42,((Inputs!$B$9+((C453=TRUE)*(F453-Calc!F26))+B461+(ArtifactsInput!$M$24-ArtifactsInput!$M$24)*CHOOSE(ArtifactsInput!$N$24+1,10,12,14,16,18,20)+IF(ArtifactsInput!$M$10,CHOOSE(ArtifactsInput!$N$10+1,15,18,21,24,27,30)*(IF(Inputs!$B$39="pvp",MIN(15,15)/15,IF(AND(Inputs!$B$39&lt;&gt;"pvp",Inputs!$B$44&gt;0),MIN(15,Inputs!$B$44)/(Inputs!$B$44),0))),0)))&gt;=100),CHOOSE(ArtifactsInput!$N$42+1,40,48,56,64,72,80),0))))/100)*(((1+(((C449=TRUE)*F449*IF(AND(Inputs!$B$39&lt;&gt;"pvp",Inputs!$B$44&gt;0),(((R449-1)*MIN((Skills!Y22*(1+Inputs!$B$34/100)),(1/Q449))+MIN((Skills!Y22*(1+Inputs!$B$34/100)),MAX(0,Inputs!$B$44-((R449-1)*(1/Q449)))))/Inputs!$B$44),IF(Inputs!$B$39="pvp",MIN((Skills!Y22*(1+Inputs!$B$34/100)),15)/15,MIN(1,(Skills!Y22*(1+Inputs!$B$34/100))/(1/Q449)))))+((C430=TRUE)*F430*3)+((C432=TRUE)*F432*(1-EXP(-0.75*B465*5)))+((C451=TRUE)*(F451-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438=TRUE)*F438*IF(AND(Inputs!$B$39&lt;&gt;"pvp",Inputs!$B$44&gt;0),(((R438-1)*MIN((Skills!Y11*(1+Inputs!$B$34/100)),(1/Q438))+MIN((Skills!Y11*(1+Inputs!$B$34/100)),MAX(0,Inputs!$B$44-((R438-1)*(1/Q438)))))/Inputs!$B$44),IF(Inputs!$B$39="pvp",MIN((Skills!Y11*(1+Inputs!$B$34/100)),15)/15,MIN(1,(Skills!Y11*(1+Inputs!$B$34/100))/(1/Q438)))))/100)*(1+((C443=TRUE)*F443*IF(AND(Inputs!$B$39&lt;&gt;"pvp",Inputs!$B$44&gt;0),(((R443-1)*MIN((Skills!Y16*(1+Inputs!$B$34/100)),(1/Q443))+MIN((Skills!Y16*(1+Inputs!$B$34/100)),MAX(0,Inputs!$B$44-((R443-1)*(1/Q443)))))/Inputs!$B$44),IF(Inputs!$B$39="pvp",MIN((Skills!Y16*(1+Inputs!$B$34/100)),15)/15,MIN(1,(Skills!Y16*(1+Inputs!$B$34/100))/(1/Q443)))))/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463*I436)</f>
        <v/>
      </c>
      <c r="L436">
        <f>K436*(MIN(Inputs!$B$22+((C452=TRUE)*(F452-Calc!F25)),(Inputs!$B$23+((C457=TRUE)*(F457-Calc!F30))+IF(ArtifactsInput!$M$15,CHOOSE(ArtifactsInput!$N$15+1,25,30,35,40,45,50)/100*(Inputs!$B$11-Inputs!$B$11),0)))/100+(Inputs!$B$23+((C457=TRUE)*(F457-Calc!F30))+IF(ArtifactsInput!$M$15,CHOOSE(ArtifactsInput!$N$15+1,25,30,35,40,45,50)/100*(Inputs!$B$11-Inputs!$B$11),0))/100)/2</f>
        <v/>
      </c>
      <c r="M436">
        <f>L436*(1+(Inputs!$B$10+((C454=TRUE)*(F454-Calc!F27))+B468+(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436">
        <f>L436*(1-MIN((Inputs!$B$9+((C453=TRUE)*(F453-Calc!F26))+B461+(ArtifactsInput!$M$24-ArtifactsInput!$M$24)*CHOOSE(ArtifactsInput!$N$24+1,10,12,14,16,18,20)+(IF(AND(Inputs!$B$39&lt;&gt;"pvp",Inputs!$B$44=0),1,IF(IF(Inputs!$B$39="pvp",15,Inputs!$B$44)-(B472)&lt;=0,1,MAX(0,IF(Inputs!$B$39="pvp",15,Inputs!$B$44)-MAX(5,B472))/(IF(Inputs!$B$39="pvp",15,Inputs!$B$44)-(B472))))*IF(AND(ArtifactsInput!$M$42,((Inputs!$B$9+((C453=TRUE)*(F453-Calc!F26))+B461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436*(MIN((Inputs!$B$9+((C453=TRUE)*(F453-Calc!F26))+B461+(ArtifactsInput!$M$24-ArtifactsInput!$M$24)*CHOOSE(ArtifactsInput!$N$24+1,10,12,14,16,18,20)+(IF(AND(Inputs!$B$39&lt;&gt;"pvp",Inputs!$B$44=0),1,IF(IF(Inputs!$B$39="pvp",15,Inputs!$B$44)-(B472)&lt;=0,1,MAX(0,IF(Inputs!$B$39="pvp",15,Inputs!$B$44)-MAX(5,B472))/(IF(Inputs!$B$39="pvp",15,Inputs!$B$44)-(B472))))*IF(AND(ArtifactsInput!$M$42,((Inputs!$B$9+((C453=TRUE)*(F453-Calc!F26))+B461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436">
        <f>(1-Summary!$B$11)*T436+Summary!$B$11*V436</f>
        <v/>
      </c>
      <c r="P436">
        <f>IF(B473=0,0,O436/B473)</f>
        <v/>
      </c>
      <c r="Q436">
        <f>IFERROR(1/IF(Inputs!$B$39="pvp",15,MAX(0.1,Skills!D9-IF(FALSE=TRUE,Inputs!$B$32,0))),0)</f>
        <v/>
      </c>
      <c r="R436">
        <f>IF(AND(Inputs!$B$39&lt;&gt;"pvp",Inputs!$B$44&gt;0),IF(MAX(0,Inputs!$B$44-B472)&lt;=0,0,(INT(MAX(0,Inputs!$B$44-B472)/IF(Inputs!$B$39="pvp",15,MAX(0.1,Skills!D9-IF(FALSE=TRUE,Inputs!$B$32,0))))+1)),0)</f>
        <v/>
      </c>
      <c r="S436">
        <f>IFERROR(O436/N436,0)</f>
        <v/>
      </c>
      <c r="T436">
        <f>IF(C436,(H436*N436*IF(AND(Inputs!$B$39&lt;&gt;"pvp",Inputs!$B$44&gt;0),((Skills!G9*((R436-1)*IF(Skills!H9&gt;0,Skills!I9/Skills!H9,1)+IF(Skills!H9&gt;0,MIN(Skills!I9,MAX(0,MAX(0,Inputs!$B$44-B472)-((R436-1)*IF(Inputs!$B$39="pvp",15,MAX(0.1,Skills!D9-IF(FALSE=TRUE,Inputs!$B$32,0))))))/Skills!H9,1)))/Inputs!$B$44),G436*Q436))*IF(Inputs!$B$39="pvp",1,1+(Inputs!$B$20+0+Skills!P9+B462+(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Hunt"),CHOOSE(ArtifactsInput!$N$35+1,15,18,21,24,27,30)*(1-EXP(-(0.2*B465)*5)),0)+IF(AND(ArtifactsInput!$M$22,Inputs!$B$4&lt;&gt;"Chapter Hunt"),CHOOSE(ArtifactsInput!$N$22+1,10,12,14,16,18,20)*((0*(((0.15*B465*5))^0/1)+1*(((0.15*B465*5))^1/1)+2*(((0.15*B465*5))^2/2)+3*(((0.15*B465*5))^3/6)+4*(((0.15*B465*5))^4/24)+5*(((0.15*B465*5))^5/120))/((((0.15*B465*5))^0/1)+(((0.15*B465*5))^1/1)+(((0.15*B465*5))^2/2)+(((0.15*B465*5))^3/6)+(((0.15*B465*5))^4/24)+(((0.15*B465*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436*(1-MIN(100,(Inputs!$B$9+((C453=TRUE)*(F453-Calc!F26))+B461+(ArtifactsInput!$M$24-ArtifactsInput!$M$24)*CHOOSE(ArtifactsInput!$N$24+1,10,12,14,16,18,20)+(IF(AND(Inputs!$B$39&lt;&gt;"pvp",Inputs!$B$44=0),1,IF(IF(Inputs!$B$39="pvp",15,Inputs!$B$44)-(B472)&lt;=0,1,MAX(0,IF(Inputs!$B$39="pvp",15,Inputs!$B$44)-MAX(5,B472))/(IF(Inputs!$B$39="pvp",15,Inputs!$B$44)-(B472))))*IF(AND(ArtifactsInput!$M$42,((Inputs!$B$9+((C453=TRUE)*(F453-Calc!F26))+B461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436*(MIN(100,(Inputs!$B$9+((C453=TRUE)*(F453-Calc!F26))+B461+(ArtifactsInput!$M$24-ArtifactsInput!$M$24)*CHOOSE(ArtifactsInput!$N$24+1,10,12,14,16,18,20)+(IF(AND(Inputs!$B$39&lt;&gt;"pvp",Inputs!$B$44=0),1,IF(IF(Inputs!$B$39="pvp",15,Inputs!$B$44)-(B472)&lt;=0,1,MAX(0,IF(Inputs!$B$39="pvp",15,Inputs!$B$44)-MAX(5,B472))/(IF(Inputs!$B$39="pvp",15,Inputs!$B$44)-(B472))))*IF(AND(ArtifactsInput!$M$42,((Inputs!$B$9+((C453=TRUE)*(F453-Calc!F26))+B461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436*(1-MIN(100,(Inputs!$B$9+((C453=TRUE)*(F453-Calc!F26))+B461+(ArtifactsInput!$M$24-ArtifactsInput!$M$24)*CHOOSE(ArtifactsInput!$N$24+1,10,12,14,16,18,20)+(IF(AND(Inputs!$B$39&lt;&gt;"pvp",Inputs!$B$44=0),1,IF(IF(Inputs!$B$39="pvp",15,Inputs!$B$44)-(B472)&lt;=0,1,MAX(0,IF(Inputs!$B$39="pvp",15,Inputs!$B$44)-MAX(5,B472))/(IF(Inputs!$B$39="pvp",15,Inputs!$B$44)-(B472))))*IF(AND(ArtifactsInput!$M$42,((Inputs!$B$9+((C453=TRUE)*(F453-Calc!F26))+B461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436*(MIN(100,(Inputs!$B$9+((C453=TRUE)*(F453-Calc!F26))+B461+(ArtifactsInput!$M$24-ArtifactsInput!$M$24)*CHOOSE(ArtifactsInput!$N$24+1,10,12,14,16,18,20)+(IF(AND(Inputs!$B$39&lt;&gt;"pvp",Inputs!$B$44=0),1,IF(IF(Inputs!$B$39="pvp",15,Inputs!$B$44)-(B472)&lt;=0,1,MAX(0,IF(Inputs!$B$39="pvp",15,Inputs!$B$44)-MAX(5,B472))/(IF(Inputs!$B$39="pvp",15,Inputs!$B$44)-(B472))))*IF(AND(ArtifactsInput!$M$42,((Inputs!$B$9+((C453=TRUE)*(F453-Calc!F26))+B461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436">
        <f>IF(C436,(H436*N436*IF(AND(Inputs!$B$39&lt;&gt;"pvp",Inputs!$B$44&gt;0),((Skills!G9*((R436-1)*IF(Skills!H9&gt;0,Skills!I9/Skills!H9,1)+IF(Skills!H9&gt;0,MIN(Skills!I9,MAX(0,MAX(0,Inputs!$B$44-B472)-((R436-1)*IF(Inputs!$B$39="pvp",15,MAX(0.1,Skills!D9-IF(FALSE=TRUE,Inputs!$B$32,0))))))/Skills!H9,1)))/Inputs!$B$44),G436*Q436))*IF(Inputs!$B$39="pvp",1,(1+(Inputs!$B$21+Skills!Q9+B462+(IF(ArtifactsInput!$M$33,CHOOSE(ArtifactsInput!$N$33+1,30,36,42,48,54,60),0))+(IF(AND(ArtifactsInput!$M$35,Inputs!$B$4&lt;&gt;"Chapter Hunt"),CHOOSE(ArtifactsInput!$N$35+1,15,18,21,24,27,30)*(1-EXP(-(0.2*B465)*5)),0)+IF(AND(ArtifactsInput!$M$22,Inputs!$B$4&lt;&gt;"Chapter Hunt"),CHOOSE(ArtifactsInput!$N$22+1,10,12,14,16,18,20)*((0*(((0.15*B465*5))^0/1)+1*(((0.15*B465*5))^1/1)+2*(((0.15*B465*5))^2/2)+3*(((0.15*B465*5))^3/6)+4*(((0.15*B465*5))^4/24)+5*(((0.15*B465*5))^5/120))/((((0.15*B465*5))^0/1)+(((0.15*B465*5))^1/1)+(((0.15*B465*5))^2/2)+(((0.15*B465*5))^3/6)+(((0.15*B465*5))^4/24)+(((0.15*B465*5))^5/120))),0)))/100)*(MIN(Skills!W9,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437">
      <c r="A437">
        <f>Skills!A10</f>
        <v/>
      </c>
      <c r="B437">
        <f>Skills!B10</f>
        <v/>
      </c>
      <c r="C437">
        <f>Inputs!$B$3&gt;=117</f>
        <v/>
      </c>
      <c r="D437">
        <f>IF(Skills!C10=1,60+Inputs!$B$25+Inputs!$B$29,IF(Skills!C10=2,90+Inputs!$B$26+Inputs!$B$29,IF(Skills!C10=3,120+Inputs!$B$27+Inputs!$B$29,MAX(0,(Inputs!$B$3-100)*3)+Inputs!$B$28+Inputs!$B$29)))</f>
        <v/>
      </c>
      <c r="E437">
        <f>INDEX(FactorTable!$B$2:$Y$301, MATCH(ROUND(MIN(300,MAX(1,D437)),0), FactorTable!$A$2:$A$301,0), Skills!M10+1)</f>
        <v/>
      </c>
      <c r="F437">
        <f>IF(Skills!N10=TRUE,(Skills!L10/10)*(E437/1000),Skills!L10/10)+Skills!O10</f>
        <v/>
      </c>
      <c r="G437">
        <f>Skills!G10*IF(Skills!H10&gt;0,IF(Inputs!$B$39="pvp",MIN(Skills!I10,15),Skills!I10)/Skills!H10,1)</f>
        <v/>
      </c>
      <c r="H437">
        <f>1-(1-Skills!J10/100)^Skills!K10</f>
        <v/>
      </c>
      <c r="I437" t="inlineStr">
        <is>
          <t>1</t>
        </is>
      </c>
      <c r="J437">
        <f>((Inputs!$B$6*(1+Inputs!$B$7/100))+(((Inputs!$B$12*(1+Inputs!$B$13/100))-(Inputs!$B$12*(1+Inputs!$B$13/100)))+0.25*(Inputs!$B$14-Inputs!$B$14))*(1+Inputs!$B$7/100))*(F437/100)</f>
        <v/>
      </c>
      <c r="K437">
        <f>J437*(1+((Inputs!$B$12*(1+Inputs!$B$13/100))*0.01+Inputs!$B$14*0.0025)/100)*(1+Inputs!$B$15/100)*(1+Inputs!$B$16/100)*(5000/(6000+Inputs!$B$43*(1-(100*(1-(1-Inputs!$B$19/100)*(1-CHOOSE(ArtifactsInput!$N$40+1,5,6,7,8,9,10)/100)^(ArtifactsInput!$M$40-ArtifactsInput!$M$40)))/100)))*(1+(((((1+Inputs!$B$24/100)*(1.01))-1)*100)+((C458=TRUE)*(F458-Calc!F31))+((C445=TRUE)*(F445-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10="CRUEL_STAB",Inputs!$B$17+((C455=TRUE)*(F455-Calc!F28))+((IF(AND(Inputs!$B$39&lt;&gt;"pvp",Inputs!$B$44=0),1,IF(IF(Inputs!$B$39="pvp",15,Inputs!$B$44)-(B472)&lt;=0,1,MAX(0,IF(Inputs!$B$39="pvp",15,Inputs!$B$44)-MAX(5,B472))/(IF(Inputs!$B$39="pvp",15,Inputs!$B$44)-(B472))))*(IF(AND(ArtifactsInput!$M$42,((Inputs!$B$9+((C453=TRUE)*(F453-Calc!F26))+B461+(ArtifactsInput!$M$24-ArtifactsInput!$M$24)*CHOOSE(ArtifactsInput!$N$24+1,10,12,14,16,18,20)+IF(ArtifactsInput!$M$10,CHOOSE(ArtifactsInput!$N$10+1,15,18,21,24,27,30)*(IF(Inputs!$B$39="pvp",MIN(15,15)/15,IF(AND(Inputs!$B$39&lt;&gt;"pvp",Inputs!$B$44&gt;0),MIN(15,Inputs!$B$44)/(Inputs!$B$44),0))),0)))&gt;=100),MIN(100,((Inputs!$B$9+((C453=TRUE)*(F453-Calc!F26))+B461+(ArtifactsInput!$M$24-ArtifactsInput!$M$24)*CHOOSE(ArtifactsInput!$N$24+1,10,12,14,16,18,20)+IF(ArtifactsInput!$M$10,CHOOSE(ArtifactsInput!$N$10+1,15,18,21,24,27,30)*(IF(Inputs!$B$39="pvp",MIN(15,15)/15,IF(AND(Inputs!$B$39&lt;&gt;"pvp",Inputs!$B$44&gt;0),MIN(15,Inputs!$B$44)/(Inputs!$B$44),0))),0)))-100),0))*CHOOSE(ArtifactsInput!$N$42+1,0.6,0.72,0.84,0.96,1.08,1.2))),Inputs!$B$18+((C456=TRUE)*(F456-Calc!F29))+(IF(AND(Inputs!$B$39&lt;&gt;"pvp",Inputs!$B$44=0),1,IF(IF(Inputs!$B$39="pvp",15,Inputs!$B$44)-(B472)&lt;=0,1,MAX(0,IF(Inputs!$B$39="pvp",15,Inputs!$B$44)-MAX(5,B472))/(IF(Inputs!$B$39="pvp",15,Inputs!$B$44)-(B472))))*IF(AND(ArtifactsInput!$M$42,((Inputs!$B$9+((C453=TRUE)*(F453-Calc!F26))+B461+(ArtifactsInput!$M$24-ArtifactsInput!$M$24)*CHOOSE(ArtifactsInput!$N$24+1,10,12,14,16,18,20)+IF(ArtifactsInput!$M$10,CHOOSE(ArtifactsInput!$N$10+1,15,18,21,24,27,30)*(IF(Inputs!$B$39="pvp",MIN(15,15)/15,IF(AND(Inputs!$B$39&lt;&gt;"pvp",Inputs!$B$44&gt;0),MIN(15,Inputs!$B$44)/(Inputs!$B$44),0))),0)))&gt;=100),CHOOSE(ArtifactsInput!$N$42+1,40,48,56,64,72,80),0))))/100)*(((1+(((C449=TRUE)*F449*IF(AND(Inputs!$B$39&lt;&gt;"pvp",Inputs!$B$44&gt;0),(((R449-1)*MIN((Skills!Y22*(1+Inputs!$B$34/100)),(1/Q449))+MIN((Skills!Y22*(1+Inputs!$B$34/100)),MAX(0,Inputs!$B$44-((R449-1)*(1/Q449)))))/Inputs!$B$44),IF(Inputs!$B$39="pvp",MIN((Skills!Y22*(1+Inputs!$B$34/100)),15)/15,MIN(1,(Skills!Y22*(1+Inputs!$B$34/100))/(1/Q449)))))+((C430=TRUE)*F430*3)+((C432=TRUE)*F432*(1-EXP(-0.75*B465*5)))+((C451=TRUE)*(F451-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438=TRUE)*F438*IF(AND(Inputs!$B$39&lt;&gt;"pvp",Inputs!$B$44&gt;0),(((R438-1)*MIN((Skills!Y11*(1+Inputs!$B$34/100)),(1/Q438))+MIN((Skills!Y11*(1+Inputs!$B$34/100)),MAX(0,Inputs!$B$44-((R438-1)*(1/Q438)))))/Inputs!$B$44),IF(Inputs!$B$39="pvp",MIN((Skills!Y11*(1+Inputs!$B$34/100)),15)/15,MIN(1,(Skills!Y11*(1+Inputs!$B$34/100))/(1/Q438)))))/100)*(1+((C443=TRUE)*F443*IF(AND(Inputs!$B$39&lt;&gt;"pvp",Inputs!$B$44&gt;0),(((R443-1)*MIN((Skills!Y16*(1+Inputs!$B$34/100)),(1/Q443))+MIN((Skills!Y16*(1+Inputs!$B$34/100)),MAX(0,Inputs!$B$44-((R443-1)*(1/Q443)))))/Inputs!$B$44),IF(Inputs!$B$39="pvp",MIN((Skills!Y16*(1+Inputs!$B$34/100)),15)/15,MIN(1,(Skills!Y16*(1+Inputs!$B$34/100))/(1/Q443)))))/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463*I437)</f>
        <v/>
      </c>
      <c r="L437">
        <f>K437*(MIN(Inputs!$B$22+((C452=TRUE)*(F452-Calc!F25)),(Inputs!$B$23+((C457=TRUE)*(F457-Calc!F30))+IF(ArtifactsInput!$M$15,CHOOSE(ArtifactsInput!$N$15+1,25,30,35,40,45,50)/100*(Inputs!$B$11-Inputs!$B$11),0)))/100+(Inputs!$B$23+((C457=TRUE)*(F457-Calc!F30))+IF(ArtifactsInput!$M$15,CHOOSE(ArtifactsInput!$N$15+1,25,30,35,40,45,50)/100*(Inputs!$B$11-Inputs!$B$11),0))/100)/2</f>
        <v/>
      </c>
      <c r="M437">
        <f>L437*(1+(Inputs!$B$10+((C454=TRUE)*(F454-Calc!F27))+B468+(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437">
        <f>L437*(1-MIN((Inputs!$B$9+((C453=TRUE)*(F453-Calc!F26))+B461+(ArtifactsInput!$M$24-ArtifactsInput!$M$24)*CHOOSE(ArtifactsInput!$N$24+1,10,12,14,16,18,20)+(IF(AND(Inputs!$B$39&lt;&gt;"pvp",Inputs!$B$44=0),1,IF(IF(Inputs!$B$39="pvp",15,Inputs!$B$44)-(B472)&lt;=0,1,MAX(0,IF(Inputs!$B$39="pvp",15,Inputs!$B$44)-MAX(5,B472))/(IF(Inputs!$B$39="pvp",15,Inputs!$B$44)-(B472))))*IF(AND(ArtifactsInput!$M$42,((Inputs!$B$9+((C453=TRUE)*(F453-Calc!F26))+B461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437*(MIN((Inputs!$B$9+((C453=TRUE)*(F453-Calc!F26))+B461+(ArtifactsInput!$M$24-ArtifactsInput!$M$24)*CHOOSE(ArtifactsInput!$N$24+1,10,12,14,16,18,20)+(IF(AND(Inputs!$B$39&lt;&gt;"pvp",Inputs!$B$44=0),1,IF(IF(Inputs!$B$39="pvp",15,Inputs!$B$44)-(B472)&lt;=0,1,MAX(0,IF(Inputs!$B$39="pvp",15,Inputs!$B$44)-MAX(5,B472))/(IF(Inputs!$B$39="pvp",15,Inputs!$B$44)-(B472))))*IF(AND(ArtifactsInput!$M$42,((Inputs!$B$9+((C453=TRUE)*(F453-Calc!F26))+B461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437">
        <f>(1-Summary!$B$11)*T437+Summary!$B$11*V437</f>
        <v/>
      </c>
      <c r="P437">
        <f>IF(B473=0,0,O437/B473)</f>
        <v/>
      </c>
      <c r="Q437" t="n">
        <v>0</v>
      </c>
      <c r="R437" t="n">
        <v>0</v>
      </c>
      <c r="S437" t="n">
        <v>0</v>
      </c>
      <c r="T437">
        <f>IF(C437,(0.2*SUMPRODUCT((Skills!Z2:Z31=TRUE)*(C429:C458=TRUE)*S429:S458)*N437)*IF(Inputs!$B$39="pvp",1,1+(Inputs!$B$20+0+Skills!P10+B462+(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Hunt"),CHOOSE(ArtifactsInput!$N$35+1,15,18,21,24,27,30)*(1-EXP(-(0.2*B465)*5)),0)+IF(AND(ArtifactsInput!$M$22,Inputs!$B$4&lt;&gt;"Chapter Hunt"),CHOOSE(ArtifactsInput!$N$22+1,10,12,14,16,18,20)*((0*(((0.15*B465*5))^0/1)+1*(((0.15*B465*5))^1/1)+2*(((0.15*B465*5))^2/2)+3*(((0.15*B465*5))^3/6)+4*(((0.15*B465*5))^4/24)+5*(((0.15*B465*5))^5/120))/((((0.15*B465*5))^0/1)+(((0.15*B465*5))^1/1)+(((0.15*B465*5))^2/2)+(((0.15*B465*5))^3/6)+(((0.15*B465*5))^4/24)+(((0.15*B465*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437*(1-MIN(100,(Inputs!$B$9+((C453=TRUE)*(F453-Calc!F26))+B461+(ArtifactsInput!$M$24-ArtifactsInput!$M$24)*CHOOSE(ArtifactsInput!$N$24+1,10,12,14,16,18,20)+(IF(AND(Inputs!$B$39&lt;&gt;"pvp",Inputs!$B$44=0),1,IF(IF(Inputs!$B$39="pvp",15,Inputs!$B$44)-(B472)&lt;=0,1,MAX(0,IF(Inputs!$B$39="pvp",15,Inputs!$B$44)-MAX(5,B472))/(IF(Inputs!$B$39="pvp",15,Inputs!$B$44)-(B472))))*IF(AND(ArtifactsInput!$M$42,((Inputs!$B$9+((C453=TRUE)*(F453-Calc!F26))+B461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437*(MIN(100,(Inputs!$B$9+((C453=TRUE)*(F453-Calc!F26))+B461+(ArtifactsInput!$M$24-ArtifactsInput!$M$24)*CHOOSE(ArtifactsInput!$N$24+1,10,12,14,16,18,20)+(IF(AND(Inputs!$B$39&lt;&gt;"pvp",Inputs!$B$44=0),1,IF(IF(Inputs!$B$39="pvp",15,Inputs!$B$44)-(B472)&lt;=0,1,MAX(0,IF(Inputs!$B$39="pvp",15,Inputs!$B$44)-MAX(5,B472))/(IF(Inputs!$B$39="pvp",15,Inputs!$B$44)-(B472))))*IF(AND(ArtifactsInput!$M$42,((Inputs!$B$9+((C453=TRUE)*(F453-Calc!F26))+B461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437*(1-MIN(100,(Inputs!$B$9+((C453=TRUE)*(F453-Calc!F26))+B461+(ArtifactsInput!$M$24-ArtifactsInput!$M$24)*CHOOSE(ArtifactsInput!$N$24+1,10,12,14,16,18,20)+(IF(AND(Inputs!$B$39&lt;&gt;"pvp",Inputs!$B$44=0),1,IF(IF(Inputs!$B$39="pvp",15,Inputs!$B$44)-(B472)&lt;=0,1,MAX(0,IF(Inputs!$B$39="pvp",15,Inputs!$B$44)-MAX(5,B472))/(IF(Inputs!$B$39="pvp",15,Inputs!$B$44)-(B472))))*IF(AND(ArtifactsInput!$M$42,((Inputs!$B$9+((C453=TRUE)*(F453-Calc!F26))+B461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437*(MIN(100,(Inputs!$B$9+((C453=TRUE)*(F453-Calc!F26))+B461+(ArtifactsInput!$M$24-ArtifactsInput!$M$24)*CHOOSE(ArtifactsInput!$N$24+1,10,12,14,16,18,20)+(IF(AND(Inputs!$B$39&lt;&gt;"pvp",Inputs!$B$44=0),1,IF(IF(Inputs!$B$39="pvp",15,Inputs!$B$44)-(B472)&lt;=0,1,MAX(0,IF(Inputs!$B$39="pvp",15,Inputs!$B$44)-MAX(5,B472))/(IF(Inputs!$B$39="pvp",15,Inputs!$B$44)-(B472))))*IF(AND(ArtifactsInput!$M$42,((Inputs!$B$9+((C453=TRUE)*(F453-Calc!F26))+B461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437">
        <f>IF(C437,(0.2*SUMPRODUCT((Skills!Z2:Z31=TRUE)*(C429:C458=TRUE)*S429:S458)*N437)*IF(Inputs!$B$39="pvp",1,(1+(Inputs!$B$21+Skills!Q10+B462+(IF(ArtifactsInput!$M$33,CHOOSE(ArtifactsInput!$N$33+1,30,36,42,48,54,60),0))+(IF(AND(ArtifactsInput!$M$35,Inputs!$B$4&lt;&gt;"Chapter Hunt"),CHOOSE(ArtifactsInput!$N$35+1,15,18,21,24,27,30)*(1-EXP(-(0.2*B465)*5)),0)+IF(AND(ArtifactsInput!$M$22,Inputs!$B$4&lt;&gt;"Chapter Hunt"),CHOOSE(ArtifactsInput!$N$22+1,10,12,14,16,18,20)*((0*(((0.15*B465*5))^0/1)+1*(((0.15*B465*5))^1/1)+2*(((0.15*B465*5))^2/2)+3*(((0.15*B465*5))^3/6)+4*(((0.15*B465*5))^4/24)+5*(((0.15*B465*5))^5/120))/((((0.15*B465*5))^0/1)+(((0.15*B465*5))^1/1)+(((0.15*B465*5))^2/2)+(((0.15*B465*5))^3/6)+(((0.15*B465*5))^4/24)+(((0.15*B465*5))^5/120))),0)))/100)*(MIN(Skills!W10,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438">
      <c r="A438">
        <f>Skills!A11</f>
        <v/>
      </c>
      <c r="B438">
        <f>Skills!B11</f>
        <v/>
      </c>
      <c r="C438">
        <f>Inputs!$B$3&gt;=74</f>
        <v/>
      </c>
      <c r="D438">
        <f>IF(Skills!C11=1,60+Inputs!$B$25+Inputs!$B$29,IF(Skills!C11=2,90+Inputs!$B$26+Inputs!$B$29,IF(Skills!C11=3,120+Inputs!$B$27+Inputs!$B$29,MAX(0,(Inputs!$B$3-100)*3)+Inputs!$B$28+Inputs!$B$29)))</f>
        <v/>
      </c>
      <c r="E438">
        <f>INDEX(FactorTable!$B$2:$Y$301, MATCH(ROUND(MIN(300,MAX(1,D438)),0), FactorTable!$A$2:$A$301,0), Skills!M11+1)</f>
        <v/>
      </c>
      <c r="F438">
        <f>IF(Skills!N11=TRUE,(Skills!L11/10)*(E438/1000),Skills!L11/10)+Skills!O11</f>
        <v/>
      </c>
      <c r="G438">
        <f>Skills!G11*IF(Skills!H11&gt;0,IF(Inputs!$B$39="pvp",MIN(Skills!I11,15),Skills!I11)/Skills!H11,1)</f>
        <v/>
      </c>
      <c r="H438">
        <f>1-(1-Skills!J11/100)^Skills!K11</f>
        <v/>
      </c>
      <c r="I438" t="inlineStr">
        <is>
          <t>1</t>
        </is>
      </c>
      <c r="J438" t="inlineStr"/>
      <c r="K438" t="inlineStr"/>
      <c r="L438" t="inlineStr"/>
      <c r="M438" t="inlineStr"/>
      <c r="N438" t="inlineStr"/>
      <c r="O438">
        <f>(1-Summary!$B$11)*T438+Summary!$B$11*V438</f>
        <v/>
      </c>
      <c r="P438">
        <f>IF(B473=0,0,O438/B473)</f>
        <v/>
      </c>
      <c r="Q438">
        <f>IFERROR(1/IF(Inputs!$B$39="pvp",15,MAX(0.1,Skills!D11-IF(TRUE=TRUE,Inputs!$B$32,0))),0)</f>
        <v/>
      </c>
      <c r="R438">
        <f>IF(AND(Inputs!$B$39&lt;&gt;"pvp",Inputs!$B$44&gt;0),IF(Inputs!$B$44&lt;=0,0,(INT(Inputs!$B$44/IF(Inputs!$B$39="pvp",15,MAX(0.1,Skills!D11-IF(TRUE=TRUE,Inputs!$B$32,0))))+1)),0)</f>
        <v/>
      </c>
      <c r="S438">
        <f>IFERROR(O438/N438,0)</f>
        <v/>
      </c>
      <c r="T438" t="n">
        <v>0</v>
      </c>
      <c r="V438" t="n">
        <v>0</v>
      </c>
    </row>
    <row r="439">
      <c r="A439">
        <f>Skills!A12</f>
        <v/>
      </c>
      <c r="B439">
        <f>Skills!B12</f>
        <v/>
      </c>
      <c r="C439">
        <f>Inputs!$B$3&gt;=103</f>
        <v/>
      </c>
      <c r="D439">
        <f>IF(Skills!C12=1,60+Inputs!$B$25+Inputs!$B$29,IF(Skills!C12=2,90+Inputs!$B$26+Inputs!$B$29,IF(Skills!C12=3,120+Inputs!$B$27+Inputs!$B$29,MAX(0,(Inputs!$B$3-100)*3)+Inputs!$B$28+Inputs!$B$29)))</f>
        <v/>
      </c>
      <c r="E439">
        <f>INDEX(FactorTable!$B$2:$Y$301, MATCH(ROUND(MIN(300,MAX(1,D439)),0), FactorTable!$A$2:$A$301,0), Skills!M12+1)</f>
        <v/>
      </c>
      <c r="F439">
        <f>(Skills!L12/10)*(E439/1000)+IF(Inputs!$B$3&gt;=134,50,0)+0.5*(30000/10)*(INDEX(FactorTable!$B$2:$Y$301, MATCH(ROUND(MIN(300,MAX(1,D439)),0), FactorTable!$A$2:$A$301,0), 13)/1000)*B471</f>
        <v/>
      </c>
      <c r="G439">
        <f>Skills!G12*IF(Skills!H12&gt;0,IF(Inputs!$B$39="pvp",MIN(Skills!I12,15),Skills!I12)/Skills!H12,1)</f>
        <v/>
      </c>
      <c r="H439">
        <f>1-(1-Skills!J12/100)^Skills!K12</f>
        <v/>
      </c>
      <c r="I439" t="inlineStr">
        <is>
          <t>1</t>
        </is>
      </c>
      <c r="J439">
        <f>((Inputs!$B$6*(1+Inputs!$B$7/100))+(((Inputs!$B$12*(1+Inputs!$B$13/100))-(Inputs!$B$12*(1+Inputs!$B$13/100)))+0.25*(Inputs!$B$14-Inputs!$B$14))*(1+Inputs!$B$7/100))*(F439/100)</f>
        <v/>
      </c>
      <c r="K439">
        <f>J439*(1+((Inputs!$B$12*(1+Inputs!$B$13/100))*0.01+Inputs!$B$14*0.0025)/100)*(1+Inputs!$B$15/100)*(1+Inputs!$B$16/100)*(5000/(6000+Inputs!$B$43*(1-(100*(1-(1-Inputs!$B$19/100)*(1-CHOOSE(ArtifactsInput!$N$40+1,5,6,7,8,9,10)/100)^(ArtifactsInput!$M$40-ArtifactsInput!$M$40)))/100)))*(1+(((((1+Inputs!$B$24/100)*(1.01))-1)*100)+((C458=TRUE)*(F458-Calc!F31))+((C445=TRUE)*(F445-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12="CRUEL_STAB",Inputs!$B$17+((C455=TRUE)*(F455-Calc!F28))+((IF(AND(Inputs!$B$39&lt;&gt;"pvp",Inputs!$B$44=0),1,IF(IF(Inputs!$B$39="pvp",15,Inputs!$B$44)-(B472)&lt;=0,1,MAX(0,IF(Inputs!$B$39="pvp",15,Inputs!$B$44)-MAX(5,B472))/(IF(Inputs!$B$39="pvp",15,Inputs!$B$44)-(B472))))*(IF(AND(ArtifactsInput!$M$42,((Inputs!$B$9+((C453=TRUE)*(F453-Calc!F26))+B461+(ArtifactsInput!$M$24-ArtifactsInput!$M$24)*CHOOSE(ArtifactsInput!$N$24+1,10,12,14,16,18,20)+IF(ArtifactsInput!$M$10,CHOOSE(ArtifactsInput!$N$10+1,15,18,21,24,27,30)*(IF(Inputs!$B$39="pvp",MIN(15,15)/15,IF(AND(Inputs!$B$39&lt;&gt;"pvp",Inputs!$B$44&gt;0),MIN(15,Inputs!$B$44)/(Inputs!$B$44),0))),0)))&gt;=100),MIN(100,((Inputs!$B$9+((C453=TRUE)*(F453-Calc!F26))+B461+(ArtifactsInput!$M$24-ArtifactsInput!$M$24)*CHOOSE(ArtifactsInput!$N$24+1,10,12,14,16,18,20)+IF(ArtifactsInput!$M$10,CHOOSE(ArtifactsInput!$N$10+1,15,18,21,24,27,30)*(IF(Inputs!$B$39="pvp",MIN(15,15)/15,IF(AND(Inputs!$B$39&lt;&gt;"pvp",Inputs!$B$44&gt;0),MIN(15,Inputs!$B$44)/(Inputs!$B$44),0))),0)))-100),0))*CHOOSE(ArtifactsInput!$N$42+1,0.6,0.72,0.84,0.96,1.08,1.2))),Inputs!$B$18+((C456=TRUE)*(F456-Calc!F29))+(IF(AND(Inputs!$B$39&lt;&gt;"pvp",Inputs!$B$44=0),1,IF(IF(Inputs!$B$39="pvp",15,Inputs!$B$44)-(B472)&lt;=0,1,MAX(0,IF(Inputs!$B$39="pvp",15,Inputs!$B$44)-MAX(5,B472))/(IF(Inputs!$B$39="pvp",15,Inputs!$B$44)-(B472))))*IF(AND(ArtifactsInput!$M$42,((Inputs!$B$9+((C453=TRUE)*(F453-Calc!F26))+B461+(ArtifactsInput!$M$24-ArtifactsInput!$M$24)*CHOOSE(ArtifactsInput!$N$24+1,10,12,14,16,18,20)+IF(ArtifactsInput!$M$10,CHOOSE(ArtifactsInput!$N$10+1,15,18,21,24,27,30)*(IF(Inputs!$B$39="pvp",MIN(15,15)/15,IF(AND(Inputs!$B$39&lt;&gt;"pvp",Inputs!$B$44&gt;0),MIN(15,Inputs!$B$44)/(Inputs!$B$44),0))),0)))&gt;=100),CHOOSE(ArtifactsInput!$N$42+1,40,48,56,64,72,80),0))))/100)*(((1+(((C449=TRUE)*F449*IF(AND(Inputs!$B$39&lt;&gt;"pvp",Inputs!$B$44&gt;0),(((R449-1)*MIN((Skills!Y22*(1+Inputs!$B$34/100)),(1/Q449))+MIN((Skills!Y22*(1+Inputs!$B$34/100)),MAX(0,Inputs!$B$44-((R449-1)*(1/Q449)))))/Inputs!$B$44),IF(Inputs!$B$39="pvp",MIN((Skills!Y22*(1+Inputs!$B$34/100)),15)/15,MIN(1,(Skills!Y22*(1+Inputs!$B$34/100))/(1/Q449)))))+((C430=TRUE)*F430*3)+((C432=TRUE)*F432*(1-EXP(-0.75*B465*5)))+((C451=TRUE)*(F451-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438=TRUE)*F438*IF(AND(Inputs!$B$39&lt;&gt;"pvp",Inputs!$B$44&gt;0),(((R438-1)*MIN((Skills!Y11*(1+Inputs!$B$34/100)),(1/Q438))+MIN((Skills!Y11*(1+Inputs!$B$34/100)),MAX(0,Inputs!$B$44-((R438-1)*(1/Q438)))))/Inputs!$B$44),IF(Inputs!$B$39="pvp",MIN((Skills!Y11*(1+Inputs!$B$34/100)),15)/15,MIN(1,(Skills!Y11*(1+Inputs!$B$34/100))/(1/Q438)))))/100)*(1+((C443=TRUE)*F443*IF(AND(Inputs!$B$39&lt;&gt;"pvp",Inputs!$B$44&gt;0),(((R443-1)*MIN((Skills!Y16*(1+Inputs!$B$34/100)),(1/Q443))+MIN((Skills!Y16*(1+Inputs!$B$34/100)),MAX(0,Inputs!$B$44-((R443-1)*(1/Q443)))))/Inputs!$B$44),IF(Inputs!$B$39="pvp",MIN((Skills!Y16*(1+Inputs!$B$34/100)),15)/15,MIN(1,(Skills!Y16*(1+Inputs!$B$34/100))/(1/Q443)))))/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463*I439)</f>
        <v/>
      </c>
      <c r="L439">
        <f>K439*(MIN(Inputs!$B$22+((C452=TRUE)*(F452-Calc!F25)),(Inputs!$B$23+((C457=TRUE)*(F457-Calc!F30))+IF(ArtifactsInput!$M$15,CHOOSE(ArtifactsInput!$N$15+1,25,30,35,40,45,50)/100*(Inputs!$B$11-Inputs!$B$11),0)))/100+(Inputs!$B$23+((C457=TRUE)*(F457-Calc!F30))+IF(ArtifactsInput!$M$15,CHOOSE(ArtifactsInput!$N$15+1,25,30,35,40,45,50)/100*(Inputs!$B$11-Inputs!$B$11),0))/100)/2</f>
        <v/>
      </c>
      <c r="M439">
        <f>L439*(1+(Inputs!$B$10+((C454=TRUE)*(F454-Calc!F27))+B468+(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439">
        <f>L439*(1-MIN((Inputs!$B$9+((C453=TRUE)*(F453-Calc!F26))+B461+(ArtifactsInput!$M$24-ArtifactsInput!$M$24)*CHOOSE(ArtifactsInput!$N$24+1,10,12,14,16,18,20)+(IF(AND(Inputs!$B$39&lt;&gt;"pvp",Inputs!$B$44=0),1,IF(IF(Inputs!$B$39="pvp",15,Inputs!$B$44)-(B472)&lt;=0,1,MAX(0,IF(Inputs!$B$39="pvp",15,Inputs!$B$44)-MAX(5,B472))/(IF(Inputs!$B$39="pvp",15,Inputs!$B$44)-(B472))))*IF(AND(ArtifactsInput!$M$42,((Inputs!$B$9+((C453=TRUE)*(F453-Calc!F26))+B461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439*(MIN((Inputs!$B$9+((C453=TRUE)*(F453-Calc!F26))+B461+(ArtifactsInput!$M$24-ArtifactsInput!$M$24)*CHOOSE(ArtifactsInput!$N$24+1,10,12,14,16,18,20)+(IF(AND(Inputs!$B$39&lt;&gt;"pvp",Inputs!$B$44=0),1,IF(IF(Inputs!$B$39="pvp",15,Inputs!$B$44)-(B472)&lt;=0,1,MAX(0,IF(Inputs!$B$39="pvp",15,Inputs!$B$44)-MAX(5,B472))/(IF(Inputs!$B$39="pvp",15,Inputs!$B$44)-(B472))))*IF(AND(ArtifactsInput!$M$42,((Inputs!$B$9+((C453=TRUE)*(F453-Calc!F26))+B461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439">
        <f>(1-Summary!$B$11)*T439+Summary!$B$11*V439</f>
        <v/>
      </c>
      <c r="P439">
        <f>IF(B473=0,0,O439/B473)</f>
        <v/>
      </c>
      <c r="Q439">
        <f>IFERROR(1/IF(Inputs!$B$39="pvp",15,MAX(0.1,Skills!D12-IF(TRUE=TRUE,Inputs!$B$32,0))),0)</f>
        <v/>
      </c>
      <c r="R439">
        <f>IF(AND(Inputs!$B$39&lt;&gt;"pvp",Inputs!$B$44&gt;0),IF(MAX(0,Inputs!$B$44-B472)&lt;=0,0,(INT(MAX(0,Inputs!$B$44-B472)/IF(Inputs!$B$39="pvp",15,MAX(0.1,Skills!D12-IF(TRUE=TRUE,Inputs!$B$32,0))))+1)),0)</f>
        <v/>
      </c>
      <c r="S439">
        <f>IFERROR(O439/N439,0)</f>
        <v/>
      </c>
      <c r="T439">
        <f>IF(C439,(H439*N439*IF(AND(Inputs!$B$39&lt;&gt;"pvp",Inputs!$B$44&gt;0),((Skills!G12*((R439-1)*IF(Skills!H12&gt;0,Skills!I12/Skills!H12,1)+IF(Skills!H12&gt;0,MIN(Skills!I12,MAX(0,MAX(0,Inputs!$B$44-B472)-((R439-1)*IF(Inputs!$B$39="pvp",15,MAX(0.1,Skills!D12-IF(TRUE=TRUE,Inputs!$B$32,0))))))/Skills!H12,1)))/Inputs!$B$44),G439*Q439))*IF(Inputs!$B$39="pvp",1,1+(Inputs!$B$20+0+Skills!P12+B462+(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Hunt"),CHOOSE(ArtifactsInput!$N$35+1,15,18,21,24,27,30)*(1-EXP(-(0.2*B465)*5)),0)+IF(AND(ArtifactsInput!$M$22,Inputs!$B$4&lt;&gt;"Chapter Hunt"),CHOOSE(ArtifactsInput!$N$22+1,10,12,14,16,18,20)*((0*(((0.15*B465*5))^0/1)+1*(((0.15*B465*5))^1/1)+2*(((0.15*B465*5))^2/2)+3*(((0.15*B465*5))^3/6)+4*(((0.15*B465*5))^4/24)+5*(((0.15*B465*5))^5/120))/((((0.15*B465*5))^0/1)+(((0.15*B465*5))^1/1)+(((0.15*B465*5))^2/2)+(((0.15*B465*5))^3/6)+(((0.15*B465*5))^4/24)+(((0.15*B465*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439*(1-MIN(100,(Inputs!$B$9+((C453=TRUE)*(F453-Calc!F26))+B461+(ArtifactsInput!$M$24-ArtifactsInput!$M$24)*CHOOSE(ArtifactsInput!$N$24+1,10,12,14,16,18,20)+(IF(AND(Inputs!$B$39&lt;&gt;"pvp",Inputs!$B$44=0),1,IF(IF(Inputs!$B$39="pvp",15,Inputs!$B$44)-(B472)&lt;=0,1,MAX(0,IF(Inputs!$B$39="pvp",15,Inputs!$B$44)-MAX(5,B472))/(IF(Inputs!$B$39="pvp",15,Inputs!$B$44)-(B472))))*IF(AND(ArtifactsInput!$M$42,((Inputs!$B$9+((C453=TRUE)*(F453-Calc!F26))+B461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439*(MIN(100,(Inputs!$B$9+((C453=TRUE)*(F453-Calc!F26))+B461+(ArtifactsInput!$M$24-ArtifactsInput!$M$24)*CHOOSE(ArtifactsInput!$N$24+1,10,12,14,16,18,20)+(IF(AND(Inputs!$B$39&lt;&gt;"pvp",Inputs!$B$44=0),1,IF(IF(Inputs!$B$39="pvp",15,Inputs!$B$44)-(B472)&lt;=0,1,MAX(0,IF(Inputs!$B$39="pvp",15,Inputs!$B$44)-MAX(5,B472))/(IF(Inputs!$B$39="pvp",15,Inputs!$B$44)-(B472))))*IF(AND(ArtifactsInput!$M$42,((Inputs!$B$9+((C453=TRUE)*(F453-Calc!F26))+B461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439*(1-MIN(100,(Inputs!$B$9+((C453=TRUE)*(F453-Calc!F26))+B461+(ArtifactsInput!$M$24-ArtifactsInput!$M$24)*CHOOSE(ArtifactsInput!$N$24+1,10,12,14,16,18,20)+(IF(AND(Inputs!$B$39&lt;&gt;"pvp",Inputs!$B$44=0),1,IF(IF(Inputs!$B$39="pvp",15,Inputs!$B$44)-(B472)&lt;=0,1,MAX(0,IF(Inputs!$B$39="pvp",15,Inputs!$B$44)-MAX(5,B472))/(IF(Inputs!$B$39="pvp",15,Inputs!$B$44)-(B472))))*IF(AND(ArtifactsInput!$M$42,((Inputs!$B$9+((C453=TRUE)*(F453-Calc!F26))+B461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439*(MIN(100,(Inputs!$B$9+((C453=TRUE)*(F453-Calc!F26))+B461+(ArtifactsInput!$M$24-ArtifactsInput!$M$24)*CHOOSE(ArtifactsInput!$N$24+1,10,12,14,16,18,20)+(IF(AND(Inputs!$B$39&lt;&gt;"pvp",Inputs!$B$44=0),1,IF(IF(Inputs!$B$39="pvp",15,Inputs!$B$44)-(B472)&lt;=0,1,MAX(0,IF(Inputs!$B$39="pvp",15,Inputs!$B$44)-MAX(5,B472))/(IF(Inputs!$B$39="pvp",15,Inputs!$B$44)-(B472))))*IF(AND(ArtifactsInput!$M$42,((Inputs!$B$9+((C453=TRUE)*(F453-Calc!F26))+B461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439">
        <f>IF(C439,(H439*N439*IF(AND(Inputs!$B$39&lt;&gt;"pvp",Inputs!$B$44&gt;0),((Skills!G12*((R439-1)*IF(Skills!H12&gt;0,Skills!I12/Skills!H12,1)+IF(Skills!H12&gt;0,MIN(Skills!I12,MAX(0,MAX(0,Inputs!$B$44-B472)-((R439-1)*IF(Inputs!$B$39="pvp",15,MAX(0.1,Skills!D12-IF(TRUE=TRUE,Inputs!$B$32,0))))))/Skills!H12,1)))/Inputs!$B$44),G439*Q439))*IF(Inputs!$B$39="pvp",1,(1+(Inputs!$B$21+Skills!Q12+B462+(IF(ArtifactsInput!$M$33,CHOOSE(ArtifactsInput!$N$33+1,30,36,42,48,54,60),0))+(IF(AND(ArtifactsInput!$M$35,Inputs!$B$4&lt;&gt;"Chapter Hunt"),CHOOSE(ArtifactsInput!$N$35+1,15,18,21,24,27,30)*(1-EXP(-(0.2*B465)*5)),0)+IF(AND(ArtifactsInput!$M$22,Inputs!$B$4&lt;&gt;"Chapter Hunt"),CHOOSE(ArtifactsInput!$N$22+1,10,12,14,16,18,20)*((0*(((0.15*B465*5))^0/1)+1*(((0.15*B465*5))^1/1)+2*(((0.15*B465*5))^2/2)+3*(((0.15*B465*5))^3/6)+4*(((0.15*B465*5))^4/24)+5*(((0.15*B465*5))^5/120))/((((0.15*B465*5))^0/1)+(((0.15*B465*5))^1/1)+(((0.15*B465*5))^2/2)+(((0.15*B465*5))^3/6)+(((0.15*B465*5))^4/24)+(((0.15*B465*5))^5/120))),0)))/100)*(MIN(Skills!W12,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440">
      <c r="A440">
        <f>Skills!A13</f>
        <v/>
      </c>
      <c r="B440">
        <f>Skills!B13</f>
        <v/>
      </c>
      <c r="C440">
        <f>Inputs!$B$3&gt;=105</f>
        <v/>
      </c>
      <c r="D440">
        <f>IF(Skills!C13=1,60+Inputs!$B$25+Inputs!$B$29,IF(Skills!C13=2,90+Inputs!$B$26+Inputs!$B$29,IF(Skills!C13=3,120+Inputs!$B$27+Inputs!$B$29,MAX(0,(Inputs!$B$3-100)*3)+Inputs!$B$28+Inputs!$B$29)))</f>
        <v/>
      </c>
      <c r="E440">
        <f>INDEX(FactorTable!$B$2:$Y$301, MATCH(ROUND(MIN(300,MAX(1,D440)),0), FactorTable!$A$2:$A$301,0), Skills!M13+1)</f>
        <v/>
      </c>
      <c r="F440">
        <f>IF(Skills!N13=TRUE,(Skills!L13/10)*(E440/1000),Skills!L13/10)+Skills!O13</f>
        <v/>
      </c>
      <c r="G440">
        <f>Skills!G13*IF(Skills!H13&gt;0,IF(Inputs!$B$39="pvp",MIN(Skills!I13,15),Skills!I13)/Skills!H13,1)</f>
        <v/>
      </c>
      <c r="H440">
        <f>1-(1-Skills!J13/100)^Skills!K13</f>
        <v/>
      </c>
      <c r="I440" t="inlineStr">
        <is>
          <t>1</t>
        </is>
      </c>
      <c r="J440">
        <f>((Inputs!$B$6*(1+Inputs!$B$7/100))+(((Inputs!$B$12*(1+Inputs!$B$13/100))-(Inputs!$B$12*(1+Inputs!$B$13/100)))+0.25*(Inputs!$B$14-Inputs!$B$14))*(1+Inputs!$B$7/100))*(F440/100)</f>
        <v/>
      </c>
      <c r="K440">
        <f>J440*(1+((Inputs!$B$12*(1+Inputs!$B$13/100))*0.01+Inputs!$B$14*0.0025)/100)*(1+Inputs!$B$15/100)*(1+Inputs!$B$16/100)*(5000/(6000+Inputs!$B$43*(1-(100*(1-(1-Inputs!$B$19/100)*(1-CHOOSE(ArtifactsInput!$N$40+1,5,6,7,8,9,10)/100)^(ArtifactsInput!$M$40-ArtifactsInput!$M$40)))/100)))*(1+(((((1+Inputs!$B$24/100)*(1.01))-1)*100)+((C458=TRUE)*(F458-Calc!F31))+((C445=TRUE)*(F445-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13="CRUEL_STAB",Inputs!$B$17+((C455=TRUE)*(F455-Calc!F28))+((IF(AND(Inputs!$B$39&lt;&gt;"pvp",Inputs!$B$44=0),1,IF(IF(Inputs!$B$39="pvp",15,Inputs!$B$44)-(B472)&lt;=0,1,MAX(0,IF(Inputs!$B$39="pvp",15,Inputs!$B$44)-MAX(5,B472))/(IF(Inputs!$B$39="pvp",15,Inputs!$B$44)-(B472))))*(IF(AND(ArtifactsInput!$M$42,((Inputs!$B$9+((C453=TRUE)*(F453-Calc!F26))+B461+(ArtifactsInput!$M$24-ArtifactsInput!$M$24)*CHOOSE(ArtifactsInput!$N$24+1,10,12,14,16,18,20)+IF(ArtifactsInput!$M$10,CHOOSE(ArtifactsInput!$N$10+1,15,18,21,24,27,30)*(IF(Inputs!$B$39="pvp",MIN(15,15)/15,IF(AND(Inputs!$B$39&lt;&gt;"pvp",Inputs!$B$44&gt;0),MIN(15,Inputs!$B$44)/(Inputs!$B$44),0))),0)))&gt;=100),MIN(100,((Inputs!$B$9+((C453=TRUE)*(F453-Calc!F26))+B461+(ArtifactsInput!$M$24-ArtifactsInput!$M$24)*CHOOSE(ArtifactsInput!$N$24+1,10,12,14,16,18,20)+IF(ArtifactsInput!$M$10,CHOOSE(ArtifactsInput!$N$10+1,15,18,21,24,27,30)*(IF(Inputs!$B$39="pvp",MIN(15,15)/15,IF(AND(Inputs!$B$39&lt;&gt;"pvp",Inputs!$B$44&gt;0),MIN(15,Inputs!$B$44)/(Inputs!$B$44),0))),0)))-100),0))*CHOOSE(ArtifactsInput!$N$42+1,0.6,0.72,0.84,0.96,1.08,1.2))),Inputs!$B$18+((C456=TRUE)*(F456-Calc!F29))+(IF(AND(Inputs!$B$39&lt;&gt;"pvp",Inputs!$B$44=0),1,IF(IF(Inputs!$B$39="pvp",15,Inputs!$B$44)-(B472)&lt;=0,1,MAX(0,IF(Inputs!$B$39="pvp",15,Inputs!$B$44)-MAX(5,B472))/(IF(Inputs!$B$39="pvp",15,Inputs!$B$44)-(B472))))*IF(AND(ArtifactsInput!$M$42,((Inputs!$B$9+((C453=TRUE)*(F453-Calc!F26))+B461+(ArtifactsInput!$M$24-ArtifactsInput!$M$24)*CHOOSE(ArtifactsInput!$N$24+1,10,12,14,16,18,20)+IF(ArtifactsInput!$M$10,CHOOSE(ArtifactsInput!$N$10+1,15,18,21,24,27,30)*(IF(Inputs!$B$39="pvp",MIN(15,15)/15,IF(AND(Inputs!$B$39&lt;&gt;"pvp",Inputs!$B$44&gt;0),MIN(15,Inputs!$B$44)/(Inputs!$B$44),0))),0)))&gt;=100),CHOOSE(ArtifactsInput!$N$42+1,40,48,56,64,72,80),0))))/100)*(((1+(((C449=TRUE)*F449*IF(AND(Inputs!$B$39&lt;&gt;"pvp",Inputs!$B$44&gt;0),(((R449-1)*MIN((Skills!Y22*(1+Inputs!$B$34/100)),(1/Q449))+MIN((Skills!Y22*(1+Inputs!$B$34/100)),MAX(0,Inputs!$B$44-((R449-1)*(1/Q449)))))/Inputs!$B$44),IF(Inputs!$B$39="pvp",MIN((Skills!Y22*(1+Inputs!$B$34/100)),15)/15,MIN(1,(Skills!Y22*(1+Inputs!$B$34/100))/(1/Q449)))))+((C430=TRUE)*F430*3)+((C432=TRUE)*F432*(1-EXP(-0.75*B465*5)))+((C451=TRUE)*(F451-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438=TRUE)*F438*IF(AND(Inputs!$B$39&lt;&gt;"pvp",Inputs!$B$44&gt;0),(((R438-1)*MIN((Skills!Y11*(1+Inputs!$B$34/100)),(1/Q438))+MIN((Skills!Y11*(1+Inputs!$B$34/100)),MAX(0,Inputs!$B$44-((R438-1)*(1/Q438)))))/Inputs!$B$44),IF(Inputs!$B$39="pvp",MIN((Skills!Y11*(1+Inputs!$B$34/100)),15)/15,MIN(1,(Skills!Y11*(1+Inputs!$B$34/100))/(1/Q438)))))/100)*(1+((C443=TRUE)*F443*IF(AND(Inputs!$B$39&lt;&gt;"pvp",Inputs!$B$44&gt;0),(((R443-1)*MIN((Skills!Y16*(1+Inputs!$B$34/100)),(1/Q443))+MIN((Skills!Y16*(1+Inputs!$B$34/100)),MAX(0,Inputs!$B$44-((R443-1)*(1/Q443)))))/Inputs!$B$44),IF(Inputs!$B$39="pvp",MIN((Skills!Y16*(1+Inputs!$B$34/100)),15)/15,MIN(1,(Skills!Y16*(1+Inputs!$B$34/100))/(1/Q443)))))/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463*I440)</f>
        <v/>
      </c>
      <c r="L440">
        <f>K440*(MIN(Inputs!$B$22+((C452=TRUE)*(F452-Calc!F25)),(Inputs!$B$23+((C457=TRUE)*(F457-Calc!F30))+IF(ArtifactsInput!$M$15,CHOOSE(ArtifactsInput!$N$15+1,25,30,35,40,45,50)/100*(Inputs!$B$11-Inputs!$B$11),0)))/100+(Inputs!$B$23+((C457=TRUE)*(F457-Calc!F30))+IF(ArtifactsInput!$M$15,CHOOSE(ArtifactsInput!$N$15+1,25,30,35,40,45,50)/100*(Inputs!$B$11-Inputs!$B$11),0))/100)/2</f>
        <v/>
      </c>
      <c r="M440">
        <f>L440*(1+(Inputs!$B$10+((C454=TRUE)*(F454-Calc!F27))+B468+(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440">
        <f>L440*(1-MIN((Inputs!$B$9+((C453=TRUE)*(F453-Calc!F26))+B461+(ArtifactsInput!$M$24-ArtifactsInput!$M$24)*CHOOSE(ArtifactsInput!$N$24+1,10,12,14,16,18,20)+(IF(AND(Inputs!$B$39&lt;&gt;"pvp",Inputs!$B$44=0),1,IF(IF(Inputs!$B$39="pvp",15,Inputs!$B$44)-(B472)&lt;=0,1,MAX(0,IF(Inputs!$B$39="pvp",15,Inputs!$B$44)-MAX(5,B472))/(IF(Inputs!$B$39="pvp",15,Inputs!$B$44)-(B472))))*IF(AND(ArtifactsInput!$M$42,((Inputs!$B$9+((C453=TRUE)*(F453-Calc!F26))+B461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440*(MIN((Inputs!$B$9+((C453=TRUE)*(F453-Calc!F26))+B461+(ArtifactsInput!$M$24-ArtifactsInput!$M$24)*CHOOSE(ArtifactsInput!$N$24+1,10,12,14,16,18,20)+(IF(AND(Inputs!$B$39&lt;&gt;"pvp",Inputs!$B$44=0),1,IF(IF(Inputs!$B$39="pvp",15,Inputs!$B$44)-(B472)&lt;=0,1,MAX(0,IF(Inputs!$B$39="pvp",15,Inputs!$B$44)-MAX(5,B472))/(IF(Inputs!$B$39="pvp",15,Inputs!$B$44)-(B472))))*IF(AND(ArtifactsInput!$M$42,((Inputs!$B$9+((C453=TRUE)*(F453-Calc!F26))+B461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440">
        <f>(1-Summary!$B$11)*T440+Summary!$B$11*V440</f>
        <v/>
      </c>
      <c r="P440">
        <f>IF(B473=0,0,O440/B473)</f>
        <v/>
      </c>
      <c r="Q440">
        <f>IFERROR(1/IF(Inputs!$B$39="pvp",15,MAX(0.1,Skills!D13-IF(TRUE=TRUE,Inputs!$B$32,0))),0)</f>
        <v/>
      </c>
      <c r="R440">
        <f>IF(AND(Inputs!$B$39&lt;&gt;"pvp",Inputs!$B$44&gt;0),IF(MAX(0,Inputs!$B$44-B472)&lt;=0,0,(INT(MAX(0,Inputs!$B$44-B472)/IF(Inputs!$B$39="pvp",15,MAX(0.1,Skills!D13-IF(TRUE=TRUE,Inputs!$B$32,0))))+1)),0)</f>
        <v/>
      </c>
      <c r="S440">
        <f>IFERROR(O440/N440,0)</f>
        <v/>
      </c>
      <c r="T440">
        <f>IF(C440,(H440*N440*IF(AND(Inputs!$B$39&lt;&gt;"pvp",Inputs!$B$44&gt;0),((Skills!G13*((R440-1)*IF(Skills!H13&gt;0,Skills!I13/Skills!H13,1)+IF(Skills!H13&gt;0,MIN(Skills!I13,MAX(0,MAX(0,Inputs!$B$44-B472)-((R440-1)*IF(Inputs!$B$39="pvp",15,MAX(0.1,Skills!D13-IF(TRUE=TRUE,Inputs!$B$32,0))))))/Skills!H13,1)))/Inputs!$B$44),G440*Q440))*IF(Inputs!$B$39="pvp",1,1+(Inputs!$B$20+0+Skills!P13+B462+(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Hunt"),CHOOSE(ArtifactsInput!$N$35+1,15,18,21,24,27,30)*(1-EXP(-(0.2*B465)*5)),0)+IF(AND(ArtifactsInput!$M$22,Inputs!$B$4&lt;&gt;"Chapter Hunt"),CHOOSE(ArtifactsInput!$N$22+1,10,12,14,16,18,20)*((0*(((0.15*B465*5))^0/1)+1*(((0.15*B465*5))^1/1)+2*(((0.15*B465*5))^2/2)+3*(((0.15*B465*5))^3/6)+4*(((0.15*B465*5))^4/24)+5*(((0.15*B465*5))^5/120))/((((0.15*B465*5))^0/1)+(((0.15*B465*5))^1/1)+(((0.15*B465*5))^2/2)+(((0.15*B465*5))^3/6)+(((0.15*B465*5))^4/24)+(((0.15*B465*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440*(1-MIN(100,(Inputs!$B$9+((C453=TRUE)*(F453-Calc!F26))+B461+(ArtifactsInput!$M$24-ArtifactsInput!$M$24)*CHOOSE(ArtifactsInput!$N$24+1,10,12,14,16,18,20)+(IF(AND(Inputs!$B$39&lt;&gt;"pvp",Inputs!$B$44=0),1,IF(IF(Inputs!$B$39="pvp",15,Inputs!$B$44)-(B472)&lt;=0,1,MAX(0,IF(Inputs!$B$39="pvp",15,Inputs!$B$44)-MAX(5,B472))/(IF(Inputs!$B$39="pvp",15,Inputs!$B$44)-(B472))))*IF(AND(ArtifactsInput!$M$42,((Inputs!$B$9+((C453=TRUE)*(F453-Calc!F26))+B461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440*(MIN(100,(Inputs!$B$9+((C453=TRUE)*(F453-Calc!F26))+B461+(ArtifactsInput!$M$24-ArtifactsInput!$M$24)*CHOOSE(ArtifactsInput!$N$24+1,10,12,14,16,18,20)+(IF(AND(Inputs!$B$39&lt;&gt;"pvp",Inputs!$B$44=0),1,IF(IF(Inputs!$B$39="pvp",15,Inputs!$B$44)-(B472)&lt;=0,1,MAX(0,IF(Inputs!$B$39="pvp",15,Inputs!$B$44)-MAX(5,B472))/(IF(Inputs!$B$39="pvp",15,Inputs!$B$44)-(B472))))*IF(AND(ArtifactsInput!$M$42,((Inputs!$B$9+((C453=TRUE)*(F453-Calc!F26))+B461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440*(1-MIN(100,(Inputs!$B$9+((C453=TRUE)*(F453-Calc!F26))+B461+(ArtifactsInput!$M$24-ArtifactsInput!$M$24)*CHOOSE(ArtifactsInput!$N$24+1,10,12,14,16,18,20)+(IF(AND(Inputs!$B$39&lt;&gt;"pvp",Inputs!$B$44=0),1,IF(IF(Inputs!$B$39="pvp",15,Inputs!$B$44)-(B472)&lt;=0,1,MAX(0,IF(Inputs!$B$39="pvp",15,Inputs!$B$44)-MAX(5,B472))/(IF(Inputs!$B$39="pvp",15,Inputs!$B$44)-(B472))))*IF(AND(ArtifactsInput!$M$42,((Inputs!$B$9+((C453=TRUE)*(F453-Calc!F26))+B461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440*(MIN(100,(Inputs!$B$9+((C453=TRUE)*(F453-Calc!F26))+B461+(ArtifactsInput!$M$24-ArtifactsInput!$M$24)*CHOOSE(ArtifactsInput!$N$24+1,10,12,14,16,18,20)+(IF(AND(Inputs!$B$39&lt;&gt;"pvp",Inputs!$B$44=0),1,IF(IF(Inputs!$B$39="pvp",15,Inputs!$B$44)-(B472)&lt;=0,1,MAX(0,IF(Inputs!$B$39="pvp",15,Inputs!$B$44)-MAX(5,B472))/(IF(Inputs!$B$39="pvp",15,Inputs!$B$44)-(B472))))*IF(AND(ArtifactsInput!$M$42,((Inputs!$B$9+((C453=TRUE)*(F453-Calc!F26))+B461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440">
        <f>IF(C440,(H440*N440*IF(AND(Inputs!$B$39&lt;&gt;"pvp",Inputs!$B$44&gt;0),((Skills!G13*((R440-1)*IF(Skills!H13&gt;0,Skills!I13/Skills!H13,1)+IF(Skills!H13&gt;0,MIN(Skills!I13,MAX(0,MAX(0,Inputs!$B$44-B472)-((R440-1)*IF(Inputs!$B$39="pvp",15,MAX(0.1,Skills!D13-IF(TRUE=TRUE,Inputs!$B$32,0))))))/Skills!H13,1)))/Inputs!$B$44),G440*Q440))*IF(Inputs!$B$39="pvp",1,(1+(Inputs!$B$21+Skills!Q13+B462+(IF(ArtifactsInput!$M$33,CHOOSE(ArtifactsInput!$N$33+1,30,36,42,48,54,60),0))+(IF(AND(ArtifactsInput!$M$35,Inputs!$B$4&lt;&gt;"Chapter Hunt"),CHOOSE(ArtifactsInput!$N$35+1,15,18,21,24,27,30)*(1-EXP(-(0.2*B465)*5)),0)+IF(AND(ArtifactsInput!$M$22,Inputs!$B$4&lt;&gt;"Chapter Hunt"),CHOOSE(ArtifactsInput!$N$22+1,10,12,14,16,18,20)*((0*(((0.15*B465*5))^0/1)+1*(((0.15*B465*5))^1/1)+2*(((0.15*B465*5))^2/2)+3*(((0.15*B465*5))^3/6)+4*(((0.15*B465*5))^4/24)+5*(((0.15*B465*5))^5/120))/((((0.15*B465*5))^0/1)+(((0.15*B465*5))^1/1)+(((0.15*B465*5))^2/2)+(((0.15*B465*5))^3/6)+(((0.15*B465*5))^4/24)+(((0.15*B465*5))^5/120))),0)))/100)*(MIN(Skills!W13,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441">
      <c r="A441">
        <f>Skills!A14</f>
        <v/>
      </c>
      <c r="B441">
        <f>Skills!B14</f>
        <v/>
      </c>
      <c r="C441">
        <f>Inputs!$B$3&gt;=105</f>
        <v/>
      </c>
      <c r="D441">
        <f>IF(Skills!C14=1,60+Inputs!$B$25+Inputs!$B$29,IF(Skills!C14=2,90+Inputs!$B$26+Inputs!$B$29,IF(Skills!C14=3,120+Inputs!$B$27+Inputs!$B$29,MAX(0,(Inputs!$B$3-100)*3)+Inputs!$B$28+Inputs!$B$29)))</f>
        <v/>
      </c>
      <c r="E441">
        <f>INDEX(FactorTable!$B$2:$Y$301, MATCH(ROUND(MIN(300,MAX(1,D441)),0), FactorTable!$A$2:$A$301,0), Skills!M14+1)</f>
        <v/>
      </c>
      <c r="F441">
        <f>IF(Skills!N14=TRUE,(Skills!L14/10)*(E441/1000),Skills!L14/10)+Skills!O14</f>
        <v/>
      </c>
      <c r="G441">
        <f>Skills!G14*IF(Skills!H14&gt;0,IF(Inputs!$B$39="pvp",MIN(Skills!I14,15),Skills!I14)/Skills!H14,1)</f>
        <v/>
      </c>
      <c r="H441">
        <f>1-(1-Skills!J14/100)^Skills!K14</f>
        <v/>
      </c>
      <c r="I441" t="inlineStr">
        <is>
          <t>1</t>
        </is>
      </c>
      <c r="J441">
        <f>((Inputs!$B$6*(1+Inputs!$B$7/100))+(((Inputs!$B$12*(1+Inputs!$B$13/100))-(Inputs!$B$12*(1+Inputs!$B$13/100)))+0.25*(Inputs!$B$14-Inputs!$B$14))*(1+Inputs!$B$7/100))*(F441/100)</f>
        <v/>
      </c>
      <c r="K441">
        <f>J441*(1+((Inputs!$B$12*(1+Inputs!$B$13/100))*0.01+Inputs!$B$14*0.0025)/100)*(1+Inputs!$B$15/100)*(1+Inputs!$B$16/100)*(5000/(6000+Inputs!$B$43*(1-(100*(1-(1-Inputs!$B$19/100)*(1-CHOOSE(ArtifactsInput!$N$40+1,5,6,7,8,9,10)/100)^(ArtifactsInput!$M$40-ArtifactsInput!$M$40)))/100)))*(1+(((((1+Inputs!$B$24/100)*(1.01))-1)*100)+((C458=TRUE)*(F458-Calc!F31))+((C445=TRUE)*(F445-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14="CRUEL_STAB",Inputs!$B$17+((C455=TRUE)*(F455-Calc!F28))+((IF(AND(Inputs!$B$39&lt;&gt;"pvp",Inputs!$B$44=0),1,IF(IF(Inputs!$B$39="pvp",15,Inputs!$B$44)-(B472)&lt;=0,1,MAX(0,IF(Inputs!$B$39="pvp",15,Inputs!$B$44)-MAX(5,B472))/(IF(Inputs!$B$39="pvp",15,Inputs!$B$44)-(B472))))*(IF(AND(ArtifactsInput!$M$42,((Inputs!$B$9+((C453=TRUE)*(F453-Calc!F26))+B461+(ArtifactsInput!$M$24-ArtifactsInput!$M$24)*CHOOSE(ArtifactsInput!$N$24+1,10,12,14,16,18,20)+IF(ArtifactsInput!$M$10,CHOOSE(ArtifactsInput!$N$10+1,15,18,21,24,27,30)*(IF(Inputs!$B$39="pvp",MIN(15,15)/15,IF(AND(Inputs!$B$39&lt;&gt;"pvp",Inputs!$B$44&gt;0),MIN(15,Inputs!$B$44)/(Inputs!$B$44),0))),0)))&gt;=100),MIN(100,((Inputs!$B$9+((C453=TRUE)*(F453-Calc!F26))+B461+(ArtifactsInput!$M$24-ArtifactsInput!$M$24)*CHOOSE(ArtifactsInput!$N$24+1,10,12,14,16,18,20)+IF(ArtifactsInput!$M$10,CHOOSE(ArtifactsInput!$N$10+1,15,18,21,24,27,30)*(IF(Inputs!$B$39="pvp",MIN(15,15)/15,IF(AND(Inputs!$B$39&lt;&gt;"pvp",Inputs!$B$44&gt;0),MIN(15,Inputs!$B$44)/(Inputs!$B$44),0))),0)))-100),0))*CHOOSE(ArtifactsInput!$N$42+1,0.6,0.72,0.84,0.96,1.08,1.2))),Inputs!$B$18+((C456=TRUE)*(F456-Calc!F29))+(IF(AND(Inputs!$B$39&lt;&gt;"pvp",Inputs!$B$44=0),1,IF(IF(Inputs!$B$39="pvp",15,Inputs!$B$44)-(B472)&lt;=0,1,MAX(0,IF(Inputs!$B$39="pvp",15,Inputs!$B$44)-MAX(5,B472))/(IF(Inputs!$B$39="pvp",15,Inputs!$B$44)-(B472))))*IF(AND(ArtifactsInput!$M$42,((Inputs!$B$9+((C453=TRUE)*(F453-Calc!F26))+B461+(ArtifactsInput!$M$24-ArtifactsInput!$M$24)*CHOOSE(ArtifactsInput!$N$24+1,10,12,14,16,18,20)+IF(ArtifactsInput!$M$10,CHOOSE(ArtifactsInput!$N$10+1,15,18,21,24,27,30)*(IF(Inputs!$B$39="pvp",MIN(15,15)/15,IF(AND(Inputs!$B$39&lt;&gt;"pvp",Inputs!$B$44&gt;0),MIN(15,Inputs!$B$44)/(Inputs!$B$44),0))),0)))&gt;=100),CHOOSE(ArtifactsInput!$N$42+1,40,48,56,64,72,80),0))))/100)*(((1+(((C449=TRUE)*F449*IF(AND(Inputs!$B$39&lt;&gt;"pvp",Inputs!$B$44&gt;0),(((R449-1)*MIN((Skills!Y22*(1+Inputs!$B$34/100)),(1/Q449))+MIN((Skills!Y22*(1+Inputs!$B$34/100)),MAX(0,Inputs!$B$44-((R449-1)*(1/Q449)))))/Inputs!$B$44),IF(Inputs!$B$39="pvp",MIN((Skills!Y22*(1+Inputs!$B$34/100)),15)/15,MIN(1,(Skills!Y22*(1+Inputs!$B$34/100))/(1/Q449)))))+((C430=TRUE)*F430*3)+((C432=TRUE)*F432*(1-EXP(-0.75*B465*5)))+((C451=TRUE)*(F451-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438=TRUE)*F438*IF(AND(Inputs!$B$39&lt;&gt;"pvp",Inputs!$B$44&gt;0),(((R438-1)*MIN((Skills!Y11*(1+Inputs!$B$34/100)),(1/Q438))+MIN((Skills!Y11*(1+Inputs!$B$34/100)),MAX(0,Inputs!$B$44-((R438-1)*(1/Q438)))))/Inputs!$B$44),IF(Inputs!$B$39="pvp",MIN((Skills!Y11*(1+Inputs!$B$34/100)),15)/15,MIN(1,(Skills!Y11*(1+Inputs!$B$34/100))/(1/Q438)))))/100)*(1+((C443=TRUE)*F443*IF(AND(Inputs!$B$39&lt;&gt;"pvp",Inputs!$B$44&gt;0),(((R443-1)*MIN((Skills!Y16*(1+Inputs!$B$34/100)),(1/Q443))+MIN((Skills!Y16*(1+Inputs!$B$34/100)),MAX(0,Inputs!$B$44-((R443-1)*(1/Q443)))))/Inputs!$B$44),IF(Inputs!$B$39="pvp",MIN((Skills!Y16*(1+Inputs!$B$34/100)),15)/15,MIN(1,(Skills!Y16*(1+Inputs!$B$34/100))/(1/Q443)))))/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463*I441)</f>
        <v/>
      </c>
      <c r="L441">
        <f>K441*(MIN(Inputs!$B$22+((C452=TRUE)*(F452-Calc!F25)),(Inputs!$B$23+((C457=TRUE)*(F457-Calc!F30))+IF(ArtifactsInput!$M$15,CHOOSE(ArtifactsInput!$N$15+1,25,30,35,40,45,50)/100*(Inputs!$B$11-Inputs!$B$11),0)))/100+(Inputs!$B$23+((C457=TRUE)*(F457-Calc!F30))+IF(ArtifactsInput!$M$15,CHOOSE(ArtifactsInput!$N$15+1,25,30,35,40,45,50)/100*(Inputs!$B$11-Inputs!$B$11),0))/100)/2</f>
        <v/>
      </c>
      <c r="M441">
        <f>L441*(1+(Inputs!$B$10+((C454=TRUE)*(F454-Calc!F27))+B468+(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441">
        <f>L441*(1-MIN((Inputs!$B$9+((C453=TRUE)*(F453-Calc!F26))+B461+(ArtifactsInput!$M$24-ArtifactsInput!$M$24)*CHOOSE(ArtifactsInput!$N$24+1,10,12,14,16,18,20)+(IF(AND(Inputs!$B$39&lt;&gt;"pvp",Inputs!$B$44=0),1,IF(IF(Inputs!$B$39="pvp",15,Inputs!$B$44)-(B472)&lt;=0,1,MAX(0,IF(Inputs!$B$39="pvp",15,Inputs!$B$44)-MAX(5,B472))/(IF(Inputs!$B$39="pvp",15,Inputs!$B$44)-(B472))))*IF(AND(ArtifactsInput!$M$42,((Inputs!$B$9+((C453=TRUE)*(F453-Calc!F26))+B461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441*(MIN((Inputs!$B$9+((C453=TRUE)*(F453-Calc!F26))+B461+(ArtifactsInput!$M$24-ArtifactsInput!$M$24)*CHOOSE(ArtifactsInput!$N$24+1,10,12,14,16,18,20)+(IF(AND(Inputs!$B$39&lt;&gt;"pvp",Inputs!$B$44=0),1,IF(IF(Inputs!$B$39="pvp",15,Inputs!$B$44)-(B472)&lt;=0,1,MAX(0,IF(Inputs!$B$39="pvp",15,Inputs!$B$44)-MAX(5,B472))/(IF(Inputs!$B$39="pvp",15,Inputs!$B$44)-(B472))))*IF(AND(ArtifactsInput!$M$42,((Inputs!$B$9+((C453=TRUE)*(F453-Calc!F26))+B461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441">
        <f>(1-Summary!$B$11)*T441+Summary!$B$11*V441</f>
        <v/>
      </c>
      <c r="P441">
        <f>IF(B473=0,0,O441/B473)</f>
        <v/>
      </c>
      <c r="Q441">
        <f>IFERROR(1/IF(Inputs!$B$39="pvp",15,MAX(0.1,Skills!D14-IF(TRUE=TRUE,Inputs!$B$32,0))),0)</f>
        <v/>
      </c>
      <c r="R441">
        <f>IF(AND(Inputs!$B$39&lt;&gt;"pvp",Inputs!$B$44&gt;0),IF(MAX(0,Inputs!$B$44-B472)&lt;=0,0,(INT(MAX(0,Inputs!$B$44-B472)/IF(Inputs!$B$39="pvp",15,MAX(0.1,Skills!D14-IF(TRUE=TRUE,Inputs!$B$32,0))))+1)),0)</f>
        <v/>
      </c>
      <c r="S441">
        <f>IFERROR(O441/N441,0)</f>
        <v/>
      </c>
      <c r="T441">
        <f>IF(C441,(H441*N441*IF(AND(Inputs!$B$39&lt;&gt;"pvp",Inputs!$B$44&gt;0),((Skills!G14*((R441-1)*IF(Skills!H14&gt;0,Skills!I14/Skills!H14,1)+IF(Skills!H14&gt;0,MIN(Skills!I14,MAX(0,MAX(0,Inputs!$B$44-B472)-((R441-1)*IF(Inputs!$B$39="pvp",15,MAX(0.1,Skills!D14-IF(TRUE=TRUE,Inputs!$B$32,0))))))/Skills!H14,1)))/Inputs!$B$44),G441*Q441))*IF(Inputs!$B$39="pvp",1,1+(Inputs!$B$20+0+Skills!P14+B462+(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Hunt"),CHOOSE(ArtifactsInput!$N$35+1,15,18,21,24,27,30)*(1-EXP(-(0.2*B465)*5)),0)+IF(AND(ArtifactsInput!$M$22,Inputs!$B$4&lt;&gt;"Chapter Hunt"),CHOOSE(ArtifactsInput!$N$22+1,10,12,14,16,18,20)*((0*(((0.15*B465*5))^0/1)+1*(((0.15*B465*5))^1/1)+2*(((0.15*B465*5))^2/2)+3*(((0.15*B465*5))^3/6)+4*(((0.15*B465*5))^4/24)+5*(((0.15*B465*5))^5/120))/((((0.15*B465*5))^0/1)+(((0.15*B465*5))^1/1)+(((0.15*B465*5))^2/2)+(((0.15*B465*5))^3/6)+(((0.15*B465*5))^4/24)+(((0.15*B465*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441*(1-MIN(100,(Inputs!$B$9+((C453=TRUE)*(F453-Calc!F26))+B461+(ArtifactsInput!$M$24-ArtifactsInput!$M$24)*CHOOSE(ArtifactsInput!$N$24+1,10,12,14,16,18,20)+(IF(AND(Inputs!$B$39&lt;&gt;"pvp",Inputs!$B$44=0),1,IF(IF(Inputs!$B$39="pvp",15,Inputs!$B$44)-(B472)&lt;=0,1,MAX(0,IF(Inputs!$B$39="pvp",15,Inputs!$B$44)-MAX(5,B472))/(IF(Inputs!$B$39="pvp",15,Inputs!$B$44)-(B472))))*IF(AND(ArtifactsInput!$M$42,((Inputs!$B$9+((C453=TRUE)*(F453-Calc!F26))+B461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441*(MIN(100,(Inputs!$B$9+((C453=TRUE)*(F453-Calc!F26))+B461+(ArtifactsInput!$M$24-ArtifactsInput!$M$24)*CHOOSE(ArtifactsInput!$N$24+1,10,12,14,16,18,20)+(IF(AND(Inputs!$B$39&lt;&gt;"pvp",Inputs!$B$44=0),1,IF(IF(Inputs!$B$39="pvp",15,Inputs!$B$44)-(B472)&lt;=0,1,MAX(0,IF(Inputs!$B$39="pvp",15,Inputs!$B$44)-MAX(5,B472))/(IF(Inputs!$B$39="pvp",15,Inputs!$B$44)-(B472))))*IF(AND(ArtifactsInput!$M$42,((Inputs!$B$9+((C453=TRUE)*(F453-Calc!F26))+B461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441*(1-MIN(100,(Inputs!$B$9+((C453=TRUE)*(F453-Calc!F26))+B461+(ArtifactsInput!$M$24-ArtifactsInput!$M$24)*CHOOSE(ArtifactsInput!$N$24+1,10,12,14,16,18,20)+(IF(AND(Inputs!$B$39&lt;&gt;"pvp",Inputs!$B$44=0),1,IF(IF(Inputs!$B$39="pvp",15,Inputs!$B$44)-(B472)&lt;=0,1,MAX(0,IF(Inputs!$B$39="pvp",15,Inputs!$B$44)-MAX(5,B472))/(IF(Inputs!$B$39="pvp",15,Inputs!$B$44)-(B472))))*IF(AND(ArtifactsInput!$M$42,((Inputs!$B$9+((C453=TRUE)*(F453-Calc!F26))+B461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441*(MIN(100,(Inputs!$B$9+((C453=TRUE)*(F453-Calc!F26))+B461+(ArtifactsInput!$M$24-ArtifactsInput!$M$24)*CHOOSE(ArtifactsInput!$N$24+1,10,12,14,16,18,20)+(IF(AND(Inputs!$B$39&lt;&gt;"pvp",Inputs!$B$44=0),1,IF(IF(Inputs!$B$39="pvp",15,Inputs!$B$44)-(B472)&lt;=0,1,MAX(0,IF(Inputs!$B$39="pvp",15,Inputs!$B$44)-MAX(5,B472))/(IF(Inputs!$B$39="pvp",15,Inputs!$B$44)-(B472))))*IF(AND(ArtifactsInput!$M$42,((Inputs!$B$9+((C453=TRUE)*(F453-Calc!F26))+B461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441">
        <f>IF(C441,(H441*N441*IF(AND(Inputs!$B$39&lt;&gt;"pvp",Inputs!$B$44&gt;0),((Skills!G14*((R441-1)*IF(Skills!H14&gt;0,Skills!I14/Skills!H14,1)+IF(Skills!H14&gt;0,MIN(Skills!I14,MAX(0,MAX(0,Inputs!$B$44-B472)-((R441-1)*IF(Inputs!$B$39="pvp",15,MAX(0.1,Skills!D14-IF(TRUE=TRUE,Inputs!$B$32,0))))))/Skills!H14,1)))/Inputs!$B$44),G441*Q441))*IF(Inputs!$B$39="pvp",1,(1+(Inputs!$B$21+Skills!Q14+B462+(IF(ArtifactsInput!$M$33,CHOOSE(ArtifactsInput!$N$33+1,30,36,42,48,54,60),0))+(IF(AND(ArtifactsInput!$M$35,Inputs!$B$4&lt;&gt;"Chapter Hunt"),CHOOSE(ArtifactsInput!$N$35+1,15,18,21,24,27,30)*(1-EXP(-(0.2*B465)*5)),0)+IF(AND(ArtifactsInput!$M$22,Inputs!$B$4&lt;&gt;"Chapter Hunt"),CHOOSE(ArtifactsInput!$N$22+1,10,12,14,16,18,20)*((0*(((0.15*B465*5))^0/1)+1*(((0.15*B465*5))^1/1)+2*(((0.15*B465*5))^2/2)+3*(((0.15*B465*5))^3/6)+4*(((0.15*B465*5))^4/24)+5*(((0.15*B465*5))^5/120))/((((0.15*B465*5))^0/1)+(((0.15*B465*5))^1/1)+(((0.15*B465*5))^2/2)+(((0.15*B465*5))^3/6)+(((0.15*B465*5))^4/24)+(((0.15*B465*5))^5/120))),0)))/100)*(MIN(Skills!W14,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442">
      <c r="A442">
        <f>Skills!A15</f>
        <v/>
      </c>
      <c r="B442">
        <f>Skills!B15</f>
        <v/>
      </c>
      <c r="C442">
        <f>Inputs!$B$3&gt;=107</f>
        <v/>
      </c>
      <c r="D442">
        <f>IF(Skills!C15=1,60+Inputs!$B$25+Inputs!$B$29,IF(Skills!C15=2,90+Inputs!$B$26+Inputs!$B$29,IF(Skills!C15=3,120+Inputs!$B$27+Inputs!$B$29,MAX(0,(Inputs!$B$3-100)*3)+Inputs!$B$28+Inputs!$B$29)))</f>
        <v/>
      </c>
      <c r="E442">
        <f>INDEX(FactorTable!$B$2:$Y$301, MATCH(ROUND(MIN(300,MAX(1,D442)),0), FactorTable!$A$2:$A$301,0), Skills!M15+1)</f>
        <v/>
      </c>
      <c r="F442">
        <f>IF(Skills!N15=TRUE,(Skills!L15/10)*(E442/1000),Skills!L15/10)+Skills!O15</f>
        <v/>
      </c>
      <c r="G442">
        <f>Skills!G15*IF(Skills!H15&gt;0,IF(Inputs!$B$39="pvp",MIN(Skills!I15,15),Skills!I15)/Skills!H15,1)</f>
        <v/>
      </c>
      <c r="H442">
        <f>1-(1-Skills!J15/100)^Skills!K15</f>
        <v/>
      </c>
      <c r="I442" t="inlineStr">
        <is>
          <t>1</t>
        </is>
      </c>
      <c r="J442">
        <f>((Inputs!$B$6*(1+Inputs!$B$7/100))+(((Inputs!$B$12*(1+Inputs!$B$13/100))-(Inputs!$B$12*(1+Inputs!$B$13/100)))+0.25*(Inputs!$B$14-Inputs!$B$14))*(1+Inputs!$B$7/100))*(F442/100)</f>
        <v/>
      </c>
      <c r="K442">
        <f>J442*(1+((Inputs!$B$12*(1+Inputs!$B$13/100))*0.01+Inputs!$B$14*0.0025)/100)*(1+Inputs!$B$15/100)*(1+Inputs!$B$16/100)*(5000/(6000+Inputs!$B$43*(1-(100*(1-(1-Inputs!$B$19/100)*(1-CHOOSE(ArtifactsInput!$N$40+1,5,6,7,8,9,10)/100)^(ArtifactsInput!$M$40-ArtifactsInput!$M$40)))/100)))*(1+(((((1+Inputs!$B$24/100)*(1.01))-1)*100)+((C458=TRUE)*(F458-Calc!F31))+((C445=TRUE)*(F445-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15="CRUEL_STAB",Inputs!$B$17+((C455=TRUE)*(F455-Calc!F28))+((IF(AND(Inputs!$B$39&lt;&gt;"pvp",Inputs!$B$44=0),1,IF(IF(Inputs!$B$39="pvp",15,Inputs!$B$44)-(B472)&lt;=0,1,MAX(0,IF(Inputs!$B$39="pvp",15,Inputs!$B$44)-MAX(5,B472))/(IF(Inputs!$B$39="pvp",15,Inputs!$B$44)-(B472))))*(IF(AND(ArtifactsInput!$M$42,((Inputs!$B$9+((C453=TRUE)*(F453-Calc!F26))+B461+(ArtifactsInput!$M$24-ArtifactsInput!$M$24)*CHOOSE(ArtifactsInput!$N$24+1,10,12,14,16,18,20)+IF(ArtifactsInput!$M$10,CHOOSE(ArtifactsInput!$N$10+1,15,18,21,24,27,30)*(IF(Inputs!$B$39="pvp",MIN(15,15)/15,IF(AND(Inputs!$B$39&lt;&gt;"pvp",Inputs!$B$44&gt;0),MIN(15,Inputs!$B$44)/(Inputs!$B$44),0))),0)))&gt;=100),MIN(100,((Inputs!$B$9+((C453=TRUE)*(F453-Calc!F26))+B461+(ArtifactsInput!$M$24-ArtifactsInput!$M$24)*CHOOSE(ArtifactsInput!$N$24+1,10,12,14,16,18,20)+IF(ArtifactsInput!$M$10,CHOOSE(ArtifactsInput!$N$10+1,15,18,21,24,27,30)*(IF(Inputs!$B$39="pvp",MIN(15,15)/15,IF(AND(Inputs!$B$39&lt;&gt;"pvp",Inputs!$B$44&gt;0),MIN(15,Inputs!$B$44)/(Inputs!$B$44),0))),0)))-100),0))*CHOOSE(ArtifactsInput!$N$42+1,0.6,0.72,0.84,0.96,1.08,1.2))),Inputs!$B$18+((C456=TRUE)*(F456-Calc!F29))+(IF(AND(Inputs!$B$39&lt;&gt;"pvp",Inputs!$B$44=0),1,IF(IF(Inputs!$B$39="pvp",15,Inputs!$B$44)-(B472)&lt;=0,1,MAX(0,IF(Inputs!$B$39="pvp",15,Inputs!$B$44)-MAX(5,B472))/(IF(Inputs!$B$39="pvp",15,Inputs!$B$44)-(B472))))*IF(AND(ArtifactsInput!$M$42,((Inputs!$B$9+((C453=TRUE)*(F453-Calc!F26))+B461+(ArtifactsInput!$M$24-ArtifactsInput!$M$24)*CHOOSE(ArtifactsInput!$N$24+1,10,12,14,16,18,20)+IF(ArtifactsInput!$M$10,CHOOSE(ArtifactsInput!$N$10+1,15,18,21,24,27,30)*(IF(Inputs!$B$39="pvp",MIN(15,15)/15,IF(AND(Inputs!$B$39&lt;&gt;"pvp",Inputs!$B$44&gt;0),MIN(15,Inputs!$B$44)/(Inputs!$B$44),0))),0)))&gt;=100),CHOOSE(ArtifactsInput!$N$42+1,40,48,56,64,72,80),0))))/100)*(((1+(((C449=TRUE)*F449*IF(AND(Inputs!$B$39&lt;&gt;"pvp",Inputs!$B$44&gt;0),(((R449-1)*MIN((Skills!Y22*(1+Inputs!$B$34/100)),(1/Q449))+MIN((Skills!Y22*(1+Inputs!$B$34/100)),MAX(0,Inputs!$B$44-((R449-1)*(1/Q449)))))/Inputs!$B$44),IF(Inputs!$B$39="pvp",MIN((Skills!Y22*(1+Inputs!$B$34/100)),15)/15,MIN(1,(Skills!Y22*(1+Inputs!$B$34/100))/(1/Q449)))))+((C430=TRUE)*F430*3)+((C432=TRUE)*F432*(1-EXP(-0.75*B465*5)))+((C451=TRUE)*(F451-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438=TRUE)*F438*IF(AND(Inputs!$B$39&lt;&gt;"pvp",Inputs!$B$44&gt;0),(((R438-1)*MIN((Skills!Y11*(1+Inputs!$B$34/100)),(1/Q438))+MIN((Skills!Y11*(1+Inputs!$B$34/100)),MAX(0,Inputs!$B$44-((R438-1)*(1/Q438)))))/Inputs!$B$44),IF(Inputs!$B$39="pvp",MIN((Skills!Y11*(1+Inputs!$B$34/100)),15)/15,MIN(1,(Skills!Y11*(1+Inputs!$B$34/100))/(1/Q438)))))/100)*(1+((C443=TRUE)*F443*IF(AND(Inputs!$B$39&lt;&gt;"pvp",Inputs!$B$44&gt;0),(((R443-1)*MIN((Skills!Y16*(1+Inputs!$B$34/100)),(1/Q443))+MIN((Skills!Y16*(1+Inputs!$B$34/100)),MAX(0,Inputs!$B$44-((R443-1)*(1/Q443)))))/Inputs!$B$44),IF(Inputs!$B$39="pvp",MIN((Skills!Y16*(1+Inputs!$B$34/100)),15)/15,MIN(1,(Skills!Y16*(1+Inputs!$B$34/100))/(1/Q443)))))/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463*I442)</f>
        <v/>
      </c>
      <c r="L442">
        <f>K442*(MIN(Inputs!$B$22+((C452=TRUE)*(F452-Calc!F25)),(Inputs!$B$23+((C457=TRUE)*(F457-Calc!F30))+IF(ArtifactsInput!$M$15,CHOOSE(ArtifactsInput!$N$15+1,25,30,35,40,45,50)/100*(Inputs!$B$11-Inputs!$B$11),0)))/100+(Inputs!$B$23+((C457=TRUE)*(F457-Calc!F30))+IF(ArtifactsInput!$M$15,CHOOSE(ArtifactsInput!$N$15+1,25,30,35,40,45,50)/100*(Inputs!$B$11-Inputs!$B$11),0))/100)/2</f>
        <v/>
      </c>
      <c r="M442">
        <f>L442*(1+(Inputs!$B$10+((C454=TRUE)*(F454-Calc!F27))+B468+(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442">
        <f>L442*(1-MIN((Inputs!$B$9+((C453=TRUE)*(F453-Calc!F26))+B461+(ArtifactsInput!$M$24-ArtifactsInput!$M$24)*CHOOSE(ArtifactsInput!$N$24+1,10,12,14,16,18,20)+(IF(AND(Inputs!$B$39&lt;&gt;"pvp",Inputs!$B$44=0),1,IF(IF(Inputs!$B$39="pvp",15,Inputs!$B$44)-(B472)&lt;=0,1,MAX(0,IF(Inputs!$B$39="pvp",15,Inputs!$B$44)-MAX(5,B472))/(IF(Inputs!$B$39="pvp",15,Inputs!$B$44)-(B472))))*IF(AND(ArtifactsInput!$M$42,((Inputs!$B$9+((C453=TRUE)*(F453-Calc!F26))+B461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442*(MIN((Inputs!$B$9+((C453=TRUE)*(F453-Calc!F26))+B461+(ArtifactsInput!$M$24-ArtifactsInput!$M$24)*CHOOSE(ArtifactsInput!$N$24+1,10,12,14,16,18,20)+(IF(AND(Inputs!$B$39&lt;&gt;"pvp",Inputs!$B$44=0),1,IF(IF(Inputs!$B$39="pvp",15,Inputs!$B$44)-(B472)&lt;=0,1,MAX(0,IF(Inputs!$B$39="pvp",15,Inputs!$B$44)-MAX(5,B472))/(IF(Inputs!$B$39="pvp",15,Inputs!$B$44)-(B472))))*IF(AND(ArtifactsInput!$M$42,((Inputs!$B$9+((C453=TRUE)*(F453-Calc!F26))+B461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442">
        <f>(1-Summary!$B$11)*T442+Summary!$B$11*V442</f>
        <v/>
      </c>
      <c r="P442">
        <f>IF(B473=0,0,O442/B473)</f>
        <v/>
      </c>
      <c r="Q442">
        <f>IFERROR(1/IF(Inputs!$B$39="pvp",15,MAX(0.1,Skills!D15-IF(TRUE=TRUE,Inputs!$B$32,0))),0)</f>
        <v/>
      </c>
      <c r="R442">
        <f>IF(AND(Inputs!$B$39&lt;&gt;"pvp",Inputs!$B$44&gt;0),IF(MAX(0,Inputs!$B$44-B472)&lt;=0,0,(INT(MAX(0,Inputs!$B$44-B472)/IF(Inputs!$B$39="pvp",15,MAX(0.1,Skills!D15-IF(TRUE=TRUE,Inputs!$B$32,0))))+1)),0)</f>
        <v/>
      </c>
      <c r="S442">
        <f>IFERROR(O442/N442,0)</f>
        <v/>
      </c>
      <c r="T442">
        <f>IF(C442,(H442*N442*IF(AND(Inputs!$B$39&lt;&gt;"pvp",Inputs!$B$44&gt;0),((Skills!G15*((R442-1)*IF(Skills!H15&gt;0,Skills!I15/Skills!H15,1)+IF(Skills!H15&gt;0,MIN(Skills!I15,MAX(0,MAX(0,Inputs!$B$44-B472)-((R442-1)*IF(Inputs!$B$39="pvp",15,MAX(0.1,Skills!D15-IF(TRUE=TRUE,Inputs!$B$32,0))))))/Skills!H15,1)))/Inputs!$B$44),G442*Q442))*IF(Inputs!$B$39="pvp",1,1+(Inputs!$B$20+0+Skills!P15+B462+(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Hunt"),CHOOSE(ArtifactsInput!$N$35+1,15,18,21,24,27,30)*(1-EXP(-(0.2*B465)*5)),0)+IF(AND(ArtifactsInput!$M$22,Inputs!$B$4&lt;&gt;"Chapter Hunt"),CHOOSE(ArtifactsInput!$N$22+1,10,12,14,16,18,20)*((0*(((0.15*B465*5))^0/1)+1*(((0.15*B465*5))^1/1)+2*(((0.15*B465*5))^2/2)+3*(((0.15*B465*5))^3/6)+4*(((0.15*B465*5))^4/24)+5*(((0.15*B465*5))^5/120))/((((0.15*B465*5))^0/1)+(((0.15*B465*5))^1/1)+(((0.15*B465*5))^2/2)+(((0.15*B465*5))^3/6)+(((0.15*B465*5))^4/24)+(((0.15*B465*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442*(1-MIN(100,(Inputs!$B$9+((C453=TRUE)*(F453-Calc!F26))+B461+(ArtifactsInput!$M$24-ArtifactsInput!$M$24)*CHOOSE(ArtifactsInput!$N$24+1,10,12,14,16,18,20)+(IF(AND(Inputs!$B$39&lt;&gt;"pvp",Inputs!$B$44=0),1,IF(IF(Inputs!$B$39="pvp",15,Inputs!$B$44)-(B472)&lt;=0,1,MAX(0,IF(Inputs!$B$39="pvp",15,Inputs!$B$44)-MAX(5,B472))/(IF(Inputs!$B$39="pvp",15,Inputs!$B$44)-(B472))))*IF(AND(ArtifactsInput!$M$42,((Inputs!$B$9+((C453=TRUE)*(F453-Calc!F26))+B461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442*(MIN(100,(Inputs!$B$9+((C453=TRUE)*(F453-Calc!F26))+B461+(ArtifactsInput!$M$24-ArtifactsInput!$M$24)*CHOOSE(ArtifactsInput!$N$24+1,10,12,14,16,18,20)+(IF(AND(Inputs!$B$39&lt;&gt;"pvp",Inputs!$B$44=0),1,IF(IF(Inputs!$B$39="pvp",15,Inputs!$B$44)-(B472)&lt;=0,1,MAX(0,IF(Inputs!$B$39="pvp",15,Inputs!$B$44)-MAX(5,B472))/(IF(Inputs!$B$39="pvp",15,Inputs!$B$44)-(B472))))*IF(AND(ArtifactsInput!$M$42,((Inputs!$B$9+((C453=TRUE)*(F453-Calc!F26))+B461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442*(1-MIN(100,(Inputs!$B$9+((C453=TRUE)*(F453-Calc!F26))+B461+(ArtifactsInput!$M$24-ArtifactsInput!$M$24)*CHOOSE(ArtifactsInput!$N$24+1,10,12,14,16,18,20)+(IF(AND(Inputs!$B$39&lt;&gt;"pvp",Inputs!$B$44=0),1,IF(IF(Inputs!$B$39="pvp",15,Inputs!$B$44)-(B472)&lt;=0,1,MAX(0,IF(Inputs!$B$39="pvp",15,Inputs!$B$44)-MAX(5,B472))/(IF(Inputs!$B$39="pvp",15,Inputs!$B$44)-(B472))))*IF(AND(ArtifactsInput!$M$42,((Inputs!$B$9+((C453=TRUE)*(F453-Calc!F26))+B461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442*(MIN(100,(Inputs!$B$9+((C453=TRUE)*(F453-Calc!F26))+B461+(ArtifactsInput!$M$24-ArtifactsInput!$M$24)*CHOOSE(ArtifactsInput!$N$24+1,10,12,14,16,18,20)+(IF(AND(Inputs!$B$39&lt;&gt;"pvp",Inputs!$B$44=0),1,IF(IF(Inputs!$B$39="pvp",15,Inputs!$B$44)-(B472)&lt;=0,1,MAX(0,IF(Inputs!$B$39="pvp",15,Inputs!$B$44)-MAX(5,B472))/(IF(Inputs!$B$39="pvp",15,Inputs!$B$44)-(B472))))*IF(AND(ArtifactsInput!$M$42,((Inputs!$B$9+((C453=TRUE)*(F453-Calc!F26))+B461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442">
        <f>IF(C442,(H442*N442*IF(AND(Inputs!$B$39&lt;&gt;"pvp",Inputs!$B$44&gt;0),((Skills!G15*((R442-1)*IF(Skills!H15&gt;0,Skills!I15/Skills!H15,1)+IF(Skills!H15&gt;0,MIN(Skills!I15,MAX(0,MAX(0,Inputs!$B$44-B472)-((R442-1)*IF(Inputs!$B$39="pvp",15,MAX(0.1,Skills!D15-IF(TRUE=TRUE,Inputs!$B$32,0))))))/Skills!H15,1)))/Inputs!$B$44),G442*Q442))*IF(Inputs!$B$39="pvp",1,(1+(Inputs!$B$21+Skills!Q15+B462+(IF(ArtifactsInput!$M$33,CHOOSE(ArtifactsInput!$N$33+1,30,36,42,48,54,60),0))+(IF(AND(ArtifactsInput!$M$35,Inputs!$B$4&lt;&gt;"Chapter Hunt"),CHOOSE(ArtifactsInput!$N$35+1,15,18,21,24,27,30)*(1-EXP(-(0.2*B465)*5)),0)+IF(AND(ArtifactsInput!$M$22,Inputs!$B$4&lt;&gt;"Chapter Hunt"),CHOOSE(ArtifactsInput!$N$22+1,10,12,14,16,18,20)*((0*(((0.15*B465*5))^0/1)+1*(((0.15*B465*5))^1/1)+2*(((0.15*B465*5))^2/2)+3*(((0.15*B465*5))^3/6)+4*(((0.15*B465*5))^4/24)+5*(((0.15*B465*5))^5/120))/((((0.15*B465*5))^0/1)+(((0.15*B465*5))^1/1)+(((0.15*B465*5))^2/2)+(((0.15*B465*5))^3/6)+(((0.15*B465*5))^4/24)+(((0.15*B465*5))^5/120))),0)))/100)*(MIN(MIN(5,0.5*IF(Inputs!$B$3&gt;=75,0.75,0.5)*B465*(1/Q431))*Skills!V15,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443">
      <c r="A443">
        <f>Skills!A16</f>
        <v/>
      </c>
      <c r="B443">
        <f>Skills!B16</f>
        <v/>
      </c>
      <c r="C443">
        <f>Inputs!$B$3&gt;=110</f>
        <v/>
      </c>
      <c r="D443">
        <f>IF(Skills!C16=1,60+Inputs!$B$25+Inputs!$B$29,IF(Skills!C16=2,90+Inputs!$B$26+Inputs!$B$29,IF(Skills!C16=3,120+Inputs!$B$27+Inputs!$B$29,MAX(0,(Inputs!$B$3-100)*3)+Inputs!$B$28+Inputs!$B$29)))</f>
        <v/>
      </c>
      <c r="E443">
        <f>INDEX(FactorTable!$B$2:$Y$301, MATCH(ROUND(MIN(300,MAX(1,D443)),0), FactorTable!$A$2:$A$301,0), Skills!M16+1)</f>
        <v/>
      </c>
      <c r="F443">
        <f>IF(Skills!N16=TRUE,(Skills!L16/10)*(E443/1000),Skills!L16/10)+Skills!O16</f>
        <v/>
      </c>
      <c r="G443">
        <f>Skills!G16*IF(Skills!H16&gt;0,IF(Inputs!$B$39="pvp",MIN(Skills!I16,15),Skills!I16)/Skills!H16,1)</f>
        <v/>
      </c>
      <c r="H443">
        <f>1-(1-Skills!J16/100)^Skills!K16</f>
        <v/>
      </c>
      <c r="I443" t="inlineStr">
        <is>
          <t>1</t>
        </is>
      </c>
      <c r="J443" t="inlineStr"/>
      <c r="K443" t="inlineStr"/>
      <c r="L443" t="inlineStr"/>
      <c r="M443" t="inlineStr"/>
      <c r="N443" t="inlineStr"/>
      <c r="O443">
        <f>(1-Summary!$B$11)*T443+Summary!$B$11*V443</f>
        <v/>
      </c>
      <c r="P443">
        <f>IF(B473=0,0,O443/B473)</f>
        <v/>
      </c>
      <c r="Q443">
        <f>IFERROR(1/IF(Inputs!$B$39="pvp",15,MAX(0.1,Skills!D16-IF(TRUE=TRUE,Inputs!$B$32,0))),0)</f>
        <v/>
      </c>
      <c r="R443">
        <f>IF(AND(Inputs!$B$39&lt;&gt;"pvp",Inputs!$B$44&gt;0),IF(Inputs!$B$44&lt;=0,0,(INT(Inputs!$B$44/IF(Inputs!$B$39="pvp",15,MAX(0.1,Skills!D16-IF(TRUE=TRUE,Inputs!$B$32,0))))+1)),0)</f>
        <v/>
      </c>
      <c r="S443">
        <f>IFERROR(O443/N443,0)</f>
        <v/>
      </c>
      <c r="T443" t="n">
        <v>0</v>
      </c>
      <c r="V443" t="n">
        <v>0</v>
      </c>
    </row>
    <row r="444">
      <c r="A444">
        <f>Skills!A17</f>
        <v/>
      </c>
      <c r="B444">
        <f>Skills!B17</f>
        <v/>
      </c>
      <c r="C444">
        <f>Inputs!$B$3&gt;=115</f>
        <v/>
      </c>
      <c r="D444">
        <f>IF(Skills!C17=1,60+Inputs!$B$25+Inputs!$B$29,IF(Skills!C17=2,90+Inputs!$B$26+Inputs!$B$29,IF(Skills!C17=3,120+Inputs!$B$27+Inputs!$B$29,MAX(0,(Inputs!$B$3-100)*3)+Inputs!$B$28+Inputs!$B$29)))</f>
        <v/>
      </c>
      <c r="E444">
        <f>INDEX(FactorTable!$B$2:$Y$301, MATCH(ROUND(MIN(300,MAX(1,D444)),0), FactorTable!$A$2:$A$301,0), Skills!M17+1)</f>
        <v/>
      </c>
      <c r="F444">
        <f>IF(Skills!N17=TRUE,(Skills!L17/10)*(E444/1000),Skills!L17/10)+Skills!O17</f>
        <v/>
      </c>
      <c r="G444">
        <f>Skills!G17*IF(Skills!H17&gt;0,IF(Inputs!$B$39="pvp",MIN(Skills!I17,15),Skills!I17)/Skills!H17,1)</f>
        <v/>
      </c>
      <c r="H444">
        <f>1-(1-Skills!J17/100)^Skills!K17</f>
        <v/>
      </c>
      <c r="I444" t="inlineStr">
        <is>
          <t>1</t>
        </is>
      </c>
      <c r="J444">
        <f>((Inputs!$B$6*(1+Inputs!$B$7/100))+(((Inputs!$B$12*(1+Inputs!$B$13/100))-(Inputs!$B$12*(1+Inputs!$B$13/100)))+0.25*(Inputs!$B$14-Inputs!$B$14))*(1+Inputs!$B$7/100))*(F444/100)</f>
        <v/>
      </c>
      <c r="K444">
        <f>J444*(1+((Inputs!$B$12*(1+Inputs!$B$13/100))*0.01+Inputs!$B$14*0.0025)/100)*(1+Inputs!$B$15/100)*(1+Inputs!$B$16/100)*(5000/(6000+Inputs!$B$43*(1-(100*(1-(1-Inputs!$B$19/100)*(1-CHOOSE(ArtifactsInput!$N$40+1,5,6,7,8,9,10)/100)^(ArtifactsInput!$M$40-ArtifactsInput!$M$40)))/100)))*(1+(((((1+Inputs!$B$24/100)*(1.01))-1)*100)+((C458=TRUE)*(F458-Calc!F31))+((C445=TRUE)*(F445-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17="CRUEL_STAB",Inputs!$B$17+((C455=TRUE)*(F455-Calc!F28))+((IF(AND(Inputs!$B$39&lt;&gt;"pvp",Inputs!$B$44=0),1,IF(IF(Inputs!$B$39="pvp",15,Inputs!$B$44)-(B472)&lt;=0,1,MAX(0,IF(Inputs!$B$39="pvp",15,Inputs!$B$44)-MAX(5,B472))/(IF(Inputs!$B$39="pvp",15,Inputs!$B$44)-(B472))))*(IF(AND(ArtifactsInput!$M$42,((Inputs!$B$9+((C453=TRUE)*(F453-Calc!F26))+B461+(ArtifactsInput!$M$24-ArtifactsInput!$M$24)*CHOOSE(ArtifactsInput!$N$24+1,10,12,14,16,18,20)+IF(ArtifactsInput!$M$10,CHOOSE(ArtifactsInput!$N$10+1,15,18,21,24,27,30)*(IF(Inputs!$B$39="pvp",MIN(15,15)/15,IF(AND(Inputs!$B$39&lt;&gt;"pvp",Inputs!$B$44&gt;0),MIN(15,Inputs!$B$44)/(Inputs!$B$44),0))),0)))&gt;=100),MIN(100,((Inputs!$B$9+((C453=TRUE)*(F453-Calc!F26))+B461+(ArtifactsInput!$M$24-ArtifactsInput!$M$24)*CHOOSE(ArtifactsInput!$N$24+1,10,12,14,16,18,20)+IF(ArtifactsInput!$M$10,CHOOSE(ArtifactsInput!$N$10+1,15,18,21,24,27,30)*(IF(Inputs!$B$39="pvp",MIN(15,15)/15,IF(AND(Inputs!$B$39&lt;&gt;"pvp",Inputs!$B$44&gt;0),MIN(15,Inputs!$B$44)/(Inputs!$B$44),0))),0)))-100),0))*CHOOSE(ArtifactsInput!$N$42+1,0.6,0.72,0.84,0.96,1.08,1.2))),Inputs!$B$18+((C456=TRUE)*(F456-Calc!F29))+(IF(AND(Inputs!$B$39&lt;&gt;"pvp",Inputs!$B$44=0),1,IF(IF(Inputs!$B$39="pvp",15,Inputs!$B$44)-(B472)&lt;=0,1,MAX(0,IF(Inputs!$B$39="pvp",15,Inputs!$B$44)-MAX(5,B472))/(IF(Inputs!$B$39="pvp",15,Inputs!$B$44)-(B472))))*IF(AND(ArtifactsInput!$M$42,((Inputs!$B$9+((C453=TRUE)*(F453-Calc!F26))+B461+(ArtifactsInput!$M$24-ArtifactsInput!$M$24)*CHOOSE(ArtifactsInput!$N$24+1,10,12,14,16,18,20)+IF(ArtifactsInput!$M$10,CHOOSE(ArtifactsInput!$N$10+1,15,18,21,24,27,30)*(IF(Inputs!$B$39="pvp",MIN(15,15)/15,IF(AND(Inputs!$B$39&lt;&gt;"pvp",Inputs!$B$44&gt;0),MIN(15,Inputs!$B$44)/(Inputs!$B$44),0))),0)))&gt;=100),CHOOSE(ArtifactsInput!$N$42+1,40,48,56,64,72,80),0))))/100)*(((1+(((C449=TRUE)*F449*IF(AND(Inputs!$B$39&lt;&gt;"pvp",Inputs!$B$44&gt;0),(((R449-1)*MIN((Skills!Y22*(1+Inputs!$B$34/100)),(1/Q449))+MIN((Skills!Y22*(1+Inputs!$B$34/100)),MAX(0,Inputs!$B$44-((R449-1)*(1/Q449)))))/Inputs!$B$44),IF(Inputs!$B$39="pvp",MIN((Skills!Y22*(1+Inputs!$B$34/100)),15)/15,MIN(1,(Skills!Y22*(1+Inputs!$B$34/100))/(1/Q449)))))+((C430=TRUE)*F430*3)+((C432=TRUE)*F432*(1-EXP(-0.75*B465*5)))+((C451=TRUE)*(F451-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438=TRUE)*F438*IF(AND(Inputs!$B$39&lt;&gt;"pvp",Inputs!$B$44&gt;0),(((R438-1)*MIN((Skills!Y11*(1+Inputs!$B$34/100)),(1/Q438))+MIN((Skills!Y11*(1+Inputs!$B$34/100)),MAX(0,Inputs!$B$44-((R438-1)*(1/Q438)))))/Inputs!$B$44),IF(Inputs!$B$39="pvp",MIN((Skills!Y11*(1+Inputs!$B$34/100)),15)/15,MIN(1,(Skills!Y11*(1+Inputs!$B$34/100))/(1/Q438)))))/100)*(1+((C443=TRUE)*F443*IF(AND(Inputs!$B$39&lt;&gt;"pvp",Inputs!$B$44&gt;0),(((R443-1)*MIN((Skills!Y16*(1+Inputs!$B$34/100)),(1/Q443))+MIN((Skills!Y16*(1+Inputs!$B$34/100)),MAX(0,Inputs!$B$44-((R443-1)*(1/Q443)))))/Inputs!$B$44),IF(Inputs!$B$39="pvp",MIN((Skills!Y16*(1+Inputs!$B$34/100)),15)/15,MIN(1,(Skills!Y16*(1+Inputs!$B$34/100))/(1/Q443)))))/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463*I444)</f>
        <v/>
      </c>
      <c r="L444">
        <f>K444*(MIN(Inputs!$B$22+((C452=TRUE)*(F452-Calc!F25)),(Inputs!$B$23+((C457=TRUE)*(F457-Calc!F30))+IF(ArtifactsInput!$M$15,CHOOSE(ArtifactsInput!$N$15+1,25,30,35,40,45,50)/100*(Inputs!$B$11-Inputs!$B$11),0)))/100+(Inputs!$B$23+((C457=TRUE)*(F457-Calc!F30))+IF(ArtifactsInput!$M$15,CHOOSE(ArtifactsInput!$N$15+1,25,30,35,40,45,50)/100*(Inputs!$B$11-Inputs!$B$11),0))/100)/2</f>
        <v/>
      </c>
      <c r="M444">
        <f>L444*(1+(Inputs!$B$10+((C454=TRUE)*(F454-Calc!F27))+B468+(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444">
        <f>L444*(1-MIN((Inputs!$B$9+((C453=TRUE)*(F453-Calc!F26))+B461+(ArtifactsInput!$M$24-ArtifactsInput!$M$24)*CHOOSE(ArtifactsInput!$N$24+1,10,12,14,16,18,20)+(IF(AND(Inputs!$B$39&lt;&gt;"pvp",Inputs!$B$44=0),1,IF(IF(Inputs!$B$39="pvp",15,Inputs!$B$44)-(B472)&lt;=0,1,MAX(0,IF(Inputs!$B$39="pvp",15,Inputs!$B$44)-MAX(5,B472))/(IF(Inputs!$B$39="pvp",15,Inputs!$B$44)-(B472))))*IF(AND(ArtifactsInput!$M$42,((Inputs!$B$9+((C453=TRUE)*(F453-Calc!F26))+B461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444*(MIN((Inputs!$B$9+((C453=TRUE)*(F453-Calc!F26))+B461+(ArtifactsInput!$M$24-ArtifactsInput!$M$24)*CHOOSE(ArtifactsInput!$N$24+1,10,12,14,16,18,20)+(IF(AND(Inputs!$B$39&lt;&gt;"pvp",Inputs!$B$44=0),1,IF(IF(Inputs!$B$39="pvp",15,Inputs!$B$44)-(B472)&lt;=0,1,MAX(0,IF(Inputs!$B$39="pvp",15,Inputs!$B$44)-MAX(5,B472))/(IF(Inputs!$B$39="pvp",15,Inputs!$B$44)-(B472))))*IF(AND(ArtifactsInput!$M$42,((Inputs!$B$9+((C453=TRUE)*(F453-Calc!F26))+B461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444">
        <f>(1-Summary!$B$11)*T444+Summary!$B$11*V444</f>
        <v/>
      </c>
      <c r="P444">
        <f>IF(B473=0,0,O444/B473)</f>
        <v/>
      </c>
      <c r="Q444" t="n">
        <v>0</v>
      </c>
      <c r="R444" t="n">
        <v>0</v>
      </c>
      <c r="S444">
        <f>IFERROR(O444/N444,0)</f>
        <v/>
      </c>
      <c r="T444">
        <f>IF(C444,(Inputs!$B$38*0.2*N444)*IF(Inputs!$B$39="pvp",1,1+(Inputs!$B$20+0+Skills!P17+B462+(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Hunt"),CHOOSE(ArtifactsInput!$N$35+1,15,18,21,24,27,30)*(1-EXP(-(0.2*B465)*5)),0)+IF(AND(ArtifactsInput!$M$22,Inputs!$B$4&lt;&gt;"Chapter Hunt"),CHOOSE(ArtifactsInput!$N$22+1,10,12,14,16,18,20)*((0*(((0.15*B465*5))^0/1)+1*(((0.15*B465*5))^1/1)+2*(((0.15*B465*5))^2/2)+3*(((0.15*B465*5))^3/6)+4*(((0.15*B465*5))^4/24)+5*(((0.15*B465*5))^5/120))/((((0.15*B465*5))^0/1)+(((0.15*B465*5))^1/1)+(((0.15*B465*5))^2/2)+(((0.15*B465*5))^3/6)+(((0.15*B465*5))^4/24)+(((0.15*B465*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444*(1-MIN(100,(Inputs!$B$9+((C453=TRUE)*(F453-Calc!F26))+B461+(ArtifactsInput!$M$24-ArtifactsInput!$M$24)*CHOOSE(ArtifactsInput!$N$24+1,10,12,14,16,18,20)+(IF(AND(Inputs!$B$39&lt;&gt;"pvp",Inputs!$B$44=0),1,IF(IF(Inputs!$B$39="pvp",15,Inputs!$B$44)-(B472)&lt;=0,1,MAX(0,IF(Inputs!$B$39="pvp",15,Inputs!$B$44)-MAX(5,B472))/(IF(Inputs!$B$39="pvp",15,Inputs!$B$44)-(B472))))*IF(AND(ArtifactsInput!$M$42,((Inputs!$B$9+((C453=TRUE)*(F453-Calc!F26))+B461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444*(MIN(100,(Inputs!$B$9+((C453=TRUE)*(F453-Calc!F26))+B461+(ArtifactsInput!$M$24-ArtifactsInput!$M$24)*CHOOSE(ArtifactsInput!$N$24+1,10,12,14,16,18,20)+(IF(AND(Inputs!$B$39&lt;&gt;"pvp",Inputs!$B$44=0),1,IF(IF(Inputs!$B$39="pvp",15,Inputs!$B$44)-(B472)&lt;=0,1,MAX(0,IF(Inputs!$B$39="pvp",15,Inputs!$B$44)-MAX(5,B472))/(IF(Inputs!$B$39="pvp",15,Inputs!$B$44)-(B472))))*IF(AND(ArtifactsInput!$M$42,((Inputs!$B$9+((C453=TRUE)*(F453-Calc!F26))+B461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444*(1-MIN(100,(Inputs!$B$9+((C453=TRUE)*(F453-Calc!F26))+B461+(ArtifactsInput!$M$24-ArtifactsInput!$M$24)*CHOOSE(ArtifactsInput!$N$24+1,10,12,14,16,18,20)+(IF(AND(Inputs!$B$39&lt;&gt;"pvp",Inputs!$B$44=0),1,IF(IF(Inputs!$B$39="pvp",15,Inputs!$B$44)-(B472)&lt;=0,1,MAX(0,IF(Inputs!$B$39="pvp",15,Inputs!$B$44)-MAX(5,B472))/(IF(Inputs!$B$39="pvp",15,Inputs!$B$44)-(B472))))*IF(AND(ArtifactsInput!$M$42,((Inputs!$B$9+((C453=TRUE)*(F453-Calc!F26))+B461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444*(MIN(100,(Inputs!$B$9+((C453=TRUE)*(F453-Calc!F26))+B461+(ArtifactsInput!$M$24-ArtifactsInput!$M$24)*CHOOSE(ArtifactsInput!$N$24+1,10,12,14,16,18,20)+(IF(AND(Inputs!$B$39&lt;&gt;"pvp",Inputs!$B$44=0),1,IF(IF(Inputs!$B$39="pvp",15,Inputs!$B$44)-(B472)&lt;=0,1,MAX(0,IF(Inputs!$B$39="pvp",15,Inputs!$B$44)-MAX(5,B472))/(IF(Inputs!$B$39="pvp",15,Inputs!$B$44)-(B472))))*IF(AND(ArtifactsInput!$M$42,((Inputs!$B$9+((C453=TRUE)*(F453-Calc!F26))+B461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444">
        <f>IF(C444,(Inputs!$B$38*0.2*N444)*IF(Inputs!$B$39="pvp",1,(1+(Inputs!$B$21+Skills!Q17+B462+(IF(ArtifactsInput!$M$33,CHOOSE(ArtifactsInput!$N$33+1,30,36,42,48,54,60),0))+(IF(AND(ArtifactsInput!$M$35,Inputs!$B$4&lt;&gt;"Chapter Hunt"),CHOOSE(ArtifactsInput!$N$35+1,15,18,21,24,27,30)*(1-EXP(-(0.2*B465)*5)),0)+IF(AND(ArtifactsInput!$M$22,Inputs!$B$4&lt;&gt;"Chapter Hunt"),CHOOSE(ArtifactsInput!$N$22+1,10,12,14,16,18,20)*((0*(((0.15*B465*5))^0/1)+1*(((0.15*B465*5))^1/1)+2*(((0.15*B465*5))^2/2)+3*(((0.15*B465*5))^3/6)+4*(((0.15*B465*5))^4/24)+5*(((0.15*B465*5))^5/120))/((((0.15*B465*5))^0/1)+(((0.15*B465*5))^1/1)+(((0.15*B465*5))^2/2)+(((0.15*B465*5))^3/6)+(((0.15*B465*5))^4/24)+(((0.15*B465*5))^5/120))),0)))/100)*(MIN(Skills!W17,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445">
      <c r="A445">
        <f>Skills!A18</f>
        <v/>
      </c>
      <c r="B445">
        <f>Skills!B18</f>
        <v/>
      </c>
      <c r="C445">
        <f>Inputs!$B$3&gt;=115</f>
        <v/>
      </c>
      <c r="D445">
        <f>IF(Skills!C18=1,60+Inputs!$B$25+Inputs!$B$29,IF(Skills!C18=2,90+Inputs!$B$26+Inputs!$B$29,IF(Skills!C18=3,120+Inputs!$B$27+Inputs!$B$29,MAX(0,(Inputs!$B$3-100)*3)+Inputs!$B$28+Inputs!$B$29)))</f>
        <v/>
      </c>
      <c r="E445">
        <f>INDEX(FactorTable!$B$2:$Y$301, MATCH(ROUND(MIN(300,MAX(1,D445)),0), FactorTable!$A$2:$A$301,0), Skills!M18+1)</f>
        <v/>
      </c>
      <c r="F445">
        <f>IF(Skills!N18=TRUE,(Skills!L18/10)*(E445/1000),Skills!L18/10)+Skills!O18</f>
        <v/>
      </c>
      <c r="G445">
        <f>Skills!G18*IF(Skills!H18&gt;0,IF(Inputs!$B$39="pvp",MIN(Skills!I18,15),Skills!I18)/Skills!H18,1)</f>
        <v/>
      </c>
      <c r="H445">
        <f>1-(1-Skills!J18/100)^Skills!K18</f>
        <v/>
      </c>
      <c r="I445" t="inlineStr">
        <is>
          <t>1</t>
        </is>
      </c>
      <c r="J445" t="inlineStr"/>
      <c r="K445" t="inlineStr"/>
      <c r="L445" t="inlineStr"/>
      <c r="M445" t="inlineStr"/>
      <c r="N445" t="inlineStr"/>
      <c r="O445">
        <f>(1-Summary!$B$11)*T445+Summary!$B$11*V445</f>
        <v/>
      </c>
      <c r="P445">
        <f>IF(B473=0,0,O445/B473)</f>
        <v/>
      </c>
      <c r="Q445" t="n">
        <v>0</v>
      </c>
      <c r="R445" t="n">
        <v>0</v>
      </c>
      <c r="S445">
        <f>IFERROR(O445/N445,0)</f>
        <v/>
      </c>
      <c r="T445" t="n">
        <v>0</v>
      </c>
      <c r="V445" t="n">
        <v>0</v>
      </c>
    </row>
    <row r="446">
      <c r="A446">
        <f>Skills!A19</f>
        <v/>
      </c>
      <c r="B446">
        <f>Skills!B19</f>
        <v/>
      </c>
      <c r="C446">
        <f>Inputs!$B$3&gt;=100</f>
        <v/>
      </c>
      <c r="D446">
        <f>IF(Skills!C19=1,60+Inputs!$B$25+Inputs!$B$29,IF(Skills!C19=2,90+Inputs!$B$26+Inputs!$B$29,IF(Skills!C19=3,120+Inputs!$B$27+Inputs!$B$29,MAX(0,(Inputs!$B$3-100)*3)+Inputs!$B$28+Inputs!$B$29)))</f>
        <v/>
      </c>
      <c r="E446">
        <f>INDEX(FactorTable!$B$2:$Y$301, MATCH(ROUND(MIN(300,MAX(1,D446)),0), FactorTable!$A$2:$A$301,0), Skills!M19+1)</f>
        <v/>
      </c>
      <c r="F446">
        <f>IF(Skills!N19=TRUE,(Skills!L19/10)*(E446/1000),Skills!L19/10)+Skills!O19</f>
        <v/>
      </c>
      <c r="G446">
        <f>Skills!G19*IF(Skills!H19&gt;0,IF(Inputs!$B$39="pvp",MIN(Skills!I19,15),Skills!I19)/Skills!H19,1)</f>
        <v/>
      </c>
      <c r="H446">
        <f>1-(1-Skills!J19/100)^Skills!K19</f>
        <v/>
      </c>
      <c r="I446" t="inlineStr">
        <is>
          <t>1</t>
        </is>
      </c>
      <c r="J446" t="inlineStr"/>
      <c r="K446" t="inlineStr"/>
      <c r="L446" t="inlineStr"/>
      <c r="M446" t="inlineStr"/>
      <c r="N446" t="inlineStr"/>
      <c r="O446">
        <f>(1-Summary!$B$11)*T446+Summary!$B$11*V446</f>
        <v/>
      </c>
      <c r="P446">
        <f>IF(B473=0,0,O446/B473)</f>
        <v/>
      </c>
      <c r="Q446" t="n">
        <v>0</v>
      </c>
      <c r="R446" t="n">
        <v>0</v>
      </c>
      <c r="S446">
        <f>IFERROR(O446/N446,0)</f>
        <v/>
      </c>
      <c r="T446" t="n">
        <v>0</v>
      </c>
      <c r="V446" t="n">
        <v>0</v>
      </c>
    </row>
    <row r="447">
      <c r="A447">
        <f>Skills!A20</f>
        <v/>
      </c>
      <c r="B447">
        <f>Skills!B20</f>
        <v/>
      </c>
      <c r="C447">
        <f>TRUE</f>
        <v/>
      </c>
      <c r="D447">
        <f>IF(Skills!C20=1,60+Inputs!$B$25+Inputs!$B$29,IF(Skills!C20=2,90+Inputs!$B$26+Inputs!$B$29,IF(Skills!C20=3,120+Inputs!$B$27+Inputs!$B$29,MAX(0,(Inputs!$B$3-100)*3)+Inputs!$B$28+Inputs!$B$29)))</f>
        <v/>
      </c>
      <c r="E447">
        <f>INDEX(FactorTable!$B$2:$Y$301, MATCH(ROUND(MIN(300,MAX(1,D447)),0), FactorTable!$A$2:$A$301,0), Skills!M20+1)</f>
        <v/>
      </c>
      <c r="F447">
        <f>IF(Skills!N20=TRUE,(Skills!L20/10)*(E447/1000),Skills!L20/10)+Skills!O20</f>
        <v/>
      </c>
      <c r="G447">
        <f>Skills!G20*IF(Skills!H20&gt;0,IF(Inputs!$B$39="pvp",MIN(Skills!I20,15),Skills!I20)/Skills!H20,1)</f>
        <v/>
      </c>
      <c r="H447">
        <f>1-(1-Skills!J20/100)^Skills!K20</f>
        <v/>
      </c>
      <c r="I447" t="inlineStr">
        <is>
          <t>1</t>
        </is>
      </c>
      <c r="J447" t="inlineStr"/>
      <c r="K447" t="inlineStr"/>
      <c r="L447" t="inlineStr"/>
      <c r="M447" t="inlineStr"/>
      <c r="N447" t="inlineStr"/>
      <c r="O447">
        <f>(1-Summary!$B$11)*T447+Summary!$B$11*V447</f>
        <v/>
      </c>
      <c r="P447">
        <f>IF(B473=0,0,O447/B473)</f>
        <v/>
      </c>
      <c r="Q447">
        <f>IFERROR(1/IF(Inputs!$B$39="pvp",15,MAX(0.1,Skills!D20-IF(TRUE=TRUE,Inputs!$B$32,0))),0)</f>
        <v/>
      </c>
      <c r="R447">
        <f>IF(AND(Inputs!$B$39&lt;&gt;"pvp",Inputs!$B$44&gt;0),IF(Inputs!$B$44&lt;=0,0,(INT(Inputs!$B$44/IF(Inputs!$B$39="pvp",15,MAX(0.1,Skills!D20-IF(TRUE=TRUE,Inputs!$B$32,0))))+1)),0)</f>
        <v/>
      </c>
      <c r="S447">
        <f>IFERROR(O447/N447,0)</f>
        <v/>
      </c>
      <c r="T447" t="n">
        <v>0</v>
      </c>
      <c r="V447" t="n">
        <v>0</v>
      </c>
    </row>
    <row r="448">
      <c r="A448">
        <f>Skills!A21</f>
        <v/>
      </c>
      <c r="B448">
        <f>Skills!B21</f>
        <v/>
      </c>
      <c r="C448">
        <f>Inputs!$B$3&gt;=15</f>
        <v/>
      </c>
      <c r="D448">
        <f>IF(Skills!C21=1,60+Inputs!$B$25+Inputs!$B$29,IF(Skills!C21=2,90+Inputs!$B$26+Inputs!$B$29,IF(Skills!C21=3,120+Inputs!$B$27+Inputs!$B$29,MAX(0,(Inputs!$B$3-100)*3)+Inputs!$B$28+Inputs!$B$29)))</f>
        <v/>
      </c>
      <c r="E448">
        <f>INDEX(FactorTable!$B$2:$Y$301, MATCH(ROUND(MIN(300,MAX(1,D448)),0), FactorTable!$A$2:$A$301,0), Skills!M21+1)</f>
        <v/>
      </c>
      <c r="F448">
        <f>IF(Skills!N21=TRUE,(Skills!L21/10)*(E448/1000),Skills!L21/10)+Skills!O21</f>
        <v/>
      </c>
      <c r="G448">
        <f>Skills!G21*IF(Skills!H21&gt;0,IF(Inputs!$B$39="pvp",MIN(Skills!I21,15),Skills!I21)/Skills!H21,1)</f>
        <v/>
      </c>
      <c r="H448">
        <f>1-(1-Skills!J21/100)^Skills!K21</f>
        <v/>
      </c>
      <c r="I448" t="inlineStr">
        <is>
          <t>1</t>
        </is>
      </c>
      <c r="J448" t="inlineStr"/>
      <c r="K448" t="inlineStr"/>
      <c r="L448" t="inlineStr"/>
      <c r="M448" t="inlineStr"/>
      <c r="N448" t="inlineStr"/>
      <c r="O448">
        <f>(1-Summary!$B$11)*T448+Summary!$B$11*V448</f>
        <v/>
      </c>
      <c r="P448">
        <f>IF(B473=0,0,O448/B473)</f>
        <v/>
      </c>
      <c r="Q448">
        <f>IFERROR(1/IF(Inputs!$B$39="pvp",15,MAX(0.1,Skills!D21-IF(TRUE=TRUE,Inputs!$B$32,0))),0)</f>
        <v/>
      </c>
      <c r="R448">
        <f>IF(AND(Inputs!$B$39&lt;&gt;"pvp",Inputs!$B$44&gt;0),IF(Inputs!$B$44&lt;=0,0,(INT(Inputs!$B$44/IF(Inputs!$B$39="pvp",15,MAX(0.1,Skills!D21-IF(TRUE=TRUE,Inputs!$B$32,0))))+1)),0)</f>
        <v/>
      </c>
      <c r="S448">
        <f>IFERROR(O448/N448,0)</f>
        <v/>
      </c>
      <c r="T448" t="n">
        <v>0</v>
      </c>
      <c r="V448" t="n">
        <v>0</v>
      </c>
    </row>
    <row r="449">
      <c r="A449">
        <f>Skills!A22</f>
        <v/>
      </c>
      <c r="B449">
        <f>Skills!B22</f>
        <v/>
      </c>
      <c r="C449">
        <f>Inputs!$B$3&gt;=15</f>
        <v/>
      </c>
      <c r="D449">
        <f>IF(Skills!C22=1,60+Inputs!$B$25+Inputs!$B$29,IF(Skills!C22=2,90+Inputs!$B$26+Inputs!$B$29,IF(Skills!C22=3,120+Inputs!$B$27+Inputs!$B$29,MAX(0,(Inputs!$B$3-100)*3)+Inputs!$B$28+Inputs!$B$29)))</f>
        <v/>
      </c>
      <c r="E449">
        <f>INDEX(FactorTable!$B$2:$Y$301, MATCH(ROUND(MIN(300,MAX(1,D449)),0), FactorTable!$A$2:$A$301,0), Skills!M22+1)</f>
        <v/>
      </c>
      <c r="F449">
        <f>IF(Skills!N22=TRUE,(Skills!L22/10)*(E449/1000),Skills!L22/10)+Skills!O22</f>
        <v/>
      </c>
      <c r="G449">
        <f>Skills!G22*IF(Skills!H22&gt;0,IF(Inputs!$B$39="pvp",MIN(Skills!I22,15),Skills!I22)/Skills!H22,1)</f>
        <v/>
      </c>
      <c r="H449">
        <f>1-(1-Skills!J22/100)^Skills!K22</f>
        <v/>
      </c>
      <c r="I449" t="inlineStr">
        <is>
          <t>1</t>
        </is>
      </c>
      <c r="J449" t="inlineStr"/>
      <c r="K449" t="inlineStr"/>
      <c r="L449" t="inlineStr"/>
      <c r="M449" t="inlineStr"/>
      <c r="N449" t="inlineStr"/>
      <c r="O449">
        <f>(1-Summary!$B$11)*T449+Summary!$B$11*V449</f>
        <v/>
      </c>
      <c r="P449">
        <f>IF(B473=0,0,O449/B473)</f>
        <v/>
      </c>
      <c r="Q449">
        <f>IFERROR(1/IF(Inputs!$B$39="pvp",15,MAX(0.1,Skills!D22-IF(TRUE=TRUE,Inputs!$B$32,0))),0)</f>
        <v/>
      </c>
      <c r="R449">
        <f>IF(AND(Inputs!$B$39&lt;&gt;"pvp",Inputs!$B$44&gt;0),IF(Inputs!$B$44&lt;=0,0,(INT(Inputs!$B$44/IF(Inputs!$B$39="pvp",15,MAX(0.1,Skills!D22-IF(TRUE=TRUE,Inputs!$B$32,0))))+1)),0)</f>
        <v/>
      </c>
      <c r="S449">
        <f>IFERROR(O449/N449,0)</f>
        <v/>
      </c>
      <c r="T449" t="n">
        <v>0</v>
      </c>
      <c r="V449" t="n">
        <v>0</v>
      </c>
    </row>
    <row r="450">
      <c r="A450">
        <f>Skills!A23</f>
        <v/>
      </c>
      <c r="B450">
        <f>Skills!B23</f>
        <v/>
      </c>
      <c r="C450">
        <f>Inputs!$B$3&gt;=33</f>
        <v/>
      </c>
      <c r="D450">
        <f>IF(Skills!C23=1,60+Inputs!$B$25+Inputs!$B$29,IF(Skills!C23=2,90+Inputs!$B$26+Inputs!$B$29,IF(Skills!C23=3,120+Inputs!$B$27+Inputs!$B$29,MAX(0,(Inputs!$B$3-100)*3)+Inputs!$B$28+Inputs!$B$29)))</f>
        <v/>
      </c>
      <c r="E450">
        <f>INDEX(FactorTable!$B$2:$Y$301, MATCH(ROUND(MIN(300,MAX(1,D450)),0), FactorTable!$A$2:$A$301,0), Skills!M23+1)</f>
        <v/>
      </c>
      <c r="F450">
        <f>IF(Skills!N23=TRUE,(Skills!L23/10)*(E450/1000),Skills!L23/10)+Skills!O23</f>
        <v/>
      </c>
      <c r="G450">
        <f>Skills!G23*IF(Skills!H23&gt;0,IF(Inputs!$B$39="pvp",MIN(Skills!I23,15),Skills!I23)/Skills!H23,1)</f>
        <v/>
      </c>
      <c r="H450">
        <f>1-(1-Skills!J23/100)^Skills!K23</f>
        <v/>
      </c>
      <c r="I450" t="inlineStr">
        <is>
          <t>1</t>
        </is>
      </c>
      <c r="J450" t="inlineStr"/>
      <c r="K450" t="inlineStr"/>
      <c r="L450" t="inlineStr"/>
      <c r="M450" t="inlineStr"/>
      <c r="N450" t="inlineStr"/>
      <c r="O450">
        <f>(1-Summary!$B$11)*T450+Summary!$B$11*V450</f>
        <v/>
      </c>
      <c r="P450">
        <f>IF(B473=0,0,O450/B473)</f>
        <v/>
      </c>
      <c r="Q450" t="n">
        <v>0</v>
      </c>
      <c r="R450" t="n">
        <v>0</v>
      </c>
      <c r="S450">
        <f>IFERROR(O450/N450,0)</f>
        <v/>
      </c>
      <c r="T450" t="n">
        <v>0</v>
      </c>
      <c r="V450" t="n">
        <v>0</v>
      </c>
    </row>
    <row r="451">
      <c r="A451">
        <f>Skills!A24</f>
        <v/>
      </c>
      <c r="B451">
        <f>Skills!B24</f>
        <v/>
      </c>
      <c r="C451">
        <f>Inputs!$B$3&gt;=40</f>
        <v/>
      </c>
      <c r="D451">
        <f>IF(Skills!C24=1,60+Inputs!$B$25+Inputs!$B$29,IF(Skills!C24=2,90+Inputs!$B$26+Inputs!$B$29,IF(Skills!C24=3,120+Inputs!$B$27+Inputs!$B$29,MAX(0,(Inputs!$B$3-100)*3)+Inputs!$B$28+Inputs!$B$29)))</f>
        <v/>
      </c>
      <c r="E451">
        <f>INDEX(FactorTable!$B$2:$Y$301, MATCH(ROUND(MIN(300,MAX(1,D451)),0), FactorTable!$A$2:$A$301,0), Skills!M24+1)</f>
        <v/>
      </c>
      <c r="F451">
        <f>IF(Skills!N24=TRUE,(Skills!L24/10)*(E451/1000),Skills!L24/10)+Skills!O24</f>
        <v/>
      </c>
      <c r="G451">
        <f>Skills!G24*IF(Skills!H24&gt;0,IF(Inputs!$B$39="pvp",MIN(Skills!I24,15),Skills!I24)/Skills!H24,1)</f>
        <v/>
      </c>
      <c r="H451">
        <f>1-(1-Skills!J24/100)^Skills!K24</f>
        <v/>
      </c>
      <c r="I451" t="inlineStr">
        <is>
          <t>1</t>
        </is>
      </c>
      <c r="J451" t="inlineStr"/>
      <c r="K451" t="inlineStr"/>
      <c r="L451" t="inlineStr"/>
      <c r="M451" t="inlineStr"/>
      <c r="N451" t="inlineStr"/>
      <c r="O451">
        <f>(1-Summary!$B$11)*T451+Summary!$B$11*V451</f>
        <v/>
      </c>
      <c r="P451">
        <f>IF(B473=0,0,O451/B473)</f>
        <v/>
      </c>
      <c r="Q451" t="n">
        <v>0</v>
      </c>
      <c r="R451" t="n">
        <v>0</v>
      </c>
      <c r="S451">
        <f>IFERROR(O451/N451,0)</f>
        <v/>
      </c>
      <c r="T451" t="n">
        <v>0</v>
      </c>
      <c r="V451" t="n">
        <v>0</v>
      </c>
    </row>
    <row r="452">
      <c r="A452">
        <f>Skills!A25</f>
        <v/>
      </c>
      <c r="B452">
        <f>Skills!B25</f>
        <v/>
      </c>
      <c r="C452">
        <f>Inputs!$B$3&gt;=43</f>
        <v/>
      </c>
      <c r="D452">
        <f>IF(Skills!C25=1,60+Inputs!$B$25+Inputs!$B$29,IF(Skills!C25=2,90+Inputs!$B$26+Inputs!$B$29,IF(Skills!C25=3,120+Inputs!$B$27+Inputs!$B$29,MAX(0,(Inputs!$B$3-100)*3)+Inputs!$B$28+Inputs!$B$29)))</f>
        <v/>
      </c>
      <c r="E452">
        <f>INDEX(FactorTable!$B$2:$Y$301, MATCH(ROUND(MIN(300,MAX(1,D452)),0), FactorTable!$A$2:$A$301,0), Skills!M25+1)</f>
        <v/>
      </c>
      <c r="F452">
        <f>IF(Skills!N25=TRUE,(Skills!L25/10)*(E452/1000),Skills!L25/10)+Skills!O25</f>
        <v/>
      </c>
      <c r="G452">
        <f>Skills!G25*IF(Skills!H25&gt;0,IF(Inputs!$B$39="pvp",MIN(Skills!I25,15),Skills!I25)/Skills!H25,1)</f>
        <v/>
      </c>
      <c r="H452">
        <f>1-(1-Skills!J25/100)^Skills!K25</f>
        <v/>
      </c>
      <c r="I452" t="inlineStr">
        <is>
          <t>1</t>
        </is>
      </c>
      <c r="J452" t="inlineStr"/>
      <c r="K452" t="inlineStr"/>
      <c r="L452" t="inlineStr"/>
      <c r="M452" t="inlineStr"/>
      <c r="N452" t="inlineStr"/>
      <c r="O452">
        <f>(1-Summary!$B$11)*T452+Summary!$B$11*V452</f>
        <v/>
      </c>
      <c r="P452">
        <f>IF(B473=0,0,O452/B473)</f>
        <v/>
      </c>
      <c r="Q452" t="n">
        <v>0</v>
      </c>
      <c r="R452" t="n">
        <v>0</v>
      </c>
      <c r="S452">
        <f>IFERROR(O452/N452,0)</f>
        <v/>
      </c>
      <c r="T452" t="n">
        <v>0</v>
      </c>
      <c r="V452" t="n">
        <v>0</v>
      </c>
    </row>
    <row r="453">
      <c r="A453">
        <f>Skills!A26</f>
        <v/>
      </c>
      <c r="B453">
        <f>Skills!B26</f>
        <v/>
      </c>
      <c r="C453">
        <f>Inputs!$B$3&gt;=50</f>
        <v/>
      </c>
      <c r="D453">
        <f>IF(Skills!C26=1,60+Inputs!$B$25+Inputs!$B$29,IF(Skills!C26=2,90+Inputs!$B$26+Inputs!$B$29,IF(Skills!C26=3,120+Inputs!$B$27+Inputs!$B$29,MAX(0,(Inputs!$B$3-100)*3)+Inputs!$B$28+Inputs!$B$29)))</f>
        <v/>
      </c>
      <c r="E453">
        <f>INDEX(FactorTable!$B$2:$Y$301, MATCH(ROUND(MIN(300,MAX(1,D453)),0), FactorTable!$A$2:$A$301,0), Skills!M26+1)</f>
        <v/>
      </c>
      <c r="F453">
        <f>IF(Skills!N26=TRUE,(Skills!L26/10)*(E453/1000),Skills!L26/10)+Skills!O26</f>
        <v/>
      </c>
      <c r="G453">
        <f>Skills!G26*IF(Skills!H26&gt;0,IF(Inputs!$B$39="pvp",MIN(Skills!I26,15),Skills!I26)/Skills!H26,1)</f>
        <v/>
      </c>
      <c r="H453">
        <f>1-(1-Skills!J26/100)^Skills!K26</f>
        <v/>
      </c>
      <c r="I453" t="inlineStr">
        <is>
          <t>1</t>
        </is>
      </c>
      <c r="J453" t="inlineStr"/>
      <c r="K453" t="inlineStr"/>
      <c r="L453" t="inlineStr"/>
      <c r="M453" t="inlineStr"/>
      <c r="N453" t="inlineStr"/>
      <c r="O453">
        <f>(1-Summary!$B$11)*T453+Summary!$B$11*V453</f>
        <v/>
      </c>
      <c r="P453">
        <f>IF(B473=0,0,O453/B473)</f>
        <v/>
      </c>
      <c r="Q453" t="n">
        <v>0</v>
      </c>
      <c r="R453" t="n">
        <v>0</v>
      </c>
      <c r="S453">
        <f>IFERROR(O453/N453,0)</f>
        <v/>
      </c>
      <c r="T453" t="n">
        <v>0</v>
      </c>
      <c r="V453" t="n">
        <v>0</v>
      </c>
    </row>
    <row r="454">
      <c r="A454">
        <f>Skills!A27</f>
        <v/>
      </c>
      <c r="B454">
        <f>Skills!B27</f>
        <v/>
      </c>
      <c r="C454">
        <f>Inputs!$B$3&gt;=50</f>
        <v/>
      </c>
      <c r="D454">
        <f>IF(Skills!C27=1,60+Inputs!$B$25+Inputs!$B$29,IF(Skills!C27=2,90+Inputs!$B$26+Inputs!$B$29,IF(Skills!C27=3,120+Inputs!$B$27+Inputs!$B$29,MAX(0,(Inputs!$B$3-100)*3)+Inputs!$B$28+Inputs!$B$29)))</f>
        <v/>
      </c>
      <c r="E454">
        <f>INDEX(FactorTable!$B$2:$Y$301, MATCH(ROUND(MIN(300,MAX(1,D454)),0), FactorTable!$A$2:$A$301,0), Skills!M27+1)</f>
        <v/>
      </c>
      <c r="F454">
        <f>IF(Skills!N27=TRUE,(Skills!L27/10)*(E454/1000),Skills!L27/10)+Skills!O27</f>
        <v/>
      </c>
      <c r="G454">
        <f>Skills!G27*IF(Skills!H27&gt;0,IF(Inputs!$B$39="pvp",MIN(Skills!I27,15),Skills!I27)/Skills!H27,1)</f>
        <v/>
      </c>
      <c r="H454">
        <f>1-(1-Skills!J27/100)^Skills!K27</f>
        <v/>
      </c>
      <c r="I454" t="inlineStr">
        <is>
          <t>1</t>
        </is>
      </c>
      <c r="J454" t="inlineStr"/>
      <c r="K454" t="inlineStr"/>
      <c r="L454" t="inlineStr"/>
      <c r="M454" t="inlineStr"/>
      <c r="N454" t="inlineStr"/>
      <c r="O454">
        <f>(1-Summary!$B$11)*T454+Summary!$B$11*V454</f>
        <v/>
      </c>
      <c r="P454">
        <f>IF(B473=0,0,O454/B473)</f>
        <v/>
      </c>
      <c r="Q454" t="n">
        <v>0</v>
      </c>
      <c r="R454" t="n">
        <v>0</v>
      </c>
      <c r="S454">
        <f>IFERROR(O454/N454,0)</f>
        <v/>
      </c>
      <c r="T454" t="n">
        <v>0</v>
      </c>
      <c r="V454" t="n">
        <v>0</v>
      </c>
    </row>
    <row r="455">
      <c r="A455">
        <f>Skills!A28</f>
        <v/>
      </c>
      <c r="B455">
        <f>Skills!B28</f>
        <v/>
      </c>
      <c r="C455">
        <f>Inputs!$B$3&gt;=38</f>
        <v/>
      </c>
      <c r="D455">
        <f>IF(Skills!C28=1,60+Inputs!$B$25+Inputs!$B$29,IF(Skills!C28=2,90+Inputs!$B$26+Inputs!$B$29,IF(Skills!C28=3,120+Inputs!$B$27+Inputs!$B$29,MAX(0,(Inputs!$B$3-100)*3)+Inputs!$B$28+Inputs!$B$29)))</f>
        <v/>
      </c>
      <c r="E455">
        <f>INDEX(FactorTable!$B$2:$Y$301, MATCH(ROUND(MIN(300,MAX(1,D455)),0), FactorTable!$A$2:$A$301,0), Skills!M28+1)</f>
        <v/>
      </c>
      <c r="F455">
        <f>IF(Skills!N28=TRUE,(Skills!L28/10)*(E455/1000),Skills!L28/10)+Skills!O28</f>
        <v/>
      </c>
      <c r="G455">
        <f>Skills!G28*IF(Skills!H28&gt;0,IF(Inputs!$B$39="pvp",MIN(Skills!I28,15),Skills!I28)/Skills!H28,1)</f>
        <v/>
      </c>
      <c r="H455">
        <f>1-(1-Skills!J28/100)^Skills!K28</f>
        <v/>
      </c>
      <c r="I455" t="inlineStr">
        <is>
          <t>1</t>
        </is>
      </c>
      <c r="J455" t="inlineStr"/>
      <c r="K455" t="inlineStr"/>
      <c r="L455" t="inlineStr"/>
      <c r="M455" t="inlineStr"/>
      <c r="N455" t="inlineStr"/>
      <c r="O455">
        <f>(1-Summary!$B$11)*T455+Summary!$B$11*V455</f>
        <v/>
      </c>
      <c r="P455">
        <f>IF(B473=0,0,O455/B473)</f>
        <v/>
      </c>
      <c r="Q455" t="n">
        <v>0</v>
      </c>
      <c r="R455" t="n">
        <v>0</v>
      </c>
      <c r="S455">
        <f>IFERROR(O455/N455,0)</f>
        <v/>
      </c>
      <c r="T455" t="n">
        <v>0</v>
      </c>
      <c r="V455" t="n">
        <v>0</v>
      </c>
    </row>
    <row r="456">
      <c r="A456">
        <f>Skills!A29</f>
        <v/>
      </c>
      <c r="B456">
        <f>Skills!B29</f>
        <v/>
      </c>
      <c r="C456">
        <f>Inputs!$B$3&gt;=120</f>
        <v/>
      </c>
      <c r="D456">
        <f>IF(Skills!C29=1,60+Inputs!$B$25+Inputs!$B$29,IF(Skills!C29=2,90+Inputs!$B$26+Inputs!$B$29,IF(Skills!C29=3,120+Inputs!$B$27+Inputs!$B$29,MAX(0,(Inputs!$B$3-100)*3)+Inputs!$B$28+Inputs!$B$29)))</f>
        <v/>
      </c>
      <c r="E456">
        <f>INDEX(FactorTable!$B$2:$Y$301, MATCH(ROUND(MIN(300,MAX(1,D456)),0), FactorTable!$A$2:$A$301,0), Skills!M29+1)</f>
        <v/>
      </c>
      <c r="F456">
        <f>IF(Skills!N29=TRUE,(Skills!L29/10)*(E456/1000),Skills!L29/10)+Skills!O29</f>
        <v/>
      </c>
      <c r="G456">
        <f>Skills!G29*IF(Skills!H29&gt;0,IF(Inputs!$B$39="pvp",MIN(Skills!I29,15),Skills!I29)/Skills!H29,1)</f>
        <v/>
      </c>
      <c r="H456">
        <f>1-(1-Skills!J29/100)^Skills!K29</f>
        <v/>
      </c>
      <c r="I456" t="inlineStr">
        <is>
          <t>1</t>
        </is>
      </c>
      <c r="J456" t="inlineStr"/>
      <c r="K456" t="inlineStr"/>
      <c r="L456" t="inlineStr"/>
      <c r="M456" t="inlineStr"/>
      <c r="N456" t="inlineStr"/>
      <c r="O456">
        <f>(1-Summary!$B$11)*T456+Summary!$B$11*V456</f>
        <v/>
      </c>
      <c r="P456">
        <f>IF(B473=0,0,O456/B473)</f>
        <v/>
      </c>
      <c r="Q456" t="n">
        <v>0</v>
      </c>
      <c r="R456" t="n">
        <v>0</v>
      </c>
      <c r="S456">
        <f>IFERROR(O456/N456,0)</f>
        <v/>
      </c>
      <c r="T456" t="n">
        <v>0</v>
      </c>
      <c r="V456" t="n">
        <v>0</v>
      </c>
    </row>
    <row r="457">
      <c r="A457">
        <f>Skills!A30</f>
        <v/>
      </c>
      <c r="B457">
        <f>Skills!B30</f>
        <v/>
      </c>
      <c r="C457">
        <f>Inputs!$B$3&gt;=120</f>
        <v/>
      </c>
      <c r="D457">
        <f>IF(Skills!C30=1,60+Inputs!$B$25+Inputs!$B$29,IF(Skills!C30=2,90+Inputs!$B$26+Inputs!$B$29,IF(Skills!C30=3,120+Inputs!$B$27+Inputs!$B$29,MAX(0,(Inputs!$B$3-100)*3)+Inputs!$B$28+Inputs!$B$29)))</f>
        <v/>
      </c>
      <c r="E457">
        <f>INDEX(FactorTable!$B$2:$Y$301, MATCH(ROUND(MIN(300,MAX(1,D457)),0), FactorTable!$A$2:$A$301,0), Skills!M30+1)</f>
        <v/>
      </c>
      <c r="F457">
        <f>IF(Skills!N30=TRUE,(Skills!L30/10)*(E457/1000),Skills!L30/10)+Skills!O30</f>
        <v/>
      </c>
      <c r="G457">
        <f>Skills!G30*IF(Skills!H30&gt;0,IF(Inputs!$B$39="pvp",MIN(Skills!I30,15),Skills!I30)/Skills!H30,1)</f>
        <v/>
      </c>
      <c r="H457">
        <f>1-(1-Skills!J30/100)^Skills!K30</f>
        <v/>
      </c>
      <c r="I457" t="inlineStr">
        <is>
          <t>1</t>
        </is>
      </c>
      <c r="J457" t="inlineStr"/>
      <c r="K457" t="inlineStr"/>
      <c r="L457" t="inlineStr"/>
      <c r="M457" t="inlineStr"/>
      <c r="N457" t="inlineStr"/>
      <c r="O457">
        <f>(1-Summary!$B$11)*T457+Summary!$B$11*V457</f>
        <v/>
      </c>
      <c r="P457">
        <f>IF(B473=0,0,O457/B473)</f>
        <v/>
      </c>
      <c r="Q457" t="n">
        <v>0</v>
      </c>
      <c r="R457" t="n">
        <v>0</v>
      </c>
      <c r="S457">
        <f>IFERROR(O457/N457,0)</f>
        <v/>
      </c>
      <c r="T457" t="n">
        <v>0</v>
      </c>
      <c r="V457" t="n">
        <v>0</v>
      </c>
    </row>
    <row r="458">
      <c r="A458">
        <f>Skills!A31</f>
        <v/>
      </c>
      <c r="B458">
        <f>Skills!B31</f>
        <v/>
      </c>
      <c r="C458">
        <f>Inputs!$B$3&gt;=125</f>
        <v/>
      </c>
      <c r="D458">
        <f>IF(Skills!C31=1,60+Inputs!$B$25+Inputs!$B$29,IF(Skills!C31=2,90+Inputs!$B$26+Inputs!$B$29,IF(Skills!C31=3,120+Inputs!$B$27+Inputs!$B$29,MAX(0,(Inputs!$B$3-100)*3)+Inputs!$B$28+Inputs!$B$29)))</f>
        <v/>
      </c>
      <c r="E458">
        <f>INDEX(FactorTable!$B$2:$Y$301, MATCH(ROUND(MIN(300,MAX(1,D458)),0), FactorTable!$A$2:$A$301,0), Skills!M31+1)</f>
        <v/>
      </c>
      <c r="F458">
        <f>IF(Skills!N31=TRUE,(Skills!L31/10)*(E458/1000),Skills!L31/10)+Skills!O31</f>
        <v/>
      </c>
      <c r="G458">
        <f>Skills!G31*IF(Skills!H31&gt;0,IF(Inputs!$B$39="pvp",MIN(Skills!I31,15),Skills!I31)/Skills!H31,1)</f>
        <v/>
      </c>
      <c r="H458">
        <f>1-(1-Skills!J31/100)^Skills!K31</f>
        <v/>
      </c>
      <c r="I458" t="inlineStr">
        <is>
          <t>1</t>
        </is>
      </c>
      <c r="J458" t="inlineStr"/>
      <c r="K458" t="inlineStr"/>
      <c r="L458" t="inlineStr"/>
      <c r="M458" t="inlineStr"/>
      <c r="N458" t="inlineStr"/>
      <c r="O458">
        <f>(1-Summary!$B$11)*T458+Summary!$B$11*V458</f>
        <v/>
      </c>
      <c r="P458">
        <f>IF(B473=0,0,O458/B473)</f>
        <v/>
      </c>
      <c r="Q458" t="n">
        <v>0</v>
      </c>
      <c r="R458" t="n">
        <v>0</v>
      </c>
      <c r="S458">
        <f>IFERROR(O458/N458,0)</f>
        <v/>
      </c>
      <c r="T458" t="n">
        <v>0</v>
      </c>
      <c r="V458" t="n">
        <v>0</v>
      </c>
    </row>
    <row r="460">
      <c r="A460" t="inlineStr">
        <is>
          <t>Average Buff Multiplier</t>
        </is>
      </c>
      <c r="B460">
        <f>(1+(((C449=TRUE)*F449*IF(AND(Inputs!$B$39&lt;&gt;"pvp",Inputs!$B$44&gt;0),(((R449-1)*MIN((Skills!Y22*(1+Inputs!$B$34/100)),(1/Q449))+MIN((Skills!Y22*(1+Inputs!$B$34/100)),MAX(0,Inputs!$B$44-((R449-1)*(1/Q449)))))/Inputs!$B$44),IF(Inputs!$B$39="pvp",MIN((Skills!Y22*(1+Inputs!$B$34/100)),15)/15,MIN(1,(Skills!Y22*(1+Inputs!$B$34/100))/(1/Q449)))))+((C430=TRUE)*F430*3)+((C432=TRUE)*F432*(1-EXP(-0.75*B465*5)))+((C451=TRUE)*(F451-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438=TRUE)*F438*IF(AND(Inputs!$B$39&lt;&gt;"pvp",Inputs!$B$44&gt;0),(((R438-1)*MIN((Skills!Y11*(1+Inputs!$B$34/100)),(1/Q438))+MIN((Skills!Y11*(1+Inputs!$B$34/100)),MAX(0,Inputs!$B$44-((R438-1)*(1/Q438)))))/Inputs!$B$44),IF(Inputs!$B$39="pvp",MIN((Skills!Y11*(1+Inputs!$B$34/100)),15)/15,MIN(1,(Skills!Y11*(1+Inputs!$B$34/100))/(1/Q438)))))/100)*(1+((C443=TRUE)*F443*IF(AND(Inputs!$B$39&lt;&gt;"pvp",Inputs!$B$44&gt;0),(((R443-1)*MIN((Skills!Y16*(1+Inputs!$B$34/100)),(1/Q443))+MIN((Skills!Y16*(1+Inputs!$B$34/100)),MAX(0,Inputs!$B$44-((R443-1)*(1/Q443)))))/Inputs!$B$44),IF(Inputs!$B$39="pvp",MIN((Skills!Y16*(1+Inputs!$B$34/100)),15)/15,MIN(1,(Skills!Y16*(1+Inputs!$B$34/100))/(1/Q443)))))/100)</f>
        <v/>
      </c>
    </row>
    <row r="461">
      <c r="A461" t="inlineStr">
        <is>
          <t>Global Crit Rate Bonus %</t>
        </is>
      </c>
      <c r="B461">
        <f>((C448=TRUE)*F448*IF(AND(Inputs!$B$39&lt;&gt;"pvp",Inputs!$B$44&gt;0),(((R448-1)*MIN((Skills!Y21*(1+Inputs!$B$34/100)),(1/Q448))+MIN((Skills!Y21*(1+Inputs!$B$34/100)),MAX(0,Inputs!$B$44-((R448-1)*(1/Q448)))))/Inputs!$B$44),IF(Inputs!$B$39="pvp",MIN((Skills!Y21*(1+Inputs!$B$34/100)),15)/15,MIN(1,(Skills!Y21*(1+Inputs!$B$34/100))/(1/Q448)))))</f>
        <v/>
      </c>
    </row>
    <row r="462">
      <c r="A462" t="inlineStr">
        <is>
          <t>Global Monster Damage-Taken Bonus %</t>
        </is>
      </c>
      <c r="B462">
        <f>IF(Inputs!$B$3&gt;=82,15,0)</f>
        <v/>
      </c>
    </row>
    <row r="463">
      <c r="A463" t="inlineStr">
        <is>
          <t>Shadow Partner Average Multiplier</t>
        </is>
      </c>
      <c r="B463">
        <f>1+((C435=TRUE)*F435*(1+3.3333333333333335*IF(C446=TRUE,F446,0)/100)*I435*Skills!J8/100)/100</f>
        <v/>
      </c>
    </row>
    <row r="464">
      <c r="A464" t="inlineStr">
        <is>
          <t>Attack Speed Buff Bonus %</t>
        </is>
      </c>
      <c r="B464">
        <f>((C447=TRUE)*F447*IF(AND(Inputs!$B$39&lt;&gt;"pvp",Inputs!$B$44&gt;0),(((R447-1)*MIN((Skills!Y20*(1+Inputs!$B$34/100)),(1/Q447))+MIN((Skills!Y20*(1+Inputs!$B$34/100)),MAX(0,Inputs!$B$44-((R447-1)*(1/Q447)))))/Inputs!$B$44),IF(Inputs!$B$39="pvp",MIN((Skills!Y20*(1+Inputs!$B$34/100)),15)/15,MIN(1,(Skills!Y20*(1+Inputs!$B$34/100))/(1/Q447)))))</f>
        <v/>
      </c>
    </row>
    <row r="465">
      <c r="A465" t="inlineStr">
        <is>
          <t>Actions Per Second</t>
        </is>
      </c>
      <c r="B465">
        <f>1+MIN(150,150*(1-(1-(Inputs!$B$11+((C450=TRUE)*(F450-Calc!F23)))/150)*(1-B464/150)))/100</f>
        <v/>
      </c>
    </row>
    <row r="466">
      <c r="A466" t="inlineStr">
        <is>
          <t>Skill + Buff Cast Rate</t>
        </is>
      </c>
      <c r="B466">
        <f>IF(AND(Inputs!$B$39&lt;&gt;"pvp",Inputs!$B$44&gt;0),SUMPRODUCT((Skills!E2:E31=TRUE)*(C429:C458=TRUE)*R429:R458*Skills!F2:F31)/Inputs!$B$44,SUMPRODUCT((Skills!E2:E31=TRUE)*(C429:C458=TRUE)*Q429:Q458*Skills!F2:F31))</f>
        <v/>
      </c>
    </row>
    <row r="467">
      <c r="A467" t="inlineStr">
        <is>
          <t>Cruel Stab Casts Per Second</t>
        </is>
      </c>
      <c r="B467">
        <f>MAX(0,B465-B466)</f>
        <v/>
      </c>
    </row>
    <row r="468">
      <c r="A468" t="inlineStr">
        <is>
          <t>Global Critical Damage Bonus % (Smokescreen Mastery Lv.113)</t>
        </is>
      </c>
      <c r="B468">
        <f>IF(Inputs!$B$3&gt;=113,30,0)*IF(AND(Inputs!$B$39&lt;&gt;"pvp",Inputs!$B$44&gt;0),(((R443-1)*MIN((Skills!Y16*(1+Inputs!$B$34/100)),(1/Q443))+MIN((Skills!Y16*(1+Inputs!$B$34/100)),MAX(0,Inputs!$B$44-((R443-1)*(1/Q443)))))/Inputs!$B$44),IF(Inputs!$B$39="pvp",MIN((Skills!Y16*(1+Inputs!$B$34/100)),15)/15,MIN(1,(Skills!Y16*(1+Inputs!$B$34/100))/(1/Q443))))</f>
        <v/>
      </c>
    </row>
    <row r="469">
      <c r="A469" t="inlineStr">
        <is>
          <t>Meso Explosion average stack count</t>
        </is>
      </c>
      <c r="B469">
        <f>MIN(10,IF(Inputs!$B$3&gt;=75,0.75,0.5)*B465*(1/Q431))</f>
        <v/>
      </c>
    </row>
    <row r="470">
      <c r="A470" t="inlineStr">
        <is>
          <t>Blood Money average stack count</t>
        </is>
      </c>
      <c r="B470">
        <f>MIN(5,0.5*IF(Inputs!$B$3&gt;=75,0.75,0.5)*B465*(1/Q431))</f>
        <v/>
      </c>
    </row>
    <row r="471">
      <c r="A471" t="inlineStr">
        <is>
          <t>Assassinate Murderous Intent Multiplier</t>
        </is>
      </c>
      <c r="B471">
        <f>1+IFERROR(MIN(1,Q442*2/Q439),0)</f>
        <v/>
      </c>
    </row>
    <row r="472">
      <c r="A472" t="inlineStr">
        <is>
          <t>Buff-Casting Startup Delay (s, fixed-duration only)</t>
        </is>
      </c>
      <c r="B472">
        <f>IF(AND(Inputs!$B$39&lt;&gt;"pvp",Inputs!$B$44&gt;0),SUMPRODUCT((Skills!Y2:Y31&gt;0)*(Skills!E2:E31=TRUE)*(C429:C458=TRUE))/B465,0)</f>
        <v/>
      </c>
    </row>
    <row r="473">
      <c r="A473" s="6" t="inlineStr">
        <is>
          <t>TOTAL DPS</t>
        </is>
      </c>
      <c r="B473" s="6">
        <f>SUM(O429:O458)</f>
        <v/>
      </c>
    </row>
    <row r="474">
      <c r="A474" t="inlineStr">
        <is>
          <t>Boss-Only Total DPS (this block's swept value)</t>
        </is>
      </c>
      <c r="B474">
        <f>SUM(T429:T458)</f>
        <v/>
      </c>
    </row>
    <row r="475">
      <c r="A475" t="inlineStr">
        <is>
          <t>Normal-Only Total DPS (this block's swept value)</t>
        </is>
      </c>
      <c r="B475">
        <f>SUM(V429:V458)</f>
        <v/>
      </c>
    </row>
    <row r="478">
      <c r="A478" s="6" t="inlineStr">
        <is>
          <t>Stat: MIN_DAMAGE %</t>
        </is>
      </c>
    </row>
    <row r="479">
      <c r="A479" s="5" t="inlineStr">
        <is>
          <t>Key</t>
        </is>
      </c>
      <c r="B479" s="5" t="inlineStr">
        <is>
          <t>Name</t>
        </is>
      </c>
      <c r="C479" s="5" t="inlineStr">
        <is>
          <t>Unlocked</t>
        </is>
      </c>
      <c r="D479" s="5" t="inlineStr">
        <is>
          <t>InputLevel</t>
        </is>
      </c>
      <c r="E479" s="5" t="inlineStr">
        <is>
          <t>Factor</t>
        </is>
      </c>
      <c r="F479" s="5" t="inlineStr">
        <is>
          <t>CoefficientPercent</t>
        </is>
      </c>
      <c r="G479" s="5" t="inlineStr">
        <is>
          <t>EffectiveHits</t>
        </is>
      </c>
      <c r="H479" s="5" t="inlineStr">
        <is>
          <t>ProcProbability</t>
        </is>
      </c>
      <c r="I479" s="5" t="inlineStr">
        <is>
          <t>MapleHeroMultiplier</t>
        </is>
      </c>
      <c r="J479" s="5" t="inlineStr">
        <is>
          <t>BaseDamage</t>
        </is>
      </c>
      <c r="K479" s="5" t="inlineStr">
        <is>
          <t>BaseHitDamage</t>
        </is>
      </c>
      <c r="L479" s="5" t="inlineStr">
        <is>
          <t>NonCritAvg</t>
        </is>
      </c>
      <c r="M479" s="5" t="inlineStr">
        <is>
          <t>CritAvg</t>
        </is>
      </c>
      <c r="N479" s="5" t="inlineStr">
        <is>
          <t>ExpectedDamage(perHit)</t>
        </is>
      </c>
      <c r="O479" s="5" t="inlineStr">
        <is>
          <t>DPS</t>
        </is>
      </c>
      <c r="P479" s="5" t="inlineStr">
        <is>
          <t>% of Total</t>
        </is>
      </c>
      <c r="Q479" s="5" t="inlineStr">
        <is>
          <t>InvCooldown</t>
        </is>
      </c>
      <c r="R479" s="5" t="inlineStr">
        <is>
          <t>CastsInFight</t>
        </is>
      </c>
      <c r="S479" s="5" t="inlineStr">
        <is>
          <t>HitRate(perSec)</t>
        </is>
      </c>
      <c r="U479" t="inlineStr">
        <is>
          <t>helpers</t>
        </is>
      </c>
    </row>
    <row r="480">
      <c r="A480">
        <f>Skills!A2</f>
        <v/>
      </c>
      <c r="B480">
        <f>Skills!B2</f>
        <v/>
      </c>
      <c r="C480">
        <f>Inputs!$B$3&gt;=100</f>
        <v/>
      </c>
      <c r="D480" t="inlineStr"/>
      <c r="E480" t="inlineStr"/>
      <c r="F480">
        <f>U482+Skills!O2</f>
        <v/>
      </c>
      <c r="G480">
        <f>Skills!G2*IF(Skills!H2&gt;0,IF(Inputs!$B$39="pvp",MIN(Skills!I2,15),Skills!I2)/Skills!H2,1)</f>
        <v/>
      </c>
      <c r="H480">
        <f>1-(1-Skills!J2/100)^Skills!K2</f>
        <v/>
      </c>
      <c r="I480" t="inlineStr">
        <is>
          <t>1</t>
        </is>
      </c>
      <c r="J480">
        <f>((Inputs!$B$6*(1+Inputs!$B$7/100))+(((Inputs!$B$12*(1+Inputs!$B$13/100))-(Inputs!$B$12*(1+Inputs!$B$13/100)))+0.25*(Inputs!$B$14-Inputs!$B$14))*(1+Inputs!$B$7/100))*(F480/100)</f>
        <v/>
      </c>
      <c r="K480">
        <f>J480*(1+((Inputs!$B$12*(1+Inputs!$B$13/100))*0.01+Inputs!$B$14*0.0025)/100)*(1+Inputs!$B$15/100)*(1+Inputs!$B$16/100)*(5000/(6000+Inputs!$B$43*(1-(100*(1-(1-Inputs!$B$19/100)*(1-CHOOSE(ArtifactsInput!$N$40+1,5,6,7,8,9,10)/100)^(ArtifactsInput!$M$40-ArtifactsInput!$M$40)))/100)))*(1+(Inputs!$B$24+((C509=TRUE)*(F509-Calc!F31))+((C496=TRUE)*(F496-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CRUEL_STAB",Inputs!$B$17+((C506=TRUE)*(F506-Calc!F28))+((IF(AND(Inputs!$B$39&lt;&gt;"pvp",Inputs!$B$44=0),1,IF(IF(Inputs!$B$39="pvp",15,Inputs!$B$44)-(B523)&lt;=0,1,MAX(0,IF(Inputs!$B$39="pvp",15,Inputs!$B$44)-MAX(5,B523))/(IF(Inputs!$B$39="pvp",15,Inputs!$B$44)-(B523))))*(IF(AND(ArtifactsInput!$M$42,((Inputs!$B$9+((C504=TRUE)*(F504-Calc!F26))+B512+(ArtifactsInput!$M$24-ArtifactsInput!$M$24)*CHOOSE(ArtifactsInput!$N$24+1,10,12,14,16,18,20)+IF(ArtifactsInput!$M$10,CHOOSE(ArtifactsInput!$N$10+1,15,18,21,24,27,30)*(IF(Inputs!$B$39="pvp",MIN(15,15)/15,IF(AND(Inputs!$B$39&lt;&gt;"pvp",Inputs!$B$44&gt;0),MIN(15,Inputs!$B$44)/(Inputs!$B$44),0))),0)))&gt;=100),MIN(100,((Inputs!$B$9+((C504=TRUE)*(F504-Calc!F26))+B512+(ArtifactsInput!$M$24-ArtifactsInput!$M$24)*CHOOSE(ArtifactsInput!$N$24+1,10,12,14,16,18,20)+IF(ArtifactsInput!$M$10,CHOOSE(ArtifactsInput!$N$10+1,15,18,21,24,27,30)*(IF(Inputs!$B$39="pvp",MIN(15,15)/15,IF(AND(Inputs!$B$39&lt;&gt;"pvp",Inputs!$B$44&gt;0),MIN(15,Inputs!$B$44)/(Inputs!$B$44),0))),0)))-100),0))*CHOOSE(ArtifactsInput!$N$42+1,0.6,0.72,0.84,0.96,1.08,1.2))),Inputs!$B$18+((C507=TRUE)*(F507-Calc!F29))+(IF(AND(Inputs!$B$39&lt;&gt;"pvp",Inputs!$B$44=0),1,IF(IF(Inputs!$B$39="pvp",15,Inputs!$B$44)-(B523)&lt;=0,1,MAX(0,IF(Inputs!$B$39="pvp",15,Inputs!$B$44)-MAX(5,B523))/(IF(Inputs!$B$39="pvp",15,Inputs!$B$44)-(B523))))*IF(AND(ArtifactsInput!$M$42,((Inputs!$B$9+((C504=TRUE)*(F504-Calc!F26))+B512+(ArtifactsInput!$M$24-ArtifactsInput!$M$24)*CHOOSE(ArtifactsInput!$N$24+1,10,12,14,16,18,20)+IF(ArtifactsInput!$M$10,CHOOSE(ArtifactsInput!$N$10+1,15,18,21,24,27,30)*(IF(Inputs!$B$39="pvp",MIN(15,15)/15,IF(AND(Inputs!$B$39&lt;&gt;"pvp",Inputs!$B$44&gt;0),MIN(15,Inputs!$B$44)/(Inputs!$B$44),0))),0)))&gt;=100),CHOOSE(ArtifactsInput!$N$42+1,40,48,56,64,72,80),0))))/100)*(((1+(((C500=TRUE)*F500*IF(AND(Inputs!$B$39&lt;&gt;"pvp",Inputs!$B$44&gt;0),(((R500-1)*MIN((Skills!Y22*(1+Inputs!$B$34/100)),(1/Q500))+MIN((Skills!Y22*(1+Inputs!$B$34/100)),MAX(0,Inputs!$B$44-((R500-1)*(1/Q500)))))/Inputs!$B$44),IF(Inputs!$B$39="pvp",MIN((Skills!Y22*(1+Inputs!$B$34/100)),15)/15,MIN(1,(Skills!Y22*(1+Inputs!$B$34/100))/(1/Q500)))))+((C481=TRUE)*F481*3)+((C483=TRUE)*F483*(1-EXP(-0.75*B516*5)))+((C502=TRUE)*(F502-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489=TRUE)*F489*IF(AND(Inputs!$B$39&lt;&gt;"pvp",Inputs!$B$44&gt;0),(((R489-1)*MIN((Skills!Y11*(1+Inputs!$B$34/100)),(1/Q489))+MIN((Skills!Y11*(1+Inputs!$B$34/100)),MAX(0,Inputs!$B$44-((R489-1)*(1/Q489)))))/Inputs!$B$44),IF(Inputs!$B$39="pvp",MIN((Skills!Y11*(1+Inputs!$B$34/100)),15)/15,MIN(1,(Skills!Y11*(1+Inputs!$B$34/100))/(1/Q489)))))/100)*(1+((C494=TRUE)*F494*IF(AND(Inputs!$B$39&lt;&gt;"pvp",Inputs!$B$44&gt;0),(((R494-1)*MIN((Skills!Y16*(1+Inputs!$B$34/100)),(1/Q494))+MIN((Skills!Y16*(1+Inputs!$B$34/100)),MAX(0,Inputs!$B$44-((R494-1)*(1/Q494)))))/Inputs!$B$44),IF(Inputs!$B$39="pvp",MIN((Skills!Y16*(1+Inputs!$B$34/100)),15)/15,MIN(1,(Skills!Y16*(1+Inputs!$B$34/100))/(1/Q494)))))/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514*I480)</f>
        <v/>
      </c>
      <c r="L480">
        <f>K480*(MIN((Inputs!$B$22+1)+((C503=TRUE)*(F503-Calc!F25)),(Inputs!$B$23+((C508=TRUE)*(F508-Calc!F30))+IF(ArtifactsInput!$M$15,CHOOSE(ArtifactsInput!$N$15+1,25,30,35,40,45,50)/100*(Inputs!$B$11-Inputs!$B$11),0)))/100+(Inputs!$B$23+((C508=TRUE)*(F508-Calc!F30))+IF(ArtifactsInput!$M$15,CHOOSE(ArtifactsInput!$N$15+1,25,30,35,40,45,50)/100*(Inputs!$B$11-Inputs!$B$11),0))/100)/2</f>
        <v/>
      </c>
      <c r="M480">
        <f>L480*(1+(Inputs!$B$10+((C505=TRUE)*(F505-Calc!F27))+B519+(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480">
        <f>L480*(1-MIN((Inputs!$B$9+((C504=TRUE)*(F504-Calc!F26))+B512+(ArtifactsInput!$M$24-ArtifactsInput!$M$24)*CHOOSE(ArtifactsInput!$N$24+1,10,12,14,16,18,20)+(IF(AND(Inputs!$B$39&lt;&gt;"pvp",Inputs!$B$44=0),1,IF(IF(Inputs!$B$39="pvp",15,Inputs!$B$44)-(B523)&lt;=0,1,MAX(0,IF(Inputs!$B$39="pvp",15,Inputs!$B$44)-MAX(5,B523))/(IF(Inputs!$B$39="pvp",15,Inputs!$B$44)-(B523))))*IF(AND(ArtifactsInput!$M$42,((Inputs!$B$9+((C504=TRUE)*(F504-Calc!F26))+B512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480*(MIN((Inputs!$B$9+((C504=TRUE)*(F504-Calc!F26))+B512+(ArtifactsInput!$M$24-ArtifactsInput!$M$24)*CHOOSE(ArtifactsInput!$N$24+1,10,12,14,16,18,20)+(IF(AND(Inputs!$B$39&lt;&gt;"pvp",Inputs!$B$44=0),1,IF(IF(Inputs!$B$39="pvp",15,Inputs!$B$44)-(B523)&lt;=0,1,MAX(0,IF(Inputs!$B$39="pvp",15,Inputs!$B$44)-MAX(5,B523))/(IF(Inputs!$B$39="pvp",15,Inputs!$B$44)-(B523))))*IF(AND(ArtifactsInput!$M$42,((Inputs!$B$9+((C504=TRUE)*(F504-Calc!F26))+B512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480">
        <f>(1-Summary!$B$11)*T480+Summary!$B$11*V480</f>
        <v/>
      </c>
      <c r="P480">
        <f>IF(B524=0,0,O480/B524)</f>
        <v/>
      </c>
      <c r="Q480" t="n">
        <v>0</v>
      </c>
      <c r="R480" t="n">
        <v>0</v>
      </c>
      <c r="S480">
        <f>IFERROR(O480/N480,0)</f>
        <v/>
      </c>
      <c r="T480">
        <f>IF(C480,(Skills!G2*N480*B518)*IF(Inputs!$B$39="pvp",1,1+(Inputs!$B$20+0+Skills!P2+B513+(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Hunt"),CHOOSE(ArtifactsInput!$N$35+1,15,18,21,24,27,30)*(1-EXP(-(0.2*B516)*5)),0)+IF(AND(ArtifactsInput!$M$22,Inputs!$B$4&lt;&gt;"Chapter Hunt"),CHOOSE(ArtifactsInput!$N$22+1,10,12,14,16,18,20)*((0*(((0.15*B516*5))^0/1)+1*(((0.15*B516*5))^1/1)+2*(((0.15*B516*5))^2/2)+3*(((0.15*B516*5))^3/6)+4*(((0.15*B516*5))^4/24)+5*(((0.15*B516*5))^5/120))/((((0.15*B516*5))^0/1)+(((0.15*B516*5))^1/1)+(((0.15*B516*5))^2/2)+(((0.15*B516*5))^3/6)+(((0.15*B516*5))^4/24)+(((0.15*B516*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480*(1-MIN(100,(Inputs!$B$9+((C504=TRUE)*(F504-Calc!F26))+B512+(ArtifactsInput!$M$24-ArtifactsInput!$M$24)*CHOOSE(ArtifactsInput!$N$24+1,10,12,14,16,18,20)+(IF(AND(Inputs!$B$39&lt;&gt;"pvp",Inputs!$B$44=0),1,IF(IF(Inputs!$B$39="pvp",15,Inputs!$B$44)-(B523)&lt;=0,1,MAX(0,IF(Inputs!$B$39="pvp",15,Inputs!$B$44)-MAX(5,B523))/(IF(Inputs!$B$39="pvp",15,Inputs!$B$44)-(B523))))*IF(AND(ArtifactsInput!$M$42,((Inputs!$B$9+((C504=TRUE)*(F504-Calc!F26))+B512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480*(MIN(100,(Inputs!$B$9+((C504=TRUE)*(F504-Calc!F26))+B512+(ArtifactsInput!$M$24-ArtifactsInput!$M$24)*CHOOSE(ArtifactsInput!$N$24+1,10,12,14,16,18,20)+(IF(AND(Inputs!$B$39&lt;&gt;"pvp",Inputs!$B$44=0),1,IF(IF(Inputs!$B$39="pvp",15,Inputs!$B$44)-(B523)&lt;=0,1,MAX(0,IF(Inputs!$B$39="pvp",15,Inputs!$B$44)-MAX(5,B523))/(IF(Inputs!$B$39="pvp",15,Inputs!$B$44)-(B523))))*IF(AND(ArtifactsInput!$M$42,((Inputs!$B$9+((C504=TRUE)*(F504-Calc!F26))+B512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480*(1-MIN(100,(Inputs!$B$9+((C504=TRUE)*(F504-Calc!F26))+B512+(ArtifactsInput!$M$24-ArtifactsInput!$M$24)*CHOOSE(ArtifactsInput!$N$24+1,10,12,14,16,18,20)+(IF(AND(Inputs!$B$39&lt;&gt;"pvp",Inputs!$B$44=0),1,IF(IF(Inputs!$B$39="pvp",15,Inputs!$B$44)-(B523)&lt;=0,1,MAX(0,IF(Inputs!$B$39="pvp",15,Inputs!$B$44)-MAX(5,B523))/(IF(Inputs!$B$39="pvp",15,Inputs!$B$44)-(B523))))*IF(AND(ArtifactsInput!$M$42,((Inputs!$B$9+((C504=TRUE)*(F504-Calc!F26))+B512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480*(MIN(100,(Inputs!$B$9+((C504=TRUE)*(F504-Calc!F26))+B512+(ArtifactsInput!$M$24-ArtifactsInput!$M$24)*CHOOSE(ArtifactsInput!$N$24+1,10,12,14,16,18,20)+(IF(AND(Inputs!$B$39&lt;&gt;"pvp",Inputs!$B$44=0),1,IF(IF(Inputs!$B$39="pvp",15,Inputs!$B$44)-(B523)&lt;=0,1,MAX(0,IF(Inputs!$B$39="pvp",15,Inputs!$B$44)-MAX(5,B523))/(IF(Inputs!$B$39="pvp",15,Inputs!$B$44)-(B523))))*IF(AND(ArtifactsInput!$M$42,((Inputs!$B$9+((C504=TRUE)*(F504-Calc!F26))+B512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480">
        <f>MAX(0,(Inputs!$B$3-100)*3)+Inputs!$B$28+Inputs!$B$29</f>
        <v/>
      </c>
      <c r="V480">
        <f>IF(C480,(Skills!G2*N480*B518)*IF(Inputs!$B$39="pvp",1,(1+(Inputs!$B$21+Skills!Q2+B513+(IF(ArtifactsInput!$M$33,CHOOSE(ArtifactsInput!$N$33+1,30,36,42,48,54,60),0))+(IF(AND(ArtifactsInput!$M$35,Inputs!$B$4&lt;&gt;"Chapter Hunt"),CHOOSE(ArtifactsInput!$N$35+1,15,18,21,24,27,30)*(1-EXP(-(0.2*B516)*5)),0)+IF(AND(ArtifactsInput!$M$22,Inputs!$B$4&lt;&gt;"Chapter Hunt"),CHOOSE(ArtifactsInput!$N$22+1,10,12,14,16,18,20)*((0*(((0.15*B516*5))^0/1)+1*(((0.15*B516*5))^1/1)+2*(((0.15*B516*5))^2/2)+3*(((0.15*B516*5))^3/6)+4*(((0.15*B516*5))^4/24)+5*(((0.15*B516*5))^5/120))/((((0.15*B516*5))^0/1)+(((0.15*B516*5))^1/1)+(((0.15*B516*5))^2/2)+(((0.15*B516*5))^3/6)+(((0.15*B516*5))^4/24)+(((0.15*B516*5))^5/120))),0)))/100)*(MIN((6+Inputs!$B$33),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481">
      <c r="A481">
        <f>Skills!A3</f>
        <v/>
      </c>
      <c r="B481">
        <f>Skills!B3</f>
        <v/>
      </c>
      <c r="C481">
        <f>Inputs!$B$3&gt;=35</f>
        <v/>
      </c>
      <c r="D481">
        <f>IF(Skills!C3=1,60+Inputs!$B$25+Inputs!$B$29,IF(Skills!C3=2,90+Inputs!$B$26+Inputs!$B$29,IF(Skills!C3=3,120+Inputs!$B$27+Inputs!$B$29,MAX(0,(Inputs!$B$3-100)*3)+Inputs!$B$28+Inputs!$B$29)))</f>
        <v/>
      </c>
      <c r="E481">
        <f>INDEX(FactorTable!$B$2:$Y$301, MATCH(ROUND(MIN(300,MAX(1,D481)),0), FactorTable!$A$2:$A$301,0), Skills!M3+1)</f>
        <v/>
      </c>
      <c r="F481">
        <f>IF(Skills!N3=TRUE,(Skills!L3/10)*(E481/1000),Skills!L3/10)+Skills!O3</f>
        <v/>
      </c>
      <c r="G481">
        <f>Skills!G3*IF(Skills!H3&gt;0,IF(Inputs!$B$39="pvp",MIN(Skills!I3,15),Skills!I3)/Skills!H3,1)</f>
        <v/>
      </c>
      <c r="H481">
        <f>1-(1-Skills!J3/100)^Skills!K3</f>
        <v/>
      </c>
      <c r="I481" t="inlineStr">
        <is>
          <t>1</t>
        </is>
      </c>
      <c r="J481" t="inlineStr"/>
      <c r="K481" t="inlineStr"/>
      <c r="L481" t="inlineStr"/>
      <c r="M481" t="inlineStr"/>
      <c r="N481" t="inlineStr"/>
      <c r="O481">
        <f>(1-Summary!$B$11)*T481+Summary!$B$11*V481</f>
        <v/>
      </c>
      <c r="P481">
        <f>IF(B524=0,0,O481/B524)</f>
        <v/>
      </c>
      <c r="Q481" t="n">
        <v>0</v>
      </c>
      <c r="R481" t="n">
        <v>0</v>
      </c>
      <c r="S481">
        <f>IFERROR(O481/N481,0)</f>
        <v/>
      </c>
      <c r="T481" t="n">
        <v>0</v>
      </c>
      <c r="U481">
        <f>INDEX(FactorTable!$B$2:$Y$301, MATCH(ROUND(MIN(300,MAX(1,U480)),0), FactorTable!$A$2:$A$301,0), 22)</f>
        <v/>
      </c>
      <c r="V481" t="n">
        <v>0</v>
      </c>
    </row>
    <row r="482">
      <c r="A482">
        <f>Skills!A4</f>
        <v/>
      </c>
      <c r="B482">
        <f>Skills!B4</f>
        <v/>
      </c>
      <c r="C482">
        <f>Inputs!$B$3&gt;=66</f>
        <v/>
      </c>
      <c r="D482">
        <f>IF(Skills!C4=1,60+Inputs!$B$25+Inputs!$B$29,IF(Skills!C4=2,90+Inputs!$B$26+Inputs!$B$29,IF(Skills!C4=3,120+Inputs!$B$27+Inputs!$B$29,MAX(0,(Inputs!$B$3-100)*3)+Inputs!$B$28+Inputs!$B$29)))</f>
        <v/>
      </c>
      <c r="E482">
        <f>INDEX(FactorTable!$B$2:$Y$301, MATCH(ROUND(MIN(300,MAX(1,D482)),0), FactorTable!$A$2:$A$301,0), Skills!M4+1)</f>
        <v/>
      </c>
      <c r="F482">
        <f>IF(Skills!N4=TRUE,(Skills!L4/10)*(E482/1000),Skills!L4/10)+Skills!O4</f>
        <v/>
      </c>
      <c r="G482">
        <f>Skills!G4*IF(Skills!H4&gt;0,IF(Inputs!$B$39="pvp",MIN(Skills!I4,15),Skills!I4)/Skills!H4,1)</f>
        <v/>
      </c>
      <c r="H482">
        <f>1-(1-Skills!J4/100)^Skills!K4</f>
        <v/>
      </c>
      <c r="I482" t="inlineStr">
        <is>
          <t>1</t>
        </is>
      </c>
      <c r="J482">
        <f>((Inputs!$B$6*(1+Inputs!$B$7/100))+(((Inputs!$B$12*(1+Inputs!$B$13/100))-(Inputs!$B$12*(1+Inputs!$B$13/100)))+0.25*(Inputs!$B$14-Inputs!$B$14))*(1+Inputs!$B$7/100))*(F482/100)</f>
        <v/>
      </c>
      <c r="K482">
        <f>J482*(1+((Inputs!$B$12*(1+Inputs!$B$13/100))*0.01+Inputs!$B$14*0.0025)/100)*(1+Inputs!$B$15/100)*(1+Inputs!$B$16/100)*(5000/(6000+Inputs!$B$43*(1-(100*(1-(1-Inputs!$B$19/100)*(1-CHOOSE(ArtifactsInput!$N$40+1,5,6,7,8,9,10)/100)^(ArtifactsInput!$M$40-ArtifactsInput!$M$40)))/100)))*(1+(Inputs!$B$24+((C509=TRUE)*(F509-Calc!F31))+((C496=TRUE)*(F496-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4="CRUEL_STAB",Inputs!$B$17+((C506=TRUE)*(F506-Calc!F28))+((IF(AND(Inputs!$B$39&lt;&gt;"pvp",Inputs!$B$44=0),1,IF(IF(Inputs!$B$39="pvp",15,Inputs!$B$44)-(B523)&lt;=0,1,MAX(0,IF(Inputs!$B$39="pvp",15,Inputs!$B$44)-MAX(5,B523))/(IF(Inputs!$B$39="pvp",15,Inputs!$B$44)-(B523))))*(IF(AND(ArtifactsInput!$M$42,((Inputs!$B$9+((C504=TRUE)*(F504-Calc!F26))+B512+(ArtifactsInput!$M$24-ArtifactsInput!$M$24)*CHOOSE(ArtifactsInput!$N$24+1,10,12,14,16,18,20)+IF(ArtifactsInput!$M$10,CHOOSE(ArtifactsInput!$N$10+1,15,18,21,24,27,30)*(IF(Inputs!$B$39="pvp",MIN(15,15)/15,IF(AND(Inputs!$B$39&lt;&gt;"pvp",Inputs!$B$44&gt;0),MIN(15,Inputs!$B$44)/(Inputs!$B$44),0))),0)))&gt;=100),MIN(100,((Inputs!$B$9+((C504=TRUE)*(F504-Calc!F26))+B512+(ArtifactsInput!$M$24-ArtifactsInput!$M$24)*CHOOSE(ArtifactsInput!$N$24+1,10,12,14,16,18,20)+IF(ArtifactsInput!$M$10,CHOOSE(ArtifactsInput!$N$10+1,15,18,21,24,27,30)*(IF(Inputs!$B$39="pvp",MIN(15,15)/15,IF(AND(Inputs!$B$39&lt;&gt;"pvp",Inputs!$B$44&gt;0),MIN(15,Inputs!$B$44)/(Inputs!$B$44),0))),0)))-100),0))*CHOOSE(ArtifactsInput!$N$42+1,0.6,0.72,0.84,0.96,1.08,1.2))),Inputs!$B$18+((C507=TRUE)*(F507-Calc!F29))+(IF(AND(Inputs!$B$39&lt;&gt;"pvp",Inputs!$B$44=0),1,IF(IF(Inputs!$B$39="pvp",15,Inputs!$B$44)-(B523)&lt;=0,1,MAX(0,IF(Inputs!$B$39="pvp",15,Inputs!$B$44)-MAX(5,B523))/(IF(Inputs!$B$39="pvp",15,Inputs!$B$44)-(B523))))*IF(AND(ArtifactsInput!$M$42,((Inputs!$B$9+((C504=TRUE)*(F504-Calc!F26))+B512+(ArtifactsInput!$M$24-ArtifactsInput!$M$24)*CHOOSE(ArtifactsInput!$N$24+1,10,12,14,16,18,20)+IF(ArtifactsInput!$M$10,CHOOSE(ArtifactsInput!$N$10+1,15,18,21,24,27,30)*(IF(Inputs!$B$39="pvp",MIN(15,15)/15,IF(AND(Inputs!$B$39&lt;&gt;"pvp",Inputs!$B$44&gt;0),MIN(15,Inputs!$B$44)/(Inputs!$B$44),0))),0)))&gt;=100),CHOOSE(ArtifactsInput!$N$42+1,40,48,56,64,72,80),0))))/100)*(((1+(((C500=TRUE)*F500*IF(AND(Inputs!$B$39&lt;&gt;"pvp",Inputs!$B$44&gt;0),(((R500-1)*MIN((Skills!Y22*(1+Inputs!$B$34/100)),(1/Q500))+MIN((Skills!Y22*(1+Inputs!$B$34/100)),MAX(0,Inputs!$B$44-((R500-1)*(1/Q500)))))/Inputs!$B$44),IF(Inputs!$B$39="pvp",MIN((Skills!Y22*(1+Inputs!$B$34/100)),15)/15,MIN(1,(Skills!Y22*(1+Inputs!$B$34/100))/(1/Q500)))))+((C481=TRUE)*F481*3)+((C483=TRUE)*F483*(1-EXP(-0.75*B516*5)))+((C502=TRUE)*(F502-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489=TRUE)*F489*IF(AND(Inputs!$B$39&lt;&gt;"pvp",Inputs!$B$44&gt;0),(((R489-1)*MIN((Skills!Y11*(1+Inputs!$B$34/100)),(1/Q489))+MIN((Skills!Y11*(1+Inputs!$B$34/100)),MAX(0,Inputs!$B$44-((R489-1)*(1/Q489)))))/Inputs!$B$44),IF(Inputs!$B$39="pvp",MIN((Skills!Y11*(1+Inputs!$B$34/100)),15)/15,MIN(1,(Skills!Y11*(1+Inputs!$B$34/100))/(1/Q489)))))/100)*(1+((C494=TRUE)*F494*IF(AND(Inputs!$B$39&lt;&gt;"pvp",Inputs!$B$44&gt;0),(((R494-1)*MIN((Skills!Y16*(1+Inputs!$B$34/100)),(1/Q494))+MIN((Skills!Y16*(1+Inputs!$B$34/100)),MAX(0,Inputs!$B$44-((R494-1)*(1/Q494)))))/Inputs!$B$44),IF(Inputs!$B$39="pvp",MIN((Skills!Y16*(1+Inputs!$B$34/100)),15)/15,MIN(1,(Skills!Y16*(1+Inputs!$B$34/100))/(1/Q494)))))/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514*I482)</f>
        <v/>
      </c>
      <c r="L482">
        <f>K482*(MIN((Inputs!$B$22+1)+((C503=TRUE)*(F503-Calc!F25)),(Inputs!$B$23+((C508=TRUE)*(F508-Calc!F30))+IF(ArtifactsInput!$M$15,CHOOSE(ArtifactsInput!$N$15+1,25,30,35,40,45,50)/100*(Inputs!$B$11-Inputs!$B$11),0)))/100+(Inputs!$B$23+((C508=TRUE)*(F508-Calc!F30))+IF(ArtifactsInput!$M$15,CHOOSE(ArtifactsInput!$N$15+1,25,30,35,40,45,50)/100*(Inputs!$B$11-Inputs!$B$11),0))/100)/2</f>
        <v/>
      </c>
      <c r="M482">
        <f>L482*(1+(Inputs!$B$10+((C505=TRUE)*(F505-Calc!F27))+B519+(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482">
        <f>L482*(1-MIN((Inputs!$B$9+((C504=TRUE)*(F504-Calc!F26))+B512+(ArtifactsInput!$M$24-ArtifactsInput!$M$24)*CHOOSE(ArtifactsInput!$N$24+1,10,12,14,16,18,20)+(IF(AND(Inputs!$B$39&lt;&gt;"pvp",Inputs!$B$44=0),1,IF(IF(Inputs!$B$39="pvp",15,Inputs!$B$44)-(B523)&lt;=0,1,MAX(0,IF(Inputs!$B$39="pvp",15,Inputs!$B$44)-MAX(5,B523))/(IF(Inputs!$B$39="pvp",15,Inputs!$B$44)-(B523))))*IF(AND(ArtifactsInput!$M$42,((Inputs!$B$9+((C504=TRUE)*(F504-Calc!F26))+B512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482*(MIN((Inputs!$B$9+((C504=TRUE)*(F504-Calc!F26))+B512+(ArtifactsInput!$M$24-ArtifactsInput!$M$24)*CHOOSE(ArtifactsInput!$N$24+1,10,12,14,16,18,20)+(IF(AND(Inputs!$B$39&lt;&gt;"pvp",Inputs!$B$44=0),1,IF(IF(Inputs!$B$39="pvp",15,Inputs!$B$44)-(B523)&lt;=0,1,MAX(0,IF(Inputs!$B$39="pvp",15,Inputs!$B$44)-MAX(5,B523))/(IF(Inputs!$B$39="pvp",15,Inputs!$B$44)-(B523))))*IF(AND(ArtifactsInput!$M$42,((Inputs!$B$9+((C504=TRUE)*(F504-Calc!F26))+B512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482">
        <f>(1-Summary!$B$11)*T482+Summary!$B$11*V482</f>
        <v/>
      </c>
      <c r="P482">
        <f>IF(B524=0,0,O482/B524)</f>
        <v/>
      </c>
      <c r="Q482">
        <f>IFERROR(1/IF(Inputs!$B$39="pvp",15,MAX(0.1,Skills!D4-IF(TRUE=TRUE,Inputs!$B$32,0))),0)</f>
        <v/>
      </c>
      <c r="R482">
        <f>IF(AND(Inputs!$B$39&lt;&gt;"pvp",Inputs!$B$44&gt;0),IF(MAX(0,Inputs!$B$44-B523)&lt;=0,0,(INT(MAX(0,Inputs!$B$44-B523)/IF(Inputs!$B$39="pvp",15,MAX(0.1,Skills!D4-IF(TRUE=TRUE,Inputs!$B$32,0))))+1)),0)</f>
        <v/>
      </c>
      <c r="S482">
        <f>IFERROR(O482/N482,0)</f>
        <v/>
      </c>
      <c r="T482">
        <f>IF(C482,(H482*N482*IF(AND(Inputs!$B$39&lt;&gt;"pvp",Inputs!$B$44&gt;0),((Skills!G4*((R482-1)*IF(Skills!H4&gt;0,Skills!I4/Skills!H4,1)+IF(Skills!H4&gt;0,MIN(Skills!I4,MAX(0,MAX(0,Inputs!$B$44-B523)-((R482-1)*IF(Inputs!$B$39="pvp",15,MAX(0.1,Skills!D4-IF(TRUE=TRUE,Inputs!$B$32,0))))))/Skills!H4,1)))/Inputs!$B$44),G482*Q482))*IF(Inputs!$B$39="pvp",1,1+(Inputs!$B$20+0+Skills!P4+B513+(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Hunt"),CHOOSE(ArtifactsInput!$N$35+1,15,18,21,24,27,30)*(1-EXP(-(0.2*B516)*5)),0)+IF(AND(ArtifactsInput!$M$22,Inputs!$B$4&lt;&gt;"Chapter Hunt"),CHOOSE(ArtifactsInput!$N$22+1,10,12,14,16,18,20)*((0*(((0.15*B516*5))^0/1)+1*(((0.15*B516*5))^1/1)+2*(((0.15*B516*5))^2/2)+3*(((0.15*B516*5))^3/6)+4*(((0.15*B516*5))^4/24)+5*(((0.15*B516*5))^5/120))/((((0.15*B516*5))^0/1)+(((0.15*B516*5))^1/1)+(((0.15*B516*5))^2/2)+(((0.15*B516*5))^3/6)+(((0.15*B516*5))^4/24)+(((0.15*B516*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482*(1-MIN(100,(Inputs!$B$9+((C504=TRUE)*(F504-Calc!F26))+B512+(ArtifactsInput!$M$24-ArtifactsInput!$M$24)*CHOOSE(ArtifactsInput!$N$24+1,10,12,14,16,18,20)+(IF(AND(Inputs!$B$39&lt;&gt;"pvp",Inputs!$B$44=0),1,IF(IF(Inputs!$B$39="pvp",15,Inputs!$B$44)-(B523)&lt;=0,1,MAX(0,IF(Inputs!$B$39="pvp",15,Inputs!$B$44)-MAX(5,B523))/(IF(Inputs!$B$39="pvp",15,Inputs!$B$44)-(B523))))*IF(AND(ArtifactsInput!$M$42,((Inputs!$B$9+((C504=TRUE)*(F504-Calc!F26))+B512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482*(MIN(100,(Inputs!$B$9+((C504=TRUE)*(F504-Calc!F26))+B512+(ArtifactsInput!$M$24-ArtifactsInput!$M$24)*CHOOSE(ArtifactsInput!$N$24+1,10,12,14,16,18,20)+(IF(AND(Inputs!$B$39&lt;&gt;"pvp",Inputs!$B$44=0),1,IF(IF(Inputs!$B$39="pvp",15,Inputs!$B$44)-(B523)&lt;=0,1,MAX(0,IF(Inputs!$B$39="pvp",15,Inputs!$B$44)-MAX(5,B523))/(IF(Inputs!$B$39="pvp",15,Inputs!$B$44)-(B523))))*IF(AND(ArtifactsInput!$M$42,((Inputs!$B$9+((C504=TRUE)*(F504-Calc!F26))+B512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482*(1-MIN(100,(Inputs!$B$9+((C504=TRUE)*(F504-Calc!F26))+B512+(ArtifactsInput!$M$24-ArtifactsInput!$M$24)*CHOOSE(ArtifactsInput!$N$24+1,10,12,14,16,18,20)+(IF(AND(Inputs!$B$39&lt;&gt;"pvp",Inputs!$B$44=0),1,IF(IF(Inputs!$B$39="pvp",15,Inputs!$B$44)-(B523)&lt;=0,1,MAX(0,IF(Inputs!$B$39="pvp",15,Inputs!$B$44)-MAX(5,B523))/(IF(Inputs!$B$39="pvp",15,Inputs!$B$44)-(B523))))*IF(AND(ArtifactsInput!$M$42,((Inputs!$B$9+((C504=TRUE)*(F504-Calc!F26))+B512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482*(MIN(100,(Inputs!$B$9+((C504=TRUE)*(F504-Calc!F26))+B512+(ArtifactsInput!$M$24-ArtifactsInput!$M$24)*CHOOSE(ArtifactsInput!$N$24+1,10,12,14,16,18,20)+(IF(AND(Inputs!$B$39&lt;&gt;"pvp",Inputs!$B$44=0),1,IF(IF(Inputs!$B$39="pvp",15,Inputs!$B$44)-(B523)&lt;=0,1,MAX(0,IF(Inputs!$B$39="pvp",15,Inputs!$B$44)-MAX(5,B523))/(IF(Inputs!$B$39="pvp",15,Inputs!$B$44)-(B523))))*IF(AND(ArtifactsInput!$M$42,((Inputs!$B$9+((C504=TRUE)*(F504-Calc!F26))+B512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482">
        <f>290*U481/1000</f>
        <v/>
      </c>
      <c r="V482">
        <f>IF(C482,(H482*N482*IF(AND(Inputs!$B$39&lt;&gt;"pvp",Inputs!$B$44&gt;0),((Skills!G4*((R482-1)*IF(Skills!H4&gt;0,Skills!I4/Skills!H4,1)+IF(Skills!H4&gt;0,MIN(Skills!I4,MAX(0,MAX(0,Inputs!$B$44-B523)-((R482-1)*IF(Inputs!$B$39="pvp",15,MAX(0.1,Skills!D4-IF(TRUE=TRUE,Inputs!$B$32,0))))))/Skills!H4,1)))/Inputs!$B$44),G482*Q482))*IF(Inputs!$B$39="pvp",1,(1+(Inputs!$B$21+Skills!Q4+B513+(IF(ArtifactsInput!$M$33,CHOOSE(ArtifactsInput!$N$33+1,30,36,42,48,54,60),0))+(IF(AND(ArtifactsInput!$M$35,Inputs!$B$4&lt;&gt;"Chapter Hunt"),CHOOSE(ArtifactsInput!$N$35+1,15,18,21,24,27,30)*(1-EXP(-(0.2*B516)*5)),0)+IF(AND(ArtifactsInput!$M$22,Inputs!$B$4&lt;&gt;"Chapter Hunt"),CHOOSE(ArtifactsInput!$N$22+1,10,12,14,16,18,20)*((0*(((0.15*B516*5))^0/1)+1*(((0.15*B516*5))^1/1)+2*(((0.15*B516*5))^2/2)+3*(((0.15*B516*5))^3/6)+4*(((0.15*B516*5))^4/24)+5*(((0.15*B516*5))^5/120))/((((0.15*B516*5))^0/1)+(((0.15*B516*5))^1/1)+(((0.15*B516*5))^2/2)+(((0.15*B516*5))^3/6)+(((0.15*B516*5))^4/24)+(((0.15*B516*5))^5/120))),0)))/100)*(MIN(MIN(10,IF(Inputs!$B$3&gt;=75,0.75,0.5)*B516*(1/Q482)),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483">
      <c r="A483">
        <f>Skills!A5</f>
        <v/>
      </c>
      <c r="B483">
        <f>Skills!B5</f>
        <v/>
      </c>
      <c r="C483">
        <f>Inputs!$B$3&gt;=75</f>
        <v/>
      </c>
      <c r="D483">
        <f>IF(Skills!C5=1,60+Inputs!$B$25+Inputs!$B$29,IF(Skills!C5=2,90+Inputs!$B$26+Inputs!$B$29,IF(Skills!C5=3,120+Inputs!$B$27+Inputs!$B$29,MAX(0,(Inputs!$B$3-100)*3)+Inputs!$B$28+Inputs!$B$29)))</f>
        <v/>
      </c>
      <c r="E483">
        <f>INDEX(FactorTable!$B$2:$Y$301, MATCH(ROUND(MIN(300,MAX(1,D483)),0), FactorTable!$A$2:$A$301,0), Skills!M5+1)</f>
        <v/>
      </c>
      <c r="F483">
        <f>IF(Skills!N5=TRUE,(Skills!L5/10)*(E483/1000),Skills!L5/10)+Skills!O5</f>
        <v/>
      </c>
      <c r="G483">
        <f>Skills!G5*IF(Skills!H5&gt;0,IF(Inputs!$B$39="pvp",MIN(Skills!I5,15),Skills!I5)/Skills!H5,1)</f>
        <v/>
      </c>
      <c r="H483">
        <f>1-(1-Skills!J5/100)^Skills!K5</f>
        <v/>
      </c>
      <c r="I483" t="inlineStr">
        <is>
          <t>1</t>
        </is>
      </c>
      <c r="J483" t="inlineStr"/>
      <c r="K483" t="inlineStr"/>
      <c r="L483" t="inlineStr"/>
      <c r="M483" t="inlineStr"/>
      <c r="N483" t="inlineStr"/>
      <c r="O483">
        <f>(1-Summary!$B$11)*T483+Summary!$B$11*V483</f>
        <v/>
      </c>
      <c r="P483">
        <f>IF(B524=0,0,O483/B524)</f>
        <v/>
      </c>
      <c r="Q483" t="n">
        <v>0</v>
      </c>
      <c r="R483" t="n">
        <v>0</v>
      </c>
      <c r="S483">
        <f>IFERROR(O483/N483,0)</f>
        <v/>
      </c>
      <c r="T483" t="n">
        <v>0</v>
      </c>
      <c r="V483" t="n">
        <v>0</v>
      </c>
    </row>
    <row r="484">
      <c r="A484">
        <f>Skills!A6</f>
        <v/>
      </c>
      <c r="B484">
        <f>Skills!B6</f>
        <v/>
      </c>
      <c r="C484">
        <f>Inputs!$B$3&gt;=63</f>
        <v/>
      </c>
      <c r="D484">
        <f>IF(Skills!C6=1,60+Inputs!$B$25+Inputs!$B$29,IF(Skills!C6=2,90+Inputs!$B$26+Inputs!$B$29,IF(Skills!C6=3,120+Inputs!$B$27+Inputs!$B$29,MAX(0,(Inputs!$B$3-100)*3)+Inputs!$B$28+Inputs!$B$29)))</f>
        <v/>
      </c>
      <c r="E484">
        <f>INDEX(FactorTable!$B$2:$Y$301, MATCH(ROUND(MIN(300,MAX(1,D484)),0), FactorTable!$A$2:$A$301,0), Skills!M6+1)</f>
        <v/>
      </c>
      <c r="F484">
        <f>IF(Skills!N6=TRUE,(Skills!L6/10)*(E484/1000),Skills!L6/10)+Skills!O6</f>
        <v/>
      </c>
      <c r="G484">
        <f>Skills!G6*IF(Skills!H6&gt;0,IF(Inputs!$B$39="pvp",MIN(Skills!I6,15),Skills!I6)/Skills!H6,1)</f>
        <v/>
      </c>
      <c r="H484">
        <f>1-(1-Skills!J6/100)^Skills!K6</f>
        <v/>
      </c>
      <c r="I484" t="inlineStr">
        <is>
          <t>1</t>
        </is>
      </c>
      <c r="J484">
        <f>((Inputs!$B$6*(1+Inputs!$B$7/100))+(((Inputs!$B$12*(1+Inputs!$B$13/100))-(Inputs!$B$12*(1+Inputs!$B$13/100)))+0.25*(Inputs!$B$14-Inputs!$B$14))*(1+Inputs!$B$7/100))*(F484/100)</f>
        <v/>
      </c>
      <c r="K484">
        <f>J484*(1+((Inputs!$B$12*(1+Inputs!$B$13/100))*0.01+Inputs!$B$14*0.0025)/100)*(1+Inputs!$B$15/100)*(1+Inputs!$B$16/100)*(5000/(6000+Inputs!$B$43*(1-(100*(1-(1-Inputs!$B$19/100)*(1-CHOOSE(ArtifactsInput!$N$40+1,5,6,7,8,9,10)/100)^(ArtifactsInput!$M$40-ArtifactsInput!$M$40)))/100)))*(1+(Inputs!$B$24+((C509=TRUE)*(F509-Calc!F31))+((C496=TRUE)*(F496-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+2.6666666666666665*IF(C497=TRUE,F497,0)/100)*(1+(IF(Skills!A6="CRUEL_STAB",Inputs!$B$17+((C506=TRUE)*(F506-Calc!F28))+((IF(AND(Inputs!$B$39&lt;&gt;"pvp",Inputs!$B$44=0),1,IF(IF(Inputs!$B$39="pvp",15,Inputs!$B$44)-(B523)&lt;=0,1,MAX(0,IF(Inputs!$B$39="pvp",15,Inputs!$B$44)-MAX(5,B523))/(IF(Inputs!$B$39="pvp",15,Inputs!$B$44)-(B523))))*(IF(AND(ArtifactsInput!$M$42,((Inputs!$B$9+((C504=TRUE)*(F504-Calc!F26))+B512+(ArtifactsInput!$M$24-ArtifactsInput!$M$24)*CHOOSE(ArtifactsInput!$N$24+1,10,12,14,16,18,20)+IF(ArtifactsInput!$M$10,CHOOSE(ArtifactsInput!$N$10+1,15,18,21,24,27,30)*(IF(Inputs!$B$39="pvp",MIN(15,15)/15,IF(AND(Inputs!$B$39&lt;&gt;"pvp",Inputs!$B$44&gt;0),MIN(15,Inputs!$B$44)/(Inputs!$B$44),0))),0)))&gt;=100),MIN(100,((Inputs!$B$9+((C504=TRUE)*(F504-Calc!F26))+B512+(ArtifactsInput!$M$24-ArtifactsInput!$M$24)*CHOOSE(ArtifactsInput!$N$24+1,10,12,14,16,18,20)+IF(ArtifactsInput!$M$10,CHOOSE(ArtifactsInput!$N$10+1,15,18,21,24,27,30)*(IF(Inputs!$B$39="pvp",MIN(15,15)/15,IF(AND(Inputs!$B$39&lt;&gt;"pvp",Inputs!$B$44&gt;0),MIN(15,Inputs!$B$44)/(Inputs!$B$44),0))),0)))-100),0))*CHOOSE(ArtifactsInput!$N$42+1,0.6,0.72,0.84,0.96,1.08,1.2))),Inputs!$B$18+((C507=TRUE)*(F507-Calc!F29))+(IF(AND(Inputs!$B$39&lt;&gt;"pvp",Inputs!$B$44=0),1,IF(IF(Inputs!$B$39="pvp",15,Inputs!$B$44)-(B523)&lt;=0,1,MAX(0,IF(Inputs!$B$39="pvp",15,Inputs!$B$44)-MAX(5,B523))/(IF(Inputs!$B$39="pvp",15,Inputs!$B$44)-(B523))))*IF(AND(ArtifactsInput!$M$42,((Inputs!$B$9+((C504=TRUE)*(F504-Calc!F26))+B512+(ArtifactsInput!$M$24-ArtifactsInput!$M$24)*CHOOSE(ArtifactsInput!$N$24+1,10,12,14,16,18,20)+IF(ArtifactsInput!$M$10,CHOOSE(ArtifactsInput!$N$10+1,15,18,21,24,27,30)*(IF(Inputs!$B$39="pvp",MIN(15,15)/15,IF(AND(Inputs!$B$39&lt;&gt;"pvp",Inputs!$B$44&gt;0),MIN(15,Inputs!$B$44)/(Inputs!$B$44),0))),0)))&gt;=100),CHOOSE(ArtifactsInput!$N$42+1,40,48,56,64,72,80),0))))/100)*(((1+(((C500=TRUE)*F500*IF(AND(Inputs!$B$39&lt;&gt;"pvp",Inputs!$B$44&gt;0),(((R500-1)*MIN((Skills!Y22*(1+Inputs!$B$34/100)),(1/Q500))+MIN((Skills!Y22*(1+Inputs!$B$34/100)),MAX(0,Inputs!$B$44-((R500-1)*(1/Q500)))))/Inputs!$B$44),IF(Inputs!$B$39="pvp",MIN((Skills!Y22*(1+Inputs!$B$34/100)),15)/15,MIN(1,(Skills!Y22*(1+Inputs!$B$34/100))/(1/Q500)))))+((C481=TRUE)*F481*3)+((C483=TRUE)*F483*(1-EXP(-0.75*B516*5)))+((C502=TRUE)*(F502-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489=TRUE)*F489*IF(AND(Inputs!$B$39&lt;&gt;"pvp",Inputs!$B$44&gt;0),(((R489-1)*MIN((Skills!Y11*(1+Inputs!$B$34/100)),(1/Q489))+MIN((Skills!Y11*(1+Inputs!$B$34/100)),MAX(0,Inputs!$B$44-((R489-1)*(1/Q489)))))/Inputs!$B$44),IF(Inputs!$B$39="pvp",MIN((Skills!Y11*(1+Inputs!$B$34/100)),15)/15,MIN(1,(Skills!Y11*(1+Inputs!$B$34/100))/(1/Q489)))))/100)*(1+((C494=TRUE)*F494*IF(AND(Inputs!$B$39&lt;&gt;"pvp",Inputs!$B$44&gt;0),(((R494-1)*MIN((Skills!Y16*(1+Inputs!$B$34/100)),(1/Q494))+MIN((Skills!Y16*(1+Inputs!$B$34/100)),MAX(0,Inputs!$B$44-((R494-1)*(1/Q494)))))/Inputs!$B$44),IF(Inputs!$B$39="pvp",MIN((Skills!Y16*(1+Inputs!$B$34/100)),15)/15,MIN(1,(Skills!Y16*(1+Inputs!$B$34/100))/(1/Q494)))))/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514*I484)</f>
        <v/>
      </c>
      <c r="L484">
        <f>K484*(MIN((Inputs!$B$22+1)+((C503=TRUE)*(F503-Calc!F25)),(Inputs!$B$23+((C508=TRUE)*(F508-Calc!F30))+IF(ArtifactsInput!$M$15,CHOOSE(ArtifactsInput!$N$15+1,25,30,35,40,45,50)/100*(Inputs!$B$11-Inputs!$B$11),0)))/100+(Inputs!$B$23+((C508=TRUE)*(F508-Calc!F30))+IF(ArtifactsInput!$M$15,CHOOSE(ArtifactsInput!$N$15+1,25,30,35,40,45,50)/100*(Inputs!$B$11-Inputs!$B$11),0))/100)/2</f>
        <v/>
      </c>
      <c r="M484">
        <f>L484*(1+(Inputs!$B$10+((C505=TRUE)*(F505-Calc!F27))+B519+(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484">
        <f>L484*(1-MIN((Inputs!$B$9+((C504=TRUE)*(F504-Calc!F26))+B512+(ArtifactsInput!$M$24-ArtifactsInput!$M$24)*CHOOSE(ArtifactsInput!$N$24+1,10,12,14,16,18,20)+(IF(AND(Inputs!$B$39&lt;&gt;"pvp",Inputs!$B$44=0),1,IF(IF(Inputs!$B$39="pvp",15,Inputs!$B$44)-(B523)&lt;=0,1,MAX(0,IF(Inputs!$B$39="pvp",15,Inputs!$B$44)-MAX(5,B523))/(IF(Inputs!$B$39="pvp",15,Inputs!$B$44)-(B523))))*IF(AND(ArtifactsInput!$M$42,((Inputs!$B$9+((C504=TRUE)*(F504-Calc!F26))+B512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484*(MIN((Inputs!$B$9+((C504=TRUE)*(F504-Calc!F26))+B512+(ArtifactsInput!$M$24-ArtifactsInput!$M$24)*CHOOSE(ArtifactsInput!$N$24+1,10,12,14,16,18,20)+(IF(AND(Inputs!$B$39&lt;&gt;"pvp",Inputs!$B$44=0),1,IF(IF(Inputs!$B$39="pvp",15,Inputs!$B$44)-(B523)&lt;=0,1,MAX(0,IF(Inputs!$B$39="pvp",15,Inputs!$B$44)-MAX(5,B523))/(IF(Inputs!$B$39="pvp",15,Inputs!$B$44)-(B523))))*IF(AND(ArtifactsInput!$M$42,((Inputs!$B$9+((C504=TRUE)*(F504-Calc!F26))+B512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484">
        <f>(1-Summary!$B$11)*T484+Summary!$B$11*V484</f>
        <v/>
      </c>
      <c r="P484">
        <f>IF(B524=0,0,O484/B524)</f>
        <v/>
      </c>
      <c r="Q484">
        <f>IFERROR(1/IF(Inputs!$B$39="pvp",15,MAX(0.1,Skills!D6-IF(TRUE=TRUE,Inputs!$B$32,0))),0)</f>
        <v/>
      </c>
      <c r="R484">
        <f>IF(AND(Inputs!$B$39&lt;&gt;"pvp",Inputs!$B$44&gt;0),IF(MAX(0,Inputs!$B$44-B523)&lt;=0,0,(INT(MAX(0,Inputs!$B$44-B523)/IF(Inputs!$B$39="pvp",15,MAX(0.1,Skills!D6-IF(TRUE=TRUE,Inputs!$B$32,0))))+1)),0)</f>
        <v/>
      </c>
      <c r="S484">
        <f>IFERROR(O484/N484,0)</f>
        <v/>
      </c>
      <c r="T484">
        <f>IF(C484,(H484*N484*IF(AND(Inputs!$B$39&lt;&gt;"pvp",Inputs!$B$44&gt;0),((Skills!G6*((R484-1)*IF(Skills!H6&gt;0,Skills!I6/Skills!H6,1)+IF(Skills!H6&gt;0,MIN(Skills!I6,MAX(0,MAX(0,Inputs!$B$44-B523)-((R484-1)*IF(Inputs!$B$39="pvp",15,MAX(0.1,Skills!D6-IF(TRUE=TRUE,Inputs!$B$32,0))))))/Skills!H6,1)))/Inputs!$B$44),G484*Q484))*IF(Inputs!$B$39="pvp",1,1+(Inputs!$B$20+0+Skills!P6+B513+(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Hunt"),CHOOSE(ArtifactsInput!$N$35+1,15,18,21,24,27,30)*(1-EXP(-(0.2*B516)*5)),0)+IF(AND(ArtifactsInput!$M$22,Inputs!$B$4&lt;&gt;"Chapter Hunt"),CHOOSE(ArtifactsInput!$N$22+1,10,12,14,16,18,20)*((0*(((0.15*B516*5))^0/1)+1*(((0.15*B516*5))^1/1)+2*(((0.15*B516*5))^2/2)+3*(((0.15*B516*5))^3/6)+4*(((0.15*B516*5))^4/24)+5*(((0.15*B516*5))^5/120))/((((0.15*B516*5))^0/1)+(((0.15*B516*5))^1/1)+(((0.15*B516*5))^2/2)+(((0.15*B516*5))^3/6)+(((0.15*B516*5))^4/24)+(((0.15*B516*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484*(1-MIN(100,(Inputs!$B$9+((C504=TRUE)*(F504-Calc!F26))+B512+(ArtifactsInput!$M$24-ArtifactsInput!$M$24)*CHOOSE(ArtifactsInput!$N$24+1,10,12,14,16,18,20)+(IF(AND(Inputs!$B$39&lt;&gt;"pvp",Inputs!$B$44=0),1,IF(IF(Inputs!$B$39="pvp",15,Inputs!$B$44)-(B523)&lt;=0,1,MAX(0,IF(Inputs!$B$39="pvp",15,Inputs!$B$44)-MAX(5,B523))/(IF(Inputs!$B$39="pvp",15,Inputs!$B$44)-(B523))))*IF(AND(ArtifactsInput!$M$42,((Inputs!$B$9+((C504=TRUE)*(F504-Calc!F26))+B512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484*(MIN(100,(Inputs!$B$9+((C504=TRUE)*(F504-Calc!F26))+B512+(ArtifactsInput!$M$24-ArtifactsInput!$M$24)*CHOOSE(ArtifactsInput!$N$24+1,10,12,14,16,18,20)+(IF(AND(Inputs!$B$39&lt;&gt;"pvp",Inputs!$B$44=0),1,IF(IF(Inputs!$B$39="pvp",15,Inputs!$B$44)-(B523)&lt;=0,1,MAX(0,IF(Inputs!$B$39="pvp",15,Inputs!$B$44)-MAX(5,B523))/(IF(Inputs!$B$39="pvp",15,Inputs!$B$44)-(B523))))*IF(AND(ArtifactsInput!$M$42,((Inputs!$B$9+((C504=TRUE)*(F504-Calc!F26))+B512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484*(1-MIN(100,(Inputs!$B$9+((C504=TRUE)*(F504-Calc!F26))+B512+(ArtifactsInput!$M$24-ArtifactsInput!$M$24)*CHOOSE(ArtifactsInput!$N$24+1,10,12,14,16,18,20)+(IF(AND(Inputs!$B$39&lt;&gt;"pvp",Inputs!$B$44=0),1,IF(IF(Inputs!$B$39="pvp",15,Inputs!$B$44)-(B523)&lt;=0,1,MAX(0,IF(Inputs!$B$39="pvp",15,Inputs!$B$44)-MAX(5,B523))/(IF(Inputs!$B$39="pvp",15,Inputs!$B$44)-(B523))))*IF(AND(ArtifactsInput!$M$42,((Inputs!$B$9+((C504=TRUE)*(F504-Calc!F26))+B512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484*(MIN(100,(Inputs!$B$9+((C504=TRUE)*(F504-Calc!F26))+B512+(ArtifactsInput!$M$24-ArtifactsInput!$M$24)*CHOOSE(ArtifactsInput!$N$24+1,10,12,14,16,18,20)+(IF(AND(Inputs!$B$39&lt;&gt;"pvp",Inputs!$B$44=0),1,IF(IF(Inputs!$B$39="pvp",15,Inputs!$B$44)-(B523)&lt;=0,1,MAX(0,IF(Inputs!$B$39="pvp",15,Inputs!$B$44)-MAX(5,B523))/(IF(Inputs!$B$39="pvp",15,Inputs!$B$44)-(B523))))*IF(AND(ArtifactsInput!$M$42,((Inputs!$B$9+((C504=TRUE)*(F504-Calc!F26))+B512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484">
        <f>IF(C484,(H484*N484*IF(AND(Inputs!$B$39&lt;&gt;"pvp",Inputs!$B$44&gt;0),((Skills!G6*((R484-1)*IF(Skills!H6&gt;0,Skills!I6/Skills!H6,1)+IF(Skills!H6&gt;0,MIN(Skills!I6,MAX(0,MAX(0,Inputs!$B$44-B523)-((R484-1)*IF(Inputs!$B$39="pvp",15,MAX(0.1,Skills!D6-IF(TRUE=TRUE,Inputs!$B$32,0))))))/Skills!H6,1)))/Inputs!$B$44),G484*Q484))*IF(Inputs!$B$39="pvp",1,(1+(Inputs!$B$21+Skills!Q6+B513+(IF(ArtifactsInput!$M$33,CHOOSE(ArtifactsInput!$N$33+1,30,36,42,48,54,60),0))+(IF(AND(ArtifactsInput!$M$35,Inputs!$B$4&lt;&gt;"Chapter Hunt"),CHOOSE(ArtifactsInput!$N$35+1,15,18,21,24,27,30)*(1-EXP(-(0.2*B516)*5)),0)+IF(AND(ArtifactsInput!$M$22,Inputs!$B$4&lt;&gt;"Chapter Hunt"),CHOOSE(ArtifactsInput!$N$22+1,10,12,14,16,18,20)*((0*(((0.15*B516*5))^0/1)+1*(((0.15*B516*5))^1/1)+2*(((0.15*B516*5))^2/2)+3*(((0.15*B516*5))^3/6)+4*(((0.15*B516*5))^4/24)+5*(((0.15*B516*5))^5/120))/((((0.15*B516*5))^0/1)+(((0.15*B516*5))^1/1)+(((0.15*B516*5))^2/2)+(((0.15*B516*5))^3/6)+(((0.15*B516*5))^4/24)+(((0.15*B516*5))^5/120))),0)))/100)*(MIN(Skills!W6,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485">
      <c r="A485">
        <f>Skills!A7</f>
        <v/>
      </c>
      <c r="B485">
        <f>Skills!B7</f>
        <v/>
      </c>
      <c r="C485">
        <f>Inputs!$B$3&gt;=69</f>
        <v/>
      </c>
      <c r="D485">
        <f>IF(Skills!C7=1,60+Inputs!$B$25+Inputs!$B$29,IF(Skills!C7=2,90+Inputs!$B$26+Inputs!$B$29,IF(Skills!C7=3,120+Inputs!$B$27+Inputs!$B$29,MAX(0,(Inputs!$B$3-100)*3)+Inputs!$B$28+Inputs!$B$29)))</f>
        <v/>
      </c>
      <c r="E485">
        <f>INDEX(FactorTable!$B$2:$Y$301, MATCH(ROUND(MIN(300,MAX(1,D485)),0), FactorTable!$A$2:$A$301,0), Skills!M7+1)</f>
        <v/>
      </c>
      <c r="F485">
        <f>IF(Skills!N7=TRUE,(Skills!L7/10)*(E485/1000),Skills!L7/10)+Skills!O7</f>
        <v/>
      </c>
      <c r="G485">
        <f>Skills!G7*IF(Skills!H7&gt;0,IF(Inputs!$B$39="pvp",MIN(Skills!I7,15),Skills!I7)/Skills!H7,1)</f>
        <v/>
      </c>
      <c r="H485">
        <f>1-(1-Skills!J7/100)^Skills!K7</f>
        <v/>
      </c>
      <c r="I485" t="inlineStr">
        <is>
          <t>1</t>
        </is>
      </c>
      <c r="J485">
        <f>((Inputs!$B$6*(1+Inputs!$B$7/100))+(((Inputs!$B$12*(1+Inputs!$B$13/100))-(Inputs!$B$12*(1+Inputs!$B$13/100)))+0.25*(Inputs!$B$14-Inputs!$B$14))*(1+Inputs!$B$7/100))*(F485/100)</f>
        <v/>
      </c>
      <c r="K485">
        <f>J485*(1+((Inputs!$B$12*(1+Inputs!$B$13/100))*0.01+Inputs!$B$14*0.0025)/100)*(1+Inputs!$B$15/100)*(1+Inputs!$B$16/100)*(5000/(6000+Inputs!$B$43*(1-(100*(1-(1-Inputs!$B$19/100)*(1-CHOOSE(ArtifactsInput!$N$40+1,5,6,7,8,9,10)/100)^(ArtifactsInput!$M$40-ArtifactsInput!$M$40)))/100)))*(1+(Inputs!$B$24+((C509=TRUE)*(F509-Calc!F31))+((C496=TRUE)*(F496-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497=TRUE,F497,0)/100)*(1+(IF(Skills!A7="CRUEL_STAB",Inputs!$B$17+((C506=TRUE)*(F506-Calc!F28))+((IF(AND(Inputs!$B$39&lt;&gt;"pvp",Inputs!$B$44=0),1,IF(IF(Inputs!$B$39="pvp",15,Inputs!$B$44)-(B523)&lt;=0,1,MAX(0,IF(Inputs!$B$39="pvp",15,Inputs!$B$44)-MAX(5,B523))/(IF(Inputs!$B$39="pvp",15,Inputs!$B$44)-(B523))))*(IF(AND(ArtifactsInput!$M$42,((Inputs!$B$9+((C504=TRUE)*(F504-Calc!F26))+B512+(ArtifactsInput!$M$24-ArtifactsInput!$M$24)*CHOOSE(ArtifactsInput!$N$24+1,10,12,14,16,18,20)+IF(ArtifactsInput!$M$10,CHOOSE(ArtifactsInput!$N$10+1,15,18,21,24,27,30)*(IF(Inputs!$B$39="pvp",MIN(15,15)/15,IF(AND(Inputs!$B$39&lt;&gt;"pvp",Inputs!$B$44&gt;0),MIN(15,Inputs!$B$44)/(Inputs!$B$44),0))),0)))&gt;=100),MIN(100,((Inputs!$B$9+((C504=TRUE)*(F504-Calc!F26))+B512+(ArtifactsInput!$M$24-ArtifactsInput!$M$24)*CHOOSE(ArtifactsInput!$N$24+1,10,12,14,16,18,20)+IF(ArtifactsInput!$M$10,CHOOSE(ArtifactsInput!$N$10+1,15,18,21,24,27,30)*(IF(Inputs!$B$39="pvp",MIN(15,15)/15,IF(AND(Inputs!$B$39&lt;&gt;"pvp",Inputs!$B$44&gt;0),MIN(15,Inputs!$B$44)/(Inputs!$B$44),0))),0)))-100),0))*CHOOSE(ArtifactsInput!$N$42+1,0.6,0.72,0.84,0.96,1.08,1.2))),Inputs!$B$18+((C507=TRUE)*(F507-Calc!F29))+(IF(AND(Inputs!$B$39&lt;&gt;"pvp",Inputs!$B$44=0),1,IF(IF(Inputs!$B$39="pvp",15,Inputs!$B$44)-(B523)&lt;=0,1,MAX(0,IF(Inputs!$B$39="pvp",15,Inputs!$B$44)-MAX(5,B523))/(IF(Inputs!$B$39="pvp",15,Inputs!$B$44)-(B523))))*IF(AND(ArtifactsInput!$M$42,((Inputs!$B$9+((C504=TRUE)*(F504-Calc!F26))+B512+(ArtifactsInput!$M$24-ArtifactsInput!$M$24)*CHOOSE(ArtifactsInput!$N$24+1,10,12,14,16,18,20)+IF(ArtifactsInput!$M$10,CHOOSE(ArtifactsInput!$N$10+1,15,18,21,24,27,30)*(IF(Inputs!$B$39="pvp",MIN(15,15)/15,IF(AND(Inputs!$B$39&lt;&gt;"pvp",Inputs!$B$44&gt;0),MIN(15,Inputs!$B$44)/(Inputs!$B$44),0))),0)))&gt;=100),CHOOSE(ArtifactsInput!$N$42+1,40,48,56,64,72,80),0))))/100)*(((1+(((C500=TRUE)*F500*IF(AND(Inputs!$B$39&lt;&gt;"pvp",Inputs!$B$44&gt;0),(((R500-1)*MIN((Skills!Y22*(1+Inputs!$B$34/100)),(1/Q500))+MIN((Skills!Y22*(1+Inputs!$B$34/100)),MAX(0,Inputs!$B$44-((R500-1)*(1/Q500)))))/Inputs!$B$44),IF(Inputs!$B$39="pvp",MIN((Skills!Y22*(1+Inputs!$B$34/100)),15)/15,MIN(1,(Skills!Y22*(1+Inputs!$B$34/100))/(1/Q500)))))+((C481=TRUE)*F481*3)+((C483=TRUE)*F483*(1-EXP(-0.75*B516*5)))+((C502=TRUE)*(F502-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489=TRUE)*F489*IF(AND(Inputs!$B$39&lt;&gt;"pvp",Inputs!$B$44&gt;0),(((R489-1)*MIN((Skills!Y11*(1+Inputs!$B$34/100)),(1/Q489))+MIN((Skills!Y11*(1+Inputs!$B$34/100)),MAX(0,Inputs!$B$44-((R489-1)*(1/Q489)))))/Inputs!$B$44),IF(Inputs!$B$39="pvp",MIN((Skills!Y11*(1+Inputs!$B$34/100)),15)/15,MIN(1,(Skills!Y11*(1+Inputs!$B$34/100))/(1/Q489)))))/100)*(1+((C494=TRUE)*F494*IF(AND(Inputs!$B$39&lt;&gt;"pvp",Inputs!$B$44&gt;0),(((R494-1)*MIN((Skills!Y16*(1+Inputs!$B$34/100)),(1/Q494))+MIN((Skills!Y16*(1+Inputs!$B$34/100)),MAX(0,Inputs!$B$44-((R494-1)*(1/Q494)))))/Inputs!$B$44),IF(Inputs!$B$39="pvp",MIN((Skills!Y16*(1+Inputs!$B$34/100)),15)/15,MIN(1,(Skills!Y16*(1+Inputs!$B$34/100))/(1/Q494)))))/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514*I485)</f>
        <v/>
      </c>
      <c r="L485">
        <f>K485*(MIN((Inputs!$B$22+1)+((C503=TRUE)*(F503-Calc!F25)),(Inputs!$B$23+((C508=TRUE)*(F508-Calc!F30))+IF(ArtifactsInput!$M$15,CHOOSE(ArtifactsInput!$N$15+1,25,30,35,40,45,50)/100*(Inputs!$B$11-Inputs!$B$11),0)))/100+(Inputs!$B$23+((C508=TRUE)*(F508-Calc!F30))+IF(ArtifactsInput!$M$15,CHOOSE(ArtifactsInput!$N$15+1,25,30,35,40,45,50)/100*(Inputs!$B$11-Inputs!$B$11),0))/100)/2</f>
        <v/>
      </c>
      <c r="M485">
        <f>L485*(1+(Inputs!$B$10+((C505=TRUE)*(F505-Calc!F27))+B519+(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485">
        <f>L485*(1-MIN((Inputs!$B$9+((C504=TRUE)*(F504-Calc!F26))+B512+(ArtifactsInput!$M$24-ArtifactsInput!$M$24)*CHOOSE(ArtifactsInput!$N$24+1,10,12,14,16,18,20)+(IF(AND(Inputs!$B$39&lt;&gt;"pvp",Inputs!$B$44=0),1,IF(IF(Inputs!$B$39="pvp",15,Inputs!$B$44)-(B523)&lt;=0,1,MAX(0,IF(Inputs!$B$39="pvp",15,Inputs!$B$44)-MAX(5,B523))/(IF(Inputs!$B$39="pvp",15,Inputs!$B$44)-(B523))))*IF(AND(ArtifactsInput!$M$42,((Inputs!$B$9+((C504=TRUE)*(F504-Calc!F26))+B512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485*(MIN((Inputs!$B$9+((C504=TRUE)*(F504-Calc!F26))+B512+(ArtifactsInput!$M$24-ArtifactsInput!$M$24)*CHOOSE(ArtifactsInput!$N$24+1,10,12,14,16,18,20)+(IF(AND(Inputs!$B$39&lt;&gt;"pvp",Inputs!$B$44=0),1,IF(IF(Inputs!$B$39="pvp",15,Inputs!$B$44)-(B523)&lt;=0,1,MAX(0,IF(Inputs!$B$39="pvp",15,Inputs!$B$44)-MAX(5,B523))/(IF(Inputs!$B$39="pvp",15,Inputs!$B$44)-(B523))))*IF(AND(ArtifactsInput!$M$42,((Inputs!$B$9+((C504=TRUE)*(F504-Calc!F26))+B512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485">
        <f>(1-Summary!$B$11)*T485+Summary!$B$11*V485</f>
        <v/>
      </c>
      <c r="P485">
        <f>IF(B524=0,0,O485/B524)</f>
        <v/>
      </c>
      <c r="Q485">
        <f>IFERROR(1/IF(Inputs!$B$39="pvp",15,MAX(0.1,Skills!D7-IF(TRUE=TRUE,Inputs!$B$32,0))),0)</f>
        <v/>
      </c>
      <c r="R485">
        <f>IF(AND(Inputs!$B$39&lt;&gt;"pvp",Inputs!$B$44&gt;0),IF(MAX(0,Inputs!$B$44-B523)&lt;=0,0,(INT(MAX(0,Inputs!$B$44-B523)/IF(Inputs!$B$39="pvp",15,MAX(0.1,Skills!D7-IF(TRUE=TRUE,Inputs!$B$32,0))))+1)),0)</f>
        <v/>
      </c>
      <c r="S485">
        <f>IFERROR(O485/N485,0)</f>
        <v/>
      </c>
      <c r="T485">
        <f>IF(C485,(H485*N485*IF(AND(Inputs!$B$39&lt;&gt;"pvp",Inputs!$B$44&gt;0),((Skills!G7*((R485-1)*IF(Skills!H7&gt;0,Skills!I7/Skills!H7,1)+IF(Skills!H7&gt;0,MIN(Skills!I7,MAX(0,MAX(0,Inputs!$B$44-B523)-((R485-1)*IF(Inputs!$B$39="pvp",15,MAX(0.1,Skills!D7-IF(TRUE=TRUE,Inputs!$B$32,0))))))/Skills!H7,1)))/Inputs!$B$44),G485*Q485))*IF(Inputs!$B$39="pvp",1,1+(Inputs!$B$20+0+Skills!P7+B513+(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Hunt"),CHOOSE(ArtifactsInput!$N$35+1,15,18,21,24,27,30)*(1-EXP(-(0.2*B516)*5)),0)+IF(AND(ArtifactsInput!$M$22,Inputs!$B$4&lt;&gt;"Chapter Hunt"),CHOOSE(ArtifactsInput!$N$22+1,10,12,14,16,18,20)*((0*(((0.15*B516*5))^0/1)+1*(((0.15*B516*5))^1/1)+2*(((0.15*B516*5))^2/2)+3*(((0.15*B516*5))^3/6)+4*(((0.15*B516*5))^4/24)+5*(((0.15*B516*5))^5/120))/((((0.15*B516*5))^0/1)+(((0.15*B516*5))^1/1)+(((0.15*B516*5))^2/2)+(((0.15*B516*5))^3/6)+(((0.15*B516*5))^4/24)+(((0.15*B516*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485*(1-MIN(100,(Inputs!$B$9+((C504=TRUE)*(F504-Calc!F26))+B512+(ArtifactsInput!$M$24-ArtifactsInput!$M$24)*CHOOSE(ArtifactsInput!$N$24+1,10,12,14,16,18,20)+(IF(AND(Inputs!$B$39&lt;&gt;"pvp",Inputs!$B$44=0),1,IF(IF(Inputs!$B$39="pvp",15,Inputs!$B$44)-(B523)&lt;=0,1,MAX(0,IF(Inputs!$B$39="pvp",15,Inputs!$B$44)-MAX(5,B523))/(IF(Inputs!$B$39="pvp",15,Inputs!$B$44)-(B523))))*IF(AND(ArtifactsInput!$M$42,((Inputs!$B$9+((C504=TRUE)*(F504-Calc!F26))+B512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485*(MIN(100,(Inputs!$B$9+((C504=TRUE)*(F504-Calc!F26))+B512+(ArtifactsInput!$M$24-ArtifactsInput!$M$24)*CHOOSE(ArtifactsInput!$N$24+1,10,12,14,16,18,20)+(IF(AND(Inputs!$B$39&lt;&gt;"pvp",Inputs!$B$44=0),1,IF(IF(Inputs!$B$39="pvp",15,Inputs!$B$44)-(B523)&lt;=0,1,MAX(0,IF(Inputs!$B$39="pvp",15,Inputs!$B$44)-MAX(5,B523))/(IF(Inputs!$B$39="pvp",15,Inputs!$B$44)-(B523))))*IF(AND(ArtifactsInput!$M$42,((Inputs!$B$9+((C504=TRUE)*(F504-Calc!F26))+B512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485*(1-MIN(100,(Inputs!$B$9+((C504=TRUE)*(F504-Calc!F26))+B512+(ArtifactsInput!$M$24-ArtifactsInput!$M$24)*CHOOSE(ArtifactsInput!$N$24+1,10,12,14,16,18,20)+(IF(AND(Inputs!$B$39&lt;&gt;"pvp",Inputs!$B$44=0),1,IF(IF(Inputs!$B$39="pvp",15,Inputs!$B$44)-(B523)&lt;=0,1,MAX(0,IF(Inputs!$B$39="pvp",15,Inputs!$B$44)-MAX(5,B523))/(IF(Inputs!$B$39="pvp",15,Inputs!$B$44)-(B523))))*IF(AND(ArtifactsInput!$M$42,((Inputs!$B$9+((C504=TRUE)*(F504-Calc!F26))+B512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485*(MIN(100,(Inputs!$B$9+((C504=TRUE)*(F504-Calc!F26))+B512+(ArtifactsInput!$M$24-ArtifactsInput!$M$24)*CHOOSE(ArtifactsInput!$N$24+1,10,12,14,16,18,20)+(IF(AND(Inputs!$B$39&lt;&gt;"pvp",Inputs!$B$44=0),1,IF(IF(Inputs!$B$39="pvp",15,Inputs!$B$44)-(B523)&lt;=0,1,MAX(0,IF(Inputs!$B$39="pvp",15,Inputs!$B$44)-MAX(5,B523))/(IF(Inputs!$B$39="pvp",15,Inputs!$B$44)-(B523))))*IF(AND(ArtifactsInput!$M$42,((Inputs!$B$9+((C504=TRUE)*(F504-Calc!F26))+B512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485">
        <f>IF(C485,(H485*N485*IF(AND(Inputs!$B$39&lt;&gt;"pvp",Inputs!$B$44&gt;0),((Skills!G7*((R485-1)*IF(Skills!H7&gt;0,Skills!I7/Skills!H7,1)+IF(Skills!H7&gt;0,MIN(Skills!I7,MAX(0,MAX(0,Inputs!$B$44-B523)-((R485-1)*IF(Inputs!$B$39="pvp",15,MAX(0.1,Skills!D7-IF(TRUE=TRUE,Inputs!$B$32,0))))))/Skills!H7,1)))/Inputs!$B$44),G485*Q485))*IF(Inputs!$B$39="pvp",1,(1+(Inputs!$B$21+Skills!Q7+B513+(IF(ArtifactsInput!$M$33,CHOOSE(ArtifactsInput!$N$33+1,30,36,42,48,54,60),0))+(IF(AND(ArtifactsInput!$M$35,Inputs!$B$4&lt;&gt;"Chapter Hunt"),CHOOSE(ArtifactsInput!$N$35+1,15,18,21,24,27,30)*(1-EXP(-(0.2*B516)*5)),0)+IF(AND(ArtifactsInput!$M$22,Inputs!$B$4&lt;&gt;"Chapter Hunt"),CHOOSE(ArtifactsInput!$N$22+1,10,12,14,16,18,20)*((0*(((0.15*B516*5))^0/1)+1*(((0.15*B516*5))^1/1)+2*(((0.15*B516*5))^2/2)+3*(((0.15*B516*5))^3/6)+4*(((0.15*B516*5))^4/24)+5*(((0.15*B516*5))^5/120))/((((0.15*B516*5))^0/1)+(((0.15*B516*5))^1/1)+(((0.15*B516*5))^2/2)+(((0.15*B516*5))^3/6)+(((0.15*B516*5))^4/24)+(((0.15*B516*5))^5/120))),0)))/100)*(MIN(Skills!W7,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486">
      <c r="A486">
        <f>Skills!A8</f>
        <v/>
      </c>
      <c r="B486">
        <f>Skills!B8</f>
        <v/>
      </c>
      <c r="C486">
        <f>Inputs!$B$3&gt;=60</f>
        <v/>
      </c>
      <c r="D486">
        <f>IF(Skills!C8=1,60+Inputs!$B$25+Inputs!$B$29,IF(Skills!C8=2,90+Inputs!$B$26+Inputs!$B$29,IF(Skills!C8=3,120+Inputs!$B$27+Inputs!$B$29,MAX(0,(Inputs!$B$3-100)*3)+Inputs!$B$28+Inputs!$B$29)))</f>
        <v/>
      </c>
      <c r="E486">
        <f>INDEX(FactorTable!$B$2:$Y$301, MATCH(ROUND(MIN(300,MAX(1,D486)),0), FactorTable!$A$2:$A$301,0), Skills!M8+1)</f>
        <v/>
      </c>
      <c r="F486">
        <f>IF(Skills!N8=TRUE,(Skills!L8/10)*(E486/1000),Skills!L8/10)+Skills!O8</f>
        <v/>
      </c>
      <c r="G486">
        <f>Skills!G8*IF(Skills!H8&gt;0,IF(Inputs!$B$39="pvp",MIN(Skills!I8,15),Skills!I8)/Skills!H8,1)</f>
        <v/>
      </c>
      <c r="H486">
        <f>1-(1-Skills!J8/100)^Skills!K8</f>
        <v/>
      </c>
      <c r="I486" t="inlineStr">
        <is>
          <t>1</t>
        </is>
      </c>
      <c r="J486" t="inlineStr"/>
      <c r="K486" t="inlineStr"/>
      <c r="L486" t="inlineStr"/>
      <c r="M486" t="inlineStr"/>
      <c r="N486" t="inlineStr"/>
      <c r="O486">
        <f>(1-Summary!$B$11)*T486+Summary!$B$11*V486</f>
        <v/>
      </c>
      <c r="P486">
        <f>IF(B524=0,0,O486/B524)</f>
        <v/>
      </c>
      <c r="Q486" t="n">
        <v>0</v>
      </c>
      <c r="R486" t="n">
        <v>0</v>
      </c>
      <c r="S486">
        <f>IFERROR(O486/N486,0)</f>
        <v/>
      </c>
      <c r="T486" t="n">
        <v>0</v>
      </c>
      <c r="V486" t="n">
        <v>0</v>
      </c>
    </row>
    <row r="487">
      <c r="A487">
        <f>Skills!A9</f>
        <v/>
      </c>
      <c r="B487">
        <f>Skills!B9</f>
        <v/>
      </c>
      <c r="C487">
        <f>Inputs!$B$3&gt;=72</f>
        <v/>
      </c>
      <c r="D487">
        <f>IF(Skills!C9=1,60+Inputs!$B$25+Inputs!$B$29,IF(Skills!C9=2,90+Inputs!$B$26+Inputs!$B$29,IF(Skills!C9=3,120+Inputs!$B$27+Inputs!$B$29,MAX(0,(Inputs!$B$3-100)*3)+Inputs!$B$28+Inputs!$B$29)))</f>
        <v/>
      </c>
      <c r="E487">
        <f>INDEX(FactorTable!$B$2:$Y$301, MATCH(ROUND(MIN(300,MAX(1,D487)),0), FactorTable!$A$2:$A$301,0), Skills!M9+1)</f>
        <v/>
      </c>
      <c r="F487">
        <f>IF(Skills!N9=TRUE,(Skills!L9/10)*(E487/1000),Skills!L9/10)+Skills!O9</f>
        <v/>
      </c>
      <c r="G487">
        <f>Skills!G9*IF(Skills!H9&gt;0,IF(Inputs!$B$39="pvp",MIN(Skills!I9,15),Skills!I9)/Skills!H9,1)</f>
        <v/>
      </c>
      <c r="H487">
        <f>1-(1-Skills!J9/100)^Skills!K9</f>
        <v/>
      </c>
      <c r="I487" t="inlineStr">
        <is>
          <t>1</t>
        </is>
      </c>
      <c r="J487">
        <f>((Inputs!$B$6*(1+Inputs!$B$7/100))+(((Inputs!$B$12*(1+Inputs!$B$13/100))-(Inputs!$B$12*(1+Inputs!$B$13/100)))+0.25*(Inputs!$B$14-Inputs!$B$14))*(1+Inputs!$B$7/100))*(F487/100)</f>
        <v/>
      </c>
      <c r="K487">
        <f>J487*(1+((Inputs!$B$12*(1+Inputs!$B$13/100))*0.01+Inputs!$B$14*0.0025)/100)*(1+Inputs!$B$15/100)*(1+Inputs!$B$16/100)*(5000/(6000+Inputs!$B$43*(1-(100*(1-(1-Inputs!$B$19/100)*(1-CHOOSE(ArtifactsInput!$N$40+1,5,6,7,8,9,10)/100)^(ArtifactsInput!$M$40-ArtifactsInput!$M$40)))/100)))*(1+(Inputs!$B$24+((C509=TRUE)*(F509-Calc!F31))+((C496=TRUE)*(F496-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+3.3333333333333335*IF(C497=TRUE,F497,0)/100)*(1+(IF(Skills!A9="CRUEL_STAB",Inputs!$B$17+((C506=TRUE)*(F506-Calc!F28))+((IF(AND(Inputs!$B$39&lt;&gt;"pvp",Inputs!$B$44=0),1,IF(IF(Inputs!$B$39="pvp",15,Inputs!$B$44)-(B523)&lt;=0,1,MAX(0,IF(Inputs!$B$39="pvp",15,Inputs!$B$44)-MAX(5,B523))/(IF(Inputs!$B$39="pvp",15,Inputs!$B$44)-(B523))))*(IF(AND(ArtifactsInput!$M$42,((Inputs!$B$9+((C504=TRUE)*(F504-Calc!F26))+B512+(ArtifactsInput!$M$24-ArtifactsInput!$M$24)*CHOOSE(ArtifactsInput!$N$24+1,10,12,14,16,18,20)+IF(ArtifactsInput!$M$10,CHOOSE(ArtifactsInput!$N$10+1,15,18,21,24,27,30)*(IF(Inputs!$B$39="pvp",MIN(15,15)/15,IF(AND(Inputs!$B$39&lt;&gt;"pvp",Inputs!$B$44&gt;0),MIN(15,Inputs!$B$44)/(Inputs!$B$44),0))),0)))&gt;=100),MIN(100,((Inputs!$B$9+((C504=TRUE)*(F504-Calc!F26))+B512+(ArtifactsInput!$M$24-ArtifactsInput!$M$24)*CHOOSE(ArtifactsInput!$N$24+1,10,12,14,16,18,20)+IF(ArtifactsInput!$M$10,CHOOSE(ArtifactsInput!$N$10+1,15,18,21,24,27,30)*(IF(Inputs!$B$39="pvp",MIN(15,15)/15,IF(AND(Inputs!$B$39&lt;&gt;"pvp",Inputs!$B$44&gt;0),MIN(15,Inputs!$B$44)/(Inputs!$B$44),0))),0)))-100),0))*CHOOSE(ArtifactsInput!$N$42+1,0.6,0.72,0.84,0.96,1.08,1.2))),Inputs!$B$18+((C507=TRUE)*(F507-Calc!F29))+(IF(AND(Inputs!$B$39&lt;&gt;"pvp",Inputs!$B$44=0),1,IF(IF(Inputs!$B$39="pvp",15,Inputs!$B$44)-(B523)&lt;=0,1,MAX(0,IF(Inputs!$B$39="pvp",15,Inputs!$B$44)-MAX(5,B523))/(IF(Inputs!$B$39="pvp",15,Inputs!$B$44)-(B523))))*IF(AND(ArtifactsInput!$M$42,((Inputs!$B$9+((C504=TRUE)*(F504-Calc!F26))+B512+(ArtifactsInput!$M$24-ArtifactsInput!$M$24)*CHOOSE(ArtifactsInput!$N$24+1,10,12,14,16,18,20)+IF(ArtifactsInput!$M$10,CHOOSE(ArtifactsInput!$N$10+1,15,18,21,24,27,30)*(IF(Inputs!$B$39="pvp",MIN(15,15)/15,IF(AND(Inputs!$B$39&lt;&gt;"pvp",Inputs!$B$44&gt;0),MIN(15,Inputs!$B$44)/(Inputs!$B$44),0))),0)))&gt;=100),CHOOSE(ArtifactsInput!$N$42+1,40,48,56,64,72,80),0))))/100)*(((1+(((C500=TRUE)*F500*IF(AND(Inputs!$B$39&lt;&gt;"pvp",Inputs!$B$44&gt;0),(((R500-1)*MIN((Skills!Y22*(1+Inputs!$B$34/100)),(1/Q500))+MIN((Skills!Y22*(1+Inputs!$B$34/100)),MAX(0,Inputs!$B$44-((R500-1)*(1/Q500)))))/Inputs!$B$44),IF(Inputs!$B$39="pvp",MIN((Skills!Y22*(1+Inputs!$B$34/100)),15)/15,MIN(1,(Skills!Y22*(1+Inputs!$B$34/100))/(1/Q500)))))+((C481=TRUE)*F481*3)+((C483=TRUE)*F483*(1-EXP(-0.75*B516*5)))+((C502=TRUE)*(F502-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489=TRUE)*F489*IF(AND(Inputs!$B$39&lt;&gt;"pvp",Inputs!$B$44&gt;0),(((R489-1)*MIN((Skills!Y11*(1+Inputs!$B$34/100)),(1/Q489))+MIN((Skills!Y11*(1+Inputs!$B$34/100)),MAX(0,Inputs!$B$44-((R489-1)*(1/Q489)))))/Inputs!$B$44),IF(Inputs!$B$39="pvp",MIN((Skills!Y11*(1+Inputs!$B$34/100)),15)/15,MIN(1,(Skills!Y11*(1+Inputs!$B$34/100))/(1/Q489)))))/100)*(1+((C494=TRUE)*F494*IF(AND(Inputs!$B$39&lt;&gt;"pvp",Inputs!$B$44&gt;0),(((R494-1)*MIN((Skills!Y16*(1+Inputs!$B$34/100)),(1/Q494))+MIN((Skills!Y16*(1+Inputs!$B$34/100)),MAX(0,Inputs!$B$44-((R494-1)*(1/Q494)))))/Inputs!$B$44),IF(Inputs!$B$39="pvp",MIN((Skills!Y16*(1+Inputs!$B$34/100)),15)/15,MIN(1,(Skills!Y16*(1+Inputs!$B$34/100))/(1/Q494)))))/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514*I487)</f>
        <v/>
      </c>
      <c r="L487">
        <f>K487*(MIN((Inputs!$B$22+1)+((C503=TRUE)*(F503-Calc!F25)),(Inputs!$B$23+((C508=TRUE)*(F508-Calc!F30))+IF(ArtifactsInput!$M$15,CHOOSE(ArtifactsInput!$N$15+1,25,30,35,40,45,50)/100*(Inputs!$B$11-Inputs!$B$11),0)))/100+(Inputs!$B$23+((C508=TRUE)*(F508-Calc!F30))+IF(ArtifactsInput!$M$15,CHOOSE(ArtifactsInput!$N$15+1,25,30,35,40,45,50)/100*(Inputs!$B$11-Inputs!$B$11),0))/100)/2</f>
        <v/>
      </c>
      <c r="M487">
        <f>L487*(1+(Inputs!$B$10+((C505=TRUE)*(F505-Calc!F27))+B519+(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487">
        <f>L487*(1-MIN((Inputs!$B$9+((C504=TRUE)*(F504-Calc!F26))+B512+(ArtifactsInput!$M$24-ArtifactsInput!$M$24)*CHOOSE(ArtifactsInput!$N$24+1,10,12,14,16,18,20)+(IF(AND(Inputs!$B$39&lt;&gt;"pvp",Inputs!$B$44=0),1,IF(IF(Inputs!$B$39="pvp",15,Inputs!$B$44)-(B523)&lt;=0,1,MAX(0,IF(Inputs!$B$39="pvp",15,Inputs!$B$44)-MAX(5,B523))/(IF(Inputs!$B$39="pvp",15,Inputs!$B$44)-(B523))))*IF(AND(ArtifactsInput!$M$42,((Inputs!$B$9+((C504=TRUE)*(F504-Calc!F26))+B512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487*(MIN((Inputs!$B$9+((C504=TRUE)*(F504-Calc!F26))+B512+(ArtifactsInput!$M$24-ArtifactsInput!$M$24)*CHOOSE(ArtifactsInput!$N$24+1,10,12,14,16,18,20)+(IF(AND(Inputs!$B$39&lt;&gt;"pvp",Inputs!$B$44=0),1,IF(IF(Inputs!$B$39="pvp",15,Inputs!$B$44)-(B523)&lt;=0,1,MAX(0,IF(Inputs!$B$39="pvp",15,Inputs!$B$44)-MAX(5,B523))/(IF(Inputs!$B$39="pvp",15,Inputs!$B$44)-(B523))))*IF(AND(ArtifactsInput!$M$42,((Inputs!$B$9+((C504=TRUE)*(F504-Calc!F26))+B512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487">
        <f>(1-Summary!$B$11)*T487+Summary!$B$11*V487</f>
        <v/>
      </c>
      <c r="P487">
        <f>IF(B524=0,0,O487/B524)</f>
        <v/>
      </c>
      <c r="Q487">
        <f>IFERROR(1/IF(Inputs!$B$39="pvp",15,MAX(0.1,Skills!D9-IF(FALSE=TRUE,Inputs!$B$32,0))),0)</f>
        <v/>
      </c>
      <c r="R487">
        <f>IF(AND(Inputs!$B$39&lt;&gt;"pvp",Inputs!$B$44&gt;0),IF(MAX(0,Inputs!$B$44-B523)&lt;=0,0,(INT(MAX(0,Inputs!$B$44-B523)/IF(Inputs!$B$39="pvp",15,MAX(0.1,Skills!D9-IF(FALSE=TRUE,Inputs!$B$32,0))))+1)),0)</f>
        <v/>
      </c>
      <c r="S487">
        <f>IFERROR(O487/N487,0)</f>
        <v/>
      </c>
      <c r="T487">
        <f>IF(C487,(H487*N487*IF(AND(Inputs!$B$39&lt;&gt;"pvp",Inputs!$B$44&gt;0),((Skills!G9*((R487-1)*IF(Skills!H9&gt;0,Skills!I9/Skills!H9,1)+IF(Skills!H9&gt;0,MIN(Skills!I9,MAX(0,MAX(0,Inputs!$B$44-B523)-((R487-1)*IF(Inputs!$B$39="pvp",15,MAX(0.1,Skills!D9-IF(FALSE=TRUE,Inputs!$B$32,0))))))/Skills!H9,1)))/Inputs!$B$44),G487*Q487))*IF(Inputs!$B$39="pvp",1,1+(Inputs!$B$20+0+Skills!P9+B513+(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Hunt"),CHOOSE(ArtifactsInput!$N$35+1,15,18,21,24,27,30)*(1-EXP(-(0.2*B516)*5)),0)+IF(AND(ArtifactsInput!$M$22,Inputs!$B$4&lt;&gt;"Chapter Hunt"),CHOOSE(ArtifactsInput!$N$22+1,10,12,14,16,18,20)*((0*(((0.15*B516*5))^0/1)+1*(((0.15*B516*5))^1/1)+2*(((0.15*B516*5))^2/2)+3*(((0.15*B516*5))^3/6)+4*(((0.15*B516*5))^4/24)+5*(((0.15*B516*5))^5/120))/((((0.15*B516*5))^0/1)+(((0.15*B516*5))^1/1)+(((0.15*B516*5))^2/2)+(((0.15*B516*5))^3/6)+(((0.15*B516*5))^4/24)+(((0.15*B516*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487*(1-MIN(100,(Inputs!$B$9+((C504=TRUE)*(F504-Calc!F26))+B512+(ArtifactsInput!$M$24-ArtifactsInput!$M$24)*CHOOSE(ArtifactsInput!$N$24+1,10,12,14,16,18,20)+(IF(AND(Inputs!$B$39&lt;&gt;"pvp",Inputs!$B$44=0),1,IF(IF(Inputs!$B$39="pvp",15,Inputs!$B$44)-(B523)&lt;=0,1,MAX(0,IF(Inputs!$B$39="pvp",15,Inputs!$B$44)-MAX(5,B523))/(IF(Inputs!$B$39="pvp",15,Inputs!$B$44)-(B523))))*IF(AND(ArtifactsInput!$M$42,((Inputs!$B$9+((C504=TRUE)*(F504-Calc!F26))+B512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487*(MIN(100,(Inputs!$B$9+((C504=TRUE)*(F504-Calc!F26))+B512+(ArtifactsInput!$M$24-ArtifactsInput!$M$24)*CHOOSE(ArtifactsInput!$N$24+1,10,12,14,16,18,20)+(IF(AND(Inputs!$B$39&lt;&gt;"pvp",Inputs!$B$44=0),1,IF(IF(Inputs!$B$39="pvp",15,Inputs!$B$44)-(B523)&lt;=0,1,MAX(0,IF(Inputs!$B$39="pvp",15,Inputs!$B$44)-MAX(5,B523))/(IF(Inputs!$B$39="pvp",15,Inputs!$B$44)-(B523))))*IF(AND(ArtifactsInput!$M$42,((Inputs!$B$9+((C504=TRUE)*(F504-Calc!F26))+B512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487*(1-MIN(100,(Inputs!$B$9+((C504=TRUE)*(F504-Calc!F26))+B512+(ArtifactsInput!$M$24-ArtifactsInput!$M$24)*CHOOSE(ArtifactsInput!$N$24+1,10,12,14,16,18,20)+(IF(AND(Inputs!$B$39&lt;&gt;"pvp",Inputs!$B$44=0),1,IF(IF(Inputs!$B$39="pvp",15,Inputs!$B$44)-(B523)&lt;=0,1,MAX(0,IF(Inputs!$B$39="pvp",15,Inputs!$B$44)-MAX(5,B523))/(IF(Inputs!$B$39="pvp",15,Inputs!$B$44)-(B523))))*IF(AND(ArtifactsInput!$M$42,((Inputs!$B$9+((C504=TRUE)*(F504-Calc!F26))+B512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487*(MIN(100,(Inputs!$B$9+((C504=TRUE)*(F504-Calc!F26))+B512+(ArtifactsInput!$M$24-ArtifactsInput!$M$24)*CHOOSE(ArtifactsInput!$N$24+1,10,12,14,16,18,20)+(IF(AND(Inputs!$B$39&lt;&gt;"pvp",Inputs!$B$44=0),1,IF(IF(Inputs!$B$39="pvp",15,Inputs!$B$44)-(B523)&lt;=0,1,MAX(0,IF(Inputs!$B$39="pvp",15,Inputs!$B$44)-MAX(5,B523))/(IF(Inputs!$B$39="pvp",15,Inputs!$B$44)-(B523))))*IF(AND(ArtifactsInput!$M$42,((Inputs!$B$9+((C504=TRUE)*(F504-Calc!F26))+B512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487">
        <f>IF(C487,(H487*N487*IF(AND(Inputs!$B$39&lt;&gt;"pvp",Inputs!$B$44&gt;0),((Skills!G9*((R487-1)*IF(Skills!H9&gt;0,Skills!I9/Skills!H9,1)+IF(Skills!H9&gt;0,MIN(Skills!I9,MAX(0,MAX(0,Inputs!$B$44-B523)-((R487-1)*IF(Inputs!$B$39="pvp",15,MAX(0.1,Skills!D9-IF(FALSE=TRUE,Inputs!$B$32,0))))))/Skills!H9,1)))/Inputs!$B$44),G487*Q487))*IF(Inputs!$B$39="pvp",1,(1+(Inputs!$B$21+Skills!Q9+B513+(IF(ArtifactsInput!$M$33,CHOOSE(ArtifactsInput!$N$33+1,30,36,42,48,54,60),0))+(IF(AND(ArtifactsInput!$M$35,Inputs!$B$4&lt;&gt;"Chapter Hunt"),CHOOSE(ArtifactsInput!$N$35+1,15,18,21,24,27,30)*(1-EXP(-(0.2*B516)*5)),0)+IF(AND(ArtifactsInput!$M$22,Inputs!$B$4&lt;&gt;"Chapter Hunt"),CHOOSE(ArtifactsInput!$N$22+1,10,12,14,16,18,20)*((0*(((0.15*B516*5))^0/1)+1*(((0.15*B516*5))^1/1)+2*(((0.15*B516*5))^2/2)+3*(((0.15*B516*5))^3/6)+4*(((0.15*B516*5))^4/24)+5*(((0.15*B516*5))^5/120))/((((0.15*B516*5))^0/1)+(((0.15*B516*5))^1/1)+(((0.15*B516*5))^2/2)+(((0.15*B516*5))^3/6)+(((0.15*B516*5))^4/24)+(((0.15*B516*5))^5/120))),0)))/100)*(MIN(Skills!W9,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488">
      <c r="A488">
        <f>Skills!A10</f>
        <v/>
      </c>
      <c r="B488">
        <f>Skills!B10</f>
        <v/>
      </c>
      <c r="C488">
        <f>Inputs!$B$3&gt;=117</f>
        <v/>
      </c>
      <c r="D488">
        <f>IF(Skills!C10=1,60+Inputs!$B$25+Inputs!$B$29,IF(Skills!C10=2,90+Inputs!$B$26+Inputs!$B$29,IF(Skills!C10=3,120+Inputs!$B$27+Inputs!$B$29,MAX(0,(Inputs!$B$3-100)*3)+Inputs!$B$28+Inputs!$B$29)))</f>
        <v/>
      </c>
      <c r="E488">
        <f>INDEX(FactorTable!$B$2:$Y$301, MATCH(ROUND(MIN(300,MAX(1,D488)),0), FactorTable!$A$2:$A$301,0), Skills!M10+1)</f>
        <v/>
      </c>
      <c r="F488">
        <f>IF(Skills!N10=TRUE,(Skills!L10/10)*(E488/1000),Skills!L10/10)+Skills!O10</f>
        <v/>
      </c>
      <c r="G488">
        <f>Skills!G10*IF(Skills!H10&gt;0,IF(Inputs!$B$39="pvp",MIN(Skills!I10,15),Skills!I10)/Skills!H10,1)</f>
        <v/>
      </c>
      <c r="H488">
        <f>1-(1-Skills!J10/100)^Skills!K10</f>
        <v/>
      </c>
      <c r="I488" t="inlineStr">
        <is>
          <t>1</t>
        </is>
      </c>
      <c r="J488">
        <f>((Inputs!$B$6*(1+Inputs!$B$7/100))+(((Inputs!$B$12*(1+Inputs!$B$13/100))-(Inputs!$B$12*(1+Inputs!$B$13/100)))+0.25*(Inputs!$B$14-Inputs!$B$14))*(1+Inputs!$B$7/100))*(F488/100)</f>
        <v/>
      </c>
      <c r="K488">
        <f>J488*(1+((Inputs!$B$12*(1+Inputs!$B$13/100))*0.01+Inputs!$B$14*0.0025)/100)*(1+Inputs!$B$15/100)*(1+Inputs!$B$16/100)*(5000/(6000+Inputs!$B$43*(1-(100*(1-(1-Inputs!$B$19/100)*(1-CHOOSE(ArtifactsInput!$N$40+1,5,6,7,8,9,10)/100)^(ArtifactsInput!$M$40-ArtifactsInput!$M$40)))/100)))*(1+(Inputs!$B$24+((C509=TRUE)*(F509-Calc!F31))+((C496=TRUE)*(F496-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10="CRUEL_STAB",Inputs!$B$17+((C506=TRUE)*(F506-Calc!F28))+((IF(AND(Inputs!$B$39&lt;&gt;"pvp",Inputs!$B$44=0),1,IF(IF(Inputs!$B$39="pvp",15,Inputs!$B$44)-(B523)&lt;=0,1,MAX(0,IF(Inputs!$B$39="pvp",15,Inputs!$B$44)-MAX(5,B523))/(IF(Inputs!$B$39="pvp",15,Inputs!$B$44)-(B523))))*(IF(AND(ArtifactsInput!$M$42,((Inputs!$B$9+((C504=TRUE)*(F504-Calc!F26))+B512+(ArtifactsInput!$M$24-ArtifactsInput!$M$24)*CHOOSE(ArtifactsInput!$N$24+1,10,12,14,16,18,20)+IF(ArtifactsInput!$M$10,CHOOSE(ArtifactsInput!$N$10+1,15,18,21,24,27,30)*(IF(Inputs!$B$39="pvp",MIN(15,15)/15,IF(AND(Inputs!$B$39&lt;&gt;"pvp",Inputs!$B$44&gt;0),MIN(15,Inputs!$B$44)/(Inputs!$B$44),0))),0)))&gt;=100),MIN(100,((Inputs!$B$9+((C504=TRUE)*(F504-Calc!F26))+B512+(ArtifactsInput!$M$24-ArtifactsInput!$M$24)*CHOOSE(ArtifactsInput!$N$24+1,10,12,14,16,18,20)+IF(ArtifactsInput!$M$10,CHOOSE(ArtifactsInput!$N$10+1,15,18,21,24,27,30)*(IF(Inputs!$B$39="pvp",MIN(15,15)/15,IF(AND(Inputs!$B$39&lt;&gt;"pvp",Inputs!$B$44&gt;0),MIN(15,Inputs!$B$44)/(Inputs!$B$44),0))),0)))-100),0))*CHOOSE(ArtifactsInput!$N$42+1,0.6,0.72,0.84,0.96,1.08,1.2))),Inputs!$B$18+((C507=TRUE)*(F507-Calc!F29))+(IF(AND(Inputs!$B$39&lt;&gt;"pvp",Inputs!$B$44=0),1,IF(IF(Inputs!$B$39="pvp",15,Inputs!$B$44)-(B523)&lt;=0,1,MAX(0,IF(Inputs!$B$39="pvp",15,Inputs!$B$44)-MAX(5,B523))/(IF(Inputs!$B$39="pvp",15,Inputs!$B$44)-(B523))))*IF(AND(ArtifactsInput!$M$42,((Inputs!$B$9+((C504=TRUE)*(F504-Calc!F26))+B512+(ArtifactsInput!$M$24-ArtifactsInput!$M$24)*CHOOSE(ArtifactsInput!$N$24+1,10,12,14,16,18,20)+IF(ArtifactsInput!$M$10,CHOOSE(ArtifactsInput!$N$10+1,15,18,21,24,27,30)*(IF(Inputs!$B$39="pvp",MIN(15,15)/15,IF(AND(Inputs!$B$39&lt;&gt;"pvp",Inputs!$B$44&gt;0),MIN(15,Inputs!$B$44)/(Inputs!$B$44),0))),0)))&gt;=100),CHOOSE(ArtifactsInput!$N$42+1,40,48,56,64,72,80),0))))/100)*(((1+(((C500=TRUE)*F500*IF(AND(Inputs!$B$39&lt;&gt;"pvp",Inputs!$B$44&gt;0),(((R500-1)*MIN((Skills!Y22*(1+Inputs!$B$34/100)),(1/Q500))+MIN((Skills!Y22*(1+Inputs!$B$34/100)),MAX(0,Inputs!$B$44-((R500-1)*(1/Q500)))))/Inputs!$B$44),IF(Inputs!$B$39="pvp",MIN((Skills!Y22*(1+Inputs!$B$34/100)),15)/15,MIN(1,(Skills!Y22*(1+Inputs!$B$34/100))/(1/Q500)))))+((C481=TRUE)*F481*3)+((C483=TRUE)*F483*(1-EXP(-0.75*B516*5)))+((C502=TRUE)*(F502-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489=TRUE)*F489*IF(AND(Inputs!$B$39&lt;&gt;"pvp",Inputs!$B$44&gt;0),(((R489-1)*MIN((Skills!Y11*(1+Inputs!$B$34/100)),(1/Q489))+MIN((Skills!Y11*(1+Inputs!$B$34/100)),MAX(0,Inputs!$B$44-((R489-1)*(1/Q489)))))/Inputs!$B$44),IF(Inputs!$B$39="pvp",MIN((Skills!Y11*(1+Inputs!$B$34/100)),15)/15,MIN(1,(Skills!Y11*(1+Inputs!$B$34/100))/(1/Q489)))))/100)*(1+((C494=TRUE)*F494*IF(AND(Inputs!$B$39&lt;&gt;"pvp",Inputs!$B$44&gt;0),(((R494-1)*MIN((Skills!Y16*(1+Inputs!$B$34/100)),(1/Q494))+MIN((Skills!Y16*(1+Inputs!$B$34/100)),MAX(0,Inputs!$B$44-((R494-1)*(1/Q494)))))/Inputs!$B$44),IF(Inputs!$B$39="pvp",MIN((Skills!Y16*(1+Inputs!$B$34/100)),15)/15,MIN(1,(Skills!Y16*(1+Inputs!$B$34/100))/(1/Q494)))))/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514*I488)</f>
        <v/>
      </c>
      <c r="L488">
        <f>K488*(MIN((Inputs!$B$22+1)+((C503=TRUE)*(F503-Calc!F25)),(Inputs!$B$23+((C508=TRUE)*(F508-Calc!F30))+IF(ArtifactsInput!$M$15,CHOOSE(ArtifactsInput!$N$15+1,25,30,35,40,45,50)/100*(Inputs!$B$11-Inputs!$B$11),0)))/100+(Inputs!$B$23+((C508=TRUE)*(F508-Calc!F30))+IF(ArtifactsInput!$M$15,CHOOSE(ArtifactsInput!$N$15+1,25,30,35,40,45,50)/100*(Inputs!$B$11-Inputs!$B$11),0))/100)/2</f>
        <v/>
      </c>
      <c r="M488">
        <f>L488*(1+(Inputs!$B$10+((C505=TRUE)*(F505-Calc!F27))+B519+(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488">
        <f>L488*(1-MIN((Inputs!$B$9+((C504=TRUE)*(F504-Calc!F26))+B512+(ArtifactsInput!$M$24-ArtifactsInput!$M$24)*CHOOSE(ArtifactsInput!$N$24+1,10,12,14,16,18,20)+(IF(AND(Inputs!$B$39&lt;&gt;"pvp",Inputs!$B$44=0),1,IF(IF(Inputs!$B$39="pvp",15,Inputs!$B$44)-(B523)&lt;=0,1,MAX(0,IF(Inputs!$B$39="pvp",15,Inputs!$B$44)-MAX(5,B523))/(IF(Inputs!$B$39="pvp",15,Inputs!$B$44)-(B523))))*IF(AND(ArtifactsInput!$M$42,((Inputs!$B$9+((C504=TRUE)*(F504-Calc!F26))+B512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488*(MIN((Inputs!$B$9+((C504=TRUE)*(F504-Calc!F26))+B512+(ArtifactsInput!$M$24-ArtifactsInput!$M$24)*CHOOSE(ArtifactsInput!$N$24+1,10,12,14,16,18,20)+(IF(AND(Inputs!$B$39&lt;&gt;"pvp",Inputs!$B$44=0),1,IF(IF(Inputs!$B$39="pvp",15,Inputs!$B$44)-(B523)&lt;=0,1,MAX(0,IF(Inputs!$B$39="pvp",15,Inputs!$B$44)-MAX(5,B523))/(IF(Inputs!$B$39="pvp",15,Inputs!$B$44)-(B523))))*IF(AND(ArtifactsInput!$M$42,((Inputs!$B$9+((C504=TRUE)*(F504-Calc!F26))+B512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488">
        <f>(1-Summary!$B$11)*T488+Summary!$B$11*V488</f>
        <v/>
      </c>
      <c r="P488">
        <f>IF(B524=0,0,O488/B524)</f>
        <v/>
      </c>
      <c r="Q488" t="n">
        <v>0</v>
      </c>
      <c r="R488" t="n">
        <v>0</v>
      </c>
      <c r="S488" t="n">
        <v>0</v>
      </c>
      <c r="T488">
        <f>IF(C488,(0.2*SUMPRODUCT((Skills!Z2:Z31=TRUE)*(C480:C509=TRUE)*S480:S509)*N488)*IF(Inputs!$B$39="pvp",1,1+(Inputs!$B$20+0+Skills!P10+B513+(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Hunt"),CHOOSE(ArtifactsInput!$N$35+1,15,18,21,24,27,30)*(1-EXP(-(0.2*B516)*5)),0)+IF(AND(ArtifactsInput!$M$22,Inputs!$B$4&lt;&gt;"Chapter Hunt"),CHOOSE(ArtifactsInput!$N$22+1,10,12,14,16,18,20)*((0*(((0.15*B516*5))^0/1)+1*(((0.15*B516*5))^1/1)+2*(((0.15*B516*5))^2/2)+3*(((0.15*B516*5))^3/6)+4*(((0.15*B516*5))^4/24)+5*(((0.15*B516*5))^5/120))/((((0.15*B516*5))^0/1)+(((0.15*B516*5))^1/1)+(((0.15*B516*5))^2/2)+(((0.15*B516*5))^3/6)+(((0.15*B516*5))^4/24)+(((0.15*B516*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488*(1-MIN(100,(Inputs!$B$9+((C504=TRUE)*(F504-Calc!F26))+B512+(ArtifactsInput!$M$24-ArtifactsInput!$M$24)*CHOOSE(ArtifactsInput!$N$24+1,10,12,14,16,18,20)+(IF(AND(Inputs!$B$39&lt;&gt;"pvp",Inputs!$B$44=0),1,IF(IF(Inputs!$B$39="pvp",15,Inputs!$B$44)-(B523)&lt;=0,1,MAX(0,IF(Inputs!$B$39="pvp",15,Inputs!$B$44)-MAX(5,B523))/(IF(Inputs!$B$39="pvp",15,Inputs!$B$44)-(B523))))*IF(AND(ArtifactsInput!$M$42,((Inputs!$B$9+((C504=TRUE)*(F504-Calc!F26))+B512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488*(MIN(100,(Inputs!$B$9+((C504=TRUE)*(F504-Calc!F26))+B512+(ArtifactsInput!$M$24-ArtifactsInput!$M$24)*CHOOSE(ArtifactsInput!$N$24+1,10,12,14,16,18,20)+(IF(AND(Inputs!$B$39&lt;&gt;"pvp",Inputs!$B$44=0),1,IF(IF(Inputs!$B$39="pvp",15,Inputs!$B$44)-(B523)&lt;=0,1,MAX(0,IF(Inputs!$B$39="pvp",15,Inputs!$B$44)-MAX(5,B523))/(IF(Inputs!$B$39="pvp",15,Inputs!$B$44)-(B523))))*IF(AND(ArtifactsInput!$M$42,((Inputs!$B$9+((C504=TRUE)*(F504-Calc!F26))+B512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488*(1-MIN(100,(Inputs!$B$9+((C504=TRUE)*(F504-Calc!F26))+B512+(ArtifactsInput!$M$24-ArtifactsInput!$M$24)*CHOOSE(ArtifactsInput!$N$24+1,10,12,14,16,18,20)+(IF(AND(Inputs!$B$39&lt;&gt;"pvp",Inputs!$B$44=0),1,IF(IF(Inputs!$B$39="pvp",15,Inputs!$B$44)-(B523)&lt;=0,1,MAX(0,IF(Inputs!$B$39="pvp",15,Inputs!$B$44)-MAX(5,B523))/(IF(Inputs!$B$39="pvp",15,Inputs!$B$44)-(B523))))*IF(AND(ArtifactsInput!$M$42,((Inputs!$B$9+((C504=TRUE)*(F504-Calc!F26))+B512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488*(MIN(100,(Inputs!$B$9+((C504=TRUE)*(F504-Calc!F26))+B512+(ArtifactsInput!$M$24-ArtifactsInput!$M$24)*CHOOSE(ArtifactsInput!$N$24+1,10,12,14,16,18,20)+(IF(AND(Inputs!$B$39&lt;&gt;"pvp",Inputs!$B$44=0),1,IF(IF(Inputs!$B$39="pvp",15,Inputs!$B$44)-(B523)&lt;=0,1,MAX(0,IF(Inputs!$B$39="pvp",15,Inputs!$B$44)-MAX(5,B523))/(IF(Inputs!$B$39="pvp",15,Inputs!$B$44)-(B523))))*IF(AND(ArtifactsInput!$M$42,((Inputs!$B$9+((C504=TRUE)*(F504-Calc!F26))+B512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488">
        <f>IF(C488,(0.2*SUMPRODUCT((Skills!Z2:Z31=TRUE)*(C480:C509=TRUE)*S480:S509)*N488)*IF(Inputs!$B$39="pvp",1,(1+(Inputs!$B$21+Skills!Q10+B513+(IF(ArtifactsInput!$M$33,CHOOSE(ArtifactsInput!$N$33+1,30,36,42,48,54,60),0))+(IF(AND(ArtifactsInput!$M$35,Inputs!$B$4&lt;&gt;"Chapter Hunt"),CHOOSE(ArtifactsInput!$N$35+1,15,18,21,24,27,30)*(1-EXP(-(0.2*B516)*5)),0)+IF(AND(ArtifactsInput!$M$22,Inputs!$B$4&lt;&gt;"Chapter Hunt"),CHOOSE(ArtifactsInput!$N$22+1,10,12,14,16,18,20)*((0*(((0.15*B516*5))^0/1)+1*(((0.15*B516*5))^1/1)+2*(((0.15*B516*5))^2/2)+3*(((0.15*B516*5))^3/6)+4*(((0.15*B516*5))^4/24)+5*(((0.15*B516*5))^5/120))/((((0.15*B516*5))^0/1)+(((0.15*B516*5))^1/1)+(((0.15*B516*5))^2/2)+(((0.15*B516*5))^3/6)+(((0.15*B516*5))^4/24)+(((0.15*B516*5))^5/120))),0)))/100)*(MIN(Skills!W10,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489">
      <c r="A489">
        <f>Skills!A11</f>
        <v/>
      </c>
      <c r="B489">
        <f>Skills!B11</f>
        <v/>
      </c>
      <c r="C489">
        <f>Inputs!$B$3&gt;=74</f>
        <v/>
      </c>
      <c r="D489">
        <f>IF(Skills!C11=1,60+Inputs!$B$25+Inputs!$B$29,IF(Skills!C11=2,90+Inputs!$B$26+Inputs!$B$29,IF(Skills!C11=3,120+Inputs!$B$27+Inputs!$B$29,MAX(0,(Inputs!$B$3-100)*3)+Inputs!$B$28+Inputs!$B$29)))</f>
        <v/>
      </c>
      <c r="E489">
        <f>INDEX(FactorTable!$B$2:$Y$301, MATCH(ROUND(MIN(300,MAX(1,D489)),0), FactorTable!$A$2:$A$301,0), Skills!M11+1)</f>
        <v/>
      </c>
      <c r="F489">
        <f>IF(Skills!N11=TRUE,(Skills!L11/10)*(E489/1000),Skills!L11/10)+Skills!O11</f>
        <v/>
      </c>
      <c r="G489">
        <f>Skills!G11*IF(Skills!H11&gt;0,IF(Inputs!$B$39="pvp",MIN(Skills!I11,15),Skills!I11)/Skills!H11,1)</f>
        <v/>
      </c>
      <c r="H489">
        <f>1-(1-Skills!J11/100)^Skills!K11</f>
        <v/>
      </c>
      <c r="I489" t="inlineStr">
        <is>
          <t>1</t>
        </is>
      </c>
      <c r="J489" t="inlineStr"/>
      <c r="K489" t="inlineStr"/>
      <c r="L489" t="inlineStr"/>
      <c r="M489" t="inlineStr"/>
      <c r="N489" t="inlineStr"/>
      <c r="O489">
        <f>(1-Summary!$B$11)*T489+Summary!$B$11*V489</f>
        <v/>
      </c>
      <c r="P489">
        <f>IF(B524=0,0,O489/B524)</f>
        <v/>
      </c>
      <c r="Q489">
        <f>IFERROR(1/IF(Inputs!$B$39="pvp",15,MAX(0.1,Skills!D11-IF(TRUE=TRUE,Inputs!$B$32,0))),0)</f>
        <v/>
      </c>
      <c r="R489">
        <f>IF(AND(Inputs!$B$39&lt;&gt;"pvp",Inputs!$B$44&gt;0),IF(Inputs!$B$44&lt;=0,0,(INT(Inputs!$B$44/IF(Inputs!$B$39="pvp",15,MAX(0.1,Skills!D11-IF(TRUE=TRUE,Inputs!$B$32,0))))+1)),0)</f>
        <v/>
      </c>
      <c r="S489">
        <f>IFERROR(O489/N489,0)</f>
        <v/>
      </c>
      <c r="T489" t="n">
        <v>0</v>
      </c>
      <c r="V489" t="n">
        <v>0</v>
      </c>
    </row>
    <row r="490">
      <c r="A490">
        <f>Skills!A12</f>
        <v/>
      </c>
      <c r="B490">
        <f>Skills!B12</f>
        <v/>
      </c>
      <c r="C490">
        <f>Inputs!$B$3&gt;=103</f>
        <v/>
      </c>
      <c r="D490">
        <f>IF(Skills!C12=1,60+Inputs!$B$25+Inputs!$B$29,IF(Skills!C12=2,90+Inputs!$B$26+Inputs!$B$29,IF(Skills!C12=3,120+Inputs!$B$27+Inputs!$B$29,MAX(0,(Inputs!$B$3-100)*3)+Inputs!$B$28+Inputs!$B$29)))</f>
        <v/>
      </c>
      <c r="E490">
        <f>INDEX(FactorTable!$B$2:$Y$301, MATCH(ROUND(MIN(300,MAX(1,D490)),0), FactorTable!$A$2:$A$301,0), Skills!M12+1)</f>
        <v/>
      </c>
      <c r="F490">
        <f>(Skills!L12/10)*(E490/1000)+IF(Inputs!$B$3&gt;=134,50,0)+0.5*(30000/10)*(INDEX(FactorTable!$B$2:$Y$301, MATCH(ROUND(MIN(300,MAX(1,D490)),0), FactorTable!$A$2:$A$301,0), 13)/1000)*B522</f>
        <v/>
      </c>
      <c r="G490">
        <f>Skills!G12*IF(Skills!H12&gt;0,IF(Inputs!$B$39="pvp",MIN(Skills!I12,15),Skills!I12)/Skills!H12,1)</f>
        <v/>
      </c>
      <c r="H490">
        <f>1-(1-Skills!J12/100)^Skills!K12</f>
        <v/>
      </c>
      <c r="I490" t="inlineStr">
        <is>
          <t>1</t>
        </is>
      </c>
      <c r="J490">
        <f>((Inputs!$B$6*(1+Inputs!$B$7/100))+(((Inputs!$B$12*(1+Inputs!$B$13/100))-(Inputs!$B$12*(1+Inputs!$B$13/100)))+0.25*(Inputs!$B$14-Inputs!$B$14))*(1+Inputs!$B$7/100))*(F490/100)</f>
        <v/>
      </c>
      <c r="K490">
        <f>J490*(1+((Inputs!$B$12*(1+Inputs!$B$13/100))*0.01+Inputs!$B$14*0.0025)/100)*(1+Inputs!$B$15/100)*(1+Inputs!$B$16/100)*(5000/(6000+Inputs!$B$43*(1-(100*(1-(1-Inputs!$B$19/100)*(1-CHOOSE(ArtifactsInput!$N$40+1,5,6,7,8,9,10)/100)^(ArtifactsInput!$M$40-ArtifactsInput!$M$40)))/100)))*(1+(Inputs!$B$24+((C509=TRUE)*(F509-Calc!F31))+((C496=TRUE)*(F496-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12="CRUEL_STAB",Inputs!$B$17+((C506=TRUE)*(F506-Calc!F28))+((IF(AND(Inputs!$B$39&lt;&gt;"pvp",Inputs!$B$44=0),1,IF(IF(Inputs!$B$39="pvp",15,Inputs!$B$44)-(B523)&lt;=0,1,MAX(0,IF(Inputs!$B$39="pvp",15,Inputs!$B$44)-MAX(5,B523))/(IF(Inputs!$B$39="pvp",15,Inputs!$B$44)-(B523))))*(IF(AND(ArtifactsInput!$M$42,((Inputs!$B$9+((C504=TRUE)*(F504-Calc!F26))+B512+(ArtifactsInput!$M$24-ArtifactsInput!$M$24)*CHOOSE(ArtifactsInput!$N$24+1,10,12,14,16,18,20)+IF(ArtifactsInput!$M$10,CHOOSE(ArtifactsInput!$N$10+1,15,18,21,24,27,30)*(IF(Inputs!$B$39="pvp",MIN(15,15)/15,IF(AND(Inputs!$B$39&lt;&gt;"pvp",Inputs!$B$44&gt;0),MIN(15,Inputs!$B$44)/(Inputs!$B$44),0))),0)))&gt;=100),MIN(100,((Inputs!$B$9+((C504=TRUE)*(F504-Calc!F26))+B512+(ArtifactsInput!$M$24-ArtifactsInput!$M$24)*CHOOSE(ArtifactsInput!$N$24+1,10,12,14,16,18,20)+IF(ArtifactsInput!$M$10,CHOOSE(ArtifactsInput!$N$10+1,15,18,21,24,27,30)*(IF(Inputs!$B$39="pvp",MIN(15,15)/15,IF(AND(Inputs!$B$39&lt;&gt;"pvp",Inputs!$B$44&gt;0),MIN(15,Inputs!$B$44)/(Inputs!$B$44),0))),0)))-100),0))*CHOOSE(ArtifactsInput!$N$42+1,0.6,0.72,0.84,0.96,1.08,1.2))),Inputs!$B$18+((C507=TRUE)*(F507-Calc!F29))+(IF(AND(Inputs!$B$39&lt;&gt;"pvp",Inputs!$B$44=0),1,IF(IF(Inputs!$B$39="pvp",15,Inputs!$B$44)-(B523)&lt;=0,1,MAX(0,IF(Inputs!$B$39="pvp",15,Inputs!$B$44)-MAX(5,B523))/(IF(Inputs!$B$39="pvp",15,Inputs!$B$44)-(B523))))*IF(AND(ArtifactsInput!$M$42,((Inputs!$B$9+((C504=TRUE)*(F504-Calc!F26))+B512+(ArtifactsInput!$M$24-ArtifactsInput!$M$24)*CHOOSE(ArtifactsInput!$N$24+1,10,12,14,16,18,20)+IF(ArtifactsInput!$M$10,CHOOSE(ArtifactsInput!$N$10+1,15,18,21,24,27,30)*(IF(Inputs!$B$39="pvp",MIN(15,15)/15,IF(AND(Inputs!$B$39&lt;&gt;"pvp",Inputs!$B$44&gt;0),MIN(15,Inputs!$B$44)/(Inputs!$B$44),0))),0)))&gt;=100),CHOOSE(ArtifactsInput!$N$42+1,40,48,56,64,72,80),0))))/100)*(((1+(((C500=TRUE)*F500*IF(AND(Inputs!$B$39&lt;&gt;"pvp",Inputs!$B$44&gt;0),(((R500-1)*MIN((Skills!Y22*(1+Inputs!$B$34/100)),(1/Q500))+MIN((Skills!Y22*(1+Inputs!$B$34/100)),MAX(0,Inputs!$B$44-((R500-1)*(1/Q500)))))/Inputs!$B$44),IF(Inputs!$B$39="pvp",MIN((Skills!Y22*(1+Inputs!$B$34/100)),15)/15,MIN(1,(Skills!Y22*(1+Inputs!$B$34/100))/(1/Q500)))))+((C481=TRUE)*F481*3)+((C483=TRUE)*F483*(1-EXP(-0.75*B516*5)))+((C502=TRUE)*(F502-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489=TRUE)*F489*IF(AND(Inputs!$B$39&lt;&gt;"pvp",Inputs!$B$44&gt;0),(((R489-1)*MIN((Skills!Y11*(1+Inputs!$B$34/100)),(1/Q489))+MIN((Skills!Y11*(1+Inputs!$B$34/100)),MAX(0,Inputs!$B$44-((R489-1)*(1/Q489)))))/Inputs!$B$44),IF(Inputs!$B$39="pvp",MIN((Skills!Y11*(1+Inputs!$B$34/100)),15)/15,MIN(1,(Skills!Y11*(1+Inputs!$B$34/100))/(1/Q489)))))/100)*(1+((C494=TRUE)*F494*IF(AND(Inputs!$B$39&lt;&gt;"pvp",Inputs!$B$44&gt;0),(((R494-1)*MIN((Skills!Y16*(1+Inputs!$B$34/100)),(1/Q494))+MIN((Skills!Y16*(1+Inputs!$B$34/100)),MAX(0,Inputs!$B$44-((R494-1)*(1/Q494)))))/Inputs!$B$44),IF(Inputs!$B$39="pvp",MIN((Skills!Y16*(1+Inputs!$B$34/100)),15)/15,MIN(1,(Skills!Y16*(1+Inputs!$B$34/100))/(1/Q494)))))/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514*I490)</f>
        <v/>
      </c>
      <c r="L490">
        <f>K490*(MIN((Inputs!$B$22+1)+((C503=TRUE)*(F503-Calc!F25)),(Inputs!$B$23+((C508=TRUE)*(F508-Calc!F30))+IF(ArtifactsInput!$M$15,CHOOSE(ArtifactsInput!$N$15+1,25,30,35,40,45,50)/100*(Inputs!$B$11-Inputs!$B$11),0)))/100+(Inputs!$B$23+((C508=TRUE)*(F508-Calc!F30))+IF(ArtifactsInput!$M$15,CHOOSE(ArtifactsInput!$N$15+1,25,30,35,40,45,50)/100*(Inputs!$B$11-Inputs!$B$11),0))/100)/2</f>
        <v/>
      </c>
      <c r="M490">
        <f>L490*(1+(Inputs!$B$10+((C505=TRUE)*(F505-Calc!F27))+B519+(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490">
        <f>L490*(1-MIN((Inputs!$B$9+((C504=TRUE)*(F504-Calc!F26))+B512+(ArtifactsInput!$M$24-ArtifactsInput!$M$24)*CHOOSE(ArtifactsInput!$N$24+1,10,12,14,16,18,20)+(IF(AND(Inputs!$B$39&lt;&gt;"pvp",Inputs!$B$44=0),1,IF(IF(Inputs!$B$39="pvp",15,Inputs!$B$44)-(B523)&lt;=0,1,MAX(0,IF(Inputs!$B$39="pvp",15,Inputs!$B$44)-MAX(5,B523))/(IF(Inputs!$B$39="pvp",15,Inputs!$B$44)-(B523))))*IF(AND(ArtifactsInput!$M$42,((Inputs!$B$9+((C504=TRUE)*(F504-Calc!F26))+B512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490*(MIN((Inputs!$B$9+((C504=TRUE)*(F504-Calc!F26))+B512+(ArtifactsInput!$M$24-ArtifactsInput!$M$24)*CHOOSE(ArtifactsInput!$N$24+1,10,12,14,16,18,20)+(IF(AND(Inputs!$B$39&lt;&gt;"pvp",Inputs!$B$44=0),1,IF(IF(Inputs!$B$39="pvp",15,Inputs!$B$44)-(B523)&lt;=0,1,MAX(0,IF(Inputs!$B$39="pvp",15,Inputs!$B$44)-MAX(5,B523))/(IF(Inputs!$B$39="pvp",15,Inputs!$B$44)-(B523))))*IF(AND(ArtifactsInput!$M$42,((Inputs!$B$9+((C504=TRUE)*(F504-Calc!F26))+B512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490">
        <f>(1-Summary!$B$11)*T490+Summary!$B$11*V490</f>
        <v/>
      </c>
      <c r="P490">
        <f>IF(B524=0,0,O490/B524)</f>
        <v/>
      </c>
      <c r="Q490">
        <f>IFERROR(1/IF(Inputs!$B$39="pvp",15,MAX(0.1,Skills!D12-IF(TRUE=TRUE,Inputs!$B$32,0))),0)</f>
        <v/>
      </c>
      <c r="R490">
        <f>IF(AND(Inputs!$B$39&lt;&gt;"pvp",Inputs!$B$44&gt;0),IF(MAX(0,Inputs!$B$44-B523)&lt;=0,0,(INT(MAX(0,Inputs!$B$44-B523)/IF(Inputs!$B$39="pvp",15,MAX(0.1,Skills!D12-IF(TRUE=TRUE,Inputs!$B$32,0))))+1)),0)</f>
        <v/>
      </c>
      <c r="S490">
        <f>IFERROR(O490/N490,0)</f>
        <v/>
      </c>
      <c r="T490">
        <f>IF(C490,(H490*N490*IF(AND(Inputs!$B$39&lt;&gt;"pvp",Inputs!$B$44&gt;0),((Skills!G12*((R490-1)*IF(Skills!H12&gt;0,Skills!I12/Skills!H12,1)+IF(Skills!H12&gt;0,MIN(Skills!I12,MAX(0,MAX(0,Inputs!$B$44-B523)-((R490-1)*IF(Inputs!$B$39="pvp",15,MAX(0.1,Skills!D12-IF(TRUE=TRUE,Inputs!$B$32,0))))))/Skills!H12,1)))/Inputs!$B$44),G490*Q490))*IF(Inputs!$B$39="pvp",1,1+(Inputs!$B$20+0+Skills!P12+B513+(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Hunt"),CHOOSE(ArtifactsInput!$N$35+1,15,18,21,24,27,30)*(1-EXP(-(0.2*B516)*5)),0)+IF(AND(ArtifactsInput!$M$22,Inputs!$B$4&lt;&gt;"Chapter Hunt"),CHOOSE(ArtifactsInput!$N$22+1,10,12,14,16,18,20)*((0*(((0.15*B516*5))^0/1)+1*(((0.15*B516*5))^1/1)+2*(((0.15*B516*5))^2/2)+3*(((0.15*B516*5))^3/6)+4*(((0.15*B516*5))^4/24)+5*(((0.15*B516*5))^5/120))/((((0.15*B516*5))^0/1)+(((0.15*B516*5))^1/1)+(((0.15*B516*5))^2/2)+(((0.15*B516*5))^3/6)+(((0.15*B516*5))^4/24)+(((0.15*B516*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490*(1-MIN(100,(Inputs!$B$9+((C504=TRUE)*(F504-Calc!F26))+B512+(ArtifactsInput!$M$24-ArtifactsInput!$M$24)*CHOOSE(ArtifactsInput!$N$24+1,10,12,14,16,18,20)+(IF(AND(Inputs!$B$39&lt;&gt;"pvp",Inputs!$B$44=0),1,IF(IF(Inputs!$B$39="pvp",15,Inputs!$B$44)-(B523)&lt;=0,1,MAX(0,IF(Inputs!$B$39="pvp",15,Inputs!$B$44)-MAX(5,B523))/(IF(Inputs!$B$39="pvp",15,Inputs!$B$44)-(B523))))*IF(AND(ArtifactsInput!$M$42,((Inputs!$B$9+((C504=TRUE)*(F504-Calc!F26))+B512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490*(MIN(100,(Inputs!$B$9+((C504=TRUE)*(F504-Calc!F26))+B512+(ArtifactsInput!$M$24-ArtifactsInput!$M$24)*CHOOSE(ArtifactsInput!$N$24+1,10,12,14,16,18,20)+(IF(AND(Inputs!$B$39&lt;&gt;"pvp",Inputs!$B$44=0),1,IF(IF(Inputs!$B$39="pvp",15,Inputs!$B$44)-(B523)&lt;=0,1,MAX(0,IF(Inputs!$B$39="pvp",15,Inputs!$B$44)-MAX(5,B523))/(IF(Inputs!$B$39="pvp",15,Inputs!$B$44)-(B523))))*IF(AND(ArtifactsInput!$M$42,((Inputs!$B$9+((C504=TRUE)*(F504-Calc!F26))+B512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490*(1-MIN(100,(Inputs!$B$9+((C504=TRUE)*(F504-Calc!F26))+B512+(ArtifactsInput!$M$24-ArtifactsInput!$M$24)*CHOOSE(ArtifactsInput!$N$24+1,10,12,14,16,18,20)+(IF(AND(Inputs!$B$39&lt;&gt;"pvp",Inputs!$B$44=0),1,IF(IF(Inputs!$B$39="pvp",15,Inputs!$B$44)-(B523)&lt;=0,1,MAX(0,IF(Inputs!$B$39="pvp",15,Inputs!$B$44)-MAX(5,B523))/(IF(Inputs!$B$39="pvp",15,Inputs!$B$44)-(B523))))*IF(AND(ArtifactsInput!$M$42,((Inputs!$B$9+((C504=TRUE)*(F504-Calc!F26))+B512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490*(MIN(100,(Inputs!$B$9+((C504=TRUE)*(F504-Calc!F26))+B512+(ArtifactsInput!$M$24-ArtifactsInput!$M$24)*CHOOSE(ArtifactsInput!$N$24+1,10,12,14,16,18,20)+(IF(AND(Inputs!$B$39&lt;&gt;"pvp",Inputs!$B$44=0),1,IF(IF(Inputs!$B$39="pvp",15,Inputs!$B$44)-(B523)&lt;=0,1,MAX(0,IF(Inputs!$B$39="pvp",15,Inputs!$B$44)-MAX(5,B523))/(IF(Inputs!$B$39="pvp",15,Inputs!$B$44)-(B523))))*IF(AND(ArtifactsInput!$M$42,((Inputs!$B$9+((C504=TRUE)*(F504-Calc!F26))+B512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490">
        <f>IF(C490,(H490*N490*IF(AND(Inputs!$B$39&lt;&gt;"pvp",Inputs!$B$44&gt;0),((Skills!G12*((R490-1)*IF(Skills!H12&gt;0,Skills!I12/Skills!H12,1)+IF(Skills!H12&gt;0,MIN(Skills!I12,MAX(0,MAX(0,Inputs!$B$44-B523)-((R490-1)*IF(Inputs!$B$39="pvp",15,MAX(0.1,Skills!D12-IF(TRUE=TRUE,Inputs!$B$32,0))))))/Skills!H12,1)))/Inputs!$B$44),G490*Q490))*IF(Inputs!$B$39="pvp",1,(1+(Inputs!$B$21+Skills!Q12+B513+(IF(ArtifactsInput!$M$33,CHOOSE(ArtifactsInput!$N$33+1,30,36,42,48,54,60),0))+(IF(AND(ArtifactsInput!$M$35,Inputs!$B$4&lt;&gt;"Chapter Hunt"),CHOOSE(ArtifactsInput!$N$35+1,15,18,21,24,27,30)*(1-EXP(-(0.2*B516)*5)),0)+IF(AND(ArtifactsInput!$M$22,Inputs!$B$4&lt;&gt;"Chapter Hunt"),CHOOSE(ArtifactsInput!$N$22+1,10,12,14,16,18,20)*((0*(((0.15*B516*5))^0/1)+1*(((0.15*B516*5))^1/1)+2*(((0.15*B516*5))^2/2)+3*(((0.15*B516*5))^3/6)+4*(((0.15*B516*5))^4/24)+5*(((0.15*B516*5))^5/120))/((((0.15*B516*5))^0/1)+(((0.15*B516*5))^1/1)+(((0.15*B516*5))^2/2)+(((0.15*B516*5))^3/6)+(((0.15*B516*5))^4/24)+(((0.15*B516*5))^5/120))),0)))/100)*(MIN(Skills!W12,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491">
      <c r="A491">
        <f>Skills!A13</f>
        <v/>
      </c>
      <c r="B491">
        <f>Skills!B13</f>
        <v/>
      </c>
      <c r="C491">
        <f>Inputs!$B$3&gt;=105</f>
        <v/>
      </c>
      <c r="D491">
        <f>IF(Skills!C13=1,60+Inputs!$B$25+Inputs!$B$29,IF(Skills!C13=2,90+Inputs!$B$26+Inputs!$B$29,IF(Skills!C13=3,120+Inputs!$B$27+Inputs!$B$29,MAX(0,(Inputs!$B$3-100)*3)+Inputs!$B$28+Inputs!$B$29)))</f>
        <v/>
      </c>
      <c r="E491">
        <f>INDEX(FactorTable!$B$2:$Y$301, MATCH(ROUND(MIN(300,MAX(1,D491)),0), FactorTable!$A$2:$A$301,0), Skills!M13+1)</f>
        <v/>
      </c>
      <c r="F491">
        <f>IF(Skills!N13=TRUE,(Skills!L13/10)*(E491/1000),Skills!L13/10)+Skills!O13</f>
        <v/>
      </c>
      <c r="G491">
        <f>Skills!G13*IF(Skills!H13&gt;0,IF(Inputs!$B$39="pvp",MIN(Skills!I13,15),Skills!I13)/Skills!H13,1)</f>
        <v/>
      </c>
      <c r="H491">
        <f>1-(1-Skills!J13/100)^Skills!K13</f>
        <v/>
      </c>
      <c r="I491" t="inlineStr">
        <is>
          <t>1</t>
        </is>
      </c>
      <c r="J491">
        <f>((Inputs!$B$6*(1+Inputs!$B$7/100))+(((Inputs!$B$12*(1+Inputs!$B$13/100))-(Inputs!$B$12*(1+Inputs!$B$13/100)))+0.25*(Inputs!$B$14-Inputs!$B$14))*(1+Inputs!$B$7/100))*(F491/100)</f>
        <v/>
      </c>
      <c r="K491">
        <f>J491*(1+((Inputs!$B$12*(1+Inputs!$B$13/100))*0.01+Inputs!$B$14*0.0025)/100)*(1+Inputs!$B$15/100)*(1+Inputs!$B$16/100)*(5000/(6000+Inputs!$B$43*(1-(100*(1-(1-Inputs!$B$19/100)*(1-CHOOSE(ArtifactsInput!$N$40+1,5,6,7,8,9,10)/100)^(ArtifactsInput!$M$40-ArtifactsInput!$M$40)))/100)))*(1+(Inputs!$B$24+((C509=TRUE)*(F509-Calc!F31))+((C496=TRUE)*(F496-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13="CRUEL_STAB",Inputs!$B$17+((C506=TRUE)*(F506-Calc!F28))+((IF(AND(Inputs!$B$39&lt;&gt;"pvp",Inputs!$B$44=0),1,IF(IF(Inputs!$B$39="pvp",15,Inputs!$B$44)-(B523)&lt;=0,1,MAX(0,IF(Inputs!$B$39="pvp",15,Inputs!$B$44)-MAX(5,B523))/(IF(Inputs!$B$39="pvp",15,Inputs!$B$44)-(B523))))*(IF(AND(ArtifactsInput!$M$42,((Inputs!$B$9+((C504=TRUE)*(F504-Calc!F26))+B512+(ArtifactsInput!$M$24-ArtifactsInput!$M$24)*CHOOSE(ArtifactsInput!$N$24+1,10,12,14,16,18,20)+IF(ArtifactsInput!$M$10,CHOOSE(ArtifactsInput!$N$10+1,15,18,21,24,27,30)*(IF(Inputs!$B$39="pvp",MIN(15,15)/15,IF(AND(Inputs!$B$39&lt;&gt;"pvp",Inputs!$B$44&gt;0),MIN(15,Inputs!$B$44)/(Inputs!$B$44),0))),0)))&gt;=100),MIN(100,((Inputs!$B$9+((C504=TRUE)*(F504-Calc!F26))+B512+(ArtifactsInput!$M$24-ArtifactsInput!$M$24)*CHOOSE(ArtifactsInput!$N$24+1,10,12,14,16,18,20)+IF(ArtifactsInput!$M$10,CHOOSE(ArtifactsInput!$N$10+1,15,18,21,24,27,30)*(IF(Inputs!$B$39="pvp",MIN(15,15)/15,IF(AND(Inputs!$B$39&lt;&gt;"pvp",Inputs!$B$44&gt;0),MIN(15,Inputs!$B$44)/(Inputs!$B$44),0))),0)))-100),0))*CHOOSE(ArtifactsInput!$N$42+1,0.6,0.72,0.84,0.96,1.08,1.2))),Inputs!$B$18+((C507=TRUE)*(F507-Calc!F29))+(IF(AND(Inputs!$B$39&lt;&gt;"pvp",Inputs!$B$44=0),1,IF(IF(Inputs!$B$39="pvp",15,Inputs!$B$44)-(B523)&lt;=0,1,MAX(0,IF(Inputs!$B$39="pvp",15,Inputs!$B$44)-MAX(5,B523))/(IF(Inputs!$B$39="pvp",15,Inputs!$B$44)-(B523))))*IF(AND(ArtifactsInput!$M$42,((Inputs!$B$9+((C504=TRUE)*(F504-Calc!F26))+B512+(ArtifactsInput!$M$24-ArtifactsInput!$M$24)*CHOOSE(ArtifactsInput!$N$24+1,10,12,14,16,18,20)+IF(ArtifactsInput!$M$10,CHOOSE(ArtifactsInput!$N$10+1,15,18,21,24,27,30)*(IF(Inputs!$B$39="pvp",MIN(15,15)/15,IF(AND(Inputs!$B$39&lt;&gt;"pvp",Inputs!$B$44&gt;0),MIN(15,Inputs!$B$44)/(Inputs!$B$44),0))),0)))&gt;=100),CHOOSE(ArtifactsInput!$N$42+1,40,48,56,64,72,80),0))))/100)*(((1+(((C500=TRUE)*F500*IF(AND(Inputs!$B$39&lt;&gt;"pvp",Inputs!$B$44&gt;0),(((R500-1)*MIN((Skills!Y22*(1+Inputs!$B$34/100)),(1/Q500))+MIN((Skills!Y22*(1+Inputs!$B$34/100)),MAX(0,Inputs!$B$44-((R500-1)*(1/Q500)))))/Inputs!$B$44),IF(Inputs!$B$39="pvp",MIN((Skills!Y22*(1+Inputs!$B$34/100)),15)/15,MIN(1,(Skills!Y22*(1+Inputs!$B$34/100))/(1/Q500)))))+((C481=TRUE)*F481*3)+((C483=TRUE)*F483*(1-EXP(-0.75*B516*5)))+((C502=TRUE)*(F502-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489=TRUE)*F489*IF(AND(Inputs!$B$39&lt;&gt;"pvp",Inputs!$B$44&gt;0),(((R489-1)*MIN((Skills!Y11*(1+Inputs!$B$34/100)),(1/Q489))+MIN((Skills!Y11*(1+Inputs!$B$34/100)),MAX(0,Inputs!$B$44-((R489-1)*(1/Q489)))))/Inputs!$B$44),IF(Inputs!$B$39="pvp",MIN((Skills!Y11*(1+Inputs!$B$34/100)),15)/15,MIN(1,(Skills!Y11*(1+Inputs!$B$34/100))/(1/Q489)))))/100)*(1+((C494=TRUE)*F494*IF(AND(Inputs!$B$39&lt;&gt;"pvp",Inputs!$B$44&gt;0),(((R494-1)*MIN((Skills!Y16*(1+Inputs!$B$34/100)),(1/Q494))+MIN((Skills!Y16*(1+Inputs!$B$34/100)),MAX(0,Inputs!$B$44-((R494-1)*(1/Q494)))))/Inputs!$B$44),IF(Inputs!$B$39="pvp",MIN((Skills!Y16*(1+Inputs!$B$34/100)),15)/15,MIN(1,(Skills!Y16*(1+Inputs!$B$34/100))/(1/Q494)))))/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514*I491)</f>
        <v/>
      </c>
      <c r="L491">
        <f>K491*(MIN((Inputs!$B$22+1)+((C503=TRUE)*(F503-Calc!F25)),(Inputs!$B$23+((C508=TRUE)*(F508-Calc!F30))+IF(ArtifactsInput!$M$15,CHOOSE(ArtifactsInput!$N$15+1,25,30,35,40,45,50)/100*(Inputs!$B$11-Inputs!$B$11),0)))/100+(Inputs!$B$23+((C508=TRUE)*(F508-Calc!F30))+IF(ArtifactsInput!$M$15,CHOOSE(ArtifactsInput!$N$15+1,25,30,35,40,45,50)/100*(Inputs!$B$11-Inputs!$B$11),0))/100)/2</f>
        <v/>
      </c>
      <c r="M491">
        <f>L491*(1+(Inputs!$B$10+((C505=TRUE)*(F505-Calc!F27))+B519+(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491">
        <f>L491*(1-MIN((Inputs!$B$9+((C504=TRUE)*(F504-Calc!F26))+B512+(ArtifactsInput!$M$24-ArtifactsInput!$M$24)*CHOOSE(ArtifactsInput!$N$24+1,10,12,14,16,18,20)+(IF(AND(Inputs!$B$39&lt;&gt;"pvp",Inputs!$B$44=0),1,IF(IF(Inputs!$B$39="pvp",15,Inputs!$B$44)-(B523)&lt;=0,1,MAX(0,IF(Inputs!$B$39="pvp",15,Inputs!$B$44)-MAX(5,B523))/(IF(Inputs!$B$39="pvp",15,Inputs!$B$44)-(B523))))*IF(AND(ArtifactsInput!$M$42,((Inputs!$B$9+((C504=TRUE)*(F504-Calc!F26))+B512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491*(MIN((Inputs!$B$9+((C504=TRUE)*(F504-Calc!F26))+B512+(ArtifactsInput!$M$24-ArtifactsInput!$M$24)*CHOOSE(ArtifactsInput!$N$24+1,10,12,14,16,18,20)+(IF(AND(Inputs!$B$39&lt;&gt;"pvp",Inputs!$B$44=0),1,IF(IF(Inputs!$B$39="pvp",15,Inputs!$B$44)-(B523)&lt;=0,1,MAX(0,IF(Inputs!$B$39="pvp",15,Inputs!$B$44)-MAX(5,B523))/(IF(Inputs!$B$39="pvp",15,Inputs!$B$44)-(B523))))*IF(AND(ArtifactsInput!$M$42,((Inputs!$B$9+((C504=TRUE)*(F504-Calc!F26))+B512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491">
        <f>(1-Summary!$B$11)*T491+Summary!$B$11*V491</f>
        <v/>
      </c>
      <c r="P491">
        <f>IF(B524=0,0,O491/B524)</f>
        <v/>
      </c>
      <c r="Q491">
        <f>IFERROR(1/IF(Inputs!$B$39="pvp",15,MAX(0.1,Skills!D13-IF(TRUE=TRUE,Inputs!$B$32,0))),0)</f>
        <v/>
      </c>
      <c r="R491">
        <f>IF(AND(Inputs!$B$39&lt;&gt;"pvp",Inputs!$B$44&gt;0),IF(MAX(0,Inputs!$B$44-B523)&lt;=0,0,(INT(MAX(0,Inputs!$B$44-B523)/IF(Inputs!$B$39="pvp",15,MAX(0.1,Skills!D13-IF(TRUE=TRUE,Inputs!$B$32,0))))+1)),0)</f>
        <v/>
      </c>
      <c r="S491">
        <f>IFERROR(O491/N491,0)</f>
        <v/>
      </c>
      <c r="T491">
        <f>IF(C491,(H491*N491*IF(AND(Inputs!$B$39&lt;&gt;"pvp",Inputs!$B$44&gt;0),((Skills!G13*((R491-1)*IF(Skills!H13&gt;0,Skills!I13/Skills!H13,1)+IF(Skills!H13&gt;0,MIN(Skills!I13,MAX(0,MAX(0,Inputs!$B$44-B523)-((R491-1)*IF(Inputs!$B$39="pvp",15,MAX(0.1,Skills!D13-IF(TRUE=TRUE,Inputs!$B$32,0))))))/Skills!H13,1)))/Inputs!$B$44),G491*Q491))*IF(Inputs!$B$39="pvp",1,1+(Inputs!$B$20+0+Skills!P13+B513+(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Hunt"),CHOOSE(ArtifactsInput!$N$35+1,15,18,21,24,27,30)*(1-EXP(-(0.2*B516)*5)),0)+IF(AND(ArtifactsInput!$M$22,Inputs!$B$4&lt;&gt;"Chapter Hunt"),CHOOSE(ArtifactsInput!$N$22+1,10,12,14,16,18,20)*((0*(((0.15*B516*5))^0/1)+1*(((0.15*B516*5))^1/1)+2*(((0.15*B516*5))^2/2)+3*(((0.15*B516*5))^3/6)+4*(((0.15*B516*5))^4/24)+5*(((0.15*B516*5))^5/120))/((((0.15*B516*5))^0/1)+(((0.15*B516*5))^1/1)+(((0.15*B516*5))^2/2)+(((0.15*B516*5))^3/6)+(((0.15*B516*5))^4/24)+(((0.15*B516*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491*(1-MIN(100,(Inputs!$B$9+((C504=TRUE)*(F504-Calc!F26))+B512+(ArtifactsInput!$M$24-ArtifactsInput!$M$24)*CHOOSE(ArtifactsInput!$N$24+1,10,12,14,16,18,20)+(IF(AND(Inputs!$B$39&lt;&gt;"pvp",Inputs!$B$44=0),1,IF(IF(Inputs!$B$39="pvp",15,Inputs!$B$44)-(B523)&lt;=0,1,MAX(0,IF(Inputs!$B$39="pvp",15,Inputs!$B$44)-MAX(5,B523))/(IF(Inputs!$B$39="pvp",15,Inputs!$B$44)-(B523))))*IF(AND(ArtifactsInput!$M$42,((Inputs!$B$9+((C504=TRUE)*(F504-Calc!F26))+B512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491*(MIN(100,(Inputs!$B$9+((C504=TRUE)*(F504-Calc!F26))+B512+(ArtifactsInput!$M$24-ArtifactsInput!$M$24)*CHOOSE(ArtifactsInput!$N$24+1,10,12,14,16,18,20)+(IF(AND(Inputs!$B$39&lt;&gt;"pvp",Inputs!$B$44=0),1,IF(IF(Inputs!$B$39="pvp",15,Inputs!$B$44)-(B523)&lt;=0,1,MAX(0,IF(Inputs!$B$39="pvp",15,Inputs!$B$44)-MAX(5,B523))/(IF(Inputs!$B$39="pvp",15,Inputs!$B$44)-(B523))))*IF(AND(ArtifactsInput!$M$42,((Inputs!$B$9+((C504=TRUE)*(F504-Calc!F26))+B512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491*(1-MIN(100,(Inputs!$B$9+((C504=TRUE)*(F504-Calc!F26))+B512+(ArtifactsInput!$M$24-ArtifactsInput!$M$24)*CHOOSE(ArtifactsInput!$N$24+1,10,12,14,16,18,20)+(IF(AND(Inputs!$B$39&lt;&gt;"pvp",Inputs!$B$44=0),1,IF(IF(Inputs!$B$39="pvp",15,Inputs!$B$44)-(B523)&lt;=0,1,MAX(0,IF(Inputs!$B$39="pvp",15,Inputs!$B$44)-MAX(5,B523))/(IF(Inputs!$B$39="pvp",15,Inputs!$B$44)-(B523))))*IF(AND(ArtifactsInput!$M$42,((Inputs!$B$9+((C504=TRUE)*(F504-Calc!F26))+B512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491*(MIN(100,(Inputs!$B$9+((C504=TRUE)*(F504-Calc!F26))+B512+(ArtifactsInput!$M$24-ArtifactsInput!$M$24)*CHOOSE(ArtifactsInput!$N$24+1,10,12,14,16,18,20)+(IF(AND(Inputs!$B$39&lt;&gt;"pvp",Inputs!$B$44=0),1,IF(IF(Inputs!$B$39="pvp",15,Inputs!$B$44)-(B523)&lt;=0,1,MAX(0,IF(Inputs!$B$39="pvp",15,Inputs!$B$44)-MAX(5,B523))/(IF(Inputs!$B$39="pvp",15,Inputs!$B$44)-(B523))))*IF(AND(ArtifactsInput!$M$42,((Inputs!$B$9+((C504=TRUE)*(F504-Calc!F26))+B512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491">
        <f>IF(C491,(H491*N491*IF(AND(Inputs!$B$39&lt;&gt;"pvp",Inputs!$B$44&gt;0),((Skills!G13*((R491-1)*IF(Skills!H13&gt;0,Skills!I13/Skills!H13,1)+IF(Skills!H13&gt;0,MIN(Skills!I13,MAX(0,MAX(0,Inputs!$B$44-B523)-((R491-1)*IF(Inputs!$B$39="pvp",15,MAX(0.1,Skills!D13-IF(TRUE=TRUE,Inputs!$B$32,0))))))/Skills!H13,1)))/Inputs!$B$44),G491*Q491))*IF(Inputs!$B$39="pvp",1,(1+(Inputs!$B$21+Skills!Q13+B513+(IF(ArtifactsInput!$M$33,CHOOSE(ArtifactsInput!$N$33+1,30,36,42,48,54,60),0))+(IF(AND(ArtifactsInput!$M$35,Inputs!$B$4&lt;&gt;"Chapter Hunt"),CHOOSE(ArtifactsInput!$N$35+1,15,18,21,24,27,30)*(1-EXP(-(0.2*B516)*5)),0)+IF(AND(ArtifactsInput!$M$22,Inputs!$B$4&lt;&gt;"Chapter Hunt"),CHOOSE(ArtifactsInput!$N$22+1,10,12,14,16,18,20)*((0*(((0.15*B516*5))^0/1)+1*(((0.15*B516*5))^1/1)+2*(((0.15*B516*5))^2/2)+3*(((0.15*B516*5))^3/6)+4*(((0.15*B516*5))^4/24)+5*(((0.15*B516*5))^5/120))/((((0.15*B516*5))^0/1)+(((0.15*B516*5))^1/1)+(((0.15*B516*5))^2/2)+(((0.15*B516*5))^3/6)+(((0.15*B516*5))^4/24)+(((0.15*B516*5))^5/120))),0)))/100)*(MIN(Skills!W13,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492">
      <c r="A492">
        <f>Skills!A14</f>
        <v/>
      </c>
      <c r="B492">
        <f>Skills!B14</f>
        <v/>
      </c>
      <c r="C492">
        <f>Inputs!$B$3&gt;=105</f>
        <v/>
      </c>
      <c r="D492">
        <f>IF(Skills!C14=1,60+Inputs!$B$25+Inputs!$B$29,IF(Skills!C14=2,90+Inputs!$B$26+Inputs!$B$29,IF(Skills!C14=3,120+Inputs!$B$27+Inputs!$B$29,MAX(0,(Inputs!$B$3-100)*3)+Inputs!$B$28+Inputs!$B$29)))</f>
        <v/>
      </c>
      <c r="E492">
        <f>INDEX(FactorTable!$B$2:$Y$301, MATCH(ROUND(MIN(300,MAX(1,D492)),0), FactorTable!$A$2:$A$301,0), Skills!M14+1)</f>
        <v/>
      </c>
      <c r="F492">
        <f>IF(Skills!N14=TRUE,(Skills!L14/10)*(E492/1000),Skills!L14/10)+Skills!O14</f>
        <v/>
      </c>
      <c r="G492">
        <f>Skills!G14*IF(Skills!H14&gt;0,IF(Inputs!$B$39="pvp",MIN(Skills!I14,15),Skills!I14)/Skills!H14,1)</f>
        <v/>
      </c>
      <c r="H492">
        <f>1-(1-Skills!J14/100)^Skills!K14</f>
        <v/>
      </c>
      <c r="I492" t="inlineStr">
        <is>
          <t>1</t>
        </is>
      </c>
      <c r="J492">
        <f>((Inputs!$B$6*(1+Inputs!$B$7/100))+(((Inputs!$B$12*(1+Inputs!$B$13/100))-(Inputs!$B$12*(1+Inputs!$B$13/100)))+0.25*(Inputs!$B$14-Inputs!$B$14))*(1+Inputs!$B$7/100))*(F492/100)</f>
        <v/>
      </c>
      <c r="K492">
        <f>J492*(1+((Inputs!$B$12*(1+Inputs!$B$13/100))*0.01+Inputs!$B$14*0.0025)/100)*(1+Inputs!$B$15/100)*(1+Inputs!$B$16/100)*(5000/(6000+Inputs!$B$43*(1-(100*(1-(1-Inputs!$B$19/100)*(1-CHOOSE(ArtifactsInput!$N$40+1,5,6,7,8,9,10)/100)^(ArtifactsInput!$M$40-ArtifactsInput!$M$40)))/100)))*(1+(Inputs!$B$24+((C509=TRUE)*(F509-Calc!F31))+((C496=TRUE)*(F496-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14="CRUEL_STAB",Inputs!$B$17+((C506=TRUE)*(F506-Calc!F28))+((IF(AND(Inputs!$B$39&lt;&gt;"pvp",Inputs!$B$44=0),1,IF(IF(Inputs!$B$39="pvp",15,Inputs!$B$44)-(B523)&lt;=0,1,MAX(0,IF(Inputs!$B$39="pvp",15,Inputs!$B$44)-MAX(5,B523))/(IF(Inputs!$B$39="pvp",15,Inputs!$B$44)-(B523))))*(IF(AND(ArtifactsInput!$M$42,((Inputs!$B$9+((C504=TRUE)*(F504-Calc!F26))+B512+(ArtifactsInput!$M$24-ArtifactsInput!$M$24)*CHOOSE(ArtifactsInput!$N$24+1,10,12,14,16,18,20)+IF(ArtifactsInput!$M$10,CHOOSE(ArtifactsInput!$N$10+1,15,18,21,24,27,30)*(IF(Inputs!$B$39="pvp",MIN(15,15)/15,IF(AND(Inputs!$B$39&lt;&gt;"pvp",Inputs!$B$44&gt;0),MIN(15,Inputs!$B$44)/(Inputs!$B$44),0))),0)))&gt;=100),MIN(100,((Inputs!$B$9+((C504=TRUE)*(F504-Calc!F26))+B512+(ArtifactsInput!$M$24-ArtifactsInput!$M$24)*CHOOSE(ArtifactsInput!$N$24+1,10,12,14,16,18,20)+IF(ArtifactsInput!$M$10,CHOOSE(ArtifactsInput!$N$10+1,15,18,21,24,27,30)*(IF(Inputs!$B$39="pvp",MIN(15,15)/15,IF(AND(Inputs!$B$39&lt;&gt;"pvp",Inputs!$B$44&gt;0),MIN(15,Inputs!$B$44)/(Inputs!$B$44),0))),0)))-100),0))*CHOOSE(ArtifactsInput!$N$42+1,0.6,0.72,0.84,0.96,1.08,1.2))),Inputs!$B$18+((C507=TRUE)*(F507-Calc!F29))+(IF(AND(Inputs!$B$39&lt;&gt;"pvp",Inputs!$B$44=0),1,IF(IF(Inputs!$B$39="pvp",15,Inputs!$B$44)-(B523)&lt;=0,1,MAX(0,IF(Inputs!$B$39="pvp",15,Inputs!$B$44)-MAX(5,B523))/(IF(Inputs!$B$39="pvp",15,Inputs!$B$44)-(B523))))*IF(AND(ArtifactsInput!$M$42,((Inputs!$B$9+((C504=TRUE)*(F504-Calc!F26))+B512+(ArtifactsInput!$M$24-ArtifactsInput!$M$24)*CHOOSE(ArtifactsInput!$N$24+1,10,12,14,16,18,20)+IF(ArtifactsInput!$M$10,CHOOSE(ArtifactsInput!$N$10+1,15,18,21,24,27,30)*(IF(Inputs!$B$39="pvp",MIN(15,15)/15,IF(AND(Inputs!$B$39&lt;&gt;"pvp",Inputs!$B$44&gt;0),MIN(15,Inputs!$B$44)/(Inputs!$B$44),0))),0)))&gt;=100),CHOOSE(ArtifactsInput!$N$42+1,40,48,56,64,72,80),0))))/100)*(((1+(((C500=TRUE)*F500*IF(AND(Inputs!$B$39&lt;&gt;"pvp",Inputs!$B$44&gt;0),(((R500-1)*MIN((Skills!Y22*(1+Inputs!$B$34/100)),(1/Q500))+MIN((Skills!Y22*(1+Inputs!$B$34/100)),MAX(0,Inputs!$B$44-((R500-1)*(1/Q500)))))/Inputs!$B$44),IF(Inputs!$B$39="pvp",MIN((Skills!Y22*(1+Inputs!$B$34/100)),15)/15,MIN(1,(Skills!Y22*(1+Inputs!$B$34/100))/(1/Q500)))))+((C481=TRUE)*F481*3)+((C483=TRUE)*F483*(1-EXP(-0.75*B516*5)))+((C502=TRUE)*(F502-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489=TRUE)*F489*IF(AND(Inputs!$B$39&lt;&gt;"pvp",Inputs!$B$44&gt;0),(((R489-1)*MIN((Skills!Y11*(1+Inputs!$B$34/100)),(1/Q489))+MIN((Skills!Y11*(1+Inputs!$B$34/100)),MAX(0,Inputs!$B$44-((R489-1)*(1/Q489)))))/Inputs!$B$44),IF(Inputs!$B$39="pvp",MIN((Skills!Y11*(1+Inputs!$B$34/100)),15)/15,MIN(1,(Skills!Y11*(1+Inputs!$B$34/100))/(1/Q489)))))/100)*(1+((C494=TRUE)*F494*IF(AND(Inputs!$B$39&lt;&gt;"pvp",Inputs!$B$44&gt;0),(((R494-1)*MIN((Skills!Y16*(1+Inputs!$B$34/100)),(1/Q494))+MIN((Skills!Y16*(1+Inputs!$B$34/100)),MAX(0,Inputs!$B$44-((R494-1)*(1/Q494)))))/Inputs!$B$44),IF(Inputs!$B$39="pvp",MIN((Skills!Y16*(1+Inputs!$B$34/100)),15)/15,MIN(1,(Skills!Y16*(1+Inputs!$B$34/100))/(1/Q494)))))/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514*I492)</f>
        <v/>
      </c>
      <c r="L492">
        <f>K492*(MIN((Inputs!$B$22+1)+((C503=TRUE)*(F503-Calc!F25)),(Inputs!$B$23+((C508=TRUE)*(F508-Calc!F30))+IF(ArtifactsInput!$M$15,CHOOSE(ArtifactsInput!$N$15+1,25,30,35,40,45,50)/100*(Inputs!$B$11-Inputs!$B$11),0)))/100+(Inputs!$B$23+((C508=TRUE)*(F508-Calc!F30))+IF(ArtifactsInput!$M$15,CHOOSE(ArtifactsInput!$N$15+1,25,30,35,40,45,50)/100*(Inputs!$B$11-Inputs!$B$11),0))/100)/2</f>
        <v/>
      </c>
      <c r="M492">
        <f>L492*(1+(Inputs!$B$10+((C505=TRUE)*(F505-Calc!F27))+B519+(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492">
        <f>L492*(1-MIN((Inputs!$B$9+((C504=TRUE)*(F504-Calc!F26))+B512+(ArtifactsInput!$M$24-ArtifactsInput!$M$24)*CHOOSE(ArtifactsInput!$N$24+1,10,12,14,16,18,20)+(IF(AND(Inputs!$B$39&lt;&gt;"pvp",Inputs!$B$44=0),1,IF(IF(Inputs!$B$39="pvp",15,Inputs!$B$44)-(B523)&lt;=0,1,MAX(0,IF(Inputs!$B$39="pvp",15,Inputs!$B$44)-MAX(5,B523))/(IF(Inputs!$B$39="pvp",15,Inputs!$B$44)-(B523))))*IF(AND(ArtifactsInput!$M$42,((Inputs!$B$9+((C504=TRUE)*(F504-Calc!F26))+B512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492*(MIN((Inputs!$B$9+((C504=TRUE)*(F504-Calc!F26))+B512+(ArtifactsInput!$M$24-ArtifactsInput!$M$24)*CHOOSE(ArtifactsInput!$N$24+1,10,12,14,16,18,20)+(IF(AND(Inputs!$B$39&lt;&gt;"pvp",Inputs!$B$44=0),1,IF(IF(Inputs!$B$39="pvp",15,Inputs!$B$44)-(B523)&lt;=0,1,MAX(0,IF(Inputs!$B$39="pvp",15,Inputs!$B$44)-MAX(5,B523))/(IF(Inputs!$B$39="pvp",15,Inputs!$B$44)-(B523))))*IF(AND(ArtifactsInput!$M$42,((Inputs!$B$9+((C504=TRUE)*(F504-Calc!F26))+B512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492">
        <f>(1-Summary!$B$11)*T492+Summary!$B$11*V492</f>
        <v/>
      </c>
      <c r="P492">
        <f>IF(B524=0,0,O492/B524)</f>
        <v/>
      </c>
      <c r="Q492">
        <f>IFERROR(1/IF(Inputs!$B$39="pvp",15,MAX(0.1,Skills!D14-IF(TRUE=TRUE,Inputs!$B$32,0))),0)</f>
        <v/>
      </c>
      <c r="R492">
        <f>IF(AND(Inputs!$B$39&lt;&gt;"pvp",Inputs!$B$44&gt;0),IF(MAX(0,Inputs!$B$44-B523)&lt;=0,0,(INT(MAX(0,Inputs!$B$44-B523)/IF(Inputs!$B$39="pvp",15,MAX(0.1,Skills!D14-IF(TRUE=TRUE,Inputs!$B$32,0))))+1)),0)</f>
        <v/>
      </c>
      <c r="S492">
        <f>IFERROR(O492/N492,0)</f>
        <v/>
      </c>
      <c r="T492">
        <f>IF(C492,(H492*N492*IF(AND(Inputs!$B$39&lt;&gt;"pvp",Inputs!$B$44&gt;0),((Skills!G14*((R492-1)*IF(Skills!H14&gt;0,Skills!I14/Skills!H14,1)+IF(Skills!H14&gt;0,MIN(Skills!I14,MAX(0,MAX(0,Inputs!$B$44-B523)-((R492-1)*IF(Inputs!$B$39="pvp",15,MAX(0.1,Skills!D14-IF(TRUE=TRUE,Inputs!$B$32,0))))))/Skills!H14,1)))/Inputs!$B$44),G492*Q492))*IF(Inputs!$B$39="pvp",1,1+(Inputs!$B$20+0+Skills!P14+B513+(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Hunt"),CHOOSE(ArtifactsInput!$N$35+1,15,18,21,24,27,30)*(1-EXP(-(0.2*B516)*5)),0)+IF(AND(ArtifactsInput!$M$22,Inputs!$B$4&lt;&gt;"Chapter Hunt"),CHOOSE(ArtifactsInput!$N$22+1,10,12,14,16,18,20)*((0*(((0.15*B516*5))^0/1)+1*(((0.15*B516*5))^1/1)+2*(((0.15*B516*5))^2/2)+3*(((0.15*B516*5))^3/6)+4*(((0.15*B516*5))^4/24)+5*(((0.15*B516*5))^5/120))/((((0.15*B516*5))^0/1)+(((0.15*B516*5))^1/1)+(((0.15*B516*5))^2/2)+(((0.15*B516*5))^3/6)+(((0.15*B516*5))^4/24)+(((0.15*B516*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492*(1-MIN(100,(Inputs!$B$9+((C504=TRUE)*(F504-Calc!F26))+B512+(ArtifactsInput!$M$24-ArtifactsInput!$M$24)*CHOOSE(ArtifactsInput!$N$24+1,10,12,14,16,18,20)+(IF(AND(Inputs!$B$39&lt;&gt;"pvp",Inputs!$B$44=0),1,IF(IF(Inputs!$B$39="pvp",15,Inputs!$B$44)-(B523)&lt;=0,1,MAX(0,IF(Inputs!$B$39="pvp",15,Inputs!$B$44)-MAX(5,B523))/(IF(Inputs!$B$39="pvp",15,Inputs!$B$44)-(B523))))*IF(AND(ArtifactsInput!$M$42,((Inputs!$B$9+((C504=TRUE)*(F504-Calc!F26))+B512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492*(MIN(100,(Inputs!$B$9+((C504=TRUE)*(F504-Calc!F26))+B512+(ArtifactsInput!$M$24-ArtifactsInput!$M$24)*CHOOSE(ArtifactsInput!$N$24+1,10,12,14,16,18,20)+(IF(AND(Inputs!$B$39&lt;&gt;"pvp",Inputs!$B$44=0),1,IF(IF(Inputs!$B$39="pvp",15,Inputs!$B$44)-(B523)&lt;=0,1,MAX(0,IF(Inputs!$B$39="pvp",15,Inputs!$B$44)-MAX(5,B523))/(IF(Inputs!$B$39="pvp",15,Inputs!$B$44)-(B523))))*IF(AND(ArtifactsInput!$M$42,((Inputs!$B$9+((C504=TRUE)*(F504-Calc!F26))+B512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492*(1-MIN(100,(Inputs!$B$9+((C504=TRUE)*(F504-Calc!F26))+B512+(ArtifactsInput!$M$24-ArtifactsInput!$M$24)*CHOOSE(ArtifactsInput!$N$24+1,10,12,14,16,18,20)+(IF(AND(Inputs!$B$39&lt;&gt;"pvp",Inputs!$B$44=0),1,IF(IF(Inputs!$B$39="pvp",15,Inputs!$B$44)-(B523)&lt;=0,1,MAX(0,IF(Inputs!$B$39="pvp",15,Inputs!$B$44)-MAX(5,B523))/(IF(Inputs!$B$39="pvp",15,Inputs!$B$44)-(B523))))*IF(AND(ArtifactsInput!$M$42,((Inputs!$B$9+((C504=TRUE)*(F504-Calc!F26))+B512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492*(MIN(100,(Inputs!$B$9+((C504=TRUE)*(F504-Calc!F26))+B512+(ArtifactsInput!$M$24-ArtifactsInput!$M$24)*CHOOSE(ArtifactsInput!$N$24+1,10,12,14,16,18,20)+(IF(AND(Inputs!$B$39&lt;&gt;"pvp",Inputs!$B$44=0),1,IF(IF(Inputs!$B$39="pvp",15,Inputs!$B$44)-(B523)&lt;=0,1,MAX(0,IF(Inputs!$B$39="pvp",15,Inputs!$B$44)-MAX(5,B523))/(IF(Inputs!$B$39="pvp",15,Inputs!$B$44)-(B523))))*IF(AND(ArtifactsInput!$M$42,((Inputs!$B$9+((C504=TRUE)*(F504-Calc!F26))+B512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492">
        <f>IF(C492,(H492*N492*IF(AND(Inputs!$B$39&lt;&gt;"pvp",Inputs!$B$44&gt;0),((Skills!G14*((R492-1)*IF(Skills!H14&gt;0,Skills!I14/Skills!H14,1)+IF(Skills!H14&gt;0,MIN(Skills!I14,MAX(0,MAX(0,Inputs!$B$44-B523)-((R492-1)*IF(Inputs!$B$39="pvp",15,MAX(0.1,Skills!D14-IF(TRUE=TRUE,Inputs!$B$32,0))))))/Skills!H14,1)))/Inputs!$B$44),G492*Q492))*IF(Inputs!$B$39="pvp",1,(1+(Inputs!$B$21+Skills!Q14+B513+(IF(ArtifactsInput!$M$33,CHOOSE(ArtifactsInput!$N$33+1,30,36,42,48,54,60),0))+(IF(AND(ArtifactsInput!$M$35,Inputs!$B$4&lt;&gt;"Chapter Hunt"),CHOOSE(ArtifactsInput!$N$35+1,15,18,21,24,27,30)*(1-EXP(-(0.2*B516)*5)),0)+IF(AND(ArtifactsInput!$M$22,Inputs!$B$4&lt;&gt;"Chapter Hunt"),CHOOSE(ArtifactsInput!$N$22+1,10,12,14,16,18,20)*((0*(((0.15*B516*5))^0/1)+1*(((0.15*B516*5))^1/1)+2*(((0.15*B516*5))^2/2)+3*(((0.15*B516*5))^3/6)+4*(((0.15*B516*5))^4/24)+5*(((0.15*B516*5))^5/120))/((((0.15*B516*5))^0/1)+(((0.15*B516*5))^1/1)+(((0.15*B516*5))^2/2)+(((0.15*B516*5))^3/6)+(((0.15*B516*5))^4/24)+(((0.15*B516*5))^5/120))),0)))/100)*(MIN(Skills!W14,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493">
      <c r="A493">
        <f>Skills!A15</f>
        <v/>
      </c>
      <c r="B493">
        <f>Skills!B15</f>
        <v/>
      </c>
      <c r="C493">
        <f>Inputs!$B$3&gt;=107</f>
        <v/>
      </c>
      <c r="D493">
        <f>IF(Skills!C15=1,60+Inputs!$B$25+Inputs!$B$29,IF(Skills!C15=2,90+Inputs!$B$26+Inputs!$B$29,IF(Skills!C15=3,120+Inputs!$B$27+Inputs!$B$29,MAX(0,(Inputs!$B$3-100)*3)+Inputs!$B$28+Inputs!$B$29)))</f>
        <v/>
      </c>
      <c r="E493">
        <f>INDEX(FactorTable!$B$2:$Y$301, MATCH(ROUND(MIN(300,MAX(1,D493)),0), FactorTable!$A$2:$A$301,0), Skills!M15+1)</f>
        <v/>
      </c>
      <c r="F493">
        <f>IF(Skills!N15=TRUE,(Skills!L15/10)*(E493/1000),Skills!L15/10)+Skills!O15</f>
        <v/>
      </c>
      <c r="G493">
        <f>Skills!G15*IF(Skills!H15&gt;0,IF(Inputs!$B$39="pvp",MIN(Skills!I15,15),Skills!I15)/Skills!H15,1)</f>
        <v/>
      </c>
      <c r="H493">
        <f>1-(1-Skills!J15/100)^Skills!K15</f>
        <v/>
      </c>
      <c r="I493" t="inlineStr">
        <is>
          <t>1</t>
        </is>
      </c>
      <c r="J493">
        <f>((Inputs!$B$6*(1+Inputs!$B$7/100))+(((Inputs!$B$12*(1+Inputs!$B$13/100))-(Inputs!$B$12*(1+Inputs!$B$13/100)))+0.25*(Inputs!$B$14-Inputs!$B$14))*(1+Inputs!$B$7/100))*(F493/100)</f>
        <v/>
      </c>
      <c r="K493">
        <f>J493*(1+((Inputs!$B$12*(1+Inputs!$B$13/100))*0.01+Inputs!$B$14*0.0025)/100)*(1+Inputs!$B$15/100)*(1+Inputs!$B$16/100)*(5000/(6000+Inputs!$B$43*(1-(100*(1-(1-Inputs!$B$19/100)*(1-CHOOSE(ArtifactsInput!$N$40+1,5,6,7,8,9,10)/100)^(ArtifactsInput!$M$40-ArtifactsInput!$M$40)))/100)))*(1+(Inputs!$B$24+((C509=TRUE)*(F509-Calc!F31))+((C496=TRUE)*(F496-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15="CRUEL_STAB",Inputs!$B$17+((C506=TRUE)*(F506-Calc!F28))+((IF(AND(Inputs!$B$39&lt;&gt;"pvp",Inputs!$B$44=0),1,IF(IF(Inputs!$B$39="pvp",15,Inputs!$B$44)-(B523)&lt;=0,1,MAX(0,IF(Inputs!$B$39="pvp",15,Inputs!$B$44)-MAX(5,B523))/(IF(Inputs!$B$39="pvp",15,Inputs!$B$44)-(B523))))*(IF(AND(ArtifactsInput!$M$42,((Inputs!$B$9+((C504=TRUE)*(F504-Calc!F26))+B512+(ArtifactsInput!$M$24-ArtifactsInput!$M$24)*CHOOSE(ArtifactsInput!$N$24+1,10,12,14,16,18,20)+IF(ArtifactsInput!$M$10,CHOOSE(ArtifactsInput!$N$10+1,15,18,21,24,27,30)*(IF(Inputs!$B$39="pvp",MIN(15,15)/15,IF(AND(Inputs!$B$39&lt;&gt;"pvp",Inputs!$B$44&gt;0),MIN(15,Inputs!$B$44)/(Inputs!$B$44),0))),0)))&gt;=100),MIN(100,((Inputs!$B$9+((C504=TRUE)*(F504-Calc!F26))+B512+(ArtifactsInput!$M$24-ArtifactsInput!$M$24)*CHOOSE(ArtifactsInput!$N$24+1,10,12,14,16,18,20)+IF(ArtifactsInput!$M$10,CHOOSE(ArtifactsInput!$N$10+1,15,18,21,24,27,30)*(IF(Inputs!$B$39="pvp",MIN(15,15)/15,IF(AND(Inputs!$B$39&lt;&gt;"pvp",Inputs!$B$44&gt;0),MIN(15,Inputs!$B$44)/(Inputs!$B$44),0))),0)))-100),0))*CHOOSE(ArtifactsInput!$N$42+1,0.6,0.72,0.84,0.96,1.08,1.2))),Inputs!$B$18+((C507=TRUE)*(F507-Calc!F29))+(IF(AND(Inputs!$B$39&lt;&gt;"pvp",Inputs!$B$44=0),1,IF(IF(Inputs!$B$39="pvp",15,Inputs!$B$44)-(B523)&lt;=0,1,MAX(0,IF(Inputs!$B$39="pvp",15,Inputs!$B$44)-MAX(5,B523))/(IF(Inputs!$B$39="pvp",15,Inputs!$B$44)-(B523))))*IF(AND(ArtifactsInput!$M$42,((Inputs!$B$9+((C504=TRUE)*(F504-Calc!F26))+B512+(ArtifactsInput!$M$24-ArtifactsInput!$M$24)*CHOOSE(ArtifactsInput!$N$24+1,10,12,14,16,18,20)+IF(ArtifactsInput!$M$10,CHOOSE(ArtifactsInput!$N$10+1,15,18,21,24,27,30)*(IF(Inputs!$B$39="pvp",MIN(15,15)/15,IF(AND(Inputs!$B$39&lt;&gt;"pvp",Inputs!$B$44&gt;0),MIN(15,Inputs!$B$44)/(Inputs!$B$44),0))),0)))&gt;=100),CHOOSE(ArtifactsInput!$N$42+1,40,48,56,64,72,80),0))))/100)*(((1+(((C500=TRUE)*F500*IF(AND(Inputs!$B$39&lt;&gt;"pvp",Inputs!$B$44&gt;0),(((R500-1)*MIN((Skills!Y22*(1+Inputs!$B$34/100)),(1/Q500))+MIN((Skills!Y22*(1+Inputs!$B$34/100)),MAX(0,Inputs!$B$44-((R500-1)*(1/Q500)))))/Inputs!$B$44),IF(Inputs!$B$39="pvp",MIN((Skills!Y22*(1+Inputs!$B$34/100)),15)/15,MIN(1,(Skills!Y22*(1+Inputs!$B$34/100))/(1/Q500)))))+((C481=TRUE)*F481*3)+((C483=TRUE)*F483*(1-EXP(-0.75*B516*5)))+((C502=TRUE)*(F502-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489=TRUE)*F489*IF(AND(Inputs!$B$39&lt;&gt;"pvp",Inputs!$B$44&gt;0),(((R489-1)*MIN((Skills!Y11*(1+Inputs!$B$34/100)),(1/Q489))+MIN((Skills!Y11*(1+Inputs!$B$34/100)),MAX(0,Inputs!$B$44-((R489-1)*(1/Q489)))))/Inputs!$B$44),IF(Inputs!$B$39="pvp",MIN((Skills!Y11*(1+Inputs!$B$34/100)),15)/15,MIN(1,(Skills!Y11*(1+Inputs!$B$34/100))/(1/Q489)))))/100)*(1+((C494=TRUE)*F494*IF(AND(Inputs!$B$39&lt;&gt;"pvp",Inputs!$B$44&gt;0),(((R494-1)*MIN((Skills!Y16*(1+Inputs!$B$34/100)),(1/Q494))+MIN((Skills!Y16*(1+Inputs!$B$34/100)),MAX(0,Inputs!$B$44-((R494-1)*(1/Q494)))))/Inputs!$B$44),IF(Inputs!$B$39="pvp",MIN((Skills!Y16*(1+Inputs!$B$34/100)),15)/15,MIN(1,(Skills!Y16*(1+Inputs!$B$34/100))/(1/Q494)))))/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514*I493)</f>
        <v/>
      </c>
      <c r="L493">
        <f>K493*(MIN((Inputs!$B$22+1)+((C503=TRUE)*(F503-Calc!F25)),(Inputs!$B$23+((C508=TRUE)*(F508-Calc!F30))+IF(ArtifactsInput!$M$15,CHOOSE(ArtifactsInput!$N$15+1,25,30,35,40,45,50)/100*(Inputs!$B$11-Inputs!$B$11),0)))/100+(Inputs!$B$23+((C508=TRUE)*(F508-Calc!F30))+IF(ArtifactsInput!$M$15,CHOOSE(ArtifactsInput!$N$15+1,25,30,35,40,45,50)/100*(Inputs!$B$11-Inputs!$B$11),0))/100)/2</f>
        <v/>
      </c>
      <c r="M493">
        <f>L493*(1+(Inputs!$B$10+((C505=TRUE)*(F505-Calc!F27))+B519+(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493">
        <f>L493*(1-MIN((Inputs!$B$9+((C504=TRUE)*(F504-Calc!F26))+B512+(ArtifactsInput!$M$24-ArtifactsInput!$M$24)*CHOOSE(ArtifactsInput!$N$24+1,10,12,14,16,18,20)+(IF(AND(Inputs!$B$39&lt;&gt;"pvp",Inputs!$B$44=0),1,IF(IF(Inputs!$B$39="pvp",15,Inputs!$B$44)-(B523)&lt;=0,1,MAX(0,IF(Inputs!$B$39="pvp",15,Inputs!$B$44)-MAX(5,B523))/(IF(Inputs!$B$39="pvp",15,Inputs!$B$44)-(B523))))*IF(AND(ArtifactsInput!$M$42,((Inputs!$B$9+((C504=TRUE)*(F504-Calc!F26))+B512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493*(MIN((Inputs!$B$9+((C504=TRUE)*(F504-Calc!F26))+B512+(ArtifactsInput!$M$24-ArtifactsInput!$M$24)*CHOOSE(ArtifactsInput!$N$24+1,10,12,14,16,18,20)+(IF(AND(Inputs!$B$39&lt;&gt;"pvp",Inputs!$B$44=0),1,IF(IF(Inputs!$B$39="pvp",15,Inputs!$B$44)-(B523)&lt;=0,1,MAX(0,IF(Inputs!$B$39="pvp",15,Inputs!$B$44)-MAX(5,B523))/(IF(Inputs!$B$39="pvp",15,Inputs!$B$44)-(B523))))*IF(AND(ArtifactsInput!$M$42,((Inputs!$B$9+((C504=TRUE)*(F504-Calc!F26))+B512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493">
        <f>(1-Summary!$B$11)*T493+Summary!$B$11*V493</f>
        <v/>
      </c>
      <c r="P493">
        <f>IF(B524=0,0,O493/B524)</f>
        <v/>
      </c>
      <c r="Q493">
        <f>IFERROR(1/IF(Inputs!$B$39="pvp",15,MAX(0.1,Skills!D15-IF(TRUE=TRUE,Inputs!$B$32,0))),0)</f>
        <v/>
      </c>
      <c r="R493">
        <f>IF(AND(Inputs!$B$39&lt;&gt;"pvp",Inputs!$B$44&gt;0),IF(MAX(0,Inputs!$B$44-B523)&lt;=0,0,(INT(MAX(0,Inputs!$B$44-B523)/IF(Inputs!$B$39="pvp",15,MAX(0.1,Skills!D15-IF(TRUE=TRUE,Inputs!$B$32,0))))+1)),0)</f>
        <v/>
      </c>
      <c r="S493">
        <f>IFERROR(O493/N493,0)</f>
        <v/>
      </c>
      <c r="T493">
        <f>IF(C493,(H493*N493*IF(AND(Inputs!$B$39&lt;&gt;"pvp",Inputs!$B$44&gt;0),((Skills!G15*((R493-1)*IF(Skills!H15&gt;0,Skills!I15/Skills!H15,1)+IF(Skills!H15&gt;0,MIN(Skills!I15,MAX(0,MAX(0,Inputs!$B$44-B523)-((R493-1)*IF(Inputs!$B$39="pvp",15,MAX(0.1,Skills!D15-IF(TRUE=TRUE,Inputs!$B$32,0))))))/Skills!H15,1)))/Inputs!$B$44),G493*Q493))*IF(Inputs!$B$39="pvp",1,1+(Inputs!$B$20+0+Skills!P15+B513+(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Hunt"),CHOOSE(ArtifactsInput!$N$35+1,15,18,21,24,27,30)*(1-EXP(-(0.2*B516)*5)),0)+IF(AND(ArtifactsInput!$M$22,Inputs!$B$4&lt;&gt;"Chapter Hunt"),CHOOSE(ArtifactsInput!$N$22+1,10,12,14,16,18,20)*((0*(((0.15*B516*5))^0/1)+1*(((0.15*B516*5))^1/1)+2*(((0.15*B516*5))^2/2)+3*(((0.15*B516*5))^3/6)+4*(((0.15*B516*5))^4/24)+5*(((0.15*B516*5))^5/120))/((((0.15*B516*5))^0/1)+(((0.15*B516*5))^1/1)+(((0.15*B516*5))^2/2)+(((0.15*B516*5))^3/6)+(((0.15*B516*5))^4/24)+(((0.15*B516*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493*(1-MIN(100,(Inputs!$B$9+((C504=TRUE)*(F504-Calc!F26))+B512+(ArtifactsInput!$M$24-ArtifactsInput!$M$24)*CHOOSE(ArtifactsInput!$N$24+1,10,12,14,16,18,20)+(IF(AND(Inputs!$B$39&lt;&gt;"pvp",Inputs!$B$44=0),1,IF(IF(Inputs!$B$39="pvp",15,Inputs!$B$44)-(B523)&lt;=0,1,MAX(0,IF(Inputs!$B$39="pvp",15,Inputs!$B$44)-MAX(5,B523))/(IF(Inputs!$B$39="pvp",15,Inputs!$B$44)-(B523))))*IF(AND(ArtifactsInput!$M$42,((Inputs!$B$9+((C504=TRUE)*(F504-Calc!F26))+B512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493*(MIN(100,(Inputs!$B$9+((C504=TRUE)*(F504-Calc!F26))+B512+(ArtifactsInput!$M$24-ArtifactsInput!$M$24)*CHOOSE(ArtifactsInput!$N$24+1,10,12,14,16,18,20)+(IF(AND(Inputs!$B$39&lt;&gt;"pvp",Inputs!$B$44=0),1,IF(IF(Inputs!$B$39="pvp",15,Inputs!$B$44)-(B523)&lt;=0,1,MAX(0,IF(Inputs!$B$39="pvp",15,Inputs!$B$44)-MAX(5,B523))/(IF(Inputs!$B$39="pvp",15,Inputs!$B$44)-(B523))))*IF(AND(ArtifactsInput!$M$42,((Inputs!$B$9+((C504=TRUE)*(F504-Calc!F26))+B512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493*(1-MIN(100,(Inputs!$B$9+((C504=TRUE)*(F504-Calc!F26))+B512+(ArtifactsInput!$M$24-ArtifactsInput!$M$24)*CHOOSE(ArtifactsInput!$N$24+1,10,12,14,16,18,20)+(IF(AND(Inputs!$B$39&lt;&gt;"pvp",Inputs!$B$44=0),1,IF(IF(Inputs!$B$39="pvp",15,Inputs!$B$44)-(B523)&lt;=0,1,MAX(0,IF(Inputs!$B$39="pvp",15,Inputs!$B$44)-MAX(5,B523))/(IF(Inputs!$B$39="pvp",15,Inputs!$B$44)-(B523))))*IF(AND(ArtifactsInput!$M$42,((Inputs!$B$9+((C504=TRUE)*(F504-Calc!F26))+B512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493*(MIN(100,(Inputs!$B$9+((C504=TRUE)*(F504-Calc!F26))+B512+(ArtifactsInput!$M$24-ArtifactsInput!$M$24)*CHOOSE(ArtifactsInput!$N$24+1,10,12,14,16,18,20)+(IF(AND(Inputs!$B$39&lt;&gt;"pvp",Inputs!$B$44=0),1,IF(IF(Inputs!$B$39="pvp",15,Inputs!$B$44)-(B523)&lt;=0,1,MAX(0,IF(Inputs!$B$39="pvp",15,Inputs!$B$44)-MAX(5,B523))/(IF(Inputs!$B$39="pvp",15,Inputs!$B$44)-(B523))))*IF(AND(ArtifactsInput!$M$42,((Inputs!$B$9+((C504=TRUE)*(F504-Calc!F26))+B512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493">
        <f>IF(C493,(H493*N493*IF(AND(Inputs!$B$39&lt;&gt;"pvp",Inputs!$B$44&gt;0),((Skills!G15*((R493-1)*IF(Skills!H15&gt;0,Skills!I15/Skills!H15,1)+IF(Skills!H15&gt;0,MIN(Skills!I15,MAX(0,MAX(0,Inputs!$B$44-B523)-((R493-1)*IF(Inputs!$B$39="pvp",15,MAX(0.1,Skills!D15-IF(TRUE=TRUE,Inputs!$B$32,0))))))/Skills!H15,1)))/Inputs!$B$44),G493*Q493))*IF(Inputs!$B$39="pvp",1,(1+(Inputs!$B$21+Skills!Q15+B513+(IF(ArtifactsInput!$M$33,CHOOSE(ArtifactsInput!$N$33+1,30,36,42,48,54,60),0))+(IF(AND(ArtifactsInput!$M$35,Inputs!$B$4&lt;&gt;"Chapter Hunt"),CHOOSE(ArtifactsInput!$N$35+1,15,18,21,24,27,30)*(1-EXP(-(0.2*B516)*5)),0)+IF(AND(ArtifactsInput!$M$22,Inputs!$B$4&lt;&gt;"Chapter Hunt"),CHOOSE(ArtifactsInput!$N$22+1,10,12,14,16,18,20)*((0*(((0.15*B516*5))^0/1)+1*(((0.15*B516*5))^1/1)+2*(((0.15*B516*5))^2/2)+3*(((0.15*B516*5))^3/6)+4*(((0.15*B516*5))^4/24)+5*(((0.15*B516*5))^5/120))/((((0.15*B516*5))^0/1)+(((0.15*B516*5))^1/1)+(((0.15*B516*5))^2/2)+(((0.15*B516*5))^3/6)+(((0.15*B516*5))^4/24)+(((0.15*B516*5))^5/120))),0)))/100)*(MIN(MIN(5,0.5*IF(Inputs!$B$3&gt;=75,0.75,0.5)*B516*(1/Q482))*Skills!V15,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494">
      <c r="A494">
        <f>Skills!A16</f>
        <v/>
      </c>
      <c r="B494">
        <f>Skills!B16</f>
        <v/>
      </c>
      <c r="C494">
        <f>Inputs!$B$3&gt;=110</f>
        <v/>
      </c>
      <c r="D494">
        <f>IF(Skills!C16=1,60+Inputs!$B$25+Inputs!$B$29,IF(Skills!C16=2,90+Inputs!$B$26+Inputs!$B$29,IF(Skills!C16=3,120+Inputs!$B$27+Inputs!$B$29,MAX(0,(Inputs!$B$3-100)*3)+Inputs!$B$28+Inputs!$B$29)))</f>
        <v/>
      </c>
      <c r="E494">
        <f>INDEX(FactorTable!$B$2:$Y$301, MATCH(ROUND(MIN(300,MAX(1,D494)),0), FactorTable!$A$2:$A$301,0), Skills!M16+1)</f>
        <v/>
      </c>
      <c r="F494">
        <f>IF(Skills!N16=TRUE,(Skills!L16/10)*(E494/1000),Skills!L16/10)+Skills!O16</f>
        <v/>
      </c>
      <c r="G494">
        <f>Skills!G16*IF(Skills!H16&gt;0,IF(Inputs!$B$39="pvp",MIN(Skills!I16,15),Skills!I16)/Skills!H16,1)</f>
        <v/>
      </c>
      <c r="H494">
        <f>1-(1-Skills!J16/100)^Skills!K16</f>
        <v/>
      </c>
      <c r="I494" t="inlineStr">
        <is>
          <t>1</t>
        </is>
      </c>
      <c r="J494" t="inlineStr"/>
      <c r="K494" t="inlineStr"/>
      <c r="L494" t="inlineStr"/>
      <c r="M494" t="inlineStr"/>
      <c r="N494" t="inlineStr"/>
      <c r="O494">
        <f>(1-Summary!$B$11)*T494+Summary!$B$11*V494</f>
        <v/>
      </c>
      <c r="P494">
        <f>IF(B524=0,0,O494/B524)</f>
        <v/>
      </c>
      <c r="Q494">
        <f>IFERROR(1/IF(Inputs!$B$39="pvp",15,MAX(0.1,Skills!D16-IF(TRUE=TRUE,Inputs!$B$32,0))),0)</f>
        <v/>
      </c>
      <c r="R494">
        <f>IF(AND(Inputs!$B$39&lt;&gt;"pvp",Inputs!$B$44&gt;0),IF(Inputs!$B$44&lt;=0,0,(INT(Inputs!$B$44/IF(Inputs!$B$39="pvp",15,MAX(0.1,Skills!D16-IF(TRUE=TRUE,Inputs!$B$32,0))))+1)),0)</f>
        <v/>
      </c>
      <c r="S494">
        <f>IFERROR(O494/N494,0)</f>
        <v/>
      </c>
      <c r="T494" t="n">
        <v>0</v>
      </c>
      <c r="V494" t="n">
        <v>0</v>
      </c>
    </row>
    <row r="495">
      <c r="A495">
        <f>Skills!A17</f>
        <v/>
      </c>
      <c r="B495">
        <f>Skills!B17</f>
        <v/>
      </c>
      <c r="C495">
        <f>Inputs!$B$3&gt;=115</f>
        <v/>
      </c>
      <c r="D495">
        <f>IF(Skills!C17=1,60+Inputs!$B$25+Inputs!$B$29,IF(Skills!C17=2,90+Inputs!$B$26+Inputs!$B$29,IF(Skills!C17=3,120+Inputs!$B$27+Inputs!$B$29,MAX(0,(Inputs!$B$3-100)*3)+Inputs!$B$28+Inputs!$B$29)))</f>
        <v/>
      </c>
      <c r="E495">
        <f>INDEX(FactorTable!$B$2:$Y$301, MATCH(ROUND(MIN(300,MAX(1,D495)),0), FactorTable!$A$2:$A$301,0), Skills!M17+1)</f>
        <v/>
      </c>
      <c r="F495">
        <f>IF(Skills!N17=TRUE,(Skills!L17/10)*(E495/1000),Skills!L17/10)+Skills!O17</f>
        <v/>
      </c>
      <c r="G495">
        <f>Skills!G17*IF(Skills!H17&gt;0,IF(Inputs!$B$39="pvp",MIN(Skills!I17,15),Skills!I17)/Skills!H17,1)</f>
        <v/>
      </c>
      <c r="H495">
        <f>1-(1-Skills!J17/100)^Skills!K17</f>
        <v/>
      </c>
      <c r="I495" t="inlineStr">
        <is>
          <t>1</t>
        </is>
      </c>
      <c r="J495">
        <f>((Inputs!$B$6*(1+Inputs!$B$7/100))+(((Inputs!$B$12*(1+Inputs!$B$13/100))-(Inputs!$B$12*(1+Inputs!$B$13/100)))+0.25*(Inputs!$B$14-Inputs!$B$14))*(1+Inputs!$B$7/100))*(F495/100)</f>
        <v/>
      </c>
      <c r="K495">
        <f>J495*(1+((Inputs!$B$12*(1+Inputs!$B$13/100))*0.01+Inputs!$B$14*0.0025)/100)*(1+Inputs!$B$15/100)*(1+Inputs!$B$16/100)*(5000/(6000+Inputs!$B$43*(1-(100*(1-(1-Inputs!$B$19/100)*(1-CHOOSE(ArtifactsInput!$N$40+1,5,6,7,8,9,10)/100)^(ArtifactsInput!$M$40-ArtifactsInput!$M$40)))/100)))*(1+(Inputs!$B$24+((C509=TRUE)*(F509-Calc!F31))+((C496=TRUE)*(F496-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17="CRUEL_STAB",Inputs!$B$17+((C506=TRUE)*(F506-Calc!F28))+((IF(AND(Inputs!$B$39&lt;&gt;"pvp",Inputs!$B$44=0),1,IF(IF(Inputs!$B$39="pvp",15,Inputs!$B$44)-(B523)&lt;=0,1,MAX(0,IF(Inputs!$B$39="pvp",15,Inputs!$B$44)-MAX(5,B523))/(IF(Inputs!$B$39="pvp",15,Inputs!$B$44)-(B523))))*(IF(AND(ArtifactsInput!$M$42,((Inputs!$B$9+((C504=TRUE)*(F504-Calc!F26))+B512+(ArtifactsInput!$M$24-ArtifactsInput!$M$24)*CHOOSE(ArtifactsInput!$N$24+1,10,12,14,16,18,20)+IF(ArtifactsInput!$M$10,CHOOSE(ArtifactsInput!$N$10+1,15,18,21,24,27,30)*(IF(Inputs!$B$39="pvp",MIN(15,15)/15,IF(AND(Inputs!$B$39&lt;&gt;"pvp",Inputs!$B$44&gt;0),MIN(15,Inputs!$B$44)/(Inputs!$B$44),0))),0)))&gt;=100),MIN(100,((Inputs!$B$9+((C504=TRUE)*(F504-Calc!F26))+B512+(ArtifactsInput!$M$24-ArtifactsInput!$M$24)*CHOOSE(ArtifactsInput!$N$24+1,10,12,14,16,18,20)+IF(ArtifactsInput!$M$10,CHOOSE(ArtifactsInput!$N$10+1,15,18,21,24,27,30)*(IF(Inputs!$B$39="pvp",MIN(15,15)/15,IF(AND(Inputs!$B$39&lt;&gt;"pvp",Inputs!$B$44&gt;0),MIN(15,Inputs!$B$44)/(Inputs!$B$44),0))),0)))-100),0))*CHOOSE(ArtifactsInput!$N$42+1,0.6,0.72,0.84,0.96,1.08,1.2))),Inputs!$B$18+((C507=TRUE)*(F507-Calc!F29))+(IF(AND(Inputs!$B$39&lt;&gt;"pvp",Inputs!$B$44=0),1,IF(IF(Inputs!$B$39="pvp",15,Inputs!$B$44)-(B523)&lt;=0,1,MAX(0,IF(Inputs!$B$39="pvp",15,Inputs!$B$44)-MAX(5,B523))/(IF(Inputs!$B$39="pvp",15,Inputs!$B$44)-(B523))))*IF(AND(ArtifactsInput!$M$42,((Inputs!$B$9+((C504=TRUE)*(F504-Calc!F26))+B512+(ArtifactsInput!$M$24-ArtifactsInput!$M$24)*CHOOSE(ArtifactsInput!$N$24+1,10,12,14,16,18,20)+IF(ArtifactsInput!$M$10,CHOOSE(ArtifactsInput!$N$10+1,15,18,21,24,27,30)*(IF(Inputs!$B$39="pvp",MIN(15,15)/15,IF(AND(Inputs!$B$39&lt;&gt;"pvp",Inputs!$B$44&gt;0),MIN(15,Inputs!$B$44)/(Inputs!$B$44),0))),0)))&gt;=100),CHOOSE(ArtifactsInput!$N$42+1,40,48,56,64,72,80),0))))/100)*(((1+(((C500=TRUE)*F500*IF(AND(Inputs!$B$39&lt;&gt;"pvp",Inputs!$B$44&gt;0),(((R500-1)*MIN((Skills!Y22*(1+Inputs!$B$34/100)),(1/Q500))+MIN((Skills!Y22*(1+Inputs!$B$34/100)),MAX(0,Inputs!$B$44-((R500-1)*(1/Q500)))))/Inputs!$B$44),IF(Inputs!$B$39="pvp",MIN((Skills!Y22*(1+Inputs!$B$34/100)),15)/15,MIN(1,(Skills!Y22*(1+Inputs!$B$34/100))/(1/Q500)))))+((C481=TRUE)*F481*3)+((C483=TRUE)*F483*(1-EXP(-0.75*B516*5)))+((C502=TRUE)*(F502-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489=TRUE)*F489*IF(AND(Inputs!$B$39&lt;&gt;"pvp",Inputs!$B$44&gt;0),(((R489-1)*MIN((Skills!Y11*(1+Inputs!$B$34/100)),(1/Q489))+MIN((Skills!Y11*(1+Inputs!$B$34/100)),MAX(0,Inputs!$B$44-((R489-1)*(1/Q489)))))/Inputs!$B$44),IF(Inputs!$B$39="pvp",MIN((Skills!Y11*(1+Inputs!$B$34/100)),15)/15,MIN(1,(Skills!Y11*(1+Inputs!$B$34/100))/(1/Q489)))))/100)*(1+((C494=TRUE)*F494*IF(AND(Inputs!$B$39&lt;&gt;"pvp",Inputs!$B$44&gt;0),(((R494-1)*MIN((Skills!Y16*(1+Inputs!$B$34/100)),(1/Q494))+MIN((Skills!Y16*(1+Inputs!$B$34/100)),MAX(0,Inputs!$B$44-((R494-1)*(1/Q494)))))/Inputs!$B$44),IF(Inputs!$B$39="pvp",MIN((Skills!Y16*(1+Inputs!$B$34/100)),15)/15,MIN(1,(Skills!Y16*(1+Inputs!$B$34/100))/(1/Q494)))))/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514*I495)</f>
        <v/>
      </c>
      <c r="L495">
        <f>K495*(MIN((Inputs!$B$22+1)+((C503=TRUE)*(F503-Calc!F25)),(Inputs!$B$23+((C508=TRUE)*(F508-Calc!F30))+IF(ArtifactsInput!$M$15,CHOOSE(ArtifactsInput!$N$15+1,25,30,35,40,45,50)/100*(Inputs!$B$11-Inputs!$B$11),0)))/100+(Inputs!$B$23+((C508=TRUE)*(F508-Calc!F30))+IF(ArtifactsInput!$M$15,CHOOSE(ArtifactsInput!$N$15+1,25,30,35,40,45,50)/100*(Inputs!$B$11-Inputs!$B$11),0))/100)/2</f>
        <v/>
      </c>
      <c r="M495">
        <f>L495*(1+(Inputs!$B$10+((C505=TRUE)*(F505-Calc!F27))+B519+(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495">
        <f>L495*(1-MIN((Inputs!$B$9+((C504=TRUE)*(F504-Calc!F26))+B512+(ArtifactsInput!$M$24-ArtifactsInput!$M$24)*CHOOSE(ArtifactsInput!$N$24+1,10,12,14,16,18,20)+(IF(AND(Inputs!$B$39&lt;&gt;"pvp",Inputs!$B$44=0),1,IF(IF(Inputs!$B$39="pvp",15,Inputs!$B$44)-(B523)&lt;=0,1,MAX(0,IF(Inputs!$B$39="pvp",15,Inputs!$B$44)-MAX(5,B523))/(IF(Inputs!$B$39="pvp",15,Inputs!$B$44)-(B523))))*IF(AND(ArtifactsInput!$M$42,((Inputs!$B$9+((C504=TRUE)*(F504-Calc!F26))+B512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495*(MIN((Inputs!$B$9+((C504=TRUE)*(F504-Calc!F26))+B512+(ArtifactsInput!$M$24-ArtifactsInput!$M$24)*CHOOSE(ArtifactsInput!$N$24+1,10,12,14,16,18,20)+(IF(AND(Inputs!$B$39&lt;&gt;"pvp",Inputs!$B$44=0),1,IF(IF(Inputs!$B$39="pvp",15,Inputs!$B$44)-(B523)&lt;=0,1,MAX(0,IF(Inputs!$B$39="pvp",15,Inputs!$B$44)-MAX(5,B523))/(IF(Inputs!$B$39="pvp",15,Inputs!$B$44)-(B523))))*IF(AND(ArtifactsInput!$M$42,((Inputs!$B$9+((C504=TRUE)*(F504-Calc!F26))+B512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495">
        <f>(1-Summary!$B$11)*T495+Summary!$B$11*V495</f>
        <v/>
      </c>
      <c r="P495">
        <f>IF(B524=0,0,O495/B524)</f>
        <v/>
      </c>
      <c r="Q495" t="n">
        <v>0</v>
      </c>
      <c r="R495" t="n">
        <v>0</v>
      </c>
      <c r="S495">
        <f>IFERROR(O495/N495,0)</f>
        <v/>
      </c>
      <c r="T495">
        <f>IF(C495,(Inputs!$B$38*0.2*N495)*IF(Inputs!$B$39="pvp",1,1+(Inputs!$B$20+0+Skills!P17+B513+(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Hunt"),CHOOSE(ArtifactsInput!$N$35+1,15,18,21,24,27,30)*(1-EXP(-(0.2*B516)*5)),0)+IF(AND(ArtifactsInput!$M$22,Inputs!$B$4&lt;&gt;"Chapter Hunt"),CHOOSE(ArtifactsInput!$N$22+1,10,12,14,16,18,20)*((0*(((0.15*B516*5))^0/1)+1*(((0.15*B516*5))^1/1)+2*(((0.15*B516*5))^2/2)+3*(((0.15*B516*5))^3/6)+4*(((0.15*B516*5))^4/24)+5*(((0.15*B516*5))^5/120))/((((0.15*B516*5))^0/1)+(((0.15*B516*5))^1/1)+(((0.15*B516*5))^2/2)+(((0.15*B516*5))^3/6)+(((0.15*B516*5))^4/24)+(((0.15*B516*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495*(1-MIN(100,(Inputs!$B$9+((C504=TRUE)*(F504-Calc!F26))+B512+(ArtifactsInput!$M$24-ArtifactsInput!$M$24)*CHOOSE(ArtifactsInput!$N$24+1,10,12,14,16,18,20)+(IF(AND(Inputs!$B$39&lt;&gt;"pvp",Inputs!$B$44=0),1,IF(IF(Inputs!$B$39="pvp",15,Inputs!$B$44)-(B523)&lt;=0,1,MAX(0,IF(Inputs!$B$39="pvp",15,Inputs!$B$44)-MAX(5,B523))/(IF(Inputs!$B$39="pvp",15,Inputs!$B$44)-(B523))))*IF(AND(ArtifactsInput!$M$42,((Inputs!$B$9+((C504=TRUE)*(F504-Calc!F26))+B512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495*(MIN(100,(Inputs!$B$9+((C504=TRUE)*(F504-Calc!F26))+B512+(ArtifactsInput!$M$24-ArtifactsInput!$M$24)*CHOOSE(ArtifactsInput!$N$24+1,10,12,14,16,18,20)+(IF(AND(Inputs!$B$39&lt;&gt;"pvp",Inputs!$B$44=0),1,IF(IF(Inputs!$B$39="pvp",15,Inputs!$B$44)-(B523)&lt;=0,1,MAX(0,IF(Inputs!$B$39="pvp",15,Inputs!$B$44)-MAX(5,B523))/(IF(Inputs!$B$39="pvp",15,Inputs!$B$44)-(B523))))*IF(AND(ArtifactsInput!$M$42,((Inputs!$B$9+((C504=TRUE)*(F504-Calc!F26))+B512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495*(1-MIN(100,(Inputs!$B$9+((C504=TRUE)*(F504-Calc!F26))+B512+(ArtifactsInput!$M$24-ArtifactsInput!$M$24)*CHOOSE(ArtifactsInput!$N$24+1,10,12,14,16,18,20)+(IF(AND(Inputs!$B$39&lt;&gt;"pvp",Inputs!$B$44=0),1,IF(IF(Inputs!$B$39="pvp",15,Inputs!$B$44)-(B523)&lt;=0,1,MAX(0,IF(Inputs!$B$39="pvp",15,Inputs!$B$44)-MAX(5,B523))/(IF(Inputs!$B$39="pvp",15,Inputs!$B$44)-(B523))))*IF(AND(ArtifactsInput!$M$42,((Inputs!$B$9+((C504=TRUE)*(F504-Calc!F26))+B512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495*(MIN(100,(Inputs!$B$9+((C504=TRUE)*(F504-Calc!F26))+B512+(ArtifactsInput!$M$24-ArtifactsInput!$M$24)*CHOOSE(ArtifactsInput!$N$24+1,10,12,14,16,18,20)+(IF(AND(Inputs!$B$39&lt;&gt;"pvp",Inputs!$B$44=0),1,IF(IF(Inputs!$B$39="pvp",15,Inputs!$B$44)-(B523)&lt;=0,1,MAX(0,IF(Inputs!$B$39="pvp",15,Inputs!$B$44)-MAX(5,B523))/(IF(Inputs!$B$39="pvp",15,Inputs!$B$44)-(B523))))*IF(AND(ArtifactsInput!$M$42,((Inputs!$B$9+((C504=TRUE)*(F504-Calc!F26))+B512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495">
        <f>IF(C495,(Inputs!$B$38*0.2*N495)*IF(Inputs!$B$39="pvp",1,(1+(Inputs!$B$21+Skills!Q17+B513+(IF(ArtifactsInput!$M$33,CHOOSE(ArtifactsInput!$N$33+1,30,36,42,48,54,60),0))+(IF(AND(ArtifactsInput!$M$35,Inputs!$B$4&lt;&gt;"Chapter Hunt"),CHOOSE(ArtifactsInput!$N$35+1,15,18,21,24,27,30)*(1-EXP(-(0.2*B516)*5)),0)+IF(AND(ArtifactsInput!$M$22,Inputs!$B$4&lt;&gt;"Chapter Hunt"),CHOOSE(ArtifactsInput!$N$22+1,10,12,14,16,18,20)*((0*(((0.15*B516*5))^0/1)+1*(((0.15*B516*5))^1/1)+2*(((0.15*B516*5))^2/2)+3*(((0.15*B516*5))^3/6)+4*(((0.15*B516*5))^4/24)+5*(((0.15*B516*5))^5/120))/((((0.15*B516*5))^0/1)+(((0.15*B516*5))^1/1)+(((0.15*B516*5))^2/2)+(((0.15*B516*5))^3/6)+(((0.15*B516*5))^4/24)+(((0.15*B516*5))^5/120))),0)))/100)*(MIN(Skills!W17,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496">
      <c r="A496">
        <f>Skills!A18</f>
        <v/>
      </c>
      <c r="B496">
        <f>Skills!B18</f>
        <v/>
      </c>
      <c r="C496">
        <f>Inputs!$B$3&gt;=115</f>
        <v/>
      </c>
      <c r="D496">
        <f>IF(Skills!C18=1,60+Inputs!$B$25+Inputs!$B$29,IF(Skills!C18=2,90+Inputs!$B$26+Inputs!$B$29,IF(Skills!C18=3,120+Inputs!$B$27+Inputs!$B$29,MAX(0,(Inputs!$B$3-100)*3)+Inputs!$B$28+Inputs!$B$29)))</f>
        <v/>
      </c>
      <c r="E496">
        <f>INDEX(FactorTable!$B$2:$Y$301, MATCH(ROUND(MIN(300,MAX(1,D496)),0), FactorTable!$A$2:$A$301,0), Skills!M18+1)</f>
        <v/>
      </c>
      <c r="F496">
        <f>IF(Skills!N18=TRUE,(Skills!L18/10)*(E496/1000),Skills!L18/10)+Skills!O18</f>
        <v/>
      </c>
      <c r="G496">
        <f>Skills!G18*IF(Skills!H18&gt;0,IF(Inputs!$B$39="pvp",MIN(Skills!I18,15),Skills!I18)/Skills!H18,1)</f>
        <v/>
      </c>
      <c r="H496">
        <f>1-(1-Skills!J18/100)^Skills!K18</f>
        <v/>
      </c>
      <c r="I496" t="inlineStr">
        <is>
          <t>1</t>
        </is>
      </c>
      <c r="J496" t="inlineStr"/>
      <c r="K496" t="inlineStr"/>
      <c r="L496" t="inlineStr"/>
      <c r="M496" t="inlineStr"/>
      <c r="N496" t="inlineStr"/>
      <c r="O496">
        <f>(1-Summary!$B$11)*T496+Summary!$B$11*V496</f>
        <v/>
      </c>
      <c r="P496">
        <f>IF(B524=0,0,O496/B524)</f>
        <v/>
      </c>
      <c r="Q496" t="n">
        <v>0</v>
      </c>
      <c r="R496" t="n">
        <v>0</v>
      </c>
      <c r="S496">
        <f>IFERROR(O496/N496,0)</f>
        <v/>
      </c>
      <c r="T496" t="n">
        <v>0</v>
      </c>
      <c r="V496" t="n">
        <v>0</v>
      </c>
    </row>
    <row r="497">
      <c r="A497">
        <f>Skills!A19</f>
        <v/>
      </c>
      <c r="B497">
        <f>Skills!B19</f>
        <v/>
      </c>
      <c r="C497">
        <f>Inputs!$B$3&gt;=100</f>
        <v/>
      </c>
      <c r="D497">
        <f>IF(Skills!C19=1,60+Inputs!$B$25+Inputs!$B$29,IF(Skills!C19=2,90+Inputs!$B$26+Inputs!$B$29,IF(Skills!C19=3,120+Inputs!$B$27+Inputs!$B$29,MAX(0,(Inputs!$B$3-100)*3)+Inputs!$B$28+Inputs!$B$29)))</f>
        <v/>
      </c>
      <c r="E497">
        <f>INDEX(FactorTable!$B$2:$Y$301, MATCH(ROUND(MIN(300,MAX(1,D497)),0), FactorTable!$A$2:$A$301,0), Skills!M19+1)</f>
        <v/>
      </c>
      <c r="F497">
        <f>IF(Skills!N19=TRUE,(Skills!L19/10)*(E497/1000),Skills!L19/10)+Skills!O19</f>
        <v/>
      </c>
      <c r="G497">
        <f>Skills!G19*IF(Skills!H19&gt;0,IF(Inputs!$B$39="pvp",MIN(Skills!I19,15),Skills!I19)/Skills!H19,1)</f>
        <v/>
      </c>
      <c r="H497">
        <f>1-(1-Skills!J19/100)^Skills!K19</f>
        <v/>
      </c>
      <c r="I497" t="inlineStr">
        <is>
          <t>1</t>
        </is>
      </c>
      <c r="J497" t="inlineStr"/>
      <c r="K497" t="inlineStr"/>
      <c r="L497" t="inlineStr"/>
      <c r="M497" t="inlineStr"/>
      <c r="N497" t="inlineStr"/>
      <c r="O497">
        <f>(1-Summary!$B$11)*T497+Summary!$B$11*V497</f>
        <v/>
      </c>
      <c r="P497">
        <f>IF(B524=0,0,O497/B524)</f>
        <v/>
      </c>
      <c r="Q497" t="n">
        <v>0</v>
      </c>
      <c r="R497" t="n">
        <v>0</v>
      </c>
      <c r="S497">
        <f>IFERROR(O497/N497,0)</f>
        <v/>
      </c>
      <c r="T497" t="n">
        <v>0</v>
      </c>
      <c r="V497" t="n">
        <v>0</v>
      </c>
    </row>
    <row r="498">
      <c r="A498">
        <f>Skills!A20</f>
        <v/>
      </c>
      <c r="B498">
        <f>Skills!B20</f>
        <v/>
      </c>
      <c r="C498">
        <f>TRUE</f>
        <v/>
      </c>
      <c r="D498">
        <f>IF(Skills!C20=1,60+Inputs!$B$25+Inputs!$B$29,IF(Skills!C20=2,90+Inputs!$B$26+Inputs!$B$29,IF(Skills!C20=3,120+Inputs!$B$27+Inputs!$B$29,MAX(0,(Inputs!$B$3-100)*3)+Inputs!$B$28+Inputs!$B$29)))</f>
        <v/>
      </c>
      <c r="E498">
        <f>INDEX(FactorTable!$B$2:$Y$301, MATCH(ROUND(MIN(300,MAX(1,D498)),0), FactorTable!$A$2:$A$301,0), Skills!M20+1)</f>
        <v/>
      </c>
      <c r="F498">
        <f>IF(Skills!N20=TRUE,(Skills!L20/10)*(E498/1000),Skills!L20/10)+Skills!O20</f>
        <v/>
      </c>
      <c r="G498">
        <f>Skills!G20*IF(Skills!H20&gt;0,IF(Inputs!$B$39="pvp",MIN(Skills!I20,15),Skills!I20)/Skills!H20,1)</f>
        <v/>
      </c>
      <c r="H498">
        <f>1-(1-Skills!J20/100)^Skills!K20</f>
        <v/>
      </c>
      <c r="I498" t="inlineStr">
        <is>
          <t>1</t>
        </is>
      </c>
      <c r="J498" t="inlineStr"/>
      <c r="K498" t="inlineStr"/>
      <c r="L498" t="inlineStr"/>
      <c r="M498" t="inlineStr"/>
      <c r="N498" t="inlineStr"/>
      <c r="O498">
        <f>(1-Summary!$B$11)*T498+Summary!$B$11*V498</f>
        <v/>
      </c>
      <c r="P498">
        <f>IF(B524=0,0,O498/B524)</f>
        <v/>
      </c>
      <c r="Q498">
        <f>IFERROR(1/IF(Inputs!$B$39="pvp",15,MAX(0.1,Skills!D20-IF(TRUE=TRUE,Inputs!$B$32,0))),0)</f>
        <v/>
      </c>
      <c r="R498">
        <f>IF(AND(Inputs!$B$39&lt;&gt;"pvp",Inputs!$B$44&gt;0),IF(Inputs!$B$44&lt;=0,0,(INT(Inputs!$B$44/IF(Inputs!$B$39="pvp",15,MAX(0.1,Skills!D20-IF(TRUE=TRUE,Inputs!$B$32,0))))+1)),0)</f>
        <v/>
      </c>
      <c r="S498">
        <f>IFERROR(O498/N498,0)</f>
        <v/>
      </c>
      <c r="T498" t="n">
        <v>0</v>
      </c>
      <c r="V498" t="n">
        <v>0</v>
      </c>
    </row>
    <row r="499">
      <c r="A499">
        <f>Skills!A21</f>
        <v/>
      </c>
      <c r="B499">
        <f>Skills!B21</f>
        <v/>
      </c>
      <c r="C499">
        <f>Inputs!$B$3&gt;=15</f>
        <v/>
      </c>
      <c r="D499">
        <f>IF(Skills!C21=1,60+Inputs!$B$25+Inputs!$B$29,IF(Skills!C21=2,90+Inputs!$B$26+Inputs!$B$29,IF(Skills!C21=3,120+Inputs!$B$27+Inputs!$B$29,MAX(0,(Inputs!$B$3-100)*3)+Inputs!$B$28+Inputs!$B$29)))</f>
        <v/>
      </c>
      <c r="E499">
        <f>INDEX(FactorTable!$B$2:$Y$301, MATCH(ROUND(MIN(300,MAX(1,D499)),0), FactorTable!$A$2:$A$301,0), Skills!M21+1)</f>
        <v/>
      </c>
      <c r="F499">
        <f>IF(Skills!N21=TRUE,(Skills!L21/10)*(E499/1000),Skills!L21/10)+Skills!O21</f>
        <v/>
      </c>
      <c r="G499">
        <f>Skills!G21*IF(Skills!H21&gt;0,IF(Inputs!$B$39="pvp",MIN(Skills!I21,15),Skills!I21)/Skills!H21,1)</f>
        <v/>
      </c>
      <c r="H499">
        <f>1-(1-Skills!J21/100)^Skills!K21</f>
        <v/>
      </c>
      <c r="I499" t="inlineStr">
        <is>
          <t>1</t>
        </is>
      </c>
      <c r="J499" t="inlineStr"/>
      <c r="K499" t="inlineStr"/>
      <c r="L499" t="inlineStr"/>
      <c r="M499" t="inlineStr"/>
      <c r="N499" t="inlineStr"/>
      <c r="O499">
        <f>(1-Summary!$B$11)*T499+Summary!$B$11*V499</f>
        <v/>
      </c>
      <c r="P499">
        <f>IF(B524=0,0,O499/B524)</f>
        <v/>
      </c>
      <c r="Q499">
        <f>IFERROR(1/IF(Inputs!$B$39="pvp",15,MAX(0.1,Skills!D21-IF(TRUE=TRUE,Inputs!$B$32,0))),0)</f>
        <v/>
      </c>
      <c r="R499">
        <f>IF(AND(Inputs!$B$39&lt;&gt;"pvp",Inputs!$B$44&gt;0),IF(Inputs!$B$44&lt;=0,0,(INT(Inputs!$B$44/IF(Inputs!$B$39="pvp",15,MAX(0.1,Skills!D21-IF(TRUE=TRUE,Inputs!$B$32,0))))+1)),0)</f>
        <v/>
      </c>
      <c r="S499">
        <f>IFERROR(O499/N499,0)</f>
        <v/>
      </c>
      <c r="T499" t="n">
        <v>0</v>
      </c>
      <c r="V499" t="n">
        <v>0</v>
      </c>
    </row>
    <row r="500">
      <c r="A500">
        <f>Skills!A22</f>
        <v/>
      </c>
      <c r="B500">
        <f>Skills!B22</f>
        <v/>
      </c>
      <c r="C500">
        <f>Inputs!$B$3&gt;=15</f>
        <v/>
      </c>
      <c r="D500">
        <f>IF(Skills!C22=1,60+Inputs!$B$25+Inputs!$B$29,IF(Skills!C22=2,90+Inputs!$B$26+Inputs!$B$29,IF(Skills!C22=3,120+Inputs!$B$27+Inputs!$B$29,MAX(0,(Inputs!$B$3-100)*3)+Inputs!$B$28+Inputs!$B$29)))</f>
        <v/>
      </c>
      <c r="E500">
        <f>INDEX(FactorTable!$B$2:$Y$301, MATCH(ROUND(MIN(300,MAX(1,D500)),0), FactorTable!$A$2:$A$301,0), Skills!M22+1)</f>
        <v/>
      </c>
      <c r="F500">
        <f>IF(Skills!N22=TRUE,(Skills!L22/10)*(E500/1000),Skills!L22/10)+Skills!O22</f>
        <v/>
      </c>
      <c r="G500">
        <f>Skills!G22*IF(Skills!H22&gt;0,IF(Inputs!$B$39="pvp",MIN(Skills!I22,15),Skills!I22)/Skills!H22,1)</f>
        <v/>
      </c>
      <c r="H500">
        <f>1-(1-Skills!J22/100)^Skills!K22</f>
        <v/>
      </c>
      <c r="I500" t="inlineStr">
        <is>
          <t>1</t>
        </is>
      </c>
      <c r="J500" t="inlineStr"/>
      <c r="K500" t="inlineStr"/>
      <c r="L500" t="inlineStr"/>
      <c r="M500" t="inlineStr"/>
      <c r="N500" t="inlineStr"/>
      <c r="O500">
        <f>(1-Summary!$B$11)*T500+Summary!$B$11*V500</f>
        <v/>
      </c>
      <c r="P500">
        <f>IF(B524=0,0,O500/B524)</f>
        <v/>
      </c>
      <c r="Q500">
        <f>IFERROR(1/IF(Inputs!$B$39="pvp",15,MAX(0.1,Skills!D22-IF(TRUE=TRUE,Inputs!$B$32,0))),0)</f>
        <v/>
      </c>
      <c r="R500">
        <f>IF(AND(Inputs!$B$39&lt;&gt;"pvp",Inputs!$B$44&gt;0),IF(Inputs!$B$44&lt;=0,0,(INT(Inputs!$B$44/IF(Inputs!$B$39="pvp",15,MAX(0.1,Skills!D22-IF(TRUE=TRUE,Inputs!$B$32,0))))+1)),0)</f>
        <v/>
      </c>
      <c r="S500">
        <f>IFERROR(O500/N500,0)</f>
        <v/>
      </c>
      <c r="T500" t="n">
        <v>0</v>
      </c>
      <c r="V500" t="n">
        <v>0</v>
      </c>
    </row>
    <row r="501">
      <c r="A501">
        <f>Skills!A23</f>
        <v/>
      </c>
      <c r="B501">
        <f>Skills!B23</f>
        <v/>
      </c>
      <c r="C501">
        <f>Inputs!$B$3&gt;=33</f>
        <v/>
      </c>
      <c r="D501">
        <f>IF(Skills!C23=1,60+Inputs!$B$25+Inputs!$B$29,IF(Skills!C23=2,90+Inputs!$B$26+Inputs!$B$29,IF(Skills!C23=3,120+Inputs!$B$27+Inputs!$B$29,MAX(0,(Inputs!$B$3-100)*3)+Inputs!$B$28+Inputs!$B$29)))</f>
        <v/>
      </c>
      <c r="E501">
        <f>INDEX(FactorTable!$B$2:$Y$301, MATCH(ROUND(MIN(300,MAX(1,D501)),0), FactorTable!$A$2:$A$301,0), Skills!M23+1)</f>
        <v/>
      </c>
      <c r="F501">
        <f>IF(Skills!N23=TRUE,(Skills!L23/10)*(E501/1000),Skills!L23/10)+Skills!O23</f>
        <v/>
      </c>
      <c r="G501">
        <f>Skills!G23*IF(Skills!H23&gt;0,IF(Inputs!$B$39="pvp",MIN(Skills!I23,15),Skills!I23)/Skills!H23,1)</f>
        <v/>
      </c>
      <c r="H501">
        <f>1-(1-Skills!J23/100)^Skills!K23</f>
        <v/>
      </c>
      <c r="I501" t="inlineStr">
        <is>
          <t>1</t>
        </is>
      </c>
      <c r="J501" t="inlineStr"/>
      <c r="K501" t="inlineStr"/>
      <c r="L501" t="inlineStr"/>
      <c r="M501" t="inlineStr"/>
      <c r="N501" t="inlineStr"/>
      <c r="O501">
        <f>(1-Summary!$B$11)*T501+Summary!$B$11*V501</f>
        <v/>
      </c>
      <c r="P501">
        <f>IF(B524=0,0,O501/B524)</f>
        <v/>
      </c>
      <c r="Q501" t="n">
        <v>0</v>
      </c>
      <c r="R501" t="n">
        <v>0</v>
      </c>
      <c r="S501">
        <f>IFERROR(O501/N501,0)</f>
        <v/>
      </c>
      <c r="T501" t="n">
        <v>0</v>
      </c>
      <c r="V501" t="n">
        <v>0</v>
      </c>
    </row>
    <row r="502">
      <c r="A502">
        <f>Skills!A24</f>
        <v/>
      </c>
      <c r="B502">
        <f>Skills!B24</f>
        <v/>
      </c>
      <c r="C502">
        <f>Inputs!$B$3&gt;=40</f>
        <v/>
      </c>
      <c r="D502">
        <f>IF(Skills!C24=1,60+Inputs!$B$25+Inputs!$B$29,IF(Skills!C24=2,90+Inputs!$B$26+Inputs!$B$29,IF(Skills!C24=3,120+Inputs!$B$27+Inputs!$B$29,MAX(0,(Inputs!$B$3-100)*3)+Inputs!$B$28+Inputs!$B$29)))</f>
        <v/>
      </c>
      <c r="E502">
        <f>INDEX(FactorTable!$B$2:$Y$301, MATCH(ROUND(MIN(300,MAX(1,D502)),0), FactorTable!$A$2:$A$301,0), Skills!M24+1)</f>
        <v/>
      </c>
      <c r="F502">
        <f>IF(Skills!N24=TRUE,(Skills!L24/10)*(E502/1000),Skills!L24/10)+Skills!O24</f>
        <v/>
      </c>
      <c r="G502">
        <f>Skills!G24*IF(Skills!H24&gt;0,IF(Inputs!$B$39="pvp",MIN(Skills!I24,15),Skills!I24)/Skills!H24,1)</f>
        <v/>
      </c>
      <c r="H502">
        <f>1-(1-Skills!J24/100)^Skills!K24</f>
        <v/>
      </c>
      <c r="I502" t="inlineStr">
        <is>
          <t>1</t>
        </is>
      </c>
      <c r="J502" t="inlineStr"/>
      <c r="K502" t="inlineStr"/>
      <c r="L502" t="inlineStr"/>
      <c r="M502" t="inlineStr"/>
      <c r="N502" t="inlineStr"/>
      <c r="O502">
        <f>(1-Summary!$B$11)*T502+Summary!$B$11*V502</f>
        <v/>
      </c>
      <c r="P502">
        <f>IF(B524=0,0,O502/B524)</f>
        <v/>
      </c>
      <c r="Q502" t="n">
        <v>0</v>
      </c>
      <c r="R502" t="n">
        <v>0</v>
      </c>
      <c r="S502">
        <f>IFERROR(O502/N502,0)</f>
        <v/>
      </c>
      <c r="T502" t="n">
        <v>0</v>
      </c>
      <c r="V502" t="n">
        <v>0</v>
      </c>
    </row>
    <row r="503">
      <c r="A503">
        <f>Skills!A25</f>
        <v/>
      </c>
      <c r="B503">
        <f>Skills!B25</f>
        <v/>
      </c>
      <c r="C503">
        <f>Inputs!$B$3&gt;=43</f>
        <v/>
      </c>
      <c r="D503">
        <f>IF(Skills!C25=1,60+Inputs!$B$25+Inputs!$B$29,IF(Skills!C25=2,90+Inputs!$B$26+Inputs!$B$29,IF(Skills!C25=3,120+Inputs!$B$27+Inputs!$B$29,MAX(0,(Inputs!$B$3-100)*3)+Inputs!$B$28+Inputs!$B$29)))</f>
        <v/>
      </c>
      <c r="E503">
        <f>INDEX(FactorTable!$B$2:$Y$301, MATCH(ROUND(MIN(300,MAX(1,D503)),0), FactorTable!$A$2:$A$301,0), Skills!M25+1)</f>
        <v/>
      </c>
      <c r="F503">
        <f>IF(Skills!N25=TRUE,(Skills!L25/10)*(E503/1000),Skills!L25/10)+Skills!O25</f>
        <v/>
      </c>
      <c r="G503">
        <f>Skills!G25*IF(Skills!H25&gt;0,IF(Inputs!$B$39="pvp",MIN(Skills!I25,15),Skills!I25)/Skills!H25,1)</f>
        <v/>
      </c>
      <c r="H503">
        <f>1-(1-Skills!J25/100)^Skills!K25</f>
        <v/>
      </c>
      <c r="I503" t="inlineStr">
        <is>
          <t>1</t>
        </is>
      </c>
      <c r="J503" t="inlineStr"/>
      <c r="K503" t="inlineStr"/>
      <c r="L503" t="inlineStr"/>
      <c r="M503" t="inlineStr"/>
      <c r="N503" t="inlineStr"/>
      <c r="O503">
        <f>(1-Summary!$B$11)*T503+Summary!$B$11*V503</f>
        <v/>
      </c>
      <c r="P503">
        <f>IF(B524=0,0,O503/B524)</f>
        <v/>
      </c>
      <c r="Q503" t="n">
        <v>0</v>
      </c>
      <c r="R503" t="n">
        <v>0</v>
      </c>
      <c r="S503">
        <f>IFERROR(O503/N503,0)</f>
        <v/>
      </c>
      <c r="T503" t="n">
        <v>0</v>
      </c>
      <c r="V503" t="n">
        <v>0</v>
      </c>
    </row>
    <row r="504">
      <c r="A504">
        <f>Skills!A26</f>
        <v/>
      </c>
      <c r="B504">
        <f>Skills!B26</f>
        <v/>
      </c>
      <c r="C504">
        <f>Inputs!$B$3&gt;=50</f>
        <v/>
      </c>
      <c r="D504">
        <f>IF(Skills!C26=1,60+Inputs!$B$25+Inputs!$B$29,IF(Skills!C26=2,90+Inputs!$B$26+Inputs!$B$29,IF(Skills!C26=3,120+Inputs!$B$27+Inputs!$B$29,MAX(0,(Inputs!$B$3-100)*3)+Inputs!$B$28+Inputs!$B$29)))</f>
        <v/>
      </c>
      <c r="E504">
        <f>INDEX(FactorTable!$B$2:$Y$301, MATCH(ROUND(MIN(300,MAX(1,D504)),0), FactorTable!$A$2:$A$301,0), Skills!M26+1)</f>
        <v/>
      </c>
      <c r="F504">
        <f>IF(Skills!N26=TRUE,(Skills!L26/10)*(E504/1000),Skills!L26/10)+Skills!O26</f>
        <v/>
      </c>
      <c r="G504">
        <f>Skills!G26*IF(Skills!H26&gt;0,IF(Inputs!$B$39="pvp",MIN(Skills!I26,15),Skills!I26)/Skills!H26,1)</f>
        <v/>
      </c>
      <c r="H504">
        <f>1-(1-Skills!J26/100)^Skills!K26</f>
        <v/>
      </c>
      <c r="I504" t="inlineStr">
        <is>
          <t>1</t>
        </is>
      </c>
      <c r="J504" t="inlineStr"/>
      <c r="K504" t="inlineStr"/>
      <c r="L504" t="inlineStr"/>
      <c r="M504" t="inlineStr"/>
      <c r="N504" t="inlineStr"/>
      <c r="O504">
        <f>(1-Summary!$B$11)*T504+Summary!$B$11*V504</f>
        <v/>
      </c>
      <c r="P504">
        <f>IF(B524=0,0,O504/B524)</f>
        <v/>
      </c>
      <c r="Q504" t="n">
        <v>0</v>
      </c>
      <c r="R504" t="n">
        <v>0</v>
      </c>
      <c r="S504">
        <f>IFERROR(O504/N504,0)</f>
        <v/>
      </c>
      <c r="T504" t="n">
        <v>0</v>
      </c>
      <c r="V504" t="n">
        <v>0</v>
      </c>
    </row>
    <row r="505">
      <c r="A505">
        <f>Skills!A27</f>
        <v/>
      </c>
      <c r="B505">
        <f>Skills!B27</f>
        <v/>
      </c>
      <c r="C505">
        <f>Inputs!$B$3&gt;=50</f>
        <v/>
      </c>
      <c r="D505">
        <f>IF(Skills!C27=1,60+Inputs!$B$25+Inputs!$B$29,IF(Skills!C27=2,90+Inputs!$B$26+Inputs!$B$29,IF(Skills!C27=3,120+Inputs!$B$27+Inputs!$B$29,MAX(0,(Inputs!$B$3-100)*3)+Inputs!$B$28+Inputs!$B$29)))</f>
        <v/>
      </c>
      <c r="E505">
        <f>INDEX(FactorTable!$B$2:$Y$301, MATCH(ROUND(MIN(300,MAX(1,D505)),0), FactorTable!$A$2:$A$301,0), Skills!M27+1)</f>
        <v/>
      </c>
      <c r="F505">
        <f>IF(Skills!N27=TRUE,(Skills!L27/10)*(E505/1000),Skills!L27/10)+Skills!O27</f>
        <v/>
      </c>
      <c r="G505">
        <f>Skills!G27*IF(Skills!H27&gt;0,IF(Inputs!$B$39="pvp",MIN(Skills!I27,15),Skills!I27)/Skills!H27,1)</f>
        <v/>
      </c>
      <c r="H505">
        <f>1-(1-Skills!J27/100)^Skills!K27</f>
        <v/>
      </c>
      <c r="I505" t="inlineStr">
        <is>
          <t>1</t>
        </is>
      </c>
      <c r="J505" t="inlineStr"/>
      <c r="K505" t="inlineStr"/>
      <c r="L505" t="inlineStr"/>
      <c r="M505" t="inlineStr"/>
      <c r="N505" t="inlineStr"/>
      <c r="O505">
        <f>(1-Summary!$B$11)*T505+Summary!$B$11*V505</f>
        <v/>
      </c>
      <c r="P505">
        <f>IF(B524=0,0,O505/B524)</f>
        <v/>
      </c>
      <c r="Q505" t="n">
        <v>0</v>
      </c>
      <c r="R505" t="n">
        <v>0</v>
      </c>
      <c r="S505">
        <f>IFERROR(O505/N505,0)</f>
        <v/>
      </c>
      <c r="T505" t="n">
        <v>0</v>
      </c>
      <c r="V505" t="n">
        <v>0</v>
      </c>
    </row>
    <row r="506">
      <c r="A506">
        <f>Skills!A28</f>
        <v/>
      </c>
      <c r="B506">
        <f>Skills!B28</f>
        <v/>
      </c>
      <c r="C506">
        <f>Inputs!$B$3&gt;=38</f>
        <v/>
      </c>
      <c r="D506">
        <f>IF(Skills!C28=1,60+Inputs!$B$25+Inputs!$B$29,IF(Skills!C28=2,90+Inputs!$B$26+Inputs!$B$29,IF(Skills!C28=3,120+Inputs!$B$27+Inputs!$B$29,MAX(0,(Inputs!$B$3-100)*3)+Inputs!$B$28+Inputs!$B$29)))</f>
        <v/>
      </c>
      <c r="E506">
        <f>INDEX(FactorTable!$B$2:$Y$301, MATCH(ROUND(MIN(300,MAX(1,D506)),0), FactorTable!$A$2:$A$301,0), Skills!M28+1)</f>
        <v/>
      </c>
      <c r="F506">
        <f>IF(Skills!N28=TRUE,(Skills!L28/10)*(E506/1000),Skills!L28/10)+Skills!O28</f>
        <v/>
      </c>
      <c r="G506">
        <f>Skills!G28*IF(Skills!H28&gt;0,IF(Inputs!$B$39="pvp",MIN(Skills!I28,15),Skills!I28)/Skills!H28,1)</f>
        <v/>
      </c>
      <c r="H506">
        <f>1-(1-Skills!J28/100)^Skills!K28</f>
        <v/>
      </c>
      <c r="I506" t="inlineStr">
        <is>
          <t>1</t>
        </is>
      </c>
      <c r="J506" t="inlineStr"/>
      <c r="K506" t="inlineStr"/>
      <c r="L506" t="inlineStr"/>
      <c r="M506" t="inlineStr"/>
      <c r="N506" t="inlineStr"/>
      <c r="O506">
        <f>(1-Summary!$B$11)*T506+Summary!$B$11*V506</f>
        <v/>
      </c>
      <c r="P506">
        <f>IF(B524=0,0,O506/B524)</f>
        <v/>
      </c>
      <c r="Q506" t="n">
        <v>0</v>
      </c>
      <c r="R506" t="n">
        <v>0</v>
      </c>
      <c r="S506">
        <f>IFERROR(O506/N506,0)</f>
        <v/>
      </c>
      <c r="T506" t="n">
        <v>0</v>
      </c>
      <c r="V506" t="n">
        <v>0</v>
      </c>
    </row>
    <row r="507">
      <c r="A507">
        <f>Skills!A29</f>
        <v/>
      </c>
      <c r="B507">
        <f>Skills!B29</f>
        <v/>
      </c>
      <c r="C507">
        <f>Inputs!$B$3&gt;=120</f>
        <v/>
      </c>
      <c r="D507">
        <f>IF(Skills!C29=1,60+Inputs!$B$25+Inputs!$B$29,IF(Skills!C29=2,90+Inputs!$B$26+Inputs!$B$29,IF(Skills!C29=3,120+Inputs!$B$27+Inputs!$B$29,MAX(0,(Inputs!$B$3-100)*3)+Inputs!$B$28+Inputs!$B$29)))</f>
        <v/>
      </c>
      <c r="E507">
        <f>INDEX(FactorTable!$B$2:$Y$301, MATCH(ROUND(MIN(300,MAX(1,D507)),0), FactorTable!$A$2:$A$301,0), Skills!M29+1)</f>
        <v/>
      </c>
      <c r="F507">
        <f>IF(Skills!N29=TRUE,(Skills!L29/10)*(E507/1000),Skills!L29/10)+Skills!O29</f>
        <v/>
      </c>
      <c r="G507">
        <f>Skills!G29*IF(Skills!H29&gt;0,IF(Inputs!$B$39="pvp",MIN(Skills!I29,15),Skills!I29)/Skills!H29,1)</f>
        <v/>
      </c>
      <c r="H507">
        <f>1-(1-Skills!J29/100)^Skills!K29</f>
        <v/>
      </c>
      <c r="I507" t="inlineStr">
        <is>
          <t>1</t>
        </is>
      </c>
      <c r="J507" t="inlineStr"/>
      <c r="K507" t="inlineStr"/>
      <c r="L507" t="inlineStr"/>
      <c r="M507" t="inlineStr"/>
      <c r="N507" t="inlineStr"/>
      <c r="O507">
        <f>(1-Summary!$B$11)*T507+Summary!$B$11*V507</f>
        <v/>
      </c>
      <c r="P507">
        <f>IF(B524=0,0,O507/B524)</f>
        <v/>
      </c>
      <c r="Q507" t="n">
        <v>0</v>
      </c>
      <c r="R507" t="n">
        <v>0</v>
      </c>
      <c r="S507">
        <f>IFERROR(O507/N507,0)</f>
        <v/>
      </c>
      <c r="T507" t="n">
        <v>0</v>
      </c>
      <c r="V507" t="n">
        <v>0</v>
      </c>
    </row>
    <row r="508">
      <c r="A508">
        <f>Skills!A30</f>
        <v/>
      </c>
      <c r="B508">
        <f>Skills!B30</f>
        <v/>
      </c>
      <c r="C508">
        <f>Inputs!$B$3&gt;=120</f>
        <v/>
      </c>
      <c r="D508">
        <f>IF(Skills!C30=1,60+Inputs!$B$25+Inputs!$B$29,IF(Skills!C30=2,90+Inputs!$B$26+Inputs!$B$29,IF(Skills!C30=3,120+Inputs!$B$27+Inputs!$B$29,MAX(0,(Inputs!$B$3-100)*3)+Inputs!$B$28+Inputs!$B$29)))</f>
        <v/>
      </c>
      <c r="E508">
        <f>INDEX(FactorTable!$B$2:$Y$301, MATCH(ROUND(MIN(300,MAX(1,D508)),0), FactorTable!$A$2:$A$301,0), Skills!M30+1)</f>
        <v/>
      </c>
      <c r="F508">
        <f>IF(Skills!N30=TRUE,(Skills!L30/10)*(E508/1000),Skills!L30/10)+Skills!O30</f>
        <v/>
      </c>
      <c r="G508">
        <f>Skills!G30*IF(Skills!H30&gt;0,IF(Inputs!$B$39="pvp",MIN(Skills!I30,15),Skills!I30)/Skills!H30,1)</f>
        <v/>
      </c>
      <c r="H508">
        <f>1-(1-Skills!J30/100)^Skills!K30</f>
        <v/>
      </c>
      <c r="I508" t="inlineStr">
        <is>
          <t>1</t>
        </is>
      </c>
      <c r="J508" t="inlineStr"/>
      <c r="K508" t="inlineStr"/>
      <c r="L508" t="inlineStr"/>
      <c r="M508" t="inlineStr"/>
      <c r="N508" t="inlineStr"/>
      <c r="O508">
        <f>(1-Summary!$B$11)*T508+Summary!$B$11*V508</f>
        <v/>
      </c>
      <c r="P508">
        <f>IF(B524=0,0,O508/B524)</f>
        <v/>
      </c>
      <c r="Q508" t="n">
        <v>0</v>
      </c>
      <c r="R508" t="n">
        <v>0</v>
      </c>
      <c r="S508">
        <f>IFERROR(O508/N508,0)</f>
        <v/>
      </c>
      <c r="T508" t="n">
        <v>0</v>
      </c>
      <c r="V508" t="n">
        <v>0</v>
      </c>
    </row>
    <row r="509">
      <c r="A509">
        <f>Skills!A31</f>
        <v/>
      </c>
      <c r="B509">
        <f>Skills!B31</f>
        <v/>
      </c>
      <c r="C509">
        <f>Inputs!$B$3&gt;=125</f>
        <v/>
      </c>
      <c r="D509">
        <f>IF(Skills!C31=1,60+Inputs!$B$25+Inputs!$B$29,IF(Skills!C31=2,90+Inputs!$B$26+Inputs!$B$29,IF(Skills!C31=3,120+Inputs!$B$27+Inputs!$B$29,MAX(0,(Inputs!$B$3-100)*3)+Inputs!$B$28+Inputs!$B$29)))</f>
        <v/>
      </c>
      <c r="E509">
        <f>INDEX(FactorTable!$B$2:$Y$301, MATCH(ROUND(MIN(300,MAX(1,D509)),0), FactorTable!$A$2:$A$301,0), Skills!M31+1)</f>
        <v/>
      </c>
      <c r="F509">
        <f>IF(Skills!N31=TRUE,(Skills!L31/10)*(E509/1000),Skills!L31/10)+Skills!O31</f>
        <v/>
      </c>
      <c r="G509">
        <f>Skills!G31*IF(Skills!H31&gt;0,IF(Inputs!$B$39="pvp",MIN(Skills!I31,15),Skills!I31)/Skills!H31,1)</f>
        <v/>
      </c>
      <c r="H509">
        <f>1-(1-Skills!J31/100)^Skills!K31</f>
        <v/>
      </c>
      <c r="I509" t="inlineStr">
        <is>
          <t>1</t>
        </is>
      </c>
      <c r="J509" t="inlineStr"/>
      <c r="K509" t="inlineStr"/>
      <c r="L509" t="inlineStr"/>
      <c r="M509" t="inlineStr"/>
      <c r="N509" t="inlineStr"/>
      <c r="O509">
        <f>(1-Summary!$B$11)*T509+Summary!$B$11*V509</f>
        <v/>
      </c>
      <c r="P509">
        <f>IF(B524=0,0,O509/B524)</f>
        <v/>
      </c>
      <c r="Q509" t="n">
        <v>0</v>
      </c>
      <c r="R509" t="n">
        <v>0</v>
      </c>
      <c r="S509">
        <f>IFERROR(O509/N509,0)</f>
        <v/>
      </c>
      <c r="T509" t="n">
        <v>0</v>
      </c>
      <c r="V509" t="n">
        <v>0</v>
      </c>
    </row>
    <row r="511">
      <c r="A511" t="inlineStr">
        <is>
          <t>Average Buff Multiplier</t>
        </is>
      </c>
      <c r="B511">
        <f>(1+(((C500=TRUE)*F500*IF(AND(Inputs!$B$39&lt;&gt;"pvp",Inputs!$B$44&gt;0),(((R500-1)*MIN((Skills!Y22*(1+Inputs!$B$34/100)),(1/Q500))+MIN((Skills!Y22*(1+Inputs!$B$34/100)),MAX(0,Inputs!$B$44-((R500-1)*(1/Q500)))))/Inputs!$B$44),IF(Inputs!$B$39="pvp",MIN((Skills!Y22*(1+Inputs!$B$34/100)),15)/15,MIN(1,(Skills!Y22*(1+Inputs!$B$34/100))/(1/Q500)))))+((C481=TRUE)*F481*3)+((C483=TRUE)*F483*(1-EXP(-0.75*B516*5)))+((C502=TRUE)*(F502-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489=TRUE)*F489*IF(AND(Inputs!$B$39&lt;&gt;"pvp",Inputs!$B$44&gt;0),(((R489-1)*MIN((Skills!Y11*(1+Inputs!$B$34/100)),(1/Q489))+MIN((Skills!Y11*(1+Inputs!$B$34/100)),MAX(0,Inputs!$B$44-((R489-1)*(1/Q489)))))/Inputs!$B$44),IF(Inputs!$B$39="pvp",MIN((Skills!Y11*(1+Inputs!$B$34/100)),15)/15,MIN(1,(Skills!Y11*(1+Inputs!$B$34/100))/(1/Q489)))))/100)*(1+((C494=TRUE)*F494*IF(AND(Inputs!$B$39&lt;&gt;"pvp",Inputs!$B$44&gt;0),(((R494-1)*MIN((Skills!Y16*(1+Inputs!$B$34/100)),(1/Q494))+MIN((Skills!Y16*(1+Inputs!$B$34/100)),MAX(0,Inputs!$B$44-((R494-1)*(1/Q494)))))/Inputs!$B$44),IF(Inputs!$B$39="pvp",MIN((Skills!Y16*(1+Inputs!$B$34/100)),15)/15,MIN(1,(Skills!Y16*(1+Inputs!$B$34/100))/(1/Q494)))))/100)</f>
        <v/>
      </c>
    </row>
    <row r="512">
      <c r="A512" t="inlineStr">
        <is>
          <t>Global Crit Rate Bonus %</t>
        </is>
      </c>
      <c r="B512">
        <f>((C499=TRUE)*F499*IF(AND(Inputs!$B$39&lt;&gt;"pvp",Inputs!$B$44&gt;0),(((R499-1)*MIN((Skills!Y21*(1+Inputs!$B$34/100)),(1/Q499))+MIN((Skills!Y21*(1+Inputs!$B$34/100)),MAX(0,Inputs!$B$44-((R499-1)*(1/Q499)))))/Inputs!$B$44),IF(Inputs!$B$39="pvp",MIN((Skills!Y21*(1+Inputs!$B$34/100)),15)/15,MIN(1,(Skills!Y21*(1+Inputs!$B$34/100))/(1/Q499)))))</f>
        <v/>
      </c>
    </row>
    <row r="513">
      <c r="A513" t="inlineStr">
        <is>
          <t>Global Monster Damage-Taken Bonus %</t>
        </is>
      </c>
      <c r="B513">
        <f>IF(Inputs!$B$3&gt;=82,15,0)</f>
        <v/>
      </c>
    </row>
    <row r="514">
      <c r="A514" t="inlineStr">
        <is>
          <t>Shadow Partner Average Multiplier</t>
        </is>
      </c>
      <c r="B514">
        <f>1+((C486=TRUE)*F486*(1+3.3333333333333335*IF(C497=TRUE,F497,0)/100)*I486*Skills!J8/100)/100</f>
        <v/>
      </c>
    </row>
    <row r="515">
      <c r="A515" t="inlineStr">
        <is>
          <t>Attack Speed Buff Bonus %</t>
        </is>
      </c>
      <c r="B515">
        <f>((C498=TRUE)*F498*IF(AND(Inputs!$B$39&lt;&gt;"pvp",Inputs!$B$44&gt;0),(((R498-1)*MIN((Skills!Y20*(1+Inputs!$B$34/100)),(1/Q498))+MIN((Skills!Y20*(1+Inputs!$B$34/100)),MAX(0,Inputs!$B$44-((R498-1)*(1/Q498)))))/Inputs!$B$44),IF(Inputs!$B$39="pvp",MIN((Skills!Y20*(1+Inputs!$B$34/100)),15)/15,MIN(1,(Skills!Y20*(1+Inputs!$B$34/100))/(1/Q498)))))</f>
        <v/>
      </c>
    </row>
    <row r="516">
      <c r="A516" t="inlineStr">
        <is>
          <t>Actions Per Second</t>
        </is>
      </c>
      <c r="B516">
        <f>1+MIN(150,150*(1-(1-(Inputs!$B$11+((C501=TRUE)*(F501-Calc!F23)))/150)*(1-B515/150)))/100</f>
        <v/>
      </c>
    </row>
    <row r="517">
      <c r="A517" t="inlineStr">
        <is>
          <t>Skill + Buff Cast Rate</t>
        </is>
      </c>
      <c r="B517">
        <f>IF(AND(Inputs!$B$39&lt;&gt;"pvp",Inputs!$B$44&gt;0),SUMPRODUCT((Skills!E2:E31=TRUE)*(C480:C509=TRUE)*R480:R509*Skills!F2:F31)/Inputs!$B$44,SUMPRODUCT((Skills!E2:E31=TRUE)*(C480:C509=TRUE)*Q480:Q509*Skills!F2:F31))</f>
        <v/>
      </c>
    </row>
    <row r="518">
      <c r="A518" t="inlineStr">
        <is>
          <t>Cruel Stab Casts Per Second</t>
        </is>
      </c>
      <c r="B518">
        <f>MAX(0,B516-B517)</f>
        <v/>
      </c>
    </row>
    <row r="519">
      <c r="A519" t="inlineStr">
        <is>
          <t>Global Critical Damage Bonus % (Smokescreen Mastery Lv.113)</t>
        </is>
      </c>
      <c r="B519">
        <f>IF(Inputs!$B$3&gt;=113,30,0)*IF(AND(Inputs!$B$39&lt;&gt;"pvp",Inputs!$B$44&gt;0),(((R494-1)*MIN((Skills!Y16*(1+Inputs!$B$34/100)),(1/Q494))+MIN((Skills!Y16*(1+Inputs!$B$34/100)),MAX(0,Inputs!$B$44-((R494-1)*(1/Q494)))))/Inputs!$B$44),IF(Inputs!$B$39="pvp",MIN((Skills!Y16*(1+Inputs!$B$34/100)),15)/15,MIN(1,(Skills!Y16*(1+Inputs!$B$34/100))/(1/Q494))))</f>
        <v/>
      </c>
    </row>
    <row r="520">
      <c r="A520" t="inlineStr">
        <is>
          <t>Meso Explosion average stack count</t>
        </is>
      </c>
      <c r="B520">
        <f>MIN(10,IF(Inputs!$B$3&gt;=75,0.75,0.5)*B516*(1/Q482))</f>
        <v/>
      </c>
    </row>
    <row r="521">
      <c r="A521" t="inlineStr">
        <is>
          <t>Blood Money average stack count</t>
        </is>
      </c>
      <c r="B521">
        <f>MIN(5,0.5*IF(Inputs!$B$3&gt;=75,0.75,0.5)*B516*(1/Q482))</f>
        <v/>
      </c>
    </row>
    <row r="522">
      <c r="A522" t="inlineStr">
        <is>
          <t>Assassinate Murderous Intent Multiplier</t>
        </is>
      </c>
      <c r="B522">
        <f>1+IFERROR(MIN(1,Q493*2/Q490),0)</f>
        <v/>
      </c>
    </row>
    <row r="523">
      <c r="A523" t="inlineStr">
        <is>
          <t>Buff-Casting Startup Delay (s, fixed-duration only)</t>
        </is>
      </c>
      <c r="B523">
        <f>IF(AND(Inputs!$B$39&lt;&gt;"pvp",Inputs!$B$44&gt;0),SUMPRODUCT((Skills!Y2:Y31&gt;0)*(Skills!E2:E31=TRUE)*(C480:C509=TRUE))/B516,0)</f>
        <v/>
      </c>
    </row>
    <row r="524">
      <c r="A524" s="6" t="inlineStr">
        <is>
          <t>TOTAL DPS</t>
        </is>
      </c>
      <c r="B524" s="6">
        <f>SUM(O480:O509)</f>
        <v/>
      </c>
    </row>
    <row r="525">
      <c r="A525" t="inlineStr">
        <is>
          <t>Boss-Only Total DPS (this block's swept value)</t>
        </is>
      </c>
      <c r="B525">
        <f>SUM(T480:T509)</f>
        <v/>
      </c>
    </row>
    <row r="526">
      <c r="A526" t="inlineStr">
        <is>
          <t>Normal-Only Total DPS (this block's swept value)</t>
        </is>
      </c>
      <c r="B526">
        <f>SUM(V480:V509)</f>
        <v/>
      </c>
    </row>
    <row r="529">
      <c r="A529" s="6" t="inlineStr">
        <is>
          <t>Stat: MAX_DAMAGE %</t>
        </is>
      </c>
    </row>
    <row r="530">
      <c r="A530" s="5" t="inlineStr">
        <is>
          <t>Key</t>
        </is>
      </c>
      <c r="B530" s="5" t="inlineStr">
        <is>
          <t>Name</t>
        </is>
      </c>
      <c r="C530" s="5" t="inlineStr">
        <is>
          <t>Unlocked</t>
        </is>
      </c>
      <c r="D530" s="5" t="inlineStr">
        <is>
          <t>InputLevel</t>
        </is>
      </c>
      <c r="E530" s="5" t="inlineStr">
        <is>
          <t>Factor</t>
        </is>
      </c>
      <c r="F530" s="5" t="inlineStr">
        <is>
          <t>CoefficientPercent</t>
        </is>
      </c>
      <c r="G530" s="5" t="inlineStr">
        <is>
          <t>EffectiveHits</t>
        </is>
      </c>
      <c r="H530" s="5" t="inlineStr">
        <is>
          <t>ProcProbability</t>
        </is>
      </c>
      <c r="I530" s="5" t="inlineStr">
        <is>
          <t>MapleHeroMultiplier</t>
        </is>
      </c>
      <c r="J530" s="5" t="inlineStr">
        <is>
          <t>BaseDamage</t>
        </is>
      </c>
      <c r="K530" s="5" t="inlineStr">
        <is>
          <t>BaseHitDamage</t>
        </is>
      </c>
      <c r="L530" s="5" t="inlineStr">
        <is>
          <t>NonCritAvg</t>
        </is>
      </c>
      <c r="M530" s="5" t="inlineStr">
        <is>
          <t>CritAvg</t>
        </is>
      </c>
      <c r="N530" s="5" t="inlineStr">
        <is>
          <t>ExpectedDamage(perHit)</t>
        </is>
      </c>
      <c r="O530" s="5" t="inlineStr">
        <is>
          <t>DPS</t>
        </is>
      </c>
      <c r="P530" s="5" t="inlineStr">
        <is>
          <t>% of Total</t>
        </is>
      </c>
      <c r="Q530" s="5" t="inlineStr">
        <is>
          <t>InvCooldown</t>
        </is>
      </c>
      <c r="R530" s="5" t="inlineStr">
        <is>
          <t>CastsInFight</t>
        </is>
      </c>
      <c r="S530" s="5" t="inlineStr">
        <is>
          <t>HitRate(perSec)</t>
        </is>
      </c>
      <c r="U530" t="inlineStr">
        <is>
          <t>helpers</t>
        </is>
      </c>
    </row>
    <row r="531">
      <c r="A531">
        <f>Skills!A2</f>
        <v/>
      </c>
      <c r="B531">
        <f>Skills!B2</f>
        <v/>
      </c>
      <c r="C531">
        <f>Inputs!$B$3&gt;=100</f>
        <v/>
      </c>
      <c r="D531" t="inlineStr"/>
      <c r="E531" t="inlineStr"/>
      <c r="F531">
        <f>U533+Skills!O2</f>
        <v/>
      </c>
      <c r="G531">
        <f>Skills!G2*IF(Skills!H2&gt;0,IF(Inputs!$B$39="pvp",MIN(Skills!I2,15),Skills!I2)/Skills!H2,1)</f>
        <v/>
      </c>
      <c r="H531">
        <f>1-(1-Skills!J2/100)^Skills!K2</f>
        <v/>
      </c>
      <c r="I531" t="inlineStr">
        <is>
          <t>1</t>
        </is>
      </c>
      <c r="J531">
        <f>((Inputs!$B$6*(1+Inputs!$B$7/100))+(((Inputs!$B$12*(1+Inputs!$B$13/100))-(Inputs!$B$12*(1+Inputs!$B$13/100)))+0.25*(Inputs!$B$14-Inputs!$B$14))*(1+Inputs!$B$7/100))*(F531/100)</f>
        <v/>
      </c>
      <c r="K531">
        <f>J531*(1+((Inputs!$B$12*(1+Inputs!$B$13/100))*0.01+Inputs!$B$14*0.0025)/100)*(1+Inputs!$B$15/100)*(1+Inputs!$B$16/100)*(5000/(6000+Inputs!$B$43*(1-(100*(1-(1-Inputs!$B$19/100)*(1-CHOOSE(ArtifactsInput!$N$40+1,5,6,7,8,9,10)/100)^(ArtifactsInput!$M$40-ArtifactsInput!$M$40)))/100)))*(1+(Inputs!$B$24+((C560=TRUE)*(F560-Calc!F31))+((C547=TRUE)*(F547-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CRUEL_STAB",Inputs!$B$17+((C557=TRUE)*(F557-Calc!F28))+((IF(AND(Inputs!$B$39&lt;&gt;"pvp",Inputs!$B$44=0),1,IF(IF(Inputs!$B$39="pvp",15,Inputs!$B$44)-(B574)&lt;=0,1,MAX(0,IF(Inputs!$B$39="pvp",15,Inputs!$B$44)-MAX(5,B574))/(IF(Inputs!$B$39="pvp",15,Inputs!$B$44)-(B574))))*(IF(AND(ArtifactsInput!$M$42,((Inputs!$B$9+((C555=TRUE)*(F555-Calc!F26))+B563+(ArtifactsInput!$M$24-ArtifactsInput!$M$24)*CHOOSE(ArtifactsInput!$N$24+1,10,12,14,16,18,20)+IF(ArtifactsInput!$M$10,CHOOSE(ArtifactsInput!$N$10+1,15,18,21,24,27,30)*(IF(Inputs!$B$39="pvp",MIN(15,15)/15,IF(AND(Inputs!$B$39&lt;&gt;"pvp",Inputs!$B$44&gt;0),MIN(15,Inputs!$B$44)/(Inputs!$B$44),0))),0)))&gt;=100),MIN(100,((Inputs!$B$9+((C555=TRUE)*(F555-Calc!F26))+B563+(ArtifactsInput!$M$24-ArtifactsInput!$M$24)*CHOOSE(ArtifactsInput!$N$24+1,10,12,14,16,18,20)+IF(ArtifactsInput!$M$10,CHOOSE(ArtifactsInput!$N$10+1,15,18,21,24,27,30)*(IF(Inputs!$B$39="pvp",MIN(15,15)/15,IF(AND(Inputs!$B$39&lt;&gt;"pvp",Inputs!$B$44&gt;0),MIN(15,Inputs!$B$44)/(Inputs!$B$44),0))),0)))-100),0))*CHOOSE(ArtifactsInput!$N$42+1,0.6,0.72,0.84,0.96,1.08,1.2))),Inputs!$B$18+((C558=TRUE)*(F558-Calc!F29))+(IF(AND(Inputs!$B$39&lt;&gt;"pvp",Inputs!$B$44=0),1,IF(IF(Inputs!$B$39="pvp",15,Inputs!$B$44)-(B574)&lt;=0,1,MAX(0,IF(Inputs!$B$39="pvp",15,Inputs!$B$44)-MAX(5,B574))/(IF(Inputs!$B$39="pvp",15,Inputs!$B$44)-(B574))))*IF(AND(ArtifactsInput!$M$42,((Inputs!$B$9+((C555=TRUE)*(F555-Calc!F26))+B563+(ArtifactsInput!$M$24-ArtifactsInput!$M$24)*CHOOSE(ArtifactsInput!$N$24+1,10,12,14,16,18,20)+IF(ArtifactsInput!$M$10,CHOOSE(ArtifactsInput!$N$10+1,15,18,21,24,27,30)*(IF(Inputs!$B$39="pvp",MIN(15,15)/15,IF(AND(Inputs!$B$39&lt;&gt;"pvp",Inputs!$B$44&gt;0),MIN(15,Inputs!$B$44)/(Inputs!$B$44),0))),0)))&gt;=100),CHOOSE(ArtifactsInput!$N$42+1,40,48,56,64,72,80),0))))/100)*(((1+(((C551=TRUE)*F551*IF(AND(Inputs!$B$39&lt;&gt;"pvp",Inputs!$B$44&gt;0),(((R551-1)*MIN((Skills!Y22*(1+Inputs!$B$34/100)),(1/Q551))+MIN((Skills!Y22*(1+Inputs!$B$34/100)),MAX(0,Inputs!$B$44-((R551-1)*(1/Q551)))))/Inputs!$B$44),IF(Inputs!$B$39="pvp",MIN((Skills!Y22*(1+Inputs!$B$34/100)),15)/15,MIN(1,(Skills!Y22*(1+Inputs!$B$34/100))/(1/Q551)))))+((C532=TRUE)*F532*3)+((C534=TRUE)*F534*(1-EXP(-0.75*B567*5)))+((C553=TRUE)*(F553-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540=TRUE)*F540*IF(AND(Inputs!$B$39&lt;&gt;"pvp",Inputs!$B$44&gt;0),(((R540-1)*MIN((Skills!Y11*(1+Inputs!$B$34/100)),(1/Q540))+MIN((Skills!Y11*(1+Inputs!$B$34/100)),MAX(0,Inputs!$B$44-((R540-1)*(1/Q540)))))/Inputs!$B$44),IF(Inputs!$B$39="pvp",MIN((Skills!Y11*(1+Inputs!$B$34/100)),15)/15,MIN(1,(Skills!Y11*(1+Inputs!$B$34/100))/(1/Q540)))))/100)*(1+((C545=TRUE)*F545*IF(AND(Inputs!$B$39&lt;&gt;"pvp",Inputs!$B$44&gt;0),(((R545-1)*MIN((Skills!Y16*(1+Inputs!$B$34/100)),(1/Q545))+MIN((Skills!Y16*(1+Inputs!$B$34/100)),MAX(0,Inputs!$B$44-((R545-1)*(1/Q545)))))/Inputs!$B$44),IF(Inputs!$B$39="pvp",MIN((Skills!Y16*(1+Inputs!$B$34/100)),15)/15,MIN(1,(Skills!Y16*(1+Inputs!$B$34/100))/(1/Q545)))))/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565*I531)</f>
        <v/>
      </c>
      <c r="L531">
        <f>K531*(MIN(Inputs!$B$22+((C554=TRUE)*(F554-Calc!F25)),((Inputs!$B$23+1)+((C559=TRUE)*(F559-Calc!F30))+IF(ArtifactsInput!$M$15,CHOOSE(ArtifactsInput!$N$15+1,25,30,35,40,45,50)/100*(Inputs!$B$11-Inputs!$B$11),0)))/100+((Inputs!$B$23+1)+((C559=TRUE)*(F559-Calc!F30))+IF(ArtifactsInput!$M$15,CHOOSE(ArtifactsInput!$N$15+1,25,30,35,40,45,50)/100*(Inputs!$B$11-Inputs!$B$11),0))/100)/2</f>
        <v/>
      </c>
      <c r="M531">
        <f>L531*(1+(Inputs!$B$10+((C556=TRUE)*(F556-Calc!F27))+B570+(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531">
        <f>L531*(1-MIN((Inputs!$B$9+((C555=TRUE)*(F555-Calc!F26))+B563+(ArtifactsInput!$M$24-ArtifactsInput!$M$24)*CHOOSE(ArtifactsInput!$N$24+1,10,12,14,16,18,20)+(IF(AND(Inputs!$B$39&lt;&gt;"pvp",Inputs!$B$44=0),1,IF(IF(Inputs!$B$39="pvp",15,Inputs!$B$44)-(B574)&lt;=0,1,MAX(0,IF(Inputs!$B$39="pvp",15,Inputs!$B$44)-MAX(5,B574))/(IF(Inputs!$B$39="pvp",15,Inputs!$B$44)-(B574))))*IF(AND(ArtifactsInput!$M$42,((Inputs!$B$9+((C555=TRUE)*(F555-Calc!F26))+B563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531*(MIN((Inputs!$B$9+((C555=TRUE)*(F555-Calc!F26))+B563+(ArtifactsInput!$M$24-ArtifactsInput!$M$24)*CHOOSE(ArtifactsInput!$N$24+1,10,12,14,16,18,20)+(IF(AND(Inputs!$B$39&lt;&gt;"pvp",Inputs!$B$44=0),1,IF(IF(Inputs!$B$39="pvp",15,Inputs!$B$44)-(B574)&lt;=0,1,MAX(0,IF(Inputs!$B$39="pvp",15,Inputs!$B$44)-MAX(5,B574))/(IF(Inputs!$B$39="pvp",15,Inputs!$B$44)-(B574))))*IF(AND(ArtifactsInput!$M$42,((Inputs!$B$9+((C555=TRUE)*(F555-Calc!F26))+B563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531">
        <f>(1-Summary!$B$11)*T531+Summary!$B$11*V531</f>
        <v/>
      </c>
      <c r="P531">
        <f>IF(B575=0,0,O531/B575)</f>
        <v/>
      </c>
      <c r="Q531" t="n">
        <v>0</v>
      </c>
      <c r="R531" t="n">
        <v>0</v>
      </c>
      <c r="S531">
        <f>IFERROR(O531/N531,0)</f>
        <v/>
      </c>
      <c r="T531">
        <f>IF(C531,(Skills!G2*N531*B569)*IF(Inputs!$B$39="pvp",1,1+(Inputs!$B$20+0+Skills!P2+B564+(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Hunt"),CHOOSE(ArtifactsInput!$N$35+1,15,18,21,24,27,30)*(1-EXP(-(0.2*B567)*5)),0)+IF(AND(ArtifactsInput!$M$22,Inputs!$B$4&lt;&gt;"Chapter Hunt"),CHOOSE(ArtifactsInput!$N$22+1,10,12,14,16,18,20)*((0*(((0.15*B567*5))^0/1)+1*(((0.15*B567*5))^1/1)+2*(((0.15*B567*5))^2/2)+3*(((0.15*B567*5))^3/6)+4*(((0.15*B567*5))^4/24)+5*(((0.15*B567*5))^5/120))/((((0.15*B567*5))^0/1)+(((0.15*B567*5))^1/1)+(((0.15*B567*5))^2/2)+(((0.15*B567*5))^3/6)+(((0.15*B567*5))^4/24)+(((0.15*B567*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531*(1-MIN(100,(Inputs!$B$9+((C555=TRUE)*(F555-Calc!F26))+B563+(ArtifactsInput!$M$24-ArtifactsInput!$M$24)*CHOOSE(ArtifactsInput!$N$24+1,10,12,14,16,18,20)+(IF(AND(Inputs!$B$39&lt;&gt;"pvp",Inputs!$B$44=0),1,IF(IF(Inputs!$B$39="pvp",15,Inputs!$B$44)-(B574)&lt;=0,1,MAX(0,IF(Inputs!$B$39="pvp",15,Inputs!$B$44)-MAX(5,B574))/(IF(Inputs!$B$39="pvp",15,Inputs!$B$44)-(B574))))*IF(AND(ArtifactsInput!$M$42,((Inputs!$B$9+((C555=TRUE)*(F555-Calc!F26))+B563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531*(MIN(100,(Inputs!$B$9+((C555=TRUE)*(F555-Calc!F26))+B563+(ArtifactsInput!$M$24-ArtifactsInput!$M$24)*CHOOSE(ArtifactsInput!$N$24+1,10,12,14,16,18,20)+(IF(AND(Inputs!$B$39&lt;&gt;"pvp",Inputs!$B$44=0),1,IF(IF(Inputs!$B$39="pvp",15,Inputs!$B$44)-(B574)&lt;=0,1,MAX(0,IF(Inputs!$B$39="pvp",15,Inputs!$B$44)-MAX(5,B574))/(IF(Inputs!$B$39="pvp",15,Inputs!$B$44)-(B574))))*IF(AND(ArtifactsInput!$M$42,((Inputs!$B$9+((C555=TRUE)*(F555-Calc!F26))+B563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531*(1-MIN(100,(Inputs!$B$9+((C555=TRUE)*(F555-Calc!F26))+B563+(ArtifactsInput!$M$24-ArtifactsInput!$M$24)*CHOOSE(ArtifactsInput!$N$24+1,10,12,14,16,18,20)+(IF(AND(Inputs!$B$39&lt;&gt;"pvp",Inputs!$B$44=0),1,IF(IF(Inputs!$B$39="pvp",15,Inputs!$B$44)-(B574)&lt;=0,1,MAX(0,IF(Inputs!$B$39="pvp",15,Inputs!$B$44)-MAX(5,B574))/(IF(Inputs!$B$39="pvp",15,Inputs!$B$44)-(B574))))*IF(AND(ArtifactsInput!$M$42,((Inputs!$B$9+((C555=TRUE)*(F555-Calc!F26))+B563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531*(MIN(100,(Inputs!$B$9+((C555=TRUE)*(F555-Calc!F26))+B563+(ArtifactsInput!$M$24-ArtifactsInput!$M$24)*CHOOSE(ArtifactsInput!$N$24+1,10,12,14,16,18,20)+(IF(AND(Inputs!$B$39&lt;&gt;"pvp",Inputs!$B$44=0),1,IF(IF(Inputs!$B$39="pvp",15,Inputs!$B$44)-(B574)&lt;=0,1,MAX(0,IF(Inputs!$B$39="pvp",15,Inputs!$B$44)-MAX(5,B574))/(IF(Inputs!$B$39="pvp",15,Inputs!$B$44)-(B574))))*IF(AND(ArtifactsInput!$M$42,((Inputs!$B$9+((C555=TRUE)*(F555-Calc!F26))+B563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531">
        <f>MAX(0,(Inputs!$B$3-100)*3)+Inputs!$B$28+Inputs!$B$29</f>
        <v/>
      </c>
      <c r="V531">
        <f>IF(C531,(Skills!G2*N531*B569)*IF(Inputs!$B$39="pvp",1,(1+(Inputs!$B$21+Skills!Q2+B564+(IF(ArtifactsInput!$M$33,CHOOSE(ArtifactsInput!$N$33+1,30,36,42,48,54,60),0))+(IF(AND(ArtifactsInput!$M$35,Inputs!$B$4&lt;&gt;"Chapter Hunt"),CHOOSE(ArtifactsInput!$N$35+1,15,18,21,24,27,30)*(1-EXP(-(0.2*B567)*5)),0)+IF(AND(ArtifactsInput!$M$22,Inputs!$B$4&lt;&gt;"Chapter Hunt"),CHOOSE(ArtifactsInput!$N$22+1,10,12,14,16,18,20)*((0*(((0.15*B567*5))^0/1)+1*(((0.15*B567*5))^1/1)+2*(((0.15*B567*5))^2/2)+3*(((0.15*B567*5))^3/6)+4*(((0.15*B567*5))^4/24)+5*(((0.15*B567*5))^5/120))/((((0.15*B567*5))^0/1)+(((0.15*B567*5))^1/1)+(((0.15*B567*5))^2/2)+(((0.15*B567*5))^3/6)+(((0.15*B567*5))^4/24)+(((0.15*B567*5))^5/120))),0)))/100)*(MIN((6+Inputs!$B$33),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532">
      <c r="A532">
        <f>Skills!A3</f>
        <v/>
      </c>
      <c r="B532">
        <f>Skills!B3</f>
        <v/>
      </c>
      <c r="C532">
        <f>Inputs!$B$3&gt;=35</f>
        <v/>
      </c>
      <c r="D532">
        <f>IF(Skills!C3=1,60+Inputs!$B$25+Inputs!$B$29,IF(Skills!C3=2,90+Inputs!$B$26+Inputs!$B$29,IF(Skills!C3=3,120+Inputs!$B$27+Inputs!$B$29,MAX(0,(Inputs!$B$3-100)*3)+Inputs!$B$28+Inputs!$B$29)))</f>
        <v/>
      </c>
      <c r="E532">
        <f>INDEX(FactorTable!$B$2:$Y$301, MATCH(ROUND(MIN(300,MAX(1,D532)),0), FactorTable!$A$2:$A$301,0), Skills!M3+1)</f>
        <v/>
      </c>
      <c r="F532">
        <f>IF(Skills!N3=TRUE,(Skills!L3/10)*(E532/1000),Skills!L3/10)+Skills!O3</f>
        <v/>
      </c>
      <c r="G532">
        <f>Skills!G3*IF(Skills!H3&gt;0,IF(Inputs!$B$39="pvp",MIN(Skills!I3,15),Skills!I3)/Skills!H3,1)</f>
        <v/>
      </c>
      <c r="H532">
        <f>1-(1-Skills!J3/100)^Skills!K3</f>
        <v/>
      </c>
      <c r="I532" t="inlineStr">
        <is>
          <t>1</t>
        </is>
      </c>
      <c r="J532" t="inlineStr"/>
      <c r="K532" t="inlineStr"/>
      <c r="L532" t="inlineStr"/>
      <c r="M532" t="inlineStr"/>
      <c r="N532" t="inlineStr"/>
      <c r="O532">
        <f>(1-Summary!$B$11)*T532+Summary!$B$11*V532</f>
        <v/>
      </c>
      <c r="P532">
        <f>IF(B575=0,0,O532/B575)</f>
        <v/>
      </c>
      <c r="Q532" t="n">
        <v>0</v>
      </c>
      <c r="R532" t="n">
        <v>0</v>
      </c>
      <c r="S532">
        <f>IFERROR(O532/N532,0)</f>
        <v/>
      </c>
      <c r="T532" t="n">
        <v>0</v>
      </c>
      <c r="U532">
        <f>INDEX(FactorTable!$B$2:$Y$301, MATCH(ROUND(MIN(300,MAX(1,U531)),0), FactorTable!$A$2:$A$301,0), 22)</f>
        <v/>
      </c>
      <c r="V532" t="n">
        <v>0</v>
      </c>
    </row>
    <row r="533">
      <c r="A533">
        <f>Skills!A4</f>
        <v/>
      </c>
      <c r="B533">
        <f>Skills!B4</f>
        <v/>
      </c>
      <c r="C533">
        <f>Inputs!$B$3&gt;=66</f>
        <v/>
      </c>
      <c r="D533">
        <f>IF(Skills!C4=1,60+Inputs!$B$25+Inputs!$B$29,IF(Skills!C4=2,90+Inputs!$B$26+Inputs!$B$29,IF(Skills!C4=3,120+Inputs!$B$27+Inputs!$B$29,MAX(0,(Inputs!$B$3-100)*3)+Inputs!$B$28+Inputs!$B$29)))</f>
        <v/>
      </c>
      <c r="E533">
        <f>INDEX(FactorTable!$B$2:$Y$301, MATCH(ROUND(MIN(300,MAX(1,D533)),0), FactorTable!$A$2:$A$301,0), Skills!M4+1)</f>
        <v/>
      </c>
      <c r="F533">
        <f>IF(Skills!N4=TRUE,(Skills!L4/10)*(E533/1000),Skills!L4/10)+Skills!O4</f>
        <v/>
      </c>
      <c r="G533">
        <f>Skills!G4*IF(Skills!H4&gt;0,IF(Inputs!$B$39="pvp",MIN(Skills!I4,15),Skills!I4)/Skills!H4,1)</f>
        <v/>
      </c>
      <c r="H533">
        <f>1-(1-Skills!J4/100)^Skills!K4</f>
        <v/>
      </c>
      <c r="I533" t="inlineStr">
        <is>
          <t>1</t>
        </is>
      </c>
      <c r="J533">
        <f>((Inputs!$B$6*(1+Inputs!$B$7/100))+(((Inputs!$B$12*(1+Inputs!$B$13/100))-(Inputs!$B$12*(1+Inputs!$B$13/100)))+0.25*(Inputs!$B$14-Inputs!$B$14))*(1+Inputs!$B$7/100))*(F533/100)</f>
        <v/>
      </c>
      <c r="K533">
        <f>J533*(1+((Inputs!$B$12*(1+Inputs!$B$13/100))*0.01+Inputs!$B$14*0.0025)/100)*(1+Inputs!$B$15/100)*(1+Inputs!$B$16/100)*(5000/(6000+Inputs!$B$43*(1-(100*(1-(1-Inputs!$B$19/100)*(1-CHOOSE(ArtifactsInput!$N$40+1,5,6,7,8,9,10)/100)^(ArtifactsInput!$M$40-ArtifactsInput!$M$40)))/100)))*(1+(Inputs!$B$24+((C560=TRUE)*(F560-Calc!F31))+((C547=TRUE)*(F547-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4="CRUEL_STAB",Inputs!$B$17+((C557=TRUE)*(F557-Calc!F28))+((IF(AND(Inputs!$B$39&lt;&gt;"pvp",Inputs!$B$44=0),1,IF(IF(Inputs!$B$39="pvp",15,Inputs!$B$44)-(B574)&lt;=0,1,MAX(0,IF(Inputs!$B$39="pvp",15,Inputs!$B$44)-MAX(5,B574))/(IF(Inputs!$B$39="pvp",15,Inputs!$B$44)-(B574))))*(IF(AND(ArtifactsInput!$M$42,((Inputs!$B$9+((C555=TRUE)*(F555-Calc!F26))+B563+(ArtifactsInput!$M$24-ArtifactsInput!$M$24)*CHOOSE(ArtifactsInput!$N$24+1,10,12,14,16,18,20)+IF(ArtifactsInput!$M$10,CHOOSE(ArtifactsInput!$N$10+1,15,18,21,24,27,30)*(IF(Inputs!$B$39="pvp",MIN(15,15)/15,IF(AND(Inputs!$B$39&lt;&gt;"pvp",Inputs!$B$44&gt;0),MIN(15,Inputs!$B$44)/(Inputs!$B$44),0))),0)))&gt;=100),MIN(100,((Inputs!$B$9+((C555=TRUE)*(F555-Calc!F26))+B563+(ArtifactsInput!$M$24-ArtifactsInput!$M$24)*CHOOSE(ArtifactsInput!$N$24+1,10,12,14,16,18,20)+IF(ArtifactsInput!$M$10,CHOOSE(ArtifactsInput!$N$10+1,15,18,21,24,27,30)*(IF(Inputs!$B$39="pvp",MIN(15,15)/15,IF(AND(Inputs!$B$39&lt;&gt;"pvp",Inputs!$B$44&gt;0),MIN(15,Inputs!$B$44)/(Inputs!$B$44),0))),0)))-100),0))*CHOOSE(ArtifactsInput!$N$42+1,0.6,0.72,0.84,0.96,1.08,1.2))),Inputs!$B$18+((C558=TRUE)*(F558-Calc!F29))+(IF(AND(Inputs!$B$39&lt;&gt;"pvp",Inputs!$B$44=0),1,IF(IF(Inputs!$B$39="pvp",15,Inputs!$B$44)-(B574)&lt;=0,1,MAX(0,IF(Inputs!$B$39="pvp",15,Inputs!$B$44)-MAX(5,B574))/(IF(Inputs!$B$39="pvp",15,Inputs!$B$44)-(B574))))*IF(AND(ArtifactsInput!$M$42,((Inputs!$B$9+((C555=TRUE)*(F555-Calc!F26))+B563+(ArtifactsInput!$M$24-ArtifactsInput!$M$24)*CHOOSE(ArtifactsInput!$N$24+1,10,12,14,16,18,20)+IF(ArtifactsInput!$M$10,CHOOSE(ArtifactsInput!$N$10+1,15,18,21,24,27,30)*(IF(Inputs!$B$39="pvp",MIN(15,15)/15,IF(AND(Inputs!$B$39&lt;&gt;"pvp",Inputs!$B$44&gt;0),MIN(15,Inputs!$B$44)/(Inputs!$B$44),0))),0)))&gt;=100),CHOOSE(ArtifactsInput!$N$42+1,40,48,56,64,72,80),0))))/100)*(((1+(((C551=TRUE)*F551*IF(AND(Inputs!$B$39&lt;&gt;"pvp",Inputs!$B$44&gt;0),(((R551-1)*MIN((Skills!Y22*(1+Inputs!$B$34/100)),(1/Q551))+MIN((Skills!Y22*(1+Inputs!$B$34/100)),MAX(0,Inputs!$B$44-((R551-1)*(1/Q551)))))/Inputs!$B$44),IF(Inputs!$B$39="pvp",MIN((Skills!Y22*(1+Inputs!$B$34/100)),15)/15,MIN(1,(Skills!Y22*(1+Inputs!$B$34/100))/(1/Q551)))))+((C532=TRUE)*F532*3)+((C534=TRUE)*F534*(1-EXP(-0.75*B567*5)))+((C553=TRUE)*(F553-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540=TRUE)*F540*IF(AND(Inputs!$B$39&lt;&gt;"pvp",Inputs!$B$44&gt;0),(((R540-1)*MIN((Skills!Y11*(1+Inputs!$B$34/100)),(1/Q540))+MIN((Skills!Y11*(1+Inputs!$B$34/100)),MAX(0,Inputs!$B$44-((R540-1)*(1/Q540)))))/Inputs!$B$44),IF(Inputs!$B$39="pvp",MIN((Skills!Y11*(1+Inputs!$B$34/100)),15)/15,MIN(1,(Skills!Y11*(1+Inputs!$B$34/100))/(1/Q540)))))/100)*(1+((C545=TRUE)*F545*IF(AND(Inputs!$B$39&lt;&gt;"pvp",Inputs!$B$44&gt;0),(((R545-1)*MIN((Skills!Y16*(1+Inputs!$B$34/100)),(1/Q545))+MIN((Skills!Y16*(1+Inputs!$B$34/100)),MAX(0,Inputs!$B$44-((R545-1)*(1/Q545)))))/Inputs!$B$44),IF(Inputs!$B$39="pvp",MIN((Skills!Y16*(1+Inputs!$B$34/100)),15)/15,MIN(1,(Skills!Y16*(1+Inputs!$B$34/100))/(1/Q545)))))/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565*I533)</f>
        <v/>
      </c>
      <c r="L533">
        <f>K533*(MIN(Inputs!$B$22+((C554=TRUE)*(F554-Calc!F25)),((Inputs!$B$23+1)+((C559=TRUE)*(F559-Calc!F30))+IF(ArtifactsInput!$M$15,CHOOSE(ArtifactsInput!$N$15+1,25,30,35,40,45,50)/100*(Inputs!$B$11-Inputs!$B$11),0)))/100+((Inputs!$B$23+1)+((C559=TRUE)*(F559-Calc!F30))+IF(ArtifactsInput!$M$15,CHOOSE(ArtifactsInput!$N$15+1,25,30,35,40,45,50)/100*(Inputs!$B$11-Inputs!$B$11),0))/100)/2</f>
        <v/>
      </c>
      <c r="M533">
        <f>L533*(1+(Inputs!$B$10+((C556=TRUE)*(F556-Calc!F27))+B570+(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533">
        <f>L533*(1-MIN((Inputs!$B$9+((C555=TRUE)*(F555-Calc!F26))+B563+(ArtifactsInput!$M$24-ArtifactsInput!$M$24)*CHOOSE(ArtifactsInput!$N$24+1,10,12,14,16,18,20)+(IF(AND(Inputs!$B$39&lt;&gt;"pvp",Inputs!$B$44=0),1,IF(IF(Inputs!$B$39="pvp",15,Inputs!$B$44)-(B574)&lt;=0,1,MAX(0,IF(Inputs!$B$39="pvp",15,Inputs!$B$44)-MAX(5,B574))/(IF(Inputs!$B$39="pvp",15,Inputs!$B$44)-(B574))))*IF(AND(ArtifactsInput!$M$42,((Inputs!$B$9+((C555=TRUE)*(F555-Calc!F26))+B563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533*(MIN((Inputs!$B$9+((C555=TRUE)*(F555-Calc!F26))+B563+(ArtifactsInput!$M$24-ArtifactsInput!$M$24)*CHOOSE(ArtifactsInput!$N$24+1,10,12,14,16,18,20)+(IF(AND(Inputs!$B$39&lt;&gt;"pvp",Inputs!$B$44=0),1,IF(IF(Inputs!$B$39="pvp",15,Inputs!$B$44)-(B574)&lt;=0,1,MAX(0,IF(Inputs!$B$39="pvp",15,Inputs!$B$44)-MAX(5,B574))/(IF(Inputs!$B$39="pvp",15,Inputs!$B$44)-(B574))))*IF(AND(ArtifactsInput!$M$42,((Inputs!$B$9+((C555=TRUE)*(F555-Calc!F26))+B563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533">
        <f>(1-Summary!$B$11)*T533+Summary!$B$11*V533</f>
        <v/>
      </c>
      <c r="P533">
        <f>IF(B575=0,0,O533/B575)</f>
        <v/>
      </c>
      <c r="Q533">
        <f>IFERROR(1/IF(Inputs!$B$39="pvp",15,MAX(0.1,Skills!D4-IF(TRUE=TRUE,Inputs!$B$32,0))),0)</f>
        <v/>
      </c>
      <c r="R533">
        <f>IF(AND(Inputs!$B$39&lt;&gt;"pvp",Inputs!$B$44&gt;0),IF(MAX(0,Inputs!$B$44-B574)&lt;=0,0,(INT(MAX(0,Inputs!$B$44-B574)/IF(Inputs!$B$39="pvp",15,MAX(0.1,Skills!D4-IF(TRUE=TRUE,Inputs!$B$32,0))))+1)),0)</f>
        <v/>
      </c>
      <c r="S533">
        <f>IFERROR(O533/N533,0)</f>
        <v/>
      </c>
      <c r="T533">
        <f>IF(C533,(H533*N533*IF(AND(Inputs!$B$39&lt;&gt;"pvp",Inputs!$B$44&gt;0),((Skills!G4*((R533-1)*IF(Skills!H4&gt;0,Skills!I4/Skills!H4,1)+IF(Skills!H4&gt;0,MIN(Skills!I4,MAX(0,MAX(0,Inputs!$B$44-B574)-((R533-1)*IF(Inputs!$B$39="pvp",15,MAX(0.1,Skills!D4-IF(TRUE=TRUE,Inputs!$B$32,0))))))/Skills!H4,1)))/Inputs!$B$44),G533*Q533))*IF(Inputs!$B$39="pvp",1,1+(Inputs!$B$20+0+Skills!P4+B564+(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Hunt"),CHOOSE(ArtifactsInput!$N$35+1,15,18,21,24,27,30)*(1-EXP(-(0.2*B567)*5)),0)+IF(AND(ArtifactsInput!$M$22,Inputs!$B$4&lt;&gt;"Chapter Hunt"),CHOOSE(ArtifactsInput!$N$22+1,10,12,14,16,18,20)*((0*(((0.15*B567*5))^0/1)+1*(((0.15*B567*5))^1/1)+2*(((0.15*B567*5))^2/2)+3*(((0.15*B567*5))^3/6)+4*(((0.15*B567*5))^4/24)+5*(((0.15*B567*5))^5/120))/((((0.15*B567*5))^0/1)+(((0.15*B567*5))^1/1)+(((0.15*B567*5))^2/2)+(((0.15*B567*5))^3/6)+(((0.15*B567*5))^4/24)+(((0.15*B567*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533*(1-MIN(100,(Inputs!$B$9+((C555=TRUE)*(F555-Calc!F26))+B563+(ArtifactsInput!$M$24-ArtifactsInput!$M$24)*CHOOSE(ArtifactsInput!$N$24+1,10,12,14,16,18,20)+(IF(AND(Inputs!$B$39&lt;&gt;"pvp",Inputs!$B$44=0),1,IF(IF(Inputs!$B$39="pvp",15,Inputs!$B$44)-(B574)&lt;=0,1,MAX(0,IF(Inputs!$B$39="pvp",15,Inputs!$B$44)-MAX(5,B574))/(IF(Inputs!$B$39="pvp",15,Inputs!$B$44)-(B574))))*IF(AND(ArtifactsInput!$M$42,((Inputs!$B$9+((C555=TRUE)*(F555-Calc!F26))+B563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533*(MIN(100,(Inputs!$B$9+((C555=TRUE)*(F555-Calc!F26))+B563+(ArtifactsInput!$M$24-ArtifactsInput!$M$24)*CHOOSE(ArtifactsInput!$N$24+1,10,12,14,16,18,20)+(IF(AND(Inputs!$B$39&lt;&gt;"pvp",Inputs!$B$44=0),1,IF(IF(Inputs!$B$39="pvp",15,Inputs!$B$44)-(B574)&lt;=0,1,MAX(0,IF(Inputs!$B$39="pvp",15,Inputs!$B$44)-MAX(5,B574))/(IF(Inputs!$B$39="pvp",15,Inputs!$B$44)-(B574))))*IF(AND(ArtifactsInput!$M$42,((Inputs!$B$9+((C555=TRUE)*(F555-Calc!F26))+B563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533*(1-MIN(100,(Inputs!$B$9+((C555=TRUE)*(F555-Calc!F26))+B563+(ArtifactsInput!$M$24-ArtifactsInput!$M$24)*CHOOSE(ArtifactsInput!$N$24+1,10,12,14,16,18,20)+(IF(AND(Inputs!$B$39&lt;&gt;"pvp",Inputs!$B$44=0),1,IF(IF(Inputs!$B$39="pvp",15,Inputs!$B$44)-(B574)&lt;=0,1,MAX(0,IF(Inputs!$B$39="pvp",15,Inputs!$B$44)-MAX(5,B574))/(IF(Inputs!$B$39="pvp",15,Inputs!$B$44)-(B574))))*IF(AND(ArtifactsInput!$M$42,((Inputs!$B$9+((C555=TRUE)*(F555-Calc!F26))+B563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533*(MIN(100,(Inputs!$B$9+((C555=TRUE)*(F555-Calc!F26))+B563+(ArtifactsInput!$M$24-ArtifactsInput!$M$24)*CHOOSE(ArtifactsInput!$N$24+1,10,12,14,16,18,20)+(IF(AND(Inputs!$B$39&lt;&gt;"pvp",Inputs!$B$44=0),1,IF(IF(Inputs!$B$39="pvp",15,Inputs!$B$44)-(B574)&lt;=0,1,MAX(0,IF(Inputs!$B$39="pvp",15,Inputs!$B$44)-MAX(5,B574))/(IF(Inputs!$B$39="pvp",15,Inputs!$B$44)-(B574))))*IF(AND(ArtifactsInput!$M$42,((Inputs!$B$9+((C555=TRUE)*(F555-Calc!F26))+B563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533">
        <f>290*U532/1000</f>
        <v/>
      </c>
      <c r="V533">
        <f>IF(C533,(H533*N533*IF(AND(Inputs!$B$39&lt;&gt;"pvp",Inputs!$B$44&gt;0),((Skills!G4*((R533-1)*IF(Skills!H4&gt;0,Skills!I4/Skills!H4,1)+IF(Skills!H4&gt;0,MIN(Skills!I4,MAX(0,MAX(0,Inputs!$B$44-B574)-((R533-1)*IF(Inputs!$B$39="pvp",15,MAX(0.1,Skills!D4-IF(TRUE=TRUE,Inputs!$B$32,0))))))/Skills!H4,1)))/Inputs!$B$44),G533*Q533))*IF(Inputs!$B$39="pvp",1,(1+(Inputs!$B$21+Skills!Q4+B564+(IF(ArtifactsInput!$M$33,CHOOSE(ArtifactsInput!$N$33+1,30,36,42,48,54,60),0))+(IF(AND(ArtifactsInput!$M$35,Inputs!$B$4&lt;&gt;"Chapter Hunt"),CHOOSE(ArtifactsInput!$N$35+1,15,18,21,24,27,30)*(1-EXP(-(0.2*B567)*5)),0)+IF(AND(ArtifactsInput!$M$22,Inputs!$B$4&lt;&gt;"Chapter Hunt"),CHOOSE(ArtifactsInput!$N$22+1,10,12,14,16,18,20)*((0*(((0.15*B567*5))^0/1)+1*(((0.15*B567*5))^1/1)+2*(((0.15*B567*5))^2/2)+3*(((0.15*B567*5))^3/6)+4*(((0.15*B567*5))^4/24)+5*(((0.15*B567*5))^5/120))/((((0.15*B567*5))^0/1)+(((0.15*B567*5))^1/1)+(((0.15*B567*5))^2/2)+(((0.15*B567*5))^3/6)+(((0.15*B567*5))^4/24)+(((0.15*B567*5))^5/120))),0)))/100)*(MIN(MIN(10,IF(Inputs!$B$3&gt;=75,0.75,0.5)*B567*(1/Q533)),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534">
      <c r="A534">
        <f>Skills!A5</f>
        <v/>
      </c>
      <c r="B534">
        <f>Skills!B5</f>
        <v/>
      </c>
      <c r="C534">
        <f>Inputs!$B$3&gt;=75</f>
        <v/>
      </c>
      <c r="D534">
        <f>IF(Skills!C5=1,60+Inputs!$B$25+Inputs!$B$29,IF(Skills!C5=2,90+Inputs!$B$26+Inputs!$B$29,IF(Skills!C5=3,120+Inputs!$B$27+Inputs!$B$29,MAX(0,(Inputs!$B$3-100)*3)+Inputs!$B$28+Inputs!$B$29)))</f>
        <v/>
      </c>
      <c r="E534">
        <f>INDEX(FactorTable!$B$2:$Y$301, MATCH(ROUND(MIN(300,MAX(1,D534)),0), FactorTable!$A$2:$A$301,0), Skills!M5+1)</f>
        <v/>
      </c>
      <c r="F534">
        <f>IF(Skills!N5=TRUE,(Skills!L5/10)*(E534/1000),Skills!L5/10)+Skills!O5</f>
        <v/>
      </c>
      <c r="G534">
        <f>Skills!G5*IF(Skills!H5&gt;0,IF(Inputs!$B$39="pvp",MIN(Skills!I5,15),Skills!I5)/Skills!H5,1)</f>
        <v/>
      </c>
      <c r="H534">
        <f>1-(1-Skills!J5/100)^Skills!K5</f>
        <v/>
      </c>
      <c r="I534" t="inlineStr">
        <is>
          <t>1</t>
        </is>
      </c>
      <c r="J534" t="inlineStr"/>
      <c r="K534" t="inlineStr"/>
      <c r="L534" t="inlineStr"/>
      <c r="M534" t="inlineStr"/>
      <c r="N534" t="inlineStr"/>
      <c r="O534">
        <f>(1-Summary!$B$11)*T534+Summary!$B$11*V534</f>
        <v/>
      </c>
      <c r="P534">
        <f>IF(B575=0,0,O534/B575)</f>
        <v/>
      </c>
      <c r="Q534" t="n">
        <v>0</v>
      </c>
      <c r="R534" t="n">
        <v>0</v>
      </c>
      <c r="S534">
        <f>IFERROR(O534/N534,0)</f>
        <v/>
      </c>
      <c r="T534" t="n">
        <v>0</v>
      </c>
      <c r="V534" t="n">
        <v>0</v>
      </c>
    </row>
    <row r="535">
      <c r="A535">
        <f>Skills!A6</f>
        <v/>
      </c>
      <c r="B535">
        <f>Skills!B6</f>
        <v/>
      </c>
      <c r="C535">
        <f>Inputs!$B$3&gt;=63</f>
        <v/>
      </c>
      <c r="D535">
        <f>IF(Skills!C6=1,60+Inputs!$B$25+Inputs!$B$29,IF(Skills!C6=2,90+Inputs!$B$26+Inputs!$B$29,IF(Skills!C6=3,120+Inputs!$B$27+Inputs!$B$29,MAX(0,(Inputs!$B$3-100)*3)+Inputs!$B$28+Inputs!$B$29)))</f>
        <v/>
      </c>
      <c r="E535">
        <f>INDEX(FactorTable!$B$2:$Y$301, MATCH(ROUND(MIN(300,MAX(1,D535)),0), FactorTable!$A$2:$A$301,0), Skills!M6+1)</f>
        <v/>
      </c>
      <c r="F535">
        <f>IF(Skills!N6=TRUE,(Skills!L6/10)*(E535/1000),Skills!L6/10)+Skills!O6</f>
        <v/>
      </c>
      <c r="G535">
        <f>Skills!G6*IF(Skills!H6&gt;0,IF(Inputs!$B$39="pvp",MIN(Skills!I6,15),Skills!I6)/Skills!H6,1)</f>
        <v/>
      </c>
      <c r="H535">
        <f>1-(1-Skills!J6/100)^Skills!K6</f>
        <v/>
      </c>
      <c r="I535" t="inlineStr">
        <is>
          <t>1</t>
        </is>
      </c>
      <c r="J535">
        <f>((Inputs!$B$6*(1+Inputs!$B$7/100))+(((Inputs!$B$12*(1+Inputs!$B$13/100))-(Inputs!$B$12*(1+Inputs!$B$13/100)))+0.25*(Inputs!$B$14-Inputs!$B$14))*(1+Inputs!$B$7/100))*(F535/100)</f>
        <v/>
      </c>
      <c r="K535">
        <f>J535*(1+((Inputs!$B$12*(1+Inputs!$B$13/100))*0.01+Inputs!$B$14*0.0025)/100)*(1+Inputs!$B$15/100)*(1+Inputs!$B$16/100)*(5000/(6000+Inputs!$B$43*(1-(100*(1-(1-Inputs!$B$19/100)*(1-CHOOSE(ArtifactsInput!$N$40+1,5,6,7,8,9,10)/100)^(ArtifactsInput!$M$40-ArtifactsInput!$M$40)))/100)))*(1+(Inputs!$B$24+((C560=TRUE)*(F560-Calc!F31))+((C547=TRUE)*(F547-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+2.6666666666666665*IF(C548=TRUE,F548,0)/100)*(1+(IF(Skills!A6="CRUEL_STAB",Inputs!$B$17+((C557=TRUE)*(F557-Calc!F28))+((IF(AND(Inputs!$B$39&lt;&gt;"pvp",Inputs!$B$44=0),1,IF(IF(Inputs!$B$39="pvp",15,Inputs!$B$44)-(B574)&lt;=0,1,MAX(0,IF(Inputs!$B$39="pvp",15,Inputs!$B$44)-MAX(5,B574))/(IF(Inputs!$B$39="pvp",15,Inputs!$B$44)-(B574))))*(IF(AND(ArtifactsInput!$M$42,((Inputs!$B$9+((C555=TRUE)*(F555-Calc!F26))+B563+(ArtifactsInput!$M$24-ArtifactsInput!$M$24)*CHOOSE(ArtifactsInput!$N$24+1,10,12,14,16,18,20)+IF(ArtifactsInput!$M$10,CHOOSE(ArtifactsInput!$N$10+1,15,18,21,24,27,30)*(IF(Inputs!$B$39="pvp",MIN(15,15)/15,IF(AND(Inputs!$B$39&lt;&gt;"pvp",Inputs!$B$44&gt;0),MIN(15,Inputs!$B$44)/(Inputs!$B$44),0))),0)))&gt;=100),MIN(100,((Inputs!$B$9+((C555=TRUE)*(F555-Calc!F26))+B563+(ArtifactsInput!$M$24-ArtifactsInput!$M$24)*CHOOSE(ArtifactsInput!$N$24+1,10,12,14,16,18,20)+IF(ArtifactsInput!$M$10,CHOOSE(ArtifactsInput!$N$10+1,15,18,21,24,27,30)*(IF(Inputs!$B$39="pvp",MIN(15,15)/15,IF(AND(Inputs!$B$39&lt;&gt;"pvp",Inputs!$B$44&gt;0),MIN(15,Inputs!$B$44)/(Inputs!$B$44),0))),0)))-100),0))*CHOOSE(ArtifactsInput!$N$42+1,0.6,0.72,0.84,0.96,1.08,1.2))),Inputs!$B$18+((C558=TRUE)*(F558-Calc!F29))+(IF(AND(Inputs!$B$39&lt;&gt;"pvp",Inputs!$B$44=0),1,IF(IF(Inputs!$B$39="pvp",15,Inputs!$B$44)-(B574)&lt;=0,1,MAX(0,IF(Inputs!$B$39="pvp",15,Inputs!$B$44)-MAX(5,B574))/(IF(Inputs!$B$39="pvp",15,Inputs!$B$44)-(B574))))*IF(AND(ArtifactsInput!$M$42,((Inputs!$B$9+((C555=TRUE)*(F555-Calc!F26))+B563+(ArtifactsInput!$M$24-ArtifactsInput!$M$24)*CHOOSE(ArtifactsInput!$N$24+1,10,12,14,16,18,20)+IF(ArtifactsInput!$M$10,CHOOSE(ArtifactsInput!$N$10+1,15,18,21,24,27,30)*(IF(Inputs!$B$39="pvp",MIN(15,15)/15,IF(AND(Inputs!$B$39&lt;&gt;"pvp",Inputs!$B$44&gt;0),MIN(15,Inputs!$B$44)/(Inputs!$B$44),0))),0)))&gt;=100),CHOOSE(ArtifactsInput!$N$42+1,40,48,56,64,72,80),0))))/100)*(((1+(((C551=TRUE)*F551*IF(AND(Inputs!$B$39&lt;&gt;"pvp",Inputs!$B$44&gt;0),(((R551-1)*MIN((Skills!Y22*(1+Inputs!$B$34/100)),(1/Q551))+MIN((Skills!Y22*(1+Inputs!$B$34/100)),MAX(0,Inputs!$B$44-((R551-1)*(1/Q551)))))/Inputs!$B$44),IF(Inputs!$B$39="pvp",MIN((Skills!Y22*(1+Inputs!$B$34/100)),15)/15,MIN(1,(Skills!Y22*(1+Inputs!$B$34/100))/(1/Q551)))))+((C532=TRUE)*F532*3)+((C534=TRUE)*F534*(1-EXP(-0.75*B567*5)))+((C553=TRUE)*(F553-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540=TRUE)*F540*IF(AND(Inputs!$B$39&lt;&gt;"pvp",Inputs!$B$44&gt;0),(((R540-1)*MIN((Skills!Y11*(1+Inputs!$B$34/100)),(1/Q540))+MIN((Skills!Y11*(1+Inputs!$B$34/100)),MAX(0,Inputs!$B$44-((R540-1)*(1/Q540)))))/Inputs!$B$44),IF(Inputs!$B$39="pvp",MIN((Skills!Y11*(1+Inputs!$B$34/100)),15)/15,MIN(1,(Skills!Y11*(1+Inputs!$B$34/100))/(1/Q540)))))/100)*(1+((C545=TRUE)*F545*IF(AND(Inputs!$B$39&lt;&gt;"pvp",Inputs!$B$44&gt;0),(((R545-1)*MIN((Skills!Y16*(1+Inputs!$B$34/100)),(1/Q545))+MIN((Skills!Y16*(1+Inputs!$B$34/100)),MAX(0,Inputs!$B$44-((R545-1)*(1/Q545)))))/Inputs!$B$44),IF(Inputs!$B$39="pvp",MIN((Skills!Y16*(1+Inputs!$B$34/100)),15)/15,MIN(1,(Skills!Y16*(1+Inputs!$B$34/100))/(1/Q545)))))/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565*I535)</f>
        <v/>
      </c>
      <c r="L535">
        <f>K535*(MIN(Inputs!$B$22+((C554=TRUE)*(F554-Calc!F25)),((Inputs!$B$23+1)+((C559=TRUE)*(F559-Calc!F30))+IF(ArtifactsInput!$M$15,CHOOSE(ArtifactsInput!$N$15+1,25,30,35,40,45,50)/100*(Inputs!$B$11-Inputs!$B$11),0)))/100+((Inputs!$B$23+1)+((C559=TRUE)*(F559-Calc!F30))+IF(ArtifactsInput!$M$15,CHOOSE(ArtifactsInput!$N$15+1,25,30,35,40,45,50)/100*(Inputs!$B$11-Inputs!$B$11),0))/100)/2</f>
        <v/>
      </c>
      <c r="M535">
        <f>L535*(1+(Inputs!$B$10+((C556=TRUE)*(F556-Calc!F27))+B570+(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535">
        <f>L535*(1-MIN((Inputs!$B$9+((C555=TRUE)*(F555-Calc!F26))+B563+(ArtifactsInput!$M$24-ArtifactsInput!$M$24)*CHOOSE(ArtifactsInput!$N$24+1,10,12,14,16,18,20)+(IF(AND(Inputs!$B$39&lt;&gt;"pvp",Inputs!$B$44=0),1,IF(IF(Inputs!$B$39="pvp",15,Inputs!$B$44)-(B574)&lt;=0,1,MAX(0,IF(Inputs!$B$39="pvp",15,Inputs!$B$44)-MAX(5,B574))/(IF(Inputs!$B$39="pvp",15,Inputs!$B$44)-(B574))))*IF(AND(ArtifactsInput!$M$42,((Inputs!$B$9+((C555=TRUE)*(F555-Calc!F26))+B563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535*(MIN((Inputs!$B$9+((C555=TRUE)*(F555-Calc!F26))+B563+(ArtifactsInput!$M$24-ArtifactsInput!$M$24)*CHOOSE(ArtifactsInput!$N$24+1,10,12,14,16,18,20)+(IF(AND(Inputs!$B$39&lt;&gt;"pvp",Inputs!$B$44=0),1,IF(IF(Inputs!$B$39="pvp",15,Inputs!$B$44)-(B574)&lt;=0,1,MAX(0,IF(Inputs!$B$39="pvp",15,Inputs!$B$44)-MAX(5,B574))/(IF(Inputs!$B$39="pvp",15,Inputs!$B$44)-(B574))))*IF(AND(ArtifactsInput!$M$42,((Inputs!$B$9+((C555=TRUE)*(F555-Calc!F26))+B563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535">
        <f>(1-Summary!$B$11)*T535+Summary!$B$11*V535</f>
        <v/>
      </c>
      <c r="P535">
        <f>IF(B575=0,0,O535/B575)</f>
        <v/>
      </c>
      <c r="Q535">
        <f>IFERROR(1/IF(Inputs!$B$39="pvp",15,MAX(0.1,Skills!D6-IF(TRUE=TRUE,Inputs!$B$32,0))),0)</f>
        <v/>
      </c>
      <c r="R535">
        <f>IF(AND(Inputs!$B$39&lt;&gt;"pvp",Inputs!$B$44&gt;0),IF(MAX(0,Inputs!$B$44-B574)&lt;=0,0,(INT(MAX(0,Inputs!$B$44-B574)/IF(Inputs!$B$39="pvp",15,MAX(0.1,Skills!D6-IF(TRUE=TRUE,Inputs!$B$32,0))))+1)),0)</f>
        <v/>
      </c>
      <c r="S535">
        <f>IFERROR(O535/N535,0)</f>
        <v/>
      </c>
      <c r="T535">
        <f>IF(C535,(H535*N535*IF(AND(Inputs!$B$39&lt;&gt;"pvp",Inputs!$B$44&gt;0),((Skills!G6*((R535-1)*IF(Skills!H6&gt;0,Skills!I6/Skills!H6,1)+IF(Skills!H6&gt;0,MIN(Skills!I6,MAX(0,MAX(0,Inputs!$B$44-B574)-((R535-1)*IF(Inputs!$B$39="pvp",15,MAX(0.1,Skills!D6-IF(TRUE=TRUE,Inputs!$B$32,0))))))/Skills!H6,1)))/Inputs!$B$44),G535*Q535))*IF(Inputs!$B$39="pvp",1,1+(Inputs!$B$20+0+Skills!P6+B564+(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Hunt"),CHOOSE(ArtifactsInput!$N$35+1,15,18,21,24,27,30)*(1-EXP(-(0.2*B567)*5)),0)+IF(AND(ArtifactsInput!$M$22,Inputs!$B$4&lt;&gt;"Chapter Hunt"),CHOOSE(ArtifactsInput!$N$22+1,10,12,14,16,18,20)*((0*(((0.15*B567*5))^0/1)+1*(((0.15*B567*5))^1/1)+2*(((0.15*B567*5))^2/2)+3*(((0.15*B567*5))^3/6)+4*(((0.15*B567*5))^4/24)+5*(((0.15*B567*5))^5/120))/((((0.15*B567*5))^0/1)+(((0.15*B567*5))^1/1)+(((0.15*B567*5))^2/2)+(((0.15*B567*5))^3/6)+(((0.15*B567*5))^4/24)+(((0.15*B567*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535*(1-MIN(100,(Inputs!$B$9+((C555=TRUE)*(F555-Calc!F26))+B563+(ArtifactsInput!$M$24-ArtifactsInput!$M$24)*CHOOSE(ArtifactsInput!$N$24+1,10,12,14,16,18,20)+(IF(AND(Inputs!$B$39&lt;&gt;"pvp",Inputs!$B$44=0),1,IF(IF(Inputs!$B$39="pvp",15,Inputs!$B$44)-(B574)&lt;=0,1,MAX(0,IF(Inputs!$B$39="pvp",15,Inputs!$B$44)-MAX(5,B574))/(IF(Inputs!$B$39="pvp",15,Inputs!$B$44)-(B574))))*IF(AND(ArtifactsInput!$M$42,((Inputs!$B$9+((C555=TRUE)*(F555-Calc!F26))+B563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535*(MIN(100,(Inputs!$B$9+((C555=TRUE)*(F555-Calc!F26))+B563+(ArtifactsInput!$M$24-ArtifactsInput!$M$24)*CHOOSE(ArtifactsInput!$N$24+1,10,12,14,16,18,20)+(IF(AND(Inputs!$B$39&lt;&gt;"pvp",Inputs!$B$44=0),1,IF(IF(Inputs!$B$39="pvp",15,Inputs!$B$44)-(B574)&lt;=0,1,MAX(0,IF(Inputs!$B$39="pvp",15,Inputs!$B$44)-MAX(5,B574))/(IF(Inputs!$B$39="pvp",15,Inputs!$B$44)-(B574))))*IF(AND(ArtifactsInput!$M$42,((Inputs!$B$9+((C555=TRUE)*(F555-Calc!F26))+B563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535*(1-MIN(100,(Inputs!$B$9+((C555=TRUE)*(F555-Calc!F26))+B563+(ArtifactsInput!$M$24-ArtifactsInput!$M$24)*CHOOSE(ArtifactsInput!$N$24+1,10,12,14,16,18,20)+(IF(AND(Inputs!$B$39&lt;&gt;"pvp",Inputs!$B$44=0),1,IF(IF(Inputs!$B$39="pvp",15,Inputs!$B$44)-(B574)&lt;=0,1,MAX(0,IF(Inputs!$B$39="pvp",15,Inputs!$B$44)-MAX(5,B574))/(IF(Inputs!$B$39="pvp",15,Inputs!$B$44)-(B574))))*IF(AND(ArtifactsInput!$M$42,((Inputs!$B$9+((C555=TRUE)*(F555-Calc!F26))+B563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535*(MIN(100,(Inputs!$B$9+((C555=TRUE)*(F555-Calc!F26))+B563+(ArtifactsInput!$M$24-ArtifactsInput!$M$24)*CHOOSE(ArtifactsInput!$N$24+1,10,12,14,16,18,20)+(IF(AND(Inputs!$B$39&lt;&gt;"pvp",Inputs!$B$44=0),1,IF(IF(Inputs!$B$39="pvp",15,Inputs!$B$44)-(B574)&lt;=0,1,MAX(0,IF(Inputs!$B$39="pvp",15,Inputs!$B$44)-MAX(5,B574))/(IF(Inputs!$B$39="pvp",15,Inputs!$B$44)-(B574))))*IF(AND(ArtifactsInput!$M$42,((Inputs!$B$9+((C555=TRUE)*(F555-Calc!F26))+B563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535">
        <f>IF(C535,(H535*N535*IF(AND(Inputs!$B$39&lt;&gt;"pvp",Inputs!$B$44&gt;0),((Skills!G6*((R535-1)*IF(Skills!H6&gt;0,Skills!I6/Skills!H6,1)+IF(Skills!H6&gt;0,MIN(Skills!I6,MAX(0,MAX(0,Inputs!$B$44-B574)-((R535-1)*IF(Inputs!$B$39="pvp",15,MAX(0.1,Skills!D6-IF(TRUE=TRUE,Inputs!$B$32,0))))))/Skills!H6,1)))/Inputs!$B$44),G535*Q535))*IF(Inputs!$B$39="pvp",1,(1+(Inputs!$B$21+Skills!Q6+B564+(IF(ArtifactsInput!$M$33,CHOOSE(ArtifactsInput!$N$33+1,30,36,42,48,54,60),0))+(IF(AND(ArtifactsInput!$M$35,Inputs!$B$4&lt;&gt;"Chapter Hunt"),CHOOSE(ArtifactsInput!$N$35+1,15,18,21,24,27,30)*(1-EXP(-(0.2*B567)*5)),0)+IF(AND(ArtifactsInput!$M$22,Inputs!$B$4&lt;&gt;"Chapter Hunt"),CHOOSE(ArtifactsInput!$N$22+1,10,12,14,16,18,20)*((0*(((0.15*B567*5))^0/1)+1*(((0.15*B567*5))^1/1)+2*(((0.15*B567*5))^2/2)+3*(((0.15*B567*5))^3/6)+4*(((0.15*B567*5))^4/24)+5*(((0.15*B567*5))^5/120))/((((0.15*B567*5))^0/1)+(((0.15*B567*5))^1/1)+(((0.15*B567*5))^2/2)+(((0.15*B567*5))^3/6)+(((0.15*B567*5))^4/24)+(((0.15*B567*5))^5/120))),0)))/100)*(MIN(Skills!W6,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536">
      <c r="A536">
        <f>Skills!A7</f>
        <v/>
      </c>
      <c r="B536">
        <f>Skills!B7</f>
        <v/>
      </c>
      <c r="C536">
        <f>Inputs!$B$3&gt;=69</f>
        <v/>
      </c>
      <c r="D536">
        <f>IF(Skills!C7=1,60+Inputs!$B$25+Inputs!$B$29,IF(Skills!C7=2,90+Inputs!$B$26+Inputs!$B$29,IF(Skills!C7=3,120+Inputs!$B$27+Inputs!$B$29,MAX(0,(Inputs!$B$3-100)*3)+Inputs!$B$28+Inputs!$B$29)))</f>
        <v/>
      </c>
      <c r="E536">
        <f>INDEX(FactorTable!$B$2:$Y$301, MATCH(ROUND(MIN(300,MAX(1,D536)),0), FactorTable!$A$2:$A$301,0), Skills!M7+1)</f>
        <v/>
      </c>
      <c r="F536">
        <f>IF(Skills!N7=TRUE,(Skills!L7/10)*(E536/1000),Skills!L7/10)+Skills!O7</f>
        <v/>
      </c>
      <c r="G536">
        <f>Skills!G7*IF(Skills!H7&gt;0,IF(Inputs!$B$39="pvp",MIN(Skills!I7,15),Skills!I7)/Skills!H7,1)</f>
        <v/>
      </c>
      <c r="H536">
        <f>1-(1-Skills!J7/100)^Skills!K7</f>
        <v/>
      </c>
      <c r="I536" t="inlineStr">
        <is>
          <t>1</t>
        </is>
      </c>
      <c r="J536">
        <f>((Inputs!$B$6*(1+Inputs!$B$7/100))+(((Inputs!$B$12*(1+Inputs!$B$13/100))-(Inputs!$B$12*(1+Inputs!$B$13/100)))+0.25*(Inputs!$B$14-Inputs!$B$14))*(1+Inputs!$B$7/100))*(F536/100)</f>
        <v/>
      </c>
      <c r="K536">
        <f>J536*(1+((Inputs!$B$12*(1+Inputs!$B$13/100))*0.01+Inputs!$B$14*0.0025)/100)*(1+Inputs!$B$15/100)*(1+Inputs!$B$16/100)*(5000/(6000+Inputs!$B$43*(1-(100*(1-(1-Inputs!$B$19/100)*(1-CHOOSE(ArtifactsInput!$N$40+1,5,6,7,8,9,10)/100)^(ArtifactsInput!$M$40-ArtifactsInput!$M$40)))/100)))*(1+(Inputs!$B$24+((C560=TRUE)*(F560-Calc!F31))+((C547=TRUE)*(F547-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548=TRUE,F548,0)/100)*(1+(IF(Skills!A7="CRUEL_STAB",Inputs!$B$17+((C557=TRUE)*(F557-Calc!F28))+((IF(AND(Inputs!$B$39&lt;&gt;"pvp",Inputs!$B$44=0),1,IF(IF(Inputs!$B$39="pvp",15,Inputs!$B$44)-(B574)&lt;=0,1,MAX(0,IF(Inputs!$B$39="pvp",15,Inputs!$B$44)-MAX(5,B574))/(IF(Inputs!$B$39="pvp",15,Inputs!$B$44)-(B574))))*(IF(AND(ArtifactsInput!$M$42,((Inputs!$B$9+((C555=TRUE)*(F555-Calc!F26))+B563+(ArtifactsInput!$M$24-ArtifactsInput!$M$24)*CHOOSE(ArtifactsInput!$N$24+1,10,12,14,16,18,20)+IF(ArtifactsInput!$M$10,CHOOSE(ArtifactsInput!$N$10+1,15,18,21,24,27,30)*(IF(Inputs!$B$39="pvp",MIN(15,15)/15,IF(AND(Inputs!$B$39&lt;&gt;"pvp",Inputs!$B$44&gt;0),MIN(15,Inputs!$B$44)/(Inputs!$B$44),0))),0)))&gt;=100),MIN(100,((Inputs!$B$9+((C555=TRUE)*(F555-Calc!F26))+B563+(ArtifactsInput!$M$24-ArtifactsInput!$M$24)*CHOOSE(ArtifactsInput!$N$24+1,10,12,14,16,18,20)+IF(ArtifactsInput!$M$10,CHOOSE(ArtifactsInput!$N$10+1,15,18,21,24,27,30)*(IF(Inputs!$B$39="pvp",MIN(15,15)/15,IF(AND(Inputs!$B$39&lt;&gt;"pvp",Inputs!$B$44&gt;0),MIN(15,Inputs!$B$44)/(Inputs!$B$44),0))),0)))-100),0))*CHOOSE(ArtifactsInput!$N$42+1,0.6,0.72,0.84,0.96,1.08,1.2))),Inputs!$B$18+((C558=TRUE)*(F558-Calc!F29))+(IF(AND(Inputs!$B$39&lt;&gt;"pvp",Inputs!$B$44=0),1,IF(IF(Inputs!$B$39="pvp",15,Inputs!$B$44)-(B574)&lt;=0,1,MAX(0,IF(Inputs!$B$39="pvp",15,Inputs!$B$44)-MAX(5,B574))/(IF(Inputs!$B$39="pvp",15,Inputs!$B$44)-(B574))))*IF(AND(ArtifactsInput!$M$42,((Inputs!$B$9+((C555=TRUE)*(F555-Calc!F26))+B563+(ArtifactsInput!$M$24-ArtifactsInput!$M$24)*CHOOSE(ArtifactsInput!$N$24+1,10,12,14,16,18,20)+IF(ArtifactsInput!$M$10,CHOOSE(ArtifactsInput!$N$10+1,15,18,21,24,27,30)*(IF(Inputs!$B$39="pvp",MIN(15,15)/15,IF(AND(Inputs!$B$39&lt;&gt;"pvp",Inputs!$B$44&gt;0),MIN(15,Inputs!$B$44)/(Inputs!$B$44),0))),0)))&gt;=100),CHOOSE(ArtifactsInput!$N$42+1,40,48,56,64,72,80),0))))/100)*(((1+(((C551=TRUE)*F551*IF(AND(Inputs!$B$39&lt;&gt;"pvp",Inputs!$B$44&gt;0),(((R551-1)*MIN((Skills!Y22*(1+Inputs!$B$34/100)),(1/Q551))+MIN((Skills!Y22*(1+Inputs!$B$34/100)),MAX(0,Inputs!$B$44-((R551-1)*(1/Q551)))))/Inputs!$B$44),IF(Inputs!$B$39="pvp",MIN((Skills!Y22*(1+Inputs!$B$34/100)),15)/15,MIN(1,(Skills!Y22*(1+Inputs!$B$34/100))/(1/Q551)))))+((C532=TRUE)*F532*3)+((C534=TRUE)*F534*(1-EXP(-0.75*B567*5)))+((C553=TRUE)*(F553-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540=TRUE)*F540*IF(AND(Inputs!$B$39&lt;&gt;"pvp",Inputs!$B$44&gt;0),(((R540-1)*MIN((Skills!Y11*(1+Inputs!$B$34/100)),(1/Q540))+MIN((Skills!Y11*(1+Inputs!$B$34/100)),MAX(0,Inputs!$B$44-((R540-1)*(1/Q540)))))/Inputs!$B$44),IF(Inputs!$B$39="pvp",MIN((Skills!Y11*(1+Inputs!$B$34/100)),15)/15,MIN(1,(Skills!Y11*(1+Inputs!$B$34/100))/(1/Q540)))))/100)*(1+((C545=TRUE)*F545*IF(AND(Inputs!$B$39&lt;&gt;"pvp",Inputs!$B$44&gt;0),(((R545-1)*MIN((Skills!Y16*(1+Inputs!$B$34/100)),(1/Q545))+MIN((Skills!Y16*(1+Inputs!$B$34/100)),MAX(0,Inputs!$B$44-((R545-1)*(1/Q545)))))/Inputs!$B$44),IF(Inputs!$B$39="pvp",MIN((Skills!Y16*(1+Inputs!$B$34/100)),15)/15,MIN(1,(Skills!Y16*(1+Inputs!$B$34/100))/(1/Q545)))))/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565*I536)</f>
        <v/>
      </c>
      <c r="L536">
        <f>K536*(MIN(Inputs!$B$22+((C554=TRUE)*(F554-Calc!F25)),((Inputs!$B$23+1)+((C559=TRUE)*(F559-Calc!F30))+IF(ArtifactsInput!$M$15,CHOOSE(ArtifactsInput!$N$15+1,25,30,35,40,45,50)/100*(Inputs!$B$11-Inputs!$B$11),0)))/100+((Inputs!$B$23+1)+((C559=TRUE)*(F559-Calc!F30))+IF(ArtifactsInput!$M$15,CHOOSE(ArtifactsInput!$N$15+1,25,30,35,40,45,50)/100*(Inputs!$B$11-Inputs!$B$11),0))/100)/2</f>
        <v/>
      </c>
      <c r="M536">
        <f>L536*(1+(Inputs!$B$10+((C556=TRUE)*(F556-Calc!F27))+B570+(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536">
        <f>L536*(1-MIN((Inputs!$B$9+((C555=TRUE)*(F555-Calc!F26))+B563+(ArtifactsInput!$M$24-ArtifactsInput!$M$24)*CHOOSE(ArtifactsInput!$N$24+1,10,12,14,16,18,20)+(IF(AND(Inputs!$B$39&lt;&gt;"pvp",Inputs!$B$44=0),1,IF(IF(Inputs!$B$39="pvp",15,Inputs!$B$44)-(B574)&lt;=0,1,MAX(0,IF(Inputs!$B$39="pvp",15,Inputs!$B$44)-MAX(5,B574))/(IF(Inputs!$B$39="pvp",15,Inputs!$B$44)-(B574))))*IF(AND(ArtifactsInput!$M$42,((Inputs!$B$9+((C555=TRUE)*(F555-Calc!F26))+B563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536*(MIN((Inputs!$B$9+((C555=TRUE)*(F555-Calc!F26))+B563+(ArtifactsInput!$M$24-ArtifactsInput!$M$24)*CHOOSE(ArtifactsInput!$N$24+1,10,12,14,16,18,20)+(IF(AND(Inputs!$B$39&lt;&gt;"pvp",Inputs!$B$44=0),1,IF(IF(Inputs!$B$39="pvp",15,Inputs!$B$44)-(B574)&lt;=0,1,MAX(0,IF(Inputs!$B$39="pvp",15,Inputs!$B$44)-MAX(5,B574))/(IF(Inputs!$B$39="pvp",15,Inputs!$B$44)-(B574))))*IF(AND(ArtifactsInput!$M$42,((Inputs!$B$9+((C555=TRUE)*(F555-Calc!F26))+B563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536">
        <f>(1-Summary!$B$11)*T536+Summary!$B$11*V536</f>
        <v/>
      </c>
      <c r="P536">
        <f>IF(B575=0,0,O536/B575)</f>
        <v/>
      </c>
      <c r="Q536">
        <f>IFERROR(1/IF(Inputs!$B$39="pvp",15,MAX(0.1,Skills!D7-IF(TRUE=TRUE,Inputs!$B$32,0))),0)</f>
        <v/>
      </c>
      <c r="R536">
        <f>IF(AND(Inputs!$B$39&lt;&gt;"pvp",Inputs!$B$44&gt;0),IF(MAX(0,Inputs!$B$44-B574)&lt;=0,0,(INT(MAX(0,Inputs!$B$44-B574)/IF(Inputs!$B$39="pvp",15,MAX(0.1,Skills!D7-IF(TRUE=TRUE,Inputs!$B$32,0))))+1)),0)</f>
        <v/>
      </c>
      <c r="S536">
        <f>IFERROR(O536/N536,0)</f>
        <v/>
      </c>
      <c r="T536">
        <f>IF(C536,(H536*N536*IF(AND(Inputs!$B$39&lt;&gt;"pvp",Inputs!$B$44&gt;0),((Skills!G7*((R536-1)*IF(Skills!H7&gt;0,Skills!I7/Skills!H7,1)+IF(Skills!H7&gt;0,MIN(Skills!I7,MAX(0,MAX(0,Inputs!$B$44-B574)-((R536-1)*IF(Inputs!$B$39="pvp",15,MAX(0.1,Skills!D7-IF(TRUE=TRUE,Inputs!$B$32,0))))))/Skills!H7,1)))/Inputs!$B$44),G536*Q536))*IF(Inputs!$B$39="pvp",1,1+(Inputs!$B$20+0+Skills!P7+B564+(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Hunt"),CHOOSE(ArtifactsInput!$N$35+1,15,18,21,24,27,30)*(1-EXP(-(0.2*B567)*5)),0)+IF(AND(ArtifactsInput!$M$22,Inputs!$B$4&lt;&gt;"Chapter Hunt"),CHOOSE(ArtifactsInput!$N$22+1,10,12,14,16,18,20)*((0*(((0.15*B567*5))^0/1)+1*(((0.15*B567*5))^1/1)+2*(((0.15*B567*5))^2/2)+3*(((0.15*B567*5))^3/6)+4*(((0.15*B567*5))^4/24)+5*(((0.15*B567*5))^5/120))/((((0.15*B567*5))^0/1)+(((0.15*B567*5))^1/1)+(((0.15*B567*5))^2/2)+(((0.15*B567*5))^3/6)+(((0.15*B567*5))^4/24)+(((0.15*B567*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536*(1-MIN(100,(Inputs!$B$9+((C555=TRUE)*(F555-Calc!F26))+B563+(ArtifactsInput!$M$24-ArtifactsInput!$M$24)*CHOOSE(ArtifactsInput!$N$24+1,10,12,14,16,18,20)+(IF(AND(Inputs!$B$39&lt;&gt;"pvp",Inputs!$B$44=0),1,IF(IF(Inputs!$B$39="pvp",15,Inputs!$B$44)-(B574)&lt;=0,1,MAX(0,IF(Inputs!$B$39="pvp",15,Inputs!$B$44)-MAX(5,B574))/(IF(Inputs!$B$39="pvp",15,Inputs!$B$44)-(B574))))*IF(AND(ArtifactsInput!$M$42,((Inputs!$B$9+((C555=TRUE)*(F555-Calc!F26))+B563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536*(MIN(100,(Inputs!$B$9+((C555=TRUE)*(F555-Calc!F26))+B563+(ArtifactsInput!$M$24-ArtifactsInput!$M$24)*CHOOSE(ArtifactsInput!$N$24+1,10,12,14,16,18,20)+(IF(AND(Inputs!$B$39&lt;&gt;"pvp",Inputs!$B$44=0),1,IF(IF(Inputs!$B$39="pvp",15,Inputs!$B$44)-(B574)&lt;=0,1,MAX(0,IF(Inputs!$B$39="pvp",15,Inputs!$B$44)-MAX(5,B574))/(IF(Inputs!$B$39="pvp",15,Inputs!$B$44)-(B574))))*IF(AND(ArtifactsInput!$M$42,((Inputs!$B$9+((C555=TRUE)*(F555-Calc!F26))+B563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536*(1-MIN(100,(Inputs!$B$9+((C555=TRUE)*(F555-Calc!F26))+B563+(ArtifactsInput!$M$24-ArtifactsInput!$M$24)*CHOOSE(ArtifactsInput!$N$24+1,10,12,14,16,18,20)+(IF(AND(Inputs!$B$39&lt;&gt;"pvp",Inputs!$B$44=0),1,IF(IF(Inputs!$B$39="pvp",15,Inputs!$B$44)-(B574)&lt;=0,1,MAX(0,IF(Inputs!$B$39="pvp",15,Inputs!$B$44)-MAX(5,B574))/(IF(Inputs!$B$39="pvp",15,Inputs!$B$44)-(B574))))*IF(AND(ArtifactsInput!$M$42,((Inputs!$B$9+((C555=TRUE)*(F555-Calc!F26))+B563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536*(MIN(100,(Inputs!$B$9+((C555=TRUE)*(F555-Calc!F26))+B563+(ArtifactsInput!$M$24-ArtifactsInput!$M$24)*CHOOSE(ArtifactsInput!$N$24+1,10,12,14,16,18,20)+(IF(AND(Inputs!$B$39&lt;&gt;"pvp",Inputs!$B$44=0),1,IF(IF(Inputs!$B$39="pvp",15,Inputs!$B$44)-(B574)&lt;=0,1,MAX(0,IF(Inputs!$B$39="pvp",15,Inputs!$B$44)-MAX(5,B574))/(IF(Inputs!$B$39="pvp",15,Inputs!$B$44)-(B574))))*IF(AND(ArtifactsInput!$M$42,((Inputs!$B$9+((C555=TRUE)*(F555-Calc!F26))+B563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536">
        <f>IF(C536,(H536*N536*IF(AND(Inputs!$B$39&lt;&gt;"pvp",Inputs!$B$44&gt;0),((Skills!G7*((R536-1)*IF(Skills!H7&gt;0,Skills!I7/Skills!H7,1)+IF(Skills!H7&gt;0,MIN(Skills!I7,MAX(0,MAX(0,Inputs!$B$44-B574)-((R536-1)*IF(Inputs!$B$39="pvp",15,MAX(0.1,Skills!D7-IF(TRUE=TRUE,Inputs!$B$32,0))))))/Skills!H7,1)))/Inputs!$B$44),G536*Q536))*IF(Inputs!$B$39="pvp",1,(1+(Inputs!$B$21+Skills!Q7+B564+(IF(ArtifactsInput!$M$33,CHOOSE(ArtifactsInput!$N$33+1,30,36,42,48,54,60),0))+(IF(AND(ArtifactsInput!$M$35,Inputs!$B$4&lt;&gt;"Chapter Hunt"),CHOOSE(ArtifactsInput!$N$35+1,15,18,21,24,27,30)*(1-EXP(-(0.2*B567)*5)),0)+IF(AND(ArtifactsInput!$M$22,Inputs!$B$4&lt;&gt;"Chapter Hunt"),CHOOSE(ArtifactsInput!$N$22+1,10,12,14,16,18,20)*((0*(((0.15*B567*5))^0/1)+1*(((0.15*B567*5))^1/1)+2*(((0.15*B567*5))^2/2)+3*(((0.15*B567*5))^3/6)+4*(((0.15*B567*5))^4/24)+5*(((0.15*B567*5))^5/120))/((((0.15*B567*5))^0/1)+(((0.15*B567*5))^1/1)+(((0.15*B567*5))^2/2)+(((0.15*B567*5))^3/6)+(((0.15*B567*5))^4/24)+(((0.15*B567*5))^5/120))),0)))/100)*(MIN(Skills!W7,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537">
      <c r="A537">
        <f>Skills!A8</f>
        <v/>
      </c>
      <c r="B537">
        <f>Skills!B8</f>
        <v/>
      </c>
      <c r="C537">
        <f>Inputs!$B$3&gt;=60</f>
        <v/>
      </c>
      <c r="D537">
        <f>IF(Skills!C8=1,60+Inputs!$B$25+Inputs!$B$29,IF(Skills!C8=2,90+Inputs!$B$26+Inputs!$B$29,IF(Skills!C8=3,120+Inputs!$B$27+Inputs!$B$29,MAX(0,(Inputs!$B$3-100)*3)+Inputs!$B$28+Inputs!$B$29)))</f>
        <v/>
      </c>
      <c r="E537">
        <f>INDEX(FactorTable!$B$2:$Y$301, MATCH(ROUND(MIN(300,MAX(1,D537)),0), FactorTable!$A$2:$A$301,0), Skills!M8+1)</f>
        <v/>
      </c>
      <c r="F537">
        <f>IF(Skills!N8=TRUE,(Skills!L8/10)*(E537/1000),Skills!L8/10)+Skills!O8</f>
        <v/>
      </c>
      <c r="G537">
        <f>Skills!G8*IF(Skills!H8&gt;0,IF(Inputs!$B$39="pvp",MIN(Skills!I8,15),Skills!I8)/Skills!H8,1)</f>
        <v/>
      </c>
      <c r="H537">
        <f>1-(1-Skills!J8/100)^Skills!K8</f>
        <v/>
      </c>
      <c r="I537" t="inlineStr">
        <is>
          <t>1</t>
        </is>
      </c>
      <c r="J537" t="inlineStr"/>
      <c r="K537" t="inlineStr"/>
      <c r="L537" t="inlineStr"/>
      <c r="M537" t="inlineStr"/>
      <c r="N537" t="inlineStr"/>
      <c r="O537">
        <f>(1-Summary!$B$11)*T537+Summary!$B$11*V537</f>
        <v/>
      </c>
      <c r="P537">
        <f>IF(B575=0,0,O537/B575)</f>
        <v/>
      </c>
      <c r="Q537" t="n">
        <v>0</v>
      </c>
      <c r="R537" t="n">
        <v>0</v>
      </c>
      <c r="S537">
        <f>IFERROR(O537/N537,0)</f>
        <v/>
      </c>
      <c r="T537" t="n">
        <v>0</v>
      </c>
      <c r="V537" t="n">
        <v>0</v>
      </c>
    </row>
    <row r="538">
      <c r="A538">
        <f>Skills!A9</f>
        <v/>
      </c>
      <c r="B538">
        <f>Skills!B9</f>
        <v/>
      </c>
      <c r="C538">
        <f>Inputs!$B$3&gt;=72</f>
        <v/>
      </c>
      <c r="D538">
        <f>IF(Skills!C9=1,60+Inputs!$B$25+Inputs!$B$29,IF(Skills!C9=2,90+Inputs!$B$26+Inputs!$B$29,IF(Skills!C9=3,120+Inputs!$B$27+Inputs!$B$29,MAX(0,(Inputs!$B$3-100)*3)+Inputs!$B$28+Inputs!$B$29)))</f>
        <v/>
      </c>
      <c r="E538">
        <f>INDEX(FactorTable!$B$2:$Y$301, MATCH(ROUND(MIN(300,MAX(1,D538)),0), FactorTable!$A$2:$A$301,0), Skills!M9+1)</f>
        <v/>
      </c>
      <c r="F538">
        <f>IF(Skills!N9=TRUE,(Skills!L9/10)*(E538/1000),Skills!L9/10)+Skills!O9</f>
        <v/>
      </c>
      <c r="G538">
        <f>Skills!G9*IF(Skills!H9&gt;0,IF(Inputs!$B$39="pvp",MIN(Skills!I9,15),Skills!I9)/Skills!H9,1)</f>
        <v/>
      </c>
      <c r="H538">
        <f>1-(1-Skills!J9/100)^Skills!K9</f>
        <v/>
      </c>
      <c r="I538" t="inlineStr">
        <is>
          <t>1</t>
        </is>
      </c>
      <c r="J538">
        <f>((Inputs!$B$6*(1+Inputs!$B$7/100))+(((Inputs!$B$12*(1+Inputs!$B$13/100))-(Inputs!$B$12*(1+Inputs!$B$13/100)))+0.25*(Inputs!$B$14-Inputs!$B$14))*(1+Inputs!$B$7/100))*(F538/100)</f>
        <v/>
      </c>
      <c r="K538">
        <f>J538*(1+((Inputs!$B$12*(1+Inputs!$B$13/100))*0.01+Inputs!$B$14*0.0025)/100)*(1+Inputs!$B$15/100)*(1+Inputs!$B$16/100)*(5000/(6000+Inputs!$B$43*(1-(100*(1-(1-Inputs!$B$19/100)*(1-CHOOSE(ArtifactsInput!$N$40+1,5,6,7,8,9,10)/100)^(ArtifactsInput!$M$40-ArtifactsInput!$M$40)))/100)))*(1+(Inputs!$B$24+((C560=TRUE)*(F560-Calc!F31))+((C547=TRUE)*(F547-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+3.3333333333333335*IF(C548=TRUE,F548,0)/100)*(1+(IF(Skills!A9="CRUEL_STAB",Inputs!$B$17+((C557=TRUE)*(F557-Calc!F28))+((IF(AND(Inputs!$B$39&lt;&gt;"pvp",Inputs!$B$44=0),1,IF(IF(Inputs!$B$39="pvp",15,Inputs!$B$44)-(B574)&lt;=0,1,MAX(0,IF(Inputs!$B$39="pvp",15,Inputs!$B$44)-MAX(5,B574))/(IF(Inputs!$B$39="pvp",15,Inputs!$B$44)-(B574))))*(IF(AND(ArtifactsInput!$M$42,((Inputs!$B$9+((C555=TRUE)*(F555-Calc!F26))+B563+(ArtifactsInput!$M$24-ArtifactsInput!$M$24)*CHOOSE(ArtifactsInput!$N$24+1,10,12,14,16,18,20)+IF(ArtifactsInput!$M$10,CHOOSE(ArtifactsInput!$N$10+1,15,18,21,24,27,30)*(IF(Inputs!$B$39="pvp",MIN(15,15)/15,IF(AND(Inputs!$B$39&lt;&gt;"pvp",Inputs!$B$44&gt;0),MIN(15,Inputs!$B$44)/(Inputs!$B$44),0))),0)))&gt;=100),MIN(100,((Inputs!$B$9+((C555=TRUE)*(F555-Calc!F26))+B563+(ArtifactsInput!$M$24-ArtifactsInput!$M$24)*CHOOSE(ArtifactsInput!$N$24+1,10,12,14,16,18,20)+IF(ArtifactsInput!$M$10,CHOOSE(ArtifactsInput!$N$10+1,15,18,21,24,27,30)*(IF(Inputs!$B$39="pvp",MIN(15,15)/15,IF(AND(Inputs!$B$39&lt;&gt;"pvp",Inputs!$B$44&gt;0),MIN(15,Inputs!$B$44)/(Inputs!$B$44),0))),0)))-100),0))*CHOOSE(ArtifactsInput!$N$42+1,0.6,0.72,0.84,0.96,1.08,1.2))),Inputs!$B$18+((C558=TRUE)*(F558-Calc!F29))+(IF(AND(Inputs!$B$39&lt;&gt;"pvp",Inputs!$B$44=0),1,IF(IF(Inputs!$B$39="pvp",15,Inputs!$B$44)-(B574)&lt;=0,1,MAX(0,IF(Inputs!$B$39="pvp",15,Inputs!$B$44)-MAX(5,B574))/(IF(Inputs!$B$39="pvp",15,Inputs!$B$44)-(B574))))*IF(AND(ArtifactsInput!$M$42,((Inputs!$B$9+((C555=TRUE)*(F555-Calc!F26))+B563+(ArtifactsInput!$M$24-ArtifactsInput!$M$24)*CHOOSE(ArtifactsInput!$N$24+1,10,12,14,16,18,20)+IF(ArtifactsInput!$M$10,CHOOSE(ArtifactsInput!$N$10+1,15,18,21,24,27,30)*(IF(Inputs!$B$39="pvp",MIN(15,15)/15,IF(AND(Inputs!$B$39&lt;&gt;"pvp",Inputs!$B$44&gt;0),MIN(15,Inputs!$B$44)/(Inputs!$B$44),0))),0)))&gt;=100),CHOOSE(ArtifactsInput!$N$42+1,40,48,56,64,72,80),0))))/100)*(((1+(((C551=TRUE)*F551*IF(AND(Inputs!$B$39&lt;&gt;"pvp",Inputs!$B$44&gt;0),(((R551-1)*MIN((Skills!Y22*(1+Inputs!$B$34/100)),(1/Q551))+MIN((Skills!Y22*(1+Inputs!$B$34/100)),MAX(0,Inputs!$B$44-((R551-1)*(1/Q551)))))/Inputs!$B$44),IF(Inputs!$B$39="pvp",MIN((Skills!Y22*(1+Inputs!$B$34/100)),15)/15,MIN(1,(Skills!Y22*(1+Inputs!$B$34/100))/(1/Q551)))))+((C532=TRUE)*F532*3)+((C534=TRUE)*F534*(1-EXP(-0.75*B567*5)))+((C553=TRUE)*(F553-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540=TRUE)*F540*IF(AND(Inputs!$B$39&lt;&gt;"pvp",Inputs!$B$44&gt;0),(((R540-1)*MIN((Skills!Y11*(1+Inputs!$B$34/100)),(1/Q540))+MIN((Skills!Y11*(1+Inputs!$B$34/100)),MAX(0,Inputs!$B$44-((R540-1)*(1/Q540)))))/Inputs!$B$44),IF(Inputs!$B$39="pvp",MIN((Skills!Y11*(1+Inputs!$B$34/100)),15)/15,MIN(1,(Skills!Y11*(1+Inputs!$B$34/100))/(1/Q540)))))/100)*(1+((C545=TRUE)*F545*IF(AND(Inputs!$B$39&lt;&gt;"pvp",Inputs!$B$44&gt;0),(((R545-1)*MIN((Skills!Y16*(1+Inputs!$B$34/100)),(1/Q545))+MIN((Skills!Y16*(1+Inputs!$B$34/100)),MAX(0,Inputs!$B$44-((R545-1)*(1/Q545)))))/Inputs!$B$44),IF(Inputs!$B$39="pvp",MIN((Skills!Y16*(1+Inputs!$B$34/100)),15)/15,MIN(1,(Skills!Y16*(1+Inputs!$B$34/100))/(1/Q545)))))/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565*I538)</f>
        <v/>
      </c>
      <c r="L538">
        <f>K538*(MIN(Inputs!$B$22+((C554=TRUE)*(F554-Calc!F25)),((Inputs!$B$23+1)+((C559=TRUE)*(F559-Calc!F30))+IF(ArtifactsInput!$M$15,CHOOSE(ArtifactsInput!$N$15+1,25,30,35,40,45,50)/100*(Inputs!$B$11-Inputs!$B$11),0)))/100+((Inputs!$B$23+1)+((C559=TRUE)*(F559-Calc!F30))+IF(ArtifactsInput!$M$15,CHOOSE(ArtifactsInput!$N$15+1,25,30,35,40,45,50)/100*(Inputs!$B$11-Inputs!$B$11),0))/100)/2</f>
        <v/>
      </c>
      <c r="M538">
        <f>L538*(1+(Inputs!$B$10+((C556=TRUE)*(F556-Calc!F27))+B570+(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538">
        <f>L538*(1-MIN((Inputs!$B$9+((C555=TRUE)*(F555-Calc!F26))+B563+(ArtifactsInput!$M$24-ArtifactsInput!$M$24)*CHOOSE(ArtifactsInput!$N$24+1,10,12,14,16,18,20)+(IF(AND(Inputs!$B$39&lt;&gt;"pvp",Inputs!$B$44=0),1,IF(IF(Inputs!$B$39="pvp",15,Inputs!$B$44)-(B574)&lt;=0,1,MAX(0,IF(Inputs!$B$39="pvp",15,Inputs!$B$44)-MAX(5,B574))/(IF(Inputs!$B$39="pvp",15,Inputs!$B$44)-(B574))))*IF(AND(ArtifactsInput!$M$42,((Inputs!$B$9+((C555=TRUE)*(F555-Calc!F26))+B563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538*(MIN((Inputs!$B$9+((C555=TRUE)*(F555-Calc!F26))+B563+(ArtifactsInput!$M$24-ArtifactsInput!$M$24)*CHOOSE(ArtifactsInput!$N$24+1,10,12,14,16,18,20)+(IF(AND(Inputs!$B$39&lt;&gt;"pvp",Inputs!$B$44=0),1,IF(IF(Inputs!$B$39="pvp",15,Inputs!$B$44)-(B574)&lt;=0,1,MAX(0,IF(Inputs!$B$39="pvp",15,Inputs!$B$44)-MAX(5,B574))/(IF(Inputs!$B$39="pvp",15,Inputs!$B$44)-(B574))))*IF(AND(ArtifactsInput!$M$42,((Inputs!$B$9+((C555=TRUE)*(F555-Calc!F26))+B563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538">
        <f>(1-Summary!$B$11)*T538+Summary!$B$11*V538</f>
        <v/>
      </c>
      <c r="P538">
        <f>IF(B575=0,0,O538/B575)</f>
        <v/>
      </c>
      <c r="Q538">
        <f>IFERROR(1/IF(Inputs!$B$39="pvp",15,MAX(0.1,Skills!D9-IF(FALSE=TRUE,Inputs!$B$32,0))),0)</f>
        <v/>
      </c>
      <c r="R538">
        <f>IF(AND(Inputs!$B$39&lt;&gt;"pvp",Inputs!$B$44&gt;0),IF(MAX(0,Inputs!$B$44-B574)&lt;=0,0,(INT(MAX(0,Inputs!$B$44-B574)/IF(Inputs!$B$39="pvp",15,MAX(0.1,Skills!D9-IF(FALSE=TRUE,Inputs!$B$32,0))))+1)),0)</f>
        <v/>
      </c>
      <c r="S538">
        <f>IFERROR(O538/N538,0)</f>
        <v/>
      </c>
      <c r="T538">
        <f>IF(C538,(H538*N538*IF(AND(Inputs!$B$39&lt;&gt;"pvp",Inputs!$B$44&gt;0),((Skills!G9*((R538-1)*IF(Skills!H9&gt;0,Skills!I9/Skills!H9,1)+IF(Skills!H9&gt;0,MIN(Skills!I9,MAX(0,MAX(0,Inputs!$B$44-B574)-((R538-1)*IF(Inputs!$B$39="pvp",15,MAX(0.1,Skills!D9-IF(FALSE=TRUE,Inputs!$B$32,0))))))/Skills!H9,1)))/Inputs!$B$44),G538*Q538))*IF(Inputs!$B$39="pvp",1,1+(Inputs!$B$20+0+Skills!P9+B564+(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Hunt"),CHOOSE(ArtifactsInput!$N$35+1,15,18,21,24,27,30)*(1-EXP(-(0.2*B567)*5)),0)+IF(AND(ArtifactsInput!$M$22,Inputs!$B$4&lt;&gt;"Chapter Hunt"),CHOOSE(ArtifactsInput!$N$22+1,10,12,14,16,18,20)*((0*(((0.15*B567*5))^0/1)+1*(((0.15*B567*5))^1/1)+2*(((0.15*B567*5))^2/2)+3*(((0.15*B567*5))^3/6)+4*(((0.15*B567*5))^4/24)+5*(((0.15*B567*5))^5/120))/((((0.15*B567*5))^0/1)+(((0.15*B567*5))^1/1)+(((0.15*B567*5))^2/2)+(((0.15*B567*5))^3/6)+(((0.15*B567*5))^4/24)+(((0.15*B567*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538*(1-MIN(100,(Inputs!$B$9+((C555=TRUE)*(F555-Calc!F26))+B563+(ArtifactsInput!$M$24-ArtifactsInput!$M$24)*CHOOSE(ArtifactsInput!$N$24+1,10,12,14,16,18,20)+(IF(AND(Inputs!$B$39&lt;&gt;"pvp",Inputs!$B$44=0),1,IF(IF(Inputs!$B$39="pvp",15,Inputs!$B$44)-(B574)&lt;=0,1,MAX(0,IF(Inputs!$B$39="pvp",15,Inputs!$B$44)-MAX(5,B574))/(IF(Inputs!$B$39="pvp",15,Inputs!$B$44)-(B574))))*IF(AND(ArtifactsInput!$M$42,((Inputs!$B$9+((C555=TRUE)*(F555-Calc!F26))+B563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538*(MIN(100,(Inputs!$B$9+((C555=TRUE)*(F555-Calc!F26))+B563+(ArtifactsInput!$M$24-ArtifactsInput!$M$24)*CHOOSE(ArtifactsInput!$N$24+1,10,12,14,16,18,20)+(IF(AND(Inputs!$B$39&lt;&gt;"pvp",Inputs!$B$44=0),1,IF(IF(Inputs!$B$39="pvp",15,Inputs!$B$44)-(B574)&lt;=0,1,MAX(0,IF(Inputs!$B$39="pvp",15,Inputs!$B$44)-MAX(5,B574))/(IF(Inputs!$B$39="pvp",15,Inputs!$B$44)-(B574))))*IF(AND(ArtifactsInput!$M$42,((Inputs!$B$9+((C555=TRUE)*(F555-Calc!F26))+B563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538*(1-MIN(100,(Inputs!$B$9+((C555=TRUE)*(F555-Calc!F26))+B563+(ArtifactsInput!$M$24-ArtifactsInput!$M$24)*CHOOSE(ArtifactsInput!$N$24+1,10,12,14,16,18,20)+(IF(AND(Inputs!$B$39&lt;&gt;"pvp",Inputs!$B$44=0),1,IF(IF(Inputs!$B$39="pvp",15,Inputs!$B$44)-(B574)&lt;=0,1,MAX(0,IF(Inputs!$B$39="pvp",15,Inputs!$B$44)-MAX(5,B574))/(IF(Inputs!$B$39="pvp",15,Inputs!$B$44)-(B574))))*IF(AND(ArtifactsInput!$M$42,((Inputs!$B$9+((C555=TRUE)*(F555-Calc!F26))+B563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538*(MIN(100,(Inputs!$B$9+((C555=TRUE)*(F555-Calc!F26))+B563+(ArtifactsInput!$M$24-ArtifactsInput!$M$24)*CHOOSE(ArtifactsInput!$N$24+1,10,12,14,16,18,20)+(IF(AND(Inputs!$B$39&lt;&gt;"pvp",Inputs!$B$44=0),1,IF(IF(Inputs!$B$39="pvp",15,Inputs!$B$44)-(B574)&lt;=0,1,MAX(0,IF(Inputs!$B$39="pvp",15,Inputs!$B$44)-MAX(5,B574))/(IF(Inputs!$B$39="pvp",15,Inputs!$B$44)-(B574))))*IF(AND(ArtifactsInput!$M$42,((Inputs!$B$9+((C555=TRUE)*(F555-Calc!F26))+B563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538">
        <f>IF(C538,(H538*N538*IF(AND(Inputs!$B$39&lt;&gt;"pvp",Inputs!$B$44&gt;0),((Skills!G9*((R538-1)*IF(Skills!H9&gt;0,Skills!I9/Skills!H9,1)+IF(Skills!H9&gt;0,MIN(Skills!I9,MAX(0,MAX(0,Inputs!$B$44-B574)-((R538-1)*IF(Inputs!$B$39="pvp",15,MAX(0.1,Skills!D9-IF(FALSE=TRUE,Inputs!$B$32,0))))))/Skills!H9,1)))/Inputs!$B$44),G538*Q538))*IF(Inputs!$B$39="pvp",1,(1+(Inputs!$B$21+Skills!Q9+B564+(IF(ArtifactsInput!$M$33,CHOOSE(ArtifactsInput!$N$33+1,30,36,42,48,54,60),0))+(IF(AND(ArtifactsInput!$M$35,Inputs!$B$4&lt;&gt;"Chapter Hunt"),CHOOSE(ArtifactsInput!$N$35+1,15,18,21,24,27,30)*(1-EXP(-(0.2*B567)*5)),0)+IF(AND(ArtifactsInput!$M$22,Inputs!$B$4&lt;&gt;"Chapter Hunt"),CHOOSE(ArtifactsInput!$N$22+1,10,12,14,16,18,20)*((0*(((0.15*B567*5))^0/1)+1*(((0.15*B567*5))^1/1)+2*(((0.15*B567*5))^2/2)+3*(((0.15*B567*5))^3/6)+4*(((0.15*B567*5))^4/24)+5*(((0.15*B567*5))^5/120))/((((0.15*B567*5))^0/1)+(((0.15*B567*5))^1/1)+(((0.15*B567*5))^2/2)+(((0.15*B567*5))^3/6)+(((0.15*B567*5))^4/24)+(((0.15*B567*5))^5/120))),0)))/100)*(MIN(Skills!W9,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539">
      <c r="A539">
        <f>Skills!A10</f>
        <v/>
      </c>
      <c r="B539">
        <f>Skills!B10</f>
        <v/>
      </c>
      <c r="C539">
        <f>Inputs!$B$3&gt;=117</f>
        <v/>
      </c>
      <c r="D539">
        <f>IF(Skills!C10=1,60+Inputs!$B$25+Inputs!$B$29,IF(Skills!C10=2,90+Inputs!$B$26+Inputs!$B$29,IF(Skills!C10=3,120+Inputs!$B$27+Inputs!$B$29,MAX(0,(Inputs!$B$3-100)*3)+Inputs!$B$28+Inputs!$B$29)))</f>
        <v/>
      </c>
      <c r="E539">
        <f>INDEX(FactorTable!$B$2:$Y$301, MATCH(ROUND(MIN(300,MAX(1,D539)),0), FactorTable!$A$2:$A$301,0), Skills!M10+1)</f>
        <v/>
      </c>
      <c r="F539">
        <f>IF(Skills!N10=TRUE,(Skills!L10/10)*(E539/1000),Skills!L10/10)+Skills!O10</f>
        <v/>
      </c>
      <c r="G539">
        <f>Skills!G10*IF(Skills!H10&gt;0,IF(Inputs!$B$39="pvp",MIN(Skills!I10,15),Skills!I10)/Skills!H10,1)</f>
        <v/>
      </c>
      <c r="H539">
        <f>1-(1-Skills!J10/100)^Skills!K10</f>
        <v/>
      </c>
      <c r="I539" t="inlineStr">
        <is>
          <t>1</t>
        </is>
      </c>
      <c r="J539">
        <f>((Inputs!$B$6*(1+Inputs!$B$7/100))+(((Inputs!$B$12*(1+Inputs!$B$13/100))-(Inputs!$B$12*(1+Inputs!$B$13/100)))+0.25*(Inputs!$B$14-Inputs!$B$14))*(1+Inputs!$B$7/100))*(F539/100)</f>
        <v/>
      </c>
      <c r="K539">
        <f>J539*(1+((Inputs!$B$12*(1+Inputs!$B$13/100))*0.01+Inputs!$B$14*0.0025)/100)*(1+Inputs!$B$15/100)*(1+Inputs!$B$16/100)*(5000/(6000+Inputs!$B$43*(1-(100*(1-(1-Inputs!$B$19/100)*(1-CHOOSE(ArtifactsInput!$N$40+1,5,6,7,8,9,10)/100)^(ArtifactsInput!$M$40-ArtifactsInput!$M$40)))/100)))*(1+(Inputs!$B$24+((C560=TRUE)*(F560-Calc!F31))+((C547=TRUE)*(F547-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10="CRUEL_STAB",Inputs!$B$17+((C557=TRUE)*(F557-Calc!F28))+((IF(AND(Inputs!$B$39&lt;&gt;"pvp",Inputs!$B$44=0),1,IF(IF(Inputs!$B$39="pvp",15,Inputs!$B$44)-(B574)&lt;=0,1,MAX(0,IF(Inputs!$B$39="pvp",15,Inputs!$B$44)-MAX(5,B574))/(IF(Inputs!$B$39="pvp",15,Inputs!$B$44)-(B574))))*(IF(AND(ArtifactsInput!$M$42,((Inputs!$B$9+((C555=TRUE)*(F555-Calc!F26))+B563+(ArtifactsInput!$M$24-ArtifactsInput!$M$24)*CHOOSE(ArtifactsInput!$N$24+1,10,12,14,16,18,20)+IF(ArtifactsInput!$M$10,CHOOSE(ArtifactsInput!$N$10+1,15,18,21,24,27,30)*(IF(Inputs!$B$39="pvp",MIN(15,15)/15,IF(AND(Inputs!$B$39&lt;&gt;"pvp",Inputs!$B$44&gt;0),MIN(15,Inputs!$B$44)/(Inputs!$B$44),0))),0)))&gt;=100),MIN(100,((Inputs!$B$9+((C555=TRUE)*(F555-Calc!F26))+B563+(ArtifactsInput!$M$24-ArtifactsInput!$M$24)*CHOOSE(ArtifactsInput!$N$24+1,10,12,14,16,18,20)+IF(ArtifactsInput!$M$10,CHOOSE(ArtifactsInput!$N$10+1,15,18,21,24,27,30)*(IF(Inputs!$B$39="pvp",MIN(15,15)/15,IF(AND(Inputs!$B$39&lt;&gt;"pvp",Inputs!$B$44&gt;0),MIN(15,Inputs!$B$44)/(Inputs!$B$44),0))),0)))-100),0))*CHOOSE(ArtifactsInput!$N$42+1,0.6,0.72,0.84,0.96,1.08,1.2))),Inputs!$B$18+((C558=TRUE)*(F558-Calc!F29))+(IF(AND(Inputs!$B$39&lt;&gt;"pvp",Inputs!$B$44=0),1,IF(IF(Inputs!$B$39="pvp",15,Inputs!$B$44)-(B574)&lt;=0,1,MAX(0,IF(Inputs!$B$39="pvp",15,Inputs!$B$44)-MAX(5,B574))/(IF(Inputs!$B$39="pvp",15,Inputs!$B$44)-(B574))))*IF(AND(ArtifactsInput!$M$42,((Inputs!$B$9+((C555=TRUE)*(F555-Calc!F26))+B563+(ArtifactsInput!$M$24-ArtifactsInput!$M$24)*CHOOSE(ArtifactsInput!$N$24+1,10,12,14,16,18,20)+IF(ArtifactsInput!$M$10,CHOOSE(ArtifactsInput!$N$10+1,15,18,21,24,27,30)*(IF(Inputs!$B$39="pvp",MIN(15,15)/15,IF(AND(Inputs!$B$39&lt;&gt;"pvp",Inputs!$B$44&gt;0),MIN(15,Inputs!$B$44)/(Inputs!$B$44),0))),0)))&gt;=100),CHOOSE(ArtifactsInput!$N$42+1,40,48,56,64,72,80),0))))/100)*(((1+(((C551=TRUE)*F551*IF(AND(Inputs!$B$39&lt;&gt;"pvp",Inputs!$B$44&gt;0),(((R551-1)*MIN((Skills!Y22*(1+Inputs!$B$34/100)),(1/Q551))+MIN((Skills!Y22*(1+Inputs!$B$34/100)),MAX(0,Inputs!$B$44-((R551-1)*(1/Q551)))))/Inputs!$B$44),IF(Inputs!$B$39="pvp",MIN((Skills!Y22*(1+Inputs!$B$34/100)),15)/15,MIN(1,(Skills!Y22*(1+Inputs!$B$34/100))/(1/Q551)))))+((C532=TRUE)*F532*3)+((C534=TRUE)*F534*(1-EXP(-0.75*B567*5)))+((C553=TRUE)*(F553-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540=TRUE)*F540*IF(AND(Inputs!$B$39&lt;&gt;"pvp",Inputs!$B$44&gt;0),(((R540-1)*MIN((Skills!Y11*(1+Inputs!$B$34/100)),(1/Q540))+MIN((Skills!Y11*(1+Inputs!$B$34/100)),MAX(0,Inputs!$B$44-((R540-1)*(1/Q540)))))/Inputs!$B$44),IF(Inputs!$B$39="pvp",MIN((Skills!Y11*(1+Inputs!$B$34/100)),15)/15,MIN(1,(Skills!Y11*(1+Inputs!$B$34/100))/(1/Q540)))))/100)*(1+((C545=TRUE)*F545*IF(AND(Inputs!$B$39&lt;&gt;"pvp",Inputs!$B$44&gt;0),(((R545-1)*MIN((Skills!Y16*(1+Inputs!$B$34/100)),(1/Q545))+MIN((Skills!Y16*(1+Inputs!$B$34/100)),MAX(0,Inputs!$B$44-((R545-1)*(1/Q545)))))/Inputs!$B$44),IF(Inputs!$B$39="pvp",MIN((Skills!Y16*(1+Inputs!$B$34/100)),15)/15,MIN(1,(Skills!Y16*(1+Inputs!$B$34/100))/(1/Q545)))))/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565*I539)</f>
        <v/>
      </c>
      <c r="L539">
        <f>K539*(MIN(Inputs!$B$22+((C554=TRUE)*(F554-Calc!F25)),((Inputs!$B$23+1)+((C559=TRUE)*(F559-Calc!F30))+IF(ArtifactsInput!$M$15,CHOOSE(ArtifactsInput!$N$15+1,25,30,35,40,45,50)/100*(Inputs!$B$11-Inputs!$B$11),0)))/100+((Inputs!$B$23+1)+((C559=TRUE)*(F559-Calc!F30))+IF(ArtifactsInput!$M$15,CHOOSE(ArtifactsInput!$N$15+1,25,30,35,40,45,50)/100*(Inputs!$B$11-Inputs!$B$11),0))/100)/2</f>
        <v/>
      </c>
      <c r="M539">
        <f>L539*(1+(Inputs!$B$10+((C556=TRUE)*(F556-Calc!F27))+B570+(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539">
        <f>L539*(1-MIN((Inputs!$B$9+((C555=TRUE)*(F555-Calc!F26))+B563+(ArtifactsInput!$M$24-ArtifactsInput!$M$24)*CHOOSE(ArtifactsInput!$N$24+1,10,12,14,16,18,20)+(IF(AND(Inputs!$B$39&lt;&gt;"pvp",Inputs!$B$44=0),1,IF(IF(Inputs!$B$39="pvp",15,Inputs!$B$44)-(B574)&lt;=0,1,MAX(0,IF(Inputs!$B$39="pvp",15,Inputs!$B$44)-MAX(5,B574))/(IF(Inputs!$B$39="pvp",15,Inputs!$B$44)-(B574))))*IF(AND(ArtifactsInput!$M$42,((Inputs!$B$9+((C555=TRUE)*(F555-Calc!F26))+B563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539*(MIN((Inputs!$B$9+((C555=TRUE)*(F555-Calc!F26))+B563+(ArtifactsInput!$M$24-ArtifactsInput!$M$24)*CHOOSE(ArtifactsInput!$N$24+1,10,12,14,16,18,20)+(IF(AND(Inputs!$B$39&lt;&gt;"pvp",Inputs!$B$44=0),1,IF(IF(Inputs!$B$39="pvp",15,Inputs!$B$44)-(B574)&lt;=0,1,MAX(0,IF(Inputs!$B$39="pvp",15,Inputs!$B$44)-MAX(5,B574))/(IF(Inputs!$B$39="pvp",15,Inputs!$B$44)-(B574))))*IF(AND(ArtifactsInput!$M$42,((Inputs!$B$9+((C555=TRUE)*(F555-Calc!F26))+B563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539">
        <f>(1-Summary!$B$11)*T539+Summary!$B$11*V539</f>
        <v/>
      </c>
      <c r="P539">
        <f>IF(B575=0,0,O539/B575)</f>
        <v/>
      </c>
      <c r="Q539" t="n">
        <v>0</v>
      </c>
      <c r="R539" t="n">
        <v>0</v>
      </c>
      <c r="S539" t="n">
        <v>0</v>
      </c>
      <c r="T539">
        <f>IF(C539,(0.2*SUMPRODUCT((Skills!Z2:Z31=TRUE)*(C531:C560=TRUE)*S531:S560)*N539)*IF(Inputs!$B$39="pvp",1,1+(Inputs!$B$20+0+Skills!P10+B564+(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Hunt"),CHOOSE(ArtifactsInput!$N$35+1,15,18,21,24,27,30)*(1-EXP(-(0.2*B567)*5)),0)+IF(AND(ArtifactsInput!$M$22,Inputs!$B$4&lt;&gt;"Chapter Hunt"),CHOOSE(ArtifactsInput!$N$22+1,10,12,14,16,18,20)*((0*(((0.15*B567*5))^0/1)+1*(((0.15*B567*5))^1/1)+2*(((0.15*B567*5))^2/2)+3*(((0.15*B567*5))^3/6)+4*(((0.15*B567*5))^4/24)+5*(((0.15*B567*5))^5/120))/((((0.15*B567*5))^0/1)+(((0.15*B567*5))^1/1)+(((0.15*B567*5))^2/2)+(((0.15*B567*5))^3/6)+(((0.15*B567*5))^4/24)+(((0.15*B567*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539*(1-MIN(100,(Inputs!$B$9+((C555=TRUE)*(F555-Calc!F26))+B563+(ArtifactsInput!$M$24-ArtifactsInput!$M$24)*CHOOSE(ArtifactsInput!$N$24+1,10,12,14,16,18,20)+(IF(AND(Inputs!$B$39&lt;&gt;"pvp",Inputs!$B$44=0),1,IF(IF(Inputs!$B$39="pvp",15,Inputs!$B$44)-(B574)&lt;=0,1,MAX(0,IF(Inputs!$B$39="pvp",15,Inputs!$B$44)-MAX(5,B574))/(IF(Inputs!$B$39="pvp",15,Inputs!$B$44)-(B574))))*IF(AND(ArtifactsInput!$M$42,((Inputs!$B$9+((C555=TRUE)*(F555-Calc!F26))+B563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539*(MIN(100,(Inputs!$B$9+((C555=TRUE)*(F555-Calc!F26))+B563+(ArtifactsInput!$M$24-ArtifactsInput!$M$24)*CHOOSE(ArtifactsInput!$N$24+1,10,12,14,16,18,20)+(IF(AND(Inputs!$B$39&lt;&gt;"pvp",Inputs!$B$44=0),1,IF(IF(Inputs!$B$39="pvp",15,Inputs!$B$44)-(B574)&lt;=0,1,MAX(0,IF(Inputs!$B$39="pvp",15,Inputs!$B$44)-MAX(5,B574))/(IF(Inputs!$B$39="pvp",15,Inputs!$B$44)-(B574))))*IF(AND(ArtifactsInput!$M$42,((Inputs!$B$9+((C555=TRUE)*(F555-Calc!F26))+B563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539*(1-MIN(100,(Inputs!$B$9+((C555=TRUE)*(F555-Calc!F26))+B563+(ArtifactsInput!$M$24-ArtifactsInput!$M$24)*CHOOSE(ArtifactsInput!$N$24+1,10,12,14,16,18,20)+(IF(AND(Inputs!$B$39&lt;&gt;"pvp",Inputs!$B$44=0),1,IF(IF(Inputs!$B$39="pvp",15,Inputs!$B$44)-(B574)&lt;=0,1,MAX(0,IF(Inputs!$B$39="pvp",15,Inputs!$B$44)-MAX(5,B574))/(IF(Inputs!$B$39="pvp",15,Inputs!$B$44)-(B574))))*IF(AND(ArtifactsInput!$M$42,((Inputs!$B$9+((C555=TRUE)*(F555-Calc!F26))+B563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539*(MIN(100,(Inputs!$B$9+((C555=TRUE)*(F555-Calc!F26))+B563+(ArtifactsInput!$M$24-ArtifactsInput!$M$24)*CHOOSE(ArtifactsInput!$N$24+1,10,12,14,16,18,20)+(IF(AND(Inputs!$B$39&lt;&gt;"pvp",Inputs!$B$44=0),1,IF(IF(Inputs!$B$39="pvp",15,Inputs!$B$44)-(B574)&lt;=0,1,MAX(0,IF(Inputs!$B$39="pvp",15,Inputs!$B$44)-MAX(5,B574))/(IF(Inputs!$B$39="pvp",15,Inputs!$B$44)-(B574))))*IF(AND(ArtifactsInput!$M$42,((Inputs!$B$9+((C555=TRUE)*(F555-Calc!F26))+B563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539">
        <f>IF(C539,(0.2*SUMPRODUCT((Skills!Z2:Z31=TRUE)*(C531:C560=TRUE)*S531:S560)*N539)*IF(Inputs!$B$39="pvp",1,(1+(Inputs!$B$21+Skills!Q10+B564+(IF(ArtifactsInput!$M$33,CHOOSE(ArtifactsInput!$N$33+1,30,36,42,48,54,60),0))+(IF(AND(ArtifactsInput!$M$35,Inputs!$B$4&lt;&gt;"Chapter Hunt"),CHOOSE(ArtifactsInput!$N$35+1,15,18,21,24,27,30)*(1-EXP(-(0.2*B567)*5)),0)+IF(AND(ArtifactsInput!$M$22,Inputs!$B$4&lt;&gt;"Chapter Hunt"),CHOOSE(ArtifactsInput!$N$22+1,10,12,14,16,18,20)*((0*(((0.15*B567*5))^0/1)+1*(((0.15*B567*5))^1/1)+2*(((0.15*B567*5))^2/2)+3*(((0.15*B567*5))^3/6)+4*(((0.15*B567*5))^4/24)+5*(((0.15*B567*5))^5/120))/((((0.15*B567*5))^0/1)+(((0.15*B567*5))^1/1)+(((0.15*B567*5))^2/2)+(((0.15*B567*5))^3/6)+(((0.15*B567*5))^4/24)+(((0.15*B567*5))^5/120))),0)))/100)*(MIN(Skills!W10,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540">
      <c r="A540">
        <f>Skills!A11</f>
        <v/>
      </c>
      <c r="B540">
        <f>Skills!B11</f>
        <v/>
      </c>
      <c r="C540">
        <f>Inputs!$B$3&gt;=74</f>
        <v/>
      </c>
      <c r="D540">
        <f>IF(Skills!C11=1,60+Inputs!$B$25+Inputs!$B$29,IF(Skills!C11=2,90+Inputs!$B$26+Inputs!$B$29,IF(Skills!C11=3,120+Inputs!$B$27+Inputs!$B$29,MAX(0,(Inputs!$B$3-100)*3)+Inputs!$B$28+Inputs!$B$29)))</f>
        <v/>
      </c>
      <c r="E540">
        <f>INDEX(FactorTable!$B$2:$Y$301, MATCH(ROUND(MIN(300,MAX(1,D540)),0), FactorTable!$A$2:$A$301,0), Skills!M11+1)</f>
        <v/>
      </c>
      <c r="F540">
        <f>IF(Skills!N11=TRUE,(Skills!L11/10)*(E540/1000),Skills!L11/10)+Skills!O11</f>
        <v/>
      </c>
      <c r="G540">
        <f>Skills!G11*IF(Skills!H11&gt;0,IF(Inputs!$B$39="pvp",MIN(Skills!I11,15),Skills!I11)/Skills!H11,1)</f>
        <v/>
      </c>
      <c r="H540">
        <f>1-(1-Skills!J11/100)^Skills!K11</f>
        <v/>
      </c>
      <c r="I540" t="inlineStr">
        <is>
          <t>1</t>
        </is>
      </c>
      <c r="J540" t="inlineStr"/>
      <c r="K540" t="inlineStr"/>
      <c r="L540" t="inlineStr"/>
      <c r="M540" t="inlineStr"/>
      <c r="N540" t="inlineStr"/>
      <c r="O540">
        <f>(1-Summary!$B$11)*T540+Summary!$B$11*V540</f>
        <v/>
      </c>
      <c r="P540">
        <f>IF(B575=0,0,O540/B575)</f>
        <v/>
      </c>
      <c r="Q540">
        <f>IFERROR(1/IF(Inputs!$B$39="pvp",15,MAX(0.1,Skills!D11-IF(TRUE=TRUE,Inputs!$B$32,0))),0)</f>
        <v/>
      </c>
      <c r="R540">
        <f>IF(AND(Inputs!$B$39&lt;&gt;"pvp",Inputs!$B$44&gt;0),IF(Inputs!$B$44&lt;=0,0,(INT(Inputs!$B$44/IF(Inputs!$B$39="pvp",15,MAX(0.1,Skills!D11-IF(TRUE=TRUE,Inputs!$B$32,0))))+1)),0)</f>
        <v/>
      </c>
      <c r="S540">
        <f>IFERROR(O540/N540,0)</f>
        <v/>
      </c>
      <c r="T540" t="n">
        <v>0</v>
      </c>
      <c r="V540" t="n">
        <v>0</v>
      </c>
    </row>
    <row r="541">
      <c r="A541">
        <f>Skills!A12</f>
        <v/>
      </c>
      <c r="B541">
        <f>Skills!B12</f>
        <v/>
      </c>
      <c r="C541">
        <f>Inputs!$B$3&gt;=103</f>
        <v/>
      </c>
      <c r="D541">
        <f>IF(Skills!C12=1,60+Inputs!$B$25+Inputs!$B$29,IF(Skills!C12=2,90+Inputs!$B$26+Inputs!$B$29,IF(Skills!C12=3,120+Inputs!$B$27+Inputs!$B$29,MAX(0,(Inputs!$B$3-100)*3)+Inputs!$B$28+Inputs!$B$29)))</f>
        <v/>
      </c>
      <c r="E541">
        <f>INDEX(FactorTable!$B$2:$Y$301, MATCH(ROUND(MIN(300,MAX(1,D541)),0), FactorTable!$A$2:$A$301,0), Skills!M12+1)</f>
        <v/>
      </c>
      <c r="F541">
        <f>(Skills!L12/10)*(E541/1000)+IF(Inputs!$B$3&gt;=134,50,0)+0.5*(30000/10)*(INDEX(FactorTable!$B$2:$Y$301, MATCH(ROUND(MIN(300,MAX(1,D541)),0), FactorTable!$A$2:$A$301,0), 13)/1000)*B573</f>
        <v/>
      </c>
      <c r="G541">
        <f>Skills!G12*IF(Skills!H12&gt;0,IF(Inputs!$B$39="pvp",MIN(Skills!I12,15),Skills!I12)/Skills!H12,1)</f>
        <v/>
      </c>
      <c r="H541">
        <f>1-(1-Skills!J12/100)^Skills!K12</f>
        <v/>
      </c>
      <c r="I541" t="inlineStr">
        <is>
          <t>1</t>
        </is>
      </c>
      <c r="J541">
        <f>((Inputs!$B$6*(1+Inputs!$B$7/100))+(((Inputs!$B$12*(1+Inputs!$B$13/100))-(Inputs!$B$12*(1+Inputs!$B$13/100)))+0.25*(Inputs!$B$14-Inputs!$B$14))*(1+Inputs!$B$7/100))*(F541/100)</f>
        <v/>
      </c>
      <c r="K541">
        <f>J541*(1+((Inputs!$B$12*(1+Inputs!$B$13/100))*0.01+Inputs!$B$14*0.0025)/100)*(1+Inputs!$B$15/100)*(1+Inputs!$B$16/100)*(5000/(6000+Inputs!$B$43*(1-(100*(1-(1-Inputs!$B$19/100)*(1-CHOOSE(ArtifactsInput!$N$40+1,5,6,7,8,9,10)/100)^(ArtifactsInput!$M$40-ArtifactsInput!$M$40)))/100)))*(1+(Inputs!$B$24+((C560=TRUE)*(F560-Calc!F31))+((C547=TRUE)*(F547-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12="CRUEL_STAB",Inputs!$B$17+((C557=TRUE)*(F557-Calc!F28))+((IF(AND(Inputs!$B$39&lt;&gt;"pvp",Inputs!$B$44=0),1,IF(IF(Inputs!$B$39="pvp",15,Inputs!$B$44)-(B574)&lt;=0,1,MAX(0,IF(Inputs!$B$39="pvp",15,Inputs!$B$44)-MAX(5,B574))/(IF(Inputs!$B$39="pvp",15,Inputs!$B$44)-(B574))))*(IF(AND(ArtifactsInput!$M$42,((Inputs!$B$9+((C555=TRUE)*(F555-Calc!F26))+B563+(ArtifactsInput!$M$24-ArtifactsInput!$M$24)*CHOOSE(ArtifactsInput!$N$24+1,10,12,14,16,18,20)+IF(ArtifactsInput!$M$10,CHOOSE(ArtifactsInput!$N$10+1,15,18,21,24,27,30)*(IF(Inputs!$B$39="pvp",MIN(15,15)/15,IF(AND(Inputs!$B$39&lt;&gt;"pvp",Inputs!$B$44&gt;0),MIN(15,Inputs!$B$44)/(Inputs!$B$44),0))),0)))&gt;=100),MIN(100,((Inputs!$B$9+((C555=TRUE)*(F555-Calc!F26))+B563+(ArtifactsInput!$M$24-ArtifactsInput!$M$24)*CHOOSE(ArtifactsInput!$N$24+1,10,12,14,16,18,20)+IF(ArtifactsInput!$M$10,CHOOSE(ArtifactsInput!$N$10+1,15,18,21,24,27,30)*(IF(Inputs!$B$39="pvp",MIN(15,15)/15,IF(AND(Inputs!$B$39&lt;&gt;"pvp",Inputs!$B$44&gt;0),MIN(15,Inputs!$B$44)/(Inputs!$B$44),0))),0)))-100),0))*CHOOSE(ArtifactsInput!$N$42+1,0.6,0.72,0.84,0.96,1.08,1.2))),Inputs!$B$18+((C558=TRUE)*(F558-Calc!F29))+(IF(AND(Inputs!$B$39&lt;&gt;"pvp",Inputs!$B$44=0),1,IF(IF(Inputs!$B$39="pvp",15,Inputs!$B$44)-(B574)&lt;=0,1,MAX(0,IF(Inputs!$B$39="pvp",15,Inputs!$B$44)-MAX(5,B574))/(IF(Inputs!$B$39="pvp",15,Inputs!$B$44)-(B574))))*IF(AND(ArtifactsInput!$M$42,((Inputs!$B$9+((C555=TRUE)*(F555-Calc!F26))+B563+(ArtifactsInput!$M$24-ArtifactsInput!$M$24)*CHOOSE(ArtifactsInput!$N$24+1,10,12,14,16,18,20)+IF(ArtifactsInput!$M$10,CHOOSE(ArtifactsInput!$N$10+1,15,18,21,24,27,30)*(IF(Inputs!$B$39="pvp",MIN(15,15)/15,IF(AND(Inputs!$B$39&lt;&gt;"pvp",Inputs!$B$44&gt;0),MIN(15,Inputs!$B$44)/(Inputs!$B$44),0))),0)))&gt;=100),CHOOSE(ArtifactsInput!$N$42+1,40,48,56,64,72,80),0))))/100)*(((1+(((C551=TRUE)*F551*IF(AND(Inputs!$B$39&lt;&gt;"pvp",Inputs!$B$44&gt;0),(((R551-1)*MIN((Skills!Y22*(1+Inputs!$B$34/100)),(1/Q551))+MIN((Skills!Y22*(1+Inputs!$B$34/100)),MAX(0,Inputs!$B$44-((R551-1)*(1/Q551)))))/Inputs!$B$44),IF(Inputs!$B$39="pvp",MIN((Skills!Y22*(1+Inputs!$B$34/100)),15)/15,MIN(1,(Skills!Y22*(1+Inputs!$B$34/100))/(1/Q551)))))+((C532=TRUE)*F532*3)+((C534=TRUE)*F534*(1-EXP(-0.75*B567*5)))+((C553=TRUE)*(F553-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540=TRUE)*F540*IF(AND(Inputs!$B$39&lt;&gt;"pvp",Inputs!$B$44&gt;0),(((R540-1)*MIN((Skills!Y11*(1+Inputs!$B$34/100)),(1/Q540))+MIN((Skills!Y11*(1+Inputs!$B$34/100)),MAX(0,Inputs!$B$44-((R540-1)*(1/Q540)))))/Inputs!$B$44),IF(Inputs!$B$39="pvp",MIN((Skills!Y11*(1+Inputs!$B$34/100)),15)/15,MIN(1,(Skills!Y11*(1+Inputs!$B$34/100))/(1/Q540)))))/100)*(1+((C545=TRUE)*F545*IF(AND(Inputs!$B$39&lt;&gt;"pvp",Inputs!$B$44&gt;0),(((R545-1)*MIN((Skills!Y16*(1+Inputs!$B$34/100)),(1/Q545))+MIN((Skills!Y16*(1+Inputs!$B$34/100)),MAX(0,Inputs!$B$44-((R545-1)*(1/Q545)))))/Inputs!$B$44),IF(Inputs!$B$39="pvp",MIN((Skills!Y16*(1+Inputs!$B$34/100)),15)/15,MIN(1,(Skills!Y16*(1+Inputs!$B$34/100))/(1/Q545)))))/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565*I541)</f>
        <v/>
      </c>
      <c r="L541">
        <f>K541*(MIN(Inputs!$B$22+((C554=TRUE)*(F554-Calc!F25)),((Inputs!$B$23+1)+((C559=TRUE)*(F559-Calc!F30))+IF(ArtifactsInput!$M$15,CHOOSE(ArtifactsInput!$N$15+1,25,30,35,40,45,50)/100*(Inputs!$B$11-Inputs!$B$11),0)))/100+((Inputs!$B$23+1)+((C559=TRUE)*(F559-Calc!F30))+IF(ArtifactsInput!$M$15,CHOOSE(ArtifactsInput!$N$15+1,25,30,35,40,45,50)/100*(Inputs!$B$11-Inputs!$B$11),0))/100)/2</f>
        <v/>
      </c>
      <c r="M541">
        <f>L541*(1+(Inputs!$B$10+((C556=TRUE)*(F556-Calc!F27))+B570+(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541">
        <f>L541*(1-MIN((Inputs!$B$9+((C555=TRUE)*(F555-Calc!F26))+B563+(ArtifactsInput!$M$24-ArtifactsInput!$M$24)*CHOOSE(ArtifactsInput!$N$24+1,10,12,14,16,18,20)+(IF(AND(Inputs!$B$39&lt;&gt;"pvp",Inputs!$B$44=0),1,IF(IF(Inputs!$B$39="pvp",15,Inputs!$B$44)-(B574)&lt;=0,1,MAX(0,IF(Inputs!$B$39="pvp",15,Inputs!$B$44)-MAX(5,B574))/(IF(Inputs!$B$39="pvp",15,Inputs!$B$44)-(B574))))*IF(AND(ArtifactsInput!$M$42,((Inputs!$B$9+((C555=TRUE)*(F555-Calc!F26))+B563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541*(MIN((Inputs!$B$9+((C555=TRUE)*(F555-Calc!F26))+B563+(ArtifactsInput!$M$24-ArtifactsInput!$M$24)*CHOOSE(ArtifactsInput!$N$24+1,10,12,14,16,18,20)+(IF(AND(Inputs!$B$39&lt;&gt;"pvp",Inputs!$B$44=0),1,IF(IF(Inputs!$B$39="pvp",15,Inputs!$B$44)-(B574)&lt;=0,1,MAX(0,IF(Inputs!$B$39="pvp",15,Inputs!$B$44)-MAX(5,B574))/(IF(Inputs!$B$39="pvp",15,Inputs!$B$44)-(B574))))*IF(AND(ArtifactsInput!$M$42,((Inputs!$B$9+((C555=TRUE)*(F555-Calc!F26))+B563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541">
        <f>(1-Summary!$B$11)*T541+Summary!$B$11*V541</f>
        <v/>
      </c>
      <c r="P541">
        <f>IF(B575=0,0,O541/B575)</f>
        <v/>
      </c>
      <c r="Q541">
        <f>IFERROR(1/IF(Inputs!$B$39="pvp",15,MAX(0.1,Skills!D12-IF(TRUE=TRUE,Inputs!$B$32,0))),0)</f>
        <v/>
      </c>
      <c r="R541">
        <f>IF(AND(Inputs!$B$39&lt;&gt;"pvp",Inputs!$B$44&gt;0),IF(MAX(0,Inputs!$B$44-B574)&lt;=0,0,(INT(MAX(0,Inputs!$B$44-B574)/IF(Inputs!$B$39="pvp",15,MAX(0.1,Skills!D12-IF(TRUE=TRUE,Inputs!$B$32,0))))+1)),0)</f>
        <v/>
      </c>
      <c r="S541">
        <f>IFERROR(O541/N541,0)</f>
        <v/>
      </c>
      <c r="T541">
        <f>IF(C541,(H541*N541*IF(AND(Inputs!$B$39&lt;&gt;"pvp",Inputs!$B$44&gt;0),((Skills!G12*((R541-1)*IF(Skills!H12&gt;0,Skills!I12/Skills!H12,1)+IF(Skills!H12&gt;0,MIN(Skills!I12,MAX(0,MAX(0,Inputs!$B$44-B574)-((R541-1)*IF(Inputs!$B$39="pvp",15,MAX(0.1,Skills!D12-IF(TRUE=TRUE,Inputs!$B$32,0))))))/Skills!H12,1)))/Inputs!$B$44),G541*Q541))*IF(Inputs!$B$39="pvp",1,1+(Inputs!$B$20+0+Skills!P12+B564+(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Hunt"),CHOOSE(ArtifactsInput!$N$35+1,15,18,21,24,27,30)*(1-EXP(-(0.2*B567)*5)),0)+IF(AND(ArtifactsInput!$M$22,Inputs!$B$4&lt;&gt;"Chapter Hunt"),CHOOSE(ArtifactsInput!$N$22+1,10,12,14,16,18,20)*((0*(((0.15*B567*5))^0/1)+1*(((0.15*B567*5))^1/1)+2*(((0.15*B567*5))^2/2)+3*(((0.15*B567*5))^3/6)+4*(((0.15*B567*5))^4/24)+5*(((0.15*B567*5))^5/120))/((((0.15*B567*5))^0/1)+(((0.15*B567*5))^1/1)+(((0.15*B567*5))^2/2)+(((0.15*B567*5))^3/6)+(((0.15*B567*5))^4/24)+(((0.15*B567*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541*(1-MIN(100,(Inputs!$B$9+((C555=TRUE)*(F555-Calc!F26))+B563+(ArtifactsInput!$M$24-ArtifactsInput!$M$24)*CHOOSE(ArtifactsInput!$N$24+1,10,12,14,16,18,20)+(IF(AND(Inputs!$B$39&lt;&gt;"pvp",Inputs!$B$44=0),1,IF(IF(Inputs!$B$39="pvp",15,Inputs!$B$44)-(B574)&lt;=0,1,MAX(0,IF(Inputs!$B$39="pvp",15,Inputs!$B$44)-MAX(5,B574))/(IF(Inputs!$B$39="pvp",15,Inputs!$B$44)-(B574))))*IF(AND(ArtifactsInput!$M$42,((Inputs!$B$9+((C555=TRUE)*(F555-Calc!F26))+B563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541*(MIN(100,(Inputs!$B$9+((C555=TRUE)*(F555-Calc!F26))+B563+(ArtifactsInput!$M$24-ArtifactsInput!$M$24)*CHOOSE(ArtifactsInput!$N$24+1,10,12,14,16,18,20)+(IF(AND(Inputs!$B$39&lt;&gt;"pvp",Inputs!$B$44=0),1,IF(IF(Inputs!$B$39="pvp",15,Inputs!$B$44)-(B574)&lt;=0,1,MAX(0,IF(Inputs!$B$39="pvp",15,Inputs!$B$44)-MAX(5,B574))/(IF(Inputs!$B$39="pvp",15,Inputs!$B$44)-(B574))))*IF(AND(ArtifactsInput!$M$42,((Inputs!$B$9+((C555=TRUE)*(F555-Calc!F26))+B563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541*(1-MIN(100,(Inputs!$B$9+((C555=TRUE)*(F555-Calc!F26))+B563+(ArtifactsInput!$M$24-ArtifactsInput!$M$24)*CHOOSE(ArtifactsInput!$N$24+1,10,12,14,16,18,20)+(IF(AND(Inputs!$B$39&lt;&gt;"pvp",Inputs!$B$44=0),1,IF(IF(Inputs!$B$39="pvp",15,Inputs!$B$44)-(B574)&lt;=0,1,MAX(0,IF(Inputs!$B$39="pvp",15,Inputs!$B$44)-MAX(5,B574))/(IF(Inputs!$B$39="pvp",15,Inputs!$B$44)-(B574))))*IF(AND(ArtifactsInput!$M$42,((Inputs!$B$9+((C555=TRUE)*(F555-Calc!F26))+B563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541*(MIN(100,(Inputs!$B$9+((C555=TRUE)*(F555-Calc!F26))+B563+(ArtifactsInput!$M$24-ArtifactsInput!$M$24)*CHOOSE(ArtifactsInput!$N$24+1,10,12,14,16,18,20)+(IF(AND(Inputs!$B$39&lt;&gt;"pvp",Inputs!$B$44=0),1,IF(IF(Inputs!$B$39="pvp",15,Inputs!$B$44)-(B574)&lt;=0,1,MAX(0,IF(Inputs!$B$39="pvp",15,Inputs!$B$44)-MAX(5,B574))/(IF(Inputs!$B$39="pvp",15,Inputs!$B$44)-(B574))))*IF(AND(ArtifactsInput!$M$42,((Inputs!$B$9+((C555=TRUE)*(F555-Calc!F26))+B563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541">
        <f>IF(C541,(H541*N541*IF(AND(Inputs!$B$39&lt;&gt;"pvp",Inputs!$B$44&gt;0),((Skills!G12*((R541-1)*IF(Skills!H12&gt;0,Skills!I12/Skills!H12,1)+IF(Skills!H12&gt;0,MIN(Skills!I12,MAX(0,MAX(0,Inputs!$B$44-B574)-((R541-1)*IF(Inputs!$B$39="pvp",15,MAX(0.1,Skills!D12-IF(TRUE=TRUE,Inputs!$B$32,0))))))/Skills!H12,1)))/Inputs!$B$44),G541*Q541))*IF(Inputs!$B$39="pvp",1,(1+(Inputs!$B$21+Skills!Q12+B564+(IF(ArtifactsInput!$M$33,CHOOSE(ArtifactsInput!$N$33+1,30,36,42,48,54,60),0))+(IF(AND(ArtifactsInput!$M$35,Inputs!$B$4&lt;&gt;"Chapter Hunt"),CHOOSE(ArtifactsInput!$N$35+1,15,18,21,24,27,30)*(1-EXP(-(0.2*B567)*5)),0)+IF(AND(ArtifactsInput!$M$22,Inputs!$B$4&lt;&gt;"Chapter Hunt"),CHOOSE(ArtifactsInput!$N$22+1,10,12,14,16,18,20)*((0*(((0.15*B567*5))^0/1)+1*(((0.15*B567*5))^1/1)+2*(((0.15*B567*5))^2/2)+3*(((0.15*B567*5))^3/6)+4*(((0.15*B567*5))^4/24)+5*(((0.15*B567*5))^5/120))/((((0.15*B567*5))^0/1)+(((0.15*B567*5))^1/1)+(((0.15*B567*5))^2/2)+(((0.15*B567*5))^3/6)+(((0.15*B567*5))^4/24)+(((0.15*B567*5))^5/120))),0)))/100)*(MIN(Skills!W12,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542">
      <c r="A542">
        <f>Skills!A13</f>
        <v/>
      </c>
      <c r="B542">
        <f>Skills!B13</f>
        <v/>
      </c>
      <c r="C542">
        <f>Inputs!$B$3&gt;=105</f>
        <v/>
      </c>
      <c r="D542">
        <f>IF(Skills!C13=1,60+Inputs!$B$25+Inputs!$B$29,IF(Skills!C13=2,90+Inputs!$B$26+Inputs!$B$29,IF(Skills!C13=3,120+Inputs!$B$27+Inputs!$B$29,MAX(0,(Inputs!$B$3-100)*3)+Inputs!$B$28+Inputs!$B$29)))</f>
        <v/>
      </c>
      <c r="E542">
        <f>INDEX(FactorTable!$B$2:$Y$301, MATCH(ROUND(MIN(300,MAX(1,D542)),0), FactorTable!$A$2:$A$301,0), Skills!M13+1)</f>
        <v/>
      </c>
      <c r="F542">
        <f>IF(Skills!N13=TRUE,(Skills!L13/10)*(E542/1000),Skills!L13/10)+Skills!O13</f>
        <v/>
      </c>
      <c r="G542">
        <f>Skills!G13*IF(Skills!H13&gt;0,IF(Inputs!$B$39="pvp",MIN(Skills!I13,15),Skills!I13)/Skills!H13,1)</f>
        <v/>
      </c>
      <c r="H542">
        <f>1-(1-Skills!J13/100)^Skills!K13</f>
        <v/>
      </c>
      <c r="I542" t="inlineStr">
        <is>
          <t>1</t>
        </is>
      </c>
      <c r="J542">
        <f>((Inputs!$B$6*(1+Inputs!$B$7/100))+(((Inputs!$B$12*(1+Inputs!$B$13/100))-(Inputs!$B$12*(1+Inputs!$B$13/100)))+0.25*(Inputs!$B$14-Inputs!$B$14))*(1+Inputs!$B$7/100))*(F542/100)</f>
        <v/>
      </c>
      <c r="K542">
        <f>J542*(1+((Inputs!$B$12*(1+Inputs!$B$13/100))*0.01+Inputs!$B$14*0.0025)/100)*(1+Inputs!$B$15/100)*(1+Inputs!$B$16/100)*(5000/(6000+Inputs!$B$43*(1-(100*(1-(1-Inputs!$B$19/100)*(1-CHOOSE(ArtifactsInput!$N$40+1,5,6,7,8,9,10)/100)^(ArtifactsInput!$M$40-ArtifactsInput!$M$40)))/100)))*(1+(Inputs!$B$24+((C560=TRUE)*(F560-Calc!F31))+((C547=TRUE)*(F547-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13="CRUEL_STAB",Inputs!$B$17+((C557=TRUE)*(F557-Calc!F28))+((IF(AND(Inputs!$B$39&lt;&gt;"pvp",Inputs!$B$44=0),1,IF(IF(Inputs!$B$39="pvp",15,Inputs!$B$44)-(B574)&lt;=0,1,MAX(0,IF(Inputs!$B$39="pvp",15,Inputs!$B$44)-MAX(5,B574))/(IF(Inputs!$B$39="pvp",15,Inputs!$B$44)-(B574))))*(IF(AND(ArtifactsInput!$M$42,((Inputs!$B$9+((C555=TRUE)*(F555-Calc!F26))+B563+(ArtifactsInput!$M$24-ArtifactsInput!$M$24)*CHOOSE(ArtifactsInput!$N$24+1,10,12,14,16,18,20)+IF(ArtifactsInput!$M$10,CHOOSE(ArtifactsInput!$N$10+1,15,18,21,24,27,30)*(IF(Inputs!$B$39="pvp",MIN(15,15)/15,IF(AND(Inputs!$B$39&lt;&gt;"pvp",Inputs!$B$44&gt;0),MIN(15,Inputs!$B$44)/(Inputs!$B$44),0))),0)))&gt;=100),MIN(100,((Inputs!$B$9+((C555=TRUE)*(F555-Calc!F26))+B563+(ArtifactsInput!$M$24-ArtifactsInput!$M$24)*CHOOSE(ArtifactsInput!$N$24+1,10,12,14,16,18,20)+IF(ArtifactsInput!$M$10,CHOOSE(ArtifactsInput!$N$10+1,15,18,21,24,27,30)*(IF(Inputs!$B$39="pvp",MIN(15,15)/15,IF(AND(Inputs!$B$39&lt;&gt;"pvp",Inputs!$B$44&gt;0),MIN(15,Inputs!$B$44)/(Inputs!$B$44),0))),0)))-100),0))*CHOOSE(ArtifactsInput!$N$42+1,0.6,0.72,0.84,0.96,1.08,1.2))),Inputs!$B$18+((C558=TRUE)*(F558-Calc!F29))+(IF(AND(Inputs!$B$39&lt;&gt;"pvp",Inputs!$B$44=0),1,IF(IF(Inputs!$B$39="pvp",15,Inputs!$B$44)-(B574)&lt;=0,1,MAX(0,IF(Inputs!$B$39="pvp",15,Inputs!$B$44)-MAX(5,B574))/(IF(Inputs!$B$39="pvp",15,Inputs!$B$44)-(B574))))*IF(AND(ArtifactsInput!$M$42,((Inputs!$B$9+((C555=TRUE)*(F555-Calc!F26))+B563+(ArtifactsInput!$M$24-ArtifactsInput!$M$24)*CHOOSE(ArtifactsInput!$N$24+1,10,12,14,16,18,20)+IF(ArtifactsInput!$M$10,CHOOSE(ArtifactsInput!$N$10+1,15,18,21,24,27,30)*(IF(Inputs!$B$39="pvp",MIN(15,15)/15,IF(AND(Inputs!$B$39&lt;&gt;"pvp",Inputs!$B$44&gt;0),MIN(15,Inputs!$B$44)/(Inputs!$B$44),0))),0)))&gt;=100),CHOOSE(ArtifactsInput!$N$42+1,40,48,56,64,72,80),0))))/100)*(((1+(((C551=TRUE)*F551*IF(AND(Inputs!$B$39&lt;&gt;"pvp",Inputs!$B$44&gt;0),(((R551-1)*MIN((Skills!Y22*(1+Inputs!$B$34/100)),(1/Q551))+MIN((Skills!Y22*(1+Inputs!$B$34/100)),MAX(0,Inputs!$B$44-((R551-1)*(1/Q551)))))/Inputs!$B$44),IF(Inputs!$B$39="pvp",MIN((Skills!Y22*(1+Inputs!$B$34/100)),15)/15,MIN(1,(Skills!Y22*(1+Inputs!$B$34/100))/(1/Q551)))))+((C532=TRUE)*F532*3)+((C534=TRUE)*F534*(1-EXP(-0.75*B567*5)))+((C553=TRUE)*(F553-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540=TRUE)*F540*IF(AND(Inputs!$B$39&lt;&gt;"pvp",Inputs!$B$44&gt;0),(((R540-1)*MIN((Skills!Y11*(1+Inputs!$B$34/100)),(1/Q540))+MIN((Skills!Y11*(1+Inputs!$B$34/100)),MAX(0,Inputs!$B$44-((R540-1)*(1/Q540)))))/Inputs!$B$44),IF(Inputs!$B$39="pvp",MIN((Skills!Y11*(1+Inputs!$B$34/100)),15)/15,MIN(1,(Skills!Y11*(1+Inputs!$B$34/100))/(1/Q540)))))/100)*(1+((C545=TRUE)*F545*IF(AND(Inputs!$B$39&lt;&gt;"pvp",Inputs!$B$44&gt;0),(((R545-1)*MIN((Skills!Y16*(1+Inputs!$B$34/100)),(1/Q545))+MIN((Skills!Y16*(1+Inputs!$B$34/100)),MAX(0,Inputs!$B$44-((R545-1)*(1/Q545)))))/Inputs!$B$44),IF(Inputs!$B$39="pvp",MIN((Skills!Y16*(1+Inputs!$B$34/100)),15)/15,MIN(1,(Skills!Y16*(1+Inputs!$B$34/100))/(1/Q545)))))/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565*I542)</f>
        <v/>
      </c>
      <c r="L542">
        <f>K542*(MIN(Inputs!$B$22+((C554=TRUE)*(F554-Calc!F25)),((Inputs!$B$23+1)+((C559=TRUE)*(F559-Calc!F30))+IF(ArtifactsInput!$M$15,CHOOSE(ArtifactsInput!$N$15+1,25,30,35,40,45,50)/100*(Inputs!$B$11-Inputs!$B$11),0)))/100+((Inputs!$B$23+1)+((C559=TRUE)*(F559-Calc!F30))+IF(ArtifactsInput!$M$15,CHOOSE(ArtifactsInput!$N$15+1,25,30,35,40,45,50)/100*(Inputs!$B$11-Inputs!$B$11),0))/100)/2</f>
        <v/>
      </c>
      <c r="M542">
        <f>L542*(1+(Inputs!$B$10+((C556=TRUE)*(F556-Calc!F27))+B570+(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542">
        <f>L542*(1-MIN((Inputs!$B$9+((C555=TRUE)*(F555-Calc!F26))+B563+(ArtifactsInput!$M$24-ArtifactsInput!$M$24)*CHOOSE(ArtifactsInput!$N$24+1,10,12,14,16,18,20)+(IF(AND(Inputs!$B$39&lt;&gt;"pvp",Inputs!$B$44=0),1,IF(IF(Inputs!$B$39="pvp",15,Inputs!$B$44)-(B574)&lt;=0,1,MAX(0,IF(Inputs!$B$39="pvp",15,Inputs!$B$44)-MAX(5,B574))/(IF(Inputs!$B$39="pvp",15,Inputs!$B$44)-(B574))))*IF(AND(ArtifactsInput!$M$42,((Inputs!$B$9+((C555=TRUE)*(F555-Calc!F26))+B563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542*(MIN((Inputs!$B$9+((C555=TRUE)*(F555-Calc!F26))+B563+(ArtifactsInput!$M$24-ArtifactsInput!$M$24)*CHOOSE(ArtifactsInput!$N$24+1,10,12,14,16,18,20)+(IF(AND(Inputs!$B$39&lt;&gt;"pvp",Inputs!$B$44=0),1,IF(IF(Inputs!$B$39="pvp",15,Inputs!$B$44)-(B574)&lt;=0,1,MAX(0,IF(Inputs!$B$39="pvp",15,Inputs!$B$44)-MAX(5,B574))/(IF(Inputs!$B$39="pvp",15,Inputs!$B$44)-(B574))))*IF(AND(ArtifactsInput!$M$42,((Inputs!$B$9+((C555=TRUE)*(F555-Calc!F26))+B563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542">
        <f>(1-Summary!$B$11)*T542+Summary!$B$11*V542</f>
        <v/>
      </c>
      <c r="P542">
        <f>IF(B575=0,0,O542/B575)</f>
        <v/>
      </c>
      <c r="Q542">
        <f>IFERROR(1/IF(Inputs!$B$39="pvp",15,MAX(0.1,Skills!D13-IF(TRUE=TRUE,Inputs!$B$32,0))),0)</f>
        <v/>
      </c>
      <c r="R542">
        <f>IF(AND(Inputs!$B$39&lt;&gt;"pvp",Inputs!$B$44&gt;0),IF(MAX(0,Inputs!$B$44-B574)&lt;=0,0,(INT(MAX(0,Inputs!$B$44-B574)/IF(Inputs!$B$39="pvp",15,MAX(0.1,Skills!D13-IF(TRUE=TRUE,Inputs!$B$32,0))))+1)),0)</f>
        <v/>
      </c>
      <c r="S542">
        <f>IFERROR(O542/N542,0)</f>
        <v/>
      </c>
      <c r="T542">
        <f>IF(C542,(H542*N542*IF(AND(Inputs!$B$39&lt;&gt;"pvp",Inputs!$B$44&gt;0),((Skills!G13*((R542-1)*IF(Skills!H13&gt;0,Skills!I13/Skills!H13,1)+IF(Skills!H13&gt;0,MIN(Skills!I13,MAX(0,MAX(0,Inputs!$B$44-B574)-((R542-1)*IF(Inputs!$B$39="pvp",15,MAX(0.1,Skills!D13-IF(TRUE=TRUE,Inputs!$B$32,0))))))/Skills!H13,1)))/Inputs!$B$44),G542*Q542))*IF(Inputs!$B$39="pvp",1,1+(Inputs!$B$20+0+Skills!P13+B564+(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Hunt"),CHOOSE(ArtifactsInput!$N$35+1,15,18,21,24,27,30)*(1-EXP(-(0.2*B567)*5)),0)+IF(AND(ArtifactsInput!$M$22,Inputs!$B$4&lt;&gt;"Chapter Hunt"),CHOOSE(ArtifactsInput!$N$22+1,10,12,14,16,18,20)*((0*(((0.15*B567*5))^0/1)+1*(((0.15*B567*5))^1/1)+2*(((0.15*B567*5))^2/2)+3*(((0.15*B567*5))^3/6)+4*(((0.15*B567*5))^4/24)+5*(((0.15*B567*5))^5/120))/((((0.15*B567*5))^0/1)+(((0.15*B567*5))^1/1)+(((0.15*B567*5))^2/2)+(((0.15*B567*5))^3/6)+(((0.15*B567*5))^4/24)+(((0.15*B567*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542*(1-MIN(100,(Inputs!$B$9+((C555=TRUE)*(F555-Calc!F26))+B563+(ArtifactsInput!$M$24-ArtifactsInput!$M$24)*CHOOSE(ArtifactsInput!$N$24+1,10,12,14,16,18,20)+(IF(AND(Inputs!$B$39&lt;&gt;"pvp",Inputs!$B$44=0),1,IF(IF(Inputs!$B$39="pvp",15,Inputs!$B$44)-(B574)&lt;=0,1,MAX(0,IF(Inputs!$B$39="pvp",15,Inputs!$B$44)-MAX(5,B574))/(IF(Inputs!$B$39="pvp",15,Inputs!$B$44)-(B574))))*IF(AND(ArtifactsInput!$M$42,((Inputs!$B$9+((C555=TRUE)*(F555-Calc!F26))+B563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542*(MIN(100,(Inputs!$B$9+((C555=TRUE)*(F555-Calc!F26))+B563+(ArtifactsInput!$M$24-ArtifactsInput!$M$24)*CHOOSE(ArtifactsInput!$N$24+1,10,12,14,16,18,20)+(IF(AND(Inputs!$B$39&lt;&gt;"pvp",Inputs!$B$44=0),1,IF(IF(Inputs!$B$39="pvp",15,Inputs!$B$44)-(B574)&lt;=0,1,MAX(0,IF(Inputs!$B$39="pvp",15,Inputs!$B$44)-MAX(5,B574))/(IF(Inputs!$B$39="pvp",15,Inputs!$B$44)-(B574))))*IF(AND(ArtifactsInput!$M$42,((Inputs!$B$9+((C555=TRUE)*(F555-Calc!F26))+B563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542*(1-MIN(100,(Inputs!$B$9+((C555=TRUE)*(F555-Calc!F26))+B563+(ArtifactsInput!$M$24-ArtifactsInput!$M$24)*CHOOSE(ArtifactsInput!$N$24+1,10,12,14,16,18,20)+(IF(AND(Inputs!$B$39&lt;&gt;"pvp",Inputs!$B$44=0),1,IF(IF(Inputs!$B$39="pvp",15,Inputs!$B$44)-(B574)&lt;=0,1,MAX(0,IF(Inputs!$B$39="pvp",15,Inputs!$B$44)-MAX(5,B574))/(IF(Inputs!$B$39="pvp",15,Inputs!$B$44)-(B574))))*IF(AND(ArtifactsInput!$M$42,((Inputs!$B$9+((C555=TRUE)*(F555-Calc!F26))+B563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542*(MIN(100,(Inputs!$B$9+((C555=TRUE)*(F555-Calc!F26))+B563+(ArtifactsInput!$M$24-ArtifactsInput!$M$24)*CHOOSE(ArtifactsInput!$N$24+1,10,12,14,16,18,20)+(IF(AND(Inputs!$B$39&lt;&gt;"pvp",Inputs!$B$44=0),1,IF(IF(Inputs!$B$39="pvp",15,Inputs!$B$44)-(B574)&lt;=0,1,MAX(0,IF(Inputs!$B$39="pvp",15,Inputs!$B$44)-MAX(5,B574))/(IF(Inputs!$B$39="pvp",15,Inputs!$B$44)-(B574))))*IF(AND(ArtifactsInput!$M$42,((Inputs!$B$9+((C555=TRUE)*(F555-Calc!F26))+B563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542">
        <f>IF(C542,(H542*N542*IF(AND(Inputs!$B$39&lt;&gt;"pvp",Inputs!$B$44&gt;0),((Skills!G13*((R542-1)*IF(Skills!H13&gt;0,Skills!I13/Skills!H13,1)+IF(Skills!H13&gt;0,MIN(Skills!I13,MAX(0,MAX(0,Inputs!$B$44-B574)-((R542-1)*IF(Inputs!$B$39="pvp",15,MAX(0.1,Skills!D13-IF(TRUE=TRUE,Inputs!$B$32,0))))))/Skills!H13,1)))/Inputs!$B$44),G542*Q542))*IF(Inputs!$B$39="pvp",1,(1+(Inputs!$B$21+Skills!Q13+B564+(IF(ArtifactsInput!$M$33,CHOOSE(ArtifactsInput!$N$33+1,30,36,42,48,54,60),0))+(IF(AND(ArtifactsInput!$M$35,Inputs!$B$4&lt;&gt;"Chapter Hunt"),CHOOSE(ArtifactsInput!$N$35+1,15,18,21,24,27,30)*(1-EXP(-(0.2*B567)*5)),0)+IF(AND(ArtifactsInput!$M$22,Inputs!$B$4&lt;&gt;"Chapter Hunt"),CHOOSE(ArtifactsInput!$N$22+1,10,12,14,16,18,20)*((0*(((0.15*B567*5))^0/1)+1*(((0.15*B567*5))^1/1)+2*(((0.15*B567*5))^2/2)+3*(((0.15*B567*5))^3/6)+4*(((0.15*B567*5))^4/24)+5*(((0.15*B567*5))^5/120))/((((0.15*B567*5))^0/1)+(((0.15*B567*5))^1/1)+(((0.15*B567*5))^2/2)+(((0.15*B567*5))^3/6)+(((0.15*B567*5))^4/24)+(((0.15*B567*5))^5/120))),0)))/100)*(MIN(Skills!W13,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543">
      <c r="A543">
        <f>Skills!A14</f>
        <v/>
      </c>
      <c r="B543">
        <f>Skills!B14</f>
        <v/>
      </c>
      <c r="C543">
        <f>Inputs!$B$3&gt;=105</f>
        <v/>
      </c>
      <c r="D543">
        <f>IF(Skills!C14=1,60+Inputs!$B$25+Inputs!$B$29,IF(Skills!C14=2,90+Inputs!$B$26+Inputs!$B$29,IF(Skills!C14=3,120+Inputs!$B$27+Inputs!$B$29,MAX(0,(Inputs!$B$3-100)*3)+Inputs!$B$28+Inputs!$B$29)))</f>
        <v/>
      </c>
      <c r="E543">
        <f>INDEX(FactorTable!$B$2:$Y$301, MATCH(ROUND(MIN(300,MAX(1,D543)),0), FactorTable!$A$2:$A$301,0), Skills!M14+1)</f>
        <v/>
      </c>
      <c r="F543">
        <f>IF(Skills!N14=TRUE,(Skills!L14/10)*(E543/1000),Skills!L14/10)+Skills!O14</f>
        <v/>
      </c>
      <c r="G543">
        <f>Skills!G14*IF(Skills!H14&gt;0,IF(Inputs!$B$39="pvp",MIN(Skills!I14,15),Skills!I14)/Skills!H14,1)</f>
        <v/>
      </c>
      <c r="H543">
        <f>1-(1-Skills!J14/100)^Skills!K14</f>
        <v/>
      </c>
      <c r="I543" t="inlineStr">
        <is>
          <t>1</t>
        </is>
      </c>
      <c r="J543">
        <f>((Inputs!$B$6*(1+Inputs!$B$7/100))+(((Inputs!$B$12*(1+Inputs!$B$13/100))-(Inputs!$B$12*(1+Inputs!$B$13/100)))+0.25*(Inputs!$B$14-Inputs!$B$14))*(1+Inputs!$B$7/100))*(F543/100)</f>
        <v/>
      </c>
      <c r="K543">
        <f>J543*(1+((Inputs!$B$12*(1+Inputs!$B$13/100))*0.01+Inputs!$B$14*0.0025)/100)*(1+Inputs!$B$15/100)*(1+Inputs!$B$16/100)*(5000/(6000+Inputs!$B$43*(1-(100*(1-(1-Inputs!$B$19/100)*(1-CHOOSE(ArtifactsInput!$N$40+1,5,6,7,8,9,10)/100)^(ArtifactsInput!$M$40-ArtifactsInput!$M$40)))/100)))*(1+(Inputs!$B$24+((C560=TRUE)*(F560-Calc!F31))+((C547=TRUE)*(F547-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14="CRUEL_STAB",Inputs!$B$17+((C557=TRUE)*(F557-Calc!F28))+((IF(AND(Inputs!$B$39&lt;&gt;"pvp",Inputs!$B$44=0),1,IF(IF(Inputs!$B$39="pvp",15,Inputs!$B$44)-(B574)&lt;=0,1,MAX(0,IF(Inputs!$B$39="pvp",15,Inputs!$B$44)-MAX(5,B574))/(IF(Inputs!$B$39="pvp",15,Inputs!$B$44)-(B574))))*(IF(AND(ArtifactsInput!$M$42,((Inputs!$B$9+((C555=TRUE)*(F555-Calc!F26))+B563+(ArtifactsInput!$M$24-ArtifactsInput!$M$24)*CHOOSE(ArtifactsInput!$N$24+1,10,12,14,16,18,20)+IF(ArtifactsInput!$M$10,CHOOSE(ArtifactsInput!$N$10+1,15,18,21,24,27,30)*(IF(Inputs!$B$39="pvp",MIN(15,15)/15,IF(AND(Inputs!$B$39&lt;&gt;"pvp",Inputs!$B$44&gt;0),MIN(15,Inputs!$B$44)/(Inputs!$B$44),0))),0)))&gt;=100),MIN(100,((Inputs!$B$9+((C555=TRUE)*(F555-Calc!F26))+B563+(ArtifactsInput!$M$24-ArtifactsInput!$M$24)*CHOOSE(ArtifactsInput!$N$24+1,10,12,14,16,18,20)+IF(ArtifactsInput!$M$10,CHOOSE(ArtifactsInput!$N$10+1,15,18,21,24,27,30)*(IF(Inputs!$B$39="pvp",MIN(15,15)/15,IF(AND(Inputs!$B$39&lt;&gt;"pvp",Inputs!$B$44&gt;0),MIN(15,Inputs!$B$44)/(Inputs!$B$44),0))),0)))-100),0))*CHOOSE(ArtifactsInput!$N$42+1,0.6,0.72,0.84,0.96,1.08,1.2))),Inputs!$B$18+((C558=TRUE)*(F558-Calc!F29))+(IF(AND(Inputs!$B$39&lt;&gt;"pvp",Inputs!$B$44=0),1,IF(IF(Inputs!$B$39="pvp",15,Inputs!$B$44)-(B574)&lt;=0,1,MAX(0,IF(Inputs!$B$39="pvp",15,Inputs!$B$44)-MAX(5,B574))/(IF(Inputs!$B$39="pvp",15,Inputs!$B$44)-(B574))))*IF(AND(ArtifactsInput!$M$42,((Inputs!$B$9+((C555=TRUE)*(F555-Calc!F26))+B563+(ArtifactsInput!$M$24-ArtifactsInput!$M$24)*CHOOSE(ArtifactsInput!$N$24+1,10,12,14,16,18,20)+IF(ArtifactsInput!$M$10,CHOOSE(ArtifactsInput!$N$10+1,15,18,21,24,27,30)*(IF(Inputs!$B$39="pvp",MIN(15,15)/15,IF(AND(Inputs!$B$39&lt;&gt;"pvp",Inputs!$B$44&gt;0),MIN(15,Inputs!$B$44)/(Inputs!$B$44),0))),0)))&gt;=100),CHOOSE(ArtifactsInput!$N$42+1,40,48,56,64,72,80),0))))/100)*(((1+(((C551=TRUE)*F551*IF(AND(Inputs!$B$39&lt;&gt;"pvp",Inputs!$B$44&gt;0),(((R551-1)*MIN((Skills!Y22*(1+Inputs!$B$34/100)),(1/Q551))+MIN((Skills!Y22*(1+Inputs!$B$34/100)),MAX(0,Inputs!$B$44-((R551-1)*(1/Q551)))))/Inputs!$B$44),IF(Inputs!$B$39="pvp",MIN((Skills!Y22*(1+Inputs!$B$34/100)),15)/15,MIN(1,(Skills!Y22*(1+Inputs!$B$34/100))/(1/Q551)))))+((C532=TRUE)*F532*3)+((C534=TRUE)*F534*(1-EXP(-0.75*B567*5)))+((C553=TRUE)*(F553-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540=TRUE)*F540*IF(AND(Inputs!$B$39&lt;&gt;"pvp",Inputs!$B$44&gt;0),(((R540-1)*MIN((Skills!Y11*(1+Inputs!$B$34/100)),(1/Q540))+MIN((Skills!Y11*(1+Inputs!$B$34/100)),MAX(0,Inputs!$B$44-((R540-1)*(1/Q540)))))/Inputs!$B$44),IF(Inputs!$B$39="pvp",MIN((Skills!Y11*(1+Inputs!$B$34/100)),15)/15,MIN(1,(Skills!Y11*(1+Inputs!$B$34/100))/(1/Q540)))))/100)*(1+((C545=TRUE)*F545*IF(AND(Inputs!$B$39&lt;&gt;"pvp",Inputs!$B$44&gt;0),(((R545-1)*MIN((Skills!Y16*(1+Inputs!$B$34/100)),(1/Q545))+MIN((Skills!Y16*(1+Inputs!$B$34/100)),MAX(0,Inputs!$B$44-((R545-1)*(1/Q545)))))/Inputs!$B$44),IF(Inputs!$B$39="pvp",MIN((Skills!Y16*(1+Inputs!$B$34/100)),15)/15,MIN(1,(Skills!Y16*(1+Inputs!$B$34/100))/(1/Q545)))))/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565*I543)</f>
        <v/>
      </c>
      <c r="L543">
        <f>K543*(MIN(Inputs!$B$22+((C554=TRUE)*(F554-Calc!F25)),((Inputs!$B$23+1)+((C559=TRUE)*(F559-Calc!F30))+IF(ArtifactsInput!$M$15,CHOOSE(ArtifactsInput!$N$15+1,25,30,35,40,45,50)/100*(Inputs!$B$11-Inputs!$B$11),0)))/100+((Inputs!$B$23+1)+((C559=TRUE)*(F559-Calc!F30))+IF(ArtifactsInput!$M$15,CHOOSE(ArtifactsInput!$N$15+1,25,30,35,40,45,50)/100*(Inputs!$B$11-Inputs!$B$11),0))/100)/2</f>
        <v/>
      </c>
      <c r="M543">
        <f>L543*(1+(Inputs!$B$10+((C556=TRUE)*(F556-Calc!F27))+B570+(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543">
        <f>L543*(1-MIN((Inputs!$B$9+((C555=TRUE)*(F555-Calc!F26))+B563+(ArtifactsInput!$M$24-ArtifactsInput!$M$24)*CHOOSE(ArtifactsInput!$N$24+1,10,12,14,16,18,20)+(IF(AND(Inputs!$B$39&lt;&gt;"pvp",Inputs!$B$44=0),1,IF(IF(Inputs!$B$39="pvp",15,Inputs!$B$44)-(B574)&lt;=0,1,MAX(0,IF(Inputs!$B$39="pvp",15,Inputs!$B$44)-MAX(5,B574))/(IF(Inputs!$B$39="pvp",15,Inputs!$B$44)-(B574))))*IF(AND(ArtifactsInput!$M$42,((Inputs!$B$9+((C555=TRUE)*(F555-Calc!F26))+B563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543*(MIN((Inputs!$B$9+((C555=TRUE)*(F555-Calc!F26))+B563+(ArtifactsInput!$M$24-ArtifactsInput!$M$24)*CHOOSE(ArtifactsInput!$N$24+1,10,12,14,16,18,20)+(IF(AND(Inputs!$B$39&lt;&gt;"pvp",Inputs!$B$44=0),1,IF(IF(Inputs!$B$39="pvp",15,Inputs!$B$44)-(B574)&lt;=0,1,MAX(0,IF(Inputs!$B$39="pvp",15,Inputs!$B$44)-MAX(5,B574))/(IF(Inputs!$B$39="pvp",15,Inputs!$B$44)-(B574))))*IF(AND(ArtifactsInput!$M$42,((Inputs!$B$9+((C555=TRUE)*(F555-Calc!F26))+B563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543">
        <f>(1-Summary!$B$11)*T543+Summary!$B$11*V543</f>
        <v/>
      </c>
      <c r="P543">
        <f>IF(B575=0,0,O543/B575)</f>
        <v/>
      </c>
      <c r="Q543">
        <f>IFERROR(1/IF(Inputs!$B$39="pvp",15,MAX(0.1,Skills!D14-IF(TRUE=TRUE,Inputs!$B$32,0))),0)</f>
        <v/>
      </c>
      <c r="R543">
        <f>IF(AND(Inputs!$B$39&lt;&gt;"pvp",Inputs!$B$44&gt;0),IF(MAX(0,Inputs!$B$44-B574)&lt;=0,0,(INT(MAX(0,Inputs!$B$44-B574)/IF(Inputs!$B$39="pvp",15,MAX(0.1,Skills!D14-IF(TRUE=TRUE,Inputs!$B$32,0))))+1)),0)</f>
        <v/>
      </c>
      <c r="S543">
        <f>IFERROR(O543/N543,0)</f>
        <v/>
      </c>
      <c r="T543">
        <f>IF(C543,(H543*N543*IF(AND(Inputs!$B$39&lt;&gt;"pvp",Inputs!$B$44&gt;0),((Skills!G14*((R543-1)*IF(Skills!H14&gt;0,Skills!I14/Skills!H14,1)+IF(Skills!H14&gt;0,MIN(Skills!I14,MAX(0,MAX(0,Inputs!$B$44-B574)-((R543-1)*IF(Inputs!$B$39="pvp",15,MAX(0.1,Skills!D14-IF(TRUE=TRUE,Inputs!$B$32,0))))))/Skills!H14,1)))/Inputs!$B$44),G543*Q543))*IF(Inputs!$B$39="pvp",1,1+(Inputs!$B$20+0+Skills!P14+B564+(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Hunt"),CHOOSE(ArtifactsInput!$N$35+1,15,18,21,24,27,30)*(1-EXP(-(0.2*B567)*5)),0)+IF(AND(ArtifactsInput!$M$22,Inputs!$B$4&lt;&gt;"Chapter Hunt"),CHOOSE(ArtifactsInput!$N$22+1,10,12,14,16,18,20)*((0*(((0.15*B567*5))^0/1)+1*(((0.15*B567*5))^1/1)+2*(((0.15*B567*5))^2/2)+3*(((0.15*B567*5))^3/6)+4*(((0.15*B567*5))^4/24)+5*(((0.15*B567*5))^5/120))/((((0.15*B567*5))^0/1)+(((0.15*B567*5))^1/1)+(((0.15*B567*5))^2/2)+(((0.15*B567*5))^3/6)+(((0.15*B567*5))^4/24)+(((0.15*B567*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543*(1-MIN(100,(Inputs!$B$9+((C555=TRUE)*(F555-Calc!F26))+B563+(ArtifactsInput!$M$24-ArtifactsInput!$M$24)*CHOOSE(ArtifactsInput!$N$24+1,10,12,14,16,18,20)+(IF(AND(Inputs!$B$39&lt;&gt;"pvp",Inputs!$B$44=0),1,IF(IF(Inputs!$B$39="pvp",15,Inputs!$B$44)-(B574)&lt;=0,1,MAX(0,IF(Inputs!$B$39="pvp",15,Inputs!$B$44)-MAX(5,B574))/(IF(Inputs!$B$39="pvp",15,Inputs!$B$44)-(B574))))*IF(AND(ArtifactsInput!$M$42,((Inputs!$B$9+((C555=TRUE)*(F555-Calc!F26))+B563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543*(MIN(100,(Inputs!$B$9+((C555=TRUE)*(F555-Calc!F26))+B563+(ArtifactsInput!$M$24-ArtifactsInput!$M$24)*CHOOSE(ArtifactsInput!$N$24+1,10,12,14,16,18,20)+(IF(AND(Inputs!$B$39&lt;&gt;"pvp",Inputs!$B$44=0),1,IF(IF(Inputs!$B$39="pvp",15,Inputs!$B$44)-(B574)&lt;=0,1,MAX(0,IF(Inputs!$B$39="pvp",15,Inputs!$B$44)-MAX(5,B574))/(IF(Inputs!$B$39="pvp",15,Inputs!$B$44)-(B574))))*IF(AND(ArtifactsInput!$M$42,((Inputs!$B$9+((C555=TRUE)*(F555-Calc!F26))+B563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543*(1-MIN(100,(Inputs!$B$9+((C555=TRUE)*(F555-Calc!F26))+B563+(ArtifactsInput!$M$24-ArtifactsInput!$M$24)*CHOOSE(ArtifactsInput!$N$24+1,10,12,14,16,18,20)+(IF(AND(Inputs!$B$39&lt;&gt;"pvp",Inputs!$B$44=0),1,IF(IF(Inputs!$B$39="pvp",15,Inputs!$B$44)-(B574)&lt;=0,1,MAX(0,IF(Inputs!$B$39="pvp",15,Inputs!$B$44)-MAX(5,B574))/(IF(Inputs!$B$39="pvp",15,Inputs!$B$44)-(B574))))*IF(AND(ArtifactsInput!$M$42,((Inputs!$B$9+((C555=TRUE)*(F555-Calc!F26))+B563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543*(MIN(100,(Inputs!$B$9+((C555=TRUE)*(F555-Calc!F26))+B563+(ArtifactsInput!$M$24-ArtifactsInput!$M$24)*CHOOSE(ArtifactsInput!$N$24+1,10,12,14,16,18,20)+(IF(AND(Inputs!$B$39&lt;&gt;"pvp",Inputs!$B$44=0),1,IF(IF(Inputs!$B$39="pvp",15,Inputs!$B$44)-(B574)&lt;=0,1,MAX(0,IF(Inputs!$B$39="pvp",15,Inputs!$B$44)-MAX(5,B574))/(IF(Inputs!$B$39="pvp",15,Inputs!$B$44)-(B574))))*IF(AND(ArtifactsInput!$M$42,((Inputs!$B$9+((C555=TRUE)*(F555-Calc!F26))+B563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543">
        <f>IF(C543,(H543*N543*IF(AND(Inputs!$B$39&lt;&gt;"pvp",Inputs!$B$44&gt;0),((Skills!G14*((R543-1)*IF(Skills!H14&gt;0,Skills!I14/Skills!H14,1)+IF(Skills!H14&gt;0,MIN(Skills!I14,MAX(0,MAX(0,Inputs!$B$44-B574)-((R543-1)*IF(Inputs!$B$39="pvp",15,MAX(0.1,Skills!D14-IF(TRUE=TRUE,Inputs!$B$32,0))))))/Skills!H14,1)))/Inputs!$B$44),G543*Q543))*IF(Inputs!$B$39="pvp",1,(1+(Inputs!$B$21+Skills!Q14+B564+(IF(ArtifactsInput!$M$33,CHOOSE(ArtifactsInput!$N$33+1,30,36,42,48,54,60),0))+(IF(AND(ArtifactsInput!$M$35,Inputs!$B$4&lt;&gt;"Chapter Hunt"),CHOOSE(ArtifactsInput!$N$35+1,15,18,21,24,27,30)*(1-EXP(-(0.2*B567)*5)),0)+IF(AND(ArtifactsInput!$M$22,Inputs!$B$4&lt;&gt;"Chapter Hunt"),CHOOSE(ArtifactsInput!$N$22+1,10,12,14,16,18,20)*((0*(((0.15*B567*5))^0/1)+1*(((0.15*B567*5))^1/1)+2*(((0.15*B567*5))^2/2)+3*(((0.15*B567*5))^3/6)+4*(((0.15*B567*5))^4/24)+5*(((0.15*B567*5))^5/120))/((((0.15*B567*5))^0/1)+(((0.15*B567*5))^1/1)+(((0.15*B567*5))^2/2)+(((0.15*B567*5))^3/6)+(((0.15*B567*5))^4/24)+(((0.15*B567*5))^5/120))),0)))/100)*(MIN(Skills!W14,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544">
      <c r="A544">
        <f>Skills!A15</f>
        <v/>
      </c>
      <c r="B544">
        <f>Skills!B15</f>
        <v/>
      </c>
      <c r="C544">
        <f>Inputs!$B$3&gt;=107</f>
        <v/>
      </c>
      <c r="D544">
        <f>IF(Skills!C15=1,60+Inputs!$B$25+Inputs!$B$29,IF(Skills!C15=2,90+Inputs!$B$26+Inputs!$B$29,IF(Skills!C15=3,120+Inputs!$B$27+Inputs!$B$29,MAX(0,(Inputs!$B$3-100)*3)+Inputs!$B$28+Inputs!$B$29)))</f>
        <v/>
      </c>
      <c r="E544">
        <f>INDEX(FactorTable!$B$2:$Y$301, MATCH(ROUND(MIN(300,MAX(1,D544)),0), FactorTable!$A$2:$A$301,0), Skills!M15+1)</f>
        <v/>
      </c>
      <c r="F544">
        <f>IF(Skills!N15=TRUE,(Skills!L15/10)*(E544/1000),Skills!L15/10)+Skills!O15</f>
        <v/>
      </c>
      <c r="G544">
        <f>Skills!G15*IF(Skills!H15&gt;0,IF(Inputs!$B$39="pvp",MIN(Skills!I15,15),Skills!I15)/Skills!H15,1)</f>
        <v/>
      </c>
      <c r="H544">
        <f>1-(1-Skills!J15/100)^Skills!K15</f>
        <v/>
      </c>
      <c r="I544" t="inlineStr">
        <is>
          <t>1</t>
        </is>
      </c>
      <c r="J544">
        <f>((Inputs!$B$6*(1+Inputs!$B$7/100))+(((Inputs!$B$12*(1+Inputs!$B$13/100))-(Inputs!$B$12*(1+Inputs!$B$13/100)))+0.25*(Inputs!$B$14-Inputs!$B$14))*(1+Inputs!$B$7/100))*(F544/100)</f>
        <v/>
      </c>
      <c r="K544">
        <f>J544*(1+((Inputs!$B$12*(1+Inputs!$B$13/100))*0.01+Inputs!$B$14*0.0025)/100)*(1+Inputs!$B$15/100)*(1+Inputs!$B$16/100)*(5000/(6000+Inputs!$B$43*(1-(100*(1-(1-Inputs!$B$19/100)*(1-CHOOSE(ArtifactsInput!$N$40+1,5,6,7,8,9,10)/100)^(ArtifactsInput!$M$40-ArtifactsInput!$M$40)))/100)))*(1+(Inputs!$B$24+((C560=TRUE)*(F560-Calc!F31))+((C547=TRUE)*(F547-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15="CRUEL_STAB",Inputs!$B$17+((C557=TRUE)*(F557-Calc!F28))+((IF(AND(Inputs!$B$39&lt;&gt;"pvp",Inputs!$B$44=0),1,IF(IF(Inputs!$B$39="pvp",15,Inputs!$B$44)-(B574)&lt;=0,1,MAX(0,IF(Inputs!$B$39="pvp",15,Inputs!$B$44)-MAX(5,B574))/(IF(Inputs!$B$39="pvp",15,Inputs!$B$44)-(B574))))*(IF(AND(ArtifactsInput!$M$42,((Inputs!$B$9+((C555=TRUE)*(F555-Calc!F26))+B563+(ArtifactsInput!$M$24-ArtifactsInput!$M$24)*CHOOSE(ArtifactsInput!$N$24+1,10,12,14,16,18,20)+IF(ArtifactsInput!$M$10,CHOOSE(ArtifactsInput!$N$10+1,15,18,21,24,27,30)*(IF(Inputs!$B$39="pvp",MIN(15,15)/15,IF(AND(Inputs!$B$39&lt;&gt;"pvp",Inputs!$B$44&gt;0),MIN(15,Inputs!$B$44)/(Inputs!$B$44),0))),0)))&gt;=100),MIN(100,((Inputs!$B$9+((C555=TRUE)*(F555-Calc!F26))+B563+(ArtifactsInput!$M$24-ArtifactsInput!$M$24)*CHOOSE(ArtifactsInput!$N$24+1,10,12,14,16,18,20)+IF(ArtifactsInput!$M$10,CHOOSE(ArtifactsInput!$N$10+1,15,18,21,24,27,30)*(IF(Inputs!$B$39="pvp",MIN(15,15)/15,IF(AND(Inputs!$B$39&lt;&gt;"pvp",Inputs!$B$44&gt;0),MIN(15,Inputs!$B$44)/(Inputs!$B$44),0))),0)))-100),0))*CHOOSE(ArtifactsInput!$N$42+1,0.6,0.72,0.84,0.96,1.08,1.2))),Inputs!$B$18+((C558=TRUE)*(F558-Calc!F29))+(IF(AND(Inputs!$B$39&lt;&gt;"pvp",Inputs!$B$44=0),1,IF(IF(Inputs!$B$39="pvp",15,Inputs!$B$44)-(B574)&lt;=0,1,MAX(0,IF(Inputs!$B$39="pvp",15,Inputs!$B$44)-MAX(5,B574))/(IF(Inputs!$B$39="pvp",15,Inputs!$B$44)-(B574))))*IF(AND(ArtifactsInput!$M$42,((Inputs!$B$9+((C555=TRUE)*(F555-Calc!F26))+B563+(ArtifactsInput!$M$24-ArtifactsInput!$M$24)*CHOOSE(ArtifactsInput!$N$24+1,10,12,14,16,18,20)+IF(ArtifactsInput!$M$10,CHOOSE(ArtifactsInput!$N$10+1,15,18,21,24,27,30)*(IF(Inputs!$B$39="pvp",MIN(15,15)/15,IF(AND(Inputs!$B$39&lt;&gt;"pvp",Inputs!$B$44&gt;0),MIN(15,Inputs!$B$44)/(Inputs!$B$44),0))),0)))&gt;=100),CHOOSE(ArtifactsInput!$N$42+1,40,48,56,64,72,80),0))))/100)*(((1+(((C551=TRUE)*F551*IF(AND(Inputs!$B$39&lt;&gt;"pvp",Inputs!$B$44&gt;0),(((R551-1)*MIN((Skills!Y22*(1+Inputs!$B$34/100)),(1/Q551))+MIN((Skills!Y22*(1+Inputs!$B$34/100)),MAX(0,Inputs!$B$44-((R551-1)*(1/Q551)))))/Inputs!$B$44),IF(Inputs!$B$39="pvp",MIN((Skills!Y22*(1+Inputs!$B$34/100)),15)/15,MIN(1,(Skills!Y22*(1+Inputs!$B$34/100))/(1/Q551)))))+((C532=TRUE)*F532*3)+((C534=TRUE)*F534*(1-EXP(-0.75*B567*5)))+((C553=TRUE)*(F553-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540=TRUE)*F540*IF(AND(Inputs!$B$39&lt;&gt;"pvp",Inputs!$B$44&gt;0),(((R540-1)*MIN((Skills!Y11*(1+Inputs!$B$34/100)),(1/Q540))+MIN((Skills!Y11*(1+Inputs!$B$34/100)),MAX(0,Inputs!$B$44-((R540-1)*(1/Q540)))))/Inputs!$B$44),IF(Inputs!$B$39="pvp",MIN((Skills!Y11*(1+Inputs!$B$34/100)),15)/15,MIN(1,(Skills!Y11*(1+Inputs!$B$34/100))/(1/Q540)))))/100)*(1+((C545=TRUE)*F545*IF(AND(Inputs!$B$39&lt;&gt;"pvp",Inputs!$B$44&gt;0),(((R545-1)*MIN((Skills!Y16*(1+Inputs!$B$34/100)),(1/Q545))+MIN((Skills!Y16*(1+Inputs!$B$34/100)),MAX(0,Inputs!$B$44-((R545-1)*(1/Q545)))))/Inputs!$B$44),IF(Inputs!$B$39="pvp",MIN((Skills!Y16*(1+Inputs!$B$34/100)),15)/15,MIN(1,(Skills!Y16*(1+Inputs!$B$34/100))/(1/Q545)))))/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565*I544)</f>
        <v/>
      </c>
      <c r="L544">
        <f>K544*(MIN(Inputs!$B$22+((C554=TRUE)*(F554-Calc!F25)),((Inputs!$B$23+1)+((C559=TRUE)*(F559-Calc!F30))+IF(ArtifactsInput!$M$15,CHOOSE(ArtifactsInput!$N$15+1,25,30,35,40,45,50)/100*(Inputs!$B$11-Inputs!$B$11),0)))/100+((Inputs!$B$23+1)+((C559=TRUE)*(F559-Calc!F30))+IF(ArtifactsInput!$M$15,CHOOSE(ArtifactsInput!$N$15+1,25,30,35,40,45,50)/100*(Inputs!$B$11-Inputs!$B$11),0))/100)/2</f>
        <v/>
      </c>
      <c r="M544">
        <f>L544*(1+(Inputs!$B$10+((C556=TRUE)*(F556-Calc!F27))+B570+(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544">
        <f>L544*(1-MIN((Inputs!$B$9+((C555=TRUE)*(F555-Calc!F26))+B563+(ArtifactsInput!$M$24-ArtifactsInput!$M$24)*CHOOSE(ArtifactsInput!$N$24+1,10,12,14,16,18,20)+(IF(AND(Inputs!$B$39&lt;&gt;"pvp",Inputs!$B$44=0),1,IF(IF(Inputs!$B$39="pvp",15,Inputs!$B$44)-(B574)&lt;=0,1,MAX(0,IF(Inputs!$B$39="pvp",15,Inputs!$B$44)-MAX(5,B574))/(IF(Inputs!$B$39="pvp",15,Inputs!$B$44)-(B574))))*IF(AND(ArtifactsInput!$M$42,((Inputs!$B$9+((C555=TRUE)*(F555-Calc!F26))+B563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544*(MIN((Inputs!$B$9+((C555=TRUE)*(F555-Calc!F26))+B563+(ArtifactsInput!$M$24-ArtifactsInput!$M$24)*CHOOSE(ArtifactsInput!$N$24+1,10,12,14,16,18,20)+(IF(AND(Inputs!$B$39&lt;&gt;"pvp",Inputs!$B$44=0),1,IF(IF(Inputs!$B$39="pvp",15,Inputs!$B$44)-(B574)&lt;=0,1,MAX(0,IF(Inputs!$B$39="pvp",15,Inputs!$B$44)-MAX(5,B574))/(IF(Inputs!$B$39="pvp",15,Inputs!$B$44)-(B574))))*IF(AND(ArtifactsInput!$M$42,((Inputs!$B$9+((C555=TRUE)*(F555-Calc!F26))+B563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544">
        <f>(1-Summary!$B$11)*T544+Summary!$B$11*V544</f>
        <v/>
      </c>
      <c r="P544">
        <f>IF(B575=0,0,O544/B575)</f>
        <v/>
      </c>
      <c r="Q544">
        <f>IFERROR(1/IF(Inputs!$B$39="pvp",15,MAX(0.1,Skills!D15-IF(TRUE=TRUE,Inputs!$B$32,0))),0)</f>
        <v/>
      </c>
      <c r="R544">
        <f>IF(AND(Inputs!$B$39&lt;&gt;"pvp",Inputs!$B$44&gt;0),IF(MAX(0,Inputs!$B$44-B574)&lt;=0,0,(INT(MAX(0,Inputs!$B$44-B574)/IF(Inputs!$B$39="pvp",15,MAX(0.1,Skills!D15-IF(TRUE=TRUE,Inputs!$B$32,0))))+1)),0)</f>
        <v/>
      </c>
      <c r="S544">
        <f>IFERROR(O544/N544,0)</f>
        <v/>
      </c>
      <c r="T544">
        <f>IF(C544,(H544*N544*IF(AND(Inputs!$B$39&lt;&gt;"pvp",Inputs!$B$44&gt;0),((Skills!G15*((R544-1)*IF(Skills!H15&gt;0,Skills!I15/Skills!H15,1)+IF(Skills!H15&gt;0,MIN(Skills!I15,MAX(0,MAX(0,Inputs!$B$44-B574)-((R544-1)*IF(Inputs!$B$39="pvp",15,MAX(0.1,Skills!D15-IF(TRUE=TRUE,Inputs!$B$32,0))))))/Skills!H15,1)))/Inputs!$B$44),G544*Q544))*IF(Inputs!$B$39="pvp",1,1+(Inputs!$B$20+0+Skills!P15+B564+(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Hunt"),CHOOSE(ArtifactsInput!$N$35+1,15,18,21,24,27,30)*(1-EXP(-(0.2*B567)*5)),0)+IF(AND(ArtifactsInput!$M$22,Inputs!$B$4&lt;&gt;"Chapter Hunt"),CHOOSE(ArtifactsInput!$N$22+1,10,12,14,16,18,20)*((0*(((0.15*B567*5))^0/1)+1*(((0.15*B567*5))^1/1)+2*(((0.15*B567*5))^2/2)+3*(((0.15*B567*5))^3/6)+4*(((0.15*B567*5))^4/24)+5*(((0.15*B567*5))^5/120))/((((0.15*B567*5))^0/1)+(((0.15*B567*5))^1/1)+(((0.15*B567*5))^2/2)+(((0.15*B567*5))^3/6)+(((0.15*B567*5))^4/24)+(((0.15*B567*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544*(1-MIN(100,(Inputs!$B$9+((C555=TRUE)*(F555-Calc!F26))+B563+(ArtifactsInput!$M$24-ArtifactsInput!$M$24)*CHOOSE(ArtifactsInput!$N$24+1,10,12,14,16,18,20)+(IF(AND(Inputs!$B$39&lt;&gt;"pvp",Inputs!$B$44=0),1,IF(IF(Inputs!$B$39="pvp",15,Inputs!$B$44)-(B574)&lt;=0,1,MAX(0,IF(Inputs!$B$39="pvp",15,Inputs!$B$44)-MAX(5,B574))/(IF(Inputs!$B$39="pvp",15,Inputs!$B$44)-(B574))))*IF(AND(ArtifactsInput!$M$42,((Inputs!$B$9+((C555=TRUE)*(F555-Calc!F26))+B563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544*(MIN(100,(Inputs!$B$9+((C555=TRUE)*(F555-Calc!F26))+B563+(ArtifactsInput!$M$24-ArtifactsInput!$M$24)*CHOOSE(ArtifactsInput!$N$24+1,10,12,14,16,18,20)+(IF(AND(Inputs!$B$39&lt;&gt;"pvp",Inputs!$B$44=0),1,IF(IF(Inputs!$B$39="pvp",15,Inputs!$B$44)-(B574)&lt;=0,1,MAX(0,IF(Inputs!$B$39="pvp",15,Inputs!$B$44)-MAX(5,B574))/(IF(Inputs!$B$39="pvp",15,Inputs!$B$44)-(B574))))*IF(AND(ArtifactsInput!$M$42,((Inputs!$B$9+((C555=TRUE)*(F555-Calc!F26))+B563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544*(1-MIN(100,(Inputs!$B$9+((C555=TRUE)*(F555-Calc!F26))+B563+(ArtifactsInput!$M$24-ArtifactsInput!$M$24)*CHOOSE(ArtifactsInput!$N$24+1,10,12,14,16,18,20)+(IF(AND(Inputs!$B$39&lt;&gt;"pvp",Inputs!$B$44=0),1,IF(IF(Inputs!$B$39="pvp",15,Inputs!$B$44)-(B574)&lt;=0,1,MAX(0,IF(Inputs!$B$39="pvp",15,Inputs!$B$44)-MAX(5,B574))/(IF(Inputs!$B$39="pvp",15,Inputs!$B$44)-(B574))))*IF(AND(ArtifactsInput!$M$42,((Inputs!$B$9+((C555=TRUE)*(F555-Calc!F26))+B563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544*(MIN(100,(Inputs!$B$9+((C555=TRUE)*(F555-Calc!F26))+B563+(ArtifactsInput!$M$24-ArtifactsInput!$M$24)*CHOOSE(ArtifactsInput!$N$24+1,10,12,14,16,18,20)+(IF(AND(Inputs!$B$39&lt;&gt;"pvp",Inputs!$B$44=0),1,IF(IF(Inputs!$B$39="pvp",15,Inputs!$B$44)-(B574)&lt;=0,1,MAX(0,IF(Inputs!$B$39="pvp",15,Inputs!$B$44)-MAX(5,B574))/(IF(Inputs!$B$39="pvp",15,Inputs!$B$44)-(B574))))*IF(AND(ArtifactsInput!$M$42,((Inputs!$B$9+((C555=TRUE)*(F555-Calc!F26))+B563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544">
        <f>IF(C544,(H544*N544*IF(AND(Inputs!$B$39&lt;&gt;"pvp",Inputs!$B$44&gt;0),((Skills!G15*((R544-1)*IF(Skills!H15&gt;0,Skills!I15/Skills!H15,1)+IF(Skills!H15&gt;0,MIN(Skills!I15,MAX(0,MAX(0,Inputs!$B$44-B574)-((R544-1)*IF(Inputs!$B$39="pvp",15,MAX(0.1,Skills!D15-IF(TRUE=TRUE,Inputs!$B$32,0))))))/Skills!H15,1)))/Inputs!$B$44),G544*Q544))*IF(Inputs!$B$39="pvp",1,(1+(Inputs!$B$21+Skills!Q15+B564+(IF(ArtifactsInput!$M$33,CHOOSE(ArtifactsInput!$N$33+1,30,36,42,48,54,60),0))+(IF(AND(ArtifactsInput!$M$35,Inputs!$B$4&lt;&gt;"Chapter Hunt"),CHOOSE(ArtifactsInput!$N$35+1,15,18,21,24,27,30)*(1-EXP(-(0.2*B567)*5)),0)+IF(AND(ArtifactsInput!$M$22,Inputs!$B$4&lt;&gt;"Chapter Hunt"),CHOOSE(ArtifactsInput!$N$22+1,10,12,14,16,18,20)*((0*(((0.15*B567*5))^0/1)+1*(((0.15*B567*5))^1/1)+2*(((0.15*B567*5))^2/2)+3*(((0.15*B567*5))^3/6)+4*(((0.15*B567*5))^4/24)+5*(((0.15*B567*5))^5/120))/((((0.15*B567*5))^0/1)+(((0.15*B567*5))^1/1)+(((0.15*B567*5))^2/2)+(((0.15*B567*5))^3/6)+(((0.15*B567*5))^4/24)+(((0.15*B567*5))^5/120))),0)))/100)*(MIN(MIN(5,0.5*IF(Inputs!$B$3&gt;=75,0.75,0.5)*B567*(1/Q533))*Skills!V15,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545">
      <c r="A545">
        <f>Skills!A16</f>
        <v/>
      </c>
      <c r="B545">
        <f>Skills!B16</f>
        <v/>
      </c>
      <c r="C545">
        <f>Inputs!$B$3&gt;=110</f>
        <v/>
      </c>
      <c r="D545">
        <f>IF(Skills!C16=1,60+Inputs!$B$25+Inputs!$B$29,IF(Skills!C16=2,90+Inputs!$B$26+Inputs!$B$29,IF(Skills!C16=3,120+Inputs!$B$27+Inputs!$B$29,MAX(0,(Inputs!$B$3-100)*3)+Inputs!$B$28+Inputs!$B$29)))</f>
        <v/>
      </c>
      <c r="E545">
        <f>INDEX(FactorTable!$B$2:$Y$301, MATCH(ROUND(MIN(300,MAX(1,D545)),0), FactorTable!$A$2:$A$301,0), Skills!M16+1)</f>
        <v/>
      </c>
      <c r="F545">
        <f>IF(Skills!N16=TRUE,(Skills!L16/10)*(E545/1000),Skills!L16/10)+Skills!O16</f>
        <v/>
      </c>
      <c r="G545">
        <f>Skills!G16*IF(Skills!H16&gt;0,IF(Inputs!$B$39="pvp",MIN(Skills!I16,15),Skills!I16)/Skills!H16,1)</f>
        <v/>
      </c>
      <c r="H545">
        <f>1-(1-Skills!J16/100)^Skills!K16</f>
        <v/>
      </c>
      <c r="I545" t="inlineStr">
        <is>
          <t>1</t>
        </is>
      </c>
      <c r="J545" t="inlineStr"/>
      <c r="K545" t="inlineStr"/>
      <c r="L545" t="inlineStr"/>
      <c r="M545" t="inlineStr"/>
      <c r="N545" t="inlineStr"/>
      <c r="O545">
        <f>(1-Summary!$B$11)*T545+Summary!$B$11*V545</f>
        <v/>
      </c>
      <c r="P545">
        <f>IF(B575=0,0,O545/B575)</f>
        <v/>
      </c>
      <c r="Q545">
        <f>IFERROR(1/IF(Inputs!$B$39="pvp",15,MAX(0.1,Skills!D16-IF(TRUE=TRUE,Inputs!$B$32,0))),0)</f>
        <v/>
      </c>
      <c r="R545">
        <f>IF(AND(Inputs!$B$39&lt;&gt;"pvp",Inputs!$B$44&gt;0),IF(Inputs!$B$44&lt;=0,0,(INT(Inputs!$B$44/IF(Inputs!$B$39="pvp",15,MAX(0.1,Skills!D16-IF(TRUE=TRUE,Inputs!$B$32,0))))+1)),0)</f>
        <v/>
      </c>
      <c r="S545">
        <f>IFERROR(O545/N545,0)</f>
        <v/>
      </c>
      <c r="T545" t="n">
        <v>0</v>
      </c>
      <c r="V545" t="n">
        <v>0</v>
      </c>
    </row>
    <row r="546">
      <c r="A546">
        <f>Skills!A17</f>
        <v/>
      </c>
      <c r="B546">
        <f>Skills!B17</f>
        <v/>
      </c>
      <c r="C546">
        <f>Inputs!$B$3&gt;=115</f>
        <v/>
      </c>
      <c r="D546">
        <f>IF(Skills!C17=1,60+Inputs!$B$25+Inputs!$B$29,IF(Skills!C17=2,90+Inputs!$B$26+Inputs!$B$29,IF(Skills!C17=3,120+Inputs!$B$27+Inputs!$B$29,MAX(0,(Inputs!$B$3-100)*3)+Inputs!$B$28+Inputs!$B$29)))</f>
        <v/>
      </c>
      <c r="E546">
        <f>INDEX(FactorTable!$B$2:$Y$301, MATCH(ROUND(MIN(300,MAX(1,D546)),0), FactorTable!$A$2:$A$301,0), Skills!M17+1)</f>
        <v/>
      </c>
      <c r="F546">
        <f>IF(Skills!N17=TRUE,(Skills!L17/10)*(E546/1000),Skills!L17/10)+Skills!O17</f>
        <v/>
      </c>
      <c r="G546">
        <f>Skills!G17*IF(Skills!H17&gt;0,IF(Inputs!$B$39="pvp",MIN(Skills!I17,15),Skills!I17)/Skills!H17,1)</f>
        <v/>
      </c>
      <c r="H546">
        <f>1-(1-Skills!J17/100)^Skills!K17</f>
        <v/>
      </c>
      <c r="I546" t="inlineStr">
        <is>
          <t>1</t>
        </is>
      </c>
      <c r="J546">
        <f>((Inputs!$B$6*(1+Inputs!$B$7/100))+(((Inputs!$B$12*(1+Inputs!$B$13/100))-(Inputs!$B$12*(1+Inputs!$B$13/100)))+0.25*(Inputs!$B$14-Inputs!$B$14))*(1+Inputs!$B$7/100))*(F546/100)</f>
        <v/>
      </c>
      <c r="K546">
        <f>J546*(1+((Inputs!$B$12*(1+Inputs!$B$13/100))*0.01+Inputs!$B$14*0.0025)/100)*(1+Inputs!$B$15/100)*(1+Inputs!$B$16/100)*(5000/(6000+Inputs!$B$43*(1-(100*(1-(1-Inputs!$B$19/100)*(1-CHOOSE(ArtifactsInput!$N$40+1,5,6,7,8,9,10)/100)^(ArtifactsInput!$M$40-ArtifactsInput!$M$40)))/100)))*(1+(Inputs!$B$24+((C560=TRUE)*(F560-Calc!F31))+((C547=TRUE)*(F547-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17="CRUEL_STAB",Inputs!$B$17+((C557=TRUE)*(F557-Calc!F28))+((IF(AND(Inputs!$B$39&lt;&gt;"pvp",Inputs!$B$44=0),1,IF(IF(Inputs!$B$39="pvp",15,Inputs!$B$44)-(B574)&lt;=0,1,MAX(0,IF(Inputs!$B$39="pvp",15,Inputs!$B$44)-MAX(5,B574))/(IF(Inputs!$B$39="pvp",15,Inputs!$B$44)-(B574))))*(IF(AND(ArtifactsInput!$M$42,((Inputs!$B$9+((C555=TRUE)*(F555-Calc!F26))+B563+(ArtifactsInput!$M$24-ArtifactsInput!$M$24)*CHOOSE(ArtifactsInput!$N$24+1,10,12,14,16,18,20)+IF(ArtifactsInput!$M$10,CHOOSE(ArtifactsInput!$N$10+1,15,18,21,24,27,30)*(IF(Inputs!$B$39="pvp",MIN(15,15)/15,IF(AND(Inputs!$B$39&lt;&gt;"pvp",Inputs!$B$44&gt;0),MIN(15,Inputs!$B$44)/(Inputs!$B$44),0))),0)))&gt;=100),MIN(100,((Inputs!$B$9+((C555=TRUE)*(F555-Calc!F26))+B563+(ArtifactsInput!$M$24-ArtifactsInput!$M$24)*CHOOSE(ArtifactsInput!$N$24+1,10,12,14,16,18,20)+IF(ArtifactsInput!$M$10,CHOOSE(ArtifactsInput!$N$10+1,15,18,21,24,27,30)*(IF(Inputs!$B$39="pvp",MIN(15,15)/15,IF(AND(Inputs!$B$39&lt;&gt;"pvp",Inputs!$B$44&gt;0),MIN(15,Inputs!$B$44)/(Inputs!$B$44),0))),0)))-100),0))*CHOOSE(ArtifactsInput!$N$42+1,0.6,0.72,0.84,0.96,1.08,1.2))),Inputs!$B$18+((C558=TRUE)*(F558-Calc!F29))+(IF(AND(Inputs!$B$39&lt;&gt;"pvp",Inputs!$B$44=0),1,IF(IF(Inputs!$B$39="pvp",15,Inputs!$B$44)-(B574)&lt;=0,1,MAX(0,IF(Inputs!$B$39="pvp",15,Inputs!$B$44)-MAX(5,B574))/(IF(Inputs!$B$39="pvp",15,Inputs!$B$44)-(B574))))*IF(AND(ArtifactsInput!$M$42,((Inputs!$B$9+((C555=TRUE)*(F555-Calc!F26))+B563+(ArtifactsInput!$M$24-ArtifactsInput!$M$24)*CHOOSE(ArtifactsInput!$N$24+1,10,12,14,16,18,20)+IF(ArtifactsInput!$M$10,CHOOSE(ArtifactsInput!$N$10+1,15,18,21,24,27,30)*(IF(Inputs!$B$39="pvp",MIN(15,15)/15,IF(AND(Inputs!$B$39&lt;&gt;"pvp",Inputs!$B$44&gt;0),MIN(15,Inputs!$B$44)/(Inputs!$B$44),0))),0)))&gt;=100),CHOOSE(ArtifactsInput!$N$42+1,40,48,56,64,72,80),0))))/100)*(((1+(((C551=TRUE)*F551*IF(AND(Inputs!$B$39&lt;&gt;"pvp",Inputs!$B$44&gt;0),(((R551-1)*MIN((Skills!Y22*(1+Inputs!$B$34/100)),(1/Q551))+MIN((Skills!Y22*(1+Inputs!$B$34/100)),MAX(0,Inputs!$B$44-((R551-1)*(1/Q551)))))/Inputs!$B$44),IF(Inputs!$B$39="pvp",MIN((Skills!Y22*(1+Inputs!$B$34/100)),15)/15,MIN(1,(Skills!Y22*(1+Inputs!$B$34/100))/(1/Q551)))))+((C532=TRUE)*F532*3)+((C534=TRUE)*F534*(1-EXP(-0.75*B567*5)))+((C553=TRUE)*(F553-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540=TRUE)*F540*IF(AND(Inputs!$B$39&lt;&gt;"pvp",Inputs!$B$44&gt;0),(((R540-1)*MIN((Skills!Y11*(1+Inputs!$B$34/100)),(1/Q540))+MIN((Skills!Y11*(1+Inputs!$B$34/100)),MAX(0,Inputs!$B$44-((R540-1)*(1/Q540)))))/Inputs!$B$44),IF(Inputs!$B$39="pvp",MIN((Skills!Y11*(1+Inputs!$B$34/100)),15)/15,MIN(1,(Skills!Y11*(1+Inputs!$B$34/100))/(1/Q540)))))/100)*(1+((C545=TRUE)*F545*IF(AND(Inputs!$B$39&lt;&gt;"pvp",Inputs!$B$44&gt;0),(((R545-1)*MIN((Skills!Y16*(1+Inputs!$B$34/100)),(1/Q545))+MIN((Skills!Y16*(1+Inputs!$B$34/100)),MAX(0,Inputs!$B$44-((R545-1)*(1/Q545)))))/Inputs!$B$44),IF(Inputs!$B$39="pvp",MIN((Skills!Y16*(1+Inputs!$B$34/100)),15)/15,MIN(1,(Skills!Y16*(1+Inputs!$B$34/100))/(1/Q545)))))/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565*I546)</f>
        <v/>
      </c>
      <c r="L546">
        <f>K546*(MIN(Inputs!$B$22+((C554=TRUE)*(F554-Calc!F25)),((Inputs!$B$23+1)+((C559=TRUE)*(F559-Calc!F30))+IF(ArtifactsInput!$M$15,CHOOSE(ArtifactsInput!$N$15+1,25,30,35,40,45,50)/100*(Inputs!$B$11-Inputs!$B$11),0)))/100+((Inputs!$B$23+1)+((C559=TRUE)*(F559-Calc!F30))+IF(ArtifactsInput!$M$15,CHOOSE(ArtifactsInput!$N$15+1,25,30,35,40,45,50)/100*(Inputs!$B$11-Inputs!$B$11),0))/100)/2</f>
        <v/>
      </c>
      <c r="M546">
        <f>L546*(1+(Inputs!$B$10+((C556=TRUE)*(F556-Calc!F27))+B570+(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546">
        <f>L546*(1-MIN((Inputs!$B$9+((C555=TRUE)*(F555-Calc!F26))+B563+(ArtifactsInput!$M$24-ArtifactsInput!$M$24)*CHOOSE(ArtifactsInput!$N$24+1,10,12,14,16,18,20)+(IF(AND(Inputs!$B$39&lt;&gt;"pvp",Inputs!$B$44=0),1,IF(IF(Inputs!$B$39="pvp",15,Inputs!$B$44)-(B574)&lt;=0,1,MAX(0,IF(Inputs!$B$39="pvp",15,Inputs!$B$44)-MAX(5,B574))/(IF(Inputs!$B$39="pvp",15,Inputs!$B$44)-(B574))))*IF(AND(ArtifactsInput!$M$42,((Inputs!$B$9+((C555=TRUE)*(F555-Calc!F26))+B563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546*(MIN((Inputs!$B$9+((C555=TRUE)*(F555-Calc!F26))+B563+(ArtifactsInput!$M$24-ArtifactsInput!$M$24)*CHOOSE(ArtifactsInput!$N$24+1,10,12,14,16,18,20)+(IF(AND(Inputs!$B$39&lt;&gt;"pvp",Inputs!$B$44=0),1,IF(IF(Inputs!$B$39="pvp",15,Inputs!$B$44)-(B574)&lt;=0,1,MAX(0,IF(Inputs!$B$39="pvp",15,Inputs!$B$44)-MAX(5,B574))/(IF(Inputs!$B$39="pvp",15,Inputs!$B$44)-(B574))))*IF(AND(ArtifactsInput!$M$42,((Inputs!$B$9+((C555=TRUE)*(F555-Calc!F26))+B563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546">
        <f>(1-Summary!$B$11)*T546+Summary!$B$11*V546</f>
        <v/>
      </c>
      <c r="P546">
        <f>IF(B575=0,0,O546/B575)</f>
        <v/>
      </c>
      <c r="Q546" t="n">
        <v>0</v>
      </c>
      <c r="R546" t="n">
        <v>0</v>
      </c>
      <c r="S546">
        <f>IFERROR(O546/N546,0)</f>
        <v/>
      </c>
      <c r="T546">
        <f>IF(C546,(Inputs!$B$38*0.2*N546)*IF(Inputs!$B$39="pvp",1,1+(Inputs!$B$20+0+Skills!P17+B564+(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Hunt"),CHOOSE(ArtifactsInput!$N$35+1,15,18,21,24,27,30)*(1-EXP(-(0.2*B567)*5)),0)+IF(AND(ArtifactsInput!$M$22,Inputs!$B$4&lt;&gt;"Chapter Hunt"),CHOOSE(ArtifactsInput!$N$22+1,10,12,14,16,18,20)*((0*(((0.15*B567*5))^0/1)+1*(((0.15*B567*5))^1/1)+2*(((0.15*B567*5))^2/2)+3*(((0.15*B567*5))^3/6)+4*(((0.15*B567*5))^4/24)+5*(((0.15*B567*5))^5/120))/((((0.15*B567*5))^0/1)+(((0.15*B567*5))^1/1)+(((0.15*B567*5))^2/2)+(((0.15*B567*5))^3/6)+(((0.15*B567*5))^4/24)+(((0.15*B567*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546*(1-MIN(100,(Inputs!$B$9+((C555=TRUE)*(F555-Calc!F26))+B563+(ArtifactsInput!$M$24-ArtifactsInput!$M$24)*CHOOSE(ArtifactsInput!$N$24+1,10,12,14,16,18,20)+(IF(AND(Inputs!$B$39&lt;&gt;"pvp",Inputs!$B$44=0),1,IF(IF(Inputs!$B$39="pvp",15,Inputs!$B$44)-(B574)&lt;=0,1,MAX(0,IF(Inputs!$B$39="pvp",15,Inputs!$B$44)-MAX(5,B574))/(IF(Inputs!$B$39="pvp",15,Inputs!$B$44)-(B574))))*IF(AND(ArtifactsInput!$M$42,((Inputs!$B$9+((C555=TRUE)*(F555-Calc!F26))+B563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546*(MIN(100,(Inputs!$B$9+((C555=TRUE)*(F555-Calc!F26))+B563+(ArtifactsInput!$M$24-ArtifactsInput!$M$24)*CHOOSE(ArtifactsInput!$N$24+1,10,12,14,16,18,20)+(IF(AND(Inputs!$B$39&lt;&gt;"pvp",Inputs!$B$44=0),1,IF(IF(Inputs!$B$39="pvp",15,Inputs!$B$44)-(B574)&lt;=0,1,MAX(0,IF(Inputs!$B$39="pvp",15,Inputs!$B$44)-MAX(5,B574))/(IF(Inputs!$B$39="pvp",15,Inputs!$B$44)-(B574))))*IF(AND(ArtifactsInput!$M$42,((Inputs!$B$9+((C555=TRUE)*(F555-Calc!F26))+B563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546*(1-MIN(100,(Inputs!$B$9+((C555=TRUE)*(F555-Calc!F26))+B563+(ArtifactsInput!$M$24-ArtifactsInput!$M$24)*CHOOSE(ArtifactsInput!$N$24+1,10,12,14,16,18,20)+(IF(AND(Inputs!$B$39&lt;&gt;"pvp",Inputs!$B$44=0),1,IF(IF(Inputs!$B$39="pvp",15,Inputs!$B$44)-(B574)&lt;=0,1,MAX(0,IF(Inputs!$B$39="pvp",15,Inputs!$B$44)-MAX(5,B574))/(IF(Inputs!$B$39="pvp",15,Inputs!$B$44)-(B574))))*IF(AND(ArtifactsInput!$M$42,((Inputs!$B$9+((C555=TRUE)*(F555-Calc!F26))+B563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546*(MIN(100,(Inputs!$B$9+((C555=TRUE)*(F555-Calc!F26))+B563+(ArtifactsInput!$M$24-ArtifactsInput!$M$24)*CHOOSE(ArtifactsInput!$N$24+1,10,12,14,16,18,20)+(IF(AND(Inputs!$B$39&lt;&gt;"pvp",Inputs!$B$44=0),1,IF(IF(Inputs!$B$39="pvp",15,Inputs!$B$44)-(B574)&lt;=0,1,MAX(0,IF(Inputs!$B$39="pvp",15,Inputs!$B$44)-MAX(5,B574))/(IF(Inputs!$B$39="pvp",15,Inputs!$B$44)-(B574))))*IF(AND(ArtifactsInput!$M$42,((Inputs!$B$9+((C555=TRUE)*(F555-Calc!F26))+B563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546">
        <f>IF(C546,(Inputs!$B$38*0.2*N546)*IF(Inputs!$B$39="pvp",1,(1+(Inputs!$B$21+Skills!Q17+B564+(IF(ArtifactsInput!$M$33,CHOOSE(ArtifactsInput!$N$33+1,30,36,42,48,54,60),0))+(IF(AND(ArtifactsInput!$M$35,Inputs!$B$4&lt;&gt;"Chapter Hunt"),CHOOSE(ArtifactsInput!$N$35+1,15,18,21,24,27,30)*(1-EXP(-(0.2*B567)*5)),0)+IF(AND(ArtifactsInput!$M$22,Inputs!$B$4&lt;&gt;"Chapter Hunt"),CHOOSE(ArtifactsInput!$N$22+1,10,12,14,16,18,20)*((0*(((0.15*B567*5))^0/1)+1*(((0.15*B567*5))^1/1)+2*(((0.15*B567*5))^2/2)+3*(((0.15*B567*5))^3/6)+4*(((0.15*B567*5))^4/24)+5*(((0.15*B567*5))^5/120))/((((0.15*B567*5))^0/1)+(((0.15*B567*5))^1/1)+(((0.15*B567*5))^2/2)+(((0.15*B567*5))^3/6)+(((0.15*B567*5))^4/24)+(((0.15*B567*5))^5/120))),0)))/100)*(MIN(Skills!W17,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547">
      <c r="A547">
        <f>Skills!A18</f>
        <v/>
      </c>
      <c r="B547">
        <f>Skills!B18</f>
        <v/>
      </c>
      <c r="C547">
        <f>Inputs!$B$3&gt;=115</f>
        <v/>
      </c>
      <c r="D547">
        <f>IF(Skills!C18=1,60+Inputs!$B$25+Inputs!$B$29,IF(Skills!C18=2,90+Inputs!$B$26+Inputs!$B$29,IF(Skills!C18=3,120+Inputs!$B$27+Inputs!$B$29,MAX(0,(Inputs!$B$3-100)*3)+Inputs!$B$28+Inputs!$B$29)))</f>
        <v/>
      </c>
      <c r="E547">
        <f>INDEX(FactorTable!$B$2:$Y$301, MATCH(ROUND(MIN(300,MAX(1,D547)),0), FactorTable!$A$2:$A$301,0), Skills!M18+1)</f>
        <v/>
      </c>
      <c r="F547">
        <f>IF(Skills!N18=TRUE,(Skills!L18/10)*(E547/1000),Skills!L18/10)+Skills!O18</f>
        <v/>
      </c>
      <c r="G547">
        <f>Skills!G18*IF(Skills!H18&gt;0,IF(Inputs!$B$39="pvp",MIN(Skills!I18,15),Skills!I18)/Skills!H18,1)</f>
        <v/>
      </c>
      <c r="H547">
        <f>1-(1-Skills!J18/100)^Skills!K18</f>
        <v/>
      </c>
      <c r="I547" t="inlineStr">
        <is>
          <t>1</t>
        </is>
      </c>
      <c r="J547" t="inlineStr"/>
      <c r="K547" t="inlineStr"/>
      <c r="L547" t="inlineStr"/>
      <c r="M547" t="inlineStr"/>
      <c r="N547" t="inlineStr"/>
      <c r="O547">
        <f>(1-Summary!$B$11)*T547+Summary!$B$11*V547</f>
        <v/>
      </c>
      <c r="P547">
        <f>IF(B575=0,0,O547/B575)</f>
        <v/>
      </c>
      <c r="Q547" t="n">
        <v>0</v>
      </c>
      <c r="R547" t="n">
        <v>0</v>
      </c>
      <c r="S547">
        <f>IFERROR(O547/N547,0)</f>
        <v/>
      </c>
      <c r="T547" t="n">
        <v>0</v>
      </c>
      <c r="V547" t="n">
        <v>0</v>
      </c>
    </row>
    <row r="548">
      <c r="A548">
        <f>Skills!A19</f>
        <v/>
      </c>
      <c r="B548">
        <f>Skills!B19</f>
        <v/>
      </c>
      <c r="C548">
        <f>Inputs!$B$3&gt;=100</f>
        <v/>
      </c>
      <c r="D548">
        <f>IF(Skills!C19=1,60+Inputs!$B$25+Inputs!$B$29,IF(Skills!C19=2,90+Inputs!$B$26+Inputs!$B$29,IF(Skills!C19=3,120+Inputs!$B$27+Inputs!$B$29,MAX(0,(Inputs!$B$3-100)*3)+Inputs!$B$28+Inputs!$B$29)))</f>
        <v/>
      </c>
      <c r="E548">
        <f>INDEX(FactorTable!$B$2:$Y$301, MATCH(ROUND(MIN(300,MAX(1,D548)),0), FactorTable!$A$2:$A$301,0), Skills!M19+1)</f>
        <v/>
      </c>
      <c r="F548">
        <f>IF(Skills!N19=TRUE,(Skills!L19/10)*(E548/1000),Skills!L19/10)+Skills!O19</f>
        <v/>
      </c>
      <c r="G548">
        <f>Skills!G19*IF(Skills!H19&gt;0,IF(Inputs!$B$39="pvp",MIN(Skills!I19,15),Skills!I19)/Skills!H19,1)</f>
        <v/>
      </c>
      <c r="H548">
        <f>1-(1-Skills!J19/100)^Skills!K19</f>
        <v/>
      </c>
      <c r="I548" t="inlineStr">
        <is>
          <t>1</t>
        </is>
      </c>
      <c r="J548" t="inlineStr"/>
      <c r="K548" t="inlineStr"/>
      <c r="L548" t="inlineStr"/>
      <c r="M548" t="inlineStr"/>
      <c r="N548" t="inlineStr"/>
      <c r="O548">
        <f>(1-Summary!$B$11)*T548+Summary!$B$11*V548</f>
        <v/>
      </c>
      <c r="P548">
        <f>IF(B575=0,0,O548/B575)</f>
        <v/>
      </c>
      <c r="Q548" t="n">
        <v>0</v>
      </c>
      <c r="R548" t="n">
        <v>0</v>
      </c>
      <c r="S548">
        <f>IFERROR(O548/N548,0)</f>
        <v/>
      </c>
      <c r="T548" t="n">
        <v>0</v>
      </c>
      <c r="V548" t="n">
        <v>0</v>
      </c>
    </row>
    <row r="549">
      <c r="A549">
        <f>Skills!A20</f>
        <v/>
      </c>
      <c r="B549">
        <f>Skills!B20</f>
        <v/>
      </c>
      <c r="C549">
        <f>TRUE</f>
        <v/>
      </c>
      <c r="D549">
        <f>IF(Skills!C20=1,60+Inputs!$B$25+Inputs!$B$29,IF(Skills!C20=2,90+Inputs!$B$26+Inputs!$B$29,IF(Skills!C20=3,120+Inputs!$B$27+Inputs!$B$29,MAX(0,(Inputs!$B$3-100)*3)+Inputs!$B$28+Inputs!$B$29)))</f>
        <v/>
      </c>
      <c r="E549">
        <f>INDEX(FactorTable!$B$2:$Y$301, MATCH(ROUND(MIN(300,MAX(1,D549)),0), FactorTable!$A$2:$A$301,0), Skills!M20+1)</f>
        <v/>
      </c>
      <c r="F549">
        <f>IF(Skills!N20=TRUE,(Skills!L20/10)*(E549/1000),Skills!L20/10)+Skills!O20</f>
        <v/>
      </c>
      <c r="G549">
        <f>Skills!G20*IF(Skills!H20&gt;0,IF(Inputs!$B$39="pvp",MIN(Skills!I20,15),Skills!I20)/Skills!H20,1)</f>
        <v/>
      </c>
      <c r="H549">
        <f>1-(1-Skills!J20/100)^Skills!K20</f>
        <v/>
      </c>
      <c r="I549" t="inlineStr">
        <is>
          <t>1</t>
        </is>
      </c>
      <c r="J549" t="inlineStr"/>
      <c r="K549" t="inlineStr"/>
      <c r="L549" t="inlineStr"/>
      <c r="M549" t="inlineStr"/>
      <c r="N549" t="inlineStr"/>
      <c r="O549">
        <f>(1-Summary!$B$11)*T549+Summary!$B$11*V549</f>
        <v/>
      </c>
      <c r="P549">
        <f>IF(B575=0,0,O549/B575)</f>
        <v/>
      </c>
      <c r="Q549">
        <f>IFERROR(1/IF(Inputs!$B$39="pvp",15,MAX(0.1,Skills!D20-IF(TRUE=TRUE,Inputs!$B$32,0))),0)</f>
        <v/>
      </c>
      <c r="R549">
        <f>IF(AND(Inputs!$B$39&lt;&gt;"pvp",Inputs!$B$44&gt;0),IF(Inputs!$B$44&lt;=0,0,(INT(Inputs!$B$44/IF(Inputs!$B$39="pvp",15,MAX(0.1,Skills!D20-IF(TRUE=TRUE,Inputs!$B$32,0))))+1)),0)</f>
        <v/>
      </c>
      <c r="S549">
        <f>IFERROR(O549/N549,0)</f>
        <v/>
      </c>
      <c r="T549" t="n">
        <v>0</v>
      </c>
      <c r="V549" t="n">
        <v>0</v>
      </c>
    </row>
    <row r="550">
      <c r="A550">
        <f>Skills!A21</f>
        <v/>
      </c>
      <c r="B550">
        <f>Skills!B21</f>
        <v/>
      </c>
      <c r="C550">
        <f>Inputs!$B$3&gt;=15</f>
        <v/>
      </c>
      <c r="D550">
        <f>IF(Skills!C21=1,60+Inputs!$B$25+Inputs!$B$29,IF(Skills!C21=2,90+Inputs!$B$26+Inputs!$B$29,IF(Skills!C21=3,120+Inputs!$B$27+Inputs!$B$29,MAX(0,(Inputs!$B$3-100)*3)+Inputs!$B$28+Inputs!$B$29)))</f>
        <v/>
      </c>
      <c r="E550">
        <f>INDEX(FactorTable!$B$2:$Y$301, MATCH(ROUND(MIN(300,MAX(1,D550)),0), FactorTable!$A$2:$A$301,0), Skills!M21+1)</f>
        <v/>
      </c>
      <c r="F550">
        <f>IF(Skills!N21=TRUE,(Skills!L21/10)*(E550/1000),Skills!L21/10)+Skills!O21</f>
        <v/>
      </c>
      <c r="G550">
        <f>Skills!G21*IF(Skills!H21&gt;0,IF(Inputs!$B$39="pvp",MIN(Skills!I21,15),Skills!I21)/Skills!H21,1)</f>
        <v/>
      </c>
      <c r="H550">
        <f>1-(1-Skills!J21/100)^Skills!K21</f>
        <v/>
      </c>
      <c r="I550" t="inlineStr">
        <is>
          <t>1</t>
        </is>
      </c>
      <c r="J550" t="inlineStr"/>
      <c r="K550" t="inlineStr"/>
      <c r="L550" t="inlineStr"/>
      <c r="M550" t="inlineStr"/>
      <c r="N550" t="inlineStr"/>
      <c r="O550">
        <f>(1-Summary!$B$11)*T550+Summary!$B$11*V550</f>
        <v/>
      </c>
      <c r="P550">
        <f>IF(B575=0,0,O550/B575)</f>
        <v/>
      </c>
      <c r="Q550">
        <f>IFERROR(1/IF(Inputs!$B$39="pvp",15,MAX(0.1,Skills!D21-IF(TRUE=TRUE,Inputs!$B$32,0))),0)</f>
        <v/>
      </c>
      <c r="R550">
        <f>IF(AND(Inputs!$B$39&lt;&gt;"pvp",Inputs!$B$44&gt;0),IF(Inputs!$B$44&lt;=0,0,(INT(Inputs!$B$44/IF(Inputs!$B$39="pvp",15,MAX(0.1,Skills!D21-IF(TRUE=TRUE,Inputs!$B$32,0))))+1)),0)</f>
        <v/>
      </c>
      <c r="S550">
        <f>IFERROR(O550/N550,0)</f>
        <v/>
      </c>
      <c r="T550" t="n">
        <v>0</v>
      </c>
      <c r="V550" t="n">
        <v>0</v>
      </c>
    </row>
    <row r="551">
      <c r="A551">
        <f>Skills!A22</f>
        <v/>
      </c>
      <c r="B551">
        <f>Skills!B22</f>
        <v/>
      </c>
      <c r="C551">
        <f>Inputs!$B$3&gt;=15</f>
        <v/>
      </c>
      <c r="D551">
        <f>IF(Skills!C22=1,60+Inputs!$B$25+Inputs!$B$29,IF(Skills!C22=2,90+Inputs!$B$26+Inputs!$B$29,IF(Skills!C22=3,120+Inputs!$B$27+Inputs!$B$29,MAX(0,(Inputs!$B$3-100)*3)+Inputs!$B$28+Inputs!$B$29)))</f>
        <v/>
      </c>
      <c r="E551">
        <f>INDEX(FactorTable!$B$2:$Y$301, MATCH(ROUND(MIN(300,MAX(1,D551)),0), FactorTable!$A$2:$A$301,0), Skills!M22+1)</f>
        <v/>
      </c>
      <c r="F551">
        <f>IF(Skills!N22=TRUE,(Skills!L22/10)*(E551/1000),Skills!L22/10)+Skills!O22</f>
        <v/>
      </c>
      <c r="G551">
        <f>Skills!G22*IF(Skills!H22&gt;0,IF(Inputs!$B$39="pvp",MIN(Skills!I22,15),Skills!I22)/Skills!H22,1)</f>
        <v/>
      </c>
      <c r="H551">
        <f>1-(1-Skills!J22/100)^Skills!K22</f>
        <v/>
      </c>
      <c r="I551" t="inlineStr">
        <is>
          <t>1</t>
        </is>
      </c>
      <c r="J551" t="inlineStr"/>
      <c r="K551" t="inlineStr"/>
      <c r="L551" t="inlineStr"/>
      <c r="M551" t="inlineStr"/>
      <c r="N551" t="inlineStr"/>
      <c r="O551">
        <f>(1-Summary!$B$11)*T551+Summary!$B$11*V551</f>
        <v/>
      </c>
      <c r="P551">
        <f>IF(B575=0,0,O551/B575)</f>
        <v/>
      </c>
      <c r="Q551">
        <f>IFERROR(1/IF(Inputs!$B$39="pvp",15,MAX(0.1,Skills!D22-IF(TRUE=TRUE,Inputs!$B$32,0))),0)</f>
        <v/>
      </c>
      <c r="R551">
        <f>IF(AND(Inputs!$B$39&lt;&gt;"pvp",Inputs!$B$44&gt;0),IF(Inputs!$B$44&lt;=0,0,(INT(Inputs!$B$44/IF(Inputs!$B$39="pvp",15,MAX(0.1,Skills!D22-IF(TRUE=TRUE,Inputs!$B$32,0))))+1)),0)</f>
        <v/>
      </c>
      <c r="S551">
        <f>IFERROR(O551/N551,0)</f>
        <v/>
      </c>
      <c r="T551" t="n">
        <v>0</v>
      </c>
      <c r="V551" t="n">
        <v>0</v>
      </c>
    </row>
    <row r="552">
      <c r="A552">
        <f>Skills!A23</f>
        <v/>
      </c>
      <c r="B552">
        <f>Skills!B23</f>
        <v/>
      </c>
      <c r="C552">
        <f>Inputs!$B$3&gt;=33</f>
        <v/>
      </c>
      <c r="D552">
        <f>IF(Skills!C23=1,60+Inputs!$B$25+Inputs!$B$29,IF(Skills!C23=2,90+Inputs!$B$26+Inputs!$B$29,IF(Skills!C23=3,120+Inputs!$B$27+Inputs!$B$29,MAX(0,(Inputs!$B$3-100)*3)+Inputs!$B$28+Inputs!$B$29)))</f>
        <v/>
      </c>
      <c r="E552">
        <f>INDEX(FactorTable!$B$2:$Y$301, MATCH(ROUND(MIN(300,MAX(1,D552)),0), FactorTable!$A$2:$A$301,0), Skills!M23+1)</f>
        <v/>
      </c>
      <c r="F552">
        <f>IF(Skills!N23=TRUE,(Skills!L23/10)*(E552/1000),Skills!L23/10)+Skills!O23</f>
        <v/>
      </c>
      <c r="G552">
        <f>Skills!G23*IF(Skills!H23&gt;0,IF(Inputs!$B$39="pvp",MIN(Skills!I23,15),Skills!I23)/Skills!H23,1)</f>
        <v/>
      </c>
      <c r="H552">
        <f>1-(1-Skills!J23/100)^Skills!K23</f>
        <v/>
      </c>
      <c r="I552" t="inlineStr">
        <is>
          <t>1</t>
        </is>
      </c>
      <c r="J552" t="inlineStr"/>
      <c r="K552" t="inlineStr"/>
      <c r="L552" t="inlineStr"/>
      <c r="M552" t="inlineStr"/>
      <c r="N552" t="inlineStr"/>
      <c r="O552">
        <f>(1-Summary!$B$11)*T552+Summary!$B$11*V552</f>
        <v/>
      </c>
      <c r="P552">
        <f>IF(B575=0,0,O552/B575)</f>
        <v/>
      </c>
      <c r="Q552" t="n">
        <v>0</v>
      </c>
      <c r="R552" t="n">
        <v>0</v>
      </c>
      <c r="S552">
        <f>IFERROR(O552/N552,0)</f>
        <v/>
      </c>
      <c r="T552" t="n">
        <v>0</v>
      </c>
      <c r="V552" t="n">
        <v>0</v>
      </c>
    </row>
    <row r="553">
      <c r="A553">
        <f>Skills!A24</f>
        <v/>
      </c>
      <c r="B553">
        <f>Skills!B24</f>
        <v/>
      </c>
      <c r="C553">
        <f>Inputs!$B$3&gt;=40</f>
        <v/>
      </c>
      <c r="D553">
        <f>IF(Skills!C24=1,60+Inputs!$B$25+Inputs!$B$29,IF(Skills!C24=2,90+Inputs!$B$26+Inputs!$B$29,IF(Skills!C24=3,120+Inputs!$B$27+Inputs!$B$29,MAX(0,(Inputs!$B$3-100)*3)+Inputs!$B$28+Inputs!$B$29)))</f>
        <v/>
      </c>
      <c r="E553">
        <f>INDEX(FactorTable!$B$2:$Y$301, MATCH(ROUND(MIN(300,MAX(1,D553)),0), FactorTable!$A$2:$A$301,0), Skills!M24+1)</f>
        <v/>
      </c>
      <c r="F553">
        <f>IF(Skills!N24=TRUE,(Skills!L24/10)*(E553/1000),Skills!L24/10)+Skills!O24</f>
        <v/>
      </c>
      <c r="G553">
        <f>Skills!G24*IF(Skills!H24&gt;0,IF(Inputs!$B$39="pvp",MIN(Skills!I24,15),Skills!I24)/Skills!H24,1)</f>
        <v/>
      </c>
      <c r="H553">
        <f>1-(1-Skills!J24/100)^Skills!K24</f>
        <v/>
      </c>
      <c r="I553" t="inlineStr">
        <is>
          <t>1</t>
        </is>
      </c>
      <c r="J553" t="inlineStr"/>
      <c r="K553" t="inlineStr"/>
      <c r="L553" t="inlineStr"/>
      <c r="M553" t="inlineStr"/>
      <c r="N553" t="inlineStr"/>
      <c r="O553">
        <f>(1-Summary!$B$11)*T553+Summary!$B$11*V553</f>
        <v/>
      </c>
      <c r="P553">
        <f>IF(B575=0,0,O553/B575)</f>
        <v/>
      </c>
      <c r="Q553" t="n">
        <v>0</v>
      </c>
      <c r="R553" t="n">
        <v>0</v>
      </c>
      <c r="S553">
        <f>IFERROR(O553/N553,0)</f>
        <v/>
      </c>
      <c r="T553" t="n">
        <v>0</v>
      </c>
      <c r="V553" t="n">
        <v>0</v>
      </c>
    </row>
    <row r="554">
      <c r="A554">
        <f>Skills!A25</f>
        <v/>
      </c>
      <c r="B554">
        <f>Skills!B25</f>
        <v/>
      </c>
      <c r="C554">
        <f>Inputs!$B$3&gt;=43</f>
        <v/>
      </c>
      <c r="D554">
        <f>IF(Skills!C25=1,60+Inputs!$B$25+Inputs!$B$29,IF(Skills!C25=2,90+Inputs!$B$26+Inputs!$B$29,IF(Skills!C25=3,120+Inputs!$B$27+Inputs!$B$29,MAX(0,(Inputs!$B$3-100)*3)+Inputs!$B$28+Inputs!$B$29)))</f>
        <v/>
      </c>
      <c r="E554">
        <f>INDEX(FactorTable!$B$2:$Y$301, MATCH(ROUND(MIN(300,MAX(1,D554)),0), FactorTable!$A$2:$A$301,0), Skills!M25+1)</f>
        <v/>
      </c>
      <c r="F554">
        <f>IF(Skills!N25=TRUE,(Skills!L25/10)*(E554/1000),Skills!L25/10)+Skills!O25</f>
        <v/>
      </c>
      <c r="G554">
        <f>Skills!G25*IF(Skills!H25&gt;0,IF(Inputs!$B$39="pvp",MIN(Skills!I25,15),Skills!I25)/Skills!H25,1)</f>
        <v/>
      </c>
      <c r="H554">
        <f>1-(1-Skills!J25/100)^Skills!K25</f>
        <v/>
      </c>
      <c r="I554" t="inlineStr">
        <is>
          <t>1</t>
        </is>
      </c>
      <c r="J554" t="inlineStr"/>
      <c r="K554" t="inlineStr"/>
      <c r="L554" t="inlineStr"/>
      <c r="M554" t="inlineStr"/>
      <c r="N554" t="inlineStr"/>
      <c r="O554">
        <f>(1-Summary!$B$11)*T554+Summary!$B$11*V554</f>
        <v/>
      </c>
      <c r="P554">
        <f>IF(B575=0,0,O554/B575)</f>
        <v/>
      </c>
      <c r="Q554" t="n">
        <v>0</v>
      </c>
      <c r="R554" t="n">
        <v>0</v>
      </c>
      <c r="S554">
        <f>IFERROR(O554/N554,0)</f>
        <v/>
      </c>
      <c r="T554" t="n">
        <v>0</v>
      </c>
      <c r="V554" t="n">
        <v>0</v>
      </c>
    </row>
    <row r="555">
      <c r="A555">
        <f>Skills!A26</f>
        <v/>
      </c>
      <c r="B555">
        <f>Skills!B26</f>
        <v/>
      </c>
      <c r="C555">
        <f>Inputs!$B$3&gt;=50</f>
        <v/>
      </c>
      <c r="D555">
        <f>IF(Skills!C26=1,60+Inputs!$B$25+Inputs!$B$29,IF(Skills!C26=2,90+Inputs!$B$26+Inputs!$B$29,IF(Skills!C26=3,120+Inputs!$B$27+Inputs!$B$29,MAX(0,(Inputs!$B$3-100)*3)+Inputs!$B$28+Inputs!$B$29)))</f>
        <v/>
      </c>
      <c r="E555">
        <f>INDEX(FactorTable!$B$2:$Y$301, MATCH(ROUND(MIN(300,MAX(1,D555)),0), FactorTable!$A$2:$A$301,0), Skills!M26+1)</f>
        <v/>
      </c>
      <c r="F555">
        <f>IF(Skills!N26=TRUE,(Skills!L26/10)*(E555/1000),Skills!L26/10)+Skills!O26</f>
        <v/>
      </c>
      <c r="G555">
        <f>Skills!G26*IF(Skills!H26&gt;0,IF(Inputs!$B$39="pvp",MIN(Skills!I26,15),Skills!I26)/Skills!H26,1)</f>
        <v/>
      </c>
      <c r="H555">
        <f>1-(1-Skills!J26/100)^Skills!K26</f>
        <v/>
      </c>
      <c r="I555" t="inlineStr">
        <is>
          <t>1</t>
        </is>
      </c>
      <c r="J555" t="inlineStr"/>
      <c r="K555" t="inlineStr"/>
      <c r="L555" t="inlineStr"/>
      <c r="M555" t="inlineStr"/>
      <c r="N555" t="inlineStr"/>
      <c r="O555">
        <f>(1-Summary!$B$11)*T555+Summary!$B$11*V555</f>
        <v/>
      </c>
      <c r="P555">
        <f>IF(B575=0,0,O555/B575)</f>
        <v/>
      </c>
      <c r="Q555" t="n">
        <v>0</v>
      </c>
      <c r="R555" t="n">
        <v>0</v>
      </c>
      <c r="S555">
        <f>IFERROR(O555/N555,0)</f>
        <v/>
      </c>
      <c r="T555" t="n">
        <v>0</v>
      </c>
      <c r="V555" t="n">
        <v>0</v>
      </c>
    </row>
    <row r="556">
      <c r="A556">
        <f>Skills!A27</f>
        <v/>
      </c>
      <c r="B556">
        <f>Skills!B27</f>
        <v/>
      </c>
      <c r="C556">
        <f>Inputs!$B$3&gt;=50</f>
        <v/>
      </c>
      <c r="D556">
        <f>IF(Skills!C27=1,60+Inputs!$B$25+Inputs!$B$29,IF(Skills!C27=2,90+Inputs!$B$26+Inputs!$B$29,IF(Skills!C27=3,120+Inputs!$B$27+Inputs!$B$29,MAX(0,(Inputs!$B$3-100)*3)+Inputs!$B$28+Inputs!$B$29)))</f>
        <v/>
      </c>
      <c r="E556">
        <f>INDEX(FactorTable!$B$2:$Y$301, MATCH(ROUND(MIN(300,MAX(1,D556)),0), FactorTable!$A$2:$A$301,0), Skills!M27+1)</f>
        <v/>
      </c>
      <c r="F556">
        <f>IF(Skills!N27=TRUE,(Skills!L27/10)*(E556/1000),Skills!L27/10)+Skills!O27</f>
        <v/>
      </c>
      <c r="G556">
        <f>Skills!G27*IF(Skills!H27&gt;0,IF(Inputs!$B$39="pvp",MIN(Skills!I27,15),Skills!I27)/Skills!H27,1)</f>
        <v/>
      </c>
      <c r="H556">
        <f>1-(1-Skills!J27/100)^Skills!K27</f>
        <v/>
      </c>
      <c r="I556" t="inlineStr">
        <is>
          <t>1</t>
        </is>
      </c>
      <c r="J556" t="inlineStr"/>
      <c r="K556" t="inlineStr"/>
      <c r="L556" t="inlineStr"/>
      <c r="M556" t="inlineStr"/>
      <c r="N556" t="inlineStr"/>
      <c r="O556">
        <f>(1-Summary!$B$11)*T556+Summary!$B$11*V556</f>
        <v/>
      </c>
      <c r="P556">
        <f>IF(B575=0,0,O556/B575)</f>
        <v/>
      </c>
      <c r="Q556" t="n">
        <v>0</v>
      </c>
      <c r="R556" t="n">
        <v>0</v>
      </c>
      <c r="S556">
        <f>IFERROR(O556/N556,0)</f>
        <v/>
      </c>
      <c r="T556" t="n">
        <v>0</v>
      </c>
      <c r="V556" t="n">
        <v>0</v>
      </c>
    </row>
    <row r="557">
      <c r="A557">
        <f>Skills!A28</f>
        <v/>
      </c>
      <c r="B557">
        <f>Skills!B28</f>
        <v/>
      </c>
      <c r="C557">
        <f>Inputs!$B$3&gt;=38</f>
        <v/>
      </c>
      <c r="D557">
        <f>IF(Skills!C28=1,60+Inputs!$B$25+Inputs!$B$29,IF(Skills!C28=2,90+Inputs!$B$26+Inputs!$B$29,IF(Skills!C28=3,120+Inputs!$B$27+Inputs!$B$29,MAX(0,(Inputs!$B$3-100)*3)+Inputs!$B$28+Inputs!$B$29)))</f>
        <v/>
      </c>
      <c r="E557">
        <f>INDEX(FactorTable!$B$2:$Y$301, MATCH(ROUND(MIN(300,MAX(1,D557)),0), FactorTable!$A$2:$A$301,0), Skills!M28+1)</f>
        <v/>
      </c>
      <c r="F557">
        <f>IF(Skills!N28=TRUE,(Skills!L28/10)*(E557/1000),Skills!L28/10)+Skills!O28</f>
        <v/>
      </c>
      <c r="G557">
        <f>Skills!G28*IF(Skills!H28&gt;0,IF(Inputs!$B$39="pvp",MIN(Skills!I28,15),Skills!I28)/Skills!H28,1)</f>
        <v/>
      </c>
      <c r="H557">
        <f>1-(1-Skills!J28/100)^Skills!K28</f>
        <v/>
      </c>
      <c r="I557" t="inlineStr">
        <is>
          <t>1</t>
        </is>
      </c>
      <c r="J557" t="inlineStr"/>
      <c r="K557" t="inlineStr"/>
      <c r="L557" t="inlineStr"/>
      <c r="M557" t="inlineStr"/>
      <c r="N557" t="inlineStr"/>
      <c r="O557">
        <f>(1-Summary!$B$11)*T557+Summary!$B$11*V557</f>
        <v/>
      </c>
      <c r="P557">
        <f>IF(B575=0,0,O557/B575)</f>
        <v/>
      </c>
      <c r="Q557" t="n">
        <v>0</v>
      </c>
      <c r="R557" t="n">
        <v>0</v>
      </c>
      <c r="S557">
        <f>IFERROR(O557/N557,0)</f>
        <v/>
      </c>
      <c r="T557" t="n">
        <v>0</v>
      </c>
      <c r="V557" t="n">
        <v>0</v>
      </c>
    </row>
    <row r="558">
      <c r="A558">
        <f>Skills!A29</f>
        <v/>
      </c>
      <c r="B558">
        <f>Skills!B29</f>
        <v/>
      </c>
      <c r="C558">
        <f>Inputs!$B$3&gt;=120</f>
        <v/>
      </c>
      <c r="D558">
        <f>IF(Skills!C29=1,60+Inputs!$B$25+Inputs!$B$29,IF(Skills!C29=2,90+Inputs!$B$26+Inputs!$B$29,IF(Skills!C29=3,120+Inputs!$B$27+Inputs!$B$29,MAX(0,(Inputs!$B$3-100)*3)+Inputs!$B$28+Inputs!$B$29)))</f>
        <v/>
      </c>
      <c r="E558">
        <f>INDEX(FactorTable!$B$2:$Y$301, MATCH(ROUND(MIN(300,MAX(1,D558)),0), FactorTable!$A$2:$A$301,0), Skills!M29+1)</f>
        <v/>
      </c>
      <c r="F558">
        <f>IF(Skills!N29=TRUE,(Skills!L29/10)*(E558/1000),Skills!L29/10)+Skills!O29</f>
        <v/>
      </c>
      <c r="G558">
        <f>Skills!G29*IF(Skills!H29&gt;0,IF(Inputs!$B$39="pvp",MIN(Skills!I29,15),Skills!I29)/Skills!H29,1)</f>
        <v/>
      </c>
      <c r="H558">
        <f>1-(1-Skills!J29/100)^Skills!K29</f>
        <v/>
      </c>
      <c r="I558" t="inlineStr">
        <is>
          <t>1</t>
        </is>
      </c>
      <c r="J558" t="inlineStr"/>
      <c r="K558" t="inlineStr"/>
      <c r="L558" t="inlineStr"/>
      <c r="M558" t="inlineStr"/>
      <c r="N558" t="inlineStr"/>
      <c r="O558">
        <f>(1-Summary!$B$11)*T558+Summary!$B$11*V558</f>
        <v/>
      </c>
      <c r="P558">
        <f>IF(B575=0,0,O558/B575)</f>
        <v/>
      </c>
      <c r="Q558" t="n">
        <v>0</v>
      </c>
      <c r="R558" t="n">
        <v>0</v>
      </c>
      <c r="S558">
        <f>IFERROR(O558/N558,0)</f>
        <v/>
      </c>
      <c r="T558" t="n">
        <v>0</v>
      </c>
      <c r="V558" t="n">
        <v>0</v>
      </c>
    </row>
    <row r="559">
      <c r="A559">
        <f>Skills!A30</f>
        <v/>
      </c>
      <c r="B559">
        <f>Skills!B30</f>
        <v/>
      </c>
      <c r="C559">
        <f>Inputs!$B$3&gt;=120</f>
        <v/>
      </c>
      <c r="D559">
        <f>IF(Skills!C30=1,60+Inputs!$B$25+Inputs!$B$29,IF(Skills!C30=2,90+Inputs!$B$26+Inputs!$B$29,IF(Skills!C30=3,120+Inputs!$B$27+Inputs!$B$29,MAX(0,(Inputs!$B$3-100)*3)+Inputs!$B$28+Inputs!$B$29)))</f>
        <v/>
      </c>
      <c r="E559">
        <f>INDEX(FactorTable!$B$2:$Y$301, MATCH(ROUND(MIN(300,MAX(1,D559)),0), FactorTable!$A$2:$A$301,0), Skills!M30+1)</f>
        <v/>
      </c>
      <c r="F559">
        <f>IF(Skills!N30=TRUE,(Skills!L30/10)*(E559/1000),Skills!L30/10)+Skills!O30</f>
        <v/>
      </c>
      <c r="G559">
        <f>Skills!G30*IF(Skills!H30&gt;0,IF(Inputs!$B$39="pvp",MIN(Skills!I30,15),Skills!I30)/Skills!H30,1)</f>
        <v/>
      </c>
      <c r="H559">
        <f>1-(1-Skills!J30/100)^Skills!K30</f>
        <v/>
      </c>
      <c r="I559" t="inlineStr">
        <is>
          <t>1</t>
        </is>
      </c>
      <c r="J559" t="inlineStr"/>
      <c r="K559" t="inlineStr"/>
      <c r="L559" t="inlineStr"/>
      <c r="M559" t="inlineStr"/>
      <c r="N559" t="inlineStr"/>
      <c r="O559">
        <f>(1-Summary!$B$11)*T559+Summary!$B$11*V559</f>
        <v/>
      </c>
      <c r="P559">
        <f>IF(B575=0,0,O559/B575)</f>
        <v/>
      </c>
      <c r="Q559" t="n">
        <v>0</v>
      </c>
      <c r="R559" t="n">
        <v>0</v>
      </c>
      <c r="S559">
        <f>IFERROR(O559/N559,0)</f>
        <v/>
      </c>
      <c r="T559" t="n">
        <v>0</v>
      </c>
      <c r="V559" t="n">
        <v>0</v>
      </c>
    </row>
    <row r="560">
      <c r="A560">
        <f>Skills!A31</f>
        <v/>
      </c>
      <c r="B560">
        <f>Skills!B31</f>
        <v/>
      </c>
      <c r="C560">
        <f>Inputs!$B$3&gt;=125</f>
        <v/>
      </c>
      <c r="D560">
        <f>IF(Skills!C31=1,60+Inputs!$B$25+Inputs!$B$29,IF(Skills!C31=2,90+Inputs!$B$26+Inputs!$B$29,IF(Skills!C31=3,120+Inputs!$B$27+Inputs!$B$29,MAX(0,(Inputs!$B$3-100)*3)+Inputs!$B$28+Inputs!$B$29)))</f>
        <v/>
      </c>
      <c r="E560">
        <f>INDEX(FactorTable!$B$2:$Y$301, MATCH(ROUND(MIN(300,MAX(1,D560)),0), FactorTable!$A$2:$A$301,0), Skills!M31+1)</f>
        <v/>
      </c>
      <c r="F560">
        <f>IF(Skills!N31=TRUE,(Skills!L31/10)*(E560/1000),Skills!L31/10)+Skills!O31</f>
        <v/>
      </c>
      <c r="G560">
        <f>Skills!G31*IF(Skills!H31&gt;0,IF(Inputs!$B$39="pvp",MIN(Skills!I31,15),Skills!I31)/Skills!H31,1)</f>
        <v/>
      </c>
      <c r="H560">
        <f>1-(1-Skills!J31/100)^Skills!K31</f>
        <v/>
      </c>
      <c r="I560" t="inlineStr">
        <is>
          <t>1</t>
        </is>
      </c>
      <c r="J560" t="inlineStr"/>
      <c r="K560" t="inlineStr"/>
      <c r="L560" t="inlineStr"/>
      <c r="M560" t="inlineStr"/>
      <c r="N560" t="inlineStr"/>
      <c r="O560">
        <f>(1-Summary!$B$11)*T560+Summary!$B$11*V560</f>
        <v/>
      </c>
      <c r="P560">
        <f>IF(B575=0,0,O560/B575)</f>
        <v/>
      </c>
      <c r="Q560" t="n">
        <v>0</v>
      </c>
      <c r="R560" t="n">
        <v>0</v>
      </c>
      <c r="S560">
        <f>IFERROR(O560/N560,0)</f>
        <v/>
      </c>
      <c r="T560" t="n">
        <v>0</v>
      </c>
      <c r="V560" t="n">
        <v>0</v>
      </c>
    </row>
    <row r="562">
      <c r="A562" t="inlineStr">
        <is>
          <t>Average Buff Multiplier</t>
        </is>
      </c>
      <c r="B562">
        <f>(1+(((C551=TRUE)*F551*IF(AND(Inputs!$B$39&lt;&gt;"pvp",Inputs!$B$44&gt;0),(((R551-1)*MIN((Skills!Y22*(1+Inputs!$B$34/100)),(1/Q551))+MIN((Skills!Y22*(1+Inputs!$B$34/100)),MAX(0,Inputs!$B$44-((R551-1)*(1/Q551)))))/Inputs!$B$44),IF(Inputs!$B$39="pvp",MIN((Skills!Y22*(1+Inputs!$B$34/100)),15)/15,MIN(1,(Skills!Y22*(1+Inputs!$B$34/100))/(1/Q551)))))+((C532=TRUE)*F532*3)+((C534=TRUE)*F534*(1-EXP(-0.75*B567*5)))+((C553=TRUE)*(F553-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540=TRUE)*F540*IF(AND(Inputs!$B$39&lt;&gt;"pvp",Inputs!$B$44&gt;0),(((R540-1)*MIN((Skills!Y11*(1+Inputs!$B$34/100)),(1/Q540))+MIN((Skills!Y11*(1+Inputs!$B$34/100)),MAX(0,Inputs!$B$44-((R540-1)*(1/Q540)))))/Inputs!$B$44),IF(Inputs!$B$39="pvp",MIN((Skills!Y11*(1+Inputs!$B$34/100)),15)/15,MIN(1,(Skills!Y11*(1+Inputs!$B$34/100))/(1/Q540)))))/100)*(1+((C545=TRUE)*F545*IF(AND(Inputs!$B$39&lt;&gt;"pvp",Inputs!$B$44&gt;0),(((R545-1)*MIN((Skills!Y16*(1+Inputs!$B$34/100)),(1/Q545))+MIN((Skills!Y16*(1+Inputs!$B$34/100)),MAX(0,Inputs!$B$44-((R545-1)*(1/Q545)))))/Inputs!$B$44),IF(Inputs!$B$39="pvp",MIN((Skills!Y16*(1+Inputs!$B$34/100)),15)/15,MIN(1,(Skills!Y16*(1+Inputs!$B$34/100))/(1/Q545)))))/100)</f>
        <v/>
      </c>
    </row>
    <row r="563">
      <c r="A563" t="inlineStr">
        <is>
          <t>Global Crit Rate Bonus %</t>
        </is>
      </c>
      <c r="B563">
        <f>((C550=TRUE)*F550*IF(AND(Inputs!$B$39&lt;&gt;"pvp",Inputs!$B$44&gt;0),(((R550-1)*MIN((Skills!Y21*(1+Inputs!$B$34/100)),(1/Q550))+MIN((Skills!Y21*(1+Inputs!$B$34/100)),MAX(0,Inputs!$B$44-((R550-1)*(1/Q550)))))/Inputs!$B$44),IF(Inputs!$B$39="pvp",MIN((Skills!Y21*(1+Inputs!$B$34/100)),15)/15,MIN(1,(Skills!Y21*(1+Inputs!$B$34/100))/(1/Q550)))))</f>
        <v/>
      </c>
    </row>
    <row r="564">
      <c r="A564" t="inlineStr">
        <is>
          <t>Global Monster Damage-Taken Bonus %</t>
        </is>
      </c>
      <c r="B564">
        <f>IF(Inputs!$B$3&gt;=82,15,0)</f>
        <v/>
      </c>
    </row>
    <row r="565">
      <c r="A565" t="inlineStr">
        <is>
          <t>Shadow Partner Average Multiplier</t>
        </is>
      </c>
      <c r="B565">
        <f>1+((C537=TRUE)*F537*(1+3.3333333333333335*IF(C548=TRUE,F548,0)/100)*I537*Skills!J8/100)/100</f>
        <v/>
      </c>
    </row>
    <row r="566">
      <c r="A566" t="inlineStr">
        <is>
          <t>Attack Speed Buff Bonus %</t>
        </is>
      </c>
      <c r="B566">
        <f>((C549=TRUE)*F549*IF(AND(Inputs!$B$39&lt;&gt;"pvp",Inputs!$B$44&gt;0),(((R549-1)*MIN((Skills!Y20*(1+Inputs!$B$34/100)),(1/Q549))+MIN((Skills!Y20*(1+Inputs!$B$34/100)),MAX(0,Inputs!$B$44-((R549-1)*(1/Q549)))))/Inputs!$B$44),IF(Inputs!$B$39="pvp",MIN((Skills!Y20*(1+Inputs!$B$34/100)),15)/15,MIN(1,(Skills!Y20*(1+Inputs!$B$34/100))/(1/Q549)))))</f>
        <v/>
      </c>
    </row>
    <row r="567">
      <c r="A567" t="inlineStr">
        <is>
          <t>Actions Per Second</t>
        </is>
      </c>
      <c r="B567">
        <f>1+MIN(150,150*(1-(1-(Inputs!$B$11+((C552=TRUE)*(F552-Calc!F23)))/150)*(1-B566/150)))/100</f>
        <v/>
      </c>
    </row>
    <row r="568">
      <c r="A568" t="inlineStr">
        <is>
          <t>Skill + Buff Cast Rate</t>
        </is>
      </c>
      <c r="B568">
        <f>IF(AND(Inputs!$B$39&lt;&gt;"pvp",Inputs!$B$44&gt;0),SUMPRODUCT((Skills!E2:E31=TRUE)*(C531:C560=TRUE)*R531:R560*Skills!F2:F31)/Inputs!$B$44,SUMPRODUCT((Skills!E2:E31=TRUE)*(C531:C560=TRUE)*Q531:Q560*Skills!F2:F31))</f>
        <v/>
      </c>
    </row>
    <row r="569">
      <c r="A569" t="inlineStr">
        <is>
          <t>Cruel Stab Casts Per Second</t>
        </is>
      </c>
      <c r="B569">
        <f>MAX(0,B567-B568)</f>
        <v/>
      </c>
    </row>
    <row r="570">
      <c r="A570" t="inlineStr">
        <is>
          <t>Global Critical Damage Bonus % (Smokescreen Mastery Lv.113)</t>
        </is>
      </c>
      <c r="B570">
        <f>IF(Inputs!$B$3&gt;=113,30,0)*IF(AND(Inputs!$B$39&lt;&gt;"pvp",Inputs!$B$44&gt;0),(((R545-1)*MIN((Skills!Y16*(1+Inputs!$B$34/100)),(1/Q545))+MIN((Skills!Y16*(1+Inputs!$B$34/100)),MAX(0,Inputs!$B$44-((R545-1)*(1/Q545)))))/Inputs!$B$44),IF(Inputs!$B$39="pvp",MIN((Skills!Y16*(1+Inputs!$B$34/100)),15)/15,MIN(1,(Skills!Y16*(1+Inputs!$B$34/100))/(1/Q545))))</f>
        <v/>
      </c>
    </row>
    <row r="571">
      <c r="A571" t="inlineStr">
        <is>
          <t>Meso Explosion average stack count</t>
        </is>
      </c>
      <c r="B571">
        <f>MIN(10,IF(Inputs!$B$3&gt;=75,0.75,0.5)*B567*(1/Q533))</f>
        <v/>
      </c>
    </row>
    <row r="572">
      <c r="A572" t="inlineStr">
        <is>
          <t>Blood Money average stack count</t>
        </is>
      </c>
      <c r="B572">
        <f>MIN(5,0.5*IF(Inputs!$B$3&gt;=75,0.75,0.5)*B567*(1/Q533))</f>
        <v/>
      </c>
    </row>
    <row r="573">
      <c r="A573" t="inlineStr">
        <is>
          <t>Assassinate Murderous Intent Multiplier</t>
        </is>
      </c>
      <c r="B573">
        <f>1+IFERROR(MIN(1,Q544*2/Q541),0)</f>
        <v/>
      </c>
    </row>
    <row r="574">
      <c r="A574" t="inlineStr">
        <is>
          <t>Buff-Casting Startup Delay (s, fixed-duration only)</t>
        </is>
      </c>
      <c r="B574">
        <f>IF(AND(Inputs!$B$39&lt;&gt;"pvp",Inputs!$B$44&gt;0),SUMPRODUCT((Skills!Y2:Y31&gt;0)*(Skills!E2:E31=TRUE)*(C531:C560=TRUE))/B567,0)</f>
        <v/>
      </c>
    </row>
    <row r="575">
      <c r="A575" s="6" t="inlineStr">
        <is>
          <t>TOTAL DPS</t>
        </is>
      </c>
      <c r="B575" s="6">
        <f>SUM(O531:O560)</f>
        <v/>
      </c>
    </row>
    <row r="576">
      <c r="A576" t="inlineStr">
        <is>
          <t>Boss-Only Total DPS (this block's swept value)</t>
        </is>
      </c>
      <c r="B576">
        <f>SUM(T531:T560)</f>
        <v/>
      </c>
    </row>
    <row r="577">
      <c r="A577" t="inlineStr">
        <is>
          <t>Normal-Only Total DPS (this block's swept value)</t>
        </is>
      </c>
      <c r="B577">
        <f>SUM(V531:V560)</f>
        <v/>
      </c>
    </row>
    <row r="580">
      <c r="A580" s="6" t="inlineStr">
        <is>
          <t>Stat: CRIT_RATE %</t>
        </is>
      </c>
    </row>
    <row r="581">
      <c r="A581" s="5" t="inlineStr">
        <is>
          <t>Key</t>
        </is>
      </c>
      <c r="B581" s="5" t="inlineStr">
        <is>
          <t>Name</t>
        </is>
      </c>
      <c r="C581" s="5" t="inlineStr">
        <is>
          <t>Unlocked</t>
        </is>
      </c>
      <c r="D581" s="5" t="inlineStr">
        <is>
          <t>InputLevel</t>
        </is>
      </c>
      <c r="E581" s="5" t="inlineStr">
        <is>
          <t>Factor</t>
        </is>
      </c>
      <c r="F581" s="5" t="inlineStr">
        <is>
          <t>CoefficientPercent</t>
        </is>
      </c>
      <c r="G581" s="5" t="inlineStr">
        <is>
          <t>EffectiveHits</t>
        </is>
      </c>
      <c r="H581" s="5" t="inlineStr">
        <is>
          <t>ProcProbability</t>
        </is>
      </c>
      <c r="I581" s="5" t="inlineStr">
        <is>
          <t>MapleHeroMultiplier</t>
        </is>
      </c>
      <c r="J581" s="5" t="inlineStr">
        <is>
          <t>BaseDamage</t>
        </is>
      </c>
      <c r="K581" s="5" t="inlineStr">
        <is>
          <t>BaseHitDamage</t>
        </is>
      </c>
      <c r="L581" s="5" t="inlineStr">
        <is>
          <t>NonCritAvg</t>
        </is>
      </c>
      <c r="M581" s="5" t="inlineStr">
        <is>
          <t>CritAvg</t>
        </is>
      </c>
      <c r="N581" s="5" t="inlineStr">
        <is>
          <t>ExpectedDamage(perHit)</t>
        </is>
      </c>
      <c r="O581" s="5" t="inlineStr">
        <is>
          <t>DPS</t>
        </is>
      </c>
      <c r="P581" s="5" t="inlineStr">
        <is>
          <t>% of Total</t>
        </is>
      </c>
      <c r="Q581" s="5" t="inlineStr">
        <is>
          <t>InvCooldown</t>
        </is>
      </c>
      <c r="R581" s="5" t="inlineStr">
        <is>
          <t>CastsInFight</t>
        </is>
      </c>
      <c r="S581" s="5" t="inlineStr">
        <is>
          <t>HitRate(perSec)</t>
        </is>
      </c>
      <c r="U581" t="inlineStr">
        <is>
          <t>helpers</t>
        </is>
      </c>
    </row>
    <row r="582">
      <c r="A582">
        <f>Skills!A2</f>
        <v/>
      </c>
      <c r="B582">
        <f>Skills!B2</f>
        <v/>
      </c>
      <c r="C582">
        <f>Inputs!$B$3&gt;=100</f>
        <v/>
      </c>
      <c r="D582" t="inlineStr"/>
      <c r="E582" t="inlineStr"/>
      <c r="F582">
        <f>U584+Skills!O2</f>
        <v/>
      </c>
      <c r="G582">
        <f>Skills!G2*IF(Skills!H2&gt;0,IF(Inputs!$B$39="pvp",MIN(Skills!I2,15),Skills!I2)/Skills!H2,1)</f>
        <v/>
      </c>
      <c r="H582">
        <f>1-(1-Skills!J2/100)^Skills!K2</f>
        <v/>
      </c>
      <c r="I582" t="inlineStr">
        <is>
          <t>1</t>
        </is>
      </c>
      <c r="J582">
        <f>((Inputs!$B$6*(1+Inputs!$B$7/100))+(((Inputs!$B$12*(1+Inputs!$B$13/100))-(Inputs!$B$12*(1+Inputs!$B$13/100)))+0.25*(Inputs!$B$14-Inputs!$B$14))*(1+Inputs!$B$7/100))*(F582/100)</f>
        <v/>
      </c>
      <c r="K582">
        <f>J582*(1+((Inputs!$B$12*(1+Inputs!$B$13/100))*0.01+Inputs!$B$14*0.0025)/100)*(1+Inputs!$B$15/100)*(1+Inputs!$B$16/100)*(5000/(6000+Inputs!$B$43*(1-(100*(1-(1-Inputs!$B$19/100)*(1-CHOOSE(ArtifactsInput!$N$40+1,5,6,7,8,9,10)/100)^(ArtifactsInput!$M$40-ArtifactsInput!$M$40)))/100)))*(1+(Inputs!$B$24+((C611=TRUE)*(F611-Calc!F31))+((C598=TRUE)*(F598-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CRUEL_STAB",Inputs!$B$17+((C608=TRUE)*(F608-Calc!F28))+((IF(AND(Inputs!$B$39&lt;&gt;"pvp",Inputs!$B$44=0),1,IF(IF(Inputs!$B$39="pvp",15,Inputs!$B$44)-(B625)&lt;=0,1,MAX(0,IF(Inputs!$B$39="pvp",15,Inputs!$B$44)-MAX(5,B625))/(IF(Inputs!$B$39="pvp",15,Inputs!$B$44)-(B625))))*(IF(AND(ArtifactsInput!$M$42,(((Inputs!$B$9+1)+((C606=TRUE)*(F606-Calc!F26))+B614+(ArtifactsInput!$M$24-ArtifactsInput!$M$24)*CHOOSE(ArtifactsInput!$N$24+1,10,12,14,16,18,20)+IF(ArtifactsInput!$M$10,CHOOSE(ArtifactsInput!$N$10+1,15,18,21,24,27,30)*(IF(Inputs!$B$39="pvp",MIN(15,15)/15,IF(AND(Inputs!$B$39&lt;&gt;"pvp",Inputs!$B$44&gt;0),MIN(15,Inputs!$B$44)/(Inputs!$B$44),0))),0)))&gt;=100),MIN(100,(((Inputs!$B$9+1)+((C606=TRUE)*(F606-Calc!F26))+B614+(ArtifactsInput!$M$24-ArtifactsInput!$M$24)*CHOOSE(ArtifactsInput!$N$24+1,10,12,14,16,18,20)+IF(ArtifactsInput!$M$10,CHOOSE(ArtifactsInput!$N$10+1,15,18,21,24,27,30)*(IF(Inputs!$B$39="pvp",MIN(15,15)/15,IF(AND(Inputs!$B$39&lt;&gt;"pvp",Inputs!$B$44&gt;0),MIN(15,Inputs!$B$44)/(Inputs!$B$44),0))),0)))-100),0))*CHOOSE(ArtifactsInput!$N$42+1,0.6,0.72,0.84,0.96,1.08,1.2))),Inputs!$B$18+((C609=TRUE)*(F609-Calc!F29))+(IF(AND(Inputs!$B$39&lt;&gt;"pvp",Inputs!$B$44=0),1,IF(IF(Inputs!$B$39="pvp",15,Inputs!$B$44)-(B625)&lt;=0,1,MAX(0,IF(Inputs!$B$39="pvp",15,Inputs!$B$44)-MAX(5,B625))/(IF(Inputs!$B$39="pvp",15,Inputs!$B$44)-(B625))))*IF(AND(ArtifactsInput!$M$42,(((Inputs!$B$9+1)+((C606=TRUE)*(F606-Calc!F26))+B614+(ArtifactsInput!$M$24-ArtifactsInput!$M$24)*CHOOSE(ArtifactsInput!$N$24+1,10,12,14,16,18,20)+IF(ArtifactsInput!$M$10,CHOOSE(ArtifactsInput!$N$10+1,15,18,21,24,27,30)*(IF(Inputs!$B$39="pvp",MIN(15,15)/15,IF(AND(Inputs!$B$39&lt;&gt;"pvp",Inputs!$B$44&gt;0),MIN(15,Inputs!$B$44)/(Inputs!$B$44),0))),0)))&gt;=100),CHOOSE(ArtifactsInput!$N$42+1,40,48,56,64,72,80),0))))/100)*(((1+(((C602=TRUE)*F602*IF(AND(Inputs!$B$39&lt;&gt;"pvp",Inputs!$B$44&gt;0),(((R602-1)*MIN((Skills!Y22*(1+Inputs!$B$34/100)),(1/Q602))+MIN((Skills!Y22*(1+Inputs!$B$34/100)),MAX(0,Inputs!$B$44-((R602-1)*(1/Q602)))))/Inputs!$B$44),IF(Inputs!$B$39="pvp",MIN((Skills!Y22*(1+Inputs!$B$34/100)),15)/15,MIN(1,(Skills!Y22*(1+Inputs!$B$34/100))/(1/Q602)))))+((C583=TRUE)*F583*3)+((C585=TRUE)*F585*(1-EXP(-0.75*B618*5)))+((C604=TRUE)*(F604-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591=TRUE)*F591*IF(AND(Inputs!$B$39&lt;&gt;"pvp",Inputs!$B$44&gt;0),(((R591-1)*MIN((Skills!Y11*(1+Inputs!$B$34/100)),(1/Q591))+MIN((Skills!Y11*(1+Inputs!$B$34/100)),MAX(0,Inputs!$B$44-((R591-1)*(1/Q591)))))/Inputs!$B$44),IF(Inputs!$B$39="pvp",MIN((Skills!Y11*(1+Inputs!$B$34/100)),15)/15,MIN(1,(Skills!Y11*(1+Inputs!$B$34/100))/(1/Q591)))))/100)*(1+((C596=TRUE)*F596*IF(AND(Inputs!$B$39&lt;&gt;"pvp",Inputs!$B$44&gt;0),(((R596-1)*MIN((Skills!Y16*(1+Inputs!$B$34/100)),(1/Q596))+MIN((Skills!Y16*(1+Inputs!$B$34/100)),MAX(0,Inputs!$B$44-((R596-1)*(1/Q596)))))/Inputs!$B$44),IF(Inputs!$B$39="pvp",MIN((Skills!Y16*(1+Inputs!$B$34/100)),15)/15,MIN(1,(Skills!Y16*(1+Inputs!$B$34/100))/(1/Q596)))))/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616*I582)</f>
        <v/>
      </c>
      <c r="L582">
        <f>K582*(MIN(Inputs!$B$22+((C605=TRUE)*(F605-Calc!F25)),(Inputs!$B$23+((C610=TRUE)*(F610-Calc!F30))+IF(ArtifactsInput!$M$15,CHOOSE(ArtifactsInput!$N$15+1,25,30,35,40,45,50)/100*(Inputs!$B$11-Inputs!$B$11),0)))/100+(Inputs!$B$23+((C610=TRUE)*(F610-Calc!F30))+IF(ArtifactsInput!$M$15,CHOOSE(ArtifactsInput!$N$15+1,25,30,35,40,45,50)/100*(Inputs!$B$11-Inputs!$B$11),0))/100)/2</f>
        <v/>
      </c>
      <c r="M582">
        <f>L582*(1+(Inputs!$B$10+((C607=TRUE)*(F607-Calc!F27))+B621+(IF(ArtifactsInput!$M$24,CHOOSE(ArtifactsInput!$N$24+1,30,36,42,48,54,60)/100*((Inputs!$B$9+1)-Inputs!$B$9),0)+IF(ArtifactsInput!$M$10,CHOOSE(ArtifactsInput!$N$10+1,20,24,28,32,36,40)*(IF(Inputs!$B$39="pvp",MIN(15,15)/15,IF(AND(Inputs!$B$39&lt;&gt;"pvp",Inputs!$B$44&gt;0),MIN(15,Inputs!$B$44)/(Inputs!$B$44),0))),0)+IF(ArtifactsInput!$M$31,1.5*CHOOSE(ArtifactsInput!$N$31+1,20,24,28,32,36,40),0)))/100)</f>
        <v/>
      </c>
      <c r="N582">
        <f>L582*(1-MIN(((Inputs!$B$9+1)+((C606=TRUE)*(F606-Calc!F26))+B614+(ArtifactsInput!$M$24-ArtifactsInput!$M$24)*CHOOSE(ArtifactsInput!$N$24+1,10,12,14,16,18,20)+(IF(AND(Inputs!$B$39&lt;&gt;"pvp",Inputs!$B$44=0),1,IF(IF(Inputs!$B$39="pvp",15,Inputs!$B$44)-(B625)&lt;=0,1,MAX(0,IF(Inputs!$B$39="pvp",15,Inputs!$B$44)-MAX(5,B625))/(IF(Inputs!$B$39="pvp",15,Inputs!$B$44)-(B625))))*IF(AND(ArtifactsInput!$M$42,(((Inputs!$B$9+1)+((C606=TRUE)*(F606-Calc!F26))+B614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582*(MIN(((Inputs!$B$9+1)+((C606=TRUE)*(F606-Calc!F26))+B614+(ArtifactsInput!$M$24-ArtifactsInput!$M$24)*CHOOSE(ArtifactsInput!$N$24+1,10,12,14,16,18,20)+(IF(AND(Inputs!$B$39&lt;&gt;"pvp",Inputs!$B$44=0),1,IF(IF(Inputs!$B$39="pvp",15,Inputs!$B$44)-(B625)&lt;=0,1,MAX(0,IF(Inputs!$B$39="pvp",15,Inputs!$B$44)-MAX(5,B625))/(IF(Inputs!$B$39="pvp",15,Inputs!$B$44)-(B625))))*IF(AND(ArtifactsInput!$M$42,(((Inputs!$B$9+1)+((C606=TRUE)*(F606-Calc!F26))+B614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582">
        <f>(1-Summary!$B$11)*T582+Summary!$B$11*V582</f>
        <v/>
      </c>
      <c r="P582">
        <f>IF(B626=0,0,O582/B626)</f>
        <v/>
      </c>
      <c r="Q582" t="n">
        <v>0</v>
      </c>
      <c r="R582" t="n">
        <v>0</v>
      </c>
      <c r="S582">
        <f>IFERROR(O582/N582,0)</f>
        <v/>
      </c>
      <c r="T582">
        <f>IF(C582,(Skills!G2*N582*B620)*IF(Inputs!$B$39="pvp",1,1+(Inputs!$B$20+0+Skills!P2+B615+(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Hunt"),CHOOSE(ArtifactsInput!$N$35+1,15,18,21,24,27,30)*(1-EXP(-(0.2*B618)*5)),0)+IF(AND(ArtifactsInput!$M$22,Inputs!$B$4&lt;&gt;"Chapter Hunt"),CHOOSE(ArtifactsInput!$N$22+1,10,12,14,16,18,20)*((0*(((0.15*B618*5))^0/1)+1*(((0.15*B618*5))^1/1)+2*(((0.15*B618*5))^2/2)+3*(((0.15*B618*5))^3/6)+4*(((0.15*B618*5))^4/24)+5*(((0.15*B618*5))^5/120))/((((0.15*B618*5))^0/1)+(((0.15*B618*5))^1/1)+(((0.15*B618*5))^2/2)+(((0.15*B618*5))^3/6)+(((0.15*B618*5))^4/24)+(((0.15*B618*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582*(1-MIN(100,((Inputs!$B$9+1)+((C606=TRUE)*(F606-Calc!F26))+B614+(ArtifactsInput!$M$24-ArtifactsInput!$M$24)*CHOOSE(ArtifactsInput!$N$24+1,10,12,14,16,18,20)+(IF(AND(Inputs!$B$39&lt;&gt;"pvp",Inputs!$B$44=0),1,IF(IF(Inputs!$B$39="pvp",15,Inputs!$B$44)-(B625)&lt;=0,1,MAX(0,IF(Inputs!$B$39="pvp",15,Inputs!$B$44)-MAX(5,B625))/(IF(Inputs!$B$39="pvp",15,Inputs!$B$44)-(B625))))*IF(AND(ArtifactsInput!$M$42,(((Inputs!$B$9+1)+((C606=TRUE)*(F606-Calc!F26))+B614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582*(MIN(100,((Inputs!$B$9+1)+((C606=TRUE)*(F606-Calc!F26))+B614+(ArtifactsInput!$M$24-ArtifactsInput!$M$24)*CHOOSE(ArtifactsInput!$N$24+1,10,12,14,16,18,20)+(IF(AND(Inputs!$B$39&lt;&gt;"pvp",Inputs!$B$44=0),1,IF(IF(Inputs!$B$39="pvp",15,Inputs!$B$44)-(B625)&lt;=0,1,MAX(0,IF(Inputs!$B$39="pvp",15,Inputs!$B$44)-MAX(5,B625))/(IF(Inputs!$B$39="pvp",15,Inputs!$B$44)-(B625))))*IF(AND(ArtifactsInput!$M$42,(((Inputs!$B$9+1)+((C606=TRUE)*(F606-Calc!F26))+B614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582*(1-MIN(100,((Inputs!$B$9+1)+((C606=TRUE)*(F606-Calc!F26))+B614+(ArtifactsInput!$M$24-ArtifactsInput!$M$24)*CHOOSE(ArtifactsInput!$N$24+1,10,12,14,16,18,20)+(IF(AND(Inputs!$B$39&lt;&gt;"pvp",Inputs!$B$44=0),1,IF(IF(Inputs!$B$39="pvp",15,Inputs!$B$44)-(B625)&lt;=0,1,MAX(0,IF(Inputs!$B$39="pvp",15,Inputs!$B$44)-MAX(5,B625))/(IF(Inputs!$B$39="pvp",15,Inputs!$B$44)-(B625))))*IF(AND(ArtifactsInput!$M$42,(((Inputs!$B$9+1)+((C606=TRUE)*(F606-Calc!F26))+B614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582*(MIN(100,((Inputs!$B$9+1)+((C606=TRUE)*(F606-Calc!F26))+B614+(ArtifactsInput!$M$24-ArtifactsInput!$M$24)*CHOOSE(ArtifactsInput!$N$24+1,10,12,14,16,18,20)+(IF(AND(Inputs!$B$39&lt;&gt;"pvp",Inputs!$B$44=0),1,IF(IF(Inputs!$B$39="pvp",15,Inputs!$B$44)-(B625)&lt;=0,1,MAX(0,IF(Inputs!$B$39="pvp",15,Inputs!$B$44)-MAX(5,B625))/(IF(Inputs!$B$39="pvp",15,Inputs!$B$44)-(B625))))*IF(AND(ArtifactsInput!$M$42,(((Inputs!$B$9+1)+((C606=TRUE)*(F606-Calc!F26))+B614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582">
        <f>MAX(0,(Inputs!$B$3-100)*3)+Inputs!$B$28+Inputs!$B$29</f>
        <v/>
      </c>
      <c r="V582">
        <f>IF(C582,(Skills!G2*N582*B620)*IF(Inputs!$B$39="pvp",1,(1+(Inputs!$B$21+Skills!Q2+B615+(IF(ArtifactsInput!$M$33,CHOOSE(ArtifactsInput!$N$33+1,30,36,42,48,54,60),0))+(IF(AND(ArtifactsInput!$M$35,Inputs!$B$4&lt;&gt;"Chapter Hunt"),CHOOSE(ArtifactsInput!$N$35+1,15,18,21,24,27,30)*(1-EXP(-(0.2*B618)*5)),0)+IF(AND(ArtifactsInput!$M$22,Inputs!$B$4&lt;&gt;"Chapter Hunt"),CHOOSE(ArtifactsInput!$N$22+1,10,12,14,16,18,20)*((0*(((0.15*B618*5))^0/1)+1*(((0.15*B618*5))^1/1)+2*(((0.15*B618*5))^2/2)+3*(((0.15*B618*5))^3/6)+4*(((0.15*B618*5))^4/24)+5*(((0.15*B618*5))^5/120))/((((0.15*B618*5))^0/1)+(((0.15*B618*5))^1/1)+(((0.15*B618*5))^2/2)+(((0.15*B618*5))^3/6)+(((0.15*B618*5))^4/24)+(((0.15*B618*5))^5/120))),0)))/100)*(MIN((6+Inputs!$B$33),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583">
      <c r="A583">
        <f>Skills!A3</f>
        <v/>
      </c>
      <c r="B583">
        <f>Skills!B3</f>
        <v/>
      </c>
      <c r="C583">
        <f>Inputs!$B$3&gt;=35</f>
        <v/>
      </c>
      <c r="D583">
        <f>IF(Skills!C3=1,60+Inputs!$B$25+Inputs!$B$29,IF(Skills!C3=2,90+Inputs!$B$26+Inputs!$B$29,IF(Skills!C3=3,120+Inputs!$B$27+Inputs!$B$29,MAX(0,(Inputs!$B$3-100)*3)+Inputs!$B$28+Inputs!$B$29)))</f>
        <v/>
      </c>
      <c r="E583">
        <f>INDEX(FactorTable!$B$2:$Y$301, MATCH(ROUND(MIN(300,MAX(1,D583)),0), FactorTable!$A$2:$A$301,0), Skills!M3+1)</f>
        <v/>
      </c>
      <c r="F583">
        <f>IF(Skills!N3=TRUE,(Skills!L3/10)*(E583/1000),Skills!L3/10)+Skills!O3</f>
        <v/>
      </c>
      <c r="G583">
        <f>Skills!G3*IF(Skills!H3&gt;0,IF(Inputs!$B$39="pvp",MIN(Skills!I3,15),Skills!I3)/Skills!H3,1)</f>
        <v/>
      </c>
      <c r="H583">
        <f>1-(1-Skills!J3/100)^Skills!K3</f>
        <v/>
      </c>
      <c r="I583" t="inlineStr">
        <is>
          <t>1</t>
        </is>
      </c>
      <c r="J583" t="inlineStr"/>
      <c r="K583" t="inlineStr"/>
      <c r="L583" t="inlineStr"/>
      <c r="M583" t="inlineStr"/>
      <c r="N583" t="inlineStr"/>
      <c r="O583">
        <f>(1-Summary!$B$11)*T583+Summary!$B$11*V583</f>
        <v/>
      </c>
      <c r="P583">
        <f>IF(B626=0,0,O583/B626)</f>
        <v/>
      </c>
      <c r="Q583" t="n">
        <v>0</v>
      </c>
      <c r="R583" t="n">
        <v>0</v>
      </c>
      <c r="S583">
        <f>IFERROR(O583/N583,0)</f>
        <v/>
      </c>
      <c r="T583" t="n">
        <v>0</v>
      </c>
      <c r="U583">
        <f>INDEX(FactorTable!$B$2:$Y$301, MATCH(ROUND(MIN(300,MAX(1,U582)),0), FactorTable!$A$2:$A$301,0), 22)</f>
        <v/>
      </c>
      <c r="V583" t="n">
        <v>0</v>
      </c>
    </row>
    <row r="584">
      <c r="A584">
        <f>Skills!A4</f>
        <v/>
      </c>
      <c r="B584">
        <f>Skills!B4</f>
        <v/>
      </c>
      <c r="C584">
        <f>Inputs!$B$3&gt;=66</f>
        <v/>
      </c>
      <c r="D584">
        <f>IF(Skills!C4=1,60+Inputs!$B$25+Inputs!$B$29,IF(Skills!C4=2,90+Inputs!$B$26+Inputs!$B$29,IF(Skills!C4=3,120+Inputs!$B$27+Inputs!$B$29,MAX(0,(Inputs!$B$3-100)*3)+Inputs!$B$28+Inputs!$B$29)))</f>
        <v/>
      </c>
      <c r="E584">
        <f>INDEX(FactorTable!$B$2:$Y$301, MATCH(ROUND(MIN(300,MAX(1,D584)),0), FactorTable!$A$2:$A$301,0), Skills!M4+1)</f>
        <v/>
      </c>
      <c r="F584">
        <f>IF(Skills!N4=TRUE,(Skills!L4/10)*(E584/1000),Skills!L4/10)+Skills!O4</f>
        <v/>
      </c>
      <c r="G584">
        <f>Skills!G4*IF(Skills!H4&gt;0,IF(Inputs!$B$39="pvp",MIN(Skills!I4,15),Skills!I4)/Skills!H4,1)</f>
        <v/>
      </c>
      <c r="H584">
        <f>1-(1-Skills!J4/100)^Skills!K4</f>
        <v/>
      </c>
      <c r="I584" t="inlineStr">
        <is>
          <t>1</t>
        </is>
      </c>
      <c r="J584">
        <f>((Inputs!$B$6*(1+Inputs!$B$7/100))+(((Inputs!$B$12*(1+Inputs!$B$13/100))-(Inputs!$B$12*(1+Inputs!$B$13/100)))+0.25*(Inputs!$B$14-Inputs!$B$14))*(1+Inputs!$B$7/100))*(F584/100)</f>
        <v/>
      </c>
      <c r="K584">
        <f>J584*(1+((Inputs!$B$12*(1+Inputs!$B$13/100))*0.01+Inputs!$B$14*0.0025)/100)*(1+Inputs!$B$15/100)*(1+Inputs!$B$16/100)*(5000/(6000+Inputs!$B$43*(1-(100*(1-(1-Inputs!$B$19/100)*(1-CHOOSE(ArtifactsInput!$N$40+1,5,6,7,8,9,10)/100)^(ArtifactsInput!$M$40-ArtifactsInput!$M$40)))/100)))*(1+(Inputs!$B$24+((C611=TRUE)*(F611-Calc!F31))+((C598=TRUE)*(F598-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4="CRUEL_STAB",Inputs!$B$17+((C608=TRUE)*(F608-Calc!F28))+((IF(AND(Inputs!$B$39&lt;&gt;"pvp",Inputs!$B$44=0),1,IF(IF(Inputs!$B$39="pvp",15,Inputs!$B$44)-(B625)&lt;=0,1,MAX(0,IF(Inputs!$B$39="pvp",15,Inputs!$B$44)-MAX(5,B625))/(IF(Inputs!$B$39="pvp",15,Inputs!$B$44)-(B625))))*(IF(AND(ArtifactsInput!$M$42,(((Inputs!$B$9+1)+((C606=TRUE)*(F606-Calc!F26))+B614+(ArtifactsInput!$M$24-ArtifactsInput!$M$24)*CHOOSE(ArtifactsInput!$N$24+1,10,12,14,16,18,20)+IF(ArtifactsInput!$M$10,CHOOSE(ArtifactsInput!$N$10+1,15,18,21,24,27,30)*(IF(Inputs!$B$39="pvp",MIN(15,15)/15,IF(AND(Inputs!$B$39&lt;&gt;"pvp",Inputs!$B$44&gt;0),MIN(15,Inputs!$B$44)/(Inputs!$B$44),0))),0)))&gt;=100),MIN(100,(((Inputs!$B$9+1)+((C606=TRUE)*(F606-Calc!F26))+B614+(ArtifactsInput!$M$24-ArtifactsInput!$M$24)*CHOOSE(ArtifactsInput!$N$24+1,10,12,14,16,18,20)+IF(ArtifactsInput!$M$10,CHOOSE(ArtifactsInput!$N$10+1,15,18,21,24,27,30)*(IF(Inputs!$B$39="pvp",MIN(15,15)/15,IF(AND(Inputs!$B$39&lt;&gt;"pvp",Inputs!$B$44&gt;0),MIN(15,Inputs!$B$44)/(Inputs!$B$44),0))),0)))-100),0))*CHOOSE(ArtifactsInput!$N$42+1,0.6,0.72,0.84,0.96,1.08,1.2))),Inputs!$B$18+((C609=TRUE)*(F609-Calc!F29))+(IF(AND(Inputs!$B$39&lt;&gt;"pvp",Inputs!$B$44=0),1,IF(IF(Inputs!$B$39="pvp",15,Inputs!$B$44)-(B625)&lt;=0,1,MAX(0,IF(Inputs!$B$39="pvp",15,Inputs!$B$44)-MAX(5,B625))/(IF(Inputs!$B$39="pvp",15,Inputs!$B$44)-(B625))))*IF(AND(ArtifactsInput!$M$42,(((Inputs!$B$9+1)+((C606=TRUE)*(F606-Calc!F26))+B614+(ArtifactsInput!$M$24-ArtifactsInput!$M$24)*CHOOSE(ArtifactsInput!$N$24+1,10,12,14,16,18,20)+IF(ArtifactsInput!$M$10,CHOOSE(ArtifactsInput!$N$10+1,15,18,21,24,27,30)*(IF(Inputs!$B$39="pvp",MIN(15,15)/15,IF(AND(Inputs!$B$39&lt;&gt;"pvp",Inputs!$B$44&gt;0),MIN(15,Inputs!$B$44)/(Inputs!$B$44),0))),0)))&gt;=100),CHOOSE(ArtifactsInput!$N$42+1,40,48,56,64,72,80),0))))/100)*(((1+(((C602=TRUE)*F602*IF(AND(Inputs!$B$39&lt;&gt;"pvp",Inputs!$B$44&gt;0),(((R602-1)*MIN((Skills!Y22*(1+Inputs!$B$34/100)),(1/Q602))+MIN((Skills!Y22*(1+Inputs!$B$34/100)),MAX(0,Inputs!$B$44-((R602-1)*(1/Q602)))))/Inputs!$B$44),IF(Inputs!$B$39="pvp",MIN((Skills!Y22*(1+Inputs!$B$34/100)),15)/15,MIN(1,(Skills!Y22*(1+Inputs!$B$34/100))/(1/Q602)))))+((C583=TRUE)*F583*3)+((C585=TRUE)*F585*(1-EXP(-0.75*B618*5)))+((C604=TRUE)*(F604-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591=TRUE)*F591*IF(AND(Inputs!$B$39&lt;&gt;"pvp",Inputs!$B$44&gt;0),(((R591-1)*MIN((Skills!Y11*(1+Inputs!$B$34/100)),(1/Q591))+MIN((Skills!Y11*(1+Inputs!$B$34/100)),MAX(0,Inputs!$B$44-((R591-1)*(1/Q591)))))/Inputs!$B$44),IF(Inputs!$B$39="pvp",MIN((Skills!Y11*(1+Inputs!$B$34/100)),15)/15,MIN(1,(Skills!Y11*(1+Inputs!$B$34/100))/(1/Q591)))))/100)*(1+((C596=TRUE)*F596*IF(AND(Inputs!$B$39&lt;&gt;"pvp",Inputs!$B$44&gt;0),(((R596-1)*MIN((Skills!Y16*(1+Inputs!$B$34/100)),(1/Q596))+MIN((Skills!Y16*(1+Inputs!$B$34/100)),MAX(0,Inputs!$B$44-((R596-1)*(1/Q596)))))/Inputs!$B$44),IF(Inputs!$B$39="pvp",MIN((Skills!Y16*(1+Inputs!$B$34/100)),15)/15,MIN(1,(Skills!Y16*(1+Inputs!$B$34/100))/(1/Q596)))))/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616*I584)</f>
        <v/>
      </c>
      <c r="L584">
        <f>K584*(MIN(Inputs!$B$22+((C605=TRUE)*(F605-Calc!F25)),(Inputs!$B$23+((C610=TRUE)*(F610-Calc!F30))+IF(ArtifactsInput!$M$15,CHOOSE(ArtifactsInput!$N$15+1,25,30,35,40,45,50)/100*(Inputs!$B$11-Inputs!$B$11),0)))/100+(Inputs!$B$23+((C610=TRUE)*(F610-Calc!F30))+IF(ArtifactsInput!$M$15,CHOOSE(ArtifactsInput!$N$15+1,25,30,35,40,45,50)/100*(Inputs!$B$11-Inputs!$B$11),0))/100)/2</f>
        <v/>
      </c>
      <c r="M584">
        <f>L584*(1+(Inputs!$B$10+((C607=TRUE)*(F607-Calc!F27))+B621+(IF(ArtifactsInput!$M$24,CHOOSE(ArtifactsInput!$N$24+1,30,36,42,48,54,60)/100*((Inputs!$B$9+1)-Inputs!$B$9),0)+IF(ArtifactsInput!$M$10,CHOOSE(ArtifactsInput!$N$10+1,20,24,28,32,36,40)*(IF(Inputs!$B$39="pvp",MIN(15,15)/15,IF(AND(Inputs!$B$39&lt;&gt;"pvp",Inputs!$B$44&gt;0),MIN(15,Inputs!$B$44)/(Inputs!$B$44),0))),0)+IF(ArtifactsInput!$M$31,1.5*CHOOSE(ArtifactsInput!$N$31+1,20,24,28,32,36,40),0)))/100)</f>
        <v/>
      </c>
      <c r="N584">
        <f>L584*(1-MIN(((Inputs!$B$9+1)+((C606=TRUE)*(F606-Calc!F26))+B614+(ArtifactsInput!$M$24-ArtifactsInput!$M$24)*CHOOSE(ArtifactsInput!$N$24+1,10,12,14,16,18,20)+(IF(AND(Inputs!$B$39&lt;&gt;"pvp",Inputs!$B$44=0),1,IF(IF(Inputs!$B$39="pvp",15,Inputs!$B$44)-(B625)&lt;=0,1,MAX(0,IF(Inputs!$B$39="pvp",15,Inputs!$B$44)-MAX(5,B625))/(IF(Inputs!$B$39="pvp",15,Inputs!$B$44)-(B625))))*IF(AND(ArtifactsInput!$M$42,(((Inputs!$B$9+1)+((C606=TRUE)*(F606-Calc!F26))+B614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584*(MIN(((Inputs!$B$9+1)+((C606=TRUE)*(F606-Calc!F26))+B614+(ArtifactsInput!$M$24-ArtifactsInput!$M$24)*CHOOSE(ArtifactsInput!$N$24+1,10,12,14,16,18,20)+(IF(AND(Inputs!$B$39&lt;&gt;"pvp",Inputs!$B$44=0),1,IF(IF(Inputs!$B$39="pvp",15,Inputs!$B$44)-(B625)&lt;=0,1,MAX(0,IF(Inputs!$B$39="pvp",15,Inputs!$B$44)-MAX(5,B625))/(IF(Inputs!$B$39="pvp",15,Inputs!$B$44)-(B625))))*IF(AND(ArtifactsInput!$M$42,(((Inputs!$B$9+1)+((C606=TRUE)*(F606-Calc!F26))+B614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584">
        <f>(1-Summary!$B$11)*T584+Summary!$B$11*V584</f>
        <v/>
      </c>
      <c r="P584">
        <f>IF(B626=0,0,O584/B626)</f>
        <v/>
      </c>
      <c r="Q584">
        <f>IFERROR(1/IF(Inputs!$B$39="pvp",15,MAX(0.1,Skills!D4-IF(TRUE=TRUE,Inputs!$B$32,0))),0)</f>
        <v/>
      </c>
      <c r="R584">
        <f>IF(AND(Inputs!$B$39&lt;&gt;"pvp",Inputs!$B$44&gt;0),IF(MAX(0,Inputs!$B$44-B625)&lt;=0,0,(INT(MAX(0,Inputs!$B$44-B625)/IF(Inputs!$B$39="pvp",15,MAX(0.1,Skills!D4-IF(TRUE=TRUE,Inputs!$B$32,0))))+1)),0)</f>
        <v/>
      </c>
      <c r="S584">
        <f>IFERROR(O584/N584,0)</f>
        <v/>
      </c>
      <c r="T584">
        <f>IF(C584,(H584*N584*IF(AND(Inputs!$B$39&lt;&gt;"pvp",Inputs!$B$44&gt;0),((Skills!G4*((R584-1)*IF(Skills!H4&gt;0,Skills!I4/Skills!H4,1)+IF(Skills!H4&gt;0,MIN(Skills!I4,MAX(0,MAX(0,Inputs!$B$44-B625)-((R584-1)*IF(Inputs!$B$39="pvp",15,MAX(0.1,Skills!D4-IF(TRUE=TRUE,Inputs!$B$32,0))))))/Skills!H4,1)))/Inputs!$B$44),G584*Q584))*IF(Inputs!$B$39="pvp",1,1+(Inputs!$B$20+0+Skills!P4+B615+(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Hunt"),CHOOSE(ArtifactsInput!$N$35+1,15,18,21,24,27,30)*(1-EXP(-(0.2*B618)*5)),0)+IF(AND(ArtifactsInput!$M$22,Inputs!$B$4&lt;&gt;"Chapter Hunt"),CHOOSE(ArtifactsInput!$N$22+1,10,12,14,16,18,20)*((0*(((0.15*B618*5))^0/1)+1*(((0.15*B618*5))^1/1)+2*(((0.15*B618*5))^2/2)+3*(((0.15*B618*5))^3/6)+4*(((0.15*B618*5))^4/24)+5*(((0.15*B618*5))^5/120))/((((0.15*B618*5))^0/1)+(((0.15*B618*5))^1/1)+(((0.15*B618*5))^2/2)+(((0.15*B618*5))^3/6)+(((0.15*B618*5))^4/24)+(((0.15*B618*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584*(1-MIN(100,((Inputs!$B$9+1)+((C606=TRUE)*(F606-Calc!F26))+B614+(ArtifactsInput!$M$24-ArtifactsInput!$M$24)*CHOOSE(ArtifactsInput!$N$24+1,10,12,14,16,18,20)+(IF(AND(Inputs!$B$39&lt;&gt;"pvp",Inputs!$B$44=0),1,IF(IF(Inputs!$B$39="pvp",15,Inputs!$B$44)-(B625)&lt;=0,1,MAX(0,IF(Inputs!$B$39="pvp",15,Inputs!$B$44)-MAX(5,B625))/(IF(Inputs!$B$39="pvp",15,Inputs!$B$44)-(B625))))*IF(AND(ArtifactsInput!$M$42,(((Inputs!$B$9+1)+((C606=TRUE)*(F606-Calc!F26))+B614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584*(MIN(100,((Inputs!$B$9+1)+((C606=TRUE)*(F606-Calc!F26))+B614+(ArtifactsInput!$M$24-ArtifactsInput!$M$24)*CHOOSE(ArtifactsInput!$N$24+1,10,12,14,16,18,20)+(IF(AND(Inputs!$B$39&lt;&gt;"pvp",Inputs!$B$44=0),1,IF(IF(Inputs!$B$39="pvp",15,Inputs!$B$44)-(B625)&lt;=0,1,MAX(0,IF(Inputs!$B$39="pvp",15,Inputs!$B$44)-MAX(5,B625))/(IF(Inputs!$B$39="pvp",15,Inputs!$B$44)-(B625))))*IF(AND(ArtifactsInput!$M$42,(((Inputs!$B$9+1)+((C606=TRUE)*(F606-Calc!F26))+B614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584*(1-MIN(100,((Inputs!$B$9+1)+((C606=TRUE)*(F606-Calc!F26))+B614+(ArtifactsInput!$M$24-ArtifactsInput!$M$24)*CHOOSE(ArtifactsInput!$N$24+1,10,12,14,16,18,20)+(IF(AND(Inputs!$B$39&lt;&gt;"pvp",Inputs!$B$44=0),1,IF(IF(Inputs!$B$39="pvp",15,Inputs!$B$44)-(B625)&lt;=0,1,MAX(0,IF(Inputs!$B$39="pvp",15,Inputs!$B$44)-MAX(5,B625))/(IF(Inputs!$B$39="pvp",15,Inputs!$B$44)-(B625))))*IF(AND(ArtifactsInput!$M$42,(((Inputs!$B$9+1)+((C606=TRUE)*(F606-Calc!F26))+B614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584*(MIN(100,((Inputs!$B$9+1)+((C606=TRUE)*(F606-Calc!F26))+B614+(ArtifactsInput!$M$24-ArtifactsInput!$M$24)*CHOOSE(ArtifactsInput!$N$24+1,10,12,14,16,18,20)+(IF(AND(Inputs!$B$39&lt;&gt;"pvp",Inputs!$B$44=0),1,IF(IF(Inputs!$B$39="pvp",15,Inputs!$B$44)-(B625)&lt;=0,1,MAX(0,IF(Inputs!$B$39="pvp",15,Inputs!$B$44)-MAX(5,B625))/(IF(Inputs!$B$39="pvp",15,Inputs!$B$44)-(B625))))*IF(AND(ArtifactsInput!$M$42,(((Inputs!$B$9+1)+((C606=TRUE)*(F606-Calc!F26))+B614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584">
        <f>290*U583/1000</f>
        <v/>
      </c>
      <c r="V584">
        <f>IF(C584,(H584*N584*IF(AND(Inputs!$B$39&lt;&gt;"pvp",Inputs!$B$44&gt;0),((Skills!G4*((R584-1)*IF(Skills!H4&gt;0,Skills!I4/Skills!H4,1)+IF(Skills!H4&gt;0,MIN(Skills!I4,MAX(0,MAX(0,Inputs!$B$44-B625)-((R584-1)*IF(Inputs!$B$39="pvp",15,MAX(0.1,Skills!D4-IF(TRUE=TRUE,Inputs!$B$32,0))))))/Skills!H4,1)))/Inputs!$B$44),G584*Q584))*IF(Inputs!$B$39="pvp",1,(1+(Inputs!$B$21+Skills!Q4+B615+(IF(ArtifactsInput!$M$33,CHOOSE(ArtifactsInput!$N$33+1,30,36,42,48,54,60),0))+(IF(AND(ArtifactsInput!$M$35,Inputs!$B$4&lt;&gt;"Chapter Hunt"),CHOOSE(ArtifactsInput!$N$35+1,15,18,21,24,27,30)*(1-EXP(-(0.2*B618)*5)),0)+IF(AND(ArtifactsInput!$M$22,Inputs!$B$4&lt;&gt;"Chapter Hunt"),CHOOSE(ArtifactsInput!$N$22+1,10,12,14,16,18,20)*((0*(((0.15*B618*5))^0/1)+1*(((0.15*B618*5))^1/1)+2*(((0.15*B618*5))^2/2)+3*(((0.15*B618*5))^3/6)+4*(((0.15*B618*5))^4/24)+5*(((0.15*B618*5))^5/120))/((((0.15*B618*5))^0/1)+(((0.15*B618*5))^1/1)+(((0.15*B618*5))^2/2)+(((0.15*B618*5))^3/6)+(((0.15*B618*5))^4/24)+(((0.15*B618*5))^5/120))),0)))/100)*(MIN(MIN(10,IF(Inputs!$B$3&gt;=75,0.75,0.5)*B618*(1/Q584)),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585">
      <c r="A585">
        <f>Skills!A5</f>
        <v/>
      </c>
      <c r="B585">
        <f>Skills!B5</f>
        <v/>
      </c>
      <c r="C585">
        <f>Inputs!$B$3&gt;=75</f>
        <v/>
      </c>
      <c r="D585">
        <f>IF(Skills!C5=1,60+Inputs!$B$25+Inputs!$B$29,IF(Skills!C5=2,90+Inputs!$B$26+Inputs!$B$29,IF(Skills!C5=3,120+Inputs!$B$27+Inputs!$B$29,MAX(0,(Inputs!$B$3-100)*3)+Inputs!$B$28+Inputs!$B$29)))</f>
        <v/>
      </c>
      <c r="E585">
        <f>INDEX(FactorTable!$B$2:$Y$301, MATCH(ROUND(MIN(300,MAX(1,D585)),0), FactorTable!$A$2:$A$301,0), Skills!M5+1)</f>
        <v/>
      </c>
      <c r="F585">
        <f>IF(Skills!N5=TRUE,(Skills!L5/10)*(E585/1000),Skills!L5/10)+Skills!O5</f>
        <v/>
      </c>
      <c r="G585">
        <f>Skills!G5*IF(Skills!H5&gt;0,IF(Inputs!$B$39="pvp",MIN(Skills!I5,15),Skills!I5)/Skills!H5,1)</f>
        <v/>
      </c>
      <c r="H585">
        <f>1-(1-Skills!J5/100)^Skills!K5</f>
        <v/>
      </c>
      <c r="I585" t="inlineStr">
        <is>
          <t>1</t>
        </is>
      </c>
      <c r="J585" t="inlineStr"/>
      <c r="K585" t="inlineStr"/>
      <c r="L585" t="inlineStr"/>
      <c r="M585" t="inlineStr"/>
      <c r="N585" t="inlineStr"/>
      <c r="O585">
        <f>(1-Summary!$B$11)*T585+Summary!$B$11*V585</f>
        <v/>
      </c>
      <c r="P585">
        <f>IF(B626=0,0,O585/B626)</f>
        <v/>
      </c>
      <c r="Q585" t="n">
        <v>0</v>
      </c>
      <c r="R585" t="n">
        <v>0</v>
      </c>
      <c r="S585">
        <f>IFERROR(O585/N585,0)</f>
        <v/>
      </c>
      <c r="T585" t="n">
        <v>0</v>
      </c>
      <c r="V585" t="n">
        <v>0</v>
      </c>
    </row>
    <row r="586">
      <c r="A586">
        <f>Skills!A6</f>
        <v/>
      </c>
      <c r="B586">
        <f>Skills!B6</f>
        <v/>
      </c>
      <c r="C586">
        <f>Inputs!$B$3&gt;=63</f>
        <v/>
      </c>
      <c r="D586">
        <f>IF(Skills!C6=1,60+Inputs!$B$25+Inputs!$B$29,IF(Skills!C6=2,90+Inputs!$B$26+Inputs!$B$29,IF(Skills!C6=3,120+Inputs!$B$27+Inputs!$B$29,MAX(0,(Inputs!$B$3-100)*3)+Inputs!$B$28+Inputs!$B$29)))</f>
        <v/>
      </c>
      <c r="E586">
        <f>INDEX(FactorTable!$B$2:$Y$301, MATCH(ROUND(MIN(300,MAX(1,D586)),0), FactorTable!$A$2:$A$301,0), Skills!M6+1)</f>
        <v/>
      </c>
      <c r="F586">
        <f>IF(Skills!N6=TRUE,(Skills!L6/10)*(E586/1000),Skills!L6/10)+Skills!O6</f>
        <v/>
      </c>
      <c r="G586">
        <f>Skills!G6*IF(Skills!H6&gt;0,IF(Inputs!$B$39="pvp",MIN(Skills!I6,15),Skills!I6)/Skills!H6,1)</f>
        <v/>
      </c>
      <c r="H586">
        <f>1-(1-Skills!J6/100)^Skills!K6</f>
        <v/>
      </c>
      <c r="I586" t="inlineStr">
        <is>
          <t>1</t>
        </is>
      </c>
      <c r="J586">
        <f>((Inputs!$B$6*(1+Inputs!$B$7/100))+(((Inputs!$B$12*(1+Inputs!$B$13/100))-(Inputs!$B$12*(1+Inputs!$B$13/100)))+0.25*(Inputs!$B$14-Inputs!$B$14))*(1+Inputs!$B$7/100))*(F586/100)</f>
        <v/>
      </c>
      <c r="K586">
        <f>J586*(1+((Inputs!$B$12*(1+Inputs!$B$13/100))*0.01+Inputs!$B$14*0.0025)/100)*(1+Inputs!$B$15/100)*(1+Inputs!$B$16/100)*(5000/(6000+Inputs!$B$43*(1-(100*(1-(1-Inputs!$B$19/100)*(1-CHOOSE(ArtifactsInput!$N$40+1,5,6,7,8,9,10)/100)^(ArtifactsInput!$M$40-ArtifactsInput!$M$40)))/100)))*(1+(Inputs!$B$24+((C611=TRUE)*(F611-Calc!F31))+((C598=TRUE)*(F598-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+2.6666666666666665*IF(C599=TRUE,F599,0)/100)*(1+(IF(Skills!A6="CRUEL_STAB",Inputs!$B$17+((C608=TRUE)*(F608-Calc!F28))+((IF(AND(Inputs!$B$39&lt;&gt;"pvp",Inputs!$B$44=0),1,IF(IF(Inputs!$B$39="pvp",15,Inputs!$B$44)-(B625)&lt;=0,1,MAX(0,IF(Inputs!$B$39="pvp",15,Inputs!$B$44)-MAX(5,B625))/(IF(Inputs!$B$39="pvp",15,Inputs!$B$44)-(B625))))*(IF(AND(ArtifactsInput!$M$42,(((Inputs!$B$9+1)+((C606=TRUE)*(F606-Calc!F26))+B614+(ArtifactsInput!$M$24-ArtifactsInput!$M$24)*CHOOSE(ArtifactsInput!$N$24+1,10,12,14,16,18,20)+IF(ArtifactsInput!$M$10,CHOOSE(ArtifactsInput!$N$10+1,15,18,21,24,27,30)*(IF(Inputs!$B$39="pvp",MIN(15,15)/15,IF(AND(Inputs!$B$39&lt;&gt;"pvp",Inputs!$B$44&gt;0),MIN(15,Inputs!$B$44)/(Inputs!$B$44),0))),0)))&gt;=100),MIN(100,(((Inputs!$B$9+1)+((C606=TRUE)*(F606-Calc!F26))+B614+(ArtifactsInput!$M$24-ArtifactsInput!$M$24)*CHOOSE(ArtifactsInput!$N$24+1,10,12,14,16,18,20)+IF(ArtifactsInput!$M$10,CHOOSE(ArtifactsInput!$N$10+1,15,18,21,24,27,30)*(IF(Inputs!$B$39="pvp",MIN(15,15)/15,IF(AND(Inputs!$B$39&lt;&gt;"pvp",Inputs!$B$44&gt;0),MIN(15,Inputs!$B$44)/(Inputs!$B$44),0))),0)))-100),0))*CHOOSE(ArtifactsInput!$N$42+1,0.6,0.72,0.84,0.96,1.08,1.2))),Inputs!$B$18+((C609=TRUE)*(F609-Calc!F29))+(IF(AND(Inputs!$B$39&lt;&gt;"pvp",Inputs!$B$44=0),1,IF(IF(Inputs!$B$39="pvp",15,Inputs!$B$44)-(B625)&lt;=0,1,MAX(0,IF(Inputs!$B$39="pvp",15,Inputs!$B$44)-MAX(5,B625))/(IF(Inputs!$B$39="pvp",15,Inputs!$B$44)-(B625))))*IF(AND(ArtifactsInput!$M$42,(((Inputs!$B$9+1)+((C606=TRUE)*(F606-Calc!F26))+B614+(ArtifactsInput!$M$24-ArtifactsInput!$M$24)*CHOOSE(ArtifactsInput!$N$24+1,10,12,14,16,18,20)+IF(ArtifactsInput!$M$10,CHOOSE(ArtifactsInput!$N$10+1,15,18,21,24,27,30)*(IF(Inputs!$B$39="pvp",MIN(15,15)/15,IF(AND(Inputs!$B$39&lt;&gt;"pvp",Inputs!$B$44&gt;0),MIN(15,Inputs!$B$44)/(Inputs!$B$44),0))),0)))&gt;=100),CHOOSE(ArtifactsInput!$N$42+1,40,48,56,64,72,80),0))))/100)*(((1+(((C602=TRUE)*F602*IF(AND(Inputs!$B$39&lt;&gt;"pvp",Inputs!$B$44&gt;0),(((R602-1)*MIN((Skills!Y22*(1+Inputs!$B$34/100)),(1/Q602))+MIN((Skills!Y22*(1+Inputs!$B$34/100)),MAX(0,Inputs!$B$44-((R602-1)*(1/Q602)))))/Inputs!$B$44),IF(Inputs!$B$39="pvp",MIN((Skills!Y22*(1+Inputs!$B$34/100)),15)/15,MIN(1,(Skills!Y22*(1+Inputs!$B$34/100))/(1/Q602)))))+((C583=TRUE)*F583*3)+((C585=TRUE)*F585*(1-EXP(-0.75*B618*5)))+((C604=TRUE)*(F604-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591=TRUE)*F591*IF(AND(Inputs!$B$39&lt;&gt;"pvp",Inputs!$B$44&gt;0),(((R591-1)*MIN((Skills!Y11*(1+Inputs!$B$34/100)),(1/Q591))+MIN((Skills!Y11*(1+Inputs!$B$34/100)),MAX(0,Inputs!$B$44-((R591-1)*(1/Q591)))))/Inputs!$B$44),IF(Inputs!$B$39="pvp",MIN((Skills!Y11*(1+Inputs!$B$34/100)),15)/15,MIN(1,(Skills!Y11*(1+Inputs!$B$34/100))/(1/Q591)))))/100)*(1+((C596=TRUE)*F596*IF(AND(Inputs!$B$39&lt;&gt;"pvp",Inputs!$B$44&gt;0),(((R596-1)*MIN((Skills!Y16*(1+Inputs!$B$34/100)),(1/Q596))+MIN((Skills!Y16*(1+Inputs!$B$34/100)),MAX(0,Inputs!$B$44-((R596-1)*(1/Q596)))))/Inputs!$B$44),IF(Inputs!$B$39="pvp",MIN((Skills!Y16*(1+Inputs!$B$34/100)),15)/15,MIN(1,(Skills!Y16*(1+Inputs!$B$34/100))/(1/Q596)))))/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616*I586)</f>
        <v/>
      </c>
      <c r="L586">
        <f>K586*(MIN(Inputs!$B$22+((C605=TRUE)*(F605-Calc!F25)),(Inputs!$B$23+((C610=TRUE)*(F610-Calc!F30))+IF(ArtifactsInput!$M$15,CHOOSE(ArtifactsInput!$N$15+1,25,30,35,40,45,50)/100*(Inputs!$B$11-Inputs!$B$11),0)))/100+(Inputs!$B$23+((C610=TRUE)*(F610-Calc!F30))+IF(ArtifactsInput!$M$15,CHOOSE(ArtifactsInput!$N$15+1,25,30,35,40,45,50)/100*(Inputs!$B$11-Inputs!$B$11),0))/100)/2</f>
        <v/>
      </c>
      <c r="M586">
        <f>L586*(1+(Inputs!$B$10+((C607=TRUE)*(F607-Calc!F27))+B621+(IF(ArtifactsInput!$M$24,CHOOSE(ArtifactsInput!$N$24+1,30,36,42,48,54,60)/100*((Inputs!$B$9+1)-Inputs!$B$9),0)+IF(ArtifactsInput!$M$10,CHOOSE(ArtifactsInput!$N$10+1,20,24,28,32,36,40)*(IF(Inputs!$B$39="pvp",MIN(15,15)/15,IF(AND(Inputs!$B$39&lt;&gt;"pvp",Inputs!$B$44&gt;0),MIN(15,Inputs!$B$44)/(Inputs!$B$44),0))),0)+IF(ArtifactsInput!$M$31,1.5*CHOOSE(ArtifactsInput!$N$31+1,20,24,28,32,36,40),0)))/100)</f>
        <v/>
      </c>
      <c r="N586">
        <f>L586*(1-MIN(((Inputs!$B$9+1)+((C606=TRUE)*(F606-Calc!F26))+B614+(ArtifactsInput!$M$24-ArtifactsInput!$M$24)*CHOOSE(ArtifactsInput!$N$24+1,10,12,14,16,18,20)+(IF(AND(Inputs!$B$39&lt;&gt;"pvp",Inputs!$B$44=0),1,IF(IF(Inputs!$B$39="pvp",15,Inputs!$B$44)-(B625)&lt;=0,1,MAX(0,IF(Inputs!$B$39="pvp",15,Inputs!$B$44)-MAX(5,B625))/(IF(Inputs!$B$39="pvp",15,Inputs!$B$44)-(B625))))*IF(AND(ArtifactsInput!$M$42,(((Inputs!$B$9+1)+((C606=TRUE)*(F606-Calc!F26))+B614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586*(MIN(((Inputs!$B$9+1)+((C606=TRUE)*(F606-Calc!F26))+B614+(ArtifactsInput!$M$24-ArtifactsInput!$M$24)*CHOOSE(ArtifactsInput!$N$24+1,10,12,14,16,18,20)+(IF(AND(Inputs!$B$39&lt;&gt;"pvp",Inputs!$B$44=0),1,IF(IF(Inputs!$B$39="pvp",15,Inputs!$B$44)-(B625)&lt;=0,1,MAX(0,IF(Inputs!$B$39="pvp",15,Inputs!$B$44)-MAX(5,B625))/(IF(Inputs!$B$39="pvp",15,Inputs!$B$44)-(B625))))*IF(AND(ArtifactsInput!$M$42,(((Inputs!$B$9+1)+((C606=TRUE)*(F606-Calc!F26))+B614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586">
        <f>(1-Summary!$B$11)*T586+Summary!$B$11*V586</f>
        <v/>
      </c>
      <c r="P586">
        <f>IF(B626=0,0,O586/B626)</f>
        <v/>
      </c>
      <c r="Q586">
        <f>IFERROR(1/IF(Inputs!$B$39="pvp",15,MAX(0.1,Skills!D6-IF(TRUE=TRUE,Inputs!$B$32,0))),0)</f>
        <v/>
      </c>
      <c r="R586">
        <f>IF(AND(Inputs!$B$39&lt;&gt;"pvp",Inputs!$B$44&gt;0),IF(MAX(0,Inputs!$B$44-B625)&lt;=0,0,(INT(MAX(0,Inputs!$B$44-B625)/IF(Inputs!$B$39="pvp",15,MAX(0.1,Skills!D6-IF(TRUE=TRUE,Inputs!$B$32,0))))+1)),0)</f>
        <v/>
      </c>
      <c r="S586">
        <f>IFERROR(O586/N586,0)</f>
        <v/>
      </c>
      <c r="T586">
        <f>IF(C586,(H586*N586*IF(AND(Inputs!$B$39&lt;&gt;"pvp",Inputs!$B$44&gt;0),((Skills!G6*((R586-1)*IF(Skills!H6&gt;0,Skills!I6/Skills!H6,1)+IF(Skills!H6&gt;0,MIN(Skills!I6,MAX(0,MAX(0,Inputs!$B$44-B625)-((R586-1)*IF(Inputs!$B$39="pvp",15,MAX(0.1,Skills!D6-IF(TRUE=TRUE,Inputs!$B$32,0))))))/Skills!H6,1)))/Inputs!$B$44),G586*Q586))*IF(Inputs!$B$39="pvp",1,1+(Inputs!$B$20+0+Skills!P6+B615+(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Hunt"),CHOOSE(ArtifactsInput!$N$35+1,15,18,21,24,27,30)*(1-EXP(-(0.2*B618)*5)),0)+IF(AND(ArtifactsInput!$M$22,Inputs!$B$4&lt;&gt;"Chapter Hunt"),CHOOSE(ArtifactsInput!$N$22+1,10,12,14,16,18,20)*((0*(((0.15*B618*5))^0/1)+1*(((0.15*B618*5))^1/1)+2*(((0.15*B618*5))^2/2)+3*(((0.15*B618*5))^3/6)+4*(((0.15*B618*5))^4/24)+5*(((0.15*B618*5))^5/120))/((((0.15*B618*5))^0/1)+(((0.15*B618*5))^1/1)+(((0.15*B618*5))^2/2)+(((0.15*B618*5))^3/6)+(((0.15*B618*5))^4/24)+(((0.15*B618*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586*(1-MIN(100,((Inputs!$B$9+1)+((C606=TRUE)*(F606-Calc!F26))+B614+(ArtifactsInput!$M$24-ArtifactsInput!$M$24)*CHOOSE(ArtifactsInput!$N$24+1,10,12,14,16,18,20)+(IF(AND(Inputs!$B$39&lt;&gt;"pvp",Inputs!$B$44=0),1,IF(IF(Inputs!$B$39="pvp",15,Inputs!$B$44)-(B625)&lt;=0,1,MAX(0,IF(Inputs!$B$39="pvp",15,Inputs!$B$44)-MAX(5,B625))/(IF(Inputs!$B$39="pvp",15,Inputs!$B$44)-(B625))))*IF(AND(ArtifactsInput!$M$42,(((Inputs!$B$9+1)+((C606=TRUE)*(F606-Calc!F26))+B614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586*(MIN(100,((Inputs!$B$9+1)+((C606=TRUE)*(F606-Calc!F26))+B614+(ArtifactsInput!$M$24-ArtifactsInput!$M$24)*CHOOSE(ArtifactsInput!$N$24+1,10,12,14,16,18,20)+(IF(AND(Inputs!$B$39&lt;&gt;"pvp",Inputs!$B$44=0),1,IF(IF(Inputs!$B$39="pvp",15,Inputs!$B$44)-(B625)&lt;=0,1,MAX(0,IF(Inputs!$B$39="pvp",15,Inputs!$B$44)-MAX(5,B625))/(IF(Inputs!$B$39="pvp",15,Inputs!$B$44)-(B625))))*IF(AND(ArtifactsInput!$M$42,(((Inputs!$B$9+1)+((C606=TRUE)*(F606-Calc!F26))+B614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586*(1-MIN(100,((Inputs!$B$9+1)+((C606=TRUE)*(F606-Calc!F26))+B614+(ArtifactsInput!$M$24-ArtifactsInput!$M$24)*CHOOSE(ArtifactsInput!$N$24+1,10,12,14,16,18,20)+(IF(AND(Inputs!$B$39&lt;&gt;"pvp",Inputs!$B$44=0),1,IF(IF(Inputs!$B$39="pvp",15,Inputs!$B$44)-(B625)&lt;=0,1,MAX(0,IF(Inputs!$B$39="pvp",15,Inputs!$B$44)-MAX(5,B625))/(IF(Inputs!$B$39="pvp",15,Inputs!$B$44)-(B625))))*IF(AND(ArtifactsInput!$M$42,(((Inputs!$B$9+1)+((C606=TRUE)*(F606-Calc!F26))+B614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586*(MIN(100,((Inputs!$B$9+1)+((C606=TRUE)*(F606-Calc!F26))+B614+(ArtifactsInput!$M$24-ArtifactsInput!$M$24)*CHOOSE(ArtifactsInput!$N$24+1,10,12,14,16,18,20)+(IF(AND(Inputs!$B$39&lt;&gt;"pvp",Inputs!$B$44=0),1,IF(IF(Inputs!$B$39="pvp",15,Inputs!$B$44)-(B625)&lt;=0,1,MAX(0,IF(Inputs!$B$39="pvp",15,Inputs!$B$44)-MAX(5,B625))/(IF(Inputs!$B$39="pvp",15,Inputs!$B$44)-(B625))))*IF(AND(ArtifactsInput!$M$42,(((Inputs!$B$9+1)+((C606=TRUE)*(F606-Calc!F26))+B614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586">
        <f>IF(C586,(H586*N586*IF(AND(Inputs!$B$39&lt;&gt;"pvp",Inputs!$B$44&gt;0),((Skills!G6*((R586-1)*IF(Skills!H6&gt;0,Skills!I6/Skills!H6,1)+IF(Skills!H6&gt;0,MIN(Skills!I6,MAX(0,MAX(0,Inputs!$B$44-B625)-((R586-1)*IF(Inputs!$B$39="pvp",15,MAX(0.1,Skills!D6-IF(TRUE=TRUE,Inputs!$B$32,0))))))/Skills!H6,1)))/Inputs!$B$44),G586*Q586))*IF(Inputs!$B$39="pvp",1,(1+(Inputs!$B$21+Skills!Q6+B615+(IF(ArtifactsInput!$M$33,CHOOSE(ArtifactsInput!$N$33+1,30,36,42,48,54,60),0))+(IF(AND(ArtifactsInput!$M$35,Inputs!$B$4&lt;&gt;"Chapter Hunt"),CHOOSE(ArtifactsInput!$N$35+1,15,18,21,24,27,30)*(1-EXP(-(0.2*B618)*5)),0)+IF(AND(ArtifactsInput!$M$22,Inputs!$B$4&lt;&gt;"Chapter Hunt"),CHOOSE(ArtifactsInput!$N$22+1,10,12,14,16,18,20)*((0*(((0.15*B618*5))^0/1)+1*(((0.15*B618*5))^1/1)+2*(((0.15*B618*5))^2/2)+3*(((0.15*B618*5))^3/6)+4*(((0.15*B618*5))^4/24)+5*(((0.15*B618*5))^5/120))/((((0.15*B618*5))^0/1)+(((0.15*B618*5))^1/1)+(((0.15*B618*5))^2/2)+(((0.15*B618*5))^3/6)+(((0.15*B618*5))^4/24)+(((0.15*B618*5))^5/120))),0)))/100)*(MIN(Skills!W6,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587">
      <c r="A587">
        <f>Skills!A7</f>
        <v/>
      </c>
      <c r="B587">
        <f>Skills!B7</f>
        <v/>
      </c>
      <c r="C587">
        <f>Inputs!$B$3&gt;=69</f>
        <v/>
      </c>
      <c r="D587">
        <f>IF(Skills!C7=1,60+Inputs!$B$25+Inputs!$B$29,IF(Skills!C7=2,90+Inputs!$B$26+Inputs!$B$29,IF(Skills!C7=3,120+Inputs!$B$27+Inputs!$B$29,MAX(0,(Inputs!$B$3-100)*3)+Inputs!$B$28+Inputs!$B$29)))</f>
        <v/>
      </c>
      <c r="E587">
        <f>INDEX(FactorTable!$B$2:$Y$301, MATCH(ROUND(MIN(300,MAX(1,D587)),0), FactorTable!$A$2:$A$301,0), Skills!M7+1)</f>
        <v/>
      </c>
      <c r="F587">
        <f>IF(Skills!N7=TRUE,(Skills!L7/10)*(E587/1000),Skills!L7/10)+Skills!O7</f>
        <v/>
      </c>
      <c r="G587">
        <f>Skills!G7*IF(Skills!H7&gt;0,IF(Inputs!$B$39="pvp",MIN(Skills!I7,15),Skills!I7)/Skills!H7,1)</f>
        <v/>
      </c>
      <c r="H587">
        <f>1-(1-Skills!J7/100)^Skills!K7</f>
        <v/>
      </c>
      <c r="I587" t="inlineStr">
        <is>
          <t>1</t>
        </is>
      </c>
      <c r="J587">
        <f>((Inputs!$B$6*(1+Inputs!$B$7/100))+(((Inputs!$B$12*(1+Inputs!$B$13/100))-(Inputs!$B$12*(1+Inputs!$B$13/100)))+0.25*(Inputs!$B$14-Inputs!$B$14))*(1+Inputs!$B$7/100))*(F587/100)</f>
        <v/>
      </c>
      <c r="K587">
        <f>J587*(1+((Inputs!$B$12*(1+Inputs!$B$13/100))*0.01+Inputs!$B$14*0.0025)/100)*(1+Inputs!$B$15/100)*(1+Inputs!$B$16/100)*(5000/(6000+Inputs!$B$43*(1-(100*(1-(1-Inputs!$B$19/100)*(1-CHOOSE(ArtifactsInput!$N$40+1,5,6,7,8,9,10)/100)^(ArtifactsInput!$M$40-ArtifactsInput!$M$40)))/100)))*(1+(Inputs!$B$24+((C611=TRUE)*(F611-Calc!F31))+((C598=TRUE)*(F598-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599=TRUE,F599,0)/100)*(1+(IF(Skills!A7="CRUEL_STAB",Inputs!$B$17+((C608=TRUE)*(F608-Calc!F28))+((IF(AND(Inputs!$B$39&lt;&gt;"pvp",Inputs!$B$44=0),1,IF(IF(Inputs!$B$39="pvp",15,Inputs!$B$44)-(B625)&lt;=0,1,MAX(0,IF(Inputs!$B$39="pvp",15,Inputs!$B$44)-MAX(5,B625))/(IF(Inputs!$B$39="pvp",15,Inputs!$B$44)-(B625))))*(IF(AND(ArtifactsInput!$M$42,(((Inputs!$B$9+1)+((C606=TRUE)*(F606-Calc!F26))+B614+(ArtifactsInput!$M$24-ArtifactsInput!$M$24)*CHOOSE(ArtifactsInput!$N$24+1,10,12,14,16,18,20)+IF(ArtifactsInput!$M$10,CHOOSE(ArtifactsInput!$N$10+1,15,18,21,24,27,30)*(IF(Inputs!$B$39="pvp",MIN(15,15)/15,IF(AND(Inputs!$B$39&lt;&gt;"pvp",Inputs!$B$44&gt;0),MIN(15,Inputs!$B$44)/(Inputs!$B$44),0))),0)))&gt;=100),MIN(100,(((Inputs!$B$9+1)+((C606=TRUE)*(F606-Calc!F26))+B614+(ArtifactsInput!$M$24-ArtifactsInput!$M$24)*CHOOSE(ArtifactsInput!$N$24+1,10,12,14,16,18,20)+IF(ArtifactsInput!$M$10,CHOOSE(ArtifactsInput!$N$10+1,15,18,21,24,27,30)*(IF(Inputs!$B$39="pvp",MIN(15,15)/15,IF(AND(Inputs!$B$39&lt;&gt;"pvp",Inputs!$B$44&gt;0),MIN(15,Inputs!$B$44)/(Inputs!$B$44),0))),0)))-100),0))*CHOOSE(ArtifactsInput!$N$42+1,0.6,0.72,0.84,0.96,1.08,1.2))),Inputs!$B$18+((C609=TRUE)*(F609-Calc!F29))+(IF(AND(Inputs!$B$39&lt;&gt;"pvp",Inputs!$B$44=0),1,IF(IF(Inputs!$B$39="pvp",15,Inputs!$B$44)-(B625)&lt;=0,1,MAX(0,IF(Inputs!$B$39="pvp",15,Inputs!$B$44)-MAX(5,B625))/(IF(Inputs!$B$39="pvp",15,Inputs!$B$44)-(B625))))*IF(AND(ArtifactsInput!$M$42,(((Inputs!$B$9+1)+((C606=TRUE)*(F606-Calc!F26))+B614+(ArtifactsInput!$M$24-ArtifactsInput!$M$24)*CHOOSE(ArtifactsInput!$N$24+1,10,12,14,16,18,20)+IF(ArtifactsInput!$M$10,CHOOSE(ArtifactsInput!$N$10+1,15,18,21,24,27,30)*(IF(Inputs!$B$39="pvp",MIN(15,15)/15,IF(AND(Inputs!$B$39&lt;&gt;"pvp",Inputs!$B$44&gt;0),MIN(15,Inputs!$B$44)/(Inputs!$B$44),0))),0)))&gt;=100),CHOOSE(ArtifactsInput!$N$42+1,40,48,56,64,72,80),0))))/100)*(((1+(((C602=TRUE)*F602*IF(AND(Inputs!$B$39&lt;&gt;"pvp",Inputs!$B$44&gt;0),(((R602-1)*MIN((Skills!Y22*(1+Inputs!$B$34/100)),(1/Q602))+MIN((Skills!Y22*(1+Inputs!$B$34/100)),MAX(0,Inputs!$B$44-((R602-1)*(1/Q602)))))/Inputs!$B$44),IF(Inputs!$B$39="pvp",MIN((Skills!Y22*(1+Inputs!$B$34/100)),15)/15,MIN(1,(Skills!Y22*(1+Inputs!$B$34/100))/(1/Q602)))))+((C583=TRUE)*F583*3)+((C585=TRUE)*F585*(1-EXP(-0.75*B618*5)))+((C604=TRUE)*(F604-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591=TRUE)*F591*IF(AND(Inputs!$B$39&lt;&gt;"pvp",Inputs!$B$44&gt;0),(((R591-1)*MIN((Skills!Y11*(1+Inputs!$B$34/100)),(1/Q591))+MIN((Skills!Y11*(1+Inputs!$B$34/100)),MAX(0,Inputs!$B$44-((R591-1)*(1/Q591)))))/Inputs!$B$44),IF(Inputs!$B$39="pvp",MIN((Skills!Y11*(1+Inputs!$B$34/100)),15)/15,MIN(1,(Skills!Y11*(1+Inputs!$B$34/100))/(1/Q591)))))/100)*(1+((C596=TRUE)*F596*IF(AND(Inputs!$B$39&lt;&gt;"pvp",Inputs!$B$44&gt;0),(((R596-1)*MIN((Skills!Y16*(1+Inputs!$B$34/100)),(1/Q596))+MIN((Skills!Y16*(1+Inputs!$B$34/100)),MAX(0,Inputs!$B$44-((R596-1)*(1/Q596)))))/Inputs!$B$44),IF(Inputs!$B$39="pvp",MIN((Skills!Y16*(1+Inputs!$B$34/100)),15)/15,MIN(1,(Skills!Y16*(1+Inputs!$B$34/100))/(1/Q596)))))/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616*I587)</f>
        <v/>
      </c>
      <c r="L587">
        <f>K587*(MIN(Inputs!$B$22+((C605=TRUE)*(F605-Calc!F25)),(Inputs!$B$23+((C610=TRUE)*(F610-Calc!F30))+IF(ArtifactsInput!$M$15,CHOOSE(ArtifactsInput!$N$15+1,25,30,35,40,45,50)/100*(Inputs!$B$11-Inputs!$B$11),0)))/100+(Inputs!$B$23+((C610=TRUE)*(F610-Calc!F30))+IF(ArtifactsInput!$M$15,CHOOSE(ArtifactsInput!$N$15+1,25,30,35,40,45,50)/100*(Inputs!$B$11-Inputs!$B$11),0))/100)/2</f>
        <v/>
      </c>
      <c r="M587">
        <f>L587*(1+(Inputs!$B$10+((C607=TRUE)*(F607-Calc!F27))+B621+(IF(ArtifactsInput!$M$24,CHOOSE(ArtifactsInput!$N$24+1,30,36,42,48,54,60)/100*((Inputs!$B$9+1)-Inputs!$B$9),0)+IF(ArtifactsInput!$M$10,CHOOSE(ArtifactsInput!$N$10+1,20,24,28,32,36,40)*(IF(Inputs!$B$39="pvp",MIN(15,15)/15,IF(AND(Inputs!$B$39&lt;&gt;"pvp",Inputs!$B$44&gt;0),MIN(15,Inputs!$B$44)/(Inputs!$B$44),0))),0)+IF(ArtifactsInput!$M$31,1.5*CHOOSE(ArtifactsInput!$N$31+1,20,24,28,32,36,40),0)))/100)</f>
        <v/>
      </c>
      <c r="N587">
        <f>L587*(1-MIN(((Inputs!$B$9+1)+((C606=TRUE)*(F606-Calc!F26))+B614+(ArtifactsInput!$M$24-ArtifactsInput!$M$24)*CHOOSE(ArtifactsInput!$N$24+1,10,12,14,16,18,20)+(IF(AND(Inputs!$B$39&lt;&gt;"pvp",Inputs!$B$44=0),1,IF(IF(Inputs!$B$39="pvp",15,Inputs!$B$44)-(B625)&lt;=0,1,MAX(0,IF(Inputs!$B$39="pvp",15,Inputs!$B$44)-MAX(5,B625))/(IF(Inputs!$B$39="pvp",15,Inputs!$B$44)-(B625))))*IF(AND(ArtifactsInput!$M$42,(((Inputs!$B$9+1)+((C606=TRUE)*(F606-Calc!F26))+B614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587*(MIN(((Inputs!$B$9+1)+((C606=TRUE)*(F606-Calc!F26))+B614+(ArtifactsInput!$M$24-ArtifactsInput!$M$24)*CHOOSE(ArtifactsInput!$N$24+1,10,12,14,16,18,20)+(IF(AND(Inputs!$B$39&lt;&gt;"pvp",Inputs!$B$44=0),1,IF(IF(Inputs!$B$39="pvp",15,Inputs!$B$44)-(B625)&lt;=0,1,MAX(0,IF(Inputs!$B$39="pvp",15,Inputs!$B$44)-MAX(5,B625))/(IF(Inputs!$B$39="pvp",15,Inputs!$B$44)-(B625))))*IF(AND(ArtifactsInput!$M$42,(((Inputs!$B$9+1)+((C606=TRUE)*(F606-Calc!F26))+B614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587">
        <f>(1-Summary!$B$11)*T587+Summary!$B$11*V587</f>
        <v/>
      </c>
      <c r="P587">
        <f>IF(B626=0,0,O587/B626)</f>
        <v/>
      </c>
      <c r="Q587">
        <f>IFERROR(1/IF(Inputs!$B$39="pvp",15,MAX(0.1,Skills!D7-IF(TRUE=TRUE,Inputs!$B$32,0))),0)</f>
        <v/>
      </c>
      <c r="R587">
        <f>IF(AND(Inputs!$B$39&lt;&gt;"pvp",Inputs!$B$44&gt;0),IF(MAX(0,Inputs!$B$44-B625)&lt;=0,0,(INT(MAX(0,Inputs!$B$44-B625)/IF(Inputs!$B$39="pvp",15,MAX(0.1,Skills!D7-IF(TRUE=TRUE,Inputs!$B$32,0))))+1)),0)</f>
        <v/>
      </c>
      <c r="S587">
        <f>IFERROR(O587/N587,0)</f>
        <v/>
      </c>
      <c r="T587">
        <f>IF(C587,(H587*N587*IF(AND(Inputs!$B$39&lt;&gt;"pvp",Inputs!$B$44&gt;0),((Skills!G7*((R587-1)*IF(Skills!H7&gt;0,Skills!I7/Skills!H7,1)+IF(Skills!H7&gt;0,MIN(Skills!I7,MAX(0,MAX(0,Inputs!$B$44-B625)-((R587-1)*IF(Inputs!$B$39="pvp",15,MAX(0.1,Skills!D7-IF(TRUE=TRUE,Inputs!$B$32,0))))))/Skills!H7,1)))/Inputs!$B$44),G587*Q587))*IF(Inputs!$B$39="pvp",1,1+(Inputs!$B$20+0+Skills!P7+B615+(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Hunt"),CHOOSE(ArtifactsInput!$N$35+1,15,18,21,24,27,30)*(1-EXP(-(0.2*B618)*5)),0)+IF(AND(ArtifactsInput!$M$22,Inputs!$B$4&lt;&gt;"Chapter Hunt"),CHOOSE(ArtifactsInput!$N$22+1,10,12,14,16,18,20)*((0*(((0.15*B618*5))^0/1)+1*(((0.15*B618*5))^1/1)+2*(((0.15*B618*5))^2/2)+3*(((0.15*B618*5))^3/6)+4*(((0.15*B618*5))^4/24)+5*(((0.15*B618*5))^5/120))/((((0.15*B618*5))^0/1)+(((0.15*B618*5))^1/1)+(((0.15*B618*5))^2/2)+(((0.15*B618*5))^3/6)+(((0.15*B618*5))^4/24)+(((0.15*B618*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587*(1-MIN(100,((Inputs!$B$9+1)+((C606=TRUE)*(F606-Calc!F26))+B614+(ArtifactsInput!$M$24-ArtifactsInput!$M$24)*CHOOSE(ArtifactsInput!$N$24+1,10,12,14,16,18,20)+(IF(AND(Inputs!$B$39&lt;&gt;"pvp",Inputs!$B$44=0),1,IF(IF(Inputs!$B$39="pvp",15,Inputs!$B$44)-(B625)&lt;=0,1,MAX(0,IF(Inputs!$B$39="pvp",15,Inputs!$B$44)-MAX(5,B625))/(IF(Inputs!$B$39="pvp",15,Inputs!$B$44)-(B625))))*IF(AND(ArtifactsInput!$M$42,(((Inputs!$B$9+1)+((C606=TRUE)*(F606-Calc!F26))+B614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587*(MIN(100,((Inputs!$B$9+1)+((C606=TRUE)*(F606-Calc!F26))+B614+(ArtifactsInput!$M$24-ArtifactsInput!$M$24)*CHOOSE(ArtifactsInput!$N$24+1,10,12,14,16,18,20)+(IF(AND(Inputs!$B$39&lt;&gt;"pvp",Inputs!$B$44=0),1,IF(IF(Inputs!$B$39="pvp",15,Inputs!$B$44)-(B625)&lt;=0,1,MAX(0,IF(Inputs!$B$39="pvp",15,Inputs!$B$44)-MAX(5,B625))/(IF(Inputs!$B$39="pvp",15,Inputs!$B$44)-(B625))))*IF(AND(ArtifactsInput!$M$42,(((Inputs!$B$9+1)+((C606=TRUE)*(F606-Calc!F26))+B614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587*(1-MIN(100,((Inputs!$B$9+1)+((C606=TRUE)*(F606-Calc!F26))+B614+(ArtifactsInput!$M$24-ArtifactsInput!$M$24)*CHOOSE(ArtifactsInput!$N$24+1,10,12,14,16,18,20)+(IF(AND(Inputs!$B$39&lt;&gt;"pvp",Inputs!$B$44=0),1,IF(IF(Inputs!$B$39="pvp",15,Inputs!$B$44)-(B625)&lt;=0,1,MAX(0,IF(Inputs!$B$39="pvp",15,Inputs!$B$44)-MAX(5,B625))/(IF(Inputs!$B$39="pvp",15,Inputs!$B$44)-(B625))))*IF(AND(ArtifactsInput!$M$42,(((Inputs!$B$9+1)+((C606=TRUE)*(F606-Calc!F26))+B614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587*(MIN(100,((Inputs!$B$9+1)+((C606=TRUE)*(F606-Calc!F26))+B614+(ArtifactsInput!$M$24-ArtifactsInput!$M$24)*CHOOSE(ArtifactsInput!$N$24+1,10,12,14,16,18,20)+(IF(AND(Inputs!$B$39&lt;&gt;"pvp",Inputs!$B$44=0),1,IF(IF(Inputs!$B$39="pvp",15,Inputs!$B$44)-(B625)&lt;=0,1,MAX(0,IF(Inputs!$B$39="pvp",15,Inputs!$B$44)-MAX(5,B625))/(IF(Inputs!$B$39="pvp",15,Inputs!$B$44)-(B625))))*IF(AND(ArtifactsInput!$M$42,(((Inputs!$B$9+1)+((C606=TRUE)*(F606-Calc!F26))+B614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587">
        <f>IF(C587,(H587*N587*IF(AND(Inputs!$B$39&lt;&gt;"pvp",Inputs!$B$44&gt;0),((Skills!G7*((R587-1)*IF(Skills!H7&gt;0,Skills!I7/Skills!H7,1)+IF(Skills!H7&gt;0,MIN(Skills!I7,MAX(0,MAX(0,Inputs!$B$44-B625)-((R587-1)*IF(Inputs!$B$39="pvp",15,MAX(0.1,Skills!D7-IF(TRUE=TRUE,Inputs!$B$32,0))))))/Skills!H7,1)))/Inputs!$B$44),G587*Q587))*IF(Inputs!$B$39="pvp",1,(1+(Inputs!$B$21+Skills!Q7+B615+(IF(ArtifactsInput!$M$33,CHOOSE(ArtifactsInput!$N$33+1,30,36,42,48,54,60),0))+(IF(AND(ArtifactsInput!$M$35,Inputs!$B$4&lt;&gt;"Chapter Hunt"),CHOOSE(ArtifactsInput!$N$35+1,15,18,21,24,27,30)*(1-EXP(-(0.2*B618)*5)),0)+IF(AND(ArtifactsInput!$M$22,Inputs!$B$4&lt;&gt;"Chapter Hunt"),CHOOSE(ArtifactsInput!$N$22+1,10,12,14,16,18,20)*((0*(((0.15*B618*5))^0/1)+1*(((0.15*B618*5))^1/1)+2*(((0.15*B618*5))^2/2)+3*(((0.15*B618*5))^3/6)+4*(((0.15*B618*5))^4/24)+5*(((0.15*B618*5))^5/120))/((((0.15*B618*5))^0/1)+(((0.15*B618*5))^1/1)+(((0.15*B618*5))^2/2)+(((0.15*B618*5))^3/6)+(((0.15*B618*5))^4/24)+(((0.15*B618*5))^5/120))),0)))/100)*(MIN(Skills!W7,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588">
      <c r="A588">
        <f>Skills!A8</f>
        <v/>
      </c>
      <c r="B588">
        <f>Skills!B8</f>
        <v/>
      </c>
      <c r="C588">
        <f>Inputs!$B$3&gt;=60</f>
        <v/>
      </c>
      <c r="D588">
        <f>IF(Skills!C8=1,60+Inputs!$B$25+Inputs!$B$29,IF(Skills!C8=2,90+Inputs!$B$26+Inputs!$B$29,IF(Skills!C8=3,120+Inputs!$B$27+Inputs!$B$29,MAX(0,(Inputs!$B$3-100)*3)+Inputs!$B$28+Inputs!$B$29)))</f>
        <v/>
      </c>
      <c r="E588">
        <f>INDEX(FactorTable!$B$2:$Y$301, MATCH(ROUND(MIN(300,MAX(1,D588)),0), FactorTable!$A$2:$A$301,0), Skills!M8+1)</f>
        <v/>
      </c>
      <c r="F588">
        <f>IF(Skills!N8=TRUE,(Skills!L8/10)*(E588/1000),Skills!L8/10)+Skills!O8</f>
        <v/>
      </c>
      <c r="G588">
        <f>Skills!G8*IF(Skills!H8&gt;0,IF(Inputs!$B$39="pvp",MIN(Skills!I8,15),Skills!I8)/Skills!H8,1)</f>
        <v/>
      </c>
      <c r="H588">
        <f>1-(1-Skills!J8/100)^Skills!K8</f>
        <v/>
      </c>
      <c r="I588" t="inlineStr">
        <is>
          <t>1</t>
        </is>
      </c>
      <c r="J588" t="inlineStr"/>
      <c r="K588" t="inlineStr"/>
      <c r="L588" t="inlineStr"/>
      <c r="M588" t="inlineStr"/>
      <c r="N588" t="inlineStr"/>
      <c r="O588">
        <f>(1-Summary!$B$11)*T588+Summary!$B$11*V588</f>
        <v/>
      </c>
      <c r="P588">
        <f>IF(B626=0,0,O588/B626)</f>
        <v/>
      </c>
      <c r="Q588" t="n">
        <v>0</v>
      </c>
      <c r="R588" t="n">
        <v>0</v>
      </c>
      <c r="S588">
        <f>IFERROR(O588/N588,0)</f>
        <v/>
      </c>
      <c r="T588" t="n">
        <v>0</v>
      </c>
      <c r="V588" t="n">
        <v>0</v>
      </c>
    </row>
    <row r="589">
      <c r="A589">
        <f>Skills!A9</f>
        <v/>
      </c>
      <c r="B589">
        <f>Skills!B9</f>
        <v/>
      </c>
      <c r="C589">
        <f>Inputs!$B$3&gt;=72</f>
        <v/>
      </c>
      <c r="D589">
        <f>IF(Skills!C9=1,60+Inputs!$B$25+Inputs!$B$29,IF(Skills!C9=2,90+Inputs!$B$26+Inputs!$B$29,IF(Skills!C9=3,120+Inputs!$B$27+Inputs!$B$29,MAX(0,(Inputs!$B$3-100)*3)+Inputs!$B$28+Inputs!$B$29)))</f>
        <v/>
      </c>
      <c r="E589">
        <f>INDEX(FactorTable!$B$2:$Y$301, MATCH(ROUND(MIN(300,MAX(1,D589)),0), FactorTable!$A$2:$A$301,0), Skills!M9+1)</f>
        <v/>
      </c>
      <c r="F589">
        <f>IF(Skills!N9=TRUE,(Skills!L9/10)*(E589/1000),Skills!L9/10)+Skills!O9</f>
        <v/>
      </c>
      <c r="G589">
        <f>Skills!G9*IF(Skills!H9&gt;0,IF(Inputs!$B$39="pvp",MIN(Skills!I9,15),Skills!I9)/Skills!H9,1)</f>
        <v/>
      </c>
      <c r="H589">
        <f>1-(1-Skills!J9/100)^Skills!K9</f>
        <v/>
      </c>
      <c r="I589" t="inlineStr">
        <is>
          <t>1</t>
        </is>
      </c>
      <c r="J589">
        <f>((Inputs!$B$6*(1+Inputs!$B$7/100))+(((Inputs!$B$12*(1+Inputs!$B$13/100))-(Inputs!$B$12*(1+Inputs!$B$13/100)))+0.25*(Inputs!$B$14-Inputs!$B$14))*(1+Inputs!$B$7/100))*(F589/100)</f>
        <v/>
      </c>
      <c r="K589">
        <f>J589*(1+((Inputs!$B$12*(1+Inputs!$B$13/100))*0.01+Inputs!$B$14*0.0025)/100)*(1+Inputs!$B$15/100)*(1+Inputs!$B$16/100)*(5000/(6000+Inputs!$B$43*(1-(100*(1-(1-Inputs!$B$19/100)*(1-CHOOSE(ArtifactsInput!$N$40+1,5,6,7,8,9,10)/100)^(ArtifactsInput!$M$40-ArtifactsInput!$M$40)))/100)))*(1+(Inputs!$B$24+((C611=TRUE)*(F611-Calc!F31))+((C598=TRUE)*(F598-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+3.3333333333333335*IF(C599=TRUE,F599,0)/100)*(1+(IF(Skills!A9="CRUEL_STAB",Inputs!$B$17+((C608=TRUE)*(F608-Calc!F28))+((IF(AND(Inputs!$B$39&lt;&gt;"pvp",Inputs!$B$44=0),1,IF(IF(Inputs!$B$39="pvp",15,Inputs!$B$44)-(B625)&lt;=0,1,MAX(0,IF(Inputs!$B$39="pvp",15,Inputs!$B$44)-MAX(5,B625))/(IF(Inputs!$B$39="pvp",15,Inputs!$B$44)-(B625))))*(IF(AND(ArtifactsInput!$M$42,(((Inputs!$B$9+1)+((C606=TRUE)*(F606-Calc!F26))+B614+(ArtifactsInput!$M$24-ArtifactsInput!$M$24)*CHOOSE(ArtifactsInput!$N$24+1,10,12,14,16,18,20)+IF(ArtifactsInput!$M$10,CHOOSE(ArtifactsInput!$N$10+1,15,18,21,24,27,30)*(IF(Inputs!$B$39="pvp",MIN(15,15)/15,IF(AND(Inputs!$B$39&lt;&gt;"pvp",Inputs!$B$44&gt;0),MIN(15,Inputs!$B$44)/(Inputs!$B$44),0))),0)))&gt;=100),MIN(100,(((Inputs!$B$9+1)+((C606=TRUE)*(F606-Calc!F26))+B614+(ArtifactsInput!$M$24-ArtifactsInput!$M$24)*CHOOSE(ArtifactsInput!$N$24+1,10,12,14,16,18,20)+IF(ArtifactsInput!$M$10,CHOOSE(ArtifactsInput!$N$10+1,15,18,21,24,27,30)*(IF(Inputs!$B$39="pvp",MIN(15,15)/15,IF(AND(Inputs!$B$39&lt;&gt;"pvp",Inputs!$B$44&gt;0),MIN(15,Inputs!$B$44)/(Inputs!$B$44),0))),0)))-100),0))*CHOOSE(ArtifactsInput!$N$42+1,0.6,0.72,0.84,0.96,1.08,1.2))),Inputs!$B$18+((C609=TRUE)*(F609-Calc!F29))+(IF(AND(Inputs!$B$39&lt;&gt;"pvp",Inputs!$B$44=0),1,IF(IF(Inputs!$B$39="pvp",15,Inputs!$B$44)-(B625)&lt;=0,1,MAX(0,IF(Inputs!$B$39="pvp",15,Inputs!$B$44)-MAX(5,B625))/(IF(Inputs!$B$39="pvp",15,Inputs!$B$44)-(B625))))*IF(AND(ArtifactsInput!$M$42,(((Inputs!$B$9+1)+((C606=TRUE)*(F606-Calc!F26))+B614+(ArtifactsInput!$M$24-ArtifactsInput!$M$24)*CHOOSE(ArtifactsInput!$N$24+1,10,12,14,16,18,20)+IF(ArtifactsInput!$M$10,CHOOSE(ArtifactsInput!$N$10+1,15,18,21,24,27,30)*(IF(Inputs!$B$39="pvp",MIN(15,15)/15,IF(AND(Inputs!$B$39&lt;&gt;"pvp",Inputs!$B$44&gt;0),MIN(15,Inputs!$B$44)/(Inputs!$B$44),0))),0)))&gt;=100),CHOOSE(ArtifactsInput!$N$42+1,40,48,56,64,72,80),0))))/100)*(((1+(((C602=TRUE)*F602*IF(AND(Inputs!$B$39&lt;&gt;"pvp",Inputs!$B$44&gt;0),(((R602-1)*MIN((Skills!Y22*(1+Inputs!$B$34/100)),(1/Q602))+MIN((Skills!Y22*(1+Inputs!$B$34/100)),MAX(0,Inputs!$B$44-((R602-1)*(1/Q602)))))/Inputs!$B$44),IF(Inputs!$B$39="pvp",MIN((Skills!Y22*(1+Inputs!$B$34/100)),15)/15,MIN(1,(Skills!Y22*(1+Inputs!$B$34/100))/(1/Q602)))))+((C583=TRUE)*F583*3)+((C585=TRUE)*F585*(1-EXP(-0.75*B618*5)))+((C604=TRUE)*(F604-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591=TRUE)*F591*IF(AND(Inputs!$B$39&lt;&gt;"pvp",Inputs!$B$44&gt;0),(((R591-1)*MIN((Skills!Y11*(1+Inputs!$B$34/100)),(1/Q591))+MIN((Skills!Y11*(1+Inputs!$B$34/100)),MAX(0,Inputs!$B$44-((R591-1)*(1/Q591)))))/Inputs!$B$44),IF(Inputs!$B$39="pvp",MIN((Skills!Y11*(1+Inputs!$B$34/100)),15)/15,MIN(1,(Skills!Y11*(1+Inputs!$B$34/100))/(1/Q591)))))/100)*(1+((C596=TRUE)*F596*IF(AND(Inputs!$B$39&lt;&gt;"pvp",Inputs!$B$44&gt;0),(((R596-1)*MIN((Skills!Y16*(1+Inputs!$B$34/100)),(1/Q596))+MIN((Skills!Y16*(1+Inputs!$B$34/100)),MAX(0,Inputs!$B$44-((R596-1)*(1/Q596)))))/Inputs!$B$44),IF(Inputs!$B$39="pvp",MIN((Skills!Y16*(1+Inputs!$B$34/100)),15)/15,MIN(1,(Skills!Y16*(1+Inputs!$B$34/100))/(1/Q596)))))/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616*I589)</f>
        <v/>
      </c>
      <c r="L589">
        <f>K589*(MIN(Inputs!$B$22+((C605=TRUE)*(F605-Calc!F25)),(Inputs!$B$23+((C610=TRUE)*(F610-Calc!F30))+IF(ArtifactsInput!$M$15,CHOOSE(ArtifactsInput!$N$15+1,25,30,35,40,45,50)/100*(Inputs!$B$11-Inputs!$B$11),0)))/100+(Inputs!$B$23+((C610=TRUE)*(F610-Calc!F30))+IF(ArtifactsInput!$M$15,CHOOSE(ArtifactsInput!$N$15+1,25,30,35,40,45,50)/100*(Inputs!$B$11-Inputs!$B$11),0))/100)/2</f>
        <v/>
      </c>
      <c r="M589">
        <f>L589*(1+(Inputs!$B$10+((C607=TRUE)*(F607-Calc!F27))+B621+(IF(ArtifactsInput!$M$24,CHOOSE(ArtifactsInput!$N$24+1,30,36,42,48,54,60)/100*((Inputs!$B$9+1)-Inputs!$B$9),0)+IF(ArtifactsInput!$M$10,CHOOSE(ArtifactsInput!$N$10+1,20,24,28,32,36,40)*(IF(Inputs!$B$39="pvp",MIN(15,15)/15,IF(AND(Inputs!$B$39&lt;&gt;"pvp",Inputs!$B$44&gt;0),MIN(15,Inputs!$B$44)/(Inputs!$B$44),0))),0)+IF(ArtifactsInput!$M$31,1.5*CHOOSE(ArtifactsInput!$N$31+1,20,24,28,32,36,40),0)))/100)</f>
        <v/>
      </c>
      <c r="N589">
        <f>L589*(1-MIN(((Inputs!$B$9+1)+((C606=TRUE)*(F606-Calc!F26))+B614+(ArtifactsInput!$M$24-ArtifactsInput!$M$24)*CHOOSE(ArtifactsInput!$N$24+1,10,12,14,16,18,20)+(IF(AND(Inputs!$B$39&lt;&gt;"pvp",Inputs!$B$44=0),1,IF(IF(Inputs!$B$39="pvp",15,Inputs!$B$44)-(B625)&lt;=0,1,MAX(0,IF(Inputs!$B$39="pvp",15,Inputs!$B$44)-MAX(5,B625))/(IF(Inputs!$B$39="pvp",15,Inputs!$B$44)-(B625))))*IF(AND(ArtifactsInput!$M$42,(((Inputs!$B$9+1)+((C606=TRUE)*(F606-Calc!F26))+B614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589*(MIN(((Inputs!$B$9+1)+((C606=TRUE)*(F606-Calc!F26))+B614+(ArtifactsInput!$M$24-ArtifactsInput!$M$24)*CHOOSE(ArtifactsInput!$N$24+1,10,12,14,16,18,20)+(IF(AND(Inputs!$B$39&lt;&gt;"pvp",Inputs!$B$44=0),1,IF(IF(Inputs!$B$39="pvp",15,Inputs!$B$44)-(B625)&lt;=0,1,MAX(0,IF(Inputs!$B$39="pvp",15,Inputs!$B$44)-MAX(5,B625))/(IF(Inputs!$B$39="pvp",15,Inputs!$B$44)-(B625))))*IF(AND(ArtifactsInput!$M$42,(((Inputs!$B$9+1)+((C606=TRUE)*(F606-Calc!F26))+B614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589">
        <f>(1-Summary!$B$11)*T589+Summary!$B$11*V589</f>
        <v/>
      </c>
      <c r="P589">
        <f>IF(B626=0,0,O589/B626)</f>
        <v/>
      </c>
      <c r="Q589">
        <f>IFERROR(1/IF(Inputs!$B$39="pvp",15,MAX(0.1,Skills!D9-IF(FALSE=TRUE,Inputs!$B$32,0))),0)</f>
        <v/>
      </c>
      <c r="R589">
        <f>IF(AND(Inputs!$B$39&lt;&gt;"pvp",Inputs!$B$44&gt;0),IF(MAX(0,Inputs!$B$44-B625)&lt;=0,0,(INT(MAX(0,Inputs!$B$44-B625)/IF(Inputs!$B$39="pvp",15,MAX(0.1,Skills!D9-IF(FALSE=TRUE,Inputs!$B$32,0))))+1)),0)</f>
        <v/>
      </c>
      <c r="S589">
        <f>IFERROR(O589/N589,0)</f>
        <v/>
      </c>
      <c r="T589">
        <f>IF(C589,(H589*N589*IF(AND(Inputs!$B$39&lt;&gt;"pvp",Inputs!$B$44&gt;0),((Skills!G9*((R589-1)*IF(Skills!H9&gt;0,Skills!I9/Skills!H9,1)+IF(Skills!H9&gt;0,MIN(Skills!I9,MAX(0,MAX(0,Inputs!$B$44-B625)-((R589-1)*IF(Inputs!$B$39="pvp",15,MAX(0.1,Skills!D9-IF(FALSE=TRUE,Inputs!$B$32,0))))))/Skills!H9,1)))/Inputs!$B$44),G589*Q589))*IF(Inputs!$B$39="pvp",1,1+(Inputs!$B$20+0+Skills!P9+B615+(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Hunt"),CHOOSE(ArtifactsInput!$N$35+1,15,18,21,24,27,30)*(1-EXP(-(0.2*B618)*5)),0)+IF(AND(ArtifactsInput!$M$22,Inputs!$B$4&lt;&gt;"Chapter Hunt"),CHOOSE(ArtifactsInput!$N$22+1,10,12,14,16,18,20)*((0*(((0.15*B618*5))^0/1)+1*(((0.15*B618*5))^1/1)+2*(((0.15*B618*5))^2/2)+3*(((0.15*B618*5))^3/6)+4*(((0.15*B618*5))^4/24)+5*(((0.15*B618*5))^5/120))/((((0.15*B618*5))^0/1)+(((0.15*B618*5))^1/1)+(((0.15*B618*5))^2/2)+(((0.15*B618*5))^3/6)+(((0.15*B618*5))^4/24)+(((0.15*B618*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589*(1-MIN(100,((Inputs!$B$9+1)+((C606=TRUE)*(F606-Calc!F26))+B614+(ArtifactsInput!$M$24-ArtifactsInput!$M$24)*CHOOSE(ArtifactsInput!$N$24+1,10,12,14,16,18,20)+(IF(AND(Inputs!$B$39&lt;&gt;"pvp",Inputs!$B$44=0),1,IF(IF(Inputs!$B$39="pvp",15,Inputs!$B$44)-(B625)&lt;=0,1,MAX(0,IF(Inputs!$B$39="pvp",15,Inputs!$B$44)-MAX(5,B625))/(IF(Inputs!$B$39="pvp",15,Inputs!$B$44)-(B625))))*IF(AND(ArtifactsInput!$M$42,(((Inputs!$B$9+1)+((C606=TRUE)*(F606-Calc!F26))+B614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589*(MIN(100,((Inputs!$B$9+1)+((C606=TRUE)*(F606-Calc!F26))+B614+(ArtifactsInput!$M$24-ArtifactsInput!$M$24)*CHOOSE(ArtifactsInput!$N$24+1,10,12,14,16,18,20)+(IF(AND(Inputs!$B$39&lt;&gt;"pvp",Inputs!$B$44=0),1,IF(IF(Inputs!$B$39="pvp",15,Inputs!$B$44)-(B625)&lt;=0,1,MAX(0,IF(Inputs!$B$39="pvp",15,Inputs!$B$44)-MAX(5,B625))/(IF(Inputs!$B$39="pvp",15,Inputs!$B$44)-(B625))))*IF(AND(ArtifactsInput!$M$42,(((Inputs!$B$9+1)+((C606=TRUE)*(F606-Calc!F26))+B614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589*(1-MIN(100,((Inputs!$B$9+1)+((C606=TRUE)*(F606-Calc!F26))+B614+(ArtifactsInput!$M$24-ArtifactsInput!$M$24)*CHOOSE(ArtifactsInput!$N$24+1,10,12,14,16,18,20)+(IF(AND(Inputs!$B$39&lt;&gt;"pvp",Inputs!$B$44=0),1,IF(IF(Inputs!$B$39="pvp",15,Inputs!$B$44)-(B625)&lt;=0,1,MAX(0,IF(Inputs!$B$39="pvp",15,Inputs!$B$44)-MAX(5,B625))/(IF(Inputs!$B$39="pvp",15,Inputs!$B$44)-(B625))))*IF(AND(ArtifactsInput!$M$42,(((Inputs!$B$9+1)+((C606=TRUE)*(F606-Calc!F26))+B614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589*(MIN(100,((Inputs!$B$9+1)+((C606=TRUE)*(F606-Calc!F26))+B614+(ArtifactsInput!$M$24-ArtifactsInput!$M$24)*CHOOSE(ArtifactsInput!$N$24+1,10,12,14,16,18,20)+(IF(AND(Inputs!$B$39&lt;&gt;"pvp",Inputs!$B$44=0),1,IF(IF(Inputs!$B$39="pvp",15,Inputs!$B$44)-(B625)&lt;=0,1,MAX(0,IF(Inputs!$B$39="pvp",15,Inputs!$B$44)-MAX(5,B625))/(IF(Inputs!$B$39="pvp",15,Inputs!$B$44)-(B625))))*IF(AND(ArtifactsInput!$M$42,(((Inputs!$B$9+1)+((C606=TRUE)*(F606-Calc!F26))+B614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589">
        <f>IF(C589,(H589*N589*IF(AND(Inputs!$B$39&lt;&gt;"pvp",Inputs!$B$44&gt;0),((Skills!G9*((R589-1)*IF(Skills!H9&gt;0,Skills!I9/Skills!H9,1)+IF(Skills!H9&gt;0,MIN(Skills!I9,MAX(0,MAX(0,Inputs!$B$44-B625)-((R589-1)*IF(Inputs!$B$39="pvp",15,MAX(0.1,Skills!D9-IF(FALSE=TRUE,Inputs!$B$32,0))))))/Skills!H9,1)))/Inputs!$B$44),G589*Q589))*IF(Inputs!$B$39="pvp",1,(1+(Inputs!$B$21+Skills!Q9+B615+(IF(ArtifactsInput!$M$33,CHOOSE(ArtifactsInput!$N$33+1,30,36,42,48,54,60),0))+(IF(AND(ArtifactsInput!$M$35,Inputs!$B$4&lt;&gt;"Chapter Hunt"),CHOOSE(ArtifactsInput!$N$35+1,15,18,21,24,27,30)*(1-EXP(-(0.2*B618)*5)),0)+IF(AND(ArtifactsInput!$M$22,Inputs!$B$4&lt;&gt;"Chapter Hunt"),CHOOSE(ArtifactsInput!$N$22+1,10,12,14,16,18,20)*((0*(((0.15*B618*5))^0/1)+1*(((0.15*B618*5))^1/1)+2*(((0.15*B618*5))^2/2)+3*(((0.15*B618*5))^3/6)+4*(((0.15*B618*5))^4/24)+5*(((0.15*B618*5))^5/120))/((((0.15*B618*5))^0/1)+(((0.15*B618*5))^1/1)+(((0.15*B618*5))^2/2)+(((0.15*B618*5))^3/6)+(((0.15*B618*5))^4/24)+(((0.15*B618*5))^5/120))),0)))/100)*(MIN(Skills!W9,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590">
      <c r="A590">
        <f>Skills!A10</f>
        <v/>
      </c>
      <c r="B590">
        <f>Skills!B10</f>
        <v/>
      </c>
      <c r="C590">
        <f>Inputs!$B$3&gt;=117</f>
        <v/>
      </c>
      <c r="D590">
        <f>IF(Skills!C10=1,60+Inputs!$B$25+Inputs!$B$29,IF(Skills!C10=2,90+Inputs!$B$26+Inputs!$B$29,IF(Skills!C10=3,120+Inputs!$B$27+Inputs!$B$29,MAX(0,(Inputs!$B$3-100)*3)+Inputs!$B$28+Inputs!$B$29)))</f>
        <v/>
      </c>
      <c r="E590">
        <f>INDEX(FactorTable!$B$2:$Y$301, MATCH(ROUND(MIN(300,MAX(1,D590)),0), FactorTable!$A$2:$A$301,0), Skills!M10+1)</f>
        <v/>
      </c>
      <c r="F590">
        <f>IF(Skills!N10=TRUE,(Skills!L10/10)*(E590/1000),Skills!L10/10)+Skills!O10</f>
        <v/>
      </c>
      <c r="G590">
        <f>Skills!G10*IF(Skills!H10&gt;0,IF(Inputs!$B$39="pvp",MIN(Skills!I10,15),Skills!I10)/Skills!H10,1)</f>
        <v/>
      </c>
      <c r="H590">
        <f>1-(1-Skills!J10/100)^Skills!K10</f>
        <v/>
      </c>
      <c r="I590" t="inlineStr">
        <is>
          <t>1</t>
        </is>
      </c>
      <c r="J590">
        <f>((Inputs!$B$6*(1+Inputs!$B$7/100))+(((Inputs!$B$12*(1+Inputs!$B$13/100))-(Inputs!$B$12*(1+Inputs!$B$13/100)))+0.25*(Inputs!$B$14-Inputs!$B$14))*(1+Inputs!$B$7/100))*(F590/100)</f>
        <v/>
      </c>
      <c r="K590">
        <f>J590*(1+((Inputs!$B$12*(1+Inputs!$B$13/100))*0.01+Inputs!$B$14*0.0025)/100)*(1+Inputs!$B$15/100)*(1+Inputs!$B$16/100)*(5000/(6000+Inputs!$B$43*(1-(100*(1-(1-Inputs!$B$19/100)*(1-CHOOSE(ArtifactsInput!$N$40+1,5,6,7,8,9,10)/100)^(ArtifactsInput!$M$40-ArtifactsInput!$M$40)))/100)))*(1+(Inputs!$B$24+((C611=TRUE)*(F611-Calc!F31))+((C598=TRUE)*(F598-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10="CRUEL_STAB",Inputs!$B$17+((C608=TRUE)*(F608-Calc!F28))+((IF(AND(Inputs!$B$39&lt;&gt;"pvp",Inputs!$B$44=0),1,IF(IF(Inputs!$B$39="pvp",15,Inputs!$B$44)-(B625)&lt;=0,1,MAX(0,IF(Inputs!$B$39="pvp",15,Inputs!$B$44)-MAX(5,B625))/(IF(Inputs!$B$39="pvp",15,Inputs!$B$44)-(B625))))*(IF(AND(ArtifactsInput!$M$42,(((Inputs!$B$9+1)+((C606=TRUE)*(F606-Calc!F26))+B614+(ArtifactsInput!$M$24-ArtifactsInput!$M$24)*CHOOSE(ArtifactsInput!$N$24+1,10,12,14,16,18,20)+IF(ArtifactsInput!$M$10,CHOOSE(ArtifactsInput!$N$10+1,15,18,21,24,27,30)*(IF(Inputs!$B$39="pvp",MIN(15,15)/15,IF(AND(Inputs!$B$39&lt;&gt;"pvp",Inputs!$B$44&gt;0),MIN(15,Inputs!$B$44)/(Inputs!$B$44),0))),0)))&gt;=100),MIN(100,(((Inputs!$B$9+1)+((C606=TRUE)*(F606-Calc!F26))+B614+(ArtifactsInput!$M$24-ArtifactsInput!$M$24)*CHOOSE(ArtifactsInput!$N$24+1,10,12,14,16,18,20)+IF(ArtifactsInput!$M$10,CHOOSE(ArtifactsInput!$N$10+1,15,18,21,24,27,30)*(IF(Inputs!$B$39="pvp",MIN(15,15)/15,IF(AND(Inputs!$B$39&lt;&gt;"pvp",Inputs!$B$44&gt;0),MIN(15,Inputs!$B$44)/(Inputs!$B$44),0))),0)))-100),0))*CHOOSE(ArtifactsInput!$N$42+1,0.6,0.72,0.84,0.96,1.08,1.2))),Inputs!$B$18+((C609=TRUE)*(F609-Calc!F29))+(IF(AND(Inputs!$B$39&lt;&gt;"pvp",Inputs!$B$44=0),1,IF(IF(Inputs!$B$39="pvp",15,Inputs!$B$44)-(B625)&lt;=0,1,MAX(0,IF(Inputs!$B$39="pvp",15,Inputs!$B$44)-MAX(5,B625))/(IF(Inputs!$B$39="pvp",15,Inputs!$B$44)-(B625))))*IF(AND(ArtifactsInput!$M$42,(((Inputs!$B$9+1)+((C606=TRUE)*(F606-Calc!F26))+B614+(ArtifactsInput!$M$24-ArtifactsInput!$M$24)*CHOOSE(ArtifactsInput!$N$24+1,10,12,14,16,18,20)+IF(ArtifactsInput!$M$10,CHOOSE(ArtifactsInput!$N$10+1,15,18,21,24,27,30)*(IF(Inputs!$B$39="pvp",MIN(15,15)/15,IF(AND(Inputs!$B$39&lt;&gt;"pvp",Inputs!$B$44&gt;0),MIN(15,Inputs!$B$44)/(Inputs!$B$44),0))),0)))&gt;=100),CHOOSE(ArtifactsInput!$N$42+1,40,48,56,64,72,80),0))))/100)*(((1+(((C602=TRUE)*F602*IF(AND(Inputs!$B$39&lt;&gt;"pvp",Inputs!$B$44&gt;0),(((R602-1)*MIN((Skills!Y22*(1+Inputs!$B$34/100)),(1/Q602))+MIN((Skills!Y22*(1+Inputs!$B$34/100)),MAX(0,Inputs!$B$44-((R602-1)*(1/Q602)))))/Inputs!$B$44),IF(Inputs!$B$39="pvp",MIN((Skills!Y22*(1+Inputs!$B$34/100)),15)/15,MIN(1,(Skills!Y22*(1+Inputs!$B$34/100))/(1/Q602)))))+((C583=TRUE)*F583*3)+((C585=TRUE)*F585*(1-EXP(-0.75*B618*5)))+((C604=TRUE)*(F604-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591=TRUE)*F591*IF(AND(Inputs!$B$39&lt;&gt;"pvp",Inputs!$B$44&gt;0),(((R591-1)*MIN((Skills!Y11*(1+Inputs!$B$34/100)),(1/Q591))+MIN((Skills!Y11*(1+Inputs!$B$34/100)),MAX(0,Inputs!$B$44-((R591-1)*(1/Q591)))))/Inputs!$B$44),IF(Inputs!$B$39="pvp",MIN((Skills!Y11*(1+Inputs!$B$34/100)),15)/15,MIN(1,(Skills!Y11*(1+Inputs!$B$34/100))/(1/Q591)))))/100)*(1+((C596=TRUE)*F596*IF(AND(Inputs!$B$39&lt;&gt;"pvp",Inputs!$B$44&gt;0),(((R596-1)*MIN((Skills!Y16*(1+Inputs!$B$34/100)),(1/Q596))+MIN((Skills!Y16*(1+Inputs!$B$34/100)),MAX(0,Inputs!$B$44-((R596-1)*(1/Q596)))))/Inputs!$B$44),IF(Inputs!$B$39="pvp",MIN((Skills!Y16*(1+Inputs!$B$34/100)),15)/15,MIN(1,(Skills!Y16*(1+Inputs!$B$34/100))/(1/Q596)))))/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616*I590)</f>
        <v/>
      </c>
      <c r="L590">
        <f>K590*(MIN(Inputs!$B$22+((C605=TRUE)*(F605-Calc!F25)),(Inputs!$B$23+((C610=TRUE)*(F610-Calc!F30))+IF(ArtifactsInput!$M$15,CHOOSE(ArtifactsInput!$N$15+1,25,30,35,40,45,50)/100*(Inputs!$B$11-Inputs!$B$11),0)))/100+(Inputs!$B$23+((C610=TRUE)*(F610-Calc!F30))+IF(ArtifactsInput!$M$15,CHOOSE(ArtifactsInput!$N$15+1,25,30,35,40,45,50)/100*(Inputs!$B$11-Inputs!$B$11),0))/100)/2</f>
        <v/>
      </c>
      <c r="M590">
        <f>L590*(1+(Inputs!$B$10+((C607=TRUE)*(F607-Calc!F27))+B621+(IF(ArtifactsInput!$M$24,CHOOSE(ArtifactsInput!$N$24+1,30,36,42,48,54,60)/100*((Inputs!$B$9+1)-Inputs!$B$9),0)+IF(ArtifactsInput!$M$10,CHOOSE(ArtifactsInput!$N$10+1,20,24,28,32,36,40)*(IF(Inputs!$B$39="pvp",MIN(15,15)/15,IF(AND(Inputs!$B$39&lt;&gt;"pvp",Inputs!$B$44&gt;0),MIN(15,Inputs!$B$44)/(Inputs!$B$44),0))),0)+IF(ArtifactsInput!$M$31,1.5*CHOOSE(ArtifactsInput!$N$31+1,20,24,28,32,36,40),0)))/100)</f>
        <v/>
      </c>
      <c r="N590">
        <f>L590*(1-MIN(((Inputs!$B$9+1)+((C606=TRUE)*(F606-Calc!F26))+B614+(ArtifactsInput!$M$24-ArtifactsInput!$M$24)*CHOOSE(ArtifactsInput!$N$24+1,10,12,14,16,18,20)+(IF(AND(Inputs!$B$39&lt;&gt;"pvp",Inputs!$B$44=0),1,IF(IF(Inputs!$B$39="pvp",15,Inputs!$B$44)-(B625)&lt;=0,1,MAX(0,IF(Inputs!$B$39="pvp",15,Inputs!$B$44)-MAX(5,B625))/(IF(Inputs!$B$39="pvp",15,Inputs!$B$44)-(B625))))*IF(AND(ArtifactsInput!$M$42,(((Inputs!$B$9+1)+((C606=TRUE)*(F606-Calc!F26))+B614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590*(MIN(((Inputs!$B$9+1)+((C606=TRUE)*(F606-Calc!F26))+B614+(ArtifactsInput!$M$24-ArtifactsInput!$M$24)*CHOOSE(ArtifactsInput!$N$24+1,10,12,14,16,18,20)+(IF(AND(Inputs!$B$39&lt;&gt;"pvp",Inputs!$B$44=0),1,IF(IF(Inputs!$B$39="pvp",15,Inputs!$B$44)-(B625)&lt;=0,1,MAX(0,IF(Inputs!$B$39="pvp",15,Inputs!$B$44)-MAX(5,B625))/(IF(Inputs!$B$39="pvp",15,Inputs!$B$44)-(B625))))*IF(AND(ArtifactsInput!$M$42,(((Inputs!$B$9+1)+((C606=TRUE)*(F606-Calc!F26))+B614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590">
        <f>(1-Summary!$B$11)*T590+Summary!$B$11*V590</f>
        <v/>
      </c>
      <c r="P590">
        <f>IF(B626=0,0,O590/B626)</f>
        <v/>
      </c>
      <c r="Q590" t="n">
        <v>0</v>
      </c>
      <c r="R590" t="n">
        <v>0</v>
      </c>
      <c r="S590" t="n">
        <v>0</v>
      </c>
      <c r="T590">
        <f>IF(C590,(0.2*SUMPRODUCT((Skills!Z2:Z31=TRUE)*(C582:C611=TRUE)*S582:S611)*N590)*IF(Inputs!$B$39="pvp",1,1+(Inputs!$B$20+0+Skills!P10+B615+(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Hunt"),CHOOSE(ArtifactsInput!$N$35+1,15,18,21,24,27,30)*(1-EXP(-(0.2*B618)*5)),0)+IF(AND(ArtifactsInput!$M$22,Inputs!$B$4&lt;&gt;"Chapter Hunt"),CHOOSE(ArtifactsInput!$N$22+1,10,12,14,16,18,20)*((0*(((0.15*B618*5))^0/1)+1*(((0.15*B618*5))^1/1)+2*(((0.15*B618*5))^2/2)+3*(((0.15*B618*5))^3/6)+4*(((0.15*B618*5))^4/24)+5*(((0.15*B618*5))^5/120))/((((0.15*B618*5))^0/1)+(((0.15*B618*5))^1/1)+(((0.15*B618*5))^2/2)+(((0.15*B618*5))^3/6)+(((0.15*B618*5))^4/24)+(((0.15*B618*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590*(1-MIN(100,((Inputs!$B$9+1)+((C606=TRUE)*(F606-Calc!F26))+B614+(ArtifactsInput!$M$24-ArtifactsInput!$M$24)*CHOOSE(ArtifactsInput!$N$24+1,10,12,14,16,18,20)+(IF(AND(Inputs!$B$39&lt;&gt;"pvp",Inputs!$B$44=0),1,IF(IF(Inputs!$B$39="pvp",15,Inputs!$B$44)-(B625)&lt;=0,1,MAX(0,IF(Inputs!$B$39="pvp",15,Inputs!$B$44)-MAX(5,B625))/(IF(Inputs!$B$39="pvp",15,Inputs!$B$44)-(B625))))*IF(AND(ArtifactsInput!$M$42,(((Inputs!$B$9+1)+((C606=TRUE)*(F606-Calc!F26))+B614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590*(MIN(100,((Inputs!$B$9+1)+((C606=TRUE)*(F606-Calc!F26))+B614+(ArtifactsInput!$M$24-ArtifactsInput!$M$24)*CHOOSE(ArtifactsInput!$N$24+1,10,12,14,16,18,20)+(IF(AND(Inputs!$B$39&lt;&gt;"pvp",Inputs!$B$44=0),1,IF(IF(Inputs!$B$39="pvp",15,Inputs!$B$44)-(B625)&lt;=0,1,MAX(0,IF(Inputs!$B$39="pvp",15,Inputs!$B$44)-MAX(5,B625))/(IF(Inputs!$B$39="pvp",15,Inputs!$B$44)-(B625))))*IF(AND(ArtifactsInput!$M$42,(((Inputs!$B$9+1)+((C606=TRUE)*(F606-Calc!F26))+B614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590*(1-MIN(100,((Inputs!$B$9+1)+((C606=TRUE)*(F606-Calc!F26))+B614+(ArtifactsInput!$M$24-ArtifactsInput!$M$24)*CHOOSE(ArtifactsInput!$N$24+1,10,12,14,16,18,20)+(IF(AND(Inputs!$B$39&lt;&gt;"pvp",Inputs!$B$44=0),1,IF(IF(Inputs!$B$39="pvp",15,Inputs!$B$44)-(B625)&lt;=0,1,MAX(0,IF(Inputs!$B$39="pvp",15,Inputs!$B$44)-MAX(5,B625))/(IF(Inputs!$B$39="pvp",15,Inputs!$B$44)-(B625))))*IF(AND(ArtifactsInput!$M$42,(((Inputs!$B$9+1)+((C606=TRUE)*(F606-Calc!F26))+B614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590*(MIN(100,((Inputs!$B$9+1)+((C606=TRUE)*(F606-Calc!F26))+B614+(ArtifactsInput!$M$24-ArtifactsInput!$M$24)*CHOOSE(ArtifactsInput!$N$24+1,10,12,14,16,18,20)+(IF(AND(Inputs!$B$39&lt;&gt;"pvp",Inputs!$B$44=0),1,IF(IF(Inputs!$B$39="pvp",15,Inputs!$B$44)-(B625)&lt;=0,1,MAX(0,IF(Inputs!$B$39="pvp",15,Inputs!$B$44)-MAX(5,B625))/(IF(Inputs!$B$39="pvp",15,Inputs!$B$44)-(B625))))*IF(AND(ArtifactsInput!$M$42,(((Inputs!$B$9+1)+((C606=TRUE)*(F606-Calc!F26))+B614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590">
        <f>IF(C590,(0.2*SUMPRODUCT((Skills!Z2:Z31=TRUE)*(C582:C611=TRUE)*S582:S611)*N590)*IF(Inputs!$B$39="pvp",1,(1+(Inputs!$B$21+Skills!Q10+B615+(IF(ArtifactsInput!$M$33,CHOOSE(ArtifactsInput!$N$33+1,30,36,42,48,54,60),0))+(IF(AND(ArtifactsInput!$M$35,Inputs!$B$4&lt;&gt;"Chapter Hunt"),CHOOSE(ArtifactsInput!$N$35+1,15,18,21,24,27,30)*(1-EXP(-(0.2*B618)*5)),0)+IF(AND(ArtifactsInput!$M$22,Inputs!$B$4&lt;&gt;"Chapter Hunt"),CHOOSE(ArtifactsInput!$N$22+1,10,12,14,16,18,20)*((0*(((0.15*B618*5))^0/1)+1*(((0.15*B618*5))^1/1)+2*(((0.15*B618*5))^2/2)+3*(((0.15*B618*5))^3/6)+4*(((0.15*B618*5))^4/24)+5*(((0.15*B618*5))^5/120))/((((0.15*B618*5))^0/1)+(((0.15*B618*5))^1/1)+(((0.15*B618*5))^2/2)+(((0.15*B618*5))^3/6)+(((0.15*B618*5))^4/24)+(((0.15*B618*5))^5/120))),0)))/100)*(MIN(Skills!W10,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591">
      <c r="A591">
        <f>Skills!A11</f>
        <v/>
      </c>
      <c r="B591">
        <f>Skills!B11</f>
        <v/>
      </c>
      <c r="C591">
        <f>Inputs!$B$3&gt;=74</f>
        <v/>
      </c>
      <c r="D591">
        <f>IF(Skills!C11=1,60+Inputs!$B$25+Inputs!$B$29,IF(Skills!C11=2,90+Inputs!$B$26+Inputs!$B$29,IF(Skills!C11=3,120+Inputs!$B$27+Inputs!$B$29,MAX(0,(Inputs!$B$3-100)*3)+Inputs!$B$28+Inputs!$B$29)))</f>
        <v/>
      </c>
      <c r="E591">
        <f>INDEX(FactorTable!$B$2:$Y$301, MATCH(ROUND(MIN(300,MAX(1,D591)),0), FactorTable!$A$2:$A$301,0), Skills!M11+1)</f>
        <v/>
      </c>
      <c r="F591">
        <f>IF(Skills!N11=TRUE,(Skills!L11/10)*(E591/1000),Skills!L11/10)+Skills!O11</f>
        <v/>
      </c>
      <c r="G591">
        <f>Skills!G11*IF(Skills!H11&gt;0,IF(Inputs!$B$39="pvp",MIN(Skills!I11,15),Skills!I11)/Skills!H11,1)</f>
        <v/>
      </c>
      <c r="H591">
        <f>1-(1-Skills!J11/100)^Skills!K11</f>
        <v/>
      </c>
      <c r="I591" t="inlineStr">
        <is>
          <t>1</t>
        </is>
      </c>
      <c r="J591" t="inlineStr"/>
      <c r="K591" t="inlineStr"/>
      <c r="L591" t="inlineStr"/>
      <c r="M591" t="inlineStr"/>
      <c r="N591" t="inlineStr"/>
      <c r="O591">
        <f>(1-Summary!$B$11)*T591+Summary!$B$11*V591</f>
        <v/>
      </c>
      <c r="P591">
        <f>IF(B626=0,0,O591/B626)</f>
        <v/>
      </c>
      <c r="Q591">
        <f>IFERROR(1/IF(Inputs!$B$39="pvp",15,MAX(0.1,Skills!D11-IF(TRUE=TRUE,Inputs!$B$32,0))),0)</f>
        <v/>
      </c>
      <c r="R591">
        <f>IF(AND(Inputs!$B$39&lt;&gt;"pvp",Inputs!$B$44&gt;0),IF(Inputs!$B$44&lt;=0,0,(INT(Inputs!$B$44/IF(Inputs!$B$39="pvp",15,MAX(0.1,Skills!D11-IF(TRUE=TRUE,Inputs!$B$32,0))))+1)),0)</f>
        <v/>
      </c>
      <c r="S591">
        <f>IFERROR(O591/N591,0)</f>
        <v/>
      </c>
      <c r="T591" t="n">
        <v>0</v>
      </c>
      <c r="V591" t="n">
        <v>0</v>
      </c>
    </row>
    <row r="592">
      <c r="A592">
        <f>Skills!A12</f>
        <v/>
      </c>
      <c r="B592">
        <f>Skills!B12</f>
        <v/>
      </c>
      <c r="C592">
        <f>Inputs!$B$3&gt;=103</f>
        <v/>
      </c>
      <c r="D592">
        <f>IF(Skills!C12=1,60+Inputs!$B$25+Inputs!$B$29,IF(Skills!C12=2,90+Inputs!$B$26+Inputs!$B$29,IF(Skills!C12=3,120+Inputs!$B$27+Inputs!$B$29,MAX(0,(Inputs!$B$3-100)*3)+Inputs!$B$28+Inputs!$B$29)))</f>
        <v/>
      </c>
      <c r="E592">
        <f>INDEX(FactorTable!$B$2:$Y$301, MATCH(ROUND(MIN(300,MAX(1,D592)),0), FactorTable!$A$2:$A$301,0), Skills!M12+1)</f>
        <v/>
      </c>
      <c r="F592">
        <f>(Skills!L12/10)*(E592/1000)+IF(Inputs!$B$3&gt;=134,50,0)+0.5*(30000/10)*(INDEX(FactorTable!$B$2:$Y$301, MATCH(ROUND(MIN(300,MAX(1,D592)),0), FactorTable!$A$2:$A$301,0), 13)/1000)*B624</f>
        <v/>
      </c>
      <c r="G592">
        <f>Skills!G12*IF(Skills!H12&gt;0,IF(Inputs!$B$39="pvp",MIN(Skills!I12,15),Skills!I12)/Skills!H12,1)</f>
        <v/>
      </c>
      <c r="H592">
        <f>1-(1-Skills!J12/100)^Skills!K12</f>
        <v/>
      </c>
      <c r="I592" t="inlineStr">
        <is>
          <t>1</t>
        </is>
      </c>
      <c r="J592">
        <f>((Inputs!$B$6*(1+Inputs!$B$7/100))+(((Inputs!$B$12*(1+Inputs!$B$13/100))-(Inputs!$B$12*(1+Inputs!$B$13/100)))+0.25*(Inputs!$B$14-Inputs!$B$14))*(1+Inputs!$B$7/100))*(F592/100)</f>
        <v/>
      </c>
      <c r="K592">
        <f>J592*(1+((Inputs!$B$12*(1+Inputs!$B$13/100))*0.01+Inputs!$B$14*0.0025)/100)*(1+Inputs!$B$15/100)*(1+Inputs!$B$16/100)*(5000/(6000+Inputs!$B$43*(1-(100*(1-(1-Inputs!$B$19/100)*(1-CHOOSE(ArtifactsInput!$N$40+1,5,6,7,8,9,10)/100)^(ArtifactsInput!$M$40-ArtifactsInput!$M$40)))/100)))*(1+(Inputs!$B$24+((C611=TRUE)*(F611-Calc!F31))+((C598=TRUE)*(F598-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12="CRUEL_STAB",Inputs!$B$17+((C608=TRUE)*(F608-Calc!F28))+((IF(AND(Inputs!$B$39&lt;&gt;"pvp",Inputs!$B$44=0),1,IF(IF(Inputs!$B$39="pvp",15,Inputs!$B$44)-(B625)&lt;=0,1,MAX(0,IF(Inputs!$B$39="pvp",15,Inputs!$B$44)-MAX(5,B625))/(IF(Inputs!$B$39="pvp",15,Inputs!$B$44)-(B625))))*(IF(AND(ArtifactsInput!$M$42,(((Inputs!$B$9+1)+((C606=TRUE)*(F606-Calc!F26))+B614+(ArtifactsInput!$M$24-ArtifactsInput!$M$24)*CHOOSE(ArtifactsInput!$N$24+1,10,12,14,16,18,20)+IF(ArtifactsInput!$M$10,CHOOSE(ArtifactsInput!$N$10+1,15,18,21,24,27,30)*(IF(Inputs!$B$39="pvp",MIN(15,15)/15,IF(AND(Inputs!$B$39&lt;&gt;"pvp",Inputs!$B$44&gt;0),MIN(15,Inputs!$B$44)/(Inputs!$B$44),0))),0)))&gt;=100),MIN(100,(((Inputs!$B$9+1)+((C606=TRUE)*(F606-Calc!F26))+B614+(ArtifactsInput!$M$24-ArtifactsInput!$M$24)*CHOOSE(ArtifactsInput!$N$24+1,10,12,14,16,18,20)+IF(ArtifactsInput!$M$10,CHOOSE(ArtifactsInput!$N$10+1,15,18,21,24,27,30)*(IF(Inputs!$B$39="pvp",MIN(15,15)/15,IF(AND(Inputs!$B$39&lt;&gt;"pvp",Inputs!$B$44&gt;0),MIN(15,Inputs!$B$44)/(Inputs!$B$44),0))),0)))-100),0))*CHOOSE(ArtifactsInput!$N$42+1,0.6,0.72,0.84,0.96,1.08,1.2))),Inputs!$B$18+((C609=TRUE)*(F609-Calc!F29))+(IF(AND(Inputs!$B$39&lt;&gt;"pvp",Inputs!$B$44=0),1,IF(IF(Inputs!$B$39="pvp",15,Inputs!$B$44)-(B625)&lt;=0,1,MAX(0,IF(Inputs!$B$39="pvp",15,Inputs!$B$44)-MAX(5,B625))/(IF(Inputs!$B$39="pvp",15,Inputs!$B$44)-(B625))))*IF(AND(ArtifactsInput!$M$42,(((Inputs!$B$9+1)+((C606=TRUE)*(F606-Calc!F26))+B614+(ArtifactsInput!$M$24-ArtifactsInput!$M$24)*CHOOSE(ArtifactsInput!$N$24+1,10,12,14,16,18,20)+IF(ArtifactsInput!$M$10,CHOOSE(ArtifactsInput!$N$10+1,15,18,21,24,27,30)*(IF(Inputs!$B$39="pvp",MIN(15,15)/15,IF(AND(Inputs!$B$39&lt;&gt;"pvp",Inputs!$B$44&gt;0),MIN(15,Inputs!$B$44)/(Inputs!$B$44),0))),0)))&gt;=100),CHOOSE(ArtifactsInput!$N$42+1,40,48,56,64,72,80),0))))/100)*(((1+(((C602=TRUE)*F602*IF(AND(Inputs!$B$39&lt;&gt;"pvp",Inputs!$B$44&gt;0),(((R602-1)*MIN((Skills!Y22*(1+Inputs!$B$34/100)),(1/Q602))+MIN((Skills!Y22*(1+Inputs!$B$34/100)),MAX(0,Inputs!$B$44-((R602-1)*(1/Q602)))))/Inputs!$B$44),IF(Inputs!$B$39="pvp",MIN((Skills!Y22*(1+Inputs!$B$34/100)),15)/15,MIN(1,(Skills!Y22*(1+Inputs!$B$34/100))/(1/Q602)))))+((C583=TRUE)*F583*3)+((C585=TRUE)*F585*(1-EXP(-0.75*B618*5)))+((C604=TRUE)*(F604-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591=TRUE)*F591*IF(AND(Inputs!$B$39&lt;&gt;"pvp",Inputs!$B$44&gt;0),(((R591-1)*MIN((Skills!Y11*(1+Inputs!$B$34/100)),(1/Q591))+MIN((Skills!Y11*(1+Inputs!$B$34/100)),MAX(0,Inputs!$B$44-((R591-1)*(1/Q591)))))/Inputs!$B$44),IF(Inputs!$B$39="pvp",MIN((Skills!Y11*(1+Inputs!$B$34/100)),15)/15,MIN(1,(Skills!Y11*(1+Inputs!$B$34/100))/(1/Q591)))))/100)*(1+((C596=TRUE)*F596*IF(AND(Inputs!$B$39&lt;&gt;"pvp",Inputs!$B$44&gt;0),(((R596-1)*MIN((Skills!Y16*(1+Inputs!$B$34/100)),(1/Q596))+MIN((Skills!Y16*(1+Inputs!$B$34/100)),MAX(0,Inputs!$B$44-((R596-1)*(1/Q596)))))/Inputs!$B$44),IF(Inputs!$B$39="pvp",MIN((Skills!Y16*(1+Inputs!$B$34/100)),15)/15,MIN(1,(Skills!Y16*(1+Inputs!$B$34/100))/(1/Q596)))))/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616*I592)</f>
        <v/>
      </c>
      <c r="L592">
        <f>K592*(MIN(Inputs!$B$22+((C605=TRUE)*(F605-Calc!F25)),(Inputs!$B$23+((C610=TRUE)*(F610-Calc!F30))+IF(ArtifactsInput!$M$15,CHOOSE(ArtifactsInput!$N$15+1,25,30,35,40,45,50)/100*(Inputs!$B$11-Inputs!$B$11),0)))/100+(Inputs!$B$23+((C610=TRUE)*(F610-Calc!F30))+IF(ArtifactsInput!$M$15,CHOOSE(ArtifactsInput!$N$15+1,25,30,35,40,45,50)/100*(Inputs!$B$11-Inputs!$B$11),0))/100)/2</f>
        <v/>
      </c>
      <c r="M592">
        <f>L592*(1+(Inputs!$B$10+((C607=TRUE)*(F607-Calc!F27))+B621+(IF(ArtifactsInput!$M$24,CHOOSE(ArtifactsInput!$N$24+1,30,36,42,48,54,60)/100*((Inputs!$B$9+1)-Inputs!$B$9),0)+IF(ArtifactsInput!$M$10,CHOOSE(ArtifactsInput!$N$10+1,20,24,28,32,36,40)*(IF(Inputs!$B$39="pvp",MIN(15,15)/15,IF(AND(Inputs!$B$39&lt;&gt;"pvp",Inputs!$B$44&gt;0),MIN(15,Inputs!$B$44)/(Inputs!$B$44),0))),0)+IF(ArtifactsInput!$M$31,1.5*CHOOSE(ArtifactsInput!$N$31+1,20,24,28,32,36,40),0)))/100)</f>
        <v/>
      </c>
      <c r="N592">
        <f>L592*(1-MIN(((Inputs!$B$9+1)+((C606=TRUE)*(F606-Calc!F26))+B614+(ArtifactsInput!$M$24-ArtifactsInput!$M$24)*CHOOSE(ArtifactsInput!$N$24+1,10,12,14,16,18,20)+(IF(AND(Inputs!$B$39&lt;&gt;"pvp",Inputs!$B$44=0),1,IF(IF(Inputs!$B$39="pvp",15,Inputs!$B$44)-(B625)&lt;=0,1,MAX(0,IF(Inputs!$B$39="pvp",15,Inputs!$B$44)-MAX(5,B625))/(IF(Inputs!$B$39="pvp",15,Inputs!$B$44)-(B625))))*IF(AND(ArtifactsInput!$M$42,(((Inputs!$B$9+1)+((C606=TRUE)*(F606-Calc!F26))+B614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592*(MIN(((Inputs!$B$9+1)+((C606=TRUE)*(F606-Calc!F26))+B614+(ArtifactsInput!$M$24-ArtifactsInput!$M$24)*CHOOSE(ArtifactsInput!$N$24+1,10,12,14,16,18,20)+(IF(AND(Inputs!$B$39&lt;&gt;"pvp",Inputs!$B$44=0),1,IF(IF(Inputs!$B$39="pvp",15,Inputs!$B$44)-(B625)&lt;=0,1,MAX(0,IF(Inputs!$B$39="pvp",15,Inputs!$B$44)-MAX(5,B625))/(IF(Inputs!$B$39="pvp",15,Inputs!$B$44)-(B625))))*IF(AND(ArtifactsInput!$M$42,(((Inputs!$B$9+1)+((C606=TRUE)*(F606-Calc!F26))+B614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592">
        <f>(1-Summary!$B$11)*T592+Summary!$B$11*V592</f>
        <v/>
      </c>
      <c r="P592">
        <f>IF(B626=0,0,O592/B626)</f>
        <v/>
      </c>
      <c r="Q592">
        <f>IFERROR(1/IF(Inputs!$B$39="pvp",15,MAX(0.1,Skills!D12-IF(TRUE=TRUE,Inputs!$B$32,0))),0)</f>
        <v/>
      </c>
      <c r="R592">
        <f>IF(AND(Inputs!$B$39&lt;&gt;"pvp",Inputs!$B$44&gt;0),IF(MAX(0,Inputs!$B$44-B625)&lt;=0,0,(INT(MAX(0,Inputs!$B$44-B625)/IF(Inputs!$B$39="pvp",15,MAX(0.1,Skills!D12-IF(TRUE=TRUE,Inputs!$B$32,0))))+1)),0)</f>
        <v/>
      </c>
      <c r="S592">
        <f>IFERROR(O592/N592,0)</f>
        <v/>
      </c>
      <c r="T592">
        <f>IF(C592,(H592*N592*IF(AND(Inputs!$B$39&lt;&gt;"pvp",Inputs!$B$44&gt;0),((Skills!G12*((R592-1)*IF(Skills!H12&gt;0,Skills!I12/Skills!H12,1)+IF(Skills!H12&gt;0,MIN(Skills!I12,MAX(0,MAX(0,Inputs!$B$44-B625)-((R592-1)*IF(Inputs!$B$39="pvp",15,MAX(0.1,Skills!D12-IF(TRUE=TRUE,Inputs!$B$32,0))))))/Skills!H12,1)))/Inputs!$B$44),G592*Q592))*IF(Inputs!$B$39="pvp",1,1+(Inputs!$B$20+0+Skills!P12+B615+(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Hunt"),CHOOSE(ArtifactsInput!$N$35+1,15,18,21,24,27,30)*(1-EXP(-(0.2*B618)*5)),0)+IF(AND(ArtifactsInput!$M$22,Inputs!$B$4&lt;&gt;"Chapter Hunt"),CHOOSE(ArtifactsInput!$N$22+1,10,12,14,16,18,20)*((0*(((0.15*B618*5))^0/1)+1*(((0.15*B618*5))^1/1)+2*(((0.15*B618*5))^2/2)+3*(((0.15*B618*5))^3/6)+4*(((0.15*B618*5))^4/24)+5*(((0.15*B618*5))^5/120))/((((0.15*B618*5))^0/1)+(((0.15*B618*5))^1/1)+(((0.15*B618*5))^2/2)+(((0.15*B618*5))^3/6)+(((0.15*B618*5))^4/24)+(((0.15*B618*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592*(1-MIN(100,((Inputs!$B$9+1)+((C606=TRUE)*(F606-Calc!F26))+B614+(ArtifactsInput!$M$24-ArtifactsInput!$M$24)*CHOOSE(ArtifactsInput!$N$24+1,10,12,14,16,18,20)+(IF(AND(Inputs!$B$39&lt;&gt;"pvp",Inputs!$B$44=0),1,IF(IF(Inputs!$B$39="pvp",15,Inputs!$B$44)-(B625)&lt;=0,1,MAX(0,IF(Inputs!$B$39="pvp",15,Inputs!$B$44)-MAX(5,B625))/(IF(Inputs!$B$39="pvp",15,Inputs!$B$44)-(B625))))*IF(AND(ArtifactsInput!$M$42,(((Inputs!$B$9+1)+((C606=TRUE)*(F606-Calc!F26))+B614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592*(MIN(100,((Inputs!$B$9+1)+((C606=TRUE)*(F606-Calc!F26))+B614+(ArtifactsInput!$M$24-ArtifactsInput!$M$24)*CHOOSE(ArtifactsInput!$N$24+1,10,12,14,16,18,20)+(IF(AND(Inputs!$B$39&lt;&gt;"pvp",Inputs!$B$44=0),1,IF(IF(Inputs!$B$39="pvp",15,Inputs!$B$44)-(B625)&lt;=0,1,MAX(0,IF(Inputs!$B$39="pvp",15,Inputs!$B$44)-MAX(5,B625))/(IF(Inputs!$B$39="pvp",15,Inputs!$B$44)-(B625))))*IF(AND(ArtifactsInput!$M$42,(((Inputs!$B$9+1)+((C606=TRUE)*(F606-Calc!F26))+B614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592*(1-MIN(100,((Inputs!$B$9+1)+((C606=TRUE)*(F606-Calc!F26))+B614+(ArtifactsInput!$M$24-ArtifactsInput!$M$24)*CHOOSE(ArtifactsInput!$N$24+1,10,12,14,16,18,20)+(IF(AND(Inputs!$B$39&lt;&gt;"pvp",Inputs!$B$44=0),1,IF(IF(Inputs!$B$39="pvp",15,Inputs!$B$44)-(B625)&lt;=0,1,MAX(0,IF(Inputs!$B$39="pvp",15,Inputs!$B$44)-MAX(5,B625))/(IF(Inputs!$B$39="pvp",15,Inputs!$B$44)-(B625))))*IF(AND(ArtifactsInput!$M$42,(((Inputs!$B$9+1)+((C606=TRUE)*(F606-Calc!F26))+B614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592*(MIN(100,((Inputs!$B$9+1)+((C606=TRUE)*(F606-Calc!F26))+B614+(ArtifactsInput!$M$24-ArtifactsInput!$M$24)*CHOOSE(ArtifactsInput!$N$24+1,10,12,14,16,18,20)+(IF(AND(Inputs!$B$39&lt;&gt;"pvp",Inputs!$B$44=0),1,IF(IF(Inputs!$B$39="pvp",15,Inputs!$B$44)-(B625)&lt;=0,1,MAX(0,IF(Inputs!$B$39="pvp",15,Inputs!$B$44)-MAX(5,B625))/(IF(Inputs!$B$39="pvp",15,Inputs!$B$44)-(B625))))*IF(AND(ArtifactsInput!$M$42,(((Inputs!$B$9+1)+((C606=TRUE)*(F606-Calc!F26))+B614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592">
        <f>IF(C592,(H592*N592*IF(AND(Inputs!$B$39&lt;&gt;"pvp",Inputs!$B$44&gt;0),((Skills!G12*((R592-1)*IF(Skills!H12&gt;0,Skills!I12/Skills!H12,1)+IF(Skills!H12&gt;0,MIN(Skills!I12,MAX(0,MAX(0,Inputs!$B$44-B625)-((R592-1)*IF(Inputs!$B$39="pvp",15,MAX(0.1,Skills!D12-IF(TRUE=TRUE,Inputs!$B$32,0))))))/Skills!H12,1)))/Inputs!$B$44),G592*Q592))*IF(Inputs!$B$39="pvp",1,(1+(Inputs!$B$21+Skills!Q12+B615+(IF(ArtifactsInput!$M$33,CHOOSE(ArtifactsInput!$N$33+1,30,36,42,48,54,60),0))+(IF(AND(ArtifactsInput!$M$35,Inputs!$B$4&lt;&gt;"Chapter Hunt"),CHOOSE(ArtifactsInput!$N$35+1,15,18,21,24,27,30)*(1-EXP(-(0.2*B618)*5)),0)+IF(AND(ArtifactsInput!$M$22,Inputs!$B$4&lt;&gt;"Chapter Hunt"),CHOOSE(ArtifactsInput!$N$22+1,10,12,14,16,18,20)*((0*(((0.15*B618*5))^0/1)+1*(((0.15*B618*5))^1/1)+2*(((0.15*B618*5))^2/2)+3*(((0.15*B618*5))^3/6)+4*(((0.15*B618*5))^4/24)+5*(((0.15*B618*5))^5/120))/((((0.15*B618*5))^0/1)+(((0.15*B618*5))^1/1)+(((0.15*B618*5))^2/2)+(((0.15*B618*5))^3/6)+(((0.15*B618*5))^4/24)+(((0.15*B618*5))^5/120))),0)))/100)*(MIN(Skills!W12,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593">
      <c r="A593">
        <f>Skills!A13</f>
        <v/>
      </c>
      <c r="B593">
        <f>Skills!B13</f>
        <v/>
      </c>
      <c r="C593">
        <f>Inputs!$B$3&gt;=105</f>
        <v/>
      </c>
      <c r="D593">
        <f>IF(Skills!C13=1,60+Inputs!$B$25+Inputs!$B$29,IF(Skills!C13=2,90+Inputs!$B$26+Inputs!$B$29,IF(Skills!C13=3,120+Inputs!$B$27+Inputs!$B$29,MAX(0,(Inputs!$B$3-100)*3)+Inputs!$B$28+Inputs!$B$29)))</f>
        <v/>
      </c>
      <c r="E593">
        <f>INDEX(FactorTable!$B$2:$Y$301, MATCH(ROUND(MIN(300,MAX(1,D593)),0), FactorTable!$A$2:$A$301,0), Skills!M13+1)</f>
        <v/>
      </c>
      <c r="F593">
        <f>IF(Skills!N13=TRUE,(Skills!L13/10)*(E593/1000),Skills!L13/10)+Skills!O13</f>
        <v/>
      </c>
      <c r="G593">
        <f>Skills!G13*IF(Skills!H13&gt;0,IF(Inputs!$B$39="pvp",MIN(Skills!I13,15),Skills!I13)/Skills!H13,1)</f>
        <v/>
      </c>
      <c r="H593">
        <f>1-(1-Skills!J13/100)^Skills!K13</f>
        <v/>
      </c>
      <c r="I593" t="inlineStr">
        <is>
          <t>1</t>
        </is>
      </c>
      <c r="J593">
        <f>((Inputs!$B$6*(1+Inputs!$B$7/100))+(((Inputs!$B$12*(1+Inputs!$B$13/100))-(Inputs!$B$12*(1+Inputs!$B$13/100)))+0.25*(Inputs!$B$14-Inputs!$B$14))*(1+Inputs!$B$7/100))*(F593/100)</f>
        <v/>
      </c>
      <c r="K593">
        <f>J593*(1+((Inputs!$B$12*(1+Inputs!$B$13/100))*0.01+Inputs!$B$14*0.0025)/100)*(1+Inputs!$B$15/100)*(1+Inputs!$B$16/100)*(5000/(6000+Inputs!$B$43*(1-(100*(1-(1-Inputs!$B$19/100)*(1-CHOOSE(ArtifactsInput!$N$40+1,5,6,7,8,9,10)/100)^(ArtifactsInput!$M$40-ArtifactsInput!$M$40)))/100)))*(1+(Inputs!$B$24+((C611=TRUE)*(F611-Calc!F31))+((C598=TRUE)*(F598-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13="CRUEL_STAB",Inputs!$B$17+((C608=TRUE)*(F608-Calc!F28))+((IF(AND(Inputs!$B$39&lt;&gt;"pvp",Inputs!$B$44=0),1,IF(IF(Inputs!$B$39="pvp",15,Inputs!$B$44)-(B625)&lt;=0,1,MAX(0,IF(Inputs!$B$39="pvp",15,Inputs!$B$44)-MAX(5,B625))/(IF(Inputs!$B$39="pvp",15,Inputs!$B$44)-(B625))))*(IF(AND(ArtifactsInput!$M$42,(((Inputs!$B$9+1)+((C606=TRUE)*(F606-Calc!F26))+B614+(ArtifactsInput!$M$24-ArtifactsInput!$M$24)*CHOOSE(ArtifactsInput!$N$24+1,10,12,14,16,18,20)+IF(ArtifactsInput!$M$10,CHOOSE(ArtifactsInput!$N$10+1,15,18,21,24,27,30)*(IF(Inputs!$B$39="pvp",MIN(15,15)/15,IF(AND(Inputs!$B$39&lt;&gt;"pvp",Inputs!$B$44&gt;0),MIN(15,Inputs!$B$44)/(Inputs!$B$44),0))),0)))&gt;=100),MIN(100,(((Inputs!$B$9+1)+((C606=TRUE)*(F606-Calc!F26))+B614+(ArtifactsInput!$M$24-ArtifactsInput!$M$24)*CHOOSE(ArtifactsInput!$N$24+1,10,12,14,16,18,20)+IF(ArtifactsInput!$M$10,CHOOSE(ArtifactsInput!$N$10+1,15,18,21,24,27,30)*(IF(Inputs!$B$39="pvp",MIN(15,15)/15,IF(AND(Inputs!$B$39&lt;&gt;"pvp",Inputs!$B$44&gt;0),MIN(15,Inputs!$B$44)/(Inputs!$B$44),0))),0)))-100),0))*CHOOSE(ArtifactsInput!$N$42+1,0.6,0.72,0.84,0.96,1.08,1.2))),Inputs!$B$18+((C609=TRUE)*(F609-Calc!F29))+(IF(AND(Inputs!$B$39&lt;&gt;"pvp",Inputs!$B$44=0),1,IF(IF(Inputs!$B$39="pvp",15,Inputs!$B$44)-(B625)&lt;=0,1,MAX(0,IF(Inputs!$B$39="pvp",15,Inputs!$B$44)-MAX(5,B625))/(IF(Inputs!$B$39="pvp",15,Inputs!$B$44)-(B625))))*IF(AND(ArtifactsInput!$M$42,(((Inputs!$B$9+1)+((C606=TRUE)*(F606-Calc!F26))+B614+(ArtifactsInput!$M$24-ArtifactsInput!$M$24)*CHOOSE(ArtifactsInput!$N$24+1,10,12,14,16,18,20)+IF(ArtifactsInput!$M$10,CHOOSE(ArtifactsInput!$N$10+1,15,18,21,24,27,30)*(IF(Inputs!$B$39="pvp",MIN(15,15)/15,IF(AND(Inputs!$B$39&lt;&gt;"pvp",Inputs!$B$44&gt;0),MIN(15,Inputs!$B$44)/(Inputs!$B$44),0))),0)))&gt;=100),CHOOSE(ArtifactsInput!$N$42+1,40,48,56,64,72,80),0))))/100)*(((1+(((C602=TRUE)*F602*IF(AND(Inputs!$B$39&lt;&gt;"pvp",Inputs!$B$44&gt;0),(((R602-1)*MIN((Skills!Y22*(1+Inputs!$B$34/100)),(1/Q602))+MIN((Skills!Y22*(1+Inputs!$B$34/100)),MAX(0,Inputs!$B$44-((R602-1)*(1/Q602)))))/Inputs!$B$44),IF(Inputs!$B$39="pvp",MIN((Skills!Y22*(1+Inputs!$B$34/100)),15)/15,MIN(1,(Skills!Y22*(1+Inputs!$B$34/100))/(1/Q602)))))+((C583=TRUE)*F583*3)+((C585=TRUE)*F585*(1-EXP(-0.75*B618*5)))+((C604=TRUE)*(F604-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591=TRUE)*F591*IF(AND(Inputs!$B$39&lt;&gt;"pvp",Inputs!$B$44&gt;0),(((R591-1)*MIN((Skills!Y11*(1+Inputs!$B$34/100)),(1/Q591))+MIN((Skills!Y11*(1+Inputs!$B$34/100)),MAX(0,Inputs!$B$44-((R591-1)*(1/Q591)))))/Inputs!$B$44),IF(Inputs!$B$39="pvp",MIN((Skills!Y11*(1+Inputs!$B$34/100)),15)/15,MIN(1,(Skills!Y11*(1+Inputs!$B$34/100))/(1/Q591)))))/100)*(1+((C596=TRUE)*F596*IF(AND(Inputs!$B$39&lt;&gt;"pvp",Inputs!$B$44&gt;0),(((R596-1)*MIN((Skills!Y16*(1+Inputs!$B$34/100)),(1/Q596))+MIN((Skills!Y16*(1+Inputs!$B$34/100)),MAX(0,Inputs!$B$44-((R596-1)*(1/Q596)))))/Inputs!$B$44),IF(Inputs!$B$39="pvp",MIN((Skills!Y16*(1+Inputs!$B$34/100)),15)/15,MIN(1,(Skills!Y16*(1+Inputs!$B$34/100))/(1/Q596)))))/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616*I593)</f>
        <v/>
      </c>
      <c r="L593">
        <f>K593*(MIN(Inputs!$B$22+((C605=TRUE)*(F605-Calc!F25)),(Inputs!$B$23+((C610=TRUE)*(F610-Calc!F30))+IF(ArtifactsInput!$M$15,CHOOSE(ArtifactsInput!$N$15+1,25,30,35,40,45,50)/100*(Inputs!$B$11-Inputs!$B$11),0)))/100+(Inputs!$B$23+((C610=TRUE)*(F610-Calc!F30))+IF(ArtifactsInput!$M$15,CHOOSE(ArtifactsInput!$N$15+1,25,30,35,40,45,50)/100*(Inputs!$B$11-Inputs!$B$11),0))/100)/2</f>
        <v/>
      </c>
      <c r="M593">
        <f>L593*(1+(Inputs!$B$10+((C607=TRUE)*(F607-Calc!F27))+B621+(IF(ArtifactsInput!$M$24,CHOOSE(ArtifactsInput!$N$24+1,30,36,42,48,54,60)/100*((Inputs!$B$9+1)-Inputs!$B$9),0)+IF(ArtifactsInput!$M$10,CHOOSE(ArtifactsInput!$N$10+1,20,24,28,32,36,40)*(IF(Inputs!$B$39="pvp",MIN(15,15)/15,IF(AND(Inputs!$B$39&lt;&gt;"pvp",Inputs!$B$44&gt;0),MIN(15,Inputs!$B$44)/(Inputs!$B$44),0))),0)+IF(ArtifactsInput!$M$31,1.5*CHOOSE(ArtifactsInput!$N$31+1,20,24,28,32,36,40),0)))/100)</f>
        <v/>
      </c>
      <c r="N593">
        <f>L593*(1-MIN(((Inputs!$B$9+1)+((C606=TRUE)*(F606-Calc!F26))+B614+(ArtifactsInput!$M$24-ArtifactsInput!$M$24)*CHOOSE(ArtifactsInput!$N$24+1,10,12,14,16,18,20)+(IF(AND(Inputs!$B$39&lt;&gt;"pvp",Inputs!$B$44=0),1,IF(IF(Inputs!$B$39="pvp",15,Inputs!$B$44)-(B625)&lt;=0,1,MAX(0,IF(Inputs!$B$39="pvp",15,Inputs!$B$44)-MAX(5,B625))/(IF(Inputs!$B$39="pvp",15,Inputs!$B$44)-(B625))))*IF(AND(ArtifactsInput!$M$42,(((Inputs!$B$9+1)+((C606=TRUE)*(F606-Calc!F26))+B614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593*(MIN(((Inputs!$B$9+1)+((C606=TRUE)*(F606-Calc!F26))+B614+(ArtifactsInput!$M$24-ArtifactsInput!$M$24)*CHOOSE(ArtifactsInput!$N$24+1,10,12,14,16,18,20)+(IF(AND(Inputs!$B$39&lt;&gt;"pvp",Inputs!$B$44=0),1,IF(IF(Inputs!$B$39="pvp",15,Inputs!$B$44)-(B625)&lt;=0,1,MAX(0,IF(Inputs!$B$39="pvp",15,Inputs!$B$44)-MAX(5,B625))/(IF(Inputs!$B$39="pvp",15,Inputs!$B$44)-(B625))))*IF(AND(ArtifactsInput!$M$42,(((Inputs!$B$9+1)+((C606=TRUE)*(F606-Calc!F26))+B614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593">
        <f>(1-Summary!$B$11)*T593+Summary!$B$11*V593</f>
        <v/>
      </c>
      <c r="P593">
        <f>IF(B626=0,0,O593/B626)</f>
        <v/>
      </c>
      <c r="Q593">
        <f>IFERROR(1/IF(Inputs!$B$39="pvp",15,MAX(0.1,Skills!D13-IF(TRUE=TRUE,Inputs!$B$32,0))),0)</f>
        <v/>
      </c>
      <c r="R593">
        <f>IF(AND(Inputs!$B$39&lt;&gt;"pvp",Inputs!$B$44&gt;0),IF(MAX(0,Inputs!$B$44-B625)&lt;=0,0,(INT(MAX(0,Inputs!$B$44-B625)/IF(Inputs!$B$39="pvp",15,MAX(0.1,Skills!D13-IF(TRUE=TRUE,Inputs!$B$32,0))))+1)),0)</f>
        <v/>
      </c>
      <c r="S593">
        <f>IFERROR(O593/N593,0)</f>
        <v/>
      </c>
      <c r="T593">
        <f>IF(C593,(H593*N593*IF(AND(Inputs!$B$39&lt;&gt;"pvp",Inputs!$B$44&gt;0),((Skills!G13*((R593-1)*IF(Skills!H13&gt;0,Skills!I13/Skills!H13,1)+IF(Skills!H13&gt;0,MIN(Skills!I13,MAX(0,MAX(0,Inputs!$B$44-B625)-((R593-1)*IF(Inputs!$B$39="pvp",15,MAX(0.1,Skills!D13-IF(TRUE=TRUE,Inputs!$B$32,0))))))/Skills!H13,1)))/Inputs!$B$44),G593*Q593))*IF(Inputs!$B$39="pvp",1,1+(Inputs!$B$20+0+Skills!P13+B615+(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Hunt"),CHOOSE(ArtifactsInput!$N$35+1,15,18,21,24,27,30)*(1-EXP(-(0.2*B618)*5)),0)+IF(AND(ArtifactsInput!$M$22,Inputs!$B$4&lt;&gt;"Chapter Hunt"),CHOOSE(ArtifactsInput!$N$22+1,10,12,14,16,18,20)*((0*(((0.15*B618*5))^0/1)+1*(((0.15*B618*5))^1/1)+2*(((0.15*B618*5))^2/2)+3*(((0.15*B618*5))^3/6)+4*(((0.15*B618*5))^4/24)+5*(((0.15*B618*5))^5/120))/((((0.15*B618*5))^0/1)+(((0.15*B618*5))^1/1)+(((0.15*B618*5))^2/2)+(((0.15*B618*5))^3/6)+(((0.15*B618*5))^4/24)+(((0.15*B618*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593*(1-MIN(100,((Inputs!$B$9+1)+((C606=TRUE)*(F606-Calc!F26))+B614+(ArtifactsInput!$M$24-ArtifactsInput!$M$24)*CHOOSE(ArtifactsInput!$N$24+1,10,12,14,16,18,20)+(IF(AND(Inputs!$B$39&lt;&gt;"pvp",Inputs!$B$44=0),1,IF(IF(Inputs!$B$39="pvp",15,Inputs!$B$44)-(B625)&lt;=0,1,MAX(0,IF(Inputs!$B$39="pvp",15,Inputs!$B$44)-MAX(5,B625))/(IF(Inputs!$B$39="pvp",15,Inputs!$B$44)-(B625))))*IF(AND(ArtifactsInput!$M$42,(((Inputs!$B$9+1)+((C606=TRUE)*(F606-Calc!F26))+B614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593*(MIN(100,((Inputs!$B$9+1)+((C606=TRUE)*(F606-Calc!F26))+B614+(ArtifactsInput!$M$24-ArtifactsInput!$M$24)*CHOOSE(ArtifactsInput!$N$24+1,10,12,14,16,18,20)+(IF(AND(Inputs!$B$39&lt;&gt;"pvp",Inputs!$B$44=0),1,IF(IF(Inputs!$B$39="pvp",15,Inputs!$B$44)-(B625)&lt;=0,1,MAX(0,IF(Inputs!$B$39="pvp",15,Inputs!$B$44)-MAX(5,B625))/(IF(Inputs!$B$39="pvp",15,Inputs!$B$44)-(B625))))*IF(AND(ArtifactsInput!$M$42,(((Inputs!$B$9+1)+((C606=TRUE)*(F606-Calc!F26))+B614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593*(1-MIN(100,((Inputs!$B$9+1)+((C606=TRUE)*(F606-Calc!F26))+B614+(ArtifactsInput!$M$24-ArtifactsInput!$M$24)*CHOOSE(ArtifactsInput!$N$24+1,10,12,14,16,18,20)+(IF(AND(Inputs!$B$39&lt;&gt;"pvp",Inputs!$B$44=0),1,IF(IF(Inputs!$B$39="pvp",15,Inputs!$B$44)-(B625)&lt;=0,1,MAX(0,IF(Inputs!$B$39="pvp",15,Inputs!$B$44)-MAX(5,B625))/(IF(Inputs!$B$39="pvp",15,Inputs!$B$44)-(B625))))*IF(AND(ArtifactsInput!$M$42,(((Inputs!$B$9+1)+((C606=TRUE)*(F606-Calc!F26))+B614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593*(MIN(100,((Inputs!$B$9+1)+((C606=TRUE)*(F606-Calc!F26))+B614+(ArtifactsInput!$M$24-ArtifactsInput!$M$24)*CHOOSE(ArtifactsInput!$N$24+1,10,12,14,16,18,20)+(IF(AND(Inputs!$B$39&lt;&gt;"pvp",Inputs!$B$44=0),1,IF(IF(Inputs!$B$39="pvp",15,Inputs!$B$44)-(B625)&lt;=0,1,MAX(0,IF(Inputs!$B$39="pvp",15,Inputs!$B$44)-MAX(5,B625))/(IF(Inputs!$B$39="pvp",15,Inputs!$B$44)-(B625))))*IF(AND(ArtifactsInput!$M$42,(((Inputs!$B$9+1)+((C606=TRUE)*(F606-Calc!F26))+B614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593">
        <f>IF(C593,(H593*N593*IF(AND(Inputs!$B$39&lt;&gt;"pvp",Inputs!$B$44&gt;0),((Skills!G13*((R593-1)*IF(Skills!H13&gt;0,Skills!I13/Skills!H13,1)+IF(Skills!H13&gt;0,MIN(Skills!I13,MAX(0,MAX(0,Inputs!$B$44-B625)-((R593-1)*IF(Inputs!$B$39="pvp",15,MAX(0.1,Skills!D13-IF(TRUE=TRUE,Inputs!$B$32,0))))))/Skills!H13,1)))/Inputs!$B$44),G593*Q593))*IF(Inputs!$B$39="pvp",1,(1+(Inputs!$B$21+Skills!Q13+B615+(IF(ArtifactsInput!$M$33,CHOOSE(ArtifactsInput!$N$33+1,30,36,42,48,54,60),0))+(IF(AND(ArtifactsInput!$M$35,Inputs!$B$4&lt;&gt;"Chapter Hunt"),CHOOSE(ArtifactsInput!$N$35+1,15,18,21,24,27,30)*(1-EXP(-(0.2*B618)*5)),0)+IF(AND(ArtifactsInput!$M$22,Inputs!$B$4&lt;&gt;"Chapter Hunt"),CHOOSE(ArtifactsInput!$N$22+1,10,12,14,16,18,20)*((0*(((0.15*B618*5))^0/1)+1*(((0.15*B618*5))^1/1)+2*(((0.15*B618*5))^2/2)+3*(((0.15*B618*5))^3/6)+4*(((0.15*B618*5))^4/24)+5*(((0.15*B618*5))^5/120))/((((0.15*B618*5))^0/1)+(((0.15*B618*5))^1/1)+(((0.15*B618*5))^2/2)+(((0.15*B618*5))^3/6)+(((0.15*B618*5))^4/24)+(((0.15*B618*5))^5/120))),0)))/100)*(MIN(Skills!W13,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594">
      <c r="A594">
        <f>Skills!A14</f>
        <v/>
      </c>
      <c r="B594">
        <f>Skills!B14</f>
        <v/>
      </c>
      <c r="C594">
        <f>Inputs!$B$3&gt;=105</f>
        <v/>
      </c>
      <c r="D594">
        <f>IF(Skills!C14=1,60+Inputs!$B$25+Inputs!$B$29,IF(Skills!C14=2,90+Inputs!$B$26+Inputs!$B$29,IF(Skills!C14=3,120+Inputs!$B$27+Inputs!$B$29,MAX(0,(Inputs!$B$3-100)*3)+Inputs!$B$28+Inputs!$B$29)))</f>
        <v/>
      </c>
      <c r="E594">
        <f>INDEX(FactorTable!$B$2:$Y$301, MATCH(ROUND(MIN(300,MAX(1,D594)),0), FactorTable!$A$2:$A$301,0), Skills!M14+1)</f>
        <v/>
      </c>
      <c r="F594">
        <f>IF(Skills!N14=TRUE,(Skills!L14/10)*(E594/1000),Skills!L14/10)+Skills!O14</f>
        <v/>
      </c>
      <c r="G594">
        <f>Skills!G14*IF(Skills!H14&gt;0,IF(Inputs!$B$39="pvp",MIN(Skills!I14,15),Skills!I14)/Skills!H14,1)</f>
        <v/>
      </c>
      <c r="H594">
        <f>1-(1-Skills!J14/100)^Skills!K14</f>
        <v/>
      </c>
      <c r="I594" t="inlineStr">
        <is>
          <t>1</t>
        </is>
      </c>
      <c r="J594">
        <f>((Inputs!$B$6*(1+Inputs!$B$7/100))+(((Inputs!$B$12*(1+Inputs!$B$13/100))-(Inputs!$B$12*(1+Inputs!$B$13/100)))+0.25*(Inputs!$B$14-Inputs!$B$14))*(1+Inputs!$B$7/100))*(F594/100)</f>
        <v/>
      </c>
      <c r="K594">
        <f>J594*(1+((Inputs!$B$12*(1+Inputs!$B$13/100))*0.01+Inputs!$B$14*0.0025)/100)*(1+Inputs!$B$15/100)*(1+Inputs!$B$16/100)*(5000/(6000+Inputs!$B$43*(1-(100*(1-(1-Inputs!$B$19/100)*(1-CHOOSE(ArtifactsInput!$N$40+1,5,6,7,8,9,10)/100)^(ArtifactsInput!$M$40-ArtifactsInput!$M$40)))/100)))*(1+(Inputs!$B$24+((C611=TRUE)*(F611-Calc!F31))+((C598=TRUE)*(F598-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14="CRUEL_STAB",Inputs!$B$17+((C608=TRUE)*(F608-Calc!F28))+((IF(AND(Inputs!$B$39&lt;&gt;"pvp",Inputs!$B$44=0),1,IF(IF(Inputs!$B$39="pvp",15,Inputs!$B$44)-(B625)&lt;=0,1,MAX(0,IF(Inputs!$B$39="pvp",15,Inputs!$B$44)-MAX(5,B625))/(IF(Inputs!$B$39="pvp",15,Inputs!$B$44)-(B625))))*(IF(AND(ArtifactsInput!$M$42,(((Inputs!$B$9+1)+((C606=TRUE)*(F606-Calc!F26))+B614+(ArtifactsInput!$M$24-ArtifactsInput!$M$24)*CHOOSE(ArtifactsInput!$N$24+1,10,12,14,16,18,20)+IF(ArtifactsInput!$M$10,CHOOSE(ArtifactsInput!$N$10+1,15,18,21,24,27,30)*(IF(Inputs!$B$39="pvp",MIN(15,15)/15,IF(AND(Inputs!$B$39&lt;&gt;"pvp",Inputs!$B$44&gt;0),MIN(15,Inputs!$B$44)/(Inputs!$B$44),0))),0)))&gt;=100),MIN(100,(((Inputs!$B$9+1)+((C606=TRUE)*(F606-Calc!F26))+B614+(ArtifactsInput!$M$24-ArtifactsInput!$M$24)*CHOOSE(ArtifactsInput!$N$24+1,10,12,14,16,18,20)+IF(ArtifactsInput!$M$10,CHOOSE(ArtifactsInput!$N$10+1,15,18,21,24,27,30)*(IF(Inputs!$B$39="pvp",MIN(15,15)/15,IF(AND(Inputs!$B$39&lt;&gt;"pvp",Inputs!$B$44&gt;0),MIN(15,Inputs!$B$44)/(Inputs!$B$44),0))),0)))-100),0))*CHOOSE(ArtifactsInput!$N$42+1,0.6,0.72,0.84,0.96,1.08,1.2))),Inputs!$B$18+((C609=TRUE)*(F609-Calc!F29))+(IF(AND(Inputs!$B$39&lt;&gt;"pvp",Inputs!$B$44=0),1,IF(IF(Inputs!$B$39="pvp",15,Inputs!$B$44)-(B625)&lt;=0,1,MAX(0,IF(Inputs!$B$39="pvp",15,Inputs!$B$44)-MAX(5,B625))/(IF(Inputs!$B$39="pvp",15,Inputs!$B$44)-(B625))))*IF(AND(ArtifactsInput!$M$42,(((Inputs!$B$9+1)+((C606=TRUE)*(F606-Calc!F26))+B614+(ArtifactsInput!$M$24-ArtifactsInput!$M$24)*CHOOSE(ArtifactsInput!$N$24+1,10,12,14,16,18,20)+IF(ArtifactsInput!$M$10,CHOOSE(ArtifactsInput!$N$10+1,15,18,21,24,27,30)*(IF(Inputs!$B$39="pvp",MIN(15,15)/15,IF(AND(Inputs!$B$39&lt;&gt;"pvp",Inputs!$B$44&gt;0),MIN(15,Inputs!$B$44)/(Inputs!$B$44),0))),0)))&gt;=100),CHOOSE(ArtifactsInput!$N$42+1,40,48,56,64,72,80),0))))/100)*(((1+(((C602=TRUE)*F602*IF(AND(Inputs!$B$39&lt;&gt;"pvp",Inputs!$B$44&gt;0),(((R602-1)*MIN((Skills!Y22*(1+Inputs!$B$34/100)),(1/Q602))+MIN((Skills!Y22*(1+Inputs!$B$34/100)),MAX(0,Inputs!$B$44-((R602-1)*(1/Q602)))))/Inputs!$B$44),IF(Inputs!$B$39="pvp",MIN((Skills!Y22*(1+Inputs!$B$34/100)),15)/15,MIN(1,(Skills!Y22*(1+Inputs!$B$34/100))/(1/Q602)))))+((C583=TRUE)*F583*3)+((C585=TRUE)*F585*(1-EXP(-0.75*B618*5)))+((C604=TRUE)*(F604-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591=TRUE)*F591*IF(AND(Inputs!$B$39&lt;&gt;"pvp",Inputs!$B$44&gt;0),(((R591-1)*MIN((Skills!Y11*(1+Inputs!$B$34/100)),(1/Q591))+MIN((Skills!Y11*(1+Inputs!$B$34/100)),MAX(0,Inputs!$B$44-((R591-1)*(1/Q591)))))/Inputs!$B$44),IF(Inputs!$B$39="pvp",MIN((Skills!Y11*(1+Inputs!$B$34/100)),15)/15,MIN(1,(Skills!Y11*(1+Inputs!$B$34/100))/(1/Q591)))))/100)*(1+((C596=TRUE)*F596*IF(AND(Inputs!$B$39&lt;&gt;"pvp",Inputs!$B$44&gt;0),(((R596-1)*MIN((Skills!Y16*(1+Inputs!$B$34/100)),(1/Q596))+MIN((Skills!Y16*(1+Inputs!$B$34/100)),MAX(0,Inputs!$B$44-((R596-1)*(1/Q596)))))/Inputs!$B$44),IF(Inputs!$B$39="pvp",MIN((Skills!Y16*(1+Inputs!$B$34/100)),15)/15,MIN(1,(Skills!Y16*(1+Inputs!$B$34/100))/(1/Q596)))))/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616*I594)</f>
        <v/>
      </c>
      <c r="L594">
        <f>K594*(MIN(Inputs!$B$22+((C605=TRUE)*(F605-Calc!F25)),(Inputs!$B$23+((C610=TRUE)*(F610-Calc!F30))+IF(ArtifactsInput!$M$15,CHOOSE(ArtifactsInput!$N$15+1,25,30,35,40,45,50)/100*(Inputs!$B$11-Inputs!$B$11),0)))/100+(Inputs!$B$23+((C610=TRUE)*(F610-Calc!F30))+IF(ArtifactsInput!$M$15,CHOOSE(ArtifactsInput!$N$15+1,25,30,35,40,45,50)/100*(Inputs!$B$11-Inputs!$B$11),0))/100)/2</f>
        <v/>
      </c>
      <c r="M594">
        <f>L594*(1+(Inputs!$B$10+((C607=TRUE)*(F607-Calc!F27))+B621+(IF(ArtifactsInput!$M$24,CHOOSE(ArtifactsInput!$N$24+1,30,36,42,48,54,60)/100*((Inputs!$B$9+1)-Inputs!$B$9),0)+IF(ArtifactsInput!$M$10,CHOOSE(ArtifactsInput!$N$10+1,20,24,28,32,36,40)*(IF(Inputs!$B$39="pvp",MIN(15,15)/15,IF(AND(Inputs!$B$39&lt;&gt;"pvp",Inputs!$B$44&gt;0),MIN(15,Inputs!$B$44)/(Inputs!$B$44),0))),0)+IF(ArtifactsInput!$M$31,1.5*CHOOSE(ArtifactsInput!$N$31+1,20,24,28,32,36,40),0)))/100)</f>
        <v/>
      </c>
      <c r="N594">
        <f>L594*(1-MIN(((Inputs!$B$9+1)+((C606=TRUE)*(F606-Calc!F26))+B614+(ArtifactsInput!$M$24-ArtifactsInput!$M$24)*CHOOSE(ArtifactsInput!$N$24+1,10,12,14,16,18,20)+(IF(AND(Inputs!$B$39&lt;&gt;"pvp",Inputs!$B$44=0),1,IF(IF(Inputs!$B$39="pvp",15,Inputs!$B$44)-(B625)&lt;=0,1,MAX(0,IF(Inputs!$B$39="pvp",15,Inputs!$B$44)-MAX(5,B625))/(IF(Inputs!$B$39="pvp",15,Inputs!$B$44)-(B625))))*IF(AND(ArtifactsInput!$M$42,(((Inputs!$B$9+1)+((C606=TRUE)*(F606-Calc!F26))+B614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594*(MIN(((Inputs!$B$9+1)+((C606=TRUE)*(F606-Calc!F26))+B614+(ArtifactsInput!$M$24-ArtifactsInput!$M$24)*CHOOSE(ArtifactsInput!$N$24+1,10,12,14,16,18,20)+(IF(AND(Inputs!$B$39&lt;&gt;"pvp",Inputs!$B$44=0),1,IF(IF(Inputs!$B$39="pvp",15,Inputs!$B$44)-(B625)&lt;=0,1,MAX(0,IF(Inputs!$B$39="pvp",15,Inputs!$B$44)-MAX(5,B625))/(IF(Inputs!$B$39="pvp",15,Inputs!$B$44)-(B625))))*IF(AND(ArtifactsInput!$M$42,(((Inputs!$B$9+1)+((C606=TRUE)*(F606-Calc!F26))+B614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594">
        <f>(1-Summary!$B$11)*T594+Summary!$B$11*V594</f>
        <v/>
      </c>
      <c r="P594">
        <f>IF(B626=0,0,O594/B626)</f>
        <v/>
      </c>
      <c r="Q594">
        <f>IFERROR(1/IF(Inputs!$B$39="pvp",15,MAX(0.1,Skills!D14-IF(TRUE=TRUE,Inputs!$B$32,0))),0)</f>
        <v/>
      </c>
      <c r="R594">
        <f>IF(AND(Inputs!$B$39&lt;&gt;"pvp",Inputs!$B$44&gt;0),IF(MAX(0,Inputs!$B$44-B625)&lt;=0,0,(INT(MAX(0,Inputs!$B$44-B625)/IF(Inputs!$B$39="pvp",15,MAX(0.1,Skills!D14-IF(TRUE=TRUE,Inputs!$B$32,0))))+1)),0)</f>
        <v/>
      </c>
      <c r="S594">
        <f>IFERROR(O594/N594,0)</f>
        <v/>
      </c>
      <c r="T594">
        <f>IF(C594,(H594*N594*IF(AND(Inputs!$B$39&lt;&gt;"pvp",Inputs!$B$44&gt;0),((Skills!G14*((R594-1)*IF(Skills!H14&gt;0,Skills!I14/Skills!H14,1)+IF(Skills!H14&gt;0,MIN(Skills!I14,MAX(0,MAX(0,Inputs!$B$44-B625)-((R594-1)*IF(Inputs!$B$39="pvp",15,MAX(0.1,Skills!D14-IF(TRUE=TRUE,Inputs!$B$32,0))))))/Skills!H14,1)))/Inputs!$B$44),G594*Q594))*IF(Inputs!$B$39="pvp",1,1+(Inputs!$B$20+0+Skills!P14+B615+(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Hunt"),CHOOSE(ArtifactsInput!$N$35+1,15,18,21,24,27,30)*(1-EXP(-(0.2*B618)*5)),0)+IF(AND(ArtifactsInput!$M$22,Inputs!$B$4&lt;&gt;"Chapter Hunt"),CHOOSE(ArtifactsInput!$N$22+1,10,12,14,16,18,20)*((0*(((0.15*B618*5))^0/1)+1*(((0.15*B618*5))^1/1)+2*(((0.15*B618*5))^2/2)+3*(((0.15*B618*5))^3/6)+4*(((0.15*B618*5))^4/24)+5*(((0.15*B618*5))^5/120))/((((0.15*B618*5))^0/1)+(((0.15*B618*5))^1/1)+(((0.15*B618*5))^2/2)+(((0.15*B618*5))^3/6)+(((0.15*B618*5))^4/24)+(((0.15*B618*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594*(1-MIN(100,((Inputs!$B$9+1)+((C606=TRUE)*(F606-Calc!F26))+B614+(ArtifactsInput!$M$24-ArtifactsInput!$M$24)*CHOOSE(ArtifactsInput!$N$24+1,10,12,14,16,18,20)+(IF(AND(Inputs!$B$39&lt;&gt;"pvp",Inputs!$B$44=0),1,IF(IF(Inputs!$B$39="pvp",15,Inputs!$B$44)-(B625)&lt;=0,1,MAX(0,IF(Inputs!$B$39="pvp",15,Inputs!$B$44)-MAX(5,B625))/(IF(Inputs!$B$39="pvp",15,Inputs!$B$44)-(B625))))*IF(AND(ArtifactsInput!$M$42,(((Inputs!$B$9+1)+((C606=TRUE)*(F606-Calc!F26))+B614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594*(MIN(100,((Inputs!$B$9+1)+((C606=TRUE)*(F606-Calc!F26))+B614+(ArtifactsInput!$M$24-ArtifactsInput!$M$24)*CHOOSE(ArtifactsInput!$N$24+1,10,12,14,16,18,20)+(IF(AND(Inputs!$B$39&lt;&gt;"pvp",Inputs!$B$44=0),1,IF(IF(Inputs!$B$39="pvp",15,Inputs!$B$44)-(B625)&lt;=0,1,MAX(0,IF(Inputs!$B$39="pvp",15,Inputs!$B$44)-MAX(5,B625))/(IF(Inputs!$B$39="pvp",15,Inputs!$B$44)-(B625))))*IF(AND(ArtifactsInput!$M$42,(((Inputs!$B$9+1)+((C606=TRUE)*(F606-Calc!F26))+B614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594*(1-MIN(100,((Inputs!$B$9+1)+((C606=TRUE)*(F606-Calc!F26))+B614+(ArtifactsInput!$M$24-ArtifactsInput!$M$24)*CHOOSE(ArtifactsInput!$N$24+1,10,12,14,16,18,20)+(IF(AND(Inputs!$B$39&lt;&gt;"pvp",Inputs!$B$44=0),1,IF(IF(Inputs!$B$39="pvp",15,Inputs!$B$44)-(B625)&lt;=0,1,MAX(0,IF(Inputs!$B$39="pvp",15,Inputs!$B$44)-MAX(5,B625))/(IF(Inputs!$B$39="pvp",15,Inputs!$B$44)-(B625))))*IF(AND(ArtifactsInput!$M$42,(((Inputs!$B$9+1)+((C606=TRUE)*(F606-Calc!F26))+B614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594*(MIN(100,((Inputs!$B$9+1)+((C606=TRUE)*(F606-Calc!F26))+B614+(ArtifactsInput!$M$24-ArtifactsInput!$M$24)*CHOOSE(ArtifactsInput!$N$24+1,10,12,14,16,18,20)+(IF(AND(Inputs!$B$39&lt;&gt;"pvp",Inputs!$B$44=0),1,IF(IF(Inputs!$B$39="pvp",15,Inputs!$B$44)-(B625)&lt;=0,1,MAX(0,IF(Inputs!$B$39="pvp",15,Inputs!$B$44)-MAX(5,B625))/(IF(Inputs!$B$39="pvp",15,Inputs!$B$44)-(B625))))*IF(AND(ArtifactsInput!$M$42,(((Inputs!$B$9+1)+((C606=TRUE)*(F606-Calc!F26))+B614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594">
        <f>IF(C594,(H594*N594*IF(AND(Inputs!$B$39&lt;&gt;"pvp",Inputs!$B$44&gt;0),((Skills!G14*((R594-1)*IF(Skills!H14&gt;0,Skills!I14/Skills!H14,1)+IF(Skills!H14&gt;0,MIN(Skills!I14,MAX(0,MAX(0,Inputs!$B$44-B625)-((R594-1)*IF(Inputs!$B$39="pvp",15,MAX(0.1,Skills!D14-IF(TRUE=TRUE,Inputs!$B$32,0))))))/Skills!H14,1)))/Inputs!$B$44),G594*Q594))*IF(Inputs!$B$39="pvp",1,(1+(Inputs!$B$21+Skills!Q14+B615+(IF(ArtifactsInput!$M$33,CHOOSE(ArtifactsInput!$N$33+1,30,36,42,48,54,60),0))+(IF(AND(ArtifactsInput!$M$35,Inputs!$B$4&lt;&gt;"Chapter Hunt"),CHOOSE(ArtifactsInput!$N$35+1,15,18,21,24,27,30)*(1-EXP(-(0.2*B618)*5)),0)+IF(AND(ArtifactsInput!$M$22,Inputs!$B$4&lt;&gt;"Chapter Hunt"),CHOOSE(ArtifactsInput!$N$22+1,10,12,14,16,18,20)*((0*(((0.15*B618*5))^0/1)+1*(((0.15*B618*5))^1/1)+2*(((0.15*B618*5))^2/2)+3*(((0.15*B618*5))^3/6)+4*(((0.15*B618*5))^4/24)+5*(((0.15*B618*5))^5/120))/((((0.15*B618*5))^0/1)+(((0.15*B618*5))^1/1)+(((0.15*B618*5))^2/2)+(((0.15*B618*5))^3/6)+(((0.15*B618*5))^4/24)+(((0.15*B618*5))^5/120))),0)))/100)*(MIN(Skills!W14,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595">
      <c r="A595">
        <f>Skills!A15</f>
        <v/>
      </c>
      <c r="B595">
        <f>Skills!B15</f>
        <v/>
      </c>
      <c r="C595">
        <f>Inputs!$B$3&gt;=107</f>
        <v/>
      </c>
      <c r="D595">
        <f>IF(Skills!C15=1,60+Inputs!$B$25+Inputs!$B$29,IF(Skills!C15=2,90+Inputs!$B$26+Inputs!$B$29,IF(Skills!C15=3,120+Inputs!$B$27+Inputs!$B$29,MAX(0,(Inputs!$B$3-100)*3)+Inputs!$B$28+Inputs!$B$29)))</f>
        <v/>
      </c>
      <c r="E595">
        <f>INDEX(FactorTable!$B$2:$Y$301, MATCH(ROUND(MIN(300,MAX(1,D595)),0), FactorTable!$A$2:$A$301,0), Skills!M15+1)</f>
        <v/>
      </c>
      <c r="F595">
        <f>IF(Skills!N15=TRUE,(Skills!L15/10)*(E595/1000),Skills!L15/10)+Skills!O15</f>
        <v/>
      </c>
      <c r="G595">
        <f>Skills!G15*IF(Skills!H15&gt;0,IF(Inputs!$B$39="pvp",MIN(Skills!I15,15),Skills!I15)/Skills!H15,1)</f>
        <v/>
      </c>
      <c r="H595">
        <f>1-(1-Skills!J15/100)^Skills!K15</f>
        <v/>
      </c>
      <c r="I595" t="inlineStr">
        <is>
          <t>1</t>
        </is>
      </c>
      <c r="J595">
        <f>((Inputs!$B$6*(1+Inputs!$B$7/100))+(((Inputs!$B$12*(1+Inputs!$B$13/100))-(Inputs!$B$12*(1+Inputs!$B$13/100)))+0.25*(Inputs!$B$14-Inputs!$B$14))*(1+Inputs!$B$7/100))*(F595/100)</f>
        <v/>
      </c>
      <c r="K595">
        <f>J595*(1+((Inputs!$B$12*(1+Inputs!$B$13/100))*0.01+Inputs!$B$14*0.0025)/100)*(1+Inputs!$B$15/100)*(1+Inputs!$B$16/100)*(5000/(6000+Inputs!$B$43*(1-(100*(1-(1-Inputs!$B$19/100)*(1-CHOOSE(ArtifactsInput!$N$40+1,5,6,7,8,9,10)/100)^(ArtifactsInput!$M$40-ArtifactsInput!$M$40)))/100)))*(1+(Inputs!$B$24+((C611=TRUE)*(F611-Calc!F31))+((C598=TRUE)*(F598-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15="CRUEL_STAB",Inputs!$B$17+((C608=TRUE)*(F608-Calc!F28))+((IF(AND(Inputs!$B$39&lt;&gt;"pvp",Inputs!$B$44=0),1,IF(IF(Inputs!$B$39="pvp",15,Inputs!$B$44)-(B625)&lt;=0,1,MAX(0,IF(Inputs!$B$39="pvp",15,Inputs!$B$44)-MAX(5,B625))/(IF(Inputs!$B$39="pvp",15,Inputs!$B$44)-(B625))))*(IF(AND(ArtifactsInput!$M$42,(((Inputs!$B$9+1)+((C606=TRUE)*(F606-Calc!F26))+B614+(ArtifactsInput!$M$24-ArtifactsInput!$M$24)*CHOOSE(ArtifactsInput!$N$24+1,10,12,14,16,18,20)+IF(ArtifactsInput!$M$10,CHOOSE(ArtifactsInput!$N$10+1,15,18,21,24,27,30)*(IF(Inputs!$B$39="pvp",MIN(15,15)/15,IF(AND(Inputs!$B$39&lt;&gt;"pvp",Inputs!$B$44&gt;0),MIN(15,Inputs!$B$44)/(Inputs!$B$44),0))),0)))&gt;=100),MIN(100,(((Inputs!$B$9+1)+((C606=TRUE)*(F606-Calc!F26))+B614+(ArtifactsInput!$M$24-ArtifactsInput!$M$24)*CHOOSE(ArtifactsInput!$N$24+1,10,12,14,16,18,20)+IF(ArtifactsInput!$M$10,CHOOSE(ArtifactsInput!$N$10+1,15,18,21,24,27,30)*(IF(Inputs!$B$39="pvp",MIN(15,15)/15,IF(AND(Inputs!$B$39&lt;&gt;"pvp",Inputs!$B$44&gt;0),MIN(15,Inputs!$B$44)/(Inputs!$B$44),0))),0)))-100),0))*CHOOSE(ArtifactsInput!$N$42+1,0.6,0.72,0.84,0.96,1.08,1.2))),Inputs!$B$18+((C609=TRUE)*(F609-Calc!F29))+(IF(AND(Inputs!$B$39&lt;&gt;"pvp",Inputs!$B$44=0),1,IF(IF(Inputs!$B$39="pvp",15,Inputs!$B$44)-(B625)&lt;=0,1,MAX(0,IF(Inputs!$B$39="pvp",15,Inputs!$B$44)-MAX(5,B625))/(IF(Inputs!$B$39="pvp",15,Inputs!$B$44)-(B625))))*IF(AND(ArtifactsInput!$M$42,(((Inputs!$B$9+1)+((C606=TRUE)*(F606-Calc!F26))+B614+(ArtifactsInput!$M$24-ArtifactsInput!$M$24)*CHOOSE(ArtifactsInput!$N$24+1,10,12,14,16,18,20)+IF(ArtifactsInput!$M$10,CHOOSE(ArtifactsInput!$N$10+1,15,18,21,24,27,30)*(IF(Inputs!$B$39="pvp",MIN(15,15)/15,IF(AND(Inputs!$B$39&lt;&gt;"pvp",Inputs!$B$44&gt;0),MIN(15,Inputs!$B$44)/(Inputs!$B$44),0))),0)))&gt;=100),CHOOSE(ArtifactsInput!$N$42+1,40,48,56,64,72,80),0))))/100)*(((1+(((C602=TRUE)*F602*IF(AND(Inputs!$B$39&lt;&gt;"pvp",Inputs!$B$44&gt;0),(((R602-1)*MIN((Skills!Y22*(1+Inputs!$B$34/100)),(1/Q602))+MIN((Skills!Y22*(1+Inputs!$B$34/100)),MAX(0,Inputs!$B$44-((R602-1)*(1/Q602)))))/Inputs!$B$44),IF(Inputs!$B$39="pvp",MIN((Skills!Y22*(1+Inputs!$B$34/100)),15)/15,MIN(1,(Skills!Y22*(1+Inputs!$B$34/100))/(1/Q602)))))+((C583=TRUE)*F583*3)+((C585=TRUE)*F585*(1-EXP(-0.75*B618*5)))+((C604=TRUE)*(F604-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591=TRUE)*F591*IF(AND(Inputs!$B$39&lt;&gt;"pvp",Inputs!$B$44&gt;0),(((R591-1)*MIN((Skills!Y11*(1+Inputs!$B$34/100)),(1/Q591))+MIN((Skills!Y11*(1+Inputs!$B$34/100)),MAX(0,Inputs!$B$44-((R591-1)*(1/Q591)))))/Inputs!$B$44),IF(Inputs!$B$39="pvp",MIN((Skills!Y11*(1+Inputs!$B$34/100)),15)/15,MIN(1,(Skills!Y11*(1+Inputs!$B$34/100))/(1/Q591)))))/100)*(1+((C596=TRUE)*F596*IF(AND(Inputs!$B$39&lt;&gt;"pvp",Inputs!$B$44&gt;0),(((R596-1)*MIN((Skills!Y16*(1+Inputs!$B$34/100)),(1/Q596))+MIN((Skills!Y16*(1+Inputs!$B$34/100)),MAX(0,Inputs!$B$44-((R596-1)*(1/Q596)))))/Inputs!$B$44),IF(Inputs!$B$39="pvp",MIN((Skills!Y16*(1+Inputs!$B$34/100)),15)/15,MIN(1,(Skills!Y16*(1+Inputs!$B$34/100))/(1/Q596)))))/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616*I595)</f>
        <v/>
      </c>
      <c r="L595">
        <f>K595*(MIN(Inputs!$B$22+((C605=TRUE)*(F605-Calc!F25)),(Inputs!$B$23+((C610=TRUE)*(F610-Calc!F30))+IF(ArtifactsInput!$M$15,CHOOSE(ArtifactsInput!$N$15+1,25,30,35,40,45,50)/100*(Inputs!$B$11-Inputs!$B$11),0)))/100+(Inputs!$B$23+((C610=TRUE)*(F610-Calc!F30))+IF(ArtifactsInput!$M$15,CHOOSE(ArtifactsInput!$N$15+1,25,30,35,40,45,50)/100*(Inputs!$B$11-Inputs!$B$11),0))/100)/2</f>
        <v/>
      </c>
      <c r="M595">
        <f>L595*(1+(Inputs!$B$10+((C607=TRUE)*(F607-Calc!F27))+B621+(IF(ArtifactsInput!$M$24,CHOOSE(ArtifactsInput!$N$24+1,30,36,42,48,54,60)/100*((Inputs!$B$9+1)-Inputs!$B$9),0)+IF(ArtifactsInput!$M$10,CHOOSE(ArtifactsInput!$N$10+1,20,24,28,32,36,40)*(IF(Inputs!$B$39="pvp",MIN(15,15)/15,IF(AND(Inputs!$B$39&lt;&gt;"pvp",Inputs!$B$44&gt;0),MIN(15,Inputs!$B$44)/(Inputs!$B$44),0))),0)+IF(ArtifactsInput!$M$31,1.5*CHOOSE(ArtifactsInput!$N$31+1,20,24,28,32,36,40),0)))/100)</f>
        <v/>
      </c>
      <c r="N595">
        <f>L595*(1-MIN(((Inputs!$B$9+1)+((C606=TRUE)*(F606-Calc!F26))+B614+(ArtifactsInput!$M$24-ArtifactsInput!$M$24)*CHOOSE(ArtifactsInput!$N$24+1,10,12,14,16,18,20)+(IF(AND(Inputs!$B$39&lt;&gt;"pvp",Inputs!$B$44=0),1,IF(IF(Inputs!$B$39="pvp",15,Inputs!$B$44)-(B625)&lt;=0,1,MAX(0,IF(Inputs!$B$39="pvp",15,Inputs!$B$44)-MAX(5,B625))/(IF(Inputs!$B$39="pvp",15,Inputs!$B$44)-(B625))))*IF(AND(ArtifactsInput!$M$42,(((Inputs!$B$9+1)+((C606=TRUE)*(F606-Calc!F26))+B614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595*(MIN(((Inputs!$B$9+1)+((C606=TRUE)*(F606-Calc!F26))+B614+(ArtifactsInput!$M$24-ArtifactsInput!$M$24)*CHOOSE(ArtifactsInput!$N$24+1,10,12,14,16,18,20)+(IF(AND(Inputs!$B$39&lt;&gt;"pvp",Inputs!$B$44=0),1,IF(IF(Inputs!$B$39="pvp",15,Inputs!$B$44)-(B625)&lt;=0,1,MAX(0,IF(Inputs!$B$39="pvp",15,Inputs!$B$44)-MAX(5,B625))/(IF(Inputs!$B$39="pvp",15,Inputs!$B$44)-(B625))))*IF(AND(ArtifactsInput!$M$42,(((Inputs!$B$9+1)+((C606=TRUE)*(F606-Calc!F26))+B614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595">
        <f>(1-Summary!$B$11)*T595+Summary!$B$11*V595</f>
        <v/>
      </c>
      <c r="P595">
        <f>IF(B626=0,0,O595/B626)</f>
        <v/>
      </c>
      <c r="Q595">
        <f>IFERROR(1/IF(Inputs!$B$39="pvp",15,MAX(0.1,Skills!D15-IF(TRUE=TRUE,Inputs!$B$32,0))),0)</f>
        <v/>
      </c>
      <c r="R595">
        <f>IF(AND(Inputs!$B$39&lt;&gt;"pvp",Inputs!$B$44&gt;0),IF(MAX(0,Inputs!$B$44-B625)&lt;=0,0,(INT(MAX(0,Inputs!$B$44-B625)/IF(Inputs!$B$39="pvp",15,MAX(0.1,Skills!D15-IF(TRUE=TRUE,Inputs!$B$32,0))))+1)),0)</f>
        <v/>
      </c>
      <c r="S595">
        <f>IFERROR(O595/N595,0)</f>
        <v/>
      </c>
      <c r="T595">
        <f>IF(C595,(H595*N595*IF(AND(Inputs!$B$39&lt;&gt;"pvp",Inputs!$B$44&gt;0),((Skills!G15*((R595-1)*IF(Skills!H15&gt;0,Skills!I15/Skills!H15,1)+IF(Skills!H15&gt;0,MIN(Skills!I15,MAX(0,MAX(0,Inputs!$B$44-B625)-((R595-1)*IF(Inputs!$B$39="pvp",15,MAX(0.1,Skills!D15-IF(TRUE=TRUE,Inputs!$B$32,0))))))/Skills!H15,1)))/Inputs!$B$44),G595*Q595))*IF(Inputs!$B$39="pvp",1,1+(Inputs!$B$20+0+Skills!P15+B615+(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Hunt"),CHOOSE(ArtifactsInput!$N$35+1,15,18,21,24,27,30)*(1-EXP(-(0.2*B618)*5)),0)+IF(AND(ArtifactsInput!$M$22,Inputs!$B$4&lt;&gt;"Chapter Hunt"),CHOOSE(ArtifactsInput!$N$22+1,10,12,14,16,18,20)*((0*(((0.15*B618*5))^0/1)+1*(((0.15*B618*5))^1/1)+2*(((0.15*B618*5))^2/2)+3*(((0.15*B618*5))^3/6)+4*(((0.15*B618*5))^4/24)+5*(((0.15*B618*5))^5/120))/((((0.15*B618*5))^0/1)+(((0.15*B618*5))^1/1)+(((0.15*B618*5))^2/2)+(((0.15*B618*5))^3/6)+(((0.15*B618*5))^4/24)+(((0.15*B618*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595*(1-MIN(100,((Inputs!$B$9+1)+((C606=TRUE)*(F606-Calc!F26))+B614+(ArtifactsInput!$M$24-ArtifactsInput!$M$24)*CHOOSE(ArtifactsInput!$N$24+1,10,12,14,16,18,20)+(IF(AND(Inputs!$B$39&lt;&gt;"pvp",Inputs!$B$44=0),1,IF(IF(Inputs!$B$39="pvp",15,Inputs!$B$44)-(B625)&lt;=0,1,MAX(0,IF(Inputs!$B$39="pvp",15,Inputs!$B$44)-MAX(5,B625))/(IF(Inputs!$B$39="pvp",15,Inputs!$B$44)-(B625))))*IF(AND(ArtifactsInput!$M$42,(((Inputs!$B$9+1)+((C606=TRUE)*(F606-Calc!F26))+B614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595*(MIN(100,((Inputs!$B$9+1)+((C606=TRUE)*(F606-Calc!F26))+B614+(ArtifactsInput!$M$24-ArtifactsInput!$M$24)*CHOOSE(ArtifactsInput!$N$24+1,10,12,14,16,18,20)+(IF(AND(Inputs!$B$39&lt;&gt;"pvp",Inputs!$B$44=0),1,IF(IF(Inputs!$B$39="pvp",15,Inputs!$B$44)-(B625)&lt;=0,1,MAX(0,IF(Inputs!$B$39="pvp",15,Inputs!$B$44)-MAX(5,B625))/(IF(Inputs!$B$39="pvp",15,Inputs!$B$44)-(B625))))*IF(AND(ArtifactsInput!$M$42,(((Inputs!$B$9+1)+((C606=TRUE)*(F606-Calc!F26))+B614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595*(1-MIN(100,((Inputs!$B$9+1)+((C606=TRUE)*(F606-Calc!F26))+B614+(ArtifactsInput!$M$24-ArtifactsInput!$M$24)*CHOOSE(ArtifactsInput!$N$24+1,10,12,14,16,18,20)+(IF(AND(Inputs!$B$39&lt;&gt;"pvp",Inputs!$B$44=0),1,IF(IF(Inputs!$B$39="pvp",15,Inputs!$B$44)-(B625)&lt;=0,1,MAX(0,IF(Inputs!$B$39="pvp",15,Inputs!$B$44)-MAX(5,B625))/(IF(Inputs!$B$39="pvp",15,Inputs!$B$44)-(B625))))*IF(AND(ArtifactsInput!$M$42,(((Inputs!$B$9+1)+((C606=TRUE)*(F606-Calc!F26))+B614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595*(MIN(100,((Inputs!$B$9+1)+((C606=TRUE)*(F606-Calc!F26))+B614+(ArtifactsInput!$M$24-ArtifactsInput!$M$24)*CHOOSE(ArtifactsInput!$N$24+1,10,12,14,16,18,20)+(IF(AND(Inputs!$B$39&lt;&gt;"pvp",Inputs!$B$44=0),1,IF(IF(Inputs!$B$39="pvp",15,Inputs!$B$44)-(B625)&lt;=0,1,MAX(0,IF(Inputs!$B$39="pvp",15,Inputs!$B$44)-MAX(5,B625))/(IF(Inputs!$B$39="pvp",15,Inputs!$B$44)-(B625))))*IF(AND(ArtifactsInput!$M$42,(((Inputs!$B$9+1)+((C606=TRUE)*(F606-Calc!F26))+B614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595">
        <f>IF(C595,(H595*N595*IF(AND(Inputs!$B$39&lt;&gt;"pvp",Inputs!$B$44&gt;0),((Skills!G15*((R595-1)*IF(Skills!H15&gt;0,Skills!I15/Skills!H15,1)+IF(Skills!H15&gt;0,MIN(Skills!I15,MAX(0,MAX(0,Inputs!$B$44-B625)-((R595-1)*IF(Inputs!$B$39="pvp",15,MAX(0.1,Skills!D15-IF(TRUE=TRUE,Inputs!$B$32,0))))))/Skills!H15,1)))/Inputs!$B$44),G595*Q595))*IF(Inputs!$B$39="pvp",1,(1+(Inputs!$B$21+Skills!Q15+B615+(IF(ArtifactsInput!$M$33,CHOOSE(ArtifactsInput!$N$33+1,30,36,42,48,54,60),0))+(IF(AND(ArtifactsInput!$M$35,Inputs!$B$4&lt;&gt;"Chapter Hunt"),CHOOSE(ArtifactsInput!$N$35+1,15,18,21,24,27,30)*(1-EXP(-(0.2*B618)*5)),0)+IF(AND(ArtifactsInput!$M$22,Inputs!$B$4&lt;&gt;"Chapter Hunt"),CHOOSE(ArtifactsInput!$N$22+1,10,12,14,16,18,20)*((0*(((0.15*B618*5))^0/1)+1*(((0.15*B618*5))^1/1)+2*(((0.15*B618*5))^2/2)+3*(((0.15*B618*5))^3/6)+4*(((0.15*B618*5))^4/24)+5*(((0.15*B618*5))^5/120))/((((0.15*B618*5))^0/1)+(((0.15*B618*5))^1/1)+(((0.15*B618*5))^2/2)+(((0.15*B618*5))^3/6)+(((0.15*B618*5))^4/24)+(((0.15*B618*5))^5/120))),0)))/100)*(MIN(MIN(5,0.5*IF(Inputs!$B$3&gt;=75,0.75,0.5)*B618*(1/Q584))*Skills!V15,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596">
      <c r="A596">
        <f>Skills!A16</f>
        <v/>
      </c>
      <c r="B596">
        <f>Skills!B16</f>
        <v/>
      </c>
      <c r="C596">
        <f>Inputs!$B$3&gt;=110</f>
        <v/>
      </c>
      <c r="D596">
        <f>IF(Skills!C16=1,60+Inputs!$B$25+Inputs!$B$29,IF(Skills!C16=2,90+Inputs!$B$26+Inputs!$B$29,IF(Skills!C16=3,120+Inputs!$B$27+Inputs!$B$29,MAX(0,(Inputs!$B$3-100)*3)+Inputs!$B$28+Inputs!$B$29)))</f>
        <v/>
      </c>
      <c r="E596">
        <f>INDEX(FactorTable!$B$2:$Y$301, MATCH(ROUND(MIN(300,MAX(1,D596)),0), FactorTable!$A$2:$A$301,0), Skills!M16+1)</f>
        <v/>
      </c>
      <c r="F596">
        <f>IF(Skills!N16=TRUE,(Skills!L16/10)*(E596/1000),Skills!L16/10)+Skills!O16</f>
        <v/>
      </c>
      <c r="G596">
        <f>Skills!G16*IF(Skills!H16&gt;0,IF(Inputs!$B$39="pvp",MIN(Skills!I16,15),Skills!I16)/Skills!H16,1)</f>
        <v/>
      </c>
      <c r="H596">
        <f>1-(1-Skills!J16/100)^Skills!K16</f>
        <v/>
      </c>
      <c r="I596" t="inlineStr">
        <is>
          <t>1</t>
        </is>
      </c>
      <c r="J596" t="inlineStr"/>
      <c r="K596" t="inlineStr"/>
      <c r="L596" t="inlineStr"/>
      <c r="M596" t="inlineStr"/>
      <c r="N596" t="inlineStr"/>
      <c r="O596">
        <f>(1-Summary!$B$11)*T596+Summary!$B$11*V596</f>
        <v/>
      </c>
      <c r="P596">
        <f>IF(B626=0,0,O596/B626)</f>
        <v/>
      </c>
      <c r="Q596">
        <f>IFERROR(1/IF(Inputs!$B$39="pvp",15,MAX(0.1,Skills!D16-IF(TRUE=TRUE,Inputs!$B$32,0))),0)</f>
        <v/>
      </c>
      <c r="R596">
        <f>IF(AND(Inputs!$B$39&lt;&gt;"pvp",Inputs!$B$44&gt;0),IF(Inputs!$B$44&lt;=0,0,(INT(Inputs!$B$44/IF(Inputs!$B$39="pvp",15,MAX(0.1,Skills!D16-IF(TRUE=TRUE,Inputs!$B$32,0))))+1)),0)</f>
        <v/>
      </c>
      <c r="S596">
        <f>IFERROR(O596/N596,0)</f>
        <v/>
      </c>
      <c r="T596" t="n">
        <v>0</v>
      </c>
      <c r="V596" t="n">
        <v>0</v>
      </c>
    </row>
    <row r="597">
      <c r="A597">
        <f>Skills!A17</f>
        <v/>
      </c>
      <c r="B597">
        <f>Skills!B17</f>
        <v/>
      </c>
      <c r="C597">
        <f>Inputs!$B$3&gt;=115</f>
        <v/>
      </c>
      <c r="D597">
        <f>IF(Skills!C17=1,60+Inputs!$B$25+Inputs!$B$29,IF(Skills!C17=2,90+Inputs!$B$26+Inputs!$B$29,IF(Skills!C17=3,120+Inputs!$B$27+Inputs!$B$29,MAX(0,(Inputs!$B$3-100)*3)+Inputs!$B$28+Inputs!$B$29)))</f>
        <v/>
      </c>
      <c r="E597">
        <f>INDEX(FactorTable!$B$2:$Y$301, MATCH(ROUND(MIN(300,MAX(1,D597)),0), FactorTable!$A$2:$A$301,0), Skills!M17+1)</f>
        <v/>
      </c>
      <c r="F597">
        <f>IF(Skills!N17=TRUE,(Skills!L17/10)*(E597/1000),Skills!L17/10)+Skills!O17</f>
        <v/>
      </c>
      <c r="G597">
        <f>Skills!G17*IF(Skills!H17&gt;0,IF(Inputs!$B$39="pvp",MIN(Skills!I17,15),Skills!I17)/Skills!H17,1)</f>
        <v/>
      </c>
      <c r="H597">
        <f>1-(1-Skills!J17/100)^Skills!K17</f>
        <v/>
      </c>
      <c r="I597" t="inlineStr">
        <is>
          <t>1</t>
        </is>
      </c>
      <c r="J597">
        <f>((Inputs!$B$6*(1+Inputs!$B$7/100))+(((Inputs!$B$12*(1+Inputs!$B$13/100))-(Inputs!$B$12*(1+Inputs!$B$13/100)))+0.25*(Inputs!$B$14-Inputs!$B$14))*(1+Inputs!$B$7/100))*(F597/100)</f>
        <v/>
      </c>
      <c r="K597">
        <f>J597*(1+((Inputs!$B$12*(1+Inputs!$B$13/100))*0.01+Inputs!$B$14*0.0025)/100)*(1+Inputs!$B$15/100)*(1+Inputs!$B$16/100)*(5000/(6000+Inputs!$B$43*(1-(100*(1-(1-Inputs!$B$19/100)*(1-CHOOSE(ArtifactsInput!$N$40+1,5,6,7,8,9,10)/100)^(ArtifactsInput!$M$40-ArtifactsInput!$M$40)))/100)))*(1+(Inputs!$B$24+((C611=TRUE)*(F611-Calc!F31))+((C598=TRUE)*(F598-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17="CRUEL_STAB",Inputs!$B$17+((C608=TRUE)*(F608-Calc!F28))+((IF(AND(Inputs!$B$39&lt;&gt;"pvp",Inputs!$B$44=0),1,IF(IF(Inputs!$B$39="pvp",15,Inputs!$B$44)-(B625)&lt;=0,1,MAX(0,IF(Inputs!$B$39="pvp",15,Inputs!$B$44)-MAX(5,B625))/(IF(Inputs!$B$39="pvp",15,Inputs!$B$44)-(B625))))*(IF(AND(ArtifactsInput!$M$42,(((Inputs!$B$9+1)+((C606=TRUE)*(F606-Calc!F26))+B614+(ArtifactsInput!$M$24-ArtifactsInput!$M$24)*CHOOSE(ArtifactsInput!$N$24+1,10,12,14,16,18,20)+IF(ArtifactsInput!$M$10,CHOOSE(ArtifactsInput!$N$10+1,15,18,21,24,27,30)*(IF(Inputs!$B$39="pvp",MIN(15,15)/15,IF(AND(Inputs!$B$39&lt;&gt;"pvp",Inputs!$B$44&gt;0),MIN(15,Inputs!$B$44)/(Inputs!$B$44),0))),0)))&gt;=100),MIN(100,(((Inputs!$B$9+1)+((C606=TRUE)*(F606-Calc!F26))+B614+(ArtifactsInput!$M$24-ArtifactsInput!$M$24)*CHOOSE(ArtifactsInput!$N$24+1,10,12,14,16,18,20)+IF(ArtifactsInput!$M$10,CHOOSE(ArtifactsInput!$N$10+1,15,18,21,24,27,30)*(IF(Inputs!$B$39="pvp",MIN(15,15)/15,IF(AND(Inputs!$B$39&lt;&gt;"pvp",Inputs!$B$44&gt;0),MIN(15,Inputs!$B$44)/(Inputs!$B$44),0))),0)))-100),0))*CHOOSE(ArtifactsInput!$N$42+1,0.6,0.72,0.84,0.96,1.08,1.2))),Inputs!$B$18+((C609=TRUE)*(F609-Calc!F29))+(IF(AND(Inputs!$B$39&lt;&gt;"pvp",Inputs!$B$44=0),1,IF(IF(Inputs!$B$39="pvp",15,Inputs!$B$44)-(B625)&lt;=0,1,MAX(0,IF(Inputs!$B$39="pvp",15,Inputs!$B$44)-MAX(5,B625))/(IF(Inputs!$B$39="pvp",15,Inputs!$B$44)-(B625))))*IF(AND(ArtifactsInput!$M$42,(((Inputs!$B$9+1)+((C606=TRUE)*(F606-Calc!F26))+B614+(ArtifactsInput!$M$24-ArtifactsInput!$M$24)*CHOOSE(ArtifactsInput!$N$24+1,10,12,14,16,18,20)+IF(ArtifactsInput!$M$10,CHOOSE(ArtifactsInput!$N$10+1,15,18,21,24,27,30)*(IF(Inputs!$B$39="pvp",MIN(15,15)/15,IF(AND(Inputs!$B$39&lt;&gt;"pvp",Inputs!$B$44&gt;0),MIN(15,Inputs!$B$44)/(Inputs!$B$44),0))),0)))&gt;=100),CHOOSE(ArtifactsInput!$N$42+1,40,48,56,64,72,80),0))))/100)*(((1+(((C602=TRUE)*F602*IF(AND(Inputs!$B$39&lt;&gt;"pvp",Inputs!$B$44&gt;0),(((R602-1)*MIN((Skills!Y22*(1+Inputs!$B$34/100)),(1/Q602))+MIN((Skills!Y22*(1+Inputs!$B$34/100)),MAX(0,Inputs!$B$44-((R602-1)*(1/Q602)))))/Inputs!$B$44),IF(Inputs!$B$39="pvp",MIN((Skills!Y22*(1+Inputs!$B$34/100)),15)/15,MIN(1,(Skills!Y22*(1+Inputs!$B$34/100))/(1/Q602)))))+((C583=TRUE)*F583*3)+((C585=TRUE)*F585*(1-EXP(-0.75*B618*5)))+((C604=TRUE)*(F604-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591=TRUE)*F591*IF(AND(Inputs!$B$39&lt;&gt;"pvp",Inputs!$B$44&gt;0),(((R591-1)*MIN((Skills!Y11*(1+Inputs!$B$34/100)),(1/Q591))+MIN((Skills!Y11*(1+Inputs!$B$34/100)),MAX(0,Inputs!$B$44-((R591-1)*(1/Q591)))))/Inputs!$B$44),IF(Inputs!$B$39="pvp",MIN((Skills!Y11*(1+Inputs!$B$34/100)),15)/15,MIN(1,(Skills!Y11*(1+Inputs!$B$34/100))/(1/Q591)))))/100)*(1+((C596=TRUE)*F596*IF(AND(Inputs!$B$39&lt;&gt;"pvp",Inputs!$B$44&gt;0),(((R596-1)*MIN((Skills!Y16*(1+Inputs!$B$34/100)),(1/Q596))+MIN((Skills!Y16*(1+Inputs!$B$34/100)),MAX(0,Inputs!$B$44-((R596-1)*(1/Q596)))))/Inputs!$B$44),IF(Inputs!$B$39="pvp",MIN((Skills!Y16*(1+Inputs!$B$34/100)),15)/15,MIN(1,(Skills!Y16*(1+Inputs!$B$34/100))/(1/Q596)))))/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616*I597)</f>
        <v/>
      </c>
      <c r="L597">
        <f>K597*(MIN(Inputs!$B$22+((C605=TRUE)*(F605-Calc!F25)),(Inputs!$B$23+((C610=TRUE)*(F610-Calc!F30))+IF(ArtifactsInput!$M$15,CHOOSE(ArtifactsInput!$N$15+1,25,30,35,40,45,50)/100*(Inputs!$B$11-Inputs!$B$11),0)))/100+(Inputs!$B$23+((C610=TRUE)*(F610-Calc!F30))+IF(ArtifactsInput!$M$15,CHOOSE(ArtifactsInput!$N$15+1,25,30,35,40,45,50)/100*(Inputs!$B$11-Inputs!$B$11),0))/100)/2</f>
        <v/>
      </c>
      <c r="M597">
        <f>L597*(1+(Inputs!$B$10+((C607=TRUE)*(F607-Calc!F27))+B621+(IF(ArtifactsInput!$M$24,CHOOSE(ArtifactsInput!$N$24+1,30,36,42,48,54,60)/100*((Inputs!$B$9+1)-Inputs!$B$9),0)+IF(ArtifactsInput!$M$10,CHOOSE(ArtifactsInput!$N$10+1,20,24,28,32,36,40)*(IF(Inputs!$B$39="pvp",MIN(15,15)/15,IF(AND(Inputs!$B$39&lt;&gt;"pvp",Inputs!$B$44&gt;0),MIN(15,Inputs!$B$44)/(Inputs!$B$44),0))),0)+IF(ArtifactsInput!$M$31,1.5*CHOOSE(ArtifactsInput!$N$31+1,20,24,28,32,36,40),0)))/100)</f>
        <v/>
      </c>
      <c r="N597">
        <f>L597*(1-MIN(((Inputs!$B$9+1)+((C606=TRUE)*(F606-Calc!F26))+B614+(ArtifactsInput!$M$24-ArtifactsInput!$M$24)*CHOOSE(ArtifactsInput!$N$24+1,10,12,14,16,18,20)+(IF(AND(Inputs!$B$39&lt;&gt;"pvp",Inputs!$B$44=0),1,IF(IF(Inputs!$B$39="pvp",15,Inputs!$B$44)-(B625)&lt;=0,1,MAX(0,IF(Inputs!$B$39="pvp",15,Inputs!$B$44)-MAX(5,B625))/(IF(Inputs!$B$39="pvp",15,Inputs!$B$44)-(B625))))*IF(AND(ArtifactsInput!$M$42,(((Inputs!$B$9+1)+((C606=TRUE)*(F606-Calc!F26))+B614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597*(MIN(((Inputs!$B$9+1)+((C606=TRUE)*(F606-Calc!F26))+B614+(ArtifactsInput!$M$24-ArtifactsInput!$M$24)*CHOOSE(ArtifactsInput!$N$24+1,10,12,14,16,18,20)+(IF(AND(Inputs!$B$39&lt;&gt;"pvp",Inputs!$B$44=0),1,IF(IF(Inputs!$B$39="pvp",15,Inputs!$B$44)-(B625)&lt;=0,1,MAX(0,IF(Inputs!$B$39="pvp",15,Inputs!$B$44)-MAX(5,B625))/(IF(Inputs!$B$39="pvp",15,Inputs!$B$44)-(B625))))*IF(AND(ArtifactsInput!$M$42,(((Inputs!$B$9+1)+((C606=TRUE)*(F606-Calc!F26))+B614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597">
        <f>(1-Summary!$B$11)*T597+Summary!$B$11*V597</f>
        <v/>
      </c>
      <c r="P597">
        <f>IF(B626=0,0,O597/B626)</f>
        <v/>
      </c>
      <c r="Q597" t="n">
        <v>0</v>
      </c>
      <c r="R597" t="n">
        <v>0</v>
      </c>
      <c r="S597">
        <f>IFERROR(O597/N597,0)</f>
        <v/>
      </c>
      <c r="T597">
        <f>IF(C597,(Inputs!$B$38*0.2*N597)*IF(Inputs!$B$39="pvp",1,1+(Inputs!$B$20+0+Skills!P17+B615+(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Hunt"),CHOOSE(ArtifactsInput!$N$35+1,15,18,21,24,27,30)*(1-EXP(-(0.2*B618)*5)),0)+IF(AND(ArtifactsInput!$M$22,Inputs!$B$4&lt;&gt;"Chapter Hunt"),CHOOSE(ArtifactsInput!$N$22+1,10,12,14,16,18,20)*((0*(((0.15*B618*5))^0/1)+1*(((0.15*B618*5))^1/1)+2*(((0.15*B618*5))^2/2)+3*(((0.15*B618*5))^3/6)+4*(((0.15*B618*5))^4/24)+5*(((0.15*B618*5))^5/120))/((((0.15*B618*5))^0/1)+(((0.15*B618*5))^1/1)+(((0.15*B618*5))^2/2)+(((0.15*B618*5))^3/6)+(((0.15*B618*5))^4/24)+(((0.15*B618*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597*(1-MIN(100,((Inputs!$B$9+1)+((C606=TRUE)*(F606-Calc!F26))+B614+(ArtifactsInput!$M$24-ArtifactsInput!$M$24)*CHOOSE(ArtifactsInput!$N$24+1,10,12,14,16,18,20)+(IF(AND(Inputs!$B$39&lt;&gt;"pvp",Inputs!$B$44=0),1,IF(IF(Inputs!$B$39="pvp",15,Inputs!$B$44)-(B625)&lt;=0,1,MAX(0,IF(Inputs!$B$39="pvp",15,Inputs!$B$44)-MAX(5,B625))/(IF(Inputs!$B$39="pvp",15,Inputs!$B$44)-(B625))))*IF(AND(ArtifactsInput!$M$42,(((Inputs!$B$9+1)+((C606=TRUE)*(F606-Calc!F26))+B614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597*(MIN(100,((Inputs!$B$9+1)+((C606=TRUE)*(F606-Calc!F26))+B614+(ArtifactsInput!$M$24-ArtifactsInput!$M$24)*CHOOSE(ArtifactsInput!$N$24+1,10,12,14,16,18,20)+(IF(AND(Inputs!$B$39&lt;&gt;"pvp",Inputs!$B$44=0),1,IF(IF(Inputs!$B$39="pvp",15,Inputs!$B$44)-(B625)&lt;=0,1,MAX(0,IF(Inputs!$B$39="pvp",15,Inputs!$B$44)-MAX(5,B625))/(IF(Inputs!$B$39="pvp",15,Inputs!$B$44)-(B625))))*IF(AND(ArtifactsInput!$M$42,(((Inputs!$B$9+1)+((C606=TRUE)*(F606-Calc!F26))+B614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597*(1-MIN(100,((Inputs!$B$9+1)+((C606=TRUE)*(F606-Calc!F26))+B614+(ArtifactsInput!$M$24-ArtifactsInput!$M$24)*CHOOSE(ArtifactsInput!$N$24+1,10,12,14,16,18,20)+(IF(AND(Inputs!$B$39&lt;&gt;"pvp",Inputs!$B$44=0),1,IF(IF(Inputs!$B$39="pvp",15,Inputs!$B$44)-(B625)&lt;=0,1,MAX(0,IF(Inputs!$B$39="pvp",15,Inputs!$B$44)-MAX(5,B625))/(IF(Inputs!$B$39="pvp",15,Inputs!$B$44)-(B625))))*IF(AND(ArtifactsInput!$M$42,(((Inputs!$B$9+1)+((C606=TRUE)*(F606-Calc!F26))+B614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597*(MIN(100,((Inputs!$B$9+1)+((C606=TRUE)*(F606-Calc!F26))+B614+(ArtifactsInput!$M$24-ArtifactsInput!$M$24)*CHOOSE(ArtifactsInput!$N$24+1,10,12,14,16,18,20)+(IF(AND(Inputs!$B$39&lt;&gt;"pvp",Inputs!$B$44=0),1,IF(IF(Inputs!$B$39="pvp",15,Inputs!$B$44)-(B625)&lt;=0,1,MAX(0,IF(Inputs!$B$39="pvp",15,Inputs!$B$44)-MAX(5,B625))/(IF(Inputs!$B$39="pvp",15,Inputs!$B$44)-(B625))))*IF(AND(ArtifactsInput!$M$42,(((Inputs!$B$9+1)+((C606=TRUE)*(F606-Calc!F26))+B614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597">
        <f>IF(C597,(Inputs!$B$38*0.2*N597)*IF(Inputs!$B$39="pvp",1,(1+(Inputs!$B$21+Skills!Q17+B615+(IF(ArtifactsInput!$M$33,CHOOSE(ArtifactsInput!$N$33+1,30,36,42,48,54,60),0))+(IF(AND(ArtifactsInput!$M$35,Inputs!$B$4&lt;&gt;"Chapter Hunt"),CHOOSE(ArtifactsInput!$N$35+1,15,18,21,24,27,30)*(1-EXP(-(0.2*B618)*5)),0)+IF(AND(ArtifactsInput!$M$22,Inputs!$B$4&lt;&gt;"Chapter Hunt"),CHOOSE(ArtifactsInput!$N$22+1,10,12,14,16,18,20)*((0*(((0.15*B618*5))^0/1)+1*(((0.15*B618*5))^1/1)+2*(((0.15*B618*5))^2/2)+3*(((0.15*B618*5))^3/6)+4*(((0.15*B618*5))^4/24)+5*(((0.15*B618*5))^5/120))/((((0.15*B618*5))^0/1)+(((0.15*B618*5))^1/1)+(((0.15*B618*5))^2/2)+(((0.15*B618*5))^3/6)+(((0.15*B618*5))^4/24)+(((0.15*B618*5))^5/120))),0)))/100)*(MIN(Skills!W17,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598">
      <c r="A598">
        <f>Skills!A18</f>
        <v/>
      </c>
      <c r="B598">
        <f>Skills!B18</f>
        <v/>
      </c>
      <c r="C598">
        <f>Inputs!$B$3&gt;=115</f>
        <v/>
      </c>
      <c r="D598">
        <f>IF(Skills!C18=1,60+Inputs!$B$25+Inputs!$B$29,IF(Skills!C18=2,90+Inputs!$B$26+Inputs!$B$29,IF(Skills!C18=3,120+Inputs!$B$27+Inputs!$B$29,MAX(0,(Inputs!$B$3-100)*3)+Inputs!$B$28+Inputs!$B$29)))</f>
        <v/>
      </c>
      <c r="E598">
        <f>INDEX(FactorTable!$B$2:$Y$301, MATCH(ROUND(MIN(300,MAX(1,D598)),0), FactorTable!$A$2:$A$301,0), Skills!M18+1)</f>
        <v/>
      </c>
      <c r="F598">
        <f>IF(Skills!N18=TRUE,(Skills!L18/10)*(E598/1000),Skills!L18/10)+Skills!O18</f>
        <v/>
      </c>
      <c r="G598">
        <f>Skills!G18*IF(Skills!H18&gt;0,IF(Inputs!$B$39="pvp",MIN(Skills!I18,15),Skills!I18)/Skills!H18,1)</f>
        <v/>
      </c>
      <c r="H598">
        <f>1-(1-Skills!J18/100)^Skills!K18</f>
        <v/>
      </c>
      <c r="I598" t="inlineStr">
        <is>
          <t>1</t>
        </is>
      </c>
      <c r="J598" t="inlineStr"/>
      <c r="K598" t="inlineStr"/>
      <c r="L598" t="inlineStr"/>
      <c r="M598" t="inlineStr"/>
      <c r="N598" t="inlineStr"/>
      <c r="O598">
        <f>(1-Summary!$B$11)*T598+Summary!$B$11*V598</f>
        <v/>
      </c>
      <c r="P598">
        <f>IF(B626=0,0,O598/B626)</f>
        <v/>
      </c>
      <c r="Q598" t="n">
        <v>0</v>
      </c>
      <c r="R598" t="n">
        <v>0</v>
      </c>
      <c r="S598">
        <f>IFERROR(O598/N598,0)</f>
        <v/>
      </c>
      <c r="T598" t="n">
        <v>0</v>
      </c>
      <c r="V598" t="n">
        <v>0</v>
      </c>
    </row>
    <row r="599">
      <c r="A599">
        <f>Skills!A19</f>
        <v/>
      </c>
      <c r="B599">
        <f>Skills!B19</f>
        <v/>
      </c>
      <c r="C599">
        <f>Inputs!$B$3&gt;=100</f>
        <v/>
      </c>
      <c r="D599">
        <f>IF(Skills!C19=1,60+Inputs!$B$25+Inputs!$B$29,IF(Skills!C19=2,90+Inputs!$B$26+Inputs!$B$29,IF(Skills!C19=3,120+Inputs!$B$27+Inputs!$B$29,MAX(0,(Inputs!$B$3-100)*3)+Inputs!$B$28+Inputs!$B$29)))</f>
        <v/>
      </c>
      <c r="E599">
        <f>INDEX(FactorTable!$B$2:$Y$301, MATCH(ROUND(MIN(300,MAX(1,D599)),0), FactorTable!$A$2:$A$301,0), Skills!M19+1)</f>
        <v/>
      </c>
      <c r="F599">
        <f>IF(Skills!N19=TRUE,(Skills!L19/10)*(E599/1000),Skills!L19/10)+Skills!O19</f>
        <v/>
      </c>
      <c r="G599">
        <f>Skills!G19*IF(Skills!H19&gt;0,IF(Inputs!$B$39="pvp",MIN(Skills!I19,15),Skills!I19)/Skills!H19,1)</f>
        <v/>
      </c>
      <c r="H599">
        <f>1-(1-Skills!J19/100)^Skills!K19</f>
        <v/>
      </c>
      <c r="I599" t="inlineStr">
        <is>
          <t>1</t>
        </is>
      </c>
      <c r="J599" t="inlineStr"/>
      <c r="K599" t="inlineStr"/>
      <c r="L599" t="inlineStr"/>
      <c r="M599" t="inlineStr"/>
      <c r="N599" t="inlineStr"/>
      <c r="O599">
        <f>(1-Summary!$B$11)*T599+Summary!$B$11*V599</f>
        <v/>
      </c>
      <c r="P599">
        <f>IF(B626=0,0,O599/B626)</f>
        <v/>
      </c>
      <c r="Q599" t="n">
        <v>0</v>
      </c>
      <c r="R599" t="n">
        <v>0</v>
      </c>
      <c r="S599">
        <f>IFERROR(O599/N599,0)</f>
        <v/>
      </c>
      <c r="T599" t="n">
        <v>0</v>
      </c>
      <c r="V599" t="n">
        <v>0</v>
      </c>
    </row>
    <row r="600">
      <c r="A600">
        <f>Skills!A20</f>
        <v/>
      </c>
      <c r="B600">
        <f>Skills!B20</f>
        <v/>
      </c>
      <c r="C600">
        <f>TRUE</f>
        <v/>
      </c>
      <c r="D600">
        <f>IF(Skills!C20=1,60+Inputs!$B$25+Inputs!$B$29,IF(Skills!C20=2,90+Inputs!$B$26+Inputs!$B$29,IF(Skills!C20=3,120+Inputs!$B$27+Inputs!$B$29,MAX(0,(Inputs!$B$3-100)*3)+Inputs!$B$28+Inputs!$B$29)))</f>
        <v/>
      </c>
      <c r="E600">
        <f>INDEX(FactorTable!$B$2:$Y$301, MATCH(ROUND(MIN(300,MAX(1,D600)),0), FactorTable!$A$2:$A$301,0), Skills!M20+1)</f>
        <v/>
      </c>
      <c r="F600">
        <f>IF(Skills!N20=TRUE,(Skills!L20/10)*(E600/1000),Skills!L20/10)+Skills!O20</f>
        <v/>
      </c>
      <c r="G600">
        <f>Skills!G20*IF(Skills!H20&gt;0,IF(Inputs!$B$39="pvp",MIN(Skills!I20,15),Skills!I20)/Skills!H20,1)</f>
        <v/>
      </c>
      <c r="H600">
        <f>1-(1-Skills!J20/100)^Skills!K20</f>
        <v/>
      </c>
      <c r="I600" t="inlineStr">
        <is>
          <t>1</t>
        </is>
      </c>
      <c r="J600" t="inlineStr"/>
      <c r="K600" t="inlineStr"/>
      <c r="L600" t="inlineStr"/>
      <c r="M600" t="inlineStr"/>
      <c r="N600" t="inlineStr"/>
      <c r="O600">
        <f>(1-Summary!$B$11)*T600+Summary!$B$11*V600</f>
        <v/>
      </c>
      <c r="P600">
        <f>IF(B626=0,0,O600/B626)</f>
        <v/>
      </c>
      <c r="Q600">
        <f>IFERROR(1/IF(Inputs!$B$39="pvp",15,MAX(0.1,Skills!D20-IF(TRUE=TRUE,Inputs!$B$32,0))),0)</f>
        <v/>
      </c>
      <c r="R600">
        <f>IF(AND(Inputs!$B$39&lt;&gt;"pvp",Inputs!$B$44&gt;0),IF(Inputs!$B$44&lt;=0,0,(INT(Inputs!$B$44/IF(Inputs!$B$39="pvp",15,MAX(0.1,Skills!D20-IF(TRUE=TRUE,Inputs!$B$32,0))))+1)),0)</f>
        <v/>
      </c>
      <c r="S600">
        <f>IFERROR(O600/N600,0)</f>
        <v/>
      </c>
      <c r="T600" t="n">
        <v>0</v>
      </c>
      <c r="V600" t="n">
        <v>0</v>
      </c>
    </row>
    <row r="601">
      <c r="A601">
        <f>Skills!A21</f>
        <v/>
      </c>
      <c r="B601">
        <f>Skills!B21</f>
        <v/>
      </c>
      <c r="C601">
        <f>Inputs!$B$3&gt;=15</f>
        <v/>
      </c>
      <c r="D601">
        <f>IF(Skills!C21=1,60+Inputs!$B$25+Inputs!$B$29,IF(Skills!C21=2,90+Inputs!$B$26+Inputs!$B$29,IF(Skills!C21=3,120+Inputs!$B$27+Inputs!$B$29,MAX(0,(Inputs!$B$3-100)*3)+Inputs!$B$28+Inputs!$B$29)))</f>
        <v/>
      </c>
      <c r="E601">
        <f>INDEX(FactorTable!$B$2:$Y$301, MATCH(ROUND(MIN(300,MAX(1,D601)),0), FactorTable!$A$2:$A$301,0), Skills!M21+1)</f>
        <v/>
      </c>
      <c r="F601">
        <f>IF(Skills!N21=TRUE,(Skills!L21/10)*(E601/1000),Skills!L21/10)+Skills!O21</f>
        <v/>
      </c>
      <c r="G601">
        <f>Skills!G21*IF(Skills!H21&gt;0,IF(Inputs!$B$39="pvp",MIN(Skills!I21,15),Skills!I21)/Skills!H21,1)</f>
        <v/>
      </c>
      <c r="H601">
        <f>1-(1-Skills!J21/100)^Skills!K21</f>
        <v/>
      </c>
      <c r="I601" t="inlineStr">
        <is>
          <t>1</t>
        </is>
      </c>
      <c r="J601" t="inlineStr"/>
      <c r="K601" t="inlineStr"/>
      <c r="L601" t="inlineStr"/>
      <c r="M601" t="inlineStr"/>
      <c r="N601" t="inlineStr"/>
      <c r="O601">
        <f>(1-Summary!$B$11)*T601+Summary!$B$11*V601</f>
        <v/>
      </c>
      <c r="P601">
        <f>IF(B626=0,0,O601/B626)</f>
        <v/>
      </c>
      <c r="Q601">
        <f>IFERROR(1/IF(Inputs!$B$39="pvp",15,MAX(0.1,Skills!D21-IF(TRUE=TRUE,Inputs!$B$32,0))),0)</f>
        <v/>
      </c>
      <c r="R601">
        <f>IF(AND(Inputs!$B$39&lt;&gt;"pvp",Inputs!$B$44&gt;0),IF(Inputs!$B$44&lt;=0,0,(INT(Inputs!$B$44/IF(Inputs!$B$39="pvp",15,MAX(0.1,Skills!D21-IF(TRUE=TRUE,Inputs!$B$32,0))))+1)),0)</f>
        <v/>
      </c>
      <c r="S601">
        <f>IFERROR(O601/N601,0)</f>
        <v/>
      </c>
      <c r="T601" t="n">
        <v>0</v>
      </c>
      <c r="V601" t="n">
        <v>0</v>
      </c>
    </row>
    <row r="602">
      <c r="A602">
        <f>Skills!A22</f>
        <v/>
      </c>
      <c r="B602">
        <f>Skills!B22</f>
        <v/>
      </c>
      <c r="C602">
        <f>Inputs!$B$3&gt;=15</f>
        <v/>
      </c>
      <c r="D602">
        <f>IF(Skills!C22=1,60+Inputs!$B$25+Inputs!$B$29,IF(Skills!C22=2,90+Inputs!$B$26+Inputs!$B$29,IF(Skills!C22=3,120+Inputs!$B$27+Inputs!$B$29,MAX(0,(Inputs!$B$3-100)*3)+Inputs!$B$28+Inputs!$B$29)))</f>
        <v/>
      </c>
      <c r="E602">
        <f>INDEX(FactorTable!$B$2:$Y$301, MATCH(ROUND(MIN(300,MAX(1,D602)),0), FactorTable!$A$2:$A$301,0), Skills!M22+1)</f>
        <v/>
      </c>
      <c r="F602">
        <f>IF(Skills!N22=TRUE,(Skills!L22/10)*(E602/1000),Skills!L22/10)+Skills!O22</f>
        <v/>
      </c>
      <c r="G602">
        <f>Skills!G22*IF(Skills!H22&gt;0,IF(Inputs!$B$39="pvp",MIN(Skills!I22,15),Skills!I22)/Skills!H22,1)</f>
        <v/>
      </c>
      <c r="H602">
        <f>1-(1-Skills!J22/100)^Skills!K22</f>
        <v/>
      </c>
      <c r="I602" t="inlineStr">
        <is>
          <t>1</t>
        </is>
      </c>
      <c r="J602" t="inlineStr"/>
      <c r="K602" t="inlineStr"/>
      <c r="L602" t="inlineStr"/>
      <c r="M602" t="inlineStr"/>
      <c r="N602" t="inlineStr"/>
      <c r="O602">
        <f>(1-Summary!$B$11)*T602+Summary!$B$11*V602</f>
        <v/>
      </c>
      <c r="P602">
        <f>IF(B626=0,0,O602/B626)</f>
        <v/>
      </c>
      <c r="Q602">
        <f>IFERROR(1/IF(Inputs!$B$39="pvp",15,MAX(0.1,Skills!D22-IF(TRUE=TRUE,Inputs!$B$32,0))),0)</f>
        <v/>
      </c>
      <c r="R602">
        <f>IF(AND(Inputs!$B$39&lt;&gt;"pvp",Inputs!$B$44&gt;0),IF(Inputs!$B$44&lt;=0,0,(INT(Inputs!$B$44/IF(Inputs!$B$39="pvp",15,MAX(0.1,Skills!D22-IF(TRUE=TRUE,Inputs!$B$32,0))))+1)),0)</f>
        <v/>
      </c>
      <c r="S602">
        <f>IFERROR(O602/N602,0)</f>
        <v/>
      </c>
      <c r="T602" t="n">
        <v>0</v>
      </c>
      <c r="V602" t="n">
        <v>0</v>
      </c>
    </row>
    <row r="603">
      <c r="A603">
        <f>Skills!A23</f>
        <v/>
      </c>
      <c r="B603">
        <f>Skills!B23</f>
        <v/>
      </c>
      <c r="C603">
        <f>Inputs!$B$3&gt;=33</f>
        <v/>
      </c>
      <c r="D603">
        <f>IF(Skills!C23=1,60+Inputs!$B$25+Inputs!$B$29,IF(Skills!C23=2,90+Inputs!$B$26+Inputs!$B$29,IF(Skills!C23=3,120+Inputs!$B$27+Inputs!$B$29,MAX(0,(Inputs!$B$3-100)*3)+Inputs!$B$28+Inputs!$B$29)))</f>
        <v/>
      </c>
      <c r="E603">
        <f>INDEX(FactorTable!$B$2:$Y$301, MATCH(ROUND(MIN(300,MAX(1,D603)),0), FactorTable!$A$2:$A$301,0), Skills!M23+1)</f>
        <v/>
      </c>
      <c r="F603">
        <f>IF(Skills!N23=TRUE,(Skills!L23/10)*(E603/1000),Skills!L23/10)+Skills!O23</f>
        <v/>
      </c>
      <c r="G603">
        <f>Skills!G23*IF(Skills!H23&gt;0,IF(Inputs!$B$39="pvp",MIN(Skills!I23,15),Skills!I23)/Skills!H23,1)</f>
        <v/>
      </c>
      <c r="H603">
        <f>1-(1-Skills!J23/100)^Skills!K23</f>
        <v/>
      </c>
      <c r="I603" t="inlineStr">
        <is>
          <t>1</t>
        </is>
      </c>
      <c r="J603" t="inlineStr"/>
      <c r="K603" t="inlineStr"/>
      <c r="L603" t="inlineStr"/>
      <c r="M603" t="inlineStr"/>
      <c r="N603" t="inlineStr"/>
      <c r="O603">
        <f>(1-Summary!$B$11)*T603+Summary!$B$11*V603</f>
        <v/>
      </c>
      <c r="P603">
        <f>IF(B626=0,0,O603/B626)</f>
        <v/>
      </c>
      <c r="Q603" t="n">
        <v>0</v>
      </c>
      <c r="R603" t="n">
        <v>0</v>
      </c>
      <c r="S603">
        <f>IFERROR(O603/N603,0)</f>
        <v/>
      </c>
      <c r="T603" t="n">
        <v>0</v>
      </c>
      <c r="V603" t="n">
        <v>0</v>
      </c>
    </row>
    <row r="604">
      <c r="A604">
        <f>Skills!A24</f>
        <v/>
      </c>
      <c r="B604">
        <f>Skills!B24</f>
        <v/>
      </c>
      <c r="C604">
        <f>Inputs!$B$3&gt;=40</f>
        <v/>
      </c>
      <c r="D604">
        <f>IF(Skills!C24=1,60+Inputs!$B$25+Inputs!$B$29,IF(Skills!C24=2,90+Inputs!$B$26+Inputs!$B$29,IF(Skills!C24=3,120+Inputs!$B$27+Inputs!$B$29,MAX(0,(Inputs!$B$3-100)*3)+Inputs!$B$28+Inputs!$B$29)))</f>
        <v/>
      </c>
      <c r="E604">
        <f>INDEX(FactorTable!$B$2:$Y$301, MATCH(ROUND(MIN(300,MAX(1,D604)),0), FactorTable!$A$2:$A$301,0), Skills!M24+1)</f>
        <v/>
      </c>
      <c r="F604">
        <f>IF(Skills!N24=TRUE,(Skills!L24/10)*(E604/1000),Skills!L24/10)+Skills!O24</f>
        <v/>
      </c>
      <c r="G604">
        <f>Skills!G24*IF(Skills!H24&gt;0,IF(Inputs!$B$39="pvp",MIN(Skills!I24,15),Skills!I24)/Skills!H24,1)</f>
        <v/>
      </c>
      <c r="H604">
        <f>1-(1-Skills!J24/100)^Skills!K24</f>
        <v/>
      </c>
      <c r="I604" t="inlineStr">
        <is>
          <t>1</t>
        </is>
      </c>
      <c r="J604" t="inlineStr"/>
      <c r="K604" t="inlineStr"/>
      <c r="L604" t="inlineStr"/>
      <c r="M604" t="inlineStr"/>
      <c r="N604" t="inlineStr"/>
      <c r="O604">
        <f>(1-Summary!$B$11)*T604+Summary!$B$11*V604</f>
        <v/>
      </c>
      <c r="P604">
        <f>IF(B626=0,0,O604/B626)</f>
        <v/>
      </c>
      <c r="Q604" t="n">
        <v>0</v>
      </c>
      <c r="R604" t="n">
        <v>0</v>
      </c>
      <c r="S604">
        <f>IFERROR(O604/N604,0)</f>
        <v/>
      </c>
      <c r="T604" t="n">
        <v>0</v>
      </c>
      <c r="V604" t="n">
        <v>0</v>
      </c>
    </row>
    <row r="605">
      <c r="A605">
        <f>Skills!A25</f>
        <v/>
      </c>
      <c r="B605">
        <f>Skills!B25</f>
        <v/>
      </c>
      <c r="C605">
        <f>Inputs!$B$3&gt;=43</f>
        <v/>
      </c>
      <c r="D605">
        <f>IF(Skills!C25=1,60+Inputs!$B$25+Inputs!$B$29,IF(Skills!C25=2,90+Inputs!$B$26+Inputs!$B$29,IF(Skills!C25=3,120+Inputs!$B$27+Inputs!$B$29,MAX(0,(Inputs!$B$3-100)*3)+Inputs!$B$28+Inputs!$B$29)))</f>
        <v/>
      </c>
      <c r="E605">
        <f>INDEX(FactorTable!$B$2:$Y$301, MATCH(ROUND(MIN(300,MAX(1,D605)),0), FactorTable!$A$2:$A$301,0), Skills!M25+1)</f>
        <v/>
      </c>
      <c r="F605">
        <f>IF(Skills!N25=TRUE,(Skills!L25/10)*(E605/1000),Skills!L25/10)+Skills!O25</f>
        <v/>
      </c>
      <c r="G605">
        <f>Skills!G25*IF(Skills!H25&gt;0,IF(Inputs!$B$39="pvp",MIN(Skills!I25,15),Skills!I25)/Skills!H25,1)</f>
        <v/>
      </c>
      <c r="H605">
        <f>1-(1-Skills!J25/100)^Skills!K25</f>
        <v/>
      </c>
      <c r="I605" t="inlineStr">
        <is>
          <t>1</t>
        </is>
      </c>
      <c r="J605" t="inlineStr"/>
      <c r="K605" t="inlineStr"/>
      <c r="L605" t="inlineStr"/>
      <c r="M605" t="inlineStr"/>
      <c r="N605" t="inlineStr"/>
      <c r="O605">
        <f>(1-Summary!$B$11)*T605+Summary!$B$11*V605</f>
        <v/>
      </c>
      <c r="P605">
        <f>IF(B626=0,0,O605/B626)</f>
        <v/>
      </c>
      <c r="Q605" t="n">
        <v>0</v>
      </c>
      <c r="R605" t="n">
        <v>0</v>
      </c>
      <c r="S605">
        <f>IFERROR(O605/N605,0)</f>
        <v/>
      </c>
      <c r="T605" t="n">
        <v>0</v>
      </c>
      <c r="V605" t="n">
        <v>0</v>
      </c>
    </row>
    <row r="606">
      <c r="A606">
        <f>Skills!A26</f>
        <v/>
      </c>
      <c r="B606">
        <f>Skills!B26</f>
        <v/>
      </c>
      <c r="C606">
        <f>Inputs!$B$3&gt;=50</f>
        <v/>
      </c>
      <c r="D606">
        <f>IF(Skills!C26=1,60+Inputs!$B$25+Inputs!$B$29,IF(Skills!C26=2,90+Inputs!$B$26+Inputs!$B$29,IF(Skills!C26=3,120+Inputs!$B$27+Inputs!$B$29,MAX(0,(Inputs!$B$3-100)*3)+Inputs!$B$28+Inputs!$B$29)))</f>
        <v/>
      </c>
      <c r="E606">
        <f>INDEX(FactorTable!$B$2:$Y$301, MATCH(ROUND(MIN(300,MAX(1,D606)),0), FactorTable!$A$2:$A$301,0), Skills!M26+1)</f>
        <v/>
      </c>
      <c r="F606">
        <f>IF(Skills!N26=TRUE,(Skills!L26/10)*(E606/1000),Skills!L26/10)+Skills!O26</f>
        <v/>
      </c>
      <c r="G606">
        <f>Skills!G26*IF(Skills!H26&gt;0,IF(Inputs!$B$39="pvp",MIN(Skills!I26,15),Skills!I26)/Skills!H26,1)</f>
        <v/>
      </c>
      <c r="H606">
        <f>1-(1-Skills!J26/100)^Skills!K26</f>
        <v/>
      </c>
      <c r="I606" t="inlineStr">
        <is>
          <t>1</t>
        </is>
      </c>
      <c r="J606" t="inlineStr"/>
      <c r="K606" t="inlineStr"/>
      <c r="L606" t="inlineStr"/>
      <c r="M606" t="inlineStr"/>
      <c r="N606" t="inlineStr"/>
      <c r="O606">
        <f>(1-Summary!$B$11)*T606+Summary!$B$11*V606</f>
        <v/>
      </c>
      <c r="P606">
        <f>IF(B626=0,0,O606/B626)</f>
        <v/>
      </c>
      <c r="Q606" t="n">
        <v>0</v>
      </c>
      <c r="R606" t="n">
        <v>0</v>
      </c>
      <c r="S606">
        <f>IFERROR(O606/N606,0)</f>
        <v/>
      </c>
      <c r="T606" t="n">
        <v>0</v>
      </c>
      <c r="V606" t="n">
        <v>0</v>
      </c>
    </row>
    <row r="607">
      <c r="A607">
        <f>Skills!A27</f>
        <v/>
      </c>
      <c r="B607">
        <f>Skills!B27</f>
        <v/>
      </c>
      <c r="C607">
        <f>Inputs!$B$3&gt;=50</f>
        <v/>
      </c>
      <c r="D607">
        <f>IF(Skills!C27=1,60+Inputs!$B$25+Inputs!$B$29,IF(Skills!C27=2,90+Inputs!$B$26+Inputs!$B$29,IF(Skills!C27=3,120+Inputs!$B$27+Inputs!$B$29,MAX(0,(Inputs!$B$3-100)*3)+Inputs!$B$28+Inputs!$B$29)))</f>
        <v/>
      </c>
      <c r="E607">
        <f>INDEX(FactorTable!$B$2:$Y$301, MATCH(ROUND(MIN(300,MAX(1,D607)),0), FactorTable!$A$2:$A$301,0), Skills!M27+1)</f>
        <v/>
      </c>
      <c r="F607">
        <f>IF(Skills!N27=TRUE,(Skills!L27/10)*(E607/1000),Skills!L27/10)+Skills!O27</f>
        <v/>
      </c>
      <c r="G607">
        <f>Skills!G27*IF(Skills!H27&gt;0,IF(Inputs!$B$39="pvp",MIN(Skills!I27,15),Skills!I27)/Skills!H27,1)</f>
        <v/>
      </c>
      <c r="H607">
        <f>1-(1-Skills!J27/100)^Skills!K27</f>
        <v/>
      </c>
      <c r="I607" t="inlineStr">
        <is>
          <t>1</t>
        </is>
      </c>
      <c r="J607" t="inlineStr"/>
      <c r="K607" t="inlineStr"/>
      <c r="L607" t="inlineStr"/>
      <c r="M607" t="inlineStr"/>
      <c r="N607" t="inlineStr"/>
      <c r="O607">
        <f>(1-Summary!$B$11)*T607+Summary!$B$11*V607</f>
        <v/>
      </c>
      <c r="P607">
        <f>IF(B626=0,0,O607/B626)</f>
        <v/>
      </c>
      <c r="Q607" t="n">
        <v>0</v>
      </c>
      <c r="R607" t="n">
        <v>0</v>
      </c>
      <c r="S607">
        <f>IFERROR(O607/N607,0)</f>
        <v/>
      </c>
      <c r="T607" t="n">
        <v>0</v>
      </c>
      <c r="V607" t="n">
        <v>0</v>
      </c>
    </row>
    <row r="608">
      <c r="A608">
        <f>Skills!A28</f>
        <v/>
      </c>
      <c r="B608">
        <f>Skills!B28</f>
        <v/>
      </c>
      <c r="C608">
        <f>Inputs!$B$3&gt;=38</f>
        <v/>
      </c>
      <c r="D608">
        <f>IF(Skills!C28=1,60+Inputs!$B$25+Inputs!$B$29,IF(Skills!C28=2,90+Inputs!$B$26+Inputs!$B$29,IF(Skills!C28=3,120+Inputs!$B$27+Inputs!$B$29,MAX(0,(Inputs!$B$3-100)*3)+Inputs!$B$28+Inputs!$B$29)))</f>
        <v/>
      </c>
      <c r="E608">
        <f>INDEX(FactorTable!$B$2:$Y$301, MATCH(ROUND(MIN(300,MAX(1,D608)),0), FactorTable!$A$2:$A$301,0), Skills!M28+1)</f>
        <v/>
      </c>
      <c r="F608">
        <f>IF(Skills!N28=TRUE,(Skills!L28/10)*(E608/1000),Skills!L28/10)+Skills!O28</f>
        <v/>
      </c>
      <c r="G608">
        <f>Skills!G28*IF(Skills!H28&gt;0,IF(Inputs!$B$39="pvp",MIN(Skills!I28,15),Skills!I28)/Skills!H28,1)</f>
        <v/>
      </c>
      <c r="H608">
        <f>1-(1-Skills!J28/100)^Skills!K28</f>
        <v/>
      </c>
      <c r="I608" t="inlineStr">
        <is>
          <t>1</t>
        </is>
      </c>
      <c r="J608" t="inlineStr"/>
      <c r="K608" t="inlineStr"/>
      <c r="L608" t="inlineStr"/>
      <c r="M608" t="inlineStr"/>
      <c r="N608" t="inlineStr"/>
      <c r="O608">
        <f>(1-Summary!$B$11)*T608+Summary!$B$11*V608</f>
        <v/>
      </c>
      <c r="P608">
        <f>IF(B626=0,0,O608/B626)</f>
        <v/>
      </c>
      <c r="Q608" t="n">
        <v>0</v>
      </c>
      <c r="R608" t="n">
        <v>0</v>
      </c>
      <c r="S608">
        <f>IFERROR(O608/N608,0)</f>
        <v/>
      </c>
      <c r="T608" t="n">
        <v>0</v>
      </c>
      <c r="V608" t="n">
        <v>0</v>
      </c>
    </row>
    <row r="609">
      <c r="A609">
        <f>Skills!A29</f>
        <v/>
      </c>
      <c r="B609">
        <f>Skills!B29</f>
        <v/>
      </c>
      <c r="C609">
        <f>Inputs!$B$3&gt;=120</f>
        <v/>
      </c>
      <c r="D609">
        <f>IF(Skills!C29=1,60+Inputs!$B$25+Inputs!$B$29,IF(Skills!C29=2,90+Inputs!$B$26+Inputs!$B$29,IF(Skills!C29=3,120+Inputs!$B$27+Inputs!$B$29,MAX(0,(Inputs!$B$3-100)*3)+Inputs!$B$28+Inputs!$B$29)))</f>
        <v/>
      </c>
      <c r="E609">
        <f>INDEX(FactorTable!$B$2:$Y$301, MATCH(ROUND(MIN(300,MAX(1,D609)),0), FactorTable!$A$2:$A$301,0), Skills!M29+1)</f>
        <v/>
      </c>
      <c r="F609">
        <f>IF(Skills!N29=TRUE,(Skills!L29/10)*(E609/1000),Skills!L29/10)+Skills!O29</f>
        <v/>
      </c>
      <c r="G609">
        <f>Skills!G29*IF(Skills!H29&gt;0,IF(Inputs!$B$39="pvp",MIN(Skills!I29,15),Skills!I29)/Skills!H29,1)</f>
        <v/>
      </c>
      <c r="H609">
        <f>1-(1-Skills!J29/100)^Skills!K29</f>
        <v/>
      </c>
      <c r="I609" t="inlineStr">
        <is>
          <t>1</t>
        </is>
      </c>
      <c r="J609" t="inlineStr"/>
      <c r="K609" t="inlineStr"/>
      <c r="L609" t="inlineStr"/>
      <c r="M609" t="inlineStr"/>
      <c r="N609" t="inlineStr"/>
      <c r="O609">
        <f>(1-Summary!$B$11)*T609+Summary!$B$11*V609</f>
        <v/>
      </c>
      <c r="P609">
        <f>IF(B626=0,0,O609/B626)</f>
        <v/>
      </c>
      <c r="Q609" t="n">
        <v>0</v>
      </c>
      <c r="R609" t="n">
        <v>0</v>
      </c>
      <c r="S609">
        <f>IFERROR(O609/N609,0)</f>
        <v/>
      </c>
      <c r="T609" t="n">
        <v>0</v>
      </c>
      <c r="V609" t="n">
        <v>0</v>
      </c>
    </row>
    <row r="610">
      <c r="A610">
        <f>Skills!A30</f>
        <v/>
      </c>
      <c r="B610">
        <f>Skills!B30</f>
        <v/>
      </c>
      <c r="C610">
        <f>Inputs!$B$3&gt;=120</f>
        <v/>
      </c>
      <c r="D610">
        <f>IF(Skills!C30=1,60+Inputs!$B$25+Inputs!$B$29,IF(Skills!C30=2,90+Inputs!$B$26+Inputs!$B$29,IF(Skills!C30=3,120+Inputs!$B$27+Inputs!$B$29,MAX(0,(Inputs!$B$3-100)*3)+Inputs!$B$28+Inputs!$B$29)))</f>
        <v/>
      </c>
      <c r="E610">
        <f>INDEX(FactorTable!$B$2:$Y$301, MATCH(ROUND(MIN(300,MAX(1,D610)),0), FactorTable!$A$2:$A$301,0), Skills!M30+1)</f>
        <v/>
      </c>
      <c r="F610">
        <f>IF(Skills!N30=TRUE,(Skills!L30/10)*(E610/1000),Skills!L30/10)+Skills!O30</f>
        <v/>
      </c>
      <c r="G610">
        <f>Skills!G30*IF(Skills!H30&gt;0,IF(Inputs!$B$39="pvp",MIN(Skills!I30,15),Skills!I30)/Skills!H30,1)</f>
        <v/>
      </c>
      <c r="H610">
        <f>1-(1-Skills!J30/100)^Skills!K30</f>
        <v/>
      </c>
      <c r="I610" t="inlineStr">
        <is>
          <t>1</t>
        </is>
      </c>
      <c r="J610" t="inlineStr"/>
      <c r="K610" t="inlineStr"/>
      <c r="L610" t="inlineStr"/>
      <c r="M610" t="inlineStr"/>
      <c r="N610" t="inlineStr"/>
      <c r="O610">
        <f>(1-Summary!$B$11)*T610+Summary!$B$11*V610</f>
        <v/>
      </c>
      <c r="P610">
        <f>IF(B626=0,0,O610/B626)</f>
        <v/>
      </c>
      <c r="Q610" t="n">
        <v>0</v>
      </c>
      <c r="R610" t="n">
        <v>0</v>
      </c>
      <c r="S610">
        <f>IFERROR(O610/N610,0)</f>
        <v/>
      </c>
      <c r="T610" t="n">
        <v>0</v>
      </c>
      <c r="V610" t="n">
        <v>0</v>
      </c>
    </row>
    <row r="611">
      <c r="A611">
        <f>Skills!A31</f>
        <v/>
      </c>
      <c r="B611">
        <f>Skills!B31</f>
        <v/>
      </c>
      <c r="C611">
        <f>Inputs!$B$3&gt;=125</f>
        <v/>
      </c>
      <c r="D611">
        <f>IF(Skills!C31=1,60+Inputs!$B$25+Inputs!$B$29,IF(Skills!C31=2,90+Inputs!$B$26+Inputs!$B$29,IF(Skills!C31=3,120+Inputs!$B$27+Inputs!$B$29,MAX(0,(Inputs!$B$3-100)*3)+Inputs!$B$28+Inputs!$B$29)))</f>
        <v/>
      </c>
      <c r="E611">
        <f>INDEX(FactorTable!$B$2:$Y$301, MATCH(ROUND(MIN(300,MAX(1,D611)),0), FactorTable!$A$2:$A$301,0), Skills!M31+1)</f>
        <v/>
      </c>
      <c r="F611">
        <f>IF(Skills!N31=TRUE,(Skills!L31/10)*(E611/1000),Skills!L31/10)+Skills!O31</f>
        <v/>
      </c>
      <c r="G611">
        <f>Skills!G31*IF(Skills!H31&gt;0,IF(Inputs!$B$39="pvp",MIN(Skills!I31,15),Skills!I31)/Skills!H31,1)</f>
        <v/>
      </c>
      <c r="H611">
        <f>1-(1-Skills!J31/100)^Skills!K31</f>
        <v/>
      </c>
      <c r="I611" t="inlineStr">
        <is>
          <t>1</t>
        </is>
      </c>
      <c r="J611" t="inlineStr"/>
      <c r="K611" t="inlineStr"/>
      <c r="L611" t="inlineStr"/>
      <c r="M611" t="inlineStr"/>
      <c r="N611" t="inlineStr"/>
      <c r="O611">
        <f>(1-Summary!$B$11)*T611+Summary!$B$11*V611</f>
        <v/>
      </c>
      <c r="P611">
        <f>IF(B626=0,0,O611/B626)</f>
        <v/>
      </c>
      <c r="Q611" t="n">
        <v>0</v>
      </c>
      <c r="R611" t="n">
        <v>0</v>
      </c>
      <c r="S611">
        <f>IFERROR(O611/N611,0)</f>
        <v/>
      </c>
      <c r="T611" t="n">
        <v>0</v>
      </c>
      <c r="V611" t="n">
        <v>0</v>
      </c>
    </row>
    <row r="613">
      <c r="A613" t="inlineStr">
        <is>
          <t>Average Buff Multiplier</t>
        </is>
      </c>
      <c r="B613">
        <f>(1+(((C602=TRUE)*F602*IF(AND(Inputs!$B$39&lt;&gt;"pvp",Inputs!$B$44&gt;0),(((R602-1)*MIN((Skills!Y22*(1+Inputs!$B$34/100)),(1/Q602))+MIN((Skills!Y22*(1+Inputs!$B$34/100)),MAX(0,Inputs!$B$44-((R602-1)*(1/Q602)))))/Inputs!$B$44),IF(Inputs!$B$39="pvp",MIN((Skills!Y22*(1+Inputs!$B$34/100)),15)/15,MIN(1,(Skills!Y22*(1+Inputs!$B$34/100))/(1/Q602)))))+((C583=TRUE)*F583*3)+((C585=TRUE)*F585*(1-EXP(-0.75*B618*5)))+((C604=TRUE)*(F604-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591=TRUE)*F591*IF(AND(Inputs!$B$39&lt;&gt;"pvp",Inputs!$B$44&gt;0),(((R591-1)*MIN((Skills!Y11*(1+Inputs!$B$34/100)),(1/Q591))+MIN((Skills!Y11*(1+Inputs!$B$34/100)),MAX(0,Inputs!$B$44-((R591-1)*(1/Q591)))))/Inputs!$B$44),IF(Inputs!$B$39="pvp",MIN((Skills!Y11*(1+Inputs!$B$34/100)),15)/15,MIN(1,(Skills!Y11*(1+Inputs!$B$34/100))/(1/Q591)))))/100)*(1+((C596=TRUE)*F596*IF(AND(Inputs!$B$39&lt;&gt;"pvp",Inputs!$B$44&gt;0),(((R596-1)*MIN((Skills!Y16*(1+Inputs!$B$34/100)),(1/Q596))+MIN((Skills!Y16*(1+Inputs!$B$34/100)),MAX(0,Inputs!$B$44-((R596-1)*(1/Q596)))))/Inputs!$B$44),IF(Inputs!$B$39="pvp",MIN((Skills!Y16*(1+Inputs!$B$34/100)),15)/15,MIN(1,(Skills!Y16*(1+Inputs!$B$34/100))/(1/Q596)))))/100)</f>
        <v/>
      </c>
    </row>
    <row r="614">
      <c r="A614" t="inlineStr">
        <is>
          <t>Global Crit Rate Bonus %</t>
        </is>
      </c>
      <c r="B614">
        <f>((C601=TRUE)*F601*IF(AND(Inputs!$B$39&lt;&gt;"pvp",Inputs!$B$44&gt;0),(((R601-1)*MIN((Skills!Y21*(1+Inputs!$B$34/100)),(1/Q601))+MIN((Skills!Y21*(1+Inputs!$B$34/100)),MAX(0,Inputs!$B$44-((R601-1)*(1/Q601)))))/Inputs!$B$44),IF(Inputs!$B$39="pvp",MIN((Skills!Y21*(1+Inputs!$B$34/100)),15)/15,MIN(1,(Skills!Y21*(1+Inputs!$B$34/100))/(1/Q601)))))</f>
        <v/>
      </c>
    </row>
    <row r="615">
      <c r="A615" t="inlineStr">
        <is>
          <t>Global Monster Damage-Taken Bonus %</t>
        </is>
      </c>
      <c r="B615">
        <f>IF(Inputs!$B$3&gt;=82,15,0)</f>
        <v/>
      </c>
    </row>
    <row r="616">
      <c r="A616" t="inlineStr">
        <is>
          <t>Shadow Partner Average Multiplier</t>
        </is>
      </c>
      <c r="B616">
        <f>1+((C588=TRUE)*F588*(1+3.3333333333333335*IF(C599=TRUE,F599,0)/100)*I588*Skills!J8/100)/100</f>
        <v/>
      </c>
    </row>
    <row r="617">
      <c r="A617" t="inlineStr">
        <is>
          <t>Attack Speed Buff Bonus %</t>
        </is>
      </c>
      <c r="B617">
        <f>((C600=TRUE)*F600*IF(AND(Inputs!$B$39&lt;&gt;"pvp",Inputs!$B$44&gt;0),(((R600-1)*MIN((Skills!Y20*(1+Inputs!$B$34/100)),(1/Q600))+MIN((Skills!Y20*(1+Inputs!$B$34/100)),MAX(0,Inputs!$B$44-((R600-1)*(1/Q600)))))/Inputs!$B$44),IF(Inputs!$B$39="pvp",MIN((Skills!Y20*(1+Inputs!$B$34/100)),15)/15,MIN(1,(Skills!Y20*(1+Inputs!$B$34/100))/(1/Q600)))))</f>
        <v/>
      </c>
    </row>
    <row r="618">
      <c r="A618" t="inlineStr">
        <is>
          <t>Actions Per Second</t>
        </is>
      </c>
      <c r="B618">
        <f>1+MIN(150,150*(1-(1-(Inputs!$B$11+((C603=TRUE)*(F603-Calc!F23)))/150)*(1-B617/150)))/100</f>
        <v/>
      </c>
    </row>
    <row r="619">
      <c r="A619" t="inlineStr">
        <is>
          <t>Skill + Buff Cast Rate</t>
        </is>
      </c>
      <c r="B619">
        <f>IF(AND(Inputs!$B$39&lt;&gt;"pvp",Inputs!$B$44&gt;0),SUMPRODUCT((Skills!E2:E31=TRUE)*(C582:C611=TRUE)*R582:R611*Skills!F2:F31)/Inputs!$B$44,SUMPRODUCT((Skills!E2:E31=TRUE)*(C582:C611=TRUE)*Q582:Q611*Skills!F2:F31))</f>
        <v/>
      </c>
    </row>
    <row r="620">
      <c r="A620" t="inlineStr">
        <is>
          <t>Cruel Stab Casts Per Second</t>
        </is>
      </c>
      <c r="B620">
        <f>MAX(0,B618-B619)</f>
        <v/>
      </c>
    </row>
    <row r="621">
      <c r="A621" t="inlineStr">
        <is>
          <t>Global Critical Damage Bonus % (Smokescreen Mastery Lv.113)</t>
        </is>
      </c>
      <c r="B621">
        <f>IF(Inputs!$B$3&gt;=113,30,0)*IF(AND(Inputs!$B$39&lt;&gt;"pvp",Inputs!$B$44&gt;0),(((R596-1)*MIN((Skills!Y16*(1+Inputs!$B$34/100)),(1/Q596))+MIN((Skills!Y16*(1+Inputs!$B$34/100)),MAX(0,Inputs!$B$44-((R596-1)*(1/Q596)))))/Inputs!$B$44),IF(Inputs!$B$39="pvp",MIN((Skills!Y16*(1+Inputs!$B$34/100)),15)/15,MIN(1,(Skills!Y16*(1+Inputs!$B$34/100))/(1/Q596))))</f>
        <v/>
      </c>
    </row>
    <row r="622">
      <c r="A622" t="inlineStr">
        <is>
          <t>Meso Explosion average stack count</t>
        </is>
      </c>
      <c r="B622">
        <f>MIN(10,IF(Inputs!$B$3&gt;=75,0.75,0.5)*B618*(1/Q584))</f>
        <v/>
      </c>
    </row>
    <row r="623">
      <c r="A623" t="inlineStr">
        <is>
          <t>Blood Money average stack count</t>
        </is>
      </c>
      <c r="B623">
        <f>MIN(5,0.5*IF(Inputs!$B$3&gt;=75,0.75,0.5)*B618*(1/Q584))</f>
        <v/>
      </c>
    </row>
    <row r="624">
      <c r="A624" t="inlineStr">
        <is>
          <t>Assassinate Murderous Intent Multiplier</t>
        </is>
      </c>
      <c r="B624">
        <f>1+IFERROR(MIN(1,Q595*2/Q592),0)</f>
        <v/>
      </c>
    </row>
    <row r="625">
      <c r="A625" t="inlineStr">
        <is>
          <t>Buff-Casting Startup Delay (s, fixed-duration only)</t>
        </is>
      </c>
      <c r="B625">
        <f>IF(AND(Inputs!$B$39&lt;&gt;"pvp",Inputs!$B$44&gt;0),SUMPRODUCT((Skills!Y2:Y31&gt;0)*(Skills!E2:E31=TRUE)*(C582:C611=TRUE))/B618,0)</f>
        <v/>
      </c>
    </row>
    <row r="626">
      <c r="A626" s="6" t="inlineStr">
        <is>
          <t>TOTAL DPS</t>
        </is>
      </c>
      <c r="B626" s="6">
        <f>SUM(O582:O611)</f>
        <v/>
      </c>
    </row>
    <row r="627">
      <c r="A627" t="inlineStr">
        <is>
          <t>Boss-Only Total DPS (this block's swept value)</t>
        </is>
      </c>
      <c r="B627">
        <f>SUM(T582:T611)</f>
        <v/>
      </c>
    </row>
    <row r="628">
      <c r="A628" t="inlineStr">
        <is>
          <t>Normal-Only Total DPS (this block's swept value)</t>
        </is>
      </c>
      <c r="B628">
        <f>SUM(V582:V611)</f>
        <v/>
      </c>
    </row>
    <row r="631">
      <c r="A631" s="6" t="inlineStr">
        <is>
          <t>Stat: CRIT_DAMAGE %</t>
        </is>
      </c>
    </row>
    <row r="632">
      <c r="A632" s="5" t="inlineStr">
        <is>
          <t>Key</t>
        </is>
      </c>
      <c r="B632" s="5" t="inlineStr">
        <is>
          <t>Name</t>
        </is>
      </c>
      <c r="C632" s="5" t="inlineStr">
        <is>
          <t>Unlocked</t>
        </is>
      </c>
      <c r="D632" s="5" t="inlineStr">
        <is>
          <t>InputLevel</t>
        </is>
      </c>
      <c r="E632" s="5" t="inlineStr">
        <is>
          <t>Factor</t>
        </is>
      </c>
      <c r="F632" s="5" t="inlineStr">
        <is>
          <t>CoefficientPercent</t>
        </is>
      </c>
      <c r="G632" s="5" t="inlineStr">
        <is>
          <t>EffectiveHits</t>
        </is>
      </c>
      <c r="H632" s="5" t="inlineStr">
        <is>
          <t>ProcProbability</t>
        </is>
      </c>
      <c r="I632" s="5" t="inlineStr">
        <is>
          <t>MapleHeroMultiplier</t>
        </is>
      </c>
      <c r="J632" s="5" t="inlineStr">
        <is>
          <t>BaseDamage</t>
        </is>
      </c>
      <c r="K632" s="5" t="inlineStr">
        <is>
          <t>BaseHitDamage</t>
        </is>
      </c>
      <c r="L632" s="5" t="inlineStr">
        <is>
          <t>NonCritAvg</t>
        </is>
      </c>
      <c r="M632" s="5" t="inlineStr">
        <is>
          <t>CritAvg</t>
        </is>
      </c>
      <c r="N632" s="5" t="inlineStr">
        <is>
          <t>ExpectedDamage(perHit)</t>
        </is>
      </c>
      <c r="O632" s="5" t="inlineStr">
        <is>
          <t>DPS</t>
        </is>
      </c>
      <c r="P632" s="5" t="inlineStr">
        <is>
          <t>% of Total</t>
        </is>
      </c>
      <c r="Q632" s="5" t="inlineStr">
        <is>
          <t>InvCooldown</t>
        </is>
      </c>
      <c r="R632" s="5" t="inlineStr">
        <is>
          <t>CastsInFight</t>
        </is>
      </c>
      <c r="S632" s="5" t="inlineStr">
        <is>
          <t>HitRate(perSec)</t>
        </is>
      </c>
      <c r="U632" t="inlineStr">
        <is>
          <t>helpers</t>
        </is>
      </c>
    </row>
    <row r="633">
      <c r="A633">
        <f>Skills!A2</f>
        <v/>
      </c>
      <c r="B633">
        <f>Skills!B2</f>
        <v/>
      </c>
      <c r="C633">
        <f>Inputs!$B$3&gt;=100</f>
        <v/>
      </c>
      <c r="D633" t="inlineStr"/>
      <c r="E633" t="inlineStr"/>
      <c r="F633">
        <f>U635+Skills!O2</f>
        <v/>
      </c>
      <c r="G633">
        <f>Skills!G2*IF(Skills!H2&gt;0,IF(Inputs!$B$39="pvp",MIN(Skills!I2,15),Skills!I2)/Skills!H2,1)</f>
        <v/>
      </c>
      <c r="H633">
        <f>1-(1-Skills!J2/100)^Skills!K2</f>
        <v/>
      </c>
      <c r="I633" t="inlineStr">
        <is>
          <t>1</t>
        </is>
      </c>
      <c r="J633">
        <f>((Inputs!$B$6*(1+Inputs!$B$7/100))+(((Inputs!$B$12*(1+Inputs!$B$13/100))-(Inputs!$B$12*(1+Inputs!$B$13/100)))+0.25*(Inputs!$B$14-Inputs!$B$14))*(1+Inputs!$B$7/100))*(F633/100)</f>
        <v/>
      </c>
      <c r="K633">
        <f>J633*(1+((Inputs!$B$12*(1+Inputs!$B$13/100))*0.01+Inputs!$B$14*0.0025)/100)*(1+Inputs!$B$15/100)*(1+Inputs!$B$16/100)*(5000/(6000+Inputs!$B$43*(1-(100*(1-(1-Inputs!$B$19/100)*(1-CHOOSE(ArtifactsInput!$N$40+1,5,6,7,8,9,10)/100)^(ArtifactsInput!$M$40-ArtifactsInput!$M$40)))/100)))*(1+(Inputs!$B$24+((C662=TRUE)*(F662-Calc!F31))+((C649=TRUE)*(F649-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CRUEL_STAB",Inputs!$B$17+((C659=TRUE)*(F659-Calc!F28))+((IF(AND(Inputs!$B$39&lt;&gt;"pvp",Inputs!$B$44=0),1,IF(IF(Inputs!$B$39="pvp",15,Inputs!$B$44)-(B676)&lt;=0,1,MAX(0,IF(Inputs!$B$39="pvp",15,Inputs!$B$44)-MAX(5,B676))/(IF(Inputs!$B$39="pvp",15,Inputs!$B$44)-(B676))))*(IF(AND(ArtifactsInput!$M$42,((Inputs!$B$9+((C657=TRUE)*(F657-Calc!F26))+B665+(ArtifactsInput!$M$24-ArtifactsInput!$M$24)*CHOOSE(ArtifactsInput!$N$24+1,10,12,14,16,18,20)+IF(ArtifactsInput!$M$10,CHOOSE(ArtifactsInput!$N$10+1,15,18,21,24,27,30)*(IF(Inputs!$B$39="pvp",MIN(15,15)/15,IF(AND(Inputs!$B$39&lt;&gt;"pvp",Inputs!$B$44&gt;0),MIN(15,Inputs!$B$44)/(Inputs!$B$44),0))),0)))&gt;=100),MIN(100,((Inputs!$B$9+((C657=TRUE)*(F657-Calc!F26))+B665+(ArtifactsInput!$M$24-ArtifactsInput!$M$24)*CHOOSE(ArtifactsInput!$N$24+1,10,12,14,16,18,20)+IF(ArtifactsInput!$M$10,CHOOSE(ArtifactsInput!$N$10+1,15,18,21,24,27,30)*(IF(Inputs!$B$39="pvp",MIN(15,15)/15,IF(AND(Inputs!$B$39&lt;&gt;"pvp",Inputs!$B$44&gt;0),MIN(15,Inputs!$B$44)/(Inputs!$B$44),0))),0)))-100),0))*CHOOSE(ArtifactsInput!$N$42+1,0.6,0.72,0.84,0.96,1.08,1.2))),Inputs!$B$18+((C660=TRUE)*(F660-Calc!F29))+(IF(AND(Inputs!$B$39&lt;&gt;"pvp",Inputs!$B$44=0),1,IF(IF(Inputs!$B$39="pvp",15,Inputs!$B$44)-(B676)&lt;=0,1,MAX(0,IF(Inputs!$B$39="pvp",15,Inputs!$B$44)-MAX(5,B676))/(IF(Inputs!$B$39="pvp",15,Inputs!$B$44)-(B676))))*IF(AND(ArtifactsInput!$M$42,((Inputs!$B$9+((C657=TRUE)*(F657-Calc!F26))+B665+(ArtifactsInput!$M$24-ArtifactsInput!$M$24)*CHOOSE(ArtifactsInput!$N$24+1,10,12,14,16,18,20)+IF(ArtifactsInput!$M$10,CHOOSE(ArtifactsInput!$N$10+1,15,18,21,24,27,30)*(IF(Inputs!$B$39="pvp",MIN(15,15)/15,IF(AND(Inputs!$B$39&lt;&gt;"pvp",Inputs!$B$44&gt;0),MIN(15,Inputs!$B$44)/(Inputs!$B$44),0))),0)))&gt;=100),CHOOSE(ArtifactsInput!$N$42+1,40,48,56,64,72,80),0))))/100)*(((1+(((C653=TRUE)*F653*IF(AND(Inputs!$B$39&lt;&gt;"pvp",Inputs!$B$44&gt;0),(((R653-1)*MIN((Skills!Y22*(1+Inputs!$B$34/100)),(1/Q653))+MIN((Skills!Y22*(1+Inputs!$B$34/100)),MAX(0,Inputs!$B$44-((R653-1)*(1/Q653)))))/Inputs!$B$44),IF(Inputs!$B$39="pvp",MIN((Skills!Y22*(1+Inputs!$B$34/100)),15)/15,MIN(1,(Skills!Y22*(1+Inputs!$B$34/100))/(1/Q653)))))+((C634=TRUE)*F634*3)+((C636=TRUE)*F636*(1-EXP(-0.75*B669*5)))+((C655=TRUE)*(F655-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642=TRUE)*F642*IF(AND(Inputs!$B$39&lt;&gt;"pvp",Inputs!$B$44&gt;0),(((R642-1)*MIN((Skills!Y11*(1+Inputs!$B$34/100)),(1/Q642))+MIN((Skills!Y11*(1+Inputs!$B$34/100)),MAX(0,Inputs!$B$44-((R642-1)*(1/Q642)))))/Inputs!$B$44),IF(Inputs!$B$39="pvp",MIN((Skills!Y11*(1+Inputs!$B$34/100)),15)/15,MIN(1,(Skills!Y11*(1+Inputs!$B$34/100))/(1/Q642)))))/100)*(1+((C647=TRUE)*F647*IF(AND(Inputs!$B$39&lt;&gt;"pvp",Inputs!$B$44&gt;0),(((R647-1)*MIN((Skills!Y16*(1+Inputs!$B$34/100)),(1/Q647))+MIN((Skills!Y16*(1+Inputs!$B$34/100)),MAX(0,Inputs!$B$44-((R647-1)*(1/Q647)))))/Inputs!$B$44),IF(Inputs!$B$39="pvp",MIN((Skills!Y16*(1+Inputs!$B$34/100)),15)/15,MIN(1,(Skills!Y16*(1+Inputs!$B$34/100))/(1/Q647)))))/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667*I633)</f>
        <v/>
      </c>
      <c r="L633">
        <f>K633*(MIN(Inputs!$B$22+((C656=TRUE)*(F656-Calc!F25)),(Inputs!$B$23+((C661=TRUE)*(F661-Calc!F30))+IF(ArtifactsInput!$M$15,CHOOSE(ArtifactsInput!$N$15+1,25,30,35,40,45,50)/100*(Inputs!$B$11-Inputs!$B$11),0)))/100+(Inputs!$B$23+((C661=TRUE)*(F661-Calc!F30))+IF(ArtifactsInput!$M$15,CHOOSE(ArtifactsInput!$N$15+1,25,30,35,40,45,50)/100*(Inputs!$B$11-Inputs!$B$11),0))/100)/2</f>
        <v/>
      </c>
      <c r="M633">
        <f>L633*(1+((Inputs!$B$10+1)+((C658=TRUE)*(F658-Calc!F27))+B672+(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633">
        <f>L633*(1-MIN((Inputs!$B$9+((C657=TRUE)*(F657-Calc!F26))+B665+(ArtifactsInput!$M$24-ArtifactsInput!$M$24)*CHOOSE(ArtifactsInput!$N$24+1,10,12,14,16,18,20)+(IF(AND(Inputs!$B$39&lt;&gt;"pvp",Inputs!$B$44=0),1,IF(IF(Inputs!$B$39="pvp",15,Inputs!$B$44)-(B676)&lt;=0,1,MAX(0,IF(Inputs!$B$39="pvp",15,Inputs!$B$44)-MAX(5,B676))/(IF(Inputs!$B$39="pvp",15,Inputs!$B$44)-(B676))))*IF(AND(ArtifactsInput!$M$42,((Inputs!$B$9+((C657=TRUE)*(F657-Calc!F26))+B665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633*(MIN((Inputs!$B$9+((C657=TRUE)*(F657-Calc!F26))+B665+(ArtifactsInput!$M$24-ArtifactsInput!$M$24)*CHOOSE(ArtifactsInput!$N$24+1,10,12,14,16,18,20)+(IF(AND(Inputs!$B$39&lt;&gt;"pvp",Inputs!$B$44=0),1,IF(IF(Inputs!$B$39="pvp",15,Inputs!$B$44)-(B676)&lt;=0,1,MAX(0,IF(Inputs!$B$39="pvp",15,Inputs!$B$44)-MAX(5,B676))/(IF(Inputs!$B$39="pvp",15,Inputs!$B$44)-(B676))))*IF(AND(ArtifactsInput!$M$42,((Inputs!$B$9+((C657=TRUE)*(F657-Calc!F26))+B665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633">
        <f>(1-Summary!$B$11)*T633+Summary!$B$11*V633</f>
        <v/>
      </c>
      <c r="P633">
        <f>IF(B677=0,0,O633/B677)</f>
        <v/>
      </c>
      <c r="Q633" t="n">
        <v>0</v>
      </c>
      <c r="R633" t="n">
        <v>0</v>
      </c>
      <c r="S633">
        <f>IFERROR(O633/N633,0)</f>
        <v/>
      </c>
      <c r="T633">
        <f>IF(C633,(Skills!G2*N633*B671)*IF(Inputs!$B$39="pvp",1,1+(Inputs!$B$20+0+Skills!P2+B666+(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Hunt"),CHOOSE(ArtifactsInput!$N$35+1,15,18,21,24,27,30)*(1-EXP(-(0.2*B669)*5)),0)+IF(AND(ArtifactsInput!$M$22,Inputs!$B$4&lt;&gt;"Chapter Hunt"),CHOOSE(ArtifactsInput!$N$22+1,10,12,14,16,18,20)*((0*(((0.15*B669*5))^0/1)+1*(((0.15*B669*5))^1/1)+2*(((0.15*B669*5))^2/2)+3*(((0.15*B669*5))^3/6)+4*(((0.15*B669*5))^4/24)+5*(((0.15*B669*5))^5/120))/((((0.15*B669*5))^0/1)+(((0.15*B669*5))^1/1)+(((0.15*B669*5))^2/2)+(((0.15*B669*5))^3/6)+(((0.15*B669*5))^4/24)+(((0.15*B669*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633*(1-MIN(100,(Inputs!$B$9+((C657=TRUE)*(F657-Calc!F26))+B665+(ArtifactsInput!$M$24-ArtifactsInput!$M$24)*CHOOSE(ArtifactsInput!$N$24+1,10,12,14,16,18,20)+(IF(AND(Inputs!$B$39&lt;&gt;"pvp",Inputs!$B$44=0),1,IF(IF(Inputs!$B$39="pvp",15,Inputs!$B$44)-(B676)&lt;=0,1,MAX(0,IF(Inputs!$B$39="pvp",15,Inputs!$B$44)-MAX(5,B676))/(IF(Inputs!$B$39="pvp",15,Inputs!$B$44)-(B676))))*IF(AND(ArtifactsInput!$M$42,((Inputs!$B$9+((C657=TRUE)*(F657-Calc!F26))+B665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633*(MIN(100,(Inputs!$B$9+((C657=TRUE)*(F657-Calc!F26))+B665+(ArtifactsInput!$M$24-ArtifactsInput!$M$24)*CHOOSE(ArtifactsInput!$N$24+1,10,12,14,16,18,20)+(IF(AND(Inputs!$B$39&lt;&gt;"pvp",Inputs!$B$44=0),1,IF(IF(Inputs!$B$39="pvp",15,Inputs!$B$44)-(B676)&lt;=0,1,MAX(0,IF(Inputs!$B$39="pvp",15,Inputs!$B$44)-MAX(5,B676))/(IF(Inputs!$B$39="pvp",15,Inputs!$B$44)-(B676))))*IF(AND(ArtifactsInput!$M$42,((Inputs!$B$9+((C657=TRUE)*(F657-Calc!F26))+B665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633*(1-MIN(100,(Inputs!$B$9+((C657=TRUE)*(F657-Calc!F26))+B665+(ArtifactsInput!$M$24-ArtifactsInput!$M$24)*CHOOSE(ArtifactsInput!$N$24+1,10,12,14,16,18,20)+(IF(AND(Inputs!$B$39&lt;&gt;"pvp",Inputs!$B$44=0),1,IF(IF(Inputs!$B$39="pvp",15,Inputs!$B$44)-(B676)&lt;=0,1,MAX(0,IF(Inputs!$B$39="pvp",15,Inputs!$B$44)-MAX(5,B676))/(IF(Inputs!$B$39="pvp",15,Inputs!$B$44)-(B676))))*IF(AND(ArtifactsInput!$M$42,((Inputs!$B$9+((C657=TRUE)*(F657-Calc!F26))+B665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633*(MIN(100,(Inputs!$B$9+((C657=TRUE)*(F657-Calc!F26))+B665+(ArtifactsInput!$M$24-ArtifactsInput!$M$24)*CHOOSE(ArtifactsInput!$N$24+1,10,12,14,16,18,20)+(IF(AND(Inputs!$B$39&lt;&gt;"pvp",Inputs!$B$44=0),1,IF(IF(Inputs!$B$39="pvp",15,Inputs!$B$44)-(B676)&lt;=0,1,MAX(0,IF(Inputs!$B$39="pvp",15,Inputs!$B$44)-MAX(5,B676))/(IF(Inputs!$B$39="pvp",15,Inputs!$B$44)-(B676))))*IF(AND(ArtifactsInput!$M$42,((Inputs!$B$9+((C657=TRUE)*(F657-Calc!F26))+B665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633">
        <f>MAX(0,(Inputs!$B$3-100)*3)+Inputs!$B$28+Inputs!$B$29</f>
        <v/>
      </c>
      <c r="V633">
        <f>IF(C633,(Skills!G2*N633*B671)*IF(Inputs!$B$39="pvp",1,(1+(Inputs!$B$21+Skills!Q2+B666+(IF(ArtifactsInput!$M$33,CHOOSE(ArtifactsInput!$N$33+1,30,36,42,48,54,60),0))+(IF(AND(ArtifactsInput!$M$35,Inputs!$B$4&lt;&gt;"Chapter Hunt"),CHOOSE(ArtifactsInput!$N$35+1,15,18,21,24,27,30)*(1-EXP(-(0.2*B669)*5)),0)+IF(AND(ArtifactsInput!$M$22,Inputs!$B$4&lt;&gt;"Chapter Hunt"),CHOOSE(ArtifactsInput!$N$22+1,10,12,14,16,18,20)*((0*(((0.15*B669*5))^0/1)+1*(((0.15*B669*5))^1/1)+2*(((0.15*B669*5))^2/2)+3*(((0.15*B669*5))^3/6)+4*(((0.15*B669*5))^4/24)+5*(((0.15*B669*5))^5/120))/((((0.15*B669*5))^0/1)+(((0.15*B669*5))^1/1)+(((0.15*B669*5))^2/2)+(((0.15*B669*5))^3/6)+(((0.15*B669*5))^4/24)+(((0.15*B669*5))^5/120))),0)))/100)*(MIN((6+Inputs!$B$33),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634">
      <c r="A634">
        <f>Skills!A3</f>
        <v/>
      </c>
      <c r="B634">
        <f>Skills!B3</f>
        <v/>
      </c>
      <c r="C634">
        <f>Inputs!$B$3&gt;=35</f>
        <v/>
      </c>
      <c r="D634">
        <f>IF(Skills!C3=1,60+Inputs!$B$25+Inputs!$B$29,IF(Skills!C3=2,90+Inputs!$B$26+Inputs!$B$29,IF(Skills!C3=3,120+Inputs!$B$27+Inputs!$B$29,MAX(0,(Inputs!$B$3-100)*3)+Inputs!$B$28+Inputs!$B$29)))</f>
        <v/>
      </c>
      <c r="E634">
        <f>INDEX(FactorTable!$B$2:$Y$301, MATCH(ROUND(MIN(300,MAX(1,D634)),0), FactorTable!$A$2:$A$301,0), Skills!M3+1)</f>
        <v/>
      </c>
      <c r="F634">
        <f>IF(Skills!N3=TRUE,(Skills!L3/10)*(E634/1000),Skills!L3/10)+Skills!O3</f>
        <v/>
      </c>
      <c r="G634">
        <f>Skills!G3*IF(Skills!H3&gt;0,IF(Inputs!$B$39="pvp",MIN(Skills!I3,15),Skills!I3)/Skills!H3,1)</f>
        <v/>
      </c>
      <c r="H634">
        <f>1-(1-Skills!J3/100)^Skills!K3</f>
        <v/>
      </c>
      <c r="I634" t="inlineStr">
        <is>
          <t>1</t>
        </is>
      </c>
      <c r="J634" t="inlineStr"/>
      <c r="K634" t="inlineStr"/>
      <c r="L634" t="inlineStr"/>
      <c r="M634" t="inlineStr"/>
      <c r="N634" t="inlineStr"/>
      <c r="O634">
        <f>(1-Summary!$B$11)*T634+Summary!$B$11*V634</f>
        <v/>
      </c>
      <c r="P634">
        <f>IF(B677=0,0,O634/B677)</f>
        <v/>
      </c>
      <c r="Q634" t="n">
        <v>0</v>
      </c>
      <c r="R634" t="n">
        <v>0</v>
      </c>
      <c r="S634">
        <f>IFERROR(O634/N634,0)</f>
        <v/>
      </c>
      <c r="T634" t="n">
        <v>0</v>
      </c>
      <c r="U634">
        <f>INDEX(FactorTable!$B$2:$Y$301, MATCH(ROUND(MIN(300,MAX(1,U633)),0), FactorTable!$A$2:$A$301,0), 22)</f>
        <v/>
      </c>
      <c r="V634" t="n">
        <v>0</v>
      </c>
    </row>
    <row r="635">
      <c r="A635">
        <f>Skills!A4</f>
        <v/>
      </c>
      <c r="B635">
        <f>Skills!B4</f>
        <v/>
      </c>
      <c r="C635">
        <f>Inputs!$B$3&gt;=66</f>
        <v/>
      </c>
      <c r="D635">
        <f>IF(Skills!C4=1,60+Inputs!$B$25+Inputs!$B$29,IF(Skills!C4=2,90+Inputs!$B$26+Inputs!$B$29,IF(Skills!C4=3,120+Inputs!$B$27+Inputs!$B$29,MAX(0,(Inputs!$B$3-100)*3)+Inputs!$B$28+Inputs!$B$29)))</f>
        <v/>
      </c>
      <c r="E635">
        <f>INDEX(FactorTable!$B$2:$Y$301, MATCH(ROUND(MIN(300,MAX(1,D635)),0), FactorTable!$A$2:$A$301,0), Skills!M4+1)</f>
        <v/>
      </c>
      <c r="F635">
        <f>IF(Skills!N4=TRUE,(Skills!L4/10)*(E635/1000),Skills!L4/10)+Skills!O4</f>
        <v/>
      </c>
      <c r="G635">
        <f>Skills!G4*IF(Skills!H4&gt;0,IF(Inputs!$B$39="pvp",MIN(Skills!I4,15),Skills!I4)/Skills!H4,1)</f>
        <v/>
      </c>
      <c r="H635">
        <f>1-(1-Skills!J4/100)^Skills!K4</f>
        <v/>
      </c>
      <c r="I635" t="inlineStr">
        <is>
          <t>1</t>
        </is>
      </c>
      <c r="J635">
        <f>((Inputs!$B$6*(1+Inputs!$B$7/100))+(((Inputs!$B$12*(1+Inputs!$B$13/100))-(Inputs!$B$12*(1+Inputs!$B$13/100)))+0.25*(Inputs!$B$14-Inputs!$B$14))*(1+Inputs!$B$7/100))*(F635/100)</f>
        <v/>
      </c>
      <c r="K635">
        <f>J635*(1+((Inputs!$B$12*(1+Inputs!$B$13/100))*0.01+Inputs!$B$14*0.0025)/100)*(1+Inputs!$B$15/100)*(1+Inputs!$B$16/100)*(5000/(6000+Inputs!$B$43*(1-(100*(1-(1-Inputs!$B$19/100)*(1-CHOOSE(ArtifactsInput!$N$40+1,5,6,7,8,9,10)/100)^(ArtifactsInput!$M$40-ArtifactsInput!$M$40)))/100)))*(1+(Inputs!$B$24+((C662=TRUE)*(F662-Calc!F31))+((C649=TRUE)*(F649-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4="CRUEL_STAB",Inputs!$B$17+((C659=TRUE)*(F659-Calc!F28))+((IF(AND(Inputs!$B$39&lt;&gt;"pvp",Inputs!$B$44=0),1,IF(IF(Inputs!$B$39="pvp",15,Inputs!$B$44)-(B676)&lt;=0,1,MAX(0,IF(Inputs!$B$39="pvp",15,Inputs!$B$44)-MAX(5,B676))/(IF(Inputs!$B$39="pvp",15,Inputs!$B$44)-(B676))))*(IF(AND(ArtifactsInput!$M$42,((Inputs!$B$9+((C657=TRUE)*(F657-Calc!F26))+B665+(ArtifactsInput!$M$24-ArtifactsInput!$M$24)*CHOOSE(ArtifactsInput!$N$24+1,10,12,14,16,18,20)+IF(ArtifactsInput!$M$10,CHOOSE(ArtifactsInput!$N$10+1,15,18,21,24,27,30)*(IF(Inputs!$B$39="pvp",MIN(15,15)/15,IF(AND(Inputs!$B$39&lt;&gt;"pvp",Inputs!$B$44&gt;0),MIN(15,Inputs!$B$44)/(Inputs!$B$44),0))),0)))&gt;=100),MIN(100,((Inputs!$B$9+((C657=TRUE)*(F657-Calc!F26))+B665+(ArtifactsInput!$M$24-ArtifactsInput!$M$24)*CHOOSE(ArtifactsInput!$N$24+1,10,12,14,16,18,20)+IF(ArtifactsInput!$M$10,CHOOSE(ArtifactsInput!$N$10+1,15,18,21,24,27,30)*(IF(Inputs!$B$39="pvp",MIN(15,15)/15,IF(AND(Inputs!$B$39&lt;&gt;"pvp",Inputs!$B$44&gt;0),MIN(15,Inputs!$B$44)/(Inputs!$B$44),0))),0)))-100),0))*CHOOSE(ArtifactsInput!$N$42+1,0.6,0.72,0.84,0.96,1.08,1.2))),Inputs!$B$18+((C660=TRUE)*(F660-Calc!F29))+(IF(AND(Inputs!$B$39&lt;&gt;"pvp",Inputs!$B$44=0),1,IF(IF(Inputs!$B$39="pvp",15,Inputs!$B$44)-(B676)&lt;=0,1,MAX(0,IF(Inputs!$B$39="pvp",15,Inputs!$B$44)-MAX(5,B676))/(IF(Inputs!$B$39="pvp",15,Inputs!$B$44)-(B676))))*IF(AND(ArtifactsInput!$M$42,((Inputs!$B$9+((C657=TRUE)*(F657-Calc!F26))+B665+(ArtifactsInput!$M$24-ArtifactsInput!$M$24)*CHOOSE(ArtifactsInput!$N$24+1,10,12,14,16,18,20)+IF(ArtifactsInput!$M$10,CHOOSE(ArtifactsInput!$N$10+1,15,18,21,24,27,30)*(IF(Inputs!$B$39="pvp",MIN(15,15)/15,IF(AND(Inputs!$B$39&lt;&gt;"pvp",Inputs!$B$44&gt;0),MIN(15,Inputs!$B$44)/(Inputs!$B$44),0))),0)))&gt;=100),CHOOSE(ArtifactsInput!$N$42+1,40,48,56,64,72,80),0))))/100)*(((1+(((C653=TRUE)*F653*IF(AND(Inputs!$B$39&lt;&gt;"pvp",Inputs!$B$44&gt;0),(((R653-1)*MIN((Skills!Y22*(1+Inputs!$B$34/100)),(1/Q653))+MIN((Skills!Y22*(1+Inputs!$B$34/100)),MAX(0,Inputs!$B$44-((R653-1)*(1/Q653)))))/Inputs!$B$44),IF(Inputs!$B$39="pvp",MIN((Skills!Y22*(1+Inputs!$B$34/100)),15)/15,MIN(1,(Skills!Y22*(1+Inputs!$B$34/100))/(1/Q653)))))+((C634=TRUE)*F634*3)+((C636=TRUE)*F636*(1-EXP(-0.75*B669*5)))+((C655=TRUE)*(F655-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642=TRUE)*F642*IF(AND(Inputs!$B$39&lt;&gt;"pvp",Inputs!$B$44&gt;0),(((R642-1)*MIN((Skills!Y11*(1+Inputs!$B$34/100)),(1/Q642))+MIN((Skills!Y11*(1+Inputs!$B$34/100)),MAX(0,Inputs!$B$44-((R642-1)*(1/Q642)))))/Inputs!$B$44),IF(Inputs!$B$39="pvp",MIN((Skills!Y11*(1+Inputs!$B$34/100)),15)/15,MIN(1,(Skills!Y11*(1+Inputs!$B$34/100))/(1/Q642)))))/100)*(1+((C647=TRUE)*F647*IF(AND(Inputs!$B$39&lt;&gt;"pvp",Inputs!$B$44&gt;0),(((R647-1)*MIN((Skills!Y16*(1+Inputs!$B$34/100)),(1/Q647))+MIN((Skills!Y16*(1+Inputs!$B$34/100)),MAX(0,Inputs!$B$44-((R647-1)*(1/Q647)))))/Inputs!$B$44),IF(Inputs!$B$39="pvp",MIN((Skills!Y16*(1+Inputs!$B$34/100)),15)/15,MIN(1,(Skills!Y16*(1+Inputs!$B$34/100))/(1/Q647)))))/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667*I635)</f>
        <v/>
      </c>
      <c r="L635">
        <f>K635*(MIN(Inputs!$B$22+((C656=TRUE)*(F656-Calc!F25)),(Inputs!$B$23+((C661=TRUE)*(F661-Calc!F30))+IF(ArtifactsInput!$M$15,CHOOSE(ArtifactsInput!$N$15+1,25,30,35,40,45,50)/100*(Inputs!$B$11-Inputs!$B$11),0)))/100+(Inputs!$B$23+((C661=TRUE)*(F661-Calc!F30))+IF(ArtifactsInput!$M$15,CHOOSE(ArtifactsInput!$N$15+1,25,30,35,40,45,50)/100*(Inputs!$B$11-Inputs!$B$11),0))/100)/2</f>
        <v/>
      </c>
      <c r="M635">
        <f>L635*(1+((Inputs!$B$10+1)+((C658=TRUE)*(F658-Calc!F27))+B672+(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635">
        <f>L635*(1-MIN((Inputs!$B$9+((C657=TRUE)*(F657-Calc!F26))+B665+(ArtifactsInput!$M$24-ArtifactsInput!$M$24)*CHOOSE(ArtifactsInput!$N$24+1,10,12,14,16,18,20)+(IF(AND(Inputs!$B$39&lt;&gt;"pvp",Inputs!$B$44=0),1,IF(IF(Inputs!$B$39="pvp",15,Inputs!$B$44)-(B676)&lt;=0,1,MAX(0,IF(Inputs!$B$39="pvp",15,Inputs!$B$44)-MAX(5,B676))/(IF(Inputs!$B$39="pvp",15,Inputs!$B$44)-(B676))))*IF(AND(ArtifactsInput!$M$42,((Inputs!$B$9+((C657=TRUE)*(F657-Calc!F26))+B665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635*(MIN((Inputs!$B$9+((C657=TRUE)*(F657-Calc!F26))+B665+(ArtifactsInput!$M$24-ArtifactsInput!$M$24)*CHOOSE(ArtifactsInput!$N$24+1,10,12,14,16,18,20)+(IF(AND(Inputs!$B$39&lt;&gt;"pvp",Inputs!$B$44=0),1,IF(IF(Inputs!$B$39="pvp",15,Inputs!$B$44)-(B676)&lt;=0,1,MAX(0,IF(Inputs!$B$39="pvp",15,Inputs!$B$44)-MAX(5,B676))/(IF(Inputs!$B$39="pvp",15,Inputs!$B$44)-(B676))))*IF(AND(ArtifactsInput!$M$42,((Inputs!$B$9+((C657=TRUE)*(F657-Calc!F26))+B665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635">
        <f>(1-Summary!$B$11)*T635+Summary!$B$11*V635</f>
        <v/>
      </c>
      <c r="P635">
        <f>IF(B677=0,0,O635/B677)</f>
        <v/>
      </c>
      <c r="Q635">
        <f>IFERROR(1/IF(Inputs!$B$39="pvp",15,MAX(0.1,Skills!D4-IF(TRUE=TRUE,Inputs!$B$32,0))),0)</f>
        <v/>
      </c>
      <c r="R635">
        <f>IF(AND(Inputs!$B$39&lt;&gt;"pvp",Inputs!$B$44&gt;0),IF(MAX(0,Inputs!$B$44-B676)&lt;=0,0,(INT(MAX(0,Inputs!$B$44-B676)/IF(Inputs!$B$39="pvp",15,MAX(0.1,Skills!D4-IF(TRUE=TRUE,Inputs!$B$32,0))))+1)),0)</f>
        <v/>
      </c>
      <c r="S635">
        <f>IFERROR(O635/N635,0)</f>
        <v/>
      </c>
      <c r="T635">
        <f>IF(C635,(H635*N635*IF(AND(Inputs!$B$39&lt;&gt;"pvp",Inputs!$B$44&gt;0),((Skills!G4*((R635-1)*IF(Skills!H4&gt;0,Skills!I4/Skills!H4,1)+IF(Skills!H4&gt;0,MIN(Skills!I4,MAX(0,MAX(0,Inputs!$B$44-B676)-((R635-1)*IF(Inputs!$B$39="pvp",15,MAX(0.1,Skills!D4-IF(TRUE=TRUE,Inputs!$B$32,0))))))/Skills!H4,1)))/Inputs!$B$44),G635*Q635))*IF(Inputs!$B$39="pvp",1,1+(Inputs!$B$20+0+Skills!P4+B666+(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Hunt"),CHOOSE(ArtifactsInput!$N$35+1,15,18,21,24,27,30)*(1-EXP(-(0.2*B669)*5)),0)+IF(AND(ArtifactsInput!$M$22,Inputs!$B$4&lt;&gt;"Chapter Hunt"),CHOOSE(ArtifactsInput!$N$22+1,10,12,14,16,18,20)*((0*(((0.15*B669*5))^0/1)+1*(((0.15*B669*5))^1/1)+2*(((0.15*B669*5))^2/2)+3*(((0.15*B669*5))^3/6)+4*(((0.15*B669*5))^4/24)+5*(((0.15*B669*5))^5/120))/((((0.15*B669*5))^0/1)+(((0.15*B669*5))^1/1)+(((0.15*B669*5))^2/2)+(((0.15*B669*5))^3/6)+(((0.15*B669*5))^4/24)+(((0.15*B669*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635*(1-MIN(100,(Inputs!$B$9+((C657=TRUE)*(F657-Calc!F26))+B665+(ArtifactsInput!$M$24-ArtifactsInput!$M$24)*CHOOSE(ArtifactsInput!$N$24+1,10,12,14,16,18,20)+(IF(AND(Inputs!$B$39&lt;&gt;"pvp",Inputs!$B$44=0),1,IF(IF(Inputs!$B$39="pvp",15,Inputs!$B$44)-(B676)&lt;=0,1,MAX(0,IF(Inputs!$B$39="pvp",15,Inputs!$B$44)-MAX(5,B676))/(IF(Inputs!$B$39="pvp",15,Inputs!$B$44)-(B676))))*IF(AND(ArtifactsInput!$M$42,((Inputs!$B$9+((C657=TRUE)*(F657-Calc!F26))+B665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635*(MIN(100,(Inputs!$B$9+((C657=TRUE)*(F657-Calc!F26))+B665+(ArtifactsInput!$M$24-ArtifactsInput!$M$24)*CHOOSE(ArtifactsInput!$N$24+1,10,12,14,16,18,20)+(IF(AND(Inputs!$B$39&lt;&gt;"pvp",Inputs!$B$44=0),1,IF(IF(Inputs!$B$39="pvp",15,Inputs!$B$44)-(B676)&lt;=0,1,MAX(0,IF(Inputs!$B$39="pvp",15,Inputs!$B$44)-MAX(5,B676))/(IF(Inputs!$B$39="pvp",15,Inputs!$B$44)-(B676))))*IF(AND(ArtifactsInput!$M$42,((Inputs!$B$9+((C657=TRUE)*(F657-Calc!F26))+B665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635*(1-MIN(100,(Inputs!$B$9+((C657=TRUE)*(F657-Calc!F26))+B665+(ArtifactsInput!$M$24-ArtifactsInput!$M$24)*CHOOSE(ArtifactsInput!$N$24+1,10,12,14,16,18,20)+(IF(AND(Inputs!$B$39&lt;&gt;"pvp",Inputs!$B$44=0),1,IF(IF(Inputs!$B$39="pvp",15,Inputs!$B$44)-(B676)&lt;=0,1,MAX(0,IF(Inputs!$B$39="pvp",15,Inputs!$B$44)-MAX(5,B676))/(IF(Inputs!$B$39="pvp",15,Inputs!$B$44)-(B676))))*IF(AND(ArtifactsInput!$M$42,((Inputs!$B$9+((C657=TRUE)*(F657-Calc!F26))+B665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635*(MIN(100,(Inputs!$B$9+((C657=TRUE)*(F657-Calc!F26))+B665+(ArtifactsInput!$M$24-ArtifactsInput!$M$24)*CHOOSE(ArtifactsInput!$N$24+1,10,12,14,16,18,20)+(IF(AND(Inputs!$B$39&lt;&gt;"pvp",Inputs!$B$44=0),1,IF(IF(Inputs!$B$39="pvp",15,Inputs!$B$44)-(B676)&lt;=0,1,MAX(0,IF(Inputs!$B$39="pvp",15,Inputs!$B$44)-MAX(5,B676))/(IF(Inputs!$B$39="pvp",15,Inputs!$B$44)-(B676))))*IF(AND(ArtifactsInput!$M$42,((Inputs!$B$9+((C657=TRUE)*(F657-Calc!F26))+B665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635">
        <f>290*U634/1000</f>
        <v/>
      </c>
      <c r="V635">
        <f>IF(C635,(H635*N635*IF(AND(Inputs!$B$39&lt;&gt;"pvp",Inputs!$B$44&gt;0),((Skills!G4*((R635-1)*IF(Skills!H4&gt;0,Skills!I4/Skills!H4,1)+IF(Skills!H4&gt;0,MIN(Skills!I4,MAX(0,MAX(0,Inputs!$B$44-B676)-((R635-1)*IF(Inputs!$B$39="pvp",15,MAX(0.1,Skills!D4-IF(TRUE=TRUE,Inputs!$B$32,0))))))/Skills!H4,1)))/Inputs!$B$44),G635*Q635))*IF(Inputs!$B$39="pvp",1,(1+(Inputs!$B$21+Skills!Q4+B666+(IF(ArtifactsInput!$M$33,CHOOSE(ArtifactsInput!$N$33+1,30,36,42,48,54,60),0))+(IF(AND(ArtifactsInput!$M$35,Inputs!$B$4&lt;&gt;"Chapter Hunt"),CHOOSE(ArtifactsInput!$N$35+1,15,18,21,24,27,30)*(1-EXP(-(0.2*B669)*5)),0)+IF(AND(ArtifactsInput!$M$22,Inputs!$B$4&lt;&gt;"Chapter Hunt"),CHOOSE(ArtifactsInput!$N$22+1,10,12,14,16,18,20)*((0*(((0.15*B669*5))^0/1)+1*(((0.15*B669*5))^1/1)+2*(((0.15*B669*5))^2/2)+3*(((0.15*B669*5))^3/6)+4*(((0.15*B669*5))^4/24)+5*(((0.15*B669*5))^5/120))/((((0.15*B669*5))^0/1)+(((0.15*B669*5))^1/1)+(((0.15*B669*5))^2/2)+(((0.15*B669*5))^3/6)+(((0.15*B669*5))^4/24)+(((0.15*B669*5))^5/120))),0)))/100)*(MIN(MIN(10,IF(Inputs!$B$3&gt;=75,0.75,0.5)*B669*(1/Q635)),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636">
      <c r="A636">
        <f>Skills!A5</f>
        <v/>
      </c>
      <c r="B636">
        <f>Skills!B5</f>
        <v/>
      </c>
      <c r="C636">
        <f>Inputs!$B$3&gt;=75</f>
        <v/>
      </c>
      <c r="D636">
        <f>IF(Skills!C5=1,60+Inputs!$B$25+Inputs!$B$29,IF(Skills!C5=2,90+Inputs!$B$26+Inputs!$B$29,IF(Skills!C5=3,120+Inputs!$B$27+Inputs!$B$29,MAX(0,(Inputs!$B$3-100)*3)+Inputs!$B$28+Inputs!$B$29)))</f>
        <v/>
      </c>
      <c r="E636">
        <f>INDEX(FactorTable!$B$2:$Y$301, MATCH(ROUND(MIN(300,MAX(1,D636)),0), FactorTable!$A$2:$A$301,0), Skills!M5+1)</f>
        <v/>
      </c>
      <c r="F636">
        <f>IF(Skills!N5=TRUE,(Skills!L5/10)*(E636/1000),Skills!L5/10)+Skills!O5</f>
        <v/>
      </c>
      <c r="G636">
        <f>Skills!G5*IF(Skills!H5&gt;0,IF(Inputs!$B$39="pvp",MIN(Skills!I5,15),Skills!I5)/Skills!H5,1)</f>
        <v/>
      </c>
      <c r="H636">
        <f>1-(1-Skills!J5/100)^Skills!K5</f>
        <v/>
      </c>
      <c r="I636" t="inlineStr">
        <is>
          <t>1</t>
        </is>
      </c>
      <c r="J636" t="inlineStr"/>
      <c r="K636" t="inlineStr"/>
      <c r="L636" t="inlineStr"/>
      <c r="M636" t="inlineStr"/>
      <c r="N636" t="inlineStr"/>
      <c r="O636">
        <f>(1-Summary!$B$11)*T636+Summary!$B$11*V636</f>
        <v/>
      </c>
      <c r="P636">
        <f>IF(B677=0,0,O636/B677)</f>
        <v/>
      </c>
      <c r="Q636" t="n">
        <v>0</v>
      </c>
      <c r="R636" t="n">
        <v>0</v>
      </c>
      <c r="S636">
        <f>IFERROR(O636/N636,0)</f>
        <v/>
      </c>
      <c r="T636" t="n">
        <v>0</v>
      </c>
      <c r="V636" t="n">
        <v>0</v>
      </c>
    </row>
    <row r="637">
      <c r="A637">
        <f>Skills!A6</f>
        <v/>
      </c>
      <c r="B637">
        <f>Skills!B6</f>
        <v/>
      </c>
      <c r="C637">
        <f>Inputs!$B$3&gt;=63</f>
        <v/>
      </c>
      <c r="D637">
        <f>IF(Skills!C6=1,60+Inputs!$B$25+Inputs!$B$29,IF(Skills!C6=2,90+Inputs!$B$26+Inputs!$B$29,IF(Skills!C6=3,120+Inputs!$B$27+Inputs!$B$29,MAX(0,(Inputs!$B$3-100)*3)+Inputs!$B$28+Inputs!$B$29)))</f>
        <v/>
      </c>
      <c r="E637">
        <f>INDEX(FactorTable!$B$2:$Y$301, MATCH(ROUND(MIN(300,MAX(1,D637)),0), FactorTable!$A$2:$A$301,0), Skills!M6+1)</f>
        <v/>
      </c>
      <c r="F637">
        <f>IF(Skills!N6=TRUE,(Skills!L6/10)*(E637/1000),Skills!L6/10)+Skills!O6</f>
        <v/>
      </c>
      <c r="G637">
        <f>Skills!G6*IF(Skills!H6&gt;0,IF(Inputs!$B$39="pvp",MIN(Skills!I6,15),Skills!I6)/Skills!H6,1)</f>
        <v/>
      </c>
      <c r="H637">
        <f>1-(1-Skills!J6/100)^Skills!K6</f>
        <v/>
      </c>
      <c r="I637" t="inlineStr">
        <is>
          <t>1</t>
        </is>
      </c>
      <c r="J637">
        <f>((Inputs!$B$6*(1+Inputs!$B$7/100))+(((Inputs!$B$12*(1+Inputs!$B$13/100))-(Inputs!$B$12*(1+Inputs!$B$13/100)))+0.25*(Inputs!$B$14-Inputs!$B$14))*(1+Inputs!$B$7/100))*(F637/100)</f>
        <v/>
      </c>
      <c r="K637">
        <f>J637*(1+((Inputs!$B$12*(1+Inputs!$B$13/100))*0.01+Inputs!$B$14*0.0025)/100)*(1+Inputs!$B$15/100)*(1+Inputs!$B$16/100)*(5000/(6000+Inputs!$B$43*(1-(100*(1-(1-Inputs!$B$19/100)*(1-CHOOSE(ArtifactsInput!$N$40+1,5,6,7,8,9,10)/100)^(ArtifactsInput!$M$40-ArtifactsInput!$M$40)))/100)))*(1+(Inputs!$B$24+((C662=TRUE)*(F662-Calc!F31))+((C649=TRUE)*(F649-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+2.6666666666666665*IF(C650=TRUE,F650,0)/100)*(1+(IF(Skills!A6="CRUEL_STAB",Inputs!$B$17+((C659=TRUE)*(F659-Calc!F28))+((IF(AND(Inputs!$B$39&lt;&gt;"pvp",Inputs!$B$44=0),1,IF(IF(Inputs!$B$39="pvp",15,Inputs!$B$44)-(B676)&lt;=0,1,MAX(0,IF(Inputs!$B$39="pvp",15,Inputs!$B$44)-MAX(5,B676))/(IF(Inputs!$B$39="pvp",15,Inputs!$B$44)-(B676))))*(IF(AND(ArtifactsInput!$M$42,((Inputs!$B$9+((C657=TRUE)*(F657-Calc!F26))+B665+(ArtifactsInput!$M$24-ArtifactsInput!$M$24)*CHOOSE(ArtifactsInput!$N$24+1,10,12,14,16,18,20)+IF(ArtifactsInput!$M$10,CHOOSE(ArtifactsInput!$N$10+1,15,18,21,24,27,30)*(IF(Inputs!$B$39="pvp",MIN(15,15)/15,IF(AND(Inputs!$B$39&lt;&gt;"pvp",Inputs!$B$44&gt;0),MIN(15,Inputs!$B$44)/(Inputs!$B$44),0))),0)))&gt;=100),MIN(100,((Inputs!$B$9+((C657=TRUE)*(F657-Calc!F26))+B665+(ArtifactsInput!$M$24-ArtifactsInput!$M$24)*CHOOSE(ArtifactsInput!$N$24+1,10,12,14,16,18,20)+IF(ArtifactsInput!$M$10,CHOOSE(ArtifactsInput!$N$10+1,15,18,21,24,27,30)*(IF(Inputs!$B$39="pvp",MIN(15,15)/15,IF(AND(Inputs!$B$39&lt;&gt;"pvp",Inputs!$B$44&gt;0),MIN(15,Inputs!$B$44)/(Inputs!$B$44),0))),0)))-100),0))*CHOOSE(ArtifactsInput!$N$42+1,0.6,0.72,0.84,0.96,1.08,1.2))),Inputs!$B$18+((C660=TRUE)*(F660-Calc!F29))+(IF(AND(Inputs!$B$39&lt;&gt;"pvp",Inputs!$B$44=0),1,IF(IF(Inputs!$B$39="pvp",15,Inputs!$B$44)-(B676)&lt;=0,1,MAX(0,IF(Inputs!$B$39="pvp",15,Inputs!$B$44)-MAX(5,B676))/(IF(Inputs!$B$39="pvp",15,Inputs!$B$44)-(B676))))*IF(AND(ArtifactsInput!$M$42,((Inputs!$B$9+((C657=TRUE)*(F657-Calc!F26))+B665+(ArtifactsInput!$M$24-ArtifactsInput!$M$24)*CHOOSE(ArtifactsInput!$N$24+1,10,12,14,16,18,20)+IF(ArtifactsInput!$M$10,CHOOSE(ArtifactsInput!$N$10+1,15,18,21,24,27,30)*(IF(Inputs!$B$39="pvp",MIN(15,15)/15,IF(AND(Inputs!$B$39&lt;&gt;"pvp",Inputs!$B$44&gt;0),MIN(15,Inputs!$B$44)/(Inputs!$B$44),0))),0)))&gt;=100),CHOOSE(ArtifactsInput!$N$42+1,40,48,56,64,72,80),0))))/100)*(((1+(((C653=TRUE)*F653*IF(AND(Inputs!$B$39&lt;&gt;"pvp",Inputs!$B$44&gt;0),(((R653-1)*MIN((Skills!Y22*(1+Inputs!$B$34/100)),(1/Q653))+MIN((Skills!Y22*(1+Inputs!$B$34/100)),MAX(0,Inputs!$B$44-((R653-1)*(1/Q653)))))/Inputs!$B$44),IF(Inputs!$B$39="pvp",MIN((Skills!Y22*(1+Inputs!$B$34/100)),15)/15,MIN(1,(Skills!Y22*(1+Inputs!$B$34/100))/(1/Q653)))))+((C634=TRUE)*F634*3)+((C636=TRUE)*F636*(1-EXP(-0.75*B669*5)))+((C655=TRUE)*(F655-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642=TRUE)*F642*IF(AND(Inputs!$B$39&lt;&gt;"pvp",Inputs!$B$44&gt;0),(((R642-1)*MIN((Skills!Y11*(1+Inputs!$B$34/100)),(1/Q642))+MIN((Skills!Y11*(1+Inputs!$B$34/100)),MAX(0,Inputs!$B$44-((R642-1)*(1/Q642)))))/Inputs!$B$44),IF(Inputs!$B$39="pvp",MIN((Skills!Y11*(1+Inputs!$B$34/100)),15)/15,MIN(1,(Skills!Y11*(1+Inputs!$B$34/100))/(1/Q642)))))/100)*(1+((C647=TRUE)*F647*IF(AND(Inputs!$B$39&lt;&gt;"pvp",Inputs!$B$44&gt;0),(((R647-1)*MIN((Skills!Y16*(1+Inputs!$B$34/100)),(1/Q647))+MIN((Skills!Y16*(1+Inputs!$B$34/100)),MAX(0,Inputs!$B$44-((R647-1)*(1/Q647)))))/Inputs!$B$44),IF(Inputs!$B$39="pvp",MIN((Skills!Y16*(1+Inputs!$B$34/100)),15)/15,MIN(1,(Skills!Y16*(1+Inputs!$B$34/100))/(1/Q647)))))/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667*I637)</f>
        <v/>
      </c>
      <c r="L637">
        <f>K637*(MIN(Inputs!$B$22+((C656=TRUE)*(F656-Calc!F25)),(Inputs!$B$23+((C661=TRUE)*(F661-Calc!F30))+IF(ArtifactsInput!$M$15,CHOOSE(ArtifactsInput!$N$15+1,25,30,35,40,45,50)/100*(Inputs!$B$11-Inputs!$B$11),0)))/100+(Inputs!$B$23+((C661=TRUE)*(F661-Calc!F30))+IF(ArtifactsInput!$M$15,CHOOSE(ArtifactsInput!$N$15+1,25,30,35,40,45,50)/100*(Inputs!$B$11-Inputs!$B$11),0))/100)/2</f>
        <v/>
      </c>
      <c r="M637">
        <f>L637*(1+((Inputs!$B$10+1)+((C658=TRUE)*(F658-Calc!F27))+B672+(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637">
        <f>L637*(1-MIN((Inputs!$B$9+((C657=TRUE)*(F657-Calc!F26))+B665+(ArtifactsInput!$M$24-ArtifactsInput!$M$24)*CHOOSE(ArtifactsInput!$N$24+1,10,12,14,16,18,20)+(IF(AND(Inputs!$B$39&lt;&gt;"pvp",Inputs!$B$44=0),1,IF(IF(Inputs!$B$39="pvp",15,Inputs!$B$44)-(B676)&lt;=0,1,MAX(0,IF(Inputs!$B$39="pvp",15,Inputs!$B$44)-MAX(5,B676))/(IF(Inputs!$B$39="pvp",15,Inputs!$B$44)-(B676))))*IF(AND(ArtifactsInput!$M$42,((Inputs!$B$9+((C657=TRUE)*(F657-Calc!F26))+B665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637*(MIN((Inputs!$B$9+((C657=TRUE)*(F657-Calc!F26))+B665+(ArtifactsInput!$M$24-ArtifactsInput!$M$24)*CHOOSE(ArtifactsInput!$N$24+1,10,12,14,16,18,20)+(IF(AND(Inputs!$B$39&lt;&gt;"pvp",Inputs!$B$44=0),1,IF(IF(Inputs!$B$39="pvp",15,Inputs!$B$44)-(B676)&lt;=0,1,MAX(0,IF(Inputs!$B$39="pvp",15,Inputs!$B$44)-MAX(5,B676))/(IF(Inputs!$B$39="pvp",15,Inputs!$B$44)-(B676))))*IF(AND(ArtifactsInput!$M$42,((Inputs!$B$9+((C657=TRUE)*(F657-Calc!F26))+B665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637">
        <f>(1-Summary!$B$11)*T637+Summary!$B$11*V637</f>
        <v/>
      </c>
      <c r="P637">
        <f>IF(B677=0,0,O637/B677)</f>
        <v/>
      </c>
      <c r="Q637">
        <f>IFERROR(1/IF(Inputs!$B$39="pvp",15,MAX(0.1,Skills!D6-IF(TRUE=TRUE,Inputs!$B$32,0))),0)</f>
        <v/>
      </c>
      <c r="R637">
        <f>IF(AND(Inputs!$B$39&lt;&gt;"pvp",Inputs!$B$44&gt;0),IF(MAX(0,Inputs!$B$44-B676)&lt;=0,0,(INT(MAX(0,Inputs!$B$44-B676)/IF(Inputs!$B$39="pvp",15,MAX(0.1,Skills!D6-IF(TRUE=TRUE,Inputs!$B$32,0))))+1)),0)</f>
        <v/>
      </c>
      <c r="S637">
        <f>IFERROR(O637/N637,0)</f>
        <v/>
      </c>
      <c r="T637">
        <f>IF(C637,(H637*N637*IF(AND(Inputs!$B$39&lt;&gt;"pvp",Inputs!$B$44&gt;0),((Skills!G6*((R637-1)*IF(Skills!H6&gt;0,Skills!I6/Skills!H6,1)+IF(Skills!H6&gt;0,MIN(Skills!I6,MAX(0,MAX(0,Inputs!$B$44-B676)-((R637-1)*IF(Inputs!$B$39="pvp",15,MAX(0.1,Skills!D6-IF(TRUE=TRUE,Inputs!$B$32,0))))))/Skills!H6,1)))/Inputs!$B$44),G637*Q637))*IF(Inputs!$B$39="pvp",1,1+(Inputs!$B$20+0+Skills!P6+B666+(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Hunt"),CHOOSE(ArtifactsInput!$N$35+1,15,18,21,24,27,30)*(1-EXP(-(0.2*B669)*5)),0)+IF(AND(ArtifactsInput!$M$22,Inputs!$B$4&lt;&gt;"Chapter Hunt"),CHOOSE(ArtifactsInput!$N$22+1,10,12,14,16,18,20)*((0*(((0.15*B669*5))^0/1)+1*(((0.15*B669*5))^1/1)+2*(((0.15*B669*5))^2/2)+3*(((0.15*B669*5))^3/6)+4*(((0.15*B669*5))^4/24)+5*(((0.15*B669*5))^5/120))/((((0.15*B669*5))^0/1)+(((0.15*B669*5))^1/1)+(((0.15*B669*5))^2/2)+(((0.15*B669*5))^3/6)+(((0.15*B669*5))^4/24)+(((0.15*B669*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637*(1-MIN(100,(Inputs!$B$9+((C657=TRUE)*(F657-Calc!F26))+B665+(ArtifactsInput!$M$24-ArtifactsInput!$M$24)*CHOOSE(ArtifactsInput!$N$24+1,10,12,14,16,18,20)+(IF(AND(Inputs!$B$39&lt;&gt;"pvp",Inputs!$B$44=0),1,IF(IF(Inputs!$B$39="pvp",15,Inputs!$B$44)-(B676)&lt;=0,1,MAX(0,IF(Inputs!$B$39="pvp",15,Inputs!$B$44)-MAX(5,B676))/(IF(Inputs!$B$39="pvp",15,Inputs!$B$44)-(B676))))*IF(AND(ArtifactsInput!$M$42,((Inputs!$B$9+((C657=TRUE)*(F657-Calc!F26))+B665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637*(MIN(100,(Inputs!$B$9+((C657=TRUE)*(F657-Calc!F26))+B665+(ArtifactsInput!$M$24-ArtifactsInput!$M$24)*CHOOSE(ArtifactsInput!$N$24+1,10,12,14,16,18,20)+(IF(AND(Inputs!$B$39&lt;&gt;"pvp",Inputs!$B$44=0),1,IF(IF(Inputs!$B$39="pvp",15,Inputs!$B$44)-(B676)&lt;=0,1,MAX(0,IF(Inputs!$B$39="pvp",15,Inputs!$B$44)-MAX(5,B676))/(IF(Inputs!$B$39="pvp",15,Inputs!$B$44)-(B676))))*IF(AND(ArtifactsInput!$M$42,((Inputs!$B$9+((C657=TRUE)*(F657-Calc!F26))+B665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637*(1-MIN(100,(Inputs!$B$9+((C657=TRUE)*(F657-Calc!F26))+B665+(ArtifactsInput!$M$24-ArtifactsInput!$M$24)*CHOOSE(ArtifactsInput!$N$24+1,10,12,14,16,18,20)+(IF(AND(Inputs!$B$39&lt;&gt;"pvp",Inputs!$B$44=0),1,IF(IF(Inputs!$B$39="pvp",15,Inputs!$B$44)-(B676)&lt;=0,1,MAX(0,IF(Inputs!$B$39="pvp",15,Inputs!$B$44)-MAX(5,B676))/(IF(Inputs!$B$39="pvp",15,Inputs!$B$44)-(B676))))*IF(AND(ArtifactsInput!$M$42,((Inputs!$B$9+((C657=TRUE)*(F657-Calc!F26))+B665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637*(MIN(100,(Inputs!$B$9+((C657=TRUE)*(F657-Calc!F26))+B665+(ArtifactsInput!$M$24-ArtifactsInput!$M$24)*CHOOSE(ArtifactsInput!$N$24+1,10,12,14,16,18,20)+(IF(AND(Inputs!$B$39&lt;&gt;"pvp",Inputs!$B$44=0),1,IF(IF(Inputs!$B$39="pvp",15,Inputs!$B$44)-(B676)&lt;=0,1,MAX(0,IF(Inputs!$B$39="pvp",15,Inputs!$B$44)-MAX(5,B676))/(IF(Inputs!$B$39="pvp",15,Inputs!$B$44)-(B676))))*IF(AND(ArtifactsInput!$M$42,((Inputs!$B$9+((C657=TRUE)*(F657-Calc!F26))+B665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637">
        <f>IF(C637,(H637*N637*IF(AND(Inputs!$B$39&lt;&gt;"pvp",Inputs!$B$44&gt;0),((Skills!G6*((R637-1)*IF(Skills!H6&gt;0,Skills!I6/Skills!H6,1)+IF(Skills!H6&gt;0,MIN(Skills!I6,MAX(0,MAX(0,Inputs!$B$44-B676)-((R637-1)*IF(Inputs!$B$39="pvp",15,MAX(0.1,Skills!D6-IF(TRUE=TRUE,Inputs!$B$32,0))))))/Skills!H6,1)))/Inputs!$B$44),G637*Q637))*IF(Inputs!$B$39="pvp",1,(1+(Inputs!$B$21+Skills!Q6+B666+(IF(ArtifactsInput!$M$33,CHOOSE(ArtifactsInput!$N$33+1,30,36,42,48,54,60),0))+(IF(AND(ArtifactsInput!$M$35,Inputs!$B$4&lt;&gt;"Chapter Hunt"),CHOOSE(ArtifactsInput!$N$35+1,15,18,21,24,27,30)*(1-EXP(-(0.2*B669)*5)),0)+IF(AND(ArtifactsInput!$M$22,Inputs!$B$4&lt;&gt;"Chapter Hunt"),CHOOSE(ArtifactsInput!$N$22+1,10,12,14,16,18,20)*((0*(((0.15*B669*5))^0/1)+1*(((0.15*B669*5))^1/1)+2*(((0.15*B669*5))^2/2)+3*(((0.15*B669*5))^3/6)+4*(((0.15*B669*5))^4/24)+5*(((0.15*B669*5))^5/120))/((((0.15*B669*5))^0/1)+(((0.15*B669*5))^1/1)+(((0.15*B669*5))^2/2)+(((0.15*B669*5))^3/6)+(((0.15*B669*5))^4/24)+(((0.15*B669*5))^5/120))),0)))/100)*(MIN(Skills!W6,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638">
      <c r="A638">
        <f>Skills!A7</f>
        <v/>
      </c>
      <c r="B638">
        <f>Skills!B7</f>
        <v/>
      </c>
      <c r="C638">
        <f>Inputs!$B$3&gt;=69</f>
        <v/>
      </c>
      <c r="D638">
        <f>IF(Skills!C7=1,60+Inputs!$B$25+Inputs!$B$29,IF(Skills!C7=2,90+Inputs!$B$26+Inputs!$B$29,IF(Skills!C7=3,120+Inputs!$B$27+Inputs!$B$29,MAX(0,(Inputs!$B$3-100)*3)+Inputs!$B$28+Inputs!$B$29)))</f>
        <v/>
      </c>
      <c r="E638">
        <f>INDEX(FactorTable!$B$2:$Y$301, MATCH(ROUND(MIN(300,MAX(1,D638)),0), FactorTable!$A$2:$A$301,0), Skills!M7+1)</f>
        <v/>
      </c>
      <c r="F638">
        <f>IF(Skills!N7=TRUE,(Skills!L7/10)*(E638/1000),Skills!L7/10)+Skills!O7</f>
        <v/>
      </c>
      <c r="G638">
        <f>Skills!G7*IF(Skills!H7&gt;0,IF(Inputs!$B$39="pvp",MIN(Skills!I7,15),Skills!I7)/Skills!H7,1)</f>
        <v/>
      </c>
      <c r="H638">
        <f>1-(1-Skills!J7/100)^Skills!K7</f>
        <v/>
      </c>
      <c r="I638" t="inlineStr">
        <is>
          <t>1</t>
        </is>
      </c>
      <c r="J638">
        <f>((Inputs!$B$6*(1+Inputs!$B$7/100))+(((Inputs!$B$12*(1+Inputs!$B$13/100))-(Inputs!$B$12*(1+Inputs!$B$13/100)))+0.25*(Inputs!$B$14-Inputs!$B$14))*(1+Inputs!$B$7/100))*(F638/100)</f>
        <v/>
      </c>
      <c r="K638">
        <f>J638*(1+((Inputs!$B$12*(1+Inputs!$B$13/100))*0.01+Inputs!$B$14*0.0025)/100)*(1+Inputs!$B$15/100)*(1+Inputs!$B$16/100)*(5000/(6000+Inputs!$B$43*(1-(100*(1-(1-Inputs!$B$19/100)*(1-CHOOSE(ArtifactsInput!$N$40+1,5,6,7,8,9,10)/100)^(ArtifactsInput!$M$40-ArtifactsInput!$M$40)))/100)))*(1+(Inputs!$B$24+((C662=TRUE)*(F662-Calc!F31))+((C649=TRUE)*(F649-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650=TRUE,F650,0)/100)*(1+(IF(Skills!A7="CRUEL_STAB",Inputs!$B$17+((C659=TRUE)*(F659-Calc!F28))+((IF(AND(Inputs!$B$39&lt;&gt;"pvp",Inputs!$B$44=0),1,IF(IF(Inputs!$B$39="pvp",15,Inputs!$B$44)-(B676)&lt;=0,1,MAX(0,IF(Inputs!$B$39="pvp",15,Inputs!$B$44)-MAX(5,B676))/(IF(Inputs!$B$39="pvp",15,Inputs!$B$44)-(B676))))*(IF(AND(ArtifactsInput!$M$42,((Inputs!$B$9+((C657=TRUE)*(F657-Calc!F26))+B665+(ArtifactsInput!$M$24-ArtifactsInput!$M$24)*CHOOSE(ArtifactsInput!$N$24+1,10,12,14,16,18,20)+IF(ArtifactsInput!$M$10,CHOOSE(ArtifactsInput!$N$10+1,15,18,21,24,27,30)*(IF(Inputs!$B$39="pvp",MIN(15,15)/15,IF(AND(Inputs!$B$39&lt;&gt;"pvp",Inputs!$B$44&gt;0),MIN(15,Inputs!$B$44)/(Inputs!$B$44),0))),0)))&gt;=100),MIN(100,((Inputs!$B$9+((C657=TRUE)*(F657-Calc!F26))+B665+(ArtifactsInput!$M$24-ArtifactsInput!$M$24)*CHOOSE(ArtifactsInput!$N$24+1,10,12,14,16,18,20)+IF(ArtifactsInput!$M$10,CHOOSE(ArtifactsInput!$N$10+1,15,18,21,24,27,30)*(IF(Inputs!$B$39="pvp",MIN(15,15)/15,IF(AND(Inputs!$B$39&lt;&gt;"pvp",Inputs!$B$44&gt;0),MIN(15,Inputs!$B$44)/(Inputs!$B$44),0))),0)))-100),0))*CHOOSE(ArtifactsInput!$N$42+1,0.6,0.72,0.84,0.96,1.08,1.2))),Inputs!$B$18+((C660=TRUE)*(F660-Calc!F29))+(IF(AND(Inputs!$B$39&lt;&gt;"pvp",Inputs!$B$44=0),1,IF(IF(Inputs!$B$39="pvp",15,Inputs!$B$44)-(B676)&lt;=0,1,MAX(0,IF(Inputs!$B$39="pvp",15,Inputs!$B$44)-MAX(5,B676))/(IF(Inputs!$B$39="pvp",15,Inputs!$B$44)-(B676))))*IF(AND(ArtifactsInput!$M$42,((Inputs!$B$9+((C657=TRUE)*(F657-Calc!F26))+B665+(ArtifactsInput!$M$24-ArtifactsInput!$M$24)*CHOOSE(ArtifactsInput!$N$24+1,10,12,14,16,18,20)+IF(ArtifactsInput!$M$10,CHOOSE(ArtifactsInput!$N$10+1,15,18,21,24,27,30)*(IF(Inputs!$B$39="pvp",MIN(15,15)/15,IF(AND(Inputs!$B$39&lt;&gt;"pvp",Inputs!$B$44&gt;0),MIN(15,Inputs!$B$44)/(Inputs!$B$44),0))),0)))&gt;=100),CHOOSE(ArtifactsInput!$N$42+1,40,48,56,64,72,80),0))))/100)*(((1+(((C653=TRUE)*F653*IF(AND(Inputs!$B$39&lt;&gt;"pvp",Inputs!$B$44&gt;0),(((R653-1)*MIN((Skills!Y22*(1+Inputs!$B$34/100)),(1/Q653))+MIN((Skills!Y22*(1+Inputs!$B$34/100)),MAX(0,Inputs!$B$44-((R653-1)*(1/Q653)))))/Inputs!$B$44),IF(Inputs!$B$39="pvp",MIN((Skills!Y22*(1+Inputs!$B$34/100)),15)/15,MIN(1,(Skills!Y22*(1+Inputs!$B$34/100))/(1/Q653)))))+((C634=TRUE)*F634*3)+((C636=TRUE)*F636*(1-EXP(-0.75*B669*5)))+((C655=TRUE)*(F655-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642=TRUE)*F642*IF(AND(Inputs!$B$39&lt;&gt;"pvp",Inputs!$B$44&gt;0),(((R642-1)*MIN((Skills!Y11*(1+Inputs!$B$34/100)),(1/Q642))+MIN((Skills!Y11*(1+Inputs!$B$34/100)),MAX(0,Inputs!$B$44-((R642-1)*(1/Q642)))))/Inputs!$B$44),IF(Inputs!$B$39="pvp",MIN((Skills!Y11*(1+Inputs!$B$34/100)),15)/15,MIN(1,(Skills!Y11*(1+Inputs!$B$34/100))/(1/Q642)))))/100)*(1+((C647=TRUE)*F647*IF(AND(Inputs!$B$39&lt;&gt;"pvp",Inputs!$B$44&gt;0),(((R647-1)*MIN((Skills!Y16*(1+Inputs!$B$34/100)),(1/Q647))+MIN((Skills!Y16*(1+Inputs!$B$34/100)),MAX(0,Inputs!$B$44-((R647-1)*(1/Q647)))))/Inputs!$B$44),IF(Inputs!$B$39="pvp",MIN((Skills!Y16*(1+Inputs!$B$34/100)),15)/15,MIN(1,(Skills!Y16*(1+Inputs!$B$34/100))/(1/Q647)))))/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667*I638)</f>
        <v/>
      </c>
      <c r="L638">
        <f>K638*(MIN(Inputs!$B$22+((C656=TRUE)*(F656-Calc!F25)),(Inputs!$B$23+((C661=TRUE)*(F661-Calc!F30))+IF(ArtifactsInput!$M$15,CHOOSE(ArtifactsInput!$N$15+1,25,30,35,40,45,50)/100*(Inputs!$B$11-Inputs!$B$11),0)))/100+(Inputs!$B$23+((C661=TRUE)*(F661-Calc!F30))+IF(ArtifactsInput!$M$15,CHOOSE(ArtifactsInput!$N$15+1,25,30,35,40,45,50)/100*(Inputs!$B$11-Inputs!$B$11),0))/100)/2</f>
        <v/>
      </c>
      <c r="M638">
        <f>L638*(1+((Inputs!$B$10+1)+((C658=TRUE)*(F658-Calc!F27))+B672+(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638">
        <f>L638*(1-MIN((Inputs!$B$9+((C657=TRUE)*(F657-Calc!F26))+B665+(ArtifactsInput!$M$24-ArtifactsInput!$M$24)*CHOOSE(ArtifactsInput!$N$24+1,10,12,14,16,18,20)+(IF(AND(Inputs!$B$39&lt;&gt;"pvp",Inputs!$B$44=0),1,IF(IF(Inputs!$B$39="pvp",15,Inputs!$B$44)-(B676)&lt;=0,1,MAX(0,IF(Inputs!$B$39="pvp",15,Inputs!$B$44)-MAX(5,B676))/(IF(Inputs!$B$39="pvp",15,Inputs!$B$44)-(B676))))*IF(AND(ArtifactsInput!$M$42,((Inputs!$B$9+((C657=TRUE)*(F657-Calc!F26))+B665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638*(MIN((Inputs!$B$9+((C657=TRUE)*(F657-Calc!F26))+B665+(ArtifactsInput!$M$24-ArtifactsInput!$M$24)*CHOOSE(ArtifactsInput!$N$24+1,10,12,14,16,18,20)+(IF(AND(Inputs!$B$39&lt;&gt;"pvp",Inputs!$B$44=0),1,IF(IF(Inputs!$B$39="pvp",15,Inputs!$B$44)-(B676)&lt;=0,1,MAX(0,IF(Inputs!$B$39="pvp",15,Inputs!$B$44)-MAX(5,B676))/(IF(Inputs!$B$39="pvp",15,Inputs!$B$44)-(B676))))*IF(AND(ArtifactsInput!$M$42,((Inputs!$B$9+((C657=TRUE)*(F657-Calc!F26))+B665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638">
        <f>(1-Summary!$B$11)*T638+Summary!$B$11*V638</f>
        <v/>
      </c>
      <c r="P638">
        <f>IF(B677=0,0,O638/B677)</f>
        <v/>
      </c>
      <c r="Q638">
        <f>IFERROR(1/IF(Inputs!$B$39="pvp",15,MAX(0.1,Skills!D7-IF(TRUE=TRUE,Inputs!$B$32,0))),0)</f>
        <v/>
      </c>
      <c r="R638">
        <f>IF(AND(Inputs!$B$39&lt;&gt;"pvp",Inputs!$B$44&gt;0),IF(MAX(0,Inputs!$B$44-B676)&lt;=0,0,(INT(MAX(0,Inputs!$B$44-B676)/IF(Inputs!$B$39="pvp",15,MAX(0.1,Skills!D7-IF(TRUE=TRUE,Inputs!$B$32,0))))+1)),0)</f>
        <v/>
      </c>
      <c r="S638">
        <f>IFERROR(O638/N638,0)</f>
        <v/>
      </c>
      <c r="T638">
        <f>IF(C638,(H638*N638*IF(AND(Inputs!$B$39&lt;&gt;"pvp",Inputs!$B$44&gt;0),((Skills!G7*((R638-1)*IF(Skills!H7&gt;0,Skills!I7/Skills!H7,1)+IF(Skills!H7&gt;0,MIN(Skills!I7,MAX(0,MAX(0,Inputs!$B$44-B676)-((R638-1)*IF(Inputs!$B$39="pvp",15,MAX(0.1,Skills!D7-IF(TRUE=TRUE,Inputs!$B$32,0))))))/Skills!H7,1)))/Inputs!$B$44),G638*Q638))*IF(Inputs!$B$39="pvp",1,1+(Inputs!$B$20+0+Skills!P7+B666+(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Hunt"),CHOOSE(ArtifactsInput!$N$35+1,15,18,21,24,27,30)*(1-EXP(-(0.2*B669)*5)),0)+IF(AND(ArtifactsInput!$M$22,Inputs!$B$4&lt;&gt;"Chapter Hunt"),CHOOSE(ArtifactsInput!$N$22+1,10,12,14,16,18,20)*((0*(((0.15*B669*5))^0/1)+1*(((0.15*B669*5))^1/1)+2*(((0.15*B669*5))^2/2)+3*(((0.15*B669*5))^3/6)+4*(((0.15*B669*5))^4/24)+5*(((0.15*B669*5))^5/120))/((((0.15*B669*5))^0/1)+(((0.15*B669*5))^1/1)+(((0.15*B669*5))^2/2)+(((0.15*B669*5))^3/6)+(((0.15*B669*5))^4/24)+(((0.15*B669*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638*(1-MIN(100,(Inputs!$B$9+((C657=TRUE)*(F657-Calc!F26))+B665+(ArtifactsInput!$M$24-ArtifactsInput!$M$24)*CHOOSE(ArtifactsInput!$N$24+1,10,12,14,16,18,20)+(IF(AND(Inputs!$B$39&lt;&gt;"pvp",Inputs!$B$44=0),1,IF(IF(Inputs!$B$39="pvp",15,Inputs!$B$44)-(B676)&lt;=0,1,MAX(0,IF(Inputs!$B$39="pvp",15,Inputs!$B$44)-MAX(5,B676))/(IF(Inputs!$B$39="pvp",15,Inputs!$B$44)-(B676))))*IF(AND(ArtifactsInput!$M$42,((Inputs!$B$9+((C657=TRUE)*(F657-Calc!F26))+B665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638*(MIN(100,(Inputs!$B$9+((C657=TRUE)*(F657-Calc!F26))+B665+(ArtifactsInput!$M$24-ArtifactsInput!$M$24)*CHOOSE(ArtifactsInput!$N$24+1,10,12,14,16,18,20)+(IF(AND(Inputs!$B$39&lt;&gt;"pvp",Inputs!$B$44=0),1,IF(IF(Inputs!$B$39="pvp",15,Inputs!$B$44)-(B676)&lt;=0,1,MAX(0,IF(Inputs!$B$39="pvp",15,Inputs!$B$44)-MAX(5,B676))/(IF(Inputs!$B$39="pvp",15,Inputs!$B$44)-(B676))))*IF(AND(ArtifactsInput!$M$42,((Inputs!$B$9+((C657=TRUE)*(F657-Calc!F26))+B665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638*(1-MIN(100,(Inputs!$B$9+((C657=TRUE)*(F657-Calc!F26))+B665+(ArtifactsInput!$M$24-ArtifactsInput!$M$24)*CHOOSE(ArtifactsInput!$N$24+1,10,12,14,16,18,20)+(IF(AND(Inputs!$B$39&lt;&gt;"pvp",Inputs!$B$44=0),1,IF(IF(Inputs!$B$39="pvp",15,Inputs!$B$44)-(B676)&lt;=0,1,MAX(0,IF(Inputs!$B$39="pvp",15,Inputs!$B$44)-MAX(5,B676))/(IF(Inputs!$B$39="pvp",15,Inputs!$B$44)-(B676))))*IF(AND(ArtifactsInput!$M$42,((Inputs!$B$9+((C657=TRUE)*(F657-Calc!F26))+B665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638*(MIN(100,(Inputs!$B$9+((C657=TRUE)*(F657-Calc!F26))+B665+(ArtifactsInput!$M$24-ArtifactsInput!$M$24)*CHOOSE(ArtifactsInput!$N$24+1,10,12,14,16,18,20)+(IF(AND(Inputs!$B$39&lt;&gt;"pvp",Inputs!$B$44=0),1,IF(IF(Inputs!$B$39="pvp",15,Inputs!$B$44)-(B676)&lt;=0,1,MAX(0,IF(Inputs!$B$39="pvp",15,Inputs!$B$44)-MAX(5,B676))/(IF(Inputs!$B$39="pvp",15,Inputs!$B$44)-(B676))))*IF(AND(ArtifactsInput!$M$42,((Inputs!$B$9+((C657=TRUE)*(F657-Calc!F26))+B665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638">
        <f>IF(C638,(H638*N638*IF(AND(Inputs!$B$39&lt;&gt;"pvp",Inputs!$B$44&gt;0),((Skills!G7*((R638-1)*IF(Skills!H7&gt;0,Skills!I7/Skills!H7,1)+IF(Skills!H7&gt;0,MIN(Skills!I7,MAX(0,MAX(0,Inputs!$B$44-B676)-((R638-1)*IF(Inputs!$B$39="pvp",15,MAX(0.1,Skills!D7-IF(TRUE=TRUE,Inputs!$B$32,0))))))/Skills!H7,1)))/Inputs!$B$44),G638*Q638))*IF(Inputs!$B$39="pvp",1,(1+(Inputs!$B$21+Skills!Q7+B666+(IF(ArtifactsInput!$M$33,CHOOSE(ArtifactsInput!$N$33+1,30,36,42,48,54,60),0))+(IF(AND(ArtifactsInput!$M$35,Inputs!$B$4&lt;&gt;"Chapter Hunt"),CHOOSE(ArtifactsInput!$N$35+1,15,18,21,24,27,30)*(1-EXP(-(0.2*B669)*5)),0)+IF(AND(ArtifactsInput!$M$22,Inputs!$B$4&lt;&gt;"Chapter Hunt"),CHOOSE(ArtifactsInput!$N$22+1,10,12,14,16,18,20)*((0*(((0.15*B669*5))^0/1)+1*(((0.15*B669*5))^1/1)+2*(((0.15*B669*5))^2/2)+3*(((0.15*B669*5))^3/6)+4*(((0.15*B669*5))^4/24)+5*(((0.15*B669*5))^5/120))/((((0.15*B669*5))^0/1)+(((0.15*B669*5))^1/1)+(((0.15*B669*5))^2/2)+(((0.15*B669*5))^3/6)+(((0.15*B669*5))^4/24)+(((0.15*B669*5))^5/120))),0)))/100)*(MIN(Skills!W7,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639">
      <c r="A639">
        <f>Skills!A8</f>
        <v/>
      </c>
      <c r="B639">
        <f>Skills!B8</f>
        <v/>
      </c>
      <c r="C639">
        <f>Inputs!$B$3&gt;=60</f>
        <v/>
      </c>
      <c r="D639">
        <f>IF(Skills!C8=1,60+Inputs!$B$25+Inputs!$B$29,IF(Skills!C8=2,90+Inputs!$B$26+Inputs!$B$29,IF(Skills!C8=3,120+Inputs!$B$27+Inputs!$B$29,MAX(0,(Inputs!$B$3-100)*3)+Inputs!$B$28+Inputs!$B$29)))</f>
        <v/>
      </c>
      <c r="E639">
        <f>INDEX(FactorTable!$B$2:$Y$301, MATCH(ROUND(MIN(300,MAX(1,D639)),0), FactorTable!$A$2:$A$301,0), Skills!M8+1)</f>
        <v/>
      </c>
      <c r="F639">
        <f>IF(Skills!N8=TRUE,(Skills!L8/10)*(E639/1000),Skills!L8/10)+Skills!O8</f>
        <v/>
      </c>
      <c r="G639">
        <f>Skills!G8*IF(Skills!H8&gt;0,IF(Inputs!$B$39="pvp",MIN(Skills!I8,15),Skills!I8)/Skills!H8,1)</f>
        <v/>
      </c>
      <c r="H639">
        <f>1-(1-Skills!J8/100)^Skills!K8</f>
        <v/>
      </c>
      <c r="I639" t="inlineStr">
        <is>
          <t>1</t>
        </is>
      </c>
      <c r="J639" t="inlineStr"/>
      <c r="K639" t="inlineStr"/>
      <c r="L639" t="inlineStr"/>
      <c r="M639" t="inlineStr"/>
      <c r="N639" t="inlineStr"/>
      <c r="O639">
        <f>(1-Summary!$B$11)*T639+Summary!$B$11*V639</f>
        <v/>
      </c>
      <c r="P639">
        <f>IF(B677=0,0,O639/B677)</f>
        <v/>
      </c>
      <c r="Q639" t="n">
        <v>0</v>
      </c>
      <c r="R639" t="n">
        <v>0</v>
      </c>
      <c r="S639">
        <f>IFERROR(O639/N639,0)</f>
        <v/>
      </c>
      <c r="T639" t="n">
        <v>0</v>
      </c>
      <c r="V639" t="n">
        <v>0</v>
      </c>
    </row>
    <row r="640">
      <c r="A640">
        <f>Skills!A9</f>
        <v/>
      </c>
      <c r="B640">
        <f>Skills!B9</f>
        <v/>
      </c>
      <c r="C640">
        <f>Inputs!$B$3&gt;=72</f>
        <v/>
      </c>
      <c r="D640">
        <f>IF(Skills!C9=1,60+Inputs!$B$25+Inputs!$B$29,IF(Skills!C9=2,90+Inputs!$B$26+Inputs!$B$29,IF(Skills!C9=3,120+Inputs!$B$27+Inputs!$B$29,MAX(0,(Inputs!$B$3-100)*3)+Inputs!$B$28+Inputs!$B$29)))</f>
        <v/>
      </c>
      <c r="E640">
        <f>INDEX(FactorTable!$B$2:$Y$301, MATCH(ROUND(MIN(300,MAX(1,D640)),0), FactorTable!$A$2:$A$301,0), Skills!M9+1)</f>
        <v/>
      </c>
      <c r="F640">
        <f>IF(Skills!N9=TRUE,(Skills!L9/10)*(E640/1000),Skills!L9/10)+Skills!O9</f>
        <v/>
      </c>
      <c r="G640">
        <f>Skills!G9*IF(Skills!H9&gt;0,IF(Inputs!$B$39="pvp",MIN(Skills!I9,15),Skills!I9)/Skills!H9,1)</f>
        <v/>
      </c>
      <c r="H640">
        <f>1-(1-Skills!J9/100)^Skills!K9</f>
        <v/>
      </c>
      <c r="I640" t="inlineStr">
        <is>
          <t>1</t>
        </is>
      </c>
      <c r="J640">
        <f>((Inputs!$B$6*(1+Inputs!$B$7/100))+(((Inputs!$B$12*(1+Inputs!$B$13/100))-(Inputs!$B$12*(1+Inputs!$B$13/100)))+0.25*(Inputs!$B$14-Inputs!$B$14))*(1+Inputs!$B$7/100))*(F640/100)</f>
        <v/>
      </c>
      <c r="K640">
        <f>J640*(1+((Inputs!$B$12*(1+Inputs!$B$13/100))*0.01+Inputs!$B$14*0.0025)/100)*(1+Inputs!$B$15/100)*(1+Inputs!$B$16/100)*(5000/(6000+Inputs!$B$43*(1-(100*(1-(1-Inputs!$B$19/100)*(1-CHOOSE(ArtifactsInput!$N$40+1,5,6,7,8,9,10)/100)^(ArtifactsInput!$M$40-ArtifactsInput!$M$40)))/100)))*(1+(Inputs!$B$24+((C662=TRUE)*(F662-Calc!F31))+((C649=TRUE)*(F649-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+3.3333333333333335*IF(C650=TRUE,F650,0)/100)*(1+(IF(Skills!A9="CRUEL_STAB",Inputs!$B$17+((C659=TRUE)*(F659-Calc!F28))+((IF(AND(Inputs!$B$39&lt;&gt;"pvp",Inputs!$B$44=0),1,IF(IF(Inputs!$B$39="pvp",15,Inputs!$B$44)-(B676)&lt;=0,1,MAX(0,IF(Inputs!$B$39="pvp",15,Inputs!$B$44)-MAX(5,B676))/(IF(Inputs!$B$39="pvp",15,Inputs!$B$44)-(B676))))*(IF(AND(ArtifactsInput!$M$42,((Inputs!$B$9+((C657=TRUE)*(F657-Calc!F26))+B665+(ArtifactsInput!$M$24-ArtifactsInput!$M$24)*CHOOSE(ArtifactsInput!$N$24+1,10,12,14,16,18,20)+IF(ArtifactsInput!$M$10,CHOOSE(ArtifactsInput!$N$10+1,15,18,21,24,27,30)*(IF(Inputs!$B$39="pvp",MIN(15,15)/15,IF(AND(Inputs!$B$39&lt;&gt;"pvp",Inputs!$B$44&gt;0),MIN(15,Inputs!$B$44)/(Inputs!$B$44),0))),0)))&gt;=100),MIN(100,((Inputs!$B$9+((C657=TRUE)*(F657-Calc!F26))+B665+(ArtifactsInput!$M$24-ArtifactsInput!$M$24)*CHOOSE(ArtifactsInput!$N$24+1,10,12,14,16,18,20)+IF(ArtifactsInput!$M$10,CHOOSE(ArtifactsInput!$N$10+1,15,18,21,24,27,30)*(IF(Inputs!$B$39="pvp",MIN(15,15)/15,IF(AND(Inputs!$B$39&lt;&gt;"pvp",Inputs!$B$44&gt;0),MIN(15,Inputs!$B$44)/(Inputs!$B$44),0))),0)))-100),0))*CHOOSE(ArtifactsInput!$N$42+1,0.6,0.72,0.84,0.96,1.08,1.2))),Inputs!$B$18+((C660=TRUE)*(F660-Calc!F29))+(IF(AND(Inputs!$B$39&lt;&gt;"pvp",Inputs!$B$44=0),1,IF(IF(Inputs!$B$39="pvp",15,Inputs!$B$44)-(B676)&lt;=0,1,MAX(0,IF(Inputs!$B$39="pvp",15,Inputs!$B$44)-MAX(5,B676))/(IF(Inputs!$B$39="pvp",15,Inputs!$B$44)-(B676))))*IF(AND(ArtifactsInput!$M$42,((Inputs!$B$9+((C657=TRUE)*(F657-Calc!F26))+B665+(ArtifactsInput!$M$24-ArtifactsInput!$M$24)*CHOOSE(ArtifactsInput!$N$24+1,10,12,14,16,18,20)+IF(ArtifactsInput!$M$10,CHOOSE(ArtifactsInput!$N$10+1,15,18,21,24,27,30)*(IF(Inputs!$B$39="pvp",MIN(15,15)/15,IF(AND(Inputs!$B$39&lt;&gt;"pvp",Inputs!$B$44&gt;0),MIN(15,Inputs!$B$44)/(Inputs!$B$44),0))),0)))&gt;=100),CHOOSE(ArtifactsInput!$N$42+1,40,48,56,64,72,80),0))))/100)*(((1+(((C653=TRUE)*F653*IF(AND(Inputs!$B$39&lt;&gt;"pvp",Inputs!$B$44&gt;0),(((R653-1)*MIN((Skills!Y22*(1+Inputs!$B$34/100)),(1/Q653))+MIN((Skills!Y22*(1+Inputs!$B$34/100)),MAX(0,Inputs!$B$44-((R653-1)*(1/Q653)))))/Inputs!$B$44),IF(Inputs!$B$39="pvp",MIN((Skills!Y22*(1+Inputs!$B$34/100)),15)/15,MIN(1,(Skills!Y22*(1+Inputs!$B$34/100))/(1/Q653)))))+((C634=TRUE)*F634*3)+((C636=TRUE)*F636*(1-EXP(-0.75*B669*5)))+((C655=TRUE)*(F655-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642=TRUE)*F642*IF(AND(Inputs!$B$39&lt;&gt;"pvp",Inputs!$B$44&gt;0),(((R642-1)*MIN((Skills!Y11*(1+Inputs!$B$34/100)),(1/Q642))+MIN((Skills!Y11*(1+Inputs!$B$34/100)),MAX(0,Inputs!$B$44-((R642-1)*(1/Q642)))))/Inputs!$B$44),IF(Inputs!$B$39="pvp",MIN((Skills!Y11*(1+Inputs!$B$34/100)),15)/15,MIN(1,(Skills!Y11*(1+Inputs!$B$34/100))/(1/Q642)))))/100)*(1+((C647=TRUE)*F647*IF(AND(Inputs!$B$39&lt;&gt;"pvp",Inputs!$B$44&gt;0),(((R647-1)*MIN((Skills!Y16*(1+Inputs!$B$34/100)),(1/Q647))+MIN((Skills!Y16*(1+Inputs!$B$34/100)),MAX(0,Inputs!$B$44-((R647-1)*(1/Q647)))))/Inputs!$B$44),IF(Inputs!$B$39="pvp",MIN((Skills!Y16*(1+Inputs!$B$34/100)),15)/15,MIN(1,(Skills!Y16*(1+Inputs!$B$34/100))/(1/Q647)))))/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667*I640)</f>
        <v/>
      </c>
      <c r="L640">
        <f>K640*(MIN(Inputs!$B$22+((C656=TRUE)*(F656-Calc!F25)),(Inputs!$B$23+((C661=TRUE)*(F661-Calc!F30))+IF(ArtifactsInput!$M$15,CHOOSE(ArtifactsInput!$N$15+1,25,30,35,40,45,50)/100*(Inputs!$B$11-Inputs!$B$11),0)))/100+(Inputs!$B$23+((C661=TRUE)*(F661-Calc!F30))+IF(ArtifactsInput!$M$15,CHOOSE(ArtifactsInput!$N$15+1,25,30,35,40,45,50)/100*(Inputs!$B$11-Inputs!$B$11),0))/100)/2</f>
        <v/>
      </c>
      <c r="M640">
        <f>L640*(1+((Inputs!$B$10+1)+((C658=TRUE)*(F658-Calc!F27))+B672+(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640">
        <f>L640*(1-MIN((Inputs!$B$9+((C657=TRUE)*(F657-Calc!F26))+B665+(ArtifactsInput!$M$24-ArtifactsInput!$M$24)*CHOOSE(ArtifactsInput!$N$24+1,10,12,14,16,18,20)+(IF(AND(Inputs!$B$39&lt;&gt;"pvp",Inputs!$B$44=0),1,IF(IF(Inputs!$B$39="pvp",15,Inputs!$B$44)-(B676)&lt;=0,1,MAX(0,IF(Inputs!$B$39="pvp",15,Inputs!$B$44)-MAX(5,B676))/(IF(Inputs!$B$39="pvp",15,Inputs!$B$44)-(B676))))*IF(AND(ArtifactsInput!$M$42,((Inputs!$B$9+((C657=TRUE)*(F657-Calc!F26))+B665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640*(MIN((Inputs!$B$9+((C657=TRUE)*(F657-Calc!F26))+B665+(ArtifactsInput!$M$24-ArtifactsInput!$M$24)*CHOOSE(ArtifactsInput!$N$24+1,10,12,14,16,18,20)+(IF(AND(Inputs!$B$39&lt;&gt;"pvp",Inputs!$B$44=0),1,IF(IF(Inputs!$B$39="pvp",15,Inputs!$B$44)-(B676)&lt;=0,1,MAX(0,IF(Inputs!$B$39="pvp",15,Inputs!$B$44)-MAX(5,B676))/(IF(Inputs!$B$39="pvp",15,Inputs!$B$44)-(B676))))*IF(AND(ArtifactsInput!$M$42,((Inputs!$B$9+((C657=TRUE)*(F657-Calc!F26))+B665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640">
        <f>(1-Summary!$B$11)*T640+Summary!$B$11*V640</f>
        <v/>
      </c>
      <c r="P640">
        <f>IF(B677=0,0,O640/B677)</f>
        <v/>
      </c>
      <c r="Q640">
        <f>IFERROR(1/IF(Inputs!$B$39="pvp",15,MAX(0.1,Skills!D9-IF(FALSE=TRUE,Inputs!$B$32,0))),0)</f>
        <v/>
      </c>
      <c r="R640">
        <f>IF(AND(Inputs!$B$39&lt;&gt;"pvp",Inputs!$B$44&gt;0),IF(MAX(0,Inputs!$B$44-B676)&lt;=0,0,(INT(MAX(0,Inputs!$B$44-B676)/IF(Inputs!$B$39="pvp",15,MAX(0.1,Skills!D9-IF(FALSE=TRUE,Inputs!$B$32,0))))+1)),0)</f>
        <v/>
      </c>
      <c r="S640">
        <f>IFERROR(O640/N640,0)</f>
        <v/>
      </c>
      <c r="T640">
        <f>IF(C640,(H640*N640*IF(AND(Inputs!$B$39&lt;&gt;"pvp",Inputs!$B$44&gt;0),((Skills!G9*((R640-1)*IF(Skills!H9&gt;0,Skills!I9/Skills!H9,1)+IF(Skills!H9&gt;0,MIN(Skills!I9,MAX(0,MAX(0,Inputs!$B$44-B676)-((R640-1)*IF(Inputs!$B$39="pvp",15,MAX(0.1,Skills!D9-IF(FALSE=TRUE,Inputs!$B$32,0))))))/Skills!H9,1)))/Inputs!$B$44),G640*Q640))*IF(Inputs!$B$39="pvp",1,1+(Inputs!$B$20+0+Skills!P9+B666+(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Hunt"),CHOOSE(ArtifactsInput!$N$35+1,15,18,21,24,27,30)*(1-EXP(-(0.2*B669)*5)),0)+IF(AND(ArtifactsInput!$M$22,Inputs!$B$4&lt;&gt;"Chapter Hunt"),CHOOSE(ArtifactsInput!$N$22+1,10,12,14,16,18,20)*((0*(((0.15*B669*5))^0/1)+1*(((0.15*B669*5))^1/1)+2*(((0.15*B669*5))^2/2)+3*(((0.15*B669*5))^3/6)+4*(((0.15*B669*5))^4/24)+5*(((0.15*B669*5))^5/120))/((((0.15*B669*5))^0/1)+(((0.15*B669*5))^1/1)+(((0.15*B669*5))^2/2)+(((0.15*B669*5))^3/6)+(((0.15*B669*5))^4/24)+(((0.15*B669*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640*(1-MIN(100,(Inputs!$B$9+((C657=TRUE)*(F657-Calc!F26))+B665+(ArtifactsInput!$M$24-ArtifactsInput!$M$24)*CHOOSE(ArtifactsInput!$N$24+1,10,12,14,16,18,20)+(IF(AND(Inputs!$B$39&lt;&gt;"pvp",Inputs!$B$44=0),1,IF(IF(Inputs!$B$39="pvp",15,Inputs!$B$44)-(B676)&lt;=0,1,MAX(0,IF(Inputs!$B$39="pvp",15,Inputs!$B$44)-MAX(5,B676))/(IF(Inputs!$B$39="pvp",15,Inputs!$B$44)-(B676))))*IF(AND(ArtifactsInput!$M$42,((Inputs!$B$9+((C657=TRUE)*(F657-Calc!F26))+B665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640*(MIN(100,(Inputs!$B$9+((C657=TRUE)*(F657-Calc!F26))+B665+(ArtifactsInput!$M$24-ArtifactsInput!$M$24)*CHOOSE(ArtifactsInput!$N$24+1,10,12,14,16,18,20)+(IF(AND(Inputs!$B$39&lt;&gt;"pvp",Inputs!$B$44=0),1,IF(IF(Inputs!$B$39="pvp",15,Inputs!$B$44)-(B676)&lt;=0,1,MAX(0,IF(Inputs!$B$39="pvp",15,Inputs!$B$44)-MAX(5,B676))/(IF(Inputs!$B$39="pvp",15,Inputs!$B$44)-(B676))))*IF(AND(ArtifactsInput!$M$42,((Inputs!$B$9+((C657=TRUE)*(F657-Calc!F26))+B665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640*(1-MIN(100,(Inputs!$B$9+((C657=TRUE)*(F657-Calc!F26))+B665+(ArtifactsInput!$M$24-ArtifactsInput!$M$24)*CHOOSE(ArtifactsInput!$N$24+1,10,12,14,16,18,20)+(IF(AND(Inputs!$B$39&lt;&gt;"pvp",Inputs!$B$44=0),1,IF(IF(Inputs!$B$39="pvp",15,Inputs!$B$44)-(B676)&lt;=0,1,MAX(0,IF(Inputs!$B$39="pvp",15,Inputs!$B$44)-MAX(5,B676))/(IF(Inputs!$B$39="pvp",15,Inputs!$B$44)-(B676))))*IF(AND(ArtifactsInput!$M$42,((Inputs!$B$9+((C657=TRUE)*(F657-Calc!F26))+B665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640*(MIN(100,(Inputs!$B$9+((C657=TRUE)*(F657-Calc!F26))+B665+(ArtifactsInput!$M$24-ArtifactsInput!$M$24)*CHOOSE(ArtifactsInput!$N$24+1,10,12,14,16,18,20)+(IF(AND(Inputs!$B$39&lt;&gt;"pvp",Inputs!$B$44=0),1,IF(IF(Inputs!$B$39="pvp",15,Inputs!$B$44)-(B676)&lt;=0,1,MAX(0,IF(Inputs!$B$39="pvp",15,Inputs!$B$44)-MAX(5,B676))/(IF(Inputs!$B$39="pvp",15,Inputs!$B$44)-(B676))))*IF(AND(ArtifactsInput!$M$42,((Inputs!$B$9+((C657=TRUE)*(F657-Calc!F26))+B665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640">
        <f>IF(C640,(H640*N640*IF(AND(Inputs!$B$39&lt;&gt;"pvp",Inputs!$B$44&gt;0),((Skills!G9*((R640-1)*IF(Skills!H9&gt;0,Skills!I9/Skills!H9,1)+IF(Skills!H9&gt;0,MIN(Skills!I9,MAX(0,MAX(0,Inputs!$B$44-B676)-((R640-1)*IF(Inputs!$B$39="pvp",15,MAX(0.1,Skills!D9-IF(FALSE=TRUE,Inputs!$B$32,0))))))/Skills!H9,1)))/Inputs!$B$44),G640*Q640))*IF(Inputs!$B$39="pvp",1,(1+(Inputs!$B$21+Skills!Q9+B666+(IF(ArtifactsInput!$M$33,CHOOSE(ArtifactsInput!$N$33+1,30,36,42,48,54,60),0))+(IF(AND(ArtifactsInput!$M$35,Inputs!$B$4&lt;&gt;"Chapter Hunt"),CHOOSE(ArtifactsInput!$N$35+1,15,18,21,24,27,30)*(1-EXP(-(0.2*B669)*5)),0)+IF(AND(ArtifactsInput!$M$22,Inputs!$B$4&lt;&gt;"Chapter Hunt"),CHOOSE(ArtifactsInput!$N$22+1,10,12,14,16,18,20)*((0*(((0.15*B669*5))^0/1)+1*(((0.15*B669*5))^1/1)+2*(((0.15*B669*5))^2/2)+3*(((0.15*B669*5))^3/6)+4*(((0.15*B669*5))^4/24)+5*(((0.15*B669*5))^5/120))/((((0.15*B669*5))^0/1)+(((0.15*B669*5))^1/1)+(((0.15*B669*5))^2/2)+(((0.15*B669*5))^3/6)+(((0.15*B669*5))^4/24)+(((0.15*B669*5))^5/120))),0)))/100)*(MIN(Skills!W9,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641">
      <c r="A641">
        <f>Skills!A10</f>
        <v/>
      </c>
      <c r="B641">
        <f>Skills!B10</f>
        <v/>
      </c>
      <c r="C641">
        <f>Inputs!$B$3&gt;=117</f>
        <v/>
      </c>
      <c r="D641">
        <f>IF(Skills!C10=1,60+Inputs!$B$25+Inputs!$B$29,IF(Skills!C10=2,90+Inputs!$B$26+Inputs!$B$29,IF(Skills!C10=3,120+Inputs!$B$27+Inputs!$B$29,MAX(0,(Inputs!$B$3-100)*3)+Inputs!$B$28+Inputs!$B$29)))</f>
        <v/>
      </c>
      <c r="E641">
        <f>INDEX(FactorTable!$B$2:$Y$301, MATCH(ROUND(MIN(300,MAX(1,D641)),0), FactorTable!$A$2:$A$301,0), Skills!M10+1)</f>
        <v/>
      </c>
      <c r="F641">
        <f>IF(Skills!N10=TRUE,(Skills!L10/10)*(E641/1000),Skills!L10/10)+Skills!O10</f>
        <v/>
      </c>
      <c r="G641">
        <f>Skills!G10*IF(Skills!H10&gt;0,IF(Inputs!$B$39="pvp",MIN(Skills!I10,15),Skills!I10)/Skills!H10,1)</f>
        <v/>
      </c>
      <c r="H641">
        <f>1-(1-Skills!J10/100)^Skills!K10</f>
        <v/>
      </c>
      <c r="I641" t="inlineStr">
        <is>
          <t>1</t>
        </is>
      </c>
      <c r="J641">
        <f>((Inputs!$B$6*(1+Inputs!$B$7/100))+(((Inputs!$B$12*(1+Inputs!$B$13/100))-(Inputs!$B$12*(1+Inputs!$B$13/100)))+0.25*(Inputs!$B$14-Inputs!$B$14))*(1+Inputs!$B$7/100))*(F641/100)</f>
        <v/>
      </c>
      <c r="K641">
        <f>J641*(1+((Inputs!$B$12*(1+Inputs!$B$13/100))*0.01+Inputs!$B$14*0.0025)/100)*(1+Inputs!$B$15/100)*(1+Inputs!$B$16/100)*(5000/(6000+Inputs!$B$43*(1-(100*(1-(1-Inputs!$B$19/100)*(1-CHOOSE(ArtifactsInput!$N$40+1,5,6,7,8,9,10)/100)^(ArtifactsInput!$M$40-ArtifactsInput!$M$40)))/100)))*(1+(Inputs!$B$24+((C662=TRUE)*(F662-Calc!F31))+((C649=TRUE)*(F649-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10="CRUEL_STAB",Inputs!$B$17+((C659=TRUE)*(F659-Calc!F28))+((IF(AND(Inputs!$B$39&lt;&gt;"pvp",Inputs!$B$44=0),1,IF(IF(Inputs!$B$39="pvp",15,Inputs!$B$44)-(B676)&lt;=0,1,MAX(0,IF(Inputs!$B$39="pvp",15,Inputs!$B$44)-MAX(5,B676))/(IF(Inputs!$B$39="pvp",15,Inputs!$B$44)-(B676))))*(IF(AND(ArtifactsInput!$M$42,((Inputs!$B$9+((C657=TRUE)*(F657-Calc!F26))+B665+(ArtifactsInput!$M$24-ArtifactsInput!$M$24)*CHOOSE(ArtifactsInput!$N$24+1,10,12,14,16,18,20)+IF(ArtifactsInput!$M$10,CHOOSE(ArtifactsInput!$N$10+1,15,18,21,24,27,30)*(IF(Inputs!$B$39="pvp",MIN(15,15)/15,IF(AND(Inputs!$B$39&lt;&gt;"pvp",Inputs!$B$44&gt;0),MIN(15,Inputs!$B$44)/(Inputs!$B$44),0))),0)))&gt;=100),MIN(100,((Inputs!$B$9+((C657=TRUE)*(F657-Calc!F26))+B665+(ArtifactsInput!$M$24-ArtifactsInput!$M$24)*CHOOSE(ArtifactsInput!$N$24+1,10,12,14,16,18,20)+IF(ArtifactsInput!$M$10,CHOOSE(ArtifactsInput!$N$10+1,15,18,21,24,27,30)*(IF(Inputs!$B$39="pvp",MIN(15,15)/15,IF(AND(Inputs!$B$39&lt;&gt;"pvp",Inputs!$B$44&gt;0),MIN(15,Inputs!$B$44)/(Inputs!$B$44),0))),0)))-100),0))*CHOOSE(ArtifactsInput!$N$42+1,0.6,0.72,0.84,0.96,1.08,1.2))),Inputs!$B$18+((C660=TRUE)*(F660-Calc!F29))+(IF(AND(Inputs!$B$39&lt;&gt;"pvp",Inputs!$B$44=0),1,IF(IF(Inputs!$B$39="pvp",15,Inputs!$B$44)-(B676)&lt;=0,1,MAX(0,IF(Inputs!$B$39="pvp",15,Inputs!$B$44)-MAX(5,B676))/(IF(Inputs!$B$39="pvp",15,Inputs!$B$44)-(B676))))*IF(AND(ArtifactsInput!$M$42,((Inputs!$B$9+((C657=TRUE)*(F657-Calc!F26))+B665+(ArtifactsInput!$M$24-ArtifactsInput!$M$24)*CHOOSE(ArtifactsInput!$N$24+1,10,12,14,16,18,20)+IF(ArtifactsInput!$M$10,CHOOSE(ArtifactsInput!$N$10+1,15,18,21,24,27,30)*(IF(Inputs!$B$39="pvp",MIN(15,15)/15,IF(AND(Inputs!$B$39&lt;&gt;"pvp",Inputs!$B$44&gt;0),MIN(15,Inputs!$B$44)/(Inputs!$B$44),0))),0)))&gt;=100),CHOOSE(ArtifactsInput!$N$42+1,40,48,56,64,72,80),0))))/100)*(((1+(((C653=TRUE)*F653*IF(AND(Inputs!$B$39&lt;&gt;"pvp",Inputs!$B$44&gt;0),(((R653-1)*MIN((Skills!Y22*(1+Inputs!$B$34/100)),(1/Q653))+MIN((Skills!Y22*(1+Inputs!$B$34/100)),MAX(0,Inputs!$B$44-((R653-1)*(1/Q653)))))/Inputs!$B$44),IF(Inputs!$B$39="pvp",MIN((Skills!Y22*(1+Inputs!$B$34/100)),15)/15,MIN(1,(Skills!Y22*(1+Inputs!$B$34/100))/(1/Q653)))))+((C634=TRUE)*F634*3)+((C636=TRUE)*F636*(1-EXP(-0.75*B669*5)))+((C655=TRUE)*(F655-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642=TRUE)*F642*IF(AND(Inputs!$B$39&lt;&gt;"pvp",Inputs!$B$44&gt;0),(((R642-1)*MIN((Skills!Y11*(1+Inputs!$B$34/100)),(1/Q642))+MIN((Skills!Y11*(1+Inputs!$B$34/100)),MAX(0,Inputs!$B$44-((R642-1)*(1/Q642)))))/Inputs!$B$44),IF(Inputs!$B$39="pvp",MIN((Skills!Y11*(1+Inputs!$B$34/100)),15)/15,MIN(1,(Skills!Y11*(1+Inputs!$B$34/100))/(1/Q642)))))/100)*(1+((C647=TRUE)*F647*IF(AND(Inputs!$B$39&lt;&gt;"pvp",Inputs!$B$44&gt;0),(((R647-1)*MIN((Skills!Y16*(1+Inputs!$B$34/100)),(1/Q647))+MIN((Skills!Y16*(1+Inputs!$B$34/100)),MAX(0,Inputs!$B$44-((R647-1)*(1/Q647)))))/Inputs!$B$44),IF(Inputs!$B$39="pvp",MIN((Skills!Y16*(1+Inputs!$B$34/100)),15)/15,MIN(1,(Skills!Y16*(1+Inputs!$B$34/100))/(1/Q647)))))/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667*I641)</f>
        <v/>
      </c>
      <c r="L641">
        <f>K641*(MIN(Inputs!$B$22+((C656=TRUE)*(F656-Calc!F25)),(Inputs!$B$23+((C661=TRUE)*(F661-Calc!F30))+IF(ArtifactsInput!$M$15,CHOOSE(ArtifactsInput!$N$15+1,25,30,35,40,45,50)/100*(Inputs!$B$11-Inputs!$B$11),0)))/100+(Inputs!$B$23+((C661=TRUE)*(F661-Calc!F30))+IF(ArtifactsInput!$M$15,CHOOSE(ArtifactsInput!$N$15+1,25,30,35,40,45,50)/100*(Inputs!$B$11-Inputs!$B$11),0))/100)/2</f>
        <v/>
      </c>
      <c r="M641">
        <f>L641*(1+((Inputs!$B$10+1)+((C658=TRUE)*(F658-Calc!F27))+B672+(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641">
        <f>L641*(1-MIN((Inputs!$B$9+((C657=TRUE)*(F657-Calc!F26))+B665+(ArtifactsInput!$M$24-ArtifactsInput!$M$24)*CHOOSE(ArtifactsInput!$N$24+1,10,12,14,16,18,20)+(IF(AND(Inputs!$B$39&lt;&gt;"pvp",Inputs!$B$44=0),1,IF(IF(Inputs!$B$39="pvp",15,Inputs!$B$44)-(B676)&lt;=0,1,MAX(0,IF(Inputs!$B$39="pvp",15,Inputs!$B$44)-MAX(5,B676))/(IF(Inputs!$B$39="pvp",15,Inputs!$B$44)-(B676))))*IF(AND(ArtifactsInput!$M$42,((Inputs!$B$9+((C657=TRUE)*(F657-Calc!F26))+B665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641*(MIN((Inputs!$B$9+((C657=TRUE)*(F657-Calc!F26))+B665+(ArtifactsInput!$M$24-ArtifactsInput!$M$24)*CHOOSE(ArtifactsInput!$N$24+1,10,12,14,16,18,20)+(IF(AND(Inputs!$B$39&lt;&gt;"pvp",Inputs!$B$44=0),1,IF(IF(Inputs!$B$39="pvp",15,Inputs!$B$44)-(B676)&lt;=0,1,MAX(0,IF(Inputs!$B$39="pvp",15,Inputs!$B$44)-MAX(5,B676))/(IF(Inputs!$B$39="pvp",15,Inputs!$B$44)-(B676))))*IF(AND(ArtifactsInput!$M$42,((Inputs!$B$9+((C657=TRUE)*(F657-Calc!F26))+B665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641">
        <f>(1-Summary!$B$11)*T641+Summary!$B$11*V641</f>
        <v/>
      </c>
      <c r="P641">
        <f>IF(B677=0,0,O641/B677)</f>
        <v/>
      </c>
      <c r="Q641" t="n">
        <v>0</v>
      </c>
      <c r="R641" t="n">
        <v>0</v>
      </c>
      <c r="S641" t="n">
        <v>0</v>
      </c>
      <c r="T641">
        <f>IF(C641,(0.2*SUMPRODUCT((Skills!Z2:Z31=TRUE)*(C633:C662=TRUE)*S633:S662)*N641)*IF(Inputs!$B$39="pvp",1,1+(Inputs!$B$20+0+Skills!P10+B666+(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Hunt"),CHOOSE(ArtifactsInput!$N$35+1,15,18,21,24,27,30)*(1-EXP(-(0.2*B669)*5)),0)+IF(AND(ArtifactsInput!$M$22,Inputs!$B$4&lt;&gt;"Chapter Hunt"),CHOOSE(ArtifactsInput!$N$22+1,10,12,14,16,18,20)*((0*(((0.15*B669*5))^0/1)+1*(((0.15*B669*5))^1/1)+2*(((0.15*B669*5))^2/2)+3*(((0.15*B669*5))^3/6)+4*(((0.15*B669*5))^4/24)+5*(((0.15*B669*5))^5/120))/((((0.15*B669*5))^0/1)+(((0.15*B669*5))^1/1)+(((0.15*B669*5))^2/2)+(((0.15*B669*5))^3/6)+(((0.15*B669*5))^4/24)+(((0.15*B669*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641*(1-MIN(100,(Inputs!$B$9+((C657=TRUE)*(F657-Calc!F26))+B665+(ArtifactsInput!$M$24-ArtifactsInput!$M$24)*CHOOSE(ArtifactsInput!$N$24+1,10,12,14,16,18,20)+(IF(AND(Inputs!$B$39&lt;&gt;"pvp",Inputs!$B$44=0),1,IF(IF(Inputs!$B$39="pvp",15,Inputs!$B$44)-(B676)&lt;=0,1,MAX(0,IF(Inputs!$B$39="pvp",15,Inputs!$B$44)-MAX(5,B676))/(IF(Inputs!$B$39="pvp",15,Inputs!$B$44)-(B676))))*IF(AND(ArtifactsInput!$M$42,((Inputs!$B$9+((C657=TRUE)*(F657-Calc!F26))+B665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641*(MIN(100,(Inputs!$B$9+((C657=TRUE)*(F657-Calc!F26))+B665+(ArtifactsInput!$M$24-ArtifactsInput!$M$24)*CHOOSE(ArtifactsInput!$N$24+1,10,12,14,16,18,20)+(IF(AND(Inputs!$B$39&lt;&gt;"pvp",Inputs!$B$44=0),1,IF(IF(Inputs!$B$39="pvp",15,Inputs!$B$44)-(B676)&lt;=0,1,MAX(0,IF(Inputs!$B$39="pvp",15,Inputs!$B$44)-MAX(5,B676))/(IF(Inputs!$B$39="pvp",15,Inputs!$B$44)-(B676))))*IF(AND(ArtifactsInput!$M$42,((Inputs!$B$9+((C657=TRUE)*(F657-Calc!F26))+B665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641*(1-MIN(100,(Inputs!$B$9+((C657=TRUE)*(F657-Calc!F26))+B665+(ArtifactsInput!$M$24-ArtifactsInput!$M$24)*CHOOSE(ArtifactsInput!$N$24+1,10,12,14,16,18,20)+(IF(AND(Inputs!$B$39&lt;&gt;"pvp",Inputs!$B$44=0),1,IF(IF(Inputs!$B$39="pvp",15,Inputs!$B$44)-(B676)&lt;=0,1,MAX(0,IF(Inputs!$B$39="pvp",15,Inputs!$B$44)-MAX(5,B676))/(IF(Inputs!$B$39="pvp",15,Inputs!$B$44)-(B676))))*IF(AND(ArtifactsInput!$M$42,((Inputs!$B$9+((C657=TRUE)*(F657-Calc!F26))+B665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641*(MIN(100,(Inputs!$B$9+((C657=TRUE)*(F657-Calc!F26))+B665+(ArtifactsInput!$M$24-ArtifactsInput!$M$24)*CHOOSE(ArtifactsInput!$N$24+1,10,12,14,16,18,20)+(IF(AND(Inputs!$B$39&lt;&gt;"pvp",Inputs!$B$44=0),1,IF(IF(Inputs!$B$39="pvp",15,Inputs!$B$44)-(B676)&lt;=0,1,MAX(0,IF(Inputs!$B$39="pvp",15,Inputs!$B$44)-MAX(5,B676))/(IF(Inputs!$B$39="pvp",15,Inputs!$B$44)-(B676))))*IF(AND(ArtifactsInput!$M$42,((Inputs!$B$9+((C657=TRUE)*(F657-Calc!F26))+B665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641">
        <f>IF(C641,(0.2*SUMPRODUCT((Skills!Z2:Z31=TRUE)*(C633:C662=TRUE)*S633:S662)*N641)*IF(Inputs!$B$39="pvp",1,(1+(Inputs!$B$21+Skills!Q10+B666+(IF(ArtifactsInput!$M$33,CHOOSE(ArtifactsInput!$N$33+1,30,36,42,48,54,60),0))+(IF(AND(ArtifactsInput!$M$35,Inputs!$B$4&lt;&gt;"Chapter Hunt"),CHOOSE(ArtifactsInput!$N$35+1,15,18,21,24,27,30)*(1-EXP(-(0.2*B669)*5)),0)+IF(AND(ArtifactsInput!$M$22,Inputs!$B$4&lt;&gt;"Chapter Hunt"),CHOOSE(ArtifactsInput!$N$22+1,10,12,14,16,18,20)*((0*(((0.15*B669*5))^0/1)+1*(((0.15*B669*5))^1/1)+2*(((0.15*B669*5))^2/2)+3*(((0.15*B669*5))^3/6)+4*(((0.15*B669*5))^4/24)+5*(((0.15*B669*5))^5/120))/((((0.15*B669*5))^0/1)+(((0.15*B669*5))^1/1)+(((0.15*B669*5))^2/2)+(((0.15*B669*5))^3/6)+(((0.15*B669*5))^4/24)+(((0.15*B669*5))^5/120))),0)))/100)*(MIN(Skills!W10,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642">
      <c r="A642">
        <f>Skills!A11</f>
        <v/>
      </c>
      <c r="B642">
        <f>Skills!B11</f>
        <v/>
      </c>
      <c r="C642">
        <f>Inputs!$B$3&gt;=74</f>
        <v/>
      </c>
      <c r="D642">
        <f>IF(Skills!C11=1,60+Inputs!$B$25+Inputs!$B$29,IF(Skills!C11=2,90+Inputs!$B$26+Inputs!$B$29,IF(Skills!C11=3,120+Inputs!$B$27+Inputs!$B$29,MAX(0,(Inputs!$B$3-100)*3)+Inputs!$B$28+Inputs!$B$29)))</f>
        <v/>
      </c>
      <c r="E642">
        <f>INDEX(FactorTable!$B$2:$Y$301, MATCH(ROUND(MIN(300,MAX(1,D642)),0), FactorTable!$A$2:$A$301,0), Skills!M11+1)</f>
        <v/>
      </c>
      <c r="F642">
        <f>IF(Skills!N11=TRUE,(Skills!L11/10)*(E642/1000),Skills!L11/10)+Skills!O11</f>
        <v/>
      </c>
      <c r="G642">
        <f>Skills!G11*IF(Skills!H11&gt;0,IF(Inputs!$B$39="pvp",MIN(Skills!I11,15),Skills!I11)/Skills!H11,1)</f>
        <v/>
      </c>
      <c r="H642">
        <f>1-(1-Skills!J11/100)^Skills!K11</f>
        <v/>
      </c>
      <c r="I642" t="inlineStr">
        <is>
          <t>1</t>
        </is>
      </c>
      <c r="J642" t="inlineStr"/>
      <c r="K642" t="inlineStr"/>
      <c r="L642" t="inlineStr"/>
      <c r="M642" t="inlineStr"/>
      <c r="N642" t="inlineStr"/>
      <c r="O642">
        <f>(1-Summary!$B$11)*T642+Summary!$B$11*V642</f>
        <v/>
      </c>
      <c r="P642">
        <f>IF(B677=0,0,O642/B677)</f>
        <v/>
      </c>
      <c r="Q642">
        <f>IFERROR(1/IF(Inputs!$B$39="pvp",15,MAX(0.1,Skills!D11-IF(TRUE=TRUE,Inputs!$B$32,0))),0)</f>
        <v/>
      </c>
      <c r="R642">
        <f>IF(AND(Inputs!$B$39&lt;&gt;"pvp",Inputs!$B$44&gt;0),IF(Inputs!$B$44&lt;=0,0,(INT(Inputs!$B$44/IF(Inputs!$B$39="pvp",15,MAX(0.1,Skills!D11-IF(TRUE=TRUE,Inputs!$B$32,0))))+1)),0)</f>
        <v/>
      </c>
      <c r="S642">
        <f>IFERROR(O642/N642,0)</f>
        <v/>
      </c>
      <c r="T642" t="n">
        <v>0</v>
      </c>
      <c r="V642" t="n">
        <v>0</v>
      </c>
    </row>
    <row r="643">
      <c r="A643">
        <f>Skills!A12</f>
        <v/>
      </c>
      <c r="B643">
        <f>Skills!B12</f>
        <v/>
      </c>
      <c r="C643">
        <f>Inputs!$B$3&gt;=103</f>
        <v/>
      </c>
      <c r="D643">
        <f>IF(Skills!C12=1,60+Inputs!$B$25+Inputs!$B$29,IF(Skills!C12=2,90+Inputs!$B$26+Inputs!$B$29,IF(Skills!C12=3,120+Inputs!$B$27+Inputs!$B$29,MAX(0,(Inputs!$B$3-100)*3)+Inputs!$B$28+Inputs!$B$29)))</f>
        <v/>
      </c>
      <c r="E643">
        <f>INDEX(FactorTable!$B$2:$Y$301, MATCH(ROUND(MIN(300,MAX(1,D643)),0), FactorTable!$A$2:$A$301,0), Skills!M12+1)</f>
        <v/>
      </c>
      <c r="F643">
        <f>(Skills!L12/10)*(E643/1000)+IF(Inputs!$B$3&gt;=134,50,0)+0.5*(30000/10)*(INDEX(FactorTable!$B$2:$Y$301, MATCH(ROUND(MIN(300,MAX(1,D643)),0), FactorTable!$A$2:$A$301,0), 13)/1000)*B675</f>
        <v/>
      </c>
      <c r="G643">
        <f>Skills!G12*IF(Skills!H12&gt;0,IF(Inputs!$B$39="pvp",MIN(Skills!I12,15),Skills!I12)/Skills!H12,1)</f>
        <v/>
      </c>
      <c r="H643">
        <f>1-(1-Skills!J12/100)^Skills!K12</f>
        <v/>
      </c>
      <c r="I643" t="inlineStr">
        <is>
          <t>1</t>
        </is>
      </c>
      <c r="J643">
        <f>((Inputs!$B$6*(1+Inputs!$B$7/100))+(((Inputs!$B$12*(1+Inputs!$B$13/100))-(Inputs!$B$12*(1+Inputs!$B$13/100)))+0.25*(Inputs!$B$14-Inputs!$B$14))*(1+Inputs!$B$7/100))*(F643/100)</f>
        <v/>
      </c>
      <c r="K643">
        <f>J643*(1+((Inputs!$B$12*(1+Inputs!$B$13/100))*0.01+Inputs!$B$14*0.0025)/100)*(1+Inputs!$B$15/100)*(1+Inputs!$B$16/100)*(5000/(6000+Inputs!$B$43*(1-(100*(1-(1-Inputs!$B$19/100)*(1-CHOOSE(ArtifactsInput!$N$40+1,5,6,7,8,9,10)/100)^(ArtifactsInput!$M$40-ArtifactsInput!$M$40)))/100)))*(1+(Inputs!$B$24+((C662=TRUE)*(F662-Calc!F31))+((C649=TRUE)*(F649-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12="CRUEL_STAB",Inputs!$B$17+((C659=TRUE)*(F659-Calc!F28))+((IF(AND(Inputs!$B$39&lt;&gt;"pvp",Inputs!$B$44=0),1,IF(IF(Inputs!$B$39="pvp",15,Inputs!$B$44)-(B676)&lt;=0,1,MAX(0,IF(Inputs!$B$39="pvp",15,Inputs!$B$44)-MAX(5,B676))/(IF(Inputs!$B$39="pvp",15,Inputs!$B$44)-(B676))))*(IF(AND(ArtifactsInput!$M$42,((Inputs!$B$9+((C657=TRUE)*(F657-Calc!F26))+B665+(ArtifactsInput!$M$24-ArtifactsInput!$M$24)*CHOOSE(ArtifactsInput!$N$24+1,10,12,14,16,18,20)+IF(ArtifactsInput!$M$10,CHOOSE(ArtifactsInput!$N$10+1,15,18,21,24,27,30)*(IF(Inputs!$B$39="pvp",MIN(15,15)/15,IF(AND(Inputs!$B$39&lt;&gt;"pvp",Inputs!$B$44&gt;0),MIN(15,Inputs!$B$44)/(Inputs!$B$44),0))),0)))&gt;=100),MIN(100,((Inputs!$B$9+((C657=TRUE)*(F657-Calc!F26))+B665+(ArtifactsInput!$M$24-ArtifactsInput!$M$24)*CHOOSE(ArtifactsInput!$N$24+1,10,12,14,16,18,20)+IF(ArtifactsInput!$M$10,CHOOSE(ArtifactsInput!$N$10+1,15,18,21,24,27,30)*(IF(Inputs!$B$39="pvp",MIN(15,15)/15,IF(AND(Inputs!$B$39&lt;&gt;"pvp",Inputs!$B$44&gt;0),MIN(15,Inputs!$B$44)/(Inputs!$B$44),0))),0)))-100),0))*CHOOSE(ArtifactsInput!$N$42+1,0.6,0.72,0.84,0.96,1.08,1.2))),Inputs!$B$18+((C660=TRUE)*(F660-Calc!F29))+(IF(AND(Inputs!$B$39&lt;&gt;"pvp",Inputs!$B$44=0),1,IF(IF(Inputs!$B$39="pvp",15,Inputs!$B$44)-(B676)&lt;=0,1,MAX(0,IF(Inputs!$B$39="pvp",15,Inputs!$B$44)-MAX(5,B676))/(IF(Inputs!$B$39="pvp",15,Inputs!$B$44)-(B676))))*IF(AND(ArtifactsInput!$M$42,((Inputs!$B$9+((C657=TRUE)*(F657-Calc!F26))+B665+(ArtifactsInput!$M$24-ArtifactsInput!$M$24)*CHOOSE(ArtifactsInput!$N$24+1,10,12,14,16,18,20)+IF(ArtifactsInput!$M$10,CHOOSE(ArtifactsInput!$N$10+1,15,18,21,24,27,30)*(IF(Inputs!$B$39="pvp",MIN(15,15)/15,IF(AND(Inputs!$B$39&lt;&gt;"pvp",Inputs!$B$44&gt;0),MIN(15,Inputs!$B$44)/(Inputs!$B$44),0))),0)))&gt;=100),CHOOSE(ArtifactsInput!$N$42+1,40,48,56,64,72,80),0))))/100)*(((1+(((C653=TRUE)*F653*IF(AND(Inputs!$B$39&lt;&gt;"pvp",Inputs!$B$44&gt;0),(((R653-1)*MIN((Skills!Y22*(1+Inputs!$B$34/100)),(1/Q653))+MIN((Skills!Y22*(1+Inputs!$B$34/100)),MAX(0,Inputs!$B$44-((R653-1)*(1/Q653)))))/Inputs!$B$44),IF(Inputs!$B$39="pvp",MIN((Skills!Y22*(1+Inputs!$B$34/100)),15)/15,MIN(1,(Skills!Y22*(1+Inputs!$B$34/100))/(1/Q653)))))+((C634=TRUE)*F634*3)+((C636=TRUE)*F636*(1-EXP(-0.75*B669*5)))+((C655=TRUE)*(F655-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642=TRUE)*F642*IF(AND(Inputs!$B$39&lt;&gt;"pvp",Inputs!$B$44&gt;0),(((R642-1)*MIN((Skills!Y11*(1+Inputs!$B$34/100)),(1/Q642))+MIN((Skills!Y11*(1+Inputs!$B$34/100)),MAX(0,Inputs!$B$44-((R642-1)*(1/Q642)))))/Inputs!$B$44),IF(Inputs!$B$39="pvp",MIN((Skills!Y11*(1+Inputs!$B$34/100)),15)/15,MIN(1,(Skills!Y11*(1+Inputs!$B$34/100))/(1/Q642)))))/100)*(1+((C647=TRUE)*F647*IF(AND(Inputs!$B$39&lt;&gt;"pvp",Inputs!$B$44&gt;0),(((R647-1)*MIN((Skills!Y16*(1+Inputs!$B$34/100)),(1/Q647))+MIN((Skills!Y16*(1+Inputs!$B$34/100)),MAX(0,Inputs!$B$44-((R647-1)*(1/Q647)))))/Inputs!$B$44),IF(Inputs!$B$39="pvp",MIN((Skills!Y16*(1+Inputs!$B$34/100)),15)/15,MIN(1,(Skills!Y16*(1+Inputs!$B$34/100))/(1/Q647)))))/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667*I643)</f>
        <v/>
      </c>
      <c r="L643">
        <f>K643*(MIN(Inputs!$B$22+((C656=TRUE)*(F656-Calc!F25)),(Inputs!$B$23+((C661=TRUE)*(F661-Calc!F30))+IF(ArtifactsInput!$M$15,CHOOSE(ArtifactsInput!$N$15+1,25,30,35,40,45,50)/100*(Inputs!$B$11-Inputs!$B$11),0)))/100+(Inputs!$B$23+((C661=TRUE)*(F661-Calc!F30))+IF(ArtifactsInput!$M$15,CHOOSE(ArtifactsInput!$N$15+1,25,30,35,40,45,50)/100*(Inputs!$B$11-Inputs!$B$11),0))/100)/2</f>
        <v/>
      </c>
      <c r="M643">
        <f>L643*(1+((Inputs!$B$10+1)+((C658=TRUE)*(F658-Calc!F27))+B672+(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643">
        <f>L643*(1-MIN((Inputs!$B$9+((C657=TRUE)*(F657-Calc!F26))+B665+(ArtifactsInput!$M$24-ArtifactsInput!$M$24)*CHOOSE(ArtifactsInput!$N$24+1,10,12,14,16,18,20)+(IF(AND(Inputs!$B$39&lt;&gt;"pvp",Inputs!$B$44=0),1,IF(IF(Inputs!$B$39="pvp",15,Inputs!$B$44)-(B676)&lt;=0,1,MAX(0,IF(Inputs!$B$39="pvp",15,Inputs!$B$44)-MAX(5,B676))/(IF(Inputs!$B$39="pvp",15,Inputs!$B$44)-(B676))))*IF(AND(ArtifactsInput!$M$42,((Inputs!$B$9+((C657=TRUE)*(F657-Calc!F26))+B665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643*(MIN((Inputs!$B$9+((C657=TRUE)*(F657-Calc!F26))+B665+(ArtifactsInput!$M$24-ArtifactsInput!$M$24)*CHOOSE(ArtifactsInput!$N$24+1,10,12,14,16,18,20)+(IF(AND(Inputs!$B$39&lt;&gt;"pvp",Inputs!$B$44=0),1,IF(IF(Inputs!$B$39="pvp",15,Inputs!$B$44)-(B676)&lt;=0,1,MAX(0,IF(Inputs!$B$39="pvp",15,Inputs!$B$44)-MAX(5,B676))/(IF(Inputs!$B$39="pvp",15,Inputs!$B$44)-(B676))))*IF(AND(ArtifactsInput!$M$42,((Inputs!$B$9+((C657=TRUE)*(F657-Calc!F26))+B665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643">
        <f>(1-Summary!$B$11)*T643+Summary!$B$11*V643</f>
        <v/>
      </c>
      <c r="P643">
        <f>IF(B677=0,0,O643/B677)</f>
        <v/>
      </c>
      <c r="Q643">
        <f>IFERROR(1/IF(Inputs!$B$39="pvp",15,MAX(0.1,Skills!D12-IF(TRUE=TRUE,Inputs!$B$32,0))),0)</f>
        <v/>
      </c>
      <c r="R643">
        <f>IF(AND(Inputs!$B$39&lt;&gt;"pvp",Inputs!$B$44&gt;0),IF(MAX(0,Inputs!$B$44-B676)&lt;=0,0,(INT(MAX(0,Inputs!$B$44-B676)/IF(Inputs!$B$39="pvp",15,MAX(0.1,Skills!D12-IF(TRUE=TRUE,Inputs!$B$32,0))))+1)),0)</f>
        <v/>
      </c>
      <c r="S643">
        <f>IFERROR(O643/N643,0)</f>
        <v/>
      </c>
      <c r="T643">
        <f>IF(C643,(H643*N643*IF(AND(Inputs!$B$39&lt;&gt;"pvp",Inputs!$B$44&gt;0),((Skills!G12*((R643-1)*IF(Skills!H12&gt;0,Skills!I12/Skills!H12,1)+IF(Skills!H12&gt;0,MIN(Skills!I12,MAX(0,MAX(0,Inputs!$B$44-B676)-((R643-1)*IF(Inputs!$B$39="pvp",15,MAX(0.1,Skills!D12-IF(TRUE=TRUE,Inputs!$B$32,0))))))/Skills!H12,1)))/Inputs!$B$44),G643*Q643))*IF(Inputs!$B$39="pvp",1,1+(Inputs!$B$20+0+Skills!P12+B666+(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Hunt"),CHOOSE(ArtifactsInput!$N$35+1,15,18,21,24,27,30)*(1-EXP(-(0.2*B669)*5)),0)+IF(AND(ArtifactsInput!$M$22,Inputs!$B$4&lt;&gt;"Chapter Hunt"),CHOOSE(ArtifactsInput!$N$22+1,10,12,14,16,18,20)*((0*(((0.15*B669*5))^0/1)+1*(((0.15*B669*5))^1/1)+2*(((0.15*B669*5))^2/2)+3*(((0.15*B669*5))^3/6)+4*(((0.15*B669*5))^4/24)+5*(((0.15*B669*5))^5/120))/((((0.15*B669*5))^0/1)+(((0.15*B669*5))^1/1)+(((0.15*B669*5))^2/2)+(((0.15*B669*5))^3/6)+(((0.15*B669*5))^4/24)+(((0.15*B669*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643*(1-MIN(100,(Inputs!$B$9+((C657=TRUE)*(F657-Calc!F26))+B665+(ArtifactsInput!$M$24-ArtifactsInput!$M$24)*CHOOSE(ArtifactsInput!$N$24+1,10,12,14,16,18,20)+(IF(AND(Inputs!$B$39&lt;&gt;"pvp",Inputs!$B$44=0),1,IF(IF(Inputs!$B$39="pvp",15,Inputs!$B$44)-(B676)&lt;=0,1,MAX(0,IF(Inputs!$B$39="pvp",15,Inputs!$B$44)-MAX(5,B676))/(IF(Inputs!$B$39="pvp",15,Inputs!$B$44)-(B676))))*IF(AND(ArtifactsInput!$M$42,((Inputs!$B$9+((C657=TRUE)*(F657-Calc!F26))+B665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643*(MIN(100,(Inputs!$B$9+((C657=TRUE)*(F657-Calc!F26))+B665+(ArtifactsInput!$M$24-ArtifactsInput!$M$24)*CHOOSE(ArtifactsInput!$N$24+1,10,12,14,16,18,20)+(IF(AND(Inputs!$B$39&lt;&gt;"pvp",Inputs!$B$44=0),1,IF(IF(Inputs!$B$39="pvp",15,Inputs!$B$44)-(B676)&lt;=0,1,MAX(0,IF(Inputs!$B$39="pvp",15,Inputs!$B$44)-MAX(5,B676))/(IF(Inputs!$B$39="pvp",15,Inputs!$B$44)-(B676))))*IF(AND(ArtifactsInput!$M$42,((Inputs!$B$9+((C657=TRUE)*(F657-Calc!F26))+B665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643*(1-MIN(100,(Inputs!$B$9+((C657=TRUE)*(F657-Calc!F26))+B665+(ArtifactsInput!$M$24-ArtifactsInput!$M$24)*CHOOSE(ArtifactsInput!$N$24+1,10,12,14,16,18,20)+(IF(AND(Inputs!$B$39&lt;&gt;"pvp",Inputs!$B$44=0),1,IF(IF(Inputs!$B$39="pvp",15,Inputs!$B$44)-(B676)&lt;=0,1,MAX(0,IF(Inputs!$B$39="pvp",15,Inputs!$B$44)-MAX(5,B676))/(IF(Inputs!$B$39="pvp",15,Inputs!$B$44)-(B676))))*IF(AND(ArtifactsInput!$M$42,((Inputs!$B$9+((C657=TRUE)*(F657-Calc!F26))+B665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643*(MIN(100,(Inputs!$B$9+((C657=TRUE)*(F657-Calc!F26))+B665+(ArtifactsInput!$M$24-ArtifactsInput!$M$24)*CHOOSE(ArtifactsInput!$N$24+1,10,12,14,16,18,20)+(IF(AND(Inputs!$B$39&lt;&gt;"pvp",Inputs!$B$44=0),1,IF(IF(Inputs!$B$39="pvp",15,Inputs!$B$44)-(B676)&lt;=0,1,MAX(0,IF(Inputs!$B$39="pvp",15,Inputs!$B$44)-MAX(5,B676))/(IF(Inputs!$B$39="pvp",15,Inputs!$B$44)-(B676))))*IF(AND(ArtifactsInput!$M$42,((Inputs!$B$9+((C657=TRUE)*(F657-Calc!F26))+B665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643">
        <f>IF(C643,(H643*N643*IF(AND(Inputs!$B$39&lt;&gt;"pvp",Inputs!$B$44&gt;0),((Skills!G12*((R643-1)*IF(Skills!H12&gt;0,Skills!I12/Skills!H12,1)+IF(Skills!H12&gt;0,MIN(Skills!I12,MAX(0,MAX(0,Inputs!$B$44-B676)-((R643-1)*IF(Inputs!$B$39="pvp",15,MAX(0.1,Skills!D12-IF(TRUE=TRUE,Inputs!$B$32,0))))))/Skills!H12,1)))/Inputs!$B$44),G643*Q643))*IF(Inputs!$B$39="pvp",1,(1+(Inputs!$B$21+Skills!Q12+B666+(IF(ArtifactsInput!$M$33,CHOOSE(ArtifactsInput!$N$33+1,30,36,42,48,54,60),0))+(IF(AND(ArtifactsInput!$M$35,Inputs!$B$4&lt;&gt;"Chapter Hunt"),CHOOSE(ArtifactsInput!$N$35+1,15,18,21,24,27,30)*(1-EXP(-(0.2*B669)*5)),0)+IF(AND(ArtifactsInput!$M$22,Inputs!$B$4&lt;&gt;"Chapter Hunt"),CHOOSE(ArtifactsInput!$N$22+1,10,12,14,16,18,20)*((0*(((0.15*B669*5))^0/1)+1*(((0.15*B669*5))^1/1)+2*(((0.15*B669*5))^2/2)+3*(((0.15*B669*5))^3/6)+4*(((0.15*B669*5))^4/24)+5*(((0.15*B669*5))^5/120))/((((0.15*B669*5))^0/1)+(((0.15*B669*5))^1/1)+(((0.15*B669*5))^2/2)+(((0.15*B669*5))^3/6)+(((0.15*B669*5))^4/24)+(((0.15*B669*5))^5/120))),0)))/100)*(MIN(Skills!W12,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644">
      <c r="A644">
        <f>Skills!A13</f>
        <v/>
      </c>
      <c r="B644">
        <f>Skills!B13</f>
        <v/>
      </c>
      <c r="C644">
        <f>Inputs!$B$3&gt;=105</f>
        <v/>
      </c>
      <c r="D644">
        <f>IF(Skills!C13=1,60+Inputs!$B$25+Inputs!$B$29,IF(Skills!C13=2,90+Inputs!$B$26+Inputs!$B$29,IF(Skills!C13=3,120+Inputs!$B$27+Inputs!$B$29,MAX(0,(Inputs!$B$3-100)*3)+Inputs!$B$28+Inputs!$B$29)))</f>
        <v/>
      </c>
      <c r="E644">
        <f>INDEX(FactorTable!$B$2:$Y$301, MATCH(ROUND(MIN(300,MAX(1,D644)),0), FactorTable!$A$2:$A$301,0), Skills!M13+1)</f>
        <v/>
      </c>
      <c r="F644">
        <f>IF(Skills!N13=TRUE,(Skills!L13/10)*(E644/1000),Skills!L13/10)+Skills!O13</f>
        <v/>
      </c>
      <c r="G644">
        <f>Skills!G13*IF(Skills!H13&gt;0,IF(Inputs!$B$39="pvp",MIN(Skills!I13,15),Skills!I13)/Skills!H13,1)</f>
        <v/>
      </c>
      <c r="H644">
        <f>1-(1-Skills!J13/100)^Skills!K13</f>
        <v/>
      </c>
      <c r="I644" t="inlineStr">
        <is>
          <t>1</t>
        </is>
      </c>
      <c r="J644">
        <f>((Inputs!$B$6*(1+Inputs!$B$7/100))+(((Inputs!$B$12*(1+Inputs!$B$13/100))-(Inputs!$B$12*(1+Inputs!$B$13/100)))+0.25*(Inputs!$B$14-Inputs!$B$14))*(1+Inputs!$B$7/100))*(F644/100)</f>
        <v/>
      </c>
      <c r="K644">
        <f>J644*(1+((Inputs!$B$12*(1+Inputs!$B$13/100))*0.01+Inputs!$B$14*0.0025)/100)*(1+Inputs!$B$15/100)*(1+Inputs!$B$16/100)*(5000/(6000+Inputs!$B$43*(1-(100*(1-(1-Inputs!$B$19/100)*(1-CHOOSE(ArtifactsInput!$N$40+1,5,6,7,8,9,10)/100)^(ArtifactsInput!$M$40-ArtifactsInput!$M$40)))/100)))*(1+(Inputs!$B$24+((C662=TRUE)*(F662-Calc!F31))+((C649=TRUE)*(F649-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13="CRUEL_STAB",Inputs!$B$17+((C659=TRUE)*(F659-Calc!F28))+((IF(AND(Inputs!$B$39&lt;&gt;"pvp",Inputs!$B$44=0),1,IF(IF(Inputs!$B$39="pvp",15,Inputs!$B$44)-(B676)&lt;=0,1,MAX(0,IF(Inputs!$B$39="pvp",15,Inputs!$B$44)-MAX(5,B676))/(IF(Inputs!$B$39="pvp",15,Inputs!$B$44)-(B676))))*(IF(AND(ArtifactsInput!$M$42,((Inputs!$B$9+((C657=TRUE)*(F657-Calc!F26))+B665+(ArtifactsInput!$M$24-ArtifactsInput!$M$24)*CHOOSE(ArtifactsInput!$N$24+1,10,12,14,16,18,20)+IF(ArtifactsInput!$M$10,CHOOSE(ArtifactsInput!$N$10+1,15,18,21,24,27,30)*(IF(Inputs!$B$39="pvp",MIN(15,15)/15,IF(AND(Inputs!$B$39&lt;&gt;"pvp",Inputs!$B$44&gt;0),MIN(15,Inputs!$B$44)/(Inputs!$B$44),0))),0)))&gt;=100),MIN(100,((Inputs!$B$9+((C657=TRUE)*(F657-Calc!F26))+B665+(ArtifactsInput!$M$24-ArtifactsInput!$M$24)*CHOOSE(ArtifactsInput!$N$24+1,10,12,14,16,18,20)+IF(ArtifactsInput!$M$10,CHOOSE(ArtifactsInput!$N$10+1,15,18,21,24,27,30)*(IF(Inputs!$B$39="pvp",MIN(15,15)/15,IF(AND(Inputs!$B$39&lt;&gt;"pvp",Inputs!$B$44&gt;0),MIN(15,Inputs!$B$44)/(Inputs!$B$44),0))),0)))-100),0))*CHOOSE(ArtifactsInput!$N$42+1,0.6,0.72,0.84,0.96,1.08,1.2))),Inputs!$B$18+((C660=TRUE)*(F660-Calc!F29))+(IF(AND(Inputs!$B$39&lt;&gt;"pvp",Inputs!$B$44=0),1,IF(IF(Inputs!$B$39="pvp",15,Inputs!$B$44)-(B676)&lt;=0,1,MAX(0,IF(Inputs!$B$39="pvp",15,Inputs!$B$44)-MAX(5,B676))/(IF(Inputs!$B$39="pvp",15,Inputs!$B$44)-(B676))))*IF(AND(ArtifactsInput!$M$42,((Inputs!$B$9+((C657=TRUE)*(F657-Calc!F26))+B665+(ArtifactsInput!$M$24-ArtifactsInput!$M$24)*CHOOSE(ArtifactsInput!$N$24+1,10,12,14,16,18,20)+IF(ArtifactsInput!$M$10,CHOOSE(ArtifactsInput!$N$10+1,15,18,21,24,27,30)*(IF(Inputs!$B$39="pvp",MIN(15,15)/15,IF(AND(Inputs!$B$39&lt;&gt;"pvp",Inputs!$B$44&gt;0),MIN(15,Inputs!$B$44)/(Inputs!$B$44),0))),0)))&gt;=100),CHOOSE(ArtifactsInput!$N$42+1,40,48,56,64,72,80),0))))/100)*(((1+(((C653=TRUE)*F653*IF(AND(Inputs!$B$39&lt;&gt;"pvp",Inputs!$B$44&gt;0),(((R653-1)*MIN((Skills!Y22*(1+Inputs!$B$34/100)),(1/Q653))+MIN((Skills!Y22*(1+Inputs!$B$34/100)),MAX(0,Inputs!$B$44-((R653-1)*(1/Q653)))))/Inputs!$B$44),IF(Inputs!$B$39="pvp",MIN((Skills!Y22*(1+Inputs!$B$34/100)),15)/15,MIN(1,(Skills!Y22*(1+Inputs!$B$34/100))/(1/Q653)))))+((C634=TRUE)*F634*3)+((C636=TRUE)*F636*(1-EXP(-0.75*B669*5)))+((C655=TRUE)*(F655-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642=TRUE)*F642*IF(AND(Inputs!$B$39&lt;&gt;"pvp",Inputs!$B$44&gt;0),(((R642-1)*MIN((Skills!Y11*(1+Inputs!$B$34/100)),(1/Q642))+MIN((Skills!Y11*(1+Inputs!$B$34/100)),MAX(0,Inputs!$B$44-((R642-1)*(1/Q642)))))/Inputs!$B$44),IF(Inputs!$B$39="pvp",MIN((Skills!Y11*(1+Inputs!$B$34/100)),15)/15,MIN(1,(Skills!Y11*(1+Inputs!$B$34/100))/(1/Q642)))))/100)*(1+((C647=TRUE)*F647*IF(AND(Inputs!$B$39&lt;&gt;"pvp",Inputs!$B$44&gt;0),(((R647-1)*MIN((Skills!Y16*(1+Inputs!$B$34/100)),(1/Q647))+MIN((Skills!Y16*(1+Inputs!$B$34/100)),MAX(0,Inputs!$B$44-((R647-1)*(1/Q647)))))/Inputs!$B$44),IF(Inputs!$B$39="pvp",MIN((Skills!Y16*(1+Inputs!$B$34/100)),15)/15,MIN(1,(Skills!Y16*(1+Inputs!$B$34/100))/(1/Q647)))))/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667*I644)</f>
        <v/>
      </c>
      <c r="L644">
        <f>K644*(MIN(Inputs!$B$22+((C656=TRUE)*(F656-Calc!F25)),(Inputs!$B$23+((C661=TRUE)*(F661-Calc!F30))+IF(ArtifactsInput!$M$15,CHOOSE(ArtifactsInput!$N$15+1,25,30,35,40,45,50)/100*(Inputs!$B$11-Inputs!$B$11),0)))/100+(Inputs!$B$23+((C661=TRUE)*(F661-Calc!F30))+IF(ArtifactsInput!$M$15,CHOOSE(ArtifactsInput!$N$15+1,25,30,35,40,45,50)/100*(Inputs!$B$11-Inputs!$B$11),0))/100)/2</f>
        <v/>
      </c>
      <c r="M644">
        <f>L644*(1+((Inputs!$B$10+1)+((C658=TRUE)*(F658-Calc!F27))+B672+(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644">
        <f>L644*(1-MIN((Inputs!$B$9+((C657=TRUE)*(F657-Calc!F26))+B665+(ArtifactsInput!$M$24-ArtifactsInput!$M$24)*CHOOSE(ArtifactsInput!$N$24+1,10,12,14,16,18,20)+(IF(AND(Inputs!$B$39&lt;&gt;"pvp",Inputs!$B$44=0),1,IF(IF(Inputs!$B$39="pvp",15,Inputs!$B$44)-(B676)&lt;=0,1,MAX(0,IF(Inputs!$B$39="pvp",15,Inputs!$B$44)-MAX(5,B676))/(IF(Inputs!$B$39="pvp",15,Inputs!$B$44)-(B676))))*IF(AND(ArtifactsInput!$M$42,((Inputs!$B$9+((C657=TRUE)*(F657-Calc!F26))+B665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644*(MIN((Inputs!$B$9+((C657=TRUE)*(F657-Calc!F26))+B665+(ArtifactsInput!$M$24-ArtifactsInput!$M$24)*CHOOSE(ArtifactsInput!$N$24+1,10,12,14,16,18,20)+(IF(AND(Inputs!$B$39&lt;&gt;"pvp",Inputs!$B$44=0),1,IF(IF(Inputs!$B$39="pvp",15,Inputs!$B$44)-(B676)&lt;=0,1,MAX(0,IF(Inputs!$B$39="pvp",15,Inputs!$B$44)-MAX(5,B676))/(IF(Inputs!$B$39="pvp",15,Inputs!$B$44)-(B676))))*IF(AND(ArtifactsInput!$M$42,((Inputs!$B$9+((C657=TRUE)*(F657-Calc!F26))+B665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644">
        <f>(1-Summary!$B$11)*T644+Summary!$B$11*V644</f>
        <v/>
      </c>
      <c r="P644">
        <f>IF(B677=0,0,O644/B677)</f>
        <v/>
      </c>
      <c r="Q644">
        <f>IFERROR(1/IF(Inputs!$B$39="pvp",15,MAX(0.1,Skills!D13-IF(TRUE=TRUE,Inputs!$B$32,0))),0)</f>
        <v/>
      </c>
      <c r="R644">
        <f>IF(AND(Inputs!$B$39&lt;&gt;"pvp",Inputs!$B$44&gt;0),IF(MAX(0,Inputs!$B$44-B676)&lt;=0,0,(INT(MAX(0,Inputs!$B$44-B676)/IF(Inputs!$B$39="pvp",15,MAX(0.1,Skills!D13-IF(TRUE=TRUE,Inputs!$B$32,0))))+1)),0)</f>
        <v/>
      </c>
      <c r="S644">
        <f>IFERROR(O644/N644,0)</f>
        <v/>
      </c>
      <c r="T644">
        <f>IF(C644,(H644*N644*IF(AND(Inputs!$B$39&lt;&gt;"pvp",Inputs!$B$44&gt;0),((Skills!G13*((R644-1)*IF(Skills!H13&gt;0,Skills!I13/Skills!H13,1)+IF(Skills!H13&gt;0,MIN(Skills!I13,MAX(0,MAX(0,Inputs!$B$44-B676)-((R644-1)*IF(Inputs!$B$39="pvp",15,MAX(0.1,Skills!D13-IF(TRUE=TRUE,Inputs!$B$32,0))))))/Skills!H13,1)))/Inputs!$B$44),G644*Q644))*IF(Inputs!$B$39="pvp",1,1+(Inputs!$B$20+0+Skills!P13+B666+(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Hunt"),CHOOSE(ArtifactsInput!$N$35+1,15,18,21,24,27,30)*(1-EXP(-(0.2*B669)*5)),0)+IF(AND(ArtifactsInput!$M$22,Inputs!$B$4&lt;&gt;"Chapter Hunt"),CHOOSE(ArtifactsInput!$N$22+1,10,12,14,16,18,20)*((0*(((0.15*B669*5))^0/1)+1*(((0.15*B669*5))^1/1)+2*(((0.15*B669*5))^2/2)+3*(((0.15*B669*5))^3/6)+4*(((0.15*B669*5))^4/24)+5*(((0.15*B669*5))^5/120))/((((0.15*B669*5))^0/1)+(((0.15*B669*5))^1/1)+(((0.15*B669*5))^2/2)+(((0.15*B669*5))^3/6)+(((0.15*B669*5))^4/24)+(((0.15*B669*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644*(1-MIN(100,(Inputs!$B$9+((C657=TRUE)*(F657-Calc!F26))+B665+(ArtifactsInput!$M$24-ArtifactsInput!$M$24)*CHOOSE(ArtifactsInput!$N$24+1,10,12,14,16,18,20)+(IF(AND(Inputs!$B$39&lt;&gt;"pvp",Inputs!$B$44=0),1,IF(IF(Inputs!$B$39="pvp",15,Inputs!$B$44)-(B676)&lt;=0,1,MAX(0,IF(Inputs!$B$39="pvp",15,Inputs!$B$44)-MAX(5,B676))/(IF(Inputs!$B$39="pvp",15,Inputs!$B$44)-(B676))))*IF(AND(ArtifactsInput!$M$42,((Inputs!$B$9+((C657=TRUE)*(F657-Calc!F26))+B665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644*(MIN(100,(Inputs!$B$9+((C657=TRUE)*(F657-Calc!F26))+B665+(ArtifactsInput!$M$24-ArtifactsInput!$M$24)*CHOOSE(ArtifactsInput!$N$24+1,10,12,14,16,18,20)+(IF(AND(Inputs!$B$39&lt;&gt;"pvp",Inputs!$B$44=0),1,IF(IF(Inputs!$B$39="pvp",15,Inputs!$B$44)-(B676)&lt;=0,1,MAX(0,IF(Inputs!$B$39="pvp",15,Inputs!$B$44)-MAX(5,B676))/(IF(Inputs!$B$39="pvp",15,Inputs!$B$44)-(B676))))*IF(AND(ArtifactsInput!$M$42,((Inputs!$B$9+((C657=TRUE)*(F657-Calc!F26))+B665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644*(1-MIN(100,(Inputs!$B$9+((C657=TRUE)*(F657-Calc!F26))+B665+(ArtifactsInput!$M$24-ArtifactsInput!$M$24)*CHOOSE(ArtifactsInput!$N$24+1,10,12,14,16,18,20)+(IF(AND(Inputs!$B$39&lt;&gt;"pvp",Inputs!$B$44=0),1,IF(IF(Inputs!$B$39="pvp",15,Inputs!$B$44)-(B676)&lt;=0,1,MAX(0,IF(Inputs!$B$39="pvp",15,Inputs!$B$44)-MAX(5,B676))/(IF(Inputs!$B$39="pvp",15,Inputs!$B$44)-(B676))))*IF(AND(ArtifactsInput!$M$42,((Inputs!$B$9+((C657=TRUE)*(F657-Calc!F26))+B665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644*(MIN(100,(Inputs!$B$9+((C657=TRUE)*(F657-Calc!F26))+B665+(ArtifactsInput!$M$24-ArtifactsInput!$M$24)*CHOOSE(ArtifactsInput!$N$24+1,10,12,14,16,18,20)+(IF(AND(Inputs!$B$39&lt;&gt;"pvp",Inputs!$B$44=0),1,IF(IF(Inputs!$B$39="pvp",15,Inputs!$B$44)-(B676)&lt;=0,1,MAX(0,IF(Inputs!$B$39="pvp",15,Inputs!$B$44)-MAX(5,B676))/(IF(Inputs!$B$39="pvp",15,Inputs!$B$44)-(B676))))*IF(AND(ArtifactsInput!$M$42,((Inputs!$B$9+((C657=TRUE)*(F657-Calc!F26))+B665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644">
        <f>IF(C644,(H644*N644*IF(AND(Inputs!$B$39&lt;&gt;"pvp",Inputs!$B$44&gt;0),((Skills!G13*((R644-1)*IF(Skills!H13&gt;0,Skills!I13/Skills!H13,1)+IF(Skills!H13&gt;0,MIN(Skills!I13,MAX(0,MAX(0,Inputs!$B$44-B676)-((R644-1)*IF(Inputs!$B$39="pvp",15,MAX(0.1,Skills!D13-IF(TRUE=TRUE,Inputs!$B$32,0))))))/Skills!H13,1)))/Inputs!$B$44),G644*Q644))*IF(Inputs!$B$39="pvp",1,(1+(Inputs!$B$21+Skills!Q13+B666+(IF(ArtifactsInput!$M$33,CHOOSE(ArtifactsInput!$N$33+1,30,36,42,48,54,60),0))+(IF(AND(ArtifactsInput!$M$35,Inputs!$B$4&lt;&gt;"Chapter Hunt"),CHOOSE(ArtifactsInput!$N$35+1,15,18,21,24,27,30)*(1-EXP(-(0.2*B669)*5)),0)+IF(AND(ArtifactsInput!$M$22,Inputs!$B$4&lt;&gt;"Chapter Hunt"),CHOOSE(ArtifactsInput!$N$22+1,10,12,14,16,18,20)*((0*(((0.15*B669*5))^0/1)+1*(((0.15*B669*5))^1/1)+2*(((0.15*B669*5))^2/2)+3*(((0.15*B669*5))^3/6)+4*(((0.15*B669*5))^4/24)+5*(((0.15*B669*5))^5/120))/((((0.15*B669*5))^0/1)+(((0.15*B669*5))^1/1)+(((0.15*B669*5))^2/2)+(((0.15*B669*5))^3/6)+(((0.15*B669*5))^4/24)+(((0.15*B669*5))^5/120))),0)))/100)*(MIN(Skills!W13,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645">
      <c r="A645">
        <f>Skills!A14</f>
        <v/>
      </c>
      <c r="B645">
        <f>Skills!B14</f>
        <v/>
      </c>
      <c r="C645">
        <f>Inputs!$B$3&gt;=105</f>
        <v/>
      </c>
      <c r="D645">
        <f>IF(Skills!C14=1,60+Inputs!$B$25+Inputs!$B$29,IF(Skills!C14=2,90+Inputs!$B$26+Inputs!$B$29,IF(Skills!C14=3,120+Inputs!$B$27+Inputs!$B$29,MAX(0,(Inputs!$B$3-100)*3)+Inputs!$B$28+Inputs!$B$29)))</f>
        <v/>
      </c>
      <c r="E645">
        <f>INDEX(FactorTable!$B$2:$Y$301, MATCH(ROUND(MIN(300,MAX(1,D645)),0), FactorTable!$A$2:$A$301,0), Skills!M14+1)</f>
        <v/>
      </c>
      <c r="F645">
        <f>IF(Skills!N14=TRUE,(Skills!L14/10)*(E645/1000),Skills!L14/10)+Skills!O14</f>
        <v/>
      </c>
      <c r="G645">
        <f>Skills!G14*IF(Skills!H14&gt;0,IF(Inputs!$B$39="pvp",MIN(Skills!I14,15),Skills!I14)/Skills!H14,1)</f>
        <v/>
      </c>
      <c r="H645">
        <f>1-(1-Skills!J14/100)^Skills!K14</f>
        <v/>
      </c>
      <c r="I645" t="inlineStr">
        <is>
          <t>1</t>
        </is>
      </c>
      <c r="J645">
        <f>((Inputs!$B$6*(1+Inputs!$B$7/100))+(((Inputs!$B$12*(1+Inputs!$B$13/100))-(Inputs!$B$12*(1+Inputs!$B$13/100)))+0.25*(Inputs!$B$14-Inputs!$B$14))*(1+Inputs!$B$7/100))*(F645/100)</f>
        <v/>
      </c>
      <c r="K645">
        <f>J645*(1+((Inputs!$B$12*(1+Inputs!$B$13/100))*0.01+Inputs!$B$14*0.0025)/100)*(1+Inputs!$B$15/100)*(1+Inputs!$B$16/100)*(5000/(6000+Inputs!$B$43*(1-(100*(1-(1-Inputs!$B$19/100)*(1-CHOOSE(ArtifactsInput!$N$40+1,5,6,7,8,9,10)/100)^(ArtifactsInput!$M$40-ArtifactsInput!$M$40)))/100)))*(1+(Inputs!$B$24+((C662=TRUE)*(F662-Calc!F31))+((C649=TRUE)*(F649-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14="CRUEL_STAB",Inputs!$B$17+((C659=TRUE)*(F659-Calc!F28))+((IF(AND(Inputs!$B$39&lt;&gt;"pvp",Inputs!$B$44=0),1,IF(IF(Inputs!$B$39="pvp",15,Inputs!$B$44)-(B676)&lt;=0,1,MAX(0,IF(Inputs!$B$39="pvp",15,Inputs!$B$44)-MAX(5,B676))/(IF(Inputs!$B$39="pvp",15,Inputs!$B$44)-(B676))))*(IF(AND(ArtifactsInput!$M$42,((Inputs!$B$9+((C657=TRUE)*(F657-Calc!F26))+B665+(ArtifactsInput!$M$24-ArtifactsInput!$M$24)*CHOOSE(ArtifactsInput!$N$24+1,10,12,14,16,18,20)+IF(ArtifactsInput!$M$10,CHOOSE(ArtifactsInput!$N$10+1,15,18,21,24,27,30)*(IF(Inputs!$B$39="pvp",MIN(15,15)/15,IF(AND(Inputs!$B$39&lt;&gt;"pvp",Inputs!$B$44&gt;0),MIN(15,Inputs!$B$44)/(Inputs!$B$44),0))),0)))&gt;=100),MIN(100,((Inputs!$B$9+((C657=TRUE)*(F657-Calc!F26))+B665+(ArtifactsInput!$M$24-ArtifactsInput!$M$24)*CHOOSE(ArtifactsInput!$N$24+1,10,12,14,16,18,20)+IF(ArtifactsInput!$M$10,CHOOSE(ArtifactsInput!$N$10+1,15,18,21,24,27,30)*(IF(Inputs!$B$39="pvp",MIN(15,15)/15,IF(AND(Inputs!$B$39&lt;&gt;"pvp",Inputs!$B$44&gt;0),MIN(15,Inputs!$B$44)/(Inputs!$B$44),0))),0)))-100),0))*CHOOSE(ArtifactsInput!$N$42+1,0.6,0.72,0.84,0.96,1.08,1.2))),Inputs!$B$18+((C660=TRUE)*(F660-Calc!F29))+(IF(AND(Inputs!$B$39&lt;&gt;"pvp",Inputs!$B$44=0),1,IF(IF(Inputs!$B$39="pvp",15,Inputs!$B$44)-(B676)&lt;=0,1,MAX(0,IF(Inputs!$B$39="pvp",15,Inputs!$B$44)-MAX(5,B676))/(IF(Inputs!$B$39="pvp",15,Inputs!$B$44)-(B676))))*IF(AND(ArtifactsInput!$M$42,((Inputs!$B$9+((C657=TRUE)*(F657-Calc!F26))+B665+(ArtifactsInput!$M$24-ArtifactsInput!$M$24)*CHOOSE(ArtifactsInput!$N$24+1,10,12,14,16,18,20)+IF(ArtifactsInput!$M$10,CHOOSE(ArtifactsInput!$N$10+1,15,18,21,24,27,30)*(IF(Inputs!$B$39="pvp",MIN(15,15)/15,IF(AND(Inputs!$B$39&lt;&gt;"pvp",Inputs!$B$44&gt;0),MIN(15,Inputs!$B$44)/(Inputs!$B$44),0))),0)))&gt;=100),CHOOSE(ArtifactsInput!$N$42+1,40,48,56,64,72,80),0))))/100)*(((1+(((C653=TRUE)*F653*IF(AND(Inputs!$B$39&lt;&gt;"pvp",Inputs!$B$44&gt;0),(((R653-1)*MIN((Skills!Y22*(1+Inputs!$B$34/100)),(1/Q653))+MIN((Skills!Y22*(1+Inputs!$B$34/100)),MAX(0,Inputs!$B$44-((R653-1)*(1/Q653)))))/Inputs!$B$44),IF(Inputs!$B$39="pvp",MIN((Skills!Y22*(1+Inputs!$B$34/100)),15)/15,MIN(1,(Skills!Y22*(1+Inputs!$B$34/100))/(1/Q653)))))+((C634=TRUE)*F634*3)+((C636=TRUE)*F636*(1-EXP(-0.75*B669*5)))+((C655=TRUE)*(F655-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642=TRUE)*F642*IF(AND(Inputs!$B$39&lt;&gt;"pvp",Inputs!$B$44&gt;0),(((R642-1)*MIN((Skills!Y11*(1+Inputs!$B$34/100)),(1/Q642))+MIN((Skills!Y11*(1+Inputs!$B$34/100)),MAX(0,Inputs!$B$44-((R642-1)*(1/Q642)))))/Inputs!$B$44),IF(Inputs!$B$39="pvp",MIN((Skills!Y11*(1+Inputs!$B$34/100)),15)/15,MIN(1,(Skills!Y11*(1+Inputs!$B$34/100))/(1/Q642)))))/100)*(1+((C647=TRUE)*F647*IF(AND(Inputs!$B$39&lt;&gt;"pvp",Inputs!$B$44&gt;0),(((R647-1)*MIN((Skills!Y16*(1+Inputs!$B$34/100)),(1/Q647))+MIN((Skills!Y16*(1+Inputs!$B$34/100)),MAX(0,Inputs!$B$44-((R647-1)*(1/Q647)))))/Inputs!$B$44),IF(Inputs!$B$39="pvp",MIN((Skills!Y16*(1+Inputs!$B$34/100)),15)/15,MIN(1,(Skills!Y16*(1+Inputs!$B$34/100))/(1/Q647)))))/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667*I645)</f>
        <v/>
      </c>
      <c r="L645">
        <f>K645*(MIN(Inputs!$B$22+((C656=TRUE)*(F656-Calc!F25)),(Inputs!$B$23+((C661=TRUE)*(F661-Calc!F30))+IF(ArtifactsInput!$M$15,CHOOSE(ArtifactsInput!$N$15+1,25,30,35,40,45,50)/100*(Inputs!$B$11-Inputs!$B$11),0)))/100+(Inputs!$B$23+((C661=TRUE)*(F661-Calc!F30))+IF(ArtifactsInput!$M$15,CHOOSE(ArtifactsInput!$N$15+1,25,30,35,40,45,50)/100*(Inputs!$B$11-Inputs!$B$11),0))/100)/2</f>
        <v/>
      </c>
      <c r="M645">
        <f>L645*(1+((Inputs!$B$10+1)+((C658=TRUE)*(F658-Calc!F27))+B672+(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645">
        <f>L645*(1-MIN((Inputs!$B$9+((C657=TRUE)*(F657-Calc!F26))+B665+(ArtifactsInput!$M$24-ArtifactsInput!$M$24)*CHOOSE(ArtifactsInput!$N$24+1,10,12,14,16,18,20)+(IF(AND(Inputs!$B$39&lt;&gt;"pvp",Inputs!$B$44=0),1,IF(IF(Inputs!$B$39="pvp",15,Inputs!$B$44)-(B676)&lt;=0,1,MAX(0,IF(Inputs!$B$39="pvp",15,Inputs!$B$44)-MAX(5,B676))/(IF(Inputs!$B$39="pvp",15,Inputs!$B$44)-(B676))))*IF(AND(ArtifactsInput!$M$42,((Inputs!$B$9+((C657=TRUE)*(F657-Calc!F26))+B665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645*(MIN((Inputs!$B$9+((C657=TRUE)*(F657-Calc!F26))+B665+(ArtifactsInput!$M$24-ArtifactsInput!$M$24)*CHOOSE(ArtifactsInput!$N$24+1,10,12,14,16,18,20)+(IF(AND(Inputs!$B$39&lt;&gt;"pvp",Inputs!$B$44=0),1,IF(IF(Inputs!$B$39="pvp",15,Inputs!$B$44)-(B676)&lt;=0,1,MAX(0,IF(Inputs!$B$39="pvp",15,Inputs!$B$44)-MAX(5,B676))/(IF(Inputs!$B$39="pvp",15,Inputs!$B$44)-(B676))))*IF(AND(ArtifactsInput!$M$42,((Inputs!$B$9+((C657=TRUE)*(F657-Calc!F26))+B665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645">
        <f>(1-Summary!$B$11)*T645+Summary!$B$11*V645</f>
        <v/>
      </c>
      <c r="P645">
        <f>IF(B677=0,0,O645/B677)</f>
        <v/>
      </c>
      <c r="Q645">
        <f>IFERROR(1/IF(Inputs!$B$39="pvp",15,MAX(0.1,Skills!D14-IF(TRUE=TRUE,Inputs!$B$32,0))),0)</f>
        <v/>
      </c>
      <c r="R645">
        <f>IF(AND(Inputs!$B$39&lt;&gt;"pvp",Inputs!$B$44&gt;0),IF(MAX(0,Inputs!$B$44-B676)&lt;=0,0,(INT(MAX(0,Inputs!$B$44-B676)/IF(Inputs!$B$39="pvp",15,MAX(0.1,Skills!D14-IF(TRUE=TRUE,Inputs!$B$32,0))))+1)),0)</f>
        <v/>
      </c>
      <c r="S645">
        <f>IFERROR(O645/N645,0)</f>
        <v/>
      </c>
      <c r="T645">
        <f>IF(C645,(H645*N645*IF(AND(Inputs!$B$39&lt;&gt;"pvp",Inputs!$B$44&gt;0),((Skills!G14*((R645-1)*IF(Skills!H14&gt;0,Skills!I14/Skills!H14,1)+IF(Skills!H14&gt;0,MIN(Skills!I14,MAX(0,MAX(0,Inputs!$B$44-B676)-((R645-1)*IF(Inputs!$B$39="pvp",15,MAX(0.1,Skills!D14-IF(TRUE=TRUE,Inputs!$B$32,0))))))/Skills!H14,1)))/Inputs!$B$44),G645*Q645))*IF(Inputs!$B$39="pvp",1,1+(Inputs!$B$20+0+Skills!P14+B666+(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Hunt"),CHOOSE(ArtifactsInput!$N$35+1,15,18,21,24,27,30)*(1-EXP(-(0.2*B669)*5)),0)+IF(AND(ArtifactsInput!$M$22,Inputs!$B$4&lt;&gt;"Chapter Hunt"),CHOOSE(ArtifactsInput!$N$22+1,10,12,14,16,18,20)*((0*(((0.15*B669*5))^0/1)+1*(((0.15*B669*5))^1/1)+2*(((0.15*B669*5))^2/2)+3*(((0.15*B669*5))^3/6)+4*(((0.15*B669*5))^4/24)+5*(((0.15*B669*5))^5/120))/((((0.15*B669*5))^0/1)+(((0.15*B669*5))^1/1)+(((0.15*B669*5))^2/2)+(((0.15*B669*5))^3/6)+(((0.15*B669*5))^4/24)+(((0.15*B669*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645*(1-MIN(100,(Inputs!$B$9+((C657=TRUE)*(F657-Calc!F26))+B665+(ArtifactsInput!$M$24-ArtifactsInput!$M$24)*CHOOSE(ArtifactsInput!$N$24+1,10,12,14,16,18,20)+(IF(AND(Inputs!$B$39&lt;&gt;"pvp",Inputs!$B$44=0),1,IF(IF(Inputs!$B$39="pvp",15,Inputs!$B$44)-(B676)&lt;=0,1,MAX(0,IF(Inputs!$B$39="pvp",15,Inputs!$B$44)-MAX(5,B676))/(IF(Inputs!$B$39="pvp",15,Inputs!$B$44)-(B676))))*IF(AND(ArtifactsInput!$M$42,((Inputs!$B$9+((C657=TRUE)*(F657-Calc!F26))+B665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645*(MIN(100,(Inputs!$B$9+((C657=TRUE)*(F657-Calc!F26))+B665+(ArtifactsInput!$M$24-ArtifactsInput!$M$24)*CHOOSE(ArtifactsInput!$N$24+1,10,12,14,16,18,20)+(IF(AND(Inputs!$B$39&lt;&gt;"pvp",Inputs!$B$44=0),1,IF(IF(Inputs!$B$39="pvp",15,Inputs!$B$44)-(B676)&lt;=0,1,MAX(0,IF(Inputs!$B$39="pvp",15,Inputs!$B$44)-MAX(5,B676))/(IF(Inputs!$B$39="pvp",15,Inputs!$B$44)-(B676))))*IF(AND(ArtifactsInput!$M$42,((Inputs!$B$9+((C657=TRUE)*(F657-Calc!F26))+B665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645*(1-MIN(100,(Inputs!$B$9+((C657=TRUE)*(F657-Calc!F26))+B665+(ArtifactsInput!$M$24-ArtifactsInput!$M$24)*CHOOSE(ArtifactsInput!$N$24+1,10,12,14,16,18,20)+(IF(AND(Inputs!$B$39&lt;&gt;"pvp",Inputs!$B$44=0),1,IF(IF(Inputs!$B$39="pvp",15,Inputs!$B$44)-(B676)&lt;=0,1,MAX(0,IF(Inputs!$B$39="pvp",15,Inputs!$B$44)-MAX(5,B676))/(IF(Inputs!$B$39="pvp",15,Inputs!$B$44)-(B676))))*IF(AND(ArtifactsInput!$M$42,((Inputs!$B$9+((C657=TRUE)*(F657-Calc!F26))+B665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645*(MIN(100,(Inputs!$B$9+((C657=TRUE)*(F657-Calc!F26))+B665+(ArtifactsInput!$M$24-ArtifactsInput!$M$24)*CHOOSE(ArtifactsInput!$N$24+1,10,12,14,16,18,20)+(IF(AND(Inputs!$B$39&lt;&gt;"pvp",Inputs!$B$44=0),1,IF(IF(Inputs!$B$39="pvp",15,Inputs!$B$44)-(B676)&lt;=0,1,MAX(0,IF(Inputs!$B$39="pvp",15,Inputs!$B$44)-MAX(5,B676))/(IF(Inputs!$B$39="pvp",15,Inputs!$B$44)-(B676))))*IF(AND(ArtifactsInput!$M$42,((Inputs!$B$9+((C657=TRUE)*(F657-Calc!F26))+B665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645">
        <f>IF(C645,(H645*N645*IF(AND(Inputs!$B$39&lt;&gt;"pvp",Inputs!$B$44&gt;0),((Skills!G14*((R645-1)*IF(Skills!H14&gt;0,Skills!I14/Skills!H14,1)+IF(Skills!H14&gt;0,MIN(Skills!I14,MAX(0,MAX(0,Inputs!$B$44-B676)-((R645-1)*IF(Inputs!$B$39="pvp",15,MAX(0.1,Skills!D14-IF(TRUE=TRUE,Inputs!$B$32,0))))))/Skills!H14,1)))/Inputs!$B$44),G645*Q645))*IF(Inputs!$B$39="pvp",1,(1+(Inputs!$B$21+Skills!Q14+B666+(IF(ArtifactsInput!$M$33,CHOOSE(ArtifactsInput!$N$33+1,30,36,42,48,54,60),0))+(IF(AND(ArtifactsInput!$M$35,Inputs!$B$4&lt;&gt;"Chapter Hunt"),CHOOSE(ArtifactsInput!$N$35+1,15,18,21,24,27,30)*(1-EXP(-(0.2*B669)*5)),0)+IF(AND(ArtifactsInput!$M$22,Inputs!$B$4&lt;&gt;"Chapter Hunt"),CHOOSE(ArtifactsInput!$N$22+1,10,12,14,16,18,20)*((0*(((0.15*B669*5))^0/1)+1*(((0.15*B669*5))^1/1)+2*(((0.15*B669*5))^2/2)+3*(((0.15*B669*5))^3/6)+4*(((0.15*B669*5))^4/24)+5*(((0.15*B669*5))^5/120))/((((0.15*B669*5))^0/1)+(((0.15*B669*5))^1/1)+(((0.15*B669*5))^2/2)+(((0.15*B669*5))^3/6)+(((0.15*B669*5))^4/24)+(((0.15*B669*5))^5/120))),0)))/100)*(MIN(Skills!W14,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646">
      <c r="A646">
        <f>Skills!A15</f>
        <v/>
      </c>
      <c r="B646">
        <f>Skills!B15</f>
        <v/>
      </c>
      <c r="C646">
        <f>Inputs!$B$3&gt;=107</f>
        <v/>
      </c>
      <c r="D646">
        <f>IF(Skills!C15=1,60+Inputs!$B$25+Inputs!$B$29,IF(Skills!C15=2,90+Inputs!$B$26+Inputs!$B$29,IF(Skills!C15=3,120+Inputs!$B$27+Inputs!$B$29,MAX(0,(Inputs!$B$3-100)*3)+Inputs!$B$28+Inputs!$B$29)))</f>
        <v/>
      </c>
      <c r="E646">
        <f>INDEX(FactorTable!$B$2:$Y$301, MATCH(ROUND(MIN(300,MAX(1,D646)),0), FactorTable!$A$2:$A$301,0), Skills!M15+1)</f>
        <v/>
      </c>
      <c r="F646">
        <f>IF(Skills!N15=TRUE,(Skills!L15/10)*(E646/1000),Skills!L15/10)+Skills!O15</f>
        <v/>
      </c>
      <c r="G646">
        <f>Skills!G15*IF(Skills!H15&gt;0,IF(Inputs!$B$39="pvp",MIN(Skills!I15,15),Skills!I15)/Skills!H15,1)</f>
        <v/>
      </c>
      <c r="H646">
        <f>1-(1-Skills!J15/100)^Skills!K15</f>
        <v/>
      </c>
      <c r="I646" t="inlineStr">
        <is>
          <t>1</t>
        </is>
      </c>
      <c r="J646">
        <f>((Inputs!$B$6*(1+Inputs!$B$7/100))+(((Inputs!$B$12*(1+Inputs!$B$13/100))-(Inputs!$B$12*(1+Inputs!$B$13/100)))+0.25*(Inputs!$B$14-Inputs!$B$14))*(1+Inputs!$B$7/100))*(F646/100)</f>
        <v/>
      </c>
      <c r="K646">
        <f>J646*(1+((Inputs!$B$12*(1+Inputs!$B$13/100))*0.01+Inputs!$B$14*0.0025)/100)*(1+Inputs!$B$15/100)*(1+Inputs!$B$16/100)*(5000/(6000+Inputs!$B$43*(1-(100*(1-(1-Inputs!$B$19/100)*(1-CHOOSE(ArtifactsInput!$N$40+1,5,6,7,8,9,10)/100)^(ArtifactsInput!$M$40-ArtifactsInput!$M$40)))/100)))*(1+(Inputs!$B$24+((C662=TRUE)*(F662-Calc!F31))+((C649=TRUE)*(F649-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15="CRUEL_STAB",Inputs!$B$17+((C659=TRUE)*(F659-Calc!F28))+((IF(AND(Inputs!$B$39&lt;&gt;"pvp",Inputs!$B$44=0),1,IF(IF(Inputs!$B$39="pvp",15,Inputs!$B$44)-(B676)&lt;=0,1,MAX(0,IF(Inputs!$B$39="pvp",15,Inputs!$B$44)-MAX(5,B676))/(IF(Inputs!$B$39="pvp",15,Inputs!$B$44)-(B676))))*(IF(AND(ArtifactsInput!$M$42,((Inputs!$B$9+((C657=TRUE)*(F657-Calc!F26))+B665+(ArtifactsInput!$M$24-ArtifactsInput!$M$24)*CHOOSE(ArtifactsInput!$N$24+1,10,12,14,16,18,20)+IF(ArtifactsInput!$M$10,CHOOSE(ArtifactsInput!$N$10+1,15,18,21,24,27,30)*(IF(Inputs!$B$39="pvp",MIN(15,15)/15,IF(AND(Inputs!$B$39&lt;&gt;"pvp",Inputs!$B$44&gt;0),MIN(15,Inputs!$B$44)/(Inputs!$B$44),0))),0)))&gt;=100),MIN(100,((Inputs!$B$9+((C657=TRUE)*(F657-Calc!F26))+B665+(ArtifactsInput!$M$24-ArtifactsInput!$M$24)*CHOOSE(ArtifactsInput!$N$24+1,10,12,14,16,18,20)+IF(ArtifactsInput!$M$10,CHOOSE(ArtifactsInput!$N$10+1,15,18,21,24,27,30)*(IF(Inputs!$B$39="pvp",MIN(15,15)/15,IF(AND(Inputs!$B$39&lt;&gt;"pvp",Inputs!$B$44&gt;0),MIN(15,Inputs!$B$44)/(Inputs!$B$44),0))),0)))-100),0))*CHOOSE(ArtifactsInput!$N$42+1,0.6,0.72,0.84,0.96,1.08,1.2))),Inputs!$B$18+((C660=TRUE)*(F660-Calc!F29))+(IF(AND(Inputs!$B$39&lt;&gt;"pvp",Inputs!$B$44=0),1,IF(IF(Inputs!$B$39="pvp",15,Inputs!$B$44)-(B676)&lt;=0,1,MAX(0,IF(Inputs!$B$39="pvp",15,Inputs!$B$44)-MAX(5,B676))/(IF(Inputs!$B$39="pvp",15,Inputs!$B$44)-(B676))))*IF(AND(ArtifactsInput!$M$42,((Inputs!$B$9+((C657=TRUE)*(F657-Calc!F26))+B665+(ArtifactsInput!$M$24-ArtifactsInput!$M$24)*CHOOSE(ArtifactsInput!$N$24+1,10,12,14,16,18,20)+IF(ArtifactsInput!$M$10,CHOOSE(ArtifactsInput!$N$10+1,15,18,21,24,27,30)*(IF(Inputs!$B$39="pvp",MIN(15,15)/15,IF(AND(Inputs!$B$39&lt;&gt;"pvp",Inputs!$B$44&gt;0),MIN(15,Inputs!$B$44)/(Inputs!$B$44),0))),0)))&gt;=100),CHOOSE(ArtifactsInput!$N$42+1,40,48,56,64,72,80),0))))/100)*(((1+(((C653=TRUE)*F653*IF(AND(Inputs!$B$39&lt;&gt;"pvp",Inputs!$B$44&gt;0),(((R653-1)*MIN((Skills!Y22*(1+Inputs!$B$34/100)),(1/Q653))+MIN((Skills!Y22*(1+Inputs!$B$34/100)),MAX(0,Inputs!$B$44-((R653-1)*(1/Q653)))))/Inputs!$B$44),IF(Inputs!$B$39="pvp",MIN((Skills!Y22*(1+Inputs!$B$34/100)),15)/15,MIN(1,(Skills!Y22*(1+Inputs!$B$34/100))/(1/Q653)))))+((C634=TRUE)*F634*3)+((C636=TRUE)*F636*(1-EXP(-0.75*B669*5)))+((C655=TRUE)*(F655-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642=TRUE)*F642*IF(AND(Inputs!$B$39&lt;&gt;"pvp",Inputs!$B$44&gt;0),(((R642-1)*MIN((Skills!Y11*(1+Inputs!$B$34/100)),(1/Q642))+MIN((Skills!Y11*(1+Inputs!$B$34/100)),MAX(0,Inputs!$B$44-((R642-1)*(1/Q642)))))/Inputs!$B$44),IF(Inputs!$B$39="pvp",MIN((Skills!Y11*(1+Inputs!$B$34/100)),15)/15,MIN(1,(Skills!Y11*(1+Inputs!$B$34/100))/(1/Q642)))))/100)*(1+((C647=TRUE)*F647*IF(AND(Inputs!$B$39&lt;&gt;"pvp",Inputs!$B$44&gt;0),(((R647-1)*MIN((Skills!Y16*(1+Inputs!$B$34/100)),(1/Q647))+MIN((Skills!Y16*(1+Inputs!$B$34/100)),MAX(0,Inputs!$B$44-((R647-1)*(1/Q647)))))/Inputs!$B$44),IF(Inputs!$B$39="pvp",MIN((Skills!Y16*(1+Inputs!$B$34/100)),15)/15,MIN(1,(Skills!Y16*(1+Inputs!$B$34/100))/(1/Q647)))))/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667*I646)</f>
        <v/>
      </c>
      <c r="L646">
        <f>K646*(MIN(Inputs!$B$22+((C656=TRUE)*(F656-Calc!F25)),(Inputs!$B$23+((C661=TRUE)*(F661-Calc!F30))+IF(ArtifactsInput!$M$15,CHOOSE(ArtifactsInput!$N$15+1,25,30,35,40,45,50)/100*(Inputs!$B$11-Inputs!$B$11),0)))/100+(Inputs!$B$23+((C661=TRUE)*(F661-Calc!F30))+IF(ArtifactsInput!$M$15,CHOOSE(ArtifactsInput!$N$15+1,25,30,35,40,45,50)/100*(Inputs!$B$11-Inputs!$B$11),0))/100)/2</f>
        <v/>
      </c>
      <c r="M646">
        <f>L646*(1+((Inputs!$B$10+1)+((C658=TRUE)*(F658-Calc!F27))+B672+(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646">
        <f>L646*(1-MIN((Inputs!$B$9+((C657=TRUE)*(F657-Calc!F26))+B665+(ArtifactsInput!$M$24-ArtifactsInput!$M$24)*CHOOSE(ArtifactsInput!$N$24+1,10,12,14,16,18,20)+(IF(AND(Inputs!$B$39&lt;&gt;"pvp",Inputs!$B$44=0),1,IF(IF(Inputs!$B$39="pvp",15,Inputs!$B$44)-(B676)&lt;=0,1,MAX(0,IF(Inputs!$B$39="pvp",15,Inputs!$B$44)-MAX(5,B676))/(IF(Inputs!$B$39="pvp",15,Inputs!$B$44)-(B676))))*IF(AND(ArtifactsInput!$M$42,((Inputs!$B$9+((C657=TRUE)*(F657-Calc!F26))+B665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646*(MIN((Inputs!$B$9+((C657=TRUE)*(F657-Calc!F26))+B665+(ArtifactsInput!$M$24-ArtifactsInput!$M$24)*CHOOSE(ArtifactsInput!$N$24+1,10,12,14,16,18,20)+(IF(AND(Inputs!$B$39&lt;&gt;"pvp",Inputs!$B$44=0),1,IF(IF(Inputs!$B$39="pvp",15,Inputs!$B$44)-(B676)&lt;=0,1,MAX(0,IF(Inputs!$B$39="pvp",15,Inputs!$B$44)-MAX(5,B676))/(IF(Inputs!$B$39="pvp",15,Inputs!$B$44)-(B676))))*IF(AND(ArtifactsInput!$M$42,((Inputs!$B$9+((C657=TRUE)*(F657-Calc!F26))+B665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646">
        <f>(1-Summary!$B$11)*T646+Summary!$B$11*V646</f>
        <v/>
      </c>
      <c r="P646">
        <f>IF(B677=0,0,O646/B677)</f>
        <v/>
      </c>
      <c r="Q646">
        <f>IFERROR(1/IF(Inputs!$B$39="pvp",15,MAX(0.1,Skills!D15-IF(TRUE=TRUE,Inputs!$B$32,0))),0)</f>
        <v/>
      </c>
      <c r="R646">
        <f>IF(AND(Inputs!$B$39&lt;&gt;"pvp",Inputs!$B$44&gt;0),IF(MAX(0,Inputs!$B$44-B676)&lt;=0,0,(INT(MAX(0,Inputs!$B$44-B676)/IF(Inputs!$B$39="pvp",15,MAX(0.1,Skills!D15-IF(TRUE=TRUE,Inputs!$B$32,0))))+1)),0)</f>
        <v/>
      </c>
      <c r="S646">
        <f>IFERROR(O646/N646,0)</f>
        <v/>
      </c>
      <c r="T646">
        <f>IF(C646,(H646*N646*IF(AND(Inputs!$B$39&lt;&gt;"pvp",Inputs!$B$44&gt;0),((Skills!G15*((R646-1)*IF(Skills!H15&gt;0,Skills!I15/Skills!H15,1)+IF(Skills!H15&gt;0,MIN(Skills!I15,MAX(0,MAX(0,Inputs!$B$44-B676)-((R646-1)*IF(Inputs!$B$39="pvp",15,MAX(0.1,Skills!D15-IF(TRUE=TRUE,Inputs!$B$32,0))))))/Skills!H15,1)))/Inputs!$B$44),G646*Q646))*IF(Inputs!$B$39="pvp",1,1+(Inputs!$B$20+0+Skills!P15+B666+(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Hunt"),CHOOSE(ArtifactsInput!$N$35+1,15,18,21,24,27,30)*(1-EXP(-(0.2*B669)*5)),0)+IF(AND(ArtifactsInput!$M$22,Inputs!$B$4&lt;&gt;"Chapter Hunt"),CHOOSE(ArtifactsInput!$N$22+1,10,12,14,16,18,20)*((0*(((0.15*B669*5))^0/1)+1*(((0.15*B669*5))^1/1)+2*(((0.15*B669*5))^2/2)+3*(((0.15*B669*5))^3/6)+4*(((0.15*B669*5))^4/24)+5*(((0.15*B669*5))^5/120))/((((0.15*B669*5))^0/1)+(((0.15*B669*5))^1/1)+(((0.15*B669*5))^2/2)+(((0.15*B669*5))^3/6)+(((0.15*B669*5))^4/24)+(((0.15*B669*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646*(1-MIN(100,(Inputs!$B$9+((C657=TRUE)*(F657-Calc!F26))+B665+(ArtifactsInput!$M$24-ArtifactsInput!$M$24)*CHOOSE(ArtifactsInput!$N$24+1,10,12,14,16,18,20)+(IF(AND(Inputs!$B$39&lt;&gt;"pvp",Inputs!$B$44=0),1,IF(IF(Inputs!$B$39="pvp",15,Inputs!$B$44)-(B676)&lt;=0,1,MAX(0,IF(Inputs!$B$39="pvp",15,Inputs!$B$44)-MAX(5,B676))/(IF(Inputs!$B$39="pvp",15,Inputs!$B$44)-(B676))))*IF(AND(ArtifactsInput!$M$42,((Inputs!$B$9+((C657=TRUE)*(F657-Calc!F26))+B665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646*(MIN(100,(Inputs!$B$9+((C657=TRUE)*(F657-Calc!F26))+B665+(ArtifactsInput!$M$24-ArtifactsInput!$M$24)*CHOOSE(ArtifactsInput!$N$24+1,10,12,14,16,18,20)+(IF(AND(Inputs!$B$39&lt;&gt;"pvp",Inputs!$B$44=0),1,IF(IF(Inputs!$B$39="pvp",15,Inputs!$B$44)-(B676)&lt;=0,1,MAX(0,IF(Inputs!$B$39="pvp",15,Inputs!$B$44)-MAX(5,B676))/(IF(Inputs!$B$39="pvp",15,Inputs!$B$44)-(B676))))*IF(AND(ArtifactsInput!$M$42,((Inputs!$B$9+((C657=TRUE)*(F657-Calc!F26))+B665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646*(1-MIN(100,(Inputs!$B$9+((C657=TRUE)*(F657-Calc!F26))+B665+(ArtifactsInput!$M$24-ArtifactsInput!$M$24)*CHOOSE(ArtifactsInput!$N$24+1,10,12,14,16,18,20)+(IF(AND(Inputs!$B$39&lt;&gt;"pvp",Inputs!$B$44=0),1,IF(IF(Inputs!$B$39="pvp",15,Inputs!$B$44)-(B676)&lt;=0,1,MAX(0,IF(Inputs!$B$39="pvp",15,Inputs!$B$44)-MAX(5,B676))/(IF(Inputs!$B$39="pvp",15,Inputs!$B$44)-(B676))))*IF(AND(ArtifactsInput!$M$42,((Inputs!$B$9+((C657=TRUE)*(F657-Calc!F26))+B665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646*(MIN(100,(Inputs!$B$9+((C657=TRUE)*(F657-Calc!F26))+B665+(ArtifactsInput!$M$24-ArtifactsInput!$M$24)*CHOOSE(ArtifactsInput!$N$24+1,10,12,14,16,18,20)+(IF(AND(Inputs!$B$39&lt;&gt;"pvp",Inputs!$B$44=0),1,IF(IF(Inputs!$B$39="pvp",15,Inputs!$B$44)-(B676)&lt;=0,1,MAX(0,IF(Inputs!$B$39="pvp",15,Inputs!$B$44)-MAX(5,B676))/(IF(Inputs!$B$39="pvp",15,Inputs!$B$44)-(B676))))*IF(AND(ArtifactsInput!$M$42,((Inputs!$B$9+((C657=TRUE)*(F657-Calc!F26))+B665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646">
        <f>IF(C646,(H646*N646*IF(AND(Inputs!$B$39&lt;&gt;"pvp",Inputs!$B$44&gt;0),((Skills!G15*((R646-1)*IF(Skills!H15&gt;0,Skills!I15/Skills!H15,1)+IF(Skills!H15&gt;0,MIN(Skills!I15,MAX(0,MAX(0,Inputs!$B$44-B676)-((R646-1)*IF(Inputs!$B$39="pvp",15,MAX(0.1,Skills!D15-IF(TRUE=TRUE,Inputs!$B$32,0))))))/Skills!H15,1)))/Inputs!$B$44),G646*Q646))*IF(Inputs!$B$39="pvp",1,(1+(Inputs!$B$21+Skills!Q15+B666+(IF(ArtifactsInput!$M$33,CHOOSE(ArtifactsInput!$N$33+1,30,36,42,48,54,60),0))+(IF(AND(ArtifactsInput!$M$35,Inputs!$B$4&lt;&gt;"Chapter Hunt"),CHOOSE(ArtifactsInput!$N$35+1,15,18,21,24,27,30)*(1-EXP(-(0.2*B669)*5)),0)+IF(AND(ArtifactsInput!$M$22,Inputs!$B$4&lt;&gt;"Chapter Hunt"),CHOOSE(ArtifactsInput!$N$22+1,10,12,14,16,18,20)*((0*(((0.15*B669*5))^0/1)+1*(((0.15*B669*5))^1/1)+2*(((0.15*B669*5))^2/2)+3*(((0.15*B669*5))^3/6)+4*(((0.15*B669*5))^4/24)+5*(((0.15*B669*5))^5/120))/((((0.15*B669*5))^0/1)+(((0.15*B669*5))^1/1)+(((0.15*B669*5))^2/2)+(((0.15*B669*5))^3/6)+(((0.15*B669*5))^4/24)+(((0.15*B669*5))^5/120))),0)))/100)*(MIN(MIN(5,0.5*IF(Inputs!$B$3&gt;=75,0.75,0.5)*B669*(1/Q635))*Skills!V15,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647">
      <c r="A647">
        <f>Skills!A16</f>
        <v/>
      </c>
      <c r="B647">
        <f>Skills!B16</f>
        <v/>
      </c>
      <c r="C647">
        <f>Inputs!$B$3&gt;=110</f>
        <v/>
      </c>
      <c r="D647">
        <f>IF(Skills!C16=1,60+Inputs!$B$25+Inputs!$B$29,IF(Skills!C16=2,90+Inputs!$B$26+Inputs!$B$29,IF(Skills!C16=3,120+Inputs!$B$27+Inputs!$B$29,MAX(0,(Inputs!$B$3-100)*3)+Inputs!$B$28+Inputs!$B$29)))</f>
        <v/>
      </c>
      <c r="E647">
        <f>INDEX(FactorTable!$B$2:$Y$301, MATCH(ROUND(MIN(300,MAX(1,D647)),0), FactorTable!$A$2:$A$301,0), Skills!M16+1)</f>
        <v/>
      </c>
      <c r="F647">
        <f>IF(Skills!N16=TRUE,(Skills!L16/10)*(E647/1000),Skills!L16/10)+Skills!O16</f>
        <v/>
      </c>
      <c r="G647">
        <f>Skills!G16*IF(Skills!H16&gt;0,IF(Inputs!$B$39="pvp",MIN(Skills!I16,15),Skills!I16)/Skills!H16,1)</f>
        <v/>
      </c>
      <c r="H647">
        <f>1-(1-Skills!J16/100)^Skills!K16</f>
        <v/>
      </c>
      <c r="I647" t="inlineStr">
        <is>
          <t>1</t>
        </is>
      </c>
      <c r="J647" t="inlineStr"/>
      <c r="K647" t="inlineStr"/>
      <c r="L647" t="inlineStr"/>
      <c r="M647" t="inlineStr"/>
      <c r="N647" t="inlineStr"/>
      <c r="O647">
        <f>(1-Summary!$B$11)*T647+Summary!$B$11*V647</f>
        <v/>
      </c>
      <c r="P647">
        <f>IF(B677=0,0,O647/B677)</f>
        <v/>
      </c>
      <c r="Q647">
        <f>IFERROR(1/IF(Inputs!$B$39="pvp",15,MAX(0.1,Skills!D16-IF(TRUE=TRUE,Inputs!$B$32,0))),0)</f>
        <v/>
      </c>
      <c r="R647">
        <f>IF(AND(Inputs!$B$39&lt;&gt;"pvp",Inputs!$B$44&gt;0),IF(Inputs!$B$44&lt;=0,0,(INT(Inputs!$B$44/IF(Inputs!$B$39="pvp",15,MAX(0.1,Skills!D16-IF(TRUE=TRUE,Inputs!$B$32,0))))+1)),0)</f>
        <v/>
      </c>
      <c r="S647">
        <f>IFERROR(O647/N647,0)</f>
        <v/>
      </c>
      <c r="T647" t="n">
        <v>0</v>
      </c>
      <c r="V647" t="n">
        <v>0</v>
      </c>
    </row>
    <row r="648">
      <c r="A648">
        <f>Skills!A17</f>
        <v/>
      </c>
      <c r="B648">
        <f>Skills!B17</f>
        <v/>
      </c>
      <c r="C648">
        <f>Inputs!$B$3&gt;=115</f>
        <v/>
      </c>
      <c r="D648">
        <f>IF(Skills!C17=1,60+Inputs!$B$25+Inputs!$B$29,IF(Skills!C17=2,90+Inputs!$B$26+Inputs!$B$29,IF(Skills!C17=3,120+Inputs!$B$27+Inputs!$B$29,MAX(0,(Inputs!$B$3-100)*3)+Inputs!$B$28+Inputs!$B$29)))</f>
        <v/>
      </c>
      <c r="E648">
        <f>INDEX(FactorTable!$B$2:$Y$301, MATCH(ROUND(MIN(300,MAX(1,D648)),0), FactorTable!$A$2:$A$301,0), Skills!M17+1)</f>
        <v/>
      </c>
      <c r="F648">
        <f>IF(Skills!N17=TRUE,(Skills!L17/10)*(E648/1000),Skills!L17/10)+Skills!O17</f>
        <v/>
      </c>
      <c r="G648">
        <f>Skills!G17*IF(Skills!H17&gt;0,IF(Inputs!$B$39="pvp",MIN(Skills!I17,15),Skills!I17)/Skills!H17,1)</f>
        <v/>
      </c>
      <c r="H648">
        <f>1-(1-Skills!J17/100)^Skills!K17</f>
        <v/>
      </c>
      <c r="I648" t="inlineStr">
        <is>
          <t>1</t>
        </is>
      </c>
      <c r="J648">
        <f>((Inputs!$B$6*(1+Inputs!$B$7/100))+(((Inputs!$B$12*(1+Inputs!$B$13/100))-(Inputs!$B$12*(1+Inputs!$B$13/100)))+0.25*(Inputs!$B$14-Inputs!$B$14))*(1+Inputs!$B$7/100))*(F648/100)</f>
        <v/>
      </c>
      <c r="K648">
        <f>J648*(1+((Inputs!$B$12*(1+Inputs!$B$13/100))*0.01+Inputs!$B$14*0.0025)/100)*(1+Inputs!$B$15/100)*(1+Inputs!$B$16/100)*(5000/(6000+Inputs!$B$43*(1-(100*(1-(1-Inputs!$B$19/100)*(1-CHOOSE(ArtifactsInput!$N$40+1,5,6,7,8,9,10)/100)^(ArtifactsInput!$M$40-ArtifactsInput!$M$40)))/100)))*(1+(Inputs!$B$24+((C662=TRUE)*(F662-Calc!F31))+((C649=TRUE)*(F649-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17="CRUEL_STAB",Inputs!$B$17+((C659=TRUE)*(F659-Calc!F28))+((IF(AND(Inputs!$B$39&lt;&gt;"pvp",Inputs!$B$44=0),1,IF(IF(Inputs!$B$39="pvp",15,Inputs!$B$44)-(B676)&lt;=0,1,MAX(0,IF(Inputs!$B$39="pvp",15,Inputs!$B$44)-MAX(5,B676))/(IF(Inputs!$B$39="pvp",15,Inputs!$B$44)-(B676))))*(IF(AND(ArtifactsInput!$M$42,((Inputs!$B$9+((C657=TRUE)*(F657-Calc!F26))+B665+(ArtifactsInput!$M$24-ArtifactsInput!$M$24)*CHOOSE(ArtifactsInput!$N$24+1,10,12,14,16,18,20)+IF(ArtifactsInput!$M$10,CHOOSE(ArtifactsInput!$N$10+1,15,18,21,24,27,30)*(IF(Inputs!$B$39="pvp",MIN(15,15)/15,IF(AND(Inputs!$B$39&lt;&gt;"pvp",Inputs!$B$44&gt;0),MIN(15,Inputs!$B$44)/(Inputs!$B$44),0))),0)))&gt;=100),MIN(100,((Inputs!$B$9+((C657=TRUE)*(F657-Calc!F26))+B665+(ArtifactsInput!$M$24-ArtifactsInput!$M$24)*CHOOSE(ArtifactsInput!$N$24+1,10,12,14,16,18,20)+IF(ArtifactsInput!$M$10,CHOOSE(ArtifactsInput!$N$10+1,15,18,21,24,27,30)*(IF(Inputs!$B$39="pvp",MIN(15,15)/15,IF(AND(Inputs!$B$39&lt;&gt;"pvp",Inputs!$B$44&gt;0),MIN(15,Inputs!$B$44)/(Inputs!$B$44),0))),0)))-100),0))*CHOOSE(ArtifactsInput!$N$42+1,0.6,0.72,0.84,0.96,1.08,1.2))),Inputs!$B$18+((C660=TRUE)*(F660-Calc!F29))+(IF(AND(Inputs!$B$39&lt;&gt;"pvp",Inputs!$B$44=0),1,IF(IF(Inputs!$B$39="pvp",15,Inputs!$B$44)-(B676)&lt;=0,1,MAX(0,IF(Inputs!$B$39="pvp",15,Inputs!$B$44)-MAX(5,B676))/(IF(Inputs!$B$39="pvp",15,Inputs!$B$44)-(B676))))*IF(AND(ArtifactsInput!$M$42,((Inputs!$B$9+((C657=TRUE)*(F657-Calc!F26))+B665+(ArtifactsInput!$M$24-ArtifactsInput!$M$24)*CHOOSE(ArtifactsInput!$N$24+1,10,12,14,16,18,20)+IF(ArtifactsInput!$M$10,CHOOSE(ArtifactsInput!$N$10+1,15,18,21,24,27,30)*(IF(Inputs!$B$39="pvp",MIN(15,15)/15,IF(AND(Inputs!$B$39&lt;&gt;"pvp",Inputs!$B$44&gt;0),MIN(15,Inputs!$B$44)/(Inputs!$B$44),0))),0)))&gt;=100),CHOOSE(ArtifactsInput!$N$42+1,40,48,56,64,72,80),0))))/100)*(((1+(((C653=TRUE)*F653*IF(AND(Inputs!$B$39&lt;&gt;"pvp",Inputs!$B$44&gt;0),(((R653-1)*MIN((Skills!Y22*(1+Inputs!$B$34/100)),(1/Q653))+MIN((Skills!Y22*(1+Inputs!$B$34/100)),MAX(0,Inputs!$B$44-((R653-1)*(1/Q653)))))/Inputs!$B$44),IF(Inputs!$B$39="pvp",MIN((Skills!Y22*(1+Inputs!$B$34/100)),15)/15,MIN(1,(Skills!Y22*(1+Inputs!$B$34/100))/(1/Q653)))))+((C634=TRUE)*F634*3)+((C636=TRUE)*F636*(1-EXP(-0.75*B669*5)))+((C655=TRUE)*(F655-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642=TRUE)*F642*IF(AND(Inputs!$B$39&lt;&gt;"pvp",Inputs!$B$44&gt;0),(((R642-1)*MIN((Skills!Y11*(1+Inputs!$B$34/100)),(1/Q642))+MIN((Skills!Y11*(1+Inputs!$B$34/100)),MAX(0,Inputs!$B$44-((R642-1)*(1/Q642)))))/Inputs!$B$44),IF(Inputs!$B$39="pvp",MIN((Skills!Y11*(1+Inputs!$B$34/100)),15)/15,MIN(1,(Skills!Y11*(1+Inputs!$B$34/100))/(1/Q642)))))/100)*(1+((C647=TRUE)*F647*IF(AND(Inputs!$B$39&lt;&gt;"pvp",Inputs!$B$44&gt;0),(((R647-1)*MIN((Skills!Y16*(1+Inputs!$B$34/100)),(1/Q647))+MIN((Skills!Y16*(1+Inputs!$B$34/100)),MAX(0,Inputs!$B$44-((R647-1)*(1/Q647)))))/Inputs!$B$44),IF(Inputs!$B$39="pvp",MIN((Skills!Y16*(1+Inputs!$B$34/100)),15)/15,MIN(1,(Skills!Y16*(1+Inputs!$B$34/100))/(1/Q647)))))/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667*I648)</f>
        <v/>
      </c>
      <c r="L648">
        <f>K648*(MIN(Inputs!$B$22+((C656=TRUE)*(F656-Calc!F25)),(Inputs!$B$23+((C661=TRUE)*(F661-Calc!F30))+IF(ArtifactsInput!$M$15,CHOOSE(ArtifactsInput!$N$15+1,25,30,35,40,45,50)/100*(Inputs!$B$11-Inputs!$B$11),0)))/100+(Inputs!$B$23+((C661=TRUE)*(F661-Calc!F30))+IF(ArtifactsInput!$M$15,CHOOSE(ArtifactsInput!$N$15+1,25,30,35,40,45,50)/100*(Inputs!$B$11-Inputs!$B$11),0))/100)/2</f>
        <v/>
      </c>
      <c r="M648">
        <f>L648*(1+((Inputs!$B$10+1)+((C658=TRUE)*(F658-Calc!F27))+B672+(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648">
        <f>L648*(1-MIN((Inputs!$B$9+((C657=TRUE)*(F657-Calc!F26))+B665+(ArtifactsInput!$M$24-ArtifactsInput!$M$24)*CHOOSE(ArtifactsInput!$N$24+1,10,12,14,16,18,20)+(IF(AND(Inputs!$B$39&lt;&gt;"pvp",Inputs!$B$44=0),1,IF(IF(Inputs!$B$39="pvp",15,Inputs!$B$44)-(B676)&lt;=0,1,MAX(0,IF(Inputs!$B$39="pvp",15,Inputs!$B$44)-MAX(5,B676))/(IF(Inputs!$B$39="pvp",15,Inputs!$B$44)-(B676))))*IF(AND(ArtifactsInput!$M$42,((Inputs!$B$9+((C657=TRUE)*(F657-Calc!F26))+B665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648*(MIN((Inputs!$B$9+((C657=TRUE)*(F657-Calc!F26))+B665+(ArtifactsInput!$M$24-ArtifactsInput!$M$24)*CHOOSE(ArtifactsInput!$N$24+1,10,12,14,16,18,20)+(IF(AND(Inputs!$B$39&lt;&gt;"pvp",Inputs!$B$44=0),1,IF(IF(Inputs!$B$39="pvp",15,Inputs!$B$44)-(B676)&lt;=0,1,MAX(0,IF(Inputs!$B$39="pvp",15,Inputs!$B$44)-MAX(5,B676))/(IF(Inputs!$B$39="pvp",15,Inputs!$B$44)-(B676))))*IF(AND(ArtifactsInput!$M$42,((Inputs!$B$9+((C657=TRUE)*(F657-Calc!F26))+B665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648">
        <f>(1-Summary!$B$11)*T648+Summary!$B$11*V648</f>
        <v/>
      </c>
      <c r="P648">
        <f>IF(B677=0,0,O648/B677)</f>
        <v/>
      </c>
      <c r="Q648" t="n">
        <v>0</v>
      </c>
      <c r="R648" t="n">
        <v>0</v>
      </c>
      <c r="S648">
        <f>IFERROR(O648/N648,0)</f>
        <v/>
      </c>
      <c r="T648">
        <f>IF(C648,(Inputs!$B$38*0.2*N648)*IF(Inputs!$B$39="pvp",1,1+(Inputs!$B$20+0+Skills!P17+B666+(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Hunt"),CHOOSE(ArtifactsInput!$N$35+1,15,18,21,24,27,30)*(1-EXP(-(0.2*B669)*5)),0)+IF(AND(ArtifactsInput!$M$22,Inputs!$B$4&lt;&gt;"Chapter Hunt"),CHOOSE(ArtifactsInput!$N$22+1,10,12,14,16,18,20)*((0*(((0.15*B669*5))^0/1)+1*(((0.15*B669*5))^1/1)+2*(((0.15*B669*5))^2/2)+3*(((0.15*B669*5))^3/6)+4*(((0.15*B669*5))^4/24)+5*(((0.15*B669*5))^5/120))/((((0.15*B669*5))^0/1)+(((0.15*B669*5))^1/1)+(((0.15*B669*5))^2/2)+(((0.15*B669*5))^3/6)+(((0.15*B669*5))^4/24)+(((0.15*B669*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648*(1-MIN(100,(Inputs!$B$9+((C657=TRUE)*(F657-Calc!F26))+B665+(ArtifactsInput!$M$24-ArtifactsInput!$M$24)*CHOOSE(ArtifactsInput!$N$24+1,10,12,14,16,18,20)+(IF(AND(Inputs!$B$39&lt;&gt;"pvp",Inputs!$B$44=0),1,IF(IF(Inputs!$B$39="pvp",15,Inputs!$B$44)-(B676)&lt;=0,1,MAX(0,IF(Inputs!$B$39="pvp",15,Inputs!$B$44)-MAX(5,B676))/(IF(Inputs!$B$39="pvp",15,Inputs!$B$44)-(B676))))*IF(AND(ArtifactsInput!$M$42,((Inputs!$B$9+((C657=TRUE)*(F657-Calc!F26))+B665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648*(MIN(100,(Inputs!$B$9+((C657=TRUE)*(F657-Calc!F26))+B665+(ArtifactsInput!$M$24-ArtifactsInput!$M$24)*CHOOSE(ArtifactsInput!$N$24+1,10,12,14,16,18,20)+(IF(AND(Inputs!$B$39&lt;&gt;"pvp",Inputs!$B$44=0),1,IF(IF(Inputs!$B$39="pvp",15,Inputs!$B$44)-(B676)&lt;=0,1,MAX(0,IF(Inputs!$B$39="pvp",15,Inputs!$B$44)-MAX(5,B676))/(IF(Inputs!$B$39="pvp",15,Inputs!$B$44)-(B676))))*IF(AND(ArtifactsInput!$M$42,((Inputs!$B$9+((C657=TRUE)*(F657-Calc!F26))+B665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648*(1-MIN(100,(Inputs!$B$9+((C657=TRUE)*(F657-Calc!F26))+B665+(ArtifactsInput!$M$24-ArtifactsInput!$M$24)*CHOOSE(ArtifactsInput!$N$24+1,10,12,14,16,18,20)+(IF(AND(Inputs!$B$39&lt;&gt;"pvp",Inputs!$B$44=0),1,IF(IF(Inputs!$B$39="pvp",15,Inputs!$B$44)-(B676)&lt;=0,1,MAX(0,IF(Inputs!$B$39="pvp",15,Inputs!$B$44)-MAX(5,B676))/(IF(Inputs!$B$39="pvp",15,Inputs!$B$44)-(B676))))*IF(AND(ArtifactsInput!$M$42,((Inputs!$B$9+((C657=TRUE)*(F657-Calc!F26))+B665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648*(MIN(100,(Inputs!$B$9+((C657=TRUE)*(F657-Calc!F26))+B665+(ArtifactsInput!$M$24-ArtifactsInput!$M$24)*CHOOSE(ArtifactsInput!$N$24+1,10,12,14,16,18,20)+(IF(AND(Inputs!$B$39&lt;&gt;"pvp",Inputs!$B$44=0),1,IF(IF(Inputs!$B$39="pvp",15,Inputs!$B$44)-(B676)&lt;=0,1,MAX(0,IF(Inputs!$B$39="pvp",15,Inputs!$B$44)-MAX(5,B676))/(IF(Inputs!$B$39="pvp",15,Inputs!$B$44)-(B676))))*IF(AND(ArtifactsInput!$M$42,((Inputs!$B$9+((C657=TRUE)*(F657-Calc!F26))+B665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648">
        <f>IF(C648,(Inputs!$B$38*0.2*N648)*IF(Inputs!$B$39="pvp",1,(1+(Inputs!$B$21+Skills!Q17+B666+(IF(ArtifactsInput!$M$33,CHOOSE(ArtifactsInput!$N$33+1,30,36,42,48,54,60),0))+(IF(AND(ArtifactsInput!$M$35,Inputs!$B$4&lt;&gt;"Chapter Hunt"),CHOOSE(ArtifactsInput!$N$35+1,15,18,21,24,27,30)*(1-EXP(-(0.2*B669)*5)),0)+IF(AND(ArtifactsInput!$M$22,Inputs!$B$4&lt;&gt;"Chapter Hunt"),CHOOSE(ArtifactsInput!$N$22+1,10,12,14,16,18,20)*((0*(((0.15*B669*5))^0/1)+1*(((0.15*B669*5))^1/1)+2*(((0.15*B669*5))^2/2)+3*(((0.15*B669*5))^3/6)+4*(((0.15*B669*5))^4/24)+5*(((0.15*B669*5))^5/120))/((((0.15*B669*5))^0/1)+(((0.15*B669*5))^1/1)+(((0.15*B669*5))^2/2)+(((0.15*B669*5))^3/6)+(((0.15*B669*5))^4/24)+(((0.15*B669*5))^5/120))),0)))/100)*(MIN(Skills!W17,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649">
      <c r="A649">
        <f>Skills!A18</f>
        <v/>
      </c>
      <c r="B649">
        <f>Skills!B18</f>
        <v/>
      </c>
      <c r="C649">
        <f>Inputs!$B$3&gt;=115</f>
        <v/>
      </c>
      <c r="D649">
        <f>IF(Skills!C18=1,60+Inputs!$B$25+Inputs!$B$29,IF(Skills!C18=2,90+Inputs!$B$26+Inputs!$B$29,IF(Skills!C18=3,120+Inputs!$B$27+Inputs!$B$29,MAX(0,(Inputs!$B$3-100)*3)+Inputs!$B$28+Inputs!$B$29)))</f>
        <v/>
      </c>
      <c r="E649">
        <f>INDEX(FactorTable!$B$2:$Y$301, MATCH(ROUND(MIN(300,MAX(1,D649)),0), FactorTable!$A$2:$A$301,0), Skills!M18+1)</f>
        <v/>
      </c>
      <c r="F649">
        <f>IF(Skills!N18=TRUE,(Skills!L18/10)*(E649/1000),Skills!L18/10)+Skills!O18</f>
        <v/>
      </c>
      <c r="G649">
        <f>Skills!G18*IF(Skills!H18&gt;0,IF(Inputs!$B$39="pvp",MIN(Skills!I18,15),Skills!I18)/Skills!H18,1)</f>
        <v/>
      </c>
      <c r="H649">
        <f>1-(1-Skills!J18/100)^Skills!K18</f>
        <v/>
      </c>
      <c r="I649" t="inlineStr">
        <is>
          <t>1</t>
        </is>
      </c>
      <c r="J649" t="inlineStr"/>
      <c r="K649" t="inlineStr"/>
      <c r="L649" t="inlineStr"/>
      <c r="M649" t="inlineStr"/>
      <c r="N649" t="inlineStr"/>
      <c r="O649">
        <f>(1-Summary!$B$11)*T649+Summary!$B$11*V649</f>
        <v/>
      </c>
      <c r="P649">
        <f>IF(B677=0,0,O649/B677)</f>
        <v/>
      </c>
      <c r="Q649" t="n">
        <v>0</v>
      </c>
      <c r="R649" t="n">
        <v>0</v>
      </c>
      <c r="S649">
        <f>IFERROR(O649/N649,0)</f>
        <v/>
      </c>
      <c r="T649" t="n">
        <v>0</v>
      </c>
      <c r="V649" t="n">
        <v>0</v>
      </c>
    </row>
    <row r="650">
      <c r="A650">
        <f>Skills!A19</f>
        <v/>
      </c>
      <c r="B650">
        <f>Skills!B19</f>
        <v/>
      </c>
      <c r="C650">
        <f>Inputs!$B$3&gt;=100</f>
        <v/>
      </c>
      <c r="D650">
        <f>IF(Skills!C19=1,60+Inputs!$B$25+Inputs!$B$29,IF(Skills!C19=2,90+Inputs!$B$26+Inputs!$B$29,IF(Skills!C19=3,120+Inputs!$B$27+Inputs!$B$29,MAX(0,(Inputs!$B$3-100)*3)+Inputs!$B$28+Inputs!$B$29)))</f>
        <v/>
      </c>
      <c r="E650">
        <f>INDEX(FactorTable!$B$2:$Y$301, MATCH(ROUND(MIN(300,MAX(1,D650)),0), FactorTable!$A$2:$A$301,0), Skills!M19+1)</f>
        <v/>
      </c>
      <c r="F650">
        <f>IF(Skills!N19=TRUE,(Skills!L19/10)*(E650/1000),Skills!L19/10)+Skills!O19</f>
        <v/>
      </c>
      <c r="G650">
        <f>Skills!G19*IF(Skills!H19&gt;0,IF(Inputs!$B$39="pvp",MIN(Skills!I19,15),Skills!I19)/Skills!H19,1)</f>
        <v/>
      </c>
      <c r="H650">
        <f>1-(1-Skills!J19/100)^Skills!K19</f>
        <v/>
      </c>
      <c r="I650" t="inlineStr">
        <is>
          <t>1</t>
        </is>
      </c>
      <c r="J650" t="inlineStr"/>
      <c r="K650" t="inlineStr"/>
      <c r="L650" t="inlineStr"/>
      <c r="M650" t="inlineStr"/>
      <c r="N650" t="inlineStr"/>
      <c r="O650">
        <f>(1-Summary!$B$11)*T650+Summary!$B$11*V650</f>
        <v/>
      </c>
      <c r="P650">
        <f>IF(B677=0,0,O650/B677)</f>
        <v/>
      </c>
      <c r="Q650" t="n">
        <v>0</v>
      </c>
      <c r="R650" t="n">
        <v>0</v>
      </c>
      <c r="S650">
        <f>IFERROR(O650/N650,0)</f>
        <v/>
      </c>
      <c r="T650" t="n">
        <v>0</v>
      </c>
      <c r="V650" t="n">
        <v>0</v>
      </c>
    </row>
    <row r="651">
      <c r="A651">
        <f>Skills!A20</f>
        <v/>
      </c>
      <c r="B651">
        <f>Skills!B20</f>
        <v/>
      </c>
      <c r="C651">
        <f>TRUE</f>
        <v/>
      </c>
      <c r="D651">
        <f>IF(Skills!C20=1,60+Inputs!$B$25+Inputs!$B$29,IF(Skills!C20=2,90+Inputs!$B$26+Inputs!$B$29,IF(Skills!C20=3,120+Inputs!$B$27+Inputs!$B$29,MAX(0,(Inputs!$B$3-100)*3)+Inputs!$B$28+Inputs!$B$29)))</f>
        <v/>
      </c>
      <c r="E651">
        <f>INDEX(FactorTable!$B$2:$Y$301, MATCH(ROUND(MIN(300,MAX(1,D651)),0), FactorTable!$A$2:$A$301,0), Skills!M20+1)</f>
        <v/>
      </c>
      <c r="F651">
        <f>IF(Skills!N20=TRUE,(Skills!L20/10)*(E651/1000),Skills!L20/10)+Skills!O20</f>
        <v/>
      </c>
      <c r="G651">
        <f>Skills!G20*IF(Skills!H20&gt;0,IF(Inputs!$B$39="pvp",MIN(Skills!I20,15),Skills!I20)/Skills!H20,1)</f>
        <v/>
      </c>
      <c r="H651">
        <f>1-(1-Skills!J20/100)^Skills!K20</f>
        <v/>
      </c>
      <c r="I651" t="inlineStr">
        <is>
          <t>1</t>
        </is>
      </c>
      <c r="J651" t="inlineStr"/>
      <c r="K651" t="inlineStr"/>
      <c r="L651" t="inlineStr"/>
      <c r="M651" t="inlineStr"/>
      <c r="N651" t="inlineStr"/>
      <c r="O651">
        <f>(1-Summary!$B$11)*T651+Summary!$B$11*V651</f>
        <v/>
      </c>
      <c r="P651">
        <f>IF(B677=0,0,O651/B677)</f>
        <v/>
      </c>
      <c r="Q651">
        <f>IFERROR(1/IF(Inputs!$B$39="pvp",15,MAX(0.1,Skills!D20-IF(TRUE=TRUE,Inputs!$B$32,0))),0)</f>
        <v/>
      </c>
      <c r="R651">
        <f>IF(AND(Inputs!$B$39&lt;&gt;"pvp",Inputs!$B$44&gt;0),IF(Inputs!$B$44&lt;=0,0,(INT(Inputs!$B$44/IF(Inputs!$B$39="pvp",15,MAX(0.1,Skills!D20-IF(TRUE=TRUE,Inputs!$B$32,0))))+1)),0)</f>
        <v/>
      </c>
      <c r="S651">
        <f>IFERROR(O651/N651,0)</f>
        <v/>
      </c>
      <c r="T651" t="n">
        <v>0</v>
      </c>
      <c r="V651" t="n">
        <v>0</v>
      </c>
    </row>
    <row r="652">
      <c r="A652">
        <f>Skills!A21</f>
        <v/>
      </c>
      <c r="B652">
        <f>Skills!B21</f>
        <v/>
      </c>
      <c r="C652">
        <f>Inputs!$B$3&gt;=15</f>
        <v/>
      </c>
      <c r="D652">
        <f>IF(Skills!C21=1,60+Inputs!$B$25+Inputs!$B$29,IF(Skills!C21=2,90+Inputs!$B$26+Inputs!$B$29,IF(Skills!C21=3,120+Inputs!$B$27+Inputs!$B$29,MAX(0,(Inputs!$B$3-100)*3)+Inputs!$B$28+Inputs!$B$29)))</f>
        <v/>
      </c>
      <c r="E652">
        <f>INDEX(FactorTable!$B$2:$Y$301, MATCH(ROUND(MIN(300,MAX(1,D652)),0), FactorTable!$A$2:$A$301,0), Skills!M21+1)</f>
        <v/>
      </c>
      <c r="F652">
        <f>IF(Skills!N21=TRUE,(Skills!L21/10)*(E652/1000),Skills!L21/10)+Skills!O21</f>
        <v/>
      </c>
      <c r="G652">
        <f>Skills!G21*IF(Skills!H21&gt;0,IF(Inputs!$B$39="pvp",MIN(Skills!I21,15),Skills!I21)/Skills!H21,1)</f>
        <v/>
      </c>
      <c r="H652">
        <f>1-(1-Skills!J21/100)^Skills!K21</f>
        <v/>
      </c>
      <c r="I652" t="inlineStr">
        <is>
          <t>1</t>
        </is>
      </c>
      <c r="J652" t="inlineStr"/>
      <c r="K652" t="inlineStr"/>
      <c r="L652" t="inlineStr"/>
      <c r="M652" t="inlineStr"/>
      <c r="N652" t="inlineStr"/>
      <c r="O652">
        <f>(1-Summary!$B$11)*T652+Summary!$B$11*V652</f>
        <v/>
      </c>
      <c r="P652">
        <f>IF(B677=0,0,O652/B677)</f>
        <v/>
      </c>
      <c r="Q652">
        <f>IFERROR(1/IF(Inputs!$B$39="pvp",15,MAX(0.1,Skills!D21-IF(TRUE=TRUE,Inputs!$B$32,0))),0)</f>
        <v/>
      </c>
      <c r="R652">
        <f>IF(AND(Inputs!$B$39&lt;&gt;"pvp",Inputs!$B$44&gt;0),IF(Inputs!$B$44&lt;=0,0,(INT(Inputs!$B$44/IF(Inputs!$B$39="pvp",15,MAX(0.1,Skills!D21-IF(TRUE=TRUE,Inputs!$B$32,0))))+1)),0)</f>
        <v/>
      </c>
      <c r="S652">
        <f>IFERROR(O652/N652,0)</f>
        <v/>
      </c>
      <c r="T652" t="n">
        <v>0</v>
      </c>
      <c r="V652" t="n">
        <v>0</v>
      </c>
    </row>
    <row r="653">
      <c r="A653">
        <f>Skills!A22</f>
        <v/>
      </c>
      <c r="B653">
        <f>Skills!B22</f>
        <v/>
      </c>
      <c r="C653">
        <f>Inputs!$B$3&gt;=15</f>
        <v/>
      </c>
      <c r="D653">
        <f>IF(Skills!C22=1,60+Inputs!$B$25+Inputs!$B$29,IF(Skills!C22=2,90+Inputs!$B$26+Inputs!$B$29,IF(Skills!C22=3,120+Inputs!$B$27+Inputs!$B$29,MAX(0,(Inputs!$B$3-100)*3)+Inputs!$B$28+Inputs!$B$29)))</f>
        <v/>
      </c>
      <c r="E653">
        <f>INDEX(FactorTable!$B$2:$Y$301, MATCH(ROUND(MIN(300,MAX(1,D653)),0), FactorTable!$A$2:$A$301,0), Skills!M22+1)</f>
        <v/>
      </c>
      <c r="F653">
        <f>IF(Skills!N22=TRUE,(Skills!L22/10)*(E653/1000),Skills!L22/10)+Skills!O22</f>
        <v/>
      </c>
      <c r="G653">
        <f>Skills!G22*IF(Skills!H22&gt;0,IF(Inputs!$B$39="pvp",MIN(Skills!I22,15),Skills!I22)/Skills!H22,1)</f>
        <v/>
      </c>
      <c r="H653">
        <f>1-(1-Skills!J22/100)^Skills!K22</f>
        <v/>
      </c>
      <c r="I653" t="inlineStr">
        <is>
          <t>1</t>
        </is>
      </c>
      <c r="J653" t="inlineStr"/>
      <c r="K653" t="inlineStr"/>
      <c r="L653" t="inlineStr"/>
      <c r="M653" t="inlineStr"/>
      <c r="N653" t="inlineStr"/>
      <c r="O653">
        <f>(1-Summary!$B$11)*T653+Summary!$B$11*V653</f>
        <v/>
      </c>
      <c r="P653">
        <f>IF(B677=0,0,O653/B677)</f>
        <v/>
      </c>
      <c r="Q653">
        <f>IFERROR(1/IF(Inputs!$B$39="pvp",15,MAX(0.1,Skills!D22-IF(TRUE=TRUE,Inputs!$B$32,0))),0)</f>
        <v/>
      </c>
      <c r="R653">
        <f>IF(AND(Inputs!$B$39&lt;&gt;"pvp",Inputs!$B$44&gt;0),IF(Inputs!$B$44&lt;=0,0,(INT(Inputs!$B$44/IF(Inputs!$B$39="pvp",15,MAX(0.1,Skills!D22-IF(TRUE=TRUE,Inputs!$B$32,0))))+1)),0)</f>
        <v/>
      </c>
      <c r="S653">
        <f>IFERROR(O653/N653,0)</f>
        <v/>
      </c>
      <c r="T653" t="n">
        <v>0</v>
      </c>
      <c r="V653" t="n">
        <v>0</v>
      </c>
    </row>
    <row r="654">
      <c r="A654">
        <f>Skills!A23</f>
        <v/>
      </c>
      <c r="B654">
        <f>Skills!B23</f>
        <v/>
      </c>
      <c r="C654">
        <f>Inputs!$B$3&gt;=33</f>
        <v/>
      </c>
      <c r="D654">
        <f>IF(Skills!C23=1,60+Inputs!$B$25+Inputs!$B$29,IF(Skills!C23=2,90+Inputs!$B$26+Inputs!$B$29,IF(Skills!C23=3,120+Inputs!$B$27+Inputs!$B$29,MAX(0,(Inputs!$B$3-100)*3)+Inputs!$B$28+Inputs!$B$29)))</f>
        <v/>
      </c>
      <c r="E654">
        <f>INDEX(FactorTable!$B$2:$Y$301, MATCH(ROUND(MIN(300,MAX(1,D654)),0), FactorTable!$A$2:$A$301,0), Skills!M23+1)</f>
        <v/>
      </c>
      <c r="F654">
        <f>IF(Skills!N23=TRUE,(Skills!L23/10)*(E654/1000),Skills!L23/10)+Skills!O23</f>
        <v/>
      </c>
      <c r="G654">
        <f>Skills!G23*IF(Skills!H23&gt;0,IF(Inputs!$B$39="pvp",MIN(Skills!I23,15),Skills!I23)/Skills!H23,1)</f>
        <v/>
      </c>
      <c r="H654">
        <f>1-(1-Skills!J23/100)^Skills!K23</f>
        <v/>
      </c>
      <c r="I654" t="inlineStr">
        <is>
          <t>1</t>
        </is>
      </c>
      <c r="J654" t="inlineStr"/>
      <c r="K654" t="inlineStr"/>
      <c r="L654" t="inlineStr"/>
      <c r="M654" t="inlineStr"/>
      <c r="N654" t="inlineStr"/>
      <c r="O654">
        <f>(1-Summary!$B$11)*T654+Summary!$B$11*V654</f>
        <v/>
      </c>
      <c r="P654">
        <f>IF(B677=0,0,O654/B677)</f>
        <v/>
      </c>
      <c r="Q654" t="n">
        <v>0</v>
      </c>
      <c r="R654" t="n">
        <v>0</v>
      </c>
      <c r="S654">
        <f>IFERROR(O654/N654,0)</f>
        <v/>
      </c>
      <c r="T654" t="n">
        <v>0</v>
      </c>
      <c r="V654" t="n">
        <v>0</v>
      </c>
    </row>
    <row r="655">
      <c r="A655">
        <f>Skills!A24</f>
        <v/>
      </c>
      <c r="B655">
        <f>Skills!B24</f>
        <v/>
      </c>
      <c r="C655">
        <f>Inputs!$B$3&gt;=40</f>
        <v/>
      </c>
      <c r="D655">
        <f>IF(Skills!C24=1,60+Inputs!$B$25+Inputs!$B$29,IF(Skills!C24=2,90+Inputs!$B$26+Inputs!$B$29,IF(Skills!C24=3,120+Inputs!$B$27+Inputs!$B$29,MAX(0,(Inputs!$B$3-100)*3)+Inputs!$B$28+Inputs!$B$29)))</f>
        <v/>
      </c>
      <c r="E655">
        <f>INDEX(FactorTable!$B$2:$Y$301, MATCH(ROUND(MIN(300,MAX(1,D655)),0), FactorTable!$A$2:$A$301,0), Skills!M24+1)</f>
        <v/>
      </c>
      <c r="F655">
        <f>IF(Skills!N24=TRUE,(Skills!L24/10)*(E655/1000),Skills!L24/10)+Skills!O24</f>
        <v/>
      </c>
      <c r="G655">
        <f>Skills!G24*IF(Skills!H24&gt;0,IF(Inputs!$B$39="pvp",MIN(Skills!I24,15),Skills!I24)/Skills!H24,1)</f>
        <v/>
      </c>
      <c r="H655">
        <f>1-(1-Skills!J24/100)^Skills!K24</f>
        <v/>
      </c>
      <c r="I655" t="inlineStr">
        <is>
          <t>1</t>
        </is>
      </c>
      <c r="J655" t="inlineStr"/>
      <c r="K655" t="inlineStr"/>
      <c r="L655" t="inlineStr"/>
      <c r="M655" t="inlineStr"/>
      <c r="N655" t="inlineStr"/>
      <c r="O655">
        <f>(1-Summary!$B$11)*T655+Summary!$B$11*V655</f>
        <v/>
      </c>
      <c r="P655">
        <f>IF(B677=0,0,O655/B677)</f>
        <v/>
      </c>
      <c r="Q655" t="n">
        <v>0</v>
      </c>
      <c r="R655" t="n">
        <v>0</v>
      </c>
      <c r="S655">
        <f>IFERROR(O655/N655,0)</f>
        <v/>
      </c>
      <c r="T655" t="n">
        <v>0</v>
      </c>
      <c r="V655" t="n">
        <v>0</v>
      </c>
    </row>
    <row r="656">
      <c r="A656">
        <f>Skills!A25</f>
        <v/>
      </c>
      <c r="B656">
        <f>Skills!B25</f>
        <v/>
      </c>
      <c r="C656">
        <f>Inputs!$B$3&gt;=43</f>
        <v/>
      </c>
      <c r="D656">
        <f>IF(Skills!C25=1,60+Inputs!$B$25+Inputs!$B$29,IF(Skills!C25=2,90+Inputs!$B$26+Inputs!$B$29,IF(Skills!C25=3,120+Inputs!$B$27+Inputs!$B$29,MAX(0,(Inputs!$B$3-100)*3)+Inputs!$B$28+Inputs!$B$29)))</f>
        <v/>
      </c>
      <c r="E656">
        <f>INDEX(FactorTable!$B$2:$Y$301, MATCH(ROUND(MIN(300,MAX(1,D656)),0), FactorTable!$A$2:$A$301,0), Skills!M25+1)</f>
        <v/>
      </c>
      <c r="F656">
        <f>IF(Skills!N25=TRUE,(Skills!L25/10)*(E656/1000),Skills!L25/10)+Skills!O25</f>
        <v/>
      </c>
      <c r="G656">
        <f>Skills!G25*IF(Skills!H25&gt;0,IF(Inputs!$B$39="pvp",MIN(Skills!I25,15),Skills!I25)/Skills!H25,1)</f>
        <v/>
      </c>
      <c r="H656">
        <f>1-(1-Skills!J25/100)^Skills!K25</f>
        <v/>
      </c>
      <c r="I656" t="inlineStr">
        <is>
          <t>1</t>
        </is>
      </c>
      <c r="J656" t="inlineStr"/>
      <c r="K656" t="inlineStr"/>
      <c r="L656" t="inlineStr"/>
      <c r="M656" t="inlineStr"/>
      <c r="N656" t="inlineStr"/>
      <c r="O656">
        <f>(1-Summary!$B$11)*T656+Summary!$B$11*V656</f>
        <v/>
      </c>
      <c r="P656">
        <f>IF(B677=0,0,O656/B677)</f>
        <v/>
      </c>
      <c r="Q656" t="n">
        <v>0</v>
      </c>
      <c r="R656" t="n">
        <v>0</v>
      </c>
      <c r="S656">
        <f>IFERROR(O656/N656,0)</f>
        <v/>
      </c>
      <c r="T656" t="n">
        <v>0</v>
      </c>
      <c r="V656" t="n">
        <v>0</v>
      </c>
    </row>
    <row r="657">
      <c r="A657">
        <f>Skills!A26</f>
        <v/>
      </c>
      <c r="B657">
        <f>Skills!B26</f>
        <v/>
      </c>
      <c r="C657">
        <f>Inputs!$B$3&gt;=50</f>
        <v/>
      </c>
      <c r="D657">
        <f>IF(Skills!C26=1,60+Inputs!$B$25+Inputs!$B$29,IF(Skills!C26=2,90+Inputs!$B$26+Inputs!$B$29,IF(Skills!C26=3,120+Inputs!$B$27+Inputs!$B$29,MAX(0,(Inputs!$B$3-100)*3)+Inputs!$B$28+Inputs!$B$29)))</f>
        <v/>
      </c>
      <c r="E657">
        <f>INDEX(FactorTable!$B$2:$Y$301, MATCH(ROUND(MIN(300,MAX(1,D657)),0), FactorTable!$A$2:$A$301,0), Skills!M26+1)</f>
        <v/>
      </c>
      <c r="F657">
        <f>IF(Skills!N26=TRUE,(Skills!L26/10)*(E657/1000),Skills!L26/10)+Skills!O26</f>
        <v/>
      </c>
      <c r="G657">
        <f>Skills!G26*IF(Skills!H26&gt;0,IF(Inputs!$B$39="pvp",MIN(Skills!I26,15),Skills!I26)/Skills!H26,1)</f>
        <v/>
      </c>
      <c r="H657">
        <f>1-(1-Skills!J26/100)^Skills!K26</f>
        <v/>
      </c>
      <c r="I657" t="inlineStr">
        <is>
          <t>1</t>
        </is>
      </c>
      <c r="J657" t="inlineStr"/>
      <c r="K657" t="inlineStr"/>
      <c r="L657" t="inlineStr"/>
      <c r="M657" t="inlineStr"/>
      <c r="N657" t="inlineStr"/>
      <c r="O657">
        <f>(1-Summary!$B$11)*T657+Summary!$B$11*V657</f>
        <v/>
      </c>
      <c r="P657">
        <f>IF(B677=0,0,O657/B677)</f>
        <v/>
      </c>
      <c r="Q657" t="n">
        <v>0</v>
      </c>
      <c r="R657" t="n">
        <v>0</v>
      </c>
      <c r="S657">
        <f>IFERROR(O657/N657,0)</f>
        <v/>
      </c>
      <c r="T657" t="n">
        <v>0</v>
      </c>
      <c r="V657" t="n">
        <v>0</v>
      </c>
    </row>
    <row r="658">
      <c r="A658">
        <f>Skills!A27</f>
        <v/>
      </c>
      <c r="B658">
        <f>Skills!B27</f>
        <v/>
      </c>
      <c r="C658">
        <f>Inputs!$B$3&gt;=50</f>
        <v/>
      </c>
      <c r="D658">
        <f>IF(Skills!C27=1,60+Inputs!$B$25+Inputs!$B$29,IF(Skills!C27=2,90+Inputs!$B$26+Inputs!$B$29,IF(Skills!C27=3,120+Inputs!$B$27+Inputs!$B$29,MAX(0,(Inputs!$B$3-100)*3)+Inputs!$B$28+Inputs!$B$29)))</f>
        <v/>
      </c>
      <c r="E658">
        <f>INDEX(FactorTable!$B$2:$Y$301, MATCH(ROUND(MIN(300,MAX(1,D658)),0), FactorTable!$A$2:$A$301,0), Skills!M27+1)</f>
        <v/>
      </c>
      <c r="F658">
        <f>IF(Skills!N27=TRUE,(Skills!L27/10)*(E658/1000),Skills!L27/10)+Skills!O27</f>
        <v/>
      </c>
      <c r="G658">
        <f>Skills!G27*IF(Skills!H27&gt;0,IF(Inputs!$B$39="pvp",MIN(Skills!I27,15),Skills!I27)/Skills!H27,1)</f>
        <v/>
      </c>
      <c r="H658">
        <f>1-(1-Skills!J27/100)^Skills!K27</f>
        <v/>
      </c>
      <c r="I658" t="inlineStr">
        <is>
          <t>1</t>
        </is>
      </c>
      <c r="J658" t="inlineStr"/>
      <c r="K658" t="inlineStr"/>
      <c r="L658" t="inlineStr"/>
      <c r="M658" t="inlineStr"/>
      <c r="N658" t="inlineStr"/>
      <c r="O658">
        <f>(1-Summary!$B$11)*T658+Summary!$B$11*V658</f>
        <v/>
      </c>
      <c r="P658">
        <f>IF(B677=0,0,O658/B677)</f>
        <v/>
      </c>
      <c r="Q658" t="n">
        <v>0</v>
      </c>
      <c r="R658" t="n">
        <v>0</v>
      </c>
      <c r="S658">
        <f>IFERROR(O658/N658,0)</f>
        <v/>
      </c>
      <c r="T658" t="n">
        <v>0</v>
      </c>
      <c r="V658" t="n">
        <v>0</v>
      </c>
    </row>
    <row r="659">
      <c r="A659">
        <f>Skills!A28</f>
        <v/>
      </c>
      <c r="B659">
        <f>Skills!B28</f>
        <v/>
      </c>
      <c r="C659">
        <f>Inputs!$B$3&gt;=38</f>
        <v/>
      </c>
      <c r="D659">
        <f>IF(Skills!C28=1,60+Inputs!$B$25+Inputs!$B$29,IF(Skills!C28=2,90+Inputs!$B$26+Inputs!$B$29,IF(Skills!C28=3,120+Inputs!$B$27+Inputs!$B$29,MAX(0,(Inputs!$B$3-100)*3)+Inputs!$B$28+Inputs!$B$29)))</f>
        <v/>
      </c>
      <c r="E659">
        <f>INDEX(FactorTable!$B$2:$Y$301, MATCH(ROUND(MIN(300,MAX(1,D659)),0), FactorTable!$A$2:$A$301,0), Skills!M28+1)</f>
        <v/>
      </c>
      <c r="F659">
        <f>IF(Skills!N28=TRUE,(Skills!L28/10)*(E659/1000),Skills!L28/10)+Skills!O28</f>
        <v/>
      </c>
      <c r="G659">
        <f>Skills!G28*IF(Skills!H28&gt;0,IF(Inputs!$B$39="pvp",MIN(Skills!I28,15),Skills!I28)/Skills!H28,1)</f>
        <v/>
      </c>
      <c r="H659">
        <f>1-(1-Skills!J28/100)^Skills!K28</f>
        <v/>
      </c>
      <c r="I659" t="inlineStr">
        <is>
          <t>1</t>
        </is>
      </c>
      <c r="J659" t="inlineStr"/>
      <c r="K659" t="inlineStr"/>
      <c r="L659" t="inlineStr"/>
      <c r="M659" t="inlineStr"/>
      <c r="N659" t="inlineStr"/>
      <c r="O659">
        <f>(1-Summary!$B$11)*T659+Summary!$B$11*V659</f>
        <v/>
      </c>
      <c r="P659">
        <f>IF(B677=0,0,O659/B677)</f>
        <v/>
      </c>
      <c r="Q659" t="n">
        <v>0</v>
      </c>
      <c r="R659" t="n">
        <v>0</v>
      </c>
      <c r="S659">
        <f>IFERROR(O659/N659,0)</f>
        <v/>
      </c>
      <c r="T659" t="n">
        <v>0</v>
      </c>
      <c r="V659" t="n">
        <v>0</v>
      </c>
    </row>
    <row r="660">
      <c r="A660">
        <f>Skills!A29</f>
        <v/>
      </c>
      <c r="B660">
        <f>Skills!B29</f>
        <v/>
      </c>
      <c r="C660">
        <f>Inputs!$B$3&gt;=120</f>
        <v/>
      </c>
      <c r="D660">
        <f>IF(Skills!C29=1,60+Inputs!$B$25+Inputs!$B$29,IF(Skills!C29=2,90+Inputs!$B$26+Inputs!$B$29,IF(Skills!C29=3,120+Inputs!$B$27+Inputs!$B$29,MAX(0,(Inputs!$B$3-100)*3)+Inputs!$B$28+Inputs!$B$29)))</f>
        <v/>
      </c>
      <c r="E660">
        <f>INDEX(FactorTable!$B$2:$Y$301, MATCH(ROUND(MIN(300,MAX(1,D660)),0), FactorTable!$A$2:$A$301,0), Skills!M29+1)</f>
        <v/>
      </c>
      <c r="F660">
        <f>IF(Skills!N29=TRUE,(Skills!L29/10)*(E660/1000),Skills!L29/10)+Skills!O29</f>
        <v/>
      </c>
      <c r="G660">
        <f>Skills!G29*IF(Skills!H29&gt;0,IF(Inputs!$B$39="pvp",MIN(Skills!I29,15),Skills!I29)/Skills!H29,1)</f>
        <v/>
      </c>
      <c r="H660">
        <f>1-(1-Skills!J29/100)^Skills!K29</f>
        <v/>
      </c>
      <c r="I660" t="inlineStr">
        <is>
          <t>1</t>
        </is>
      </c>
      <c r="J660" t="inlineStr"/>
      <c r="K660" t="inlineStr"/>
      <c r="L660" t="inlineStr"/>
      <c r="M660" t="inlineStr"/>
      <c r="N660" t="inlineStr"/>
      <c r="O660">
        <f>(1-Summary!$B$11)*T660+Summary!$B$11*V660</f>
        <v/>
      </c>
      <c r="P660">
        <f>IF(B677=0,0,O660/B677)</f>
        <v/>
      </c>
      <c r="Q660" t="n">
        <v>0</v>
      </c>
      <c r="R660" t="n">
        <v>0</v>
      </c>
      <c r="S660">
        <f>IFERROR(O660/N660,0)</f>
        <v/>
      </c>
      <c r="T660" t="n">
        <v>0</v>
      </c>
      <c r="V660" t="n">
        <v>0</v>
      </c>
    </row>
    <row r="661">
      <c r="A661">
        <f>Skills!A30</f>
        <v/>
      </c>
      <c r="B661">
        <f>Skills!B30</f>
        <v/>
      </c>
      <c r="C661">
        <f>Inputs!$B$3&gt;=120</f>
        <v/>
      </c>
      <c r="D661">
        <f>IF(Skills!C30=1,60+Inputs!$B$25+Inputs!$B$29,IF(Skills!C30=2,90+Inputs!$B$26+Inputs!$B$29,IF(Skills!C30=3,120+Inputs!$B$27+Inputs!$B$29,MAX(0,(Inputs!$B$3-100)*3)+Inputs!$B$28+Inputs!$B$29)))</f>
        <v/>
      </c>
      <c r="E661">
        <f>INDEX(FactorTable!$B$2:$Y$301, MATCH(ROUND(MIN(300,MAX(1,D661)),0), FactorTable!$A$2:$A$301,0), Skills!M30+1)</f>
        <v/>
      </c>
      <c r="F661">
        <f>IF(Skills!N30=TRUE,(Skills!L30/10)*(E661/1000),Skills!L30/10)+Skills!O30</f>
        <v/>
      </c>
      <c r="G661">
        <f>Skills!G30*IF(Skills!H30&gt;0,IF(Inputs!$B$39="pvp",MIN(Skills!I30,15),Skills!I30)/Skills!H30,1)</f>
        <v/>
      </c>
      <c r="H661">
        <f>1-(1-Skills!J30/100)^Skills!K30</f>
        <v/>
      </c>
      <c r="I661" t="inlineStr">
        <is>
          <t>1</t>
        </is>
      </c>
      <c r="J661" t="inlineStr"/>
      <c r="K661" t="inlineStr"/>
      <c r="L661" t="inlineStr"/>
      <c r="M661" t="inlineStr"/>
      <c r="N661" t="inlineStr"/>
      <c r="O661">
        <f>(1-Summary!$B$11)*T661+Summary!$B$11*V661</f>
        <v/>
      </c>
      <c r="P661">
        <f>IF(B677=0,0,O661/B677)</f>
        <v/>
      </c>
      <c r="Q661" t="n">
        <v>0</v>
      </c>
      <c r="R661" t="n">
        <v>0</v>
      </c>
      <c r="S661">
        <f>IFERROR(O661/N661,0)</f>
        <v/>
      </c>
      <c r="T661" t="n">
        <v>0</v>
      </c>
      <c r="V661" t="n">
        <v>0</v>
      </c>
    </row>
    <row r="662">
      <c r="A662">
        <f>Skills!A31</f>
        <v/>
      </c>
      <c r="B662">
        <f>Skills!B31</f>
        <v/>
      </c>
      <c r="C662">
        <f>Inputs!$B$3&gt;=125</f>
        <v/>
      </c>
      <c r="D662">
        <f>IF(Skills!C31=1,60+Inputs!$B$25+Inputs!$B$29,IF(Skills!C31=2,90+Inputs!$B$26+Inputs!$B$29,IF(Skills!C31=3,120+Inputs!$B$27+Inputs!$B$29,MAX(0,(Inputs!$B$3-100)*3)+Inputs!$B$28+Inputs!$B$29)))</f>
        <v/>
      </c>
      <c r="E662">
        <f>INDEX(FactorTable!$B$2:$Y$301, MATCH(ROUND(MIN(300,MAX(1,D662)),0), FactorTable!$A$2:$A$301,0), Skills!M31+1)</f>
        <v/>
      </c>
      <c r="F662">
        <f>IF(Skills!N31=TRUE,(Skills!L31/10)*(E662/1000),Skills!L31/10)+Skills!O31</f>
        <v/>
      </c>
      <c r="G662">
        <f>Skills!G31*IF(Skills!H31&gt;0,IF(Inputs!$B$39="pvp",MIN(Skills!I31,15),Skills!I31)/Skills!H31,1)</f>
        <v/>
      </c>
      <c r="H662">
        <f>1-(1-Skills!J31/100)^Skills!K31</f>
        <v/>
      </c>
      <c r="I662" t="inlineStr">
        <is>
          <t>1</t>
        </is>
      </c>
      <c r="J662" t="inlineStr"/>
      <c r="K662" t="inlineStr"/>
      <c r="L662" t="inlineStr"/>
      <c r="M662" t="inlineStr"/>
      <c r="N662" t="inlineStr"/>
      <c r="O662">
        <f>(1-Summary!$B$11)*T662+Summary!$B$11*V662</f>
        <v/>
      </c>
      <c r="P662">
        <f>IF(B677=0,0,O662/B677)</f>
        <v/>
      </c>
      <c r="Q662" t="n">
        <v>0</v>
      </c>
      <c r="R662" t="n">
        <v>0</v>
      </c>
      <c r="S662">
        <f>IFERROR(O662/N662,0)</f>
        <v/>
      </c>
      <c r="T662" t="n">
        <v>0</v>
      </c>
      <c r="V662" t="n">
        <v>0</v>
      </c>
    </row>
    <row r="664">
      <c r="A664" t="inlineStr">
        <is>
          <t>Average Buff Multiplier</t>
        </is>
      </c>
      <c r="B664">
        <f>(1+(((C653=TRUE)*F653*IF(AND(Inputs!$B$39&lt;&gt;"pvp",Inputs!$B$44&gt;0),(((R653-1)*MIN((Skills!Y22*(1+Inputs!$B$34/100)),(1/Q653))+MIN((Skills!Y22*(1+Inputs!$B$34/100)),MAX(0,Inputs!$B$44-((R653-1)*(1/Q653)))))/Inputs!$B$44),IF(Inputs!$B$39="pvp",MIN((Skills!Y22*(1+Inputs!$B$34/100)),15)/15,MIN(1,(Skills!Y22*(1+Inputs!$B$34/100))/(1/Q653)))))+((C634=TRUE)*F634*3)+((C636=TRUE)*F636*(1-EXP(-0.75*B669*5)))+((C655=TRUE)*(F655-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642=TRUE)*F642*IF(AND(Inputs!$B$39&lt;&gt;"pvp",Inputs!$B$44&gt;0),(((R642-1)*MIN((Skills!Y11*(1+Inputs!$B$34/100)),(1/Q642))+MIN((Skills!Y11*(1+Inputs!$B$34/100)),MAX(0,Inputs!$B$44-((R642-1)*(1/Q642)))))/Inputs!$B$44),IF(Inputs!$B$39="pvp",MIN((Skills!Y11*(1+Inputs!$B$34/100)),15)/15,MIN(1,(Skills!Y11*(1+Inputs!$B$34/100))/(1/Q642)))))/100)*(1+((C647=TRUE)*F647*IF(AND(Inputs!$B$39&lt;&gt;"pvp",Inputs!$B$44&gt;0),(((R647-1)*MIN((Skills!Y16*(1+Inputs!$B$34/100)),(1/Q647))+MIN((Skills!Y16*(1+Inputs!$B$34/100)),MAX(0,Inputs!$B$44-((R647-1)*(1/Q647)))))/Inputs!$B$44),IF(Inputs!$B$39="pvp",MIN((Skills!Y16*(1+Inputs!$B$34/100)),15)/15,MIN(1,(Skills!Y16*(1+Inputs!$B$34/100))/(1/Q647)))))/100)</f>
        <v/>
      </c>
    </row>
    <row r="665">
      <c r="A665" t="inlineStr">
        <is>
          <t>Global Crit Rate Bonus %</t>
        </is>
      </c>
      <c r="B665">
        <f>((C652=TRUE)*F652*IF(AND(Inputs!$B$39&lt;&gt;"pvp",Inputs!$B$44&gt;0),(((R652-1)*MIN((Skills!Y21*(1+Inputs!$B$34/100)),(1/Q652))+MIN((Skills!Y21*(1+Inputs!$B$34/100)),MAX(0,Inputs!$B$44-((R652-1)*(1/Q652)))))/Inputs!$B$44),IF(Inputs!$B$39="pvp",MIN((Skills!Y21*(1+Inputs!$B$34/100)),15)/15,MIN(1,(Skills!Y21*(1+Inputs!$B$34/100))/(1/Q652)))))</f>
        <v/>
      </c>
    </row>
    <row r="666">
      <c r="A666" t="inlineStr">
        <is>
          <t>Global Monster Damage-Taken Bonus %</t>
        </is>
      </c>
      <c r="B666">
        <f>IF(Inputs!$B$3&gt;=82,15,0)</f>
        <v/>
      </c>
    </row>
    <row r="667">
      <c r="A667" t="inlineStr">
        <is>
          <t>Shadow Partner Average Multiplier</t>
        </is>
      </c>
      <c r="B667">
        <f>1+((C639=TRUE)*F639*(1+3.3333333333333335*IF(C650=TRUE,F650,0)/100)*I639*Skills!J8/100)/100</f>
        <v/>
      </c>
    </row>
    <row r="668">
      <c r="A668" t="inlineStr">
        <is>
          <t>Attack Speed Buff Bonus %</t>
        </is>
      </c>
      <c r="B668">
        <f>((C651=TRUE)*F651*IF(AND(Inputs!$B$39&lt;&gt;"pvp",Inputs!$B$44&gt;0),(((R651-1)*MIN((Skills!Y20*(1+Inputs!$B$34/100)),(1/Q651))+MIN((Skills!Y20*(1+Inputs!$B$34/100)),MAX(0,Inputs!$B$44-((R651-1)*(1/Q651)))))/Inputs!$B$44),IF(Inputs!$B$39="pvp",MIN((Skills!Y20*(1+Inputs!$B$34/100)),15)/15,MIN(1,(Skills!Y20*(1+Inputs!$B$34/100))/(1/Q651)))))</f>
        <v/>
      </c>
    </row>
    <row r="669">
      <c r="A669" t="inlineStr">
        <is>
          <t>Actions Per Second</t>
        </is>
      </c>
      <c r="B669">
        <f>1+MIN(150,150*(1-(1-(Inputs!$B$11+((C654=TRUE)*(F654-Calc!F23)))/150)*(1-B668/150)))/100</f>
        <v/>
      </c>
    </row>
    <row r="670">
      <c r="A670" t="inlineStr">
        <is>
          <t>Skill + Buff Cast Rate</t>
        </is>
      </c>
      <c r="B670">
        <f>IF(AND(Inputs!$B$39&lt;&gt;"pvp",Inputs!$B$44&gt;0),SUMPRODUCT((Skills!E2:E31=TRUE)*(C633:C662=TRUE)*R633:R662*Skills!F2:F31)/Inputs!$B$44,SUMPRODUCT((Skills!E2:E31=TRUE)*(C633:C662=TRUE)*Q633:Q662*Skills!F2:F31))</f>
        <v/>
      </c>
    </row>
    <row r="671">
      <c r="A671" t="inlineStr">
        <is>
          <t>Cruel Stab Casts Per Second</t>
        </is>
      </c>
      <c r="B671">
        <f>MAX(0,B669-B670)</f>
        <v/>
      </c>
    </row>
    <row r="672">
      <c r="A672" t="inlineStr">
        <is>
          <t>Global Critical Damage Bonus % (Smokescreen Mastery Lv.113)</t>
        </is>
      </c>
      <c r="B672">
        <f>IF(Inputs!$B$3&gt;=113,30,0)*IF(AND(Inputs!$B$39&lt;&gt;"pvp",Inputs!$B$44&gt;0),(((R647-1)*MIN((Skills!Y16*(1+Inputs!$B$34/100)),(1/Q647))+MIN((Skills!Y16*(1+Inputs!$B$34/100)),MAX(0,Inputs!$B$44-((R647-1)*(1/Q647)))))/Inputs!$B$44),IF(Inputs!$B$39="pvp",MIN((Skills!Y16*(1+Inputs!$B$34/100)),15)/15,MIN(1,(Skills!Y16*(1+Inputs!$B$34/100))/(1/Q647))))</f>
        <v/>
      </c>
    </row>
    <row r="673">
      <c r="A673" t="inlineStr">
        <is>
          <t>Meso Explosion average stack count</t>
        </is>
      </c>
      <c r="B673">
        <f>MIN(10,IF(Inputs!$B$3&gt;=75,0.75,0.5)*B669*(1/Q635))</f>
        <v/>
      </c>
    </row>
    <row r="674">
      <c r="A674" t="inlineStr">
        <is>
          <t>Blood Money average stack count</t>
        </is>
      </c>
      <c r="B674">
        <f>MIN(5,0.5*IF(Inputs!$B$3&gt;=75,0.75,0.5)*B669*(1/Q635))</f>
        <v/>
      </c>
    </row>
    <row r="675">
      <c r="A675" t="inlineStr">
        <is>
          <t>Assassinate Murderous Intent Multiplier</t>
        </is>
      </c>
      <c r="B675">
        <f>1+IFERROR(MIN(1,Q646*2/Q643),0)</f>
        <v/>
      </c>
    </row>
    <row r="676">
      <c r="A676" t="inlineStr">
        <is>
          <t>Buff-Casting Startup Delay (s, fixed-duration only)</t>
        </is>
      </c>
      <c r="B676">
        <f>IF(AND(Inputs!$B$39&lt;&gt;"pvp",Inputs!$B$44&gt;0),SUMPRODUCT((Skills!Y2:Y31&gt;0)*(Skills!E2:E31=TRUE)*(C633:C662=TRUE))/B669,0)</f>
        <v/>
      </c>
    </row>
    <row r="677">
      <c r="A677" s="6" t="inlineStr">
        <is>
          <t>TOTAL DPS</t>
        </is>
      </c>
      <c r="B677" s="6">
        <f>SUM(O633:O662)</f>
        <v/>
      </c>
    </row>
    <row r="678">
      <c r="A678" t="inlineStr">
        <is>
          <t>Boss-Only Total DPS (this block's swept value)</t>
        </is>
      </c>
      <c r="B678">
        <f>SUM(T633:T662)</f>
        <v/>
      </c>
    </row>
    <row r="679">
      <c r="A679" t="inlineStr">
        <is>
          <t>Normal-Only Total DPS (this block's swept value)</t>
        </is>
      </c>
      <c r="B679">
        <f>SUM(V633:V662)</f>
        <v/>
      </c>
    </row>
    <row r="682">
      <c r="A682" s="6" t="inlineStr">
        <is>
          <t>Stat: ATTACK_SPEED % (diminishing returns, factor 150)</t>
        </is>
      </c>
    </row>
    <row r="683">
      <c r="A683" s="5" t="inlineStr">
        <is>
          <t>Key</t>
        </is>
      </c>
      <c r="B683" s="5" t="inlineStr">
        <is>
          <t>Name</t>
        </is>
      </c>
      <c r="C683" s="5" t="inlineStr">
        <is>
          <t>Unlocked</t>
        </is>
      </c>
      <c r="D683" s="5" t="inlineStr">
        <is>
          <t>InputLevel</t>
        </is>
      </c>
      <c r="E683" s="5" t="inlineStr">
        <is>
          <t>Factor</t>
        </is>
      </c>
      <c r="F683" s="5" t="inlineStr">
        <is>
          <t>CoefficientPercent</t>
        </is>
      </c>
      <c r="G683" s="5" t="inlineStr">
        <is>
          <t>EffectiveHits</t>
        </is>
      </c>
      <c r="H683" s="5" t="inlineStr">
        <is>
          <t>ProcProbability</t>
        </is>
      </c>
      <c r="I683" s="5" t="inlineStr">
        <is>
          <t>MapleHeroMultiplier</t>
        </is>
      </c>
      <c r="J683" s="5" t="inlineStr">
        <is>
          <t>BaseDamage</t>
        </is>
      </c>
      <c r="K683" s="5" t="inlineStr">
        <is>
          <t>BaseHitDamage</t>
        </is>
      </c>
      <c r="L683" s="5" t="inlineStr">
        <is>
          <t>NonCritAvg</t>
        </is>
      </c>
      <c r="M683" s="5" t="inlineStr">
        <is>
          <t>CritAvg</t>
        </is>
      </c>
      <c r="N683" s="5" t="inlineStr">
        <is>
          <t>ExpectedDamage(perHit)</t>
        </is>
      </c>
      <c r="O683" s="5" t="inlineStr">
        <is>
          <t>DPS</t>
        </is>
      </c>
      <c r="P683" s="5" t="inlineStr">
        <is>
          <t>% of Total</t>
        </is>
      </c>
      <c r="Q683" s="5" t="inlineStr">
        <is>
          <t>InvCooldown</t>
        </is>
      </c>
      <c r="R683" s="5" t="inlineStr">
        <is>
          <t>CastsInFight</t>
        </is>
      </c>
      <c r="S683" s="5" t="inlineStr">
        <is>
          <t>HitRate(perSec)</t>
        </is>
      </c>
      <c r="U683" t="inlineStr">
        <is>
          <t>helpers</t>
        </is>
      </c>
    </row>
    <row r="684">
      <c r="A684">
        <f>Skills!A2</f>
        <v/>
      </c>
      <c r="B684">
        <f>Skills!B2</f>
        <v/>
      </c>
      <c r="C684">
        <f>Inputs!$B$3&gt;=100</f>
        <v/>
      </c>
      <c r="D684" t="inlineStr"/>
      <c r="E684" t="inlineStr"/>
      <c r="F684">
        <f>U686+Skills!O2</f>
        <v/>
      </c>
      <c r="G684">
        <f>Skills!G2*IF(Skills!H2&gt;0,IF(Inputs!$B$39="pvp",MIN(Skills!I2,15),Skills!I2)/Skills!H2,1)</f>
        <v/>
      </c>
      <c r="H684">
        <f>1-(1-Skills!J2/100)^Skills!K2</f>
        <v/>
      </c>
      <c r="I684" t="inlineStr">
        <is>
          <t>1</t>
        </is>
      </c>
      <c r="J684">
        <f>((Inputs!$B$6*(1+Inputs!$B$7/100))+(((Inputs!$B$12*(1+Inputs!$B$13/100))-(Inputs!$B$12*(1+Inputs!$B$13/100)))+0.25*(Inputs!$B$14-Inputs!$B$14))*(1+Inputs!$B$7/100))*(F684/100)</f>
        <v/>
      </c>
      <c r="K684">
        <f>J684*(1+((Inputs!$B$12*(1+Inputs!$B$13/100))*0.01+Inputs!$B$14*0.0025)/100)*(1+Inputs!$B$15/100)*(1+Inputs!$B$16/100)*(5000/(6000+Inputs!$B$43*(1-(100*(1-(1-Inputs!$B$19/100)*(1-CHOOSE(ArtifactsInput!$N$40+1,5,6,7,8,9,10)/100)^(ArtifactsInput!$M$40-ArtifactsInput!$M$40)))/100)))*(1+(Inputs!$B$24+((C713=TRUE)*(F713-Calc!F31))+((C700=TRUE)*(F700-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(1-(1-Inputs!$B$11/150)*(1-1/150))*150)-60))),0)-IF(ArtifactsInput!$M$34,MIN(CHOOSE(ArtifactsInput!$N$34+1,10,12,14,16,18,20),MAX(0,(CHOOSE(ArtifactsInput!$N$34+1,0.5,0.6,0.7,0.8,0.9,1)/3)*(Inputs!$B$11-60))),0)))/100)*(1+(IF(Skills!A2="CRUEL_STAB",Inputs!$B$17+((C710=TRUE)*(F710-Calc!F28))+((IF(AND(Inputs!$B$39&lt;&gt;"pvp",Inputs!$B$44=0),1,IF(IF(Inputs!$B$39="pvp",15,Inputs!$B$44)-(B727)&lt;=0,1,MAX(0,IF(Inputs!$B$39="pvp",15,Inputs!$B$44)-MAX(5,B727))/(IF(Inputs!$B$39="pvp",15,Inputs!$B$44)-(B727))))*(IF(AND(ArtifactsInput!$M$42,((Inputs!$B$9+((C708=TRUE)*(F708-Calc!F26))+B716+(ArtifactsInput!$M$24-ArtifactsInput!$M$24)*CHOOSE(ArtifactsInput!$N$24+1,10,12,14,16,18,20)+IF(ArtifactsInput!$M$10,CHOOSE(ArtifactsInput!$N$10+1,15,18,21,24,27,30)*(IF(Inputs!$B$39="pvp",MIN(15,15)/15,IF(AND(Inputs!$B$39&lt;&gt;"pvp",Inputs!$B$44&gt;0),MIN(15,Inputs!$B$44)/(Inputs!$B$44),0))),0)))&gt;=100),MIN(100,((Inputs!$B$9+((C708=TRUE)*(F708-Calc!F26))+B716+(ArtifactsInput!$M$24-ArtifactsInput!$M$24)*CHOOSE(ArtifactsInput!$N$24+1,10,12,14,16,18,20)+IF(ArtifactsInput!$M$10,CHOOSE(ArtifactsInput!$N$10+1,15,18,21,24,27,30)*(IF(Inputs!$B$39="pvp",MIN(15,15)/15,IF(AND(Inputs!$B$39&lt;&gt;"pvp",Inputs!$B$44&gt;0),MIN(15,Inputs!$B$44)/(Inputs!$B$44),0))),0)))-100),0))*CHOOSE(ArtifactsInput!$N$42+1,0.6,0.72,0.84,0.96,1.08,1.2))),Inputs!$B$18+((C711=TRUE)*(F711-Calc!F29))+(IF(AND(Inputs!$B$39&lt;&gt;"pvp",Inputs!$B$44=0),1,IF(IF(Inputs!$B$39="pvp",15,Inputs!$B$44)-(B727)&lt;=0,1,MAX(0,IF(Inputs!$B$39="pvp",15,Inputs!$B$44)-MAX(5,B727))/(IF(Inputs!$B$39="pvp",15,Inputs!$B$44)-(B727))))*IF(AND(ArtifactsInput!$M$42,((Inputs!$B$9+((C708=TRUE)*(F708-Calc!F26))+B716+(ArtifactsInput!$M$24-ArtifactsInput!$M$24)*CHOOSE(ArtifactsInput!$N$24+1,10,12,14,16,18,20)+IF(ArtifactsInput!$M$10,CHOOSE(ArtifactsInput!$N$10+1,15,18,21,24,27,30)*(IF(Inputs!$B$39="pvp",MIN(15,15)/15,IF(AND(Inputs!$B$39&lt;&gt;"pvp",Inputs!$B$44&gt;0),MIN(15,Inputs!$B$44)/(Inputs!$B$44),0))),0)))&gt;=100),CHOOSE(ArtifactsInput!$N$42+1,40,48,56,64,72,80),0))))/100)*(((1+(((C704=TRUE)*F704*IF(AND(Inputs!$B$39&lt;&gt;"pvp",Inputs!$B$44&gt;0),(((R704-1)*MIN((Skills!Y22*(1+Inputs!$B$34/100)),(1/Q704))+MIN((Skills!Y22*(1+Inputs!$B$34/100)),MAX(0,Inputs!$B$44-((R704-1)*(1/Q704)))))/Inputs!$B$44),IF(Inputs!$B$39="pvp",MIN((Skills!Y22*(1+Inputs!$B$34/100)),15)/15,MIN(1,(Skills!Y22*(1+Inputs!$B$34/100))/(1/Q704)))))+((C685=TRUE)*F685*3)+((C687=TRUE)*F687*(1-EXP(-0.75*B720*5)))+((C706=TRUE)*(F706-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693=TRUE)*F693*IF(AND(Inputs!$B$39&lt;&gt;"pvp",Inputs!$B$44&gt;0),(((R693-1)*MIN((Skills!Y11*(1+Inputs!$B$34/100)),(1/Q693))+MIN((Skills!Y11*(1+Inputs!$B$34/100)),MAX(0,Inputs!$B$44-((R693-1)*(1/Q693)))))/Inputs!$B$44),IF(Inputs!$B$39="pvp",MIN((Skills!Y11*(1+Inputs!$B$34/100)),15)/15,MIN(1,(Skills!Y11*(1+Inputs!$B$34/100))/(1/Q693)))))/100)*(1+((C698=TRUE)*F698*IF(AND(Inputs!$B$39&lt;&gt;"pvp",Inputs!$B$44&gt;0),(((R698-1)*MIN((Skills!Y16*(1+Inputs!$B$34/100)),(1/Q698))+MIN((Skills!Y16*(1+Inputs!$B$34/100)),MAX(0,Inputs!$B$44-((R698-1)*(1/Q698)))))/Inputs!$B$44),IF(Inputs!$B$39="pvp",MIN((Skills!Y16*(1+Inputs!$B$34/100)),15)/15,MIN(1,(Skills!Y16*(1+Inputs!$B$34/100))/(1/Q698)))))/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718*I684)</f>
        <v/>
      </c>
      <c r="L684">
        <f>K684*(MIN(Inputs!$B$22+((C707=TRUE)*(F707-Calc!F25)),(Inputs!$B$23+((C712=TRUE)*(F712-Calc!F30))+IF(ArtifactsInput!$M$15,CHOOSE(ArtifactsInput!$N$15+1,25,30,35,40,45,50)/100*(((1-(1-Inputs!$B$11/150)*(1-1/150))*150)-Inputs!$B$11),0)))/100+(Inputs!$B$23+((C712=TRUE)*(F712-Calc!F30))+IF(ArtifactsInput!$M$15,CHOOSE(ArtifactsInput!$N$15+1,25,30,35,40,45,50)/100*(((1-(1-Inputs!$B$11/150)*(1-1/150))*150)-Inputs!$B$11),0))/100)/2</f>
        <v/>
      </c>
      <c r="M684">
        <f>L684*(1+(Inputs!$B$10+((C709=TRUE)*(F709-Calc!F27))+B723+(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684">
        <f>L684*(1-MIN((Inputs!$B$9+((C708=TRUE)*(F708-Calc!F26))+B716+(ArtifactsInput!$M$24-ArtifactsInput!$M$24)*CHOOSE(ArtifactsInput!$N$24+1,10,12,14,16,18,20)+(IF(AND(Inputs!$B$39&lt;&gt;"pvp",Inputs!$B$44=0),1,IF(IF(Inputs!$B$39="pvp",15,Inputs!$B$44)-(B727)&lt;=0,1,MAX(0,IF(Inputs!$B$39="pvp",15,Inputs!$B$44)-MAX(5,B727))/(IF(Inputs!$B$39="pvp",15,Inputs!$B$44)-(B727))))*IF(AND(ArtifactsInput!$M$42,((Inputs!$B$9+((C708=TRUE)*(F708-Calc!F26))+B716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684*(MIN((Inputs!$B$9+((C708=TRUE)*(F708-Calc!F26))+B716+(ArtifactsInput!$M$24-ArtifactsInput!$M$24)*CHOOSE(ArtifactsInput!$N$24+1,10,12,14,16,18,20)+(IF(AND(Inputs!$B$39&lt;&gt;"pvp",Inputs!$B$44=0),1,IF(IF(Inputs!$B$39="pvp",15,Inputs!$B$44)-(B727)&lt;=0,1,MAX(0,IF(Inputs!$B$39="pvp",15,Inputs!$B$44)-MAX(5,B727))/(IF(Inputs!$B$39="pvp",15,Inputs!$B$44)-(B727))))*IF(AND(ArtifactsInput!$M$42,((Inputs!$B$9+((C708=TRUE)*(F708-Calc!F26))+B716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684">
        <f>(1-Summary!$B$11)*T684+Summary!$B$11*V684</f>
        <v/>
      </c>
      <c r="P684">
        <f>IF(B728=0,0,O684/B728)</f>
        <v/>
      </c>
      <c r="Q684" t="n">
        <v>0</v>
      </c>
      <c r="R684" t="n">
        <v>0</v>
      </c>
      <c r="S684">
        <f>IFERROR(O684/N684,0)</f>
        <v/>
      </c>
      <c r="T684">
        <f>IF(C684,(Skills!G2*N684*B722)*IF(Inputs!$B$39="pvp",1,1+(Inputs!$B$20+0+Skills!P2+B717+(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Hunt"),CHOOSE(ArtifactsInput!$N$35+1,15,18,21,24,27,30)*(1-EXP(-(0.2*B720)*5)),0)+IF(AND(ArtifactsInput!$M$22,Inputs!$B$4&lt;&gt;"Chapter Hunt"),CHOOSE(ArtifactsInput!$N$22+1,10,12,14,16,18,20)*((0*(((0.15*B720*5))^0/1)+1*(((0.15*B720*5))^1/1)+2*(((0.15*B720*5))^2/2)+3*(((0.15*B720*5))^3/6)+4*(((0.15*B720*5))^4/24)+5*(((0.15*B720*5))^5/120))/((((0.15*B720*5))^0/1)+(((0.15*B720*5))^1/1)+(((0.15*B720*5))^2/2)+(((0.15*B720*5))^3/6)+(((0.15*B720*5))^4/24)+(((0.15*B720*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684*(1-MIN(100,(Inputs!$B$9+((C708=TRUE)*(F708-Calc!F26))+B716+(ArtifactsInput!$M$24-ArtifactsInput!$M$24)*CHOOSE(ArtifactsInput!$N$24+1,10,12,14,16,18,20)+(IF(AND(Inputs!$B$39&lt;&gt;"pvp",Inputs!$B$44=0),1,IF(IF(Inputs!$B$39="pvp",15,Inputs!$B$44)-(B727)&lt;=0,1,MAX(0,IF(Inputs!$B$39="pvp",15,Inputs!$B$44)-MAX(5,B727))/(IF(Inputs!$B$39="pvp",15,Inputs!$B$44)-(B727))))*IF(AND(ArtifactsInput!$M$42,((Inputs!$B$9+((C708=TRUE)*(F708-Calc!F26))+B716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684*(MIN(100,(Inputs!$B$9+((C708=TRUE)*(F708-Calc!F26))+B716+(ArtifactsInput!$M$24-ArtifactsInput!$M$24)*CHOOSE(ArtifactsInput!$N$24+1,10,12,14,16,18,20)+(IF(AND(Inputs!$B$39&lt;&gt;"pvp",Inputs!$B$44=0),1,IF(IF(Inputs!$B$39="pvp",15,Inputs!$B$44)-(B727)&lt;=0,1,MAX(0,IF(Inputs!$B$39="pvp",15,Inputs!$B$44)-MAX(5,B727))/(IF(Inputs!$B$39="pvp",15,Inputs!$B$44)-(B727))))*IF(AND(ArtifactsInput!$M$42,((Inputs!$B$9+((C708=TRUE)*(F708-Calc!F26))+B716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684*(1-MIN(100,(Inputs!$B$9+((C708=TRUE)*(F708-Calc!F26))+B716+(ArtifactsInput!$M$24-ArtifactsInput!$M$24)*CHOOSE(ArtifactsInput!$N$24+1,10,12,14,16,18,20)+(IF(AND(Inputs!$B$39&lt;&gt;"pvp",Inputs!$B$44=0),1,IF(IF(Inputs!$B$39="pvp",15,Inputs!$B$44)-(B727)&lt;=0,1,MAX(0,IF(Inputs!$B$39="pvp",15,Inputs!$B$44)-MAX(5,B727))/(IF(Inputs!$B$39="pvp",15,Inputs!$B$44)-(B727))))*IF(AND(ArtifactsInput!$M$42,((Inputs!$B$9+((C708=TRUE)*(F708-Calc!F26))+B716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684*(MIN(100,(Inputs!$B$9+((C708=TRUE)*(F708-Calc!F26))+B716+(ArtifactsInput!$M$24-ArtifactsInput!$M$24)*CHOOSE(ArtifactsInput!$N$24+1,10,12,14,16,18,20)+(IF(AND(Inputs!$B$39&lt;&gt;"pvp",Inputs!$B$44=0),1,IF(IF(Inputs!$B$39="pvp",15,Inputs!$B$44)-(B727)&lt;=0,1,MAX(0,IF(Inputs!$B$39="pvp",15,Inputs!$B$44)-MAX(5,B727))/(IF(Inputs!$B$39="pvp",15,Inputs!$B$44)-(B727))))*IF(AND(ArtifactsInput!$M$42,((Inputs!$B$9+((C708=TRUE)*(F708-Calc!F26))+B716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684">
        <f>MAX(0,(Inputs!$B$3-100)*3)+Inputs!$B$28+Inputs!$B$29</f>
        <v/>
      </c>
      <c r="V684">
        <f>IF(C684,(Skills!G2*N684*B722)*IF(Inputs!$B$39="pvp",1,(1+(Inputs!$B$21+Skills!Q2+B717+(IF(ArtifactsInput!$M$33,CHOOSE(ArtifactsInput!$N$33+1,30,36,42,48,54,60),0))+(IF(AND(ArtifactsInput!$M$35,Inputs!$B$4&lt;&gt;"Chapter Hunt"),CHOOSE(ArtifactsInput!$N$35+1,15,18,21,24,27,30)*(1-EXP(-(0.2*B720)*5)),0)+IF(AND(ArtifactsInput!$M$22,Inputs!$B$4&lt;&gt;"Chapter Hunt"),CHOOSE(ArtifactsInput!$N$22+1,10,12,14,16,18,20)*((0*(((0.15*B720*5))^0/1)+1*(((0.15*B720*5))^1/1)+2*(((0.15*B720*5))^2/2)+3*(((0.15*B720*5))^3/6)+4*(((0.15*B720*5))^4/24)+5*(((0.15*B720*5))^5/120))/((((0.15*B720*5))^0/1)+(((0.15*B720*5))^1/1)+(((0.15*B720*5))^2/2)+(((0.15*B720*5))^3/6)+(((0.15*B720*5))^4/24)+(((0.15*B720*5))^5/120))),0)))/100)*(MIN((6+Inputs!$B$33),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685">
      <c r="A685">
        <f>Skills!A3</f>
        <v/>
      </c>
      <c r="B685">
        <f>Skills!B3</f>
        <v/>
      </c>
      <c r="C685">
        <f>Inputs!$B$3&gt;=35</f>
        <v/>
      </c>
      <c r="D685">
        <f>IF(Skills!C3=1,60+Inputs!$B$25+Inputs!$B$29,IF(Skills!C3=2,90+Inputs!$B$26+Inputs!$B$29,IF(Skills!C3=3,120+Inputs!$B$27+Inputs!$B$29,MAX(0,(Inputs!$B$3-100)*3)+Inputs!$B$28+Inputs!$B$29)))</f>
        <v/>
      </c>
      <c r="E685">
        <f>INDEX(FactorTable!$B$2:$Y$301, MATCH(ROUND(MIN(300,MAX(1,D685)),0), FactorTable!$A$2:$A$301,0), Skills!M3+1)</f>
        <v/>
      </c>
      <c r="F685">
        <f>IF(Skills!N3=TRUE,(Skills!L3/10)*(E685/1000),Skills!L3/10)+Skills!O3</f>
        <v/>
      </c>
      <c r="G685">
        <f>Skills!G3*IF(Skills!H3&gt;0,IF(Inputs!$B$39="pvp",MIN(Skills!I3,15),Skills!I3)/Skills!H3,1)</f>
        <v/>
      </c>
      <c r="H685">
        <f>1-(1-Skills!J3/100)^Skills!K3</f>
        <v/>
      </c>
      <c r="I685" t="inlineStr">
        <is>
          <t>1</t>
        </is>
      </c>
      <c r="J685" t="inlineStr"/>
      <c r="K685" t="inlineStr"/>
      <c r="L685" t="inlineStr"/>
      <c r="M685" t="inlineStr"/>
      <c r="N685" t="inlineStr"/>
      <c r="O685">
        <f>(1-Summary!$B$11)*T685+Summary!$B$11*V685</f>
        <v/>
      </c>
      <c r="P685">
        <f>IF(B728=0,0,O685/B728)</f>
        <v/>
      </c>
      <c r="Q685" t="n">
        <v>0</v>
      </c>
      <c r="R685" t="n">
        <v>0</v>
      </c>
      <c r="S685">
        <f>IFERROR(O685/N685,0)</f>
        <v/>
      </c>
      <c r="T685" t="n">
        <v>0</v>
      </c>
      <c r="U685">
        <f>INDEX(FactorTable!$B$2:$Y$301, MATCH(ROUND(MIN(300,MAX(1,U684)),0), FactorTable!$A$2:$A$301,0), 22)</f>
        <v/>
      </c>
      <c r="V685" t="n">
        <v>0</v>
      </c>
    </row>
    <row r="686">
      <c r="A686">
        <f>Skills!A4</f>
        <v/>
      </c>
      <c r="B686">
        <f>Skills!B4</f>
        <v/>
      </c>
      <c r="C686">
        <f>Inputs!$B$3&gt;=66</f>
        <v/>
      </c>
      <c r="D686">
        <f>IF(Skills!C4=1,60+Inputs!$B$25+Inputs!$B$29,IF(Skills!C4=2,90+Inputs!$B$26+Inputs!$B$29,IF(Skills!C4=3,120+Inputs!$B$27+Inputs!$B$29,MAX(0,(Inputs!$B$3-100)*3)+Inputs!$B$28+Inputs!$B$29)))</f>
        <v/>
      </c>
      <c r="E686">
        <f>INDEX(FactorTable!$B$2:$Y$301, MATCH(ROUND(MIN(300,MAX(1,D686)),0), FactorTable!$A$2:$A$301,0), Skills!M4+1)</f>
        <v/>
      </c>
      <c r="F686">
        <f>IF(Skills!N4=TRUE,(Skills!L4/10)*(E686/1000),Skills!L4/10)+Skills!O4</f>
        <v/>
      </c>
      <c r="G686">
        <f>Skills!G4*IF(Skills!H4&gt;0,IF(Inputs!$B$39="pvp",MIN(Skills!I4,15),Skills!I4)/Skills!H4,1)</f>
        <v/>
      </c>
      <c r="H686">
        <f>1-(1-Skills!J4/100)^Skills!K4</f>
        <v/>
      </c>
      <c r="I686" t="inlineStr">
        <is>
          <t>1</t>
        </is>
      </c>
      <c r="J686">
        <f>((Inputs!$B$6*(1+Inputs!$B$7/100))+(((Inputs!$B$12*(1+Inputs!$B$13/100))-(Inputs!$B$12*(1+Inputs!$B$13/100)))+0.25*(Inputs!$B$14-Inputs!$B$14))*(1+Inputs!$B$7/100))*(F686/100)</f>
        <v/>
      </c>
      <c r="K686">
        <f>J686*(1+((Inputs!$B$12*(1+Inputs!$B$13/100))*0.01+Inputs!$B$14*0.0025)/100)*(1+Inputs!$B$15/100)*(1+Inputs!$B$16/100)*(5000/(6000+Inputs!$B$43*(1-(100*(1-(1-Inputs!$B$19/100)*(1-CHOOSE(ArtifactsInput!$N$40+1,5,6,7,8,9,10)/100)^(ArtifactsInput!$M$40-ArtifactsInput!$M$40)))/100)))*(1+(Inputs!$B$24+((C713=TRUE)*(F713-Calc!F31))+((C700=TRUE)*(F700-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(1-(1-Inputs!$B$11/150)*(1-1/150))*150)-60))),0)-IF(ArtifactsInput!$M$34,MIN(CHOOSE(ArtifactsInput!$N$34+1,10,12,14,16,18,20),MAX(0,(CHOOSE(ArtifactsInput!$N$34+1,0.5,0.6,0.7,0.8,0.9,1)/3)*(Inputs!$B$11-60))),0)))/100)*(1+(IF(Skills!A4="CRUEL_STAB",Inputs!$B$17+((C710=TRUE)*(F710-Calc!F28))+((IF(AND(Inputs!$B$39&lt;&gt;"pvp",Inputs!$B$44=0),1,IF(IF(Inputs!$B$39="pvp",15,Inputs!$B$44)-(B727)&lt;=0,1,MAX(0,IF(Inputs!$B$39="pvp",15,Inputs!$B$44)-MAX(5,B727))/(IF(Inputs!$B$39="pvp",15,Inputs!$B$44)-(B727))))*(IF(AND(ArtifactsInput!$M$42,((Inputs!$B$9+((C708=TRUE)*(F708-Calc!F26))+B716+(ArtifactsInput!$M$24-ArtifactsInput!$M$24)*CHOOSE(ArtifactsInput!$N$24+1,10,12,14,16,18,20)+IF(ArtifactsInput!$M$10,CHOOSE(ArtifactsInput!$N$10+1,15,18,21,24,27,30)*(IF(Inputs!$B$39="pvp",MIN(15,15)/15,IF(AND(Inputs!$B$39&lt;&gt;"pvp",Inputs!$B$44&gt;0),MIN(15,Inputs!$B$44)/(Inputs!$B$44),0))),0)))&gt;=100),MIN(100,((Inputs!$B$9+((C708=TRUE)*(F708-Calc!F26))+B716+(ArtifactsInput!$M$24-ArtifactsInput!$M$24)*CHOOSE(ArtifactsInput!$N$24+1,10,12,14,16,18,20)+IF(ArtifactsInput!$M$10,CHOOSE(ArtifactsInput!$N$10+1,15,18,21,24,27,30)*(IF(Inputs!$B$39="pvp",MIN(15,15)/15,IF(AND(Inputs!$B$39&lt;&gt;"pvp",Inputs!$B$44&gt;0),MIN(15,Inputs!$B$44)/(Inputs!$B$44),0))),0)))-100),0))*CHOOSE(ArtifactsInput!$N$42+1,0.6,0.72,0.84,0.96,1.08,1.2))),Inputs!$B$18+((C711=TRUE)*(F711-Calc!F29))+(IF(AND(Inputs!$B$39&lt;&gt;"pvp",Inputs!$B$44=0),1,IF(IF(Inputs!$B$39="pvp",15,Inputs!$B$44)-(B727)&lt;=0,1,MAX(0,IF(Inputs!$B$39="pvp",15,Inputs!$B$44)-MAX(5,B727))/(IF(Inputs!$B$39="pvp",15,Inputs!$B$44)-(B727))))*IF(AND(ArtifactsInput!$M$42,((Inputs!$B$9+((C708=TRUE)*(F708-Calc!F26))+B716+(ArtifactsInput!$M$24-ArtifactsInput!$M$24)*CHOOSE(ArtifactsInput!$N$24+1,10,12,14,16,18,20)+IF(ArtifactsInput!$M$10,CHOOSE(ArtifactsInput!$N$10+1,15,18,21,24,27,30)*(IF(Inputs!$B$39="pvp",MIN(15,15)/15,IF(AND(Inputs!$B$39&lt;&gt;"pvp",Inputs!$B$44&gt;0),MIN(15,Inputs!$B$44)/(Inputs!$B$44),0))),0)))&gt;=100),CHOOSE(ArtifactsInput!$N$42+1,40,48,56,64,72,80),0))))/100)*(((1+(((C704=TRUE)*F704*IF(AND(Inputs!$B$39&lt;&gt;"pvp",Inputs!$B$44&gt;0),(((R704-1)*MIN((Skills!Y22*(1+Inputs!$B$34/100)),(1/Q704))+MIN((Skills!Y22*(1+Inputs!$B$34/100)),MAX(0,Inputs!$B$44-((R704-1)*(1/Q704)))))/Inputs!$B$44),IF(Inputs!$B$39="pvp",MIN((Skills!Y22*(1+Inputs!$B$34/100)),15)/15,MIN(1,(Skills!Y22*(1+Inputs!$B$34/100))/(1/Q704)))))+((C685=TRUE)*F685*3)+((C687=TRUE)*F687*(1-EXP(-0.75*B720*5)))+((C706=TRUE)*(F706-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693=TRUE)*F693*IF(AND(Inputs!$B$39&lt;&gt;"pvp",Inputs!$B$44&gt;0),(((R693-1)*MIN((Skills!Y11*(1+Inputs!$B$34/100)),(1/Q693))+MIN((Skills!Y11*(1+Inputs!$B$34/100)),MAX(0,Inputs!$B$44-((R693-1)*(1/Q693)))))/Inputs!$B$44),IF(Inputs!$B$39="pvp",MIN((Skills!Y11*(1+Inputs!$B$34/100)),15)/15,MIN(1,(Skills!Y11*(1+Inputs!$B$34/100))/(1/Q693)))))/100)*(1+((C698=TRUE)*F698*IF(AND(Inputs!$B$39&lt;&gt;"pvp",Inputs!$B$44&gt;0),(((R698-1)*MIN((Skills!Y16*(1+Inputs!$B$34/100)),(1/Q698))+MIN((Skills!Y16*(1+Inputs!$B$34/100)),MAX(0,Inputs!$B$44-((R698-1)*(1/Q698)))))/Inputs!$B$44),IF(Inputs!$B$39="pvp",MIN((Skills!Y16*(1+Inputs!$B$34/100)),15)/15,MIN(1,(Skills!Y16*(1+Inputs!$B$34/100))/(1/Q698)))))/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718*I686)</f>
        <v/>
      </c>
      <c r="L686">
        <f>K686*(MIN(Inputs!$B$22+((C707=TRUE)*(F707-Calc!F25)),(Inputs!$B$23+((C712=TRUE)*(F712-Calc!F30))+IF(ArtifactsInput!$M$15,CHOOSE(ArtifactsInput!$N$15+1,25,30,35,40,45,50)/100*(((1-(1-Inputs!$B$11/150)*(1-1/150))*150)-Inputs!$B$11),0)))/100+(Inputs!$B$23+((C712=TRUE)*(F712-Calc!F30))+IF(ArtifactsInput!$M$15,CHOOSE(ArtifactsInput!$N$15+1,25,30,35,40,45,50)/100*(((1-(1-Inputs!$B$11/150)*(1-1/150))*150)-Inputs!$B$11),0))/100)/2</f>
        <v/>
      </c>
      <c r="M686">
        <f>L686*(1+(Inputs!$B$10+((C709=TRUE)*(F709-Calc!F27))+B723+(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686">
        <f>L686*(1-MIN((Inputs!$B$9+((C708=TRUE)*(F708-Calc!F26))+B716+(ArtifactsInput!$M$24-ArtifactsInput!$M$24)*CHOOSE(ArtifactsInput!$N$24+1,10,12,14,16,18,20)+(IF(AND(Inputs!$B$39&lt;&gt;"pvp",Inputs!$B$44=0),1,IF(IF(Inputs!$B$39="pvp",15,Inputs!$B$44)-(B727)&lt;=0,1,MAX(0,IF(Inputs!$B$39="pvp",15,Inputs!$B$44)-MAX(5,B727))/(IF(Inputs!$B$39="pvp",15,Inputs!$B$44)-(B727))))*IF(AND(ArtifactsInput!$M$42,((Inputs!$B$9+((C708=TRUE)*(F708-Calc!F26))+B716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686*(MIN((Inputs!$B$9+((C708=TRUE)*(F708-Calc!F26))+B716+(ArtifactsInput!$M$24-ArtifactsInput!$M$24)*CHOOSE(ArtifactsInput!$N$24+1,10,12,14,16,18,20)+(IF(AND(Inputs!$B$39&lt;&gt;"pvp",Inputs!$B$44=0),1,IF(IF(Inputs!$B$39="pvp",15,Inputs!$B$44)-(B727)&lt;=0,1,MAX(0,IF(Inputs!$B$39="pvp",15,Inputs!$B$44)-MAX(5,B727))/(IF(Inputs!$B$39="pvp",15,Inputs!$B$44)-(B727))))*IF(AND(ArtifactsInput!$M$42,((Inputs!$B$9+((C708=TRUE)*(F708-Calc!F26))+B716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686">
        <f>(1-Summary!$B$11)*T686+Summary!$B$11*V686</f>
        <v/>
      </c>
      <c r="P686">
        <f>IF(B728=0,0,O686/B728)</f>
        <v/>
      </c>
      <c r="Q686">
        <f>IFERROR(1/IF(Inputs!$B$39="pvp",15,MAX(0.1,Skills!D4-IF(TRUE=TRUE,Inputs!$B$32,0))),0)</f>
        <v/>
      </c>
      <c r="R686">
        <f>IF(AND(Inputs!$B$39&lt;&gt;"pvp",Inputs!$B$44&gt;0),IF(MAX(0,Inputs!$B$44-B727)&lt;=0,0,(INT(MAX(0,Inputs!$B$44-B727)/IF(Inputs!$B$39="pvp",15,MAX(0.1,Skills!D4-IF(TRUE=TRUE,Inputs!$B$32,0))))+1)),0)</f>
        <v/>
      </c>
      <c r="S686">
        <f>IFERROR(O686/N686,0)</f>
        <v/>
      </c>
      <c r="T686">
        <f>IF(C686,(H686*N686*IF(AND(Inputs!$B$39&lt;&gt;"pvp",Inputs!$B$44&gt;0),((Skills!G4*((R686-1)*IF(Skills!H4&gt;0,Skills!I4/Skills!H4,1)+IF(Skills!H4&gt;0,MIN(Skills!I4,MAX(0,MAX(0,Inputs!$B$44-B727)-((R686-1)*IF(Inputs!$B$39="pvp",15,MAX(0.1,Skills!D4-IF(TRUE=TRUE,Inputs!$B$32,0))))))/Skills!H4,1)))/Inputs!$B$44),G686*Q686))*IF(Inputs!$B$39="pvp",1,1+(Inputs!$B$20+0+Skills!P4+B717+(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Hunt"),CHOOSE(ArtifactsInput!$N$35+1,15,18,21,24,27,30)*(1-EXP(-(0.2*B720)*5)),0)+IF(AND(ArtifactsInput!$M$22,Inputs!$B$4&lt;&gt;"Chapter Hunt"),CHOOSE(ArtifactsInput!$N$22+1,10,12,14,16,18,20)*((0*(((0.15*B720*5))^0/1)+1*(((0.15*B720*5))^1/1)+2*(((0.15*B720*5))^2/2)+3*(((0.15*B720*5))^3/6)+4*(((0.15*B720*5))^4/24)+5*(((0.15*B720*5))^5/120))/((((0.15*B720*5))^0/1)+(((0.15*B720*5))^1/1)+(((0.15*B720*5))^2/2)+(((0.15*B720*5))^3/6)+(((0.15*B720*5))^4/24)+(((0.15*B720*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686*(1-MIN(100,(Inputs!$B$9+((C708=TRUE)*(F708-Calc!F26))+B716+(ArtifactsInput!$M$24-ArtifactsInput!$M$24)*CHOOSE(ArtifactsInput!$N$24+1,10,12,14,16,18,20)+(IF(AND(Inputs!$B$39&lt;&gt;"pvp",Inputs!$B$44=0),1,IF(IF(Inputs!$B$39="pvp",15,Inputs!$B$44)-(B727)&lt;=0,1,MAX(0,IF(Inputs!$B$39="pvp",15,Inputs!$B$44)-MAX(5,B727))/(IF(Inputs!$B$39="pvp",15,Inputs!$B$44)-(B727))))*IF(AND(ArtifactsInput!$M$42,((Inputs!$B$9+((C708=TRUE)*(F708-Calc!F26))+B716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686*(MIN(100,(Inputs!$B$9+((C708=TRUE)*(F708-Calc!F26))+B716+(ArtifactsInput!$M$24-ArtifactsInput!$M$24)*CHOOSE(ArtifactsInput!$N$24+1,10,12,14,16,18,20)+(IF(AND(Inputs!$B$39&lt;&gt;"pvp",Inputs!$B$44=0),1,IF(IF(Inputs!$B$39="pvp",15,Inputs!$B$44)-(B727)&lt;=0,1,MAX(0,IF(Inputs!$B$39="pvp",15,Inputs!$B$44)-MAX(5,B727))/(IF(Inputs!$B$39="pvp",15,Inputs!$B$44)-(B727))))*IF(AND(ArtifactsInput!$M$42,((Inputs!$B$9+((C708=TRUE)*(F708-Calc!F26))+B716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686*(1-MIN(100,(Inputs!$B$9+((C708=TRUE)*(F708-Calc!F26))+B716+(ArtifactsInput!$M$24-ArtifactsInput!$M$24)*CHOOSE(ArtifactsInput!$N$24+1,10,12,14,16,18,20)+(IF(AND(Inputs!$B$39&lt;&gt;"pvp",Inputs!$B$44=0),1,IF(IF(Inputs!$B$39="pvp",15,Inputs!$B$44)-(B727)&lt;=0,1,MAX(0,IF(Inputs!$B$39="pvp",15,Inputs!$B$44)-MAX(5,B727))/(IF(Inputs!$B$39="pvp",15,Inputs!$B$44)-(B727))))*IF(AND(ArtifactsInput!$M$42,((Inputs!$B$9+((C708=TRUE)*(F708-Calc!F26))+B716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686*(MIN(100,(Inputs!$B$9+((C708=TRUE)*(F708-Calc!F26))+B716+(ArtifactsInput!$M$24-ArtifactsInput!$M$24)*CHOOSE(ArtifactsInput!$N$24+1,10,12,14,16,18,20)+(IF(AND(Inputs!$B$39&lt;&gt;"pvp",Inputs!$B$44=0),1,IF(IF(Inputs!$B$39="pvp",15,Inputs!$B$44)-(B727)&lt;=0,1,MAX(0,IF(Inputs!$B$39="pvp",15,Inputs!$B$44)-MAX(5,B727))/(IF(Inputs!$B$39="pvp",15,Inputs!$B$44)-(B727))))*IF(AND(ArtifactsInput!$M$42,((Inputs!$B$9+((C708=TRUE)*(F708-Calc!F26))+B716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686">
        <f>290*U685/1000</f>
        <v/>
      </c>
      <c r="V686">
        <f>IF(C686,(H686*N686*IF(AND(Inputs!$B$39&lt;&gt;"pvp",Inputs!$B$44&gt;0),((Skills!G4*((R686-1)*IF(Skills!H4&gt;0,Skills!I4/Skills!H4,1)+IF(Skills!H4&gt;0,MIN(Skills!I4,MAX(0,MAX(0,Inputs!$B$44-B727)-((R686-1)*IF(Inputs!$B$39="pvp",15,MAX(0.1,Skills!D4-IF(TRUE=TRUE,Inputs!$B$32,0))))))/Skills!H4,1)))/Inputs!$B$44),G686*Q686))*IF(Inputs!$B$39="pvp",1,(1+(Inputs!$B$21+Skills!Q4+B717+(IF(ArtifactsInput!$M$33,CHOOSE(ArtifactsInput!$N$33+1,30,36,42,48,54,60),0))+(IF(AND(ArtifactsInput!$M$35,Inputs!$B$4&lt;&gt;"Chapter Hunt"),CHOOSE(ArtifactsInput!$N$35+1,15,18,21,24,27,30)*(1-EXP(-(0.2*B720)*5)),0)+IF(AND(ArtifactsInput!$M$22,Inputs!$B$4&lt;&gt;"Chapter Hunt"),CHOOSE(ArtifactsInput!$N$22+1,10,12,14,16,18,20)*((0*(((0.15*B720*5))^0/1)+1*(((0.15*B720*5))^1/1)+2*(((0.15*B720*5))^2/2)+3*(((0.15*B720*5))^3/6)+4*(((0.15*B720*5))^4/24)+5*(((0.15*B720*5))^5/120))/((((0.15*B720*5))^0/1)+(((0.15*B720*5))^1/1)+(((0.15*B720*5))^2/2)+(((0.15*B720*5))^3/6)+(((0.15*B720*5))^4/24)+(((0.15*B720*5))^5/120))),0)))/100)*(MIN(MIN(10,IF(Inputs!$B$3&gt;=75,0.75,0.5)*B720*(1/Q686)),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687">
      <c r="A687">
        <f>Skills!A5</f>
        <v/>
      </c>
      <c r="B687">
        <f>Skills!B5</f>
        <v/>
      </c>
      <c r="C687">
        <f>Inputs!$B$3&gt;=75</f>
        <v/>
      </c>
      <c r="D687">
        <f>IF(Skills!C5=1,60+Inputs!$B$25+Inputs!$B$29,IF(Skills!C5=2,90+Inputs!$B$26+Inputs!$B$29,IF(Skills!C5=3,120+Inputs!$B$27+Inputs!$B$29,MAX(0,(Inputs!$B$3-100)*3)+Inputs!$B$28+Inputs!$B$29)))</f>
        <v/>
      </c>
      <c r="E687">
        <f>INDEX(FactorTable!$B$2:$Y$301, MATCH(ROUND(MIN(300,MAX(1,D687)),0), FactorTable!$A$2:$A$301,0), Skills!M5+1)</f>
        <v/>
      </c>
      <c r="F687">
        <f>IF(Skills!N5=TRUE,(Skills!L5/10)*(E687/1000),Skills!L5/10)+Skills!O5</f>
        <v/>
      </c>
      <c r="G687">
        <f>Skills!G5*IF(Skills!H5&gt;0,IF(Inputs!$B$39="pvp",MIN(Skills!I5,15),Skills!I5)/Skills!H5,1)</f>
        <v/>
      </c>
      <c r="H687">
        <f>1-(1-Skills!J5/100)^Skills!K5</f>
        <v/>
      </c>
      <c r="I687" t="inlineStr">
        <is>
          <t>1</t>
        </is>
      </c>
      <c r="J687" t="inlineStr"/>
      <c r="K687" t="inlineStr"/>
      <c r="L687" t="inlineStr"/>
      <c r="M687" t="inlineStr"/>
      <c r="N687" t="inlineStr"/>
      <c r="O687">
        <f>(1-Summary!$B$11)*T687+Summary!$B$11*V687</f>
        <v/>
      </c>
      <c r="P687">
        <f>IF(B728=0,0,O687/B728)</f>
        <v/>
      </c>
      <c r="Q687" t="n">
        <v>0</v>
      </c>
      <c r="R687" t="n">
        <v>0</v>
      </c>
      <c r="S687">
        <f>IFERROR(O687/N687,0)</f>
        <v/>
      </c>
      <c r="T687" t="n">
        <v>0</v>
      </c>
      <c r="V687" t="n">
        <v>0</v>
      </c>
    </row>
    <row r="688">
      <c r="A688">
        <f>Skills!A6</f>
        <v/>
      </c>
      <c r="B688">
        <f>Skills!B6</f>
        <v/>
      </c>
      <c r="C688">
        <f>Inputs!$B$3&gt;=63</f>
        <v/>
      </c>
      <c r="D688">
        <f>IF(Skills!C6=1,60+Inputs!$B$25+Inputs!$B$29,IF(Skills!C6=2,90+Inputs!$B$26+Inputs!$B$29,IF(Skills!C6=3,120+Inputs!$B$27+Inputs!$B$29,MAX(0,(Inputs!$B$3-100)*3)+Inputs!$B$28+Inputs!$B$29)))</f>
        <v/>
      </c>
      <c r="E688">
        <f>INDEX(FactorTable!$B$2:$Y$301, MATCH(ROUND(MIN(300,MAX(1,D688)),0), FactorTable!$A$2:$A$301,0), Skills!M6+1)</f>
        <v/>
      </c>
      <c r="F688">
        <f>IF(Skills!N6=TRUE,(Skills!L6/10)*(E688/1000),Skills!L6/10)+Skills!O6</f>
        <v/>
      </c>
      <c r="G688">
        <f>Skills!G6*IF(Skills!H6&gt;0,IF(Inputs!$B$39="pvp",MIN(Skills!I6,15),Skills!I6)/Skills!H6,1)</f>
        <v/>
      </c>
      <c r="H688">
        <f>1-(1-Skills!J6/100)^Skills!K6</f>
        <v/>
      </c>
      <c r="I688" t="inlineStr">
        <is>
          <t>1</t>
        </is>
      </c>
      <c r="J688">
        <f>((Inputs!$B$6*(1+Inputs!$B$7/100))+(((Inputs!$B$12*(1+Inputs!$B$13/100))-(Inputs!$B$12*(1+Inputs!$B$13/100)))+0.25*(Inputs!$B$14-Inputs!$B$14))*(1+Inputs!$B$7/100))*(F688/100)</f>
        <v/>
      </c>
      <c r="K688">
        <f>J688*(1+((Inputs!$B$12*(1+Inputs!$B$13/100))*0.01+Inputs!$B$14*0.0025)/100)*(1+Inputs!$B$15/100)*(1+Inputs!$B$16/100)*(5000/(6000+Inputs!$B$43*(1-(100*(1-(1-Inputs!$B$19/100)*(1-CHOOSE(ArtifactsInput!$N$40+1,5,6,7,8,9,10)/100)^(ArtifactsInput!$M$40-ArtifactsInput!$M$40)))/100)))*(1+(Inputs!$B$24+((C713=TRUE)*(F713-Calc!F31))+((C700=TRUE)*(F700-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(1-(1-Inputs!$B$11/150)*(1-1/150))*150)-60))),0)-IF(ArtifactsInput!$M$34,MIN(CHOOSE(ArtifactsInput!$N$34+1,10,12,14,16,18,20),MAX(0,(CHOOSE(ArtifactsInput!$N$34+1,0.5,0.6,0.7,0.8,0.9,1)/3)*(Inputs!$B$11-60))),0)))/100)*(1+2.6666666666666665*IF(C701=TRUE,F701,0)/100)*(1+(IF(Skills!A6="CRUEL_STAB",Inputs!$B$17+((C710=TRUE)*(F710-Calc!F28))+((IF(AND(Inputs!$B$39&lt;&gt;"pvp",Inputs!$B$44=0),1,IF(IF(Inputs!$B$39="pvp",15,Inputs!$B$44)-(B727)&lt;=0,1,MAX(0,IF(Inputs!$B$39="pvp",15,Inputs!$B$44)-MAX(5,B727))/(IF(Inputs!$B$39="pvp",15,Inputs!$B$44)-(B727))))*(IF(AND(ArtifactsInput!$M$42,((Inputs!$B$9+((C708=TRUE)*(F708-Calc!F26))+B716+(ArtifactsInput!$M$24-ArtifactsInput!$M$24)*CHOOSE(ArtifactsInput!$N$24+1,10,12,14,16,18,20)+IF(ArtifactsInput!$M$10,CHOOSE(ArtifactsInput!$N$10+1,15,18,21,24,27,30)*(IF(Inputs!$B$39="pvp",MIN(15,15)/15,IF(AND(Inputs!$B$39&lt;&gt;"pvp",Inputs!$B$44&gt;0),MIN(15,Inputs!$B$44)/(Inputs!$B$44),0))),0)))&gt;=100),MIN(100,((Inputs!$B$9+((C708=TRUE)*(F708-Calc!F26))+B716+(ArtifactsInput!$M$24-ArtifactsInput!$M$24)*CHOOSE(ArtifactsInput!$N$24+1,10,12,14,16,18,20)+IF(ArtifactsInput!$M$10,CHOOSE(ArtifactsInput!$N$10+1,15,18,21,24,27,30)*(IF(Inputs!$B$39="pvp",MIN(15,15)/15,IF(AND(Inputs!$B$39&lt;&gt;"pvp",Inputs!$B$44&gt;0),MIN(15,Inputs!$B$44)/(Inputs!$B$44),0))),0)))-100),0))*CHOOSE(ArtifactsInput!$N$42+1,0.6,0.72,0.84,0.96,1.08,1.2))),Inputs!$B$18+((C711=TRUE)*(F711-Calc!F29))+(IF(AND(Inputs!$B$39&lt;&gt;"pvp",Inputs!$B$44=0),1,IF(IF(Inputs!$B$39="pvp",15,Inputs!$B$44)-(B727)&lt;=0,1,MAX(0,IF(Inputs!$B$39="pvp",15,Inputs!$B$44)-MAX(5,B727))/(IF(Inputs!$B$39="pvp",15,Inputs!$B$44)-(B727))))*IF(AND(ArtifactsInput!$M$42,((Inputs!$B$9+((C708=TRUE)*(F708-Calc!F26))+B716+(ArtifactsInput!$M$24-ArtifactsInput!$M$24)*CHOOSE(ArtifactsInput!$N$24+1,10,12,14,16,18,20)+IF(ArtifactsInput!$M$10,CHOOSE(ArtifactsInput!$N$10+1,15,18,21,24,27,30)*(IF(Inputs!$B$39="pvp",MIN(15,15)/15,IF(AND(Inputs!$B$39&lt;&gt;"pvp",Inputs!$B$44&gt;0),MIN(15,Inputs!$B$44)/(Inputs!$B$44),0))),0)))&gt;=100),CHOOSE(ArtifactsInput!$N$42+1,40,48,56,64,72,80),0))))/100)*(((1+(((C704=TRUE)*F704*IF(AND(Inputs!$B$39&lt;&gt;"pvp",Inputs!$B$44&gt;0),(((R704-1)*MIN((Skills!Y22*(1+Inputs!$B$34/100)),(1/Q704))+MIN((Skills!Y22*(1+Inputs!$B$34/100)),MAX(0,Inputs!$B$44-((R704-1)*(1/Q704)))))/Inputs!$B$44),IF(Inputs!$B$39="pvp",MIN((Skills!Y22*(1+Inputs!$B$34/100)),15)/15,MIN(1,(Skills!Y22*(1+Inputs!$B$34/100))/(1/Q704)))))+((C685=TRUE)*F685*3)+((C687=TRUE)*F687*(1-EXP(-0.75*B720*5)))+((C706=TRUE)*(F706-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693=TRUE)*F693*IF(AND(Inputs!$B$39&lt;&gt;"pvp",Inputs!$B$44&gt;0),(((R693-1)*MIN((Skills!Y11*(1+Inputs!$B$34/100)),(1/Q693))+MIN((Skills!Y11*(1+Inputs!$B$34/100)),MAX(0,Inputs!$B$44-((R693-1)*(1/Q693)))))/Inputs!$B$44),IF(Inputs!$B$39="pvp",MIN((Skills!Y11*(1+Inputs!$B$34/100)),15)/15,MIN(1,(Skills!Y11*(1+Inputs!$B$34/100))/(1/Q693)))))/100)*(1+((C698=TRUE)*F698*IF(AND(Inputs!$B$39&lt;&gt;"pvp",Inputs!$B$44&gt;0),(((R698-1)*MIN((Skills!Y16*(1+Inputs!$B$34/100)),(1/Q698))+MIN((Skills!Y16*(1+Inputs!$B$34/100)),MAX(0,Inputs!$B$44-((R698-1)*(1/Q698)))))/Inputs!$B$44),IF(Inputs!$B$39="pvp",MIN((Skills!Y16*(1+Inputs!$B$34/100)),15)/15,MIN(1,(Skills!Y16*(1+Inputs!$B$34/100))/(1/Q698)))))/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718*I688)</f>
        <v/>
      </c>
      <c r="L688">
        <f>K688*(MIN(Inputs!$B$22+((C707=TRUE)*(F707-Calc!F25)),(Inputs!$B$23+((C712=TRUE)*(F712-Calc!F30))+IF(ArtifactsInput!$M$15,CHOOSE(ArtifactsInput!$N$15+1,25,30,35,40,45,50)/100*(((1-(1-Inputs!$B$11/150)*(1-1/150))*150)-Inputs!$B$11),0)))/100+(Inputs!$B$23+((C712=TRUE)*(F712-Calc!F30))+IF(ArtifactsInput!$M$15,CHOOSE(ArtifactsInput!$N$15+1,25,30,35,40,45,50)/100*(((1-(1-Inputs!$B$11/150)*(1-1/150))*150)-Inputs!$B$11),0))/100)/2</f>
        <v/>
      </c>
      <c r="M688">
        <f>L688*(1+(Inputs!$B$10+((C709=TRUE)*(F709-Calc!F27))+B723+(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688">
        <f>L688*(1-MIN((Inputs!$B$9+((C708=TRUE)*(F708-Calc!F26))+B716+(ArtifactsInput!$M$24-ArtifactsInput!$M$24)*CHOOSE(ArtifactsInput!$N$24+1,10,12,14,16,18,20)+(IF(AND(Inputs!$B$39&lt;&gt;"pvp",Inputs!$B$44=0),1,IF(IF(Inputs!$B$39="pvp",15,Inputs!$B$44)-(B727)&lt;=0,1,MAX(0,IF(Inputs!$B$39="pvp",15,Inputs!$B$44)-MAX(5,B727))/(IF(Inputs!$B$39="pvp",15,Inputs!$B$44)-(B727))))*IF(AND(ArtifactsInput!$M$42,((Inputs!$B$9+((C708=TRUE)*(F708-Calc!F26))+B716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688*(MIN((Inputs!$B$9+((C708=TRUE)*(F708-Calc!F26))+B716+(ArtifactsInput!$M$24-ArtifactsInput!$M$24)*CHOOSE(ArtifactsInput!$N$24+1,10,12,14,16,18,20)+(IF(AND(Inputs!$B$39&lt;&gt;"pvp",Inputs!$B$44=0),1,IF(IF(Inputs!$B$39="pvp",15,Inputs!$B$44)-(B727)&lt;=0,1,MAX(0,IF(Inputs!$B$39="pvp",15,Inputs!$B$44)-MAX(5,B727))/(IF(Inputs!$B$39="pvp",15,Inputs!$B$44)-(B727))))*IF(AND(ArtifactsInput!$M$42,((Inputs!$B$9+((C708=TRUE)*(F708-Calc!F26))+B716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688">
        <f>(1-Summary!$B$11)*T688+Summary!$B$11*V688</f>
        <v/>
      </c>
      <c r="P688">
        <f>IF(B728=0,0,O688/B728)</f>
        <v/>
      </c>
      <c r="Q688">
        <f>IFERROR(1/IF(Inputs!$B$39="pvp",15,MAX(0.1,Skills!D6-IF(TRUE=TRUE,Inputs!$B$32,0))),0)</f>
        <v/>
      </c>
      <c r="R688">
        <f>IF(AND(Inputs!$B$39&lt;&gt;"pvp",Inputs!$B$44&gt;0),IF(MAX(0,Inputs!$B$44-B727)&lt;=0,0,(INT(MAX(0,Inputs!$B$44-B727)/IF(Inputs!$B$39="pvp",15,MAX(0.1,Skills!D6-IF(TRUE=TRUE,Inputs!$B$32,0))))+1)),0)</f>
        <v/>
      </c>
      <c r="S688">
        <f>IFERROR(O688/N688,0)</f>
        <v/>
      </c>
      <c r="T688">
        <f>IF(C688,(H688*N688*IF(AND(Inputs!$B$39&lt;&gt;"pvp",Inputs!$B$44&gt;0),((Skills!G6*((R688-1)*IF(Skills!H6&gt;0,Skills!I6/Skills!H6,1)+IF(Skills!H6&gt;0,MIN(Skills!I6,MAX(0,MAX(0,Inputs!$B$44-B727)-((R688-1)*IF(Inputs!$B$39="pvp",15,MAX(0.1,Skills!D6-IF(TRUE=TRUE,Inputs!$B$32,0))))))/Skills!H6,1)))/Inputs!$B$44),G688*Q688))*IF(Inputs!$B$39="pvp",1,1+(Inputs!$B$20+0+Skills!P6+B717+(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Hunt"),CHOOSE(ArtifactsInput!$N$35+1,15,18,21,24,27,30)*(1-EXP(-(0.2*B720)*5)),0)+IF(AND(ArtifactsInput!$M$22,Inputs!$B$4&lt;&gt;"Chapter Hunt"),CHOOSE(ArtifactsInput!$N$22+1,10,12,14,16,18,20)*((0*(((0.15*B720*5))^0/1)+1*(((0.15*B720*5))^1/1)+2*(((0.15*B720*5))^2/2)+3*(((0.15*B720*5))^3/6)+4*(((0.15*B720*5))^4/24)+5*(((0.15*B720*5))^5/120))/((((0.15*B720*5))^0/1)+(((0.15*B720*5))^1/1)+(((0.15*B720*5))^2/2)+(((0.15*B720*5))^3/6)+(((0.15*B720*5))^4/24)+(((0.15*B720*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688*(1-MIN(100,(Inputs!$B$9+((C708=TRUE)*(F708-Calc!F26))+B716+(ArtifactsInput!$M$24-ArtifactsInput!$M$24)*CHOOSE(ArtifactsInput!$N$24+1,10,12,14,16,18,20)+(IF(AND(Inputs!$B$39&lt;&gt;"pvp",Inputs!$B$44=0),1,IF(IF(Inputs!$B$39="pvp",15,Inputs!$B$44)-(B727)&lt;=0,1,MAX(0,IF(Inputs!$B$39="pvp",15,Inputs!$B$44)-MAX(5,B727))/(IF(Inputs!$B$39="pvp",15,Inputs!$B$44)-(B727))))*IF(AND(ArtifactsInput!$M$42,((Inputs!$B$9+((C708=TRUE)*(F708-Calc!F26))+B716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688*(MIN(100,(Inputs!$B$9+((C708=TRUE)*(F708-Calc!F26))+B716+(ArtifactsInput!$M$24-ArtifactsInput!$M$24)*CHOOSE(ArtifactsInput!$N$24+1,10,12,14,16,18,20)+(IF(AND(Inputs!$B$39&lt;&gt;"pvp",Inputs!$B$44=0),1,IF(IF(Inputs!$B$39="pvp",15,Inputs!$B$44)-(B727)&lt;=0,1,MAX(0,IF(Inputs!$B$39="pvp",15,Inputs!$B$44)-MAX(5,B727))/(IF(Inputs!$B$39="pvp",15,Inputs!$B$44)-(B727))))*IF(AND(ArtifactsInput!$M$42,((Inputs!$B$9+((C708=TRUE)*(F708-Calc!F26))+B716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688*(1-MIN(100,(Inputs!$B$9+((C708=TRUE)*(F708-Calc!F26))+B716+(ArtifactsInput!$M$24-ArtifactsInput!$M$24)*CHOOSE(ArtifactsInput!$N$24+1,10,12,14,16,18,20)+(IF(AND(Inputs!$B$39&lt;&gt;"pvp",Inputs!$B$44=0),1,IF(IF(Inputs!$B$39="pvp",15,Inputs!$B$44)-(B727)&lt;=0,1,MAX(0,IF(Inputs!$B$39="pvp",15,Inputs!$B$44)-MAX(5,B727))/(IF(Inputs!$B$39="pvp",15,Inputs!$B$44)-(B727))))*IF(AND(ArtifactsInput!$M$42,((Inputs!$B$9+((C708=TRUE)*(F708-Calc!F26))+B716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688*(MIN(100,(Inputs!$B$9+((C708=TRUE)*(F708-Calc!F26))+B716+(ArtifactsInput!$M$24-ArtifactsInput!$M$24)*CHOOSE(ArtifactsInput!$N$24+1,10,12,14,16,18,20)+(IF(AND(Inputs!$B$39&lt;&gt;"pvp",Inputs!$B$44=0),1,IF(IF(Inputs!$B$39="pvp",15,Inputs!$B$44)-(B727)&lt;=0,1,MAX(0,IF(Inputs!$B$39="pvp",15,Inputs!$B$44)-MAX(5,B727))/(IF(Inputs!$B$39="pvp",15,Inputs!$B$44)-(B727))))*IF(AND(ArtifactsInput!$M$42,((Inputs!$B$9+((C708=TRUE)*(F708-Calc!F26))+B716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688">
        <f>IF(C688,(H688*N688*IF(AND(Inputs!$B$39&lt;&gt;"pvp",Inputs!$B$44&gt;0),((Skills!G6*((R688-1)*IF(Skills!H6&gt;0,Skills!I6/Skills!H6,1)+IF(Skills!H6&gt;0,MIN(Skills!I6,MAX(0,MAX(0,Inputs!$B$44-B727)-((R688-1)*IF(Inputs!$B$39="pvp",15,MAX(0.1,Skills!D6-IF(TRUE=TRUE,Inputs!$B$32,0))))))/Skills!H6,1)))/Inputs!$B$44),G688*Q688))*IF(Inputs!$B$39="pvp",1,(1+(Inputs!$B$21+Skills!Q6+B717+(IF(ArtifactsInput!$M$33,CHOOSE(ArtifactsInput!$N$33+1,30,36,42,48,54,60),0))+(IF(AND(ArtifactsInput!$M$35,Inputs!$B$4&lt;&gt;"Chapter Hunt"),CHOOSE(ArtifactsInput!$N$35+1,15,18,21,24,27,30)*(1-EXP(-(0.2*B720)*5)),0)+IF(AND(ArtifactsInput!$M$22,Inputs!$B$4&lt;&gt;"Chapter Hunt"),CHOOSE(ArtifactsInput!$N$22+1,10,12,14,16,18,20)*((0*(((0.15*B720*5))^0/1)+1*(((0.15*B720*5))^1/1)+2*(((0.15*B720*5))^2/2)+3*(((0.15*B720*5))^3/6)+4*(((0.15*B720*5))^4/24)+5*(((0.15*B720*5))^5/120))/((((0.15*B720*5))^0/1)+(((0.15*B720*5))^1/1)+(((0.15*B720*5))^2/2)+(((0.15*B720*5))^3/6)+(((0.15*B720*5))^4/24)+(((0.15*B720*5))^5/120))),0)))/100)*(MIN(Skills!W6,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689">
      <c r="A689">
        <f>Skills!A7</f>
        <v/>
      </c>
      <c r="B689">
        <f>Skills!B7</f>
        <v/>
      </c>
      <c r="C689">
        <f>Inputs!$B$3&gt;=69</f>
        <v/>
      </c>
      <c r="D689">
        <f>IF(Skills!C7=1,60+Inputs!$B$25+Inputs!$B$29,IF(Skills!C7=2,90+Inputs!$B$26+Inputs!$B$29,IF(Skills!C7=3,120+Inputs!$B$27+Inputs!$B$29,MAX(0,(Inputs!$B$3-100)*3)+Inputs!$B$28+Inputs!$B$29)))</f>
        <v/>
      </c>
      <c r="E689">
        <f>INDEX(FactorTable!$B$2:$Y$301, MATCH(ROUND(MIN(300,MAX(1,D689)),0), FactorTable!$A$2:$A$301,0), Skills!M7+1)</f>
        <v/>
      </c>
      <c r="F689">
        <f>IF(Skills!N7=TRUE,(Skills!L7/10)*(E689/1000),Skills!L7/10)+Skills!O7</f>
        <v/>
      </c>
      <c r="G689">
        <f>Skills!G7*IF(Skills!H7&gt;0,IF(Inputs!$B$39="pvp",MIN(Skills!I7,15),Skills!I7)/Skills!H7,1)</f>
        <v/>
      </c>
      <c r="H689">
        <f>1-(1-Skills!J7/100)^Skills!K7</f>
        <v/>
      </c>
      <c r="I689" t="inlineStr">
        <is>
          <t>1</t>
        </is>
      </c>
      <c r="J689">
        <f>((Inputs!$B$6*(1+Inputs!$B$7/100))+(((Inputs!$B$12*(1+Inputs!$B$13/100))-(Inputs!$B$12*(1+Inputs!$B$13/100)))+0.25*(Inputs!$B$14-Inputs!$B$14))*(1+Inputs!$B$7/100))*(F689/100)</f>
        <v/>
      </c>
      <c r="K689">
        <f>J689*(1+((Inputs!$B$12*(1+Inputs!$B$13/100))*0.01+Inputs!$B$14*0.0025)/100)*(1+Inputs!$B$15/100)*(1+Inputs!$B$16/100)*(5000/(6000+Inputs!$B$43*(1-(100*(1-(1-Inputs!$B$19/100)*(1-CHOOSE(ArtifactsInput!$N$40+1,5,6,7,8,9,10)/100)^(ArtifactsInput!$M$40-ArtifactsInput!$M$40)))/100)))*(1+(Inputs!$B$24+((C713=TRUE)*(F713-Calc!F31))+((C700=TRUE)*(F700-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(1-(1-Inputs!$B$11/150)*(1-1/150))*150)-60))),0)-IF(ArtifactsInput!$M$34,MIN(CHOOSE(ArtifactsInput!$N$34+1,10,12,14,16,18,20),MAX(0,(CHOOSE(ArtifactsInput!$N$34+1,0.5,0.6,0.7,0.8,0.9,1)/3)*(Inputs!$B$11-60))),0)))/100)*(1+1.0*IF(C701=TRUE,F701,0)/100)*(1+(IF(Skills!A7="CRUEL_STAB",Inputs!$B$17+((C710=TRUE)*(F710-Calc!F28))+((IF(AND(Inputs!$B$39&lt;&gt;"pvp",Inputs!$B$44=0),1,IF(IF(Inputs!$B$39="pvp",15,Inputs!$B$44)-(B727)&lt;=0,1,MAX(0,IF(Inputs!$B$39="pvp",15,Inputs!$B$44)-MAX(5,B727))/(IF(Inputs!$B$39="pvp",15,Inputs!$B$44)-(B727))))*(IF(AND(ArtifactsInput!$M$42,((Inputs!$B$9+((C708=TRUE)*(F708-Calc!F26))+B716+(ArtifactsInput!$M$24-ArtifactsInput!$M$24)*CHOOSE(ArtifactsInput!$N$24+1,10,12,14,16,18,20)+IF(ArtifactsInput!$M$10,CHOOSE(ArtifactsInput!$N$10+1,15,18,21,24,27,30)*(IF(Inputs!$B$39="pvp",MIN(15,15)/15,IF(AND(Inputs!$B$39&lt;&gt;"pvp",Inputs!$B$44&gt;0),MIN(15,Inputs!$B$44)/(Inputs!$B$44),0))),0)))&gt;=100),MIN(100,((Inputs!$B$9+((C708=TRUE)*(F708-Calc!F26))+B716+(ArtifactsInput!$M$24-ArtifactsInput!$M$24)*CHOOSE(ArtifactsInput!$N$24+1,10,12,14,16,18,20)+IF(ArtifactsInput!$M$10,CHOOSE(ArtifactsInput!$N$10+1,15,18,21,24,27,30)*(IF(Inputs!$B$39="pvp",MIN(15,15)/15,IF(AND(Inputs!$B$39&lt;&gt;"pvp",Inputs!$B$44&gt;0),MIN(15,Inputs!$B$44)/(Inputs!$B$44),0))),0)))-100),0))*CHOOSE(ArtifactsInput!$N$42+1,0.6,0.72,0.84,0.96,1.08,1.2))),Inputs!$B$18+((C711=TRUE)*(F711-Calc!F29))+(IF(AND(Inputs!$B$39&lt;&gt;"pvp",Inputs!$B$44=0),1,IF(IF(Inputs!$B$39="pvp",15,Inputs!$B$44)-(B727)&lt;=0,1,MAX(0,IF(Inputs!$B$39="pvp",15,Inputs!$B$44)-MAX(5,B727))/(IF(Inputs!$B$39="pvp",15,Inputs!$B$44)-(B727))))*IF(AND(ArtifactsInput!$M$42,((Inputs!$B$9+((C708=TRUE)*(F708-Calc!F26))+B716+(ArtifactsInput!$M$24-ArtifactsInput!$M$24)*CHOOSE(ArtifactsInput!$N$24+1,10,12,14,16,18,20)+IF(ArtifactsInput!$M$10,CHOOSE(ArtifactsInput!$N$10+1,15,18,21,24,27,30)*(IF(Inputs!$B$39="pvp",MIN(15,15)/15,IF(AND(Inputs!$B$39&lt;&gt;"pvp",Inputs!$B$44&gt;0),MIN(15,Inputs!$B$44)/(Inputs!$B$44),0))),0)))&gt;=100),CHOOSE(ArtifactsInput!$N$42+1,40,48,56,64,72,80),0))))/100)*(((1+(((C704=TRUE)*F704*IF(AND(Inputs!$B$39&lt;&gt;"pvp",Inputs!$B$44&gt;0),(((R704-1)*MIN((Skills!Y22*(1+Inputs!$B$34/100)),(1/Q704))+MIN((Skills!Y22*(1+Inputs!$B$34/100)),MAX(0,Inputs!$B$44-((R704-1)*(1/Q704)))))/Inputs!$B$44),IF(Inputs!$B$39="pvp",MIN((Skills!Y22*(1+Inputs!$B$34/100)),15)/15,MIN(1,(Skills!Y22*(1+Inputs!$B$34/100))/(1/Q704)))))+((C685=TRUE)*F685*3)+((C687=TRUE)*F687*(1-EXP(-0.75*B720*5)))+((C706=TRUE)*(F706-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693=TRUE)*F693*IF(AND(Inputs!$B$39&lt;&gt;"pvp",Inputs!$B$44&gt;0),(((R693-1)*MIN((Skills!Y11*(1+Inputs!$B$34/100)),(1/Q693))+MIN((Skills!Y11*(1+Inputs!$B$34/100)),MAX(0,Inputs!$B$44-((R693-1)*(1/Q693)))))/Inputs!$B$44),IF(Inputs!$B$39="pvp",MIN((Skills!Y11*(1+Inputs!$B$34/100)),15)/15,MIN(1,(Skills!Y11*(1+Inputs!$B$34/100))/(1/Q693)))))/100)*(1+((C698=TRUE)*F698*IF(AND(Inputs!$B$39&lt;&gt;"pvp",Inputs!$B$44&gt;0),(((R698-1)*MIN((Skills!Y16*(1+Inputs!$B$34/100)),(1/Q698))+MIN((Skills!Y16*(1+Inputs!$B$34/100)),MAX(0,Inputs!$B$44-((R698-1)*(1/Q698)))))/Inputs!$B$44),IF(Inputs!$B$39="pvp",MIN((Skills!Y16*(1+Inputs!$B$34/100)),15)/15,MIN(1,(Skills!Y16*(1+Inputs!$B$34/100))/(1/Q698)))))/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718*I689)</f>
        <v/>
      </c>
      <c r="L689">
        <f>K689*(MIN(Inputs!$B$22+((C707=TRUE)*(F707-Calc!F25)),(Inputs!$B$23+((C712=TRUE)*(F712-Calc!F30))+IF(ArtifactsInput!$M$15,CHOOSE(ArtifactsInput!$N$15+1,25,30,35,40,45,50)/100*(((1-(1-Inputs!$B$11/150)*(1-1/150))*150)-Inputs!$B$11),0)))/100+(Inputs!$B$23+((C712=TRUE)*(F712-Calc!F30))+IF(ArtifactsInput!$M$15,CHOOSE(ArtifactsInput!$N$15+1,25,30,35,40,45,50)/100*(((1-(1-Inputs!$B$11/150)*(1-1/150))*150)-Inputs!$B$11),0))/100)/2</f>
        <v/>
      </c>
      <c r="M689">
        <f>L689*(1+(Inputs!$B$10+((C709=TRUE)*(F709-Calc!F27))+B723+(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689">
        <f>L689*(1-MIN((Inputs!$B$9+((C708=TRUE)*(F708-Calc!F26))+B716+(ArtifactsInput!$M$24-ArtifactsInput!$M$24)*CHOOSE(ArtifactsInput!$N$24+1,10,12,14,16,18,20)+(IF(AND(Inputs!$B$39&lt;&gt;"pvp",Inputs!$B$44=0),1,IF(IF(Inputs!$B$39="pvp",15,Inputs!$B$44)-(B727)&lt;=0,1,MAX(0,IF(Inputs!$B$39="pvp",15,Inputs!$B$44)-MAX(5,B727))/(IF(Inputs!$B$39="pvp",15,Inputs!$B$44)-(B727))))*IF(AND(ArtifactsInput!$M$42,((Inputs!$B$9+((C708=TRUE)*(F708-Calc!F26))+B716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689*(MIN((Inputs!$B$9+((C708=TRUE)*(F708-Calc!F26))+B716+(ArtifactsInput!$M$24-ArtifactsInput!$M$24)*CHOOSE(ArtifactsInput!$N$24+1,10,12,14,16,18,20)+(IF(AND(Inputs!$B$39&lt;&gt;"pvp",Inputs!$B$44=0),1,IF(IF(Inputs!$B$39="pvp",15,Inputs!$B$44)-(B727)&lt;=0,1,MAX(0,IF(Inputs!$B$39="pvp",15,Inputs!$B$44)-MAX(5,B727))/(IF(Inputs!$B$39="pvp",15,Inputs!$B$44)-(B727))))*IF(AND(ArtifactsInput!$M$42,((Inputs!$B$9+((C708=TRUE)*(F708-Calc!F26))+B716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689">
        <f>(1-Summary!$B$11)*T689+Summary!$B$11*V689</f>
        <v/>
      </c>
      <c r="P689">
        <f>IF(B728=0,0,O689/B728)</f>
        <v/>
      </c>
      <c r="Q689">
        <f>IFERROR(1/IF(Inputs!$B$39="pvp",15,MAX(0.1,Skills!D7-IF(TRUE=TRUE,Inputs!$B$32,0))),0)</f>
        <v/>
      </c>
      <c r="R689">
        <f>IF(AND(Inputs!$B$39&lt;&gt;"pvp",Inputs!$B$44&gt;0),IF(MAX(0,Inputs!$B$44-B727)&lt;=0,0,(INT(MAX(0,Inputs!$B$44-B727)/IF(Inputs!$B$39="pvp",15,MAX(0.1,Skills!D7-IF(TRUE=TRUE,Inputs!$B$32,0))))+1)),0)</f>
        <v/>
      </c>
      <c r="S689">
        <f>IFERROR(O689/N689,0)</f>
        <v/>
      </c>
      <c r="T689">
        <f>IF(C689,(H689*N689*IF(AND(Inputs!$B$39&lt;&gt;"pvp",Inputs!$B$44&gt;0),((Skills!G7*((R689-1)*IF(Skills!H7&gt;0,Skills!I7/Skills!H7,1)+IF(Skills!H7&gt;0,MIN(Skills!I7,MAX(0,MAX(0,Inputs!$B$44-B727)-((R689-1)*IF(Inputs!$B$39="pvp",15,MAX(0.1,Skills!D7-IF(TRUE=TRUE,Inputs!$B$32,0))))))/Skills!H7,1)))/Inputs!$B$44),G689*Q689))*IF(Inputs!$B$39="pvp",1,1+(Inputs!$B$20+0+Skills!P7+B717+(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Hunt"),CHOOSE(ArtifactsInput!$N$35+1,15,18,21,24,27,30)*(1-EXP(-(0.2*B720)*5)),0)+IF(AND(ArtifactsInput!$M$22,Inputs!$B$4&lt;&gt;"Chapter Hunt"),CHOOSE(ArtifactsInput!$N$22+1,10,12,14,16,18,20)*((0*(((0.15*B720*5))^0/1)+1*(((0.15*B720*5))^1/1)+2*(((0.15*B720*5))^2/2)+3*(((0.15*B720*5))^3/6)+4*(((0.15*B720*5))^4/24)+5*(((0.15*B720*5))^5/120))/((((0.15*B720*5))^0/1)+(((0.15*B720*5))^1/1)+(((0.15*B720*5))^2/2)+(((0.15*B720*5))^3/6)+(((0.15*B720*5))^4/24)+(((0.15*B720*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689*(1-MIN(100,(Inputs!$B$9+((C708=TRUE)*(F708-Calc!F26))+B716+(ArtifactsInput!$M$24-ArtifactsInput!$M$24)*CHOOSE(ArtifactsInput!$N$24+1,10,12,14,16,18,20)+(IF(AND(Inputs!$B$39&lt;&gt;"pvp",Inputs!$B$44=0),1,IF(IF(Inputs!$B$39="pvp",15,Inputs!$B$44)-(B727)&lt;=0,1,MAX(0,IF(Inputs!$B$39="pvp",15,Inputs!$B$44)-MAX(5,B727))/(IF(Inputs!$B$39="pvp",15,Inputs!$B$44)-(B727))))*IF(AND(ArtifactsInput!$M$42,((Inputs!$B$9+((C708=TRUE)*(F708-Calc!F26))+B716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689*(MIN(100,(Inputs!$B$9+((C708=TRUE)*(F708-Calc!F26))+B716+(ArtifactsInput!$M$24-ArtifactsInput!$M$24)*CHOOSE(ArtifactsInput!$N$24+1,10,12,14,16,18,20)+(IF(AND(Inputs!$B$39&lt;&gt;"pvp",Inputs!$B$44=0),1,IF(IF(Inputs!$B$39="pvp",15,Inputs!$B$44)-(B727)&lt;=0,1,MAX(0,IF(Inputs!$B$39="pvp",15,Inputs!$B$44)-MAX(5,B727))/(IF(Inputs!$B$39="pvp",15,Inputs!$B$44)-(B727))))*IF(AND(ArtifactsInput!$M$42,((Inputs!$B$9+((C708=TRUE)*(F708-Calc!F26))+B716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689*(1-MIN(100,(Inputs!$B$9+((C708=TRUE)*(F708-Calc!F26))+B716+(ArtifactsInput!$M$24-ArtifactsInput!$M$24)*CHOOSE(ArtifactsInput!$N$24+1,10,12,14,16,18,20)+(IF(AND(Inputs!$B$39&lt;&gt;"pvp",Inputs!$B$44=0),1,IF(IF(Inputs!$B$39="pvp",15,Inputs!$B$44)-(B727)&lt;=0,1,MAX(0,IF(Inputs!$B$39="pvp",15,Inputs!$B$44)-MAX(5,B727))/(IF(Inputs!$B$39="pvp",15,Inputs!$B$44)-(B727))))*IF(AND(ArtifactsInput!$M$42,((Inputs!$B$9+((C708=TRUE)*(F708-Calc!F26))+B716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689*(MIN(100,(Inputs!$B$9+((C708=TRUE)*(F708-Calc!F26))+B716+(ArtifactsInput!$M$24-ArtifactsInput!$M$24)*CHOOSE(ArtifactsInput!$N$24+1,10,12,14,16,18,20)+(IF(AND(Inputs!$B$39&lt;&gt;"pvp",Inputs!$B$44=0),1,IF(IF(Inputs!$B$39="pvp",15,Inputs!$B$44)-(B727)&lt;=0,1,MAX(0,IF(Inputs!$B$39="pvp",15,Inputs!$B$44)-MAX(5,B727))/(IF(Inputs!$B$39="pvp",15,Inputs!$B$44)-(B727))))*IF(AND(ArtifactsInput!$M$42,((Inputs!$B$9+((C708=TRUE)*(F708-Calc!F26))+B716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689">
        <f>IF(C689,(H689*N689*IF(AND(Inputs!$B$39&lt;&gt;"pvp",Inputs!$B$44&gt;0),((Skills!G7*((R689-1)*IF(Skills!H7&gt;0,Skills!I7/Skills!H7,1)+IF(Skills!H7&gt;0,MIN(Skills!I7,MAX(0,MAX(0,Inputs!$B$44-B727)-((R689-1)*IF(Inputs!$B$39="pvp",15,MAX(0.1,Skills!D7-IF(TRUE=TRUE,Inputs!$B$32,0))))))/Skills!H7,1)))/Inputs!$B$44),G689*Q689))*IF(Inputs!$B$39="pvp",1,(1+(Inputs!$B$21+Skills!Q7+B717+(IF(ArtifactsInput!$M$33,CHOOSE(ArtifactsInput!$N$33+1,30,36,42,48,54,60),0))+(IF(AND(ArtifactsInput!$M$35,Inputs!$B$4&lt;&gt;"Chapter Hunt"),CHOOSE(ArtifactsInput!$N$35+1,15,18,21,24,27,30)*(1-EXP(-(0.2*B720)*5)),0)+IF(AND(ArtifactsInput!$M$22,Inputs!$B$4&lt;&gt;"Chapter Hunt"),CHOOSE(ArtifactsInput!$N$22+1,10,12,14,16,18,20)*((0*(((0.15*B720*5))^0/1)+1*(((0.15*B720*5))^1/1)+2*(((0.15*B720*5))^2/2)+3*(((0.15*B720*5))^3/6)+4*(((0.15*B720*5))^4/24)+5*(((0.15*B720*5))^5/120))/((((0.15*B720*5))^0/1)+(((0.15*B720*5))^1/1)+(((0.15*B720*5))^2/2)+(((0.15*B720*5))^3/6)+(((0.15*B720*5))^4/24)+(((0.15*B720*5))^5/120))),0)))/100)*(MIN(Skills!W7,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690">
      <c r="A690">
        <f>Skills!A8</f>
        <v/>
      </c>
      <c r="B690">
        <f>Skills!B8</f>
        <v/>
      </c>
      <c r="C690">
        <f>Inputs!$B$3&gt;=60</f>
        <v/>
      </c>
      <c r="D690">
        <f>IF(Skills!C8=1,60+Inputs!$B$25+Inputs!$B$29,IF(Skills!C8=2,90+Inputs!$B$26+Inputs!$B$29,IF(Skills!C8=3,120+Inputs!$B$27+Inputs!$B$29,MAX(0,(Inputs!$B$3-100)*3)+Inputs!$B$28+Inputs!$B$29)))</f>
        <v/>
      </c>
      <c r="E690">
        <f>INDEX(FactorTable!$B$2:$Y$301, MATCH(ROUND(MIN(300,MAX(1,D690)),0), FactorTable!$A$2:$A$301,0), Skills!M8+1)</f>
        <v/>
      </c>
      <c r="F690">
        <f>IF(Skills!N8=TRUE,(Skills!L8/10)*(E690/1000),Skills!L8/10)+Skills!O8</f>
        <v/>
      </c>
      <c r="G690">
        <f>Skills!G8*IF(Skills!H8&gt;0,IF(Inputs!$B$39="pvp",MIN(Skills!I8,15),Skills!I8)/Skills!H8,1)</f>
        <v/>
      </c>
      <c r="H690">
        <f>1-(1-Skills!J8/100)^Skills!K8</f>
        <v/>
      </c>
      <c r="I690" t="inlineStr">
        <is>
          <t>1</t>
        </is>
      </c>
      <c r="J690" t="inlineStr"/>
      <c r="K690" t="inlineStr"/>
      <c r="L690" t="inlineStr"/>
      <c r="M690" t="inlineStr"/>
      <c r="N690" t="inlineStr"/>
      <c r="O690">
        <f>(1-Summary!$B$11)*T690+Summary!$B$11*V690</f>
        <v/>
      </c>
      <c r="P690">
        <f>IF(B728=0,0,O690/B728)</f>
        <v/>
      </c>
      <c r="Q690" t="n">
        <v>0</v>
      </c>
      <c r="R690" t="n">
        <v>0</v>
      </c>
      <c r="S690">
        <f>IFERROR(O690/N690,0)</f>
        <v/>
      </c>
      <c r="T690" t="n">
        <v>0</v>
      </c>
      <c r="V690" t="n">
        <v>0</v>
      </c>
    </row>
    <row r="691">
      <c r="A691">
        <f>Skills!A9</f>
        <v/>
      </c>
      <c r="B691">
        <f>Skills!B9</f>
        <v/>
      </c>
      <c r="C691">
        <f>Inputs!$B$3&gt;=72</f>
        <v/>
      </c>
      <c r="D691">
        <f>IF(Skills!C9=1,60+Inputs!$B$25+Inputs!$B$29,IF(Skills!C9=2,90+Inputs!$B$26+Inputs!$B$29,IF(Skills!C9=3,120+Inputs!$B$27+Inputs!$B$29,MAX(0,(Inputs!$B$3-100)*3)+Inputs!$B$28+Inputs!$B$29)))</f>
        <v/>
      </c>
      <c r="E691">
        <f>INDEX(FactorTable!$B$2:$Y$301, MATCH(ROUND(MIN(300,MAX(1,D691)),0), FactorTable!$A$2:$A$301,0), Skills!M9+1)</f>
        <v/>
      </c>
      <c r="F691">
        <f>IF(Skills!N9=TRUE,(Skills!L9/10)*(E691/1000),Skills!L9/10)+Skills!O9</f>
        <v/>
      </c>
      <c r="G691">
        <f>Skills!G9*IF(Skills!H9&gt;0,IF(Inputs!$B$39="pvp",MIN(Skills!I9,15),Skills!I9)/Skills!H9,1)</f>
        <v/>
      </c>
      <c r="H691">
        <f>1-(1-Skills!J9/100)^Skills!K9</f>
        <v/>
      </c>
      <c r="I691" t="inlineStr">
        <is>
          <t>1</t>
        </is>
      </c>
      <c r="J691">
        <f>((Inputs!$B$6*(1+Inputs!$B$7/100))+(((Inputs!$B$12*(1+Inputs!$B$13/100))-(Inputs!$B$12*(1+Inputs!$B$13/100)))+0.25*(Inputs!$B$14-Inputs!$B$14))*(1+Inputs!$B$7/100))*(F691/100)</f>
        <v/>
      </c>
      <c r="K691">
        <f>J691*(1+((Inputs!$B$12*(1+Inputs!$B$13/100))*0.01+Inputs!$B$14*0.0025)/100)*(1+Inputs!$B$15/100)*(1+Inputs!$B$16/100)*(5000/(6000+Inputs!$B$43*(1-(100*(1-(1-Inputs!$B$19/100)*(1-CHOOSE(ArtifactsInput!$N$40+1,5,6,7,8,9,10)/100)^(ArtifactsInput!$M$40-ArtifactsInput!$M$40)))/100)))*(1+(Inputs!$B$24+((C713=TRUE)*(F713-Calc!F31))+((C700=TRUE)*(F700-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(1-(1-Inputs!$B$11/150)*(1-1/150))*150)-60))),0)-IF(ArtifactsInput!$M$34,MIN(CHOOSE(ArtifactsInput!$N$34+1,10,12,14,16,18,20),MAX(0,(CHOOSE(ArtifactsInput!$N$34+1,0.5,0.6,0.7,0.8,0.9,1)/3)*(Inputs!$B$11-60))),0)))/100)*(1+3.3333333333333335*IF(C701=TRUE,F701,0)/100)*(1+(IF(Skills!A9="CRUEL_STAB",Inputs!$B$17+((C710=TRUE)*(F710-Calc!F28))+((IF(AND(Inputs!$B$39&lt;&gt;"pvp",Inputs!$B$44=0),1,IF(IF(Inputs!$B$39="pvp",15,Inputs!$B$44)-(B727)&lt;=0,1,MAX(0,IF(Inputs!$B$39="pvp",15,Inputs!$B$44)-MAX(5,B727))/(IF(Inputs!$B$39="pvp",15,Inputs!$B$44)-(B727))))*(IF(AND(ArtifactsInput!$M$42,((Inputs!$B$9+((C708=TRUE)*(F708-Calc!F26))+B716+(ArtifactsInput!$M$24-ArtifactsInput!$M$24)*CHOOSE(ArtifactsInput!$N$24+1,10,12,14,16,18,20)+IF(ArtifactsInput!$M$10,CHOOSE(ArtifactsInput!$N$10+1,15,18,21,24,27,30)*(IF(Inputs!$B$39="pvp",MIN(15,15)/15,IF(AND(Inputs!$B$39&lt;&gt;"pvp",Inputs!$B$44&gt;0),MIN(15,Inputs!$B$44)/(Inputs!$B$44),0))),0)))&gt;=100),MIN(100,((Inputs!$B$9+((C708=TRUE)*(F708-Calc!F26))+B716+(ArtifactsInput!$M$24-ArtifactsInput!$M$24)*CHOOSE(ArtifactsInput!$N$24+1,10,12,14,16,18,20)+IF(ArtifactsInput!$M$10,CHOOSE(ArtifactsInput!$N$10+1,15,18,21,24,27,30)*(IF(Inputs!$B$39="pvp",MIN(15,15)/15,IF(AND(Inputs!$B$39&lt;&gt;"pvp",Inputs!$B$44&gt;0),MIN(15,Inputs!$B$44)/(Inputs!$B$44),0))),0)))-100),0))*CHOOSE(ArtifactsInput!$N$42+1,0.6,0.72,0.84,0.96,1.08,1.2))),Inputs!$B$18+((C711=TRUE)*(F711-Calc!F29))+(IF(AND(Inputs!$B$39&lt;&gt;"pvp",Inputs!$B$44=0),1,IF(IF(Inputs!$B$39="pvp",15,Inputs!$B$44)-(B727)&lt;=0,1,MAX(0,IF(Inputs!$B$39="pvp",15,Inputs!$B$44)-MAX(5,B727))/(IF(Inputs!$B$39="pvp",15,Inputs!$B$44)-(B727))))*IF(AND(ArtifactsInput!$M$42,((Inputs!$B$9+((C708=TRUE)*(F708-Calc!F26))+B716+(ArtifactsInput!$M$24-ArtifactsInput!$M$24)*CHOOSE(ArtifactsInput!$N$24+1,10,12,14,16,18,20)+IF(ArtifactsInput!$M$10,CHOOSE(ArtifactsInput!$N$10+1,15,18,21,24,27,30)*(IF(Inputs!$B$39="pvp",MIN(15,15)/15,IF(AND(Inputs!$B$39&lt;&gt;"pvp",Inputs!$B$44&gt;0),MIN(15,Inputs!$B$44)/(Inputs!$B$44),0))),0)))&gt;=100),CHOOSE(ArtifactsInput!$N$42+1,40,48,56,64,72,80),0))))/100)*(((1+(((C704=TRUE)*F704*IF(AND(Inputs!$B$39&lt;&gt;"pvp",Inputs!$B$44&gt;0),(((R704-1)*MIN((Skills!Y22*(1+Inputs!$B$34/100)),(1/Q704))+MIN((Skills!Y22*(1+Inputs!$B$34/100)),MAX(0,Inputs!$B$44-((R704-1)*(1/Q704)))))/Inputs!$B$44),IF(Inputs!$B$39="pvp",MIN((Skills!Y22*(1+Inputs!$B$34/100)),15)/15,MIN(1,(Skills!Y22*(1+Inputs!$B$34/100))/(1/Q704)))))+((C685=TRUE)*F685*3)+((C687=TRUE)*F687*(1-EXP(-0.75*B720*5)))+((C706=TRUE)*(F706-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693=TRUE)*F693*IF(AND(Inputs!$B$39&lt;&gt;"pvp",Inputs!$B$44&gt;0),(((R693-1)*MIN((Skills!Y11*(1+Inputs!$B$34/100)),(1/Q693))+MIN((Skills!Y11*(1+Inputs!$B$34/100)),MAX(0,Inputs!$B$44-((R693-1)*(1/Q693)))))/Inputs!$B$44),IF(Inputs!$B$39="pvp",MIN((Skills!Y11*(1+Inputs!$B$34/100)),15)/15,MIN(1,(Skills!Y11*(1+Inputs!$B$34/100))/(1/Q693)))))/100)*(1+((C698=TRUE)*F698*IF(AND(Inputs!$B$39&lt;&gt;"pvp",Inputs!$B$44&gt;0),(((R698-1)*MIN((Skills!Y16*(1+Inputs!$B$34/100)),(1/Q698))+MIN((Skills!Y16*(1+Inputs!$B$34/100)),MAX(0,Inputs!$B$44-((R698-1)*(1/Q698)))))/Inputs!$B$44),IF(Inputs!$B$39="pvp",MIN((Skills!Y16*(1+Inputs!$B$34/100)),15)/15,MIN(1,(Skills!Y16*(1+Inputs!$B$34/100))/(1/Q698)))))/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718*I691)</f>
        <v/>
      </c>
      <c r="L691">
        <f>K691*(MIN(Inputs!$B$22+((C707=TRUE)*(F707-Calc!F25)),(Inputs!$B$23+((C712=TRUE)*(F712-Calc!F30))+IF(ArtifactsInput!$M$15,CHOOSE(ArtifactsInput!$N$15+1,25,30,35,40,45,50)/100*(((1-(1-Inputs!$B$11/150)*(1-1/150))*150)-Inputs!$B$11),0)))/100+(Inputs!$B$23+((C712=TRUE)*(F712-Calc!F30))+IF(ArtifactsInput!$M$15,CHOOSE(ArtifactsInput!$N$15+1,25,30,35,40,45,50)/100*(((1-(1-Inputs!$B$11/150)*(1-1/150))*150)-Inputs!$B$11),0))/100)/2</f>
        <v/>
      </c>
      <c r="M691">
        <f>L691*(1+(Inputs!$B$10+((C709=TRUE)*(F709-Calc!F27))+B723+(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691">
        <f>L691*(1-MIN((Inputs!$B$9+((C708=TRUE)*(F708-Calc!F26))+B716+(ArtifactsInput!$M$24-ArtifactsInput!$M$24)*CHOOSE(ArtifactsInput!$N$24+1,10,12,14,16,18,20)+(IF(AND(Inputs!$B$39&lt;&gt;"pvp",Inputs!$B$44=0),1,IF(IF(Inputs!$B$39="pvp",15,Inputs!$B$44)-(B727)&lt;=0,1,MAX(0,IF(Inputs!$B$39="pvp",15,Inputs!$B$44)-MAX(5,B727))/(IF(Inputs!$B$39="pvp",15,Inputs!$B$44)-(B727))))*IF(AND(ArtifactsInput!$M$42,((Inputs!$B$9+((C708=TRUE)*(F708-Calc!F26))+B716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691*(MIN((Inputs!$B$9+((C708=TRUE)*(F708-Calc!F26))+B716+(ArtifactsInput!$M$24-ArtifactsInput!$M$24)*CHOOSE(ArtifactsInput!$N$24+1,10,12,14,16,18,20)+(IF(AND(Inputs!$B$39&lt;&gt;"pvp",Inputs!$B$44=0),1,IF(IF(Inputs!$B$39="pvp",15,Inputs!$B$44)-(B727)&lt;=0,1,MAX(0,IF(Inputs!$B$39="pvp",15,Inputs!$B$44)-MAX(5,B727))/(IF(Inputs!$B$39="pvp",15,Inputs!$B$44)-(B727))))*IF(AND(ArtifactsInput!$M$42,((Inputs!$B$9+((C708=TRUE)*(F708-Calc!F26))+B716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691">
        <f>(1-Summary!$B$11)*T691+Summary!$B$11*V691</f>
        <v/>
      </c>
      <c r="P691">
        <f>IF(B728=0,0,O691/B728)</f>
        <v/>
      </c>
      <c r="Q691">
        <f>IFERROR(1/IF(Inputs!$B$39="pvp",15,MAX(0.1,Skills!D9-IF(FALSE=TRUE,Inputs!$B$32,0))),0)</f>
        <v/>
      </c>
      <c r="R691">
        <f>IF(AND(Inputs!$B$39&lt;&gt;"pvp",Inputs!$B$44&gt;0),IF(MAX(0,Inputs!$B$44-B727)&lt;=0,0,(INT(MAX(0,Inputs!$B$44-B727)/IF(Inputs!$B$39="pvp",15,MAX(0.1,Skills!D9-IF(FALSE=TRUE,Inputs!$B$32,0))))+1)),0)</f>
        <v/>
      </c>
      <c r="S691">
        <f>IFERROR(O691/N691,0)</f>
        <v/>
      </c>
      <c r="T691">
        <f>IF(C691,(H691*N691*IF(AND(Inputs!$B$39&lt;&gt;"pvp",Inputs!$B$44&gt;0),((Skills!G9*((R691-1)*IF(Skills!H9&gt;0,Skills!I9/Skills!H9,1)+IF(Skills!H9&gt;0,MIN(Skills!I9,MAX(0,MAX(0,Inputs!$B$44-B727)-((R691-1)*IF(Inputs!$B$39="pvp",15,MAX(0.1,Skills!D9-IF(FALSE=TRUE,Inputs!$B$32,0))))))/Skills!H9,1)))/Inputs!$B$44),G691*Q691))*IF(Inputs!$B$39="pvp",1,1+(Inputs!$B$20+0+Skills!P9+B717+(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Hunt"),CHOOSE(ArtifactsInput!$N$35+1,15,18,21,24,27,30)*(1-EXP(-(0.2*B720)*5)),0)+IF(AND(ArtifactsInput!$M$22,Inputs!$B$4&lt;&gt;"Chapter Hunt"),CHOOSE(ArtifactsInput!$N$22+1,10,12,14,16,18,20)*((0*(((0.15*B720*5))^0/1)+1*(((0.15*B720*5))^1/1)+2*(((0.15*B720*5))^2/2)+3*(((0.15*B720*5))^3/6)+4*(((0.15*B720*5))^4/24)+5*(((0.15*B720*5))^5/120))/((((0.15*B720*5))^0/1)+(((0.15*B720*5))^1/1)+(((0.15*B720*5))^2/2)+(((0.15*B720*5))^3/6)+(((0.15*B720*5))^4/24)+(((0.15*B720*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691*(1-MIN(100,(Inputs!$B$9+((C708=TRUE)*(F708-Calc!F26))+B716+(ArtifactsInput!$M$24-ArtifactsInput!$M$24)*CHOOSE(ArtifactsInput!$N$24+1,10,12,14,16,18,20)+(IF(AND(Inputs!$B$39&lt;&gt;"pvp",Inputs!$B$44=0),1,IF(IF(Inputs!$B$39="pvp",15,Inputs!$B$44)-(B727)&lt;=0,1,MAX(0,IF(Inputs!$B$39="pvp",15,Inputs!$B$44)-MAX(5,B727))/(IF(Inputs!$B$39="pvp",15,Inputs!$B$44)-(B727))))*IF(AND(ArtifactsInput!$M$42,((Inputs!$B$9+((C708=TRUE)*(F708-Calc!F26))+B716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691*(MIN(100,(Inputs!$B$9+((C708=TRUE)*(F708-Calc!F26))+B716+(ArtifactsInput!$M$24-ArtifactsInput!$M$24)*CHOOSE(ArtifactsInput!$N$24+1,10,12,14,16,18,20)+(IF(AND(Inputs!$B$39&lt;&gt;"pvp",Inputs!$B$44=0),1,IF(IF(Inputs!$B$39="pvp",15,Inputs!$B$44)-(B727)&lt;=0,1,MAX(0,IF(Inputs!$B$39="pvp",15,Inputs!$B$44)-MAX(5,B727))/(IF(Inputs!$B$39="pvp",15,Inputs!$B$44)-(B727))))*IF(AND(ArtifactsInput!$M$42,((Inputs!$B$9+((C708=TRUE)*(F708-Calc!F26))+B716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691*(1-MIN(100,(Inputs!$B$9+((C708=TRUE)*(F708-Calc!F26))+B716+(ArtifactsInput!$M$24-ArtifactsInput!$M$24)*CHOOSE(ArtifactsInput!$N$24+1,10,12,14,16,18,20)+(IF(AND(Inputs!$B$39&lt;&gt;"pvp",Inputs!$B$44=0),1,IF(IF(Inputs!$B$39="pvp",15,Inputs!$B$44)-(B727)&lt;=0,1,MAX(0,IF(Inputs!$B$39="pvp",15,Inputs!$B$44)-MAX(5,B727))/(IF(Inputs!$B$39="pvp",15,Inputs!$B$44)-(B727))))*IF(AND(ArtifactsInput!$M$42,((Inputs!$B$9+((C708=TRUE)*(F708-Calc!F26))+B716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691*(MIN(100,(Inputs!$B$9+((C708=TRUE)*(F708-Calc!F26))+B716+(ArtifactsInput!$M$24-ArtifactsInput!$M$24)*CHOOSE(ArtifactsInput!$N$24+1,10,12,14,16,18,20)+(IF(AND(Inputs!$B$39&lt;&gt;"pvp",Inputs!$B$44=0),1,IF(IF(Inputs!$B$39="pvp",15,Inputs!$B$44)-(B727)&lt;=0,1,MAX(0,IF(Inputs!$B$39="pvp",15,Inputs!$B$44)-MAX(5,B727))/(IF(Inputs!$B$39="pvp",15,Inputs!$B$44)-(B727))))*IF(AND(ArtifactsInput!$M$42,((Inputs!$B$9+((C708=TRUE)*(F708-Calc!F26))+B716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691">
        <f>IF(C691,(H691*N691*IF(AND(Inputs!$B$39&lt;&gt;"pvp",Inputs!$B$44&gt;0),((Skills!G9*((R691-1)*IF(Skills!H9&gt;0,Skills!I9/Skills!H9,1)+IF(Skills!H9&gt;0,MIN(Skills!I9,MAX(0,MAX(0,Inputs!$B$44-B727)-((R691-1)*IF(Inputs!$B$39="pvp",15,MAX(0.1,Skills!D9-IF(FALSE=TRUE,Inputs!$B$32,0))))))/Skills!H9,1)))/Inputs!$B$44),G691*Q691))*IF(Inputs!$B$39="pvp",1,(1+(Inputs!$B$21+Skills!Q9+B717+(IF(ArtifactsInput!$M$33,CHOOSE(ArtifactsInput!$N$33+1,30,36,42,48,54,60),0))+(IF(AND(ArtifactsInput!$M$35,Inputs!$B$4&lt;&gt;"Chapter Hunt"),CHOOSE(ArtifactsInput!$N$35+1,15,18,21,24,27,30)*(1-EXP(-(0.2*B720)*5)),0)+IF(AND(ArtifactsInput!$M$22,Inputs!$B$4&lt;&gt;"Chapter Hunt"),CHOOSE(ArtifactsInput!$N$22+1,10,12,14,16,18,20)*((0*(((0.15*B720*5))^0/1)+1*(((0.15*B720*5))^1/1)+2*(((0.15*B720*5))^2/2)+3*(((0.15*B720*5))^3/6)+4*(((0.15*B720*5))^4/24)+5*(((0.15*B720*5))^5/120))/((((0.15*B720*5))^0/1)+(((0.15*B720*5))^1/1)+(((0.15*B720*5))^2/2)+(((0.15*B720*5))^3/6)+(((0.15*B720*5))^4/24)+(((0.15*B720*5))^5/120))),0)))/100)*(MIN(Skills!W9,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692">
      <c r="A692">
        <f>Skills!A10</f>
        <v/>
      </c>
      <c r="B692">
        <f>Skills!B10</f>
        <v/>
      </c>
      <c r="C692">
        <f>Inputs!$B$3&gt;=117</f>
        <v/>
      </c>
      <c r="D692">
        <f>IF(Skills!C10=1,60+Inputs!$B$25+Inputs!$B$29,IF(Skills!C10=2,90+Inputs!$B$26+Inputs!$B$29,IF(Skills!C10=3,120+Inputs!$B$27+Inputs!$B$29,MAX(0,(Inputs!$B$3-100)*3)+Inputs!$B$28+Inputs!$B$29)))</f>
        <v/>
      </c>
      <c r="E692">
        <f>INDEX(FactorTable!$B$2:$Y$301, MATCH(ROUND(MIN(300,MAX(1,D692)),0), FactorTable!$A$2:$A$301,0), Skills!M10+1)</f>
        <v/>
      </c>
      <c r="F692">
        <f>IF(Skills!N10=TRUE,(Skills!L10/10)*(E692/1000),Skills!L10/10)+Skills!O10</f>
        <v/>
      </c>
      <c r="G692">
        <f>Skills!G10*IF(Skills!H10&gt;0,IF(Inputs!$B$39="pvp",MIN(Skills!I10,15),Skills!I10)/Skills!H10,1)</f>
        <v/>
      </c>
      <c r="H692">
        <f>1-(1-Skills!J10/100)^Skills!K10</f>
        <v/>
      </c>
      <c r="I692" t="inlineStr">
        <is>
          <t>1</t>
        </is>
      </c>
      <c r="J692">
        <f>((Inputs!$B$6*(1+Inputs!$B$7/100))+(((Inputs!$B$12*(1+Inputs!$B$13/100))-(Inputs!$B$12*(1+Inputs!$B$13/100)))+0.25*(Inputs!$B$14-Inputs!$B$14))*(1+Inputs!$B$7/100))*(F692/100)</f>
        <v/>
      </c>
      <c r="K692">
        <f>J692*(1+((Inputs!$B$12*(1+Inputs!$B$13/100))*0.01+Inputs!$B$14*0.0025)/100)*(1+Inputs!$B$15/100)*(1+Inputs!$B$16/100)*(5000/(6000+Inputs!$B$43*(1-(100*(1-(1-Inputs!$B$19/100)*(1-CHOOSE(ArtifactsInput!$N$40+1,5,6,7,8,9,10)/100)^(ArtifactsInput!$M$40-ArtifactsInput!$M$40)))/100)))*(1+(Inputs!$B$24+((C713=TRUE)*(F713-Calc!F31))+((C700=TRUE)*(F700-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(1-(1-Inputs!$B$11/150)*(1-1/150))*150)-60))),0)-IF(ArtifactsInput!$M$34,MIN(CHOOSE(ArtifactsInput!$N$34+1,10,12,14,16,18,20),MAX(0,(CHOOSE(ArtifactsInput!$N$34+1,0.5,0.6,0.7,0.8,0.9,1)/3)*(Inputs!$B$11-60))),0)))/100)*(1+(IF(Skills!A10="CRUEL_STAB",Inputs!$B$17+((C710=TRUE)*(F710-Calc!F28))+((IF(AND(Inputs!$B$39&lt;&gt;"pvp",Inputs!$B$44=0),1,IF(IF(Inputs!$B$39="pvp",15,Inputs!$B$44)-(B727)&lt;=0,1,MAX(0,IF(Inputs!$B$39="pvp",15,Inputs!$B$44)-MAX(5,B727))/(IF(Inputs!$B$39="pvp",15,Inputs!$B$44)-(B727))))*(IF(AND(ArtifactsInput!$M$42,((Inputs!$B$9+((C708=TRUE)*(F708-Calc!F26))+B716+(ArtifactsInput!$M$24-ArtifactsInput!$M$24)*CHOOSE(ArtifactsInput!$N$24+1,10,12,14,16,18,20)+IF(ArtifactsInput!$M$10,CHOOSE(ArtifactsInput!$N$10+1,15,18,21,24,27,30)*(IF(Inputs!$B$39="pvp",MIN(15,15)/15,IF(AND(Inputs!$B$39&lt;&gt;"pvp",Inputs!$B$44&gt;0),MIN(15,Inputs!$B$44)/(Inputs!$B$44),0))),0)))&gt;=100),MIN(100,((Inputs!$B$9+((C708=TRUE)*(F708-Calc!F26))+B716+(ArtifactsInput!$M$24-ArtifactsInput!$M$24)*CHOOSE(ArtifactsInput!$N$24+1,10,12,14,16,18,20)+IF(ArtifactsInput!$M$10,CHOOSE(ArtifactsInput!$N$10+1,15,18,21,24,27,30)*(IF(Inputs!$B$39="pvp",MIN(15,15)/15,IF(AND(Inputs!$B$39&lt;&gt;"pvp",Inputs!$B$44&gt;0),MIN(15,Inputs!$B$44)/(Inputs!$B$44),0))),0)))-100),0))*CHOOSE(ArtifactsInput!$N$42+1,0.6,0.72,0.84,0.96,1.08,1.2))),Inputs!$B$18+((C711=TRUE)*(F711-Calc!F29))+(IF(AND(Inputs!$B$39&lt;&gt;"pvp",Inputs!$B$44=0),1,IF(IF(Inputs!$B$39="pvp",15,Inputs!$B$44)-(B727)&lt;=0,1,MAX(0,IF(Inputs!$B$39="pvp",15,Inputs!$B$44)-MAX(5,B727))/(IF(Inputs!$B$39="pvp",15,Inputs!$B$44)-(B727))))*IF(AND(ArtifactsInput!$M$42,((Inputs!$B$9+((C708=TRUE)*(F708-Calc!F26))+B716+(ArtifactsInput!$M$24-ArtifactsInput!$M$24)*CHOOSE(ArtifactsInput!$N$24+1,10,12,14,16,18,20)+IF(ArtifactsInput!$M$10,CHOOSE(ArtifactsInput!$N$10+1,15,18,21,24,27,30)*(IF(Inputs!$B$39="pvp",MIN(15,15)/15,IF(AND(Inputs!$B$39&lt;&gt;"pvp",Inputs!$B$44&gt;0),MIN(15,Inputs!$B$44)/(Inputs!$B$44),0))),0)))&gt;=100),CHOOSE(ArtifactsInput!$N$42+1,40,48,56,64,72,80),0))))/100)*(((1+(((C704=TRUE)*F704*IF(AND(Inputs!$B$39&lt;&gt;"pvp",Inputs!$B$44&gt;0),(((R704-1)*MIN((Skills!Y22*(1+Inputs!$B$34/100)),(1/Q704))+MIN((Skills!Y22*(1+Inputs!$B$34/100)),MAX(0,Inputs!$B$44-((R704-1)*(1/Q704)))))/Inputs!$B$44),IF(Inputs!$B$39="pvp",MIN((Skills!Y22*(1+Inputs!$B$34/100)),15)/15,MIN(1,(Skills!Y22*(1+Inputs!$B$34/100))/(1/Q704)))))+((C685=TRUE)*F685*3)+((C687=TRUE)*F687*(1-EXP(-0.75*B720*5)))+((C706=TRUE)*(F706-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693=TRUE)*F693*IF(AND(Inputs!$B$39&lt;&gt;"pvp",Inputs!$B$44&gt;0),(((R693-1)*MIN((Skills!Y11*(1+Inputs!$B$34/100)),(1/Q693))+MIN((Skills!Y11*(1+Inputs!$B$34/100)),MAX(0,Inputs!$B$44-((R693-1)*(1/Q693)))))/Inputs!$B$44),IF(Inputs!$B$39="pvp",MIN((Skills!Y11*(1+Inputs!$B$34/100)),15)/15,MIN(1,(Skills!Y11*(1+Inputs!$B$34/100))/(1/Q693)))))/100)*(1+((C698=TRUE)*F698*IF(AND(Inputs!$B$39&lt;&gt;"pvp",Inputs!$B$44&gt;0),(((R698-1)*MIN((Skills!Y16*(1+Inputs!$B$34/100)),(1/Q698))+MIN((Skills!Y16*(1+Inputs!$B$34/100)),MAX(0,Inputs!$B$44-((R698-1)*(1/Q698)))))/Inputs!$B$44),IF(Inputs!$B$39="pvp",MIN((Skills!Y16*(1+Inputs!$B$34/100)),15)/15,MIN(1,(Skills!Y16*(1+Inputs!$B$34/100))/(1/Q698)))))/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718*I692)</f>
        <v/>
      </c>
      <c r="L692">
        <f>K692*(MIN(Inputs!$B$22+((C707=TRUE)*(F707-Calc!F25)),(Inputs!$B$23+((C712=TRUE)*(F712-Calc!F30))+IF(ArtifactsInput!$M$15,CHOOSE(ArtifactsInput!$N$15+1,25,30,35,40,45,50)/100*(((1-(1-Inputs!$B$11/150)*(1-1/150))*150)-Inputs!$B$11),0)))/100+(Inputs!$B$23+((C712=TRUE)*(F712-Calc!F30))+IF(ArtifactsInput!$M$15,CHOOSE(ArtifactsInput!$N$15+1,25,30,35,40,45,50)/100*(((1-(1-Inputs!$B$11/150)*(1-1/150))*150)-Inputs!$B$11),0))/100)/2</f>
        <v/>
      </c>
      <c r="M692">
        <f>L692*(1+(Inputs!$B$10+((C709=TRUE)*(F709-Calc!F27))+B723+(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692">
        <f>L692*(1-MIN((Inputs!$B$9+((C708=TRUE)*(F708-Calc!F26))+B716+(ArtifactsInput!$M$24-ArtifactsInput!$M$24)*CHOOSE(ArtifactsInput!$N$24+1,10,12,14,16,18,20)+(IF(AND(Inputs!$B$39&lt;&gt;"pvp",Inputs!$B$44=0),1,IF(IF(Inputs!$B$39="pvp",15,Inputs!$B$44)-(B727)&lt;=0,1,MAX(0,IF(Inputs!$B$39="pvp",15,Inputs!$B$44)-MAX(5,B727))/(IF(Inputs!$B$39="pvp",15,Inputs!$B$44)-(B727))))*IF(AND(ArtifactsInput!$M$42,((Inputs!$B$9+((C708=TRUE)*(F708-Calc!F26))+B716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692*(MIN((Inputs!$B$9+((C708=TRUE)*(F708-Calc!F26))+B716+(ArtifactsInput!$M$24-ArtifactsInput!$M$24)*CHOOSE(ArtifactsInput!$N$24+1,10,12,14,16,18,20)+(IF(AND(Inputs!$B$39&lt;&gt;"pvp",Inputs!$B$44=0),1,IF(IF(Inputs!$B$39="pvp",15,Inputs!$B$44)-(B727)&lt;=0,1,MAX(0,IF(Inputs!$B$39="pvp",15,Inputs!$B$44)-MAX(5,B727))/(IF(Inputs!$B$39="pvp",15,Inputs!$B$44)-(B727))))*IF(AND(ArtifactsInput!$M$42,((Inputs!$B$9+((C708=TRUE)*(F708-Calc!F26))+B716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692">
        <f>(1-Summary!$B$11)*T692+Summary!$B$11*V692</f>
        <v/>
      </c>
      <c r="P692">
        <f>IF(B728=0,0,O692/B728)</f>
        <v/>
      </c>
      <c r="Q692" t="n">
        <v>0</v>
      </c>
      <c r="R692" t="n">
        <v>0</v>
      </c>
      <c r="S692" t="n">
        <v>0</v>
      </c>
      <c r="T692">
        <f>IF(C692,(0.2*SUMPRODUCT((Skills!Z2:Z31=TRUE)*(C684:C713=TRUE)*S684:S713)*N692)*IF(Inputs!$B$39="pvp",1,1+(Inputs!$B$20+0+Skills!P10+B717+(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Hunt"),CHOOSE(ArtifactsInput!$N$35+1,15,18,21,24,27,30)*(1-EXP(-(0.2*B720)*5)),0)+IF(AND(ArtifactsInput!$M$22,Inputs!$B$4&lt;&gt;"Chapter Hunt"),CHOOSE(ArtifactsInput!$N$22+1,10,12,14,16,18,20)*((0*(((0.15*B720*5))^0/1)+1*(((0.15*B720*5))^1/1)+2*(((0.15*B720*5))^2/2)+3*(((0.15*B720*5))^3/6)+4*(((0.15*B720*5))^4/24)+5*(((0.15*B720*5))^5/120))/((((0.15*B720*5))^0/1)+(((0.15*B720*5))^1/1)+(((0.15*B720*5))^2/2)+(((0.15*B720*5))^3/6)+(((0.15*B720*5))^4/24)+(((0.15*B720*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692*(1-MIN(100,(Inputs!$B$9+((C708=TRUE)*(F708-Calc!F26))+B716+(ArtifactsInput!$M$24-ArtifactsInput!$M$24)*CHOOSE(ArtifactsInput!$N$24+1,10,12,14,16,18,20)+(IF(AND(Inputs!$B$39&lt;&gt;"pvp",Inputs!$B$44=0),1,IF(IF(Inputs!$B$39="pvp",15,Inputs!$B$44)-(B727)&lt;=0,1,MAX(0,IF(Inputs!$B$39="pvp",15,Inputs!$B$44)-MAX(5,B727))/(IF(Inputs!$B$39="pvp",15,Inputs!$B$44)-(B727))))*IF(AND(ArtifactsInput!$M$42,((Inputs!$B$9+((C708=TRUE)*(F708-Calc!F26))+B716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692*(MIN(100,(Inputs!$B$9+((C708=TRUE)*(F708-Calc!F26))+B716+(ArtifactsInput!$M$24-ArtifactsInput!$M$24)*CHOOSE(ArtifactsInput!$N$24+1,10,12,14,16,18,20)+(IF(AND(Inputs!$B$39&lt;&gt;"pvp",Inputs!$B$44=0),1,IF(IF(Inputs!$B$39="pvp",15,Inputs!$B$44)-(B727)&lt;=0,1,MAX(0,IF(Inputs!$B$39="pvp",15,Inputs!$B$44)-MAX(5,B727))/(IF(Inputs!$B$39="pvp",15,Inputs!$B$44)-(B727))))*IF(AND(ArtifactsInput!$M$42,((Inputs!$B$9+((C708=TRUE)*(F708-Calc!F26))+B716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692*(1-MIN(100,(Inputs!$B$9+((C708=TRUE)*(F708-Calc!F26))+B716+(ArtifactsInput!$M$24-ArtifactsInput!$M$24)*CHOOSE(ArtifactsInput!$N$24+1,10,12,14,16,18,20)+(IF(AND(Inputs!$B$39&lt;&gt;"pvp",Inputs!$B$44=0),1,IF(IF(Inputs!$B$39="pvp",15,Inputs!$B$44)-(B727)&lt;=0,1,MAX(0,IF(Inputs!$B$39="pvp",15,Inputs!$B$44)-MAX(5,B727))/(IF(Inputs!$B$39="pvp",15,Inputs!$B$44)-(B727))))*IF(AND(ArtifactsInput!$M$42,((Inputs!$B$9+((C708=TRUE)*(F708-Calc!F26))+B716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692*(MIN(100,(Inputs!$B$9+((C708=TRUE)*(F708-Calc!F26))+B716+(ArtifactsInput!$M$24-ArtifactsInput!$M$24)*CHOOSE(ArtifactsInput!$N$24+1,10,12,14,16,18,20)+(IF(AND(Inputs!$B$39&lt;&gt;"pvp",Inputs!$B$44=0),1,IF(IF(Inputs!$B$39="pvp",15,Inputs!$B$44)-(B727)&lt;=0,1,MAX(0,IF(Inputs!$B$39="pvp",15,Inputs!$B$44)-MAX(5,B727))/(IF(Inputs!$B$39="pvp",15,Inputs!$B$44)-(B727))))*IF(AND(ArtifactsInput!$M$42,((Inputs!$B$9+((C708=TRUE)*(F708-Calc!F26))+B716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692">
        <f>IF(C692,(0.2*SUMPRODUCT((Skills!Z2:Z31=TRUE)*(C684:C713=TRUE)*S684:S713)*N692)*IF(Inputs!$B$39="pvp",1,(1+(Inputs!$B$21+Skills!Q10+B717+(IF(ArtifactsInput!$M$33,CHOOSE(ArtifactsInput!$N$33+1,30,36,42,48,54,60),0))+(IF(AND(ArtifactsInput!$M$35,Inputs!$B$4&lt;&gt;"Chapter Hunt"),CHOOSE(ArtifactsInput!$N$35+1,15,18,21,24,27,30)*(1-EXP(-(0.2*B720)*5)),0)+IF(AND(ArtifactsInput!$M$22,Inputs!$B$4&lt;&gt;"Chapter Hunt"),CHOOSE(ArtifactsInput!$N$22+1,10,12,14,16,18,20)*((0*(((0.15*B720*5))^0/1)+1*(((0.15*B720*5))^1/1)+2*(((0.15*B720*5))^2/2)+3*(((0.15*B720*5))^3/6)+4*(((0.15*B720*5))^4/24)+5*(((0.15*B720*5))^5/120))/((((0.15*B720*5))^0/1)+(((0.15*B720*5))^1/1)+(((0.15*B720*5))^2/2)+(((0.15*B720*5))^3/6)+(((0.15*B720*5))^4/24)+(((0.15*B720*5))^5/120))),0)))/100)*(MIN(Skills!W10,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693">
      <c r="A693">
        <f>Skills!A11</f>
        <v/>
      </c>
      <c r="B693">
        <f>Skills!B11</f>
        <v/>
      </c>
      <c r="C693">
        <f>Inputs!$B$3&gt;=74</f>
        <v/>
      </c>
      <c r="D693">
        <f>IF(Skills!C11=1,60+Inputs!$B$25+Inputs!$B$29,IF(Skills!C11=2,90+Inputs!$B$26+Inputs!$B$29,IF(Skills!C11=3,120+Inputs!$B$27+Inputs!$B$29,MAX(0,(Inputs!$B$3-100)*3)+Inputs!$B$28+Inputs!$B$29)))</f>
        <v/>
      </c>
      <c r="E693">
        <f>INDEX(FactorTable!$B$2:$Y$301, MATCH(ROUND(MIN(300,MAX(1,D693)),0), FactorTable!$A$2:$A$301,0), Skills!M11+1)</f>
        <v/>
      </c>
      <c r="F693">
        <f>IF(Skills!N11=TRUE,(Skills!L11/10)*(E693/1000),Skills!L11/10)+Skills!O11</f>
        <v/>
      </c>
      <c r="G693">
        <f>Skills!G11*IF(Skills!H11&gt;0,IF(Inputs!$B$39="pvp",MIN(Skills!I11,15),Skills!I11)/Skills!H11,1)</f>
        <v/>
      </c>
      <c r="H693">
        <f>1-(1-Skills!J11/100)^Skills!K11</f>
        <v/>
      </c>
      <c r="I693" t="inlineStr">
        <is>
          <t>1</t>
        </is>
      </c>
      <c r="J693" t="inlineStr"/>
      <c r="K693" t="inlineStr"/>
      <c r="L693" t="inlineStr"/>
      <c r="M693" t="inlineStr"/>
      <c r="N693" t="inlineStr"/>
      <c r="O693">
        <f>(1-Summary!$B$11)*T693+Summary!$B$11*V693</f>
        <v/>
      </c>
      <c r="P693">
        <f>IF(B728=0,0,O693/B728)</f>
        <v/>
      </c>
      <c r="Q693">
        <f>IFERROR(1/IF(Inputs!$B$39="pvp",15,MAX(0.1,Skills!D11-IF(TRUE=TRUE,Inputs!$B$32,0))),0)</f>
        <v/>
      </c>
      <c r="R693">
        <f>IF(AND(Inputs!$B$39&lt;&gt;"pvp",Inputs!$B$44&gt;0),IF(Inputs!$B$44&lt;=0,0,(INT(Inputs!$B$44/IF(Inputs!$B$39="pvp",15,MAX(0.1,Skills!D11-IF(TRUE=TRUE,Inputs!$B$32,0))))+1)),0)</f>
        <v/>
      </c>
      <c r="S693">
        <f>IFERROR(O693/N693,0)</f>
        <v/>
      </c>
      <c r="T693" t="n">
        <v>0</v>
      </c>
      <c r="V693" t="n">
        <v>0</v>
      </c>
    </row>
    <row r="694">
      <c r="A694">
        <f>Skills!A12</f>
        <v/>
      </c>
      <c r="B694">
        <f>Skills!B12</f>
        <v/>
      </c>
      <c r="C694">
        <f>Inputs!$B$3&gt;=103</f>
        <v/>
      </c>
      <c r="D694">
        <f>IF(Skills!C12=1,60+Inputs!$B$25+Inputs!$B$29,IF(Skills!C12=2,90+Inputs!$B$26+Inputs!$B$29,IF(Skills!C12=3,120+Inputs!$B$27+Inputs!$B$29,MAX(0,(Inputs!$B$3-100)*3)+Inputs!$B$28+Inputs!$B$29)))</f>
        <v/>
      </c>
      <c r="E694">
        <f>INDEX(FactorTable!$B$2:$Y$301, MATCH(ROUND(MIN(300,MAX(1,D694)),0), FactorTable!$A$2:$A$301,0), Skills!M12+1)</f>
        <v/>
      </c>
      <c r="F694">
        <f>(Skills!L12/10)*(E694/1000)+IF(Inputs!$B$3&gt;=134,50,0)+0.5*(30000/10)*(INDEX(FactorTable!$B$2:$Y$301, MATCH(ROUND(MIN(300,MAX(1,D694)),0), FactorTable!$A$2:$A$301,0), 13)/1000)*B726</f>
        <v/>
      </c>
      <c r="G694">
        <f>Skills!G12*IF(Skills!H12&gt;0,IF(Inputs!$B$39="pvp",MIN(Skills!I12,15),Skills!I12)/Skills!H12,1)</f>
        <v/>
      </c>
      <c r="H694">
        <f>1-(1-Skills!J12/100)^Skills!K12</f>
        <v/>
      </c>
      <c r="I694" t="inlineStr">
        <is>
          <t>1</t>
        </is>
      </c>
      <c r="J694">
        <f>((Inputs!$B$6*(1+Inputs!$B$7/100))+(((Inputs!$B$12*(1+Inputs!$B$13/100))-(Inputs!$B$12*(1+Inputs!$B$13/100)))+0.25*(Inputs!$B$14-Inputs!$B$14))*(1+Inputs!$B$7/100))*(F694/100)</f>
        <v/>
      </c>
      <c r="K694">
        <f>J694*(1+((Inputs!$B$12*(1+Inputs!$B$13/100))*0.01+Inputs!$B$14*0.0025)/100)*(1+Inputs!$B$15/100)*(1+Inputs!$B$16/100)*(5000/(6000+Inputs!$B$43*(1-(100*(1-(1-Inputs!$B$19/100)*(1-CHOOSE(ArtifactsInput!$N$40+1,5,6,7,8,9,10)/100)^(ArtifactsInput!$M$40-ArtifactsInput!$M$40)))/100)))*(1+(Inputs!$B$24+((C713=TRUE)*(F713-Calc!F31))+((C700=TRUE)*(F700-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(1-(1-Inputs!$B$11/150)*(1-1/150))*150)-60))),0)-IF(ArtifactsInput!$M$34,MIN(CHOOSE(ArtifactsInput!$N$34+1,10,12,14,16,18,20),MAX(0,(CHOOSE(ArtifactsInput!$N$34+1,0.5,0.6,0.7,0.8,0.9,1)/3)*(Inputs!$B$11-60))),0)))/100)*(1+(IF(Skills!A12="CRUEL_STAB",Inputs!$B$17+((C710=TRUE)*(F710-Calc!F28))+((IF(AND(Inputs!$B$39&lt;&gt;"pvp",Inputs!$B$44=0),1,IF(IF(Inputs!$B$39="pvp",15,Inputs!$B$44)-(B727)&lt;=0,1,MAX(0,IF(Inputs!$B$39="pvp",15,Inputs!$B$44)-MAX(5,B727))/(IF(Inputs!$B$39="pvp",15,Inputs!$B$44)-(B727))))*(IF(AND(ArtifactsInput!$M$42,((Inputs!$B$9+((C708=TRUE)*(F708-Calc!F26))+B716+(ArtifactsInput!$M$24-ArtifactsInput!$M$24)*CHOOSE(ArtifactsInput!$N$24+1,10,12,14,16,18,20)+IF(ArtifactsInput!$M$10,CHOOSE(ArtifactsInput!$N$10+1,15,18,21,24,27,30)*(IF(Inputs!$B$39="pvp",MIN(15,15)/15,IF(AND(Inputs!$B$39&lt;&gt;"pvp",Inputs!$B$44&gt;0),MIN(15,Inputs!$B$44)/(Inputs!$B$44),0))),0)))&gt;=100),MIN(100,((Inputs!$B$9+((C708=TRUE)*(F708-Calc!F26))+B716+(ArtifactsInput!$M$24-ArtifactsInput!$M$24)*CHOOSE(ArtifactsInput!$N$24+1,10,12,14,16,18,20)+IF(ArtifactsInput!$M$10,CHOOSE(ArtifactsInput!$N$10+1,15,18,21,24,27,30)*(IF(Inputs!$B$39="pvp",MIN(15,15)/15,IF(AND(Inputs!$B$39&lt;&gt;"pvp",Inputs!$B$44&gt;0),MIN(15,Inputs!$B$44)/(Inputs!$B$44),0))),0)))-100),0))*CHOOSE(ArtifactsInput!$N$42+1,0.6,0.72,0.84,0.96,1.08,1.2))),Inputs!$B$18+((C711=TRUE)*(F711-Calc!F29))+(IF(AND(Inputs!$B$39&lt;&gt;"pvp",Inputs!$B$44=0),1,IF(IF(Inputs!$B$39="pvp",15,Inputs!$B$44)-(B727)&lt;=0,1,MAX(0,IF(Inputs!$B$39="pvp",15,Inputs!$B$44)-MAX(5,B727))/(IF(Inputs!$B$39="pvp",15,Inputs!$B$44)-(B727))))*IF(AND(ArtifactsInput!$M$42,((Inputs!$B$9+((C708=TRUE)*(F708-Calc!F26))+B716+(ArtifactsInput!$M$24-ArtifactsInput!$M$24)*CHOOSE(ArtifactsInput!$N$24+1,10,12,14,16,18,20)+IF(ArtifactsInput!$M$10,CHOOSE(ArtifactsInput!$N$10+1,15,18,21,24,27,30)*(IF(Inputs!$B$39="pvp",MIN(15,15)/15,IF(AND(Inputs!$B$39&lt;&gt;"pvp",Inputs!$B$44&gt;0),MIN(15,Inputs!$B$44)/(Inputs!$B$44),0))),0)))&gt;=100),CHOOSE(ArtifactsInput!$N$42+1,40,48,56,64,72,80),0))))/100)*(((1+(((C704=TRUE)*F704*IF(AND(Inputs!$B$39&lt;&gt;"pvp",Inputs!$B$44&gt;0),(((R704-1)*MIN((Skills!Y22*(1+Inputs!$B$34/100)),(1/Q704))+MIN((Skills!Y22*(1+Inputs!$B$34/100)),MAX(0,Inputs!$B$44-((R704-1)*(1/Q704)))))/Inputs!$B$44),IF(Inputs!$B$39="pvp",MIN((Skills!Y22*(1+Inputs!$B$34/100)),15)/15,MIN(1,(Skills!Y22*(1+Inputs!$B$34/100))/(1/Q704)))))+((C685=TRUE)*F685*3)+((C687=TRUE)*F687*(1-EXP(-0.75*B720*5)))+((C706=TRUE)*(F706-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693=TRUE)*F693*IF(AND(Inputs!$B$39&lt;&gt;"pvp",Inputs!$B$44&gt;0),(((R693-1)*MIN((Skills!Y11*(1+Inputs!$B$34/100)),(1/Q693))+MIN((Skills!Y11*(1+Inputs!$B$34/100)),MAX(0,Inputs!$B$44-((R693-1)*(1/Q693)))))/Inputs!$B$44),IF(Inputs!$B$39="pvp",MIN((Skills!Y11*(1+Inputs!$B$34/100)),15)/15,MIN(1,(Skills!Y11*(1+Inputs!$B$34/100))/(1/Q693)))))/100)*(1+((C698=TRUE)*F698*IF(AND(Inputs!$B$39&lt;&gt;"pvp",Inputs!$B$44&gt;0),(((R698-1)*MIN((Skills!Y16*(1+Inputs!$B$34/100)),(1/Q698))+MIN((Skills!Y16*(1+Inputs!$B$34/100)),MAX(0,Inputs!$B$44-((R698-1)*(1/Q698)))))/Inputs!$B$44),IF(Inputs!$B$39="pvp",MIN((Skills!Y16*(1+Inputs!$B$34/100)),15)/15,MIN(1,(Skills!Y16*(1+Inputs!$B$34/100))/(1/Q698)))))/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718*I694)</f>
        <v/>
      </c>
      <c r="L694">
        <f>K694*(MIN(Inputs!$B$22+((C707=TRUE)*(F707-Calc!F25)),(Inputs!$B$23+((C712=TRUE)*(F712-Calc!F30))+IF(ArtifactsInput!$M$15,CHOOSE(ArtifactsInput!$N$15+1,25,30,35,40,45,50)/100*(((1-(1-Inputs!$B$11/150)*(1-1/150))*150)-Inputs!$B$11),0)))/100+(Inputs!$B$23+((C712=TRUE)*(F712-Calc!F30))+IF(ArtifactsInput!$M$15,CHOOSE(ArtifactsInput!$N$15+1,25,30,35,40,45,50)/100*(((1-(1-Inputs!$B$11/150)*(1-1/150))*150)-Inputs!$B$11),0))/100)/2</f>
        <v/>
      </c>
      <c r="M694">
        <f>L694*(1+(Inputs!$B$10+((C709=TRUE)*(F709-Calc!F27))+B723+(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694">
        <f>L694*(1-MIN((Inputs!$B$9+((C708=TRUE)*(F708-Calc!F26))+B716+(ArtifactsInput!$M$24-ArtifactsInput!$M$24)*CHOOSE(ArtifactsInput!$N$24+1,10,12,14,16,18,20)+(IF(AND(Inputs!$B$39&lt;&gt;"pvp",Inputs!$B$44=0),1,IF(IF(Inputs!$B$39="pvp",15,Inputs!$B$44)-(B727)&lt;=0,1,MAX(0,IF(Inputs!$B$39="pvp",15,Inputs!$B$44)-MAX(5,B727))/(IF(Inputs!$B$39="pvp",15,Inputs!$B$44)-(B727))))*IF(AND(ArtifactsInput!$M$42,((Inputs!$B$9+((C708=TRUE)*(F708-Calc!F26))+B716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694*(MIN((Inputs!$B$9+((C708=TRUE)*(F708-Calc!F26))+B716+(ArtifactsInput!$M$24-ArtifactsInput!$M$24)*CHOOSE(ArtifactsInput!$N$24+1,10,12,14,16,18,20)+(IF(AND(Inputs!$B$39&lt;&gt;"pvp",Inputs!$B$44=0),1,IF(IF(Inputs!$B$39="pvp",15,Inputs!$B$44)-(B727)&lt;=0,1,MAX(0,IF(Inputs!$B$39="pvp",15,Inputs!$B$44)-MAX(5,B727))/(IF(Inputs!$B$39="pvp",15,Inputs!$B$44)-(B727))))*IF(AND(ArtifactsInput!$M$42,((Inputs!$B$9+((C708=TRUE)*(F708-Calc!F26))+B716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694">
        <f>(1-Summary!$B$11)*T694+Summary!$B$11*V694</f>
        <v/>
      </c>
      <c r="P694">
        <f>IF(B728=0,0,O694/B728)</f>
        <v/>
      </c>
      <c r="Q694">
        <f>IFERROR(1/IF(Inputs!$B$39="pvp",15,MAX(0.1,Skills!D12-IF(TRUE=TRUE,Inputs!$B$32,0))),0)</f>
        <v/>
      </c>
      <c r="R694">
        <f>IF(AND(Inputs!$B$39&lt;&gt;"pvp",Inputs!$B$44&gt;0),IF(MAX(0,Inputs!$B$44-B727)&lt;=0,0,(INT(MAX(0,Inputs!$B$44-B727)/IF(Inputs!$B$39="pvp",15,MAX(0.1,Skills!D12-IF(TRUE=TRUE,Inputs!$B$32,0))))+1)),0)</f>
        <v/>
      </c>
      <c r="S694">
        <f>IFERROR(O694/N694,0)</f>
        <v/>
      </c>
      <c r="T694">
        <f>IF(C694,(H694*N694*IF(AND(Inputs!$B$39&lt;&gt;"pvp",Inputs!$B$44&gt;0),((Skills!G12*((R694-1)*IF(Skills!H12&gt;0,Skills!I12/Skills!H12,1)+IF(Skills!H12&gt;0,MIN(Skills!I12,MAX(0,MAX(0,Inputs!$B$44-B727)-((R694-1)*IF(Inputs!$B$39="pvp",15,MAX(0.1,Skills!D12-IF(TRUE=TRUE,Inputs!$B$32,0))))))/Skills!H12,1)))/Inputs!$B$44),G694*Q694))*IF(Inputs!$B$39="pvp",1,1+(Inputs!$B$20+0+Skills!P12+B717+(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Hunt"),CHOOSE(ArtifactsInput!$N$35+1,15,18,21,24,27,30)*(1-EXP(-(0.2*B720)*5)),0)+IF(AND(ArtifactsInput!$M$22,Inputs!$B$4&lt;&gt;"Chapter Hunt"),CHOOSE(ArtifactsInput!$N$22+1,10,12,14,16,18,20)*((0*(((0.15*B720*5))^0/1)+1*(((0.15*B720*5))^1/1)+2*(((0.15*B720*5))^2/2)+3*(((0.15*B720*5))^3/6)+4*(((0.15*B720*5))^4/24)+5*(((0.15*B720*5))^5/120))/((((0.15*B720*5))^0/1)+(((0.15*B720*5))^1/1)+(((0.15*B720*5))^2/2)+(((0.15*B720*5))^3/6)+(((0.15*B720*5))^4/24)+(((0.15*B720*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694*(1-MIN(100,(Inputs!$B$9+((C708=TRUE)*(F708-Calc!F26))+B716+(ArtifactsInput!$M$24-ArtifactsInput!$M$24)*CHOOSE(ArtifactsInput!$N$24+1,10,12,14,16,18,20)+(IF(AND(Inputs!$B$39&lt;&gt;"pvp",Inputs!$B$44=0),1,IF(IF(Inputs!$B$39="pvp",15,Inputs!$B$44)-(B727)&lt;=0,1,MAX(0,IF(Inputs!$B$39="pvp",15,Inputs!$B$44)-MAX(5,B727))/(IF(Inputs!$B$39="pvp",15,Inputs!$B$44)-(B727))))*IF(AND(ArtifactsInput!$M$42,((Inputs!$B$9+((C708=TRUE)*(F708-Calc!F26))+B716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694*(MIN(100,(Inputs!$B$9+((C708=TRUE)*(F708-Calc!F26))+B716+(ArtifactsInput!$M$24-ArtifactsInput!$M$24)*CHOOSE(ArtifactsInput!$N$24+1,10,12,14,16,18,20)+(IF(AND(Inputs!$B$39&lt;&gt;"pvp",Inputs!$B$44=0),1,IF(IF(Inputs!$B$39="pvp",15,Inputs!$B$44)-(B727)&lt;=0,1,MAX(0,IF(Inputs!$B$39="pvp",15,Inputs!$B$44)-MAX(5,B727))/(IF(Inputs!$B$39="pvp",15,Inputs!$B$44)-(B727))))*IF(AND(ArtifactsInput!$M$42,((Inputs!$B$9+((C708=TRUE)*(F708-Calc!F26))+B716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694*(1-MIN(100,(Inputs!$B$9+((C708=TRUE)*(F708-Calc!F26))+B716+(ArtifactsInput!$M$24-ArtifactsInput!$M$24)*CHOOSE(ArtifactsInput!$N$24+1,10,12,14,16,18,20)+(IF(AND(Inputs!$B$39&lt;&gt;"pvp",Inputs!$B$44=0),1,IF(IF(Inputs!$B$39="pvp",15,Inputs!$B$44)-(B727)&lt;=0,1,MAX(0,IF(Inputs!$B$39="pvp",15,Inputs!$B$44)-MAX(5,B727))/(IF(Inputs!$B$39="pvp",15,Inputs!$B$44)-(B727))))*IF(AND(ArtifactsInput!$M$42,((Inputs!$B$9+((C708=TRUE)*(F708-Calc!F26))+B716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694*(MIN(100,(Inputs!$B$9+((C708=TRUE)*(F708-Calc!F26))+B716+(ArtifactsInput!$M$24-ArtifactsInput!$M$24)*CHOOSE(ArtifactsInput!$N$24+1,10,12,14,16,18,20)+(IF(AND(Inputs!$B$39&lt;&gt;"pvp",Inputs!$B$44=0),1,IF(IF(Inputs!$B$39="pvp",15,Inputs!$B$44)-(B727)&lt;=0,1,MAX(0,IF(Inputs!$B$39="pvp",15,Inputs!$B$44)-MAX(5,B727))/(IF(Inputs!$B$39="pvp",15,Inputs!$B$44)-(B727))))*IF(AND(ArtifactsInput!$M$42,((Inputs!$B$9+((C708=TRUE)*(F708-Calc!F26))+B716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694">
        <f>IF(C694,(H694*N694*IF(AND(Inputs!$B$39&lt;&gt;"pvp",Inputs!$B$44&gt;0),((Skills!G12*((R694-1)*IF(Skills!H12&gt;0,Skills!I12/Skills!H12,1)+IF(Skills!H12&gt;0,MIN(Skills!I12,MAX(0,MAX(0,Inputs!$B$44-B727)-((R694-1)*IF(Inputs!$B$39="pvp",15,MAX(0.1,Skills!D12-IF(TRUE=TRUE,Inputs!$B$32,0))))))/Skills!H12,1)))/Inputs!$B$44),G694*Q694))*IF(Inputs!$B$39="pvp",1,(1+(Inputs!$B$21+Skills!Q12+B717+(IF(ArtifactsInput!$M$33,CHOOSE(ArtifactsInput!$N$33+1,30,36,42,48,54,60),0))+(IF(AND(ArtifactsInput!$M$35,Inputs!$B$4&lt;&gt;"Chapter Hunt"),CHOOSE(ArtifactsInput!$N$35+1,15,18,21,24,27,30)*(1-EXP(-(0.2*B720)*5)),0)+IF(AND(ArtifactsInput!$M$22,Inputs!$B$4&lt;&gt;"Chapter Hunt"),CHOOSE(ArtifactsInput!$N$22+1,10,12,14,16,18,20)*((0*(((0.15*B720*5))^0/1)+1*(((0.15*B720*5))^1/1)+2*(((0.15*B720*5))^2/2)+3*(((0.15*B720*5))^3/6)+4*(((0.15*B720*5))^4/24)+5*(((0.15*B720*5))^5/120))/((((0.15*B720*5))^0/1)+(((0.15*B720*5))^1/1)+(((0.15*B720*5))^2/2)+(((0.15*B720*5))^3/6)+(((0.15*B720*5))^4/24)+(((0.15*B720*5))^5/120))),0)))/100)*(MIN(Skills!W12,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695">
      <c r="A695">
        <f>Skills!A13</f>
        <v/>
      </c>
      <c r="B695">
        <f>Skills!B13</f>
        <v/>
      </c>
      <c r="C695">
        <f>Inputs!$B$3&gt;=105</f>
        <v/>
      </c>
      <c r="D695">
        <f>IF(Skills!C13=1,60+Inputs!$B$25+Inputs!$B$29,IF(Skills!C13=2,90+Inputs!$B$26+Inputs!$B$29,IF(Skills!C13=3,120+Inputs!$B$27+Inputs!$B$29,MAX(0,(Inputs!$B$3-100)*3)+Inputs!$B$28+Inputs!$B$29)))</f>
        <v/>
      </c>
      <c r="E695">
        <f>INDEX(FactorTable!$B$2:$Y$301, MATCH(ROUND(MIN(300,MAX(1,D695)),0), FactorTable!$A$2:$A$301,0), Skills!M13+1)</f>
        <v/>
      </c>
      <c r="F695">
        <f>IF(Skills!N13=TRUE,(Skills!L13/10)*(E695/1000),Skills!L13/10)+Skills!O13</f>
        <v/>
      </c>
      <c r="G695">
        <f>Skills!G13*IF(Skills!H13&gt;0,IF(Inputs!$B$39="pvp",MIN(Skills!I13,15),Skills!I13)/Skills!H13,1)</f>
        <v/>
      </c>
      <c r="H695">
        <f>1-(1-Skills!J13/100)^Skills!K13</f>
        <v/>
      </c>
      <c r="I695" t="inlineStr">
        <is>
          <t>1</t>
        </is>
      </c>
      <c r="J695">
        <f>((Inputs!$B$6*(1+Inputs!$B$7/100))+(((Inputs!$B$12*(1+Inputs!$B$13/100))-(Inputs!$B$12*(1+Inputs!$B$13/100)))+0.25*(Inputs!$B$14-Inputs!$B$14))*(1+Inputs!$B$7/100))*(F695/100)</f>
        <v/>
      </c>
      <c r="K695">
        <f>J695*(1+((Inputs!$B$12*(1+Inputs!$B$13/100))*0.01+Inputs!$B$14*0.0025)/100)*(1+Inputs!$B$15/100)*(1+Inputs!$B$16/100)*(5000/(6000+Inputs!$B$43*(1-(100*(1-(1-Inputs!$B$19/100)*(1-CHOOSE(ArtifactsInput!$N$40+1,5,6,7,8,9,10)/100)^(ArtifactsInput!$M$40-ArtifactsInput!$M$40)))/100)))*(1+(Inputs!$B$24+((C713=TRUE)*(F713-Calc!F31))+((C700=TRUE)*(F700-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(1-(1-Inputs!$B$11/150)*(1-1/150))*150)-60))),0)-IF(ArtifactsInput!$M$34,MIN(CHOOSE(ArtifactsInput!$N$34+1,10,12,14,16,18,20),MAX(0,(CHOOSE(ArtifactsInput!$N$34+1,0.5,0.6,0.7,0.8,0.9,1)/3)*(Inputs!$B$11-60))),0)))/100)*(1+(IF(Skills!A13="CRUEL_STAB",Inputs!$B$17+((C710=TRUE)*(F710-Calc!F28))+((IF(AND(Inputs!$B$39&lt;&gt;"pvp",Inputs!$B$44=0),1,IF(IF(Inputs!$B$39="pvp",15,Inputs!$B$44)-(B727)&lt;=0,1,MAX(0,IF(Inputs!$B$39="pvp",15,Inputs!$B$44)-MAX(5,B727))/(IF(Inputs!$B$39="pvp",15,Inputs!$B$44)-(B727))))*(IF(AND(ArtifactsInput!$M$42,((Inputs!$B$9+((C708=TRUE)*(F708-Calc!F26))+B716+(ArtifactsInput!$M$24-ArtifactsInput!$M$24)*CHOOSE(ArtifactsInput!$N$24+1,10,12,14,16,18,20)+IF(ArtifactsInput!$M$10,CHOOSE(ArtifactsInput!$N$10+1,15,18,21,24,27,30)*(IF(Inputs!$B$39="pvp",MIN(15,15)/15,IF(AND(Inputs!$B$39&lt;&gt;"pvp",Inputs!$B$44&gt;0),MIN(15,Inputs!$B$44)/(Inputs!$B$44),0))),0)))&gt;=100),MIN(100,((Inputs!$B$9+((C708=TRUE)*(F708-Calc!F26))+B716+(ArtifactsInput!$M$24-ArtifactsInput!$M$24)*CHOOSE(ArtifactsInput!$N$24+1,10,12,14,16,18,20)+IF(ArtifactsInput!$M$10,CHOOSE(ArtifactsInput!$N$10+1,15,18,21,24,27,30)*(IF(Inputs!$B$39="pvp",MIN(15,15)/15,IF(AND(Inputs!$B$39&lt;&gt;"pvp",Inputs!$B$44&gt;0),MIN(15,Inputs!$B$44)/(Inputs!$B$44),0))),0)))-100),0))*CHOOSE(ArtifactsInput!$N$42+1,0.6,0.72,0.84,0.96,1.08,1.2))),Inputs!$B$18+((C711=TRUE)*(F711-Calc!F29))+(IF(AND(Inputs!$B$39&lt;&gt;"pvp",Inputs!$B$44=0),1,IF(IF(Inputs!$B$39="pvp",15,Inputs!$B$44)-(B727)&lt;=0,1,MAX(0,IF(Inputs!$B$39="pvp",15,Inputs!$B$44)-MAX(5,B727))/(IF(Inputs!$B$39="pvp",15,Inputs!$B$44)-(B727))))*IF(AND(ArtifactsInput!$M$42,((Inputs!$B$9+((C708=TRUE)*(F708-Calc!F26))+B716+(ArtifactsInput!$M$24-ArtifactsInput!$M$24)*CHOOSE(ArtifactsInput!$N$24+1,10,12,14,16,18,20)+IF(ArtifactsInput!$M$10,CHOOSE(ArtifactsInput!$N$10+1,15,18,21,24,27,30)*(IF(Inputs!$B$39="pvp",MIN(15,15)/15,IF(AND(Inputs!$B$39&lt;&gt;"pvp",Inputs!$B$44&gt;0),MIN(15,Inputs!$B$44)/(Inputs!$B$44),0))),0)))&gt;=100),CHOOSE(ArtifactsInput!$N$42+1,40,48,56,64,72,80),0))))/100)*(((1+(((C704=TRUE)*F704*IF(AND(Inputs!$B$39&lt;&gt;"pvp",Inputs!$B$44&gt;0),(((R704-1)*MIN((Skills!Y22*(1+Inputs!$B$34/100)),(1/Q704))+MIN((Skills!Y22*(1+Inputs!$B$34/100)),MAX(0,Inputs!$B$44-((R704-1)*(1/Q704)))))/Inputs!$B$44),IF(Inputs!$B$39="pvp",MIN((Skills!Y22*(1+Inputs!$B$34/100)),15)/15,MIN(1,(Skills!Y22*(1+Inputs!$B$34/100))/(1/Q704)))))+((C685=TRUE)*F685*3)+((C687=TRUE)*F687*(1-EXP(-0.75*B720*5)))+((C706=TRUE)*(F706-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693=TRUE)*F693*IF(AND(Inputs!$B$39&lt;&gt;"pvp",Inputs!$B$44&gt;0),(((R693-1)*MIN((Skills!Y11*(1+Inputs!$B$34/100)),(1/Q693))+MIN((Skills!Y11*(1+Inputs!$B$34/100)),MAX(0,Inputs!$B$44-((R693-1)*(1/Q693)))))/Inputs!$B$44),IF(Inputs!$B$39="pvp",MIN((Skills!Y11*(1+Inputs!$B$34/100)),15)/15,MIN(1,(Skills!Y11*(1+Inputs!$B$34/100))/(1/Q693)))))/100)*(1+((C698=TRUE)*F698*IF(AND(Inputs!$B$39&lt;&gt;"pvp",Inputs!$B$44&gt;0),(((R698-1)*MIN((Skills!Y16*(1+Inputs!$B$34/100)),(1/Q698))+MIN((Skills!Y16*(1+Inputs!$B$34/100)),MAX(0,Inputs!$B$44-((R698-1)*(1/Q698)))))/Inputs!$B$44),IF(Inputs!$B$39="pvp",MIN((Skills!Y16*(1+Inputs!$B$34/100)),15)/15,MIN(1,(Skills!Y16*(1+Inputs!$B$34/100))/(1/Q698)))))/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718*I695)</f>
        <v/>
      </c>
      <c r="L695">
        <f>K695*(MIN(Inputs!$B$22+((C707=TRUE)*(F707-Calc!F25)),(Inputs!$B$23+((C712=TRUE)*(F712-Calc!F30))+IF(ArtifactsInput!$M$15,CHOOSE(ArtifactsInput!$N$15+1,25,30,35,40,45,50)/100*(((1-(1-Inputs!$B$11/150)*(1-1/150))*150)-Inputs!$B$11),0)))/100+(Inputs!$B$23+((C712=TRUE)*(F712-Calc!F30))+IF(ArtifactsInput!$M$15,CHOOSE(ArtifactsInput!$N$15+1,25,30,35,40,45,50)/100*(((1-(1-Inputs!$B$11/150)*(1-1/150))*150)-Inputs!$B$11),0))/100)/2</f>
        <v/>
      </c>
      <c r="M695">
        <f>L695*(1+(Inputs!$B$10+((C709=TRUE)*(F709-Calc!F27))+B723+(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695">
        <f>L695*(1-MIN((Inputs!$B$9+((C708=TRUE)*(F708-Calc!F26))+B716+(ArtifactsInput!$M$24-ArtifactsInput!$M$24)*CHOOSE(ArtifactsInput!$N$24+1,10,12,14,16,18,20)+(IF(AND(Inputs!$B$39&lt;&gt;"pvp",Inputs!$B$44=0),1,IF(IF(Inputs!$B$39="pvp",15,Inputs!$B$44)-(B727)&lt;=0,1,MAX(0,IF(Inputs!$B$39="pvp",15,Inputs!$B$44)-MAX(5,B727))/(IF(Inputs!$B$39="pvp",15,Inputs!$B$44)-(B727))))*IF(AND(ArtifactsInput!$M$42,((Inputs!$B$9+((C708=TRUE)*(F708-Calc!F26))+B716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695*(MIN((Inputs!$B$9+((C708=TRUE)*(F708-Calc!F26))+B716+(ArtifactsInput!$M$24-ArtifactsInput!$M$24)*CHOOSE(ArtifactsInput!$N$24+1,10,12,14,16,18,20)+(IF(AND(Inputs!$B$39&lt;&gt;"pvp",Inputs!$B$44=0),1,IF(IF(Inputs!$B$39="pvp",15,Inputs!$B$44)-(B727)&lt;=0,1,MAX(0,IF(Inputs!$B$39="pvp",15,Inputs!$B$44)-MAX(5,B727))/(IF(Inputs!$B$39="pvp",15,Inputs!$B$44)-(B727))))*IF(AND(ArtifactsInput!$M$42,((Inputs!$B$9+((C708=TRUE)*(F708-Calc!F26))+B716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695">
        <f>(1-Summary!$B$11)*T695+Summary!$B$11*V695</f>
        <v/>
      </c>
      <c r="P695">
        <f>IF(B728=0,0,O695/B728)</f>
        <v/>
      </c>
      <c r="Q695">
        <f>IFERROR(1/IF(Inputs!$B$39="pvp",15,MAX(0.1,Skills!D13-IF(TRUE=TRUE,Inputs!$B$32,0))),0)</f>
        <v/>
      </c>
      <c r="R695">
        <f>IF(AND(Inputs!$B$39&lt;&gt;"pvp",Inputs!$B$44&gt;0),IF(MAX(0,Inputs!$B$44-B727)&lt;=0,0,(INT(MAX(0,Inputs!$B$44-B727)/IF(Inputs!$B$39="pvp",15,MAX(0.1,Skills!D13-IF(TRUE=TRUE,Inputs!$B$32,0))))+1)),0)</f>
        <v/>
      </c>
      <c r="S695">
        <f>IFERROR(O695/N695,0)</f>
        <v/>
      </c>
      <c r="T695">
        <f>IF(C695,(H695*N695*IF(AND(Inputs!$B$39&lt;&gt;"pvp",Inputs!$B$44&gt;0),((Skills!G13*((R695-1)*IF(Skills!H13&gt;0,Skills!I13/Skills!H13,1)+IF(Skills!H13&gt;0,MIN(Skills!I13,MAX(0,MAX(0,Inputs!$B$44-B727)-((R695-1)*IF(Inputs!$B$39="pvp",15,MAX(0.1,Skills!D13-IF(TRUE=TRUE,Inputs!$B$32,0))))))/Skills!H13,1)))/Inputs!$B$44),G695*Q695))*IF(Inputs!$B$39="pvp",1,1+(Inputs!$B$20+0+Skills!P13+B717+(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Hunt"),CHOOSE(ArtifactsInput!$N$35+1,15,18,21,24,27,30)*(1-EXP(-(0.2*B720)*5)),0)+IF(AND(ArtifactsInput!$M$22,Inputs!$B$4&lt;&gt;"Chapter Hunt"),CHOOSE(ArtifactsInput!$N$22+1,10,12,14,16,18,20)*((0*(((0.15*B720*5))^0/1)+1*(((0.15*B720*5))^1/1)+2*(((0.15*B720*5))^2/2)+3*(((0.15*B720*5))^3/6)+4*(((0.15*B720*5))^4/24)+5*(((0.15*B720*5))^5/120))/((((0.15*B720*5))^0/1)+(((0.15*B720*5))^1/1)+(((0.15*B720*5))^2/2)+(((0.15*B720*5))^3/6)+(((0.15*B720*5))^4/24)+(((0.15*B720*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695*(1-MIN(100,(Inputs!$B$9+((C708=TRUE)*(F708-Calc!F26))+B716+(ArtifactsInput!$M$24-ArtifactsInput!$M$24)*CHOOSE(ArtifactsInput!$N$24+1,10,12,14,16,18,20)+(IF(AND(Inputs!$B$39&lt;&gt;"pvp",Inputs!$B$44=0),1,IF(IF(Inputs!$B$39="pvp",15,Inputs!$B$44)-(B727)&lt;=0,1,MAX(0,IF(Inputs!$B$39="pvp",15,Inputs!$B$44)-MAX(5,B727))/(IF(Inputs!$B$39="pvp",15,Inputs!$B$44)-(B727))))*IF(AND(ArtifactsInput!$M$42,((Inputs!$B$9+((C708=TRUE)*(F708-Calc!F26))+B716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695*(MIN(100,(Inputs!$B$9+((C708=TRUE)*(F708-Calc!F26))+B716+(ArtifactsInput!$M$24-ArtifactsInput!$M$24)*CHOOSE(ArtifactsInput!$N$24+1,10,12,14,16,18,20)+(IF(AND(Inputs!$B$39&lt;&gt;"pvp",Inputs!$B$44=0),1,IF(IF(Inputs!$B$39="pvp",15,Inputs!$B$44)-(B727)&lt;=0,1,MAX(0,IF(Inputs!$B$39="pvp",15,Inputs!$B$44)-MAX(5,B727))/(IF(Inputs!$B$39="pvp",15,Inputs!$B$44)-(B727))))*IF(AND(ArtifactsInput!$M$42,((Inputs!$B$9+((C708=TRUE)*(F708-Calc!F26))+B716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695*(1-MIN(100,(Inputs!$B$9+((C708=TRUE)*(F708-Calc!F26))+B716+(ArtifactsInput!$M$24-ArtifactsInput!$M$24)*CHOOSE(ArtifactsInput!$N$24+1,10,12,14,16,18,20)+(IF(AND(Inputs!$B$39&lt;&gt;"pvp",Inputs!$B$44=0),1,IF(IF(Inputs!$B$39="pvp",15,Inputs!$B$44)-(B727)&lt;=0,1,MAX(0,IF(Inputs!$B$39="pvp",15,Inputs!$B$44)-MAX(5,B727))/(IF(Inputs!$B$39="pvp",15,Inputs!$B$44)-(B727))))*IF(AND(ArtifactsInput!$M$42,((Inputs!$B$9+((C708=TRUE)*(F708-Calc!F26))+B716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695*(MIN(100,(Inputs!$B$9+((C708=TRUE)*(F708-Calc!F26))+B716+(ArtifactsInput!$M$24-ArtifactsInput!$M$24)*CHOOSE(ArtifactsInput!$N$24+1,10,12,14,16,18,20)+(IF(AND(Inputs!$B$39&lt;&gt;"pvp",Inputs!$B$44=0),1,IF(IF(Inputs!$B$39="pvp",15,Inputs!$B$44)-(B727)&lt;=0,1,MAX(0,IF(Inputs!$B$39="pvp",15,Inputs!$B$44)-MAX(5,B727))/(IF(Inputs!$B$39="pvp",15,Inputs!$B$44)-(B727))))*IF(AND(ArtifactsInput!$M$42,((Inputs!$B$9+((C708=TRUE)*(F708-Calc!F26))+B716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695">
        <f>IF(C695,(H695*N695*IF(AND(Inputs!$B$39&lt;&gt;"pvp",Inputs!$B$44&gt;0),((Skills!G13*((R695-1)*IF(Skills!H13&gt;0,Skills!I13/Skills!H13,1)+IF(Skills!H13&gt;0,MIN(Skills!I13,MAX(0,MAX(0,Inputs!$B$44-B727)-((R695-1)*IF(Inputs!$B$39="pvp",15,MAX(0.1,Skills!D13-IF(TRUE=TRUE,Inputs!$B$32,0))))))/Skills!H13,1)))/Inputs!$B$44),G695*Q695))*IF(Inputs!$B$39="pvp",1,(1+(Inputs!$B$21+Skills!Q13+B717+(IF(ArtifactsInput!$M$33,CHOOSE(ArtifactsInput!$N$33+1,30,36,42,48,54,60),0))+(IF(AND(ArtifactsInput!$M$35,Inputs!$B$4&lt;&gt;"Chapter Hunt"),CHOOSE(ArtifactsInput!$N$35+1,15,18,21,24,27,30)*(1-EXP(-(0.2*B720)*5)),0)+IF(AND(ArtifactsInput!$M$22,Inputs!$B$4&lt;&gt;"Chapter Hunt"),CHOOSE(ArtifactsInput!$N$22+1,10,12,14,16,18,20)*((0*(((0.15*B720*5))^0/1)+1*(((0.15*B720*5))^1/1)+2*(((0.15*B720*5))^2/2)+3*(((0.15*B720*5))^3/6)+4*(((0.15*B720*5))^4/24)+5*(((0.15*B720*5))^5/120))/((((0.15*B720*5))^0/1)+(((0.15*B720*5))^1/1)+(((0.15*B720*5))^2/2)+(((0.15*B720*5))^3/6)+(((0.15*B720*5))^4/24)+(((0.15*B720*5))^5/120))),0)))/100)*(MIN(Skills!W13,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696">
      <c r="A696">
        <f>Skills!A14</f>
        <v/>
      </c>
      <c r="B696">
        <f>Skills!B14</f>
        <v/>
      </c>
      <c r="C696">
        <f>Inputs!$B$3&gt;=105</f>
        <v/>
      </c>
      <c r="D696">
        <f>IF(Skills!C14=1,60+Inputs!$B$25+Inputs!$B$29,IF(Skills!C14=2,90+Inputs!$B$26+Inputs!$B$29,IF(Skills!C14=3,120+Inputs!$B$27+Inputs!$B$29,MAX(0,(Inputs!$B$3-100)*3)+Inputs!$B$28+Inputs!$B$29)))</f>
        <v/>
      </c>
      <c r="E696">
        <f>INDEX(FactorTable!$B$2:$Y$301, MATCH(ROUND(MIN(300,MAX(1,D696)),0), FactorTable!$A$2:$A$301,0), Skills!M14+1)</f>
        <v/>
      </c>
      <c r="F696">
        <f>IF(Skills!N14=TRUE,(Skills!L14/10)*(E696/1000),Skills!L14/10)+Skills!O14</f>
        <v/>
      </c>
      <c r="G696">
        <f>Skills!G14*IF(Skills!H14&gt;0,IF(Inputs!$B$39="pvp",MIN(Skills!I14,15),Skills!I14)/Skills!H14,1)</f>
        <v/>
      </c>
      <c r="H696">
        <f>1-(1-Skills!J14/100)^Skills!K14</f>
        <v/>
      </c>
      <c r="I696" t="inlineStr">
        <is>
          <t>1</t>
        </is>
      </c>
      <c r="J696">
        <f>((Inputs!$B$6*(1+Inputs!$B$7/100))+(((Inputs!$B$12*(1+Inputs!$B$13/100))-(Inputs!$B$12*(1+Inputs!$B$13/100)))+0.25*(Inputs!$B$14-Inputs!$B$14))*(1+Inputs!$B$7/100))*(F696/100)</f>
        <v/>
      </c>
      <c r="K696">
        <f>J696*(1+((Inputs!$B$12*(1+Inputs!$B$13/100))*0.01+Inputs!$B$14*0.0025)/100)*(1+Inputs!$B$15/100)*(1+Inputs!$B$16/100)*(5000/(6000+Inputs!$B$43*(1-(100*(1-(1-Inputs!$B$19/100)*(1-CHOOSE(ArtifactsInput!$N$40+1,5,6,7,8,9,10)/100)^(ArtifactsInput!$M$40-ArtifactsInput!$M$40)))/100)))*(1+(Inputs!$B$24+((C713=TRUE)*(F713-Calc!F31))+((C700=TRUE)*(F700-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(1-(1-Inputs!$B$11/150)*(1-1/150))*150)-60))),0)-IF(ArtifactsInput!$M$34,MIN(CHOOSE(ArtifactsInput!$N$34+1,10,12,14,16,18,20),MAX(0,(CHOOSE(ArtifactsInput!$N$34+1,0.5,0.6,0.7,0.8,0.9,1)/3)*(Inputs!$B$11-60))),0)))/100)*(1+(IF(Skills!A14="CRUEL_STAB",Inputs!$B$17+((C710=TRUE)*(F710-Calc!F28))+((IF(AND(Inputs!$B$39&lt;&gt;"pvp",Inputs!$B$44=0),1,IF(IF(Inputs!$B$39="pvp",15,Inputs!$B$44)-(B727)&lt;=0,1,MAX(0,IF(Inputs!$B$39="pvp",15,Inputs!$B$44)-MAX(5,B727))/(IF(Inputs!$B$39="pvp",15,Inputs!$B$44)-(B727))))*(IF(AND(ArtifactsInput!$M$42,((Inputs!$B$9+((C708=TRUE)*(F708-Calc!F26))+B716+(ArtifactsInput!$M$24-ArtifactsInput!$M$24)*CHOOSE(ArtifactsInput!$N$24+1,10,12,14,16,18,20)+IF(ArtifactsInput!$M$10,CHOOSE(ArtifactsInput!$N$10+1,15,18,21,24,27,30)*(IF(Inputs!$B$39="pvp",MIN(15,15)/15,IF(AND(Inputs!$B$39&lt;&gt;"pvp",Inputs!$B$44&gt;0),MIN(15,Inputs!$B$44)/(Inputs!$B$44),0))),0)))&gt;=100),MIN(100,((Inputs!$B$9+((C708=TRUE)*(F708-Calc!F26))+B716+(ArtifactsInput!$M$24-ArtifactsInput!$M$24)*CHOOSE(ArtifactsInput!$N$24+1,10,12,14,16,18,20)+IF(ArtifactsInput!$M$10,CHOOSE(ArtifactsInput!$N$10+1,15,18,21,24,27,30)*(IF(Inputs!$B$39="pvp",MIN(15,15)/15,IF(AND(Inputs!$B$39&lt;&gt;"pvp",Inputs!$B$44&gt;0),MIN(15,Inputs!$B$44)/(Inputs!$B$44),0))),0)))-100),0))*CHOOSE(ArtifactsInput!$N$42+1,0.6,0.72,0.84,0.96,1.08,1.2))),Inputs!$B$18+((C711=TRUE)*(F711-Calc!F29))+(IF(AND(Inputs!$B$39&lt;&gt;"pvp",Inputs!$B$44=0),1,IF(IF(Inputs!$B$39="pvp",15,Inputs!$B$44)-(B727)&lt;=0,1,MAX(0,IF(Inputs!$B$39="pvp",15,Inputs!$B$44)-MAX(5,B727))/(IF(Inputs!$B$39="pvp",15,Inputs!$B$44)-(B727))))*IF(AND(ArtifactsInput!$M$42,((Inputs!$B$9+((C708=TRUE)*(F708-Calc!F26))+B716+(ArtifactsInput!$M$24-ArtifactsInput!$M$24)*CHOOSE(ArtifactsInput!$N$24+1,10,12,14,16,18,20)+IF(ArtifactsInput!$M$10,CHOOSE(ArtifactsInput!$N$10+1,15,18,21,24,27,30)*(IF(Inputs!$B$39="pvp",MIN(15,15)/15,IF(AND(Inputs!$B$39&lt;&gt;"pvp",Inputs!$B$44&gt;0),MIN(15,Inputs!$B$44)/(Inputs!$B$44),0))),0)))&gt;=100),CHOOSE(ArtifactsInput!$N$42+1,40,48,56,64,72,80),0))))/100)*(((1+(((C704=TRUE)*F704*IF(AND(Inputs!$B$39&lt;&gt;"pvp",Inputs!$B$44&gt;0),(((R704-1)*MIN((Skills!Y22*(1+Inputs!$B$34/100)),(1/Q704))+MIN((Skills!Y22*(1+Inputs!$B$34/100)),MAX(0,Inputs!$B$44-((R704-1)*(1/Q704)))))/Inputs!$B$44),IF(Inputs!$B$39="pvp",MIN((Skills!Y22*(1+Inputs!$B$34/100)),15)/15,MIN(1,(Skills!Y22*(1+Inputs!$B$34/100))/(1/Q704)))))+((C685=TRUE)*F685*3)+((C687=TRUE)*F687*(1-EXP(-0.75*B720*5)))+((C706=TRUE)*(F706-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693=TRUE)*F693*IF(AND(Inputs!$B$39&lt;&gt;"pvp",Inputs!$B$44&gt;0),(((R693-1)*MIN((Skills!Y11*(1+Inputs!$B$34/100)),(1/Q693))+MIN((Skills!Y11*(1+Inputs!$B$34/100)),MAX(0,Inputs!$B$44-((R693-1)*(1/Q693)))))/Inputs!$B$44),IF(Inputs!$B$39="pvp",MIN((Skills!Y11*(1+Inputs!$B$34/100)),15)/15,MIN(1,(Skills!Y11*(1+Inputs!$B$34/100))/(1/Q693)))))/100)*(1+((C698=TRUE)*F698*IF(AND(Inputs!$B$39&lt;&gt;"pvp",Inputs!$B$44&gt;0),(((R698-1)*MIN((Skills!Y16*(1+Inputs!$B$34/100)),(1/Q698))+MIN((Skills!Y16*(1+Inputs!$B$34/100)),MAX(0,Inputs!$B$44-((R698-1)*(1/Q698)))))/Inputs!$B$44),IF(Inputs!$B$39="pvp",MIN((Skills!Y16*(1+Inputs!$B$34/100)),15)/15,MIN(1,(Skills!Y16*(1+Inputs!$B$34/100))/(1/Q698)))))/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718*I696)</f>
        <v/>
      </c>
      <c r="L696">
        <f>K696*(MIN(Inputs!$B$22+((C707=TRUE)*(F707-Calc!F25)),(Inputs!$B$23+((C712=TRUE)*(F712-Calc!F30))+IF(ArtifactsInput!$M$15,CHOOSE(ArtifactsInput!$N$15+1,25,30,35,40,45,50)/100*(((1-(1-Inputs!$B$11/150)*(1-1/150))*150)-Inputs!$B$11),0)))/100+(Inputs!$B$23+((C712=TRUE)*(F712-Calc!F30))+IF(ArtifactsInput!$M$15,CHOOSE(ArtifactsInput!$N$15+1,25,30,35,40,45,50)/100*(((1-(1-Inputs!$B$11/150)*(1-1/150))*150)-Inputs!$B$11),0))/100)/2</f>
        <v/>
      </c>
      <c r="M696">
        <f>L696*(1+(Inputs!$B$10+((C709=TRUE)*(F709-Calc!F27))+B723+(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696">
        <f>L696*(1-MIN((Inputs!$B$9+((C708=TRUE)*(F708-Calc!F26))+B716+(ArtifactsInput!$M$24-ArtifactsInput!$M$24)*CHOOSE(ArtifactsInput!$N$24+1,10,12,14,16,18,20)+(IF(AND(Inputs!$B$39&lt;&gt;"pvp",Inputs!$B$44=0),1,IF(IF(Inputs!$B$39="pvp",15,Inputs!$B$44)-(B727)&lt;=0,1,MAX(0,IF(Inputs!$B$39="pvp",15,Inputs!$B$44)-MAX(5,B727))/(IF(Inputs!$B$39="pvp",15,Inputs!$B$44)-(B727))))*IF(AND(ArtifactsInput!$M$42,((Inputs!$B$9+((C708=TRUE)*(F708-Calc!F26))+B716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696*(MIN((Inputs!$B$9+((C708=TRUE)*(F708-Calc!F26))+B716+(ArtifactsInput!$M$24-ArtifactsInput!$M$24)*CHOOSE(ArtifactsInput!$N$24+1,10,12,14,16,18,20)+(IF(AND(Inputs!$B$39&lt;&gt;"pvp",Inputs!$B$44=0),1,IF(IF(Inputs!$B$39="pvp",15,Inputs!$B$44)-(B727)&lt;=0,1,MAX(0,IF(Inputs!$B$39="pvp",15,Inputs!$B$44)-MAX(5,B727))/(IF(Inputs!$B$39="pvp",15,Inputs!$B$44)-(B727))))*IF(AND(ArtifactsInput!$M$42,((Inputs!$B$9+((C708=TRUE)*(F708-Calc!F26))+B716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696">
        <f>(1-Summary!$B$11)*T696+Summary!$B$11*V696</f>
        <v/>
      </c>
      <c r="P696">
        <f>IF(B728=0,0,O696/B728)</f>
        <v/>
      </c>
      <c r="Q696">
        <f>IFERROR(1/IF(Inputs!$B$39="pvp",15,MAX(0.1,Skills!D14-IF(TRUE=TRUE,Inputs!$B$32,0))),0)</f>
        <v/>
      </c>
      <c r="R696">
        <f>IF(AND(Inputs!$B$39&lt;&gt;"pvp",Inputs!$B$44&gt;0),IF(MAX(0,Inputs!$B$44-B727)&lt;=0,0,(INT(MAX(0,Inputs!$B$44-B727)/IF(Inputs!$B$39="pvp",15,MAX(0.1,Skills!D14-IF(TRUE=TRUE,Inputs!$B$32,0))))+1)),0)</f>
        <v/>
      </c>
      <c r="S696">
        <f>IFERROR(O696/N696,0)</f>
        <v/>
      </c>
      <c r="T696">
        <f>IF(C696,(H696*N696*IF(AND(Inputs!$B$39&lt;&gt;"pvp",Inputs!$B$44&gt;0),((Skills!G14*((R696-1)*IF(Skills!H14&gt;0,Skills!I14/Skills!H14,1)+IF(Skills!H14&gt;0,MIN(Skills!I14,MAX(0,MAX(0,Inputs!$B$44-B727)-((R696-1)*IF(Inputs!$B$39="pvp",15,MAX(0.1,Skills!D14-IF(TRUE=TRUE,Inputs!$B$32,0))))))/Skills!H14,1)))/Inputs!$B$44),G696*Q696))*IF(Inputs!$B$39="pvp",1,1+(Inputs!$B$20+0+Skills!P14+B717+(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Hunt"),CHOOSE(ArtifactsInput!$N$35+1,15,18,21,24,27,30)*(1-EXP(-(0.2*B720)*5)),0)+IF(AND(ArtifactsInput!$M$22,Inputs!$B$4&lt;&gt;"Chapter Hunt"),CHOOSE(ArtifactsInput!$N$22+1,10,12,14,16,18,20)*((0*(((0.15*B720*5))^0/1)+1*(((0.15*B720*5))^1/1)+2*(((0.15*B720*5))^2/2)+3*(((0.15*B720*5))^3/6)+4*(((0.15*B720*5))^4/24)+5*(((0.15*B720*5))^5/120))/((((0.15*B720*5))^0/1)+(((0.15*B720*5))^1/1)+(((0.15*B720*5))^2/2)+(((0.15*B720*5))^3/6)+(((0.15*B720*5))^4/24)+(((0.15*B720*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696*(1-MIN(100,(Inputs!$B$9+((C708=TRUE)*(F708-Calc!F26))+B716+(ArtifactsInput!$M$24-ArtifactsInput!$M$24)*CHOOSE(ArtifactsInput!$N$24+1,10,12,14,16,18,20)+(IF(AND(Inputs!$B$39&lt;&gt;"pvp",Inputs!$B$44=0),1,IF(IF(Inputs!$B$39="pvp",15,Inputs!$B$44)-(B727)&lt;=0,1,MAX(0,IF(Inputs!$B$39="pvp",15,Inputs!$B$44)-MAX(5,B727))/(IF(Inputs!$B$39="pvp",15,Inputs!$B$44)-(B727))))*IF(AND(ArtifactsInput!$M$42,((Inputs!$B$9+((C708=TRUE)*(F708-Calc!F26))+B716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696*(MIN(100,(Inputs!$B$9+((C708=TRUE)*(F708-Calc!F26))+B716+(ArtifactsInput!$M$24-ArtifactsInput!$M$24)*CHOOSE(ArtifactsInput!$N$24+1,10,12,14,16,18,20)+(IF(AND(Inputs!$B$39&lt;&gt;"pvp",Inputs!$B$44=0),1,IF(IF(Inputs!$B$39="pvp",15,Inputs!$B$44)-(B727)&lt;=0,1,MAX(0,IF(Inputs!$B$39="pvp",15,Inputs!$B$44)-MAX(5,B727))/(IF(Inputs!$B$39="pvp",15,Inputs!$B$44)-(B727))))*IF(AND(ArtifactsInput!$M$42,((Inputs!$B$9+((C708=TRUE)*(F708-Calc!F26))+B716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696*(1-MIN(100,(Inputs!$B$9+((C708=TRUE)*(F708-Calc!F26))+B716+(ArtifactsInput!$M$24-ArtifactsInput!$M$24)*CHOOSE(ArtifactsInput!$N$24+1,10,12,14,16,18,20)+(IF(AND(Inputs!$B$39&lt;&gt;"pvp",Inputs!$B$44=0),1,IF(IF(Inputs!$B$39="pvp",15,Inputs!$B$44)-(B727)&lt;=0,1,MAX(0,IF(Inputs!$B$39="pvp",15,Inputs!$B$44)-MAX(5,B727))/(IF(Inputs!$B$39="pvp",15,Inputs!$B$44)-(B727))))*IF(AND(ArtifactsInput!$M$42,((Inputs!$B$9+((C708=TRUE)*(F708-Calc!F26))+B716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696*(MIN(100,(Inputs!$B$9+((C708=TRUE)*(F708-Calc!F26))+B716+(ArtifactsInput!$M$24-ArtifactsInput!$M$24)*CHOOSE(ArtifactsInput!$N$24+1,10,12,14,16,18,20)+(IF(AND(Inputs!$B$39&lt;&gt;"pvp",Inputs!$B$44=0),1,IF(IF(Inputs!$B$39="pvp",15,Inputs!$B$44)-(B727)&lt;=0,1,MAX(0,IF(Inputs!$B$39="pvp",15,Inputs!$B$44)-MAX(5,B727))/(IF(Inputs!$B$39="pvp",15,Inputs!$B$44)-(B727))))*IF(AND(ArtifactsInput!$M$42,((Inputs!$B$9+((C708=TRUE)*(F708-Calc!F26))+B716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696">
        <f>IF(C696,(H696*N696*IF(AND(Inputs!$B$39&lt;&gt;"pvp",Inputs!$B$44&gt;0),((Skills!G14*((R696-1)*IF(Skills!H14&gt;0,Skills!I14/Skills!H14,1)+IF(Skills!H14&gt;0,MIN(Skills!I14,MAX(0,MAX(0,Inputs!$B$44-B727)-((R696-1)*IF(Inputs!$B$39="pvp",15,MAX(0.1,Skills!D14-IF(TRUE=TRUE,Inputs!$B$32,0))))))/Skills!H14,1)))/Inputs!$B$44),G696*Q696))*IF(Inputs!$B$39="pvp",1,(1+(Inputs!$B$21+Skills!Q14+B717+(IF(ArtifactsInput!$M$33,CHOOSE(ArtifactsInput!$N$33+1,30,36,42,48,54,60),0))+(IF(AND(ArtifactsInput!$M$35,Inputs!$B$4&lt;&gt;"Chapter Hunt"),CHOOSE(ArtifactsInput!$N$35+1,15,18,21,24,27,30)*(1-EXP(-(0.2*B720)*5)),0)+IF(AND(ArtifactsInput!$M$22,Inputs!$B$4&lt;&gt;"Chapter Hunt"),CHOOSE(ArtifactsInput!$N$22+1,10,12,14,16,18,20)*((0*(((0.15*B720*5))^0/1)+1*(((0.15*B720*5))^1/1)+2*(((0.15*B720*5))^2/2)+3*(((0.15*B720*5))^3/6)+4*(((0.15*B720*5))^4/24)+5*(((0.15*B720*5))^5/120))/((((0.15*B720*5))^0/1)+(((0.15*B720*5))^1/1)+(((0.15*B720*5))^2/2)+(((0.15*B720*5))^3/6)+(((0.15*B720*5))^4/24)+(((0.15*B720*5))^5/120))),0)))/100)*(MIN(Skills!W14,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697">
      <c r="A697">
        <f>Skills!A15</f>
        <v/>
      </c>
      <c r="B697">
        <f>Skills!B15</f>
        <v/>
      </c>
      <c r="C697">
        <f>Inputs!$B$3&gt;=107</f>
        <v/>
      </c>
      <c r="D697">
        <f>IF(Skills!C15=1,60+Inputs!$B$25+Inputs!$B$29,IF(Skills!C15=2,90+Inputs!$B$26+Inputs!$B$29,IF(Skills!C15=3,120+Inputs!$B$27+Inputs!$B$29,MAX(0,(Inputs!$B$3-100)*3)+Inputs!$B$28+Inputs!$B$29)))</f>
        <v/>
      </c>
      <c r="E697">
        <f>INDEX(FactorTable!$B$2:$Y$301, MATCH(ROUND(MIN(300,MAX(1,D697)),0), FactorTable!$A$2:$A$301,0), Skills!M15+1)</f>
        <v/>
      </c>
      <c r="F697">
        <f>IF(Skills!N15=TRUE,(Skills!L15/10)*(E697/1000),Skills!L15/10)+Skills!O15</f>
        <v/>
      </c>
      <c r="G697">
        <f>Skills!G15*IF(Skills!H15&gt;0,IF(Inputs!$B$39="pvp",MIN(Skills!I15,15),Skills!I15)/Skills!H15,1)</f>
        <v/>
      </c>
      <c r="H697">
        <f>1-(1-Skills!J15/100)^Skills!K15</f>
        <v/>
      </c>
      <c r="I697" t="inlineStr">
        <is>
          <t>1</t>
        </is>
      </c>
      <c r="J697">
        <f>((Inputs!$B$6*(1+Inputs!$B$7/100))+(((Inputs!$B$12*(1+Inputs!$B$13/100))-(Inputs!$B$12*(1+Inputs!$B$13/100)))+0.25*(Inputs!$B$14-Inputs!$B$14))*(1+Inputs!$B$7/100))*(F697/100)</f>
        <v/>
      </c>
      <c r="K697">
        <f>J697*(1+((Inputs!$B$12*(1+Inputs!$B$13/100))*0.01+Inputs!$B$14*0.0025)/100)*(1+Inputs!$B$15/100)*(1+Inputs!$B$16/100)*(5000/(6000+Inputs!$B$43*(1-(100*(1-(1-Inputs!$B$19/100)*(1-CHOOSE(ArtifactsInput!$N$40+1,5,6,7,8,9,10)/100)^(ArtifactsInput!$M$40-ArtifactsInput!$M$40)))/100)))*(1+(Inputs!$B$24+((C713=TRUE)*(F713-Calc!F31))+((C700=TRUE)*(F700-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(1-(1-Inputs!$B$11/150)*(1-1/150))*150)-60))),0)-IF(ArtifactsInput!$M$34,MIN(CHOOSE(ArtifactsInput!$N$34+1,10,12,14,16,18,20),MAX(0,(CHOOSE(ArtifactsInput!$N$34+1,0.5,0.6,0.7,0.8,0.9,1)/3)*(Inputs!$B$11-60))),0)))/100)*(1+(IF(Skills!A15="CRUEL_STAB",Inputs!$B$17+((C710=TRUE)*(F710-Calc!F28))+((IF(AND(Inputs!$B$39&lt;&gt;"pvp",Inputs!$B$44=0),1,IF(IF(Inputs!$B$39="pvp",15,Inputs!$B$44)-(B727)&lt;=0,1,MAX(0,IF(Inputs!$B$39="pvp",15,Inputs!$B$44)-MAX(5,B727))/(IF(Inputs!$B$39="pvp",15,Inputs!$B$44)-(B727))))*(IF(AND(ArtifactsInput!$M$42,((Inputs!$B$9+((C708=TRUE)*(F708-Calc!F26))+B716+(ArtifactsInput!$M$24-ArtifactsInput!$M$24)*CHOOSE(ArtifactsInput!$N$24+1,10,12,14,16,18,20)+IF(ArtifactsInput!$M$10,CHOOSE(ArtifactsInput!$N$10+1,15,18,21,24,27,30)*(IF(Inputs!$B$39="pvp",MIN(15,15)/15,IF(AND(Inputs!$B$39&lt;&gt;"pvp",Inputs!$B$44&gt;0),MIN(15,Inputs!$B$44)/(Inputs!$B$44),0))),0)))&gt;=100),MIN(100,((Inputs!$B$9+((C708=TRUE)*(F708-Calc!F26))+B716+(ArtifactsInput!$M$24-ArtifactsInput!$M$24)*CHOOSE(ArtifactsInput!$N$24+1,10,12,14,16,18,20)+IF(ArtifactsInput!$M$10,CHOOSE(ArtifactsInput!$N$10+1,15,18,21,24,27,30)*(IF(Inputs!$B$39="pvp",MIN(15,15)/15,IF(AND(Inputs!$B$39&lt;&gt;"pvp",Inputs!$B$44&gt;0),MIN(15,Inputs!$B$44)/(Inputs!$B$44),0))),0)))-100),0))*CHOOSE(ArtifactsInput!$N$42+1,0.6,0.72,0.84,0.96,1.08,1.2))),Inputs!$B$18+((C711=TRUE)*(F711-Calc!F29))+(IF(AND(Inputs!$B$39&lt;&gt;"pvp",Inputs!$B$44=0),1,IF(IF(Inputs!$B$39="pvp",15,Inputs!$B$44)-(B727)&lt;=0,1,MAX(0,IF(Inputs!$B$39="pvp",15,Inputs!$B$44)-MAX(5,B727))/(IF(Inputs!$B$39="pvp",15,Inputs!$B$44)-(B727))))*IF(AND(ArtifactsInput!$M$42,((Inputs!$B$9+((C708=TRUE)*(F708-Calc!F26))+B716+(ArtifactsInput!$M$24-ArtifactsInput!$M$24)*CHOOSE(ArtifactsInput!$N$24+1,10,12,14,16,18,20)+IF(ArtifactsInput!$M$10,CHOOSE(ArtifactsInput!$N$10+1,15,18,21,24,27,30)*(IF(Inputs!$B$39="pvp",MIN(15,15)/15,IF(AND(Inputs!$B$39&lt;&gt;"pvp",Inputs!$B$44&gt;0),MIN(15,Inputs!$B$44)/(Inputs!$B$44),0))),0)))&gt;=100),CHOOSE(ArtifactsInput!$N$42+1,40,48,56,64,72,80),0))))/100)*(((1+(((C704=TRUE)*F704*IF(AND(Inputs!$B$39&lt;&gt;"pvp",Inputs!$B$44&gt;0),(((R704-1)*MIN((Skills!Y22*(1+Inputs!$B$34/100)),(1/Q704))+MIN((Skills!Y22*(1+Inputs!$B$34/100)),MAX(0,Inputs!$B$44-((R704-1)*(1/Q704)))))/Inputs!$B$44),IF(Inputs!$B$39="pvp",MIN((Skills!Y22*(1+Inputs!$B$34/100)),15)/15,MIN(1,(Skills!Y22*(1+Inputs!$B$34/100))/(1/Q704)))))+((C685=TRUE)*F685*3)+((C687=TRUE)*F687*(1-EXP(-0.75*B720*5)))+((C706=TRUE)*(F706-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693=TRUE)*F693*IF(AND(Inputs!$B$39&lt;&gt;"pvp",Inputs!$B$44&gt;0),(((R693-1)*MIN((Skills!Y11*(1+Inputs!$B$34/100)),(1/Q693))+MIN((Skills!Y11*(1+Inputs!$B$34/100)),MAX(0,Inputs!$B$44-((R693-1)*(1/Q693)))))/Inputs!$B$44),IF(Inputs!$B$39="pvp",MIN((Skills!Y11*(1+Inputs!$B$34/100)),15)/15,MIN(1,(Skills!Y11*(1+Inputs!$B$34/100))/(1/Q693)))))/100)*(1+((C698=TRUE)*F698*IF(AND(Inputs!$B$39&lt;&gt;"pvp",Inputs!$B$44&gt;0),(((R698-1)*MIN((Skills!Y16*(1+Inputs!$B$34/100)),(1/Q698))+MIN((Skills!Y16*(1+Inputs!$B$34/100)),MAX(0,Inputs!$B$44-((R698-1)*(1/Q698)))))/Inputs!$B$44),IF(Inputs!$B$39="pvp",MIN((Skills!Y16*(1+Inputs!$B$34/100)),15)/15,MIN(1,(Skills!Y16*(1+Inputs!$B$34/100))/(1/Q698)))))/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718*I697)</f>
        <v/>
      </c>
      <c r="L697">
        <f>K697*(MIN(Inputs!$B$22+((C707=TRUE)*(F707-Calc!F25)),(Inputs!$B$23+((C712=TRUE)*(F712-Calc!F30))+IF(ArtifactsInput!$M$15,CHOOSE(ArtifactsInput!$N$15+1,25,30,35,40,45,50)/100*(((1-(1-Inputs!$B$11/150)*(1-1/150))*150)-Inputs!$B$11),0)))/100+(Inputs!$B$23+((C712=TRUE)*(F712-Calc!F30))+IF(ArtifactsInput!$M$15,CHOOSE(ArtifactsInput!$N$15+1,25,30,35,40,45,50)/100*(((1-(1-Inputs!$B$11/150)*(1-1/150))*150)-Inputs!$B$11),0))/100)/2</f>
        <v/>
      </c>
      <c r="M697">
        <f>L697*(1+(Inputs!$B$10+((C709=TRUE)*(F709-Calc!F27))+B723+(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697">
        <f>L697*(1-MIN((Inputs!$B$9+((C708=TRUE)*(F708-Calc!F26))+B716+(ArtifactsInput!$M$24-ArtifactsInput!$M$24)*CHOOSE(ArtifactsInput!$N$24+1,10,12,14,16,18,20)+(IF(AND(Inputs!$B$39&lt;&gt;"pvp",Inputs!$B$44=0),1,IF(IF(Inputs!$B$39="pvp",15,Inputs!$B$44)-(B727)&lt;=0,1,MAX(0,IF(Inputs!$B$39="pvp",15,Inputs!$B$44)-MAX(5,B727))/(IF(Inputs!$B$39="pvp",15,Inputs!$B$44)-(B727))))*IF(AND(ArtifactsInput!$M$42,((Inputs!$B$9+((C708=TRUE)*(F708-Calc!F26))+B716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697*(MIN((Inputs!$B$9+((C708=TRUE)*(F708-Calc!F26))+B716+(ArtifactsInput!$M$24-ArtifactsInput!$M$24)*CHOOSE(ArtifactsInput!$N$24+1,10,12,14,16,18,20)+(IF(AND(Inputs!$B$39&lt;&gt;"pvp",Inputs!$B$44=0),1,IF(IF(Inputs!$B$39="pvp",15,Inputs!$B$44)-(B727)&lt;=0,1,MAX(0,IF(Inputs!$B$39="pvp",15,Inputs!$B$44)-MAX(5,B727))/(IF(Inputs!$B$39="pvp",15,Inputs!$B$44)-(B727))))*IF(AND(ArtifactsInput!$M$42,((Inputs!$B$9+((C708=TRUE)*(F708-Calc!F26))+B716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697">
        <f>(1-Summary!$B$11)*T697+Summary!$B$11*V697</f>
        <v/>
      </c>
      <c r="P697">
        <f>IF(B728=0,0,O697/B728)</f>
        <v/>
      </c>
      <c r="Q697">
        <f>IFERROR(1/IF(Inputs!$B$39="pvp",15,MAX(0.1,Skills!D15-IF(TRUE=TRUE,Inputs!$B$32,0))),0)</f>
        <v/>
      </c>
      <c r="R697">
        <f>IF(AND(Inputs!$B$39&lt;&gt;"pvp",Inputs!$B$44&gt;0),IF(MAX(0,Inputs!$B$44-B727)&lt;=0,0,(INT(MAX(0,Inputs!$B$44-B727)/IF(Inputs!$B$39="pvp",15,MAX(0.1,Skills!D15-IF(TRUE=TRUE,Inputs!$B$32,0))))+1)),0)</f>
        <v/>
      </c>
      <c r="S697">
        <f>IFERROR(O697/N697,0)</f>
        <v/>
      </c>
      <c r="T697">
        <f>IF(C697,(H697*N697*IF(AND(Inputs!$B$39&lt;&gt;"pvp",Inputs!$B$44&gt;0),((Skills!G15*((R697-1)*IF(Skills!H15&gt;0,Skills!I15/Skills!H15,1)+IF(Skills!H15&gt;0,MIN(Skills!I15,MAX(0,MAX(0,Inputs!$B$44-B727)-((R697-1)*IF(Inputs!$B$39="pvp",15,MAX(0.1,Skills!D15-IF(TRUE=TRUE,Inputs!$B$32,0))))))/Skills!H15,1)))/Inputs!$B$44),G697*Q697))*IF(Inputs!$B$39="pvp",1,1+(Inputs!$B$20+0+Skills!P15+B717+(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Hunt"),CHOOSE(ArtifactsInput!$N$35+1,15,18,21,24,27,30)*(1-EXP(-(0.2*B720)*5)),0)+IF(AND(ArtifactsInput!$M$22,Inputs!$B$4&lt;&gt;"Chapter Hunt"),CHOOSE(ArtifactsInput!$N$22+1,10,12,14,16,18,20)*((0*(((0.15*B720*5))^0/1)+1*(((0.15*B720*5))^1/1)+2*(((0.15*B720*5))^2/2)+3*(((0.15*B720*5))^3/6)+4*(((0.15*B720*5))^4/24)+5*(((0.15*B720*5))^5/120))/((((0.15*B720*5))^0/1)+(((0.15*B720*5))^1/1)+(((0.15*B720*5))^2/2)+(((0.15*B720*5))^3/6)+(((0.15*B720*5))^4/24)+(((0.15*B720*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697*(1-MIN(100,(Inputs!$B$9+((C708=TRUE)*(F708-Calc!F26))+B716+(ArtifactsInput!$M$24-ArtifactsInput!$M$24)*CHOOSE(ArtifactsInput!$N$24+1,10,12,14,16,18,20)+(IF(AND(Inputs!$B$39&lt;&gt;"pvp",Inputs!$B$44=0),1,IF(IF(Inputs!$B$39="pvp",15,Inputs!$B$44)-(B727)&lt;=0,1,MAX(0,IF(Inputs!$B$39="pvp",15,Inputs!$B$44)-MAX(5,B727))/(IF(Inputs!$B$39="pvp",15,Inputs!$B$44)-(B727))))*IF(AND(ArtifactsInput!$M$42,((Inputs!$B$9+((C708=TRUE)*(F708-Calc!F26))+B716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697*(MIN(100,(Inputs!$B$9+((C708=TRUE)*(F708-Calc!F26))+B716+(ArtifactsInput!$M$24-ArtifactsInput!$M$24)*CHOOSE(ArtifactsInput!$N$24+1,10,12,14,16,18,20)+(IF(AND(Inputs!$B$39&lt;&gt;"pvp",Inputs!$B$44=0),1,IF(IF(Inputs!$B$39="pvp",15,Inputs!$B$44)-(B727)&lt;=0,1,MAX(0,IF(Inputs!$B$39="pvp",15,Inputs!$B$44)-MAX(5,B727))/(IF(Inputs!$B$39="pvp",15,Inputs!$B$44)-(B727))))*IF(AND(ArtifactsInput!$M$42,((Inputs!$B$9+((C708=TRUE)*(F708-Calc!F26))+B716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697*(1-MIN(100,(Inputs!$B$9+((C708=TRUE)*(F708-Calc!F26))+B716+(ArtifactsInput!$M$24-ArtifactsInput!$M$24)*CHOOSE(ArtifactsInput!$N$24+1,10,12,14,16,18,20)+(IF(AND(Inputs!$B$39&lt;&gt;"pvp",Inputs!$B$44=0),1,IF(IF(Inputs!$B$39="pvp",15,Inputs!$B$44)-(B727)&lt;=0,1,MAX(0,IF(Inputs!$B$39="pvp",15,Inputs!$B$44)-MAX(5,B727))/(IF(Inputs!$B$39="pvp",15,Inputs!$B$44)-(B727))))*IF(AND(ArtifactsInput!$M$42,((Inputs!$B$9+((C708=TRUE)*(F708-Calc!F26))+B716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697*(MIN(100,(Inputs!$B$9+((C708=TRUE)*(F708-Calc!F26))+B716+(ArtifactsInput!$M$24-ArtifactsInput!$M$24)*CHOOSE(ArtifactsInput!$N$24+1,10,12,14,16,18,20)+(IF(AND(Inputs!$B$39&lt;&gt;"pvp",Inputs!$B$44=0),1,IF(IF(Inputs!$B$39="pvp",15,Inputs!$B$44)-(B727)&lt;=0,1,MAX(0,IF(Inputs!$B$39="pvp",15,Inputs!$B$44)-MAX(5,B727))/(IF(Inputs!$B$39="pvp",15,Inputs!$B$44)-(B727))))*IF(AND(ArtifactsInput!$M$42,((Inputs!$B$9+((C708=TRUE)*(F708-Calc!F26))+B716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697">
        <f>IF(C697,(H697*N697*IF(AND(Inputs!$B$39&lt;&gt;"pvp",Inputs!$B$44&gt;0),((Skills!G15*((R697-1)*IF(Skills!H15&gt;0,Skills!I15/Skills!H15,1)+IF(Skills!H15&gt;0,MIN(Skills!I15,MAX(0,MAX(0,Inputs!$B$44-B727)-((R697-1)*IF(Inputs!$B$39="pvp",15,MAX(0.1,Skills!D15-IF(TRUE=TRUE,Inputs!$B$32,0))))))/Skills!H15,1)))/Inputs!$B$44),G697*Q697))*IF(Inputs!$B$39="pvp",1,(1+(Inputs!$B$21+Skills!Q15+B717+(IF(ArtifactsInput!$M$33,CHOOSE(ArtifactsInput!$N$33+1,30,36,42,48,54,60),0))+(IF(AND(ArtifactsInput!$M$35,Inputs!$B$4&lt;&gt;"Chapter Hunt"),CHOOSE(ArtifactsInput!$N$35+1,15,18,21,24,27,30)*(1-EXP(-(0.2*B720)*5)),0)+IF(AND(ArtifactsInput!$M$22,Inputs!$B$4&lt;&gt;"Chapter Hunt"),CHOOSE(ArtifactsInput!$N$22+1,10,12,14,16,18,20)*((0*(((0.15*B720*5))^0/1)+1*(((0.15*B720*5))^1/1)+2*(((0.15*B720*5))^2/2)+3*(((0.15*B720*5))^3/6)+4*(((0.15*B720*5))^4/24)+5*(((0.15*B720*5))^5/120))/((((0.15*B720*5))^0/1)+(((0.15*B720*5))^1/1)+(((0.15*B720*5))^2/2)+(((0.15*B720*5))^3/6)+(((0.15*B720*5))^4/24)+(((0.15*B720*5))^5/120))),0)))/100)*(MIN(MIN(5,0.5*IF(Inputs!$B$3&gt;=75,0.75,0.5)*B720*(1/Q686))*Skills!V15,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698">
      <c r="A698">
        <f>Skills!A16</f>
        <v/>
      </c>
      <c r="B698">
        <f>Skills!B16</f>
        <v/>
      </c>
      <c r="C698">
        <f>Inputs!$B$3&gt;=110</f>
        <v/>
      </c>
      <c r="D698">
        <f>IF(Skills!C16=1,60+Inputs!$B$25+Inputs!$B$29,IF(Skills!C16=2,90+Inputs!$B$26+Inputs!$B$29,IF(Skills!C16=3,120+Inputs!$B$27+Inputs!$B$29,MAX(0,(Inputs!$B$3-100)*3)+Inputs!$B$28+Inputs!$B$29)))</f>
        <v/>
      </c>
      <c r="E698">
        <f>INDEX(FactorTable!$B$2:$Y$301, MATCH(ROUND(MIN(300,MAX(1,D698)),0), FactorTable!$A$2:$A$301,0), Skills!M16+1)</f>
        <v/>
      </c>
      <c r="F698">
        <f>IF(Skills!N16=TRUE,(Skills!L16/10)*(E698/1000),Skills!L16/10)+Skills!O16</f>
        <v/>
      </c>
      <c r="G698">
        <f>Skills!G16*IF(Skills!H16&gt;0,IF(Inputs!$B$39="pvp",MIN(Skills!I16,15),Skills!I16)/Skills!H16,1)</f>
        <v/>
      </c>
      <c r="H698">
        <f>1-(1-Skills!J16/100)^Skills!K16</f>
        <v/>
      </c>
      <c r="I698" t="inlineStr">
        <is>
          <t>1</t>
        </is>
      </c>
      <c r="J698" t="inlineStr"/>
      <c r="K698" t="inlineStr"/>
      <c r="L698" t="inlineStr"/>
      <c r="M698" t="inlineStr"/>
      <c r="N698" t="inlineStr"/>
      <c r="O698">
        <f>(1-Summary!$B$11)*T698+Summary!$B$11*V698</f>
        <v/>
      </c>
      <c r="P698">
        <f>IF(B728=0,0,O698/B728)</f>
        <v/>
      </c>
      <c r="Q698">
        <f>IFERROR(1/IF(Inputs!$B$39="pvp",15,MAX(0.1,Skills!D16-IF(TRUE=TRUE,Inputs!$B$32,0))),0)</f>
        <v/>
      </c>
      <c r="R698">
        <f>IF(AND(Inputs!$B$39&lt;&gt;"pvp",Inputs!$B$44&gt;0),IF(Inputs!$B$44&lt;=0,0,(INT(Inputs!$B$44/IF(Inputs!$B$39="pvp",15,MAX(0.1,Skills!D16-IF(TRUE=TRUE,Inputs!$B$32,0))))+1)),0)</f>
        <v/>
      </c>
      <c r="S698">
        <f>IFERROR(O698/N698,0)</f>
        <v/>
      </c>
      <c r="T698" t="n">
        <v>0</v>
      </c>
      <c r="V698" t="n">
        <v>0</v>
      </c>
    </row>
    <row r="699">
      <c r="A699">
        <f>Skills!A17</f>
        <v/>
      </c>
      <c r="B699">
        <f>Skills!B17</f>
        <v/>
      </c>
      <c r="C699">
        <f>Inputs!$B$3&gt;=115</f>
        <v/>
      </c>
      <c r="D699">
        <f>IF(Skills!C17=1,60+Inputs!$B$25+Inputs!$B$29,IF(Skills!C17=2,90+Inputs!$B$26+Inputs!$B$29,IF(Skills!C17=3,120+Inputs!$B$27+Inputs!$B$29,MAX(0,(Inputs!$B$3-100)*3)+Inputs!$B$28+Inputs!$B$29)))</f>
        <v/>
      </c>
      <c r="E699">
        <f>INDEX(FactorTable!$B$2:$Y$301, MATCH(ROUND(MIN(300,MAX(1,D699)),0), FactorTable!$A$2:$A$301,0), Skills!M17+1)</f>
        <v/>
      </c>
      <c r="F699">
        <f>IF(Skills!N17=TRUE,(Skills!L17/10)*(E699/1000),Skills!L17/10)+Skills!O17</f>
        <v/>
      </c>
      <c r="G699">
        <f>Skills!G17*IF(Skills!H17&gt;0,IF(Inputs!$B$39="pvp",MIN(Skills!I17,15),Skills!I17)/Skills!H17,1)</f>
        <v/>
      </c>
      <c r="H699">
        <f>1-(1-Skills!J17/100)^Skills!K17</f>
        <v/>
      </c>
      <c r="I699" t="inlineStr">
        <is>
          <t>1</t>
        </is>
      </c>
      <c r="J699">
        <f>((Inputs!$B$6*(1+Inputs!$B$7/100))+(((Inputs!$B$12*(1+Inputs!$B$13/100))-(Inputs!$B$12*(1+Inputs!$B$13/100)))+0.25*(Inputs!$B$14-Inputs!$B$14))*(1+Inputs!$B$7/100))*(F699/100)</f>
        <v/>
      </c>
      <c r="K699">
        <f>J699*(1+((Inputs!$B$12*(1+Inputs!$B$13/100))*0.01+Inputs!$B$14*0.0025)/100)*(1+Inputs!$B$15/100)*(1+Inputs!$B$16/100)*(5000/(6000+Inputs!$B$43*(1-(100*(1-(1-Inputs!$B$19/100)*(1-CHOOSE(ArtifactsInput!$N$40+1,5,6,7,8,9,10)/100)^(ArtifactsInput!$M$40-ArtifactsInput!$M$40)))/100)))*(1+(Inputs!$B$24+((C713=TRUE)*(F713-Calc!F31))+((C700=TRUE)*(F700-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(1-(1-Inputs!$B$11/150)*(1-1/150))*150)-60))),0)-IF(ArtifactsInput!$M$34,MIN(CHOOSE(ArtifactsInput!$N$34+1,10,12,14,16,18,20),MAX(0,(CHOOSE(ArtifactsInput!$N$34+1,0.5,0.6,0.7,0.8,0.9,1)/3)*(Inputs!$B$11-60))),0)))/100)*(1+(IF(Skills!A17="CRUEL_STAB",Inputs!$B$17+((C710=TRUE)*(F710-Calc!F28))+((IF(AND(Inputs!$B$39&lt;&gt;"pvp",Inputs!$B$44=0),1,IF(IF(Inputs!$B$39="pvp",15,Inputs!$B$44)-(B727)&lt;=0,1,MAX(0,IF(Inputs!$B$39="pvp",15,Inputs!$B$44)-MAX(5,B727))/(IF(Inputs!$B$39="pvp",15,Inputs!$B$44)-(B727))))*(IF(AND(ArtifactsInput!$M$42,((Inputs!$B$9+((C708=TRUE)*(F708-Calc!F26))+B716+(ArtifactsInput!$M$24-ArtifactsInput!$M$24)*CHOOSE(ArtifactsInput!$N$24+1,10,12,14,16,18,20)+IF(ArtifactsInput!$M$10,CHOOSE(ArtifactsInput!$N$10+1,15,18,21,24,27,30)*(IF(Inputs!$B$39="pvp",MIN(15,15)/15,IF(AND(Inputs!$B$39&lt;&gt;"pvp",Inputs!$B$44&gt;0),MIN(15,Inputs!$B$44)/(Inputs!$B$44),0))),0)))&gt;=100),MIN(100,((Inputs!$B$9+((C708=TRUE)*(F708-Calc!F26))+B716+(ArtifactsInput!$M$24-ArtifactsInput!$M$24)*CHOOSE(ArtifactsInput!$N$24+1,10,12,14,16,18,20)+IF(ArtifactsInput!$M$10,CHOOSE(ArtifactsInput!$N$10+1,15,18,21,24,27,30)*(IF(Inputs!$B$39="pvp",MIN(15,15)/15,IF(AND(Inputs!$B$39&lt;&gt;"pvp",Inputs!$B$44&gt;0),MIN(15,Inputs!$B$44)/(Inputs!$B$44),0))),0)))-100),0))*CHOOSE(ArtifactsInput!$N$42+1,0.6,0.72,0.84,0.96,1.08,1.2))),Inputs!$B$18+((C711=TRUE)*(F711-Calc!F29))+(IF(AND(Inputs!$B$39&lt;&gt;"pvp",Inputs!$B$44=0),1,IF(IF(Inputs!$B$39="pvp",15,Inputs!$B$44)-(B727)&lt;=0,1,MAX(0,IF(Inputs!$B$39="pvp",15,Inputs!$B$44)-MAX(5,B727))/(IF(Inputs!$B$39="pvp",15,Inputs!$B$44)-(B727))))*IF(AND(ArtifactsInput!$M$42,((Inputs!$B$9+((C708=TRUE)*(F708-Calc!F26))+B716+(ArtifactsInput!$M$24-ArtifactsInput!$M$24)*CHOOSE(ArtifactsInput!$N$24+1,10,12,14,16,18,20)+IF(ArtifactsInput!$M$10,CHOOSE(ArtifactsInput!$N$10+1,15,18,21,24,27,30)*(IF(Inputs!$B$39="pvp",MIN(15,15)/15,IF(AND(Inputs!$B$39&lt;&gt;"pvp",Inputs!$B$44&gt;0),MIN(15,Inputs!$B$44)/(Inputs!$B$44),0))),0)))&gt;=100),CHOOSE(ArtifactsInput!$N$42+1,40,48,56,64,72,80),0))))/100)*(((1+(((C704=TRUE)*F704*IF(AND(Inputs!$B$39&lt;&gt;"pvp",Inputs!$B$44&gt;0),(((R704-1)*MIN((Skills!Y22*(1+Inputs!$B$34/100)),(1/Q704))+MIN((Skills!Y22*(1+Inputs!$B$34/100)),MAX(0,Inputs!$B$44-((R704-1)*(1/Q704)))))/Inputs!$B$44),IF(Inputs!$B$39="pvp",MIN((Skills!Y22*(1+Inputs!$B$34/100)),15)/15,MIN(1,(Skills!Y22*(1+Inputs!$B$34/100))/(1/Q704)))))+((C685=TRUE)*F685*3)+((C687=TRUE)*F687*(1-EXP(-0.75*B720*5)))+((C706=TRUE)*(F706-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693=TRUE)*F693*IF(AND(Inputs!$B$39&lt;&gt;"pvp",Inputs!$B$44&gt;0),(((R693-1)*MIN((Skills!Y11*(1+Inputs!$B$34/100)),(1/Q693))+MIN((Skills!Y11*(1+Inputs!$B$34/100)),MAX(0,Inputs!$B$44-((R693-1)*(1/Q693)))))/Inputs!$B$44),IF(Inputs!$B$39="pvp",MIN((Skills!Y11*(1+Inputs!$B$34/100)),15)/15,MIN(1,(Skills!Y11*(1+Inputs!$B$34/100))/(1/Q693)))))/100)*(1+((C698=TRUE)*F698*IF(AND(Inputs!$B$39&lt;&gt;"pvp",Inputs!$B$44&gt;0),(((R698-1)*MIN((Skills!Y16*(1+Inputs!$B$34/100)),(1/Q698))+MIN((Skills!Y16*(1+Inputs!$B$34/100)),MAX(0,Inputs!$B$44-((R698-1)*(1/Q698)))))/Inputs!$B$44),IF(Inputs!$B$39="pvp",MIN((Skills!Y16*(1+Inputs!$B$34/100)),15)/15,MIN(1,(Skills!Y16*(1+Inputs!$B$34/100))/(1/Q698)))))/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718*I699)</f>
        <v/>
      </c>
      <c r="L699">
        <f>K699*(MIN(Inputs!$B$22+((C707=TRUE)*(F707-Calc!F25)),(Inputs!$B$23+((C712=TRUE)*(F712-Calc!F30))+IF(ArtifactsInput!$M$15,CHOOSE(ArtifactsInput!$N$15+1,25,30,35,40,45,50)/100*(((1-(1-Inputs!$B$11/150)*(1-1/150))*150)-Inputs!$B$11),0)))/100+(Inputs!$B$23+((C712=TRUE)*(F712-Calc!F30))+IF(ArtifactsInput!$M$15,CHOOSE(ArtifactsInput!$N$15+1,25,30,35,40,45,50)/100*(((1-(1-Inputs!$B$11/150)*(1-1/150))*150)-Inputs!$B$11),0))/100)/2</f>
        <v/>
      </c>
      <c r="M699">
        <f>L699*(1+(Inputs!$B$10+((C709=TRUE)*(F709-Calc!F27))+B723+(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699">
        <f>L699*(1-MIN((Inputs!$B$9+((C708=TRUE)*(F708-Calc!F26))+B716+(ArtifactsInput!$M$24-ArtifactsInput!$M$24)*CHOOSE(ArtifactsInput!$N$24+1,10,12,14,16,18,20)+(IF(AND(Inputs!$B$39&lt;&gt;"pvp",Inputs!$B$44=0),1,IF(IF(Inputs!$B$39="pvp",15,Inputs!$B$44)-(B727)&lt;=0,1,MAX(0,IF(Inputs!$B$39="pvp",15,Inputs!$B$44)-MAX(5,B727))/(IF(Inputs!$B$39="pvp",15,Inputs!$B$44)-(B727))))*IF(AND(ArtifactsInput!$M$42,((Inputs!$B$9+((C708=TRUE)*(F708-Calc!F26))+B716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699*(MIN((Inputs!$B$9+((C708=TRUE)*(F708-Calc!F26))+B716+(ArtifactsInput!$M$24-ArtifactsInput!$M$24)*CHOOSE(ArtifactsInput!$N$24+1,10,12,14,16,18,20)+(IF(AND(Inputs!$B$39&lt;&gt;"pvp",Inputs!$B$44=0),1,IF(IF(Inputs!$B$39="pvp",15,Inputs!$B$44)-(B727)&lt;=0,1,MAX(0,IF(Inputs!$B$39="pvp",15,Inputs!$B$44)-MAX(5,B727))/(IF(Inputs!$B$39="pvp",15,Inputs!$B$44)-(B727))))*IF(AND(ArtifactsInput!$M$42,((Inputs!$B$9+((C708=TRUE)*(F708-Calc!F26))+B716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699">
        <f>(1-Summary!$B$11)*T699+Summary!$B$11*V699</f>
        <v/>
      </c>
      <c r="P699">
        <f>IF(B728=0,0,O699/B728)</f>
        <v/>
      </c>
      <c r="Q699" t="n">
        <v>0</v>
      </c>
      <c r="R699" t="n">
        <v>0</v>
      </c>
      <c r="S699">
        <f>IFERROR(O699/N699,0)</f>
        <v/>
      </c>
      <c r="T699">
        <f>IF(C699,(Inputs!$B$38*0.2*N699)*IF(Inputs!$B$39="pvp",1,1+(Inputs!$B$20+0+Skills!P17+B717+(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Hunt"),CHOOSE(ArtifactsInput!$N$35+1,15,18,21,24,27,30)*(1-EXP(-(0.2*B720)*5)),0)+IF(AND(ArtifactsInput!$M$22,Inputs!$B$4&lt;&gt;"Chapter Hunt"),CHOOSE(ArtifactsInput!$N$22+1,10,12,14,16,18,20)*((0*(((0.15*B720*5))^0/1)+1*(((0.15*B720*5))^1/1)+2*(((0.15*B720*5))^2/2)+3*(((0.15*B720*5))^3/6)+4*(((0.15*B720*5))^4/24)+5*(((0.15*B720*5))^5/120))/((((0.15*B720*5))^0/1)+(((0.15*B720*5))^1/1)+(((0.15*B720*5))^2/2)+(((0.15*B720*5))^3/6)+(((0.15*B720*5))^4/24)+(((0.15*B720*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699*(1-MIN(100,(Inputs!$B$9+((C708=TRUE)*(F708-Calc!F26))+B716+(ArtifactsInput!$M$24-ArtifactsInput!$M$24)*CHOOSE(ArtifactsInput!$N$24+1,10,12,14,16,18,20)+(IF(AND(Inputs!$B$39&lt;&gt;"pvp",Inputs!$B$44=0),1,IF(IF(Inputs!$B$39="pvp",15,Inputs!$B$44)-(B727)&lt;=0,1,MAX(0,IF(Inputs!$B$39="pvp",15,Inputs!$B$44)-MAX(5,B727))/(IF(Inputs!$B$39="pvp",15,Inputs!$B$44)-(B727))))*IF(AND(ArtifactsInput!$M$42,((Inputs!$B$9+((C708=TRUE)*(F708-Calc!F26))+B716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699*(MIN(100,(Inputs!$B$9+((C708=TRUE)*(F708-Calc!F26))+B716+(ArtifactsInput!$M$24-ArtifactsInput!$M$24)*CHOOSE(ArtifactsInput!$N$24+1,10,12,14,16,18,20)+(IF(AND(Inputs!$B$39&lt;&gt;"pvp",Inputs!$B$44=0),1,IF(IF(Inputs!$B$39="pvp",15,Inputs!$B$44)-(B727)&lt;=0,1,MAX(0,IF(Inputs!$B$39="pvp",15,Inputs!$B$44)-MAX(5,B727))/(IF(Inputs!$B$39="pvp",15,Inputs!$B$44)-(B727))))*IF(AND(ArtifactsInput!$M$42,((Inputs!$B$9+((C708=TRUE)*(F708-Calc!F26))+B716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699*(1-MIN(100,(Inputs!$B$9+((C708=TRUE)*(F708-Calc!F26))+B716+(ArtifactsInput!$M$24-ArtifactsInput!$M$24)*CHOOSE(ArtifactsInput!$N$24+1,10,12,14,16,18,20)+(IF(AND(Inputs!$B$39&lt;&gt;"pvp",Inputs!$B$44=0),1,IF(IF(Inputs!$B$39="pvp",15,Inputs!$B$44)-(B727)&lt;=0,1,MAX(0,IF(Inputs!$B$39="pvp",15,Inputs!$B$44)-MAX(5,B727))/(IF(Inputs!$B$39="pvp",15,Inputs!$B$44)-(B727))))*IF(AND(ArtifactsInput!$M$42,((Inputs!$B$9+((C708=TRUE)*(F708-Calc!F26))+B716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699*(MIN(100,(Inputs!$B$9+((C708=TRUE)*(F708-Calc!F26))+B716+(ArtifactsInput!$M$24-ArtifactsInput!$M$24)*CHOOSE(ArtifactsInput!$N$24+1,10,12,14,16,18,20)+(IF(AND(Inputs!$B$39&lt;&gt;"pvp",Inputs!$B$44=0),1,IF(IF(Inputs!$B$39="pvp",15,Inputs!$B$44)-(B727)&lt;=0,1,MAX(0,IF(Inputs!$B$39="pvp",15,Inputs!$B$44)-MAX(5,B727))/(IF(Inputs!$B$39="pvp",15,Inputs!$B$44)-(B727))))*IF(AND(ArtifactsInput!$M$42,((Inputs!$B$9+((C708=TRUE)*(F708-Calc!F26))+B716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699">
        <f>IF(C699,(Inputs!$B$38*0.2*N699)*IF(Inputs!$B$39="pvp",1,(1+(Inputs!$B$21+Skills!Q17+B717+(IF(ArtifactsInput!$M$33,CHOOSE(ArtifactsInput!$N$33+1,30,36,42,48,54,60),0))+(IF(AND(ArtifactsInput!$M$35,Inputs!$B$4&lt;&gt;"Chapter Hunt"),CHOOSE(ArtifactsInput!$N$35+1,15,18,21,24,27,30)*(1-EXP(-(0.2*B720)*5)),0)+IF(AND(ArtifactsInput!$M$22,Inputs!$B$4&lt;&gt;"Chapter Hunt"),CHOOSE(ArtifactsInput!$N$22+1,10,12,14,16,18,20)*((0*(((0.15*B720*5))^0/1)+1*(((0.15*B720*5))^1/1)+2*(((0.15*B720*5))^2/2)+3*(((0.15*B720*5))^3/6)+4*(((0.15*B720*5))^4/24)+5*(((0.15*B720*5))^5/120))/((((0.15*B720*5))^0/1)+(((0.15*B720*5))^1/1)+(((0.15*B720*5))^2/2)+(((0.15*B720*5))^3/6)+(((0.15*B720*5))^4/24)+(((0.15*B720*5))^5/120))),0)))/100)*(MIN(Skills!W17,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700">
      <c r="A700">
        <f>Skills!A18</f>
        <v/>
      </c>
      <c r="B700">
        <f>Skills!B18</f>
        <v/>
      </c>
      <c r="C700">
        <f>Inputs!$B$3&gt;=115</f>
        <v/>
      </c>
      <c r="D700">
        <f>IF(Skills!C18=1,60+Inputs!$B$25+Inputs!$B$29,IF(Skills!C18=2,90+Inputs!$B$26+Inputs!$B$29,IF(Skills!C18=3,120+Inputs!$B$27+Inputs!$B$29,MAX(0,(Inputs!$B$3-100)*3)+Inputs!$B$28+Inputs!$B$29)))</f>
        <v/>
      </c>
      <c r="E700">
        <f>INDEX(FactorTable!$B$2:$Y$301, MATCH(ROUND(MIN(300,MAX(1,D700)),0), FactorTable!$A$2:$A$301,0), Skills!M18+1)</f>
        <v/>
      </c>
      <c r="F700">
        <f>IF(Skills!N18=TRUE,(Skills!L18/10)*(E700/1000),Skills!L18/10)+Skills!O18</f>
        <v/>
      </c>
      <c r="G700">
        <f>Skills!G18*IF(Skills!H18&gt;0,IF(Inputs!$B$39="pvp",MIN(Skills!I18,15),Skills!I18)/Skills!H18,1)</f>
        <v/>
      </c>
      <c r="H700">
        <f>1-(1-Skills!J18/100)^Skills!K18</f>
        <v/>
      </c>
      <c r="I700" t="inlineStr">
        <is>
          <t>1</t>
        </is>
      </c>
      <c r="J700" t="inlineStr"/>
      <c r="K700" t="inlineStr"/>
      <c r="L700" t="inlineStr"/>
      <c r="M700" t="inlineStr"/>
      <c r="N700" t="inlineStr"/>
      <c r="O700">
        <f>(1-Summary!$B$11)*T700+Summary!$B$11*V700</f>
        <v/>
      </c>
      <c r="P700">
        <f>IF(B728=0,0,O700/B728)</f>
        <v/>
      </c>
      <c r="Q700" t="n">
        <v>0</v>
      </c>
      <c r="R700" t="n">
        <v>0</v>
      </c>
      <c r="S700">
        <f>IFERROR(O700/N700,0)</f>
        <v/>
      </c>
      <c r="T700" t="n">
        <v>0</v>
      </c>
      <c r="V700" t="n">
        <v>0</v>
      </c>
    </row>
    <row r="701">
      <c r="A701">
        <f>Skills!A19</f>
        <v/>
      </c>
      <c r="B701">
        <f>Skills!B19</f>
        <v/>
      </c>
      <c r="C701">
        <f>Inputs!$B$3&gt;=100</f>
        <v/>
      </c>
      <c r="D701">
        <f>IF(Skills!C19=1,60+Inputs!$B$25+Inputs!$B$29,IF(Skills!C19=2,90+Inputs!$B$26+Inputs!$B$29,IF(Skills!C19=3,120+Inputs!$B$27+Inputs!$B$29,MAX(0,(Inputs!$B$3-100)*3)+Inputs!$B$28+Inputs!$B$29)))</f>
        <v/>
      </c>
      <c r="E701">
        <f>INDEX(FactorTable!$B$2:$Y$301, MATCH(ROUND(MIN(300,MAX(1,D701)),0), FactorTable!$A$2:$A$301,0), Skills!M19+1)</f>
        <v/>
      </c>
      <c r="F701">
        <f>IF(Skills!N19=TRUE,(Skills!L19/10)*(E701/1000),Skills!L19/10)+Skills!O19</f>
        <v/>
      </c>
      <c r="G701">
        <f>Skills!G19*IF(Skills!H19&gt;0,IF(Inputs!$B$39="pvp",MIN(Skills!I19,15),Skills!I19)/Skills!H19,1)</f>
        <v/>
      </c>
      <c r="H701">
        <f>1-(1-Skills!J19/100)^Skills!K19</f>
        <v/>
      </c>
      <c r="I701" t="inlineStr">
        <is>
          <t>1</t>
        </is>
      </c>
      <c r="J701" t="inlineStr"/>
      <c r="K701" t="inlineStr"/>
      <c r="L701" t="inlineStr"/>
      <c r="M701" t="inlineStr"/>
      <c r="N701" t="inlineStr"/>
      <c r="O701">
        <f>(1-Summary!$B$11)*T701+Summary!$B$11*V701</f>
        <v/>
      </c>
      <c r="P701">
        <f>IF(B728=0,0,O701/B728)</f>
        <v/>
      </c>
      <c r="Q701" t="n">
        <v>0</v>
      </c>
      <c r="R701" t="n">
        <v>0</v>
      </c>
      <c r="S701">
        <f>IFERROR(O701/N701,0)</f>
        <v/>
      </c>
      <c r="T701" t="n">
        <v>0</v>
      </c>
      <c r="V701" t="n">
        <v>0</v>
      </c>
    </row>
    <row r="702">
      <c r="A702">
        <f>Skills!A20</f>
        <v/>
      </c>
      <c r="B702">
        <f>Skills!B20</f>
        <v/>
      </c>
      <c r="C702">
        <f>TRUE</f>
        <v/>
      </c>
      <c r="D702">
        <f>IF(Skills!C20=1,60+Inputs!$B$25+Inputs!$B$29,IF(Skills!C20=2,90+Inputs!$B$26+Inputs!$B$29,IF(Skills!C20=3,120+Inputs!$B$27+Inputs!$B$29,MAX(0,(Inputs!$B$3-100)*3)+Inputs!$B$28+Inputs!$B$29)))</f>
        <v/>
      </c>
      <c r="E702">
        <f>INDEX(FactorTable!$B$2:$Y$301, MATCH(ROUND(MIN(300,MAX(1,D702)),0), FactorTable!$A$2:$A$301,0), Skills!M20+1)</f>
        <v/>
      </c>
      <c r="F702">
        <f>IF(Skills!N20=TRUE,(Skills!L20/10)*(E702/1000),Skills!L20/10)+Skills!O20</f>
        <v/>
      </c>
      <c r="G702">
        <f>Skills!G20*IF(Skills!H20&gt;0,IF(Inputs!$B$39="pvp",MIN(Skills!I20,15),Skills!I20)/Skills!H20,1)</f>
        <v/>
      </c>
      <c r="H702">
        <f>1-(1-Skills!J20/100)^Skills!K20</f>
        <v/>
      </c>
      <c r="I702" t="inlineStr">
        <is>
          <t>1</t>
        </is>
      </c>
      <c r="J702" t="inlineStr"/>
      <c r="K702" t="inlineStr"/>
      <c r="L702" t="inlineStr"/>
      <c r="M702" t="inlineStr"/>
      <c r="N702" t="inlineStr"/>
      <c r="O702">
        <f>(1-Summary!$B$11)*T702+Summary!$B$11*V702</f>
        <v/>
      </c>
      <c r="P702">
        <f>IF(B728=0,0,O702/B728)</f>
        <v/>
      </c>
      <c r="Q702">
        <f>IFERROR(1/IF(Inputs!$B$39="pvp",15,MAX(0.1,Skills!D20-IF(TRUE=TRUE,Inputs!$B$32,0))),0)</f>
        <v/>
      </c>
      <c r="R702">
        <f>IF(AND(Inputs!$B$39&lt;&gt;"pvp",Inputs!$B$44&gt;0),IF(Inputs!$B$44&lt;=0,0,(INT(Inputs!$B$44/IF(Inputs!$B$39="pvp",15,MAX(0.1,Skills!D20-IF(TRUE=TRUE,Inputs!$B$32,0))))+1)),0)</f>
        <v/>
      </c>
      <c r="S702">
        <f>IFERROR(O702/N702,0)</f>
        <v/>
      </c>
      <c r="T702" t="n">
        <v>0</v>
      </c>
      <c r="V702" t="n">
        <v>0</v>
      </c>
    </row>
    <row r="703">
      <c r="A703">
        <f>Skills!A21</f>
        <v/>
      </c>
      <c r="B703">
        <f>Skills!B21</f>
        <v/>
      </c>
      <c r="C703">
        <f>Inputs!$B$3&gt;=15</f>
        <v/>
      </c>
      <c r="D703">
        <f>IF(Skills!C21=1,60+Inputs!$B$25+Inputs!$B$29,IF(Skills!C21=2,90+Inputs!$B$26+Inputs!$B$29,IF(Skills!C21=3,120+Inputs!$B$27+Inputs!$B$29,MAX(0,(Inputs!$B$3-100)*3)+Inputs!$B$28+Inputs!$B$29)))</f>
        <v/>
      </c>
      <c r="E703">
        <f>INDEX(FactorTable!$B$2:$Y$301, MATCH(ROUND(MIN(300,MAX(1,D703)),0), FactorTable!$A$2:$A$301,0), Skills!M21+1)</f>
        <v/>
      </c>
      <c r="F703">
        <f>IF(Skills!N21=TRUE,(Skills!L21/10)*(E703/1000),Skills!L21/10)+Skills!O21</f>
        <v/>
      </c>
      <c r="G703">
        <f>Skills!G21*IF(Skills!H21&gt;0,IF(Inputs!$B$39="pvp",MIN(Skills!I21,15),Skills!I21)/Skills!H21,1)</f>
        <v/>
      </c>
      <c r="H703">
        <f>1-(1-Skills!J21/100)^Skills!K21</f>
        <v/>
      </c>
      <c r="I703" t="inlineStr">
        <is>
          <t>1</t>
        </is>
      </c>
      <c r="J703" t="inlineStr"/>
      <c r="K703" t="inlineStr"/>
      <c r="L703" t="inlineStr"/>
      <c r="M703" t="inlineStr"/>
      <c r="N703" t="inlineStr"/>
      <c r="O703">
        <f>(1-Summary!$B$11)*T703+Summary!$B$11*V703</f>
        <v/>
      </c>
      <c r="P703">
        <f>IF(B728=0,0,O703/B728)</f>
        <v/>
      </c>
      <c r="Q703">
        <f>IFERROR(1/IF(Inputs!$B$39="pvp",15,MAX(0.1,Skills!D21-IF(TRUE=TRUE,Inputs!$B$32,0))),0)</f>
        <v/>
      </c>
      <c r="R703">
        <f>IF(AND(Inputs!$B$39&lt;&gt;"pvp",Inputs!$B$44&gt;0),IF(Inputs!$B$44&lt;=0,0,(INT(Inputs!$B$44/IF(Inputs!$B$39="pvp",15,MAX(0.1,Skills!D21-IF(TRUE=TRUE,Inputs!$B$32,0))))+1)),0)</f>
        <v/>
      </c>
      <c r="S703">
        <f>IFERROR(O703/N703,0)</f>
        <v/>
      </c>
      <c r="T703" t="n">
        <v>0</v>
      </c>
      <c r="V703" t="n">
        <v>0</v>
      </c>
    </row>
    <row r="704">
      <c r="A704">
        <f>Skills!A22</f>
        <v/>
      </c>
      <c r="B704">
        <f>Skills!B22</f>
        <v/>
      </c>
      <c r="C704">
        <f>Inputs!$B$3&gt;=15</f>
        <v/>
      </c>
      <c r="D704">
        <f>IF(Skills!C22=1,60+Inputs!$B$25+Inputs!$B$29,IF(Skills!C22=2,90+Inputs!$B$26+Inputs!$B$29,IF(Skills!C22=3,120+Inputs!$B$27+Inputs!$B$29,MAX(0,(Inputs!$B$3-100)*3)+Inputs!$B$28+Inputs!$B$29)))</f>
        <v/>
      </c>
      <c r="E704">
        <f>INDEX(FactorTable!$B$2:$Y$301, MATCH(ROUND(MIN(300,MAX(1,D704)),0), FactorTable!$A$2:$A$301,0), Skills!M22+1)</f>
        <v/>
      </c>
      <c r="F704">
        <f>IF(Skills!N22=TRUE,(Skills!L22/10)*(E704/1000),Skills!L22/10)+Skills!O22</f>
        <v/>
      </c>
      <c r="G704">
        <f>Skills!G22*IF(Skills!H22&gt;0,IF(Inputs!$B$39="pvp",MIN(Skills!I22,15),Skills!I22)/Skills!H22,1)</f>
        <v/>
      </c>
      <c r="H704">
        <f>1-(1-Skills!J22/100)^Skills!K22</f>
        <v/>
      </c>
      <c r="I704" t="inlineStr">
        <is>
          <t>1</t>
        </is>
      </c>
      <c r="J704" t="inlineStr"/>
      <c r="K704" t="inlineStr"/>
      <c r="L704" t="inlineStr"/>
      <c r="M704" t="inlineStr"/>
      <c r="N704" t="inlineStr"/>
      <c r="O704">
        <f>(1-Summary!$B$11)*T704+Summary!$B$11*V704</f>
        <v/>
      </c>
      <c r="P704">
        <f>IF(B728=0,0,O704/B728)</f>
        <v/>
      </c>
      <c r="Q704">
        <f>IFERROR(1/IF(Inputs!$B$39="pvp",15,MAX(0.1,Skills!D22-IF(TRUE=TRUE,Inputs!$B$32,0))),0)</f>
        <v/>
      </c>
      <c r="R704">
        <f>IF(AND(Inputs!$B$39&lt;&gt;"pvp",Inputs!$B$44&gt;0),IF(Inputs!$B$44&lt;=0,0,(INT(Inputs!$B$44/IF(Inputs!$B$39="pvp",15,MAX(0.1,Skills!D22-IF(TRUE=TRUE,Inputs!$B$32,0))))+1)),0)</f>
        <v/>
      </c>
      <c r="S704">
        <f>IFERROR(O704/N704,0)</f>
        <v/>
      </c>
      <c r="T704" t="n">
        <v>0</v>
      </c>
      <c r="V704" t="n">
        <v>0</v>
      </c>
    </row>
    <row r="705">
      <c r="A705">
        <f>Skills!A23</f>
        <v/>
      </c>
      <c r="B705">
        <f>Skills!B23</f>
        <v/>
      </c>
      <c r="C705">
        <f>Inputs!$B$3&gt;=33</f>
        <v/>
      </c>
      <c r="D705">
        <f>IF(Skills!C23=1,60+Inputs!$B$25+Inputs!$B$29,IF(Skills!C23=2,90+Inputs!$B$26+Inputs!$B$29,IF(Skills!C23=3,120+Inputs!$B$27+Inputs!$B$29,MAX(0,(Inputs!$B$3-100)*3)+Inputs!$B$28+Inputs!$B$29)))</f>
        <v/>
      </c>
      <c r="E705">
        <f>INDEX(FactorTable!$B$2:$Y$301, MATCH(ROUND(MIN(300,MAX(1,D705)),0), FactorTable!$A$2:$A$301,0), Skills!M23+1)</f>
        <v/>
      </c>
      <c r="F705">
        <f>IF(Skills!N23=TRUE,(Skills!L23/10)*(E705/1000),Skills!L23/10)+Skills!O23</f>
        <v/>
      </c>
      <c r="G705">
        <f>Skills!G23*IF(Skills!H23&gt;0,IF(Inputs!$B$39="pvp",MIN(Skills!I23,15),Skills!I23)/Skills!H23,1)</f>
        <v/>
      </c>
      <c r="H705">
        <f>1-(1-Skills!J23/100)^Skills!K23</f>
        <v/>
      </c>
      <c r="I705" t="inlineStr">
        <is>
          <t>1</t>
        </is>
      </c>
      <c r="J705" t="inlineStr"/>
      <c r="K705" t="inlineStr"/>
      <c r="L705" t="inlineStr"/>
      <c r="M705" t="inlineStr"/>
      <c r="N705" t="inlineStr"/>
      <c r="O705">
        <f>(1-Summary!$B$11)*T705+Summary!$B$11*V705</f>
        <v/>
      </c>
      <c r="P705">
        <f>IF(B728=0,0,O705/B728)</f>
        <v/>
      </c>
      <c r="Q705" t="n">
        <v>0</v>
      </c>
      <c r="R705" t="n">
        <v>0</v>
      </c>
      <c r="S705">
        <f>IFERROR(O705/N705,0)</f>
        <v/>
      </c>
      <c r="T705" t="n">
        <v>0</v>
      </c>
      <c r="V705" t="n">
        <v>0</v>
      </c>
    </row>
    <row r="706">
      <c r="A706">
        <f>Skills!A24</f>
        <v/>
      </c>
      <c r="B706">
        <f>Skills!B24</f>
        <v/>
      </c>
      <c r="C706">
        <f>Inputs!$B$3&gt;=40</f>
        <v/>
      </c>
      <c r="D706">
        <f>IF(Skills!C24=1,60+Inputs!$B$25+Inputs!$B$29,IF(Skills!C24=2,90+Inputs!$B$26+Inputs!$B$29,IF(Skills!C24=3,120+Inputs!$B$27+Inputs!$B$29,MAX(0,(Inputs!$B$3-100)*3)+Inputs!$B$28+Inputs!$B$29)))</f>
        <v/>
      </c>
      <c r="E706">
        <f>INDEX(FactorTable!$B$2:$Y$301, MATCH(ROUND(MIN(300,MAX(1,D706)),0), FactorTable!$A$2:$A$301,0), Skills!M24+1)</f>
        <v/>
      </c>
      <c r="F706">
        <f>IF(Skills!N24=TRUE,(Skills!L24/10)*(E706/1000),Skills!L24/10)+Skills!O24</f>
        <v/>
      </c>
      <c r="G706">
        <f>Skills!G24*IF(Skills!H24&gt;0,IF(Inputs!$B$39="pvp",MIN(Skills!I24,15),Skills!I24)/Skills!H24,1)</f>
        <v/>
      </c>
      <c r="H706">
        <f>1-(1-Skills!J24/100)^Skills!K24</f>
        <v/>
      </c>
      <c r="I706" t="inlineStr">
        <is>
          <t>1</t>
        </is>
      </c>
      <c r="J706" t="inlineStr"/>
      <c r="K706" t="inlineStr"/>
      <c r="L706" t="inlineStr"/>
      <c r="M706" t="inlineStr"/>
      <c r="N706" t="inlineStr"/>
      <c r="O706">
        <f>(1-Summary!$B$11)*T706+Summary!$B$11*V706</f>
        <v/>
      </c>
      <c r="P706">
        <f>IF(B728=0,0,O706/B728)</f>
        <v/>
      </c>
      <c r="Q706" t="n">
        <v>0</v>
      </c>
      <c r="R706" t="n">
        <v>0</v>
      </c>
      <c r="S706">
        <f>IFERROR(O706/N706,0)</f>
        <v/>
      </c>
      <c r="T706" t="n">
        <v>0</v>
      </c>
      <c r="V706" t="n">
        <v>0</v>
      </c>
    </row>
    <row r="707">
      <c r="A707">
        <f>Skills!A25</f>
        <v/>
      </c>
      <c r="B707">
        <f>Skills!B25</f>
        <v/>
      </c>
      <c r="C707">
        <f>Inputs!$B$3&gt;=43</f>
        <v/>
      </c>
      <c r="D707">
        <f>IF(Skills!C25=1,60+Inputs!$B$25+Inputs!$B$29,IF(Skills!C25=2,90+Inputs!$B$26+Inputs!$B$29,IF(Skills!C25=3,120+Inputs!$B$27+Inputs!$B$29,MAX(0,(Inputs!$B$3-100)*3)+Inputs!$B$28+Inputs!$B$29)))</f>
        <v/>
      </c>
      <c r="E707">
        <f>INDEX(FactorTable!$B$2:$Y$301, MATCH(ROUND(MIN(300,MAX(1,D707)),0), FactorTable!$A$2:$A$301,0), Skills!M25+1)</f>
        <v/>
      </c>
      <c r="F707">
        <f>IF(Skills!N25=TRUE,(Skills!L25/10)*(E707/1000),Skills!L25/10)+Skills!O25</f>
        <v/>
      </c>
      <c r="G707">
        <f>Skills!G25*IF(Skills!H25&gt;0,IF(Inputs!$B$39="pvp",MIN(Skills!I25,15),Skills!I25)/Skills!H25,1)</f>
        <v/>
      </c>
      <c r="H707">
        <f>1-(1-Skills!J25/100)^Skills!K25</f>
        <v/>
      </c>
      <c r="I707" t="inlineStr">
        <is>
          <t>1</t>
        </is>
      </c>
      <c r="J707" t="inlineStr"/>
      <c r="K707" t="inlineStr"/>
      <c r="L707" t="inlineStr"/>
      <c r="M707" t="inlineStr"/>
      <c r="N707" t="inlineStr"/>
      <c r="O707">
        <f>(1-Summary!$B$11)*T707+Summary!$B$11*V707</f>
        <v/>
      </c>
      <c r="P707">
        <f>IF(B728=0,0,O707/B728)</f>
        <v/>
      </c>
      <c r="Q707" t="n">
        <v>0</v>
      </c>
      <c r="R707" t="n">
        <v>0</v>
      </c>
      <c r="S707">
        <f>IFERROR(O707/N707,0)</f>
        <v/>
      </c>
      <c r="T707" t="n">
        <v>0</v>
      </c>
      <c r="V707" t="n">
        <v>0</v>
      </c>
    </row>
    <row r="708">
      <c r="A708">
        <f>Skills!A26</f>
        <v/>
      </c>
      <c r="B708">
        <f>Skills!B26</f>
        <v/>
      </c>
      <c r="C708">
        <f>Inputs!$B$3&gt;=50</f>
        <v/>
      </c>
      <c r="D708">
        <f>IF(Skills!C26=1,60+Inputs!$B$25+Inputs!$B$29,IF(Skills!C26=2,90+Inputs!$B$26+Inputs!$B$29,IF(Skills!C26=3,120+Inputs!$B$27+Inputs!$B$29,MAX(0,(Inputs!$B$3-100)*3)+Inputs!$B$28+Inputs!$B$29)))</f>
        <v/>
      </c>
      <c r="E708">
        <f>INDEX(FactorTable!$B$2:$Y$301, MATCH(ROUND(MIN(300,MAX(1,D708)),0), FactorTable!$A$2:$A$301,0), Skills!M26+1)</f>
        <v/>
      </c>
      <c r="F708">
        <f>IF(Skills!N26=TRUE,(Skills!L26/10)*(E708/1000),Skills!L26/10)+Skills!O26</f>
        <v/>
      </c>
      <c r="G708">
        <f>Skills!G26*IF(Skills!H26&gt;0,IF(Inputs!$B$39="pvp",MIN(Skills!I26,15),Skills!I26)/Skills!H26,1)</f>
        <v/>
      </c>
      <c r="H708">
        <f>1-(1-Skills!J26/100)^Skills!K26</f>
        <v/>
      </c>
      <c r="I708" t="inlineStr">
        <is>
          <t>1</t>
        </is>
      </c>
      <c r="J708" t="inlineStr"/>
      <c r="K708" t="inlineStr"/>
      <c r="L708" t="inlineStr"/>
      <c r="M708" t="inlineStr"/>
      <c r="N708" t="inlineStr"/>
      <c r="O708">
        <f>(1-Summary!$B$11)*T708+Summary!$B$11*V708</f>
        <v/>
      </c>
      <c r="P708">
        <f>IF(B728=0,0,O708/B728)</f>
        <v/>
      </c>
      <c r="Q708" t="n">
        <v>0</v>
      </c>
      <c r="R708" t="n">
        <v>0</v>
      </c>
      <c r="S708">
        <f>IFERROR(O708/N708,0)</f>
        <v/>
      </c>
      <c r="T708" t="n">
        <v>0</v>
      </c>
      <c r="V708" t="n">
        <v>0</v>
      </c>
    </row>
    <row r="709">
      <c r="A709">
        <f>Skills!A27</f>
        <v/>
      </c>
      <c r="B709">
        <f>Skills!B27</f>
        <v/>
      </c>
      <c r="C709">
        <f>Inputs!$B$3&gt;=50</f>
        <v/>
      </c>
      <c r="D709">
        <f>IF(Skills!C27=1,60+Inputs!$B$25+Inputs!$B$29,IF(Skills!C27=2,90+Inputs!$B$26+Inputs!$B$29,IF(Skills!C27=3,120+Inputs!$B$27+Inputs!$B$29,MAX(0,(Inputs!$B$3-100)*3)+Inputs!$B$28+Inputs!$B$29)))</f>
        <v/>
      </c>
      <c r="E709">
        <f>INDEX(FactorTable!$B$2:$Y$301, MATCH(ROUND(MIN(300,MAX(1,D709)),0), FactorTable!$A$2:$A$301,0), Skills!M27+1)</f>
        <v/>
      </c>
      <c r="F709">
        <f>IF(Skills!N27=TRUE,(Skills!L27/10)*(E709/1000),Skills!L27/10)+Skills!O27</f>
        <v/>
      </c>
      <c r="G709">
        <f>Skills!G27*IF(Skills!H27&gt;0,IF(Inputs!$B$39="pvp",MIN(Skills!I27,15),Skills!I27)/Skills!H27,1)</f>
        <v/>
      </c>
      <c r="H709">
        <f>1-(1-Skills!J27/100)^Skills!K27</f>
        <v/>
      </c>
      <c r="I709" t="inlineStr">
        <is>
          <t>1</t>
        </is>
      </c>
      <c r="J709" t="inlineStr"/>
      <c r="K709" t="inlineStr"/>
      <c r="L709" t="inlineStr"/>
      <c r="M709" t="inlineStr"/>
      <c r="N709" t="inlineStr"/>
      <c r="O709">
        <f>(1-Summary!$B$11)*T709+Summary!$B$11*V709</f>
        <v/>
      </c>
      <c r="P709">
        <f>IF(B728=0,0,O709/B728)</f>
        <v/>
      </c>
      <c r="Q709" t="n">
        <v>0</v>
      </c>
      <c r="R709" t="n">
        <v>0</v>
      </c>
      <c r="S709">
        <f>IFERROR(O709/N709,0)</f>
        <v/>
      </c>
      <c r="T709" t="n">
        <v>0</v>
      </c>
      <c r="V709" t="n">
        <v>0</v>
      </c>
    </row>
    <row r="710">
      <c r="A710">
        <f>Skills!A28</f>
        <v/>
      </c>
      <c r="B710">
        <f>Skills!B28</f>
        <v/>
      </c>
      <c r="C710">
        <f>Inputs!$B$3&gt;=38</f>
        <v/>
      </c>
      <c r="D710">
        <f>IF(Skills!C28=1,60+Inputs!$B$25+Inputs!$B$29,IF(Skills!C28=2,90+Inputs!$B$26+Inputs!$B$29,IF(Skills!C28=3,120+Inputs!$B$27+Inputs!$B$29,MAX(0,(Inputs!$B$3-100)*3)+Inputs!$B$28+Inputs!$B$29)))</f>
        <v/>
      </c>
      <c r="E710">
        <f>INDEX(FactorTable!$B$2:$Y$301, MATCH(ROUND(MIN(300,MAX(1,D710)),0), FactorTable!$A$2:$A$301,0), Skills!M28+1)</f>
        <v/>
      </c>
      <c r="F710">
        <f>IF(Skills!N28=TRUE,(Skills!L28/10)*(E710/1000),Skills!L28/10)+Skills!O28</f>
        <v/>
      </c>
      <c r="G710">
        <f>Skills!G28*IF(Skills!H28&gt;0,IF(Inputs!$B$39="pvp",MIN(Skills!I28,15),Skills!I28)/Skills!H28,1)</f>
        <v/>
      </c>
      <c r="H710">
        <f>1-(1-Skills!J28/100)^Skills!K28</f>
        <v/>
      </c>
      <c r="I710" t="inlineStr">
        <is>
          <t>1</t>
        </is>
      </c>
      <c r="J710" t="inlineStr"/>
      <c r="K710" t="inlineStr"/>
      <c r="L710" t="inlineStr"/>
      <c r="M710" t="inlineStr"/>
      <c r="N710" t="inlineStr"/>
      <c r="O710">
        <f>(1-Summary!$B$11)*T710+Summary!$B$11*V710</f>
        <v/>
      </c>
      <c r="P710">
        <f>IF(B728=0,0,O710/B728)</f>
        <v/>
      </c>
      <c r="Q710" t="n">
        <v>0</v>
      </c>
      <c r="R710" t="n">
        <v>0</v>
      </c>
      <c r="S710">
        <f>IFERROR(O710/N710,0)</f>
        <v/>
      </c>
      <c r="T710" t="n">
        <v>0</v>
      </c>
      <c r="V710" t="n">
        <v>0</v>
      </c>
    </row>
    <row r="711">
      <c r="A711">
        <f>Skills!A29</f>
        <v/>
      </c>
      <c r="B711">
        <f>Skills!B29</f>
        <v/>
      </c>
      <c r="C711">
        <f>Inputs!$B$3&gt;=120</f>
        <v/>
      </c>
      <c r="D711">
        <f>IF(Skills!C29=1,60+Inputs!$B$25+Inputs!$B$29,IF(Skills!C29=2,90+Inputs!$B$26+Inputs!$B$29,IF(Skills!C29=3,120+Inputs!$B$27+Inputs!$B$29,MAX(0,(Inputs!$B$3-100)*3)+Inputs!$B$28+Inputs!$B$29)))</f>
        <v/>
      </c>
      <c r="E711">
        <f>INDEX(FactorTable!$B$2:$Y$301, MATCH(ROUND(MIN(300,MAX(1,D711)),0), FactorTable!$A$2:$A$301,0), Skills!M29+1)</f>
        <v/>
      </c>
      <c r="F711">
        <f>IF(Skills!N29=TRUE,(Skills!L29/10)*(E711/1000),Skills!L29/10)+Skills!O29</f>
        <v/>
      </c>
      <c r="G711">
        <f>Skills!G29*IF(Skills!H29&gt;0,IF(Inputs!$B$39="pvp",MIN(Skills!I29,15),Skills!I29)/Skills!H29,1)</f>
        <v/>
      </c>
      <c r="H711">
        <f>1-(1-Skills!J29/100)^Skills!K29</f>
        <v/>
      </c>
      <c r="I711" t="inlineStr">
        <is>
          <t>1</t>
        </is>
      </c>
      <c r="J711" t="inlineStr"/>
      <c r="K711" t="inlineStr"/>
      <c r="L711" t="inlineStr"/>
      <c r="M711" t="inlineStr"/>
      <c r="N711" t="inlineStr"/>
      <c r="O711">
        <f>(1-Summary!$B$11)*T711+Summary!$B$11*V711</f>
        <v/>
      </c>
      <c r="P711">
        <f>IF(B728=0,0,O711/B728)</f>
        <v/>
      </c>
      <c r="Q711" t="n">
        <v>0</v>
      </c>
      <c r="R711" t="n">
        <v>0</v>
      </c>
      <c r="S711">
        <f>IFERROR(O711/N711,0)</f>
        <v/>
      </c>
      <c r="T711" t="n">
        <v>0</v>
      </c>
      <c r="V711" t="n">
        <v>0</v>
      </c>
    </row>
    <row r="712">
      <c r="A712">
        <f>Skills!A30</f>
        <v/>
      </c>
      <c r="B712">
        <f>Skills!B30</f>
        <v/>
      </c>
      <c r="C712">
        <f>Inputs!$B$3&gt;=120</f>
        <v/>
      </c>
      <c r="D712">
        <f>IF(Skills!C30=1,60+Inputs!$B$25+Inputs!$B$29,IF(Skills!C30=2,90+Inputs!$B$26+Inputs!$B$29,IF(Skills!C30=3,120+Inputs!$B$27+Inputs!$B$29,MAX(0,(Inputs!$B$3-100)*3)+Inputs!$B$28+Inputs!$B$29)))</f>
        <v/>
      </c>
      <c r="E712">
        <f>INDEX(FactorTable!$B$2:$Y$301, MATCH(ROUND(MIN(300,MAX(1,D712)),0), FactorTable!$A$2:$A$301,0), Skills!M30+1)</f>
        <v/>
      </c>
      <c r="F712">
        <f>IF(Skills!N30=TRUE,(Skills!L30/10)*(E712/1000),Skills!L30/10)+Skills!O30</f>
        <v/>
      </c>
      <c r="G712">
        <f>Skills!G30*IF(Skills!H30&gt;0,IF(Inputs!$B$39="pvp",MIN(Skills!I30,15),Skills!I30)/Skills!H30,1)</f>
        <v/>
      </c>
      <c r="H712">
        <f>1-(1-Skills!J30/100)^Skills!K30</f>
        <v/>
      </c>
      <c r="I712" t="inlineStr">
        <is>
          <t>1</t>
        </is>
      </c>
      <c r="J712" t="inlineStr"/>
      <c r="K712" t="inlineStr"/>
      <c r="L712" t="inlineStr"/>
      <c r="M712" t="inlineStr"/>
      <c r="N712" t="inlineStr"/>
      <c r="O712">
        <f>(1-Summary!$B$11)*T712+Summary!$B$11*V712</f>
        <v/>
      </c>
      <c r="P712">
        <f>IF(B728=0,0,O712/B728)</f>
        <v/>
      </c>
      <c r="Q712" t="n">
        <v>0</v>
      </c>
      <c r="R712" t="n">
        <v>0</v>
      </c>
      <c r="S712">
        <f>IFERROR(O712/N712,0)</f>
        <v/>
      </c>
      <c r="T712" t="n">
        <v>0</v>
      </c>
      <c r="V712" t="n">
        <v>0</v>
      </c>
    </row>
    <row r="713">
      <c r="A713">
        <f>Skills!A31</f>
        <v/>
      </c>
      <c r="B713">
        <f>Skills!B31</f>
        <v/>
      </c>
      <c r="C713">
        <f>Inputs!$B$3&gt;=125</f>
        <v/>
      </c>
      <c r="D713">
        <f>IF(Skills!C31=1,60+Inputs!$B$25+Inputs!$B$29,IF(Skills!C31=2,90+Inputs!$B$26+Inputs!$B$29,IF(Skills!C31=3,120+Inputs!$B$27+Inputs!$B$29,MAX(0,(Inputs!$B$3-100)*3)+Inputs!$B$28+Inputs!$B$29)))</f>
        <v/>
      </c>
      <c r="E713">
        <f>INDEX(FactorTable!$B$2:$Y$301, MATCH(ROUND(MIN(300,MAX(1,D713)),0), FactorTable!$A$2:$A$301,0), Skills!M31+1)</f>
        <v/>
      </c>
      <c r="F713">
        <f>IF(Skills!N31=TRUE,(Skills!L31/10)*(E713/1000),Skills!L31/10)+Skills!O31</f>
        <v/>
      </c>
      <c r="G713">
        <f>Skills!G31*IF(Skills!H31&gt;0,IF(Inputs!$B$39="pvp",MIN(Skills!I31,15),Skills!I31)/Skills!H31,1)</f>
        <v/>
      </c>
      <c r="H713">
        <f>1-(1-Skills!J31/100)^Skills!K31</f>
        <v/>
      </c>
      <c r="I713" t="inlineStr">
        <is>
          <t>1</t>
        </is>
      </c>
      <c r="J713" t="inlineStr"/>
      <c r="K713" t="inlineStr"/>
      <c r="L713" t="inlineStr"/>
      <c r="M713" t="inlineStr"/>
      <c r="N713" t="inlineStr"/>
      <c r="O713">
        <f>(1-Summary!$B$11)*T713+Summary!$B$11*V713</f>
        <v/>
      </c>
      <c r="P713">
        <f>IF(B728=0,0,O713/B728)</f>
        <v/>
      </c>
      <c r="Q713" t="n">
        <v>0</v>
      </c>
      <c r="R713" t="n">
        <v>0</v>
      </c>
      <c r="S713">
        <f>IFERROR(O713/N713,0)</f>
        <v/>
      </c>
      <c r="T713" t="n">
        <v>0</v>
      </c>
      <c r="V713" t="n">
        <v>0</v>
      </c>
    </row>
    <row r="715">
      <c r="A715" t="inlineStr">
        <is>
          <t>Average Buff Multiplier</t>
        </is>
      </c>
      <c r="B715">
        <f>(1+(((C704=TRUE)*F704*IF(AND(Inputs!$B$39&lt;&gt;"pvp",Inputs!$B$44&gt;0),(((R704-1)*MIN((Skills!Y22*(1+Inputs!$B$34/100)),(1/Q704))+MIN((Skills!Y22*(1+Inputs!$B$34/100)),MAX(0,Inputs!$B$44-((R704-1)*(1/Q704)))))/Inputs!$B$44),IF(Inputs!$B$39="pvp",MIN((Skills!Y22*(1+Inputs!$B$34/100)),15)/15,MIN(1,(Skills!Y22*(1+Inputs!$B$34/100))/(1/Q704)))))+((C685=TRUE)*F685*3)+((C687=TRUE)*F687*(1-EXP(-0.75*B720*5)))+((C706=TRUE)*(F706-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693=TRUE)*F693*IF(AND(Inputs!$B$39&lt;&gt;"pvp",Inputs!$B$44&gt;0),(((R693-1)*MIN((Skills!Y11*(1+Inputs!$B$34/100)),(1/Q693))+MIN((Skills!Y11*(1+Inputs!$B$34/100)),MAX(0,Inputs!$B$44-((R693-1)*(1/Q693)))))/Inputs!$B$44),IF(Inputs!$B$39="pvp",MIN((Skills!Y11*(1+Inputs!$B$34/100)),15)/15,MIN(1,(Skills!Y11*(1+Inputs!$B$34/100))/(1/Q693)))))/100)*(1+((C698=TRUE)*F698*IF(AND(Inputs!$B$39&lt;&gt;"pvp",Inputs!$B$44&gt;0),(((R698-1)*MIN((Skills!Y16*(1+Inputs!$B$34/100)),(1/Q698))+MIN((Skills!Y16*(1+Inputs!$B$34/100)),MAX(0,Inputs!$B$44-((R698-1)*(1/Q698)))))/Inputs!$B$44),IF(Inputs!$B$39="pvp",MIN((Skills!Y16*(1+Inputs!$B$34/100)),15)/15,MIN(1,(Skills!Y16*(1+Inputs!$B$34/100))/(1/Q698)))))/100)</f>
        <v/>
      </c>
    </row>
    <row r="716">
      <c r="A716" t="inlineStr">
        <is>
          <t>Global Crit Rate Bonus %</t>
        </is>
      </c>
      <c r="B716">
        <f>((C703=TRUE)*F703*IF(AND(Inputs!$B$39&lt;&gt;"pvp",Inputs!$B$44&gt;0),(((R703-1)*MIN((Skills!Y21*(1+Inputs!$B$34/100)),(1/Q703))+MIN((Skills!Y21*(1+Inputs!$B$34/100)),MAX(0,Inputs!$B$44-((R703-1)*(1/Q703)))))/Inputs!$B$44),IF(Inputs!$B$39="pvp",MIN((Skills!Y21*(1+Inputs!$B$34/100)),15)/15,MIN(1,(Skills!Y21*(1+Inputs!$B$34/100))/(1/Q703)))))</f>
        <v/>
      </c>
    </row>
    <row r="717">
      <c r="A717" t="inlineStr">
        <is>
          <t>Global Monster Damage-Taken Bonus %</t>
        </is>
      </c>
      <c r="B717">
        <f>IF(Inputs!$B$3&gt;=82,15,0)</f>
        <v/>
      </c>
    </row>
    <row r="718">
      <c r="A718" t="inlineStr">
        <is>
          <t>Shadow Partner Average Multiplier</t>
        </is>
      </c>
      <c r="B718">
        <f>1+((C690=TRUE)*F690*(1+3.3333333333333335*IF(C701=TRUE,F701,0)/100)*I690*Skills!J8/100)/100</f>
        <v/>
      </c>
    </row>
    <row r="719">
      <c r="A719" t="inlineStr">
        <is>
          <t>Attack Speed Buff Bonus %</t>
        </is>
      </c>
      <c r="B719">
        <f>((C702=TRUE)*F702*IF(AND(Inputs!$B$39&lt;&gt;"pvp",Inputs!$B$44&gt;0),(((R702-1)*MIN((Skills!Y20*(1+Inputs!$B$34/100)),(1/Q702))+MIN((Skills!Y20*(1+Inputs!$B$34/100)),MAX(0,Inputs!$B$44-((R702-1)*(1/Q702)))))/Inputs!$B$44),IF(Inputs!$B$39="pvp",MIN((Skills!Y20*(1+Inputs!$B$34/100)),15)/15,MIN(1,(Skills!Y20*(1+Inputs!$B$34/100))/(1/Q702)))))</f>
        <v/>
      </c>
    </row>
    <row r="720">
      <c r="A720" t="inlineStr">
        <is>
          <t>Actions Per Second</t>
        </is>
      </c>
      <c r="B720">
        <f>1+MIN(150,150*(1-(1-(((1-(1-Inputs!$B$11/150)*(1-1/150))*150)+((C705=TRUE)*(F705-Calc!F23)))/150)*(1-B719/150)))/100</f>
        <v/>
      </c>
    </row>
    <row r="721">
      <c r="A721" t="inlineStr">
        <is>
          <t>Skill + Buff Cast Rate</t>
        </is>
      </c>
      <c r="B721">
        <f>IF(AND(Inputs!$B$39&lt;&gt;"pvp",Inputs!$B$44&gt;0),SUMPRODUCT((Skills!E2:E31=TRUE)*(C684:C713=TRUE)*R684:R713*Skills!F2:F31)/Inputs!$B$44,SUMPRODUCT((Skills!E2:E31=TRUE)*(C684:C713=TRUE)*Q684:Q713*Skills!F2:F31))</f>
        <v/>
      </c>
    </row>
    <row r="722">
      <c r="A722" t="inlineStr">
        <is>
          <t>Cruel Stab Casts Per Second</t>
        </is>
      </c>
      <c r="B722">
        <f>MAX(0,B720-B721)</f>
        <v/>
      </c>
    </row>
    <row r="723">
      <c r="A723" t="inlineStr">
        <is>
          <t>Global Critical Damage Bonus % (Smokescreen Mastery Lv.113)</t>
        </is>
      </c>
      <c r="B723">
        <f>IF(Inputs!$B$3&gt;=113,30,0)*IF(AND(Inputs!$B$39&lt;&gt;"pvp",Inputs!$B$44&gt;0),(((R698-1)*MIN((Skills!Y16*(1+Inputs!$B$34/100)),(1/Q698))+MIN((Skills!Y16*(1+Inputs!$B$34/100)),MAX(0,Inputs!$B$44-((R698-1)*(1/Q698)))))/Inputs!$B$44),IF(Inputs!$B$39="pvp",MIN((Skills!Y16*(1+Inputs!$B$34/100)),15)/15,MIN(1,(Skills!Y16*(1+Inputs!$B$34/100))/(1/Q698))))</f>
        <v/>
      </c>
    </row>
    <row r="724">
      <c r="A724" t="inlineStr">
        <is>
          <t>Meso Explosion average stack count</t>
        </is>
      </c>
      <c r="B724">
        <f>MIN(10,IF(Inputs!$B$3&gt;=75,0.75,0.5)*B720*(1/Q686))</f>
        <v/>
      </c>
    </row>
    <row r="725">
      <c r="A725" t="inlineStr">
        <is>
          <t>Blood Money average stack count</t>
        </is>
      </c>
      <c r="B725">
        <f>MIN(5,0.5*IF(Inputs!$B$3&gt;=75,0.75,0.5)*B720*(1/Q686))</f>
        <v/>
      </c>
    </row>
    <row r="726">
      <c r="A726" t="inlineStr">
        <is>
          <t>Assassinate Murderous Intent Multiplier</t>
        </is>
      </c>
      <c r="B726">
        <f>1+IFERROR(MIN(1,Q697*2/Q694),0)</f>
        <v/>
      </c>
    </row>
    <row r="727">
      <c r="A727" t="inlineStr">
        <is>
          <t>Buff-Casting Startup Delay (s, fixed-duration only)</t>
        </is>
      </c>
      <c r="B727">
        <f>IF(AND(Inputs!$B$39&lt;&gt;"pvp",Inputs!$B$44&gt;0),SUMPRODUCT((Skills!Y2:Y31&gt;0)*(Skills!E2:E31=TRUE)*(C684:C713=TRUE))/B720,0)</f>
        <v/>
      </c>
    </row>
    <row r="728">
      <c r="A728" s="6" t="inlineStr">
        <is>
          <t>TOTAL DPS</t>
        </is>
      </c>
      <c r="B728" s="6">
        <f>SUM(O684:O713)</f>
        <v/>
      </c>
    </row>
    <row r="729">
      <c r="A729" t="inlineStr">
        <is>
          <t>Boss-Only Total DPS (this block's swept value)</t>
        </is>
      </c>
      <c r="B729">
        <f>SUM(T684:T713)</f>
        <v/>
      </c>
    </row>
    <row r="730">
      <c r="A730" t="inlineStr">
        <is>
          <t>Normal-Only Total DPS (this block's swept value)</t>
        </is>
      </c>
      <c r="B730">
        <f>SUM(V684:V713)</f>
        <v/>
      </c>
    </row>
    <row r="733">
      <c r="A733" s="6" t="inlineStr">
        <is>
          <t>Stat: DEF_PEN % (diminishing returns, factor 100)</t>
        </is>
      </c>
    </row>
    <row r="734">
      <c r="A734" s="5" t="inlineStr">
        <is>
          <t>Key</t>
        </is>
      </c>
      <c r="B734" s="5" t="inlineStr">
        <is>
          <t>Name</t>
        </is>
      </c>
      <c r="C734" s="5" t="inlineStr">
        <is>
          <t>Unlocked</t>
        </is>
      </c>
      <c r="D734" s="5" t="inlineStr">
        <is>
          <t>InputLevel</t>
        </is>
      </c>
      <c r="E734" s="5" t="inlineStr">
        <is>
          <t>Factor</t>
        </is>
      </c>
      <c r="F734" s="5" t="inlineStr">
        <is>
          <t>CoefficientPercent</t>
        </is>
      </c>
      <c r="G734" s="5" t="inlineStr">
        <is>
          <t>EffectiveHits</t>
        </is>
      </c>
      <c r="H734" s="5" t="inlineStr">
        <is>
          <t>ProcProbability</t>
        </is>
      </c>
      <c r="I734" s="5" t="inlineStr">
        <is>
          <t>MapleHeroMultiplier</t>
        </is>
      </c>
      <c r="J734" s="5" t="inlineStr">
        <is>
          <t>BaseDamage</t>
        </is>
      </c>
      <c r="K734" s="5" t="inlineStr">
        <is>
          <t>BaseHitDamage</t>
        </is>
      </c>
      <c r="L734" s="5" t="inlineStr">
        <is>
          <t>NonCritAvg</t>
        </is>
      </c>
      <c r="M734" s="5" t="inlineStr">
        <is>
          <t>CritAvg</t>
        </is>
      </c>
      <c r="N734" s="5" t="inlineStr">
        <is>
          <t>ExpectedDamage(perHit)</t>
        </is>
      </c>
      <c r="O734" s="5" t="inlineStr">
        <is>
          <t>DPS</t>
        </is>
      </c>
      <c r="P734" s="5" t="inlineStr">
        <is>
          <t>% of Total</t>
        </is>
      </c>
      <c r="Q734" s="5" t="inlineStr">
        <is>
          <t>InvCooldown</t>
        </is>
      </c>
      <c r="R734" s="5" t="inlineStr">
        <is>
          <t>CastsInFight</t>
        </is>
      </c>
      <c r="S734" s="5" t="inlineStr">
        <is>
          <t>HitRate(perSec)</t>
        </is>
      </c>
      <c r="U734" t="inlineStr">
        <is>
          <t>helpers</t>
        </is>
      </c>
    </row>
    <row r="735">
      <c r="A735">
        <f>Skills!A2</f>
        <v/>
      </c>
      <c r="B735">
        <f>Skills!B2</f>
        <v/>
      </c>
      <c r="C735">
        <f>Inputs!$B$3&gt;=100</f>
        <v/>
      </c>
      <c r="D735" t="inlineStr"/>
      <c r="E735" t="inlineStr"/>
      <c r="F735">
        <f>U737+Skills!O2</f>
        <v/>
      </c>
      <c r="G735">
        <f>Skills!G2*IF(Skills!H2&gt;0,IF(Inputs!$B$39="pvp",MIN(Skills!I2,15),Skills!I2)/Skills!H2,1)</f>
        <v/>
      </c>
      <c r="H735">
        <f>1-(1-Skills!J2/100)^Skills!K2</f>
        <v/>
      </c>
      <c r="I735" t="inlineStr">
        <is>
          <t>1</t>
        </is>
      </c>
      <c r="J735">
        <f>((Inputs!$B$6*(1+Inputs!$B$7/100))+(((Inputs!$B$12*(1+Inputs!$B$13/100))-(Inputs!$B$12*(1+Inputs!$B$13/100)))+0.25*(Inputs!$B$14-Inputs!$B$14))*(1+Inputs!$B$7/100))*(F735/100)</f>
        <v/>
      </c>
      <c r="K735">
        <f>J735*(1+((Inputs!$B$12*(1+Inputs!$B$13/100))*0.01+Inputs!$B$14*0.0025)/100)*(1+Inputs!$B$15/100)*(1+Inputs!$B$16/100)*(5000/(6000+Inputs!$B$43*(1-(100*(1-(1-((1-(1-Inputs!$B$19/100)*(1-1/100))*100)/100)*(1-CHOOSE(ArtifactsInput!$N$40+1,5,6,7,8,9,10)/100)^(ArtifactsInput!$M$40-ArtifactsInput!$M$40)))/100)))*(1+(Inputs!$B$24+((C764=TRUE)*(F764-Calc!F31))+((C751=TRUE)*(F751-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CRUEL_STAB",Inputs!$B$17+((C761=TRUE)*(F761-Calc!F28))+((IF(AND(Inputs!$B$39&lt;&gt;"pvp",Inputs!$B$44=0),1,IF(IF(Inputs!$B$39="pvp",15,Inputs!$B$44)-(B778)&lt;=0,1,MAX(0,IF(Inputs!$B$39="pvp",15,Inputs!$B$44)-MAX(5,B778))/(IF(Inputs!$B$39="pvp",15,Inputs!$B$44)-(B778))))*(IF(AND(ArtifactsInput!$M$42,((Inputs!$B$9+((C759=TRUE)*(F759-Calc!F26))+B767+(ArtifactsInput!$M$24-ArtifactsInput!$M$24)*CHOOSE(ArtifactsInput!$N$24+1,10,12,14,16,18,20)+IF(ArtifactsInput!$M$10,CHOOSE(ArtifactsInput!$N$10+1,15,18,21,24,27,30)*(IF(Inputs!$B$39="pvp",MIN(15,15)/15,IF(AND(Inputs!$B$39&lt;&gt;"pvp",Inputs!$B$44&gt;0),MIN(15,Inputs!$B$44)/(Inputs!$B$44),0))),0)))&gt;=100),MIN(100,((Inputs!$B$9+((C759=TRUE)*(F759-Calc!F26))+B767+(ArtifactsInput!$M$24-ArtifactsInput!$M$24)*CHOOSE(ArtifactsInput!$N$24+1,10,12,14,16,18,20)+IF(ArtifactsInput!$M$10,CHOOSE(ArtifactsInput!$N$10+1,15,18,21,24,27,30)*(IF(Inputs!$B$39="pvp",MIN(15,15)/15,IF(AND(Inputs!$B$39&lt;&gt;"pvp",Inputs!$B$44&gt;0),MIN(15,Inputs!$B$44)/(Inputs!$B$44),0))),0)))-100),0))*CHOOSE(ArtifactsInput!$N$42+1,0.6,0.72,0.84,0.96,1.08,1.2))),Inputs!$B$18+((C762=TRUE)*(F762-Calc!F29))+(IF(AND(Inputs!$B$39&lt;&gt;"pvp",Inputs!$B$44=0),1,IF(IF(Inputs!$B$39="pvp",15,Inputs!$B$44)-(B778)&lt;=0,1,MAX(0,IF(Inputs!$B$39="pvp",15,Inputs!$B$44)-MAX(5,B778))/(IF(Inputs!$B$39="pvp",15,Inputs!$B$44)-(B778))))*IF(AND(ArtifactsInput!$M$42,((Inputs!$B$9+((C759=TRUE)*(F759-Calc!F26))+B767+(ArtifactsInput!$M$24-ArtifactsInput!$M$24)*CHOOSE(ArtifactsInput!$N$24+1,10,12,14,16,18,20)+IF(ArtifactsInput!$M$10,CHOOSE(ArtifactsInput!$N$10+1,15,18,21,24,27,30)*(IF(Inputs!$B$39="pvp",MIN(15,15)/15,IF(AND(Inputs!$B$39&lt;&gt;"pvp",Inputs!$B$44&gt;0),MIN(15,Inputs!$B$44)/(Inputs!$B$44),0))),0)))&gt;=100),CHOOSE(ArtifactsInput!$N$42+1,40,48,56,64,72,80),0))))/100)*(((1+(((C755=TRUE)*F755*IF(AND(Inputs!$B$39&lt;&gt;"pvp",Inputs!$B$44&gt;0),(((R755-1)*MIN((Skills!Y22*(1+Inputs!$B$34/100)),(1/Q755))+MIN((Skills!Y22*(1+Inputs!$B$34/100)),MAX(0,Inputs!$B$44-((R755-1)*(1/Q755)))))/Inputs!$B$44),IF(Inputs!$B$39="pvp",MIN((Skills!Y22*(1+Inputs!$B$34/100)),15)/15,MIN(1,(Skills!Y22*(1+Inputs!$B$34/100))/(1/Q755)))))+((C736=TRUE)*F736*3)+((C738=TRUE)*F738*(1-EXP(-0.75*B771*5)))+((C757=TRUE)*(F757-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744=TRUE)*F744*IF(AND(Inputs!$B$39&lt;&gt;"pvp",Inputs!$B$44&gt;0),(((R744-1)*MIN((Skills!Y11*(1+Inputs!$B$34/100)),(1/Q744))+MIN((Skills!Y11*(1+Inputs!$B$34/100)),MAX(0,Inputs!$B$44-((R744-1)*(1/Q744)))))/Inputs!$B$44),IF(Inputs!$B$39="pvp",MIN((Skills!Y11*(1+Inputs!$B$34/100)),15)/15,MIN(1,(Skills!Y11*(1+Inputs!$B$34/100))/(1/Q744)))))/100)*(1+((C749=TRUE)*F749*IF(AND(Inputs!$B$39&lt;&gt;"pvp",Inputs!$B$44&gt;0),(((R749-1)*MIN((Skills!Y16*(1+Inputs!$B$34/100)),(1/Q749))+MIN((Skills!Y16*(1+Inputs!$B$34/100)),MAX(0,Inputs!$B$44-((R749-1)*(1/Q749)))))/Inputs!$B$44),IF(Inputs!$B$39="pvp",MIN((Skills!Y16*(1+Inputs!$B$34/100)),15)/15,MIN(1,(Skills!Y16*(1+Inputs!$B$34/100))/(1/Q749)))))/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769*I735)</f>
        <v/>
      </c>
      <c r="L735">
        <f>K735*(MIN(Inputs!$B$22+((C758=TRUE)*(F758-Calc!F25)),(Inputs!$B$23+((C763=TRUE)*(F763-Calc!F30))+IF(ArtifactsInput!$M$15,CHOOSE(ArtifactsInput!$N$15+1,25,30,35,40,45,50)/100*(Inputs!$B$11-Inputs!$B$11),0)))/100+(Inputs!$B$23+((C763=TRUE)*(F763-Calc!F30))+IF(ArtifactsInput!$M$15,CHOOSE(ArtifactsInput!$N$15+1,25,30,35,40,45,50)/100*(Inputs!$B$11-Inputs!$B$11),0))/100)/2</f>
        <v/>
      </c>
      <c r="M735">
        <f>L735*(1+(Inputs!$B$10+((C760=TRUE)*(F760-Calc!F27))+B774+(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735">
        <f>L735*(1-MIN((Inputs!$B$9+((C759=TRUE)*(F759-Calc!F26))+B767+(ArtifactsInput!$M$24-ArtifactsInput!$M$24)*CHOOSE(ArtifactsInput!$N$24+1,10,12,14,16,18,20)+(IF(AND(Inputs!$B$39&lt;&gt;"pvp",Inputs!$B$44=0),1,IF(IF(Inputs!$B$39="pvp",15,Inputs!$B$44)-(B778)&lt;=0,1,MAX(0,IF(Inputs!$B$39="pvp",15,Inputs!$B$44)-MAX(5,B778))/(IF(Inputs!$B$39="pvp",15,Inputs!$B$44)-(B778))))*IF(AND(ArtifactsInput!$M$42,((Inputs!$B$9+((C759=TRUE)*(F759-Calc!F26))+B767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735*(MIN((Inputs!$B$9+((C759=TRUE)*(F759-Calc!F26))+B767+(ArtifactsInput!$M$24-ArtifactsInput!$M$24)*CHOOSE(ArtifactsInput!$N$24+1,10,12,14,16,18,20)+(IF(AND(Inputs!$B$39&lt;&gt;"pvp",Inputs!$B$44=0),1,IF(IF(Inputs!$B$39="pvp",15,Inputs!$B$44)-(B778)&lt;=0,1,MAX(0,IF(Inputs!$B$39="pvp",15,Inputs!$B$44)-MAX(5,B778))/(IF(Inputs!$B$39="pvp",15,Inputs!$B$44)-(B778))))*IF(AND(ArtifactsInput!$M$42,((Inputs!$B$9+((C759=TRUE)*(F759-Calc!F26))+B767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735">
        <f>(1-Summary!$B$11)*T735+Summary!$B$11*V735</f>
        <v/>
      </c>
      <c r="P735">
        <f>IF(B779=0,0,O735/B779)</f>
        <v/>
      </c>
      <c r="Q735" t="n">
        <v>0</v>
      </c>
      <c r="R735" t="n">
        <v>0</v>
      </c>
      <c r="S735">
        <f>IFERROR(O735/N735,0)</f>
        <v/>
      </c>
      <c r="T735">
        <f>IF(C735,(Skills!G2*N735*B773)*IF(Inputs!$B$39="pvp",1,1+(Inputs!$B$20+0+Skills!P2+B768+(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Hunt"),CHOOSE(ArtifactsInput!$N$35+1,15,18,21,24,27,30)*(1-EXP(-(0.2*B771)*5)),0)+IF(AND(ArtifactsInput!$M$22,Inputs!$B$4&lt;&gt;"Chapter Hunt"),CHOOSE(ArtifactsInput!$N$22+1,10,12,14,16,18,20)*((0*(((0.15*B771*5))^0/1)+1*(((0.15*B771*5))^1/1)+2*(((0.15*B771*5))^2/2)+3*(((0.15*B771*5))^3/6)+4*(((0.15*B771*5))^4/24)+5*(((0.15*B771*5))^5/120))/((((0.15*B771*5))^0/1)+(((0.15*B771*5))^1/1)+(((0.15*B771*5))^2/2)+(((0.15*B771*5))^3/6)+(((0.15*B771*5))^4/24)+(((0.15*B771*5))^5/120))),0)))/100)*((((5000/(6000+Inputs!$B$43*(1-(100*(1-(1-(100*(1-(1-((1-(1-Inputs!$B$19/100)*(1-1/100))*100)/100)*(1-CHOOSE(ArtifactsInput!$N$40+1,5,6,7,8,9,10)/100)^(ArtifactsInput!$M$40-ArtifactsInput!$M$40)))/100)*(1-IF(ArtifactsInput!$M$40,CHOOSE(ArtifactsInput!$N$40+1,5,6,7,8,9,10),0)/100)^IF(Inputs!$B$39="pvp",1,2)))/100)))/(5000/(6000+Inputs!$B$43*(1-(100*(1-(1-((1-(1-Inputs!$B$19/100)*(1-1/100))*100)/100)*(1-CHOOSE(ArtifactsInput!$N$40+1,5,6,7,8,9,10)/100)^(ArtifactsInput!$M$40-ArtifactsInput!$M$40)))/100))))*((L735*(1-MIN(100,(Inputs!$B$9+((C759=TRUE)*(F759-Calc!F26))+B767+(ArtifactsInput!$M$24-ArtifactsInput!$M$24)*CHOOSE(ArtifactsInput!$N$24+1,10,12,14,16,18,20)+(IF(AND(Inputs!$B$39&lt;&gt;"pvp",Inputs!$B$44=0),1,IF(IF(Inputs!$B$39="pvp",15,Inputs!$B$44)-(B778)&lt;=0,1,MAX(0,IF(Inputs!$B$39="pvp",15,Inputs!$B$44)-MAX(5,B778))/(IF(Inputs!$B$39="pvp",15,Inputs!$B$44)-(B778))))*IF(AND(ArtifactsInput!$M$42,((Inputs!$B$9+((C759=TRUE)*(F759-Calc!F26))+B767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735*(MIN(100,(Inputs!$B$9+((C759=TRUE)*(F759-Calc!F26))+B767+(ArtifactsInput!$M$24-ArtifactsInput!$M$24)*CHOOSE(ArtifactsInput!$N$24+1,10,12,14,16,18,20)+(IF(AND(Inputs!$B$39&lt;&gt;"pvp",Inputs!$B$44=0),1,IF(IF(Inputs!$B$39="pvp",15,Inputs!$B$44)-(B778)&lt;=0,1,MAX(0,IF(Inputs!$B$39="pvp",15,Inputs!$B$44)-MAX(5,B778))/(IF(Inputs!$B$39="pvp",15,Inputs!$B$44)-(B778))))*IF(AND(ArtifactsInput!$M$42,((Inputs!$B$9+((C759=TRUE)*(F759-Calc!F26))+B767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735*(1-MIN(100,(Inputs!$B$9+((C759=TRUE)*(F759-Calc!F26))+B767+(ArtifactsInput!$M$24-ArtifactsInput!$M$24)*CHOOSE(ArtifactsInput!$N$24+1,10,12,14,16,18,20)+(IF(AND(Inputs!$B$39&lt;&gt;"pvp",Inputs!$B$44=0),1,IF(IF(Inputs!$B$39="pvp",15,Inputs!$B$44)-(B778)&lt;=0,1,MAX(0,IF(Inputs!$B$39="pvp",15,Inputs!$B$44)-MAX(5,B778))/(IF(Inputs!$B$39="pvp",15,Inputs!$B$44)-(B778))))*IF(AND(ArtifactsInput!$M$42,((Inputs!$B$9+((C759=TRUE)*(F759-Calc!F26))+B767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735*(MIN(100,(Inputs!$B$9+((C759=TRUE)*(F759-Calc!F26))+B767+(ArtifactsInput!$M$24-ArtifactsInput!$M$24)*CHOOSE(ArtifactsInput!$N$24+1,10,12,14,16,18,20)+(IF(AND(Inputs!$B$39&lt;&gt;"pvp",Inputs!$B$44=0),1,IF(IF(Inputs!$B$39="pvp",15,Inputs!$B$44)-(B778)&lt;=0,1,MAX(0,IF(Inputs!$B$39="pvp",15,Inputs!$B$44)-MAX(5,B778))/(IF(Inputs!$B$39="pvp",15,Inputs!$B$44)-(B778))))*IF(AND(ArtifactsInput!$M$42,((Inputs!$B$9+((C759=TRUE)*(F759-Calc!F26))+B767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735">
        <f>MAX(0,(Inputs!$B$3-100)*3)+Inputs!$B$28+Inputs!$B$29</f>
        <v/>
      </c>
      <c r="V735">
        <f>IF(C735,(Skills!G2*N735*B773)*IF(Inputs!$B$39="pvp",1,(1+(Inputs!$B$21+Skills!Q2+B768+(IF(ArtifactsInput!$M$33,CHOOSE(ArtifactsInput!$N$33+1,30,36,42,48,54,60),0))+(IF(AND(ArtifactsInput!$M$35,Inputs!$B$4&lt;&gt;"Chapter Hunt"),CHOOSE(ArtifactsInput!$N$35+1,15,18,21,24,27,30)*(1-EXP(-(0.2*B771)*5)),0)+IF(AND(ArtifactsInput!$M$22,Inputs!$B$4&lt;&gt;"Chapter Hunt"),CHOOSE(ArtifactsInput!$N$22+1,10,12,14,16,18,20)*((0*(((0.15*B771*5))^0/1)+1*(((0.15*B771*5))^1/1)+2*(((0.15*B771*5))^2/2)+3*(((0.15*B771*5))^3/6)+4*(((0.15*B771*5))^4/24)+5*(((0.15*B771*5))^5/120))/((((0.15*B771*5))^0/1)+(((0.15*B771*5))^1/1)+(((0.15*B771*5))^2/2)+(((0.15*B771*5))^3/6)+(((0.15*B771*5))^4/24)+(((0.15*B771*5))^5/120))),0)))/100)*(MIN((6+Inputs!$B$33),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736">
      <c r="A736">
        <f>Skills!A3</f>
        <v/>
      </c>
      <c r="B736">
        <f>Skills!B3</f>
        <v/>
      </c>
      <c r="C736">
        <f>Inputs!$B$3&gt;=35</f>
        <v/>
      </c>
      <c r="D736">
        <f>IF(Skills!C3=1,60+Inputs!$B$25+Inputs!$B$29,IF(Skills!C3=2,90+Inputs!$B$26+Inputs!$B$29,IF(Skills!C3=3,120+Inputs!$B$27+Inputs!$B$29,MAX(0,(Inputs!$B$3-100)*3)+Inputs!$B$28+Inputs!$B$29)))</f>
        <v/>
      </c>
      <c r="E736">
        <f>INDEX(FactorTable!$B$2:$Y$301, MATCH(ROUND(MIN(300,MAX(1,D736)),0), FactorTable!$A$2:$A$301,0), Skills!M3+1)</f>
        <v/>
      </c>
      <c r="F736">
        <f>IF(Skills!N3=TRUE,(Skills!L3/10)*(E736/1000),Skills!L3/10)+Skills!O3</f>
        <v/>
      </c>
      <c r="G736">
        <f>Skills!G3*IF(Skills!H3&gt;0,IF(Inputs!$B$39="pvp",MIN(Skills!I3,15),Skills!I3)/Skills!H3,1)</f>
        <v/>
      </c>
      <c r="H736">
        <f>1-(1-Skills!J3/100)^Skills!K3</f>
        <v/>
      </c>
      <c r="I736" t="inlineStr">
        <is>
          <t>1</t>
        </is>
      </c>
      <c r="J736" t="inlineStr"/>
      <c r="K736" t="inlineStr"/>
      <c r="L736" t="inlineStr"/>
      <c r="M736" t="inlineStr"/>
      <c r="N736" t="inlineStr"/>
      <c r="O736">
        <f>(1-Summary!$B$11)*T736+Summary!$B$11*V736</f>
        <v/>
      </c>
      <c r="P736">
        <f>IF(B779=0,0,O736/B779)</f>
        <v/>
      </c>
      <c r="Q736" t="n">
        <v>0</v>
      </c>
      <c r="R736" t="n">
        <v>0</v>
      </c>
      <c r="S736">
        <f>IFERROR(O736/N736,0)</f>
        <v/>
      </c>
      <c r="T736" t="n">
        <v>0</v>
      </c>
      <c r="U736">
        <f>INDEX(FactorTable!$B$2:$Y$301, MATCH(ROUND(MIN(300,MAX(1,U735)),0), FactorTable!$A$2:$A$301,0), 22)</f>
        <v/>
      </c>
      <c r="V736" t="n">
        <v>0</v>
      </c>
    </row>
    <row r="737">
      <c r="A737">
        <f>Skills!A4</f>
        <v/>
      </c>
      <c r="B737">
        <f>Skills!B4</f>
        <v/>
      </c>
      <c r="C737">
        <f>Inputs!$B$3&gt;=66</f>
        <v/>
      </c>
      <c r="D737">
        <f>IF(Skills!C4=1,60+Inputs!$B$25+Inputs!$B$29,IF(Skills!C4=2,90+Inputs!$B$26+Inputs!$B$29,IF(Skills!C4=3,120+Inputs!$B$27+Inputs!$B$29,MAX(0,(Inputs!$B$3-100)*3)+Inputs!$B$28+Inputs!$B$29)))</f>
        <v/>
      </c>
      <c r="E737">
        <f>INDEX(FactorTable!$B$2:$Y$301, MATCH(ROUND(MIN(300,MAX(1,D737)),0), FactorTable!$A$2:$A$301,0), Skills!M4+1)</f>
        <v/>
      </c>
      <c r="F737">
        <f>IF(Skills!N4=TRUE,(Skills!L4/10)*(E737/1000),Skills!L4/10)+Skills!O4</f>
        <v/>
      </c>
      <c r="G737">
        <f>Skills!G4*IF(Skills!H4&gt;0,IF(Inputs!$B$39="pvp",MIN(Skills!I4,15),Skills!I4)/Skills!H4,1)</f>
        <v/>
      </c>
      <c r="H737">
        <f>1-(1-Skills!J4/100)^Skills!K4</f>
        <v/>
      </c>
      <c r="I737" t="inlineStr">
        <is>
          <t>1</t>
        </is>
      </c>
      <c r="J737">
        <f>((Inputs!$B$6*(1+Inputs!$B$7/100))+(((Inputs!$B$12*(1+Inputs!$B$13/100))-(Inputs!$B$12*(1+Inputs!$B$13/100)))+0.25*(Inputs!$B$14-Inputs!$B$14))*(1+Inputs!$B$7/100))*(F737/100)</f>
        <v/>
      </c>
      <c r="K737">
        <f>J737*(1+((Inputs!$B$12*(1+Inputs!$B$13/100))*0.01+Inputs!$B$14*0.0025)/100)*(1+Inputs!$B$15/100)*(1+Inputs!$B$16/100)*(5000/(6000+Inputs!$B$43*(1-(100*(1-(1-((1-(1-Inputs!$B$19/100)*(1-1/100))*100)/100)*(1-CHOOSE(ArtifactsInput!$N$40+1,5,6,7,8,9,10)/100)^(ArtifactsInput!$M$40-ArtifactsInput!$M$40)))/100)))*(1+(Inputs!$B$24+((C764=TRUE)*(F764-Calc!F31))+((C751=TRUE)*(F751-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4="CRUEL_STAB",Inputs!$B$17+((C761=TRUE)*(F761-Calc!F28))+((IF(AND(Inputs!$B$39&lt;&gt;"pvp",Inputs!$B$44=0),1,IF(IF(Inputs!$B$39="pvp",15,Inputs!$B$44)-(B778)&lt;=0,1,MAX(0,IF(Inputs!$B$39="pvp",15,Inputs!$B$44)-MAX(5,B778))/(IF(Inputs!$B$39="pvp",15,Inputs!$B$44)-(B778))))*(IF(AND(ArtifactsInput!$M$42,((Inputs!$B$9+((C759=TRUE)*(F759-Calc!F26))+B767+(ArtifactsInput!$M$24-ArtifactsInput!$M$24)*CHOOSE(ArtifactsInput!$N$24+1,10,12,14,16,18,20)+IF(ArtifactsInput!$M$10,CHOOSE(ArtifactsInput!$N$10+1,15,18,21,24,27,30)*(IF(Inputs!$B$39="pvp",MIN(15,15)/15,IF(AND(Inputs!$B$39&lt;&gt;"pvp",Inputs!$B$44&gt;0),MIN(15,Inputs!$B$44)/(Inputs!$B$44),0))),0)))&gt;=100),MIN(100,((Inputs!$B$9+((C759=TRUE)*(F759-Calc!F26))+B767+(ArtifactsInput!$M$24-ArtifactsInput!$M$24)*CHOOSE(ArtifactsInput!$N$24+1,10,12,14,16,18,20)+IF(ArtifactsInput!$M$10,CHOOSE(ArtifactsInput!$N$10+1,15,18,21,24,27,30)*(IF(Inputs!$B$39="pvp",MIN(15,15)/15,IF(AND(Inputs!$B$39&lt;&gt;"pvp",Inputs!$B$44&gt;0),MIN(15,Inputs!$B$44)/(Inputs!$B$44),0))),0)))-100),0))*CHOOSE(ArtifactsInput!$N$42+1,0.6,0.72,0.84,0.96,1.08,1.2))),Inputs!$B$18+((C762=TRUE)*(F762-Calc!F29))+(IF(AND(Inputs!$B$39&lt;&gt;"pvp",Inputs!$B$44=0),1,IF(IF(Inputs!$B$39="pvp",15,Inputs!$B$44)-(B778)&lt;=0,1,MAX(0,IF(Inputs!$B$39="pvp",15,Inputs!$B$44)-MAX(5,B778))/(IF(Inputs!$B$39="pvp",15,Inputs!$B$44)-(B778))))*IF(AND(ArtifactsInput!$M$42,((Inputs!$B$9+((C759=TRUE)*(F759-Calc!F26))+B767+(ArtifactsInput!$M$24-ArtifactsInput!$M$24)*CHOOSE(ArtifactsInput!$N$24+1,10,12,14,16,18,20)+IF(ArtifactsInput!$M$10,CHOOSE(ArtifactsInput!$N$10+1,15,18,21,24,27,30)*(IF(Inputs!$B$39="pvp",MIN(15,15)/15,IF(AND(Inputs!$B$39&lt;&gt;"pvp",Inputs!$B$44&gt;0),MIN(15,Inputs!$B$44)/(Inputs!$B$44),0))),0)))&gt;=100),CHOOSE(ArtifactsInput!$N$42+1,40,48,56,64,72,80),0))))/100)*(((1+(((C755=TRUE)*F755*IF(AND(Inputs!$B$39&lt;&gt;"pvp",Inputs!$B$44&gt;0),(((R755-1)*MIN((Skills!Y22*(1+Inputs!$B$34/100)),(1/Q755))+MIN((Skills!Y22*(1+Inputs!$B$34/100)),MAX(0,Inputs!$B$44-((R755-1)*(1/Q755)))))/Inputs!$B$44),IF(Inputs!$B$39="pvp",MIN((Skills!Y22*(1+Inputs!$B$34/100)),15)/15,MIN(1,(Skills!Y22*(1+Inputs!$B$34/100))/(1/Q755)))))+((C736=TRUE)*F736*3)+((C738=TRUE)*F738*(1-EXP(-0.75*B771*5)))+((C757=TRUE)*(F757-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744=TRUE)*F744*IF(AND(Inputs!$B$39&lt;&gt;"pvp",Inputs!$B$44&gt;0),(((R744-1)*MIN((Skills!Y11*(1+Inputs!$B$34/100)),(1/Q744))+MIN((Skills!Y11*(1+Inputs!$B$34/100)),MAX(0,Inputs!$B$44-((R744-1)*(1/Q744)))))/Inputs!$B$44),IF(Inputs!$B$39="pvp",MIN((Skills!Y11*(1+Inputs!$B$34/100)),15)/15,MIN(1,(Skills!Y11*(1+Inputs!$B$34/100))/(1/Q744)))))/100)*(1+((C749=TRUE)*F749*IF(AND(Inputs!$B$39&lt;&gt;"pvp",Inputs!$B$44&gt;0),(((R749-1)*MIN((Skills!Y16*(1+Inputs!$B$34/100)),(1/Q749))+MIN((Skills!Y16*(1+Inputs!$B$34/100)),MAX(0,Inputs!$B$44-((R749-1)*(1/Q749)))))/Inputs!$B$44),IF(Inputs!$B$39="pvp",MIN((Skills!Y16*(1+Inputs!$B$34/100)),15)/15,MIN(1,(Skills!Y16*(1+Inputs!$B$34/100))/(1/Q749)))))/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769*I737)</f>
        <v/>
      </c>
      <c r="L737">
        <f>K737*(MIN(Inputs!$B$22+((C758=TRUE)*(F758-Calc!F25)),(Inputs!$B$23+((C763=TRUE)*(F763-Calc!F30))+IF(ArtifactsInput!$M$15,CHOOSE(ArtifactsInput!$N$15+1,25,30,35,40,45,50)/100*(Inputs!$B$11-Inputs!$B$11),0)))/100+(Inputs!$B$23+((C763=TRUE)*(F763-Calc!F30))+IF(ArtifactsInput!$M$15,CHOOSE(ArtifactsInput!$N$15+1,25,30,35,40,45,50)/100*(Inputs!$B$11-Inputs!$B$11),0))/100)/2</f>
        <v/>
      </c>
      <c r="M737">
        <f>L737*(1+(Inputs!$B$10+((C760=TRUE)*(F760-Calc!F27))+B774+(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737">
        <f>L737*(1-MIN((Inputs!$B$9+((C759=TRUE)*(F759-Calc!F26))+B767+(ArtifactsInput!$M$24-ArtifactsInput!$M$24)*CHOOSE(ArtifactsInput!$N$24+1,10,12,14,16,18,20)+(IF(AND(Inputs!$B$39&lt;&gt;"pvp",Inputs!$B$44=0),1,IF(IF(Inputs!$B$39="pvp",15,Inputs!$B$44)-(B778)&lt;=0,1,MAX(0,IF(Inputs!$B$39="pvp",15,Inputs!$B$44)-MAX(5,B778))/(IF(Inputs!$B$39="pvp",15,Inputs!$B$44)-(B778))))*IF(AND(ArtifactsInput!$M$42,((Inputs!$B$9+((C759=TRUE)*(F759-Calc!F26))+B767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737*(MIN((Inputs!$B$9+((C759=TRUE)*(F759-Calc!F26))+B767+(ArtifactsInput!$M$24-ArtifactsInput!$M$24)*CHOOSE(ArtifactsInput!$N$24+1,10,12,14,16,18,20)+(IF(AND(Inputs!$B$39&lt;&gt;"pvp",Inputs!$B$44=0),1,IF(IF(Inputs!$B$39="pvp",15,Inputs!$B$44)-(B778)&lt;=0,1,MAX(0,IF(Inputs!$B$39="pvp",15,Inputs!$B$44)-MAX(5,B778))/(IF(Inputs!$B$39="pvp",15,Inputs!$B$44)-(B778))))*IF(AND(ArtifactsInput!$M$42,((Inputs!$B$9+((C759=TRUE)*(F759-Calc!F26))+B767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737">
        <f>(1-Summary!$B$11)*T737+Summary!$B$11*V737</f>
        <v/>
      </c>
      <c r="P737">
        <f>IF(B779=0,0,O737/B779)</f>
        <v/>
      </c>
      <c r="Q737">
        <f>IFERROR(1/IF(Inputs!$B$39="pvp",15,MAX(0.1,Skills!D4-IF(TRUE=TRUE,Inputs!$B$32,0))),0)</f>
        <v/>
      </c>
      <c r="R737">
        <f>IF(AND(Inputs!$B$39&lt;&gt;"pvp",Inputs!$B$44&gt;0),IF(MAX(0,Inputs!$B$44-B778)&lt;=0,0,(INT(MAX(0,Inputs!$B$44-B778)/IF(Inputs!$B$39="pvp",15,MAX(0.1,Skills!D4-IF(TRUE=TRUE,Inputs!$B$32,0))))+1)),0)</f>
        <v/>
      </c>
      <c r="S737">
        <f>IFERROR(O737/N737,0)</f>
        <v/>
      </c>
      <c r="T737">
        <f>IF(C737,(H737*N737*IF(AND(Inputs!$B$39&lt;&gt;"pvp",Inputs!$B$44&gt;0),((Skills!G4*((R737-1)*IF(Skills!H4&gt;0,Skills!I4/Skills!H4,1)+IF(Skills!H4&gt;0,MIN(Skills!I4,MAX(0,MAX(0,Inputs!$B$44-B778)-((R737-1)*IF(Inputs!$B$39="pvp",15,MAX(0.1,Skills!D4-IF(TRUE=TRUE,Inputs!$B$32,0))))))/Skills!H4,1)))/Inputs!$B$44),G737*Q737))*IF(Inputs!$B$39="pvp",1,1+(Inputs!$B$20+0+Skills!P4+B768+(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Hunt"),CHOOSE(ArtifactsInput!$N$35+1,15,18,21,24,27,30)*(1-EXP(-(0.2*B771)*5)),0)+IF(AND(ArtifactsInput!$M$22,Inputs!$B$4&lt;&gt;"Chapter Hunt"),CHOOSE(ArtifactsInput!$N$22+1,10,12,14,16,18,20)*((0*(((0.15*B771*5))^0/1)+1*(((0.15*B771*5))^1/1)+2*(((0.15*B771*5))^2/2)+3*(((0.15*B771*5))^3/6)+4*(((0.15*B771*5))^4/24)+5*(((0.15*B771*5))^5/120))/((((0.15*B771*5))^0/1)+(((0.15*B771*5))^1/1)+(((0.15*B771*5))^2/2)+(((0.15*B771*5))^3/6)+(((0.15*B771*5))^4/24)+(((0.15*B771*5))^5/120))),0)))/100)*((((5000/(6000+Inputs!$B$43*(1-(100*(1-(1-(100*(1-(1-((1-(1-Inputs!$B$19/100)*(1-1/100))*100)/100)*(1-CHOOSE(ArtifactsInput!$N$40+1,5,6,7,8,9,10)/100)^(ArtifactsInput!$M$40-ArtifactsInput!$M$40)))/100)*(1-IF(ArtifactsInput!$M$40,CHOOSE(ArtifactsInput!$N$40+1,5,6,7,8,9,10),0)/100)^IF(Inputs!$B$39="pvp",1,2)))/100)))/(5000/(6000+Inputs!$B$43*(1-(100*(1-(1-((1-(1-Inputs!$B$19/100)*(1-1/100))*100)/100)*(1-CHOOSE(ArtifactsInput!$N$40+1,5,6,7,8,9,10)/100)^(ArtifactsInput!$M$40-ArtifactsInput!$M$40)))/100))))*((L737*(1-MIN(100,(Inputs!$B$9+((C759=TRUE)*(F759-Calc!F26))+B767+(ArtifactsInput!$M$24-ArtifactsInput!$M$24)*CHOOSE(ArtifactsInput!$N$24+1,10,12,14,16,18,20)+(IF(AND(Inputs!$B$39&lt;&gt;"pvp",Inputs!$B$44=0),1,IF(IF(Inputs!$B$39="pvp",15,Inputs!$B$44)-(B778)&lt;=0,1,MAX(0,IF(Inputs!$B$39="pvp",15,Inputs!$B$44)-MAX(5,B778))/(IF(Inputs!$B$39="pvp",15,Inputs!$B$44)-(B778))))*IF(AND(ArtifactsInput!$M$42,((Inputs!$B$9+((C759=TRUE)*(F759-Calc!F26))+B767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737*(MIN(100,(Inputs!$B$9+((C759=TRUE)*(F759-Calc!F26))+B767+(ArtifactsInput!$M$24-ArtifactsInput!$M$24)*CHOOSE(ArtifactsInput!$N$24+1,10,12,14,16,18,20)+(IF(AND(Inputs!$B$39&lt;&gt;"pvp",Inputs!$B$44=0),1,IF(IF(Inputs!$B$39="pvp",15,Inputs!$B$44)-(B778)&lt;=0,1,MAX(0,IF(Inputs!$B$39="pvp",15,Inputs!$B$44)-MAX(5,B778))/(IF(Inputs!$B$39="pvp",15,Inputs!$B$44)-(B778))))*IF(AND(ArtifactsInput!$M$42,((Inputs!$B$9+((C759=TRUE)*(F759-Calc!F26))+B767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737*(1-MIN(100,(Inputs!$B$9+((C759=TRUE)*(F759-Calc!F26))+B767+(ArtifactsInput!$M$24-ArtifactsInput!$M$24)*CHOOSE(ArtifactsInput!$N$24+1,10,12,14,16,18,20)+(IF(AND(Inputs!$B$39&lt;&gt;"pvp",Inputs!$B$44=0),1,IF(IF(Inputs!$B$39="pvp",15,Inputs!$B$44)-(B778)&lt;=0,1,MAX(0,IF(Inputs!$B$39="pvp",15,Inputs!$B$44)-MAX(5,B778))/(IF(Inputs!$B$39="pvp",15,Inputs!$B$44)-(B778))))*IF(AND(ArtifactsInput!$M$42,((Inputs!$B$9+((C759=TRUE)*(F759-Calc!F26))+B767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737*(MIN(100,(Inputs!$B$9+((C759=TRUE)*(F759-Calc!F26))+B767+(ArtifactsInput!$M$24-ArtifactsInput!$M$24)*CHOOSE(ArtifactsInput!$N$24+1,10,12,14,16,18,20)+(IF(AND(Inputs!$B$39&lt;&gt;"pvp",Inputs!$B$44=0),1,IF(IF(Inputs!$B$39="pvp",15,Inputs!$B$44)-(B778)&lt;=0,1,MAX(0,IF(Inputs!$B$39="pvp",15,Inputs!$B$44)-MAX(5,B778))/(IF(Inputs!$B$39="pvp",15,Inputs!$B$44)-(B778))))*IF(AND(ArtifactsInput!$M$42,((Inputs!$B$9+((C759=TRUE)*(F759-Calc!F26))+B767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737">
        <f>290*U736/1000</f>
        <v/>
      </c>
      <c r="V737">
        <f>IF(C737,(H737*N737*IF(AND(Inputs!$B$39&lt;&gt;"pvp",Inputs!$B$44&gt;0),((Skills!G4*((R737-1)*IF(Skills!H4&gt;0,Skills!I4/Skills!H4,1)+IF(Skills!H4&gt;0,MIN(Skills!I4,MAX(0,MAX(0,Inputs!$B$44-B778)-((R737-1)*IF(Inputs!$B$39="pvp",15,MAX(0.1,Skills!D4-IF(TRUE=TRUE,Inputs!$B$32,0))))))/Skills!H4,1)))/Inputs!$B$44),G737*Q737))*IF(Inputs!$B$39="pvp",1,(1+(Inputs!$B$21+Skills!Q4+B768+(IF(ArtifactsInput!$M$33,CHOOSE(ArtifactsInput!$N$33+1,30,36,42,48,54,60),0))+(IF(AND(ArtifactsInput!$M$35,Inputs!$B$4&lt;&gt;"Chapter Hunt"),CHOOSE(ArtifactsInput!$N$35+1,15,18,21,24,27,30)*(1-EXP(-(0.2*B771)*5)),0)+IF(AND(ArtifactsInput!$M$22,Inputs!$B$4&lt;&gt;"Chapter Hunt"),CHOOSE(ArtifactsInput!$N$22+1,10,12,14,16,18,20)*((0*(((0.15*B771*5))^0/1)+1*(((0.15*B771*5))^1/1)+2*(((0.15*B771*5))^2/2)+3*(((0.15*B771*5))^3/6)+4*(((0.15*B771*5))^4/24)+5*(((0.15*B771*5))^5/120))/((((0.15*B771*5))^0/1)+(((0.15*B771*5))^1/1)+(((0.15*B771*5))^2/2)+(((0.15*B771*5))^3/6)+(((0.15*B771*5))^4/24)+(((0.15*B771*5))^5/120))),0)))/100)*(MIN(MIN(10,IF(Inputs!$B$3&gt;=75,0.75,0.5)*B771*(1/Q737)),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738">
      <c r="A738">
        <f>Skills!A5</f>
        <v/>
      </c>
      <c r="B738">
        <f>Skills!B5</f>
        <v/>
      </c>
      <c r="C738">
        <f>Inputs!$B$3&gt;=75</f>
        <v/>
      </c>
      <c r="D738">
        <f>IF(Skills!C5=1,60+Inputs!$B$25+Inputs!$B$29,IF(Skills!C5=2,90+Inputs!$B$26+Inputs!$B$29,IF(Skills!C5=3,120+Inputs!$B$27+Inputs!$B$29,MAX(0,(Inputs!$B$3-100)*3)+Inputs!$B$28+Inputs!$B$29)))</f>
        <v/>
      </c>
      <c r="E738">
        <f>INDEX(FactorTable!$B$2:$Y$301, MATCH(ROUND(MIN(300,MAX(1,D738)),0), FactorTable!$A$2:$A$301,0), Skills!M5+1)</f>
        <v/>
      </c>
      <c r="F738">
        <f>IF(Skills!N5=TRUE,(Skills!L5/10)*(E738/1000),Skills!L5/10)+Skills!O5</f>
        <v/>
      </c>
      <c r="G738">
        <f>Skills!G5*IF(Skills!H5&gt;0,IF(Inputs!$B$39="pvp",MIN(Skills!I5,15),Skills!I5)/Skills!H5,1)</f>
        <v/>
      </c>
      <c r="H738">
        <f>1-(1-Skills!J5/100)^Skills!K5</f>
        <v/>
      </c>
      <c r="I738" t="inlineStr">
        <is>
          <t>1</t>
        </is>
      </c>
      <c r="J738" t="inlineStr"/>
      <c r="K738" t="inlineStr"/>
      <c r="L738" t="inlineStr"/>
      <c r="M738" t="inlineStr"/>
      <c r="N738" t="inlineStr"/>
      <c r="O738">
        <f>(1-Summary!$B$11)*T738+Summary!$B$11*V738</f>
        <v/>
      </c>
      <c r="P738">
        <f>IF(B779=0,0,O738/B779)</f>
        <v/>
      </c>
      <c r="Q738" t="n">
        <v>0</v>
      </c>
      <c r="R738" t="n">
        <v>0</v>
      </c>
      <c r="S738">
        <f>IFERROR(O738/N738,0)</f>
        <v/>
      </c>
      <c r="T738" t="n">
        <v>0</v>
      </c>
      <c r="V738" t="n">
        <v>0</v>
      </c>
    </row>
    <row r="739">
      <c r="A739">
        <f>Skills!A6</f>
        <v/>
      </c>
      <c r="B739">
        <f>Skills!B6</f>
        <v/>
      </c>
      <c r="C739">
        <f>Inputs!$B$3&gt;=63</f>
        <v/>
      </c>
      <c r="D739">
        <f>IF(Skills!C6=1,60+Inputs!$B$25+Inputs!$B$29,IF(Skills!C6=2,90+Inputs!$B$26+Inputs!$B$29,IF(Skills!C6=3,120+Inputs!$B$27+Inputs!$B$29,MAX(0,(Inputs!$B$3-100)*3)+Inputs!$B$28+Inputs!$B$29)))</f>
        <v/>
      </c>
      <c r="E739">
        <f>INDEX(FactorTable!$B$2:$Y$301, MATCH(ROUND(MIN(300,MAX(1,D739)),0), FactorTable!$A$2:$A$301,0), Skills!M6+1)</f>
        <v/>
      </c>
      <c r="F739">
        <f>IF(Skills!N6=TRUE,(Skills!L6/10)*(E739/1000),Skills!L6/10)+Skills!O6</f>
        <v/>
      </c>
      <c r="G739">
        <f>Skills!G6*IF(Skills!H6&gt;0,IF(Inputs!$B$39="pvp",MIN(Skills!I6,15),Skills!I6)/Skills!H6,1)</f>
        <v/>
      </c>
      <c r="H739">
        <f>1-(1-Skills!J6/100)^Skills!K6</f>
        <v/>
      </c>
      <c r="I739" t="inlineStr">
        <is>
          <t>1</t>
        </is>
      </c>
      <c r="J739">
        <f>((Inputs!$B$6*(1+Inputs!$B$7/100))+(((Inputs!$B$12*(1+Inputs!$B$13/100))-(Inputs!$B$12*(1+Inputs!$B$13/100)))+0.25*(Inputs!$B$14-Inputs!$B$14))*(1+Inputs!$B$7/100))*(F739/100)</f>
        <v/>
      </c>
      <c r="K739">
        <f>J739*(1+((Inputs!$B$12*(1+Inputs!$B$13/100))*0.01+Inputs!$B$14*0.0025)/100)*(1+Inputs!$B$15/100)*(1+Inputs!$B$16/100)*(5000/(6000+Inputs!$B$43*(1-(100*(1-(1-((1-(1-Inputs!$B$19/100)*(1-1/100))*100)/100)*(1-CHOOSE(ArtifactsInput!$N$40+1,5,6,7,8,9,10)/100)^(ArtifactsInput!$M$40-ArtifactsInput!$M$40)))/100)))*(1+(Inputs!$B$24+((C764=TRUE)*(F764-Calc!F31))+((C751=TRUE)*(F751-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+2.6666666666666665*IF(C752=TRUE,F752,0)/100)*(1+(IF(Skills!A6="CRUEL_STAB",Inputs!$B$17+((C761=TRUE)*(F761-Calc!F28))+((IF(AND(Inputs!$B$39&lt;&gt;"pvp",Inputs!$B$44=0),1,IF(IF(Inputs!$B$39="pvp",15,Inputs!$B$44)-(B778)&lt;=0,1,MAX(0,IF(Inputs!$B$39="pvp",15,Inputs!$B$44)-MAX(5,B778))/(IF(Inputs!$B$39="pvp",15,Inputs!$B$44)-(B778))))*(IF(AND(ArtifactsInput!$M$42,((Inputs!$B$9+((C759=TRUE)*(F759-Calc!F26))+B767+(ArtifactsInput!$M$24-ArtifactsInput!$M$24)*CHOOSE(ArtifactsInput!$N$24+1,10,12,14,16,18,20)+IF(ArtifactsInput!$M$10,CHOOSE(ArtifactsInput!$N$10+1,15,18,21,24,27,30)*(IF(Inputs!$B$39="pvp",MIN(15,15)/15,IF(AND(Inputs!$B$39&lt;&gt;"pvp",Inputs!$B$44&gt;0),MIN(15,Inputs!$B$44)/(Inputs!$B$44),0))),0)))&gt;=100),MIN(100,((Inputs!$B$9+((C759=TRUE)*(F759-Calc!F26))+B767+(ArtifactsInput!$M$24-ArtifactsInput!$M$24)*CHOOSE(ArtifactsInput!$N$24+1,10,12,14,16,18,20)+IF(ArtifactsInput!$M$10,CHOOSE(ArtifactsInput!$N$10+1,15,18,21,24,27,30)*(IF(Inputs!$B$39="pvp",MIN(15,15)/15,IF(AND(Inputs!$B$39&lt;&gt;"pvp",Inputs!$B$44&gt;0),MIN(15,Inputs!$B$44)/(Inputs!$B$44),0))),0)))-100),0))*CHOOSE(ArtifactsInput!$N$42+1,0.6,0.72,0.84,0.96,1.08,1.2))),Inputs!$B$18+((C762=TRUE)*(F762-Calc!F29))+(IF(AND(Inputs!$B$39&lt;&gt;"pvp",Inputs!$B$44=0),1,IF(IF(Inputs!$B$39="pvp",15,Inputs!$B$44)-(B778)&lt;=0,1,MAX(0,IF(Inputs!$B$39="pvp",15,Inputs!$B$44)-MAX(5,B778))/(IF(Inputs!$B$39="pvp",15,Inputs!$B$44)-(B778))))*IF(AND(ArtifactsInput!$M$42,((Inputs!$B$9+((C759=TRUE)*(F759-Calc!F26))+B767+(ArtifactsInput!$M$24-ArtifactsInput!$M$24)*CHOOSE(ArtifactsInput!$N$24+1,10,12,14,16,18,20)+IF(ArtifactsInput!$M$10,CHOOSE(ArtifactsInput!$N$10+1,15,18,21,24,27,30)*(IF(Inputs!$B$39="pvp",MIN(15,15)/15,IF(AND(Inputs!$B$39&lt;&gt;"pvp",Inputs!$B$44&gt;0),MIN(15,Inputs!$B$44)/(Inputs!$B$44),0))),0)))&gt;=100),CHOOSE(ArtifactsInput!$N$42+1,40,48,56,64,72,80),0))))/100)*(((1+(((C755=TRUE)*F755*IF(AND(Inputs!$B$39&lt;&gt;"pvp",Inputs!$B$44&gt;0),(((R755-1)*MIN((Skills!Y22*(1+Inputs!$B$34/100)),(1/Q755))+MIN((Skills!Y22*(1+Inputs!$B$34/100)),MAX(0,Inputs!$B$44-((R755-1)*(1/Q755)))))/Inputs!$B$44),IF(Inputs!$B$39="pvp",MIN((Skills!Y22*(1+Inputs!$B$34/100)),15)/15,MIN(1,(Skills!Y22*(1+Inputs!$B$34/100))/(1/Q755)))))+((C736=TRUE)*F736*3)+((C738=TRUE)*F738*(1-EXP(-0.75*B771*5)))+((C757=TRUE)*(F757-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744=TRUE)*F744*IF(AND(Inputs!$B$39&lt;&gt;"pvp",Inputs!$B$44&gt;0),(((R744-1)*MIN((Skills!Y11*(1+Inputs!$B$34/100)),(1/Q744))+MIN((Skills!Y11*(1+Inputs!$B$34/100)),MAX(0,Inputs!$B$44-((R744-1)*(1/Q744)))))/Inputs!$B$44),IF(Inputs!$B$39="pvp",MIN((Skills!Y11*(1+Inputs!$B$34/100)),15)/15,MIN(1,(Skills!Y11*(1+Inputs!$B$34/100))/(1/Q744)))))/100)*(1+((C749=TRUE)*F749*IF(AND(Inputs!$B$39&lt;&gt;"pvp",Inputs!$B$44&gt;0),(((R749-1)*MIN((Skills!Y16*(1+Inputs!$B$34/100)),(1/Q749))+MIN((Skills!Y16*(1+Inputs!$B$34/100)),MAX(0,Inputs!$B$44-((R749-1)*(1/Q749)))))/Inputs!$B$44),IF(Inputs!$B$39="pvp",MIN((Skills!Y16*(1+Inputs!$B$34/100)),15)/15,MIN(1,(Skills!Y16*(1+Inputs!$B$34/100))/(1/Q749)))))/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769*I739)</f>
        <v/>
      </c>
      <c r="L739">
        <f>K739*(MIN(Inputs!$B$22+((C758=TRUE)*(F758-Calc!F25)),(Inputs!$B$23+((C763=TRUE)*(F763-Calc!F30))+IF(ArtifactsInput!$M$15,CHOOSE(ArtifactsInput!$N$15+1,25,30,35,40,45,50)/100*(Inputs!$B$11-Inputs!$B$11),0)))/100+(Inputs!$B$23+((C763=TRUE)*(F763-Calc!F30))+IF(ArtifactsInput!$M$15,CHOOSE(ArtifactsInput!$N$15+1,25,30,35,40,45,50)/100*(Inputs!$B$11-Inputs!$B$11),0))/100)/2</f>
        <v/>
      </c>
      <c r="M739">
        <f>L739*(1+(Inputs!$B$10+((C760=TRUE)*(F760-Calc!F27))+B774+(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739">
        <f>L739*(1-MIN((Inputs!$B$9+((C759=TRUE)*(F759-Calc!F26))+B767+(ArtifactsInput!$M$24-ArtifactsInput!$M$24)*CHOOSE(ArtifactsInput!$N$24+1,10,12,14,16,18,20)+(IF(AND(Inputs!$B$39&lt;&gt;"pvp",Inputs!$B$44=0),1,IF(IF(Inputs!$B$39="pvp",15,Inputs!$B$44)-(B778)&lt;=0,1,MAX(0,IF(Inputs!$B$39="pvp",15,Inputs!$B$44)-MAX(5,B778))/(IF(Inputs!$B$39="pvp",15,Inputs!$B$44)-(B778))))*IF(AND(ArtifactsInput!$M$42,((Inputs!$B$9+((C759=TRUE)*(F759-Calc!F26))+B767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739*(MIN((Inputs!$B$9+((C759=TRUE)*(F759-Calc!F26))+B767+(ArtifactsInput!$M$24-ArtifactsInput!$M$24)*CHOOSE(ArtifactsInput!$N$24+1,10,12,14,16,18,20)+(IF(AND(Inputs!$B$39&lt;&gt;"pvp",Inputs!$B$44=0),1,IF(IF(Inputs!$B$39="pvp",15,Inputs!$B$44)-(B778)&lt;=0,1,MAX(0,IF(Inputs!$B$39="pvp",15,Inputs!$B$44)-MAX(5,B778))/(IF(Inputs!$B$39="pvp",15,Inputs!$B$44)-(B778))))*IF(AND(ArtifactsInput!$M$42,((Inputs!$B$9+((C759=TRUE)*(F759-Calc!F26))+B767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739">
        <f>(1-Summary!$B$11)*T739+Summary!$B$11*V739</f>
        <v/>
      </c>
      <c r="P739">
        <f>IF(B779=0,0,O739/B779)</f>
        <v/>
      </c>
      <c r="Q739">
        <f>IFERROR(1/IF(Inputs!$B$39="pvp",15,MAX(0.1,Skills!D6-IF(TRUE=TRUE,Inputs!$B$32,0))),0)</f>
        <v/>
      </c>
      <c r="R739">
        <f>IF(AND(Inputs!$B$39&lt;&gt;"pvp",Inputs!$B$44&gt;0),IF(MAX(0,Inputs!$B$44-B778)&lt;=0,0,(INT(MAX(0,Inputs!$B$44-B778)/IF(Inputs!$B$39="pvp",15,MAX(0.1,Skills!D6-IF(TRUE=TRUE,Inputs!$B$32,0))))+1)),0)</f>
        <v/>
      </c>
      <c r="S739">
        <f>IFERROR(O739/N739,0)</f>
        <v/>
      </c>
      <c r="T739">
        <f>IF(C739,(H739*N739*IF(AND(Inputs!$B$39&lt;&gt;"pvp",Inputs!$B$44&gt;0),((Skills!G6*((R739-1)*IF(Skills!H6&gt;0,Skills!I6/Skills!H6,1)+IF(Skills!H6&gt;0,MIN(Skills!I6,MAX(0,MAX(0,Inputs!$B$44-B778)-((R739-1)*IF(Inputs!$B$39="pvp",15,MAX(0.1,Skills!D6-IF(TRUE=TRUE,Inputs!$B$32,0))))))/Skills!H6,1)))/Inputs!$B$44),G739*Q739))*IF(Inputs!$B$39="pvp",1,1+(Inputs!$B$20+0+Skills!P6+B768+(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Hunt"),CHOOSE(ArtifactsInput!$N$35+1,15,18,21,24,27,30)*(1-EXP(-(0.2*B771)*5)),0)+IF(AND(ArtifactsInput!$M$22,Inputs!$B$4&lt;&gt;"Chapter Hunt"),CHOOSE(ArtifactsInput!$N$22+1,10,12,14,16,18,20)*((0*(((0.15*B771*5))^0/1)+1*(((0.15*B771*5))^1/1)+2*(((0.15*B771*5))^2/2)+3*(((0.15*B771*5))^3/6)+4*(((0.15*B771*5))^4/24)+5*(((0.15*B771*5))^5/120))/((((0.15*B771*5))^0/1)+(((0.15*B771*5))^1/1)+(((0.15*B771*5))^2/2)+(((0.15*B771*5))^3/6)+(((0.15*B771*5))^4/24)+(((0.15*B771*5))^5/120))),0)))/100)*((((5000/(6000+Inputs!$B$43*(1-(100*(1-(1-(100*(1-(1-((1-(1-Inputs!$B$19/100)*(1-1/100))*100)/100)*(1-CHOOSE(ArtifactsInput!$N$40+1,5,6,7,8,9,10)/100)^(ArtifactsInput!$M$40-ArtifactsInput!$M$40)))/100)*(1-IF(ArtifactsInput!$M$40,CHOOSE(ArtifactsInput!$N$40+1,5,6,7,8,9,10),0)/100)^IF(Inputs!$B$39="pvp",1,2)))/100)))/(5000/(6000+Inputs!$B$43*(1-(100*(1-(1-((1-(1-Inputs!$B$19/100)*(1-1/100))*100)/100)*(1-CHOOSE(ArtifactsInput!$N$40+1,5,6,7,8,9,10)/100)^(ArtifactsInput!$M$40-ArtifactsInput!$M$40)))/100))))*((L739*(1-MIN(100,(Inputs!$B$9+((C759=TRUE)*(F759-Calc!F26))+B767+(ArtifactsInput!$M$24-ArtifactsInput!$M$24)*CHOOSE(ArtifactsInput!$N$24+1,10,12,14,16,18,20)+(IF(AND(Inputs!$B$39&lt;&gt;"pvp",Inputs!$B$44=0),1,IF(IF(Inputs!$B$39="pvp",15,Inputs!$B$44)-(B778)&lt;=0,1,MAX(0,IF(Inputs!$B$39="pvp",15,Inputs!$B$44)-MAX(5,B778))/(IF(Inputs!$B$39="pvp",15,Inputs!$B$44)-(B778))))*IF(AND(ArtifactsInput!$M$42,((Inputs!$B$9+((C759=TRUE)*(F759-Calc!F26))+B767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739*(MIN(100,(Inputs!$B$9+((C759=TRUE)*(F759-Calc!F26))+B767+(ArtifactsInput!$M$24-ArtifactsInput!$M$24)*CHOOSE(ArtifactsInput!$N$24+1,10,12,14,16,18,20)+(IF(AND(Inputs!$B$39&lt;&gt;"pvp",Inputs!$B$44=0),1,IF(IF(Inputs!$B$39="pvp",15,Inputs!$B$44)-(B778)&lt;=0,1,MAX(0,IF(Inputs!$B$39="pvp",15,Inputs!$B$44)-MAX(5,B778))/(IF(Inputs!$B$39="pvp",15,Inputs!$B$44)-(B778))))*IF(AND(ArtifactsInput!$M$42,((Inputs!$B$9+((C759=TRUE)*(F759-Calc!F26))+B767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739*(1-MIN(100,(Inputs!$B$9+((C759=TRUE)*(F759-Calc!F26))+B767+(ArtifactsInput!$M$24-ArtifactsInput!$M$24)*CHOOSE(ArtifactsInput!$N$24+1,10,12,14,16,18,20)+(IF(AND(Inputs!$B$39&lt;&gt;"pvp",Inputs!$B$44=0),1,IF(IF(Inputs!$B$39="pvp",15,Inputs!$B$44)-(B778)&lt;=0,1,MAX(0,IF(Inputs!$B$39="pvp",15,Inputs!$B$44)-MAX(5,B778))/(IF(Inputs!$B$39="pvp",15,Inputs!$B$44)-(B778))))*IF(AND(ArtifactsInput!$M$42,((Inputs!$B$9+((C759=TRUE)*(F759-Calc!F26))+B767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739*(MIN(100,(Inputs!$B$9+((C759=TRUE)*(F759-Calc!F26))+B767+(ArtifactsInput!$M$24-ArtifactsInput!$M$24)*CHOOSE(ArtifactsInput!$N$24+1,10,12,14,16,18,20)+(IF(AND(Inputs!$B$39&lt;&gt;"pvp",Inputs!$B$44=0),1,IF(IF(Inputs!$B$39="pvp",15,Inputs!$B$44)-(B778)&lt;=0,1,MAX(0,IF(Inputs!$B$39="pvp",15,Inputs!$B$44)-MAX(5,B778))/(IF(Inputs!$B$39="pvp",15,Inputs!$B$44)-(B778))))*IF(AND(ArtifactsInput!$M$42,((Inputs!$B$9+((C759=TRUE)*(F759-Calc!F26))+B767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739">
        <f>IF(C739,(H739*N739*IF(AND(Inputs!$B$39&lt;&gt;"pvp",Inputs!$B$44&gt;0),((Skills!G6*((R739-1)*IF(Skills!H6&gt;0,Skills!I6/Skills!H6,1)+IF(Skills!H6&gt;0,MIN(Skills!I6,MAX(0,MAX(0,Inputs!$B$44-B778)-((R739-1)*IF(Inputs!$B$39="pvp",15,MAX(0.1,Skills!D6-IF(TRUE=TRUE,Inputs!$B$32,0))))))/Skills!H6,1)))/Inputs!$B$44),G739*Q739))*IF(Inputs!$B$39="pvp",1,(1+(Inputs!$B$21+Skills!Q6+B768+(IF(ArtifactsInput!$M$33,CHOOSE(ArtifactsInput!$N$33+1,30,36,42,48,54,60),0))+(IF(AND(ArtifactsInput!$M$35,Inputs!$B$4&lt;&gt;"Chapter Hunt"),CHOOSE(ArtifactsInput!$N$35+1,15,18,21,24,27,30)*(1-EXP(-(0.2*B771)*5)),0)+IF(AND(ArtifactsInput!$M$22,Inputs!$B$4&lt;&gt;"Chapter Hunt"),CHOOSE(ArtifactsInput!$N$22+1,10,12,14,16,18,20)*((0*(((0.15*B771*5))^0/1)+1*(((0.15*B771*5))^1/1)+2*(((0.15*B771*5))^2/2)+3*(((0.15*B771*5))^3/6)+4*(((0.15*B771*5))^4/24)+5*(((0.15*B771*5))^5/120))/((((0.15*B771*5))^0/1)+(((0.15*B771*5))^1/1)+(((0.15*B771*5))^2/2)+(((0.15*B771*5))^3/6)+(((0.15*B771*5))^4/24)+(((0.15*B771*5))^5/120))),0)))/100)*(MIN(Skills!W6,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740">
      <c r="A740">
        <f>Skills!A7</f>
        <v/>
      </c>
      <c r="B740">
        <f>Skills!B7</f>
        <v/>
      </c>
      <c r="C740">
        <f>Inputs!$B$3&gt;=69</f>
        <v/>
      </c>
      <c r="D740">
        <f>IF(Skills!C7=1,60+Inputs!$B$25+Inputs!$B$29,IF(Skills!C7=2,90+Inputs!$B$26+Inputs!$B$29,IF(Skills!C7=3,120+Inputs!$B$27+Inputs!$B$29,MAX(0,(Inputs!$B$3-100)*3)+Inputs!$B$28+Inputs!$B$29)))</f>
        <v/>
      </c>
      <c r="E740">
        <f>INDEX(FactorTable!$B$2:$Y$301, MATCH(ROUND(MIN(300,MAX(1,D740)),0), FactorTable!$A$2:$A$301,0), Skills!M7+1)</f>
        <v/>
      </c>
      <c r="F740">
        <f>IF(Skills!N7=TRUE,(Skills!L7/10)*(E740/1000),Skills!L7/10)+Skills!O7</f>
        <v/>
      </c>
      <c r="G740">
        <f>Skills!G7*IF(Skills!H7&gt;0,IF(Inputs!$B$39="pvp",MIN(Skills!I7,15),Skills!I7)/Skills!H7,1)</f>
        <v/>
      </c>
      <c r="H740">
        <f>1-(1-Skills!J7/100)^Skills!K7</f>
        <v/>
      </c>
      <c r="I740" t="inlineStr">
        <is>
          <t>1</t>
        </is>
      </c>
      <c r="J740">
        <f>((Inputs!$B$6*(1+Inputs!$B$7/100))+(((Inputs!$B$12*(1+Inputs!$B$13/100))-(Inputs!$B$12*(1+Inputs!$B$13/100)))+0.25*(Inputs!$B$14-Inputs!$B$14))*(1+Inputs!$B$7/100))*(F740/100)</f>
        <v/>
      </c>
      <c r="K740">
        <f>J740*(1+((Inputs!$B$12*(1+Inputs!$B$13/100))*0.01+Inputs!$B$14*0.0025)/100)*(1+Inputs!$B$15/100)*(1+Inputs!$B$16/100)*(5000/(6000+Inputs!$B$43*(1-(100*(1-(1-((1-(1-Inputs!$B$19/100)*(1-1/100))*100)/100)*(1-CHOOSE(ArtifactsInput!$N$40+1,5,6,7,8,9,10)/100)^(ArtifactsInput!$M$40-ArtifactsInput!$M$40)))/100)))*(1+(Inputs!$B$24+((C764=TRUE)*(F764-Calc!F31))+((C751=TRUE)*(F751-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752=TRUE,F752,0)/100)*(1+(IF(Skills!A7="CRUEL_STAB",Inputs!$B$17+((C761=TRUE)*(F761-Calc!F28))+((IF(AND(Inputs!$B$39&lt;&gt;"pvp",Inputs!$B$44=0),1,IF(IF(Inputs!$B$39="pvp",15,Inputs!$B$44)-(B778)&lt;=0,1,MAX(0,IF(Inputs!$B$39="pvp",15,Inputs!$B$44)-MAX(5,B778))/(IF(Inputs!$B$39="pvp",15,Inputs!$B$44)-(B778))))*(IF(AND(ArtifactsInput!$M$42,((Inputs!$B$9+((C759=TRUE)*(F759-Calc!F26))+B767+(ArtifactsInput!$M$24-ArtifactsInput!$M$24)*CHOOSE(ArtifactsInput!$N$24+1,10,12,14,16,18,20)+IF(ArtifactsInput!$M$10,CHOOSE(ArtifactsInput!$N$10+1,15,18,21,24,27,30)*(IF(Inputs!$B$39="pvp",MIN(15,15)/15,IF(AND(Inputs!$B$39&lt;&gt;"pvp",Inputs!$B$44&gt;0),MIN(15,Inputs!$B$44)/(Inputs!$B$44),0))),0)))&gt;=100),MIN(100,((Inputs!$B$9+((C759=TRUE)*(F759-Calc!F26))+B767+(ArtifactsInput!$M$24-ArtifactsInput!$M$24)*CHOOSE(ArtifactsInput!$N$24+1,10,12,14,16,18,20)+IF(ArtifactsInput!$M$10,CHOOSE(ArtifactsInput!$N$10+1,15,18,21,24,27,30)*(IF(Inputs!$B$39="pvp",MIN(15,15)/15,IF(AND(Inputs!$B$39&lt;&gt;"pvp",Inputs!$B$44&gt;0),MIN(15,Inputs!$B$44)/(Inputs!$B$44),0))),0)))-100),0))*CHOOSE(ArtifactsInput!$N$42+1,0.6,0.72,0.84,0.96,1.08,1.2))),Inputs!$B$18+((C762=TRUE)*(F762-Calc!F29))+(IF(AND(Inputs!$B$39&lt;&gt;"pvp",Inputs!$B$44=0),1,IF(IF(Inputs!$B$39="pvp",15,Inputs!$B$44)-(B778)&lt;=0,1,MAX(0,IF(Inputs!$B$39="pvp",15,Inputs!$B$44)-MAX(5,B778))/(IF(Inputs!$B$39="pvp",15,Inputs!$B$44)-(B778))))*IF(AND(ArtifactsInput!$M$42,((Inputs!$B$9+((C759=TRUE)*(F759-Calc!F26))+B767+(ArtifactsInput!$M$24-ArtifactsInput!$M$24)*CHOOSE(ArtifactsInput!$N$24+1,10,12,14,16,18,20)+IF(ArtifactsInput!$M$10,CHOOSE(ArtifactsInput!$N$10+1,15,18,21,24,27,30)*(IF(Inputs!$B$39="pvp",MIN(15,15)/15,IF(AND(Inputs!$B$39&lt;&gt;"pvp",Inputs!$B$44&gt;0),MIN(15,Inputs!$B$44)/(Inputs!$B$44),0))),0)))&gt;=100),CHOOSE(ArtifactsInput!$N$42+1,40,48,56,64,72,80),0))))/100)*(((1+(((C755=TRUE)*F755*IF(AND(Inputs!$B$39&lt;&gt;"pvp",Inputs!$B$44&gt;0),(((R755-1)*MIN((Skills!Y22*(1+Inputs!$B$34/100)),(1/Q755))+MIN((Skills!Y22*(1+Inputs!$B$34/100)),MAX(0,Inputs!$B$44-((R755-1)*(1/Q755)))))/Inputs!$B$44),IF(Inputs!$B$39="pvp",MIN((Skills!Y22*(1+Inputs!$B$34/100)),15)/15,MIN(1,(Skills!Y22*(1+Inputs!$B$34/100))/(1/Q755)))))+((C736=TRUE)*F736*3)+((C738=TRUE)*F738*(1-EXP(-0.75*B771*5)))+((C757=TRUE)*(F757-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744=TRUE)*F744*IF(AND(Inputs!$B$39&lt;&gt;"pvp",Inputs!$B$44&gt;0),(((R744-1)*MIN((Skills!Y11*(1+Inputs!$B$34/100)),(1/Q744))+MIN((Skills!Y11*(1+Inputs!$B$34/100)),MAX(0,Inputs!$B$44-((R744-1)*(1/Q744)))))/Inputs!$B$44),IF(Inputs!$B$39="pvp",MIN((Skills!Y11*(1+Inputs!$B$34/100)),15)/15,MIN(1,(Skills!Y11*(1+Inputs!$B$34/100))/(1/Q744)))))/100)*(1+((C749=TRUE)*F749*IF(AND(Inputs!$B$39&lt;&gt;"pvp",Inputs!$B$44&gt;0),(((R749-1)*MIN((Skills!Y16*(1+Inputs!$B$34/100)),(1/Q749))+MIN((Skills!Y16*(1+Inputs!$B$34/100)),MAX(0,Inputs!$B$44-((R749-1)*(1/Q749)))))/Inputs!$B$44),IF(Inputs!$B$39="pvp",MIN((Skills!Y16*(1+Inputs!$B$34/100)),15)/15,MIN(1,(Skills!Y16*(1+Inputs!$B$34/100))/(1/Q749)))))/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769*I740)</f>
        <v/>
      </c>
      <c r="L740">
        <f>K740*(MIN(Inputs!$B$22+((C758=TRUE)*(F758-Calc!F25)),(Inputs!$B$23+((C763=TRUE)*(F763-Calc!F30))+IF(ArtifactsInput!$M$15,CHOOSE(ArtifactsInput!$N$15+1,25,30,35,40,45,50)/100*(Inputs!$B$11-Inputs!$B$11),0)))/100+(Inputs!$B$23+((C763=TRUE)*(F763-Calc!F30))+IF(ArtifactsInput!$M$15,CHOOSE(ArtifactsInput!$N$15+1,25,30,35,40,45,50)/100*(Inputs!$B$11-Inputs!$B$11),0))/100)/2</f>
        <v/>
      </c>
      <c r="M740">
        <f>L740*(1+(Inputs!$B$10+((C760=TRUE)*(F760-Calc!F27))+B774+(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740">
        <f>L740*(1-MIN((Inputs!$B$9+((C759=TRUE)*(F759-Calc!F26))+B767+(ArtifactsInput!$M$24-ArtifactsInput!$M$24)*CHOOSE(ArtifactsInput!$N$24+1,10,12,14,16,18,20)+(IF(AND(Inputs!$B$39&lt;&gt;"pvp",Inputs!$B$44=0),1,IF(IF(Inputs!$B$39="pvp",15,Inputs!$B$44)-(B778)&lt;=0,1,MAX(0,IF(Inputs!$B$39="pvp",15,Inputs!$B$44)-MAX(5,B778))/(IF(Inputs!$B$39="pvp",15,Inputs!$B$44)-(B778))))*IF(AND(ArtifactsInput!$M$42,((Inputs!$B$9+((C759=TRUE)*(F759-Calc!F26))+B767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740*(MIN((Inputs!$B$9+((C759=TRUE)*(F759-Calc!F26))+B767+(ArtifactsInput!$M$24-ArtifactsInput!$M$24)*CHOOSE(ArtifactsInput!$N$24+1,10,12,14,16,18,20)+(IF(AND(Inputs!$B$39&lt;&gt;"pvp",Inputs!$B$44=0),1,IF(IF(Inputs!$B$39="pvp",15,Inputs!$B$44)-(B778)&lt;=0,1,MAX(0,IF(Inputs!$B$39="pvp",15,Inputs!$B$44)-MAX(5,B778))/(IF(Inputs!$B$39="pvp",15,Inputs!$B$44)-(B778))))*IF(AND(ArtifactsInput!$M$42,((Inputs!$B$9+((C759=TRUE)*(F759-Calc!F26))+B767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740">
        <f>(1-Summary!$B$11)*T740+Summary!$B$11*V740</f>
        <v/>
      </c>
      <c r="P740">
        <f>IF(B779=0,0,O740/B779)</f>
        <v/>
      </c>
      <c r="Q740">
        <f>IFERROR(1/IF(Inputs!$B$39="pvp",15,MAX(0.1,Skills!D7-IF(TRUE=TRUE,Inputs!$B$32,0))),0)</f>
        <v/>
      </c>
      <c r="R740">
        <f>IF(AND(Inputs!$B$39&lt;&gt;"pvp",Inputs!$B$44&gt;0),IF(MAX(0,Inputs!$B$44-B778)&lt;=0,0,(INT(MAX(0,Inputs!$B$44-B778)/IF(Inputs!$B$39="pvp",15,MAX(0.1,Skills!D7-IF(TRUE=TRUE,Inputs!$B$32,0))))+1)),0)</f>
        <v/>
      </c>
      <c r="S740">
        <f>IFERROR(O740/N740,0)</f>
        <v/>
      </c>
      <c r="T740">
        <f>IF(C740,(H740*N740*IF(AND(Inputs!$B$39&lt;&gt;"pvp",Inputs!$B$44&gt;0),((Skills!G7*((R740-1)*IF(Skills!H7&gt;0,Skills!I7/Skills!H7,1)+IF(Skills!H7&gt;0,MIN(Skills!I7,MAX(0,MAX(0,Inputs!$B$44-B778)-((R740-1)*IF(Inputs!$B$39="pvp",15,MAX(0.1,Skills!D7-IF(TRUE=TRUE,Inputs!$B$32,0))))))/Skills!H7,1)))/Inputs!$B$44),G740*Q740))*IF(Inputs!$B$39="pvp",1,1+(Inputs!$B$20+0+Skills!P7+B768+(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Hunt"),CHOOSE(ArtifactsInput!$N$35+1,15,18,21,24,27,30)*(1-EXP(-(0.2*B771)*5)),0)+IF(AND(ArtifactsInput!$M$22,Inputs!$B$4&lt;&gt;"Chapter Hunt"),CHOOSE(ArtifactsInput!$N$22+1,10,12,14,16,18,20)*((0*(((0.15*B771*5))^0/1)+1*(((0.15*B771*5))^1/1)+2*(((0.15*B771*5))^2/2)+3*(((0.15*B771*5))^3/6)+4*(((0.15*B771*5))^4/24)+5*(((0.15*B771*5))^5/120))/((((0.15*B771*5))^0/1)+(((0.15*B771*5))^1/1)+(((0.15*B771*5))^2/2)+(((0.15*B771*5))^3/6)+(((0.15*B771*5))^4/24)+(((0.15*B771*5))^5/120))),0)))/100)*((((5000/(6000+Inputs!$B$43*(1-(100*(1-(1-(100*(1-(1-((1-(1-Inputs!$B$19/100)*(1-1/100))*100)/100)*(1-CHOOSE(ArtifactsInput!$N$40+1,5,6,7,8,9,10)/100)^(ArtifactsInput!$M$40-ArtifactsInput!$M$40)))/100)*(1-IF(ArtifactsInput!$M$40,CHOOSE(ArtifactsInput!$N$40+1,5,6,7,8,9,10),0)/100)^IF(Inputs!$B$39="pvp",1,2)))/100)))/(5000/(6000+Inputs!$B$43*(1-(100*(1-(1-((1-(1-Inputs!$B$19/100)*(1-1/100))*100)/100)*(1-CHOOSE(ArtifactsInput!$N$40+1,5,6,7,8,9,10)/100)^(ArtifactsInput!$M$40-ArtifactsInput!$M$40)))/100))))*((L740*(1-MIN(100,(Inputs!$B$9+((C759=TRUE)*(F759-Calc!F26))+B767+(ArtifactsInput!$M$24-ArtifactsInput!$M$24)*CHOOSE(ArtifactsInput!$N$24+1,10,12,14,16,18,20)+(IF(AND(Inputs!$B$39&lt;&gt;"pvp",Inputs!$B$44=0),1,IF(IF(Inputs!$B$39="pvp",15,Inputs!$B$44)-(B778)&lt;=0,1,MAX(0,IF(Inputs!$B$39="pvp",15,Inputs!$B$44)-MAX(5,B778))/(IF(Inputs!$B$39="pvp",15,Inputs!$B$44)-(B778))))*IF(AND(ArtifactsInput!$M$42,((Inputs!$B$9+((C759=TRUE)*(F759-Calc!F26))+B767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740*(MIN(100,(Inputs!$B$9+((C759=TRUE)*(F759-Calc!F26))+B767+(ArtifactsInput!$M$24-ArtifactsInput!$M$24)*CHOOSE(ArtifactsInput!$N$24+1,10,12,14,16,18,20)+(IF(AND(Inputs!$B$39&lt;&gt;"pvp",Inputs!$B$44=0),1,IF(IF(Inputs!$B$39="pvp",15,Inputs!$B$44)-(B778)&lt;=0,1,MAX(0,IF(Inputs!$B$39="pvp",15,Inputs!$B$44)-MAX(5,B778))/(IF(Inputs!$B$39="pvp",15,Inputs!$B$44)-(B778))))*IF(AND(ArtifactsInput!$M$42,((Inputs!$B$9+((C759=TRUE)*(F759-Calc!F26))+B767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740*(1-MIN(100,(Inputs!$B$9+((C759=TRUE)*(F759-Calc!F26))+B767+(ArtifactsInput!$M$24-ArtifactsInput!$M$24)*CHOOSE(ArtifactsInput!$N$24+1,10,12,14,16,18,20)+(IF(AND(Inputs!$B$39&lt;&gt;"pvp",Inputs!$B$44=0),1,IF(IF(Inputs!$B$39="pvp",15,Inputs!$B$44)-(B778)&lt;=0,1,MAX(0,IF(Inputs!$B$39="pvp",15,Inputs!$B$44)-MAX(5,B778))/(IF(Inputs!$B$39="pvp",15,Inputs!$B$44)-(B778))))*IF(AND(ArtifactsInput!$M$42,((Inputs!$B$9+((C759=TRUE)*(F759-Calc!F26))+B767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740*(MIN(100,(Inputs!$B$9+((C759=TRUE)*(F759-Calc!F26))+B767+(ArtifactsInput!$M$24-ArtifactsInput!$M$24)*CHOOSE(ArtifactsInput!$N$24+1,10,12,14,16,18,20)+(IF(AND(Inputs!$B$39&lt;&gt;"pvp",Inputs!$B$44=0),1,IF(IF(Inputs!$B$39="pvp",15,Inputs!$B$44)-(B778)&lt;=0,1,MAX(0,IF(Inputs!$B$39="pvp",15,Inputs!$B$44)-MAX(5,B778))/(IF(Inputs!$B$39="pvp",15,Inputs!$B$44)-(B778))))*IF(AND(ArtifactsInput!$M$42,((Inputs!$B$9+((C759=TRUE)*(F759-Calc!F26))+B767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740">
        <f>IF(C740,(H740*N740*IF(AND(Inputs!$B$39&lt;&gt;"pvp",Inputs!$B$44&gt;0),((Skills!G7*((R740-1)*IF(Skills!H7&gt;0,Skills!I7/Skills!H7,1)+IF(Skills!H7&gt;0,MIN(Skills!I7,MAX(0,MAX(0,Inputs!$B$44-B778)-((R740-1)*IF(Inputs!$B$39="pvp",15,MAX(0.1,Skills!D7-IF(TRUE=TRUE,Inputs!$B$32,0))))))/Skills!H7,1)))/Inputs!$B$44),G740*Q740))*IF(Inputs!$B$39="pvp",1,(1+(Inputs!$B$21+Skills!Q7+B768+(IF(ArtifactsInput!$M$33,CHOOSE(ArtifactsInput!$N$33+1,30,36,42,48,54,60),0))+(IF(AND(ArtifactsInput!$M$35,Inputs!$B$4&lt;&gt;"Chapter Hunt"),CHOOSE(ArtifactsInput!$N$35+1,15,18,21,24,27,30)*(1-EXP(-(0.2*B771)*5)),0)+IF(AND(ArtifactsInput!$M$22,Inputs!$B$4&lt;&gt;"Chapter Hunt"),CHOOSE(ArtifactsInput!$N$22+1,10,12,14,16,18,20)*((0*(((0.15*B771*5))^0/1)+1*(((0.15*B771*5))^1/1)+2*(((0.15*B771*5))^2/2)+3*(((0.15*B771*5))^3/6)+4*(((0.15*B771*5))^4/24)+5*(((0.15*B771*5))^5/120))/((((0.15*B771*5))^0/1)+(((0.15*B771*5))^1/1)+(((0.15*B771*5))^2/2)+(((0.15*B771*5))^3/6)+(((0.15*B771*5))^4/24)+(((0.15*B771*5))^5/120))),0)))/100)*(MIN(Skills!W7,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741">
      <c r="A741">
        <f>Skills!A8</f>
        <v/>
      </c>
      <c r="B741">
        <f>Skills!B8</f>
        <v/>
      </c>
      <c r="C741">
        <f>Inputs!$B$3&gt;=60</f>
        <v/>
      </c>
      <c r="D741">
        <f>IF(Skills!C8=1,60+Inputs!$B$25+Inputs!$B$29,IF(Skills!C8=2,90+Inputs!$B$26+Inputs!$B$29,IF(Skills!C8=3,120+Inputs!$B$27+Inputs!$B$29,MAX(0,(Inputs!$B$3-100)*3)+Inputs!$B$28+Inputs!$B$29)))</f>
        <v/>
      </c>
      <c r="E741">
        <f>INDEX(FactorTable!$B$2:$Y$301, MATCH(ROUND(MIN(300,MAX(1,D741)),0), FactorTable!$A$2:$A$301,0), Skills!M8+1)</f>
        <v/>
      </c>
      <c r="F741">
        <f>IF(Skills!N8=TRUE,(Skills!L8/10)*(E741/1000),Skills!L8/10)+Skills!O8</f>
        <v/>
      </c>
      <c r="G741">
        <f>Skills!G8*IF(Skills!H8&gt;0,IF(Inputs!$B$39="pvp",MIN(Skills!I8,15),Skills!I8)/Skills!H8,1)</f>
        <v/>
      </c>
      <c r="H741">
        <f>1-(1-Skills!J8/100)^Skills!K8</f>
        <v/>
      </c>
      <c r="I741" t="inlineStr">
        <is>
          <t>1</t>
        </is>
      </c>
      <c r="J741" t="inlineStr"/>
      <c r="K741" t="inlineStr"/>
      <c r="L741" t="inlineStr"/>
      <c r="M741" t="inlineStr"/>
      <c r="N741" t="inlineStr"/>
      <c r="O741">
        <f>(1-Summary!$B$11)*T741+Summary!$B$11*V741</f>
        <v/>
      </c>
      <c r="P741">
        <f>IF(B779=0,0,O741/B779)</f>
        <v/>
      </c>
      <c r="Q741" t="n">
        <v>0</v>
      </c>
      <c r="R741" t="n">
        <v>0</v>
      </c>
      <c r="S741">
        <f>IFERROR(O741/N741,0)</f>
        <v/>
      </c>
      <c r="T741" t="n">
        <v>0</v>
      </c>
      <c r="V741" t="n">
        <v>0</v>
      </c>
    </row>
    <row r="742">
      <c r="A742">
        <f>Skills!A9</f>
        <v/>
      </c>
      <c r="B742">
        <f>Skills!B9</f>
        <v/>
      </c>
      <c r="C742">
        <f>Inputs!$B$3&gt;=72</f>
        <v/>
      </c>
      <c r="D742">
        <f>IF(Skills!C9=1,60+Inputs!$B$25+Inputs!$B$29,IF(Skills!C9=2,90+Inputs!$B$26+Inputs!$B$29,IF(Skills!C9=3,120+Inputs!$B$27+Inputs!$B$29,MAX(0,(Inputs!$B$3-100)*3)+Inputs!$B$28+Inputs!$B$29)))</f>
        <v/>
      </c>
      <c r="E742">
        <f>INDEX(FactorTable!$B$2:$Y$301, MATCH(ROUND(MIN(300,MAX(1,D742)),0), FactorTable!$A$2:$A$301,0), Skills!M9+1)</f>
        <v/>
      </c>
      <c r="F742">
        <f>IF(Skills!N9=TRUE,(Skills!L9/10)*(E742/1000),Skills!L9/10)+Skills!O9</f>
        <v/>
      </c>
      <c r="G742">
        <f>Skills!G9*IF(Skills!H9&gt;0,IF(Inputs!$B$39="pvp",MIN(Skills!I9,15),Skills!I9)/Skills!H9,1)</f>
        <v/>
      </c>
      <c r="H742">
        <f>1-(1-Skills!J9/100)^Skills!K9</f>
        <v/>
      </c>
      <c r="I742" t="inlineStr">
        <is>
          <t>1</t>
        </is>
      </c>
      <c r="J742">
        <f>((Inputs!$B$6*(1+Inputs!$B$7/100))+(((Inputs!$B$12*(1+Inputs!$B$13/100))-(Inputs!$B$12*(1+Inputs!$B$13/100)))+0.25*(Inputs!$B$14-Inputs!$B$14))*(1+Inputs!$B$7/100))*(F742/100)</f>
        <v/>
      </c>
      <c r="K742">
        <f>J742*(1+((Inputs!$B$12*(1+Inputs!$B$13/100))*0.01+Inputs!$B$14*0.0025)/100)*(1+Inputs!$B$15/100)*(1+Inputs!$B$16/100)*(5000/(6000+Inputs!$B$43*(1-(100*(1-(1-((1-(1-Inputs!$B$19/100)*(1-1/100))*100)/100)*(1-CHOOSE(ArtifactsInput!$N$40+1,5,6,7,8,9,10)/100)^(ArtifactsInput!$M$40-ArtifactsInput!$M$40)))/100)))*(1+(Inputs!$B$24+((C764=TRUE)*(F764-Calc!F31))+((C751=TRUE)*(F751-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+3.3333333333333335*IF(C752=TRUE,F752,0)/100)*(1+(IF(Skills!A9="CRUEL_STAB",Inputs!$B$17+((C761=TRUE)*(F761-Calc!F28))+((IF(AND(Inputs!$B$39&lt;&gt;"pvp",Inputs!$B$44=0),1,IF(IF(Inputs!$B$39="pvp",15,Inputs!$B$44)-(B778)&lt;=0,1,MAX(0,IF(Inputs!$B$39="pvp",15,Inputs!$B$44)-MAX(5,B778))/(IF(Inputs!$B$39="pvp",15,Inputs!$B$44)-(B778))))*(IF(AND(ArtifactsInput!$M$42,((Inputs!$B$9+((C759=TRUE)*(F759-Calc!F26))+B767+(ArtifactsInput!$M$24-ArtifactsInput!$M$24)*CHOOSE(ArtifactsInput!$N$24+1,10,12,14,16,18,20)+IF(ArtifactsInput!$M$10,CHOOSE(ArtifactsInput!$N$10+1,15,18,21,24,27,30)*(IF(Inputs!$B$39="pvp",MIN(15,15)/15,IF(AND(Inputs!$B$39&lt;&gt;"pvp",Inputs!$B$44&gt;0),MIN(15,Inputs!$B$44)/(Inputs!$B$44),0))),0)))&gt;=100),MIN(100,((Inputs!$B$9+((C759=TRUE)*(F759-Calc!F26))+B767+(ArtifactsInput!$M$24-ArtifactsInput!$M$24)*CHOOSE(ArtifactsInput!$N$24+1,10,12,14,16,18,20)+IF(ArtifactsInput!$M$10,CHOOSE(ArtifactsInput!$N$10+1,15,18,21,24,27,30)*(IF(Inputs!$B$39="pvp",MIN(15,15)/15,IF(AND(Inputs!$B$39&lt;&gt;"pvp",Inputs!$B$44&gt;0),MIN(15,Inputs!$B$44)/(Inputs!$B$44),0))),0)))-100),0))*CHOOSE(ArtifactsInput!$N$42+1,0.6,0.72,0.84,0.96,1.08,1.2))),Inputs!$B$18+((C762=TRUE)*(F762-Calc!F29))+(IF(AND(Inputs!$B$39&lt;&gt;"pvp",Inputs!$B$44=0),1,IF(IF(Inputs!$B$39="pvp",15,Inputs!$B$44)-(B778)&lt;=0,1,MAX(0,IF(Inputs!$B$39="pvp",15,Inputs!$B$44)-MAX(5,B778))/(IF(Inputs!$B$39="pvp",15,Inputs!$B$44)-(B778))))*IF(AND(ArtifactsInput!$M$42,((Inputs!$B$9+((C759=TRUE)*(F759-Calc!F26))+B767+(ArtifactsInput!$M$24-ArtifactsInput!$M$24)*CHOOSE(ArtifactsInput!$N$24+1,10,12,14,16,18,20)+IF(ArtifactsInput!$M$10,CHOOSE(ArtifactsInput!$N$10+1,15,18,21,24,27,30)*(IF(Inputs!$B$39="pvp",MIN(15,15)/15,IF(AND(Inputs!$B$39&lt;&gt;"pvp",Inputs!$B$44&gt;0),MIN(15,Inputs!$B$44)/(Inputs!$B$44),0))),0)))&gt;=100),CHOOSE(ArtifactsInput!$N$42+1,40,48,56,64,72,80),0))))/100)*(((1+(((C755=TRUE)*F755*IF(AND(Inputs!$B$39&lt;&gt;"pvp",Inputs!$B$44&gt;0),(((R755-1)*MIN((Skills!Y22*(1+Inputs!$B$34/100)),(1/Q755))+MIN((Skills!Y22*(1+Inputs!$B$34/100)),MAX(0,Inputs!$B$44-((R755-1)*(1/Q755)))))/Inputs!$B$44),IF(Inputs!$B$39="pvp",MIN((Skills!Y22*(1+Inputs!$B$34/100)),15)/15,MIN(1,(Skills!Y22*(1+Inputs!$B$34/100))/(1/Q755)))))+((C736=TRUE)*F736*3)+((C738=TRUE)*F738*(1-EXP(-0.75*B771*5)))+((C757=TRUE)*(F757-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744=TRUE)*F744*IF(AND(Inputs!$B$39&lt;&gt;"pvp",Inputs!$B$44&gt;0),(((R744-1)*MIN((Skills!Y11*(1+Inputs!$B$34/100)),(1/Q744))+MIN((Skills!Y11*(1+Inputs!$B$34/100)),MAX(0,Inputs!$B$44-((R744-1)*(1/Q744)))))/Inputs!$B$44),IF(Inputs!$B$39="pvp",MIN((Skills!Y11*(1+Inputs!$B$34/100)),15)/15,MIN(1,(Skills!Y11*(1+Inputs!$B$34/100))/(1/Q744)))))/100)*(1+((C749=TRUE)*F749*IF(AND(Inputs!$B$39&lt;&gt;"pvp",Inputs!$B$44&gt;0),(((R749-1)*MIN((Skills!Y16*(1+Inputs!$B$34/100)),(1/Q749))+MIN((Skills!Y16*(1+Inputs!$B$34/100)),MAX(0,Inputs!$B$44-((R749-1)*(1/Q749)))))/Inputs!$B$44),IF(Inputs!$B$39="pvp",MIN((Skills!Y16*(1+Inputs!$B$34/100)),15)/15,MIN(1,(Skills!Y16*(1+Inputs!$B$34/100))/(1/Q749)))))/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769*I742)</f>
        <v/>
      </c>
      <c r="L742">
        <f>K742*(MIN(Inputs!$B$22+((C758=TRUE)*(F758-Calc!F25)),(Inputs!$B$23+((C763=TRUE)*(F763-Calc!F30))+IF(ArtifactsInput!$M$15,CHOOSE(ArtifactsInput!$N$15+1,25,30,35,40,45,50)/100*(Inputs!$B$11-Inputs!$B$11),0)))/100+(Inputs!$B$23+((C763=TRUE)*(F763-Calc!F30))+IF(ArtifactsInput!$M$15,CHOOSE(ArtifactsInput!$N$15+1,25,30,35,40,45,50)/100*(Inputs!$B$11-Inputs!$B$11),0))/100)/2</f>
        <v/>
      </c>
      <c r="M742">
        <f>L742*(1+(Inputs!$B$10+((C760=TRUE)*(F760-Calc!F27))+B774+(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742">
        <f>L742*(1-MIN((Inputs!$B$9+((C759=TRUE)*(F759-Calc!F26))+B767+(ArtifactsInput!$M$24-ArtifactsInput!$M$24)*CHOOSE(ArtifactsInput!$N$24+1,10,12,14,16,18,20)+(IF(AND(Inputs!$B$39&lt;&gt;"pvp",Inputs!$B$44=0),1,IF(IF(Inputs!$B$39="pvp",15,Inputs!$B$44)-(B778)&lt;=0,1,MAX(0,IF(Inputs!$B$39="pvp",15,Inputs!$B$44)-MAX(5,B778))/(IF(Inputs!$B$39="pvp",15,Inputs!$B$44)-(B778))))*IF(AND(ArtifactsInput!$M$42,((Inputs!$B$9+((C759=TRUE)*(F759-Calc!F26))+B767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742*(MIN((Inputs!$B$9+((C759=TRUE)*(F759-Calc!F26))+B767+(ArtifactsInput!$M$24-ArtifactsInput!$M$24)*CHOOSE(ArtifactsInput!$N$24+1,10,12,14,16,18,20)+(IF(AND(Inputs!$B$39&lt;&gt;"pvp",Inputs!$B$44=0),1,IF(IF(Inputs!$B$39="pvp",15,Inputs!$B$44)-(B778)&lt;=0,1,MAX(0,IF(Inputs!$B$39="pvp",15,Inputs!$B$44)-MAX(5,B778))/(IF(Inputs!$B$39="pvp",15,Inputs!$B$44)-(B778))))*IF(AND(ArtifactsInput!$M$42,((Inputs!$B$9+((C759=TRUE)*(F759-Calc!F26))+B767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742">
        <f>(1-Summary!$B$11)*T742+Summary!$B$11*V742</f>
        <v/>
      </c>
      <c r="P742">
        <f>IF(B779=0,0,O742/B779)</f>
        <v/>
      </c>
      <c r="Q742">
        <f>IFERROR(1/IF(Inputs!$B$39="pvp",15,MAX(0.1,Skills!D9-IF(FALSE=TRUE,Inputs!$B$32,0))),0)</f>
        <v/>
      </c>
      <c r="R742">
        <f>IF(AND(Inputs!$B$39&lt;&gt;"pvp",Inputs!$B$44&gt;0),IF(MAX(0,Inputs!$B$44-B778)&lt;=0,0,(INT(MAX(0,Inputs!$B$44-B778)/IF(Inputs!$B$39="pvp",15,MAX(0.1,Skills!D9-IF(FALSE=TRUE,Inputs!$B$32,0))))+1)),0)</f>
        <v/>
      </c>
      <c r="S742">
        <f>IFERROR(O742/N742,0)</f>
        <v/>
      </c>
      <c r="T742">
        <f>IF(C742,(H742*N742*IF(AND(Inputs!$B$39&lt;&gt;"pvp",Inputs!$B$44&gt;0),((Skills!G9*((R742-1)*IF(Skills!H9&gt;0,Skills!I9/Skills!H9,1)+IF(Skills!H9&gt;0,MIN(Skills!I9,MAX(0,MAX(0,Inputs!$B$44-B778)-((R742-1)*IF(Inputs!$B$39="pvp",15,MAX(0.1,Skills!D9-IF(FALSE=TRUE,Inputs!$B$32,0))))))/Skills!H9,1)))/Inputs!$B$44),G742*Q742))*IF(Inputs!$B$39="pvp",1,1+(Inputs!$B$20+0+Skills!P9+B768+(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Hunt"),CHOOSE(ArtifactsInput!$N$35+1,15,18,21,24,27,30)*(1-EXP(-(0.2*B771)*5)),0)+IF(AND(ArtifactsInput!$M$22,Inputs!$B$4&lt;&gt;"Chapter Hunt"),CHOOSE(ArtifactsInput!$N$22+1,10,12,14,16,18,20)*((0*(((0.15*B771*5))^0/1)+1*(((0.15*B771*5))^1/1)+2*(((0.15*B771*5))^2/2)+3*(((0.15*B771*5))^3/6)+4*(((0.15*B771*5))^4/24)+5*(((0.15*B771*5))^5/120))/((((0.15*B771*5))^0/1)+(((0.15*B771*5))^1/1)+(((0.15*B771*5))^2/2)+(((0.15*B771*5))^3/6)+(((0.15*B771*5))^4/24)+(((0.15*B771*5))^5/120))),0)))/100)*((((5000/(6000+Inputs!$B$43*(1-(100*(1-(1-(100*(1-(1-((1-(1-Inputs!$B$19/100)*(1-1/100))*100)/100)*(1-CHOOSE(ArtifactsInput!$N$40+1,5,6,7,8,9,10)/100)^(ArtifactsInput!$M$40-ArtifactsInput!$M$40)))/100)*(1-IF(ArtifactsInput!$M$40,CHOOSE(ArtifactsInput!$N$40+1,5,6,7,8,9,10),0)/100)^IF(Inputs!$B$39="pvp",1,2)))/100)))/(5000/(6000+Inputs!$B$43*(1-(100*(1-(1-((1-(1-Inputs!$B$19/100)*(1-1/100))*100)/100)*(1-CHOOSE(ArtifactsInput!$N$40+1,5,6,7,8,9,10)/100)^(ArtifactsInput!$M$40-ArtifactsInput!$M$40)))/100))))*((L742*(1-MIN(100,(Inputs!$B$9+((C759=TRUE)*(F759-Calc!F26))+B767+(ArtifactsInput!$M$24-ArtifactsInput!$M$24)*CHOOSE(ArtifactsInput!$N$24+1,10,12,14,16,18,20)+(IF(AND(Inputs!$B$39&lt;&gt;"pvp",Inputs!$B$44=0),1,IF(IF(Inputs!$B$39="pvp",15,Inputs!$B$44)-(B778)&lt;=0,1,MAX(0,IF(Inputs!$B$39="pvp",15,Inputs!$B$44)-MAX(5,B778))/(IF(Inputs!$B$39="pvp",15,Inputs!$B$44)-(B778))))*IF(AND(ArtifactsInput!$M$42,((Inputs!$B$9+((C759=TRUE)*(F759-Calc!F26))+B767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742*(MIN(100,(Inputs!$B$9+((C759=TRUE)*(F759-Calc!F26))+B767+(ArtifactsInput!$M$24-ArtifactsInput!$M$24)*CHOOSE(ArtifactsInput!$N$24+1,10,12,14,16,18,20)+(IF(AND(Inputs!$B$39&lt;&gt;"pvp",Inputs!$B$44=0),1,IF(IF(Inputs!$B$39="pvp",15,Inputs!$B$44)-(B778)&lt;=0,1,MAX(0,IF(Inputs!$B$39="pvp",15,Inputs!$B$44)-MAX(5,B778))/(IF(Inputs!$B$39="pvp",15,Inputs!$B$44)-(B778))))*IF(AND(ArtifactsInput!$M$42,((Inputs!$B$9+((C759=TRUE)*(F759-Calc!F26))+B767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742*(1-MIN(100,(Inputs!$B$9+((C759=TRUE)*(F759-Calc!F26))+B767+(ArtifactsInput!$M$24-ArtifactsInput!$M$24)*CHOOSE(ArtifactsInput!$N$24+1,10,12,14,16,18,20)+(IF(AND(Inputs!$B$39&lt;&gt;"pvp",Inputs!$B$44=0),1,IF(IF(Inputs!$B$39="pvp",15,Inputs!$B$44)-(B778)&lt;=0,1,MAX(0,IF(Inputs!$B$39="pvp",15,Inputs!$B$44)-MAX(5,B778))/(IF(Inputs!$B$39="pvp",15,Inputs!$B$44)-(B778))))*IF(AND(ArtifactsInput!$M$42,((Inputs!$B$9+((C759=TRUE)*(F759-Calc!F26))+B767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742*(MIN(100,(Inputs!$B$9+((C759=TRUE)*(F759-Calc!F26))+B767+(ArtifactsInput!$M$24-ArtifactsInput!$M$24)*CHOOSE(ArtifactsInput!$N$24+1,10,12,14,16,18,20)+(IF(AND(Inputs!$B$39&lt;&gt;"pvp",Inputs!$B$44=0),1,IF(IF(Inputs!$B$39="pvp",15,Inputs!$B$44)-(B778)&lt;=0,1,MAX(0,IF(Inputs!$B$39="pvp",15,Inputs!$B$44)-MAX(5,B778))/(IF(Inputs!$B$39="pvp",15,Inputs!$B$44)-(B778))))*IF(AND(ArtifactsInput!$M$42,((Inputs!$B$9+((C759=TRUE)*(F759-Calc!F26))+B767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742">
        <f>IF(C742,(H742*N742*IF(AND(Inputs!$B$39&lt;&gt;"pvp",Inputs!$B$44&gt;0),((Skills!G9*((R742-1)*IF(Skills!H9&gt;0,Skills!I9/Skills!H9,1)+IF(Skills!H9&gt;0,MIN(Skills!I9,MAX(0,MAX(0,Inputs!$B$44-B778)-((R742-1)*IF(Inputs!$B$39="pvp",15,MAX(0.1,Skills!D9-IF(FALSE=TRUE,Inputs!$B$32,0))))))/Skills!H9,1)))/Inputs!$B$44),G742*Q742))*IF(Inputs!$B$39="pvp",1,(1+(Inputs!$B$21+Skills!Q9+B768+(IF(ArtifactsInput!$M$33,CHOOSE(ArtifactsInput!$N$33+1,30,36,42,48,54,60),0))+(IF(AND(ArtifactsInput!$M$35,Inputs!$B$4&lt;&gt;"Chapter Hunt"),CHOOSE(ArtifactsInput!$N$35+1,15,18,21,24,27,30)*(1-EXP(-(0.2*B771)*5)),0)+IF(AND(ArtifactsInput!$M$22,Inputs!$B$4&lt;&gt;"Chapter Hunt"),CHOOSE(ArtifactsInput!$N$22+1,10,12,14,16,18,20)*((0*(((0.15*B771*5))^0/1)+1*(((0.15*B771*5))^1/1)+2*(((0.15*B771*5))^2/2)+3*(((0.15*B771*5))^3/6)+4*(((0.15*B771*5))^4/24)+5*(((0.15*B771*5))^5/120))/((((0.15*B771*5))^0/1)+(((0.15*B771*5))^1/1)+(((0.15*B771*5))^2/2)+(((0.15*B771*5))^3/6)+(((0.15*B771*5))^4/24)+(((0.15*B771*5))^5/120))),0)))/100)*(MIN(Skills!W9,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743">
      <c r="A743">
        <f>Skills!A10</f>
        <v/>
      </c>
      <c r="B743">
        <f>Skills!B10</f>
        <v/>
      </c>
      <c r="C743">
        <f>Inputs!$B$3&gt;=117</f>
        <v/>
      </c>
      <c r="D743">
        <f>IF(Skills!C10=1,60+Inputs!$B$25+Inputs!$B$29,IF(Skills!C10=2,90+Inputs!$B$26+Inputs!$B$29,IF(Skills!C10=3,120+Inputs!$B$27+Inputs!$B$29,MAX(0,(Inputs!$B$3-100)*3)+Inputs!$B$28+Inputs!$B$29)))</f>
        <v/>
      </c>
      <c r="E743">
        <f>INDEX(FactorTable!$B$2:$Y$301, MATCH(ROUND(MIN(300,MAX(1,D743)),0), FactorTable!$A$2:$A$301,0), Skills!M10+1)</f>
        <v/>
      </c>
      <c r="F743">
        <f>IF(Skills!N10=TRUE,(Skills!L10/10)*(E743/1000),Skills!L10/10)+Skills!O10</f>
        <v/>
      </c>
      <c r="G743">
        <f>Skills!G10*IF(Skills!H10&gt;0,IF(Inputs!$B$39="pvp",MIN(Skills!I10,15),Skills!I10)/Skills!H10,1)</f>
        <v/>
      </c>
      <c r="H743">
        <f>1-(1-Skills!J10/100)^Skills!K10</f>
        <v/>
      </c>
      <c r="I743" t="inlineStr">
        <is>
          <t>1</t>
        </is>
      </c>
      <c r="J743">
        <f>((Inputs!$B$6*(1+Inputs!$B$7/100))+(((Inputs!$B$12*(1+Inputs!$B$13/100))-(Inputs!$B$12*(1+Inputs!$B$13/100)))+0.25*(Inputs!$B$14-Inputs!$B$14))*(1+Inputs!$B$7/100))*(F743/100)</f>
        <v/>
      </c>
      <c r="K743">
        <f>J743*(1+((Inputs!$B$12*(1+Inputs!$B$13/100))*0.01+Inputs!$B$14*0.0025)/100)*(1+Inputs!$B$15/100)*(1+Inputs!$B$16/100)*(5000/(6000+Inputs!$B$43*(1-(100*(1-(1-((1-(1-Inputs!$B$19/100)*(1-1/100))*100)/100)*(1-CHOOSE(ArtifactsInput!$N$40+1,5,6,7,8,9,10)/100)^(ArtifactsInput!$M$40-ArtifactsInput!$M$40)))/100)))*(1+(Inputs!$B$24+((C764=TRUE)*(F764-Calc!F31))+((C751=TRUE)*(F751-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10="CRUEL_STAB",Inputs!$B$17+((C761=TRUE)*(F761-Calc!F28))+((IF(AND(Inputs!$B$39&lt;&gt;"pvp",Inputs!$B$44=0),1,IF(IF(Inputs!$B$39="pvp",15,Inputs!$B$44)-(B778)&lt;=0,1,MAX(0,IF(Inputs!$B$39="pvp",15,Inputs!$B$44)-MAX(5,B778))/(IF(Inputs!$B$39="pvp",15,Inputs!$B$44)-(B778))))*(IF(AND(ArtifactsInput!$M$42,((Inputs!$B$9+((C759=TRUE)*(F759-Calc!F26))+B767+(ArtifactsInput!$M$24-ArtifactsInput!$M$24)*CHOOSE(ArtifactsInput!$N$24+1,10,12,14,16,18,20)+IF(ArtifactsInput!$M$10,CHOOSE(ArtifactsInput!$N$10+1,15,18,21,24,27,30)*(IF(Inputs!$B$39="pvp",MIN(15,15)/15,IF(AND(Inputs!$B$39&lt;&gt;"pvp",Inputs!$B$44&gt;0),MIN(15,Inputs!$B$44)/(Inputs!$B$44),0))),0)))&gt;=100),MIN(100,((Inputs!$B$9+((C759=TRUE)*(F759-Calc!F26))+B767+(ArtifactsInput!$M$24-ArtifactsInput!$M$24)*CHOOSE(ArtifactsInput!$N$24+1,10,12,14,16,18,20)+IF(ArtifactsInput!$M$10,CHOOSE(ArtifactsInput!$N$10+1,15,18,21,24,27,30)*(IF(Inputs!$B$39="pvp",MIN(15,15)/15,IF(AND(Inputs!$B$39&lt;&gt;"pvp",Inputs!$B$44&gt;0),MIN(15,Inputs!$B$44)/(Inputs!$B$44),0))),0)))-100),0))*CHOOSE(ArtifactsInput!$N$42+1,0.6,0.72,0.84,0.96,1.08,1.2))),Inputs!$B$18+((C762=TRUE)*(F762-Calc!F29))+(IF(AND(Inputs!$B$39&lt;&gt;"pvp",Inputs!$B$44=0),1,IF(IF(Inputs!$B$39="pvp",15,Inputs!$B$44)-(B778)&lt;=0,1,MAX(0,IF(Inputs!$B$39="pvp",15,Inputs!$B$44)-MAX(5,B778))/(IF(Inputs!$B$39="pvp",15,Inputs!$B$44)-(B778))))*IF(AND(ArtifactsInput!$M$42,((Inputs!$B$9+((C759=TRUE)*(F759-Calc!F26))+B767+(ArtifactsInput!$M$24-ArtifactsInput!$M$24)*CHOOSE(ArtifactsInput!$N$24+1,10,12,14,16,18,20)+IF(ArtifactsInput!$M$10,CHOOSE(ArtifactsInput!$N$10+1,15,18,21,24,27,30)*(IF(Inputs!$B$39="pvp",MIN(15,15)/15,IF(AND(Inputs!$B$39&lt;&gt;"pvp",Inputs!$B$44&gt;0),MIN(15,Inputs!$B$44)/(Inputs!$B$44),0))),0)))&gt;=100),CHOOSE(ArtifactsInput!$N$42+1,40,48,56,64,72,80),0))))/100)*(((1+(((C755=TRUE)*F755*IF(AND(Inputs!$B$39&lt;&gt;"pvp",Inputs!$B$44&gt;0),(((R755-1)*MIN((Skills!Y22*(1+Inputs!$B$34/100)),(1/Q755))+MIN((Skills!Y22*(1+Inputs!$B$34/100)),MAX(0,Inputs!$B$44-((R755-1)*(1/Q755)))))/Inputs!$B$44),IF(Inputs!$B$39="pvp",MIN((Skills!Y22*(1+Inputs!$B$34/100)),15)/15,MIN(1,(Skills!Y22*(1+Inputs!$B$34/100))/(1/Q755)))))+((C736=TRUE)*F736*3)+((C738=TRUE)*F738*(1-EXP(-0.75*B771*5)))+((C757=TRUE)*(F757-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744=TRUE)*F744*IF(AND(Inputs!$B$39&lt;&gt;"pvp",Inputs!$B$44&gt;0),(((R744-1)*MIN((Skills!Y11*(1+Inputs!$B$34/100)),(1/Q744))+MIN((Skills!Y11*(1+Inputs!$B$34/100)),MAX(0,Inputs!$B$44-((R744-1)*(1/Q744)))))/Inputs!$B$44),IF(Inputs!$B$39="pvp",MIN((Skills!Y11*(1+Inputs!$B$34/100)),15)/15,MIN(1,(Skills!Y11*(1+Inputs!$B$34/100))/(1/Q744)))))/100)*(1+((C749=TRUE)*F749*IF(AND(Inputs!$B$39&lt;&gt;"pvp",Inputs!$B$44&gt;0),(((R749-1)*MIN((Skills!Y16*(1+Inputs!$B$34/100)),(1/Q749))+MIN((Skills!Y16*(1+Inputs!$B$34/100)),MAX(0,Inputs!$B$44-((R749-1)*(1/Q749)))))/Inputs!$B$44),IF(Inputs!$B$39="pvp",MIN((Skills!Y16*(1+Inputs!$B$34/100)),15)/15,MIN(1,(Skills!Y16*(1+Inputs!$B$34/100))/(1/Q749)))))/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769*I743)</f>
        <v/>
      </c>
      <c r="L743">
        <f>K743*(MIN(Inputs!$B$22+((C758=TRUE)*(F758-Calc!F25)),(Inputs!$B$23+((C763=TRUE)*(F763-Calc!F30))+IF(ArtifactsInput!$M$15,CHOOSE(ArtifactsInput!$N$15+1,25,30,35,40,45,50)/100*(Inputs!$B$11-Inputs!$B$11),0)))/100+(Inputs!$B$23+((C763=TRUE)*(F763-Calc!F30))+IF(ArtifactsInput!$M$15,CHOOSE(ArtifactsInput!$N$15+1,25,30,35,40,45,50)/100*(Inputs!$B$11-Inputs!$B$11),0))/100)/2</f>
        <v/>
      </c>
      <c r="M743">
        <f>L743*(1+(Inputs!$B$10+((C760=TRUE)*(F760-Calc!F27))+B774+(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743">
        <f>L743*(1-MIN((Inputs!$B$9+((C759=TRUE)*(F759-Calc!F26))+B767+(ArtifactsInput!$M$24-ArtifactsInput!$M$24)*CHOOSE(ArtifactsInput!$N$24+1,10,12,14,16,18,20)+(IF(AND(Inputs!$B$39&lt;&gt;"pvp",Inputs!$B$44=0),1,IF(IF(Inputs!$B$39="pvp",15,Inputs!$B$44)-(B778)&lt;=0,1,MAX(0,IF(Inputs!$B$39="pvp",15,Inputs!$B$44)-MAX(5,B778))/(IF(Inputs!$B$39="pvp",15,Inputs!$B$44)-(B778))))*IF(AND(ArtifactsInput!$M$42,((Inputs!$B$9+((C759=TRUE)*(F759-Calc!F26))+B767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743*(MIN((Inputs!$B$9+((C759=TRUE)*(F759-Calc!F26))+B767+(ArtifactsInput!$M$24-ArtifactsInput!$M$24)*CHOOSE(ArtifactsInput!$N$24+1,10,12,14,16,18,20)+(IF(AND(Inputs!$B$39&lt;&gt;"pvp",Inputs!$B$44=0),1,IF(IF(Inputs!$B$39="pvp",15,Inputs!$B$44)-(B778)&lt;=0,1,MAX(0,IF(Inputs!$B$39="pvp",15,Inputs!$B$44)-MAX(5,B778))/(IF(Inputs!$B$39="pvp",15,Inputs!$B$44)-(B778))))*IF(AND(ArtifactsInput!$M$42,((Inputs!$B$9+((C759=TRUE)*(F759-Calc!F26))+B767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743">
        <f>(1-Summary!$B$11)*T743+Summary!$B$11*V743</f>
        <v/>
      </c>
      <c r="P743">
        <f>IF(B779=0,0,O743/B779)</f>
        <v/>
      </c>
      <c r="Q743" t="n">
        <v>0</v>
      </c>
      <c r="R743" t="n">
        <v>0</v>
      </c>
      <c r="S743" t="n">
        <v>0</v>
      </c>
      <c r="T743">
        <f>IF(C743,(0.2*SUMPRODUCT((Skills!Z2:Z31=TRUE)*(C735:C764=TRUE)*S735:S764)*N743)*IF(Inputs!$B$39="pvp",1,1+(Inputs!$B$20+0+Skills!P10+B768+(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Hunt"),CHOOSE(ArtifactsInput!$N$35+1,15,18,21,24,27,30)*(1-EXP(-(0.2*B771)*5)),0)+IF(AND(ArtifactsInput!$M$22,Inputs!$B$4&lt;&gt;"Chapter Hunt"),CHOOSE(ArtifactsInput!$N$22+1,10,12,14,16,18,20)*((0*(((0.15*B771*5))^0/1)+1*(((0.15*B771*5))^1/1)+2*(((0.15*B771*5))^2/2)+3*(((0.15*B771*5))^3/6)+4*(((0.15*B771*5))^4/24)+5*(((0.15*B771*5))^5/120))/((((0.15*B771*5))^0/1)+(((0.15*B771*5))^1/1)+(((0.15*B771*5))^2/2)+(((0.15*B771*5))^3/6)+(((0.15*B771*5))^4/24)+(((0.15*B771*5))^5/120))),0)))/100)*((((5000/(6000+Inputs!$B$43*(1-(100*(1-(1-(100*(1-(1-((1-(1-Inputs!$B$19/100)*(1-1/100))*100)/100)*(1-CHOOSE(ArtifactsInput!$N$40+1,5,6,7,8,9,10)/100)^(ArtifactsInput!$M$40-ArtifactsInput!$M$40)))/100)*(1-IF(ArtifactsInput!$M$40,CHOOSE(ArtifactsInput!$N$40+1,5,6,7,8,9,10),0)/100)^IF(Inputs!$B$39="pvp",1,2)))/100)))/(5000/(6000+Inputs!$B$43*(1-(100*(1-(1-((1-(1-Inputs!$B$19/100)*(1-1/100))*100)/100)*(1-CHOOSE(ArtifactsInput!$N$40+1,5,6,7,8,9,10)/100)^(ArtifactsInput!$M$40-ArtifactsInput!$M$40)))/100))))*((L743*(1-MIN(100,(Inputs!$B$9+((C759=TRUE)*(F759-Calc!F26))+B767+(ArtifactsInput!$M$24-ArtifactsInput!$M$24)*CHOOSE(ArtifactsInput!$N$24+1,10,12,14,16,18,20)+(IF(AND(Inputs!$B$39&lt;&gt;"pvp",Inputs!$B$44=0),1,IF(IF(Inputs!$B$39="pvp",15,Inputs!$B$44)-(B778)&lt;=0,1,MAX(0,IF(Inputs!$B$39="pvp",15,Inputs!$B$44)-MAX(5,B778))/(IF(Inputs!$B$39="pvp",15,Inputs!$B$44)-(B778))))*IF(AND(ArtifactsInput!$M$42,((Inputs!$B$9+((C759=TRUE)*(F759-Calc!F26))+B767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743*(MIN(100,(Inputs!$B$9+((C759=TRUE)*(F759-Calc!F26))+B767+(ArtifactsInput!$M$24-ArtifactsInput!$M$24)*CHOOSE(ArtifactsInput!$N$24+1,10,12,14,16,18,20)+(IF(AND(Inputs!$B$39&lt;&gt;"pvp",Inputs!$B$44=0),1,IF(IF(Inputs!$B$39="pvp",15,Inputs!$B$44)-(B778)&lt;=0,1,MAX(0,IF(Inputs!$B$39="pvp",15,Inputs!$B$44)-MAX(5,B778))/(IF(Inputs!$B$39="pvp",15,Inputs!$B$44)-(B778))))*IF(AND(ArtifactsInput!$M$42,((Inputs!$B$9+((C759=TRUE)*(F759-Calc!F26))+B767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743*(1-MIN(100,(Inputs!$B$9+((C759=TRUE)*(F759-Calc!F26))+B767+(ArtifactsInput!$M$24-ArtifactsInput!$M$24)*CHOOSE(ArtifactsInput!$N$24+1,10,12,14,16,18,20)+(IF(AND(Inputs!$B$39&lt;&gt;"pvp",Inputs!$B$44=0),1,IF(IF(Inputs!$B$39="pvp",15,Inputs!$B$44)-(B778)&lt;=0,1,MAX(0,IF(Inputs!$B$39="pvp",15,Inputs!$B$44)-MAX(5,B778))/(IF(Inputs!$B$39="pvp",15,Inputs!$B$44)-(B778))))*IF(AND(ArtifactsInput!$M$42,((Inputs!$B$9+((C759=TRUE)*(F759-Calc!F26))+B767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743*(MIN(100,(Inputs!$B$9+((C759=TRUE)*(F759-Calc!F26))+B767+(ArtifactsInput!$M$24-ArtifactsInput!$M$24)*CHOOSE(ArtifactsInput!$N$24+1,10,12,14,16,18,20)+(IF(AND(Inputs!$B$39&lt;&gt;"pvp",Inputs!$B$44=0),1,IF(IF(Inputs!$B$39="pvp",15,Inputs!$B$44)-(B778)&lt;=0,1,MAX(0,IF(Inputs!$B$39="pvp",15,Inputs!$B$44)-MAX(5,B778))/(IF(Inputs!$B$39="pvp",15,Inputs!$B$44)-(B778))))*IF(AND(ArtifactsInput!$M$42,((Inputs!$B$9+((C759=TRUE)*(F759-Calc!F26))+B767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743">
        <f>IF(C743,(0.2*SUMPRODUCT((Skills!Z2:Z31=TRUE)*(C735:C764=TRUE)*S735:S764)*N743)*IF(Inputs!$B$39="pvp",1,(1+(Inputs!$B$21+Skills!Q10+B768+(IF(ArtifactsInput!$M$33,CHOOSE(ArtifactsInput!$N$33+1,30,36,42,48,54,60),0))+(IF(AND(ArtifactsInput!$M$35,Inputs!$B$4&lt;&gt;"Chapter Hunt"),CHOOSE(ArtifactsInput!$N$35+1,15,18,21,24,27,30)*(1-EXP(-(0.2*B771)*5)),0)+IF(AND(ArtifactsInput!$M$22,Inputs!$B$4&lt;&gt;"Chapter Hunt"),CHOOSE(ArtifactsInput!$N$22+1,10,12,14,16,18,20)*((0*(((0.15*B771*5))^0/1)+1*(((0.15*B771*5))^1/1)+2*(((0.15*B771*5))^2/2)+3*(((0.15*B771*5))^3/6)+4*(((0.15*B771*5))^4/24)+5*(((0.15*B771*5))^5/120))/((((0.15*B771*5))^0/1)+(((0.15*B771*5))^1/1)+(((0.15*B771*5))^2/2)+(((0.15*B771*5))^3/6)+(((0.15*B771*5))^4/24)+(((0.15*B771*5))^5/120))),0)))/100)*(MIN(Skills!W10,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744">
      <c r="A744">
        <f>Skills!A11</f>
        <v/>
      </c>
      <c r="B744">
        <f>Skills!B11</f>
        <v/>
      </c>
      <c r="C744">
        <f>Inputs!$B$3&gt;=74</f>
        <v/>
      </c>
      <c r="D744">
        <f>IF(Skills!C11=1,60+Inputs!$B$25+Inputs!$B$29,IF(Skills!C11=2,90+Inputs!$B$26+Inputs!$B$29,IF(Skills!C11=3,120+Inputs!$B$27+Inputs!$B$29,MAX(0,(Inputs!$B$3-100)*3)+Inputs!$B$28+Inputs!$B$29)))</f>
        <v/>
      </c>
      <c r="E744">
        <f>INDEX(FactorTable!$B$2:$Y$301, MATCH(ROUND(MIN(300,MAX(1,D744)),0), FactorTable!$A$2:$A$301,0), Skills!M11+1)</f>
        <v/>
      </c>
      <c r="F744">
        <f>IF(Skills!N11=TRUE,(Skills!L11/10)*(E744/1000),Skills!L11/10)+Skills!O11</f>
        <v/>
      </c>
      <c r="G744">
        <f>Skills!G11*IF(Skills!H11&gt;0,IF(Inputs!$B$39="pvp",MIN(Skills!I11,15),Skills!I11)/Skills!H11,1)</f>
        <v/>
      </c>
      <c r="H744">
        <f>1-(1-Skills!J11/100)^Skills!K11</f>
        <v/>
      </c>
      <c r="I744" t="inlineStr">
        <is>
          <t>1</t>
        </is>
      </c>
      <c r="J744" t="inlineStr"/>
      <c r="K744" t="inlineStr"/>
      <c r="L744" t="inlineStr"/>
      <c r="M744" t="inlineStr"/>
      <c r="N744" t="inlineStr"/>
      <c r="O744">
        <f>(1-Summary!$B$11)*T744+Summary!$B$11*V744</f>
        <v/>
      </c>
      <c r="P744">
        <f>IF(B779=0,0,O744/B779)</f>
        <v/>
      </c>
      <c r="Q744">
        <f>IFERROR(1/IF(Inputs!$B$39="pvp",15,MAX(0.1,Skills!D11-IF(TRUE=TRUE,Inputs!$B$32,0))),0)</f>
        <v/>
      </c>
      <c r="R744">
        <f>IF(AND(Inputs!$B$39&lt;&gt;"pvp",Inputs!$B$44&gt;0),IF(Inputs!$B$44&lt;=0,0,(INT(Inputs!$B$44/IF(Inputs!$B$39="pvp",15,MAX(0.1,Skills!D11-IF(TRUE=TRUE,Inputs!$B$32,0))))+1)),0)</f>
        <v/>
      </c>
      <c r="S744">
        <f>IFERROR(O744/N744,0)</f>
        <v/>
      </c>
      <c r="T744" t="n">
        <v>0</v>
      </c>
      <c r="V744" t="n">
        <v>0</v>
      </c>
    </row>
    <row r="745">
      <c r="A745">
        <f>Skills!A12</f>
        <v/>
      </c>
      <c r="B745">
        <f>Skills!B12</f>
        <v/>
      </c>
      <c r="C745">
        <f>Inputs!$B$3&gt;=103</f>
        <v/>
      </c>
      <c r="D745">
        <f>IF(Skills!C12=1,60+Inputs!$B$25+Inputs!$B$29,IF(Skills!C12=2,90+Inputs!$B$26+Inputs!$B$29,IF(Skills!C12=3,120+Inputs!$B$27+Inputs!$B$29,MAX(0,(Inputs!$B$3-100)*3)+Inputs!$B$28+Inputs!$B$29)))</f>
        <v/>
      </c>
      <c r="E745">
        <f>INDEX(FactorTable!$B$2:$Y$301, MATCH(ROUND(MIN(300,MAX(1,D745)),0), FactorTable!$A$2:$A$301,0), Skills!M12+1)</f>
        <v/>
      </c>
      <c r="F745">
        <f>(Skills!L12/10)*(E745/1000)+IF(Inputs!$B$3&gt;=134,50,0)+0.5*(30000/10)*(INDEX(FactorTable!$B$2:$Y$301, MATCH(ROUND(MIN(300,MAX(1,D745)),0), FactorTable!$A$2:$A$301,0), 13)/1000)*B777</f>
        <v/>
      </c>
      <c r="G745">
        <f>Skills!G12*IF(Skills!H12&gt;0,IF(Inputs!$B$39="pvp",MIN(Skills!I12,15),Skills!I12)/Skills!H12,1)</f>
        <v/>
      </c>
      <c r="H745">
        <f>1-(1-Skills!J12/100)^Skills!K12</f>
        <v/>
      </c>
      <c r="I745" t="inlineStr">
        <is>
          <t>1</t>
        </is>
      </c>
      <c r="J745">
        <f>((Inputs!$B$6*(1+Inputs!$B$7/100))+(((Inputs!$B$12*(1+Inputs!$B$13/100))-(Inputs!$B$12*(1+Inputs!$B$13/100)))+0.25*(Inputs!$B$14-Inputs!$B$14))*(1+Inputs!$B$7/100))*(F745/100)</f>
        <v/>
      </c>
      <c r="K745">
        <f>J745*(1+((Inputs!$B$12*(1+Inputs!$B$13/100))*0.01+Inputs!$B$14*0.0025)/100)*(1+Inputs!$B$15/100)*(1+Inputs!$B$16/100)*(5000/(6000+Inputs!$B$43*(1-(100*(1-(1-((1-(1-Inputs!$B$19/100)*(1-1/100))*100)/100)*(1-CHOOSE(ArtifactsInput!$N$40+1,5,6,7,8,9,10)/100)^(ArtifactsInput!$M$40-ArtifactsInput!$M$40)))/100)))*(1+(Inputs!$B$24+((C764=TRUE)*(F764-Calc!F31))+((C751=TRUE)*(F751-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12="CRUEL_STAB",Inputs!$B$17+((C761=TRUE)*(F761-Calc!F28))+((IF(AND(Inputs!$B$39&lt;&gt;"pvp",Inputs!$B$44=0),1,IF(IF(Inputs!$B$39="pvp",15,Inputs!$B$44)-(B778)&lt;=0,1,MAX(0,IF(Inputs!$B$39="pvp",15,Inputs!$B$44)-MAX(5,B778))/(IF(Inputs!$B$39="pvp",15,Inputs!$B$44)-(B778))))*(IF(AND(ArtifactsInput!$M$42,((Inputs!$B$9+((C759=TRUE)*(F759-Calc!F26))+B767+(ArtifactsInput!$M$24-ArtifactsInput!$M$24)*CHOOSE(ArtifactsInput!$N$24+1,10,12,14,16,18,20)+IF(ArtifactsInput!$M$10,CHOOSE(ArtifactsInput!$N$10+1,15,18,21,24,27,30)*(IF(Inputs!$B$39="pvp",MIN(15,15)/15,IF(AND(Inputs!$B$39&lt;&gt;"pvp",Inputs!$B$44&gt;0),MIN(15,Inputs!$B$44)/(Inputs!$B$44),0))),0)))&gt;=100),MIN(100,((Inputs!$B$9+((C759=TRUE)*(F759-Calc!F26))+B767+(ArtifactsInput!$M$24-ArtifactsInput!$M$24)*CHOOSE(ArtifactsInput!$N$24+1,10,12,14,16,18,20)+IF(ArtifactsInput!$M$10,CHOOSE(ArtifactsInput!$N$10+1,15,18,21,24,27,30)*(IF(Inputs!$B$39="pvp",MIN(15,15)/15,IF(AND(Inputs!$B$39&lt;&gt;"pvp",Inputs!$B$44&gt;0),MIN(15,Inputs!$B$44)/(Inputs!$B$44),0))),0)))-100),0))*CHOOSE(ArtifactsInput!$N$42+1,0.6,0.72,0.84,0.96,1.08,1.2))),Inputs!$B$18+((C762=TRUE)*(F762-Calc!F29))+(IF(AND(Inputs!$B$39&lt;&gt;"pvp",Inputs!$B$44=0),1,IF(IF(Inputs!$B$39="pvp",15,Inputs!$B$44)-(B778)&lt;=0,1,MAX(0,IF(Inputs!$B$39="pvp",15,Inputs!$B$44)-MAX(5,B778))/(IF(Inputs!$B$39="pvp",15,Inputs!$B$44)-(B778))))*IF(AND(ArtifactsInput!$M$42,((Inputs!$B$9+((C759=TRUE)*(F759-Calc!F26))+B767+(ArtifactsInput!$M$24-ArtifactsInput!$M$24)*CHOOSE(ArtifactsInput!$N$24+1,10,12,14,16,18,20)+IF(ArtifactsInput!$M$10,CHOOSE(ArtifactsInput!$N$10+1,15,18,21,24,27,30)*(IF(Inputs!$B$39="pvp",MIN(15,15)/15,IF(AND(Inputs!$B$39&lt;&gt;"pvp",Inputs!$B$44&gt;0),MIN(15,Inputs!$B$44)/(Inputs!$B$44),0))),0)))&gt;=100),CHOOSE(ArtifactsInput!$N$42+1,40,48,56,64,72,80),0))))/100)*(((1+(((C755=TRUE)*F755*IF(AND(Inputs!$B$39&lt;&gt;"pvp",Inputs!$B$44&gt;0),(((R755-1)*MIN((Skills!Y22*(1+Inputs!$B$34/100)),(1/Q755))+MIN((Skills!Y22*(1+Inputs!$B$34/100)),MAX(0,Inputs!$B$44-((R755-1)*(1/Q755)))))/Inputs!$B$44),IF(Inputs!$B$39="pvp",MIN((Skills!Y22*(1+Inputs!$B$34/100)),15)/15,MIN(1,(Skills!Y22*(1+Inputs!$B$34/100))/(1/Q755)))))+((C736=TRUE)*F736*3)+((C738=TRUE)*F738*(1-EXP(-0.75*B771*5)))+((C757=TRUE)*(F757-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744=TRUE)*F744*IF(AND(Inputs!$B$39&lt;&gt;"pvp",Inputs!$B$44&gt;0),(((R744-1)*MIN((Skills!Y11*(1+Inputs!$B$34/100)),(1/Q744))+MIN((Skills!Y11*(1+Inputs!$B$34/100)),MAX(0,Inputs!$B$44-((R744-1)*(1/Q744)))))/Inputs!$B$44),IF(Inputs!$B$39="pvp",MIN((Skills!Y11*(1+Inputs!$B$34/100)),15)/15,MIN(1,(Skills!Y11*(1+Inputs!$B$34/100))/(1/Q744)))))/100)*(1+((C749=TRUE)*F749*IF(AND(Inputs!$B$39&lt;&gt;"pvp",Inputs!$B$44&gt;0),(((R749-1)*MIN((Skills!Y16*(1+Inputs!$B$34/100)),(1/Q749))+MIN((Skills!Y16*(1+Inputs!$B$34/100)),MAX(0,Inputs!$B$44-((R749-1)*(1/Q749)))))/Inputs!$B$44),IF(Inputs!$B$39="pvp",MIN((Skills!Y16*(1+Inputs!$B$34/100)),15)/15,MIN(1,(Skills!Y16*(1+Inputs!$B$34/100))/(1/Q749)))))/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769*I745)</f>
        <v/>
      </c>
      <c r="L745">
        <f>K745*(MIN(Inputs!$B$22+((C758=TRUE)*(F758-Calc!F25)),(Inputs!$B$23+((C763=TRUE)*(F763-Calc!F30))+IF(ArtifactsInput!$M$15,CHOOSE(ArtifactsInput!$N$15+1,25,30,35,40,45,50)/100*(Inputs!$B$11-Inputs!$B$11),0)))/100+(Inputs!$B$23+((C763=TRUE)*(F763-Calc!F30))+IF(ArtifactsInput!$M$15,CHOOSE(ArtifactsInput!$N$15+1,25,30,35,40,45,50)/100*(Inputs!$B$11-Inputs!$B$11),0))/100)/2</f>
        <v/>
      </c>
      <c r="M745">
        <f>L745*(1+(Inputs!$B$10+((C760=TRUE)*(F760-Calc!F27))+B774+(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745">
        <f>L745*(1-MIN((Inputs!$B$9+((C759=TRUE)*(F759-Calc!F26))+B767+(ArtifactsInput!$M$24-ArtifactsInput!$M$24)*CHOOSE(ArtifactsInput!$N$24+1,10,12,14,16,18,20)+(IF(AND(Inputs!$B$39&lt;&gt;"pvp",Inputs!$B$44=0),1,IF(IF(Inputs!$B$39="pvp",15,Inputs!$B$44)-(B778)&lt;=0,1,MAX(0,IF(Inputs!$B$39="pvp",15,Inputs!$B$44)-MAX(5,B778))/(IF(Inputs!$B$39="pvp",15,Inputs!$B$44)-(B778))))*IF(AND(ArtifactsInput!$M$42,((Inputs!$B$9+((C759=TRUE)*(F759-Calc!F26))+B767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745*(MIN((Inputs!$B$9+((C759=TRUE)*(F759-Calc!F26))+B767+(ArtifactsInput!$M$24-ArtifactsInput!$M$24)*CHOOSE(ArtifactsInput!$N$24+1,10,12,14,16,18,20)+(IF(AND(Inputs!$B$39&lt;&gt;"pvp",Inputs!$B$44=0),1,IF(IF(Inputs!$B$39="pvp",15,Inputs!$B$44)-(B778)&lt;=0,1,MAX(0,IF(Inputs!$B$39="pvp",15,Inputs!$B$44)-MAX(5,B778))/(IF(Inputs!$B$39="pvp",15,Inputs!$B$44)-(B778))))*IF(AND(ArtifactsInput!$M$42,((Inputs!$B$9+((C759=TRUE)*(F759-Calc!F26))+B767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745">
        <f>(1-Summary!$B$11)*T745+Summary!$B$11*V745</f>
        <v/>
      </c>
      <c r="P745">
        <f>IF(B779=0,0,O745/B779)</f>
        <v/>
      </c>
      <c r="Q745">
        <f>IFERROR(1/IF(Inputs!$B$39="pvp",15,MAX(0.1,Skills!D12-IF(TRUE=TRUE,Inputs!$B$32,0))),0)</f>
        <v/>
      </c>
      <c r="R745">
        <f>IF(AND(Inputs!$B$39&lt;&gt;"pvp",Inputs!$B$44&gt;0),IF(MAX(0,Inputs!$B$44-B778)&lt;=0,0,(INT(MAX(0,Inputs!$B$44-B778)/IF(Inputs!$B$39="pvp",15,MAX(0.1,Skills!D12-IF(TRUE=TRUE,Inputs!$B$32,0))))+1)),0)</f>
        <v/>
      </c>
      <c r="S745">
        <f>IFERROR(O745/N745,0)</f>
        <v/>
      </c>
      <c r="T745">
        <f>IF(C745,(H745*N745*IF(AND(Inputs!$B$39&lt;&gt;"pvp",Inputs!$B$44&gt;0),((Skills!G12*((R745-1)*IF(Skills!H12&gt;0,Skills!I12/Skills!H12,1)+IF(Skills!H12&gt;0,MIN(Skills!I12,MAX(0,MAX(0,Inputs!$B$44-B778)-((R745-1)*IF(Inputs!$B$39="pvp",15,MAX(0.1,Skills!D12-IF(TRUE=TRUE,Inputs!$B$32,0))))))/Skills!H12,1)))/Inputs!$B$44),G745*Q745))*IF(Inputs!$B$39="pvp",1,1+(Inputs!$B$20+0+Skills!P12+B768+(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Hunt"),CHOOSE(ArtifactsInput!$N$35+1,15,18,21,24,27,30)*(1-EXP(-(0.2*B771)*5)),0)+IF(AND(ArtifactsInput!$M$22,Inputs!$B$4&lt;&gt;"Chapter Hunt"),CHOOSE(ArtifactsInput!$N$22+1,10,12,14,16,18,20)*((0*(((0.15*B771*5))^0/1)+1*(((0.15*B771*5))^1/1)+2*(((0.15*B771*5))^2/2)+3*(((0.15*B771*5))^3/6)+4*(((0.15*B771*5))^4/24)+5*(((0.15*B771*5))^5/120))/((((0.15*B771*5))^0/1)+(((0.15*B771*5))^1/1)+(((0.15*B771*5))^2/2)+(((0.15*B771*5))^3/6)+(((0.15*B771*5))^4/24)+(((0.15*B771*5))^5/120))),0)))/100)*((((5000/(6000+Inputs!$B$43*(1-(100*(1-(1-(100*(1-(1-((1-(1-Inputs!$B$19/100)*(1-1/100))*100)/100)*(1-CHOOSE(ArtifactsInput!$N$40+1,5,6,7,8,9,10)/100)^(ArtifactsInput!$M$40-ArtifactsInput!$M$40)))/100)*(1-IF(ArtifactsInput!$M$40,CHOOSE(ArtifactsInput!$N$40+1,5,6,7,8,9,10),0)/100)^IF(Inputs!$B$39="pvp",1,2)))/100)))/(5000/(6000+Inputs!$B$43*(1-(100*(1-(1-((1-(1-Inputs!$B$19/100)*(1-1/100))*100)/100)*(1-CHOOSE(ArtifactsInput!$N$40+1,5,6,7,8,9,10)/100)^(ArtifactsInput!$M$40-ArtifactsInput!$M$40)))/100))))*((L745*(1-MIN(100,(Inputs!$B$9+((C759=TRUE)*(F759-Calc!F26))+B767+(ArtifactsInput!$M$24-ArtifactsInput!$M$24)*CHOOSE(ArtifactsInput!$N$24+1,10,12,14,16,18,20)+(IF(AND(Inputs!$B$39&lt;&gt;"pvp",Inputs!$B$44=0),1,IF(IF(Inputs!$B$39="pvp",15,Inputs!$B$44)-(B778)&lt;=0,1,MAX(0,IF(Inputs!$B$39="pvp",15,Inputs!$B$44)-MAX(5,B778))/(IF(Inputs!$B$39="pvp",15,Inputs!$B$44)-(B778))))*IF(AND(ArtifactsInput!$M$42,((Inputs!$B$9+((C759=TRUE)*(F759-Calc!F26))+B767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745*(MIN(100,(Inputs!$B$9+((C759=TRUE)*(F759-Calc!F26))+B767+(ArtifactsInput!$M$24-ArtifactsInput!$M$24)*CHOOSE(ArtifactsInput!$N$24+1,10,12,14,16,18,20)+(IF(AND(Inputs!$B$39&lt;&gt;"pvp",Inputs!$B$44=0),1,IF(IF(Inputs!$B$39="pvp",15,Inputs!$B$44)-(B778)&lt;=0,1,MAX(0,IF(Inputs!$B$39="pvp",15,Inputs!$B$44)-MAX(5,B778))/(IF(Inputs!$B$39="pvp",15,Inputs!$B$44)-(B778))))*IF(AND(ArtifactsInput!$M$42,((Inputs!$B$9+((C759=TRUE)*(F759-Calc!F26))+B767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745*(1-MIN(100,(Inputs!$B$9+((C759=TRUE)*(F759-Calc!F26))+B767+(ArtifactsInput!$M$24-ArtifactsInput!$M$24)*CHOOSE(ArtifactsInput!$N$24+1,10,12,14,16,18,20)+(IF(AND(Inputs!$B$39&lt;&gt;"pvp",Inputs!$B$44=0),1,IF(IF(Inputs!$B$39="pvp",15,Inputs!$B$44)-(B778)&lt;=0,1,MAX(0,IF(Inputs!$B$39="pvp",15,Inputs!$B$44)-MAX(5,B778))/(IF(Inputs!$B$39="pvp",15,Inputs!$B$44)-(B778))))*IF(AND(ArtifactsInput!$M$42,((Inputs!$B$9+((C759=TRUE)*(F759-Calc!F26))+B767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745*(MIN(100,(Inputs!$B$9+((C759=TRUE)*(F759-Calc!F26))+B767+(ArtifactsInput!$M$24-ArtifactsInput!$M$24)*CHOOSE(ArtifactsInput!$N$24+1,10,12,14,16,18,20)+(IF(AND(Inputs!$B$39&lt;&gt;"pvp",Inputs!$B$44=0),1,IF(IF(Inputs!$B$39="pvp",15,Inputs!$B$44)-(B778)&lt;=0,1,MAX(0,IF(Inputs!$B$39="pvp",15,Inputs!$B$44)-MAX(5,B778))/(IF(Inputs!$B$39="pvp",15,Inputs!$B$44)-(B778))))*IF(AND(ArtifactsInput!$M$42,((Inputs!$B$9+((C759=TRUE)*(F759-Calc!F26))+B767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745">
        <f>IF(C745,(H745*N745*IF(AND(Inputs!$B$39&lt;&gt;"pvp",Inputs!$B$44&gt;0),((Skills!G12*((R745-1)*IF(Skills!H12&gt;0,Skills!I12/Skills!H12,1)+IF(Skills!H12&gt;0,MIN(Skills!I12,MAX(0,MAX(0,Inputs!$B$44-B778)-((R745-1)*IF(Inputs!$B$39="pvp",15,MAX(0.1,Skills!D12-IF(TRUE=TRUE,Inputs!$B$32,0))))))/Skills!H12,1)))/Inputs!$B$44),G745*Q745))*IF(Inputs!$B$39="pvp",1,(1+(Inputs!$B$21+Skills!Q12+B768+(IF(ArtifactsInput!$M$33,CHOOSE(ArtifactsInput!$N$33+1,30,36,42,48,54,60),0))+(IF(AND(ArtifactsInput!$M$35,Inputs!$B$4&lt;&gt;"Chapter Hunt"),CHOOSE(ArtifactsInput!$N$35+1,15,18,21,24,27,30)*(1-EXP(-(0.2*B771)*5)),0)+IF(AND(ArtifactsInput!$M$22,Inputs!$B$4&lt;&gt;"Chapter Hunt"),CHOOSE(ArtifactsInput!$N$22+1,10,12,14,16,18,20)*((0*(((0.15*B771*5))^0/1)+1*(((0.15*B771*5))^1/1)+2*(((0.15*B771*5))^2/2)+3*(((0.15*B771*5))^3/6)+4*(((0.15*B771*5))^4/24)+5*(((0.15*B771*5))^5/120))/((((0.15*B771*5))^0/1)+(((0.15*B771*5))^1/1)+(((0.15*B771*5))^2/2)+(((0.15*B771*5))^3/6)+(((0.15*B771*5))^4/24)+(((0.15*B771*5))^5/120))),0)))/100)*(MIN(Skills!W12,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746">
      <c r="A746">
        <f>Skills!A13</f>
        <v/>
      </c>
      <c r="B746">
        <f>Skills!B13</f>
        <v/>
      </c>
      <c r="C746">
        <f>Inputs!$B$3&gt;=105</f>
        <v/>
      </c>
      <c r="D746">
        <f>IF(Skills!C13=1,60+Inputs!$B$25+Inputs!$B$29,IF(Skills!C13=2,90+Inputs!$B$26+Inputs!$B$29,IF(Skills!C13=3,120+Inputs!$B$27+Inputs!$B$29,MAX(0,(Inputs!$B$3-100)*3)+Inputs!$B$28+Inputs!$B$29)))</f>
        <v/>
      </c>
      <c r="E746">
        <f>INDEX(FactorTable!$B$2:$Y$301, MATCH(ROUND(MIN(300,MAX(1,D746)),0), FactorTable!$A$2:$A$301,0), Skills!M13+1)</f>
        <v/>
      </c>
      <c r="F746">
        <f>IF(Skills!N13=TRUE,(Skills!L13/10)*(E746/1000),Skills!L13/10)+Skills!O13</f>
        <v/>
      </c>
      <c r="G746">
        <f>Skills!G13*IF(Skills!H13&gt;0,IF(Inputs!$B$39="pvp",MIN(Skills!I13,15),Skills!I13)/Skills!H13,1)</f>
        <v/>
      </c>
      <c r="H746">
        <f>1-(1-Skills!J13/100)^Skills!K13</f>
        <v/>
      </c>
      <c r="I746" t="inlineStr">
        <is>
          <t>1</t>
        </is>
      </c>
      <c r="J746">
        <f>((Inputs!$B$6*(1+Inputs!$B$7/100))+(((Inputs!$B$12*(1+Inputs!$B$13/100))-(Inputs!$B$12*(1+Inputs!$B$13/100)))+0.25*(Inputs!$B$14-Inputs!$B$14))*(1+Inputs!$B$7/100))*(F746/100)</f>
        <v/>
      </c>
      <c r="K746">
        <f>J746*(1+((Inputs!$B$12*(1+Inputs!$B$13/100))*0.01+Inputs!$B$14*0.0025)/100)*(1+Inputs!$B$15/100)*(1+Inputs!$B$16/100)*(5000/(6000+Inputs!$B$43*(1-(100*(1-(1-((1-(1-Inputs!$B$19/100)*(1-1/100))*100)/100)*(1-CHOOSE(ArtifactsInput!$N$40+1,5,6,7,8,9,10)/100)^(ArtifactsInput!$M$40-ArtifactsInput!$M$40)))/100)))*(1+(Inputs!$B$24+((C764=TRUE)*(F764-Calc!F31))+((C751=TRUE)*(F751-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13="CRUEL_STAB",Inputs!$B$17+((C761=TRUE)*(F761-Calc!F28))+((IF(AND(Inputs!$B$39&lt;&gt;"pvp",Inputs!$B$44=0),1,IF(IF(Inputs!$B$39="pvp",15,Inputs!$B$44)-(B778)&lt;=0,1,MAX(0,IF(Inputs!$B$39="pvp",15,Inputs!$B$44)-MAX(5,B778))/(IF(Inputs!$B$39="pvp",15,Inputs!$B$44)-(B778))))*(IF(AND(ArtifactsInput!$M$42,((Inputs!$B$9+((C759=TRUE)*(F759-Calc!F26))+B767+(ArtifactsInput!$M$24-ArtifactsInput!$M$24)*CHOOSE(ArtifactsInput!$N$24+1,10,12,14,16,18,20)+IF(ArtifactsInput!$M$10,CHOOSE(ArtifactsInput!$N$10+1,15,18,21,24,27,30)*(IF(Inputs!$B$39="pvp",MIN(15,15)/15,IF(AND(Inputs!$B$39&lt;&gt;"pvp",Inputs!$B$44&gt;0),MIN(15,Inputs!$B$44)/(Inputs!$B$44),0))),0)))&gt;=100),MIN(100,((Inputs!$B$9+((C759=TRUE)*(F759-Calc!F26))+B767+(ArtifactsInput!$M$24-ArtifactsInput!$M$24)*CHOOSE(ArtifactsInput!$N$24+1,10,12,14,16,18,20)+IF(ArtifactsInput!$M$10,CHOOSE(ArtifactsInput!$N$10+1,15,18,21,24,27,30)*(IF(Inputs!$B$39="pvp",MIN(15,15)/15,IF(AND(Inputs!$B$39&lt;&gt;"pvp",Inputs!$B$44&gt;0),MIN(15,Inputs!$B$44)/(Inputs!$B$44),0))),0)))-100),0))*CHOOSE(ArtifactsInput!$N$42+1,0.6,0.72,0.84,0.96,1.08,1.2))),Inputs!$B$18+((C762=TRUE)*(F762-Calc!F29))+(IF(AND(Inputs!$B$39&lt;&gt;"pvp",Inputs!$B$44=0),1,IF(IF(Inputs!$B$39="pvp",15,Inputs!$B$44)-(B778)&lt;=0,1,MAX(0,IF(Inputs!$B$39="pvp",15,Inputs!$B$44)-MAX(5,B778))/(IF(Inputs!$B$39="pvp",15,Inputs!$B$44)-(B778))))*IF(AND(ArtifactsInput!$M$42,((Inputs!$B$9+((C759=TRUE)*(F759-Calc!F26))+B767+(ArtifactsInput!$M$24-ArtifactsInput!$M$24)*CHOOSE(ArtifactsInput!$N$24+1,10,12,14,16,18,20)+IF(ArtifactsInput!$M$10,CHOOSE(ArtifactsInput!$N$10+1,15,18,21,24,27,30)*(IF(Inputs!$B$39="pvp",MIN(15,15)/15,IF(AND(Inputs!$B$39&lt;&gt;"pvp",Inputs!$B$44&gt;0),MIN(15,Inputs!$B$44)/(Inputs!$B$44),0))),0)))&gt;=100),CHOOSE(ArtifactsInput!$N$42+1,40,48,56,64,72,80),0))))/100)*(((1+(((C755=TRUE)*F755*IF(AND(Inputs!$B$39&lt;&gt;"pvp",Inputs!$B$44&gt;0),(((R755-1)*MIN((Skills!Y22*(1+Inputs!$B$34/100)),(1/Q755))+MIN((Skills!Y22*(1+Inputs!$B$34/100)),MAX(0,Inputs!$B$44-((R755-1)*(1/Q755)))))/Inputs!$B$44),IF(Inputs!$B$39="pvp",MIN((Skills!Y22*(1+Inputs!$B$34/100)),15)/15,MIN(1,(Skills!Y22*(1+Inputs!$B$34/100))/(1/Q755)))))+((C736=TRUE)*F736*3)+((C738=TRUE)*F738*(1-EXP(-0.75*B771*5)))+((C757=TRUE)*(F757-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744=TRUE)*F744*IF(AND(Inputs!$B$39&lt;&gt;"pvp",Inputs!$B$44&gt;0),(((R744-1)*MIN((Skills!Y11*(1+Inputs!$B$34/100)),(1/Q744))+MIN((Skills!Y11*(1+Inputs!$B$34/100)),MAX(0,Inputs!$B$44-((R744-1)*(1/Q744)))))/Inputs!$B$44),IF(Inputs!$B$39="pvp",MIN((Skills!Y11*(1+Inputs!$B$34/100)),15)/15,MIN(1,(Skills!Y11*(1+Inputs!$B$34/100))/(1/Q744)))))/100)*(1+((C749=TRUE)*F749*IF(AND(Inputs!$B$39&lt;&gt;"pvp",Inputs!$B$44&gt;0),(((R749-1)*MIN((Skills!Y16*(1+Inputs!$B$34/100)),(1/Q749))+MIN((Skills!Y16*(1+Inputs!$B$34/100)),MAX(0,Inputs!$B$44-((R749-1)*(1/Q749)))))/Inputs!$B$44),IF(Inputs!$B$39="pvp",MIN((Skills!Y16*(1+Inputs!$B$34/100)),15)/15,MIN(1,(Skills!Y16*(1+Inputs!$B$34/100))/(1/Q749)))))/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769*I746)</f>
        <v/>
      </c>
      <c r="L746">
        <f>K746*(MIN(Inputs!$B$22+((C758=TRUE)*(F758-Calc!F25)),(Inputs!$B$23+((C763=TRUE)*(F763-Calc!F30))+IF(ArtifactsInput!$M$15,CHOOSE(ArtifactsInput!$N$15+1,25,30,35,40,45,50)/100*(Inputs!$B$11-Inputs!$B$11),0)))/100+(Inputs!$B$23+((C763=TRUE)*(F763-Calc!F30))+IF(ArtifactsInput!$M$15,CHOOSE(ArtifactsInput!$N$15+1,25,30,35,40,45,50)/100*(Inputs!$B$11-Inputs!$B$11),0))/100)/2</f>
        <v/>
      </c>
      <c r="M746">
        <f>L746*(1+(Inputs!$B$10+((C760=TRUE)*(F760-Calc!F27))+B774+(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746">
        <f>L746*(1-MIN((Inputs!$B$9+((C759=TRUE)*(F759-Calc!F26))+B767+(ArtifactsInput!$M$24-ArtifactsInput!$M$24)*CHOOSE(ArtifactsInput!$N$24+1,10,12,14,16,18,20)+(IF(AND(Inputs!$B$39&lt;&gt;"pvp",Inputs!$B$44=0),1,IF(IF(Inputs!$B$39="pvp",15,Inputs!$B$44)-(B778)&lt;=0,1,MAX(0,IF(Inputs!$B$39="pvp",15,Inputs!$B$44)-MAX(5,B778))/(IF(Inputs!$B$39="pvp",15,Inputs!$B$44)-(B778))))*IF(AND(ArtifactsInput!$M$42,((Inputs!$B$9+((C759=TRUE)*(F759-Calc!F26))+B767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746*(MIN((Inputs!$B$9+((C759=TRUE)*(F759-Calc!F26))+B767+(ArtifactsInput!$M$24-ArtifactsInput!$M$24)*CHOOSE(ArtifactsInput!$N$24+1,10,12,14,16,18,20)+(IF(AND(Inputs!$B$39&lt;&gt;"pvp",Inputs!$B$44=0),1,IF(IF(Inputs!$B$39="pvp",15,Inputs!$B$44)-(B778)&lt;=0,1,MAX(0,IF(Inputs!$B$39="pvp",15,Inputs!$B$44)-MAX(5,B778))/(IF(Inputs!$B$39="pvp",15,Inputs!$B$44)-(B778))))*IF(AND(ArtifactsInput!$M$42,((Inputs!$B$9+((C759=TRUE)*(F759-Calc!F26))+B767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746">
        <f>(1-Summary!$B$11)*T746+Summary!$B$11*V746</f>
        <v/>
      </c>
      <c r="P746">
        <f>IF(B779=0,0,O746/B779)</f>
        <v/>
      </c>
      <c r="Q746">
        <f>IFERROR(1/IF(Inputs!$B$39="pvp",15,MAX(0.1,Skills!D13-IF(TRUE=TRUE,Inputs!$B$32,0))),0)</f>
        <v/>
      </c>
      <c r="R746">
        <f>IF(AND(Inputs!$B$39&lt;&gt;"pvp",Inputs!$B$44&gt;0),IF(MAX(0,Inputs!$B$44-B778)&lt;=0,0,(INT(MAX(0,Inputs!$B$44-B778)/IF(Inputs!$B$39="pvp",15,MAX(0.1,Skills!D13-IF(TRUE=TRUE,Inputs!$B$32,0))))+1)),0)</f>
        <v/>
      </c>
      <c r="S746">
        <f>IFERROR(O746/N746,0)</f>
        <v/>
      </c>
      <c r="T746">
        <f>IF(C746,(H746*N746*IF(AND(Inputs!$B$39&lt;&gt;"pvp",Inputs!$B$44&gt;0),((Skills!G13*((R746-1)*IF(Skills!H13&gt;0,Skills!I13/Skills!H13,1)+IF(Skills!H13&gt;0,MIN(Skills!I13,MAX(0,MAX(0,Inputs!$B$44-B778)-((R746-1)*IF(Inputs!$B$39="pvp",15,MAX(0.1,Skills!D13-IF(TRUE=TRUE,Inputs!$B$32,0))))))/Skills!H13,1)))/Inputs!$B$44),G746*Q746))*IF(Inputs!$B$39="pvp",1,1+(Inputs!$B$20+0+Skills!P13+B768+(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Hunt"),CHOOSE(ArtifactsInput!$N$35+1,15,18,21,24,27,30)*(1-EXP(-(0.2*B771)*5)),0)+IF(AND(ArtifactsInput!$M$22,Inputs!$B$4&lt;&gt;"Chapter Hunt"),CHOOSE(ArtifactsInput!$N$22+1,10,12,14,16,18,20)*((0*(((0.15*B771*5))^0/1)+1*(((0.15*B771*5))^1/1)+2*(((0.15*B771*5))^2/2)+3*(((0.15*B771*5))^3/6)+4*(((0.15*B771*5))^4/24)+5*(((0.15*B771*5))^5/120))/((((0.15*B771*5))^0/1)+(((0.15*B771*5))^1/1)+(((0.15*B771*5))^2/2)+(((0.15*B771*5))^3/6)+(((0.15*B771*5))^4/24)+(((0.15*B771*5))^5/120))),0)))/100)*((((5000/(6000+Inputs!$B$43*(1-(100*(1-(1-(100*(1-(1-((1-(1-Inputs!$B$19/100)*(1-1/100))*100)/100)*(1-CHOOSE(ArtifactsInput!$N$40+1,5,6,7,8,9,10)/100)^(ArtifactsInput!$M$40-ArtifactsInput!$M$40)))/100)*(1-IF(ArtifactsInput!$M$40,CHOOSE(ArtifactsInput!$N$40+1,5,6,7,8,9,10),0)/100)^IF(Inputs!$B$39="pvp",1,2)))/100)))/(5000/(6000+Inputs!$B$43*(1-(100*(1-(1-((1-(1-Inputs!$B$19/100)*(1-1/100))*100)/100)*(1-CHOOSE(ArtifactsInput!$N$40+1,5,6,7,8,9,10)/100)^(ArtifactsInput!$M$40-ArtifactsInput!$M$40)))/100))))*((L746*(1-MIN(100,(Inputs!$B$9+((C759=TRUE)*(F759-Calc!F26))+B767+(ArtifactsInput!$M$24-ArtifactsInput!$M$24)*CHOOSE(ArtifactsInput!$N$24+1,10,12,14,16,18,20)+(IF(AND(Inputs!$B$39&lt;&gt;"pvp",Inputs!$B$44=0),1,IF(IF(Inputs!$B$39="pvp",15,Inputs!$B$44)-(B778)&lt;=0,1,MAX(0,IF(Inputs!$B$39="pvp",15,Inputs!$B$44)-MAX(5,B778))/(IF(Inputs!$B$39="pvp",15,Inputs!$B$44)-(B778))))*IF(AND(ArtifactsInput!$M$42,((Inputs!$B$9+((C759=TRUE)*(F759-Calc!F26))+B767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746*(MIN(100,(Inputs!$B$9+((C759=TRUE)*(F759-Calc!F26))+B767+(ArtifactsInput!$M$24-ArtifactsInput!$M$24)*CHOOSE(ArtifactsInput!$N$24+1,10,12,14,16,18,20)+(IF(AND(Inputs!$B$39&lt;&gt;"pvp",Inputs!$B$44=0),1,IF(IF(Inputs!$B$39="pvp",15,Inputs!$B$44)-(B778)&lt;=0,1,MAX(0,IF(Inputs!$B$39="pvp",15,Inputs!$B$44)-MAX(5,B778))/(IF(Inputs!$B$39="pvp",15,Inputs!$B$44)-(B778))))*IF(AND(ArtifactsInput!$M$42,((Inputs!$B$9+((C759=TRUE)*(F759-Calc!F26))+B767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746*(1-MIN(100,(Inputs!$B$9+((C759=TRUE)*(F759-Calc!F26))+B767+(ArtifactsInput!$M$24-ArtifactsInput!$M$24)*CHOOSE(ArtifactsInput!$N$24+1,10,12,14,16,18,20)+(IF(AND(Inputs!$B$39&lt;&gt;"pvp",Inputs!$B$44=0),1,IF(IF(Inputs!$B$39="pvp",15,Inputs!$B$44)-(B778)&lt;=0,1,MAX(0,IF(Inputs!$B$39="pvp",15,Inputs!$B$44)-MAX(5,B778))/(IF(Inputs!$B$39="pvp",15,Inputs!$B$44)-(B778))))*IF(AND(ArtifactsInput!$M$42,((Inputs!$B$9+((C759=TRUE)*(F759-Calc!F26))+B767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746*(MIN(100,(Inputs!$B$9+((C759=TRUE)*(F759-Calc!F26))+B767+(ArtifactsInput!$M$24-ArtifactsInput!$M$24)*CHOOSE(ArtifactsInput!$N$24+1,10,12,14,16,18,20)+(IF(AND(Inputs!$B$39&lt;&gt;"pvp",Inputs!$B$44=0),1,IF(IF(Inputs!$B$39="pvp",15,Inputs!$B$44)-(B778)&lt;=0,1,MAX(0,IF(Inputs!$B$39="pvp",15,Inputs!$B$44)-MAX(5,B778))/(IF(Inputs!$B$39="pvp",15,Inputs!$B$44)-(B778))))*IF(AND(ArtifactsInput!$M$42,((Inputs!$B$9+((C759=TRUE)*(F759-Calc!F26))+B767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746">
        <f>IF(C746,(H746*N746*IF(AND(Inputs!$B$39&lt;&gt;"pvp",Inputs!$B$44&gt;0),((Skills!G13*((R746-1)*IF(Skills!H13&gt;0,Skills!I13/Skills!H13,1)+IF(Skills!H13&gt;0,MIN(Skills!I13,MAX(0,MAX(0,Inputs!$B$44-B778)-((R746-1)*IF(Inputs!$B$39="pvp",15,MAX(0.1,Skills!D13-IF(TRUE=TRUE,Inputs!$B$32,0))))))/Skills!H13,1)))/Inputs!$B$44),G746*Q746))*IF(Inputs!$B$39="pvp",1,(1+(Inputs!$B$21+Skills!Q13+B768+(IF(ArtifactsInput!$M$33,CHOOSE(ArtifactsInput!$N$33+1,30,36,42,48,54,60),0))+(IF(AND(ArtifactsInput!$M$35,Inputs!$B$4&lt;&gt;"Chapter Hunt"),CHOOSE(ArtifactsInput!$N$35+1,15,18,21,24,27,30)*(1-EXP(-(0.2*B771)*5)),0)+IF(AND(ArtifactsInput!$M$22,Inputs!$B$4&lt;&gt;"Chapter Hunt"),CHOOSE(ArtifactsInput!$N$22+1,10,12,14,16,18,20)*((0*(((0.15*B771*5))^0/1)+1*(((0.15*B771*5))^1/1)+2*(((0.15*B771*5))^2/2)+3*(((0.15*B771*5))^3/6)+4*(((0.15*B771*5))^4/24)+5*(((0.15*B771*5))^5/120))/((((0.15*B771*5))^0/1)+(((0.15*B771*5))^1/1)+(((0.15*B771*5))^2/2)+(((0.15*B771*5))^3/6)+(((0.15*B771*5))^4/24)+(((0.15*B771*5))^5/120))),0)))/100)*(MIN(Skills!W13,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747">
      <c r="A747">
        <f>Skills!A14</f>
        <v/>
      </c>
      <c r="B747">
        <f>Skills!B14</f>
        <v/>
      </c>
      <c r="C747">
        <f>Inputs!$B$3&gt;=105</f>
        <v/>
      </c>
      <c r="D747">
        <f>IF(Skills!C14=1,60+Inputs!$B$25+Inputs!$B$29,IF(Skills!C14=2,90+Inputs!$B$26+Inputs!$B$29,IF(Skills!C14=3,120+Inputs!$B$27+Inputs!$B$29,MAX(0,(Inputs!$B$3-100)*3)+Inputs!$B$28+Inputs!$B$29)))</f>
        <v/>
      </c>
      <c r="E747">
        <f>INDEX(FactorTable!$B$2:$Y$301, MATCH(ROUND(MIN(300,MAX(1,D747)),0), FactorTable!$A$2:$A$301,0), Skills!M14+1)</f>
        <v/>
      </c>
      <c r="F747">
        <f>IF(Skills!N14=TRUE,(Skills!L14/10)*(E747/1000),Skills!L14/10)+Skills!O14</f>
        <v/>
      </c>
      <c r="G747">
        <f>Skills!G14*IF(Skills!H14&gt;0,IF(Inputs!$B$39="pvp",MIN(Skills!I14,15),Skills!I14)/Skills!H14,1)</f>
        <v/>
      </c>
      <c r="H747">
        <f>1-(1-Skills!J14/100)^Skills!K14</f>
        <v/>
      </c>
      <c r="I747" t="inlineStr">
        <is>
          <t>1</t>
        </is>
      </c>
      <c r="J747">
        <f>((Inputs!$B$6*(1+Inputs!$B$7/100))+(((Inputs!$B$12*(1+Inputs!$B$13/100))-(Inputs!$B$12*(1+Inputs!$B$13/100)))+0.25*(Inputs!$B$14-Inputs!$B$14))*(1+Inputs!$B$7/100))*(F747/100)</f>
        <v/>
      </c>
      <c r="K747">
        <f>J747*(1+((Inputs!$B$12*(1+Inputs!$B$13/100))*0.01+Inputs!$B$14*0.0025)/100)*(1+Inputs!$B$15/100)*(1+Inputs!$B$16/100)*(5000/(6000+Inputs!$B$43*(1-(100*(1-(1-((1-(1-Inputs!$B$19/100)*(1-1/100))*100)/100)*(1-CHOOSE(ArtifactsInput!$N$40+1,5,6,7,8,9,10)/100)^(ArtifactsInput!$M$40-ArtifactsInput!$M$40)))/100)))*(1+(Inputs!$B$24+((C764=TRUE)*(F764-Calc!F31))+((C751=TRUE)*(F751-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14="CRUEL_STAB",Inputs!$B$17+((C761=TRUE)*(F761-Calc!F28))+((IF(AND(Inputs!$B$39&lt;&gt;"pvp",Inputs!$B$44=0),1,IF(IF(Inputs!$B$39="pvp",15,Inputs!$B$44)-(B778)&lt;=0,1,MAX(0,IF(Inputs!$B$39="pvp",15,Inputs!$B$44)-MAX(5,B778))/(IF(Inputs!$B$39="pvp",15,Inputs!$B$44)-(B778))))*(IF(AND(ArtifactsInput!$M$42,((Inputs!$B$9+((C759=TRUE)*(F759-Calc!F26))+B767+(ArtifactsInput!$M$24-ArtifactsInput!$M$24)*CHOOSE(ArtifactsInput!$N$24+1,10,12,14,16,18,20)+IF(ArtifactsInput!$M$10,CHOOSE(ArtifactsInput!$N$10+1,15,18,21,24,27,30)*(IF(Inputs!$B$39="pvp",MIN(15,15)/15,IF(AND(Inputs!$B$39&lt;&gt;"pvp",Inputs!$B$44&gt;0),MIN(15,Inputs!$B$44)/(Inputs!$B$44),0))),0)))&gt;=100),MIN(100,((Inputs!$B$9+((C759=TRUE)*(F759-Calc!F26))+B767+(ArtifactsInput!$M$24-ArtifactsInput!$M$24)*CHOOSE(ArtifactsInput!$N$24+1,10,12,14,16,18,20)+IF(ArtifactsInput!$M$10,CHOOSE(ArtifactsInput!$N$10+1,15,18,21,24,27,30)*(IF(Inputs!$B$39="pvp",MIN(15,15)/15,IF(AND(Inputs!$B$39&lt;&gt;"pvp",Inputs!$B$44&gt;0),MIN(15,Inputs!$B$44)/(Inputs!$B$44),0))),0)))-100),0))*CHOOSE(ArtifactsInput!$N$42+1,0.6,0.72,0.84,0.96,1.08,1.2))),Inputs!$B$18+((C762=TRUE)*(F762-Calc!F29))+(IF(AND(Inputs!$B$39&lt;&gt;"pvp",Inputs!$B$44=0),1,IF(IF(Inputs!$B$39="pvp",15,Inputs!$B$44)-(B778)&lt;=0,1,MAX(0,IF(Inputs!$B$39="pvp",15,Inputs!$B$44)-MAX(5,B778))/(IF(Inputs!$B$39="pvp",15,Inputs!$B$44)-(B778))))*IF(AND(ArtifactsInput!$M$42,((Inputs!$B$9+((C759=TRUE)*(F759-Calc!F26))+B767+(ArtifactsInput!$M$24-ArtifactsInput!$M$24)*CHOOSE(ArtifactsInput!$N$24+1,10,12,14,16,18,20)+IF(ArtifactsInput!$M$10,CHOOSE(ArtifactsInput!$N$10+1,15,18,21,24,27,30)*(IF(Inputs!$B$39="pvp",MIN(15,15)/15,IF(AND(Inputs!$B$39&lt;&gt;"pvp",Inputs!$B$44&gt;0),MIN(15,Inputs!$B$44)/(Inputs!$B$44),0))),0)))&gt;=100),CHOOSE(ArtifactsInput!$N$42+1,40,48,56,64,72,80),0))))/100)*(((1+(((C755=TRUE)*F755*IF(AND(Inputs!$B$39&lt;&gt;"pvp",Inputs!$B$44&gt;0),(((R755-1)*MIN((Skills!Y22*(1+Inputs!$B$34/100)),(1/Q755))+MIN((Skills!Y22*(1+Inputs!$B$34/100)),MAX(0,Inputs!$B$44-((R755-1)*(1/Q755)))))/Inputs!$B$44),IF(Inputs!$B$39="pvp",MIN((Skills!Y22*(1+Inputs!$B$34/100)),15)/15,MIN(1,(Skills!Y22*(1+Inputs!$B$34/100))/(1/Q755)))))+((C736=TRUE)*F736*3)+((C738=TRUE)*F738*(1-EXP(-0.75*B771*5)))+((C757=TRUE)*(F757-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744=TRUE)*F744*IF(AND(Inputs!$B$39&lt;&gt;"pvp",Inputs!$B$44&gt;0),(((R744-1)*MIN((Skills!Y11*(1+Inputs!$B$34/100)),(1/Q744))+MIN((Skills!Y11*(1+Inputs!$B$34/100)),MAX(0,Inputs!$B$44-((R744-1)*(1/Q744)))))/Inputs!$B$44),IF(Inputs!$B$39="pvp",MIN((Skills!Y11*(1+Inputs!$B$34/100)),15)/15,MIN(1,(Skills!Y11*(1+Inputs!$B$34/100))/(1/Q744)))))/100)*(1+((C749=TRUE)*F749*IF(AND(Inputs!$B$39&lt;&gt;"pvp",Inputs!$B$44&gt;0),(((R749-1)*MIN((Skills!Y16*(1+Inputs!$B$34/100)),(1/Q749))+MIN((Skills!Y16*(1+Inputs!$B$34/100)),MAX(0,Inputs!$B$44-((R749-1)*(1/Q749)))))/Inputs!$B$44),IF(Inputs!$B$39="pvp",MIN((Skills!Y16*(1+Inputs!$B$34/100)),15)/15,MIN(1,(Skills!Y16*(1+Inputs!$B$34/100))/(1/Q749)))))/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769*I747)</f>
        <v/>
      </c>
      <c r="L747">
        <f>K747*(MIN(Inputs!$B$22+((C758=TRUE)*(F758-Calc!F25)),(Inputs!$B$23+((C763=TRUE)*(F763-Calc!F30))+IF(ArtifactsInput!$M$15,CHOOSE(ArtifactsInput!$N$15+1,25,30,35,40,45,50)/100*(Inputs!$B$11-Inputs!$B$11),0)))/100+(Inputs!$B$23+((C763=TRUE)*(F763-Calc!F30))+IF(ArtifactsInput!$M$15,CHOOSE(ArtifactsInput!$N$15+1,25,30,35,40,45,50)/100*(Inputs!$B$11-Inputs!$B$11),0))/100)/2</f>
        <v/>
      </c>
      <c r="M747">
        <f>L747*(1+(Inputs!$B$10+((C760=TRUE)*(F760-Calc!F27))+B774+(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747">
        <f>L747*(1-MIN((Inputs!$B$9+((C759=TRUE)*(F759-Calc!F26))+B767+(ArtifactsInput!$M$24-ArtifactsInput!$M$24)*CHOOSE(ArtifactsInput!$N$24+1,10,12,14,16,18,20)+(IF(AND(Inputs!$B$39&lt;&gt;"pvp",Inputs!$B$44=0),1,IF(IF(Inputs!$B$39="pvp",15,Inputs!$B$44)-(B778)&lt;=0,1,MAX(0,IF(Inputs!$B$39="pvp",15,Inputs!$B$44)-MAX(5,B778))/(IF(Inputs!$B$39="pvp",15,Inputs!$B$44)-(B778))))*IF(AND(ArtifactsInput!$M$42,((Inputs!$B$9+((C759=TRUE)*(F759-Calc!F26))+B767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747*(MIN((Inputs!$B$9+((C759=TRUE)*(F759-Calc!F26))+B767+(ArtifactsInput!$M$24-ArtifactsInput!$M$24)*CHOOSE(ArtifactsInput!$N$24+1,10,12,14,16,18,20)+(IF(AND(Inputs!$B$39&lt;&gt;"pvp",Inputs!$B$44=0),1,IF(IF(Inputs!$B$39="pvp",15,Inputs!$B$44)-(B778)&lt;=0,1,MAX(0,IF(Inputs!$B$39="pvp",15,Inputs!$B$44)-MAX(5,B778))/(IF(Inputs!$B$39="pvp",15,Inputs!$B$44)-(B778))))*IF(AND(ArtifactsInput!$M$42,((Inputs!$B$9+((C759=TRUE)*(F759-Calc!F26))+B767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747">
        <f>(1-Summary!$B$11)*T747+Summary!$B$11*V747</f>
        <v/>
      </c>
      <c r="P747">
        <f>IF(B779=0,0,O747/B779)</f>
        <v/>
      </c>
      <c r="Q747">
        <f>IFERROR(1/IF(Inputs!$B$39="pvp",15,MAX(0.1,Skills!D14-IF(TRUE=TRUE,Inputs!$B$32,0))),0)</f>
        <v/>
      </c>
      <c r="R747">
        <f>IF(AND(Inputs!$B$39&lt;&gt;"pvp",Inputs!$B$44&gt;0),IF(MAX(0,Inputs!$B$44-B778)&lt;=0,0,(INT(MAX(0,Inputs!$B$44-B778)/IF(Inputs!$B$39="pvp",15,MAX(0.1,Skills!D14-IF(TRUE=TRUE,Inputs!$B$32,0))))+1)),0)</f>
        <v/>
      </c>
      <c r="S747">
        <f>IFERROR(O747/N747,0)</f>
        <v/>
      </c>
      <c r="T747">
        <f>IF(C747,(H747*N747*IF(AND(Inputs!$B$39&lt;&gt;"pvp",Inputs!$B$44&gt;0),((Skills!G14*((R747-1)*IF(Skills!H14&gt;0,Skills!I14/Skills!H14,1)+IF(Skills!H14&gt;0,MIN(Skills!I14,MAX(0,MAX(0,Inputs!$B$44-B778)-((R747-1)*IF(Inputs!$B$39="pvp",15,MAX(0.1,Skills!D14-IF(TRUE=TRUE,Inputs!$B$32,0))))))/Skills!H14,1)))/Inputs!$B$44),G747*Q747))*IF(Inputs!$B$39="pvp",1,1+(Inputs!$B$20+0+Skills!P14+B768+(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Hunt"),CHOOSE(ArtifactsInput!$N$35+1,15,18,21,24,27,30)*(1-EXP(-(0.2*B771)*5)),0)+IF(AND(ArtifactsInput!$M$22,Inputs!$B$4&lt;&gt;"Chapter Hunt"),CHOOSE(ArtifactsInput!$N$22+1,10,12,14,16,18,20)*((0*(((0.15*B771*5))^0/1)+1*(((0.15*B771*5))^1/1)+2*(((0.15*B771*5))^2/2)+3*(((0.15*B771*5))^3/6)+4*(((0.15*B771*5))^4/24)+5*(((0.15*B771*5))^5/120))/((((0.15*B771*5))^0/1)+(((0.15*B771*5))^1/1)+(((0.15*B771*5))^2/2)+(((0.15*B771*5))^3/6)+(((0.15*B771*5))^4/24)+(((0.15*B771*5))^5/120))),0)))/100)*((((5000/(6000+Inputs!$B$43*(1-(100*(1-(1-(100*(1-(1-((1-(1-Inputs!$B$19/100)*(1-1/100))*100)/100)*(1-CHOOSE(ArtifactsInput!$N$40+1,5,6,7,8,9,10)/100)^(ArtifactsInput!$M$40-ArtifactsInput!$M$40)))/100)*(1-IF(ArtifactsInput!$M$40,CHOOSE(ArtifactsInput!$N$40+1,5,6,7,8,9,10),0)/100)^IF(Inputs!$B$39="pvp",1,2)))/100)))/(5000/(6000+Inputs!$B$43*(1-(100*(1-(1-((1-(1-Inputs!$B$19/100)*(1-1/100))*100)/100)*(1-CHOOSE(ArtifactsInput!$N$40+1,5,6,7,8,9,10)/100)^(ArtifactsInput!$M$40-ArtifactsInput!$M$40)))/100))))*((L747*(1-MIN(100,(Inputs!$B$9+((C759=TRUE)*(F759-Calc!F26))+B767+(ArtifactsInput!$M$24-ArtifactsInput!$M$24)*CHOOSE(ArtifactsInput!$N$24+1,10,12,14,16,18,20)+(IF(AND(Inputs!$B$39&lt;&gt;"pvp",Inputs!$B$44=0),1,IF(IF(Inputs!$B$39="pvp",15,Inputs!$B$44)-(B778)&lt;=0,1,MAX(0,IF(Inputs!$B$39="pvp",15,Inputs!$B$44)-MAX(5,B778))/(IF(Inputs!$B$39="pvp",15,Inputs!$B$44)-(B778))))*IF(AND(ArtifactsInput!$M$42,((Inputs!$B$9+((C759=TRUE)*(F759-Calc!F26))+B767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747*(MIN(100,(Inputs!$B$9+((C759=TRUE)*(F759-Calc!F26))+B767+(ArtifactsInput!$M$24-ArtifactsInput!$M$24)*CHOOSE(ArtifactsInput!$N$24+1,10,12,14,16,18,20)+(IF(AND(Inputs!$B$39&lt;&gt;"pvp",Inputs!$B$44=0),1,IF(IF(Inputs!$B$39="pvp",15,Inputs!$B$44)-(B778)&lt;=0,1,MAX(0,IF(Inputs!$B$39="pvp",15,Inputs!$B$44)-MAX(5,B778))/(IF(Inputs!$B$39="pvp",15,Inputs!$B$44)-(B778))))*IF(AND(ArtifactsInput!$M$42,((Inputs!$B$9+((C759=TRUE)*(F759-Calc!F26))+B767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747*(1-MIN(100,(Inputs!$B$9+((C759=TRUE)*(F759-Calc!F26))+B767+(ArtifactsInput!$M$24-ArtifactsInput!$M$24)*CHOOSE(ArtifactsInput!$N$24+1,10,12,14,16,18,20)+(IF(AND(Inputs!$B$39&lt;&gt;"pvp",Inputs!$B$44=0),1,IF(IF(Inputs!$B$39="pvp",15,Inputs!$B$44)-(B778)&lt;=0,1,MAX(0,IF(Inputs!$B$39="pvp",15,Inputs!$B$44)-MAX(5,B778))/(IF(Inputs!$B$39="pvp",15,Inputs!$B$44)-(B778))))*IF(AND(ArtifactsInput!$M$42,((Inputs!$B$9+((C759=TRUE)*(F759-Calc!F26))+B767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747*(MIN(100,(Inputs!$B$9+((C759=TRUE)*(F759-Calc!F26))+B767+(ArtifactsInput!$M$24-ArtifactsInput!$M$24)*CHOOSE(ArtifactsInput!$N$24+1,10,12,14,16,18,20)+(IF(AND(Inputs!$B$39&lt;&gt;"pvp",Inputs!$B$44=0),1,IF(IF(Inputs!$B$39="pvp",15,Inputs!$B$44)-(B778)&lt;=0,1,MAX(0,IF(Inputs!$B$39="pvp",15,Inputs!$B$44)-MAX(5,B778))/(IF(Inputs!$B$39="pvp",15,Inputs!$B$44)-(B778))))*IF(AND(ArtifactsInput!$M$42,((Inputs!$B$9+((C759=TRUE)*(F759-Calc!F26))+B767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747">
        <f>IF(C747,(H747*N747*IF(AND(Inputs!$B$39&lt;&gt;"pvp",Inputs!$B$44&gt;0),((Skills!G14*((R747-1)*IF(Skills!H14&gt;0,Skills!I14/Skills!H14,1)+IF(Skills!H14&gt;0,MIN(Skills!I14,MAX(0,MAX(0,Inputs!$B$44-B778)-((R747-1)*IF(Inputs!$B$39="pvp",15,MAX(0.1,Skills!D14-IF(TRUE=TRUE,Inputs!$B$32,0))))))/Skills!H14,1)))/Inputs!$B$44),G747*Q747))*IF(Inputs!$B$39="pvp",1,(1+(Inputs!$B$21+Skills!Q14+B768+(IF(ArtifactsInput!$M$33,CHOOSE(ArtifactsInput!$N$33+1,30,36,42,48,54,60),0))+(IF(AND(ArtifactsInput!$M$35,Inputs!$B$4&lt;&gt;"Chapter Hunt"),CHOOSE(ArtifactsInput!$N$35+1,15,18,21,24,27,30)*(1-EXP(-(0.2*B771)*5)),0)+IF(AND(ArtifactsInput!$M$22,Inputs!$B$4&lt;&gt;"Chapter Hunt"),CHOOSE(ArtifactsInput!$N$22+1,10,12,14,16,18,20)*((0*(((0.15*B771*5))^0/1)+1*(((0.15*B771*5))^1/1)+2*(((0.15*B771*5))^2/2)+3*(((0.15*B771*5))^3/6)+4*(((0.15*B771*5))^4/24)+5*(((0.15*B771*5))^5/120))/((((0.15*B771*5))^0/1)+(((0.15*B771*5))^1/1)+(((0.15*B771*5))^2/2)+(((0.15*B771*5))^3/6)+(((0.15*B771*5))^4/24)+(((0.15*B771*5))^5/120))),0)))/100)*(MIN(Skills!W14,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748">
      <c r="A748">
        <f>Skills!A15</f>
        <v/>
      </c>
      <c r="B748">
        <f>Skills!B15</f>
        <v/>
      </c>
      <c r="C748">
        <f>Inputs!$B$3&gt;=107</f>
        <v/>
      </c>
      <c r="D748">
        <f>IF(Skills!C15=1,60+Inputs!$B$25+Inputs!$B$29,IF(Skills!C15=2,90+Inputs!$B$26+Inputs!$B$29,IF(Skills!C15=3,120+Inputs!$B$27+Inputs!$B$29,MAX(0,(Inputs!$B$3-100)*3)+Inputs!$B$28+Inputs!$B$29)))</f>
        <v/>
      </c>
      <c r="E748">
        <f>INDEX(FactorTable!$B$2:$Y$301, MATCH(ROUND(MIN(300,MAX(1,D748)),0), FactorTable!$A$2:$A$301,0), Skills!M15+1)</f>
        <v/>
      </c>
      <c r="F748">
        <f>IF(Skills!N15=TRUE,(Skills!L15/10)*(E748/1000),Skills!L15/10)+Skills!O15</f>
        <v/>
      </c>
      <c r="G748">
        <f>Skills!G15*IF(Skills!H15&gt;0,IF(Inputs!$B$39="pvp",MIN(Skills!I15,15),Skills!I15)/Skills!H15,1)</f>
        <v/>
      </c>
      <c r="H748">
        <f>1-(1-Skills!J15/100)^Skills!K15</f>
        <v/>
      </c>
      <c r="I748" t="inlineStr">
        <is>
          <t>1</t>
        </is>
      </c>
      <c r="J748">
        <f>((Inputs!$B$6*(1+Inputs!$B$7/100))+(((Inputs!$B$12*(1+Inputs!$B$13/100))-(Inputs!$B$12*(1+Inputs!$B$13/100)))+0.25*(Inputs!$B$14-Inputs!$B$14))*(1+Inputs!$B$7/100))*(F748/100)</f>
        <v/>
      </c>
      <c r="K748">
        <f>J748*(1+((Inputs!$B$12*(1+Inputs!$B$13/100))*0.01+Inputs!$B$14*0.0025)/100)*(1+Inputs!$B$15/100)*(1+Inputs!$B$16/100)*(5000/(6000+Inputs!$B$43*(1-(100*(1-(1-((1-(1-Inputs!$B$19/100)*(1-1/100))*100)/100)*(1-CHOOSE(ArtifactsInput!$N$40+1,5,6,7,8,9,10)/100)^(ArtifactsInput!$M$40-ArtifactsInput!$M$40)))/100)))*(1+(Inputs!$B$24+((C764=TRUE)*(F764-Calc!F31))+((C751=TRUE)*(F751-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15="CRUEL_STAB",Inputs!$B$17+((C761=TRUE)*(F761-Calc!F28))+((IF(AND(Inputs!$B$39&lt;&gt;"pvp",Inputs!$B$44=0),1,IF(IF(Inputs!$B$39="pvp",15,Inputs!$B$44)-(B778)&lt;=0,1,MAX(0,IF(Inputs!$B$39="pvp",15,Inputs!$B$44)-MAX(5,B778))/(IF(Inputs!$B$39="pvp",15,Inputs!$B$44)-(B778))))*(IF(AND(ArtifactsInput!$M$42,((Inputs!$B$9+((C759=TRUE)*(F759-Calc!F26))+B767+(ArtifactsInput!$M$24-ArtifactsInput!$M$24)*CHOOSE(ArtifactsInput!$N$24+1,10,12,14,16,18,20)+IF(ArtifactsInput!$M$10,CHOOSE(ArtifactsInput!$N$10+1,15,18,21,24,27,30)*(IF(Inputs!$B$39="pvp",MIN(15,15)/15,IF(AND(Inputs!$B$39&lt;&gt;"pvp",Inputs!$B$44&gt;0),MIN(15,Inputs!$B$44)/(Inputs!$B$44),0))),0)))&gt;=100),MIN(100,((Inputs!$B$9+((C759=TRUE)*(F759-Calc!F26))+B767+(ArtifactsInput!$M$24-ArtifactsInput!$M$24)*CHOOSE(ArtifactsInput!$N$24+1,10,12,14,16,18,20)+IF(ArtifactsInput!$M$10,CHOOSE(ArtifactsInput!$N$10+1,15,18,21,24,27,30)*(IF(Inputs!$B$39="pvp",MIN(15,15)/15,IF(AND(Inputs!$B$39&lt;&gt;"pvp",Inputs!$B$44&gt;0),MIN(15,Inputs!$B$44)/(Inputs!$B$44),0))),0)))-100),0))*CHOOSE(ArtifactsInput!$N$42+1,0.6,0.72,0.84,0.96,1.08,1.2))),Inputs!$B$18+((C762=TRUE)*(F762-Calc!F29))+(IF(AND(Inputs!$B$39&lt;&gt;"pvp",Inputs!$B$44=0),1,IF(IF(Inputs!$B$39="pvp",15,Inputs!$B$44)-(B778)&lt;=0,1,MAX(0,IF(Inputs!$B$39="pvp",15,Inputs!$B$44)-MAX(5,B778))/(IF(Inputs!$B$39="pvp",15,Inputs!$B$44)-(B778))))*IF(AND(ArtifactsInput!$M$42,((Inputs!$B$9+((C759=TRUE)*(F759-Calc!F26))+B767+(ArtifactsInput!$M$24-ArtifactsInput!$M$24)*CHOOSE(ArtifactsInput!$N$24+1,10,12,14,16,18,20)+IF(ArtifactsInput!$M$10,CHOOSE(ArtifactsInput!$N$10+1,15,18,21,24,27,30)*(IF(Inputs!$B$39="pvp",MIN(15,15)/15,IF(AND(Inputs!$B$39&lt;&gt;"pvp",Inputs!$B$44&gt;0),MIN(15,Inputs!$B$44)/(Inputs!$B$44),0))),0)))&gt;=100),CHOOSE(ArtifactsInput!$N$42+1,40,48,56,64,72,80),0))))/100)*(((1+(((C755=TRUE)*F755*IF(AND(Inputs!$B$39&lt;&gt;"pvp",Inputs!$B$44&gt;0),(((R755-1)*MIN((Skills!Y22*(1+Inputs!$B$34/100)),(1/Q755))+MIN((Skills!Y22*(1+Inputs!$B$34/100)),MAX(0,Inputs!$B$44-((R755-1)*(1/Q755)))))/Inputs!$B$44),IF(Inputs!$B$39="pvp",MIN((Skills!Y22*(1+Inputs!$B$34/100)),15)/15,MIN(1,(Skills!Y22*(1+Inputs!$B$34/100))/(1/Q755)))))+((C736=TRUE)*F736*3)+((C738=TRUE)*F738*(1-EXP(-0.75*B771*5)))+((C757=TRUE)*(F757-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744=TRUE)*F744*IF(AND(Inputs!$B$39&lt;&gt;"pvp",Inputs!$B$44&gt;0),(((R744-1)*MIN((Skills!Y11*(1+Inputs!$B$34/100)),(1/Q744))+MIN((Skills!Y11*(1+Inputs!$B$34/100)),MAX(0,Inputs!$B$44-((R744-1)*(1/Q744)))))/Inputs!$B$44),IF(Inputs!$B$39="pvp",MIN((Skills!Y11*(1+Inputs!$B$34/100)),15)/15,MIN(1,(Skills!Y11*(1+Inputs!$B$34/100))/(1/Q744)))))/100)*(1+((C749=TRUE)*F749*IF(AND(Inputs!$B$39&lt;&gt;"pvp",Inputs!$B$44&gt;0),(((R749-1)*MIN((Skills!Y16*(1+Inputs!$B$34/100)),(1/Q749))+MIN((Skills!Y16*(1+Inputs!$B$34/100)),MAX(0,Inputs!$B$44-((R749-1)*(1/Q749)))))/Inputs!$B$44),IF(Inputs!$B$39="pvp",MIN((Skills!Y16*(1+Inputs!$B$34/100)),15)/15,MIN(1,(Skills!Y16*(1+Inputs!$B$34/100))/(1/Q749)))))/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769*I748)</f>
        <v/>
      </c>
      <c r="L748">
        <f>K748*(MIN(Inputs!$B$22+((C758=TRUE)*(F758-Calc!F25)),(Inputs!$B$23+((C763=TRUE)*(F763-Calc!F30))+IF(ArtifactsInput!$M$15,CHOOSE(ArtifactsInput!$N$15+1,25,30,35,40,45,50)/100*(Inputs!$B$11-Inputs!$B$11),0)))/100+(Inputs!$B$23+((C763=TRUE)*(F763-Calc!F30))+IF(ArtifactsInput!$M$15,CHOOSE(ArtifactsInput!$N$15+1,25,30,35,40,45,50)/100*(Inputs!$B$11-Inputs!$B$11),0))/100)/2</f>
        <v/>
      </c>
      <c r="M748">
        <f>L748*(1+(Inputs!$B$10+((C760=TRUE)*(F760-Calc!F27))+B774+(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748">
        <f>L748*(1-MIN((Inputs!$B$9+((C759=TRUE)*(F759-Calc!F26))+B767+(ArtifactsInput!$M$24-ArtifactsInput!$M$24)*CHOOSE(ArtifactsInput!$N$24+1,10,12,14,16,18,20)+(IF(AND(Inputs!$B$39&lt;&gt;"pvp",Inputs!$B$44=0),1,IF(IF(Inputs!$B$39="pvp",15,Inputs!$B$44)-(B778)&lt;=0,1,MAX(0,IF(Inputs!$B$39="pvp",15,Inputs!$B$44)-MAX(5,B778))/(IF(Inputs!$B$39="pvp",15,Inputs!$B$44)-(B778))))*IF(AND(ArtifactsInput!$M$42,((Inputs!$B$9+((C759=TRUE)*(F759-Calc!F26))+B767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748*(MIN((Inputs!$B$9+((C759=TRUE)*(F759-Calc!F26))+B767+(ArtifactsInput!$M$24-ArtifactsInput!$M$24)*CHOOSE(ArtifactsInput!$N$24+1,10,12,14,16,18,20)+(IF(AND(Inputs!$B$39&lt;&gt;"pvp",Inputs!$B$44=0),1,IF(IF(Inputs!$B$39="pvp",15,Inputs!$B$44)-(B778)&lt;=0,1,MAX(0,IF(Inputs!$B$39="pvp",15,Inputs!$B$44)-MAX(5,B778))/(IF(Inputs!$B$39="pvp",15,Inputs!$B$44)-(B778))))*IF(AND(ArtifactsInput!$M$42,((Inputs!$B$9+((C759=TRUE)*(F759-Calc!F26))+B767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748">
        <f>(1-Summary!$B$11)*T748+Summary!$B$11*V748</f>
        <v/>
      </c>
      <c r="P748">
        <f>IF(B779=0,0,O748/B779)</f>
        <v/>
      </c>
      <c r="Q748">
        <f>IFERROR(1/IF(Inputs!$B$39="pvp",15,MAX(0.1,Skills!D15-IF(TRUE=TRUE,Inputs!$B$32,0))),0)</f>
        <v/>
      </c>
      <c r="R748">
        <f>IF(AND(Inputs!$B$39&lt;&gt;"pvp",Inputs!$B$44&gt;0),IF(MAX(0,Inputs!$B$44-B778)&lt;=0,0,(INT(MAX(0,Inputs!$B$44-B778)/IF(Inputs!$B$39="pvp",15,MAX(0.1,Skills!D15-IF(TRUE=TRUE,Inputs!$B$32,0))))+1)),0)</f>
        <v/>
      </c>
      <c r="S748">
        <f>IFERROR(O748/N748,0)</f>
        <v/>
      </c>
      <c r="T748">
        <f>IF(C748,(H748*N748*IF(AND(Inputs!$B$39&lt;&gt;"pvp",Inputs!$B$44&gt;0),((Skills!G15*((R748-1)*IF(Skills!H15&gt;0,Skills!I15/Skills!H15,1)+IF(Skills!H15&gt;0,MIN(Skills!I15,MAX(0,MAX(0,Inputs!$B$44-B778)-((R748-1)*IF(Inputs!$B$39="pvp",15,MAX(0.1,Skills!D15-IF(TRUE=TRUE,Inputs!$B$32,0))))))/Skills!H15,1)))/Inputs!$B$44),G748*Q748))*IF(Inputs!$B$39="pvp",1,1+(Inputs!$B$20+0+Skills!P15+B768+(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Hunt"),CHOOSE(ArtifactsInput!$N$35+1,15,18,21,24,27,30)*(1-EXP(-(0.2*B771)*5)),0)+IF(AND(ArtifactsInput!$M$22,Inputs!$B$4&lt;&gt;"Chapter Hunt"),CHOOSE(ArtifactsInput!$N$22+1,10,12,14,16,18,20)*((0*(((0.15*B771*5))^0/1)+1*(((0.15*B771*5))^1/1)+2*(((0.15*B771*5))^2/2)+3*(((0.15*B771*5))^3/6)+4*(((0.15*B771*5))^4/24)+5*(((0.15*B771*5))^5/120))/((((0.15*B771*5))^0/1)+(((0.15*B771*5))^1/1)+(((0.15*B771*5))^2/2)+(((0.15*B771*5))^3/6)+(((0.15*B771*5))^4/24)+(((0.15*B771*5))^5/120))),0)))/100)*((((5000/(6000+Inputs!$B$43*(1-(100*(1-(1-(100*(1-(1-((1-(1-Inputs!$B$19/100)*(1-1/100))*100)/100)*(1-CHOOSE(ArtifactsInput!$N$40+1,5,6,7,8,9,10)/100)^(ArtifactsInput!$M$40-ArtifactsInput!$M$40)))/100)*(1-IF(ArtifactsInput!$M$40,CHOOSE(ArtifactsInput!$N$40+1,5,6,7,8,9,10),0)/100)^IF(Inputs!$B$39="pvp",1,2)))/100)))/(5000/(6000+Inputs!$B$43*(1-(100*(1-(1-((1-(1-Inputs!$B$19/100)*(1-1/100))*100)/100)*(1-CHOOSE(ArtifactsInput!$N$40+1,5,6,7,8,9,10)/100)^(ArtifactsInput!$M$40-ArtifactsInput!$M$40)))/100))))*((L748*(1-MIN(100,(Inputs!$B$9+((C759=TRUE)*(F759-Calc!F26))+B767+(ArtifactsInput!$M$24-ArtifactsInput!$M$24)*CHOOSE(ArtifactsInput!$N$24+1,10,12,14,16,18,20)+(IF(AND(Inputs!$B$39&lt;&gt;"pvp",Inputs!$B$44=0),1,IF(IF(Inputs!$B$39="pvp",15,Inputs!$B$44)-(B778)&lt;=0,1,MAX(0,IF(Inputs!$B$39="pvp",15,Inputs!$B$44)-MAX(5,B778))/(IF(Inputs!$B$39="pvp",15,Inputs!$B$44)-(B778))))*IF(AND(ArtifactsInput!$M$42,((Inputs!$B$9+((C759=TRUE)*(F759-Calc!F26))+B767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748*(MIN(100,(Inputs!$B$9+((C759=TRUE)*(F759-Calc!F26))+B767+(ArtifactsInput!$M$24-ArtifactsInput!$M$24)*CHOOSE(ArtifactsInput!$N$24+1,10,12,14,16,18,20)+(IF(AND(Inputs!$B$39&lt;&gt;"pvp",Inputs!$B$44=0),1,IF(IF(Inputs!$B$39="pvp",15,Inputs!$B$44)-(B778)&lt;=0,1,MAX(0,IF(Inputs!$B$39="pvp",15,Inputs!$B$44)-MAX(5,B778))/(IF(Inputs!$B$39="pvp",15,Inputs!$B$44)-(B778))))*IF(AND(ArtifactsInput!$M$42,((Inputs!$B$9+((C759=TRUE)*(F759-Calc!F26))+B767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748*(1-MIN(100,(Inputs!$B$9+((C759=TRUE)*(F759-Calc!F26))+B767+(ArtifactsInput!$M$24-ArtifactsInput!$M$24)*CHOOSE(ArtifactsInput!$N$24+1,10,12,14,16,18,20)+(IF(AND(Inputs!$B$39&lt;&gt;"pvp",Inputs!$B$44=0),1,IF(IF(Inputs!$B$39="pvp",15,Inputs!$B$44)-(B778)&lt;=0,1,MAX(0,IF(Inputs!$B$39="pvp",15,Inputs!$B$44)-MAX(5,B778))/(IF(Inputs!$B$39="pvp",15,Inputs!$B$44)-(B778))))*IF(AND(ArtifactsInput!$M$42,((Inputs!$B$9+((C759=TRUE)*(F759-Calc!F26))+B767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748*(MIN(100,(Inputs!$B$9+((C759=TRUE)*(F759-Calc!F26))+B767+(ArtifactsInput!$M$24-ArtifactsInput!$M$24)*CHOOSE(ArtifactsInput!$N$24+1,10,12,14,16,18,20)+(IF(AND(Inputs!$B$39&lt;&gt;"pvp",Inputs!$B$44=0),1,IF(IF(Inputs!$B$39="pvp",15,Inputs!$B$44)-(B778)&lt;=0,1,MAX(0,IF(Inputs!$B$39="pvp",15,Inputs!$B$44)-MAX(5,B778))/(IF(Inputs!$B$39="pvp",15,Inputs!$B$44)-(B778))))*IF(AND(ArtifactsInput!$M$42,((Inputs!$B$9+((C759=TRUE)*(F759-Calc!F26))+B767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748">
        <f>IF(C748,(H748*N748*IF(AND(Inputs!$B$39&lt;&gt;"pvp",Inputs!$B$44&gt;0),((Skills!G15*((R748-1)*IF(Skills!H15&gt;0,Skills!I15/Skills!H15,1)+IF(Skills!H15&gt;0,MIN(Skills!I15,MAX(0,MAX(0,Inputs!$B$44-B778)-((R748-1)*IF(Inputs!$B$39="pvp",15,MAX(0.1,Skills!D15-IF(TRUE=TRUE,Inputs!$B$32,0))))))/Skills!H15,1)))/Inputs!$B$44),G748*Q748))*IF(Inputs!$B$39="pvp",1,(1+(Inputs!$B$21+Skills!Q15+B768+(IF(ArtifactsInput!$M$33,CHOOSE(ArtifactsInput!$N$33+1,30,36,42,48,54,60),0))+(IF(AND(ArtifactsInput!$M$35,Inputs!$B$4&lt;&gt;"Chapter Hunt"),CHOOSE(ArtifactsInput!$N$35+1,15,18,21,24,27,30)*(1-EXP(-(0.2*B771)*5)),0)+IF(AND(ArtifactsInput!$M$22,Inputs!$B$4&lt;&gt;"Chapter Hunt"),CHOOSE(ArtifactsInput!$N$22+1,10,12,14,16,18,20)*((0*(((0.15*B771*5))^0/1)+1*(((0.15*B771*5))^1/1)+2*(((0.15*B771*5))^2/2)+3*(((0.15*B771*5))^3/6)+4*(((0.15*B771*5))^4/24)+5*(((0.15*B771*5))^5/120))/((((0.15*B771*5))^0/1)+(((0.15*B771*5))^1/1)+(((0.15*B771*5))^2/2)+(((0.15*B771*5))^3/6)+(((0.15*B771*5))^4/24)+(((0.15*B771*5))^5/120))),0)))/100)*(MIN(MIN(5,0.5*IF(Inputs!$B$3&gt;=75,0.75,0.5)*B771*(1/Q737))*Skills!V15,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749">
      <c r="A749">
        <f>Skills!A16</f>
        <v/>
      </c>
      <c r="B749">
        <f>Skills!B16</f>
        <v/>
      </c>
      <c r="C749">
        <f>Inputs!$B$3&gt;=110</f>
        <v/>
      </c>
      <c r="D749">
        <f>IF(Skills!C16=1,60+Inputs!$B$25+Inputs!$B$29,IF(Skills!C16=2,90+Inputs!$B$26+Inputs!$B$29,IF(Skills!C16=3,120+Inputs!$B$27+Inputs!$B$29,MAX(0,(Inputs!$B$3-100)*3)+Inputs!$B$28+Inputs!$B$29)))</f>
        <v/>
      </c>
      <c r="E749">
        <f>INDEX(FactorTable!$B$2:$Y$301, MATCH(ROUND(MIN(300,MAX(1,D749)),0), FactorTable!$A$2:$A$301,0), Skills!M16+1)</f>
        <v/>
      </c>
      <c r="F749">
        <f>IF(Skills!N16=TRUE,(Skills!L16/10)*(E749/1000),Skills!L16/10)+Skills!O16</f>
        <v/>
      </c>
      <c r="G749">
        <f>Skills!G16*IF(Skills!H16&gt;0,IF(Inputs!$B$39="pvp",MIN(Skills!I16,15),Skills!I16)/Skills!H16,1)</f>
        <v/>
      </c>
      <c r="H749">
        <f>1-(1-Skills!J16/100)^Skills!K16</f>
        <v/>
      </c>
      <c r="I749" t="inlineStr">
        <is>
          <t>1</t>
        </is>
      </c>
      <c r="J749" t="inlineStr"/>
      <c r="K749" t="inlineStr"/>
      <c r="L749" t="inlineStr"/>
      <c r="M749" t="inlineStr"/>
      <c r="N749" t="inlineStr"/>
      <c r="O749">
        <f>(1-Summary!$B$11)*T749+Summary!$B$11*V749</f>
        <v/>
      </c>
      <c r="P749">
        <f>IF(B779=0,0,O749/B779)</f>
        <v/>
      </c>
      <c r="Q749">
        <f>IFERROR(1/IF(Inputs!$B$39="pvp",15,MAX(0.1,Skills!D16-IF(TRUE=TRUE,Inputs!$B$32,0))),0)</f>
        <v/>
      </c>
      <c r="R749">
        <f>IF(AND(Inputs!$B$39&lt;&gt;"pvp",Inputs!$B$44&gt;0),IF(Inputs!$B$44&lt;=0,0,(INT(Inputs!$B$44/IF(Inputs!$B$39="pvp",15,MAX(0.1,Skills!D16-IF(TRUE=TRUE,Inputs!$B$32,0))))+1)),0)</f>
        <v/>
      </c>
      <c r="S749">
        <f>IFERROR(O749/N749,0)</f>
        <v/>
      </c>
      <c r="T749" t="n">
        <v>0</v>
      </c>
      <c r="V749" t="n">
        <v>0</v>
      </c>
    </row>
    <row r="750">
      <c r="A750">
        <f>Skills!A17</f>
        <v/>
      </c>
      <c r="B750">
        <f>Skills!B17</f>
        <v/>
      </c>
      <c r="C750">
        <f>Inputs!$B$3&gt;=115</f>
        <v/>
      </c>
      <c r="D750">
        <f>IF(Skills!C17=1,60+Inputs!$B$25+Inputs!$B$29,IF(Skills!C17=2,90+Inputs!$B$26+Inputs!$B$29,IF(Skills!C17=3,120+Inputs!$B$27+Inputs!$B$29,MAX(0,(Inputs!$B$3-100)*3)+Inputs!$B$28+Inputs!$B$29)))</f>
        <v/>
      </c>
      <c r="E750">
        <f>INDEX(FactorTable!$B$2:$Y$301, MATCH(ROUND(MIN(300,MAX(1,D750)),0), FactorTable!$A$2:$A$301,0), Skills!M17+1)</f>
        <v/>
      </c>
      <c r="F750">
        <f>IF(Skills!N17=TRUE,(Skills!L17/10)*(E750/1000),Skills!L17/10)+Skills!O17</f>
        <v/>
      </c>
      <c r="G750">
        <f>Skills!G17*IF(Skills!H17&gt;0,IF(Inputs!$B$39="pvp",MIN(Skills!I17,15),Skills!I17)/Skills!H17,1)</f>
        <v/>
      </c>
      <c r="H750">
        <f>1-(1-Skills!J17/100)^Skills!K17</f>
        <v/>
      </c>
      <c r="I750" t="inlineStr">
        <is>
          <t>1</t>
        </is>
      </c>
      <c r="J750">
        <f>((Inputs!$B$6*(1+Inputs!$B$7/100))+(((Inputs!$B$12*(1+Inputs!$B$13/100))-(Inputs!$B$12*(1+Inputs!$B$13/100)))+0.25*(Inputs!$B$14-Inputs!$B$14))*(1+Inputs!$B$7/100))*(F750/100)</f>
        <v/>
      </c>
      <c r="K750">
        <f>J750*(1+((Inputs!$B$12*(1+Inputs!$B$13/100))*0.01+Inputs!$B$14*0.0025)/100)*(1+Inputs!$B$15/100)*(1+Inputs!$B$16/100)*(5000/(6000+Inputs!$B$43*(1-(100*(1-(1-((1-(1-Inputs!$B$19/100)*(1-1/100))*100)/100)*(1-CHOOSE(ArtifactsInput!$N$40+1,5,6,7,8,9,10)/100)^(ArtifactsInput!$M$40-ArtifactsInput!$M$40)))/100)))*(1+(Inputs!$B$24+((C764=TRUE)*(F764-Calc!F31))+((C751=TRUE)*(F751-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17="CRUEL_STAB",Inputs!$B$17+((C761=TRUE)*(F761-Calc!F28))+((IF(AND(Inputs!$B$39&lt;&gt;"pvp",Inputs!$B$44=0),1,IF(IF(Inputs!$B$39="pvp",15,Inputs!$B$44)-(B778)&lt;=0,1,MAX(0,IF(Inputs!$B$39="pvp",15,Inputs!$B$44)-MAX(5,B778))/(IF(Inputs!$B$39="pvp",15,Inputs!$B$44)-(B778))))*(IF(AND(ArtifactsInput!$M$42,((Inputs!$B$9+((C759=TRUE)*(F759-Calc!F26))+B767+(ArtifactsInput!$M$24-ArtifactsInput!$M$24)*CHOOSE(ArtifactsInput!$N$24+1,10,12,14,16,18,20)+IF(ArtifactsInput!$M$10,CHOOSE(ArtifactsInput!$N$10+1,15,18,21,24,27,30)*(IF(Inputs!$B$39="pvp",MIN(15,15)/15,IF(AND(Inputs!$B$39&lt;&gt;"pvp",Inputs!$B$44&gt;0),MIN(15,Inputs!$B$44)/(Inputs!$B$44),0))),0)))&gt;=100),MIN(100,((Inputs!$B$9+((C759=TRUE)*(F759-Calc!F26))+B767+(ArtifactsInput!$M$24-ArtifactsInput!$M$24)*CHOOSE(ArtifactsInput!$N$24+1,10,12,14,16,18,20)+IF(ArtifactsInput!$M$10,CHOOSE(ArtifactsInput!$N$10+1,15,18,21,24,27,30)*(IF(Inputs!$B$39="pvp",MIN(15,15)/15,IF(AND(Inputs!$B$39&lt;&gt;"pvp",Inputs!$B$44&gt;0),MIN(15,Inputs!$B$44)/(Inputs!$B$44),0))),0)))-100),0))*CHOOSE(ArtifactsInput!$N$42+1,0.6,0.72,0.84,0.96,1.08,1.2))),Inputs!$B$18+((C762=TRUE)*(F762-Calc!F29))+(IF(AND(Inputs!$B$39&lt;&gt;"pvp",Inputs!$B$44=0),1,IF(IF(Inputs!$B$39="pvp",15,Inputs!$B$44)-(B778)&lt;=0,1,MAX(0,IF(Inputs!$B$39="pvp",15,Inputs!$B$44)-MAX(5,B778))/(IF(Inputs!$B$39="pvp",15,Inputs!$B$44)-(B778))))*IF(AND(ArtifactsInput!$M$42,((Inputs!$B$9+((C759=TRUE)*(F759-Calc!F26))+B767+(ArtifactsInput!$M$24-ArtifactsInput!$M$24)*CHOOSE(ArtifactsInput!$N$24+1,10,12,14,16,18,20)+IF(ArtifactsInput!$M$10,CHOOSE(ArtifactsInput!$N$10+1,15,18,21,24,27,30)*(IF(Inputs!$B$39="pvp",MIN(15,15)/15,IF(AND(Inputs!$B$39&lt;&gt;"pvp",Inputs!$B$44&gt;0),MIN(15,Inputs!$B$44)/(Inputs!$B$44),0))),0)))&gt;=100),CHOOSE(ArtifactsInput!$N$42+1,40,48,56,64,72,80),0))))/100)*(((1+(((C755=TRUE)*F755*IF(AND(Inputs!$B$39&lt;&gt;"pvp",Inputs!$B$44&gt;0),(((R755-1)*MIN((Skills!Y22*(1+Inputs!$B$34/100)),(1/Q755))+MIN((Skills!Y22*(1+Inputs!$B$34/100)),MAX(0,Inputs!$B$44-((R755-1)*(1/Q755)))))/Inputs!$B$44),IF(Inputs!$B$39="pvp",MIN((Skills!Y22*(1+Inputs!$B$34/100)),15)/15,MIN(1,(Skills!Y22*(1+Inputs!$B$34/100))/(1/Q755)))))+((C736=TRUE)*F736*3)+((C738=TRUE)*F738*(1-EXP(-0.75*B771*5)))+((C757=TRUE)*(F757-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744=TRUE)*F744*IF(AND(Inputs!$B$39&lt;&gt;"pvp",Inputs!$B$44&gt;0),(((R744-1)*MIN((Skills!Y11*(1+Inputs!$B$34/100)),(1/Q744))+MIN((Skills!Y11*(1+Inputs!$B$34/100)),MAX(0,Inputs!$B$44-((R744-1)*(1/Q744)))))/Inputs!$B$44),IF(Inputs!$B$39="pvp",MIN((Skills!Y11*(1+Inputs!$B$34/100)),15)/15,MIN(1,(Skills!Y11*(1+Inputs!$B$34/100))/(1/Q744)))))/100)*(1+((C749=TRUE)*F749*IF(AND(Inputs!$B$39&lt;&gt;"pvp",Inputs!$B$44&gt;0),(((R749-1)*MIN((Skills!Y16*(1+Inputs!$B$34/100)),(1/Q749))+MIN((Skills!Y16*(1+Inputs!$B$34/100)),MAX(0,Inputs!$B$44-((R749-1)*(1/Q749)))))/Inputs!$B$44),IF(Inputs!$B$39="pvp",MIN((Skills!Y16*(1+Inputs!$B$34/100)),15)/15,MIN(1,(Skills!Y16*(1+Inputs!$B$34/100))/(1/Q749)))))/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769*I750)</f>
        <v/>
      </c>
      <c r="L750">
        <f>K750*(MIN(Inputs!$B$22+((C758=TRUE)*(F758-Calc!F25)),(Inputs!$B$23+((C763=TRUE)*(F763-Calc!F30))+IF(ArtifactsInput!$M$15,CHOOSE(ArtifactsInput!$N$15+1,25,30,35,40,45,50)/100*(Inputs!$B$11-Inputs!$B$11),0)))/100+(Inputs!$B$23+((C763=TRUE)*(F763-Calc!F30))+IF(ArtifactsInput!$M$15,CHOOSE(ArtifactsInput!$N$15+1,25,30,35,40,45,50)/100*(Inputs!$B$11-Inputs!$B$11),0))/100)/2</f>
        <v/>
      </c>
      <c r="M750">
        <f>L750*(1+(Inputs!$B$10+((C760=TRUE)*(F760-Calc!F27))+B774+(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750">
        <f>L750*(1-MIN((Inputs!$B$9+((C759=TRUE)*(F759-Calc!F26))+B767+(ArtifactsInput!$M$24-ArtifactsInput!$M$24)*CHOOSE(ArtifactsInput!$N$24+1,10,12,14,16,18,20)+(IF(AND(Inputs!$B$39&lt;&gt;"pvp",Inputs!$B$44=0),1,IF(IF(Inputs!$B$39="pvp",15,Inputs!$B$44)-(B778)&lt;=0,1,MAX(0,IF(Inputs!$B$39="pvp",15,Inputs!$B$44)-MAX(5,B778))/(IF(Inputs!$B$39="pvp",15,Inputs!$B$44)-(B778))))*IF(AND(ArtifactsInput!$M$42,((Inputs!$B$9+((C759=TRUE)*(F759-Calc!F26))+B767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750*(MIN((Inputs!$B$9+((C759=TRUE)*(F759-Calc!F26))+B767+(ArtifactsInput!$M$24-ArtifactsInput!$M$24)*CHOOSE(ArtifactsInput!$N$24+1,10,12,14,16,18,20)+(IF(AND(Inputs!$B$39&lt;&gt;"pvp",Inputs!$B$44=0),1,IF(IF(Inputs!$B$39="pvp",15,Inputs!$B$44)-(B778)&lt;=0,1,MAX(0,IF(Inputs!$B$39="pvp",15,Inputs!$B$44)-MAX(5,B778))/(IF(Inputs!$B$39="pvp",15,Inputs!$B$44)-(B778))))*IF(AND(ArtifactsInput!$M$42,((Inputs!$B$9+((C759=TRUE)*(F759-Calc!F26))+B767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750">
        <f>(1-Summary!$B$11)*T750+Summary!$B$11*V750</f>
        <v/>
      </c>
      <c r="P750">
        <f>IF(B779=0,0,O750/B779)</f>
        <v/>
      </c>
      <c r="Q750" t="n">
        <v>0</v>
      </c>
      <c r="R750" t="n">
        <v>0</v>
      </c>
      <c r="S750">
        <f>IFERROR(O750/N750,0)</f>
        <v/>
      </c>
      <c r="T750">
        <f>IF(C750,(Inputs!$B$38*0.2*N750)*IF(Inputs!$B$39="pvp",1,1+(Inputs!$B$20+0+Skills!P17+B768+(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Hunt"),CHOOSE(ArtifactsInput!$N$35+1,15,18,21,24,27,30)*(1-EXP(-(0.2*B771)*5)),0)+IF(AND(ArtifactsInput!$M$22,Inputs!$B$4&lt;&gt;"Chapter Hunt"),CHOOSE(ArtifactsInput!$N$22+1,10,12,14,16,18,20)*((0*(((0.15*B771*5))^0/1)+1*(((0.15*B771*5))^1/1)+2*(((0.15*B771*5))^2/2)+3*(((0.15*B771*5))^3/6)+4*(((0.15*B771*5))^4/24)+5*(((0.15*B771*5))^5/120))/((((0.15*B771*5))^0/1)+(((0.15*B771*5))^1/1)+(((0.15*B771*5))^2/2)+(((0.15*B771*5))^3/6)+(((0.15*B771*5))^4/24)+(((0.15*B771*5))^5/120))),0)))/100)*((((5000/(6000+Inputs!$B$43*(1-(100*(1-(1-(100*(1-(1-((1-(1-Inputs!$B$19/100)*(1-1/100))*100)/100)*(1-CHOOSE(ArtifactsInput!$N$40+1,5,6,7,8,9,10)/100)^(ArtifactsInput!$M$40-ArtifactsInput!$M$40)))/100)*(1-IF(ArtifactsInput!$M$40,CHOOSE(ArtifactsInput!$N$40+1,5,6,7,8,9,10),0)/100)^IF(Inputs!$B$39="pvp",1,2)))/100)))/(5000/(6000+Inputs!$B$43*(1-(100*(1-(1-((1-(1-Inputs!$B$19/100)*(1-1/100))*100)/100)*(1-CHOOSE(ArtifactsInput!$N$40+1,5,6,7,8,9,10)/100)^(ArtifactsInput!$M$40-ArtifactsInput!$M$40)))/100))))*((L750*(1-MIN(100,(Inputs!$B$9+((C759=TRUE)*(F759-Calc!F26))+B767+(ArtifactsInput!$M$24-ArtifactsInput!$M$24)*CHOOSE(ArtifactsInput!$N$24+1,10,12,14,16,18,20)+(IF(AND(Inputs!$B$39&lt;&gt;"pvp",Inputs!$B$44=0),1,IF(IF(Inputs!$B$39="pvp",15,Inputs!$B$44)-(B778)&lt;=0,1,MAX(0,IF(Inputs!$B$39="pvp",15,Inputs!$B$44)-MAX(5,B778))/(IF(Inputs!$B$39="pvp",15,Inputs!$B$44)-(B778))))*IF(AND(ArtifactsInput!$M$42,((Inputs!$B$9+((C759=TRUE)*(F759-Calc!F26))+B767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750*(MIN(100,(Inputs!$B$9+((C759=TRUE)*(F759-Calc!F26))+B767+(ArtifactsInput!$M$24-ArtifactsInput!$M$24)*CHOOSE(ArtifactsInput!$N$24+1,10,12,14,16,18,20)+(IF(AND(Inputs!$B$39&lt;&gt;"pvp",Inputs!$B$44=0),1,IF(IF(Inputs!$B$39="pvp",15,Inputs!$B$44)-(B778)&lt;=0,1,MAX(0,IF(Inputs!$B$39="pvp",15,Inputs!$B$44)-MAX(5,B778))/(IF(Inputs!$B$39="pvp",15,Inputs!$B$44)-(B778))))*IF(AND(ArtifactsInput!$M$42,((Inputs!$B$9+((C759=TRUE)*(F759-Calc!F26))+B767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750*(1-MIN(100,(Inputs!$B$9+((C759=TRUE)*(F759-Calc!F26))+B767+(ArtifactsInput!$M$24-ArtifactsInput!$M$24)*CHOOSE(ArtifactsInput!$N$24+1,10,12,14,16,18,20)+(IF(AND(Inputs!$B$39&lt;&gt;"pvp",Inputs!$B$44=0),1,IF(IF(Inputs!$B$39="pvp",15,Inputs!$B$44)-(B778)&lt;=0,1,MAX(0,IF(Inputs!$B$39="pvp",15,Inputs!$B$44)-MAX(5,B778))/(IF(Inputs!$B$39="pvp",15,Inputs!$B$44)-(B778))))*IF(AND(ArtifactsInput!$M$42,((Inputs!$B$9+((C759=TRUE)*(F759-Calc!F26))+B767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750*(MIN(100,(Inputs!$B$9+((C759=TRUE)*(F759-Calc!F26))+B767+(ArtifactsInput!$M$24-ArtifactsInput!$M$24)*CHOOSE(ArtifactsInput!$N$24+1,10,12,14,16,18,20)+(IF(AND(Inputs!$B$39&lt;&gt;"pvp",Inputs!$B$44=0),1,IF(IF(Inputs!$B$39="pvp",15,Inputs!$B$44)-(B778)&lt;=0,1,MAX(0,IF(Inputs!$B$39="pvp",15,Inputs!$B$44)-MAX(5,B778))/(IF(Inputs!$B$39="pvp",15,Inputs!$B$44)-(B778))))*IF(AND(ArtifactsInput!$M$42,((Inputs!$B$9+((C759=TRUE)*(F759-Calc!F26))+B767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750">
        <f>IF(C750,(Inputs!$B$38*0.2*N750)*IF(Inputs!$B$39="pvp",1,(1+(Inputs!$B$21+Skills!Q17+B768+(IF(ArtifactsInput!$M$33,CHOOSE(ArtifactsInput!$N$33+1,30,36,42,48,54,60),0))+(IF(AND(ArtifactsInput!$M$35,Inputs!$B$4&lt;&gt;"Chapter Hunt"),CHOOSE(ArtifactsInput!$N$35+1,15,18,21,24,27,30)*(1-EXP(-(0.2*B771)*5)),0)+IF(AND(ArtifactsInput!$M$22,Inputs!$B$4&lt;&gt;"Chapter Hunt"),CHOOSE(ArtifactsInput!$N$22+1,10,12,14,16,18,20)*((0*(((0.15*B771*5))^0/1)+1*(((0.15*B771*5))^1/1)+2*(((0.15*B771*5))^2/2)+3*(((0.15*B771*5))^3/6)+4*(((0.15*B771*5))^4/24)+5*(((0.15*B771*5))^5/120))/((((0.15*B771*5))^0/1)+(((0.15*B771*5))^1/1)+(((0.15*B771*5))^2/2)+(((0.15*B771*5))^3/6)+(((0.15*B771*5))^4/24)+(((0.15*B771*5))^5/120))),0)))/100)*(MIN(Skills!W17,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751">
      <c r="A751">
        <f>Skills!A18</f>
        <v/>
      </c>
      <c r="B751">
        <f>Skills!B18</f>
        <v/>
      </c>
      <c r="C751">
        <f>Inputs!$B$3&gt;=115</f>
        <v/>
      </c>
      <c r="D751">
        <f>IF(Skills!C18=1,60+Inputs!$B$25+Inputs!$B$29,IF(Skills!C18=2,90+Inputs!$B$26+Inputs!$B$29,IF(Skills!C18=3,120+Inputs!$B$27+Inputs!$B$29,MAX(0,(Inputs!$B$3-100)*3)+Inputs!$B$28+Inputs!$B$29)))</f>
        <v/>
      </c>
      <c r="E751">
        <f>INDEX(FactorTable!$B$2:$Y$301, MATCH(ROUND(MIN(300,MAX(1,D751)),0), FactorTable!$A$2:$A$301,0), Skills!M18+1)</f>
        <v/>
      </c>
      <c r="F751">
        <f>IF(Skills!N18=TRUE,(Skills!L18/10)*(E751/1000),Skills!L18/10)+Skills!O18</f>
        <v/>
      </c>
      <c r="G751">
        <f>Skills!G18*IF(Skills!H18&gt;0,IF(Inputs!$B$39="pvp",MIN(Skills!I18,15),Skills!I18)/Skills!H18,1)</f>
        <v/>
      </c>
      <c r="H751">
        <f>1-(1-Skills!J18/100)^Skills!K18</f>
        <v/>
      </c>
      <c r="I751" t="inlineStr">
        <is>
          <t>1</t>
        </is>
      </c>
      <c r="J751" t="inlineStr"/>
      <c r="K751" t="inlineStr"/>
      <c r="L751" t="inlineStr"/>
      <c r="M751" t="inlineStr"/>
      <c r="N751" t="inlineStr"/>
      <c r="O751">
        <f>(1-Summary!$B$11)*T751+Summary!$B$11*V751</f>
        <v/>
      </c>
      <c r="P751">
        <f>IF(B779=0,0,O751/B779)</f>
        <v/>
      </c>
      <c r="Q751" t="n">
        <v>0</v>
      </c>
      <c r="R751" t="n">
        <v>0</v>
      </c>
      <c r="S751">
        <f>IFERROR(O751/N751,0)</f>
        <v/>
      </c>
      <c r="T751" t="n">
        <v>0</v>
      </c>
      <c r="V751" t="n">
        <v>0</v>
      </c>
    </row>
    <row r="752">
      <c r="A752">
        <f>Skills!A19</f>
        <v/>
      </c>
      <c r="B752">
        <f>Skills!B19</f>
        <v/>
      </c>
      <c r="C752">
        <f>Inputs!$B$3&gt;=100</f>
        <v/>
      </c>
      <c r="D752">
        <f>IF(Skills!C19=1,60+Inputs!$B$25+Inputs!$B$29,IF(Skills!C19=2,90+Inputs!$B$26+Inputs!$B$29,IF(Skills!C19=3,120+Inputs!$B$27+Inputs!$B$29,MAX(0,(Inputs!$B$3-100)*3)+Inputs!$B$28+Inputs!$B$29)))</f>
        <v/>
      </c>
      <c r="E752">
        <f>INDEX(FactorTable!$B$2:$Y$301, MATCH(ROUND(MIN(300,MAX(1,D752)),0), FactorTable!$A$2:$A$301,0), Skills!M19+1)</f>
        <v/>
      </c>
      <c r="F752">
        <f>IF(Skills!N19=TRUE,(Skills!L19/10)*(E752/1000),Skills!L19/10)+Skills!O19</f>
        <v/>
      </c>
      <c r="G752">
        <f>Skills!G19*IF(Skills!H19&gt;0,IF(Inputs!$B$39="pvp",MIN(Skills!I19,15),Skills!I19)/Skills!H19,1)</f>
        <v/>
      </c>
      <c r="H752">
        <f>1-(1-Skills!J19/100)^Skills!K19</f>
        <v/>
      </c>
      <c r="I752" t="inlineStr">
        <is>
          <t>1</t>
        </is>
      </c>
      <c r="J752" t="inlineStr"/>
      <c r="K752" t="inlineStr"/>
      <c r="L752" t="inlineStr"/>
      <c r="M752" t="inlineStr"/>
      <c r="N752" t="inlineStr"/>
      <c r="O752">
        <f>(1-Summary!$B$11)*T752+Summary!$B$11*V752</f>
        <v/>
      </c>
      <c r="P752">
        <f>IF(B779=0,0,O752/B779)</f>
        <v/>
      </c>
      <c r="Q752" t="n">
        <v>0</v>
      </c>
      <c r="R752" t="n">
        <v>0</v>
      </c>
      <c r="S752">
        <f>IFERROR(O752/N752,0)</f>
        <v/>
      </c>
      <c r="T752" t="n">
        <v>0</v>
      </c>
      <c r="V752" t="n">
        <v>0</v>
      </c>
    </row>
    <row r="753">
      <c r="A753">
        <f>Skills!A20</f>
        <v/>
      </c>
      <c r="B753">
        <f>Skills!B20</f>
        <v/>
      </c>
      <c r="C753">
        <f>TRUE</f>
        <v/>
      </c>
      <c r="D753">
        <f>IF(Skills!C20=1,60+Inputs!$B$25+Inputs!$B$29,IF(Skills!C20=2,90+Inputs!$B$26+Inputs!$B$29,IF(Skills!C20=3,120+Inputs!$B$27+Inputs!$B$29,MAX(0,(Inputs!$B$3-100)*3)+Inputs!$B$28+Inputs!$B$29)))</f>
        <v/>
      </c>
      <c r="E753">
        <f>INDEX(FactorTable!$B$2:$Y$301, MATCH(ROUND(MIN(300,MAX(1,D753)),0), FactorTable!$A$2:$A$301,0), Skills!M20+1)</f>
        <v/>
      </c>
      <c r="F753">
        <f>IF(Skills!N20=TRUE,(Skills!L20/10)*(E753/1000),Skills!L20/10)+Skills!O20</f>
        <v/>
      </c>
      <c r="G753">
        <f>Skills!G20*IF(Skills!H20&gt;0,IF(Inputs!$B$39="pvp",MIN(Skills!I20,15),Skills!I20)/Skills!H20,1)</f>
        <v/>
      </c>
      <c r="H753">
        <f>1-(1-Skills!J20/100)^Skills!K20</f>
        <v/>
      </c>
      <c r="I753" t="inlineStr">
        <is>
          <t>1</t>
        </is>
      </c>
      <c r="J753" t="inlineStr"/>
      <c r="K753" t="inlineStr"/>
      <c r="L753" t="inlineStr"/>
      <c r="M753" t="inlineStr"/>
      <c r="N753" t="inlineStr"/>
      <c r="O753">
        <f>(1-Summary!$B$11)*T753+Summary!$B$11*V753</f>
        <v/>
      </c>
      <c r="P753">
        <f>IF(B779=0,0,O753/B779)</f>
        <v/>
      </c>
      <c r="Q753">
        <f>IFERROR(1/IF(Inputs!$B$39="pvp",15,MAX(0.1,Skills!D20-IF(TRUE=TRUE,Inputs!$B$32,0))),0)</f>
        <v/>
      </c>
      <c r="R753">
        <f>IF(AND(Inputs!$B$39&lt;&gt;"pvp",Inputs!$B$44&gt;0),IF(Inputs!$B$44&lt;=0,0,(INT(Inputs!$B$44/IF(Inputs!$B$39="pvp",15,MAX(0.1,Skills!D20-IF(TRUE=TRUE,Inputs!$B$32,0))))+1)),0)</f>
        <v/>
      </c>
      <c r="S753">
        <f>IFERROR(O753/N753,0)</f>
        <v/>
      </c>
      <c r="T753" t="n">
        <v>0</v>
      </c>
      <c r="V753" t="n">
        <v>0</v>
      </c>
    </row>
    <row r="754">
      <c r="A754">
        <f>Skills!A21</f>
        <v/>
      </c>
      <c r="B754">
        <f>Skills!B21</f>
        <v/>
      </c>
      <c r="C754">
        <f>Inputs!$B$3&gt;=15</f>
        <v/>
      </c>
      <c r="D754">
        <f>IF(Skills!C21=1,60+Inputs!$B$25+Inputs!$B$29,IF(Skills!C21=2,90+Inputs!$B$26+Inputs!$B$29,IF(Skills!C21=3,120+Inputs!$B$27+Inputs!$B$29,MAX(0,(Inputs!$B$3-100)*3)+Inputs!$B$28+Inputs!$B$29)))</f>
        <v/>
      </c>
      <c r="E754">
        <f>INDEX(FactorTable!$B$2:$Y$301, MATCH(ROUND(MIN(300,MAX(1,D754)),0), FactorTable!$A$2:$A$301,0), Skills!M21+1)</f>
        <v/>
      </c>
      <c r="F754">
        <f>IF(Skills!N21=TRUE,(Skills!L21/10)*(E754/1000),Skills!L21/10)+Skills!O21</f>
        <v/>
      </c>
      <c r="G754">
        <f>Skills!G21*IF(Skills!H21&gt;0,IF(Inputs!$B$39="pvp",MIN(Skills!I21,15),Skills!I21)/Skills!H21,1)</f>
        <v/>
      </c>
      <c r="H754">
        <f>1-(1-Skills!J21/100)^Skills!K21</f>
        <v/>
      </c>
      <c r="I754" t="inlineStr">
        <is>
          <t>1</t>
        </is>
      </c>
      <c r="J754" t="inlineStr"/>
      <c r="K754" t="inlineStr"/>
      <c r="L754" t="inlineStr"/>
      <c r="M754" t="inlineStr"/>
      <c r="N754" t="inlineStr"/>
      <c r="O754">
        <f>(1-Summary!$B$11)*T754+Summary!$B$11*V754</f>
        <v/>
      </c>
      <c r="P754">
        <f>IF(B779=0,0,O754/B779)</f>
        <v/>
      </c>
      <c r="Q754">
        <f>IFERROR(1/IF(Inputs!$B$39="pvp",15,MAX(0.1,Skills!D21-IF(TRUE=TRUE,Inputs!$B$32,0))),0)</f>
        <v/>
      </c>
      <c r="R754">
        <f>IF(AND(Inputs!$B$39&lt;&gt;"pvp",Inputs!$B$44&gt;0),IF(Inputs!$B$44&lt;=0,0,(INT(Inputs!$B$44/IF(Inputs!$B$39="pvp",15,MAX(0.1,Skills!D21-IF(TRUE=TRUE,Inputs!$B$32,0))))+1)),0)</f>
        <v/>
      </c>
      <c r="S754">
        <f>IFERROR(O754/N754,0)</f>
        <v/>
      </c>
      <c r="T754" t="n">
        <v>0</v>
      </c>
      <c r="V754" t="n">
        <v>0</v>
      </c>
    </row>
    <row r="755">
      <c r="A755">
        <f>Skills!A22</f>
        <v/>
      </c>
      <c r="B755">
        <f>Skills!B22</f>
        <v/>
      </c>
      <c r="C755">
        <f>Inputs!$B$3&gt;=15</f>
        <v/>
      </c>
      <c r="D755">
        <f>IF(Skills!C22=1,60+Inputs!$B$25+Inputs!$B$29,IF(Skills!C22=2,90+Inputs!$B$26+Inputs!$B$29,IF(Skills!C22=3,120+Inputs!$B$27+Inputs!$B$29,MAX(0,(Inputs!$B$3-100)*3)+Inputs!$B$28+Inputs!$B$29)))</f>
        <v/>
      </c>
      <c r="E755">
        <f>INDEX(FactorTable!$B$2:$Y$301, MATCH(ROUND(MIN(300,MAX(1,D755)),0), FactorTable!$A$2:$A$301,0), Skills!M22+1)</f>
        <v/>
      </c>
      <c r="F755">
        <f>IF(Skills!N22=TRUE,(Skills!L22/10)*(E755/1000),Skills!L22/10)+Skills!O22</f>
        <v/>
      </c>
      <c r="G755">
        <f>Skills!G22*IF(Skills!H22&gt;0,IF(Inputs!$B$39="pvp",MIN(Skills!I22,15),Skills!I22)/Skills!H22,1)</f>
        <v/>
      </c>
      <c r="H755">
        <f>1-(1-Skills!J22/100)^Skills!K22</f>
        <v/>
      </c>
      <c r="I755" t="inlineStr">
        <is>
          <t>1</t>
        </is>
      </c>
      <c r="J755" t="inlineStr"/>
      <c r="K755" t="inlineStr"/>
      <c r="L755" t="inlineStr"/>
      <c r="M755" t="inlineStr"/>
      <c r="N755" t="inlineStr"/>
      <c r="O755">
        <f>(1-Summary!$B$11)*T755+Summary!$B$11*V755</f>
        <v/>
      </c>
      <c r="P755">
        <f>IF(B779=0,0,O755/B779)</f>
        <v/>
      </c>
      <c r="Q755">
        <f>IFERROR(1/IF(Inputs!$B$39="pvp",15,MAX(0.1,Skills!D22-IF(TRUE=TRUE,Inputs!$B$32,0))),0)</f>
        <v/>
      </c>
      <c r="R755">
        <f>IF(AND(Inputs!$B$39&lt;&gt;"pvp",Inputs!$B$44&gt;0),IF(Inputs!$B$44&lt;=0,0,(INT(Inputs!$B$44/IF(Inputs!$B$39="pvp",15,MAX(0.1,Skills!D22-IF(TRUE=TRUE,Inputs!$B$32,0))))+1)),0)</f>
        <v/>
      </c>
      <c r="S755">
        <f>IFERROR(O755/N755,0)</f>
        <v/>
      </c>
      <c r="T755" t="n">
        <v>0</v>
      </c>
      <c r="V755" t="n">
        <v>0</v>
      </c>
    </row>
    <row r="756">
      <c r="A756">
        <f>Skills!A23</f>
        <v/>
      </c>
      <c r="B756">
        <f>Skills!B23</f>
        <v/>
      </c>
      <c r="C756">
        <f>Inputs!$B$3&gt;=33</f>
        <v/>
      </c>
      <c r="D756">
        <f>IF(Skills!C23=1,60+Inputs!$B$25+Inputs!$B$29,IF(Skills!C23=2,90+Inputs!$B$26+Inputs!$B$29,IF(Skills!C23=3,120+Inputs!$B$27+Inputs!$B$29,MAX(0,(Inputs!$B$3-100)*3)+Inputs!$B$28+Inputs!$B$29)))</f>
        <v/>
      </c>
      <c r="E756">
        <f>INDEX(FactorTable!$B$2:$Y$301, MATCH(ROUND(MIN(300,MAX(1,D756)),0), FactorTable!$A$2:$A$301,0), Skills!M23+1)</f>
        <v/>
      </c>
      <c r="F756">
        <f>IF(Skills!N23=TRUE,(Skills!L23/10)*(E756/1000),Skills!L23/10)+Skills!O23</f>
        <v/>
      </c>
      <c r="G756">
        <f>Skills!G23*IF(Skills!H23&gt;0,IF(Inputs!$B$39="pvp",MIN(Skills!I23,15),Skills!I23)/Skills!H23,1)</f>
        <v/>
      </c>
      <c r="H756">
        <f>1-(1-Skills!J23/100)^Skills!K23</f>
        <v/>
      </c>
      <c r="I756" t="inlineStr">
        <is>
          <t>1</t>
        </is>
      </c>
      <c r="J756" t="inlineStr"/>
      <c r="K756" t="inlineStr"/>
      <c r="L756" t="inlineStr"/>
      <c r="M756" t="inlineStr"/>
      <c r="N756" t="inlineStr"/>
      <c r="O756">
        <f>(1-Summary!$B$11)*T756+Summary!$B$11*V756</f>
        <v/>
      </c>
      <c r="P756">
        <f>IF(B779=0,0,O756/B779)</f>
        <v/>
      </c>
      <c r="Q756" t="n">
        <v>0</v>
      </c>
      <c r="R756" t="n">
        <v>0</v>
      </c>
      <c r="S756">
        <f>IFERROR(O756/N756,0)</f>
        <v/>
      </c>
      <c r="T756" t="n">
        <v>0</v>
      </c>
      <c r="V756" t="n">
        <v>0</v>
      </c>
    </row>
    <row r="757">
      <c r="A757">
        <f>Skills!A24</f>
        <v/>
      </c>
      <c r="B757">
        <f>Skills!B24</f>
        <v/>
      </c>
      <c r="C757">
        <f>Inputs!$B$3&gt;=40</f>
        <v/>
      </c>
      <c r="D757">
        <f>IF(Skills!C24=1,60+Inputs!$B$25+Inputs!$B$29,IF(Skills!C24=2,90+Inputs!$B$26+Inputs!$B$29,IF(Skills!C24=3,120+Inputs!$B$27+Inputs!$B$29,MAX(0,(Inputs!$B$3-100)*3)+Inputs!$B$28+Inputs!$B$29)))</f>
        <v/>
      </c>
      <c r="E757">
        <f>INDEX(FactorTable!$B$2:$Y$301, MATCH(ROUND(MIN(300,MAX(1,D757)),0), FactorTable!$A$2:$A$301,0), Skills!M24+1)</f>
        <v/>
      </c>
      <c r="F757">
        <f>IF(Skills!N24=TRUE,(Skills!L24/10)*(E757/1000),Skills!L24/10)+Skills!O24</f>
        <v/>
      </c>
      <c r="G757">
        <f>Skills!G24*IF(Skills!H24&gt;0,IF(Inputs!$B$39="pvp",MIN(Skills!I24,15),Skills!I24)/Skills!H24,1)</f>
        <v/>
      </c>
      <c r="H757">
        <f>1-(1-Skills!J24/100)^Skills!K24</f>
        <v/>
      </c>
      <c r="I757" t="inlineStr">
        <is>
          <t>1</t>
        </is>
      </c>
      <c r="J757" t="inlineStr"/>
      <c r="K757" t="inlineStr"/>
      <c r="L757" t="inlineStr"/>
      <c r="M757" t="inlineStr"/>
      <c r="N757" t="inlineStr"/>
      <c r="O757">
        <f>(1-Summary!$B$11)*T757+Summary!$B$11*V757</f>
        <v/>
      </c>
      <c r="P757">
        <f>IF(B779=0,0,O757/B779)</f>
        <v/>
      </c>
      <c r="Q757" t="n">
        <v>0</v>
      </c>
      <c r="R757" t="n">
        <v>0</v>
      </c>
      <c r="S757">
        <f>IFERROR(O757/N757,0)</f>
        <v/>
      </c>
      <c r="T757" t="n">
        <v>0</v>
      </c>
      <c r="V757" t="n">
        <v>0</v>
      </c>
    </row>
    <row r="758">
      <c r="A758">
        <f>Skills!A25</f>
        <v/>
      </c>
      <c r="B758">
        <f>Skills!B25</f>
        <v/>
      </c>
      <c r="C758">
        <f>Inputs!$B$3&gt;=43</f>
        <v/>
      </c>
      <c r="D758">
        <f>IF(Skills!C25=1,60+Inputs!$B$25+Inputs!$B$29,IF(Skills!C25=2,90+Inputs!$B$26+Inputs!$B$29,IF(Skills!C25=3,120+Inputs!$B$27+Inputs!$B$29,MAX(0,(Inputs!$B$3-100)*3)+Inputs!$B$28+Inputs!$B$29)))</f>
        <v/>
      </c>
      <c r="E758">
        <f>INDEX(FactorTable!$B$2:$Y$301, MATCH(ROUND(MIN(300,MAX(1,D758)),0), FactorTable!$A$2:$A$301,0), Skills!M25+1)</f>
        <v/>
      </c>
      <c r="F758">
        <f>IF(Skills!N25=TRUE,(Skills!L25/10)*(E758/1000),Skills!L25/10)+Skills!O25</f>
        <v/>
      </c>
      <c r="G758">
        <f>Skills!G25*IF(Skills!H25&gt;0,IF(Inputs!$B$39="pvp",MIN(Skills!I25,15),Skills!I25)/Skills!H25,1)</f>
        <v/>
      </c>
      <c r="H758">
        <f>1-(1-Skills!J25/100)^Skills!K25</f>
        <v/>
      </c>
      <c r="I758" t="inlineStr">
        <is>
          <t>1</t>
        </is>
      </c>
      <c r="J758" t="inlineStr"/>
      <c r="K758" t="inlineStr"/>
      <c r="L758" t="inlineStr"/>
      <c r="M758" t="inlineStr"/>
      <c r="N758" t="inlineStr"/>
      <c r="O758">
        <f>(1-Summary!$B$11)*T758+Summary!$B$11*V758</f>
        <v/>
      </c>
      <c r="P758">
        <f>IF(B779=0,0,O758/B779)</f>
        <v/>
      </c>
      <c r="Q758" t="n">
        <v>0</v>
      </c>
      <c r="R758" t="n">
        <v>0</v>
      </c>
      <c r="S758">
        <f>IFERROR(O758/N758,0)</f>
        <v/>
      </c>
      <c r="T758" t="n">
        <v>0</v>
      </c>
      <c r="V758" t="n">
        <v>0</v>
      </c>
    </row>
    <row r="759">
      <c r="A759">
        <f>Skills!A26</f>
        <v/>
      </c>
      <c r="B759">
        <f>Skills!B26</f>
        <v/>
      </c>
      <c r="C759">
        <f>Inputs!$B$3&gt;=50</f>
        <v/>
      </c>
      <c r="D759">
        <f>IF(Skills!C26=1,60+Inputs!$B$25+Inputs!$B$29,IF(Skills!C26=2,90+Inputs!$B$26+Inputs!$B$29,IF(Skills!C26=3,120+Inputs!$B$27+Inputs!$B$29,MAX(0,(Inputs!$B$3-100)*3)+Inputs!$B$28+Inputs!$B$29)))</f>
        <v/>
      </c>
      <c r="E759">
        <f>INDEX(FactorTable!$B$2:$Y$301, MATCH(ROUND(MIN(300,MAX(1,D759)),0), FactorTable!$A$2:$A$301,0), Skills!M26+1)</f>
        <v/>
      </c>
      <c r="F759">
        <f>IF(Skills!N26=TRUE,(Skills!L26/10)*(E759/1000),Skills!L26/10)+Skills!O26</f>
        <v/>
      </c>
      <c r="G759">
        <f>Skills!G26*IF(Skills!H26&gt;0,IF(Inputs!$B$39="pvp",MIN(Skills!I26,15),Skills!I26)/Skills!H26,1)</f>
        <v/>
      </c>
      <c r="H759">
        <f>1-(1-Skills!J26/100)^Skills!K26</f>
        <v/>
      </c>
      <c r="I759" t="inlineStr">
        <is>
          <t>1</t>
        </is>
      </c>
      <c r="J759" t="inlineStr"/>
      <c r="K759" t="inlineStr"/>
      <c r="L759" t="inlineStr"/>
      <c r="M759" t="inlineStr"/>
      <c r="N759" t="inlineStr"/>
      <c r="O759">
        <f>(1-Summary!$B$11)*T759+Summary!$B$11*V759</f>
        <v/>
      </c>
      <c r="P759">
        <f>IF(B779=0,0,O759/B779)</f>
        <v/>
      </c>
      <c r="Q759" t="n">
        <v>0</v>
      </c>
      <c r="R759" t="n">
        <v>0</v>
      </c>
      <c r="S759">
        <f>IFERROR(O759/N759,0)</f>
        <v/>
      </c>
      <c r="T759" t="n">
        <v>0</v>
      </c>
      <c r="V759" t="n">
        <v>0</v>
      </c>
    </row>
    <row r="760">
      <c r="A760">
        <f>Skills!A27</f>
        <v/>
      </c>
      <c r="B760">
        <f>Skills!B27</f>
        <v/>
      </c>
      <c r="C760">
        <f>Inputs!$B$3&gt;=50</f>
        <v/>
      </c>
      <c r="D760">
        <f>IF(Skills!C27=1,60+Inputs!$B$25+Inputs!$B$29,IF(Skills!C27=2,90+Inputs!$B$26+Inputs!$B$29,IF(Skills!C27=3,120+Inputs!$B$27+Inputs!$B$29,MAX(0,(Inputs!$B$3-100)*3)+Inputs!$B$28+Inputs!$B$29)))</f>
        <v/>
      </c>
      <c r="E760">
        <f>INDEX(FactorTable!$B$2:$Y$301, MATCH(ROUND(MIN(300,MAX(1,D760)),0), FactorTable!$A$2:$A$301,0), Skills!M27+1)</f>
        <v/>
      </c>
      <c r="F760">
        <f>IF(Skills!N27=TRUE,(Skills!L27/10)*(E760/1000),Skills!L27/10)+Skills!O27</f>
        <v/>
      </c>
      <c r="G760">
        <f>Skills!G27*IF(Skills!H27&gt;0,IF(Inputs!$B$39="pvp",MIN(Skills!I27,15),Skills!I27)/Skills!H27,1)</f>
        <v/>
      </c>
      <c r="H760">
        <f>1-(1-Skills!J27/100)^Skills!K27</f>
        <v/>
      </c>
      <c r="I760" t="inlineStr">
        <is>
          <t>1</t>
        </is>
      </c>
      <c r="J760" t="inlineStr"/>
      <c r="K760" t="inlineStr"/>
      <c r="L760" t="inlineStr"/>
      <c r="M760" t="inlineStr"/>
      <c r="N760" t="inlineStr"/>
      <c r="O760">
        <f>(1-Summary!$B$11)*T760+Summary!$B$11*V760</f>
        <v/>
      </c>
      <c r="P760">
        <f>IF(B779=0,0,O760/B779)</f>
        <v/>
      </c>
      <c r="Q760" t="n">
        <v>0</v>
      </c>
      <c r="R760" t="n">
        <v>0</v>
      </c>
      <c r="S760">
        <f>IFERROR(O760/N760,0)</f>
        <v/>
      </c>
      <c r="T760" t="n">
        <v>0</v>
      </c>
      <c r="V760" t="n">
        <v>0</v>
      </c>
    </row>
    <row r="761">
      <c r="A761">
        <f>Skills!A28</f>
        <v/>
      </c>
      <c r="B761">
        <f>Skills!B28</f>
        <v/>
      </c>
      <c r="C761">
        <f>Inputs!$B$3&gt;=38</f>
        <v/>
      </c>
      <c r="D761">
        <f>IF(Skills!C28=1,60+Inputs!$B$25+Inputs!$B$29,IF(Skills!C28=2,90+Inputs!$B$26+Inputs!$B$29,IF(Skills!C28=3,120+Inputs!$B$27+Inputs!$B$29,MAX(0,(Inputs!$B$3-100)*3)+Inputs!$B$28+Inputs!$B$29)))</f>
        <v/>
      </c>
      <c r="E761">
        <f>INDEX(FactorTable!$B$2:$Y$301, MATCH(ROUND(MIN(300,MAX(1,D761)),0), FactorTable!$A$2:$A$301,0), Skills!M28+1)</f>
        <v/>
      </c>
      <c r="F761">
        <f>IF(Skills!N28=TRUE,(Skills!L28/10)*(E761/1000),Skills!L28/10)+Skills!O28</f>
        <v/>
      </c>
      <c r="G761">
        <f>Skills!G28*IF(Skills!H28&gt;0,IF(Inputs!$B$39="pvp",MIN(Skills!I28,15),Skills!I28)/Skills!H28,1)</f>
        <v/>
      </c>
      <c r="H761">
        <f>1-(1-Skills!J28/100)^Skills!K28</f>
        <v/>
      </c>
      <c r="I761" t="inlineStr">
        <is>
          <t>1</t>
        </is>
      </c>
      <c r="J761" t="inlineStr"/>
      <c r="K761" t="inlineStr"/>
      <c r="L761" t="inlineStr"/>
      <c r="M761" t="inlineStr"/>
      <c r="N761" t="inlineStr"/>
      <c r="O761">
        <f>(1-Summary!$B$11)*T761+Summary!$B$11*V761</f>
        <v/>
      </c>
      <c r="P761">
        <f>IF(B779=0,0,O761/B779)</f>
        <v/>
      </c>
      <c r="Q761" t="n">
        <v>0</v>
      </c>
      <c r="R761" t="n">
        <v>0</v>
      </c>
      <c r="S761">
        <f>IFERROR(O761/N761,0)</f>
        <v/>
      </c>
      <c r="T761" t="n">
        <v>0</v>
      </c>
      <c r="V761" t="n">
        <v>0</v>
      </c>
    </row>
    <row r="762">
      <c r="A762">
        <f>Skills!A29</f>
        <v/>
      </c>
      <c r="B762">
        <f>Skills!B29</f>
        <v/>
      </c>
      <c r="C762">
        <f>Inputs!$B$3&gt;=120</f>
        <v/>
      </c>
      <c r="D762">
        <f>IF(Skills!C29=1,60+Inputs!$B$25+Inputs!$B$29,IF(Skills!C29=2,90+Inputs!$B$26+Inputs!$B$29,IF(Skills!C29=3,120+Inputs!$B$27+Inputs!$B$29,MAX(0,(Inputs!$B$3-100)*3)+Inputs!$B$28+Inputs!$B$29)))</f>
        <v/>
      </c>
      <c r="E762">
        <f>INDEX(FactorTable!$B$2:$Y$301, MATCH(ROUND(MIN(300,MAX(1,D762)),0), FactorTable!$A$2:$A$301,0), Skills!M29+1)</f>
        <v/>
      </c>
      <c r="F762">
        <f>IF(Skills!N29=TRUE,(Skills!L29/10)*(E762/1000),Skills!L29/10)+Skills!O29</f>
        <v/>
      </c>
      <c r="G762">
        <f>Skills!G29*IF(Skills!H29&gt;0,IF(Inputs!$B$39="pvp",MIN(Skills!I29,15),Skills!I29)/Skills!H29,1)</f>
        <v/>
      </c>
      <c r="H762">
        <f>1-(1-Skills!J29/100)^Skills!K29</f>
        <v/>
      </c>
      <c r="I762" t="inlineStr">
        <is>
          <t>1</t>
        </is>
      </c>
      <c r="J762" t="inlineStr"/>
      <c r="K762" t="inlineStr"/>
      <c r="L762" t="inlineStr"/>
      <c r="M762" t="inlineStr"/>
      <c r="N762" t="inlineStr"/>
      <c r="O762">
        <f>(1-Summary!$B$11)*T762+Summary!$B$11*V762</f>
        <v/>
      </c>
      <c r="P762">
        <f>IF(B779=0,0,O762/B779)</f>
        <v/>
      </c>
      <c r="Q762" t="n">
        <v>0</v>
      </c>
      <c r="R762" t="n">
        <v>0</v>
      </c>
      <c r="S762">
        <f>IFERROR(O762/N762,0)</f>
        <v/>
      </c>
      <c r="T762" t="n">
        <v>0</v>
      </c>
      <c r="V762" t="n">
        <v>0</v>
      </c>
    </row>
    <row r="763">
      <c r="A763">
        <f>Skills!A30</f>
        <v/>
      </c>
      <c r="B763">
        <f>Skills!B30</f>
        <v/>
      </c>
      <c r="C763">
        <f>Inputs!$B$3&gt;=120</f>
        <v/>
      </c>
      <c r="D763">
        <f>IF(Skills!C30=1,60+Inputs!$B$25+Inputs!$B$29,IF(Skills!C30=2,90+Inputs!$B$26+Inputs!$B$29,IF(Skills!C30=3,120+Inputs!$B$27+Inputs!$B$29,MAX(0,(Inputs!$B$3-100)*3)+Inputs!$B$28+Inputs!$B$29)))</f>
        <v/>
      </c>
      <c r="E763">
        <f>INDEX(FactorTable!$B$2:$Y$301, MATCH(ROUND(MIN(300,MAX(1,D763)),0), FactorTable!$A$2:$A$301,0), Skills!M30+1)</f>
        <v/>
      </c>
      <c r="F763">
        <f>IF(Skills!N30=TRUE,(Skills!L30/10)*(E763/1000),Skills!L30/10)+Skills!O30</f>
        <v/>
      </c>
      <c r="G763">
        <f>Skills!G30*IF(Skills!H30&gt;0,IF(Inputs!$B$39="pvp",MIN(Skills!I30,15),Skills!I30)/Skills!H30,1)</f>
        <v/>
      </c>
      <c r="H763">
        <f>1-(1-Skills!J30/100)^Skills!K30</f>
        <v/>
      </c>
      <c r="I763" t="inlineStr">
        <is>
          <t>1</t>
        </is>
      </c>
      <c r="J763" t="inlineStr"/>
      <c r="K763" t="inlineStr"/>
      <c r="L763" t="inlineStr"/>
      <c r="M763" t="inlineStr"/>
      <c r="N763" t="inlineStr"/>
      <c r="O763">
        <f>(1-Summary!$B$11)*T763+Summary!$B$11*V763</f>
        <v/>
      </c>
      <c r="P763">
        <f>IF(B779=0,0,O763/B779)</f>
        <v/>
      </c>
      <c r="Q763" t="n">
        <v>0</v>
      </c>
      <c r="R763" t="n">
        <v>0</v>
      </c>
      <c r="S763">
        <f>IFERROR(O763/N763,0)</f>
        <v/>
      </c>
      <c r="T763" t="n">
        <v>0</v>
      </c>
      <c r="V763" t="n">
        <v>0</v>
      </c>
    </row>
    <row r="764">
      <c r="A764">
        <f>Skills!A31</f>
        <v/>
      </c>
      <c r="B764">
        <f>Skills!B31</f>
        <v/>
      </c>
      <c r="C764">
        <f>Inputs!$B$3&gt;=125</f>
        <v/>
      </c>
      <c r="D764">
        <f>IF(Skills!C31=1,60+Inputs!$B$25+Inputs!$B$29,IF(Skills!C31=2,90+Inputs!$B$26+Inputs!$B$29,IF(Skills!C31=3,120+Inputs!$B$27+Inputs!$B$29,MAX(0,(Inputs!$B$3-100)*3)+Inputs!$B$28+Inputs!$B$29)))</f>
        <v/>
      </c>
      <c r="E764">
        <f>INDEX(FactorTable!$B$2:$Y$301, MATCH(ROUND(MIN(300,MAX(1,D764)),0), FactorTable!$A$2:$A$301,0), Skills!M31+1)</f>
        <v/>
      </c>
      <c r="F764">
        <f>IF(Skills!N31=TRUE,(Skills!L31/10)*(E764/1000),Skills!L31/10)+Skills!O31</f>
        <v/>
      </c>
      <c r="G764">
        <f>Skills!G31*IF(Skills!H31&gt;0,IF(Inputs!$B$39="pvp",MIN(Skills!I31,15),Skills!I31)/Skills!H31,1)</f>
        <v/>
      </c>
      <c r="H764">
        <f>1-(1-Skills!J31/100)^Skills!K31</f>
        <v/>
      </c>
      <c r="I764" t="inlineStr">
        <is>
          <t>1</t>
        </is>
      </c>
      <c r="J764" t="inlineStr"/>
      <c r="K764" t="inlineStr"/>
      <c r="L764" t="inlineStr"/>
      <c r="M764" t="inlineStr"/>
      <c r="N764" t="inlineStr"/>
      <c r="O764">
        <f>(1-Summary!$B$11)*T764+Summary!$B$11*V764</f>
        <v/>
      </c>
      <c r="P764">
        <f>IF(B779=0,0,O764/B779)</f>
        <v/>
      </c>
      <c r="Q764" t="n">
        <v>0</v>
      </c>
      <c r="R764" t="n">
        <v>0</v>
      </c>
      <c r="S764">
        <f>IFERROR(O764/N764,0)</f>
        <v/>
      </c>
      <c r="T764" t="n">
        <v>0</v>
      </c>
      <c r="V764" t="n">
        <v>0</v>
      </c>
    </row>
    <row r="766">
      <c r="A766" t="inlineStr">
        <is>
          <t>Average Buff Multiplier</t>
        </is>
      </c>
      <c r="B766">
        <f>(1+(((C755=TRUE)*F755*IF(AND(Inputs!$B$39&lt;&gt;"pvp",Inputs!$B$44&gt;0),(((R755-1)*MIN((Skills!Y22*(1+Inputs!$B$34/100)),(1/Q755))+MIN((Skills!Y22*(1+Inputs!$B$34/100)),MAX(0,Inputs!$B$44-((R755-1)*(1/Q755)))))/Inputs!$B$44),IF(Inputs!$B$39="pvp",MIN((Skills!Y22*(1+Inputs!$B$34/100)),15)/15,MIN(1,(Skills!Y22*(1+Inputs!$B$34/100))/(1/Q755)))))+((C736=TRUE)*F736*3)+((C738=TRUE)*F738*(1-EXP(-0.75*B771*5)))+((C757=TRUE)*(F757-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744=TRUE)*F744*IF(AND(Inputs!$B$39&lt;&gt;"pvp",Inputs!$B$44&gt;0),(((R744-1)*MIN((Skills!Y11*(1+Inputs!$B$34/100)),(1/Q744))+MIN((Skills!Y11*(1+Inputs!$B$34/100)),MAX(0,Inputs!$B$44-((R744-1)*(1/Q744)))))/Inputs!$B$44),IF(Inputs!$B$39="pvp",MIN((Skills!Y11*(1+Inputs!$B$34/100)),15)/15,MIN(1,(Skills!Y11*(1+Inputs!$B$34/100))/(1/Q744)))))/100)*(1+((C749=TRUE)*F749*IF(AND(Inputs!$B$39&lt;&gt;"pvp",Inputs!$B$44&gt;0),(((R749-1)*MIN((Skills!Y16*(1+Inputs!$B$34/100)),(1/Q749))+MIN((Skills!Y16*(1+Inputs!$B$34/100)),MAX(0,Inputs!$B$44-((R749-1)*(1/Q749)))))/Inputs!$B$44),IF(Inputs!$B$39="pvp",MIN((Skills!Y16*(1+Inputs!$B$34/100)),15)/15,MIN(1,(Skills!Y16*(1+Inputs!$B$34/100))/(1/Q749)))))/100)</f>
        <v/>
      </c>
    </row>
    <row r="767">
      <c r="A767" t="inlineStr">
        <is>
          <t>Global Crit Rate Bonus %</t>
        </is>
      </c>
      <c r="B767">
        <f>((C754=TRUE)*F754*IF(AND(Inputs!$B$39&lt;&gt;"pvp",Inputs!$B$44&gt;0),(((R754-1)*MIN((Skills!Y21*(1+Inputs!$B$34/100)),(1/Q754))+MIN((Skills!Y21*(1+Inputs!$B$34/100)),MAX(0,Inputs!$B$44-((R754-1)*(1/Q754)))))/Inputs!$B$44),IF(Inputs!$B$39="pvp",MIN((Skills!Y21*(1+Inputs!$B$34/100)),15)/15,MIN(1,(Skills!Y21*(1+Inputs!$B$34/100))/(1/Q754)))))</f>
        <v/>
      </c>
    </row>
    <row r="768">
      <c r="A768" t="inlineStr">
        <is>
          <t>Global Monster Damage-Taken Bonus %</t>
        </is>
      </c>
      <c r="B768">
        <f>IF(Inputs!$B$3&gt;=82,15,0)</f>
        <v/>
      </c>
    </row>
    <row r="769">
      <c r="A769" t="inlineStr">
        <is>
          <t>Shadow Partner Average Multiplier</t>
        </is>
      </c>
      <c r="B769">
        <f>1+((C741=TRUE)*F741*(1+3.3333333333333335*IF(C752=TRUE,F752,0)/100)*I741*Skills!J8/100)/100</f>
        <v/>
      </c>
    </row>
    <row r="770">
      <c r="A770" t="inlineStr">
        <is>
          <t>Attack Speed Buff Bonus %</t>
        </is>
      </c>
      <c r="B770">
        <f>((C753=TRUE)*F753*IF(AND(Inputs!$B$39&lt;&gt;"pvp",Inputs!$B$44&gt;0),(((R753-1)*MIN((Skills!Y20*(1+Inputs!$B$34/100)),(1/Q753))+MIN((Skills!Y20*(1+Inputs!$B$34/100)),MAX(0,Inputs!$B$44-((R753-1)*(1/Q753)))))/Inputs!$B$44),IF(Inputs!$B$39="pvp",MIN((Skills!Y20*(1+Inputs!$B$34/100)),15)/15,MIN(1,(Skills!Y20*(1+Inputs!$B$34/100))/(1/Q753)))))</f>
        <v/>
      </c>
    </row>
    <row r="771">
      <c r="A771" t="inlineStr">
        <is>
          <t>Actions Per Second</t>
        </is>
      </c>
      <c r="B771">
        <f>1+MIN(150,150*(1-(1-(Inputs!$B$11+((C756=TRUE)*(F756-Calc!F23)))/150)*(1-B770/150)))/100</f>
        <v/>
      </c>
    </row>
    <row r="772">
      <c r="A772" t="inlineStr">
        <is>
          <t>Skill + Buff Cast Rate</t>
        </is>
      </c>
      <c r="B772">
        <f>IF(AND(Inputs!$B$39&lt;&gt;"pvp",Inputs!$B$44&gt;0),SUMPRODUCT((Skills!E2:E31=TRUE)*(C735:C764=TRUE)*R735:R764*Skills!F2:F31)/Inputs!$B$44,SUMPRODUCT((Skills!E2:E31=TRUE)*(C735:C764=TRUE)*Q735:Q764*Skills!F2:F31))</f>
        <v/>
      </c>
    </row>
    <row r="773">
      <c r="A773" t="inlineStr">
        <is>
          <t>Cruel Stab Casts Per Second</t>
        </is>
      </c>
      <c r="B773">
        <f>MAX(0,B771-B772)</f>
        <v/>
      </c>
    </row>
    <row r="774">
      <c r="A774" t="inlineStr">
        <is>
          <t>Global Critical Damage Bonus % (Smokescreen Mastery Lv.113)</t>
        </is>
      </c>
      <c r="B774">
        <f>IF(Inputs!$B$3&gt;=113,30,0)*IF(AND(Inputs!$B$39&lt;&gt;"pvp",Inputs!$B$44&gt;0),(((R749-1)*MIN((Skills!Y16*(1+Inputs!$B$34/100)),(1/Q749))+MIN((Skills!Y16*(1+Inputs!$B$34/100)),MAX(0,Inputs!$B$44-((R749-1)*(1/Q749)))))/Inputs!$B$44),IF(Inputs!$B$39="pvp",MIN((Skills!Y16*(1+Inputs!$B$34/100)),15)/15,MIN(1,(Skills!Y16*(1+Inputs!$B$34/100))/(1/Q749))))</f>
        <v/>
      </c>
    </row>
    <row r="775">
      <c r="A775" t="inlineStr">
        <is>
          <t>Meso Explosion average stack count</t>
        </is>
      </c>
      <c r="B775">
        <f>MIN(10,IF(Inputs!$B$3&gt;=75,0.75,0.5)*B771*(1/Q737))</f>
        <v/>
      </c>
    </row>
    <row r="776">
      <c r="A776" t="inlineStr">
        <is>
          <t>Blood Money average stack count</t>
        </is>
      </c>
      <c r="B776">
        <f>MIN(5,0.5*IF(Inputs!$B$3&gt;=75,0.75,0.5)*B771*(1/Q737))</f>
        <v/>
      </c>
    </row>
    <row r="777">
      <c r="A777" t="inlineStr">
        <is>
          <t>Assassinate Murderous Intent Multiplier</t>
        </is>
      </c>
      <c r="B777">
        <f>1+IFERROR(MIN(1,Q748*2/Q745),0)</f>
        <v/>
      </c>
    </row>
    <row r="778">
      <c r="A778" t="inlineStr">
        <is>
          <t>Buff-Casting Startup Delay (s, fixed-duration only)</t>
        </is>
      </c>
      <c r="B778">
        <f>IF(AND(Inputs!$B$39&lt;&gt;"pvp",Inputs!$B$44&gt;0),SUMPRODUCT((Skills!Y2:Y31&gt;0)*(Skills!E2:E31=TRUE)*(C735:C764=TRUE))/B771,0)</f>
        <v/>
      </c>
    </row>
    <row r="779">
      <c r="A779" s="6" t="inlineStr">
        <is>
          <t>TOTAL DPS</t>
        </is>
      </c>
      <c r="B779" s="6">
        <f>SUM(O735:O764)</f>
        <v/>
      </c>
    </row>
    <row r="780">
      <c r="A780" t="inlineStr">
        <is>
          <t>Boss-Only Total DPS (this block's swept value)</t>
        </is>
      </c>
      <c r="B780">
        <f>SUM(T735:T764)</f>
        <v/>
      </c>
    </row>
    <row r="781">
      <c r="A781" t="inlineStr">
        <is>
          <t>Normal-Only Total DPS (this block's swept value)</t>
        </is>
      </c>
      <c r="B781">
        <f>SUM(V735:V764)</f>
        <v/>
      </c>
    </row>
    <row r="784">
      <c r="A784" s="6" t="inlineStr">
        <is>
          <t>Stat: BASIC_ATTACK_DAMAGE %</t>
        </is>
      </c>
    </row>
    <row r="785">
      <c r="A785" s="5" t="inlineStr">
        <is>
          <t>Key</t>
        </is>
      </c>
      <c r="B785" s="5" t="inlineStr">
        <is>
          <t>Name</t>
        </is>
      </c>
      <c r="C785" s="5" t="inlineStr">
        <is>
          <t>Unlocked</t>
        </is>
      </c>
      <c r="D785" s="5" t="inlineStr">
        <is>
          <t>InputLevel</t>
        </is>
      </c>
      <c r="E785" s="5" t="inlineStr">
        <is>
          <t>Factor</t>
        </is>
      </c>
      <c r="F785" s="5" t="inlineStr">
        <is>
          <t>CoefficientPercent</t>
        </is>
      </c>
      <c r="G785" s="5" t="inlineStr">
        <is>
          <t>EffectiveHits</t>
        </is>
      </c>
      <c r="H785" s="5" t="inlineStr">
        <is>
          <t>ProcProbability</t>
        </is>
      </c>
      <c r="I785" s="5" t="inlineStr">
        <is>
          <t>MapleHeroMultiplier</t>
        </is>
      </c>
      <c r="J785" s="5" t="inlineStr">
        <is>
          <t>BaseDamage</t>
        </is>
      </c>
      <c r="K785" s="5" t="inlineStr">
        <is>
          <t>BaseHitDamage</t>
        </is>
      </c>
      <c r="L785" s="5" t="inlineStr">
        <is>
          <t>NonCritAvg</t>
        </is>
      </c>
      <c r="M785" s="5" t="inlineStr">
        <is>
          <t>CritAvg</t>
        </is>
      </c>
      <c r="N785" s="5" t="inlineStr">
        <is>
          <t>ExpectedDamage(perHit)</t>
        </is>
      </c>
      <c r="O785" s="5" t="inlineStr">
        <is>
          <t>DPS</t>
        </is>
      </c>
      <c r="P785" s="5" t="inlineStr">
        <is>
          <t>% of Total</t>
        </is>
      </c>
      <c r="Q785" s="5" t="inlineStr">
        <is>
          <t>InvCooldown</t>
        </is>
      </c>
      <c r="R785" s="5" t="inlineStr">
        <is>
          <t>CastsInFight</t>
        </is>
      </c>
      <c r="S785" s="5" t="inlineStr">
        <is>
          <t>HitRate(perSec)</t>
        </is>
      </c>
      <c r="U785" t="inlineStr">
        <is>
          <t>helpers</t>
        </is>
      </c>
    </row>
    <row r="786">
      <c r="A786">
        <f>Skills!A2</f>
        <v/>
      </c>
      <c r="B786">
        <f>Skills!B2</f>
        <v/>
      </c>
      <c r="C786">
        <f>Inputs!$B$3&gt;=100</f>
        <v/>
      </c>
      <c r="D786" t="inlineStr"/>
      <c r="E786" t="inlineStr"/>
      <c r="F786">
        <f>U788+Skills!O2</f>
        <v/>
      </c>
      <c r="G786">
        <f>Skills!G2*IF(Skills!H2&gt;0,IF(Inputs!$B$39="pvp",MIN(Skills!I2,15),Skills!I2)/Skills!H2,1)</f>
        <v/>
      </c>
      <c r="H786">
        <f>1-(1-Skills!J2/100)^Skills!K2</f>
        <v/>
      </c>
      <c r="I786" t="inlineStr">
        <is>
          <t>1</t>
        </is>
      </c>
      <c r="J786">
        <f>((Inputs!$B$6*(1+Inputs!$B$7/100))+(((Inputs!$B$12*(1+Inputs!$B$13/100))-(Inputs!$B$12*(1+Inputs!$B$13/100)))+0.25*(Inputs!$B$14-Inputs!$B$14))*(1+Inputs!$B$7/100))*(F786/100)</f>
        <v/>
      </c>
      <c r="K786">
        <f>J786*(1+((Inputs!$B$12*(1+Inputs!$B$13/100))*0.01+Inputs!$B$14*0.0025)/100)*(1+Inputs!$B$15/100)*(1+Inputs!$B$16/100)*(5000/(6000+Inputs!$B$43*(1-(100*(1-(1-Inputs!$B$19/100)*(1-CHOOSE(ArtifactsInput!$N$40+1,5,6,7,8,9,10)/100)^(ArtifactsInput!$M$40-ArtifactsInput!$M$40)))/100)))*(1+(Inputs!$B$24+((C815=TRUE)*(F815-Calc!F31))+((C802=TRUE)*(F802-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CRUEL_STAB",(Inputs!$B$17+1)+((C812=TRUE)*(F812-Calc!F28))+((IF(AND(Inputs!$B$39&lt;&gt;"pvp",Inputs!$B$44=0),1,IF(IF(Inputs!$B$39="pvp",15,Inputs!$B$44)-(B829)&lt;=0,1,MAX(0,IF(Inputs!$B$39="pvp",15,Inputs!$B$44)-MAX(5,B829))/(IF(Inputs!$B$39="pvp",15,Inputs!$B$44)-(B829))))*(IF(AND(ArtifactsInput!$M$42,((Inputs!$B$9+((C810=TRUE)*(F810-Calc!F26))+B818+(ArtifactsInput!$M$24-ArtifactsInput!$M$24)*CHOOSE(ArtifactsInput!$N$24+1,10,12,14,16,18,20)+IF(ArtifactsInput!$M$10,CHOOSE(ArtifactsInput!$N$10+1,15,18,21,24,27,30)*(IF(Inputs!$B$39="pvp",MIN(15,15)/15,IF(AND(Inputs!$B$39&lt;&gt;"pvp",Inputs!$B$44&gt;0),MIN(15,Inputs!$B$44)/(Inputs!$B$44),0))),0)))&gt;=100),MIN(100,((Inputs!$B$9+((C810=TRUE)*(F810-Calc!F26))+B818+(ArtifactsInput!$M$24-ArtifactsInput!$M$24)*CHOOSE(ArtifactsInput!$N$24+1,10,12,14,16,18,20)+IF(ArtifactsInput!$M$10,CHOOSE(ArtifactsInput!$N$10+1,15,18,21,24,27,30)*(IF(Inputs!$B$39="pvp",MIN(15,15)/15,IF(AND(Inputs!$B$39&lt;&gt;"pvp",Inputs!$B$44&gt;0),MIN(15,Inputs!$B$44)/(Inputs!$B$44),0))),0)))-100),0))*CHOOSE(ArtifactsInput!$N$42+1,0.6,0.72,0.84,0.96,1.08,1.2))),Inputs!$B$18+((C813=TRUE)*(F813-Calc!F29))+(IF(AND(Inputs!$B$39&lt;&gt;"pvp",Inputs!$B$44=0),1,IF(IF(Inputs!$B$39="pvp",15,Inputs!$B$44)-(B829)&lt;=0,1,MAX(0,IF(Inputs!$B$39="pvp",15,Inputs!$B$44)-MAX(5,B829))/(IF(Inputs!$B$39="pvp",15,Inputs!$B$44)-(B829))))*IF(AND(ArtifactsInput!$M$42,((Inputs!$B$9+((C810=TRUE)*(F810-Calc!F26))+B818+(ArtifactsInput!$M$24-ArtifactsInput!$M$24)*CHOOSE(ArtifactsInput!$N$24+1,10,12,14,16,18,20)+IF(ArtifactsInput!$M$10,CHOOSE(ArtifactsInput!$N$10+1,15,18,21,24,27,30)*(IF(Inputs!$B$39="pvp",MIN(15,15)/15,IF(AND(Inputs!$B$39&lt;&gt;"pvp",Inputs!$B$44&gt;0),MIN(15,Inputs!$B$44)/(Inputs!$B$44),0))),0)))&gt;=100),CHOOSE(ArtifactsInput!$N$42+1,40,48,56,64,72,80),0))))/100)*(((1+(((C806=TRUE)*F806*IF(AND(Inputs!$B$39&lt;&gt;"pvp",Inputs!$B$44&gt;0),(((R806-1)*MIN((Skills!Y22*(1+Inputs!$B$34/100)),(1/Q806))+MIN((Skills!Y22*(1+Inputs!$B$34/100)),MAX(0,Inputs!$B$44-((R806-1)*(1/Q806)))))/Inputs!$B$44),IF(Inputs!$B$39="pvp",MIN((Skills!Y22*(1+Inputs!$B$34/100)),15)/15,MIN(1,(Skills!Y22*(1+Inputs!$B$34/100))/(1/Q806)))))+((C787=TRUE)*F787*3)+((C789=TRUE)*F789*(1-EXP(-0.75*B822*5)))+((C808=TRUE)*(F808-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795=TRUE)*F795*IF(AND(Inputs!$B$39&lt;&gt;"pvp",Inputs!$B$44&gt;0),(((R795-1)*MIN((Skills!Y11*(1+Inputs!$B$34/100)),(1/Q795))+MIN((Skills!Y11*(1+Inputs!$B$34/100)),MAX(0,Inputs!$B$44-((R795-1)*(1/Q795)))))/Inputs!$B$44),IF(Inputs!$B$39="pvp",MIN((Skills!Y11*(1+Inputs!$B$34/100)),15)/15,MIN(1,(Skills!Y11*(1+Inputs!$B$34/100))/(1/Q795)))))/100)*(1+((C800=TRUE)*F800*IF(AND(Inputs!$B$39&lt;&gt;"pvp",Inputs!$B$44&gt;0),(((R800-1)*MIN((Skills!Y16*(1+Inputs!$B$34/100)),(1/Q800))+MIN((Skills!Y16*(1+Inputs!$B$34/100)),MAX(0,Inputs!$B$44-((R800-1)*(1/Q800)))))/Inputs!$B$44),IF(Inputs!$B$39="pvp",MIN((Skills!Y16*(1+Inputs!$B$34/100)),15)/15,MIN(1,(Skills!Y16*(1+Inputs!$B$34/100))/(1/Q800)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820*I786)</f>
        <v/>
      </c>
      <c r="L786">
        <f>K786*(MIN(Inputs!$B$22+((C809=TRUE)*(F809-Calc!F25)),(Inputs!$B$23+((C814=TRUE)*(F814-Calc!F30))+IF(ArtifactsInput!$M$15,CHOOSE(ArtifactsInput!$N$15+1,25,30,35,40,45,50)/100*(Inputs!$B$11-Inputs!$B$11),0)))/100+(Inputs!$B$23+((C814=TRUE)*(F814-Calc!F30))+IF(ArtifactsInput!$M$15,CHOOSE(ArtifactsInput!$N$15+1,25,30,35,40,45,50)/100*(Inputs!$B$11-Inputs!$B$11),0))/100)/2</f>
        <v/>
      </c>
      <c r="M786">
        <f>L786*(1+(Inputs!$B$10+((C811=TRUE)*(F811-Calc!F27))+B825+(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786">
        <f>L786*(1-MIN((Inputs!$B$9+((C810=TRUE)*(F810-Calc!F26))+B818+(ArtifactsInput!$M$24-ArtifactsInput!$M$24)*CHOOSE(ArtifactsInput!$N$24+1,10,12,14,16,18,20)+(IF(AND(Inputs!$B$39&lt;&gt;"pvp",Inputs!$B$44=0),1,IF(IF(Inputs!$B$39="pvp",15,Inputs!$B$44)-(B829)&lt;=0,1,MAX(0,IF(Inputs!$B$39="pvp",15,Inputs!$B$44)-MAX(5,B829))/(IF(Inputs!$B$39="pvp",15,Inputs!$B$44)-(B829))))*IF(AND(ArtifactsInput!$M$42,((Inputs!$B$9+((C810=TRUE)*(F810-Calc!F26))+B818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786*(MIN((Inputs!$B$9+((C810=TRUE)*(F810-Calc!F26))+B818+(ArtifactsInput!$M$24-ArtifactsInput!$M$24)*CHOOSE(ArtifactsInput!$N$24+1,10,12,14,16,18,20)+(IF(AND(Inputs!$B$39&lt;&gt;"pvp",Inputs!$B$44=0),1,IF(IF(Inputs!$B$39="pvp",15,Inputs!$B$44)-(B829)&lt;=0,1,MAX(0,IF(Inputs!$B$39="pvp",15,Inputs!$B$44)-MAX(5,B829))/(IF(Inputs!$B$39="pvp",15,Inputs!$B$44)-(B829))))*IF(AND(ArtifactsInput!$M$42,((Inputs!$B$9+((C810=TRUE)*(F810-Calc!F26))+B818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786">
        <f>(1-Summary!$B$11)*T786+Summary!$B$11*V786</f>
        <v/>
      </c>
      <c r="P786">
        <f>IF(B830=0,0,O786/B830)</f>
        <v/>
      </c>
      <c r="Q786" t="n">
        <v>0</v>
      </c>
      <c r="R786" t="n">
        <v>0</v>
      </c>
      <c r="S786">
        <f>IFERROR(O786/N786,0)</f>
        <v/>
      </c>
      <c r="T786">
        <f>IF(C786,(Skills!G2*N786*B824)*IF(Inputs!$B$39="pvp",1,1+(Inputs!$B$20+0+Skills!P2+B819+(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Hunt"),CHOOSE(ArtifactsInput!$N$35+1,15,18,21,24,27,30)*(1-EXP(-(0.2*B822)*5)),0)+IF(AND(ArtifactsInput!$M$22,Inputs!$B$4&lt;&gt;"Chapter Hunt"),CHOOSE(ArtifactsInput!$N$22+1,10,12,14,16,18,20)*((0*(((0.15*B822*5))^0/1)+1*(((0.15*B822*5))^1/1)+2*(((0.15*B822*5))^2/2)+3*(((0.15*B822*5))^3/6)+4*(((0.15*B822*5))^4/24)+5*(((0.15*B822*5))^5/120))/((((0.15*B822*5))^0/1)+(((0.15*B822*5))^1/1)+(((0.15*B822*5))^2/2)+(((0.15*B822*5))^3/6)+(((0.15*B822*5))^4/24)+(((0.15*B822*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786*(1-MIN(100,(Inputs!$B$9+((C810=TRUE)*(F810-Calc!F26))+B818+(ArtifactsInput!$M$24-ArtifactsInput!$M$24)*CHOOSE(ArtifactsInput!$N$24+1,10,12,14,16,18,20)+(IF(AND(Inputs!$B$39&lt;&gt;"pvp",Inputs!$B$44=0),1,IF(IF(Inputs!$B$39="pvp",15,Inputs!$B$44)-(B829)&lt;=0,1,MAX(0,IF(Inputs!$B$39="pvp",15,Inputs!$B$44)-MAX(5,B829))/(IF(Inputs!$B$39="pvp",15,Inputs!$B$44)-(B829))))*IF(AND(ArtifactsInput!$M$42,((Inputs!$B$9+((C810=TRUE)*(F810-Calc!F26))+B818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786*(MIN(100,(Inputs!$B$9+((C810=TRUE)*(F810-Calc!F26))+B818+(ArtifactsInput!$M$24-ArtifactsInput!$M$24)*CHOOSE(ArtifactsInput!$N$24+1,10,12,14,16,18,20)+(IF(AND(Inputs!$B$39&lt;&gt;"pvp",Inputs!$B$44=0),1,IF(IF(Inputs!$B$39="pvp",15,Inputs!$B$44)-(B829)&lt;=0,1,MAX(0,IF(Inputs!$B$39="pvp",15,Inputs!$B$44)-MAX(5,B829))/(IF(Inputs!$B$39="pvp",15,Inputs!$B$44)-(B829))))*IF(AND(ArtifactsInput!$M$42,((Inputs!$B$9+((C810=TRUE)*(F810-Calc!F26))+B818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786*(1-MIN(100,(Inputs!$B$9+((C810=TRUE)*(F810-Calc!F26))+B818+(ArtifactsInput!$M$24-ArtifactsInput!$M$24)*CHOOSE(ArtifactsInput!$N$24+1,10,12,14,16,18,20)+(IF(AND(Inputs!$B$39&lt;&gt;"pvp",Inputs!$B$44=0),1,IF(IF(Inputs!$B$39="pvp",15,Inputs!$B$44)-(B829)&lt;=0,1,MAX(0,IF(Inputs!$B$39="pvp",15,Inputs!$B$44)-MAX(5,B829))/(IF(Inputs!$B$39="pvp",15,Inputs!$B$44)-(B829))))*IF(AND(ArtifactsInput!$M$42,((Inputs!$B$9+((C810=TRUE)*(F810-Calc!F26))+B818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786*(MIN(100,(Inputs!$B$9+((C810=TRUE)*(F810-Calc!F26))+B818+(ArtifactsInput!$M$24-ArtifactsInput!$M$24)*CHOOSE(ArtifactsInput!$N$24+1,10,12,14,16,18,20)+(IF(AND(Inputs!$B$39&lt;&gt;"pvp",Inputs!$B$44=0),1,IF(IF(Inputs!$B$39="pvp",15,Inputs!$B$44)-(B829)&lt;=0,1,MAX(0,IF(Inputs!$B$39="pvp",15,Inputs!$B$44)-MAX(5,B829))/(IF(Inputs!$B$39="pvp",15,Inputs!$B$44)-(B829))))*IF(AND(ArtifactsInput!$M$42,((Inputs!$B$9+((C810=TRUE)*(F810-Calc!F26))+B818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786">
        <f>MAX(0,(Inputs!$B$3-100)*3)+Inputs!$B$28+Inputs!$B$29</f>
        <v/>
      </c>
      <c r="V786">
        <f>IF(C786,(Skills!G2*N786*B824)*IF(Inputs!$B$39="pvp",1,(1+(Inputs!$B$21+Skills!Q2+B819+(IF(ArtifactsInput!$M$33,CHOOSE(ArtifactsInput!$N$33+1,30,36,42,48,54,60),0))+(IF(AND(ArtifactsInput!$M$35,Inputs!$B$4&lt;&gt;"Chapter Hunt"),CHOOSE(ArtifactsInput!$N$35+1,15,18,21,24,27,30)*(1-EXP(-(0.2*B822)*5)),0)+IF(AND(ArtifactsInput!$M$22,Inputs!$B$4&lt;&gt;"Chapter Hunt"),CHOOSE(ArtifactsInput!$N$22+1,10,12,14,16,18,20)*((0*(((0.15*B822*5))^0/1)+1*(((0.15*B822*5))^1/1)+2*(((0.15*B822*5))^2/2)+3*(((0.15*B822*5))^3/6)+4*(((0.15*B822*5))^4/24)+5*(((0.15*B822*5))^5/120))/((((0.15*B822*5))^0/1)+(((0.15*B822*5))^1/1)+(((0.15*B822*5))^2/2)+(((0.15*B822*5))^3/6)+(((0.15*B822*5))^4/24)+(((0.15*B822*5))^5/120))),0)))/100)*(MIN((6+Inputs!$B$33),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787">
      <c r="A787">
        <f>Skills!A3</f>
        <v/>
      </c>
      <c r="B787">
        <f>Skills!B3</f>
        <v/>
      </c>
      <c r="C787">
        <f>Inputs!$B$3&gt;=35</f>
        <v/>
      </c>
      <c r="D787">
        <f>IF(Skills!C3=1,60+Inputs!$B$25+Inputs!$B$29,IF(Skills!C3=2,90+Inputs!$B$26+Inputs!$B$29,IF(Skills!C3=3,120+Inputs!$B$27+Inputs!$B$29,MAX(0,(Inputs!$B$3-100)*3)+Inputs!$B$28+Inputs!$B$29)))</f>
        <v/>
      </c>
      <c r="E787">
        <f>INDEX(FactorTable!$B$2:$Y$301, MATCH(ROUND(MIN(300,MAX(1,D787)),0), FactorTable!$A$2:$A$301,0), Skills!M3+1)</f>
        <v/>
      </c>
      <c r="F787">
        <f>IF(Skills!N3=TRUE,(Skills!L3/10)*(E787/1000),Skills!L3/10)+Skills!O3</f>
        <v/>
      </c>
      <c r="G787">
        <f>Skills!G3*IF(Skills!H3&gt;0,IF(Inputs!$B$39="pvp",MIN(Skills!I3,15),Skills!I3)/Skills!H3,1)</f>
        <v/>
      </c>
      <c r="H787">
        <f>1-(1-Skills!J3/100)^Skills!K3</f>
        <v/>
      </c>
      <c r="I787" t="inlineStr">
        <is>
          <t>1</t>
        </is>
      </c>
      <c r="J787" t="inlineStr"/>
      <c r="K787" t="inlineStr"/>
      <c r="L787" t="inlineStr"/>
      <c r="M787" t="inlineStr"/>
      <c r="N787" t="inlineStr"/>
      <c r="O787">
        <f>(1-Summary!$B$11)*T787+Summary!$B$11*V787</f>
        <v/>
      </c>
      <c r="P787">
        <f>IF(B830=0,0,O787/B830)</f>
        <v/>
      </c>
      <c r="Q787" t="n">
        <v>0</v>
      </c>
      <c r="R787" t="n">
        <v>0</v>
      </c>
      <c r="S787">
        <f>IFERROR(O787/N787,0)</f>
        <v/>
      </c>
      <c r="T787" t="n">
        <v>0</v>
      </c>
      <c r="U787">
        <f>INDEX(FactorTable!$B$2:$Y$301, MATCH(ROUND(MIN(300,MAX(1,U786)),0), FactorTable!$A$2:$A$301,0), 22)</f>
        <v/>
      </c>
      <c r="V787" t="n">
        <v>0</v>
      </c>
    </row>
    <row r="788">
      <c r="A788">
        <f>Skills!A4</f>
        <v/>
      </c>
      <c r="B788">
        <f>Skills!B4</f>
        <v/>
      </c>
      <c r="C788">
        <f>Inputs!$B$3&gt;=66</f>
        <v/>
      </c>
      <c r="D788">
        <f>IF(Skills!C4=1,60+Inputs!$B$25+Inputs!$B$29,IF(Skills!C4=2,90+Inputs!$B$26+Inputs!$B$29,IF(Skills!C4=3,120+Inputs!$B$27+Inputs!$B$29,MAX(0,(Inputs!$B$3-100)*3)+Inputs!$B$28+Inputs!$B$29)))</f>
        <v/>
      </c>
      <c r="E788">
        <f>INDEX(FactorTable!$B$2:$Y$301, MATCH(ROUND(MIN(300,MAX(1,D788)),0), FactorTable!$A$2:$A$301,0), Skills!M4+1)</f>
        <v/>
      </c>
      <c r="F788">
        <f>IF(Skills!N4=TRUE,(Skills!L4/10)*(E788/1000),Skills!L4/10)+Skills!O4</f>
        <v/>
      </c>
      <c r="G788">
        <f>Skills!G4*IF(Skills!H4&gt;0,IF(Inputs!$B$39="pvp",MIN(Skills!I4,15),Skills!I4)/Skills!H4,1)</f>
        <v/>
      </c>
      <c r="H788">
        <f>1-(1-Skills!J4/100)^Skills!K4</f>
        <v/>
      </c>
      <c r="I788" t="inlineStr">
        <is>
          <t>1</t>
        </is>
      </c>
      <c r="J788">
        <f>((Inputs!$B$6*(1+Inputs!$B$7/100))+(((Inputs!$B$12*(1+Inputs!$B$13/100))-(Inputs!$B$12*(1+Inputs!$B$13/100)))+0.25*(Inputs!$B$14-Inputs!$B$14))*(1+Inputs!$B$7/100))*(F788/100)</f>
        <v/>
      </c>
      <c r="K788">
        <f>J788*(1+((Inputs!$B$12*(1+Inputs!$B$13/100))*0.01+Inputs!$B$14*0.0025)/100)*(1+Inputs!$B$15/100)*(1+Inputs!$B$16/100)*(5000/(6000+Inputs!$B$43*(1-(100*(1-(1-Inputs!$B$19/100)*(1-CHOOSE(ArtifactsInput!$N$40+1,5,6,7,8,9,10)/100)^(ArtifactsInput!$M$40-ArtifactsInput!$M$40)))/100)))*(1+(Inputs!$B$24+((C815=TRUE)*(F815-Calc!F31))+((C802=TRUE)*(F802-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4="CRUEL_STAB",(Inputs!$B$17+1)+((C812=TRUE)*(F812-Calc!F28))+((IF(AND(Inputs!$B$39&lt;&gt;"pvp",Inputs!$B$44=0),1,IF(IF(Inputs!$B$39="pvp",15,Inputs!$B$44)-(B829)&lt;=0,1,MAX(0,IF(Inputs!$B$39="pvp",15,Inputs!$B$44)-MAX(5,B829))/(IF(Inputs!$B$39="pvp",15,Inputs!$B$44)-(B829))))*(IF(AND(ArtifactsInput!$M$42,((Inputs!$B$9+((C810=TRUE)*(F810-Calc!F26))+B818+(ArtifactsInput!$M$24-ArtifactsInput!$M$24)*CHOOSE(ArtifactsInput!$N$24+1,10,12,14,16,18,20)+IF(ArtifactsInput!$M$10,CHOOSE(ArtifactsInput!$N$10+1,15,18,21,24,27,30)*(IF(Inputs!$B$39="pvp",MIN(15,15)/15,IF(AND(Inputs!$B$39&lt;&gt;"pvp",Inputs!$B$44&gt;0),MIN(15,Inputs!$B$44)/(Inputs!$B$44),0))),0)))&gt;=100),MIN(100,((Inputs!$B$9+((C810=TRUE)*(F810-Calc!F26))+B818+(ArtifactsInput!$M$24-ArtifactsInput!$M$24)*CHOOSE(ArtifactsInput!$N$24+1,10,12,14,16,18,20)+IF(ArtifactsInput!$M$10,CHOOSE(ArtifactsInput!$N$10+1,15,18,21,24,27,30)*(IF(Inputs!$B$39="pvp",MIN(15,15)/15,IF(AND(Inputs!$B$39&lt;&gt;"pvp",Inputs!$B$44&gt;0),MIN(15,Inputs!$B$44)/(Inputs!$B$44),0))),0)))-100),0))*CHOOSE(ArtifactsInput!$N$42+1,0.6,0.72,0.84,0.96,1.08,1.2))),Inputs!$B$18+((C813=TRUE)*(F813-Calc!F29))+(IF(AND(Inputs!$B$39&lt;&gt;"pvp",Inputs!$B$44=0),1,IF(IF(Inputs!$B$39="pvp",15,Inputs!$B$44)-(B829)&lt;=0,1,MAX(0,IF(Inputs!$B$39="pvp",15,Inputs!$B$44)-MAX(5,B829))/(IF(Inputs!$B$39="pvp",15,Inputs!$B$44)-(B829))))*IF(AND(ArtifactsInput!$M$42,((Inputs!$B$9+((C810=TRUE)*(F810-Calc!F26))+B818+(ArtifactsInput!$M$24-ArtifactsInput!$M$24)*CHOOSE(ArtifactsInput!$N$24+1,10,12,14,16,18,20)+IF(ArtifactsInput!$M$10,CHOOSE(ArtifactsInput!$N$10+1,15,18,21,24,27,30)*(IF(Inputs!$B$39="pvp",MIN(15,15)/15,IF(AND(Inputs!$B$39&lt;&gt;"pvp",Inputs!$B$44&gt;0),MIN(15,Inputs!$B$44)/(Inputs!$B$44),0))),0)))&gt;=100),CHOOSE(ArtifactsInput!$N$42+1,40,48,56,64,72,80),0))))/100)*(((1+(((C806=TRUE)*F806*IF(AND(Inputs!$B$39&lt;&gt;"pvp",Inputs!$B$44&gt;0),(((R806-1)*MIN((Skills!Y22*(1+Inputs!$B$34/100)),(1/Q806))+MIN((Skills!Y22*(1+Inputs!$B$34/100)),MAX(0,Inputs!$B$44-((R806-1)*(1/Q806)))))/Inputs!$B$44),IF(Inputs!$B$39="pvp",MIN((Skills!Y22*(1+Inputs!$B$34/100)),15)/15,MIN(1,(Skills!Y22*(1+Inputs!$B$34/100))/(1/Q806)))))+((C787=TRUE)*F787*3)+((C789=TRUE)*F789*(1-EXP(-0.75*B822*5)))+((C808=TRUE)*(F808-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795=TRUE)*F795*IF(AND(Inputs!$B$39&lt;&gt;"pvp",Inputs!$B$44&gt;0),(((R795-1)*MIN((Skills!Y11*(1+Inputs!$B$34/100)),(1/Q795))+MIN((Skills!Y11*(1+Inputs!$B$34/100)),MAX(0,Inputs!$B$44-((R795-1)*(1/Q795)))))/Inputs!$B$44),IF(Inputs!$B$39="pvp",MIN((Skills!Y11*(1+Inputs!$B$34/100)),15)/15,MIN(1,(Skills!Y11*(1+Inputs!$B$34/100))/(1/Q795)))))/100)*(1+((C800=TRUE)*F800*IF(AND(Inputs!$B$39&lt;&gt;"pvp",Inputs!$B$44&gt;0),(((R800-1)*MIN((Skills!Y16*(1+Inputs!$B$34/100)),(1/Q800))+MIN((Skills!Y16*(1+Inputs!$B$34/100)),MAX(0,Inputs!$B$44-((R800-1)*(1/Q800)))))/Inputs!$B$44),IF(Inputs!$B$39="pvp",MIN((Skills!Y16*(1+Inputs!$B$34/100)),15)/15,MIN(1,(Skills!Y16*(1+Inputs!$B$34/100))/(1/Q800)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820*I788)</f>
        <v/>
      </c>
      <c r="L788">
        <f>K788*(MIN(Inputs!$B$22+((C809=TRUE)*(F809-Calc!F25)),(Inputs!$B$23+((C814=TRUE)*(F814-Calc!F30))+IF(ArtifactsInput!$M$15,CHOOSE(ArtifactsInput!$N$15+1,25,30,35,40,45,50)/100*(Inputs!$B$11-Inputs!$B$11),0)))/100+(Inputs!$B$23+((C814=TRUE)*(F814-Calc!F30))+IF(ArtifactsInput!$M$15,CHOOSE(ArtifactsInput!$N$15+1,25,30,35,40,45,50)/100*(Inputs!$B$11-Inputs!$B$11),0))/100)/2</f>
        <v/>
      </c>
      <c r="M788">
        <f>L788*(1+(Inputs!$B$10+((C811=TRUE)*(F811-Calc!F27))+B825+(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788">
        <f>L788*(1-MIN((Inputs!$B$9+((C810=TRUE)*(F810-Calc!F26))+B818+(ArtifactsInput!$M$24-ArtifactsInput!$M$24)*CHOOSE(ArtifactsInput!$N$24+1,10,12,14,16,18,20)+(IF(AND(Inputs!$B$39&lt;&gt;"pvp",Inputs!$B$44=0),1,IF(IF(Inputs!$B$39="pvp",15,Inputs!$B$44)-(B829)&lt;=0,1,MAX(0,IF(Inputs!$B$39="pvp",15,Inputs!$B$44)-MAX(5,B829))/(IF(Inputs!$B$39="pvp",15,Inputs!$B$44)-(B829))))*IF(AND(ArtifactsInput!$M$42,((Inputs!$B$9+((C810=TRUE)*(F810-Calc!F26))+B818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788*(MIN((Inputs!$B$9+((C810=TRUE)*(F810-Calc!F26))+B818+(ArtifactsInput!$M$24-ArtifactsInput!$M$24)*CHOOSE(ArtifactsInput!$N$24+1,10,12,14,16,18,20)+(IF(AND(Inputs!$B$39&lt;&gt;"pvp",Inputs!$B$44=0),1,IF(IF(Inputs!$B$39="pvp",15,Inputs!$B$44)-(B829)&lt;=0,1,MAX(0,IF(Inputs!$B$39="pvp",15,Inputs!$B$44)-MAX(5,B829))/(IF(Inputs!$B$39="pvp",15,Inputs!$B$44)-(B829))))*IF(AND(ArtifactsInput!$M$42,((Inputs!$B$9+((C810=TRUE)*(F810-Calc!F26))+B818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788">
        <f>(1-Summary!$B$11)*T788+Summary!$B$11*V788</f>
        <v/>
      </c>
      <c r="P788">
        <f>IF(B830=0,0,O788/B830)</f>
        <v/>
      </c>
      <c r="Q788">
        <f>IFERROR(1/IF(Inputs!$B$39="pvp",15,MAX(0.1,Skills!D4-IF(TRUE=TRUE,Inputs!$B$32,0))),0)</f>
        <v/>
      </c>
      <c r="R788">
        <f>IF(AND(Inputs!$B$39&lt;&gt;"pvp",Inputs!$B$44&gt;0),IF(MAX(0,Inputs!$B$44-B829)&lt;=0,0,(INT(MAX(0,Inputs!$B$44-B829)/IF(Inputs!$B$39="pvp",15,MAX(0.1,Skills!D4-IF(TRUE=TRUE,Inputs!$B$32,0))))+1)),0)</f>
        <v/>
      </c>
      <c r="S788">
        <f>IFERROR(O788/N788,0)</f>
        <v/>
      </c>
      <c r="T788">
        <f>IF(C788,(H788*N788*IF(AND(Inputs!$B$39&lt;&gt;"pvp",Inputs!$B$44&gt;0),((Skills!G4*((R788-1)*IF(Skills!H4&gt;0,Skills!I4/Skills!H4,1)+IF(Skills!H4&gt;0,MIN(Skills!I4,MAX(0,MAX(0,Inputs!$B$44-B829)-((R788-1)*IF(Inputs!$B$39="pvp",15,MAX(0.1,Skills!D4-IF(TRUE=TRUE,Inputs!$B$32,0))))))/Skills!H4,1)))/Inputs!$B$44),G788*Q788))*IF(Inputs!$B$39="pvp",1,1+(Inputs!$B$20+0+Skills!P4+B819+(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Hunt"),CHOOSE(ArtifactsInput!$N$35+1,15,18,21,24,27,30)*(1-EXP(-(0.2*B822)*5)),0)+IF(AND(ArtifactsInput!$M$22,Inputs!$B$4&lt;&gt;"Chapter Hunt"),CHOOSE(ArtifactsInput!$N$22+1,10,12,14,16,18,20)*((0*(((0.15*B822*5))^0/1)+1*(((0.15*B822*5))^1/1)+2*(((0.15*B822*5))^2/2)+3*(((0.15*B822*5))^3/6)+4*(((0.15*B822*5))^4/24)+5*(((0.15*B822*5))^5/120))/((((0.15*B822*5))^0/1)+(((0.15*B822*5))^1/1)+(((0.15*B822*5))^2/2)+(((0.15*B822*5))^3/6)+(((0.15*B822*5))^4/24)+(((0.15*B822*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788*(1-MIN(100,(Inputs!$B$9+((C810=TRUE)*(F810-Calc!F26))+B818+(ArtifactsInput!$M$24-ArtifactsInput!$M$24)*CHOOSE(ArtifactsInput!$N$24+1,10,12,14,16,18,20)+(IF(AND(Inputs!$B$39&lt;&gt;"pvp",Inputs!$B$44=0),1,IF(IF(Inputs!$B$39="pvp",15,Inputs!$B$44)-(B829)&lt;=0,1,MAX(0,IF(Inputs!$B$39="pvp",15,Inputs!$B$44)-MAX(5,B829))/(IF(Inputs!$B$39="pvp",15,Inputs!$B$44)-(B829))))*IF(AND(ArtifactsInput!$M$42,((Inputs!$B$9+((C810=TRUE)*(F810-Calc!F26))+B818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788*(MIN(100,(Inputs!$B$9+((C810=TRUE)*(F810-Calc!F26))+B818+(ArtifactsInput!$M$24-ArtifactsInput!$M$24)*CHOOSE(ArtifactsInput!$N$24+1,10,12,14,16,18,20)+(IF(AND(Inputs!$B$39&lt;&gt;"pvp",Inputs!$B$44=0),1,IF(IF(Inputs!$B$39="pvp",15,Inputs!$B$44)-(B829)&lt;=0,1,MAX(0,IF(Inputs!$B$39="pvp",15,Inputs!$B$44)-MAX(5,B829))/(IF(Inputs!$B$39="pvp",15,Inputs!$B$44)-(B829))))*IF(AND(ArtifactsInput!$M$42,((Inputs!$B$9+((C810=TRUE)*(F810-Calc!F26))+B818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788*(1-MIN(100,(Inputs!$B$9+((C810=TRUE)*(F810-Calc!F26))+B818+(ArtifactsInput!$M$24-ArtifactsInput!$M$24)*CHOOSE(ArtifactsInput!$N$24+1,10,12,14,16,18,20)+(IF(AND(Inputs!$B$39&lt;&gt;"pvp",Inputs!$B$44=0),1,IF(IF(Inputs!$B$39="pvp",15,Inputs!$B$44)-(B829)&lt;=0,1,MAX(0,IF(Inputs!$B$39="pvp",15,Inputs!$B$44)-MAX(5,B829))/(IF(Inputs!$B$39="pvp",15,Inputs!$B$44)-(B829))))*IF(AND(ArtifactsInput!$M$42,((Inputs!$B$9+((C810=TRUE)*(F810-Calc!F26))+B818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788*(MIN(100,(Inputs!$B$9+((C810=TRUE)*(F810-Calc!F26))+B818+(ArtifactsInput!$M$24-ArtifactsInput!$M$24)*CHOOSE(ArtifactsInput!$N$24+1,10,12,14,16,18,20)+(IF(AND(Inputs!$B$39&lt;&gt;"pvp",Inputs!$B$44=0),1,IF(IF(Inputs!$B$39="pvp",15,Inputs!$B$44)-(B829)&lt;=0,1,MAX(0,IF(Inputs!$B$39="pvp",15,Inputs!$B$44)-MAX(5,B829))/(IF(Inputs!$B$39="pvp",15,Inputs!$B$44)-(B829))))*IF(AND(ArtifactsInput!$M$42,((Inputs!$B$9+((C810=TRUE)*(F810-Calc!F26))+B818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788">
        <f>290*U787/1000</f>
        <v/>
      </c>
      <c r="V788">
        <f>IF(C788,(H788*N788*IF(AND(Inputs!$B$39&lt;&gt;"pvp",Inputs!$B$44&gt;0),((Skills!G4*((R788-1)*IF(Skills!H4&gt;0,Skills!I4/Skills!H4,1)+IF(Skills!H4&gt;0,MIN(Skills!I4,MAX(0,MAX(0,Inputs!$B$44-B829)-((R788-1)*IF(Inputs!$B$39="pvp",15,MAX(0.1,Skills!D4-IF(TRUE=TRUE,Inputs!$B$32,0))))))/Skills!H4,1)))/Inputs!$B$44),G788*Q788))*IF(Inputs!$B$39="pvp",1,(1+(Inputs!$B$21+Skills!Q4+B819+(IF(ArtifactsInput!$M$33,CHOOSE(ArtifactsInput!$N$33+1,30,36,42,48,54,60),0))+(IF(AND(ArtifactsInput!$M$35,Inputs!$B$4&lt;&gt;"Chapter Hunt"),CHOOSE(ArtifactsInput!$N$35+1,15,18,21,24,27,30)*(1-EXP(-(0.2*B822)*5)),0)+IF(AND(ArtifactsInput!$M$22,Inputs!$B$4&lt;&gt;"Chapter Hunt"),CHOOSE(ArtifactsInput!$N$22+1,10,12,14,16,18,20)*((0*(((0.15*B822*5))^0/1)+1*(((0.15*B822*5))^1/1)+2*(((0.15*B822*5))^2/2)+3*(((0.15*B822*5))^3/6)+4*(((0.15*B822*5))^4/24)+5*(((0.15*B822*5))^5/120))/((((0.15*B822*5))^0/1)+(((0.15*B822*5))^1/1)+(((0.15*B822*5))^2/2)+(((0.15*B822*5))^3/6)+(((0.15*B822*5))^4/24)+(((0.15*B822*5))^5/120))),0)))/100)*(MIN(MIN(10,IF(Inputs!$B$3&gt;=75,0.75,0.5)*B822*(1/Q788)),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789">
      <c r="A789">
        <f>Skills!A5</f>
        <v/>
      </c>
      <c r="B789">
        <f>Skills!B5</f>
        <v/>
      </c>
      <c r="C789">
        <f>Inputs!$B$3&gt;=75</f>
        <v/>
      </c>
      <c r="D789">
        <f>IF(Skills!C5=1,60+Inputs!$B$25+Inputs!$B$29,IF(Skills!C5=2,90+Inputs!$B$26+Inputs!$B$29,IF(Skills!C5=3,120+Inputs!$B$27+Inputs!$B$29,MAX(0,(Inputs!$B$3-100)*3)+Inputs!$B$28+Inputs!$B$29)))</f>
        <v/>
      </c>
      <c r="E789">
        <f>INDEX(FactorTable!$B$2:$Y$301, MATCH(ROUND(MIN(300,MAX(1,D789)),0), FactorTable!$A$2:$A$301,0), Skills!M5+1)</f>
        <v/>
      </c>
      <c r="F789">
        <f>IF(Skills!N5=TRUE,(Skills!L5/10)*(E789/1000),Skills!L5/10)+Skills!O5</f>
        <v/>
      </c>
      <c r="G789">
        <f>Skills!G5*IF(Skills!H5&gt;0,IF(Inputs!$B$39="pvp",MIN(Skills!I5,15),Skills!I5)/Skills!H5,1)</f>
        <v/>
      </c>
      <c r="H789">
        <f>1-(1-Skills!J5/100)^Skills!K5</f>
        <v/>
      </c>
      <c r="I789" t="inlineStr">
        <is>
          <t>1</t>
        </is>
      </c>
      <c r="J789" t="inlineStr"/>
      <c r="K789" t="inlineStr"/>
      <c r="L789" t="inlineStr"/>
      <c r="M789" t="inlineStr"/>
      <c r="N789" t="inlineStr"/>
      <c r="O789">
        <f>(1-Summary!$B$11)*T789+Summary!$B$11*V789</f>
        <v/>
      </c>
      <c r="P789">
        <f>IF(B830=0,0,O789/B830)</f>
        <v/>
      </c>
      <c r="Q789" t="n">
        <v>0</v>
      </c>
      <c r="R789" t="n">
        <v>0</v>
      </c>
      <c r="S789">
        <f>IFERROR(O789/N789,0)</f>
        <v/>
      </c>
      <c r="T789" t="n">
        <v>0</v>
      </c>
      <c r="V789" t="n">
        <v>0</v>
      </c>
    </row>
    <row r="790">
      <c r="A790">
        <f>Skills!A6</f>
        <v/>
      </c>
      <c r="B790">
        <f>Skills!B6</f>
        <v/>
      </c>
      <c r="C790">
        <f>Inputs!$B$3&gt;=63</f>
        <v/>
      </c>
      <c r="D790">
        <f>IF(Skills!C6=1,60+Inputs!$B$25+Inputs!$B$29,IF(Skills!C6=2,90+Inputs!$B$26+Inputs!$B$29,IF(Skills!C6=3,120+Inputs!$B$27+Inputs!$B$29,MAX(0,(Inputs!$B$3-100)*3)+Inputs!$B$28+Inputs!$B$29)))</f>
        <v/>
      </c>
      <c r="E790">
        <f>INDEX(FactorTable!$B$2:$Y$301, MATCH(ROUND(MIN(300,MAX(1,D790)),0), FactorTable!$A$2:$A$301,0), Skills!M6+1)</f>
        <v/>
      </c>
      <c r="F790">
        <f>IF(Skills!N6=TRUE,(Skills!L6/10)*(E790/1000),Skills!L6/10)+Skills!O6</f>
        <v/>
      </c>
      <c r="G790">
        <f>Skills!G6*IF(Skills!H6&gt;0,IF(Inputs!$B$39="pvp",MIN(Skills!I6,15),Skills!I6)/Skills!H6,1)</f>
        <v/>
      </c>
      <c r="H790">
        <f>1-(1-Skills!J6/100)^Skills!K6</f>
        <v/>
      </c>
      <c r="I790" t="inlineStr">
        <is>
          <t>1</t>
        </is>
      </c>
      <c r="J790">
        <f>((Inputs!$B$6*(1+Inputs!$B$7/100))+(((Inputs!$B$12*(1+Inputs!$B$13/100))-(Inputs!$B$12*(1+Inputs!$B$13/100)))+0.25*(Inputs!$B$14-Inputs!$B$14))*(1+Inputs!$B$7/100))*(F790/100)</f>
        <v/>
      </c>
      <c r="K790">
        <f>J790*(1+((Inputs!$B$12*(1+Inputs!$B$13/100))*0.01+Inputs!$B$14*0.0025)/100)*(1+Inputs!$B$15/100)*(1+Inputs!$B$16/100)*(5000/(6000+Inputs!$B$43*(1-(100*(1-(1-Inputs!$B$19/100)*(1-CHOOSE(ArtifactsInput!$N$40+1,5,6,7,8,9,10)/100)^(ArtifactsInput!$M$40-ArtifactsInput!$M$40)))/100)))*(1+(Inputs!$B$24+((C815=TRUE)*(F815-Calc!F31))+((C802=TRUE)*(F802-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+2.6666666666666665*IF(C803=TRUE,F803,0)/100)*(1+(IF(Skills!A6="CRUEL_STAB",(Inputs!$B$17+1)+((C812=TRUE)*(F812-Calc!F28))+((IF(AND(Inputs!$B$39&lt;&gt;"pvp",Inputs!$B$44=0),1,IF(IF(Inputs!$B$39="pvp",15,Inputs!$B$44)-(B829)&lt;=0,1,MAX(0,IF(Inputs!$B$39="pvp",15,Inputs!$B$44)-MAX(5,B829))/(IF(Inputs!$B$39="pvp",15,Inputs!$B$44)-(B829))))*(IF(AND(ArtifactsInput!$M$42,((Inputs!$B$9+((C810=TRUE)*(F810-Calc!F26))+B818+(ArtifactsInput!$M$24-ArtifactsInput!$M$24)*CHOOSE(ArtifactsInput!$N$24+1,10,12,14,16,18,20)+IF(ArtifactsInput!$M$10,CHOOSE(ArtifactsInput!$N$10+1,15,18,21,24,27,30)*(IF(Inputs!$B$39="pvp",MIN(15,15)/15,IF(AND(Inputs!$B$39&lt;&gt;"pvp",Inputs!$B$44&gt;0),MIN(15,Inputs!$B$44)/(Inputs!$B$44),0))),0)))&gt;=100),MIN(100,((Inputs!$B$9+((C810=TRUE)*(F810-Calc!F26))+B818+(ArtifactsInput!$M$24-ArtifactsInput!$M$24)*CHOOSE(ArtifactsInput!$N$24+1,10,12,14,16,18,20)+IF(ArtifactsInput!$M$10,CHOOSE(ArtifactsInput!$N$10+1,15,18,21,24,27,30)*(IF(Inputs!$B$39="pvp",MIN(15,15)/15,IF(AND(Inputs!$B$39&lt;&gt;"pvp",Inputs!$B$44&gt;0),MIN(15,Inputs!$B$44)/(Inputs!$B$44),0))),0)))-100),0))*CHOOSE(ArtifactsInput!$N$42+1,0.6,0.72,0.84,0.96,1.08,1.2))),Inputs!$B$18+((C813=TRUE)*(F813-Calc!F29))+(IF(AND(Inputs!$B$39&lt;&gt;"pvp",Inputs!$B$44=0),1,IF(IF(Inputs!$B$39="pvp",15,Inputs!$B$44)-(B829)&lt;=0,1,MAX(0,IF(Inputs!$B$39="pvp",15,Inputs!$B$44)-MAX(5,B829))/(IF(Inputs!$B$39="pvp",15,Inputs!$B$44)-(B829))))*IF(AND(ArtifactsInput!$M$42,((Inputs!$B$9+((C810=TRUE)*(F810-Calc!F26))+B818+(ArtifactsInput!$M$24-ArtifactsInput!$M$24)*CHOOSE(ArtifactsInput!$N$24+1,10,12,14,16,18,20)+IF(ArtifactsInput!$M$10,CHOOSE(ArtifactsInput!$N$10+1,15,18,21,24,27,30)*(IF(Inputs!$B$39="pvp",MIN(15,15)/15,IF(AND(Inputs!$B$39&lt;&gt;"pvp",Inputs!$B$44&gt;0),MIN(15,Inputs!$B$44)/(Inputs!$B$44),0))),0)))&gt;=100),CHOOSE(ArtifactsInput!$N$42+1,40,48,56,64,72,80),0))))/100)*(((1+(((C806=TRUE)*F806*IF(AND(Inputs!$B$39&lt;&gt;"pvp",Inputs!$B$44&gt;0),(((R806-1)*MIN((Skills!Y22*(1+Inputs!$B$34/100)),(1/Q806))+MIN((Skills!Y22*(1+Inputs!$B$34/100)),MAX(0,Inputs!$B$44-((R806-1)*(1/Q806)))))/Inputs!$B$44),IF(Inputs!$B$39="pvp",MIN((Skills!Y22*(1+Inputs!$B$34/100)),15)/15,MIN(1,(Skills!Y22*(1+Inputs!$B$34/100))/(1/Q806)))))+((C787=TRUE)*F787*3)+((C789=TRUE)*F789*(1-EXP(-0.75*B822*5)))+((C808=TRUE)*(F808-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795=TRUE)*F795*IF(AND(Inputs!$B$39&lt;&gt;"pvp",Inputs!$B$44&gt;0),(((R795-1)*MIN((Skills!Y11*(1+Inputs!$B$34/100)),(1/Q795))+MIN((Skills!Y11*(1+Inputs!$B$34/100)),MAX(0,Inputs!$B$44-((R795-1)*(1/Q795)))))/Inputs!$B$44),IF(Inputs!$B$39="pvp",MIN((Skills!Y11*(1+Inputs!$B$34/100)),15)/15,MIN(1,(Skills!Y11*(1+Inputs!$B$34/100))/(1/Q795)))))/100)*(1+((C800=TRUE)*F800*IF(AND(Inputs!$B$39&lt;&gt;"pvp",Inputs!$B$44&gt;0),(((R800-1)*MIN((Skills!Y16*(1+Inputs!$B$34/100)),(1/Q800))+MIN((Skills!Y16*(1+Inputs!$B$34/100)),MAX(0,Inputs!$B$44-((R800-1)*(1/Q800)))))/Inputs!$B$44),IF(Inputs!$B$39="pvp",MIN((Skills!Y16*(1+Inputs!$B$34/100)),15)/15,MIN(1,(Skills!Y16*(1+Inputs!$B$34/100))/(1/Q800)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820*I790)</f>
        <v/>
      </c>
      <c r="L790">
        <f>K790*(MIN(Inputs!$B$22+((C809=TRUE)*(F809-Calc!F25)),(Inputs!$B$23+((C814=TRUE)*(F814-Calc!F30))+IF(ArtifactsInput!$M$15,CHOOSE(ArtifactsInput!$N$15+1,25,30,35,40,45,50)/100*(Inputs!$B$11-Inputs!$B$11),0)))/100+(Inputs!$B$23+((C814=TRUE)*(F814-Calc!F30))+IF(ArtifactsInput!$M$15,CHOOSE(ArtifactsInput!$N$15+1,25,30,35,40,45,50)/100*(Inputs!$B$11-Inputs!$B$11),0))/100)/2</f>
        <v/>
      </c>
      <c r="M790">
        <f>L790*(1+(Inputs!$B$10+((C811=TRUE)*(F811-Calc!F27))+B825+(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790">
        <f>L790*(1-MIN((Inputs!$B$9+((C810=TRUE)*(F810-Calc!F26))+B818+(ArtifactsInput!$M$24-ArtifactsInput!$M$24)*CHOOSE(ArtifactsInput!$N$24+1,10,12,14,16,18,20)+(IF(AND(Inputs!$B$39&lt;&gt;"pvp",Inputs!$B$44=0),1,IF(IF(Inputs!$B$39="pvp",15,Inputs!$B$44)-(B829)&lt;=0,1,MAX(0,IF(Inputs!$B$39="pvp",15,Inputs!$B$44)-MAX(5,B829))/(IF(Inputs!$B$39="pvp",15,Inputs!$B$44)-(B829))))*IF(AND(ArtifactsInput!$M$42,((Inputs!$B$9+((C810=TRUE)*(F810-Calc!F26))+B818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790*(MIN((Inputs!$B$9+((C810=TRUE)*(F810-Calc!F26))+B818+(ArtifactsInput!$M$24-ArtifactsInput!$M$24)*CHOOSE(ArtifactsInput!$N$24+1,10,12,14,16,18,20)+(IF(AND(Inputs!$B$39&lt;&gt;"pvp",Inputs!$B$44=0),1,IF(IF(Inputs!$B$39="pvp",15,Inputs!$B$44)-(B829)&lt;=0,1,MAX(0,IF(Inputs!$B$39="pvp",15,Inputs!$B$44)-MAX(5,B829))/(IF(Inputs!$B$39="pvp",15,Inputs!$B$44)-(B829))))*IF(AND(ArtifactsInput!$M$42,((Inputs!$B$9+((C810=TRUE)*(F810-Calc!F26))+B818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790">
        <f>(1-Summary!$B$11)*T790+Summary!$B$11*V790</f>
        <v/>
      </c>
      <c r="P790">
        <f>IF(B830=0,0,O790/B830)</f>
        <v/>
      </c>
      <c r="Q790">
        <f>IFERROR(1/IF(Inputs!$B$39="pvp",15,MAX(0.1,Skills!D6-IF(TRUE=TRUE,Inputs!$B$32,0))),0)</f>
        <v/>
      </c>
      <c r="R790">
        <f>IF(AND(Inputs!$B$39&lt;&gt;"pvp",Inputs!$B$44&gt;0),IF(MAX(0,Inputs!$B$44-B829)&lt;=0,0,(INT(MAX(0,Inputs!$B$44-B829)/IF(Inputs!$B$39="pvp",15,MAX(0.1,Skills!D6-IF(TRUE=TRUE,Inputs!$B$32,0))))+1)),0)</f>
        <v/>
      </c>
      <c r="S790">
        <f>IFERROR(O790/N790,0)</f>
        <v/>
      </c>
      <c r="T790">
        <f>IF(C790,(H790*N790*IF(AND(Inputs!$B$39&lt;&gt;"pvp",Inputs!$B$44&gt;0),((Skills!G6*((R790-1)*IF(Skills!H6&gt;0,Skills!I6/Skills!H6,1)+IF(Skills!H6&gt;0,MIN(Skills!I6,MAX(0,MAX(0,Inputs!$B$44-B829)-((R790-1)*IF(Inputs!$B$39="pvp",15,MAX(0.1,Skills!D6-IF(TRUE=TRUE,Inputs!$B$32,0))))))/Skills!H6,1)))/Inputs!$B$44),G790*Q790))*IF(Inputs!$B$39="pvp",1,1+(Inputs!$B$20+0+Skills!P6+B819+(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Hunt"),CHOOSE(ArtifactsInput!$N$35+1,15,18,21,24,27,30)*(1-EXP(-(0.2*B822)*5)),0)+IF(AND(ArtifactsInput!$M$22,Inputs!$B$4&lt;&gt;"Chapter Hunt"),CHOOSE(ArtifactsInput!$N$22+1,10,12,14,16,18,20)*((0*(((0.15*B822*5))^0/1)+1*(((0.15*B822*5))^1/1)+2*(((0.15*B822*5))^2/2)+3*(((0.15*B822*5))^3/6)+4*(((0.15*B822*5))^4/24)+5*(((0.15*B822*5))^5/120))/((((0.15*B822*5))^0/1)+(((0.15*B822*5))^1/1)+(((0.15*B822*5))^2/2)+(((0.15*B822*5))^3/6)+(((0.15*B822*5))^4/24)+(((0.15*B822*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790*(1-MIN(100,(Inputs!$B$9+((C810=TRUE)*(F810-Calc!F26))+B818+(ArtifactsInput!$M$24-ArtifactsInput!$M$24)*CHOOSE(ArtifactsInput!$N$24+1,10,12,14,16,18,20)+(IF(AND(Inputs!$B$39&lt;&gt;"pvp",Inputs!$B$44=0),1,IF(IF(Inputs!$B$39="pvp",15,Inputs!$B$44)-(B829)&lt;=0,1,MAX(0,IF(Inputs!$B$39="pvp",15,Inputs!$B$44)-MAX(5,B829))/(IF(Inputs!$B$39="pvp",15,Inputs!$B$44)-(B829))))*IF(AND(ArtifactsInput!$M$42,((Inputs!$B$9+((C810=TRUE)*(F810-Calc!F26))+B818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790*(MIN(100,(Inputs!$B$9+((C810=TRUE)*(F810-Calc!F26))+B818+(ArtifactsInput!$M$24-ArtifactsInput!$M$24)*CHOOSE(ArtifactsInput!$N$24+1,10,12,14,16,18,20)+(IF(AND(Inputs!$B$39&lt;&gt;"pvp",Inputs!$B$44=0),1,IF(IF(Inputs!$B$39="pvp",15,Inputs!$B$44)-(B829)&lt;=0,1,MAX(0,IF(Inputs!$B$39="pvp",15,Inputs!$B$44)-MAX(5,B829))/(IF(Inputs!$B$39="pvp",15,Inputs!$B$44)-(B829))))*IF(AND(ArtifactsInput!$M$42,((Inputs!$B$9+((C810=TRUE)*(F810-Calc!F26))+B818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790*(1-MIN(100,(Inputs!$B$9+((C810=TRUE)*(F810-Calc!F26))+B818+(ArtifactsInput!$M$24-ArtifactsInput!$M$24)*CHOOSE(ArtifactsInput!$N$24+1,10,12,14,16,18,20)+(IF(AND(Inputs!$B$39&lt;&gt;"pvp",Inputs!$B$44=0),1,IF(IF(Inputs!$B$39="pvp",15,Inputs!$B$44)-(B829)&lt;=0,1,MAX(0,IF(Inputs!$B$39="pvp",15,Inputs!$B$44)-MAX(5,B829))/(IF(Inputs!$B$39="pvp",15,Inputs!$B$44)-(B829))))*IF(AND(ArtifactsInput!$M$42,((Inputs!$B$9+((C810=TRUE)*(F810-Calc!F26))+B818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790*(MIN(100,(Inputs!$B$9+((C810=TRUE)*(F810-Calc!F26))+B818+(ArtifactsInput!$M$24-ArtifactsInput!$M$24)*CHOOSE(ArtifactsInput!$N$24+1,10,12,14,16,18,20)+(IF(AND(Inputs!$B$39&lt;&gt;"pvp",Inputs!$B$44=0),1,IF(IF(Inputs!$B$39="pvp",15,Inputs!$B$44)-(B829)&lt;=0,1,MAX(0,IF(Inputs!$B$39="pvp",15,Inputs!$B$44)-MAX(5,B829))/(IF(Inputs!$B$39="pvp",15,Inputs!$B$44)-(B829))))*IF(AND(ArtifactsInput!$M$42,((Inputs!$B$9+((C810=TRUE)*(F810-Calc!F26))+B818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790">
        <f>IF(C790,(H790*N790*IF(AND(Inputs!$B$39&lt;&gt;"pvp",Inputs!$B$44&gt;0),((Skills!G6*((R790-1)*IF(Skills!H6&gt;0,Skills!I6/Skills!H6,1)+IF(Skills!H6&gt;0,MIN(Skills!I6,MAX(0,MAX(0,Inputs!$B$44-B829)-((R790-1)*IF(Inputs!$B$39="pvp",15,MAX(0.1,Skills!D6-IF(TRUE=TRUE,Inputs!$B$32,0))))))/Skills!H6,1)))/Inputs!$B$44),G790*Q790))*IF(Inputs!$B$39="pvp",1,(1+(Inputs!$B$21+Skills!Q6+B819+(IF(ArtifactsInput!$M$33,CHOOSE(ArtifactsInput!$N$33+1,30,36,42,48,54,60),0))+(IF(AND(ArtifactsInput!$M$35,Inputs!$B$4&lt;&gt;"Chapter Hunt"),CHOOSE(ArtifactsInput!$N$35+1,15,18,21,24,27,30)*(1-EXP(-(0.2*B822)*5)),0)+IF(AND(ArtifactsInput!$M$22,Inputs!$B$4&lt;&gt;"Chapter Hunt"),CHOOSE(ArtifactsInput!$N$22+1,10,12,14,16,18,20)*((0*(((0.15*B822*5))^0/1)+1*(((0.15*B822*5))^1/1)+2*(((0.15*B822*5))^2/2)+3*(((0.15*B822*5))^3/6)+4*(((0.15*B822*5))^4/24)+5*(((0.15*B822*5))^5/120))/((((0.15*B822*5))^0/1)+(((0.15*B822*5))^1/1)+(((0.15*B822*5))^2/2)+(((0.15*B822*5))^3/6)+(((0.15*B822*5))^4/24)+(((0.15*B822*5))^5/120))),0)))/100)*(MIN(Skills!W6,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791">
      <c r="A791">
        <f>Skills!A7</f>
        <v/>
      </c>
      <c r="B791">
        <f>Skills!B7</f>
        <v/>
      </c>
      <c r="C791">
        <f>Inputs!$B$3&gt;=69</f>
        <v/>
      </c>
      <c r="D791">
        <f>IF(Skills!C7=1,60+Inputs!$B$25+Inputs!$B$29,IF(Skills!C7=2,90+Inputs!$B$26+Inputs!$B$29,IF(Skills!C7=3,120+Inputs!$B$27+Inputs!$B$29,MAX(0,(Inputs!$B$3-100)*3)+Inputs!$B$28+Inputs!$B$29)))</f>
        <v/>
      </c>
      <c r="E791">
        <f>INDEX(FactorTable!$B$2:$Y$301, MATCH(ROUND(MIN(300,MAX(1,D791)),0), FactorTable!$A$2:$A$301,0), Skills!M7+1)</f>
        <v/>
      </c>
      <c r="F791">
        <f>IF(Skills!N7=TRUE,(Skills!L7/10)*(E791/1000),Skills!L7/10)+Skills!O7</f>
        <v/>
      </c>
      <c r="G791">
        <f>Skills!G7*IF(Skills!H7&gt;0,IF(Inputs!$B$39="pvp",MIN(Skills!I7,15),Skills!I7)/Skills!H7,1)</f>
        <v/>
      </c>
      <c r="H791">
        <f>1-(1-Skills!J7/100)^Skills!K7</f>
        <v/>
      </c>
      <c r="I791" t="inlineStr">
        <is>
          <t>1</t>
        </is>
      </c>
      <c r="J791">
        <f>((Inputs!$B$6*(1+Inputs!$B$7/100))+(((Inputs!$B$12*(1+Inputs!$B$13/100))-(Inputs!$B$12*(1+Inputs!$B$13/100)))+0.25*(Inputs!$B$14-Inputs!$B$14))*(1+Inputs!$B$7/100))*(F791/100)</f>
        <v/>
      </c>
      <c r="K791">
        <f>J791*(1+((Inputs!$B$12*(1+Inputs!$B$13/100))*0.01+Inputs!$B$14*0.0025)/100)*(1+Inputs!$B$15/100)*(1+Inputs!$B$16/100)*(5000/(6000+Inputs!$B$43*(1-(100*(1-(1-Inputs!$B$19/100)*(1-CHOOSE(ArtifactsInput!$N$40+1,5,6,7,8,9,10)/100)^(ArtifactsInput!$M$40-ArtifactsInput!$M$40)))/100)))*(1+(Inputs!$B$24+((C815=TRUE)*(F815-Calc!F31))+((C802=TRUE)*(F802-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803=TRUE,F803,0)/100)*(1+(IF(Skills!A7="CRUEL_STAB",(Inputs!$B$17+1)+((C812=TRUE)*(F812-Calc!F28))+((IF(AND(Inputs!$B$39&lt;&gt;"pvp",Inputs!$B$44=0),1,IF(IF(Inputs!$B$39="pvp",15,Inputs!$B$44)-(B829)&lt;=0,1,MAX(0,IF(Inputs!$B$39="pvp",15,Inputs!$B$44)-MAX(5,B829))/(IF(Inputs!$B$39="pvp",15,Inputs!$B$44)-(B829))))*(IF(AND(ArtifactsInput!$M$42,((Inputs!$B$9+((C810=TRUE)*(F810-Calc!F26))+B818+(ArtifactsInput!$M$24-ArtifactsInput!$M$24)*CHOOSE(ArtifactsInput!$N$24+1,10,12,14,16,18,20)+IF(ArtifactsInput!$M$10,CHOOSE(ArtifactsInput!$N$10+1,15,18,21,24,27,30)*(IF(Inputs!$B$39="pvp",MIN(15,15)/15,IF(AND(Inputs!$B$39&lt;&gt;"pvp",Inputs!$B$44&gt;0),MIN(15,Inputs!$B$44)/(Inputs!$B$44),0))),0)))&gt;=100),MIN(100,((Inputs!$B$9+((C810=TRUE)*(F810-Calc!F26))+B818+(ArtifactsInput!$M$24-ArtifactsInput!$M$24)*CHOOSE(ArtifactsInput!$N$24+1,10,12,14,16,18,20)+IF(ArtifactsInput!$M$10,CHOOSE(ArtifactsInput!$N$10+1,15,18,21,24,27,30)*(IF(Inputs!$B$39="pvp",MIN(15,15)/15,IF(AND(Inputs!$B$39&lt;&gt;"pvp",Inputs!$B$44&gt;0),MIN(15,Inputs!$B$44)/(Inputs!$B$44),0))),0)))-100),0))*CHOOSE(ArtifactsInput!$N$42+1,0.6,0.72,0.84,0.96,1.08,1.2))),Inputs!$B$18+((C813=TRUE)*(F813-Calc!F29))+(IF(AND(Inputs!$B$39&lt;&gt;"pvp",Inputs!$B$44=0),1,IF(IF(Inputs!$B$39="pvp",15,Inputs!$B$44)-(B829)&lt;=0,1,MAX(0,IF(Inputs!$B$39="pvp",15,Inputs!$B$44)-MAX(5,B829))/(IF(Inputs!$B$39="pvp",15,Inputs!$B$44)-(B829))))*IF(AND(ArtifactsInput!$M$42,((Inputs!$B$9+((C810=TRUE)*(F810-Calc!F26))+B818+(ArtifactsInput!$M$24-ArtifactsInput!$M$24)*CHOOSE(ArtifactsInput!$N$24+1,10,12,14,16,18,20)+IF(ArtifactsInput!$M$10,CHOOSE(ArtifactsInput!$N$10+1,15,18,21,24,27,30)*(IF(Inputs!$B$39="pvp",MIN(15,15)/15,IF(AND(Inputs!$B$39&lt;&gt;"pvp",Inputs!$B$44&gt;0),MIN(15,Inputs!$B$44)/(Inputs!$B$44),0))),0)))&gt;=100),CHOOSE(ArtifactsInput!$N$42+1,40,48,56,64,72,80),0))))/100)*(((1+(((C806=TRUE)*F806*IF(AND(Inputs!$B$39&lt;&gt;"pvp",Inputs!$B$44&gt;0),(((R806-1)*MIN((Skills!Y22*(1+Inputs!$B$34/100)),(1/Q806))+MIN((Skills!Y22*(1+Inputs!$B$34/100)),MAX(0,Inputs!$B$44-((R806-1)*(1/Q806)))))/Inputs!$B$44),IF(Inputs!$B$39="pvp",MIN((Skills!Y22*(1+Inputs!$B$34/100)),15)/15,MIN(1,(Skills!Y22*(1+Inputs!$B$34/100))/(1/Q806)))))+((C787=TRUE)*F787*3)+((C789=TRUE)*F789*(1-EXP(-0.75*B822*5)))+((C808=TRUE)*(F808-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795=TRUE)*F795*IF(AND(Inputs!$B$39&lt;&gt;"pvp",Inputs!$B$44&gt;0),(((R795-1)*MIN((Skills!Y11*(1+Inputs!$B$34/100)),(1/Q795))+MIN((Skills!Y11*(1+Inputs!$B$34/100)),MAX(0,Inputs!$B$44-((R795-1)*(1/Q795)))))/Inputs!$B$44),IF(Inputs!$B$39="pvp",MIN((Skills!Y11*(1+Inputs!$B$34/100)),15)/15,MIN(1,(Skills!Y11*(1+Inputs!$B$34/100))/(1/Q795)))))/100)*(1+((C800=TRUE)*F800*IF(AND(Inputs!$B$39&lt;&gt;"pvp",Inputs!$B$44&gt;0),(((R800-1)*MIN((Skills!Y16*(1+Inputs!$B$34/100)),(1/Q800))+MIN((Skills!Y16*(1+Inputs!$B$34/100)),MAX(0,Inputs!$B$44-((R800-1)*(1/Q800)))))/Inputs!$B$44),IF(Inputs!$B$39="pvp",MIN((Skills!Y16*(1+Inputs!$B$34/100)),15)/15,MIN(1,(Skills!Y16*(1+Inputs!$B$34/100))/(1/Q800)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820*I791)</f>
        <v/>
      </c>
      <c r="L791">
        <f>K791*(MIN(Inputs!$B$22+((C809=TRUE)*(F809-Calc!F25)),(Inputs!$B$23+((C814=TRUE)*(F814-Calc!F30))+IF(ArtifactsInput!$M$15,CHOOSE(ArtifactsInput!$N$15+1,25,30,35,40,45,50)/100*(Inputs!$B$11-Inputs!$B$11),0)))/100+(Inputs!$B$23+((C814=TRUE)*(F814-Calc!F30))+IF(ArtifactsInput!$M$15,CHOOSE(ArtifactsInput!$N$15+1,25,30,35,40,45,50)/100*(Inputs!$B$11-Inputs!$B$11),0))/100)/2</f>
        <v/>
      </c>
      <c r="M791">
        <f>L791*(1+(Inputs!$B$10+((C811=TRUE)*(F811-Calc!F27))+B825+(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791">
        <f>L791*(1-MIN((Inputs!$B$9+((C810=TRUE)*(F810-Calc!F26))+B818+(ArtifactsInput!$M$24-ArtifactsInput!$M$24)*CHOOSE(ArtifactsInput!$N$24+1,10,12,14,16,18,20)+(IF(AND(Inputs!$B$39&lt;&gt;"pvp",Inputs!$B$44=0),1,IF(IF(Inputs!$B$39="pvp",15,Inputs!$B$44)-(B829)&lt;=0,1,MAX(0,IF(Inputs!$B$39="pvp",15,Inputs!$B$44)-MAX(5,B829))/(IF(Inputs!$B$39="pvp",15,Inputs!$B$44)-(B829))))*IF(AND(ArtifactsInput!$M$42,((Inputs!$B$9+((C810=TRUE)*(F810-Calc!F26))+B818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791*(MIN((Inputs!$B$9+((C810=TRUE)*(F810-Calc!F26))+B818+(ArtifactsInput!$M$24-ArtifactsInput!$M$24)*CHOOSE(ArtifactsInput!$N$24+1,10,12,14,16,18,20)+(IF(AND(Inputs!$B$39&lt;&gt;"pvp",Inputs!$B$44=0),1,IF(IF(Inputs!$B$39="pvp",15,Inputs!$B$44)-(B829)&lt;=0,1,MAX(0,IF(Inputs!$B$39="pvp",15,Inputs!$B$44)-MAX(5,B829))/(IF(Inputs!$B$39="pvp",15,Inputs!$B$44)-(B829))))*IF(AND(ArtifactsInput!$M$42,((Inputs!$B$9+((C810=TRUE)*(F810-Calc!F26))+B818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791">
        <f>(1-Summary!$B$11)*T791+Summary!$B$11*V791</f>
        <v/>
      </c>
      <c r="P791">
        <f>IF(B830=0,0,O791/B830)</f>
        <v/>
      </c>
      <c r="Q791">
        <f>IFERROR(1/IF(Inputs!$B$39="pvp",15,MAX(0.1,Skills!D7-IF(TRUE=TRUE,Inputs!$B$32,0))),0)</f>
        <v/>
      </c>
      <c r="R791">
        <f>IF(AND(Inputs!$B$39&lt;&gt;"pvp",Inputs!$B$44&gt;0),IF(MAX(0,Inputs!$B$44-B829)&lt;=0,0,(INT(MAX(0,Inputs!$B$44-B829)/IF(Inputs!$B$39="pvp",15,MAX(0.1,Skills!D7-IF(TRUE=TRUE,Inputs!$B$32,0))))+1)),0)</f>
        <v/>
      </c>
      <c r="S791">
        <f>IFERROR(O791/N791,0)</f>
        <v/>
      </c>
      <c r="T791">
        <f>IF(C791,(H791*N791*IF(AND(Inputs!$B$39&lt;&gt;"pvp",Inputs!$B$44&gt;0),((Skills!G7*((R791-1)*IF(Skills!H7&gt;0,Skills!I7/Skills!H7,1)+IF(Skills!H7&gt;0,MIN(Skills!I7,MAX(0,MAX(0,Inputs!$B$44-B829)-((R791-1)*IF(Inputs!$B$39="pvp",15,MAX(0.1,Skills!D7-IF(TRUE=TRUE,Inputs!$B$32,0))))))/Skills!H7,1)))/Inputs!$B$44),G791*Q791))*IF(Inputs!$B$39="pvp",1,1+(Inputs!$B$20+0+Skills!P7+B819+(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Hunt"),CHOOSE(ArtifactsInput!$N$35+1,15,18,21,24,27,30)*(1-EXP(-(0.2*B822)*5)),0)+IF(AND(ArtifactsInput!$M$22,Inputs!$B$4&lt;&gt;"Chapter Hunt"),CHOOSE(ArtifactsInput!$N$22+1,10,12,14,16,18,20)*((0*(((0.15*B822*5))^0/1)+1*(((0.15*B822*5))^1/1)+2*(((0.15*B822*5))^2/2)+3*(((0.15*B822*5))^3/6)+4*(((0.15*B822*5))^4/24)+5*(((0.15*B822*5))^5/120))/((((0.15*B822*5))^0/1)+(((0.15*B822*5))^1/1)+(((0.15*B822*5))^2/2)+(((0.15*B822*5))^3/6)+(((0.15*B822*5))^4/24)+(((0.15*B822*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791*(1-MIN(100,(Inputs!$B$9+((C810=TRUE)*(F810-Calc!F26))+B818+(ArtifactsInput!$M$24-ArtifactsInput!$M$24)*CHOOSE(ArtifactsInput!$N$24+1,10,12,14,16,18,20)+(IF(AND(Inputs!$B$39&lt;&gt;"pvp",Inputs!$B$44=0),1,IF(IF(Inputs!$B$39="pvp",15,Inputs!$B$44)-(B829)&lt;=0,1,MAX(0,IF(Inputs!$B$39="pvp",15,Inputs!$B$44)-MAX(5,B829))/(IF(Inputs!$B$39="pvp",15,Inputs!$B$44)-(B829))))*IF(AND(ArtifactsInput!$M$42,((Inputs!$B$9+((C810=TRUE)*(F810-Calc!F26))+B818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791*(MIN(100,(Inputs!$B$9+((C810=TRUE)*(F810-Calc!F26))+B818+(ArtifactsInput!$M$24-ArtifactsInput!$M$24)*CHOOSE(ArtifactsInput!$N$24+1,10,12,14,16,18,20)+(IF(AND(Inputs!$B$39&lt;&gt;"pvp",Inputs!$B$44=0),1,IF(IF(Inputs!$B$39="pvp",15,Inputs!$B$44)-(B829)&lt;=0,1,MAX(0,IF(Inputs!$B$39="pvp",15,Inputs!$B$44)-MAX(5,B829))/(IF(Inputs!$B$39="pvp",15,Inputs!$B$44)-(B829))))*IF(AND(ArtifactsInput!$M$42,((Inputs!$B$9+((C810=TRUE)*(F810-Calc!F26))+B818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791*(1-MIN(100,(Inputs!$B$9+((C810=TRUE)*(F810-Calc!F26))+B818+(ArtifactsInput!$M$24-ArtifactsInput!$M$24)*CHOOSE(ArtifactsInput!$N$24+1,10,12,14,16,18,20)+(IF(AND(Inputs!$B$39&lt;&gt;"pvp",Inputs!$B$44=0),1,IF(IF(Inputs!$B$39="pvp",15,Inputs!$B$44)-(B829)&lt;=0,1,MAX(0,IF(Inputs!$B$39="pvp",15,Inputs!$B$44)-MAX(5,B829))/(IF(Inputs!$B$39="pvp",15,Inputs!$B$44)-(B829))))*IF(AND(ArtifactsInput!$M$42,((Inputs!$B$9+((C810=TRUE)*(F810-Calc!F26))+B818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791*(MIN(100,(Inputs!$B$9+((C810=TRUE)*(F810-Calc!F26))+B818+(ArtifactsInput!$M$24-ArtifactsInput!$M$24)*CHOOSE(ArtifactsInput!$N$24+1,10,12,14,16,18,20)+(IF(AND(Inputs!$B$39&lt;&gt;"pvp",Inputs!$B$44=0),1,IF(IF(Inputs!$B$39="pvp",15,Inputs!$B$44)-(B829)&lt;=0,1,MAX(0,IF(Inputs!$B$39="pvp",15,Inputs!$B$44)-MAX(5,B829))/(IF(Inputs!$B$39="pvp",15,Inputs!$B$44)-(B829))))*IF(AND(ArtifactsInput!$M$42,((Inputs!$B$9+((C810=TRUE)*(F810-Calc!F26))+B818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791">
        <f>IF(C791,(H791*N791*IF(AND(Inputs!$B$39&lt;&gt;"pvp",Inputs!$B$44&gt;0),((Skills!G7*((R791-1)*IF(Skills!H7&gt;0,Skills!I7/Skills!H7,1)+IF(Skills!H7&gt;0,MIN(Skills!I7,MAX(0,MAX(0,Inputs!$B$44-B829)-((R791-1)*IF(Inputs!$B$39="pvp",15,MAX(0.1,Skills!D7-IF(TRUE=TRUE,Inputs!$B$32,0))))))/Skills!H7,1)))/Inputs!$B$44),G791*Q791))*IF(Inputs!$B$39="pvp",1,(1+(Inputs!$B$21+Skills!Q7+B819+(IF(ArtifactsInput!$M$33,CHOOSE(ArtifactsInput!$N$33+1,30,36,42,48,54,60),0))+(IF(AND(ArtifactsInput!$M$35,Inputs!$B$4&lt;&gt;"Chapter Hunt"),CHOOSE(ArtifactsInput!$N$35+1,15,18,21,24,27,30)*(1-EXP(-(0.2*B822)*5)),0)+IF(AND(ArtifactsInput!$M$22,Inputs!$B$4&lt;&gt;"Chapter Hunt"),CHOOSE(ArtifactsInput!$N$22+1,10,12,14,16,18,20)*((0*(((0.15*B822*5))^0/1)+1*(((0.15*B822*5))^1/1)+2*(((0.15*B822*5))^2/2)+3*(((0.15*B822*5))^3/6)+4*(((0.15*B822*5))^4/24)+5*(((0.15*B822*5))^5/120))/((((0.15*B822*5))^0/1)+(((0.15*B822*5))^1/1)+(((0.15*B822*5))^2/2)+(((0.15*B822*5))^3/6)+(((0.15*B822*5))^4/24)+(((0.15*B822*5))^5/120))),0)))/100)*(MIN(Skills!W7,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792">
      <c r="A792">
        <f>Skills!A8</f>
        <v/>
      </c>
      <c r="B792">
        <f>Skills!B8</f>
        <v/>
      </c>
      <c r="C792">
        <f>Inputs!$B$3&gt;=60</f>
        <v/>
      </c>
      <c r="D792">
        <f>IF(Skills!C8=1,60+Inputs!$B$25+Inputs!$B$29,IF(Skills!C8=2,90+Inputs!$B$26+Inputs!$B$29,IF(Skills!C8=3,120+Inputs!$B$27+Inputs!$B$29,MAX(0,(Inputs!$B$3-100)*3)+Inputs!$B$28+Inputs!$B$29)))</f>
        <v/>
      </c>
      <c r="E792">
        <f>INDEX(FactorTable!$B$2:$Y$301, MATCH(ROUND(MIN(300,MAX(1,D792)),0), FactorTable!$A$2:$A$301,0), Skills!M8+1)</f>
        <v/>
      </c>
      <c r="F792">
        <f>IF(Skills!N8=TRUE,(Skills!L8/10)*(E792/1000),Skills!L8/10)+Skills!O8</f>
        <v/>
      </c>
      <c r="G792">
        <f>Skills!G8*IF(Skills!H8&gt;0,IF(Inputs!$B$39="pvp",MIN(Skills!I8,15),Skills!I8)/Skills!H8,1)</f>
        <v/>
      </c>
      <c r="H792">
        <f>1-(1-Skills!J8/100)^Skills!K8</f>
        <v/>
      </c>
      <c r="I792" t="inlineStr">
        <is>
          <t>1</t>
        </is>
      </c>
      <c r="J792" t="inlineStr"/>
      <c r="K792" t="inlineStr"/>
      <c r="L792" t="inlineStr"/>
      <c r="M792" t="inlineStr"/>
      <c r="N792" t="inlineStr"/>
      <c r="O792">
        <f>(1-Summary!$B$11)*T792+Summary!$B$11*V792</f>
        <v/>
      </c>
      <c r="P792">
        <f>IF(B830=0,0,O792/B830)</f>
        <v/>
      </c>
      <c r="Q792" t="n">
        <v>0</v>
      </c>
      <c r="R792" t="n">
        <v>0</v>
      </c>
      <c r="S792">
        <f>IFERROR(O792/N792,0)</f>
        <v/>
      </c>
      <c r="T792" t="n">
        <v>0</v>
      </c>
      <c r="V792" t="n">
        <v>0</v>
      </c>
    </row>
    <row r="793">
      <c r="A793">
        <f>Skills!A9</f>
        <v/>
      </c>
      <c r="B793">
        <f>Skills!B9</f>
        <v/>
      </c>
      <c r="C793">
        <f>Inputs!$B$3&gt;=72</f>
        <v/>
      </c>
      <c r="D793">
        <f>IF(Skills!C9=1,60+Inputs!$B$25+Inputs!$B$29,IF(Skills!C9=2,90+Inputs!$B$26+Inputs!$B$29,IF(Skills!C9=3,120+Inputs!$B$27+Inputs!$B$29,MAX(0,(Inputs!$B$3-100)*3)+Inputs!$B$28+Inputs!$B$29)))</f>
        <v/>
      </c>
      <c r="E793">
        <f>INDEX(FactorTable!$B$2:$Y$301, MATCH(ROUND(MIN(300,MAX(1,D793)),0), FactorTable!$A$2:$A$301,0), Skills!M9+1)</f>
        <v/>
      </c>
      <c r="F793">
        <f>IF(Skills!N9=TRUE,(Skills!L9/10)*(E793/1000),Skills!L9/10)+Skills!O9</f>
        <v/>
      </c>
      <c r="G793">
        <f>Skills!G9*IF(Skills!H9&gt;0,IF(Inputs!$B$39="pvp",MIN(Skills!I9,15),Skills!I9)/Skills!H9,1)</f>
        <v/>
      </c>
      <c r="H793">
        <f>1-(1-Skills!J9/100)^Skills!K9</f>
        <v/>
      </c>
      <c r="I793" t="inlineStr">
        <is>
          <t>1</t>
        </is>
      </c>
      <c r="J793">
        <f>((Inputs!$B$6*(1+Inputs!$B$7/100))+(((Inputs!$B$12*(1+Inputs!$B$13/100))-(Inputs!$B$12*(1+Inputs!$B$13/100)))+0.25*(Inputs!$B$14-Inputs!$B$14))*(1+Inputs!$B$7/100))*(F793/100)</f>
        <v/>
      </c>
      <c r="K793">
        <f>J793*(1+((Inputs!$B$12*(1+Inputs!$B$13/100))*0.01+Inputs!$B$14*0.0025)/100)*(1+Inputs!$B$15/100)*(1+Inputs!$B$16/100)*(5000/(6000+Inputs!$B$43*(1-(100*(1-(1-Inputs!$B$19/100)*(1-CHOOSE(ArtifactsInput!$N$40+1,5,6,7,8,9,10)/100)^(ArtifactsInput!$M$40-ArtifactsInput!$M$40)))/100)))*(1+(Inputs!$B$24+((C815=TRUE)*(F815-Calc!F31))+((C802=TRUE)*(F802-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+3.3333333333333335*IF(C803=TRUE,F803,0)/100)*(1+(IF(Skills!A9="CRUEL_STAB",(Inputs!$B$17+1)+((C812=TRUE)*(F812-Calc!F28))+((IF(AND(Inputs!$B$39&lt;&gt;"pvp",Inputs!$B$44=0),1,IF(IF(Inputs!$B$39="pvp",15,Inputs!$B$44)-(B829)&lt;=0,1,MAX(0,IF(Inputs!$B$39="pvp",15,Inputs!$B$44)-MAX(5,B829))/(IF(Inputs!$B$39="pvp",15,Inputs!$B$44)-(B829))))*(IF(AND(ArtifactsInput!$M$42,((Inputs!$B$9+((C810=TRUE)*(F810-Calc!F26))+B818+(ArtifactsInput!$M$24-ArtifactsInput!$M$24)*CHOOSE(ArtifactsInput!$N$24+1,10,12,14,16,18,20)+IF(ArtifactsInput!$M$10,CHOOSE(ArtifactsInput!$N$10+1,15,18,21,24,27,30)*(IF(Inputs!$B$39="pvp",MIN(15,15)/15,IF(AND(Inputs!$B$39&lt;&gt;"pvp",Inputs!$B$44&gt;0),MIN(15,Inputs!$B$44)/(Inputs!$B$44),0))),0)))&gt;=100),MIN(100,((Inputs!$B$9+((C810=TRUE)*(F810-Calc!F26))+B818+(ArtifactsInput!$M$24-ArtifactsInput!$M$24)*CHOOSE(ArtifactsInput!$N$24+1,10,12,14,16,18,20)+IF(ArtifactsInput!$M$10,CHOOSE(ArtifactsInput!$N$10+1,15,18,21,24,27,30)*(IF(Inputs!$B$39="pvp",MIN(15,15)/15,IF(AND(Inputs!$B$39&lt;&gt;"pvp",Inputs!$B$44&gt;0),MIN(15,Inputs!$B$44)/(Inputs!$B$44),0))),0)))-100),0))*CHOOSE(ArtifactsInput!$N$42+1,0.6,0.72,0.84,0.96,1.08,1.2))),Inputs!$B$18+((C813=TRUE)*(F813-Calc!F29))+(IF(AND(Inputs!$B$39&lt;&gt;"pvp",Inputs!$B$44=0),1,IF(IF(Inputs!$B$39="pvp",15,Inputs!$B$44)-(B829)&lt;=0,1,MAX(0,IF(Inputs!$B$39="pvp",15,Inputs!$B$44)-MAX(5,B829))/(IF(Inputs!$B$39="pvp",15,Inputs!$B$44)-(B829))))*IF(AND(ArtifactsInput!$M$42,((Inputs!$B$9+((C810=TRUE)*(F810-Calc!F26))+B818+(ArtifactsInput!$M$24-ArtifactsInput!$M$24)*CHOOSE(ArtifactsInput!$N$24+1,10,12,14,16,18,20)+IF(ArtifactsInput!$M$10,CHOOSE(ArtifactsInput!$N$10+1,15,18,21,24,27,30)*(IF(Inputs!$B$39="pvp",MIN(15,15)/15,IF(AND(Inputs!$B$39&lt;&gt;"pvp",Inputs!$B$44&gt;0),MIN(15,Inputs!$B$44)/(Inputs!$B$44),0))),0)))&gt;=100),CHOOSE(ArtifactsInput!$N$42+1,40,48,56,64,72,80),0))))/100)*(((1+(((C806=TRUE)*F806*IF(AND(Inputs!$B$39&lt;&gt;"pvp",Inputs!$B$44&gt;0),(((R806-1)*MIN((Skills!Y22*(1+Inputs!$B$34/100)),(1/Q806))+MIN((Skills!Y22*(1+Inputs!$B$34/100)),MAX(0,Inputs!$B$44-((R806-1)*(1/Q806)))))/Inputs!$B$44),IF(Inputs!$B$39="pvp",MIN((Skills!Y22*(1+Inputs!$B$34/100)),15)/15,MIN(1,(Skills!Y22*(1+Inputs!$B$34/100))/(1/Q806)))))+((C787=TRUE)*F787*3)+((C789=TRUE)*F789*(1-EXP(-0.75*B822*5)))+((C808=TRUE)*(F808-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795=TRUE)*F795*IF(AND(Inputs!$B$39&lt;&gt;"pvp",Inputs!$B$44&gt;0),(((R795-1)*MIN((Skills!Y11*(1+Inputs!$B$34/100)),(1/Q795))+MIN((Skills!Y11*(1+Inputs!$B$34/100)),MAX(0,Inputs!$B$44-((R795-1)*(1/Q795)))))/Inputs!$B$44),IF(Inputs!$B$39="pvp",MIN((Skills!Y11*(1+Inputs!$B$34/100)),15)/15,MIN(1,(Skills!Y11*(1+Inputs!$B$34/100))/(1/Q795)))))/100)*(1+((C800=TRUE)*F800*IF(AND(Inputs!$B$39&lt;&gt;"pvp",Inputs!$B$44&gt;0),(((R800-1)*MIN((Skills!Y16*(1+Inputs!$B$34/100)),(1/Q800))+MIN((Skills!Y16*(1+Inputs!$B$34/100)),MAX(0,Inputs!$B$44-((R800-1)*(1/Q800)))))/Inputs!$B$44),IF(Inputs!$B$39="pvp",MIN((Skills!Y16*(1+Inputs!$B$34/100)),15)/15,MIN(1,(Skills!Y16*(1+Inputs!$B$34/100))/(1/Q800)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820*I793)</f>
        <v/>
      </c>
      <c r="L793">
        <f>K793*(MIN(Inputs!$B$22+((C809=TRUE)*(F809-Calc!F25)),(Inputs!$B$23+((C814=TRUE)*(F814-Calc!F30))+IF(ArtifactsInput!$M$15,CHOOSE(ArtifactsInput!$N$15+1,25,30,35,40,45,50)/100*(Inputs!$B$11-Inputs!$B$11),0)))/100+(Inputs!$B$23+((C814=TRUE)*(F814-Calc!F30))+IF(ArtifactsInput!$M$15,CHOOSE(ArtifactsInput!$N$15+1,25,30,35,40,45,50)/100*(Inputs!$B$11-Inputs!$B$11),0))/100)/2</f>
        <v/>
      </c>
      <c r="M793">
        <f>L793*(1+(Inputs!$B$10+((C811=TRUE)*(F811-Calc!F27))+B825+(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793">
        <f>L793*(1-MIN((Inputs!$B$9+((C810=TRUE)*(F810-Calc!F26))+B818+(ArtifactsInput!$M$24-ArtifactsInput!$M$24)*CHOOSE(ArtifactsInput!$N$24+1,10,12,14,16,18,20)+(IF(AND(Inputs!$B$39&lt;&gt;"pvp",Inputs!$B$44=0),1,IF(IF(Inputs!$B$39="pvp",15,Inputs!$B$44)-(B829)&lt;=0,1,MAX(0,IF(Inputs!$B$39="pvp",15,Inputs!$B$44)-MAX(5,B829))/(IF(Inputs!$B$39="pvp",15,Inputs!$B$44)-(B829))))*IF(AND(ArtifactsInput!$M$42,((Inputs!$B$9+((C810=TRUE)*(F810-Calc!F26))+B818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793*(MIN((Inputs!$B$9+((C810=TRUE)*(F810-Calc!F26))+B818+(ArtifactsInput!$M$24-ArtifactsInput!$M$24)*CHOOSE(ArtifactsInput!$N$24+1,10,12,14,16,18,20)+(IF(AND(Inputs!$B$39&lt;&gt;"pvp",Inputs!$B$44=0),1,IF(IF(Inputs!$B$39="pvp",15,Inputs!$B$44)-(B829)&lt;=0,1,MAX(0,IF(Inputs!$B$39="pvp",15,Inputs!$B$44)-MAX(5,B829))/(IF(Inputs!$B$39="pvp",15,Inputs!$B$44)-(B829))))*IF(AND(ArtifactsInput!$M$42,((Inputs!$B$9+((C810=TRUE)*(F810-Calc!F26))+B818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793">
        <f>(1-Summary!$B$11)*T793+Summary!$B$11*V793</f>
        <v/>
      </c>
      <c r="P793">
        <f>IF(B830=0,0,O793/B830)</f>
        <v/>
      </c>
      <c r="Q793">
        <f>IFERROR(1/IF(Inputs!$B$39="pvp",15,MAX(0.1,Skills!D9-IF(FALSE=TRUE,Inputs!$B$32,0))),0)</f>
        <v/>
      </c>
      <c r="R793">
        <f>IF(AND(Inputs!$B$39&lt;&gt;"pvp",Inputs!$B$44&gt;0),IF(MAX(0,Inputs!$B$44-B829)&lt;=0,0,(INT(MAX(0,Inputs!$B$44-B829)/IF(Inputs!$B$39="pvp",15,MAX(0.1,Skills!D9-IF(FALSE=TRUE,Inputs!$B$32,0))))+1)),0)</f>
        <v/>
      </c>
      <c r="S793">
        <f>IFERROR(O793/N793,0)</f>
        <v/>
      </c>
      <c r="T793">
        <f>IF(C793,(H793*N793*IF(AND(Inputs!$B$39&lt;&gt;"pvp",Inputs!$B$44&gt;0),((Skills!G9*((R793-1)*IF(Skills!H9&gt;0,Skills!I9/Skills!H9,1)+IF(Skills!H9&gt;0,MIN(Skills!I9,MAX(0,MAX(0,Inputs!$B$44-B829)-((R793-1)*IF(Inputs!$B$39="pvp",15,MAX(0.1,Skills!D9-IF(FALSE=TRUE,Inputs!$B$32,0))))))/Skills!H9,1)))/Inputs!$B$44),G793*Q793))*IF(Inputs!$B$39="pvp",1,1+(Inputs!$B$20+0+Skills!P9+B819+(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Hunt"),CHOOSE(ArtifactsInput!$N$35+1,15,18,21,24,27,30)*(1-EXP(-(0.2*B822)*5)),0)+IF(AND(ArtifactsInput!$M$22,Inputs!$B$4&lt;&gt;"Chapter Hunt"),CHOOSE(ArtifactsInput!$N$22+1,10,12,14,16,18,20)*((0*(((0.15*B822*5))^0/1)+1*(((0.15*B822*5))^1/1)+2*(((0.15*B822*5))^2/2)+3*(((0.15*B822*5))^3/6)+4*(((0.15*B822*5))^4/24)+5*(((0.15*B822*5))^5/120))/((((0.15*B822*5))^0/1)+(((0.15*B822*5))^1/1)+(((0.15*B822*5))^2/2)+(((0.15*B822*5))^3/6)+(((0.15*B822*5))^4/24)+(((0.15*B822*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793*(1-MIN(100,(Inputs!$B$9+((C810=TRUE)*(F810-Calc!F26))+B818+(ArtifactsInput!$M$24-ArtifactsInput!$M$24)*CHOOSE(ArtifactsInput!$N$24+1,10,12,14,16,18,20)+(IF(AND(Inputs!$B$39&lt;&gt;"pvp",Inputs!$B$44=0),1,IF(IF(Inputs!$B$39="pvp",15,Inputs!$B$44)-(B829)&lt;=0,1,MAX(0,IF(Inputs!$B$39="pvp",15,Inputs!$B$44)-MAX(5,B829))/(IF(Inputs!$B$39="pvp",15,Inputs!$B$44)-(B829))))*IF(AND(ArtifactsInput!$M$42,((Inputs!$B$9+((C810=TRUE)*(F810-Calc!F26))+B818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793*(MIN(100,(Inputs!$B$9+((C810=TRUE)*(F810-Calc!F26))+B818+(ArtifactsInput!$M$24-ArtifactsInput!$M$24)*CHOOSE(ArtifactsInput!$N$24+1,10,12,14,16,18,20)+(IF(AND(Inputs!$B$39&lt;&gt;"pvp",Inputs!$B$44=0),1,IF(IF(Inputs!$B$39="pvp",15,Inputs!$B$44)-(B829)&lt;=0,1,MAX(0,IF(Inputs!$B$39="pvp",15,Inputs!$B$44)-MAX(5,B829))/(IF(Inputs!$B$39="pvp",15,Inputs!$B$44)-(B829))))*IF(AND(ArtifactsInput!$M$42,((Inputs!$B$9+((C810=TRUE)*(F810-Calc!F26))+B818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793*(1-MIN(100,(Inputs!$B$9+((C810=TRUE)*(F810-Calc!F26))+B818+(ArtifactsInput!$M$24-ArtifactsInput!$M$24)*CHOOSE(ArtifactsInput!$N$24+1,10,12,14,16,18,20)+(IF(AND(Inputs!$B$39&lt;&gt;"pvp",Inputs!$B$44=0),1,IF(IF(Inputs!$B$39="pvp",15,Inputs!$B$44)-(B829)&lt;=0,1,MAX(0,IF(Inputs!$B$39="pvp",15,Inputs!$B$44)-MAX(5,B829))/(IF(Inputs!$B$39="pvp",15,Inputs!$B$44)-(B829))))*IF(AND(ArtifactsInput!$M$42,((Inputs!$B$9+((C810=TRUE)*(F810-Calc!F26))+B818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793*(MIN(100,(Inputs!$B$9+((C810=TRUE)*(F810-Calc!F26))+B818+(ArtifactsInput!$M$24-ArtifactsInput!$M$24)*CHOOSE(ArtifactsInput!$N$24+1,10,12,14,16,18,20)+(IF(AND(Inputs!$B$39&lt;&gt;"pvp",Inputs!$B$44=0),1,IF(IF(Inputs!$B$39="pvp",15,Inputs!$B$44)-(B829)&lt;=0,1,MAX(0,IF(Inputs!$B$39="pvp",15,Inputs!$B$44)-MAX(5,B829))/(IF(Inputs!$B$39="pvp",15,Inputs!$B$44)-(B829))))*IF(AND(ArtifactsInput!$M$42,((Inputs!$B$9+((C810=TRUE)*(F810-Calc!F26))+B818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793">
        <f>IF(C793,(H793*N793*IF(AND(Inputs!$B$39&lt;&gt;"pvp",Inputs!$B$44&gt;0),((Skills!G9*((R793-1)*IF(Skills!H9&gt;0,Skills!I9/Skills!H9,1)+IF(Skills!H9&gt;0,MIN(Skills!I9,MAX(0,MAX(0,Inputs!$B$44-B829)-((R793-1)*IF(Inputs!$B$39="pvp",15,MAX(0.1,Skills!D9-IF(FALSE=TRUE,Inputs!$B$32,0))))))/Skills!H9,1)))/Inputs!$B$44),G793*Q793))*IF(Inputs!$B$39="pvp",1,(1+(Inputs!$B$21+Skills!Q9+B819+(IF(ArtifactsInput!$M$33,CHOOSE(ArtifactsInput!$N$33+1,30,36,42,48,54,60),0))+(IF(AND(ArtifactsInput!$M$35,Inputs!$B$4&lt;&gt;"Chapter Hunt"),CHOOSE(ArtifactsInput!$N$35+1,15,18,21,24,27,30)*(1-EXP(-(0.2*B822)*5)),0)+IF(AND(ArtifactsInput!$M$22,Inputs!$B$4&lt;&gt;"Chapter Hunt"),CHOOSE(ArtifactsInput!$N$22+1,10,12,14,16,18,20)*((0*(((0.15*B822*5))^0/1)+1*(((0.15*B822*5))^1/1)+2*(((0.15*B822*5))^2/2)+3*(((0.15*B822*5))^3/6)+4*(((0.15*B822*5))^4/24)+5*(((0.15*B822*5))^5/120))/((((0.15*B822*5))^0/1)+(((0.15*B822*5))^1/1)+(((0.15*B822*5))^2/2)+(((0.15*B822*5))^3/6)+(((0.15*B822*5))^4/24)+(((0.15*B822*5))^5/120))),0)))/100)*(MIN(Skills!W9,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794">
      <c r="A794">
        <f>Skills!A10</f>
        <v/>
      </c>
      <c r="B794">
        <f>Skills!B10</f>
        <v/>
      </c>
      <c r="C794">
        <f>Inputs!$B$3&gt;=117</f>
        <v/>
      </c>
      <c r="D794">
        <f>IF(Skills!C10=1,60+Inputs!$B$25+Inputs!$B$29,IF(Skills!C10=2,90+Inputs!$B$26+Inputs!$B$29,IF(Skills!C10=3,120+Inputs!$B$27+Inputs!$B$29,MAX(0,(Inputs!$B$3-100)*3)+Inputs!$B$28+Inputs!$B$29)))</f>
        <v/>
      </c>
      <c r="E794">
        <f>INDEX(FactorTable!$B$2:$Y$301, MATCH(ROUND(MIN(300,MAX(1,D794)),0), FactorTable!$A$2:$A$301,0), Skills!M10+1)</f>
        <v/>
      </c>
      <c r="F794">
        <f>IF(Skills!N10=TRUE,(Skills!L10/10)*(E794/1000),Skills!L10/10)+Skills!O10</f>
        <v/>
      </c>
      <c r="G794">
        <f>Skills!G10*IF(Skills!H10&gt;0,IF(Inputs!$B$39="pvp",MIN(Skills!I10,15),Skills!I10)/Skills!H10,1)</f>
        <v/>
      </c>
      <c r="H794">
        <f>1-(1-Skills!J10/100)^Skills!K10</f>
        <v/>
      </c>
      <c r="I794" t="inlineStr">
        <is>
          <t>1</t>
        </is>
      </c>
      <c r="J794">
        <f>((Inputs!$B$6*(1+Inputs!$B$7/100))+(((Inputs!$B$12*(1+Inputs!$B$13/100))-(Inputs!$B$12*(1+Inputs!$B$13/100)))+0.25*(Inputs!$B$14-Inputs!$B$14))*(1+Inputs!$B$7/100))*(F794/100)</f>
        <v/>
      </c>
      <c r="K794">
        <f>J794*(1+((Inputs!$B$12*(1+Inputs!$B$13/100))*0.01+Inputs!$B$14*0.0025)/100)*(1+Inputs!$B$15/100)*(1+Inputs!$B$16/100)*(5000/(6000+Inputs!$B$43*(1-(100*(1-(1-Inputs!$B$19/100)*(1-CHOOSE(ArtifactsInput!$N$40+1,5,6,7,8,9,10)/100)^(ArtifactsInput!$M$40-ArtifactsInput!$M$40)))/100)))*(1+(Inputs!$B$24+((C815=TRUE)*(F815-Calc!F31))+((C802=TRUE)*(F802-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10="CRUEL_STAB",(Inputs!$B$17+1)+((C812=TRUE)*(F812-Calc!F28))+((IF(AND(Inputs!$B$39&lt;&gt;"pvp",Inputs!$B$44=0),1,IF(IF(Inputs!$B$39="pvp",15,Inputs!$B$44)-(B829)&lt;=0,1,MAX(0,IF(Inputs!$B$39="pvp",15,Inputs!$B$44)-MAX(5,B829))/(IF(Inputs!$B$39="pvp",15,Inputs!$B$44)-(B829))))*(IF(AND(ArtifactsInput!$M$42,((Inputs!$B$9+((C810=TRUE)*(F810-Calc!F26))+B818+(ArtifactsInput!$M$24-ArtifactsInput!$M$24)*CHOOSE(ArtifactsInput!$N$24+1,10,12,14,16,18,20)+IF(ArtifactsInput!$M$10,CHOOSE(ArtifactsInput!$N$10+1,15,18,21,24,27,30)*(IF(Inputs!$B$39="pvp",MIN(15,15)/15,IF(AND(Inputs!$B$39&lt;&gt;"pvp",Inputs!$B$44&gt;0),MIN(15,Inputs!$B$44)/(Inputs!$B$44),0))),0)))&gt;=100),MIN(100,((Inputs!$B$9+((C810=TRUE)*(F810-Calc!F26))+B818+(ArtifactsInput!$M$24-ArtifactsInput!$M$24)*CHOOSE(ArtifactsInput!$N$24+1,10,12,14,16,18,20)+IF(ArtifactsInput!$M$10,CHOOSE(ArtifactsInput!$N$10+1,15,18,21,24,27,30)*(IF(Inputs!$B$39="pvp",MIN(15,15)/15,IF(AND(Inputs!$B$39&lt;&gt;"pvp",Inputs!$B$44&gt;0),MIN(15,Inputs!$B$44)/(Inputs!$B$44),0))),0)))-100),0))*CHOOSE(ArtifactsInput!$N$42+1,0.6,0.72,0.84,0.96,1.08,1.2))),Inputs!$B$18+((C813=TRUE)*(F813-Calc!F29))+(IF(AND(Inputs!$B$39&lt;&gt;"pvp",Inputs!$B$44=0),1,IF(IF(Inputs!$B$39="pvp",15,Inputs!$B$44)-(B829)&lt;=0,1,MAX(0,IF(Inputs!$B$39="pvp",15,Inputs!$B$44)-MAX(5,B829))/(IF(Inputs!$B$39="pvp",15,Inputs!$B$44)-(B829))))*IF(AND(ArtifactsInput!$M$42,((Inputs!$B$9+((C810=TRUE)*(F810-Calc!F26))+B818+(ArtifactsInput!$M$24-ArtifactsInput!$M$24)*CHOOSE(ArtifactsInput!$N$24+1,10,12,14,16,18,20)+IF(ArtifactsInput!$M$10,CHOOSE(ArtifactsInput!$N$10+1,15,18,21,24,27,30)*(IF(Inputs!$B$39="pvp",MIN(15,15)/15,IF(AND(Inputs!$B$39&lt;&gt;"pvp",Inputs!$B$44&gt;0),MIN(15,Inputs!$B$44)/(Inputs!$B$44),0))),0)))&gt;=100),CHOOSE(ArtifactsInput!$N$42+1,40,48,56,64,72,80),0))))/100)*(((1+(((C806=TRUE)*F806*IF(AND(Inputs!$B$39&lt;&gt;"pvp",Inputs!$B$44&gt;0),(((R806-1)*MIN((Skills!Y22*(1+Inputs!$B$34/100)),(1/Q806))+MIN((Skills!Y22*(1+Inputs!$B$34/100)),MAX(0,Inputs!$B$44-((R806-1)*(1/Q806)))))/Inputs!$B$44),IF(Inputs!$B$39="pvp",MIN((Skills!Y22*(1+Inputs!$B$34/100)),15)/15,MIN(1,(Skills!Y22*(1+Inputs!$B$34/100))/(1/Q806)))))+((C787=TRUE)*F787*3)+((C789=TRUE)*F789*(1-EXP(-0.75*B822*5)))+((C808=TRUE)*(F808-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795=TRUE)*F795*IF(AND(Inputs!$B$39&lt;&gt;"pvp",Inputs!$B$44&gt;0),(((R795-1)*MIN((Skills!Y11*(1+Inputs!$B$34/100)),(1/Q795))+MIN((Skills!Y11*(1+Inputs!$B$34/100)),MAX(0,Inputs!$B$44-((R795-1)*(1/Q795)))))/Inputs!$B$44),IF(Inputs!$B$39="pvp",MIN((Skills!Y11*(1+Inputs!$B$34/100)),15)/15,MIN(1,(Skills!Y11*(1+Inputs!$B$34/100))/(1/Q795)))))/100)*(1+((C800=TRUE)*F800*IF(AND(Inputs!$B$39&lt;&gt;"pvp",Inputs!$B$44&gt;0),(((R800-1)*MIN((Skills!Y16*(1+Inputs!$B$34/100)),(1/Q800))+MIN((Skills!Y16*(1+Inputs!$B$34/100)),MAX(0,Inputs!$B$44-((R800-1)*(1/Q800)))))/Inputs!$B$44),IF(Inputs!$B$39="pvp",MIN((Skills!Y16*(1+Inputs!$B$34/100)),15)/15,MIN(1,(Skills!Y16*(1+Inputs!$B$34/100))/(1/Q800)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820*I794)</f>
        <v/>
      </c>
      <c r="L794">
        <f>K794*(MIN(Inputs!$B$22+((C809=TRUE)*(F809-Calc!F25)),(Inputs!$B$23+((C814=TRUE)*(F814-Calc!F30))+IF(ArtifactsInput!$M$15,CHOOSE(ArtifactsInput!$N$15+1,25,30,35,40,45,50)/100*(Inputs!$B$11-Inputs!$B$11),0)))/100+(Inputs!$B$23+((C814=TRUE)*(F814-Calc!F30))+IF(ArtifactsInput!$M$15,CHOOSE(ArtifactsInput!$N$15+1,25,30,35,40,45,50)/100*(Inputs!$B$11-Inputs!$B$11),0))/100)/2</f>
        <v/>
      </c>
      <c r="M794">
        <f>L794*(1+(Inputs!$B$10+((C811=TRUE)*(F811-Calc!F27))+B825+(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794">
        <f>L794*(1-MIN((Inputs!$B$9+((C810=TRUE)*(F810-Calc!F26))+B818+(ArtifactsInput!$M$24-ArtifactsInput!$M$24)*CHOOSE(ArtifactsInput!$N$24+1,10,12,14,16,18,20)+(IF(AND(Inputs!$B$39&lt;&gt;"pvp",Inputs!$B$44=0),1,IF(IF(Inputs!$B$39="pvp",15,Inputs!$B$44)-(B829)&lt;=0,1,MAX(0,IF(Inputs!$B$39="pvp",15,Inputs!$B$44)-MAX(5,B829))/(IF(Inputs!$B$39="pvp",15,Inputs!$B$44)-(B829))))*IF(AND(ArtifactsInput!$M$42,((Inputs!$B$9+((C810=TRUE)*(F810-Calc!F26))+B818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794*(MIN((Inputs!$B$9+((C810=TRUE)*(F810-Calc!F26))+B818+(ArtifactsInput!$M$24-ArtifactsInput!$M$24)*CHOOSE(ArtifactsInput!$N$24+1,10,12,14,16,18,20)+(IF(AND(Inputs!$B$39&lt;&gt;"pvp",Inputs!$B$44=0),1,IF(IF(Inputs!$B$39="pvp",15,Inputs!$B$44)-(B829)&lt;=0,1,MAX(0,IF(Inputs!$B$39="pvp",15,Inputs!$B$44)-MAX(5,B829))/(IF(Inputs!$B$39="pvp",15,Inputs!$B$44)-(B829))))*IF(AND(ArtifactsInput!$M$42,((Inputs!$B$9+((C810=TRUE)*(F810-Calc!F26))+B818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794">
        <f>(1-Summary!$B$11)*T794+Summary!$B$11*V794</f>
        <v/>
      </c>
      <c r="P794">
        <f>IF(B830=0,0,O794/B830)</f>
        <v/>
      </c>
      <c r="Q794" t="n">
        <v>0</v>
      </c>
      <c r="R794" t="n">
        <v>0</v>
      </c>
      <c r="S794" t="n">
        <v>0</v>
      </c>
      <c r="T794">
        <f>IF(C794,(0.2*SUMPRODUCT((Skills!Z2:Z31=TRUE)*(C786:C815=TRUE)*S786:S815)*N794)*IF(Inputs!$B$39="pvp",1,1+(Inputs!$B$20+0+Skills!P10+B819+(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Hunt"),CHOOSE(ArtifactsInput!$N$35+1,15,18,21,24,27,30)*(1-EXP(-(0.2*B822)*5)),0)+IF(AND(ArtifactsInput!$M$22,Inputs!$B$4&lt;&gt;"Chapter Hunt"),CHOOSE(ArtifactsInput!$N$22+1,10,12,14,16,18,20)*((0*(((0.15*B822*5))^0/1)+1*(((0.15*B822*5))^1/1)+2*(((0.15*B822*5))^2/2)+3*(((0.15*B822*5))^3/6)+4*(((0.15*B822*5))^4/24)+5*(((0.15*B822*5))^5/120))/((((0.15*B822*5))^0/1)+(((0.15*B822*5))^1/1)+(((0.15*B822*5))^2/2)+(((0.15*B822*5))^3/6)+(((0.15*B822*5))^4/24)+(((0.15*B822*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794*(1-MIN(100,(Inputs!$B$9+((C810=TRUE)*(F810-Calc!F26))+B818+(ArtifactsInput!$M$24-ArtifactsInput!$M$24)*CHOOSE(ArtifactsInput!$N$24+1,10,12,14,16,18,20)+(IF(AND(Inputs!$B$39&lt;&gt;"pvp",Inputs!$B$44=0),1,IF(IF(Inputs!$B$39="pvp",15,Inputs!$B$44)-(B829)&lt;=0,1,MAX(0,IF(Inputs!$B$39="pvp",15,Inputs!$B$44)-MAX(5,B829))/(IF(Inputs!$B$39="pvp",15,Inputs!$B$44)-(B829))))*IF(AND(ArtifactsInput!$M$42,((Inputs!$B$9+((C810=TRUE)*(F810-Calc!F26))+B818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794*(MIN(100,(Inputs!$B$9+((C810=TRUE)*(F810-Calc!F26))+B818+(ArtifactsInput!$M$24-ArtifactsInput!$M$24)*CHOOSE(ArtifactsInput!$N$24+1,10,12,14,16,18,20)+(IF(AND(Inputs!$B$39&lt;&gt;"pvp",Inputs!$B$44=0),1,IF(IF(Inputs!$B$39="pvp",15,Inputs!$B$44)-(B829)&lt;=0,1,MAX(0,IF(Inputs!$B$39="pvp",15,Inputs!$B$44)-MAX(5,B829))/(IF(Inputs!$B$39="pvp",15,Inputs!$B$44)-(B829))))*IF(AND(ArtifactsInput!$M$42,((Inputs!$B$9+((C810=TRUE)*(F810-Calc!F26))+B818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794*(1-MIN(100,(Inputs!$B$9+((C810=TRUE)*(F810-Calc!F26))+B818+(ArtifactsInput!$M$24-ArtifactsInput!$M$24)*CHOOSE(ArtifactsInput!$N$24+1,10,12,14,16,18,20)+(IF(AND(Inputs!$B$39&lt;&gt;"pvp",Inputs!$B$44=0),1,IF(IF(Inputs!$B$39="pvp",15,Inputs!$B$44)-(B829)&lt;=0,1,MAX(0,IF(Inputs!$B$39="pvp",15,Inputs!$B$44)-MAX(5,B829))/(IF(Inputs!$B$39="pvp",15,Inputs!$B$44)-(B829))))*IF(AND(ArtifactsInput!$M$42,((Inputs!$B$9+((C810=TRUE)*(F810-Calc!F26))+B818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794*(MIN(100,(Inputs!$B$9+((C810=TRUE)*(F810-Calc!F26))+B818+(ArtifactsInput!$M$24-ArtifactsInput!$M$24)*CHOOSE(ArtifactsInput!$N$24+1,10,12,14,16,18,20)+(IF(AND(Inputs!$B$39&lt;&gt;"pvp",Inputs!$B$44=0),1,IF(IF(Inputs!$B$39="pvp",15,Inputs!$B$44)-(B829)&lt;=0,1,MAX(0,IF(Inputs!$B$39="pvp",15,Inputs!$B$44)-MAX(5,B829))/(IF(Inputs!$B$39="pvp",15,Inputs!$B$44)-(B829))))*IF(AND(ArtifactsInput!$M$42,((Inputs!$B$9+((C810=TRUE)*(F810-Calc!F26))+B818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794">
        <f>IF(C794,(0.2*SUMPRODUCT((Skills!Z2:Z31=TRUE)*(C786:C815=TRUE)*S786:S815)*N794)*IF(Inputs!$B$39="pvp",1,(1+(Inputs!$B$21+Skills!Q10+B819+(IF(ArtifactsInput!$M$33,CHOOSE(ArtifactsInput!$N$33+1,30,36,42,48,54,60),0))+(IF(AND(ArtifactsInput!$M$35,Inputs!$B$4&lt;&gt;"Chapter Hunt"),CHOOSE(ArtifactsInput!$N$35+1,15,18,21,24,27,30)*(1-EXP(-(0.2*B822)*5)),0)+IF(AND(ArtifactsInput!$M$22,Inputs!$B$4&lt;&gt;"Chapter Hunt"),CHOOSE(ArtifactsInput!$N$22+1,10,12,14,16,18,20)*((0*(((0.15*B822*5))^0/1)+1*(((0.15*B822*5))^1/1)+2*(((0.15*B822*5))^2/2)+3*(((0.15*B822*5))^3/6)+4*(((0.15*B822*5))^4/24)+5*(((0.15*B822*5))^5/120))/((((0.15*B822*5))^0/1)+(((0.15*B822*5))^1/1)+(((0.15*B822*5))^2/2)+(((0.15*B822*5))^3/6)+(((0.15*B822*5))^4/24)+(((0.15*B822*5))^5/120))),0)))/100)*(MIN(Skills!W10,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795">
      <c r="A795">
        <f>Skills!A11</f>
        <v/>
      </c>
      <c r="B795">
        <f>Skills!B11</f>
        <v/>
      </c>
      <c r="C795">
        <f>Inputs!$B$3&gt;=74</f>
        <v/>
      </c>
      <c r="D795">
        <f>IF(Skills!C11=1,60+Inputs!$B$25+Inputs!$B$29,IF(Skills!C11=2,90+Inputs!$B$26+Inputs!$B$29,IF(Skills!C11=3,120+Inputs!$B$27+Inputs!$B$29,MAX(0,(Inputs!$B$3-100)*3)+Inputs!$B$28+Inputs!$B$29)))</f>
        <v/>
      </c>
      <c r="E795">
        <f>INDEX(FactorTable!$B$2:$Y$301, MATCH(ROUND(MIN(300,MAX(1,D795)),0), FactorTable!$A$2:$A$301,0), Skills!M11+1)</f>
        <v/>
      </c>
      <c r="F795">
        <f>IF(Skills!N11=TRUE,(Skills!L11/10)*(E795/1000),Skills!L11/10)+Skills!O11</f>
        <v/>
      </c>
      <c r="G795">
        <f>Skills!G11*IF(Skills!H11&gt;0,IF(Inputs!$B$39="pvp",MIN(Skills!I11,15),Skills!I11)/Skills!H11,1)</f>
        <v/>
      </c>
      <c r="H795">
        <f>1-(1-Skills!J11/100)^Skills!K11</f>
        <v/>
      </c>
      <c r="I795" t="inlineStr">
        <is>
          <t>1</t>
        </is>
      </c>
      <c r="J795" t="inlineStr"/>
      <c r="K795" t="inlineStr"/>
      <c r="L795" t="inlineStr"/>
      <c r="M795" t="inlineStr"/>
      <c r="N795" t="inlineStr"/>
      <c r="O795">
        <f>(1-Summary!$B$11)*T795+Summary!$B$11*V795</f>
        <v/>
      </c>
      <c r="P795">
        <f>IF(B830=0,0,O795/B830)</f>
        <v/>
      </c>
      <c r="Q795">
        <f>IFERROR(1/IF(Inputs!$B$39="pvp",15,MAX(0.1,Skills!D11-IF(TRUE=TRUE,Inputs!$B$32,0))),0)</f>
        <v/>
      </c>
      <c r="R795">
        <f>IF(AND(Inputs!$B$39&lt;&gt;"pvp",Inputs!$B$44&gt;0),IF(Inputs!$B$44&lt;=0,0,(INT(Inputs!$B$44/IF(Inputs!$B$39="pvp",15,MAX(0.1,Skills!D11-IF(TRUE=TRUE,Inputs!$B$32,0))))+1)),0)</f>
        <v/>
      </c>
      <c r="S795">
        <f>IFERROR(O795/N795,0)</f>
        <v/>
      </c>
      <c r="T795" t="n">
        <v>0</v>
      </c>
      <c r="V795" t="n">
        <v>0</v>
      </c>
    </row>
    <row r="796">
      <c r="A796">
        <f>Skills!A12</f>
        <v/>
      </c>
      <c r="B796">
        <f>Skills!B12</f>
        <v/>
      </c>
      <c r="C796">
        <f>Inputs!$B$3&gt;=103</f>
        <v/>
      </c>
      <c r="D796">
        <f>IF(Skills!C12=1,60+Inputs!$B$25+Inputs!$B$29,IF(Skills!C12=2,90+Inputs!$B$26+Inputs!$B$29,IF(Skills!C12=3,120+Inputs!$B$27+Inputs!$B$29,MAX(0,(Inputs!$B$3-100)*3)+Inputs!$B$28+Inputs!$B$29)))</f>
        <v/>
      </c>
      <c r="E796">
        <f>INDEX(FactorTable!$B$2:$Y$301, MATCH(ROUND(MIN(300,MAX(1,D796)),0), FactorTable!$A$2:$A$301,0), Skills!M12+1)</f>
        <v/>
      </c>
      <c r="F796">
        <f>(Skills!L12/10)*(E796/1000)+IF(Inputs!$B$3&gt;=134,50,0)+0.5*(30000/10)*(INDEX(FactorTable!$B$2:$Y$301, MATCH(ROUND(MIN(300,MAX(1,D796)),0), FactorTable!$A$2:$A$301,0), 13)/1000)*B828</f>
        <v/>
      </c>
      <c r="G796">
        <f>Skills!G12*IF(Skills!H12&gt;0,IF(Inputs!$B$39="pvp",MIN(Skills!I12,15),Skills!I12)/Skills!H12,1)</f>
        <v/>
      </c>
      <c r="H796">
        <f>1-(1-Skills!J12/100)^Skills!K12</f>
        <v/>
      </c>
      <c r="I796" t="inlineStr">
        <is>
          <t>1</t>
        </is>
      </c>
      <c r="J796">
        <f>((Inputs!$B$6*(1+Inputs!$B$7/100))+(((Inputs!$B$12*(1+Inputs!$B$13/100))-(Inputs!$B$12*(1+Inputs!$B$13/100)))+0.25*(Inputs!$B$14-Inputs!$B$14))*(1+Inputs!$B$7/100))*(F796/100)</f>
        <v/>
      </c>
      <c r="K796">
        <f>J796*(1+((Inputs!$B$12*(1+Inputs!$B$13/100))*0.01+Inputs!$B$14*0.0025)/100)*(1+Inputs!$B$15/100)*(1+Inputs!$B$16/100)*(5000/(6000+Inputs!$B$43*(1-(100*(1-(1-Inputs!$B$19/100)*(1-CHOOSE(ArtifactsInput!$N$40+1,5,6,7,8,9,10)/100)^(ArtifactsInput!$M$40-ArtifactsInput!$M$40)))/100)))*(1+(Inputs!$B$24+((C815=TRUE)*(F815-Calc!F31))+((C802=TRUE)*(F802-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12="CRUEL_STAB",(Inputs!$B$17+1)+((C812=TRUE)*(F812-Calc!F28))+((IF(AND(Inputs!$B$39&lt;&gt;"pvp",Inputs!$B$44=0),1,IF(IF(Inputs!$B$39="pvp",15,Inputs!$B$44)-(B829)&lt;=0,1,MAX(0,IF(Inputs!$B$39="pvp",15,Inputs!$B$44)-MAX(5,B829))/(IF(Inputs!$B$39="pvp",15,Inputs!$B$44)-(B829))))*(IF(AND(ArtifactsInput!$M$42,((Inputs!$B$9+((C810=TRUE)*(F810-Calc!F26))+B818+(ArtifactsInput!$M$24-ArtifactsInput!$M$24)*CHOOSE(ArtifactsInput!$N$24+1,10,12,14,16,18,20)+IF(ArtifactsInput!$M$10,CHOOSE(ArtifactsInput!$N$10+1,15,18,21,24,27,30)*(IF(Inputs!$B$39="pvp",MIN(15,15)/15,IF(AND(Inputs!$B$39&lt;&gt;"pvp",Inputs!$B$44&gt;0),MIN(15,Inputs!$B$44)/(Inputs!$B$44),0))),0)))&gt;=100),MIN(100,((Inputs!$B$9+((C810=TRUE)*(F810-Calc!F26))+B818+(ArtifactsInput!$M$24-ArtifactsInput!$M$24)*CHOOSE(ArtifactsInput!$N$24+1,10,12,14,16,18,20)+IF(ArtifactsInput!$M$10,CHOOSE(ArtifactsInput!$N$10+1,15,18,21,24,27,30)*(IF(Inputs!$B$39="pvp",MIN(15,15)/15,IF(AND(Inputs!$B$39&lt;&gt;"pvp",Inputs!$B$44&gt;0),MIN(15,Inputs!$B$44)/(Inputs!$B$44),0))),0)))-100),0))*CHOOSE(ArtifactsInput!$N$42+1,0.6,0.72,0.84,0.96,1.08,1.2))),Inputs!$B$18+((C813=TRUE)*(F813-Calc!F29))+(IF(AND(Inputs!$B$39&lt;&gt;"pvp",Inputs!$B$44=0),1,IF(IF(Inputs!$B$39="pvp",15,Inputs!$B$44)-(B829)&lt;=0,1,MAX(0,IF(Inputs!$B$39="pvp",15,Inputs!$B$44)-MAX(5,B829))/(IF(Inputs!$B$39="pvp",15,Inputs!$B$44)-(B829))))*IF(AND(ArtifactsInput!$M$42,((Inputs!$B$9+((C810=TRUE)*(F810-Calc!F26))+B818+(ArtifactsInput!$M$24-ArtifactsInput!$M$24)*CHOOSE(ArtifactsInput!$N$24+1,10,12,14,16,18,20)+IF(ArtifactsInput!$M$10,CHOOSE(ArtifactsInput!$N$10+1,15,18,21,24,27,30)*(IF(Inputs!$B$39="pvp",MIN(15,15)/15,IF(AND(Inputs!$B$39&lt;&gt;"pvp",Inputs!$B$44&gt;0),MIN(15,Inputs!$B$44)/(Inputs!$B$44),0))),0)))&gt;=100),CHOOSE(ArtifactsInput!$N$42+1,40,48,56,64,72,80),0))))/100)*(((1+(((C806=TRUE)*F806*IF(AND(Inputs!$B$39&lt;&gt;"pvp",Inputs!$B$44&gt;0),(((R806-1)*MIN((Skills!Y22*(1+Inputs!$B$34/100)),(1/Q806))+MIN((Skills!Y22*(1+Inputs!$B$34/100)),MAX(0,Inputs!$B$44-((R806-1)*(1/Q806)))))/Inputs!$B$44),IF(Inputs!$B$39="pvp",MIN((Skills!Y22*(1+Inputs!$B$34/100)),15)/15,MIN(1,(Skills!Y22*(1+Inputs!$B$34/100))/(1/Q806)))))+((C787=TRUE)*F787*3)+((C789=TRUE)*F789*(1-EXP(-0.75*B822*5)))+((C808=TRUE)*(F808-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795=TRUE)*F795*IF(AND(Inputs!$B$39&lt;&gt;"pvp",Inputs!$B$44&gt;0),(((R795-1)*MIN((Skills!Y11*(1+Inputs!$B$34/100)),(1/Q795))+MIN((Skills!Y11*(1+Inputs!$B$34/100)),MAX(0,Inputs!$B$44-((R795-1)*(1/Q795)))))/Inputs!$B$44),IF(Inputs!$B$39="pvp",MIN((Skills!Y11*(1+Inputs!$B$34/100)),15)/15,MIN(1,(Skills!Y11*(1+Inputs!$B$34/100))/(1/Q795)))))/100)*(1+((C800=TRUE)*F800*IF(AND(Inputs!$B$39&lt;&gt;"pvp",Inputs!$B$44&gt;0),(((R800-1)*MIN((Skills!Y16*(1+Inputs!$B$34/100)),(1/Q800))+MIN((Skills!Y16*(1+Inputs!$B$34/100)),MAX(0,Inputs!$B$44-((R800-1)*(1/Q800)))))/Inputs!$B$44),IF(Inputs!$B$39="pvp",MIN((Skills!Y16*(1+Inputs!$B$34/100)),15)/15,MIN(1,(Skills!Y16*(1+Inputs!$B$34/100))/(1/Q800)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820*I796)</f>
        <v/>
      </c>
      <c r="L796">
        <f>K796*(MIN(Inputs!$B$22+((C809=TRUE)*(F809-Calc!F25)),(Inputs!$B$23+((C814=TRUE)*(F814-Calc!F30))+IF(ArtifactsInput!$M$15,CHOOSE(ArtifactsInput!$N$15+1,25,30,35,40,45,50)/100*(Inputs!$B$11-Inputs!$B$11),0)))/100+(Inputs!$B$23+((C814=TRUE)*(F814-Calc!F30))+IF(ArtifactsInput!$M$15,CHOOSE(ArtifactsInput!$N$15+1,25,30,35,40,45,50)/100*(Inputs!$B$11-Inputs!$B$11),0))/100)/2</f>
        <v/>
      </c>
      <c r="M796">
        <f>L796*(1+(Inputs!$B$10+((C811=TRUE)*(F811-Calc!F27))+B825+(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796">
        <f>L796*(1-MIN((Inputs!$B$9+((C810=TRUE)*(F810-Calc!F26))+B818+(ArtifactsInput!$M$24-ArtifactsInput!$M$24)*CHOOSE(ArtifactsInput!$N$24+1,10,12,14,16,18,20)+(IF(AND(Inputs!$B$39&lt;&gt;"pvp",Inputs!$B$44=0),1,IF(IF(Inputs!$B$39="pvp",15,Inputs!$B$44)-(B829)&lt;=0,1,MAX(0,IF(Inputs!$B$39="pvp",15,Inputs!$B$44)-MAX(5,B829))/(IF(Inputs!$B$39="pvp",15,Inputs!$B$44)-(B829))))*IF(AND(ArtifactsInput!$M$42,((Inputs!$B$9+((C810=TRUE)*(F810-Calc!F26))+B818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796*(MIN((Inputs!$B$9+((C810=TRUE)*(F810-Calc!F26))+B818+(ArtifactsInput!$M$24-ArtifactsInput!$M$24)*CHOOSE(ArtifactsInput!$N$24+1,10,12,14,16,18,20)+(IF(AND(Inputs!$B$39&lt;&gt;"pvp",Inputs!$B$44=0),1,IF(IF(Inputs!$B$39="pvp",15,Inputs!$B$44)-(B829)&lt;=0,1,MAX(0,IF(Inputs!$B$39="pvp",15,Inputs!$B$44)-MAX(5,B829))/(IF(Inputs!$B$39="pvp",15,Inputs!$B$44)-(B829))))*IF(AND(ArtifactsInput!$M$42,((Inputs!$B$9+((C810=TRUE)*(F810-Calc!F26))+B818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796">
        <f>(1-Summary!$B$11)*T796+Summary!$B$11*V796</f>
        <v/>
      </c>
      <c r="P796">
        <f>IF(B830=0,0,O796/B830)</f>
        <v/>
      </c>
      <c r="Q796">
        <f>IFERROR(1/IF(Inputs!$B$39="pvp",15,MAX(0.1,Skills!D12-IF(TRUE=TRUE,Inputs!$B$32,0))),0)</f>
        <v/>
      </c>
      <c r="R796">
        <f>IF(AND(Inputs!$B$39&lt;&gt;"pvp",Inputs!$B$44&gt;0),IF(MAX(0,Inputs!$B$44-B829)&lt;=0,0,(INT(MAX(0,Inputs!$B$44-B829)/IF(Inputs!$B$39="pvp",15,MAX(0.1,Skills!D12-IF(TRUE=TRUE,Inputs!$B$32,0))))+1)),0)</f>
        <v/>
      </c>
      <c r="S796">
        <f>IFERROR(O796/N796,0)</f>
        <v/>
      </c>
      <c r="T796">
        <f>IF(C796,(H796*N796*IF(AND(Inputs!$B$39&lt;&gt;"pvp",Inputs!$B$44&gt;0),((Skills!G12*((R796-1)*IF(Skills!H12&gt;0,Skills!I12/Skills!H12,1)+IF(Skills!H12&gt;0,MIN(Skills!I12,MAX(0,MAX(0,Inputs!$B$44-B829)-((R796-1)*IF(Inputs!$B$39="pvp",15,MAX(0.1,Skills!D12-IF(TRUE=TRUE,Inputs!$B$32,0))))))/Skills!H12,1)))/Inputs!$B$44),G796*Q796))*IF(Inputs!$B$39="pvp",1,1+(Inputs!$B$20+0+Skills!P12+B819+(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Hunt"),CHOOSE(ArtifactsInput!$N$35+1,15,18,21,24,27,30)*(1-EXP(-(0.2*B822)*5)),0)+IF(AND(ArtifactsInput!$M$22,Inputs!$B$4&lt;&gt;"Chapter Hunt"),CHOOSE(ArtifactsInput!$N$22+1,10,12,14,16,18,20)*((0*(((0.15*B822*5))^0/1)+1*(((0.15*B822*5))^1/1)+2*(((0.15*B822*5))^2/2)+3*(((0.15*B822*5))^3/6)+4*(((0.15*B822*5))^4/24)+5*(((0.15*B822*5))^5/120))/((((0.15*B822*5))^0/1)+(((0.15*B822*5))^1/1)+(((0.15*B822*5))^2/2)+(((0.15*B822*5))^3/6)+(((0.15*B822*5))^4/24)+(((0.15*B822*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796*(1-MIN(100,(Inputs!$B$9+((C810=TRUE)*(F810-Calc!F26))+B818+(ArtifactsInput!$M$24-ArtifactsInput!$M$24)*CHOOSE(ArtifactsInput!$N$24+1,10,12,14,16,18,20)+(IF(AND(Inputs!$B$39&lt;&gt;"pvp",Inputs!$B$44=0),1,IF(IF(Inputs!$B$39="pvp",15,Inputs!$B$44)-(B829)&lt;=0,1,MAX(0,IF(Inputs!$B$39="pvp",15,Inputs!$B$44)-MAX(5,B829))/(IF(Inputs!$B$39="pvp",15,Inputs!$B$44)-(B829))))*IF(AND(ArtifactsInput!$M$42,((Inputs!$B$9+((C810=TRUE)*(F810-Calc!F26))+B818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796*(MIN(100,(Inputs!$B$9+((C810=TRUE)*(F810-Calc!F26))+B818+(ArtifactsInput!$M$24-ArtifactsInput!$M$24)*CHOOSE(ArtifactsInput!$N$24+1,10,12,14,16,18,20)+(IF(AND(Inputs!$B$39&lt;&gt;"pvp",Inputs!$B$44=0),1,IF(IF(Inputs!$B$39="pvp",15,Inputs!$B$44)-(B829)&lt;=0,1,MAX(0,IF(Inputs!$B$39="pvp",15,Inputs!$B$44)-MAX(5,B829))/(IF(Inputs!$B$39="pvp",15,Inputs!$B$44)-(B829))))*IF(AND(ArtifactsInput!$M$42,((Inputs!$B$9+((C810=TRUE)*(F810-Calc!F26))+B818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796*(1-MIN(100,(Inputs!$B$9+((C810=TRUE)*(F810-Calc!F26))+B818+(ArtifactsInput!$M$24-ArtifactsInput!$M$24)*CHOOSE(ArtifactsInput!$N$24+1,10,12,14,16,18,20)+(IF(AND(Inputs!$B$39&lt;&gt;"pvp",Inputs!$B$44=0),1,IF(IF(Inputs!$B$39="pvp",15,Inputs!$B$44)-(B829)&lt;=0,1,MAX(0,IF(Inputs!$B$39="pvp",15,Inputs!$B$44)-MAX(5,B829))/(IF(Inputs!$B$39="pvp",15,Inputs!$B$44)-(B829))))*IF(AND(ArtifactsInput!$M$42,((Inputs!$B$9+((C810=TRUE)*(F810-Calc!F26))+B818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796*(MIN(100,(Inputs!$B$9+((C810=TRUE)*(F810-Calc!F26))+B818+(ArtifactsInput!$M$24-ArtifactsInput!$M$24)*CHOOSE(ArtifactsInput!$N$24+1,10,12,14,16,18,20)+(IF(AND(Inputs!$B$39&lt;&gt;"pvp",Inputs!$B$44=0),1,IF(IF(Inputs!$B$39="pvp",15,Inputs!$B$44)-(B829)&lt;=0,1,MAX(0,IF(Inputs!$B$39="pvp",15,Inputs!$B$44)-MAX(5,B829))/(IF(Inputs!$B$39="pvp",15,Inputs!$B$44)-(B829))))*IF(AND(ArtifactsInput!$M$42,((Inputs!$B$9+((C810=TRUE)*(F810-Calc!F26))+B818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796">
        <f>IF(C796,(H796*N796*IF(AND(Inputs!$B$39&lt;&gt;"pvp",Inputs!$B$44&gt;0),((Skills!G12*((R796-1)*IF(Skills!H12&gt;0,Skills!I12/Skills!H12,1)+IF(Skills!H12&gt;0,MIN(Skills!I12,MAX(0,MAX(0,Inputs!$B$44-B829)-((R796-1)*IF(Inputs!$B$39="pvp",15,MAX(0.1,Skills!D12-IF(TRUE=TRUE,Inputs!$B$32,0))))))/Skills!H12,1)))/Inputs!$B$44),G796*Q796))*IF(Inputs!$B$39="pvp",1,(1+(Inputs!$B$21+Skills!Q12+B819+(IF(ArtifactsInput!$M$33,CHOOSE(ArtifactsInput!$N$33+1,30,36,42,48,54,60),0))+(IF(AND(ArtifactsInput!$M$35,Inputs!$B$4&lt;&gt;"Chapter Hunt"),CHOOSE(ArtifactsInput!$N$35+1,15,18,21,24,27,30)*(1-EXP(-(0.2*B822)*5)),0)+IF(AND(ArtifactsInput!$M$22,Inputs!$B$4&lt;&gt;"Chapter Hunt"),CHOOSE(ArtifactsInput!$N$22+1,10,12,14,16,18,20)*((0*(((0.15*B822*5))^0/1)+1*(((0.15*B822*5))^1/1)+2*(((0.15*B822*5))^2/2)+3*(((0.15*B822*5))^3/6)+4*(((0.15*B822*5))^4/24)+5*(((0.15*B822*5))^5/120))/((((0.15*B822*5))^0/1)+(((0.15*B822*5))^1/1)+(((0.15*B822*5))^2/2)+(((0.15*B822*5))^3/6)+(((0.15*B822*5))^4/24)+(((0.15*B822*5))^5/120))),0)))/100)*(MIN(Skills!W12,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797">
      <c r="A797">
        <f>Skills!A13</f>
        <v/>
      </c>
      <c r="B797">
        <f>Skills!B13</f>
        <v/>
      </c>
      <c r="C797">
        <f>Inputs!$B$3&gt;=105</f>
        <v/>
      </c>
      <c r="D797">
        <f>IF(Skills!C13=1,60+Inputs!$B$25+Inputs!$B$29,IF(Skills!C13=2,90+Inputs!$B$26+Inputs!$B$29,IF(Skills!C13=3,120+Inputs!$B$27+Inputs!$B$29,MAX(0,(Inputs!$B$3-100)*3)+Inputs!$B$28+Inputs!$B$29)))</f>
        <v/>
      </c>
      <c r="E797">
        <f>INDEX(FactorTable!$B$2:$Y$301, MATCH(ROUND(MIN(300,MAX(1,D797)),0), FactorTable!$A$2:$A$301,0), Skills!M13+1)</f>
        <v/>
      </c>
      <c r="F797">
        <f>IF(Skills!N13=TRUE,(Skills!L13/10)*(E797/1000),Skills!L13/10)+Skills!O13</f>
        <v/>
      </c>
      <c r="G797">
        <f>Skills!G13*IF(Skills!H13&gt;0,IF(Inputs!$B$39="pvp",MIN(Skills!I13,15),Skills!I13)/Skills!H13,1)</f>
        <v/>
      </c>
      <c r="H797">
        <f>1-(1-Skills!J13/100)^Skills!K13</f>
        <v/>
      </c>
      <c r="I797" t="inlineStr">
        <is>
          <t>1</t>
        </is>
      </c>
      <c r="J797">
        <f>((Inputs!$B$6*(1+Inputs!$B$7/100))+(((Inputs!$B$12*(1+Inputs!$B$13/100))-(Inputs!$B$12*(1+Inputs!$B$13/100)))+0.25*(Inputs!$B$14-Inputs!$B$14))*(1+Inputs!$B$7/100))*(F797/100)</f>
        <v/>
      </c>
      <c r="K797">
        <f>J797*(1+((Inputs!$B$12*(1+Inputs!$B$13/100))*0.01+Inputs!$B$14*0.0025)/100)*(1+Inputs!$B$15/100)*(1+Inputs!$B$16/100)*(5000/(6000+Inputs!$B$43*(1-(100*(1-(1-Inputs!$B$19/100)*(1-CHOOSE(ArtifactsInput!$N$40+1,5,6,7,8,9,10)/100)^(ArtifactsInput!$M$40-ArtifactsInput!$M$40)))/100)))*(1+(Inputs!$B$24+((C815=TRUE)*(F815-Calc!F31))+((C802=TRUE)*(F802-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13="CRUEL_STAB",(Inputs!$B$17+1)+((C812=TRUE)*(F812-Calc!F28))+((IF(AND(Inputs!$B$39&lt;&gt;"pvp",Inputs!$B$44=0),1,IF(IF(Inputs!$B$39="pvp",15,Inputs!$B$44)-(B829)&lt;=0,1,MAX(0,IF(Inputs!$B$39="pvp",15,Inputs!$B$44)-MAX(5,B829))/(IF(Inputs!$B$39="pvp",15,Inputs!$B$44)-(B829))))*(IF(AND(ArtifactsInput!$M$42,((Inputs!$B$9+((C810=TRUE)*(F810-Calc!F26))+B818+(ArtifactsInput!$M$24-ArtifactsInput!$M$24)*CHOOSE(ArtifactsInput!$N$24+1,10,12,14,16,18,20)+IF(ArtifactsInput!$M$10,CHOOSE(ArtifactsInput!$N$10+1,15,18,21,24,27,30)*(IF(Inputs!$B$39="pvp",MIN(15,15)/15,IF(AND(Inputs!$B$39&lt;&gt;"pvp",Inputs!$B$44&gt;0),MIN(15,Inputs!$B$44)/(Inputs!$B$44),0))),0)))&gt;=100),MIN(100,((Inputs!$B$9+((C810=TRUE)*(F810-Calc!F26))+B818+(ArtifactsInput!$M$24-ArtifactsInput!$M$24)*CHOOSE(ArtifactsInput!$N$24+1,10,12,14,16,18,20)+IF(ArtifactsInput!$M$10,CHOOSE(ArtifactsInput!$N$10+1,15,18,21,24,27,30)*(IF(Inputs!$B$39="pvp",MIN(15,15)/15,IF(AND(Inputs!$B$39&lt;&gt;"pvp",Inputs!$B$44&gt;0),MIN(15,Inputs!$B$44)/(Inputs!$B$44),0))),0)))-100),0))*CHOOSE(ArtifactsInput!$N$42+1,0.6,0.72,0.84,0.96,1.08,1.2))),Inputs!$B$18+((C813=TRUE)*(F813-Calc!F29))+(IF(AND(Inputs!$B$39&lt;&gt;"pvp",Inputs!$B$44=0),1,IF(IF(Inputs!$B$39="pvp",15,Inputs!$B$44)-(B829)&lt;=0,1,MAX(0,IF(Inputs!$B$39="pvp",15,Inputs!$B$44)-MAX(5,B829))/(IF(Inputs!$B$39="pvp",15,Inputs!$B$44)-(B829))))*IF(AND(ArtifactsInput!$M$42,((Inputs!$B$9+((C810=TRUE)*(F810-Calc!F26))+B818+(ArtifactsInput!$M$24-ArtifactsInput!$M$24)*CHOOSE(ArtifactsInput!$N$24+1,10,12,14,16,18,20)+IF(ArtifactsInput!$M$10,CHOOSE(ArtifactsInput!$N$10+1,15,18,21,24,27,30)*(IF(Inputs!$B$39="pvp",MIN(15,15)/15,IF(AND(Inputs!$B$39&lt;&gt;"pvp",Inputs!$B$44&gt;0),MIN(15,Inputs!$B$44)/(Inputs!$B$44),0))),0)))&gt;=100),CHOOSE(ArtifactsInput!$N$42+1,40,48,56,64,72,80),0))))/100)*(((1+(((C806=TRUE)*F806*IF(AND(Inputs!$B$39&lt;&gt;"pvp",Inputs!$B$44&gt;0),(((R806-1)*MIN((Skills!Y22*(1+Inputs!$B$34/100)),(1/Q806))+MIN((Skills!Y22*(1+Inputs!$B$34/100)),MAX(0,Inputs!$B$44-((R806-1)*(1/Q806)))))/Inputs!$B$44),IF(Inputs!$B$39="pvp",MIN((Skills!Y22*(1+Inputs!$B$34/100)),15)/15,MIN(1,(Skills!Y22*(1+Inputs!$B$34/100))/(1/Q806)))))+((C787=TRUE)*F787*3)+((C789=TRUE)*F789*(1-EXP(-0.75*B822*5)))+((C808=TRUE)*(F808-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795=TRUE)*F795*IF(AND(Inputs!$B$39&lt;&gt;"pvp",Inputs!$B$44&gt;0),(((R795-1)*MIN((Skills!Y11*(1+Inputs!$B$34/100)),(1/Q795))+MIN((Skills!Y11*(1+Inputs!$B$34/100)),MAX(0,Inputs!$B$44-((R795-1)*(1/Q795)))))/Inputs!$B$44),IF(Inputs!$B$39="pvp",MIN((Skills!Y11*(1+Inputs!$B$34/100)),15)/15,MIN(1,(Skills!Y11*(1+Inputs!$B$34/100))/(1/Q795)))))/100)*(1+((C800=TRUE)*F800*IF(AND(Inputs!$B$39&lt;&gt;"pvp",Inputs!$B$44&gt;0),(((R800-1)*MIN((Skills!Y16*(1+Inputs!$B$34/100)),(1/Q800))+MIN((Skills!Y16*(1+Inputs!$B$34/100)),MAX(0,Inputs!$B$44-((R800-1)*(1/Q800)))))/Inputs!$B$44),IF(Inputs!$B$39="pvp",MIN((Skills!Y16*(1+Inputs!$B$34/100)),15)/15,MIN(1,(Skills!Y16*(1+Inputs!$B$34/100))/(1/Q800)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820*I797)</f>
        <v/>
      </c>
      <c r="L797">
        <f>K797*(MIN(Inputs!$B$22+((C809=TRUE)*(F809-Calc!F25)),(Inputs!$B$23+((C814=TRUE)*(F814-Calc!F30))+IF(ArtifactsInput!$M$15,CHOOSE(ArtifactsInput!$N$15+1,25,30,35,40,45,50)/100*(Inputs!$B$11-Inputs!$B$11),0)))/100+(Inputs!$B$23+((C814=TRUE)*(F814-Calc!F30))+IF(ArtifactsInput!$M$15,CHOOSE(ArtifactsInput!$N$15+1,25,30,35,40,45,50)/100*(Inputs!$B$11-Inputs!$B$11),0))/100)/2</f>
        <v/>
      </c>
      <c r="M797">
        <f>L797*(1+(Inputs!$B$10+((C811=TRUE)*(F811-Calc!F27))+B825+(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797">
        <f>L797*(1-MIN((Inputs!$B$9+((C810=TRUE)*(F810-Calc!F26))+B818+(ArtifactsInput!$M$24-ArtifactsInput!$M$24)*CHOOSE(ArtifactsInput!$N$24+1,10,12,14,16,18,20)+(IF(AND(Inputs!$B$39&lt;&gt;"pvp",Inputs!$B$44=0),1,IF(IF(Inputs!$B$39="pvp",15,Inputs!$B$44)-(B829)&lt;=0,1,MAX(0,IF(Inputs!$B$39="pvp",15,Inputs!$B$44)-MAX(5,B829))/(IF(Inputs!$B$39="pvp",15,Inputs!$B$44)-(B829))))*IF(AND(ArtifactsInput!$M$42,((Inputs!$B$9+((C810=TRUE)*(F810-Calc!F26))+B818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797*(MIN((Inputs!$B$9+((C810=TRUE)*(F810-Calc!F26))+B818+(ArtifactsInput!$M$24-ArtifactsInput!$M$24)*CHOOSE(ArtifactsInput!$N$24+1,10,12,14,16,18,20)+(IF(AND(Inputs!$B$39&lt;&gt;"pvp",Inputs!$B$44=0),1,IF(IF(Inputs!$B$39="pvp",15,Inputs!$B$44)-(B829)&lt;=0,1,MAX(0,IF(Inputs!$B$39="pvp",15,Inputs!$B$44)-MAX(5,B829))/(IF(Inputs!$B$39="pvp",15,Inputs!$B$44)-(B829))))*IF(AND(ArtifactsInput!$M$42,((Inputs!$B$9+((C810=TRUE)*(F810-Calc!F26))+B818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797">
        <f>(1-Summary!$B$11)*T797+Summary!$B$11*V797</f>
        <v/>
      </c>
      <c r="P797">
        <f>IF(B830=0,0,O797/B830)</f>
        <v/>
      </c>
      <c r="Q797">
        <f>IFERROR(1/IF(Inputs!$B$39="pvp",15,MAX(0.1,Skills!D13-IF(TRUE=TRUE,Inputs!$B$32,0))),0)</f>
        <v/>
      </c>
      <c r="R797">
        <f>IF(AND(Inputs!$B$39&lt;&gt;"pvp",Inputs!$B$44&gt;0),IF(MAX(0,Inputs!$B$44-B829)&lt;=0,0,(INT(MAX(0,Inputs!$B$44-B829)/IF(Inputs!$B$39="pvp",15,MAX(0.1,Skills!D13-IF(TRUE=TRUE,Inputs!$B$32,0))))+1)),0)</f>
        <v/>
      </c>
      <c r="S797">
        <f>IFERROR(O797/N797,0)</f>
        <v/>
      </c>
      <c r="T797">
        <f>IF(C797,(H797*N797*IF(AND(Inputs!$B$39&lt;&gt;"pvp",Inputs!$B$44&gt;0),((Skills!G13*((R797-1)*IF(Skills!H13&gt;0,Skills!I13/Skills!H13,1)+IF(Skills!H13&gt;0,MIN(Skills!I13,MAX(0,MAX(0,Inputs!$B$44-B829)-((R797-1)*IF(Inputs!$B$39="pvp",15,MAX(0.1,Skills!D13-IF(TRUE=TRUE,Inputs!$B$32,0))))))/Skills!H13,1)))/Inputs!$B$44),G797*Q797))*IF(Inputs!$B$39="pvp",1,1+(Inputs!$B$20+0+Skills!P13+B819+(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Hunt"),CHOOSE(ArtifactsInput!$N$35+1,15,18,21,24,27,30)*(1-EXP(-(0.2*B822)*5)),0)+IF(AND(ArtifactsInput!$M$22,Inputs!$B$4&lt;&gt;"Chapter Hunt"),CHOOSE(ArtifactsInput!$N$22+1,10,12,14,16,18,20)*((0*(((0.15*B822*5))^0/1)+1*(((0.15*B822*5))^1/1)+2*(((0.15*B822*5))^2/2)+3*(((0.15*B822*5))^3/6)+4*(((0.15*B822*5))^4/24)+5*(((0.15*B822*5))^5/120))/((((0.15*B822*5))^0/1)+(((0.15*B822*5))^1/1)+(((0.15*B822*5))^2/2)+(((0.15*B822*5))^3/6)+(((0.15*B822*5))^4/24)+(((0.15*B822*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797*(1-MIN(100,(Inputs!$B$9+((C810=TRUE)*(F810-Calc!F26))+B818+(ArtifactsInput!$M$24-ArtifactsInput!$M$24)*CHOOSE(ArtifactsInput!$N$24+1,10,12,14,16,18,20)+(IF(AND(Inputs!$B$39&lt;&gt;"pvp",Inputs!$B$44=0),1,IF(IF(Inputs!$B$39="pvp",15,Inputs!$B$44)-(B829)&lt;=0,1,MAX(0,IF(Inputs!$B$39="pvp",15,Inputs!$B$44)-MAX(5,B829))/(IF(Inputs!$B$39="pvp",15,Inputs!$B$44)-(B829))))*IF(AND(ArtifactsInput!$M$42,((Inputs!$B$9+((C810=TRUE)*(F810-Calc!F26))+B818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797*(MIN(100,(Inputs!$B$9+((C810=TRUE)*(F810-Calc!F26))+B818+(ArtifactsInput!$M$24-ArtifactsInput!$M$24)*CHOOSE(ArtifactsInput!$N$24+1,10,12,14,16,18,20)+(IF(AND(Inputs!$B$39&lt;&gt;"pvp",Inputs!$B$44=0),1,IF(IF(Inputs!$B$39="pvp",15,Inputs!$B$44)-(B829)&lt;=0,1,MAX(0,IF(Inputs!$B$39="pvp",15,Inputs!$B$44)-MAX(5,B829))/(IF(Inputs!$B$39="pvp",15,Inputs!$B$44)-(B829))))*IF(AND(ArtifactsInput!$M$42,((Inputs!$B$9+((C810=TRUE)*(F810-Calc!F26))+B818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797*(1-MIN(100,(Inputs!$B$9+((C810=TRUE)*(F810-Calc!F26))+B818+(ArtifactsInput!$M$24-ArtifactsInput!$M$24)*CHOOSE(ArtifactsInput!$N$24+1,10,12,14,16,18,20)+(IF(AND(Inputs!$B$39&lt;&gt;"pvp",Inputs!$B$44=0),1,IF(IF(Inputs!$B$39="pvp",15,Inputs!$B$44)-(B829)&lt;=0,1,MAX(0,IF(Inputs!$B$39="pvp",15,Inputs!$B$44)-MAX(5,B829))/(IF(Inputs!$B$39="pvp",15,Inputs!$B$44)-(B829))))*IF(AND(ArtifactsInput!$M$42,((Inputs!$B$9+((C810=TRUE)*(F810-Calc!F26))+B818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797*(MIN(100,(Inputs!$B$9+((C810=TRUE)*(F810-Calc!F26))+B818+(ArtifactsInput!$M$24-ArtifactsInput!$M$24)*CHOOSE(ArtifactsInput!$N$24+1,10,12,14,16,18,20)+(IF(AND(Inputs!$B$39&lt;&gt;"pvp",Inputs!$B$44=0),1,IF(IF(Inputs!$B$39="pvp",15,Inputs!$B$44)-(B829)&lt;=0,1,MAX(0,IF(Inputs!$B$39="pvp",15,Inputs!$B$44)-MAX(5,B829))/(IF(Inputs!$B$39="pvp",15,Inputs!$B$44)-(B829))))*IF(AND(ArtifactsInput!$M$42,((Inputs!$B$9+((C810=TRUE)*(F810-Calc!F26))+B818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797">
        <f>IF(C797,(H797*N797*IF(AND(Inputs!$B$39&lt;&gt;"pvp",Inputs!$B$44&gt;0),((Skills!G13*((R797-1)*IF(Skills!H13&gt;0,Skills!I13/Skills!H13,1)+IF(Skills!H13&gt;0,MIN(Skills!I13,MAX(0,MAX(0,Inputs!$B$44-B829)-((R797-1)*IF(Inputs!$B$39="pvp",15,MAX(0.1,Skills!D13-IF(TRUE=TRUE,Inputs!$B$32,0))))))/Skills!H13,1)))/Inputs!$B$44),G797*Q797))*IF(Inputs!$B$39="pvp",1,(1+(Inputs!$B$21+Skills!Q13+B819+(IF(ArtifactsInput!$M$33,CHOOSE(ArtifactsInput!$N$33+1,30,36,42,48,54,60),0))+(IF(AND(ArtifactsInput!$M$35,Inputs!$B$4&lt;&gt;"Chapter Hunt"),CHOOSE(ArtifactsInput!$N$35+1,15,18,21,24,27,30)*(1-EXP(-(0.2*B822)*5)),0)+IF(AND(ArtifactsInput!$M$22,Inputs!$B$4&lt;&gt;"Chapter Hunt"),CHOOSE(ArtifactsInput!$N$22+1,10,12,14,16,18,20)*((0*(((0.15*B822*5))^0/1)+1*(((0.15*B822*5))^1/1)+2*(((0.15*B822*5))^2/2)+3*(((0.15*B822*5))^3/6)+4*(((0.15*B822*5))^4/24)+5*(((0.15*B822*5))^5/120))/((((0.15*B822*5))^0/1)+(((0.15*B822*5))^1/1)+(((0.15*B822*5))^2/2)+(((0.15*B822*5))^3/6)+(((0.15*B822*5))^4/24)+(((0.15*B822*5))^5/120))),0)))/100)*(MIN(Skills!W13,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798">
      <c r="A798">
        <f>Skills!A14</f>
        <v/>
      </c>
      <c r="B798">
        <f>Skills!B14</f>
        <v/>
      </c>
      <c r="C798">
        <f>Inputs!$B$3&gt;=105</f>
        <v/>
      </c>
      <c r="D798">
        <f>IF(Skills!C14=1,60+Inputs!$B$25+Inputs!$B$29,IF(Skills!C14=2,90+Inputs!$B$26+Inputs!$B$29,IF(Skills!C14=3,120+Inputs!$B$27+Inputs!$B$29,MAX(0,(Inputs!$B$3-100)*3)+Inputs!$B$28+Inputs!$B$29)))</f>
        <v/>
      </c>
      <c r="E798">
        <f>INDEX(FactorTable!$B$2:$Y$301, MATCH(ROUND(MIN(300,MAX(1,D798)),0), FactorTable!$A$2:$A$301,0), Skills!M14+1)</f>
        <v/>
      </c>
      <c r="F798">
        <f>IF(Skills!N14=TRUE,(Skills!L14/10)*(E798/1000),Skills!L14/10)+Skills!O14</f>
        <v/>
      </c>
      <c r="G798">
        <f>Skills!G14*IF(Skills!H14&gt;0,IF(Inputs!$B$39="pvp",MIN(Skills!I14,15),Skills!I14)/Skills!H14,1)</f>
        <v/>
      </c>
      <c r="H798">
        <f>1-(1-Skills!J14/100)^Skills!K14</f>
        <v/>
      </c>
      <c r="I798" t="inlineStr">
        <is>
          <t>1</t>
        </is>
      </c>
      <c r="J798">
        <f>((Inputs!$B$6*(1+Inputs!$B$7/100))+(((Inputs!$B$12*(1+Inputs!$B$13/100))-(Inputs!$B$12*(1+Inputs!$B$13/100)))+0.25*(Inputs!$B$14-Inputs!$B$14))*(1+Inputs!$B$7/100))*(F798/100)</f>
        <v/>
      </c>
      <c r="K798">
        <f>J798*(1+((Inputs!$B$12*(1+Inputs!$B$13/100))*0.01+Inputs!$B$14*0.0025)/100)*(1+Inputs!$B$15/100)*(1+Inputs!$B$16/100)*(5000/(6000+Inputs!$B$43*(1-(100*(1-(1-Inputs!$B$19/100)*(1-CHOOSE(ArtifactsInput!$N$40+1,5,6,7,8,9,10)/100)^(ArtifactsInput!$M$40-ArtifactsInput!$M$40)))/100)))*(1+(Inputs!$B$24+((C815=TRUE)*(F815-Calc!F31))+((C802=TRUE)*(F802-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14="CRUEL_STAB",(Inputs!$B$17+1)+((C812=TRUE)*(F812-Calc!F28))+((IF(AND(Inputs!$B$39&lt;&gt;"pvp",Inputs!$B$44=0),1,IF(IF(Inputs!$B$39="pvp",15,Inputs!$B$44)-(B829)&lt;=0,1,MAX(0,IF(Inputs!$B$39="pvp",15,Inputs!$B$44)-MAX(5,B829))/(IF(Inputs!$B$39="pvp",15,Inputs!$B$44)-(B829))))*(IF(AND(ArtifactsInput!$M$42,((Inputs!$B$9+((C810=TRUE)*(F810-Calc!F26))+B818+(ArtifactsInput!$M$24-ArtifactsInput!$M$24)*CHOOSE(ArtifactsInput!$N$24+1,10,12,14,16,18,20)+IF(ArtifactsInput!$M$10,CHOOSE(ArtifactsInput!$N$10+1,15,18,21,24,27,30)*(IF(Inputs!$B$39="pvp",MIN(15,15)/15,IF(AND(Inputs!$B$39&lt;&gt;"pvp",Inputs!$B$44&gt;0),MIN(15,Inputs!$B$44)/(Inputs!$B$44),0))),0)))&gt;=100),MIN(100,((Inputs!$B$9+((C810=TRUE)*(F810-Calc!F26))+B818+(ArtifactsInput!$M$24-ArtifactsInput!$M$24)*CHOOSE(ArtifactsInput!$N$24+1,10,12,14,16,18,20)+IF(ArtifactsInput!$M$10,CHOOSE(ArtifactsInput!$N$10+1,15,18,21,24,27,30)*(IF(Inputs!$B$39="pvp",MIN(15,15)/15,IF(AND(Inputs!$B$39&lt;&gt;"pvp",Inputs!$B$44&gt;0),MIN(15,Inputs!$B$44)/(Inputs!$B$44),0))),0)))-100),0))*CHOOSE(ArtifactsInput!$N$42+1,0.6,0.72,0.84,0.96,1.08,1.2))),Inputs!$B$18+((C813=TRUE)*(F813-Calc!F29))+(IF(AND(Inputs!$B$39&lt;&gt;"pvp",Inputs!$B$44=0),1,IF(IF(Inputs!$B$39="pvp",15,Inputs!$B$44)-(B829)&lt;=0,1,MAX(0,IF(Inputs!$B$39="pvp",15,Inputs!$B$44)-MAX(5,B829))/(IF(Inputs!$B$39="pvp",15,Inputs!$B$44)-(B829))))*IF(AND(ArtifactsInput!$M$42,((Inputs!$B$9+((C810=TRUE)*(F810-Calc!F26))+B818+(ArtifactsInput!$M$24-ArtifactsInput!$M$24)*CHOOSE(ArtifactsInput!$N$24+1,10,12,14,16,18,20)+IF(ArtifactsInput!$M$10,CHOOSE(ArtifactsInput!$N$10+1,15,18,21,24,27,30)*(IF(Inputs!$B$39="pvp",MIN(15,15)/15,IF(AND(Inputs!$B$39&lt;&gt;"pvp",Inputs!$B$44&gt;0),MIN(15,Inputs!$B$44)/(Inputs!$B$44),0))),0)))&gt;=100),CHOOSE(ArtifactsInput!$N$42+1,40,48,56,64,72,80),0))))/100)*(((1+(((C806=TRUE)*F806*IF(AND(Inputs!$B$39&lt;&gt;"pvp",Inputs!$B$44&gt;0),(((R806-1)*MIN((Skills!Y22*(1+Inputs!$B$34/100)),(1/Q806))+MIN((Skills!Y22*(1+Inputs!$B$34/100)),MAX(0,Inputs!$B$44-((R806-1)*(1/Q806)))))/Inputs!$B$44),IF(Inputs!$B$39="pvp",MIN((Skills!Y22*(1+Inputs!$B$34/100)),15)/15,MIN(1,(Skills!Y22*(1+Inputs!$B$34/100))/(1/Q806)))))+((C787=TRUE)*F787*3)+((C789=TRUE)*F789*(1-EXP(-0.75*B822*5)))+((C808=TRUE)*(F808-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795=TRUE)*F795*IF(AND(Inputs!$B$39&lt;&gt;"pvp",Inputs!$B$44&gt;0),(((R795-1)*MIN((Skills!Y11*(1+Inputs!$B$34/100)),(1/Q795))+MIN((Skills!Y11*(1+Inputs!$B$34/100)),MAX(0,Inputs!$B$44-((R795-1)*(1/Q795)))))/Inputs!$B$44),IF(Inputs!$B$39="pvp",MIN((Skills!Y11*(1+Inputs!$B$34/100)),15)/15,MIN(1,(Skills!Y11*(1+Inputs!$B$34/100))/(1/Q795)))))/100)*(1+((C800=TRUE)*F800*IF(AND(Inputs!$B$39&lt;&gt;"pvp",Inputs!$B$44&gt;0),(((R800-1)*MIN((Skills!Y16*(1+Inputs!$B$34/100)),(1/Q800))+MIN((Skills!Y16*(1+Inputs!$B$34/100)),MAX(0,Inputs!$B$44-((R800-1)*(1/Q800)))))/Inputs!$B$44),IF(Inputs!$B$39="pvp",MIN((Skills!Y16*(1+Inputs!$B$34/100)),15)/15,MIN(1,(Skills!Y16*(1+Inputs!$B$34/100))/(1/Q800)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820*I798)</f>
        <v/>
      </c>
      <c r="L798">
        <f>K798*(MIN(Inputs!$B$22+((C809=TRUE)*(F809-Calc!F25)),(Inputs!$B$23+((C814=TRUE)*(F814-Calc!F30))+IF(ArtifactsInput!$M$15,CHOOSE(ArtifactsInput!$N$15+1,25,30,35,40,45,50)/100*(Inputs!$B$11-Inputs!$B$11),0)))/100+(Inputs!$B$23+((C814=TRUE)*(F814-Calc!F30))+IF(ArtifactsInput!$M$15,CHOOSE(ArtifactsInput!$N$15+1,25,30,35,40,45,50)/100*(Inputs!$B$11-Inputs!$B$11),0))/100)/2</f>
        <v/>
      </c>
      <c r="M798">
        <f>L798*(1+(Inputs!$B$10+((C811=TRUE)*(F811-Calc!F27))+B825+(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798">
        <f>L798*(1-MIN((Inputs!$B$9+((C810=TRUE)*(F810-Calc!F26))+B818+(ArtifactsInput!$M$24-ArtifactsInput!$M$24)*CHOOSE(ArtifactsInput!$N$24+1,10,12,14,16,18,20)+(IF(AND(Inputs!$B$39&lt;&gt;"pvp",Inputs!$B$44=0),1,IF(IF(Inputs!$B$39="pvp",15,Inputs!$B$44)-(B829)&lt;=0,1,MAX(0,IF(Inputs!$B$39="pvp",15,Inputs!$B$44)-MAX(5,B829))/(IF(Inputs!$B$39="pvp",15,Inputs!$B$44)-(B829))))*IF(AND(ArtifactsInput!$M$42,((Inputs!$B$9+((C810=TRUE)*(F810-Calc!F26))+B818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798*(MIN((Inputs!$B$9+((C810=TRUE)*(F810-Calc!F26))+B818+(ArtifactsInput!$M$24-ArtifactsInput!$M$24)*CHOOSE(ArtifactsInput!$N$24+1,10,12,14,16,18,20)+(IF(AND(Inputs!$B$39&lt;&gt;"pvp",Inputs!$B$44=0),1,IF(IF(Inputs!$B$39="pvp",15,Inputs!$B$44)-(B829)&lt;=0,1,MAX(0,IF(Inputs!$B$39="pvp",15,Inputs!$B$44)-MAX(5,B829))/(IF(Inputs!$B$39="pvp",15,Inputs!$B$44)-(B829))))*IF(AND(ArtifactsInput!$M$42,((Inputs!$B$9+((C810=TRUE)*(F810-Calc!F26))+B818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798">
        <f>(1-Summary!$B$11)*T798+Summary!$B$11*V798</f>
        <v/>
      </c>
      <c r="P798">
        <f>IF(B830=0,0,O798/B830)</f>
        <v/>
      </c>
      <c r="Q798">
        <f>IFERROR(1/IF(Inputs!$B$39="pvp",15,MAX(0.1,Skills!D14-IF(TRUE=TRUE,Inputs!$B$32,0))),0)</f>
        <v/>
      </c>
      <c r="R798">
        <f>IF(AND(Inputs!$B$39&lt;&gt;"pvp",Inputs!$B$44&gt;0),IF(MAX(0,Inputs!$B$44-B829)&lt;=0,0,(INT(MAX(0,Inputs!$B$44-B829)/IF(Inputs!$B$39="pvp",15,MAX(0.1,Skills!D14-IF(TRUE=TRUE,Inputs!$B$32,0))))+1)),0)</f>
        <v/>
      </c>
      <c r="S798">
        <f>IFERROR(O798/N798,0)</f>
        <v/>
      </c>
      <c r="T798">
        <f>IF(C798,(H798*N798*IF(AND(Inputs!$B$39&lt;&gt;"pvp",Inputs!$B$44&gt;0),((Skills!G14*((R798-1)*IF(Skills!H14&gt;0,Skills!I14/Skills!H14,1)+IF(Skills!H14&gt;0,MIN(Skills!I14,MAX(0,MAX(0,Inputs!$B$44-B829)-((R798-1)*IF(Inputs!$B$39="pvp",15,MAX(0.1,Skills!D14-IF(TRUE=TRUE,Inputs!$B$32,0))))))/Skills!H14,1)))/Inputs!$B$44),G798*Q798))*IF(Inputs!$B$39="pvp",1,1+(Inputs!$B$20+0+Skills!P14+B819+(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Hunt"),CHOOSE(ArtifactsInput!$N$35+1,15,18,21,24,27,30)*(1-EXP(-(0.2*B822)*5)),0)+IF(AND(ArtifactsInput!$M$22,Inputs!$B$4&lt;&gt;"Chapter Hunt"),CHOOSE(ArtifactsInput!$N$22+1,10,12,14,16,18,20)*((0*(((0.15*B822*5))^0/1)+1*(((0.15*B822*5))^1/1)+2*(((0.15*B822*5))^2/2)+3*(((0.15*B822*5))^3/6)+4*(((0.15*B822*5))^4/24)+5*(((0.15*B822*5))^5/120))/((((0.15*B822*5))^0/1)+(((0.15*B822*5))^1/1)+(((0.15*B822*5))^2/2)+(((0.15*B822*5))^3/6)+(((0.15*B822*5))^4/24)+(((0.15*B822*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798*(1-MIN(100,(Inputs!$B$9+((C810=TRUE)*(F810-Calc!F26))+B818+(ArtifactsInput!$M$24-ArtifactsInput!$M$24)*CHOOSE(ArtifactsInput!$N$24+1,10,12,14,16,18,20)+(IF(AND(Inputs!$B$39&lt;&gt;"pvp",Inputs!$B$44=0),1,IF(IF(Inputs!$B$39="pvp",15,Inputs!$B$44)-(B829)&lt;=0,1,MAX(0,IF(Inputs!$B$39="pvp",15,Inputs!$B$44)-MAX(5,B829))/(IF(Inputs!$B$39="pvp",15,Inputs!$B$44)-(B829))))*IF(AND(ArtifactsInput!$M$42,((Inputs!$B$9+((C810=TRUE)*(F810-Calc!F26))+B818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798*(MIN(100,(Inputs!$B$9+((C810=TRUE)*(F810-Calc!F26))+B818+(ArtifactsInput!$M$24-ArtifactsInput!$M$24)*CHOOSE(ArtifactsInput!$N$24+1,10,12,14,16,18,20)+(IF(AND(Inputs!$B$39&lt;&gt;"pvp",Inputs!$B$44=0),1,IF(IF(Inputs!$B$39="pvp",15,Inputs!$B$44)-(B829)&lt;=0,1,MAX(0,IF(Inputs!$B$39="pvp",15,Inputs!$B$44)-MAX(5,B829))/(IF(Inputs!$B$39="pvp",15,Inputs!$B$44)-(B829))))*IF(AND(ArtifactsInput!$M$42,((Inputs!$B$9+((C810=TRUE)*(F810-Calc!F26))+B818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798*(1-MIN(100,(Inputs!$B$9+((C810=TRUE)*(F810-Calc!F26))+B818+(ArtifactsInput!$M$24-ArtifactsInput!$M$24)*CHOOSE(ArtifactsInput!$N$24+1,10,12,14,16,18,20)+(IF(AND(Inputs!$B$39&lt;&gt;"pvp",Inputs!$B$44=0),1,IF(IF(Inputs!$B$39="pvp",15,Inputs!$B$44)-(B829)&lt;=0,1,MAX(0,IF(Inputs!$B$39="pvp",15,Inputs!$B$44)-MAX(5,B829))/(IF(Inputs!$B$39="pvp",15,Inputs!$B$44)-(B829))))*IF(AND(ArtifactsInput!$M$42,((Inputs!$B$9+((C810=TRUE)*(F810-Calc!F26))+B818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798*(MIN(100,(Inputs!$B$9+((C810=TRUE)*(F810-Calc!F26))+B818+(ArtifactsInput!$M$24-ArtifactsInput!$M$24)*CHOOSE(ArtifactsInput!$N$24+1,10,12,14,16,18,20)+(IF(AND(Inputs!$B$39&lt;&gt;"pvp",Inputs!$B$44=0),1,IF(IF(Inputs!$B$39="pvp",15,Inputs!$B$44)-(B829)&lt;=0,1,MAX(0,IF(Inputs!$B$39="pvp",15,Inputs!$B$44)-MAX(5,B829))/(IF(Inputs!$B$39="pvp",15,Inputs!$B$44)-(B829))))*IF(AND(ArtifactsInput!$M$42,((Inputs!$B$9+((C810=TRUE)*(F810-Calc!F26))+B818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798">
        <f>IF(C798,(H798*N798*IF(AND(Inputs!$B$39&lt;&gt;"pvp",Inputs!$B$44&gt;0),((Skills!G14*((R798-1)*IF(Skills!H14&gt;0,Skills!I14/Skills!H14,1)+IF(Skills!H14&gt;0,MIN(Skills!I14,MAX(0,MAX(0,Inputs!$B$44-B829)-((R798-1)*IF(Inputs!$B$39="pvp",15,MAX(0.1,Skills!D14-IF(TRUE=TRUE,Inputs!$B$32,0))))))/Skills!H14,1)))/Inputs!$B$44),G798*Q798))*IF(Inputs!$B$39="pvp",1,(1+(Inputs!$B$21+Skills!Q14+B819+(IF(ArtifactsInput!$M$33,CHOOSE(ArtifactsInput!$N$33+1,30,36,42,48,54,60),0))+(IF(AND(ArtifactsInput!$M$35,Inputs!$B$4&lt;&gt;"Chapter Hunt"),CHOOSE(ArtifactsInput!$N$35+1,15,18,21,24,27,30)*(1-EXP(-(0.2*B822)*5)),0)+IF(AND(ArtifactsInput!$M$22,Inputs!$B$4&lt;&gt;"Chapter Hunt"),CHOOSE(ArtifactsInput!$N$22+1,10,12,14,16,18,20)*((0*(((0.15*B822*5))^0/1)+1*(((0.15*B822*5))^1/1)+2*(((0.15*B822*5))^2/2)+3*(((0.15*B822*5))^3/6)+4*(((0.15*B822*5))^4/24)+5*(((0.15*B822*5))^5/120))/((((0.15*B822*5))^0/1)+(((0.15*B822*5))^1/1)+(((0.15*B822*5))^2/2)+(((0.15*B822*5))^3/6)+(((0.15*B822*5))^4/24)+(((0.15*B822*5))^5/120))),0)))/100)*(MIN(Skills!W14,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799">
      <c r="A799">
        <f>Skills!A15</f>
        <v/>
      </c>
      <c r="B799">
        <f>Skills!B15</f>
        <v/>
      </c>
      <c r="C799">
        <f>Inputs!$B$3&gt;=107</f>
        <v/>
      </c>
      <c r="D799">
        <f>IF(Skills!C15=1,60+Inputs!$B$25+Inputs!$B$29,IF(Skills!C15=2,90+Inputs!$B$26+Inputs!$B$29,IF(Skills!C15=3,120+Inputs!$B$27+Inputs!$B$29,MAX(0,(Inputs!$B$3-100)*3)+Inputs!$B$28+Inputs!$B$29)))</f>
        <v/>
      </c>
      <c r="E799">
        <f>INDEX(FactorTable!$B$2:$Y$301, MATCH(ROUND(MIN(300,MAX(1,D799)),0), FactorTable!$A$2:$A$301,0), Skills!M15+1)</f>
        <v/>
      </c>
      <c r="F799">
        <f>IF(Skills!N15=TRUE,(Skills!L15/10)*(E799/1000),Skills!L15/10)+Skills!O15</f>
        <v/>
      </c>
      <c r="G799">
        <f>Skills!G15*IF(Skills!H15&gt;0,IF(Inputs!$B$39="pvp",MIN(Skills!I15,15),Skills!I15)/Skills!H15,1)</f>
        <v/>
      </c>
      <c r="H799">
        <f>1-(1-Skills!J15/100)^Skills!K15</f>
        <v/>
      </c>
      <c r="I799" t="inlineStr">
        <is>
          <t>1</t>
        </is>
      </c>
      <c r="J799">
        <f>((Inputs!$B$6*(1+Inputs!$B$7/100))+(((Inputs!$B$12*(1+Inputs!$B$13/100))-(Inputs!$B$12*(1+Inputs!$B$13/100)))+0.25*(Inputs!$B$14-Inputs!$B$14))*(1+Inputs!$B$7/100))*(F799/100)</f>
        <v/>
      </c>
      <c r="K799">
        <f>J799*(1+((Inputs!$B$12*(1+Inputs!$B$13/100))*0.01+Inputs!$B$14*0.0025)/100)*(1+Inputs!$B$15/100)*(1+Inputs!$B$16/100)*(5000/(6000+Inputs!$B$43*(1-(100*(1-(1-Inputs!$B$19/100)*(1-CHOOSE(ArtifactsInput!$N$40+1,5,6,7,8,9,10)/100)^(ArtifactsInput!$M$40-ArtifactsInput!$M$40)))/100)))*(1+(Inputs!$B$24+((C815=TRUE)*(F815-Calc!F31))+((C802=TRUE)*(F802-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15="CRUEL_STAB",(Inputs!$B$17+1)+((C812=TRUE)*(F812-Calc!F28))+((IF(AND(Inputs!$B$39&lt;&gt;"pvp",Inputs!$B$44=0),1,IF(IF(Inputs!$B$39="pvp",15,Inputs!$B$44)-(B829)&lt;=0,1,MAX(0,IF(Inputs!$B$39="pvp",15,Inputs!$B$44)-MAX(5,B829))/(IF(Inputs!$B$39="pvp",15,Inputs!$B$44)-(B829))))*(IF(AND(ArtifactsInput!$M$42,((Inputs!$B$9+((C810=TRUE)*(F810-Calc!F26))+B818+(ArtifactsInput!$M$24-ArtifactsInput!$M$24)*CHOOSE(ArtifactsInput!$N$24+1,10,12,14,16,18,20)+IF(ArtifactsInput!$M$10,CHOOSE(ArtifactsInput!$N$10+1,15,18,21,24,27,30)*(IF(Inputs!$B$39="pvp",MIN(15,15)/15,IF(AND(Inputs!$B$39&lt;&gt;"pvp",Inputs!$B$44&gt;0),MIN(15,Inputs!$B$44)/(Inputs!$B$44),0))),0)))&gt;=100),MIN(100,((Inputs!$B$9+((C810=TRUE)*(F810-Calc!F26))+B818+(ArtifactsInput!$M$24-ArtifactsInput!$M$24)*CHOOSE(ArtifactsInput!$N$24+1,10,12,14,16,18,20)+IF(ArtifactsInput!$M$10,CHOOSE(ArtifactsInput!$N$10+1,15,18,21,24,27,30)*(IF(Inputs!$B$39="pvp",MIN(15,15)/15,IF(AND(Inputs!$B$39&lt;&gt;"pvp",Inputs!$B$44&gt;0),MIN(15,Inputs!$B$44)/(Inputs!$B$44),0))),0)))-100),0))*CHOOSE(ArtifactsInput!$N$42+1,0.6,0.72,0.84,0.96,1.08,1.2))),Inputs!$B$18+((C813=TRUE)*(F813-Calc!F29))+(IF(AND(Inputs!$B$39&lt;&gt;"pvp",Inputs!$B$44=0),1,IF(IF(Inputs!$B$39="pvp",15,Inputs!$B$44)-(B829)&lt;=0,1,MAX(0,IF(Inputs!$B$39="pvp",15,Inputs!$B$44)-MAX(5,B829))/(IF(Inputs!$B$39="pvp",15,Inputs!$B$44)-(B829))))*IF(AND(ArtifactsInput!$M$42,((Inputs!$B$9+((C810=TRUE)*(F810-Calc!F26))+B818+(ArtifactsInput!$M$24-ArtifactsInput!$M$24)*CHOOSE(ArtifactsInput!$N$24+1,10,12,14,16,18,20)+IF(ArtifactsInput!$M$10,CHOOSE(ArtifactsInput!$N$10+1,15,18,21,24,27,30)*(IF(Inputs!$B$39="pvp",MIN(15,15)/15,IF(AND(Inputs!$B$39&lt;&gt;"pvp",Inputs!$B$44&gt;0),MIN(15,Inputs!$B$44)/(Inputs!$B$44),0))),0)))&gt;=100),CHOOSE(ArtifactsInput!$N$42+1,40,48,56,64,72,80),0))))/100)*(((1+(((C806=TRUE)*F806*IF(AND(Inputs!$B$39&lt;&gt;"pvp",Inputs!$B$44&gt;0),(((R806-1)*MIN((Skills!Y22*(1+Inputs!$B$34/100)),(1/Q806))+MIN((Skills!Y22*(1+Inputs!$B$34/100)),MAX(0,Inputs!$B$44-((R806-1)*(1/Q806)))))/Inputs!$B$44),IF(Inputs!$B$39="pvp",MIN((Skills!Y22*(1+Inputs!$B$34/100)),15)/15,MIN(1,(Skills!Y22*(1+Inputs!$B$34/100))/(1/Q806)))))+((C787=TRUE)*F787*3)+((C789=TRUE)*F789*(1-EXP(-0.75*B822*5)))+((C808=TRUE)*(F808-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795=TRUE)*F795*IF(AND(Inputs!$B$39&lt;&gt;"pvp",Inputs!$B$44&gt;0),(((R795-1)*MIN((Skills!Y11*(1+Inputs!$B$34/100)),(1/Q795))+MIN((Skills!Y11*(1+Inputs!$B$34/100)),MAX(0,Inputs!$B$44-((R795-1)*(1/Q795)))))/Inputs!$B$44),IF(Inputs!$B$39="pvp",MIN((Skills!Y11*(1+Inputs!$B$34/100)),15)/15,MIN(1,(Skills!Y11*(1+Inputs!$B$34/100))/(1/Q795)))))/100)*(1+((C800=TRUE)*F800*IF(AND(Inputs!$B$39&lt;&gt;"pvp",Inputs!$B$44&gt;0),(((R800-1)*MIN((Skills!Y16*(1+Inputs!$B$34/100)),(1/Q800))+MIN((Skills!Y16*(1+Inputs!$B$34/100)),MAX(0,Inputs!$B$44-((R800-1)*(1/Q800)))))/Inputs!$B$44),IF(Inputs!$B$39="pvp",MIN((Skills!Y16*(1+Inputs!$B$34/100)),15)/15,MIN(1,(Skills!Y16*(1+Inputs!$B$34/100))/(1/Q800)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820*I799)</f>
        <v/>
      </c>
      <c r="L799">
        <f>K799*(MIN(Inputs!$B$22+((C809=TRUE)*(F809-Calc!F25)),(Inputs!$B$23+((C814=TRUE)*(F814-Calc!F30))+IF(ArtifactsInput!$M$15,CHOOSE(ArtifactsInput!$N$15+1,25,30,35,40,45,50)/100*(Inputs!$B$11-Inputs!$B$11),0)))/100+(Inputs!$B$23+((C814=TRUE)*(F814-Calc!F30))+IF(ArtifactsInput!$M$15,CHOOSE(ArtifactsInput!$N$15+1,25,30,35,40,45,50)/100*(Inputs!$B$11-Inputs!$B$11),0))/100)/2</f>
        <v/>
      </c>
      <c r="M799">
        <f>L799*(1+(Inputs!$B$10+((C811=TRUE)*(F811-Calc!F27))+B825+(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799">
        <f>L799*(1-MIN((Inputs!$B$9+((C810=TRUE)*(F810-Calc!F26))+B818+(ArtifactsInput!$M$24-ArtifactsInput!$M$24)*CHOOSE(ArtifactsInput!$N$24+1,10,12,14,16,18,20)+(IF(AND(Inputs!$B$39&lt;&gt;"pvp",Inputs!$B$44=0),1,IF(IF(Inputs!$B$39="pvp",15,Inputs!$B$44)-(B829)&lt;=0,1,MAX(0,IF(Inputs!$B$39="pvp",15,Inputs!$B$44)-MAX(5,B829))/(IF(Inputs!$B$39="pvp",15,Inputs!$B$44)-(B829))))*IF(AND(ArtifactsInput!$M$42,((Inputs!$B$9+((C810=TRUE)*(F810-Calc!F26))+B818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799*(MIN((Inputs!$B$9+((C810=TRUE)*(F810-Calc!F26))+B818+(ArtifactsInput!$M$24-ArtifactsInput!$M$24)*CHOOSE(ArtifactsInput!$N$24+1,10,12,14,16,18,20)+(IF(AND(Inputs!$B$39&lt;&gt;"pvp",Inputs!$B$44=0),1,IF(IF(Inputs!$B$39="pvp",15,Inputs!$B$44)-(B829)&lt;=0,1,MAX(0,IF(Inputs!$B$39="pvp",15,Inputs!$B$44)-MAX(5,B829))/(IF(Inputs!$B$39="pvp",15,Inputs!$B$44)-(B829))))*IF(AND(ArtifactsInput!$M$42,((Inputs!$B$9+((C810=TRUE)*(F810-Calc!F26))+B818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799">
        <f>(1-Summary!$B$11)*T799+Summary!$B$11*V799</f>
        <v/>
      </c>
      <c r="P799">
        <f>IF(B830=0,0,O799/B830)</f>
        <v/>
      </c>
      <c r="Q799">
        <f>IFERROR(1/IF(Inputs!$B$39="pvp",15,MAX(0.1,Skills!D15-IF(TRUE=TRUE,Inputs!$B$32,0))),0)</f>
        <v/>
      </c>
      <c r="R799">
        <f>IF(AND(Inputs!$B$39&lt;&gt;"pvp",Inputs!$B$44&gt;0),IF(MAX(0,Inputs!$B$44-B829)&lt;=0,0,(INT(MAX(0,Inputs!$B$44-B829)/IF(Inputs!$B$39="pvp",15,MAX(0.1,Skills!D15-IF(TRUE=TRUE,Inputs!$B$32,0))))+1)),0)</f>
        <v/>
      </c>
      <c r="S799">
        <f>IFERROR(O799/N799,0)</f>
        <v/>
      </c>
      <c r="T799">
        <f>IF(C799,(H799*N799*IF(AND(Inputs!$B$39&lt;&gt;"pvp",Inputs!$B$44&gt;0),((Skills!G15*((R799-1)*IF(Skills!H15&gt;0,Skills!I15/Skills!H15,1)+IF(Skills!H15&gt;0,MIN(Skills!I15,MAX(0,MAX(0,Inputs!$B$44-B829)-((R799-1)*IF(Inputs!$B$39="pvp",15,MAX(0.1,Skills!D15-IF(TRUE=TRUE,Inputs!$B$32,0))))))/Skills!H15,1)))/Inputs!$B$44),G799*Q799))*IF(Inputs!$B$39="pvp",1,1+(Inputs!$B$20+0+Skills!P15+B819+(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Hunt"),CHOOSE(ArtifactsInput!$N$35+1,15,18,21,24,27,30)*(1-EXP(-(0.2*B822)*5)),0)+IF(AND(ArtifactsInput!$M$22,Inputs!$B$4&lt;&gt;"Chapter Hunt"),CHOOSE(ArtifactsInput!$N$22+1,10,12,14,16,18,20)*((0*(((0.15*B822*5))^0/1)+1*(((0.15*B822*5))^1/1)+2*(((0.15*B822*5))^2/2)+3*(((0.15*B822*5))^3/6)+4*(((0.15*B822*5))^4/24)+5*(((0.15*B822*5))^5/120))/((((0.15*B822*5))^0/1)+(((0.15*B822*5))^1/1)+(((0.15*B822*5))^2/2)+(((0.15*B822*5))^3/6)+(((0.15*B822*5))^4/24)+(((0.15*B822*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799*(1-MIN(100,(Inputs!$B$9+((C810=TRUE)*(F810-Calc!F26))+B818+(ArtifactsInput!$M$24-ArtifactsInput!$M$24)*CHOOSE(ArtifactsInput!$N$24+1,10,12,14,16,18,20)+(IF(AND(Inputs!$B$39&lt;&gt;"pvp",Inputs!$B$44=0),1,IF(IF(Inputs!$B$39="pvp",15,Inputs!$B$44)-(B829)&lt;=0,1,MAX(0,IF(Inputs!$B$39="pvp",15,Inputs!$B$44)-MAX(5,B829))/(IF(Inputs!$B$39="pvp",15,Inputs!$B$44)-(B829))))*IF(AND(ArtifactsInput!$M$42,((Inputs!$B$9+((C810=TRUE)*(F810-Calc!F26))+B818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799*(MIN(100,(Inputs!$B$9+((C810=TRUE)*(F810-Calc!F26))+B818+(ArtifactsInput!$M$24-ArtifactsInput!$M$24)*CHOOSE(ArtifactsInput!$N$24+1,10,12,14,16,18,20)+(IF(AND(Inputs!$B$39&lt;&gt;"pvp",Inputs!$B$44=0),1,IF(IF(Inputs!$B$39="pvp",15,Inputs!$B$44)-(B829)&lt;=0,1,MAX(0,IF(Inputs!$B$39="pvp",15,Inputs!$B$44)-MAX(5,B829))/(IF(Inputs!$B$39="pvp",15,Inputs!$B$44)-(B829))))*IF(AND(ArtifactsInput!$M$42,((Inputs!$B$9+((C810=TRUE)*(F810-Calc!F26))+B818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799*(1-MIN(100,(Inputs!$B$9+((C810=TRUE)*(F810-Calc!F26))+B818+(ArtifactsInput!$M$24-ArtifactsInput!$M$24)*CHOOSE(ArtifactsInput!$N$24+1,10,12,14,16,18,20)+(IF(AND(Inputs!$B$39&lt;&gt;"pvp",Inputs!$B$44=0),1,IF(IF(Inputs!$B$39="pvp",15,Inputs!$B$44)-(B829)&lt;=0,1,MAX(0,IF(Inputs!$B$39="pvp",15,Inputs!$B$44)-MAX(5,B829))/(IF(Inputs!$B$39="pvp",15,Inputs!$B$44)-(B829))))*IF(AND(ArtifactsInput!$M$42,((Inputs!$B$9+((C810=TRUE)*(F810-Calc!F26))+B818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799*(MIN(100,(Inputs!$B$9+((C810=TRUE)*(F810-Calc!F26))+B818+(ArtifactsInput!$M$24-ArtifactsInput!$M$24)*CHOOSE(ArtifactsInput!$N$24+1,10,12,14,16,18,20)+(IF(AND(Inputs!$B$39&lt;&gt;"pvp",Inputs!$B$44=0),1,IF(IF(Inputs!$B$39="pvp",15,Inputs!$B$44)-(B829)&lt;=0,1,MAX(0,IF(Inputs!$B$39="pvp",15,Inputs!$B$44)-MAX(5,B829))/(IF(Inputs!$B$39="pvp",15,Inputs!$B$44)-(B829))))*IF(AND(ArtifactsInput!$M$42,((Inputs!$B$9+((C810=TRUE)*(F810-Calc!F26))+B818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799">
        <f>IF(C799,(H799*N799*IF(AND(Inputs!$B$39&lt;&gt;"pvp",Inputs!$B$44&gt;0),((Skills!G15*((R799-1)*IF(Skills!H15&gt;0,Skills!I15/Skills!H15,1)+IF(Skills!H15&gt;0,MIN(Skills!I15,MAX(0,MAX(0,Inputs!$B$44-B829)-((R799-1)*IF(Inputs!$B$39="pvp",15,MAX(0.1,Skills!D15-IF(TRUE=TRUE,Inputs!$B$32,0))))))/Skills!H15,1)))/Inputs!$B$44),G799*Q799))*IF(Inputs!$B$39="pvp",1,(1+(Inputs!$B$21+Skills!Q15+B819+(IF(ArtifactsInput!$M$33,CHOOSE(ArtifactsInput!$N$33+1,30,36,42,48,54,60),0))+(IF(AND(ArtifactsInput!$M$35,Inputs!$B$4&lt;&gt;"Chapter Hunt"),CHOOSE(ArtifactsInput!$N$35+1,15,18,21,24,27,30)*(1-EXP(-(0.2*B822)*5)),0)+IF(AND(ArtifactsInput!$M$22,Inputs!$B$4&lt;&gt;"Chapter Hunt"),CHOOSE(ArtifactsInput!$N$22+1,10,12,14,16,18,20)*((0*(((0.15*B822*5))^0/1)+1*(((0.15*B822*5))^1/1)+2*(((0.15*B822*5))^2/2)+3*(((0.15*B822*5))^3/6)+4*(((0.15*B822*5))^4/24)+5*(((0.15*B822*5))^5/120))/((((0.15*B822*5))^0/1)+(((0.15*B822*5))^1/1)+(((0.15*B822*5))^2/2)+(((0.15*B822*5))^3/6)+(((0.15*B822*5))^4/24)+(((0.15*B822*5))^5/120))),0)))/100)*(MIN(MIN(5,0.5*IF(Inputs!$B$3&gt;=75,0.75,0.5)*B822*(1/Q788))*Skills!V15,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800">
      <c r="A800">
        <f>Skills!A16</f>
        <v/>
      </c>
      <c r="B800">
        <f>Skills!B16</f>
        <v/>
      </c>
      <c r="C800">
        <f>Inputs!$B$3&gt;=110</f>
        <v/>
      </c>
      <c r="D800">
        <f>IF(Skills!C16=1,60+Inputs!$B$25+Inputs!$B$29,IF(Skills!C16=2,90+Inputs!$B$26+Inputs!$B$29,IF(Skills!C16=3,120+Inputs!$B$27+Inputs!$B$29,MAX(0,(Inputs!$B$3-100)*3)+Inputs!$B$28+Inputs!$B$29)))</f>
        <v/>
      </c>
      <c r="E800">
        <f>INDEX(FactorTable!$B$2:$Y$301, MATCH(ROUND(MIN(300,MAX(1,D800)),0), FactorTable!$A$2:$A$301,0), Skills!M16+1)</f>
        <v/>
      </c>
      <c r="F800">
        <f>IF(Skills!N16=TRUE,(Skills!L16/10)*(E800/1000),Skills!L16/10)+Skills!O16</f>
        <v/>
      </c>
      <c r="G800">
        <f>Skills!G16*IF(Skills!H16&gt;0,IF(Inputs!$B$39="pvp",MIN(Skills!I16,15),Skills!I16)/Skills!H16,1)</f>
        <v/>
      </c>
      <c r="H800">
        <f>1-(1-Skills!J16/100)^Skills!K16</f>
        <v/>
      </c>
      <c r="I800" t="inlineStr">
        <is>
          <t>1</t>
        </is>
      </c>
      <c r="J800" t="inlineStr"/>
      <c r="K800" t="inlineStr"/>
      <c r="L800" t="inlineStr"/>
      <c r="M800" t="inlineStr"/>
      <c r="N800" t="inlineStr"/>
      <c r="O800">
        <f>(1-Summary!$B$11)*T800+Summary!$B$11*V800</f>
        <v/>
      </c>
      <c r="P800">
        <f>IF(B830=0,0,O800/B830)</f>
        <v/>
      </c>
      <c r="Q800">
        <f>IFERROR(1/IF(Inputs!$B$39="pvp",15,MAX(0.1,Skills!D16-IF(TRUE=TRUE,Inputs!$B$32,0))),0)</f>
        <v/>
      </c>
      <c r="R800">
        <f>IF(AND(Inputs!$B$39&lt;&gt;"pvp",Inputs!$B$44&gt;0),IF(Inputs!$B$44&lt;=0,0,(INT(Inputs!$B$44/IF(Inputs!$B$39="pvp",15,MAX(0.1,Skills!D16-IF(TRUE=TRUE,Inputs!$B$32,0))))+1)),0)</f>
        <v/>
      </c>
      <c r="S800">
        <f>IFERROR(O800/N800,0)</f>
        <v/>
      </c>
      <c r="T800" t="n">
        <v>0</v>
      </c>
      <c r="V800" t="n">
        <v>0</v>
      </c>
    </row>
    <row r="801">
      <c r="A801">
        <f>Skills!A17</f>
        <v/>
      </c>
      <c r="B801">
        <f>Skills!B17</f>
        <v/>
      </c>
      <c r="C801">
        <f>Inputs!$B$3&gt;=115</f>
        <v/>
      </c>
      <c r="D801">
        <f>IF(Skills!C17=1,60+Inputs!$B$25+Inputs!$B$29,IF(Skills!C17=2,90+Inputs!$B$26+Inputs!$B$29,IF(Skills!C17=3,120+Inputs!$B$27+Inputs!$B$29,MAX(0,(Inputs!$B$3-100)*3)+Inputs!$B$28+Inputs!$B$29)))</f>
        <v/>
      </c>
      <c r="E801">
        <f>INDEX(FactorTable!$B$2:$Y$301, MATCH(ROUND(MIN(300,MAX(1,D801)),0), FactorTable!$A$2:$A$301,0), Skills!M17+1)</f>
        <v/>
      </c>
      <c r="F801">
        <f>IF(Skills!N17=TRUE,(Skills!L17/10)*(E801/1000),Skills!L17/10)+Skills!O17</f>
        <v/>
      </c>
      <c r="G801">
        <f>Skills!G17*IF(Skills!H17&gt;0,IF(Inputs!$B$39="pvp",MIN(Skills!I17,15),Skills!I17)/Skills!H17,1)</f>
        <v/>
      </c>
      <c r="H801">
        <f>1-(1-Skills!J17/100)^Skills!K17</f>
        <v/>
      </c>
      <c r="I801" t="inlineStr">
        <is>
          <t>1</t>
        </is>
      </c>
      <c r="J801">
        <f>((Inputs!$B$6*(1+Inputs!$B$7/100))+(((Inputs!$B$12*(1+Inputs!$B$13/100))-(Inputs!$B$12*(1+Inputs!$B$13/100)))+0.25*(Inputs!$B$14-Inputs!$B$14))*(1+Inputs!$B$7/100))*(F801/100)</f>
        <v/>
      </c>
      <c r="K801">
        <f>J801*(1+((Inputs!$B$12*(1+Inputs!$B$13/100))*0.01+Inputs!$B$14*0.0025)/100)*(1+Inputs!$B$15/100)*(1+Inputs!$B$16/100)*(5000/(6000+Inputs!$B$43*(1-(100*(1-(1-Inputs!$B$19/100)*(1-CHOOSE(ArtifactsInput!$N$40+1,5,6,7,8,9,10)/100)^(ArtifactsInput!$M$40-ArtifactsInput!$M$40)))/100)))*(1+(Inputs!$B$24+((C815=TRUE)*(F815-Calc!F31))+((C802=TRUE)*(F802-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17="CRUEL_STAB",(Inputs!$B$17+1)+((C812=TRUE)*(F812-Calc!F28))+((IF(AND(Inputs!$B$39&lt;&gt;"pvp",Inputs!$B$44=0),1,IF(IF(Inputs!$B$39="pvp",15,Inputs!$B$44)-(B829)&lt;=0,1,MAX(0,IF(Inputs!$B$39="pvp",15,Inputs!$B$44)-MAX(5,B829))/(IF(Inputs!$B$39="pvp",15,Inputs!$B$44)-(B829))))*(IF(AND(ArtifactsInput!$M$42,((Inputs!$B$9+((C810=TRUE)*(F810-Calc!F26))+B818+(ArtifactsInput!$M$24-ArtifactsInput!$M$24)*CHOOSE(ArtifactsInput!$N$24+1,10,12,14,16,18,20)+IF(ArtifactsInput!$M$10,CHOOSE(ArtifactsInput!$N$10+1,15,18,21,24,27,30)*(IF(Inputs!$B$39="pvp",MIN(15,15)/15,IF(AND(Inputs!$B$39&lt;&gt;"pvp",Inputs!$B$44&gt;0),MIN(15,Inputs!$B$44)/(Inputs!$B$44),0))),0)))&gt;=100),MIN(100,((Inputs!$B$9+((C810=TRUE)*(F810-Calc!F26))+B818+(ArtifactsInput!$M$24-ArtifactsInput!$M$24)*CHOOSE(ArtifactsInput!$N$24+1,10,12,14,16,18,20)+IF(ArtifactsInput!$M$10,CHOOSE(ArtifactsInput!$N$10+1,15,18,21,24,27,30)*(IF(Inputs!$B$39="pvp",MIN(15,15)/15,IF(AND(Inputs!$B$39&lt;&gt;"pvp",Inputs!$B$44&gt;0),MIN(15,Inputs!$B$44)/(Inputs!$B$44),0))),0)))-100),0))*CHOOSE(ArtifactsInput!$N$42+1,0.6,0.72,0.84,0.96,1.08,1.2))),Inputs!$B$18+((C813=TRUE)*(F813-Calc!F29))+(IF(AND(Inputs!$B$39&lt;&gt;"pvp",Inputs!$B$44=0),1,IF(IF(Inputs!$B$39="pvp",15,Inputs!$B$44)-(B829)&lt;=0,1,MAX(0,IF(Inputs!$B$39="pvp",15,Inputs!$B$44)-MAX(5,B829))/(IF(Inputs!$B$39="pvp",15,Inputs!$B$44)-(B829))))*IF(AND(ArtifactsInput!$M$42,((Inputs!$B$9+((C810=TRUE)*(F810-Calc!F26))+B818+(ArtifactsInput!$M$24-ArtifactsInput!$M$24)*CHOOSE(ArtifactsInput!$N$24+1,10,12,14,16,18,20)+IF(ArtifactsInput!$M$10,CHOOSE(ArtifactsInput!$N$10+1,15,18,21,24,27,30)*(IF(Inputs!$B$39="pvp",MIN(15,15)/15,IF(AND(Inputs!$B$39&lt;&gt;"pvp",Inputs!$B$44&gt;0),MIN(15,Inputs!$B$44)/(Inputs!$B$44),0))),0)))&gt;=100),CHOOSE(ArtifactsInput!$N$42+1,40,48,56,64,72,80),0))))/100)*(((1+(((C806=TRUE)*F806*IF(AND(Inputs!$B$39&lt;&gt;"pvp",Inputs!$B$44&gt;0),(((R806-1)*MIN((Skills!Y22*(1+Inputs!$B$34/100)),(1/Q806))+MIN((Skills!Y22*(1+Inputs!$B$34/100)),MAX(0,Inputs!$B$44-((R806-1)*(1/Q806)))))/Inputs!$B$44),IF(Inputs!$B$39="pvp",MIN((Skills!Y22*(1+Inputs!$B$34/100)),15)/15,MIN(1,(Skills!Y22*(1+Inputs!$B$34/100))/(1/Q806)))))+((C787=TRUE)*F787*3)+((C789=TRUE)*F789*(1-EXP(-0.75*B822*5)))+((C808=TRUE)*(F808-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795=TRUE)*F795*IF(AND(Inputs!$B$39&lt;&gt;"pvp",Inputs!$B$44&gt;0),(((R795-1)*MIN((Skills!Y11*(1+Inputs!$B$34/100)),(1/Q795))+MIN((Skills!Y11*(1+Inputs!$B$34/100)),MAX(0,Inputs!$B$44-((R795-1)*(1/Q795)))))/Inputs!$B$44),IF(Inputs!$B$39="pvp",MIN((Skills!Y11*(1+Inputs!$B$34/100)),15)/15,MIN(1,(Skills!Y11*(1+Inputs!$B$34/100))/(1/Q795)))))/100)*(1+((C800=TRUE)*F800*IF(AND(Inputs!$B$39&lt;&gt;"pvp",Inputs!$B$44&gt;0),(((R800-1)*MIN((Skills!Y16*(1+Inputs!$B$34/100)),(1/Q800))+MIN((Skills!Y16*(1+Inputs!$B$34/100)),MAX(0,Inputs!$B$44-((R800-1)*(1/Q800)))))/Inputs!$B$44),IF(Inputs!$B$39="pvp",MIN((Skills!Y16*(1+Inputs!$B$34/100)),15)/15,MIN(1,(Skills!Y16*(1+Inputs!$B$34/100))/(1/Q800)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820*I801)</f>
        <v/>
      </c>
      <c r="L801">
        <f>K801*(MIN(Inputs!$B$22+((C809=TRUE)*(F809-Calc!F25)),(Inputs!$B$23+((C814=TRUE)*(F814-Calc!F30))+IF(ArtifactsInput!$M$15,CHOOSE(ArtifactsInput!$N$15+1,25,30,35,40,45,50)/100*(Inputs!$B$11-Inputs!$B$11),0)))/100+(Inputs!$B$23+((C814=TRUE)*(F814-Calc!F30))+IF(ArtifactsInput!$M$15,CHOOSE(ArtifactsInput!$N$15+1,25,30,35,40,45,50)/100*(Inputs!$B$11-Inputs!$B$11),0))/100)/2</f>
        <v/>
      </c>
      <c r="M801">
        <f>L801*(1+(Inputs!$B$10+((C811=TRUE)*(F811-Calc!F27))+B825+(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801">
        <f>L801*(1-MIN((Inputs!$B$9+((C810=TRUE)*(F810-Calc!F26))+B818+(ArtifactsInput!$M$24-ArtifactsInput!$M$24)*CHOOSE(ArtifactsInput!$N$24+1,10,12,14,16,18,20)+(IF(AND(Inputs!$B$39&lt;&gt;"pvp",Inputs!$B$44=0),1,IF(IF(Inputs!$B$39="pvp",15,Inputs!$B$44)-(B829)&lt;=0,1,MAX(0,IF(Inputs!$B$39="pvp",15,Inputs!$B$44)-MAX(5,B829))/(IF(Inputs!$B$39="pvp",15,Inputs!$B$44)-(B829))))*IF(AND(ArtifactsInput!$M$42,((Inputs!$B$9+((C810=TRUE)*(F810-Calc!F26))+B818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801*(MIN((Inputs!$B$9+((C810=TRUE)*(F810-Calc!F26))+B818+(ArtifactsInput!$M$24-ArtifactsInput!$M$24)*CHOOSE(ArtifactsInput!$N$24+1,10,12,14,16,18,20)+(IF(AND(Inputs!$B$39&lt;&gt;"pvp",Inputs!$B$44=0),1,IF(IF(Inputs!$B$39="pvp",15,Inputs!$B$44)-(B829)&lt;=0,1,MAX(0,IF(Inputs!$B$39="pvp",15,Inputs!$B$44)-MAX(5,B829))/(IF(Inputs!$B$39="pvp",15,Inputs!$B$44)-(B829))))*IF(AND(ArtifactsInput!$M$42,((Inputs!$B$9+((C810=TRUE)*(F810-Calc!F26))+B818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801">
        <f>(1-Summary!$B$11)*T801+Summary!$B$11*V801</f>
        <v/>
      </c>
      <c r="P801">
        <f>IF(B830=0,0,O801/B830)</f>
        <v/>
      </c>
      <c r="Q801" t="n">
        <v>0</v>
      </c>
      <c r="R801" t="n">
        <v>0</v>
      </c>
      <c r="S801">
        <f>IFERROR(O801/N801,0)</f>
        <v/>
      </c>
      <c r="T801">
        <f>IF(C801,(Inputs!$B$38*0.2*N801)*IF(Inputs!$B$39="pvp",1,1+(Inputs!$B$20+0+Skills!P17+B819+(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Hunt"),CHOOSE(ArtifactsInput!$N$35+1,15,18,21,24,27,30)*(1-EXP(-(0.2*B822)*5)),0)+IF(AND(ArtifactsInput!$M$22,Inputs!$B$4&lt;&gt;"Chapter Hunt"),CHOOSE(ArtifactsInput!$N$22+1,10,12,14,16,18,20)*((0*(((0.15*B822*5))^0/1)+1*(((0.15*B822*5))^1/1)+2*(((0.15*B822*5))^2/2)+3*(((0.15*B822*5))^3/6)+4*(((0.15*B822*5))^4/24)+5*(((0.15*B822*5))^5/120))/((((0.15*B822*5))^0/1)+(((0.15*B822*5))^1/1)+(((0.15*B822*5))^2/2)+(((0.15*B822*5))^3/6)+(((0.15*B822*5))^4/24)+(((0.15*B822*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801*(1-MIN(100,(Inputs!$B$9+((C810=TRUE)*(F810-Calc!F26))+B818+(ArtifactsInput!$M$24-ArtifactsInput!$M$24)*CHOOSE(ArtifactsInput!$N$24+1,10,12,14,16,18,20)+(IF(AND(Inputs!$B$39&lt;&gt;"pvp",Inputs!$B$44=0),1,IF(IF(Inputs!$B$39="pvp",15,Inputs!$B$44)-(B829)&lt;=0,1,MAX(0,IF(Inputs!$B$39="pvp",15,Inputs!$B$44)-MAX(5,B829))/(IF(Inputs!$B$39="pvp",15,Inputs!$B$44)-(B829))))*IF(AND(ArtifactsInput!$M$42,((Inputs!$B$9+((C810=TRUE)*(F810-Calc!F26))+B818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801*(MIN(100,(Inputs!$B$9+((C810=TRUE)*(F810-Calc!F26))+B818+(ArtifactsInput!$M$24-ArtifactsInput!$M$24)*CHOOSE(ArtifactsInput!$N$24+1,10,12,14,16,18,20)+(IF(AND(Inputs!$B$39&lt;&gt;"pvp",Inputs!$B$44=0),1,IF(IF(Inputs!$B$39="pvp",15,Inputs!$B$44)-(B829)&lt;=0,1,MAX(0,IF(Inputs!$B$39="pvp",15,Inputs!$B$44)-MAX(5,B829))/(IF(Inputs!$B$39="pvp",15,Inputs!$B$44)-(B829))))*IF(AND(ArtifactsInput!$M$42,((Inputs!$B$9+((C810=TRUE)*(F810-Calc!F26))+B818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801*(1-MIN(100,(Inputs!$B$9+((C810=TRUE)*(F810-Calc!F26))+B818+(ArtifactsInput!$M$24-ArtifactsInput!$M$24)*CHOOSE(ArtifactsInput!$N$24+1,10,12,14,16,18,20)+(IF(AND(Inputs!$B$39&lt;&gt;"pvp",Inputs!$B$44=0),1,IF(IF(Inputs!$B$39="pvp",15,Inputs!$B$44)-(B829)&lt;=0,1,MAX(0,IF(Inputs!$B$39="pvp",15,Inputs!$B$44)-MAX(5,B829))/(IF(Inputs!$B$39="pvp",15,Inputs!$B$44)-(B829))))*IF(AND(ArtifactsInput!$M$42,((Inputs!$B$9+((C810=TRUE)*(F810-Calc!F26))+B818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801*(MIN(100,(Inputs!$B$9+((C810=TRUE)*(F810-Calc!F26))+B818+(ArtifactsInput!$M$24-ArtifactsInput!$M$24)*CHOOSE(ArtifactsInput!$N$24+1,10,12,14,16,18,20)+(IF(AND(Inputs!$B$39&lt;&gt;"pvp",Inputs!$B$44=0),1,IF(IF(Inputs!$B$39="pvp",15,Inputs!$B$44)-(B829)&lt;=0,1,MAX(0,IF(Inputs!$B$39="pvp",15,Inputs!$B$44)-MAX(5,B829))/(IF(Inputs!$B$39="pvp",15,Inputs!$B$44)-(B829))))*IF(AND(ArtifactsInput!$M$42,((Inputs!$B$9+((C810=TRUE)*(F810-Calc!F26))+B818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801">
        <f>IF(C801,(Inputs!$B$38*0.2*N801)*IF(Inputs!$B$39="pvp",1,(1+(Inputs!$B$21+Skills!Q17+B819+(IF(ArtifactsInput!$M$33,CHOOSE(ArtifactsInput!$N$33+1,30,36,42,48,54,60),0))+(IF(AND(ArtifactsInput!$M$35,Inputs!$B$4&lt;&gt;"Chapter Hunt"),CHOOSE(ArtifactsInput!$N$35+1,15,18,21,24,27,30)*(1-EXP(-(0.2*B822)*5)),0)+IF(AND(ArtifactsInput!$M$22,Inputs!$B$4&lt;&gt;"Chapter Hunt"),CHOOSE(ArtifactsInput!$N$22+1,10,12,14,16,18,20)*((0*(((0.15*B822*5))^0/1)+1*(((0.15*B822*5))^1/1)+2*(((0.15*B822*5))^2/2)+3*(((0.15*B822*5))^3/6)+4*(((0.15*B822*5))^4/24)+5*(((0.15*B822*5))^5/120))/((((0.15*B822*5))^0/1)+(((0.15*B822*5))^1/1)+(((0.15*B822*5))^2/2)+(((0.15*B822*5))^3/6)+(((0.15*B822*5))^4/24)+(((0.15*B822*5))^5/120))),0)))/100)*(MIN(Skills!W17,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802">
      <c r="A802">
        <f>Skills!A18</f>
        <v/>
      </c>
      <c r="B802">
        <f>Skills!B18</f>
        <v/>
      </c>
      <c r="C802">
        <f>Inputs!$B$3&gt;=115</f>
        <v/>
      </c>
      <c r="D802">
        <f>IF(Skills!C18=1,60+Inputs!$B$25+Inputs!$B$29,IF(Skills!C18=2,90+Inputs!$B$26+Inputs!$B$29,IF(Skills!C18=3,120+Inputs!$B$27+Inputs!$B$29,MAX(0,(Inputs!$B$3-100)*3)+Inputs!$B$28+Inputs!$B$29)))</f>
        <v/>
      </c>
      <c r="E802">
        <f>INDEX(FactorTable!$B$2:$Y$301, MATCH(ROUND(MIN(300,MAX(1,D802)),0), FactorTable!$A$2:$A$301,0), Skills!M18+1)</f>
        <v/>
      </c>
      <c r="F802">
        <f>IF(Skills!N18=TRUE,(Skills!L18/10)*(E802/1000),Skills!L18/10)+Skills!O18</f>
        <v/>
      </c>
      <c r="G802">
        <f>Skills!G18*IF(Skills!H18&gt;0,IF(Inputs!$B$39="pvp",MIN(Skills!I18,15),Skills!I18)/Skills!H18,1)</f>
        <v/>
      </c>
      <c r="H802">
        <f>1-(1-Skills!J18/100)^Skills!K18</f>
        <v/>
      </c>
      <c r="I802" t="inlineStr">
        <is>
          <t>1</t>
        </is>
      </c>
      <c r="J802" t="inlineStr"/>
      <c r="K802" t="inlineStr"/>
      <c r="L802" t="inlineStr"/>
      <c r="M802" t="inlineStr"/>
      <c r="N802" t="inlineStr"/>
      <c r="O802">
        <f>(1-Summary!$B$11)*T802+Summary!$B$11*V802</f>
        <v/>
      </c>
      <c r="P802">
        <f>IF(B830=0,0,O802/B830)</f>
        <v/>
      </c>
      <c r="Q802" t="n">
        <v>0</v>
      </c>
      <c r="R802" t="n">
        <v>0</v>
      </c>
      <c r="S802">
        <f>IFERROR(O802/N802,0)</f>
        <v/>
      </c>
      <c r="T802" t="n">
        <v>0</v>
      </c>
      <c r="V802" t="n">
        <v>0</v>
      </c>
    </row>
    <row r="803">
      <c r="A803">
        <f>Skills!A19</f>
        <v/>
      </c>
      <c r="B803">
        <f>Skills!B19</f>
        <v/>
      </c>
      <c r="C803">
        <f>Inputs!$B$3&gt;=100</f>
        <v/>
      </c>
      <c r="D803">
        <f>IF(Skills!C19=1,60+Inputs!$B$25+Inputs!$B$29,IF(Skills!C19=2,90+Inputs!$B$26+Inputs!$B$29,IF(Skills!C19=3,120+Inputs!$B$27+Inputs!$B$29,MAX(0,(Inputs!$B$3-100)*3)+Inputs!$B$28+Inputs!$B$29)))</f>
        <v/>
      </c>
      <c r="E803">
        <f>INDEX(FactorTable!$B$2:$Y$301, MATCH(ROUND(MIN(300,MAX(1,D803)),0), FactorTable!$A$2:$A$301,0), Skills!M19+1)</f>
        <v/>
      </c>
      <c r="F803">
        <f>IF(Skills!N19=TRUE,(Skills!L19/10)*(E803/1000),Skills!L19/10)+Skills!O19</f>
        <v/>
      </c>
      <c r="G803">
        <f>Skills!G19*IF(Skills!H19&gt;0,IF(Inputs!$B$39="pvp",MIN(Skills!I19,15),Skills!I19)/Skills!H19,1)</f>
        <v/>
      </c>
      <c r="H803">
        <f>1-(1-Skills!J19/100)^Skills!K19</f>
        <v/>
      </c>
      <c r="I803" t="inlineStr">
        <is>
          <t>1</t>
        </is>
      </c>
      <c r="J803" t="inlineStr"/>
      <c r="K803" t="inlineStr"/>
      <c r="L803" t="inlineStr"/>
      <c r="M803" t="inlineStr"/>
      <c r="N803" t="inlineStr"/>
      <c r="O803">
        <f>(1-Summary!$B$11)*T803+Summary!$B$11*V803</f>
        <v/>
      </c>
      <c r="P803">
        <f>IF(B830=0,0,O803/B830)</f>
        <v/>
      </c>
      <c r="Q803" t="n">
        <v>0</v>
      </c>
      <c r="R803" t="n">
        <v>0</v>
      </c>
      <c r="S803">
        <f>IFERROR(O803/N803,0)</f>
        <v/>
      </c>
      <c r="T803" t="n">
        <v>0</v>
      </c>
      <c r="V803" t="n">
        <v>0</v>
      </c>
    </row>
    <row r="804">
      <c r="A804">
        <f>Skills!A20</f>
        <v/>
      </c>
      <c r="B804">
        <f>Skills!B20</f>
        <v/>
      </c>
      <c r="C804">
        <f>TRUE</f>
        <v/>
      </c>
      <c r="D804">
        <f>IF(Skills!C20=1,60+Inputs!$B$25+Inputs!$B$29,IF(Skills!C20=2,90+Inputs!$B$26+Inputs!$B$29,IF(Skills!C20=3,120+Inputs!$B$27+Inputs!$B$29,MAX(0,(Inputs!$B$3-100)*3)+Inputs!$B$28+Inputs!$B$29)))</f>
        <v/>
      </c>
      <c r="E804">
        <f>INDEX(FactorTable!$B$2:$Y$301, MATCH(ROUND(MIN(300,MAX(1,D804)),0), FactorTable!$A$2:$A$301,0), Skills!M20+1)</f>
        <v/>
      </c>
      <c r="F804">
        <f>IF(Skills!N20=TRUE,(Skills!L20/10)*(E804/1000),Skills!L20/10)+Skills!O20</f>
        <v/>
      </c>
      <c r="G804">
        <f>Skills!G20*IF(Skills!H20&gt;0,IF(Inputs!$B$39="pvp",MIN(Skills!I20,15),Skills!I20)/Skills!H20,1)</f>
        <v/>
      </c>
      <c r="H804">
        <f>1-(1-Skills!J20/100)^Skills!K20</f>
        <v/>
      </c>
      <c r="I804" t="inlineStr">
        <is>
          <t>1</t>
        </is>
      </c>
      <c r="J804" t="inlineStr"/>
      <c r="K804" t="inlineStr"/>
      <c r="L804" t="inlineStr"/>
      <c r="M804" t="inlineStr"/>
      <c r="N804" t="inlineStr"/>
      <c r="O804">
        <f>(1-Summary!$B$11)*T804+Summary!$B$11*V804</f>
        <v/>
      </c>
      <c r="P804">
        <f>IF(B830=0,0,O804/B830)</f>
        <v/>
      </c>
      <c r="Q804">
        <f>IFERROR(1/IF(Inputs!$B$39="pvp",15,MAX(0.1,Skills!D20-IF(TRUE=TRUE,Inputs!$B$32,0))),0)</f>
        <v/>
      </c>
      <c r="R804">
        <f>IF(AND(Inputs!$B$39&lt;&gt;"pvp",Inputs!$B$44&gt;0),IF(Inputs!$B$44&lt;=0,0,(INT(Inputs!$B$44/IF(Inputs!$B$39="pvp",15,MAX(0.1,Skills!D20-IF(TRUE=TRUE,Inputs!$B$32,0))))+1)),0)</f>
        <v/>
      </c>
      <c r="S804">
        <f>IFERROR(O804/N804,0)</f>
        <v/>
      </c>
      <c r="T804" t="n">
        <v>0</v>
      </c>
      <c r="V804" t="n">
        <v>0</v>
      </c>
    </row>
    <row r="805">
      <c r="A805">
        <f>Skills!A21</f>
        <v/>
      </c>
      <c r="B805">
        <f>Skills!B21</f>
        <v/>
      </c>
      <c r="C805">
        <f>Inputs!$B$3&gt;=15</f>
        <v/>
      </c>
      <c r="D805">
        <f>IF(Skills!C21=1,60+Inputs!$B$25+Inputs!$B$29,IF(Skills!C21=2,90+Inputs!$B$26+Inputs!$B$29,IF(Skills!C21=3,120+Inputs!$B$27+Inputs!$B$29,MAX(0,(Inputs!$B$3-100)*3)+Inputs!$B$28+Inputs!$B$29)))</f>
        <v/>
      </c>
      <c r="E805">
        <f>INDEX(FactorTable!$B$2:$Y$301, MATCH(ROUND(MIN(300,MAX(1,D805)),0), FactorTable!$A$2:$A$301,0), Skills!M21+1)</f>
        <v/>
      </c>
      <c r="F805">
        <f>IF(Skills!N21=TRUE,(Skills!L21/10)*(E805/1000),Skills!L21/10)+Skills!O21</f>
        <v/>
      </c>
      <c r="G805">
        <f>Skills!G21*IF(Skills!H21&gt;0,IF(Inputs!$B$39="pvp",MIN(Skills!I21,15),Skills!I21)/Skills!H21,1)</f>
        <v/>
      </c>
      <c r="H805">
        <f>1-(1-Skills!J21/100)^Skills!K21</f>
        <v/>
      </c>
      <c r="I805" t="inlineStr">
        <is>
          <t>1</t>
        </is>
      </c>
      <c r="J805" t="inlineStr"/>
      <c r="K805" t="inlineStr"/>
      <c r="L805" t="inlineStr"/>
      <c r="M805" t="inlineStr"/>
      <c r="N805" t="inlineStr"/>
      <c r="O805">
        <f>(1-Summary!$B$11)*T805+Summary!$B$11*V805</f>
        <v/>
      </c>
      <c r="P805">
        <f>IF(B830=0,0,O805/B830)</f>
        <v/>
      </c>
      <c r="Q805">
        <f>IFERROR(1/IF(Inputs!$B$39="pvp",15,MAX(0.1,Skills!D21-IF(TRUE=TRUE,Inputs!$B$32,0))),0)</f>
        <v/>
      </c>
      <c r="R805">
        <f>IF(AND(Inputs!$B$39&lt;&gt;"pvp",Inputs!$B$44&gt;0),IF(Inputs!$B$44&lt;=0,0,(INT(Inputs!$B$44/IF(Inputs!$B$39="pvp",15,MAX(0.1,Skills!D21-IF(TRUE=TRUE,Inputs!$B$32,0))))+1)),0)</f>
        <v/>
      </c>
      <c r="S805">
        <f>IFERROR(O805/N805,0)</f>
        <v/>
      </c>
      <c r="T805" t="n">
        <v>0</v>
      </c>
      <c r="V805" t="n">
        <v>0</v>
      </c>
    </row>
    <row r="806">
      <c r="A806">
        <f>Skills!A22</f>
        <v/>
      </c>
      <c r="B806">
        <f>Skills!B22</f>
        <v/>
      </c>
      <c r="C806">
        <f>Inputs!$B$3&gt;=15</f>
        <v/>
      </c>
      <c r="D806">
        <f>IF(Skills!C22=1,60+Inputs!$B$25+Inputs!$B$29,IF(Skills!C22=2,90+Inputs!$B$26+Inputs!$B$29,IF(Skills!C22=3,120+Inputs!$B$27+Inputs!$B$29,MAX(0,(Inputs!$B$3-100)*3)+Inputs!$B$28+Inputs!$B$29)))</f>
        <v/>
      </c>
      <c r="E806">
        <f>INDEX(FactorTable!$B$2:$Y$301, MATCH(ROUND(MIN(300,MAX(1,D806)),0), FactorTable!$A$2:$A$301,0), Skills!M22+1)</f>
        <v/>
      </c>
      <c r="F806">
        <f>IF(Skills!N22=TRUE,(Skills!L22/10)*(E806/1000),Skills!L22/10)+Skills!O22</f>
        <v/>
      </c>
      <c r="G806">
        <f>Skills!G22*IF(Skills!H22&gt;0,IF(Inputs!$B$39="pvp",MIN(Skills!I22,15),Skills!I22)/Skills!H22,1)</f>
        <v/>
      </c>
      <c r="H806">
        <f>1-(1-Skills!J22/100)^Skills!K22</f>
        <v/>
      </c>
      <c r="I806" t="inlineStr">
        <is>
          <t>1</t>
        </is>
      </c>
      <c r="J806" t="inlineStr"/>
      <c r="K806" t="inlineStr"/>
      <c r="L806" t="inlineStr"/>
      <c r="M806" t="inlineStr"/>
      <c r="N806" t="inlineStr"/>
      <c r="O806">
        <f>(1-Summary!$B$11)*T806+Summary!$B$11*V806</f>
        <v/>
      </c>
      <c r="P806">
        <f>IF(B830=0,0,O806/B830)</f>
        <v/>
      </c>
      <c r="Q806">
        <f>IFERROR(1/IF(Inputs!$B$39="pvp",15,MAX(0.1,Skills!D22-IF(TRUE=TRUE,Inputs!$B$32,0))),0)</f>
        <v/>
      </c>
      <c r="R806">
        <f>IF(AND(Inputs!$B$39&lt;&gt;"pvp",Inputs!$B$44&gt;0),IF(Inputs!$B$44&lt;=0,0,(INT(Inputs!$B$44/IF(Inputs!$B$39="pvp",15,MAX(0.1,Skills!D22-IF(TRUE=TRUE,Inputs!$B$32,0))))+1)),0)</f>
        <v/>
      </c>
      <c r="S806">
        <f>IFERROR(O806/N806,0)</f>
        <v/>
      </c>
      <c r="T806" t="n">
        <v>0</v>
      </c>
      <c r="V806" t="n">
        <v>0</v>
      </c>
    </row>
    <row r="807">
      <c r="A807">
        <f>Skills!A23</f>
        <v/>
      </c>
      <c r="B807">
        <f>Skills!B23</f>
        <v/>
      </c>
      <c r="C807">
        <f>Inputs!$B$3&gt;=33</f>
        <v/>
      </c>
      <c r="D807">
        <f>IF(Skills!C23=1,60+Inputs!$B$25+Inputs!$B$29,IF(Skills!C23=2,90+Inputs!$B$26+Inputs!$B$29,IF(Skills!C23=3,120+Inputs!$B$27+Inputs!$B$29,MAX(0,(Inputs!$B$3-100)*3)+Inputs!$B$28+Inputs!$B$29)))</f>
        <v/>
      </c>
      <c r="E807">
        <f>INDEX(FactorTable!$B$2:$Y$301, MATCH(ROUND(MIN(300,MAX(1,D807)),0), FactorTable!$A$2:$A$301,0), Skills!M23+1)</f>
        <v/>
      </c>
      <c r="F807">
        <f>IF(Skills!N23=TRUE,(Skills!L23/10)*(E807/1000),Skills!L23/10)+Skills!O23</f>
        <v/>
      </c>
      <c r="G807">
        <f>Skills!G23*IF(Skills!H23&gt;0,IF(Inputs!$B$39="pvp",MIN(Skills!I23,15),Skills!I23)/Skills!H23,1)</f>
        <v/>
      </c>
      <c r="H807">
        <f>1-(1-Skills!J23/100)^Skills!K23</f>
        <v/>
      </c>
      <c r="I807" t="inlineStr">
        <is>
          <t>1</t>
        </is>
      </c>
      <c r="J807" t="inlineStr"/>
      <c r="K807" t="inlineStr"/>
      <c r="L807" t="inlineStr"/>
      <c r="M807" t="inlineStr"/>
      <c r="N807" t="inlineStr"/>
      <c r="O807">
        <f>(1-Summary!$B$11)*T807+Summary!$B$11*V807</f>
        <v/>
      </c>
      <c r="P807">
        <f>IF(B830=0,0,O807/B830)</f>
        <v/>
      </c>
      <c r="Q807" t="n">
        <v>0</v>
      </c>
      <c r="R807" t="n">
        <v>0</v>
      </c>
      <c r="S807">
        <f>IFERROR(O807/N807,0)</f>
        <v/>
      </c>
      <c r="T807" t="n">
        <v>0</v>
      </c>
      <c r="V807" t="n">
        <v>0</v>
      </c>
    </row>
    <row r="808">
      <c r="A808">
        <f>Skills!A24</f>
        <v/>
      </c>
      <c r="B808">
        <f>Skills!B24</f>
        <v/>
      </c>
      <c r="C808">
        <f>Inputs!$B$3&gt;=40</f>
        <v/>
      </c>
      <c r="D808">
        <f>IF(Skills!C24=1,60+Inputs!$B$25+Inputs!$B$29,IF(Skills!C24=2,90+Inputs!$B$26+Inputs!$B$29,IF(Skills!C24=3,120+Inputs!$B$27+Inputs!$B$29,MAX(0,(Inputs!$B$3-100)*3)+Inputs!$B$28+Inputs!$B$29)))</f>
        <v/>
      </c>
      <c r="E808">
        <f>INDEX(FactorTable!$B$2:$Y$301, MATCH(ROUND(MIN(300,MAX(1,D808)),0), FactorTable!$A$2:$A$301,0), Skills!M24+1)</f>
        <v/>
      </c>
      <c r="F808">
        <f>IF(Skills!N24=TRUE,(Skills!L24/10)*(E808/1000),Skills!L24/10)+Skills!O24</f>
        <v/>
      </c>
      <c r="G808">
        <f>Skills!G24*IF(Skills!H24&gt;0,IF(Inputs!$B$39="pvp",MIN(Skills!I24,15),Skills!I24)/Skills!H24,1)</f>
        <v/>
      </c>
      <c r="H808">
        <f>1-(1-Skills!J24/100)^Skills!K24</f>
        <v/>
      </c>
      <c r="I808" t="inlineStr">
        <is>
          <t>1</t>
        </is>
      </c>
      <c r="J808" t="inlineStr"/>
      <c r="K808" t="inlineStr"/>
      <c r="L808" t="inlineStr"/>
      <c r="M808" t="inlineStr"/>
      <c r="N808" t="inlineStr"/>
      <c r="O808">
        <f>(1-Summary!$B$11)*T808+Summary!$B$11*V808</f>
        <v/>
      </c>
      <c r="P808">
        <f>IF(B830=0,0,O808/B830)</f>
        <v/>
      </c>
      <c r="Q808" t="n">
        <v>0</v>
      </c>
      <c r="R808" t="n">
        <v>0</v>
      </c>
      <c r="S808">
        <f>IFERROR(O808/N808,0)</f>
        <v/>
      </c>
      <c r="T808" t="n">
        <v>0</v>
      </c>
      <c r="V808" t="n">
        <v>0</v>
      </c>
    </row>
    <row r="809">
      <c r="A809">
        <f>Skills!A25</f>
        <v/>
      </c>
      <c r="B809">
        <f>Skills!B25</f>
        <v/>
      </c>
      <c r="C809">
        <f>Inputs!$B$3&gt;=43</f>
        <v/>
      </c>
      <c r="D809">
        <f>IF(Skills!C25=1,60+Inputs!$B$25+Inputs!$B$29,IF(Skills!C25=2,90+Inputs!$B$26+Inputs!$B$29,IF(Skills!C25=3,120+Inputs!$B$27+Inputs!$B$29,MAX(0,(Inputs!$B$3-100)*3)+Inputs!$B$28+Inputs!$B$29)))</f>
        <v/>
      </c>
      <c r="E809">
        <f>INDEX(FactorTable!$B$2:$Y$301, MATCH(ROUND(MIN(300,MAX(1,D809)),0), FactorTable!$A$2:$A$301,0), Skills!M25+1)</f>
        <v/>
      </c>
      <c r="F809">
        <f>IF(Skills!N25=TRUE,(Skills!L25/10)*(E809/1000),Skills!L25/10)+Skills!O25</f>
        <v/>
      </c>
      <c r="G809">
        <f>Skills!G25*IF(Skills!H25&gt;0,IF(Inputs!$B$39="pvp",MIN(Skills!I25,15),Skills!I25)/Skills!H25,1)</f>
        <v/>
      </c>
      <c r="H809">
        <f>1-(1-Skills!J25/100)^Skills!K25</f>
        <v/>
      </c>
      <c r="I809" t="inlineStr">
        <is>
          <t>1</t>
        </is>
      </c>
      <c r="J809" t="inlineStr"/>
      <c r="K809" t="inlineStr"/>
      <c r="L809" t="inlineStr"/>
      <c r="M809" t="inlineStr"/>
      <c r="N809" t="inlineStr"/>
      <c r="O809">
        <f>(1-Summary!$B$11)*T809+Summary!$B$11*V809</f>
        <v/>
      </c>
      <c r="P809">
        <f>IF(B830=0,0,O809/B830)</f>
        <v/>
      </c>
      <c r="Q809" t="n">
        <v>0</v>
      </c>
      <c r="R809" t="n">
        <v>0</v>
      </c>
      <c r="S809">
        <f>IFERROR(O809/N809,0)</f>
        <v/>
      </c>
      <c r="T809" t="n">
        <v>0</v>
      </c>
      <c r="V809" t="n">
        <v>0</v>
      </c>
    </row>
    <row r="810">
      <c r="A810">
        <f>Skills!A26</f>
        <v/>
      </c>
      <c r="B810">
        <f>Skills!B26</f>
        <v/>
      </c>
      <c r="C810">
        <f>Inputs!$B$3&gt;=50</f>
        <v/>
      </c>
      <c r="D810">
        <f>IF(Skills!C26=1,60+Inputs!$B$25+Inputs!$B$29,IF(Skills!C26=2,90+Inputs!$B$26+Inputs!$B$29,IF(Skills!C26=3,120+Inputs!$B$27+Inputs!$B$29,MAX(0,(Inputs!$B$3-100)*3)+Inputs!$B$28+Inputs!$B$29)))</f>
        <v/>
      </c>
      <c r="E810">
        <f>INDEX(FactorTable!$B$2:$Y$301, MATCH(ROUND(MIN(300,MAX(1,D810)),0), FactorTable!$A$2:$A$301,0), Skills!M26+1)</f>
        <v/>
      </c>
      <c r="F810">
        <f>IF(Skills!N26=TRUE,(Skills!L26/10)*(E810/1000),Skills!L26/10)+Skills!O26</f>
        <v/>
      </c>
      <c r="G810">
        <f>Skills!G26*IF(Skills!H26&gt;0,IF(Inputs!$B$39="pvp",MIN(Skills!I26,15),Skills!I26)/Skills!H26,1)</f>
        <v/>
      </c>
      <c r="H810">
        <f>1-(1-Skills!J26/100)^Skills!K26</f>
        <v/>
      </c>
      <c r="I810" t="inlineStr">
        <is>
          <t>1</t>
        </is>
      </c>
      <c r="J810" t="inlineStr"/>
      <c r="K810" t="inlineStr"/>
      <c r="L810" t="inlineStr"/>
      <c r="M810" t="inlineStr"/>
      <c r="N810" t="inlineStr"/>
      <c r="O810">
        <f>(1-Summary!$B$11)*T810+Summary!$B$11*V810</f>
        <v/>
      </c>
      <c r="P810">
        <f>IF(B830=0,0,O810/B830)</f>
        <v/>
      </c>
      <c r="Q810" t="n">
        <v>0</v>
      </c>
      <c r="R810" t="n">
        <v>0</v>
      </c>
      <c r="S810">
        <f>IFERROR(O810/N810,0)</f>
        <v/>
      </c>
      <c r="T810" t="n">
        <v>0</v>
      </c>
      <c r="V810" t="n">
        <v>0</v>
      </c>
    </row>
    <row r="811">
      <c r="A811">
        <f>Skills!A27</f>
        <v/>
      </c>
      <c r="B811">
        <f>Skills!B27</f>
        <v/>
      </c>
      <c r="C811">
        <f>Inputs!$B$3&gt;=50</f>
        <v/>
      </c>
      <c r="D811">
        <f>IF(Skills!C27=1,60+Inputs!$B$25+Inputs!$B$29,IF(Skills!C27=2,90+Inputs!$B$26+Inputs!$B$29,IF(Skills!C27=3,120+Inputs!$B$27+Inputs!$B$29,MAX(0,(Inputs!$B$3-100)*3)+Inputs!$B$28+Inputs!$B$29)))</f>
        <v/>
      </c>
      <c r="E811">
        <f>INDEX(FactorTable!$B$2:$Y$301, MATCH(ROUND(MIN(300,MAX(1,D811)),0), FactorTable!$A$2:$A$301,0), Skills!M27+1)</f>
        <v/>
      </c>
      <c r="F811">
        <f>IF(Skills!N27=TRUE,(Skills!L27/10)*(E811/1000),Skills!L27/10)+Skills!O27</f>
        <v/>
      </c>
      <c r="G811">
        <f>Skills!G27*IF(Skills!H27&gt;0,IF(Inputs!$B$39="pvp",MIN(Skills!I27,15),Skills!I27)/Skills!H27,1)</f>
        <v/>
      </c>
      <c r="H811">
        <f>1-(1-Skills!J27/100)^Skills!K27</f>
        <v/>
      </c>
      <c r="I811" t="inlineStr">
        <is>
          <t>1</t>
        </is>
      </c>
      <c r="J811" t="inlineStr"/>
      <c r="K811" t="inlineStr"/>
      <c r="L811" t="inlineStr"/>
      <c r="M811" t="inlineStr"/>
      <c r="N811" t="inlineStr"/>
      <c r="O811">
        <f>(1-Summary!$B$11)*T811+Summary!$B$11*V811</f>
        <v/>
      </c>
      <c r="P811">
        <f>IF(B830=0,0,O811/B830)</f>
        <v/>
      </c>
      <c r="Q811" t="n">
        <v>0</v>
      </c>
      <c r="R811" t="n">
        <v>0</v>
      </c>
      <c r="S811">
        <f>IFERROR(O811/N811,0)</f>
        <v/>
      </c>
      <c r="T811" t="n">
        <v>0</v>
      </c>
      <c r="V811" t="n">
        <v>0</v>
      </c>
    </row>
    <row r="812">
      <c r="A812">
        <f>Skills!A28</f>
        <v/>
      </c>
      <c r="B812">
        <f>Skills!B28</f>
        <v/>
      </c>
      <c r="C812">
        <f>Inputs!$B$3&gt;=38</f>
        <v/>
      </c>
      <c r="D812">
        <f>IF(Skills!C28=1,60+Inputs!$B$25+Inputs!$B$29,IF(Skills!C28=2,90+Inputs!$B$26+Inputs!$B$29,IF(Skills!C28=3,120+Inputs!$B$27+Inputs!$B$29,MAX(0,(Inputs!$B$3-100)*3)+Inputs!$B$28+Inputs!$B$29)))</f>
        <v/>
      </c>
      <c r="E812">
        <f>INDEX(FactorTable!$B$2:$Y$301, MATCH(ROUND(MIN(300,MAX(1,D812)),0), FactorTable!$A$2:$A$301,0), Skills!M28+1)</f>
        <v/>
      </c>
      <c r="F812">
        <f>IF(Skills!N28=TRUE,(Skills!L28/10)*(E812/1000),Skills!L28/10)+Skills!O28</f>
        <v/>
      </c>
      <c r="G812">
        <f>Skills!G28*IF(Skills!H28&gt;0,IF(Inputs!$B$39="pvp",MIN(Skills!I28,15),Skills!I28)/Skills!H28,1)</f>
        <v/>
      </c>
      <c r="H812">
        <f>1-(1-Skills!J28/100)^Skills!K28</f>
        <v/>
      </c>
      <c r="I812" t="inlineStr">
        <is>
          <t>1</t>
        </is>
      </c>
      <c r="J812" t="inlineStr"/>
      <c r="K812" t="inlineStr"/>
      <c r="L812" t="inlineStr"/>
      <c r="M812" t="inlineStr"/>
      <c r="N812" t="inlineStr"/>
      <c r="O812">
        <f>(1-Summary!$B$11)*T812+Summary!$B$11*V812</f>
        <v/>
      </c>
      <c r="P812">
        <f>IF(B830=0,0,O812/B830)</f>
        <v/>
      </c>
      <c r="Q812" t="n">
        <v>0</v>
      </c>
      <c r="R812" t="n">
        <v>0</v>
      </c>
      <c r="S812">
        <f>IFERROR(O812/N812,0)</f>
        <v/>
      </c>
      <c r="T812" t="n">
        <v>0</v>
      </c>
      <c r="V812" t="n">
        <v>0</v>
      </c>
    </row>
    <row r="813">
      <c r="A813">
        <f>Skills!A29</f>
        <v/>
      </c>
      <c r="B813">
        <f>Skills!B29</f>
        <v/>
      </c>
      <c r="C813">
        <f>Inputs!$B$3&gt;=120</f>
        <v/>
      </c>
      <c r="D813">
        <f>IF(Skills!C29=1,60+Inputs!$B$25+Inputs!$B$29,IF(Skills!C29=2,90+Inputs!$B$26+Inputs!$B$29,IF(Skills!C29=3,120+Inputs!$B$27+Inputs!$B$29,MAX(0,(Inputs!$B$3-100)*3)+Inputs!$B$28+Inputs!$B$29)))</f>
        <v/>
      </c>
      <c r="E813">
        <f>INDEX(FactorTable!$B$2:$Y$301, MATCH(ROUND(MIN(300,MAX(1,D813)),0), FactorTable!$A$2:$A$301,0), Skills!M29+1)</f>
        <v/>
      </c>
      <c r="F813">
        <f>IF(Skills!N29=TRUE,(Skills!L29/10)*(E813/1000),Skills!L29/10)+Skills!O29</f>
        <v/>
      </c>
      <c r="G813">
        <f>Skills!G29*IF(Skills!H29&gt;0,IF(Inputs!$B$39="pvp",MIN(Skills!I29,15),Skills!I29)/Skills!H29,1)</f>
        <v/>
      </c>
      <c r="H813">
        <f>1-(1-Skills!J29/100)^Skills!K29</f>
        <v/>
      </c>
      <c r="I813" t="inlineStr">
        <is>
          <t>1</t>
        </is>
      </c>
      <c r="J813" t="inlineStr"/>
      <c r="K813" t="inlineStr"/>
      <c r="L813" t="inlineStr"/>
      <c r="M813" t="inlineStr"/>
      <c r="N813" t="inlineStr"/>
      <c r="O813">
        <f>(1-Summary!$B$11)*T813+Summary!$B$11*V813</f>
        <v/>
      </c>
      <c r="P813">
        <f>IF(B830=0,0,O813/B830)</f>
        <v/>
      </c>
      <c r="Q813" t="n">
        <v>0</v>
      </c>
      <c r="R813" t="n">
        <v>0</v>
      </c>
      <c r="S813">
        <f>IFERROR(O813/N813,0)</f>
        <v/>
      </c>
      <c r="T813" t="n">
        <v>0</v>
      </c>
      <c r="V813" t="n">
        <v>0</v>
      </c>
    </row>
    <row r="814">
      <c r="A814">
        <f>Skills!A30</f>
        <v/>
      </c>
      <c r="B814">
        <f>Skills!B30</f>
        <v/>
      </c>
      <c r="C814">
        <f>Inputs!$B$3&gt;=120</f>
        <v/>
      </c>
      <c r="D814">
        <f>IF(Skills!C30=1,60+Inputs!$B$25+Inputs!$B$29,IF(Skills!C30=2,90+Inputs!$B$26+Inputs!$B$29,IF(Skills!C30=3,120+Inputs!$B$27+Inputs!$B$29,MAX(0,(Inputs!$B$3-100)*3)+Inputs!$B$28+Inputs!$B$29)))</f>
        <v/>
      </c>
      <c r="E814">
        <f>INDEX(FactorTable!$B$2:$Y$301, MATCH(ROUND(MIN(300,MAX(1,D814)),0), FactorTable!$A$2:$A$301,0), Skills!M30+1)</f>
        <v/>
      </c>
      <c r="F814">
        <f>IF(Skills!N30=TRUE,(Skills!L30/10)*(E814/1000),Skills!L30/10)+Skills!O30</f>
        <v/>
      </c>
      <c r="G814">
        <f>Skills!G30*IF(Skills!H30&gt;0,IF(Inputs!$B$39="pvp",MIN(Skills!I30,15),Skills!I30)/Skills!H30,1)</f>
        <v/>
      </c>
      <c r="H814">
        <f>1-(1-Skills!J30/100)^Skills!K30</f>
        <v/>
      </c>
      <c r="I814" t="inlineStr">
        <is>
          <t>1</t>
        </is>
      </c>
      <c r="J814" t="inlineStr"/>
      <c r="K814" t="inlineStr"/>
      <c r="L814" t="inlineStr"/>
      <c r="M814" t="inlineStr"/>
      <c r="N814" t="inlineStr"/>
      <c r="O814">
        <f>(1-Summary!$B$11)*T814+Summary!$B$11*V814</f>
        <v/>
      </c>
      <c r="P814">
        <f>IF(B830=0,0,O814/B830)</f>
        <v/>
      </c>
      <c r="Q814" t="n">
        <v>0</v>
      </c>
      <c r="R814" t="n">
        <v>0</v>
      </c>
      <c r="S814">
        <f>IFERROR(O814/N814,0)</f>
        <v/>
      </c>
      <c r="T814" t="n">
        <v>0</v>
      </c>
      <c r="V814" t="n">
        <v>0</v>
      </c>
    </row>
    <row r="815">
      <c r="A815">
        <f>Skills!A31</f>
        <v/>
      </c>
      <c r="B815">
        <f>Skills!B31</f>
        <v/>
      </c>
      <c r="C815">
        <f>Inputs!$B$3&gt;=125</f>
        <v/>
      </c>
      <c r="D815">
        <f>IF(Skills!C31=1,60+Inputs!$B$25+Inputs!$B$29,IF(Skills!C31=2,90+Inputs!$B$26+Inputs!$B$29,IF(Skills!C31=3,120+Inputs!$B$27+Inputs!$B$29,MAX(0,(Inputs!$B$3-100)*3)+Inputs!$B$28+Inputs!$B$29)))</f>
        <v/>
      </c>
      <c r="E815">
        <f>INDEX(FactorTable!$B$2:$Y$301, MATCH(ROUND(MIN(300,MAX(1,D815)),0), FactorTable!$A$2:$A$301,0), Skills!M31+1)</f>
        <v/>
      </c>
      <c r="F815">
        <f>IF(Skills!N31=TRUE,(Skills!L31/10)*(E815/1000),Skills!L31/10)+Skills!O31</f>
        <v/>
      </c>
      <c r="G815">
        <f>Skills!G31*IF(Skills!H31&gt;0,IF(Inputs!$B$39="pvp",MIN(Skills!I31,15),Skills!I31)/Skills!H31,1)</f>
        <v/>
      </c>
      <c r="H815">
        <f>1-(1-Skills!J31/100)^Skills!K31</f>
        <v/>
      </c>
      <c r="I815" t="inlineStr">
        <is>
          <t>1</t>
        </is>
      </c>
      <c r="J815" t="inlineStr"/>
      <c r="K815" t="inlineStr"/>
      <c r="L815" t="inlineStr"/>
      <c r="M815" t="inlineStr"/>
      <c r="N815" t="inlineStr"/>
      <c r="O815">
        <f>(1-Summary!$B$11)*T815+Summary!$B$11*V815</f>
        <v/>
      </c>
      <c r="P815">
        <f>IF(B830=0,0,O815/B830)</f>
        <v/>
      </c>
      <c r="Q815" t="n">
        <v>0</v>
      </c>
      <c r="R815" t="n">
        <v>0</v>
      </c>
      <c r="S815">
        <f>IFERROR(O815/N815,0)</f>
        <v/>
      </c>
      <c r="T815" t="n">
        <v>0</v>
      </c>
      <c r="V815" t="n">
        <v>0</v>
      </c>
    </row>
    <row r="817">
      <c r="A817" t="inlineStr">
        <is>
          <t>Average Buff Multiplier</t>
        </is>
      </c>
      <c r="B817">
        <f>(1+(((C806=TRUE)*F806*IF(AND(Inputs!$B$39&lt;&gt;"pvp",Inputs!$B$44&gt;0),(((R806-1)*MIN((Skills!Y22*(1+Inputs!$B$34/100)),(1/Q806))+MIN((Skills!Y22*(1+Inputs!$B$34/100)),MAX(0,Inputs!$B$44-((R806-1)*(1/Q806)))))/Inputs!$B$44),IF(Inputs!$B$39="pvp",MIN((Skills!Y22*(1+Inputs!$B$34/100)),15)/15,MIN(1,(Skills!Y22*(1+Inputs!$B$34/100))/(1/Q806)))))+((C787=TRUE)*F787*3)+((C789=TRUE)*F789*(1-EXP(-0.75*B822*5)))+((C808=TRUE)*(F808-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795=TRUE)*F795*IF(AND(Inputs!$B$39&lt;&gt;"pvp",Inputs!$B$44&gt;0),(((R795-1)*MIN((Skills!Y11*(1+Inputs!$B$34/100)),(1/Q795))+MIN((Skills!Y11*(1+Inputs!$B$34/100)),MAX(0,Inputs!$B$44-((R795-1)*(1/Q795)))))/Inputs!$B$44),IF(Inputs!$B$39="pvp",MIN((Skills!Y11*(1+Inputs!$B$34/100)),15)/15,MIN(1,(Skills!Y11*(1+Inputs!$B$34/100))/(1/Q795)))))/100)*(1+((C800=TRUE)*F800*IF(AND(Inputs!$B$39&lt;&gt;"pvp",Inputs!$B$44&gt;0),(((R800-1)*MIN((Skills!Y16*(1+Inputs!$B$34/100)),(1/Q800))+MIN((Skills!Y16*(1+Inputs!$B$34/100)),MAX(0,Inputs!$B$44-((R800-1)*(1/Q800)))))/Inputs!$B$44),IF(Inputs!$B$39="pvp",MIN((Skills!Y16*(1+Inputs!$B$34/100)),15)/15,MIN(1,(Skills!Y16*(1+Inputs!$B$34/100))/(1/Q800)))))/100)</f>
        <v/>
      </c>
    </row>
    <row r="818">
      <c r="A818" t="inlineStr">
        <is>
          <t>Global Crit Rate Bonus %</t>
        </is>
      </c>
      <c r="B818">
        <f>((C805=TRUE)*F805*IF(AND(Inputs!$B$39&lt;&gt;"pvp",Inputs!$B$44&gt;0),(((R805-1)*MIN((Skills!Y21*(1+Inputs!$B$34/100)),(1/Q805))+MIN((Skills!Y21*(1+Inputs!$B$34/100)),MAX(0,Inputs!$B$44-((R805-1)*(1/Q805)))))/Inputs!$B$44),IF(Inputs!$B$39="pvp",MIN((Skills!Y21*(1+Inputs!$B$34/100)),15)/15,MIN(1,(Skills!Y21*(1+Inputs!$B$34/100))/(1/Q805)))))</f>
        <v/>
      </c>
    </row>
    <row r="819">
      <c r="A819" t="inlineStr">
        <is>
          <t>Global Monster Damage-Taken Bonus %</t>
        </is>
      </c>
      <c r="B819">
        <f>IF(Inputs!$B$3&gt;=82,15,0)</f>
        <v/>
      </c>
    </row>
    <row r="820">
      <c r="A820" t="inlineStr">
        <is>
          <t>Shadow Partner Average Multiplier</t>
        </is>
      </c>
      <c r="B820">
        <f>1+((C792=TRUE)*F792*(1+3.3333333333333335*IF(C803=TRUE,F803,0)/100)*I792*Skills!J8/100)/100</f>
        <v/>
      </c>
    </row>
    <row r="821">
      <c r="A821" t="inlineStr">
        <is>
          <t>Attack Speed Buff Bonus %</t>
        </is>
      </c>
      <c r="B821">
        <f>((C804=TRUE)*F804*IF(AND(Inputs!$B$39&lt;&gt;"pvp",Inputs!$B$44&gt;0),(((R804-1)*MIN((Skills!Y20*(1+Inputs!$B$34/100)),(1/Q804))+MIN((Skills!Y20*(1+Inputs!$B$34/100)),MAX(0,Inputs!$B$44-((R804-1)*(1/Q804)))))/Inputs!$B$44),IF(Inputs!$B$39="pvp",MIN((Skills!Y20*(1+Inputs!$B$34/100)),15)/15,MIN(1,(Skills!Y20*(1+Inputs!$B$34/100))/(1/Q804)))))</f>
        <v/>
      </c>
    </row>
    <row r="822">
      <c r="A822" t="inlineStr">
        <is>
          <t>Actions Per Second</t>
        </is>
      </c>
      <c r="B822">
        <f>1+MIN(150,150*(1-(1-(Inputs!$B$11+((C807=TRUE)*(F807-Calc!F23)))/150)*(1-B821/150)))/100</f>
        <v/>
      </c>
    </row>
    <row r="823">
      <c r="A823" t="inlineStr">
        <is>
          <t>Skill + Buff Cast Rate</t>
        </is>
      </c>
      <c r="B823">
        <f>IF(AND(Inputs!$B$39&lt;&gt;"pvp",Inputs!$B$44&gt;0),SUMPRODUCT((Skills!E2:E31=TRUE)*(C786:C815=TRUE)*R786:R815*Skills!F2:F31)/Inputs!$B$44,SUMPRODUCT((Skills!E2:E31=TRUE)*(C786:C815=TRUE)*Q786:Q815*Skills!F2:F31))</f>
        <v/>
      </c>
    </row>
    <row r="824">
      <c r="A824" t="inlineStr">
        <is>
          <t>Cruel Stab Casts Per Second</t>
        </is>
      </c>
      <c r="B824">
        <f>MAX(0,B822-B823)</f>
        <v/>
      </c>
    </row>
    <row r="825">
      <c r="A825" t="inlineStr">
        <is>
          <t>Global Critical Damage Bonus % (Smokescreen Mastery Lv.113)</t>
        </is>
      </c>
      <c r="B825">
        <f>IF(Inputs!$B$3&gt;=113,30,0)*IF(AND(Inputs!$B$39&lt;&gt;"pvp",Inputs!$B$44&gt;0),(((R800-1)*MIN((Skills!Y16*(1+Inputs!$B$34/100)),(1/Q800))+MIN((Skills!Y16*(1+Inputs!$B$34/100)),MAX(0,Inputs!$B$44-((R800-1)*(1/Q800)))))/Inputs!$B$44),IF(Inputs!$B$39="pvp",MIN((Skills!Y16*(1+Inputs!$B$34/100)),15)/15,MIN(1,(Skills!Y16*(1+Inputs!$B$34/100))/(1/Q800))))</f>
        <v/>
      </c>
    </row>
    <row r="826">
      <c r="A826" t="inlineStr">
        <is>
          <t>Meso Explosion average stack count</t>
        </is>
      </c>
      <c r="B826">
        <f>MIN(10,IF(Inputs!$B$3&gt;=75,0.75,0.5)*B822*(1/Q788))</f>
        <v/>
      </c>
    </row>
    <row r="827">
      <c r="A827" t="inlineStr">
        <is>
          <t>Blood Money average stack count</t>
        </is>
      </c>
      <c r="B827">
        <f>MIN(5,0.5*IF(Inputs!$B$3&gt;=75,0.75,0.5)*B822*(1/Q788))</f>
        <v/>
      </c>
    </row>
    <row r="828">
      <c r="A828" t="inlineStr">
        <is>
          <t>Assassinate Murderous Intent Multiplier</t>
        </is>
      </c>
      <c r="B828">
        <f>1+IFERROR(MIN(1,Q799*2/Q796),0)</f>
        <v/>
      </c>
    </row>
    <row r="829">
      <c r="A829" t="inlineStr">
        <is>
          <t>Buff-Casting Startup Delay (s, fixed-duration only)</t>
        </is>
      </c>
      <c r="B829">
        <f>IF(AND(Inputs!$B$39&lt;&gt;"pvp",Inputs!$B$44&gt;0),SUMPRODUCT((Skills!Y2:Y31&gt;0)*(Skills!E2:E31=TRUE)*(C786:C815=TRUE))/B822,0)</f>
        <v/>
      </c>
    </row>
    <row r="830">
      <c r="A830" s="6" t="inlineStr">
        <is>
          <t>TOTAL DPS</t>
        </is>
      </c>
      <c r="B830" s="6">
        <f>SUM(O786:O815)</f>
        <v/>
      </c>
    </row>
    <row r="831">
      <c r="A831" t="inlineStr">
        <is>
          <t>Boss-Only Total DPS (this block's swept value)</t>
        </is>
      </c>
      <c r="B831">
        <f>SUM(T786:T815)</f>
        <v/>
      </c>
    </row>
    <row r="832">
      <c r="A832" t="inlineStr">
        <is>
          <t>Normal-Only Total DPS (this block's swept value)</t>
        </is>
      </c>
      <c r="B832">
        <f>SUM(V786:V815)</f>
        <v/>
      </c>
    </row>
    <row r="835">
      <c r="A835" s="6" t="inlineStr">
        <is>
          <t>Stat: SKILL_DAMAGE %</t>
        </is>
      </c>
    </row>
    <row r="836">
      <c r="A836" s="5" t="inlineStr">
        <is>
          <t>Key</t>
        </is>
      </c>
      <c r="B836" s="5" t="inlineStr">
        <is>
          <t>Name</t>
        </is>
      </c>
      <c r="C836" s="5" t="inlineStr">
        <is>
          <t>Unlocked</t>
        </is>
      </c>
      <c r="D836" s="5" t="inlineStr">
        <is>
          <t>InputLevel</t>
        </is>
      </c>
      <c r="E836" s="5" t="inlineStr">
        <is>
          <t>Factor</t>
        </is>
      </c>
      <c r="F836" s="5" t="inlineStr">
        <is>
          <t>CoefficientPercent</t>
        </is>
      </c>
      <c r="G836" s="5" t="inlineStr">
        <is>
          <t>EffectiveHits</t>
        </is>
      </c>
      <c r="H836" s="5" t="inlineStr">
        <is>
          <t>ProcProbability</t>
        </is>
      </c>
      <c r="I836" s="5" t="inlineStr">
        <is>
          <t>MapleHeroMultiplier</t>
        </is>
      </c>
      <c r="J836" s="5" t="inlineStr">
        <is>
          <t>BaseDamage</t>
        </is>
      </c>
      <c r="K836" s="5" t="inlineStr">
        <is>
          <t>BaseHitDamage</t>
        </is>
      </c>
      <c r="L836" s="5" t="inlineStr">
        <is>
          <t>NonCritAvg</t>
        </is>
      </c>
      <c r="M836" s="5" t="inlineStr">
        <is>
          <t>CritAvg</t>
        </is>
      </c>
      <c r="N836" s="5" t="inlineStr">
        <is>
          <t>ExpectedDamage(perHit)</t>
        </is>
      </c>
      <c r="O836" s="5" t="inlineStr">
        <is>
          <t>DPS</t>
        </is>
      </c>
      <c r="P836" s="5" t="inlineStr">
        <is>
          <t>% of Total</t>
        </is>
      </c>
      <c r="Q836" s="5" t="inlineStr">
        <is>
          <t>InvCooldown</t>
        </is>
      </c>
      <c r="R836" s="5" t="inlineStr">
        <is>
          <t>CastsInFight</t>
        </is>
      </c>
      <c r="S836" s="5" t="inlineStr">
        <is>
          <t>HitRate(perSec)</t>
        </is>
      </c>
      <c r="U836" t="inlineStr">
        <is>
          <t>helpers</t>
        </is>
      </c>
    </row>
    <row r="837">
      <c r="A837">
        <f>Skills!A2</f>
        <v/>
      </c>
      <c r="B837">
        <f>Skills!B2</f>
        <v/>
      </c>
      <c r="C837">
        <f>Inputs!$B$3&gt;=100</f>
        <v/>
      </c>
      <c r="D837" t="inlineStr"/>
      <c r="E837" t="inlineStr"/>
      <c r="F837">
        <f>U839+Skills!O2</f>
        <v/>
      </c>
      <c r="G837">
        <f>Skills!G2*IF(Skills!H2&gt;0,IF(Inputs!$B$39="pvp",MIN(Skills!I2,15),Skills!I2)/Skills!H2,1)</f>
        <v/>
      </c>
      <c r="H837">
        <f>1-(1-Skills!J2/100)^Skills!K2</f>
        <v/>
      </c>
      <c r="I837" t="inlineStr">
        <is>
          <t>1</t>
        </is>
      </c>
      <c r="J837">
        <f>((Inputs!$B$6*(1+Inputs!$B$7/100))+(((Inputs!$B$12*(1+Inputs!$B$13/100))-(Inputs!$B$12*(1+Inputs!$B$13/100)))+0.25*(Inputs!$B$14-Inputs!$B$14))*(1+Inputs!$B$7/100))*(F837/100)</f>
        <v/>
      </c>
      <c r="K837">
        <f>J837*(1+((Inputs!$B$12*(1+Inputs!$B$13/100))*0.01+Inputs!$B$14*0.0025)/100)*(1+Inputs!$B$15/100)*(1+Inputs!$B$16/100)*(5000/(6000+Inputs!$B$43*(1-(100*(1-(1-Inputs!$B$19/100)*(1-CHOOSE(ArtifactsInput!$N$40+1,5,6,7,8,9,10)/100)^(ArtifactsInput!$M$40-ArtifactsInput!$M$40)))/100)))*(1+(Inputs!$B$24+((C866=TRUE)*(F866-Calc!F31))+((C853=TRUE)*(F853-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CRUEL_STAB",Inputs!$B$17+((C863=TRUE)*(F863-Calc!F28))+((IF(AND(Inputs!$B$39&lt;&gt;"pvp",Inputs!$B$44=0),1,IF(IF(Inputs!$B$39="pvp",15,Inputs!$B$44)-(B880)&lt;=0,1,MAX(0,IF(Inputs!$B$39="pvp",15,Inputs!$B$44)-MAX(5,B880))/(IF(Inputs!$B$39="pvp",15,Inputs!$B$44)-(B880))))*(IF(AND(ArtifactsInput!$M$42,((Inputs!$B$9+((C861=TRUE)*(F861-Calc!F26))+B869+(ArtifactsInput!$M$24-ArtifactsInput!$M$24)*CHOOSE(ArtifactsInput!$N$24+1,10,12,14,16,18,20)+IF(ArtifactsInput!$M$10,CHOOSE(ArtifactsInput!$N$10+1,15,18,21,24,27,30)*(IF(Inputs!$B$39="pvp",MIN(15,15)/15,IF(AND(Inputs!$B$39&lt;&gt;"pvp",Inputs!$B$44&gt;0),MIN(15,Inputs!$B$44)/(Inputs!$B$44),0))),0)))&gt;=100),MIN(100,((Inputs!$B$9+((C861=TRUE)*(F861-Calc!F26))+B869+(ArtifactsInput!$M$24-ArtifactsInput!$M$24)*CHOOSE(ArtifactsInput!$N$24+1,10,12,14,16,18,20)+IF(ArtifactsInput!$M$10,CHOOSE(ArtifactsInput!$N$10+1,15,18,21,24,27,30)*(IF(Inputs!$B$39="pvp",MIN(15,15)/15,IF(AND(Inputs!$B$39&lt;&gt;"pvp",Inputs!$B$44&gt;0),MIN(15,Inputs!$B$44)/(Inputs!$B$44),0))),0)))-100),0))*CHOOSE(ArtifactsInput!$N$42+1,0.6,0.72,0.84,0.96,1.08,1.2))),(Inputs!$B$18+1)+((C864=TRUE)*(F864-Calc!F29))+(IF(AND(Inputs!$B$39&lt;&gt;"pvp",Inputs!$B$44=0),1,IF(IF(Inputs!$B$39="pvp",15,Inputs!$B$44)-(B880)&lt;=0,1,MAX(0,IF(Inputs!$B$39="pvp",15,Inputs!$B$44)-MAX(5,B880))/(IF(Inputs!$B$39="pvp",15,Inputs!$B$44)-(B880))))*IF(AND(ArtifactsInput!$M$42,((Inputs!$B$9+((C861=TRUE)*(F861-Calc!F26))+B869+(ArtifactsInput!$M$24-ArtifactsInput!$M$24)*CHOOSE(ArtifactsInput!$N$24+1,10,12,14,16,18,20)+IF(ArtifactsInput!$M$10,CHOOSE(ArtifactsInput!$N$10+1,15,18,21,24,27,30)*(IF(Inputs!$B$39="pvp",MIN(15,15)/15,IF(AND(Inputs!$B$39&lt;&gt;"pvp",Inputs!$B$44&gt;0),MIN(15,Inputs!$B$44)/(Inputs!$B$44),0))),0)))&gt;=100),CHOOSE(ArtifactsInput!$N$42+1,40,48,56,64,72,80),0))))/100)*(((1+(((C857=TRUE)*F857*IF(AND(Inputs!$B$39&lt;&gt;"pvp",Inputs!$B$44&gt;0),(((R857-1)*MIN((Skills!Y22*(1+Inputs!$B$34/100)),(1/Q857))+MIN((Skills!Y22*(1+Inputs!$B$34/100)),MAX(0,Inputs!$B$44-((R857-1)*(1/Q857)))))/Inputs!$B$44),IF(Inputs!$B$39="pvp",MIN((Skills!Y22*(1+Inputs!$B$34/100)),15)/15,MIN(1,(Skills!Y22*(1+Inputs!$B$34/100))/(1/Q857)))))+((C838=TRUE)*F838*3)+((C840=TRUE)*F840*(1-EXP(-0.75*B873*5)))+((C859=TRUE)*(F859-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846=TRUE)*F846*IF(AND(Inputs!$B$39&lt;&gt;"pvp",Inputs!$B$44&gt;0),(((R846-1)*MIN((Skills!Y11*(1+Inputs!$B$34/100)),(1/Q846))+MIN((Skills!Y11*(1+Inputs!$B$34/100)),MAX(0,Inputs!$B$44-((R846-1)*(1/Q846)))))/Inputs!$B$44),IF(Inputs!$B$39="pvp",MIN((Skills!Y11*(1+Inputs!$B$34/100)),15)/15,MIN(1,(Skills!Y11*(1+Inputs!$B$34/100))/(1/Q846)))))/100)*(1+((C851=TRUE)*F851*IF(AND(Inputs!$B$39&lt;&gt;"pvp",Inputs!$B$44&gt;0),(((R851-1)*MIN((Skills!Y16*(1+Inputs!$B$34/100)),(1/Q851))+MIN((Skills!Y16*(1+Inputs!$B$34/100)),MAX(0,Inputs!$B$44-((R851-1)*(1/Q851)))))/Inputs!$B$44),IF(Inputs!$B$39="pvp",MIN((Skills!Y16*(1+Inputs!$B$34/100)),15)/15,MIN(1,(Skills!Y16*(1+Inputs!$B$34/100))/(1/Q851)))))/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871*I837)</f>
        <v/>
      </c>
      <c r="L837">
        <f>K837*(MIN(Inputs!$B$22+((C860=TRUE)*(F860-Calc!F25)),(Inputs!$B$23+((C865=TRUE)*(F865-Calc!F30))+IF(ArtifactsInput!$M$15,CHOOSE(ArtifactsInput!$N$15+1,25,30,35,40,45,50)/100*(Inputs!$B$11-Inputs!$B$11),0)))/100+(Inputs!$B$23+((C865=TRUE)*(F865-Calc!F30))+IF(ArtifactsInput!$M$15,CHOOSE(ArtifactsInput!$N$15+1,25,30,35,40,45,50)/100*(Inputs!$B$11-Inputs!$B$11),0))/100)/2</f>
        <v/>
      </c>
      <c r="M837">
        <f>L837*(1+(Inputs!$B$10+((C862=TRUE)*(F862-Calc!F27))+B876+(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837">
        <f>L837*(1-MIN((Inputs!$B$9+((C861=TRUE)*(F861-Calc!F26))+B869+(ArtifactsInput!$M$24-ArtifactsInput!$M$24)*CHOOSE(ArtifactsInput!$N$24+1,10,12,14,16,18,20)+(IF(AND(Inputs!$B$39&lt;&gt;"pvp",Inputs!$B$44=0),1,IF(IF(Inputs!$B$39="pvp",15,Inputs!$B$44)-(B880)&lt;=0,1,MAX(0,IF(Inputs!$B$39="pvp",15,Inputs!$B$44)-MAX(5,B880))/(IF(Inputs!$B$39="pvp",15,Inputs!$B$44)-(B880))))*IF(AND(ArtifactsInput!$M$42,((Inputs!$B$9+((C861=TRUE)*(F861-Calc!F26))+B869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837*(MIN((Inputs!$B$9+((C861=TRUE)*(F861-Calc!F26))+B869+(ArtifactsInput!$M$24-ArtifactsInput!$M$24)*CHOOSE(ArtifactsInput!$N$24+1,10,12,14,16,18,20)+(IF(AND(Inputs!$B$39&lt;&gt;"pvp",Inputs!$B$44=0),1,IF(IF(Inputs!$B$39="pvp",15,Inputs!$B$44)-(B880)&lt;=0,1,MAX(0,IF(Inputs!$B$39="pvp",15,Inputs!$B$44)-MAX(5,B880))/(IF(Inputs!$B$39="pvp",15,Inputs!$B$44)-(B880))))*IF(AND(ArtifactsInput!$M$42,((Inputs!$B$9+((C861=TRUE)*(F861-Calc!F26))+B869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837">
        <f>(1-Summary!$B$11)*T837+Summary!$B$11*V837</f>
        <v/>
      </c>
      <c r="P837">
        <f>IF(B881=0,0,O837/B881)</f>
        <v/>
      </c>
      <c r="Q837" t="n">
        <v>0</v>
      </c>
      <c r="R837" t="n">
        <v>0</v>
      </c>
      <c r="S837">
        <f>IFERROR(O837/N837,0)</f>
        <v/>
      </c>
      <c r="T837">
        <f>IF(C837,(Skills!G2*N837*B875)*IF(Inputs!$B$39="pvp",1,1+(Inputs!$B$20+0+Skills!P2+B870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Hunt"),CHOOSE(ArtifactsInput!$N$35+1,15,18,21,24,27,30)*(1-EXP(-(0.2*B873)*5)),0)+IF(AND(ArtifactsInput!$M$22,Inputs!$B$4&lt;&gt;"Chapter Hunt"),CHOOSE(ArtifactsInput!$N$22+1,10,12,14,16,18,20)*((0*(((0.15*B873*5))^0/1)+1*(((0.15*B873*5))^1/1)+2*(((0.15*B873*5))^2/2)+3*(((0.15*B873*5))^3/6)+4*(((0.15*B873*5))^4/24)+5*(((0.15*B873*5))^5/120))/((((0.15*B873*5))^0/1)+(((0.15*B873*5))^1/1)+(((0.15*B873*5))^2/2)+(((0.15*B873*5))^3/6)+(((0.15*B873*5))^4/24)+(((0.15*B873*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837*(1-MIN(100,(Inputs!$B$9+((C861=TRUE)*(F861-Calc!F26))+B869+(ArtifactsInput!$M$24-ArtifactsInput!$M$24)*CHOOSE(ArtifactsInput!$N$24+1,10,12,14,16,18,20)+(IF(AND(Inputs!$B$39&lt;&gt;"pvp",Inputs!$B$44=0),1,IF(IF(Inputs!$B$39="pvp",15,Inputs!$B$44)-(B880)&lt;=0,1,MAX(0,IF(Inputs!$B$39="pvp",15,Inputs!$B$44)-MAX(5,B880))/(IF(Inputs!$B$39="pvp",15,Inputs!$B$44)-(B880))))*IF(AND(ArtifactsInput!$M$42,((Inputs!$B$9+((C861=TRUE)*(F861-Calc!F26))+B869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837*(MIN(100,(Inputs!$B$9+((C861=TRUE)*(F861-Calc!F26))+B869+(ArtifactsInput!$M$24-ArtifactsInput!$M$24)*CHOOSE(ArtifactsInput!$N$24+1,10,12,14,16,18,20)+(IF(AND(Inputs!$B$39&lt;&gt;"pvp",Inputs!$B$44=0),1,IF(IF(Inputs!$B$39="pvp",15,Inputs!$B$44)-(B880)&lt;=0,1,MAX(0,IF(Inputs!$B$39="pvp",15,Inputs!$B$44)-MAX(5,B880))/(IF(Inputs!$B$39="pvp",15,Inputs!$B$44)-(B880))))*IF(AND(ArtifactsInput!$M$42,((Inputs!$B$9+((C861=TRUE)*(F861-Calc!F26))+B869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837*(1-MIN(100,(Inputs!$B$9+((C861=TRUE)*(F861-Calc!F26))+B869+(ArtifactsInput!$M$24-ArtifactsInput!$M$24)*CHOOSE(ArtifactsInput!$N$24+1,10,12,14,16,18,20)+(IF(AND(Inputs!$B$39&lt;&gt;"pvp",Inputs!$B$44=0),1,IF(IF(Inputs!$B$39="pvp",15,Inputs!$B$44)-(B880)&lt;=0,1,MAX(0,IF(Inputs!$B$39="pvp",15,Inputs!$B$44)-MAX(5,B880))/(IF(Inputs!$B$39="pvp",15,Inputs!$B$44)-(B880))))*IF(AND(ArtifactsInput!$M$42,((Inputs!$B$9+((C861=TRUE)*(F861-Calc!F26))+B869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837*(MIN(100,(Inputs!$B$9+((C861=TRUE)*(F861-Calc!F26))+B869+(ArtifactsInput!$M$24-ArtifactsInput!$M$24)*CHOOSE(ArtifactsInput!$N$24+1,10,12,14,16,18,20)+(IF(AND(Inputs!$B$39&lt;&gt;"pvp",Inputs!$B$44=0),1,IF(IF(Inputs!$B$39="pvp",15,Inputs!$B$44)-(B880)&lt;=0,1,MAX(0,IF(Inputs!$B$39="pvp",15,Inputs!$B$44)-MAX(5,B880))/(IF(Inputs!$B$39="pvp",15,Inputs!$B$44)-(B880))))*IF(AND(ArtifactsInput!$M$42,((Inputs!$B$9+((C861=TRUE)*(F861-Calc!F26))+B869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837">
        <f>MAX(0,(Inputs!$B$3-100)*3)+Inputs!$B$28+Inputs!$B$29</f>
        <v/>
      </c>
      <c r="V837">
        <f>IF(C837,(Skills!G2*N837*B875)*IF(Inputs!$B$39="pvp",1,(1+(Inputs!$B$21+Skills!Q2+B870+(IF(ArtifactsInput!$M$33,CHOOSE(ArtifactsInput!$N$33+1,30,36,42,48,54,60),0))+(IF(AND(ArtifactsInput!$M$35,Inputs!$B$4&lt;&gt;"Chapter Hunt"),CHOOSE(ArtifactsInput!$N$35+1,15,18,21,24,27,30)*(1-EXP(-(0.2*B873)*5)),0)+IF(AND(ArtifactsInput!$M$22,Inputs!$B$4&lt;&gt;"Chapter Hunt"),CHOOSE(ArtifactsInput!$N$22+1,10,12,14,16,18,20)*((0*(((0.15*B873*5))^0/1)+1*(((0.15*B873*5))^1/1)+2*(((0.15*B873*5))^2/2)+3*(((0.15*B873*5))^3/6)+4*(((0.15*B873*5))^4/24)+5*(((0.15*B873*5))^5/120))/((((0.15*B873*5))^0/1)+(((0.15*B873*5))^1/1)+(((0.15*B873*5))^2/2)+(((0.15*B873*5))^3/6)+(((0.15*B873*5))^4/24)+(((0.15*B873*5))^5/120))),0)))/100)*(MIN((6+Inputs!$B$33),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838">
      <c r="A838">
        <f>Skills!A3</f>
        <v/>
      </c>
      <c r="B838">
        <f>Skills!B3</f>
        <v/>
      </c>
      <c r="C838">
        <f>Inputs!$B$3&gt;=35</f>
        <v/>
      </c>
      <c r="D838">
        <f>IF(Skills!C3=1,60+Inputs!$B$25+Inputs!$B$29,IF(Skills!C3=2,90+Inputs!$B$26+Inputs!$B$29,IF(Skills!C3=3,120+Inputs!$B$27+Inputs!$B$29,MAX(0,(Inputs!$B$3-100)*3)+Inputs!$B$28+Inputs!$B$29)))</f>
        <v/>
      </c>
      <c r="E838">
        <f>INDEX(FactorTable!$B$2:$Y$301, MATCH(ROUND(MIN(300,MAX(1,D838)),0), FactorTable!$A$2:$A$301,0), Skills!M3+1)</f>
        <v/>
      </c>
      <c r="F838">
        <f>IF(Skills!N3=TRUE,(Skills!L3/10)*(E838/1000),Skills!L3/10)+Skills!O3</f>
        <v/>
      </c>
      <c r="G838">
        <f>Skills!G3*IF(Skills!H3&gt;0,IF(Inputs!$B$39="pvp",MIN(Skills!I3,15),Skills!I3)/Skills!H3,1)</f>
        <v/>
      </c>
      <c r="H838">
        <f>1-(1-Skills!J3/100)^Skills!K3</f>
        <v/>
      </c>
      <c r="I838" t="inlineStr">
        <is>
          <t>1</t>
        </is>
      </c>
      <c r="J838" t="inlineStr"/>
      <c r="K838" t="inlineStr"/>
      <c r="L838" t="inlineStr"/>
      <c r="M838" t="inlineStr"/>
      <c r="N838" t="inlineStr"/>
      <c r="O838">
        <f>(1-Summary!$B$11)*T838+Summary!$B$11*V838</f>
        <v/>
      </c>
      <c r="P838">
        <f>IF(B881=0,0,O838/B881)</f>
        <v/>
      </c>
      <c r="Q838" t="n">
        <v>0</v>
      </c>
      <c r="R838" t="n">
        <v>0</v>
      </c>
      <c r="S838">
        <f>IFERROR(O838/N838,0)</f>
        <v/>
      </c>
      <c r="T838" t="n">
        <v>0</v>
      </c>
      <c r="U838">
        <f>INDEX(FactorTable!$B$2:$Y$301, MATCH(ROUND(MIN(300,MAX(1,U837)),0), FactorTable!$A$2:$A$301,0), 22)</f>
        <v/>
      </c>
      <c r="V838" t="n">
        <v>0</v>
      </c>
    </row>
    <row r="839">
      <c r="A839">
        <f>Skills!A4</f>
        <v/>
      </c>
      <c r="B839">
        <f>Skills!B4</f>
        <v/>
      </c>
      <c r="C839">
        <f>Inputs!$B$3&gt;=66</f>
        <v/>
      </c>
      <c r="D839">
        <f>IF(Skills!C4=1,60+Inputs!$B$25+Inputs!$B$29,IF(Skills!C4=2,90+Inputs!$B$26+Inputs!$B$29,IF(Skills!C4=3,120+Inputs!$B$27+Inputs!$B$29,MAX(0,(Inputs!$B$3-100)*3)+Inputs!$B$28+Inputs!$B$29)))</f>
        <v/>
      </c>
      <c r="E839">
        <f>INDEX(FactorTable!$B$2:$Y$301, MATCH(ROUND(MIN(300,MAX(1,D839)),0), FactorTable!$A$2:$A$301,0), Skills!M4+1)</f>
        <v/>
      </c>
      <c r="F839">
        <f>IF(Skills!N4=TRUE,(Skills!L4/10)*(E839/1000),Skills!L4/10)+Skills!O4</f>
        <v/>
      </c>
      <c r="G839">
        <f>Skills!G4*IF(Skills!H4&gt;0,IF(Inputs!$B$39="pvp",MIN(Skills!I4,15),Skills!I4)/Skills!H4,1)</f>
        <v/>
      </c>
      <c r="H839">
        <f>1-(1-Skills!J4/100)^Skills!K4</f>
        <v/>
      </c>
      <c r="I839" t="inlineStr">
        <is>
          <t>1</t>
        </is>
      </c>
      <c r="J839">
        <f>((Inputs!$B$6*(1+Inputs!$B$7/100))+(((Inputs!$B$12*(1+Inputs!$B$13/100))-(Inputs!$B$12*(1+Inputs!$B$13/100)))+0.25*(Inputs!$B$14-Inputs!$B$14))*(1+Inputs!$B$7/100))*(F839/100)</f>
        <v/>
      </c>
      <c r="K839">
        <f>J839*(1+((Inputs!$B$12*(1+Inputs!$B$13/100))*0.01+Inputs!$B$14*0.0025)/100)*(1+Inputs!$B$15/100)*(1+Inputs!$B$16/100)*(5000/(6000+Inputs!$B$43*(1-(100*(1-(1-Inputs!$B$19/100)*(1-CHOOSE(ArtifactsInput!$N$40+1,5,6,7,8,9,10)/100)^(ArtifactsInput!$M$40-ArtifactsInput!$M$40)))/100)))*(1+(Inputs!$B$24+((C866=TRUE)*(F866-Calc!F31))+((C853=TRUE)*(F853-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4="CRUEL_STAB",Inputs!$B$17+((C863=TRUE)*(F863-Calc!F28))+((IF(AND(Inputs!$B$39&lt;&gt;"pvp",Inputs!$B$44=0),1,IF(IF(Inputs!$B$39="pvp",15,Inputs!$B$44)-(B880)&lt;=0,1,MAX(0,IF(Inputs!$B$39="pvp",15,Inputs!$B$44)-MAX(5,B880))/(IF(Inputs!$B$39="pvp",15,Inputs!$B$44)-(B880))))*(IF(AND(ArtifactsInput!$M$42,((Inputs!$B$9+((C861=TRUE)*(F861-Calc!F26))+B869+(ArtifactsInput!$M$24-ArtifactsInput!$M$24)*CHOOSE(ArtifactsInput!$N$24+1,10,12,14,16,18,20)+IF(ArtifactsInput!$M$10,CHOOSE(ArtifactsInput!$N$10+1,15,18,21,24,27,30)*(IF(Inputs!$B$39="pvp",MIN(15,15)/15,IF(AND(Inputs!$B$39&lt;&gt;"pvp",Inputs!$B$44&gt;0),MIN(15,Inputs!$B$44)/(Inputs!$B$44),0))),0)))&gt;=100),MIN(100,((Inputs!$B$9+((C861=TRUE)*(F861-Calc!F26))+B869+(ArtifactsInput!$M$24-ArtifactsInput!$M$24)*CHOOSE(ArtifactsInput!$N$24+1,10,12,14,16,18,20)+IF(ArtifactsInput!$M$10,CHOOSE(ArtifactsInput!$N$10+1,15,18,21,24,27,30)*(IF(Inputs!$B$39="pvp",MIN(15,15)/15,IF(AND(Inputs!$B$39&lt;&gt;"pvp",Inputs!$B$44&gt;0),MIN(15,Inputs!$B$44)/(Inputs!$B$44),0))),0)))-100),0))*CHOOSE(ArtifactsInput!$N$42+1,0.6,0.72,0.84,0.96,1.08,1.2))),(Inputs!$B$18+1)+((C864=TRUE)*(F864-Calc!F29))+(IF(AND(Inputs!$B$39&lt;&gt;"pvp",Inputs!$B$44=0),1,IF(IF(Inputs!$B$39="pvp",15,Inputs!$B$44)-(B880)&lt;=0,1,MAX(0,IF(Inputs!$B$39="pvp",15,Inputs!$B$44)-MAX(5,B880))/(IF(Inputs!$B$39="pvp",15,Inputs!$B$44)-(B880))))*IF(AND(ArtifactsInput!$M$42,((Inputs!$B$9+((C861=TRUE)*(F861-Calc!F26))+B869+(ArtifactsInput!$M$24-ArtifactsInput!$M$24)*CHOOSE(ArtifactsInput!$N$24+1,10,12,14,16,18,20)+IF(ArtifactsInput!$M$10,CHOOSE(ArtifactsInput!$N$10+1,15,18,21,24,27,30)*(IF(Inputs!$B$39="pvp",MIN(15,15)/15,IF(AND(Inputs!$B$39&lt;&gt;"pvp",Inputs!$B$44&gt;0),MIN(15,Inputs!$B$44)/(Inputs!$B$44),0))),0)))&gt;=100),CHOOSE(ArtifactsInput!$N$42+1,40,48,56,64,72,80),0))))/100)*(((1+(((C857=TRUE)*F857*IF(AND(Inputs!$B$39&lt;&gt;"pvp",Inputs!$B$44&gt;0),(((R857-1)*MIN((Skills!Y22*(1+Inputs!$B$34/100)),(1/Q857))+MIN((Skills!Y22*(1+Inputs!$B$34/100)),MAX(0,Inputs!$B$44-((R857-1)*(1/Q857)))))/Inputs!$B$44),IF(Inputs!$B$39="pvp",MIN((Skills!Y22*(1+Inputs!$B$34/100)),15)/15,MIN(1,(Skills!Y22*(1+Inputs!$B$34/100))/(1/Q857)))))+((C838=TRUE)*F838*3)+((C840=TRUE)*F840*(1-EXP(-0.75*B873*5)))+((C859=TRUE)*(F859-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846=TRUE)*F846*IF(AND(Inputs!$B$39&lt;&gt;"pvp",Inputs!$B$44&gt;0),(((R846-1)*MIN((Skills!Y11*(1+Inputs!$B$34/100)),(1/Q846))+MIN((Skills!Y11*(1+Inputs!$B$34/100)),MAX(0,Inputs!$B$44-((R846-1)*(1/Q846)))))/Inputs!$B$44),IF(Inputs!$B$39="pvp",MIN((Skills!Y11*(1+Inputs!$B$34/100)),15)/15,MIN(1,(Skills!Y11*(1+Inputs!$B$34/100))/(1/Q846)))))/100)*(1+((C851=TRUE)*F851*IF(AND(Inputs!$B$39&lt;&gt;"pvp",Inputs!$B$44&gt;0),(((R851-1)*MIN((Skills!Y16*(1+Inputs!$B$34/100)),(1/Q851))+MIN((Skills!Y16*(1+Inputs!$B$34/100)),MAX(0,Inputs!$B$44-((R851-1)*(1/Q851)))))/Inputs!$B$44),IF(Inputs!$B$39="pvp",MIN((Skills!Y16*(1+Inputs!$B$34/100)),15)/15,MIN(1,(Skills!Y16*(1+Inputs!$B$34/100))/(1/Q851)))))/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871*I839)</f>
        <v/>
      </c>
      <c r="L839">
        <f>K839*(MIN(Inputs!$B$22+((C860=TRUE)*(F860-Calc!F25)),(Inputs!$B$23+((C865=TRUE)*(F865-Calc!F30))+IF(ArtifactsInput!$M$15,CHOOSE(ArtifactsInput!$N$15+1,25,30,35,40,45,50)/100*(Inputs!$B$11-Inputs!$B$11),0)))/100+(Inputs!$B$23+((C865=TRUE)*(F865-Calc!F30))+IF(ArtifactsInput!$M$15,CHOOSE(ArtifactsInput!$N$15+1,25,30,35,40,45,50)/100*(Inputs!$B$11-Inputs!$B$11),0))/100)/2</f>
        <v/>
      </c>
      <c r="M839">
        <f>L839*(1+(Inputs!$B$10+((C862=TRUE)*(F862-Calc!F27))+B876+(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839">
        <f>L839*(1-MIN((Inputs!$B$9+((C861=TRUE)*(F861-Calc!F26))+B869+(ArtifactsInput!$M$24-ArtifactsInput!$M$24)*CHOOSE(ArtifactsInput!$N$24+1,10,12,14,16,18,20)+(IF(AND(Inputs!$B$39&lt;&gt;"pvp",Inputs!$B$44=0),1,IF(IF(Inputs!$B$39="pvp",15,Inputs!$B$44)-(B880)&lt;=0,1,MAX(0,IF(Inputs!$B$39="pvp",15,Inputs!$B$44)-MAX(5,B880))/(IF(Inputs!$B$39="pvp",15,Inputs!$B$44)-(B880))))*IF(AND(ArtifactsInput!$M$42,((Inputs!$B$9+((C861=TRUE)*(F861-Calc!F26))+B869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839*(MIN((Inputs!$B$9+((C861=TRUE)*(F861-Calc!F26))+B869+(ArtifactsInput!$M$24-ArtifactsInput!$M$24)*CHOOSE(ArtifactsInput!$N$24+1,10,12,14,16,18,20)+(IF(AND(Inputs!$B$39&lt;&gt;"pvp",Inputs!$B$44=0),1,IF(IF(Inputs!$B$39="pvp",15,Inputs!$B$44)-(B880)&lt;=0,1,MAX(0,IF(Inputs!$B$39="pvp",15,Inputs!$B$44)-MAX(5,B880))/(IF(Inputs!$B$39="pvp",15,Inputs!$B$44)-(B880))))*IF(AND(ArtifactsInput!$M$42,((Inputs!$B$9+((C861=TRUE)*(F861-Calc!F26))+B869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839">
        <f>(1-Summary!$B$11)*T839+Summary!$B$11*V839</f>
        <v/>
      </c>
      <c r="P839">
        <f>IF(B881=0,0,O839/B881)</f>
        <v/>
      </c>
      <c r="Q839">
        <f>IFERROR(1/IF(Inputs!$B$39="pvp",15,MAX(0.1,Skills!D4-IF(TRUE=TRUE,Inputs!$B$32,0))),0)</f>
        <v/>
      </c>
      <c r="R839">
        <f>IF(AND(Inputs!$B$39&lt;&gt;"pvp",Inputs!$B$44&gt;0),IF(MAX(0,Inputs!$B$44-B880)&lt;=0,0,(INT(MAX(0,Inputs!$B$44-B880)/IF(Inputs!$B$39="pvp",15,MAX(0.1,Skills!D4-IF(TRUE=TRUE,Inputs!$B$32,0))))+1)),0)</f>
        <v/>
      </c>
      <c r="S839">
        <f>IFERROR(O839/N839,0)</f>
        <v/>
      </c>
      <c r="T839">
        <f>IF(C839,(H839*N839*IF(AND(Inputs!$B$39&lt;&gt;"pvp",Inputs!$B$44&gt;0),((Skills!G4*((R839-1)*IF(Skills!H4&gt;0,Skills!I4/Skills!H4,1)+IF(Skills!H4&gt;0,MIN(Skills!I4,MAX(0,MAX(0,Inputs!$B$44-B880)-((R839-1)*IF(Inputs!$B$39="pvp",15,MAX(0.1,Skills!D4-IF(TRUE=TRUE,Inputs!$B$32,0))))))/Skills!H4,1)))/Inputs!$B$44),G839*Q839))*IF(Inputs!$B$39="pvp",1,1+(Inputs!$B$20+0+Skills!P4+B870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Hunt"),CHOOSE(ArtifactsInput!$N$35+1,15,18,21,24,27,30)*(1-EXP(-(0.2*B873)*5)),0)+IF(AND(ArtifactsInput!$M$22,Inputs!$B$4&lt;&gt;"Chapter Hunt"),CHOOSE(ArtifactsInput!$N$22+1,10,12,14,16,18,20)*((0*(((0.15*B873*5))^0/1)+1*(((0.15*B873*5))^1/1)+2*(((0.15*B873*5))^2/2)+3*(((0.15*B873*5))^3/6)+4*(((0.15*B873*5))^4/24)+5*(((0.15*B873*5))^5/120))/((((0.15*B873*5))^0/1)+(((0.15*B873*5))^1/1)+(((0.15*B873*5))^2/2)+(((0.15*B873*5))^3/6)+(((0.15*B873*5))^4/24)+(((0.15*B873*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839*(1-MIN(100,(Inputs!$B$9+((C861=TRUE)*(F861-Calc!F26))+B869+(ArtifactsInput!$M$24-ArtifactsInput!$M$24)*CHOOSE(ArtifactsInput!$N$24+1,10,12,14,16,18,20)+(IF(AND(Inputs!$B$39&lt;&gt;"pvp",Inputs!$B$44=0),1,IF(IF(Inputs!$B$39="pvp",15,Inputs!$B$44)-(B880)&lt;=0,1,MAX(0,IF(Inputs!$B$39="pvp",15,Inputs!$B$44)-MAX(5,B880))/(IF(Inputs!$B$39="pvp",15,Inputs!$B$44)-(B880))))*IF(AND(ArtifactsInput!$M$42,((Inputs!$B$9+((C861=TRUE)*(F861-Calc!F26))+B869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839*(MIN(100,(Inputs!$B$9+((C861=TRUE)*(F861-Calc!F26))+B869+(ArtifactsInput!$M$24-ArtifactsInput!$M$24)*CHOOSE(ArtifactsInput!$N$24+1,10,12,14,16,18,20)+(IF(AND(Inputs!$B$39&lt;&gt;"pvp",Inputs!$B$44=0),1,IF(IF(Inputs!$B$39="pvp",15,Inputs!$B$44)-(B880)&lt;=0,1,MAX(0,IF(Inputs!$B$39="pvp",15,Inputs!$B$44)-MAX(5,B880))/(IF(Inputs!$B$39="pvp",15,Inputs!$B$44)-(B880))))*IF(AND(ArtifactsInput!$M$42,((Inputs!$B$9+((C861=TRUE)*(F861-Calc!F26))+B869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839*(1-MIN(100,(Inputs!$B$9+((C861=TRUE)*(F861-Calc!F26))+B869+(ArtifactsInput!$M$24-ArtifactsInput!$M$24)*CHOOSE(ArtifactsInput!$N$24+1,10,12,14,16,18,20)+(IF(AND(Inputs!$B$39&lt;&gt;"pvp",Inputs!$B$44=0),1,IF(IF(Inputs!$B$39="pvp",15,Inputs!$B$44)-(B880)&lt;=0,1,MAX(0,IF(Inputs!$B$39="pvp",15,Inputs!$B$44)-MAX(5,B880))/(IF(Inputs!$B$39="pvp",15,Inputs!$B$44)-(B880))))*IF(AND(ArtifactsInput!$M$42,((Inputs!$B$9+((C861=TRUE)*(F861-Calc!F26))+B869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839*(MIN(100,(Inputs!$B$9+((C861=TRUE)*(F861-Calc!F26))+B869+(ArtifactsInput!$M$24-ArtifactsInput!$M$24)*CHOOSE(ArtifactsInput!$N$24+1,10,12,14,16,18,20)+(IF(AND(Inputs!$B$39&lt;&gt;"pvp",Inputs!$B$44=0),1,IF(IF(Inputs!$B$39="pvp",15,Inputs!$B$44)-(B880)&lt;=0,1,MAX(0,IF(Inputs!$B$39="pvp",15,Inputs!$B$44)-MAX(5,B880))/(IF(Inputs!$B$39="pvp",15,Inputs!$B$44)-(B880))))*IF(AND(ArtifactsInput!$M$42,((Inputs!$B$9+((C861=TRUE)*(F861-Calc!F26))+B869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839">
        <f>290*U838/1000</f>
        <v/>
      </c>
      <c r="V839">
        <f>IF(C839,(H839*N839*IF(AND(Inputs!$B$39&lt;&gt;"pvp",Inputs!$B$44&gt;0),((Skills!G4*((R839-1)*IF(Skills!H4&gt;0,Skills!I4/Skills!H4,1)+IF(Skills!H4&gt;0,MIN(Skills!I4,MAX(0,MAX(0,Inputs!$B$44-B880)-((R839-1)*IF(Inputs!$B$39="pvp",15,MAX(0.1,Skills!D4-IF(TRUE=TRUE,Inputs!$B$32,0))))))/Skills!H4,1)))/Inputs!$B$44),G839*Q839))*IF(Inputs!$B$39="pvp",1,(1+(Inputs!$B$21+Skills!Q4+B870+(IF(ArtifactsInput!$M$33,CHOOSE(ArtifactsInput!$N$33+1,30,36,42,48,54,60),0))+(IF(AND(ArtifactsInput!$M$35,Inputs!$B$4&lt;&gt;"Chapter Hunt"),CHOOSE(ArtifactsInput!$N$35+1,15,18,21,24,27,30)*(1-EXP(-(0.2*B873)*5)),0)+IF(AND(ArtifactsInput!$M$22,Inputs!$B$4&lt;&gt;"Chapter Hunt"),CHOOSE(ArtifactsInput!$N$22+1,10,12,14,16,18,20)*((0*(((0.15*B873*5))^0/1)+1*(((0.15*B873*5))^1/1)+2*(((0.15*B873*5))^2/2)+3*(((0.15*B873*5))^3/6)+4*(((0.15*B873*5))^4/24)+5*(((0.15*B873*5))^5/120))/((((0.15*B873*5))^0/1)+(((0.15*B873*5))^1/1)+(((0.15*B873*5))^2/2)+(((0.15*B873*5))^3/6)+(((0.15*B873*5))^4/24)+(((0.15*B873*5))^5/120))),0)))/100)*(MIN(MIN(10,IF(Inputs!$B$3&gt;=75,0.75,0.5)*B873*(1/Q839)),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840">
      <c r="A840">
        <f>Skills!A5</f>
        <v/>
      </c>
      <c r="B840">
        <f>Skills!B5</f>
        <v/>
      </c>
      <c r="C840">
        <f>Inputs!$B$3&gt;=75</f>
        <v/>
      </c>
      <c r="D840">
        <f>IF(Skills!C5=1,60+Inputs!$B$25+Inputs!$B$29,IF(Skills!C5=2,90+Inputs!$B$26+Inputs!$B$29,IF(Skills!C5=3,120+Inputs!$B$27+Inputs!$B$29,MAX(0,(Inputs!$B$3-100)*3)+Inputs!$B$28+Inputs!$B$29)))</f>
        <v/>
      </c>
      <c r="E840">
        <f>INDEX(FactorTable!$B$2:$Y$301, MATCH(ROUND(MIN(300,MAX(1,D840)),0), FactorTable!$A$2:$A$301,0), Skills!M5+1)</f>
        <v/>
      </c>
      <c r="F840">
        <f>IF(Skills!N5=TRUE,(Skills!L5/10)*(E840/1000),Skills!L5/10)+Skills!O5</f>
        <v/>
      </c>
      <c r="G840">
        <f>Skills!G5*IF(Skills!H5&gt;0,IF(Inputs!$B$39="pvp",MIN(Skills!I5,15),Skills!I5)/Skills!H5,1)</f>
        <v/>
      </c>
      <c r="H840">
        <f>1-(1-Skills!J5/100)^Skills!K5</f>
        <v/>
      </c>
      <c r="I840" t="inlineStr">
        <is>
          <t>1</t>
        </is>
      </c>
      <c r="J840" t="inlineStr"/>
      <c r="K840" t="inlineStr"/>
      <c r="L840" t="inlineStr"/>
      <c r="M840" t="inlineStr"/>
      <c r="N840" t="inlineStr"/>
      <c r="O840">
        <f>(1-Summary!$B$11)*T840+Summary!$B$11*V840</f>
        <v/>
      </c>
      <c r="P840">
        <f>IF(B881=0,0,O840/B881)</f>
        <v/>
      </c>
      <c r="Q840" t="n">
        <v>0</v>
      </c>
      <c r="R840" t="n">
        <v>0</v>
      </c>
      <c r="S840">
        <f>IFERROR(O840/N840,0)</f>
        <v/>
      </c>
      <c r="T840" t="n">
        <v>0</v>
      </c>
      <c r="V840" t="n">
        <v>0</v>
      </c>
    </row>
    <row r="841">
      <c r="A841">
        <f>Skills!A6</f>
        <v/>
      </c>
      <c r="B841">
        <f>Skills!B6</f>
        <v/>
      </c>
      <c r="C841">
        <f>Inputs!$B$3&gt;=63</f>
        <v/>
      </c>
      <c r="D841">
        <f>IF(Skills!C6=1,60+Inputs!$B$25+Inputs!$B$29,IF(Skills!C6=2,90+Inputs!$B$26+Inputs!$B$29,IF(Skills!C6=3,120+Inputs!$B$27+Inputs!$B$29,MAX(0,(Inputs!$B$3-100)*3)+Inputs!$B$28+Inputs!$B$29)))</f>
        <v/>
      </c>
      <c r="E841">
        <f>INDEX(FactorTable!$B$2:$Y$301, MATCH(ROUND(MIN(300,MAX(1,D841)),0), FactorTable!$A$2:$A$301,0), Skills!M6+1)</f>
        <v/>
      </c>
      <c r="F841">
        <f>IF(Skills!N6=TRUE,(Skills!L6/10)*(E841/1000),Skills!L6/10)+Skills!O6</f>
        <v/>
      </c>
      <c r="G841">
        <f>Skills!G6*IF(Skills!H6&gt;0,IF(Inputs!$B$39="pvp",MIN(Skills!I6,15),Skills!I6)/Skills!H6,1)</f>
        <v/>
      </c>
      <c r="H841">
        <f>1-(1-Skills!J6/100)^Skills!K6</f>
        <v/>
      </c>
      <c r="I841" t="inlineStr">
        <is>
          <t>1</t>
        </is>
      </c>
      <c r="J841">
        <f>((Inputs!$B$6*(1+Inputs!$B$7/100))+(((Inputs!$B$12*(1+Inputs!$B$13/100))-(Inputs!$B$12*(1+Inputs!$B$13/100)))+0.25*(Inputs!$B$14-Inputs!$B$14))*(1+Inputs!$B$7/100))*(F841/100)</f>
        <v/>
      </c>
      <c r="K841">
        <f>J841*(1+((Inputs!$B$12*(1+Inputs!$B$13/100))*0.01+Inputs!$B$14*0.0025)/100)*(1+Inputs!$B$15/100)*(1+Inputs!$B$16/100)*(5000/(6000+Inputs!$B$43*(1-(100*(1-(1-Inputs!$B$19/100)*(1-CHOOSE(ArtifactsInput!$N$40+1,5,6,7,8,9,10)/100)^(ArtifactsInput!$M$40-ArtifactsInput!$M$40)))/100)))*(1+(Inputs!$B$24+((C866=TRUE)*(F866-Calc!F31))+((C853=TRUE)*(F853-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+2.6666666666666665*IF(C854=TRUE,F854,0)/100)*(1+(IF(Skills!A6="CRUEL_STAB",Inputs!$B$17+((C863=TRUE)*(F863-Calc!F28))+((IF(AND(Inputs!$B$39&lt;&gt;"pvp",Inputs!$B$44=0),1,IF(IF(Inputs!$B$39="pvp",15,Inputs!$B$44)-(B880)&lt;=0,1,MAX(0,IF(Inputs!$B$39="pvp",15,Inputs!$B$44)-MAX(5,B880))/(IF(Inputs!$B$39="pvp",15,Inputs!$B$44)-(B880))))*(IF(AND(ArtifactsInput!$M$42,((Inputs!$B$9+((C861=TRUE)*(F861-Calc!F26))+B869+(ArtifactsInput!$M$24-ArtifactsInput!$M$24)*CHOOSE(ArtifactsInput!$N$24+1,10,12,14,16,18,20)+IF(ArtifactsInput!$M$10,CHOOSE(ArtifactsInput!$N$10+1,15,18,21,24,27,30)*(IF(Inputs!$B$39="pvp",MIN(15,15)/15,IF(AND(Inputs!$B$39&lt;&gt;"pvp",Inputs!$B$44&gt;0),MIN(15,Inputs!$B$44)/(Inputs!$B$44),0))),0)))&gt;=100),MIN(100,((Inputs!$B$9+((C861=TRUE)*(F861-Calc!F26))+B869+(ArtifactsInput!$M$24-ArtifactsInput!$M$24)*CHOOSE(ArtifactsInput!$N$24+1,10,12,14,16,18,20)+IF(ArtifactsInput!$M$10,CHOOSE(ArtifactsInput!$N$10+1,15,18,21,24,27,30)*(IF(Inputs!$B$39="pvp",MIN(15,15)/15,IF(AND(Inputs!$B$39&lt;&gt;"pvp",Inputs!$B$44&gt;0),MIN(15,Inputs!$B$44)/(Inputs!$B$44),0))),0)))-100),0))*CHOOSE(ArtifactsInput!$N$42+1,0.6,0.72,0.84,0.96,1.08,1.2))),(Inputs!$B$18+1)+((C864=TRUE)*(F864-Calc!F29))+(IF(AND(Inputs!$B$39&lt;&gt;"pvp",Inputs!$B$44=0),1,IF(IF(Inputs!$B$39="pvp",15,Inputs!$B$44)-(B880)&lt;=0,1,MAX(0,IF(Inputs!$B$39="pvp",15,Inputs!$B$44)-MAX(5,B880))/(IF(Inputs!$B$39="pvp",15,Inputs!$B$44)-(B880))))*IF(AND(ArtifactsInput!$M$42,((Inputs!$B$9+((C861=TRUE)*(F861-Calc!F26))+B869+(ArtifactsInput!$M$24-ArtifactsInput!$M$24)*CHOOSE(ArtifactsInput!$N$24+1,10,12,14,16,18,20)+IF(ArtifactsInput!$M$10,CHOOSE(ArtifactsInput!$N$10+1,15,18,21,24,27,30)*(IF(Inputs!$B$39="pvp",MIN(15,15)/15,IF(AND(Inputs!$B$39&lt;&gt;"pvp",Inputs!$B$44&gt;0),MIN(15,Inputs!$B$44)/(Inputs!$B$44),0))),0)))&gt;=100),CHOOSE(ArtifactsInput!$N$42+1,40,48,56,64,72,80),0))))/100)*(((1+(((C857=TRUE)*F857*IF(AND(Inputs!$B$39&lt;&gt;"pvp",Inputs!$B$44&gt;0),(((R857-1)*MIN((Skills!Y22*(1+Inputs!$B$34/100)),(1/Q857))+MIN((Skills!Y22*(1+Inputs!$B$34/100)),MAX(0,Inputs!$B$44-((R857-1)*(1/Q857)))))/Inputs!$B$44),IF(Inputs!$B$39="pvp",MIN((Skills!Y22*(1+Inputs!$B$34/100)),15)/15,MIN(1,(Skills!Y22*(1+Inputs!$B$34/100))/(1/Q857)))))+((C838=TRUE)*F838*3)+((C840=TRUE)*F840*(1-EXP(-0.75*B873*5)))+((C859=TRUE)*(F859-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846=TRUE)*F846*IF(AND(Inputs!$B$39&lt;&gt;"pvp",Inputs!$B$44&gt;0),(((R846-1)*MIN((Skills!Y11*(1+Inputs!$B$34/100)),(1/Q846))+MIN((Skills!Y11*(1+Inputs!$B$34/100)),MAX(0,Inputs!$B$44-((R846-1)*(1/Q846)))))/Inputs!$B$44),IF(Inputs!$B$39="pvp",MIN((Skills!Y11*(1+Inputs!$B$34/100)),15)/15,MIN(1,(Skills!Y11*(1+Inputs!$B$34/100))/(1/Q846)))))/100)*(1+((C851=TRUE)*F851*IF(AND(Inputs!$B$39&lt;&gt;"pvp",Inputs!$B$44&gt;0),(((R851-1)*MIN((Skills!Y16*(1+Inputs!$B$34/100)),(1/Q851))+MIN((Skills!Y16*(1+Inputs!$B$34/100)),MAX(0,Inputs!$B$44-((R851-1)*(1/Q851)))))/Inputs!$B$44),IF(Inputs!$B$39="pvp",MIN((Skills!Y16*(1+Inputs!$B$34/100)),15)/15,MIN(1,(Skills!Y16*(1+Inputs!$B$34/100))/(1/Q851)))))/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871*I841)</f>
        <v/>
      </c>
      <c r="L841">
        <f>K841*(MIN(Inputs!$B$22+((C860=TRUE)*(F860-Calc!F25)),(Inputs!$B$23+((C865=TRUE)*(F865-Calc!F30))+IF(ArtifactsInput!$M$15,CHOOSE(ArtifactsInput!$N$15+1,25,30,35,40,45,50)/100*(Inputs!$B$11-Inputs!$B$11),0)))/100+(Inputs!$B$23+((C865=TRUE)*(F865-Calc!F30))+IF(ArtifactsInput!$M$15,CHOOSE(ArtifactsInput!$N$15+1,25,30,35,40,45,50)/100*(Inputs!$B$11-Inputs!$B$11),0))/100)/2</f>
        <v/>
      </c>
      <c r="M841">
        <f>L841*(1+(Inputs!$B$10+((C862=TRUE)*(F862-Calc!F27))+B876+(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841">
        <f>L841*(1-MIN((Inputs!$B$9+((C861=TRUE)*(F861-Calc!F26))+B869+(ArtifactsInput!$M$24-ArtifactsInput!$M$24)*CHOOSE(ArtifactsInput!$N$24+1,10,12,14,16,18,20)+(IF(AND(Inputs!$B$39&lt;&gt;"pvp",Inputs!$B$44=0),1,IF(IF(Inputs!$B$39="pvp",15,Inputs!$B$44)-(B880)&lt;=0,1,MAX(0,IF(Inputs!$B$39="pvp",15,Inputs!$B$44)-MAX(5,B880))/(IF(Inputs!$B$39="pvp",15,Inputs!$B$44)-(B880))))*IF(AND(ArtifactsInput!$M$42,((Inputs!$B$9+((C861=TRUE)*(F861-Calc!F26))+B869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841*(MIN((Inputs!$B$9+((C861=TRUE)*(F861-Calc!F26))+B869+(ArtifactsInput!$M$24-ArtifactsInput!$M$24)*CHOOSE(ArtifactsInput!$N$24+1,10,12,14,16,18,20)+(IF(AND(Inputs!$B$39&lt;&gt;"pvp",Inputs!$B$44=0),1,IF(IF(Inputs!$B$39="pvp",15,Inputs!$B$44)-(B880)&lt;=0,1,MAX(0,IF(Inputs!$B$39="pvp",15,Inputs!$B$44)-MAX(5,B880))/(IF(Inputs!$B$39="pvp",15,Inputs!$B$44)-(B880))))*IF(AND(ArtifactsInput!$M$42,((Inputs!$B$9+((C861=TRUE)*(F861-Calc!F26))+B869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841">
        <f>(1-Summary!$B$11)*T841+Summary!$B$11*V841</f>
        <v/>
      </c>
      <c r="P841">
        <f>IF(B881=0,0,O841/B881)</f>
        <v/>
      </c>
      <c r="Q841">
        <f>IFERROR(1/IF(Inputs!$B$39="pvp",15,MAX(0.1,Skills!D6-IF(TRUE=TRUE,Inputs!$B$32,0))),0)</f>
        <v/>
      </c>
      <c r="R841">
        <f>IF(AND(Inputs!$B$39&lt;&gt;"pvp",Inputs!$B$44&gt;0),IF(MAX(0,Inputs!$B$44-B880)&lt;=0,0,(INT(MAX(0,Inputs!$B$44-B880)/IF(Inputs!$B$39="pvp",15,MAX(0.1,Skills!D6-IF(TRUE=TRUE,Inputs!$B$32,0))))+1)),0)</f>
        <v/>
      </c>
      <c r="S841">
        <f>IFERROR(O841/N841,0)</f>
        <v/>
      </c>
      <c r="T841">
        <f>IF(C841,(H841*N841*IF(AND(Inputs!$B$39&lt;&gt;"pvp",Inputs!$B$44&gt;0),((Skills!G6*((R841-1)*IF(Skills!H6&gt;0,Skills!I6/Skills!H6,1)+IF(Skills!H6&gt;0,MIN(Skills!I6,MAX(0,MAX(0,Inputs!$B$44-B880)-((R841-1)*IF(Inputs!$B$39="pvp",15,MAX(0.1,Skills!D6-IF(TRUE=TRUE,Inputs!$B$32,0))))))/Skills!H6,1)))/Inputs!$B$44),G841*Q841))*IF(Inputs!$B$39="pvp",1,1+(Inputs!$B$20+0+Skills!P6+B870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Hunt"),CHOOSE(ArtifactsInput!$N$35+1,15,18,21,24,27,30)*(1-EXP(-(0.2*B873)*5)),0)+IF(AND(ArtifactsInput!$M$22,Inputs!$B$4&lt;&gt;"Chapter Hunt"),CHOOSE(ArtifactsInput!$N$22+1,10,12,14,16,18,20)*((0*(((0.15*B873*5))^0/1)+1*(((0.15*B873*5))^1/1)+2*(((0.15*B873*5))^2/2)+3*(((0.15*B873*5))^3/6)+4*(((0.15*B873*5))^4/24)+5*(((0.15*B873*5))^5/120))/((((0.15*B873*5))^0/1)+(((0.15*B873*5))^1/1)+(((0.15*B873*5))^2/2)+(((0.15*B873*5))^3/6)+(((0.15*B873*5))^4/24)+(((0.15*B873*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841*(1-MIN(100,(Inputs!$B$9+((C861=TRUE)*(F861-Calc!F26))+B869+(ArtifactsInput!$M$24-ArtifactsInput!$M$24)*CHOOSE(ArtifactsInput!$N$24+1,10,12,14,16,18,20)+(IF(AND(Inputs!$B$39&lt;&gt;"pvp",Inputs!$B$44=0),1,IF(IF(Inputs!$B$39="pvp",15,Inputs!$B$44)-(B880)&lt;=0,1,MAX(0,IF(Inputs!$B$39="pvp",15,Inputs!$B$44)-MAX(5,B880))/(IF(Inputs!$B$39="pvp",15,Inputs!$B$44)-(B880))))*IF(AND(ArtifactsInput!$M$42,((Inputs!$B$9+((C861=TRUE)*(F861-Calc!F26))+B869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841*(MIN(100,(Inputs!$B$9+((C861=TRUE)*(F861-Calc!F26))+B869+(ArtifactsInput!$M$24-ArtifactsInput!$M$24)*CHOOSE(ArtifactsInput!$N$24+1,10,12,14,16,18,20)+(IF(AND(Inputs!$B$39&lt;&gt;"pvp",Inputs!$B$44=0),1,IF(IF(Inputs!$B$39="pvp",15,Inputs!$B$44)-(B880)&lt;=0,1,MAX(0,IF(Inputs!$B$39="pvp",15,Inputs!$B$44)-MAX(5,B880))/(IF(Inputs!$B$39="pvp",15,Inputs!$B$44)-(B880))))*IF(AND(ArtifactsInput!$M$42,((Inputs!$B$9+((C861=TRUE)*(F861-Calc!F26))+B869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841*(1-MIN(100,(Inputs!$B$9+((C861=TRUE)*(F861-Calc!F26))+B869+(ArtifactsInput!$M$24-ArtifactsInput!$M$24)*CHOOSE(ArtifactsInput!$N$24+1,10,12,14,16,18,20)+(IF(AND(Inputs!$B$39&lt;&gt;"pvp",Inputs!$B$44=0),1,IF(IF(Inputs!$B$39="pvp",15,Inputs!$B$44)-(B880)&lt;=0,1,MAX(0,IF(Inputs!$B$39="pvp",15,Inputs!$B$44)-MAX(5,B880))/(IF(Inputs!$B$39="pvp",15,Inputs!$B$44)-(B880))))*IF(AND(ArtifactsInput!$M$42,((Inputs!$B$9+((C861=TRUE)*(F861-Calc!F26))+B869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841*(MIN(100,(Inputs!$B$9+((C861=TRUE)*(F861-Calc!F26))+B869+(ArtifactsInput!$M$24-ArtifactsInput!$M$24)*CHOOSE(ArtifactsInput!$N$24+1,10,12,14,16,18,20)+(IF(AND(Inputs!$B$39&lt;&gt;"pvp",Inputs!$B$44=0),1,IF(IF(Inputs!$B$39="pvp",15,Inputs!$B$44)-(B880)&lt;=0,1,MAX(0,IF(Inputs!$B$39="pvp",15,Inputs!$B$44)-MAX(5,B880))/(IF(Inputs!$B$39="pvp",15,Inputs!$B$44)-(B880))))*IF(AND(ArtifactsInput!$M$42,((Inputs!$B$9+((C861=TRUE)*(F861-Calc!F26))+B869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841">
        <f>IF(C841,(H841*N841*IF(AND(Inputs!$B$39&lt;&gt;"pvp",Inputs!$B$44&gt;0),((Skills!G6*((R841-1)*IF(Skills!H6&gt;0,Skills!I6/Skills!H6,1)+IF(Skills!H6&gt;0,MIN(Skills!I6,MAX(0,MAX(0,Inputs!$B$44-B880)-((R841-1)*IF(Inputs!$B$39="pvp",15,MAX(0.1,Skills!D6-IF(TRUE=TRUE,Inputs!$B$32,0))))))/Skills!H6,1)))/Inputs!$B$44),G841*Q841))*IF(Inputs!$B$39="pvp",1,(1+(Inputs!$B$21+Skills!Q6+B870+(IF(ArtifactsInput!$M$33,CHOOSE(ArtifactsInput!$N$33+1,30,36,42,48,54,60),0))+(IF(AND(ArtifactsInput!$M$35,Inputs!$B$4&lt;&gt;"Chapter Hunt"),CHOOSE(ArtifactsInput!$N$35+1,15,18,21,24,27,30)*(1-EXP(-(0.2*B873)*5)),0)+IF(AND(ArtifactsInput!$M$22,Inputs!$B$4&lt;&gt;"Chapter Hunt"),CHOOSE(ArtifactsInput!$N$22+1,10,12,14,16,18,20)*((0*(((0.15*B873*5))^0/1)+1*(((0.15*B873*5))^1/1)+2*(((0.15*B873*5))^2/2)+3*(((0.15*B873*5))^3/6)+4*(((0.15*B873*5))^4/24)+5*(((0.15*B873*5))^5/120))/((((0.15*B873*5))^0/1)+(((0.15*B873*5))^1/1)+(((0.15*B873*5))^2/2)+(((0.15*B873*5))^3/6)+(((0.15*B873*5))^4/24)+(((0.15*B873*5))^5/120))),0)))/100)*(MIN(Skills!W6,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842">
      <c r="A842">
        <f>Skills!A7</f>
        <v/>
      </c>
      <c r="B842">
        <f>Skills!B7</f>
        <v/>
      </c>
      <c r="C842">
        <f>Inputs!$B$3&gt;=69</f>
        <v/>
      </c>
      <c r="D842">
        <f>IF(Skills!C7=1,60+Inputs!$B$25+Inputs!$B$29,IF(Skills!C7=2,90+Inputs!$B$26+Inputs!$B$29,IF(Skills!C7=3,120+Inputs!$B$27+Inputs!$B$29,MAX(0,(Inputs!$B$3-100)*3)+Inputs!$B$28+Inputs!$B$29)))</f>
        <v/>
      </c>
      <c r="E842">
        <f>INDEX(FactorTable!$B$2:$Y$301, MATCH(ROUND(MIN(300,MAX(1,D842)),0), FactorTable!$A$2:$A$301,0), Skills!M7+1)</f>
        <v/>
      </c>
      <c r="F842">
        <f>IF(Skills!N7=TRUE,(Skills!L7/10)*(E842/1000),Skills!L7/10)+Skills!O7</f>
        <v/>
      </c>
      <c r="G842">
        <f>Skills!G7*IF(Skills!H7&gt;0,IF(Inputs!$B$39="pvp",MIN(Skills!I7,15),Skills!I7)/Skills!H7,1)</f>
        <v/>
      </c>
      <c r="H842">
        <f>1-(1-Skills!J7/100)^Skills!K7</f>
        <v/>
      </c>
      <c r="I842" t="inlineStr">
        <is>
          <t>1</t>
        </is>
      </c>
      <c r="J842">
        <f>((Inputs!$B$6*(1+Inputs!$B$7/100))+(((Inputs!$B$12*(1+Inputs!$B$13/100))-(Inputs!$B$12*(1+Inputs!$B$13/100)))+0.25*(Inputs!$B$14-Inputs!$B$14))*(1+Inputs!$B$7/100))*(F842/100)</f>
        <v/>
      </c>
      <c r="K842">
        <f>J842*(1+((Inputs!$B$12*(1+Inputs!$B$13/100))*0.01+Inputs!$B$14*0.0025)/100)*(1+Inputs!$B$15/100)*(1+Inputs!$B$16/100)*(5000/(6000+Inputs!$B$43*(1-(100*(1-(1-Inputs!$B$19/100)*(1-CHOOSE(ArtifactsInput!$N$40+1,5,6,7,8,9,10)/100)^(ArtifactsInput!$M$40-ArtifactsInput!$M$40)))/100)))*(1+(Inputs!$B$24+((C866=TRUE)*(F866-Calc!F31))+((C853=TRUE)*(F853-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854=TRUE,F854,0)/100)*(1+(IF(Skills!A7="CRUEL_STAB",Inputs!$B$17+((C863=TRUE)*(F863-Calc!F28))+((IF(AND(Inputs!$B$39&lt;&gt;"pvp",Inputs!$B$44=0),1,IF(IF(Inputs!$B$39="pvp",15,Inputs!$B$44)-(B880)&lt;=0,1,MAX(0,IF(Inputs!$B$39="pvp",15,Inputs!$B$44)-MAX(5,B880))/(IF(Inputs!$B$39="pvp",15,Inputs!$B$44)-(B880))))*(IF(AND(ArtifactsInput!$M$42,((Inputs!$B$9+((C861=TRUE)*(F861-Calc!F26))+B869+(ArtifactsInput!$M$24-ArtifactsInput!$M$24)*CHOOSE(ArtifactsInput!$N$24+1,10,12,14,16,18,20)+IF(ArtifactsInput!$M$10,CHOOSE(ArtifactsInput!$N$10+1,15,18,21,24,27,30)*(IF(Inputs!$B$39="pvp",MIN(15,15)/15,IF(AND(Inputs!$B$39&lt;&gt;"pvp",Inputs!$B$44&gt;0),MIN(15,Inputs!$B$44)/(Inputs!$B$44),0))),0)))&gt;=100),MIN(100,((Inputs!$B$9+((C861=TRUE)*(F861-Calc!F26))+B869+(ArtifactsInput!$M$24-ArtifactsInput!$M$24)*CHOOSE(ArtifactsInput!$N$24+1,10,12,14,16,18,20)+IF(ArtifactsInput!$M$10,CHOOSE(ArtifactsInput!$N$10+1,15,18,21,24,27,30)*(IF(Inputs!$B$39="pvp",MIN(15,15)/15,IF(AND(Inputs!$B$39&lt;&gt;"pvp",Inputs!$B$44&gt;0),MIN(15,Inputs!$B$44)/(Inputs!$B$44),0))),0)))-100),0))*CHOOSE(ArtifactsInput!$N$42+1,0.6,0.72,0.84,0.96,1.08,1.2))),(Inputs!$B$18+1)+((C864=TRUE)*(F864-Calc!F29))+(IF(AND(Inputs!$B$39&lt;&gt;"pvp",Inputs!$B$44=0),1,IF(IF(Inputs!$B$39="pvp",15,Inputs!$B$44)-(B880)&lt;=0,1,MAX(0,IF(Inputs!$B$39="pvp",15,Inputs!$B$44)-MAX(5,B880))/(IF(Inputs!$B$39="pvp",15,Inputs!$B$44)-(B880))))*IF(AND(ArtifactsInput!$M$42,((Inputs!$B$9+((C861=TRUE)*(F861-Calc!F26))+B869+(ArtifactsInput!$M$24-ArtifactsInput!$M$24)*CHOOSE(ArtifactsInput!$N$24+1,10,12,14,16,18,20)+IF(ArtifactsInput!$M$10,CHOOSE(ArtifactsInput!$N$10+1,15,18,21,24,27,30)*(IF(Inputs!$B$39="pvp",MIN(15,15)/15,IF(AND(Inputs!$B$39&lt;&gt;"pvp",Inputs!$B$44&gt;0),MIN(15,Inputs!$B$44)/(Inputs!$B$44),0))),0)))&gt;=100),CHOOSE(ArtifactsInput!$N$42+1,40,48,56,64,72,80),0))))/100)*(((1+(((C857=TRUE)*F857*IF(AND(Inputs!$B$39&lt;&gt;"pvp",Inputs!$B$44&gt;0),(((R857-1)*MIN((Skills!Y22*(1+Inputs!$B$34/100)),(1/Q857))+MIN((Skills!Y22*(1+Inputs!$B$34/100)),MAX(0,Inputs!$B$44-((R857-1)*(1/Q857)))))/Inputs!$B$44),IF(Inputs!$B$39="pvp",MIN((Skills!Y22*(1+Inputs!$B$34/100)),15)/15,MIN(1,(Skills!Y22*(1+Inputs!$B$34/100))/(1/Q857)))))+((C838=TRUE)*F838*3)+((C840=TRUE)*F840*(1-EXP(-0.75*B873*5)))+((C859=TRUE)*(F859-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846=TRUE)*F846*IF(AND(Inputs!$B$39&lt;&gt;"pvp",Inputs!$B$44&gt;0),(((R846-1)*MIN((Skills!Y11*(1+Inputs!$B$34/100)),(1/Q846))+MIN((Skills!Y11*(1+Inputs!$B$34/100)),MAX(0,Inputs!$B$44-((R846-1)*(1/Q846)))))/Inputs!$B$44),IF(Inputs!$B$39="pvp",MIN((Skills!Y11*(1+Inputs!$B$34/100)),15)/15,MIN(1,(Skills!Y11*(1+Inputs!$B$34/100))/(1/Q846)))))/100)*(1+((C851=TRUE)*F851*IF(AND(Inputs!$B$39&lt;&gt;"pvp",Inputs!$B$44&gt;0),(((R851-1)*MIN((Skills!Y16*(1+Inputs!$B$34/100)),(1/Q851))+MIN((Skills!Y16*(1+Inputs!$B$34/100)),MAX(0,Inputs!$B$44-((R851-1)*(1/Q851)))))/Inputs!$B$44),IF(Inputs!$B$39="pvp",MIN((Skills!Y16*(1+Inputs!$B$34/100)),15)/15,MIN(1,(Skills!Y16*(1+Inputs!$B$34/100))/(1/Q851)))))/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871*I842)</f>
        <v/>
      </c>
      <c r="L842">
        <f>K842*(MIN(Inputs!$B$22+((C860=TRUE)*(F860-Calc!F25)),(Inputs!$B$23+((C865=TRUE)*(F865-Calc!F30))+IF(ArtifactsInput!$M$15,CHOOSE(ArtifactsInput!$N$15+1,25,30,35,40,45,50)/100*(Inputs!$B$11-Inputs!$B$11),0)))/100+(Inputs!$B$23+((C865=TRUE)*(F865-Calc!F30))+IF(ArtifactsInput!$M$15,CHOOSE(ArtifactsInput!$N$15+1,25,30,35,40,45,50)/100*(Inputs!$B$11-Inputs!$B$11),0))/100)/2</f>
        <v/>
      </c>
      <c r="M842">
        <f>L842*(1+(Inputs!$B$10+((C862=TRUE)*(F862-Calc!F27))+B876+(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842">
        <f>L842*(1-MIN((Inputs!$B$9+((C861=TRUE)*(F861-Calc!F26))+B869+(ArtifactsInput!$M$24-ArtifactsInput!$M$24)*CHOOSE(ArtifactsInput!$N$24+1,10,12,14,16,18,20)+(IF(AND(Inputs!$B$39&lt;&gt;"pvp",Inputs!$B$44=0),1,IF(IF(Inputs!$B$39="pvp",15,Inputs!$B$44)-(B880)&lt;=0,1,MAX(0,IF(Inputs!$B$39="pvp",15,Inputs!$B$44)-MAX(5,B880))/(IF(Inputs!$B$39="pvp",15,Inputs!$B$44)-(B880))))*IF(AND(ArtifactsInput!$M$42,((Inputs!$B$9+((C861=TRUE)*(F861-Calc!F26))+B869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842*(MIN((Inputs!$B$9+((C861=TRUE)*(F861-Calc!F26))+B869+(ArtifactsInput!$M$24-ArtifactsInput!$M$24)*CHOOSE(ArtifactsInput!$N$24+1,10,12,14,16,18,20)+(IF(AND(Inputs!$B$39&lt;&gt;"pvp",Inputs!$B$44=0),1,IF(IF(Inputs!$B$39="pvp",15,Inputs!$B$44)-(B880)&lt;=0,1,MAX(0,IF(Inputs!$B$39="pvp",15,Inputs!$B$44)-MAX(5,B880))/(IF(Inputs!$B$39="pvp",15,Inputs!$B$44)-(B880))))*IF(AND(ArtifactsInput!$M$42,((Inputs!$B$9+((C861=TRUE)*(F861-Calc!F26))+B869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842">
        <f>(1-Summary!$B$11)*T842+Summary!$B$11*V842</f>
        <v/>
      </c>
      <c r="P842">
        <f>IF(B881=0,0,O842/B881)</f>
        <v/>
      </c>
      <c r="Q842">
        <f>IFERROR(1/IF(Inputs!$B$39="pvp",15,MAX(0.1,Skills!D7-IF(TRUE=TRUE,Inputs!$B$32,0))),0)</f>
        <v/>
      </c>
      <c r="R842">
        <f>IF(AND(Inputs!$B$39&lt;&gt;"pvp",Inputs!$B$44&gt;0),IF(MAX(0,Inputs!$B$44-B880)&lt;=0,0,(INT(MAX(0,Inputs!$B$44-B880)/IF(Inputs!$B$39="pvp",15,MAX(0.1,Skills!D7-IF(TRUE=TRUE,Inputs!$B$32,0))))+1)),0)</f>
        <v/>
      </c>
      <c r="S842">
        <f>IFERROR(O842/N842,0)</f>
        <v/>
      </c>
      <c r="T842">
        <f>IF(C842,(H842*N842*IF(AND(Inputs!$B$39&lt;&gt;"pvp",Inputs!$B$44&gt;0),((Skills!G7*((R842-1)*IF(Skills!H7&gt;0,Skills!I7/Skills!H7,1)+IF(Skills!H7&gt;0,MIN(Skills!I7,MAX(0,MAX(0,Inputs!$B$44-B880)-((R842-1)*IF(Inputs!$B$39="pvp",15,MAX(0.1,Skills!D7-IF(TRUE=TRUE,Inputs!$B$32,0))))))/Skills!H7,1)))/Inputs!$B$44),G842*Q842))*IF(Inputs!$B$39="pvp",1,1+(Inputs!$B$20+0+Skills!P7+B870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Hunt"),CHOOSE(ArtifactsInput!$N$35+1,15,18,21,24,27,30)*(1-EXP(-(0.2*B873)*5)),0)+IF(AND(ArtifactsInput!$M$22,Inputs!$B$4&lt;&gt;"Chapter Hunt"),CHOOSE(ArtifactsInput!$N$22+1,10,12,14,16,18,20)*((0*(((0.15*B873*5))^0/1)+1*(((0.15*B873*5))^1/1)+2*(((0.15*B873*5))^2/2)+3*(((0.15*B873*5))^3/6)+4*(((0.15*B873*5))^4/24)+5*(((0.15*B873*5))^5/120))/((((0.15*B873*5))^0/1)+(((0.15*B873*5))^1/1)+(((0.15*B873*5))^2/2)+(((0.15*B873*5))^3/6)+(((0.15*B873*5))^4/24)+(((0.15*B873*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842*(1-MIN(100,(Inputs!$B$9+((C861=TRUE)*(F861-Calc!F26))+B869+(ArtifactsInput!$M$24-ArtifactsInput!$M$24)*CHOOSE(ArtifactsInput!$N$24+1,10,12,14,16,18,20)+(IF(AND(Inputs!$B$39&lt;&gt;"pvp",Inputs!$B$44=0),1,IF(IF(Inputs!$B$39="pvp",15,Inputs!$B$44)-(B880)&lt;=0,1,MAX(0,IF(Inputs!$B$39="pvp",15,Inputs!$B$44)-MAX(5,B880))/(IF(Inputs!$B$39="pvp",15,Inputs!$B$44)-(B880))))*IF(AND(ArtifactsInput!$M$42,((Inputs!$B$9+((C861=TRUE)*(F861-Calc!F26))+B869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842*(MIN(100,(Inputs!$B$9+((C861=TRUE)*(F861-Calc!F26))+B869+(ArtifactsInput!$M$24-ArtifactsInput!$M$24)*CHOOSE(ArtifactsInput!$N$24+1,10,12,14,16,18,20)+(IF(AND(Inputs!$B$39&lt;&gt;"pvp",Inputs!$B$44=0),1,IF(IF(Inputs!$B$39="pvp",15,Inputs!$B$44)-(B880)&lt;=0,1,MAX(0,IF(Inputs!$B$39="pvp",15,Inputs!$B$44)-MAX(5,B880))/(IF(Inputs!$B$39="pvp",15,Inputs!$B$44)-(B880))))*IF(AND(ArtifactsInput!$M$42,((Inputs!$B$9+((C861=TRUE)*(F861-Calc!F26))+B869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842*(1-MIN(100,(Inputs!$B$9+((C861=TRUE)*(F861-Calc!F26))+B869+(ArtifactsInput!$M$24-ArtifactsInput!$M$24)*CHOOSE(ArtifactsInput!$N$24+1,10,12,14,16,18,20)+(IF(AND(Inputs!$B$39&lt;&gt;"pvp",Inputs!$B$44=0),1,IF(IF(Inputs!$B$39="pvp",15,Inputs!$B$44)-(B880)&lt;=0,1,MAX(0,IF(Inputs!$B$39="pvp",15,Inputs!$B$44)-MAX(5,B880))/(IF(Inputs!$B$39="pvp",15,Inputs!$B$44)-(B880))))*IF(AND(ArtifactsInput!$M$42,((Inputs!$B$9+((C861=TRUE)*(F861-Calc!F26))+B869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842*(MIN(100,(Inputs!$B$9+((C861=TRUE)*(F861-Calc!F26))+B869+(ArtifactsInput!$M$24-ArtifactsInput!$M$24)*CHOOSE(ArtifactsInput!$N$24+1,10,12,14,16,18,20)+(IF(AND(Inputs!$B$39&lt;&gt;"pvp",Inputs!$B$44=0),1,IF(IF(Inputs!$B$39="pvp",15,Inputs!$B$44)-(B880)&lt;=0,1,MAX(0,IF(Inputs!$B$39="pvp",15,Inputs!$B$44)-MAX(5,B880))/(IF(Inputs!$B$39="pvp",15,Inputs!$B$44)-(B880))))*IF(AND(ArtifactsInput!$M$42,((Inputs!$B$9+((C861=TRUE)*(F861-Calc!F26))+B869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842">
        <f>IF(C842,(H842*N842*IF(AND(Inputs!$B$39&lt;&gt;"pvp",Inputs!$B$44&gt;0),((Skills!G7*((R842-1)*IF(Skills!H7&gt;0,Skills!I7/Skills!H7,1)+IF(Skills!H7&gt;0,MIN(Skills!I7,MAX(0,MAX(0,Inputs!$B$44-B880)-((R842-1)*IF(Inputs!$B$39="pvp",15,MAX(0.1,Skills!D7-IF(TRUE=TRUE,Inputs!$B$32,0))))))/Skills!H7,1)))/Inputs!$B$44),G842*Q842))*IF(Inputs!$B$39="pvp",1,(1+(Inputs!$B$21+Skills!Q7+B870+(IF(ArtifactsInput!$M$33,CHOOSE(ArtifactsInput!$N$33+1,30,36,42,48,54,60),0))+(IF(AND(ArtifactsInput!$M$35,Inputs!$B$4&lt;&gt;"Chapter Hunt"),CHOOSE(ArtifactsInput!$N$35+1,15,18,21,24,27,30)*(1-EXP(-(0.2*B873)*5)),0)+IF(AND(ArtifactsInput!$M$22,Inputs!$B$4&lt;&gt;"Chapter Hunt"),CHOOSE(ArtifactsInput!$N$22+1,10,12,14,16,18,20)*((0*(((0.15*B873*5))^0/1)+1*(((0.15*B873*5))^1/1)+2*(((0.15*B873*5))^2/2)+3*(((0.15*B873*5))^3/6)+4*(((0.15*B873*5))^4/24)+5*(((0.15*B873*5))^5/120))/((((0.15*B873*5))^0/1)+(((0.15*B873*5))^1/1)+(((0.15*B873*5))^2/2)+(((0.15*B873*5))^3/6)+(((0.15*B873*5))^4/24)+(((0.15*B873*5))^5/120))),0)))/100)*(MIN(Skills!W7,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843">
      <c r="A843">
        <f>Skills!A8</f>
        <v/>
      </c>
      <c r="B843">
        <f>Skills!B8</f>
        <v/>
      </c>
      <c r="C843">
        <f>Inputs!$B$3&gt;=60</f>
        <v/>
      </c>
      <c r="D843">
        <f>IF(Skills!C8=1,60+Inputs!$B$25+Inputs!$B$29,IF(Skills!C8=2,90+Inputs!$B$26+Inputs!$B$29,IF(Skills!C8=3,120+Inputs!$B$27+Inputs!$B$29,MAX(0,(Inputs!$B$3-100)*3)+Inputs!$B$28+Inputs!$B$29)))</f>
        <v/>
      </c>
      <c r="E843">
        <f>INDEX(FactorTable!$B$2:$Y$301, MATCH(ROUND(MIN(300,MAX(1,D843)),0), FactorTable!$A$2:$A$301,0), Skills!M8+1)</f>
        <v/>
      </c>
      <c r="F843">
        <f>IF(Skills!N8=TRUE,(Skills!L8/10)*(E843/1000),Skills!L8/10)+Skills!O8</f>
        <v/>
      </c>
      <c r="G843">
        <f>Skills!G8*IF(Skills!H8&gt;0,IF(Inputs!$B$39="pvp",MIN(Skills!I8,15),Skills!I8)/Skills!H8,1)</f>
        <v/>
      </c>
      <c r="H843">
        <f>1-(1-Skills!J8/100)^Skills!K8</f>
        <v/>
      </c>
      <c r="I843" t="inlineStr">
        <is>
          <t>1</t>
        </is>
      </c>
      <c r="J843" t="inlineStr"/>
      <c r="K843" t="inlineStr"/>
      <c r="L843" t="inlineStr"/>
      <c r="M843" t="inlineStr"/>
      <c r="N843" t="inlineStr"/>
      <c r="O843">
        <f>(1-Summary!$B$11)*T843+Summary!$B$11*V843</f>
        <v/>
      </c>
      <c r="P843">
        <f>IF(B881=0,0,O843/B881)</f>
        <v/>
      </c>
      <c r="Q843" t="n">
        <v>0</v>
      </c>
      <c r="R843" t="n">
        <v>0</v>
      </c>
      <c r="S843">
        <f>IFERROR(O843/N843,0)</f>
        <v/>
      </c>
      <c r="T843" t="n">
        <v>0</v>
      </c>
      <c r="V843" t="n">
        <v>0</v>
      </c>
    </row>
    <row r="844">
      <c r="A844">
        <f>Skills!A9</f>
        <v/>
      </c>
      <c r="B844">
        <f>Skills!B9</f>
        <v/>
      </c>
      <c r="C844">
        <f>Inputs!$B$3&gt;=72</f>
        <v/>
      </c>
      <c r="D844">
        <f>IF(Skills!C9=1,60+Inputs!$B$25+Inputs!$B$29,IF(Skills!C9=2,90+Inputs!$B$26+Inputs!$B$29,IF(Skills!C9=3,120+Inputs!$B$27+Inputs!$B$29,MAX(0,(Inputs!$B$3-100)*3)+Inputs!$B$28+Inputs!$B$29)))</f>
        <v/>
      </c>
      <c r="E844">
        <f>INDEX(FactorTable!$B$2:$Y$301, MATCH(ROUND(MIN(300,MAX(1,D844)),0), FactorTable!$A$2:$A$301,0), Skills!M9+1)</f>
        <v/>
      </c>
      <c r="F844">
        <f>IF(Skills!N9=TRUE,(Skills!L9/10)*(E844/1000),Skills!L9/10)+Skills!O9</f>
        <v/>
      </c>
      <c r="G844">
        <f>Skills!G9*IF(Skills!H9&gt;0,IF(Inputs!$B$39="pvp",MIN(Skills!I9,15),Skills!I9)/Skills!H9,1)</f>
        <v/>
      </c>
      <c r="H844">
        <f>1-(1-Skills!J9/100)^Skills!K9</f>
        <v/>
      </c>
      <c r="I844" t="inlineStr">
        <is>
          <t>1</t>
        </is>
      </c>
      <c r="J844">
        <f>((Inputs!$B$6*(1+Inputs!$B$7/100))+(((Inputs!$B$12*(1+Inputs!$B$13/100))-(Inputs!$B$12*(1+Inputs!$B$13/100)))+0.25*(Inputs!$B$14-Inputs!$B$14))*(1+Inputs!$B$7/100))*(F844/100)</f>
        <v/>
      </c>
      <c r="K844">
        <f>J844*(1+((Inputs!$B$12*(1+Inputs!$B$13/100))*0.01+Inputs!$B$14*0.0025)/100)*(1+Inputs!$B$15/100)*(1+Inputs!$B$16/100)*(5000/(6000+Inputs!$B$43*(1-(100*(1-(1-Inputs!$B$19/100)*(1-CHOOSE(ArtifactsInput!$N$40+1,5,6,7,8,9,10)/100)^(ArtifactsInput!$M$40-ArtifactsInput!$M$40)))/100)))*(1+(Inputs!$B$24+((C866=TRUE)*(F866-Calc!F31))+((C853=TRUE)*(F853-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+3.3333333333333335*IF(C854=TRUE,F854,0)/100)*(1+(IF(Skills!A9="CRUEL_STAB",Inputs!$B$17+((C863=TRUE)*(F863-Calc!F28))+((IF(AND(Inputs!$B$39&lt;&gt;"pvp",Inputs!$B$44=0),1,IF(IF(Inputs!$B$39="pvp",15,Inputs!$B$44)-(B880)&lt;=0,1,MAX(0,IF(Inputs!$B$39="pvp",15,Inputs!$B$44)-MAX(5,B880))/(IF(Inputs!$B$39="pvp",15,Inputs!$B$44)-(B880))))*(IF(AND(ArtifactsInput!$M$42,((Inputs!$B$9+((C861=TRUE)*(F861-Calc!F26))+B869+(ArtifactsInput!$M$24-ArtifactsInput!$M$24)*CHOOSE(ArtifactsInput!$N$24+1,10,12,14,16,18,20)+IF(ArtifactsInput!$M$10,CHOOSE(ArtifactsInput!$N$10+1,15,18,21,24,27,30)*(IF(Inputs!$B$39="pvp",MIN(15,15)/15,IF(AND(Inputs!$B$39&lt;&gt;"pvp",Inputs!$B$44&gt;0),MIN(15,Inputs!$B$44)/(Inputs!$B$44),0))),0)))&gt;=100),MIN(100,((Inputs!$B$9+((C861=TRUE)*(F861-Calc!F26))+B869+(ArtifactsInput!$M$24-ArtifactsInput!$M$24)*CHOOSE(ArtifactsInput!$N$24+1,10,12,14,16,18,20)+IF(ArtifactsInput!$M$10,CHOOSE(ArtifactsInput!$N$10+1,15,18,21,24,27,30)*(IF(Inputs!$B$39="pvp",MIN(15,15)/15,IF(AND(Inputs!$B$39&lt;&gt;"pvp",Inputs!$B$44&gt;0),MIN(15,Inputs!$B$44)/(Inputs!$B$44),0))),0)))-100),0))*CHOOSE(ArtifactsInput!$N$42+1,0.6,0.72,0.84,0.96,1.08,1.2))),(Inputs!$B$18+1)+((C864=TRUE)*(F864-Calc!F29))+(IF(AND(Inputs!$B$39&lt;&gt;"pvp",Inputs!$B$44=0),1,IF(IF(Inputs!$B$39="pvp",15,Inputs!$B$44)-(B880)&lt;=0,1,MAX(0,IF(Inputs!$B$39="pvp",15,Inputs!$B$44)-MAX(5,B880))/(IF(Inputs!$B$39="pvp",15,Inputs!$B$44)-(B880))))*IF(AND(ArtifactsInput!$M$42,((Inputs!$B$9+((C861=TRUE)*(F861-Calc!F26))+B869+(ArtifactsInput!$M$24-ArtifactsInput!$M$24)*CHOOSE(ArtifactsInput!$N$24+1,10,12,14,16,18,20)+IF(ArtifactsInput!$M$10,CHOOSE(ArtifactsInput!$N$10+1,15,18,21,24,27,30)*(IF(Inputs!$B$39="pvp",MIN(15,15)/15,IF(AND(Inputs!$B$39&lt;&gt;"pvp",Inputs!$B$44&gt;0),MIN(15,Inputs!$B$44)/(Inputs!$B$44),0))),0)))&gt;=100),CHOOSE(ArtifactsInput!$N$42+1,40,48,56,64,72,80),0))))/100)*(((1+(((C857=TRUE)*F857*IF(AND(Inputs!$B$39&lt;&gt;"pvp",Inputs!$B$44&gt;0),(((R857-1)*MIN((Skills!Y22*(1+Inputs!$B$34/100)),(1/Q857))+MIN((Skills!Y22*(1+Inputs!$B$34/100)),MAX(0,Inputs!$B$44-((R857-1)*(1/Q857)))))/Inputs!$B$44),IF(Inputs!$B$39="pvp",MIN((Skills!Y22*(1+Inputs!$B$34/100)),15)/15,MIN(1,(Skills!Y22*(1+Inputs!$B$34/100))/(1/Q857)))))+((C838=TRUE)*F838*3)+((C840=TRUE)*F840*(1-EXP(-0.75*B873*5)))+((C859=TRUE)*(F859-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846=TRUE)*F846*IF(AND(Inputs!$B$39&lt;&gt;"pvp",Inputs!$B$44&gt;0),(((R846-1)*MIN((Skills!Y11*(1+Inputs!$B$34/100)),(1/Q846))+MIN((Skills!Y11*(1+Inputs!$B$34/100)),MAX(0,Inputs!$B$44-((R846-1)*(1/Q846)))))/Inputs!$B$44),IF(Inputs!$B$39="pvp",MIN((Skills!Y11*(1+Inputs!$B$34/100)),15)/15,MIN(1,(Skills!Y11*(1+Inputs!$B$34/100))/(1/Q846)))))/100)*(1+((C851=TRUE)*F851*IF(AND(Inputs!$B$39&lt;&gt;"pvp",Inputs!$B$44&gt;0),(((R851-1)*MIN((Skills!Y16*(1+Inputs!$B$34/100)),(1/Q851))+MIN((Skills!Y16*(1+Inputs!$B$34/100)),MAX(0,Inputs!$B$44-((R851-1)*(1/Q851)))))/Inputs!$B$44),IF(Inputs!$B$39="pvp",MIN((Skills!Y16*(1+Inputs!$B$34/100)),15)/15,MIN(1,(Skills!Y16*(1+Inputs!$B$34/100))/(1/Q851)))))/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871*I844)</f>
        <v/>
      </c>
      <c r="L844">
        <f>K844*(MIN(Inputs!$B$22+((C860=TRUE)*(F860-Calc!F25)),(Inputs!$B$23+((C865=TRUE)*(F865-Calc!F30))+IF(ArtifactsInput!$M$15,CHOOSE(ArtifactsInput!$N$15+1,25,30,35,40,45,50)/100*(Inputs!$B$11-Inputs!$B$11),0)))/100+(Inputs!$B$23+((C865=TRUE)*(F865-Calc!F30))+IF(ArtifactsInput!$M$15,CHOOSE(ArtifactsInput!$N$15+1,25,30,35,40,45,50)/100*(Inputs!$B$11-Inputs!$B$11),0))/100)/2</f>
        <v/>
      </c>
      <c r="M844">
        <f>L844*(1+(Inputs!$B$10+((C862=TRUE)*(F862-Calc!F27))+B876+(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844">
        <f>L844*(1-MIN((Inputs!$B$9+((C861=TRUE)*(F861-Calc!F26))+B869+(ArtifactsInput!$M$24-ArtifactsInput!$M$24)*CHOOSE(ArtifactsInput!$N$24+1,10,12,14,16,18,20)+(IF(AND(Inputs!$B$39&lt;&gt;"pvp",Inputs!$B$44=0),1,IF(IF(Inputs!$B$39="pvp",15,Inputs!$B$44)-(B880)&lt;=0,1,MAX(0,IF(Inputs!$B$39="pvp",15,Inputs!$B$44)-MAX(5,B880))/(IF(Inputs!$B$39="pvp",15,Inputs!$B$44)-(B880))))*IF(AND(ArtifactsInput!$M$42,((Inputs!$B$9+((C861=TRUE)*(F861-Calc!F26))+B869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844*(MIN((Inputs!$B$9+((C861=TRUE)*(F861-Calc!F26))+B869+(ArtifactsInput!$M$24-ArtifactsInput!$M$24)*CHOOSE(ArtifactsInput!$N$24+1,10,12,14,16,18,20)+(IF(AND(Inputs!$B$39&lt;&gt;"pvp",Inputs!$B$44=0),1,IF(IF(Inputs!$B$39="pvp",15,Inputs!$B$44)-(B880)&lt;=0,1,MAX(0,IF(Inputs!$B$39="pvp",15,Inputs!$B$44)-MAX(5,B880))/(IF(Inputs!$B$39="pvp",15,Inputs!$B$44)-(B880))))*IF(AND(ArtifactsInput!$M$42,((Inputs!$B$9+((C861=TRUE)*(F861-Calc!F26))+B869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844">
        <f>(1-Summary!$B$11)*T844+Summary!$B$11*V844</f>
        <v/>
      </c>
      <c r="P844">
        <f>IF(B881=0,0,O844/B881)</f>
        <v/>
      </c>
      <c r="Q844">
        <f>IFERROR(1/IF(Inputs!$B$39="pvp",15,MAX(0.1,Skills!D9-IF(FALSE=TRUE,Inputs!$B$32,0))),0)</f>
        <v/>
      </c>
      <c r="R844">
        <f>IF(AND(Inputs!$B$39&lt;&gt;"pvp",Inputs!$B$44&gt;0),IF(MAX(0,Inputs!$B$44-B880)&lt;=0,0,(INT(MAX(0,Inputs!$B$44-B880)/IF(Inputs!$B$39="pvp",15,MAX(0.1,Skills!D9-IF(FALSE=TRUE,Inputs!$B$32,0))))+1)),0)</f>
        <v/>
      </c>
      <c r="S844">
        <f>IFERROR(O844/N844,0)</f>
        <v/>
      </c>
      <c r="T844">
        <f>IF(C844,(H844*N844*IF(AND(Inputs!$B$39&lt;&gt;"pvp",Inputs!$B$44&gt;0),((Skills!G9*((R844-1)*IF(Skills!H9&gt;0,Skills!I9/Skills!H9,1)+IF(Skills!H9&gt;0,MIN(Skills!I9,MAX(0,MAX(0,Inputs!$B$44-B880)-((R844-1)*IF(Inputs!$B$39="pvp",15,MAX(0.1,Skills!D9-IF(FALSE=TRUE,Inputs!$B$32,0))))))/Skills!H9,1)))/Inputs!$B$44),G844*Q844))*IF(Inputs!$B$39="pvp",1,1+(Inputs!$B$20+0+Skills!P9+B870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Hunt"),CHOOSE(ArtifactsInput!$N$35+1,15,18,21,24,27,30)*(1-EXP(-(0.2*B873)*5)),0)+IF(AND(ArtifactsInput!$M$22,Inputs!$B$4&lt;&gt;"Chapter Hunt"),CHOOSE(ArtifactsInput!$N$22+1,10,12,14,16,18,20)*((0*(((0.15*B873*5))^0/1)+1*(((0.15*B873*5))^1/1)+2*(((0.15*B873*5))^2/2)+3*(((0.15*B873*5))^3/6)+4*(((0.15*B873*5))^4/24)+5*(((0.15*B873*5))^5/120))/((((0.15*B873*5))^0/1)+(((0.15*B873*5))^1/1)+(((0.15*B873*5))^2/2)+(((0.15*B873*5))^3/6)+(((0.15*B873*5))^4/24)+(((0.15*B873*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844*(1-MIN(100,(Inputs!$B$9+((C861=TRUE)*(F861-Calc!F26))+B869+(ArtifactsInput!$M$24-ArtifactsInput!$M$24)*CHOOSE(ArtifactsInput!$N$24+1,10,12,14,16,18,20)+(IF(AND(Inputs!$B$39&lt;&gt;"pvp",Inputs!$B$44=0),1,IF(IF(Inputs!$B$39="pvp",15,Inputs!$B$44)-(B880)&lt;=0,1,MAX(0,IF(Inputs!$B$39="pvp",15,Inputs!$B$44)-MAX(5,B880))/(IF(Inputs!$B$39="pvp",15,Inputs!$B$44)-(B880))))*IF(AND(ArtifactsInput!$M$42,((Inputs!$B$9+((C861=TRUE)*(F861-Calc!F26))+B869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844*(MIN(100,(Inputs!$B$9+((C861=TRUE)*(F861-Calc!F26))+B869+(ArtifactsInput!$M$24-ArtifactsInput!$M$24)*CHOOSE(ArtifactsInput!$N$24+1,10,12,14,16,18,20)+(IF(AND(Inputs!$B$39&lt;&gt;"pvp",Inputs!$B$44=0),1,IF(IF(Inputs!$B$39="pvp",15,Inputs!$B$44)-(B880)&lt;=0,1,MAX(0,IF(Inputs!$B$39="pvp",15,Inputs!$B$44)-MAX(5,B880))/(IF(Inputs!$B$39="pvp",15,Inputs!$B$44)-(B880))))*IF(AND(ArtifactsInput!$M$42,((Inputs!$B$9+((C861=TRUE)*(F861-Calc!F26))+B869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844*(1-MIN(100,(Inputs!$B$9+((C861=TRUE)*(F861-Calc!F26))+B869+(ArtifactsInput!$M$24-ArtifactsInput!$M$24)*CHOOSE(ArtifactsInput!$N$24+1,10,12,14,16,18,20)+(IF(AND(Inputs!$B$39&lt;&gt;"pvp",Inputs!$B$44=0),1,IF(IF(Inputs!$B$39="pvp",15,Inputs!$B$44)-(B880)&lt;=0,1,MAX(0,IF(Inputs!$B$39="pvp",15,Inputs!$B$44)-MAX(5,B880))/(IF(Inputs!$B$39="pvp",15,Inputs!$B$44)-(B880))))*IF(AND(ArtifactsInput!$M$42,((Inputs!$B$9+((C861=TRUE)*(F861-Calc!F26))+B869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844*(MIN(100,(Inputs!$B$9+((C861=TRUE)*(F861-Calc!F26))+B869+(ArtifactsInput!$M$24-ArtifactsInput!$M$24)*CHOOSE(ArtifactsInput!$N$24+1,10,12,14,16,18,20)+(IF(AND(Inputs!$B$39&lt;&gt;"pvp",Inputs!$B$44=0),1,IF(IF(Inputs!$B$39="pvp",15,Inputs!$B$44)-(B880)&lt;=0,1,MAX(0,IF(Inputs!$B$39="pvp",15,Inputs!$B$44)-MAX(5,B880))/(IF(Inputs!$B$39="pvp",15,Inputs!$B$44)-(B880))))*IF(AND(ArtifactsInput!$M$42,((Inputs!$B$9+((C861=TRUE)*(F861-Calc!F26))+B869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844">
        <f>IF(C844,(H844*N844*IF(AND(Inputs!$B$39&lt;&gt;"pvp",Inputs!$B$44&gt;0),((Skills!G9*((R844-1)*IF(Skills!H9&gt;0,Skills!I9/Skills!H9,1)+IF(Skills!H9&gt;0,MIN(Skills!I9,MAX(0,MAX(0,Inputs!$B$44-B880)-((R844-1)*IF(Inputs!$B$39="pvp",15,MAX(0.1,Skills!D9-IF(FALSE=TRUE,Inputs!$B$32,0))))))/Skills!H9,1)))/Inputs!$B$44),G844*Q844))*IF(Inputs!$B$39="pvp",1,(1+(Inputs!$B$21+Skills!Q9+B870+(IF(ArtifactsInput!$M$33,CHOOSE(ArtifactsInput!$N$33+1,30,36,42,48,54,60),0))+(IF(AND(ArtifactsInput!$M$35,Inputs!$B$4&lt;&gt;"Chapter Hunt"),CHOOSE(ArtifactsInput!$N$35+1,15,18,21,24,27,30)*(1-EXP(-(0.2*B873)*5)),0)+IF(AND(ArtifactsInput!$M$22,Inputs!$B$4&lt;&gt;"Chapter Hunt"),CHOOSE(ArtifactsInput!$N$22+1,10,12,14,16,18,20)*((0*(((0.15*B873*5))^0/1)+1*(((0.15*B873*5))^1/1)+2*(((0.15*B873*5))^2/2)+3*(((0.15*B873*5))^3/6)+4*(((0.15*B873*5))^4/24)+5*(((0.15*B873*5))^5/120))/((((0.15*B873*5))^0/1)+(((0.15*B873*5))^1/1)+(((0.15*B873*5))^2/2)+(((0.15*B873*5))^3/6)+(((0.15*B873*5))^4/24)+(((0.15*B873*5))^5/120))),0)))/100)*(MIN(Skills!W9,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845">
      <c r="A845">
        <f>Skills!A10</f>
        <v/>
      </c>
      <c r="B845">
        <f>Skills!B10</f>
        <v/>
      </c>
      <c r="C845">
        <f>Inputs!$B$3&gt;=117</f>
        <v/>
      </c>
      <c r="D845">
        <f>IF(Skills!C10=1,60+Inputs!$B$25+Inputs!$B$29,IF(Skills!C10=2,90+Inputs!$B$26+Inputs!$B$29,IF(Skills!C10=3,120+Inputs!$B$27+Inputs!$B$29,MAX(0,(Inputs!$B$3-100)*3)+Inputs!$B$28+Inputs!$B$29)))</f>
        <v/>
      </c>
      <c r="E845">
        <f>INDEX(FactorTable!$B$2:$Y$301, MATCH(ROUND(MIN(300,MAX(1,D845)),0), FactorTable!$A$2:$A$301,0), Skills!M10+1)</f>
        <v/>
      </c>
      <c r="F845">
        <f>IF(Skills!N10=TRUE,(Skills!L10/10)*(E845/1000),Skills!L10/10)+Skills!O10</f>
        <v/>
      </c>
      <c r="G845">
        <f>Skills!G10*IF(Skills!H10&gt;0,IF(Inputs!$B$39="pvp",MIN(Skills!I10,15),Skills!I10)/Skills!H10,1)</f>
        <v/>
      </c>
      <c r="H845">
        <f>1-(1-Skills!J10/100)^Skills!K10</f>
        <v/>
      </c>
      <c r="I845" t="inlineStr">
        <is>
          <t>1</t>
        </is>
      </c>
      <c r="J845">
        <f>((Inputs!$B$6*(1+Inputs!$B$7/100))+(((Inputs!$B$12*(1+Inputs!$B$13/100))-(Inputs!$B$12*(1+Inputs!$B$13/100)))+0.25*(Inputs!$B$14-Inputs!$B$14))*(1+Inputs!$B$7/100))*(F845/100)</f>
        <v/>
      </c>
      <c r="K845">
        <f>J845*(1+((Inputs!$B$12*(1+Inputs!$B$13/100))*0.01+Inputs!$B$14*0.0025)/100)*(1+Inputs!$B$15/100)*(1+Inputs!$B$16/100)*(5000/(6000+Inputs!$B$43*(1-(100*(1-(1-Inputs!$B$19/100)*(1-CHOOSE(ArtifactsInput!$N$40+1,5,6,7,8,9,10)/100)^(ArtifactsInput!$M$40-ArtifactsInput!$M$40)))/100)))*(1+(Inputs!$B$24+((C866=TRUE)*(F866-Calc!F31))+((C853=TRUE)*(F853-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10="CRUEL_STAB",Inputs!$B$17+((C863=TRUE)*(F863-Calc!F28))+((IF(AND(Inputs!$B$39&lt;&gt;"pvp",Inputs!$B$44=0),1,IF(IF(Inputs!$B$39="pvp",15,Inputs!$B$44)-(B880)&lt;=0,1,MAX(0,IF(Inputs!$B$39="pvp",15,Inputs!$B$44)-MAX(5,B880))/(IF(Inputs!$B$39="pvp",15,Inputs!$B$44)-(B880))))*(IF(AND(ArtifactsInput!$M$42,((Inputs!$B$9+((C861=TRUE)*(F861-Calc!F26))+B869+(ArtifactsInput!$M$24-ArtifactsInput!$M$24)*CHOOSE(ArtifactsInput!$N$24+1,10,12,14,16,18,20)+IF(ArtifactsInput!$M$10,CHOOSE(ArtifactsInput!$N$10+1,15,18,21,24,27,30)*(IF(Inputs!$B$39="pvp",MIN(15,15)/15,IF(AND(Inputs!$B$39&lt;&gt;"pvp",Inputs!$B$44&gt;0),MIN(15,Inputs!$B$44)/(Inputs!$B$44),0))),0)))&gt;=100),MIN(100,((Inputs!$B$9+((C861=TRUE)*(F861-Calc!F26))+B869+(ArtifactsInput!$M$24-ArtifactsInput!$M$24)*CHOOSE(ArtifactsInput!$N$24+1,10,12,14,16,18,20)+IF(ArtifactsInput!$M$10,CHOOSE(ArtifactsInput!$N$10+1,15,18,21,24,27,30)*(IF(Inputs!$B$39="pvp",MIN(15,15)/15,IF(AND(Inputs!$B$39&lt;&gt;"pvp",Inputs!$B$44&gt;0),MIN(15,Inputs!$B$44)/(Inputs!$B$44),0))),0)))-100),0))*CHOOSE(ArtifactsInput!$N$42+1,0.6,0.72,0.84,0.96,1.08,1.2))),(Inputs!$B$18+1)+((C864=TRUE)*(F864-Calc!F29))+(IF(AND(Inputs!$B$39&lt;&gt;"pvp",Inputs!$B$44=0),1,IF(IF(Inputs!$B$39="pvp",15,Inputs!$B$44)-(B880)&lt;=0,1,MAX(0,IF(Inputs!$B$39="pvp",15,Inputs!$B$44)-MAX(5,B880))/(IF(Inputs!$B$39="pvp",15,Inputs!$B$44)-(B880))))*IF(AND(ArtifactsInput!$M$42,((Inputs!$B$9+((C861=TRUE)*(F861-Calc!F26))+B869+(ArtifactsInput!$M$24-ArtifactsInput!$M$24)*CHOOSE(ArtifactsInput!$N$24+1,10,12,14,16,18,20)+IF(ArtifactsInput!$M$10,CHOOSE(ArtifactsInput!$N$10+1,15,18,21,24,27,30)*(IF(Inputs!$B$39="pvp",MIN(15,15)/15,IF(AND(Inputs!$B$39&lt;&gt;"pvp",Inputs!$B$44&gt;0),MIN(15,Inputs!$B$44)/(Inputs!$B$44),0))),0)))&gt;=100),CHOOSE(ArtifactsInput!$N$42+1,40,48,56,64,72,80),0))))/100)*(((1+(((C857=TRUE)*F857*IF(AND(Inputs!$B$39&lt;&gt;"pvp",Inputs!$B$44&gt;0),(((R857-1)*MIN((Skills!Y22*(1+Inputs!$B$34/100)),(1/Q857))+MIN((Skills!Y22*(1+Inputs!$B$34/100)),MAX(0,Inputs!$B$44-((R857-1)*(1/Q857)))))/Inputs!$B$44),IF(Inputs!$B$39="pvp",MIN((Skills!Y22*(1+Inputs!$B$34/100)),15)/15,MIN(1,(Skills!Y22*(1+Inputs!$B$34/100))/(1/Q857)))))+((C838=TRUE)*F838*3)+((C840=TRUE)*F840*(1-EXP(-0.75*B873*5)))+((C859=TRUE)*(F859-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846=TRUE)*F846*IF(AND(Inputs!$B$39&lt;&gt;"pvp",Inputs!$B$44&gt;0),(((R846-1)*MIN((Skills!Y11*(1+Inputs!$B$34/100)),(1/Q846))+MIN((Skills!Y11*(1+Inputs!$B$34/100)),MAX(0,Inputs!$B$44-((R846-1)*(1/Q846)))))/Inputs!$B$44),IF(Inputs!$B$39="pvp",MIN((Skills!Y11*(1+Inputs!$B$34/100)),15)/15,MIN(1,(Skills!Y11*(1+Inputs!$B$34/100))/(1/Q846)))))/100)*(1+((C851=TRUE)*F851*IF(AND(Inputs!$B$39&lt;&gt;"pvp",Inputs!$B$44&gt;0),(((R851-1)*MIN((Skills!Y16*(1+Inputs!$B$34/100)),(1/Q851))+MIN((Skills!Y16*(1+Inputs!$B$34/100)),MAX(0,Inputs!$B$44-((R851-1)*(1/Q851)))))/Inputs!$B$44),IF(Inputs!$B$39="pvp",MIN((Skills!Y16*(1+Inputs!$B$34/100)),15)/15,MIN(1,(Skills!Y16*(1+Inputs!$B$34/100))/(1/Q851)))))/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871*I845)</f>
        <v/>
      </c>
      <c r="L845">
        <f>K845*(MIN(Inputs!$B$22+((C860=TRUE)*(F860-Calc!F25)),(Inputs!$B$23+((C865=TRUE)*(F865-Calc!F30))+IF(ArtifactsInput!$M$15,CHOOSE(ArtifactsInput!$N$15+1,25,30,35,40,45,50)/100*(Inputs!$B$11-Inputs!$B$11),0)))/100+(Inputs!$B$23+((C865=TRUE)*(F865-Calc!F30))+IF(ArtifactsInput!$M$15,CHOOSE(ArtifactsInput!$N$15+1,25,30,35,40,45,50)/100*(Inputs!$B$11-Inputs!$B$11),0))/100)/2</f>
        <v/>
      </c>
      <c r="M845">
        <f>L845*(1+(Inputs!$B$10+((C862=TRUE)*(F862-Calc!F27))+B876+(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845">
        <f>L845*(1-MIN((Inputs!$B$9+((C861=TRUE)*(F861-Calc!F26))+B869+(ArtifactsInput!$M$24-ArtifactsInput!$M$24)*CHOOSE(ArtifactsInput!$N$24+1,10,12,14,16,18,20)+(IF(AND(Inputs!$B$39&lt;&gt;"pvp",Inputs!$B$44=0),1,IF(IF(Inputs!$B$39="pvp",15,Inputs!$B$44)-(B880)&lt;=0,1,MAX(0,IF(Inputs!$B$39="pvp",15,Inputs!$B$44)-MAX(5,B880))/(IF(Inputs!$B$39="pvp",15,Inputs!$B$44)-(B880))))*IF(AND(ArtifactsInput!$M$42,((Inputs!$B$9+((C861=TRUE)*(F861-Calc!F26))+B869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845*(MIN((Inputs!$B$9+((C861=TRUE)*(F861-Calc!F26))+B869+(ArtifactsInput!$M$24-ArtifactsInput!$M$24)*CHOOSE(ArtifactsInput!$N$24+1,10,12,14,16,18,20)+(IF(AND(Inputs!$B$39&lt;&gt;"pvp",Inputs!$B$44=0),1,IF(IF(Inputs!$B$39="pvp",15,Inputs!$B$44)-(B880)&lt;=0,1,MAX(0,IF(Inputs!$B$39="pvp",15,Inputs!$B$44)-MAX(5,B880))/(IF(Inputs!$B$39="pvp",15,Inputs!$B$44)-(B880))))*IF(AND(ArtifactsInput!$M$42,((Inputs!$B$9+((C861=TRUE)*(F861-Calc!F26))+B869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845">
        <f>(1-Summary!$B$11)*T845+Summary!$B$11*V845</f>
        <v/>
      </c>
      <c r="P845">
        <f>IF(B881=0,0,O845/B881)</f>
        <v/>
      </c>
      <c r="Q845" t="n">
        <v>0</v>
      </c>
      <c r="R845" t="n">
        <v>0</v>
      </c>
      <c r="S845" t="n">
        <v>0</v>
      </c>
      <c r="T845">
        <f>IF(C845,(0.2*SUMPRODUCT((Skills!Z2:Z31=TRUE)*(C837:C866=TRUE)*S837:S866)*N845)*IF(Inputs!$B$39="pvp",1,1+(Inputs!$B$20+0+Skills!P10+B870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Hunt"),CHOOSE(ArtifactsInput!$N$35+1,15,18,21,24,27,30)*(1-EXP(-(0.2*B873)*5)),0)+IF(AND(ArtifactsInput!$M$22,Inputs!$B$4&lt;&gt;"Chapter Hunt"),CHOOSE(ArtifactsInput!$N$22+1,10,12,14,16,18,20)*((0*(((0.15*B873*5))^0/1)+1*(((0.15*B873*5))^1/1)+2*(((0.15*B873*5))^2/2)+3*(((0.15*B873*5))^3/6)+4*(((0.15*B873*5))^4/24)+5*(((0.15*B873*5))^5/120))/((((0.15*B873*5))^0/1)+(((0.15*B873*5))^1/1)+(((0.15*B873*5))^2/2)+(((0.15*B873*5))^3/6)+(((0.15*B873*5))^4/24)+(((0.15*B873*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845*(1-MIN(100,(Inputs!$B$9+((C861=TRUE)*(F861-Calc!F26))+B869+(ArtifactsInput!$M$24-ArtifactsInput!$M$24)*CHOOSE(ArtifactsInput!$N$24+1,10,12,14,16,18,20)+(IF(AND(Inputs!$B$39&lt;&gt;"pvp",Inputs!$B$44=0),1,IF(IF(Inputs!$B$39="pvp",15,Inputs!$B$44)-(B880)&lt;=0,1,MAX(0,IF(Inputs!$B$39="pvp",15,Inputs!$B$44)-MAX(5,B880))/(IF(Inputs!$B$39="pvp",15,Inputs!$B$44)-(B880))))*IF(AND(ArtifactsInput!$M$42,((Inputs!$B$9+((C861=TRUE)*(F861-Calc!F26))+B869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845*(MIN(100,(Inputs!$B$9+((C861=TRUE)*(F861-Calc!F26))+B869+(ArtifactsInput!$M$24-ArtifactsInput!$M$24)*CHOOSE(ArtifactsInput!$N$24+1,10,12,14,16,18,20)+(IF(AND(Inputs!$B$39&lt;&gt;"pvp",Inputs!$B$44=0),1,IF(IF(Inputs!$B$39="pvp",15,Inputs!$B$44)-(B880)&lt;=0,1,MAX(0,IF(Inputs!$B$39="pvp",15,Inputs!$B$44)-MAX(5,B880))/(IF(Inputs!$B$39="pvp",15,Inputs!$B$44)-(B880))))*IF(AND(ArtifactsInput!$M$42,((Inputs!$B$9+((C861=TRUE)*(F861-Calc!F26))+B869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845*(1-MIN(100,(Inputs!$B$9+((C861=TRUE)*(F861-Calc!F26))+B869+(ArtifactsInput!$M$24-ArtifactsInput!$M$24)*CHOOSE(ArtifactsInput!$N$24+1,10,12,14,16,18,20)+(IF(AND(Inputs!$B$39&lt;&gt;"pvp",Inputs!$B$44=0),1,IF(IF(Inputs!$B$39="pvp",15,Inputs!$B$44)-(B880)&lt;=0,1,MAX(0,IF(Inputs!$B$39="pvp",15,Inputs!$B$44)-MAX(5,B880))/(IF(Inputs!$B$39="pvp",15,Inputs!$B$44)-(B880))))*IF(AND(ArtifactsInput!$M$42,((Inputs!$B$9+((C861=TRUE)*(F861-Calc!F26))+B869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845*(MIN(100,(Inputs!$B$9+((C861=TRUE)*(F861-Calc!F26))+B869+(ArtifactsInput!$M$24-ArtifactsInput!$M$24)*CHOOSE(ArtifactsInput!$N$24+1,10,12,14,16,18,20)+(IF(AND(Inputs!$B$39&lt;&gt;"pvp",Inputs!$B$44=0),1,IF(IF(Inputs!$B$39="pvp",15,Inputs!$B$44)-(B880)&lt;=0,1,MAX(0,IF(Inputs!$B$39="pvp",15,Inputs!$B$44)-MAX(5,B880))/(IF(Inputs!$B$39="pvp",15,Inputs!$B$44)-(B880))))*IF(AND(ArtifactsInput!$M$42,((Inputs!$B$9+((C861=TRUE)*(F861-Calc!F26))+B869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845">
        <f>IF(C845,(0.2*SUMPRODUCT((Skills!Z2:Z31=TRUE)*(C837:C866=TRUE)*S837:S866)*N845)*IF(Inputs!$B$39="pvp",1,(1+(Inputs!$B$21+Skills!Q10+B870+(IF(ArtifactsInput!$M$33,CHOOSE(ArtifactsInput!$N$33+1,30,36,42,48,54,60),0))+(IF(AND(ArtifactsInput!$M$35,Inputs!$B$4&lt;&gt;"Chapter Hunt"),CHOOSE(ArtifactsInput!$N$35+1,15,18,21,24,27,30)*(1-EXP(-(0.2*B873)*5)),0)+IF(AND(ArtifactsInput!$M$22,Inputs!$B$4&lt;&gt;"Chapter Hunt"),CHOOSE(ArtifactsInput!$N$22+1,10,12,14,16,18,20)*((0*(((0.15*B873*5))^0/1)+1*(((0.15*B873*5))^1/1)+2*(((0.15*B873*5))^2/2)+3*(((0.15*B873*5))^3/6)+4*(((0.15*B873*5))^4/24)+5*(((0.15*B873*5))^5/120))/((((0.15*B873*5))^0/1)+(((0.15*B873*5))^1/1)+(((0.15*B873*5))^2/2)+(((0.15*B873*5))^3/6)+(((0.15*B873*5))^4/24)+(((0.15*B873*5))^5/120))),0)))/100)*(MIN(Skills!W10,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846">
      <c r="A846">
        <f>Skills!A11</f>
        <v/>
      </c>
      <c r="B846">
        <f>Skills!B11</f>
        <v/>
      </c>
      <c r="C846">
        <f>Inputs!$B$3&gt;=74</f>
        <v/>
      </c>
      <c r="D846">
        <f>IF(Skills!C11=1,60+Inputs!$B$25+Inputs!$B$29,IF(Skills!C11=2,90+Inputs!$B$26+Inputs!$B$29,IF(Skills!C11=3,120+Inputs!$B$27+Inputs!$B$29,MAX(0,(Inputs!$B$3-100)*3)+Inputs!$B$28+Inputs!$B$29)))</f>
        <v/>
      </c>
      <c r="E846">
        <f>INDEX(FactorTable!$B$2:$Y$301, MATCH(ROUND(MIN(300,MAX(1,D846)),0), FactorTable!$A$2:$A$301,0), Skills!M11+1)</f>
        <v/>
      </c>
      <c r="F846">
        <f>IF(Skills!N11=TRUE,(Skills!L11/10)*(E846/1000),Skills!L11/10)+Skills!O11</f>
        <v/>
      </c>
      <c r="G846">
        <f>Skills!G11*IF(Skills!H11&gt;0,IF(Inputs!$B$39="pvp",MIN(Skills!I11,15),Skills!I11)/Skills!H11,1)</f>
        <v/>
      </c>
      <c r="H846">
        <f>1-(1-Skills!J11/100)^Skills!K11</f>
        <v/>
      </c>
      <c r="I846" t="inlineStr">
        <is>
          <t>1</t>
        </is>
      </c>
      <c r="J846" t="inlineStr"/>
      <c r="K846" t="inlineStr"/>
      <c r="L846" t="inlineStr"/>
      <c r="M846" t="inlineStr"/>
      <c r="N846" t="inlineStr"/>
      <c r="O846">
        <f>(1-Summary!$B$11)*T846+Summary!$B$11*V846</f>
        <v/>
      </c>
      <c r="P846">
        <f>IF(B881=0,0,O846/B881)</f>
        <v/>
      </c>
      <c r="Q846">
        <f>IFERROR(1/IF(Inputs!$B$39="pvp",15,MAX(0.1,Skills!D11-IF(TRUE=TRUE,Inputs!$B$32,0))),0)</f>
        <v/>
      </c>
      <c r="R846">
        <f>IF(AND(Inputs!$B$39&lt;&gt;"pvp",Inputs!$B$44&gt;0),IF(Inputs!$B$44&lt;=0,0,(INT(Inputs!$B$44/IF(Inputs!$B$39="pvp",15,MAX(0.1,Skills!D11-IF(TRUE=TRUE,Inputs!$B$32,0))))+1)),0)</f>
        <v/>
      </c>
      <c r="S846">
        <f>IFERROR(O846/N846,0)</f>
        <v/>
      </c>
      <c r="T846" t="n">
        <v>0</v>
      </c>
      <c r="V846" t="n">
        <v>0</v>
      </c>
    </row>
    <row r="847">
      <c r="A847">
        <f>Skills!A12</f>
        <v/>
      </c>
      <c r="B847">
        <f>Skills!B12</f>
        <v/>
      </c>
      <c r="C847">
        <f>Inputs!$B$3&gt;=103</f>
        <v/>
      </c>
      <c r="D847">
        <f>IF(Skills!C12=1,60+Inputs!$B$25+Inputs!$B$29,IF(Skills!C12=2,90+Inputs!$B$26+Inputs!$B$29,IF(Skills!C12=3,120+Inputs!$B$27+Inputs!$B$29,MAX(0,(Inputs!$B$3-100)*3)+Inputs!$B$28+Inputs!$B$29)))</f>
        <v/>
      </c>
      <c r="E847">
        <f>INDEX(FactorTable!$B$2:$Y$301, MATCH(ROUND(MIN(300,MAX(1,D847)),0), FactorTable!$A$2:$A$301,0), Skills!M12+1)</f>
        <v/>
      </c>
      <c r="F847">
        <f>(Skills!L12/10)*(E847/1000)+IF(Inputs!$B$3&gt;=134,50,0)+0.5*(30000/10)*(INDEX(FactorTable!$B$2:$Y$301, MATCH(ROUND(MIN(300,MAX(1,D847)),0), FactorTable!$A$2:$A$301,0), 13)/1000)*B879</f>
        <v/>
      </c>
      <c r="G847">
        <f>Skills!G12*IF(Skills!H12&gt;0,IF(Inputs!$B$39="pvp",MIN(Skills!I12,15),Skills!I12)/Skills!H12,1)</f>
        <v/>
      </c>
      <c r="H847">
        <f>1-(1-Skills!J12/100)^Skills!K12</f>
        <v/>
      </c>
      <c r="I847" t="inlineStr">
        <is>
          <t>1</t>
        </is>
      </c>
      <c r="J847">
        <f>((Inputs!$B$6*(1+Inputs!$B$7/100))+(((Inputs!$B$12*(1+Inputs!$B$13/100))-(Inputs!$B$12*(1+Inputs!$B$13/100)))+0.25*(Inputs!$B$14-Inputs!$B$14))*(1+Inputs!$B$7/100))*(F847/100)</f>
        <v/>
      </c>
      <c r="K847">
        <f>J847*(1+((Inputs!$B$12*(1+Inputs!$B$13/100))*0.01+Inputs!$B$14*0.0025)/100)*(1+Inputs!$B$15/100)*(1+Inputs!$B$16/100)*(5000/(6000+Inputs!$B$43*(1-(100*(1-(1-Inputs!$B$19/100)*(1-CHOOSE(ArtifactsInput!$N$40+1,5,6,7,8,9,10)/100)^(ArtifactsInput!$M$40-ArtifactsInput!$M$40)))/100)))*(1+(Inputs!$B$24+((C866=TRUE)*(F866-Calc!F31))+((C853=TRUE)*(F853-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12="CRUEL_STAB",Inputs!$B$17+((C863=TRUE)*(F863-Calc!F28))+((IF(AND(Inputs!$B$39&lt;&gt;"pvp",Inputs!$B$44=0),1,IF(IF(Inputs!$B$39="pvp",15,Inputs!$B$44)-(B880)&lt;=0,1,MAX(0,IF(Inputs!$B$39="pvp",15,Inputs!$B$44)-MAX(5,B880))/(IF(Inputs!$B$39="pvp",15,Inputs!$B$44)-(B880))))*(IF(AND(ArtifactsInput!$M$42,((Inputs!$B$9+((C861=TRUE)*(F861-Calc!F26))+B869+(ArtifactsInput!$M$24-ArtifactsInput!$M$24)*CHOOSE(ArtifactsInput!$N$24+1,10,12,14,16,18,20)+IF(ArtifactsInput!$M$10,CHOOSE(ArtifactsInput!$N$10+1,15,18,21,24,27,30)*(IF(Inputs!$B$39="pvp",MIN(15,15)/15,IF(AND(Inputs!$B$39&lt;&gt;"pvp",Inputs!$B$44&gt;0),MIN(15,Inputs!$B$44)/(Inputs!$B$44),0))),0)))&gt;=100),MIN(100,((Inputs!$B$9+((C861=TRUE)*(F861-Calc!F26))+B869+(ArtifactsInput!$M$24-ArtifactsInput!$M$24)*CHOOSE(ArtifactsInput!$N$24+1,10,12,14,16,18,20)+IF(ArtifactsInput!$M$10,CHOOSE(ArtifactsInput!$N$10+1,15,18,21,24,27,30)*(IF(Inputs!$B$39="pvp",MIN(15,15)/15,IF(AND(Inputs!$B$39&lt;&gt;"pvp",Inputs!$B$44&gt;0),MIN(15,Inputs!$B$44)/(Inputs!$B$44),0))),0)))-100),0))*CHOOSE(ArtifactsInput!$N$42+1,0.6,0.72,0.84,0.96,1.08,1.2))),(Inputs!$B$18+1)+((C864=TRUE)*(F864-Calc!F29))+(IF(AND(Inputs!$B$39&lt;&gt;"pvp",Inputs!$B$44=0),1,IF(IF(Inputs!$B$39="pvp",15,Inputs!$B$44)-(B880)&lt;=0,1,MAX(0,IF(Inputs!$B$39="pvp",15,Inputs!$B$44)-MAX(5,B880))/(IF(Inputs!$B$39="pvp",15,Inputs!$B$44)-(B880))))*IF(AND(ArtifactsInput!$M$42,((Inputs!$B$9+((C861=TRUE)*(F861-Calc!F26))+B869+(ArtifactsInput!$M$24-ArtifactsInput!$M$24)*CHOOSE(ArtifactsInput!$N$24+1,10,12,14,16,18,20)+IF(ArtifactsInput!$M$10,CHOOSE(ArtifactsInput!$N$10+1,15,18,21,24,27,30)*(IF(Inputs!$B$39="pvp",MIN(15,15)/15,IF(AND(Inputs!$B$39&lt;&gt;"pvp",Inputs!$B$44&gt;0),MIN(15,Inputs!$B$44)/(Inputs!$B$44),0))),0)))&gt;=100),CHOOSE(ArtifactsInput!$N$42+1,40,48,56,64,72,80),0))))/100)*(((1+(((C857=TRUE)*F857*IF(AND(Inputs!$B$39&lt;&gt;"pvp",Inputs!$B$44&gt;0),(((R857-1)*MIN((Skills!Y22*(1+Inputs!$B$34/100)),(1/Q857))+MIN((Skills!Y22*(1+Inputs!$B$34/100)),MAX(0,Inputs!$B$44-((R857-1)*(1/Q857)))))/Inputs!$B$44),IF(Inputs!$B$39="pvp",MIN((Skills!Y22*(1+Inputs!$B$34/100)),15)/15,MIN(1,(Skills!Y22*(1+Inputs!$B$34/100))/(1/Q857)))))+((C838=TRUE)*F838*3)+((C840=TRUE)*F840*(1-EXP(-0.75*B873*5)))+((C859=TRUE)*(F859-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846=TRUE)*F846*IF(AND(Inputs!$B$39&lt;&gt;"pvp",Inputs!$B$44&gt;0),(((R846-1)*MIN((Skills!Y11*(1+Inputs!$B$34/100)),(1/Q846))+MIN((Skills!Y11*(1+Inputs!$B$34/100)),MAX(0,Inputs!$B$44-((R846-1)*(1/Q846)))))/Inputs!$B$44),IF(Inputs!$B$39="pvp",MIN((Skills!Y11*(1+Inputs!$B$34/100)),15)/15,MIN(1,(Skills!Y11*(1+Inputs!$B$34/100))/(1/Q846)))))/100)*(1+((C851=TRUE)*F851*IF(AND(Inputs!$B$39&lt;&gt;"pvp",Inputs!$B$44&gt;0),(((R851-1)*MIN((Skills!Y16*(1+Inputs!$B$34/100)),(1/Q851))+MIN((Skills!Y16*(1+Inputs!$B$34/100)),MAX(0,Inputs!$B$44-((R851-1)*(1/Q851)))))/Inputs!$B$44),IF(Inputs!$B$39="pvp",MIN((Skills!Y16*(1+Inputs!$B$34/100)),15)/15,MIN(1,(Skills!Y16*(1+Inputs!$B$34/100))/(1/Q851)))))/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871*I847)</f>
        <v/>
      </c>
      <c r="L847">
        <f>K847*(MIN(Inputs!$B$22+((C860=TRUE)*(F860-Calc!F25)),(Inputs!$B$23+((C865=TRUE)*(F865-Calc!F30))+IF(ArtifactsInput!$M$15,CHOOSE(ArtifactsInput!$N$15+1,25,30,35,40,45,50)/100*(Inputs!$B$11-Inputs!$B$11),0)))/100+(Inputs!$B$23+((C865=TRUE)*(F865-Calc!F30))+IF(ArtifactsInput!$M$15,CHOOSE(ArtifactsInput!$N$15+1,25,30,35,40,45,50)/100*(Inputs!$B$11-Inputs!$B$11),0))/100)/2</f>
        <v/>
      </c>
      <c r="M847">
        <f>L847*(1+(Inputs!$B$10+((C862=TRUE)*(F862-Calc!F27))+B876+(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847">
        <f>L847*(1-MIN((Inputs!$B$9+((C861=TRUE)*(F861-Calc!F26))+B869+(ArtifactsInput!$M$24-ArtifactsInput!$M$24)*CHOOSE(ArtifactsInput!$N$24+1,10,12,14,16,18,20)+(IF(AND(Inputs!$B$39&lt;&gt;"pvp",Inputs!$B$44=0),1,IF(IF(Inputs!$B$39="pvp",15,Inputs!$B$44)-(B880)&lt;=0,1,MAX(0,IF(Inputs!$B$39="pvp",15,Inputs!$B$44)-MAX(5,B880))/(IF(Inputs!$B$39="pvp",15,Inputs!$B$44)-(B880))))*IF(AND(ArtifactsInput!$M$42,((Inputs!$B$9+((C861=TRUE)*(F861-Calc!F26))+B869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847*(MIN((Inputs!$B$9+((C861=TRUE)*(F861-Calc!F26))+B869+(ArtifactsInput!$M$24-ArtifactsInput!$M$24)*CHOOSE(ArtifactsInput!$N$24+1,10,12,14,16,18,20)+(IF(AND(Inputs!$B$39&lt;&gt;"pvp",Inputs!$B$44=0),1,IF(IF(Inputs!$B$39="pvp",15,Inputs!$B$44)-(B880)&lt;=0,1,MAX(0,IF(Inputs!$B$39="pvp",15,Inputs!$B$44)-MAX(5,B880))/(IF(Inputs!$B$39="pvp",15,Inputs!$B$44)-(B880))))*IF(AND(ArtifactsInput!$M$42,((Inputs!$B$9+((C861=TRUE)*(F861-Calc!F26))+B869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847">
        <f>(1-Summary!$B$11)*T847+Summary!$B$11*V847</f>
        <v/>
      </c>
      <c r="P847">
        <f>IF(B881=0,0,O847/B881)</f>
        <v/>
      </c>
      <c r="Q847">
        <f>IFERROR(1/IF(Inputs!$B$39="pvp",15,MAX(0.1,Skills!D12-IF(TRUE=TRUE,Inputs!$B$32,0))),0)</f>
        <v/>
      </c>
      <c r="R847">
        <f>IF(AND(Inputs!$B$39&lt;&gt;"pvp",Inputs!$B$44&gt;0),IF(MAX(0,Inputs!$B$44-B880)&lt;=0,0,(INT(MAX(0,Inputs!$B$44-B880)/IF(Inputs!$B$39="pvp",15,MAX(0.1,Skills!D12-IF(TRUE=TRUE,Inputs!$B$32,0))))+1)),0)</f>
        <v/>
      </c>
      <c r="S847">
        <f>IFERROR(O847/N847,0)</f>
        <v/>
      </c>
      <c r="T847">
        <f>IF(C847,(H847*N847*IF(AND(Inputs!$B$39&lt;&gt;"pvp",Inputs!$B$44&gt;0),((Skills!G12*((R847-1)*IF(Skills!H12&gt;0,Skills!I12/Skills!H12,1)+IF(Skills!H12&gt;0,MIN(Skills!I12,MAX(0,MAX(0,Inputs!$B$44-B880)-((R847-1)*IF(Inputs!$B$39="pvp",15,MAX(0.1,Skills!D12-IF(TRUE=TRUE,Inputs!$B$32,0))))))/Skills!H12,1)))/Inputs!$B$44),G847*Q847))*IF(Inputs!$B$39="pvp",1,1+(Inputs!$B$20+0+Skills!P12+B870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Hunt"),CHOOSE(ArtifactsInput!$N$35+1,15,18,21,24,27,30)*(1-EXP(-(0.2*B873)*5)),0)+IF(AND(ArtifactsInput!$M$22,Inputs!$B$4&lt;&gt;"Chapter Hunt"),CHOOSE(ArtifactsInput!$N$22+1,10,12,14,16,18,20)*((0*(((0.15*B873*5))^0/1)+1*(((0.15*B873*5))^1/1)+2*(((0.15*B873*5))^2/2)+3*(((0.15*B873*5))^3/6)+4*(((0.15*B873*5))^4/24)+5*(((0.15*B873*5))^5/120))/((((0.15*B873*5))^0/1)+(((0.15*B873*5))^1/1)+(((0.15*B873*5))^2/2)+(((0.15*B873*5))^3/6)+(((0.15*B873*5))^4/24)+(((0.15*B873*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847*(1-MIN(100,(Inputs!$B$9+((C861=TRUE)*(F861-Calc!F26))+B869+(ArtifactsInput!$M$24-ArtifactsInput!$M$24)*CHOOSE(ArtifactsInput!$N$24+1,10,12,14,16,18,20)+(IF(AND(Inputs!$B$39&lt;&gt;"pvp",Inputs!$B$44=0),1,IF(IF(Inputs!$B$39="pvp",15,Inputs!$B$44)-(B880)&lt;=0,1,MAX(0,IF(Inputs!$B$39="pvp",15,Inputs!$B$44)-MAX(5,B880))/(IF(Inputs!$B$39="pvp",15,Inputs!$B$44)-(B880))))*IF(AND(ArtifactsInput!$M$42,((Inputs!$B$9+((C861=TRUE)*(F861-Calc!F26))+B869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847*(MIN(100,(Inputs!$B$9+((C861=TRUE)*(F861-Calc!F26))+B869+(ArtifactsInput!$M$24-ArtifactsInput!$M$24)*CHOOSE(ArtifactsInput!$N$24+1,10,12,14,16,18,20)+(IF(AND(Inputs!$B$39&lt;&gt;"pvp",Inputs!$B$44=0),1,IF(IF(Inputs!$B$39="pvp",15,Inputs!$B$44)-(B880)&lt;=0,1,MAX(0,IF(Inputs!$B$39="pvp",15,Inputs!$B$44)-MAX(5,B880))/(IF(Inputs!$B$39="pvp",15,Inputs!$B$44)-(B880))))*IF(AND(ArtifactsInput!$M$42,((Inputs!$B$9+((C861=TRUE)*(F861-Calc!F26))+B869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847*(1-MIN(100,(Inputs!$B$9+((C861=TRUE)*(F861-Calc!F26))+B869+(ArtifactsInput!$M$24-ArtifactsInput!$M$24)*CHOOSE(ArtifactsInput!$N$24+1,10,12,14,16,18,20)+(IF(AND(Inputs!$B$39&lt;&gt;"pvp",Inputs!$B$44=0),1,IF(IF(Inputs!$B$39="pvp",15,Inputs!$B$44)-(B880)&lt;=0,1,MAX(0,IF(Inputs!$B$39="pvp",15,Inputs!$B$44)-MAX(5,B880))/(IF(Inputs!$B$39="pvp",15,Inputs!$B$44)-(B880))))*IF(AND(ArtifactsInput!$M$42,((Inputs!$B$9+((C861=TRUE)*(F861-Calc!F26))+B869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847*(MIN(100,(Inputs!$B$9+((C861=TRUE)*(F861-Calc!F26))+B869+(ArtifactsInput!$M$24-ArtifactsInput!$M$24)*CHOOSE(ArtifactsInput!$N$24+1,10,12,14,16,18,20)+(IF(AND(Inputs!$B$39&lt;&gt;"pvp",Inputs!$B$44=0),1,IF(IF(Inputs!$B$39="pvp",15,Inputs!$B$44)-(B880)&lt;=0,1,MAX(0,IF(Inputs!$B$39="pvp",15,Inputs!$B$44)-MAX(5,B880))/(IF(Inputs!$B$39="pvp",15,Inputs!$B$44)-(B880))))*IF(AND(ArtifactsInput!$M$42,((Inputs!$B$9+((C861=TRUE)*(F861-Calc!F26))+B869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847">
        <f>IF(C847,(H847*N847*IF(AND(Inputs!$B$39&lt;&gt;"pvp",Inputs!$B$44&gt;0),((Skills!G12*((R847-1)*IF(Skills!H12&gt;0,Skills!I12/Skills!H12,1)+IF(Skills!H12&gt;0,MIN(Skills!I12,MAX(0,MAX(0,Inputs!$B$44-B880)-((R847-1)*IF(Inputs!$B$39="pvp",15,MAX(0.1,Skills!D12-IF(TRUE=TRUE,Inputs!$B$32,0))))))/Skills!H12,1)))/Inputs!$B$44),G847*Q847))*IF(Inputs!$B$39="pvp",1,(1+(Inputs!$B$21+Skills!Q12+B870+(IF(ArtifactsInput!$M$33,CHOOSE(ArtifactsInput!$N$33+1,30,36,42,48,54,60),0))+(IF(AND(ArtifactsInput!$M$35,Inputs!$B$4&lt;&gt;"Chapter Hunt"),CHOOSE(ArtifactsInput!$N$35+1,15,18,21,24,27,30)*(1-EXP(-(0.2*B873)*5)),0)+IF(AND(ArtifactsInput!$M$22,Inputs!$B$4&lt;&gt;"Chapter Hunt"),CHOOSE(ArtifactsInput!$N$22+1,10,12,14,16,18,20)*((0*(((0.15*B873*5))^0/1)+1*(((0.15*B873*5))^1/1)+2*(((0.15*B873*5))^2/2)+3*(((0.15*B873*5))^3/6)+4*(((0.15*B873*5))^4/24)+5*(((0.15*B873*5))^5/120))/((((0.15*B873*5))^0/1)+(((0.15*B873*5))^1/1)+(((0.15*B873*5))^2/2)+(((0.15*B873*5))^3/6)+(((0.15*B873*5))^4/24)+(((0.15*B873*5))^5/120))),0)))/100)*(MIN(Skills!W12,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848">
      <c r="A848">
        <f>Skills!A13</f>
        <v/>
      </c>
      <c r="B848">
        <f>Skills!B13</f>
        <v/>
      </c>
      <c r="C848">
        <f>Inputs!$B$3&gt;=105</f>
        <v/>
      </c>
      <c r="D848">
        <f>IF(Skills!C13=1,60+Inputs!$B$25+Inputs!$B$29,IF(Skills!C13=2,90+Inputs!$B$26+Inputs!$B$29,IF(Skills!C13=3,120+Inputs!$B$27+Inputs!$B$29,MAX(0,(Inputs!$B$3-100)*3)+Inputs!$B$28+Inputs!$B$29)))</f>
        <v/>
      </c>
      <c r="E848">
        <f>INDEX(FactorTable!$B$2:$Y$301, MATCH(ROUND(MIN(300,MAX(1,D848)),0), FactorTable!$A$2:$A$301,0), Skills!M13+1)</f>
        <v/>
      </c>
      <c r="F848">
        <f>IF(Skills!N13=TRUE,(Skills!L13/10)*(E848/1000),Skills!L13/10)+Skills!O13</f>
        <v/>
      </c>
      <c r="G848">
        <f>Skills!G13*IF(Skills!H13&gt;0,IF(Inputs!$B$39="pvp",MIN(Skills!I13,15),Skills!I13)/Skills!H13,1)</f>
        <v/>
      </c>
      <c r="H848">
        <f>1-(1-Skills!J13/100)^Skills!K13</f>
        <v/>
      </c>
      <c r="I848" t="inlineStr">
        <is>
          <t>1</t>
        </is>
      </c>
      <c r="J848">
        <f>((Inputs!$B$6*(1+Inputs!$B$7/100))+(((Inputs!$B$12*(1+Inputs!$B$13/100))-(Inputs!$B$12*(1+Inputs!$B$13/100)))+0.25*(Inputs!$B$14-Inputs!$B$14))*(1+Inputs!$B$7/100))*(F848/100)</f>
        <v/>
      </c>
      <c r="K848">
        <f>J848*(1+((Inputs!$B$12*(1+Inputs!$B$13/100))*0.01+Inputs!$B$14*0.0025)/100)*(1+Inputs!$B$15/100)*(1+Inputs!$B$16/100)*(5000/(6000+Inputs!$B$43*(1-(100*(1-(1-Inputs!$B$19/100)*(1-CHOOSE(ArtifactsInput!$N$40+1,5,6,7,8,9,10)/100)^(ArtifactsInput!$M$40-ArtifactsInput!$M$40)))/100)))*(1+(Inputs!$B$24+((C866=TRUE)*(F866-Calc!F31))+((C853=TRUE)*(F853-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13="CRUEL_STAB",Inputs!$B$17+((C863=TRUE)*(F863-Calc!F28))+((IF(AND(Inputs!$B$39&lt;&gt;"pvp",Inputs!$B$44=0),1,IF(IF(Inputs!$B$39="pvp",15,Inputs!$B$44)-(B880)&lt;=0,1,MAX(0,IF(Inputs!$B$39="pvp",15,Inputs!$B$44)-MAX(5,B880))/(IF(Inputs!$B$39="pvp",15,Inputs!$B$44)-(B880))))*(IF(AND(ArtifactsInput!$M$42,((Inputs!$B$9+((C861=TRUE)*(F861-Calc!F26))+B869+(ArtifactsInput!$M$24-ArtifactsInput!$M$24)*CHOOSE(ArtifactsInput!$N$24+1,10,12,14,16,18,20)+IF(ArtifactsInput!$M$10,CHOOSE(ArtifactsInput!$N$10+1,15,18,21,24,27,30)*(IF(Inputs!$B$39="pvp",MIN(15,15)/15,IF(AND(Inputs!$B$39&lt;&gt;"pvp",Inputs!$B$44&gt;0),MIN(15,Inputs!$B$44)/(Inputs!$B$44),0))),0)))&gt;=100),MIN(100,((Inputs!$B$9+((C861=TRUE)*(F861-Calc!F26))+B869+(ArtifactsInput!$M$24-ArtifactsInput!$M$24)*CHOOSE(ArtifactsInput!$N$24+1,10,12,14,16,18,20)+IF(ArtifactsInput!$M$10,CHOOSE(ArtifactsInput!$N$10+1,15,18,21,24,27,30)*(IF(Inputs!$B$39="pvp",MIN(15,15)/15,IF(AND(Inputs!$B$39&lt;&gt;"pvp",Inputs!$B$44&gt;0),MIN(15,Inputs!$B$44)/(Inputs!$B$44),0))),0)))-100),0))*CHOOSE(ArtifactsInput!$N$42+1,0.6,0.72,0.84,0.96,1.08,1.2))),(Inputs!$B$18+1)+((C864=TRUE)*(F864-Calc!F29))+(IF(AND(Inputs!$B$39&lt;&gt;"pvp",Inputs!$B$44=0),1,IF(IF(Inputs!$B$39="pvp",15,Inputs!$B$44)-(B880)&lt;=0,1,MAX(0,IF(Inputs!$B$39="pvp",15,Inputs!$B$44)-MAX(5,B880))/(IF(Inputs!$B$39="pvp",15,Inputs!$B$44)-(B880))))*IF(AND(ArtifactsInput!$M$42,((Inputs!$B$9+((C861=TRUE)*(F861-Calc!F26))+B869+(ArtifactsInput!$M$24-ArtifactsInput!$M$24)*CHOOSE(ArtifactsInput!$N$24+1,10,12,14,16,18,20)+IF(ArtifactsInput!$M$10,CHOOSE(ArtifactsInput!$N$10+1,15,18,21,24,27,30)*(IF(Inputs!$B$39="pvp",MIN(15,15)/15,IF(AND(Inputs!$B$39&lt;&gt;"pvp",Inputs!$B$44&gt;0),MIN(15,Inputs!$B$44)/(Inputs!$B$44),0))),0)))&gt;=100),CHOOSE(ArtifactsInput!$N$42+1,40,48,56,64,72,80),0))))/100)*(((1+(((C857=TRUE)*F857*IF(AND(Inputs!$B$39&lt;&gt;"pvp",Inputs!$B$44&gt;0),(((R857-1)*MIN((Skills!Y22*(1+Inputs!$B$34/100)),(1/Q857))+MIN((Skills!Y22*(1+Inputs!$B$34/100)),MAX(0,Inputs!$B$44-((R857-1)*(1/Q857)))))/Inputs!$B$44),IF(Inputs!$B$39="pvp",MIN((Skills!Y22*(1+Inputs!$B$34/100)),15)/15,MIN(1,(Skills!Y22*(1+Inputs!$B$34/100))/(1/Q857)))))+((C838=TRUE)*F838*3)+((C840=TRUE)*F840*(1-EXP(-0.75*B873*5)))+((C859=TRUE)*(F859-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846=TRUE)*F846*IF(AND(Inputs!$B$39&lt;&gt;"pvp",Inputs!$B$44&gt;0),(((R846-1)*MIN((Skills!Y11*(1+Inputs!$B$34/100)),(1/Q846))+MIN((Skills!Y11*(1+Inputs!$B$34/100)),MAX(0,Inputs!$B$44-((R846-1)*(1/Q846)))))/Inputs!$B$44),IF(Inputs!$B$39="pvp",MIN((Skills!Y11*(1+Inputs!$B$34/100)),15)/15,MIN(1,(Skills!Y11*(1+Inputs!$B$34/100))/(1/Q846)))))/100)*(1+((C851=TRUE)*F851*IF(AND(Inputs!$B$39&lt;&gt;"pvp",Inputs!$B$44&gt;0),(((R851-1)*MIN((Skills!Y16*(1+Inputs!$B$34/100)),(1/Q851))+MIN((Skills!Y16*(1+Inputs!$B$34/100)),MAX(0,Inputs!$B$44-((R851-1)*(1/Q851)))))/Inputs!$B$44),IF(Inputs!$B$39="pvp",MIN((Skills!Y16*(1+Inputs!$B$34/100)),15)/15,MIN(1,(Skills!Y16*(1+Inputs!$B$34/100))/(1/Q851)))))/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871*I848)</f>
        <v/>
      </c>
      <c r="L848">
        <f>K848*(MIN(Inputs!$B$22+((C860=TRUE)*(F860-Calc!F25)),(Inputs!$B$23+((C865=TRUE)*(F865-Calc!F30))+IF(ArtifactsInput!$M$15,CHOOSE(ArtifactsInput!$N$15+1,25,30,35,40,45,50)/100*(Inputs!$B$11-Inputs!$B$11),0)))/100+(Inputs!$B$23+((C865=TRUE)*(F865-Calc!F30))+IF(ArtifactsInput!$M$15,CHOOSE(ArtifactsInput!$N$15+1,25,30,35,40,45,50)/100*(Inputs!$B$11-Inputs!$B$11),0))/100)/2</f>
        <v/>
      </c>
      <c r="M848">
        <f>L848*(1+(Inputs!$B$10+((C862=TRUE)*(F862-Calc!F27))+B876+(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848">
        <f>L848*(1-MIN((Inputs!$B$9+((C861=TRUE)*(F861-Calc!F26))+B869+(ArtifactsInput!$M$24-ArtifactsInput!$M$24)*CHOOSE(ArtifactsInput!$N$24+1,10,12,14,16,18,20)+(IF(AND(Inputs!$B$39&lt;&gt;"pvp",Inputs!$B$44=0),1,IF(IF(Inputs!$B$39="pvp",15,Inputs!$B$44)-(B880)&lt;=0,1,MAX(0,IF(Inputs!$B$39="pvp",15,Inputs!$B$44)-MAX(5,B880))/(IF(Inputs!$B$39="pvp",15,Inputs!$B$44)-(B880))))*IF(AND(ArtifactsInput!$M$42,((Inputs!$B$9+((C861=TRUE)*(F861-Calc!F26))+B869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848*(MIN((Inputs!$B$9+((C861=TRUE)*(F861-Calc!F26))+B869+(ArtifactsInput!$M$24-ArtifactsInput!$M$24)*CHOOSE(ArtifactsInput!$N$24+1,10,12,14,16,18,20)+(IF(AND(Inputs!$B$39&lt;&gt;"pvp",Inputs!$B$44=0),1,IF(IF(Inputs!$B$39="pvp",15,Inputs!$B$44)-(B880)&lt;=0,1,MAX(0,IF(Inputs!$B$39="pvp",15,Inputs!$B$44)-MAX(5,B880))/(IF(Inputs!$B$39="pvp",15,Inputs!$B$44)-(B880))))*IF(AND(ArtifactsInput!$M$42,((Inputs!$B$9+((C861=TRUE)*(F861-Calc!F26))+B869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848">
        <f>(1-Summary!$B$11)*T848+Summary!$B$11*V848</f>
        <v/>
      </c>
      <c r="P848">
        <f>IF(B881=0,0,O848/B881)</f>
        <v/>
      </c>
      <c r="Q848">
        <f>IFERROR(1/IF(Inputs!$B$39="pvp",15,MAX(0.1,Skills!D13-IF(TRUE=TRUE,Inputs!$B$32,0))),0)</f>
        <v/>
      </c>
      <c r="R848">
        <f>IF(AND(Inputs!$B$39&lt;&gt;"pvp",Inputs!$B$44&gt;0),IF(MAX(0,Inputs!$B$44-B880)&lt;=0,0,(INT(MAX(0,Inputs!$B$44-B880)/IF(Inputs!$B$39="pvp",15,MAX(0.1,Skills!D13-IF(TRUE=TRUE,Inputs!$B$32,0))))+1)),0)</f>
        <v/>
      </c>
      <c r="S848">
        <f>IFERROR(O848/N848,0)</f>
        <v/>
      </c>
      <c r="T848">
        <f>IF(C848,(H848*N848*IF(AND(Inputs!$B$39&lt;&gt;"pvp",Inputs!$B$44&gt;0),((Skills!G13*((R848-1)*IF(Skills!H13&gt;0,Skills!I13/Skills!H13,1)+IF(Skills!H13&gt;0,MIN(Skills!I13,MAX(0,MAX(0,Inputs!$B$44-B880)-((R848-1)*IF(Inputs!$B$39="pvp",15,MAX(0.1,Skills!D13-IF(TRUE=TRUE,Inputs!$B$32,0))))))/Skills!H13,1)))/Inputs!$B$44),G848*Q848))*IF(Inputs!$B$39="pvp",1,1+(Inputs!$B$20+0+Skills!P13+B870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Hunt"),CHOOSE(ArtifactsInput!$N$35+1,15,18,21,24,27,30)*(1-EXP(-(0.2*B873)*5)),0)+IF(AND(ArtifactsInput!$M$22,Inputs!$B$4&lt;&gt;"Chapter Hunt"),CHOOSE(ArtifactsInput!$N$22+1,10,12,14,16,18,20)*((0*(((0.15*B873*5))^0/1)+1*(((0.15*B873*5))^1/1)+2*(((0.15*B873*5))^2/2)+3*(((0.15*B873*5))^3/6)+4*(((0.15*B873*5))^4/24)+5*(((0.15*B873*5))^5/120))/((((0.15*B873*5))^0/1)+(((0.15*B873*5))^1/1)+(((0.15*B873*5))^2/2)+(((0.15*B873*5))^3/6)+(((0.15*B873*5))^4/24)+(((0.15*B873*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848*(1-MIN(100,(Inputs!$B$9+((C861=TRUE)*(F861-Calc!F26))+B869+(ArtifactsInput!$M$24-ArtifactsInput!$M$24)*CHOOSE(ArtifactsInput!$N$24+1,10,12,14,16,18,20)+(IF(AND(Inputs!$B$39&lt;&gt;"pvp",Inputs!$B$44=0),1,IF(IF(Inputs!$B$39="pvp",15,Inputs!$B$44)-(B880)&lt;=0,1,MAX(0,IF(Inputs!$B$39="pvp",15,Inputs!$B$44)-MAX(5,B880))/(IF(Inputs!$B$39="pvp",15,Inputs!$B$44)-(B880))))*IF(AND(ArtifactsInput!$M$42,((Inputs!$B$9+((C861=TRUE)*(F861-Calc!F26))+B869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848*(MIN(100,(Inputs!$B$9+((C861=TRUE)*(F861-Calc!F26))+B869+(ArtifactsInput!$M$24-ArtifactsInput!$M$24)*CHOOSE(ArtifactsInput!$N$24+1,10,12,14,16,18,20)+(IF(AND(Inputs!$B$39&lt;&gt;"pvp",Inputs!$B$44=0),1,IF(IF(Inputs!$B$39="pvp",15,Inputs!$B$44)-(B880)&lt;=0,1,MAX(0,IF(Inputs!$B$39="pvp",15,Inputs!$B$44)-MAX(5,B880))/(IF(Inputs!$B$39="pvp",15,Inputs!$B$44)-(B880))))*IF(AND(ArtifactsInput!$M$42,((Inputs!$B$9+((C861=TRUE)*(F861-Calc!F26))+B869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848*(1-MIN(100,(Inputs!$B$9+((C861=TRUE)*(F861-Calc!F26))+B869+(ArtifactsInput!$M$24-ArtifactsInput!$M$24)*CHOOSE(ArtifactsInput!$N$24+1,10,12,14,16,18,20)+(IF(AND(Inputs!$B$39&lt;&gt;"pvp",Inputs!$B$44=0),1,IF(IF(Inputs!$B$39="pvp",15,Inputs!$B$44)-(B880)&lt;=0,1,MAX(0,IF(Inputs!$B$39="pvp",15,Inputs!$B$44)-MAX(5,B880))/(IF(Inputs!$B$39="pvp",15,Inputs!$B$44)-(B880))))*IF(AND(ArtifactsInput!$M$42,((Inputs!$B$9+((C861=TRUE)*(F861-Calc!F26))+B869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848*(MIN(100,(Inputs!$B$9+((C861=TRUE)*(F861-Calc!F26))+B869+(ArtifactsInput!$M$24-ArtifactsInput!$M$24)*CHOOSE(ArtifactsInput!$N$24+1,10,12,14,16,18,20)+(IF(AND(Inputs!$B$39&lt;&gt;"pvp",Inputs!$B$44=0),1,IF(IF(Inputs!$B$39="pvp",15,Inputs!$B$44)-(B880)&lt;=0,1,MAX(0,IF(Inputs!$B$39="pvp",15,Inputs!$B$44)-MAX(5,B880))/(IF(Inputs!$B$39="pvp",15,Inputs!$B$44)-(B880))))*IF(AND(ArtifactsInput!$M$42,((Inputs!$B$9+((C861=TRUE)*(F861-Calc!F26))+B869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848">
        <f>IF(C848,(H848*N848*IF(AND(Inputs!$B$39&lt;&gt;"pvp",Inputs!$B$44&gt;0),((Skills!G13*((R848-1)*IF(Skills!H13&gt;0,Skills!I13/Skills!H13,1)+IF(Skills!H13&gt;0,MIN(Skills!I13,MAX(0,MAX(0,Inputs!$B$44-B880)-((R848-1)*IF(Inputs!$B$39="pvp",15,MAX(0.1,Skills!D13-IF(TRUE=TRUE,Inputs!$B$32,0))))))/Skills!H13,1)))/Inputs!$B$44),G848*Q848))*IF(Inputs!$B$39="pvp",1,(1+(Inputs!$B$21+Skills!Q13+B870+(IF(ArtifactsInput!$M$33,CHOOSE(ArtifactsInput!$N$33+1,30,36,42,48,54,60),0))+(IF(AND(ArtifactsInput!$M$35,Inputs!$B$4&lt;&gt;"Chapter Hunt"),CHOOSE(ArtifactsInput!$N$35+1,15,18,21,24,27,30)*(1-EXP(-(0.2*B873)*5)),0)+IF(AND(ArtifactsInput!$M$22,Inputs!$B$4&lt;&gt;"Chapter Hunt"),CHOOSE(ArtifactsInput!$N$22+1,10,12,14,16,18,20)*((0*(((0.15*B873*5))^0/1)+1*(((0.15*B873*5))^1/1)+2*(((0.15*B873*5))^2/2)+3*(((0.15*B873*5))^3/6)+4*(((0.15*B873*5))^4/24)+5*(((0.15*B873*5))^5/120))/((((0.15*B873*5))^0/1)+(((0.15*B873*5))^1/1)+(((0.15*B873*5))^2/2)+(((0.15*B873*5))^3/6)+(((0.15*B873*5))^4/24)+(((0.15*B873*5))^5/120))),0)))/100)*(MIN(Skills!W13,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849">
      <c r="A849">
        <f>Skills!A14</f>
        <v/>
      </c>
      <c r="B849">
        <f>Skills!B14</f>
        <v/>
      </c>
      <c r="C849">
        <f>Inputs!$B$3&gt;=105</f>
        <v/>
      </c>
      <c r="D849">
        <f>IF(Skills!C14=1,60+Inputs!$B$25+Inputs!$B$29,IF(Skills!C14=2,90+Inputs!$B$26+Inputs!$B$29,IF(Skills!C14=3,120+Inputs!$B$27+Inputs!$B$29,MAX(0,(Inputs!$B$3-100)*3)+Inputs!$B$28+Inputs!$B$29)))</f>
        <v/>
      </c>
      <c r="E849">
        <f>INDEX(FactorTable!$B$2:$Y$301, MATCH(ROUND(MIN(300,MAX(1,D849)),0), FactorTable!$A$2:$A$301,0), Skills!M14+1)</f>
        <v/>
      </c>
      <c r="F849">
        <f>IF(Skills!N14=TRUE,(Skills!L14/10)*(E849/1000),Skills!L14/10)+Skills!O14</f>
        <v/>
      </c>
      <c r="G849">
        <f>Skills!G14*IF(Skills!H14&gt;0,IF(Inputs!$B$39="pvp",MIN(Skills!I14,15),Skills!I14)/Skills!H14,1)</f>
        <v/>
      </c>
      <c r="H849">
        <f>1-(1-Skills!J14/100)^Skills!K14</f>
        <v/>
      </c>
      <c r="I849" t="inlineStr">
        <is>
          <t>1</t>
        </is>
      </c>
      <c r="J849">
        <f>((Inputs!$B$6*(1+Inputs!$B$7/100))+(((Inputs!$B$12*(1+Inputs!$B$13/100))-(Inputs!$B$12*(1+Inputs!$B$13/100)))+0.25*(Inputs!$B$14-Inputs!$B$14))*(1+Inputs!$B$7/100))*(F849/100)</f>
        <v/>
      </c>
      <c r="K849">
        <f>J849*(1+((Inputs!$B$12*(1+Inputs!$B$13/100))*0.01+Inputs!$B$14*0.0025)/100)*(1+Inputs!$B$15/100)*(1+Inputs!$B$16/100)*(5000/(6000+Inputs!$B$43*(1-(100*(1-(1-Inputs!$B$19/100)*(1-CHOOSE(ArtifactsInput!$N$40+1,5,6,7,8,9,10)/100)^(ArtifactsInput!$M$40-ArtifactsInput!$M$40)))/100)))*(1+(Inputs!$B$24+((C866=TRUE)*(F866-Calc!F31))+((C853=TRUE)*(F853-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14="CRUEL_STAB",Inputs!$B$17+((C863=TRUE)*(F863-Calc!F28))+((IF(AND(Inputs!$B$39&lt;&gt;"pvp",Inputs!$B$44=0),1,IF(IF(Inputs!$B$39="pvp",15,Inputs!$B$44)-(B880)&lt;=0,1,MAX(0,IF(Inputs!$B$39="pvp",15,Inputs!$B$44)-MAX(5,B880))/(IF(Inputs!$B$39="pvp",15,Inputs!$B$44)-(B880))))*(IF(AND(ArtifactsInput!$M$42,((Inputs!$B$9+((C861=TRUE)*(F861-Calc!F26))+B869+(ArtifactsInput!$M$24-ArtifactsInput!$M$24)*CHOOSE(ArtifactsInput!$N$24+1,10,12,14,16,18,20)+IF(ArtifactsInput!$M$10,CHOOSE(ArtifactsInput!$N$10+1,15,18,21,24,27,30)*(IF(Inputs!$B$39="pvp",MIN(15,15)/15,IF(AND(Inputs!$B$39&lt;&gt;"pvp",Inputs!$B$44&gt;0),MIN(15,Inputs!$B$44)/(Inputs!$B$44),0))),0)))&gt;=100),MIN(100,((Inputs!$B$9+((C861=TRUE)*(F861-Calc!F26))+B869+(ArtifactsInput!$M$24-ArtifactsInput!$M$24)*CHOOSE(ArtifactsInput!$N$24+1,10,12,14,16,18,20)+IF(ArtifactsInput!$M$10,CHOOSE(ArtifactsInput!$N$10+1,15,18,21,24,27,30)*(IF(Inputs!$B$39="pvp",MIN(15,15)/15,IF(AND(Inputs!$B$39&lt;&gt;"pvp",Inputs!$B$44&gt;0),MIN(15,Inputs!$B$44)/(Inputs!$B$44),0))),0)))-100),0))*CHOOSE(ArtifactsInput!$N$42+1,0.6,0.72,0.84,0.96,1.08,1.2))),(Inputs!$B$18+1)+((C864=TRUE)*(F864-Calc!F29))+(IF(AND(Inputs!$B$39&lt;&gt;"pvp",Inputs!$B$44=0),1,IF(IF(Inputs!$B$39="pvp",15,Inputs!$B$44)-(B880)&lt;=0,1,MAX(0,IF(Inputs!$B$39="pvp",15,Inputs!$B$44)-MAX(5,B880))/(IF(Inputs!$B$39="pvp",15,Inputs!$B$44)-(B880))))*IF(AND(ArtifactsInput!$M$42,((Inputs!$B$9+((C861=TRUE)*(F861-Calc!F26))+B869+(ArtifactsInput!$M$24-ArtifactsInput!$M$24)*CHOOSE(ArtifactsInput!$N$24+1,10,12,14,16,18,20)+IF(ArtifactsInput!$M$10,CHOOSE(ArtifactsInput!$N$10+1,15,18,21,24,27,30)*(IF(Inputs!$B$39="pvp",MIN(15,15)/15,IF(AND(Inputs!$B$39&lt;&gt;"pvp",Inputs!$B$44&gt;0),MIN(15,Inputs!$B$44)/(Inputs!$B$44),0))),0)))&gt;=100),CHOOSE(ArtifactsInput!$N$42+1,40,48,56,64,72,80),0))))/100)*(((1+(((C857=TRUE)*F857*IF(AND(Inputs!$B$39&lt;&gt;"pvp",Inputs!$B$44&gt;0),(((R857-1)*MIN((Skills!Y22*(1+Inputs!$B$34/100)),(1/Q857))+MIN((Skills!Y22*(1+Inputs!$B$34/100)),MAX(0,Inputs!$B$44-((R857-1)*(1/Q857)))))/Inputs!$B$44),IF(Inputs!$B$39="pvp",MIN((Skills!Y22*(1+Inputs!$B$34/100)),15)/15,MIN(1,(Skills!Y22*(1+Inputs!$B$34/100))/(1/Q857)))))+((C838=TRUE)*F838*3)+((C840=TRUE)*F840*(1-EXP(-0.75*B873*5)))+((C859=TRUE)*(F859-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846=TRUE)*F846*IF(AND(Inputs!$B$39&lt;&gt;"pvp",Inputs!$B$44&gt;0),(((R846-1)*MIN((Skills!Y11*(1+Inputs!$B$34/100)),(1/Q846))+MIN((Skills!Y11*(1+Inputs!$B$34/100)),MAX(0,Inputs!$B$44-((R846-1)*(1/Q846)))))/Inputs!$B$44),IF(Inputs!$B$39="pvp",MIN((Skills!Y11*(1+Inputs!$B$34/100)),15)/15,MIN(1,(Skills!Y11*(1+Inputs!$B$34/100))/(1/Q846)))))/100)*(1+((C851=TRUE)*F851*IF(AND(Inputs!$B$39&lt;&gt;"pvp",Inputs!$B$44&gt;0),(((R851-1)*MIN((Skills!Y16*(1+Inputs!$B$34/100)),(1/Q851))+MIN((Skills!Y16*(1+Inputs!$B$34/100)),MAX(0,Inputs!$B$44-((R851-1)*(1/Q851)))))/Inputs!$B$44),IF(Inputs!$B$39="pvp",MIN((Skills!Y16*(1+Inputs!$B$34/100)),15)/15,MIN(1,(Skills!Y16*(1+Inputs!$B$34/100))/(1/Q851)))))/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871*I849)</f>
        <v/>
      </c>
      <c r="L849">
        <f>K849*(MIN(Inputs!$B$22+((C860=TRUE)*(F860-Calc!F25)),(Inputs!$B$23+((C865=TRUE)*(F865-Calc!F30))+IF(ArtifactsInput!$M$15,CHOOSE(ArtifactsInput!$N$15+1,25,30,35,40,45,50)/100*(Inputs!$B$11-Inputs!$B$11),0)))/100+(Inputs!$B$23+((C865=TRUE)*(F865-Calc!F30))+IF(ArtifactsInput!$M$15,CHOOSE(ArtifactsInput!$N$15+1,25,30,35,40,45,50)/100*(Inputs!$B$11-Inputs!$B$11),0))/100)/2</f>
        <v/>
      </c>
      <c r="M849">
        <f>L849*(1+(Inputs!$B$10+((C862=TRUE)*(F862-Calc!F27))+B876+(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849">
        <f>L849*(1-MIN((Inputs!$B$9+((C861=TRUE)*(F861-Calc!F26))+B869+(ArtifactsInput!$M$24-ArtifactsInput!$M$24)*CHOOSE(ArtifactsInput!$N$24+1,10,12,14,16,18,20)+(IF(AND(Inputs!$B$39&lt;&gt;"pvp",Inputs!$B$44=0),1,IF(IF(Inputs!$B$39="pvp",15,Inputs!$B$44)-(B880)&lt;=0,1,MAX(0,IF(Inputs!$B$39="pvp",15,Inputs!$B$44)-MAX(5,B880))/(IF(Inputs!$B$39="pvp",15,Inputs!$B$44)-(B880))))*IF(AND(ArtifactsInput!$M$42,((Inputs!$B$9+((C861=TRUE)*(F861-Calc!F26))+B869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849*(MIN((Inputs!$B$9+((C861=TRUE)*(F861-Calc!F26))+B869+(ArtifactsInput!$M$24-ArtifactsInput!$M$24)*CHOOSE(ArtifactsInput!$N$24+1,10,12,14,16,18,20)+(IF(AND(Inputs!$B$39&lt;&gt;"pvp",Inputs!$B$44=0),1,IF(IF(Inputs!$B$39="pvp",15,Inputs!$B$44)-(B880)&lt;=0,1,MAX(0,IF(Inputs!$B$39="pvp",15,Inputs!$B$44)-MAX(5,B880))/(IF(Inputs!$B$39="pvp",15,Inputs!$B$44)-(B880))))*IF(AND(ArtifactsInput!$M$42,((Inputs!$B$9+((C861=TRUE)*(F861-Calc!F26))+B869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849">
        <f>(1-Summary!$B$11)*T849+Summary!$B$11*V849</f>
        <v/>
      </c>
      <c r="P849">
        <f>IF(B881=0,0,O849/B881)</f>
        <v/>
      </c>
      <c r="Q849">
        <f>IFERROR(1/IF(Inputs!$B$39="pvp",15,MAX(0.1,Skills!D14-IF(TRUE=TRUE,Inputs!$B$32,0))),0)</f>
        <v/>
      </c>
      <c r="R849">
        <f>IF(AND(Inputs!$B$39&lt;&gt;"pvp",Inputs!$B$44&gt;0),IF(MAX(0,Inputs!$B$44-B880)&lt;=0,0,(INT(MAX(0,Inputs!$B$44-B880)/IF(Inputs!$B$39="pvp",15,MAX(0.1,Skills!D14-IF(TRUE=TRUE,Inputs!$B$32,0))))+1)),0)</f>
        <v/>
      </c>
      <c r="S849">
        <f>IFERROR(O849/N849,0)</f>
        <v/>
      </c>
      <c r="T849">
        <f>IF(C849,(H849*N849*IF(AND(Inputs!$B$39&lt;&gt;"pvp",Inputs!$B$44&gt;0),((Skills!G14*((R849-1)*IF(Skills!H14&gt;0,Skills!I14/Skills!H14,1)+IF(Skills!H14&gt;0,MIN(Skills!I14,MAX(0,MAX(0,Inputs!$B$44-B880)-((R849-1)*IF(Inputs!$B$39="pvp",15,MAX(0.1,Skills!D14-IF(TRUE=TRUE,Inputs!$B$32,0))))))/Skills!H14,1)))/Inputs!$B$44),G849*Q849))*IF(Inputs!$B$39="pvp",1,1+(Inputs!$B$20+0+Skills!P14+B870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Hunt"),CHOOSE(ArtifactsInput!$N$35+1,15,18,21,24,27,30)*(1-EXP(-(0.2*B873)*5)),0)+IF(AND(ArtifactsInput!$M$22,Inputs!$B$4&lt;&gt;"Chapter Hunt"),CHOOSE(ArtifactsInput!$N$22+1,10,12,14,16,18,20)*((0*(((0.15*B873*5))^0/1)+1*(((0.15*B873*5))^1/1)+2*(((0.15*B873*5))^2/2)+3*(((0.15*B873*5))^3/6)+4*(((0.15*B873*5))^4/24)+5*(((0.15*B873*5))^5/120))/((((0.15*B873*5))^0/1)+(((0.15*B873*5))^1/1)+(((0.15*B873*5))^2/2)+(((0.15*B873*5))^3/6)+(((0.15*B873*5))^4/24)+(((0.15*B873*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849*(1-MIN(100,(Inputs!$B$9+((C861=TRUE)*(F861-Calc!F26))+B869+(ArtifactsInput!$M$24-ArtifactsInput!$M$24)*CHOOSE(ArtifactsInput!$N$24+1,10,12,14,16,18,20)+(IF(AND(Inputs!$B$39&lt;&gt;"pvp",Inputs!$B$44=0),1,IF(IF(Inputs!$B$39="pvp",15,Inputs!$B$44)-(B880)&lt;=0,1,MAX(0,IF(Inputs!$B$39="pvp",15,Inputs!$B$44)-MAX(5,B880))/(IF(Inputs!$B$39="pvp",15,Inputs!$B$44)-(B880))))*IF(AND(ArtifactsInput!$M$42,((Inputs!$B$9+((C861=TRUE)*(F861-Calc!F26))+B869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849*(MIN(100,(Inputs!$B$9+((C861=TRUE)*(F861-Calc!F26))+B869+(ArtifactsInput!$M$24-ArtifactsInput!$M$24)*CHOOSE(ArtifactsInput!$N$24+1,10,12,14,16,18,20)+(IF(AND(Inputs!$B$39&lt;&gt;"pvp",Inputs!$B$44=0),1,IF(IF(Inputs!$B$39="pvp",15,Inputs!$B$44)-(B880)&lt;=0,1,MAX(0,IF(Inputs!$B$39="pvp",15,Inputs!$B$44)-MAX(5,B880))/(IF(Inputs!$B$39="pvp",15,Inputs!$B$44)-(B880))))*IF(AND(ArtifactsInput!$M$42,((Inputs!$B$9+((C861=TRUE)*(F861-Calc!F26))+B869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849*(1-MIN(100,(Inputs!$B$9+((C861=TRUE)*(F861-Calc!F26))+B869+(ArtifactsInput!$M$24-ArtifactsInput!$M$24)*CHOOSE(ArtifactsInput!$N$24+1,10,12,14,16,18,20)+(IF(AND(Inputs!$B$39&lt;&gt;"pvp",Inputs!$B$44=0),1,IF(IF(Inputs!$B$39="pvp",15,Inputs!$B$44)-(B880)&lt;=0,1,MAX(0,IF(Inputs!$B$39="pvp",15,Inputs!$B$44)-MAX(5,B880))/(IF(Inputs!$B$39="pvp",15,Inputs!$B$44)-(B880))))*IF(AND(ArtifactsInput!$M$42,((Inputs!$B$9+((C861=TRUE)*(F861-Calc!F26))+B869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849*(MIN(100,(Inputs!$B$9+((C861=TRUE)*(F861-Calc!F26))+B869+(ArtifactsInput!$M$24-ArtifactsInput!$M$24)*CHOOSE(ArtifactsInput!$N$24+1,10,12,14,16,18,20)+(IF(AND(Inputs!$B$39&lt;&gt;"pvp",Inputs!$B$44=0),1,IF(IF(Inputs!$B$39="pvp",15,Inputs!$B$44)-(B880)&lt;=0,1,MAX(0,IF(Inputs!$B$39="pvp",15,Inputs!$B$44)-MAX(5,B880))/(IF(Inputs!$B$39="pvp",15,Inputs!$B$44)-(B880))))*IF(AND(ArtifactsInput!$M$42,((Inputs!$B$9+((C861=TRUE)*(F861-Calc!F26))+B869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849">
        <f>IF(C849,(H849*N849*IF(AND(Inputs!$B$39&lt;&gt;"pvp",Inputs!$B$44&gt;0),((Skills!G14*((R849-1)*IF(Skills!H14&gt;0,Skills!I14/Skills!H14,1)+IF(Skills!H14&gt;0,MIN(Skills!I14,MAX(0,MAX(0,Inputs!$B$44-B880)-((R849-1)*IF(Inputs!$B$39="pvp",15,MAX(0.1,Skills!D14-IF(TRUE=TRUE,Inputs!$B$32,0))))))/Skills!H14,1)))/Inputs!$B$44),G849*Q849))*IF(Inputs!$B$39="pvp",1,(1+(Inputs!$B$21+Skills!Q14+B870+(IF(ArtifactsInput!$M$33,CHOOSE(ArtifactsInput!$N$33+1,30,36,42,48,54,60),0))+(IF(AND(ArtifactsInput!$M$35,Inputs!$B$4&lt;&gt;"Chapter Hunt"),CHOOSE(ArtifactsInput!$N$35+1,15,18,21,24,27,30)*(1-EXP(-(0.2*B873)*5)),0)+IF(AND(ArtifactsInput!$M$22,Inputs!$B$4&lt;&gt;"Chapter Hunt"),CHOOSE(ArtifactsInput!$N$22+1,10,12,14,16,18,20)*((0*(((0.15*B873*5))^0/1)+1*(((0.15*B873*5))^1/1)+2*(((0.15*B873*5))^2/2)+3*(((0.15*B873*5))^3/6)+4*(((0.15*B873*5))^4/24)+5*(((0.15*B873*5))^5/120))/((((0.15*B873*5))^0/1)+(((0.15*B873*5))^1/1)+(((0.15*B873*5))^2/2)+(((0.15*B873*5))^3/6)+(((0.15*B873*5))^4/24)+(((0.15*B873*5))^5/120))),0)))/100)*(MIN(Skills!W14,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850">
      <c r="A850">
        <f>Skills!A15</f>
        <v/>
      </c>
      <c r="B850">
        <f>Skills!B15</f>
        <v/>
      </c>
      <c r="C850">
        <f>Inputs!$B$3&gt;=107</f>
        <v/>
      </c>
      <c r="D850">
        <f>IF(Skills!C15=1,60+Inputs!$B$25+Inputs!$B$29,IF(Skills!C15=2,90+Inputs!$B$26+Inputs!$B$29,IF(Skills!C15=3,120+Inputs!$B$27+Inputs!$B$29,MAX(0,(Inputs!$B$3-100)*3)+Inputs!$B$28+Inputs!$B$29)))</f>
        <v/>
      </c>
      <c r="E850">
        <f>INDEX(FactorTable!$B$2:$Y$301, MATCH(ROUND(MIN(300,MAX(1,D850)),0), FactorTable!$A$2:$A$301,0), Skills!M15+1)</f>
        <v/>
      </c>
      <c r="F850">
        <f>IF(Skills!N15=TRUE,(Skills!L15/10)*(E850/1000),Skills!L15/10)+Skills!O15</f>
        <v/>
      </c>
      <c r="G850">
        <f>Skills!G15*IF(Skills!H15&gt;0,IF(Inputs!$B$39="pvp",MIN(Skills!I15,15),Skills!I15)/Skills!H15,1)</f>
        <v/>
      </c>
      <c r="H850">
        <f>1-(1-Skills!J15/100)^Skills!K15</f>
        <v/>
      </c>
      <c r="I850" t="inlineStr">
        <is>
          <t>1</t>
        </is>
      </c>
      <c r="J850">
        <f>((Inputs!$B$6*(1+Inputs!$B$7/100))+(((Inputs!$B$12*(1+Inputs!$B$13/100))-(Inputs!$B$12*(1+Inputs!$B$13/100)))+0.25*(Inputs!$B$14-Inputs!$B$14))*(1+Inputs!$B$7/100))*(F850/100)</f>
        <v/>
      </c>
      <c r="K850">
        <f>J850*(1+((Inputs!$B$12*(1+Inputs!$B$13/100))*0.01+Inputs!$B$14*0.0025)/100)*(1+Inputs!$B$15/100)*(1+Inputs!$B$16/100)*(5000/(6000+Inputs!$B$43*(1-(100*(1-(1-Inputs!$B$19/100)*(1-CHOOSE(ArtifactsInput!$N$40+1,5,6,7,8,9,10)/100)^(ArtifactsInput!$M$40-ArtifactsInput!$M$40)))/100)))*(1+(Inputs!$B$24+((C866=TRUE)*(F866-Calc!F31))+((C853=TRUE)*(F853-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15="CRUEL_STAB",Inputs!$B$17+((C863=TRUE)*(F863-Calc!F28))+((IF(AND(Inputs!$B$39&lt;&gt;"pvp",Inputs!$B$44=0),1,IF(IF(Inputs!$B$39="pvp",15,Inputs!$B$44)-(B880)&lt;=0,1,MAX(0,IF(Inputs!$B$39="pvp",15,Inputs!$B$44)-MAX(5,B880))/(IF(Inputs!$B$39="pvp",15,Inputs!$B$44)-(B880))))*(IF(AND(ArtifactsInput!$M$42,((Inputs!$B$9+((C861=TRUE)*(F861-Calc!F26))+B869+(ArtifactsInput!$M$24-ArtifactsInput!$M$24)*CHOOSE(ArtifactsInput!$N$24+1,10,12,14,16,18,20)+IF(ArtifactsInput!$M$10,CHOOSE(ArtifactsInput!$N$10+1,15,18,21,24,27,30)*(IF(Inputs!$B$39="pvp",MIN(15,15)/15,IF(AND(Inputs!$B$39&lt;&gt;"pvp",Inputs!$B$44&gt;0),MIN(15,Inputs!$B$44)/(Inputs!$B$44),0))),0)))&gt;=100),MIN(100,((Inputs!$B$9+((C861=TRUE)*(F861-Calc!F26))+B869+(ArtifactsInput!$M$24-ArtifactsInput!$M$24)*CHOOSE(ArtifactsInput!$N$24+1,10,12,14,16,18,20)+IF(ArtifactsInput!$M$10,CHOOSE(ArtifactsInput!$N$10+1,15,18,21,24,27,30)*(IF(Inputs!$B$39="pvp",MIN(15,15)/15,IF(AND(Inputs!$B$39&lt;&gt;"pvp",Inputs!$B$44&gt;0),MIN(15,Inputs!$B$44)/(Inputs!$B$44),0))),0)))-100),0))*CHOOSE(ArtifactsInput!$N$42+1,0.6,0.72,0.84,0.96,1.08,1.2))),(Inputs!$B$18+1)+((C864=TRUE)*(F864-Calc!F29))+(IF(AND(Inputs!$B$39&lt;&gt;"pvp",Inputs!$B$44=0),1,IF(IF(Inputs!$B$39="pvp",15,Inputs!$B$44)-(B880)&lt;=0,1,MAX(0,IF(Inputs!$B$39="pvp",15,Inputs!$B$44)-MAX(5,B880))/(IF(Inputs!$B$39="pvp",15,Inputs!$B$44)-(B880))))*IF(AND(ArtifactsInput!$M$42,((Inputs!$B$9+((C861=TRUE)*(F861-Calc!F26))+B869+(ArtifactsInput!$M$24-ArtifactsInput!$M$24)*CHOOSE(ArtifactsInput!$N$24+1,10,12,14,16,18,20)+IF(ArtifactsInput!$M$10,CHOOSE(ArtifactsInput!$N$10+1,15,18,21,24,27,30)*(IF(Inputs!$B$39="pvp",MIN(15,15)/15,IF(AND(Inputs!$B$39&lt;&gt;"pvp",Inputs!$B$44&gt;0),MIN(15,Inputs!$B$44)/(Inputs!$B$44),0))),0)))&gt;=100),CHOOSE(ArtifactsInput!$N$42+1,40,48,56,64,72,80),0))))/100)*(((1+(((C857=TRUE)*F857*IF(AND(Inputs!$B$39&lt;&gt;"pvp",Inputs!$B$44&gt;0),(((R857-1)*MIN((Skills!Y22*(1+Inputs!$B$34/100)),(1/Q857))+MIN((Skills!Y22*(1+Inputs!$B$34/100)),MAX(0,Inputs!$B$44-((R857-1)*(1/Q857)))))/Inputs!$B$44),IF(Inputs!$B$39="pvp",MIN((Skills!Y22*(1+Inputs!$B$34/100)),15)/15,MIN(1,(Skills!Y22*(1+Inputs!$B$34/100))/(1/Q857)))))+((C838=TRUE)*F838*3)+((C840=TRUE)*F840*(1-EXP(-0.75*B873*5)))+((C859=TRUE)*(F859-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846=TRUE)*F846*IF(AND(Inputs!$B$39&lt;&gt;"pvp",Inputs!$B$44&gt;0),(((R846-1)*MIN((Skills!Y11*(1+Inputs!$B$34/100)),(1/Q846))+MIN((Skills!Y11*(1+Inputs!$B$34/100)),MAX(0,Inputs!$B$44-((R846-1)*(1/Q846)))))/Inputs!$B$44),IF(Inputs!$B$39="pvp",MIN((Skills!Y11*(1+Inputs!$B$34/100)),15)/15,MIN(1,(Skills!Y11*(1+Inputs!$B$34/100))/(1/Q846)))))/100)*(1+((C851=TRUE)*F851*IF(AND(Inputs!$B$39&lt;&gt;"pvp",Inputs!$B$44&gt;0),(((R851-1)*MIN((Skills!Y16*(1+Inputs!$B$34/100)),(1/Q851))+MIN((Skills!Y16*(1+Inputs!$B$34/100)),MAX(0,Inputs!$B$44-((R851-1)*(1/Q851)))))/Inputs!$B$44),IF(Inputs!$B$39="pvp",MIN((Skills!Y16*(1+Inputs!$B$34/100)),15)/15,MIN(1,(Skills!Y16*(1+Inputs!$B$34/100))/(1/Q851)))))/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871*I850)</f>
        <v/>
      </c>
      <c r="L850">
        <f>K850*(MIN(Inputs!$B$22+((C860=TRUE)*(F860-Calc!F25)),(Inputs!$B$23+((C865=TRUE)*(F865-Calc!F30))+IF(ArtifactsInput!$M$15,CHOOSE(ArtifactsInput!$N$15+1,25,30,35,40,45,50)/100*(Inputs!$B$11-Inputs!$B$11),0)))/100+(Inputs!$B$23+((C865=TRUE)*(F865-Calc!F30))+IF(ArtifactsInput!$M$15,CHOOSE(ArtifactsInput!$N$15+1,25,30,35,40,45,50)/100*(Inputs!$B$11-Inputs!$B$11),0))/100)/2</f>
        <v/>
      </c>
      <c r="M850">
        <f>L850*(1+(Inputs!$B$10+((C862=TRUE)*(F862-Calc!F27))+B876+(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850">
        <f>L850*(1-MIN((Inputs!$B$9+((C861=TRUE)*(F861-Calc!F26))+B869+(ArtifactsInput!$M$24-ArtifactsInput!$M$24)*CHOOSE(ArtifactsInput!$N$24+1,10,12,14,16,18,20)+(IF(AND(Inputs!$B$39&lt;&gt;"pvp",Inputs!$B$44=0),1,IF(IF(Inputs!$B$39="pvp",15,Inputs!$B$44)-(B880)&lt;=0,1,MAX(0,IF(Inputs!$B$39="pvp",15,Inputs!$B$44)-MAX(5,B880))/(IF(Inputs!$B$39="pvp",15,Inputs!$B$44)-(B880))))*IF(AND(ArtifactsInput!$M$42,((Inputs!$B$9+((C861=TRUE)*(F861-Calc!F26))+B869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850*(MIN((Inputs!$B$9+((C861=TRUE)*(F861-Calc!F26))+B869+(ArtifactsInput!$M$24-ArtifactsInput!$M$24)*CHOOSE(ArtifactsInput!$N$24+1,10,12,14,16,18,20)+(IF(AND(Inputs!$B$39&lt;&gt;"pvp",Inputs!$B$44=0),1,IF(IF(Inputs!$B$39="pvp",15,Inputs!$B$44)-(B880)&lt;=0,1,MAX(0,IF(Inputs!$B$39="pvp",15,Inputs!$B$44)-MAX(5,B880))/(IF(Inputs!$B$39="pvp",15,Inputs!$B$44)-(B880))))*IF(AND(ArtifactsInput!$M$42,((Inputs!$B$9+((C861=TRUE)*(F861-Calc!F26))+B869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850">
        <f>(1-Summary!$B$11)*T850+Summary!$B$11*V850</f>
        <v/>
      </c>
      <c r="P850">
        <f>IF(B881=0,0,O850/B881)</f>
        <v/>
      </c>
      <c r="Q850">
        <f>IFERROR(1/IF(Inputs!$B$39="pvp",15,MAX(0.1,Skills!D15-IF(TRUE=TRUE,Inputs!$B$32,0))),0)</f>
        <v/>
      </c>
      <c r="R850">
        <f>IF(AND(Inputs!$B$39&lt;&gt;"pvp",Inputs!$B$44&gt;0),IF(MAX(0,Inputs!$B$44-B880)&lt;=0,0,(INT(MAX(0,Inputs!$B$44-B880)/IF(Inputs!$B$39="pvp",15,MAX(0.1,Skills!D15-IF(TRUE=TRUE,Inputs!$B$32,0))))+1)),0)</f>
        <v/>
      </c>
      <c r="S850">
        <f>IFERROR(O850/N850,0)</f>
        <v/>
      </c>
      <c r="T850">
        <f>IF(C850,(H850*N850*IF(AND(Inputs!$B$39&lt;&gt;"pvp",Inputs!$B$44&gt;0),((Skills!G15*((R850-1)*IF(Skills!H15&gt;0,Skills!I15/Skills!H15,1)+IF(Skills!H15&gt;0,MIN(Skills!I15,MAX(0,MAX(0,Inputs!$B$44-B880)-((R850-1)*IF(Inputs!$B$39="pvp",15,MAX(0.1,Skills!D15-IF(TRUE=TRUE,Inputs!$B$32,0))))))/Skills!H15,1)))/Inputs!$B$44),G850*Q850))*IF(Inputs!$B$39="pvp",1,1+(Inputs!$B$20+0+Skills!P15+B870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Hunt"),CHOOSE(ArtifactsInput!$N$35+1,15,18,21,24,27,30)*(1-EXP(-(0.2*B873)*5)),0)+IF(AND(ArtifactsInput!$M$22,Inputs!$B$4&lt;&gt;"Chapter Hunt"),CHOOSE(ArtifactsInput!$N$22+1,10,12,14,16,18,20)*((0*(((0.15*B873*5))^0/1)+1*(((0.15*B873*5))^1/1)+2*(((0.15*B873*5))^2/2)+3*(((0.15*B873*5))^3/6)+4*(((0.15*B873*5))^4/24)+5*(((0.15*B873*5))^5/120))/((((0.15*B873*5))^0/1)+(((0.15*B873*5))^1/1)+(((0.15*B873*5))^2/2)+(((0.15*B873*5))^3/6)+(((0.15*B873*5))^4/24)+(((0.15*B873*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850*(1-MIN(100,(Inputs!$B$9+((C861=TRUE)*(F861-Calc!F26))+B869+(ArtifactsInput!$M$24-ArtifactsInput!$M$24)*CHOOSE(ArtifactsInput!$N$24+1,10,12,14,16,18,20)+(IF(AND(Inputs!$B$39&lt;&gt;"pvp",Inputs!$B$44=0),1,IF(IF(Inputs!$B$39="pvp",15,Inputs!$B$44)-(B880)&lt;=0,1,MAX(0,IF(Inputs!$B$39="pvp",15,Inputs!$B$44)-MAX(5,B880))/(IF(Inputs!$B$39="pvp",15,Inputs!$B$44)-(B880))))*IF(AND(ArtifactsInput!$M$42,((Inputs!$B$9+((C861=TRUE)*(F861-Calc!F26))+B869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850*(MIN(100,(Inputs!$B$9+((C861=TRUE)*(F861-Calc!F26))+B869+(ArtifactsInput!$M$24-ArtifactsInput!$M$24)*CHOOSE(ArtifactsInput!$N$24+1,10,12,14,16,18,20)+(IF(AND(Inputs!$B$39&lt;&gt;"pvp",Inputs!$B$44=0),1,IF(IF(Inputs!$B$39="pvp",15,Inputs!$B$44)-(B880)&lt;=0,1,MAX(0,IF(Inputs!$B$39="pvp",15,Inputs!$B$44)-MAX(5,B880))/(IF(Inputs!$B$39="pvp",15,Inputs!$B$44)-(B880))))*IF(AND(ArtifactsInput!$M$42,((Inputs!$B$9+((C861=TRUE)*(F861-Calc!F26))+B869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850*(1-MIN(100,(Inputs!$B$9+((C861=TRUE)*(F861-Calc!F26))+B869+(ArtifactsInput!$M$24-ArtifactsInput!$M$24)*CHOOSE(ArtifactsInput!$N$24+1,10,12,14,16,18,20)+(IF(AND(Inputs!$B$39&lt;&gt;"pvp",Inputs!$B$44=0),1,IF(IF(Inputs!$B$39="pvp",15,Inputs!$B$44)-(B880)&lt;=0,1,MAX(0,IF(Inputs!$B$39="pvp",15,Inputs!$B$44)-MAX(5,B880))/(IF(Inputs!$B$39="pvp",15,Inputs!$B$44)-(B880))))*IF(AND(ArtifactsInput!$M$42,((Inputs!$B$9+((C861=TRUE)*(F861-Calc!F26))+B869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850*(MIN(100,(Inputs!$B$9+((C861=TRUE)*(F861-Calc!F26))+B869+(ArtifactsInput!$M$24-ArtifactsInput!$M$24)*CHOOSE(ArtifactsInput!$N$24+1,10,12,14,16,18,20)+(IF(AND(Inputs!$B$39&lt;&gt;"pvp",Inputs!$B$44=0),1,IF(IF(Inputs!$B$39="pvp",15,Inputs!$B$44)-(B880)&lt;=0,1,MAX(0,IF(Inputs!$B$39="pvp",15,Inputs!$B$44)-MAX(5,B880))/(IF(Inputs!$B$39="pvp",15,Inputs!$B$44)-(B880))))*IF(AND(ArtifactsInput!$M$42,((Inputs!$B$9+((C861=TRUE)*(F861-Calc!F26))+B869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850">
        <f>IF(C850,(H850*N850*IF(AND(Inputs!$B$39&lt;&gt;"pvp",Inputs!$B$44&gt;0),((Skills!G15*((R850-1)*IF(Skills!H15&gt;0,Skills!I15/Skills!H15,1)+IF(Skills!H15&gt;0,MIN(Skills!I15,MAX(0,MAX(0,Inputs!$B$44-B880)-((R850-1)*IF(Inputs!$B$39="pvp",15,MAX(0.1,Skills!D15-IF(TRUE=TRUE,Inputs!$B$32,0))))))/Skills!H15,1)))/Inputs!$B$44),G850*Q850))*IF(Inputs!$B$39="pvp",1,(1+(Inputs!$B$21+Skills!Q15+B870+(IF(ArtifactsInput!$M$33,CHOOSE(ArtifactsInput!$N$33+1,30,36,42,48,54,60),0))+(IF(AND(ArtifactsInput!$M$35,Inputs!$B$4&lt;&gt;"Chapter Hunt"),CHOOSE(ArtifactsInput!$N$35+1,15,18,21,24,27,30)*(1-EXP(-(0.2*B873)*5)),0)+IF(AND(ArtifactsInput!$M$22,Inputs!$B$4&lt;&gt;"Chapter Hunt"),CHOOSE(ArtifactsInput!$N$22+1,10,12,14,16,18,20)*((0*(((0.15*B873*5))^0/1)+1*(((0.15*B873*5))^1/1)+2*(((0.15*B873*5))^2/2)+3*(((0.15*B873*5))^3/6)+4*(((0.15*B873*5))^4/24)+5*(((0.15*B873*5))^5/120))/((((0.15*B873*5))^0/1)+(((0.15*B873*5))^1/1)+(((0.15*B873*5))^2/2)+(((0.15*B873*5))^3/6)+(((0.15*B873*5))^4/24)+(((0.15*B873*5))^5/120))),0)))/100)*(MIN(MIN(5,0.5*IF(Inputs!$B$3&gt;=75,0.75,0.5)*B873*(1/Q839))*Skills!V15,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851">
      <c r="A851">
        <f>Skills!A16</f>
        <v/>
      </c>
      <c r="B851">
        <f>Skills!B16</f>
        <v/>
      </c>
      <c r="C851">
        <f>Inputs!$B$3&gt;=110</f>
        <v/>
      </c>
      <c r="D851">
        <f>IF(Skills!C16=1,60+Inputs!$B$25+Inputs!$B$29,IF(Skills!C16=2,90+Inputs!$B$26+Inputs!$B$29,IF(Skills!C16=3,120+Inputs!$B$27+Inputs!$B$29,MAX(0,(Inputs!$B$3-100)*3)+Inputs!$B$28+Inputs!$B$29)))</f>
        <v/>
      </c>
      <c r="E851">
        <f>INDEX(FactorTable!$B$2:$Y$301, MATCH(ROUND(MIN(300,MAX(1,D851)),0), FactorTable!$A$2:$A$301,0), Skills!M16+1)</f>
        <v/>
      </c>
      <c r="F851">
        <f>IF(Skills!N16=TRUE,(Skills!L16/10)*(E851/1000),Skills!L16/10)+Skills!O16</f>
        <v/>
      </c>
      <c r="G851">
        <f>Skills!G16*IF(Skills!H16&gt;0,IF(Inputs!$B$39="pvp",MIN(Skills!I16,15),Skills!I16)/Skills!H16,1)</f>
        <v/>
      </c>
      <c r="H851">
        <f>1-(1-Skills!J16/100)^Skills!K16</f>
        <v/>
      </c>
      <c r="I851" t="inlineStr">
        <is>
          <t>1</t>
        </is>
      </c>
      <c r="J851" t="inlineStr"/>
      <c r="K851" t="inlineStr"/>
      <c r="L851" t="inlineStr"/>
      <c r="M851" t="inlineStr"/>
      <c r="N851" t="inlineStr"/>
      <c r="O851">
        <f>(1-Summary!$B$11)*T851+Summary!$B$11*V851</f>
        <v/>
      </c>
      <c r="P851">
        <f>IF(B881=0,0,O851/B881)</f>
        <v/>
      </c>
      <c r="Q851">
        <f>IFERROR(1/IF(Inputs!$B$39="pvp",15,MAX(0.1,Skills!D16-IF(TRUE=TRUE,Inputs!$B$32,0))),0)</f>
        <v/>
      </c>
      <c r="R851">
        <f>IF(AND(Inputs!$B$39&lt;&gt;"pvp",Inputs!$B$44&gt;0),IF(Inputs!$B$44&lt;=0,0,(INT(Inputs!$B$44/IF(Inputs!$B$39="pvp",15,MAX(0.1,Skills!D16-IF(TRUE=TRUE,Inputs!$B$32,0))))+1)),0)</f>
        <v/>
      </c>
      <c r="S851">
        <f>IFERROR(O851/N851,0)</f>
        <v/>
      </c>
      <c r="T851" t="n">
        <v>0</v>
      </c>
      <c r="V851" t="n">
        <v>0</v>
      </c>
    </row>
    <row r="852">
      <c r="A852">
        <f>Skills!A17</f>
        <v/>
      </c>
      <c r="B852">
        <f>Skills!B17</f>
        <v/>
      </c>
      <c r="C852">
        <f>Inputs!$B$3&gt;=115</f>
        <v/>
      </c>
      <c r="D852">
        <f>IF(Skills!C17=1,60+Inputs!$B$25+Inputs!$B$29,IF(Skills!C17=2,90+Inputs!$B$26+Inputs!$B$29,IF(Skills!C17=3,120+Inputs!$B$27+Inputs!$B$29,MAX(0,(Inputs!$B$3-100)*3)+Inputs!$B$28+Inputs!$B$29)))</f>
        <v/>
      </c>
      <c r="E852">
        <f>INDEX(FactorTable!$B$2:$Y$301, MATCH(ROUND(MIN(300,MAX(1,D852)),0), FactorTable!$A$2:$A$301,0), Skills!M17+1)</f>
        <v/>
      </c>
      <c r="F852">
        <f>IF(Skills!N17=TRUE,(Skills!L17/10)*(E852/1000),Skills!L17/10)+Skills!O17</f>
        <v/>
      </c>
      <c r="G852">
        <f>Skills!G17*IF(Skills!H17&gt;0,IF(Inputs!$B$39="pvp",MIN(Skills!I17,15),Skills!I17)/Skills!H17,1)</f>
        <v/>
      </c>
      <c r="H852">
        <f>1-(1-Skills!J17/100)^Skills!K17</f>
        <v/>
      </c>
      <c r="I852" t="inlineStr">
        <is>
          <t>1</t>
        </is>
      </c>
      <c r="J852">
        <f>((Inputs!$B$6*(1+Inputs!$B$7/100))+(((Inputs!$B$12*(1+Inputs!$B$13/100))-(Inputs!$B$12*(1+Inputs!$B$13/100)))+0.25*(Inputs!$B$14-Inputs!$B$14))*(1+Inputs!$B$7/100))*(F852/100)</f>
        <v/>
      </c>
      <c r="K852">
        <f>J852*(1+((Inputs!$B$12*(1+Inputs!$B$13/100))*0.01+Inputs!$B$14*0.0025)/100)*(1+Inputs!$B$15/100)*(1+Inputs!$B$16/100)*(5000/(6000+Inputs!$B$43*(1-(100*(1-(1-Inputs!$B$19/100)*(1-CHOOSE(ArtifactsInput!$N$40+1,5,6,7,8,9,10)/100)^(ArtifactsInput!$M$40-ArtifactsInput!$M$40)))/100)))*(1+(Inputs!$B$24+((C866=TRUE)*(F866-Calc!F31))+((C853=TRUE)*(F853-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17="CRUEL_STAB",Inputs!$B$17+((C863=TRUE)*(F863-Calc!F28))+((IF(AND(Inputs!$B$39&lt;&gt;"pvp",Inputs!$B$44=0),1,IF(IF(Inputs!$B$39="pvp",15,Inputs!$B$44)-(B880)&lt;=0,1,MAX(0,IF(Inputs!$B$39="pvp",15,Inputs!$B$44)-MAX(5,B880))/(IF(Inputs!$B$39="pvp",15,Inputs!$B$44)-(B880))))*(IF(AND(ArtifactsInput!$M$42,((Inputs!$B$9+((C861=TRUE)*(F861-Calc!F26))+B869+(ArtifactsInput!$M$24-ArtifactsInput!$M$24)*CHOOSE(ArtifactsInput!$N$24+1,10,12,14,16,18,20)+IF(ArtifactsInput!$M$10,CHOOSE(ArtifactsInput!$N$10+1,15,18,21,24,27,30)*(IF(Inputs!$B$39="pvp",MIN(15,15)/15,IF(AND(Inputs!$B$39&lt;&gt;"pvp",Inputs!$B$44&gt;0),MIN(15,Inputs!$B$44)/(Inputs!$B$44),0))),0)))&gt;=100),MIN(100,((Inputs!$B$9+((C861=TRUE)*(F861-Calc!F26))+B869+(ArtifactsInput!$M$24-ArtifactsInput!$M$24)*CHOOSE(ArtifactsInput!$N$24+1,10,12,14,16,18,20)+IF(ArtifactsInput!$M$10,CHOOSE(ArtifactsInput!$N$10+1,15,18,21,24,27,30)*(IF(Inputs!$B$39="pvp",MIN(15,15)/15,IF(AND(Inputs!$B$39&lt;&gt;"pvp",Inputs!$B$44&gt;0),MIN(15,Inputs!$B$44)/(Inputs!$B$44),0))),0)))-100),0))*CHOOSE(ArtifactsInput!$N$42+1,0.6,0.72,0.84,0.96,1.08,1.2))),(Inputs!$B$18+1)+((C864=TRUE)*(F864-Calc!F29))+(IF(AND(Inputs!$B$39&lt;&gt;"pvp",Inputs!$B$44=0),1,IF(IF(Inputs!$B$39="pvp",15,Inputs!$B$44)-(B880)&lt;=0,1,MAX(0,IF(Inputs!$B$39="pvp",15,Inputs!$B$44)-MAX(5,B880))/(IF(Inputs!$B$39="pvp",15,Inputs!$B$44)-(B880))))*IF(AND(ArtifactsInput!$M$42,((Inputs!$B$9+((C861=TRUE)*(F861-Calc!F26))+B869+(ArtifactsInput!$M$24-ArtifactsInput!$M$24)*CHOOSE(ArtifactsInput!$N$24+1,10,12,14,16,18,20)+IF(ArtifactsInput!$M$10,CHOOSE(ArtifactsInput!$N$10+1,15,18,21,24,27,30)*(IF(Inputs!$B$39="pvp",MIN(15,15)/15,IF(AND(Inputs!$B$39&lt;&gt;"pvp",Inputs!$B$44&gt;0),MIN(15,Inputs!$B$44)/(Inputs!$B$44),0))),0)))&gt;=100),CHOOSE(ArtifactsInput!$N$42+1,40,48,56,64,72,80),0))))/100)*(((1+(((C857=TRUE)*F857*IF(AND(Inputs!$B$39&lt;&gt;"pvp",Inputs!$B$44&gt;0),(((R857-1)*MIN((Skills!Y22*(1+Inputs!$B$34/100)),(1/Q857))+MIN((Skills!Y22*(1+Inputs!$B$34/100)),MAX(0,Inputs!$B$44-((R857-1)*(1/Q857)))))/Inputs!$B$44),IF(Inputs!$B$39="pvp",MIN((Skills!Y22*(1+Inputs!$B$34/100)),15)/15,MIN(1,(Skills!Y22*(1+Inputs!$B$34/100))/(1/Q857)))))+((C838=TRUE)*F838*3)+((C840=TRUE)*F840*(1-EXP(-0.75*B873*5)))+((C859=TRUE)*(F859-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846=TRUE)*F846*IF(AND(Inputs!$B$39&lt;&gt;"pvp",Inputs!$B$44&gt;0),(((R846-1)*MIN((Skills!Y11*(1+Inputs!$B$34/100)),(1/Q846))+MIN((Skills!Y11*(1+Inputs!$B$34/100)),MAX(0,Inputs!$B$44-((R846-1)*(1/Q846)))))/Inputs!$B$44),IF(Inputs!$B$39="pvp",MIN((Skills!Y11*(1+Inputs!$B$34/100)),15)/15,MIN(1,(Skills!Y11*(1+Inputs!$B$34/100))/(1/Q846)))))/100)*(1+((C851=TRUE)*F851*IF(AND(Inputs!$B$39&lt;&gt;"pvp",Inputs!$B$44&gt;0),(((R851-1)*MIN((Skills!Y16*(1+Inputs!$B$34/100)),(1/Q851))+MIN((Skills!Y16*(1+Inputs!$B$34/100)),MAX(0,Inputs!$B$44-((R851-1)*(1/Q851)))))/Inputs!$B$44),IF(Inputs!$B$39="pvp",MIN((Skills!Y16*(1+Inputs!$B$34/100)),15)/15,MIN(1,(Skills!Y16*(1+Inputs!$B$34/100))/(1/Q851)))))/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871*I852)</f>
        <v/>
      </c>
      <c r="L852">
        <f>K852*(MIN(Inputs!$B$22+((C860=TRUE)*(F860-Calc!F25)),(Inputs!$B$23+((C865=TRUE)*(F865-Calc!F30))+IF(ArtifactsInput!$M$15,CHOOSE(ArtifactsInput!$N$15+1,25,30,35,40,45,50)/100*(Inputs!$B$11-Inputs!$B$11),0)))/100+(Inputs!$B$23+((C865=TRUE)*(F865-Calc!F30))+IF(ArtifactsInput!$M$15,CHOOSE(ArtifactsInput!$N$15+1,25,30,35,40,45,50)/100*(Inputs!$B$11-Inputs!$B$11),0))/100)/2</f>
        <v/>
      </c>
      <c r="M852">
        <f>L852*(1+(Inputs!$B$10+((C862=TRUE)*(F862-Calc!F27))+B876+(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852">
        <f>L852*(1-MIN((Inputs!$B$9+((C861=TRUE)*(F861-Calc!F26))+B869+(ArtifactsInput!$M$24-ArtifactsInput!$M$24)*CHOOSE(ArtifactsInput!$N$24+1,10,12,14,16,18,20)+(IF(AND(Inputs!$B$39&lt;&gt;"pvp",Inputs!$B$44=0),1,IF(IF(Inputs!$B$39="pvp",15,Inputs!$B$44)-(B880)&lt;=0,1,MAX(0,IF(Inputs!$B$39="pvp",15,Inputs!$B$44)-MAX(5,B880))/(IF(Inputs!$B$39="pvp",15,Inputs!$B$44)-(B880))))*IF(AND(ArtifactsInput!$M$42,((Inputs!$B$9+((C861=TRUE)*(F861-Calc!F26))+B869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852*(MIN((Inputs!$B$9+((C861=TRUE)*(F861-Calc!F26))+B869+(ArtifactsInput!$M$24-ArtifactsInput!$M$24)*CHOOSE(ArtifactsInput!$N$24+1,10,12,14,16,18,20)+(IF(AND(Inputs!$B$39&lt;&gt;"pvp",Inputs!$B$44=0),1,IF(IF(Inputs!$B$39="pvp",15,Inputs!$B$44)-(B880)&lt;=0,1,MAX(0,IF(Inputs!$B$39="pvp",15,Inputs!$B$44)-MAX(5,B880))/(IF(Inputs!$B$39="pvp",15,Inputs!$B$44)-(B880))))*IF(AND(ArtifactsInput!$M$42,((Inputs!$B$9+((C861=TRUE)*(F861-Calc!F26))+B869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852">
        <f>(1-Summary!$B$11)*T852+Summary!$B$11*V852</f>
        <v/>
      </c>
      <c r="P852">
        <f>IF(B881=0,0,O852/B881)</f>
        <v/>
      </c>
      <c r="Q852" t="n">
        <v>0</v>
      </c>
      <c r="R852" t="n">
        <v>0</v>
      </c>
      <c r="S852">
        <f>IFERROR(O852/N852,0)</f>
        <v/>
      </c>
      <c r="T852">
        <f>IF(C852,(Inputs!$B$38*0.2*N852)*IF(Inputs!$B$39="pvp",1,1+(Inputs!$B$20+0+Skills!P17+B870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Hunt"),CHOOSE(ArtifactsInput!$N$35+1,15,18,21,24,27,30)*(1-EXP(-(0.2*B873)*5)),0)+IF(AND(ArtifactsInput!$M$22,Inputs!$B$4&lt;&gt;"Chapter Hunt"),CHOOSE(ArtifactsInput!$N$22+1,10,12,14,16,18,20)*((0*(((0.15*B873*5))^0/1)+1*(((0.15*B873*5))^1/1)+2*(((0.15*B873*5))^2/2)+3*(((0.15*B873*5))^3/6)+4*(((0.15*B873*5))^4/24)+5*(((0.15*B873*5))^5/120))/((((0.15*B873*5))^0/1)+(((0.15*B873*5))^1/1)+(((0.15*B873*5))^2/2)+(((0.15*B873*5))^3/6)+(((0.15*B873*5))^4/24)+(((0.15*B873*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852*(1-MIN(100,(Inputs!$B$9+((C861=TRUE)*(F861-Calc!F26))+B869+(ArtifactsInput!$M$24-ArtifactsInput!$M$24)*CHOOSE(ArtifactsInput!$N$24+1,10,12,14,16,18,20)+(IF(AND(Inputs!$B$39&lt;&gt;"pvp",Inputs!$B$44=0),1,IF(IF(Inputs!$B$39="pvp",15,Inputs!$B$44)-(B880)&lt;=0,1,MAX(0,IF(Inputs!$B$39="pvp",15,Inputs!$B$44)-MAX(5,B880))/(IF(Inputs!$B$39="pvp",15,Inputs!$B$44)-(B880))))*IF(AND(ArtifactsInput!$M$42,((Inputs!$B$9+((C861=TRUE)*(F861-Calc!F26))+B869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852*(MIN(100,(Inputs!$B$9+((C861=TRUE)*(F861-Calc!F26))+B869+(ArtifactsInput!$M$24-ArtifactsInput!$M$24)*CHOOSE(ArtifactsInput!$N$24+1,10,12,14,16,18,20)+(IF(AND(Inputs!$B$39&lt;&gt;"pvp",Inputs!$B$44=0),1,IF(IF(Inputs!$B$39="pvp",15,Inputs!$B$44)-(B880)&lt;=0,1,MAX(0,IF(Inputs!$B$39="pvp",15,Inputs!$B$44)-MAX(5,B880))/(IF(Inputs!$B$39="pvp",15,Inputs!$B$44)-(B880))))*IF(AND(ArtifactsInput!$M$42,((Inputs!$B$9+((C861=TRUE)*(F861-Calc!F26))+B869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852*(1-MIN(100,(Inputs!$B$9+((C861=TRUE)*(F861-Calc!F26))+B869+(ArtifactsInput!$M$24-ArtifactsInput!$M$24)*CHOOSE(ArtifactsInput!$N$24+1,10,12,14,16,18,20)+(IF(AND(Inputs!$B$39&lt;&gt;"pvp",Inputs!$B$44=0),1,IF(IF(Inputs!$B$39="pvp",15,Inputs!$B$44)-(B880)&lt;=0,1,MAX(0,IF(Inputs!$B$39="pvp",15,Inputs!$B$44)-MAX(5,B880))/(IF(Inputs!$B$39="pvp",15,Inputs!$B$44)-(B880))))*IF(AND(ArtifactsInput!$M$42,((Inputs!$B$9+((C861=TRUE)*(F861-Calc!F26))+B869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852*(MIN(100,(Inputs!$B$9+((C861=TRUE)*(F861-Calc!F26))+B869+(ArtifactsInput!$M$24-ArtifactsInput!$M$24)*CHOOSE(ArtifactsInput!$N$24+1,10,12,14,16,18,20)+(IF(AND(Inputs!$B$39&lt;&gt;"pvp",Inputs!$B$44=0),1,IF(IF(Inputs!$B$39="pvp",15,Inputs!$B$44)-(B880)&lt;=0,1,MAX(0,IF(Inputs!$B$39="pvp",15,Inputs!$B$44)-MAX(5,B880))/(IF(Inputs!$B$39="pvp",15,Inputs!$B$44)-(B880))))*IF(AND(ArtifactsInput!$M$42,((Inputs!$B$9+((C861=TRUE)*(F861-Calc!F26))+B869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852">
        <f>IF(C852,(Inputs!$B$38*0.2*N852)*IF(Inputs!$B$39="pvp",1,(1+(Inputs!$B$21+Skills!Q17+B870+(IF(ArtifactsInput!$M$33,CHOOSE(ArtifactsInput!$N$33+1,30,36,42,48,54,60),0))+(IF(AND(ArtifactsInput!$M$35,Inputs!$B$4&lt;&gt;"Chapter Hunt"),CHOOSE(ArtifactsInput!$N$35+1,15,18,21,24,27,30)*(1-EXP(-(0.2*B873)*5)),0)+IF(AND(ArtifactsInput!$M$22,Inputs!$B$4&lt;&gt;"Chapter Hunt"),CHOOSE(ArtifactsInput!$N$22+1,10,12,14,16,18,20)*((0*(((0.15*B873*5))^0/1)+1*(((0.15*B873*5))^1/1)+2*(((0.15*B873*5))^2/2)+3*(((0.15*B873*5))^3/6)+4*(((0.15*B873*5))^4/24)+5*(((0.15*B873*5))^5/120))/((((0.15*B873*5))^0/1)+(((0.15*B873*5))^1/1)+(((0.15*B873*5))^2/2)+(((0.15*B873*5))^3/6)+(((0.15*B873*5))^4/24)+(((0.15*B873*5))^5/120))),0)))/100)*(MIN(Skills!W17,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853">
      <c r="A853">
        <f>Skills!A18</f>
        <v/>
      </c>
      <c r="B853">
        <f>Skills!B18</f>
        <v/>
      </c>
      <c r="C853">
        <f>Inputs!$B$3&gt;=115</f>
        <v/>
      </c>
      <c r="D853">
        <f>IF(Skills!C18=1,60+Inputs!$B$25+Inputs!$B$29,IF(Skills!C18=2,90+Inputs!$B$26+Inputs!$B$29,IF(Skills!C18=3,120+Inputs!$B$27+Inputs!$B$29,MAX(0,(Inputs!$B$3-100)*3)+Inputs!$B$28+Inputs!$B$29)))</f>
        <v/>
      </c>
      <c r="E853">
        <f>INDEX(FactorTable!$B$2:$Y$301, MATCH(ROUND(MIN(300,MAX(1,D853)),0), FactorTable!$A$2:$A$301,0), Skills!M18+1)</f>
        <v/>
      </c>
      <c r="F853">
        <f>IF(Skills!N18=TRUE,(Skills!L18/10)*(E853/1000),Skills!L18/10)+Skills!O18</f>
        <v/>
      </c>
      <c r="G853">
        <f>Skills!G18*IF(Skills!H18&gt;0,IF(Inputs!$B$39="pvp",MIN(Skills!I18,15),Skills!I18)/Skills!H18,1)</f>
        <v/>
      </c>
      <c r="H853">
        <f>1-(1-Skills!J18/100)^Skills!K18</f>
        <v/>
      </c>
      <c r="I853" t="inlineStr">
        <is>
          <t>1</t>
        </is>
      </c>
      <c r="J853" t="inlineStr"/>
      <c r="K853" t="inlineStr"/>
      <c r="L853" t="inlineStr"/>
      <c r="M853" t="inlineStr"/>
      <c r="N853" t="inlineStr"/>
      <c r="O853">
        <f>(1-Summary!$B$11)*T853+Summary!$B$11*V853</f>
        <v/>
      </c>
      <c r="P853">
        <f>IF(B881=0,0,O853/B881)</f>
        <v/>
      </c>
      <c r="Q853" t="n">
        <v>0</v>
      </c>
      <c r="R853" t="n">
        <v>0</v>
      </c>
      <c r="S853">
        <f>IFERROR(O853/N853,0)</f>
        <v/>
      </c>
      <c r="T853" t="n">
        <v>0</v>
      </c>
      <c r="V853" t="n">
        <v>0</v>
      </c>
    </row>
    <row r="854">
      <c r="A854">
        <f>Skills!A19</f>
        <v/>
      </c>
      <c r="B854">
        <f>Skills!B19</f>
        <v/>
      </c>
      <c r="C854">
        <f>Inputs!$B$3&gt;=100</f>
        <v/>
      </c>
      <c r="D854">
        <f>IF(Skills!C19=1,60+Inputs!$B$25+Inputs!$B$29,IF(Skills!C19=2,90+Inputs!$B$26+Inputs!$B$29,IF(Skills!C19=3,120+Inputs!$B$27+Inputs!$B$29,MAX(0,(Inputs!$B$3-100)*3)+Inputs!$B$28+Inputs!$B$29)))</f>
        <v/>
      </c>
      <c r="E854">
        <f>INDEX(FactorTable!$B$2:$Y$301, MATCH(ROUND(MIN(300,MAX(1,D854)),0), FactorTable!$A$2:$A$301,0), Skills!M19+1)</f>
        <v/>
      </c>
      <c r="F854">
        <f>IF(Skills!N19=TRUE,(Skills!L19/10)*(E854/1000),Skills!L19/10)+Skills!O19</f>
        <v/>
      </c>
      <c r="G854">
        <f>Skills!G19*IF(Skills!H19&gt;0,IF(Inputs!$B$39="pvp",MIN(Skills!I19,15),Skills!I19)/Skills!H19,1)</f>
        <v/>
      </c>
      <c r="H854">
        <f>1-(1-Skills!J19/100)^Skills!K19</f>
        <v/>
      </c>
      <c r="I854" t="inlineStr">
        <is>
          <t>1</t>
        </is>
      </c>
      <c r="J854" t="inlineStr"/>
      <c r="K854" t="inlineStr"/>
      <c r="L854" t="inlineStr"/>
      <c r="M854" t="inlineStr"/>
      <c r="N854" t="inlineStr"/>
      <c r="O854">
        <f>(1-Summary!$B$11)*T854+Summary!$B$11*V854</f>
        <v/>
      </c>
      <c r="P854">
        <f>IF(B881=0,0,O854/B881)</f>
        <v/>
      </c>
      <c r="Q854" t="n">
        <v>0</v>
      </c>
      <c r="R854" t="n">
        <v>0</v>
      </c>
      <c r="S854">
        <f>IFERROR(O854/N854,0)</f>
        <v/>
      </c>
      <c r="T854" t="n">
        <v>0</v>
      </c>
      <c r="V854" t="n">
        <v>0</v>
      </c>
    </row>
    <row r="855">
      <c r="A855">
        <f>Skills!A20</f>
        <v/>
      </c>
      <c r="B855">
        <f>Skills!B20</f>
        <v/>
      </c>
      <c r="C855">
        <f>TRUE</f>
        <v/>
      </c>
      <c r="D855">
        <f>IF(Skills!C20=1,60+Inputs!$B$25+Inputs!$B$29,IF(Skills!C20=2,90+Inputs!$B$26+Inputs!$B$29,IF(Skills!C20=3,120+Inputs!$B$27+Inputs!$B$29,MAX(0,(Inputs!$B$3-100)*3)+Inputs!$B$28+Inputs!$B$29)))</f>
        <v/>
      </c>
      <c r="E855">
        <f>INDEX(FactorTable!$B$2:$Y$301, MATCH(ROUND(MIN(300,MAX(1,D855)),0), FactorTable!$A$2:$A$301,0), Skills!M20+1)</f>
        <v/>
      </c>
      <c r="F855">
        <f>IF(Skills!N20=TRUE,(Skills!L20/10)*(E855/1000),Skills!L20/10)+Skills!O20</f>
        <v/>
      </c>
      <c r="G855">
        <f>Skills!G20*IF(Skills!H20&gt;0,IF(Inputs!$B$39="pvp",MIN(Skills!I20,15),Skills!I20)/Skills!H20,1)</f>
        <v/>
      </c>
      <c r="H855">
        <f>1-(1-Skills!J20/100)^Skills!K20</f>
        <v/>
      </c>
      <c r="I855" t="inlineStr">
        <is>
          <t>1</t>
        </is>
      </c>
      <c r="J855" t="inlineStr"/>
      <c r="K855" t="inlineStr"/>
      <c r="L855" t="inlineStr"/>
      <c r="M855" t="inlineStr"/>
      <c r="N855" t="inlineStr"/>
      <c r="O855">
        <f>(1-Summary!$B$11)*T855+Summary!$B$11*V855</f>
        <v/>
      </c>
      <c r="P855">
        <f>IF(B881=0,0,O855/B881)</f>
        <v/>
      </c>
      <c r="Q855">
        <f>IFERROR(1/IF(Inputs!$B$39="pvp",15,MAX(0.1,Skills!D20-IF(TRUE=TRUE,Inputs!$B$32,0))),0)</f>
        <v/>
      </c>
      <c r="R855">
        <f>IF(AND(Inputs!$B$39&lt;&gt;"pvp",Inputs!$B$44&gt;0),IF(Inputs!$B$44&lt;=0,0,(INT(Inputs!$B$44/IF(Inputs!$B$39="pvp",15,MAX(0.1,Skills!D20-IF(TRUE=TRUE,Inputs!$B$32,0))))+1)),0)</f>
        <v/>
      </c>
      <c r="S855">
        <f>IFERROR(O855/N855,0)</f>
        <v/>
      </c>
      <c r="T855" t="n">
        <v>0</v>
      </c>
      <c r="V855" t="n">
        <v>0</v>
      </c>
    </row>
    <row r="856">
      <c r="A856">
        <f>Skills!A21</f>
        <v/>
      </c>
      <c r="B856">
        <f>Skills!B21</f>
        <v/>
      </c>
      <c r="C856">
        <f>Inputs!$B$3&gt;=15</f>
        <v/>
      </c>
      <c r="D856">
        <f>IF(Skills!C21=1,60+Inputs!$B$25+Inputs!$B$29,IF(Skills!C21=2,90+Inputs!$B$26+Inputs!$B$29,IF(Skills!C21=3,120+Inputs!$B$27+Inputs!$B$29,MAX(0,(Inputs!$B$3-100)*3)+Inputs!$B$28+Inputs!$B$29)))</f>
        <v/>
      </c>
      <c r="E856">
        <f>INDEX(FactorTable!$B$2:$Y$301, MATCH(ROUND(MIN(300,MAX(1,D856)),0), FactorTable!$A$2:$A$301,0), Skills!M21+1)</f>
        <v/>
      </c>
      <c r="F856">
        <f>IF(Skills!N21=TRUE,(Skills!L21/10)*(E856/1000),Skills!L21/10)+Skills!O21</f>
        <v/>
      </c>
      <c r="G856">
        <f>Skills!G21*IF(Skills!H21&gt;0,IF(Inputs!$B$39="pvp",MIN(Skills!I21,15),Skills!I21)/Skills!H21,1)</f>
        <v/>
      </c>
      <c r="H856">
        <f>1-(1-Skills!J21/100)^Skills!K21</f>
        <v/>
      </c>
      <c r="I856" t="inlineStr">
        <is>
          <t>1</t>
        </is>
      </c>
      <c r="J856" t="inlineStr"/>
      <c r="K856" t="inlineStr"/>
      <c r="L856" t="inlineStr"/>
      <c r="M856" t="inlineStr"/>
      <c r="N856" t="inlineStr"/>
      <c r="O856">
        <f>(1-Summary!$B$11)*T856+Summary!$B$11*V856</f>
        <v/>
      </c>
      <c r="P856">
        <f>IF(B881=0,0,O856/B881)</f>
        <v/>
      </c>
      <c r="Q856">
        <f>IFERROR(1/IF(Inputs!$B$39="pvp",15,MAX(0.1,Skills!D21-IF(TRUE=TRUE,Inputs!$B$32,0))),0)</f>
        <v/>
      </c>
      <c r="R856">
        <f>IF(AND(Inputs!$B$39&lt;&gt;"pvp",Inputs!$B$44&gt;0),IF(Inputs!$B$44&lt;=0,0,(INT(Inputs!$B$44/IF(Inputs!$B$39="pvp",15,MAX(0.1,Skills!D21-IF(TRUE=TRUE,Inputs!$B$32,0))))+1)),0)</f>
        <v/>
      </c>
      <c r="S856">
        <f>IFERROR(O856/N856,0)</f>
        <v/>
      </c>
      <c r="T856" t="n">
        <v>0</v>
      </c>
      <c r="V856" t="n">
        <v>0</v>
      </c>
    </row>
    <row r="857">
      <c r="A857">
        <f>Skills!A22</f>
        <v/>
      </c>
      <c r="B857">
        <f>Skills!B22</f>
        <v/>
      </c>
      <c r="C857">
        <f>Inputs!$B$3&gt;=15</f>
        <v/>
      </c>
      <c r="D857">
        <f>IF(Skills!C22=1,60+Inputs!$B$25+Inputs!$B$29,IF(Skills!C22=2,90+Inputs!$B$26+Inputs!$B$29,IF(Skills!C22=3,120+Inputs!$B$27+Inputs!$B$29,MAX(0,(Inputs!$B$3-100)*3)+Inputs!$B$28+Inputs!$B$29)))</f>
        <v/>
      </c>
      <c r="E857">
        <f>INDEX(FactorTable!$B$2:$Y$301, MATCH(ROUND(MIN(300,MAX(1,D857)),0), FactorTable!$A$2:$A$301,0), Skills!M22+1)</f>
        <v/>
      </c>
      <c r="F857">
        <f>IF(Skills!N22=TRUE,(Skills!L22/10)*(E857/1000),Skills!L22/10)+Skills!O22</f>
        <v/>
      </c>
      <c r="G857">
        <f>Skills!G22*IF(Skills!H22&gt;0,IF(Inputs!$B$39="pvp",MIN(Skills!I22,15),Skills!I22)/Skills!H22,1)</f>
        <v/>
      </c>
      <c r="H857">
        <f>1-(1-Skills!J22/100)^Skills!K22</f>
        <v/>
      </c>
      <c r="I857" t="inlineStr">
        <is>
          <t>1</t>
        </is>
      </c>
      <c r="J857" t="inlineStr"/>
      <c r="K857" t="inlineStr"/>
      <c r="L857" t="inlineStr"/>
      <c r="M857" t="inlineStr"/>
      <c r="N857" t="inlineStr"/>
      <c r="O857">
        <f>(1-Summary!$B$11)*T857+Summary!$B$11*V857</f>
        <v/>
      </c>
      <c r="P857">
        <f>IF(B881=0,0,O857/B881)</f>
        <v/>
      </c>
      <c r="Q857">
        <f>IFERROR(1/IF(Inputs!$B$39="pvp",15,MAX(0.1,Skills!D22-IF(TRUE=TRUE,Inputs!$B$32,0))),0)</f>
        <v/>
      </c>
      <c r="R857">
        <f>IF(AND(Inputs!$B$39&lt;&gt;"pvp",Inputs!$B$44&gt;0),IF(Inputs!$B$44&lt;=0,0,(INT(Inputs!$B$44/IF(Inputs!$B$39="pvp",15,MAX(0.1,Skills!D22-IF(TRUE=TRUE,Inputs!$B$32,0))))+1)),0)</f>
        <v/>
      </c>
      <c r="S857">
        <f>IFERROR(O857/N857,0)</f>
        <v/>
      </c>
      <c r="T857" t="n">
        <v>0</v>
      </c>
      <c r="V857" t="n">
        <v>0</v>
      </c>
    </row>
    <row r="858">
      <c r="A858">
        <f>Skills!A23</f>
        <v/>
      </c>
      <c r="B858">
        <f>Skills!B23</f>
        <v/>
      </c>
      <c r="C858">
        <f>Inputs!$B$3&gt;=33</f>
        <v/>
      </c>
      <c r="D858">
        <f>IF(Skills!C23=1,60+Inputs!$B$25+Inputs!$B$29,IF(Skills!C23=2,90+Inputs!$B$26+Inputs!$B$29,IF(Skills!C23=3,120+Inputs!$B$27+Inputs!$B$29,MAX(0,(Inputs!$B$3-100)*3)+Inputs!$B$28+Inputs!$B$29)))</f>
        <v/>
      </c>
      <c r="E858">
        <f>INDEX(FactorTable!$B$2:$Y$301, MATCH(ROUND(MIN(300,MAX(1,D858)),0), FactorTable!$A$2:$A$301,0), Skills!M23+1)</f>
        <v/>
      </c>
      <c r="F858">
        <f>IF(Skills!N23=TRUE,(Skills!L23/10)*(E858/1000),Skills!L23/10)+Skills!O23</f>
        <v/>
      </c>
      <c r="G858">
        <f>Skills!G23*IF(Skills!H23&gt;0,IF(Inputs!$B$39="pvp",MIN(Skills!I23,15),Skills!I23)/Skills!H23,1)</f>
        <v/>
      </c>
      <c r="H858">
        <f>1-(1-Skills!J23/100)^Skills!K23</f>
        <v/>
      </c>
      <c r="I858" t="inlineStr">
        <is>
          <t>1</t>
        </is>
      </c>
      <c r="J858" t="inlineStr"/>
      <c r="K858" t="inlineStr"/>
      <c r="L858" t="inlineStr"/>
      <c r="M858" t="inlineStr"/>
      <c r="N858" t="inlineStr"/>
      <c r="O858">
        <f>(1-Summary!$B$11)*T858+Summary!$B$11*V858</f>
        <v/>
      </c>
      <c r="P858">
        <f>IF(B881=0,0,O858/B881)</f>
        <v/>
      </c>
      <c r="Q858" t="n">
        <v>0</v>
      </c>
      <c r="R858" t="n">
        <v>0</v>
      </c>
      <c r="S858">
        <f>IFERROR(O858/N858,0)</f>
        <v/>
      </c>
      <c r="T858" t="n">
        <v>0</v>
      </c>
      <c r="V858" t="n">
        <v>0</v>
      </c>
    </row>
    <row r="859">
      <c r="A859">
        <f>Skills!A24</f>
        <v/>
      </c>
      <c r="B859">
        <f>Skills!B24</f>
        <v/>
      </c>
      <c r="C859">
        <f>Inputs!$B$3&gt;=40</f>
        <v/>
      </c>
      <c r="D859">
        <f>IF(Skills!C24=1,60+Inputs!$B$25+Inputs!$B$29,IF(Skills!C24=2,90+Inputs!$B$26+Inputs!$B$29,IF(Skills!C24=3,120+Inputs!$B$27+Inputs!$B$29,MAX(0,(Inputs!$B$3-100)*3)+Inputs!$B$28+Inputs!$B$29)))</f>
        <v/>
      </c>
      <c r="E859">
        <f>INDEX(FactorTable!$B$2:$Y$301, MATCH(ROUND(MIN(300,MAX(1,D859)),0), FactorTable!$A$2:$A$301,0), Skills!M24+1)</f>
        <v/>
      </c>
      <c r="F859">
        <f>IF(Skills!N24=TRUE,(Skills!L24/10)*(E859/1000),Skills!L24/10)+Skills!O24</f>
        <v/>
      </c>
      <c r="G859">
        <f>Skills!G24*IF(Skills!H24&gt;0,IF(Inputs!$B$39="pvp",MIN(Skills!I24,15),Skills!I24)/Skills!H24,1)</f>
        <v/>
      </c>
      <c r="H859">
        <f>1-(1-Skills!J24/100)^Skills!K24</f>
        <v/>
      </c>
      <c r="I859" t="inlineStr">
        <is>
          <t>1</t>
        </is>
      </c>
      <c r="J859" t="inlineStr"/>
      <c r="K859" t="inlineStr"/>
      <c r="L859" t="inlineStr"/>
      <c r="M859" t="inlineStr"/>
      <c r="N859" t="inlineStr"/>
      <c r="O859">
        <f>(1-Summary!$B$11)*T859+Summary!$B$11*V859</f>
        <v/>
      </c>
      <c r="P859">
        <f>IF(B881=0,0,O859/B881)</f>
        <v/>
      </c>
      <c r="Q859" t="n">
        <v>0</v>
      </c>
      <c r="R859" t="n">
        <v>0</v>
      </c>
      <c r="S859">
        <f>IFERROR(O859/N859,0)</f>
        <v/>
      </c>
      <c r="T859" t="n">
        <v>0</v>
      </c>
      <c r="V859" t="n">
        <v>0</v>
      </c>
    </row>
    <row r="860">
      <c r="A860">
        <f>Skills!A25</f>
        <v/>
      </c>
      <c r="B860">
        <f>Skills!B25</f>
        <v/>
      </c>
      <c r="C860">
        <f>Inputs!$B$3&gt;=43</f>
        <v/>
      </c>
      <c r="D860">
        <f>IF(Skills!C25=1,60+Inputs!$B$25+Inputs!$B$29,IF(Skills!C25=2,90+Inputs!$B$26+Inputs!$B$29,IF(Skills!C25=3,120+Inputs!$B$27+Inputs!$B$29,MAX(0,(Inputs!$B$3-100)*3)+Inputs!$B$28+Inputs!$B$29)))</f>
        <v/>
      </c>
      <c r="E860">
        <f>INDEX(FactorTable!$B$2:$Y$301, MATCH(ROUND(MIN(300,MAX(1,D860)),0), FactorTable!$A$2:$A$301,0), Skills!M25+1)</f>
        <v/>
      </c>
      <c r="F860">
        <f>IF(Skills!N25=TRUE,(Skills!L25/10)*(E860/1000),Skills!L25/10)+Skills!O25</f>
        <v/>
      </c>
      <c r="G860">
        <f>Skills!G25*IF(Skills!H25&gt;0,IF(Inputs!$B$39="pvp",MIN(Skills!I25,15),Skills!I25)/Skills!H25,1)</f>
        <v/>
      </c>
      <c r="H860">
        <f>1-(1-Skills!J25/100)^Skills!K25</f>
        <v/>
      </c>
      <c r="I860" t="inlineStr">
        <is>
          <t>1</t>
        </is>
      </c>
      <c r="J860" t="inlineStr"/>
      <c r="K860" t="inlineStr"/>
      <c r="L860" t="inlineStr"/>
      <c r="M860" t="inlineStr"/>
      <c r="N860" t="inlineStr"/>
      <c r="O860">
        <f>(1-Summary!$B$11)*T860+Summary!$B$11*V860</f>
        <v/>
      </c>
      <c r="P860">
        <f>IF(B881=0,0,O860/B881)</f>
        <v/>
      </c>
      <c r="Q860" t="n">
        <v>0</v>
      </c>
      <c r="R860" t="n">
        <v>0</v>
      </c>
      <c r="S860">
        <f>IFERROR(O860/N860,0)</f>
        <v/>
      </c>
      <c r="T860" t="n">
        <v>0</v>
      </c>
      <c r="V860" t="n">
        <v>0</v>
      </c>
    </row>
    <row r="861">
      <c r="A861">
        <f>Skills!A26</f>
        <v/>
      </c>
      <c r="B861">
        <f>Skills!B26</f>
        <v/>
      </c>
      <c r="C861">
        <f>Inputs!$B$3&gt;=50</f>
        <v/>
      </c>
      <c r="D861">
        <f>IF(Skills!C26=1,60+Inputs!$B$25+Inputs!$B$29,IF(Skills!C26=2,90+Inputs!$B$26+Inputs!$B$29,IF(Skills!C26=3,120+Inputs!$B$27+Inputs!$B$29,MAX(0,(Inputs!$B$3-100)*3)+Inputs!$B$28+Inputs!$B$29)))</f>
        <v/>
      </c>
      <c r="E861">
        <f>INDEX(FactorTable!$B$2:$Y$301, MATCH(ROUND(MIN(300,MAX(1,D861)),0), FactorTable!$A$2:$A$301,0), Skills!M26+1)</f>
        <v/>
      </c>
      <c r="F861">
        <f>IF(Skills!N26=TRUE,(Skills!L26/10)*(E861/1000),Skills!L26/10)+Skills!O26</f>
        <v/>
      </c>
      <c r="G861">
        <f>Skills!G26*IF(Skills!H26&gt;0,IF(Inputs!$B$39="pvp",MIN(Skills!I26,15),Skills!I26)/Skills!H26,1)</f>
        <v/>
      </c>
      <c r="H861">
        <f>1-(1-Skills!J26/100)^Skills!K26</f>
        <v/>
      </c>
      <c r="I861" t="inlineStr">
        <is>
          <t>1</t>
        </is>
      </c>
      <c r="J861" t="inlineStr"/>
      <c r="K861" t="inlineStr"/>
      <c r="L861" t="inlineStr"/>
      <c r="M861" t="inlineStr"/>
      <c r="N861" t="inlineStr"/>
      <c r="O861">
        <f>(1-Summary!$B$11)*T861+Summary!$B$11*V861</f>
        <v/>
      </c>
      <c r="P861">
        <f>IF(B881=0,0,O861/B881)</f>
        <v/>
      </c>
      <c r="Q861" t="n">
        <v>0</v>
      </c>
      <c r="R861" t="n">
        <v>0</v>
      </c>
      <c r="S861">
        <f>IFERROR(O861/N861,0)</f>
        <v/>
      </c>
      <c r="T861" t="n">
        <v>0</v>
      </c>
      <c r="V861" t="n">
        <v>0</v>
      </c>
    </row>
    <row r="862">
      <c r="A862">
        <f>Skills!A27</f>
        <v/>
      </c>
      <c r="B862">
        <f>Skills!B27</f>
        <v/>
      </c>
      <c r="C862">
        <f>Inputs!$B$3&gt;=50</f>
        <v/>
      </c>
      <c r="D862">
        <f>IF(Skills!C27=1,60+Inputs!$B$25+Inputs!$B$29,IF(Skills!C27=2,90+Inputs!$B$26+Inputs!$B$29,IF(Skills!C27=3,120+Inputs!$B$27+Inputs!$B$29,MAX(0,(Inputs!$B$3-100)*3)+Inputs!$B$28+Inputs!$B$29)))</f>
        <v/>
      </c>
      <c r="E862">
        <f>INDEX(FactorTable!$B$2:$Y$301, MATCH(ROUND(MIN(300,MAX(1,D862)),0), FactorTable!$A$2:$A$301,0), Skills!M27+1)</f>
        <v/>
      </c>
      <c r="F862">
        <f>IF(Skills!N27=TRUE,(Skills!L27/10)*(E862/1000),Skills!L27/10)+Skills!O27</f>
        <v/>
      </c>
      <c r="G862">
        <f>Skills!G27*IF(Skills!H27&gt;0,IF(Inputs!$B$39="pvp",MIN(Skills!I27,15),Skills!I27)/Skills!H27,1)</f>
        <v/>
      </c>
      <c r="H862">
        <f>1-(1-Skills!J27/100)^Skills!K27</f>
        <v/>
      </c>
      <c r="I862" t="inlineStr">
        <is>
          <t>1</t>
        </is>
      </c>
      <c r="J862" t="inlineStr"/>
      <c r="K862" t="inlineStr"/>
      <c r="L862" t="inlineStr"/>
      <c r="M862" t="inlineStr"/>
      <c r="N862" t="inlineStr"/>
      <c r="O862">
        <f>(1-Summary!$B$11)*T862+Summary!$B$11*V862</f>
        <v/>
      </c>
      <c r="P862">
        <f>IF(B881=0,0,O862/B881)</f>
        <v/>
      </c>
      <c r="Q862" t="n">
        <v>0</v>
      </c>
      <c r="R862" t="n">
        <v>0</v>
      </c>
      <c r="S862">
        <f>IFERROR(O862/N862,0)</f>
        <v/>
      </c>
      <c r="T862" t="n">
        <v>0</v>
      </c>
      <c r="V862" t="n">
        <v>0</v>
      </c>
    </row>
    <row r="863">
      <c r="A863">
        <f>Skills!A28</f>
        <v/>
      </c>
      <c r="B863">
        <f>Skills!B28</f>
        <v/>
      </c>
      <c r="C863">
        <f>Inputs!$B$3&gt;=38</f>
        <v/>
      </c>
      <c r="D863">
        <f>IF(Skills!C28=1,60+Inputs!$B$25+Inputs!$B$29,IF(Skills!C28=2,90+Inputs!$B$26+Inputs!$B$29,IF(Skills!C28=3,120+Inputs!$B$27+Inputs!$B$29,MAX(0,(Inputs!$B$3-100)*3)+Inputs!$B$28+Inputs!$B$29)))</f>
        <v/>
      </c>
      <c r="E863">
        <f>INDEX(FactorTable!$B$2:$Y$301, MATCH(ROUND(MIN(300,MAX(1,D863)),0), FactorTable!$A$2:$A$301,0), Skills!M28+1)</f>
        <v/>
      </c>
      <c r="F863">
        <f>IF(Skills!N28=TRUE,(Skills!L28/10)*(E863/1000),Skills!L28/10)+Skills!O28</f>
        <v/>
      </c>
      <c r="G863">
        <f>Skills!G28*IF(Skills!H28&gt;0,IF(Inputs!$B$39="pvp",MIN(Skills!I28,15),Skills!I28)/Skills!H28,1)</f>
        <v/>
      </c>
      <c r="H863">
        <f>1-(1-Skills!J28/100)^Skills!K28</f>
        <v/>
      </c>
      <c r="I863" t="inlineStr">
        <is>
          <t>1</t>
        </is>
      </c>
      <c r="J863" t="inlineStr"/>
      <c r="K863" t="inlineStr"/>
      <c r="L863" t="inlineStr"/>
      <c r="M863" t="inlineStr"/>
      <c r="N863" t="inlineStr"/>
      <c r="O863">
        <f>(1-Summary!$B$11)*T863+Summary!$B$11*V863</f>
        <v/>
      </c>
      <c r="P863">
        <f>IF(B881=0,0,O863/B881)</f>
        <v/>
      </c>
      <c r="Q863" t="n">
        <v>0</v>
      </c>
      <c r="R863" t="n">
        <v>0</v>
      </c>
      <c r="S863">
        <f>IFERROR(O863/N863,0)</f>
        <v/>
      </c>
      <c r="T863" t="n">
        <v>0</v>
      </c>
      <c r="V863" t="n">
        <v>0</v>
      </c>
    </row>
    <row r="864">
      <c r="A864">
        <f>Skills!A29</f>
        <v/>
      </c>
      <c r="B864">
        <f>Skills!B29</f>
        <v/>
      </c>
      <c r="C864">
        <f>Inputs!$B$3&gt;=120</f>
        <v/>
      </c>
      <c r="D864">
        <f>IF(Skills!C29=1,60+Inputs!$B$25+Inputs!$B$29,IF(Skills!C29=2,90+Inputs!$B$26+Inputs!$B$29,IF(Skills!C29=3,120+Inputs!$B$27+Inputs!$B$29,MAX(0,(Inputs!$B$3-100)*3)+Inputs!$B$28+Inputs!$B$29)))</f>
        <v/>
      </c>
      <c r="E864">
        <f>INDEX(FactorTable!$B$2:$Y$301, MATCH(ROUND(MIN(300,MAX(1,D864)),0), FactorTable!$A$2:$A$301,0), Skills!M29+1)</f>
        <v/>
      </c>
      <c r="F864">
        <f>IF(Skills!N29=TRUE,(Skills!L29/10)*(E864/1000),Skills!L29/10)+Skills!O29</f>
        <v/>
      </c>
      <c r="G864">
        <f>Skills!G29*IF(Skills!H29&gt;0,IF(Inputs!$B$39="pvp",MIN(Skills!I29,15),Skills!I29)/Skills!H29,1)</f>
        <v/>
      </c>
      <c r="H864">
        <f>1-(1-Skills!J29/100)^Skills!K29</f>
        <v/>
      </c>
      <c r="I864" t="inlineStr">
        <is>
          <t>1</t>
        </is>
      </c>
      <c r="J864" t="inlineStr"/>
      <c r="K864" t="inlineStr"/>
      <c r="L864" t="inlineStr"/>
      <c r="M864" t="inlineStr"/>
      <c r="N864" t="inlineStr"/>
      <c r="O864">
        <f>(1-Summary!$B$11)*T864+Summary!$B$11*V864</f>
        <v/>
      </c>
      <c r="P864">
        <f>IF(B881=0,0,O864/B881)</f>
        <v/>
      </c>
      <c r="Q864" t="n">
        <v>0</v>
      </c>
      <c r="R864" t="n">
        <v>0</v>
      </c>
      <c r="S864">
        <f>IFERROR(O864/N864,0)</f>
        <v/>
      </c>
      <c r="T864" t="n">
        <v>0</v>
      </c>
      <c r="V864" t="n">
        <v>0</v>
      </c>
    </row>
    <row r="865">
      <c r="A865">
        <f>Skills!A30</f>
        <v/>
      </c>
      <c r="B865">
        <f>Skills!B30</f>
        <v/>
      </c>
      <c r="C865">
        <f>Inputs!$B$3&gt;=120</f>
        <v/>
      </c>
      <c r="D865">
        <f>IF(Skills!C30=1,60+Inputs!$B$25+Inputs!$B$29,IF(Skills!C30=2,90+Inputs!$B$26+Inputs!$B$29,IF(Skills!C30=3,120+Inputs!$B$27+Inputs!$B$29,MAX(0,(Inputs!$B$3-100)*3)+Inputs!$B$28+Inputs!$B$29)))</f>
        <v/>
      </c>
      <c r="E865">
        <f>INDEX(FactorTable!$B$2:$Y$301, MATCH(ROUND(MIN(300,MAX(1,D865)),0), FactorTable!$A$2:$A$301,0), Skills!M30+1)</f>
        <v/>
      </c>
      <c r="F865">
        <f>IF(Skills!N30=TRUE,(Skills!L30/10)*(E865/1000),Skills!L30/10)+Skills!O30</f>
        <v/>
      </c>
      <c r="G865">
        <f>Skills!G30*IF(Skills!H30&gt;0,IF(Inputs!$B$39="pvp",MIN(Skills!I30,15),Skills!I30)/Skills!H30,1)</f>
        <v/>
      </c>
      <c r="H865">
        <f>1-(1-Skills!J30/100)^Skills!K30</f>
        <v/>
      </c>
      <c r="I865" t="inlineStr">
        <is>
          <t>1</t>
        </is>
      </c>
      <c r="J865" t="inlineStr"/>
      <c r="K865" t="inlineStr"/>
      <c r="L865" t="inlineStr"/>
      <c r="M865" t="inlineStr"/>
      <c r="N865" t="inlineStr"/>
      <c r="O865">
        <f>(1-Summary!$B$11)*T865+Summary!$B$11*V865</f>
        <v/>
      </c>
      <c r="P865">
        <f>IF(B881=0,0,O865/B881)</f>
        <v/>
      </c>
      <c r="Q865" t="n">
        <v>0</v>
      </c>
      <c r="R865" t="n">
        <v>0</v>
      </c>
      <c r="S865">
        <f>IFERROR(O865/N865,0)</f>
        <v/>
      </c>
      <c r="T865" t="n">
        <v>0</v>
      </c>
      <c r="V865" t="n">
        <v>0</v>
      </c>
    </row>
    <row r="866">
      <c r="A866">
        <f>Skills!A31</f>
        <v/>
      </c>
      <c r="B866">
        <f>Skills!B31</f>
        <v/>
      </c>
      <c r="C866">
        <f>Inputs!$B$3&gt;=125</f>
        <v/>
      </c>
      <c r="D866">
        <f>IF(Skills!C31=1,60+Inputs!$B$25+Inputs!$B$29,IF(Skills!C31=2,90+Inputs!$B$26+Inputs!$B$29,IF(Skills!C31=3,120+Inputs!$B$27+Inputs!$B$29,MAX(0,(Inputs!$B$3-100)*3)+Inputs!$B$28+Inputs!$B$29)))</f>
        <v/>
      </c>
      <c r="E866">
        <f>INDEX(FactorTable!$B$2:$Y$301, MATCH(ROUND(MIN(300,MAX(1,D866)),0), FactorTable!$A$2:$A$301,0), Skills!M31+1)</f>
        <v/>
      </c>
      <c r="F866">
        <f>IF(Skills!N31=TRUE,(Skills!L31/10)*(E866/1000),Skills!L31/10)+Skills!O31</f>
        <v/>
      </c>
      <c r="G866">
        <f>Skills!G31*IF(Skills!H31&gt;0,IF(Inputs!$B$39="pvp",MIN(Skills!I31,15),Skills!I31)/Skills!H31,1)</f>
        <v/>
      </c>
      <c r="H866">
        <f>1-(1-Skills!J31/100)^Skills!K31</f>
        <v/>
      </c>
      <c r="I866" t="inlineStr">
        <is>
          <t>1</t>
        </is>
      </c>
      <c r="J866" t="inlineStr"/>
      <c r="K866" t="inlineStr"/>
      <c r="L866" t="inlineStr"/>
      <c r="M866" t="inlineStr"/>
      <c r="N866" t="inlineStr"/>
      <c r="O866">
        <f>(1-Summary!$B$11)*T866+Summary!$B$11*V866</f>
        <v/>
      </c>
      <c r="P866">
        <f>IF(B881=0,0,O866/B881)</f>
        <v/>
      </c>
      <c r="Q866" t="n">
        <v>0</v>
      </c>
      <c r="R866" t="n">
        <v>0</v>
      </c>
      <c r="S866">
        <f>IFERROR(O866/N866,0)</f>
        <v/>
      </c>
      <c r="T866" t="n">
        <v>0</v>
      </c>
      <c r="V866" t="n">
        <v>0</v>
      </c>
    </row>
    <row r="868">
      <c r="A868" t="inlineStr">
        <is>
          <t>Average Buff Multiplier</t>
        </is>
      </c>
      <c r="B868">
        <f>(1+(((C857=TRUE)*F857*IF(AND(Inputs!$B$39&lt;&gt;"pvp",Inputs!$B$44&gt;0),(((R857-1)*MIN((Skills!Y22*(1+Inputs!$B$34/100)),(1/Q857))+MIN((Skills!Y22*(1+Inputs!$B$34/100)),MAX(0,Inputs!$B$44-((R857-1)*(1/Q857)))))/Inputs!$B$44),IF(Inputs!$B$39="pvp",MIN((Skills!Y22*(1+Inputs!$B$34/100)),15)/15,MIN(1,(Skills!Y22*(1+Inputs!$B$34/100))/(1/Q857)))))+((C838=TRUE)*F838*3)+((C840=TRUE)*F840*(1-EXP(-0.75*B873*5)))+((C859=TRUE)*(F859-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846=TRUE)*F846*IF(AND(Inputs!$B$39&lt;&gt;"pvp",Inputs!$B$44&gt;0),(((R846-1)*MIN((Skills!Y11*(1+Inputs!$B$34/100)),(1/Q846))+MIN((Skills!Y11*(1+Inputs!$B$34/100)),MAX(0,Inputs!$B$44-((R846-1)*(1/Q846)))))/Inputs!$B$44),IF(Inputs!$B$39="pvp",MIN((Skills!Y11*(1+Inputs!$B$34/100)),15)/15,MIN(1,(Skills!Y11*(1+Inputs!$B$34/100))/(1/Q846)))))/100)*(1+((C851=TRUE)*F851*IF(AND(Inputs!$B$39&lt;&gt;"pvp",Inputs!$B$44&gt;0),(((R851-1)*MIN((Skills!Y16*(1+Inputs!$B$34/100)),(1/Q851))+MIN((Skills!Y16*(1+Inputs!$B$34/100)),MAX(0,Inputs!$B$44-((R851-1)*(1/Q851)))))/Inputs!$B$44),IF(Inputs!$B$39="pvp",MIN((Skills!Y16*(1+Inputs!$B$34/100)),15)/15,MIN(1,(Skills!Y16*(1+Inputs!$B$34/100))/(1/Q851)))))/100)</f>
        <v/>
      </c>
    </row>
    <row r="869">
      <c r="A869" t="inlineStr">
        <is>
          <t>Global Crit Rate Bonus %</t>
        </is>
      </c>
      <c r="B869">
        <f>((C856=TRUE)*F856*IF(AND(Inputs!$B$39&lt;&gt;"pvp",Inputs!$B$44&gt;0),(((R856-1)*MIN((Skills!Y21*(1+Inputs!$B$34/100)),(1/Q856))+MIN((Skills!Y21*(1+Inputs!$B$34/100)),MAX(0,Inputs!$B$44-((R856-1)*(1/Q856)))))/Inputs!$B$44),IF(Inputs!$B$39="pvp",MIN((Skills!Y21*(1+Inputs!$B$34/100)),15)/15,MIN(1,(Skills!Y21*(1+Inputs!$B$34/100))/(1/Q856)))))</f>
        <v/>
      </c>
    </row>
    <row r="870">
      <c r="A870" t="inlineStr">
        <is>
          <t>Global Monster Damage-Taken Bonus %</t>
        </is>
      </c>
      <c r="B870">
        <f>IF(Inputs!$B$3&gt;=82,15,0)</f>
        <v/>
      </c>
    </row>
    <row r="871">
      <c r="A871" t="inlineStr">
        <is>
          <t>Shadow Partner Average Multiplier</t>
        </is>
      </c>
      <c r="B871">
        <f>1+((C843=TRUE)*F843*(1+3.3333333333333335*IF(C854=TRUE,F854,0)/100)*I843*Skills!J8/100)/100</f>
        <v/>
      </c>
    </row>
    <row r="872">
      <c r="A872" t="inlineStr">
        <is>
          <t>Attack Speed Buff Bonus %</t>
        </is>
      </c>
      <c r="B872">
        <f>((C855=TRUE)*F855*IF(AND(Inputs!$B$39&lt;&gt;"pvp",Inputs!$B$44&gt;0),(((R855-1)*MIN((Skills!Y20*(1+Inputs!$B$34/100)),(1/Q855))+MIN((Skills!Y20*(1+Inputs!$B$34/100)),MAX(0,Inputs!$B$44-((R855-1)*(1/Q855)))))/Inputs!$B$44),IF(Inputs!$B$39="pvp",MIN((Skills!Y20*(1+Inputs!$B$34/100)),15)/15,MIN(1,(Skills!Y20*(1+Inputs!$B$34/100))/(1/Q855)))))</f>
        <v/>
      </c>
    </row>
    <row r="873">
      <c r="A873" t="inlineStr">
        <is>
          <t>Actions Per Second</t>
        </is>
      </c>
      <c r="B873">
        <f>1+MIN(150,150*(1-(1-(Inputs!$B$11+((C858=TRUE)*(F858-Calc!F23)))/150)*(1-B872/150)))/100</f>
        <v/>
      </c>
    </row>
    <row r="874">
      <c r="A874" t="inlineStr">
        <is>
          <t>Skill + Buff Cast Rate</t>
        </is>
      </c>
      <c r="B874">
        <f>IF(AND(Inputs!$B$39&lt;&gt;"pvp",Inputs!$B$44&gt;0),SUMPRODUCT((Skills!E2:E31=TRUE)*(C837:C866=TRUE)*R837:R866*Skills!F2:F31)/Inputs!$B$44,SUMPRODUCT((Skills!E2:E31=TRUE)*(C837:C866=TRUE)*Q837:Q866*Skills!F2:F31))</f>
        <v/>
      </c>
    </row>
    <row r="875">
      <c r="A875" t="inlineStr">
        <is>
          <t>Cruel Stab Casts Per Second</t>
        </is>
      </c>
      <c r="B875">
        <f>MAX(0,B873-B874)</f>
        <v/>
      </c>
    </row>
    <row r="876">
      <c r="A876" t="inlineStr">
        <is>
          <t>Global Critical Damage Bonus % (Smokescreen Mastery Lv.113)</t>
        </is>
      </c>
      <c r="B876">
        <f>IF(Inputs!$B$3&gt;=113,30,0)*IF(AND(Inputs!$B$39&lt;&gt;"pvp",Inputs!$B$44&gt;0),(((R851-1)*MIN((Skills!Y16*(1+Inputs!$B$34/100)),(1/Q851))+MIN((Skills!Y16*(1+Inputs!$B$34/100)),MAX(0,Inputs!$B$44-((R851-1)*(1/Q851)))))/Inputs!$B$44),IF(Inputs!$B$39="pvp",MIN((Skills!Y16*(1+Inputs!$B$34/100)),15)/15,MIN(1,(Skills!Y16*(1+Inputs!$B$34/100))/(1/Q851))))</f>
        <v/>
      </c>
    </row>
    <row r="877">
      <c r="A877" t="inlineStr">
        <is>
          <t>Meso Explosion average stack count</t>
        </is>
      </c>
      <c r="B877">
        <f>MIN(10,IF(Inputs!$B$3&gt;=75,0.75,0.5)*B873*(1/Q839))</f>
        <v/>
      </c>
    </row>
    <row r="878">
      <c r="A878" t="inlineStr">
        <is>
          <t>Blood Money average stack count</t>
        </is>
      </c>
      <c r="B878">
        <f>MIN(5,0.5*IF(Inputs!$B$3&gt;=75,0.75,0.5)*B873*(1/Q839))</f>
        <v/>
      </c>
    </row>
    <row r="879">
      <c r="A879" t="inlineStr">
        <is>
          <t>Assassinate Murderous Intent Multiplier</t>
        </is>
      </c>
      <c r="B879">
        <f>1+IFERROR(MIN(1,Q850*2/Q847),0)</f>
        <v/>
      </c>
    </row>
    <row r="880">
      <c r="A880" t="inlineStr">
        <is>
          <t>Buff-Casting Startup Delay (s, fixed-duration only)</t>
        </is>
      </c>
      <c r="B880">
        <f>IF(AND(Inputs!$B$39&lt;&gt;"pvp",Inputs!$B$44&gt;0),SUMPRODUCT((Skills!Y2:Y31&gt;0)*(Skills!E2:E31=TRUE)*(C837:C866=TRUE))/B873,0)</f>
        <v/>
      </c>
    </row>
    <row r="881">
      <c r="A881" s="6" t="inlineStr">
        <is>
          <t>TOTAL DPS</t>
        </is>
      </c>
      <c r="B881" s="6">
        <f>SUM(O837:O866)</f>
        <v/>
      </c>
    </row>
    <row r="882">
      <c r="A882" t="inlineStr">
        <is>
          <t>Boss-Only Total DPS (this block's swept value)</t>
        </is>
      </c>
      <c r="B882">
        <f>SUM(T837:T866)</f>
        <v/>
      </c>
    </row>
    <row r="883">
      <c r="A883" t="inlineStr">
        <is>
          <t>Normal-Only Total DPS (this block's swept value)</t>
        </is>
      </c>
      <c r="B883">
        <f>SUM(V837:V866)</f>
        <v/>
      </c>
    </row>
    <row r="886">
      <c r="A886" s="6" t="inlineStr">
        <is>
          <t>Stat: Skill Level Bonus — 1st Job</t>
        </is>
      </c>
    </row>
    <row r="887">
      <c r="A887" s="5" t="inlineStr">
        <is>
          <t>Key</t>
        </is>
      </c>
      <c r="B887" s="5" t="inlineStr">
        <is>
          <t>Name</t>
        </is>
      </c>
      <c r="C887" s="5" t="inlineStr">
        <is>
          <t>Unlocked</t>
        </is>
      </c>
      <c r="D887" s="5" t="inlineStr">
        <is>
          <t>InputLevel</t>
        </is>
      </c>
      <c r="E887" s="5" t="inlineStr">
        <is>
          <t>Factor</t>
        </is>
      </c>
      <c r="F887" s="5" t="inlineStr">
        <is>
          <t>CoefficientPercent</t>
        </is>
      </c>
      <c r="G887" s="5" t="inlineStr">
        <is>
          <t>EffectiveHits</t>
        </is>
      </c>
      <c r="H887" s="5" t="inlineStr">
        <is>
          <t>ProcProbability</t>
        </is>
      </c>
      <c r="I887" s="5" t="inlineStr">
        <is>
          <t>MapleHeroMultiplier</t>
        </is>
      </c>
      <c r="J887" s="5" t="inlineStr">
        <is>
          <t>BaseDamage</t>
        </is>
      </c>
      <c r="K887" s="5" t="inlineStr">
        <is>
          <t>BaseHitDamage</t>
        </is>
      </c>
      <c r="L887" s="5" t="inlineStr">
        <is>
          <t>NonCritAvg</t>
        </is>
      </c>
      <c r="M887" s="5" t="inlineStr">
        <is>
          <t>CritAvg</t>
        </is>
      </c>
      <c r="N887" s="5" t="inlineStr">
        <is>
          <t>ExpectedDamage(perHit)</t>
        </is>
      </c>
      <c r="O887" s="5" t="inlineStr">
        <is>
          <t>DPS</t>
        </is>
      </c>
      <c r="P887" s="5" t="inlineStr">
        <is>
          <t>% of Total</t>
        </is>
      </c>
      <c r="Q887" s="5" t="inlineStr">
        <is>
          <t>InvCooldown</t>
        </is>
      </c>
      <c r="R887" s="5" t="inlineStr">
        <is>
          <t>CastsInFight</t>
        </is>
      </c>
      <c r="S887" s="5" t="inlineStr">
        <is>
          <t>HitRate(perSec)</t>
        </is>
      </c>
      <c r="U887" t="inlineStr">
        <is>
          <t>helpers</t>
        </is>
      </c>
    </row>
    <row r="888">
      <c r="A888">
        <f>Skills!A2</f>
        <v/>
      </c>
      <c r="B888">
        <f>Skills!B2</f>
        <v/>
      </c>
      <c r="C888">
        <f>Inputs!$B$3&gt;=100</f>
        <v/>
      </c>
      <c r="D888" t="inlineStr"/>
      <c r="E888" t="inlineStr"/>
      <c r="F888">
        <f>U890+Skills!O2</f>
        <v/>
      </c>
      <c r="G888">
        <f>Skills!G2*IF(Skills!H2&gt;0,IF(Inputs!$B$39="pvp",MIN(Skills!I2,15),Skills!I2)/Skills!H2,1)</f>
        <v/>
      </c>
      <c r="H888">
        <f>1-(1-Skills!J2/100)^Skills!K2</f>
        <v/>
      </c>
      <c r="I888" t="inlineStr">
        <is>
          <t>1</t>
        </is>
      </c>
      <c r="J888">
        <f>((Inputs!$B$6*(1+Inputs!$B$7/100))+(((Inputs!$B$12*(1+Inputs!$B$13/100))-(Inputs!$B$12*(1+Inputs!$B$13/100)))+0.25*(Inputs!$B$14-Inputs!$B$14))*(1+Inputs!$B$7/100))*(F888/100)</f>
        <v/>
      </c>
      <c r="K888">
        <f>J888*(1+((Inputs!$B$12*(1+Inputs!$B$13/100))*0.01+Inputs!$B$14*0.0025)/100)*(1+Inputs!$B$15/100)*(1+Inputs!$B$16/100)*(5000/(6000+Inputs!$B$43*(1-(100*(1-(1-Inputs!$B$19/100)*(1-CHOOSE(ArtifactsInput!$N$40+1,5,6,7,8,9,10)/100)^(ArtifactsInput!$M$40-ArtifactsInput!$M$40)))/100)))*(1+(Inputs!$B$24+((C917=TRUE)*(F917-Calc!F31))+((C904=TRUE)*(F904-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CRUEL_STAB",Inputs!$B$17+((C914=TRUE)*(F914-Calc!F28))+((IF(AND(Inputs!$B$39&lt;&gt;"pvp",Inputs!$B$44=0),1,IF(IF(Inputs!$B$39="pvp",15,Inputs!$B$44)-(B931)&lt;=0,1,MAX(0,IF(Inputs!$B$39="pvp",15,Inputs!$B$44)-MAX(5,B931))/(IF(Inputs!$B$39="pvp",15,Inputs!$B$44)-(B931))))*(IF(AND(ArtifactsInput!$M$42,((Inputs!$B$9+((C912=TRUE)*(F912-Calc!F26))+B920+(ArtifactsInput!$M$24-ArtifactsInput!$M$24)*CHOOSE(ArtifactsInput!$N$24+1,10,12,14,16,18,20)+IF(ArtifactsInput!$M$10,CHOOSE(ArtifactsInput!$N$10+1,15,18,21,24,27,30)*(IF(Inputs!$B$39="pvp",MIN(15,15)/15,IF(AND(Inputs!$B$39&lt;&gt;"pvp",Inputs!$B$44&gt;0),MIN(15,Inputs!$B$44)/(Inputs!$B$44),0))),0)))&gt;=100),MIN(100,((Inputs!$B$9+((C912=TRUE)*(F912-Calc!F26))+B920+(ArtifactsInput!$M$24-ArtifactsInput!$M$24)*CHOOSE(ArtifactsInput!$N$24+1,10,12,14,16,18,20)+IF(ArtifactsInput!$M$10,CHOOSE(ArtifactsInput!$N$10+1,15,18,21,24,27,30)*(IF(Inputs!$B$39="pvp",MIN(15,15)/15,IF(AND(Inputs!$B$39&lt;&gt;"pvp",Inputs!$B$44&gt;0),MIN(15,Inputs!$B$44)/(Inputs!$B$44),0))),0)))-100),0))*CHOOSE(ArtifactsInput!$N$42+1,0.6,0.72,0.84,0.96,1.08,1.2))),Inputs!$B$18+((C915=TRUE)*(F915-Calc!F29))+(IF(AND(Inputs!$B$39&lt;&gt;"pvp",Inputs!$B$44=0),1,IF(IF(Inputs!$B$39="pvp",15,Inputs!$B$44)-(B931)&lt;=0,1,MAX(0,IF(Inputs!$B$39="pvp",15,Inputs!$B$44)-MAX(5,B931))/(IF(Inputs!$B$39="pvp",15,Inputs!$B$44)-(B931))))*IF(AND(ArtifactsInput!$M$42,((Inputs!$B$9+((C912=TRUE)*(F912-Calc!F26))+B920+(ArtifactsInput!$M$24-ArtifactsInput!$M$24)*CHOOSE(ArtifactsInput!$N$24+1,10,12,14,16,18,20)+IF(ArtifactsInput!$M$10,CHOOSE(ArtifactsInput!$N$10+1,15,18,21,24,27,30)*(IF(Inputs!$B$39="pvp",MIN(15,15)/15,IF(AND(Inputs!$B$39&lt;&gt;"pvp",Inputs!$B$44&gt;0),MIN(15,Inputs!$B$44)/(Inputs!$B$44),0))),0)))&gt;=100),CHOOSE(ArtifactsInput!$N$42+1,40,48,56,64,72,80),0))))/100)*(((1+(((C908=TRUE)*F908*IF(AND(Inputs!$B$39&lt;&gt;"pvp",Inputs!$B$44&gt;0),(((R908-1)*MIN((Skills!Y22*(1+Inputs!$B$34/100)),(1/Q908))+MIN((Skills!Y22*(1+Inputs!$B$34/100)),MAX(0,Inputs!$B$44-((R908-1)*(1/Q908)))))/Inputs!$B$44),IF(Inputs!$B$39="pvp",MIN((Skills!Y22*(1+Inputs!$B$34/100)),15)/15,MIN(1,(Skills!Y22*(1+Inputs!$B$34/100))/(1/Q908)))))+((C889=TRUE)*F889*3)+((C891=TRUE)*F891*(1-EXP(-0.75*B924*5)))+((C910=TRUE)*(F910-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897=TRUE)*F897*IF(AND(Inputs!$B$39&lt;&gt;"pvp",Inputs!$B$44&gt;0),(((R897-1)*MIN((Skills!Y11*(1+Inputs!$B$34/100)),(1/Q897))+MIN((Skills!Y11*(1+Inputs!$B$34/100)),MAX(0,Inputs!$B$44-((R897-1)*(1/Q897)))))/Inputs!$B$44),IF(Inputs!$B$39="pvp",MIN((Skills!Y11*(1+Inputs!$B$34/100)),15)/15,MIN(1,(Skills!Y11*(1+Inputs!$B$34/100))/(1/Q897)))))/100)*(1+((C902=TRUE)*F902*IF(AND(Inputs!$B$39&lt;&gt;"pvp",Inputs!$B$44&gt;0),(((R902-1)*MIN((Skills!Y16*(1+Inputs!$B$34/100)),(1/Q902))+MIN((Skills!Y16*(1+Inputs!$B$34/100)),MAX(0,Inputs!$B$44-((R902-1)*(1/Q902)))))/Inputs!$B$44),IF(Inputs!$B$39="pvp",MIN((Skills!Y16*(1+Inputs!$B$34/100)),15)/15,MIN(1,(Skills!Y16*(1+Inputs!$B$34/100))/(1/Q902)))))/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922*I888)</f>
        <v/>
      </c>
      <c r="L888">
        <f>K888*(MIN(Inputs!$B$22+((C911=TRUE)*(F911-Calc!F25)),(Inputs!$B$23+((C916=TRUE)*(F916-Calc!F30))+IF(ArtifactsInput!$M$15,CHOOSE(ArtifactsInput!$N$15+1,25,30,35,40,45,50)/100*(Inputs!$B$11-Inputs!$B$11),0)))/100+(Inputs!$B$23+((C916=TRUE)*(F916-Calc!F30))+IF(ArtifactsInput!$M$15,CHOOSE(ArtifactsInput!$N$15+1,25,30,35,40,45,50)/100*(Inputs!$B$11-Inputs!$B$11),0))/100)/2</f>
        <v/>
      </c>
      <c r="M888">
        <f>L888*(1+(Inputs!$B$10+((C913=TRUE)*(F913-Calc!F27))+B927+(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888">
        <f>L888*(1-MIN((Inputs!$B$9+((C912=TRUE)*(F912-Calc!F26))+B920+(ArtifactsInput!$M$24-ArtifactsInput!$M$24)*CHOOSE(ArtifactsInput!$N$24+1,10,12,14,16,18,20)+(IF(AND(Inputs!$B$39&lt;&gt;"pvp",Inputs!$B$44=0),1,IF(IF(Inputs!$B$39="pvp",15,Inputs!$B$44)-(B931)&lt;=0,1,MAX(0,IF(Inputs!$B$39="pvp",15,Inputs!$B$44)-MAX(5,B931))/(IF(Inputs!$B$39="pvp",15,Inputs!$B$44)-(B931))))*IF(AND(ArtifactsInput!$M$42,((Inputs!$B$9+((C912=TRUE)*(F912-Calc!F26))+B920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888*(MIN((Inputs!$B$9+((C912=TRUE)*(F912-Calc!F26))+B920+(ArtifactsInput!$M$24-ArtifactsInput!$M$24)*CHOOSE(ArtifactsInput!$N$24+1,10,12,14,16,18,20)+(IF(AND(Inputs!$B$39&lt;&gt;"pvp",Inputs!$B$44=0),1,IF(IF(Inputs!$B$39="pvp",15,Inputs!$B$44)-(B931)&lt;=0,1,MAX(0,IF(Inputs!$B$39="pvp",15,Inputs!$B$44)-MAX(5,B931))/(IF(Inputs!$B$39="pvp",15,Inputs!$B$44)-(B931))))*IF(AND(ArtifactsInput!$M$42,((Inputs!$B$9+((C912=TRUE)*(F912-Calc!F26))+B920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888">
        <f>(1-Summary!$B$11)*T888+Summary!$B$11*V888</f>
        <v/>
      </c>
      <c r="P888">
        <f>IF(B932=0,0,O888/B932)</f>
        <v/>
      </c>
      <c r="Q888" t="n">
        <v>0</v>
      </c>
      <c r="R888" t="n">
        <v>0</v>
      </c>
      <c r="S888">
        <f>IFERROR(O888/N888,0)</f>
        <v/>
      </c>
      <c r="T888">
        <f>IF(C888,(Skills!G2*N888*B926)*IF(Inputs!$B$39="pvp",1,1+(Inputs!$B$20+0+Skills!P2+B921+(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Hunt"),CHOOSE(ArtifactsInput!$N$35+1,15,18,21,24,27,30)*(1-EXP(-(0.2*B924)*5)),0)+IF(AND(ArtifactsInput!$M$22,Inputs!$B$4&lt;&gt;"Chapter Hunt"),CHOOSE(ArtifactsInput!$N$22+1,10,12,14,16,18,20)*((0*(((0.15*B924*5))^0/1)+1*(((0.15*B924*5))^1/1)+2*(((0.15*B924*5))^2/2)+3*(((0.15*B924*5))^3/6)+4*(((0.15*B924*5))^4/24)+5*(((0.15*B924*5))^5/120))/((((0.15*B924*5))^0/1)+(((0.15*B924*5))^1/1)+(((0.15*B924*5))^2/2)+(((0.15*B924*5))^3/6)+(((0.15*B924*5))^4/24)+(((0.15*B924*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888*(1-MIN(100,(Inputs!$B$9+((C912=TRUE)*(F912-Calc!F26))+B920+(ArtifactsInput!$M$24-ArtifactsInput!$M$24)*CHOOSE(ArtifactsInput!$N$24+1,10,12,14,16,18,20)+(IF(AND(Inputs!$B$39&lt;&gt;"pvp",Inputs!$B$44=0),1,IF(IF(Inputs!$B$39="pvp",15,Inputs!$B$44)-(B931)&lt;=0,1,MAX(0,IF(Inputs!$B$39="pvp",15,Inputs!$B$44)-MAX(5,B931))/(IF(Inputs!$B$39="pvp",15,Inputs!$B$44)-(B931))))*IF(AND(ArtifactsInput!$M$42,((Inputs!$B$9+((C912=TRUE)*(F912-Calc!F26))+B920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888*(MIN(100,(Inputs!$B$9+((C912=TRUE)*(F912-Calc!F26))+B920+(ArtifactsInput!$M$24-ArtifactsInput!$M$24)*CHOOSE(ArtifactsInput!$N$24+1,10,12,14,16,18,20)+(IF(AND(Inputs!$B$39&lt;&gt;"pvp",Inputs!$B$44=0),1,IF(IF(Inputs!$B$39="pvp",15,Inputs!$B$44)-(B931)&lt;=0,1,MAX(0,IF(Inputs!$B$39="pvp",15,Inputs!$B$44)-MAX(5,B931))/(IF(Inputs!$B$39="pvp",15,Inputs!$B$44)-(B931))))*IF(AND(ArtifactsInput!$M$42,((Inputs!$B$9+((C912=TRUE)*(F912-Calc!F26))+B920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888*(1-MIN(100,(Inputs!$B$9+((C912=TRUE)*(F912-Calc!F26))+B920+(ArtifactsInput!$M$24-ArtifactsInput!$M$24)*CHOOSE(ArtifactsInput!$N$24+1,10,12,14,16,18,20)+(IF(AND(Inputs!$B$39&lt;&gt;"pvp",Inputs!$B$44=0),1,IF(IF(Inputs!$B$39="pvp",15,Inputs!$B$44)-(B931)&lt;=0,1,MAX(0,IF(Inputs!$B$39="pvp",15,Inputs!$B$44)-MAX(5,B931))/(IF(Inputs!$B$39="pvp",15,Inputs!$B$44)-(B931))))*IF(AND(ArtifactsInput!$M$42,((Inputs!$B$9+((C912=TRUE)*(F912-Calc!F26))+B920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888*(MIN(100,(Inputs!$B$9+((C912=TRUE)*(F912-Calc!F26))+B920+(ArtifactsInput!$M$24-ArtifactsInput!$M$24)*CHOOSE(ArtifactsInput!$N$24+1,10,12,14,16,18,20)+(IF(AND(Inputs!$B$39&lt;&gt;"pvp",Inputs!$B$44=0),1,IF(IF(Inputs!$B$39="pvp",15,Inputs!$B$44)-(B931)&lt;=0,1,MAX(0,IF(Inputs!$B$39="pvp",15,Inputs!$B$44)-MAX(5,B931))/(IF(Inputs!$B$39="pvp",15,Inputs!$B$44)-(B931))))*IF(AND(ArtifactsInput!$M$42,((Inputs!$B$9+((C912=TRUE)*(F912-Calc!F26))+B920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888">
        <f>MAX(0,(Inputs!$B$3-100)*3)+Inputs!$B$28+Inputs!$B$29</f>
        <v/>
      </c>
      <c r="V888">
        <f>IF(C888,(Skills!G2*N888*B926)*IF(Inputs!$B$39="pvp",1,(1+(Inputs!$B$21+Skills!Q2+B921+(IF(ArtifactsInput!$M$33,CHOOSE(ArtifactsInput!$N$33+1,30,36,42,48,54,60),0))+(IF(AND(ArtifactsInput!$M$35,Inputs!$B$4&lt;&gt;"Chapter Hunt"),CHOOSE(ArtifactsInput!$N$35+1,15,18,21,24,27,30)*(1-EXP(-(0.2*B924)*5)),0)+IF(AND(ArtifactsInput!$M$22,Inputs!$B$4&lt;&gt;"Chapter Hunt"),CHOOSE(ArtifactsInput!$N$22+1,10,12,14,16,18,20)*((0*(((0.15*B924*5))^0/1)+1*(((0.15*B924*5))^1/1)+2*(((0.15*B924*5))^2/2)+3*(((0.15*B924*5))^3/6)+4*(((0.15*B924*5))^4/24)+5*(((0.15*B924*5))^5/120))/((((0.15*B924*5))^0/1)+(((0.15*B924*5))^1/1)+(((0.15*B924*5))^2/2)+(((0.15*B924*5))^3/6)+(((0.15*B924*5))^4/24)+(((0.15*B924*5))^5/120))),0)))/100)*(MIN((6+Inputs!$B$33),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889">
      <c r="A889">
        <f>Skills!A3</f>
        <v/>
      </c>
      <c r="B889">
        <f>Skills!B3</f>
        <v/>
      </c>
      <c r="C889">
        <f>Inputs!$B$3&gt;=35</f>
        <v/>
      </c>
      <c r="D889">
        <f>IF(Skills!C3=1,60+(Inputs!$B$25+1)+Inputs!$B$29,IF(Skills!C3=2,90+Inputs!$B$26+Inputs!$B$29,IF(Skills!C3=3,120+Inputs!$B$27+Inputs!$B$29,MAX(0,(Inputs!$B$3-100)*3)+Inputs!$B$28+Inputs!$B$29)))</f>
        <v/>
      </c>
      <c r="E889">
        <f>INDEX(FactorTable!$B$2:$Y$301, MATCH(ROUND(MIN(300,MAX(1,D889)),0), FactorTable!$A$2:$A$301,0), Skills!M3+1)</f>
        <v/>
      </c>
      <c r="F889">
        <f>IF(Skills!N3=TRUE,(Skills!L3/10)*(E889/1000),Skills!L3/10)+Skills!O3</f>
        <v/>
      </c>
      <c r="G889">
        <f>Skills!G3*IF(Skills!H3&gt;0,IF(Inputs!$B$39="pvp",MIN(Skills!I3,15),Skills!I3)/Skills!H3,1)</f>
        <v/>
      </c>
      <c r="H889">
        <f>1-(1-Skills!J3/100)^Skills!K3</f>
        <v/>
      </c>
      <c r="I889" t="inlineStr">
        <is>
          <t>1</t>
        </is>
      </c>
      <c r="J889" t="inlineStr"/>
      <c r="K889" t="inlineStr"/>
      <c r="L889" t="inlineStr"/>
      <c r="M889" t="inlineStr"/>
      <c r="N889" t="inlineStr"/>
      <c r="O889">
        <f>(1-Summary!$B$11)*T889+Summary!$B$11*V889</f>
        <v/>
      </c>
      <c r="P889">
        <f>IF(B932=0,0,O889/B932)</f>
        <v/>
      </c>
      <c r="Q889" t="n">
        <v>0</v>
      </c>
      <c r="R889" t="n">
        <v>0</v>
      </c>
      <c r="S889">
        <f>IFERROR(O889/N889,0)</f>
        <v/>
      </c>
      <c r="T889" t="n">
        <v>0</v>
      </c>
      <c r="U889">
        <f>INDEX(FactorTable!$B$2:$Y$301, MATCH(ROUND(MIN(300,MAX(1,U888)),0), FactorTable!$A$2:$A$301,0), 22)</f>
        <v/>
      </c>
      <c r="V889" t="n">
        <v>0</v>
      </c>
    </row>
    <row r="890">
      <c r="A890">
        <f>Skills!A4</f>
        <v/>
      </c>
      <c r="B890">
        <f>Skills!B4</f>
        <v/>
      </c>
      <c r="C890">
        <f>Inputs!$B$3&gt;=66</f>
        <v/>
      </c>
      <c r="D890">
        <f>IF(Skills!C4=1,60+(Inputs!$B$25+1)+Inputs!$B$29,IF(Skills!C4=2,90+Inputs!$B$26+Inputs!$B$29,IF(Skills!C4=3,120+Inputs!$B$27+Inputs!$B$29,MAX(0,(Inputs!$B$3-100)*3)+Inputs!$B$28+Inputs!$B$29)))</f>
        <v/>
      </c>
      <c r="E890">
        <f>INDEX(FactorTable!$B$2:$Y$301, MATCH(ROUND(MIN(300,MAX(1,D890)),0), FactorTable!$A$2:$A$301,0), Skills!M4+1)</f>
        <v/>
      </c>
      <c r="F890">
        <f>IF(Skills!N4=TRUE,(Skills!L4/10)*(E890/1000),Skills!L4/10)+Skills!O4</f>
        <v/>
      </c>
      <c r="G890">
        <f>Skills!G4*IF(Skills!H4&gt;0,IF(Inputs!$B$39="pvp",MIN(Skills!I4,15),Skills!I4)/Skills!H4,1)</f>
        <v/>
      </c>
      <c r="H890">
        <f>1-(1-Skills!J4/100)^Skills!K4</f>
        <v/>
      </c>
      <c r="I890" t="inlineStr">
        <is>
          <t>1</t>
        </is>
      </c>
      <c r="J890">
        <f>((Inputs!$B$6*(1+Inputs!$B$7/100))+(((Inputs!$B$12*(1+Inputs!$B$13/100))-(Inputs!$B$12*(1+Inputs!$B$13/100)))+0.25*(Inputs!$B$14-Inputs!$B$14))*(1+Inputs!$B$7/100))*(F890/100)</f>
        <v/>
      </c>
      <c r="K890">
        <f>J890*(1+((Inputs!$B$12*(1+Inputs!$B$13/100))*0.01+Inputs!$B$14*0.0025)/100)*(1+Inputs!$B$15/100)*(1+Inputs!$B$16/100)*(5000/(6000+Inputs!$B$43*(1-(100*(1-(1-Inputs!$B$19/100)*(1-CHOOSE(ArtifactsInput!$N$40+1,5,6,7,8,9,10)/100)^(ArtifactsInput!$M$40-ArtifactsInput!$M$40)))/100)))*(1+(Inputs!$B$24+((C917=TRUE)*(F917-Calc!F31))+((C904=TRUE)*(F904-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4="CRUEL_STAB",Inputs!$B$17+((C914=TRUE)*(F914-Calc!F28))+((IF(AND(Inputs!$B$39&lt;&gt;"pvp",Inputs!$B$44=0),1,IF(IF(Inputs!$B$39="pvp",15,Inputs!$B$44)-(B931)&lt;=0,1,MAX(0,IF(Inputs!$B$39="pvp",15,Inputs!$B$44)-MAX(5,B931))/(IF(Inputs!$B$39="pvp",15,Inputs!$B$44)-(B931))))*(IF(AND(ArtifactsInput!$M$42,((Inputs!$B$9+((C912=TRUE)*(F912-Calc!F26))+B920+(ArtifactsInput!$M$24-ArtifactsInput!$M$24)*CHOOSE(ArtifactsInput!$N$24+1,10,12,14,16,18,20)+IF(ArtifactsInput!$M$10,CHOOSE(ArtifactsInput!$N$10+1,15,18,21,24,27,30)*(IF(Inputs!$B$39="pvp",MIN(15,15)/15,IF(AND(Inputs!$B$39&lt;&gt;"pvp",Inputs!$B$44&gt;0),MIN(15,Inputs!$B$44)/(Inputs!$B$44),0))),0)))&gt;=100),MIN(100,((Inputs!$B$9+((C912=TRUE)*(F912-Calc!F26))+B920+(ArtifactsInput!$M$24-ArtifactsInput!$M$24)*CHOOSE(ArtifactsInput!$N$24+1,10,12,14,16,18,20)+IF(ArtifactsInput!$M$10,CHOOSE(ArtifactsInput!$N$10+1,15,18,21,24,27,30)*(IF(Inputs!$B$39="pvp",MIN(15,15)/15,IF(AND(Inputs!$B$39&lt;&gt;"pvp",Inputs!$B$44&gt;0),MIN(15,Inputs!$B$44)/(Inputs!$B$44),0))),0)))-100),0))*CHOOSE(ArtifactsInput!$N$42+1,0.6,0.72,0.84,0.96,1.08,1.2))),Inputs!$B$18+((C915=TRUE)*(F915-Calc!F29))+(IF(AND(Inputs!$B$39&lt;&gt;"pvp",Inputs!$B$44=0),1,IF(IF(Inputs!$B$39="pvp",15,Inputs!$B$44)-(B931)&lt;=0,1,MAX(0,IF(Inputs!$B$39="pvp",15,Inputs!$B$44)-MAX(5,B931))/(IF(Inputs!$B$39="pvp",15,Inputs!$B$44)-(B931))))*IF(AND(ArtifactsInput!$M$42,((Inputs!$B$9+((C912=TRUE)*(F912-Calc!F26))+B920+(ArtifactsInput!$M$24-ArtifactsInput!$M$24)*CHOOSE(ArtifactsInput!$N$24+1,10,12,14,16,18,20)+IF(ArtifactsInput!$M$10,CHOOSE(ArtifactsInput!$N$10+1,15,18,21,24,27,30)*(IF(Inputs!$B$39="pvp",MIN(15,15)/15,IF(AND(Inputs!$B$39&lt;&gt;"pvp",Inputs!$B$44&gt;0),MIN(15,Inputs!$B$44)/(Inputs!$B$44),0))),0)))&gt;=100),CHOOSE(ArtifactsInput!$N$42+1,40,48,56,64,72,80),0))))/100)*(((1+(((C908=TRUE)*F908*IF(AND(Inputs!$B$39&lt;&gt;"pvp",Inputs!$B$44&gt;0),(((R908-1)*MIN((Skills!Y22*(1+Inputs!$B$34/100)),(1/Q908))+MIN((Skills!Y22*(1+Inputs!$B$34/100)),MAX(0,Inputs!$B$44-((R908-1)*(1/Q908)))))/Inputs!$B$44),IF(Inputs!$B$39="pvp",MIN((Skills!Y22*(1+Inputs!$B$34/100)),15)/15,MIN(1,(Skills!Y22*(1+Inputs!$B$34/100))/(1/Q908)))))+((C889=TRUE)*F889*3)+((C891=TRUE)*F891*(1-EXP(-0.75*B924*5)))+((C910=TRUE)*(F910-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897=TRUE)*F897*IF(AND(Inputs!$B$39&lt;&gt;"pvp",Inputs!$B$44&gt;0),(((R897-1)*MIN((Skills!Y11*(1+Inputs!$B$34/100)),(1/Q897))+MIN((Skills!Y11*(1+Inputs!$B$34/100)),MAX(0,Inputs!$B$44-((R897-1)*(1/Q897)))))/Inputs!$B$44),IF(Inputs!$B$39="pvp",MIN((Skills!Y11*(1+Inputs!$B$34/100)),15)/15,MIN(1,(Skills!Y11*(1+Inputs!$B$34/100))/(1/Q897)))))/100)*(1+((C902=TRUE)*F902*IF(AND(Inputs!$B$39&lt;&gt;"pvp",Inputs!$B$44&gt;0),(((R902-1)*MIN((Skills!Y16*(1+Inputs!$B$34/100)),(1/Q902))+MIN((Skills!Y16*(1+Inputs!$B$34/100)),MAX(0,Inputs!$B$44-((R902-1)*(1/Q902)))))/Inputs!$B$44),IF(Inputs!$B$39="pvp",MIN((Skills!Y16*(1+Inputs!$B$34/100)),15)/15,MIN(1,(Skills!Y16*(1+Inputs!$B$34/100))/(1/Q902)))))/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922*I890)</f>
        <v/>
      </c>
      <c r="L890">
        <f>K890*(MIN(Inputs!$B$22+((C911=TRUE)*(F911-Calc!F25)),(Inputs!$B$23+((C916=TRUE)*(F916-Calc!F30))+IF(ArtifactsInput!$M$15,CHOOSE(ArtifactsInput!$N$15+1,25,30,35,40,45,50)/100*(Inputs!$B$11-Inputs!$B$11),0)))/100+(Inputs!$B$23+((C916=TRUE)*(F916-Calc!F30))+IF(ArtifactsInput!$M$15,CHOOSE(ArtifactsInput!$N$15+1,25,30,35,40,45,50)/100*(Inputs!$B$11-Inputs!$B$11),0))/100)/2</f>
        <v/>
      </c>
      <c r="M890">
        <f>L890*(1+(Inputs!$B$10+((C913=TRUE)*(F913-Calc!F27))+B927+(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890">
        <f>L890*(1-MIN((Inputs!$B$9+((C912=TRUE)*(F912-Calc!F26))+B920+(ArtifactsInput!$M$24-ArtifactsInput!$M$24)*CHOOSE(ArtifactsInput!$N$24+1,10,12,14,16,18,20)+(IF(AND(Inputs!$B$39&lt;&gt;"pvp",Inputs!$B$44=0),1,IF(IF(Inputs!$B$39="pvp",15,Inputs!$B$44)-(B931)&lt;=0,1,MAX(0,IF(Inputs!$B$39="pvp",15,Inputs!$B$44)-MAX(5,B931))/(IF(Inputs!$B$39="pvp",15,Inputs!$B$44)-(B931))))*IF(AND(ArtifactsInput!$M$42,((Inputs!$B$9+((C912=TRUE)*(F912-Calc!F26))+B920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890*(MIN((Inputs!$B$9+((C912=TRUE)*(F912-Calc!F26))+B920+(ArtifactsInput!$M$24-ArtifactsInput!$M$24)*CHOOSE(ArtifactsInput!$N$24+1,10,12,14,16,18,20)+(IF(AND(Inputs!$B$39&lt;&gt;"pvp",Inputs!$B$44=0),1,IF(IF(Inputs!$B$39="pvp",15,Inputs!$B$44)-(B931)&lt;=0,1,MAX(0,IF(Inputs!$B$39="pvp",15,Inputs!$B$44)-MAX(5,B931))/(IF(Inputs!$B$39="pvp",15,Inputs!$B$44)-(B931))))*IF(AND(ArtifactsInput!$M$42,((Inputs!$B$9+((C912=TRUE)*(F912-Calc!F26))+B920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890">
        <f>(1-Summary!$B$11)*T890+Summary!$B$11*V890</f>
        <v/>
      </c>
      <c r="P890">
        <f>IF(B932=0,0,O890/B932)</f>
        <v/>
      </c>
      <c r="Q890">
        <f>IFERROR(1/IF(Inputs!$B$39="pvp",15,MAX(0.1,Skills!D4-IF(TRUE=TRUE,Inputs!$B$32,0))),0)</f>
        <v/>
      </c>
      <c r="R890">
        <f>IF(AND(Inputs!$B$39&lt;&gt;"pvp",Inputs!$B$44&gt;0),IF(MAX(0,Inputs!$B$44-B931)&lt;=0,0,(INT(MAX(0,Inputs!$B$44-B931)/IF(Inputs!$B$39="pvp",15,MAX(0.1,Skills!D4-IF(TRUE=TRUE,Inputs!$B$32,0))))+1)),0)</f>
        <v/>
      </c>
      <c r="S890">
        <f>IFERROR(O890/N890,0)</f>
        <v/>
      </c>
      <c r="T890">
        <f>IF(C890,(H890*N890*IF(AND(Inputs!$B$39&lt;&gt;"pvp",Inputs!$B$44&gt;0),((Skills!G4*((R890-1)*IF(Skills!H4&gt;0,Skills!I4/Skills!H4,1)+IF(Skills!H4&gt;0,MIN(Skills!I4,MAX(0,MAX(0,Inputs!$B$44-B931)-((R890-1)*IF(Inputs!$B$39="pvp",15,MAX(0.1,Skills!D4-IF(TRUE=TRUE,Inputs!$B$32,0))))))/Skills!H4,1)))/Inputs!$B$44),G890*Q890))*IF(Inputs!$B$39="pvp",1,1+(Inputs!$B$20+0+Skills!P4+B921+(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Hunt"),CHOOSE(ArtifactsInput!$N$35+1,15,18,21,24,27,30)*(1-EXP(-(0.2*B924)*5)),0)+IF(AND(ArtifactsInput!$M$22,Inputs!$B$4&lt;&gt;"Chapter Hunt"),CHOOSE(ArtifactsInput!$N$22+1,10,12,14,16,18,20)*((0*(((0.15*B924*5))^0/1)+1*(((0.15*B924*5))^1/1)+2*(((0.15*B924*5))^2/2)+3*(((0.15*B924*5))^3/6)+4*(((0.15*B924*5))^4/24)+5*(((0.15*B924*5))^5/120))/((((0.15*B924*5))^0/1)+(((0.15*B924*5))^1/1)+(((0.15*B924*5))^2/2)+(((0.15*B924*5))^3/6)+(((0.15*B924*5))^4/24)+(((0.15*B924*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890*(1-MIN(100,(Inputs!$B$9+((C912=TRUE)*(F912-Calc!F26))+B920+(ArtifactsInput!$M$24-ArtifactsInput!$M$24)*CHOOSE(ArtifactsInput!$N$24+1,10,12,14,16,18,20)+(IF(AND(Inputs!$B$39&lt;&gt;"pvp",Inputs!$B$44=0),1,IF(IF(Inputs!$B$39="pvp",15,Inputs!$B$44)-(B931)&lt;=0,1,MAX(0,IF(Inputs!$B$39="pvp",15,Inputs!$B$44)-MAX(5,B931))/(IF(Inputs!$B$39="pvp",15,Inputs!$B$44)-(B931))))*IF(AND(ArtifactsInput!$M$42,((Inputs!$B$9+((C912=TRUE)*(F912-Calc!F26))+B920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890*(MIN(100,(Inputs!$B$9+((C912=TRUE)*(F912-Calc!F26))+B920+(ArtifactsInput!$M$24-ArtifactsInput!$M$24)*CHOOSE(ArtifactsInput!$N$24+1,10,12,14,16,18,20)+(IF(AND(Inputs!$B$39&lt;&gt;"pvp",Inputs!$B$44=0),1,IF(IF(Inputs!$B$39="pvp",15,Inputs!$B$44)-(B931)&lt;=0,1,MAX(0,IF(Inputs!$B$39="pvp",15,Inputs!$B$44)-MAX(5,B931))/(IF(Inputs!$B$39="pvp",15,Inputs!$B$44)-(B931))))*IF(AND(ArtifactsInput!$M$42,((Inputs!$B$9+((C912=TRUE)*(F912-Calc!F26))+B920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890*(1-MIN(100,(Inputs!$B$9+((C912=TRUE)*(F912-Calc!F26))+B920+(ArtifactsInput!$M$24-ArtifactsInput!$M$24)*CHOOSE(ArtifactsInput!$N$24+1,10,12,14,16,18,20)+(IF(AND(Inputs!$B$39&lt;&gt;"pvp",Inputs!$B$44=0),1,IF(IF(Inputs!$B$39="pvp",15,Inputs!$B$44)-(B931)&lt;=0,1,MAX(0,IF(Inputs!$B$39="pvp",15,Inputs!$B$44)-MAX(5,B931))/(IF(Inputs!$B$39="pvp",15,Inputs!$B$44)-(B931))))*IF(AND(ArtifactsInput!$M$42,((Inputs!$B$9+((C912=TRUE)*(F912-Calc!F26))+B920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890*(MIN(100,(Inputs!$B$9+((C912=TRUE)*(F912-Calc!F26))+B920+(ArtifactsInput!$M$24-ArtifactsInput!$M$24)*CHOOSE(ArtifactsInput!$N$24+1,10,12,14,16,18,20)+(IF(AND(Inputs!$B$39&lt;&gt;"pvp",Inputs!$B$44=0),1,IF(IF(Inputs!$B$39="pvp",15,Inputs!$B$44)-(B931)&lt;=0,1,MAX(0,IF(Inputs!$B$39="pvp",15,Inputs!$B$44)-MAX(5,B931))/(IF(Inputs!$B$39="pvp",15,Inputs!$B$44)-(B931))))*IF(AND(ArtifactsInput!$M$42,((Inputs!$B$9+((C912=TRUE)*(F912-Calc!F26))+B920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890">
        <f>290*U889/1000</f>
        <v/>
      </c>
      <c r="V890">
        <f>IF(C890,(H890*N890*IF(AND(Inputs!$B$39&lt;&gt;"pvp",Inputs!$B$44&gt;0),((Skills!G4*((R890-1)*IF(Skills!H4&gt;0,Skills!I4/Skills!H4,1)+IF(Skills!H4&gt;0,MIN(Skills!I4,MAX(0,MAX(0,Inputs!$B$44-B931)-((R890-1)*IF(Inputs!$B$39="pvp",15,MAX(0.1,Skills!D4-IF(TRUE=TRUE,Inputs!$B$32,0))))))/Skills!H4,1)))/Inputs!$B$44),G890*Q890))*IF(Inputs!$B$39="pvp",1,(1+(Inputs!$B$21+Skills!Q4+B921+(IF(ArtifactsInput!$M$33,CHOOSE(ArtifactsInput!$N$33+1,30,36,42,48,54,60),0))+(IF(AND(ArtifactsInput!$M$35,Inputs!$B$4&lt;&gt;"Chapter Hunt"),CHOOSE(ArtifactsInput!$N$35+1,15,18,21,24,27,30)*(1-EXP(-(0.2*B924)*5)),0)+IF(AND(ArtifactsInput!$M$22,Inputs!$B$4&lt;&gt;"Chapter Hunt"),CHOOSE(ArtifactsInput!$N$22+1,10,12,14,16,18,20)*((0*(((0.15*B924*5))^0/1)+1*(((0.15*B924*5))^1/1)+2*(((0.15*B924*5))^2/2)+3*(((0.15*B924*5))^3/6)+4*(((0.15*B924*5))^4/24)+5*(((0.15*B924*5))^5/120))/((((0.15*B924*5))^0/1)+(((0.15*B924*5))^1/1)+(((0.15*B924*5))^2/2)+(((0.15*B924*5))^3/6)+(((0.15*B924*5))^4/24)+(((0.15*B924*5))^5/120))),0)))/100)*(MIN(MIN(10,IF(Inputs!$B$3&gt;=75,0.75,0.5)*B924*(1/Q890)),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891">
      <c r="A891">
        <f>Skills!A5</f>
        <v/>
      </c>
      <c r="B891">
        <f>Skills!B5</f>
        <v/>
      </c>
      <c r="C891">
        <f>Inputs!$B$3&gt;=75</f>
        <v/>
      </c>
      <c r="D891">
        <f>IF(Skills!C5=1,60+(Inputs!$B$25+1)+Inputs!$B$29,IF(Skills!C5=2,90+Inputs!$B$26+Inputs!$B$29,IF(Skills!C5=3,120+Inputs!$B$27+Inputs!$B$29,MAX(0,(Inputs!$B$3-100)*3)+Inputs!$B$28+Inputs!$B$29)))</f>
        <v/>
      </c>
      <c r="E891">
        <f>INDEX(FactorTable!$B$2:$Y$301, MATCH(ROUND(MIN(300,MAX(1,D891)),0), FactorTable!$A$2:$A$301,0), Skills!M5+1)</f>
        <v/>
      </c>
      <c r="F891">
        <f>IF(Skills!N5=TRUE,(Skills!L5/10)*(E891/1000),Skills!L5/10)+Skills!O5</f>
        <v/>
      </c>
      <c r="G891">
        <f>Skills!G5*IF(Skills!H5&gt;0,IF(Inputs!$B$39="pvp",MIN(Skills!I5,15),Skills!I5)/Skills!H5,1)</f>
        <v/>
      </c>
      <c r="H891">
        <f>1-(1-Skills!J5/100)^Skills!K5</f>
        <v/>
      </c>
      <c r="I891" t="inlineStr">
        <is>
          <t>1</t>
        </is>
      </c>
      <c r="J891" t="inlineStr"/>
      <c r="K891" t="inlineStr"/>
      <c r="L891" t="inlineStr"/>
      <c r="M891" t="inlineStr"/>
      <c r="N891" t="inlineStr"/>
      <c r="O891">
        <f>(1-Summary!$B$11)*T891+Summary!$B$11*V891</f>
        <v/>
      </c>
      <c r="P891">
        <f>IF(B932=0,0,O891/B932)</f>
        <v/>
      </c>
      <c r="Q891" t="n">
        <v>0</v>
      </c>
      <c r="R891" t="n">
        <v>0</v>
      </c>
      <c r="S891">
        <f>IFERROR(O891/N891,0)</f>
        <v/>
      </c>
      <c r="T891" t="n">
        <v>0</v>
      </c>
      <c r="V891" t="n">
        <v>0</v>
      </c>
    </row>
    <row r="892">
      <c r="A892">
        <f>Skills!A6</f>
        <v/>
      </c>
      <c r="B892">
        <f>Skills!B6</f>
        <v/>
      </c>
      <c r="C892">
        <f>Inputs!$B$3&gt;=63</f>
        <v/>
      </c>
      <c r="D892">
        <f>IF(Skills!C6=1,60+(Inputs!$B$25+1)+Inputs!$B$29,IF(Skills!C6=2,90+Inputs!$B$26+Inputs!$B$29,IF(Skills!C6=3,120+Inputs!$B$27+Inputs!$B$29,MAX(0,(Inputs!$B$3-100)*3)+Inputs!$B$28+Inputs!$B$29)))</f>
        <v/>
      </c>
      <c r="E892">
        <f>INDEX(FactorTable!$B$2:$Y$301, MATCH(ROUND(MIN(300,MAX(1,D892)),0), FactorTable!$A$2:$A$301,0), Skills!M6+1)</f>
        <v/>
      </c>
      <c r="F892">
        <f>IF(Skills!N6=TRUE,(Skills!L6/10)*(E892/1000),Skills!L6/10)+Skills!O6</f>
        <v/>
      </c>
      <c r="G892">
        <f>Skills!G6*IF(Skills!H6&gt;0,IF(Inputs!$B$39="pvp",MIN(Skills!I6,15),Skills!I6)/Skills!H6,1)</f>
        <v/>
      </c>
      <c r="H892">
        <f>1-(1-Skills!J6/100)^Skills!K6</f>
        <v/>
      </c>
      <c r="I892" t="inlineStr">
        <is>
          <t>1</t>
        </is>
      </c>
      <c r="J892">
        <f>((Inputs!$B$6*(1+Inputs!$B$7/100))+(((Inputs!$B$12*(1+Inputs!$B$13/100))-(Inputs!$B$12*(1+Inputs!$B$13/100)))+0.25*(Inputs!$B$14-Inputs!$B$14))*(1+Inputs!$B$7/100))*(F892/100)</f>
        <v/>
      </c>
      <c r="K892">
        <f>J892*(1+((Inputs!$B$12*(1+Inputs!$B$13/100))*0.01+Inputs!$B$14*0.0025)/100)*(1+Inputs!$B$15/100)*(1+Inputs!$B$16/100)*(5000/(6000+Inputs!$B$43*(1-(100*(1-(1-Inputs!$B$19/100)*(1-CHOOSE(ArtifactsInput!$N$40+1,5,6,7,8,9,10)/100)^(ArtifactsInput!$M$40-ArtifactsInput!$M$40)))/100)))*(1+(Inputs!$B$24+((C917=TRUE)*(F917-Calc!F31))+((C904=TRUE)*(F904-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+2.6666666666666665*IF(C905=TRUE,F905,0)/100)*(1+(IF(Skills!A6="CRUEL_STAB",Inputs!$B$17+((C914=TRUE)*(F914-Calc!F28))+((IF(AND(Inputs!$B$39&lt;&gt;"pvp",Inputs!$B$44=0),1,IF(IF(Inputs!$B$39="pvp",15,Inputs!$B$44)-(B931)&lt;=0,1,MAX(0,IF(Inputs!$B$39="pvp",15,Inputs!$B$44)-MAX(5,B931))/(IF(Inputs!$B$39="pvp",15,Inputs!$B$44)-(B931))))*(IF(AND(ArtifactsInput!$M$42,((Inputs!$B$9+((C912=TRUE)*(F912-Calc!F26))+B920+(ArtifactsInput!$M$24-ArtifactsInput!$M$24)*CHOOSE(ArtifactsInput!$N$24+1,10,12,14,16,18,20)+IF(ArtifactsInput!$M$10,CHOOSE(ArtifactsInput!$N$10+1,15,18,21,24,27,30)*(IF(Inputs!$B$39="pvp",MIN(15,15)/15,IF(AND(Inputs!$B$39&lt;&gt;"pvp",Inputs!$B$44&gt;0),MIN(15,Inputs!$B$44)/(Inputs!$B$44),0))),0)))&gt;=100),MIN(100,((Inputs!$B$9+((C912=TRUE)*(F912-Calc!F26))+B920+(ArtifactsInput!$M$24-ArtifactsInput!$M$24)*CHOOSE(ArtifactsInput!$N$24+1,10,12,14,16,18,20)+IF(ArtifactsInput!$M$10,CHOOSE(ArtifactsInput!$N$10+1,15,18,21,24,27,30)*(IF(Inputs!$B$39="pvp",MIN(15,15)/15,IF(AND(Inputs!$B$39&lt;&gt;"pvp",Inputs!$B$44&gt;0),MIN(15,Inputs!$B$44)/(Inputs!$B$44),0))),0)))-100),0))*CHOOSE(ArtifactsInput!$N$42+1,0.6,0.72,0.84,0.96,1.08,1.2))),Inputs!$B$18+((C915=TRUE)*(F915-Calc!F29))+(IF(AND(Inputs!$B$39&lt;&gt;"pvp",Inputs!$B$44=0),1,IF(IF(Inputs!$B$39="pvp",15,Inputs!$B$44)-(B931)&lt;=0,1,MAX(0,IF(Inputs!$B$39="pvp",15,Inputs!$B$44)-MAX(5,B931))/(IF(Inputs!$B$39="pvp",15,Inputs!$B$44)-(B931))))*IF(AND(ArtifactsInput!$M$42,((Inputs!$B$9+((C912=TRUE)*(F912-Calc!F26))+B920+(ArtifactsInput!$M$24-ArtifactsInput!$M$24)*CHOOSE(ArtifactsInput!$N$24+1,10,12,14,16,18,20)+IF(ArtifactsInput!$M$10,CHOOSE(ArtifactsInput!$N$10+1,15,18,21,24,27,30)*(IF(Inputs!$B$39="pvp",MIN(15,15)/15,IF(AND(Inputs!$B$39&lt;&gt;"pvp",Inputs!$B$44&gt;0),MIN(15,Inputs!$B$44)/(Inputs!$B$44),0))),0)))&gt;=100),CHOOSE(ArtifactsInput!$N$42+1,40,48,56,64,72,80),0))))/100)*(((1+(((C908=TRUE)*F908*IF(AND(Inputs!$B$39&lt;&gt;"pvp",Inputs!$B$44&gt;0),(((R908-1)*MIN((Skills!Y22*(1+Inputs!$B$34/100)),(1/Q908))+MIN((Skills!Y22*(1+Inputs!$B$34/100)),MAX(0,Inputs!$B$44-((R908-1)*(1/Q908)))))/Inputs!$B$44),IF(Inputs!$B$39="pvp",MIN((Skills!Y22*(1+Inputs!$B$34/100)),15)/15,MIN(1,(Skills!Y22*(1+Inputs!$B$34/100))/(1/Q908)))))+((C889=TRUE)*F889*3)+((C891=TRUE)*F891*(1-EXP(-0.75*B924*5)))+((C910=TRUE)*(F910-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897=TRUE)*F897*IF(AND(Inputs!$B$39&lt;&gt;"pvp",Inputs!$B$44&gt;0),(((R897-1)*MIN((Skills!Y11*(1+Inputs!$B$34/100)),(1/Q897))+MIN((Skills!Y11*(1+Inputs!$B$34/100)),MAX(0,Inputs!$B$44-((R897-1)*(1/Q897)))))/Inputs!$B$44),IF(Inputs!$B$39="pvp",MIN((Skills!Y11*(1+Inputs!$B$34/100)),15)/15,MIN(1,(Skills!Y11*(1+Inputs!$B$34/100))/(1/Q897)))))/100)*(1+((C902=TRUE)*F902*IF(AND(Inputs!$B$39&lt;&gt;"pvp",Inputs!$B$44&gt;0),(((R902-1)*MIN((Skills!Y16*(1+Inputs!$B$34/100)),(1/Q902))+MIN((Skills!Y16*(1+Inputs!$B$34/100)),MAX(0,Inputs!$B$44-((R902-1)*(1/Q902)))))/Inputs!$B$44),IF(Inputs!$B$39="pvp",MIN((Skills!Y16*(1+Inputs!$B$34/100)),15)/15,MIN(1,(Skills!Y16*(1+Inputs!$B$34/100))/(1/Q902)))))/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922*I892)</f>
        <v/>
      </c>
      <c r="L892">
        <f>K892*(MIN(Inputs!$B$22+((C911=TRUE)*(F911-Calc!F25)),(Inputs!$B$23+((C916=TRUE)*(F916-Calc!F30))+IF(ArtifactsInput!$M$15,CHOOSE(ArtifactsInput!$N$15+1,25,30,35,40,45,50)/100*(Inputs!$B$11-Inputs!$B$11),0)))/100+(Inputs!$B$23+((C916=TRUE)*(F916-Calc!F30))+IF(ArtifactsInput!$M$15,CHOOSE(ArtifactsInput!$N$15+1,25,30,35,40,45,50)/100*(Inputs!$B$11-Inputs!$B$11),0))/100)/2</f>
        <v/>
      </c>
      <c r="M892">
        <f>L892*(1+(Inputs!$B$10+((C913=TRUE)*(F913-Calc!F27))+B927+(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892">
        <f>L892*(1-MIN((Inputs!$B$9+((C912=TRUE)*(F912-Calc!F26))+B920+(ArtifactsInput!$M$24-ArtifactsInput!$M$24)*CHOOSE(ArtifactsInput!$N$24+1,10,12,14,16,18,20)+(IF(AND(Inputs!$B$39&lt;&gt;"pvp",Inputs!$B$44=0),1,IF(IF(Inputs!$B$39="pvp",15,Inputs!$B$44)-(B931)&lt;=0,1,MAX(0,IF(Inputs!$B$39="pvp",15,Inputs!$B$44)-MAX(5,B931))/(IF(Inputs!$B$39="pvp",15,Inputs!$B$44)-(B931))))*IF(AND(ArtifactsInput!$M$42,((Inputs!$B$9+((C912=TRUE)*(F912-Calc!F26))+B920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892*(MIN((Inputs!$B$9+((C912=TRUE)*(F912-Calc!F26))+B920+(ArtifactsInput!$M$24-ArtifactsInput!$M$24)*CHOOSE(ArtifactsInput!$N$24+1,10,12,14,16,18,20)+(IF(AND(Inputs!$B$39&lt;&gt;"pvp",Inputs!$B$44=0),1,IF(IF(Inputs!$B$39="pvp",15,Inputs!$B$44)-(B931)&lt;=0,1,MAX(0,IF(Inputs!$B$39="pvp",15,Inputs!$B$44)-MAX(5,B931))/(IF(Inputs!$B$39="pvp",15,Inputs!$B$44)-(B931))))*IF(AND(ArtifactsInput!$M$42,((Inputs!$B$9+((C912=TRUE)*(F912-Calc!F26))+B920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892">
        <f>(1-Summary!$B$11)*T892+Summary!$B$11*V892</f>
        <v/>
      </c>
      <c r="P892">
        <f>IF(B932=0,0,O892/B932)</f>
        <v/>
      </c>
      <c r="Q892">
        <f>IFERROR(1/IF(Inputs!$B$39="pvp",15,MAX(0.1,Skills!D6-IF(TRUE=TRUE,Inputs!$B$32,0))),0)</f>
        <v/>
      </c>
      <c r="R892">
        <f>IF(AND(Inputs!$B$39&lt;&gt;"pvp",Inputs!$B$44&gt;0),IF(MAX(0,Inputs!$B$44-B931)&lt;=0,0,(INT(MAX(0,Inputs!$B$44-B931)/IF(Inputs!$B$39="pvp",15,MAX(0.1,Skills!D6-IF(TRUE=TRUE,Inputs!$B$32,0))))+1)),0)</f>
        <v/>
      </c>
      <c r="S892">
        <f>IFERROR(O892/N892,0)</f>
        <v/>
      </c>
      <c r="T892">
        <f>IF(C892,(H892*N892*IF(AND(Inputs!$B$39&lt;&gt;"pvp",Inputs!$B$44&gt;0),((Skills!G6*((R892-1)*IF(Skills!H6&gt;0,Skills!I6/Skills!H6,1)+IF(Skills!H6&gt;0,MIN(Skills!I6,MAX(0,MAX(0,Inputs!$B$44-B931)-((R892-1)*IF(Inputs!$B$39="pvp",15,MAX(0.1,Skills!D6-IF(TRUE=TRUE,Inputs!$B$32,0))))))/Skills!H6,1)))/Inputs!$B$44),G892*Q892))*IF(Inputs!$B$39="pvp",1,1+(Inputs!$B$20+0+Skills!P6+B921+(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Hunt"),CHOOSE(ArtifactsInput!$N$35+1,15,18,21,24,27,30)*(1-EXP(-(0.2*B924)*5)),0)+IF(AND(ArtifactsInput!$M$22,Inputs!$B$4&lt;&gt;"Chapter Hunt"),CHOOSE(ArtifactsInput!$N$22+1,10,12,14,16,18,20)*((0*(((0.15*B924*5))^0/1)+1*(((0.15*B924*5))^1/1)+2*(((0.15*B924*5))^2/2)+3*(((0.15*B924*5))^3/6)+4*(((0.15*B924*5))^4/24)+5*(((0.15*B924*5))^5/120))/((((0.15*B924*5))^0/1)+(((0.15*B924*5))^1/1)+(((0.15*B924*5))^2/2)+(((0.15*B924*5))^3/6)+(((0.15*B924*5))^4/24)+(((0.15*B924*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892*(1-MIN(100,(Inputs!$B$9+((C912=TRUE)*(F912-Calc!F26))+B920+(ArtifactsInput!$M$24-ArtifactsInput!$M$24)*CHOOSE(ArtifactsInput!$N$24+1,10,12,14,16,18,20)+(IF(AND(Inputs!$B$39&lt;&gt;"pvp",Inputs!$B$44=0),1,IF(IF(Inputs!$B$39="pvp",15,Inputs!$B$44)-(B931)&lt;=0,1,MAX(0,IF(Inputs!$B$39="pvp",15,Inputs!$B$44)-MAX(5,B931))/(IF(Inputs!$B$39="pvp",15,Inputs!$B$44)-(B931))))*IF(AND(ArtifactsInput!$M$42,((Inputs!$B$9+((C912=TRUE)*(F912-Calc!F26))+B920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892*(MIN(100,(Inputs!$B$9+((C912=TRUE)*(F912-Calc!F26))+B920+(ArtifactsInput!$M$24-ArtifactsInput!$M$24)*CHOOSE(ArtifactsInput!$N$24+1,10,12,14,16,18,20)+(IF(AND(Inputs!$B$39&lt;&gt;"pvp",Inputs!$B$44=0),1,IF(IF(Inputs!$B$39="pvp",15,Inputs!$B$44)-(B931)&lt;=0,1,MAX(0,IF(Inputs!$B$39="pvp",15,Inputs!$B$44)-MAX(5,B931))/(IF(Inputs!$B$39="pvp",15,Inputs!$B$44)-(B931))))*IF(AND(ArtifactsInput!$M$42,((Inputs!$B$9+((C912=TRUE)*(F912-Calc!F26))+B920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892*(1-MIN(100,(Inputs!$B$9+((C912=TRUE)*(F912-Calc!F26))+B920+(ArtifactsInput!$M$24-ArtifactsInput!$M$24)*CHOOSE(ArtifactsInput!$N$24+1,10,12,14,16,18,20)+(IF(AND(Inputs!$B$39&lt;&gt;"pvp",Inputs!$B$44=0),1,IF(IF(Inputs!$B$39="pvp",15,Inputs!$B$44)-(B931)&lt;=0,1,MAX(0,IF(Inputs!$B$39="pvp",15,Inputs!$B$44)-MAX(5,B931))/(IF(Inputs!$B$39="pvp",15,Inputs!$B$44)-(B931))))*IF(AND(ArtifactsInput!$M$42,((Inputs!$B$9+((C912=TRUE)*(F912-Calc!F26))+B920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892*(MIN(100,(Inputs!$B$9+((C912=TRUE)*(F912-Calc!F26))+B920+(ArtifactsInput!$M$24-ArtifactsInput!$M$24)*CHOOSE(ArtifactsInput!$N$24+1,10,12,14,16,18,20)+(IF(AND(Inputs!$B$39&lt;&gt;"pvp",Inputs!$B$44=0),1,IF(IF(Inputs!$B$39="pvp",15,Inputs!$B$44)-(B931)&lt;=0,1,MAX(0,IF(Inputs!$B$39="pvp",15,Inputs!$B$44)-MAX(5,B931))/(IF(Inputs!$B$39="pvp",15,Inputs!$B$44)-(B931))))*IF(AND(ArtifactsInput!$M$42,((Inputs!$B$9+((C912=TRUE)*(F912-Calc!F26))+B920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892">
        <f>IF(C892,(H892*N892*IF(AND(Inputs!$B$39&lt;&gt;"pvp",Inputs!$B$44&gt;0),((Skills!G6*((R892-1)*IF(Skills!H6&gt;0,Skills!I6/Skills!H6,1)+IF(Skills!H6&gt;0,MIN(Skills!I6,MAX(0,MAX(0,Inputs!$B$44-B931)-((R892-1)*IF(Inputs!$B$39="pvp",15,MAX(0.1,Skills!D6-IF(TRUE=TRUE,Inputs!$B$32,0))))))/Skills!H6,1)))/Inputs!$B$44),G892*Q892))*IF(Inputs!$B$39="pvp",1,(1+(Inputs!$B$21+Skills!Q6+B921+(IF(ArtifactsInput!$M$33,CHOOSE(ArtifactsInput!$N$33+1,30,36,42,48,54,60),0))+(IF(AND(ArtifactsInput!$M$35,Inputs!$B$4&lt;&gt;"Chapter Hunt"),CHOOSE(ArtifactsInput!$N$35+1,15,18,21,24,27,30)*(1-EXP(-(0.2*B924)*5)),0)+IF(AND(ArtifactsInput!$M$22,Inputs!$B$4&lt;&gt;"Chapter Hunt"),CHOOSE(ArtifactsInput!$N$22+1,10,12,14,16,18,20)*((0*(((0.15*B924*5))^0/1)+1*(((0.15*B924*5))^1/1)+2*(((0.15*B924*5))^2/2)+3*(((0.15*B924*5))^3/6)+4*(((0.15*B924*5))^4/24)+5*(((0.15*B924*5))^5/120))/((((0.15*B924*5))^0/1)+(((0.15*B924*5))^1/1)+(((0.15*B924*5))^2/2)+(((0.15*B924*5))^3/6)+(((0.15*B924*5))^4/24)+(((0.15*B924*5))^5/120))),0)))/100)*(MIN(Skills!W6,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893">
      <c r="A893">
        <f>Skills!A7</f>
        <v/>
      </c>
      <c r="B893">
        <f>Skills!B7</f>
        <v/>
      </c>
      <c r="C893">
        <f>Inputs!$B$3&gt;=69</f>
        <v/>
      </c>
      <c r="D893">
        <f>IF(Skills!C7=1,60+(Inputs!$B$25+1)+Inputs!$B$29,IF(Skills!C7=2,90+Inputs!$B$26+Inputs!$B$29,IF(Skills!C7=3,120+Inputs!$B$27+Inputs!$B$29,MAX(0,(Inputs!$B$3-100)*3)+Inputs!$B$28+Inputs!$B$29)))</f>
        <v/>
      </c>
      <c r="E893">
        <f>INDEX(FactorTable!$B$2:$Y$301, MATCH(ROUND(MIN(300,MAX(1,D893)),0), FactorTable!$A$2:$A$301,0), Skills!M7+1)</f>
        <v/>
      </c>
      <c r="F893">
        <f>IF(Skills!N7=TRUE,(Skills!L7/10)*(E893/1000),Skills!L7/10)+Skills!O7</f>
        <v/>
      </c>
      <c r="G893">
        <f>Skills!G7*IF(Skills!H7&gt;0,IF(Inputs!$B$39="pvp",MIN(Skills!I7,15),Skills!I7)/Skills!H7,1)</f>
        <v/>
      </c>
      <c r="H893">
        <f>1-(1-Skills!J7/100)^Skills!K7</f>
        <v/>
      </c>
      <c r="I893" t="inlineStr">
        <is>
          <t>1</t>
        </is>
      </c>
      <c r="J893">
        <f>((Inputs!$B$6*(1+Inputs!$B$7/100))+(((Inputs!$B$12*(1+Inputs!$B$13/100))-(Inputs!$B$12*(1+Inputs!$B$13/100)))+0.25*(Inputs!$B$14-Inputs!$B$14))*(1+Inputs!$B$7/100))*(F893/100)</f>
        <v/>
      </c>
      <c r="K893">
        <f>J893*(1+((Inputs!$B$12*(1+Inputs!$B$13/100))*0.01+Inputs!$B$14*0.0025)/100)*(1+Inputs!$B$15/100)*(1+Inputs!$B$16/100)*(5000/(6000+Inputs!$B$43*(1-(100*(1-(1-Inputs!$B$19/100)*(1-CHOOSE(ArtifactsInput!$N$40+1,5,6,7,8,9,10)/100)^(ArtifactsInput!$M$40-ArtifactsInput!$M$40)))/100)))*(1+(Inputs!$B$24+((C917=TRUE)*(F917-Calc!F31))+((C904=TRUE)*(F904-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905=TRUE,F905,0)/100)*(1+(IF(Skills!A7="CRUEL_STAB",Inputs!$B$17+((C914=TRUE)*(F914-Calc!F28))+((IF(AND(Inputs!$B$39&lt;&gt;"pvp",Inputs!$B$44=0),1,IF(IF(Inputs!$B$39="pvp",15,Inputs!$B$44)-(B931)&lt;=0,1,MAX(0,IF(Inputs!$B$39="pvp",15,Inputs!$B$44)-MAX(5,B931))/(IF(Inputs!$B$39="pvp",15,Inputs!$B$44)-(B931))))*(IF(AND(ArtifactsInput!$M$42,((Inputs!$B$9+((C912=TRUE)*(F912-Calc!F26))+B920+(ArtifactsInput!$M$24-ArtifactsInput!$M$24)*CHOOSE(ArtifactsInput!$N$24+1,10,12,14,16,18,20)+IF(ArtifactsInput!$M$10,CHOOSE(ArtifactsInput!$N$10+1,15,18,21,24,27,30)*(IF(Inputs!$B$39="pvp",MIN(15,15)/15,IF(AND(Inputs!$B$39&lt;&gt;"pvp",Inputs!$B$44&gt;0),MIN(15,Inputs!$B$44)/(Inputs!$B$44),0))),0)))&gt;=100),MIN(100,((Inputs!$B$9+((C912=TRUE)*(F912-Calc!F26))+B920+(ArtifactsInput!$M$24-ArtifactsInput!$M$24)*CHOOSE(ArtifactsInput!$N$24+1,10,12,14,16,18,20)+IF(ArtifactsInput!$M$10,CHOOSE(ArtifactsInput!$N$10+1,15,18,21,24,27,30)*(IF(Inputs!$B$39="pvp",MIN(15,15)/15,IF(AND(Inputs!$B$39&lt;&gt;"pvp",Inputs!$B$44&gt;0),MIN(15,Inputs!$B$44)/(Inputs!$B$44),0))),0)))-100),0))*CHOOSE(ArtifactsInput!$N$42+1,0.6,0.72,0.84,0.96,1.08,1.2))),Inputs!$B$18+((C915=TRUE)*(F915-Calc!F29))+(IF(AND(Inputs!$B$39&lt;&gt;"pvp",Inputs!$B$44=0),1,IF(IF(Inputs!$B$39="pvp",15,Inputs!$B$44)-(B931)&lt;=0,1,MAX(0,IF(Inputs!$B$39="pvp",15,Inputs!$B$44)-MAX(5,B931))/(IF(Inputs!$B$39="pvp",15,Inputs!$B$44)-(B931))))*IF(AND(ArtifactsInput!$M$42,((Inputs!$B$9+((C912=TRUE)*(F912-Calc!F26))+B920+(ArtifactsInput!$M$24-ArtifactsInput!$M$24)*CHOOSE(ArtifactsInput!$N$24+1,10,12,14,16,18,20)+IF(ArtifactsInput!$M$10,CHOOSE(ArtifactsInput!$N$10+1,15,18,21,24,27,30)*(IF(Inputs!$B$39="pvp",MIN(15,15)/15,IF(AND(Inputs!$B$39&lt;&gt;"pvp",Inputs!$B$44&gt;0),MIN(15,Inputs!$B$44)/(Inputs!$B$44),0))),0)))&gt;=100),CHOOSE(ArtifactsInput!$N$42+1,40,48,56,64,72,80),0))))/100)*(((1+(((C908=TRUE)*F908*IF(AND(Inputs!$B$39&lt;&gt;"pvp",Inputs!$B$44&gt;0),(((R908-1)*MIN((Skills!Y22*(1+Inputs!$B$34/100)),(1/Q908))+MIN((Skills!Y22*(1+Inputs!$B$34/100)),MAX(0,Inputs!$B$44-((R908-1)*(1/Q908)))))/Inputs!$B$44),IF(Inputs!$B$39="pvp",MIN((Skills!Y22*(1+Inputs!$B$34/100)),15)/15,MIN(1,(Skills!Y22*(1+Inputs!$B$34/100))/(1/Q908)))))+((C889=TRUE)*F889*3)+((C891=TRUE)*F891*(1-EXP(-0.75*B924*5)))+((C910=TRUE)*(F910-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897=TRUE)*F897*IF(AND(Inputs!$B$39&lt;&gt;"pvp",Inputs!$B$44&gt;0),(((R897-1)*MIN((Skills!Y11*(1+Inputs!$B$34/100)),(1/Q897))+MIN((Skills!Y11*(1+Inputs!$B$34/100)),MAX(0,Inputs!$B$44-((R897-1)*(1/Q897)))))/Inputs!$B$44),IF(Inputs!$B$39="pvp",MIN((Skills!Y11*(1+Inputs!$B$34/100)),15)/15,MIN(1,(Skills!Y11*(1+Inputs!$B$34/100))/(1/Q897)))))/100)*(1+((C902=TRUE)*F902*IF(AND(Inputs!$B$39&lt;&gt;"pvp",Inputs!$B$44&gt;0),(((R902-1)*MIN((Skills!Y16*(1+Inputs!$B$34/100)),(1/Q902))+MIN((Skills!Y16*(1+Inputs!$B$34/100)),MAX(0,Inputs!$B$44-((R902-1)*(1/Q902)))))/Inputs!$B$44),IF(Inputs!$B$39="pvp",MIN((Skills!Y16*(1+Inputs!$B$34/100)),15)/15,MIN(1,(Skills!Y16*(1+Inputs!$B$34/100))/(1/Q902)))))/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922*I893)</f>
        <v/>
      </c>
      <c r="L893">
        <f>K893*(MIN(Inputs!$B$22+((C911=TRUE)*(F911-Calc!F25)),(Inputs!$B$23+((C916=TRUE)*(F916-Calc!F30))+IF(ArtifactsInput!$M$15,CHOOSE(ArtifactsInput!$N$15+1,25,30,35,40,45,50)/100*(Inputs!$B$11-Inputs!$B$11),0)))/100+(Inputs!$B$23+((C916=TRUE)*(F916-Calc!F30))+IF(ArtifactsInput!$M$15,CHOOSE(ArtifactsInput!$N$15+1,25,30,35,40,45,50)/100*(Inputs!$B$11-Inputs!$B$11),0))/100)/2</f>
        <v/>
      </c>
      <c r="M893">
        <f>L893*(1+(Inputs!$B$10+((C913=TRUE)*(F913-Calc!F27))+B927+(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893">
        <f>L893*(1-MIN((Inputs!$B$9+((C912=TRUE)*(F912-Calc!F26))+B920+(ArtifactsInput!$M$24-ArtifactsInput!$M$24)*CHOOSE(ArtifactsInput!$N$24+1,10,12,14,16,18,20)+(IF(AND(Inputs!$B$39&lt;&gt;"pvp",Inputs!$B$44=0),1,IF(IF(Inputs!$B$39="pvp",15,Inputs!$B$44)-(B931)&lt;=0,1,MAX(0,IF(Inputs!$B$39="pvp",15,Inputs!$B$44)-MAX(5,B931))/(IF(Inputs!$B$39="pvp",15,Inputs!$B$44)-(B931))))*IF(AND(ArtifactsInput!$M$42,((Inputs!$B$9+((C912=TRUE)*(F912-Calc!F26))+B920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893*(MIN((Inputs!$B$9+((C912=TRUE)*(F912-Calc!F26))+B920+(ArtifactsInput!$M$24-ArtifactsInput!$M$24)*CHOOSE(ArtifactsInput!$N$24+1,10,12,14,16,18,20)+(IF(AND(Inputs!$B$39&lt;&gt;"pvp",Inputs!$B$44=0),1,IF(IF(Inputs!$B$39="pvp",15,Inputs!$B$44)-(B931)&lt;=0,1,MAX(0,IF(Inputs!$B$39="pvp",15,Inputs!$B$44)-MAX(5,B931))/(IF(Inputs!$B$39="pvp",15,Inputs!$B$44)-(B931))))*IF(AND(ArtifactsInput!$M$42,((Inputs!$B$9+((C912=TRUE)*(F912-Calc!F26))+B920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893">
        <f>(1-Summary!$B$11)*T893+Summary!$B$11*V893</f>
        <v/>
      </c>
      <c r="P893">
        <f>IF(B932=0,0,O893/B932)</f>
        <v/>
      </c>
      <c r="Q893">
        <f>IFERROR(1/IF(Inputs!$B$39="pvp",15,MAX(0.1,Skills!D7-IF(TRUE=TRUE,Inputs!$B$32,0))),0)</f>
        <v/>
      </c>
      <c r="R893">
        <f>IF(AND(Inputs!$B$39&lt;&gt;"pvp",Inputs!$B$44&gt;0),IF(MAX(0,Inputs!$B$44-B931)&lt;=0,0,(INT(MAX(0,Inputs!$B$44-B931)/IF(Inputs!$B$39="pvp",15,MAX(0.1,Skills!D7-IF(TRUE=TRUE,Inputs!$B$32,0))))+1)),0)</f>
        <v/>
      </c>
      <c r="S893">
        <f>IFERROR(O893/N893,0)</f>
        <v/>
      </c>
      <c r="T893">
        <f>IF(C893,(H893*N893*IF(AND(Inputs!$B$39&lt;&gt;"pvp",Inputs!$B$44&gt;0),((Skills!G7*((R893-1)*IF(Skills!H7&gt;0,Skills!I7/Skills!H7,1)+IF(Skills!H7&gt;0,MIN(Skills!I7,MAX(0,MAX(0,Inputs!$B$44-B931)-((R893-1)*IF(Inputs!$B$39="pvp",15,MAX(0.1,Skills!D7-IF(TRUE=TRUE,Inputs!$B$32,0))))))/Skills!H7,1)))/Inputs!$B$44),G893*Q893))*IF(Inputs!$B$39="pvp",1,1+(Inputs!$B$20+0+Skills!P7+B921+(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Hunt"),CHOOSE(ArtifactsInput!$N$35+1,15,18,21,24,27,30)*(1-EXP(-(0.2*B924)*5)),0)+IF(AND(ArtifactsInput!$M$22,Inputs!$B$4&lt;&gt;"Chapter Hunt"),CHOOSE(ArtifactsInput!$N$22+1,10,12,14,16,18,20)*((0*(((0.15*B924*5))^0/1)+1*(((0.15*B924*5))^1/1)+2*(((0.15*B924*5))^2/2)+3*(((0.15*B924*5))^3/6)+4*(((0.15*B924*5))^4/24)+5*(((0.15*B924*5))^5/120))/((((0.15*B924*5))^0/1)+(((0.15*B924*5))^1/1)+(((0.15*B924*5))^2/2)+(((0.15*B924*5))^3/6)+(((0.15*B924*5))^4/24)+(((0.15*B924*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893*(1-MIN(100,(Inputs!$B$9+((C912=TRUE)*(F912-Calc!F26))+B920+(ArtifactsInput!$M$24-ArtifactsInput!$M$24)*CHOOSE(ArtifactsInput!$N$24+1,10,12,14,16,18,20)+(IF(AND(Inputs!$B$39&lt;&gt;"pvp",Inputs!$B$44=0),1,IF(IF(Inputs!$B$39="pvp",15,Inputs!$B$44)-(B931)&lt;=0,1,MAX(0,IF(Inputs!$B$39="pvp",15,Inputs!$B$44)-MAX(5,B931))/(IF(Inputs!$B$39="pvp",15,Inputs!$B$44)-(B931))))*IF(AND(ArtifactsInput!$M$42,((Inputs!$B$9+((C912=TRUE)*(F912-Calc!F26))+B920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893*(MIN(100,(Inputs!$B$9+((C912=TRUE)*(F912-Calc!F26))+B920+(ArtifactsInput!$M$24-ArtifactsInput!$M$24)*CHOOSE(ArtifactsInput!$N$24+1,10,12,14,16,18,20)+(IF(AND(Inputs!$B$39&lt;&gt;"pvp",Inputs!$B$44=0),1,IF(IF(Inputs!$B$39="pvp",15,Inputs!$B$44)-(B931)&lt;=0,1,MAX(0,IF(Inputs!$B$39="pvp",15,Inputs!$B$44)-MAX(5,B931))/(IF(Inputs!$B$39="pvp",15,Inputs!$B$44)-(B931))))*IF(AND(ArtifactsInput!$M$42,((Inputs!$B$9+((C912=TRUE)*(F912-Calc!F26))+B920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893*(1-MIN(100,(Inputs!$B$9+((C912=TRUE)*(F912-Calc!F26))+B920+(ArtifactsInput!$M$24-ArtifactsInput!$M$24)*CHOOSE(ArtifactsInput!$N$24+1,10,12,14,16,18,20)+(IF(AND(Inputs!$B$39&lt;&gt;"pvp",Inputs!$B$44=0),1,IF(IF(Inputs!$B$39="pvp",15,Inputs!$B$44)-(B931)&lt;=0,1,MAX(0,IF(Inputs!$B$39="pvp",15,Inputs!$B$44)-MAX(5,B931))/(IF(Inputs!$B$39="pvp",15,Inputs!$B$44)-(B931))))*IF(AND(ArtifactsInput!$M$42,((Inputs!$B$9+((C912=TRUE)*(F912-Calc!F26))+B920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893*(MIN(100,(Inputs!$B$9+((C912=TRUE)*(F912-Calc!F26))+B920+(ArtifactsInput!$M$24-ArtifactsInput!$M$24)*CHOOSE(ArtifactsInput!$N$24+1,10,12,14,16,18,20)+(IF(AND(Inputs!$B$39&lt;&gt;"pvp",Inputs!$B$44=0),1,IF(IF(Inputs!$B$39="pvp",15,Inputs!$B$44)-(B931)&lt;=0,1,MAX(0,IF(Inputs!$B$39="pvp",15,Inputs!$B$44)-MAX(5,B931))/(IF(Inputs!$B$39="pvp",15,Inputs!$B$44)-(B931))))*IF(AND(ArtifactsInput!$M$42,((Inputs!$B$9+((C912=TRUE)*(F912-Calc!F26))+B920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893">
        <f>IF(C893,(H893*N893*IF(AND(Inputs!$B$39&lt;&gt;"pvp",Inputs!$B$44&gt;0),((Skills!G7*((R893-1)*IF(Skills!H7&gt;0,Skills!I7/Skills!H7,1)+IF(Skills!H7&gt;0,MIN(Skills!I7,MAX(0,MAX(0,Inputs!$B$44-B931)-((R893-1)*IF(Inputs!$B$39="pvp",15,MAX(0.1,Skills!D7-IF(TRUE=TRUE,Inputs!$B$32,0))))))/Skills!H7,1)))/Inputs!$B$44),G893*Q893))*IF(Inputs!$B$39="pvp",1,(1+(Inputs!$B$21+Skills!Q7+B921+(IF(ArtifactsInput!$M$33,CHOOSE(ArtifactsInput!$N$33+1,30,36,42,48,54,60),0))+(IF(AND(ArtifactsInput!$M$35,Inputs!$B$4&lt;&gt;"Chapter Hunt"),CHOOSE(ArtifactsInput!$N$35+1,15,18,21,24,27,30)*(1-EXP(-(0.2*B924)*5)),0)+IF(AND(ArtifactsInput!$M$22,Inputs!$B$4&lt;&gt;"Chapter Hunt"),CHOOSE(ArtifactsInput!$N$22+1,10,12,14,16,18,20)*((0*(((0.15*B924*5))^0/1)+1*(((0.15*B924*5))^1/1)+2*(((0.15*B924*5))^2/2)+3*(((0.15*B924*5))^3/6)+4*(((0.15*B924*5))^4/24)+5*(((0.15*B924*5))^5/120))/((((0.15*B924*5))^0/1)+(((0.15*B924*5))^1/1)+(((0.15*B924*5))^2/2)+(((0.15*B924*5))^3/6)+(((0.15*B924*5))^4/24)+(((0.15*B924*5))^5/120))),0)))/100)*(MIN(Skills!W7,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894">
      <c r="A894">
        <f>Skills!A8</f>
        <v/>
      </c>
      <c r="B894">
        <f>Skills!B8</f>
        <v/>
      </c>
      <c r="C894">
        <f>Inputs!$B$3&gt;=60</f>
        <v/>
      </c>
      <c r="D894">
        <f>IF(Skills!C8=1,60+(Inputs!$B$25+1)+Inputs!$B$29,IF(Skills!C8=2,90+Inputs!$B$26+Inputs!$B$29,IF(Skills!C8=3,120+Inputs!$B$27+Inputs!$B$29,MAX(0,(Inputs!$B$3-100)*3)+Inputs!$B$28+Inputs!$B$29)))</f>
        <v/>
      </c>
      <c r="E894">
        <f>INDEX(FactorTable!$B$2:$Y$301, MATCH(ROUND(MIN(300,MAX(1,D894)),0), FactorTable!$A$2:$A$301,0), Skills!M8+1)</f>
        <v/>
      </c>
      <c r="F894">
        <f>IF(Skills!N8=TRUE,(Skills!L8/10)*(E894/1000),Skills!L8/10)+Skills!O8</f>
        <v/>
      </c>
      <c r="G894">
        <f>Skills!G8*IF(Skills!H8&gt;0,IF(Inputs!$B$39="pvp",MIN(Skills!I8,15),Skills!I8)/Skills!H8,1)</f>
        <v/>
      </c>
      <c r="H894">
        <f>1-(1-Skills!J8/100)^Skills!K8</f>
        <v/>
      </c>
      <c r="I894" t="inlineStr">
        <is>
          <t>1</t>
        </is>
      </c>
      <c r="J894" t="inlineStr"/>
      <c r="K894" t="inlineStr"/>
      <c r="L894" t="inlineStr"/>
      <c r="M894" t="inlineStr"/>
      <c r="N894" t="inlineStr"/>
      <c r="O894">
        <f>(1-Summary!$B$11)*T894+Summary!$B$11*V894</f>
        <v/>
      </c>
      <c r="P894">
        <f>IF(B932=0,0,O894/B932)</f>
        <v/>
      </c>
      <c r="Q894" t="n">
        <v>0</v>
      </c>
      <c r="R894" t="n">
        <v>0</v>
      </c>
      <c r="S894">
        <f>IFERROR(O894/N894,0)</f>
        <v/>
      </c>
      <c r="T894" t="n">
        <v>0</v>
      </c>
      <c r="V894" t="n">
        <v>0</v>
      </c>
    </row>
    <row r="895">
      <c r="A895">
        <f>Skills!A9</f>
        <v/>
      </c>
      <c r="B895">
        <f>Skills!B9</f>
        <v/>
      </c>
      <c r="C895">
        <f>Inputs!$B$3&gt;=72</f>
        <v/>
      </c>
      <c r="D895">
        <f>IF(Skills!C9=1,60+(Inputs!$B$25+1)+Inputs!$B$29,IF(Skills!C9=2,90+Inputs!$B$26+Inputs!$B$29,IF(Skills!C9=3,120+Inputs!$B$27+Inputs!$B$29,MAX(0,(Inputs!$B$3-100)*3)+Inputs!$B$28+Inputs!$B$29)))</f>
        <v/>
      </c>
      <c r="E895">
        <f>INDEX(FactorTable!$B$2:$Y$301, MATCH(ROUND(MIN(300,MAX(1,D895)),0), FactorTable!$A$2:$A$301,0), Skills!M9+1)</f>
        <v/>
      </c>
      <c r="F895">
        <f>IF(Skills!N9=TRUE,(Skills!L9/10)*(E895/1000),Skills!L9/10)+Skills!O9</f>
        <v/>
      </c>
      <c r="G895">
        <f>Skills!G9*IF(Skills!H9&gt;0,IF(Inputs!$B$39="pvp",MIN(Skills!I9,15),Skills!I9)/Skills!H9,1)</f>
        <v/>
      </c>
      <c r="H895">
        <f>1-(1-Skills!J9/100)^Skills!K9</f>
        <v/>
      </c>
      <c r="I895" t="inlineStr">
        <is>
          <t>1</t>
        </is>
      </c>
      <c r="J895">
        <f>((Inputs!$B$6*(1+Inputs!$B$7/100))+(((Inputs!$B$12*(1+Inputs!$B$13/100))-(Inputs!$B$12*(1+Inputs!$B$13/100)))+0.25*(Inputs!$B$14-Inputs!$B$14))*(1+Inputs!$B$7/100))*(F895/100)</f>
        <v/>
      </c>
      <c r="K895">
        <f>J895*(1+((Inputs!$B$12*(1+Inputs!$B$13/100))*0.01+Inputs!$B$14*0.0025)/100)*(1+Inputs!$B$15/100)*(1+Inputs!$B$16/100)*(5000/(6000+Inputs!$B$43*(1-(100*(1-(1-Inputs!$B$19/100)*(1-CHOOSE(ArtifactsInput!$N$40+1,5,6,7,8,9,10)/100)^(ArtifactsInput!$M$40-ArtifactsInput!$M$40)))/100)))*(1+(Inputs!$B$24+((C917=TRUE)*(F917-Calc!F31))+((C904=TRUE)*(F904-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+3.3333333333333335*IF(C905=TRUE,F905,0)/100)*(1+(IF(Skills!A9="CRUEL_STAB",Inputs!$B$17+((C914=TRUE)*(F914-Calc!F28))+((IF(AND(Inputs!$B$39&lt;&gt;"pvp",Inputs!$B$44=0),1,IF(IF(Inputs!$B$39="pvp",15,Inputs!$B$44)-(B931)&lt;=0,1,MAX(0,IF(Inputs!$B$39="pvp",15,Inputs!$B$44)-MAX(5,B931))/(IF(Inputs!$B$39="pvp",15,Inputs!$B$44)-(B931))))*(IF(AND(ArtifactsInput!$M$42,((Inputs!$B$9+((C912=TRUE)*(F912-Calc!F26))+B920+(ArtifactsInput!$M$24-ArtifactsInput!$M$24)*CHOOSE(ArtifactsInput!$N$24+1,10,12,14,16,18,20)+IF(ArtifactsInput!$M$10,CHOOSE(ArtifactsInput!$N$10+1,15,18,21,24,27,30)*(IF(Inputs!$B$39="pvp",MIN(15,15)/15,IF(AND(Inputs!$B$39&lt;&gt;"pvp",Inputs!$B$44&gt;0),MIN(15,Inputs!$B$44)/(Inputs!$B$44),0))),0)))&gt;=100),MIN(100,((Inputs!$B$9+((C912=TRUE)*(F912-Calc!F26))+B920+(ArtifactsInput!$M$24-ArtifactsInput!$M$24)*CHOOSE(ArtifactsInput!$N$24+1,10,12,14,16,18,20)+IF(ArtifactsInput!$M$10,CHOOSE(ArtifactsInput!$N$10+1,15,18,21,24,27,30)*(IF(Inputs!$B$39="pvp",MIN(15,15)/15,IF(AND(Inputs!$B$39&lt;&gt;"pvp",Inputs!$B$44&gt;0),MIN(15,Inputs!$B$44)/(Inputs!$B$44),0))),0)))-100),0))*CHOOSE(ArtifactsInput!$N$42+1,0.6,0.72,0.84,0.96,1.08,1.2))),Inputs!$B$18+((C915=TRUE)*(F915-Calc!F29))+(IF(AND(Inputs!$B$39&lt;&gt;"pvp",Inputs!$B$44=0),1,IF(IF(Inputs!$B$39="pvp",15,Inputs!$B$44)-(B931)&lt;=0,1,MAX(0,IF(Inputs!$B$39="pvp",15,Inputs!$B$44)-MAX(5,B931))/(IF(Inputs!$B$39="pvp",15,Inputs!$B$44)-(B931))))*IF(AND(ArtifactsInput!$M$42,((Inputs!$B$9+((C912=TRUE)*(F912-Calc!F26))+B920+(ArtifactsInput!$M$24-ArtifactsInput!$M$24)*CHOOSE(ArtifactsInput!$N$24+1,10,12,14,16,18,20)+IF(ArtifactsInput!$M$10,CHOOSE(ArtifactsInput!$N$10+1,15,18,21,24,27,30)*(IF(Inputs!$B$39="pvp",MIN(15,15)/15,IF(AND(Inputs!$B$39&lt;&gt;"pvp",Inputs!$B$44&gt;0),MIN(15,Inputs!$B$44)/(Inputs!$B$44),0))),0)))&gt;=100),CHOOSE(ArtifactsInput!$N$42+1,40,48,56,64,72,80),0))))/100)*(((1+(((C908=TRUE)*F908*IF(AND(Inputs!$B$39&lt;&gt;"pvp",Inputs!$B$44&gt;0),(((R908-1)*MIN((Skills!Y22*(1+Inputs!$B$34/100)),(1/Q908))+MIN((Skills!Y22*(1+Inputs!$B$34/100)),MAX(0,Inputs!$B$44-((R908-1)*(1/Q908)))))/Inputs!$B$44),IF(Inputs!$B$39="pvp",MIN((Skills!Y22*(1+Inputs!$B$34/100)),15)/15,MIN(1,(Skills!Y22*(1+Inputs!$B$34/100))/(1/Q908)))))+((C889=TRUE)*F889*3)+((C891=TRUE)*F891*(1-EXP(-0.75*B924*5)))+((C910=TRUE)*(F910-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897=TRUE)*F897*IF(AND(Inputs!$B$39&lt;&gt;"pvp",Inputs!$B$44&gt;0),(((R897-1)*MIN((Skills!Y11*(1+Inputs!$B$34/100)),(1/Q897))+MIN((Skills!Y11*(1+Inputs!$B$34/100)),MAX(0,Inputs!$B$44-((R897-1)*(1/Q897)))))/Inputs!$B$44),IF(Inputs!$B$39="pvp",MIN((Skills!Y11*(1+Inputs!$B$34/100)),15)/15,MIN(1,(Skills!Y11*(1+Inputs!$B$34/100))/(1/Q897)))))/100)*(1+((C902=TRUE)*F902*IF(AND(Inputs!$B$39&lt;&gt;"pvp",Inputs!$B$44&gt;0),(((R902-1)*MIN((Skills!Y16*(1+Inputs!$B$34/100)),(1/Q902))+MIN((Skills!Y16*(1+Inputs!$B$34/100)),MAX(0,Inputs!$B$44-((R902-1)*(1/Q902)))))/Inputs!$B$44),IF(Inputs!$B$39="pvp",MIN((Skills!Y16*(1+Inputs!$B$34/100)),15)/15,MIN(1,(Skills!Y16*(1+Inputs!$B$34/100))/(1/Q902)))))/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922*I895)</f>
        <v/>
      </c>
      <c r="L895">
        <f>K895*(MIN(Inputs!$B$22+((C911=TRUE)*(F911-Calc!F25)),(Inputs!$B$23+((C916=TRUE)*(F916-Calc!F30))+IF(ArtifactsInput!$M$15,CHOOSE(ArtifactsInput!$N$15+1,25,30,35,40,45,50)/100*(Inputs!$B$11-Inputs!$B$11),0)))/100+(Inputs!$B$23+((C916=TRUE)*(F916-Calc!F30))+IF(ArtifactsInput!$M$15,CHOOSE(ArtifactsInput!$N$15+1,25,30,35,40,45,50)/100*(Inputs!$B$11-Inputs!$B$11),0))/100)/2</f>
        <v/>
      </c>
      <c r="M895">
        <f>L895*(1+(Inputs!$B$10+((C913=TRUE)*(F913-Calc!F27))+B927+(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895">
        <f>L895*(1-MIN((Inputs!$B$9+((C912=TRUE)*(F912-Calc!F26))+B920+(ArtifactsInput!$M$24-ArtifactsInput!$M$24)*CHOOSE(ArtifactsInput!$N$24+1,10,12,14,16,18,20)+(IF(AND(Inputs!$B$39&lt;&gt;"pvp",Inputs!$B$44=0),1,IF(IF(Inputs!$B$39="pvp",15,Inputs!$B$44)-(B931)&lt;=0,1,MAX(0,IF(Inputs!$B$39="pvp",15,Inputs!$B$44)-MAX(5,B931))/(IF(Inputs!$B$39="pvp",15,Inputs!$B$44)-(B931))))*IF(AND(ArtifactsInput!$M$42,((Inputs!$B$9+((C912=TRUE)*(F912-Calc!F26))+B920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895*(MIN((Inputs!$B$9+((C912=TRUE)*(F912-Calc!F26))+B920+(ArtifactsInput!$M$24-ArtifactsInput!$M$24)*CHOOSE(ArtifactsInput!$N$24+1,10,12,14,16,18,20)+(IF(AND(Inputs!$B$39&lt;&gt;"pvp",Inputs!$B$44=0),1,IF(IF(Inputs!$B$39="pvp",15,Inputs!$B$44)-(B931)&lt;=0,1,MAX(0,IF(Inputs!$B$39="pvp",15,Inputs!$B$44)-MAX(5,B931))/(IF(Inputs!$B$39="pvp",15,Inputs!$B$44)-(B931))))*IF(AND(ArtifactsInput!$M$42,((Inputs!$B$9+((C912=TRUE)*(F912-Calc!F26))+B920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895">
        <f>(1-Summary!$B$11)*T895+Summary!$B$11*V895</f>
        <v/>
      </c>
      <c r="P895">
        <f>IF(B932=0,0,O895/B932)</f>
        <v/>
      </c>
      <c r="Q895">
        <f>IFERROR(1/IF(Inputs!$B$39="pvp",15,MAX(0.1,Skills!D9-IF(FALSE=TRUE,Inputs!$B$32,0))),0)</f>
        <v/>
      </c>
      <c r="R895">
        <f>IF(AND(Inputs!$B$39&lt;&gt;"pvp",Inputs!$B$44&gt;0),IF(MAX(0,Inputs!$B$44-B931)&lt;=0,0,(INT(MAX(0,Inputs!$B$44-B931)/IF(Inputs!$B$39="pvp",15,MAX(0.1,Skills!D9-IF(FALSE=TRUE,Inputs!$B$32,0))))+1)),0)</f>
        <v/>
      </c>
      <c r="S895">
        <f>IFERROR(O895/N895,0)</f>
        <v/>
      </c>
      <c r="T895">
        <f>IF(C895,(H895*N895*IF(AND(Inputs!$B$39&lt;&gt;"pvp",Inputs!$B$44&gt;0),((Skills!G9*((R895-1)*IF(Skills!H9&gt;0,Skills!I9/Skills!H9,1)+IF(Skills!H9&gt;0,MIN(Skills!I9,MAX(0,MAX(0,Inputs!$B$44-B931)-((R895-1)*IF(Inputs!$B$39="pvp",15,MAX(0.1,Skills!D9-IF(FALSE=TRUE,Inputs!$B$32,0))))))/Skills!H9,1)))/Inputs!$B$44),G895*Q895))*IF(Inputs!$B$39="pvp",1,1+(Inputs!$B$20+0+Skills!P9+B921+(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Hunt"),CHOOSE(ArtifactsInput!$N$35+1,15,18,21,24,27,30)*(1-EXP(-(0.2*B924)*5)),0)+IF(AND(ArtifactsInput!$M$22,Inputs!$B$4&lt;&gt;"Chapter Hunt"),CHOOSE(ArtifactsInput!$N$22+1,10,12,14,16,18,20)*((0*(((0.15*B924*5))^0/1)+1*(((0.15*B924*5))^1/1)+2*(((0.15*B924*5))^2/2)+3*(((0.15*B924*5))^3/6)+4*(((0.15*B924*5))^4/24)+5*(((0.15*B924*5))^5/120))/((((0.15*B924*5))^0/1)+(((0.15*B924*5))^1/1)+(((0.15*B924*5))^2/2)+(((0.15*B924*5))^3/6)+(((0.15*B924*5))^4/24)+(((0.15*B924*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895*(1-MIN(100,(Inputs!$B$9+((C912=TRUE)*(F912-Calc!F26))+B920+(ArtifactsInput!$M$24-ArtifactsInput!$M$24)*CHOOSE(ArtifactsInput!$N$24+1,10,12,14,16,18,20)+(IF(AND(Inputs!$B$39&lt;&gt;"pvp",Inputs!$B$44=0),1,IF(IF(Inputs!$B$39="pvp",15,Inputs!$B$44)-(B931)&lt;=0,1,MAX(0,IF(Inputs!$B$39="pvp",15,Inputs!$B$44)-MAX(5,B931))/(IF(Inputs!$B$39="pvp",15,Inputs!$B$44)-(B931))))*IF(AND(ArtifactsInput!$M$42,((Inputs!$B$9+((C912=TRUE)*(F912-Calc!F26))+B920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895*(MIN(100,(Inputs!$B$9+((C912=TRUE)*(F912-Calc!F26))+B920+(ArtifactsInput!$M$24-ArtifactsInput!$M$24)*CHOOSE(ArtifactsInput!$N$24+1,10,12,14,16,18,20)+(IF(AND(Inputs!$B$39&lt;&gt;"pvp",Inputs!$B$44=0),1,IF(IF(Inputs!$B$39="pvp",15,Inputs!$B$44)-(B931)&lt;=0,1,MAX(0,IF(Inputs!$B$39="pvp",15,Inputs!$B$44)-MAX(5,B931))/(IF(Inputs!$B$39="pvp",15,Inputs!$B$44)-(B931))))*IF(AND(ArtifactsInput!$M$42,((Inputs!$B$9+((C912=TRUE)*(F912-Calc!F26))+B920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895*(1-MIN(100,(Inputs!$B$9+((C912=TRUE)*(F912-Calc!F26))+B920+(ArtifactsInput!$M$24-ArtifactsInput!$M$24)*CHOOSE(ArtifactsInput!$N$24+1,10,12,14,16,18,20)+(IF(AND(Inputs!$B$39&lt;&gt;"pvp",Inputs!$B$44=0),1,IF(IF(Inputs!$B$39="pvp",15,Inputs!$B$44)-(B931)&lt;=0,1,MAX(0,IF(Inputs!$B$39="pvp",15,Inputs!$B$44)-MAX(5,B931))/(IF(Inputs!$B$39="pvp",15,Inputs!$B$44)-(B931))))*IF(AND(ArtifactsInput!$M$42,((Inputs!$B$9+((C912=TRUE)*(F912-Calc!F26))+B920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895*(MIN(100,(Inputs!$B$9+((C912=TRUE)*(F912-Calc!F26))+B920+(ArtifactsInput!$M$24-ArtifactsInput!$M$24)*CHOOSE(ArtifactsInput!$N$24+1,10,12,14,16,18,20)+(IF(AND(Inputs!$B$39&lt;&gt;"pvp",Inputs!$B$44=0),1,IF(IF(Inputs!$B$39="pvp",15,Inputs!$B$44)-(B931)&lt;=0,1,MAX(0,IF(Inputs!$B$39="pvp",15,Inputs!$B$44)-MAX(5,B931))/(IF(Inputs!$B$39="pvp",15,Inputs!$B$44)-(B931))))*IF(AND(ArtifactsInput!$M$42,((Inputs!$B$9+((C912=TRUE)*(F912-Calc!F26))+B920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895">
        <f>IF(C895,(H895*N895*IF(AND(Inputs!$B$39&lt;&gt;"pvp",Inputs!$B$44&gt;0),((Skills!G9*((R895-1)*IF(Skills!H9&gt;0,Skills!I9/Skills!H9,1)+IF(Skills!H9&gt;0,MIN(Skills!I9,MAX(0,MAX(0,Inputs!$B$44-B931)-((R895-1)*IF(Inputs!$B$39="pvp",15,MAX(0.1,Skills!D9-IF(FALSE=TRUE,Inputs!$B$32,0))))))/Skills!H9,1)))/Inputs!$B$44),G895*Q895))*IF(Inputs!$B$39="pvp",1,(1+(Inputs!$B$21+Skills!Q9+B921+(IF(ArtifactsInput!$M$33,CHOOSE(ArtifactsInput!$N$33+1,30,36,42,48,54,60),0))+(IF(AND(ArtifactsInput!$M$35,Inputs!$B$4&lt;&gt;"Chapter Hunt"),CHOOSE(ArtifactsInput!$N$35+1,15,18,21,24,27,30)*(1-EXP(-(0.2*B924)*5)),0)+IF(AND(ArtifactsInput!$M$22,Inputs!$B$4&lt;&gt;"Chapter Hunt"),CHOOSE(ArtifactsInput!$N$22+1,10,12,14,16,18,20)*((0*(((0.15*B924*5))^0/1)+1*(((0.15*B924*5))^1/1)+2*(((0.15*B924*5))^2/2)+3*(((0.15*B924*5))^3/6)+4*(((0.15*B924*5))^4/24)+5*(((0.15*B924*5))^5/120))/((((0.15*B924*5))^0/1)+(((0.15*B924*5))^1/1)+(((0.15*B924*5))^2/2)+(((0.15*B924*5))^3/6)+(((0.15*B924*5))^4/24)+(((0.15*B924*5))^5/120))),0)))/100)*(MIN(Skills!W9,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896">
      <c r="A896">
        <f>Skills!A10</f>
        <v/>
      </c>
      <c r="B896">
        <f>Skills!B10</f>
        <v/>
      </c>
      <c r="C896">
        <f>Inputs!$B$3&gt;=117</f>
        <v/>
      </c>
      <c r="D896">
        <f>IF(Skills!C10=1,60+(Inputs!$B$25+1)+Inputs!$B$29,IF(Skills!C10=2,90+Inputs!$B$26+Inputs!$B$29,IF(Skills!C10=3,120+Inputs!$B$27+Inputs!$B$29,MAX(0,(Inputs!$B$3-100)*3)+Inputs!$B$28+Inputs!$B$29)))</f>
        <v/>
      </c>
      <c r="E896">
        <f>INDEX(FactorTable!$B$2:$Y$301, MATCH(ROUND(MIN(300,MAX(1,D896)),0), FactorTable!$A$2:$A$301,0), Skills!M10+1)</f>
        <v/>
      </c>
      <c r="F896">
        <f>IF(Skills!N10=TRUE,(Skills!L10/10)*(E896/1000),Skills!L10/10)+Skills!O10</f>
        <v/>
      </c>
      <c r="G896">
        <f>Skills!G10*IF(Skills!H10&gt;0,IF(Inputs!$B$39="pvp",MIN(Skills!I10,15),Skills!I10)/Skills!H10,1)</f>
        <v/>
      </c>
      <c r="H896">
        <f>1-(1-Skills!J10/100)^Skills!K10</f>
        <v/>
      </c>
      <c r="I896" t="inlineStr">
        <is>
          <t>1</t>
        </is>
      </c>
      <c r="J896">
        <f>((Inputs!$B$6*(1+Inputs!$B$7/100))+(((Inputs!$B$12*(1+Inputs!$B$13/100))-(Inputs!$B$12*(1+Inputs!$B$13/100)))+0.25*(Inputs!$B$14-Inputs!$B$14))*(1+Inputs!$B$7/100))*(F896/100)</f>
        <v/>
      </c>
      <c r="K896">
        <f>J896*(1+((Inputs!$B$12*(1+Inputs!$B$13/100))*0.01+Inputs!$B$14*0.0025)/100)*(1+Inputs!$B$15/100)*(1+Inputs!$B$16/100)*(5000/(6000+Inputs!$B$43*(1-(100*(1-(1-Inputs!$B$19/100)*(1-CHOOSE(ArtifactsInput!$N$40+1,5,6,7,8,9,10)/100)^(ArtifactsInput!$M$40-ArtifactsInput!$M$40)))/100)))*(1+(Inputs!$B$24+((C917=TRUE)*(F917-Calc!F31))+((C904=TRUE)*(F904-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10="CRUEL_STAB",Inputs!$B$17+((C914=TRUE)*(F914-Calc!F28))+((IF(AND(Inputs!$B$39&lt;&gt;"pvp",Inputs!$B$44=0),1,IF(IF(Inputs!$B$39="pvp",15,Inputs!$B$44)-(B931)&lt;=0,1,MAX(0,IF(Inputs!$B$39="pvp",15,Inputs!$B$44)-MAX(5,B931))/(IF(Inputs!$B$39="pvp",15,Inputs!$B$44)-(B931))))*(IF(AND(ArtifactsInput!$M$42,((Inputs!$B$9+((C912=TRUE)*(F912-Calc!F26))+B920+(ArtifactsInput!$M$24-ArtifactsInput!$M$24)*CHOOSE(ArtifactsInput!$N$24+1,10,12,14,16,18,20)+IF(ArtifactsInput!$M$10,CHOOSE(ArtifactsInput!$N$10+1,15,18,21,24,27,30)*(IF(Inputs!$B$39="pvp",MIN(15,15)/15,IF(AND(Inputs!$B$39&lt;&gt;"pvp",Inputs!$B$44&gt;0),MIN(15,Inputs!$B$44)/(Inputs!$B$44),0))),0)))&gt;=100),MIN(100,((Inputs!$B$9+((C912=TRUE)*(F912-Calc!F26))+B920+(ArtifactsInput!$M$24-ArtifactsInput!$M$24)*CHOOSE(ArtifactsInput!$N$24+1,10,12,14,16,18,20)+IF(ArtifactsInput!$M$10,CHOOSE(ArtifactsInput!$N$10+1,15,18,21,24,27,30)*(IF(Inputs!$B$39="pvp",MIN(15,15)/15,IF(AND(Inputs!$B$39&lt;&gt;"pvp",Inputs!$B$44&gt;0),MIN(15,Inputs!$B$44)/(Inputs!$B$44),0))),0)))-100),0))*CHOOSE(ArtifactsInput!$N$42+1,0.6,0.72,0.84,0.96,1.08,1.2))),Inputs!$B$18+((C915=TRUE)*(F915-Calc!F29))+(IF(AND(Inputs!$B$39&lt;&gt;"pvp",Inputs!$B$44=0),1,IF(IF(Inputs!$B$39="pvp",15,Inputs!$B$44)-(B931)&lt;=0,1,MAX(0,IF(Inputs!$B$39="pvp",15,Inputs!$B$44)-MAX(5,B931))/(IF(Inputs!$B$39="pvp",15,Inputs!$B$44)-(B931))))*IF(AND(ArtifactsInput!$M$42,((Inputs!$B$9+((C912=TRUE)*(F912-Calc!F26))+B920+(ArtifactsInput!$M$24-ArtifactsInput!$M$24)*CHOOSE(ArtifactsInput!$N$24+1,10,12,14,16,18,20)+IF(ArtifactsInput!$M$10,CHOOSE(ArtifactsInput!$N$10+1,15,18,21,24,27,30)*(IF(Inputs!$B$39="pvp",MIN(15,15)/15,IF(AND(Inputs!$B$39&lt;&gt;"pvp",Inputs!$B$44&gt;0),MIN(15,Inputs!$B$44)/(Inputs!$B$44),0))),0)))&gt;=100),CHOOSE(ArtifactsInput!$N$42+1,40,48,56,64,72,80),0))))/100)*(((1+(((C908=TRUE)*F908*IF(AND(Inputs!$B$39&lt;&gt;"pvp",Inputs!$B$44&gt;0),(((R908-1)*MIN((Skills!Y22*(1+Inputs!$B$34/100)),(1/Q908))+MIN((Skills!Y22*(1+Inputs!$B$34/100)),MAX(0,Inputs!$B$44-((R908-1)*(1/Q908)))))/Inputs!$B$44),IF(Inputs!$B$39="pvp",MIN((Skills!Y22*(1+Inputs!$B$34/100)),15)/15,MIN(1,(Skills!Y22*(1+Inputs!$B$34/100))/(1/Q908)))))+((C889=TRUE)*F889*3)+((C891=TRUE)*F891*(1-EXP(-0.75*B924*5)))+((C910=TRUE)*(F910-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897=TRUE)*F897*IF(AND(Inputs!$B$39&lt;&gt;"pvp",Inputs!$B$44&gt;0),(((R897-1)*MIN((Skills!Y11*(1+Inputs!$B$34/100)),(1/Q897))+MIN((Skills!Y11*(1+Inputs!$B$34/100)),MAX(0,Inputs!$B$44-((R897-1)*(1/Q897)))))/Inputs!$B$44),IF(Inputs!$B$39="pvp",MIN((Skills!Y11*(1+Inputs!$B$34/100)),15)/15,MIN(1,(Skills!Y11*(1+Inputs!$B$34/100))/(1/Q897)))))/100)*(1+((C902=TRUE)*F902*IF(AND(Inputs!$B$39&lt;&gt;"pvp",Inputs!$B$44&gt;0),(((R902-1)*MIN((Skills!Y16*(1+Inputs!$B$34/100)),(1/Q902))+MIN((Skills!Y16*(1+Inputs!$B$34/100)),MAX(0,Inputs!$B$44-((R902-1)*(1/Q902)))))/Inputs!$B$44),IF(Inputs!$B$39="pvp",MIN((Skills!Y16*(1+Inputs!$B$34/100)),15)/15,MIN(1,(Skills!Y16*(1+Inputs!$B$34/100))/(1/Q902)))))/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922*I896)</f>
        <v/>
      </c>
      <c r="L896">
        <f>K896*(MIN(Inputs!$B$22+((C911=TRUE)*(F911-Calc!F25)),(Inputs!$B$23+((C916=TRUE)*(F916-Calc!F30))+IF(ArtifactsInput!$M$15,CHOOSE(ArtifactsInput!$N$15+1,25,30,35,40,45,50)/100*(Inputs!$B$11-Inputs!$B$11),0)))/100+(Inputs!$B$23+((C916=TRUE)*(F916-Calc!F30))+IF(ArtifactsInput!$M$15,CHOOSE(ArtifactsInput!$N$15+1,25,30,35,40,45,50)/100*(Inputs!$B$11-Inputs!$B$11),0))/100)/2</f>
        <v/>
      </c>
      <c r="M896">
        <f>L896*(1+(Inputs!$B$10+((C913=TRUE)*(F913-Calc!F27))+B927+(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896">
        <f>L896*(1-MIN((Inputs!$B$9+((C912=TRUE)*(F912-Calc!F26))+B920+(ArtifactsInput!$M$24-ArtifactsInput!$M$24)*CHOOSE(ArtifactsInput!$N$24+1,10,12,14,16,18,20)+(IF(AND(Inputs!$B$39&lt;&gt;"pvp",Inputs!$B$44=0),1,IF(IF(Inputs!$B$39="pvp",15,Inputs!$B$44)-(B931)&lt;=0,1,MAX(0,IF(Inputs!$B$39="pvp",15,Inputs!$B$44)-MAX(5,B931))/(IF(Inputs!$B$39="pvp",15,Inputs!$B$44)-(B931))))*IF(AND(ArtifactsInput!$M$42,((Inputs!$B$9+((C912=TRUE)*(F912-Calc!F26))+B920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896*(MIN((Inputs!$B$9+((C912=TRUE)*(F912-Calc!F26))+B920+(ArtifactsInput!$M$24-ArtifactsInput!$M$24)*CHOOSE(ArtifactsInput!$N$24+1,10,12,14,16,18,20)+(IF(AND(Inputs!$B$39&lt;&gt;"pvp",Inputs!$B$44=0),1,IF(IF(Inputs!$B$39="pvp",15,Inputs!$B$44)-(B931)&lt;=0,1,MAX(0,IF(Inputs!$B$39="pvp",15,Inputs!$B$44)-MAX(5,B931))/(IF(Inputs!$B$39="pvp",15,Inputs!$B$44)-(B931))))*IF(AND(ArtifactsInput!$M$42,((Inputs!$B$9+((C912=TRUE)*(F912-Calc!F26))+B920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896">
        <f>(1-Summary!$B$11)*T896+Summary!$B$11*V896</f>
        <v/>
      </c>
      <c r="P896">
        <f>IF(B932=0,0,O896/B932)</f>
        <v/>
      </c>
      <c r="Q896" t="n">
        <v>0</v>
      </c>
      <c r="R896" t="n">
        <v>0</v>
      </c>
      <c r="S896" t="n">
        <v>0</v>
      </c>
      <c r="T896">
        <f>IF(C896,(0.2*SUMPRODUCT((Skills!Z2:Z31=TRUE)*(C888:C917=TRUE)*S888:S917)*N896)*IF(Inputs!$B$39="pvp",1,1+(Inputs!$B$20+0+Skills!P10+B921+(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Hunt"),CHOOSE(ArtifactsInput!$N$35+1,15,18,21,24,27,30)*(1-EXP(-(0.2*B924)*5)),0)+IF(AND(ArtifactsInput!$M$22,Inputs!$B$4&lt;&gt;"Chapter Hunt"),CHOOSE(ArtifactsInput!$N$22+1,10,12,14,16,18,20)*((0*(((0.15*B924*5))^0/1)+1*(((0.15*B924*5))^1/1)+2*(((0.15*B924*5))^2/2)+3*(((0.15*B924*5))^3/6)+4*(((0.15*B924*5))^4/24)+5*(((0.15*B924*5))^5/120))/((((0.15*B924*5))^0/1)+(((0.15*B924*5))^1/1)+(((0.15*B924*5))^2/2)+(((0.15*B924*5))^3/6)+(((0.15*B924*5))^4/24)+(((0.15*B924*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896*(1-MIN(100,(Inputs!$B$9+((C912=TRUE)*(F912-Calc!F26))+B920+(ArtifactsInput!$M$24-ArtifactsInput!$M$24)*CHOOSE(ArtifactsInput!$N$24+1,10,12,14,16,18,20)+(IF(AND(Inputs!$B$39&lt;&gt;"pvp",Inputs!$B$44=0),1,IF(IF(Inputs!$B$39="pvp",15,Inputs!$B$44)-(B931)&lt;=0,1,MAX(0,IF(Inputs!$B$39="pvp",15,Inputs!$B$44)-MAX(5,B931))/(IF(Inputs!$B$39="pvp",15,Inputs!$B$44)-(B931))))*IF(AND(ArtifactsInput!$M$42,((Inputs!$B$9+((C912=TRUE)*(F912-Calc!F26))+B920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896*(MIN(100,(Inputs!$B$9+((C912=TRUE)*(F912-Calc!F26))+B920+(ArtifactsInput!$M$24-ArtifactsInput!$M$24)*CHOOSE(ArtifactsInput!$N$24+1,10,12,14,16,18,20)+(IF(AND(Inputs!$B$39&lt;&gt;"pvp",Inputs!$B$44=0),1,IF(IF(Inputs!$B$39="pvp",15,Inputs!$B$44)-(B931)&lt;=0,1,MAX(0,IF(Inputs!$B$39="pvp",15,Inputs!$B$44)-MAX(5,B931))/(IF(Inputs!$B$39="pvp",15,Inputs!$B$44)-(B931))))*IF(AND(ArtifactsInput!$M$42,((Inputs!$B$9+((C912=TRUE)*(F912-Calc!F26))+B920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896*(1-MIN(100,(Inputs!$B$9+((C912=TRUE)*(F912-Calc!F26))+B920+(ArtifactsInput!$M$24-ArtifactsInput!$M$24)*CHOOSE(ArtifactsInput!$N$24+1,10,12,14,16,18,20)+(IF(AND(Inputs!$B$39&lt;&gt;"pvp",Inputs!$B$44=0),1,IF(IF(Inputs!$B$39="pvp",15,Inputs!$B$44)-(B931)&lt;=0,1,MAX(0,IF(Inputs!$B$39="pvp",15,Inputs!$B$44)-MAX(5,B931))/(IF(Inputs!$B$39="pvp",15,Inputs!$B$44)-(B931))))*IF(AND(ArtifactsInput!$M$42,((Inputs!$B$9+((C912=TRUE)*(F912-Calc!F26))+B920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896*(MIN(100,(Inputs!$B$9+((C912=TRUE)*(F912-Calc!F26))+B920+(ArtifactsInput!$M$24-ArtifactsInput!$M$24)*CHOOSE(ArtifactsInput!$N$24+1,10,12,14,16,18,20)+(IF(AND(Inputs!$B$39&lt;&gt;"pvp",Inputs!$B$44=0),1,IF(IF(Inputs!$B$39="pvp",15,Inputs!$B$44)-(B931)&lt;=0,1,MAX(0,IF(Inputs!$B$39="pvp",15,Inputs!$B$44)-MAX(5,B931))/(IF(Inputs!$B$39="pvp",15,Inputs!$B$44)-(B931))))*IF(AND(ArtifactsInput!$M$42,((Inputs!$B$9+((C912=TRUE)*(F912-Calc!F26))+B920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896">
        <f>IF(C896,(0.2*SUMPRODUCT((Skills!Z2:Z31=TRUE)*(C888:C917=TRUE)*S888:S917)*N896)*IF(Inputs!$B$39="pvp",1,(1+(Inputs!$B$21+Skills!Q10+B921+(IF(ArtifactsInput!$M$33,CHOOSE(ArtifactsInput!$N$33+1,30,36,42,48,54,60),0))+(IF(AND(ArtifactsInput!$M$35,Inputs!$B$4&lt;&gt;"Chapter Hunt"),CHOOSE(ArtifactsInput!$N$35+1,15,18,21,24,27,30)*(1-EXP(-(0.2*B924)*5)),0)+IF(AND(ArtifactsInput!$M$22,Inputs!$B$4&lt;&gt;"Chapter Hunt"),CHOOSE(ArtifactsInput!$N$22+1,10,12,14,16,18,20)*((0*(((0.15*B924*5))^0/1)+1*(((0.15*B924*5))^1/1)+2*(((0.15*B924*5))^2/2)+3*(((0.15*B924*5))^3/6)+4*(((0.15*B924*5))^4/24)+5*(((0.15*B924*5))^5/120))/((((0.15*B924*5))^0/1)+(((0.15*B924*5))^1/1)+(((0.15*B924*5))^2/2)+(((0.15*B924*5))^3/6)+(((0.15*B924*5))^4/24)+(((0.15*B924*5))^5/120))),0)))/100)*(MIN(Skills!W10,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897">
      <c r="A897">
        <f>Skills!A11</f>
        <v/>
      </c>
      <c r="B897">
        <f>Skills!B11</f>
        <v/>
      </c>
      <c r="C897">
        <f>Inputs!$B$3&gt;=74</f>
        <v/>
      </c>
      <c r="D897">
        <f>IF(Skills!C11=1,60+(Inputs!$B$25+1)+Inputs!$B$29,IF(Skills!C11=2,90+Inputs!$B$26+Inputs!$B$29,IF(Skills!C11=3,120+Inputs!$B$27+Inputs!$B$29,MAX(0,(Inputs!$B$3-100)*3)+Inputs!$B$28+Inputs!$B$29)))</f>
        <v/>
      </c>
      <c r="E897">
        <f>INDEX(FactorTable!$B$2:$Y$301, MATCH(ROUND(MIN(300,MAX(1,D897)),0), FactorTable!$A$2:$A$301,0), Skills!M11+1)</f>
        <v/>
      </c>
      <c r="F897">
        <f>IF(Skills!N11=TRUE,(Skills!L11/10)*(E897/1000),Skills!L11/10)+Skills!O11</f>
        <v/>
      </c>
      <c r="G897">
        <f>Skills!G11*IF(Skills!H11&gt;0,IF(Inputs!$B$39="pvp",MIN(Skills!I11,15),Skills!I11)/Skills!H11,1)</f>
        <v/>
      </c>
      <c r="H897">
        <f>1-(1-Skills!J11/100)^Skills!K11</f>
        <v/>
      </c>
      <c r="I897" t="inlineStr">
        <is>
          <t>1</t>
        </is>
      </c>
      <c r="J897" t="inlineStr"/>
      <c r="K897" t="inlineStr"/>
      <c r="L897" t="inlineStr"/>
      <c r="M897" t="inlineStr"/>
      <c r="N897" t="inlineStr"/>
      <c r="O897">
        <f>(1-Summary!$B$11)*T897+Summary!$B$11*V897</f>
        <v/>
      </c>
      <c r="P897">
        <f>IF(B932=0,0,O897/B932)</f>
        <v/>
      </c>
      <c r="Q897">
        <f>IFERROR(1/IF(Inputs!$B$39="pvp",15,MAX(0.1,Skills!D11-IF(TRUE=TRUE,Inputs!$B$32,0))),0)</f>
        <v/>
      </c>
      <c r="R897">
        <f>IF(AND(Inputs!$B$39&lt;&gt;"pvp",Inputs!$B$44&gt;0),IF(Inputs!$B$44&lt;=0,0,(INT(Inputs!$B$44/IF(Inputs!$B$39="pvp",15,MAX(0.1,Skills!D11-IF(TRUE=TRUE,Inputs!$B$32,0))))+1)),0)</f>
        <v/>
      </c>
      <c r="S897">
        <f>IFERROR(O897/N897,0)</f>
        <v/>
      </c>
      <c r="T897" t="n">
        <v>0</v>
      </c>
      <c r="V897" t="n">
        <v>0</v>
      </c>
    </row>
    <row r="898">
      <c r="A898">
        <f>Skills!A12</f>
        <v/>
      </c>
      <c r="B898">
        <f>Skills!B12</f>
        <v/>
      </c>
      <c r="C898">
        <f>Inputs!$B$3&gt;=103</f>
        <v/>
      </c>
      <c r="D898">
        <f>IF(Skills!C12=1,60+(Inputs!$B$25+1)+Inputs!$B$29,IF(Skills!C12=2,90+Inputs!$B$26+Inputs!$B$29,IF(Skills!C12=3,120+Inputs!$B$27+Inputs!$B$29,MAX(0,(Inputs!$B$3-100)*3)+Inputs!$B$28+Inputs!$B$29)))</f>
        <v/>
      </c>
      <c r="E898">
        <f>INDEX(FactorTable!$B$2:$Y$301, MATCH(ROUND(MIN(300,MAX(1,D898)),0), FactorTable!$A$2:$A$301,0), Skills!M12+1)</f>
        <v/>
      </c>
      <c r="F898">
        <f>(Skills!L12/10)*(E898/1000)+IF(Inputs!$B$3&gt;=134,50,0)+0.5*(30000/10)*(INDEX(FactorTable!$B$2:$Y$301, MATCH(ROUND(MIN(300,MAX(1,D898)),0), FactorTable!$A$2:$A$301,0), 13)/1000)*B930</f>
        <v/>
      </c>
      <c r="G898">
        <f>Skills!G12*IF(Skills!H12&gt;0,IF(Inputs!$B$39="pvp",MIN(Skills!I12,15),Skills!I12)/Skills!H12,1)</f>
        <v/>
      </c>
      <c r="H898">
        <f>1-(1-Skills!J12/100)^Skills!K12</f>
        <v/>
      </c>
      <c r="I898" t="inlineStr">
        <is>
          <t>1</t>
        </is>
      </c>
      <c r="J898">
        <f>((Inputs!$B$6*(1+Inputs!$B$7/100))+(((Inputs!$B$12*(1+Inputs!$B$13/100))-(Inputs!$B$12*(1+Inputs!$B$13/100)))+0.25*(Inputs!$B$14-Inputs!$B$14))*(1+Inputs!$B$7/100))*(F898/100)</f>
        <v/>
      </c>
      <c r="K898">
        <f>J898*(1+((Inputs!$B$12*(1+Inputs!$B$13/100))*0.01+Inputs!$B$14*0.0025)/100)*(1+Inputs!$B$15/100)*(1+Inputs!$B$16/100)*(5000/(6000+Inputs!$B$43*(1-(100*(1-(1-Inputs!$B$19/100)*(1-CHOOSE(ArtifactsInput!$N$40+1,5,6,7,8,9,10)/100)^(ArtifactsInput!$M$40-ArtifactsInput!$M$40)))/100)))*(1+(Inputs!$B$24+((C917=TRUE)*(F917-Calc!F31))+((C904=TRUE)*(F904-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12="CRUEL_STAB",Inputs!$B$17+((C914=TRUE)*(F914-Calc!F28))+((IF(AND(Inputs!$B$39&lt;&gt;"pvp",Inputs!$B$44=0),1,IF(IF(Inputs!$B$39="pvp",15,Inputs!$B$44)-(B931)&lt;=0,1,MAX(0,IF(Inputs!$B$39="pvp",15,Inputs!$B$44)-MAX(5,B931))/(IF(Inputs!$B$39="pvp",15,Inputs!$B$44)-(B931))))*(IF(AND(ArtifactsInput!$M$42,((Inputs!$B$9+((C912=TRUE)*(F912-Calc!F26))+B920+(ArtifactsInput!$M$24-ArtifactsInput!$M$24)*CHOOSE(ArtifactsInput!$N$24+1,10,12,14,16,18,20)+IF(ArtifactsInput!$M$10,CHOOSE(ArtifactsInput!$N$10+1,15,18,21,24,27,30)*(IF(Inputs!$B$39="pvp",MIN(15,15)/15,IF(AND(Inputs!$B$39&lt;&gt;"pvp",Inputs!$B$44&gt;0),MIN(15,Inputs!$B$44)/(Inputs!$B$44),0))),0)))&gt;=100),MIN(100,((Inputs!$B$9+((C912=TRUE)*(F912-Calc!F26))+B920+(ArtifactsInput!$M$24-ArtifactsInput!$M$24)*CHOOSE(ArtifactsInput!$N$24+1,10,12,14,16,18,20)+IF(ArtifactsInput!$M$10,CHOOSE(ArtifactsInput!$N$10+1,15,18,21,24,27,30)*(IF(Inputs!$B$39="pvp",MIN(15,15)/15,IF(AND(Inputs!$B$39&lt;&gt;"pvp",Inputs!$B$44&gt;0),MIN(15,Inputs!$B$44)/(Inputs!$B$44),0))),0)))-100),0))*CHOOSE(ArtifactsInput!$N$42+1,0.6,0.72,0.84,0.96,1.08,1.2))),Inputs!$B$18+((C915=TRUE)*(F915-Calc!F29))+(IF(AND(Inputs!$B$39&lt;&gt;"pvp",Inputs!$B$44=0),1,IF(IF(Inputs!$B$39="pvp",15,Inputs!$B$44)-(B931)&lt;=0,1,MAX(0,IF(Inputs!$B$39="pvp",15,Inputs!$B$44)-MAX(5,B931))/(IF(Inputs!$B$39="pvp",15,Inputs!$B$44)-(B931))))*IF(AND(ArtifactsInput!$M$42,((Inputs!$B$9+((C912=TRUE)*(F912-Calc!F26))+B920+(ArtifactsInput!$M$24-ArtifactsInput!$M$24)*CHOOSE(ArtifactsInput!$N$24+1,10,12,14,16,18,20)+IF(ArtifactsInput!$M$10,CHOOSE(ArtifactsInput!$N$10+1,15,18,21,24,27,30)*(IF(Inputs!$B$39="pvp",MIN(15,15)/15,IF(AND(Inputs!$B$39&lt;&gt;"pvp",Inputs!$B$44&gt;0),MIN(15,Inputs!$B$44)/(Inputs!$B$44),0))),0)))&gt;=100),CHOOSE(ArtifactsInput!$N$42+1,40,48,56,64,72,80),0))))/100)*(((1+(((C908=TRUE)*F908*IF(AND(Inputs!$B$39&lt;&gt;"pvp",Inputs!$B$44&gt;0),(((R908-1)*MIN((Skills!Y22*(1+Inputs!$B$34/100)),(1/Q908))+MIN((Skills!Y22*(1+Inputs!$B$34/100)),MAX(0,Inputs!$B$44-((R908-1)*(1/Q908)))))/Inputs!$B$44),IF(Inputs!$B$39="pvp",MIN((Skills!Y22*(1+Inputs!$B$34/100)),15)/15,MIN(1,(Skills!Y22*(1+Inputs!$B$34/100))/(1/Q908)))))+((C889=TRUE)*F889*3)+((C891=TRUE)*F891*(1-EXP(-0.75*B924*5)))+((C910=TRUE)*(F910-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897=TRUE)*F897*IF(AND(Inputs!$B$39&lt;&gt;"pvp",Inputs!$B$44&gt;0),(((R897-1)*MIN((Skills!Y11*(1+Inputs!$B$34/100)),(1/Q897))+MIN((Skills!Y11*(1+Inputs!$B$34/100)),MAX(0,Inputs!$B$44-((R897-1)*(1/Q897)))))/Inputs!$B$44),IF(Inputs!$B$39="pvp",MIN((Skills!Y11*(1+Inputs!$B$34/100)),15)/15,MIN(1,(Skills!Y11*(1+Inputs!$B$34/100))/(1/Q897)))))/100)*(1+((C902=TRUE)*F902*IF(AND(Inputs!$B$39&lt;&gt;"pvp",Inputs!$B$44&gt;0),(((R902-1)*MIN((Skills!Y16*(1+Inputs!$B$34/100)),(1/Q902))+MIN((Skills!Y16*(1+Inputs!$B$34/100)),MAX(0,Inputs!$B$44-((R902-1)*(1/Q902)))))/Inputs!$B$44),IF(Inputs!$B$39="pvp",MIN((Skills!Y16*(1+Inputs!$B$34/100)),15)/15,MIN(1,(Skills!Y16*(1+Inputs!$B$34/100))/(1/Q902)))))/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922*I898)</f>
        <v/>
      </c>
      <c r="L898">
        <f>K898*(MIN(Inputs!$B$22+((C911=TRUE)*(F911-Calc!F25)),(Inputs!$B$23+((C916=TRUE)*(F916-Calc!F30))+IF(ArtifactsInput!$M$15,CHOOSE(ArtifactsInput!$N$15+1,25,30,35,40,45,50)/100*(Inputs!$B$11-Inputs!$B$11),0)))/100+(Inputs!$B$23+((C916=TRUE)*(F916-Calc!F30))+IF(ArtifactsInput!$M$15,CHOOSE(ArtifactsInput!$N$15+1,25,30,35,40,45,50)/100*(Inputs!$B$11-Inputs!$B$11),0))/100)/2</f>
        <v/>
      </c>
      <c r="M898">
        <f>L898*(1+(Inputs!$B$10+((C913=TRUE)*(F913-Calc!F27))+B927+(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898">
        <f>L898*(1-MIN((Inputs!$B$9+((C912=TRUE)*(F912-Calc!F26))+B920+(ArtifactsInput!$M$24-ArtifactsInput!$M$24)*CHOOSE(ArtifactsInput!$N$24+1,10,12,14,16,18,20)+(IF(AND(Inputs!$B$39&lt;&gt;"pvp",Inputs!$B$44=0),1,IF(IF(Inputs!$B$39="pvp",15,Inputs!$B$44)-(B931)&lt;=0,1,MAX(0,IF(Inputs!$B$39="pvp",15,Inputs!$B$44)-MAX(5,B931))/(IF(Inputs!$B$39="pvp",15,Inputs!$B$44)-(B931))))*IF(AND(ArtifactsInput!$M$42,((Inputs!$B$9+((C912=TRUE)*(F912-Calc!F26))+B920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898*(MIN((Inputs!$B$9+((C912=TRUE)*(F912-Calc!F26))+B920+(ArtifactsInput!$M$24-ArtifactsInput!$M$24)*CHOOSE(ArtifactsInput!$N$24+1,10,12,14,16,18,20)+(IF(AND(Inputs!$B$39&lt;&gt;"pvp",Inputs!$B$44=0),1,IF(IF(Inputs!$B$39="pvp",15,Inputs!$B$44)-(B931)&lt;=0,1,MAX(0,IF(Inputs!$B$39="pvp",15,Inputs!$B$44)-MAX(5,B931))/(IF(Inputs!$B$39="pvp",15,Inputs!$B$44)-(B931))))*IF(AND(ArtifactsInput!$M$42,((Inputs!$B$9+((C912=TRUE)*(F912-Calc!F26))+B920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898">
        <f>(1-Summary!$B$11)*T898+Summary!$B$11*V898</f>
        <v/>
      </c>
      <c r="P898">
        <f>IF(B932=0,0,O898/B932)</f>
        <v/>
      </c>
      <c r="Q898">
        <f>IFERROR(1/IF(Inputs!$B$39="pvp",15,MAX(0.1,Skills!D12-IF(TRUE=TRUE,Inputs!$B$32,0))),0)</f>
        <v/>
      </c>
      <c r="R898">
        <f>IF(AND(Inputs!$B$39&lt;&gt;"pvp",Inputs!$B$44&gt;0),IF(MAX(0,Inputs!$B$44-B931)&lt;=0,0,(INT(MAX(0,Inputs!$B$44-B931)/IF(Inputs!$B$39="pvp",15,MAX(0.1,Skills!D12-IF(TRUE=TRUE,Inputs!$B$32,0))))+1)),0)</f>
        <v/>
      </c>
      <c r="S898">
        <f>IFERROR(O898/N898,0)</f>
        <v/>
      </c>
      <c r="T898">
        <f>IF(C898,(H898*N898*IF(AND(Inputs!$B$39&lt;&gt;"pvp",Inputs!$B$44&gt;0),((Skills!G12*((R898-1)*IF(Skills!H12&gt;0,Skills!I12/Skills!H12,1)+IF(Skills!H12&gt;0,MIN(Skills!I12,MAX(0,MAX(0,Inputs!$B$44-B931)-((R898-1)*IF(Inputs!$B$39="pvp",15,MAX(0.1,Skills!D12-IF(TRUE=TRUE,Inputs!$B$32,0))))))/Skills!H12,1)))/Inputs!$B$44),G898*Q898))*IF(Inputs!$B$39="pvp",1,1+(Inputs!$B$20+0+Skills!P12+B921+(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Hunt"),CHOOSE(ArtifactsInput!$N$35+1,15,18,21,24,27,30)*(1-EXP(-(0.2*B924)*5)),0)+IF(AND(ArtifactsInput!$M$22,Inputs!$B$4&lt;&gt;"Chapter Hunt"),CHOOSE(ArtifactsInput!$N$22+1,10,12,14,16,18,20)*((0*(((0.15*B924*5))^0/1)+1*(((0.15*B924*5))^1/1)+2*(((0.15*B924*5))^2/2)+3*(((0.15*B924*5))^3/6)+4*(((0.15*B924*5))^4/24)+5*(((0.15*B924*5))^5/120))/((((0.15*B924*5))^0/1)+(((0.15*B924*5))^1/1)+(((0.15*B924*5))^2/2)+(((0.15*B924*5))^3/6)+(((0.15*B924*5))^4/24)+(((0.15*B924*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898*(1-MIN(100,(Inputs!$B$9+((C912=TRUE)*(F912-Calc!F26))+B920+(ArtifactsInput!$M$24-ArtifactsInput!$M$24)*CHOOSE(ArtifactsInput!$N$24+1,10,12,14,16,18,20)+(IF(AND(Inputs!$B$39&lt;&gt;"pvp",Inputs!$B$44=0),1,IF(IF(Inputs!$B$39="pvp",15,Inputs!$B$44)-(B931)&lt;=0,1,MAX(0,IF(Inputs!$B$39="pvp",15,Inputs!$B$44)-MAX(5,B931))/(IF(Inputs!$B$39="pvp",15,Inputs!$B$44)-(B931))))*IF(AND(ArtifactsInput!$M$42,((Inputs!$B$9+((C912=TRUE)*(F912-Calc!F26))+B920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898*(MIN(100,(Inputs!$B$9+((C912=TRUE)*(F912-Calc!F26))+B920+(ArtifactsInput!$M$24-ArtifactsInput!$M$24)*CHOOSE(ArtifactsInput!$N$24+1,10,12,14,16,18,20)+(IF(AND(Inputs!$B$39&lt;&gt;"pvp",Inputs!$B$44=0),1,IF(IF(Inputs!$B$39="pvp",15,Inputs!$B$44)-(B931)&lt;=0,1,MAX(0,IF(Inputs!$B$39="pvp",15,Inputs!$B$44)-MAX(5,B931))/(IF(Inputs!$B$39="pvp",15,Inputs!$B$44)-(B931))))*IF(AND(ArtifactsInput!$M$42,((Inputs!$B$9+((C912=TRUE)*(F912-Calc!F26))+B920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898*(1-MIN(100,(Inputs!$B$9+((C912=TRUE)*(F912-Calc!F26))+B920+(ArtifactsInput!$M$24-ArtifactsInput!$M$24)*CHOOSE(ArtifactsInput!$N$24+1,10,12,14,16,18,20)+(IF(AND(Inputs!$B$39&lt;&gt;"pvp",Inputs!$B$44=0),1,IF(IF(Inputs!$B$39="pvp",15,Inputs!$B$44)-(B931)&lt;=0,1,MAX(0,IF(Inputs!$B$39="pvp",15,Inputs!$B$44)-MAX(5,B931))/(IF(Inputs!$B$39="pvp",15,Inputs!$B$44)-(B931))))*IF(AND(ArtifactsInput!$M$42,((Inputs!$B$9+((C912=TRUE)*(F912-Calc!F26))+B920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898*(MIN(100,(Inputs!$B$9+((C912=TRUE)*(F912-Calc!F26))+B920+(ArtifactsInput!$M$24-ArtifactsInput!$M$24)*CHOOSE(ArtifactsInput!$N$24+1,10,12,14,16,18,20)+(IF(AND(Inputs!$B$39&lt;&gt;"pvp",Inputs!$B$44=0),1,IF(IF(Inputs!$B$39="pvp",15,Inputs!$B$44)-(B931)&lt;=0,1,MAX(0,IF(Inputs!$B$39="pvp",15,Inputs!$B$44)-MAX(5,B931))/(IF(Inputs!$B$39="pvp",15,Inputs!$B$44)-(B931))))*IF(AND(ArtifactsInput!$M$42,((Inputs!$B$9+((C912=TRUE)*(F912-Calc!F26))+B920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898">
        <f>IF(C898,(H898*N898*IF(AND(Inputs!$B$39&lt;&gt;"pvp",Inputs!$B$44&gt;0),((Skills!G12*((R898-1)*IF(Skills!H12&gt;0,Skills!I12/Skills!H12,1)+IF(Skills!H12&gt;0,MIN(Skills!I12,MAX(0,MAX(0,Inputs!$B$44-B931)-((R898-1)*IF(Inputs!$B$39="pvp",15,MAX(0.1,Skills!D12-IF(TRUE=TRUE,Inputs!$B$32,0))))))/Skills!H12,1)))/Inputs!$B$44),G898*Q898))*IF(Inputs!$B$39="pvp",1,(1+(Inputs!$B$21+Skills!Q12+B921+(IF(ArtifactsInput!$M$33,CHOOSE(ArtifactsInput!$N$33+1,30,36,42,48,54,60),0))+(IF(AND(ArtifactsInput!$M$35,Inputs!$B$4&lt;&gt;"Chapter Hunt"),CHOOSE(ArtifactsInput!$N$35+1,15,18,21,24,27,30)*(1-EXP(-(0.2*B924)*5)),0)+IF(AND(ArtifactsInput!$M$22,Inputs!$B$4&lt;&gt;"Chapter Hunt"),CHOOSE(ArtifactsInput!$N$22+1,10,12,14,16,18,20)*((0*(((0.15*B924*5))^0/1)+1*(((0.15*B924*5))^1/1)+2*(((0.15*B924*5))^2/2)+3*(((0.15*B924*5))^3/6)+4*(((0.15*B924*5))^4/24)+5*(((0.15*B924*5))^5/120))/((((0.15*B924*5))^0/1)+(((0.15*B924*5))^1/1)+(((0.15*B924*5))^2/2)+(((0.15*B924*5))^3/6)+(((0.15*B924*5))^4/24)+(((0.15*B924*5))^5/120))),0)))/100)*(MIN(Skills!W12,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899">
      <c r="A899">
        <f>Skills!A13</f>
        <v/>
      </c>
      <c r="B899">
        <f>Skills!B13</f>
        <v/>
      </c>
      <c r="C899">
        <f>Inputs!$B$3&gt;=105</f>
        <v/>
      </c>
      <c r="D899">
        <f>IF(Skills!C13=1,60+(Inputs!$B$25+1)+Inputs!$B$29,IF(Skills!C13=2,90+Inputs!$B$26+Inputs!$B$29,IF(Skills!C13=3,120+Inputs!$B$27+Inputs!$B$29,MAX(0,(Inputs!$B$3-100)*3)+Inputs!$B$28+Inputs!$B$29)))</f>
        <v/>
      </c>
      <c r="E899">
        <f>INDEX(FactorTable!$B$2:$Y$301, MATCH(ROUND(MIN(300,MAX(1,D899)),0), FactorTable!$A$2:$A$301,0), Skills!M13+1)</f>
        <v/>
      </c>
      <c r="F899">
        <f>IF(Skills!N13=TRUE,(Skills!L13/10)*(E899/1000),Skills!L13/10)+Skills!O13</f>
        <v/>
      </c>
      <c r="G899">
        <f>Skills!G13*IF(Skills!H13&gt;0,IF(Inputs!$B$39="pvp",MIN(Skills!I13,15),Skills!I13)/Skills!H13,1)</f>
        <v/>
      </c>
      <c r="H899">
        <f>1-(1-Skills!J13/100)^Skills!K13</f>
        <v/>
      </c>
      <c r="I899" t="inlineStr">
        <is>
          <t>1</t>
        </is>
      </c>
      <c r="J899">
        <f>((Inputs!$B$6*(1+Inputs!$B$7/100))+(((Inputs!$B$12*(1+Inputs!$B$13/100))-(Inputs!$B$12*(1+Inputs!$B$13/100)))+0.25*(Inputs!$B$14-Inputs!$B$14))*(1+Inputs!$B$7/100))*(F899/100)</f>
        <v/>
      </c>
      <c r="K899">
        <f>J899*(1+((Inputs!$B$12*(1+Inputs!$B$13/100))*0.01+Inputs!$B$14*0.0025)/100)*(1+Inputs!$B$15/100)*(1+Inputs!$B$16/100)*(5000/(6000+Inputs!$B$43*(1-(100*(1-(1-Inputs!$B$19/100)*(1-CHOOSE(ArtifactsInput!$N$40+1,5,6,7,8,9,10)/100)^(ArtifactsInput!$M$40-ArtifactsInput!$M$40)))/100)))*(1+(Inputs!$B$24+((C917=TRUE)*(F917-Calc!F31))+((C904=TRUE)*(F904-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13="CRUEL_STAB",Inputs!$B$17+((C914=TRUE)*(F914-Calc!F28))+((IF(AND(Inputs!$B$39&lt;&gt;"pvp",Inputs!$B$44=0),1,IF(IF(Inputs!$B$39="pvp",15,Inputs!$B$44)-(B931)&lt;=0,1,MAX(0,IF(Inputs!$B$39="pvp",15,Inputs!$B$44)-MAX(5,B931))/(IF(Inputs!$B$39="pvp",15,Inputs!$B$44)-(B931))))*(IF(AND(ArtifactsInput!$M$42,((Inputs!$B$9+((C912=TRUE)*(F912-Calc!F26))+B920+(ArtifactsInput!$M$24-ArtifactsInput!$M$24)*CHOOSE(ArtifactsInput!$N$24+1,10,12,14,16,18,20)+IF(ArtifactsInput!$M$10,CHOOSE(ArtifactsInput!$N$10+1,15,18,21,24,27,30)*(IF(Inputs!$B$39="pvp",MIN(15,15)/15,IF(AND(Inputs!$B$39&lt;&gt;"pvp",Inputs!$B$44&gt;0),MIN(15,Inputs!$B$44)/(Inputs!$B$44),0))),0)))&gt;=100),MIN(100,((Inputs!$B$9+((C912=TRUE)*(F912-Calc!F26))+B920+(ArtifactsInput!$M$24-ArtifactsInput!$M$24)*CHOOSE(ArtifactsInput!$N$24+1,10,12,14,16,18,20)+IF(ArtifactsInput!$M$10,CHOOSE(ArtifactsInput!$N$10+1,15,18,21,24,27,30)*(IF(Inputs!$B$39="pvp",MIN(15,15)/15,IF(AND(Inputs!$B$39&lt;&gt;"pvp",Inputs!$B$44&gt;0),MIN(15,Inputs!$B$44)/(Inputs!$B$44),0))),0)))-100),0))*CHOOSE(ArtifactsInput!$N$42+1,0.6,0.72,0.84,0.96,1.08,1.2))),Inputs!$B$18+((C915=TRUE)*(F915-Calc!F29))+(IF(AND(Inputs!$B$39&lt;&gt;"pvp",Inputs!$B$44=0),1,IF(IF(Inputs!$B$39="pvp",15,Inputs!$B$44)-(B931)&lt;=0,1,MAX(0,IF(Inputs!$B$39="pvp",15,Inputs!$B$44)-MAX(5,B931))/(IF(Inputs!$B$39="pvp",15,Inputs!$B$44)-(B931))))*IF(AND(ArtifactsInput!$M$42,((Inputs!$B$9+((C912=TRUE)*(F912-Calc!F26))+B920+(ArtifactsInput!$M$24-ArtifactsInput!$M$24)*CHOOSE(ArtifactsInput!$N$24+1,10,12,14,16,18,20)+IF(ArtifactsInput!$M$10,CHOOSE(ArtifactsInput!$N$10+1,15,18,21,24,27,30)*(IF(Inputs!$B$39="pvp",MIN(15,15)/15,IF(AND(Inputs!$B$39&lt;&gt;"pvp",Inputs!$B$44&gt;0),MIN(15,Inputs!$B$44)/(Inputs!$B$44),0))),0)))&gt;=100),CHOOSE(ArtifactsInput!$N$42+1,40,48,56,64,72,80),0))))/100)*(((1+(((C908=TRUE)*F908*IF(AND(Inputs!$B$39&lt;&gt;"pvp",Inputs!$B$44&gt;0),(((R908-1)*MIN((Skills!Y22*(1+Inputs!$B$34/100)),(1/Q908))+MIN((Skills!Y22*(1+Inputs!$B$34/100)),MAX(0,Inputs!$B$44-((R908-1)*(1/Q908)))))/Inputs!$B$44),IF(Inputs!$B$39="pvp",MIN((Skills!Y22*(1+Inputs!$B$34/100)),15)/15,MIN(1,(Skills!Y22*(1+Inputs!$B$34/100))/(1/Q908)))))+((C889=TRUE)*F889*3)+((C891=TRUE)*F891*(1-EXP(-0.75*B924*5)))+((C910=TRUE)*(F910-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897=TRUE)*F897*IF(AND(Inputs!$B$39&lt;&gt;"pvp",Inputs!$B$44&gt;0),(((R897-1)*MIN((Skills!Y11*(1+Inputs!$B$34/100)),(1/Q897))+MIN((Skills!Y11*(1+Inputs!$B$34/100)),MAX(0,Inputs!$B$44-((R897-1)*(1/Q897)))))/Inputs!$B$44),IF(Inputs!$B$39="pvp",MIN((Skills!Y11*(1+Inputs!$B$34/100)),15)/15,MIN(1,(Skills!Y11*(1+Inputs!$B$34/100))/(1/Q897)))))/100)*(1+((C902=TRUE)*F902*IF(AND(Inputs!$B$39&lt;&gt;"pvp",Inputs!$B$44&gt;0),(((R902-1)*MIN((Skills!Y16*(1+Inputs!$B$34/100)),(1/Q902))+MIN((Skills!Y16*(1+Inputs!$B$34/100)),MAX(0,Inputs!$B$44-((R902-1)*(1/Q902)))))/Inputs!$B$44),IF(Inputs!$B$39="pvp",MIN((Skills!Y16*(1+Inputs!$B$34/100)),15)/15,MIN(1,(Skills!Y16*(1+Inputs!$B$34/100))/(1/Q902)))))/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922*I899)</f>
        <v/>
      </c>
      <c r="L899">
        <f>K899*(MIN(Inputs!$B$22+((C911=TRUE)*(F911-Calc!F25)),(Inputs!$B$23+((C916=TRUE)*(F916-Calc!F30))+IF(ArtifactsInput!$M$15,CHOOSE(ArtifactsInput!$N$15+1,25,30,35,40,45,50)/100*(Inputs!$B$11-Inputs!$B$11),0)))/100+(Inputs!$B$23+((C916=TRUE)*(F916-Calc!F30))+IF(ArtifactsInput!$M$15,CHOOSE(ArtifactsInput!$N$15+1,25,30,35,40,45,50)/100*(Inputs!$B$11-Inputs!$B$11),0))/100)/2</f>
        <v/>
      </c>
      <c r="M899">
        <f>L899*(1+(Inputs!$B$10+((C913=TRUE)*(F913-Calc!F27))+B927+(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899">
        <f>L899*(1-MIN((Inputs!$B$9+((C912=TRUE)*(F912-Calc!F26))+B920+(ArtifactsInput!$M$24-ArtifactsInput!$M$24)*CHOOSE(ArtifactsInput!$N$24+1,10,12,14,16,18,20)+(IF(AND(Inputs!$B$39&lt;&gt;"pvp",Inputs!$B$44=0),1,IF(IF(Inputs!$B$39="pvp",15,Inputs!$B$44)-(B931)&lt;=0,1,MAX(0,IF(Inputs!$B$39="pvp",15,Inputs!$B$44)-MAX(5,B931))/(IF(Inputs!$B$39="pvp",15,Inputs!$B$44)-(B931))))*IF(AND(ArtifactsInput!$M$42,((Inputs!$B$9+((C912=TRUE)*(F912-Calc!F26))+B920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899*(MIN((Inputs!$B$9+((C912=TRUE)*(F912-Calc!F26))+B920+(ArtifactsInput!$M$24-ArtifactsInput!$M$24)*CHOOSE(ArtifactsInput!$N$24+1,10,12,14,16,18,20)+(IF(AND(Inputs!$B$39&lt;&gt;"pvp",Inputs!$B$44=0),1,IF(IF(Inputs!$B$39="pvp",15,Inputs!$B$44)-(B931)&lt;=0,1,MAX(0,IF(Inputs!$B$39="pvp",15,Inputs!$B$44)-MAX(5,B931))/(IF(Inputs!$B$39="pvp",15,Inputs!$B$44)-(B931))))*IF(AND(ArtifactsInput!$M$42,((Inputs!$B$9+((C912=TRUE)*(F912-Calc!F26))+B920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899">
        <f>(1-Summary!$B$11)*T899+Summary!$B$11*V899</f>
        <v/>
      </c>
      <c r="P899">
        <f>IF(B932=0,0,O899/B932)</f>
        <v/>
      </c>
      <c r="Q899">
        <f>IFERROR(1/IF(Inputs!$B$39="pvp",15,MAX(0.1,Skills!D13-IF(TRUE=TRUE,Inputs!$B$32,0))),0)</f>
        <v/>
      </c>
      <c r="R899">
        <f>IF(AND(Inputs!$B$39&lt;&gt;"pvp",Inputs!$B$44&gt;0),IF(MAX(0,Inputs!$B$44-B931)&lt;=0,0,(INT(MAX(0,Inputs!$B$44-B931)/IF(Inputs!$B$39="pvp",15,MAX(0.1,Skills!D13-IF(TRUE=TRUE,Inputs!$B$32,0))))+1)),0)</f>
        <v/>
      </c>
      <c r="S899">
        <f>IFERROR(O899/N899,0)</f>
        <v/>
      </c>
      <c r="T899">
        <f>IF(C899,(H899*N899*IF(AND(Inputs!$B$39&lt;&gt;"pvp",Inputs!$B$44&gt;0),((Skills!G13*((R899-1)*IF(Skills!H13&gt;0,Skills!I13/Skills!H13,1)+IF(Skills!H13&gt;0,MIN(Skills!I13,MAX(0,MAX(0,Inputs!$B$44-B931)-((R899-1)*IF(Inputs!$B$39="pvp",15,MAX(0.1,Skills!D13-IF(TRUE=TRUE,Inputs!$B$32,0))))))/Skills!H13,1)))/Inputs!$B$44),G899*Q899))*IF(Inputs!$B$39="pvp",1,1+(Inputs!$B$20+0+Skills!P13+B921+(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Hunt"),CHOOSE(ArtifactsInput!$N$35+1,15,18,21,24,27,30)*(1-EXP(-(0.2*B924)*5)),0)+IF(AND(ArtifactsInput!$M$22,Inputs!$B$4&lt;&gt;"Chapter Hunt"),CHOOSE(ArtifactsInput!$N$22+1,10,12,14,16,18,20)*((0*(((0.15*B924*5))^0/1)+1*(((0.15*B924*5))^1/1)+2*(((0.15*B924*5))^2/2)+3*(((0.15*B924*5))^3/6)+4*(((0.15*B924*5))^4/24)+5*(((0.15*B924*5))^5/120))/((((0.15*B924*5))^0/1)+(((0.15*B924*5))^1/1)+(((0.15*B924*5))^2/2)+(((0.15*B924*5))^3/6)+(((0.15*B924*5))^4/24)+(((0.15*B924*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899*(1-MIN(100,(Inputs!$B$9+((C912=TRUE)*(F912-Calc!F26))+B920+(ArtifactsInput!$M$24-ArtifactsInput!$M$24)*CHOOSE(ArtifactsInput!$N$24+1,10,12,14,16,18,20)+(IF(AND(Inputs!$B$39&lt;&gt;"pvp",Inputs!$B$44=0),1,IF(IF(Inputs!$B$39="pvp",15,Inputs!$B$44)-(B931)&lt;=0,1,MAX(0,IF(Inputs!$B$39="pvp",15,Inputs!$B$44)-MAX(5,B931))/(IF(Inputs!$B$39="pvp",15,Inputs!$B$44)-(B931))))*IF(AND(ArtifactsInput!$M$42,((Inputs!$B$9+((C912=TRUE)*(F912-Calc!F26))+B920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899*(MIN(100,(Inputs!$B$9+((C912=TRUE)*(F912-Calc!F26))+B920+(ArtifactsInput!$M$24-ArtifactsInput!$M$24)*CHOOSE(ArtifactsInput!$N$24+1,10,12,14,16,18,20)+(IF(AND(Inputs!$B$39&lt;&gt;"pvp",Inputs!$B$44=0),1,IF(IF(Inputs!$B$39="pvp",15,Inputs!$B$44)-(B931)&lt;=0,1,MAX(0,IF(Inputs!$B$39="pvp",15,Inputs!$B$44)-MAX(5,B931))/(IF(Inputs!$B$39="pvp",15,Inputs!$B$44)-(B931))))*IF(AND(ArtifactsInput!$M$42,((Inputs!$B$9+((C912=TRUE)*(F912-Calc!F26))+B920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899*(1-MIN(100,(Inputs!$B$9+((C912=TRUE)*(F912-Calc!F26))+B920+(ArtifactsInput!$M$24-ArtifactsInput!$M$24)*CHOOSE(ArtifactsInput!$N$24+1,10,12,14,16,18,20)+(IF(AND(Inputs!$B$39&lt;&gt;"pvp",Inputs!$B$44=0),1,IF(IF(Inputs!$B$39="pvp",15,Inputs!$B$44)-(B931)&lt;=0,1,MAX(0,IF(Inputs!$B$39="pvp",15,Inputs!$B$44)-MAX(5,B931))/(IF(Inputs!$B$39="pvp",15,Inputs!$B$44)-(B931))))*IF(AND(ArtifactsInput!$M$42,((Inputs!$B$9+((C912=TRUE)*(F912-Calc!F26))+B920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899*(MIN(100,(Inputs!$B$9+((C912=TRUE)*(F912-Calc!F26))+B920+(ArtifactsInput!$M$24-ArtifactsInput!$M$24)*CHOOSE(ArtifactsInput!$N$24+1,10,12,14,16,18,20)+(IF(AND(Inputs!$B$39&lt;&gt;"pvp",Inputs!$B$44=0),1,IF(IF(Inputs!$B$39="pvp",15,Inputs!$B$44)-(B931)&lt;=0,1,MAX(0,IF(Inputs!$B$39="pvp",15,Inputs!$B$44)-MAX(5,B931))/(IF(Inputs!$B$39="pvp",15,Inputs!$B$44)-(B931))))*IF(AND(ArtifactsInput!$M$42,((Inputs!$B$9+((C912=TRUE)*(F912-Calc!F26))+B920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899">
        <f>IF(C899,(H899*N899*IF(AND(Inputs!$B$39&lt;&gt;"pvp",Inputs!$B$44&gt;0),((Skills!G13*((R899-1)*IF(Skills!H13&gt;0,Skills!I13/Skills!H13,1)+IF(Skills!H13&gt;0,MIN(Skills!I13,MAX(0,MAX(0,Inputs!$B$44-B931)-((R899-1)*IF(Inputs!$B$39="pvp",15,MAX(0.1,Skills!D13-IF(TRUE=TRUE,Inputs!$B$32,0))))))/Skills!H13,1)))/Inputs!$B$44),G899*Q899))*IF(Inputs!$B$39="pvp",1,(1+(Inputs!$B$21+Skills!Q13+B921+(IF(ArtifactsInput!$M$33,CHOOSE(ArtifactsInput!$N$33+1,30,36,42,48,54,60),0))+(IF(AND(ArtifactsInput!$M$35,Inputs!$B$4&lt;&gt;"Chapter Hunt"),CHOOSE(ArtifactsInput!$N$35+1,15,18,21,24,27,30)*(1-EXP(-(0.2*B924)*5)),0)+IF(AND(ArtifactsInput!$M$22,Inputs!$B$4&lt;&gt;"Chapter Hunt"),CHOOSE(ArtifactsInput!$N$22+1,10,12,14,16,18,20)*((0*(((0.15*B924*5))^0/1)+1*(((0.15*B924*5))^1/1)+2*(((0.15*B924*5))^2/2)+3*(((0.15*B924*5))^3/6)+4*(((0.15*B924*5))^4/24)+5*(((0.15*B924*5))^5/120))/((((0.15*B924*5))^0/1)+(((0.15*B924*5))^1/1)+(((0.15*B924*5))^2/2)+(((0.15*B924*5))^3/6)+(((0.15*B924*5))^4/24)+(((0.15*B924*5))^5/120))),0)))/100)*(MIN(Skills!W13,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900">
      <c r="A900">
        <f>Skills!A14</f>
        <v/>
      </c>
      <c r="B900">
        <f>Skills!B14</f>
        <v/>
      </c>
      <c r="C900">
        <f>Inputs!$B$3&gt;=105</f>
        <v/>
      </c>
      <c r="D900">
        <f>IF(Skills!C14=1,60+(Inputs!$B$25+1)+Inputs!$B$29,IF(Skills!C14=2,90+Inputs!$B$26+Inputs!$B$29,IF(Skills!C14=3,120+Inputs!$B$27+Inputs!$B$29,MAX(0,(Inputs!$B$3-100)*3)+Inputs!$B$28+Inputs!$B$29)))</f>
        <v/>
      </c>
      <c r="E900">
        <f>INDEX(FactorTable!$B$2:$Y$301, MATCH(ROUND(MIN(300,MAX(1,D900)),0), FactorTable!$A$2:$A$301,0), Skills!M14+1)</f>
        <v/>
      </c>
      <c r="F900">
        <f>IF(Skills!N14=TRUE,(Skills!L14/10)*(E900/1000),Skills!L14/10)+Skills!O14</f>
        <v/>
      </c>
      <c r="G900">
        <f>Skills!G14*IF(Skills!H14&gt;0,IF(Inputs!$B$39="pvp",MIN(Skills!I14,15),Skills!I14)/Skills!H14,1)</f>
        <v/>
      </c>
      <c r="H900">
        <f>1-(1-Skills!J14/100)^Skills!K14</f>
        <v/>
      </c>
      <c r="I900" t="inlineStr">
        <is>
          <t>1</t>
        </is>
      </c>
      <c r="J900">
        <f>((Inputs!$B$6*(1+Inputs!$B$7/100))+(((Inputs!$B$12*(1+Inputs!$B$13/100))-(Inputs!$B$12*(1+Inputs!$B$13/100)))+0.25*(Inputs!$B$14-Inputs!$B$14))*(1+Inputs!$B$7/100))*(F900/100)</f>
        <v/>
      </c>
      <c r="K900">
        <f>J900*(1+((Inputs!$B$12*(1+Inputs!$B$13/100))*0.01+Inputs!$B$14*0.0025)/100)*(1+Inputs!$B$15/100)*(1+Inputs!$B$16/100)*(5000/(6000+Inputs!$B$43*(1-(100*(1-(1-Inputs!$B$19/100)*(1-CHOOSE(ArtifactsInput!$N$40+1,5,6,7,8,9,10)/100)^(ArtifactsInput!$M$40-ArtifactsInput!$M$40)))/100)))*(1+(Inputs!$B$24+((C917=TRUE)*(F917-Calc!F31))+((C904=TRUE)*(F904-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14="CRUEL_STAB",Inputs!$B$17+((C914=TRUE)*(F914-Calc!F28))+((IF(AND(Inputs!$B$39&lt;&gt;"pvp",Inputs!$B$44=0),1,IF(IF(Inputs!$B$39="pvp",15,Inputs!$B$44)-(B931)&lt;=0,1,MAX(0,IF(Inputs!$B$39="pvp",15,Inputs!$B$44)-MAX(5,B931))/(IF(Inputs!$B$39="pvp",15,Inputs!$B$44)-(B931))))*(IF(AND(ArtifactsInput!$M$42,((Inputs!$B$9+((C912=TRUE)*(F912-Calc!F26))+B920+(ArtifactsInput!$M$24-ArtifactsInput!$M$24)*CHOOSE(ArtifactsInput!$N$24+1,10,12,14,16,18,20)+IF(ArtifactsInput!$M$10,CHOOSE(ArtifactsInput!$N$10+1,15,18,21,24,27,30)*(IF(Inputs!$B$39="pvp",MIN(15,15)/15,IF(AND(Inputs!$B$39&lt;&gt;"pvp",Inputs!$B$44&gt;0),MIN(15,Inputs!$B$44)/(Inputs!$B$44),0))),0)))&gt;=100),MIN(100,((Inputs!$B$9+((C912=TRUE)*(F912-Calc!F26))+B920+(ArtifactsInput!$M$24-ArtifactsInput!$M$24)*CHOOSE(ArtifactsInput!$N$24+1,10,12,14,16,18,20)+IF(ArtifactsInput!$M$10,CHOOSE(ArtifactsInput!$N$10+1,15,18,21,24,27,30)*(IF(Inputs!$B$39="pvp",MIN(15,15)/15,IF(AND(Inputs!$B$39&lt;&gt;"pvp",Inputs!$B$44&gt;0),MIN(15,Inputs!$B$44)/(Inputs!$B$44),0))),0)))-100),0))*CHOOSE(ArtifactsInput!$N$42+1,0.6,0.72,0.84,0.96,1.08,1.2))),Inputs!$B$18+((C915=TRUE)*(F915-Calc!F29))+(IF(AND(Inputs!$B$39&lt;&gt;"pvp",Inputs!$B$44=0),1,IF(IF(Inputs!$B$39="pvp",15,Inputs!$B$44)-(B931)&lt;=0,1,MAX(0,IF(Inputs!$B$39="pvp",15,Inputs!$B$44)-MAX(5,B931))/(IF(Inputs!$B$39="pvp",15,Inputs!$B$44)-(B931))))*IF(AND(ArtifactsInput!$M$42,((Inputs!$B$9+((C912=TRUE)*(F912-Calc!F26))+B920+(ArtifactsInput!$M$24-ArtifactsInput!$M$24)*CHOOSE(ArtifactsInput!$N$24+1,10,12,14,16,18,20)+IF(ArtifactsInput!$M$10,CHOOSE(ArtifactsInput!$N$10+1,15,18,21,24,27,30)*(IF(Inputs!$B$39="pvp",MIN(15,15)/15,IF(AND(Inputs!$B$39&lt;&gt;"pvp",Inputs!$B$44&gt;0),MIN(15,Inputs!$B$44)/(Inputs!$B$44),0))),0)))&gt;=100),CHOOSE(ArtifactsInput!$N$42+1,40,48,56,64,72,80),0))))/100)*(((1+(((C908=TRUE)*F908*IF(AND(Inputs!$B$39&lt;&gt;"pvp",Inputs!$B$44&gt;0),(((R908-1)*MIN((Skills!Y22*(1+Inputs!$B$34/100)),(1/Q908))+MIN((Skills!Y22*(1+Inputs!$B$34/100)),MAX(0,Inputs!$B$44-((R908-1)*(1/Q908)))))/Inputs!$B$44),IF(Inputs!$B$39="pvp",MIN((Skills!Y22*(1+Inputs!$B$34/100)),15)/15,MIN(1,(Skills!Y22*(1+Inputs!$B$34/100))/(1/Q908)))))+((C889=TRUE)*F889*3)+((C891=TRUE)*F891*(1-EXP(-0.75*B924*5)))+((C910=TRUE)*(F910-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897=TRUE)*F897*IF(AND(Inputs!$B$39&lt;&gt;"pvp",Inputs!$B$44&gt;0),(((R897-1)*MIN((Skills!Y11*(1+Inputs!$B$34/100)),(1/Q897))+MIN((Skills!Y11*(1+Inputs!$B$34/100)),MAX(0,Inputs!$B$44-((R897-1)*(1/Q897)))))/Inputs!$B$44),IF(Inputs!$B$39="pvp",MIN((Skills!Y11*(1+Inputs!$B$34/100)),15)/15,MIN(1,(Skills!Y11*(1+Inputs!$B$34/100))/(1/Q897)))))/100)*(1+((C902=TRUE)*F902*IF(AND(Inputs!$B$39&lt;&gt;"pvp",Inputs!$B$44&gt;0),(((R902-1)*MIN((Skills!Y16*(1+Inputs!$B$34/100)),(1/Q902))+MIN((Skills!Y16*(1+Inputs!$B$34/100)),MAX(0,Inputs!$B$44-((R902-1)*(1/Q902)))))/Inputs!$B$44),IF(Inputs!$B$39="pvp",MIN((Skills!Y16*(1+Inputs!$B$34/100)),15)/15,MIN(1,(Skills!Y16*(1+Inputs!$B$34/100))/(1/Q902)))))/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922*I900)</f>
        <v/>
      </c>
      <c r="L900">
        <f>K900*(MIN(Inputs!$B$22+((C911=TRUE)*(F911-Calc!F25)),(Inputs!$B$23+((C916=TRUE)*(F916-Calc!F30))+IF(ArtifactsInput!$M$15,CHOOSE(ArtifactsInput!$N$15+1,25,30,35,40,45,50)/100*(Inputs!$B$11-Inputs!$B$11),0)))/100+(Inputs!$B$23+((C916=TRUE)*(F916-Calc!F30))+IF(ArtifactsInput!$M$15,CHOOSE(ArtifactsInput!$N$15+1,25,30,35,40,45,50)/100*(Inputs!$B$11-Inputs!$B$11),0))/100)/2</f>
        <v/>
      </c>
      <c r="M900">
        <f>L900*(1+(Inputs!$B$10+((C913=TRUE)*(F913-Calc!F27))+B927+(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900">
        <f>L900*(1-MIN((Inputs!$B$9+((C912=TRUE)*(F912-Calc!F26))+B920+(ArtifactsInput!$M$24-ArtifactsInput!$M$24)*CHOOSE(ArtifactsInput!$N$24+1,10,12,14,16,18,20)+(IF(AND(Inputs!$B$39&lt;&gt;"pvp",Inputs!$B$44=0),1,IF(IF(Inputs!$B$39="pvp",15,Inputs!$B$44)-(B931)&lt;=0,1,MAX(0,IF(Inputs!$B$39="pvp",15,Inputs!$B$44)-MAX(5,B931))/(IF(Inputs!$B$39="pvp",15,Inputs!$B$44)-(B931))))*IF(AND(ArtifactsInput!$M$42,((Inputs!$B$9+((C912=TRUE)*(F912-Calc!F26))+B920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900*(MIN((Inputs!$B$9+((C912=TRUE)*(F912-Calc!F26))+B920+(ArtifactsInput!$M$24-ArtifactsInput!$M$24)*CHOOSE(ArtifactsInput!$N$24+1,10,12,14,16,18,20)+(IF(AND(Inputs!$B$39&lt;&gt;"pvp",Inputs!$B$44=0),1,IF(IF(Inputs!$B$39="pvp",15,Inputs!$B$44)-(B931)&lt;=0,1,MAX(0,IF(Inputs!$B$39="pvp",15,Inputs!$B$44)-MAX(5,B931))/(IF(Inputs!$B$39="pvp",15,Inputs!$B$44)-(B931))))*IF(AND(ArtifactsInput!$M$42,((Inputs!$B$9+((C912=TRUE)*(F912-Calc!F26))+B920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900">
        <f>(1-Summary!$B$11)*T900+Summary!$B$11*V900</f>
        <v/>
      </c>
      <c r="P900">
        <f>IF(B932=0,0,O900/B932)</f>
        <v/>
      </c>
      <c r="Q900">
        <f>IFERROR(1/IF(Inputs!$B$39="pvp",15,MAX(0.1,Skills!D14-IF(TRUE=TRUE,Inputs!$B$32,0))),0)</f>
        <v/>
      </c>
      <c r="R900">
        <f>IF(AND(Inputs!$B$39&lt;&gt;"pvp",Inputs!$B$44&gt;0),IF(MAX(0,Inputs!$B$44-B931)&lt;=0,0,(INT(MAX(0,Inputs!$B$44-B931)/IF(Inputs!$B$39="pvp",15,MAX(0.1,Skills!D14-IF(TRUE=TRUE,Inputs!$B$32,0))))+1)),0)</f>
        <v/>
      </c>
      <c r="S900">
        <f>IFERROR(O900/N900,0)</f>
        <v/>
      </c>
      <c r="T900">
        <f>IF(C900,(H900*N900*IF(AND(Inputs!$B$39&lt;&gt;"pvp",Inputs!$B$44&gt;0),((Skills!G14*((R900-1)*IF(Skills!H14&gt;0,Skills!I14/Skills!H14,1)+IF(Skills!H14&gt;0,MIN(Skills!I14,MAX(0,MAX(0,Inputs!$B$44-B931)-((R900-1)*IF(Inputs!$B$39="pvp",15,MAX(0.1,Skills!D14-IF(TRUE=TRUE,Inputs!$B$32,0))))))/Skills!H14,1)))/Inputs!$B$44),G900*Q900))*IF(Inputs!$B$39="pvp",1,1+(Inputs!$B$20+0+Skills!P14+B921+(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Hunt"),CHOOSE(ArtifactsInput!$N$35+1,15,18,21,24,27,30)*(1-EXP(-(0.2*B924)*5)),0)+IF(AND(ArtifactsInput!$M$22,Inputs!$B$4&lt;&gt;"Chapter Hunt"),CHOOSE(ArtifactsInput!$N$22+1,10,12,14,16,18,20)*((0*(((0.15*B924*5))^0/1)+1*(((0.15*B924*5))^1/1)+2*(((0.15*B924*5))^2/2)+3*(((0.15*B924*5))^3/6)+4*(((0.15*B924*5))^4/24)+5*(((0.15*B924*5))^5/120))/((((0.15*B924*5))^0/1)+(((0.15*B924*5))^1/1)+(((0.15*B924*5))^2/2)+(((0.15*B924*5))^3/6)+(((0.15*B924*5))^4/24)+(((0.15*B924*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900*(1-MIN(100,(Inputs!$B$9+((C912=TRUE)*(F912-Calc!F26))+B920+(ArtifactsInput!$M$24-ArtifactsInput!$M$24)*CHOOSE(ArtifactsInput!$N$24+1,10,12,14,16,18,20)+(IF(AND(Inputs!$B$39&lt;&gt;"pvp",Inputs!$B$44=0),1,IF(IF(Inputs!$B$39="pvp",15,Inputs!$B$44)-(B931)&lt;=0,1,MAX(0,IF(Inputs!$B$39="pvp",15,Inputs!$B$44)-MAX(5,B931))/(IF(Inputs!$B$39="pvp",15,Inputs!$B$44)-(B931))))*IF(AND(ArtifactsInput!$M$42,((Inputs!$B$9+((C912=TRUE)*(F912-Calc!F26))+B920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900*(MIN(100,(Inputs!$B$9+((C912=TRUE)*(F912-Calc!F26))+B920+(ArtifactsInput!$M$24-ArtifactsInput!$M$24)*CHOOSE(ArtifactsInput!$N$24+1,10,12,14,16,18,20)+(IF(AND(Inputs!$B$39&lt;&gt;"pvp",Inputs!$B$44=0),1,IF(IF(Inputs!$B$39="pvp",15,Inputs!$B$44)-(B931)&lt;=0,1,MAX(0,IF(Inputs!$B$39="pvp",15,Inputs!$B$44)-MAX(5,B931))/(IF(Inputs!$B$39="pvp",15,Inputs!$B$44)-(B931))))*IF(AND(ArtifactsInput!$M$42,((Inputs!$B$9+((C912=TRUE)*(F912-Calc!F26))+B920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900*(1-MIN(100,(Inputs!$B$9+((C912=TRUE)*(F912-Calc!F26))+B920+(ArtifactsInput!$M$24-ArtifactsInput!$M$24)*CHOOSE(ArtifactsInput!$N$24+1,10,12,14,16,18,20)+(IF(AND(Inputs!$B$39&lt;&gt;"pvp",Inputs!$B$44=0),1,IF(IF(Inputs!$B$39="pvp",15,Inputs!$B$44)-(B931)&lt;=0,1,MAX(0,IF(Inputs!$B$39="pvp",15,Inputs!$B$44)-MAX(5,B931))/(IF(Inputs!$B$39="pvp",15,Inputs!$B$44)-(B931))))*IF(AND(ArtifactsInput!$M$42,((Inputs!$B$9+((C912=TRUE)*(F912-Calc!F26))+B920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900*(MIN(100,(Inputs!$B$9+((C912=TRUE)*(F912-Calc!F26))+B920+(ArtifactsInput!$M$24-ArtifactsInput!$M$24)*CHOOSE(ArtifactsInput!$N$24+1,10,12,14,16,18,20)+(IF(AND(Inputs!$B$39&lt;&gt;"pvp",Inputs!$B$44=0),1,IF(IF(Inputs!$B$39="pvp",15,Inputs!$B$44)-(B931)&lt;=0,1,MAX(0,IF(Inputs!$B$39="pvp",15,Inputs!$B$44)-MAX(5,B931))/(IF(Inputs!$B$39="pvp",15,Inputs!$B$44)-(B931))))*IF(AND(ArtifactsInput!$M$42,((Inputs!$B$9+((C912=TRUE)*(F912-Calc!F26))+B920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900">
        <f>IF(C900,(H900*N900*IF(AND(Inputs!$B$39&lt;&gt;"pvp",Inputs!$B$44&gt;0),((Skills!G14*((R900-1)*IF(Skills!H14&gt;0,Skills!I14/Skills!H14,1)+IF(Skills!H14&gt;0,MIN(Skills!I14,MAX(0,MAX(0,Inputs!$B$44-B931)-((R900-1)*IF(Inputs!$B$39="pvp",15,MAX(0.1,Skills!D14-IF(TRUE=TRUE,Inputs!$B$32,0))))))/Skills!H14,1)))/Inputs!$B$44),G900*Q900))*IF(Inputs!$B$39="pvp",1,(1+(Inputs!$B$21+Skills!Q14+B921+(IF(ArtifactsInput!$M$33,CHOOSE(ArtifactsInput!$N$33+1,30,36,42,48,54,60),0))+(IF(AND(ArtifactsInput!$M$35,Inputs!$B$4&lt;&gt;"Chapter Hunt"),CHOOSE(ArtifactsInput!$N$35+1,15,18,21,24,27,30)*(1-EXP(-(0.2*B924)*5)),0)+IF(AND(ArtifactsInput!$M$22,Inputs!$B$4&lt;&gt;"Chapter Hunt"),CHOOSE(ArtifactsInput!$N$22+1,10,12,14,16,18,20)*((0*(((0.15*B924*5))^0/1)+1*(((0.15*B924*5))^1/1)+2*(((0.15*B924*5))^2/2)+3*(((0.15*B924*5))^3/6)+4*(((0.15*B924*5))^4/24)+5*(((0.15*B924*5))^5/120))/((((0.15*B924*5))^0/1)+(((0.15*B924*5))^1/1)+(((0.15*B924*5))^2/2)+(((0.15*B924*5))^3/6)+(((0.15*B924*5))^4/24)+(((0.15*B924*5))^5/120))),0)))/100)*(MIN(Skills!W14,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901">
      <c r="A901">
        <f>Skills!A15</f>
        <v/>
      </c>
      <c r="B901">
        <f>Skills!B15</f>
        <v/>
      </c>
      <c r="C901">
        <f>Inputs!$B$3&gt;=107</f>
        <v/>
      </c>
      <c r="D901">
        <f>IF(Skills!C15=1,60+(Inputs!$B$25+1)+Inputs!$B$29,IF(Skills!C15=2,90+Inputs!$B$26+Inputs!$B$29,IF(Skills!C15=3,120+Inputs!$B$27+Inputs!$B$29,MAX(0,(Inputs!$B$3-100)*3)+Inputs!$B$28+Inputs!$B$29)))</f>
        <v/>
      </c>
      <c r="E901">
        <f>INDEX(FactorTable!$B$2:$Y$301, MATCH(ROUND(MIN(300,MAX(1,D901)),0), FactorTable!$A$2:$A$301,0), Skills!M15+1)</f>
        <v/>
      </c>
      <c r="F901">
        <f>IF(Skills!N15=TRUE,(Skills!L15/10)*(E901/1000),Skills!L15/10)+Skills!O15</f>
        <v/>
      </c>
      <c r="G901">
        <f>Skills!G15*IF(Skills!H15&gt;0,IF(Inputs!$B$39="pvp",MIN(Skills!I15,15),Skills!I15)/Skills!H15,1)</f>
        <v/>
      </c>
      <c r="H901">
        <f>1-(1-Skills!J15/100)^Skills!K15</f>
        <v/>
      </c>
      <c r="I901" t="inlineStr">
        <is>
          <t>1</t>
        </is>
      </c>
      <c r="J901">
        <f>((Inputs!$B$6*(1+Inputs!$B$7/100))+(((Inputs!$B$12*(1+Inputs!$B$13/100))-(Inputs!$B$12*(1+Inputs!$B$13/100)))+0.25*(Inputs!$B$14-Inputs!$B$14))*(1+Inputs!$B$7/100))*(F901/100)</f>
        <v/>
      </c>
      <c r="K901">
        <f>J901*(1+((Inputs!$B$12*(1+Inputs!$B$13/100))*0.01+Inputs!$B$14*0.0025)/100)*(1+Inputs!$B$15/100)*(1+Inputs!$B$16/100)*(5000/(6000+Inputs!$B$43*(1-(100*(1-(1-Inputs!$B$19/100)*(1-CHOOSE(ArtifactsInput!$N$40+1,5,6,7,8,9,10)/100)^(ArtifactsInput!$M$40-ArtifactsInput!$M$40)))/100)))*(1+(Inputs!$B$24+((C917=TRUE)*(F917-Calc!F31))+((C904=TRUE)*(F904-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15="CRUEL_STAB",Inputs!$B$17+((C914=TRUE)*(F914-Calc!F28))+((IF(AND(Inputs!$B$39&lt;&gt;"pvp",Inputs!$B$44=0),1,IF(IF(Inputs!$B$39="pvp",15,Inputs!$B$44)-(B931)&lt;=0,1,MAX(0,IF(Inputs!$B$39="pvp",15,Inputs!$B$44)-MAX(5,B931))/(IF(Inputs!$B$39="pvp",15,Inputs!$B$44)-(B931))))*(IF(AND(ArtifactsInput!$M$42,((Inputs!$B$9+((C912=TRUE)*(F912-Calc!F26))+B920+(ArtifactsInput!$M$24-ArtifactsInput!$M$24)*CHOOSE(ArtifactsInput!$N$24+1,10,12,14,16,18,20)+IF(ArtifactsInput!$M$10,CHOOSE(ArtifactsInput!$N$10+1,15,18,21,24,27,30)*(IF(Inputs!$B$39="pvp",MIN(15,15)/15,IF(AND(Inputs!$B$39&lt;&gt;"pvp",Inputs!$B$44&gt;0),MIN(15,Inputs!$B$44)/(Inputs!$B$44),0))),0)))&gt;=100),MIN(100,((Inputs!$B$9+((C912=TRUE)*(F912-Calc!F26))+B920+(ArtifactsInput!$M$24-ArtifactsInput!$M$24)*CHOOSE(ArtifactsInput!$N$24+1,10,12,14,16,18,20)+IF(ArtifactsInput!$M$10,CHOOSE(ArtifactsInput!$N$10+1,15,18,21,24,27,30)*(IF(Inputs!$B$39="pvp",MIN(15,15)/15,IF(AND(Inputs!$B$39&lt;&gt;"pvp",Inputs!$B$44&gt;0),MIN(15,Inputs!$B$44)/(Inputs!$B$44),0))),0)))-100),0))*CHOOSE(ArtifactsInput!$N$42+1,0.6,0.72,0.84,0.96,1.08,1.2))),Inputs!$B$18+((C915=TRUE)*(F915-Calc!F29))+(IF(AND(Inputs!$B$39&lt;&gt;"pvp",Inputs!$B$44=0),1,IF(IF(Inputs!$B$39="pvp",15,Inputs!$B$44)-(B931)&lt;=0,1,MAX(0,IF(Inputs!$B$39="pvp",15,Inputs!$B$44)-MAX(5,B931))/(IF(Inputs!$B$39="pvp",15,Inputs!$B$44)-(B931))))*IF(AND(ArtifactsInput!$M$42,((Inputs!$B$9+((C912=TRUE)*(F912-Calc!F26))+B920+(ArtifactsInput!$M$24-ArtifactsInput!$M$24)*CHOOSE(ArtifactsInput!$N$24+1,10,12,14,16,18,20)+IF(ArtifactsInput!$M$10,CHOOSE(ArtifactsInput!$N$10+1,15,18,21,24,27,30)*(IF(Inputs!$B$39="pvp",MIN(15,15)/15,IF(AND(Inputs!$B$39&lt;&gt;"pvp",Inputs!$B$44&gt;0),MIN(15,Inputs!$B$44)/(Inputs!$B$44),0))),0)))&gt;=100),CHOOSE(ArtifactsInput!$N$42+1,40,48,56,64,72,80),0))))/100)*(((1+(((C908=TRUE)*F908*IF(AND(Inputs!$B$39&lt;&gt;"pvp",Inputs!$B$44&gt;0),(((R908-1)*MIN((Skills!Y22*(1+Inputs!$B$34/100)),(1/Q908))+MIN((Skills!Y22*(1+Inputs!$B$34/100)),MAX(0,Inputs!$B$44-((R908-1)*(1/Q908)))))/Inputs!$B$44),IF(Inputs!$B$39="pvp",MIN((Skills!Y22*(1+Inputs!$B$34/100)),15)/15,MIN(1,(Skills!Y22*(1+Inputs!$B$34/100))/(1/Q908)))))+((C889=TRUE)*F889*3)+((C891=TRUE)*F891*(1-EXP(-0.75*B924*5)))+((C910=TRUE)*(F910-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897=TRUE)*F897*IF(AND(Inputs!$B$39&lt;&gt;"pvp",Inputs!$B$44&gt;0),(((R897-1)*MIN((Skills!Y11*(1+Inputs!$B$34/100)),(1/Q897))+MIN((Skills!Y11*(1+Inputs!$B$34/100)),MAX(0,Inputs!$B$44-((R897-1)*(1/Q897)))))/Inputs!$B$44),IF(Inputs!$B$39="pvp",MIN((Skills!Y11*(1+Inputs!$B$34/100)),15)/15,MIN(1,(Skills!Y11*(1+Inputs!$B$34/100))/(1/Q897)))))/100)*(1+((C902=TRUE)*F902*IF(AND(Inputs!$B$39&lt;&gt;"pvp",Inputs!$B$44&gt;0),(((R902-1)*MIN((Skills!Y16*(1+Inputs!$B$34/100)),(1/Q902))+MIN((Skills!Y16*(1+Inputs!$B$34/100)),MAX(0,Inputs!$B$44-((R902-1)*(1/Q902)))))/Inputs!$B$44),IF(Inputs!$B$39="pvp",MIN((Skills!Y16*(1+Inputs!$B$34/100)),15)/15,MIN(1,(Skills!Y16*(1+Inputs!$B$34/100))/(1/Q902)))))/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922*I901)</f>
        <v/>
      </c>
      <c r="L901">
        <f>K901*(MIN(Inputs!$B$22+((C911=TRUE)*(F911-Calc!F25)),(Inputs!$B$23+((C916=TRUE)*(F916-Calc!F30))+IF(ArtifactsInput!$M$15,CHOOSE(ArtifactsInput!$N$15+1,25,30,35,40,45,50)/100*(Inputs!$B$11-Inputs!$B$11),0)))/100+(Inputs!$B$23+((C916=TRUE)*(F916-Calc!F30))+IF(ArtifactsInput!$M$15,CHOOSE(ArtifactsInput!$N$15+1,25,30,35,40,45,50)/100*(Inputs!$B$11-Inputs!$B$11),0))/100)/2</f>
        <v/>
      </c>
      <c r="M901">
        <f>L901*(1+(Inputs!$B$10+((C913=TRUE)*(F913-Calc!F27))+B927+(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901">
        <f>L901*(1-MIN((Inputs!$B$9+((C912=TRUE)*(F912-Calc!F26))+B920+(ArtifactsInput!$M$24-ArtifactsInput!$M$24)*CHOOSE(ArtifactsInput!$N$24+1,10,12,14,16,18,20)+(IF(AND(Inputs!$B$39&lt;&gt;"pvp",Inputs!$B$44=0),1,IF(IF(Inputs!$B$39="pvp",15,Inputs!$B$44)-(B931)&lt;=0,1,MAX(0,IF(Inputs!$B$39="pvp",15,Inputs!$B$44)-MAX(5,B931))/(IF(Inputs!$B$39="pvp",15,Inputs!$B$44)-(B931))))*IF(AND(ArtifactsInput!$M$42,((Inputs!$B$9+((C912=TRUE)*(F912-Calc!F26))+B920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901*(MIN((Inputs!$B$9+((C912=TRUE)*(F912-Calc!F26))+B920+(ArtifactsInput!$M$24-ArtifactsInput!$M$24)*CHOOSE(ArtifactsInput!$N$24+1,10,12,14,16,18,20)+(IF(AND(Inputs!$B$39&lt;&gt;"pvp",Inputs!$B$44=0),1,IF(IF(Inputs!$B$39="pvp",15,Inputs!$B$44)-(B931)&lt;=0,1,MAX(0,IF(Inputs!$B$39="pvp",15,Inputs!$B$44)-MAX(5,B931))/(IF(Inputs!$B$39="pvp",15,Inputs!$B$44)-(B931))))*IF(AND(ArtifactsInput!$M$42,((Inputs!$B$9+((C912=TRUE)*(F912-Calc!F26))+B920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901">
        <f>(1-Summary!$B$11)*T901+Summary!$B$11*V901</f>
        <v/>
      </c>
      <c r="P901">
        <f>IF(B932=0,0,O901/B932)</f>
        <v/>
      </c>
      <c r="Q901">
        <f>IFERROR(1/IF(Inputs!$B$39="pvp",15,MAX(0.1,Skills!D15-IF(TRUE=TRUE,Inputs!$B$32,0))),0)</f>
        <v/>
      </c>
      <c r="R901">
        <f>IF(AND(Inputs!$B$39&lt;&gt;"pvp",Inputs!$B$44&gt;0),IF(MAX(0,Inputs!$B$44-B931)&lt;=0,0,(INT(MAX(0,Inputs!$B$44-B931)/IF(Inputs!$B$39="pvp",15,MAX(0.1,Skills!D15-IF(TRUE=TRUE,Inputs!$B$32,0))))+1)),0)</f>
        <v/>
      </c>
      <c r="S901">
        <f>IFERROR(O901/N901,0)</f>
        <v/>
      </c>
      <c r="T901">
        <f>IF(C901,(H901*N901*IF(AND(Inputs!$B$39&lt;&gt;"pvp",Inputs!$B$44&gt;0),((Skills!G15*((R901-1)*IF(Skills!H15&gt;0,Skills!I15/Skills!H15,1)+IF(Skills!H15&gt;0,MIN(Skills!I15,MAX(0,MAX(0,Inputs!$B$44-B931)-((R901-1)*IF(Inputs!$B$39="pvp",15,MAX(0.1,Skills!D15-IF(TRUE=TRUE,Inputs!$B$32,0))))))/Skills!H15,1)))/Inputs!$B$44),G901*Q901))*IF(Inputs!$B$39="pvp",1,1+(Inputs!$B$20+0+Skills!P15+B921+(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Hunt"),CHOOSE(ArtifactsInput!$N$35+1,15,18,21,24,27,30)*(1-EXP(-(0.2*B924)*5)),0)+IF(AND(ArtifactsInput!$M$22,Inputs!$B$4&lt;&gt;"Chapter Hunt"),CHOOSE(ArtifactsInput!$N$22+1,10,12,14,16,18,20)*((0*(((0.15*B924*5))^0/1)+1*(((0.15*B924*5))^1/1)+2*(((0.15*B924*5))^2/2)+3*(((0.15*B924*5))^3/6)+4*(((0.15*B924*5))^4/24)+5*(((0.15*B924*5))^5/120))/((((0.15*B924*5))^0/1)+(((0.15*B924*5))^1/1)+(((0.15*B924*5))^2/2)+(((0.15*B924*5))^3/6)+(((0.15*B924*5))^4/24)+(((0.15*B924*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901*(1-MIN(100,(Inputs!$B$9+((C912=TRUE)*(F912-Calc!F26))+B920+(ArtifactsInput!$M$24-ArtifactsInput!$M$24)*CHOOSE(ArtifactsInput!$N$24+1,10,12,14,16,18,20)+(IF(AND(Inputs!$B$39&lt;&gt;"pvp",Inputs!$B$44=0),1,IF(IF(Inputs!$B$39="pvp",15,Inputs!$B$44)-(B931)&lt;=0,1,MAX(0,IF(Inputs!$B$39="pvp",15,Inputs!$B$44)-MAX(5,B931))/(IF(Inputs!$B$39="pvp",15,Inputs!$B$44)-(B931))))*IF(AND(ArtifactsInput!$M$42,((Inputs!$B$9+((C912=TRUE)*(F912-Calc!F26))+B920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901*(MIN(100,(Inputs!$B$9+((C912=TRUE)*(F912-Calc!F26))+B920+(ArtifactsInput!$M$24-ArtifactsInput!$M$24)*CHOOSE(ArtifactsInput!$N$24+1,10,12,14,16,18,20)+(IF(AND(Inputs!$B$39&lt;&gt;"pvp",Inputs!$B$44=0),1,IF(IF(Inputs!$B$39="pvp",15,Inputs!$B$44)-(B931)&lt;=0,1,MAX(0,IF(Inputs!$B$39="pvp",15,Inputs!$B$44)-MAX(5,B931))/(IF(Inputs!$B$39="pvp",15,Inputs!$B$44)-(B931))))*IF(AND(ArtifactsInput!$M$42,((Inputs!$B$9+((C912=TRUE)*(F912-Calc!F26))+B920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901*(1-MIN(100,(Inputs!$B$9+((C912=TRUE)*(F912-Calc!F26))+B920+(ArtifactsInput!$M$24-ArtifactsInput!$M$24)*CHOOSE(ArtifactsInput!$N$24+1,10,12,14,16,18,20)+(IF(AND(Inputs!$B$39&lt;&gt;"pvp",Inputs!$B$44=0),1,IF(IF(Inputs!$B$39="pvp",15,Inputs!$B$44)-(B931)&lt;=0,1,MAX(0,IF(Inputs!$B$39="pvp",15,Inputs!$B$44)-MAX(5,B931))/(IF(Inputs!$B$39="pvp",15,Inputs!$B$44)-(B931))))*IF(AND(ArtifactsInput!$M$42,((Inputs!$B$9+((C912=TRUE)*(F912-Calc!F26))+B920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901*(MIN(100,(Inputs!$B$9+((C912=TRUE)*(F912-Calc!F26))+B920+(ArtifactsInput!$M$24-ArtifactsInput!$M$24)*CHOOSE(ArtifactsInput!$N$24+1,10,12,14,16,18,20)+(IF(AND(Inputs!$B$39&lt;&gt;"pvp",Inputs!$B$44=0),1,IF(IF(Inputs!$B$39="pvp",15,Inputs!$B$44)-(B931)&lt;=0,1,MAX(0,IF(Inputs!$B$39="pvp",15,Inputs!$B$44)-MAX(5,B931))/(IF(Inputs!$B$39="pvp",15,Inputs!$B$44)-(B931))))*IF(AND(ArtifactsInput!$M$42,((Inputs!$B$9+((C912=TRUE)*(F912-Calc!F26))+B920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901">
        <f>IF(C901,(H901*N901*IF(AND(Inputs!$B$39&lt;&gt;"pvp",Inputs!$B$44&gt;0),((Skills!G15*((R901-1)*IF(Skills!H15&gt;0,Skills!I15/Skills!H15,1)+IF(Skills!H15&gt;0,MIN(Skills!I15,MAX(0,MAX(0,Inputs!$B$44-B931)-((R901-1)*IF(Inputs!$B$39="pvp",15,MAX(0.1,Skills!D15-IF(TRUE=TRUE,Inputs!$B$32,0))))))/Skills!H15,1)))/Inputs!$B$44),G901*Q901))*IF(Inputs!$B$39="pvp",1,(1+(Inputs!$B$21+Skills!Q15+B921+(IF(ArtifactsInput!$M$33,CHOOSE(ArtifactsInput!$N$33+1,30,36,42,48,54,60),0))+(IF(AND(ArtifactsInput!$M$35,Inputs!$B$4&lt;&gt;"Chapter Hunt"),CHOOSE(ArtifactsInput!$N$35+1,15,18,21,24,27,30)*(1-EXP(-(0.2*B924)*5)),0)+IF(AND(ArtifactsInput!$M$22,Inputs!$B$4&lt;&gt;"Chapter Hunt"),CHOOSE(ArtifactsInput!$N$22+1,10,12,14,16,18,20)*((0*(((0.15*B924*5))^0/1)+1*(((0.15*B924*5))^1/1)+2*(((0.15*B924*5))^2/2)+3*(((0.15*B924*5))^3/6)+4*(((0.15*B924*5))^4/24)+5*(((0.15*B924*5))^5/120))/((((0.15*B924*5))^0/1)+(((0.15*B924*5))^1/1)+(((0.15*B924*5))^2/2)+(((0.15*B924*5))^3/6)+(((0.15*B924*5))^4/24)+(((0.15*B924*5))^5/120))),0)))/100)*(MIN(MIN(5,0.5*IF(Inputs!$B$3&gt;=75,0.75,0.5)*B924*(1/Q890))*Skills!V15,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902">
      <c r="A902">
        <f>Skills!A16</f>
        <v/>
      </c>
      <c r="B902">
        <f>Skills!B16</f>
        <v/>
      </c>
      <c r="C902">
        <f>Inputs!$B$3&gt;=110</f>
        <v/>
      </c>
      <c r="D902">
        <f>IF(Skills!C16=1,60+(Inputs!$B$25+1)+Inputs!$B$29,IF(Skills!C16=2,90+Inputs!$B$26+Inputs!$B$29,IF(Skills!C16=3,120+Inputs!$B$27+Inputs!$B$29,MAX(0,(Inputs!$B$3-100)*3)+Inputs!$B$28+Inputs!$B$29)))</f>
        <v/>
      </c>
      <c r="E902">
        <f>INDEX(FactorTable!$B$2:$Y$301, MATCH(ROUND(MIN(300,MAX(1,D902)),0), FactorTable!$A$2:$A$301,0), Skills!M16+1)</f>
        <v/>
      </c>
      <c r="F902">
        <f>IF(Skills!N16=TRUE,(Skills!L16/10)*(E902/1000),Skills!L16/10)+Skills!O16</f>
        <v/>
      </c>
      <c r="G902">
        <f>Skills!G16*IF(Skills!H16&gt;0,IF(Inputs!$B$39="pvp",MIN(Skills!I16,15),Skills!I16)/Skills!H16,1)</f>
        <v/>
      </c>
      <c r="H902">
        <f>1-(1-Skills!J16/100)^Skills!K16</f>
        <v/>
      </c>
      <c r="I902" t="inlineStr">
        <is>
          <t>1</t>
        </is>
      </c>
      <c r="J902" t="inlineStr"/>
      <c r="K902" t="inlineStr"/>
      <c r="L902" t="inlineStr"/>
      <c r="M902" t="inlineStr"/>
      <c r="N902" t="inlineStr"/>
      <c r="O902">
        <f>(1-Summary!$B$11)*T902+Summary!$B$11*V902</f>
        <v/>
      </c>
      <c r="P902">
        <f>IF(B932=0,0,O902/B932)</f>
        <v/>
      </c>
      <c r="Q902">
        <f>IFERROR(1/IF(Inputs!$B$39="pvp",15,MAX(0.1,Skills!D16-IF(TRUE=TRUE,Inputs!$B$32,0))),0)</f>
        <v/>
      </c>
      <c r="R902">
        <f>IF(AND(Inputs!$B$39&lt;&gt;"pvp",Inputs!$B$44&gt;0),IF(Inputs!$B$44&lt;=0,0,(INT(Inputs!$B$44/IF(Inputs!$B$39="pvp",15,MAX(0.1,Skills!D16-IF(TRUE=TRUE,Inputs!$B$32,0))))+1)),0)</f>
        <v/>
      </c>
      <c r="S902">
        <f>IFERROR(O902/N902,0)</f>
        <v/>
      </c>
      <c r="T902" t="n">
        <v>0</v>
      </c>
      <c r="V902" t="n">
        <v>0</v>
      </c>
    </row>
    <row r="903">
      <c r="A903">
        <f>Skills!A17</f>
        <v/>
      </c>
      <c r="B903">
        <f>Skills!B17</f>
        <v/>
      </c>
      <c r="C903">
        <f>Inputs!$B$3&gt;=115</f>
        <v/>
      </c>
      <c r="D903">
        <f>IF(Skills!C17=1,60+(Inputs!$B$25+1)+Inputs!$B$29,IF(Skills!C17=2,90+Inputs!$B$26+Inputs!$B$29,IF(Skills!C17=3,120+Inputs!$B$27+Inputs!$B$29,MAX(0,(Inputs!$B$3-100)*3)+Inputs!$B$28+Inputs!$B$29)))</f>
        <v/>
      </c>
      <c r="E903">
        <f>INDEX(FactorTable!$B$2:$Y$301, MATCH(ROUND(MIN(300,MAX(1,D903)),0), FactorTable!$A$2:$A$301,0), Skills!M17+1)</f>
        <v/>
      </c>
      <c r="F903">
        <f>IF(Skills!N17=TRUE,(Skills!L17/10)*(E903/1000),Skills!L17/10)+Skills!O17</f>
        <v/>
      </c>
      <c r="G903">
        <f>Skills!G17*IF(Skills!H17&gt;0,IF(Inputs!$B$39="pvp",MIN(Skills!I17,15),Skills!I17)/Skills!H17,1)</f>
        <v/>
      </c>
      <c r="H903">
        <f>1-(1-Skills!J17/100)^Skills!K17</f>
        <v/>
      </c>
      <c r="I903" t="inlineStr">
        <is>
          <t>1</t>
        </is>
      </c>
      <c r="J903">
        <f>((Inputs!$B$6*(1+Inputs!$B$7/100))+(((Inputs!$B$12*(1+Inputs!$B$13/100))-(Inputs!$B$12*(1+Inputs!$B$13/100)))+0.25*(Inputs!$B$14-Inputs!$B$14))*(1+Inputs!$B$7/100))*(F903/100)</f>
        <v/>
      </c>
      <c r="K903">
        <f>J903*(1+((Inputs!$B$12*(1+Inputs!$B$13/100))*0.01+Inputs!$B$14*0.0025)/100)*(1+Inputs!$B$15/100)*(1+Inputs!$B$16/100)*(5000/(6000+Inputs!$B$43*(1-(100*(1-(1-Inputs!$B$19/100)*(1-CHOOSE(ArtifactsInput!$N$40+1,5,6,7,8,9,10)/100)^(ArtifactsInput!$M$40-ArtifactsInput!$M$40)))/100)))*(1+(Inputs!$B$24+((C917=TRUE)*(F917-Calc!F31))+((C904=TRUE)*(F904-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17="CRUEL_STAB",Inputs!$B$17+((C914=TRUE)*(F914-Calc!F28))+((IF(AND(Inputs!$B$39&lt;&gt;"pvp",Inputs!$B$44=0),1,IF(IF(Inputs!$B$39="pvp",15,Inputs!$B$44)-(B931)&lt;=0,1,MAX(0,IF(Inputs!$B$39="pvp",15,Inputs!$B$44)-MAX(5,B931))/(IF(Inputs!$B$39="pvp",15,Inputs!$B$44)-(B931))))*(IF(AND(ArtifactsInput!$M$42,((Inputs!$B$9+((C912=TRUE)*(F912-Calc!F26))+B920+(ArtifactsInput!$M$24-ArtifactsInput!$M$24)*CHOOSE(ArtifactsInput!$N$24+1,10,12,14,16,18,20)+IF(ArtifactsInput!$M$10,CHOOSE(ArtifactsInput!$N$10+1,15,18,21,24,27,30)*(IF(Inputs!$B$39="pvp",MIN(15,15)/15,IF(AND(Inputs!$B$39&lt;&gt;"pvp",Inputs!$B$44&gt;0),MIN(15,Inputs!$B$44)/(Inputs!$B$44),0))),0)))&gt;=100),MIN(100,((Inputs!$B$9+((C912=TRUE)*(F912-Calc!F26))+B920+(ArtifactsInput!$M$24-ArtifactsInput!$M$24)*CHOOSE(ArtifactsInput!$N$24+1,10,12,14,16,18,20)+IF(ArtifactsInput!$M$10,CHOOSE(ArtifactsInput!$N$10+1,15,18,21,24,27,30)*(IF(Inputs!$B$39="pvp",MIN(15,15)/15,IF(AND(Inputs!$B$39&lt;&gt;"pvp",Inputs!$B$44&gt;0),MIN(15,Inputs!$B$44)/(Inputs!$B$44),0))),0)))-100),0))*CHOOSE(ArtifactsInput!$N$42+1,0.6,0.72,0.84,0.96,1.08,1.2))),Inputs!$B$18+((C915=TRUE)*(F915-Calc!F29))+(IF(AND(Inputs!$B$39&lt;&gt;"pvp",Inputs!$B$44=0),1,IF(IF(Inputs!$B$39="pvp",15,Inputs!$B$44)-(B931)&lt;=0,1,MAX(0,IF(Inputs!$B$39="pvp",15,Inputs!$B$44)-MAX(5,B931))/(IF(Inputs!$B$39="pvp",15,Inputs!$B$44)-(B931))))*IF(AND(ArtifactsInput!$M$42,((Inputs!$B$9+((C912=TRUE)*(F912-Calc!F26))+B920+(ArtifactsInput!$M$24-ArtifactsInput!$M$24)*CHOOSE(ArtifactsInput!$N$24+1,10,12,14,16,18,20)+IF(ArtifactsInput!$M$10,CHOOSE(ArtifactsInput!$N$10+1,15,18,21,24,27,30)*(IF(Inputs!$B$39="pvp",MIN(15,15)/15,IF(AND(Inputs!$B$39&lt;&gt;"pvp",Inputs!$B$44&gt;0),MIN(15,Inputs!$B$44)/(Inputs!$B$44),0))),0)))&gt;=100),CHOOSE(ArtifactsInput!$N$42+1,40,48,56,64,72,80),0))))/100)*(((1+(((C908=TRUE)*F908*IF(AND(Inputs!$B$39&lt;&gt;"pvp",Inputs!$B$44&gt;0),(((R908-1)*MIN((Skills!Y22*(1+Inputs!$B$34/100)),(1/Q908))+MIN((Skills!Y22*(1+Inputs!$B$34/100)),MAX(0,Inputs!$B$44-((R908-1)*(1/Q908)))))/Inputs!$B$44),IF(Inputs!$B$39="pvp",MIN((Skills!Y22*(1+Inputs!$B$34/100)),15)/15,MIN(1,(Skills!Y22*(1+Inputs!$B$34/100))/(1/Q908)))))+((C889=TRUE)*F889*3)+((C891=TRUE)*F891*(1-EXP(-0.75*B924*5)))+((C910=TRUE)*(F910-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897=TRUE)*F897*IF(AND(Inputs!$B$39&lt;&gt;"pvp",Inputs!$B$44&gt;0),(((R897-1)*MIN((Skills!Y11*(1+Inputs!$B$34/100)),(1/Q897))+MIN((Skills!Y11*(1+Inputs!$B$34/100)),MAX(0,Inputs!$B$44-((R897-1)*(1/Q897)))))/Inputs!$B$44),IF(Inputs!$B$39="pvp",MIN((Skills!Y11*(1+Inputs!$B$34/100)),15)/15,MIN(1,(Skills!Y11*(1+Inputs!$B$34/100))/(1/Q897)))))/100)*(1+((C902=TRUE)*F902*IF(AND(Inputs!$B$39&lt;&gt;"pvp",Inputs!$B$44&gt;0),(((R902-1)*MIN((Skills!Y16*(1+Inputs!$B$34/100)),(1/Q902))+MIN((Skills!Y16*(1+Inputs!$B$34/100)),MAX(0,Inputs!$B$44-((R902-1)*(1/Q902)))))/Inputs!$B$44),IF(Inputs!$B$39="pvp",MIN((Skills!Y16*(1+Inputs!$B$34/100)),15)/15,MIN(1,(Skills!Y16*(1+Inputs!$B$34/100))/(1/Q902)))))/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922*I903)</f>
        <v/>
      </c>
      <c r="L903">
        <f>K903*(MIN(Inputs!$B$22+((C911=TRUE)*(F911-Calc!F25)),(Inputs!$B$23+((C916=TRUE)*(F916-Calc!F30))+IF(ArtifactsInput!$M$15,CHOOSE(ArtifactsInput!$N$15+1,25,30,35,40,45,50)/100*(Inputs!$B$11-Inputs!$B$11),0)))/100+(Inputs!$B$23+((C916=TRUE)*(F916-Calc!F30))+IF(ArtifactsInput!$M$15,CHOOSE(ArtifactsInput!$N$15+1,25,30,35,40,45,50)/100*(Inputs!$B$11-Inputs!$B$11),0))/100)/2</f>
        <v/>
      </c>
      <c r="M903">
        <f>L903*(1+(Inputs!$B$10+((C913=TRUE)*(F913-Calc!F27))+B927+(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903">
        <f>L903*(1-MIN((Inputs!$B$9+((C912=TRUE)*(F912-Calc!F26))+B920+(ArtifactsInput!$M$24-ArtifactsInput!$M$24)*CHOOSE(ArtifactsInput!$N$24+1,10,12,14,16,18,20)+(IF(AND(Inputs!$B$39&lt;&gt;"pvp",Inputs!$B$44=0),1,IF(IF(Inputs!$B$39="pvp",15,Inputs!$B$44)-(B931)&lt;=0,1,MAX(0,IF(Inputs!$B$39="pvp",15,Inputs!$B$44)-MAX(5,B931))/(IF(Inputs!$B$39="pvp",15,Inputs!$B$44)-(B931))))*IF(AND(ArtifactsInput!$M$42,((Inputs!$B$9+((C912=TRUE)*(F912-Calc!F26))+B920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903*(MIN((Inputs!$B$9+((C912=TRUE)*(F912-Calc!F26))+B920+(ArtifactsInput!$M$24-ArtifactsInput!$M$24)*CHOOSE(ArtifactsInput!$N$24+1,10,12,14,16,18,20)+(IF(AND(Inputs!$B$39&lt;&gt;"pvp",Inputs!$B$44=0),1,IF(IF(Inputs!$B$39="pvp",15,Inputs!$B$44)-(B931)&lt;=0,1,MAX(0,IF(Inputs!$B$39="pvp",15,Inputs!$B$44)-MAX(5,B931))/(IF(Inputs!$B$39="pvp",15,Inputs!$B$44)-(B931))))*IF(AND(ArtifactsInput!$M$42,((Inputs!$B$9+((C912=TRUE)*(F912-Calc!F26))+B920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903">
        <f>(1-Summary!$B$11)*T903+Summary!$B$11*V903</f>
        <v/>
      </c>
      <c r="P903">
        <f>IF(B932=0,0,O903/B932)</f>
        <v/>
      </c>
      <c r="Q903" t="n">
        <v>0</v>
      </c>
      <c r="R903" t="n">
        <v>0</v>
      </c>
      <c r="S903">
        <f>IFERROR(O903/N903,0)</f>
        <v/>
      </c>
      <c r="T903">
        <f>IF(C903,(Inputs!$B$38*0.2*N903)*IF(Inputs!$B$39="pvp",1,1+(Inputs!$B$20+0+Skills!P17+B921+(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Hunt"),CHOOSE(ArtifactsInput!$N$35+1,15,18,21,24,27,30)*(1-EXP(-(0.2*B924)*5)),0)+IF(AND(ArtifactsInput!$M$22,Inputs!$B$4&lt;&gt;"Chapter Hunt"),CHOOSE(ArtifactsInput!$N$22+1,10,12,14,16,18,20)*((0*(((0.15*B924*5))^0/1)+1*(((0.15*B924*5))^1/1)+2*(((0.15*B924*5))^2/2)+3*(((0.15*B924*5))^3/6)+4*(((0.15*B924*5))^4/24)+5*(((0.15*B924*5))^5/120))/((((0.15*B924*5))^0/1)+(((0.15*B924*5))^1/1)+(((0.15*B924*5))^2/2)+(((0.15*B924*5))^3/6)+(((0.15*B924*5))^4/24)+(((0.15*B924*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903*(1-MIN(100,(Inputs!$B$9+((C912=TRUE)*(F912-Calc!F26))+B920+(ArtifactsInput!$M$24-ArtifactsInput!$M$24)*CHOOSE(ArtifactsInput!$N$24+1,10,12,14,16,18,20)+(IF(AND(Inputs!$B$39&lt;&gt;"pvp",Inputs!$B$44=0),1,IF(IF(Inputs!$B$39="pvp",15,Inputs!$B$44)-(B931)&lt;=0,1,MAX(0,IF(Inputs!$B$39="pvp",15,Inputs!$B$44)-MAX(5,B931))/(IF(Inputs!$B$39="pvp",15,Inputs!$B$44)-(B931))))*IF(AND(ArtifactsInput!$M$42,((Inputs!$B$9+((C912=TRUE)*(F912-Calc!F26))+B920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903*(MIN(100,(Inputs!$B$9+((C912=TRUE)*(F912-Calc!F26))+B920+(ArtifactsInput!$M$24-ArtifactsInput!$M$24)*CHOOSE(ArtifactsInput!$N$24+1,10,12,14,16,18,20)+(IF(AND(Inputs!$B$39&lt;&gt;"pvp",Inputs!$B$44=0),1,IF(IF(Inputs!$B$39="pvp",15,Inputs!$B$44)-(B931)&lt;=0,1,MAX(0,IF(Inputs!$B$39="pvp",15,Inputs!$B$44)-MAX(5,B931))/(IF(Inputs!$B$39="pvp",15,Inputs!$B$44)-(B931))))*IF(AND(ArtifactsInput!$M$42,((Inputs!$B$9+((C912=TRUE)*(F912-Calc!F26))+B920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903*(1-MIN(100,(Inputs!$B$9+((C912=TRUE)*(F912-Calc!F26))+B920+(ArtifactsInput!$M$24-ArtifactsInput!$M$24)*CHOOSE(ArtifactsInput!$N$24+1,10,12,14,16,18,20)+(IF(AND(Inputs!$B$39&lt;&gt;"pvp",Inputs!$B$44=0),1,IF(IF(Inputs!$B$39="pvp",15,Inputs!$B$44)-(B931)&lt;=0,1,MAX(0,IF(Inputs!$B$39="pvp",15,Inputs!$B$44)-MAX(5,B931))/(IF(Inputs!$B$39="pvp",15,Inputs!$B$44)-(B931))))*IF(AND(ArtifactsInput!$M$42,((Inputs!$B$9+((C912=TRUE)*(F912-Calc!F26))+B920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903*(MIN(100,(Inputs!$B$9+((C912=TRUE)*(F912-Calc!F26))+B920+(ArtifactsInput!$M$24-ArtifactsInput!$M$24)*CHOOSE(ArtifactsInput!$N$24+1,10,12,14,16,18,20)+(IF(AND(Inputs!$B$39&lt;&gt;"pvp",Inputs!$B$44=0),1,IF(IF(Inputs!$B$39="pvp",15,Inputs!$B$44)-(B931)&lt;=0,1,MAX(0,IF(Inputs!$B$39="pvp",15,Inputs!$B$44)-MAX(5,B931))/(IF(Inputs!$B$39="pvp",15,Inputs!$B$44)-(B931))))*IF(AND(ArtifactsInput!$M$42,((Inputs!$B$9+((C912=TRUE)*(F912-Calc!F26))+B920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903">
        <f>IF(C903,(Inputs!$B$38*0.2*N903)*IF(Inputs!$B$39="pvp",1,(1+(Inputs!$B$21+Skills!Q17+B921+(IF(ArtifactsInput!$M$33,CHOOSE(ArtifactsInput!$N$33+1,30,36,42,48,54,60),0))+(IF(AND(ArtifactsInput!$M$35,Inputs!$B$4&lt;&gt;"Chapter Hunt"),CHOOSE(ArtifactsInput!$N$35+1,15,18,21,24,27,30)*(1-EXP(-(0.2*B924)*5)),0)+IF(AND(ArtifactsInput!$M$22,Inputs!$B$4&lt;&gt;"Chapter Hunt"),CHOOSE(ArtifactsInput!$N$22+1,10,12,14,16,18,20)*((0*(((0.15*B924*5))^0/1)+1*(((0.15*B924*5))^1/1)+2*(((0.15*B924*5))^2/2)+3*(((0.15*B924*5))^3/6)+4*(((0.15*B924*5))^4/24)+5*(((0.15*B924*5))^5/120))/((((0.15*B924*5))^0/1)+(((0.15*B924*5))^1/1)+(((0.15*B924*5))^2/2)+(((0.15*B924*5))^3/6)+(((0.15*B924*5))^4/24)+(((0.15*B924*5))^5/120))),0)))/100)*(MIN(Skills!W17,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904">
      <c r="A904">
        <f>Skills!A18</f>
        <v/>
      </c>
      <c r="B904">
        <f>Skills!B18</f>
        <v/>
      </c>
      <c r="C904">
        <f>Inputs!$B$3&gt;=115</f>
        <v/>
      </c>
      <c r="D904">
        <f>IF(Skills!C18=1,60+(Inputs!$B$25+1)+Inputs!$B$29,IF(Skills!C18=2,90+Inputs!$B$26+Inputs!$B$29,IF(Skills!C18=3,120+Inputs!$B$27+Inputs!$B$29,MAX(0,(Inputs!$B$3-100)*3)+Inputs!$B$28+Inputs!$B$29)))</f>
        <v/>
      </c>
      <c r="E904">
        <f>INDEX(FactorTable!$B$2:$Y$301, MATCH(ROUND(MIN(300,MAX(1,D904)),0), FactorTable!$A$2:$A$301,0), Skills!M18+1)</f>
        <v/>
      </c>
      <c r="F904">
        <f>IF(Skills!N18=TRUE,(Skills!L18/10)*(E904/1000),Skills!L18/10)+Skills!O18</f>
        <v/>
      </c>
      <c r="G904">
        <f>Skills!G18*IF(Skills!H18&gt;0,IF(Inputs!$B$39="pvp",MIN(Skills!I18,15),Skills!I18)/Skills!H18,1)</f>
        <v/>
      </c>
      <c r="H904">
        <f>1-(1-Skills!J18/100)^Skills!K18</f>
        <v/>
      </c>
      <c r="I904" t="inlineStr">
        <is>
          <t>1</t>
        </is>
      </c>
      <c r="J904" t="inlineStr"/>
      <c r="K904" t="inlineStr"/>
      <c r="L904" t="inlineStr"/>
      <c r="M904" t="inlineStr"/>
      <c r="N904" t="inlineStr"/>
      <c r="O904">
        <f>(1-Summary!$B$11)*T904+Summary!$B$11*V904</f>
        <v/>
      </c>
      <c r="P904">
        <f>IF(B932=0,0,O904/B932)</f>
        <v/>
      </c>
      <c r="Q904" t="n">
        <v>0</v>
      </c>
      <c r="R904" t="n">
        <v>0</v>
      </c>
      <c r="S904">
        <f>IFERROR(O904/N904,0)</f>
        <v/>
      </c>
      <c r="T904" t="n">
        <v>0</v>
      </c>
      <c r="V904" t="n">
        <v>0</v>
      </c>
    </row>
    <row r="905">
      <c r="A905">
        <f>Skills!A19</f>
        <v/>
      </c>
      <c r="B905">
        <f>Skills!B19</f>
        <v/>
      </c>
      <c r="C905">
        <f>Inputs!$B$3&gt;=100</f>
        <v/>
      </c>
      <c r="D905">
        <f>IF(Skills!C19=1,60+(Inputs!$B$25+1)+Inputs!$B$29,IF(Skills!C19=2,90+Inputs!$B$26+Inputs!$B$29,IF(Skills!C19=3,120+Inputs!$B$27+Inputs!$B$29,MAX(0,(Inputs!$B$3-100)*3)+Inputs!$B$28+Inputs!$B$29)))</f>
        <v/>
      </c>
      <c r="E905">
        <f>INDEX(FactorTable!$B$2:$Y$301, MATCH(ROUND(MIN(300,MAX(1,D905)),0), FactorTable!$A$2:$A$301,0), Skills!M19+1)</f>
        <v/>
      </c>
      <c r="F905">
        <f>IF(Skills!N19=TRUE,(Skills!L19/10)*(E905/1000),Skills!L19/10)+Skills!O19</f>
        <v/>
      </c>
      <c r="G905">
        <f>Skills!G19*IF(Skills!H19&gt;0,IF(Inputs!$B$39="pvp",MIN(Skills!I19,15),Skills!I19)/Skills!H19,1)</f>
        <v/>
      </c>
      <c r="H905">
        <f>1-(1-Skills!J19/100)^Skills!K19</f>
        <v/>
      </c>
      <c r="I905" t="inlineStr">
        <is>
          <t>1</t>
        </is>
      </c>
      <c r="J905" t="inlineStr"/>
      <c r="K905" t="inlineStr"/>
      <c r="L905" t="inlineStr"/>
      <c r="M905" t="inlineStr"/>
      <c r="N905" t="inlineStr"/>
      <c r="O905">
        <f>(1-Summary!$B$11)*T905+Summary!$B$11*V905</f>
        <v/>
      </c>
      <c r="P905">
        <f>IF(B932=0,0,O905/B932)</f>
        <v/>
      </c>
      <c r="Q905" t="n">
        <v>0</v>
      </c>
      <c r="R905" t="n">
        <v>0</v>
      </c>
      <c r="S905">
        <f>IFERROR(O905/N905,0)</f>
        <v/>
      </c>
      <c r="T905" t="n">
        <v>0</v>
      </c>
      <c r="V905" t="n">
        <v>0</v>
      </c>
    </row>
    <row r="906">
      <c r="A906">
        <f>Skills!A20</f>
        <v/>
      </c>
      <c r="B906">
        <f>Skills!B20</f>
        <v/>
      </c>
      <c r="C906">
        <f>TRUE</f>
        <v/>
      </c>
      <c r="D906">
        <f>IF(Skills!C20=1,60+(Inputs!$B$25+1)+Inputs!$B$29,IF(Skills!C20=2,90+Inputs!$B$26+Inputs!$B$29,IF(Skills!C20=3,120+Inputs!$B$27+Inputs!$B$29,MAX(0,(Inputs!$B$3-100)*3)+Inputs!$B$28+Inputs!$B$29)))</f>
        <v/>
      </c>
      <c r="E906">
        <f>INDEX(FactorTable!$B$2:$Y$301, MATCH(ROUND(MIN(300,MAX(1,D906)),0), FactorTable!$A$2:$A$301,0), Skills!M20+1)</f>
        <v/>
      </c>
      <c r="F906">
        <f>IF(Skills!N20=TRUE,(Skills!L20/10)*(E906/1000),Skills!L20/10)+Skills!O20</f>
        <v/>
      </c>
      <c r="G906">
        <f>Skills!G20*IF(Skills!H20&gt;0,IF(Inputs!$B$39="pvp",MIN(Skills!I20,15),Skills!I20)/Skills!H20,1)</f>
        <v/>
      </c>
      <c r="H906">
        <f>1-(1-Skills!J20/100)^Skills!K20</f>
        <v/>
      </c>
      <c r="I906" t="inlineStr">
        <is>
          <t>1</t>
        </is>
      </c>
      <c r="J906" t="inlineStr"/>
      <c r="K906" t="inlineStr"/>
      <c r="L906" t="inlineStr"/>
      <c r="M906" t="inlineStr"/>
      <c r="N906" t="inlineStr"/>
      <c r="O906">
        <f>(1-Summary!$B$11)*T906+Summary!$B$11*V906</f>
        <v/>
      </c>
      <c r="P906">
        <f>IF(B932=0,0,O906/B932)</f>
        <v/>
      </c>
      <c r="Q906">
        <f>IFERROR(1/IF(Inputs!$B$39="pvp",15,MAX(0.1,Skills!D20-IF(TRUE=TRUE,Inputs!$B$32,0))),0)</f>
        <v/>
      </c>
      <c r="R906">
        <f>IF(AND(Inputs!$B$39&lt;&gt;"pvp",Inputs!$B$44&gt;0),IF(Inputs!$B$44&lt;=0,0,(INT(Inputs!$B$44/IF(Inputs!$B$39="pvp",15,MAX(0.1,Skills!D20-IF(TRUE=TRUE,Inputs!$B$32,0))))+1)),0)</f>
        <v/>
      </c>
      <c r="S906">
        <f>IFERROR(O906/N906,0)</f>
        <v/>
      </c>
      <c r="T906" t="n">
        <v>0</v>
      </c>
      <c r="V906" t="n">
        <v>0</v>
      </c>
    </row>
    <row r="907">
      <c r="A907">
        <f>Skills!A21</f>
        <v/>
      </c>
      <c r="B907">
        <f>Skills!B21</f>
        <v/>
      </c>
      <c r="C907">
        <f>Inputs!$B$3&gt;=15</f>
        <v/>
      </c>
      <c r="D907">
        <f>IF(Skills!C21=1,60+(Inputs!$B$25+1)+Inputs!$B$29,IF(Skills!C21=2,90+Inputs!$B$26+Inputs!$B$29,IF(Skills!C21=3,120+Inputs!$B$27+Inputs!$B$29,MAX(0,(Inputs!$B$3-100)*3)+Inputs!$B$28+Inputs!$B$29)))</f>
        <v/>
      </c>
      <c r="E907">
        <f>INDEX(FactorTable!$B$2:$Y$301, MATCH(ROUND(MIN(300,MAX(1,D907)),0), FactorTable!$A$2:$A$301,0), Skills!M21+1)</f>
        <v/>
      </c>
      <c r="F907">
        <f>IF(Skills!N21=TRUE,(Skills!L21/10)*(E907/1000),Skills!L21/10)+Skills!O21</f>
        <v/>
      </c>
      <c r="G907">
        <f>Skills!G21*IF(Skills!H21&gt;0,IF(Inputs!$B$39="pvp",MIN(Skills!I21,15),Skills!I21)/Skills!H21,1)</f>
        <v/>
      </c>
      <c r="H907">
        <f>1-(1-Skills!J21/100)^Skills!K21</f>
        <v/>
      </c>
      <c r="I907" t="inlineStr">
        <is>
          <t>1</t>
        </is>
      </c>
      <c r="J907" t="inlineStr"/>
      <c r="K907" t="inlineStr"/>
      <c r="L907" t="inlineStr"/>
      <c r="M907" t="inlineStr"/>
      <c r="N907" t="inlineStr"/>
      <c r="O907">
        <f>(1-Summary!$B$11)*T907+Summary!$B$11*V907</f>
        <v/>
      </c>
      <c r="P907">
        <f>IF(B932=0,0,O907/B932)</f>
        <v/>
      </c>
      <c r="Q907">
        <f>IFERROR(1/IF(Inputs!$B$39="pvp",15,MAX(0.1,Skills!D21-IF(TRUE=TRUE,Inputs!$B$32,0))),0)</f>
        <v/>
      </c>
      <c r="R907">
        <f>IF(AND(Inputs!$B$39&lt;&gt;"pvp",Inputs!$B$44&gt;0),IF(Inputs!$B$44&lt;=0,0,(INT(Inputs!$B$44/IF(Inputs!$B$39="pvp",15,MAX(0.1,Skills!D21-IF(TRUE=TRUE,Inputs!$B$32,0))))+1)),0)</f>
        <v/>
      </c>
      <c r="S907">
        <f>IFERROR(O907/N907,0)</f>
        <v/>
      </c>
      <c r="T907" t="n">
        <v>0</v>
      </c>
      <c r="V907" t="n">
        <v>0</v>
      </c>
    </row>
    <row r="908">
      <c r="A908">
        <f>Skills!A22</f>
        <v/>
      </c>
      <c r="B908">
        <f>Skills!B22</f>
        <v/>
      </c>
      <c r="C908">
        <f>Inputs!$B$3&gt;=15</f>
        <v/>
      </c>
      <c r="D908">
        <f>IF(Skills!C22=1,60+(Inputs!$B$25+1)+Inputs!$B$29,IF(Skills!C22=2,90+Inputs!$B$26+Inputs!$B$29,IF(Skills!C22=3,120+Inputs!$B$27+Inputs!$B$29,MAX(0,(Inputs!$B$3-100)*3)+Inputs!$B$28+Inputs!$B$29)))</f>
        <v/>
      </c>
      <c r="E908">
        <f>INDEX(FactorTable!$B$2:$Y$301, MATCH(ROUND(MIN(300,MAX(1,D908)),0), FactorTable!$A$2:$A$301,0), Skills!M22+1)</f>
        <v/>
      </c>
      <c r="F908">
        <f>IF(Skills!N22=TRUE,(Skills!L22/10)*(E908/1000),Skills!L22/10)+Skills!O22</f>
        <v/>
      </c>
      <c r="G908">
        <f>Skills!G22*IF(Skills!H22&gt;0,IF(Inputs!$B$39="pvp",MIN(Skills!I22,15),Skills!I22)/Skills!H22,1)</f>
        <v/>
      </c>
      <c r="H908">
        <f>1-(1-Skills!J22/100)^Skills!K22</f>
        <v/>
      </c>
      <c r="I908" t="inlineStr">
        <is>
          <t>1</t>
        </is>
      </c>
      <c r="J908" t="inlineStr"/>
      <c r="K908" t="inlineStr"/>
      <c r="L908" t="inlineStr"/>
      <c r="M908" t="inlineStr"/>
      <c r="N908" t="inlineStr"/>
      <c r="O908">
        <f>(1-Summary!$B$11)*T908+Summary!$B$11*V908</f>
        <v/>
      </c>
      <c r="P908">
        <f>IF(B932=0,0,O908/B932)</f>
        <v/>
      </c>
      <c r="Q908">
        <f>IFERROR(1/IF(Inputs!$B$39="pvp",15,MAX(0.1,Skills!D22-IF(TRUE=TRUE,Inputs!$B$32,0))),0)</f>
        <v/>
      </c>
      <c r="R908">
        <f>IF(AND(Inputs!$B$39&lt;&gt;"pvp",Inputs!$B$44&gt;0),IF(Inputs!$B$44&lt;=0,0,(INT(Inputs!$B$44/IF(Inputs!$B$39="pvp",15,MAX(0.1,Skills!D22-IF(TRUE=TRUE,Inputs!$B$32,0))))+1)),0)</f>
        <v/>
      </c>
      <c r="S908">
        <f>IFERROR(O908/N908,0)</f>
        <v/>
      </c>
      <c r="T908" t="n">
        <v>0</v>
      </c>
      <c r="V908" t="n">
        <v>0</v>
      </c>
    </row>
    <row r="909">
      <c r="A909">
        <f>Skills!A23</f>
        <v/>
      </c>
      <c r="B909">
        <f>Skills!B23</f>
        <v/>
      </c>
      <c r="C909">
        <f>Inputs!$B$3&gt;=33</f>
        <v/>
      </c>
      <c r="D909">
        <f>IF(Skills!C23=1,60+(Inputs!$B$25+1)+Inputs!$B$29,IF(Skills!C23=2,90+Inputs!$B$26+Inputs!$B$29,IF(Skills!C23=3,120+Inputs!$B$27+Inputs!$B$29,MAX(0,(Inputs!$B$3-100)*3)+Inputs!$B$28+Inputs!$B$29)))</f>
        <v/>
      </c>
      <c r="E909">
        <f>INDEX(FactorTable!$B$2:$Y$301, MATCH(ROUND(MIN(300,MAX(1,D909)),0), FactorTable!$A$2:$A$301,0), Skills!M23+1)</f>
        <v/>
      </c>
      <c r="F909">
        <f>IF(Skills!N23=TRUE,(Skills!L23/10)*(E909/1000),Skills!L23/10)+Skills!O23</f>
        <v/>
      </c>
      <c r="G909">
        <f>Skills!G23*IF(Skills!H23&gt;0,IF(Inputs!$B$39="pvp",MIN(Skills!I23,15),Skills!I23)/Skills!H23,1)</f>
        <v/>
      </c>
      <c r="H909">
        <f>1-(1-Skills!J23/100)^Skills!K23</f>
        <v/>
      </c>
      <c r="I909" t="inlineStr">
        <is>
          <t>1</t>
        </is>
      </c>
      <c r="J909" t="inlineStr"/>
      <c r="K909" t="inlineStr"/>
      <c r="L909" t="inlineStr"/>
      <c r="M909" t="inlineStr"/>
      <c r="N909" t="inlineStr"/>
      <c r="O909">
        <f>(1-Summary!$B$11)*T909+Summary!$B$11*V909</f>
        <v/>
      </c>
      <c r="P909">
        <f>IF(B932=0,0,O909/B932)</f>
        <v/>
      </c>
      <c r="Q909" t="n">
        <v>0</v>
      </c>
      <c r="R909" t="n">
        <v>0</v>
      </c>
      <c r="S909">
        <f>IFERROR(O909/N909,0)</f>
        <v/>
      </c>
      <c r="T909" t="n">
        <v>0</v>
      </c>
      <c r="V909" t="n">
        <v>0</v>
      </c>
    </row>
    <row r="910">
      <c r="A910">
        <f>Skills!A24</f>
        <v/>
      </c>
      <c r="B910">
        <f>Skills!B24</f>
        <v/>
      </c>
      <c r="C910">
        <f>Inputs!$B$3&gt;=40</f>
        <v/>
      </c>
      <c r="D910">
        <f>IF(Skills!C24=1,60+(Inputs!$B$25+1)+Inputs!$B$29,IF(Skills!C24=2,90+Inputs!$B$26+Inputs!$B$29,IF(Skills!C24=3,120+Inputs!$B$27+Inputs!$B$29,MAX(0,(Inputs!$B$3-100)*3)+Inputs!$B$28+Inputs!$B$29)))</f>
        <v/>
      </c>
      <c r="E910">
        <f>INDEX(FactorTable!$B$2:$Y$301, MATCH(ROUND(MIN(300,MAX(1,D910)),0), FactorTable!$A$2:$A$301,0), Skills!M24+1)</f>
        <v/>
      </c>
      <c r="F910">
        <f>IF(Skills!N24=TRUE,(Skills!L24/10)*(E910/1000),Skills!L24/10)+Skills!O24</f>
        <v/>
      </c>
      <c r="G910">
        <f>Skills!G24*IF(Skills!H24&gt;0,IF(Inputs!$B$39="pvp",MIN(Skills!I24,15),Skills!I24)/Skills!H24,1)</f>
        <v/>
      </c>
      <c r="H910">
        <f>1-(1-Skills!J24/100)^Skills!K24</f>
        <v/>
      </c>
      <c r="I910" t="inlineStr">
        <is>
          <t>1</t>
        </is>
      </c>
      <c r="J910" t="inlineStr"/>
      <c r="K910" t="inlineStr"/>
      <c r="L910" t="inlineStr"/>
      <c r="M910" t="inlineStr"/>
      <c r="N910" t="inlineStr"/>
      <c r="O910">
        <f>(1-Summary!$B$11)*T910+Summary!$B$11*V910</f>
        <v/>
      </c>
      <c r="P910">
        <f>IF(B932=0,0,O910/B932)</f>
        <v/>
      </c>
      <c r="Q910" t="n">
        <v>0</v>
      </c>
      <c r="R910" t="n">
        <v>0</v>
      </c>
      <c r="S910">
        <f>IFERROR(O910/N910,0)</f>
        <v/>
      </c>
      <c r="T910" t="n">
        <v>0</v>
      </c>
      <c r="V910" t="n">
        <v>0</v>
      </c>
    </row>
    <row r="911">
      <c r="A911">
        <f>Skills!A25</f>
        <v/>
      </c>
      <c r="B911">
        <f>Skills!B25</f>
        <v/>
      </c>
      <c r="C911">
        <f>Inputs!$B$3&gt;=43</f>
        <v/>
      </c>
      <c r="D911">
        <f>IF(Skills!C25=1,60+(Inputs!$B$25+1)+Inputs!$B$29,IF(Skills!C25=2,90+Inputs!$B$26+Inputs!$B$29,IF(Skills!C25=3,120+Inputs!$B$27+Inputs!$B$29,MAX(0,(Inputs!$B$3-100)*3)+Inputs!$B$28+Inputs!$B$29)))</f>
        <v/>
      </c>
      <c r="E911">
        <f>INDEX(FactorTable!$B$2:$Y$301, MATCH(ROUND(MIN(300,MAX(1,D911)),0), FactorTable!$A$2:$A$301,0), Skills!M25+1)</f>
        <v/>
      </c>
      <c r="F911">
        <f>IF(Skills!N25=TRUE,(Skills!L25/10)*(E911/1000),Skills!L25/10)+Skills!O25</f>
        <v/>
      </c>
      <c r="G911">
        <f>Skills!G25*IF(Skills!H25&gt;0,IF(Inputs!$B$39="pvp",MIN(Skills!I25,15),Skills!I25)/Skills!H25,1)</f>
        <v/>
      </c>
      <c r="H911">
        <f>1-(1-Skills!J25/100)^Skills!K25</f>
        <v/>
      </c>
      <c r="I911" t="inlineStr">
        <is>
          <t>1</t>
        </is>
      </c>
      <c r="J911" t="inlineStr"/>
      <c r="K911" t="inlineStr"/>
      <c r="L911" t="inlineStr"/>
      <c r="M911" t="inlineStr"/>
      <c r="N911" t="inlineStr"/>
      <c r="O911">
        <f>(1-Summary!$B$11)*T911+Summary!$B$11*V911</f>
        <v/>
      </c>
      <c r="P911">
        <f>IF(B932=0,0,O911/B932)</f>
        <v/>
      </c>
      <c r="Q911" t="n">
        <v>0</v>
      </c>
      <c r="R911" t="n">
        <v>0</v>
      </c>
      <c r="S911">
        <f>IFERROR(O911/N911,0)</f>
        <v/>
      </c>
      <c r="T911" t="n">
        <v>0</v>
      </c>
      <c r="V911" t="n">
        <v>0</v>
      </c>
    </row>
    <row r="912">
      <c r="A912">
        <f>Skills!A26</f>
        <v/>
      </c>
      <c r="B912">
        <f>Skills!B26</f>
        <v/>
      </c>
      <c r="C912">
        <f>Inputs!$B$3&gt;=50</f>
        <v/>
      </c>
      <c r="D912">
        <f>IF(Skills!C26=1,60+(Inputs!$B$25+1)+Inputs!$B$29,IF(Skills!C26=2,90+Inputs!$B$26+Inputs!$B$29,IF(Skills!C26=3,120+Inputs!$B$27+Inputs!$B$29,MAX(0,(Inputs!$B$3-100)*3)+Inputs!$B$28+Inputs!$B$29)))</f>
        <v/>
      </c>
      <c r="E912">
        <f>INDEX(FactorTable!$B$2:$Y$301, MATCH(ROUND(MIN(300,MAX(1,D912)),0), FactorTable!$A$2:$A$301,0), Skills!M26+1)</f>
        <v/>
      </c>
      <c r="F912">
        <f>IF(Skills!N26=TRUE,(Skills!L26/10)*(E912/1000),Skills!L26/10)+Skills!O26</f>
        <v/>
      </c>
      <c r="G912">
        <f>Skills!G26*IF(Skills!H26&gt;0,IF(Inputs!$B$39="pvp",MIN(Skills!I26,15),Skills!I26)/Skills!H26,1)</f>
        <v/>
      </c>
      <c r="H912">
        <f>1-(1-Skills!J26/100)^Skills!K26</f>
        <v/>
      </c>
      <c r="I912" t="inlineStr">
        <is>
          <t>1</t>
        </is>
      </c>
      <c r="J912" t="inlineStr"/>
      <c r="K912" t="inlineStr"/>
      <c r="L912" t="inlineStr"/>
      <c r="M912" t="inlineStr"/>
      <c r="N912" t="inlineStr"/>
      <c r="O912">
        <f>(1-Summary!$B$11)*T912+Summary!$B$11*V912</f>
        <v/>
      </c>
      <c r="P912">
        <f>IF(B932=0,0,O912/B932)</f>
        <v/>
      </c>
      <c r="Q912" t="n">
        <v>0</v>
      </c>
      <c r="R912" t="n">
        <v>0</v>
      </c>
      <c r="S912">
        <f>IFERROR(O912/N912,0)</f>
        <v/>
      </c>
      <c r="T912" t="n">
        <v>0</v>
      </c>
      <c r="V912" t="n">
        <v>0</v>
      </c>
    </row>
    <row r="913">
      <c r="A913">
        <f>Skills!A27</f>
        <v/>
      </c>
      <c r="B913">
        <f>Skills!B27</f>
        <v/>
      </c>
      <c r="C913">
        <f>Inputs!$B$3&gt;=50</f>
        <v/>
      </c>
      <c r="D913">
        <f>IF(Skills!C27=1,60+(Inputs!$B$25+1)+Inputs!$B$29,IF(Skills!C27=2,90+Inputs!$B$26+Inputs!$B$29,IF(Skills!C27=3,120+Inputs!$B$27+Inputs!$B$29,MAX(0,(Inputs!$B$3-100)*3)+Inputs!$B$28+Inputs!$B$29)))</f>
        <v/>
      </c>
      <c r="E913">
        <f>INDEX(FactorTable!$B$2:$Y$301, MATCH(ROUND(MIN(300,MAX(1,D913)),0), FactorTable!$A$2:$A$301,0), Skills!M27+1)</f>
        <v/>
      </c>
      <c r="F913">
        <f>IF(Skills!N27=TRUE,(Skills!L27/10)*(E913/1000),Skills!L27/10)+Skills!O27</f>
        <v/>
      </c>
      <c r="G913">
        <f>Skills!G27*IF(Skills!H27&gt;0,IF(Inputs!$B$39="pvp",MIN(Skills!I27,15),Skills!I27)/Skills!H27,1)</f>
        <v/>
      </c>
      <c r="H913">
        <f>1-(1-Skills!J27/100)^Skills!K27</f>
        <v/>
      </c>
      <c r="I913" t="inlineStr">
        <is>
          <t>1</t>
        </is>
      </c>
      <c r="J913" t="inlineStr"/>
      <c r="K913" t="inlineStr"/>
      <c r="L913" t="inlineStr"/>
      <c r="M913" t="inlineStr"/>
      <c r="N913" t="inlineStr"/>
      <c r="O913">
        <f>(1-Summary!$B$11)*T913+Summary!$B$11*V913</f>
        <v/>
      </c>
      <c r="P913">
        <f>IF(B932=0,0,O913/B932)</f>
        <v/>
      </c>
      <c r="Q913" t="n">
        <v>0</v>
      </c>
      <c r="R913" t="n">
        <v>0</v>
      </c>
      <c r="S913">
        <f>IFERROR(O913/N913,0)</f>
        <v/>
      </c>
      <c r="T913" t="n">
        <v>0</v>
      </c>
      <c r="V913" t="n">
        <v>0</v>
      </c>
    </row>
    <row r="914">
      <c r="A914">
        <f>Skills!A28</f>
        <v/>
      </c>
      <c r="B914">
        <f>Skills!B28</f>
        <v/>
      </c>
      <c r="C914">
        <f>Inputs!$B$3&gt;=38</f>
        <v/>
      </c>
      <c r="D914">
        <f>IF(Skills!C28=1,60+(Inputs!$B$25+1)+Inputs!$B$29,IF(Skills!C28=2,90+Inputs!$B$26+Inputs!$B$29,IF(Skills!C28=3,120+Inputs!$B$27+Inputs!$B$29,MAX(0,(Inputs!$B$3-100)*3)+Inputs!$B$28+Inputs!$B$29)))</f>
        <v/>
      </c>
      <c r="E914">
        <f>INDEX(FactorTable!$B$2:$Y$301, MATCH(ROUND(MIN(300,MAX(1,D914)),0), FactorTable!$A$2:$A$301,0), Skills!M28+1)</f>
        <v/>
      </c>
      <c r="F914">
        <f>IF(Skills!N28=TRUE,(Skills!L28/10)*(E914/1000),Skills!L28/10)+Skills!O28</f>
        <v/>
      </c>
      <c r="G914">
        <f>Skills!G28*IF(Skills!H28&gt;0,IF(Inputs!$B$39="pvp",MIN(Skills!I28,15),Skills!I28)/Skills!H28,1)</f>
        <v/>
      </c>
      <c r="H914">
        <f>1-(1-Skills!J28/100)^Skills!K28</f>
        <v/>
      </c>
      <c r="I914" t="inlineStr">
        <is>
          <t>1</t>
        </is>
      </c>
      <c r="J914" t="inlineStr"/>
      <c r="K914" t="inlineStr"/>
      <c r="L914" t="inlineStr"/>
      <c r="M914" t="inlineStr"/>
      <c r="N914" t="inlineStr"/>
      <c r="O914">
        <f>(1-Summary!$B$11)*T914+Summary!$B$11*V914</f>
        <v/>
      </c>
      <c r="P914">
        <f>IF(B932=0,0,O914/B932)</f>
        <v/>
      </c>
      <c r="Q914" t="n">
        <v>0</v>
      </c>
      <c r="R914" t="n">
        <v>0</v>
      </c>
      <c r="S914">
        <f>IFERROR(O914/N914,0)</f>
        <v/>
      </c>
      <c r="T914" t="n">
        <v>0</v>
      </c>
      <c r="V914" t="n">
        <v>0</v>
      </c>
    </row>
    <row r="915">
      <c r="A915">
        <f>Skills!A29</f>
        <v/>
      </c>
      <c r="B915">
        <f>Skills!B29</f>
        <v/>
      </c>
      <c r="C915">
        <f>Inputs!$B$3&gt;=120</f>
        <v/>
      </c>
      <c r="D915">
        <f>IF(Skills!C29=1,60+(Inputs!$B$25+1)+Inputs!$B$29,IF(Skills!C29=2,90+Inputs!$B$26+Inputs!$B$29,IF(Skills!C29=3,120+Inputs!$B$27+Inputs!$B$29,MAX(0,(Inputs!$B$3-100)*3)+Inputs!$B$28+Inputs!$B$29)))</f>
        <v/>
      </c>
      <c r="E915">
        <f>INDEX(FactorTable!$B$2:$Y$301, MATCH(ROUND(MIN(300,MAX(1,D915)),0), FactorTable!$A$2:$A$301,0), Skills!M29+1)</f>
        <v/>
      </c>
      <c r="F915">
        <f>IF(Skills!N29=TRUE,(Skills!L29/10)*(E915/1000),Skills!L29/10)+Skills!O29</f>
        <v/>
      </c>
      <c r="G915">
        <f>Skills!G29*IF(Skills!H29&gt;0,IF(Inputs!$B$39="pvp",MIN(Skills!I29,15),Skills!I29)/Skills!H29,1)</f>
        <v/>
      </c>
      <c r="H915">
        <f>1-(1-Skills!J29/100)^Skills!K29</f>
        <v/>
      </c>
      <c r="I915" t="inlineStr">
        <is>
          <t>1</t>
        </is>
      </c>
      <c r="J915" t="inlineStr"/>
      <c r="K915" t="inlineStr"/>
      <c r="L915" t="inlineStr"/>
      <c r="M915" t="inlineStr"/>
      <c r="N915" t="inlineStr"/>
      <c r="O915">
        <f>(1-Summary!$B$11)*T915+Summary!$B$11*V915</f>
        <v/>
      </c>
      <c r="P915">
        <f>IF(B932=0,0,O915/B932)</f>
        <v/>
      </c>
      <c r="Q915" t="n">
        <v>0</v>
      </c>
      <c r="R915" t="n">
        <v>0</v>
      </c>
      <c r="S915">
        <f>IFERROR(O915/N915,0)</f>
        <v/>
      </c>
      <c r="T915" t="n">
        <v>0</v>
      </c>
      <c r="V915" t="n">
        <v>0</v>
      </c>
    </row>
    <row r="916">
      <c r="A916">
        <f>Skills!A30</f>
        <v/>
      </c>
      <c r="B916">
        <f>Skills!B30</f>
        <v/>
      </c>
      <c r="C916">
        <f>Inputs!$B$3&gt;=120</f>
        <v/>
      </c>
      <c r="D916">
        <f>IF(Skills!C30=1,60+(Inputs!$B$25+1)+Inputs!$B$29,IF(Skills!C30=2,90+Inputs!$B$26+Inputs!$B$29,IF(Skills!C30=3,120+Inputs!$B$27+Inputs!$B$29,MAX(0,(Inputs!$B$3-100)*3)+Inputs!$B$28+Inputs!$B$29)))</f>
        <v/>
      </c>
      <c r="E916">
        <f>INDEX(FactorTable!$B$2:$Y$301, MATCH(ROUND(MIN(300,MAX(1,D916)),0), FactorTable!$A$2:$A$301,0), Skills!M30+1)</f>
        <v/>
      </c>
      <c r="F916">
        <f>IF(Skills!N30=TRUE,(Skills!L30/10)*(E916/1000),Skills!L30/10)+Skills!O30</f>
        <v/>
      </c>
      <c r="G916">
        <f>Skills!G30*IF(Skills!H30&gt;0,IF(Inputs!$B$39="pvp",MIN(Skills!I30,15),Skills!I30)/Skills!H30,1)</f>
        <v/>
      </c>
      <c r="H916">
        <f>1-(1-Skills!J30/100)^Skills!K30</f>
        <v/>
      </c>
      <c r="I916" t="inlineStr">
        <is>
          <t>1</t>
        </is>
      </c>
      <c r="J916" t="inlineStr"/>
      <c r="K916" t="inlineStr"/>
      <c r="L916" t="inlineStr"/>
      <c r="M916" t="inlineStr"/>
      <c r="N916" t="inlineStr"/>
      <c r="O916">
        <f>(1-Summary!$B$11)*T916+Summary!$B$11*V916</f>
        <v/>
      </c>
      <c r="P916">
        <f>IF(B932=0,0,O916/B932)</f>
        <v/>
      </c>
      <c r="Q916" t="n">
        <v>0</v>
      </c>
      <c r="R916" t="n">
        <v>0</v>
      </c>
      <c r="S916">
        <f>IFERROR(O916/N916,0)</f>
        <v/>
      </c>
      <c r="T916" t="n">
        <v>0</v>
      </c>
      <c r="V916" t="n">
        <v>0</v>
      </c>
    </row>
    <row r="917">
      <c r="A917">
        <f>Skills!A31</f>
        <v/>
      </c>
      <c r="B917">
        <f>Skills!B31</f>
        <v/>
      </c>
      <c r="C917">
        <f>Inputs!$B$3&gt;=125</f>
        <v/>
      </c>
      <c r="D917">
        <f>IF(Skills!C31=1,60+(Inputs!$B$25+1)+Inputs!$B$29,IF(Skills!C31=2,90+Inputs!$B$26+Inputs!$B$29,IF(Skills!C31=3,120+Inputs!$B$27+Inputs!$B$29,MAX(0,(Inputs!$B$3-100)*3)+Inputs!$B$28+Inputs!$B$29)))</f>
        <v/>
      </c>
      <c r="E917">
        <f>INDEX(FactorTable!$B$2:$Y$301, MATCH(ROUND(MIN(300,MAX(1,D917)),0), FactorTable!$A$2:$A$301,0), Skills!M31+1)</f>
        <v/>
      </c>
      <c r="F917">
        <f>IF(Skills!N31=TRUE,(Skills!L31/10)*(E917/1000),Skills!L31/10)+Skills!O31</f>
        <v/>
      </c>
      <c r="G917">
        <f>Skills!G31*IF(Skills!H31&gt;0,IF(Inputs!$B$39="pvp",MIN(Skills!I31,15),Skills!I31)/Skills!H31,1)</f>
        <v/>
      </c>
      <c r="H917">
        <f>1-(1-Skills!J31/100)^Skills!K31</f>
        <v/>
      </c>
      <c r="I917" t="inlineStr">
        <is>
          <t>1</t>
        </is>
      </c>
      <c r="J917" t="inlineStr"/>
      <c r="K917" t="inlineStr"/>
      <c r="L917" t="inlineStr"/>
      <c r="M917" t="inlineStr"/>
      <c r="N917" t="inlineStr"/>
      <c r="O917">
        <f>(1-Summary!$B$11)*T917+Summary!$B$11*V917</f>
        <v/>
      </c>
      <c r="P917">
        <f>IF(B932=0,0,O917/B932)</f>
        <v/>
      </c>
      <c r="Q917" t="n">
        <v>0</v>
      </c>
      <c r="R917" t="n">
        <v>0</v>
      </c>
      <c r="S917">
        <f>IFERROR(O917/N917,0)</f>
        <v/>
      </c>
      <c r="T917" t="n">
        <v>0</v>
      </c>
      <c r="V917" t="n">
        <v>0</v>
      </c>
    </row>
    <row r="919">
      <c r="A919" t="inlineStr">
        <is>
          <t>Average Buff Multiplier</t>
        </is>
      </c>
      <c r="B919">
        <f>(1+(((C908=TRUE)*F908*IF(AND(Inputs!$B$39&lt;&gt;"pvp",Inputs!$B$44&gt;0),(((R908-1)*MIN((Skills!Y22*(1+Inputs!$B$34/100)),(1/Q908))+MIN((Skills!Y22*(1+Inputs!$B$34/100)),MAX(0,Inputs!$B$44-((R908-1)*(1/Q908)))))/Inputs!$B$44),IF(Inputs!$B$39="pvp",MIN((Skills!Y22*(1+Inputs!$B$34/100)),15)/15,MIN(1,(Skills!Y22*(1+Inputs!$B$34/100))/(1/Q908)))))+((C889=TRUE)*F889*3)+((C891=TRUE)*F891*(1-EXP(-0.75*B924*5)))+((C910=TRUE)*(F910-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897=TRUE)*F897*IF(AND(Inputs!$B$39&lt;&gt;"pvp",Inputs!$B$44&gt;0),(((R897-1)*MIN((Skills!Y11*(1+Inputs!$B$34/100)),(1/Q897))+MIN((Skills!Y11*(1+Inputs!$B$34/100)),MAX(0,Inputs!$B$44-((R897-1)*(1/Q897)))))/Inputs!$B$44),IF(Inputs!$B$39="pvp",MIN((Skills!Y11*(1+Inputs!$B$34/100)),15)/15,MIN(1,(Skills!Y11*(1+Inputs!$B$34/100))/(1/Q897)))))/100)*(1+((C902=TRUE)*F902*IF(AND(Inputs!$B$39&lt;&gt;"pvp",Inputs!$B$44&gt;0),(((R902-1)*MIN((Skills!Y16*(1+Inputs!$B$34/100)),(1/Q902))+MIN((Skills!Y16*(1+Inputs!$B$34/100)),MAX(0,Inputs!$B$44-((R902-1)*(1/Q902)))))/Inputs!$B$44),IF(Inputs!$B$39="pvp",MIN((Skills!Y16*(1+Inputs!$B$34/100)),15)/15,MIN(1,(Skills!Y16*(1+Inputs!$B$34/100))/(1/Q902)))))/100)</f>
        <v/>
      </c>
    </row>
    <row r="920">
      <c r="A920" t="inlineStr">
        <is>
          <t>Global Crit Rate Bonus %</t>
        </is>
      </c>
      <c r="B920">
        <f>((C907=TRUE)*F907*IF(AND(Inputs!$B$39&lt;&gt;"pvp",Inputs!$B$44&gt;0),(((R907-1)*MIN((Skills!Y21*(1+Inputs!$B$34/100)),(1/Q907))+MIN((Skills!Y21*(1+Inputs!$B$34/100)),MAX(0,Inputs!$B$44-((R907-1)*(1/Q907)))))/Inputs!$B$44),IF(Inputs!$B$39="pvp",MIN((Skills!Y21*(1+Inputs!$B$34/100)),15)/15,MIN(1,(Skills!Y21*(1+Inputs!$B$34/100))/(1/Q907)))))</f>
        <v/>
      </c>
    </row>
    <row r="921">
      <c r="A921" t="inlineStr">
        <is>
          <t>Global Monster Damage-Taken Bonus %</t>
        </is>
      </c>
      <c r="B921">
        <f>IF(Inputs!$B$3&gt;=82,15,0)</f>
        <v/>
      </c>
    </row>
    <row r="922">
      <c r="A922" t="inlineStr">
        <is>
          <t>Shadow Partner Average Multiplier</t>
        </is>
      </c>
      <c r="B922">
        <f>1+((C894=TRUE)*F894*(1+3.3333333333333335*IF(C905=TRUE,F905,0)/100)*I894*Skills!J8/100)/100</f>
        <v/>
      </c>
    </row>
    <row r="923">
      <c r="A923" t="inlineStr">
        <is>
          <t>Attack Speed Buff Bonus %</t>
        </is>
      </c>
      <c r="B923">
        <f>((C906=TRUE)*F906*IF(AND(Inputs!$B$39&lt;&gt;"pvp",Inputs!$B$44&gt;0),(((R906-1)*MIN((Skills!Y20*(1+Inputs!$B$34/100)),(1/Q906))+MIN((Skills!Y20*(1+Inputs!$B$34/100)),MAX(0,Inputs!$B$44-((R906-1)*(1/Q906)))))/Inputs!$B$44),IF(Inputs!$B$39="pvp",MIN((Skills!Y20*(1+Inputs!$B$34/100)),15)/15,MIN(1,(Skills!Y20*(1+Inputs!$B$34/100))/(1/Q906)))))</f>
        <v/>
      </c>
    </row>
    <row r="924">
      <c r="A924" t="inlineStr">
        <is>
          <t>Actions Per Second</t>
        </is>
      </c>
      <c r="B924">
        <f>1+MIN(150,150*(1-(1-(Inputs!$B$11+((C909=TRUE)*(F909-Calc!F23)))/150)*(1-B923/150)))/100</f>
        <v/>
      </c>
    </row>
    <row r="925">
      <c r="A925" t="inlineStr">
        <is>
          <t>Skill + Buff Cast Rate</t>
        </is>
      </c>
      <c r="B925">
        <f>IF(AND(Inputs!$B$39&lt;&gt;"pvp",Inputs!$B$44&gt;0),SUMPRODUCT((Skills!E2:E31=TRUE)*(C888:C917=TRUE)*R888:R917*Skills!F2:F31)/Inputs!$B$44,SUMPRODUCT((Skills!E2:E31=TRUE)*(C888:C917=TRUE)*Q888:Q917*Skills!F2:F31))</f>
        <v/>
      </c>
    </row>
    <row r="926">
      <c r="A926" t="inlineStr">
        <is>
          <t>Cruel Stab Casts Per Second</t>
        </is>
      </c>
      <c r="B926">
        <f>MAX(0,B924-B925)</f>
        <v/>
      </c>
    </row>
    <row r="927">
      <c r="A927" t="inlineStr">
        <is>
          <t>Global Critical Damage Bonus % (Smokescreen Mastery Lv.113)</t>
        </is>
      </c>
      <c r="B927">
        <f>IF(Inputs!$B$3&gt;=113,30,0)*IF(AND(Inputs!$B$39&lt;&gt;"pvp",Inputs!$B$44&gt;0),(((R902-1)*MIN((Skills!Y16*(1+Inputs!$B$34/100)),(1/Q902))+MIN((Skills!Y16*(1+Inputs!$B$34/100)),MAX(0,Inputs!$B$44-((R902-1)*(1/Q902)))))/Inputs!$B$44),IF(Inputs!$B$39="pvp",MIN((Skills!Y16*(1+Inputs!$B$34/100)),15)/15,MIN(1,(Skills!Y16*(1+Inputs!$B$34/100))/(1/Q902))))</f>
        <v/>
      </c>
    </row>
    <row r="928">
      <c r="A928" t="inlineStr">
        <is>
          <t>Meso Explosion average stack count</t>
        </is>
      </c>
      <c r="B928">
        <f>MIN(10,IF(Inputs!$B$3&gt;=75,0.75,0.5)*B924*(1/Q890))</f>
        <v/>
      </c>
    </row>
    <row r="929">
      <c r="A929" t="inlineStr">
        <is>
          <t>Blood Money average stack count</t>
        </is>
      </c>
      <c r="B929">
        <f>MIN(5,0.5*IF(Inputs!$B$3&gt;=75,0.75,0.5)*B924*(1/Q890))</f>
        <v/>
      </c>
    </row>
    <row r="930">
      <c r="A930" t="inlineStr">
        <is>
          <t>Assassinate Murderous Intent Multiplier</t>
        </is>
      </c>
      <c r="B930">
        <f>1+IFERROR(MIN(1,Q901*2/Q898),0)</f>
        <v/>
      </c>
    </row>
    <row r="931">
      <c r="A931" t="inlineStr">
        <is>
          <t>Buff-Casting Startup Delay (s, fixed-duration only)</t>
        </is>
      </c>
      <c r="B931">
        <f>IF(AND(Inputs!$B$39&lt;&gt;"pvp",Inputs!$B$44&gt;0),SUMPRODUCT((Skills!Y2:Y31&gt;0)*(Skills!E2:E31=TRUE)*(C888:C917=TRUE))/B924,0)</f>
        <v/>
      </c>
    </row>
    <row r="932">
      <c r="A932" s="6" t="inlineStr">
        <is>
          <t>TOTAL DPS</t>
        </is>
      </c>
      <c r="B932" s="6">
        <f>SUM(O888:O917)</f>
        <v/>
      </c>
    </row>
    <row r="933">
      <c r="A933" t="inlineStr">
        <is>
          <t>Boss-Only Total DPS (this block's swept value)</t>
        </is>
      </c>
      <c r="B933">
        <f>SUM(T888:T917)</f>
        <v/>
      </c>
    </row>
    <row r="934">
      <c r="A934" t="inlineStr">
        <is>
          <t>Normal-Only Total DPS (this block's swept value)</t>
        </is>
      </c>
      <c r="B934">
        <f>SUM(V888:V917)</f>
        <v/>
      </c>
    </row>
    <row r="937">
      <c r="A937" s="6" t="inlineStr">
        <is>
          <t>Stat: Skill Level Bonus — 2nd Job</t>
        </is>
      </c>
    </row>
    <row r="938">
      <c r="A938" s="5" t="inlineStr">
        <is>
          <t>Key</t>
        </is>
      </c>
      <c r="B938" s="5" t="inlineStr">
        <is>
          <t>Name</t>
        </is>
      </c>
      <c r="C938" s="5" t="inlineStr">
        <is>
          <t>Unlocked</t>
        </is>
      </c>
      <c r="D938" s="5" t="inlineStr">
        <is>
          <t>InputLevel</t>
        </is>
      </c>
      <c r="E938" s="5" t="inlineStr">
        <is>
          <t>Factor</t>
        </is>
      </c>
      <c r="F938" s="5" t="inlineStr">
        <is>
          <t>CoefficientPercent</t>
        </is>
      </c>
      <c r="G938" s="5" t="inlineStr">
        <is>
          <t>EffectiveHits</t>
        </is>
      </c>
      <c r="H938" s="5" t="inlineStr">
        <is>
          <t>ProcProbability</t>
        </is>
      </c>
      <c r="I938" s="5" t="inlineStr">
        <is>
          <t>MapleHeroMultiplier</t>
        </is>
      </c>
      <c r="J938" s="5" t="inlineStr">
        <is>
          <t>BaseDamage</t>
        </is>
      </c>
      <c r="K938" s="5" t="inlineStr">
        <is>
          <t>BaseHitDamage</t>
        </is>
      </c>
      <c r="L938" s="5" t="inlineStr">
        <is>
          <t>NonCritAvg</t>
        </is>
      </c>
      <c r="M938" s="5" t="inlineStr">
        <is>
          <t>CritAvg</t>
        </is>
      </c>
      <c r="N938" s="5" t="inlineStr">
        <is>
          <t>ExpectedDamage(perHit)</t>
        </is>
      </c>
      <c r="O938" s="5" t="inlineStr">
        <is>
          <t>DPS</t>
        </is>
      </c>
      <c r="P938" s="5" t="inlineStr">
        <is>
          <t>% of Total</t>
        </is>
      </c>
      <c r="Q938" s="5" t="inlineStr">
        <is>
          <t>InvCooldown</t>
        </is>
      </c>
      <c r="R938" s="5" t="inlineStr">
        <is>
          <t>CastsInFight</t>
        </is>
      </c>
      <c r="S938" s="5" t="inlineStr">
        <is>
          <t>HitRate(perSec)</t>
        </is>
      </c>
      <c r="U938" t="inlineStr">
        <is>
          <t>helpers</t>
        </is>
      </c>
    </row>
    <row r="939">
      <c r="A939">
        <f>Skills!A2</f>
        <v/>
      </c>
      <c r="B939">
        <f>Skills!B2</f>
        <v/>
      </c>
      <c r="C939">
        <f>Inputs!$B$3&gt;=100</f>
        <v/>
      </c>
      <c r="D939" t="inlineStr"/>
      <c r="E939" t="inlineStr"/>
      <c r="F939">
        <f>U941+Skills!O2</f>
        <v/>
      </c>
      <c r="G939">
        <f>Skills!G2*IF(Skills!H2&gt;0,IF(Inputs!$B$39="pvp",MIN(Skills!I2,15),Skills!I2)/Skills!H2,1)</f>
        <v/>
      </c>
      <c r="H939">
        <f>1-(1-Skills!J2/100)^Skills!K2</f>
        <v/>
      </c>
      <c r="I939" t="inlineStr">
        <is>
          <t>1</t>
        </is>
      </c>
      <c r="J939">
        <f>((Inputs!$B$6*(1+Inputs!$B$7/100))+(((Inputs!$B$12*(1+Inputs!$B$13/100))-(Inputs!$B$12*(1+Inputs!$B$13/100)))+0.25*(Inputs!$B$14-Inputs!$B$14))*(1+Inputs!$B$7/100))*(F939/100)</f>
        <v/>
      </c>
      <c r="K939">
        <f>J939*(1+((Inputs!$B$12*(1+Inputs!$B$13/100))*0.01+Inputs!$B$14*0.0025)/100)*(1+Inputs!$B$15/100)*(1+Inputs!$B$16/100)*(5000/(6000+Inputs!$B$43*(1-(100*(1-(1-Inputs!$B$19/100)*(1-CHOOSE(ArtifactsInput!$N$40+1,5,6,7,8,9,10)/100)^(ArtifactsInput!$M$40-ArtifactsInput!$M$40)))/100)))*(1+(Inputs!$B$24+((C968=TRUE)*(F968-Calc!F31))+((C955=TRUE)*(F955-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CRUEL_STAB",Inputs!$B$17+((C965=TRUE)*(F965-Calc!F28))+((IF(AND(Inputs!$B$39&lt;&gt;"pvp",Inputs!$B$44=0),1,IF(IF(Inputs!$B$39="pvp",15,Inputs!$B$44)-(B982)&lt;=0,1,MAX(0,IF(Inputs!$B$39="pvp",15,Inputs!$B$44)-MAX(5,B982))/(IF(Inputs!$B$39="pvp",15,Inputs!$B$44)-(B982))))*(IF(AND(ArtifactsInput!$M$42,((Inputs!$B$9+((C963=TRUE)*(F963-Calc!F26))+B971+(ArtifactsInput!$M$24-ArtifactsInput!$M$24)*CHOOSE(ArtifactsInput!$N$24+1,10,12,14,16,18,20)+IF(ArtifactsInput!$M$10,CHOOSE(ArtifactsInput!$N$10+1,15,18,21,24,27,30)*(IF(Inputs!$B$39="pvp",MIN(15,15)/15,IF(AND(Inputs!$B$39&lt;&gt;"pvp",Inputs!$B$44&gt;0),MIN(15,Inputs!$B$44)/(Inputs!$B$44),0))),0)))&gt;=100),MIN(100,((Inputs!$B$9+((C963=TRUE)*(F963-Calc!F26))+B971+(ArtifactsInput!$M$24-ArtifactsInput!$M$24)*CHOOSE(ArtifactsInput!$N$24+1,10,12,14,16,18,20)+IF(ArtifactsInput!$M$10,CHOOSE(ArtifactsInput!$N$10+1,15,18,21,24,27,30)*(IF(Inputs!$B$39="pvp",MIN(15,15)/15,IF(AND(Inputs!$B$39&lt;&gt;"pvp",Inputs!$B$44&gt;0),MIN(15,Inputs!$B$44)/(Inputs!$B$44),0))),0)))-100),0))*CHOOSE(ArtifactsInput!$N$42+1,0.6,0.72,0.84,0.96,1.08,1.2))),Inputs!$B$18+((C966=TRUE)*(F966-Calc!F29))+(IF(AND(Inputs!$B$39&lt;&gt;"pvp",Inputs!$B$44=0),1,IF(IF(Inputs!$B$39="pvp",15,Inputs!$B$44)-(B982)&lt;=0,1,MAX(0,IF(Inputs!$B$39="pvp",15,Inputs!$B$44)-MAX(5,B982))/(IF(Inputs!$B$39="pvp",15,Inputs!$B$44)-(B982))))*IF(AND(ArtifactsInput!$M$42,((Inputs!$B$9+((C963=TRUE)*(F963-Calc!F26))+B971+(ArtifactsInput!$M$24-ArtifactsInput!$M$24)*CHOOSE(ArtifactsInput!$N$24+1,10,12,14,16,18,20)+IF(ArtifactsInput!$M$10,CHOOSE(ArtifactsInput!$N$10+1,15,18,21,24,27,30)*(IF(Inputs!$B$39="pvp",MIN(15,15)/15,IF(AND(Inputs!$B$39&lt;&gt;"pvp",Inputs!$B$44&gt;0),MIN(15,Inputs!$B$44)/(Inputs!$B$44),0))),0)))&gt;=100),CHOOSE(ArtifactsInput!$N$42+1,40,48,56,64,72,80),0))))/100)*(((1+(((C959=TRUE)*F959*IF(AND(Inputs!$B$39&lt;&gt;"pvp",Inputs!$B$44&gt;0),(((R959-1)*MIN((Skills!Y22*(1+Inputs!$B$34/100)),(1/Q959))+MIN((Skills!Y22*(1+Inputs!$B$34/100)),MAX(0,Inputs!$B$44-((R959-1)*(1/Q959)))))/Inputs!$B$44),IF(Inputs!$B$39="pvp",MIN((Skills!Y22*(1+Inputs!$B$34/100)),15)/15,MIN(1,(Skills!Y22*(1+Inputs!$B$34/100))/(1/Q959)))))+((C940=TRUE)*F940*3)+((C942=TRUE)*F942*(1-EXP(-0.75*B975*5)))+((C961=TRUE)*(F961-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948=TRUE)*F948*IF(AND(Inputs!$B$39&lt;&gt;"pvp",Inputs!$B$44&gt;0),(((R948-1)*MIN((Skills!Y11*(1+Inputs!$B$34/100)),(1/Q948))+MIN((Skills!Y11*(1+Inputs!$B$34/100)),MAX(0,Inputs!$B$44-((R948-1)*(1/Q948)))))/Inputs!$B$44),IF(Inputs!$B$39="pvp",MIN((Skills!Y11*(1+Inputs!$B$34/100)),15)/15,MIN(1,(Skills!Y11*(1+Inputs!$B$34/100))/(1/Q948)))))/100)*(1+((C953=TRUE)*F953*IF(AND(Inputs!$B$39&lt;&gt;"pvp",Inputs!$B$44&gt;0),(((R953-1)*MIN((Skills!Y16*(1+Inputs!$B$34/100)),(1/Q953))+MIN((Skills!Y16*(1+Inputs!$B$34/100)),MAX(0,Inputs!$B$44-((R953-1)*(1/Q953)))))/Inputs!$B$44),IF(Inputs!$B$39="pvp",MIN((Skills!Y16*(1+Inputs!$B$34/100)),15)/15,MIN(1,(Skills!Y16*(1+Inputs!$B$34/100))/(1/Q953)))))/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973*I939)</f>
        <v/>
      </c>
      <c r="L939">
        <f>K939*(MIN(Inputs!$B$22+((C962=TRUE)*(F962-Calc!F25)),(Inputs!$B$23+((C967=TRUE)*(F967-Calc!F30))+IF(ArtifactsInput!$M$15,CHOOSE(ArtifactsInput!$N$15+1,25,30,35,40,45,50)/100*(Inputs!$B$11-Inputs!$B$11),0)))/100+(Inputs!$B$23+((C967=TRUE)*(F967-Calc!F30))+IF(ArtifactsInput!$M$15,CHOOSE(ArtifactsInput!$N$15+1,25,30,35,40,45,50)/100*(Inputs!$B$11-Inputs!$B$11),0))/100)/2</f>
        <v/>
      </c>
      <c r="M939">
        <f>L939*(1+(Inputs!$B$10+((C964=TRUE)*(F964-Calc!F27))+B978+(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939">
        <f>L939*(1-MIN((Inputs!$B$9+((C963=TRUE)*(F963-Calc!F26))+B971+(ArtifactsInput!$M$24-ArtifactsInput!$M$24)*CHOOSE(ArtifactsInput!$N$24+1,10,12,14,16,18,20)+(IF(AND(Inputs!$B$39&lt;&gt;"pvp",Inputs!$B$44=0),1,IF(IF(Inputs!$B$39="pvp",15,Inputs!$B$44)-(B982)&lt;=0,1,MAX(0,IF(Inputs!$B$39="pvp",15,Inputs!$B$44)-MAX(5,B982))/(IF(Inputs!$B$39="pvp",15,Inputs!$B$44)-(B982))))*IF(AND(ArtifactsInput!$M$42,((Inputs!$B$9+((C963=TRUE)*(F963-Calc!F26))+B971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939*(MIN((Inputs!$B$9+((C963=TRUE)*(F963-Calc!F26))+B971+(ArtifactsInput!$M$24-ArtifactsInput!$M$24)*CHOOSE(ArtifactsInput!$N$24+1,10,12,14,16,18,20)+(IF(AND(Inputs!$B$39&lt;&gt;"pvp",Inputs!$B$44=0),1,IF(IF(Inputs!$B$39="pvp",15,Inputs!$B$44)-(B982)&lt;=0,1,MAX(0,IF(Inputs!$B$39="pvp",15,Inputs!$B$44)-MAX(5,B982))/(IF(Inputs!$B$39="pvp",15,Inputs!$B$44)-(B982))))*IF(AND(ArtifactsInput!$M$42,((Inputs!$B$9+((C963=TRUE)*(F963-Calc!F26))+B971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939">
        <f>(1-Summary!$B$11)*T939+Summary!$B$11*V939</f>
        <v/>
      </c>
      <c r="P939">
        <f>IF(B983=0,0,O939/B983)</f>
        <v/>
      </c>
      <c r="Q939" t="n">
        <v>0</v>
      </c>
      <c r="R939" t="n">
        <v>0</v>
      </c>
      <c r="S939">
        <f>IFERROR(O939/N939,0)</f>
        <v/>
      </c>
      <c r="T939">
        <f>IF(C939,(Skills!G2*N939*B977)*IF(Inputs!$B$39="pvp",1,1+(Inputs!$B$20+0+Skills!P2+B972+(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Hunt"),CHOOSE(ArtifactsInput!$N$35+1,15,18,21,24,27,30)*(1-EXP(-(0.2*B975)*5)),0)+IF(AND(ArtifactsInput!$M$22,Inputs!$B$4&lt;&gt;"Chapter Hunt"),CHOOSE(ArtifactsInput!$N$22+1,10,12,14,16,18,20)*((0*(((0.15*B975*5))^0/1)+1*(((0.15*B975*5))^1/1)+2*(((0.15*B975*5))^2/2)+3*(((0.15*B975*5))^3/6)+4*(((0.15*B975*5))^4/24)+5*(((0.15*B975*5))^5/120))/((((0.15*B975*5))^0/1)+(((0.15*B975*5))^1/1)+(((0.15*B975*5))^2/2)+(((0.15*B975*5))^3/6)+(((0.15*B975*5))^4/24)+(((0.15*B975*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939*(1-MIN(100,(Inputs!$B$9+((C963=TRUE)*(F963-Calc!F26))+B971+(ArtifactsInput!$M$24-ArtifactsInput!$M$24)*CHOOSE(ArtifactsInput!$N$24+1,10,12,14,16,18,20)+(IF(AND(Inputs!$B$39&lt;&gt;"pvp",Inputs!$B$44=0),1,IF(IF(Inputs!$B$39="pvp",15,Inputs!$B$44)-(B982)&lt;=0,1,MAX(0,IF(Inputs!$B$39="pvp",15,Inputs!$B$44)-MAX(5,B982))/(IF(Inputs!$B$39="pvp",15,Inputs!$B$44)-(B982))))*IF(AND(ArtifactsInput!$M$42,((Inputs!$B$9+((C963=TRUE)*(F963-Calc!F26))+B971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939*(MIN(100,(Inputs!$B$9+((C963=TRUE)*(F963-Calc!F26))+B971+(ArtifactsInput!$M$24-ArtifactsInput!$M$24)*CHOOSE(ArtifactsInput!$N$24+1,10,12,14,16,18,20)+(IF(AND(Inputs!$B$39&lt;&gt;"pvp",Inputs!$B$44=0),1,IF(IF(Inputs!$B$39="pvp",15,Inputs!$B$44)-(B982)&lt;=0,1,MAX(0,IF(Inputs!$B$39="pvp",15,Inputs!$B$44)-MAX(5,B982))/(IF(Inputs!$B$39="pvp",15,Inputs!$B$44)-(B982))))*IF(AND(ArtifactsInput!$M$42,((Inputs!$B$9+((C963=TRUE)*(F963-Calc!F26))+B971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939*(1-MIN(100,(Inputs!$B$9+((C963=TRUE)*(F963-Calc!F26))+B971+(ArtifactsInput!$M$24-ArtifactsInput!$M$24)*CHOOSE(ArtifactsInput!$N$24+1,10,12,14,16,18,20)+(IF(AND(Inputs!$B$39&lt;&gt;"pvp",Inputs!$B$44=0),1,IF(IF(Inputs!$B$39="pvp",15,Inputs!$B$44)-(B982)&lt;=0,1,MAX(0,IF(Inputs!$B$39="pvp",15,Inputs!$B$44)-MAX(5,B982))/(IF(Inputs!$B$39="pvp",15,Inputs!$B$44)-(B982))))*IF(AND(ArtifactsInput!$M$42,((Inputs!$B$9+((C963=TRUE)*(F963-Calc!F26))+B971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939*(MIN(100,(Inputs!$B$9+((C963=TRUE)*(F963-Calc!F26))+B971+(ArtifactsInput!$M$24-ArtifactsInput!$M$24)*CHOOSE(ArtifactsInput!$N$24+1,10,12,14,16,18,20)+(IF(AND(Inputs!$B$39&lt;&gt;"pvp",Inputs!$B$44=0),1,IF(IF(Inputs!$B$39="pvp",15,Inputs!$B$44)-(B982)&lt;=0,1,MAX(0,IF(Inputs!$B$39="pvp",15,Inputs!$B$44)-MAX(5,B982))/(IF(Inputs!$B$39="pvp",15,Inputs!$B$44)-(B982))))*IF(AND(ArtifactsInput!$M$42,((Inputs!$B$9+((C963=TRUE)*(F963-Calc!F26))+B971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939">
        <f>MAX(0,(Inputs!$B$3-100)*3)+Inputs!$B$28+Inputs!$B$29</f>
        <v/>
      </c>
      <c r="V939">
        <f>IF(C939,(Skills!G2*N939*B977)*IF(Inputs!$B$39="pvp",1,(1+(Inputs!$B$21+Skills!Q2+B972+(IF(ArtifactsInput!$M$33,CHOOSE(ArtifactsInput!$N$33+1,30,36,42,48,54,60),0))+(IF(AND(ArtifactsInput!$M$35,Inputs!$B$4&lt;&gt;"Chapter Hunt"),CHOOSE(ArtifactsInput!$N$35+1,15,18,21,24,27,30)*(1-EXP(-(0.2*B975)*5)),0)+IF(AND(ArtifactsInput!$M$22,Inputs!$B$4&lt;&gt;"Chapter Hunt"),CHOOSE(ArtifactsInput!$N$22+1,10,12,14,16,18,20)*((0*(((0.15*B975*5))^0/1)+1*(((0.15*B975*5))^1/1)+2*(((0.15*B975*5))^2/2)+3*(((0.15*B975*5))^3/6)+4*(((0.15*B975*5))^4/24)+5*(((0.15*B975*5))^5/120))/((((0.15*B975*5))^0/1)+(((0.15*B975*5))^1/1)+(((0.15*B975*5))^2/2)+(((0.15*B975*5))^3/6)+(((0.15*B975*5))^4/24)+(((0.15*B975*5))^5/120))),0)))/100)*(MIN((6+Inputs!$B$33),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940">
      <c r="A940">
        <f>Skills!A3</f>
        <v/>
      </c>
      <c r="B940">
        <f>Skills!B3</f>
        <v/>
      </c>
      <c r="C940">
        <f>Inputs!$B$3&gt;=35</f>
        <v/>
      </c>
      <c r="D940">
        <f>IF(Skills!C3=1,60+Inputs!$B$25+Inputs!$B$29,IF(Skills!C3=2,90+(Inputs!$B$26+1)+Inputs!$B$29,IF(Skills!C3=3,120+Inputs!$B$27+Inputs!$B$29,MAX(0,(Inputs!$B$3-100)*3)+Inputs!$B$28+Inputs!$B$29)))</f>
        <v/>
      </c>
      <c r="E940">
        <f>INDEX(FactorTable!$B$2:$Y$301, MATCH(ROUND(MIN(300,MAX(1,D940)),0), FactorTable!$A$2:$A$301,0), Skills!M3+1)</f>
        <v/>
      </c>
      <c r="F940">
        <f>IF(Skills!N3=TRUE,(Skills!L3/10)*(E940/1000),Skills!L3/10)+Skills!O3</f>
        <v/>
      </c>
      <c r="G940">
        <f>Skills!G3*IF(Skills!H3&gt;0,IF(Inputs!$B$39="pvp",MIN(Skills!I3,15),Skills!I3)/Skills!H3,1)</f>
        <v/>
      </c>
      <c r="H940">
        <f>1-(1-Skills!J3/100)^Skills!K3</f>
        <v/>
      </c>
      <c r="I940" t="inlineStr">
        <is>
          <t>1</t>
        </is>
      </c>
      <c r="J940" t="inlineStr"/>
      <c r="K940" t="inlineStr"/>
      <c r="L940" t="inlineStr"/>
      <c r="M940" t="inlineStr"/>
      <c r="N940" t="inlineStr"/>
      <c r="O940">
        <f>(1-Summary!$B$11)*T940+Summary!$B$11*V940</f>
        <v/>
      </c>
      <c r="P940">
        <f>IF(B983=0,0,O940/B983)</f>
        <v/>
      </c>
      <c r="Q940" t="n">
        <v>0</v>
      </c>
      <c r="R940" t="n">
        <v>0</v>
      </c>
      <c r="S940">
        <f>IFERROR(O940/N940,0)</f>
        <v/>
      </c>
      <c r="T940" t="n">
        <v>0</v>
      </c>
      <c r="U940">
        <f>INDEX(FactorTable!$B$2:$Y$301, MATCH(ROUND(MIN(300,MAX(1,U939)),0), FactorTable!$A$2:$A$301,0), 22)</f>
        <v/>
      </c>
      <c r="V940" t="n">
        <v>0</v>
      </c>
    </row>
    <row r="941">
      <c r="A941">
        <f>Skills!A4</f>
        <v/>
      </c>
      <c r="B941">
        <f>Skills!B4</f>
        <v/>
      </c>
      <c r="C941">
        <f>Inputs!$B$3&gt;=66</f>
        <v/>
      </c>
      <c r="D941">
        <f>IF(Skills!C4=1,60+Inputs!$B$25+Inputs!$B$29,IF(Skills!C4=2,90+(Inputs!$B$26+1)+Inputs!$B$29,IF(Skills!C4=3,120+Inputs!$B$27+Inputs!$B$29,MAX(0,(Inputs!$B$3-100)*3)+Inputs!$B$28+Inputs!$B$29)))</f>
        <v/>
      </c>
      <c r="E941">
        <f>INDEX(FactorTable!$B$2:$Y$301, MATCH(ROUND(MIN(300,MAX(1,D941)),0), FactorTable!$A$2:$A$301,0), Skills!M4+1)</f>
        <v/>
      </c>
      <c r="F941">
        <f>IF(Skills!N4=TRUE,(Skills!L4/10)*(E941/1000),Skills!L4/10)+Skills!O4</f>
        <v/>
      </c>
      <c r="G941">
        <f>Skills!G4*IF(Skills!H4&gt;0,IF(Inputs!$B$39="pvp",MIN(Skills!I4,15),Skills!I4)/Skills!H4,1)</f>
        <v/>
      </c>
      <c r="H941">
        <f>1-(1-Skills!J4/100)^Skills!K4</f>
        <v/>
      </c>
      <c r="I941" t="inlineStr">
        <is>
          <t>1</t>
        </is>
      </c>
      <c r="J941">
        <f>((Inputs!$B$6*(1+Inputs!$B$7/100))+(((Inputs!$B$12*(1+Inputs!$B$13/100))-(Inputs!$B$12*(1+Inputs!$B$13/100)))+0.25*(Inputs!$B$14-Inputs!$B$14))*(1+Inputs!$B$7/100))*(F941/100)</f>
        <v/>
      </c>
      <c r="K941">
        <f>J941*(1+((Inputs!$B$12*(1+Inputs!$B$13/100))*0.01+Inputs!$B$14*0.0025)/100)*(1+Inputs!$B$15/100)*(1+Inputs!$B$16/100)*(5000/(6000+Inputs!$B$43*(1-(100*(1-(1-Inputs!$B$19/100)*(1-CHOOSE(ArtifactsInput!$N$40+1,5,6,7,8,9,10)/100)^(ArtifactsInput!$M$40-ArtifactsInput!$M$40)))/100)))*(1+(Inputs!$B$24+((C968=TRUE)*(F968-Calc!F31))+((C955=TRUE)*(F955-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4="CRUEL_STAB",Inputs!$B$17+((C965=TRUE)*(F965-Calc!F28))+((IF(AND(Inputs!$B$39&lt;&gt;"pvp",Inputs!$B$44=0),1,IF(IF(Inputs!$B$39="pvp",15,Inputs!$B$44)-(B982)&lt;=0,1,MAX(0,IF(Inputs!$B$39="pvp",15,Inputs!$B$44)-MAX(5,B982))/(IF(Inputs!$B$39="pvp",15,Inputs!$B$44)-(B982))))*(IF(AND(ArtifactsInput!$M$42,((Inputs!$B$9+((C963=TRUE)*(F963-Calc!F26))+B971+(ArtifactsInput!$M$24-ArtifactsInput!$M$24)*CHOOSE(ArtifactsInput!$N$24+1,10,12,14,16,18,20)+IF(ArtifactsInput!$M$10,CHOOSE(ArtifactsInput!$N$10+1,15,18,21,24,27,30)*(IF(Inputs!$B$39="pvp",MIN(15,15)/15,IF(AND(Inputs!$B$39&lt;&gt;"pvp",Inputs!$B$44&gt;0),MIN(15,Inputs!$B$44)/(Inputs!$B$44),0))),0)))&gt;=100),MIN(100,((Inputs!$B$9+((C963=TRUE)*(F963-Calc!F26))+B971+(ArtifactsInput!$M$24-ArtifactsInput!$M$24)*CHOOSE(ArtifactsInput!$N$24+1,10,12,14,16,18,20)+IF(ArtifactsInput!$M$10,CHOOSE(ArtifactsInput!$N$10+1,15,18,21,24,27,30)*(IF(Inputs!$B$39="pvp",MIN(15,15)/15,IF(AND(Inputs!$B$39&lt;&gt;"pvp",Inputs!$B$44&gt;0),MIN(15,Inputs!$B$44)/(Inputs!$B$44),0))),0)))-100),0))*CHOOSE(ArtifactsInput!$N$42+1,0.6,0.72,0.84,0.96,1.08,1.2))),Inputs!$B$18+((C966=TRUE)*(F966-Calc!F29))+(IF(AND(Inputs!$B$39&lt;&gt;"pvp",Inputs!$B$44=0),1,IF(IF(Inputs!$B$39="pvp",15,Inputs!$B$44)-(B982)&lt;=0,1,MAX(0,IF(Inputs!$B$39="pvp",15,Inputs!$B$44)-MAX(5,B982))/(IF(Inputs!$B$39="pvp",15,Inputs!$B$44)-(B982))))*IF(AND(ArtifactsInput!$M$42,((Inputs!$B$9+((C963=TRUE)*(F963-Calc!F26))+B971+(ArtifactsInput!$M$24-ArtifactsInput!$M$24)*CHOOSE(ArtifactsInput!$N$24+1,10,12,14,16,18,20)+IF(ArtifactsInput!$M$10,CHOOSE(ArtifactsInput!$N$10+1,15,18,21,24,27,30)*(IF(Inputs!$B$39="pvp",MIN(15,15)/15,IF(AND(Inputs!$B$39&lt;&gt;"pvp",Inputs!$B$44&gt;0),MIN(15,Inputs!$B$44)/(Inputs!$B$44),0))),0)))&gt;=100),CHOOSE(ArtifactsInput!$N$42+1,40,48,56,64,72,80),0))))/100)*(((1+(((C959=TRUE)*F959*IF(AND(Inputs!$B$39&lt;&gt;"pvp",Inputs!$B$44&gt;0),(((R959-1)*MIN((Skills!Y22*(1+Inputs!$B$34/100)),(1/Q959))+MIN((Skills!Y22*(1+Inputs!$B$34/100)),MAX(0,Inputs!$B$44-((R959-1)*(1/Q959)))))/Inputs!$B$44),IF(Inputs!$B$39="pvp",MIN((Skills!Y22*(1+Inputs!$B$34/100)),15)/15,MIN(1,(Skills!Y22*(1+Inputs!$B$34/100))/(1/Q959)))))+((C940=TRUE)*F940*3)+((C942=TRUE)*F942*(1-EXP(-0.75*B975*5)))+((C961=TRUE)*(F961-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948=TRUE)*F948*IF(AND(Inputs!$B$39&lt;&gt;"pvp",Inputs!$B$44&gt;0),(((R948-1)*MIN((Skills!Y11*(1+Inputs!$B$34/100)),(1/Q948))+MIN((Skills!Y11*(1+Inputs!$B$34/100)),MAX(0,Inputs!$B$44-((R948-1)*(1/Q948)))))/Inputs!$B$44),IF(Inputs!$B$39="pvp",MIN((Skills!Y11*(1+Inputs!$B$34/100)),15)/15,MIN(1,(Skills!Y11*(1+Inputs!$B$34/100))/(1/Q948)))))/100)*(1+((C953=TRUE)*F953*IF(AND(Inputs!$B$39&lt;&gt;"pvp",Inputs!$B$44&gt;0),(((R953-1)*MIN((Skills!Y16*(1+Inputs!$B$34/100)),(1/Q953))+MIN((Skills!Y16*(1+Inputs!$B$34/100)),MAX(0,Inputs!$B$44-((R953-1)*(1/Q953)))))/Inputs!$B$44),IF(Inputs!$B$39="pvp",MIN((Skills!Y16*(1+Inputs!$B$34/100)),15)/15,MIN(1,(Skills!Y16*(1+Inputs!$B$34/100))/(1/Q953)))))/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973*I941)</f>
        <v/>
      </c>
      <c r="L941">
        <f>K941*(MIN(Inputs!$B$22+((C962=TRUE)*(F962-Calc!F25)),(Inputs!$B$23+((C967=TRUE)*(F967-Calc!F30))+IF(ArtifactsInput!$M$15,CHOOSE(ArtifactsInput!$N$15+1,25,30,35,40,45,50)/100*(Inputs!$B$11-Inputs!$B$11),0)))/100+(Inputs!$B$23+((C967=TRUE)*(F967-Calc!F30))+IF(ArtifactsInput!$M$15,CHOOSE(ArtifactsInput!$N$15+1,25,30,35,40,45,50)/100*(Inputs!$B$11-Inputs!$B$11),0))/100)/2</f>
        <v/>
      </c>
      <c r="M941">
        <f>L941*(1+(Inputs!$B$10+((C964=TRUE)*(F964-Calc!F27))+B978+(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941">
        <f>L941*(1-MIN((Inputs!$B$9+((C963=TRUE)*(F963-Calc!F26))+B971+(ArtifactsInput!$M$24-ArtifactsInput!$M$24)*CHOOSE(ArtifactsInput!$N$24+1,10,12,14,16,18,20)+(IF(AND(Inputs!$B$39&lt;&gt;"pvp",Inputs!$B$44=0),1,IF(IF(Inputs!$B$39="pvp",15,Inputs!$B$44)-(B982)&lt;=0,1,MAX(0,IF(Inputs!$B$39="pvp",15,Inputs!$B$44)-MAX(5,B982))/(IF(Inputs!$B$39="pvp",15,Inputs!$B$44)-(B982))))*IF(AND(ArtifactsInput!$M$42,((Inputs!$B$9+((C963=TRUE)*(F963-Calc!F26))+B971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941*(MIN((Inputs!$B$9+((C963=TRUE)*(F963-Calc!F26))+B971+(ArtifactsInput!$M$24-ArtifactsInput!$M$24)*CHOOSE(ArtifactsInput!$N$24+1,10,12,14,16,18,20)+(IF(AND(Inputs!$B$39&lt;&gt;"pvp",Inputs!$B$44=0),1,IF(IF(Inputs!$B$39="pvp",15,Inputs!$B$44)-(B982)&lt;=0,1,MAX(0,IF(Inputs!$B$39="pvp",15,Inputs!$B$44)-MAX(5,B982))/(IF(Inputs!$B$39="pvp",15,Inputs!$B$44)-(B982))))*IF(AND(ArtifactsInput!$M$42,((Inputs!$B$9+((C963=TRUE)*(F963-Calc!F26))+B971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941">
        <f>(1-Summary!$B$11)*T941+Summary!$B$11*V941</f>
        <v/>
      </c>
      <c r="P941">
        <f>IF(B983=0,0,O941/B983)</f>
        <v/>
      </c>
      <c r="Q941">
        <f>IFERROR(1/IF(Inputs!$B$39="pvp",15,MAX(0.1,Skills!D4-IF(TRUE=TRUE,Inputs!$B$32,0))),0)</f>
        <v/>
      </c>
      <c r="R941">
        <f>IF(AND(Inputs!$B$39&lt;&gt;"pvp",Inputs!$B$44&gt;0),IF(MAX(0,Inputs!$B$44-B982)&lt;=0,0,(INT(MAX(0,Inputs!$B$44-B982)/IF(Inputs!$B$39="pvp",15,MAX(0.1,Skills!D4-IF(TRUE=TRUE,Inputs!$B$32,0))))+1)),0)</f>
        <v/>
      </c>
      <c r="S941">
        <f>IFERROR(O941/N941,0)</f>
        <v/>
      </c>
      <c r="T941">
        <f>IF(C941,(H941*N941*IF(AND(Inputs!$B$39&lt;&gt;"pvp",Inputs!$B$44&gt;0),((Skills!G4*((R941-1)*IF(Skills!H4&gt;0,Skills!I4/Skills!H4,1)+IF(Skills!H4&gt;0,MIN(Skills!I4,MAX(0,MAX(0,Inputs!$B$44-B982)-((R941-1)*IF(Inputs!$B$39="pvp",15,MAX(0.1,Skills!D4-IF(TRUE=TRUE,Inputs!$B$32,0))))))/Skills!H4,1)))/Inputs!$B$44),G941*Q941))*IF(Inputs!$B$39="pvp",1,1+(Inputs!$B$20+0+Skills!P4+B972+(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Hunt"),CHOOSE(ArtifactsInput!$N$35+1,15,18,21,24,27,30)*(1-EXP(-(0.2*B975)*5)),0)+IF(AND(ArtifactsInput!$M$22,Inputs!$B$4&lt;&gt;"Chapter Hunt"),CHOOSE(ArtifactsInput!$N$22+1,10,12,14,16,18,20)*((0*(((0.15*B975*5))^0/1)+1*(((0.15*B975*5))^1/1)+2*(((0.15*B975*5))^2/2)+3*(((0.15*B975*5))^3/6)+4*(((0.15*B975*5))^4/24)+5*(((0.15*B975*5))^5/120))/((((0.15*B975*5))^0/1)+(((0.15*B975*5))^1/1)+(((0.15*B975*5))^2/2)+(((0.15*B975*5))^3/6)+(((0.15*B975*5))^4/24)+(((0.15*B975*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941*(1-MIN(100,(Inputs!$B$9+((C963=TRUE)*(F963-Calc!F26))+B971+(ArtifactsInput!$M$24-ArtifactsInput!$M$24)*CHOOSE(ArtifactsInput!$N$24+1,10,12,14,16,18,20)+(IF(AND(Inputs!$B$39&lt;&gt;"pvp",Inputs!$B$44=0),1,IF(IF(Inputs!$B$39="pvp",15,Inputs!$B$44)-(B982)&lt;=0,1,MAX(0,IF(Inputs!$B$39="pvp",15,Inputs!$B$44)-MAX(5,B982))/(IF(Inputs!$B$39="pvp",15,Inputs!$B$44)-(B982))))*IF(AND(ArtifactsInput!$M$42,((Inputs!$B$9+((C963=TRUE)*(F963-Calc!F26))+B971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941*(MIN(100,(Inputs!$B$9+((C963=TRUE)*(F963-Calc!F26))+B971+(ArtifactsInput!$M$24-ArtifactsInput!$M$24)*CHOOSE(ArtifactsInput!$N$24+1,10,12,14,16,18,20)+(IF(AND(Inputs!$B$39&lt;&gt;"pvp",Inputs!$B$44=0),1,IF(IF(Inputs!$B$39="pvp",15,Inputs!$B$44)-(B982)&lt;=0,1,MAX(0,IF(Inputs!$B$39="pvp",15,Inputs!$B$44)-MAX(5,B982))/(IF(Inputs!$B$39="pvp",15,Inputs!$B$44)-(B982))))*IF(AND(ArtifactsInput!$M$42,((Inputs!$B$9+((C963=TRUE)*(F963-Calc!F26))+B971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941*(1-MIN(100,(Inputs!$B$9+((C963=TRUE)*(F963-Calc!F26))+B971+(ArtifactsInput!$M$24-ArtifactsInput!$M$24)*CHOOSE(ArtifactsInput!$N$24+1,10,12,14,16,18,20)+(IF(AND(Inputs!$B$39&lt;&gt;"pvp",Inputs!$B$44=0),1,IF(IF(Inputs!$B$39="pvp",15,Inputs!$B$44)-(B982)&lt;=0,1,MAX(0,IF(Inputs!$B$39="pvp",15,Inputs!$B$44)-MAX(5,B982))/(IF(Inputs!$B$39="pvp",15,Inputs!$B$44)-(B982))))*IF(AND(ArtifactsInput!$M$42,((Inputs!$B$9+((C963=TRUE)*(F963-Calc!F26))+B971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941*(MIN(100,(Inputs!$B$9+((C963=TRUE)*(F963-Calc!F26))+B971+(ArtifactsInput!$M$24-ArtifactsInput!$M$24)*CHOOSE(ArtifactsInput!$N$24+1,10,12,14,16,18,20)+(IF(AND(Inputs!$B$39&lt;&gt;"pvp",Inputs!$B$44=0),1,IF(IF(Inputs!$B$39="pvp",15,Inputs!$B$44)-(B982)&lt;=0,1,MAX(0,IF(Inputs!$B$39="pvp",15,Inputs!$B$44)-MAX(5,B982))/(IF(Inputs!$B$39="pvp",15,Inputs!$B$44)-(B982))))*IF(AND(ArtifactsInput!$M$42,((Inputs!$B$9+((C963=TRUE)*(F963-Calc!F26))+B971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941">
        <f>290*U940/1000</f>
        <v/>
      </c>
      <c r="V941">
        <f>IF(C941,(H941*N941*IF(AND(Inputs!$B$39&lt;&gt;"pvp",Inputs!$B$44&gt;0),((Skills!G4*((R941-1)*IF(Skills!H4&gt;0,Skills!I4/Skills!H4,1)+IF(Skills!H4&gt;0,MIN(Skills!I4,MAX(0,MAX(0,Inputs!$B$44-B982)-((R941-1)*IF(Inputs!$B$39="pvp",15,MAX(0.1,Skills!D4-IF(TRUE=TRUE,Inputs!$B$32,0))))))/Skills!H4,1)))/Inputs!$B$44),G941*Q941))*IF(Inputs!$B$39="pvp",1,(1+(Inputs!$B$21+Skills!Q4+B972+(IF(ArtifactsInput!$M$33,CHOOSE(ArtifactsInput!$N$33+1,30,36,42,48,54,60),0))+(IF(AND(ArtifactsInput!$M$35,Inputs!$B$4&lt;&gt;"Chapter Hunt"),CHOOSE(ArtifactsInput!$N$35+1,15,18,21,24,27,30)*(1-EXP(-(0.2*B975)*5)),0)+IF(AND(ArtifactsInput!$M$22,Inputs!$B$4&lt;&gt;"Chapter Hunt"),CHOOSE(ArtifactsInput!$N$22+1,10,12,14,16,18,20)*((0*(((0.15*B975*5))^0/1)+1*(((0.15*B975*5))^1/1)+2*(((0.15*B975*5))^2/2)+3*(((0.15*B975*5))^3/6)+4*(((0.15*B975*5))^4/24)+5*(((0.15*B975*5))^5/120))/((((0.15*B975*5))^0/1)+(((0.15*B975*5))^1/1)+(((0.15*B975*5))^2/2)+(((0.15*B975*5))^3/6)+(((0.15*B975*5))^4/24)+(((0.15*B975*5))^5/120))),0)))/100)*(MIN(MIN(10,IF(Inputs!$B$3&gt;=75,0.75,0.5)*B975*(1/Q941)),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942">
      <c r="A942">
        <f>Skills!A5</f>
        <v/>
      </c>
      <c r="B942">
        <f>Skills!B5</f>
        <v/>
      </c>
      <c r="C942">
        <f>Inputs!$B$3&gt;=75</f>
        <v/>
      </c>
      <c r="D942">
        <f>IF(Skills!C5=1,60+Inputs!$B$25+Inputs!$B$29,IF(Skills!C5=2,90+(Inputs!$B$26+1)+Inputs!$B$29,IF(Skills!C5=3,120+Inputs!$B$27+Inputs!$B$29,MAX(0,(Inputs!$B$3-100)*3)+Inputs!$B$28+Inputs!$B$29)))</f>
        <v/>
      </c>
      <c r="E942">
        <f>INDEX(FactorTable!$B$2:$Y$301, MATCH(ROUND(MIN(300,MAX(1,D942)),0), FactorTable!$A$2:$A$301,0), Skills!M5+1)</f>
        <v/>
      </c>
      <c r="F942">
        <f>IF(Skills!N5=TRUE,(Skills!L5/10)*(E942/1000),Skills!L5/10)+Skills!O5</f>
        <v/>
      </c>
      <c r="G942">
        <f>Skills!G5*IF(Skills!H5&gt;0,IF(Inputs!$B$39="pvp",MIN(Skills!I5,15),Skills!I5)/Skills!H5,1)</f>
        <v/>
      </c>
      <c r="H942">
        <f>1-(1-Skills!J5/100)^Skills!K5</f>
        <v/>
      </c>
      <c r="I942" t="inlineStr">
        <is>
          <t>1</t>
        </is>
      </c>
      <c r="J942" t="inlineStr"/>
      <c r="K942" t="inlineStr"/>
      <c r="L942" t="inlineStr"/>
      <c r="M942" t="inlineStr"/>
      <c r="N942" t="inlineStr"/>
      <c r="O942">
        <f>(1-Summary!$B$11)*T942+Summary!$B$11*V942</f>
        <v/>
      </c>
      <c r="P942">
        <f>IF(B983=0,0,O942/B983)</f>
        <v/>
      </c>
      <c r="Q942" t="n">
        <v>0</v>
      </c>
      <c r="R942" t="n">
        <v>0</v>
      </c>
      <c r="S942">
        <f>IFERROR(O942/N942,0)</f>
        <v/>
      </c>
      <c r="T942" t="n">
        <v>0</v>
      </c>
      <c r="V942" t="n">
        <v>0</v>
      </c>
    </row>
    <row r="943">
      <c r="A943">
        <f>Skills!A6</f>
        <v/>
      </c>
      <c r="B943">
        <f>Skills!B6</f>
        <v/>
      </c>
      <c r="C943">
        <f>Inputs!$B$3&gt;=63</f>
        <v/>
      </c>
      <c r="D943">
        <f>IF(Skills!C6=1,60+Inputs!$B$25+Inputs!$B$29,IF(Skills!C6=2,90+(Inputs!$B$26+1)+Inputs!$B$29,IF(Skills!C6=3,120+Inputs!$B$27+Inputs!$B$29,MAX(0,(Inputs!$B$3-100)*3)+Inputs!$B$28+Inputs!$B$29)))</f>
        <v/>
      </c>
      <c r="E943">
        <f>INDEX(FactorTable!$B$2:$Y$301, MATCH(ROUND(MIN(300,MAX(1,D943)),0), FactorTable!$A$2:$A$301,0), Skills!M6+1)</f>
        <v/>
      </c>
      <c r="F943">
        <f>IF(Skills!N6=TRUE,(Skills!L6/10)*(E943/1000),Skills!L6/10)+Skills!O6</f>
        <v/>
      </c>
      <c r="G943">
        <f>Skills!G6*IF(Skills!H6&gt;0,IF(Inputs!$B$39="pvp",MIN(Skills!I6,15),Skills!I6)/Skills!H6,1)</f>
        <v/>
      </c>
      <c r="H943">
        <f>1-(1-Skills!J6/100)^Skills!K6</f>
        <v/>
      </c>
      <c r="I943" t="inlineStr">
        <is>
          <t>1</t>
        </is>
      </c>
      <c r="J943">
        <f>((Inputs!$B$6*(1+Inputs!$B$7/100))+(((Inputs!$B$12*(1+Inputs!$B$13/100))-(Inputs!$B$12*(1+Inputs!$B$13/100)))+0.25*(Inputs!$B$14-Inputs!$B$14))*(1+Inputs!$B$7/100))*(F943/100)</f>
        <v/>
      </c>
      <c r="K943">
        <f>J943*(1+((Inputs!$B$12*(1+Inputs!$B$13/100))*0.01+Inputs!$B$14*0.0025)/100)*(1+Inputs!$B$15/100)*(1+Inputs!$B$16/100)*(5000/(6000+Inputs!$B$43*(1-(100*(1-(1-Inputs!$B$19/100)*(1-CHOOSE(ArtifactsInput!$N$40+1,5,6,7,8,9,10)/100)^(ArtifactsInput!$M$40-ArtifactsInput!$M$40)))/100)))*(1+(Inputs!$B$24+((C968=TRUE)*(F968-Calc!F31))+((C955=TRUE)*(F955-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+2.6666666666666665*IF(C956=TRUE,F956,0)/100)*(1+(IF(Skills!A6="CRUEL_STAB",Inputs!$B$17+((C965=TRUE)*(F965-Calc!F28))+((IF(AND(Inputs!$B$39&lt;&gt;"pvp",Inputs!$B$44=0),1,IF(IF(Inputs!$B$39="pvp",15,Inputs!$B$44)-(B982)&lt;=0,1,MAX(0,IF(Inputs!$B$39="pvp",15,Inputs!$B$44)-MAX(5,B982))/(IF(Inputs!$B$39="pvp",15,Inputs!$B$44)-(B982))))*(IF(AND(ArtifactsInput!$M$42,((Inputs!$B$9+((C963=TRUE)*(F963-Calc!F26))+B971+(ArtifactsInput!$M$24-ArtifactsInput!$M$24)*CHOOSE(ArtifactsInput!$N$24+1,10,12,14,16,18,20)+IF(ArtifactsInput!$M$10,CHOOSE(ArtifactsInput!$N$10+1,15,18,21,24,27,30)*(IF(Inputs!$B$39="pvp",MIN(15,15)/15,IF(AND(Inputs!$B$39&lt;&gt;"pvp",Inputs!$B$44&gt;0),MIN(15,Inputs!$B$44)/(Inputs!$B$44),0))),0)))&gt;=100),MIN(100,((Inputs!$B$9+((C963=TRUE)*(F963-Calc!F26))+B971+(ArtifactsInput!$M$24-ArtifactsInput!$M$24)*CHOOSE(ArtifactsInput!$N$24+1,10,12,14,16,18,20)+IF(ArtifactsInput!$M$10,CHOOSE(ArtifactsInput!$N$10+1,15,18,21,24,27,30)*(IF(Inputs!$B$39="pvp",MIN(15,15)/15,IF(AND(Inputs!$B$39&lt;&gt;"pvp",Inputs!$B$44&gt;0),MIN(15,Inputs!$B$44)/(Inputs!$B$44),0))),0)))-100),0))*CHOOSE(ArtifactsInput!$N$42+1,0.6,0.72,0.84,0.96,1.08,1.2))),Inputs!$B$18+((C966=TRUE)*(F966-Calc!F29))+(IF(AND(Inputs!$B$39&lt;&gt;"pvp",Inputs!$B$44=0),1,IF(IF(Inputs!$B$39="pvp",15,Inputs!$B$44)-(B982)&lt;=0,1,MAX(0,IF(Inputs!$B$39="pvp",15,Inputs!$B$44)-MAX(5,B982))/(IF(Inputs!$B$39="pvp",15,Inputs!$B$44)-(B982))))*IF(AND(ArtifactsInput!$M$42,((Inputs!$B$9+((C963=TRUE)*(F963-Calc!F26))+B971+(ArtifactsInput!$M$24-ArtifactsInput!$M$24)*CHOOSE(ArtifactsInput!$N$24+1,10,12,14,16,18,20)+IF(ArtifactsInput!$M$10,CHOOSE(ArtifactsInput!$N$10+1,15,18,21,24,27,30)*(IF(Inputs!$B$39="pvp",MIN(15,15)/15,IF(AND(Inputs!$B$39&lt;&gt;"pvp",Inputs!$B$44&gt;0),MIN(15,Inputs!$B$44)/(Inputs!$B$44),0))),0)))&gt;=100),CHOOSE(ArtifactsInput!$N$42+1,40,48,56,64,72,80),0))))/100)*(((1+(((C959=TRUE)*F959*IF(AND(Inputs!$B$39&lt;&gt;"pvp",Inputs!$B$44&gt;0),(((R959-1)*MIN((Skills!Y22*(1+Inputs!$B$34/100)),(1/Q959))+MIN((Skills!Y22*(1+Inputs!$B$34/100)),MAX(0,Inputs!$B$44-((R959-1)*(1/Q959)))))/Inputs!$B$44),IF(Inputs!$B$39="pvp",MIN((Skills!Y22*(1+Inputs!$B$34/100)),15)/15,MIN(1,(Skills!Y22*(1+Inputs!$B$34/100))/(1/Q959)))))+((C940=TRUE)*F940*3)+((C942=TRUE)*F942*(1-EXP(-0.75*B975*5)))+((C961=TRUE)*(F961-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948=TRUE)*F948*IF(AND(Inputs!$B$39&lt;&gt;"pvp",Inputs!$B$44&gt;0),(((R948-1)*MIN((Skills!Y11*(1+Inputs!$B$34/100)),(1/Q948))+MIN((Skills!Y11*(1+Inputs!$B$34/100)),MAX(0,Inputs!$B$44-((R948-1)*(1/Q948)))))/Inputs!$B$44),IF(Inputs!$B$39="pvp",MIN((Skills!Y11*(1+Inputs!$B$34/100)),15)/15,MIN(1,(Skills!Y11*(1+Inputs!$B$34/100))/(1/Q948)))))/100)*(1+((C953=TRUE)*F953*IF(AND(Inputs!$B$39&lt;&gt;"pvp",Inputs!$B$44&gt;0),(((R953-1)*MIN((Skills!Y16*(1+Inputs!$B$34/100)),(1/Q953))+MIN((Skills!Y16*(1+Inputs!$B$34/100)),MAX(0,Inputs!$B$44-((R953-1)*(1/Q953)))))/Inputs!$B$44),IF(Inputs!$B$39="pvp",MIN((Skills!Y16*(1+Inputs!$B$34/100)),15)/15,MIN(1,(Skills!Y16*(1+Inputs!$B$34/100))/(1/Q953)))))/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973*I943)</f>
        <v/>
      </c>
      <c r="L943">
        <f>K943*(MIN(Inputs!$B$22+((C962=TRUE)*(F962-Calc!F25)),(Inputs!$B$23+((C967=TRUE)*(F967-Calc!F30))+IF(ArtifactsInput!$M$15,CHOOSE(ArtifactsInput!$N$15+1,25,30,35,40,45,50)/100*(Inputs!$B$11-Inputs!$B$11),0)))/100+(Inputs!$B$23+((C967=TRUE)*(F967-Calc!F30))+IF(ArtifactsInput!$M$15,CHOOSE(ArtifactsInput!$N$15+1,25,30,35,40,45,50)/100*(Inputs!$B$11-Inputs!$B$11),0))/100)/2</f>
        <v/>
      </c>
      <c r="M943">
        <f>L943*(1+(Inputs!$B$10+((C964=TRUE)*(F964-Calc!F27))+B978+(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943">
        <f>L943*(1-MIN((Inputs!$B$9+((C963=TRUE)*(F963-Calc!F26))+B971+(ArtifactsInput!$M$24-ArtifactsInput!$M$24)*CHOOSE(ArtifactsInput!$N$24+1,10,12,14,16,18,20)+(IF(AND(Inputs!$B$39&lt;&gt;"pvp",Inputs!$B$44=0),1,IF(IF(Inputs!$B$39="pvp",15,Inputs!$B$44)-(B982)&lt;=0,1,MAX(0,IF(Inputs!$B$39="pvp",15,Inputs!$B$44)-MAX(5,B982))/(IF(Inputs!$B$39="pvp",15,Inputs!$B$44)-(B982))))*IF(AND(ArtifactsInput!$M$42,((Inputs!$B$9+((C963=TRUE)*(F963-Calc!F26))+B971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943*(MIN((Inputs!$B$9+((C963=TRUE)*(F963-Calc!F26))+B971+(ArtifactsInput!$M$24-ArtifactsInput!$M$24)*CHOOSE(ArtifactsInput!$N$24+1,10,12,14,16,18,20)+(IF(AND(Inputs!$B$39&lt;&gt;"pvp",Inputs!$B$44=0),1,IF(IF(Inputs!$B$39="pvp",15,Inputs!$B$44)-(B982)&lt;=0,1,MAX(0,IF(Inputs!$B$39="pvp",15,Inputs!$B$44)-MAX(5,B982))/(IF(Inputs!$B$39="pvp",15,Inputs!$B$44)-(B982))))*IF(AND(ArtifactsInput!$M$42,((Inputs!$B$9+((C963=TRUE)*(F963-Calc!F26))+B971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943">
        <f>(1-Summary!$B$11)*T943+Summary!$B$11*V943</f>
        <v/>
      </c>
      <c r="P943">
        <f>IF(B983=0,0,O943/B983)</f>
        <v/>
      </c>
      <c r="Q943">
        <f>IFERROR(1/IF(Inputs!$B$39="pvp",15,MAX(0.1,Skills!D6-IF(TRUE=TRUE,Inputs!$B$32,0))),0)</f>
        <v/>
      </c>
      <c r="R943">
        <f>IF(AND(Inputs!$B$39&lt;&gt;"pvp",Inputs!$B$44&gt;0),IF(MAX(0,Inputs!$B$44-B982)&lt;=0,0,(INT(MAX(0,Inputs!$B$44-B982)/IF(Inputs!$B$39="pvp",15,MAX(0.1,Skills!D6-IF(TRUE=TRUE,Inputs!$B$32,0))))+1)),0)</f>
        <v/>
      </c>
      <c r="S943">
        <f>IFERROR(O943/N943,0)</f>
        <v/>
      </c>
      <c r="T943">
        <f>IF(C943,(H943*N943*IF(AND(Inputs!$B$39&lt;&gt;"pvp",Inputs!$B$44&gt;0),((Skills!G6*((R943-1)*IF(Skills!H6&gt;0,Skills!I6/Skills!H6,1)+IF(Skills!H6&gt;0,MIN(Skills!I6,MAX(0,MAX(0,Inputs!$B$44-B982)-((R943-1)*IF(Inputs!$B$39="pvp",15,MAX(0.1,Skills!D6-IF(TRUE=TRUE,Inputs!$B$32,0))))))/Skills!H6,1)))/Inputs!$B$44),G943*Q943))*IF(Inputs!$B$39="pvp",1,1+(Inputs!$B$20+0+Skills!P6+B972+(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Hunt"),CHOOSE(ArtifactsInput!$N$35+1,15,18,21,24,27,30)*(1-EXP(-(0.2*B975)*5)),0)+IF(AND(ArtifactsInput!$M$22,Inputs!$B$4&lt;&gt;"Chapter Hunt"),CHOOSE(ArtifactsInput!$N$22+1,10,12,14,16,18,20)*((0*(((0.15*B975*5))^0/1)+1*(((0.15*B975*5))^1/1)+2*(((0.15*B975*5))^2/2)+3*(((0.15*B975*5))^3/6)+4*(((0.15*B975*5))^4/24)+5*(((0.15*B975*5))^5/120))/((((0.15*B975*5))^0/1)+(((0.15*B975*5))^1/1)+(((0.15*B975*5))^2/2)+(((0.15*B975*5))^3/6)+(((0.15*B975*5))^4/24)+(((0.15*B975*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943*(1-MIN(100,(Inputs!$B$9+((C963=TRUE)*(F963-Calc!F26))+B971+(ArtifactsInput!$M$24-ArtifactsInput!$M$24)*CHOOSE(ArtifactsInput!$N$24+1,10,12,14,16,18,20)+(IF(AND(Inputs!$B$39&lt;&gt;"pvp",Inputs!$B$44=0),1,IF(IF(Inputs!$B$39="pvp",15,Inputs!$B$44)-(B982)&lt;=0,1,MAX(0,IF(Inputs!$B$39="pvp",15,Inputs!$B$44)-MAX(5,B982))/(IF(Inputs!$B$39="pvp",15,Inputs!$B$44)-(B982))))*IF(AND(ArtifactsInput!$M$42,((Inputs!$B$9+((C963=TRUE)*(F963-Calc!F26))+B971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943*(MIN(100,(Inputs!$B$9+((C963=TRUE)*(F963-Calc!F26))+B971+(ArtifactsInput!$M$24-ArtifactsInput!$M$24)*CHOOSE(ArtifactsInput!$N$24+1,10,12,14,16,18,20)+(IF(AND(Inputs!$B$39&lt;&gt;"pvp",Inputs!$B$44=0),1,IF(IF(Inputs!$B$39="pvp",15,Inputs!$B$44)-(B982)&lt;=0,1,MAX(0,IF(Inputs!$B$39="pvp",15,Inputs!$B$44)-MAX(5,B982))/(IF(Inputs!$B$39="pvp",15,Inputs!$B$44)-(B982))))*IF(AND(ArtifactsInput!$M$42,((Inputs!$B$9+((C963=TRUE)*(F963-Calc!F26))+B971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943*(1-MIN(100,(Inputs!$B$9+((C963=TRUE)*(F963-Calc!F26))+B971+(ArtifactsInput!$M$24-ArtifactsInput!$M$24)*CHOOSE(ArtifactsInput!$N$24+1,10,12,14,16,18,20)+(IF(AND(Inputs!$B$39&lt;&gt;"pvp",Inputs!$B$44=0),1,IF(IF(Inputs!$B$39="pvp",15,Inputs!$B$44)-(B982)&lt;=0,1,MAX(0,IF(Inputs!$B$39="pvp",15,Inputs!$B$44)-MAX(5,B982))/(IF(Inputs!$B$39="pvp",15,Inputs!$B$44)-(B982))))*IF(AND(ArtifactsInput!$M$42,((Inputs!$B$9+((C963=TRUE)*(F963-Calc!F26))+B971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943*(MIN(100,(Inputs!$B$9+((C963=TRUE)*(F963-Calc!F26))+B971+(ArtifactsInput!$M$24-ArtifactsInput!$M$24)*CHOOSE(ArtifactsInput!$N$24+1,10,12,14,16,18,20)+(IF(AND(Inputs!$B$39&lt;&gt;"pvp",Inputs!$B$44=0),1,IF(IF(Inputs!$B$39="pvp",15,Inputs!$B$44)-(B982)&lt;=0,1,MAX(0,IF(Inputs!$B$39="pvp",15,Inputs!$B$44)-MAX(5,B982))/(IF(Inputs!$B$39="pvp",15,Inputs!$B$44)-(B982))))*IF(AND(ArtifactsInput!$M$42,((Inputs!$B$9+((C963=TRUE)*(F963-Calc!F26))+B971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943">
        <f>IF(C943,(H943*N943*IF(AND(Inputs!$B$39&lt;&gt;"pvp",Inputs!$B$44&gt;0),((Skills!G6*((R943-1)*IF(Skills!H6&gt;0,Skills!I6/Skills!H6,1)+IF(Skills!H6&gt;0,MIN(Skills!I6,MAX(0,MAX(0,Inputs!$B$44-B982)-((R943-1)*IF(Inputs!$B$39="pvp",15,MAX(0.1,Skills!D6-IF(TRUE=TRUE,Inputs!$B$32,0))))))/Skills!H6,1)))/Inputs!$B$44),G943*Q943))*IF(Inputs!$B$39="pvp",1,(1+(Inputs!$B$21+Skills!Q6+B972+(IF(ArtifactsInput!$M$33,CHOOSE(ArtifactsInput!$N$33+1,30,36,42,48,54,60),0))+(IF(AND(ArtifactsInput!$M$35,Inputs!$B$4&lt;&gt;"Chapter Hunt"),CHOOSE(ArtifactsInput!$N$35+1,15,18,21,24,27,30)*(1-EXP(-(0.2*B975)*5)),0)+IF(AND(ArtifactsInput!$M$22,Inputs!$B$4&lt;&gt;"Chapter Hunt"),CHOOSE(ArtifactsInput!$N$22+1,10,12,14,16,18,20)*((0*(((0.15*B975*5))^0/1)+1*(((0.15*B975*5))^1/1)+2*(((0.15*B975*5))^2/2)+3*(((0.15*B975*5))^3/6)+4*(((0.15*B975*5))^4/24)+5*(((0.15*B975*5))^5/120))/((((0.15*B975*5))^0/1)+(((0.15*B975*5))^1/1)+(((0.15*B975*5))^2/2)+(((0.15*B975*5))^3/6)+(((0.15*B975*5))^4/24)+(((0.15*B975*5))^5/120))),0)))/100)*(MIN(Skills!W6,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944">
      <c r="A944">
        <f>Skills!A7</f>
        <v/>
      </c>
      <c r="B944">
        <f>Skills!B7</f>
        <v/>
      </c>
      <c r="C944">
        <f>Inputs!$B$3&gt;=69</f>
        <v/>
      </c>
      <c r="D944">
        <f>IF(Skills!C7=1,60+Inputs!$B$25+Inputs!$B$29,IF(Skills!C7=2,90+(Inputs!$B$26+1)+Inputs!$B$29,IF(Skills!C7=3,120+Inputs!$B$27+Inputs!$B$29,MAX(0,(Inputs!$B$3-100)*3)+Inputs!$B$28+Inputs!$B$29)))</f>
        <v/>
      </c>
      <c r="E944">
        <f>INDEX(FactorTable!$B$2:$Y$301, MATCH(ROUND(MIN(300,MAX(1,D944)),0), FactorTable!$A$2:$A$301,0), Skills!M7+1)</f>
        <v/>
      </c>
      <c r="F944">
        <f>IF(Skills!N7=TRUE,(Skills!L7/10)*(E944/1000),Skills!L7/10)+Skills!O7</f>
        <v/>
      </c>
      <c r="G944">
        <f>Skills!G7*IF(Skills!H7&gt;0,IF(Inputs!$B$39="pvp",MIN(Skills!I7,15),Skills!I7)/Skills!H7,1)</f>
        <v/>
      </c>
      <c r="H944">
        <f>1-(1-Skills!J7/100)^Skills!K7</f>
        <v/>
      </c>
      <c r="I944" t="inlineStr">
        <is>
          <t>1</t>
        </is>
      </c>
      <c r="J944">
        <f>((Inputs!$B$6*(1+Inputs!$B$7/100))+(((Inputs!$B$12*(1+Inputs!$B$13/100))-(Inputs!$B$12*(1+Inputs!$B$13/100)))+0.25*(Inputs!$B$14-Inputs!$B$14))*(1+Inputs!$B$7/100))*(F944/100)</f>
        <v/>
      </c>
      <c r="K944">
        <f>J944*(1+((Inputs!$B$12*(1+Inputs!$B$13/100))*0.01+Inputs!$B$14*0.0025)/100)*(1+Inputs!$B$15/100)*(1+Inputs!$B$16/100)*(5000/(6000+Inputs!$B$43*(1-(100*(1-(1-Inputs!$B$19/100)*(1-CHOOSE(ArtifactsInput!$N$40+1,5,6,7,8,9,10)/100)^(ArtifactsInput!$M$40-ArtifactsInput!$M$40)))/100)))*(1+(Inputs!$B$24+((C968=TRUE)*(F968-Calc!F31))+((C955=TRUE)*(F955-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956=TRUE,F956,0)/100)*(1+(IF(Skills!A7="CRUEL_STAB",Inputs!$B$17+((C965=TRUE)*(F965-Calc!F28))+((IF(AND(Inputs!$B$39&lt;&gt;"pvp",Inputs!$B$44=0),1,IF(IF(Inputs!$B$39="pvp",15,Inputs!$B$44)-(B982)&lt;=0,1,MAX(0,IF(Inputs!$B$39="pvp",15,Inputs!$B$44)-MAX(5,B982))/(IF(Inputs!$B$39="pvp",15,Inputs!$B$44)-(B982))))*(IF(AND(ArtifactsInput!$M$42,((Inputs!$B$9+((C963=TRUE)*(F963-Calc!F26))+B971+(ArtifactsInput!$M$24-ArtifactsInput!$M$24)*CHOOSE(ArtifactsInput!$N$24+1,10,12,14,16,18,20)+IF(ArtifactsInput!$M$10,CHOOSE(ArtifactsInput!$N$10+1,15,18,21,24,27,30)*(IF(Inputs!$B$39="pvp",MIN(15,15)/15,IF(AND(Inputs!$B$39&lt;&gt;"pvp",Inputs!$B$44&gt;0),MIN(15,Inputs!$B$44)/(Inputs!$B$44),0))),0)))&gt;=100),MIN(100,((Inputs!$B$9+((C963=TRUE)*(F963-Calc!F26))+B971+(ArtifactsInput!$M$24-ArtifactsInput!$M$24)*CHOOSE(ArtifactsInput!$N$24+1,10,12,14,16,18,20)+IF(ArtifactsInput!$M$10,CHOOSE(ArtifactsInput!$N$10+1,15,18,21,24,27,30)*(IF(Inputs!$B$39="pvp",MIN(15,15)/15,IF(AND(Inputs!$B$39&lt;&gt;"pvp",Inputs!$B$44&gt;0),MIN(15,Inputs!$B$44)/(Inputs!$B$44),0))),0)))-100),0))*CHOOSE(ArtifactsInput!$N$42+1,0.6,0.72,0.84,0.96,1.08,1.2))),Inputs!$B$18+((C966=TRUE)*(F966-Calc!F29))+(IF(AND(Inputs!$B$39&lt;&gt;"pvp",Inputs!$B$44=0),1,IF(IF(Inputs!$B$39="pvp",15,Inputs!$B$44)-(B982)&lt;=0,1,MAX(0,IF(Inputs!$B$39="pvp",15,Inputs!$B$44)-MAX(5,B982))/(IF(Inputs!$B$39="pvp",15,Inputs!$B$44)-(B982))))*IF(AND(ArtifactsInput!$M$42,((Inputs!$B$9+((C963=TRUE)*(F963-Calc!F26))+B971+(ArtifactsInput!$M$24-ArtifactsInput!$M$24)*CHOOSE(ArtifactsInput!$N$24+1,10,12,14,16,18,20)+IF(ArtifactsInput!$M$10,CHOOSE(ArtifactsInput!$N$10+1,15,18,21,24,27,30)*(IF(Inputs!$B$39="pvp",MIN(15,15)/15,IF(AND(Inputs!$B$39&lt;&gt;"pvp",Inputs!$B$44&gt;0),MIN(15,Inputs!$B$44)/(Inputs!$B$44),0))),0)))&gt;=100),CHOOSE(ArtifactsInput!$N$42+1,40,48,56,64,72,80),0))))/100)*(((1+(((C959=TRUE)*F959*IF(AND(Inputs!$B$39&lt;&gt;"pvp",Inputs!$B$44&gt;0),(((R959-1)*MIN((Skills!Y22*(1+Inputs!$B$34/100)),(1/Q959))+MIN((Skills!Y22*(1+Inputs!$B$34/100)),MAX(0,Inputs!$B$44-((R959-1)*(1/Q959)))))/Inputs!$B$44),IF(Inputs!$B$39="pvp",MIN((Skills!Y22*(1+Inputs!$B$34/100)),15)/15,MIN(1,(Skills!Y22*(1+Inputs!$B$34/100))/(1/Q959)))))+((C940=TRUE)*F940*3)+((C942=TRUE)*F942*(1-EXP(-0.75*B975*5)))+((C961=TRUE)*(F961-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948=TRUE)*F948*IF(AND(Inputs!$B$39&lt;&gt;"pvp",Inputs!$B$44&gt;0),(((R948-1)*MIN((Skills!Y11*(1+Inputs!$B$34/100)),(1/Q948))+MIN((Skills!Y11*(1+Inputs!$B$34/100)),MAX(0,Inputs!$B$44-((R948-1)*(1/Q948)))))/Inputs!$B$44),IF(Inputs!$B$39="pvp",MIN((Skills!Y11*(1+Inputs!$B$34/100)),15)/15,MIN(1,(Skills!Y11*(1+Inputs!$B$34/100))/(1/Q948)))))/100)*(1+((C953=TRUE)*F953*IF(AND(Inputs!$B$39&lt;&gt;"pvp",Inputs!$B$44&gt;0),(((R953-1)*MIN((Skills!Y16*(1+Inputs!$B$34/100)),(1/Q953))+MIN((Skills!Y16*(1+Inputs!$B$34/100)),MAX(0,Inputs!$B$44-((R953-1)*(1/Q953)))))/Inputs!$B$44),IF(Inputs!$B$39="pvp",MIN((Skills!Y16*(1+Inputs!$B$34/100)),15)/15,MIN(1,(Skills!Y16*(1+Inputs!$B$34/100))/(1/Q953)))))/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973*I944)</f>
        <v/>
      </c>
      <c r="L944">
        <f>K944*(MIN(Inputs!$B$22+((C962=TRUE)*(F962-Calc!F25)),(Inputs!$B$23+((C967=TRUE)*(F967-Calc!F30))+IF(ArtifactsInput!$M$15,CHOOSE(ArtifactsInput!$N$15+1,25,30,35,40,45,50)/100*(Inputs!$B$11-Inputs!$B$11),0)))/100+(Inputs!$B$23+((C967=TRUE)*(F967-Calc!F30))+IF(ArtifactsInput!$M$15,CHOOSE(ArtifactsInput!$N$15+1,25,30,35,40,45,50)/100*(Inputs!$B$11-Inputs!$B$11),0))/100)/2</f>
        <v/>
      </c>
      <c r="M944">
        <f>L944*(1+(Inputs!$B$10+((C964=TRUE)*(F964-Calc!F27))+B978+(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944">
        <f>L944*(1-MIN((Inputs!$B$9+((C963=TRUE)*(F963-Calc!F26))+B971+(ArtifactsInput!$M$24-ArtifactsInput!$M$24)*CHOOSE(ArtifactsInput!$N$24+1,10,12,14,16,18,20)+(IF(AND(Inputs!$B$39&lt;&gt;"pvp",Inputs!$B$44=0),1,IF(IF(Inputs!$B$39="pvp",15,Inputs!$B$44)-(B982)&lt;=0,1,MAX(0,IF(Inputs!$B$39="pvp",15,Inputs!$B$44)-MAX(5,B982))/(IF(Inputs!$B$39="pvp",15,Inputs!$B$44)-(B982))))*IF(AND(ArtifactsInput!$M$42,((Inputs!$B$9+((C963=TRUE)*(F963-Calc!F26))+B971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944*(MIN((Inputs!$B$9+((C963=TRUE)*(F963-Calc!F26))+B971+(ArtifactsInput!$M$24-ArtifactsInput!$M$24)*CHOOSE(ArtifactsInput!$N$24+1,10,12,14,16,18,20)+(IF(AND(Inputs!$B$39&lt;&gt;"pvp",Inputs!$B$44=0),1,IF(IF(Inputs!$B$39="pvp",15,Inputs!$B$44)-(B982)&lt;=0,1,MAX(0,IF(Inputs!$B$39="pvp",15,Inputs!$B$44)-MAX(5,B982))/(IF(Inputs!$B$39="pvp",15,Inputs!$B$44)-(B982))))*IF(AND(ArtifactsInput!$M$42,((Inputs!$B$9+((C963=TRUE)*(F963-Calc!F26))+B971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944">
        <f>(1-Summary!$B$11)*T944+Summary!$B$11*V944</f>
        <v/>
      </c>
      <c r="P944">
        <f>IF(B983=0,0,O944/B983)</f>
        <v/>
      </c>
      <c r="Q944">
        <f>IFERROR(1/IF(Inputs!$B$39="pvp",15,MAX(0.1,Skills!D7-IF(TRUE=TRUE,Inputs!$B$32,0))),0)</f>
        <v/>
      </c>
      <c r="R944">
        <f>IF(AND(Inputs!$B$39&lt;&gt;"pvp",Inputs!$B$44&gt;0),IF(MAX(0,Inputs!$B$44-B982)&lt;=0,0,(INT(MAX(0,Inputs!$B$44-B982)/IF(Inputs!$B$39="pvp",15,MAX(0.1,Skills!D7-IF(TRUE=TRUE,Inputs!$B$32,0))))+1)),0)</f>
        <v/>
      </c>
      <c r="S944">
        <f>IFERROR(O944/N944,0)</f>
        <v/>
      </c>
      <c r="T944">
        <f>IF(C944,(H944*N944*IF(AND(Inputs!$B$39&lt;&gt;"pvp",Inputs!$B$44&gt;0),((Skills!G7*((R944-1)*IF(Skills!H7&gt;0,Skills!I7/Skills!H7,1)+IF(Skills!H7&gt;0,MIN(Skills!I7,MAX(0,MAX(0,Inputs!$B$44-B982)-((R944-1)*IF(Inputs!$B$39="pvp",15,MAX(0.1,Skills!D7-IF(TRUE=TRUE,Inputs!$B$32,0))))))/Skills!H7,1)))/Inputs!$B$44),G944*Q944))*IF(Inputs!$B$39="pvp",1,1+(Inputs!$B$20+0+Skills!P7+B972+(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Hunt"),CHOOSE(ArtifactsInput!$N$35+1,15,18,21,24,27,30)*(1-EXP(-(0.2*B975)*5)),0)+IF(AND(ArtifactsInput!$M$22,Inputs!$B$4&lt;&gt;"Chapter Hunt"),CHOOSE(ArtifactsInput!$N$22+1,10,12,14,16,18,20)*((0*(((0.15*B975*5))^0/1)+1*(((0.15*B975*5))^1/1)+2*(((0.15*B975*5))^2/2)+3*(((0.15*B975*5))^3/6)+4*(((0.15*B975*5))^4/24)+5*(((0.15*B975*5))^5/120))/((((0.15*B975*5))^0/1)+(((0.15*B975*5))^1/1)+(((0.15*B975*5))^2/2)+(((0.15*B975*5))^3/6)+(((0.15*B975*5))^4/24)+(((0.15*B975*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944*(1-MIN(100,(Inputs!$B$9+((C963=TRUE)*(F963-Calc!F26))+B971+(ArtifactsInput!$M$24-ArtifactsInput!$M$24)*CHOOSE(ArtifactsInput!$N$24+1,10,12,14,16,18,20)+(IF(AND(Inputs!$B$39&lt;&gt;"pvp",Inputs!$B$44=0),1,IF(IF(Inputs!$B$39="pvp",15,Inputs!$B$44)-(B982)&lt;=0,1,MAX(0,IF(Inputs!$B$39="pvp",15,Inputs!$B$44)-MAX(5,B982))/(IF(Inputs!$B$39="pvp",15,Inputs!$B$44)-(B982))))*IF(AND(ArtifactsInput!$M$42,((Inputs!$B$9+((C963=TRUE)*(F963-Calc!F26))+B971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944*(MIN(100,(Inputs!$B$9+((C963=TRUE)*(F963-Calc!F26))+B971+(ArtifactsInput!$M$24-ArtifactsInput!$M$24)*CHOOSE(ArtifactsInput!$N$24+1,10,12,14,16,18,20)+(IF(AND(Inputs!$B$39&lt;&gt;"pvp",Inputs!$B$44=0),1,IF(IF(Inputs!$B$39="pvp",15,Inputs!$B$44)-(B982)&lt;=0,1,MAX(0,IF(Inputs!$B$39="pvp",15,Inputs!$B$44)-MAX(5,B982))/(IF(Inputs!$B$39="pvp",15,Inputs!$B$44)-(B982))))*IF(AND(ArtifactsInput!$M$42,((Inputs!$B$9+((C963=TRUE)*(F963-Calc!F26))+B971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944*(1-MIN(100,(Inputs!$B$9+((C963=TRUE)*(F963-Calc!F26))+B971+(ArtifactsInput!$M$24-ArtifactsInput!$M$24)*CHOOSE(ArtifactsInput!$N$24+1,10,12,14,16,18,20)+(IF(AND(Inputs!$B$39&lt;&gt;"pvp",Inputs!$B$44=0),1,IF(IF(Inputs!$B$39="pvp",15,Inputs!$B$44)-(B982)&lt;=0,1,MAX(0,IF(Inputs!$B$39="pvp",15,Inputs!$B$44)-MAX(5,B982))/(IF(Inputs!$B$39="pvp",15,Inputs!$B$44)-(B982))))*IF(AND(ArtifactsInput!$M$42,((Inputs!$B$9+((C963=TRUE)*(F963-Calc!F26))+B971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944*(MIN(100,(Inputs!$B$9+((C963=TRUE)*(F963-Calc!F26))+B971+(ArtifactsInput!$M$24-ArtifactsInput!$M$24)*CHOOSE(ArtifactsInput!$N$24+1,10,12,14,16,18,20)+(IF(AND(Inputs!$B$39&lt;&gt;"pvp",Inputs!$B$44=0),1,IF(IF(Inputs!$B$39="pvp",15,Inputs!$B$44)-(B982)&lt;=0,1,MAX(0,IF(Inputs!$B$39="pvp",15,Inputs!$B$44)-MAX(5,B982))/(IF(Inputs!$B$39="pvp",15,Inputs!$B$44)-(B982))))*IF(AND(ArtifactsInput!$M$42,((Inputs!$B$9+((C963=TRUE)*(F963-Calc!F26))+B971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944">
        <f>IF(C944,(H944*N944*IF(AND(Inputs!$B$39&lt;&gt;"pvp",Inputs!$B$44&gt;0),((Skills!G7*((R944-1)*IF(Skills!H7&gt;0,Skills!I7/Skills!H7,1)+IF(Skills!H7&gt;0,MIN(Skills!I7,MAX(0,MAX(0,Inputs!$B$44-B982)-((R944-1)*IF(Inputs!$B$39="pvp",15,MAX(0.1,Skills!D7-IF(TRUE=TRUE,Inputs!$B$32,0))))))/Skills!H7,1)))/Inputs!$B$44),G944*Q944))*IF(Inputs!$B$39="pvp",1,(1+(Inputs!$B$21+Skills!Q7+B972+(IF(ArtifactsInput!$M$33,CHOOSE(ArtifactsInput!$N$33+1,30,36,42,48,54,60),0))+(IF(AND(ArtifactsInput!$M$35,Inputs!$B$4&lt;&gt;"Chapter Hunt"),CHOOSE(ArtifactsInput!$N$35+1,15,18,21,24,27,30)*(1-EXP(-(0.2*B975)*5)),0)+IF(AND(ArtifactsInput!$M$22,Inputs!$B$4&lt;&gt;"Chapter Hunt"),CHOOSE(ArtifactsInput!$N$22+1,10,12,14,16,18,20)*((0*(((0.15*B975*5))^0/1)+1*(((0.15*B975*5))^1/1)+2*(((0.15*B975*5))^2/2)+3*(((0.15*B975*5))^3/6)+4*(((0.15*B975*5))^4/24)+5*(((0.15*B975*5))^5/120))/((((0.15*B975*5))^0/1)+(((0.15*B975*5))^1/1)+(((0.15*B975*5))^2/2)+(((0.15*B975*5))^3/6)+(((0.15*B975*5))^4/24)+(((0.15*B975*5))^5/120))),0)))/100)*(MIN(Skills!W7,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945">
      <c r="A945">
        <f>Skills!A8</f>
        <v/>
      </c>
      <c r="B945">
        <f>Skills!B8</f>
        <v/>
      </c>
      <c r="C945">
        <f>Inputs!$B$3&gt;=60</f>
        <v/>
      </c>
      <c r="D945">
        <f>IF(Skills!C8=1,60+Inputs!$B$25+Inputs!$B$29,IF(Skills!C8=2,90+(Inputs!$B$26+1)+Inputs!$B$29,IF(Skills!C8=3,120+Inputs!$B$27+Inputs!$B$29,MAX(0,(Inputs!$B$3-100)*3)+Inputs!$B$28+Inputs!$B$29)))</f>
        <v/>
      </c>
      <c r="E945">
        <f>INDEX(FactorTable!$B$2:$Y$301, MATCH(ROUND(MIN(300,MAX(1,D945)),0), FactorTable!$A$2:$A$301,0), Skills!M8+1)</f>
        <v/>
      </c>
      <c r="F945">
        <f>IF(Skills!N8=TRUE,(Skills!L8/10)*(E945/1000),Skills!L8/10)+Skills!O8</f>
        <v/>
      </c>
      <c r="G945">
        <f>Skills!G8*IF(Skills!H8&gt;0,IF(Inputs!$B$39="pvp",MIN(Skills!I8,15),Skills!I8)/Skills!H8,1)</f>
        <v/>
      </c>
      <c r="H945">
        <f>1-(1-Skills!J8/100)^Skills!K8</f>
        <v/>
      </c>
      <c r="I945" t="inlineStr">
        <is>
          <t>1</t>
        </is>
      </c>
      <c r="J945" t="inlineStr"/>
      <c r="K945" t="inlineStr"/>
      <c r="L945" t="inlineStr"/>
      <c r="M945" t="inlineStr"/>
      <c r="N945" t="inlineStr"/>
      <c r="O945">
        <f>(1-Summary!$B$11)*T945+Summary!$B$11*V945</f>
        <v/>
      </c>
      <c r="P945">
        <f>IF(B983=0,0,O945/B983)</f>
        <v/>
      </c>
      <c r="Q945" t="n">
        <v>0</v>
      </c>
      <c r="R945" t="n">
        <v>0</v>
      </c>
      <c r="S945">
        <f>IFERROR(O945/N945,0)</f>
        <v/>
      </c>
      <c r="T945" t="n">
        <v>0</v>
      </c>
      <c r="V945" t="n">
        <v>0</v>
      </c>
    </row>
    <row r="946">
      <c r="A946">
        <f>Skills!A9</f>
        <v/>
      </c>
      <c r="B946">
        <f>Skills!B9</f>
        <v/>
      </c>
      <c r="C946">
        <f>Inputs!$B$3&gt;=72</f>
        <v/>
      </c>
      <c r="D946">
        <f>IF(Skills!C9=1,60+Inputs!$B$25+Inputs!$B$29,IF(Skills!C9=2,90+(Inputs!$B$26+1)+Inputs!$B$29,IF(Skills!C9=3,120+Inputs!$B$27+Inputs!$B$29,MAX(0,(Inputs!$B$3-100)*3)+Inputs!$B$28+Inputs!$B$29)))</f>
        <v/>
      </c>
      <c r="E946">
        <f>INDEX(FactorTable!$B$2:$Y$301, MATCH(ROUND(MIN(300,MAX(1,D946)),0), FactorTable!$A$2:$A$301,0), Skills!M9+1)</f>
        <v/>
      </c>
      <c r="F946">
        <f>IF(Skills!N9=TRUE,(Skills!L9/10)*(E946/1000),Skills!L9/10)+Skills!O9</f>
        <v/>
      </c>
      <c r="G946">
        <f>Skills!G9*IF(Skills!H9&gt;0,IF(Inputs!$B$39="pvp",MIN(Skills!I9,15),Skills!I9)/Skills!H9,1)</f>
        <v/>
      </c>
      <c r="H946">
        <f>1-(1-Skills!J9/100)^Skills!K9</f>
        <v/>
      </c>
      <c r="I946" t="inlineStr">
        <is>
          <t>1</t>
        </is>
      </c>
      <c r="J946">
        <f>((Inputs!$B$6*(1+Inputs!$B$7/100))+(((Inputs!$B$12*(1+Inputs!$B$13/100))-(Inputs!$B$12*(1+Inputs!$B$13/100)))+0.25*(Inputs!$B$14-Inputs!$B$14))*(1+Inputs!$B$7/100))*(F946/100)</f>
        <v/>
      </c>
      <c r="K946">
        <f>J946*(1+((Inputs!$B$12*(1+Inputs!$B$13/100))*0.01+Inputs!$B$14*0.0025)/100)*(1+Inputs!$B$15/100)*(1+Inputs!$B$16/100)*(5000/(6000+Inputs!$B$43*(1-(100*(1-(1-Inputs!$B$19/100)*(1-CHOOSE(ArtifactsInput!$N$40+1,5,6,7,8,9,10)/100)^(ArtifactsInput!$M$40-ArtifactsInput!$M$40)))/100)))*(1+(Inputs!$B$24+((C968=TRUE)*(F968-Calc!F31))+((C955=TRUE)*(F955-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+3.3333333333333335*IF(C956=TRUE,F956,0)/100)*(1+(IF(Skills!A9="CRUEL_STAB",Inputs!$B$17+((C965=TRUE)*(F965-Calc!F28))+((IF(AND(Inputs!$B$39&lt;&gt;"pvp",Inputs!$B$44=0),1,IF(IF(Inputs!$B$39="pvp",15,Inputs!$B$44)-(B982)&lt;=0,1,MAX(0,IF(Inputs!$B$39="pvp",15,Inputs!$B$44)-MAX(5,B982))/(IF(Inputs!$B$39="pvp",15,Inputs!$B$44)-(B982))))*(IF(AND(ArtifactsInput!$M$42,((Inputs!$B$9+((C963=TRUE)*(F963-Calc!F26))+B971+(ArtifactsInput!$M$24-ArtifactsInput!$M$24)*CHOOSE(ArtifactsInput!$N$24+1,10,12,14,16,18,20)+IF(ArtifactsInput!$M$10,CHOOSE(ArtifactsInput!$N$10+1,15,18,21,24,27,30)*(IF(Inputs!$B$39="pvp",MIN(15,15)/15,IF(AND(Inputs!$B$39&lt;&gt;"pvp",Inputs!$B$44&gt;0),MIN(15,Inputs!$B$44)/(Inputs!$B$44),0))),0)))&gt;=100),MIN(100,((Inputs!$B$9+((C963=TRUE)*(F963-Calc!F26))+B971+(ArtifactsInput!$M$24-ArtifactsInput!$M$24)*CHOOSE(ArtifactsInput!$N$24+1,10,12,14,16,18,20)+IF(ArtifactsInput!$M$10,CHOOSE(ArtifactsInput!$N$10+1,15,18,21,24,27,30)*(IF(Inputs!$B$39="pvp",MIN(15,15)/15,IF(AND(Inputs!$B$39&lt;&gt;"pvp",Inputs!$B$44&gt;0),MIN(15,Inputs!$B$44)/(Inputs!$B$44),0))),0)))-100),0))*CHOOSE(ArtifactsInput!$N$42+1,0.6,0.72,0.84,0.96,1.08,1.2))),Inputs!$B$18+((C966=TRUE)*(F966-Calc!F29))+(IF(AND(Inputs!$B$39&lt;&gt;"pvp",Inputs!$B$44=0),1,IF(IF(Inputs!$B$39="pvp",15,Inputs!$B$44)-(B982)&lt;=0,1,MAX(0,IF(Inputs!$B$39="pvp",15,Inputs!$B$44)-MAX(5,B982))/(IF(Inputs!$B$39="pvp",15,Inputs!$B$44)-(B982))))*IF(AND(ArtifactsInput!$M$42,((Inputs!$B$9+((C963=TRUE)*(F963-Calc!F26))+B971+(ArtifactsInput!$M$24-ArtifactsInput!$M$24)*CHOOSE(ArtifactsInput!$N$24+1,10,12,14,16,18,20)+IF(ArtifactsInput!$M$10,CHOOSE(ArtifactsInput!$N$10+1,15,18,21,24,27,30)*(IF(Inputs!$B$39="pvp",MIN(15,15)/15,IF(AND(Inputs!$B$39&lt;&gt;"pvp",Inputs!$B$44&gt;0),MIN(15,Inputs!$B$44)/(Inputs!$B$44),0))),0)))&gt;=100),CHOOSE(ArtifactsInput!$N$42+1,40,48,56,64,72,80),0))))/100)*(((1+(((C959=TRUE)*F959*IF(AND(Inputs!$B$39&lt;&gt;"pvp",Inputs!$B$44&gt;0),(((R959-1)*MIN((Skills!Y22*(1+Inputs!$B$34/100)),(1/Q959))+MIN((Skills!Y22*(1+Inputs!$B$34/100)),MAX(0,Inputs!$B$44-((R959-1)*(1/Q959)))))/Inputs!$B$44),IF(Inputs!$B$39="pvp",MIN((Skills!Y22*(1+Inputs!$B$34/100)),15)/15,MIN(1,(Skills!Y22*(1+Inputs!$B$34/100))/(1/Q959)))))+((C940=TRUE)*F940*3)+((C942=TRUE)*F942*(1-EXP(-0.75*B975*5)))+((C961=TRUE)*(F961-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948=TRUE)*F948*IF(AND(Inputs!$B$39&lt;&gt;"pvp",Inputs!$B$44&gt;0),(((R948-1)*MIN((Skills!Y11*(1+Inputs!$B$34/100)),(1/Q948))+MIN((Skills!Y11*(1+Inputs!$B$34/100)),MAX(0,Inputs!$B$44-((R948-1)*(1/Q948)))))/Inputs!$B$44),IF(Inputs!$B$39="pvp",MIN((Skills!Y11*(1+Inputs!$B$34/100)),15)/15,MIN(1,(Skills!Y11*(1+Inputs!$B$34/100))/(1/Q948)))))/100)*(1+((C953=TRUE)*F953*IF(AND(Inputs!$B$39&lt;&gt;"pvp",Inputs!$B$44&gt;0),(((R953-1)*MIN((Skills!Y16*(1+Inputs!$B$34/100)),(1/Q953))+MIN((Skills!Y16*(1+Inputs!$B$34/100)),MAX(0,Inputs!$B$44-((R953-1)*(1/Q953)))))/Inputs!$B$44),IF(Inputs!$B$39="pvp",MIN((Skills!Y16*(1+Inputs!$B$34/100)),15)/15,MIN(1,(Skills!Y16*(1+Inputs!$B$34/100))/(1/Q953)))))/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973*I946)</f>
        <v/>
      </c>
      <c r="L946">
        <f>K946*(MIN(Inputs!$B$22+((C962=TRUE)*(F962-Calc!F25)),(Inputs!$B$23+((C967=TRUE)*(F967-Calc!F30))+IF(ArtifactsInput!$M$15,CHOOSE(ArtifactsInput!$N$15+1,25,30,35,40,45,50)/100*(Inputs!$B$11-Inputs!$B$11),0)))/100+(Inputs!$B$23+((C967=TRUE)*(F967-Calc!F30))+IF(ArtifactsInput!$M$15,CHOOSE(ArtifactsInput!$N$15+1,25,30,35,40,45,50)/100*(Inputs!$B$11-Inputs!$B$11),0))/100)/2</f>
        <v/>
      </c>
      <c r="M946">
        <f>L946*(1+(Inputs!$B$10+((C964=TRUE)*(F964-Calc!F27))+B978+(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946">
        <f>L946*(1-MIN((Inputs!$B$9+((C963=TRUE)*(F963-Calc!F26))+B971+(ArtifactsInput!$M$24-ArtifactsInput!$M$24)*CHOOSE(ArtifactsInput!$N$24+1,10,12,14,16,18,20)+(IF(AND(Inputs!$B$39&lt;&gt;"pvp",Inputs!$B$44=0),1,IF(IF(Inputs!$B$39="pvp",15,Inputs!$B$44)-(B982)&lt;=0,1,MAX(0,IF(Inputs!$B$39="pvp",15,Inputs!$B$44)-MAX(5,B982))/(IF(Inputs!$B$39="pvp",15,Inputs!$B$44)-(B982))))*IF(AND(ArtifactsInput!$M$42,((Inputs!$B$9+((C963=TRUE)*(F963-Calc!F26))+B971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946*(MIN((Inputs!$B$9+((C963=TRUE)*(F963-Calc!F26))+B971+(ArtifactsInput!$M$24-ArtifactsInput!$M$24)*CHOOSE(ArtifactsInput!$N$24+1,10,12,14,16,18,20)+(IF(AND(Inputs!$B$39&lt;&gt;"pvp",Inputs!$B$44=0),1,IF(IF(Inputs!$B$39="pvp",15,Inputs!$B$44)-(B982)&lt;=0,1,MAX(0,IF(Inputs!$B$39="pvp",15,Inputs!$B$44)-MAX(5,B982))/(IF(Inputs!$B$39="pvp",15,Inputs!$B$44)-(B982))))*IF(AND(ArtifactsInput!$M$42,((Inputs!$B$9+((C963=TRUE)*(F963-Calc!F26))+B971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946">
        <f>(1-Summary!$B$11)*T946+Summary!$B$11*V946</f>
        <v/>
      </c>
      <c r="P946">
        <f>IF(B983=0,0,O946/B983)</f>
        <v/>
      </c>
      <c r="Q946">
        <f>IFERROR(1/IF(Inputs!$B$39="pvp",15,MAX(0.1,Skills!D9-IF(FALSE=TRUE,Inputs!$B$32,0))),0)</f>
        <v/>
      </c>
      <c r="R946">
        <f>IF(AND(Inputs!$B$39&lt;&gt;"pvp",Inputs!$B$44&gt;0),IF(MAX(0,Inputs!$B$44-B982)&lt;=0,0,(INT(MAX(0,Inputs!$B$44-B982)/IF(Inputs!$B$39="pvp",15,MAX(0.1,Skills!D9-IF(FALSE=TRUE,Inputs!$B$32,0))))+1)),0)</f>
        <v/>
      </c>
      <c r="S946">
        <f>IFERROR(O946/N946,0)</f>
        <v/>
      </c>
      <c r="T946">
        <f>IF(C946,(H946*N946*IF(AND(Inputs!$B$39&lt;&gt;"pvp",Inputs!$B$44&gt;0),((Skills!G9*((R946-1)*IF(Skills!H9&gt;0,Skills!I9/Skills!H9,1)+IF(Skills!H9&gt;0,MIN(Skills!I9,MAX(0,MAX(0,Inputs!$B$44-B982)-((R946-1)*IF(Inputs!$B$39="pvp",15,MAX(0.1,Skills!D9-IF(FALSE=TRUE,Inputs!$B$32,0))))))/Skills!H9,1)))/Inputs!$B$44),G946*Q946))*IF(Inputs!$B$39="pvp",1,1+(Inputs!$B$20+0+Skills!P9+B972+(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Hunt"),CHOOSE(ArtifactsInput!$N$35+1,15,18,21,24,27,30)*(1-EXP(-(0.2*B975)*5)),0)+IF(AND(ArtifactsInput!$M$22,Inputs!$B$4&lt;&gt;"Chapter Hunt"),CHOOSE(ArtifactsInput!$N$22+1,10,12,14,16,18,20)*((0*(((0.15*B975*5))^0/1)+1*(((0.15*B975*5))^1/1)+2*(((0.15*B975*5))^2/2)+3*(((0.15*B975*5))^3/6)+4*(((0.15*B975*5))^4/24)+5*(((0.15*B975*5))^5/120))/((((0.15*B975*5))^0/1)+(((0.15*B975*5))^1/1)+(((0.15*B975*5))^2/2)+(((0.15*B975*5))^3/6)+(((0.15*B975*5))^4/24)+(((0.15*B975*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946*(1-MIN(100,(Inputs!$B$9+((C963=TRUE)*(F963-Calc!F26))+B971+(ArtifactsInput!$M$24-ArtifactsInput!$M$24)*CHOOSE(ArtifactsInput!$N$24+1,10,12,14,16,18,20)+(IF(AND(Inputs!$B$39&lt;&gt;"pvp",Inputs!$B$44=0),1,IF(IF(Inputs!$B$39="pvp",15,Inputs!$B$44)-(B982)&lt;=0,1,MAX(0,IF(Inputs!$B$39="pvp",15,Inputs!$B$44)-MAX(5,B982))/(IF(Inputs!$B$39="pvp",15,Inputs!$B$44)-(B982))))*IF(AND(ArtifactsInput!$M$42,((Inputs!$B$9+((C963=TRUE)*(F963-Calc!F26))+B971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946*(MIN(100,(Inputs!$B$9+((C963=TRUE)*(F963-Calc!F26))+B971+(ArtifactsInput!$M$24-ArtifactsInput!$M$24)*CHOOSE(ArtifactsInput!$N$24+1,10,12,14,16,18,20)+(IF(AND(Inputs!$B$39&lt;&gt;"pvp",Inputs!$B$44=0),1,IF(IF(Inputs!$B$39="pvp",15,Inputs!$B$44)-(B982)&lt;=0,1,MAX(0,IF(Inputs!$B$39="pvp",15,Inputs!$B$44)-MAX(5,B982))/(IF(Inputs!$B$39="pvp",15,Inputs!$B$44)-(B982))))*IF(AND(ArtifactsInput!$M$42,((Inputs!$B$9+((C963=TRUE)*(F963-Calc!F26))+B971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946*(1-MIN(100,(Inputs!$B$9+((C963=TRUE)*(F963-Calc!F26))+B971+(ArtifactsInput!$M$24-ArtifactsInput!$M$24)*CHOOSE(ArtifactsInput!$N$24+1,10,12,14,16,18,20)+(IF(AND(Inputs!$B$39&lt;&gt;"pvp",Inputs!$B$44=0),1,IF(IF(Inputs!$B$39="pvp",15,Inputs!$B$44)-(B982)&lt;=0,1,MAX(0,IF(Inputs!$B$39="pvp",15,Inputs!$B$44)-MAX(5,B982))/(IF(Inputs!$B$39="pvp",15,Inputs!$B$44)-(B982))))*IF(AND(ArtifactsInput!$M$42,((Inputs!$B$9+((C963=TRUE)*(F963-Calc!F26))+B971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946*(MIN(100,(Inputs!$B$9+((C963=TRUE)*(F963-Calc!F26))+B971+(ArtifactsInput!$M$24-ArtifactsInput!$M$24)*CHOOSE(ArtifactsInput!$N$24+1,10,12,14,16,18,20)+(IF(AND(Inputs!$B$39&lt;&gt;"pvp",Inputs!$B$44=0),1,IF(IF(Inputs!$B$39="pvp",15,Inputs!$B$44)-(B982)&lt;=0,1,MAX(0,IF(Inputs!$B$39="pvp",15,Inputs!$B$44)-MAX(5,B982))/(IF(Inputs!$B$39="pvp",15,Inputs!$B$44)-(B982))))*IF(AND(ArtifactsInput!$M$42,((Inputs!$B$9+((C963=TRUE)*(F963-Calc!F26))+B971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946">
        <f>IF(C946,(H946*N946*IF(AND(Inputs!$B$39&lt;&gt;"pvp",Inputs!$B$44&gt;0),((Skills!G9*((R946-1)*IF(Skills!H9&gt;0,Skills!I9/Skills!H9,1)+IF(Skills!H9&gt;0,MIN(Skills!I9,MAX(0,MAX(0,Inputs!$B$44-B982)-((R946-1)*IF(Inputs!$B$39="pvp",15,MAX(0.1,Skills!D9-IF(FALSE=TRUE,Inputs!$B$32,0))))))/Skills!H9,1)))/Inputs!$B$44),G946*Q946))*IF(Inputs!$B$39="pvp",1,(1+(Inputs!$B$21+Skills!Q9+B972+(IF(ArtifactsInput!$M$33,CHOOSE(ArtifactsInput!$N$33+1,30,36,42,48,54,60),0))+(IF(AND(ArtifactsInput!$M$35,Inputs!$B$4&lt;&gt;"Chapter Hunt"),CHOOSE(ArtifactsInput!$N$35+1,15,18,21,24,27,30)*(1-EXP(-(0.2*B975)*5)),0)+IF(AND(ArtifactsInput!$M$22,Inputs!$B$4&lt;&gt;"Chapter Hunt"),CHOOSE(ArtifactsInput!$N$22+1,10,12,14,16,18,20)*((0*(((0.15*B975*5))^0/1)+1*(((0.15*B975*5))^1/1)+2*(((0.15*B975*5))^2/2)+3*(((0.15*B975*5))^3/6)+4*(((0.15*B975*5))^4/24)+5*(((0.15*B975*5))^5/120))/((((0.15*B975*5))^0/1)+(((0.15*B975*5))^1/1)+(((0.15*B975*5))^2/2)+(((0.15*B975*5))^3/6)+(((0.15*B975*5))^4/24)+(((0.15*B975*5))^5/120))),0)))/100)*(MIN(Skills!W9,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947">
      <c r="A947">
        <f>Skills!A10</f>
        <v/>
      </c>
      <c r="B947">
        <f>Skills!B10</f>
        <v/>
      </c>
      <c r="C947">
        <f>Inputs!$B$3&gt;=117</f>
        <v/>
      </c>
      <c r="D947">
        <f>IF(Skills!C10=1,60+Inputs!$B$25+Inputs!$B$29,IF(Skills!C10=2,90+(Inputs!$B$26+1)+Inputs!$B$29,IF(Skills!C10=3,120+Inputs!$B$27+Inputs!$B$29,MAX(0,(Inputs!$B$3-100)*3)+Inputs!$B$28+Inputs!$B$29)))</f>
        <v/>
      </c>
      <c r="E947">
        <f>INDEX(FactorTable!$B$2:$Y$301, MATCH(ROUND(MIN(300,MAX(1,D947)),0), FactorTable!$A$2:$A$301,0), Skills!M10+1)</f>
        <v/>
      </c>
      <c r="F947">
        <f>IF(Skills!N10=TRUE,(Skills!L10/10)*(E947/1000),Skills!L10/10)+Skills!O10</f>
        <v/>
      </c>
      <c r="G947">
        <f>Skills!G10*IF(Skills!H10&gt;0,IF(Inputs!$B$39="pvp",MIN(Skills!I10,15),Skills!I10)/Skills!H10,1)</f>
        <v/>
      </c>
      <c r="H947">
        <f>1-(1-Skills!J10/100)^Skills!K10</f>
        <v/>
      </c>
      <c r="I947" t="inlineStr">
        <is>
          <t>1</t>
        </is>
      </c>
      <c r="J947">
        <f>((Inputs!$B$6*(1+Inputs!$B$7/100))+(((Inputs!$B$12*(1+Inputs!$B$13/100))-(Inputs!$B$12*(1+Inputs!$B$13/100)))+0.25*(Inputs!$B$14-Inputs!$B$14))*(1+Inputs!$B$7/100))*(F947/100)</f>
        <v/>
      </c>
      <c r="K947">
        <f>J947*(1+((Inputs!$B$12*(1+Inputs!$B$13/100))*0.01+Inputs!$B$14*0.0025)/100)*(1+Inputs!$B$15/100)*(1+Inputs!$B$16/100)*(5000/(6000+Inputs!$B$43*(1-(100*(1-(1-Inputs!$B$19/100)*(1-CHOOSE(ArtifactsInput!$N$40+1,5,6,7,8,9,10)/100)^(ArtifactsInput!$M$40-ArtifactsInput!$M$40)))/100)))*(1+(Inputs!$B$24+((C968=TRUE)*(F968-Calc!F31))+((C955=TRUE)*(F955-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10="CRUEL_STAB",Inputs!$B$17+((C965=TRUE)*(F965-Calc!F28))+((IF(AND(Inputs!$B$39&lt;&gt;"pvp",Inputs!$B$44=0),1,IF(IF(Inputs!$B$39="pvp",15,Inputs!$B$44)-(B982)&lt;=0,1,MAX(0,IF(Inputs!$B$39="pvp",15,Inputs!$B$44)-MAX(5,B982))/(IF(Inputs!$B$39="pvp",15,Inputs!$B$44)-(B982))))*(IF(AND(ArtifactsInput!$M$42,((Inputs!$B$9+((C963=TRUE)*(F963-Calc!F26))+B971+(ArtifactsInput!$M$24-ArtifactsInput!$M$24)*CHOOSE(ArtifactsInput!$N$24+1,10,12,14,16,18,20)+IF(ArtifactsInput!$M$10,CHOOSE(ArtifactsInput!$N$10+1,15,18,21,24,27,30)*(IF(Inputs!$B$39="pvp",MIN(15,15)/15,IF(AND(Inputs!$B$39&lt;&gt;"pvp",Inputs!$B$44&gt;0),MIN(15,Inputs!$B$44)/(Inputs!$B$44),0))),0)))&gt;=100),MIN(100,((Inputs!$B$9+((C963=TRUE)*(F963-Calc!F26))+B971+(ArtifactsInput!$M$24-ArtifactsInput!$M$24)*CHOOSE(ArtifactsInput!$N$24+1,10,12,14,16,18,20)+IF(ArtifactsInput!$M$10,CHOOSE(ArtifactsInput!$N$10+1,15,18,21,24,27,30)*(IF(Inputs!$B$39="pvp",MIN(15,15)/15,IF(AND(Inputs!$B$39&lt;&gt;"pvp",Inputs!$B$44&gt;0),MIN(15,Inputs!$B$44)/(Inputs!$B$44),0))),0)))-100),0))*CHOOSE(ArtifactsInput!$N$42+1,0.6,0.72,0.84,0.96,1.08,1.2))),Inputs!$B$18+((C966=TRUE)*(F966-Calc!F29))+(IF(AND(Inputs!$B$39&lt;&gt;"pvp",Inputs!$B$44=0),1,IF(IF(Inputs!$B$39="pvp",15,Inputs!$B$44)-(B982)&lt;=0,1,MAX(0,IF(Inputs!$B$39="pvp",15,Inputs!$B$44)-MAX(5,B982))/(IF(Inputs!$B$39="pvp",15,Inputs!$B$44)-(B982))))*IF(AND(ArtifactsInput!$M$42,((Inputs!$B$9+((C963=TRUE)*(F963-Calc!F26))+B971+(ArtifactsInput!$M$24-ArtifactsInput!$M$24)*CHOOSE(ArtifactsInput!$N$24+1,10,12,14,16,18,20)+IF(ArtifactsInput!$M$10,CHOOSE(ArtifactsInput!$N$10+1,15,18,21,24,27,30)*(IF(Inputs!$B$39="pvp",MIN(15,15)/15,IF(AND(Inputs!$B$39&lt;&gt;"pvp",Inputs!$B$44&gt;0),MIN(15,Inputs!$B$44)/(Inputs!$B$44),0))),0)))&gt;=100),CHOOSE(ArtifactsInput!$N$42+1,40,48,56,64,72,80),0))))/100)*(((1+(((C959=TRUE)*F959*IF(AND(Inputs!$B$39&lt;&gt;"pvp",Inputs!$B$44&gt;0),(((R959-1)*MIN((Skills!Y22*(1+Inputs!$B$34/100)),(1/Q959))+MIN((Skills!Y22*(1+Inputs!$B$34/100)),MAX(0,Inputs!$B$44-((R959-1)*(1/Q959)))))/Inputs!$B$44),IF(Inputs!$B$39="pvp",MIN((Skills!Y22*(1+Inputs!$B$34/100)),15)/15,MIN(1,(Skills!Y22*(1+Inputs!$B$34/100))/(1/Q959)))))+((C940=TRUE)*F940*3)+((C942=TRUE)*F942*(1-EXP(-0.75*B975*5)))+((C961=TRUE)*(F961-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948=TRUE)*F948*IF(AND(Inputs!$B$39&lt;&gt;"pvp",Inputs!$B$44&gt;0),(((R948-1)*MIN((Skills!Y11*(1+Inputs!$B$34/100)),(1/Q948))+MIN((Skills!Y11*(1+Inputs!$B$34/100)),MAX(0,Inputs!$B$44-((R948-1)*(1/Q948)))))/Inputs!$B$44),IF(Inputs!$B$39="pvp",MIN((Skills!Y11*(1+Inputs!$B$34/100)),15)/15,MIN(1,(Skills!Y11*(1+Inputs!$B$34/100))/(1/Q948)))))/100)*(1+((C953=TRUE)*F953*IF(AND(Inputs!$B$39&lt;&gt;"pvp",Inputs!$B$44&gt;0),(((R953-1)*MIN((Skills!Y16*(1+Inputs!$B$34/100)),(1/Q953))+MIN((Skills!Y16*(1+Inputs!$B$34/100)),MAX(0,Inputs!$B$44-((R953-1)*(1/Q953)))))/Inputs!$B$44),IF(Inputs!$B$39="pvp",MIN((Skills!Y16*(1+Inputs!$B$34/100)),15)/15,MIN(1,(Skills!Y16*(1+Inputs!$B$34/100))/(1/Q953)))))/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973*I947)</f>
        <v/>
      </c>
      <c r="L947">
        <f>K947*(MIN(Inputs!$B$22+((C962=TRUE)*(F962-Calc!F25)),(Inputs!$B$23+((C967=TRUE)*(F967-Calc!F30))+IF(ArtifactsInput!$M$15,CHOOSE(ArtifactsInput!$N$15+1,25,30,35,40,45,50)/100*(Inputs!$B$11-Inputs!$B$11),0)))/100+(Inputs!$B$23+((C967=TRUE)*(F967-Calc!F30))+IF(ArtifactsInput!$M$15,CHOOSE(ArtifactsInput!$N$15+1,25,30,35,40,45,50)/100*(Inputs!$B$11-Inputs!$B$11),0))/100)/2</f>
        <v/>
      </c>
      <c r="M947">
        <f>L947*(1+(Inputs!$B$10+((C964=TRUE)*(F964-Calc!F27))+B978+(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947">
        <f>L947*(1-MIN((Inputs!$B$9+((C963=TRUE)*(F963-Calc!F26))+B971+(ArtifactsInput!$M$24-ArtifactsInput!$M$24)*CHOOSE(ArtifactsInput!$N$24+1,10,12,14,16,18,20)+(IF(AND(Inputs!$B$39&lt;&gt;"pvp",Inputs!$B$44=0),1,IF(IF(Inputs!$B$39="pvp",15,Inputs!$B$44)-(B982)&lt;=0,1,MAX(0,IF(Inputs!$B$39="pvp",15,Inputs!$B$44)-MAX(5,B982))/(IF(Inputs!$B$39="pvp",15,Inputs!$B$44)-(B982))))*IF(AND(ArtifactsInput!$M$42,((Inputs!$B$9+((C963=TRUE)*(F963-Calc!F26))+B971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947*(MIN((Inputs!$B$9+((C963=TRUE)*(F963-Calc!F26))+B971+(ArtifactsInput!$M$24-ArtifactsInput!$M$24)*CHOOSE(ArtifactsInput!$N$24+1,10,12,14,16,18,20)+(IF(AND(Inputs!$B$39&lt;&gt;"pvp",Inputs!$B$44=0),1,IF(IF(Inputs!$B$39="pvp",15,Inputs!$B$44)-(B982)&lt;=0,1,MAX(0,IF(Inputs!$B$39="pvp",15,Inputs!$B$44)-MAX(5,B982))/(IF(Inputs!$B$39="pvp",15,Inputs!$B$44)-(B982))))*IF(AND(ArtifactsInput!$M$42,((Inputs!$B$9+((C963=TRUE)*(F963-Calc!F26))+B971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947">
        <f>(1-Summary!$B$11)*T947+Summary!$B$11*V947</f>
        <v/>
      </c>
      <c r="P947">
        <f>IF(B983=0,0,O947/B983)</f>
        <v/>
      </c>
      <c r="Q947" t="n">
        <v>0</v>
      </c>
      <c r="R947" t="n">
        <v>0</v>
      </c>
      <c r="S947" t="n">
        <v>0</v>
      </c>
      <c r="T947">
        <f>IF(C947,(0.2*SUMPRODUCT((Skills!Z2:Z31=TRUE)*(C939:C968=TRUE)*S939:S968)*N947)*IF(Inputs!$B$39="pvp",1,1+(Inputs!$B$20+0+Skills!P10+B972+(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Hunt"),CHOOSE(ArtifactsInput!$N$35+1,15,18,21,24,27,30)*(1-EXP(-(0.2*B975)*5)),0)+IF(AND(ArtifactsInput!$M$22,Inputs!$B$4&lt;&gt;"Chapter Hunt"),CHOOSE(ArtifactsInput!$N$22+1,10,12,14,16,18,20)*((0*(((0.15*B975*5))^0/1)+1*(((0.15*B975*5))^1/1)+2*(((0.15*B975*5))^2/2)+3*(((0.15*B975*5))^3/6)+4*(((0.15*B975*5))^4/24)+5*(((0.15*B975*5))^5/120))/((((0.15*B975*5))^0/1)+(((0.15*B975*5))^1/1)+(((0.15*B975*5))^2/2)+(((0.15*B975*5))^3/6)+(((0.15*B975*5))^4/24)+(((0.15*B975*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947*(1-MIN(100,(Inputs!$B$9+((C963=TRUE)*(F963-Calc!F26))+B971+(ArtifactsInput!$M$24-ArtifactsInput!$M$24)*CHOOSE(ArtifactsInput!$N$24+1,10,12,14,16,18,20)+(IF(AND(Inputs!$B$39&lt;&gt;"pvp",Inputs!$B$44=0),1,IF(IF(Inputs!$B$39="pvp",15,Inputs!$B$44)-(B982)&lt;=0,1,MAX(0,IF(Inputs!$B$39="pvp",15,Inputs!$B$44)-MAX(5,B982))/(IF(Inputs!$B$39="pvp",15,Inputs!$B$44)-(B982))))*IF(AND(ArtifactsInput!$M$42,((Inputs!$B$9+((C963=TRUE)*(F963-Calc!F26))+B971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947*(MIN(100,(Inputs!$B$9+((C963=TRUE)*(F963-Calc!F26))+B971+(ArtifactsInput!$M$24-ArtifactsInput!$M$24)*CHOOSE(ArtifactsInput!$N$24+1,10,12,14,16,18,20)+(IF(AND(Inputs!$B$39&lt;&gt;"pvp",Inputs!$B$44=0),1,IF(IF(Inputs!$B$39="pvp",15,Inputs!$B$44)-(B982)&lt;=0,1,MAX(0,IF(Inputs!$B$39="pvp",15,Inputs!$B$44)-MAX(5,B982))/(IF(Inputs!$B$39="pvp",15,Inputs!$B$44)-(B982))))*IF(AND(ArtifactsInput!$M$42,((Inputs!$B$9+((C963=TRUE)*(F963-Calc!F26))+B971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947*(1-MIN(100,(Inputs!$B$9+((C963=TRUE)*(F963-Calc!F26))+B971+(ArtifactsInput!$M$24-ArtifactsInput!$M$24)*CHOOSE(ArtifactsInput!$N$24+1,10,12,14,16,18,20)+(IF(AND(Inputs!$B$39&lt;&gt;"pvp",Inputs!$B$44=0),1,IF(IF(Inputs!$B$39="pvp",15,Inputs!$B$44)-(B982)&lt;=0,1,MAX(0,IF(Inputs!$B$39="pvp",15,Inputs!$B$44)-MAX(5,B982))/(IF(Inputs!$B$39="pvp",15,Inputs!$B$44)-(B982))))*IF(AND(ArtifactsInput!$M$42,((Inputs!$B$9+((C963=TRUE)*(F963-Calc!F26))+B971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947*(MIN(100,(Inputs!$B$9+((C963=TRUE)*(F963-Calc!F26))+B971+(ArtifactsInput!$M$24-ArtifactsInput!$M$24)*CHOOSE(ArtifactsInput!$N$24+1,10,12,14,16,18,20)+(IF(AND(Inputs!$B$39&lt;&gt;"pvp",Inputs!$B$44=0),1,IF(IF(Inputs!$B$39="pvp",15,Inputs!$B$44)-(B982)&lt;=0,1,MAX(0,IF(Inputs!$B$39="pvp",15,Inputs!$B$44)-MAX(5,B982))/(IF(Inputs!$B$39="pvp",15,Inputs!$B$44)-(B982))))*IF(AND(ArtifactsInput!$M$42,((Inputs!$B$9+((C963=TRUE)*(F963-Calc!F26))+B971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947">
        <f>IF(C947,(0.2*SUMPRODUCT((Skills!Z2:Z31=TRUE)*(C939:C968=TRUE)*S939:S968)*N947)*IF(Inputs!$B$39="pvp",1,(1+(Inputs!$B$21+Skills!Q10+B972+(IF(ArtifactsInput!$M$33,CHOOSE(ArtifactsInput!$N$33+1,30,36,42,48,54,60),0))+(IF(AND(ArtifactsInput!$M$35,Inputs!$B$4&lt;&gt;"Chapter Hunt"),CHOOSE(ArtifactsInput!$N$35+1,15,18,21,24,27,30)*(1-EXP(-(0.2*B975)*5)),0)+IF(AND(ArtifactsInput!$M$22,Inputs!$B$4&lt;&gt;"Chapter Hunt"),CHOOSE(ArtifactsInput!$N$22+1,10,12,14,16,18,20)*((0*(((0.15*B975*5))^0/1)+1*(((0.15*B975*5))^1/1)+2*(((0.15*B975*5))^2/2)+3*(((0.15*B975*5))^3/6)+4*(((0.15*B975*5))^4/24)+5*(((0.15*B975*5))^5/120))/((((0.15*B975*5))^0/1)+(((0.15*B975*5))^1/1)+(((0.15*B975*5))^2/2)+(((0.15*B975*5))^3/6)+(((0.15*B975*5))^4/24)+(((0.15*B975*5))^5/120))),0)))/100)*(MIN(Skills!W10,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948">
      <c r="A948">
        <f>Skills!A11</f>
        <v/>
      </c>
      <c r="B948">
        <f>Skills!B11</f>
        <v/>
      </c>
      <c r="C948">
        <f>Inputs!$B$3&gt;=74</f>
        <v/>
      </c>
      <c r="D948">
        <f>IF(Skills!C11=1,60+Inputs!$B$25+Inputs!$B$29,IF(Skills!C11=2,90+(Inputs!$B$26+1)+Inputs!$B$29,IF(Skills!C11=3,120+Inputs!$B$27+Inputs!$B$29,MAX(0,(Inputs!$B$3-100)*3)+Inputs!$B$28+Inputs!$B$29)))</f>
        <v/>
      </c>
      <c r="E948">
        <f>INDEX(FactorTable!$B$2:$Y$301, MATCH(ROUND(MIN(300,MAX(1,D948)),0), FactorTable!$A$2:$A$301,0), Skills!M11+1)</f>
        <v/>
      </c>
      <c r="F948">
        <f>IF(Skills!N11=TRUE,(Skills!L11/10)*(E948/1000),Skills!L11/10)+Skills!O11</f>
        <v/>
      </c>
      <c r="G948">
        <f>Skills!G11*IF(Skills!H11&gt;0,IF(Inputs!$B$39="pvp",MIN(Skills!I11,15),Skills!I11)/Skills!H11,1)</f>
        <v/>
      </c>
      <c r="H948">
        <f>1-(1-Skills!J11/100)^Skills!K11</f>
        <v/>
      </c>
      <c r="I948" t="inlineStr">
        <is>
          <t>1</t>
        </is>
      </c>
      <c r="J948" t="inlineStr"/>
      <c r="K948" t="inlineStr"/>
      <c r="L948" t="inlineStr"/>
      <c r="M948" t="inlineStr"/>
      <c r="N948" t="inlineStr"/>
      <c r="O948">
        <f>(1-Summary!$B$11)*T948+Summary!$B$11*V948</f>
        <v/>
      </c>
      <c r="P948">
        <f>IF(B983=0,0,O948/B983)</f>
        <v/>
      </c>
      <c r="Q948">
        <f>IFERROR(1/IF(Inputs!$B$39="pvp",15,MAX(0.1,Skills!D11-IF(TRUE=TRUE,Inputs!$B$32,0))),0)</f>
        <v/>
      </c>
      <c r="R948">
        <f>IF(AND(Inputs!$B$39&lt;&gt;"pvp",Inputs!$B$44&gt;0),IF(Inputs!$B$44&lt;=0,0,(INT(Inputs!$B$44/IF(Inputs!$B$39="pvp",15,MAX(0.1,Skills!D11-IF(TRUE=TRUE,Inputs!$B$32,0))))+1)),0)</f>
        <v/>
      </c>
      <c r="S948">
        <f>IFERROR(O948/N948,0)</f>
        <v/>
      </c>
      <c r="T948" t="n">
        <v>0</v>
      </c>
      <c r="V948" t="n">
        <v>0</v>
      </c>
    </row>
    <row r="949">
      <c r="A949">
        <f>Skills!A12</f>
        <v/>
      </c>
      <c r="B949">
        <f>Skills!B12</f>
        <v/>
      </c>
      <c r="C949">
        <f>Inputs!$B$3&gt;=103</f>
        <v/>
      </c>
      <c r="D949">
        <f>IF(Skills!C12=1,60+Inputs!$B$25+Inputs!$B$29,IF(Skills!C12=2,90+(Inputs!$B$26+1)+Inputs!$B$29,IF(Skills!C12=3,120+Inputs!$B$27+Inputs!$B$29,MAX(0,(Inputs!$B$3-100)*3)+Inputs!$B$28+Inputs!$B$29)))</f>
        <v/>
      </c>
      <c r="E949">
        <f>INDEX(FactorTable!$B$2:$Y$301, MATCH(ROUND(MIN(300,MAX(1,D949)),0), FactorTable!$A$2:$A$301,0), Skills!M12+1)</f>
        <v/>
      </c>
      <c r="F949">
        <f>(Skills!L12/10)*(E949/1000)+IF(Inputs!$B$3&gt;=134,50,0)+0.5*(30000/10)*(INDEX(FactorTable!$B$2:$Y$301, MATCH(ROUND(MIN(300,MAX(1,D949)),0), FactorTable!$A$2:$A$301,0), 13)/1000)*B981</f>
        <v/>
      </c>
      <c r="G949">
        <f>Skills!G12*IF(Skills!H12&gt;0,IF(Inputs!$B$39="pvp",MIN(Skills!I12,15),Skills!I12)/Skills!H12,1)</f>
        <v/>
      </c>
      <c r="H949">
        <f>1-(1-Skills!J12/100)^Skills!K12</f>
        <v/>
      </c>
      <c r="I949" t="inlineStr">
        <is>
          <t>1</t>
        </is>
      </c>
      <c r="J949">
        <f>((Inputs!$B$6*(1+Inputs!$B$7/100))+(((Inputs!$B$12*(1+Inputs!$B$13/100))-(Inputs!$B$12*(1+Inputs!$B$13/100)))+0.25*(Inputs!$B$14-Inputs!$B$14))*(1+Inputs!$B$7/100))*(F949/100)</f>
        <v/>
      </c>
      <c r="K949">
        <f>J949*(1+((Inputs!$B$12*(1+Inputs!$B$13/100))*0.01+Inputs!$B$14*0.0025)/100)*(1+Inputs!$B$15/100)*(1+Inputs!$B$16/100)*(5000/(6000+Inputs!$B$43*(1-(100*(1-(1-Inputs!$B$19/100)*(1-CHOOSE(ArtifactsInput!$N$40+1,5,6,7,8,9,10)/100)^(ArtifactsInput!$M$40-ArtifactsInput!$M$40)))/100)))*(1+(Inputs!$B$24+((C968=TRUE)*(F968-Calc!F31))+((C955=TRUE)*(F955-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12="CRUEL_STAB",Inputs!$B$17+((C965=TRUE)*(F965-Calc!F28))+((IF(AND(Inputs!$B$39&lt;&gt;"pvp",Inputs!$B$44=0),1,IF(IF(Inputs!$B$39="pvp",15,Inputs!$B$44)-(B982)&lt;=0,1,MAX(0,IF(Inputs!$B$39="pvp",15,Inputs!$B$44)-MAX(5,B982))/(IF(Inputs!$B$39="pvp",15,Inputs!$B$44)-(B982))))*(IF(AND(ArtifactsInput!$M$42,((Inputs!$B$9+((C963=TRUE)*(F963-Calc!F26))+B971+(ArtifactsInput!$M$24-ArtifactsInput!$M$24)*CHOOSE(ArtifactsInput!$N$24+1,10,12,14,16,18,20)+IF(ArtifactsInput!$M$10,CHOOSE(ArtifactsInput!$N$10+1,15,18,21,24,27,30)*(IF(Inputs!$B$39="pvp",MIN(15,15)/15,IF(AND(Inputs!$B$39&lt;&gt;"pvp",Inputs!$B$44&gt;0),MIN(15,Inputs!$B$44)/(Inputs!$B$44),0))),0)))&gt;=100),MIN(100,((Inputs!$B$9+((C963=TRUE)*(F963-Calc!F26))+B971+(ArtifactsInput!$M$24-ArtifactsInput!$M$24)*CHOOSE(ArtifactsInput!$N$24+1,10,12,14,16,18,20)+IF(ArtifactsInput!$M$10,CHOOSE(ArtifactsInput!$N$10+1,15,18,21,24,27,30)*(IF(Inputs!$B$39="pvp",MIN(15,15)/15,IF(AND(Inputs!$B$39&lt;&gt;"pvp",Inputs!$B$44&gt;0),MIN(15,Inputs!$B$44)/(Inputs!$B$44),0))),0)))-100),0))*CHOOSE(ArtifactsInput!$N$42+1,0.6,0.72,0.84,0.96,1.08,1.2))),Inputs!$B$18+((C966=TRUE)*(F966-Calc!F29))+(IF(AND(Inputs!$B$39&lt;&gt;"pvp",Inputs!$B$44=0),1,IF(IF(Inputs!$B$39="pvp",15,Inputs!$B$44)-(B982)&lt;=0,1,MAX(0,IF(Inputs!$B$39="pvp",15,Inputs!$B$44)-MAX(5,B982))/(IF(Inputs!$B$39="pvp",15,Inputs!$B$44)-(B982))))*IF(AND(ArtifactsInput!$M$42,((Inputs!$B$9+((C963=TRUE)*(F963-Calc!F26))+B971+(ArtifactsInput!$M$24-ArtifactsInput!$M$24)*CHOOSE(ArtifactsInput!$N$24+1,10,12,14,16,18,20)+IF(ArtifactsInput!$M$10,CHOOSE(ArtifactsInput!$N$10+1,15,18,21,24,27,30)*(IF(Inputs!$B$39="pvp",MIN(15,15)/15,IF(AND(Inputs!$B$39&lt;&gt;"pvp",Inputs!$B$44&gt;0),MIN(15,Inputs!$B$44)/(Inputs!$B$44),0))),0)))&gt;=100),CHOOSE(ArtifactsInput!$N$42+1,40,48,56,64,72,80),0))))/100)*(((1+(((C959=TRUE)*F959*IF(AND(Inputs!$B$39&lt;&gt;"pvp",Inputs!$B$44&gt;0),(((R959-1)*MIN((Skills!Y22*(1+Inputs!$B$34/100)),(1/Q959))+MIN((Skills!Y22*(1+Inputs!$B$34/100)),MAX(0,Inputs!$B$44-((R959-1)*(1/Q959)))))/Inputs!$B$44),IF(Inputs!$B$39="pvp",MIN((Skills!Y22*(1+Inputs!$B$34/100)),15)/15,MIN(1,(Skills!Y22*(1+Inputs!$B$34/100))/(1/Q959)))))+((C940=TRUE)*F940*3)+((C942=TRUE)*F942*(1-EXP(-0.75*B975*5)))+((C961=TRUE)*(F961-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948=TRUE)*F948*IF(AND(Inputs!$B$39&lt;&gt;"pvp",Inputs!$B$44&gt;0),(((R948-1)*MIN((Skills!Y11*(1+Inputs!$B$34/100)),(1/Q948))+MIN((Skills!Y11*(1+Inputs!$B$34/100)),MAX(0,Inputs!$B$44-((R948-1)*(1/Q948)))))/Inputs!$B$44),IF(Inputs!$B$39="pvp",MIN((Skills!Y11*(1+Inputs!$B$34/100)),15)/15,MIN(1,(Skills!Y11*(1+Inputs!$B$34/100))/(1/Q948)))))/100)*(1+((C953=TRUE)*F953*IF(AND(Inputs!$B$39&lt;&gt;"pvp",Inputs!$B$44&gt;0),(((R953-1)*MIN((Skills!Y16*(1+Inputs!$B$34/100)),(1/Q953))+MIN((Skills!Y16*(1+Inputs!$B$34/100)),MAX(0,Inputs!$B$44-((R953-1)*(1/Q953)))))/Inputs!$B$44),IF(Inputs!$B$39="pvp",MIN((Skills!Y16*(1+Inputs!$B$34/100)),15)/15,MIN(1,(Skills!Y16*(1+Inputs!$B$34/100))/(1/Q953)))))/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973*I949)</f>
        <v/>
      </c>
      <c r="L949">
        <f>K949*(MIN(Inputs!$B$22+((C962=TRUE)*(F962-Calc!F25)),(Inputs!$B$23+((C967=TRUE)*(F967-Calc!F30))+IF(ArtifactsInput!$M$15,CHOOSE(ArtifactsInput!$N$15+1,25,30,35,40,45,50)/100*(Inputs!$B$11-Inputs!$B$11),0)))/100+(Inputs!$B$23+((C967=TRUE)*(F967-Calc!F30))+IF(ArtifactsInput!$M$15,CHOOSE(ArtifactsInput!$N$15+1,25,30,35,40,45,50)/100*(Inputs!$B$11-Inputs!$B$11),0))/100)/2</f>
        <v/>
      </c>
      <c r="M949">
        <f>L949*(1+(Inputs!$B$10+((C964=TRUE)*(F964-Calc!F27))+B978+(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949">
        <f>L949*(1-MIN((Inputs!$B$9+((C963=TRUE)*(F963-Calc!F26))+B971+(ArtifactsInput!$M$24-ArtifactsInput!$M$24)*CHOOSE(ArtifactsInput!$N$24+1,10,12,14,16,18,20)+(IF(AND(Inputs!$B$39&lt;&gt;"pvp",Inputs!$B$44=0),1,IF(IF(Inputs!$B$39="pvp",15,Inputs!$B$44)-(B982)&lt;=0,1,MAX(0,IF(Inputs!$B$39="pvp",15,Inputs!$B$44)-MAX(5,B982))/(IF(Inputs!$B$39="pvp",15,Inputs!$B$44)-(B982))))*IF(AND(ArtifactsInput!$M$42,((Inputs!$B$9+((C963=TRUE)*(F963-Calc!F26))+B971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949*(MIN((Inputs!$B$9+((C963=TRUE)*(F963-Calc!F26))+B971+(ArtifactsInput!$M$24-ArtifactsInput!$M$24)*CHOOSE(ArtifactsInput!$N$24+1,10,12,14,16,18,20)+(IF(AND(Inputs!$B$39&lt;&gt;"pvp",Inputs!$B$44=0),1,IF(IF(Inputs!$B$39="pvp",15,Inputs!$B$44)-(B982)&lt;=0,1,MAX(0,IF(Inputs!$B$39="pvp",15,Inputs!$B$44)-MAX(5,B982))/(IF(Inputs!$B$39="pvp",15,Inputs!$B$44)-(B982))))*IF(AND(ArtifactsInput!$M$42,((Inputs!$B$9+((C963=TRUE)*(F963-Calc!F26))+B971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949">
        <f>(1-Summary!$B$11)*T949+Summary!$B$11*V949</f>
        <v/>
      </c>
      <c r="P949">
        <f>IF(B983=0,0,O949/B983)</f>
        <v/>
      </c>
      <c r="Q949">
        <f>IFERROR(1/IF(Inputs!$B$39="pvp",15,MAX(0.1,Skills!D12-IF(TRUE=TRUE,Inputs!$B$32,0))),0)</f>
        <v/>
      </c>
      <c r="R949">
        <f>IF(AND(Inputs!$B$39&lt;&gt;"pvp",Inputs!$B$44&gt;0),IF(MAX(0,Inputs!$B$44-B982)&lt;=0,0,(INT(MAX(0,Inputs!$B$44-B982)/IF(Inputs!$B$39="pvp",15,MAX(0.1,Skills!D12-IF(TRUE=TRUE,Inputs!$B$32,0))))+1)),0)</f>
        <v/>
      </c>
      <c r="S949">
        <f>IFERROR(O949/N949,0)</f>
        <v/>
      </c>
      <c r="T949">
        <f>IF(C949,(H949*N949*IF(AND(Inputs!$B$39&lt;&gt;"pvp",Inputs!$B$44&gt;0),((Skills!G12*((R949-1)*IF(Skills!H12&gt;0,Skills!I12/Skills!H12,1)+IF(Skills!H12&gt;0,MIN(Skills!I12,MAX(0,MAX(0,Inputs!$B$44-B982)-((R949-1)*IF(Inputs!$B$39="pvp",15,MAX(0.1,Skills!D12-IF(TRUE=TRUE,Inputs!$B$32,0))))))/Skills!H12,1)))/Inputs!$B$44),G949*Q949))*IF(Inputs!$B$39="pvp",1,1+(Inputs!$B$20+0+Skills!P12+B972+(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Hunt"),CHOOSE(ArtifactsInput!$N$35+1,15,18,21,24,27,30)*(1-EXP(-(0.2*B975)*5)),0)+IF(AND(ArtifactsInput!$M$22,Inputs!$B$4&lt;&gt;"Chapter Hunt"),CHOOSE(ArtifactsInput!$N$22+1,10,12,14,16,18,20)*((0*(((0.15*B975*5))^0/1)+1*(((0.15*B975*5))^1/1)+2*(((0.15*B975*5))^2/2)+3*(((0.15*B975*5))^3/6)+4*(((0.15*B975*5))^4/24)+5*(((0.15*B975*5))^5/120))/((((0.15*B975*5))^0/1)+(((0.15*B975*5))^1/1)+(((0.15*B975*5))^2/2)+(((0.15*B975*5))^3/6)+(((0.15*B975*5))^4/24)+(((0.15*B975*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949*(1-MIN(100,(Inputs!$B$9+((C963=TRUE)*(F963-Calc!F26))+B971+(ArtifactsInput!$M$24-ArtifactsInput!$M$24)*CHOOSE(ArtifactsInput!$N$24+1,10,12,14,16,18,20)+(IF(AND(Inputs!$B$39&lt;&gt;"pvp",Inputs!$B$44=0),1,IF(IF(Inputs!$B$39="pvp",15,Inputs!$B$44)-(B982)&lt;=0,1,MAX(0,IF(Inputs!$B$39="pvp",15,Inputs!$B$44)-MAX(5,B982))/(IF(Inputs!$B$39="pvp",15,Inputs!$B$44)-(B982))))*IF(AND(ArtifactsInput!$M$42,((Inputs!$B$9+((C963=TRUE)*(F963-Calc!F26))+B971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949*(MIN(100,(Inputs!$B$9+((C963=TRUE)*(F963-Calc!F26))+B971+(ArtifactsInput!$M$24-ArtifactsInput!$M$24)*CHOOSE(ArtifactsInput!$N$24+1,10,12,14,16,18,20)+(IF(AND(Inputs!$B$39&lt;&gt;"pvp",Inputs!$B$44=0),1,IF(IF(Inputs!$B$39="pvp",15,Inputs!$B$44)-(B982)&lt;=0,1,MAX(0,IF(Inputs!$B$39="pvp",15,Inputs!$B$44)-MAX(5,B982))/(IF(Inputs!$B$39="pvp",15,Inputs!$B$44)-(B982))))*IF(AND(ArtifactsInput!$M$42,((Inputs!$B$9+((C963=TRUE)*(F963-Calc!F26))+B971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949*(1-MIN(100,(Inputs!$B$9+((C963=TRUE)*(F963-Calc!F26))+B971+(ArtifactsInput!$M$24-ArtifactsInput!$M$24)*CHOOSE(ArtifactsInput!$N$24+1,10,12,14,16,18,20)+(IF(AND(Inputs!$B$39&lt;&gt;"pvp",Inputs!$B$44=0),1,IF(IF(Inputs!$B$39="pvp",15,Inputs!$B$44)-(B982)&lt;=0,1,MAX(0,IF(Inputs!$B$39="pvp",15,Inputs!$B$44)-MAX(5,B982))/(IF(Inputs!$B$39="pvp",15,Inputs!$B$44)-(B982))))*IF(AND(ArtifactsInput!$M$42,((Inputs!$B$9+((C963=TRUE)*(F963-Calc!F26))+B971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949*(MIN(100,(Inputs!$B$9+((C963=TRUE)*(F963-Calc!F26))+B971+(ArtifactsInput!$M$24-ArtifactsInput!$M$24)*CHOOSE(ArtifactsInput!$N$24+1,10,12,14,16,18,20)+(IF(AND(Inputs!$B$39&lt;&gt;"pvp",Inputs!$B$44=0),1,IF(IF(Inputs!$B$39="pvp",15,Inputs!$B$44)-(B982)&lt;=0,1,MAX(0,IF(Inputs!$B$39="pvp",15,Inputs!$B$44)-MAX(5,B982))/(IF(Inputs!$B$39="pvp",15,Inputs!$B$44)-(B982))))*IF(AND(ArtifactsInput!$M$42,((Inputs!$B$9+((C963=TRUE)*(F963-Calc!F26))+B971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949">
        <f>IF(C949,(H949*N949*IF(AND(Inputs!$B$39&lt;&gt;"pvp",Inputs!$B$44&gt;0),((Skills!G12*((R949-1)*IF(Skills!H12&gt;0,Skills!I12/Skills!H12,1)+IF(Skills!H12&gt;0,MIN(Skills!I12,MAX(0,MAX(0,Inputs!$B$44-B982)-((R949-1)*IF(Inputs!$B$39="pvp",15,MAX(0.1,Skills!D12-IF(TRUE=TRUE,Inputs!$B$32,0))))))/Skills!H12,1)))/Inputs!$B$44),G949*Q949))*IF(Inputs!$B$39="pvp",1,(1+(Inputs!$B$21+Skills!Q12+B972+(IF(ArtifactsInput!$M$33,CHOOSE(ArtifactsInput!$N$33+1,30,36,42,48,54,60),0))+(IF(AND(ArtifactsInput!$M$35,Inputs!$B$4&lt;&gt;"Chapter Hunt"),CHOOSE(ArtifactsInput!$N$35+1,15,18,21,24,27,30)*(1-EXP(-(0.2*B975)*5)),0)+IF(AND(ArtifactsInput!$M$22,Inputs!$B$4&lt;&gt;"Chapter Hunt"),CHOOSE(ArtifactsInput!$N$22+1,10,12,14,16,18,20)*((0*(((0.15*B975*5))^0/1)+1*(((0.15*B975*5))^1/1)+2*(((0.15*B975*5))^2/2)+3*(((0.15*B975*5))^3/6)+4*(((0.15*B975*5))^4/24)+5*(((0.15*B975*5))^5/120))/((((0.15*B975*5))^0/1)+(((0.15*B975*5))^1/1)+(((0.15*B975*5))^2/2)+(((0.15*B975*5))^3/6)+(((0.15*B975*5))^4/24)+(((0.15*B975*5))^5/120))),0)))/100)*(MIN(Skills!W12,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950">
      <c r="A950">
        <f>Skills!A13</f>
        <v/>
      </c>
      <c r="B950">
        <f>Skills!B13</f>
        <v/>
      </c>
      <c r="C950">
        <f>Inputs!$B$3&gt;=105</f>
        <v/>
      </c>
      <c r="D950">
        <f>IF(Skills!C13=1,60+Inputs!$B$25+Inputs!$B$29,IF(Skills!C13=2,90+(Inputs!$B$26+1)+Inputs!$B$29,IF(Skills!C13=3,120+Inputs!$B$27+Inputs!$B$29,MAX(0,(Inputs!$B$3-100)*3)+Inputs!$B$28+Inputs!$B$29)))</f>
        <v/>
      </c>
      <c r="E950">
        <f>INDEX(FactorTable!$B$2:$Y$301, MATCH(ROUND(MIN(300,MAX(1,D950)),0), FactorTable!$A$2:$A$301,0), Skills!M13+1)</f>
        <v/>
      </c>
      <c r="F950">
        <f>IF(Skills!N13=TRUE,(Skills!L13/10)*(E950/1000),Skills!L13/10)+Skills!O13</f>
        <v/>
      </c>
      <c r="G950">
        <f>Skills!G13*IF(Skills!H13&gt;0,IF(Inputs!$B$39="pvp",MIN(Skills!I13,15),Skills!I13)/Skills!H13,1)</f>
        <v/>
      </c>
      <c r="H950">
        <f>1-(1-Skills!J13/100)^Skills!K13</f>
        <v/>
      </c>
      <c r="I950" t="inlineStr">
        <is>
          <t>1</t>
        </is>
      </c>
      <c r="J950">
        <f>((Inputs!$B$6*(1+Inputs!$B$7/100))+(((Inputs!$B$12*(1+Inputs!$B$13/100))-(Inputs!$B$12*(1+Inputs!$B$13/100)))+0.25*(Inputs!$B$14-Inputs!$B$14))*(1+Inputs!$B$7/100))*(F950/100)</f>
        <v/>
      </c>
      <c r="K950">
        <f>J950*(1+((Inputs!$B$12*(1+Inputs!$B$13/100))*0.01+Inputs!$B$14*0.0025)/100)*(1+Inputs!$B$15/100)*(1+Inputs!$B$16/100)*(5000/(6000+Inputs!$B$43*(1-(100*(1-(1-Inputs!$B$19/100)*(1-CHOOSE(ArtifactsInput!$N$40+1,5,6,7,8,9,10)/100)^(ArtifactsInput!$M$40-ArtifactsInput!$M$40)))/100)))*(1+(Inputs!$B$24+((C968=TRUE)*(F968-Calc!F31))+((C955=TRUE)*(F955-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13="CRUEL_STAB",Inputs!$B$17+((C965=TRUE)*(F965-Calc!F28))+((IF(AND(Inputs!$B$39&lt;&gt;"pvp",Inputs!$B$44=0),1,IF(IF(Inputs!$B$39="pvp",15,Inputs!$B$44)-(B982)&lt;=0,1,MAX(0,IF(Inputs!$B$39="pvp",15,Inputs!$B$44)-MAX(5,B982))/(IF(Inputs!$B$39="pvp",15,Inputs!$B$44)-(B982))))*(IF(AND(ArtifactsInput!$M$42,((Inputs!$B$9+((C963=TRUE)*(F963-Calc!F26))+B971+(ArtifactsInput!$M$24-ArtifactsInput!$M$24)*CHOOSE(ArtifactsInput!$N$24+1,10,12,14,16,18,20)+IF(ArtifactsInput!$M$10,CHOOSE(ArtifactsInput!$N$10+1,15,18,21,24,27,30)*(IF(Inputs!$B$39="pvp",MIN(15,15)/15,IF(AND(Inputs!$B$39&lt;&gt;"pvp",Inputs!$B$44&gt;0),MIN(15,Inputs!$B$44)/(Inputs!$B$44),0))),0)))&gt;=100),MIN(100,((Inputs!$B$9+((C963=TRUE)*(F963-Calc!F26))+B971+(ArtifactsInput!$M$24-ArtifactsInput!$M$24)*CHOOSE(ArtifactsInput!$N$24+1,10,12,14,16,18,20)+IF(ArtifactsInput!$M$10,CHOOSE(ArtifactsInput!$N$10+1,15,18,21,24,27,30)*(IF(Inputs!$B$39="pvp",MIN(15,15)/15,IF(AND(Inputs!$B$39&lt;&gt;"pvp",Inputs!$B$44&gt;0),MIN(15,Inputs!$B$44)/(Inputs!$B$44),0))),0)))-100),0))*CHOOSE(ArtifactsInput!$N$42+1,0.6,0.72,0.84,0.96,1.08,1.2))),Inputs!$B$18+((C966=TRUE)*(F966-Calc!F29))+(IF(AND(Inputs!$B$39&lt;&gt;"pvp",Inputs!$B$44=0),1,IF(IF(Inputs!$B$39="pvp",15,Inputs!$B$44)-(B982)&lt;=0,1,MAX(0,IF(Inputs!$B$39="pvp",15,Inputs!$B$44)-MAX(5,B982))/(IF(Inputs!$B$39="pvp",15,Inputs!$B$44)-(B982))))*IF(AND(ArtifactsInput!$M$42,((Inputs!$B$9+((C963=TRUE)*(F963-Calc!F26))+B971+(ArtifactsInput!$M$24-ArtifactsInput!$M$24)*CHOOSE(ArtifactsInput!$N$24+1,10,12,14,16,18,20)+IF(ArtifactsInput!$M$10,CHOOSE(ArtifactsInput!$N$10+1,15,18,21,24,27,30)*(IF(Inputs!$B$39="pvp",MIN(15,15)/15,IF(AND(Inputs!$B$39&lt;&gt;"pvp",Inputs!$B$44&gt;0),MIN(15,Inputs!$B$44)/(Inputs!$B$44),0))),0)))&gt;=100),CHOOSE(ArtifactsInput!$N$42+1,40,48,56,64,72,80),0))))/100)*(((1+(((C959=TRUE)*F959*IF(AND(Inputs!$B$39&lt;&gt;"pvp",Inputs!$B$44&gt;0),(((R959-1)*MIN((Skills!Y22*(1+Inputs!$B$34/100)),(1/Q959))+MIN((Skills!Y22*(1+Inputs!$B$34/100)),MAX(0,Inputs!$B$44-((R959-1)*(1/Q959)))))/Inputs!$B$44),IF(Inputs!$B$39="pvp",MIN((Skills!Y22*(1+Inputs!$B$34/100)),15)/15,MIN(1,(Skills!Y22*(1+Inputs!$B$34/100))/(1/Q959)))))+((C940=TRUE)*F940*3)+((C942=TRUE)*F942*(1-EXP(-0.75*B975*5)))+((C961=TRUE)*(F961-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948=TRUE)*F948*IF(AND(Inputs!$B$39&lt;&gt;"pvp",Inputs!$B$44&gt;0),(((R948-1)*MIN((Skills!Y11*(1+Inputs!$B$34/100)),(1/Q948))+MIN((Skills!Y11*(1+Inputs!$B$34/100)),MAX(0,Inputs!$B$44-((R948-1)*(1/Q948)))))/Inputs!$B$44),IF(Inputs!$B$39="pvp",MIN((Skills!Y11*(1+Inputs!$B$34/100)),15)/15,MIN(1,(Skills!Y11*(1+Inputs!$B$34/100))/(1/Q948)))))/100)*(1+((C953=TRUE)*F953*IF(AND(Inputs!$B$39&lt;&gt;"pvp",Inputs!$B$44&gt;0),(((R953-1)*MIN((Skills!Y16*(1+Inputs!$B$34/100)),(1/Q953))+MIN((Skills!Y16*(1+Inputs!$B$34/100)),MAX(0,Inputs!$B$44-((R953-1)*(1/Q953)))))/Inputs!$B$44),IF(Inputs!$B$39="pvp",MIN((Skills!Y16*(1+Inputs!$B$34/100)),15)/15,MIN(1,(Skills!Y16*(1+Inputs!$B$34/100))/(1/Q953)))))/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973*I950)</f>
        <v/>
      </c>
      <c r="L950">
        <f>K950*(MIN(Inputs!$B$22+((C962=TRUE)*(F962-Calc!F25)),(Inputs!$B$23+((C967=TRUE)*(F967-Calc!F30))+IF(ArtifactsInput!$M$15,CHOOSE(ArtifactsInput!$N$15+1,25,30,35,40,45,50)/100*(Inputs!$B$11-Inputs!$B$11),0)))/100+(Inputs!$B$23+((C967=TRUE)*(F967-Calc!F30))+IF(ArtifactsInput!$M$15,CHOOSE(ArtifactsInput!$N$15+1,25,30,35,40,45,50)/100*(Inputs!$B$11-Inputs!$B$11),0))/100)/2</f>
        <v/>
      </c>
      <c r="M950">
        <f>L950*(1+(Inputs!$B$10+((C964=TRUE)*(F964-Calc!F27))+B978+(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950">
        <f>L950*(1-MIN((Inputs!$B$9+((C963=TRUE)*(F963-Calc!F26))+B971+(ArtifactsInput!$M$24-ArtifactsInput!$M$24)*CHOOSE(ArtifactsInput!$N$24+1,10,12,14,16,18,20)+(IF(AND(Inputs!$B$39&lt;&gt;"pvp",Inputs!$B$44=0),1,IF(IF(Inputs!$B$39="pvp",15,Inputs!$B$44)-(B982)&lt;=0,1,MAX(0,IF(Inputs!$B$39="pvp",15,Inputs!$B$44)-MAX(5,B982))/(IF(Inputs!$B$39="pvp",15,Inputs!$B$44)-(B982))))*IF(AND(ArtifactsInput!$M$42,((Inputs!$B$9+((C963=TRUE)*(F963-Calc!F26))+B971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950*(MIN((Inputs!$B$9+((C963=TRUE)*(F963-Calc!F26))+B971+(ArtifactsInput!$M$24-ArtifactsInput!$M$24)*CHOOSE(ArtifactsInput!$N$24+1,10,12,14,16,18,20)+(IF(AND(Inputs!$B$39&lt;&gt;"pvp",Inputs!$B$44=0),1,IF(IF(Inputs!$B$39="pvp",15,Inputs!$B$44)-(B982)&lt;=0,1,MAX(0,IF(Inputs!$B$39="pvp",15,Inputs!$B$44)-MAX(5,B982))/(IF(Inputs!$B$39="pvp",15,Inputs!$B$44)-(B982))))*IF(AND(ArtifactsInput!$M$42,((Inputs!$B$9+((C963=TRUE)*(F963-Calc!F26))+B971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950">
        <f>(1-Summary!$B$11)*T950+Summary!$B$11*V950</f>
        <v/>
      </c>
      <c r="P950">
        <f>IF(B983=0,0,O950/B983)</f>
        <v/>
      </c>
      <c r="Q950">
        <f>IFERROR(1/IF(Inputs!$B$39="pvp",15,MAX(0.1,Skills!D13-IF(TRUE=TRUE,Inputs!$B$32,0))),0)</f>
        <v/>
      </c>
      <c r="R950">
        <f>IF(AND(Inputs!$B$39&lt;&gt;"pvp",Inputs!$B$44&gt;0),IF(MAX(0,Inputs!$B$44-B982)&lt;=0,0,(INT(MAX(0,Inputs!$B$44-B982)/IF(Inputs!$B$39="pvp",15,MAX(0.1,Skills!D13-IF(TRUE=TRUE,Inputs!$B$32,0))))+1)),0)</f>
        <v/>
      </c>
      <c r="S950">
        <f>IFERROR(O950/N950,0)</f>
        <v/>
      </c>
      <c r="T950">
        <f>IF(C950,(H950*N950*IF(AND(Inputs!$B$39&lt;&gt;"pvp",Inputs!$B$44&gt;0),((Skills!G13*((R950-1)*IF(Skills!H13&gt;0,Skills!I13/Skills!H13,1)+IF(Skills!H13&gt;0,MIN(Skills!I13,MAX(0,MAX(0,Inputs!$B$44-B982)-((R950-1)*IF(Inputs!$B$39="pvp",15,MAX(0.1,Skills!D13-IF(TRUE=TRUE,Inputs!$B$32,0))))))/Skills!H13,1)))/Inputs!$B$44),G950*Q950))*IF(Inputs!$B$39="pvp",1,1+(Inputs!$B$20+0+Skills!P13+B972+(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Hunt"),CHOOSE(ArtifactsInput!$N$35+1,15,18,21,24,27,30)*(1-EXP(-(0.2*B975)*5)),0)+IF(AND(ArtifactsInput!$M$22,Inputs!$B$4&lt;&gt;"Chapter Hunt"),CHOOSE(ArtifactsInput!$N$22+1,10,12,14,16,18,20)*((0*(((0.15*B975*5))^0/1)+1*(((0.15*B975*5))^1/1)+2*(((0.15*B975*5))^2/2)+3*(((0.15*B975*5))^3/6)+4*(((0.15*B975*5))^4/24)+5*(((0.15*B975*5))^5/120))/((((0.15*B975*5))^0/1)+(((0.15*B975*5))^1/1)+(((0.15*B975*5))^2/2)+(((0.15*B975*5))^3/6)+(((0.15*B975*5))^4/24)+(((0.15*B975*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950*(1-MIN(100,(Inputs!$B$9+((C963=TRUE)*(F963-Calc!F26))+B971+(ArtifactsInput!$M$24-ArtifactsInput!$M$24)*CHOOSE(ArtifactsInput!$N$24+1,10,12,14,16,18,20)+(IF(AND(Inputs!$B$39&lt;&gt;"pvp",Inputs!$B$44=0),1,IF(IF(Inputs!$B$39="pvp",15,Inputs!$B$44)-(B982)&lt;=0,1,MAX(0,IF(Inputs!$B$39="pvp",15,Inputs!$B$44)-MAX(5,B982))/(IF(Inputs!$B$39="pvp",15,Inputs!$B$44)-(B982))))*IF(AND(ArtifactsInput!$M$42,((Inputs!$B$9+((C963=TRUE)*(F963-Calc!F26))+B971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950*(MIN(100,(Inputs!$B$9+((C963=TRUE)*(F963-Calc!F26))+B971+(ArtifactsInput!$M$24-ArtifactsInput!$M$24)*CHOOSE(ArtifactsInput!$N$24+1,10,12,14,16,18,20)+(IF(AND(Inputs!$B$39&lt;&gt;"pvp",Inputs!$B$44=0),1,IF(IF(Inputs!$B$39="pvp",15,Inputs!$B$44)-(B982)&lt;=0,1,MAX(0,IF(Inputs!$B$39="pvp",15,Inputs!$B$44)-MAX(5,B982))/(IF(Inputs!$B$39="pvp",15,Inputs!$B$44)-(B982))))*IF(AND(ArtifactsInput!$M$42,((Inputs!$B$9+((C963=TRUE)*(F963-Calc!F26))+B971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950*(1-MIN(100,(Inputs!$B$9+((C963=TRUE)*(F963-Calc!F26))+B971+(ArtifactsInput!$M$24-ArtifactsInput!$M$24)*CHOOSE(ArtifactsInput!$N$24+1,10,12,14,16,18,20)+(IF(AND(Inputs!$B$39&lt;&gt;"pvp",Inputs!$B$44=0),1,IF(IF(Inputs!$B$39="pvp",15,Inputs!$B$44)-(B982)&lt;=0,1,MAX(0,IF(Inputs!$B$39="pvp",15,Inputs!$B$44)-MAX(5,B982))/(IF(Inputs!$B$39="pvp",15,Inputs!$B$44)-(B982))))*IF(AND(ArtifactsInput!$M$42,((Inputs!$B$9+((C963=TRUE)*(F963-Calc!F26))+B971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950*(MIN(100,(Inputs!$B$9+((C963=TRUE)*(F963-Calc!F26))+B971+(ArtifactsInput!$M$24-ArtifactsInput!$M$24)*CHOOSE(ArtifactsInput!$N$24+1,10,12,14,16,18,20)+(IF(AND(Inputs!$B$39&lt;&gt;"pvp",Inputs!$B$44=0),1,IF(IF(Inputs!$B$39="pvp",15,Inputs!$B$44)-(B982)&lt;=0,1,MAX(0,IF(Inputs!$B$39="pvp",15,Inputs!$B$44)-MAX(5,B982))/(IF(Inputs!$B$39="pvp",15,Inputs!$B$44)-(B982))))*IF(AND(ArtifactsInput!$M$42,((Inputs!$B$9+((C963=TRUE)*(F963-Calc!F26))+B971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950">
        <f>IF(C950,(H950*N950*IF(AND(Inputs!$B$39&lt;&gt;"pvp",Inputs!$B$44&gt;0),((Skills!G13*((R950-1)*IF(Skills!H13&gt;0,Skills!I13/Skills!H13,1)+IF(Skills!H13&gt;0,MIN(Skills!I13,MAX(0,MAX(0,Inputs!$B$44-B982)-((R950-1)*IF(Inputs!$B$39="pvp",15,MAX(0.1,Skills!D13-IF(TRUE=TRUE,Inputs!$B$32,0))))))/Skills!H13,1)))/Inputs!$B$44),G950*Q950))*IF(Inputs!$B$39="pvp",1,(1+(Inputs!$B$21+Skills!Q13+B972+(IF(ArtifactsInput!$M$33,CHOOSE(ArtifactsInput!$N$33+1,30,36,42,48,54,60),0))+(IF(AND(ArtifactsInput!$M$35,Inputs!$B$4&lt;&gt;"Chapter Hunt"),CHOOSE(ArtifactsInput!$N$35+1,15,18,21,24,27,30)*(1-EXP(-(0.2*B975)*5)),0)+IF(AND(ArtifactsInput!$M$22,Inputs!$B$4&lt;&gt;"Chapter Hunt"),CHOOSE(ArtifactsInput!$N$22+1,10,12,14,16,18,20)*((0*(((0.15*B975*5))^0/1)+1*(((0.15*B975*5))^1/1)+2*(((0.15*B975*5))^2/2)+3*(((0.15*B975*5))^3/6)+4*(((0.15*B975*5))^4/24)+5*(((0.15*B975*5))^5/120))/((((0.15*B975*5))^0/1)+(((0.15*B975*5))^1/1)+(((0.15*B975*5))^2/2)+(((0.15*B975*5))^3/6)+(((0.15*B975*5))^4/24)+(((0.15*B975*5))^5/120))),0)))/100)*(MIN(Skills!W13,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951">
      <c r="A951">
        <f>Skills!A14</f>
        <v/>
      </c>
      <c r="B951">
        <f>Skills!B14</f>
        <v/>
      </c>
      <c r="C951">
        <f>Inputs!$B$3&gt;=105</f>
        <v/>
      </c>
      <c r="D951">
        <f>IF(Skills!C14=1,60+Inputs!$B$25+Inputs!$B$29,IF(Skills!C14=2,90+(Inputs!$B$26+1)+Inputs!$B$29,IF(Skills!C14=3,120+Inputs!$B$27+Inputs!$B$29,MAX(0,(Inputs!$B$3-100)*3)+Inputs!$B$28+Inputs!$B$29)))</f>
        <v/>
      </c>
      <c r="E951">
        <f>INDEX(FactorTable!$B$2:$Y$301, MATCH(ROUND(MIN(300,MAX(1,D951)),0), FactorTable!$A$2:$A$301,0), Skills!M14+1)</f>
        <v/>
      </c>
      <c r="F951">
        <f>IF(Skills!N14=TRUE,(Skills!L14/10)*(E951/1000),Skills!L14/10)+Skills!O14</f>
        <v/>
      </c>
      <c r="G951">
        <f>Skills!G14*IF(Skills!H14&gt;0,IF(Inputs!$B$39="pvp",MIN(Skills!I14,15),Skills!I14)/Skills!H14,1)</f>
        <v/>
      </c>
      <c r="H951">
        <f>1-(1-Skills!J14/100)^Skills!K14</f>
        <v/>
      </c>
      <c r="I951" t="inlineStr">
        <is>
          <t>1</t>
        </is>
      </c>
      <c r="J951">
        <f>((Inputs!$B$6*(1+Inputs!$B$7/100))+(((Inputs!$B$12*(1+Inputs!$B$13/100))-(Inputs!$B$12*(1+Inputs!$B$13/100)))+0.25*(Inputs!$B$14-Inputs!$B$14))*(1+Inputs!$B$7/100))*(F951/100)</f>
        <v/>
      </c>
      <c r="K951">
        <f>J951*(1+((Inputs!$B$12*(1+Inputs!$B$13/100))*0.01+Inputs!$B$14*0.0025)/100)*(1+Inputs!$B$15/100)*(1+Inputs!$B$16/100)*(5000/(6000+Inputs!$B$43*(1-(100*(1-(1-Inputs!$B$19/100)*(1-CHOOSE(ArtifactsInput!$N$40+1,5,6,7,8,9,10)/100)^(ArtifactsInput!$M$40-ArtifactsInput!$M$40)))/100)))*(1+(Inputs!$B$24+((C968=TRUE)*(F968-Calc!F31))+((C955=TRUE)*(F955-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14="CRUEL_STAB",Inputs!$B$17+((C965=TRUE)*(F965-Calc!F28))+((IF(AND(Inputs!$B$39&lt;&gt;"pvp",Inputs!$B$44=0),1,IF(IF(Inputs!$B$39="pvp",15,Inputs!$B$44)-(B982)&lt;=0,1,MAX(0,IF(Inputs!$B$39="pvp",15,Inputs!$B$44)-MAX(5,B982))/(IF(Inputs!$B$39="pvp",15,Inputs!$B$44)-(B982))))*(IF(AND(ArtifactsInput!$M$42,((Inputs!$B$9+((C963=TRUE)*(F963-Calc!F26))+B971+(ArtifactsInput!$M$24-ArtifactsInput!$M$24)*CHOOSE(ArtifactsInput!$N$24+1,10,12,14,16,18,20)+IF(ArtifactsInput!$M$10,CHOOSE(ArtifactsInput!$N$10+1,15,18,21,24,27,30)*(IF(Inputs!$B$39="pvp",MIN(15,15)/15,IF(AND(Inputs!$B$39&lt;&gt;"pvp",Inputs!$B$44&gt;0),MIN(15,Inputs!$B$44)/(Inputs!$B$44),0))),0)))&gt;=100),MIN(100,((Inputs!$B$9+((C963=TRUE)*(F963-Calc!F26))+B971+(ArtifactsInput!$M$24-ArtifactsInput!$M$24)*CHOOSE(ArtifactsInput!$N$24+1,10,12,14,16,18,20)+IF(ArtifactsInput!$M$10,CHOOSE(ArtifactsInput!$N$10+1,15,18,21,24,27,30)*(IF(Inputs!$B$39="pvp",MIN(15,15)/15,IF(AND(Inputs!$B$39&lt;&gt;"pvp",Inputs!$B$44&gt;0),MIN(15,Inputs!$B$44)/(Inputs!$B$44),0))),0)))-100),0))*CHOOSE(ArtifactsInput!$N$42+1,0.6,0.72,0.84,0.96,1.08,1.2))),Inputs!$B$18+((C966=TRUE)*(F966-Calc!F29))+(IF(AND(Inputs!$B$39&lt;&gt;"pvp",Inputs!$B$44=0),1,IF(IF(Inputs!$B$39="pvp",15,Inputs!$B$44)-(B982)&lt;=0,1,MAX(0,IF(Inputs!$B$39="pvp",15,Inputs!$B$44)-MAX(5,B982))/(IF(Inputs!$B$39="pvp",15,Inputs!$B$44)-(B982))))*IF(AND(ArtifactsInput!$M$42,((Inputs!$B$9+((C963=TRUE)*(F963-Calc!F26))+B971+(ArtifactsInput!$M$24-ArtifactsInput!$M$24)*CHOOSE(ArtifactsInput!$N$24+1,10,12,14,16,18,20)+IF(ArtifactsInput!$M$10,CHOOSE(ArtifactsInput!$N$10+1,15,18,21,24,27,30)*(IF(Inputs!$B$39="pvp",MIN(15,15)/15,IF(AND(Inputs!$B$39&lt;&gt;"pvp",Inputs!$B$44&gt;0),MIN(15,Inputs!$B$44)/(Inputs!$B$44),0))),0)))&gt;=100),CHOOSE(ArtifactsInput!$N$42+1,40,48,56,64,72,80),0))))/100)*(((1+(((C959=TRUE)*F959*IF(AND(Inputs!$B$39&lt;&gt;"pvp",Inputs!$B$44&gt;0),(((R959-1)*MIN((Skills!Y22*(1+Inputs!$B$34/100)),(1/Q959))+MIN((Skills!Y22*(1+Inputs!$B$34/100)),MAX(0,Inputs!$B$44-((R959-1)*(1/Q959)))))/Inputs!$B$44),IF(Inputs!$B$39="pvp",MIN((Skills!Y22*(1+Inputs!$B$34/100)),15)/15,MIN(1,(Skills!Y22*(1+Inputs!$B$34/100))/(1/Q959)))))+((C940=TRUE)*F940*3)+((C942=TRUE)*F942*(1-EXP(-0.75*B975*5)))+((C961=TRUE)*(F961-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948=TRUE)*F948*IF(AND(Inputs!$B$39&lt;&gt;"pvp",Inputs!$B$44&gt;0),(((R948-1)*MIN((Skills!Y11*(1+Inputs!$B$34/100)),(1/Q948))+MIN((Skills!Y11*(1+Inputs!$B$34/100)),MAX(0,Inputs!$B$44-((R948-1)*(1/Q948)))))/Inputs!$B$44),IF(Inputs!$B$39="pvp",MIN((Skills!Y11*(1+Inputs!$B$34/100)),15)/15,MIN(1,(Skills!Y11*(1+Inputs!$B$34/100))/(1/Q948)))))/100)*(1+((C953=TRUE)*F953*IF(AND(Inputs!$B$39&lt;&gt;"pvp",Inputs!$B$44&gt;0),(((R953-1)*MIN((Skills!Y16*(1+Inputs!$B$34/100)),(1/Q953))+MIN((Skills!Y16*(1+Inputs!$B$34/100)),MAX(0,Inputs!$B$44-((R953-1)*(1/Q953)))))/Inputs!$B$44),IF(Inputs!$B$39="pvp",MIN((Skills!Y16*(1+Inputs!$B$34/100)),15)/15,MIN(1,(Skills!Y16*(1+Inputs!$B$34/100))/(1/Q953)))))/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973*I951)</f>
        <v/>
      </c>
      <c r="L951">
        <f>K951*(MIN(Inputs!$B$22+((C962=TRUE)*(F962-Calc!F25)),(Inputs!$B$23+((C967=TRUE)*(F967-Calc!F30))+IF(ArtifactsInput!$M$15,CHOOSE(ArtifactsInput!$N$15+1,25,30,35,40,45,50)/100*(Inputs!$B$11-Inputs!$B$11),0)))/100+(Inputs!$B$23+((C967=TRUE)*(F967-Calc!F30))+IF(ArtifactsInput!$M$15,CHOOSE(ArtifactsInput!$N$15+1,25,30,35,40,45,50)/100*(Inputs!$B$11-Inputs!$B$11),0))/100)/2</f>
        <v/>
      </c>
      <c r="M951">
        <f>L951*(1+(Inputs!$B$10+((C964=TRUE)*(F964-Calc!F27))+B978+(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951">
        <f>L951*(1-MIN((Inputs!$B$9+((C963=TRUE)*(F963-Calc!F26))+B971+(ArtifactsInput!$M$24-ArtifactsInput!$M$24)*CHOOSE(ArtifactsInput!$N$24+1,10,12,14,16,18,20)+(IF(AND(Inputs!$B$39&lt;&gt;"pvp",Inputs!$B$44=0),1,IF(IF(Inputs!$B$39="pvp",15,Inputs!$B$44)-(B982)&lt;=0,1,MAX(0,IF(Inputs!$B$39="pvp",15,Inputs!$B$44)-MAX(5,B982))/(IF(Inputs!$B$39="pvp",15,Inputs!$B$44)-(B982))))*IF(AND(ArtifactsInput!$M$42,((Inputs!$B$9+((C963=TRUE)*(F963-Calc!F26))+B971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951*(MIN((Inputs!$B$9+((C963=TRUE)*(F963-Calc!F26))+B971+(ArtifactsInput!$M$24-ArtifactsInput!$M$24)*CHOOSE(ArtifactsInput!$N$24+1,10,12,14,16,18,20)+(IF(AND(Inputs!$B$39&lt;&gt;"pvp",Inputs!$B$44=0),1,IF(IF(Inputs!$B$39="pvp",15,Inputs!$B$44)-(B982)&lt;=0,1,MAX(0,IF(Inputs!$B$39="pvp",15,Inputs!$B$44)-MAX(5,B982))/(IF(Inputs!$B$39="pvp",15,Inputs!$B$44)-(B982))))*IF(AND(ArtifactsInput!$M$42,((Inputs!$B$9+((C963=TRUE)*(F963-Calc!F26))+B971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951">
        <f>(1-Summary!$B$11)*T951+Summary!$B$11*V951</f>
        <v/>
      </c>
      <c r="P951">
        <f>IF(B983=0,0,O951/B983)</f>
        <v/>
      </c>
      <c r="Q951">
        <f>IFERROR(1/IF(Inputs!$B$39="pvp",15,MAX(0.1,Skills!D14-IF(TRUE=TRUE,Inputs!$B$32,0))),0)</f>
        <v/>
      </c>
      <c r="R951">
        <f>IF(AND(Inputs!$B$39&lt;&gt;"pvp",Inputs!$B$44&gt;0),IF(MAX(0,Inputs!$B$44-B982)&lt;=0,0,(INT(MAX(0,Inputs!$B$44-B982)/IF(Inputs!$B$39="pvp",15,MAX(0.1,Skills!D14-IF(TRUE=TRUE,Inputs!$B$32,0))))+1)),0)</f>
        <v/>
      </c>
      <c r="S951">
        <f>IFERROR(O951/N951,0)</f>
        <v/>
      </c>
      <c r="T951">
        <f>IF(C951,(H951*N951*IF(AND(Inputs!$B$39&lt;&gt;"pvp",Inputs!$B$44&gt;0),((Skills!G14*((R951-1)*IF(Skills!H14&gt;0,Skills!I14/Skills!H14,1)+IF(Skills!H14&gt;0,MIN(Skills!I14,MAX(0,MAX(0,Inputs!$B$44-B982)-((R951-1)*IF(Inputs!$B$39="pvp",15,MAX(0.1,Skills!D14-IF(TRUE=TRUE,Inputs!$B$32,0))))))/Skills!H14,1)))/Inputs!$B$44),G951*Q951))*IF(Inputs!$B$39="pvp",1,1+(Inputs!$B$20+0+Skills!P14+B972+(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Hunt"),CHOOSE(ArtifactsInput!$N$35+1,15,18,21,24,27,30)*(1-EXP(-(0.2*B975)*5)),0)+IF(AND(ArtifactsInput!$M$22,Inputs!$B$4&lt;&gt;"Chapter Hunt"),CHOOSE(ArtifactsInput!$N$22+1,10,12,14,16,18,20)*((0*(((0.15*B975*5))^0/1)+1*(((0.15*B975*5))^1/1)+2*(((0.15*B975*5))^2/2)+3*(((0.15*B975*5))^3/6)+4*(((0.15*B975*5))^4/24)+5*(((0.15*B975*5))^5/120))/((((0.15*B975*5))^0/1)+(((0.15*B975*5))^1/1)+(((0.15*B975*5))^2/2)+(((0.15*B975*5))^3/6)+(((0.15*B975*5))^4/24)+(((0.15*B975*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951*(1-MIN(100,(Inputs!$B$9+((C963=TRUE)*(F963-Calc!F26))+B971+(ArtifactsInput!$M$24-ArtifactsInput!$M$24)*CHOOSE(ArtifactsInput!$N$24+1,10,12,14,16,18,20)+(IF(AND(Inputs!$B$39&lt;&gt;"pvp",Inputs!$B$44=0),1,IF(IF(Inputs!$B$39="pvp",15,Inputs!$B$44)-(B982)&lt;=0,1,MAX(0,IF(Inputs!$B$39="pvp",15,Inputs!$B$44)-MAX(5,B982))/(IF(Inputs!$B$39="pvp",15,Inputs!$B$44)-(B982))))*IF(AND(ArtifactsInput!$M$42,((Inputs!$B$9+((C963=TRUE)*(F963-Calc!F26))+B971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951*(MIN(100,(Inputs!$B$9+((C963=TRUE)*(F963-Calc!F26))+B971+(ArtifactsInput!$M$24-ArtifactsInput!$M$24)*CHOOSE(ArtifactsInput!$N$24+1,10,12,14,16,18,20)+(IF(AND(Inputs!$B$39&lt;&gt;"pvp",Inputs!$B$44=0),1,IF(IF(Inputs!$B$39="pvp",15,Inputs!$B$44)-(B982)&lt;=0,1,MAX(0,IF(Inputs!$B$39="pvp",15,Inputs!$B$44)-MAX(5,B982))/(IF(Inputs!$B$39="pvp",15,Inputs!$B$44)-(B982))))*IF(AND(ArtifactsInput!$M$42,((Inputs!$B$9+((C963=TRUE)*(F963-Calc!F26))+B971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951*(1-MIN(100,(Inputs!$B$9+((C963=TRUE)*(F963-Calc!F26))+B971+(ArtifactsInput!$M$24-ArtifactsInput!$M$24)*CHOOSE(ArtifactsInput!$N$24+1,10,12,14,16,18,20)+(IF(AND(Inputs!$B$39&lt;&gt;"pvp",Inputs!$B$44=0),1,IF(IF(Inputs!$B$39="pvp",15,Inputs!$B$44)-(B982)&lt;=0,1,MAX(0,IF(Inputs!$B$39="pvp",15,Inputs!$B$44)-MAX(5,B982))/(IF(Inputs!$B$39="pvp",15,Inputs!$B$44)-(B982))))*IF(AND(ArtifactsInput!$M$42,((Inputs!$B$9+((C963=TRUE)*(F963-Calc!F26))+B971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951*(MIN(100,(Inputs!$B$9+((C963=TRUE)*(F963-Calc!F26))+B971+(ArtifactsInput!$M$24-ArtifactsInput!$M$24)*CHOOSE(ArtifactsInput!$N$24+1,10,12,14,16,18,20)+(IF(AND(Inputs!$B$39&lt;&gt;"pvp",Inputs!$B$44=0),1,IF(IF(Inputs!$B$39="pvp",15,Inputs!$B$44)-(B982)&lt;=0,1,MAX(0,IF(Inputs!$B$39="pvp",15,Inputs!$B$44)-MAX(5,B982))/(IF(Inputs!$B$39="pvp",15,Inputs!$B$44)-(B982))))*IF(AND(ArtifactsInput!$M$42,((Inputs!$B$9+((C963=TRUE)*(F963-Calc!F26))+B971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951">
        <f>IF(C951,(H951*N951*IF(AND(Inputs!$B$39&lt;&gt;"pvp",Inputs!$B$44&gt;0),((Skills!G14*((R951-1)*IF(Skills!H14&gt;0,Skills!I14/Skills!H14,1)+IF(Skills!H14&gt;0,MIN(Skills!I14,MAX(0,MAX(0,Inputs!$B$44-B982)-((R951-1)*IF(Inputs!$B$39="pvp",15,MAX(0.1,Skills!D14-IF(TRUE=TRUE,Inputs!$B$32,0))))))/Skills!H14,1)))/Inputs!$B$44),G951*Q951))*IF(Inputs!$B$39="pvp",1,(1+(Inputs!$B$21+Skills!Q14+B972+(IF(ArtifactsInput!$M$33,CHOOSE(ArtifactsInput!$N$33+1,30,36,42,48,54,60),0))+(IF(AND(ArtifactsInput!$M$35,Inputs!$B$4&lt;&gt;"Chapter Hunt"),CHOOSE(ArtifactsInput!$N$35+1,15,18,21,24,27,30)*(1-EXP(-(0.2*B975)*5)),0)+IF(AND(ArtifactsInput!$M$22,Inputs!$B$4&lt;&gt;"Chapter Hunt"),CHOOSE(ArtifactsInput!$N$22+1,10,12,14,16,18,20)*((0*(((0.15*B975*5))^0/1)+1*(((0.15*B975*5))^1/1)+2*(((0.15*B975*5))^2/2)+3*(((0.15*B975*5))^3/6)+4*(((0.15*B975*5))^4/24)+5*(((0.15*B975*5))^5/120))/((((0.15*B975*5))^0/1)+(((0.15*B975*5))^1/1)+(((0.15*B975*5))^2/2)+(((0.15*B975*5))^3/6)+(((0.15*B975*5))^4/24)+(((0.15*B975*5))^5/120))),0)))/100)*(MIN(Skills!W14,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952">
      <c r="A952">
        <f>Skills!A15</f>
        <v/>
      </c>
      <c r="B952">
        <f>Skills!B15</f>
        <v/>
      </c>
      <c r="C952">
        <f>Inputs!$B$3&gt;=107</f>
        <v/>
      </c>
      <c r="D952">
        <f>IF(Skills!C15=1,60+Inputs!$B$25+Inputs!$B$29,IF(Skills!C15=2,90+(Inputs!$B$26+1)+Inputs!$B$29,IF(Skills!C15=3,120+Inputs!$B$27+Inputs!$B$29,MAX(0,(Inputs!$B$3-100)*3)+Inputs!$B$28+Inputs!$B$29)))</f>
        <v/>
      </c>
      <c r="E952">
        <f>INDEX(FactorTable!$B$2:$Y$301, MATCH(ROUND(MIN(300,MAX(1,D952)),0), FactorTable!$A$2:$A$301,0), Skills!M15+1)</f>
        <v/>
      </c>
      <c r="F952">
        <f>IF(Skills!N15=TRUE,(Skills!L15/10)*(E952/1000),Skills!L15/10)+Skills!O15</f>
        <v/>
      </c>
      <c r="G952">
        <f>Skills!G15*IF(Skills!H15&gt;0,IF(Inputs!$B$39="pvp",MIN(Skills!I15,15),Skills!I15)/Skills!H15,1)</f>
        <v/>
      </c>
      <c r="H952">
        <f>1-(1-Skills!J15/100)^Skills!K15</f>
        <v/>
      </c>
      <c r="I952" t="inlineStr">
        <is>
          <t>1</t>
        </is>
      </c>
      <c r="J952">
        <f>((Inputs!$B$6*(1+Inputs!$B$7/100))+(((Inputs!$B$12*(1+Inputs!$B$13/100))-(Inputs!$B$12*(1+Inputs!$B$13/100)))+0.25*(Inputs!$B$14-Inputs!$B$14))*(1+Inputs!$B$7/100))*(F952/100)</f>
        <v/>
      </c>
      <c r="K952">
        <f>J952*(1+((Inputs!$B$12*(1+Inputs!$B$13/100))*0.01+Inputs!$B$14*0.0025)/100)*(1+Inputs!$B$15/100)*(1+Inputs!$B$16/100)*(5000/(6000+Inputs!$B$43*(1-(100*(1-(1-Inputs!$B$19/100)*(1-CHOOSE(ArtifactsInput!$N$40+1,5,6,7,8,9,10)/100)^(ArtifactsInput!$M$40-ArtifactsInput!$M$40)))/100)))*(1+(Inputs!$B$24+((C968=TRUE)*(F968-Calc!F31))+((C955=TRUE)*(F955-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15="CRUEL_STAB",Inputs!$B$17+((C965=TRUE)*(F965-Calc!F28))+((IF(AND(Inputs!$B$39&lt;&gt;"pvp",Inputs!$B$44=0),1,IF(IF(Inputs!$B$39="pvp",15,Inputs!$B$44)-(B982)&lt;=0,1,MAX(0,IF(Inputs!$B$39="pvp",15,Inputs!$B$44)-MAX(5,B982))/(IF(Inputs!$B$39="pvp",15,Inputs!$B$44)-(B982))))*(IF(AND(ArtifactsInput!$M$42,((Inputs!$B$9+((C963=TRUE)*(F963-Calc!F26))+B971+(ArtifactsInput!$M$24-ArtifactsInput!$M$24)*CHOOSE(ArtifactsInput!$N$24+1,10,12,14,16,18,20)+IF(ArtifactsInput!$M$10,CHOOSE(ArtifactsInput!$N$10+1,15,18,21,24,27,30)*(IF(Inputs!$B$39="pvp",MIN(15,15)/15,IF(AND(Inputs!$B$39&lt;&gt;"pvp",Inputs!$B$44&gt;0),MIN(15,Inputs!$B$44)/(Inputs!$B$44),0))),0)))&gt;=100),MIN(100,((Inputs!$B$9+((C963=TRUE)*(F963-Calc!F26))+B971+(ArtifactsInput!$M$24-ArtifactsInput!$M$24)*CHOOSE(ArtifactsInput!$N$24+1,10,12,14,16,18,20)+IF(ArtifactsInput!$M$10,CHOOSE(ArtifactsInput!$N$10+1,15,18,21,24,27,30)*(IF(Inputs!$B$39="pvp",MIN(15,15)/15,IF(AND(Inputs!$B$39&lt;&gt;"pvp",Inputs!$B$44&gt;0),MIN(15,Inputs!$B$44)/(Inputs!$B$44),0))),0)))-100),0))*CHOOSE(ArtifactsInput!$N$42+1,0.6,0.72,0.84,0.96,1.08,1.2))),Inputs!$B$18+((C966=TRUE)*(F966-Calc!F29))+(IF(AND(Inputs!$B$39&lt;&gt;"pvp",Inputs!$B$44=0),1,IF(IF(Inputs!$B$39="pvp",15,Inputs!$B$44)-(B982)&lt;=0,1,MAX(0,IF(Inputs!$B$39="pvp",15,Inputs!$B$44)-MAX(5,B982))/(IF(Inputs!$B$39="pvp",15,Inputs!$B$44)-(B982))))*IF(AND(ArtifactsInput!$M$42,((Inputs!$B$9+((C963=TRUE)*(F963-Calc!F26))+B971+(ArtifactsInput!$M$24-ArtifactsInput!$M$24)*CHOOSE(ArtifactsInput!$N$24+1,10,12,14,16,18,20)+IF(ArtifactsInput!$M$10,CHOOSE(ArtifactsInput!$N$10+1,15,18,21,24,27,30)*(IF(Inputs!$B$39="pvp",MIN(15,15)/15,IF(AND(Inputs!$B$39&lt;&gt;"pvp",Inputs!$B$44&gt;0),MIN(15,Inputs!$B$44)/(Inputs!$B$44),0))),0)))&gt;=100),CHOOSE(ArtifactsInput!$N$42+1,40,48,56,64,72,80),0))))/100)*(((1+(((C959=TRUE)*F959*IF(AND(Inputs!$B$39&lt;&gt;"pvp",Inputs!$B$44&gt;0),(((R959-1)*MIN((Skills!Y22*(1+Inputs!$B$34/100)),(1/Q959))+MIN((Skills!Y22*(1+Inputs!$B$34/100)),MAX(0,Inputs!$B$44-((R959-1)*(1/Q959)))))/Inputs!$B$44),IF(Inputs!$B$39="pvp",MIN((Skills!Y22*(1+Inputs!$B$34/100)),15)/15,MIN(1,(Skills!Y22*(1+Inputs!$B$34/100))/(1/Q959)))))+((C940=TRUE)*F940*3)+((C942=TRUE)*F942*(1-EXP(-0.75*B975*5)))+((C961=TRUE)*(F961-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948=TRUE)*F948*IF(AND(Inputs!$B$39&lt;&gt;"pvp",Inputs!$B$44&gt;0),(((R948-1)*MIN((Skills!Y11*(1+Inputs!$B$34/100)),(1/Q948))+MIN((Skills!Y11*(1+Inputs!$B$34/100)),MAX(0,Inputs!$B$44-((R948-1)*(1/Q948)))))/Inputs!$B$44),IF(Inputs!$B$39="pvp",MIN((Skills!Y11*(1+Inputs!$B$34/100)),15)/15,MIN(1,(Skills!Y11*(1+Inputs!$B$34/100))/(1/Q948)))))/100)*(1+((C953=TRUE)*F953*IF(AND(Inputs!$B$39&lt;&gt;"pvp",Inputs!$B$44&gt;0),(((R953-1)*MIN((Skills!Y16*(1+Inputs!$B$34/100)),(1/Q953))+MIN((Skills!Y16*(1+Inputs!$B$34/100)),MAX(0,Inputs!$B$44-((R953-1)*(1/Q953)))))/Inputs!$B$44),IF(Inputs!$B$39="pvp",MIN((Skills!Y16*(1+Inputs!$B$34/100)),15)/15,MIN(1,(Skills!Y16*(1+Inputs!$B$34/100))/(1/Q953)))))/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973*I952)</f>
        <v/>
      </c>
      <c r="L952">
        <f>K952*(MIN(Inputs!$B$22+((C962=TRUE)*(F962-Calc!F25)),(Inputs!$B$23+((C967=TRUE)*(F967-Calc!F30))+IF(ArtifactsInput!$M$15,CHOOSE(ArtifactsInput!$N$15+1,25,30,35,40,45,50)/100*(Inputs!$B$11-Inputs!$B$11),0)))/100+(Inputs!$B$23+((C967=TRUE)*(F967-Calc!F30))+IF(ArtifactsInput!$M$15,CHOOSE(ArtifactsInput!$N$15+1,25,30,35,40,45,50)/100*(Inputs!$B$11-Inputs!$B$11),0))/100)/2</f>
        <v/>
      </c>
      <c r="M952">
        <f>L952*(1+(Inputs!$B$10+((C964=TRUE)*(F964-Calc!F27))+B978+(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952">
        <f>L952*(1-MIN((Inputs!$B$9+((C963=TRUE)*(F963-Calc!F26))+B971+(ArtifactsInput!$M$24-ArtifactsInput!$M$24)*CHOOSE(ArtifactsInput!$N$24+1,10,12,14,16,18,20)+(IF(AND(Inputs!$B$39&lt;&gt;"pvp",Inputs!$B$44=0),1,IF(IF(Inputs!$B$39="pvp",15,Inputs!$B$44)-(B982)&lt;=0,1,MAX(0,IF(Inputs!$B$39="pvp",15,Inputs!$B$44)-MAX(5,B982))/(IF(Inputs!$B$39="pvp",15,Inputs!$B$44)-(B982))))*IF(AND(ArtifactsInput!$M$42,((Inputs!$B$9+((C963=TRUE)*(F963-Calc!F26))+B971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952*(MIN((Inputs!$B$9+((C963=TRUE)*(F963-Calc!F26))+B971+(ArtifactsInput!$M$24-ArtifactsInput!$M$24)*CHOOSE(ArtifactsInput!$N$24+1,10,12,14,16,18,20)+(IF(AND(Inputs!$B$39&lt;&gt;"pvp",Inputs!$B$44=0),1,IF(IF(Inputs!$B$39="pvp",15,Inputs!$B$44)-(B982)&lt;=0,1,MAX(0,IF(Inputs!$B$39="pvp",15,Inputs!$B$44)-MAX(5,B982))/(IF(Inputs!$B$39="pvp",15,Inputs!$B$44)-(B982))))*IF(AND(ArtifactsInput!$M$42,((Inputs!$B$9+((C963=TRUE)*(F963-Calc!F26))+B971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952">
        <f>(1-Summary!$B$11)*T952+Summary!$B$11*V952</f>
        <v/>
      </c>
      <c r="P952">
        <f>IF(B983=0,0,O952/B983)</f>
        <v/>
      </c>
      <c r="Q952">
        <f>IFERROR(1/IF(Inputs!$B$39="pvp",15,MAX(0.1,Skills!D15-IF(TRUE=TRUE,Inputs!$B$32,0))),0)</f>
        <v/>
      </c>
      <c r="R952">
        <f>IF(AND(Inputs!$B$39&lt;&gt;"pvp",Inputs!$B$44&gt;0),IF(MAX(0,Inputs!$B$44-B982)&lt;=0,0,(INT(MAX(0,Inputs!$B$44-B982)/IF(Inputs!$B$39="pvp",15,MAX(0.1,Skills!D15-IF(TRUE=TRUE,Inputs!$B$32,0))))+1)),0)</f>
        <v/>
      </c>
      <c r="S952">
        <f>IFERROR(O952/N952,0)</f>
        <v/>
      </c>
      <c r="T952">
        <f>IF(C952,(H952*N952*IF(AND(Inputs!$B$39&lt;&gt;"pvp",Inputs!$B$44&gt;0),((Skills!G15*((R952-1)*IF(Skills!H15&gt;0,Skills!I15/Skills!H15,1)+IF(Skills!H15&gt;0,MIN(Skills!I15,MAX(0,MAX(0,Inputs!$B$44-B982)-((R952-1)*IF(Inputs!$B$39="pvp",15,MAX(0.1,Skills!D15-IF(TRUE=TRUE,Inputs!$B$32,0))))))/Skills!H15,1)))/Inputs!$B$44),G952*Q952))*IF(Inputs!$B$39="pvp",1,1+(Inputs!$B$20+0+Skills!P15+B972+(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Hunt"),CHOOSE(ArtifactsInput!$N$35+1,15,18,21,24,27,30)*(1-EXP(-(0.2*B975)*5)),0)+IF(AND(ArtifactsInput!$M$22,Inputs!$B$4&lt;&gt;"Chapter Hunt"),CHOOSE(ArtifactsInput!$N$22+1,10,12,14,16,18,20)*((0*(((0.15*B975*5))^0/1)+1*(((0.15*B975*5))^1/1)+2*(((0.15*B975*5))^2/2)+3*(((0.15*B975*5))^3/6)+4*(((0.15*B975*5))^4/24)+5*(((0.15*B975*5))^5/120))/((((0.15*B975*5))^0/1)+(((0.15*B975*5))^1/1)+(((0.15*B975*5))^2/2)+(((0.15*B975*5))^3/6)+(((0.15*B975*5))^4/24)+(((0.15*B975*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952*(1-MIN(100,(Inputs!$B$9+((C963=TRUE)*(F963-Calc!F26))+B971+(ArtifactsInput!$M$24-ArtifactsInput!$M$24)*CHOOSE(ArtifactsInput!$N$24+1,10,12,14,16,18,20)+(IF(AND(Inputs!$B$39&lt;&gt;"pvp",Inputs!$B$44=0),1,IF(IF(Inputs!$B$39="pvp",15,Inputs!$B$44)-(B982)&lt;=0,1,MAX(0,IF(Inputs!$B$39="pvp",15,Inputs!$B$44)-MAX(5,B982))/(IF(Inputs!$B$39="pvp",15,Inputs!$B$44)-(B982))))*IF(AND(ArtifactsInput!$M$42,((Inputs!$B$9+((C963=TRUE)*(F963-Calc!F26))+B971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952*(MIN(100,(Inputs!$B$9+((C963=TRUE)*(F963-Calc!F26))+B971+(ArtifactsInput!$M$24-ArtifactsInput!$M$24)*CHOOSE(ArtifactsInput!$N$24+1,10,12,14,16,18,20)+(IF(AND(Inputs!$B$39&lt;&gt;"pvp",Inputs!$B$44=0),1,IF(IF(Inputs!$B$39="pvp",15,Inputs!$B$44)-(B982)&lt;=0,1,MAX(0,IF(Inputs!$B$39="pvp",15,Inputs!$B$44)-MAX(5,B982))/(IF(Inputs!$B$39="pvp",15,Inputs!$B$44)-(B982))))*IF(AND(ArtifactsInput!$M$42,((Inputs!$B$9+((C963=TRUE)*(F963-Calc!F26))+B971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952*(1-MIN(100,(Inputs!$B$9+((C963=TRUE)*(F963-Calc!F26))+B971+(ArtifactsInput!$M$24-ArtifactsInput!$M$24)*CHOOSE(ArtifactsInput!$N$24+1,10,12,14,16,18,20)+(IF(AND(Inputs!$B$39&lt;&gt;"pvp",Inputs!$B$44=0),1,IF(IF(Inputs!$B$39="pvp",15,Inputs!$B$44)-(B982)&lt;=0,1,MAX(0,IF(Inputs!$B$39="pvp",15,Inputs!$B$44)-MAX(5,B982))/(IF(Inputs!$B$39="pvp",15,Inputs!$B$44)-(B982))))*IF(AND(ArtifactsInput!$M$42,((Inputs!$B$9+((C963=TRUE)*(F963-Calc!F26))+B971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952*(MIN(100,(Inputs!$B$9+((C963=TRUE)*(F963-Calc!F26))+B971+(ArtifactsInput!$M$24-ArtifactsInput!$M$24)*CHOOSE(ArtifactsInput!$N$24+1,10,12,14,16,18,20)+(IF(AND(Inputs!$B$39&lt;&gt;"pvp",Inputs!$B$44=0),1,IF(IF(Inputs!$B$39="pvp",15,Inputs!$B$44)-(B982)&lt;=0,1,MAX(0,IF(Inputs!$B$39="pvp",15,Inputs!$B$44)-MAX(5,B982))/(IF(Inputs!$B$39="pvp",15,Inputs!$B$44)-(B982))))*IF(AND(ArtifactsInput!$M$42,((Inputs!$B$9+((C963=TRUE)*(F963-Calc!F26))+B971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952">
        <f>IF(C952,(H952*N952*IF(AND(Inputs!$B$39&lt;&gt;"pvp",Inputs!$B$44&gt;0),((Skills!G15*((R952-1)*IF(Skills!H15&gt;0,Skills!I15/Skills!H15,1)+IF(Skills!H15&gt;0,MIN(Skills!I15,MAX(0,MAX(0,Inputs!$B$44-B982)-((R952-1)*IF(Inputs!$B$39="pvp",15,MAX(0.1,Skills!D15-IF(TRUE=TRUE,Inputs!$B$32,0))))))/Skills!H15,1)))/Inputs!$B$44),G952*Q952))*IF(Inputs!$B$39="pvp",1,(1+(Inputs!$B$21+Skills!Q15+B972+(IF(ArtifactsInput!$M$33,CHOOSE(ArtifactsInput!$N$33+1,30,36,42,48,54,60),0))+(IF(AND(ArtifactsInput!$M$35,Inputs!$B$4&lt;&gt;"Chapter Hunt"),CHOOSE(ArtifactsInput!$N$35+1,15,18,21,24,27,30)*(1-EXP(-(0.2*B975)*5)),0)+IF(AND(ArtifactsInput!$M$22,Inputs!$B$4&lt;&gt;"Chapter Hunt"),CHOOSE(ArtifactsInput!$N$22+1,10,12,14,16,18,20)*((0*(((0.15*B975*5))^0/1)+1*(((0.15*B975*5))^1/1)+2*(((0.15*B975*5))^2/2)+3*(((0.15*B975*5))^3/6)+4*(((0.15*B975*5))^4/24)+5*(((0.15*B975*5))^5/120))/((((0.15*B975*5))^0/1)+(((0.15*B975*5))^1/1)+(((0.15*B975*5))^2/2)+(((0.15*B975*5))^3/6)+(((0.15*B975*5))^4/24)+(((0.15*B975*5))^5/120))),0)))/100)*(MIN(MIN(5,0.5*IF(Inputs!$B$3&gt;=75,0.75,0.5)*B975*(1/Q941))*Skills!V15,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953">
      <c r="A953">
        <f>Skills!A16</f>
        <v/>
      </c>
      <c r="B953">
        <f>Skills!B16</f>
        <v/>
      </c>
      <c r="C953">
        <f>Inputs!$B$3&gt;=110</f>
        <v/>
      </c>
      <c r="D953">
        <f>IF(Skills!C16=1,60+Inputs!$B$25+Inputs!$B$29,IF(Skills!C16=2,90+(Inputs!$B$26+1)+Inputs!$B$29,IF(Skills!C16=3,120+Inputs!$B$27+Inputs!$B$29,MAX(0,(Inputs!$B$3-100)*3)+Inputs!$B$28+Inputs!$B$29)))</f>
        <v/>
      </c>
      <c r="E953">
        <f>INDEX(FactorTable!$B$2:$Y$301, MATCH(ROUND(MIN(300,MAX(1,D953)),0), FactorTable!$A$2:$A$301,0), Skills!M16+1)</f>
        <v/>
      </c>
      <c r="F953">
        <f>IF(Skills!N16=TRUE,(Skills!L16/10)*(E953/1000),Skills!L16/10)+Skills!O16</f>
        <v/>
      </c>
      <c r="G953">
        <f>Skills!G16*IF(Skills!H16&gt;0,IF(Inputs!$B$39="pvp",MIN(Skills!I16,15),Skills!I16)/Skills!H16,1)</f>
        <v/>
      </c>
      <c r="H953">
        <f>1-(1-Skills!J16/100)^Skills!K16</f>
        <v/>
      </c>
      <c r="I953" t="inlineStr">
        <is>
          <t>1</t>
        </is>
      </c>
      <c r="J953" t="inlineStr"/>
      <c r="K953" t="inlineStr"/>
      <c r="L953" t="inlineStr"/>
      <c r="M953" t="inlineStr"/>
      <c r="N953" t="inlineStr"/>
      <c r="O953">
        <f>(1-Summary!$B$11)*T953+Summary!$B$11*V953</f>
        <v/>
      </c>
      <c r="P953">
        <f>IF(B983=0,0,O953/B983)</f>
        <v/>
      </c>
      <c r="Q953">
        <f>IFERROR(1/IF(Inputs!$B$39="pvp",15,MAX(0.1,Skills!D16-IF(TRUE=TRUE,Inputs!$B$32,0))),0)</f>
        <v/>
      </c>
      <c r="R953">
        <f>IF(AND(Inputs!$B$39&lt;&gt;"pvp",Inputs!$B$44&gt;0),IF(Inputs!$B$44&lt;=0,0,(INT(Inputs!$B$44/IF(Inputs!$B$39="pvp",15,MAX(0.1,Skills!D16-IF(TRUE=TRUE,Inputs!$B$32,0))))+1)),0)</f>
        <v/>
      </c>
      <c r="S953">
        <f>IFERROR(O953/N953,0)</f>
        <v/>
      </c>
      <c r="T953" t="n">
        <v>0</v>
      </c>
      <c r="V953" t="n">
        <v>0</v>
      </c>
    </row>
    <row r="954">
      <c r="A954">
        <f>Skills!A17</f>
        <v/>
      </c>
      <c r="B954">
        <f>Skills!B17</f>
        <v/>
      </c>
      <c r="C954">
        <f>Inputs!$B$3&gt;=115</f>
        <v/>
      </c>
      <c r="D954">
        <f>IF(Skills!C17=1,60+Inputs!$B$25+Inputs!$B$29,IF(Skills!C17=2,90+(Inputs!$B$26+1)+Inputs!$B$29,IF(Skills!C17=3,120+Inputs!$B$27+Inputs!$B$29,MAX(0,(Inputs!$B$3-100)*3)+Inputs!$B$28+Inputs!$B$29)))</f>
        <v/>
      </c>
      <c r="E954">
        <f>INDEX(FactorTable!$B$2:$Y$301, MATCH(ROUND(MIN(300,MAX(1,D954)),0), FactorTable!$A$2:$A$301,0), Skills!M17+1)</f>
        <v/>
      </c>
      <c r="F954">
        <f>IF(Skills!N17=TRUE,(Skills!L17/10)*(E954/1000),Skills!L17/10)+Skills!O17</f>
        <v/>
      </c>
      <c r="G954">
        <f>Skills!G17*IF(Skills!H17&gt;0,IF(Inputs!$B$39="pvp",MIN(Skills!I17,15),Skills!I17)/Skills!H17,1)</f>
        <v/>
      </c>
      <c r="H954">
        <f>1-(1-Skills!J17/100)^Skills!K17</f>
        <v/>
      </c>
      <c r="I954" t="inlineStr">
        <is>
          <t>1</t>
        </is>
      </c>
      <c r="J954">
        <f>((Inputs!$B$6*(1+Inputs!$B$7/100))+(((Inputs!$B$12*(1+Inputs!$B$13/100))-(Inputs!$B$12*(1+Inputs!$B$13/100)))+0.25*(Inputs!$B$14-Inputs!$B$14))*(1+Inputs!$B$7/100))*(F954/100)</f>
        <v/>
      </c>
      <c r="K954">
        <f>J954*(1+((Inputs!$B$12*(1+Inputs!$B$13/100))*0.01+Inputs!$B$14*0.0025)/100)*(1+Inputs!$B$15/100)*(1+Inputs!$B$16/100)*(5000/(6000+Inputs!$B$43*(1-(100*(1-(1-Inputs!$B$19/100)*(1-CHOOSE(ArtifactsInput!$N$40+1,5,6,7,8,9,10)/100)^(ArtifactsInput!$M$40-ArtifactsInput!$M$40)))/100)))*(1+(Inputs!$B$24+((C968=TRUE)*(F968-Calc!F31))+((C955=TRUE)*(F955-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17="CRUEL_STAB",Inputs!$B$17+((C965=TRUE)*(F965-Calc!F28))+((IF(AND(Inputs!$B$39&lt;&gt;"pvp",Inputs!$B$44=0),1,IF(IF(Inputs!$B$39="pvp",15,Inputs!$B$44)-(B982)&lt;=0,1,MAX(0,IF(Inputs!$B$39="pvp",15,Inputs!$B$44)-MAX(5,B982))/(IF(Inputs!$B$39="pvp",15,Inputs!$B$44)-(B982))))*(IF(AND(ArtifactsInput!$M$42,((Inputs!$B$9+((C963=TRUE)*(F963-Calc!F26))+B971+(ArtifactsInput!$M$24-ArtifactsInput!$M$24)*CHOOSE(ArtifactsInput!$N$24+1,10,12,14,16,18,20)+IF(ArtifactsInput!$M$10,CHOOSE(ArtifactsInput!$N$10+1,15,18,21,24,27,30)*(IF(Inputs!$B$39="pvp",MIN(15,15)/15,IF(AND(Inputs!$B$39&lt;&gt;"pvp",Inputs!$B$44&gt;0),MIN(15,Inputs!$B$44)/(Inputs!$B$44),0))),0)))&gt;=100),MIN(100,((Inputs!$B$9+((C963=TRUE)*(F963-Calc!F26))+B971+(ArtifactsInput!$M$24-ArtifactsInput!$M$24)*CHOOSE(ArtifactsInput!$N$24+1,10,12,14,16,18,20)+IF(ArtifactsInput!$M$10,CHOOSE(ArtifactsInput!$N$10+1,15,18,21,24,27,30)*(IF(Inputs!$B$39="pvp",MIN(15,15)/15,IF(AND(Inputs!$B$39&lt;&gt;"pvp",Inputs!$B$44&gt;0),MIN(15,Inputs!$B$44)/(Inputs!$B$44),0))),0)))-100),0))*CHOOSE(ArtifactsInput!$N$42+1,0.6,0.72,0.84,0.96,1.08,1.2))),Inputs!$B$18+((C966=TRUE)*(F966-Calc!F29))+(IF(AND(Inputs!$B$39&lt;&gt;"pvp",Inputs!$B$44=0),1,IF(IF(Inputs!$B$39="pvp",15,Inputs!$B$44)-(B982)&lt;=0,1,MAX(0,IF(Inputs!$B$39="pvp",15,Inputs!$B$44)-MAX(5,B982))/(IF(Inputs!$B$39="pvp",15,Inputs!$B$44)-(B982))))*IF(AND(ArtifactsInput!$M$42,((Inputs!$B$9+((C963=TRUE)*(F963-Calc!F26))+B971+(ArtifactsInput!$M$24-ArtifactsInput!$M$24)*CHOOSE(ArtifactsInput!$N$24+1,10,12,14,16,18,20)+IF(ArtifactsInput!$M$10,CHOOSE(ArtifactsInput!$N$10+1,15,18,21,24,27,30)*(IF(Inputs!$B$39="pvp",MIN(15,15)/15,IF(AND(Inputs!$B$39&lt;&gt;"pvp",Inputs!$B$44&gt;0),MIN(15,Inputs!$B$44)/(Inputs!$B$44),0))),0)))&gt;=100),CHOOSE(ArtifactsInput!$N$42+1,40,48,56,64,72,80),0))))/100)*(((1+(((C959=TRUE)*F959*IF(AND(Inputs!$B$39&lt;&gt;"pvp",Inputs!$B$44&gt;0),(((R959-1)*MIN((Skills!Y22*(1+Inputs!$B$34/100)),(1/Q959))+MIN((Skills!Y22*(1+Inputs!$B$34/100)),MAX(0,Inputs!$B$44-((R959-1)*(1/Q959)))))/Inputs!$B$44),IF(Inputs!$B$39="pvp",MIN((Skills!Y22*(1+Inputs!$B$34/100)),15)/15,MIN(1,(Skills!Y22*(1+Inputs!$B$34/100))/(1/Q959)))))+((C940=TRUE)*F940*3)+((C942=TRUE)*F942*(1-EXP(-0.75*B975*5)))+((C961=TRUE)*(F961-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948=TRUE)*F948*IF(AND(Inputs!$B$39&lt;&gt;"pvp",Inputs!$B$44&gt;0),(((R948-1)*MIN((Skills!Y11*(1+Inputs!$B$34/100)),(1/Q948))+MIN((Skills!Y11*(1+Inputs!$B$34/100)),MAX(0,Inputs!$B$44-((R948-1)*(1/Q948)))))/Inputs!$B$44),IF(Inputs!$B$39="pvp",MIN((Skills!Y11*(1+Inputs!$B$34/100)),15)/15,MIN(1,(Skills!Y11*(1+Inputs!$B$34/100))/(1/Q948)))))/100)*(1+((C953=TRUE)*F953*IF(AND(Inputs!$B$39&lt;&gt;"pvp",Inputs!$B$44&gt;0),(((R953-1)*MIN((Skills!Y16*(1+Inputs!$B$34/100)),(1/Q953))+MIN((Skills!Y16*(1+Inputs!$B$34/100)),MAX(0,Inputs!$B$44-((R953-1)*(1/Q953)))))/Inputs!$B$44),IF(Inputs!$B$39="pvp",MIN((Skills!Y16*(1+Inputs!$B$34/100)),15)/15,MIN(1,(Skills!Y16*(1+Inputs!$B$34/100))/(1/Q953)))))/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973*I954)</f>
        <v/>
      </c>
      <c r="L954">
        <f>K954*(MIN(Inputs!$B$22+((C962=TRUE)*(F962-Calc!F25)),(Inputs!$B$23+((C967=TRUE)*(F967-Calc!F30))+IF(ArtifactsInput!$M$15,CHOOSE(ArtifactsInput!$N$15+1,25,30,35,40,45,50)/100*(Inputs!$B$11-Inputs!$B$11),0)))/100+(Inputs!$B$23+((C967=TRUE)*(F967-Calc!F30))+IF(ArtifactsInput!$M$15,CHOOSE(ArtifactsInput!$N$15+1,25,30,35,40,45,50)/100*(Inputs!$B$11-Inputs!$B$11),0))/100)/2</f>
        <v/>
      </c>
      <c r="M954">
        <f>L954*(1+(Inputs!$B$10+((C964=TRUE)*(F964-Calc!F27))+B978+(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954">
        <f>L954*(1-MIN((Inputs!$B$9+((C963=TRUE)*(F963-Calc!F26))+B971+(ArtifactsInput!$M$24-ArtifactsInput!$M$24)*CHOOSE(ArtifactsInput!$N$24+1,10,12,14,16,18,20)+(IF(AND(Inputs!$B$39&lt;&gt;"pvp",Inputs!$B$44=0),1,IF(IF(Inputs!$B$39="pvp",15,Inputs!$B$44)-(B982)&lt;=0,1,MAX(0,IF(Inputs!$B$39="pvp",15,Inputs!$B$44)-MAX(5,B982))/(IF(Inputs!$B$39="pvp",15,Inputs!$B$44)-(B982))))*IF(AND(ArtifactsInput!$M$42,((Inputs!$B$9+((C963=TRUE)*(F963-Calc!F26))+B971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954*(MIN((Inputs!$B$9+((C963=TRUE)*(F963-Calc!F26))+B971+(ArtifactsInput!$M$24-ArtifactsInput!$M$24)*CHOOSE(ArtifactsInput!$N$24+1,10,12,14,16,18,20)+(IF(AND(Inputs!$B$39&lt;&gt;"pvp",Inputs!$B$44=0),1,IF(IF(Inputs!$B$39="pvp",15,Inputs!$B$44)-(B982)&lt;=0,1,MAX(0,IF(Inputs!$B$39="pvp",15,Inputs!$B$44)-MAX(5,B982))/(IF(Inputs!$B$39="pvp",15,Inputs!$B$44)-(B982))))*IF(AND(ArtifactsInput!$M$42,((Inputs!$B$9+((C963=TRUE)*(F963-Calc!F26))+B971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954">
        <f>(1-Summary!$B$11)*T954+Summary!$B$11*V954</f>
        <v/>
      </c>
      <c r="P954">
        <f>IF(B983=0,0,O954/B983)</f>
        <v/>
      </c>
      <c r="Q954" t="n">
        <v>0</v>
      </c>
      <c r="R954" t="n">
        <v>0</v>
      </c>
      <c r="S954">
        <f>IFERROR(O954/N954,0)</f>
        <v/>
      </c>
      <c r="T954">
        <f>IF(C954,(Inputs!$B$38*0.2*N954)*IF(Inputs!$B$39="pvp",1,1+(Inputs!$B$20+0+Skills!P17+B972+(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Hunt"),CHOOSE(ArtifactsInput!$N$35+1,15,18,21,24,27,30)*(1-EXP(-(0.2*B975)*5)),0)+IF(AND(ArtifactsInput!$M$22,Inputs!$B$4&lt;&gt;"Chapter Hunt"),CHOOSE(ArtifactsInput!$N$22+1,10,12,14,16,18,20)*((0*(((0.15*B975*5))^0/1)+1*(((0.15*B975*5))^1/1)+2*(((0.15*B975*5))^2/2)+3*(((0.15*B975*5))^3/6)+4*(((0.15*B975*5))^4/24)+5*(((0.15*B975*5))^5/120))/((((0.15*B975*5))^0/1)+(((0.15*B975*5))^1/1)+(((0.15*B975*5))^2/2)+(((0.15*B975*5))^3/6)+(((0.15*B975*5))^4/24)+(((0.15*B975*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954*(1-MIN(100,(Inputs!$B$9+((C963=TRUE)*(F963-Calc!F26))+B971+(ArtifactsInput!$M$24-ArtifactsInput!$M$24)*CHOOSE(ArtifactsInput!$N$24+1,10,12,14,16,18,20)+(IF(AND(Inputs!$B$39&lt;&gt;"pvp",Inputs!$B$44=0),1,IF(IF(Inputs!$B$39="pvp",15,Inputs!$B$44)-(B982)&lt;=0,1,MAX(0,IF(Inputs!$B$39="pvp",15,Inputs!$B$44)-MAX(5,B982))/(IF(Inputs!$B$39="pvp",15,Inputs!$B$44)-(B982))))*IF(AND(ArtifactsInput!$M$42,((Inputs!$B$9+((C963=TRUE)*(F963-Calc!F26))+B971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954*(MIN(100,(Inputs!$B$9+((C963=TRUE)*(F963-Calc!F26))+B971+(ArtifactsInput!$M$24-ArtifactsInput!$M$24)*CHOOSE(ArtifactsInput!$N$24+1,10,12,14,16,18,20)+(IF(AND(Inputs!$B$39&lt;&gt;"pvp",Inputs!$B$44=0),1,IF(IF(Inputs!$B$39="pvp",15,Inputs!$B$44)-(B982)&lt;=0,1,MAX(0,IF(Inputs!$B$39="pvp",15,Inputs!$B$44)-MAX(5,B982))/(IF(Inputs!$B$39="pvp",15,Inputs!$B$44)-(B982))))*IF(AND(ArtifactsInput!$M$42,((Inputs!$B$9+((C963=TRUE)*(F963-Calc!F26))+B971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954*(1-MIN(100,(Inputs!$B$9+((C963=TRUE)*(F963-Calc!F26))+B971+(ArtifactsInput!$M$24-ArtifactsInput!$M$24)*CHOOSE(ArtifactsInput!$N$24+1,10,12,14,16,18,20)+(IF(AND(Inputs!$B$39&lt;&gt;"pvp",Inputs!$B$44=0),1,IF(IF(Inputs!$B$39="pvp",15,Inputs!$B$44)-(B982)&lt;=0,1,MAX(0,IF(Inputs!$B$39="pvp",15,Inputs!$B$44)-MAX(5,B982))/(IF(Inputs!$B$39="pvp",15,Inputs!$B$44)-(B982))))*IF(AND(ArtifactsInput!$M$42,((Inputs!$B$9+((C963=TRUE)*(F963-Calc!F26))+B971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954*(MIN(100,(Inputs!$B$9+((C963=TRUE)*(F963-Calc!F26))+B971+(ArtifactsInput!$M$24-ArtifactsInput!$M$24)*CHOOSE(ArtifactsInput!$N$24+1,10,12,14,16,18,20)+(IF(AND(Inputs!$B$39&lt;&gt;"pvp",Inputs!$B$44=0),1,IF(IF(Inputs!$B$39="pvp",15,Inputs!$B$44)-(B982)&lt;=0,1,MAX(0,IF(Inputs!$B$39="pvp",15,Inputs!$B$44)-MAX(5,B982))/(IF(Inputs!$B$39="pvp",15,Inputs!$B$44)-(B982))))*IF(AND(ArtifactsInput!$M$42,((Inputs!$B$9+((C963=TRUE)*(F963-Calc!F26))+B971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954">
        <f>IF(C954,(Inputs!$B$38*0.2*N954)*IF(Inputs!$B$39="pvp",1,(1+(Inputs!$B$21+Skills!Q17+B972+(IF(ArtifactsInput!$M$33,CHOOSE(ArtifactsInput!$N$33+1,30,36,42,48,54,60),0))+(IF(AND(ArtifactsInput!$M$35,Inputs!$B$4&lt;&gt;"Chapter Hunt"),CHOOSE(ArtifactsInput!$N$35+1,15,18,21,24,27,30)*(1-EXP(-(0.2*B975)*5)),0)+IF(AND(ArtifactsInput!$M$22,Inputs!$B$4&lt;&gt;"Chapter Hunt"),CHOOSE(ArtifactsInput!$N$22+1,10,12,14,16,18,20)*((0*(((0.15*B975*5))^0/1)+1*(((0.15*B975*5))^1/1)+2*(((0.15*B975*5))^2/2)+3*(((0.15*B975*5))^3/6)+4*(((0.15*B975*5))^4/24)+5*(((0.15*B975*5))^5/120))/((((0.15*B975*5))^0/1)+(((0.15*B975*5))^1/1)+(((0.15*B975*5))^2/2)+(((0.15*B975*5))^3/6)+(((0.15*B975*5))^4/24)+(((0.15*B975*5))^5/120))),0)))/100)*(MIN(Skills!W17,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955">
      <c r="A955">
        <f>Skills!A18</f>
        <v/>
      </c>
      <c r="B955">
        <f>Skills!B18</f>
        <v/>
      </c>
      <c r="C955">
        <f>Inputs!$B$3&gt;=115</f>
        <v/>
      </c>
      <c r="D955">
        <f>IF(Skills!C18=1,60+Inputs!$B$25+Inputs!$B$29,IF(Skills!C18=2,90+(Inputs!$B$26+1)+Inputs!$B$29,IF(Skills!C18=3,120+Inputs!$B$27+Inputs!$B$29,MAX(0,(Inputs!$B$3-100)*3)+Inputs!$B$28+Inputs!$B$29)))</f>
        <v/>
      </c>
      <c r="E955">
        <f>INDEX(FactorTable!$B$2:$Y$301, MATCH(ROUND(MIN(300,MAX(1,D955)),0), FactorTable!$A$2:$A$301,0), Skills!M18+1)</f>
        <v/>
      </c>
      <c r="F955">
        <f>IF(Skills!N18=TRUE,(Skills!L18/10)*(E955/1000),Skills!L18/10)+Skills!O18</f>
        <v/>
      </c>
      <c r="G955">
        <f>Skills!G18*IF(Skills!H18&gt;0,IF(Inputs!$B$39="pvp",MIN(Skills!I18,15),Skills!I18)/Skills!H18,1)</f>
        <v/>
      </c>
      <c r="H955">
        <f>1-(1-Skills!J18/100)^Skills!K18</f>
        <v/>
      </c>
      <c r="I955" t="inlineStr">
        <is>
          <t>1</t>
        </is>
      </c>
      <c r="J955" t="inlineStr"/>
      <c r="K955" t="inlineStr"/>
      <c r="L955" t="inlineStr"/>
      <c r="M955" t="inlineStr"/>
      <c r="N955" t="inlineStr"/>
      <c r="O955">
        <f>(1-Summary!$B$11)*T955+Summary!$B$11*V955</f>
        <v/>
      </c>
      <c r="P955">
        <f>IF(B983=0,0,O955/B983)</f>
        <v/>
      </c>
      <c r="Q955" t="n">
        <v>0</v>
      </c>
      <c r="R955" t="n">
        <v>0</v>
      </c>
      <c r="S955">
        <f>IFERROR(O955/N955,0)</f>
        <v/>
      </c>
      <c r="T955" t="n">
        <v>0</v>
      </c>
      <c r="V955" t="n">
        <v>0</v>
      </c>
    </row>
    <row r="956">
      <c r="A956">
        <f>Skills!A19</f>
        <v/>
      </c>
      <c r="B956">
        <f>Skills!B19</f>
        <v/>
      </c>
      <c r="C956">
        <f>Inputs!$B$3&gt;=100</f>
        <v/>
      </c>
      <c r="D956">
        <f>IF(Skills!C19=1,60+Inputs!$B$25+Inputs!$B$29,IF(Skills!C19=2,90+(Inputs!$B$26+1)+Inputs!$B$29,IF(Skills!C19=3,120+Inputs!$B$27+Inputs!$B$29,MAX(0,(Inputs!$B$3-100)*3)+Inputs!$B$28+Inputs!$B$29)))</f>
        <v/>
      </c>
      <c r="E956">
        <f>INDEX(FactorTable!$B$2:$Y$301, MATCH(ROUND(MIN(300,MAX(1,D956)),0), FactorTable!$A$2:$A$301,0), Skills!M19+1)</f>
        <v/>
      </c>
      <c r="F956">
        <f>IF(Skills!N19=TRUE,(Skills!L19/10)*(E956/1000),Skills!L19/10)+Skills!O19</f>
        <v/>
      </c>
      <c r="G956">
        <f>Skills!G19*IF(Skills!H19&gt;0,IF(Inputs!$B$39="pvp",MIN(Skills!I19,15),Skills!I19)/Skills!H19,1)</f>
        <v/>
      </c>
      <c r="H956">
        <f>1-(1-Skills!J19/100)^Skills!K19</f>
        <v/>
      </c>
      <c r="I956" t="inlineStr">
        <is>
          <t>1</t>
        </is>
      </c>
      <c r="J956" t="inlineStr"/>
      <c r="K956" t="inlineStr"/>
      <c r="L956" t="inlineStr"/>
      <c r="M956" t="inlineStr"/>
      <c r="N956" t="inlineStr"/>
      <c r="O956">
        <f>(1-Summary!$B$11)*T956+Summary!$B$11*V956</f>
        <v/>
      </c>
      <c r="P956">
        <f>IF(B983=0,0,O956/B983)</f>
        <v/>
      </c>
      <c r="Q956" t="n">
        <v>0</v>
      </c>
      <c r="R956" t="n">
        <v>0</v>
      </c>
      <c r="S956">
        <f>IFERROR(O956/N956,0)</f>
        <v/>
      </c>
      <c r="T956" t="n">
        <v>0</v>
      </c>
      <c r="V956" t="n">
        <v>0</v>
      </c>
    </row>
    <row r="957">
      <c r="A957">
        <f>Skills!A20</f>
        <v/>
      </c>
      <c r="B957">
        <f>Skills!B20</f>
        <v/>
      </c>
      <c r="C957">
        <f>TRUE</f>
        <v/>
      </c>
      <c r="D957">
        <f>IF(Skills!C20=1,60+Inputs!$B$25+Inputs!$B$29,IF(Skills!C20=2,90+(Inputs!$B$26+1)+Inputs!$B$29,IF(Skills!C20=3,120+Inputs!$B$27+Inputs!$B$29,MAX(0,(Inputs!$B$3-100)*3)+Inputs!$B$28+Inputs!$B$29)))</f>
        <v/>
      </c>
      <c r="E957">
        <f>INDEX(FactorTable!$B$2:$Y$301, MATCH(ROUND(MIN(300,MAX(1,D957)),0), FactorTable!$A$2:$A$301,0), Skills!M20+1)</f>
        <v/>
      </c>
      <c r="F957">
        <f>IF(Skills!N20=TRUE,(Skills!L20/10)*(E957/1000),Skills!L20/10)+Skills!O20</f>
        <v/>
      </c>
      <c r="G957">
        <f>Skills!G20*IF(Skills!H20&gt;0,IF(Inputs!$B$39="pvp",MIN(Skills!I20,15),Skills!I20)/Skills!H20,1)</f>
        <v/>
      </c>
      <c r="H957">
        <f>1-(1-Skills!J20/100)^Skills!K20</f>
        <v/>
      </c>
      <c r="I957" t="inlineStr">
        <is>
          <t>1</t>
        </is>
      </c>
      <c r="J957" t="inlineStr"/>
      <c r="K957" t="inlineStr"/>
      <c r="L957" t="inlineStr"/>
      <c r="M957" t="inlineStr"/>
      <c r="N957" t="inlineStr"/>
      <c r="O957">
        <f>(1-Summary!$B$11)*T957+Summary!$B$11*V957</f>
        <v/>
      </c>
      <c r="P957">
        <f>IF(B983=0,0,O957/B983)</f>
        <v/>
      </c>
      <c r="Q957">
        <f>IFERROR(1/IF(Inputs!$B$39="pvp",15,MAX(0.1,Skills!D20-IF(TRUE=TRUE,Inputs!$B$32,0))),0)</f>
        <v/>
      </c>
      <c r="R957">
        <f>IF(AND(Inputs!$B$39&lt;&gt;"pvp",Inputs!$B$44&gt;0),IF(Inputs!$B$44&lt;=0,0,(INT(Inputs!$B$44/IF(Inputs!$B$39="pvp",15,MAX(0.1,Skills!D20-IF(TRUE=TRUE,Inputs!$B$32,0))))+1)),0)</f>
        <v/>
      </c>
      <c r="S957">
        <f>IFERROR(O957/N957,0)</f>
        <v/>
      </c>
      <c r="T957" t="n">
        <v>0</v>
      </c>
      <c r="V957" t="n">
        <v>0</v>
      </c>
    </row>
    <row r="958">
      <c r="A958">
        <f>Skills!A21</f>
        <v/>
      </c>
      <c r="B958">
        <f>Skills!B21</f>
        <v/>
      </c>
      <c r="C958">
        <f>Inputs!$B$3&gt;=15</f>
        <v/>
      </c>
      <c r="D958">
        <f>IF(Skills!C21=1,60+Inputs!$B$25+Inputs!$B$29,IF(Skills!C21=2,90+(Inputs!$B$26+1)+Inputs!$B$29,IF(Skills!C21=3,120+Inputs!$B$27+Inputs!$B$29,MAX(0,(Inputs!$B$3-100)*3)+Inputs!$B$28+Inputs!$B$29)))</f>
        <v/>
      </c>
      <c r="E958">
        <f>INDEX(FactorTable!$B$2:$Y$301, MATCH(ROUND(MIN(300,MAX(1,D958)),0), FactorTable!$A$2:$A$301,0), Skills!M21+1)</f>
        <v/>
      </c>
      <c r="F958">
        <f>IF(Skills!N21=TRUE,(Skills!L21/10)*(E958/1000),Skills!L21/10)+Skills!O21</f>
        <v/>
      </c>
      <c r="G958">
        <f>Skills!G21*IF(Skills!H21&gt;0,IF(Inputs!$B$39="pvp",MIN(Skills!I21,15),Skills!I21)/Skills!H21,1)</f>
        <v/>
      </c>
      <c r="H958">
        <f>1-(1-Skills!J21/100)^Skills!K21</f>
        <v/>
      </c>
      <c r="I958" t="inlineStr">
        <is>
          <t>1</t>
        </is>
      </c>
      <c r="J958" t="inlineStr"/>
      <c r="K958" t="inlineStr"/>
      <c r="L958" t="inlineStr"/>
      <c r="M958" t="inlineStr"/>
      <c r="N958" t="inlineStr"/>
      <c r="O958">
        <f>(1-Summary!$B$11)*T958+Summary!$B$11*V958</f>
        <v/>
      </c>
      <c r="P958">
        <f>IF(B983=0,0,O958/B983)</f>
        <v/>
      </c>
      <c r="Q958">
        <f>IFERROR(1/IF(Inputs!$B$39="pvp",15,MAX(0.1,Skills!D21-IF(TRUE=TRUE,Inputs!$B$32,0))),0)</f>
        <v/>
      </c>
      <c r="R958">
        <f>IF(AND(Inputs!$B$39&lt;&gt;"pvp",Inputs!$B$44&gt;0),IF(Inputs!$B$44&lt;=0,0,(INT(Inputs!$B$44/IF(Inputs!$B$39="pvp",15,MAX(0.1,Skills!D21-IF(TRUE=TRUE,Inputs!$B$32,0))))+1)),0)</f>
        <v/>
      </c>
      <c r="S958">
        <f>IFERROR(O958/N958,0)</f>
        <v/>
      </c>
      <c r="T958" t="n">
        <v>0</v>
      </c>
      <c r="V958" t="n">
        <v>0</v>
      </c>
    </row>
    <row r="959">
      <c r="A959">
        <f>Skills!A22</f>
        <v/>
      </c>
      <c r="B959">
        <f>Skills!B22</f>
        <v/>
      </c>
      <c r="C959">
        <f>Inputs!$B$3&gt;=15</f>
        <v/>
      </c>
      <c r="D959">
        <f>IF(Skills!C22=1,60+Inputs!$B$25+Inputs!$B$29,IF(Skills!C22=2,90+(Inputs!$B$26+1)+Inputs!$B$29,IF(Skills!C22=3,120+Inputs!$B$27+Inputs!$B$29,MAX(0,(Inputs!$B$3-100)*3)+Inputs!$B$28+Inputs!$B$29)))</f>
        <v/>
      </c>
      <c r="E959">
        <f>INDEX(FactorTable!$B$2:$Y$301, MATCH(ROUND(MIN(300,MAX(1,D959)),0), FactorTable!$A$2:$A$301,0), Skills!M22+1)</f>
        <v/>
      </c>
      <c r="F959">
        <f>IF(Skills!N22=TRUE,(Skills!L22/10)*(E959/1000),Skills!L22/10)+Skills!O22</f>
        <v/>
      </c>
      <c r="G959">
        <f>Skills!G22*IF(Skills!H22&gt;0,IF(Inputs!$B$39="pvp",MIN(Skills!I22,15),Skills!I22)/Skills!H22,1)</f>
        <v/>
      </c>
      <c r="H959">
        <f>1-(1-Skills!J22/100)^Skills!K22</f>
        <v/>
      </c>
      <c r="I959" t="inlineStr">
        <is>
          <t>1</t>
        </is>
      </c>
      <c r="J959" t="inlineStr"/>
      <c r="K959" t="inlineStr"/>
      <c r="L959" t="inlineStr"/>
      <c r="M959" t="inlineStr"/>
      <c r="N959" t="inlineStr"/>
      <c r="O959">
        <f>(1-Summary!$B$11)*T959+Summary!$B$11*V959</f>
        <v/>
      </c>
      <c r="P959">
        <f>IF(B983=0,0,O959/B983)</f>
        <v/>
      </c>
      <c r="Q959">
        <f>IFERROR(1/IF(Inputs!$B$39="pvp",15,MAX(0.1,Skills!D22-IF(TRUE=TRUE,Inputs!$B$32,0))),0)</f>
        <v/>
      </c>
      <c r="R959">
        <f>IF(AND(Inputs!$B$39&lt;&gt;"pvp",Inputs!$B$44&gt;0),IF(Inputs!$B$44&lt;=0,0,(INT(Inputs!$B$44/IF(Inputs!$B$39="pvp",15,MAX(0.1,Skills!D22-IF(TRUE=TRUE,Inputs!$B$32,0))))+1)),0)</f>
        <v/>
      </c>
      <c r="S959">
        <f>IFERROR(O959/N959,0)</f>
        <v/>
      </c>
      <c r="T959" t="n">
        <v>0</v>
      </c>
      <c r="V959" t="n">
        <v>0</v>
      </c>
    </row>
    <row r="960">
      <c r="A960">
        <f>Skills!A23</f>
        <v/>
      </c>
      <c r="B960">
        <f>Skills!B23</f>
        <v/>
      </c>
      <c r="C960">
        <f>Inputs!$B$3&gt;=33</f>
        <v/>
      </c>
      <c r="D960">
        <f>IF(Skills!C23=1,60+Inputs!$B$25+Inputs!$B$29,IF(Skills!C23=2,90+(Inputs!$B$26+1)+Inputs!$B$29,IF(Skills!C23=3,120+Inputs!$B$27+Inputs!$B$29,MAX(0,(Inputs!$B$3-100)*3)+Inputs!$B$28+Inputs!$B$29)))</f>
        <v/>
      </c>
      <c r="E960">
        <f>INDEX(FactorTable!$B$2:$Y$301, MATCH(ROUND(MIN(300,MAX(1,D960)),0), FactorTable!$A$2:$A$301,0), Skills!M23+1)</f>
        <v/>
      </c>
      <c r="F960">
        <f>IF(Skills!N23=TRUE,(Skills!L23/10)*(E960/1000),Skills!L23/10)+Skills!O23</f>
        <v/>
      </c>
      <c r="G960">
        <f>Skills!G23*IF(Skills!H23&gt;0,IF(Inputs!$B$39="pvp",MIN(Skills!I23,15),Skills!I23)/Skills!H23,1)</f>
        <v/>
      </c>
      <c r="H960">
        <f>1-(1-Skills!J23/100)^Skills!K23</f>
        <v/>
      </c>
      <c r="I960" t="inlineStr">
        <is>
          <t>1</t>
        </is>
      </c>
      <c r="J960" t="inlineStr"/>
      <c r="K960" t="inlineStr"/>
      <c r="L960" t="inlineStr"/>
      <c r="M960" t="inlineStr"/>
      <c r="N960" t="inlineStr"/>
      <c r="O960">
        <f>(1-Summary!$B$11)*T960+Summary!$B$11*V960</f>
        <v/>
      </c>
      <c r="P960">
        <f>IF(B983=0,0,O960/B983)</f>
        <v/>
      </c>
      <c r="Q960" t="n">
        <v>0</v>
      </c>
      <c r="R960" t="n">
        <v>0</v>
      </c>
      <c r="S960">
        <f>IFERROR(O960/N960,0)</f>
        <v/>
      </c>
      <c r="T960" t="n">
        <v>0</v>
      </c>
      <c r="V960" t="n">
        <v>0</v>
      </c>
    </row>
    <row r="961">
      <c r="A961">
        <f>Skills!A24</f>
        <v/>
      </c>
      <c r="B961">
        <f>Skills!B24</f>
        <v/>
      </c>
      <c r="C961">
        <f>Inputs!$B$3&gt;=40</f>
        <v/>
      </c>
      <c r="D961">
        <f>IF(Skills!C24=1,60+Inputs!$B$25+Inputs!$B$29,IF(Skills!C24=2,90+(Inputs!$B$26+1)+Inputs!$B$29,IF(Skills!C24=3,120+Inputs!$B$27+Inputs!$B$29,MAX(0,(Inputs!$B$3-100)*3)+Inputs!$B$28+Inputs!$B$29)))</f>
        <v/>
      </c>
      <c r="E961">
        <f>INDEX(FactorTable!$B$2:$Y$301, MATCH(ROUND(MIN(300,MAX(1,D961)),0), FactorTable!$A$2:$A$301,0), Skills!M24+1)</f>
        <v/>
      </c>
      <c r="F961">
        <f>IF(Skills!N24=TRUE,(Skills!L24/10)*(E961/1000),Skills!L24/10)+Skills!O24</f>
        <v/>
      </c>
      <c r="G961">
        <f>Skills!G24*IF(Skills!H24&gt;0,IF(Inputs!$B$39="pvp",MIN(Skills!I24,15),Skills!I24)/Skills!H24,1)</f>
        <v/>
      </c>
      <c r="H961">
        <f>1-(1-Skills!J24/100)^Skills!K24</f>
        <v/>
      </c>
      <c r="I961" t="inlineStr">
        <is>
          <t>1</t>
        </is>
      </c>
      <c r="J961" t="inlineStr"/>
      <c r="K961" t="inlineStr"/>
      <c r="L961" t="inlineStr"/>
      <c r="M961" t="inlineStr"/>
      <c r="N961" t="inlineStr"/>
      <c r="O961">
        <f>(1-Summary!$B$11)*T961+Summary!$B$11*V961</f>
        <v/>
      </c>
      <c r="P961">
        <f>IF(B983=0,0,O961/B983)</f>
        <v/>
      </c>
      <c r="Q961" t="n">
        <v>0</v>
      </c>
      <c r="R961" t="n">
        <v>0</v>
      </c>
      <c r="S961">
        <f>IFERROR(O961/N961,0)</f>
        <v/>
      </c>
      <c r="T961" t="n">
        <v>0</v>
      </c>
      <c r="V961" t="n">
        <v>0</v>
      </c>
    </row>
    <row r="962">
      <c r="A962">
        <f>Skills!A25</f>
        <v/>
      </c>
      <c r="B962">
        <f>Skills!B25</f>
        <v/>
      </c>
      <c r="C962">
        <f>Inputs!$B$3&gt;=43</f>
        <v/>
      </c>
      <c r="D962">
        <f>IF(Skills!C25=1,60+Inputs!$B$25+Inputs!$B$29,IF(Skills!C25=2,90+(Inputs!$B$26+1)+Inputs!$B$29,IF(Skills!C25=3,120+Inputs!$B$27+Inputs!$B$29,MAX(0,(Inputs!$B$3-100)*3)+Inputs!$B$28+Inputs!$B$29)))</f>
        <v/>
      </c>
      <c r="E962">
        <f>INDEX(FactorTable!$B$2:$Y$301, MATCH(ROUND(MIN(300,MAX(1,D962)),0), FactorTable!$A$2:$A$301,0), Skills!M25+1)</f>
        <v/>
      </c>
      <c r="F962">
        <f>IF(Skills!N25=TRUE,(Skills!L25/10)*(E962/1000),Skills!L25/10)+Skills!O25</f>
        <v/>
      </c>
      <c r="G962">
        <f>Skills!G25*IF(Skills!H25&gt;0,IF(Inputs!$B$39="pvp",MIN(Skills!I25,15),Skills!I25)/Skills!H25,1)</f>
        <v/>
      </c>
      <c r="H962">
        <f>1-(1-Skills!J25/100)^Skills!K25</f>
        <v/>
      </c>
      <c r="I962" t="inlineStr">
        <is>
          <t>1</t>
        </is>
      </c>
      <c r="J962" t="inlineStr"/>
      <c r="K962" t="inlineStr"/>
      <c r="L962" t="inlineStr"/>
      <c r="M962" t="inlineStr"/>
      <c r="N962" t="inlineStr"/>
      <c r="O962">
        <f>(1-Summary!$B$11)*T962+Summary!$B$11*V962</f>
        <v/>
      </c>
      <c r="P962">
        <f>IF(B983=0,0,O962/B983)</f>
        <v/>
      </c>
      <c r="Q962" t="n">
        <v>0</v>
      </c>
      <c r="R962" t="n">
        <v>0</v>
      </c>
      <c r="S962">
        <f>IFERROR(O962/N962,0)</f>
        <v/>
      </c>
      <c r="T962" t="n">
        <v>0</v>
      </c>
      <c r="V962" t="n">
        <v>0</v>
      </c>
    </row>
    <row r="963">
      <c r="A963">
        <f>Skills!A26</f>
        <v/>
      </c>
      <c r="B963">
        <f>Skills!B26</f>
        <v/>
      </c>
      <c r="C963">
        <f>Inputs!$B$3&gt;=50</f>
        <v/>
      </c>
      <c r="D963">
        <f>IF(Skills!C26=1,60+Inputs!$B$25+Inputs!$B$29,IF(Skills!C26=2,90+(Inputs!$B$26+1)+Inputs!$B$29,IF(Skills!C26=3,120+Inputs!$B$27+Inputs!$B$29,MAX(0,(Inputs!$B$3-100)*3)+Inputs!$B$28+Inputs!$B$29)))</f>
        <v/>
      </c>
      <c r="E963">
        <f>INDEX(FactorTable!$B$2:$Y$301, MATCH(ROUND(MIN(300,MAX(1,D963)),0), FactorTable!$A$2:$A$301,0), Skills!M26+1)</f>
        <v/>
      </c>
      <c r="F963">
        <f>IF(Skills!N26=TRUE,(Skills!L26/10)*(E963/1000),Skills!L26/10)+Skills!O26</f>
        <v/>
      </c>
      <c r="G963">
        <f>Skills!G26*IF(Skills!H26&gt;0,IF(Inputs!$B$39="pvp",MIN(Skills!I26,15),Skills!I26)/Skills!H26,1)</f>
        <v/>
      </c>
      <c r="H963">
        <f>1-(1-Skills!J26/100)^Skills!K26</f>
        <v/>
      </c>
      <c r="I963" t="inlineStr">
        <is>
          <t>1</t>
        </is>
      </c>
      <c r="J963" t="inlineStr"/>
      <c r="K963" t="inlineStr"/>
      <c r="L963" t="inlineStr"/>
      <c r="M963" t="inlineStr"/>
      <c r="N963" t="inlineStr"/>
      <c r="O963">
        <f>(1-Summary!$B$11)*T963+Summary!$B$11*V963</f>
        <v/>
      </c>
      <c r="P963">
        <f>IF(B983=0,0,O963/B983)</f>
        <v/>
      </c>
      <c r="Q963" t="n">
        <v>0</v>
      </c>
      <c r="R963" t="n">
        <v>0</v>
      </c>
      <c r="S963">
        <f>IFERROR(O963/N963,0)</f>
        <v/>
      </c>
      <c r="T963" t="n">
        <v>0</v>
      </c>
      <c r="V963" t="n">
        <v>0</v>
      </c>
    </row>
    <row r="964">
      <c r="A964">
        <f>Skills!A27</f>
        <v/>
      </c>
      <c r="B964">
        <f>Skills!B27</f>
        <v/>
      </c>
      <c r="C964">
        <f>Inputs!$B$3&gt;=50</f>
        <v/>
      </c>
      <c r="D964">
        <f>IF(Skills!C27=1,60+Inputs!$B$25+Inputs!$B$29,IF(Skills!C27=2,90+(Inputs!$B$26+1)+Inputs!$B$29,IF(Skills!C27=3,120+Inputs!$B$27+Inputs!$B$29,MAX(0,(Inputs!$B$3-100)*3)+Inputs!$B$28+Inputs!$B$29)))</f>
        <v/>
      </c>
      <c r="E964">
        <f>INDEX(FactorTable!$B$2:$Y$301, MATCH(ROUND(MIN(300,MAX(1,D964)),0), FactorTable!$A$2:$A$301,0), Skills!M27+1)</f>
        <v/>
      </c>
      <c r="F964">
        <f>IF(Skills!N27=TRUE,(Skills!L27/10)*(E964/1000),Skills!L27/10)+Skills!O27</f>
        <v/>
      </c>
      <c r="G964">
        <f>Skills!G27*IF(Skills!H27&gt;0,IF(Inputs!$B$39="pvp",MIN(Skills!I27,15),Skills!I27)/Skills!H27,1)</f>
        <v/>
      </c>
      <c r="H964">
        <f>1-(1-Skills!J27/100)^Skills!K27</f>
        <v/>
      </c>
      <c r="I964" t="inlineStr">
        <is>
          <t>1</t>
        </is>
      </c>
      <c r="J964" t="inlineStr"/>
      <c r="K964" t="inlineStr"/>
      <c r="L964" t="inlineStr"/>
      <c r="M964" t="inlineStr"/>
      <c r="N964" t="inlineStr"/>
      <c r="O964">
        <f>(1-Summary!$B$11)*T964+Summary!$B$11*V964</f>
        <v/>
      </c>
      <c r="P964">
        <f>IF(B983=0,0,O964/B983)</f>
        <v/>
      </c>
      <c r="Q964" t="n">
        <v>0</v>
      </c>
      <c r="R964" t="n">
        <v>0</v>
      </c>
      <c r="S964">
        <f>IFERROR(O964/N964,0)</f>
        <v/>
      </c>
      <c r="T964" t="n">
        <v>0</v>
      </c>
      <c r="V964" t="n">
        <v>0</v>
      </c>
    </row>
    <row r="965">
      <c r="A965">
        <f>Skills!A28</f>
        <v/>
      </c>
      <c r="B965">
        <f>Skills!B28</f>
        <v/>
      </c>
      <c r="C965">
        <f>Inputs!$B$3&gt;=38</f>
        <v/>
      </c>
      <c r="D965">
        <f>IF(Skills!C28=1,60+Inputs!$B$25+Inputs!$B$29,IF(Skills!C28=2,90+(Inputs!$B$26+1)+Inputs!$B$29,IF(Skills!C28=3,120+Inputs!$B$27+Inputs!$B$29,MAX(0,(Inputs!$B$3-100)*3)+Inputs!$B$28+Inputs!$B$29)))</f>
        <v/>
      </c>
      <c r="E965">
        <f>INDEX(FactorTable!$B$2:$Y$301, MATCH(ROUND(MIN(300,MAX(1,D965)),0), FactorTable!$A$2:$A$301,0), Skills!M28+1)</f>
        <v/>
      </c>
      <c r="F965">
        <f>IF(Skills!N28=TRUE,(Skills!L28/10)*(E965/1000),Skills!L28/10)+Skills!O28</f>
        <v/>
      </c>
      <c r="G965">
        <f>Skills!G28*IF(Skills!H28&gt;0,IF(Inputs!$B$39="pvp",MIN(Skills!I28,15),Skills!I28)/Skills!H28,1)</f>
        <v/>
      </c>
      <c r="H965">
        <f>1-(1-Skills!J28/100)^Skills!K28</f>
        <v/>
      </c>
      <c r="I965" t="inlineStr">
        <is>
          <t>1</t>
        </is>
      </c>
      <c r="J965" t="inlineStr"/>
      <c r="K965" t="inlineStr"/>
      <c r="L965" t="inlineStr"/>
      <c r="M965" t="inlineStr"/>
      <c r="N965" t="inlineStr"/>
      <c r="O965">
        <f>(1-Summary!$B$11)*T965+Summary!$B$11*V965</f>
        <v/>
      </c>
      <c r="P965">
        <f>IF(B983=0,0,O965/B983)</f>
        <v/>
      </c>
      <c r="Q965" t="n">
        <v>0</v>
      </c>
      <c r="R965" t="n">
        <v>0</v>
      </c>
      <c r="S965">
        <f>IFERROR(O965/N965,0)</f>
        <v/>
      </c>
      <c r="T965" t="n">
        <v>0</v>
      </c>
      <c r="V965" t="n">
        <v>0</v>
      </c>
    </row>
    <row r="966">
      <c r="A966">
        <f>Skills!A29</f>
        <v/>
      </c>
      <c r="B966">
        <f>Skills!B29</f>
        <v/>
      </c>
      <c r="C966">
        <f>Inputs!$B$3&gt;=120</f>
        <v/>
      </c>
      <c r="D966">
        <f>IF(Skills!C29=1,60+Inputs!$B$25+Inputs!$B$29,IF(Skills!C29=2,90+(Inputs!$B$26+1)+Inputs!$B$29,IF(Skills!C29=3,120+Inputs!$B$27+Inputs!$B$29,MAX(0,(Inputs!$B$3-100)*3)+Inputs!$B$28+Inputs!$B$29)))</f>
        <v/>
      </c>
      <c r="E966">
        <f>INDEX(FactorTable!$B$2:$Y$301, MATCH(ROUND(MIN(300,MAX(1,D966)),0), FactorTable!$A$2:$A$301,0), Skills!M29+1)</f>
        <v/>
      </c>
      <c r="F966">
        <f>IF(Skills!N29=TRUE,(Skills!L29/10)*(E966/1000),Skills!L29/10)+Skills!O29</f>
        <v/>
      </c>
      <c r="G966">
        <f>Skills!G29*IF(Skills!H29&gt;0,IF(Inputs!$B$39="pvp",MIN(Skills!I29,15),Skills!I29)/Skills!H29,1)</f>
        <v/>
      </c>
      <c r="H966">
        <f>1-(1-Skills!J29/100)^Skills!K29</f>
        <v/>
      </c>
      <c r="I966" t="inlineStr">
        <is>
          <t>1</t>
        </is>
      </c>
      <c r="J966" t="inlineStr"/>
      <c r="K966" t="inlineStr"/>
      <c r="L966" t="inlineStr"/>
      <c r="M966" t="inlineStr"/>
      <c r="N966" t="inlineStr"/>
      <c r="O966">
        <f>(1-Summary!$B$11)*T966+Summary!$B$11*V966</f>
        <v/>
      </c>
      <c r="P966">
        <f>IF(B983=0,0,O966/B983)</f>
        <v/>
      </c>
      <c r="Q966" t="n">
        <v>0</v>
      </c>
      <c r="R966" t="n">
        <v>0</v>
      </c>
      <c r="S966">
        <f>IFERROR(O966/N966,0)</f>
        <v/>
      </c>
      <c r="T966" t="n">
        <v>0</v>
      </c>
      <c r="V966" t="n">
        <v>0</v>
      </c>
    </row>
    <row r="967">
      <c r="A967">
        <f>Skills!A30</f>
        <v/>
      </c>
      <c r="B967">
        <f>Skills!B30</f>
        <v/>
      </c>
      <c r="C967">
        <f>Inputs!$B$3&gt;=120</f>
        <v/>
      </c>
      <c r="D967">
        <f>IF(Skills!C30=1,60+Inputs!$B$25+Inputs!$B$29,IF(Skills!C30=2,90+(Inputs!$B$26+1)+Inputs!$B$29,IF(Skills!C30=3,120+Inputs!$B$27+Inputs!$B$29,MAX(0,(Inputs!$B$3-100)*3)+Inputs!$B$28+Inputs!$B$29)))</f>
        <v/>
      </c>
      <c r="E967">
        <f>INDEX(FactorTable!$B$2:$Y$301, MATCH(ROUND(MIN(300,MAX(1,D967)),0), FactorTable!$A$2:$A$301,0), Skills!M30+1)</f>
        <v/>
      </c>
      <c r="F967">
        <f>IF(Skills!N30=TRUE,(Skills!L30/10)*(E967/1000),Skills!L30/10)+Skills!O30</f>
        <v/>
      </c>
      <c r="G967">
        <f>Skills!G30*IF(Skills!H30&gt;0,IF(Inputs!$B$39="pvp",MIN(Skills!I30,15),Skills!I30)/Skills!H30,1)</f>
        <v/>
      </c>
      <c r="H967">
        <f>1-(1-Skills!J30/100)^Skills!K30</f>
        <v/>
      </c>
      <c r="I967" t="inlineStr">
        <is>
          <t>1</t>
        </is>
      </c>
      <c r="J967" t="inlineStr"/>
      <c r="K967" t="inlineStr"/>
      <c r="L967" t="inlineStr"/>
      <c r="M967" t="inlineStr"/>
      <c r="N967" t="inlineStr"/>
      <c r="O967">
        <f>(1-Summary!$B$11)*T967+Summary!$B$11*V967</f>
        <v/>
      </c>
      <c r="P967">
        <f>IF(B983=0,0,O967/B983)</f>
        <v/>
      </c>
      <c r="Q967" t="n">
        <v>0</v>
      </c>
      <c r="R967" t="n">
        <v>0</v>
      </c>
      <c r="S967">
        <f>IFERROR(O967/N967,0)</f>
        <v/>
      </c>
      <c r="T967" t="n">
        <v>0</v>
      </c>
      <c r="V967" t="n">
        <v>0</v>
      </c>
    </row>
    <row r="968">
      <c r="A968">
        <f>Skills!A31</f>
        <v/>
      </c>
      <c r="B968">
        <f>Skills!B31</f>
        <v/>
      </c>
      <c r="C968">
        <f>Inputs!$B$3&gt;=125</f>
        <v/>
      </c>
      <c r="D968">
        <f>IF(Skills!C31=1,60+Inputs!$B$25+Inputs!$B$29,IF(Skills!C31=2,90+(Inputs!$B$26+1)+Inputs!$B$29,IF(Skills!C31=3,120+Inputs!$B$27+Inputs!$B$29,MAX(0,(Inputs!$B$3-100)*3)+Inputs!$B$28+Inputs!$B$29)))</f>
        <v/>
      </c>
      <c r="E968">
        <f>INDEX(FactorTable!$B$2:$Y$301, MATCH(ROUND(MIN(300,MAX(1,D968)),0), FactorTable!$A$2:$A$301,0), Skills!M31+1)</f>
        <v/>
      </c>
      <c r="F968">
        <f>IF(Skills!N31=TRUE,(Skills!L31/10)*(E968/1000),Skills!L31/10)+Skills!O31</f>
        <v/>
      </c>
      <c r="G968">
        <f>Skills!G31*IF(Skills!H31&gt;0,IF(Inputs!$B$39="pvp",MIN(Skills!I31,15),Skills!I31)/Skills!H31,1)</f>
        <v/>
      </c>
      <c r="H968">
        <f>1-(1-Skills!J31/100)^Skills!K31</f>
        <v/>
      </c>
      <c r="I968" t="inlineStr">
        <is>
          <t>1</t>
        </is>
      </c>
      <c r="J968" t="inlineStr"/>
      <c r="K968" t="inlineStr"/>
      <c r="L968" t="inlineStr"/>
      <c r="M968" t="inlineStr"/>
      <c r="N968" t="inlineStr"/>
      <c r="O968">
        <f>(1-Summary!$B$11)*T968+Summary!$B$11*V968</f>
        <v/>
      </c>
      <c r="P968">
        <f>IF(B983=0,0,O968/B983)</f>
        <v/>
      </c>
      <c r="Q968" t="n">
        <v>0</v>
      </c>
      <c r="R968" t="n">
        <v>0</v>
      </c>
      <c r="S968">
        <f>IFERROR(O968/N968,0)</f>
        <v/>
      </c>
      <c r="T968" t="n">
        <v>0</v>
      </c>
      <c r="V968" t="n">
        <v>0</v>
      </c>
    </row>
    <row r="970">
      <c r="A970" t="inlineStr">
        <is>
          <t>Average Buff Multiplier</t>
        </is>
      </c>
      <c r="B970">
        <f>(1+(((C959=TRUE)*F959*IF(AND(Inputs!$B$39&lt;&gt;"pvp",Inputs!$B$44&gt;0),(((R959-1)*MIN((Skills!Y22*(1+Inputs!$B$34/100)),(1/Q959))+MIN((Skills!Y22*(1+Inputs!$B$34/100)),MAX(0,Inputs!$B$44-((R959-1)*(1/Q959)))))/Inputs!$B$44),IF(Inputs!$B$39="pvp",MIN((Skills!Y22*(1+Inputs!$B$34/100)),15)/15,MIN(1,(Skills!Y22*(1+Inputs!$B$34/100))/(1/Q959)))))+((C940=TRUE)*F940*3)+((C942=TRUE)*F942*(1-EXP(-0.75*B975*5)))+((C961=TRUE)*(F961-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948=TRUE)*F948*IF(AND(Inputs!$B$39&lt;&gt;"pvp",Inputs!$B$44&gt;0),(((R948-1)*MIN((Skills!Y11*(1+Inputs!$B$34/100)),(1/Q948))+MIN((Skills!Y11*(1+Inputs!$B$34/100)),MAX(0,Inputs!$B$44-((R948-1)*(1/Q948)))))/Inputs!$B$44),IF(Inputs!$B$39="pvp",MIN((Skills!Y11*(1+Inputs!$B$34/100)),15)/15,MIN(1,(Skills!Y11*(1+Inputs!$B$34/100))/(1/Q948)))))/100)*(1+((C953=TRUE)*F953*IF(AND(Inputs!$B$39&lt;&gt;"pvp",Inputs!$B$44&gt;0),(((R953-1)*MIN((Skills!Y16*(1+Inputs!$B$34/100)),(1/Q953))+MIN((Skills!Y16*(1+Inputs!$B$34/100)),MAX(0,Inputs!$B$44-((R953-1)*(1/Q953)))))/Inputs!$B$44),IF(Inputs!$B$39="pvp",MIN((Skills!Y16*(1+Inputs!$B$34/100)),15)/15,MIN(1,(Skills!Y16*(1+Inputs!$B$34/100))/(1/Q953)))))/100)</f>
        <v/>
      </c>
    </row>
    <row r="971">
      <c r="A971" t="inlineStr">
        <is>
          <t>Global Crit Rate Bonus %</t>
        </is>
      </c>
      <c r="B971">
        <f>((C958=TRUE)*F958*IF(AND(Inputs!$B$39&lt;&gt;"pvp",Inputs!$B$44&gt;0),(((R958-1)*MIN((Skills!Y21*(1+Inputs!$B$34/100)),(1/Q958))+MIN((Skills!Y21*(1+Inputs!$B$34/100)),MAX(0,Inputs!$B$44-((R958-1)*(1/Q958)))))/Inputs!$B$44),IF(Inputs!$B$39="pvp",MIN((Skills!Y21*(1+Inputs!$B$34/100)),15)/15,MIN(1,(Skills!Y21*(1+Inputs!$B$34/100))/(1/Q958)))))</f>
        <v/>
      </c>
    </row>
    <row r="972">
      <c r="A972" t="inlineStr">
        <is>
          <t>Global Monster Damage-Taken Bonus %</t>
        </is>
      </c>
      <c r="B972">
        <f>IF(Inputs!$B$3&gt;=82,15,0)</f>
        <v/>
      </c>
    </row>
    <row r="973">
      <c r="A973" t="inlineStr">
        <is>
          <t>Shadow Partner Average Multiplier</t>
        </is>
      </c>
      <c r="B973">
        <f>1+((C945=TRUE)*F945*(1+3.3333333333333335*IF(C956=TRUE,F956,0)/100)*I945*Skills!J8/100)/100</f>
        <v/>
      </c>
    </row>
    <row r="974">
      <c r="A974" t="inlineStr">
        <is>
          <t>Attack Speed Buff Bonus %</t>
        </is>
      </c>
      <c r="B974">
        <f>((C957=TRUE)*F957*IF(AND(Inputs!$B$39&lt;&gt;"pvp",Inputs!$B$44&gt;0),(((R957-1)*MIN((Skills!Y20*(1+Inputs!$B$34/100)),(1/Q957))+MIN((Skills!Y20*(1+Inputs!$B$34/100)),MAX(0,Inputs!$B$44-((R957-1)*(1/Q957)))))/Inputs!$B$44),IF(Inputs!$B$39="pvp",MIN((Skills!Y20*(1+Inputs!$B$34/100)),15)/15,MIN(1,(Skills!Y20*(1+Inputs!$B$34/100))/(1/Q957)))))</f>
        <v/>
      </c>
    </row>
    <row r="975">
      <c r="A975" t="inlineStr">
        <is>
          <t>Actions Per Second</t>
        </is>
      </c>
      <c r="B975">
        <f>1+MIN(150,150*(1-(1-(Inputs!$B$11+((C960=TRUE)*(F960-Calc!F23)))/150)*(1-B974/150)))/100</f>
        <v/>
      </c>
    </row>
    <row r="976">
      <c r="A976" t="inlineStr">
        <is>
          <t>Skill + Buff Cast Rate</t>
        </is>
      </c>
      <c r="B976">
        <f>IF(AND(Inputs!$B$39&lt;&gt;"pvp",Inputs!$B$44&gt;0),SUMPRODUCT((Skills!E2:E31=TRUE)*(C939:C968=TRUE)*R939:R968*Skills!F2:F31)/Inputs!$B$44,SUMPRODUCT((Skills!E2:E31=TRUE)*(C939:C968=TRUE)*Q939:Q968*Skills!F2:F31))</f>
        <v/>
      </c>
    </row>
    <row r="977">
      <c r="A977" t="inlineStr">
        <is>
          <t>Cruel Stab Casts Per Second</t>
        </is>
      </c>
      <c r="B977">
        <f>MAX(0,B975-B976)</f>
        <v/>
      </c>
    </row>
    <row r="978">
      <c r="A978" t="inlineStr">
        <is>
          <t>Global Critical Damage Bonus % (Smokescreen Mastery Lv.113)</t>
        </is>
      </c>
      <c r="B978">
        <f>IF(Inputs!$B$3&gt;=113,30,0)*IF(AND(Inputs!$B$39&lt;&gt;"pvp",Inputs!$B$44&gt;0),(((R953-1)*MIN((Skills!Y16*(1+Inputs!$B$34/100)),(1/Q953))+MIN((Skills!Y16*(1+Inputs!$B$34/100)),MAX(0,Inputs!$B$44-((R953-1)*(1/Q953)))))/Inputs!$B$44),IF(Inputs!$B$39="pvp",MIN((Skills!Y16*(1+Inputs!$B$34/100)),15)/15,MIN(1,(Skills!Y16*(1+Inputs!$B$34/100))/(1/Q953))))</f>
        <v/>
      </c>
    </row>
    <row r="979">
      <c r="A979" t="inlineStr">
        <is>
          <t>Meso Explosion average stack count</t>
        </is>
      </c>
      <c r="B979">
        <f>MIN(10,IF(Inputs!$B$3&gt;=75,0.75,0.5)*B975*(1/Q941))</f>
        <v/>
      </c>
    </row>
    <row r="980">
      <c r="A980" t="inlineStr">
        <is>
          <t>Blood Money average stack count</t>
        </is>
      </c>
      <c r="B980">
        <f>MIN(5,0.5*IF(Inputs!$B$3&gt;=75,0.75,0.5)*B975*(1/Q941))</f>
        <v/>
      </c>
    </row>
    <row r="981">
      <c r="A981" t="inlineStr">
        <is>
          <t>Assassinate Murderous Intent Multiplier</t>
        </is>
      </c>
      <c r="B981">
        <f>1+IFERROR(MIN(1,Q952*2/Q949),0)</f>
        <v/>
      </c>
    </row>
    <row r="982">
      <c r="A982" t="inlineStr">
        <is>
          <t>Buff-Casting Startup Delay (s, fixed-duration only)</t>
        </is>
      </c>
      <c r="B982">
        <f>IF(AND(Inputs!$B$39&lt;&gt;"pvp",Inputs!$B$44&gt;0),SUMPRODUCT((Skills!Y2:Y31&gt;0)*(Skills!E2:E31=TRUE)*(C939:C968=TRUE))/B975,0)</f>
        <v/>
      </c>
    </row>
    <row r="983">
      <c r="A983" s="6" t="inlineStr">
        <is>
          <t>TOTAL DPS</t>
        </is>
      </c>
      <c r="B983" s="6">
        <f>SUM(O939:O968)</f>
        <v/>
      </c>
    </row>
    <row r="984">
      <c r="A984" t="inlineStr">
        <is>
          <t>Boss-Only Total DPS (this block's swept value)</t>
        </is>
      </c>
      <c r="B984">
        <f>SUM(T939:T968)</f>
        <v/>
      </c>
    </row>
    <row r="985">
      <c r="A985" t="inlineStr">
        <is>
          <t>Normal-Only Total DPS (this block's swept value)</t>
        </is>
      </c>
      <c r="B985">
        <f>SUM(V939:V968)</f>
        <v/>
      </c>
    </row>
    <row r="988">
      <c r="A988" s="6" t="inlineStr">
        <is>
          <t>Stat: Skill Level Bonus — 3rd Job</t>
        </is>
      </c>
    </row>
    <row r="989">
      <c r="A989" s="5" t="inlineStr">
        <is>
          <t>Key</t>
        </is>
      </c>
      <c r="B989" s="5" t="inlineStr">
        <is>
          <t>Name</t>
        </is>
      </c>
      <c r="C989" s="5" t="inlineStr">
        <is>
          <t>Unlocked</t>
        </is>
      </c>
      <c r="D989" s="5" t="inlineStr">
        <is>
          <t>InputLevel</t>
        </is>
      </c>
      <c r="E989" s="5" t="inlineStr">
        <is>
          <t>Factor</t>
        </is>
      </c>
      <c r="F989" s="5" t="inlineStr">
        <is>
          <t>CoefficientPercent</t>
        </is>
      </c>
      <c r="G989" s="5" t="inlineStr">
        <is>
          <t>EffectiveHits</t>
        </is>
      </c>
      <c r="H989" s="5" t="inlineStr">
        <is>
          <t>ProcProbability</t>
        </is>
      </c>
      <c r="I989" s="5" t="inlineStr">
        <is>
          <t>MapleHeroMultiplier</t>
        </is>
      </c>
      <c r="J989" s="5" t="inlineStr">
        <is>
          <t>BaseDamage</t>
        </is>
      </c>
      <c r="K989" s="5" t="inlineStr">
        <is>
          <t>BaseHitDamage</t>
        </is>
      </c>
      <c r="L989" s="5" t="inlineStr">
        <is>
          <t>NonCritAvg</t>
        </is>
      </c>
      <c r="M989" s="5" t="inlineStr">
        <is>
          <t>CritAvg</t>
        </is>
      </c>
      <c r="N989" s="5" t="inlineStr">
        <is>
          <t>ExpectedDamage(perHit)</t>
        </is>
      </c>
      <c r="O989" s="5" t="inlineStr">
        <is>
          <t>DPS</t>
        </is>
      </c>
      <c r="P989" s="5" t="inlineStr">
        <is>
          <t>% of Total</t>
        </is>
      </c>
      <c r="Q989" s="5" t="inlineStr">
        <is>
          <t>InvCooldown</t>
        </is>
      </c>
      <c r="R989" s="5" t="inlineStr">
        <is>
          <t>CastsInFight</t>
        </is>
      </c>
      <c r="S989" s="5" t="inlineStr">
        <is>
          <t>HitRate(perSec)</t>
        </is>
      </c>
      <c r="U989" t="inlineStr">
        <is>
          <t>helpers</t>
        </is>
      </c>
    </row>
    <row r="990">
      <c r="A990">
        <f>Skills!A2</f>
        <v/>
      </c>
      <c r="B990">
        <f>Skills!B2</f>
        <v/>
      </c>
      <c r="C990">
        <f>Inputs!$B$3&gt;=100</f>
        <v/>
      </c>
      <c r="D990" t="inlineStr"/>
      <c r="E990" t="inlineStr"/>
      <c r="F990">
        <f>U992+Skills!O2</f>
        <v/>
      </c>
      <c r="G990">
        <f>Skills!G2*IF(Skills!H2&gt;0,IF(Inputs!$B$39="pvp",MIN(Skills!I2,15),Skills!I2)/Skills!H2,1)</f>
        <v/>
      </c>
      <c r="H990">
        <f>1-(1-Skills!J2/100)^Skills!K2</f>
        <v/>
      </c>
      <c r="I990" t="inlineStr">
        <is>
          <t>1</t>
        </is>
      </c>
      <c r="J990">
        <f>((Inputs!$B$6*(1+Inputs!$B$7/100))+(((Inputs!$B$12*(1+Inputs!$B$13/100))-(Inputs!$B$12*(1+Inputs!$B$13/100)))+0.25*(Inputs!$B$14-Inputs!$B$14))*(1+Inputs!$B$7/100))*(F990/100)</f>
        <v/>
      </c>
      <c r="K990">
        <f>J990*(1+((Inputs!$B$12*(1+Inputs!$B$13/100))*0.01+Inputs!$B$14*0.0025)/100)*(1+Inputs!$B$15/100)*(1+Inputs!$B$16/100)*(5000/(6000+Inputs!$B$43*(1-(100*(1-(1-Inputs!$B$19/100)*(1-CHOOSE(ArtifactsInput!$N$40+1,5,6,7,8,9,10)/100)^(ArtifactsInput!$M$40-ArtifactsInput!$M$40)))/100)))*(1+(Inputs!$B$24+((C1019=TRUE)*(F1019-Calc!F31))+((C1006=TRUE)*(F1006-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CRUEL_STAB",Inputs!$B$17+((C1016=TRUE)*(F1016-Calc!F28))+((IF(AND(Inputs!$B$39&lt;&gt;"pvp",Inputs!$B$44=0),1,IF(IF(Inputs!$B$39="pvp",15,Inputs!$B$44)-(B1033)&lt;=0,1,MAX(0,IF(Inputs!$B$39="pvp",15,Inputs!$B$44)-MAX(5,B1033))/(IF(Inputs!$B$39="pvp",15,Inputs!$B$44)-(B1033))))*(IF(AND(ArtifactsInput!$M$42,((Inputs!$B$9+((C1014=TRUE)*(F1014-Calc!F26))+B1022+(ArtifactsInput!$M$24-ArtifactsInput!$M$24)*CHOOSE(ArtifactsInput!$N$24+1,10,12,14,16,18,20)+IF(ArtifactsInput!$M$10,CHOOSE(ArtifactsInput!$N$10+1,15,18,21,24,27,30)*(IF(Inputs!$B$39="pvp",MIN(15,15)/15,IF(AND(Inputs!$B$39&lt;&gt;"pvp",Inputs!$B$44&gt;0),MIN(15,Inputs!$B$44)/(Inputs!$B$44),0))),0)))&gt;=100),MIN(100,((Inputs!$B$9+((C1014=TRUE)*(F1014-Calc!F26))+B1022+(ArtifactsInput!$M$24-ArtifactsInput!$M$24)*CHOOSE(ArtifactsInput!$N$24+1,10,12,14,16,18,20)+IF(ArtifactsInput!$M$10,CHOOSE(ArtifactsInput!$N$10+1,15,18,21,24,27,30)*(IF(Inputs!$B$39="pvp",MIN(15,15)/15,IF(AND(Inputs!$B$39&lt;&gt;"pvp",Inputs!$B$44&gt;0),MIN(15,Inputs!$B$44)/(Inputs!$B$44),0))),0)))-100),0))*CHOOSE(ArtifactsInput!$N$42+1,0.6,0.72,0.84,0.96,1.08,1.2))),Inputs!$B$18+((C1017=TRUE)*(F1017-Calc!F29))+(IF(AND(Inputs!$B$39&lt;&gt;"pvp",Inputs!$B$44=0),1,IF(IF(Inputs!$B$39="pvp",15,Inputs!$B$44)-(B1033)&lt;=0,1,MAX(0,IF(Inputs!$B$39="pvp",15,Inputs!$B$44)-MAX(5,B1033))/(IF(Inputs!$B$39="pvp",15,Inputs!$B$44)-(B1033))))*IF(AND(ArtifactsInput!$M$42,((Inputs!$B$9+((C1014=TRUE)*(F1014-Calc!F26))+B1022+(ArtifactsInput!$M$24-ArtifactsInput!$M$24)*CHOOSE(ArtifactsInput!$N$24+1,10,12,14,16,18,20)+IF(ArtifactsInput!$M$10,CHOOSE(ArtifactsInput!$N$10+1,15,18,21,24,27,30)*(IF(Inputs!$B$39="pvp",MIN(15,15)/15,IF(AND(Inputs!$B$39&lt;&gt;"pvp",Inputs!$B$44&gt;0),MIN(15,Inputs!$B$44)/(Inputs!$B$44),0))),0)))&gt;=100),CHOOSE(ArtifactsInput!$N$42+1,40,48,56,64,72,80),0))))/100)*(((1+(((C1010=TRUE)*F1010*IF(AND(Inputs!$B$39&lt;&gt;"pvp",Inputs!$B$44&gt;0),(((R1010-1)*MIN((Skills!Y22*(1+Inputs!$B$34/100)),(1/Q1010))+MIN((Skills!Y22*(1+Inputs!$B$34/100)),MAX(0,Inputs!$B$44-((R1010-1)*(1/Q1010)))))/Inputs!$B$44),IF(Inputs!$B$39="pvp",MIN((Skills!Y22*(1+Inputs!$B$34/100)),15)/15,MIN(1,(Skills!Y22*(1+Inputs!$B$34/100))/(1/Q1010)))))+((C991=TRUE)*F991*3)+((C993=TRUE)*F993*(1-EXP(-0.75*B1026*5)))+((C1012=TRUE)*(F1012-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999=TRUE)*F999*IF(AND(Inputs!$B$39&lt;&gt;"pvp",Inputs!$B$44&gt;0),(((R999-1)*MIN((Skills!Y11*(1+Inputs!$B$34/100)),(1/Q999))+MIN((Skills!Y11*(1+Inputs!$B$34/100)),MAX(0,Inputs!$B$44-((R999-1)*(1/Q999)))))/Inputs!$B$44),IF(Inputs!$B$39="pvp",MIN((Skills!Y11*(1+Inputs!$B$34/100)),15)/15,MIN(1,(Skills!Y11*(1+Inputs!$B$34/100))/(1/Q999)))))/100)*(1+((C1004=TRUE)*F1004*IF(AND(Inputs!$B$39&lt;&gt;"pvp",Inputs!$B$44&gt;0),(((R1004-1)*MIN((Skills!Y16*(1+Inputs!$B$34/100)),(1/Q1004))+MIN((Skills!Y16*(1+Inputs!$B$34/100)),MAX(0,Inputs!$B$44-((R1004-1)*(1/Q1004)))))/Inputs!$B$44),IF(Inputs!$B$39="pvp",MIN((Skills!Y16*(1+Inputs!$B$34/100)),15)/15,MIN(1,(Skills!Y16*(1+Inputs!$B$34/100))/(1/Q1004)))))/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1024*I990)</f>
        <v/>
      </c>
      <c r="L990">
        <f>K990*(MIN(Inputs!$B$22+((C1013=TRUE)*(F1013-Calc!F25)),(Inputs!$B$23+((C1018=TRUE)*(F1018-Calc!F30))+IF(ArtifactsInput!$M$15,CHOOSE(ArtifactsInput!$N$15+1,25,30,35,40,45,50)/100*(Inputs!$B$11-Inputs!$B$11),0)))/100+(Inputs!$B$23+((C1018=TRUE)*(F1018-Calc!F30))+IF(ArtifactsInput!$M$15,CHOOSE(ArtifactsInput!$N$15+1,25,30,35,40,45,50)/100*(Inputs!$B$11-Inputs!$B$11),0))/100)/2</f>
        <v/>
      </c>
      <c r="M990">
        <f>L990*(1+(Inputs!$B$10+((C1015=TRUE)*(F1015-Calc!F27))+B1029+(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990">
        <f>L990*(1-MIN((Inputs!$B$9+((C1014=TRUE)*(F1014-Calc!F26))+B1022+(ArtifactsInput!$M$24-ArtifactsInput!$M$24)*CHOOSE(ArtifactsInput!$N$24+1,10,12,14,16,18,20)+(IF(AND(Inputs!$B$39&lt;&gt;"pvp",Inputs!$B$44=0),1,IF(IF(Inputs!$B$39="pvp",15,Inputs!$B$44)-(B1033)&lt;=0,1,MAX(0,IF(Inputs!$B$39="pvp",15,Inputs!$B$44)-MAX(5,B1033))/(IF(Inputs!$B$39="pvp",15,Inputs!$B$44)-(B1033))))*IF(AND(ArtifactsInput!$M$42,((Inputs!$B$9+((C1014=TRUE)*(F1014-Calc!F26))+B1022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990*(MIN((Inputs!$B$9+((C1014=TRUE)*(F1014-Calc!F26))+B1022+(ArtifactsInput!$M$24-ArtifactsInput!$M$24)*CHOOSE(ArtifactsInput!$N$24+1,10,12,14,16,18,20)+(IF(AND(Inputs!$B$39&lt;&gt;"pvp",Inputs!$B$44=0),1,IF(IF(Inputs!$B$39="pvp",15,Inputs!$B$44)-(B1033)&lt;=0,1,MAX(0,IF(Inputs!$B$39="pvp",15,Inputs!$B$44)-MAX(5,B1033))/(IF(Inputs!$B$39="pvp",15,Inputs!$B$44)-(B1033))))*IF(AND(ArtifactsInput!$M$42,((Inputs!$B$9+((C1014=TRUE)*(F1014-Calc!F26))+B1022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990">
        <f>(1-Summary!$B$11)*T990+Summary!$B$11*V990</f>
        <v/>
      </c>
      <c r="P990">
        <f>IF(B1034=0,0,O990/B1034)</f>
        <v/>
      </c>
      <c r="Q990" t="n">
        <v>0</v>
      </c>
      <c r="R990" t="n">
        <v>0</v>
      </c>
      <c r="S990">
        <f>IFERROR(O990/N990,0)</f>
        <v/>
      </c>
      <c r="T990">
        <f>IF(C990,(Skills!G2*N990*B1028)*IF(Inputs!$B$39="pvp",1,1+(Inputs!$B$20+0+Skills!P2+B1023+(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Hunt"),CHOOSE(ArtifactsInput!$N$35+1,15,18,21,24,27,30)*(1-EXP(-(0.2*B1026)*5)),0)+IF(AND(ArtifactsInput!$M$22,Inputs!$B$4&lt;&gt;"Chapter Hunt"),CHOOSE(ArtifactsInput!$N$22+1,10,12,14,16,18,20)*((0*(((0.15*B1026*5))^0/1)+1*(((0.15*B1026*5))^1/1)+2*(((0.15*B1026*5))^2/2)+3*(((0.15*B1026*5))^3/6)+4*(((0.15*B1026*5))^4/24)+5*(((0.15*B1026*5))^5/120))/((((0.15*B1026*5))^0/1)+(((0.15*B1026*5))^1/1)+(((0.15*B1026*5))^2/2)+(((0.15*B1026*5))^3/6)+(((0.15*B1026*5))^4/24)+(((0.15*B1026*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990*(1-MIN(100,(Inputs!$B$9+((C1014=TRUE)*(F1014-Calc!F26))+B1022+(ArtifactsInput!$M$24-ArtifactsInput!$M$24)*CHOOSE(ArtifactsInput!$N$24+1,10,12,14,16,18,20)+(IF(AND(Inputs!$B$39&lt;&gt;"pvp",Inputs!$B$44=0),1,IF(IF(Inputs!$B$39="pvp",15,Inputs!$B$44)-(B1033)&lt;=0,1,MAX(0,IF(Inputs!$B$39="pvp",15,Inputs!$B$44)-MAX(5,B1033))/(IF(Inputs!$B$39="pvp",15,Inputs!$B$44)-(B1033))))*IF(AND(ArtifactsInput!$M$42,((Inputs!$B$9+((C1014=TRUE)*(F1014-Calc!F26))+B1022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990*(MIN(100,(Inputs!$B$9+((C1014=TRUE)*(F1014-Calc!F26))+B1022+(ArtifactsInput!$M$24-ArtifactsInput!$M$24)*CHOOSE(ArtifactsInput!$N$24+1,10,12,14,16,18,20)+(IF(AND(Inputs!$B$39&lt;&gt;"pvp",Inputs!$B$44=0),1,IF(IF(Inputs!$B$39="pvp",15,Inputs!$B$44)-(B1033)&lt;=0,1,MAX(0,IF(Inputs!$B$39="pvp",15,Inputs!$B$44)-MAX(5,B1033))/(IF(Inputs!$B$39="pvp",15,Inputs!$B$44)-(B1033))))*IF(AND(ArtifactsInput!$M$42,((Inputs!$B$9+((C1014=TRUE)*(F1014-Calc!F26))+B1022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990*(1-MIN(100,(Inputs!$B$9+((C1014=TRUE)*(F1014-Calc!F26))+B1022+(ArtifactsInput!$M$24-ArtifactsInput!$M$24)*CHOOSE(ArtifactsInput!$N$24+1,10,12,14,16,18,20)+(IF(AND(Inputs!$B$39&lt;&gt;"pvp",Inputs!$B$44=0),1,IF(IF(Inputs!$B$39="pvp",15,Inputs!$B$44)-(B1033)&lt;=0,1,MAX(0,IF(Inputs!$B$39="pvp",15,Inputs!$B$44)-MAX(5,B1033))/(IF(Inputs!$B$39="pvp",15,Inputs!$B$44)-(B1033))))*IF(AND(ArtifactsInput!$M$42,((Inputs!$B$9+((C1014=TRUE)*(F1014-Calc!F26))+B1022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990*(MIN(100,(Inputs!$B$9+((C1014=TRUE)*(F1014-Calc!F26))+B1022+(ArtifactsInput!$M$24-ArtifactsInput!$M$24)*CHOOSE(ArtifactsInput!$N$24+1,10,12,14,16,18,20)+(IF(AND(Inputs!$B$39&lt;&gt;"pvp",Inputs!$B$44=0),1,IF(IF(Inputs!$B$39="pvp",15,Inputs!$B$44)-(B1033)&lt;=0,1,MAX(0,IF(Inputs!$B$39="pvp",15,Inputs!$B$44)-MAX(5,B1033))/(IF(Inputs!$B$39="pvp",15,Inputs!$B$44)-(B1033))))*IF(AND(ArtifactsInput!$M$42,((Inputs!$B$9+((C1014=TRUE)*(F1014-Calc!F26))+B1022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990">
        <f>MAX(0,(Inputs!$B$3-100)*3)+Inputs!$B$28+Inputs!$B$29</f>
        <v/>
      </c>
      <c r="V990">
        <f>IF(C990,(Skills!G2*N990*B1028)*IF(Inputs!$B$39="pvp",1,(1+(Inputs!$B$21+Skills!Q2+B1023+(IF(ArtifactsInput!$M$33,CHOOSE(ArtifactsInput!$N$33+1,30,36,42,48,54,60),0))+(IF(AND(ArtifactsInput!$M$35,Inputs!$B$4&lt;&gt;"Chapter Hunt"),CHOOSE(ArtifactsInput!$N$35+1,15,18,21,24,27,30)*(1-EXP(-(0.2*B1026)*5)),0)+IF(AND(ArtifactsInput!$M$22,Inputs!$B$4&lt;&gt;"Chapter Hunt"),CHOOSE(ArtifactsInput!$N$22+1,10,12,14,16,18,20)*((0*(((0.15*B1026*5))^0/1)+1*(((0.15*B1026*5))^1/1)+2*(((0.15*B1026*5))^2/2)+3*(((0.15*B1026*5))^3/6)+4*(((0.15*B1026*5))^4/24)+5*(((0.15*B1026*5))^5/120))/((((0.15*B1026*5))^0/1)+(((0.15*B1026*5))^1/1)+(((0.15*B1026*5))^2/2)+(((0.15*B1026*5))^3/6)+(((0.15*B1026*5))^4/24)+(((0.15*B1026*5))^5/120))),0)))/100)*(MIN((6+Inputs!$B$33),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991">
      <c r="A991">
        <f>Skills!A3</f>
        <v/>
      </c>
      <c r="B991">
        <f>Skills!B3</f>
        <v/>
      </c>
      <c r="C991">
        <f>Inputs!$B$3&gt;=35</f>
        <v/>
      </c>
      <c r="D991">
        <f>IF(Skills!C3=1,60+Inputs!$B$25+Inputs!$B$29,IF(Skills!C3=2,90+Inputs!$B$26+Inputs!$B$29,IF(Skills!C3=3,120+(Inputs!$B$27+1)+Inputs!$B$29,MAX(0,(Inputs!$B$3-100)*3)+Inputs!$B$28+Inputs!$B$29)))</f>
        <v/>
      </c>
      <c r="E991">
        <f>INDEX(FactorTable!$B$2:$Y$301, MATCH(ROUND(MIN(300,MAX(1,D991)),0), FactorTable!$A$2:$A$301,0), Skills!M3+1)</f>
        <v/>
      </c>
      <c r="F991">
        <f>IF(Skills!N3=TRUE,(Skills!L3/10)*(E991/1000),Skills!L3/10)+Skills!O3</f>
        <v/>
      </c>
      <c r="G991">
        <f>Skills!G3*IF(Skills!H3&gt;0,IF(Inputs!$B$39="pvp",MIN(Skills!I3,15),Skills!I3)/Skills!H3,1)</f>
        <v/>
      </c>
      <c r="H991">
        <f>1-(1-Skills!J3/100)^Skills!K3</f>
        <v/>
      </c>
      <c r="I991" t="inlineStr">
        <is>
          <t>1</t>
        </is>
      </c>
      <c r="J991" t="inlineStr"/>
      <c r="K991" t="inlineStr"/>
      <c r="L991" t="inlineStr"/>
      <c r="M991" t="inlineStr"/>
      <c r="N991" t="inlineStr"/>
      <c r="O991">
        <f>(1-Summary!$B$11)*T991+Summary!$B$11*V991</f>
        <v/>
      </c>
      <c r="P991">
        <f>IF(B1034=0,0,O991/B1034)</f>
        <v/>
      </c>
      <c r="Q991" t="n">
        <v>0</v>
      </c>
      <c r="R991" t="n">
        <v>0</v>
      </c>
      <c r="S991">
        <f>IFERROR(O991/N991,0)</f>
        <v/>
      </c>
      <c r="T991" t="n">
        <v>0</v>
      </c>
      <c r="U991">
        <f>INDEX(FactorTable!$B$2:$Y$301, MATCH(ROUND(MIN(300,MAX(1,U990)),0), FactorTable!$A$2:$A$301,0), 22)</f>
        <v/>
      </c>
      <c r="V991" t="n">
        <v>0</v>
      </c>
    </row>
    <row r="992">
      <c r="A992">
        <f>Skills!A4</f>
        <v/>
      </c>
      <c r="B992">
        <f>Skills!B4</f>
        <v/>
      </c>
      <c r="C992">
        <f>Inputs!$B$3&gt;=66</f>
        <v/>
      </c>
      <c r="D992">
        <f>IF(Skills!C4=1,60+Inputs!$B$25+Inputs!$B$29,IF(Skills!C4=2,90+Inputs!$B$26+Inputs!$B$29,IF(Skills!C4=3,120+(Inputs!$B$27+1)+Inputs!$B$29,MAX(0,(Inputs!$B$3-100)*3)+Inputs!$B$28+Inputs!$B$29)))</f>
        <v/>
      </c>
      <c r="E992">
        <f>INDEX(FactorTable!$B$2:$Y$301, MATCH(ROUND(MIN(300,MAX(1,D992)),0), FactorTable!$A$2:$A$301,0), Skills!M4+1)</f>
        <v/>
      </c>
      <c r="F992">
        <f>IF(Skills!N4=TRUE,(Skills!L4/10)*(E992/1000),Skills!L4/10)+Skills!O4</f>
        <v/>
      </c>
      <c r="G992">
        <f>Skills!G4*IF(Skills!H4&gt;0,IF(Inputs!$B$39="pvp",MIN(Skills!I4,15),Skills!I4)/Skills!H4,1)</f>
        <v/>
      </c>
      <c r="H992">
        <f>1-(1-Skills!J4/100)^Skills!K4</f>
        <v/>
      </c>
      <c r="I992" t="inlineStr">
        <is>
          <t>1</t>
        </is>
      </c>
      <c r="J992">
        <f>((Inputs!$B$6*(1+Inputs!$B$7/100))+(((Inputs!$B$12*(1+Inputs!$B$13/100))-(Inputs!$B$12*(1+Inputs!$B$13/100)))+0.25*(Inputs!$B$14-Inputs!$B$14))*(1+Inputs!$B$7/100))*(F992/100)</f>
        <v/>
      </c>
      <c r="K992">
        <f>J992*(1+((Inputs!$B$12*(1+Inputs!$B$13/100))*0.01+Inputs!$B$14*0.0025)/100)*(1+Inputs!$B$15/100)*(1+Inputs!$B$16/100)*(5000/(6000+Inputs!$B$43*(1-(100*(1-(1-Inputs!$B$19/100)*(1-CHOOSE(ArtifactsInput!$N$40+1,5,6,7,8,9,10)/100)^(ArtifactsInput!$M$40-ArtifactsInput!$M$40)))/100)))*(1+(Inputs!$B$24+((C1019=TRUE)*(F1019-Calc!F31))+((C1006=TRUE)*(F1006-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4="CRUEL_STAB",Inputs!$B$17+((C1016=TRUE)*(F1016-Calc!F28))+((IF(AND(Inputs!$B$39&lt;&gt;"pvp",Inputs!$B$44=0),1,IF(IF(Inputs!$B$39="pvp",15,Inputs!$B$44)-(B1033)&lt;=0,1,MAX(0,IF(Inputs!$B$39="pvp",15,Inputs!$B$44)-MAX(5,B1033))/(IF(Inputs!$B$39="pvp",15,Inputs!$B$44)-(B1033))))*(IF(AND(ArtifactsInput!$M$42,((Inputs!$B$9+((C1014=TRUE)*(F1014-Calc!F26))+B1022+(ArtifactsInput!$M$24-ArtifactsInput!$M$24)*CHOOSE(ArtifactsInput!$N$24+1,10,12,14,16,18,20)+IF(ArtifactsInput!$M$10,CHOOSE(ArtifactsInput!$N$10+1,15,18,21,24,27,30)*(IF(Inputs!$B$39="pvp",MIN(15,15)/15,IF(AND(Inputs!$B$39&lt;&gt;"pvp",Inputs!$B$44&gt;0),MIN(15,Inputs!$B$44)/(Inputs!$B$44),0))),0)))&gt;=100),MIN(100,((Inputs!$B$9+((C1014=TRUE)*(F1014-Calc!F26))+B1022+(ArtifactsInput!$M$24-ArtifactsInput!$M$24)*CHOOSE(ArtifactsInput!$N$24+1,10,12,14,16,18,20)+IF(ArtifactsInput!$M$10,CHOOSE(ArtifactsInput!$N$10+1,15,18,21,24,27,30)*(IF(Inputs!$B$39="pvp",MIN(15,15)/15,IF(AND(Inputs!$B$39&lt;&gt;"pvp",Inputs!$B$44&gt;0),MIN(15,Inputs!$B$44)/(Inputs!$B$44),0))),0)))-100),0))*CHOOSE(ArtifactsInput!$N$42+1,0.6,0.72,0.84,0.96,1.08,1.2))),Inputs!$B$18+((C1017=TRUE)*(F1017-Calc!F29))+(IF(AND(Inputs!$B$39&lt;&gt;"pvp",Inputs!$B$44=0),1,IF(IF(Inputs!$B$39="pvp",15,Inputs!$B$44)-(B1033)&lt;=0,1,MAX(0,IF(Inputs!$B$39="pvp",15,Inputs!$B$44)-MAX(5,B1033))/(IF(Inputs!$B$39="pvp",15,Inputs!$B$44)-(B1033))))*IF(AND(ArtifactsInput!$M$42,((Inputs!$B$9+((C1014=TRUE)*(F1014-Calc!F26))+B1022+(ArtifactsInput!$M$24-ArtifactsInput!$M$24)*CHOOSE(ArtifactsInput!$N$24+1,10,12,14,16,18,20)+IF(ArtifactsInput!$M$10,CHOOSE(ArtifactsInput!$N$10+1,15,18,21,24,27,30)*(IF(Inputs!$B$39="pvp",MIN(15,15)/15,IF(AND(Inputs!$B$39&lt;&gt;"pvp",Inputs!$B$44&gt;0),MIN(15,Inputs!$B$44)/(Inputs!$B$44),0))),0)))&gt;=100),CHOOSE(ArtifactsInput!$N$42+1,40,48,56,64,72,80),0))))/100)*(((1+(((C1010=TRUE)*F1010*IF(AND(Inputs!$B$39&lt;&gt;"pvp",Inputs!$B$44&gt;0),(((R1010-1)*MIN((Skills!Y22*(1+Inputs!$B$34/100)),(1/Q1010))+MIN((Skills!Y22*(1+Inputs!$B$34/100)),MAX(0,Inputs!$B$44-((R1010-1)*(1/Q1010)))))/Inputs!$B$44),IF(Inputs!$B$39="pvp",MIN((Skills!Y22*(1+Inputs!$B$34/100)),15)/15,MIN(1,(Skills!Y22*(1+Inputs!$B$34/100))/(1/Q1010)))))+((C991=TRUE)*F991*3)+((C993=TRUE)*F993*(1-EXP(-0.75*B1026*5)))+((C1012=TRUE)*(F1012-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999=TRUE)*F999*IF(AND(Inputs!$B$39&lt;&gt;"pvp",Inputs!$B$44&gt;0),(((R999-1)*MIN((Skills!Y11*(1+Inputs!$B$34/100)),(1/Q999))+MIN((Skills!Y11*(1+Inputs!$B$34/100)),MAX(0,Inputs!$B$44-((R999-1)*(1/Q999)))))/Inputs!$B$44),IF(Inputs!$B$39="pvp",MIN((Skills!Y11*(1+Inputs!$B$34/100)),15)/15,MIN(1,(Skills!Y11*(1+Inputs!$B$34/100))/(1/Q999)))))/100)*(1+((C1004=TRUE)*F1004*IF(AND(Inputs!$B$39&lt;&gt;"pvp",Inputs!$B$44&gt;0),(((R1004-1)*MIN((Skills!Y16*(1+Inputs!$B$34/100)),(1/Q1004))+MIN((Skills!Y16*(1+Inputs!$B$34/100)),MAX(0,Inputs!$B$44-((R1004-1)*(1/Q1004)))))/Inputs!$B$44),IF(Inputs!$B$39="pvp",MIN((Skills!Y16*(1+Inputs!$B$34/100)),15)/15,MIN(1,(Skills!Y16*(1+Inputs!$B$34/100))/(1/Q1004)))))/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1024*I992)</f>
        <v/>
      </c>
      <c r="L992">
        <f>K992*(MIN(Inputs!$B$22+((C1013=TRUE)*(F1013-Calc!F25)),(Inputs!$B$23+((C1018=TRUE)*(F1018-Calc!F30))+IF(ArtifactsInput!$M$15,CHOOSE(ArtifactsInput!$N$15+1,25,30,35,40,45,50)/100*(Inputs!$B$11-Inputs!$B$11),0)))/100+(Inputs!$B$23+((C1018=TRUE)*(F1018-Calc!F30))+IF(ArtifactsInput!$M$15,CHOOSE(ArtifactsInput!$N$15+1,25,30,35,40,45,50)/100*(Inputs!$B$11-Inputs!$B$11),0))/100)/2</f>
        <v/>
      </c>
      <c r="M992">
        <f>L992*(1+(Inputs!$B$10+((C1015=TRUE)*(F1015-Calc!F27))+B1029+(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992">
        <f>L992*(1-MIN((Inputs!$B$9+((C1014=TRUE)*(F1014-Calc!F26))+B1022+(ArtifactsInput!$M$24-ArtifactsInput!$M$24)*CHOOSE(ArtifactsInput!$N$24+1,10,12,14,16,18,20)+(IF(AND(Inputs!$B$39&lt;&gt;"pvp",Inputs!$B$44=0),1,IF(IF(Inputs!$B$39="pvp",15,Inputs!$B$44)-(B1033)&lt;=0,1,MAX(0,IF(Inputs!$B$39="pvp",15,Inputs!$B$44)-MAX(5,B1033))/(IF(Inputs!$B$39="pvp",15,Inputs!$B$44)-(B1033))))*IF(AND(ArtifactsInput!$M$42,((Inputs!$B$9+((C1014=TRUE)*(F1014-Calc!F26))+B1022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992*(MIN((Inputs!$B$9+((C1014=TRUE)*(F1014-Calc!F26))+B1022+(ArtifactsInput!$M$24-ArtifactsInput!$M$24)*CHOOSE(ArtifactsInput!$N$24+1,10,12,14,16,18,20)+(IF(AND(Inputs!$B$39&lt;&gt;"pvp",Inputs!$B$44=0),1,IF(IF(Inputs!$B$39="pvp",15,Inputs!$B$44)-(B1033)&lt;=0,1,MAX(0,IF(Inputs!$B$39="pvp",15,Inputs!$B$44)-MAX(5,B1033))/(IF(Inputs!$B$39="pvp",15,Inputs!$B$44)-(B1033))))*IF(AND(ArtifactsInput!$M$42,((Inputs!$B$9+((C1014=TRUE)*(F1014-Calc!F26))+B1022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992">
        <f>(1-Summary!$B$11)*T992+Summary!$B$11*V992</f>
        <v/>
      </c>
      <c r="P992">
        <f>IF(B1034=0,0,O992/B1034)</f>
        <v/>
      </c>
      <c r="Q992">
        <f>IFERROR(1/IF(Inputs!$B$39="pvp",15,MAX(0.1,Skills!D4-IF(TRUE=TRUE,Inputs!$B$32,0))),0)</f>
        <v/>
      </c>
      <c r="R992">
        <f>IF(AND(Inputs!$B$39&lt;&gt;"pvp",Inputs!$B$44&gt;0),IF(MAX(0,Inputs!$B$44-B1033)&lt;=0,0,(INT(MAX(0,Inputs!$B$44-B1033)/IF(Inputs!$B$39="pvp",15,MAX(0.1,Skills!D4-IF(TRUE=TRUE,Inputs!$B$32,0))))+1)),0)</f>
        <v/>
      </c>
      <c r="S992">
        <f>IFERROR(O992/N992,0)</f>
        <v/>
      </c>
      <c r="T992">
        <f>IF(C992,(H992*N992*IF(AND(Inputs!$B$39&lt;&gt;"pvp",Inputs!$B$44&gt;0),((Skills!G4*((R992-1)*IF(Skills!H4&gt;0,Skills!I4/Skills!H4,1)+IF(Skills!H4&gt;0,MIN(Skills!I4,MAX(0,MAX(0,Inputs!$B$44-B1033)-((R992-1)*IF(Inputs!$B$39="pvp",15,MAX(0.1,Skills!D4-IF(TRUE=TRUE,Inputs!$B$32,0))))))/Skills!H4,1)))/Inputs!$B$44),G992*Q992))*IF(Inputs!$B$39="pvp",1,1+(Inputs!$B$20+0+Skills!P4+B1023+(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Hunt"),CHOOSE(ArtifactsInput!$N$35+1,15,18,21,24,27,30)*(1-EXP(-(0.2*B1026)*5)),0)+IF(AND(ArtifactsInput!$M$22,Inputs!$B$4&lt;&gt;"Chapter Hunt"),CHOOSE(ArtifactsInput!$N$22+1,10,12,14,16,18,20)*((0*(((0.15*B1026*5))^0/1)+1*(((0.15*B1026*5))^1/1)+2*(((0.15*B1026*5))^2/2)+3*(((0.15*B1026*5))^3/6)+4*(((0.15*B1026*5))^4/24)+5*(((0.15*B1026*5))^5/120))/((((0.15*B1026*5))^0/1)+(((0.15*B1026*5))^1/1)+(((0.15*B1026*5))^2/2)+(((0.15*B1026*5))^3/6)+(((0.15*B1026*5))^4/24)+(((0.15*B1026*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992*(1-MIN(100,(Inputs!$B$9+((C1014=TRUE)*(F1014-Calc!F26))+B1022+(ArtifactsInput!$M$24-ArtifactsInput!$M$24)*CHOOSE(ArtifactsInput!$N$24+1,10,12,14,16,18,20)+(IF(AND(Inputs!$B$39&lt;&gt;"pvp",Inputs!$B$44=0),1,IF(IF(Inputs!$B$39="pvp",15,Inputs!$B$44)-(B1033)&lt;=0,1,MAX(0,IF(Inputs!$B$39="pvp",15,Inputs!$B$44)-MAX(5,B1033))/(IF(Inputs!$B$39="pvp",15,Inputs!$B$44)-(B1033))))*IF(AND(ArtifactsInput!$M$42,((Inputs!$B$9+((C1014=TRUE)*(F1014-Calc!F26))+B1022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992*(MIN(100,(Inputs!$B$9+((C1014=TRUE)*(F1014-Calc!F26))+B1022+(ArtifactsInput!$M$24-ArtifactsInput!$M$24)*CHOOSE(ArtifactsInput!$N$24+1,10,12,14,16,18,20)+(IF(AND(Inputs!$B$39&lt;&gt;"pvp",Inputs!$B$44=0),1,IF(IF(Inputs!$B$39="pvp",15,Inputs!$B$44)-(B1033)&lt;=0,1,MAX(0,IF(Inputs!$B$39="pvp",15,Inputs!$B$44)-MAX(5,B1033))/(IF(Inputs!$B$39="pvp",15,Inputs!$B$44)-(B1033))))*IF(AND(ArtifactsInput!$M$42,((Inputs!$B$9+((C1014=TRUE)*(F1014-Calc!F26))+B1022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992*(1-MIN(100,(Inputs!$B$9+((C1014=TRUE)*(F1014-Calc!F26))+B1022+(ArtifactsInput!$M$24-ArtifactsInput!$M$24)*CHOOSE(ArtifactsInput!$N$24+1,10,12,14,16,18,20)+(IF(AND(Inputs!$B$39&lt;&gt;"pvp",Inputs!$B$44=0),1,IF(IF(Inputs!$B$39="pvp",15,Inputs!$B$44)-(B1033)&lt;=0,1,MAX(0,IF(Inputs!$B$39="pvp",15,Inputs!$B$44)-MAX(5,B1033))/(IF(Inputs!$B$39="pvp",15,Inputs!$B$44)-(B1033))))*IF(AND(ArtifactsInput!$M$42,((Inputs!$B$9+((C1014=TRUE)*(F1014-Calc!F26))+B1022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992*(MIN(100,(Inputs!$B$9+((C1014=TRUE)*(F1014-Calc!F26))+B1022+(ArtifactsInput!$M$24-ArtifactsInput!$M$24)*CHOOSE(ArtifactsInput!$N$24+1,10,12,14,16,18,20)+(IF(AND(Inputs!$B$39&lt;&gt;"pvp",Inputs!$B$44=0),1,IF(IF(Inputs!$B$39="pvp",15,Inputs!$B$44)-(B1033)&lt;=0,1,MAX(0,IF(Inputs!$B$39="pvp",15,Inputs!$B$44)-MAX(5,B1033))/(IF(Inputs!$B$39="pvp",15,Inputs!$B$44)-(B1033))))*IF(AND(ArtifactsInput!$M$42,((Inputs!$B$9+((C1014=TRUE)*(F1014-Calc!F26))+B1022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992">
        <f>290*U991/1000</f>
        <v/>
      </c>
      <c r="V992">
        <f>IF(C992,(H992*N992*IF(AND(Inputs!$B$39&lt;&gt;"pvp",Inputs!$B$44&gt;0),((Skills!G4*((R992-1)*IF(Skills!H4&gt;0,Skills!I4/Skills!H4,1)+IF(Skills!H4&gt;0,MIN(Skills!I4,MAX(0,MAX(0,Inputs!$B$44-B1033)-((R992-1)*IF(Inputs!$B$39="pvp",15,MAX(0.1,Skills!D4-IF(TRUE=TRUE,Inputs!$B$32,0))))))/Skills!H4,1)))/Inputs!$B$44),G992*Q992))*IF(Inputs!$B$39="pvp",1,(1+(Inputs!$B$21+Skills!Q4+B1023+(IF(ArtifactsInput!$M$33,CHOOSE(ArtifactsInput!$N$33+1,30,36,42,48,54,60),0))+(IF(AND(ArtifactsInput!$M$35,Inputs!$B$4&lt;&gt;"Chapter Hunt"),CHOOSE(ArtifactsInput!$N$35+1,15,18,21,24,27,30)*(1-EXP(-(0.2*B1026)*5)),0)+IF(AND(ArtifactsInput!$M$22,Inputs!$B$4&lt;&gt;"Chapter Hunt"),CHOOSE(ArtifactsInput!$N$22+1,10,12,14,16,18,20)*((0*(((0.15*B1026*5))^0/1)+1*(((0.15*B1026*5))^1/1)+2*(((0.15*B1026*5))^2/2)+3*(((0.15*B1026*5))^3/6)+4*(((0.15*B1026*5))^4/24)+5*(((0.15*B1026*5))^5/120))/((((0.15*B1026*5))^0/1)+(((0.15*B1026*5))^1/1)+(((0.15*B1026*5))^2/2)+(((0.15*B1026*5))^3/6)+(((0.15*B1026*5))^4/24)+(((0.15*B1026*5))^5/120))),0)))/100)*(MIN(MIN(10,IF(Inputs!$B$3&gt;=75,0.75,0.5)*B1026*(1/Q992)),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993">
      <c r="A993">
        <f>Skills!A5</f>
        <v/>
      </c>
      <c r="B993">
        <f>Skills!B5</f>
        <v/>
      </c>
      <c r="C993">
        <f>Inputs!$B$3&gt;=75</f>
        <v/>
      </c>
      <c r="D993">
        <f>IF(Skills!C5=1,60+Inputs!$B$25+Inputs!$B$29,IF(Skills!C5=2,90+Inputs!$B$26+Inputs!$B$29,IF(Skills!C5=3,120+(Inputs!$B$27+1)+Inputs!$B$29,MAX(0,(Inputs!$B$3-100)*3)+Inputs!$B$28+Inputs!$B$29)))</f>
        <v/>
      </c>
      <c r="E993">
        <f>INDEX(FactorTable!$B$2:$Y$301, MATCH(ROUND(MIN(300,MAX(1,D993)),0), FactorTable!$A$2:$A$301,0), Skills!M5+1)</f>
        <v/>
      </c>
      <c r="F993">
        <f>IF(Skills!N5=TRUE,(Skills!L5/10)*(E993/1000),Skills!L5/10)+Skills!O5</f>
        <v/>
      </c>
      <c r="G993">
        <f>Skills!G5*IF(Skills!H5&gt;0,IF(Inputs!$B$39="pvp",MIN(Skills!I5,15),Skills!I5)/Skills!H5,1)</f>
        <v/>
      </c>
      <c r="H993">
        <f>1-(1-Skills!J5/100)^Skills!K5</f>
        <v/>
      </c>
      <c r="I993" t="inlineStr">
        <is>
          <t>1</t>
        </is>
      </c>
      <c r="J993" t="inlineStr"/>
      <c r="K993" t="inlineStr"/>
      <c r="L993" t="inlineStr"/>
      <c r="M993" t="inlineStr"/>
      <c r="N993" t="inlineStr"/>
      <c r="O993">
        <f>(1-Summary!$B$11)*T993+Summary!$B$11*V993</f>
        <v/>
      </c>
      <c r="P993">
        <f>IF(B1034=0,0,O993/B1034)</f>
        <v/>
      </c>
      <c r="Q993" t="n">
        <v>0</v>
      </c>
      <c r="R993" t="n">
        <v>0</v>
      </c>
      <c r="S993">
        <f>IFERROR(O993/N993,0)</f>
        <v/>
      </c>
      <c r="T993" t="n">
        <v>0</v>
      </c>
      <c r="V993" t="n">
        <v>0</v>
      </c>
    </row>
    <row r="994">
      <c r="A994">
        <f>Skills!A6</f>
        <v/>
      </c>
      <c r="B994">
        <f>Skills!B6</f>
        <v/>
      </c>
      <c r="C994">
        <f>Inputs!$B$3&gt;=63</f>
        <v/>
      </c>
      <c r="D994">
        <f>IF(Skills!C6=1,60+Inputs!$B$25+Inputs!$B$29,IF(Skills!C6=2,90+Inputs!$B$26+Inputs!$B$29,IF(Skills!C6=3,120+(Inputs!$B$27+1)+Inputs!$B$29,MAX(0,(Inputs!$B$3-100)*3)+Inputs!$B$28+Inputs!$B$29)))</f>
        <v/>
      </c>
      <c r="E994">
        <f>INDEX(FactorTable!$B$2:$Y$301, MATCH(ROUND(MIN(300,MAX(1,D994)),0), FactorTable!$A$2:$A$301,0), Skills!M6+1)</f>
        <v/>
      </c>
      <c r="F994">
        <f>IF(Skills!N6=TRUE,(Skills!L6/10)*(E994/1000),Skills!L6/10)+Skills!O6</f>
        <v/>
      </c>
      <c r="G994">
        <f>Skills!G6*IF(Skills!H6&gt;0,IF(Inputs!$B$39="pvp",MIN(Skills!I6,15),Skills!I6)/Skills!H6,1)</f>
        <v/>
      </c>
      <c r="H994">
        <f>1-(1-Skills!J6/100)^Skills!K6</f>
        <v/>
      </c>
      <c r="I994" t="inlineStr">
        <is>
          <t>1</t>
        </is>
      </c>
      <c r="J994">
        <f>((Inputs!$B$6*(1+Inputs!$B$7/100))+(((Inputs!$B$12*(1+Inputs!$B$13/100))-(Inputs!$B$12*(1+Inputs!$B$13/100)))+0.25*(Inputs!$B$14-Inputs!$B$14))*(1+Inputs!$B$7/100))*(F994/100)</f>
        <v/>
      </c>
      <c r="K994">
        <f>J994*(1+((Inputs!$B$12*(1+Inputs!$B$13/100))*0.01+Inputs!$B$14*0.0025)/100)*(1+Inputs!$B$15/100)*(1+Inputs!$B$16/100)*(5000/(6000+Inputs!$B$43*(1-(100*(1-(1-Inputs!$B$19/100)*(1-CHOOSE(ArtifactsInput!$N$40+1,5,6,7,8,9,10)/100)^(ArtifactsInput!$M$40-ArtifactsInput!$M$40)))/100)))*(1+(Inputs!$B$24+((C1019=TRUE)*(F1019-Calc!F31))+((C1006=TRUE)*(F1006-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+2.6666666666666665*IF(C1007=TRUE,F1007,0)/100)*(1+(IF(Skills!A6="CRUEL_STAB",Inputs!$B$17+((C1016=TRUE)*(F1016-Calc!F28))+((IF(AND(Inputs!$B$39&lt;&gt;"pvp",Inputs!$B$44=0),1,IF(IF(Inputs!$B$39="pvp",15,Inputs!$B$44)-(B1033)&lt;=0,1,MAX(0,IF(Inputs!$B$39="pvp",15,Inputs!$B$44)-MAX(5,B1033))/(IF(Inputs!$B$39="pvp",15,Inputs!$B$44)-(B1033))))*(IF(AND(ArtifactsInput!$M$42,((Inputs!$B$9+((C1014=TRUE)*(F1014-Calc!F26))+B1022+(ArtifactsInput!$M$24-ArtifactsInput!$M$24)*CHOOSE(ArtifactsInput!$N$24+1,10,12,14,16,18,20)+IF(ArtifactsInput!$M$10,CHOOSE(ArtifactsInput!$N$10+1,15,18,21,24,27,30)*(IF(Inputs!$B$39="pvp",MIN(15,15)/15,IF(AND(Inputs!$B$39&lt;&gt;"pvp",Inputs!$B$44&gt;0),MIN(15,Inputs!$B$44)/(Inputs!$B$44),0))),0)))&gt;=100),MIN(100,((Inputs!$B$9+((C1014=TRUE)*(F1014-Calc!F26))+B1022+(ArtifactsInput!$M$24-ArtifactsInput!$M$24)*CHOOSE(ArtifactsInput!$N$24+1,10,12,14,16,18,20)+IF(ArtifactsInput!$M$10,CHOOSE(ArtifactsInput!$N$10+1,15,18,21,24,27,30)*(IF(Inputs!$B$39="pvp",MIN(15,15)/15,IF(AND(Inputs!$B$39&lt;&gt;"pvp",Inputs!$B$44&gt;0),MIN(15,Inputs!$B$44)/(Inputs!$B$44),0))),0)))-100),0))*CHOOSE(ArtifactsInput!$N$42+1,0.6,0.72,0.84,0.96,1.08,1.2))),Inputs!$B$18+((C1017=TRUE)*(F1017-Calc!F29))+(IF(AND(Inputs!$B$39&lt;&gt;"pvp",Inputs!$B$44=0),1,IF(IF(Inputs!$B$39="pvp",15,Inputs!$B$44)-(B1033)&lt;=0,1,MAX(0,IF(Inputs!$B$39="pvp",15,Inputs!$B$44)-MAX(5,B1033))/(IF(Inputs!$B$39="pvp",15,Inputs!$B$44)-(B1033))))*IF(AND(ArtifactsInput!$M$42,((Inputs!$B$9+((C1014=TRUE)*(F1014-Calc!F26))+B1022+(ArtifactsInput!$M$24-ArtifactsInput!$M$24)*CHOOSE(ArtifactsInput!$N$24+1,10,12,14,16,18,20)+IF(ArtifactsInput!$M$10,CHOOSE(ArtifactsInput!$N$10+1,15,18,21,24,27,30)*(IF(Inputs!$B$39="pvp",MIN(15,15)/15,IF(AND(Inputs!$B$39&lt;&gt;"pvp",Inputs!$B$44&gt;0),MIN(15,Inputs!$B$44)/(Inputs!$B$44),0))),0)))&gt;=100),CHOOSE(ArtifactsInput!$N$42+1,40,48,56,64,72,80),0))))/100)*(((1+(((C1010=TRUE)*F1010*IF(AND(Inputs!$B$39&lt;&gt;"pvp",Inputs!$B$44&gt;0),(((R1010-1)*MIN((Skills!Y22*(1+Inputs!$B$34/100)),(1/Q1010))+MIN((Skills!Y22*(1+Inputs!$B$34/100)),MAX(0,Inputs!$B$44-((R1010-1)*(1/Q1010)))))/Inputs!$B$44),IF(Inputs!$B$39="pvp",MIN((Skills!Y22*(1+Inputs!$B$34/100)),15)/15,MIN(1,(Skills!Y22*(1+Inputs!$B$34/100))/(1/Q1010)))))+((C991=TRUE)*F991*3)+((C993=TRUE)*F993*(1-EXP(-0.75*B1026*5)))+((C1012=TRUE)*(F1012-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999=TRUE)*F999*IF(AND(Inputs!$B$39&lt;&gt;"pvp",Inputs!$B$44&gt;0),(((R999-1)*MIN((Skills!Y11*(1+Inputs!$B$34/100)),(1/Q999))+MIN((Skills!Y11*(1+Inputs!$B$34/100)),MAX(0,Inputs!$B$44-((R999-1)*(1/Q999)))))/Inputs!$B$44),IF(Inputs!$B$39="pvp",MIN((Skills!Y11*(1+Inputs!$B$34/100)),15)/15,MIN(1,(Skills!Y11*(1+Inputs!$B$34/100))/(1/Q999)))))/100)*(1+((C1004=TRUE)*F1004*IF(AND(Inputs!$B$39&lt;&gt;"pvp",Inputs!$B$44&gt;0),(((R1004-1)*MIN((Skills!Y16*(1+Inputs!$B$34/100)),(1/Q1004))+MIN((Skills!Y16*(1+Inputs!$B$34/100)),MAX(0,Inputs!$B$44-((R1004-1)*(1/Q1004)))))/Inputs!$B$44),IF(Inputs!$B$39="pvp",MIN((Skills!Y16*(1+Inputs!$B$34/100)),15)/15,MIN(1,(Skills!Y16*(1+Inputs!$B$34/100))/(1/Q1004)))))/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1024*I994)</f>
        <v/>
      </c>
      <c r="L994">
        <f>K994*(MIN(Inputs!$B$22+((C1013=TRUE)*(F1013-Calc!F25)),(Inputs!$B$23+((C1018=TRUE)*(F1018-Calc!F30))+IF(ArtifactsInput!$M$15,CHOOSE(ArtifactsInput!$N$15+1,25,30,35,40,45,50)/100*(Inputs!$B$11-Inputs!$B$11),0)))/100+(Inputs!$B$23+((C1018=TRUE)*(F1018-Calc!F30))+IF(ArtifactsInput!$M$15,CHOOSE(ArtifactsInput!$N$15+1,25,30,35,40,45,50)/100*(Inputs!$B$11-Inputs!$B$11),0))/100)/2</f>
        <v/>
      </c>
      <c r="M994">
        <f>L994*(1+(Inputs!$B$10+((C1015=TRUE)*(F1015-Calc!F27))+B1029+(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994">
        <f>L994*(1-MIN((Inputs!$B$9+((C1014=TRUE)*(F1014-Calc!F26))+B1022+(ArtifactsInput!$M$24-ArtifactsInput!$M$24)*CHOOSE(ArtifactsInput!$N$24+1,10,12,14,16,18,20)+(IF(AND(Inputs!$B$39&lt;&gt;"pvp",Inputs!$B$44=0),1,IF(IF(Inputs!$B$39="pvp",15,Inputs!$B$44)-(B1033)&lt;=0,1,MAX(0,IF(Inputs!$B$39="pvp",15,Inputs!$B$44)-MAX(5,B1033))/(IF(Inputs!$B$39="pvp",15,Inputs!$B$44)-(B1033))))*IF(AND(ArtifactsInput!$M$42,((Inputs!$B$9+((C1014=TRUE)*(F1014-Calc!F26))+B1022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994*(MIN((Inputs!$B$9+((C1014=TRUE)*(F1014-Calc!F26))+B1022+(ArtifactsInput!$M$24-ArtifactsInput!$M$24)*CHOOSE(ArtifactsInput!$N$24+1,10,12,14,16,18,20)+(IF(AND(Inputs!$B$39&lt;&gt;"pvp",Inputs!$B$44=0),1,IF(IF(Inputs!$B$39="pvp",15,Inputs!$B$44)-(B1033)&lt;=0,1,MAX(0,IF(Inputs!$B$39="pvp",15,Inputs!$B$44)-MAX(5,B1033))/(IF(Inputs!$B$39="pvp",15,Inputs!$B$44)-(B1033))))*IF(AND(ArtifactsInput!$M$42,((Inputs!$B$9+((C1014=TRUE)*(F1014-Calc!F26))+B1022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994">
        <f>(1-Summary!$B$11)*T994+Summary!$B$11*V994</f>
        <v/>
      </c>
      <c r="P994">
        <f>IF(B1034=0,0,O994/B1034)</f>
        <v/>
      </c>
      <c r="Q994">
        <f>IFERROR(1/IF(Inputs!$B$39="pvp",15,MAX(0.1,Skills!D6-IF(TRUE=TRUE,Inputs!$B$32,0))),0)</f>
        <v/>
      </c>
      <c r="R994">
        <f>IF(AND(Inputs!$B$39&lt;&gt;"pvp",Inputs!$B$44&gt;0),IF(MAX(0,Inputs!$B$44-B1033)&lt;=0,0,(INT(MAX(0,Inputs!$B$44-B1033)/IF(Inputs!$B$39="pvp",15,MAX(0.1,Skills!D6-IF(TRUE=TRUE,Inputs!$B$32,0))))+1)),0)</f>
        <v/>
      </c>
      <c r="S994">
        <f>IFERROR(O994/N994,0)</f>
        <v/>
      </c>
      <c r="T994">
        <f>IF(C994,(H994*N994*IF(AND(Inputs!$B$39&lt;&gt;"pvp",Inputs!$B$44&gt;0),((Skills!G6*((R994-1)*IF(Skills!H6&gt;0,Skills!I6/Skills!H6,1)+IF(Skills!H6&gt;0,MIN(Skills!I6,MAX(0,MAX(0,Inputs!$B$44-B1033)-((R994-1)*IF(Inputs!$B$39="pvp",15,MAX(0.1,Skills!D6-IF(TRUE=TRUE,Inputs!$B$32,0))))))/Skills!H6,1)))/Inputs!$B$44),G994*Q994))*IF(Inputs!$B$39="pvp",1,1+(Inputs!$B$20+0+Skills!P6+B1023+(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Hunt"),CHOOSE(ArtifactsInput!$N$35+1,15,18,21,24,27,30)*(1-EXP(-(0.2*B1026)*5)),0)+IF(AND(ArtifactsInput!$M$22,Inputs!$B$4&lt;&gt;"Chapter Hunt"),CHOOSE(ArtifactsInput!$N$22+1,10,12,14,16,18,20)*((0*(((0.15*B1026*5))^0/1)+1*(((0.15*B1026*5))^1/1)+2*(((0.15*B1026*5))^2/2)+3*(((0.15*B1026*5))^3/6)+4*(((0.15*B1026*5))^4/24)+5*(((0.15*B1026*5))^5/120))/((((0.15*B1026*5))^0/1)+(((0.15*B1026*5))^1/1)+(((0.15*B1026*5))^2/2)+(((0.15*B1026*5))^3/6)+(((0.15*B1026*5))^4/24)+(((0.15*B1026*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994*(1-MIN(100,(Inputs!$B$9+((C1014=TRUE)*(F1014-Calc!F26))+B1022+(ArtifactsInput!$M$24-ArtifactsInput!$M$24)*CHOOSE(ArtifactsInput!$N$24+1,10,12,14,16,18,20)+(IF(AND(Inputs!$B$39&lt;&gt;"pvp",Inputs!$B$44=0),1,IF(IF(Inputs!$B$39="pvp",15,Inputs!$B$44)-(B1033)&lt;=0,1,MAX(0,IF(Inputs!$B$39="pvp",15,Inputs!$B$44)-MAX(5,B1033))/(IF(Inputs!$B$39="pvp",15,Inputs!$B$44)-(B1033))))*IF(AND(ArtifactsInput!$M$42,((Inputs!$B$9+((C1014=TRUE)*(F1014-Calc!F26))+B1022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994*(MIN(100,(Inputs!$B$9+((C1014=TRUE)*(F1014-Calc!F26))+B1022+(ArtifactsInput!$M$24-ArtifactsInput!$M$24)*CHOOSE(ArtifactsInput!$N$24+1,10,12,14,16,18,20)+(IF(AND(Inputs!$B$39&lt;&gt;"pvp",Inputs!$B$44=0),1,IF(IF(Inputs!$B$39="pvp",15,Inputs!$B$44)-(B1033)&lt;=0,1,MAX(0,IF(Inputs!$B$39="pvp",15,Inputs!$B$44)-MAX(5,B1033))/(IF(Inputs!$B$39="pvp",15,Inputs!$B$44)-(B1033))))*IF(AND(ArtifactsInput!$M$42,((Inputs!$B$9+((C1014=TRUE)*(F1014-Calc!F26))+B1022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994*(1-MIN(100,(Inputs!$B$9+((C1014=TRUE)*(F1014-Calc!F26))+B1022+(ArtifactsInput!$M$24-ArtifactsInput!$M$24)*CHOOSE(ArtifactsInput!$N$24+1,10,12,14,16,18,20)+(IF(AND(Inputs!$B$39&lt;&gt;"pvp",Inputs!$B$44=0),1,IF(IF(Inputs!$B$39="pvp",15,Inputs!$B$44)-(B1033)&lt;=0,1,MAX(0,IF(Inputs!$B$39="pvp",15,Inputs!$B$44)-MAX(5,B1033))/(IF(Inputs!$B$39="pvp",15,Inputs!$B$44)-(B1033))))*IF(AND(ArtifactsInput!$M$42,((Inputs!$B$9+((C1014=TRUE)*(F1014-Calc!F26))+B1022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994*(MIN(100,(Inputs!$B$9+((C1014=TRUE)*(F1014-Calc!F26))+B1022+(ArtifactsInput!$M$24-ArtifactsInput!$M$24)*CHOOSE(ArtifactsInput!$N$24+1,10,12,14,16,18,20)+(IF(AND(Inputs!$B$39&lt;&gt;"pvp",Inputs!$B$44=0),1,IF(IF(Inputs!$B$39="pvp",15,Inputs!$B$44)-(B1033)&lt;=0,1,MAX(0,IF(Inputs!$B$39="pvp",15,Inputs!$B$44)-MAX(5,B1033))/(IF(Inputs!$B$39="pvp",15,Inputs!$B$44)-(B1033))))*IF(AND(ArtifactsInput!$M$42,((Inputs!$B$9+((C1014=TRUE)*(F1014-Calc!F26))+B1022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994">
        <f>IF(C994,(H994*N994*IF(AND(Inputs!$B$39&lt;&gt;"pvp",Inputs!$B$44&gt;0),((Skills!G6*((R994-1)*IF(Skills!H6&gt;0,Skills!I6/Skills!H6,1)+IF(Skills!H6&gt;0,MIN(Skills!I6,MAX(0,MAX(0,Inputs!$B$44-B1033)-((R994-1)*IF(Inputs!$B$39="pvp",15,MAX(0.1,Skills!D6-IF(TRUE=TRUE,Inputs!$B$32,0))))))/Skills!H6,1)))/Inputs!$B$44),G994*Q994))*IF(Inputs!$B$39="pvp",1,(1+(Inputs!$B$21+Skills!Q6+B1023+(IF(ArtifactsInput!$M$33,CHOOSE(ArtifactsInput!$N$33+1,30,36,42,48,54,60),0))+(IF(AND(ArtifactsInput!$M$35,Inputs!$B$4&lt;&gt;"Chapter Hunt"),CHOOSE(ArtifactsInput!$N$35+1,15,18,21,24,27,30)*(1-EXP(-(0.2*B1026)*5)),0)+IF(AND(ArtifactsInput!$M$22,Inputs!$B$4&lt;&gt;"Chapter Hunt"),CHOOSE(ArtifactsInput!$N$22+1,10,12,14,16,18,20)*((0*(((0.15*B1026*5))^0/1)+1*(((0.15*B1026*5))^1/1)+2*(((0.15*B1026*5))^2/2)+3*(((0.15*B1026*5))^3/6)+4*(((0.15*B1026*5))^4/24)+5*(((0.15*B1026*5))^5/120))/((((0.15*B1026*5))^0/1)+(((0.15*B1026*5))^1/1)+(((0.15*B1026*5))^2/2)+(((0.15*B1026*5))^3/6)+(((0.15*B1026*5))^4/24)+(((0.15*B1026*5))^5/120))),0)))/100)*(MIN(Skills!W6,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995">
      <c r="A995">
        <f>Skills!A7</f>
        <v/>
      </c>
      <c r="B995">
        <f>Skills!B7</f>
        <v/>
      </c>
      <c r="C995">
        <f>Inputs!$B$3&gt;=69</f>
        <v/>
      </c>
      <c r="D995">
        <f>IF(Skills!C7=1,60+Inputs!$B$25+Inputs!$B$29,IF(Skills!C7=2,90+Inputs!$B$26+Inputs!$B$29,IF(Skills!C7=3,120+(Inputs!$B$27+1)+Inputs!$B$29,MAX(0,(Inputs!$B$3-100)*3)+Inputs!$B$28+Inputs!$B$29)))</f>
        <v/>
      </c>
      <c r="E995">
        <f>INDEX(FactorTable!$B$2:$Y$301, MATCH(ROUND(MIN(300,MAX(1,D995)),0), FactorTable!$A$2:$A$301,0), Skills!M7+1)</f>
        <v/>
      </c>
      <c r="F995">
        <f>IF(Skills!N7=TRUE,(Skills!L7/10)*(E995/1000),Skills!L7/10)+Skills!O7</f>
        <v/>
      </c>
      <c r="G995">
        <f>Skills!G7*IF(Skills!H7&gt;0,IF(Inputs!$B$39="pvp",MIN(Skills!I7,15),Skills!I7)/Skills!H7,1)</f>
        <v/>
      </c>
      <c r="H995">
        <f>1-(1-Skills!J7/100)^Skills!K7</f>
        <v/>
      </c>
      <c r="I995" t="inlineStr">
        <is>
          <t>1</t>
        </is>
      </c>
      <c r="J995">
        <f>((Inputs!$B$6*(1+Inputs!$B$7/100))+(((Inputs!$B$12*(1+Inputs!$B$13/100))-(Inputs!$B$12*(1+Inputs!$B$13/100)))+0.25*(Inputs!$B$14-Inputs!$B$14))*(1+Inputs!$B$7/100))*(F995/100)</f>
        <v/>
      </c>
      <c r="K995">
        <f>J995*(1+((Inputs!$B$12*(1+Inputs!$B$13/100))*0.01+Inputs!$B$14*0.0025)/100)*(1+Inputs!$B$15/100)*(1+Inputs!$B$16/100)*(5000/(6000+Inputs!$B$43*(1-(100*(1-(1-Inputs!$B$19/100)*(1-CHOOSE(ArtifactsInput!$N$40+1,5,6,7,8,9,10)/100)^(ArtifactsInput!$M$40-ArtifactsInput!$M$40)))/100)))*(1+(Inputs!$B$24+((C1019=TRUE)*(F1019-Calc!F31))+((C1006=TRUE)*(F1006-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1007=TRUE,F1007,0)/100)*(1+(IF(Skills!A7="CRUEL_STAB",Inputs!$B$17+((C1016=TRUE)*(F1016-Calc!F28))+((IF(AND(Inputs!$B$39&lt;&gt;"pvp",Inputs!$B$44=0),1,IF(IF(Inputs!$B$39="pvp",15,Inputs!$B$44)-(B1033)&lt;=0,1,MAX(0,IF(Inputs!$B$39="pvp",15,Inputs!$B$44)-MAX(5,B1033))/(IF(Inputs!$B$39="pvp",15,Inputs!$B$44)-(B1033))))*(IF(AND(ArtifactsInput!$M$42,((Inputs!$B$9+((C1014=TRUE)*(F1014-Calc!F26))+B1022+(ArtifactsInput!$M$24-ArtifactsInput!$M$24)*CHOOSE(ArtifactsInput!$N$24+1,10,12,14,16,18,20)+IF(ArtifactsInput!$M$10,CHOOSE(ArtifactsInput!$N$10+1,15,18,21,24,27,30)*(IF(Inputs!$B$39="pvp",MIN(15,15)/15,IF(AND(Inputs!$B$39&lt;&gt;"pvp",Inputs!$B$44&gt;0),MIN(15,Inputs!$B$44)/(Inputs!$B$44),0))),0)))&gt;=100),MIN(100,((Inputs!$B$9+((C1014=TRUE)*(F1014-Calc!F26))+B1022+(ArtifactsInput!$M$24-ArtifactsInput!$M$24)*CHOOSE(ArtifactsInput!$N$24+1,10,12,14,16,18,20)+IF(ArtifactsInput!$M$10,CHOOSE(ArtifactsInput!$N$10+1,15,18,21,24,27,30)*(IF(Inputs!$B$39="pvp",MIN(15,15)/15,IF(AND(Inputs!$B$39&lt;&gt;"pvp",Inputs!$B$44&gt;0),MIN(15,Inputs!$B$44)/(Inputs!$B$44),0))),0)))-100),0))*CHOOSE(ArtifactsInput!$N$42+1,0.6,0.72,0.84,0.96,1.08,1.2))),Inputs!$B$18+((C1017=TRUE)*(F1017-Calc!F29))+(IF(AND(Inputs!$B$39&lt;&gt;"pvp",Inputs!$B$44=0),1,IF(IF(Inputs!$B$39="pvp",15,Inputs!$B$44)-(B1033)&lt;=0,1,MAX(0,IF(Inputs!$B$39="pvp",15,Inputs!$B$44)-MAX(5,B1033))/(IF(Inputs!$B$39="pvp",15,Inputs!$B$44)-(B1033))))*IF(AND(ArtifactsInput!$M$42,((Inputs!$B$9+((C1014=TRUE)*(F1014-Calc!F26))+B1022+(ArtifactsInput!$M$24-ArtifactsInput!$M$24)*CHOOSE(ArtifactsInput!$N$24+1,10,12,14,16,18,20)+IF(ArtifactsInput!$M$10,CHOOSE(ArtifactsInput!$N$10+1,15,18,21,24,27,30)*(IF(Inputs!$B$39="pvp",MIN(15,15)/15,IF(AND(Inputs!$B$39&lt;&gt;"pvp",Inputs!$B$44&gt;0),MIN(15,Inputs!$B$44)/(Inputs!$B$44),0))),0)))&gt;=100),CHOOSE(ArtifactsInput!$N$42+1,40,48,56,64,72,80),0))))/100)*(((1+(((C1010=TRUE)*F1010*IF(AND(Inputs!$B$39&lt;&gt;"pvp",Inputs!$B$44&gt;0),(((R1010-1)*MIN((Skills!Y22*(1+Inputs!$B$34/100)),(1/Q1010))+MIN((Skills!Y22*(1+Inputs!$B$34/100)),MAX(0,Inputs!$B$44-((R1010-1)*(1/Q1010)))))/Inputs!$B$44),IF(Inputs!$B$39="pvp",MIN((Skills!Y22*(1+Inputs!$B$34/100)),15)/15,MIN(1,(Skills!Y22*(1+Inputs!$B$34/100))/(1/Q1010)))))+((C991=TRUE)*F991*3)+((C993=TRUE)*F993*(1-EXP(-0.75*B1026*5)))+((C1012=TRUE)*(F1012-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999=TRUE)*F999*IF(AND(Inputs!$B$39&lt;&gt;"pvp",Inputs!$B$44&gt;0),(((R999-1)*MIN((Skills!Y11*(1+Inputs!$B$34/100)),(1/Q999))+MIN((Skills!Y11*(1+Inputs!$B$34/100)),MAX(0,Inputs!$B$44-((R999-1)*(1/Q999)))))/Inputs!$B$44),IF(Inputs!$B$39="pvp",MIN((Skills!Y11*(1+Inputs!$B$34/100)),15)/15,MIN(1,(Skills!Y11*(1+Inputs!$B$34/100))/(1/Q999)))))/100)*(1+((C1004=TRUE)*F1004*IF(AND(Inputs!$B$39&lt;&gt;"pvp",Inputs!$B$44&gt;0),(((R1004-1)*MIN((Skills!Y16*(1+Inputs!$B$34/100)),(1/Q1004))+MIN((Skills!Y16*(1+Inputs!$B$34/100)),MAX(0,Inputs!$B$44-((R1004-1)*(1/Q1004)))))/Inputs!$B$44),IF(Inputs!$B$39="pvp",MIN((Skills!Y16*(1+Inputs!$B$34/100)),15)/15,MIN(1,(Skills!Y16*(1+Inputs!$B$34/100))/(1/Q1004)))))/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1024*I995)</f>
        <v/>
      </c>
      <c r="L995">
        <f>K995*(MIN(Inputs!$B$22+((C1013=TRUE)*(F1013-Calc!F25)),(Inputs!$B$23+((C1018=TRUE)*(F1018-Calc!F30))+IF(ArtifactsInput!$M$15,CHOOSE(ArtifactsInput!$N$15+1,25,30,35,40,45,50)/100*(Inputs!$B$11-Inputs!$B$11),0)))/100+(Inputs!$B$23+((C1018=TRUE)*(F1018-Calc!F30))+IF(ArtifactsInput!$M$15,CHOOSE(ArtifactsInput!$N$15+1,25,30,35,40,45,50)/100*(Inputs!$B$11-Inputs!$B$11),0))/100)/2</f>
        <v/>
      </c>
      <c r="M995">
        <f>L995*(1+(Inputs!$B$10+((C1015=TRUE)*(F1015-Calc!F27))+B1029+(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995">
        <f>L995*(1-MIN((Inputs!$B$9+((C1014=TRUE)*(F1014-Calc!F26))+B1022+(ArtifactsInput!$M$24-ArtifactsInput!$M$24)*CHOOSE(ArtifactsInput!$N$24+1,10,12,14,16,18,20)+(IF(AND(Inputs!$B$39&lt;&gt;"pvp",Inputs!$B$44=0),1,IF(IF(Inputs!$B$39="pvp",15,Inputs!$B$44)-(B1033)&lt;=0,1,MAX(0,IF(Inputs!$B$39="pvp",15,Inputs!$B$44)-MAX(5,B1033))/(IF(Inputs!$B$39="pvp",15,Inputs!$B$44)-(B1033))))*IF(AND(ArtifactsInput!$M$42,((Inputs!$B$9+((C1014=TRUE)*(F1014-Calc!F26))+B1022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995*(MIN((Inputs!$B$9+((C1014=TRUE)*(F1014-Calc!F26))+B1022+(ArtifactsInput!$M$24-ArtifactsInput!$M$24)*CHOOSE(ArtifactsInput!$N$24+1,10,12,14,16,18,20)+(IF(AND(Inputs!$B$39&lt;&gt;"pvp",Inputs!$B$44=0),1,IF(IF(Inputs!$B$39="pvp",15,Inputs!$B$44)-(B1033)&lt;=0,1,MAX(0,IF(Inputs!$B$39="pvp",15,Inputs!$B$44)-MAX(5,B1033))/(IF(Inputs!$B$39="pvp",15,Inputs!$B$44)-(B1033))))*IF(AND(ArtifactsInput!$M$42,((Inputs!$B$9+((C1014=TRUE)*(F1014-Calc!F26))+B1022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995">
        <f>(1-Summary!$B$11)*T995+Summary!$B$11*V995</f>
        <v/>
      </c>
      <c r="P995">
        <f>IF(B1034=0,0,O995/B1034)</f>
        <v/>
      </c>
      <c r="Q995">
        <f>IFERROR(1/IF(Inputs!$B$39="pvp",15,MAX(0.1,Skills!D7-IF(TRUE=TRUE,Inputs!$B$32,0))),0)</f>
        <v/>
      </c>
      <c r="R995">
        <f>IF(AND(Inputs!$B$39&lt;&gt;"pvp",Inputs!$B$44&gt;0),IF(MAX(0,Inputs!$B$44-B1033)&lt;=0,0,(INT(MAX(0,Inputs!$B$44-B1033)/IF(Inputs!$B$39="pvp",15,MAX(0.1,Skills!D7-IF(TRUE=TRUE,Inputs!$B$32,0))))+1)),0)</f>
        <v/>
      </c>
      <c r="S995">
        <f>IFERROR(O995/N995,0)</f>
        <v/>
      </c>
      <c r="T995">
        <f>IF(C995,(H995*N995*IF(AND(Inputs!$B$39&lt;&gt;"pvp",Inputs!$B$44&gt;0),((Skills!G7*((R995-1)*IF(Skills!H7&gt;0,Skills!I7/Skills!H7,1)+IF(Skills!H7&gt;0,MIN(Skills!I7,MAX(0,MAX(0,Inputs!$B$44-B1033)-((R995-1)*IF(Inputs!$B$39="pvp",15,MAX(0.1,Skills!D7-IF(TRUE=TRUE,Inputs!$B$32,0))))))/Skills!H7,1)))/Inputs!$B$44),G995*Q995))*IF(Inputs!$B$39="pvp",1,1+(Inputs!$B$20+0+Skills!P7+B1023+(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Hunt"),CHOOSE(ArtifactsInput!$N$35+1,15,18,21,24,27,30)*(1-EXP(-(0.2*B1026)*5)),0)+IF(AND(ArtifactsInput!$M$22,Inputs!$B$4&lt;&gt;"Chapter Hunt"),CHOOSE(ArtifactsInput!$N$22+1,10,12,14,16,18,20)*((0*(((0.15*B1026*5))^0/1)+1*(((0.15*B1026*5))^1/1)+2*(((0.15*B1026*5))^2/2)+3*(((0.15*B1026*5))^3/6)+4*(((0.15*B1026*5))^4/24)+5*(((0.15*B1026*5))^5/120))/((((0.15*B1026*5))^0/1)+(((0.15*B1026*5))^1/1)+(((0.15*B1026*5))^2/2)+(((0.15*B1026*5))^3/6)+(((0.15*B1026*5))^4/24)+(((0.15*B1026*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995*(1-MIN(100,(Inputs!$B$9+((C1014=TRUE)*(F1014-Calc!F26))+B1022+(ArtifactsInput!$M$24-ArtifactsInput!$M$24)*CHOOSE(ArtifactsInput!$N$24+1,10,12,14,16,18,20)+(IF(AND(Inputs!$B$39&lt;&gt;"pvp",Inputs!$B$44=0),1,IF(IF(Inputs!$B$39="pvp",15,Inputs!$B$44)-(B1033)&lt;=0,1,MAX(0,IF(Inputs!$B$39="pvp",15,Inputs!$B$44)-MAX(5,B1033))/(IF(Inputs!$B$39="pvp",15,Inputs!$B$44)-(B1033))))*IF(AND(ArtifactsInput!$M$42,((Inputs!$B$9+((C1014=TRUE)*(F1014-Calc!F26))+B1022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995*(MIN(100,(Inputs!$B$9+((C1014=TRUE)*(F1014-Calc!F26))+B1022+(ArtifactsInput!$M$24-ArtifactsInput!$M$24)*CHOOSE(ArtifactsInput!$N$24+1,10,12,14,16,18,20)+(IF(AND(Inputs!$B$39&lt;&gt;"pvp",Inputs!$B$44=0),1,IF(IF(Inputs!$B$39="pvp",15,Inputs!$B$44)-(B1033)&lt;=0,1,MAX(0,IF(Inputs!$B$39="pvp",15,Inputs!$B$44)-MAX(5,B1033))/(IF(Inputs!$B$39="pvp",15,Inputs!$B$44)-(B1033))))*IF(AND(ArtifactsInput!$M$42,((Inputs!$B$9+((C1014=TRUE)*(F1014-Calc!F26))+B1022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995*(1-MIN(100,(Inputs!$B$9+((C1014=TRUE)*(F1014-Calc!F26))+B1022+(ArtifactsInput!$M$24-ArtifactsInput!$M$24)*CHOOSE(ArtifactsInput!$N$24+1,10,12,14,16,18,20)+(IF(AND(Inputs!$B$39&lt;&gt;"pvp",Inputs!$B$44=0),1,IF(IF(Inputs!$B$39="pvp",15,Inputs!$B$44)-(B1033)&lt;=0,1,MAX(0,IF(Inputs!$B$39="pvp",15,Inputs!$B$44)-MAX(5,B1033))/(IF(Inputs!$B$39="pvp",15,Inputs!$B$44)-(B1033))))*IF(AND(ArtifactsInput!$M$42,((Inputs!$B$9+((C1014=TRUE)*(F1014-Calc!F26))+B1022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995*(MIN(100,(Inputs!$B$9+((C1014=TRUE)*(F1014-Calc!F26))+B1022+(ArtifactsInput!$M$24-ArtifactsInput!$M$24)*CHOOSE(ArtifactsInput!$N$24+1,10,12,14,16,18,20)+(IF(AND(Inputs!$B$39&lt;&gt;"pvp",Inputs!$B$44=0),1,IF(IF(Inputs!$B$39="pvp",15,Inputs!$B$44)-(B1033)&lt;=0,1,MAX(0,IF(Inputs!$B$39="pvp",15,Inputs!$B$44)-MAX(5,B1033))/(IF(Inputs!$B$39="pvp",15,Inputs!$B$44)-(B1033))))*IF(AND(ArtifactsInput!$M$42,((Inputs!$B$9+((C1014=TRUE)*(F1014-Calc!F26))+B1022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995">
        <f>IF(C995,(H995*N995*IF(AND(Inputs!$B$39&lt;&gt;"pvp",Inputs!$B$44&gt;0),((Skills!G7*((R995-1)*IF(Skills!H7&gt;0,Skills!I7/Skills!H7,1)+IF(Skills!H7&gt;0,MIN(Skills!I7,MAX(0,MAX(0,Inputs!$B$44-B1033)-((R995-1)*IF(Inputs!$B$39="pvp",15,MAX(0.1,Skills!D7-IF(TRUE=TRUE,Inputs!$B$32,0))))))/Skills!H7,1)))/Inputs!$B$44),G995*Q995))*IF(Inputs!$B$39="pvp",1,(1+(Inputs!$B$21+Skills!Q7+B1023+(IF(ArtifactsInput!$M$33,CHOOSE(ArtifactsInput!$N$33+1,30,36,42,48,54,60),0))+(IF(AND(ArtifactsInput!$M$35,Inputs!$B$4&lt;&gt;"Chapter Hunt"),CHOOSE(ArtifactsInput!$N$35+1,15,18,21,24,27,30)*(1-EXP(-(0.2*B1026)*5)),0)+IF(AND(ArtifactsInput!$M$22,Inputs!$B$4&lt;&gt;"Chapter Hunt"),CHOOSE(ArtifactsInput!$N$22+1,10,12,14,16,18,20)*((0*(((0.15*B1026*5))^0/1)+1*(((0.15*B1026*5))^1/1)+2*(((0.15*B1026*5))^2/2)+3*(((0.15*B1026*5))^3/6)+4*(((0.15*B1026*5))^4/24)+5*(((0.15*B1026*5))^5/120))/((((0.15*B1026*5))^0/1)+(((0.15*B1026*5))^1/1)+(((0.15*B1026*5))^2/2)+(((0.15*B1026*5))^3/6)+(((0.15*B1026*5))^4/24)+(((0.15*B1026*5))^5/120))),0)))/100)*(MIN(Skills!W7,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996">
      <c r="A996">
        <f>Skills!A8</f>
        <v/>
      </c>
      <c r="B996">
        <f>Skills!B8</f>
        <v/>
      </c>
      <c r="C996">
        <f>Inputs!$B$3&gt;=60</f>
        <v/>
      </c>
      <c r="D996">
        <f>IF(Skills!C8=1,60+Inputs!$B$25+Inputs!$B$29,IF(Skills!C8=2,90+Inputs!$B$26+Inputs!$B$29,IF(Skills!C8=3,120+(Inputs!$B$27+1)+Inputs!$B$29,MAX(0,(Inputs!$B$3-100)*3)+Inputs!$B$28+Inputs!$B$29)))</f>
        <v/>
      </c>
      <c r="E996">
        <f>INDEX(FactorTable!$B$2:$Y$301, MATCH(ROUND(MIN(300,MAX(1,D996)),0), FactorTable!$A$2:$A$301,0), Skills!M8+1)</f>
        <v/>
      </c>
      <c r="F996">
        <f>IF(Skills!N8=TRUE,(Skills!L8/10)*(E996/1000),Skills!L8/10)+Skills!O8</f>
        <v/>
      </c>
      <c r="G996">
        <f>Skills!G8*IF(Skills!H8&gt;0,IF(Inputs!$B$39="pvp",MIN(Skills!I8,15),Skills!I8)/Skills!H8,1)</f>
        <v/>
      </c>
      <c r="H996">
        <f>1-(1-Skills!J8/100)^Skills!K8</f>
        <v/>
      </c>
      <c r="I996" t="inlineStr">
        <is>
          <t>1</t>
        </is>
      </c>
      <c r="J996" t="inlineStr"/>
      <c r="K996" t="inlineStr"/>
      <c r="L996" t="inlineStr"/>
      <c r="M996" t="inlineStr"/>
      <c r="N996" t="inlineStr"/>
      <c r="O996">
        <f>(1-Summary!$B$11)*T996+Summary!$B$11*V996</f>
        <v/>
      </c>
      <c r="P996">
        <f>IF(B1034=0,0,O996/B1034)</f>
        <v/>
      </c>
      <c r="Q996" t="n">
        <v>0</v>
      </c>
      <c r="R996" t="n">
        <v>0</v>
      </c>
      <c r="S996">
        <f>IFERROR(O996/N996,0)</f>
        <v/>
      </c>
      <c r="T996" t="n">
        <v>0</v>
      </c>
      <c r="V996" t="n">
        <v>0</v>
      </c>
    </row>
    <row r="997">
      <c r="A997">
        <f>Skills!A9</f>
        <v/>
      </c>
      <c r="B997">
        <f>Skills!B9</f>
        <v/>
      </c>
      <c r="C997">
        <f>Inputs!$B$3&gt;=72</f>
        <v/>
      </c>
      <c r="D997">
        <f>IF(Skills!C9=1,60+Inputs!$B$25+Inputs!$B$29,IF(Skills!C9=2,90+Inputs!$B$26+Inputs!$B$29,IF(Skills!C9=3,120+(Inputs!$B$27+1)+Inputs!$B$29,MAX(0,(Inputs!$B$3-100)*3)+Inputs!$B$28+Inputs!$B$29)))</f>
        <v/>
      </c>
      <c r="E997">
        <f>INDEX(FactorTable!$B$2:$Y$301, MATCH(ROUND(MIN(300,MAX(1,D997)),0), FactorTable!$A$2:$A$301,0), Skills!M9+1)</f>
        <v/>
      </c>
      <c r="F997">
        <f>IF(Skills!N9=TRUE,(Skills!L9/10)*(E997/1000),Skills!L9/10)+Skills!O9</f>
        <v/>
      </c>
      <c r="G997">
        <f>Skills!G9*IF(Skills!H9&gt;0,IF(Inputs!$B$39="pvp",MIN(Skills!I9,15),Skills!I9)/Skills!H9,1)</f>
        <v/>
      </c>
      <c r="H997">
        <f>1-(1-Skills!J9/100)^Skills!K9</f>
        <v/>
      </c>
      <c r="I997" t="inlineStr">
        <is>
          <t>1</t>
        </is>
      </c>
      <c r="J997">
        <f>((Inputs!$B$6*(1+Inputs!$B$7/100))+(((Inputs!$B$12*(1+Inputs!$B$13/100))-(Inputs!$B$12*(1+Inputs!$B$13/100)))+0.25*(Inputs!$B$14-Inputs!$B$14))*(1+Inputs!$B$7/100))*(F997/100)</f>
        <v/>
      </c>
      <c r="K997">
        <f>J997*(1+((Inputs!$B$12*(1+Inputs!$B$13/100))*0.01+Inputs!$B$14*0.0025)/100)*(1+Inputs!$B$15/100)*(1+Inputs!$B$16/100)*(5000/(6000+Inputs!$B$43*(1-(100*(1-(1-Inputs!$B$19/100)*(1-CHOOSE(ArtifactsInput!$N$40+1,5,6,7,8,9,10)/100)^(ArtifactsInput!$M$40-ArtifactsInput!$M$40)))/100)))*(1+(Inputs!$B$24+((C1019=TRUE)*(F1019-Calc!F31))+((C1006=TRUE)*(F1006-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+3.3333333333333335*IF(C1007=TRUE,F1007,0)/100)*(1+(IF(Skills!A9="CRUEL_STAB",Inputs!$B$17+((C1016=TRUE)*(F1016-Calc!F28))+((IF(AND(Inputs!$B$39&lt;&gt;"pvp",Inputs!$B$44=0),1,IF(IF(Inputs!$B$39="pvp",15,Inputs!$B$44)-(B1033)&lt;=0,1,MAX(0,IF(Inputs!$B$39="pvp",15,Inputs!$B$44)-MAX(5,B1033))/(IF(Inputs!$B$39="pvp",15,Inputs!$B$44)-(B1033))))*(IF(AND(ArtifactsInput!$M$42,((Inputs!$B$9+((C1014=TRUE)*(F1014-Calc!F26))+B1022+(ArtifactsInput!$M$24-ArtifactsInput!$M$24)*CHOOSE(ArtifactsInput!$N$24+1,10,12,14,16,18,20)+IF(ArtifactsInput!$M$10,CHOOSE(ArtifactsInput!$N$10+1,15,18,21,24,27,30)*(IF(Inputs!$B$39="pvp",MIN(15,15)/15,IF(AND(Inputs!$B$39&lt;&gt;"pvp",Inputs!$B$44&gt;0),MIN(15,Inputs!$B$44)/(Inputs!$B$44),0))),0)))&gt;=100),MIN(100,((Inputs!$B$9+((C1014=TRUE)*(F1014-Calc!F26))+B1022+(ArtifactsInput!$M$24-ArtifactsInput!$M$24)*CHOOSE(ArtifactsInput!$N$24+1,10,12,14,16,18,20)+IF(ArtifactsInput!$M$10,CHOOSE(ArtifactsInput!$N$10+1,15,18,21,24,27,30)*(IF(Inputs!$B$39="pvp",MIN(15,15)/15,IF(AND(Inputs!$B$39&lt;&gt;"pvp",Inputs!$B$44&gt;0),MIN(15,Inputs!$B$44)/(Inputs!$B$44),0))),0)))-100),0))*CHOOSE(ArtifactsInput!$N$42+1,0.6,0.72,0.84,0.96,1.08,1.2))),Inputs!$B$18+((C1017=TRUE)*(F1017-Calc!F29))+(IF(AND(Inputs!$B$39&lt;&gt;"pvp",Inputs!$B$44=0),1,IF(IF(Inputs!$B$39="pvp",15,Inputs!$B$44)-(B1033)&lt;=0,1,MAX(0,IF(Inputs!$B$39="pvp",15,Inputs!$B$44)-MAX(5,B1033))/(IF(Inputs!$B$39="pvp",15,Inputs!$B$44)-(B1033))))*IF(AND(ArtifactsInput!$M$42,((Inputs!$B$9+((C1014=TRUE)*(F1014-Calc!F26))+B1022+(ArtifactsInput!$M$24-ArtifactsInput!$M$24)*CHOOSE(ArtifactsInput!$N$24+1,10,12,14,16,18,20)+IF(ArtifactsInput!$M$10,CHOOSE(ArtifactsInput!$N$10+1,15,18,21,24,27,30)*(IF(Inputs!$B$39="pvp",MIN(15,15)/15,IF(AND(Inputs!$B$39&lt;&gt;"pvp",Inputs!$B$44&gt;0),MIN(15,Inputs!$B$44)/(Inputs!$B$44),0))),0)))&gt;=100),CHOOSE(ArtifactsInput!$N$42+1,40,48,56,64,72,80),0))))/100)*(((1+(((C1010=TRUE)*F1010*IF(AND(Inputs!$B$39&lt;&gt;"pvp",Inputs!$B$44&gt;0),(((R1010-1)*MIN((Skills!Y22*(1+Inputs!$B$34/100)),(1/Q1010))+MIN((Skills!Y22*(1+Inputs!$B$34/100)),MAX(0,Inputs!$B$44-((R1010-1)*(1/Q1010)))))/Inputs!$B$44),IF(Inputs!$B$39="pvp",MIN((Skills!Y22*(1+Inputs!$B$34/100)),15)/15,MIN(1,(Skills!Y22*(1+Inputs!$B$34/100))/(1/Q1010)))))+((C991=TRUE)*F991*3)+((C993=TRUE)*F993*(1-EXP(-0.75*B1026*5)))+((C1012=TRUE)*(F1012-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999=TRUE)*F999*IF(AND(Inputs!$B$39&lt;&gt;"pvp",Inputs!$B$44&gt;0),(((R999-1)*MIN((Skills!Y11*(1+Inputs!$B$34/100)),(1/Q999))+MIN((Skills!Y11*(1+Inputs!$B$34/100)),MAX(0,Inputs!$B$44-((R999-1)*(1/Q999)))))/Inputs!$B$44),IF(Inputs!$B$39="pvp",MIN((Skills!Y11*(1+Inputs!$B$34/100)),15)/15,MIN(1,(Skills!Y11*(1+Inputs!$B$34/100))/(1/Q999)))))/100)*(1+((C1004=TRUE)*F1004*IF(AND(Inputs!$B$39&lt;&gt;"pvp",Inputs!$B$44&gt;0),(((R1004-1)*MIN((Skills!Y16*(1+Inputs!$B$34/100)),(1/Q1004))+MIN((Skills!Y16*(1+Inputs!$B$34/100)),MAX(0,Inputs!$B$44-((R1004-1)*(1/Q1004)))))/Inputs!$B$44),IF(Inputs!$B$39="pvp",MIN((Skills!Y16*(1+Inputs!$B$34/100)),15)/15,MIN(1,(Skills!Y16*(1+Inputs!$B$34/100))/(1/Q1004)))))/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1024*I997)</f>
        <v/>
      </c>
      <c r="L997">
        <f>K997*(MIN(Inputs!$B$22+((C1013=TRUE)*(F1013-Calc!F25)),(Inputs!$B$23+((C1018=TRUE)*(F1018-Calc!F30))+IF(ArtifactsInput!$M$15,CHOOSE(ArtifactsInput!$N$15+1,25,30,35,40,45,50)/100*(Inputs!$B$11-Inputs!$B$11),0)))/100+(Inputs!$B$23+((C1018=TRUE)*(F1018-Calc!F30))+IF(ArtifactsInput!$M$15,CHOOSE(ArtifactsInput!$N$15+1,25,30,35,40,45,50)/100*(Inputs!$B$11-Inputs!$B$11),0))/100)/2</f>
        <v/>
      </c>
      <c r="M997">
        <f>L997*(1+(Inputs!$B$10+((C1015=TRUE)*(F1015-Calc!F27))+B1029+(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997">
        <f>L997*(1-MIN((Inputs!$B$9+((C1014=TRUE)*(F1014-Calc!F26))+B1022+(ArtifactsInput!$M$24-ArtifactsInput!$M$24)*CHOOSE(ArtifactsInput!$N$24+1,10,12,14,16,18,20)+(IF(AND(Inputs!$B$39&lt;&gt;"pvp",Inputs!$B$44=0),1,IF(IF(Inputs!$B$39="pvp",15,Inputs!$B$44)-(B1033)&lt;=0,1,MAX(0,IF(Inputs!$B$39="pvp",15,Inputs!$B$44)-MAX(5,B1033))/(IF(Inputs!$B$39="pvp",15,Inputs!$B$44)-(B1033))))*IF(AND(ArtifactsInput!$M$42,((Inputs!$B$9+((C1014=TRUE)*(F1014-Calc!F26))+B1022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997*(MIN((Inputs!$B$9+((C1014=TRUE)*(F1014-Calc!F26))+B1022+(ArtifactsInput!$M$24-ArtifactsInput!$M$24)*CHOOSE(ArtifactsInput!$N$24+1,10,12,14,16,18,20)+(IF(AND(Inputs!$B$39&lt;&gt;"pvp",Inputs!$B$44=0),1,IF(IF(Inputs!$B$39="pvp",15,Inputs!$B$44)-(B1033)&lt;=0,1,MAX(0,IF(Inputs!$B$39="pvp",15,Inputs!$B$44)-MAX(5,B1033))/(IF(Inputs!$B$39="pvp",15,Inputs!$B$44)-(B1033))))*IF(AND(ArtifactsInput!$M$42,((Inputs!$B$9+((C1014=TRUE)*(F1014-Calc!F26))+B1022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997">
        <f>(1-Summary!$B$11)*T997+Summary!$B$11*V997</f>
        <v/>
      </c>
      <c r="P997">
        <f>IF(B1034=0,0,O997/B1034)</f>
        <v/>
      </c>
      <c r="Q997">
        <f>IFERROR(1/IF(Inputs!$B$39="pvp",15,MAX(0.1,Skills!D9-IF(FALSE=TRUE,Inputs!$B$32,0))),0)</f>
        <v/>
      </c>
      <c r="R997">
        <f>IF(AND(Inputs!$B$39&lt;&gt;"pvp",Inputs!$B$44&gt;0),IF(MAX(0,Inputs!$B$44-B1033)&lt;=0,0,(INT(MAX(0,Inputs!$B$44-B1033)/IF(Inputs!$B$39="pvp",15,MAX(0.1,Skills!D9-IF(FALSE=TRUE,Inputs!$B$32,0))))+1)),0)</f>
        <v/>
      </c>
      <c r="S997">
        <f>IFERROR(O997/N997,0)</f>
        <v/>
      </c>
      <c r="T997">
        <f>IF(C997,(H997*N997*IF(AND(Inputs!$B$39&lt;&gt;"pvp",Inputs!$B$44&gt;0),((Skills!G9*((R997-1)*IF(Skills!H9&gt;0,Skills!I9/Skills!H9,1)+IF(Skills!H9&gt;0,MIN(Skills!I9,MAX(0,MAX(0,Inputs!$B$44-B1033)-((R997-1)*IF(Inputs!$B$39="pvp",15,MAX(0.1,Skills!D9-IF(FALSE=TRUE,Inputs!$B$32,0))))))/Skills!H9,1)))/Inputs!$B$44),G997*Q997))*IF(Inputs!$B$39="pvp",1,1+(Inputs!$B$20+0+Skills!P9+B1023+(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Hunt"),CHOOSE(ArtifactsInput!$N$35+1,15,18,21,24,27,30)*(1-EXP(-(0.2*B1026)*5)),0)+IF(AND(ArtifactsInput!$M$22,Inputs!$B$4&lt;&gt;"Chapter Hunt"),CHOOSE(ArtifactsInput!$N$22+1,10,12,14,16,18,20)*((0*(((0.15*B1026*5))^0/1)+1*(((0.15*B1026*5))^1/1)+2*(((0.15*B1026*5))^2/2)+3*(((0.15*B1026*5))^3/6)+4*(((0.15*B1026*5))^4/24)+5*(((0.15*B1026*5))^5/120))/((((0.15*B1026*5))^0/1)+(((0.15*B1026*5))^1/1)+(((0.15*B1026*5))^2/2)+(((0.15*B1026*5))^3/6)+(((0.15*B1026*5))^4/24)+(((0.15*B1026*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997*(1-MIN(100,(Inputs!$B$9+((C1014=TRUE)*(F1014-Calc!F26))+B1022+(ArtifactsInput!$M$24-ArtifactsInput!$M$24)*CHOOSE(ArtifactsInput!$N$24+1,10,12,14,16,18,20)+(IF(AND(Inputs!$B$39&lt;&gt;"pvp",Inputs!$B$44=0),1,IF(IF(Inputs!$B$39="pvp",15,Inputs!$B$44)-(B1033)&lt;=0,1,MAX(0,IF(Inputs!$B$39="pvp",15,Inputs!$B$44)-MAX(5,B1033))/(IF(Inputs!$B$39="pvp",15,Inputs!$B$44)-(B1033))))*IF(AND(ArtifactsInput!$M$42,((Inputs!$B$9+((C1014=TRUE)*(F1014-Calc!F26))+B1022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997*(MIN(100,(Inputs!$B$9+((C1014=TRUE)*(F1014-Calc!F26))+B1022+(ArtifactsInput!$M$24-ArtifactsInput!$M$24)*CHOOSE(ArtifactsInput!$N$24+1,10,12,14,16,18,20)+(IF(AND(Inputs!$B$39&lt;&gt;"pvp",Inputs!$B$44=0),1,IF(IF(Inputs!$B$39="pvp",15,Inputs!$B$44)-(B1033)&lt;=0,1,MAX(0,IF(Inputs!$B$39="pvp",15,Inputs!$B$44)-MAX(5,B1033))/(IF(Inputs!$B$39="pvp",15,Inputs!$B$44)-(B1033))))*IF(AND(ArtifactsInput!$M$42,((Inputs!$B$9+((C1014=TRUE)*(F1014-Calc!F26))+B1022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997*(1-MIN(100,(Inputs!$B$9+((C1014=TRUE)*(F1014-Calc!F26))+B1022+(ArtifactsInput!$M$24-ArtifactsInput!$M$24)*CHOOSE(ArtifactsInput!$N$24+1,10,12,14,16,18,20)+(IF(AND(Inputs!$B$39&lt;&gt;"pvp",Inputs!$B$44=0),1,IF(IF(Inputs!$B$39="pvp",15,Inputs!$B$44)-(B1033)&lt;=0,1,MAX(0,IF(Inputs!$B$39="pvp",15,Inputs!$B$44)-MAX(5,B1033))/(IF(Inputs!$B$39="pvp",15,Inputs!$B$44)-(B1033))))*IF(AND(ArtifactsInput!$M$42,((Inputs!$B$9+((C1014=TRUE)*(F1014-Calc!F26))+B1022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997*(MIN(100,(Inputs!$B$9+((C1014=TRUE)*(F1014-Calc!F26))+B1022+(ArtifactsInput!$M$24-ArtifactsInput!$M$24)*CHOOSE(ArtifactsInput!$N$24+1,10,12,14,16,18,20)+(IF(AND(Inputs!$B$39&lt;&gt;"pvp",Inputs!$B$44=0),1,IF(IF(Inputs!$B$39="pvp",15,Inputs!$B$44)-(B1033)&lt;=0,1,MAX(0,IF(Inputs!$B$39="pvp",15,Inputs!$B$44)-MAX(5,B1033))/(IF(Inputs!$B$39="pvp",15,Inputs!$B$44)-(B1033))))*IF(AND(ArtifactsInput!$M$42,((Inputs!$B$9+((C1014=TRUE)*(F1014-Calc!F26))+B1022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997">
        <f>IF(C997,(H997*N997*IF(AND(Inputs!$B$39&lt;&gt;"pvp",Inputs!$B$44&gt;0),((Skills!G9*((R997-1)*IF(Skills!H9&gt;0,Skills!I9/Skills!H9,1)+IF(Skills!H9&gt;0,MIN(Skills!I9,MAX(0,MAX(0,Inputs!$B$44-B1033)-((R997-1)*IF(Inputs!$B$39="pvp",15,MAX(0.1,Skills!D9-IF(FALSE=TRUE,Inputs!$B$32,0))))))/Skills!H9,1)))/Inputs!$B$44),G997*Q997))*IF(Inputs!$B$39="pvp",1,(1+(Inputs!$B$21+Skills!Q9+B1023+(IF(ArtifactsInput!$M$33,CHOOSE(ArtifactsInput!$N$33+1,30,36,42,48,54,60),0))+(IF(AND(ArtifactsInput!$M$35,Inputs!$B$4&lt;&gt;"Chapter Hunt"),CHOOSE(ArtifactsInput!$N$35+1,15,18,21,24,27,30)*(1-EXP(-(0.2*B1026)*5)),0)+IF(AND(ArtifactsInput!$M$22,Inputs!$B$4&lt;&gt;"Chapter Hunt"),CHOOSE(ArtifactsInput!$N$22+1,10,12,14,16,18,20)*((0*(((0.15*B1026*5))^0/1)+1*(((0.15*B1026*5))^1/1)+2*(((0.15*B1026*5))^2/2)+3*(((0.15*B1026*5))^3/6)+4*(((0.15*B1026*5))^4/24)+5*(((0.15*B1026*5))^5/120))/((((0.15*B1026*5))^0/1)+(((0.15*B1026*5))^1/1)+(((0.15*B1026*5))^2/2)+(((0.15*B1026*5))^3/6)+(((0.15*B1026*5))^4/24)+(((0.15*B1026*5))^5/120))),0)))/100)*(MIN(Skills!W9,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998">
      <c r="A998">
        <f>Skills!A10</f>
        <v/>
      </c>
      <c r="B998">
        <f>Skills!B10</f>
        <v/>
      </c>
      <c r="C998">
        <f>Inputs!$B$3&gt;=117</f>
        <v/>
      </c>
      <c r="D998">
        <f>IF(Skills!C10=1,60+Inputs!$B$25+Inputs!$B$29,IF(Skills!C10=2,90+Inputs!$B$26+Inputs!$B$29,IF(Skills!C10=3,120+(Inputs!$B$27+1)+Inputs!$B$29,MAX(0,(Inputs!$B$3-100)*3)+Inputs!$B$28+Inputs!$B$29)))</f>
        <v/>
      </c>
      <c r="E998">
        <f>INDEX(FactorTable!$B$2:$Y$301, MATCH(ROUND(MIN(300,MAX(1,D998)),0), FactorTable!$A$2:$A$301,0), Skills!M10+1)</f>
        <v/>
      </c>
      <c r="F998">
        <f>IF(Skills!N10=TRUE,(Skills!L10/10)*(E998/1000),Skills!L10/10)+Skills!O10</f>
        <v/>
      </c>
      <c r="G998">
        <f>Skills!G10*IF(Skills!H10&gt;0,IF(Inputs!$B$39="pvp",MIN(Skills!I10,15),Skills!I10)/Skills!H10,1)</f>
        <v/>
      </c>
      <c r="H998">
        <f>1-(1-Skills!J10/100)^Skills!K10</f>
        <v/>
      </c>
      <c r="I998" t="inlineStr">
        <is>
          <t>1</t>
        </is>
      </c>
      <c r="J998">
        <f>((Inputs!$B$6*(1+Inputs!$B$7/100))+(((Inputs!$B$12*(1+Inputs!$B$13/100))-(Inputs!$B$12*(1+Inputs!$B$13/100)))+0.25*(Inputs!$B$14-Inputs!$B$14))*(1+Inputs!$B$7/100))*(F998/100)</f>
        <v/>
      </c>
      <c r="K998">
        <f>J998*(1+((Inputs!$B$12*(1+Inputs!$B$13/100))*0.01+Inputs!$B$14*0.0025)/100)*(1+Inputs!$B$15/100)*(1+Inputs!$B$16/100)*(5000/(6000+Inputs!$B$43*(1-(100*(1-(1-Inputs!$B$19/100)*(1-CHOOSE(ArtifactsInput!$N$40+1,5,6,7,8,9,10)/100)^(ArtifactsInput!$M$40-ArtifactsInput!$M$40)))/100)))*(1+(Inputs!$B$24+((C1019=TRUE)*(F1019-Calc!F31))+((C1006=TRUE)*(F1006-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10="CRUEL_STAB",Inputs!$B$17+((C1016=TRUE)*(F1016-Calc!F28))+((IF(AND(Inputs!$B$39&lt;&gt;"pvp",Inputs!$B$44=0),1,IF(IF(Inputs!$B$39="pvp",15,Inputs!$B$44)-(B1033)&lt;=0,1,MAX(0,IF(Inputs!$B$39="pvp",15,Inputs!$B$44)-MAX(5,B1033))/(IF(Inputs!$B$39="pvp",15,Inputs!$B$44)-(B1033))))*(IF(AND(ArtifactsInput!$M$42,((Inputs!$B$9+((C1014=TRUE)*(F1014-Calc!F26))+B1022+(ArtifactsInput!$M$24-ArtifactsInput!$M$24)*CHOOSE(ArtifactsInput!$N$24+1,10,12,14,16,18,20)+IF(ArtifactsInput!$M$10,CHOOSE(ArtifactsInput!$N$10+1,15,18,21,24,27,30)*(IF(Inputs!$B$39="pvp",MIN(15,15)/15,IF(AND(Inputs!$B$39&lt;&gt;"pvp",Inputs!$B$44&gt;0),MIN(15,Inputs!$B$44)/(Inputs!$B$44),0))),0)))&gt;=100),MIN(100,((Inputs!$B$9+((C1014=TRUE)*(F1014-Calc!F26))+B1022+(ArtifactsInput!$M$24-ArtifactsInput!$M$24)*CHOOSE(ArtifactsInput!$N$24+1,10,12,14,16,18,20)+IF(ArtifactsInput!$M$10,CHOOSE(ArtifactsInput!$N$10+1,15,18,21,24,27,30)*(IF(Inputs!$B$39="pvp",MIN(15,15)/15,IF(AND(Inputs!$B$39&lt;&gt;"pvp",Inputs!$B$44&gt;0),MIN(15,Inputs!$B$44)/(Inputs!$B$44),0))),0)))-100),0))*CHOOSE(ArtifactsInput!$N$42+1,0.6,0.72,0.84,0.96,1.08,1.2))),Inputs!$B$18+((C1017=TRUE)*(F1017-Calc!F29))+(IF(AND(Inputs!$B$39&lt;&gt;"pvp",Inputs!$B$44=0),1,IF(IF(Inputs!$B$39="pvp",15,Inputs!$B$44)-(B1033)&lt;=0,1,MAX(0,IF(Inputs!$B$39="pvp",15,Inputs!$B$44)-MAX(5,B1033))/(IF(Inputs!$B$39="pvp",15,Inputs!$B$44)-(B1033))))*IF(AND(ArtifactsInput!$M$42,((Inputs!$B$9+((C1014=TRUE)*(F1014-Calc!F26))+B1022+(ArtifactsInput!$M$24-ArtifactsInput!$M$24)*CHOOSE(ArtifactsInput!$N$24+1,10,12,14,16,18,20)+IF(ArtifactsInput!$M$10,CHOOSE(ArtifactsInput!$N$10+1,15,18,21,24,27,30)*(IF(Inputs!$B$39="pvp",MIN(15,15)/15,IF(AND(Inputs!$B$39&lt;&gt;"pvp",Inputs!$B$44&gt;0),MIN(15,Inputs!$B$44)/(Inputs!$B$44),0))),0)))&gt;=100),CHOOSE(ArtifactsInput!$N$42+1,40,48,56,64,72,80),0))))/100)*(((1+(((C1010=TRUE)*F1010*IF(AND(Inputs!$B$39&lt;&gt;"pvp",Inputs!$B$44&gt;0),(((R1010-1)*MIN((Skills!Y22*(1+Inputs!$B$34/100)),(1/Q1010))+MIN((Skills!Y22*(1+Inputs!$B$34/100)),MAX(0,Inputs!$B$44-((R1010-1)*(1/Q1010)))))/Inputs!$B$44),IF(Inputs!$B$39="pvp",MIN((Skills!Y22*(1+Inputs!$B$34/100)),15)/15,MIN(1,(Skills!Y22*(1+Inputs!$B$34/100))/(1/Q1010)))))+((C991=TRUE)*F991*3)+((C993=TRUE)*F993*(1-EXP(-0.75*B1026*5)))+((C1012=TRUE)*(F1012-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999=TRUE)*F999*IF(AND(Inputs!$B$39&lt;&gt;"pvp",Inputs!$B$44&gt;0),(((R999-1)*MIN((Skills!Y11*(1+Inputs!$B$34/100)),(1/Q999))+MIN((Skills!Y11*(1+Inputs!$B$34/100)),MAX(0,Inputs!$B$44-((R999-1)*(1/Q999)))))/Inputs!$B$44),IF(Inputs!$B$39="pvp",MIN((Skills!Y11*(1+Inputs!$B$34/100)),15)/15,MIN(1,(Skills!Y11*(1+Inputs!$B$34/100))/(1/Q999)))))/100)*(1+((C1004=TRUE)*F1004*IF(AND(Inputs!$B$39&lt;&gt;"pvp",Inputs!$B$44&gt;0),(((R1004-1)*MIN((Skills!Y16*(1+Inputs!$B$34/100)),(1/Q1004))+MIN((Skills!Y16*(1+Inputs!$B$34/100)),MAX(0,Inputs!$B$44-((R1004-1)*(1/Q1004)))))/Inputs!$B$44),IF(Inputs!$B$39="pvp",MIN((Skills!Y16*(1+Inputs!$B$34/100)),15)/15,MIN(1,(Skills!Y16*(1+Inputs!$B$34/100))/(1/Q1004)))))/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1024*I998)</f>
        <v/>
      </c>
      <c r="L998">
        <f>K998*(MIN(Inputs!$B$22+((C1013=TRUE)*(F1013-Calc!F25)),(Inputs!$B$23+((C1018=TRUE)*(F1018-Calc!F30))+IF(ArtifactsInput!$M$15,CHOOSE(ArtifactsInput!$N$15+1,25,30,35,40,45,50)/100*(Inputs!$B$11-Inputs!$B$11),0)))/100+(Inputs!$B$23+((C1018=TRUE)*(F1018-Calc!F30))+IF(ArtifactsInput!$M$15,CHOOSE(ArtifactsInput!$N$15+1,25,30,35,40,45,50)/100*(Inputs!$B$11-Inputs!$B$11),0))/100)/2</f>
        <v/>
      </c>
      <c r="M998">
        <f>L998*(1+(Inputs!$B$10+((C1015=TRUE)*(F1015-Calc!F27))+B1029+(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998">
        <f>L998*(1-MIN((Inputs!$B$9+((C1014=TRUE)*(F1014-Calc!F26))+B1022+(ArtifactsInput!$M$24-ArtifactsInput!$M$24)*CHOOSE(ArtifactsInput!$N$24+1,10,12,14,16,18,20)+(IF(AND(Inputs!$B$39&lt;&gt;"pvp",Inputs!$B$44=0),1,IF(IF(Inputs!$B$39="pvp",15,Inputs!$B$44)-(B1033)&lt;=0,1,MAX(0,IF(Inputs!$B$39="pvp",15,Inputs!$B$44)-MAX(5,B1033))/(IF(Inputs!$B$39="pvp",15,Inputs!$B$44)-(B1033))))*IF(AND(ArtifactsInput!$M$42,((Inputs!$B$9+((C1014=TRUE)*(F1014-Calc!F26))+B1022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998*(MIN((Inputs!$B$9+((C1014=TRUE)*(F1014-Calc!F26))+B1022+(ArtifactsInput!$M$24-ArtifactsInput!$M$24)*CHOOSE(ArtifactsInput!$N$24+1,10,12,14,16,18,20)+(IF(AND(Inputs!$B$39&lt;&gt;"pvp",Inputs!$B$44=0),1,IF(IF(Inputs!$B$39="pvp",15,Inputs!$B$44)-(B1033)&lt;=0,1,MAX(0,IF(Inputs!$B$39="pvp",15,Inputs!$B$44)-MAX(5,B1033))/(IF(Inputs!$B$39="pvp",15,Inputs!$B$44)-(B1033))))*IF(AND(ArtifactsInput!$M$42,((Inputs!$B$9+((C1014=TRUE)*(F1014-Calc!F26))+B1022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998">
        <f>(1-Summary!$B$11)*T998+Summary!$B$11*V998</f>
        <v/>
      </c>
      <c r="P998">
        <f>IF(B1034=0,0,O998/B1034)</f>
        <v/>
      </c>
      <c r="Q998" t="n">
        <v>0</v>
      </c>
      <c r="R998" t="n">
        <v>0</v>
      </c>
      <c r="S998" t="n">
        <v>0</v>
      </c>
      <c r="T998">
        <f>IF(C998,(0.2*SUMPRODUCT((Skills!Z2:Z31=TRUE)*(C990:C1019=TRUE)*S990:S1019)*N998)*IF(Inputs!$B$39="pvp",1,1+(Inputs!$B$20+0+Skills!P10+B1023+(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Hunt"),CHOOSE(ArtifactsInput!$N$35+1,15,18,21,24,27,30)*(1-EXP(-(0.2*B1026)*5)),0)+IF(AND(ArtifactsInput!$M$22,Inputs!$B$4&lt;&gt;"Chapter Hunt"),CHOOSE(ArtifactsInput!$N$22+1,10,12,14,16,18,20)*((0*(((0.15*B1026*5))^0/1)+1*(((0.15*B1026*5))^1/1)+2*(((0.15*B1026*5))^2/2)+3*(((0.15*B1026*5))^3/6)+4*(((0.15*B1026*5))^4/24)+5*(((0.15*B1026*5))^5/120))/((((0.15*B1026*5))^0/1)+(((0.15*B1026*5))^1/1)+(((0.15*B1026*5))^2/2)+(((0.15*B1026*5))^3/6)+(((0.15*B1026*5))^4/24)+(((0.15*B1026*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998*(1-MIN(100,(Inputs!$B$9+((C1014=TRUE)*(F1014-Calc!F26))+B1022+(ArtifactsInput!$M$24-ArtifactsInput!$M$24)*CHOOSE(ArtifactsInput!$N$24+1,10,12,14,16,18,20)+(IF(AND(Inputs!$B$39&lt;&gt;"pvp",Inputs!$B$44=0),1,IF(IF(Inputs!$B$39="pvp",15,Inputs!$B$44)-(B1033)&lt;=0,1,MAX(0,IF(Inputs!$B$39="pvp",15,Inputs!$B$44)-MAX(5,B1033))/(IF(Inputs!$B$39="pvp",15,Inputs!$B$44)-(B1033))))*IF(AND(ArtifactsInput!$M$42,((Inputs!$B$9+((C1014=TRUE)*(F1014-Calc!F26))+B1022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998*(MIN(100,(Inputs!$B$9+((C1014=TRUE)*(F1014-Calc!F26))+B1022+(ArtifactsInput!$M$24-ArtifactsInput!$M$24)*CHOOSE(ArtifactsInput!$N$24+1,10,12,14,16,18,20)+(IF(AND(Inputs!$B$39&lt;&gt;"pvp",Inputs!$B$44=0),1,IF(IF(Inputs!$B$39="pvp",15,Inputs!$B$44)-(B1033)&lt;=0,1,MAX(0,IF(Inputs!$B$39="pvp",15,Inputs!$B$44)-MAX(5,B1033))/(IF(Inputs!$B$39="pvp",15,Inputs!$B$44)-(B1033))))*IF(AND(ArtifactsInput!$M$42,((Inputs!$B$9+((C1014=TRUE)*(F1014-Calc!F26))+B1022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998*(1-MIN(100,(Inputs!$B$9+((C1014=TRUE)*(F1014-Calc!F26))+B1022+(ArtifactsInput!$M$24-ArtifactsInput!$M$24)*CHOOSE(ArtifactsInput!$N$24+1,10,12,14,16,18,20)+(IF(AND(Inputs!$B$39&lt;&gt;"pvp",Inputs!$B$44=0),1,IF(IF(Inputs!$B$39="pvp",15,Inputs!$B$44)-(B1033)&lt;=0,1,MAX(0,IF(Inputs!$B$39="pvp",15,Inputs!$B$44)-MAX(5,B1033))/(IF(Inputs!$B$39="pvp",15,Inputs!$B$44)-(B1033))))*IF(AND(ArtifactsInput!$M$42,((Inputs!$B$9+((C1014=TRUE)*(F1014-Calc!F26))+B1022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998*(MIN(100,(Inputs!$B$9+((C1014=TRUE)*(F1014-Calc!F26))+B1022+(ArtifactsInput!$M$24-ArtifactsInput!$M$24)*CHOOSE(ArtifactsInput!$N$24+1,10,12,14,16,18,20)+(IF(AND(Inputs!$B$39&lt;&gt;"pvp",Inputs!$B$44=0),1,IF(IF(Inputs!$B$39="pvp",15,Inputs!$B$44)-(B1033)&lt;=0,1,MAX(0,IF(Inputs!$B$39="pvp",15,Inputs!$B$44)-MAX(5,B1033))/(IF(Inputs!$B$39="pvp",15,Inputs!$B$44)-(B1033))))*IF(AND(ArtifactsInput!$M$42,((Inputs!$B$9+((C1014=TRUE)*(F1014-Calc!F26))+B1022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998">
        <f>IF(C998,(0.2*SUMPRODUCT((Skills!Z2:Z31=TRUE)*(C990:C1019=TRUE)*S990:S1019)*N998)*IF(Inputs!$B$39="pvp",1,(1+(Inputs!$B$21+Skills!Q10+B1023+(IF(ArtifactsInput!$M$33,CHOOSE(ArtifactsInput!$N$33+1,30,36,42,48,54,60),0))+(IF(AND(ArtifactsInput!$M$35,Inputs!$B$4&lt;&gt;"Chapter Hunt"),CHOOSE(ArtifactsInput!$N$35+1,15,18,21,24,27,30)*(1-EXP(-(0.2*B1026)*5)),0)+IF(AND(ArtifactsInput!$M$22,Inputs!$B$4&lt;&gt;"Chapter Hunt"),CHOOSE(ArtifactsInput!$N$22+1,10,12,14,16,18,20)*((0*(((0.15*B1026*5))^0/1)+1*(((0.15*B1026*5))^1/1)+2*(((0.15*B1026*5))^2/2)+3*(((0.15*B1026*5))^3/6)+4*(((0.15*B1026*5))^4/24)+5*(((0.15*B1026*5))^5/120))/((((0.15*B1026*5))^0/1)+(((0.15*B1026*5))^1/1)+(((0.15*B1026*5))^2/2)+(((0.15*B1026*5))^3/6)+(((0.15*B1026*5))^4/24)+(((0.15*B1026*5))^5/120))),0)))/100)*(MIN(Skills!W10,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999">
      <c r="A999">
        <f>Skills!A11</f>
        <v/>
      </c>
      <c r="B999">
        <f>Skills!B11</f>
        <v/>
      </c>
      <c r="C999">
        <f>Inputs!$B$3&gt;=74</f>
        <v/>
      </c>
      <c r="D999">
        <f>IF(Skills!C11=1,60+Inputs!$B$25+Inputs!$B$29,IF(Skills!C11=2,90+Inputs!$B$26+Inputs!$B$29,IF(Skills!C11=3,120+(Inputs!$B$27+1)+Inputs!$B$29,MAX(0,(Inputs!$B$3-100)*3)+Inputs!$B$28+Inputs!$B$29)))</f>
        <v/>
      </c>
      <c r="E999">
        <f>INDEX(FactorTable!$B$2:$Y$301, MATCH(ROUND(MIN(300,MAX(1,D999)),0), FactorTable!$A$2:$A$301,0), Skills!M11+1)</f>
        <v/>
      </c>
      <c r="F999">
        <f>IF(Skills!N11=TRUE,(Skills!L11/10)*(E999/1000),Skills!L11/10)+Skills!O11</f>
        <v/>
      </c>
      <c r="G999">
        <f>Skills!G11*IF(Skills!H11&gt;0,IF(Inputs!$B$39="pvp",MIN(Skills!I11,15),Skills!I11)/Skills!H11,1)</f>
        <v/>
      </c>
      <c r="H999">
        <f>1-(1-Skills!J11/100)^Skills!K11</f>
        <v/>
      </c>
      <c r="I999" t="inlineStr">
        <is>
          <t>1</t>
        </is>
      </c>
      <c r="J999" t="inlineStr"/>
      <c r="K999" t="inlineStr"/>
      <c r="L999" t="inlineStr"/>
      <c r="M999" t="inlineStr"/>
      <c r="N999" t="inlineStr"/>
      <c r="O999">
        <f>(1-Summary!$B$11)*T999+Summary!$B$11*V999</f>
        <v/>
      </c>
      <c r="P999">
        <f>IF(B1034=0,0,O999/B1034)</f>
        <v/>
      </c>
      <c r="Q999">
        <f>IFERROR(1/IF(Inputs!$B$39="pvp",15,MAX(0.1,Skills!D11-IF(TRUE=TRUE,Inputs!$B$32,0))),0)</f>
        <v/>
      </c>
      <c r="R999">
        <f>IF(AND(Inputs!$B$39&lt;&gt;"pvp",Inputs!$B$44&gt;0),IF(Inputs!$B$44&lt;=0,0,(INT(Inputs!$B$44/IF(Inputs!$B$39="pvp",15,MAX(0.1,Skills!D11-IF(TRUE=TRUE,Inputs!$B$32,0))))+1)),0)</f>
        <v/>
      </c>
      <c r="S999">
        <f>IFERROR(O999/N999,0)</f>
        <v/>
      </c>
      <c r="T999" t="n">
        <v>0</v>
      </c>
      <c r="V999" t="n">
        <v>0</v>
      </c>
    </row>
    <row r="1000">
      <c r="A1000">
        <f>Skills!A12</f>
        <v/>
      </c>
      <c r="B1000">
        <f>Skills!B12</f>
        <v/>
      </c>
      <c r="C1000">
        <f>Inputs!$B$3&gt;=103</f>
        <v/>
      </c>
      <c r="D1000">
        <f>IF(Skills!C12=1,60+Inputs!$B$25+Inputs!$B$29,IF(Skills!C12=2,90+Inputs!$B$26+Inputs!$B$29,IF(Skills!C12=3,120+(Inputs!$B$27+1)+Inputs!$B$29,MAX(0,(Inputs!$B$3-100)*3)+Inputs!$B$28+Inputs!$B$29)))</f>
        <v/>
      </c>
      <c r="E1000">
        <f>INDEX(FactorTable!$B$2:$Y$301, MATCH(ROUND(MIN(300,MAX(1,D1000)),0), FactorTable!$A$2:$A$301,0), Skills!M12+1)</f>
        <v/>
      </c>
      <c r="F1000">
        <f>(Skills!L12/10)*(E1000/1000)+IF(Inputs!$B$3&gt;=134,50,0)+0.5*(30000/10)*(INDEX(FactorTable!$B$2:$Y$301, MATCH(ROUND(MIN(300,MAX(1,D1000)),0), FactorTable!$A$2:$A$301,0), 13)/1000)*B1032</f>
        <v/>
      </c>
      <c r="G1000">
        <f>Skills!G12*IF(Skills!H12&gt;0,IF(Inputs!$B$39="pvp",MIN(Skills!I12,15),Skills!I12)/Skills!H12,1)</f>
        <v/>
      </c>
      <c r="H1000">
        <f>1-(1-Skills!J12/100)^Skills!K12</f>
        <v/>
      </c>
      <c r="I1000" t="inlineStr">
        <is>
          <t>1</t>
        </is>
      </c>
      <c r="J1000">
        <f>((Inputs!$B$6*(1+Inputs!$B$7/100))+(((Inputs!$B$12*(1+Inputs!$B$13/100))-(Inputs!$B$12*(1+Inputs!$B$13/100)))+0.25*(Inputs!$B$14-Inputs!$B$14))*(1+Inputs!$B$7/100))*(F1000/100)</f>
        <v/>
      </c>
      <c r="K1000">
        <f>J1000*(1+((Inputs!$B$12*(1+Inputs!$B$13/100))*0.01+Inputs!$B$14*0.0025)/100)*(1+Inputs!$B$15/100)*(1+Inputs!$B$16/100)*(5000/(6000+Inputs!$B$43*(1-(100*(1-(1-Inputs!$B$19/100)*(1-CHOOSE(ArtifactsInput!$N$40+1,5,6,7,8,9,10)/100)^(ArtifactsInput!$M$40-ArtifactsInput!$M$40)))/100)))*(1+(Inputs!$B$24+((C1019=TRUE)*(F1019-Calc!F31))+((C1006=TRUE)*(F1006-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12="CRUEL_STAB",Inputs!$B$17+((C1016=TRUE)*(F1016-Calc!F28))+((IF(AND(Inputs!$B$39&lt;&gt;"pvp",Inputs!$B$44=0),1,IF(IF(Inputs!$B$39="pvp",15,Inputs!$B$44)-(B1033)&lt;=0,1,MAX(0,IF(Inputs!$B$39="pvp",15,Inputs!$B$44)-MAX(5,B1033))/(IF(Inputs!$B$39="pvp",15,Inputs!$B$44)-(B1033))))*(IF(AND(ArtifactsInput!$M$42,((Inputs!$B$9+((C1014=TRUE)*(F1014-Calc!F26))+B1022+(ArtifactsInput!$M$24-ArtifactsInput!$M$24)*CHOOSE(ArtifactsInput!$N$24+1,10,12,14,16,18,20)+IF(ArtifactsInput!$M$10,CHOOSE(ArtifactsInput!$N$10+1,15,18,21,24,27,30)*(IF(Inputs!$B$39="pvp",MIN(15,15)/15,IF(AND(Inputs!$B$39&lt;&gt;"pvp",Inputs!$B$44&gt;0),MIN(15,Inputs!$B$44)/(Inputs!$B$44),0))),0)))&gt;=100),MIN(100,((Inputs!$B$9+((C1014=TRUE)*(F1014-Calc!F26))+B1022+(ArtifactsInput!$M$24-ArtifactsInput!$M$24)*CHOOSE(ArtifactsInput!$N$24+1,10,12,14,16,18,20)+IF(ArtifactsInput!$M$10,CHOOSE(ArtifactsInput!$N$10+1,15,18,21,24,27,30)*(IF(Inputs!$B$39="pvp",MIN(15,15)/15,IF(AND(Inputs!$B$39&lt;&gt;"pvp",Inputs!$B$44&gt;0),MIN(15,Inputs!$B$44)/(Inputs!$B$44),0))),0)))-100),0))*CHOOSE(ArtifactsInput!$N$42+1,0.6,0.72,0.84,0.96,1.08,1.2))),Inputs!$B$18+((C1017=TRUE)*(F1017-Calc!F29))+(IF(AND(Inputs!$B$39&lt;&gt;"pvp",Inputs!$B$44=0),1,IF(IF(Inputs!$B$39="pvp",15,Inputs!$B$44)-(B1033)&lt;=0,1,MAX(0,IF(Inputs!$B$39="pvp",15,Inputs!$B$44)-MAX(5,B1033))/(IF(Inputs!$B$39="pvp",15,Inputs!$B$44)-(B1033))))*IF(AND(ArtifactsInput!$M$42,((Inputs!$B$9+((C1014=TRUE)*(F1014-Calc!F26))+B1022+(ArtifactsInput!$M$24-ArtifactsInput!$M$24)*CHOOSE(ArtifactsInput!$N$24+1,10,12,14,16,18,20)+IF(ArtifactsInput!$M$10,CHOOSE(ArtifactsInput!$N$10+1,15,18,21,24,27,30)*(IF(Inputs!$B$39="pvp",MIN(15,15)/15,IF(AND(Inputs!$B$39&lt;&gt;"pvp",Inputs!$B$44&gt;0),MIN(15,Inputs!$B$44)/(Inputs!$B$44),0))),0)))&gt;=100),CHOOSE(ArtifactsInput!$N$42+1,40,48,56,64,72,80),0))))/100)*(((1+(((C1010=TRUE)*F1010*IF(AND(Inputs!$B$39&lt;&gt;"pvp",Inputs!$B$44&gt;0),(((R1010-1)*MIN((Skills!Y22*(1+Inputs!$B$34/100)),(1/Q1010))+MIN((Skills!Y22*(1+Inputs!$B$34/100)),MAX(0,Inputs!$B$44-((R1010-1)*(1/Q1010)))))/Inputs!$B$44),IF(Inputs!$B$39="pvp",MIN((Skills!Y22*(1+Inputs!$B$34/100)),15)/15,MIN(1,(Skills!Y22*(1+Inputs!$B$34/100))/(1/Q1010)))))+((C991=TRUE)*F991*3)+((C993=TRUE)*F993*(1-EXP(-0.75*B1026*5)))+((C1012=TRUE)*(F1012-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999=TRUE)*F999*IF(AND(Inputs!$B$39&lt;&gt;"pvp",Inputs!$B$44&gt;0),(((R999-1)*MIN((Skills!Y11*(1+Inputs!$B$34/100)),(1/Q999))+MIN((Skills!Y11*(1+Inputs!$B$34/100)),MAX(0,Inputs!$B$44-((R999-1)*(1/Q999)))))/Inputs!$B$44),IF(Inputs!$B$39="pvp",MIN((Skills!Y11*(1+Inputs!$B$34/100)),15)/15,MIN(1,(Skills!Y11*(1+Inputs!$B$34/100))/(1/Q999)))))/100)*(1+((C1004=TRUE)*F1004*IF(AND(Inputs!$B$39&lt;&gt;"pvp",Inputs!$B$44&gt;0),(((R1004-1)*MIN((Skills!Y16*(1+Inputs!$B$34/100)),(1/Q1004))+MIN((Skills!Y16*(1+Inputs!$B$34/100)),MAX(0,Inputs!$B$44-((R1004-1)*(1/Q1004)))))/Inputs!$B$44),IF(Inputs!$B$39="pvp",MIN((Skills!Y16*(1+Inputs!$B$34/100)),15)/15,MIN(1,(Skills!Y16*(1+Inputs!$B$34/100))/(1/Q1004)))))/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1024*I1000)</f>
        <v/>
      </c>
      <c r="L1000">
        <f>K1000*(MIN(Inputs!$B$22+((C1013=TRUE)*(F1013-Calc!F25)),(Inputs!$B$23+((C1018=TRUE)*(F1018-Calc!F30))+IF(ArtifactsInput!$M$15,CHOOSE(ArtifactsInput!$N$15+1,25,30,35,40,45,50)/100*(Inputs!$B$11-Inputs!$B$11),0)))/100+(Inputs!$B$23+((C1018=TRUE)*(F1018-Calc!F30))+IF(ArtifactsInput!$M$15,CHOOSE(ArtifactsInput!$N$15+1,25,30,35,40,45,50)/100*(Inputs!$B$11-Inputs!$B$11),0))/100)/2</f>
        <v/>
      </c>
      <c r="M1000">
        <f>L1000*(1+(Inputs!$B$10+((C1015=TRUE)*(F1015-Calc!F27))+B1029+(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1000">
        <f>L1000*(1-MIN((Inputs!$B$9+((C1014=TRUE)*(F1014-Calc!F26))+B1022+(ArtifactsInput!$M$24-ArtifactsInput!$M$24)*CHOOSE(ArtifactsInput!$N$24+1,10,12,14,16,18,20)+(IF(AND(Inputs!$B$39&lt;&gt;"pvp",Inputs!$B$44=0),1,IF(IF(Inputs!$B$39="pvp",15,Inputs!$B$44)-(B1033)&lt;=0,1,MAX(0,IF(Inputs!$B$39="pvp",15,Inputs!$B$44)-MAX(5,B1033))/(IF(Inputs!$B$39="pvp",15,Inputs!$B$44)-(B1033))))*IF(AND(ArtifactsInput!$M$42,((Inputs!$B$9+((C1014=TRUE)*(F1014-Calc!F26))+B1022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1000*(MIN((Inputs!$B$9+((C1014=TRUE)*(F1014-Calc!F26))+B1022+(ArtifactsInput!$M$24-ArtifactsInput!$M$24)*CHOOSE(ArtifactsInput!$N$24+1,10,12,14,16,18,20)+(IF(AND(Inputs!$B$39&lt;&gt;"pvp",Inputs!$B$44=0),1,IF(IF(Inputs!$B$39="pvp",15,Inputs!$B$44)-(B1033)&lt;=0,1,MAX(0,IF(Inputs!$B$39="pvp",15,Inputs!$B$44)-MAX(5,B1033))/(IF(Inputs!$B$39="pvp",15,Inputs!$B$44)-(B1033))))*IF(AND(ArtifactsInput!$M$42,((Inputs!$B$9+((C1014=TRUE)*(F1014-Calc!F26))+B1022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000">
        <f>(1-Summary!$B$11)*T1000+Summary!$B$11*V1000</f>
        <v/>
      </c>
      <c r="P1000">
        <f>IF(B1034=0,0,O1000/B1034)</f>
        <v/>
      </c>
      <c r="Q1000">
        <f>IFERROR(1/IF(Inputs!$B$39="pvp",15,MAX(0.1,Skills!D12-IF(TRUE=TRUE,Inputs!$B$32,0))),0)</f>
        <v/>
      </c>
      <c r="R1000">
        <f>IF(AND(Inputs!$B$39&lt;&gt;"pvp",Inputs!$B$44&gt;0),IF(MAX(0,Inputs!$B$44-B1033)&lt;=0,0,(INT(MAX(0,Inputs!$B$44-B1033)/IF(Inputs!$B$39="pvp",15,MAX(0.1,Skills!D12-IF(TRUE=TRUE,Inputs!$B$32,0))))+1)),0)</f>
        <v/>
      </c>
      <c r="S1000">
        <f>IFERROR(O1000/N1000,0)</f>
        <v/>
      </c>
      <c r="T1000">
        <f>IF(C1000,(H1000*N1000*IF(AND(Inputs!$B$39&lt;&gt;"pvp",Inputs!$B$44&gt;0),((Skills!G12*((R1000-1)*IF(Skills!H12&gt;0,Skills!I12/Skills!H12,1)+IF(Skills!H12&gt;0,MIN(Skills!I12,MAX(0,MAX(0,Inputs!$B$44-B1033)-((R1000-1)*IF(Inputs!$B$39="pvp",15,MAX(0.1,Skills!D12-IF(TRUE=TRUE,Inputs!$B$32,0))))))/Skills!H12,1)))/Inputs!$B$44),G1000*Q1000))*IF(Inputs!$B$39="pvp",1,1+(Inputs!$B$20+0+Skills!P12+B1023+(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Hunt"),CHOOSE(ArtifactsInput!$N$35+1,15,18,21,24,27,30)*(1-EXP(-(0.2*B1026)*5)),0)+IF(AND(ArtifactsInput!$M$22,Inputs!$B$4&lt;&gt;"Chapter Hunt"),CHOOSE(ArtifactsInput!$N$22+1,10,12,14,16,18,20)*((0*(((0.15*B1026*5))^0/1)+1*(((0.15*B1026*5))^1/1)+2*(((0.15*B1026*5))^2/2)+3*(((0.15*B1026*5))^3/6)+4*(((0.15*B1026*5))^4/24)+5*(((0.15*B1026*5))^5/120))/((((0.15*B1026*5))^0/1)+(((0.15*B1026*5))^1/1)+(((0.15*B1026*5))^2/2)+(((0.15*B1026*5))^3/6)+(((0.15*B1026*5))^4/24)+(((0.15*B1026*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1000*(1-MIN(100,(Inputs!$B$9+((C1014=TRUE)*(F1014-Calc!F26))+B1022+(ArtifactsInput!$M$24-ArtifactsInput!$M$24)*CHOOSE(ArtifactsInput!$N$24+1,10,12,14,16,18,20)+(IF(AND(Inputs!$B$39&lt;&gt;"pvp",Inputs!$B$44=0),1,IF(IF(Inputs!$B$39="pvp",15,Inputs!$B$44)-(B1033)&lt;=0,1,MAX(0,IF(Inputs!$B$39="pvp",15,Inputs!$B$44)-MAX(5,B1033))/(IF(Inputs!$B$39="pvp",15,Inputs!$B$44)-(B1033))))*IF(AND(ArtifactsInput!$M$42,((Inputs!$B$9+((C1014=TRUE)*(F1014-Calc!F26))+B1022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1000*(MIN(100,(Inputs!$B$9+((C1014=TRUE)*(F1014-Calc!F26))+B1022+(ArtifactsInput!$M$24-ArtifactsInput!$M$24)*CHOOSE(ArtifactsInput!$N$24+1,10,12,14,16,18,20)+(IF(AND(Inputs!$B$39&lt;&gt;"pvp",Inputs!$B$44=0),1,IF(IF(Inputs!$B$39="pvp",15,Inputs!$B$44)-(B1033)&lt;=0,1,MAX(0,IF(Inputs!$B$39="pvp",15,Inputs!$B$44)-MAX(5,B1033))/(IF(Inputs!$B$39="pvp",15,Inputs!$B$44)-(B1033))))*IF(AND(ArtifactsInput!$M$42,((Inputs!$B$9+((C1014=TRUE)*(F1014-Calc!F26))+B1022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1000*(1-MIN(100,(Inputs!$B$9+((C1014=TRUE)*(F1014-Calc!F26))+B1022+(ArtifactsInput!$M$24-ArtifactsInput!$M$24)*CHOOSE(ArtifactsInput!$N$24+1,10,12,14,16,18,20)+(IF(AND(Inputs!$B$39&lt;&gt;"pvp",Inputs!$B$44=0),1,IF(IF(Inputs!$B$39="pvp",15,Inputs!$B$44)-(B1033)&lt;=0,1,MAX(0,IF(Inputs!$B$39="pvp",15,Inputs!$B$44)-MAX(5,B1033))/(IF(Inputs!$B$39="pvp",15,Inputs!$B$44)-(B1033))))*IF(AND(ArtifactsInput!$M$42,((Inputs!$B$9+((C1014=TRUE)*(F1014-Calc!F26))+B1022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1000*(MIN(100,(Inputs!$B$9+((C1014=TRUE)*(F1014-Calc!F26))+B1022+(ArtifactsInput!$M$24-ArtifactsInput!$M$24)*CHOOSE(ArtifactsInput!$N$24+1,10,12,14,16,18,20)+(IF(AND(Inputs!$B$39&lt;&gt;"pvp",Inputs!$B$44=0),1,IF(IF(Inputs!$B$39="pvp",15,Inputs!$B$44)-(B1033)&lt;=0,1,MAX(0,IF(Inputs!$B$39="pvp",15,Inputs!$B$44)-MAX(5,B1033))/(IF(Inputs!$B$39="pvp",15,Inputs!$B$44)-(B1033))))*IF(AND(ArtifactsInput!$M$42,((Inputs!$B$9+((C1014=TRUE)*(F1014-Calc!F26))+B1022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1000">
        <f>IF(C1000,(H1000*N1000*IF(AND(Inputs!$B$39&lt;&gt;"pvp",Inputs!$B$44&gt;0),((Skills!G12*((R1000-1)*IF(Skills!H12&gt;0,Skills!I12/Skills!H12,1)+IF(Skills!H12&gt;0,MIN(Skills!I12,MAX(0,MAX(0,Inputs!$B$44-B1033)-((R1000-1)*IF(Inputs!$B$39="pvp",15,MAX(0.1,Skills!D12-IF(TRUE=TRUE,Inputs!$B$32,0))))))/Skills!H12,1)))/Inputs!$B$44),G1000*Q1000))*IF(Inputs!$B$39="pvp",1,(1+(Inputs!$B$21+Skills!Q12+B1023+(IF(ArtifactsInput!$M$33,CHOOSE(ArtifactsInput!$N$33+1,30,36,42,48,54,60),0))+(IF(AND(ArtifactsInput!$M$35,Inputs!$B$4&lt;&gt;"Chapter Hunt"),CHOOSE(ArtifactsInput!$N$35+1,15,18,21,24,27,30)*(1-EXP(-(0.2*B1026)*5)),0)+IF(AND(ArtifactsInput!$M$22,Inputs!$B$4&lt;&gt;"Chapter Hunt"),CHOOSE(ArtifactsInput!$N$22+1,10,12,14,16,18,20)*((0*(((0.15*B1026*5))^0/1)+1*(((0.15*B1026*5))^1/1)+2*(((0.15*B1026*5))^2/2)+3*(((0.15*B1026*5))^3/6)+4*(((0.15*B1026*5))^4/24)+5*(((0.15*B1026*5))^5/120))/((((0.15*B1026*5))^0/1)+(((0.15*B1026*5))^1/1)+(((0.15*B1026*5))^2/2)+(((0.15*B1026*5))^3/6)+(((0.15*B1026*5))^4/24)+(((0.15*B1026*5))^5/120))),0)))/100)*(MIN(Skills!W12,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001">
      <c r="A1001">
        <f>Skills!A13</f>
        <v/>
      </c>
      <c r="B1001">
        <f>Skills!B13</f>
        <v/>
      </c>
      <c r="C1001">
        <f>Inputs!$B$3&gt;=105</f>
        <v/>
      </c>
      <c r="D1001">
        <f>IF(Skills!C13=1,60+Inputs!$B$25+Inputs!$B$29,IF(Skills!C13=2,90+Inputs!$B$26+Inputs!$B$29,IF(Skills!C13=3,120+(Inputs!$B$27+1)+Inputs!$B$29,MAX(0,(Inputs!$B$3-100)*3)+Inputs!$B$28+Inputs!$B$29)))</f>
        <v/>
      </c>
      <c r="E1001">
        <f>INDEX(FactorTable!$B$2:$Y$301, MATCH(ROUND(MIN(300,MAX(1,D1001)),0), FactorTable!$A$2:$A$301,0), Skills!M13+1)</f>
        <v/>
      </c>
      <c r="F1001">
        <f>IF(Skills!N13=TRUE,(Skills!L13/10)*(E1001/1000),Skills!L13/10)+Skills!O13</f>
        <v/>
      </c>
      <c r="G1001">
        <f>Skills!G13*IF(Skills!H13&gt;0,IF(Inputs!$B$39="pvp",MIN(Skills!I13,15),Skills!I13)/Skills!H13,1)</f>
        <v/>
      </c>
      <c r="H1001">
        <f>1-(1-Skills!J13/100)^Skills!K13</f>
        <v/>
      </c>
      <c r="I1001" t="inlineStr">
        <is>
          <t>1</t>
        </is>
      </c>
      <c r="J1001">
        <f>((Inputs!$B$6*(1+Inputs!$B$7/100))+(((Inputs!$B$12*(1+Inputs!$B$13/100))-(Inputs!$B$12*(1+Inputs!$B$13/100)))+0.25*(Inputs!$B$14-Inputs!$B$14))*(1+Inputs!$B$7/100))*(F1001/100)</f>
        <v/>
      </c>
      <c r="K1001">
        <f>J1001*(1+((Inputs!$B$12*(1+Inputs!$B$13/100))*0.01+Inputs!$B$14*0.0025)/100)*(1+Inputs!$B$15/100)*(1+Inputs!$B$16/100)*(5000/(6000+Inputs!$B$43*(1-(100*(1-(1-Inputs!$B$19/100)*(1-CHOOSE(ArtifactsInput!$N$40+1,5,6,7,8,9,10)/100)^(ArtifactsInput!$M$40-ArtifactsInput!$M$40)))/100)))*(1+(Inputs!$B$24+((C1019=TRUE)*(F1019-Calc!F31))+((C1006=TRUE)*(F1006-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13="CRUEL_STAB",Inputs!$B$17+((C1016=TRUE)*(F1016-Calc!F28))+((IF(AND(Inputs!$B$39&lt;&gt;"pvp",Inputs!$B$44=0),1,IF(IF(Inputs!$B$39="pvp",15,Inputs!$B$44)-(B1033)&lt;=0,1,MAX(0,IF(Inputs!$B$39="pvp",15,Inputs!$B$44)-MAX(5,B1033))/(IF(Inputs!$B$39="pvp",15,Inputs!$B$44)-(B1033))))*(IF(AND(ArtifactsInput!$M$42,((Inputs!$B$9+((C1014=TRUE)*(F1014-Calc!F26))+B1022+(ArtifactsInput!$M$24-ArtifactsInput!$M$24)*CHOOSE(ArtifactsInput!$N$24+1,10,12,14,16,18,20)+IF(ArtifactsInput!$M$10,CHOOSE(ArtifactsInput!$N$10+1,15,18,21,24,27,30)*(IF(Inputs!$B$39="pvp",MIN(15,15)/15,IF(AND(Inputs!$B$39&lt;&gt;"pvp",Inputs!$B$44&gt;0),MIN(15,Inputs!$B$44)/(Inputs!$B$44),0))),0)))&gt;=100),MIN(100,((Inputs!$B$9+((C1014=TRUE)*(F1014-Calc!F26))+B1022+(ArtifactsInput!$M$24-ArtifactsInput!$M$24)*CHOOSE(ArtifactsInput!$N$24+1,10,12,14,16,18,20)+IF(ArtifactsInput!$M$10,CHOOSE(ArtifactsInput!$N$10+1,15,18,21,24,27,30)*(IF(Inputs!$B$39="pvp",MIN(15,15)/15,IF(AND(Inputs!$B$39&lt;&gt;"pvp",Inputs!$B$44&gt;0),MIN(15,Inputs!$B$44)/(Inputs!$B$44),0))),0)))-100),0))*CHOOSE(ArtifactsInput!$N$42+1,0.6,0.72,0.84,0.96,1.08,1.2))),Inputs!$B$18+((C1017=TRUE)*(F1017-Calc!F29))+(IF(AND(Inputs!$B$39&lt;&gt;"pvp",Inputs!$B$44=0),1,IF(IF(Inputs!$B$39="pvp",15,Inputs!$B$44)-(B1033)&lt;=0,1,MAX(0,IF(Inputs!$B$39="pvp",15,Inputs!$B$44)-MAX(5,B1033))/(IF(Inputs!$B$39="pvp",15,Inputs!$B$44)-(B1033))))*IF(AND(ArtifactsInput!$M$42,((Inputs!$B$9+((C1014=TRUE)*(F1014-Calc!F26))+B1022+(ArtifactsInput!$M$24-ArtifactsInput!$M$24)*CHOOSE(ArtifactsInput!$N$24+1,10,12,14,16,18,20)+IF(ArtifactsInput!$M$10,CHOOSE(ArtifactsInput!$N$10+1,15,18,21,24,27,30)*(IF(Inputs!$B$39="pvp",MIN(15,15)/15,IF(AND(Inputs!$B$39&lt;&gt;"pvp",Inputs!$B$44&gt;0),MIN(15,Inputs!$B$44)/(Inputs!$B$44),0))),0)))&gt;=100),CHOOSE(ArtifactsInput!$N$42+1,40,48,56,64,72,80),0))))/100)*(((1+(((C1010=TRUE)*F1010*IF(AND(Inputs!$B$39&lt;&gt;"pvp",Inputs!$B$44&gt;0),(((R1010-1)*MIN((Skills!Y22*(1+Inputs!$B$34/100)),(1/Q1010))+MIN((Skills!Y22*(1+Inputs!$B$34/100)),MAX(0,Inputs!$B$44-((R1010-1)*(1/Q1010)))))/Inputs!$B$44),IF(Inputs!$B$39="pvp",MIN((Skills!Y22*(1+Inputs!$B$34/100)),15)/15,MIN(1,(Skills!Y22*(1+Inputs!$B$34/100))/(1/Q1010)))))+((C991=TRUE)*F991*3)+((C993=TRUE)*F993*(1-EXP(-0.75*B1026*5)))+((C1012=TRUE)*(F1012-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999=TRUE)*F999*IF(AND(Inputs!$B$39&lt;&gt;"pvp",Inputs!$B$44&gt;0),(((R999-1)*MIN((Skills!Y11*(1+Inputs!$B$34/100)),(1/Q999))+MIN((Skills!Y11*(1+Inputs!$B$34/100)),MAX(0,Inputs!$B$44-((R999-1)*(1/Q999)))))/Inputs!$B$44),IF(Inputs!$B$39="pvp",MIN((Skills!Y11*(1+Inputs!$B$34/100)),15)/15,MIN(1,(Skills!Y11*(1+Inputs!$B$34/100))/(1/Q999)))))/100)*(1+((C1004=TRUE)*F1004*IF(AND(Inputs!$B$39&lt;&gt;"pvp",Inputs!$B$44&gt;0),(((R1004-1)*MIN((Skills!Y16*(1+Inputs!$B$34/100)),(1/Q1004))+MIN((Skills!Y16*(1+Inputs!$B$34/100)),MAX(0,Inputs!$B$44-((R1004-1)*(1/Q1004)))))/Inputs!$B$44),IF(Inputs!$B$39="pvp",MIN((Skills!Y16*(1+Inputs!$B$34/100)),15)/15,MIN(1,(Skills!Y16*(1+Inputs!$B$34/100))/(1/Q1004)))))/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1024*I1001)</f>
        <v/>
      </c>
      <c r="L1001">
        <f>K1001*(MIN(Inputs!$B$22+((C1013=TRUE)*(F1013-Calc!F25)),(Inputs!$B$23+((C1018=TRUE)*(F1018-Calc!F30))+IF(ArtifactsInput!$M$15,CHOOSE(ArtifactsInput!$N$15+1,25,30,35,40,45,50)/100*(Inputs!$B$11-Inputs!$B$11),0)))/100+(Inputs!$B$23+((C1018=TRUE)*(F1018-Calc!F30))+IF(ArtifactsInput!$M$15,CHOOSE(ArtifactsInput!$N$15+1,25,30,35,40,45,50)/100*(Inputs!$B$11-Inputs!$B$11),0))/100)/2</f>
        <v/>
      </c>
      <c r="M1001">
        <f>L1001*(1+(Inputs!$B$10+((C1015=TRUE)*(F1015-Calc!F27))+B1029+(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1001">
        <f>L1001*(1-MIN((Inputs!$B$9+((C1014=TRUE)*(F1014-Calc!F26))+B1022+(ArtifactsInput!$M$24-ArtifactsInput!$M$24)*CHOOSE(ArtifactsInput!$N$24+1,10,12,14,16,18,20)+(IF(AND(Inputs!$B$39&lt;&gt;"pvp",Inputs!$B$44=0),1,IF(IF(Inputs!$B$39="pvp",15,Inputs!$B$44)-(B1033)&lt;=0,1,MAX(0,IF(Inputs!$B$39="pvp",15,Inputs!$B$44)-MAX(5,B1033))/(IF(Inputs!$B$39="pvp",15,Inputs!$B$44)-(B1033))))*IF(AND(ArtifactsInput!$M$42,((Inputs!$B$9+((C1014=TRUE)*(F1014-Calc!F26))+B1022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1001*(MIN((Inputs!$B$9+((C1014=TRUE)*(F1014-Calc!F26))+B1022+(ArtifactsInput!$M$24-ArtifactsInput!$M$24)*CHOOSE(ArtifactsInput!$N$24+1,10,12,14,16,18,20)+(IF(AND(Inputs!$B$39&lt;&gt;"pvp",Inputs!$B$44=0),1,IF(IF(Inputs!$B$39="pvp",15,Inputs!$B$44)-(B1033)&lt;=0,1,MAX(0,IF(Inputs!$B$39="pvp",15,Inputs!$B$44)-MAX(5,B1033))/(IF(Inputs!$B$39="pvp",15,Inputs!$B$44)-(B1033))))*IF(AND(ArtifactsInput!$M$42,((Inputs!$B$9+((C1014=TRUE)*(F1014-Calc!F26))+B1022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001">
        <f>(1-Summary!$B$11)*T1001+Summary!$B$11*V1001</f>
        <v/>
      </c>
      <c r="P1001">
        <f>IF(B1034=0,0,O1001/B1034)</f>
        <v/>
      </c>
      <c r="Q1001">
        <f>IFERROR(1/IF(Inputs!$B$39="pvp",15,MAX(0.1,Skills!D13-IF(TRUE=TRUE,Inputs!$B$32,0))),0)</f>
        <v/>
      </c>
      <c r="R1001">
        <f>IF(AND(Inputs!$B$39&lt;&gt;"pvp",Inputs!$B$44&gt;0),IF(MAX(0,Inputs!$B$44-B1033)&lt;=0,0,(INT(MAX(0,Inputs!$B$44-B1033)/IF(Inputs!$B$39="pvp",15,MAX(0.1,Skills!D13-IF(TRUE=TRUE,Inputs!$B$32,0))))+1)),0)</f>
        <v/>
      </c>
      <c r="S1001">
        <f>IFERROR(O1001/N1001,0)</f>
        <v/>
      </c>
      <c r="T1001">
        <f>IF(C1001,(H1001*N1001*IF(AND(Inputs!$B$39&lt;&gt;"pvp",Inputs!$B$44&gt;0),((Skills!G13*((R1001-1)*IF(Skills!H13&gt;0,Skills!I13/Skills!H13,1)+IF(Skills!H13&gt;0,MIN(Skills!I13,MAX(0,MAX(0,Inputs!$B$44-B1033)-((R1001-1)*IF(Inputs!$B$39="pvp",15,MAX(0.1,Skills!D13-IF(TRUE=TRUE,Inputs!$B$32,0))))))/Skills!H13,1)))/Inputs!$B$44),G1001*Q1001))*IF(Inputs!$B$39="pvp",1,1+(Inputs!$B$20+0+Skills!P13+B1023+(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Hunt"),CHOOSE(ArtifactsInput!$N$35+1,15,18,21,24,27,30)*(1-EXP(-(0.2*B1026)*5)),0)+IF(AND(ArtifactsInput!$M$22,Inputs!$B$4&lt;&gt;"Chapter Hunt"),CHOOSE(ArtifactsInput!$N$22+1,10,12,14,16,18,20)*((0*(((0.15*B1026*5))^0/1)+1*(((0.15*B1026*5))^1/1)+2*(((0.15*B1026*5))^2/2)+3*(((0.15*B1026*5))^3/6)+4*(((0.15*B1026*5))^4/24)+5*(((0.15*B1026*5))^5/120))/((((0.15*B1026*5))^0/1)+(((0.15*B1026*5))^1/1)+(((0.15*B1026*5))^2/2)+(((0.15*B1026*5))^3/6)+(((0.15*B1026*5))^4/24)+(((0.15*B1026*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1001*(1-MIN(100,(Inputs!$B$9+((C1014=TRUE)*(F1014-Calc!F26))+B1022+(ArtifactsInput!$M$24-ArtifactsInput!$M$24)*CHOOSE(ArtifactsInput!$N$24+1,10,12,14,16,18,20)+(IF(AND(Inputs!$B$39&lt;&gt;"pvp",Inputs!$B$44=0),1,IF(IF(Inputs!$B$39="pvp",15,Inputs!$B$44)-(B1033)&lt;=0,1,MAX(0,IF(Inputs!$B$39="pvp",15,Inputs!$B$44)-MAX(5,B1033))/(IF(Inputs!$B$39="pvp",15,Inputs!$B$44)-(B1033))))*IF(AND(ArtifactsInput!$M$42,((Inputs!$B$9+((C1014=TRUE)*(F1014-Calc!F26))+B1022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1001*(MIN(100,(Inputs!$B$9+((C1014=TRUE)*(F1014-Calc!F26))+B1022+(ArtifactsInput!$M$24-ArtifactsInput!$M$24)*CHOOSE(ArtifactsInput!$N$24+1,10,12,14,16,18,20)+(IF(AND(Inputs!$B$39&lt;&gt;"pvp",Inputs!$B$44=0),1,IF(IF(Inputs!$B$39="pvp",15,Inputs!$B$44)-(B1033)&lt;=0,1,MAX(0,IF(Inputs!$B$39="pvp",15,Inputs!$B$44)-MAX(5,B1033))/(IF(Inputs!$B$39="pvp",15,Inputs!$B$44)-(B1033))))*IF(AND(ArtifactsInput!$M$42,((Inputs!$B$9+((C1014=TRUE)*(F1014-Calc!F26))+B1022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1001*(1-MIN(100,(Inputs!$B$9+((C1014=TRUE)*(F1014-Calc!F26))+B1022+(ArtifactsInput!$M$24-ArtifactsInput!$M$24)*CHOOSE(ArtifactsInput!$N$24+1,10,12,14,16,18,20)+(IF(AND(Inputs!$B$39&lt;&gt;"pvp",Inputs!$B$44=0),1,IF(IF(Inputs!$B$39="pvp",15,Inputs!$B$44)-(B1033)&lt;=0,1,MAX(0,IF(Inputs!$B$39="pvp",15,Inputs!$B$44)-MAX(5,B1033))/(IF(Inputs!$B$39="pvp",15,Inputs!$B$44)-(B1033))))*IF(AND(ArtifactsInput!$M$42,((Inputs!$B$9+((C1014=TRUE)*(F1014-Calc!F26))+B1022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1001*(MIN(100,(Inputs!$B$9+((C1014=TRUE)*(F1014-Calc!F26))+B1022+(ArtifactsInput!$M$24-ArtifactsInput!$M$24)*CHOOSE(ArtifactsInput!$N$24+1,10,12,14,16,18,20)+(IF(AND(Inputs!$B$39&lt;&gt;"pvp",Inputs!$B$44=0),1,IF(IF(Inputs!$B$39="pvp",15,Inputs!$B$44)-(B1033)&lt;=0,1,MAX(0,IF(Inputs!$B$39="pvp",15,Inputs!$B$44)-MAX(5,B1033))/(IF(Inputs!$B$39="pvp",15,Inputs!$B$44)-(B1033))))*IF(AND(ArtifactsInput!$M$42,((Inputs!$B$9+((C1014=TRUE)*(F1014-Calc!F26))+B1022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1001">
        <f>IF(C1001,(H1001*N1001*IF(AND(Inputs!$B$39&lt;&gt;"pvp",Inputs!$B$44&gt;0),((Skills!G13*((R1001-1)*IF(Skills!H13&gt;0,Skills!I13/Skills!H13,1)+IF(Skills!H13&gt;0,MIN(Skills!I13,MAX(0,MAX(0,Inputs!$B$44-B1033)-((R1001-1)*IF(Inputs!$B$39="pvp",15,MAX(0.1,Skills!D13-IF(TRUE=TRUE,Inputs!$B$32,0))))))/Skills!H13,1)))/Inputs!$B$44),G1001*Q1001))*IF(Inputs!$B$39="pvp",1,(1+(Inputs!$B$21+Skills!Q13+B1023+(IF(ArtifactsInput!$M$33,CHOOSE(ArtifactsInput!$N$33+1,30,36,42,48,54,60),0))+(IF(AND(ArtifactsInput!$M$35,Inputs!$B$4&lt;&gt;"Chapter Hunt"),CHOOSE(ArtifactsInput!$N$35+1,15,18,21,24,27,30)*(1-EXP(-(0.2*B1026)*5)),0)+IF(AND(ArtifactsInput!$M$22,Inputs!$B$4&lt;&gt;"Chapter Hunt"),CHOOSE(ArtifactsInput!$N$22+1,10,12,14,16,18,20)*((0*(((0.15*B1026*5))^0/1)+1*(((0.15*B1026*5))^1/1)+2*(((0.15*B1026*5))^2/2)+3*(((0.15*B1026*5))^3/6)+4*(((0.15*B1026*5))^4/24)+5*(((0.15*B1026*5))^5/120))/((((0.15*B1026*5))^0/1)+(((0.15*B1026*5))^1/1)+(((0.15*B1026*5))^2/2)+(((0.15*B1026*5))^3/6)+(((0.15*B1026*5))^4/24)+(((0.15*B1026*5))^5/120))),0)))/100)*(MIN(Skills!W13,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002">
      <c r="A1002">
        <f>Skills!A14</f>
        <v/>
      </c>
      <c r="B1002">
        <f>Skills!B14</f>
        <v/>
      </c>
      <c r="C1002">
        <f>Inputs!$B$3&gt;=105</f>
        <v/>
      </c>
      <c r="D1002">
        <f>IF(Skills!C14=1,60+Inputs!$B$25+Inputs!$B$29,IF(Skills!C14=2,90+Inputs!$B$26+Inputs!$B$29,IF(Skills!C14=3,120+(Inputs!$B$27+1)+Inputs!$B$29,MAX(0,(Inputs!$B$3-100)*3)+Inputs!$B$28+Inputs!$B$29)))</f>
        <v/>
      </c>
      <c r="E1002">
        <f>INDEX(FactorTable!$B$2:$Y$301, MATCH(ROUND(MIN(300,MAX(1,D1002)),0), FactorTable!$A$2:$A$301,0), Skills!M14+1)</f>
        <v/>
      </c>
      <c r="F1002">
        <f>IF(Skills!N14=TRUE,(Skills!L14/10)*(E1002/1000),Skills!L14/10)+Skills!O14</f>
        <v/>
      </c>
      <c r="G1002">
        <f>Skills!G14*IF(Skills!H14&gt;0,IF(Inputs!$B$39="pvp",MIN(Skills!I14,15),Skills!I14)/Skills!H14,1)</f>
        <v/>
      </c>
      <c r="H1002">
        <f>1-(1-Skills!J14/100)^Skills!K14</f>
        <v/>
      </c>
      <c r="I1002" t="inlineStr">
        <is>
          <t>1</t>
        </is>
      </c>
      <c r="J1002">
        <f>((Inputs!$B$6*(1+Inputs!$B$7/100))+(((Inputs!$B$12*(1+Inputs!$B$13/100))-(Inputs!$B$12*(1+Inputs!$B$13/100)))+0.25*(Inputs!$B$14-Inputs!$B$14))*(1+Inputs!$B$7/100))*(F1002/100)</f>
        <v/>
      </c>
      <c r="K1002">
        <f>J1002*(1+((Inputs!$B$12*(1+Inputs!$B$13/100))*0.01+Inputs!$B$14*0.0025)/100)*(1+Inputs!$B$15/100)*(1+Inputs!$B$16/100)*(5000/(6000+Inputs!$B$43*(1-(100*(1-(1-Inputs!$B$19/100)*(1-CHOOSE(ArtifactsInput!$N$40+1,5,6,7,8,9,10)/100)^(ArtifactsInput!$M$40-ArtifactsInput!$M$40)))/100)))*(1+(Inputs!$B$24+((C1019=TRUE)*(F1019-Calc!F31))+((C1006=TRUE)*(F1006-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14="CRUEL_STAB",Inputs!$B$17+((C1016=TRUE)*(F1016-Calc!F28))+((IF(AND(Inputs!$B$39&lt;&gt;"pvp",Inputs!$B$44=0),1,IF(IF(Inputs!$B$39="pvp",15,Inputs!$B$44)-(B1033)&lt;=0,1,MAX(0,IF(Inputs!$B$39="pvp",15,Inputs!$B$44)-MAX(5,B1033))/(IF(Inputs!$B$39="pvp",15,Inputs!$B$44)-(B1033))))*(IF(AND(ArtifactsInput!$M$42,((Inputs!$B$9+((C1014=TRUE)*(F1014-Calc!F26))+B1022+(ArtifactsInput!$M$24-ArtifactsInput!$M$24)*CHOOSE(ArtifactsInput!$N$24+1,10,12,14,16,18,20)+IF(ArtifactsInput!$M$10,CHOOSE(ArtifactsInput!$N$10+1,15,18,21,24,27,30)*(IF(Inputs!$B$39="pvp",MIN(15,15)/15,IF(AND(Inputs!$B$39&lt;&gt;"pvp",Inputs!$B$44&gt;0),MIN(15,Inputs!$B$44)/(Inputs!$B$44),0))),0)))&gt;=100),MIN(100,((Inputs!$B$9+((C1014=TRUE)*(F1014-Calc!F26))+B1022+(ArtifactsInput!$M$24-ArtifactsInput!$M$24)*CHOOSE(ArtifactsInput!$N$24+1,10,12,14,16,18,20)+IF(ArtifactsInput!$M$10,CHOOSE(ArtifactsInput!$N$10+1,15,18,21,24,27,30)*(IF(Inputs!$B$39="pvp",MIN(15,15)/15,IF(AND(Inputs!$B$39&lt;&gt;"pvp",Inputs!$B$44&gt;0),MIN(15,Inputs!$B$44)/(Inputs!$B$44),0))),0)))-100),0))*CHOOSE(ArtifactsInput!$N$42+1,0.6,0.72,0.84,0.96,1.08,1.2))),Inputs!$B$18+((C1017=TRUE)*(F1017-Calc!F29))+(IF(AND(Inputs!$B$39&lt;&gt;"pvp",Inputs!$B$44=0),1,IF(IF(Inputs!$B$39="pvp",15,Inputs!$B$44)-(B1033)&lt;=0,1,MAX(0,IF(Inputs!$B$39="pvp",15,Inputs!$B$44)-MAX(5,B1033))/(IF(Inputs!$B$39="pvp",15,Inputs!$B$44)-(B1033))))*IF(AND(ArtifactsInput!$M$42,((Inputs!$B$9+((C1014=TRUE)*(F1014-Calc!F26))+B1022+(ArtifactsInput!$M$24-ArtifactsInput!$M$24)*CHOOSE(ArtifactsInput!$N$24+1,10,12,14,16,18,20)+IF(ArtifactsInput!$M$10,CHOOSE(ArtifactsInput!$N$10+1,15,18,21,24,27,30)*(IF(Inputs!$B$39="pvp",MIN(15,15)/15,IF(AND(Inputs!$B$39&lt;&gt;"pvp",Inputs!$B$44&gt;0),MIN(15,Inputs!$B$44)/(Inputs!$B$44),0))),0)))&gt;=100),CHOOSE(ArtifactsInput!$N$42+1,40,48,56,64,72,80),0))))/100)*(((1+(((C1010=TRUE)*F1010*IF(AND(Inputs!$B$39&lt;&gt;"pvp",Inputs!$B$44&gt;0),(((R1010-1)*MIN((Skills!Y22*(1+Inputs!$B$34/100)),(1/Q1010))+MIN((Skills!Y22*(1+Inputs!$B$34/100)),MAX(0,Inputs!$B$44-((R1010-1)*(1/Q1010)))))/Inputs!$B$44),IF(Inputs!$B$39="pvp",MIN((Skills!Y22*(1+Inputs!$B$34/100)),15)/15,MIN(1,(Skills!Y22*(1+Inputs!$B$34/100))/(1/Q1010)))))+((C991=TRUE)*F991*3)+((C993=TRUE)*F993*(1-EXP(-0.75*B1026*5)))+((C1012=TRUE)*(F1012-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999=TRUE)*F999*IF(AND(Inputs!$B$39&lt;&gt;"pvp",Inputs!$B$44&gt;0),(((R999-1)*MIN((Skills!Y11*(1+Inputs!$B$34/100)),(1/Q999))+MIN((Skills!Y11*(1+Inputs!$B$34/100)),MAX(0,Inputs!$B$44-((R999-1)*(1/Q999)))))/Inputs!$B$44),IF(Inputs!$B$39="pvp",MIN((Skills!Y11*(1+Inputs!$B$34/100)),15)/15,MIN(1,(Skills!Y11*(1+Inputs!$B$34/100))/(1/Q999)))))/100)*(1+((C1004=TRUE)*F1004*IF(AND(Inputs!$B$39&lt;&gt;"pvp",Inputs!$B$44&gt;0),(((R1004-1)*MIN((Skills!Y16*(1+Inputs!$B$34/100)),(1/Q1004))+MIN((Skills!Y16*(1+Inputs!$B$34/100)),MAX(0,Inputs!$B$44-((R1004-1)*(1/Q1004)))))/Inputs!$B$44),IF(Inputs!$B$39="pvp",MIN((Skills!Y16*(1+Inputs!$B$34/100)),15)/15,MIN(1,(Skills!Y16*(1+Inputs!$B$34/100))/(1/Q1004)))))/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1024*I1002)</f>
        <v/>
      </c>
      <c r="L1002">
        <f>K1002*(MIN(Inputs!$B$22+((C1013=TRUE)*(F1013-Calc!F25)),(Inputs!$B$23+((C1018=TRUE)*(F1018-Calc!F30))+IF(ArtifactsInput!$M$15,CHOOSE(ArtifactsInput!$N$15+1,25,30,35,40,45,50)/100*(Inputs!$B$11-Inputs!$B$11),0)))/100+(Inputs!$B$23+((C1018=TRUE)*(F1018-Calc!F30))+IF(ArtifactsInput!$M$15,CHOOSE(ArtifactsInput!$N$15+1,25,30,35,40,45,50)/100*(Inputs!$B$11-Inputs!$B$11),0))/100)/2</f>
        <v/>
      </c>
      <c r="M1002">
        <f>L1002*(1+(Inputs!$B$10+((C1015=TRUE)*(F1015-Calc!F27))+B1029+(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1002">
        <f>L1002*(1-MIN((Inputs!$B$9+((C1014=TRUE)*(F1014-Calc!F26))+B1022+(ArtifactsInput!$M$24-ArtifactsInput!$M$24)*CHOOSE(ArtifactsInput!$N$24+1,10,12,14,16,18,20)+(IF(AND(Inputs!$B$39&lt;&gt;"pvp",Inputs!$B$44=0),1,IF(IF(Inputs!$B$39="pvp",15,Inputs!$B$44)-(B1033)&lt;=0,1,MAX(0,IF(Inputs!$B$39="pvp",15,Inputs!$B$44)-MAX(5,B1033))/(IF(Inputs!$B$39="pvp",15,Inputs!$B$44)-(B1033))))*IF(AND(ArtifactsInput!$M$42,((Inputs!$B$9+((C1014=TRUE)*(F1014-Calc!F26))+B1022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1002*(MIN((Inputs!$B$9+((C1014=TRUE)*(F1014-Calc!F26))+B1022+(ArtifactsInput!$M$24-ArtifactsInput!$M$24)*CHOOSE(ArtifactsInput!$N$24+1,10,12,14,16,18,20)+(IF(AND(Inputs!$B$39&lt;&gt;"pvp",Inputs!$B$44=0),1,IF(IF(Inputs!$B$39="pvp",15,Inputs!$B$44)-(B1033)&lt;=0,1,MAX(0,IF(Inputs!$B$39="pvp",15,Inputs!$B$44)-MAX(5,B1033))/(IF(Inputs!$B$39="pvp",15,Inputs!$B$44)-(B1033))))*IF(AND(ArtifactsInput!$M$42,((Inputs!$B$9+((C1014=TRUE)*(F1014-Calc!F26))+B1022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002">
        <f>(1-Summary!$B$11)*T1002+Summary!$B$11*V1002</f>
        <v/>
      </c>
      <c r="P1002">
        <f>IF(B1034=0,0,O1002/B1034)</f>
        <v/>
      </c>
      <c r="Q1002">
        <f>IFERROR(1/IF(Inputs!$B$39="pvp",15,MAX(0.1,Skills!D14-IF(TRUE=TRUE,Inputs!$B$32,0))),0)</f>
        <v/>
      </c>
      <c r="R1002">
        <f>IF(AND(Inputs!$B$39&lt;&gt;"pvp",Inputs!$B$44&gt;0),IF(MAX(0,Inputs!$B$44-B1033)&lt;=0,0,(INT(MAX(0,Inputs!$B$44-B1033)/IF(Inputs!$B$39="pvp",15,MAX(0.1,Skills!D14-IF(TRUE=TRUE,Inputs!$B$32,0))))+1)),0)</f>
        <v/>
      </c>
      <c r="S1002">
        <f>IFERROR(O1002/N1002,0)</f>
        <v/>
      </c>
      <c r="T1002">
        <f>IF(C1002,(H1002*N1002*IF(AND(Inputs!$B$39&lt;&gt;"pvp",Inputs!$B$44&gt;0),((Skills!G14*((R1002-1)*IF(Skills!H14&gt;0,Skills!I14/Skills!H14,1)+IF(Skills!H14&gt;0,MIN(Skills!I14,MAX(0,MAX(0,Inputs!$B$44-B1033)-((R1002-1)*IF(Inputs!$B$39="pvp",15,MAX(0.1,Skills!D14-IF(TRUE=TRUE,Inputs!$B$32,0))))))/Skills!H14,1)))/Inputs!$B$44),G1002*Q1002))*IF(Inputs!$B$39="pvp",1,1+(Inputs!$B$20+0+Skills!P14+B1023+(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Hunt"),CHOOSE(ArtifactsInput!$N$35+1,15,18,21,24,27,30)*(1-EXP(-(0.2*B1026)*5)),0)+IF(AND(ArtifactsInput!$M$22,Inputs!$B$4&lt;&gt;"Chapter Hunt"),CHOOSE(ArtifactsInput!$N$22+1,10,12,14,16,18,20)*((0*(((0.15*B1026*5))^0/1)+1*(((0.15*B1026*5))^1/1)+2*(((0.15*B1026*5))^2/2)+3*(((0.15*B1026*5))^3/6)+4*(((0.15*B1026*5))^4/24)+5*(((0.15*B1026*5))^5/120))/((((0.15*B1026*5))^0/1)+(((0.15*B1026*5))^1/1)+(((0.15*B1026*5))^2/2)+(((0.15*B1026*5))^3/6)+(((0.15*B1026*5))^4/24)+(((0.15*B1026*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1002*(1-MIN(100,(Inputs!$B$9+((C1014=TRUE)*(F1014-Calc!F26))+B1022+(ArtifactsInput!$M$24-ArtifactsInput!$M$24)*CHOOSE(ArtifactsInput!$N$24+1,10,12,14,16,18,20)+(IF(AND(Inputs!$B$39&lt;&gt;"pvp",Inputs!$B$44=0),1,IF(IF(Inputs!$B$39="pvp",15,Inputs!$B$44)-(B1033)&lt;=0,1,MAX(0,IF(Inputs!$B$39="pvp",15,Inputs!$B$44)-MAX(5,B1033))/(IF(Inputs!$B$39="pvp",15,Inputs!$B$44)-(B1033))))*IF(AND(ArtifactsInput!$M$42,((Inputs!$B$9+((C1014=TRUE)*(F1014-Calc!F26))+B1022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1002*(MIN(100,(Inputs!$B$9+((C1014=TRUE)*(F1014-Calc!F26))+B1022+(ArtifactsInput!$M$24-ArtifactsInput!$M$24)*CHOOSE(ArtifactsInput!$N$24+1,10,12,14,16,18,20)+(IF(AND(Inputs!$B$39&lt;&gt;"pvp",Inputs!$B$44=0),1,IF(IF(Inputs!$B$39="pvp",15,Inputs!$B$44)-(B1033)&lt;=0,1,MAX(0,IF(Inputs!$B$39="pvp",15,Inputs!$B$44)-MAX(5,B1033))/(IF(Inputs!$B$39="pvp",15,Inputs!$B$44)-(B1033))))*IF(AND(ArtifactsInput!$M$42,((Inputs!$B$9+((C1014=TRUE)*(F1014-Calc!F26))+B1022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1002*(1-MIN(100,(Inputs!$B$9+((C1014=TRUE)*(F1014-Calc!F26))+B1022+(ArtifactsInput!$M$24-ArtifactsInput!$M$24)*CHOOSE(ArtifactsInput!$N$24+1,10,12,14,16,18,20)+(IF(AND(Inputs!$B$39&lt;&gt;"pvp",Inputs!$B$44=0),1,IF(IF(Inputs!$B$39="pvp",15,Inputs!$B$44)-(B1033)&lt;=0,1,MAX(0,IF(Inputs!$B$39="pvp",15,Inputs!$B$44)-MAX(5,B1033))/(IF(Inputs!$B$39="pvp",15,Inputs!$B$44)-(B1033))))*IF(AND(ArtifactsInput!$M$42,((Inputs!$B$9+((C1014=TRUE)*(F1014-Calc!F26))+B1022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1002*(MIN(100,(Inputs!$B$9+((C1014=TRUE)*(F1014-Calc!F26))+B1022+(ArtifactsInput!$M$24-ArtifactsInput!$M$24)*CHOOSE(ArtifactsInput!$N$24+1,10,12,14,16,18,20)+(IF(AND(Inputs!$B$39&lt;&gt;"pvp",Inputs!$B$44=0),1,IF(IF(Inputs!$B$39="pvp",15,Inputs!$B$44)-(B1033)&lt;=0,1,MAX(0,IF(Inputs!$B$39="pvp",15,Inputs!$B$44)-MAX(5,B1033))/(IF(Inputs!$B$39="pvp",15,Inputs!$B$44)-(B1033))))*IF(AND(ArtifactsInput!$M$42,((Inputs!$B$9+((C1014=TRUE)*(F1014-Calc!F26))+B1022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1002">
        <f>IF(C1002,(H1002*N1002*IF(AND(Inputs!$B$39&lt;&gt;"pvp",Inputs!$B$44&gt;0),((Skills!G14*((R1002-1)*IF(Skills!H14&gt;0,Skills!I14/Skills!H14,1)+IF(Skills!H14&gt;0,MIN(Skills!I14,MAX(0,MAX(0,Inputs!$B$44-B1033)-((R1002-1)*IF(Inputs!$B$39="pvp",15,MAX(0.1,Skills!D14-IF(TRUE=TRUE,Inputs!$B$32,0))))))/Skills!H14,1)))/Inputs!$B$44),G1002*Q1002))*IF(Inputs!$B$39="pvp",1,(1+(Inputs!$B$21+Skills!Q14+B1023+(IF(ArtifactsInput!$M$33,CHOOSE(ArtifactsInput!$N$33+1,30,36,42,48,54,60),0))+(IF(AND(ArtifactsInput!$M$35,Inputs!$B$4&lt;&gt;"Chapter Hunt"),CHOOSE(ArtifactsInput!$N$35+1,15,18,21,24,27,30)*(1-EXP(-(0.2*B1026)*5)),0)+IF(AND(ArtifactsInput!$M$22,Inputs!$B$4&lt;&gt;"Chapter Hunt"),CHOOSE(ArtifactsInput!$N$22+1,10,12,14,16,18,20)*((0*(((0.15*B1026*5))^0/1)+1*(((0.15*B1026*5))^1/1)+2*(((0.15*B1026*5))^2/2)+3*(((0.15*B1026*5))^3/6)+4*(((0.15*B1026*5))^4/24)+5*(((0.15*B1026*5))^5/120))/((((0.15*B1026*5))^0/1)+(((0.15*B1026*5))^1/1)+(((0.15*B1026*5))^2/2)+(((0.15*B1026*5))^3/6)+(((0.15*B1026*5))^4/24)+(((0.15*B1026*5))^5/120))),0)))/100)*(MIN(Skills!W14,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003">
      <c r="A1003">
        <f>Skills!A15</f>
        <v/>
      </c>
      <c r="B1003">
        <f>Skills!B15</f>
        <v/>
      </c>
      <c r="C1003">
        <f>Inputs!$B$3&gt;=107</f>
        <v/>
      </c>
      <c r="D1003">
        <f>IF(Skills!C15=1,60+Inputs!$B$25+Inputs!$B$29,IF(Skills!C15=2,90+Inputs!$B$26+Inputs!$B$29,IF(Skills!C15=3,120+(Inputs!$B$27+1)+Inputs!$B$29,MAX(0,(Inputs!$B$3-100)*3)+Inputs!$B$28+Inputs!$B$29)))</f>
        <v/>
      </c>
      <c r="E1003">
        <f>INDEX(FactorTable!$B$2:$Y$301, MATCH(ROUND(MIN(300,MAX(1,D1003)),0), FactorTable!$A$2:$A$301,0), Skills!M15+1)</f>
        <v/>
      </c>
      <c r="F1003">
        <f>IF(Skills!N15=TRUE,(Skills!L15/10)*(E1003/1000),Skills!L15/10)+Skills!O15</f>
        <v/>
      </c>
      <c r="G1003">
        <f>Skills!G15*IF(Skills!H15&gt;0,IF(Inputs!$B$39="pvp",MIN(Skills!I15,15),Skills!I15)/Skills!H15,1)</f>
        <v/>
      </c>
      <c r="H1003">
        <f>1-(1-Skills!J15/100)^Skills!K15</f>
        <v/>
      </c>
      <c r="I1003" t="inlineStr">
        <is>
          <t>1</t>
        </is>
      </c>
      <c r="J1003">
        <f>((Inputs!$B$6*(1+Inputs!$B$7/100))+(((Inputs!$B$12*(1+Inputs!$B$13/100))-(Inputs!$B$12*(1+Inputs!$B$13/100)))+0.25*(Inputs!$B$14-Inputs!$B$14))*(1+Inputs!$B$7/100))*(F1003/100)</f>
        <v/>
      </c>
      <c r="K1003">
        <f>J1003*(1+((Inputs!$B$12*(1+Inputs!$B$13/100))*0.01+Inputs!$B$14*0.0025)/100)*(1+Inputs!$B$15/100)*(1+Inputs!$B$16/100)*(5000/(6000+Inputs!$B$43*(1-(100*(1-(1-Inputs!$B$19/100)*(1-CHOOSE(ArtifactsInput!$N$40+1,5,6,7,8,9,10)/100)^(ArtifactsInput!$M$40-ArtifactsInput!$M$40)))/100)))*(1+(Inputs!$B$24+((C1019=TRUE)*(F1019-Calc!F31))+((C1006=TRUE)*(F1006-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15="CRUEL_STAB",Inputs!$B$17+((C1016=TRUE)*(F1016-Calc!F28))+((IF(AND(Inputs!$B$39&lt;&gt;"pvp",Inputs!$B$44=0),1,IF(IF(Inputs!$B$39="pvp",15,Inputs!$B$44)-(B1033)&lt;=0,1,MAX(0,IF(Inputs!$B$39="pvp",15,Inputs!$B$44)-MAX(5,B1033))/(IF(Inputs!$B$39="pvp",15,Inputs!$B$44)-(B1033))))*(IF(AND(ArtifactsInput!$M$42,((Inputs!$B$9+((C1014=TRUE)*(F1014-Calc!F26))+B1022+(ArtifactsInput!$M$24-ArtifactsInput!$M$24)*CHOOSE(ArtifactsInput!$N$24+1,10,12,14,16,18,20)+IF(ArtifactsInput!$M$10,CHOOSE(ArtifactsInput!$N$10+1,15,18,21,24,27,30)*(IF(Inputs!$B$39="pvp",MIN(15,15)/15,IF(AND(Inputs!$B$39&lt;&gt;"pvp",Inputs!$B$44&gt;0),MIN(15,Inputs!$B$44)/(Inputs!$B$44),0))),0)))&gt;=100),MIN(100,((Inputs!$B$9+((C1014=TRUE)*(F1014-Calc!F26))+B1022+(ArtifactsInput!$M$24-ArtifactsInput!$M$24)*CHOOSE(ArtifactsInput!$N$24+1,10,12,14,16,18,20)+IF(ArtifactsInput!$M$10,CHOOSE(ArtifactsInput!$N$10+1,15,18,21,24,27,30)*(IF(Inputs!$B$39="pvp",MIN(15,15)/15,IF(AND(Inputs!$B$39&lt;&gt;"pvp",Inputs!$B$44&gt;0),MIN(15,Inputs!$B$44)/(Inputs!$B$44),0))),0)))-100),0))*CHOOSE(ArtifactsInput!$N$42+1,0.6,0.72,0.84,0.96,1.08,1.2))),Inputs!$B$18+((C1017=TRUE)*(F1017-Calc!F29))+(IF(AND(Inputs!$B$39&lt;&gt;"pvp",Inputs!$B$44=0),1,IF(IF(Inputs!$B$39="pvp",15,Inputs!$B$44)-(B1033)&lt;=0,1,MAX(0,IF(Inputs!$B$39="pvp",15,Inputs!$B$44)-MAX(5,B1033))/(IF(Inputs!$B$39="pvp",15,Inputs!$B$44)-(B1033))))*IF(AND(ArtifactsInput!$M$42,((Inputs!$B$9+((C1014=TRUE)*(F1014-Calc!F26))+B1022+(ArtifactsInput!$M$24-ArtifactsInput!$M$24)*CHOOSE(ArtifactsInput!$N$24+1,10,12,14,16,18,20)+IF(ArtifactsInput!$M$10,CHOOSE(ArtifactsInput!$N$10+1,15,18,21,24,27,30)*(IF(Inputs!$B$39="pvp",MIN(15,15)/15,IF(AND(Inputs!$B$39&lt;&gt;"pvp",Inputs!$B$44&gt;0),MIN(15,Inputs!$B$44)/(Inputs!$B$44),0))),0)))&gt;=100),CHOOSE(ArtifactsInput!$N$42+1,40,48,56,64,72,80),0))))/100)*(((1+(((C1010=TRUE)*F1010*IF(AND(Inputs!$B$39&lt;&gt;"pvp",Inputs!$B$44&gt;0),(((R1010-1)*MIN((Skills!Y22*(1+Inputs!$B$34/100)),(1/Q1010))+MIN((Skills!Y22*(1+Inputs!$B$34/100)),MAX(0,Inputs!$B$44-((R1010-1)*(1/Q1010)))))/Inputs!$B$44),IF(Inputs!$B$39="pvp",MIN((Skills!Y22*(1+Inputs!$B$34/100)),15)/15,MIN(1,(Skills!Y22*(1+Inputs!$B$34/100))/(1/Q1010)))))+((C991=TRUE)*F991*3)+((C993=TRUE)*F993*(1-EXP(-0.75*B1026*5)))+((C1012=TRUE)*(F1012-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999=TRUE)*F999*IF(AND(Inputs!$B$39&lt;&gt;"pvp",Inputs!$B$44&gt;0),(((R999-1)*MIN((Skills!Y11*(1+Inputs!$B$34/100)),(1/Q999))+MIN((Skills!Y11*(1+Inputs!$B$34/100)),MAX(0,Inputs!$B$44-((R999-1)*(1/Q999)))))/Inputs!$B$44),IF(Inputs!$B$39="pvp",MIN((Skills!Y11*(1+Inputs!$B$34/100)),15)/15,MIN(1,(Skills!Y11*(1+Inputs!$B$34/100))/(1/Q999)))))/100)*(1+((C1004=TRUE)*F1004*IF(AND(Inputs!$B$39&lt;&gt;"pvp",Inputs!$B$44&gt;0),(((R1004-1)*MIN((Skills!Y16*(1+Inputs!$B$34/100)),(1/Q1004))+MIN((Skills!Y16*(1+Inputs!$B$34/100)),MAX(0,Inputs!$B$44-((R1004-1)*(1/Q1004)))))/Inputs!$B$44),IF(Inputs!$B$39="pvp",MIN((Skills!Y16*(1+Inputs!$B$34/100)),15)/15,MIN(1,(Skills!Y16*(1+Inputs!$B$34/100))/(1/Q1004)))))/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1024*I1003)</f>
        <v/>
      </c>
      <c r="L1003">
        <f>K1003*(MIN(Inputs!$B$22+((C1013=TRUE)*(F1013-Calc!F25)),(Inputs!$B$23+((C1018=TRUE)*(F1018-Calc!F30))+IF(ArtifactsInput!$M$15,CHOOSE(ArtifactsInput!$N$15+1,25,30,35,40,45,50)/100*(Inputs!$B$11-Inputs!$B$11),0)))/100+(Inputs!$B$23+((C1018=TRUE)*(F1018-Calc!F30))+IF(ArtifactsInput!$M$15,CHOOSE(ArtifactsInput!$N$15+1,25,30,35,40,45,50)/100*(Inputs!$B$11-Inputs!$B$11),0))/100)/2</f>
        <v/>
      </c>
      <c r="M1003">
        <f>L1003*(1+(Inputs!$B$10+((C1015=TRUE)*(F1015-Calc!F27))+B1029+(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1003">
        <f>L1003*(1-MIN((Inputs!$B$9+((C1014=TRUE)*(F1014-Calc!F26))+B1022+(ArtifactsInput!$M$24-ArtifactsInput!$M$24)*CHOOSE(ArtifactsInput!$N$24+1,10,12,14,16,18,20)+(IF(AND(Inputs!$B$39&lt;&gt;"pvp",Inputs!$B$44=0),1,IF(IF(Inputs!$B$39="pvp",15,Inputs!$B$44)-(B1033)&lt;=0,1,MAX(0,IF(Inputs!$B$39="pvp",15,Inputs!$B$44)-MAX(5,B1033))/(IF(Inputs!$B$39="pvp",15,Inputs!$B$44)-(B1033))))*IF(AND(ArtifactsInput!$M$42,((Inputs!$B$9+((C1014=TRUE)*(F1014-Calc!F26))+B1022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1003*(MIN((Inputs!$B$9+((C1014=TRUE)*(F1014-Calc!F26))+B1022+(ArtifactsInput!$M$24-ArtifactsInput!$M$24)*CHOOSE(ArtifactsInput!$N$24+1,10,12,14,16,18,20)+(IF(AND(Inputs!$B$39&lt;&gt;"pvp",Inputs!$B$44=0),1,IF(IF(Inputs!$B$39="pvp",15,Inputs!$B$44)-(B1033)&lt;=0,1,MAX(0,IF(Inputs!$B$39="pvp",15,Inputs!$B$44)-MAX(5,B1033))/(IF(Inputs!$B$39="pvp",15,Inputs!$B$44)-(B1033))))*IF(AND(ArtifactsInput!$M$42,((Inputs!$B$9+((C1014=TRUE)*(F1014-Calc!F26))+B1022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003">
        <f>(1-Summary!$B$11)*T1003+Summary!$B$11*V1003</f>
        <v/>
      </c>
      <c r="P1003">
        <f>IF(B1034=0,0,O1003/B1034)</f>
        <v/>
      </c>
      <c r="Q1003">
        <f>IFERROR(1/IF(Inputs!$B$39="pvp",15,MAX(0.1,Skills!D15-IF(TRUE=TRUE,Inputs!$B$32,0))),0)</f>
        <v/>
      </c>
      <c r="R1003">
        <f>IF(AND(Inputs!$B$39&lt;&gt;"pvp",Inputs!$B$44&gt;0),IF(MAX(0,Inputs!$B$44-B1033)&lt;=0,0,(INT(MAX(0,Inputs!$B$44-B1033)/IF(Inputs!$B$39="pvp",15,MAX(0.1,Skills!D15-IF(TRUE=TRUE,Inputs!$B$32,0))))+1)),0)</f>
        <v/>
      </c>
      <c r="S1003">
        <f>IFERROR(O1003/N1003,0)</f>
        <v/>
      </c>
      <c r="T1003">
        <f>IF(C1003,(H1003*N1003*IF(AND(Inputs!$B$39&lt;&gt;"pvp",Inputs!$B$44&gt;0),((Skills!G15*((R1003-1)*IF(Skills!H15&gt;0,Skills!I15/Skills!H15,1)+IF(Skills!H15&gt;0,MIN(Skills!I15,MAX(0,MAX(0,Inputs!$B$44-B1033)-((R1003-1)*IF(Inputs!$B$39="pvp",15,MAX(0.1,Skills!D15-IF(TRUE=TRUE,Inputs!$B$32,0))))))/Skills!H15,1)))/Inputs!$B$44),G1003*Q1003))*IF(Inputs!$B$39="pvp",1,1+(Inputs!$B$20+0+Skills!P15+B1023+(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Hunt"),CHOOSE(ArtifactsInput!$N$35+1,15,18,21,24,27,30)*(1-EXP(-(0.2*B1026)*5)),0)+IF(AND(ArtifactsInput!$M$22,Inputs!$B$4&lt;&gt;"Chapter Hunt"),CHOOSE(ArtifactsInput!$N$22+1,10,12,14,16,18,20)*((0*(((0.15*B1026*5))^0/1)+1*(((0.15*B1026*5))^1/1)+2*(((0.15*B1026*5))^2/2)+3*(((0.15*B1026*5))^3/6)+4*(((0.15*B1026*5))^4/24)+5*(((0.15*B1026*5))^5/120))/((((0.15*B1026*5))^0/1)+(((0.15*B1026*5))^1/1)+(((0.15*B1026*5))^2/2)+(((0.15*B1026*5))^3/6)+(((0.15*B1026*5))^4/24)+(((0.15*B1026*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1003*(1-MIN(100,(Inputs!$B$9+((C1014=TRUE)*(F1014-Calc!F26))+B1022+(ArtifactsInput!$M$24-ArtifactsInput!$M$24)*CHOOSE(ArtifactsInput!$N$24+1,10,12,14,16,18,20)+(IF(AND(Inputs!$B$39&lt;&gt;"pvp",Inputs!$B$44=0),1,IF(IF(Inputs!$B$39="pvp",15,Inputs!$B$44)-(B1033)&lt;=0,1,MAX(0,IF(Inputs!$B$39="pvp",15,Inputs!$B$44)-MAX(5,B1033))/(IF(Inputs!$B$39="pvp",15,Inputs!$B$44)-(B1033))))*IF(AND(ArtifactsInput!$M$42,((Inputs!$B$9+((C1014=TRUE)*(F1014-Calc!F26))+B1022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1003*(MIN(100,(Inputs!$B$9+((C1014=TRUE)*(F1014-Calc!F26))+B1022+(ArtifactsInput!$M$24-ArtifactsInput!$M$24)*CHOOSE(ArtifactsInput!$N$24+1,10,12,14,16,18,20)+(IF(AND(Inputs!$B$39&lt;&gt;"pvp",Inputs!$B$44=0),1,IF(IF(Inputs!$B$39="pvp",15,Inputs!$B$44)-(B1033)&lt;=0,1,MAX(0,IF(Inputs!$B$39="pvp",15,Inputs!$B$44)-MAX(5,B1033))/(IF(Inputs!$B$39="pvp",15,Inputs!$B$44)-(B1033))))*IF(AND(ArtifactsInput!$M$42,((Inputs!$B$9+((C1014=TRUE)*(F1014-Calc!F26))+B1022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1003*(1-MIN(100,(Inputs!$B$9+((C1014=TRUE)*(F1014-Calc!F26))+B1022+(ArtifactsInput!$M$24-ArtifactsInput!$M$24)*CHOOSE(ArtifactsInput!$N$24+1,10,12,14,16,18,20)+(IF(AND(Inputs!$B$39&lt;&gt;"pvp",Inputs!$B$44=0),1,IF(IF(Inputs!$B$39="pvp",15,Inputs!$B$44)-(B1033)&lt;=0,1,MAX(0,IF(Inputs!$B$39="pvp",15,Inputs!$B$44)-MAX(5,B1033))/(IF(Inputs!$B$39="pvp",15,Inputs!$B$44)-(B1033))))*IF(AND(ArtifactsInput!$M$42,((Inputs!$B$9+((C1014=TRUE)*(F1014-Calc!F26))+B1022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1003*(MIN(100,(Inputs!$B$9+((C1014=TRUE)*(F1014-Calc!F26))+B1022+(ArtifactsInput!$M$24-ArtifactsInput!$M$24)*CHOOSE(ArtifactsInput!$N$24+1,10,12,14,16,18,20)+(IF(AND(Inputs!$B$39&lt;&gt;"pvp",Inputs!$B$44=0),1,IF(IF(Inputs!$B$39="pvp",15,Inputs!$B$44)-(B1033)&lt;=0,1,MAX(0,IF(Inputs!$B$39="pvp",15,Inputs!$B$44)-MAX(5,B1033))/(IF(Inputs!$B$39="pvp",15,Inputs!$B$44)-(B1033))))*IF(AND(ArtifactsInput!$M$42,((Inputs!$B$9+((C1014=TRUE)*(F1014-Calc!F26))+B1022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1003">
        <f>IF(C1003,(H1003*N1003*IF(AND(Inputs!$B$39&lt;&gt;"pvp",Inputs!$B$44&gt;0),((Skills!G15*((R1003-1)*IF(Skills!H15&gt;0,Skills!I15/Skills!H15,1)+IF(Skills!H15&gt;0,MIN(Skills!I15,MAX(0,MAX(0,Inputs!$B$44-B1033)-((R1003-1)*IF(Inputs!$B$39="pvp",15,MAX(0.1,Skills!D15-IF(TRUE=TRUE,Inputs!$B$32,0))))))/Skills!H15,1)))/Inputs!$B$44),G1003*Q1003))*IF(Inputs!$B$39="pvp",1,(1+(Inputs!$B$21+Skills!Q15+B1023+(IF(ArtifactsInput!$M$33,CHOOSE(ArtifactsInput!$N$33+1,30,36,42,48,54,60),0))+(IF(AND(ArtifactsInput!$M$35,Inputs!$B$4&lt;&gt;"Chapter Hunt"),CHOOSE(ArtifactsInput!$N$35+1,15,18,21,24,27,30)*(1-EXP(-(0.2*B1026)*5)),0)+IF(AND(ArtifactsInput!$M$22,Inputs!$B$4&lt;&gt;"Chapter Hunt"),CHOOSE(ArtifactsInput!$N$22+1,10,12,14,16,18,20)*((0*(((0.15*B1026*5))^0/1)+1*(((0.15*B1026*5))^1/1)+2*(((0.15*B1026*5))^2/2)+3*(((0.15*B1026*5))^3/6)+4*(((0.15*B1026*5))^4/24)+5*(((0.15*B1026*5))^5/120))/((((0.15*B1026*5))^0/1)+(((0.15*B1026*5))^1/1)+(((0.15*B1026*5))^2/2)+(((0.15*B1026*5))^3/6)+(((0.15*B1026*5))^4/24)+(((0.15*B1026*5))^5/120))),0)))/100)*(MIN(MIN(5,0.5*IF(Inputs!$B$3&gt;=75,0.75,0.5)*B1026*(1/Q992))*Skills!V15,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004">
      <c r="A1004">
        <f>Skills!A16</f>
        <v/>
      </c>
      <c r="B1004">
        <f>Skills!B16</f>
        <v/>
      </c>
      <c r="C1004">
        <f>Inputs!$B$3&gt;=110</f>
        <v/>
      </c>
      <c r="D1004">
        <f>IF(Skills!C16=1,60+Inputs!$B$25+Inputs!$B$29,IF(Skills!C16=2,90+Inputs!$B$26+Inputs!$B$29,IF(Skills!C16=3,120+(Inputs!$B$27+1)+Inputs!$B$29,MAX(0,(Inputs!$B$3-100)*3)+Inputs!$B$28+Inputs!$B$29)))</f>
        <v/>
      </c>
      <c r="E1004">
        <f>INDEX(FactorTable!$B$2:$Y$301, MATCH(ROUND(MIN(300,MAX(1,D1004)),0), FactorTable!$A$2:$A$301,0), Skills!M16+1)</f>
        <v/>
      </c>
      <c r="F1004">
        <f>IF(Skills!N16=TRUE,(Skills!L16/10)*(E1004/1000),Skills!L16/10)+Skills!O16</f>
        <v/>
      </c>
      <c r="G1004">
        <f>Skills!G16*IF(Skills!H16&gt;0,IF(Inputs!$B$39="pvp",MIN(Skills!I16,15),Skills!I16)/Skills!H16,1)</f>
        <v/>
      </c>
      <c r="H1004">
        <f>1-(1-Skills!J16/100)^Skills!K16</f>
        <v/>
      </c>
      <c r="I1004" t="inlineStr">
        <is>
          <t>1</t>
        </is>
      </c>
      <c r="J1004" t="inlineStr"/>
      <c r="K1004" t="inlineStr"/>
      <c r="L1004" t="inlineStr"/>
      <c r="M1004" t="inlineStr"/>
      <c r="N1004" t="inlineStr"/>
      <c r="O1004">
        <f>(1-Summary!$B$11)*T1004+Summary!$B$11*V1004</f>
        <v/>
      </c>
      <c r="P1004">
        <f>IF(B1034=0,0,O1004/B1034)</f>
        <v/>
      </c>
      <c r="Q1004">
        <f>IFERROR(1/IF(Inputs!$B$39="pvp",15,MAX(0.1,Skills!D16-IF(TRUE=TRUE,Inputs!$B$32,0))),0)</f>
        <v/>
      </c>
      <c r="R1004">
        <f>IF(AND(Inputs!$B$39&lt;&gt;"pvp",Inputs!$B$44&gt;0),IF(Inputs!$B$44&lt;=0,0,(INT(Inputs!$B$44/IF(Inputs!$B$39="pvp",15,MAX(0.1,Skills!D16-IF(TRUE=TRUE,Inputs!$B$32,0))))+1)),0)</f>
        <v/>
      </c>
      <c r="S1004">
        <f>IFERROR(O1004/N1004,0)</f>
        <v/>
      </c>
      <c r="T1004" t="n">
        <v>0</v>
      </c>
      <c r="V1004" t="n">
        <v>0</v>
      </c>
    </row>
    <row r="1005">
      <c r="A1005">
        <f>Skills!A17</f>
        <v/>
      </c>
      <c r="B1005">
        <f>Skills!B17</f>
        <v/>
      </c>
      <c r="C1005">
        <f>Inputs!$B$3&gt;=115</f>
        <v/>
      </c>
      <c r="D1005">
        <f>IF(Skills!C17=1,60+Inputs!$B$25+Inputs!$B$29,IF(Skills!C17=2,90+Inputs!$B$26+Inputs!$B$29,IF(Skills!C17=3,120+(Inputs!$B$27+1)+Inputs!$B$29,MAX(0,(Inputs!$B$3-100)*3)+Inputs!$B$28+Inputs!$B$29)))</f>
        <v/>
      </c>
      <c r="E1005">
        <f>INDEX(FactorTable!$B$2:$Y$301, MATCH(ROUND(MIN(300,MAX(1,D1005)),0), FactorTable!$A$2:$A$301,0), Skills!M17+1)</f>
        <v/>
      </c>
      <c r="F1005">
        <f>IF(Skills!N17=TRUE,(Skills!L17/10)*(E1005/1000),Skills!L17/10)+Skills!O17</f>
        <v/>
      </c>
      <c r="G1005">
        <f>Skills!G17*IF(Skills!H17&gt;0,IF(Inputs!$B$39="pvp",MIN(Skills!I17,15),Skills!I17)/Skills!H17,1)</f>
        <v/>
      </c>
      <c r="H1005">
        <f>1-(1-Skills!J17/100)^Skills!K17</f>
        <v/>
      </c>
      <c r="I1005" t="inlineStr">
        <is>
          <t>1</t>
        </is>
      </c>
      <c r="J1005">
        <f>((Inputs!$B$6*(1+Inputs!$B$7/100))+(((Inputs!$B$12*(1+Inputs!$B$13/100))-(Inputs!$B$12*(1+Inputs!$B$13/100)))+0.25*(Inputs!$B$14-Inputs!$B$14))*(1+Inputs!$B$7/100))*(F1005/100)</f>
        <v/>
      </c>
      <c r="K1005">
        <f>J1005*(1+((Inputs!$B$12*(1+Inputs!$B$13/100))*0.01+Inputs!$B$14*0.0025)/100)*(1+Inputs!$B$15/100)*(1+Inputs!$B$16/100)*(5000/(6000+Inputs!$B$43*(1-(100*(1-(1-Inputs!$B$19/100)*(1-CHOOSE(ArtifactsInput!$N$40+1,5,6,7,8,9,10)/100)^(ArtifactsInput!$M$40-ArtifactsInput!$M$40)))/100)))*(1+(Inputs!$B$24+((C1019=TRUE)*(F1019-Calc!F31))+((C1006=TRUE)*(F1006-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17="CRUEL_STAB",Inputs!$B$17+((C1016=TRUE)*(F1016-Calc!F28))+((IF(AND(Inputs!$B$39&lt;&gt;"pvp",Inputs!$B$44=0),1,IF(IF(Inputs!$B$39="pvp",15,Inputs!$B$44)-(B1033)&lt;=0,1,MAX(0,IF(Inputs!$B$39="pvp",15,Inputs!$B$44)-MAX(5,B1033))/(IF(Inputs!$B$39="pvp",15,Inputs!$B$44)-(B1033))))*(IF(AND(ArtifactsInput!$M$42,((Inputs!$B$9+((C1014=TRUE)*(F1014-Calc!F26))+B1022+(ArtifactsInput!$M$24-ArtifactsInput!$M$24)*CHOOSE(ArtifactsInput!$N$24+1,10,12,14,16,18,20)+IF(ArtifactsInput!$M$10,CHOOSE(ArtifactsInput!$N$10+1,15,18,21,24,27,30)*(IF(Inputs!$B$39="pvp",MIN(15,15)/15,IF(AND(Inputs!$B$39&lt;&gt;"pvp",Inputs!$B$44&gt;0),MIN(15,Inputs!$B$44)/(Inputs!$B$44),0))),0)))&gt;=100),MIN(100,((Inputs!$B$9+((C1014=TRUE)*(F1014-Calc!F26))+B1022+(ArtifactsInput!$M$24-ArtifactsInput!$M$24)*CHOOSE(ArtifactsInput!$N$24+1,10,12,14,16,18,20)+IF(ArtifactsInput!$M$10,CHOOSE(ArtifactsInput!$N$10+1,15,18,21,24,27,30)*(IF(Inputs!$B$39="pvp",MIN(15,15)/15,IF(AND(Inputs!$B$39&lt;&gt;"pvp",Inputs!$B$44&gt;0),MIN(15,Inputs!$B$44)/(Inputs!$B$44),0))),0)))-100),0))*CHOOSE(ArtifactsInput!$N$42+1,0.6,0.72,0.84,0.96,1.08,1.2))),Inputs!$B$18+((C1017=TRUE)*(F1017-Calc!F29))+(IF(AND(Inputs!$B$39&lt;&gt;"pvp",Inputs!$B$44=0),1,IF(IF(Inputs!$B$39="pvp",15,Inputs!$B$44)-(B1033)&lt;=0,1,MAX(0,IF(Inputs!$B$39="pvp",15,Inputs!$B$44)-MAX(5,B1033))/(IF(Inputs!$B$39="pvp",15,Inputs!$B$44)-(B1033))))*IF(AND(ArtifactsInput!$M$42,((Inputs!$B$9+((C1014=TRUE)*(F1014-Calc!F26))+B1022+(ArtifactsInput!$M$24-ArtifactsInput!$M$24)*CHOOSE(ArtifactsInput!$N$24+1,10,12,14,16,18,20)+IF(ArtifactsInput!$M$10,CHOOSE(ArtifactsInput!$N$10+1,15,18,21,24,27,30)*(IF(Inputs!$B$39="pvp",MIN(15,15)/15,IF(AND(Inputs!$B$39&lt;&gt;"pvp",Inputs!$B$44&gt;0),MIN(15,Inputs!$B$44)/(Inputs!$B$44),0))),0)))&gt;=100),CHOOSE(ArtifactsInput!$N$42+1,40,48,56,64,72,80),0))))/100)*(((1+(((C1010=TRUE)*F1010*IF(AND(Inputs!$B$39&lt;&gt;"pvp",Inputs!$B$44&gt;0),(((R1010-1)*MIN((Skills!Y22*(1+Inputs!$B$34/100)),(1/Q1010))+MIN((Skills!Y22*(1+Inputs!$B$34/100)),MAX(0,Inputs!$B$44-((R1010-1)*(1/Q1010)))))/Inputs!$B$44),IF(Inputs!$B$39="pvp",MIN((Skills!Y22*(1+Inputs!$B$34/100)),15)/15,MIN(1,(Skills!Y22*(1+Inputs!$B$34/100))/(1/Q1010)))))+((C991=TRUE)*F991*3)+((C993=TRUE)*F993*(1-EXP(-0.75*B1026*5)))+((C1012=TRUE)*(F1012-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999=TRUE)*F999*IF(AND(Inputs!$B$39&lt;&gt;"pvp",Inputs!$B$44&gt;0),(((R999-1)*MIN((Skills!Y11*(1+Inputs!$B$34/100)),(1/Q999))+MIN((Skills!Y11*(1+Inputs!$B$34/100)),MAX(0,Inputs!$B$44-((R999-1)*(1/Q999)))))/Inputs!$B$44),IF(Inputs!$B$39="pvp",MIN((Skills!Y11*(1+Inputs!$B$34/100)),15)/15,MIN(1,(Skills!Y11*(1+Inputs!$B$34/100))/(1/Q999)))))/100)*(1+((C1004=TRUE)*F1004*IF(AND(Inputs!$B$39&lt;&gt;"pvp",Inputs!$B$44&gt;0),(((R1004-1)*MIN((Skills!Y16*(1+Inputs!$B$34/100)),(1/Q1004))+MIN((Skills!Y16*(1+Inputs!$B$34/100)),MAX(0,Inputs!$B$44-((R1004-1)*(1/Q1004)))))/Inputs!$B$44),IF(Inputs!$B$39="pvp",MIN((Skills!Y16*(1+Inputs!$B$34/100)),15)/15,MIN(1,(Skills!Y16*(1+Inputs!$B$34/100))/(1/Q1004)))))/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1024*I1005)</f>
        <v/>
      </c>
      <c r="L1005">
        <f>K1005*(MIN(Inputs!$B$22+((C1013=TRUE)*(F1013-Calc!F25)),(Inputs!$B$23+((C1018=TRUE)*(F1018-Calc!F30))+IF(ArtifactsInput!$M$15,CHOOSE(ArtifactsInput!$N$15+1,25,30,35,40,45,50)/100*(Inputs!$B$11-Inputs!$B$11),0)))/100+(Inputs!$B$23+((C1018=TRUE)*(F1018-Calc!F30))+IF(ArtifactsInput!$M$15,CHOOSE(ArtifactsInput!$N$15+1,25,30,35,40,45,50)/100*(Inputs!$B$11-Inputs!$B$11),0))/100)/2</f>
        <v/>
      </c>
      <c r="M1005">
        <f>L1005*(1+(Inputs!$B$10+((C1015=TRUE)*(F1015-Calc!F27))+B1029+(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1005">
        <f>L1005*(1-MIN((Inputs!$B$9+((C1014=TRUE)*(F1014-Calc!F26))+B1022+(ArtifactsInput!$M$24-ArtifactsInput!$M$24)*CHOOSE(ArtifactsInput!$N$24+1,10,12,14,16,18,20)+(IF(AND(Inputs!$B$39&lt;&gt;"pvp",Inputs!$B$44=0),1,IF(IF(Inputs!$B$39="pvp",15,Inputs!$B$44)-(B1033)&lt;=0,1,MAX(0,IF(Inputs!$B$39="pvp",15,Inputs!$B$44)-MAX(5,B1033))/(IF(Inputs!$B$39="pvp",15,Inputs!$B$44)-(B1033))))*IF(AND(ArtifactsInput!$M$42,((Inputs!$B$9+((C1014=TRUE)*(F1014-Calc!F26))+B1022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1005*(MIN((Inputs!$B$9+((C1014=TRUE)*(F1014-Calc!F26))+B1022+(ArtifactsInput!$M$24-ArtifactsInput!$M$24)*CHOOSE(ArtifactsInput!$N$24+1,10,12,14,16,18,20)+(IF(AND(Inputs!$B$39&lt;&gt;"pvp",Inputs!$B$44=0),1,IF(IF(Inputs!$B$39="pvp",15,Inputs!$B$44)-(B1033)&lt;=0,1,MAX(0,IF(Inputs!$B$39="pvp",15,Inputs!$B$44)-MAX(5,B1033))/(IF(Inputs!$B$39="pvp",15,Inputs!$B$44)-(B1033))))*IF(AND(ArtifactsInput!$M$42,((Inputs!$B$9+((C1014=TRUE)*(F1014-Calc!F26))+B1022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005">
        <f>(1-Summary!$B$11)*T1005+Summary!$B$11*V1005</f>
        <v/>
      </c>
      <c r="P1005">
        <f>IF(B1034=0,0,O1005/B1034)</f>
        <v/>
      </c>
      <c r="Q1005" t="n">
        <v>0</v>
      </c>
      <c r="R1005" t="n">
        <v>0</v>
      </c>
      <c r="S1005">
        <f>IFERROR(O1005/N1005,0)</f>
        <v/>
      </c>
      <c r="T1005">
        <f>IF(C1005,(Inputs!$B$38*0.2*N1005)*IF(Inputs!$B$39="pvp",1,1+(Inputs!$B$20+0+Skills!P17+B1023+(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Hunt"),CHOOSE(ArtifactsInput!$N$35+1,15,18,21,24,27,30)*(1-EXP(-(0.2*B1026)*5)),0)+IF(AND(ArtifactsInput!$M$22,Inputs!$B$4&lt;&gt;"Chapter Hunt"),CHOOSE(ArtifactsInput!$N$22+1,10,12,14,16,18,20)*((0*(((0.15*B1026*5))^0/1)+1*(((0.15*B1026*5))^1/1)+2*(((0.15*B1026*5))^2/2)+3*(((0.15*B1026*5))^3/6)+4*(((0.15*B1026*5))^4/24)+5*(((0.15*B1026*5))^5/120))/((((0.15*B1026*5))^0/1)+(((0.15*B1026*5))^1/1)+(((0.15*B1026*5))^2/2)+(((0.15*B1026*5))^3/6)+(((0.15*B1026*5))^4/24)+(((0.15*B1026*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1005*(1-MIN(100,(Inputs!$B$9+((C1014=TRUE)*(F1014-Calc!F26))+B1022+(ArtifactsInput!$M$24-ArtifactsInput!$M$24)*CHOOSE(ArtifactsInput!$N$24+1,10,12,14,16,18,20)+(IF(AND(Inputs!$B$39&lt;&gt;"pvp",Inputs!$B$44=0),1,IF(IF(Inputs!$B$39="pvp",15,Inputs!$B$44)-(B1033)&lt;=0,1,MAX(0,IF(Inputs!$B$39="pvp",15,Inputs!$B$44)-MAX(5,B1033))/(IF(Inputs!$B$39="pvp",15,Inputs!$B$44)-(B1033))))*IF(AND(ArtifactsInput!$M$42,((Inputs!$B$9+((C1014=TRUE)*(F1014-Calc!F26))+B1022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1005*(MIN(100,(Inputs!$B$9+((C1014=TRUE)*(F1014-Calc!F26))+B1022+(ArtifactsInput!$M$24-ArtifactsInput!$M$24)*CHOOSE(ArtifactsInput!$N$24+1,10,12,14,16,18,20)+(IF(AND(Inputs!$B$39&lt;&gt;"pvp",Inputs!$B$44=0),1,IF(IF(Inputs!$B$39="pvp",15,Inputs!$B$44)-(B1033)&lt;=0,1,MAX(0,IF(Inputs!$B$39="pvp",15,Inputs!$B$44)-MAX(5,B1033))/(IF(Inputs!$B$39="pvp",15,Inputs!$B$44)-(B1033))))*IF(AND(ArtifactsInput!$M$42,((Inputs!$B$9+((C1014=TRUE)*(F1014-Calc!F26))+B1022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1005*(1-MIN(100,(Inputs!$B$9+((C1014=TRUE)*(F1014-Calc!F26))+B1022+(ArtifactsInput!$M$24-ArtifactsInput!$M$24)*CHOOSE(ArtifactsInput!$N$24+1,10,12,14,16,18,20)+(IF(AND(Inputs!$B$39&lt;&gt;"pvp",Inputs!$B$44=0),1,IF(IF(Inputs!$B$39="pvp",15,Inputs!$B$44)-(B1033)&lt;=0,1,MAX(0,IF(Inputs!$B$39="pvp",15,Inputs!$B$44)-MAX(5,B1033))/(IF(Inputs!$B$39="pvp",15,Inputs!$B$44)-(B1033))))*IF(AND(ArtifactsInput!$M$42,((Inputs!$B$9+((C1014=TRUE)*(F1014-Calc!F26))+B1022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1005*(MIN(100,(Inputs!$B$9+((C1014=TRUE)*(F1014-Calc!F26))+B1022+(ArtifactsInput!$M$24-ArtifactsInput!$M$24)*CHOOSE(ArtifactsInput!$N$24+1,10,12,14,16,18,20)+(IF(AND(Inputs!$B$39&lt;&gt;"pvp",Inputs!$B$44=0),1,IF(IF(Inputs!$B$39="pvp",15,Inputs!$B$44)-(B1033)&lt;=0,1,MAX(0,IF(Inputs!$B$39="pvp",15,Inputs!$B$44)-MAX(5,B1033))/(IF(Inputs!$B$39="pvp",15,Inputs!$B$44)-(B1033))))*IF(AND(ArtifactsInput!$M$42,((Inputs!$B$9+((C1014=TRUE)*(F1014-Calc!F26))+B1022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1005">
        <f>IF(C1005,(Inputs!$B$38*0.2*N1005)*IF(Inputs!$B$39="pvp",1,(1+(Inputs!$B$21+Skills!Q17+B1023+(IF(ArtifactsInput!$M$33,CHOOSE(ArtifactsInput!$N$33+1,30,36,42,48,54,60),0))+(IF(AND(ArtifactsInput!$M$35,Inputs!$B$4&lt;&gt;"Chapter Hunt"),CHOOSE(ArtifactsInput!$N$35+1,15,18,21,24,27,30)*(1-EXP(-(0.2*B1026)*5)),0)+IF(AND(ArtifactsInput!$M$22,Inputs!$B$4&lt;&gt;"Chapter Hunt"),CHOOSE(ArtifactsInput!$N$22+1,10,12,14,16,18,20)*((0*(((0.15*B1026*5))^0/1)+1*(((0.15*B1026*5))^1/1)+2*(((0.15*B1026*5))^2/2)+3*(((0.15*B1026*5))^3/6)+4*(((0.15*B1026*5))^4/24)+5*(((0.15*B1026*5))^5/120))/((((0.15*B1026*5))^0/1)+(((0.15*B1026*5))^1/1)+(((0.15*B1026*5))^2/2)+(((0.15*B1026*5))^3/6)+(((0.15*B1026*5))^4/24)+(((0.15*B1026*5))^5/120))),0)))/100)*(MIN(Skills!W17,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006">
      <c r="A1006">
        <f>Skills!A18</f>
        <v/>
      </c>
      <c r="B1006">
        <f>Skills!B18</f>
        <v/>
      </c>
      <c r="C1006">
        <f>Inputs!$B$3&gt;=115</f>
        <v/>
      </c>
      <c r="D1006">
        <f>IF(Skills!C18=1,60+Inputs!$B$25+Inputs!$B$29,IF(Skills!C18=2,90+Inputs!$B$26+Inputs!$B$29,IF(Skills!C18=3,120+(Inputs!$B$27+1)+Inputs!$B$29,MAX(0,(Inputs!$B$3-100)*3)+Inputs!$B$28+Inputs!$B$29)))</f>
        <v/>
      </c>
      <c r="E1006">
        <f>INDEX(FactorTable!$B$2:$Y$301, MATCH(ROUND(MIN(300,MAX(1,D1006)),0), FactorTable!$A$2:$A$301,0), Skills!M18+1)</f>
        <v/>
      </c>
      <c r="F1006">
        <f>IF(Skills!N18=TRUE,(Skills!L18/10)*(E1006/1000),Skills!L18/10)+Skills!O18</f>
        <v/>
      </c>
      <c r="G1006">
        <f>Skills!G18*IF(Skills!H18&gt;0,IF(Inputs!$B$39="pvp",MIN(Skills!I18,15),Skills!I18)/Skills!H18,1)</f>
        <v/>
      </c>
      <c r="H1006">
        <f>1-(1-Skills!J18/100)^Skills!K18</f>
        <v/>
      </c>
      <c r="I1006" t="inlineStr">
        <is>
          <t>1</t>
        </is>
      </c>
      <c r="J1006" t="inlineStr"/>
      <c r="K1006" t="inlineStr"/>
      <c r="L1006" t="inlineStr"/>
      <c r="M1006" t="inlineStr"/>
      <c r="N1006" t="inlineStr"/>
      <c r="O1006">
        <f>(1-Summary!$B$11)*T1006+Summary!$B$11*V1006</f>
        <v/>
      </c>
      <c r="P1006">
        <f>IF(B1034=0,0,O1006/B1034)</f>
        <v/>
      </c>
      <c r="Q1006" t="n">
        <v>0</v>
      </c>
      <c r="R1006" t="n">
        <v>0</v>
      </c>
      <c r="S1006">
        <f>IFERROR(O1006/N1006,0)</f>
        <v/>
      </c>
      <c r="T1006" t="n">
        <v>0</v>
      </c>
      <c r="V1006" t="n">
        <v>0</v>
      </c>
    </row>
    <row r="1007">
      <c r="A1007">
        <f>Skills!A19</f>
        <v/>
      </c>
      <c r="B1007">
        <f>Skills!B19</f>
        <v/>
      </c>
      <c r="C1007">
        <f>Inputs!$B$3&gt;=100</f>
        <v/>
      </c>
      <c r="D1007">
        <f>IF(Skills!C19=1,60+Inputs!$B$25+Inputs!$B$29,IF(Skills!C19=2,90+Inputs!$B$26+Inputs!$B$29,IF(Skills!C19=3,120+(Inputs!$B$27+1)+Inputs!$B$29,MAX(0,(Inputs!$B$3-100)*3)+Inputs!$B$28+Inputs!$B$29)))</f>
        <v/>
      </c>
      <c r="E1007">
        <f>INDEX(FactorTable!$B$2:$Y$301, MATCH(ROUND(MIN(300,MAX(1,D1007)),0), FactorTable!$A$2:$A$301,0), Skills!M19+1)</f>
        <v/>
      </c>
      <c r="F1007">
        <f>IF(Skills!N19=TRUE,(Skills!L19/10)*(E1007/1000),Skills!L19/10)+Skills!O19</f>
        <v/>
      </c>
      <c r="G1007">
        <f>Skills!G19*IF(Skills!H19&gt;0,IF(Inputs!$B$39="pvp",MIN(Skills!I19,15),Skills!I19)/Skills!H19,1)</f>
        <v/>
      </c>
      <c r="H1007">
        <f>1-(1-Skills!J19/100)^Skills!K19</f>
        <v/>
      </c>
      <c r="I1007" t="inlineStr">
        <is>
          <t>1</t>
        </is>
      </c>
      <c r="J1007" t="inlineStr"/>
      <c r="K1007" t="inlineStr"/>
      <c r="L1007" t="inlineStr"/>
      <c r="M1007" t="inlineStr"/>
      <c r="N1007" t="inlineStr"/>
      <c r="O1007">
        <f>(1-Summary!$B$11)*T1007+Summary!$B$11*V1007</f>
        <v/>
      </c>
      <c r="P1007">
        <f>IF(B1034=0,0,O1007/B1034)</f>
        <v/>
      </c>
      <c r="Q1007" t="n">
        <v>0</v>
      </c>
      <c r="R1007" t="n">
        <v>0</v>
      </c>
      <c r="S1007">
        <f>IFERROR(O1007/N1007,0)</f>
        <v/>
      </c>
      <c r="T1007" t="n">
        <v>0</v>
      </c>
      <c r="V1007" t="n">
        <v>0</v>
      </c>
    </row>
    <row r="1008">
      <c r="A1008">
        <f>Skills!A20</f>
        <v/>
      </c>
      <c r="B1008">
        <f>Skills!B20</f>
        <v/>
      </c>
      <c r="C1008">
        <f>TRUE</f>
        <v/>
      </c>
      <c r="D1008">
        <f>IF(Skills!C20=1,60+Inputs!$B$25+Inputs!$B$29,IF(Skills!C20=2,90+Inputs!$B$26+Inputs!$B$29,IF(Skills!C20=3,120+(Inputs!$B$27+1)+Inputs!$B$29,MAX(0,(Inputs!$B$3-100)*3)+Inputs!$B$28+Inputs!$B$29)))</f>
        <v/>
      </c>
      <c r="E1008">
        <f>INDEX(FactorTable!$B$2:$Y$301, MATCH(ROUND(MIN(300,MAX(1,D1008)),0), FactorTable!$A$2:$A$301,0), Skills!M20+1)</f>
        <v/>
      </c>
      <c r="F1008">
        <f>IF(Skills!N20=TRUE,(Skills!L20/10)*(E1008/1000),Skills!L20/10)+Skills!O20</f>
        <v/>
      </c>
      <c r="G1008">
        <f>Skills!G20*IF(Skills!H20&gt;0,IF(Inputs!$B$39="pvp",MIN(Skills!I20,15),Skills!I20)/Skills!H20,1)</f>
        <v/>
      </c>
      <c r="H1008">
        <f>1-(1-Skills!J20/100)^Skills!K20</f>
        <v/>
      </c>
      <c r="I1008" t="inlineStr">
        <is>
          <t>1</t>
        </is>
      </c>
      <c r="J1008" t="inlineStr"/>
      <c r="K1008" t="inlineStr"/>
      <c r="L1008" t="inlineStr"/>
      <c r="M1008" t="inlineStr"/>
      <c r="N1008" t="inlineStr"/>
      <c r="O1008">
        <f>(1-Summary!$B$11)*T1008+Summary!$B$11*V1008</f>
        <v/>
      </c>
      <c r="P1008">
        <f>IF(B1034=0,0,O1008/B1034)</f>
        <v/>
      </c>
      <c r="Q1008">
        <f>IFERROR(1/IF(Inputs!$B$39="pvp",15,MAX(0.1,Skills!D20-IF(TRUE=TRUE,Inputs!$B$32,0))),0)</f>
        <v/>
      </c>
      <c r="R1008">
        <f>IF(AND(Inputs!$B$39&lt;&gt;"pvp",Inputs!$B$44&gt;0),IF(Inputs!$B$44&lt;=0,0,(INT(Inputs!$B$44/IF(Inputs!$B$39="pvp",15,MAX(0.1,Skills!D20-IF(TRUE=TRUE,Inputs!$B$32,0))))+1)),0)</f>
        <v/>
      </c>
      <c r="S1008">
        <f>IFERROR(O1008/N1008,0)</f>
        <v/>
      </c>
      <c r="T1008" t="n">
        <v>0</v>
      </c>
      <c r="V1008" t="n">
        <v>0</v>
      </c>
    </row>
    <row r="1009">
      <c r="A1009">
        <f>Skills!A21</f>
        <v/>
      </c>
      <c r="B1009">
        <f>Skills!B21</f>
        <v/>
      </c>
      <c r="C1009">
        <f>Inputs!$B$3&gt;=15</f>
        <v/>
      </c>
      <c r="D1009">
        <f>IF(Skills!C21=1,60+Inputs!$B$25+Inputs!$B$29,IF(Skills!C21=2,90+Inputs!$B$26+Inputs!$B$29,IF(Skills!C21=3,120+(Inputs!$B$27+1)+Inputs!$B$29,MAX(0,(Inputs!$B$3-100)*3)+Inputs!$B$28+Inputs!$B$29)))</f>
        <v/>
      </c>
      <c r="E1009">
        <f>INDEX(FactorTable!$B$2:$Y$301, MATCH(ROUND(MIN(300,MAX(1,D1009)),0), FactorTable!$A$2:$A$301,0), Skills!M21+1)</f>
        <v/>
      </c>
      <c r="F1009">
        <f>IF(Skills!N21=TRUE,(Skills!L21/10)*(E1009/1000),Skills!L21/10)+Skills!O21</f>
        <v/>
      </c>
      <c r="G1009">
        <f>Skills!G21*IF(Skills!H21&gt;0,IF(Inputs!$B$39="pvp",MIN(Skills!I21,15),Skills!I21)/Skills!H21,1)</f>
        <v/>
      </c>
      <c r="H1009">
        <f>1-(1-Skills!J21/100)^Skills!K21</f>
        <v/>
      </c>
      <c r="I1009" t="inlineStr">
        <is>
          <t>1</t>
        </is>
      </c>
      <c r="J1009" t="inlineStr"/>
      <c r="K1009" t="inlineStr"/>
      <c r="L1009" t="inlineStr"/>
      <c r="M1009" t="inlineStr"/>
      <c r="N1009" t="inlineStr"/>
      <c r="O1009">
        <f>(1-Summary!$B$11)*T1009+Summary!$B$11*V1009</f>
        <v/>
      </c>
      <c r="P1009">
        <f>IF(B1034=0,0,O1009/B1034)</f>
        <v/>
      </c>
      <c r="Q1009">
        <f>IFERROR(1/IF(Inputs!$B$39="pvp",15,MAX(0.1,Skills!D21-IF(TRUE=TRUE,Inputs!$B$32,0))),0)</f>
        <v/>
      </c>
      <c r="R1009">
        <f>IF(AND(Inputs!$B$39&lt;&gt;"pvp",Inputs!$B$44&gt;0),IF(Inputs!$B$44&lt;=0,0,(INT(Inputs!$B$44/IF(Inputs!$B$39="pvp",15,MAX(0.1,Skills!D21-IF(TRUE=TRUE,Inputs!$B$32,0))))+1)),0)</f>
        <v/>
      </c>
      <c r="S1009">
        <f>IFERROR(O1009/N1009,0)</f>
        <v/>
      </c>
      <c r="T1009" t="n">
        <v>0</v>
      </c>
      <c r="V1009" t="n">
        <v>0</v>
      </c>
    </row>
    <row r="1010">
      <c r="A1010">
        <f>Skills!A22</f>
        <v/>
      </c>
      <c r="B1010">
        <f>Skills!B22</f>
        <v/>
      </c>
      <c r="C1010">
        <f>Inputs!$B$3&gt;=15</f>
        <v/>
      </c>
      <c r="D1010">
        <f>IF(Skills!C22=1,60+Inputs!$B$25+Inputs!$B$29,IF(Skills!C22=2,90+Inputs!$B$26+Inputs!$B$29,IF(Skills!C22=3,120+(Inputs!$B$27+1)+Inputs!$B$29,MAX(0,(Inputs!$B$3-100)*3)+Inputs!$B$28+Inputs!$B$29)))</f>
        <v/>
      </c>
      <c r="E1010">
        <f>INDEX(FactorTable!$B$2:$Y$301, MATCH(ROUND(MIN(300,MAX(1,D1010)),0), FactorTable!$A$2:$A$301,0), Skills!M22+1)</f>
        <v/>
      </c>
      <c r="F1010">
        <f>IF(Skills!N22=TRUE,(Skills!L22/10)*(E1010/1000),Skills!L22/10)+Skills!O22</f>
        <v/>
      </c>
      <c r="G1010">
        <f>Skills!G22*IF(Skills!H22&gt;0,IF(Inputs!$B$39="pvp",MIN(Skills!I22,15),Skills!I22)/Skills!H22,1)</f>
        <v/>
      </c>
      <c r="H1010">
        <f>1-(1-Skills!J22/100)^Skills!K22</f>
        <v/>
      </c>
      <c r="I1010" t="inlineStr">
        <is>
          <t>1</t>
        </is>
      </c>
      <c r="J1010" t="inlineStr"/>
      <c r="K1010" t="inlineStr"/>
      <c r="L1010" t="inlineStr"/>
      <c r="M1010" t="inlineStr"/>
      <c r="N1010" t="inlineStr"/>
      <c r="O1010">
        <f>(1-Summary!$B$11)*T1010+Summary!$B$11*V1010</f>
        <v/>
      </c>
      <c r="P1010">
        <f>IF(B1034=0,0,O1010/B1034)</f>
        <v/>
      </c>
      <c r="Q1010">
        <f>IFERROR(1/IF(Inputs!$B$39="pvp",15,MAX(0.1,Skills!D22-IF(TRUE=TRUE,Inputs!$B$32,0))),0)</f>
        <v/>
      </c>
      <c r="R1010">
        <f>IF(AND(Inputs!$B$39&lt;&gt;"pvp",Inputs!$B$44&gt;0),IF(Inputs!$B$44&lt;=0,0,(INT(Inputs!$B$44/IF(Inputs!$B$39="pvp",15,MAX(0.1,Skills!D22-IF(TRUE=TRUE,Inputs!$B$32,0))))+1)),0)</f>
        <v/>
      </c>
      <c r="S1010">
        <f>IFERROR(O1010/N1010,0)</f>
        <v/>
      </c>
      <c r="T1010" t="n">
        <v>0</v>
      </c>
      <c r="V1010" t="n">
        <v>0</v>
      </c>
    </row>
    <row r="1011">
      <c r="A1011">
        <f>Skills!A23</f>
        <v/>
      </c>
      <c r="B1011">
        <f>Skills!B23</f>
        <v/>
      </c>
      <c r="C1011">
        <f>Inputs!$B$3&gt;=33</f>
        <v/>
      </c>
      <c r="D1011">
        <f>IF(Skills!C23=1,60+Inputs!$B$25+Inputs!$B$29,IF(Skills!C23=2,90+Inputs!$B$26+Inputs!$B$29,IF(Skills!C23=3,120+(Inputs!$B$27+1)+Inputs!$B$29,MAX(0,(Inputs!$B$3-100)*3)+Inputs!$B$28+Inputs!$B$29)))</f>
        <v/>
      </c>
      <c r="E1011">
        <f>INDEX(FactorTable!$B$2:$Y$301, MATCH(ROUND(MIN(300,MAX(1,D1011)),0), FactorTable!$A$2:$A$301,0), Skills!M23+1)</f>
        <v/>
      </c>
      <c r="F1011">
        <f>IF(Skills!N23=TRUE,(Skills!L23/10)*(E1011/1000),Skills!L23/10)+Skills!O23</f>
        <v/>
      </c>
      <c r="G1011">
        <f>Skills!G23*IF(Skills!H23&gt;0,IF(Inputs!$B$39="pvp",MIN(Skills!I23,15),Skills!I23)/Skills!H23,1)</f>
        <v/>
      </c>
      <c r="H1011">
        <f>1-(1-Skills!J23/100)^Skills!K23</f>
        <v/>
      </c>
      <c r="I1011" t="inlineStr">
        <is>
          <t>1</t>
        </is>
      </c>
      <c r="J1011" t="inlineStr"/>
      <c r="K1011" t="inlineStr"/>
      <c r="L1011" t="inlineStr"/>
      <c r="M1011" t="inlineStr"/>
      <c r="N1011" t="inlineStr"/>
      <c r="O1011">
        <f>(1-Summary!$B$11)*T1011+Summary!$B$11*V1011</f>
        <v/>
      </c>
      <c r="P1011">
        <f>IF(B1034=0,0,O1011/B1034)</f>
        <v/>
      </c>
      <c r="Q1011" t="n">
        <v>0</v>
      </c>
      <c r="R1011" t="n">
        <v>0</v>
      </c>
      <c r="S1011">
        <f>IFERROR(O1011/N1011,0)</f>
        <v/>
      </c>
      <c r="T1011" t="n">
        <v>0</v>
      </c>
      <c r="V1011" t="n">
        <v>0</v>
      </c>
    </row>
    <row r="1012">
      <c r="A1012">
        <f>Skills!A24</f>
        <v/>
      </c>
      <c r="B1012">
        <f>Skills!B24</f>
        <v/>
      </c>
      <c r="C1012">
        <f>Inputs!$B$3&gt;=40</f>
        <v/>
      </c>
      <c r="D1012">
        <f>IF(Skills!C24=1,60+Inputs!$B$25+Inputs!$B$29,IF(Skills!C24=2,90+Inputs!$B$26+Inputs!$B$29,IF(Skills!C24=3,120+(Inputs!$B$27+1)+Inputs!$B$29,MAX(0,(Inputs!$B$3-100)*3)+Inputs!$B$28+Inputs!$B$29)))</f>
        <v/>
      </c>
      <c r="E1012">
        <f>INDEX(FactorTable!$B$2:$Y$301, MATCH(ROUND(MIN(300,MAX(1,D1012)),0), FactorTable!$A$2:$A$301,0), Skills!M24+1)</f>
        <v/>
      </c>
      <c r="F1012">
        <f>IF(Skills!N24=TRUE,(Skills!L24/10)*(E1012/1000),Skills!L24/10)+Skills!O24</f>
        <v/>
      </c>
      <c r="G1012">
        <f>Skills!G24*IF(Skills!H24&gt;0,IF(Inputs!$B$39="pvp",MIN(Skills!I24,15),Skills!I24)/Skills!H24,1)</f>
        <v/>
      </c>
      <c r="H1012">
        <f>1-(1-Skills!J24/100)^Skills!K24</f>
        <v/>
      </c>
      <c r="I1012" t="inlineStr">
        <is>
          <t>1</t>
        </is>
      </c>
      <c r="J1012" t="inlineStr"/>
      <c r="K1012" t="inlineStr"/>
      <c r="L1012" t="inlineStr"/>
      <c r="M1012" t="inlineStr"/>
      <c r="N1012" t="inlineStr"/>
      <c r="O1012">
        <f>(1-Summary!$B$11)*T1012+Summary!$B$11*V1012</f>
        <v/>
      </c>
      <c r="P1012">
        <f>IF(B1034=0,0,O1012/B1034)</f>
        <v/>
      </c>
      <c r="Q1012" t="n">
        <v>0</v>
      </c>
      <c r="R1012" t="n">
        <v>0</v>
      </c>
      <c r="S1012">
        <f>IFERROR(O1012/N1012,0)</f>
        <v/>
      </c>
      <c r="T1012" t="n">
        <v>0</v>
      </c>
      <c r="V1012" t="n">
        <v>0</v>
      </c>
    </row>
    <row r="1013">
      <c r="A1013">
        <f>Skills!A25</f>
        <v/>
      </c>
      <c r="B1013">
        <f>Skills!B25</f>
        <v/>
      </c>
      <c r="C1013">
        <f>Inputs!$B$3&gt;=43</f>
        <v/>
      </c>
      <c r="D1013">
        <f>IF(Skills!C25=1,60+Inputs!$B$25+Inputs!$B$29,IF(Skills!C25=2,90+Inputs!$B$26+Inputs!$B$29,IF(Skills!C25=3,120+(Inputs!$B$27+1)+Inputs!$B$29,MAX(0,(Inputs!$B$3-100)*3)+Inputs!$B$28+Inputs!$B$29)))</f>
        <v/>
      </c>
      <c r="E1013">
        <f>INDEX(FactorTable!$B$2:$Y$301, MATCH(ROUND(MIN(300,MAX(1,D1013)),0), FactorTable!$A$2:$A$301,0), Skills!M25+1)</f>
        <v/>
      </c>
      <c r="F1013">
        <f>IF(Skills!N25=TRUE,(Skills!L25/10)*(E1013/1000),Skills!L25/10)+Skills!O25</f>
        <v/>
      </c>
      <c r="G1013">
        <f>Skills!G25*IF(Skills!H25&gt;0,IF(Inputs!$B$39="pvp",MIN(Skills!I25,15),Skills!I25)/Skills!H25,1)</f>
        <v/>
      </c>
      <c r="H1013">
        <f>1-(1-Skills!J25/100)^Skills!K25</f>
        <v/>
      </c>
      <c r="I1013" t="inlineStr">
        <is>
          <t>1</t>
        </is>
      </c>
      <c r="J1013" t="inlineStr"/>
      <c r="K1013" t="inlineStr"/>
      <c r="L1013" t="inlineStr"/>
      <c r="M1013" t="inlineStr"/>
      <c r="N1013" t="inlineStr"/>
      <c r="O1013">
        <f>(1-Summary!$B$11)*T1013+Summary!$B$11*V1013</f>
        <v/>
      </c>
      <c r="P1013">
        <f>IF(B1034=0,0,O1013/B1034)</f>
        <v/>
      </c>
      <c r="Q1013" t="n">
        <v>0</v>
      </c>
      <c r="R1013" t="n">
        <v>0</v>
      </c>
      <c r="S1013">
        <f>IFERROR(O1013/N1013,0)</f>
        <v/>
      </c>
      <c r="T1013" t="n">
        <v>0</v>
      </c>
      <c r="V1013" t="n">
        <v>0</v>
      </c>
    </row>
    <row r="1014">
      <c r="A1014">
        <f>Skills!A26</f>
        <v/>
      </c>
      <c r="B1014">
        <f>Skills!B26</f>
        <v/>
      </c>
      <c r="C1014">
        <f>Inputs!$B$3&gt;=50</f>
        <v/>
      </c>
      <c r="D1014">
        <f>IF(Skills!C26=1,60+Inputs!$B$25+Inputs!$B$29,IF(Skills!C26=2,90+Inputs!$B$26+Inputs!$B$29,IF(Skills!C26=3,120+(Inputs!$B$27+1)+Inputs!$B$29,MAX(0,(Inputs!$B$3-100)*3)+Inputs!$B$28+Inputs!$B$29)))</f>
        <v/>
      </c>
      <c r="E1014">
        <f>INDEX(FactorTable!$B$2:$Y$301, MATCH(ROUND(MIN(300,MAX(1,D1014)),0), FactorTable!$A$2:$A$301,0), Skills!M26+1)</f>
        <v/>
      </c>
      <c r="F1014">
        <f>IF(Skills!N26=TRUE,(Skills!L26/10)*(E1014/1000),Skills!L26/10)+Skills!O26</f>
        <v/>
      </c>
      <c r="G1014">
        <f>Skills!G26*IF(Skills!H26&gt;0,IF(Inputs!$B$39="pvp",MIN(Skills!I26,15),Skills!I26)/Skills!H26,1)</f>
        <v/>
      </c>
      <c r="H1014">
        <f>1-(1-Skills!J26/100)^Skills!K26</f>
        <v/>
      </c>
      <c r="I1014" t="inlineStr">
        <is>
          <t>1</t>
        </is>
      </c>
      <c r="J1014" t="inlineStr"/>
      <c r="K1014" t="inlineStr"/>
      <c r="L1014" t="inlineStr"/>
      <c r="M1014" t="inlineStr"/>
      <c r="N1014" t="inlineStr"/>
      <c r="O1014">
        <f>(1-Summary!$B$11)*T1014+Summary!$B$11*V1014</f>
        <v/>
      </c>
      <c r="P1014">
        <f>IF(B1034=0,0,O1014/B1034)</f>
        <v/>
      </c>
      <c r="Q1014" t="n">
        <v>0</v>
      </c>
      <c r="R1014" t="n">
        <v>0</v>
      </c>
      <c r="S1014">
        <f>IFERROR(O1014/N1014,0)</f>
        <v/>
      </c>
      <c r="T1014" t="n">
        <v>0</v>
      </c>
      <c r="V1014" t="n">
        <v>0</v>
      </c>
    </row>
    <row r="1015">
      <c r="A1015">
        <f>Skills!A27</f>
        <v/>
      </c>
      <c r="B1015">
        <f>Skills!B27</f>
        <v/>
      </c>
      <c r="C1015">
        <f>Inputs!$B$3&gt;=50</f>
        <v/>
      </c>
      <c r="D1015">
        <f>IF(Skills!C27=1,60+Inputs!$B$25+Inputs!$B$29,IF(Skills!C27=2,90+Inputs!$B$26+Inputs!$B$29,IF(Skills!C27=3,120+(Inputs!$B$27+1)+Inputs!$B$29,MAX(0,(Inputs!$B$3-100)*3)+Inputs!$B$28+Inputs!$B$29)))</f>
        <v/>
      </c>
      <c r="E1015">
        <f>INDEX(FactorTable!$B$2:$Y$301, MATCH(ROUND(MIN(300,MAX(1,D1015)),0), FactorTable!$A$2:$A$301,0), Skills!M27+1)</f>
        <v/>
      </c>
      <c r="F1015">
        <f>IF(Skills!N27=TRUE,(Skills!L27/10)*(E1015/1000),Skills!L27/10)+Skills!O27</f>
        <v/>
      </c>
      <c r="G1015">
        <f>Skills!G27*IF(Skills!H27&gt;0,IF(Inputs!$B$39="pvp",MIN(Skills!I27,15),Skills!I27)/Skills!H27,1)</f>
        <v/>
      </c>
      <c r="H1015">
        <f>1-(1-Skills!J27/100)^Skills!K27</f>
        <v/>
      </c>
      <c r="I1015" t="inlineStr">
        <is>
          <t>1</t>
        </is>
      </c>
      <c r="J1015" t="inlineStr"/>
      <c r="K1015" t="inlineStr"/>
      <c r="L1015" t="inlineStr"/>
      <c r="M1015" t="inlineStr"/>
      <c r="N1015" t="inlineStr"/>
      <c r="O1015">
        <f>(1-Summary!$B$11)*T1015+Summary!$B$11*V1015</f>
        <v/>
      </c>
      <c r="P1015">
        <f>IF(B1034=0,0,O1015/B1034)</f>
        <v/>
      </c>
      <c r="Q1015" t="n">
        <v>0</v>
      </c>
      <c r="R1015" t="n">
        <v>0</v>
      </c>
      <c r="S1015">
        <f>IFERROR(O1015/N1015,0)</f>
        <v/>
      </c>
      <c r="T1015" t="n">
        <v>0</v>
      </c>
      <c r="V1015" t="n">
        <v>0</v>
      </c>
    </row>
    <row r="1016">
      <c r="A1016">
        <f>Skills!A28</f>
        <v/>
      </c>
      <c r="B1016">
        <f>Skills!B28</f>
        <v/>
      </c>
      <c r="C1016">
        <f>Inputs!$B$3&gt;=38</f>
        <v/>
      </c>
      <c r="D1016">
        <f>IF(Skills!C28=1,60+Inputs!$B$25+Inputs!$B$29,IF(Skills!C28=2,90+Inputs!$B$26+Inputs!$B$29,IF(Skills!C28=3,120+(Inputs!$B$27+1)+Inputs!$B$29,MAX(0,(Inputs!$B$3-100)*3)+Inputs!$B$28+Inputs!$B$29)))</f>
        <v/>
      </c>
      <c r="E1016">
        <f>INDEX(FactorTable!$B$2:$Y$301, MATCH(ROUND(MIN(300,MAX(1,D1016)),0), FactorTable!$A$2:$A$301,0), Skills!M28+1)</f>
        <v/>
      </c>
      <c r="F1016">
        <f>IF(Skills!N28=TRUE,(Skills!L28/10)*(E1016/1000),Skills!L28/10)+Skills!O28</f>
        <v/>
      </c>
      <c r="G1016">
        <f>Skills!G28*IF(Skills!H28&gt;0,IF(Inputs!$B$39="pvp",MIN(Skills!I28,15),Skills!I28)/Skills!H28,1)</f>
        <v/>
      </c>
      <c r="H1016">
        <f>1-(1-Skills!J28/100)^Skills!K28</f>
        <v/>
      </c>
      <c r="I1016" t="inlineStr">
        <is>
          <t>1</t>
        </is>
      </c>
      <c r="J1016" t="inlineStr"/>
      <c r="K1016" t="inlineStr"/>
      <c r="L1016" t="inlineStr"/>
      <c r="M1016" t="inlineStr"/>
      <c r="N1016" t="inlineStr"/>
      <c r="O1016">
        <f>(1-Summary!$B$11)*T1016+Summary!$B$11*V1016</f>
        <v/>
      </c>
      <c r="P1016">
        <f>IF(B1034=0,0,O1016/B1034)</f>
        <v/>
      </c>
      <c r="Q1016" t="n">
        <v>0</v>
      </c>
      <c r="R1016" t="n">
        <v>0</v>
      </c>
      <c r="S1016">
        <f>IFERROR(O1016/N1016,0)</f>
        <v/>
      </c>
      <c r="T1016" t="n">
        <v>0</v>
      </c>
      <c r="V1016" t="n">
        <v>0</v>
      </c>
    </row>
    <row r="1017">
      <c r="A1017">
        <f>Skills!A29</f>
        <v/>
      </c>
      <c r="B1017">
        <f>Skills!B29</f>
        <v/>
      </c>
      <c r="C1017">
        <f>Inputs!$B$3&gt;=120</f>
        <v/>
      </c>
      <c r="D1017">
        <f>IF(Skills!C29=1,60+Inputs!$B$25+Inputs!$B$29,IF(Skills!C29=2,90+Inputs!$B$26+Inputs!$B$29,IF(Skills!C29=3,120+(Inputs!$B$27+1)+Inputs!$B$29,MAX(0,(Inputs!$B$3-100)*3)+Inputs!$B$28+Inputs!$B$29)))</f>
        <v/>
      </c>
      <c r="E1017">
        <f>INDEX(FactorTable!$B$2:$Y$301, MATCH(ROUND(MIN(300,MAX(1,D1017)),0), FactorTable!$A$2:$A$301,0), Skills!M29+1)</f>
        <v/>
      </c>
      <c r="F1017">
        <f>IF(Skills!N29=TRUE,(Skills!L29/10)*(E1017/1000),Skills!L29/10)+Skills!O29</f>
        <v/>
      </c>
      <c r="G1017">
        <f>Skills!G29*IF(Skills!H29&gt;0,IF(Inputs!$B$39="pvp",MIN(Skills!I29,15),Skills!I29)/Skills!H29,1)</f>
        <v/>
      </c>
      <c r="H1017">
        <f>1-(1-Skills!J29/100)^Skills!K29</f>
        <v/>
      </c>
      <c r="I1017" t="inlineStr">
        <is>
          <t>1</t>
        </is>
      </c>
      <c r="J1017" t="inlineStr"/>
      <c r="K1017" t="inlineStr"/>
      <c r="L1017" t="inlineStr"/>
      <c r="M1017" t="inlineStr"/>
      <c r="N1017" t="inlineStr"/>
      <c r="O1017">
        <f>(1-Summary!$B$11)*T1017+Summary!$B$11*V1017</f>
        <v/>
      </c>
      <c r="P1017">
        <f>IF(B1034=0,0,O1017/B1034)</f>
        <v/>
      </c>
      <c r="Q1017" t="n">
        <v>0</v>
      </c>
      <c r="R1017" t="n">
        <v>0</v>
      </c>
      <c r="S1017">
        <f>IFERROR(O1017/N1017,0)</f>
        <v/>
      </c>
      <c r="T1017" t="n">
        <v>0</v>
      </c>
      <c r="V1017" t="n">
        <v>0</v>
      </c>
    </row>
    <row r="1018">
      <c r="A1018">
        <f>Skills!A30</f>
        <v/>
      </c>
      <c r="B1018">
        <f>Skills!B30</f>
        <v/>
      </c>
      <c r="C1018">
        <f>Inputs!$B$3&gt;=120</f>
        <v/>
      </c>
      <c r="D1018">
        <f>IF(Skills!C30=1,60+Inputs!$B$25+Inputs!$B$29,IF(Skills!C30=2,90+Inputs!$B$26+Inputs!$B$29,IF(Skills!C30=3,120+(Inputs!$B$27+1)+Inputs!$B$29,MAX(0,(Inputs!$B$3-100)*3)+Inputs!$B$28+Inputs!$B$29)))</f>
        <v/>
      </c>
      <c r="E1018">
        <f>INDEX(FactorTable!$B$2:$Y$301, MATCH(ROUND(MIN(300,MAX(1,D1018)),0), FactorTable!$A$2:$A$301,0), Skills!M30+1)</f>
        <v/>
      </c>
      <c r="F1018">
        <f>IF(Skills!N30=TRUE,(Skills!L30/10)*(E1018/1000),Skills!L30/10)+Skills!O30</f>
        <v/>
      </c>
      <c r="G1018">
        <f>Skills!G30*IF(Skills!H30&gt;0,IF(Inputs!$B$39="pvp",MIN(Skills!I30,15),Skills!I30)/Skills!H30,1)</f>
        <v/>
      </c>
      <c r="H1018">
        <f>1-(1-Skills!J30/100)^Skills!K30</f>
        <v/>
      </c>
      <c r="I1018" t="inlineStr">
        <is>
          <t>1</t>
        </is>
      </c>
      <c r="J1018" t="inlineStr"/>
      <c r="K1018" t="inlineStr"/>
      <c r="L1018" t="inlineStr"/>
      <c r="M1018" t="inlineStr"/>
      <c r="N1018" t="inlineStr"/>
      <c r="O1018">
        <f>(1-Summary!$B$11)*T1018+Summary!$B$11*V1018</f>
        <v/>
      </c>
      <c r="P1018">
        <f>IF(B1034=0,0,O1018/B1034)</f>
        <v/>
      </c>
      <c r="Q1018" t="n">
        <v>0</v>
      </c>
      <c r="R1018" t="n">
        <v>0</v>
      </c>
      <c r="S1018">
        <f>IFERROR(O1018/N1018,0)</f>
        <v/>
      </c>
      <c r="T1018" t="n">
        <v>0</v>
      </c>
      <c r="V1018" t="n">
        <v>0</v>
      </c>
    </row>
    <row r="1019">
      <c r="A1019">
        <f>Skills!A31</f>
        <v/>
      </c>
      <c r="B1019">
        <f>Skills!B31</f>
        <v/>
      </c>
      <c r="C1019">
        <f>Inputs!$B$3&gt;=125</f>
        <v/>
      </c>
      <c r="D1019">
        <f>IF(Skills!C31=1,60+Inputs!$B$25+Inputs!$B$29,IF(Skills!C31=2,90+Inputs!$B$26+Inputs!$B$29,IF(Skills!C31=3,120+(Inputs!$B$27+1)+Inputs!$B$29,MAX(0,(Inputs!$B$3-100)*3)+Inputs!$B$28+Inputs!$B$29)))</f>
        <v/>
      </c>
      <c r="E1019">
        <f>INDEX(FactorTable!$B$2:$Y$301, MATCH(ROUND(MIN(300,MAX(1,D1019)),0), FactorTable!$A$2:$A$301,0), Skills!M31+1)</f>
        <v/>
      </c>
      <c r="F1019">
        <f>IF(Skills!N31=TRUE,(Skills!L31/10)*(E1019/1000),Skills!L31/10)+Skills!O31</f>
        <v/>
      </c>
      <c r="G1019">
        <f>Skills!G31*IF(Skills!H31&gt;0,IF(Inputs!$B$39="pvp",MIN(Skills!I31,15),Skills!I31)/Skills!H31,1)</f>
        <v/>
      </c>
      <c r="H1019">
        <f>1-(1-Skills!J31/100)^Skills!K31</f>
        <v/>
      </c>
      <c r="I1019" t="inlineStr">
        <is>
          <t>1</t>
        </is>
      </c>
      <c r="J1019" t="inlineStr"/>
      <c r="K1019" t="inlineStr"/>
      <c r="L1019" t="inlineStr"/>
      <c r="M1019" t="inlineStr"/>
      <c r="N1019" t="inlineStr"/>
      <c r="O1019">
        <f>(1-Summary!$B$11)*T1019+Summary!$B$11*V1019</f>
        <v/>
      </c>
      <c r="P1019">
        <f>IF(B1034=0,0,O1019/B1034)</f>
        <v/>
      </c>
      <c r="Q1019" t="n">
        <v>0</v>
      </c>
      <c r="R1019" t="n">
        <v>0</v>
      </c>
      <c r="S1019">
        <f>IFERROR(O1019/N1019,0)</f>
        <v/>
      </c>
      <c r="T1019" t="n">
        <v>0</v>
      </c>
      <c r="V1019" t="n">
        <v>0</v>
      </c>
    </row>
    <row r="1021">
      <c r="A1021" t="inlineStr">
        <is>
          <t>Average Buff Multiplier</t>
        </is>
      </c>
      <c r="B1021">
        <f>(1+(((C1010=TRUE)*F1010*IF(AND(Inputs!$B$39&lt;&gt;"pvp",Inputs!$B$44&gt;0),(((R1010-1)*MIN((Skills!Y22*(1+Inputs!$B$34/100)),(1/Q1010))+MIN((Skills!Y22*(1+Inputs!$B$34/100)),MAX(0,Inputs!$B$44-((R1010-1)*(1/Q1010)))))/Inputs!$B$44),IF(Inputs!$B$39="pvp",MIN((Skills!Y22*(1+Inputs!$B$34/100)),15)/15,MIN(1,(Skills!Y22*(1+Inputs!$B$34/100))/(1/Q1010)))))+((C991=TRUE)*F991*3)+((C993=TRUE)*F993*(1-EXP(-0.75*B1026*5)))+((C1012=TRUE)*(F1012-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999=TRUE)*F999*IF(AND(Inputs!$B$39&lt;&gt;"pvp",Inputs!$B$44&gt;0),(((R999-1)*MIN((Skills!Y11*(1+Inputs!$B$34/100)),(1/Q999))+MIN((Skills!Y11*(1+Inputs!$B$34/100)),MAX(0,Inputs!$B$44-((R999-1)*(1/Q999)))))/Inputs!$B$44),IF(Inputs!$B$39="pvp",MIN((Skills!Y11*(1+Inputs!$B$34/100)),15)/15,MIN(1,(Skills!Y11*(1+Inputs!$B$34/100))/(1/Q999)))))/100)*(1+((C1004=TRUE)*F1004*IF(AND(Inputs!$B$39&lt;&gt;"pvp",Inputs!$B$44&gt;0),(((R1004-1)*MIN((Skills!Y16*(1+Inputs!$B$34/100)),(1/Q1004))+MIN((Skills!Y16*(1+Inputs!$B$34/100)),MAX(0,Inputs!$B$44-((R1004-1)*(1/Q1004)))))/Inputs!$B$44),IF(Inputs!$B$39="pvp",MIN((Skills!Y16*(1+Inputs!$B$34/100)),15)/15,MIN(1,(Skills!Y16*(1+Inputs!$B$34/100))/(1/Q1004)))))/100)</f>
        <v/>
      </c>
    </row>
    <row r="1022">
      <c r="A1022" t="inlineStr">
        <is>
          <t>Global Crit Rate Bonus %</t>
        </is>
      </c>
      <c r="B1022">
        <f>((C1009=TRUE)*F1009*IF(AND(Inputs!$B$39&lt;&gt;"pvp",Inputs!$B$44&gt;0),(((R1009-1)*MIN((Skills!Y21*(1+Inputs!$B$34/100)),(1/Q1009))+MIN((Skills!Y21*(1+Inputs!$B$34/100)),MAX(0,Inputs!$B$44-((R1009-1)*(1/Q1009)))))/Inputs!$B$44),IF(Inputs!$B$39="pvp",MIN((Skills!Y21*(1+Inputs!$B$34/100)),15)/15,MIN(1,(Skills!Y21*(1+Inputs!$B$34/100))/(1/Q1009)))))</f>
        <v/>
      </c>
    </row>
    <row r="1023">
      <c r="A1023" t="inlineStr">
        <is>
          <t>Global Monster Damage-Taken Bonus %</t>
        </is>
      </c>
      <c r="B1023">
        <f>IF(Inputs!$B$3&gt;=82,15,0)</f>
        <v/>
      </c>
    </row>
    <row r="1024">
      <c r="A1024" t="inlineStr">
        <is>
          <t>Shadow Partner Average Multiplier</t>
        </is>
      </c>
      <c r="B1024">
        <f>1+((C996=TRUE)*F996*(1+3.3333333333333335*IF(C1007=TRUE,F1007,0)/100)*I996*Skills!J8/100)/100</f>
        <v/>
      </c>
    </row>
    <row r="1025">
      <c r="A1025" t="inlineStr">
        <is>
          <t>Attack Speed Buff Bonus %</t>
        </is>
      </c>
      <c r="B1025">
        <f>((C1008=TRUE)*F1008*IF(AND(Inputs!$B$39&lt;&gt;"pvp",Inputs!$B$44&gt;0),(((R1008-1)*MIN((Skills!Y20*(1+Inputs!$B$34/100)),(1/Q1008))+MIN((Skills!Y20*(1+Inputs!$B$34/100)),MAX(0,Inputs!$B$44-((R1008-1)*(1/Q1008)))))/Inputs!$B$44),IF(Inputs!$B$39="pvp",MIN((Skills!Y20*(1+Inputs!$B$34/100)),15)/15,MIN(1,(Skills!Y20*(1+Inputs!$B$34/100))/(1/Q1008)))))</f>
        <v/>
      </c>
    </row>
    <row r="1026">
      <c r="A1026" t="inlineStr">
        <is>
          <t>Actions Per Second</t>
        </is>
      </c>
      <c r="B1026">
        <f>1+MIN(150,150*(1-(1-(Inputs!$B$11+((C1011=TRUE)*(F1011-Calc!F23)))/150)*(1-B1025/150)))/100</f>
        <v/>
      </c>
    </row>
    <row r="1027">
      <c r="A1027" t="inlineStr">
        <is>
          <t>Skill + Buff Cast Rate</t>
        </is>
      </c>
      <c r="B1027">
        <f>IF(AND(Inputs!$B$39&lt;&gt;"pvp",Inputs!$B$44&gt;0),SUMPRODUCT((Skills!E2:E31=TRUE)*(C990:C1019=TRUE)*R990:R1019*Skills!F2:F31)/Inputs!$B$44,SUMPRODUCT((Skills!E2:E31=TRUE)*(C990:C1019=TRUE)*Q990:Q1019*Skills!F2:F31))</f>
        <v/>
      </c>
    </row>
    <row r="1028">
      <c r="A1028" t="inlineStr">
        <is>
          <t>Cruel Stab Casts Per Second</t>
        </is>
      </c>
      <c r="B1028">
        <f>MAX(0,B1026-B1027)</f>
        <v/>
      </c>
    </row>
    <row r="1029">
      <c r="A1029" t="inlineStr">
        <is>
          <t>Global Critical Damage Bonus % (Smokescreen Mastery Lv.113)</t>
        </is>
      </c>
      <c r="B1029">
        <f>IF(Inputs!$B$3&gt;=113,30,0)*IF(AND(Inputs!$B$39&lt;&gt;"pvp",Inputs!$B$44&gt;0),(((R1004-1)*MIN((Skills!Y16*(1+Inputs!$B$34/100)),(1/Q1004))+MIN((Skills!Y16*(1+Inputs!$B$34/100)),MAX(0,Inputs!$B$44-((R1004-1)*(1/Q1004)))))/Inputs!$B$44),IF(Inputs!$B$39="pvp",MIN((Skills!Y16*(1+Inputs!$B$34/100)),15)/15,MIN(1,(Skills!Y16*(1+Inputs!$B$34/100))/(1/Q1004))))</f>
        <v/>
      </c>
    </row>
    <row r="1030">
      <c r="A1030" t="inlineStr">
        <is>
          <t>Meso Explosion average stack count</t>
        </is>
      </c>
      <c r="B1030">
        <f>MIN(10,IF(Inputs!$B$3&gt;=75,0.75,0.5)*B1026*(1/Q992))</f>
        <v/>
      </c>
    </row>
    <row r="1031">
      <c r="A1031" t="inlineStr">
        <is>
          <t>Blood Money average stack count</t>
        </is>
      </c>
      <c r="B1031">
        <f>MIN(5,0.5*IF(Inputs!$B$3&gt;=75,0.75,0.5)*B1026*(1/Q992))</f>
        <v/>
      </c>
    </row>
    <row r="1032">
      <c r="A1032" t="inlineStr">
        <is>
          <t>Assassinate Murderous Intent Multiplier</t>
        </is>
      </c>
      <c r="B1032">
        <f>1+IFERROR(MIN(1,Q1003*2/Q1000),0)</f>
        <v/>
      </c>
    </row>
    <row r="1033">
      <c r="A1033" t="inlineStr">
        <is>
          <t>Buff-Casting Startup Delay (s, fixed-duration only)</t>
        </is>
      </c>
      <c r="B1033">
        <f>IF(AND(Inputs!$B$39&lt;&gt;"pvp",Inputs!$B$44&gt;0),SUMPRODUCT((Skills!Y2:Y31&gt;0)*(Skills!E2:E31=TRUE)*(C990:C1019=TRUE))/B1026,0)</f>
        <v/>
      </c>
    </row>
    <row r="1034">
      <c r="A1034" s="6" t="inlineStr">
        <is>
          <t>TOTAL DPS</t>
        </is>
      </c>
      <c r="B1034" s="6">
        <f>SUM(O990:O1019)</f>
        <v/>
      </c>
    </row>
    <row r="1035">
      <c r="A1035" t="inlineStr">
        <is>
          <t>Boss-Only Total DPS (this block's swept value)</t>
        </is>
      </c>
      <c r="B1035">
        <f>SUM(T990:T1019)</f>
        <v/>
      </c>
    </row>
    <row r="1036">
      <c r="A1036" t="inlineStr">
        <is>
          <t>Normal-Only Total DPS (this block's swept value)</t>
        </is>
      </c>
      <c r="B1036">
        <f>SUM(V990:V1019)</f>
        <v/>
      </c>
    </row>
    <row r="1039">
      <c r="A1039" s="6" t="inlineStr">
        <is>
          <t>Stat: Skill Level Bonus — 4th Job</t>
        </is>
      </c>
    </row>
    <row r="1040">
      <c r="A1040" s="5" t="inlineStr">
        <is>
          <t>Key</t>
        </is>
      </c>
      <c r="B1040" s="5" t="inlineStr">
        <is>
          <t>Name</t>
        </is>
      </c>
      <c r="C1040" s="5" t="inlineStr">
        <is>
          <t>Unlocked</t>
        </is>
      </c>
      <c r="D1040" s="5" t="inlineStr">
        <is>
          <t>InputLevel</t>
        </is>
      </c>
      <c r="E1040" s="5" t="inlineStr">
        <is>
          <t>Factor</t>
        </is>
      </c>
      <c r="F1040" s="5" t="inlineStr">
        <is>
          <t>CoefficientPercent</t>
        </is>
      </c>
      <c r="G1040" s="5" t="inlineStr">
        <is>
          <t>EffectiveHits</t>
        </is>
      </c>
      <c r="H1040" s="5" t="inlineStr">
        <is>
          <t>ProcProbability</t>
        </is>
      </c>
      <c r="I1040" s="5" t="inlineStr">
        <is>
          <t>MapleHeroMultiplier</t>
        </is>
      </c>
      <c r="J1040" s="5" t="inlineStr">
        <is>
          <t>BaseDamage</t>
        </is>
      </c>
      <c r="K1040" s="5" t="inlineStr">
        <is>
          <t>BaseHitDamage</t>
        </is>
      </c>
      <c r="L1040" s="5" t="inlineStr">
        <is>
          <t>NonCritAvg</t>
        </is>
      </c>
      <c r="M1040" s="5" t="inlineStr">
        <is>
          <t>CritAvg</t>
        </is>
      </c>
      <c r="N1040" s="5" t="inlineStr">
        <is>
          <t>ExpectedDamage(perHit)</t>
        </is>
      </c>
      <c r="O1040" s="5" t="inlineStr">
        <is>
          <t>DPS</t>
        </is>
      </c>
      <c r="P1040" s="5" t="inlineStr">
        <is>
          <t>% of Total</t>
        </is>
      </c>
      <c r="Q1040" s="5" t="inlineStr">
        <is>
          <t>InvCooldown</t>
        </is>
      </c>
      <c r="R1040" s="5" t="inlineStr">
        <is>
          <t>CastsInFight</t>
        </is>
      </c>
      <c r="S1040" s="5" t="inlineStr">
        <is>
          <t>HitRate(perSec)</t>
        </is>
      </c>
      <c r="U1040" t="inlineStr">
        <is>
          <t>helpers</t>
        </is>
      </c>
    </row>
    <row r="1041">
      <c r="A1041">
        <f>Skills!A2</f>
        <v/>
      </c>
      <c r="B1041">
        <f>Skills!B2</f>
        <v/>
      </c>
      <c r="C1041">
        <f>Inputs!$B$3&gt;=100</f>
        <v/>
      </c>
      <c r="D1041" t="inlineStr"/>
      <c r="E1041" t="inlineStr"/>
      <c r="F1041">
        <f>U1043+Skills!O2</f>
        <v/>
      </c>
      <c r="G1041">
        <f>Skills!G2*IF(Skills!H2&gt;0,IF(Inputs!$B$39="pvp",MIN(Skills!I2,15),Skills!I2)/Skills!H2,1)</f>
        <v/>
      </c>
      <c r="H1041">
        <f>1-(1-Skills!J2/100)^Skills!K2</f>
        <v/>
      </c>
      <c r="I1041" t="inlineStr">
        <is>
          <t>1</t>
        </is>
      </c>
      <c r="J1041">
        <f>((Inputs!$B$6*(1+Inputs!$B$7/100))+(((Inputs!$B$12*(1+Inputs!$B$13/100))-(Inputs!$B$12*(1+Inputs!$B$13/100)))+0.25*(Inputs!$B$14-Inputs!$B$14))*(1+Inputs!$B$7/100))*(F1041/100)</f>
        <v/>
      </c>
      <c r="K1041">
        <f>J1041*(1+((Inputs!$B$12*(1+Inputs!$B$13/100))*0.01+Inputs!$B$14*0.0025)/100)*(1+Inputs!$B$15/100)*(1+Inputs!$B$16/100)*(5000/(6000+Inputs!$B$43*(1-(100*(1-(1-Inputs!$B$19/100)*(1-CHOOSE(ArtifactsInput!$N$40+1,5,6,7,8,9,10)/100)^(ArtifactsInput!$M$40-ArtifactsInput!$M$40)))/100)))*(1+(Inputs!$B$24+((C1070=TRUE)*(F1070-Calc!F31))+((C1057=TRUE)*(F1057-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CRUEL_STAB",Inputs!$B$17+((C1067=TRUE)*(F1067-Calc!F28))+((IF(AND(Inputs!$B$39&lt;&gt;"pvp",Inputs!$B$44=0),1,IF(IF(Inputs!$B$39="pvp",15,Inputs!$B$44)-(B1084)&lt;=0,1,MAX(0,IF(Inputs!$B$39="pvp",15,Inputs!$B$44)-MAX(5,B1084))/(IF(Inputs!$B$39="pvp",15,Inputs!$B$44)-(B1084))))*(IF(AND(ArtifactsInput!$M$42,((Inputs!$B$9+((C1065=TRUE)*(F1065-Calc!F26))+B1073+(ArtifactsInput!$M$24-ArtifactsInput!$M$24)*CHOOSE(ArtifactsInput!$N$24+1,10,12,14,16,18,20)+IF(ArtifactsInput!$M$10,CHOOSE(ArtifactsInput!$N$10+1,15,18,21,24,27,30)*(IF(Inputs!$B$39="pvp",MIN(15,15)/15,IF(AND(Inputs!$B$39&lt;&gt;"pvp",Inputs!$B$44&gt;0),MIN(15,Inputs!$B$44)/(Inputs!$B$44),0))),0)))&gt;=100),MIN(100,((Inputs!$B$9+((C1065=TRUE)*(F1065-Calc!F26))+B1073+(ArtifactsInput!$M$24-ArtifactsInput!$M$24)*CHOOSE(ArtifactsInput!$N$24+1,10,12,14,16,18,20)+IF(ArtifactsInput!$M$10,CHOOSE(ArtifactsInput!$N$10+1,15,18,21,24,27,30)*(IF(Inputs!$B$39="pvp",MIN(15,15)/15,IF(AND(Inputs!$B$39&lt;&gt;"pvp",Inputs!$B$44&gt;0),MIN(15,Inputs!$B$44)/(Inputs!$B$44),0))),0)))-100),0))*CHOOSE(ArtifactsInput!$N$42+1,0.6,0.72,0.84,0.96,1.08,1.2))),Inputs!$B$18+((C1068=TRUE)*(F1068-Calc!F29))+(IF(AND(Inputs!$B$39&lt;&gt;"pvp",Inputs!$B$44=0),1,IF(IF(Inputs!$B$39="pvp",15,Inputs!$B$44)-(B1084)&lt;=0,1,MAX(0,IF(Inputs!$B$39="pvp",15,Inputs!$B$44)-MAX(5,B1084))/(IF(Inputs!$B$39="pvp",15,Inputs!$B$44)-(B1084))))*IF(AND(ArtifactsInput!$M$42,((Inputs!$B$9+((C1065=TRUE)*(F1065-Calc!F26))+B1073+(ArtifactsInput!$M$24-ArtifactsInput!$M$24)*CHOOSE(ArtifactsInput!$N$24+1,10,12,14,16,18,20)+IF(ArtifactsInput!$M$10,CHOOSE(ArtifactsInput!$N$10+1,15,18,21,24,27,30)*(IF(Inputs!$B$39="pvp",MIN(15,15)/15,IF(AND(Inputs!$B$39&lt;&gt;"pvp",Inputs!$B$44&gt;0),MIN(15,Inputs!$B$44)/(Inputs!$B$44),0))),0)))&gt;=100),CHOOSE(ArtifactsInput!$N$42+1,40,48,56,64,72,80),0))))/100)*(((1+(((C1061=TRUE)*F1061*IF(AND(Inputs!$B$39&lt;&gt;"pvp",Inputs!$B$44&gt;0),(((R1061-1)*MIN((Skills!Y22*(1+Inputs!$B$34/100)),(1/Q1061))+MIN((Skills!Y22*(1+Inputs!$B$34/100)),MAX(0,Inputs!$B$44-((R1061-1)*(1/Q1061)))))/Inputs!$B$44),IF(Inputs!$B$39="pvp",MIN((Skills!Y22*(1+Inputs!$B$34/100)),15)/15,MIN(1,(Skills!Y22*(1+Inputs!$B$34/100))/(1/Q1061)))))+((C1042=TRUE)*F1042*3)+((C1044=TRUE)*F1044*(1-EXP(-0.75*B1077*5)))+((C1063=TRUE)*(F1063-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1050=TRUE)*F1050*IF(AND(Inputs!$B$39&lt;&gt;"pvp",Inputs!$B$44&gt;0),(((R1050-1)*MIN((Skills!Y11*(1+Inputs!$B$34/100)),(1/Q1050))+MIN((Skills!Y11*(1+Inputs!$B$34/100)),MAX(0,Inputs!$B$44-((R1050-1)*(1/Q1050)))))/Inputs!$B$44),IF(Inputs!$B$39="pvp",MIN((Skills!Y11*(1+Inputs!$B$34/100)),15)/15,MIN(1,(Skills!Y11*(1+Inputs!$B$34/100))/(1/Q1050)))))/100)*(1+((C1055=TRUE)*F1055*IF(AND(Inputs!$B$39&lt;&gt;"pvp",Inputs!$B$44&gt;0),(((R1055-1)*MIN((Skills!Y16*(1+Inputs!$B$34/100)),(1/Q1055))+MIN((Skills!Y16*(1+Inputs!$B$34/100)),MAX(0,Inputs!$B$44-((R1055-1)*(1/Q1055)))))/Inputs!$B$44),IF(Inputs!$B$39="pvp",MIN((Skills!Y16*(1+Inputs!$B$34/100)),15)/15,MIN(1,(Skills!Y16*(1+Inputs!$B$34/100))/(1/Q1055)))))/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1075*I1041)</f>
        <v/>
      </c>
      <c r="L1041">
        <f>K1041*(MIN(Inputs!$B$22+((C1064=TRUE)*(F1064-Calc!F25)),(Inputs!$B$23+((C1069=TRUE)*(F1069-Calc!F30))+IF(ArtifactsInput!$M$15,CHOOSE(ArtifactsInput!$N$15+1,25,30,35,40,45,50)/100*(Inputs!$B$11-Inputs!$B$11),0)))/100+(Inputs!$B$23+((C1069=TRUE)*(F1069-Calc!F30))+IF(ArtifactsInput!$M$15,CHOOSE(ArtifactsInput!$N$15+1,25,30,35,40,45,50)/100*(Inputs!$B$11-Inputs!$B$11),0))/100)/2</f>
        <v/>
      </c>
      <c r="M1041">
        <f>L1041*(1+(Inputs!$B$10+((C1066=TRUE)*(F1066-Calc!F27))+B1080+(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1041">
        <f>L1041*(1-MIN((Inputs!$B$9+((C1065=TRUE)*(F1065-Calc!F26))+B1073+(ArtifactsInput!$M$24-ArtifactsInput!$M$24)*CHOOSE(ArtifactsInput!$N$24+1,10,12,14,16,18,20)+(IF(AND(Inputs!$B$39&lt;&gt;"pvp",Inputs!$B$44=0),1,IF(IF(Inputs!$B$39="pvp",15,Inputs!$B$44)-(B1084)&lt;=0,1,MAX(0,IF(Inputs!$B$39="pvp",15,Inputs!$B$44)-MAX(5,B1084))/(IF(Inputs!$B$39="pvp",15,Inputs!$B$44)-(B1084))))*IF(AND(ArtifactsInput!$M$42,((Inputs!$B$9+((C1065=TRUE)*(F1065-Calc!F26))+B1073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1041*(MIN((Inputs!$B$9+((C1065=TRUE)*(F1065-Calc!F26))+B1073+(ArtifactsInput!$M$24-ArtifactsInput!$M$24)*CHOOSE(ArtifactsInput!$N$24+1,10,12,14,16,18,20)+(IF(AND(Inputs!$B$39&lt;&gt;"pvp",Inputs!$B$44=0),1,IF(IF(Inputs!$B$39="pvp",15,Inputs!$B$44)-(B1084)&lt;=0,1,MAX(0,IF(Inputs!$B$39="pvp",15,Inputs!$B$44)-MAX(5,B1084))/(IF(Inputs!$B$39="pvp",15,Inputs!$B$44)-(B1084))))*IF(AND(ArtifactsInput!$M$42,((Inputs!$B$9+((C1065=TRUE)*(F1065-Calc!F26))+B1073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041">
        <f>(1-Summary!$B$11)*T1041+Summary!$B$11*V1041</f>
        <v/>
      </c>
      <c r="P1041">
        <f>IF(B1085=0,0,O1041/B1085)</f>
        <v/>
      </c>
      <c r="Q1041" t="n">
        <v>0</v>
      </c>
      <c r="R1041" t="n">
        <v>0</v>
      </c>
      <c r="S1041">
        <f>IFERROR(O1041/N1041,0)</f>
        <v/>
      </c>
      <c r="T1041">
        <f>IF(C1041,(Skills!G2*N1041*B1079)*IF(Inputs!$B$39="pvp",1,1+(Inputs!$B$20+0+Skills!P2+B1074+(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Hunt"),CHOOSE(ArtifactsInput!$N$35+1,15,18,21,24,27,30)*(1-EXP(-(0.2*B1077)*5)),0)+IF(AND(ArtifactsInput!$M$22,Inputs!$B$4&lt;&gt;"Chapter Hunt"),CHOOSE(ArtifactsInput!$N$22+1,10,12,14,16,18,20)*((0*(((0.15*B1077*5))^0/1)+1*(((0.15*B1077*5))^1/1)+2*(((0.15*B1077*5))^2/2)+3*(((0.15*B1077*5))^3/6)+4*(((0.15*B1077*5))^4/24)+5*(((0.15*B1077*5))^5/120))/((((0.15*B1077*5))^0/1)+(((0.15*B1077*5))^1/1)+(((0.15*B1077*5))^2/2)+(((0.15*B1077*5))^3/6)+(((0.15*B1077*5))^4/24)+(((0.15*B1077*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1041*(1-MIN(100,(Inputs!$B$9+((C1065=TRUE)*(F1065-Calc!F26))+B1073+(ArtifactsInput!$M$24-ArtifactsInput!$M$24)*CHOOSE(ArtifactsInput!$N$24+1,10,12,14,16,18,20)+(IF(AND(Inputs!$B$39&lt;&gt;"pvp",Inputs!$B$44=0),1,IF(IF(Inputs!$B$39="pvp",15,Inputs!$B$44)-(B1084)&lt;=0,1,MAX(0,IF(Inputs!$B$39="pvp",15,Inputs!$B$44)-MAX(5,B1084))/(IF(Inputs!$B$39="pvp",15,Inputs!$B$44)-(B1084))))*IF(AND(ArtifactsInput!$M$42,((Inputs!$B$9+((C1065=TRUE)*(F1065-Calc!F26))+B1073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1041*(MIN(100,(Inputs!$B$9+((C1065=TRUE)*(F1065-Calc!F26))+B1073+(ArtifactsInput!$M$24-ArtifactsInput!$M$24)*CHOOSE(ArtifactsInput!$N$24+1,10,12,14,16,18,20)+(IF(AND(Inputs!$B$39&lt;&gt;"pvp",Inputs!$B$44=0),1,IF(IF(Inputs!$B$39="pvp",15,Inputs!$B$44)-(B1084)&lt;=0,1,MAX(0,IF(Inputs!$B$39="pvp",15,Inputs!$B$44)-MAX(5,B1084))/(IF(Inputs!$B$39="pvp",15,Inputs!$B$44)-(B1084))))*IF(AND(ArtifactsInput!$M$42,((Inputs!$B$9+((C1065=TRUE)*(F1065-Calc!F26))+B1073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1041*(1-MIN(100,(Inputs!$B$9+((C1065=TRUE)*(F1065-Calc!F26))+B1073+(ArtifactsInput!$M$24-ArtifactsInput!$M$24)*CHOOSE(ArtifactsInput!$N$24+1,10,12,14,16,18,20)+(IF(AND(Inputs!$B$39&lt;&gt;"pvp",Inputs!$B$44=0),1,IF(IF(Inputs!$B$39="pvp",15,Inputs!$B$44)-(B1084)&lt;=0,1,MAX(0,IF(Inputs!$B$39="pvp",15,Inputs!$B$44)-MAX(5,B1084))/(IF(Inputs!$B$39="pvp",15,Inputs!$B$44)-(B1084))))*IF(AND(ArtifactsInput!$M$42,((Inputs!$B$9+((C1065=TRUE)*(F1065-Calc!F26))+B1073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1041*(MIN(100,(Inputs!$B$9+((C1065=TRUE)*(F1065-Calc!F26))+B1073+(ArtifactsInput!$M$24-ArtifactsInput!$M$24)*CHOOSE(ArtifactsInput!$N$24+1,10,12,14,16,18,20)+(IF(AND(Inputs!$B$39&lt;&gt;"pvp",Inputs!$B$44=0),1,IF(IF(Inputs!$B$39="pvp",15,Inputs!$B$44)-(B1084)&lt;=0,1,MAX(0,IF(Inputs!$B$39="pvp",15,Inputs!$B$44)-MAX(5,B1084))/(IF(Inputs!$B$39="pvp",15,Inputs!$B$44)-(B1084))))*IF(AND(ArtifactsInput!$M$42,((Inputs!$B$9+((C1065=TRUE)*(F1065-Calc!F26))+B1073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1041">
        <f>MAX(0,(Inputs!$B$3-100)*3)+(Inputs!$B$28+1)+Inputs!$B$29</f>
        <v/>
      </c>
      <c r="V1041">
        <f>IF(C1041,(Skills!G2*N1041*B1079)*IF(Inputs!$B$39="pvp",1,(1+(Inputs!$B$21+Skills!Q2+B1074+(IF(ArtifactsInput!$M$33,CHOOSE(ArtifactsInput!$N$33+1,30,36,42,48,54,60),0))+(IF(AND(ArtifactsInput!$M$35,Inputs!$B$4&lt;&gt;"Chapter Hunt"),CHOOSE(ArtifactsInput!$N$35+1,15,18,21,24,27,30)*(1-EXP(-(0.2*B1077)*5)),0)+IF(AND(ArtifactsInput!$M$22,Inputs!$B$4&lt;&gt;"Chapter Hunt"),CHOOSE(ArtifactsInput!$N$22+1,10,12,14,16,18,20)*((0*(((0.15*B1077*5))^0/1)+1*(((0.15*B1077*5))^1/1)+2*(((0.15*B1077*5))^2/2)+3*(((0.15*B1077*5))^3/6)+4*(((0.15*B1077*5))^4/24)+5*(((0.15*B1077*5))^5/120))/((((0.15*B1077*5))^0/1)+(((0.15*B1077*5))^1/1)+(((0.15*B1077*5))^2/2)+(((0.15*B1077*5))^3/6)+(((0.15*B1077*5))^4/24)+(((0.15*B1077*5))^5/120))),0)))/100)*(MIN((6+Inputs!$B$33),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042">
      <c r="A1042">
        <f>Skills!A3</f>
        <v/>
      </c>
      <c r="B1042">
        <f>Skills!B3</f>
        <v/>
      </c>
      <c r="C1042">
        <f>Inputs!$B$3&gt;=35</f>
        <v/>
      </c>
      <c r="D1042">
        <f>IF(Skills!C3=1,60+Inputs!$B$25+Inputs!$B$29,IF(Skills!C3=2,90+Inputs!$B$26+Inputs!$B$29,IF(Skills!C3=3,120+Inputs!$B$27+Inputs!$B$29,MAX(0,(Inputs!$B$3-100)*3)+(Inputs!$B$28+1)+Inputs!$B$29)))</f>
        <v/>
      </c>
      <c r="E1042">
        <f>INDEX(FactorTable!$B$2:$Y$301, MATCH(ROUND(MIN(300,MAX(1,D1042)),0), FactorTable!$A$2:$A$301,0), Skills!M3+1)</f>
        <v/>
      </c>
      <c r="F1042">
        <f>IF(Skills!N3=TRUE,(Skills!L3/10)*(E1042/1000),Skills!L3/10)+Skills!O3</f>
        <v/>
      </c>
      <c r="G1042">
        <f>Skills!G3*IF(Skills!H3&gt;0,IF(Inputs!$B$39="pvp",MIN(Skills!I3,15),Skills!I3)/Skills!H3,1)</f>
        <v/>
      </c>
      <c r="H1042">
        <f>1-(1-Skills!J3/100)^Skills!K3</f>
        <v/>
      </c>
      <c r="I1042" t="inlineStr">
        <is>
          <t>1</t>
        </is>
      </c>
      <c r="J1042" t="inlineStr"/>
      <c r="K1042" t="inlineStr"/>
      <c r="L1042" t="inlineStr"/>
      <c r="M1042" t="inlineStr"/>
      <c r="N1042" t="inlineStr"/>
      <c r="O1042">
        <f>(1-Summary!$B$11)*T1042+Summary!$B$11*V1042</f>
        <v/>
      </c>
      <c r="P1042">
        <f>IF(B1085=0,0,O1042/B1085)</f>
        <v/>
      </c>
      <c r="Q1042" t="n">
        <v>0</v>
      </c>
      <c r="R1042" t="n">
        <v>0</v>
      </c>
      <c r="S1042">
        <f>IFERROR(O1042/N1042,0)</f>
        <v/>
      </c>
      <c r="T1042" t="n">
        <v>0</v>
      </c>
      <c r="U1042">
        <f>INDEX(FactorTable!$B$2:$Y$301, MATCH(ROUND(MIN(300,MAX(1,U1041)),0), FactorTable!$A$2:$A$301,0), 22)</f>
        <v/>
      </c>
      <c r="V1042" t="n">
        <v>0</v>
      </c>
    </row>
    <row r="1043">
      <c r="A1043">
        <f>Skills!A4</f>
        <v/>
      </c>
      <c r="B1043">
        <f>Skills!B4</f>
        <v/>
      </c>
      <c r="C1043">
        <f>Inputs!$B$3&gt;=66</f>
        <v/>
      </c>
      <c r="D1043">
        <f>IF(Skills!C4=1,60+Inputs!$B$25+Inputs!$B$29,IF(Skills!C4=2,90+Inputs!$B$26+Inputs!$B$29,IF(Skills!C4=3,120+Inputs!$B$27+Inputs!$B$29,MAX(0,(Inputs!$B$3-100)*3)+(Inputs!$B$28+1)+Inputs!$B$29)))</f>
        <v/>
      </c>
      <c r="E1043">
        <f>INDEX(FactorTable!$B$2:$Y$301, MATCH(ROUND(MIN(300,MAX(1,D1043)),0), FactorTable!$A$2:$A$301,0), Skills!M4+1)</f>
        <v/>
      </c>
      <c r="F1043">
        <f>IF(Skills!N4=TRUE,(Skills!L4/10)*(E1043/1000),Skills!L4/10)+Skills!O4</f>
        <v/>
      </c>
      <c r="G1043">
        <f>Skills!G4*IF(Skills!H4&gt;0,IF(Inputs!$B$39="pvp",MIN(Skills!I4,15),Skills!I4)/Skills!H4,1)</f>
        <v/>
      </c>
      <c r="H1043">
        <f>1-(1-Skills!J4/100)^Skills!K4</f>
        <v/>
      </c>
      <c r="I1043" t="inlineStr">
        <is>
          <t>1</t>
        </is>
      </c>
      <c r="J1043">
        <f>((Inputs!$B$6*(1+Inputs!$B$7/100))+(((Inputs!$B$12*(1+Inputs!$B$13/100))-(Inputs!$B$12*(1+Inputs!$B$13/100)))+0.25*(Inputs!$B$14-Inputs!$B$14))*(1+Inputs!$B$7/100))*(F1043/100)</f>
        <v/>
      </c>
      <c r="K1043">
        <f>J1043*(1+((Inputs!$B$12*(1+Inputs!$B$13/100))*0.01+Inputs!$B$14*0.0025)/100)*(1+Inputs!$B$15/100)*(1+Inputs!$B$16/100)*(5000/(6000+Inputs!$B$43*(1-(100*(1-(1-Inputs!$B$19/100)*(1-CHOOSE(ArtifactsInput!$N$40+1,5,6,7,8,9,10)/100)^(ArtifactsInput!$M$40-ArtifactsInput!$M$40)))/100)))*(1+(Inputs!$B$24+((C1070=TRUE)*(F1070-Calc!F31))+((C1057=TRUE)*(F1057-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4="CRUEL_STAB",Inputs!$B$17+((C1067=TRUE)*(F1067-Calc!F28))+((IF(AND(Inputs!$B$39&lt;&gt;"pvp",Inputs!$B$44=0),1,IF(IF(Inputs!$B$39="pvp",15,Inputs!$B$44)-(B1084)&lt;=0,1,MAX(0,IF(Inputs!$B$39="pvp",15,Inputs!$B$44)-MAX(5,B1084))/(IF(Inputs!$B$39="pvp",15,Inputs!$B$44)-(B1084))))*(IF(AND(ArtifactsInput!$M$42,((Inputs!$B$9+((C1065=TRUE)*(F1065-Calc!F26))+B1073+(ArtifactsInput!$M$24-ArtifactsInput!$M$24)*CHOOSE(ArtifactsInput!$N$24+1,10,12,14,16,18,20)+IF(ArtifactsInput!$M$10,CHOOSE(ArtifactsInput!$N$10+1,15,18,21,24,27,30)*(IF(Inputs!$B$39="pvp",MIN(15,15)/15,IF(AND(Inputs!$B$39&lt;&gt;"pvp",Inputs!$B$44&gt;0),MIN(15,Inputs!$B$44)/(Inputs!$B$44),0))),0)))&gt;=100),MIN(100,((Inputs!$B$9+((C1065=TRUE)*(F1065-Calc!F26))+B1073+(ArtifactsInput!$M$24-ArtifactsInput!$M$24)*CHOOSE(ArtifactsInput!$N$24+1,10,12,14,16,18,20)+IF(ArtifactsInput!$M$10,CHOOSE(ArtifactsInput!$N$10+1,15,18,21,24,27,30)*(IF(Inputs!$B$39="pvp",MIN(15,15)/15,IF(AND(Inputs!$B$39&lt;&gt;"pvp",Inputs!$B$44&gt;0),MIN(15,Inputs!$B$44)/(Inputs!$B$44),0))),0)))-100),0))*CHOOSE(ArtifactsInput!$N$42+1,0.6,0.72,0.84,0.96,1.08,1.2))),Inputs!$B$18+((C1068=TRUE)*(F1068-Calc!F29))+(IF(AND(Inputs!$B$39&lt;&gt;"pvp",Inputs!$B$44=0),1,IF(IF(Inputs!$B$39="pvp",15,Inputs!$B$44)-(B1084)&lt;=0,1,MAX(0,IF(Inputs!$B$39="pvp",15,Inputs!$B$44)-MAX(5,B1084))/(IF(Inputs!$B$39="pvp",15,Inputs!$B$44)-(B1084))))*IF(AND(ArtifactsInput!$M$42,((Inputs!$B$9+((C1065=TRUE)*(F1065-Calc!F26))+B1073+(ArtifactsInput!$M$24-ArtifactsInput!$M$24)*CHOOSE(ArtifactsInput!$N$24+1,10,12,14,16,18,20)+IF(ArtifactsInput!$M$10,CHOOSE(ArtifactsInput!$N$10+1,15,18,21,24,27,30)*(IF(Inputs!$B$39="pvp",MIN(15,15)/15,IF(AND(Inputs!$B$39&lt;&gt;"pvp",Inputs!$B$44&gt;0),MIN(15,Inputs!$B$44)/(Inputs!$B$44),0))),0)))&gt;=100),CHOOSE(ArtifactsInput!$N$42+1,40,48,56,64,72,80),0))))/100)*(((1+(((C1061=TRUE)*F1061*IF(AND(Inputs!$B$39&lt;&gt;"pvp",Inputs!$B$44&gt;0),(((R1061-1)*MIN((Skills!Y22*(1+Inputs!$B$34/100)),(1/Q1061))+MIN((Skills!Y22*(1+Inputs!$B$34/100)),MAX(0,Inputs!$B$44-((R1061-1)*(1/Q1061)))))/Inputs!$B$44),IF(Inputs!$B$39="pvp",MIN((Skills!Y22*(1+Inputs!$B$34/100)),15)/15,MIN(1,(Skills!Y22*(1+Inputs!$B$34/100))/(1/Q1061)))))+((C1042=TRUE)*F1042*3)+((C1044=TRUE)*F1044*(1-EXP(-0.75*B1077*5)))+((C1063=TRUE)*(F1063-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1050=TRUE)*F1050*IF(AND(Inputs!$B$39&lt;&gt;"pvp",Inputs!$B$44&gt;0),(((R1050-1)*MIN((Skills!Y11*(1+Inputs!$B$34/100)),(1/Q1050))+MIN((Skills!Y11*(1+Inputs!$B$34/100)),MAX(0,Inputs!$B$44-((R1050-1)*(1/Q1050)))))/Inputs!$B$44),IF(Inputs!$B$39="pvp",MIN((Skills!Y11*(1+Inputs!$B$34/100)),15)/15,MIN(1,(Skills!Y11*(1+Inputs!$B$34/100))/(1/Q1050)))))/100)*(1+((C1055=TRUE)*F1055*IF(AND(Inputs!$B$39&lt;&gt;"pvp",Inputs!$B$44&gt;0),(((R1055-1)*MIN((Skills!Y16*(1+Inputs!$B$34/100)),(1/Q1055))+MIN((Skills!Y16*(1+Inputs!$B$34/100)),MAX(0,Inputs!$B$44-((R1055-1)*(1/Q1055)))))/Inputs!$B$44),IF(Inputs!$B$39="pvp",MIN((Skills!Y16*(1+Inputs!$B$34/100)),15)/15,MIN(1,(Skills!Y16*(1+Inputs!$B$34/100))/(1/Q1055)))))/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1075*I1043)</f>
        <v/>
      </c>
      <c r="L1043">
        <f>K1043*(MIN(Inputs!$B$22+((C1064=TRUE)*(F1064-Calc!F25)),(Inputs!$B$23+((C1069=TRUE)*(F1069-Calc!F30))+IF(ArtifactsInput!$M$15,CHOOSE(ArtifactsInput!$N$15+1,25,30,35,40,45,50)/100*(Inputs!$B$11-Inputs!$B$11),0)))/100+(Inputs!$B$23+((C1069=TRUE)*(F1069-Calc!F30))+IF(ArtifactsInput!$M$15,CHOOSE(ArtifactsInput!$N$15+1,25,30,35,40,45,50)/100*(Inputs!$B$11-Inputs!$B$11),0))/100)/2</f>
        <v/>
      </c>
      <c r="M1043">
        <f>L1043*(1+(Inputs!$B$10+((C1066=TRUE)*(F1066-Calc!F27))+B1080+(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1043">
        <f>L1043*(1-MIN((Inputs!$B$9+((C1065=TRUE)*(F1065-Calc!F26))+B1073+(ArtifactsInput!$M$24-ArtifactsInput!$M$24)*CHOOSE(ArtifactsInput!$N$24+1,10,12,14,16,18,20)+(IF(AND(Inputs!$B$39&lt;&gt;"pvp",Inputs!$B$44=0),1,IF(IF(Inputs!$B$39="pvp",15,Inputs!$B$44)-(B1084)&lt;=0,1,MAX(0,IF(Inputs!$B$39="pvp",15,Inputs!$B$44)-MAX(5,B1084))/(IF(Inputs!$B$39="pvp",15,Inputs!$B$44)-(B1084))))*IF(AND(ArtifactsInput!$M$42,((Inputs!$B$9+((C1065=TRUE)*(F1065-Calc!F26))+B1073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1043*(MIN((Inputs!$B$9+((C1065=TRUE)*(F1065-Calc!F26))+B1073+(ArtifactsInput!$M$24-ArtifactsInput!$M$24)*CHOOSE(ArtifactsInput!$N$24+1,10,12,14,16,18,20)+(IF(AND(Inputs!$B$39&lt;&gt;"pvp",Inputs!$B$44=0),1,IF(IF(Inputs!$B$39="pvp",15,Inputs!$B$44)-(B1084)&lt;=0,1,MAX(0,IF(Inputs!$B$39="pvp",15,Inputs!$B$44)-MAX(5,B1084))/(IF(Inputs!$B$39="pvp",15,Inputs!$B$44)-(B1084))))*IF(AND(ArtifactsInput!$M$42,((Inputs!$B$9+((C1065=TRUE)*(F1065-Calc!F26))+B1073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043">
        <f>(1-Summary!$B$11)*T1043+Summary!$B$11*V1043</f>
        <v/>
      </c>
      <c r="P1043">
        <f>IF(B1085=0,0,O1043/B1085)</f>
        <v/>
      </c>
      <c r="Q1043">
        <f>IFERROR(1/IF(Inputs!$B$39="pvp",15,MAX(0.1,Skills!D4-IF(TRUE=TRUE,Inputs!$B$32,0))),0)</f>
        <v/>
      </c>
      <c r="R1043">
        <f>IF(AND(Inputs!$B$39&lt;&gt;"pvp",Inputs!$B$44&gt;0),IF(MAX(0,Inputs!$B$44-B1084)&lt;=0,0,(INT(MAX(0,Inputs!$B$44-B1084)/IF(Inputs!$B$39="pvp",15,MAX(0.1,Skills!D4-IF(TRUE=TRUE,Inputs!$B$32,0))))+1)),0)</f>
        <v/>
      </c>
      <c r="S1043">
        <f>IFERROR(O1043/N1043,0)</f>
        <v/>
      </c>
      <c r="T1043">
        <f>IF(C1043,(H1043*N1043*IF(AND(Inputs!$B$39&lt;&gt;"pvp",Inputs!$B$44&gt;0),((Skills!G4*((R1043-1)*IF(Skills!H4&gt;0,Skills!I4/Skills!H4,1)+IF(Skills!H4&gt;0,MIN(Skills!I4,MAX(0,MAX(0,Inputs!$B$44-B1084)-((R1043-1)*IF(Inputs!$B$39="pvp",15,MAX(0.1,Skills!D4-IF(TRUE=TRUE,Inputs!$B$32,0))))))/Skills!H4,1)))/Inputs!$B$44),G1043*Q1043))*IF(Inputs!$B$39="pvp",1,1+(Inputs!$B$20+0+Skills!P4+B1074+(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Hunt"),CHOOSE(ArtifactsInput!$N$35+1,15,18,21,24,27,30)*(1-EXP(-(0.2*B1077)*5)),0)+IF(AND(ArtifactsInput!$M$22,Inputs!$B$4&lt;&gt;"Chapter Hunt"),CHOOSE(ArtifactsInput!$N$22+1,10,12,14,16,18,20)*((0*(((0.15*B1077*5))^0/1)+1*(((0.15*B1077*5))^1/1)+2*(((0.15*B1077*5))^2/2)+3*(((0.15*B1077*5))^3/6)+4*(((0.15*B1077*5))^4/24)+5*(((0.15*B1077*5))^5/120))/((((0.15*B1077*5))^0/1)+(((0.15*B1077*5))^1/1)+(((0.15*B1077*5))^2/2)+(((0.15*B1077*5))^3/6)+(((0.15*B1077*5))^4/24)+(((0.15*B1077*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1043*(1-MIN(100,(Inputs!$B$9+((C1065=TRUE)*(F1065-Calc!F26))+B1073+(ArtifactsInput!$M$24-ArtifactsInput!$M$24)*CHOOSE(ArtifactsInput!$N$24+1,10,12,14,16,18,20)+(IF(AND(Inputs!$B$39&lt;&gt;"pvp",Inputs!$B$44=0),1,IF(IF(Inputs!$B$39="pvp",15,Inputs!$B$44)-(B1084)&lt;=0,1,MAX(0,IF(Inputs!$B$39="pvp",15,Inputs!$B$44)-MAX(5,B1084))/(IF(Inputs!$B$39="pvp",15,Inputs!$B$44)-(B1084))))*IF(AND(ArtifactsInput!$M$42,((Inputs!$B$9+((C1065=TRUE)*(F1065-Calc!F26))+B1073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1043*(MIN(100,(Inputs!$B$9+((C1065=TRUE)*(F1065-Calc!F26))+B1073+(ArtifactsInput!$M$24-ArtifactsInput!$M$24)*CHOOSE(ArtifactsInput!$N$24+1,10,12,14,16,18,20)+(IF(AND(Inputs!$B$39&lt;&gt;"pvp",Inputs!$B$44=0),1,IF(IF(Inputs!$B$39="pvp",15,Inputs!$B$44)-(B1084)&lt;=0,1,MAX(0,IF(Inputs!$B$39="pvp",15,Inputs!$B$44)-MAX(5,B1084))/(IF(Inputs!$B$39="pvp",15,Inputs!$B$44)-(B1084))))*IF(AND(ArtifactsInput!$M$42,((Inputs!$B$9+((C1065=TRUE)*(F1065-Calc!F26))+B1073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1043*(1-MIN(100,(Inputs!$B$9+((C1065=TRUE)*(F1065-Calc!F26))+B1073+(ArtifactsInput!$M$24-ArtifactsInput!$M$24)*CHOOSE(ArtifactsInput!$N$24+1,10,12,14,16,18,20)+(IF(AND(Inputs!$B$39&lt;&gt;"pvp",Inputs!$B$44=0),1,IF(IF(Inputs!$B$39="pvp",15,Inputs!$B$44)-(B1084)&lt;=0,1,MAX(0,IF(Inputs!$B$39="pvp",15,Inputs!$B$44)-MAX(5,B1084))/(IF(Inputs!$B$39="pvp",15,Inputs!$B$44)-(B1084))))*IF(AND(ArtifactsInput!$M$42,((Inputs!$B$9+((C1065=TRUE)*(F1065-Calc!F26))+B1073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1043*(MIN(100,(Inputs!$B$9+((C1065=TRUE)*(F1065-Calc!F26))+B1073+(ArtifactsInput!$M$24-ArtifactsInput!$M$24)*CHOOSE(ArtifactsInput!$N$24+1,10,12,14,16,18,20)+(IF(AND(Inputs!$B$39&lt;&gt;"pvp",Inputs!$B$44=0),1,IF(IF(Inputs!$B$39="pvp",15,Inputs!$B$44)-(B1084)&lt;=0,1,MAX(0,IF(Inputs!$B$39="pvp",15,Inputs!$B$44)-MAX(5,B1084))/(IF(Inputs!$B$39="pvp",15,Inputs!$B$44)-(B1084))))*IF(AND(ArtifactsInput!$M$42,((Inputs!$B$9+((C1065=TRUE)*(F1065-Calc!F26))+B1073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1043">
        <f>290*U1042/1000</f>
        <v/>
      </c>
      <c r="V1043">
        <f>IF(C1043,(H1043*N1043*IF(AND(Inputs!$B$39&lt;&gt;"pvp",Inputs!$B$44&gt;0),((Skills!G4*((R1043-1)*IF(Skills!H4&gt;0,Skills!I4/Skills!H4,1)+IF(Skills!H4&gt;0,MIN(Skills!I4,MAX(0,MAX(0,Inputs!$B$44-B1084)-((R1043-1)*IF(Inputs!$B$39="pvp",15,MAX(0.1,Skills!D4-IF(TRUE=TRUE,Inputs!$B$32,0))))))/Skills!H4,1)))/Inputs!$B$44),G1043*Q1043))*IF(Inputs!$B$39="pvp",1,(1+(Inputs!$B$21+Skills!Q4+B1074+(IF(ArtifactsInput!$M$33,CHOOSE(ArtifactsInput!$N$33+1,30,36,42,48,54,60),0))+(IF(AND(ArtifactsInput!$M$35,Inputs!$B$4&lt;&gt;"Chapter Hunt"),CHOOSE(ArtifactsInput!$N$35+1,15,18,21,24,27,30)*(1-EXP(-(0.2*B1077)*5)),0)+IF(AND(ArtifactsInput!$M$22,Inputs!$B$4&lt;&gt;"Chapter Hunt"),CHOOSE(ArtifactsInput!$N$22+1,10,12,14,16,18,20)*((0*(((0.15*B1077*5))^0/1)+1*(((0.15*B1077*5))^1/1)+2*(((0.15*B1077*5))^2/2)+3*(((0.15*B1077*5))^3/6)+4*(((0.15*B1077*5))^4/24)+5*(((0.15*B1077*5))^5/120))/((((0.15*B1077*5))^0/1)+(((0.15*B1077*5))^1/1)+(((0.15*B1077*5))^2/2)+(((0.15*B1077*5))^3/6)+(((0.15*B1077*5))^4/24)+(((0.15*B1077*5))^5/120))),0)))/100)*(MIN(MIN(10,IF(Inputs!$B$3&gt;=75,0.75,0.5)*B1077*(1/Q1043)),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044">
      <c r="A1044">
        <f>Skills!A5</f>
        <v/>
      </c>
      <c r="B1044">
        <f>Skills!B5</f>
        <v/>
      </c>
      <c r="C1044">
        <f>Inputs!$B$3&gt;=75</f>
        <v/>
      </c>
      <c r="D1044">
        <f>IF(Skills!C5=1,60+Inputs!$B$25+Inputs!$B$29,IF(Skills!C5=2,90+Inputs!$B$26+Inputs!$B$29,IF(Skills!C5=3,120+Inputs!$B$27+Inputs!$B$29,MAX(0,(Inputs!$B$3-100)*3)+(Inputs!$B$28+1)+Inputs!$B$29)))</f>
        <v/>
      </c>
      <c r="E1044">
        <f>INDEX(FactorTable!$B$2:$Y$301, MATCH(ROUND(MIN(300,MAX(1,D1044)),0), FactorTable!$A$2:$A$301,0), Skills!M5+1)</f>
        <v/>
      </c>
      <c r="F1044">
        <f>IF(Skills!N5=TRUE,(Skills!L5/10)*(E1044/1000),Skills!L5/10)+Skills!O5</f>
        <v/>
      </c>
      <c r="G1044">
        <f>Skills!G5*IF(Skills!H5&gt;0,IF(Inputs!$B$39="pvp",MIN(Skills!I5,15),Skills!I5)/Skills!H5,1)</f>
        <v/>
      </c>
      <c r="H1044">
        <f>1-(1-Skills!J5/100)^Skills!K5</f>
        <v/>
      </c>
      <c r="I1044" t="inlineStr">
        <is>
          <t>1</t>
        </is>
      </c>
      <c r="J1044" t="inlineStr"/>
      <c r="K1044" t="inlineStr"/>
      <c r="L1044" t="inlineStr"/>
      <c r="M1044" t="inlineStr"/>
      <c r="N1044" t="inlineStr"/>
      <c r="O1044">
        <f>(1-Summary!$B$11)*T1044+Summary!$B$11*V1044</f>
        <v/>
      </c>
      <c r="P1044">
        <f>IF(B1085=0,0,O1044/B1085)</f>
        <v/>
      </c>
      <c r="Q1044" t="n">
        <v>0</v>
      </c>
      <c r="R1044" t="n">
        <v>0</v>
      </c>
      <c r="S1044">
        <f>IFERROR(O1044/N1044,0)</f>
        <v/>
      </c>
      <c r="T1044" t="n">
        <v>0</v>
      </c>
      <c r="V1044" t="n">
        <v>0</v>
      </c>
    </row>
    <row r="1045">
      <c r="A1045">
        <f>Skills!A6</f>
        <v/>
      </c>
      <c r="B1045">
        <f>Skills!B6</f>
        <v/>
      </c>
      <c r="C1045">
        <f>Inputs!$B$3&gt;=63</f>
        <v/>
      </c>
      <c r="D1045">
        <f>IF(Skills!C6=1,60+Inputs!$B$25+Inputs!$B$29,IF(Skills!C6=2,90+Inputs!$B$26+Inputs!$B$29,IF(Skills!C6=3,120+Inputs!$B$27+Inputs!$B$29,MAX(0,(Inputs!$B$3-100)*3)+(Inputs!$B$28+1)+Inputs!$B$29)))</f>
        <v/>
      </c>
      <c r="E1045">
        <f>INDEX(FactorTable!$B$2:$Y$301, MATCH(ROUND(MIN(300,MAX(1,D1045)),0), FactorTable!$A$2:$A$301,0), Skills!M6+1)</f>
        <v/>
      </c>
      <c r="F1045">
        <f>IF(Skills!N6=TRUE,(Skills!L6/10)*(E1045/1000),Skills!L6/10)+Skills!O6</f>
        <v/>
      </c>
      <c r="G1045">
        <f>Skills!G6*IF(Skills!H6&gt;0,IF(Inputs!$B$39="pvp",MIN(Skills!I6,15),Skills!I6)/Skills!H6,1)</f>
        <v/>
      </c>
      <c r="H1045">
        <f>1-(1-Skills!J6/100)^Skills!K6</f>
        <v/>
      </c>
      <c r="I1045" t="inlineStr">
        <is>
          <t>1</t>
        </is>
      </c>
      <c r="J1045">
        <f>((Inputs!$B$6*(1+Inputs!$B$7/100))+(((Inputs!$B$12*(1+Inputs!$B$13/100))-(Inputs!$B$12*(1+Inputs!$B$13/100)))+0.25*(Inputs!$B$14-Inputs!$B$14))*(1+Inputs!$B$7/100))*(F1045/100)</f>
        <v/>
      </c>
      <c r="K1045">
        <f>J1045*(1+((Inputs!$B$12*(1+Inputs!$B$13/100))*0.01+Inputs!$B$14*0.0025)/100)*(1+Inputs!$B$15/100)*(1+Inputs!$B$16/100)*(5000/(6000+Inputs!$B$43*(1-(100*(1-(1-Inputs!$B$19/100)*(1-CHOOSE(ArtifactsInput!$N$40+1,5,6,7,8,9,10)/100)^(ArtifactsInput!$M$40-ArtifactsInput!$M$40)))/100)))*(1+(Inputs!$B$24+((C1070=TRUE)*(F1070-Calc!F31))+((C1057=TRUE)*(F1057-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+2.6666666666666665*IF(C1058=TRUE,F1058,0)/100)*(1+(IF(Skills!A6="CRUEL_STAB",Inputs!$B$17+((C1067=TRUE)*(F1067-Calc!F28))+((IF(AND(Inputs!$B$39&lt;&gt;"pvp",Inputs!$B$44=0),1,IF(IF(Inputs!$B$39="pvp",15,Inputs!$B$44)-(B1084)&lt;=0,1,MAX(0,IF(Inputs!$B$39="pvp",15,Inputs!$B$44)-MAX(5,B1084))/(IF(Inputs!$B$39="pvp",15,Inputs!$B$44)-(B1084))))*(IF(AND(ArtifactsInput!$M$42,((Inputs!$B$9+((C1065=TRUE)*(F1065-Calc!F26))+B1073+(ArtifactsInput!$M$24-ArtifactsInput!$M$24)*CHOOSE(ArtifactsInput!$N$24+1,10,12,14,16,18,20)+IF(ArtifactsInput!$M$10,CHOOSE(ArtifactsInput!$N$10+1,15,18,21,24,27,30)*(IF(Inputs!$B$39="pvp",MIN(15,15)/15,IF(AND(Inputs!$B$39&lt;&gt;"pvp",Inputs!$B$44&gt;0),MIN(15,Inputs!$B$44)/(Inputs!$B$44),0))),0)))&gt;=100),MIN(100,((Inputs!$B$9+((C1065=TRUE)*(F1065-Calc!F26))+B1073+(ArtifactsInput!$M$24-ArtifactsInput!$M$24)*CHOOSE(ArtifactsInput!$N$24+1,10,12,14,16,18,20)+IF(ArtifactsInput!$M$10,CHOOSE(ArtifactsInput!$N$10+1,15,18,21,24,27,30)*(IF(Inputs!$B$39="pvp",MIN(15,15)/15,IF(AND(Inputs!$B$39&lt;&gt;"pvp",Inputs!$B$44&gt;0),MIN(15,Inputs!$B$44)/(Inputs!$B$44),0))),0)))-100),0))*CHOOSE(ArtifactsInput!$N$42+1,0.6,0.72,0.84,0.96,1.08,1.2))),Inputs!$B$18+((C1068=TRUE)*(F1068-Calc!F29))+(IF(AND(Inputs!$B$39&lt;&gt;"pvp",Inputs!$B$44=0),1,IF(IF(Inputs!$B$39="pvp",15,Inputs!$B$44)-(B1084)&lt;=0,1,MAX(0,IF(Inputs!$B$39="pvp",15,Inputs!$B$44)-MAX(5,B1084))/(IF(Inputs!$B$39="pvp",15,Inputs!$B$44)-(B1084))))*IF(AND(ArtifactsInput!$M$42,((Inputs!$B$9+((C1065=TRUE)*(F1065-Calc!F26))+B1073+(ArtifactsInput!$M$24-ArtifactsInput!$M$24)*CHOOSE(ArtifactsInput!$N$24+1,10,12,14,16,18,20)+IF(ArtifactsInput!$M$10,CHOOSE(ArtifactsInput!$N$10+1,15,18,21,24,27,30)*(IF(Inputs!$B$39="pvp",MIN(15,15)/15,IF(AND(Inputs!$B$39&lt;&gt;"pvp",Inputs!$B$44&gt;0),MIN(15,Inputs!$B$44)/(Inputs!$B$44),0))),0)))&gt;=100),CHOOSE(ArtifactsInput!$N$42+1,40,48,56,64,72,80),0))))/100)*(((1+(((C1061=TRUE)*F1061*IF(AND(Inputs!$B$39&lt;&gt;"pvp",Inputs!$B$44&gt;0),(((R1061-1)*MIN((Skills!Y22*(1+Inputs!$B$34/100)),(1/Q1061))+MIN((Skills!Y22*(1+Inputs!$B$34/100)),MAX(0,Inputs!$B$44-((R1061-1)*(1/Q1061)))))/Inputs!$B$44),IF(Inputs!$B$39="pvp",MIN((Skills!Y22*(1+Inputs!$B$34/100)),15)/15,MIN(1,(Skills!Y22*(1+Inputs!$B$34/100))/(1/Q1061)))))+((C1042=TRUE)*F1042*3)+((C1044=TRUE)*F1044*(1-EXP(-0.75*B1077*5)))+((C1063=TRUE)*(F1063-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1050=TRUE)*F1050*IF(AND(Inputs!$B$39&lt;&gt;"pvp",Inputs!$B$44&gt;0),(((R1050-1)*MIN((Skills!Y11*(1+Inputs!$B$34/100)),(1/Q1050))+MIN((Skills!Y11*(1+Inputs!$B$34/100)),MAX(0,Inputs!$B$44-((R1050-1)*(1/Q1050)))))/Inputs!$B$44),IF(Inputs!$B$39="pvp",MIN((Skills!Y11*(1+Inputs!$B$34/100)),15)/15,MIN(1,(Skills!Y11*(1+Inputs!$B$34/100))/(1/Q1050)))))/100)*(1+((C1055=TRUE)*F1055*IF(AND(Inputs!$B$39&lt;&gt;"pvp",Inputs!$B$44&gt;0),(((R1055-1)*MIN((Skills!Y16*(1+Inputs!$B$34/100)),(1/Q1055))+MIN((Skills!Y16*(1+Inputs!$B$34/100)),MAX(0,Inputs!$B$44-((R1055-1)*(1/Q1055)))))/Inputs!$B$44),IF(Inputs!$B$39="pvp",MIN((Skills!Y16*(1+Inputs!$B$34/100)),15)/15,MIN(1,(Skills!Y16*(1+Inputs!$B$34/100))/(1/Q1055)))))/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1075*I1045)</f>
        <v/>
      </c>
      <c r="L1045">
        <f>K1045*(MIN(Inputs!$B$22+((C1064=TRUE)*(F1064-Calc!F25)),(Inputs!$B$23+((C1069=TRUE)*(F1069-Calc!F30))+IF(ArtifactsInput!$M$15,CHOOSE(ArtifactsInput!$N$15+1,25,30,35,40,45,50)/100*(Inputs!$B$11-Inputs!$B$11),0)))/100+(Inputs!$B$23+((C1069=TRUE)*(F1069-Calc!F30))+IF(ArtifactsInput!$M$15,CHOOSE(ArtifactsInput!$N$15+1,25,30,35,40,45,50)/100*(Inputs!$B$11-Inputs!$B$11),0))/100)/2</f>
        <v/>
      </c>
      <c r="M1045">
        <f>L1045*(1+(Inputs!$B$10+((C1066=TRUE)*(F1066-Calc!F27))+B1080+(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1045">
        <f>L1045*(1-MIN((Inputs!$B$9+((C1065=TRUE)*(F1065-Calc!F26))+B1073+(ArtifactsInput!$M$24-ArtifactsInput!$M$24)*CHOOSE(ArtifactsInput!$N$24+1,10,12,14,16,18,20)+(IF(AND(Inputs!$B$39&lt;&gt;"pvp",Inputs!$B$44=0),1,IF(IF(Inputs!$B$39="pvp",15,Inputs!$B$44)-(B1084)&lt;=0,1,MAX(0,IF(Inputs!$B$39="pvp",15,Inputs!$B$44)-MAX(5,B1084))/(IF(Inputs!$B$39="pvp",15,Inputs!$B$44)-(B1084))))*IF(AND(ArtifactsInput!$M$42,((Inputs!$B$9+((C1065=TRUE)*(F1065-Calc!F26))+B1073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1045*(MIN((Inputs!$B$9+((C1065=TRUE)*(F1065-Calc!F26))+B1073+(ArtifactsInput!$M$24-ArtifactsInput!$M$24)*CHOOSE(ArtifactsInput!$N$24+1,10,12,14,16,18,20)+(IF(AND(Inputs!$B$39&lt;&gt;"pvp",Inputs!$B$44=0),1,IF(IF(Inputs!$B$39="pvp",15,Inputs!$B$44)-(B1084)&lt;=0,1,MAX(0,IF(Inputs!$B$39="pvp",15,Inputs!$B$44)-MAX(5,B1084))/(IF(Inputs!$B$39="pvp",15,Inputs!$B$44)-(B1084))))*IF(AND(ArtifactsInput!$M$42,((Inputs!$B$9+((C1065=TRUE)*(F1065-Calc!F26))+B1073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045">
        <f>(1-Summary!$B$11)*T1045+Summary!$B$11*V1045</f>
        <v/>
      </c>
      <c r="P1045">
        <f>IF(B1085=0,0,O1045/B1085)</f>
        <v/>
      </c>
      <c r="Q1045">
        <f>IFERROR(1/IF(Inputs!$B$39="pvp",15,MAX(0.1,Skills!D6-IF(TRUE=TRUE,Inputs!$B$32,0))),0)</f>
        <v/>
      </c>
      <c r="R1045">
        <f>IF(AND(Inputs!$B$39&lt;&gt;"pvp",Inputs!$B$44&gt;0),IF(MAX(0,Inputs!$B$44-B1084)&lt;=0,0,(INT(MAX(0,Inputs!$B$44-B1084)/IF(Inputs!$B$39="pvp",15,MAX(0.1,Skills!D6-IF(TRUE=TRUE,Inputs!$B$32,0))))+1)),0)</f>
        <v/>
      </c>
      <c r="S1045">
        <f>IFERROR(O1045/N1045,0)</f>
        <v/>
      </c>
      <c r="T1045">
        <f>IF(C1045,(H1045*N1045*IF(AND(Inputs!$B$39&lt;&gt;"pvp",Inputs!$B$44&gt;0),((Skills!G6*((R1045-1)*IF(Skills!H6&gt;0,Skills!I6/Skills!H6,1)+IF(Skills!H6&gt;0,MIN(Skills!I6,MAX(0,MAX(0,Inputs!$B$44-B1084)-((R1045-1)*IF(Inputs!$B$39="pvp",15,MAX(0.1,Skills!D6-IF(TRUE=TRUE,Inputs!$B$32,0))))))/Skills!H6,1)))/Inputs!$B$44),G1045*Q1045))*IF(Inputs!$B$39="pvp",1,1+(Inputs!$B$20+0+Skills!P6+B1074+(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Hunt"),CHOOSE(ArtifactsInput!$N$35+1,15,18,21,24,27,30)*(1-EXP(-(0.2*B1077)*5)),0)+IF(AND(ArtifactsInput!$M$22,Inputs!$B$4&lt;&gt;"Chapter Hunt"),CHOOSE(ArtifactsInput!$N$22+1,10,12,14,16,18,20)*((0*(((0.15*B1077*5))^0/1)+1*(((0.15*B1077*5))^1/1)+2*(((0.15*B1077*5))^2/2)+3*(((0.15*B1077*5))^3/6)+4*(((0.15*B1077*5))^4/24)+5*(((0.15*B1077*5))^5/120))/((((0.15*B1077*5))^0/1)+(((0.15*B1077*5))^1/1)+(((0.15*B1077*5))^2/2)+(((0.15*B1077*5))^3/6)+(((0.15*B1077*5))^4/24)+(((0.15*B1077*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1045*(1-MIN(100,(Inputs!$B$9+((C1065=TRUE)*(F1065-Calc!F26))+B1073+(ArtifactsInput!$M$24-ArtifactsInput!$M$24)*CHOOSE(ArtifactsInput!$N$24+1,10,12,14,16,18,20)+(IF(AND(Inputs!$B$39&lt;&gt;"pvp",Inputs!$B$44=0),1,IF(IF(Inputs!$B$39="pvp",15,Inputs!$B$44)-(B1084)&lt;=0,1,MAX(0,IF(Inputs!$B$39="pvp",15,Inputs!$B$44)-MAX(5,B1084))/(IF(Inputs!$B$39="pvp",15,Inputs!$B$44)-(B1084))))*IF(AND(ArtifactsInput!$M$42,((Inputs!$B$9+((C1065=TRUE)*(F1065-Calc!F26))+B1073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1045*(MIN(100,(Inputs!$B$9+((C1065=TRUE)*(F1065-Calc!F26))+B1073+(ArtifactsInput!$M$24-ArtifactsInput!$M$24)*CHOOSE(ArtifactsInput!$N$24+1,10,12,14,16,18,20)+(IF(AND(Inputs!$B$39&lt;&gt;"pvp",Inputs!$B$44=0),1,IF(IF(Inputs!$B$39="pvp",15,Inputs!$B$44)-(B1084)&lt;=0,1,MAX(0,IF(Inputs!$B$39="pvp",15,Inputs!$B$44)-MAX(5,B1084))/(IF(Inputs!$B$39="pvp",15,Inputs!$B$44)-(B1084))))*IF(AND(ArtifactsInput!$M$42,((Inputs!$B$9+((C1065=TRUE)*(F1065-Calc!F26))+B1073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1045*(1-MIN(100,(Inputs!$B$9+((C1065=TRUE)*(F1065-Calc!F26))+B1073+(ArtifactsInput!$M$24-ArtifactsInput!$M$24)*CHOOSE(ArtifactsInput!$N$24+1,10,12,14,16,18,20)+(IF(AND(Inputs!$B$39&lt;&gt;"pvp",Inputs!$B$44=0),1,IF(IF(Inputs!$B$39="pvp",15,Inputs!$B$44)-(B1084)&lt;=0,1,MAX(0,IF(Inputs!$B$39="pvp",15,Inputs!$B$44)-MAX(5,B1084))/(IF(Inputs!$B$39="pvp",15,Inputs!$B$44)-(B1084))))*IF(AND(ArtifactsInput!$M$42,((Inputs!$B$9+((C1065=TRUE)*(F1065-Calc!F26))+B1073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1045*(MIN(100,(Inputs!$B$9+((C1065=TRUE)*(F1065-Calc!F26))+B1073+(ArtifactsInput!$M$24-ArtifactsInput!$M$24)*CHOOSE(ArtifactsInput!$N$24+1,10,12,14,16,18,20)+(IF(AND(Inputs!$B$39&lt;&gt;"pvp",Inputs!$B$44=0),1,IF(IF(Inputs!$B$39="pvp",15,Inputs!$B$44)-(B1084)&lt;=0,1,MAX(0,IF(Inputs!$B$39="pvp",15,Inputs!$B$44)-MAX(5,B1084))/(IF(Inputs!$B$39="pvp",15,Inputs!$B$44)-(B1084))))*IF(AND(ArtifactsInput!$M$42,((Inputs!$B$9+((C1065=TRUE)*(F1065-Calc!F26))+B1073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1045">
        <f>IF(C1045,(H1045*N1045*IF(AND(Inputs!$B$39&lt;&gt;"pvp",Inputs!$B$44&gt;0),((Skills!G6*((R1045-1)*IF(Skills!H6&gt;0,Skills!I6/Skills!H6,1)+IF(Skills!H6&gt;0,MIN(Skills!I6,MAX(0,MAX(0,Inputs!$B$44-B1084)-((R1045-1)*IF(Inputs!$B$39="pvp",15,MAX(0.1,Skills!D6-IF(TRUE=TRUE,Inputs!$B$32,0))))))/Skills!H6,1)))/Inputs!$B$44),G1045*Q1045))*IF(Inputs!$B$39="pvp",1,(1+(Inputs!$B$21+Skills!Q6+B1074+(IF(ArtifactsInput!$M$33,CHOOSE(ArtifactsInput!$N$33+1,30,36,42,48,54,60),0))+(IF(AND(ArtifactsInput!$M$35,Inputs!$B$4&lt;&gt;"Chapter Hunt"),CHOOSE(ArtifactsInput!$N$35+1,15,18,21,24,27,30)*(1-EXP(-(0.2*B1077)*5)),0)+IF(AND(ArtifactsInput!$M$22,Inputs!$B$4&lt;&gt;"Chapter Hunt"),CHOOSE(ArtifactsInput!$N$22+1,10,12,14,16,18,20)*((0*(((0.15*B1077*5))^0/1)+1*(((0.15*B1077*5))^1/1)+2*(((0.15*B1077*5))^2/2)+3*(((0.15*B1077*5))^3/6)+4*(((0.15*B1077*5))^4/24)+5*(((0.15*B1077*5))^5/120))/((((0.15*B1077*5))^0/1)+(((0.15*B1077*5))^1/1)+(((0.15*B1077*5))^2/2)+(((0.15*B1077*5))^3/6)+(((0.15*B1077*5))^4/24)+(((0.15*B1077*5))^5/120))),0)))/100)*(MIN(Skills!W6,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046">
      <c r="A1046">
        <f>Skills!A7</f>
        <v/>
      </c>
      <c r="B1046">
        <f>Skills!B7</f>
        <v/>
      </c>
      <c r="C1046">
        <f>Inputs!$B$3&gt;=69</f>
        <v/>
      </c>
      <c r="D1046">
        <f>IF(Skills!C7=1,60+Inputs!$B$25+Inputs!$B$29,IF(Skills!C7=2,90+Inputs!$B$26+Inputs!$B$29,IF(Skills!C7=3,120+Inputs!$B$27+Inputs!$B$29,MAX(0,(Inputs!$B$3-100)*3)+(Inputs!$B$28+1)+Inputs!$B$29)))</f>
        <v/>
      </c>
      <c r="E1046">
        <f>INDEX(FactorTable!$B$2:$Y$301, MATCH(ROUND(MIN(300,MAX(1,D1046)),0), FactorTable!$A$2:$A$301,0), Skills!M7+1)</f>
        <v/>
      </c>
      <c r="F1046">
        <f>IF(Skills!N7=TRUE,(Skills!L7/10)*(E1046/1000),Skills!L7/10)+Skills!O7</f>
        <v/>
      </c>
      <c r="G1046">
        <f>Skills!G7*IF(Skills!H7&gt;0,IF(Inputs!$B$39="pvp",MIN(Skills!I7,15),Skills!I7)/Skills!H7,1)</f>
        <v/>
      </c>
      <c r="H1046">
        <f>1-(1-Skills!J7/100)^Skills!K7</f>
        <v/>
      </c>
      <c r="I1046" t="inlineStr">
        <is>
          <t>1</t>
        </is>
      </c>
      <c r="J1046">
        <f>((Inputs!$B$6*(1+Inputs!$B$7/100))+(((Inputs!$B$12*(1+Inputs!$B$13/100))-(Inputs!$B$12*(1+Inputs!$B$13/100)))+0.25*(Inputs!$B$14-Inputs!$B$14))*(1+Inputs!$B$7/100))*(F1046/100)</f>
        <v/>
      </c>
      <c r="K1046">
        <f>J1046*(1+((Inputs!$B$12*(1+Inputs!$B$13/100))*0.01+Inputs!$B$14*0.0025)/100)*(1+Inputs!$B$15/100)*(1+Inputs!$B$16/100)*(5000/(6000+Inputs!$B$43*(1-(100*(1-(1-Inputs!$B$19/100)*(1-CHOOSE(ArtifactsInput!$N$40+1,5,6,7,8,9,10)/100)^(ArtifactsInput!$M$40-ArtifactsInput!$M$40)))/100)))*(1+(Inputs!$B$24+((C1070=TRUE)*(F1070-Calc!F31))+((C1057=TRUE)*(F1057-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1058=TRUE,F1058,0)/100)*(1+(IF(Skills!A7="CRUEL_STAB",Inputs!$B$17+((C1067=TRUE)*(F1067-Calc!F28))+((IF(AND(Inputs!$B$39&lt;&gt;"pvp",Inputs!$B$44=0),1,IF(IF(Inputs!$B$39="pvp",15,Inputs!$B$44)-(B1084)&lt;=0,1,MAX(0,IF(Inputs!$B$39="pvp",15,Inputs!$B$44)-MAX(5,B1084))/(IF(Inputs!$B$39="pvp",15,Inputs!$B$44)-(B1084))))*(IF(AND(ArtifactsInput!$M$42,((Inputs!$B$9+((C1065=TRUE)*(F1065-Calc!F26))+B1073+(ArtifactsInput!$M$24-ArtifactsInput!$M$24)*CHOOSE(ArtifactsInput!$N$24+1,10,12,14,16,18,20)+IF(ArtifactsInput!$M$10,CHOOSE(ArtifactsInput!$N$10+1,15,18,21,24,27,30)*(IF(Inputs!$B$39="pvp",MIN(15,15)/15,IF(AND(Inputs!$B$39&lt;&gt;"pvp",Inputs!$B$44&gt;0),MIN(15,Inputs!$B$44)/(Inputs!$B$44),0))),0)))&gt;=100),MIN(100,((Inputs!$B$9+((C1065=TRUE)*(F1065-Calc!F26))+B1073+(ArtifactsInput!$M$24-ArtifactsInput!$M$24)*CHOOSE(ArtifactsInput!$N$24+1,10,12,14,16,18,20)+IF(ArtifactsInput!$M$10,CHOOSE(ArtifactsInput!$N$10+1,15,18,21,24,27,30)*(IF(Inputs!$B$39="pvp",MIN(15,15)/15,IF(AND(Inputs!$B$39&lt;&gt;"pvp",Inputs!$B$44&gt;0),MIN(15,Inputs!$B$44)/(Inputs!$B$44),0))),0)))-100),0))*CHOOSE(ArtifactsInput!$N$42+1,0.6,0.72,0.84,0.96,1.08,1.2))),Inputs!$B$18+((C1068=TRUE)*(F1068-Calc!F29))+(IF(AND(Inputs!$B$39&lt;&gt;"pvp",Inputs!$B$44=0),1,IF(IF(Inputs!$B$39="pvp",15,Inputs!$B$44)-(B1084)&lt;=0,1,MAX(0,IF(Inputs!$B$39="pvp",15,Inputs!$B$44)-MAX(5,B1084))/(IF(Inputs!$B$39="pvp",15,Inputs!$B$44)-(B1084))))*IF(AND(ArtifactsInput!$M$42,((Inputs!$B$9+((C1065=TRUE)*(F1065-Calc!F26))+B1073+(ArtifactsInput!$M$24-ArtifactsInput!$M$24)*CHOOSE(ArtifactsInput!$N$24+1,10,12,14,16,18,20)+IF(ArtifactsInput!$M$10,CHOOSE(ArtifactsInput!$N$10+1,15,18,21,24,27,30)*(IF(Inputs!$B$39="pvp",MIN(15,15)/15,IF(AND(Inputs!$B$39&lt;&gt;"pvp",Inputs!$B$44&gt;0),MIN(15,Inputs!$B$44)/(Inputs!$B$44),0))),0)))&gt;=100),CHOOSE(ArtifactsInput!$N$42+1,40,48,56,64,72,80),0))))/100)*(((1+(((C1061=TRUE)*F1061*IF(AND(Inputs!$B$39&lt;&gt;"pvp",Inputs!$B$44&gt;0),(((R1061-1)*MIN((Skills!Y22*(1+Inputs!$B$34/100)),(1/Q1061))+MIN((Skills!Y22*(1+Inputs!$B$34/100)),MAX(0,Inputs!$B$44-((R1061-1)*(1/Q1061)))))/Inputs!$B$44),IF(Inputs!$B$39="pvp",MIN((Skills!Y22*(1+Inputs!$B$34/100)),15)/15,MIN(1,(Skills!Y22*(1+Inputs!$B$34/100))/(1/Q1061)))))+((C1042=TRUE)*F1042*3)+((C1044=TRUE)*F1044*(1-EXP(-0.75*B1077*5)))+((C1063=TRUE)*(F1063-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1050=TRUE)*F1050*IF(AND(Inputs!$B$39&lt;&gt;"pvp",Inputs!$B$44&gt;0),(((R1050-1)*MIN((Skills!Y11*(1+Inputs!$B$34/100)),(1/Q1050))+MIN((Skills!Y11*(1+Inputs!$B$34/100)),MAX(0,Inputs!$B$44-((R1050-1)*(1/Q1050)))))/Inputs!$B$44),IF(Inputs!$B$39="pvp",MIN((Skills!Y11*(1+Inputs!$B$34/100)),15)/15,MIN(1,(Skills!Y11*(1+Inputs!$B$34/100))/(1/Q1050)))))/100)*(1+((C1055=TRUE)*F1055*IF(AND(Inputs!$B$39&lt;&gt;"pvp",Inputs!$B$44&gt;0),(((R1055-1)*MIN((Skills!Y16*(1+Inputs!$B$34/100)),(1/Q1055))+MIN((Skills!Y16*(1+Inputs!$B$34/100)),MAX(0,Inputs!$B$44-((R1055-1)*(1/Q1055)))))/Inputs!$B$44),IF(Inputs!$B$39="pvp",MIN((Skills!Y16*(1+Inputs!$B$34/100)),15)/15,MIN(1,(Skills!Y16*(1+Inputs!$B$34/100))/(1/Q1055)))))/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1075*I1046)</f>
        <v/>
      </c>
      <c r="L1046">
        <f>K1046*(MIN(Inputs!$B$22+((C1064=TRUE)*(F1064-Calc!F25)),(Inputs!$B$23+((C1069=TRUE)*(F1069-Calc!F30))+IF(ArtifactsInput!$M$15,CHOOSE(ArtifactsInput!$N$15+1,25,30,35,40,45,50)/100*(Inputs!$B$11-Inputs!$B$11),0)))/100+(Inputs!$B$23+((C1069=TRUE)*(F1069-Calc!F30))+IF(ArtifactsInput!$M$15,CHOOSE(ArtifactsInput!$N$15+1,25,30,35,40,45,50)/100*(Inputs!$B$11-Inputs!$B$11),0))/100)/2</f>
        <v/>
      </c>
      <c r="M1046">
        <f>L1046*(1+(Inputs!$B$10+((C1066=TRUE)*(F1066-Calc!F27))+B1080+(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1046">
        <f>L1046*(1-MIN((Inputs!$B$9+((C1065=TRUE)*(F1065-Calc!F26))+B1073+(ArtifactsInput!$M$24-ArtifactsInput!$M$24)*CHOOSE(ArtifactsInput!$N$24+1,10,12,14,16,18,20)+(IF(AND(Inputs!$B$39&lt;&gt;"pvp",Inputs!$B$44=0),1,IF(IF(Inputs!$B$39="pvp",15,Inputs!$B$44)-(B1084)&lt;=0,1,MAX(0,IF(Inputs!$B$39="pvp",15,Inputs!$B$44)-MAX(5,B1084))/(IF(Inputs!$B$39="pvp",15,Inputs!$B$44)-(B1084))))*IF(AND(ArtifactsInput!$M$42,((Inputs!$B$9+((C1065=TRUE)*(F1065-Calc!F26))+B1073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1046*(MIN((Inputs!$B$9+((C1065=TRUE)*(F1065-Calc!F26))+B1073+(ArtifactsInput!$M$24-ArtifactsInput!$M$24)*CHOOSE(ArtifactsInput!$N$24+1,10,12,14,16,18,20)+(IF(AND(Inputs!$B$39&lt;&gt;"pvp",Inputs!$B$44=0),1,IF(IF(Inputs!$B$39="pvp",15,Inputs!$B$44)-(B1084)&lt;=0,1,MAX(0,IF(Inputs!$B$39="pvp",15,Inputs!$B$44)-MAX(5,B1084))/(IF(Inputs!$B$39="pvp",15,Inputs!$B$44)-(B1084))))*IF(AND(ArtifactsInput!$M$42,((Inputs!$B$9+((C1065=TRUE)*(F1065-Calc!F26))+B1073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046">
        <f>(1-Summary!$B$11)*T1046+Summary!$B$11*V1046</f>
        <v/>
      </c>
      <c r="P1046">
        <f>IF(B1085=0,0,O1046/B1085)</f>
        <v/>
      </c>
      <c r="Q1046">
        <f>IFERROR(1/IF(Inputs!$B$39="pvp",15,MAX(0.1,Skills!D7-IF(TRUE=TRUE,Inputs!$B$32,0))),0)</f>
        <v/>
      </c>
      <c r="R1046">
        <f>IF(AND(Inputs!$B$39&lt;&gt;"pvp",Inputs!$B$44&gt;0),IF(MAX(0,Inputs!$B$44-B1084)&lt;=0,0,(INT(MAX(0,Inputs!$B$44-B1084)/IF(Inputs!$B$39="pvp",15,MAX(0.1,Skills!D7-IF(TRUE=TRUE,Inputs!$B$32,0))))+1)),0)</f>
        <v/>
      </c>
      <c r="S1046">
        <f>IFERROR(O1046/N1046,0)</f>
        <v/>
      </c>
      <c r="T1046">
        <f>IF(C1046,(H1046*N1046*IF(AND(Inputs!$B$39&lt;&gt;"pvp",Inputs!$B$44&gt;0),((Skills!G7*((R1046-1)*IF(Skills!H7&gt;0,Skills!I7/Skills!H7,1)+IF(Skills!H7&gt;0,MIN(Skills!I7,MAX(0,MAX(0,Inputs!$B$44-B1084)-((R1046-1)*IF(Inputs!$B$39="pvp",15,MAX(0.1,Skills!D7-IF(TRUE=TRUE,Inputs!$B$32,0))))))/Skills!H7,1)))/Inputs!$B$44),G1046*Q1046))*IF(Inputs!$B$39="pvp",1,1+(Inputs!$B$20+0+Skills!P7+B1074+(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Hunt"),CHOOSE(ArtifactsInput!$N$35+1,15,18,21,24,27,30)*(1-EXP(-(0.2*B1077)*5)),0)+IF(AND(ArtifactsInput!$M$22,Inputs!$B$4&lt;&gt;"Chapter Hunt"),CHOOSE(ArtifactsInput!$N$22+1,10,12,14,16,18,20)*((0*(((0.15*B1077*5))^0/1)+1*(((0.15*B1077*5))^1/1)+2*(((0.15*B1077*5))^2/2)+3*(((0.15*B1077*5))^3/6)+4*(((0.15*B1077*5))^4/24)+5*(((0.15*B1077*5))^5/120))/((((0.15*B1077*5))^0/1)+(((0.15*B1077*5))^1/1)+(((0.15*B1077*5))^2/2)+(((0.15*B1077*5))^3/6)+(((0.15*B1077*5))^4/24)+(((0.15*B1077*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1046*(1-MIN(100,(Inputs!$B$9+((C1065=TRUE)*(F1065-Calc!F26))+B1073+(ArtifactsInput!$M$24-ArtifactsInput!$M$24)*CHOOSE(ArtifactsInput!$N$24+1,10,12,14,16,18,20)+(IF(AND(Inputs!$B$39&lt;&gt;"pvp",Inputs!$B$44=0),1,IF(IF(Inputs!$B$39="pvp",15,Inputs!$B$44)-(B1084)&lt;=0,1,MAX(0,IF(Inputs!$B$39="pvp",15,Inputs!$B$44)-MAX(5,B1084))/(IF(Inputs!$B$39="pvp",15,Inputs!$B$44)-(B1084))))*IF(AND(ArtifactsInput!$M$42,((Inputs!$B$9+((C1065=TRUE)*(F1065-Calc!F26))+B1073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1046*(MIN(100,(Inputs!$B$9+((C1065=TRUE)*(F1065-Calc!F26))+B1073+(ArtifactsInput!$M$24-ArtifactsInput!$M$24)*CHOOSE(ArtifactsInput!$N$24+1,10,12,14,16,18,20)+(IF(AND(Inputs!$B$39&lt;&gt;"pvp",Inputs!$B$44=0),1,IF(IF(Inputs!$B$39="pvp",15,Inputs!$B$44)-(B1084)&lt;=0,1,MAX(0,IF(Inputs!$B$39="pvp",15,Inputs!$B$44)-MAX(5,B1084))/(IF(Inputs!$B$39="pvp",15,Inputs!$B$44)-(B1084))))*IF(AND(ArtifactsInput!$M$42,((Inputs!$B$9+((C1065=TRUE)*(F1065-Calc!F26))+B1073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1046*(1-MIN(100,(Inputs!$B$9+((C1065=TRUE)*(F1065-Calc!F26))+B1073+(ArtifactsInput!$M$24-ArtifactsInput!$M$24)*CHOOSE(ArtifactsInput!$N$24+1,10,12,14,16,18,20)+(IF(AND(Inputs!$B$39&lt;&gt;"pvp",Inputs!$B$44=0),1,IF(IF(Inputs!$B$39="pvp",15,Inputs!$B$44)-(B1084)&lt;=0,1,MAX(0,IF(Inputs!$B$39="pvp",15,Inputs!$B$44)-MAX(5,B1084))/(IF(Inputs!$B$39="pvp",15,Inputs!$B$44)-(B1084))))*IF(AND(ArtifactsInput!$M$42,((Inputs!$B$9+((C1065=TRUE)*(F1065-Calc!F26))+B1073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1046*(MIN(100,(Inputs!$B$9+((C1065=TRUE)*(F1065-Calc!F26))+B1073+(ArtifactsInput!$M$24-ArtifactsInput!$M$24)*CHOOSE(ArtifactsInput!$N$24+1,10,12,14,16,18,20)+(IF(AND(Inputs!$B$39&lt;&gt;"pvp",Inputs!$B$44=0),1,IF(IF(Inputs!$B$39="pvp",15,Inputs!$B$44)-(B1084)&lt;=0,1,MAX(0,IF(Inputs!$B$39="pvp",15,Inputs!$B$44)-MAX(5,B1084))/(IF(Inputs!$B$39="pvp",15,Inputs!$B$44)-(B1084))))*IF(AND(ArtifactsInput!$M$42,((Inputs!$B$9+((C1065=TRUE)*(F1065-Calc!F26))+B1073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1046">
        <f>IF(C1046,(H1046*N1046*IF(AND(Inputs!$B$39&lt;&gt;"pvp",Inputs!$B$44&gt;0),((Skills!G7*((R1046-1)*IF(Skills!H7&gt;0,Skills!I7/Skills!H7,1)+IF(Skills!H7&gt;0,MIN(Skills!I7,MAX(0,MAX(0,Inputs!$B$44-B1084)-((R1046-1)*IF(Inputs!$B$39="pvp",15,MAX(0.1,Skills!D7-IF(TRUE=TRUE,Inputs!$B$32,0))))))/Skills!H7,1)))/Inputs!$B$44),G1046*Q1046))*IF(Inputs!$B$39="pvp",1,(1+(Inputs!$B$21+Skills!Q7+B1074+(IF(ArtifactsInput!$M$33,CHOOSE(ArtifactsInput!$N$33+1,30,36,42,48,54,60),0))+(IF(AND(ArtifactsInput!$M$35,Inputs!$B$4&lt;&gt;"Chapter Hunt"),CHOOSE(ArtifactsInput!$N$35+1,15,18,21,24,27,30)*(1-EXP(-(0.2*B1077)*5)),0)+IF(AND(ArtifactsInput!$M$22,Inputs!$B$4&lt;&gt;"Chapter Hunt"),CHOOSE(ArtifactsInput!$N$22+1,10,12,14,16,18,20)*((0*(((0.15*B1077*5))^0/1)+1*(((0.15*B1077*5))^1/1)+2*(((0.15*B1077*5))^2/2)+3*(((0.15*B1077*5))^3/6)+4*(((0.15*B1077*5))^4/24)+5*(((0.15*B1077*5))^5/120))/((((0.15*B1077*5))^0/1)+(((0.15*B1077*5))^1/1)+(((0.15*B1077*5))^2/2)+(((0.15*B1077*5))^3/6)+(((0.15*B1077*5))^4/24)+(((0.15*B1077*5))^5/120))),0)))/100)*(MIN(Skills!W7,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047">
      <c r="A1047">
        <f>Skills!A8</f>
        <v/>
      </c>
      <c r="B1047">
        <f>Skills!B8</f>
        <v/>
      </c>
      <c r="C1047">
        <f>Inputs!$B$3&gt;=60</f>
        <v/>
      </c>
      <c r="D1047">
        <f>IF(Skills!C8=1,60+Inputs!$B$25+Inputs!$B$29,IF(Skills!C8=2,90+Inputs!$B$26+Inputs!$B$29,IF(Skills!C8=3,120+Inputs!$B$27+Inputs!$B$29,MAX(0,(Inputs!$B$3-100)*3)+(Inputs!$B$28+1)+Inputs!$B$29)))</f>
        <v/>
      </c>
      <c r="E1047">
        <f>INDEX(FactorTable!$B$2:$Y$301, MATCH(ROUND(MIN(300,MAX(1,D1047)),0), FactorTable!$A$2:$A$301,0), Skills!M8+1)</f>
        <v/>
      </c>
      <c r="F1047">
        <f>IF(Skills!N8=TRUE,(Skills!L8/10)*(E1047/1000),Skills!L8/10)+Skills!O8</f>
        <v/>
      </c>
      <c r="G1047">
        <f>Skills!G8*IF(Skills!H8&gt;0,IF(Inputs!$B$39="pvp",MIN(Skills!I8,15),Skills!I8)/Skills!H8,1)</f>
        <v/>
      </c>
      <c r="H1047">
        <f>1-(1-Skills!J8/100)^Skills!K8</f>
        <v/>
      </c>
      <c r="I1047" t="inlineStr">
        <is>
          <t>1</t>
        </is>
      </c>
      <c r="J1047" t="inlineStr"/>
      <c r="K1047" t="inlineStr"/>
      <c r="L1047" t="inlineStr"/>
      <c r="M1047" t="inlineStr"/>
      <c r="N1047" t="inlineStr"/>
      <c r="O1047">
        <f>(1-Summary!$B$11)*T1047+Summary!$B$11*V1047</f>
        <v/>
      </c>
      <c r="P1047">
        <f>IF(B1085=0,0,O1047/B1085)</f>
        <v/>
      </c>
      <c r="Q1047" t="n">
        <v>0</v>
      </c>
      <c r="R1047" t="n">
        <v>0</v>
      </c>
      <c r="S1047">
        <f>IFERROR(O1047/N1047,0)</f>
        <v/>
      </c>
      <c r="T1047" t="n">
        <v>0</v>
      </c>
      <c r="V1047" t="n">
        <v>0</v>
      </c>
    </row>
    <row r="1048">
      <c r="A1048">
        <f>Skills!A9</f>
        <v/>
      </c>
      <c r="B1048">
        <f>Skills!B9</f>
        <v/>
      </c>
      <c r="C1048">
        <f>Inputs!$B$3&gt;=72</f>
        <v/>
      </c>
      <c r="D1048">
        <f>IF(Skills!C9=1,60+Inputs!$B$25+Inputs!$B$29,IF(Skills!C9=2,90+Inputs!$B$26+Inputs!$B$29,IF(Skills!C9=3,120+Inputs!$B$27+Inputs!$B$29,MAX(0,(Inputs!$B$3-100)*3)+(Inputs!$B$28+1)+Inputs!$B$29)))</f>
        <v/>
      </c>
      <c r="E1048">
        <f>INDEX(FactorTable!$B$2:$Y$301, MATCH(ROUND(MIN(300,MAX(1,D1048)),0), FactorTable!$A$2:$A$301,0), Skills!M9+1)</f>
        <v/>
      </c>
      <c r="F1048">
        <f>IF(Skills!N9=TRUE,(Skills!L9/10)*(E1048/1000),Skills!L9/10)+Skills!O9</f>
        <v/>
      </c>
      <c r="G1048">
        <f>Skills!G9*IF(Skills!H9&gt;0,IF(Inputs!$B$39="pvp",MIN(Skills!I9,15),Skills!I9)/Skills!H9,1)</f>
        <v/>
      </c>
      <c r="H1048">
        <f>1-(1-Skills!J9/100)^Skills!K9</f>
        <v/>
      </c>
      <c r="I1048" t="inlineStr">
        <is>
          <t>1</t>
        </is>
      </c>
      <c r="J1048">
        <f>((Inputs!$B$6*(1+Inputs!$B$7/100))+(((Inputs!$B$12*(1+Inputs!$B$13/100))-(Inputs!$B$12*(1+Inputs!$B$13/100)))+0.25*(Inputs!$B$14-Inputs!$B$14))*(1+Inputs!$B$7/100))*(F1048/100)</f>
        <v/>
      </c>
      <c r="K1048">
        <f>J1048*(1+((Inputs!$B$12*(1+Inputs!$B$13/100))*0.01+Inputs!$B$14*0.0025)/100)*(1+Inputs!$B$15/100)*(1+Inputs!$B$16/100)*(5000/(6000+Inputs!$B$43*(1-(100*(1-(1-Inputs!$B$19/100)*(1-CHOOSE(ArtifactsInput!$N$40+1,5,6,7,8,9,10)/100)^(ArtifactsInput!$M$40-ArtifactsInput!$M$40)))/100)))*(1+(Inputs!$B$24+((C1070=TRUE)*(F1070-Calc!F31))+((C1057=TRUE)*(F1057-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+3.3333333333333335*IF(C1058=TRUE,F1058,0)/100)*(1+(IF(Skills!A9="CRUEL_STAB",Inputs!$B$17+((C1067=TRUE)*(F1067-Calc!F28))+((IF(AND(Inputs!$B$39&lt;&gt;"pvp",Inputs!$B$44=0),1,IF(IF(Inputs!$B$39="pvp",15,Inputs!$B$44)-(B1084)&lt;=0,1,MAX(0,IF(Inputs!$B$39="pvp",15,Inputs!$B$44)-MAX(5,B1084))/(IF(Inputs!$B$39="pvp",15,Inputs!$B$44)-(B1084))))*(IF(AND(ArtifactsInput!$M$42,((Inputs!$B$9+((C1065=TRUE)*(F1065-Calc!F26))+B1073+(ArtifactsInput!$M$24-ArtifactsInput!$M$24)*CHOOSE(ArtifactsInput!$N$24+1,10,12,14,16,18,20)+IF(ArtifactsInput!$M$10,CHOOSE(ArtifactsInput!$N$10+1,15,18,21,24,27,30)*(IF(Inputs!$B$39="pvp",MIN(15,15)/15,IF(AND(Inputs!$B$39&lt;&gt;"pvp",Inputs!$B$44&gt;0),MIN(15,Inputs!$B$44)/(Inputs!$B$44),0))),0)))&gt;=100),MIN(100,((Inputs!$B$9+((C1065=TRUE)*(F1065-Calc!F26))+B1073+(ArtifactsInput!$M$24-ArtifactsInput!$M$24)*CHOOSE(ArtifactsInput!$N$24+1,10,12,14,16,18,20)+IF(ArtifactsInput!$M$10,CHOOSE(ArtifactsInput!$N$10+1,15,18,21,24,27,30)*(IF(Inputs!$B$39="pvp",MIN(15,15)/15,IF(AND(Inputs!$B$39&lt;&gt;"pvp",Inputs!$B$44&gt;0),MIN(15,Inputs!$B$44)/(Inputs!$B$44),0))),0)))-100),0))*CHOOSE(ArtifactsInput!$N$42+1,0.6,0.72,0.84,0.96,1.08,1.2))),Inputs!$B$18+((C1068=TRUE)*(F1068-Calc!F29))+(IF(AND(Inputs!$B$39&lt;&gt;"pvp",Inputs!$B$44=0),1,IF(IF(Inputs!$B$39="pvp",15,Inputs!$B$44)-(B1084)&lt;=0,1,MAX(0,IF(Inputs!$B$39="pvp",15,Inputs!$B$44)-MAX(5,B1084))/(IF(Inputs!$B$39="pvp",15,Inputs!$B$44)-(B1084))))*IF(AND(ArtifactsInput!$M$42,((Inputs!$B$9+((C1065=TRUE)*(F1065-Calc!F26))+B1073+(ArtifactsInput!$M$24-ArtifactsInput!$M$24)*CHOOSE(ArtifactsInput!$N$24+1,10,12,14,16,18,20)+IF(ArtifactsInput!$M$10,CHOOSE(ArtifactsInput!$N$10+1,15,18,21,24,27,30)*(IF(Inputs!$B$39="pvp",MIN(15,15)/15,IF(AND(Inputs!$B$39&lt;&gt;"pvp",Inputs!$B$44&gt;0),MIN(15,Inputs!$B$44)/(Inputs!$B$44),0))),0)))&gt;=100),CHOOSE(ArtifactsInput!$N$42+1,40,48,56,64,72,80),0))))/100)*(((1+(((C1061=TRUE)*F1061*IF(AND(Inputs!$B$39&lt;&gt;"pvp",Inputs!$B$44&gt;0),(((R1061-1)*MIN((Skills!Y22*(1+Inputs!$B$34/100)),(1/Q1061))+MIN((Skills!Y22*(1+Inputs!$B$34/100)),MAX(0,Inputs!$B$44-((R1061-1)*(1/Q1061)))))/Inputs!$B$44),IF(Inputs!$B$39="pvp",MIN((Skills!Y22*(1+Inputs!$B$34/100)),15)/15,MIN(1,(Skills!Y22*(1+Inputs!$B$34/100))/(1/Q1061)))))+((C1042=TRUE)*F1042*3)+((C1044=TRUE)*F1044*(1-EXP(-0.75*B1077*5)))+((C1063=TRUE)*(F1063-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1050=TRUE)*F1050*IF(AND(Inputs!$B$39&lt;&gt;"pvp",Inputs!$B$44&gt;0),(((R1050-1)*MIN((Skills!Y11*(1+Inputs!$B$34/100)),(1/Q1050))+MIN((Skills!Y11*(1+Inputs!$B$34/100)),MAX(0,Inputs!$B$44-((R1050-1)*(1/Q1050)))))/Inputs!$B$44),IF(Inputs!$B$39="pvp",MIN((Skills!Y11*(1+Inputs!$B$34/100)),15)/15,MIN(1,(Skills!Y11*(1+Inputs!$B$34/100))/(1/Q1050)))))/100)*(1+((C1055=TRUE)*F1055*IF(AND(Inputs!$B$39&lt;&gt;"pvp",Inputs!$B$44&gt;0),(((R1055-1)*MIN((Skills!Y16*(1+Inputs!$B$34/100)),(1/Q1055))+MIN((Skills!Y16*(1+Inputs!$B$34/100)),MAX(0,Inputs!$B$44-((R1055-1)*(1/Q1055)))))/Inputs!$B$44),IF(Inputs!$B$39="pvp",MIN((Skills!Y16*(1+Inputs!$B$34/100)),15)/15,MIN(1,(Skills!Y16*(1+Inputs!$B$34/100))/(1/Q1055)))))/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1075*I1048)</f>
        <v/>
      </c>
      <c r="L1048">
        <f>K1048*(MIN(Inputs!$B$22+((C1064=TRUE)*(F1064-Calc!F25)),(Inputs!$B$23+((C1069=TRUE)*(F1069-Calc!F30))+IF(ArtifactsInput!$M$15,CHOOSE(ArtifactsInput!$N$15+1,25,30,35,40,45,50)/100*(Inputs!$B$11-Inputs!$B$11),0)))/100+(Inputs!$B$23+((C1069=TRUE)*(F1069-Calc!F30))+IF(ArtifactsInput!$M$15,CHOOSE(ArtifactsInput!$N$15+1,25,30,35,40,45,50)/100*(Inputs!$B$11-Inputs!$B$11),0))/100)/2</f>
        <v/>
      </c>
      <c r="M1048">
        <f>L1048*(1+(Inputs!$B$10+((C1066=TRUE)*(F1066-Calc!F27))+B1080+(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1048">
        <f>L1048*(1-MIN((Inputs!$B$9+((C1065=TRUE)*(F1065-Calc!F26))+B1073+(ArtifactsInput!$M$24-ArtifactsInput!$M$24)*CHOOSE(ArtifactsInput!$N$24+1,10,12,14,16,18,20)+(IF(AND(Inputs!$B$39&lt;&gt;"pvp",Inputs!$B$44=0),1,IF(IF(Inputs!$B$39="pvp",15,Inputs!$B$44)-(B1084)&lt;=0,1,MAX(0,IF(Inputs!$B$39="pvp",15,Inputs!$B$44)-MAX(5,B1084))/(IF(Inputs!$B$39="pvp",15,Inputs!$B$44)-(B1084))))*IF(AND(ArtifactsInput!$M$42,((Inputs!$B$9+((C1065=TRUE)*(F1065-Calc!F26))+B1073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1048*(MIN((Inputs!$B$9+((C1065=TRUE)*(F1065-Calc!F26))+B1073+(ArtifactsInput!$M$24-ArtifactsInput!$M$24)*CHOOSE(ArtifactsInput!$N$24+1,10,12,14,16,18,20)+(IF(AND(Inputs!$B$39&lt;&gt;"pvp",Inputs!$B$44=0),1,IF(IF(Inputs!$B$39="pvp",15,Inputs!$B$44)-(B1084)&lt;=0,1,MAX(0,IF(Inputs!$B$39="pvp",15,Inputs!$B$44)-MAX(5,B1084))/(IF(Inputs!$B$39="pvp",15,Inputs!$B$44)-(B1084))))*IF(AND(ArtifactsInput!$M$42,((Inputs!$B$9+((C1065=TRUE)*(F1065-Calc!F26))+B1073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048">
        <f>(1-Summary!$B$11)*T1048+Summary!$B$11*V1048</f>
        <v/>
      </c>
      <c r="P1048">
        <f>IF(B1085=0,0,O1048/B1085)</f>
        <v/>
      </c>
      <c r="Q1048">
        <f>IFERROR(1/IF(Inputs!$B$39="pvp",15,MAX(0.1,Skills!D9-IF(FALSE=TRUE,Inputs!$B$32,0))),0)</f>
        <v/>
      </c>
      <c r="R1048">
        <f>IF(AND(Inputs!$B$39&lt;&gt;"pvp",Inputs!$B$44&gt;0),IF(MAX(0,Inputs!$B$44-B1084)&lt;=0,0,(INT(MAX(0,Inputs!$B$44-B1084)/IF(Inputs!$B$39="pvp",15,MAX(0.1,Skills!D9-IF(FALSE=TRUE,Inputs!$B$32,0))))+1)),0)</f>
        <v/>
      </c>
      <c r="S1048">
        <f>IFERROR(O1048/N1048,0)</f>
        <v/>
      </c>
      <c r="T1048">
        <f>IF(C1048,(H1048*N1048*IF(AND(Inputs!$B$39&lt;&gt;"pvp",Inputs!$B$44&gt;0),((Skills!G9*((R1048-1)*IF(Skills!H9&gt;0,Skills!I9/Skills!H9,1)+IF(Skills!H9&gt;0,MIN(Skills!I9,MAX(0,MAX(0,Inputs!$B$44-B1084)-((R1048-1)*IF(Inputs!$B$39="pvp",15,MAX(0.1,Skills!D9-IF(FALSE=TRUE,Inputs!$B$32,0))))))/Skills!H9,1)))/Inputs!$B$44),G1048*Q1048))*IF(Inputs!$B$39="pvp",1,1+(Inputs!$B$20+0+Skills!P9+B1074+(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Hunt"),CHOOSE(ArtifactsInput!$N$35+1,15,18,21,24,27,30)*(1-EXP(-(0.2*B1077)*5)),0)+IF(AND(ArtifactsInput!$M$22,Inputs!$B$4&lt;&gt;"Chapter Hunt"),CHOOSE(ArtifactsInput!$N$22+1,10,12,14,16,18,20)*((0*(((0.15*B1077*5))^0/1)+1*(((0.15*B1077*5))^1/1)+2*(((0.15*B1077*5))^2/2)+3*(((0.15*B1077*5))^3/6)+4*(((0.15*B1077*5))^4/24)+5*(((0.15*B1077*5))^5/120))/((((0.15*B1077*5))^0/1)+(((0.15*B1077*5))^1/1)+(((0.15*B1077*5))^2/2)+(((0.15*B1077*5))^3/6)+(((0.15*B1077*5))^4/24)+(((0.15*B1077*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1048*(1-MIN(100,(Inputs!$B$9+((C1065=TRUE)*(F1065-Calc!F26))+B1073+(ArtifactsInput!$M$24-ArtifactsInput!$M$24)*CHOOSE(ArtifactsInput!$N$24+1,10,12,14,16,18,20)+(IF(AND(Inputs!$B$39&lt;&gt;"pvp",Inputs!$B$44=0),1,IF(IF(Inputs!$B$39="pvp",15,Inputs!$B$44)-(B1084)&lt;=0,1,MAX(0,IF(Inputs!$B$39="pvp",15,Inputs!$B$44)-MAX(5,B1084))/(IF(Inputs!$B$39="pvp",15,Inputs!$B$44)-(B1084))))*IF(AND(ArtifactsInput!$M$42,((Inputs!$B$9+((C1065=TRUE)*(F1065-Calc!F26))+B1073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1048*(MIN(100,(Inputs!$B$9+((C1065=TRUE)*(F1065-Calc!F26))+B1073+(ArtifactsInput!$M$24-ArtifactsInput!$M$24)*CHOOSE(ArtifactsInput!$N$24+1,10,12,14,16,18,20)+(IF(AND(Inputs!$B$39&lt;&gt;"pvp",Inputs!$B$44=0),1,IF(IF(Inputs!$B$39="pvp",15,Inputs!$B$44)-(B1084)&lt;=0,1,MAX(0,IF(Inputs!$B$39="pvp",15,Inputs!$B$44)-MAX(5,B1084))/(IF(Inputs!$B$39="pvp",15,Inputs!$B$44)-(B1084))))*IF(AND(ArtifactsInput!$M$42,((Inputs!$B$9+((C1065=TRUE)*(F1065-Calc!F26))+B1073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1048*(1-MIN(100,(Inputs!$B$9+((C1065=TRUE)*(F1065-Calc!F26))+B1073+(ArtifactsInput!$M$24-ArtifactsInput!$M$24)*CHOOSE(ArtifactsInput!$N$24+1,10,12,14,16,18,20)+(IF(AND(Inputs!$B$39&lt;&gt;"pvp",Inputs!$B$44=0),1,IF(IF(Inputs!$B$39="pvp",15,Inputs!$B$44)-(B1084)&lt;=0,1,MAX(0,IF(Inputs!$B$39="pvp",15,Inputs!$B$44)-MAX(5,B1084))/(IF(Inputs!$B$39="pvp",15,Inputs!$B$44)-(B1084))))*IF(AND(ArtifactsInput!$M$42,((Inputs!$B$9+((C1065=TRUE)*(F1065-Calc!F26))+B1073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1048*(MIN(100,(Inputs!$B$9+((C1065=TRUE)*(F1065-Calc!F26))+B1073+(ArtifactsInput!$M$24-ArtifactsInput!$M$24)*CHOOSE(ArtifactsInput!$N$24+1,10,12,14,16,18,20)+(IF(AND(Inputs!$B$39&lt;&gt;"pvp",Inputs!$B$44=0),1,IF(IF(Inputs!$B$39="pvp",15,Inputs!$B$44)-(B1084)&lt;=0,1,MAX(0,IF(Inputs!$B$39="pvp",15,Inputs!$B$44)-MAX(5,B1084))/(IF(Inputs!$B$39="pvp",15,Inputs!$B$44)-(B1084))))*IF(AND(ArtifactsInput!$M$42,((Inputs!$B$9+((C1065=TRUE)*(F1065-Calc!F26))+B1073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1048">
        <f>IF(C1048,(H1048*N1048*IF(AND(Inputs!$B$39&lt;&gt;"pvp",Inputs!$B$44&gt;0),((Skills!G9*((R1048-1)*IF(Skills!H9&gt;0,Skills!I9/Skills!H9,1)+IF(Skills!H9&gt;0,MIN(Skills!I9,MAX(0,MAX(0,Inputs!$B$44-B1084)-((R1048-1)*IF(Inputs!$B$39="pvp",15,MAX(0.1,Skills!D9-IF(FALSE=TRUE,Inputs!$B$32,0))))))/Skills!H9,1)))/Inputs!$B$44),G1048*Q1048))*IF(Inputs!$B$39="pvp",1,(1+(Inputs!$B$21+Skills!Q9+B1074+(IF(ArtifactsInput!$M$33,CHOOSE(ArtifactsInput!$N$33+1,30,36,42,48,54,60),0))+(IF(AND(ArtifactsInput!$M$35,Inputs!$B$4&lt;&gt;"Chapter Hunt"),CHOOSE(ArtifactsInput!$N$35+1,15,18,21,24,27,30)*(1-EXP(-(0.2*B1077)*5)),0)+IF(AND(ArtifactsInput!$M$22,Inputs!$B$4&lt;&gt;"Chapter Hunt"),CHOOSE(ArtifactsInput!$N$22+1,10,12,14,16,18,20)*((0*(((0.15*B1077*5))^0/1)+1*(((0.15*B1077*5))^1/1)+2*(((0.15*B1077*5))^2/2)+3*(((0.15*B1077*5))^3/6)+4*(((0.15*B1077*5))^4/24)+5*(((0.15*B1077*5))^5/120))/((((0.15*B1077*5))^0/1)+(((0.15*B1077*5))^1/1)+(((0.15*B1077*5))^2/2)+(((0.15*B1077*5))^3/6)+(((0.15*B1077*5))^4/24)+(((0.15*B1077*5))^5/120))),0)))/100)*(MIN(Skills!W9,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049">
      <c r="A1049">
        <f>Skills!A10</f>
        <v/>
      </c>
      <c r="B1049">
        <f>Skills!B10</f>
        <v/>
      </c>
      <c r="C1049">
        <f>Inputs!$B$3&gt;=117</f>
        <v/>
      </c>
      <c r="D1049">
        <f>IF(Skills!C10=1,60+Inputs!$B$25+Inputs!$B$29,IF(Skills!C10=2,90+Inputs!$B$26+Inputs!$B$29,IF(Skills!C10=3,120+Inputs!$B$27+Inputs!$B$29,MAX(0,(Inputs!$B$3-100)*3)+(Inputs!$B$28+1)+Inputs!$B$29)))</f>
        <v/>
      </c>
      <c r="E1049">
        <f>INDEX(FactorTable!$B$2:$Y$301, MATCH(ROUND(MIN(300,MAX(1,D1049)),0), FactorTable!$A$2:$A$301,0), Skills!M10+1)</f>
        <v/>
      </c>
      <c r="F1049">
        <f>IF(Skills!N10=TRUE,(Skills!L10/10)*(E1049/1000),Skills!L10/10)+Skills!O10</f>
        <v/>
      </c>
      <c r="G1049">
        <f>Skills!G10*IF(Skills!H10&gt;0,IF(Inputs!$B$39="pvp",MIN(Skills!I10,15),Skills!I10)/Skills!H10,1)</f>
        <v/>
      </c>
      <c r="H1049">
        <f>1-(1-Skills!J10/100)^Skills!K10</f>
        <v/>
      </c>
      <c r="I1049" t="inlineStr">
        <is>
          <t>1</t>
        </is>
      </c>
      <c r="J1049">
        <f>((Inputs!$B$6*(1+Inputs!$B$7/100))+(((Inputs!$B$12*(1+Inputs!$B$13/100))-(Inputs!$B$12*(1+Inputs!$B$13/100)))+0.25*(Inputs!$B$14-Inputs!$B$14))*(1+Inputs!$B$7/100))*(F1049/100)</f>
        <v/>
      </c>
      <c r="K1049">
        <f>J1049*(1+((Inputs!$B$12*(1+Inputs!$B$13/100))*0.01+Inputs!$B$14*0.0025)/100)*(1+Inputs!$B$15/100)*(1+Inputs!$B$16/100)*(5000/(6000+Inputs!$B$43*(1-(100*(1-(1-Inputs!$B$19/100)*(1-CHOOSE(ArtifactsInput!$N$40+1,5,6,7,8,9,10)/100)^(ArtifactsInput!$M$40-ArtifactsInput!$M$40)))/100)))*(1+(Inputs!$B$24+((C1070=TRUE)*(F1070-Calc!F31))+((C1057=TRUE)*(F1057-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10="CRUEL_STAB",Inputs!$B$17+((C1067=TRUE)*(F1067-Calc!F28))+((IF(AND(Inputs!$B$39&lt;&gt;"pvp",Inputs!$B$44=0),1,IF(IF(Inputs!$B$39="pvp",15,Inputs!$B$44)-(B1084)&lt;=0,1,MAX(0,IF(Inputs!$B$39="pvp",15,Inputs!$B$44)-MAX(5,B1084))/(IF(Inputs!$B$39="pvp",15,Inputs!$B$44)-(B1084))))*(IF(AND(ArtifactsInput!$M$42,((Inputs!$B$9+((C1065=TRUE)*(F1065-Calc!F26))+B1073+(ArtifactsInput!$M$24-ArtifactsInput!$M$24)*CHOOSE(ArtifactsInput!$N$24+1,10,12,14,16,18,20)+IF(ArtifactsInput!$M$10,CHOOSE(ArtifactsInput!$N$10+1,15,18,21,24,27,30)*(IF(Inputs!$B$39="pvp",MIN(15,15)/15,IF(AND(Inputs!$B$39&lt;&gt;"pvp",Inputs!$B$44&gt;0),MIN(15,Inputs!$B$44)/(Inputs!$B$44),0))),0)))&gt;=100),MIN(100,((Inputs!$B$9+((C1065=TRUE)*(F1065-Calc!F26))+B1073+(ArtifactsInput!$M$24-ArtifactsInput!$M$24)*CHOOSE(ArtifactsInput!$N$24+1,10,12,14,16,18,20)+IF(ArtifactsInput!$M$10,CHOOSE(ArtifactsInput!$N$10+1,15,18,21,24,27,30)*(IF(Inputs!$B$39="pvp",MIN(15,15)/15,IF(AND(Inputs!$B$39&lt;&gt;"pvp",Inputs!$B$44&gt;0),MIN(15,Inputs!$B$44)/(Inputs!$B$44),0))),0)))-100),0))*CHOOSE(ArtifactsInput!$N$42+1,0.6,0.72,0.84,0.96,1.08,1.2))),Inputs!$B$18+((C1068=TRUE)*(F1068-Calc!F29))+(IF(AND(Inputs!$B$39&lt;&gt;"pvp",Inputs!$B$44=0),1,IF(IF(Inputs!$B$39="pvp",15,Inputs!$B$44)-(B1084)&lt;=0,1,MAX(0,IF(Inputs!$B$39="pvp",15,Inputs!$B$44)-MAX(5,B1084))/(IF(Inputs!$B$39="pvp",15,Inputs!$B$44)-(B1084))))*IF(AND(ArtifactsInput!$M$42,((Inputs!$B$9+((C1065=TRUE)*(F1065-Calc!F26))+B1073+(ArtifactsInput!$M$24-ArtifactsInput!$M$24)*CHOOSE(ArtifactsInput!$N$24+1,10,12,14,16,18,20)+IF(ArtifactsInput!$M$10,CHOOSE(ArtifactsInput!$N$10+1,15,18,21,24,27,30)*(IF(Inputs!$B$39="pvp",MIN(15,15)/15,IF(AND(Inputs!$B$39&lt;&gt;"pvp",Inputs!$B$44&gt;0),MIN(15,Inputs!$B$44)/(Inputs!$B$44),0))),0)))&gt;=100),CHOOSE(ArtifactsInput!$N$42+1,40,48,56,64,72,80),0))))/100)*(((1+(((C1061=TRUE)*F1061*IF(AND(Inputs!$B$39&lt;&gt;"pvp",Inputs!$B$44&gt;0),(((R1061-1)*MIN((Skills!Y22*(1+Inputs!$B$34/100)),(1/Q1061))+MIN((Skills!Y22*(1+Inputs!$B$34/100)),MAX(0,Inputs!$B$44-((R1061-1)*(1/Q1061)))))/Inputs!$B$44),IF(Inputs!$B$39="pvp",MIN((Skills!Y22*(1+Inputs!$B$34/100)),15)/15,MIN(1,(Skills!Y22*(1+Inputs!$B$34/100))/(1/Q1061)))))+((C1042=TRUE)*F1042*3)+((C1044=TRUE)*F1044*(1-EXP(-0.75*B1077*5)))+((C1063=TRUE)*(F1063-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1050=TRUE)*F1050*IF(AND(Inputs!$B$39&lt;&gt;"pvp",Inputs!$B$44&gt;0),(((R1050-1)*MIN((Skills!Y11*(1+Inputs!$B$34/100)),(1/Q1050))+MIN((Skills!Y11*(1+Inputs!$B$34/100)),MAX(0,Inputs!$B$44-((R1050-1)*(1/Q1050)))))/Inputs!$B$44),IF(Inputs!$B$39="pvp",MIN((Skills!Y11*(1+Inputs!$B$34/100)),15)/15,MIN(1,(Skills!Y11*(1+Inputs!$B$34/100))/(1/Q1050)))))/100)*(1+((C1055=TRUE)*F1055*IF(AND(Inputs!$B$39&lt;&gt;"pvp",Inputs!$B$44&gt;0),(((R1055-1)*MIN((Skills!Y16*(1+Inputs!$B$34/100)),(1/Q1055))+MIN((Skills!Y16*(1+Inputs!$B$34/100)),MAX(0,Inputs!$B$44-((R1055-1)*(1/Q1055)))))/Inputs!$B$44),IF(Inputs!$B$39="pvp",MIN((Skills!Y16*(1+Inputs!$B$34/100)),15)/15,MIN(1,(Skills!Y16*(1+Inputs!$B$34/100))/(1/Q1055)))))/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1075*I1049)</f>
        <v/>
      </c>
      <c r="L1049">
        <f>K1049*(MIN(Inputs!$B$22+((C1064=TRUE)*(F1064-Calc!F25)),(Inputs!$B$23+((C1069=TRUE)*(F1069-Calc!F30))+IF(ArtifactsInput!$M$15,CHOOSE(ArtifactsInput!$N$15+1,25,30,35,40,45,50)/100*(Inputs!$B$11-Inputs!$B$11),0)))/100+(Inputs!$B$23+((C1069=TRUE)*(F1069-Calc!F30))+IF(ArtifactsInput!$M$15,CHOOSE(ArtifactsInput!$N$15+1,25,30,35,40,45,50)/100*(Inputs!$B$11-Inputs!$B$11),0))/100)/2</f>
        <v/>
      </c>
      <c r="M1049">
        <f>L1049*(1+(Inputs!$B$10+((C1066=TRUE)*(F1066-Calc!F27))+B1080+(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1049">
        <f>L1049*(1-MIN((Inputs!$B$9+((C1065=TRUE)*(F1065-Calc!F26))+B1073+(ArtifactsInput!$M$24-ArtifactsInput!$M$24)*CHOOSE(ArtifactsInput!$N$24+1,10,12,14,16,18,20)+(IF(AND(Inputs!$B$39&lt;&gt;"pvp",Inputs!$B$44=0),1,IF(IF(Inputs!$B$39="pvp",15,Inputs!$B$44)-(B1084)&lt;=0,1,MAX(0,IF(Inputs!$B$39="pvp",15,Inputs!$B$44)-MAX(5,B1084))/(IF(Inputs!$B$39="pvp",15,Inputs!$B$44)-(B1084))))*IF(AND(ArtifactsInput!$M$42,((Inputs!$B$9+((C1065=TRUE)*(F1065-Calc!F26))+B1073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1049*(MIN((Inputs!$B$9+((C1065=TRUE)*(F1065-Calc!F26))+B1073+(ArtifactsInput!$M$24-ArtifactsInput!$M$24)*CHOOSE(ArtifactsInput!$N$24+1,10,12,14,16,18,20)+(IF(AND(Inputs!$B$39&lt;&gt;"pvp",Inputs!$B$44=0),1,IF(IF(Inputs!$B$39="pvp",15,Inputs!$B$44)-(B1084)&lt;=0,1,MAX(0,IF(Inputs!$B$39="pvp",15,Inputs!$B$44)-MAX(5,B1084))/(IF(Inputs!$B$39="pvp",15,Inputs!$B$44)-(B1084))))*IF(AND(ArtifactsInput!$M$42,((Inputs!$B$9+((C1065=TRUE)*(F1065-Calc!F26))+B1073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049">
        <f>(1-Summary!$B$11)*T1049+Summary!$B$11*V1049</f>
        <v/>
      </c>
      <c r="P1049">
        <f>IF(B1085=0,0,O1049/B1085)</f>
        <v/>
      </c>
      <c r="Q1049" t="n">
        <v>0</v>
      </c>
      <c r="R1049" t="n">
        <v>0</v>
      </c>
      <c r="S1049" t="n">
        <v>0</v>
      </c>
      <c r="T1049">
        <f>IF(C1049,(0.2*SUMPRODUCT((Skills!Z2:Z31=TRUE)*(C1041:C1070=TRUE)*S1041:S1070)*N1049)*IF(Inputs!$B$39="pvp",1,1+(Inputs!$B$20+0+Skills!P10+B1074+(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Hunt"),CHOOSE(ArtifactsInput!$N$35+1,15,18,21,24,27,30)*(1-EXP(-(0.2*B1077)*5)),0)+IF(AND(ArtifactsInput!$M$22,Inputs!$B$4&lt;&gt;"Chapter Hunt"),CHOOSE(ArtifactsInput!$N$22+1,10,12,14,16,18,20)*((0*(((0.15*B1077*5))^0/1)+1*(((0.15*B1077*5))^1/1)+2*(((0.15*B1077*5))^2/2)+3*(((0.15*B1077*5))^3/6)+4*(((0.15*B1077*5))^4/24)+5*(((0.15*B1077*5))^5/120))/((((0.15*B1077*5))^0/1)+(((0.15*B1077*5))^1/1)+(((0.15*B1077*5))^2/2)+(((0.15*B1077*5))^3/6)+(((0.15*B1077*5))^4/24)+(((0.15*B1077*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1049*(1-MIN(100,(Inputs!$B$9+((C1065=TRUE)*(F1065-Calc!F26))+B1073+(ArtifactsInput!$M$24-ArtifactsInput!$M$24)*CHOOSE(ArtifactsInput!$N$24+1,10,12,14,16,18,20)+(IF(AND(Inputs!$B$39&lt;&gt;"pvp",Inputs!$B$44=0),1,IF(IF(Inputs!$B$39="pvp",15,Inputs!$B$44)-(B1084)&lt;=0,1,MAX(0,IF(Inputs!$B$39="pvp",15,Inputs!$B$44)-MAX(5,B1084))/(IF(Inputs!$B$39="pvp",15,Inputs!$B$44)-(B1084))))*IF(AND(ArtifactsInput!$M$42,((Inputs!$B$9+((C1065=TRUE)*(F1065-Calc!F26))+B1073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1049*(MIN(100,(Inputs!$B$9+((C1065=TRUE)*(F1065-Calc!F26))+B1073+(ArtifactsInput!$M$24-ArtifactsInput!$M$24)*CHOOSE(ArtifactsInput!$N$24+1,10,12,14,16,18,20)+(IF(AND(Inputs!$B$39&lt;&gt;"pvp",Inputs!$B$44=0),1,IF(IF(Inputs!$B$39="pvp",15,Inputs!$B$44)-(B1084)&lt;=0,1,MAX(0,IF(Inputs!$B$39="pvp",15,Inputs!$B$44)-MAX(5,B1084))/(IF(Inputs!$B$39="pvp",15,Inputs!$B$44)-(B1084))))*IF(AND(ArtifactsInput!$M$42,((Inputs!$B$9+((C1065=TRUE)*(F1065-Calc!F26))+B1073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1049*(1-MIN(100,(Inputs!$B$9+((C1065=TRUE)*(F1065-Calc!F26))+B1073+(ArtifactsInput!$M$24-ArtifactsInput!$M$24)*CHOOSE(ArtifactsInput!$N$24+1,10,12,14,16,18,20)+(IF(AND(Inputs!$B$39&lt;&gt;"pvp",Inputs!$B$44=0),1,IF(IF(Inputs!$B$39="pvp",15,Inputs!$B$44)-(B1084)&lt;=0,1,MAX(0,IF(Inputs!$B$39="pvp",15,Inputs!$B$44)-MAX(5,B1084))/(IF(Inputs!$B$39="pvp",15,Inputs!$B$44)-(B1084))))*IF(AND(ArtifactsInput!$M$42,((Inputs!$B$9+((C1065=TRUE)*(F1065-Calc!F26))+B1073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1049*(MIN(100,(Inputs!$B$9+((C1065=TRUE)*(F1065-Calc!F26))+B1073+(ArtifactsInput!$M$24-ArtifactsInput!$M$24)*CHOOSE(ArtifactsInput!$N$24+1,10,12,14,16,18,20)+(IF(AND(Inputs!$B$39&lt;&gt;"pvp",Inputs!$B$44=0),1,IF(IF(Inputs!$B$39="pvp",15,Inputs!$B$44)-(B1084)&lt;=0,1,MAX(0,IF(Inputs!$B$39="pvp",15,Inputs!$B$44)-MAX(5,B1084))/(IF(Inputs!$B$39="pvp",15,Inputs!$B$44)-(B1084))))*IF(AND(ArtifactsInput!$M$42,((Inputs!$B$9+((C1065=TRUE)*(F1065-Calc!F26))+B1073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1049">
        <f>IF(C1049,(0.2*SUMPRODUCT((Skills!Z2:Z31=TRUE)*(C1041:C1070=TRUE)*S1041:S1070)*N1049)*IF(Inputs!$B$39="pvp",1,(1+(Inputs!$B$21+Skills!Q10+B1074+(IF(ArtifactsInput!$M$33,CHOOSE(ArtifactsInput!$N$33+1,30,36,42,48,54,60),0))+(IF(AND(ArtifactsInput!$M$35,Inputs!$B$4&lt;&gt;"Chapter Hunt"),CHOOSE(ArtifactsInput!$N$35+1,15,18,21,24,27,30)*(1-EXP(-(0.2*B1077)*5)),0)+IF(AND(ArtifactsInput!$M$22,Inputs!$B$4&lt;&gt;"Chapter Hunt"),CHOOSE(ArtifactsInput!$N$22+1,10,12,14,16,18,20)*((0*(((0.15*B1077*5))^0/1)+1*(((0.15*B1077*5))^1/1)+2*(((0.15*B1077*5))^2/2)+3*(((0.15*B1077*5))^3/6)+4*(((0.15*B1077*5))^4/24)+5*(((0.15*B1077*5))^5/120))/((((0.15*B1077*5))^0/1)+(((0.15*B1077*5))^1/1)+(((0.15*B1077*5))^2/2)+(((0.15*B1077*5))^3/6)+(((0.15*B1077*5))^4/24)+(((0.15*B1077*5))^5/120))),0)))/100)*(MIN(Skills!W10,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050">
      <c r="A1050">
        <f>Skills!A11</f>
        <v/>
      </c>
      <c r="B1050">
        <f>Skills!B11</f>
        <v/>
      </c>
      <c r="C1050">
        <f>Inputs!$B$3&gt;=74</f>
        <v/>
      </c>
      <c r="D1050">
        <f>IF(Skills!C11=1,60+Inputs!$B$25+Inputs!$B$29,IF(Skills!C11=2,90+Inputs!$B$26+Inputs!$B$29,IF(Skills!C11=3,120+Inputs!$B$27+Inputs!$B$29,MAX(0,(Inputs!$B$3-100)*3)+(Inputs!$B$28+1)+Inputs!$B$29)))</f>
        <v/>
      </c>
      <c r="E1050">
        <f>INDEX(FactorTable!$B$2:$Y$301, MATCH(ROUND(MIN(300,MAX(1,D1050)),0), FactorTable!$A$2:$A$301,0), Skills!M11+1)</f>
        <v/>
      </c>
      <c r="F1050">
        <f>IF(Skills!N11=TRUE,(Skills!L11/10)*(E1050/1000),Skills!L11/10)+Skills!O11</f>
        <v/>
      </c>
      <c r="G1050">
        <f>Skills!G11*IF(Skills!H11&gt;0,IF(Inputs!$B$39="pvp",MIN(Skills!I11,15),Skills!I11)/Skills!H11,1)</f>
        <v/>
      </c>
      <c r="H1050">
        <f>1-(1-Skills!J11/100)^Skills!K11</f>
        <v/>
      </c>
      <c r="I1050" t="inlineStr">
        <is>
          <t>1</t>
        </is>
      </c>
      <c r="J1050" t="inlineStr"/>
      <c r="K1050" t="inlineStr"/>
      <c r="L1050" t="inlineStr"/>
      <c r="M1050" t="inlineStr"/>
      <c r="N1050" t="inlineStr"/>
      <c r="O1050">
        <f>(1-Summary!$B$11)*T1050+Summary!$B$11*V1050</f>
        <v/>
      </c>
      <c r="P1050">
        <f>IF(B1085=0,0,O1050/B1085)</f>
        <v/>
      </c>
      <c r="Q1050">
        <f>IFERROR(1/IF(Inputs!$B$39="pvp",15,MAX(0.1,Skills!D11-IF(TRUE=TRUE,Inputs!$B$32,0))),0)</f>
        <v/>
      </c>
      <c r="R1050">
        <f>IF(AND(Inputs!$B$39&lt;&gt;"pvp",Inputs!$B$44&gt;0),IF(Inputs!$B$44&lt;=0,0,(INT(Inputs!$B$44/IF(Inputs!$B$39="pvp",15,MAX(0.1,Skills!D11-IF(TRUE=TRUE,Inputs!$B$32,0))))+1)),0)</f>
        <v/>
      </c>
      <c r="S1050">
        <f>IFERROR(O1050/N1050,0)</f>
        <v/>
      </c>
      <c r="T1050" t="n">
        <v>0</v>
      </c>
      <c r="V1050" t="n">
        <v>0</v>
      </c>
    </row>
    <row r="1051">
      <c r="A1051">
        <f>Skills!A12</f>
        <v/>
      </c>
      <c r="B1051">
        <f>Skills!B12</f>
        <v/>
      </c>
      <c r="C1051">
        <f>Inputs!$B$3&gt;=103</f>
        <v/>
      </c>
      <c r="D1051">
        <f>IF(Skills!C12=1,60+Inputs!$B$25+Inputs!$B$29,IF(Skills!C12=2,90+Inputs!$B$26+Inputs!$B$29,IF(Skills!C12=3,120+Inputs!$B$27+Inputs!$B$29,MAX(0,(Inputs!$B$3-100)*3)+(Inputs!$B$28+1)+Inputs!$B$29)))</f>
        <v/>
      </c>
      <c r="E1051">
        <f>INDEX(FactorTable!$B$2:$Y$301, MATCH(ROUND(MIN(300,MAX(1,D1051)),0), FactorTable!$A$2:$A$301,0), Skills!M12+1)</f>
        <v/>
      </c>
      <c r="F1051">
        <f>(Skills!L12/10)*(E1051/1000)+IF(Inputs!$B$3&gt;=134,50,0)+0.5*(30000/10)*(INDEX(FactorTable!$B$2:$Y$301, MATCH(ROUND(MIN(300,MAX(1,D1051)),0), FactorTable!$A$2:$A$301,0), 13)/1000)*B1083</f>
        <v/>
      </c>
      <c r="G1051">
        <f>Skills!G12*IF(Skills!H12&gt;0,IF(Inputs!$B$39="pvp",MIN(Skills!I12,15),Skills!I12)/Skills!H12,1)</f>
        <v/>
      </c>
      <c r="H1051">
        <f>1-(1-Skills!J12/100)^Skills!K12</f>
        <v/>
      </c>
      <c r="I1051" t="inlineStr">
        <is>
          <t>1</t>
        </is>
      </c>
      <c r="J1051">
        <f>((Inputs!$B$6*(1+Inputs!$B$7/100))+(((Inputs!$B$12*(1+Inputs!$B$13/100))-(Inputs!$B$12*(1+Inputs!$B$13/100)))+0.25*(Inputs!$B$14-Inputs!$B$14))*(1+Inputs!$B$7/100))*(F1051/100)</f>
        <v/>
      </c>
      <c r="K1051">
        <f>J1051*(1+((Inputs!$B$12*(1+Inputs!$B$13/100))*0.01+Inputs!$B$14*0.0025)/100)*(1+Inputs!$B$15/100)*(1+Inputs!$B$16/100)*(5000/(6000+Inputs!$B$43*(1-(100*(1-(1-Inputs!$B$19/100)*(1-CHOOSE(ArtifactsInput!$N$40+1,5,6,7,8,9,10)/100)^(ArtifactsInput!$M$40-ArtifactsInput!$M$40)))/100)))*(1+(Inputs!$B$24+((C1070=TRUE)*(F1070-Calc!F31))+((C1057=TRUE)*(F1057-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12="CRUEL_STAB",Inputs!$B$17+((C1067=TRUE)*(F1067-Calc!F28))+((IF(AND(Inputs!$B$39&lt;&gt;"pvp",Inputs!$B$44=0),1,IF(IF(Inputs!$B$39="pvp",15,Inputs!$B$44)-(B1084)&lt;=0,1,MAX(0,IF(Inputs!$B$39="pvp",15,Inputs!$B$44)-MAX(5,B1084))/(IF(Inputs!$B$39="pvp",15,Inputs!$B$44)-(B1084))))*(IF(AND(ArtifactsInput!$M$42,((Inputs!$B$9+((C1065=TRUE)*(F1065-Calc!F26))+B1073+(ArtifactsInput!$M$24-ArtifactsInput!$M$24)*CHOOSE(ArtifactsInput!$N$24+1,10,12,14,16,18,20)+IF(ArtifactsInput!$M$10,CHOOSE(ArtifactsInput!$N$10+1,15,18,21,24,27,30)*(IF(Inputs!$B$39="pvp",MIN(15,15)/15,IF(AND(Inputs!$B$39&lt;&gt;"pvp",Inputs!$B$44&gt;0),MIN(15,Inputs!$B$44)/(Inputs!$B$44),0))),0)))&gt;=100),MIN(100,((Inputs!$B$9+((C1065=TRUE)*(F1065-Calc!F26))+B1073+(ArtifactsInput!$M$24-ArtifactsInput!$M$24)*CHOOSE(ArtifactsInput!$N$24+1,10,12,14,16,18,20)+IF(ArtifactsInput!$M$10,CHOOSE(ArtifactsInput!$N$10+1,15,18,21,24,27,30)*(IF(Inputs!$B$39="pvp",MIN(15,15)/15,IF(AND(Inputs!$B$39&lt;&gt;"pvp",Inputs!$B$44&gt;0),MIN(15,Inputs!$B$44)/(Inputs!$B$44),0))),0)))-100),0))*CHOOSE(ArtifactsInput!$N$42+1,0.6,0.72,0.84,0.96,1.08,1.2))),Inputs!$B$18+((C1068=TRUE)*(F1068-Calc!F29))+(IF(AND(Inputs!$B$39&lt;&gt;"pvp",Inputs!$B$44=0),1,IF(IF(Inputs!$B$39="pvp",15,Inputs!$B$44)-(B1084)&lt;=0,1,MAX(0,IF(Inputs!$B$39="pvp",15,Inputs!$B$44)-MAX(5,B1084))/(IF(Inputs!$B$39="pvp",15,Inputs!$B$44)-(B1084))))*IF(AND(ArtifactsInput!$M$42,((Inputs!$B$9+((C1065=TRUE)*(F1065-Calc!F26))+B1073+(ArtifactsInput!$M$24-ArtifactsInput!$M$24)*CHOOSE(ArtifactsInput!$N$24+1,10,12,14,16,18,20)+IF(ArtifactsInput!$M$10,CHOOSE(ArtifactsInput!$N$10+1,15,18,21,24,27,30)*(IF(Inputs!$B$39="pvp",MIN(15,15)/15,IF(AND(Inputs!$B$39&lt;&gt;"pvp",Inputs!$B$44&gt;0),MIN(15,Inputs!$B$44)/(Inputs!$B$44),0))),0)))&gt;=100),CHOOSE(ArtifactsInput!$N$42+1,40,48,56,64,72,80),0))))/100)*(((1+(((C1061=TRUE)*F1061*IF(AND(Inputs!$B$39&lt;&gt;"pvp",Inputs!$B$44&gt;0),(((R1061-1)*MIN((Skills!Y22*(1+Inputs!$B$34/100)),(1/Q1061))+MIN((Skills!Y22*(1+Inputs!$B$34/100)),MAX(0,Inputs!$B$44-((R1061-1)*(1/Q1061)))))/Inputs!$B$44),IF(Inputs!$B$39="pvp",MIN((Skills!Y22*(1+Inputs!$B$34/100)),15)/15,MIN(1,(Skills!Y22*(1+Inputs!$B$34/100))/(1/Q1061)))))+((C1042=TRUE)*F1042*3)+((C1044=TRUE)*F1044*(1-EXP(-0.75*B1077*5)))+((C1063=TRUE)*(F1063-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1050=TRUE)*F1050*IF(AND(Inputs!$B$39&lt;&gt;"pvp",Inputs!$B$44&gt;0),(((R1050-1)*MIN((Skills!Y11*(1+Inputs!$B$34/100)),(1/Q1050))+MIN((Skills!Y11*(1+Inputs!$B$34/100)),MAX(0,Inputs!$B$44-((R1050-1)*(1/Q1050)))))/Inputs!$B$44),IF(Inputs!$B$39="pvp",MIN((Skills!Y11*(1+Inputs!$B$34/100)),15)/15,MIN(1,(Skills!Y11*(1+Inputs!$B$34/100))/(1/Q1050)))))/100)*(1+((C1055=TRUE)*F1055*IF(AND(Inputs!$B$39&lt;&gt;"pvp",Inputs!$B$44&gt;0),(((R1055-1)*MIN((Skills!Y16*(1+Inputs!$B$34/100)),(1/Q1055))+MIN((Skills!Y16*(1+Inputs!$B$34/100)),MAX(0,Inputs!$B$44-((R1055-1)*(1/Q1055)))))/Inputs!$B$44),IF(Inputs!$B$39="pvp",MIN((Skills!Y16*(1+Inputs!$B$34/100)),15)/15,MIN(1,(Skills!Y16*(1+Inputs!$B$34/100))/(1/Q1055)))))/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1075*I1051)</f>
        <v/>
      </c>
      <c r="L1051">
        <f>K1051*(MIN(Inputs!$B$22+((C1064=TRUE)*(F1064-Calc!F25)),(Inputs!$B$23+((C1069=TRUE)*(F1069-Calc!F30))+IF(ArtifactsInput!$M$15,CHOOSE(ArtifactsInput!$N$15+1,25,30,35,40,45,50)/100*(Inputs!$B$11-Inputs!$B$11),0)))/100+(Inputs!$B$23+((C1069=TRUE)*(F1069-Calc!F30))+IF(ArtifactsInput!$M$15,CHOOSE(ArtifactsInput!$N$15+1,25,30,35,40,45,50)/100*(Inputs!$B$11-Inputs!$B$11),0))/100)/2</f>
        <v/>
      </c>
      <c r="M1051">
        <f>L1051*(1+(Inputs!$B$10+((C1066=TRUE)*(F1066-Calc!F27))+B1080+(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1051">
        <f>L1051*(1-MIN((Inputs!$B$9+((C1065=TRUE)*(F1065-Calc!F26))+B1073+(ArtifactsInput!$M$24-ArtifactsInput!$M$24)*CHOOSE(ArtifactsInput!$N$24+1,10,12,14,16,18,20)+(IF(AND(Inputs!$B$39&lt;&gt;"pvp",Inputs!$B$44=0),1,IF(IF(Inputs!$B$39="pvp",15,Inputs!$B$44)-(B1084)&lt;=0,1,MAX(0,IF(Inputs!$B$39="pvp",15,Inputs!$B$44)-MAX(5,B1084))/(IF(Inputs!$B$39="pvp",15,Inputs!$B$44)-(B1084))))*IF(AND(ArtifactsInput!$M$42,((Inputs!$B$9+((C1065=TRUE)*(F1065-Calc!F26))+B1073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1051*(MIN((Inputs!$B$9+((C1065=TRUE)*(F1065-Calc!F26))+B1073+(ArtifactsInput!$M$24-ArtifactsInput!$M$24)*CHOOSE(ArtifactsInput!$N$24+1,10,12,14,16,18,20)+(IF(AND(Inputs!$B$39&lt;&gt;"pvp",Inputs!$B$44=0),1,IF(IF(Inputs!$B$39="pvp",15,Inputs!$B$44)-(B1084)&lt;=0,1,MAX(0,IF(Inputs!$B$39="pvp",15,Inputs!$B$44)-MAX(5,B1084))/(IF(Inputs!$B$39="pvp",15,Inputs!$B$44)-(B1084))))*IF(AND(ArtifactsInput!$M$42,((Inputs!$B$9+((C1065=TRUE)*(F1065-Calc!F26))+B1073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051">
        <f>(1-Summary!$B$11)*T1051+Summary!$B$11*V1051</f>
        <v/>
      </c>
      <c r="P1051">
        <f>IF(B1085=0,0,O1051/B1085)</f>
        <v/>
      </c>
      <c r="Q1051">
        <f>IFERROR(1/IF(Inputs!$B$39="pvp",15,MAX(0.1,Skills!D12-IF(TRUE=TRUE,Inputs!$B$32,0))),0)</f>
        <v/>
      </c>
      <c r="R1051">
        <f>IF(AND(Inputs!$B$39&lt;&gt;"pvp",Inputs!$B$44&gt;0),IF(MAX(0,Inputs!$B$44-B1084)&lt;=0,0,(INT(MAX(0,Inputs!$B$44-B1084)/IF(Inputs!$B$39="pvp",15,MAX(0.1,Skills!D12-IF(TRUE=TRUE,Inputs!$B$32,0))))+1)),0)</f>
        <v/>
      </c>
      <c r="S1051">
        <f>IFERROR(O1051/N1051,0)</f>
        <v/>
      </c>
      <c r="T1051">
        <f>IF(C1051,(H1051*N1051*IF(AND(Inputs!$B$39&lt;&gt;"pvp",Inputs!$B$44&gt;0),((Skills!G12*((R1051-1)*IF(Skills!H12&gt;0,Skills!I12/Skills!H12,1)+IF(Skills!H12&gt;0,MIN(Skills!I12,MAX(0,MAX(0,Inputs!$B$44-B1084)-((R1051-1)*IF(Inputs!$B$39="pvp",15,MAX(0.1,Skills!D12-IF(TRUE=TRUE,Inputs!$B$32,0))))))/Skills!H12,1)))/Inputs!$B$44),G1051*Q1051))*IF(Inputs!$B$39="pvp",1,1+(Inputs!$B$20+0+Skills!P12+B1074+(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Hunt"),CHOOSE(ArtifactsInput!$N$35+1,15,18,21,24,27,30)*(1-EXP(-(0.2*B1077)*5)),0)+IF(AND(ArtifactsInput!$M$22,Inputs!$B$4&lt;&gt;"Chapter Hunt"),CHOOSE(ArtifactsInput!$N$22+1,10,12,14,16,18,20)*((0*(((0.15*B1077*5))^0/1)+1*(((0.15*B1077*5))^1/1)+2*(((0.15*B1077*5))^2/2)+3*(((0.15*B1077*5))^3/6)+4*(((0.15*B1077*5))^4/24)+5*(((0.15*B1077*5))^5/120))/((((0.15*B1077*5))^0/1)+(((0.15*B1077*5))^1/1)+(((0.15*B1077*5))^2/2)+(((0.15*B1077*5))^3/6)+(((0.15*B1077*5))^4/24)+(((0.15*B1077*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1051*(1-MIN(100,(Inputs!$B$9+((C1065=TRUE)*(F1065-Calc!F26))+B1073+(ArtifactsInput!$M$24-ArtifactsInput!$M$24)*CHOOSE(ArtifactsInput!$N$24+1,10,12,14,16,18,20)+(IF(AND(Inputs!$B$39&lt;&gt;"pvp",Inputs!$B$44=0),1,IF(IF(Inputs!$B$39="pvp",15,Inputs!$B$44)-(B1084)&lt;=0,1,MAX(0,IF(Inputs!$B$39="pvp",15,Inputs!$B$44)-MAX(5,B1084))/(IF(Inputs!$B$39="pvp",15,Inputs!$B$44)-(B1084))))*IF(AND(ArtifactsInput!$M$42,((Inputs!$B$9+((C1065=TRUE)*(F1065-Calc!F26))+B1073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1051*(MIN(100,(Inputs!$B$9+((C1065=TRUE)*(F1065-Calc!F26))+B1073+(ArtifactsInput!$M$24-ArtifactsInput!$M$24)*CHOOSE(ArtifactsInput!$N$24+1,10,12,14,16,18,20)+(IF(AND(Inputs!$B$39&lt;&gt;"pvp",Inputs!$B$44=0),1,IF(IF(Inputs!$B$39="pvp",15,Inputs!$B$44)-(B1084)&lt;=0,1,MAX(0,IF(Inputs!$B$39="pvp",15,Inputs!$B$44)-MAX(5,B1084))/(IF(Inputs!$B$39="pvp",15,Inputs!$B$44)-(B1084))))*IF(AND(ArtifactsInput!$M$42,((Inputs!$B$9+((C1065=TRUE)*(F1065-Calc!F26))+B1073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1051*(1-MIN(100,(Inputs!$B$9+((C1065=TRUE)*(F1065-Calc!F26))+B1073+(ArtifactsInput!$M$24-ArtifactsInput!$M$24)*CHOOSE(ArtifactsInput!$N$24+1,10,12,14,16,18,20)+(IF(AND(Inputs!$B$39&lt;&gt;"pvp",Inputs!$B$44=0),1,IF(IF(Inputs!$B$39="pvp",15,Inputs!$B$44)-(B1084)&lt;=0,1,MAX(0,IF(Inputs!$B$39="pvp",15,Inputs!$B$44)-MAX(5,B1084))/(IF(Inputs!$B$39="pvp",15,Inputs!$B$44)-(B1084))))*IF(AND(ArtifactsInput!$M$42,((Inputs!$B$9+((C1065=TRUE)*(F1065-Calc!F26))+B1073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1051*(MIN(100,(Inputs!$B$9+((C1065=TRUE)*(F1065-Calc!F26))+B1073+(ArtifactsInput!$M$24-ArtifactsInput!$M$24)*CHOOSE(ArtifactsInput!$N$24+1,10,12,14,16,18,20)+(IF(AND(Inputs!$B$39&lt;&gt;"pvp",Inputs!$B$44=0),1,IF(IF(Inputs!$B$39="pvp",15,Inputs!$B$44)-(B1084)&lt;=0,1,MAX(0,IF(Inputs!$B$39="pvp",15,Inputs!$B$44)-MAX(5,B1084))/(IF(Inputs!$B$39="pvp",15,Inputs!$B$44)-(B1084))))*IF(AND(ArtifactsInput!$M$42,((Inputs!$B$9+((C1065=TRUE)*(F1065-Calc!F26))+B1073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1051">
        <f>IF(C1051,(H1051*N1051*IF(AND(Inputs!$B$39&lt;&gt;"pvp",Inputs!$B$44&gt;0),((Skills!G12*((R1051-1)*IF(Skills!H12&gt;0,Skills!I12/Skills!H12,1)+IF(Skills!H12&gt;0,MIN(Skills!I12,MAX(0,MAX(0,Inputs!$B$44-B1084)-((R1051-1)*IF(Inputs!$B$39="pvp",15,MAX(0.1,Skills!D12-IF(TRUE=TRUE,Inputs!$B$32,0))))))/Skills!H12,1)))/Inputs!$B$44),G1051*Q1051))*IF(Inputs!$B$39="pvp",1,(1+(Inputs!$B$21+Skills!Q12+B1074+(IF(ArtifactsInput!$M$33,CHOOSE(ArtifactsInput!$N$33+1,30,36,42,48,54,60),0))+(IF(AND(ArtifactsInput!$M$35,Inputs!$B$4&lt;&gt;"Chapter Hunt"),CHOOSE(ArtifactsInput!$N$35+1,15,18,21,24,27,30)*(1-EXP(-(0.2*B1077)*5)),0)+IF(AND(ArtifactsInput!$M$22,Inputs!$B$4&lt;&gt;"Chapter Hunt"),CHOOSE(ArtifactsInput!$N$22+1,10,12,14,16,18,20)*((0*(((0.15*B1077*5))^0/1)+1*(((0.15*B1077*5))^1/1)+2*(((0.15*B1077*5))^2/2)+3*(((0.15*B1077*5))^3/6)+4*(((0.15*B1077*5))^4/24)+5*(((0.15*B1077*5))^5/120))/((((0.15*B1077*5))^0/1)+(((0.15*B1077*5))^1/1)+(((0.15*B1077*5))^2/2)+(((0.15*B1077*5))^3/6)+(((0.15*B1077*5))^4/24)+(((0.15*B1077*5))^5/120))),0)))/100)*(MIN(Skills!W12,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052">
      <c r="A1052">
        <f>Skills!A13</f>
        <v/>
      </c>
      <c r="B1052">
        <f>Skills!B13</f>
        <v/>
      </c>
      <c r="C1052">
        <f>Inputs!$B$3&gt;=105</f>
        <v/>
      </c>
      <c r="D1052">
        <f>IF(Skills!C13=1,60+Inputs!$B$25+Inputs!$B$29,IF(Skills!C13=2,90+Inputs!$B$26+Inputs!$B$29,IF(Skills!C13=3,120+Inputs!$B$27+Inputs!$B$29,MAX(0,(Inputs!$B$3-100)*3)+(Inputs!$B$28+1)+Inputs!$B$29)))</f>
        <v/>
      </c>
      <c r="E1052">
        <f>INDEX(FactorTable!$B$2:$Y$301, MATCH(ROUND(MIN(300,MAX(1,D1052)),0), FactorTable!$A$2:$A$301,0), Skills!M13+1)</f>
        <v/>
      </c>
      <c r="F1052">
        <f>IF(Skills!N13=TRUE,(Skills!L13/10)*(E1052/1000),Skills!L13/10)+Skills!O13</f>
        <v/>
      </c>
      <c r="G1052">
        <f>Skills!G13*IF(Skills!H13&gt;0,IF(Inputs!$B$39="pvp",MIN(Skills!I13,15),Skills!I13)/Skills!H13,1)</f>
        <v/>
      </c>
      <c r="H1052">
        <f>1-(1-Skills!J13/100)^Skills!K13</f>
        <v/>
      </c>
      <c r="I1052" t="inlineStr">
        <is>
          <t>1</t>
        </is>
      </c>
      <c r="J1052">
        <f>((Inputs!$B$6*(1+Inputs!$B$7/100))+(((Inputs!$B$12*(1+Inputs!$B$13/100))-(Inputs!$B$12*(1+Inputs!$B$13/100)))+0.25*(Inputs!$B$14-Inputs!$B$14))*(1+Inputs!$B$7/100))*(F1052/100)</f>
        <v/>
      </c>
      <c r="K1052">
        <f>J1052*(1+((Inputs!$B$12*(1+Inputs!$B$13/100))*0.01+Inputs!$B$14*0.0025)/100)*(1+Inputs!$B$15/100)*(1+Inputs!$B$16/100)*(5000/(6000+Inputs!$B$43*(1-(100*(1-(1-Inputs!$B$19/100)*(1-CHOOSE(ArtifactsInput!$N$40+1,5,6,7,8,9,10)/100)^(ArtifactsInput!$M$40-ArtifactsInput!$M$40)))/100)))*(1+(Inputs!$B$24+((C1070=TRUE)*(F1070-Calc!F31))+((C1057=TRUE)*(F1057-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13="CRUEL_STAB",Inputs!$B$17+((C1067=TRUE)*(F1067-Calc!F28))+((IF(AND(Inputs!$B$39&lt;&gt;"pvp",Inputs!$B$44=0),1,IF(IF(Inputs!$B$39="pvp",15,Inputs!$B$44)-(B1084)&lt;=0,1,MAX(0,IF(Inputs!$B$39="pvp",15,Inputs!$B$44)-MAX(5,B1084))/(IF(Inputs!$B$39="pvp",15,Inputs!$B$44)-(B1084))))*(IF(AND(ArtifactsInput!$M$42,((Inputs!$B$9+((C1065=TRUE)*(F1065-Calc!F26))+B1073+(ArtifactsInput!$M$24-ArtifactsInput!$M$24)*CHOOSE(ArtifactsInput!$N$24+1,10,12,14,16,18,20)+IF(ArtifactsInput!$M$10,CHOOSE(ArtifactsInput!$N$10+1,15,18,21,24,27,30)*(IF(Inputs!$B$39="pvp",MIN(15,15)/15,IF(AND(Inputs!$B$39&lt;&gt;"pvp",Inputs!$B$44&gt;0),MIN(15,Inputs!$B$44)/(Inputs!$B$44),0))),0)))&gt;=100),MIN(100,((Inputs!$B$9+((C1065=TRUE)*(F1065-Calc!F26))+B1073+(ArtifactsInput!$M$24-ArtifactsInput!$M$24)*CHOOSE(ArtifactsInput!$N$24+1,10,12,14,16,18,20)+IF(ArtifactsInput!$M$10,CHOOSE(ArtifactsInput!$N$10+1,15,18,21,24,27,30)*(IF(Inputs!$B$39="pvp",MIN(15,15)/15,IF(AND(Inputs!$B$39&lt;&gt;"pvp",Inputs!$B$44&gt;0),MIN(15,Inputs!$B$44)/(Inputs!$B$44),0))),0)))-100),0))*CHOOSE(ArtifactsInput!$N$42+1,0.6,0.72,0.84,0.96,1.08,1.2))),Inputs!$B$18+((C1068=TRUE)*(F1068-Calc!F29))+(IF(AND(Inputs!$B$39&lt;&gt;"pvp",Inputs!$B$44=0),1,IF(IF(Inputs!$B$39="pvp",15,Inputs!$B$44)-(B1084)&lt;=0,1,MAX(0,IF(Inputs!$B$39="pvp",15,Inputs!$B$44)-MAX(5,B1084))/(IF(Inputs!$B$39="pvp",15,Inputs!$B$44)-(B1084))))*IF(AND(ArtifactsInput!$M$42,((Inputs!$B$9+((C1065=TRUE)*(F1065-Calc!F26))+B1073+(ArtifactsInput!$M$24-ArtifactsInput!$M$24)*CHOOSE(ArtifactsInput!$N$24+1,10,12,14,16,18,20)+IF(ArtifactsInput!$M$10,CHOOSE(ArtifactsInput!$N$10+1,15,18,21,24,27,30)*(IF(Inputs!$B$39="pvp",MIN(15,15)/15,IF(AND(Inputs!$B$39&lt;&gt;"pvp",Inputs!$B$44&gt;0),MIN(15,Inputs!$B$44)/(Inputs!$B$44),0))),0)))&gt;=100),CHOOSE(ArtifactsInput!$N$42+1,40,48,56,64,72,80),0))))/100)*(((1+(((C1061=TRUE)*F1061*IF(AND(Inputs!$B$39&lt;&gt;"pvp",Inputs!$B$44&gt;0),(((R1061-1)*MIN((Skills!Y22*(1+Inputs!$B$34/100)),(1/Q1061))+MIN((Skills!Y22*(1+Inputs!$B$34/100)),MAX(0,Inputs!$B$44-((R1061-1)*(1/Q1061)))))/Inputs!$B$44),IF(Inputs!$B$39="pvp",MIN((Skills!Y22*(1+Inputs!$B$34/100)),15)/15,MIN(1,(Skills!Y22*(1+Inputs!$B$34/100))/(1/Q1061)))))+((C1042=TRUE)*F1042*3)+((C1044=TRUE)*F1044*(1-EXP(-0.75*B1077*5)))+((C1063=TRUE)*(F1063-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1050=TRUE)*F1050*IF(AND(Inputs!$B$39&lt;&gt;"pvp",Inputs!$B$44&gt;0),(((R1050-1)*MIN((Skills!Y11*(1+Inputs!$B$34/100)),(1/Q1050))+MIN((Skills!Y11*(1+Inputs!$B$34/100)),MAX(0,Inputs!$B$44-((R1050-1)*(1/Q1050)))))/Inputs!$B$44),IF(Inputs!$B$39="pvp",MIN((Skills!Y11*(1+Inputs!$B$34/100)),15)/15,MIN(1,(Skills!Y11*(1+Inputs!$B$34/100))/(1/Q1050)))))/100)*(1+((C1055=TRUE)*F1055*IF(AND(Inputs!$B$39&lt;&gt;"pvp",Inputs!$B$44&gt;0),(((R1055-1)*MIN((Skills!Y16*(1+Inputs!$B$34/100)),(1/Q1055))+MIN((Skills!Y16*(1+Inputs!$B$34/100)),MAX(0,Inputs!$B$44-((R1055-1)*(1/Q1055)))))/Inputs!$B$44),IF(Inputs!$B$39="pvp",MIN((Skills!Y16*(1+Inputs!$B$34/100)),15)/15,MIN(1,(Skills!Y16*(1+Inputs!$B$34/100))/(1/Q1055)))))/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1075*I1052)</f>
        <v/>
      </c>
      <c r="L1052">
        <f>K1052*(MIN(Inputs!$B$22+((C1064=TRUE)*(F1064-Calc!F25)),(Inputs!$B$23+((C1069=TRUE)*(F1069-Calc!F30))+IF(ArtifactsInput!$M$15,CHOOSE(ArtifactsInput!$N$15+1,25,30,35,40,45,50)/100*(Inputs!$B$11-Inputs!$B$11),0)))/100+(Inputs!$B$23+((C1069=TRUE)*(F1069-Calc!F30))+IF(ArtifactsInput!$M$15,CHOOSE(ArtifactsInput!$N$15+1,25,30,35,40,45,50)/100*(Inputs!$B$11-Inputs!$B$11),0))/100)/2</f>
        <v/>
      </c>
      <c r="M1052">
        <f>L1052*(1+(Inputs!$B$10+((C1066=TRUE)*(F1066-Calc!F27))+B1080+(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1052">
        <f>L1052*(1-MIN((Inputs!$B$9+((C1065=TRUE)*(F1065-Calc!F26))+B1073+(ArtifactsInput!$M$24-ArtifactsInput!$M$24)*CHOOSE(ArtifactsInput!$N$24+1,10,12,14,16,18,20)+(IF(AND(Inputs!$B$39&lt;&gt;"pvp",Inputs!$B$44=0),1,IF(IF(Inputs!$B$39="pvp",15,Inputs!$B$44)-(B1084)&lt;=0,1,MAX(0,IF(Inputs!$B$39="pvp",15,Inputs!$B$44)-MAX(5,B1084))/(IF(Inputs!$B$39="pvp",15,Inputs!$B$44)-(B1084))))*IF(AND(ArtifactsInput!$M$42,((Inputs!$B$9+((C1065=TRUE)*(F1065-Calc!F26))+B1073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1052*(MIN((Inputs!$B$9+((C1065=TRUE)*(F1065-Calc!F26))+B1073+(ArtifactsInput!$M$24-ArtifactsInput!$M$24)*CHOOSE(ArtifactsInput!$N$24+1,10,12,14,16,18,20)+(IF(AND(Inputs!$B$39&lt;&gt;"pvp",Inputs!$B$44=0),1,IF(IF(Inputs!$B$39="pvp",15,Inputs!$B$44)-(B1084)&lt;=0,1,MAX(0,IF(Inputs!$B$39="pvp",15,Inputs!$B$44)-MAX(5,B1084))/(IF(Inputs!$B$39="pvp",15,Inputs!$B$44)-(B1084))))*IF(AND(ArtifactsInput!$M$42,((Inputs!$B$9+((C1065=TRUE)*(F1065-Calc!F26))+B1073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052">
        <f>(1-Summary!$B$11)*T1052+Summary!$B$11*V1052</f>
        <v/>
      </c>
      <c r="P1052">
        <f>IF(B1085=0,0,O1052/B1085)</f>
        <v/>
      </c>
      <c r="Q1052">
        <f>IFERROR(1/IF(Inputs!$B$39="pvp",15,MAX(0.1,Skills!D13-IF(TRUE=TRUE,Inputs!$B$32,0))),0)</f>
        <v/>
      </c>
      <c r="R1052">
        <f>IF(AND(Inputs!$B$39&lt;&gt;"pvp",Inputs!$B$44&gt;0),IF(MAX(0,Inputs!$B$44-B1084)&lt;=0,0,(INT(MAX(0,Inputs!$B$44-B1084)/IF(Inputs!$B$39="pvp",15,MAX(0.1,Skills!D13-IF(TRUE=TRUE,Inputs!$B$32,0))))+1)),0)</f>
        <v/>
      </c>
      <c r="S1052">
        <f>IFERROR(O1052/N1052,0)</f>
        <v/>
      </c>
      <c r="T1052">
        <f>IF(C1052,(H1052*N1052*IF(AND(Inputs!$B$39&lt;&gt;"pvp",Inputs!$B$44&gt;0),((Skills!G13*((R1052-1)*IF(Skills!H13&gt;0,Skills!I13/Skills!H13,1)+IF(Skills!H13&gt;0,MIN(Skills!I13,MAX(0,MAX(0,Inputs!$B$44-B1084)-((R1052-1)*IF(Inputs!$B$39="pvp",15,MAX(0.1,Skills!D13-IF(TRUE=TRUE,Inputs!$B$32,0))))))/Skills!H13,1)))/Inputs!$B$44),G1052*Q1052))*IF(Inputs!$B$39="pvp",1,1+(Inputs!$B$20+0+Skills!P13+B1074+(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Hunt"),CHOOSE(ArtifactsInput!$N$35+1,15,18,21,24,27,30)*(1-EXP(-(0.2*B1077)*5)),0)+IF(AND(ArtifactsInput!$M$22,Inputs!$B$4&lt;&gt;"Chapter Hunt"),CHOOSE(ArtifactsInput!$N$22+1,10,12,14,16,18,20)*((0*(((0.15*B1077*5))^0/1)+1*(((0.15*B1077*5))^1/1)+2*(((0.15*B1077*5))^2/2)+3*(((0.15*B1077*5))^3/6)+4*(((0.15*B1077*5))^4/24)+5*(((0.15*B1077*5))^5/120))/((((0.15*B1077*5))^0/1)+(((0.15*B1077*5))^1/1)+(((0.15*B1077*5))^2/2)+(((0.15*B1077*5))^3/6)+(((0.15*B1077*5))^4/24)+(((0.15*B1077*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1052*(1-MIN(100,(Inputs!$B$9+((C1065=TRUE)*(F1065-Calc!F26))+B1073+(ArtifactsInput!$M$24-ArtifactsInput!$M$24)*CHOOSE(ArtifactsInput!$N$24+1,10,12,14,16,18,20)+(IF(AND(Inputs!$B$39&lt;&gt;"pvp",Inputs!$B$44=0),1,IF(IF(Inputs!$B$39="pvp",15,Inputs!$B$44)-(B1084)&lt;=0,1,MAX(0,IF(Inputs!$B$39="pvp",15,Inputs!$B$44)-MAX(5,B1084))/(IF(Inputs!$B$39="pvp",15,Inputs!$B$44)-(B1084))))*IF(AND(ArtifactsInput!$M$42,((Inputs!$B$9+((C1065=TRUE)*(F1065-Calc!F26))+B1073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1052*(MIN(100,(Inputs!$B$9+((C1065=TRUE)*(F1065-Calc!F26))+B1073+(ArtifactsInput!$M$24-ArtifactsInput!$M$24)*CHOOSE(ArtifactsInput!$N$24+1,10,12,14,16,18,20)+(IF(AND(Inputs!$B$39&lt;&gt;"pvp",Inputs!$B$44=0),1,IF(IF(Inputs!$B$39="pvp",15,Inputs!$B$44)-(B1084)&lt;=0,1,MAX(0,IF(Inputs!$B$39="pvp",15,Inputs!$B$44)-MAX(5,B1084))/(IF(Inputs!$B$39="pvp",15,Inputs!$B$44)-(B1084))))*IF(AND(ArtifactsInput!$M$42,((Inputs!$B$9+((C1065=TRUE)*(F1065-Calc!F26))+B1073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1052*(1-MIN(100,(Inputs!$B$9+((C1065=TRUE)*(F1065-Calc!F26))+B1073+(ArtifactsInput!$M$24-ArtifactsInput!$M$24)*CHOOSE(ArtifactsInput!$N$24+1,10,12,14,16,18,20)+(IF(AND(Inputs!$B$39&lt;&gt;"pvp",Inputs!$B$44=0),1,IF(IF(Inputs!$B$39="pvp",15,Inputs!$B$44)-(B1084)&lt;=0,1,MAX(0,IF(Inputs!$B$39="pvp",15,Inputs!$B$44)-MAX(5,B1084))/(IF(Inputs!$B$39="pvp",15,Inputs!$B$44)-(B1084))))*IF(AND(ArtifactsInput!$M$42,((Inputs!$B$9+((C1065=TRUE)*(F1065-Calc!F26))+B1073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1052*(MIN(100,(Inputs!$B$9+((C1065=TRUE)*(F1065-Calc!F26))+B1073+(ArtifactsInput!$M$24-ArtifactsInput!$M$24)*CHOOSE(ArtifactsInput!$N$24+1,10,12,14,16,18,20)+(IF(AND(Inputs!$B$39&lt;&gt;"pvp",Inputs!$B$44=0),1,IF(IF(Inputs!$B$39="pvp",15,Inputs!$B$44)-(B1084)&lt;=0,1,MAX(0,IF(Inputs!$B$39="pvp",15,Inputs!$B$44)-MAX(5,B1084))/(IF(Inputs!$B$39="pvp",15,Inputs!$B$44)-(B1084))))*IF(AND(ArtifactsInput!$M$42,((Inputs!$B$9+((C1065=TRUE)*(F1065-Calc!F26))+B1073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1052">
        <f>IF(C1052,(H1052*N1052*IF(AND(Inputs!$B$39&lt;&gt;"pvp",Inputs!$B$44&gt;0),((Skills!G13*((R1052-1)*IF(Skills!H13&gt;0,Skills!I13/Skills!H13,1)+IF(Skills!H13&gt;0,MIN(Skills!I13,MAX(0,MAX(0,Inputs!$B$44-B1084)-((R1052-1)*IF(Inputs!$B$39="pvp",15,MAX(0.1,Skills!D13-IF(TRUE=TRUE,Inputs!$B$32,0))))))/Skills!H13,1)))/Inputs!$B$44),G1052*Q1052))*IF(Inputs!$B$39="pvp",1,(1+(Inputs!$B$21+Skills!Q13+B1074+(IF(ArtifactsInput!$M$33,CHOOSE(ArtifactsInput!$N$33+1,30,36,42,48,54,60),0))+(IF(AND(ArtifactsInput!$M$35,Inputs!$B$4&lt;&gt;"Chapter Hunt"),CHOOSE(ArtifactsInput!$N$35+1,15,18,21,24,27,30)*(1-EXP(-(0.2*B1077)*5)),0)+IF(AND(ArtifactsInput!$M$22,Inputs!$B$4&lt;&gt;"Chapter Hunt"),CHOOSE(ArtifactsInput!$N$22+1,10,12,14,16,18,20)*((0*(((0.15*B1077*5))^0/1)+1*(((0.15*B1077*5))^1/1)+2*(((0.15*B1077*5))^2/2)+3*(((0.15*B1077*5))^3/6)+4*(((0.15*B1077*5))^4/24)+5*(((0.15*B1077*5))^5/120))/((((0.15*B1077*5))^0/1)+(((0.15*B1077*5))^1/1)+(((0.15*B1077*5))^2/2)+(((0.15*B1077*5))^3/6)+(((0.15*B1077*5))^4/24)+(((0.15*B1077*5))^5/120))),0)))/100)*(MIN(Skills!W13,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053">
      <c r="A1053">
        <f>Skills!A14</f>
        <v/>
      </c>
      <c r="B1053">
        <f>Skills!B14</f>
        <v/>
      </c>
      <c r="C1053">
        <f>Inputs!$B$3&gt;=105</f>
        <v/>
      </c>
      <c r="D1053">
        <f>IF(Skills!C14=1,60+Inputs!$B$25+Inputs!$B$29,IF(Skills!C14=2,90+Inputs!$B$26+Inputs!$B$29,IF(Skills!C14=3,120+Inputs!$B$27+Inputs!$B$29,MAX(0,(Inputs!$B$3-100)*3)+(Inputs!$B$28+1)+Inputs!$B$29)))</f>
        <v/>
      </c>
      <c r="E1053">
        <f>INDEX(FactorTable!$B$2:$Y$301, MATCH(ROUND(MIN(300,MAX(1,D1053)),0), FactorTable!$A$2:$A$301,0), Skills!M14+1)</f>
        <v/>
      </c>
      <c r="F1053">
        <f>IF(Skills!N14=TRUE,(Skills!L14/10)*(E1053/1000),Skills!L14/10)+Skills!O14</f>
        <v/>
      </c>
      <c r="G1053">
        <f>Skills!G14*IF(Skills!H14&gt;0,IF(Inputs!$B$39="pvp",MIN(Skills!I14,15),Skills!I14)/Skills!H14,1)</f>
        <v/>
      </c>
      <c r="H1053">
        <f>1-(1-Skills!J14/100)^Skills!K14</f>
        <v/>
      </c>
      <c r="I1053" t="inlineStr">
        <is>
          <t>1</t>
        </is>
      </c>
      <c r="J1053">
        <f>((Inputs!$B$6*(1+Inputs!$B$7/100))+(((Inputs!$B$12*(1+Inputs!$B$13/100))-(Inputs!$B$12*(1+Inputs!$B$13/100)))+0.25*(Inputs!$B$14-Inputs!$B$14))*(1+Inputs!$B$7/100))*(F1053/100)</f>
        <v/>
      </c>
      <c r="K1053">
        <f>J1053*(1+((Inputs!$B$12*(1+Inputs!$B$13/100))*0.01+Inputs!$B$14*0.0025)/100)*(1+Inputs!$B$15/100)*(1+Inputs!$B$16/100)*(5000/(6000+Inputs!$B$43*(1-(100*(1-(1-Inputs!$B$19/100)*(1-CHOOSE(ArtifactsInput!$N$40+1,5,6,7,8,9,10)/100)^(ArtifactsInput!$M$40-ArtifactsInput!$M$40)))/100)))*(1+(Inputs!$B$24+((C1070=TRUE)*(F1070-Calc!F31))+((C1057=TRUE)*(F1057-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14="CRUEL_STAB",Inputs!$B$17+((C1067=TRUE)*(F1067-Calc!F28))+((IF(AND(Inputs!$B$39&lt;&gt;"pvp",Inputs!$B$44=0),1,IF(IF(Inputs!$B$39="pvp",15,Inputs!$B$44)-(B1084)&lt;=0,1,MAX(0,IF(Inputs!$B$39="pvp",15,Inputs!$B$44)-MAX(5,B1084))/(IF(Inputs!$B$39="pvp",15,Inputs!$B$44)-(B1084))))*(IF(AND(ArtifactsInput!$M$42,((Inputs!$B$9+((C1065=TRUE)*(F1065-Calc!F26))+B1073+(ArtifactsInput!$M$24-ArtifactsInput!$M$24)*CHOOSE(ArtifactsInput!$N$24+1,10,12,14,16,18,20)+IF(ArtifactsInput!$M$10,CHOOSE(ArtifactsInput!$N$10+1,15,18,21,24,27,30)*(IF(Inputs!$B$39="pvp",MIN(15,15)/15,IF(AND(Inputs!$B$39&lt;&gt;"pvp",Inputs!$B$44&gt;0),MIN(15,Inputs!$B$44)/(Inputs!$B$44),0))),0)))&gt;=100),MIN(100,((Inputs!$B$9+((C1065=TRUE)*(F1065-Calc!F26))+B1073+(ArtifactsInput!$M$24-ArtifactsInput!$M$24)*CHOOSE(ArtifactsInput!$N$24+1,10,12,14,16,18,20)+IF(ArtifactsInput!$M$10,CHOOSE(ArtifactsInput!$N$10+1,15,18,21,24,27,30)*(IF(Inputs!$B$39="pvp",MIN(15,15)/15,IF(AND(Inputs!$B$39&lt;&gt;"pvp",Inputs!$B$44&gt;0),MIN(15,Inputs!$B$44)/(Inputs!$B$44),0))),0)))-100),0))*CHOOSE(ArtifactsInput!$N$42+1,0.6,0.72,0.84,0.96,1.08,1.2))),Inputs!$B$18+((C1068=TRUE)*(F1068-Calc!F29))+(IF(AND(Inputs!$B$39&lt;&gt;"pvp",Inputs!$B$44=0),1,IF(IF(Inputs!$B$39="pvp",15,Inputs!$B$44)-(B1084)&lt;=0,1,MAX(0,IF(Inputs!$B$39="pvp",15,Inputs!$B$44)-MAX(5,B1084))/(IF(Inputs!$B$39="pvp",15,Inputs!$B$44)-(B1084))))*IF(AND(ArtifactsInput!$M$42,((Inputs!$B$9+((C1065=TRUE)*(F1065-Calc!F26))+B1073+(ArtifactsInput!$M$24-ArtifactsInput!$M$24)*CHOOSE(ArtifactsInput!$N$24+1,10,12,14,16,18,20)+IF(ArtifactsInput!$M$10,CHOOSE(ArtifactsInput!$N$10+1,15,18,21,24,27,30)*(IF(Inputs!$B$39="pvp",MIN(15,15)/15,IF(AND(Inputs!$B$39&lt;&gt;"pvp",Inputs!$B$44&gt;0),MIN(15,Inputs!$B$44)/(Inputs!$B$44),0))),0)))&gt;=100),CHOOSE(ArtifactsInput!$N$42+1,40,48,56,64,72,80),0))))/100)*(((1+(((C1061=TRUE)*F1061*IF(AND(Inputs!$B$39&lt;&gt;"pvp",Inputs!$B$44&gt;0),(((R1061-1)*MIN((Skills!Y22*(1+Inputs!$B$34/100)),(1/Q1061))+MIN((Skills!Y22*(1+Inputs!$B$34/100)),MAX(0,Inputs!$B$44-((R1061-1)*(1/Q1061)))))/Inputs!$B$44),IF(Inputs!$B$39="pvp",MIN((Skills!Y22*(1+Inputs!$B$34/100)),15)/15,MIN(1,(Skills!Y22*(1+Inputs!$B$34/100))/(1/Q1061)))))+((C1042=TRUE)*F1042*3)+((C1044=TRUE)*F1044*(1-EXP(-0.75*B1077*5)))+((C1063=TRUE)*(F1063-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1050=TRUE)*F1050*IF(AND(Inputs!$B$39&lt;&gt;"pvp",Inputs!$B$44&gt;0),(((R1050-1)*MIN((Skills!Y11*(1+Inputs!$B$34/100)),(1/Q1050))+MIN((Skills!Y11*(1+Inputs!$B$34/100)),MAX(0,Inputs!$B$44-((R1050-1)*(1/Q1050)))))/Inputs!$B$44),IF(Inputs!$B$39="pvp",MIN((Skills!Y11*(1+Inputs!$B$34/100)),15)/15,MIN(1,(Skills!Y11*(1+Inputs!$B$34/100))/(1/Q1050)))))/100)*(1+((C1055=TRUE)*F1055*IF(AND(Inputs!$B$39&lt;&gt;"pvp",Inputs!$B$44&gt;0),(((R1055-1)*MIN((Skills!Y16*(1+Inputs!$B$34/100)),(1/Q1055))+MIN((Skills!Y16*(1+Inputs!$B$34/100)),MAX(0,Inputs!$B$44-((R1055-1)*(1/Q1055)))))/Inputs!$B$44),IF(Inputs!$B$39="pvp",MIN((Skills!Y16*(1+Inputs!$B$34/100)),15)/15,MIN(1,(Skills!Y16*(1+Inputs!$B$34/100))/(1/Q1055)))))/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1075*I1053)</f>
        <v/>
      </c>
      <c r="L1053">
        <f>K1053*(MIN(Inputs!$B$22+((C1064=TRUE)*(F1064-Calc!F25)),(Inputs!$B$23+((C1069=TRUE)*(F1069-Calc!F30))+IF(ArtifactsInput!$M$15,CHOOSE(ArtifactsInput!$N$15+1,25,30,35,40,45,50)/100*(Inputs!$B$11-Inputs!$B$11),0)))/100+(Inputs!$B$23+((C1069=TRUE)*(F1069-Calc!F30))+IF(ArtifactsInput!$M$15,CHOOSE(ArtifactsInput!$N$15+1,25,30,35,40,45,50)/100*(Inputs!$B$11-Inputs!$B$11),0))/100)/2</f>
        <v/>
      </c>
      <c r="M1053">
        <f>L1053*(1+(Inputs!$B$10+((C1066=TRUE)*(F1066-Calc!F27))+B1080+(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1053">
        <f>L1053*(1-MIN((Inputs!$B$9+((C1065=TRUE)*(F1065-Calc!F26))+B1073+(ArtifactsInput!$M$24-ArtifactsInput!$M$24)*CHOOSE(ArtifactsInput!$N$24+1,10,12,14,16,18,20)+(IF(AND(Inputs!$B$39&lt;&gt;"pvp",Inputs!$B$44=0),1,IF(IF(Inputs!$B$39="pvp",15,Inputs!$B$44)-(B1084)&lt;=0,1,MAX(0,IF(Inputs!$B$39="pvp",15,Inputs!$B$44)-MAX(5,B1084))/(IF(Inputs!$B$39="pvp",15,Inputs!$B$44)-(B1084))))*IF(AND(ArtifactsInput!$M$42,((Inputs!$B$9+((C1065=TRUE)*(F1065-Calc!F26))+B1073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1053*(MIN((Inputs!$B$9+((C1065=TRUE)*(F1065-Calc!F26))+B1073+(ArtifactsInput!$M$24-ArtifactsInput!$M$24)*CHOOSE(ArtifactsInput!$N$24+1,10,12,14,16,18,20)+(IF(AND(Inputs!$B$39&lt;&gt;"pvp",Inputs!$B$44=0),1,IF(IF(Inputs!$B$39="pvp",15,Inputs!$B$44)-(B1084)&lt;=0,1,MAX(0,IF(Inputs!$B$39="pvp",15,Inputs!$B$44)-MAX(5,B1084))/(IF(Inputs!$B$39="pvp",15,Inputs!$B$44)-(B1084))))*IF(AND(ArtifactsInput!$M$42,((Inputs!$B$9+((C1065=TRUE)*(F1065-Calc!F26))+B1073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053">
        <f>(1-Summary!$B$11)*T1053+Summary!$B$11*V1053</f>
        <v/>
      </c>
      <c r="P1053">
        <f>IF(B1085=0,0,O1053/B1085)</f>
        <v/>
      </c>
      <c r="Q1053">
        <f>IFERROR(1/IF(Inputs!$B$39="pvp",15,MAX(0.1,Skills!D14-IF(TRUE=TRUE,Inputs!$B$32,0))),0)</f>
        <v/>
      </c>
      <c r="R1053">
        <f>IF(AND(Inputs!$B$39&lt;&gt;"pvp",Inputs!$B$44&gt;0),IF(MAX(0,Inputs!$B$44-B1084)&lt;=0,0,(INT(MAX(0,Inputs!$B$44-B1084)/IF(Inputs!$B$39="pvp",15,MAX(0.1,Skills!D14-IF(TRUE=TRUE,Inputs!$B$32,0))))+1)),0)</f>
        <v/>
      </c>
      <c r="S1053">
        <f>IFERROR(O1053/N1053,0)</f>
        <v/>
      </c>
      <c r="T1053">
        <f>IF(C1053,(H1053*N1053*IF(AND(Inputs!$B$39&lt;&gt;"pvp",Inputs!$B$44&gt;0),((Skills!G14*((R1053-1)*IF(Skills!H14&gt;0,Skills!I14/Skills!H14,1)+IF(Skills!H14&gt;0,MIN(Skills!I14,MAX(0,MAX(0,Inputs!$B$44-B1084)-((R1053-1)*IF(Inputs!$B$39="pvp",15,MAX(0.1,Skills!D14-IF(TRUE=TRUE,Inputs!$B$32,0))))))/Skills!H14,1)))/Inputs!$B$44),G1053*Q1053))*IF(Inputs!$B$39="pvp",1,1+(Inputs!$B$20+0+Skills!P14+B1074+(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Hunt"),CHOOSE(ArtifactsInput!$N$35+1,15,18,21,24,27,30)*(1-EXP(-(0.2*B1077)*5)),0)+IF(AND(ArtifactsInput!$M$22,Inputs!$B$4&lt;&gt;"Chapter Hunt"),CHOOSE(ArtifactsInput!$N$22+1,10,12,14,16,18,20)*((0*(((0.15*B1077*5))^0/1)+1*(((0.15*B1077*5))^1/1)+2*(((0.15*B1077*5))^2/2)+3*(((0.15*B1077*5))^3/6)+4*(((0.15*B1077*5))^4/24)+5*(((0.15*B1077*5))^5/120))/((((0.15*B1077*5))^0/1)+(((0.15*B1077*5))^1/1)+(((0.15*B1077*5))^2/2)+(((0.15*B1077*5))^3/6)+(((0.15*B1077*5))^4/24)+(((0.15*B1077*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1053*(1-MIN(100,(Inputs!$B$9+((C1065=TRUE)*(F1065-Calc!F26))+B1073+(ArtifactsInput!$M$24-ArtifactsInput!$M$24)*CHOOSE(ArtifactsInput!$N$24+1,10,12,14,16,18,20)+(IF(AND(Inputs!$B$39&lt;&gt;"pvp",Inputs!$B$44=0),1,IF(IF(Inputs!$B$39="pvp",15,Inputs!$B$44)-(B1084)&lt;=0,1,MAX(0,IF(Inputs!$B$39="pvp",15,Inputs!$B$44)-MAX(5,B1084))/(IF(Inputs!$B$39="pvp",15,Inputs!$B$44)-(B1084))))*IF(AND(ArtifactsInput!$M$42,((Inputs!$B$9+((C1065=TRUE)*(F1065-Calc!F26))+B1073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1053*(MIN(100,(Inputs!$B$9+((C1065=TRUE)*(F1065-Calc!F26))+B1073+(ArtifactsInput!$M$24-ArtifactsInput!$M$24)*CHOOSE(ArtifactsInput!$N$24+1,10,12,14,16,18,20)+(IF(AND(Inputs!$B$39&lt;&gt;"pvp",Inputs!$B$44=0),1,IF(IF(Inputs!$B$39="pvp",15,Inputs!$B$44)-(B1084)&lt;=0,1,MAX(0,IF(Inputs!$B$39="pvp",15,Inputs!$B$44)-MAX(5,B1084))/(IF(Inputs!$B$39="pvp",15,Inputs!$B$44)-(B1084))))*IF(AND(ArtifactsInput!$M$42,((Inputs!$B$9+((C1065=TRUE)*(F1065-Calc!F26))+B1073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1053*(1-MIN(100,(Inputs!$B$9+((C1065=TRUE)*(F1065-Calc!F26))+B1073+(ArtifactsInput!$M$24-ArtifactsInput!$M$24)*CHOOSE(ArtifactsInput!$N$24+1,10,12,14,16,18,20)+(IF(AND(Inputs!$B$39&lt;&gt;"pvp",Inputs!$B$44=0),1,IF(IF(Inputs!$B$39="pvp",15,Inputs!$B$44)-(B1084)&lt;=0,1,MAX(0,IF(Inputs!$B$39="pvp",15,Inputs!$B$44)-MAX(5,B1084))/(IF(Inputs!$B$39="pvp",15,Inputs!$B$44)-(B1084))))*IF(AND(ArtifactsInput!$M$42,((Inputs!$B$9+((C1065=TRUE)*(F1065-Calc!F26))+B1073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1053*(MIN(100,(Inputs!$B$9+((C1065=TRUE)*(F1065-Calc!F26))+B1073+(ArtifactsInput!$M$24-ArtifactsInput!$M$24)*CHOOSE(ArtifactsInput!$N$24+1,10,12,14,16,18,20)+(IF(AND(Inputs!$B$39&lt;&gt;"pvp",Inputs!$B$44=0),1,IF(IF(Inputs!$B$39="pvp",15,Inputs!$B$44)-(B1084)&lt;=0,1,MAX(0,IF(Inputs!$B$39="pvp",15,Inputs!$B$44)-MAX(5,B1084))/(IF(Inputs!$B$39="pvp",15,Inputs!$B$44)-(B1084))))*IF(AND(ArtifactsInput!$M$42,((Inputs!$B$9+((C1065=TRUE)*(F1065-Calc!F26))+B1073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1053">
        <f>IF(C1053,(H1053*N1053*IF(AND(Inputs!$B$39&lt;&gt;"pvp",Inputs!$B$44&gt;0),((Skills!G14*((R1053-1)*IF(Skills!H14&gt;0,Skills!I14/Skills!H14,1)+IF(Skills!H14&gt;0,MIN(Skills!I14,MAX(0,MAX(0,Inputs!$B$44-B1084)-((R1053-1)*IF(Inputs!$B$39="pvp",15,MAX(0.1,Skills!D14-IF(TRUE=TRUE,Inputs!$B$32,0))))))/Skills!H14,1)))/Inputs!$B$44),G1053*Q1053))*IF(Inputs!$B$39="pvp",1,(1+(Inputs!$B$21+Skills!Q14+B1074+(IF(ArtifactsInput!$M$33,CHOOSE(ArtifactsInput!$N$33+1,30,36,42,48,54,60),0))+(IF(AND(ArtifactsInput!$M$35,Inputs!$B$4&lt;&gt;"Chapter Hunt"),CHOOSE(ArtifactsInput!$N$35+1,15,18,21,24,27,30)*(1-EXP(-(0.2*B1077)*5)),0)+IF(AND(ArtifactsInput!$M$22,Inputs!$B$4&lt;&gt;"Chapter Hunt"),CHOOSE(ArtifactsInput!$N$22+1,10,12,14,16,18,20)*((0*(((0.15*B1077*5))^0/1)+1*(((0.15*B1077*5))^1/1)+2*(((0.15*B1077*5))^2/2)+3*(((0.15*B1077*5))^3/6)+4*(((0.15*B1077*5))^4/24)+5*(((0.15*B1077*5))^5/120))/((((0.15*B1077*5))^0/1)+(((0.15*B1077*5))^1/1)+(((0.15*B1077*5))^2/2)+(((0.15*B1077*5))^3/6)+(((0.15*B1077*5))^4/24)+(((0.15*B1077*5))^5/120))),0)))/100)*(MIN(Skills!W14,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054">
      <c r="A1054">
        <f>Skills!A15</f>
        <v/>
      </c>
      <c r="B1054">
        <f>Skills!B15</f>
        <v/>
      </c>
      <c r="C1054">
        <f>Inputs!$B$3&gt;=107</f>
        <v/>
      </c>
      <c r="D1054">
        <f>IF(Skills!C15=1,60+Inputs!$B$25+Inputs!$B$29,IF(Skills!C15=2,90+Inputs!$B$26+Inputs!$B$29,IF(Skills!C15=3,120+Inputs!$B$27+Inputs!$B$29,MAX(0,(Inputs!$B$3-100)*3)+(Inputs!$B$28+1)+Inputs!$B$29)))</f>
        <v/>
      </c>
      <c r="E1054">
        <f>INDEX(FactorTable!$B$2:$Y$301, MATCH(ROUND(MIN(300,MAX(1,D1054)),0), FactorTable!$A$2:$A$301,0), Skills!M15+1)</f>
        <v/>
      </c>
      <c r="F1054">
        <f>IF(Skills!N15=TRUE,(Skills!L15/10)*(E1054/1000),Skills!L15/10)+Skills!O15</f>
        <v/>
      </c>
      <c r="G1054">
        <f>Skills!G15*IF(Skills!H15&gt;0,IF(Inputs!$B$39="pvp",MIN(Skills!I15,15),Skills!I15)/Skills!H15,1)</f>
        <v/>
      </c>
      <c r="H1054">
        <f>1-(1-Skills!J15/100)^Skills!K15</f>
        <v/>
      </c>
      <c r="I1054" t="inlineStr">
        <is>
          <t>1</t>
        </is>
      </c>
      <c r="J1054">
        <f>((Inputs!$B$6*(1+Inputs!$B$7/100))+(((Inputs!$B$12*(1+Inputs!$B$13/100))-(Inputs!$B$12*(1+Inputs!$B$13/100)))+0.25*(Inputs!$B$14-Inputs!$B$14))*(1+Inputs!$B$7/100))*(F1054/100)</f>
        <v/>
      </c>
      <c r="K1054">
        <f>J1054*(1+((Inputs!$B$12*(1+Inputs!$B$13/100))*0.01+Inputs!$B$14*0.0025)/100)*(1+Inputs!$B$15/100)*(1+Inputs!$B$16/100)*(5000/(6000+Inputs!$B$43*(1-(100*(1-(1-Inputs!$B$19/100)*(1-CHOOSE(ArtifactsInput!$N$40+1,5,6,7,8,9,10)/100)^(ArtifactsInput!$M$40-ArtifactsInput!$M$40)))/100)))*(1+(Inputs!$B$24+((C1070=TRUE)*(F1070-Calc!F31))+((C1057=TRUE)*(F1057-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15="CRUEL_STAB",Inputs!$B$17+((C1067=TRUE)*(F1067-Calc!F28))+((IF(AND(Inputs!$B$39&lt;&gt;"pvp",Inputs!$B$44=0),1,IF(IF(Inputs!$B$39="pvp",15,Inputs!$B$44)-(B1084)&lt;=0,1,MAX(0,IF(Inputs!$B$39="pvp",15,Inputs!$B$44)-MAX(5,B1084))/(IF(Inputs!$B$39="pvp",15,Inputs!$B$44)-(B1084))))*(IF(AND(ArtifactsInput!$M$42,((Inputs!$B$9+((C1065=TRUE)*(F1065-Calc!F26))+B1073+(ArtifactsInput!$M$24-ArtifactsInput!$M$24)*CHOOSE(ArtifactsInput!$N$24+1,10,12,14,16,18,20)+IF(ArtifactsInput!$M$10,CHOOSE(ArtifactsInput!$N$10+1,15,18,21,24,27,30)*(IF(Inputs!$B$39="pvp",MIN(15,15)/15,IF(AND(Inputs!$B$39&lt;&gt;"pvp",Inputs!$B$44&gt;0),MIN(15,Inputs!$B$44)/(Inputs!$B$44),0))),0)))&gt;=100),MIN(100,((Inputs!$B$9+((C1065=TRUE)*(F1065-Calc!F26))+B1073+(ArtifactsInput!$M$24-ArtifactsInput!$M$24)*CHOOSE(ArtifactsInput!$N$24+1,10,12,14,16,18,20)+IF(ArtifactsInput!$M$10,CHOOSE(ArtifactsInput!$N$10+1,15,18,21,24,27,30)*(IF(Inputs!$B$39="pvp",MIN(15,15)/15,IF(AND(Inputs!$B$39&lt;&gt;"pvp",Inputs!$B$44&gt;0),MIN(15,Inputs!$B$44)/(Inputs!$B$44),0))),0)))-100),0))*CHOOSE(ArtifactsInput!$N$42+1,0.6,0.72,0.84,0.96,1.08,1.2))),Inputs!$B$18+((C1068=TRUE)*(F1068-Calc!F29))+(IF(AND(Inputs!$B$39&lt;&gt;"pvp",Inputs!$B$44=0),1,IF(IF(Inputs!$B$39="pvp",15,Inputs!$B$44)-(B1084)&lt;=0,1,MAX(0,IF(Inputs!$B$39="pvp",15,Inputs!$B$44)-MAX(5,B1084))/(IF(Inputs!$B$39="pvp",15,Inputs!$B$44)-(B1084))))*IF(AND(ArtifactsInput!$M$42,((Inputs!$B$9+((C1065=TRUE)*(F1065-Calc!F26))+B1073+(ArtifactsInput!$M$24-ArtifactsInput!$M$24)*CHOOSE(ArtifactsInput!$N$24+1,10,12,14,16,18,20)+IF(ArtifactsInput!$M$10,CHOOSE(ArtifactsInput!$N$10+1,15,18,21,24,27,30)*(IF(Inputs!$B$39="pvp",MIN(15,15)/15,IF(AND(Inputs!$B$39&lt;&gt;"pvp",Inputs!$B$44&gt;0),MIN(15,Inputs!$B$44)/(Inputs!$B$44),0))),0)))&gt;=100),CHOOSE(ArtifactsInput!$N$42+1,40,48,56,64,72,80),0))))/100)*(((1+(((C1061=TRUE)*F1061*IF(AND(Inputs!$B$39&lt;&gt;"pvp",Inputs!$B$44&gt;0),(((R1061-1)*MIN((Skills!Y22*(1+Inputs!$B$34/100)),(1/Q1061))+MIN((Skills!Y22*(1+Inputs!$B$34/100)),MAX(0,Inputs!$B$44-((R1061-1)*(1/Q1061)))))/Inputs!$B$44),IF(Inputs!$B$39="pvp",MIN((Skills!Y22*(1+Inputs!$B$34/100)),15)/15,MIN(1,(Skills!Y22*(1+Inputs!$B$34/100))/(1/Q1061)))))+((C1042=TRUE)*F1042*3)+((C1044=TRUE)*F1044*(1-EXP(-0.75*B1077*5)))+((C1063=TRUE)*(F1063-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1050=TRUE)*F1050*IF(AND(Inputs!$B$39&lt;&gt;"pvp",Inputs!$B$44&gt;0),(((R1050-1)*MIN((Skills!Y11*(1+Inputs!$B$34/100)),(1/Q1050))+MIN((Skills!Y11*(1+Inputs!$B$34/100)),MAX(0,Inputs!$B$44-((R1050-1)*(1/Q1050)))))/Inputs!$B$44),IF(Inputs!$B$39="pvp",MIN((Skills!Y11*(1+Inputs!$B$34/100)),15)/15,MIN(1,(Skills!Y11*(1+Inputs!$B$34/100))/(1/Q1050)))))/100)*(1+((C1055=TRUE)*F1055*IF(AND(Inputs!$B$39&lt;&gt;"pvp",Inputs!$B$44&gt;0),(((R1055-1)*MIN((Skills!Y16*(1+Inputs!$B$34/100)),(1/Q1055))+MIN((Skills!Y16*(1+Inputs!$B$34/100)),MAX(0,Inputs!$B$44-((R1055-1)*(1/Q1055)))))/Inputs!$B$44),IF(Inputs!$B$39="pvp",MIN((Skills!Y16*(1+Inputs!$B$34/100)),15)/15,MIN(1,(Skills!Y16*(1+Inputs!$B$34/100))/(1/Q1055)))))/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1075*I1054)</f>
        <v/>
      </c>
      <c r="L1054">
        <f>K1054*(MIN(Inputs!$B$22+((C1064=TRUE)*(F1064-Calc!F25)),(Inputs!$B$23+((C1069=TRUE)*(F1069-Calc!F30))+IF(ArtifactsInput!$M$15,CHOOSE(ArtifactsInput!$N$15+1,25,30,35,40,45,50)/100*(Inputs!$B$11-Inputs!$B$11),0)))/100+(Inputs!$B$23+((C1069=TRUE)*(F1069-Calc!F30))+IF(ArtifactsInput!$M$15,CHOOSE(ArtifactsInput!$N$15+1,25,30,35,40,45,50)/100*(Inputs!$B$11-Inputs!$B$11),0))/100)/2</f>
        <v/>
      </c>
      <c r="M1054">
        <f>L1054*(1+(Inputs!$B$10+((C1066=TRUE)*(F1066-Calc!F27))+B1080+(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1054">
        <f>L1054*(1-MIN((Inputs!$B$9+((C1065=TRUE)*(F1065-Calc!F26))+B1073+(ArtifactsInput!$M$24-ArtifactsInput!$M$24)*CHOOSE(ArtifactsInput!$N$24+1,10,12,14,16,18,20)+(IF(AND(Inputs!$B$39&lt;&gt;"pvp",Inputs!$B$44=0),1,IF(IF(Inputs!$B$39="pvp",15,Inputs!$B$44)-(B1084)&lt;=0,1,MAX(0,IF(Inputs!$B$39="pvp",15,Inputs!$B$44)-MAX(5,B1084))/(IF(Inputs!$B$39="pvp",15,Inputs!$B$44)-(B1084))))*IF(AND(ArtifactsInput!$M$42,((Inputs!$B$9+((C1065=TRUE)*(F1065-Calc!F26))+B1073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1054*(MIN((Inputs!$B$9+((C1065=TRUE)*(F1065-Calc!F26))+B1073+(ArtifactsInput!$M$24-ArtifactsInput!$M$24)*CHOOSE(ArtifactsInput!$N$24+1,10,12,14,16,18,20)+(IF(AND(Inputs!$B$39&lt;&gt;"pvp",Inputs!$B$44=0),1,IF(IF(Inputs!$B$39="pvp",15,Inputs!$B$44)-(B1084)&lt;=0,1,MAX(0,IF(Inputs!$B$39="pvp",15,Inputs!$B$44)-MAX(5,B1084))/(IF(Inputs!$B$39="pvp",15,Inputs!$B$44)-(B1084))))*IF(AND(ArtifactsInput!$M$42,((Inputs!$B$9+((C1065=TRUE)*(F1065-Calc!F26))+B1073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054">
        <f>(1-Summary!$B$11)*T1054+Summary!$B$11*V1054</f>
        <v/>
      </c>
      <c r="P1054">
        <f>IF(B1085=0,0,O1054/B1085)</f>
        <v/>
      </c>
      <c r="Q1054">
        <f>IFERROR(1/IF(Inputs!$B$39="pvp",15,MAX(0.1,Skills!D15-IF(TRUE=TRUE,Inputs!$B$32,0))),0)</f>
        <v/>
      </c>
      <c r="R1054">
        <f>IF(AND(Inputs!$B$39&lt;&gt;"pvp",Inputs!$B$44&gt;0),IF(MAX(0,Inputs!$B$44-B1084)&lt;=0,0,(INT(MAX(0,Inputs!$B$44-B1084)/IF(Inputs!$B$39="pvp",15,MAX(0.1,Skills!D15-IF(TRUE=TRUE,Inputs!$B$32,0))))+1)),0)</f>
        <v/>
      </c>
      <c r="S1054">
        <f>IFERROR(O1054/N1054,0)</f>
        <v/>
      </c>
      <c r="T1054">
        <f>IF(C1054,(H1054*N1054*IF(AND(Inputs!$B$39&lt;&gt;"pvp",Inputs!$B$44&gt;0),((Skills!G15*((R1054-1)*IF(Skills!H15&gt;0,Skills!I15/Skills!H15,1)+IF(Skills!H15&gt;0,MIN(Skills!I15,MAX(0,MAX(0,Inputs!$B$44-B1084)-((R1054-1)*IF(Inputs!$B$39="pvp",15,MAX(0.1,Skills!D15-IF(TRUE=TRUE,Inputs!$B$32,0))))))/Skills!H15,1)))/Inputs!$B$44),G1054*Q1054))*IF(Inputs!$B$39="pvp",1,1+(Inputs!$B$20+0+Skills!P15+B1074+(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Hunt"),CHOOSE(ArtifactsInput!$N$35+1,15,18,21,24,27,30)*(1-EXP(-(0.2*B1077)*5)),0)+IF(AND(ArtifactsInput!$M$22,Inputs!$B$4&lt;&gt;"Chapter Hunt"),CHOOSE(ArtifactsInput!$N$22+1,10,12,14,16,18,20)*((0*(((0.15*B1077*5))^0/1)+1*(((0.15*B1077*5))^1/1)+2*(((0.15*B1077*5))^2/2)+3*(((0.15*B1077*5))^3/6)+4*(((0.15*B1077*5))^4/24)+5*(((0.15*B1077*5))^5/120))/((((0.15*B1077*5))^0/1)+(((0.15*B1077*5))^1/1)+(((0.15*B1077*5))^2/2)+(((0.15*B1077*5))^3/6)+(((0.15*B1077*5))^4/24)+(((0.15*B1077*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1054*(1-MIN(100,(Inputs!$B$9+((C1065=TRUE)*(F1065-Calc!F26))+B1073+(ArtifactsInput!$M$24-ArtifactsInput!$M$24)*CHOOSE(ArtifactsInput!$N$24+1,10,12,14,16,18,20)+(IF(AND(Inputs!$B$39&lt;&gt;"pvp",Inputs!$B$44=0),1,IF(IF(Inputs!$B$39="pvp",15,Inputs!$B$44)-(B1084)&lt;=0,1,MAX(0,IF(Inputs!$B$39="pvp",15,Inputs!$B$44)-MAX(5,B1084))/(IF(Inputs!$B$39="pvp",15,Inputs!$B$44)-(B1084))))*IF(AND(ArtifactsInput!$M$42,((Inputs!$B$9+((C1065=TRUE)*(F1065-Calc!F26))+B1073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1054*(MIN(100,(Inputs!$B$9+((C1065=TRUE)*(F1065-Calc!F26))+B1073+(ArtifactsInput!$M$24-ArtifactsInput!$M$24)*CHOOSE(ArtifactsInput!$N$24+1,10,12,14,16,18,20)+(IF(AND(Inputs!$B$39&lt;&gt;"pvp",Inputs!$B$44=0),1,IF(IF(Inputs!$B$39="pvp",15,Inputs!$B$44)-(B1084)&lt;=0,1,MAX(0,IF(Inputs!$B$39="pvp",15,Inputs!$B$44)-MAX(5,B1084))/(IF(Inputs!$B$39="pvp",15,Inputs!$B$44)-(B1084))))*IF(AND(ArtifactsInput!$M$42,((Inputs!$B$9+((C1065=TRUE)*(F1065-Calc!F26))+B1073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1054*(1-MIN(100,(Inputs!$B$9+((C1065=TRUE)*(F1065-Calc!F26))+B1073+(ArtifactsInput!$M$24-ArtifactsInput!$M$24)*CHOOSE(ArtifactsInput!$N$24+1,10,12,14,16,18,20)+(IF(AND(Inputs!$B$39&lt;&gt;"pvp",Inputs!$B$44=0),1,IF(IF(Inputs!$B$39="pvp",15,Inputs!$B$44)-(B1084)&lt;=0,1,MAX(0,IF(Inputs!$B$39="pvp",15,Inputs!$B$44)-MAX(5,B1084))/(IF(Inputs!$B$39="pvp",15,Inputs!$B$44)-(B1084))))*IF(AND(ArtifactsInput!$M$42,((Inputs!$B$9+((C1065=TRUE)*(F1065-Calc!F26))+B1073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1054*(MIN(100,(Inputs!$B$9+((C1065=TRUE)*(F1065-Calc!F26))+B1073+(ArtifactsInput!$M$24-ArtifactsInput!$M$24)*CHOOSE(ArtifactsInput!$N$24+1,10,12,14,16,18,20)+(IF(AND(Inputs!$B$39&lt;&gt;"pvp",Inputs!$B$44=0),1,IF(IF(Inputs!$B$39="pvp",15,Inputs!$B$44)-(B1084)&lt;=0,1,MAX(0,IF(Inputs!$B$39="pvp",15,Inputs!$B$44)-MAX(5,B1084))/(IF(Inputs!$B$39="pvp",15,Inputs!$B$44)-(B1084))))*IF(AND(ArtifactsInput!$M$42,((Inputs!$B$9+((C1065=TRUE)*(F1065-Calc!F26))+B1073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1054">
        <f>IF(C1054,(H1054*N1054*IF(AND(Inputs!$B$39&lt;&gt;"pvp",Inputs!$B$44&gt;0),((Skills!G15*((R1054-1)*IF(Skills!H15&gt;0,Skills!I15/Skills!H15,1)+IF(Skills!H15&gt;0,MIN(Skills!I15,MAX(0,MAX(0,Inputs!$B$44-B1084)-((R1054-1)*IF(Inputs!$B$39="pvp",15,MAX(0.1,Skills!D15-IF(TRUE=TRUE,Inputs!$B$32,0))))))/Skills!H15,1)))/Inputs!$B$44),G1054*Q1054))*IF(Inputs!$B$39="pvp",1,(1+(Inputs!$B$21+Skills!Q15+B1074+(IF(ArtifactsInput!$M$33,CHOOSE(ArtifactsInput!$N$33+1,30,36,42,48,54,60),0))+(IF(AND(ArtifactsInput!$M$35,Inputs!$B$4&lt;&gt;"Chapter Hunt"),CHOOSE(ArtifactsInput!$N$35+1,15,18,21,24,27,30)*(1-EXP(-(0.2*B1077)*5)),0)+IF(AND(ArtifactsInput!$M$22,Inputs!$B$4&lt;&gt;"Chapter Hunt"),CHOOSE(ArtifactsInput!$N$22+1,10,12,14,16,18,20)*((0*(((0.15*B1077*5))^0/1)+1*(((0.15*B1077*5))^1/1)+2*(((0.15*B1077*5))^2/2)+3*(((0.15*B1077*5))^3/6)+4*(((0.15*B1077*5))^4/24)+5*(((0.15*B1077*5))^5/120))/((((0.15*B1077*5))^0/1)+(((0.15*B1077*5))^1/1)+(((0.15*B1077*5))^2/2)+(((0.15*B1077*5))^3/6)+(((0.15*B1077*5))^4/24)+(((0.15*B1077*5))^5/120))),0)))/100)*(MIN(MIN(5,0.5*IF(Inputs!$B$3&gt;=75,0.75,0.5)*B1077*(1/Q1043))*Skills!V15,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055">
      <c r="A1055">
        <f>Skills!A16</f>
        <v/>
      </c>
      <c r="B1055">
        <f>Skills!B16</f>
        <v/>
      </c>
      <c r="C1055">
        <f>Inputs!$B$3&gt;=110</f>
        <v/>
      </c>
      <c r="D1055">
        <f>IF(Skills!C16=1,60+Inputs!$B$25+Inputs!$B$29,IF(Skills!C16=2,90+Inputs!$B$26+Inputs!$B$29,IF(Skills!C16=3,120+Inputs!$B$27+Inputs!$B$29,MAX(0,(Inputs!$B$3-100)*3)+(Inputs!$B$28+1)+Inputs!$B$29)))</f>
        <v/>
      </c>
      <c r="E1055">
        <f>INDEX(FactorTable!$B$2:$Y$301, MATCH(ROUND(MIN(300,MAX(1,D1055)),0), FactorTable!$A$2:$A$301,0), Skills!M16+1)</f>
        <v/>
      </c>
      <c r="F1055">
        <f>IF(Skills!N16=TRUE,(Skills!L16/10)*(E1055/1000),Skills!L16/10)+Skills!O16</f>
        <v/>
      </c>
      <c r="G1055">
        <f>Skills!G16*IF(Skills!H16&gt;0,IF(Inputs!$B$39="pvp",MIN(Skills!I16,15),Skills!I16)/Skills!H16,1)</f>
        <v/>
      </c>
      <c r="H1055">
        <f>1-(1-Skills!J16/100)^Skills!K16</f>
        <v/>
      </c>
      <c r="I1055" t="inlineStr">
        <is>
          <t>1</t>
        </is>
      </c>
      <c r="J1055" t="inlineStr"/>
      <c r="K1055" t="inlineStr"/>
      <c r="L1055" t="inlineStr"/>
      <c r="M1055" t="inlineStr"/>
      <c r="N1055" t="inlineStr"/>
      <c r="O1055">
        <f>(1-Summary!$B$11)*T1055+Summary!$B$11*V1055</f>
        <v/>
      </c>
      <c r="P1055">
        <f>IF(B1085=0,0,O1055/B1085)</f>
        <v/>
      </c>
      <c r="Q1055">
        <f>IFERROR(1/IF(Inputs!$B$39="pvp",15,MAX(0.1,Skills!D16-IF(TRUE=TRUE,Inputs!$B$32,0))),0)</f>
        <v/>
      </c>
      <c r="R1055">
        <f>IF(AND(Inputs!$B$39&lt;&gt;"pvp",Inputs!$B$44&gt;0),IF(Inputs!$B$44&lt;=0,0,(INT(Inputs!$B$44/IF(Inputs!$B$39="pvp",15,MAX(0.1,Skills!D16-IF(TRUE=TRUE,Inputs!$B$32,0))))+1)),0)</f>
        <v/>
      </c>
      <c r="S1055">
        <f>IFERROR(O1055/N1055,0)</f>
        <v/>
      </c>
      <c r="T1055" t="n">
        <v>0</v>
      </c>
      <c r="V1055" t="n">
        <v>0</v>
      </c>
    </row>
    <row r="1056">
      <c r="A1056">
        <f>Skills!A17</f>
        <v/>
      </c>
      <c r="B1056">
        <f>Skills!B17</f>
        <v/>
      </c>
      <c r="C1056">
        <f>Inputs!$B$3&gt;=115</f>
        <v/>
      </c>
      <c r="D1056">
        <f>IF(Skills!C17=1,60+Inputs!$B$25+Inputs!$B$29,IF(Skills!C17=2,90+Inputs!$B$26+Inputs!$B$29,IF(Skills!C17=3,120+Inputs!$B$27+Inputs!$B$29,MAX(0,(Inputs!$B$3-100)*3)+(Inputs!$B$28+1)+Inputs!$B$29)))</f>
        <v/>
      </c>
      <c r="E1056">
        <f>INDEX(FactorTable!$B$2:$Y$301, MATCH(ROUND(MIN(300,MAX(1,D1056)),0), FactorTable!$A$2:$A$301,0), Skills!M17+1)</f>
        <v/>
      </c>
      <c r="F1056">
        <f>IF(Skills!N17=TRUE,(Skills!L17/10)*(E1056/1000),Skills!L17/10)+Skills!O17</f>
        <v/>
      </c>
      <c r="G1056">
        <f>Skills!G17*IF(Skills!H17&gt;0,IF(Inputs!$B$39="pvp",MIN(Skills!I17,15),Skills!I17)/Skills!H17,1)</f>
        <v/>
      </c>
      <c r="H1056">
        <f>1-(1-Skills!J17/100)^Skills!K17</f>
        <v/>
      </c>
      <c r="I1056" t="inlineStr">
        <is>
          <t>1</t>
        </is>
      </c>
      <c r="J1056">
        <f>((Inputs!$B$6*(1+Inputs!$B$7/100))+(((Inputs!$B$12*(1+Inputs!$B$13/100))-(Inputs!$B$12*(1+Inputs!$B$13/100)))+0.25*(Inputs!$B$14-Inputs!$B$14))*(1+Inputs!$B$7/100))*(F1056/100)</f>
        <v/>
      </c>
      <c r="K1056">
        <f>J1056*(1+((Inputs!$B$12*(1+Inputs!$B$13/100))*0.01+Inputs!$B$14*0.0025)/100)*(1+Inputs!$B$15/100)*(1+Inputs!$B$16/100)*(5000/(6000+Inputs!$B$43*(1-(100*(1-(1-Inputs!$B$19/100)*(1-CHOOSE(ArtifactsInput!$N$40+1,5,6,7,8,9,10)/100)^(ArtifactsInput!$M$40-ArtifactsInput!$M$40)))/100)))*(1+(Inputs!$B$24+((C1070=TRUE)*(F1070-Calc!F31))+((C1057=TRUE)*(F1057-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17="CRUEL_STAB",Inputs!$B$17+((C1067=TRUE)*(F1067-Calc!F28))+((IF(AND(Inputs!$B$39&lt;&gt;"pvp",Inputs!$B$44=0),1,IF(IF(Inputs!$B$39="pvp",15,Inputs!$B$44)-(B1084)&lt;=0,1,MAX(0,IF(Inputs!$B$39="pvp",15,Inputs!$B$44)-MAX(5,B1084))/(IF(Inputs!$B$39="pvp",15,Inputs!$B$44)-(B1084))))*(IF(AND(ArtifactsInput!$M$42,((Inputs!$B$9+((C1065=TRUE)*(F1065-Calc!F26))+B1073+(ArtifactsInput!$M$24-ArtifactsInput!$M$24)*CHOOSE(ArtifactsInput!$N$24+1,10,12,14,16,18,20)+IF(ArtifactsInput!$M$10,CHOOSE(ArtifactsInput!$N$10+1,15,18,21,24,27,30)*(IF(Inputs!$B$39="pvp",MIN(15,15)/15,IF(AND(Inputs!$B$39&lt;&gt;"pvp",Inputs!$B$44&gt;0),MIN(15,Inputs!$B$44)/(Inputs!$B$44),0))),0)))&gt;=100),MIN(100,((Inputs!$B$9+((C1065=TRUE)*(F1065-Calc!F26))+B1073+(ArtifactsInput!$M$24-ArtifactsInput!$M$24)*CHOOSE(ArtifactsInput!$N$24+1,10,12,14,16,18,20)+IF(ArtifactsInput!$M$10,CHOOSE(ArtifactsInput!$N$10+1,15,18,21,24,27,30)*(IF(Inputs!$B$39="pvp",MIN(15,15)/15,IF(AND(Inputs!$B$39&lt;&gt;"pvp",Inputs!$B$44&gt;0),MIN(15,Inputs!$B$44)/(Inputs!$B$44),0))),0)))-100),0))*CHOOSE(ArtifactsInput!$N$42+1,0.6,0.72,0.84,0.96,1.08,1.2))),Inputs!$B$18+((C1068=TRUE)*(F1068-Calc!F29))+(IF(AND(Inputs!$B$39&lt;&gt;"pvp",Inputs!$B$44=0),1,IF(IF(Inputs!$B$39="pvp",15,Inputs!$B$44)-(B1084)&lt;=0,1,MAX(0,IF(Inputs!$B$39="pvp",15,Inputs!$B$44)-MAX(5,B1084))/(IF(Inputs!$B$39="pvp",15,Inputs!$B$44)-(B1084))))*IF(AND(ArtifactsInput!$M$42,((Inputs!$B$9+((C1065=TRUE)*(F1065-Calc!F26))+B1073+(ArtifactsInput!$M$24-ArtifactsInput!$M$24)*CHOOSE(ArtifactsInput!$N$24+1,10,12,14,16,18,20)+IF(ArtifactsInput!$M$10,CHOOSE(ArtifactsInput!$N$10+1,15,18,21,24,27,30)*(IF(Inputs!$B$39="pvp",MIN(15,15)/15,IF(AND(Inputs!$B$39&lt;&gt;"pvp",Inputs!$B$44&gt;0),MIN(15,Inputs!$B$44)/(Inputs!$B$44),0))),0)))&gt;=100),CHOOSE(ArtifactsInput!$N$42+1,40,48,56,64,72,80),0))))/100)*(((1+(((C1061=TRUE)*F1061*IF(AND(Inputs!$B$39&lt;&gt;"pvp",Inputs!$B$44&gt;0),(((R1061-1)*MIN((Skills!Y22*(1+Inputs!$B$34/100)),(1/Q1061))+MIN((Skills!Y22*(1+Inputs!$B$34/100)),MAX(0,Inputs!$B$44-((R1061-1)*(1/Q1061)))))/Inputs!$B$44),IF(Inputs!$B$39="pvp",MIN((Skills!Y22*(1+Inputs!$B$34/100)),15)/15,MIN(1,(Skills!Y22*(1+Inputs!$B$34/100))/(1/Q1061)))))+((C1042=TRUE)*F1042*3)+((C1044=TRUE)*F1044*(1-EXP(-0.75*B1077*5)))+((C1063=TRUE)*(F1063-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1050=TRUE)*F1050*IF(AND(Inputs!$B$39&lt;&gt;"pvp",Inputs!$B$44&gt;0),(((R1050-1)*MIN((Skills!Y11*(1+Inputs!$B$34/100)),(1/Q1050))+MIN((Skills!Y11*(1+Inputs!$B$34/100)),MAX(0,Inputs!$B$44-((R1050-1)*(1/Q1050)))))/Inputs!$B$44),IF(Inputs!$B$39="pvp",MIN((Skills!Y11*(1+Inputs!$B$34/100)),15)/15,MIN(1,(Skills!Y11*(1+Inputs!$B$34/100))/(1/Q1050)))))/100)*(1+((C1055=TRUE)*F1055*IF(AND(Inputs!$B$39&lt;&gt;"pvp",Inputs!$B$44&gt;0),(((R1055-1)*MIN((Skills!Y16*(1+Inputs!$B$34/100)),(1/Q1055))+MIN((Skills!Y16*(1+Inputs!$B$34/100)),MAX(0,Inputs!$B$44-((R1055-1)*(1/Q1055)))))/Inputs!$B$44),IF(Inputs!$B$39="pvp",MIN((Skills!Y16*(1+Inputs!$B$34/100)),15)/15,MIN(1,(Skills!Y16*(1+Inputs!$B$34/100))/(1/Q1055)))))/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1075*I1056)</f>
        <v/>
      </c>
      <c r="L1056">
        <f>K1056*(MIN(Inputs!$B$22+((C1064=TRUE)*(F1064-Calc!F25)),(Inputs!$B$23+((C1069=TRUE)*(F1069-Calc!F30))+IF(ArtifactsInput!$M$15,CHOOSE(ArtifactsInput!$N$15+1,25,30,35,40,45,50)/100*(Inputs!$B$11-Inputs!$B$11),0)))/100+(Inputs!$B$23+((C1069=TRUE)*(F1069-Calc!F30))+IF(ArtifactsInput!$M$15,CHOOSE(ArtifactsInput!$N$15+1,25,30,35,40,45,50)/100*(Inputs!$B$11-Inputs!$B$11),0))/100)/2</f>
        <v/>
      </c>
      <c r="M1056">
        <f>L1056*(1+(Inputs!$B$10+((C1066=TRUE)*(F1066-Calc!F27))+B1080+(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1056">
        <f>L1056*(1-MIN((Inputs!$B$9+((C1065=TRUE)*(F1065-Calc!F26))+B1073+(ArtifactsInput!$M$24-ArtifactsInput!$M$24)*CHOOSE(ArtifactsInput!$N$24+1,10,12,14,16,18,20)+(IF(AND(Inputs!$B$39&lt;&gt;"pvp",Inputs!$B$44=0),1,IF(IF(Inputs!$B$39="pvp",15,Inputs!$B$44)-(B1084)&lt;=0,1,MAX(0,IF(Inputs!$B$39="pvp",15,Inputs!$B$44)-MAX(5,B1084))/(IF(Inputs!$B$39="pvp",15,Inputs!$B$44)-(B1084))))*IF(AND(ArtifactsInput!$M$42,((Inputs!$B$9+((C1065=TRUE)*(F1065-Calc!F26))+B1073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1056*(MIN((Inputs!$B$9+((C1065=TRUE)*(F1065-Calc!F26))+B1073+(ArtifactsInput!$M$24-ArtifactsInput!$M$24)*CHOOSE(ArtifactsInput!$N$24+1,10,12,14,16,18,20)+(IF(AND(Inputs!$B$39&lt;&gt;"pvp",Inputs!$B$44=0),1,IF(IF(Inputs!$B$39="pvp",15,Inputs!$B$44)-(B1084)&lt;=0,1,MAX(0,IF(Inputs!$B$39="pvp",15,Inputs!$B$44)-MAX(5,B1084))/(IF(Inputs!$B$39="pvp",15,Inputs!$B$44)-(B1084))))*IF(AND(ArtifactsInput!$M$42,((Inputs!$B$9+((C1065=TRUE)*(F1065-Calc!F26))+B1073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056">
        <f>(1-Summary!$B$11)*T1056+Summary!$B$11*V1056</f>
        <v/>
      </c>
      <c r="P1056">
        <f>IF(B1085=0,0,O1056/B1085)</f>
        <v/>
      </c>
      <c r="Q1056" t="n">
        <v>0</v>
      </c>
      <c r="R1056" t="n">
        <v>0</v>
      </c>
      <c r="S1056">
        <f>IFERROR(O1056/N1056,0)</f>
        <v/>
      </c>
      <c r="T1056">
        <f>IF(C1056,(Inputs!$B$38*0.2*N1056)*IF(Inputs!$B$39="pvp",1,1+(Inputs!$B$20+0+Skills!P17+B1074+(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Hunt"),CHOOSE(ArtifactsInput!$N$35+1,15,18,21,24,27,30)*(1-EXP(-(0.2*B1077)*5)),0)+IF(AND(ArtifactsInput!$M$22,Inputs!$B$4&lt;&gt;"Chapter Hunt"),CHOOSE(ArtifactsInput!$N$22+1,10,12,14,16,18,20)*((0*(((0.15*B1077*5))^0/1)+1*(((0.15*B1077*5))^1/1)+2*(((0.15*B1077*5))^2/2)+3*(((0.15*B1077*5))^3/6)+4*(((0.15*B1077*5))^4/24)+5*(((0.15*B1077*5))^5/120))/((((0.15*B1077*5))^0/1)+(((0.15*B1077*5))^1/1)+(((0.15*B1077*5))^2/2)+(((0.15*B1077*5))^3/6)+(((0.15*B1077*5))^4/24)+(((0.15*B1077*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1056*(1-MIN(100,(Inputs!$B$9+((C1065=TRUE)*(F1065-Calc!F26))+B1073+(ArtifactsInput!$M$24-ArtifactsInput!$M$24)*CHOOSE(ArtifactsInput!$N$24+1,10,12,14,16,18,20)+(IF(AND(Inputs!$B$39&lt;&gt;"pvp",Inputs!$B$44=0),1,IF(IF(Inputs!$B$39="pvp",15,Inputs!$B$44)-(B1084)&lt;=0,1,MAX(0,IF(Inputs!$B$39="pvp",15,Inputs!$B$44)-MAX(5,B1084))/(IF(Inputs!$B$39="pvp",15,Inputs!$B$44)-(B1084))))*IF(AND(ArtifactsInput!$M$42,((Inputs!$B$9+((C1065=TRUE)*(F1065-Calc!F26))+B1073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1056*(MIN(100,(Inputs!$B$9+((C1065=TRUE)*(F1065-Calc!F26))+B1073+(ArtifactsInput!$M$24-ArtifactsInput!$M$24)*CHOOSE(ArtifactsInput!$N$24+1,10,12,14,16,18,20)+(IF(AND(Inputs!$B$39&lt;&gt;"pvp",Inputs!$B$44=0),1,IF(IF(Inputs!$B$39="pvp",15,Inputs!$B$44)-(B1084)&lt;=0,1,MAX(0,IF(Inputs!$B$39="pvp",15,Inputs!$B$44)-MAX(5,B1084))/(IF(Inputs!$B$39="pvp",15,Inputs!$B$44)-(B1084))))*IF(AND(ArtifactsInput!$M$42,((Inputs!$B$9+((C1065=TRUE)*(F1065-Calc!F26))+B1073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1056*(1-MIN(100,(Inputs!$B$9+((C1065=TRUE)*(F1065-Calc!F26))+B1073+(ArtifactsInput!$M$24-ArtifactsInput!$M$24)*CHOOSE(ArtifactsInput!$N$24+1,10,12,14,16,18,20)+(IF(AND(Inputs!$B$39&lt;&gt;"pvp",Inputs!$B$44=0),1,IF(IF(Inputs!$B$39="pvp",15,Inputs!$B$44)-(B1084)&lt;=0,1,MAX(0,IF(Inputs!$B$39="pvp",15,Inputs!$B$44)-MAX(5,B1084))/(IF(Inputs!$B$39="pvp",15,Inputs!$B$44)-(B1084))))*IF(AND(ArtifactsInput!$M$42,((Inputs!$B$9+((C1065=TRUE)*(F1065-Calc!F26))+B1073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1056*(MIN(100,(Inputs!$B$9+((C1065=TRUE)*(F1065-Calc!F26))+B1073+(ArtifactsInput!$M$24-ArtifactsInput!$M$24)*CHOOSE(ArtifactsInput!$N$24+1,10,12,14,16,18,20)+(IF(AND(Inputs!$B$39&lt;&gt;"pvp",Inputs!$B$44=0),1,IF(IF(Inputs!$B$39="pvp",15,Inputs!$B$44)-(B1084)&lt;=0,1,MAX(0,IF(Inputs!$B$39="pvp",15,Inputs!$B$44)-MAX(5,B1084))/(IF(Inputs!$B$39="pvp",15,Inputs!$B$44)-(B1084))))*IF(AND(ArtifactsInput!$M$42,((Inputs!$B$9+((C1065=TRUE)*(F1065-Calc!F26))+B1073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1056">
        <f>IF(C1056,(Inputs!$B$38*0.2*N1056)*IF(Inputs!$B$39="pvp",1,(1+(Inputs!$B$21+Skills!Q17+B1074+(IF(ArtifactsInput!$M$33,CHOOSE(ArtifactsInput!$N$33+1,30,36,42,48,54,60),0))+(IF(AND(ArtifactsInput!$M$35,Inputs!$B$4&lt;&gt;"Chapter Hunt"),CHOOSE(ArtifactsInput!$N$35+1,15,18,21,24,27,30)*(1-EXP(-(0.2*B1077)*5)),0)+IF(AND(ArtifactsInput!$M$22,Inputs!$B$4&lt;&gt;"Chapter Hunt"),CHOOSE(ArtifactsInput!$N$22+1,10,12,14,16,18,20)*((0*(((0.15*B1077*5))^0/1)+1*(((0.15*B1077*5))^1/1)+2*(((0.15*B1077*5))^2/2)+3*(((0.15*B1077*5))^3/6)+4*(((0.15*B1077*5))^4/24)+5*(((0.15*B1077*5))^5/120))/((((0.15*B1077*5))^0/1)+(((0.15*B1077*5))^1/1)+(((0.15*B1077*5))^2/2)+(((0.15*B1077*5))^3/6)+(((0.15*B1077*5))^4/24)+(((0.15*B1077*5))^5/120))),0)))/100)*(MIN(Skills!W17,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057">
      <c r="A1057">
        <f>Skills!A18</f>
        <v/>
      </c>
      <c r="B1057">
        <f>Skills!B18</f>
        <v/>
      </c>
      <c r="C1057">
        <f>Inputs!$B$3&gt;=115</f>
        <v/>
      </c>
      <c r="D1057">
        <f>IF(Skills!C18=1,60+Inputs!$B$25+Inputs!$B$29,IF(Skills!C18=2,90+Inputs!$B$26+Inputs!$B$29,IF(Skills!C18=3,120+Inputs!$B$27+Inputs!$B$29,MAX(0,(Inputs!$B$3-100)*3)+(Inputs!$B$28+1)+Inputs!$B$29)))</f>
        <v/>
      </c>
      <c r="E1057">
        <f>INDEX(FactorTable!$B$2:$Y$301, MATCH(ROUND(MIN(300,MAX(1,D1057)),0), FactorTable!$A$2:$A$301,0), Skills!M18+1)</f>
        <v/>
      </c>
      <c r="F1057">
        <f>IF(Skills!N18=TRUE,(Skills!L18/10)*(E1057/1000),Skills!L18/10)+Skills!O18</f>
        <v/>
      </c>
      <c r="G1057">
        <f>Skills!G18*IF(Skills!H18&gt;0,IF(Inputs!$B$39="pvp",MIN(Skills!I18,15),Skills!I18)/Skills!H18,1)</f>
        <v/>
      </c>
      <c r="H1057">
        <f>1-(1-Skills!J18/100)^Skills!K18</f>
        <v/>
      </c>
      <c r="I1057" t="inlineStr">
        <is>
          <t>1</t>
        </is>
      </c>
      <c r="J1057" t="inlineStr"/>
      <c r="K1057" t="inlineStr"/>
      <c r="L1057" t="inlineStr"/>
      <c r="M1057" t="inlineStr"/>
      <c r="N1057" t="inlineStr"/>
      <c r="O1057">
        <f>(1-Summary!$B$11)*T1057+Summary!$B$11*V1057</f>
        <v/>
      </c>
      <c r="P1057">
        <f>IF(B1085=0,0,O1057/B1085)</f>
        <v/>
      </c>
      <c r="Q1057" t="n">
        <v>0</v>
      </c>
      <c r="R1057" t="n">
        <v>0</v>
      </c>
      <c r="S1057">
        <f>IFERROR(O1057/N1057,0)</f>
        <v/>
      </c>
      <c r="T1057" t="n">
        <v>0</v>
      </c>
      <c r="V1057" t="n">
        <v>0</v>
      </c>
    </row>
    <row r="1058">
      <c r="A1058">
        <f>Skills!A19</f>
        <v/>
      </c>
      <c r="B1058">
        <f>Skills!B19</f>
        <v/>
      </c>
      <c r="C1058">
        <f>Inputs!$B$3&gt;=100</f>
        <v/>
      </c>
      <c r="D1058">
        <f>IF(Skills!C19=1,60+Inputs!$B$25+Inputs!$B$29,IF(Skills!C19=2,90+Inputs!$B$26+Inputs!$B$29,IF(Skills!C19=3,120+Inputs!$B$27+Inputs!$B$29,MAX(0,(Inputs!$B$3-100)*3)+(Inputs!$B$28+1)+Inputs!$B$29)))</f>
        <v/>
      </c>
      <c r="E1058">
        <f>INDEX(FactorTable!$B$2:$Y$301, MATCH(ROUND(MIN(300,MAX(1,D1058)),0), FactorTable!$A$2:$A$301,0), Skills!M19+1)</f>
        <v/>
      </c>
      <c r="F1058">
        <f>IF(Skills!N19=TRUE,(Skills!L19/10)*(E1058/1000),Skills!L19/10)+Skills!O19</f>
        <v/>
      </c>
      <c r="G1058">
        <f>Skills!G19*IF(Skills!H19&gt;0,IF(Inputs!$B$39="pvp",MIN(Skills!I19,15),Skills!I19)/Skills!H19,1)</f>
        <v/>
      </c>
      <c r="H1058">
        <f>1-(1-Skills!J19/100)^Skills!K19</f>
        <v/>
      </c>
      <c r="I1058" t="inlineStr">
        <is>
          <t>1</t>
        </is>
      </c>
      <c r="J1058" t="inlineStr"/>
      <c r="K1058" t="inlineStr"/>
      <c r="L1058" t="inlineStr"/>
      <c r="M1058" t="inlineStr"/>
      <c r="N1058" t="inlineStr"/>
      <c r="O1058">
        <f>(1-Summary!$B$11)*T1058+Summary!$B$11*V1058</f>
        <v/>
      </c>
      <c r="P1058">
        <f>IF(B1085=0,0,O1058/B1085)</f>
        <v/>
      </c>
      <c r="Q1058" t="n">
        <v>0</v>
      </c>
      <c r="R1058" t="n">
        <v>0</v>
      </c>
      <c r="S1058">
        <f>IFERROR(O1058/N1058,0)</f>
        <v/>
      </c>
      <c r="T1058" t="n">
        <v>0</v>
      </c>
      <c r="V1058" t="n">
        <v>0</v>
      </c>
    </row>
    <row r="1059">
      <c r="A1059">
        <f>Skills!A20</f>
        <v/>
      </c>
      <c r="B1059">
        <f>Skills!B20</f>
        <v/>
      </c>
      <c r="C1059">
        <f>TRUE</f>
        <v/>
      </c>
      <c r="D1059">
        <f>IF(Skills!C20=1,60+Inputs!$B$25+Inputs!$B$29,IF(Skills!C20=2,90+Inputs!$B$26+Inputs!$B$29,IF(Skills!C20=3,120+Inputs!$B$27+Inputs!$B$29,MAX(0,(Inputs!$B$3-100)*3)+(Inputs!$B$28+1)+Inputs!$B$29)))</f>
        <v/>
      </c>
      <c r="E1059">
        <f>INDEX(FactorTable!$B$2:$Y$301, MATCH(ROUND(MIN(300,MAX(1,D1059)),0), FactorTable!$A$2:$A$301,0), Skills!M20+1)</f>
        <v/>
      </c>
      <c r="F1059">
        <f>IF(Skills!N20=TRUE,(Skills!L20/10)*(E1059/1000),Skills!L20/10)+Skills!O20</f>
        <v/>
      </c>
      <c r="G1059">
        <f>Skills!G20*IF(Skills!H20&gt;0,IF(Inputs!$B$39="pvp",MIN(Skills!I20,15),Skills!I20)/Skills!H20,1)</f>
        <v/>
      </c>
      <c r="H1059">
        <f>1-(1-Skills!J20/100)^Skills!K20</f>
        <v/>
      </c>
      <c r="I1059" t="inlineStr">
        <is>
          <t>1</t>
        </is>
      </c>
      <c r="J1059" t="inlineStr"/>
      <c r="K1059" t="inlineStr"/>
      <c r="L1059" t="inlineStr"/>
      <c r="M1059" t="inlineStr"/>
      <c r="N1059" t="inlineStr"/>
      <c r="O1059">
        <f>(1-Summary!$B$11)*T1059+Summary!$B$11*V1059</f>
        <v/>
      </c>
      <c r="P1059">
        <f>IF(B1085=0,0,O1059/B1085)</f>
        <v/>
      </c>
      <c r="Q1059">
        <f>IFERROR(1/IF(Inputs!$B$39="pvp",15,MAX(0.1,Skills!D20-IF(TRUE=TRUE,Inputs!$B$32,0))),0)</f>
        <v/>
      </c>
      <c r="R1059">
        <f>IF(AND(Inputs!$B$39&lt;&gt;"pvp",Inputs!$B$44&gt;0),IF(Inputs!$B$44&lt;=0,0,(INT(Inputs!$B$44/IF(Inputs!$B$39="pvp",15,MAX(0.1,Skills!D20-IF(TRUE=TRUE,Inputs!$B$32,0))))+1)),0)</f>
        <v/>
      </c>
      <c r="S1059">
        <f>IFERROR(O1059/N1059,0)</f>
        <v/>
      </c>
      <c r="T1059" t="n">
        <v>0</v>
      </c>
      <c r="V1059" t="n">
        <v>0</v>
      </c>
    </row>
    <row r="1060">
      <c r="A1060">
        <f>Skills!A21</f>
        <v/>
      </c>
      <c r="B1060">
        <f>Skills!B21</f>
        <v/>
      </c>
      <c r="C1060">
        <f>Inputs!$B$3&gt;=15</f>
        <v/>
      </c>
      <c r="D1060">
        <f>IF(Skills!C21=1,60+Inputs!$B$25+Inputs!$B$29,IF(Skills!C21=2,90+Inputs!$B$26+Inputs!$B$29,IF(Skills!C21=3,120+Inputs!$B$27+Inputs!$B$29,MAX(0,(Inputs!$B$3-100)*3)+(Inputs!$B$28+1)+Inputs!$B$29)))</f>
        <v/>
      </c>
      <c r="E1060">
        <f>INDEX(FactorTable!$B$2:$Y$301, MATCH(ROUND(MIN(300,MAX(1,D1060)),0), FactorTable!$A$2:$A$301,0), Skills!M21+1)</f>
        <v/>
      </c>
      <c r="F1060">
        <f>IF(Skills!N21=TRUE,(Skills!L21/10)*(E1060/1000),Skills!L21/10)+Skills!O21</f>
        <v/>
      </c>
      <c r="G1060">
        <f>Skills!G21*IF(Skills!H21&gt;0,IF(Inputs!$B$39="pvp",MIN(Skills!I21,15),Skills!I21)/Skills!H21,1)</f>
        <v/>
      </c>
      <c r="H1060">
        <f>1-(1-Skills!J21/100)^Skills!K21</f>
        <v/>
      </c>
      <c r="I1060" t="inlineStr">
        <is>
          <t>1</t>
        </is>
      </c>
      <c r="J1060" t="inlineStr"/>
      <c r="K1060" t="inlineStr"/>
      <c r="L1060" t="inlineStr"/>
      <c r="M1060" t="inlineStr"/>
      <c r="N1060" t="inlineStr"/>
      <c r="O1060">
        <f>(1-Summary!$B$11)*T1060+Summary!$B$11*V1060</f>
        <v/>
      </c>
      <c r="P1060">
        <f>IF(B1085=0,0,O1060/B1085)</f>
        <v/>
      </c>
      <c r="Q1060">
        <f>IFERROR(1/IF(Inputs!$B$39="pvp",15,MAX(0.1,Skills!D21-IF(TRUE=TRUE,Inputs!$B$32,0))),0)</f>
        <v/>
      </c>
      <c r="R1060">
        <f>IF(AND(Inputs!$B$39&lt;&gt;"pvp",Inputs!$B$44&gt;0),IF(Inputs!$B$44&lt;=0,0,(INT(Inputs!$B$44/IF(Inputs!$B$39="pvp",15,MAX(0.1,Skills!D21-IF(TRUE=TRUE,Inputs!$B$32,0))))+1)),0)</f>
        <v/>
      </c>
      <c r="S1060">
        <f>IFERROR(O1060/N1060,0)</f>
        <v/>
      </c>
      <c r="T1060" t="n">
        <v>0</v>
      </c>
      <c r="V1060" t="n">
        <v>0</v>
      </c>
    </row>
    <row r="1061">
      <c r="A1061">
        <f>Skills!A22</f>
        <v/>
      </c>
      <c r="B1061">
        <f>Skills!B22</f>
        <v/>
      </c>
      <c r="C1061">
        <f>Inputs!$B$3&gt;=15</f>
        <v/>
      </c>
      <c r="D1061">
        <f>IF(Skills!C22=1,60+Inputs!$B$25+Inputs!$B$29,IF(Skills!C22=2,90+Inputs!$B$26+Inputs!$B$29,IF(Skills!C22=3,120+Inputs!$B$27+Inputs!$B$29,MAX(0,(Inputs!$B$3-100)*3)+(Inputs!$B$28+1)+Inputs!$B$29)))</f>
        <v/>
      </c>
      <c r="E1061">
        <f>INDEX(FactorTable!$B$2:$Y$301, MATCH(ROUND(MIN(300,MAX(1,D1061)),0), FactorTable!$A$2:$A$301,0), Skills!M22+1)</f>
        <v/>
      </c>
      <c r="F1061">
        <f>IF(Skills!N22=TRUE,(Skills!L22/10)*(E1061/1000),Skills!L22/10)+Skills!O22</f>
        <v/>
      </c>
      <c r="G1061">
        <f>Skills!G22*IF(Skills!H22&gt;0,IF(Inputs!$B$39="pvp",MIN(Skills!I22,15),Skills!I22)/Skills!H22,1)</f>
        <v/>
      </c>
      <c r="H1061">
        <f>1-(1-Skills!J22/100)^Skills!K22</f>
        <v/>
      </c>
      <c r="I1061" t="inlineStr">
        <is>
          <t>1</t>
        </is>
      </c>
      <c r="J1061" t="inlineStr"/>
      <c r="K1061" t="inlineStr"/>
      <c r="L1061" t="inlineStr"/>
      <c r="M1061" t="inlineStr"/>
      <c r="N1061" t="inlineStr"/>
      <c r="O1061">
        <f>(1-Summary!$B$11)*T1061+Summary!$B$11*V1061</f>
        <v/>
      </c>
      <c r="P1061">
        <f>IF(B1085=0,0,O1061/B1085)</f>
        <v/>
      </c>
      <c r="Q1061">
        <f>IFERROR(1/IF(Inputs!$B$39="pvp",15,MAX(0.1,Skills!D22-IF(TRUE=TRUE,Inputs!$B$32,0))),0)</f>
        <v/>
      </c>
      <c r="R1061">
        <f>IF(AND(Inputs!$B$39&lt;&gt;"pvp",Inputs!$B$44&gt;0),IF(Inputs!$B$44&lt;=0,0,(INT(Inputs!$B$44/IF(Inputs!$B$39="pvp",15,MAX(0.1,Skills!D22-IF(TRUE=TRUE,Inputs!$B$32,0))))+1)),0)</f>
        <v/>
      </c>
      <c r="S1061">
        <f>IFERROR(O1061/N1061,0)</f>
        <v/>
      </c>
      <c r="T1061" t="n">
        <v>0</v>
      </c>
      <c r="V1061" t="n">
        <v>0</v>
      </c>
    </row>
    <row r="1062">
      <c r="A1062">
        <f>Skills!A23</f>
        <v/>
      </c>
      <c r="B1062">
        <f>Skills!B23</f>
        <v/>
      </c>
      <c r="C1062">
        <f>Inputs!$B$3&gt;=33</f>
        <v/>
      </c>
      <c r="D1062">
        <f>IF(Skills!C23=1,60+Inputs!$B$25+Inputs!$B$29,IF(Skills!C23=2,90+Inputs!$B$26+Inputs!$B$29,IF(Skills!C23=3,120+Inputs!$B$27+Inputs!$B$29,MAX(0,(Inputs!$B$3-100)*3)+(Inputs!$B$28+1)+Inputs!$B$29)))</f>
        <v/>
      </c>
      <c r="E1062">
        <f>INDEX(FactorTable!$B$2:$Y$301, MATCH(ROUND(MIN(300,MAX(1,D1062)),0), FactorTable!$A$2:$A$301,0), Skills!M23+1)</f>
        <v/>
      </c>
      <c r="F1062">
        <f>IF(Skills!N23=TRUE,(Skills!L23/10)*(E1062/1000),Skills!L23/10)+Skills!O23</f>
        <v/>
      </c>
      <c r="G1062">
        <f>Skills!G23*IF(Skills!H23&gt;0,IF(Inputs!$B$39="pvp",MIN(Skills!I23,15),Skills!I23)/Skills!H23,1)</f>
        <v/>
      </c>
      <c r="H1062">
        <f>1-(1-Skills!J23/100)^Skills!K23</f>
        <v/>
      </c>
      <c r="I1062" t="inlineStr">
        <is>
          <t>1</t>
        </is>
      </c>
      <c r="J1062" t="inlineStr"/>
      <c r="K1062" t="inlineStr"/>
      <c r="L1062" t="inlineStr"/>
      <c r="M1062" t="inlineStr"/>
      <c r="N1062" t="inlineStr"/>
      <c r="O1062">
        <f>(1-Summary!$B$11)*T1062+Summary!$B$11*V1062</f>
        <v/>
      </c>
      <c r="P1062">
        <f>IF(B1085=0,0,O1062/B1085)</f>
        <v/>
      </c>
      <c r="Q1062" t="n">
        <v>0</v>
      </c>
      <c r="R1062" t="n">
        <v>0</v>
      </c>
      <c r="S1062">
        <f>IFERROR(O1062/N1062,0)</f>
        <v/>
      </c>
      <c r="T1062" t="n">
        <v>0</v>
      </c>
      <c r="V1062" t="n">
        <v>0</v>
      </c>
    </row>
    <row r="1063">
      <c r="A1063">
        <f>Skills!A24</f>
        <v/>
      </c>
      <c r="B1063">
        <f>Skills!B24</f>
        <v/>
      </c>
      <c r="C1063">
        <f>Inputs!$B$3&gt;=40</f>
        <v/>
      </c>
      <c r="D1063">
        <f>IF(Skills!C24=1,60+Inputs!$B$25+Inputs!$B$29,IF(Skills!C24=2,90+Inputs!$B$26+Inputs!$B$29,IF(Skills!C24=3,120+Inputs!$B$27+Inputs!$B$29,MAX(0,(Inputs!$B$3-100)*3)+(Inputs!$B$28+1)+Inputs!$B$29)))</f>
        <v/>
      </c>
      <c r="E1063">
        <f>INDEX(FactorTable!$B$2:$Y$301, MATCH(ROUND(MIN(300,MAX(1,D1063)),0), FactorTable!$A$2:$A$301,0), Skills!M24+1)</f>
        <v/>
      </c>
      <c r="F1063">
        <f>IF(Skills!N24=TRUE,(Skills!L24/10)*(E1063/1000),Skills!L24/10)+Skills!O24</f>
        <v/>
      </c>
      <c r="G1063">
        <f>Skills!G24*IF(Skills!H24&gt;0,IF(Inputs!$B$39="pvp",MIN(Skills!I24,15),Skills!I24)/Skills!H24,1)</f>
        <v/>
      </c>
      <c r="H1063">
        <f>1-(1-Skills!J24/100)^Skills!K24</f>
        <v/>
      </c>
      <c r="I1063" t="inlineStr">
        <is>
          <t>1</t>
        </is>
      </c>
      <c r="J1063" t="inlineStr"/>
      <c r="K1063" t="inlineStr"/>
      <c r="L1063" t="inlineStr"/>
      <c r="M1063" t="inlineStr"/>
      <c r="N1063" t="inlineStr"/>
      <c r="O1063">
        <f>(1-Summary!$B$11)*T1063+Summary!$B$11*V1063</f>
        <v/>
      </c>
      <c r="P1063">
        <f>IF(B1085=0,0,O1063/B1085)</f>
        <v/>
      </c>
      <c r="Q1063" t="n">
        <v>0</v>
      </c>
      <c r="R1063" t="n">
        <v>0</v>
      </c>
      <c r="S1063">
        <f>IFERROR(O1063/N1063,0)</f>
        <v/>
      </c>
      <c r="T1063" t="n">
        <v>0</v>
      </c>
      <c r="V1063" t="n">
        <v>0</v>
      </c>
    </row>
    <row r="1064">
      <c r="A1064">
        <f>Skills!A25</f>
        <v/>
      </c>
      <c r="B1064">
        <f>Skills!B25</f>
        <v/>
      </c>
      <c r="C1064">
        <f>Inputs!$B$3&gt;=43</f>
        <v/>
      </c>
      <c r="D1064">
        <f>IF(Skills!C25=1,60+Inputs!$B$25+Inputs!$B$29,IF(Skills!C25=2,90+Inputs!$B$26+Inputs!$B$29,IF(Skills!C25=3,120+Inputs!$B$27+Inputs!$B$29,MAX(0,(Inputs!$B$3-100)*3)+(Inputs!$B$28+1)+Inputs!$B$29)))</f>
        <v/>
      </c>
      <c r="E1064">
        <f>INDEX(FactorTable!$B$2:$Y$301, MATCH(ROUND(MIN(300,MAX(1,D1064)),0), FactorTable!$A$2:$A$301,0), Skills!M25+1)</f>
        <v/>
      </c>
      <c r="F1064">
        <f>IF(Skills!N25=TRUE,(Skills!L25/10)*(E1064/1000),Skills!L25/10)+Skills!O25</f>
        <v/>
      </c>
      <c r="G1064">
        <f>Skills!G25*IF(Skills!H25&gt;0,IF(Inputs!$B$39="pvp",MIN(Skills!I25,15),Skills!I25)/Skills!H25,1)</f>
        <v/>
      </c>
      <c r="H1064">
        <f>1-(1-Skills!J25/100)^Skills!K25</f>
        <v/>
      </c>
      <c r="I1064" t="inlineStr">
        <is>
          <t>1</t>
        </is>
      </c>
      <c r="J1064" t="inlineStr"/>
      <c r="K1064" t="inlineStr"/>
      <c r="L1064" t="inlineStr"/>
      <c r="M1064" t="inlineStr"/>
      <c r="N1064" t="inlineStr"/>
      <c r="O1064">
        <f>(1-Summary!$B$11)*T1064+Summary!$B$11*V1064</f>
        <v/>
      </c>
      <c r="P1064">
        <f>IF(B1085=0,0,O1064/B1085)</f>
        <v/>
      </c>
      <c r="Q1064" t="n">
        <v>0</v>
      </c>
      <c r="R1064" t="n">
        <v>0</v>
      </c>
      <c r="S1064">
        <f>IFERROR(O1064/N1064,0)</f>
        <v/>
      </c>
      <c r="T1064" t="n">
        <v>0</v>
      </c>
      <c r="V1064" t="n">
        <v>0</v>
      </c>
    </row>
    <row r="1065">
      <c r="A1065">
        <f>Skills!A26</f>
        <v/>
      </c>
      <c r="B1065">
        <f>Skills!B26</f>
        <v/>
      </c>
      <c r="C1065">
        <f>Inputs!$B$3&gt;=50</f>
        <v/>
      </c>
      <c r="D1065">
        <f>IF(Skills!C26=1,60+Inputs!$B$25+Inputs!$B$29,IF(Skills!C26=2,90+Inputs!$B$26+Inputs!$B$29,IF(Skills!C26=3,120+Inputs!$B$27+Inputs!$B$29,MAX(0,(Inputs!$B$3-100)*3)+(Inputs!$B$28+1)+Inputs!$B$29)))</f>
        <v/>
      </c>
      <c r="E1065">
        <f>INDEX(FactorTable!$B$2:$Y$301, MATCH(ROUND(MIN(300,MAX(1,D1065)),0), FactorTable!$A$2:$A$301,0), Skills!M26+1)</f>
        <v/>
      </c>
      <c r="F1065">
        <f>IF(Skills!N26=TRUE,(Skills!L26/10)*(E1065/1000),Skills!L26/10)+Skills!O26</f>
        <v/>
      </c>
      <c r="G1065">
        <f>Skills!G26*IF(Skills!H26&gt;0,IF(Inputs!$B$39="pvp",MIN(Skills!I26,15),Skills!I26)/Skills!H26,1)</f>
        <v/>
      </c>
      <c r="H1065">
        <f>1-(1-Skills!J26/100)^Skills!K26</f>
        <v/>
      </c>
      <c r="I1065" t="inlineStr">
        <is>
          <t>1</t>
        </is>
      </c>
      <c r="J1065" t="inlineStr"/>
      <c r="K1065" t="inlineStr"/>
      <c r="L1065" t="inlineStr"/>
      <c r="M1065" t="inlineStr"/>
      <c r="N1065" t="inlineStr"/>
      <c r="O1065">
        <f>(1-Summary!$B$11)*T1065+Summary!$B$11*V1065</f>
        <v/>
      </c>
      <c r="P1065">
        <f>IF(B1085=0,0,O1065/B1085)</f>
        <v/>
      </c>
      <c r="Q1065" t="n">
        <v>0</v>
      </c>
      <c r="R1065" t="n">
        <v>0</v>
      </c>
      <c r="S1065">
        <f>IFERROR(O1065/N1065,0)</f>
        <v/>
      </c>
      <c r="T1065" t="n">
        <v>0</v>
      </c>
      <c r="V1065" t="n">
        <v>0</v>
      </c>
    </row>
    <row r="1066">
      <c r="A1066">
        <f>Skills!A27</f>
        <v/>
      </c>
      <c r="B1066">
        <f>Skills!B27</f>
        <v/>
      </c>
      <c r="C1066">
        <f>Inputs!$B$3&gt;=50</f>
        <v/>
      </c>
      <c r="D1066">
        <f>IF(Skills!C27=1,60+Inputs!$B$25+Inputs!$B$29,IF(Skills!C27=2,90+Inputs!$B$26+Inputs!$B$29,IF(Skills!C27=3,120+Inputs!$B$27+Inputs!$B$29,MAX(0,(Inputs!$B$3-100)*3)+(Inputs!$B$28+1)+Inputs!$B$29)))</f>
        <v/>
      </c>
      <c r="E1066">
        <f>INDEX(FactorTable!$B$2:$Y$301, MATCH(ROUND(MIN(300,MAX(1,D1066)),0), FactorTable!$A$2:$A$301,0), Skills!M27+1)</f>
        <v/>
      </c>
      <c r="F1066">
        <f>IF(Skills!N27=TRUE,(Skills!L27/10)*(E1066/1000),Skills!L27/10)+Skills!O27</f>
        <v/>
      </c>
      <c r="G1066">
        <f>Skills!G27*IF(Skills!H27&gt;0,IF(Inputs!$B$39="pvp",MIN(Skills!I27,15),Skills!I27)/Skills!H27,1)</f>
        <v/>
      </c>
      <c r="H1066">
        <f>1-(1-Skills!J27/100)^Skills!K27</f>
        <v/>
      </c>
      <c r="I1066" t="inlineStr">
        <is>
          <t>1</t>
        </is>
      </c>
      <c r="J1066" t="inlineStr"/>
      <c r="K1066" t="inlineStr"/>
      <c r="L1066" t="inlineStr"/>
      <c r="M1066" t="inlineStr"/>
      <c r="N1066" t="inlineStr"/>
      <c r="O1066">
        <f>(1-Summary!$B$11)*T1066+Summary!$B$11*V1066</f>
        <v/>
      </c>
      <c r="P1066">
        <f>IF(B1085=0,0,O1066/B1085)</f>
        <v/>
      </c>
      <c r="Q1066" t="n">
        <v>0</v>
      </c>
      <c r="R1066" t="n">
        <v>0</v>
      </c>
      <c r="S1066">
        <f>IFERROR(O1066/N1066,0)</f>
        <v/>
      </c>
      <c r="T1066" t="n">
        <v>0</v>
      </c>
      <c r="V1066" t="n">
        <v>0</v>
      </c>
    </row>
    <row r="1067">
      <c r="A1067">
        <f>Skills!A28</f>
        <v/>
      </c>
      <c r="B1067">
        <f>Skills!B28</f>
        <v/>
      </c>
      <c r="C1067">
        <f>Inputs!$B$3&gt;=38</f>
        <v/>
      </c>
      <c r="D1067">
        <f>IF(Skills!C28=1,60+Inputs!$B$25+Inputs!$B$29,IF(Skills!C28=2,90+Inputs!$B$26+Inputs!$B$29,IF(Skills!C28=3,120+Inputs!$B$27+Inputs!$B$29,MAX(0,(Inputs!$B$3-100)*3)+(Inputs!$B$28+1)+Inputs!$B$29)))</f>
        <v/>
      </c>
      <c r="E1067">
        <f>INDEX(FactorTable!$B$2:$Y$301, MATCH(ROUND(MIN(300,MAX(1,D1067)),0), FactorTable!$A$2:$A$301,0), Skills!M28+1)</f>
        <v/>
      </c>
      <c r="F1067">
        <f>IF(Skills!N28=TRUE,(Skills!L28/10)*(E1067/1000),Skills!L28/10)+Skills!O28</f>
        <v/>
      </c>
      <c r="G1067">
        <f>Skills!G28*IF(Skills!H28&gt;0,IF(Inputs!$B$39="pvp",MIN(Skills!I28,15),Skills!I28)/Skills!H28,1)</f>
        <v/>
      </c>
      <c r="H1067">
        <f>1-(1-Skills!J28/100)^Skills!K28</f>
        <v/>
      </c>
      <c r="I1067" t="inlineStr">
        <is>
          <t>1</t>
        </is>
      </c>
      <c r="J1067" t="inlineStr"/>
      <c r="K1067" t="inlineStr"/>
      <c r="L1067" t="inlineStr"/>
      <c r="M1067" t="inlineStr"/>
      <c r="N1067" t="inlineStr"/>
      <c r="O1067">
        <f>(1-Summary!$B$11)*T1067+Summary!$B$11*V1067</f>
        <v/>
      </c>
      <c r="P1067">
        <f>IF(B1085=0,0,O1067/B1085)</f>
        <v/>
      </c>
      <c r="Q1067" t="n">
        <v>0</v>
      </c>
      <c r="R1067" t="n">
        <v>0</v>
      </c>
      <c r="S1067">
        <f>IFERROR(O1067/N1067,0)</f>
        <v/>
      </c>
      <c r="T1067" t="n">
        <v>0</v>
      </c>
      <c r="V1067" t="n">
        <v>0</v>
      </c>
    </row>
    <row r="1068">
      <c r="A1068">
        <f>Skills!A29</f>
        <v/>
      </c>
      <c r="B1068">
        <f>Skills!B29</f>
        <v/>
      </c>
      <c r="C1068">
        <f>Inputs!$B$3&gt;=120</f>
        <v/>
      </c>
      <c r="D1068">
        <f>IF(Skills!C29=1,60+Inputs!$B$25+Inputs!$B$29,IF(Skills!C29=2,90+Inputs!$B$26+Inputs!$B$29,IF(Skills!C29=3,120+Inputs!$B$27+Inputs!$B$29,MAX(0,(Inputs!$B$3-100)*3)+(Inputs!$B$28+1)+Inputs!$B$29)))</f>
        <v/>
      </c>
      <c r="E1068">
        <f>INDEX(FactorTable!$B$2:$Y$301, MATCH(ROUND(MIN(300,MAX(1,D1068)),0), FactorTable!$A$2:$A$301,0), Skills!M29+1)</f>
        <v/>
      </c>
      <c r="F1068">
        <f>IF(Skills!N29=TRUE,(Skills!L29/10)*(E1068/1000),Skills!L29/10)+Skills!O29</f>
        <v/>
      </c>
      <c r="G1068">
        <f>Skills!G29*IF(Skills!H29&gt;0,IF(Inputs!$B$39="pvp",MIN(Skills!I29,15),Skills!I29)/Skills!H29,1)</f>
        <v/>
      </c>
      <c r="H1068">
        <f>1-(1-Skills!J29/100)^Skills!K29</f>
        <v/>
      </c>
      <c r="I1068" t="inlineStr">
        <is>
          <t>1</t>
        </is>
      </c>
      <c r="J1068" t="inlineStr"/>
      <c r="K1068" t="inlineStr"/>
      <c r="L1068" t="inlineStr"/>
      <c r="M1068" t="inlineStr"/>
      <c r="N1068" t="inlineStr"/>
      <c r="O1068">
        <f>(1-Summary!$B$11)*T1068+Summary!$B$11*V1068</f>
        <v/>
      </c>
      <c r="P1068">
        <f>IF(B1085=0,0,O1068/B1085)</f>
        <v/>
      </c>
      <c r="Q1068" t="n">
        <v>0</v>
      </c>
      <c r="R1068" t="n">
        <v>0</v>
      </c>
      <c r="S1068">
        <f>IFERROR(O1068/N1068,0)</f>
        <v/>
      </c>
      <c r="T1068" t="n">
        <v>0</v>
      </c>
      <c r="V1068" t="n">
        <v>0</v>
      </c>
    </row>
    <row r="1069">
      <c r="A1069">
        <f>Skills!A30</f>
        <v/>
      </c>
      <c r="B1069">
        <f>Skills!B30</f>
        <v/>
      </c>
      <c r="C1069">
        <f>Inputs!$B$3&gt;=120</f>
        <v/>
      </c>
      <c r="D1069">
        <f>IF(Skills!C30=1,60+Inputs!$B$25+Inputs!$B$29,IF(Skills!C30=2,90+Inputs!$B$26+Inputs!$B$29,IF(Skills!C30=3,120+Inputs!$B$27+Inputs!$B$29,MAX(0,(Inputs!$B$3-100)*3)+(Inputs!$B$28+1)+Inputs!$B$29)))</f>
        <v/>
      </c>
      <c r="E1069">
        <f>INDEX(FactorTable!$B$2:$Y$301, MATCH(ROUND(MIN(300,MAX(1,D1069)),0), FactorTable!$A$2:$A$301,0), Skills!M30+1)</f>
        <v/>
      </c>
      <c r="F1069">
        <f>IF(Skills!N30=TRUE,(Skills!L30/10)*(E1069/1000),Skills!L30/10)+Skills!O30</f>
        <v/>
      </c>
      <c r="G1069">
        <f>Skills!G30*IF(Skills!H30&gt;0,IF(Inputs!$B$39="pvp",MIN(Skills!I30,15),Skills!I30)/Skills!H30,1)</f>
        <v/>
      </c>
      <c r="H1069">
        <f>1-(1-Skills!J30/100)^Skills!K30</f>
        <v/>
      </c>
      <c r="I1069" t="inlineStr">
        <is>
          <t>1</t>
        </is>
      </c>
      <c r="J1069" t="inlineStr"/>
      <c r="K1069" t="inlineStr"/>
      <c r="L1069" t="inlineStr"/>
      <c r="M1069" t="inlineStr"/>
      <c r="N1069" t="inlineStr"/>
      <c r="O1069">
        <f>(1-Summary!$B$11)*T1069+Summary!$B$11*V1069</f>
        <v/>
      </c>
      <c r="P1069">
        <f>IF(B1085=0,0,O1069/B1085)</f>
        <v/>
      </c>
      <c r="Q1069" t="n">
        <v>0</v>
      </c>
      <c r="R1069" t="n">
        <v>0</v>
      </c>
      <c r="S1069">
        <f>IFERROR(O1069/N1069,0)</f>
        <v/>
      </c>
      <c r="T1069" t="n">
        <v>0</v>
      </c>
      <c r="V1069" t="n">
        <v>0</v>
      </c>
    </row>
    <row r="1070">
      <c r="A1070">
        <f>Skills!A31</f>
        <v/>
      </c>
      <c r="B1070">
        <f>Skills!B31</f>
        <v/>
      </c>
      <c r="C1070">
        <f>Inputs!$B$3&gt;=125</f>
        <v/>
      </c>
      <c r="D1070">
        <f>IF(Skills!C31=1,60+Inputs!$B$25+Inputs!$B$29,IF(Skills!C31=2,90+Inputs!$B$26+Inputs!$B$29,IF(Skills!C31=3,120+Inputs!$B$27+Inputs!$B$29,MAX(0,(Inputs!$B$3-100)*3)+(Inputs!$B$28+1)+Inputs!$B$29)))</f>
        <v/>
      </c>
      <c r="E1070">
        <f>INDEX(FactorTable!$B$2:$Y$301, MATCH(ROUND(MIN(300,MAX(1,D1070)),0), FactorTable!$A$2:$A$301,0), Skills!M31+1)</f>
        <v/>
      </c>
      <c r="F1070">
        <f>IF(Skills!N31=TRUE,(Skills!L31/10)*(E1070/1000),Skills!L31/10)+Skills!O31</f>
        <v/>
      </c>
      <c r="G1070">
        <f>Skills!G31*IF(Skills!H31&gt;0,IF(Inputs!$B$39="pvp",MIN(Skills!I31,15),Skills!I31)/Skills!H31,1)</f>
        <v/>
      </c>
      <c r="H1070">
        <f>1-(1-Skills!J31/100)^Skills!K31</f>
        <v/>
      </c>
      <c r="I1070" t="inlineStr">
        <is>
          <t>1</t>
        </is>
      </c>
      <c r="J1070" t="inlineStr"/>
      <c r="K1070" t="inlineStr"/>
      <c r="L1070" t="inlineStr"/>
      <c r="M1070" t="inlineStr"/>
      <c r="N1070" t="inlineStr"/>
      <c r="O1070">
        <f>(1-Summary!$B$11)*T1070+Summary!$B$11*V1070</f>
        <v/>
      </c>
      <c r="P1070">
        <f>IF(B1085=0,0,O1070/B1085)</f>
        <v/>
      </c>
      <c r="Q1070" t="n">
        <v>0</v>
      </c>
      <c r="R1070" t="n">
        <v>0</v>
      </c>
      <c r="S1070">
        <f>IFERROR(O1070/N1070,0)</f>
        <v/>
      </c>
      <c r="T1070" t="n">
        <v>0</v>
      </c>
      <c r="V1070" t="n">
        <v>0</v>
      </c>
    </row>
    <row r="1072">
      <c r="A1072" t="inlineStr">
        <is>
          <t>Average Buff Multiplier</t>
        </is>
      </c>
      <c r="B1072">
        <f>(1+(((C1061=TRUE)*F1061*IF(AND(Inputs!$B$39&lt;&gt;"pvp",Inputs!$B$44&gt;0),(((R1061-1)*MIN((Skills!Y22*(1+Inputs!$B$34/100)),(1/Q1061))+MIN((Skills!Y22*(1+Inputs!$B$34/100)),MAX(0,Inputs!$B$44-((R1061-1)*(1/Q1061)))))/Inputs!$B$44),IF(Inputs!$B$39="pvp",MIN((Skills!Y22*(1+Inputs!$B$34/100)),15)/15,MIN(1,(Skills!Y22*(1+Inputs!$B$34/100))/(1/Q1061)))))+((C1042=TRUE)*F1042*3)+((C1044=TRUE)*F1044*(1-EXP(-0.75*B1077*5)))+((C1063=TRUE)*(F1063-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1050=TRUE)*F1050*IF(AND(Inputs!$B$39&lt;&gt;"pvp",Inputs!$B$44&gt;0),(((R1050-1)*MIN((Skills!Y11*(1+Inputs!$B$34/100)),(1/Q1050))+MIN((Skills!Y11*(1+Inputs!$B$34/100)),MAX(0,Inputs!$B$44-((R1050-1)*(1/Q1050)))))/Inputs!$B$44),IF(Inputs!$B$39="pvp",MIN((Skills!Y11*(1+Inputs!$B$34/100)),15)/15,MIN(1,(Skills!Y11*(1+Inputs!$B$34/100))/(1/Q1050)))))/100)*(1+((C1055=TRUE)*F1055*IF(AND(Inputs!$B$39&lt;&gt;"pvp",Inputs!$B$44&gt;0),(((R1055-1)*MIN((Skills!Y16*(1+Inputs!$B$34/100)),(1/Q1055))+MIN((Skills!Y16*(1+Inputs!$B$34/100)),MAX(0,Inputs!$B$44-((R1055-1)*(1/Q1055)))))/Inputs!$B$44),IF(Inputs!$B$39="pvp",MIN((Skills!Y16*(1+Inputs!$B$34/100)),15)/15,MIN(1,(Skills!Y16*(1+Inputs!$B$34/100))/(1/Q1055)))))/100)</f>
        <v/>
      </c>
    </row>
    <row r="1073">
      <c r="A1073" t="inlineStr">
        <is>
          <t>Global Crit Rate Bonus %</t>
        </is>
      </c>
      <c r="B1073">
        <f>((C1060=TRUE)*F1060*IF(AND(Inputs!$B$39&lt;&gt;"pvp",Inputs!$B$44&gt;0),(((R1060-1)*MIN((Skills!Y21*(1+Inputs!$B$34/100)),(1/Q1060))+MIN((Skills!Y21*(1+Inputs!$B$34/100)),MAX(0,Inputs!$B$44-((R1060-1)*(1/Q1060)))))/Inputs!$B$44),IF(Inputs!$B$39="pvp",MIN((Skills!Y21*(1+Inputs!$B$34/100)),15)/15,MIN(1,(Skills!Y21*(1+Inputs!$B$34/100))/(1/Q1060)))))</f>
        <v/>
      </c>
    </row>
    <row r="1074">
      <c r="A1074" t="inlineStr">
        <is>
          <t>Global Monster Damage-Taken Bonus %</t>
        </is>
      </c>
      <c r="B1074">
        <f>IF(Inputs!$B$3&gt;=82,15,0)</f>
        <v/>
      </c>
    </row>
    <row r="1075">
      <c r="A1075" t="inlineStr">
        <is>
          <t>Shadow Partner Average Multiplier</t>
        </is>
      </c>
      <c r="B1075">
        <f>1+((C1047=TRUE)*F1047*(1+3.3333333333333335*IF(C1058=TRUE,F1058,0)/100)*I1047*Skills!J8/100)/100</f>
        <v/>
      </c>
    </row>
    <row r="1076">
      <c r="A1076" t="inlineStr">
        <is>
          <t>Attack Speed Buff Bonus %</t>
        </is>
      </c>
      <c r="B1076">
        <f>((C1059=TRUE)*F1059*IF(AND(Inputs!$B$39&lt;&gt;"pvp",Inputs!$B$44&gt;0),(((R1059-1)*MIN((Skills!Y20*(1+Inputs!$B$34/100)),(1/Q1059))+MIN((Skills!Y20*(1+Inputs!$B$34/100)),MAX(0,Inputs!$B$44-((R1059-1)*(1/Q1059)))))/Inputs!$B$44),IF(Inputs!$B$39="pvp",MIN((Skills!Y20*(1+Inputs!$B$34/100)),15)/15,MIN(1,(Skills!Y20*(1+Inputs!$B$34/100))/(1/Q1059)))))</f>
        <v/>
      </c>
    </row>
    <row r="1077">
      <c r="A1077" t="inlineStr">
        <is>
          <t>Actions Per Second</t>
        </is>
      </c>
      <c r="B1077">
        <f>1+MIN(150,150*(1-(1-(Inputs!$B$11+((C1062=TRUE)*(F1062-Calc!F23)))/150)*(1-B1076/150)))/100</f>
        <v/>
      </c>
    </row>
    <row r="1078">
      <c r="A1078" t="inlineStr">
        <is>
          <t>Skill + Buff Cast Rate</t>
        </is>
      </c>
      <c r="B1078">
        <f>IF(AND(Inputs!$B$39&lt;&gt;"pvp",Inputs!$B$44&gt;0),SUMPRODUCT((Skills!E2:E31=TRUE)*(C1041:C1070=TRUE)*R1041:R1070*Skills!F2:F31)/Inputs!$B$44,SUMPRODUCT((Skills!E2:E31=TRUE)*(C1041:C1070=TRUE)*Q1041:Q1070*Skills!F2:F31))</f>
        <v/>
      </c>
    </row>
    <row r="1079">
      <c r="A1079" t="inlineStr">
        <is>
          <t>Cruel Stab Casts Per Second</t>
        </is>
      </c>
      <c r="B1079">
        <f>MAX(0,B1077-B1078)</f>
        <v/>
      </c>
    </row>
    <row r="1080">
      <c r="A1080" t="inlineStr">
        <is>
          <t>Global Critical Damage Bonus % (Smokescreen Mastery Lv.113)</t>
        </is>
      </c>
      <c r="B1080">
        <f>IF(Inputs!$B$3&gt;=113,30,0)*IF(AND(Inputs!$B$39&lt;&gt;"pvp",Inputs!$B$44&gt;0),(((R1055-1)*MIN((Skills!Y16*(1+Inputs!$B$34/100)),(1/Q1055))+MIN((Skills!Y16*(1+Inputs!$B$34/100)),MAX(0,Inputs!$B$44-((R1055-1)*(1/Q1055)))))/Inputs!$B$44),IF(Inputs!$B$39="pvp",MIN((Skills!Y16*(1+Inputs!$B$34/100)),15)/15,MIN(1,(Skills!Y16*(1+Inputs!$B$34/100))/(1/Q1055))))</f>
        <v/>
      </c>
    </row>
    <row r="1081">
      <c r="A1081" t="inlineStr">
        <is>
          <t>Meso Explosion average stack count</t>
        </is>
      </c>
      <c r="B1081">
        <f>MIN(10,IF(Inputs!$B$3&gt;=75,0.75,0.5)*B1077*(1/Q1043))</f>
        <v/>
      </c>
    </row>
    <row r="1082">
      <c r="A1082" t="inlineStr">
        <is>
          <t>Blood Money average stack count</t>
        </is>
      </c>
      <c r="B1082">
        <f>MIN(5,0.5*IF(Inputs!$B$3&gt;=75,0.75,0.5)*B1077*(1/Q1043))</f>
        <v/>
      </c>
    </row>
    <row r="1083">
      <c r="A1083" t="inlineStr">
        <is>
          <t>Assassinate Murderous Intent Multiplier</t>
        </is>
      </c>
      <c r="B1083">
        <f>1+IFERROR(MIN(1,Q1054*2/Q1051),0)</f>
        <v/>
      </c>
    </row>
    <row r="1084">
      <c r="A1084" t="inlineStr">
        <is>
          <t>Buff-Casting Startup Delay (s, fixed-duration only)</t>
        </is>
      </c>
      <c r="B1084">
        <f>IF(AND(Inputs!$B$39&lt;&gt;"pvp",Inputs!$B$44&gt;0),SUMPRODUCT((Skills!Y2:Y31&gt;0)*(Skills!E2:E31=TRUE)*(C1041:C1070=TRUE))/B1077,0)</f>
        <v/>
      </c>
    </row>
    <row r="1085">
      <c r="A1085" s="6" t="inlineStr">
        <is>
          <t>TOTAL DPS</t>
        </is>
      </c>
      <c r="B1085" s="6">
        <f>SUM(O1041:O1070)</f>
        <v/>
      </c>
    </row>
    <row r="1086">
      <c r="A1086" t="inlineStr">
        <is>
          <t>Boss-Only Total DPS (this block's swept value)</t>
        </is>
      </c>
      <c r="B1086">
        <f>SUM(T1041:T1070)</f>
        <v/>
      </c>
    </row>
    <row r="1087">
      <c r="A1087" t="inlineStr">
        <is>
          <t>Normal-Only Total DPS (this block's swept value)</t>
        </is>
      </c>
      <c r="B1087">
        <f>SUM(V1041:V1070)</f>
        <v/>
      </c>
    </row>
    <row r="1090">
      <c r="A1090" s="6" t="inlineStr">
        <is>
          <t>Stat: Skill Level Bonus — All Skills</t>
        </is>
      </c>
    </row>
    <row r="1091">
      <c r="A1091" s="5" t="inlineStr">
        <is>
          <t>Key</t>
        </is>
      </c>
      <c r="B1091" s="5" t="inlineStr">
        <is>
          <t>Name</t>
        </is>
      </c>
      <c r="C1091" s="5" t="inlineStr">
        <is>
          <t>Unlocked</t>
        </is>
      </c>
      <c r="D1091" s="5" t="inlineStr">
        <is>
          <t>InputLevel</t>
        </is>
      </c>
      <c r="E1091" s="5" t="inlineStr">
        <is>
          <t>Factor</t>
        </is>
      </c>
      <c r="F1091" s="5" t="inlineStr">
        <is>
          <t>CoefficientPercent</t>
        </is>
      </c>
      <c r="G1091" s="5" t="inlineStr">
        <is>
          <t>EffectiveHits</t>
        </is>
      </c>
      <c r="H1091" s="5" t="inlineStr">
        <is>
          <t>ProcProbability</t>
        </is>
      </c>
      <c r="I1091" s="5" t="inlineStr">
        <is>
          <t>MapleHeroMultiplier</t>
        </is>
      </c>
      <c r="J1091" s="5" t="inlineStr">
        <is>
          <t>BaseDamage</t>
        </is>
      </c>
      <c r="K1091" s="5" t="inlineStr">
        <is>
          <t>BaseHitDamage</t>
        </is>
      </c>
      <c r="L1091" s="5" t="inlineStr">
        <is>
          <t>NonCritAvg</t>
        </is>
      </c>
      <c r="M1091" s="5" t="inlineStr">
        <is>
          <t>CritAvg</t>
        </is>
      </c>
      <c r="N1091" s="5" t="inlineStr">
        <is>
          <t>ExpectedDamage(perHit)</t>
        </is>
      </c>
      <c r="O1091" s="5" t="inlineStr">
        <is>
          <t>DPS</t>
        </is>
      </c>
      <c r="P1091" s="5" t="inlineStr">
        <is>
          <t>% of Total</t>
        </is>
      </c>
      <c r="Q1091" s="5" t="inlineStr">
        <is>
          <t>InvCooldown</t>
        </is>
      </c>
      <c r="R1091" s="5" t="inlineStr">
        <is>
          <t>CastsInFight</t>
        </is>
      </c>
      <c r="S1091" s="5" t="inlineStr">
        <is>
          <t>HitRate(perSec)</t>
        </is>
      </c>
      <c r="U1091" t="inlineStr">
        <is>
          <t>helpers</t>
        </is>
      </c>
    </row>
    <row r="1092">
      <c r="A1092">
        <f>Skills!A2</f>
        <v/>
      </c>
      <c r="B1092">
        <f>Skills!B2</f>
        <v/>
      </c>
      <c r="C1092">
        <f>Inputs!$B$3&gt;=100</f>
        <v/>
      </c>
      <c r="D1092" t="inlineStr"/>
      <c r="E1092" t="inlineStr"/>
      <c r="F1092">
        <f>U1094+Skills!O2</f>
        <v/>
      </c>
      <c r="G1092">
        <f>Skills!G2*IF(Skills!H2&gt;0,IF(Inputs!$B$39="pvp",MIN(Skills!I2,15),Skills!I2)/Skills!H2,1)</f>
        <v/>
      </c>
      <c r="H1092">
        <f>1-(1-Skills!J2/100)^Skills!K2</f>
        <v/>
      </c>
      <c r="I1092" t="inlineStr">
        <is>
          <t>1</t>
        </is>
      </c>
      <c r="J1092">
        <f>((Inputs!$B$6*(1+Inputs!$B$7/100))+(((Inputs!$B$12*(1+Inputs!$B$13/100))-(Inputs!$B$12*(1+Inputs!$B$13/100)))+0.25*(Inputs!$B$14-Inputs!$B$14))*(1+Inputs!$B$7/100))*(F1092/100)</f>
        <v/>
      </c>
      <c r="K1092">
        <f>J1092*(1+((Inputs!$B$12*(1+Inputs!$B$13/100))*0.01+Inputs!$B$14*0.0025)/100)*(1+Inputs!$B$15/100)*(1+Inputs!$B$16/100)*(5000/(6000+Inputs!$B$43*(1-(100*(1-(1-Inputs!$B$19/100)*(1-CHOOSE(ArtifactsInput!$N$40+1,5,6,7,8,9,10)/100)^(ArtifactsInput!$M$40-ArtifactsInput!$M$40)))/100)))*(1+(Inputs!$B$24+((C1121=TRUE)*(F1121-Calc!F31))+((C1108=TRUE)*(F1108-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CRUEL_STAB",Inputs!$B$17+((C1118=TRUE)*(F1118-Calc!F28))+((IF(AND(Inputs!$B$39&lt;&gt;"pvp",Inputs!$B$44=0),1,IF(IF(Inputs!$B$39="pvp",15,Inputs!$B$44)-(B1135)&lt;=0,1,MAX(0,IF(Inputs!$B$39="pvp",15,Inputs!$B$44)-MAX(5,B1135))/(IF(Inputs!$B$39="pvp",15,Inputs!$B$44)-(B1135))))*(IF(AND(ArtifactsInput!$M$42,((Inputs!$B$9+((C1116=TRUE)*(F1116-Calc!F26))+B1124+(ArtifactsInput!$M$24-ArtifactsInput!$M$24)*CHOOSE(ArtifactsInput!$N$24+1,10,12,14,16,18,20)+IF(ArtifactsInput!$M$10,CHOOSE(ArtifactsInput!$N$10+1,15,18,21,24,27,30)*(IF(Inputs!$B$39="pvp",MIN(15,15)/15,IF(AND(Inputs!$B$39&lt;&gt;"pvp",Inputs!$B$44&gt;0),MIN(15,Inputs!$B$44)/(Inputs!$B$44),0))),0)))&gt;=100),MIN(100,((Inputs!$B$9+((C1116=TRUE)*(F1116-Calc!F26))+B1124+(ArtifactsInput!$M$24-ArtifactsInput!$M$24)*CHOOSE(ArtifactsInput!$N$24+1,10,12,14,16,18,20)+IF(ArtifactsInput!$M$10,CHOOSE(ArtifactsInput!$N$10+1,15,18,21,24,27,30)*(IF(Inputs!$B$39="pvp",MIN(15,15)/15,IF(AND(Inputs!$B$39&lt;&gt;"pvp",Inputs!$B$44&gt;0),MIN(15,Inputs!$B$44)/(Inputs!$B$44),0))),0)))-100),0))*CHOOSE(ArtifactsInput!$N$42+1,0.6,0.72,0.84,0.96,1.08,1.2))),Inputs!$B$18+((C1119=TRUE)*(F1119-Calc!F29))+(IF(AND(Inputs!$B$39&lt;&gt;"pvp",Inputs!$B$44=0),1,IF(IF(Inputs!$B$39="pvp",15,Inputs!$B$44)-(B1135)&lt;=0,1,MAX(0,IF(Inputs!$B$39="pvp",15,Inputs!$B$44)-MAX(5,B1135))/(IF(Inputs!$B$39="pvp",15,Inputs!$B$44)-(B1135))))*IF(AND(ArtifactsInput!$M$42,((Inputs!$B$9+((C1116=TRUE)*(F1116-Calc!F26))+B1124+(ArtifactsInput!$M$24-ArtifactsInput!$M$24)*CHOOSE(ArtifactsInput!$N$24+1,10,12,14,16,18,20)+IF(ArtifactsInput!$M$10,CHOOSE(ArtifactsInput!$N$10+1,15,18,21,24,27,30)*(IF(Inputs!$B$39="pvp",MIN(15,15)/15,IF(AND(Inputs!$B$39&lt;&gt;"pvp",Inputs!$B$44&gt;0),MIN(15,Inputs!$B$44)/(Inputs!$B$44),0))),0)))&gt;=100),CHOOSE(ArtifactsInput!$N$42+1,40,48,56,64,72,80),0))))/100)*(((1+(((C1112=TRUE)*F1112*IF(AND(Inputs!$B$39&lt;&gt;"pvp",Inputs!$B$44&gt;0),(((R1112-1)*MIN((Skills!Y22*(1+Inputs!$B$34/100)),(1/Q1112))+MIN((Skills!Y22*(1+Inputs!$B$34/100)),MAX(0,Inputs!$B$44-((R1112-1)*(1/Q1112)))))/Inputs!$B$44),IF(Inputs!$B$39="pvp",MIN((Skills!Y22*(1+Inputs!$B$34/100)),15)/15,MIN(1,(Skills!Y22*(1+Inputs!$B$34/100))/(1/Q1112)))))+((C1093=TRUE)*F1093*3)+((C1095=TRUE)*F1095*(1-EXP(-0.75*B1128*5)))+((C1114=TRUE)*(F1114-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1101=TRUE)*F1101*IF(AND(Inputs!$B$39&lt;&gt;"pvp",Inputs!$B$44&gt;0),(((R1101-1)*MIN((Skills!Y11*(1+Inputs!$B$34/100)),(1/Q1101))+MIN((Skills!Y11*(1+Inputs!$B$34/100)),MAX(0,Inputs!$B$44-((R1101-1)*(1/Q1101)))))/Inputs!$B$44),IF(Inputs!$B$39="pvp",MIN((Skills!Y11*(1+Inputs!$B$34/100)),15)/15,MIN(1,(Skills!Y11*(1+Inputs!$B$34/100))/(1/Q1101)))))/100)*(1+((C1106=TRUE)*F1106*IF(AND(Inputs!$B$39&lt;&gt;"pvp",Inputs!$B$44&gt;0),(((R1106-1)*MIN((Skills!Y16*(1+Inputs!$B$34/100)),(1/Q1106))+MIN((Skills!Y16*(1+Inputs!$B$34/100)),MAX(0,Inputs!$B$44-((R1106-1)*(1/Q1106)))))/Inputs!$B$44),IF(Inputs!$B$39="pvp",MIN((Skills!Y16*(1+Inputs!$B$34/100)),15)/15,MIN(1,(Skills!Y16*(1+Inputs!$B$34/100))/(1/Q1106)))))/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1126*I1092)</f>
        <v/>
      </c>
      <c r="L1092">
        <f>K1092*(MIN(Inputs!$B$22+((C1115=TRUE)*(F1115-Calc!F25)),(Inputs!$B$23+((C1120=TRUE)*(F1120-Calc!F30))+IF(ArtifactsInput!$M$15,CHOOSE(ArtifactsInput!$N$15+1,25,30,35,40,45,50)/100*(Inputs!$B$11-Inputs!$B$11),0)))/100+(Inputs!$B$23+((C1120=TRUE)*(F1120-Calc!F30))+IF(ArtifactsInput!$M$15,CHOOSE(ArtifactsInput!$N$15+1,25,30,35,40,45,50)/100*(Inputs!$B$11-Inputs!$B$11),0))/100)/2</f>
        <v/>
      </c>
      <c r="M1092">
        <f>L1092*(1+(Inputs!$B$10+((C1117=TRUE)*(F1117-Calc!F27))+B1131+(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1092">
        <f>L1092*(1-MIN((Inputs!$B$9+((C1116=TRUE)*(F1116-Calc!F26))+B1124+(ArtifactsInput!$M$24-ArtifactsInput!$M$24)*CHOOSE(ArtifactsInput!$N$24+1,10,12,14,16,18,20)+(IF(AND(Inputs!$B$39&lt;&gt;"pvp",Inputs!$B$44=0),1,IF(IF(Inputs!$B$39="pvp",15,Inputs!$B$44)-(B1135)&lt;=0,1,MAX(0,IF(Inputs!$B$39="pvp",15,Inputs!$B$44)-MAX(5,B1135))/(IF(Inputs!$B$39="pvp",15,Inputs!$B$44)-(B1135))))*IF(AND(ArtifactsInput!$M$42,((Inputs!$B$9+((C1116=TRUE)*(F1116-Calc!F26))+B1124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1092*(MIN((Inputs!$B$9+((C1116=TRUE)*(F1116-Calc!F26))+B1124+(ArtifactsInput!$M$24-ArtifactsInput!$M$24)*CHOOSE(ArtifactsInput!$N$24+1,10,12,14,16,18,20)+(IF(AND(Inputs!$B$39&lt;&gt;"pvp",Inputs!$B$44=0),1,IF(IF(Inputs!$B$39="pvp",15,Inputs!$B$44)-(B1135)&lt;=0,1,MAX(0,IF(Inputs!$B$39="pvp",15,Inputs!$B$44)-MAX(5,B1135))/(IF(Inputs!$B$39="pvp",15,Inputs!$B$44)-(B1135))))*IF(AND(ArtifactsInput!$M$42,((Inputs!$B$9+((C1116=TRUE)*(F1116-Calc!F26))+B1124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092">
        <f>(1-Summary!$B$11)*T1092+Summary!$B$11*V1092</f>
        <v/>
      </c>
      <c r="P1092">
        <f>IF(B1136=0,0,O1092/B1136)</f>
        <v/>
      </c>
      <c r="Q1092" t="n">
        <v>0</v>
      </c>
      <c r="R1092" t="n">
        <v>0</v>
      </c>
      <c r="S1092">
        <f>IFERROR(O1092/N1092,0)</f>
        <v/>
      </c>
      <c r="T1092">
        <f>IF(C1092,(Skills!G2*N1092*B1130)*IF(Inputs!$B$39="pvp",1,1+(Inputs!$B$20+0+Skills!P2+B1125+(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Hunt"),CHOOSE(ArtifactsInput!$N$35+1,15,18,21,24,27,30)*(1-EXP(-(0.2*B1128)*5)),0)+IF(AND(ArtifactsInput!$M$22,Inputs!$B$4&lt;&gt;"Chapter Hunt"),CHOOSE(ArtifactsInput!$N$22+1,10,12,14,16,18,20)*((0*(((0.15*B1128*5))^0/1)+1*(((0.15*B1128*5))^1/1)+2*(((0.15*B1128*5))^2/2)+3*(((0.15*B1128*5))^3/6)+4*(((0.15*B1128*5))^4/24)+5*(((0.15*B1128*5))^5/120))/((((0.15*B1128*5))^0/1)+(((0.15*B1128*5))^1/1)+(((0.15*B1128*5))^2/2)+(((0.15*B1128*5))^3/6)+(((0.15*B1128*5))^4/24)+(((0.15*B1128*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1092*(1-MIN(100,(Inputs!$B$9+((C1116=TRUE)*(F1116-Calc!F26))+B1124+(ArtifactsInput!$M$24-ArtifactsInput!$M$24)*CHOOSE(ArtifactsInput!$N$24+1,10,12,14,16,18,20)+(IF(AND(Inputs!$B$39&lt;&gt;"pvp",Inputs!$B$44=0),1,IF(IF(Inputs!$B$39="pvp",15,Inputs!$B$44)-(B1135)&lt;=0,1,MAX(0,IF(Inputs!$B$39="pvp",15,Inputs!$B$44)-MAX(5,B1135))/(IF(Inputs!$B$39="pvp",15,Inputs!$B$44)-(B1135))))*IF(AND(ArtifactsInput!$M$42,((Inputs!$B$9+((C1116=TRUE)*(F1116-Calc!F26))+B1124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1092*(MIN(100,(Inputs!$B$9+((C1116=TRUE)*(F1116-Calc!F26))+B1124+(ArtifactsInput!$M$24-ArtifactsInput!$M$24)*CHOOSE(ArtifactsInput!$N$24+1,10,12,14,16,18,20)+(IF(AND(Inputs!$B$39&lt;&gt;"pvp",Inputs!$B$44=0),1,IF(IF(Inputs!$B$39="pvp",15,Inputs!$B$44)-(B1135)&lt;=0,1,MAX(0,IF(Inputs!$B$39="pvp",15,Inputs!$B$44)-MAX(5,B1135))/(IF(Inputs!$B$39="pvp",15,Inputs!$B$44)-(B1135))))*IF(AND(ArtifactsInput!$M$42,((Inputs!$B$9+((C1116=TRUE)*(F1116-Calc!F26))+B1124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1092*(1-MIN(100,(Inputs!$B$9+((C1116=TRUE)*(F1116-Calc!F26))+B1124+(ArtifactsInput!$M$24-ArtifactsInput!$M$24)*CHOOSE(ArtifactsInput!$N$24+1,10,12,14,16,18,20)+(IF(AND(Inputs!$B$39&lt;&gt;"pvp",Inputs!$B$44=0),1,IF(IF(Inputs!$B$39="pvp",15,Inputs!$B$44)-(B1135)&lt;=0,1,MAX(0,IF(Inputs!$B$39="pvp",15,Inputs!$B$44)-MAX(5,B1135))/(IF(Inputs!$B$39="pvp",15,Inputs!$B$44)-(B1135))))*IF(AND(ArtifactsInput!$M$42,((Inputs!$B$9+((C1116=TRUE)*(F1116-Calc!F26))+B1124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1092*(MIN(100,(Inputs!$B$9+((C1116=TRUE)*(F1116-Calc!F26))+B1124+(ArtifactsInput!$M$24-ArtifactsInput!$M$24)*CHOOSE(ArtifactsInput!$N$24+1,10,12,14,16,18,20)+(IF(AND(Inputs!$B$39&lt;&gt;"pvp",Inputs!$B$44=0),1,IF(IF(Inputs!$B$39="pvp",15,Inputs!$B$44)-(B1135)&lt;=0,1,MAX(0,IF(Inputs!$B$39="pvp",15,Inputs!$B$44)-MAX(5,B1135))/(IF(Inputs!$B$39="pvp",15,Inputs!$B$44)-(B1135))))*IF(AND(ArtifactsInput!$M$42,((Inputs!$B$9+((C1116=TRUE)*(F1116-Calc!F26))+B1124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1092">
        <f>MAX(0,(Inputs!$B$3-100)*3)+Inputs!$B$28+(Inputs!$B$29+1)</f>
        <v/>
      </c>
      <c r="V1092">
        <f>IF(C1092,(Skills!G2*N1092*B1130)*IF(Inputs!$B$39="pvp",1,(1+(Inputs!$B$21+Skills!Q2+B1125+(IF(ArtifactsInput!$M$33,CHOOSE(ArtifactsInput!$N$33+1,30,36,42,48,54,60),0))+(IF(AND(ArtifactsInput!$M$35,Inputs!$B$4&lt;&gt;"Chapter Hunt"),CHOOSE(ArtifactsInput!$N$35+1,15,18,21,24,27,30)*(1-EXP(-(0.2*B1128)*5)),0)+IF(AND(ArtifactsInput!$M$22,Inputs!$B$4&lt;&gt;"Chapter Hunt"),CHOOSE(ArtifactsInput!$N$22+1,10,12,14,16,18,20)*((0*(((0.15*B1128*5))^0/1)+1*(((0.15*B1128*5))^1/1)+2*(((0.15*B1128*5))^2/2)+3*(((0.15*B1128*5))^3/6)+4*(((0.15*B1128*5))^4/24)+5*(((0.15*B1128*5))^5/120))/((((0.15*B1128*5))^0/1)+(((0.15*B1128*5))^1/1)+(((0.15*B1128*5))^2/2)+(((0.15*B1128*5))^3/6)+(((0.15*B1128*5))^4/24)+(((0.15*B1128*5))^5/120))),0)))/100)*(MIN((6+Inputs!$B$33),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093">
      <c r="A1093">
        <f>Skills!A3</f>
        <v/>
      </c>
      <c r="B1093">
        <f>Skills!B3</f>
        <v/>
      </c>
      <c r="C1093">
        <f>Inputs!$B$3&gt;=35</f>
        <v/>
      </c>
      <c r="D1093">
        <f>IF(Skills!C3=1,60+Inputs!$B$25+(Inputs!$B$29+1),IF(Skills!C3=2,90+Inputs!$B$26+(Inputs!$B$29+1),IF(Skills!C3=3,120+Inputs!$B$27+(Inputs!$B$29+1),MAX(0,(Inputs!$B$3-100)*3)+Inputs!$B$28+(Inputs!$B$29+1))))</f>
        <v/>
      </c>
      <c r="E1093">
        <f>INDEX(FactorTable!$B$2:$Y$301, MATCH(ROUND(MIN(300,MAX(1,D1093)),0), FactorTable!$A$2:$A$301,0), Skills!M3+1)</f>
        <v/>
      </c>
      <c r="F1093">
        <f>IF(Skills!N3=TRUE,(Skills!L3/10)*(E1093/1000),Skills!L3/10)+Skills!O3</f>
        <v/>
      </c>
      <c r="G1093">
        <f>Skills!G3*IF(Skills!H3&gt;0,IF(Inputs!$B$39="pvp",MIN(Skills!I3,15),Skills!I3)/Skills!H3,1)</f>
        <v/>
      </c>
      <c r="H1093">
        <f>1-(1-Skills!J3/100)^Skills!K3</f>
        <v/>
      </c>
      <c r="I1093" t="inlineStr">
        <is>
          <t>1</t>
        </is>
      </c>
      <c r="J1093" t="inlineStr"/>
      <c r="K1093" t="inlineStr"/>
      <c r="L1093" t="inlineStr"/>
      <c r="M1093" t="inlineStr"/>
      <c r="N1093" t="inlineStr"/>
      <c r="O1093">
        <f>(1-Summary!$B$11)*T1093+Summary!$B$11*V1093</f>
        <v/>
      </c>
      <c r="P1093">
        <f>IF(B1136=0,0,O1093/B1136)</f>
        <v/>
      </c>
      <c r="Q1093" t="n">
        <v>0</v>
      </c>
      <c r="R1093" t="n">
        <v>0</v>
      </c>
      <c r="S1093">
        <f>IFERROR(O1093/N1093,0)</f>
        <v/>
      </c>
      <c r="T1093" t="n">
        <v>0</v>
      </c>
      <c r="U1093">
        <f>INDEX(FactorTable!$B$2:$Y$301, MATCH(ROUND(MIN(300,MAX(1,U1092)),0), FactorTable!$A$2:$A$301,0), 22)</f>
        <v/>
      </c>
      <c r="V1093" t="n">
        <v>0</v>
      </c>
    </row>
    <row r="1094">
      <c r="A1094">
        <f>Skills!A4</f>
        <v/>
      </c>
      <c r="B1094">
        <f>Skills!B4</f>
        <v/>
      </c>
      <c r="C1094">
        <f>Inputs!$B$3&gt;=66</f>
        <v/>
      </c>
      <c r="D1094">
        <f>IF(Skills!C4=1,60+Inputs!$B$25+(Inputs!$B$29+1),IF(Skills!C4=2,90+Inputs!$B$26+(Inputs!$B$29+1),IF(Skills!C4=3,120+Inputs!$B$27+(Inputs!$B$29+1),MAX(0,(Inputs!$B$3-100)*3)+Inputs!$B$28+(Inputs!$B$29+1))))</f>
        <v/>
      </c>
      <c r="E1094">
        <f>INDEX(FactorTable!$B$2:$Y$301, MATCH(ROUND(MIN(300,MAX(1,D1094)),0), FactorTable!$A$2:$A$301,0), Skills!M4+1)</f>
        <v/>
      </c>
      <c r="F1094">
        <f>IF(Skills!N4=TRUE,(Skills!L4/10)*(E1094/1000),Skills!L4/10)+Skills!O4</f>
        <v/>
      </c>
      <c r="G1094">
        <f>Skills!G4*IF(Skills!H4&gt;0,IF(Inputs!$B$39="pvp",MIN(Skills!I4,15),Skills!I4)/Skills!H4,1)</f>
        <v/>
      </c>
      <c r="H1094">
        <f>1-(1-Skills!J4/100)^Skills!K4</f>
        <v/>
      </c>
      <c r="I1094" t="inlineStr">
        <is>
          <t>1</t>
        </is>
      </c>
      <c r="J1094">
        <f>((Inputs!$B$6*(1+Inputs!$B$7/100))+(((Inputs!$B$12*(1+Inputs!$B$13/100))-(Inputs!$B$12*(1+Inputs!$B$13/100)))+0.25*(Inputs!$B$14-Inputs!$B$14))*(1+Inputs!$B$7/100))*(F1094/100)</f>
        <v/>
      </c>
      <c r="K1094">
        <f>J1094*(1+((Inputs!$B$12*(1+Inputs!$B$13/100))*0.01+Inputs!$B$14*0.0025)/100)*(1+Inputs!$B$15/100)*(1+Inputs!$B$16/100)*(5000/(6000+Inputs!$B$43*(1-(100*(1-(1-Inputs!$B$19/100)*(1-CHOOSE(ArtifactsInput!$N$40+1,5,6,7,8,9,10)/100)^(ArtifactsInput!$M$40-ArtifactsInput!$M$40)))/100)))*(1+(Inputs!$B$24+((C1121=TRUE)*(F1121-Calc!F31))+((C1108=TRUE)*(F1108-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4="CRUEL_STAB",Inputs!$B$17+((C1118=TRUE)*(F1118-Calc!F28))+((IF(AND(Inputs!$B$39&lt;&gt;"pvp",Inputs!$B$44=0),1,IF(IF(Inputs!$B$39="pvp",15,Inputs!$B$44)-(B1135)&lt;=0,1,MAX(0,IF(Inputs!$B$39="pvp",15,Inputs!$B$44)-MAX(5,B1135))/(IF(Inputs!$B$39="pvp",15,Inputs!$B$44)-(B1135))))*(IF(AND(ArtifactsInput!$M$42,((Inputs!$B$9+((C1116=TRUE)*(F1116-Calc!F26))+B1124+(ArtifactsInput!$M$24-ArtifactsInput!$M$24)*CHOOSE(ArtifactsInput!$N$24+1,10,12,14,16,18,20)+IF(ArtifactsInput!$M$10,CHOOSE(ArtifactsInput!$N$10+1,15,18,21,24,27,30)*(IF(Inputs!$B$39="pvp",MIN(15,15)/15,IF(AND(Inputs!$B$39&lt;&gt;"pvp",Inputs!$B$44&gt;0),MIN(15,Inputs!$B$44)/(Inputs!$B$44),0))),0)))&gt;=100),MIN(100,((Inputs!$B$9+((C1116=TRUE)*(F1116-Calc!F26))+B1124+(ArtifactsInput!$M$24-ArtifactsInput!$M$24)*CHOOSE(ArtifactsInput!$N$24+1,10,12,14,16,18,20)+IF(ArtifactsInput!$M$10,CHOOSE(ArtifactsInput!$N$10+1,15,18,21,24,27,30)*(IF(Inputs!$B$39="pvp",MIN(15,15)/15,IF(AND(Inputs!$B$39&lt;&gt;"pvp",Inputs!$B$44&gt;0),MIN(15,Inputs!$B$44)/(Inputs!$B$44),0))),0)))-100),0))*CHOOSE(ArtifactsInput!$N$42+1,0.6,0.72,0.84,0.96,1.08,1.2))),Inputs!$B$18+((C1119=TRUE)*(F1119-Calc!F29))+(IF(AND(Inputs!$B$39&lt;&gt;"pvp",Inputs!$B$44=0),1,IF(IF(Inputs!$B$39="pvp",15,Inputs!$B$44)-(B1135)&lt;=0,1,MAX(0,IF(Inputs!$B$39="pvp",15,Inputs!$B$44)-MAX(5,B1135))/(IF(Inputs!$B$39="pvp",15,Inputs!$B$44)-(B1135))))*IF(AND(ArtifactsInput!$M$42,((Inputs!$B$9+((C1116=TRUE)*(F1116-Calc!F26))+B1124+(ArtifactsInput!$M$24-ArtifactsInput!$M$24)*CHOOSE(ArtifactsInput!$N$24+1,10,12,14,16,18,20)+IF(ArtifactsInput!$M$10,CHOOSE(ArtifactsInput!$N$10+1,15,18,21,24,27,30)*(IF(Inputs!$B$39="pvp",MIN(15,15)/15,IF(AND(Inputs!$B$39&lt;&gt;"pvp",Inputs!$B$44&gt;0),MIN(15,Inputs!$B$44)/(Inputs!$B$44),0))),0)))&gt;=100),CHOOSE(ArtifactsInput!$N$42+1,40,48,56,64,72,80),0))))/100)*(((1+(((C1112=TRUE)*F1112*IF(AND(Inputs!$B$39&lt;&gt;"pvp",Inputs!$B$44&gt;0),(((R1112-1)*MIN((Skills!Y22*(1+Inputs!$B$34/100)),(1/Q1112))+MIN((Skills!Y22*(1+Inputs!$B$34/100)),MAX(0,Inputs!$B$44-((R1112-1)*(1/Q1112)))))/Inputs!$B$44),IF(Inputs!$B$39="pvp",MIN((Skills!Y22*(1+Inputs!$B$34/100)),15)/15,MIN(1,(Skills!Y22*(1+Inputs!$B$34/100))/(1/Q1112)))))+((C1093=TRUE)*F1093*3)+((C1095=TRUE)*F1095*(1-EXP(-0.75*B1128*5)))+((C1114=TRUE)*(F1114-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1101=TRUE)*F1101*IF(AND(Inputs!$B$39&lt;&gt;"pvp",Inputs!$B$44&gt;0),(((R1101-1)*MIN((Skills!Y11*(1+Inputs!$B$34/100)),(1/Q1101))+MIN((Skills!Y11*(1+Inputs!$B$34/100)),MAX(0,Inputs!$B$44-((R1101-1)*(1/Q1101)))))/Inputs!$B$44),IF(Inputs!$B$39="pvp",MIN((Skills!Y11*(1+Inputs!$B$34/100)),15)/15,MIN(1,(Skills!Y11*(1+Inputs!$B$34/100))/(1/Q1101)))))/100)*(1+((C1106=TRUE)*F1106*IF(AND(Inputs!$B$39&lt;&gt;"pvp",Inputs!$B$44&gt;0),(((R1106-1)*MIN((Skills!Y16*(1+Inputs!$B$34/100)),(1/Q1106))+MIN((Skills!Y16*(1+Inputs!$B$34/100)),MAX(0,Inputs!$B$44-((R1106-1)*(1/Q1106)))))/Inputs!$B$44),IF(Inputs!$B$39="pvp",MIN((Skills!Y16*(1+Inputs!$B$34/100)),15)/15,MIN(1,(Skills!Y16*(1+Inputs!$B$34/100))/(1/Q1106)))))/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1126*I1094)</f>
        <v/>
      </c>
      <c r="L1094">
        <f>K1094*(MIN(Inputs!$B$22+((C1115=TRUE)*(F1115-Calc!F25)),(Inputs!$B$23+((C1120=TRUE)*(F1120-Calc!F30))+IF(ArtifactsInput!$M$15,CHOOSE(ArtifactsInput!$N$15+1,25,30,35,40,45,50)/100*(Inputs!$B$11-Inputs!$B$11),0)))/100+(Inputs!$B$23+((C1120=TRUE)*(F1120-Calc!F30))+IF(ArtifactsInput!$M$15,CHOOSE(ArtifactsInput!$N$15+1,25,30,35,40,45,50)/100*(Inputs!$B$11-Inputs!$B$11),0))/100)/2</f>
        <v/>
      </c>
      <c r="M1094">
        <f>L1094*(1+(Inputs!$B$10+((C1117=TRUE)*(F1117-Calc!F27))+B1131+(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1094">
        <f>L1094*(1-MIN((Inputs!$B$9+((C1116=TRUE)*(F1116-Calc!F26))+B1124+(ArtifactsInput!$M$24-ArtifactsInput!$M$24)*CHOOSE(ArtifactsInput!$N$24+1,10,12,14,16,18,20)+(IF(AND(Inputs!$B$39&lt;&gt;"pvp",Inputs!$B$44=0),1,IF(IF(Inputs!$B$39="pvp",15,Inputs!$B$44)-(B1135)&lt;=0,1,MAX(0,IF(Inputs!$B$39="pvp",15,Inputs!$B$44)-MAX(5,B1135))/(IF(Inputs!$B$39="pvp",15,Inputs!$B$44)-(B1135))))*IF(AND(ArtifactsInput!$M$42,((Inputs!$B$9+((C1116=TRUE)*(F1116-Calc!F26))+B1124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1094*(MIN((Inputs!$B$9+((C1116=TRUE)*(F1116-Calc!F26))+B1124+(ArtifactsInput!$M$24-ArtifactsInput!$M$24)*CHOOSE(ArtifactsInput!$N$24+1,10,12,14,16,18,20)+(IF(AND(Inputs!$B$39&lt;&gt;"pvp",Inputs!$B$44=0),1,IF(IF(Inputs!$B$39="pvp",15,Inputs!$B$44)-(B1135)&lt;=0,1,MAX(0,IF(Inputs!$B$39="pvp",15,Inputs!$B$44)-MAX(5,B1135))/(IF(Inputs!$B$39="pvp",15,Inputs!$B$44)-(B1135))))*IF(AND(ArtifactsInput!$M$42,((Inputs!$B$9+((C1116=TRUE)*(F1116-Calc!F26))+B1124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094">
        <f>(1-Summary!$B$11)*T1094+Summary!$B$11*V1094</f>
        <v/>
      </c>
      <c r="P1094">
        <f>IF(B1136=0,0,O1094/B1136)</f>
        <v/>
      </c>
      <c r="Q1094">
        <f>IFERROR(1/IF(Inputs!$B$39="pvp",15,MAX(0.1,Skills!D4-IF(TRUE=TRUE,Inputs!$B$32,0))),0)</f>
        <v/>
      </c>
      <c r="R1094">
        <f>IF(AND(Inputs!$B$39&lt;&gt;"pvp",Inputs!$B$44&gt;0),IF(MAX(0,Inputs!$B$44-B1135)&lt;=0,0,(INT(MAX(0,Inputs!$B$44-B1135)/IF(Inputs!$B$39="pvp",15,MAX(0.1,Skills!D4-IF(TRUE=TRUE,Inputs!$B$32,0))))+1)),0)</f>
        <v/>
      </c>
      <c r="S1094">
        <f>IFERROR(O1094/N1094,0)</f>
        <v/>
      </c>
      <c r="T1094">
        <f>IF(C1094,(H1094*N1094*IF(AND(Inputs!$B$39&lt;&gt;"pvp",Inputs!$B$44&gt;0),((Skills!G4*((R1094-1)*IF(Skills!H4&gt;0,Skills!I4/Skills!H4,1)+IF(Skills!H4&gt;0,MIN(Skills!I4,MAX(0,MAX(0,Inputs!$B$44-B1135)-((R1094-1)*IF(Inputs!$B$39="pvp",15,MAX(0.1,Skills!D4-IF(TRUE=TRUE,Inputs!$B$32,0))))))/Skills!H4,1)))/Inputs!$B$44),G1094*Q1094))*IF(Inputs!$B$39="pvp",1,1+(Inputs!$B$20+0+Skills!P4+B1125+(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Hunt"),CHOOSE(ArtifactsInput!$N$35+1,15,18,21,24,27,30)*(1-EXP(-(0.2*B1128)*5)),0)+IF(AND(ArtifactsInput!$M$22,Inputs!$B$4&lt;&gt;"Chapter Hunt"),CHOOSE(ArtifactsInput!$N$22+1,10,12,14,16,18,20)*((0*(((0.15*B1128*5))^0/1)+1*(((0.15*B1128*5))^1/1)+2*(((0.15*B1128*5))^2/2)+3*(((0.15*B1128*5))^3/6)+4*(((0.15*B1128*5))^4/24)+5*(((0.15*B1128*5))^5/120))/((((0.15*B1128*5))^0/1)+(((0.15*B1128*5))^1/1)+(((0.15*B1128*5))^2/2)+(((0.15*B1128*5))^3/6)+(((0.15*B1128*5))^4/24)+(((0.15*B1128*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1094*(1-MIN(100,(Inputs!$B$9+((C1116=TRUE)*(F1116-Calc!F26))+B1124+(ArtifactsInput!$M$24-ArtifactsInput!$M$24)*CHOOSE(ArtifactsInput!$N$24+1,10,12,14,16,18,20)+(IF(AND(Inputs!$B$39&lt;&gt;"pvp",Inputs!$B$44=0),1,IF(IF(Inputs!$B$39="pvp",15,Inputs!$B$44)-(B1135)&lt;=0,1,MAX(0,IF(Inputs!$B$39="pvp",15,Inputs!$B$44)-MAX(5,B1135))/(IF(Inputs!$B$39="pvp",15,Inputs!$B$44)-(B1135))))*IF(AND(ArtifactsInput!$M$42,((Inputs!$B$9+((C1116=TRUE)*(F1116-Calc!F26))+B1124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1094*(MIN(100,(Inputs!$B$9+((C1116=TRUE)*(F1116-Calc!F26))+B1124+(ArtifactsInput!$M$24-ArtifactsInput!$M$24)*CHOOSE(ArtifactsInput!$N$24+1,10,12,14,16,18,20)+(IF(AND(Inputs!$B$39&lt;&gt;"pvp",Inputs!$B$44=0),1,IF(IF(Inputs!$B$39="pvp",15,Inputs!$B$44)-(B1135)&lt;=0,1,MAX(0,IF(Inputs!$B$39="pvp",15,Inputs!$B$44)-MAX(5,B1135))/(IF(Inputs!$B$39="pvp",15,Inputs!$B$44)-(B1135))))*IF(AND(ArtifactsInput!$M$42,((Inputs!$B$9+((C1116=TRUE)*(F1116-Calc!F26))+B1124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1094*(1-MIN(100,(Inputs!$B$9+((C1116=TRUE)*(F1116-Calc!F26))+B1124+(ArtifactsInput!$M$24-ArtifactsInput!$M$24)*CHOOSE(ArtifactsInput!$N$24+1,10,12,14,16,18,20)+(IF(AND(Inputs!$B$39&lt;&gt;"pvp",Inputs!$B$44=0),1,IF(IF(Inputs!$B$39="pvp",15,Inputs!$B$44)-(B1135)&lt;=0,1,MAX(0,IF(Inputs!$B$39="pvp",15,Inputs!$B$44)-MAX(5,B1135))/(IF(Inputs!$B$39="pvp",15,Inputs!$B$44)-(B1135))))*IF(AND(ArtifactsInput!$M$42,((Inputs!$B$9+((C1116=TRUE)*(F1116-Calc!F26))+B1124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1094*(MIN(100,(Inputs!$B$9+((C1116=TRUE)*(F1116-Calc!F26))+B1124+(ArtifactsInput!$M$24-ArtifactsInput!$M$24)*CHOOSE(ArtifactsInput!$N$24+1,10,12,14,16,18,20)+(IF(AND(Inputs!$B$39&lt;&gt;"pvp",Inputs!$B$44=0),1,IF(IF(Inputs!$B$39="pvp",15,Inputs!$B$44)-(B1135)&lt;=0,1,MAX(0,IF(Inputs!$B$39="pvp",15,Inputs!$B$44)-MAX(5,B1135))/(IF(Inputs!$B$39="pvp",15,Inputs!$B$44)-(B1135))))*IF(AND(ArtifactsInput!$M$42,((Inputs!$B$9+((C1116=TRUE)*(F1116-Calc!F26))+B1124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1094">
        <f>290*U1093/1000</f>
        <v/>
      </c>
      <c r="V1094">
        <f>IF(C1094,(H1094*N1094*IF(AND(Inputs!$B$39&lt;&gt;"pvp",Inputs!$B$44&gt;0),((Skills!G4*((R1094-1)*IF(Skills!H4&gt;0,Skills!I4/Skills!H4,1)+IF(Skills!H4&gt;0,MIN(Skills!I4,MAX(0,MAX(0,Inputs!$B$44-B1135)-((R1094-1)*IF(Inputs!$B$39="pvp",15,MAX(0.1,Skills!D4-IF(TRUE=TRUE,Inputs!$B$32,0))))))/Skills!H4,1)))/Inputs!$B$44),G1094*Q1094))*IF(Inputs!$B$39="pvp",1,(1+(Inputs!$B$21+Skills!Q4+B1125+(IF(ArtifactsInput!$M$33,CHOOSE(ArtifactsInput!$N$33+1,30,36,42,48,54,60),0))+(IF(AND(ArtifactsInput!$M$35,Inputs!$B$4&lt;&gt;"Chapter Hunt"),CHOOSE(ArtifactsInput!$N$35+1,15,18,21,24,27,30)*(1-EXP(-(0.2*B1128)*5)),0)+IF(AND(ArtifactsInput!$M$22,Inputs!$B$4&lt;&gt;"Chapter Hunt"),CHOOSE(ArtifactsInput!$N$22+1,10,12,14,16,18,20)*((0*(((0.15*B1128*5))^0/1)+1*(((0.15*B1128*5))^1/1)+2*(((0.15*B1128*5))^2/2)+3*(((0.15*B1128*5))^3/6)+4*(((0.15*B1128*5))^4/24)+5*(((0.15*B1128*5))^5/120))/((((0.15*B1128*5))^0/1)+(((0.15*B1128*5))^1/1)+(((0.15*B1128*5))^2/2)+(((0.15*B1128*5))^3/6)+(((0.15*B1128*5))^4/24)+(((0.15*B1128*5))^5/120))),0)))/100)*(MIN(MIN(10,IF(Inputs!$B$3&gt;=75,0.75,0.5)*B1128*(1/Q1094)),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095">
      <c r="A1095">
        <f>Skills!A5</f>
        <v/>
      </c>
      <c r="B1095">
        <f>Skills!B5</f>
        <v/>
      </c>
      <c r="C1095">
        <f>Inputs!$B$3&gt;=75</f>
        <v/>
      </c>
      <c r="D1095">
        <f>IF(Skills!C5=1,60+Inputs!$B$25+(Inputs!$B$29+1),IF(Skills!C5=2,90+Inputs!$B$26+(Inputs!$B$29+1),IF(Skills!C5=3,120+Inputs!$B$27+(Inputs!$B$29+1),MAX(0,(Inputs!$B$3-100)*3)+Inputs!$B$28+(Inputs!$B$29+1))))</f>
        <v/>
      </c>
      <c r="E1095">
        <f>INDEX(FactorTable!$B$2:$Y$301, MATCH(ROUND(MIN(300,MAX(1,D1095)),0), FactorTable!$A$2:$A$301,0), Skills!M5+1)</f>
        <v/>
      </c>
      <c r="F1095">
        <f>IF(Skills!N5=TRUE,(Skills!L5/10)*(E1095/1000),Skills!L5/10)+Skills!O5</f>
        <v/>
      </c>
      <c r="G1095">
        <f>Skills!G5*IF(Skills!H5&gt;0,IF(Inputs!$B$39="pvp",MIN(Skills!I5,15),Skills!I5)/Skills!H5,1)</f>
        <v/>
      </c>
      <c r="H1095">
        <f>1-(1-Skills!J5/100)^Skills!K5</f>
        <v/>
      </c>
      <c r="I1095" t="inlineStr">
        <is>
          <t>1</t>
        </is>
      </c>
      <c r="J1095" t="inlineStr"/>
      <c r="K1095" t="inlineStr"/>
      <c r="L1095" t="inlineStr"/>
      <c r="M1095" t="inlineStr"/>
      <c r="N1095" t="inlineStr"/>
      <c r="O1095">
        <f>(1-Summary!$B$11)*T1095+Summary!$B$11*V1095</f>
        <v/>
      </c>
      <c r="P1095">
        <f>IF(B1136=0,0,O1095/B1136)</f>
        <v/>
      </c>
      <c r="Q1095" t="n">
        <v>0</v>
      </c>
      <c r="R1095" t="n">
        <v>0</v>
      </c>
      <c r="S1095">
        <f>IFERROR(O1095/N1095,0)</f>
        <v/>
      </c>
      <c r="T1095" t="n">
        <v>0</v>
      </c>
      <c r="V1095" t="n">
        <v>0</v>
      </c>
    </row>
    <row r="1096">
      <c r="A1096">
        <f>Skills!A6</f>
        <v/>
      </c>
      <c r="B1096">
        <f>Skills!B6</f>
        <v/>
      </c>
      <c r="C1096">
        <f>Inputs!$B$3&gt;=63</f>
        <v/>
      </c>
      <c r="D1096">
        <f>IF(Skills!C6=1,60+Inputs!$B$25+(Inputs!$B$29+1),IF(Skills!C6=2,90+Inputs!$B$26+(Inputs!$B$29+1),IF(Skills!C6=3,120+Inputs!$B$27+(Inputs!$B$29+1),MAX(0,(Inputs!$B$3-100)*3)+Inputs!$B$28+(Inputs!$B$29+1))))</f>
        <v/>
      </c>
      <c r="E1096">
        <f>INDEX(FactorTable!$B$2:$Y$301, MATCH(ROUND(MIN(300,MAX(1,D1096)),0), FactorTable!$A$2:$A$301,0), Skills!M6+1)</f>
        <v/>
      </c>
      <c r="F1096">
        <f>IF(Skills!N6=TRUE,(Skills!L6/10)*(E1096/1000),Skills!L6/10)+Skills!O6</f>
        <v/>
      </c>
      <c r="G1096">
        <f>Skills!G6*IF(Skills!H6&gt;0,IF(Inputs!$B$39="pvp",MIN(Skills!I6,15),Skills!I6)/Skills!H6,1)</f>
        <v/>
      </c>
      <c r="H1096">
        <f>1-(1-Skills!J6/100)^Skills!K6</f>
        <v/>
      </c>
      <c r="I1096" t="inlineStr">
        <is>
          <t>1</t>
        </is>
      </c>
      <c r="J1096">
        <f>((Inputs!$B$6*(1+Inputs!$B$7/100))+(((Inputs!$B$12*(1+Inputs!$B$13/100))-(Inputs!$B$12*(1+Inputs!$B$13/100)))+0.25*(Inputs!$B$14-Inputs!$B$14))*(1+Inputs!$B$7/100))*(F1096/100)</f>
        <v/>
      </c>
      <c r="K1096">
        <f>J1096*(1+((Inputs!$B$12*(1+Inputs!$B$13/100))*0.01+Inputs!$B$14*0.0025)/100)*(1+Inputs!$B$15/100)*(1+Inputs!$B$16/100)*(5000/(6000+Inputs!$B$43*(1-(100*(1-(1-Inputs!$B$19/100)*(1-CHOOSE(ArtifactsInput!$N$40+1,5,6,7,8,9,10)/100)^(ArtifactsInput!$M$40-ArtifactsInput!$M$40)))/100)))*(1+(Inputs!$B$24+((C1121=TRUE)*(F1121-Calc!F31))+((C1108=TRUE)*(F1108-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+2.6666666666666665*IF(C1109=TRUE,F1109,0)/100)*(1+(IF(Skills!A6="CRUEL_STAB",Inputs!$B$17+((C1118=TRUE)*(F1118-Calc!F28))+((IF(AND(Inputs!$B$39&lt;&gt;"pvp",Inputs!$B$44=0),1,IF(IF(Inputs!$B$39="pvp",15,Inputs!$B$44)-(B1135)&lt;=0,1,MAX(0,IF(Inputs!$B$39="pvp",15,Inputs!$B$44)-MAX(5,B1135))/(IF(Inputs!$B$39="pvp",15,Inputs!$B$44)-(B1135))))*(IF(AND(ArtifactsInput!$M$42,((Inputs!$B$9+((C1116=TRUE)*(F1116-Calc!F26))+B1124+(ArtifactsInput!$M$24-ArtifactsInput!$M$24)*CHOOSE(ArtifactsInput!$N$24+1,10,12,14,16,18,20)+IF(ArtifactsInput!$M$10,CHOOSE(ArtifactsInput!$N$10+1,15,18,21,24,27,30)*(IF(Inputs!$B$39="pvp",MIN(15,15)/15,IF(AND(Inputs!$B$39&lt;&gt;"pvp",Inputs!$B$44&gt;0),MIN(15,Inputs!$B$44)/(Inputs!$B$44),0))),0)))&gt;=100),MIN(100,((Inputs!$B$9+((C1116=TRUE)*(F1116-Calc!F26))+B1124+(ArtifactsInput!$M$24-ArtifactsInput!$M$24)*CHOOSE(ArtifactsInput!$N$24+1,10,12,14,16,18,20)+IF(ArtifactsInput!$M$10,CHOOSE(ArtifactsInput!$N$10+1,15,18,21,24,27,30)*(IF(Inputs!$B$39="pvp",MIN(15,15)/15,IF(AND(Inputs!$B$39&lt;&gt;"pvp",Inputs!$B$44&gt;0),MIN(15,Inputs!$B$44)/(Inputs!$B$44),0))),0)))-100),0))*CHOOSE(ArtifactsInput!$N$42+1,0.6,0.72,0.84,0.96,1.08,1.2))),Inputs!$B$18+((C1119=TRUE)*(F1119-Calc!F29))+(IF(AND(Inputs!$B$39&lt;&gt;"pvp",Inputs!$B$44=0),1,IF(IF(Inputs!$B$39="pvp",15,Inputs!$B$44)-(B1135)&lt;=0,1,MAX(0,IF(Inputs!$B$39="pvp",15,Inputs!$B$44)-MAX(5,B1135))/(IF(Inputs!$B$39="pvp",15,Inputs!$B$44)-(B1135))))*IF(AND(ArtifactsInput!$M$42,((Inputs!$B$9+((C1116=TRUE)*(F1116-Calc!F26))+B1124+(ArtifactsInput!$M$24-ArtifactsInput!$M$24)*CHOOSE(ArtifactsInput!$N$24+1,10,12,14,16,18,20)+IF(ArtifactsInput!$M$10,CHOOSE(ArtifactsInput!$N$10+1,15,18,21,24,27,30)*(IF(Inputs!$B$39="pvp",MIN(15,15)/15,IF(AND(Inputs!$B$39&lt;&gt;"pvp",Inputs!$B$44&gt;0),MIN(15,Inputs!$B$44)/(Inputs!$B$44),0))),0)))&gt;=100),CHOOSE(ArtifactsInput!$N$42+1,40,48,56,64,72,80),0))))/100)*(((1+(((C1112=TRUE)*F1112*IF(AND(Inputs!$B$39&lt;&gt;"pvp",Inputs!$B$44&gt;0),(((R1112-1)*MIN((Skills!Y22*(1+Inputs!$B$34/100)),(1/Q1112))+MIN((Skills!Y22*(1+Inputs!$B$34/100)),MAX(0,Inputs!$B$44-((R1112-1)*(1/Q1112)))))/Inputs!$B$44),IF(Inputs!$B$39="pvp",MIN((Skills!Y22*(1+Inputs!$B$34/100)),15)/15,MIN(1,(Skills!Y22*(1+Inputs!$B$34/100))/(1/Q1112)))))+((C1093=TRUE)*F1093*3)+((C1095=TRUE)*F1095*(1-EXP(-0.75*B1128*5)))+((C1114=TRUE)*(F1114-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1101=TRUE)*F1101*IF(AND(Inputs!$B$39&lt;&gt;"pvp",Inputs!$B$44&gt;0),(((R1101-1)*MIN((Skills!Y11*(1+Inputs!$B$34/100)),(1/Q1101))+MIN((Skills!Y11*(1+Inputs!$B$34/100)),MAX(0,Inputs!$B$44-((R1101-1)*(1/Q1101)))))/Inputs!$B$44),IF(Inputs!$B$39="pvp",MIN((Skills!Y11*(1+Inputs!$B$34/100)),15)/15,MIN(1,(Skills!Y11*(1+Inputs!$B$34/100))/(1/Q1101)))))/100)*(1+((C1106=TRUE)*F1106*IF(AND(Inputs!$B$39&lt;&gt;"pvp",Inputs!$B$44&gt;0),(((R1106-1)*MIN((Skills!Y16*(1+Inputs!$B$34/100)),(1/Q1106))+MIN((Skills!Y16*(1+Inputs!$B$34/100)),MAX(0,Inputs!$B$44-((R1106-1)*(1/Q1106)))))/Inputs!$B$44),IF(Inputs!$B$39="pvp",MIN((Skills!Y16*(1+Inputs!$B$34/100)),15)/15,MIN(1,(Skills!Y16*(1+Inputs!$B$34/100))/(1/Q1106)))))/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1126*I1096)</f>
        <v/>
      </c>
      <c r="L1096">
        <f>K1096*(MIN(Inputs!$B$22+((C1115=TRUE)*(F1115-Calc!F25)),(Inputs!$B$23+((C1120=TRUE)*(F1120-Calc!F30))+IF(ArtifactsInput!$M$15,CHOOSE(ArtifactsInput!$N$15+1,25,30,35,40,45,50)/100*(Inputs!$B$11-Inputs!$B$11),0)))/100+(Inputs!$B$23+((C1120=TRUE)*(F1120-Calc!F30))+IF(ArtifactsInput!$M$15,CHOOSE(ArtifactsInput!$N$15+1,25,30,35,40,45,50)/100*(Inputs!$B$11-Inputs!$B$11),0))/100)/2</f>
        <v/>
      </c>
      <c r="M1096">
        <f>L1096*(1+(Inputs!$B$10+((C1117=TRUE)*(F1117-Calc!F27))+B1131+(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1096">
        <f>L1096*(1-MIN((Inputs!$B$9+((C1116=TRUE)*(F1116-Calc!F26))+B1124+(ArtifactsInput!$M$24-ArtifactsInput!$M$24)*CHOOSE(ArtifactsInput!$N$24+1,10,12,14,16,18,20)+(IF(AND(Inputs!$B$39&lt;&gt;"pvp",Inputs!$B$44=0),1,IF(IF(Inputs!$B$39="pvp",15,Inputs!$B$44)-(B1135)&lt;=0,1,MAX(0,IF(Inputs!$B$39="pvp",15,Inputs!$B$44)-MAX(5,B1135))/(IF(Inputs!$B$39="pvp",15,Inputs!$B$44)-(B1135))))*IF(AND(ArtifactsInput!$M$42,((Inputs!$B$9+((C1116=TRUE)*(F1116-Calc!F26))+B1124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1096*(MIN((Inputs!$B$9+((C1116=TRUE)*(F1116-Calc!F26))+B1124+(ArtifactsInput!$M$24-ArtifactsInput!$M$24)*CHOOSE(ArtifactsInput!$N$24+1,10,12,14,16,18,20)+(IF(AND(Inputs!$B$39&lt;&gt;"pvp",Inputs!$B$44=0),1,IF(IF(Inputs!$B$39="pvp",15,Inputs!$B$44)-(B1135)&lt;=0,1,MAX(0,IF(Inputs!$B$39="pvp",15,Inputs!$B$44)-MAX(5,B1135))/(IF(Inputs!$B$39="pvp",15,Inputs!$B$44)-(B1135))))*IF(AND(ArtifactsInput!$M$42,((Inputs!$B$9+((C1116=TRUE)*(F1116-Calc!F26))+B1124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096">
        <f>(1-Summary!$B$11)*T1096+Summary!$B$11*V1096</f>
        <v/>
      </c>
      <c r="P1096">
        <f>IF(B1136=0,0,O1096/B1136)</f>
        <v/>
      </c>
      <c r="Q1096">
        <f>IFERROR(1/IF(Inputs!$B$39="pvp",15,MAX(0.1,Skills!D6-IF(TRUE=TRUE,Inputs!$B$32,0))),0)</f>
        <v/>
      </c>
      <c r="R1096">
        <f>IF(AND(Inputs!$B$39&lt;&gt;"pvp",Inputs!$B$44&gt;0),IF(MAX(0,Inputs!$B$44-B1135)&lt;=0,0,(INT(MAX(0,Inputs!$B$44-B1135)/IF(Inputs!$B$39="pvp",15,MAX(0.1,Skills!D6-IF(TRUE=TRUE,Inputs!$B$32,0))))+1)),0)</f>
        <v/>
      </c>
      <c r="S1096">
        <f>IFERROR(O1096/N1096,0)</f>
        <v/>
      </c>
      <c r="T1096">
        <f>IF(C1096,(H1096*N1096*IF(AND(Inputs!$B$39&lt;&gt;"pvp",Inputs!$B$44&gt;0),((Skills!G6*((R1096-1)*IF(Skills!H6&gt;0,Skills!I6/Skills!H6,1)+IF(Skills!H6&gt;0,MIN(Skills!I6,MAX(0,MAX(0,Inputs!$B$44-B1135)-((R1096-1)*IF(Inputs!$B$39="pvp",15,MAX(0.1,Skills!D6-IF(TRUE=TRUE,Inputs!$B$32,0))))))/Skills!H6,1)))/Inputs!$B$44),G1096*Q1096))*IF(Inputs!$B$39="pvp",1,1+(Inputs!$B$20+0+Skills!P6+B1125+(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Hunt"),CHOOSE(ArtifactsInput!$N$35+1,15,18,21,24,27,30)*(1-EXP(-(0.2*B1128)*5)),0)+IF(AND(ArtifactsInput!$M$22,Inputs!$B$4&lt;&gt;"Chapter Hunt"),CHOOSE(ArtifactsInput!$N$22+1,10,12,14,16,18,20)*((0*(((0.15*B1128*5))^0/1)+1*(((0.15*B1128*5))^1/1)+2*(((0.15*B1128*5))^2/2)+3*(((0.15*B1128*5))^3/6)+4*(((0.15*B1128*5))^4/24)+5*(((0.15*B1128*5))^5/120))/((((0.15*B1128*5))^0/1)+(((0.15*B1128*5))^1/1)+(((0.15*B1128*5))^2/2)+(((0.15*B1128*5))^3/6)+(((0.15*B1128*5))^4/24)+(((0.15*B1128*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1096*(1-MIN(100,(Inputs!$B$9+((C1116=TRUE)*(F1116-Calc!F26))+B1124+(ArtifactsInput!$M$24-ArtifactsInput!$M$24)*CHOOSE(ArtifactsInput!$N$24+1,10,12,14,16,18,20)+(IF(AND(Inputs!$B$39&lt;&gt;"pvp",Inputs!$B$44=0),1,IF(IF(Inputs!$B$39="pvp",15,Inputs!$B$44)-(B1135)&lt;=0,1,MAX(0,IF(Inputs!$B$39="pvp",15,Inputs!$B$44)-MAX(5,B1135))/(IF(Inputs!$B$39="pvp",15,Inputs!$B$44)-(B1135))))*IF(AND(ArtifactsInput!$M$42,((Inputs!$B$9+((C1116=TRUE)*(F1116-Calc!F26))+B1124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1096*(MIN(100,(Inputs!$B$9+((C1116=TRUE)*(F1116-Calc!F26))+B1124+(ArtifactsInput!$M$24-ArtifactsInput!$M$24)*CHOOSE(ArtifactsInput!$N$24+1,10,12,14,16,18,20)+(IF(AND(Inputs!$B$39&lt;&gt;"pvp",Inputs!$B$44=0),1,IF(IF(Inputs!$B$39="pvp",15,Inputs!$B$44)-(B1135)&lt;=0,1,MAX(0,IF(Inputs!$B$39="pvp",15,Inputs!$B$44)-MAX(5,B1135))/(IF(Inputs!$B$39="pvp",15,Inputs!$B$44)-(B1135))))*IF(AND(ArtifactsInput!$M$42,((Inputs!$B$9+((C1116=TRUE)*(F1116-Calc!F26))+B1124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1096*(1-MIN(100,(Inputs!$B$9+((C1116=TRUE)*(F1116-Calc!F26))+B1124+(ArtifactsInput!$M$24-ArtifactsInput!$M$24)*CHOOSE(ArtifactsInput!$N$24+1,10,12,14,16,18,20)+(IF(AND(Inputs!$B$39&lt;&gt;"pvp",Inputs!$B$44=0),1,IF(IF(Inputs!$B$39="pvp",15,Inputs!$B$44)-(B1135)&lt;=0,1,MAX(0,IF(Inputs!$B$39="pvp",15,Inputs!$B$44)-MAX(5,B1135))/(IF(Inputs!$B$39="pvp",15,Inputs!$B$44)-(B1135))))*IF(AND(ArtifactsInput!$M$42,((Inputs!$B$9+((C1116=TRUE)*(F1116-Calc!F26))+B1124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1096*(MIN(100,(Inputs!$B$9+((C1116=TRUE)*(F1116-Calc!F26))+B1124+(ArtifactsInput!$M$24-ArtifactsInput!$M$24)*CHOOSE(ArtifactsInput!$N$24+1,10,12,14,16,18,20)+(IF(AND(Inputs!$B$39&lt;&gt;"pvp",Inputs!$B$44=0),1,IF(IF(Inputs!$B$39="pvp",15,Inputs!$B$44)-(B1135)&lt;=0,1,MAX(0,IF(Inputs!$B$39="pvp",15,Inputs!$B$44)-MAX(5,B1135))/(IF(Inputs!$B$39="pvp",15,Inputs!$B$44)-(B1135))))*IF(AND(ArtifactsInput!$M$42,((Inputs!$B$9+((C1116=TRUE)*(F1116-Calc!F26))+B1124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1096">
        <f>IF(C1096,(H1096*N1096*IF(AND(Inputs!$B$39&lt;&gt;"pvp",Inputs!$B$44&gt;0),((Skills!G6*((R1096-1)*IF(Skills!H6&gt;0,Skills!I6/Skills!H6,1)+IF(Skills!H6&gt;0,MIN(Skills!I6,MAX(0,MAX(0,Inputs!$B$44-B1135)-((R1096-1)*IF(Inputs!$B$39="pvp",15,MAX(0.1,Skills!D6-IF(TRUE=TRUE,Inputs!$B$32,0))))))/Skills!H6,1)))/Inputs!$B$44),G1096*Q1096))*IF(Inputs!$B$39="pvp",1,(1+(Inputs!$B$21+Skills!Q6+B1125+(IF(ArtifactsInput!$M$33,CHOOSE(ArtifactsInput!$N$33+1,30,36,42,48,54,60),0))+(IF(AND(ArtifactsInput!$M$35,Inputs!$B$4&lt;&gt;"Chapter Hunt"),CHOOSE(ArtifactsInput!$N$35+1,15,18,21,24,27,30)*(1-EXP(-(0.2*B1128)*5)),0)+IF(AND(ArtifactsInput!$M$22,Inputs!$B$4&lt;&gt;"Chapter Hunt"),CHOOSE(ArtifactsInput!$N$22+1,10,12,14,16,18,20)*((0*(((0.15*B1128*5))^0/1)+1*(((0.15*B1128*5))^1/1)+2*(((0.15*B1128*5))^2/2)+3*(((0.15*B1128*5))^3/6)+4*(((0.15*B1128*5))^4/24)+5*(((0.15*B1128*5))^5/120))/((((0.15*B1128*5))^0/1)+(((0.15*B1128*5))^1/1)+(((0.15*B1128*5))^2/2)+(((0.15*B1128*5))^3/6)+(((0.15*B1128*5))^4/24)+(((0.15*B1128*5))^5/120))),0)))/100)*(MIN(Skills!W6,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097">
      <c r="A1097">
        <f>Skills!A7</f>
        <v/>
      </c>
      <c r="B1097">
        <f>Skills!B7</f>
        <v/>
      </c>
      <c r="C1097">
        <f>Inputs!$B$3&gt;=69</f>
        <v/>
      </c>
      <c r="D1097">
        <f>IF(Skills!C7=1,60+Inputs!$B$25+(Inputs!$B$29+1),IF(Skills!C7=2,90+Inputs!$B$26+(Inputs!$B$29+1),IF(Skills!C7=3,120+Inputs!$B$27+(Inputs!$B$29+1),MAX(0,(Inputs!$B$3-100)*3)+Inputs!$B$28+(Inputs!$B$29+1))))</f>
        <v/>
      </c>
      <c r="E1097">
        <f>INDEX(FactorTable!$B$2:$Y$301, MATCH(ROUND(MIN(300,MAX(1,D1097)),0), FactorTable!$A$2:$A$301,0), Skills!M7+1)</f>
        <v/>
      </c>
      <c r="F1097">
        <f>IF(Skills!N7=TRUE,(Skills!L7/10)*(E1097/1000),Skills!L7/10)+Skills!O7</f>
        <v/>
      </c>
      <c r="G1097">
        <f>Skills!G7*IF(Skills!H7&gt;0,IF(Inputs!$B$39="pvp",MIN(Skills!I7,15),Skills!I7)/Skills!H7,1)</f>
        <v/>
      </c>
      <c r="H1097">
        <f>1-(1-Skills!J7/100)^Skills!K7</f>
        <v/>
      </c>
      <c r="I1097" t="inlineStr">
        <is>
          <t>1</t>
        </is>
      </c>
      <c r="J1097">
        <f>((Inputs!$B$6*(1+Inputs!$B$7/100))+(((Inputs!$B$12*(1+Inputs!$B$13/100))-(Inputs!$B$12*(1+Inputs!$B$13/100)))+0.25*(Inputs!$B$14-Inputs!$B$14))*(1+Inputs!$B$7/100))*(F1097/100)</f>
        <v/>
      </c>
      <c r="K1097">
        <f>J1097*(1+((Inputs!$B$12*(1+Inputs!$B$13/100))*0.01+Inputs!$B$14*0.0025)/100)*(1+Inputs!$B$15/100)*(1+Inputs!$B$16/100)*(5000/(6000+Inputs!$B$43*(1-(100*(1-(1-Inputs!$B$19/100)*(1-CHOOSE(ArtifactsInput!$N$40+1,5,6,7,8,9,10)/100)^(ArtifactsInput!$M$40-ArtifactsInput!$M$40)))/100)))*(1+(Inputs!$B$24+((C1121=TRUE)*(F1121-Calc!F31))+((C1108=TRUE)*(F1108-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1109=TRUE,F1109,0)/100)*(1+(IF(Skills!A7="CRUEL_STAB",Inputs!$B$17+((C1118=TRUE)*(F1118-Calc!F28))+((IF(AND(Inputs!$B$39&lt;&gt;"pvp",Inputs!$B$44=0),1,IF(IF(Inputs!$B$39="pvp",15,Inputs!$B$44)-(B1135)&lt;=0,1,MAX(0,IF(Inputs!$B$39="pvp",15,Inputs!$B$44)-MAX(5,B1135))/(IF(Inputs!$B$39="pvp",15,Inputs!$B$44)-(B1135))))*(IF(AND(ArtifactsInput!$M$42,((Inputs!$B$9+((C1116=TRUE)*(F1116-Calc!F26))+B1124+(ArtifactsInput!$M$24-ArtifactsInput!$M$24)*CHOOSE(ArtifactsInput!$N$24+1,10,12,14,16,18,20)+IF(ArtifactsInput!$M$10,CHOOSE(ArtifactsInput!$N$10+1,15,18,21,24,27,30)*(IF(Inputs!$B$39="pvp",MIN(15,15)/15,IF(AND(Inputs!$B$39&lt;&gt;"pvp",Inputs!$B$44&gt;0),MIN(15,Inputs!$B$44)/(Inputs!$B$44),0))),0)))&gt;=100),MIN(100,((Inputs!$B$9+((C1116=TRUE)*(F1116-Calc!F26))+B1124+(ArtifactsInput!$M$24-ArtifactsInput!$M$24)*CHOOSE(ArtifactsInput!$N$24+1,10,12,14,16,18,20)+IF(ArtifactsInput!$M$10,CHOOSE(ArtifactsInput!$N$10+1,15,18,21,24,27,30)*(IF(Inputs!$B$39="pvp",MIN(15,15)/15,IF(AND(Inputs!$B$39&lt;&gt;"pvp",Inputs!$B$44&gt;0),MIN(15,Inputs!$B$44)/(Inputs!$B$44),0))),0)))-100),0))*CHOOSE(ArtifactsInput!$N$42+1,0.6,0.72,0.84,0.96,1.08,1.2))),Inputs!$B$18+((C1119=TRUE)*(F1119-Calc!F29))+(IF(AND(Inputs!$B$39&lt;&gt;"pvp",Inputs!$B$44=0),1,IF(IF(Inputs!$B$39="pvp",15,Inputs!$B$44)-(B1135)&lt;=0,1,MAX(0,IF(Inputs!$B$39="pvp",15,Inputs!$B$44)-MAX(5,B1135))/(IF(Inputs!$B$39="pvp",15,Inputs!$B$44)-(B1135))))*IF(AND(ArtifactsInput!$M$42,((Inputs!$B$9+((C1116=TRUE)*(F1116-Calc!F26))+B1124+(ArtifactsInput!$M$24-ArtifactsInput!$M$24)*CHOOSE(ArtifactsInput!$N$24+1,10,12,14,16,18,20)+IF(ArtifactsInput!$M$10,CHOOSE(ArtifactsInput!$N$10+1,15,18,21,24,27,30)*(IF(Inputs!$B$39="pvp",MIN(15,15)/15,IF(AND(Inputs!$B$39&lt;&gt;"pvp",Inputs!$B$44&gt;0),MIN(15,Inputs!$B$44)/(Inputs!$B$44),0))),0)))&gt;=100),CHOOSE(ArtifactsInput!$N$42+1,40,48,56,64,72,80),0))))/100)*(((1+(((C1112=TRUE)*F1112*IF(AND(Inputs!$B$39&lt;&gt;"pvp",Inputs!$B$44&gt;0),(((R1112-1)*MIN((Skills!Y22*(1+Inputs!$B$34/100)),(1/Q1112))+MIN((Skills!Y22*(1+Inputs!$B$34/100)),MAX(0,Inputs!$B$44-((R1112-1)*(1/Q1112)))))/Inputs!$B$44),IF(Inputs!$B$39="pvp",MIN((Skills!Y22*(1+Inputs!$B$34/100)),15)/15,MIN(1,(Skills!Y22*(1+Inputs!$B$34/100))/(1/Q1112)))))+((C1093=TRUE)*F1093*3)+((C1095=TRUE)*F1095*(1-EXP(-0.75*B1128*5)))+((C1114=TRUE)*(F1114-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1101=TRUE)*F1101*IF(AND(Inputs!$B$39&lt;&gt;"pvp",Inputs!$B$44&gt;0),(((R1101-1)*MIN((Skills!Y11*(1+Inputs!$B$34/100)),(1/Q1101))+MIN((Skills!Y11*(1+Inputs!$B$34/100)),MAX(0,Inputs!$B$44-((R1101-1)*(1/Q1101)))))/Inputs!$B$44),IF(Inputs!$B$39="pvp",MIN((Skills!Y11*(1+Inputs!$B$34/100)),15)/15,MIN(1,(Skills!Y11*(1+Inputs!$B$34/100))/(1/Q1101)))))/100)*(1+((C1106=TRUE)*F1106*IF(AND(Inputs!$B$39&lt;&gt;"pvp",Inputs!$B$44&gt;0),(((R1106-1)*MIN((Skills!Y16*(1+Inputs!$B$34/100)),(1/Q1106))+MIN((Skills!Y16*(1+Inputs!$B$34/100)),MAX(0,Inputs!$B$44-((R1106-1)*(1/Q1106)))))/Inputs!$B$44),IF(Inputs!$B$39="pvp",MIN((Skills!Y16*(1+Inputs!$B$34/100)),15)/15,MIN(1,(Skills!Y16*(1+Inputs!$B$34/100))/(1/Q1106)))))/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1126*I1097)</f>
        <v/>
      </c>
      <c r="L1097">
        <f>K1097*(MIN(Inputs!$B$22+((C1115=TRUE)*(F1115-Calc!F25)),(Inputs!$B$23+((C1120=TRUE)*(F1120-Calc!F30))+IF(ArtifactsInput!$M$15,CHOOSE(ArtifactsInput!$N$15+1,25,30,35,40,45,50)/100*(Inputs!$B$11-Inputs!$B$11),0)))/100+(Inputs!$B$23+((C1120=TRUE)*(F1120-Calc!F30))+IF(ArtifactsInput!$M$15,CHOOSE(ArtifactsInput!$N$15+1,25,30,35,40,45,50)/100*(Inputs!$B$11-Inputs!$B$11),0))/100)/2</f>
        <v/>
      </c>
      <c r="M1097">
        <f>L1097*(1+(Inputs!$B$10+((C1117=TRUE)*(F1117-Calc!F27))+B1131+(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1097">
        <f>L1097*(1-MIN((Inputs!$B$9+((C1116=TRUE)*(F1116-Calc!F26))+B1124+(ArtifactsInput!$M$24-ArtifactsInput!$M$24)*CHOOSE(ArtifactsInput!$N$24+1,10,12,14,16,18,20)+(IF(AND(Inputs!$B$39&lt;&gt;"pvp",Inputs!$B$44=0),1,IF(IF(Inputs!$B$39="pvp",15,Inputs!$B$44)-(B1135)&lt;=0,1,MAX(0,IF(Inputs!$B$39="pvp",15,Inputs!$B$44)-MAX(5,B1135))/(IF(Inputs!$B$39="pvp",15,Inputs!$B$44)-(B1135))))*IF(AND(ArtifactsInput!$M$42,((Inputs!$B$9+((C1116=TRUE)*(F1116-Calc!F26))+B1124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1097*(MIN((Inputs!$B$9+((C1116=TRUE)*(F1116-Calc!F26))+B1124+(ArtifactsInput!$M$24-ArtifactsInput!$M$24)*CHOOSE(ArtifactsInput!$N$24+1,10,12,14,16,18,20)+(IF(AND(Inputs!$B$39&lt;&gt;"pvp",Inputs!$B$44=0),1,IF(IF(Inputs!$B$39="pvp",15,Inputs!$B$44)-(B1135)&lt;=0,1,MAX(0,IF(Inputs!$B$39="pvp",15,Inputs!$B$44)-MAX(5,B1135))/(IF(Inputs!$B$39="pvp",15,Inputs!$B$44)-(B1135))))*IF(AND(ArtifactsInput!$M$42,((Inputs!$B$9+((C1116=TRUE)*(F1116-Calc!F26))+B1124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097">
        <f>(1-Summary!$B$11)*T1097+Summary!$B$11*V1097</f>
        <v/>
      </c>
      <c r="P1097">
        <f>IF(B1136=0,0,O1097/B1136)</f>
        <v/>
      </c>
      <c r="Q1097">
        <f>IFERROR(1/IF(Inputs!$B$39="pvp",15,MAX(0.1,Skills!D7-IF(TRUE=TRUE,Inputs!$B$32,0))),0)</f>
        <v/>
      </c>
      <c r="R1097">
        <f>IF(AND(Inputs!$B$39&lt;&gt;"pvp",Inputs!$B$44&gt;0),IF(MAX(0,Inputs!$B$44-B1135)&lt;=0,0,(INT(MAX(0,Inputs!$B$44-B1135)/IF(Inputs!$B$39="pvp",15,MAX(0.1,Skills!D7-IF(TRUE=TRUE,Inputs!$B$32,0))))+1)),0)</f>
        <v/>
      </c>
      <c r="S1097">
        <f>IFERROR(O1097/N1097,0)</f>
        <v/>
      </c>
      <c r="T1097">
        <f>IF(C1097,(H1097*N1097*IF(AND(Inputs!$B$39&lt;&gt;"pvp",Inputs!$B$44&gt;0),((Skills!G7*((R1097-1)*IF(Skills!H7&gt;0,Skills!I7/Skills!H7,1)+IF(Skills!H7&gt;0,MIN(Skills!I7,MAX(0,MAX(0,Inputs!$B$44-B1135)-((R1097-1)*IF(Inputs!$B$39="pvp",15,MAX(0.1,Skills!D7-IF(TRUE=TRUE,Inputs!$B$32,0))))))/Skills!H7,1)))/Inputs!$B$44),G1097*Q1097))*IF(Inputs!$B$39="pvp",1,1+(Inputs!$B$20+0+Skills!P7+B1125+(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Hunt"),CHOOSE(ArtifactsInput!$N$35+1,15,18,21,24,27,30)*(1-EXP(-(0.2*B1128)*5)),0)+IF(AND(ArtifactsInput!$M$22,Inputs!$B$4&lt;&gt;"Chapter Hunt"),CHOOSE(ArtifactsInput!$N$22+1,10,12,14,16,18,20)*((0*(((0.15*B1128*5))^0/1)+1*(((0.15*B1128*5))^1/1)+2*(((0.15*B1128*5))^2/2)+3*(((0.15*B1128*5))^3/6)+4*(((0.15*B1128*5))^4/24)+5*(((0.15*B1128*5))^5/120))/((((0.15*B1128*5))^0/1)+(((0.15*B1128*5))^1/1)+(((0.15*B1128*5))^2/2)+(((0.15*B1128*5))^3/6)+(((0.15*B1128*5))^4/24)+(((0.15*B1128*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1097*(1-MIN(100,(Inputs!$B$9+((C1116=TRUE)*(F1116-Calc!F26))+B1124+(ArtifactsInput!$M$24-ArtifactsInput!$M$24)*CHOOSE(ArtifactsInput!$N$24+1,10,12,14,16,18,20)+(IF(AND(Inputs!$B$39&lt;&gt;"pvp",Inputs!$B$44=0),1,IF(IF(Inputs!$B$39="pvp",15,Inputs!$B$44)-(B1135)&lt;=0,1,MAX(0,IF(Inputs!$B$39="pvp",15,Inputs!$B$44)-MAX(5,B1135))/(IF(Inputs!$B$39="pvp",15,Inputs!$B$44)-(B1135))))*IF(AND(ArtifactsInput!$M$42,((Inputs!$B$9+((C1116=TRUE)*(F1116-Calc!F26))+B1124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1097*(MIN(100,(Inputs!$B$9+((C1116=TRUE)*(F1116-Calc!F26))+B1124+(ArtifactsInput!$M$24-ArtifactsInput!$M$24)*CHOOSE(ArtifactsInput!$N$24+1,10,12,14,16,18,20)+(IF(AND(Inputs!$B$39&lt;&gt;"pvp",Inputs!$B$44=0),1,IF(IF(Inputs!$B$39="pvp",15,Inputs!$B$44)-(B1135)&lt;=0,1,MAX(0,IF(Inputs!$B$39="pvp",15,Inputs!$B$44)-MAX(5,B1135))/(IF(Inputs!$B$39="pvp",15,Inputs!$B$44)-(B1135))))*IF(AND(ArtifactsInput!$M$42,((Inputs!$B$9+((C1116=TRUE)*(F1116-Calc!F26))+B1124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1097*(1-MIN(100,(Inputs!$B$9+((C1116=TRUE)*(F1116-Calc!F26))+B1124+(ArtifactsInput!$M$24-ArtifactsInput!$M$24)*CHOOSE(ArtifactsInput!$N$24+1,10,12,14,16,18,20)+(IF(AND(Inputs!$B$39&lt;&gt;"pvp",Inputs!$B$44=0),1,IF(IF(Inputs!$B$39="pvp",15,Inputs!$B$44)-(B1135)&lt;=0,1,MAX(0,IF(Inputs!$B$39="pvp",15,Inputs!$B$44)-MAX(5,B1135))/(IF(Inputs!$B$39="pvp",15,Inputs!$B$44)-(B1135))))*IF(AND(ArtifactsInput!$M$42,((Inputs!$B$9+((C1116=TRUE)*(F1116-Calc!F26))+B1124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1097*(MIN(100,(Inputs!$B$9+((C1116=TRUE)*(F1116-Calc!F26))+B1124+(ArtifactsInput!$M$24-ArtifactsInput!$M$24)*CHOOSE(ArtifactsInput!$N$24+1,10,12,14,16,18,20)+(IF(AND(Inputs!$B$39&lt;&gt;"pvp",Inputs!$B$44=0),1,IF(IF(Inputs!$B$39="pvp",15,Inputs!$B$44)-(B1135)&lt;=0,1,MAX(0,IF(Inputs!$B$39="pvp",15,Inputs!$B$44)-MAX(5,B1135))/(IF(Inputs!$B$39="pvp",15,Inputs!$B$44)-(B1135))))*IF(AND(ArtifactsInput!$M$42,((Inputs!$B$9+((C1116=TRUE)*(F1116-Calc!F26))+B1124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1097">
        <f>IF(C1097,(H1097*N1097*IF(AND(Inputs!$B$39&lt;&gt;"pvp",Inputs!$B$44&gt;0),((Skills!G7*((R1097-1)*IF(Skills!H7&gt;0,Skills!I7/Skills!H7,1)+IF(Skills!H7&gt;0,MIN(Skills!I7,MAX(0,MAX(0,Inputs!$B$44-B1135)-((R1097-1)*IF(Inputs!$B$39="pvp",15,MAX(0.1,Skills!D7-IF(TRUE=TRUE,Inputs!$B$32,0))))))/Skills!H7,1)))/Inputs!$B$44),G1097*Q1097))*IF(Inputs!$B$39="pvp",1,(1+(Inputs!$B$21+Skills!Q7+B1125+(IF(ArtifactsInput!$M$33,CHOOSE(ArtifactsInput!$N$33+1,30,36,42,48,54,60),0))+(IF(AND(ArtifactsInput!$M$35,Inputs!$B$4&lt;&gt;"Chapter Hunt"),CHOOSE(ArtifactsInput!$N$35+1,15,18,21,24,27,30)*(1-EXP(-(0.2*B1128)*5)),0)+IF(AND(ArtifactsInput!$M$22,Inputs!$B$4&lt;&gt;"Chapter Hunt"),CHOOSE(ArtifactsInput!$N$22+1,10,12,14,16,18,20)*((0*(((0.15*B1128*5))^0/1)+1*(((0.15*B1128*5))^1/1)+2*(((0.15*B1128*5))^2/2)+3*(((0.15*B1128*5))^3/6)+4*(((0.15*B1128*5))^4/24)+5*(((0.15*B1128*5))^5/120))/((((0.15*B1128*5))^0/1)+(((0.15*B1128*5))^1/1)+(((0.15*B1128*5))^2/2)+(((0.15*B1128*5))^3/6)+(((0.15*B1128*5))^4/24)+(((0.15*B1128*5))^5/120))),0)))/100)*(MIN(Skills!W7,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098">
      <c r="A1098">
        <f>Skills!A8</f>
        <v/>
      </c>
      <c r="B1098">
        <f>Skills!B8</f>
        <v/>
      </c>
      <c r="C1098">
        <f>Inputs!$B$3&gt;=60</f>
        <v/>
      </c>
      <c r="D1098">
        <f>IF(Skills!C8=1,60+Inputs!$B$25+(Inputs!$B$29+1),IF(Skills!C8=2,90+Inputs!$B$26+(Inputs!$B$29+1),IF(Skills!C8=3,120+Inputs!$B$27+(Inputs!$B$29+1),MAX(0,(Inputs!$B$3-100)*3)+Inputs!$B$28+(Inputs!$B$29+1))))</f>
        <v/>
      </c>
      <c r="E1098">
        <f>INDEX(FactorTable!$B$2:$Y$301, MATCH(ROUND(MIN(300,MAX(1,D1098)),0), FactorTable!$A$2:$A$301,0), Skills!M8+1)</f>
        <v/>
      </c>
      <c r="F1098">
        <f>IF(Skills!N8=TRUE,(Skills!L8/10)*(E1098/1000),Skills!L8/10)+Skills!O8</f>
        <v/>
      </c>
      <c r="G1098">
        <f>Skills!G8*IF(Skills!H8&gt;0,IF(Inputs!$B$39="pvp",MIN(Skills!I8,15),Skills!I8)/Skills!H8,1)</f>
        <v/>
      </c>
      <c r="H1098">
        <f>1-(1-Skills!J8/100)^Skills!K8</f>
        <v/>
      </c>
      <c r="I1098" t="inlineStr">
        <is>
          <t>1</t>
        </is>
      </c>
      <c r="J1098" t="inlineStr"/>
      <c r="K1098" t="inlineStr"/>
      <c r="L1098" t="inlineStr"/>
      <c r="M1098" t="inlineStr"/>
      <c r="N1098" t="inlineStr"/>
      <c r="O1098">
        <f>(1-Summary!$B$11)*T1098+Summary!$B$11*V1098</f>
        <v/>
      </c>
      <c r="P1098">
        <f>IF(B1136=0,0,O1098/B1136)</f>
        <v/>
      </c>
      <c r="Q1098" t="n">
        <v>0</v>
      </c>
      <c r="R1098" t="n">
        <v>0</v>
      </c>
      <c r="S1098">
        <f>IFERROR(O1098/N1098,0)</f>
        <v/>
      </c>
      <c r="T1098" t="n">
        <v>0</v>
      </c>
      <c r="V1098" t="n">
        <v>0</v>
      </c>
    </row>
    <row r="1099">
      <c r="A1099">
        <f>Skills!A9</f>
        <v/>
      </c>
      <c r="B1099">
        <f>Skills!B9</f>
        <v/>
      </c>
      <c r="C1099">
        <f>Inputs!$B$3&gt;=72</f>
        <v/>
      </c>
      <c r="D1099">
        <f>IF(Skills!C9=1,60+Inputs!$B$25+(Inputs!$B$29+1),IF(Skills!C9=2,90+Inputs!$B$26+(Inputs!$B$29+1),IF(Skills!C9=3,120+Inputs!$B$27+(Inputs!$B$29+1),MAX(0,(Inputs!$B$3-100)*3)+Inputs!$B$28+(Inputs!$B$29+1))))</f>
        <v/>
      </c>
      <c r="E1099">
        <f>INDEX(FactorTable!$B$2:$Y$301, MATCH(ROUND(MIN(300,MAX(1,D1099)),0), FactorTable!$A$2:$A$301,0), Skills!M9+1)</f>
        <v/>
      </c>
      <c r="F1099">
        <f>IF(Skills!N9=TRUE,(Skills!L9/10)*(E1099/1000),Skills!L9/10)+Skills!O9</f>
        <v/>
      </c>
      <c r="G1099">
        <f>Skills!G9*IF(Skills!H9&gt;0,IF(Inputs!$B$39="pvp",MIN(Skills!I9,15),Skills!I9)/Skills!H9,1)</f>
        <v/>
      </c>
      <c r="H1099">
        <f>1-(1-Skills!J9/100)^Skills!K9</f>
        <v/>
      </c>
      <c r="I1099" t="inlineStr">
        <is>
          <t>1</t>
        </is>
      </c>
      <c r="J1099">
        <f>((Inputs!$B$6*(1+Inputs!$B$7/100))+(((Inputs!$B$12*(1+Inputs!$B$13/100))-(Inputs!$B$12*(1+Inputs!$B$13/100)))+0.25*(Inputs!$B$14-Inputs!$B$14))*(1+Inputs!$B$7/100))*(F1099/100)</f>
        <v/>
      </c>
      <c r="K1099">
        <f>J1099*(1+((Inputs!$B$12*(1+Inputs!$B$13/100))*0.01+Inputs!$B$14*0.0025)/100)*(1+Inputs!$B$15/100)*(1+Inputs!$B$16/100)*(5000/(6000+Inputs!$B$43*(1-(100*(1-(1-Inputs!$B$19/100)*(1-CHOOSE(ArtifactsInput!$N$40+1,5,6,7,8,9,10)/100)^(ArtifactsInput!$M$40-ArtifactsInput!$M$40)))/100)))*(1+(Inputs!$B$24+((C1121=TRUE)*(F1121-Calc!F31))+((C1108=TRUE)*(F1108-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+3.3333333333333335*IF(C1109=TRUE,F1109,0)/100)*(1+(IF(Skills!A9="CRUEL_STAB",Inputs!$B$17+((C1118=TRUE)*(F1118-Calc!F28))+((IF(AND(Inputs!$B$39&lt;&gt;"pvp",Inputs!$B$44=0),1,IF(IF(Inputs!$B$39="pvp",15,Inputs!$B$44)-(B1135)&lt;=0,1,MAX(0,IF(Inputs!$B$39="pvp",15,Inputs!$B$44)-MAX(5,B1135))/(IF(Inputs!$B$39="pvp",15,Inputs!$B$44)-(B1135))))*(IF(AND(ArtifactsInput!$M$42,((Inputs!$B$9+((C1116=TRUE)*(F1116-Calc!F26))+B1124+(ArtifactsInput!$M$24-ArtifactsInput!$M$24)*CHOOSE(ArtifactsInput!$N$24+1,10,12,14,16,18,20)+IF(ArtifactsInput!$M$10,CHOOSE(ArtifactsInput!$N$10+1,15,18,21,24,27,30)*(IF(Inputs!$B$39="pvp",MIN(15,15)/15,IF(AND(Inputs!$B$39&lt;&gt;"pvp",Inputs!$B$44&gt;0),MIN(15,Inputs!$B$44)/(Inputs!$B$44),0))),0)))&gt;=100),MIN(100,((Inputs!$B$9+((C1116=TRUE)*(F1116-Calc!F26))+B1124+(ArtifactsInput!$M$24-ArtifactsInput!$M$24)*CHOOSE(ArtifactsInput!$N$24+1,10,12,14,16,18,20)+IF(ArtifactsInput!$M$10,CHOOSE(ArtifactsInput!$N$10+1,15,18,21,24,27,30)*(IF(Inputs!$B$39="pvp",MIN(15,15)/15,IF(AND(Inputs!$B$39&lt;&gt;"pvp",Inputs!$B$44&gt;0),MIN(15,Inputs!$B$44)/(Inputs!$B$44),0))),0)))-100),0))*CHOOSE(ArtifactsInput!$N$42+1,0.6,0.72,0.84,0.96,1.08,1.2))),Inputs!$B$18+((C1119=TRUE)*(F1119-Calc!F29))+(IF(AND(Inputs!$B$39&lt;&gt;"pvp",Inputs!$B$44=0),1,IF(IF(Inputs!$B$39="pvp",15,Inputs!$B$44)-(B1135)&lt;=0,1,MAX(0,IF(Inputs!$B$39="pvp",15,Inputs!$B$44)-MAX(5,B1135))/(IF(Inputs!$B$39="pvp",15,Inputs!$B$44)-(B1135))))*IF(AND(ArtifactsInput!$M$42,((Inputs!$B$9+((C1116=TRUE)*(F1116-Calc!F26))+B1124+(ArtifactsInput!$M$24-ArtifactsInput!$M$24)*CHOOSE(ArtifactsInput!$N$24+1,10,12,14,16,18,20)+IF(ArtifactsInput!$M$10,CHOOSE(ArtifactsInput!$N$10+1,15,18,21,24,27,30)*(IF(Inputs!$B$39="pvp",MIN(15,15)/15,IF(AND(Inputs!$B$39&lt;&gt;"pvp",Inputs!$B$44&gt;0),MIN(15,Inputs!$B$44)/(Inputs!$B$44),0))),0)))&gt;=100),CHOOSE(ArtifactsInput!$N$42+1,40,48,56,64,72,80),0))))/100)*(((1+(((C1112=TRUE)*F1112*IF(AND(Inputs!$B$39&lt;&gt;"pvp",Inputs!$B$44&gt;0),(((R1112-1)*MIN((Skills!Y22*(1+Inputs!$B$34/100)),(1/Q1112))+MIN((Skills!Y22*(1+Inputs!$B$34/100)),MAX(0,Inputs!$B$44-((R1112-1)*(1/Q1112)))))/Inputs!$B$44),IF(Inputs!$B$39="pvp",MIN((Skills!Y22*(1+Inputs!$B$34/100)),15)/15,MIN(1,(Skills!Y22*(1+Inputs!$B$34/100))/(1/Q1112)))))+((C1093=TRUE)*F1093*3)+((C1095=TRUE)*F1095*(1-EXP(-0.75*B1128*5)))+((C1114=TRUE)*(F1114-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1101=TRUE)*F1101*IF(AND(Inputs!$B$39&lt;&gt;"pvp",Inputs!$B$44&gt;0),(((R1101-1)*MIN((Skills!Y11*(1+Inputs!$B$34/100)),(1/Q1101))+MIN((Skills!Y11*(1+Inputs!$B$34/100)),MAX(0,Inputs!$B$44-((R1101-1)*(1/Q1101)))))/Inputs!$B$44),IF(Inputs!$B$39="pvp",MIN((Skills!Y11*(1+Inputs!$B$34/100)),15)/15,MIN(1,(Skills!Y11*(1+Inputs!$B$34/100))/(1/Q1101)))))/100)*(1+((C1106=TRUE)*F1106*IF(AND(Inputs!$B$39&lt;&gt;"pvp",Inputs!$B$44&gt;0),(((R1106-1)*MIN((Skills!Y16*(1+Inputs!$B$34/100)),(1/Q1106))+MIN((Skills!Y16*(1+Inputs!$B$34/100)),MAX(0,Inputs!$B$44-((R1106-1)*(1/Q1106)))))/Inputs!$B$44),IF(Inputs!$B$39="pvp",MIN((Skills!Y16*(1+Inputs!$B$34/100)),15)/15,MIN(1,(Skills!Y16*(1+Inputs!$B$34/100))/(1/Q1106)))))/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1126*I1099)</f>
        <v/>
      </c>
      <c r="L1099">
        <f>K1099*(MIN(Inputs!$B$22+((C1115=TRUE)*(F1115-Calc!F25)),(Inputs!$B$23+((C1120=TRUE)*(F1120-Calc!F30))+IF(ArtifactsInput!$M$15,CHOOSE(ArtifactsInput!$N$15+1,25,30,35,40,45,50)/100*(Inputs!$B$11-Inputs!$B$11),0)))/100+(Inputs!$B$23+((C1120=TRUE)*(F1120-Calc!F30))+IF(ArtifactsInput!$M$15,CHOOSE(ArtifactsInput!$N$15+1,25,30,35,40,45,50)/100*(Inputs!$B$11-Inputs!$B$11),0))/100)/2</f>
        <v/>
      </c>
      <c r="M1099">
        <f>L1099*(1+(Inputs!$B$10+((C1117=TRUE)*(F1117-Calc!F27))+B1131+(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1099">
        <f>L1099*(1-MIN((Inputs!$B$9+((C1116=TRUE)*(F1116-Calc!F26))+B1124+(ArtifactsInput!$M$24-ArtifactsInput!$M$24)*CHOOSE(ArtifactsInput!$N$24+1,10,12,14,16,18,20)+(IF(AND(Inputs!$B$39&lt;&gt;"pvp",Inputs!$B$44=0),1,IF(IF(Inputs!$B$39="pvp",15,Inputs!$B$44)-(B1135)&lt;=0,1,MAX(0,IF(Inputs!$B$39="pvp",15,Inputs!$B$44)-MAX(5,B1135))/(IF(Inputs!$B$39="pvp",15,Inputs!$B$44)-(B1135))))*IF(AND(ArtifactsInput!$M$42,((Inputs!$B$9+((C1116=TRUE)*(F1116-Calc!F26))+B1124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1099*(MIN((Inputs!$B$9+((C1116=TRUE)*(F1116-Calc!F26))+B1124+(ArtifactsInput!$M$24-ArtifactsInput!$M$24)*CHOOSE(ArtifactsInput!$N$24+1,10,12,14,16,18,20)+(IF(AND(Inputs!$B$39&lt;&gt;"pvp",Inputs!$B$44=0),1,IF(IF(Inputs!$B$39="pvp",15,Inputs!$B$44)-(B1135)&lt;=0,1,MAX(0,IF(Inputs!$B$39="pvp",15,Inputs!$B$44)-MAX(5,B1135))/(IF(Inputs!$B$39="pvp",15,Inputs!$B$44)-(B1135))))*IF(AND(ArtifactsInput!$M$42,((Inputs!$B$9+((C1116=TRUE)*(F1116-Calc!F26))+B1124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099">
        <f>(1-Summary!$B$11)*T1099+Summary!$B$11*V1099</f>
        <v/>
      </c>
      <c r="P1099">
        <f>IF(B1136=0,0,O1099/B1136)</f>
        <v/>
      </c>
      <c r="Q1099">
        <f>IFERROR(1/IF(Inputs!$B$39="pvp",15,MAX(0.1,Skills!D9-IF(FALSE=TRUE,Inputs!$B$32,0))),0)</f>
        <v/>
      </c>
      <c r="R1099">
        <f>IF(AND(Inputs!$B$39&lt;&gt;"pvp",Inputs!$B$44&gt;0),IF(MAX(0,Inputs!$B$44-B1135)&lt;=0,0,(INT(MAX(0,Inputs!$B$44-B1135)/IF(Inputs!$B$39="pvp",15,MAX(0.1,Skills!D9-IF(FALSE=TRUE,Inputs!$B$32,0))))+1)),0)</f>
        <v/>
      </c>
      <c r="S1099">
        <f>IFERROR(O1099/N1099,0)</f>
        <v/>
      </c>
      <c r="T1099">
        <f>IF(C1099,(H1099*N1099*IF(AND(Inputs!$B$39&lt;&gt;"pvp",Inputs!$B$44&gt;0),((Skills!G9*((R1099-1)*IF(Skills!H9&gt;0,Skills!I9/Skills!H9,1)+IF(Skills!H9&gt;0,MIN(Skills!I9,MAX(0,MAX(0,Inputs!$B$44-B1135)-((R1099-1)*IF(Inputs!$B$39="pvp",15,MAX(0.1,Skills!D9-IF(FALSE=TRUE,Inputs!$B$32,0))))))/Skills!H9,1)))/Inputs!$B$44),G1099*Q1099))*IF(Inputs!$B$39="pvp",1,1+(Inputs!$B$20+0+Skills!P9+B1125+(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Hunt"),CHOOSE(ArtifactsInput!$N$35+1,15,18,21,24,27,30)*(1-EXP(-(0.2*B1128)*5)),0)+IF(AND(ArtifactsInput!$M$22,Inputs!$B$4&lt;&gt;"Chapter Hunt"),CHOOSE(ArtifactsInput!$N$22+1,10,12,14,16,18,20)*((0*(((0.15*B1128*5))^0/1)+1*(((0.15*B1128*5))^1/1)+2*(((0.15*B1128*5))^2/2)+3*(((0.15*B1128*5))^3/6)+4*(((0.15*B1128*5))^4/24)+5*(((0.15*B1128*5))^5/120))/((((0.15*B1128*5))^0/1)+(((0.15*B1128*5))^1/1)+(((0.15*B1128*5))^2/2)+(((0.15*B1128*5))^3/6)+(((0.15*B1128*5))^4/24)+(((0.15*B1128*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1099*(1-MIN(100,(Inputs!$B$9+((C1116=TRUE)*(F1116-Calc!F26))+B1124+(ArtifactsInput!$M$24-ArtifactsInput!$M$24)*CHOOSE(ArtifactsInput!$N$24+1,10,12,14,16,18,20)+(IF(AND(Inputs!$B$39&lt;&gt;"pvp",Inputs!$B$44=0),1,IF(IF(Inputs!$B$39="pvp",15,Inputs!$B$44)-(B1135)&lt;=0,1,MAX(0,IF(Inputs!$B$39="pvp",15,Inputs!$B$44)-MAX(5,B1135))/(IF(Inputs!$B$39="pvp",15,Inputs!$B$44)-(B1135))))*IF(AND(ArtifactsInput!$M$42,((Inputs!$B$9+((C1116=TRUE)*(F1116-Calc!F26))+B1124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1099*(MIN(100,(Inputs!$B$9+((C1116=TRUE)*(F1116-Calc!F26))+B1124+(ArtifactsInput!$M$24-ArtifactsInput!$M$24)*CHOOSE(ArtifactsInput!$N$24+1,10,12,14,16,18,20)+(IF(AND(Inputs!$B$39&lt;&gt;"pvp",Inputs!$B$44=0),1,IF(IF(Inputs!$B$39="pvp",15,Inputs!$B$44)-(B1135)&lt;=0,1,MAX(0,IF(Inputs!$B$39="pvp",15,Inputs!$B$44)-MAX(5,B1135))/(IF(Inputs!$B$39="pvp",15,Inputs!$B$44)-(B1135))))*IF(AND(ArtifactsInput!$M$42,((Inputs!$B$9+((C1116=TRUE)*(F1116-Calc!F26))+B1124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1099*(1-MIN(100,(Inputs!$B$9+((C1116=TRUE)*(F1116-Calc!F26))+B1124+(ArtifactsInput!$M$24-ArtifactsInput!$M$24)*CHOOSE(ArtifactsInput!$N$24+1,10,12,14,16,18,20)+(IF(AND(Inputs!$B$39&lt;&gt;"pvp",Inputs!$B$44=0),1,IF(IF(Inputs!$B$39="pvp",15,Inputs!$B$44)-(B1135)&lt;=0,1,MAX(0,IF(Inputs!$B$39="pvp",15,Inputs!$B$44)-MAX(5,B1135))/(IF(Inputs!$B$39="pvp",15,Inputs!$B$44)-(B1135))))*IF(AND(ArtifactsInput!$M$42,((Inputs!$B$9+((C1116=TRUE)*(F1116-Calc!F26))+B1124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1099*(MIN(100,(Inputs!$B$9+((C1116=TRUE)*(F1116-Calc!F26))+B1124+(ArtifactsInput!$M$24-ArtifactsInput!$M$24)*CHOOSE(ArtifactsInput!$N$24+1,10,12,14,16,18,20)+(IF(AND(Inputs!$B$39&lt;&gt;"pvp",Inputs!$B$44=0),1,IF(IF(Inputs!$B$39="pvp",15,Inputs!$B$44)-(B1135)&lt;=0,1,MAX(0,IF(Inputs!$B$39="pvp",15,Inputs!$B$44)-MAX(5,B1135))/(IF(Inputs!$B$39="pvp",15,Inputs!$B$44)-(B1135))))*IF(AND(ArtifactsInput!$M$42,((Inputs!$B$9+((C1116=TRUE)*(F1116-Calc!F26))+B1124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1099">
        <f>IF(C1099,(H1099*N1099*IF(AND(Inputs!$B$39&lt;&gt;"pvp",Inputs!$B$44&gt;0),((Skills!G9*((R1099-1)*IF(Skills!H9&gt;0,Skills!I9/Skills!H9,1)+IF(Skills!H9&gt;0,MIN(Skills!I9,MAX(0,MAX(0,Inputs!$B$44-B1135)-((R1099-1)*IF(Inputs!$B$39="pvp",15,MAX(0.1,Skills!D9-IF(FALSE=TRUE,Inputs!$B$32,0))))))/Skills!H9,1)))/Inputs!$B$44),G1099*Q1099))*IF(Inputs!$B$39="pvp",1,(1+(Inputs!$B$21+Skills!Q9+B1125+(IF(ArtifactsInput!$M$33,CHOOSE(ArtifactsInput!$N$33+1,30,36,42,48,54,60),0))+(IF(AND(ArtifactsInput!$M$35,Inputs!$B$4&lt;&gt;"Chapter Hunt"),CHOOSE(ArtifactsInput!$N$35+1,15,18,21,24,27,30)*(1-EXP(-(0.2*B1128)*5)),0)+IF(AND(ArtifactsInput!$M$22,Inputs!$B$4&lt;&gt;"Chapter Hunt"),CHOOSE(ArtifactsInput!$N$22+1,10,12,14,16,18,20)*((0*(((0.15*B1128*5))^0/1)+1*(((0.15*B1128*5))^1/1)+2*(((0.15*B1128*5))^2/2)+3*(((0.15*B1128*5))^3/6)+4*(((0.15*B1128*5))^4/24)+5*(((0.15*B1128*5))^5/120))/((((0.15*B1128*5))^0/1)+(((0.15*B1128*5))^1/1)+(((0.15*B1128*5))^2/2)+(((0.15*B1128*5))^3/6)+(((0.15*B1128*5))^4/24)+(((0.15*B1128*5))^5/120))),0)))/100)*(MIN(Skills!W9,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100">
      <c r="A1100">
        <f>Skills!A10</f>
        <v/>
      </c>
      <c r="B1100">
        <f>Skills!B10</f>
        <v/>
      </c>
      <c r="C1100">
        <f>Inputs!$B$3&gt;=117</f>
        <v/>
      </c>
      <c r="D1100">
        <f>IF(Skills!C10=1,60+Inputs!$B$25+(Inputs!$B$29+1),IF(Skills!C10=2,90+Inputs!$B$26+(Inputs!$B$29+1),IF(Skills!C10=3,120+Inputs!$B$27+(Inputs!$B$29+1),MAX(0,(Inputs!$B$3-100)*3)+Inputs!$B$28+(Inputs!$B$29+1))))</f>
        <v/>
      </c>
      <c r="E1100">
        <f>INDEX(FactorTable!$B$2:$Y$301, MATCH(ROUND(MIN(300,MAX(1,D1100)),0), FactorTable!$A$2:$A$301,0), Skills!M10+1)</f>
        <v/>
      </c>
      <c r="F1100">
        <f>IF(Skills!N10=TRUE,(Skills!L10/10)*(E1100/1000),Skills!L10/10)+Skills!O10</f>
        <v/>
      </c>
      <c r="G1100">
        <f>Skills!G10*IF(Skills!H10&gt;0,IF(Inputs!$B$39="pvp",MIN(Skills!I10,15),Skills!I10)/Skills!H10,1)</f>
        <v/>
      </c>
      <c r="H1100">
        <f>1-(1-Skills!J10/100)^Skills!K10</f>
        <v/>
      </c>
      <c r="I1100" t="inlineStr">
        <is>
          <t>1</t>
        </is>
      </c>
      <c r="J1100">
        <f>((Inputs!$B$6*(1+Inputs!$B$7/100))+(((Inputs!$B$12*(1+Inputs!$B$13/100))-(Inputs!$B$12*(1+Inputs!$B$13/100)))+0.25*(Inputs!$B$14-Inputs!$B$14))*(1+Inputs!$B$7/100))*(F1100/100)</f>
        <v/>
      </c>
      <c r="K1100">
        <f>J1100*(1+((Inputs!$B$12*(1+Inputs!$B$13/100))*0.01+Inputs!$B$14*0.0025)/100)*(1+Inputs!$B$15/100)*(1+Inputs!$B$16/100)*(5000/(6000+Inputs!$B$43*(1-(100*(1-(1-Inputs!$B$19/100)*(1-CHOOSE(ArtifactsInput!$N$40+1,5,6,7,8,9,10)/100)^(ArtifactsInput!$M$40-ArtifactsInput!$M$40)))/100)))*(1+(Inputs!$B$24+((C1121=TRUE)*(F1121-Calc!F31))+((C1108=TRUE)*(F1108-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10="CRUEL_STAB",Inputs!$B$17+((C1118=TRUE)*(F1118-Calc!F28))+((IF(AND(Inputs!$B$39&lt;&gt;"pvp",Inputs!$B$44=0),1,IF(IF(Inputs!$B$39="pvp",15,Inputs!$B$44)-(B1135)&lt;=0,1,MAX(0,IF(Inputs!$B$39="pvp",15,Inputs!$B$44)-MAX(5,B1135))/(IF(Inputs!$B$39="pvp",15,Inputs!$B$44)-(B1135))))*(IF(AND(ArtifactsInput!$M$42,((Inputs!$B$9+((C1116=TRUE)*(F1116-Calc!F26))+B1124+(ArtifactsInput!$M$24-ArtifactsInput!$M$24)*CHOOSE(ArtifactsInput!$N$24+1,10,12,14,16,18,20)+IF(ArtifactsInput!$M$10,CHOOSE(ArtifactsInput!$N$10+1,15,18,21,24,27,30)*(IF(Inputs!$B$39="pvp",MIN(15,15)/15,IF(AND(Inputs!$B$39&lt;&gt;"pvp",Inputs!$B$44&gt;0),MIN(15,Inputs!$B$44)/(Inputs!$B$44),0))),0)))&gt;=100),MIN(100,((Inputs!$B$9+((C1116=TRUE)*(F1116-Calc!F26))+B1124+(ArtifactsInput!$M$24-ArtifactsInput!$M$24)*CHOOSE(ArtifactsInput!$N$24+1,10,12,14,16,18,20)+IF(ArtifactsInput!$M$10,CHOOSE(ArtifactsInput!$N$10+1,15,18,21,24,27,30)*(IF(Inputs!$B$39="pvp",MIN(15,15)/15,IF(AND(Inputs!$B$39&lt;&gt;"pvp",Inputs!$B$44&gt;0),MIN(15,Inputs!$B$44)/(Inputs!$B$44),0))),0)))-100),0))*CHOOSE(ArtifactsInput!$N$42+1,0.6,0.72,0.84,0.96,1.08,1.2))),Inputs!$B$18+((C1119=TRUE)*(F1119-Calc!F29))+(IF(AND(Inputs!$B$39&lt;&gt;"pvp",Inputs!$B$44=0),1,IF(IF(Inputs!$B$39="pvp",15,Inputs!$B$44)-(B1135)&lt;=0,1,MAX(0,IF(Inputs!$B$39="pvp",15,Inputs!$B$44)-MAX(5,B1135))/(IF(Inputs!$B$39="pvp",15,Inputs!$B$44)-(B1135))))*IF(AND(ArtifactsInput!$M$42,((Inputs!$B$9+((C1116=TRUE)*(F1116-Calc!F26))+B1124+(ArtifactsInput!$M$24-ArtifactsInput!$M$24)*CHOOSE(ArtifactsInput!$N$24+1,10,12,14,16,18,20)+IF(ArtifactsInput!$M$10,CHOOSE(ArtifactsInput!$N$10+1,15,18,21,24,27,30)*(IF(Inputs!$B$39="pvp",MIN(15,15)/15,IF(AND(Inputs!$B$39&lt;&gt;"pvp",Inputs!$B$44&gt;0),MIN(15,Inputs!$B$44)/(Inputs!$B$44),0))),0)))&gt;=100),CHOOSE(ArtifactsInput!$N$42+1,40,48,56,64,72,80),0))))/100)*(((1+(((C1112=TRUE)*F1112*IF(AND(Inputs!$B$39&lt;&gt;"pvp",Inputs!$B$44&gt;0),(((R1112-1)*MIN((Skills!Y22*(1+Inputs!$B$34/100)),(1/Q1112))+MIN((Skills!Y22*(1+Inputs!$B$34/100)),MAX(0,Inputs!$B$44-((R1112-1)*(1/Q1112)))))/Inputs!$B$44),IF(Inputs!$B$39="pvp",MIN((Skills!Y22*(1+Inputs!$B$34/100)),15)/15,MIN(1,(Skills!Y22*(1+Inputs!$B$34/100))/(1/Q1112)))))+((C1093=TRUE)*F1093*3)+((C1095=TRUE)*F1095*(1-EXP(-0.75*B1128*5)))+((C1114=TRUE)*(F1114-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1101=TRUE)*F1101*IF(AND(Inputs!$B$39&lt;&gt;"pvp",Inputs!$B$44&gt;0),(((R1101-1)*MIN((Skills!Y11*(1+Inputs!$B$34/100)),(1/Q1101))+MIN((Skills!Y11*(1+Inputs!$B$34/100)),MAX(0,Inputs!$B$44-((R1101-1)*(1/Q1101)))))/Inputs!$B$44),IF(Inputs!$B$39="pvp",MIN((Skills!Y11*(1+Inputs!$B$34/100)),15)/15,MIN(1,(Skills!Y11*(1+Inputs!$B$34/100))/(1/Q1101)))))/100)*(1+((C1106=TRUE)*F1106*IF(AND(Inputs!$B$39&lt;&gt;"pvp",Inputs!$B$44&gt;0),(((R1106-1)*MIN((Skills!Y16*(1+Inputs!$B$34/100)),(1/Q1106))+MIN((Skills!Y16*(1+Inputs!$B$34/100)),MAX(0,Inputs!$B$44-((R1106-1)*(1/Q1106)))))/Inputs!$B$44),IF(Inputs!$B$39="pvp",MIN((Skills!Y16*(1+Inputs!$B$34/100)),15)/15,MIN(1,(Skills!Y16*(1+Inputs!$B$34/100))/(1/Q1106)))))/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1126*I1100)</f>
        <v/>
      </c>
      <c r="L1100">
        <f>K1100*(MIN(Inputs!$B$22+((C1115=TRUE)*(F1115-Calc!F25)),(Inputs!$B$23+((C1120=TRUE)*(F1120-Calc!F30))+IF(ArtifactsInput!$M$15,CHOOSE(ArtifactsInput!$N$15+1,25,30,35,40,45,50)/100*(Inputs!$B$11-Inputs!$B$11),0)))/100+(Inputs!$B$23+((C1120=TRUE)*(F1120-Calc!F30))+IF(ArtifactsInput!$M$15,CHOOSE(ArtifactsInput!$N$15+1,25,30,35,40,45,50)/100*(Inputs!$B$11-Inputs!$B$11),0))/100)/2</f>
        <v/>
      </c>
      <c r="M1100">
        <f>L1100*(1+(Inputs!$B$10+((C1117=TRUE)*(F1117-Calc!F27))+B1131+(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1100">
        <f>L1100*(1-MIN((Inputs!$B$9+((C1116=TRUE)*(F1116-Calc!F26))+B1124+(ArtifactsInput!$M$24-ArtifactsInput!$M$24)*CHOOSE(ArtifactsInput!$N$24+1,10,12,14,16,18,20)+(IF(AND(Inputs!$B$39&lt;&gt;"pvp",Inputs!$B$44=0),1,IF(IF(Inputs!$B$39="pvp",15,Inputs!$B$44)-(B1135)&lt;=0,1,MAX(0,IF(Inputs!$B$39="pvp",15,Inputs!$B$44)-MAX(5,B1135))/(IF(Inputs!$B$39="pvp",15,Inputs!$B$44)-(B1135))))*IF(AND(ArtifactsInput!$M$42,((Inputs!$B$9+((C1116=TRUE)*(F1116-Calc!F26))+B1124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1100*(MIN((Inputs!$B$9+((C1116=TRUE)*(F1116-Calc!F26))+B1124+(ArtifactsInput!$M$24-ArtifactsInput!$M$24)*CHOOSE(ArtifactsInput!$N$24+1,10,12,14,16,18,20)+(IF(AND(Inputs!$B$39&lt;&gt;"pvp",Inputs!$B$44=0),1,IF(IF(Inputs!$B$39="pvp",15,Inputs!$B$44)-(B1135)&lt;=0,1,MAX(0,IF(Inputs!$B$39="pvp",15,Inputs!$B$44)-MAX(5,B1135))/(IF(Inputs!$B$39="pvp",15,Inputs!$B$44)-(B1135))))*IF(AND(ArtifactsInput!$M$42,((Inputs!$B$9+((C1116=TRUE)*(F1116-Calc!F26))+B1124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100">
        <f>(1-Summary!$B$11)*T1100+Summary!$B$11*V1100</f>
        <v/>
      </c>
      <c r="P1100">
        <f>IF(B1136=0,0,O1100/B1136)</f>
        <v/>
      </c>
      <c r="Q1100" t="n">
        <v>0</v>
      </c>
      <c r="R1100" t="n">
        <v>0</v>
      </c>
      <c r="S1100" t="n">
        <v>0</v>
      </c>
      <c r="T1100">
        <f>IF(C1100,(0.2*SUMPRODUCT((Skills!Z2:Z31=TRUE)*(C1092:C1121=TRUE)*S1092:S1121)*N1100)*IF(Inputs!$B$39="pvp",1,1+(Inputs!$B$20+0+Skills!P10+B1125+(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Hunt"),CHOOSE(ArtifactsInput!$N$35+1,15,18,21,24,27,30)*(1-EXP(-(0.2*B1128)*5)),0)+IF(AND(ArtifactsInput!$M$22,Inputs!$B$4&lt;&gt;"Chapter Hunt"),CHOOSE(ArtifactsInput!$N$22+1,10,12,14,16,18,20)*((0*(((0.15*B1128*5))^0/1)+1*(((0.15*B1128*5))^1/1)+2*(((0.15*B1128*5))^2/2)+3*(((0.15*B1128*5))^3/6)+4*(((0.15*B1128*5))^4/24)+5*(((0.15*B1128*5))^5/120))/((((0.15*B1128*5))^0/1)+(((0.15*B1128*5))^1/1)+(((0.15*B1128*5))^2/2)+(((0.15*B1128*5))^3/6)+(((0.15*B1128*5))^4/24)+(((0.15*B1128*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1100*(1-MIN(100,(Inputs!$B$9+((C1116=TRUE)*(F1116-Calc!F26))+B1124+(ArtifactsInput!$M$24-ArtifactsInput!$M$24)*CHOOSE(ArtifactsInput!$N$24+1,10,12,14,16,18,20)+(IF(AND(Inputs!$B$39&lt;&gt;"pvp",Inputs!$B$44=0),1,IF(IF(Inputs!$B$39="pvp",15,Inputs!$B$44)-(B1135)&lt;=0,1,MAX(0,IF(Inputs!$B$39="pvp",15,Inputs!$B$44)-MAX(5,B1135))/(IF(Inputs!$B$39="pvp",15,Inputs!$B$44)-(B1135))))*IF(AND(ArtifactsInput!$M$42,((Inputs!$B$9+((C1116=TRUE)*(F1116-Calc!F26))+B1124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1100*(MIN(100,(Inputs!$B$9+((C1116=TRUE)*(F1116-Calc!F26))+B1124+(ArtifactsInput!$M$24-ArtifactsInput!$M$24)*CHOOSE(ArtifactsInput!$N$24+1,10,12,14,16,18,20)+(IF(AND(Inputs!$B$39&lt;&gt;"pvp",Inputs!$B$44=0),1,IF(IF(Inputs!$B$39="pvp",15,Inputs!$B$44)-(B1135)&lt;=0,1,MAX(0,IF(Inputs!$B$39="pvp",15,Inputs!$B$44)-MAX(5,B1135))/(IF(Inputs!$B$39="pvp",15,Inputs!$B$44)-(B1135))))*IF(AND(ArtifactsInput!$M$42,((Inputs!$B$9+((C1116=TRUE)*(F1116-Calc!F26))+B1124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1100*(1-MIN(100,(Inputs!$B$9+((C1116=TRUE)*(F1116-Calc!F26))+B1124+(ArtifactsInput!$M$24-ArtifactsInput!$M$24)*CHOOSE(ArtifactsInput!$N$24+1,10,12,14,16,18,20)+(IF(AND(Inputs!$B$39&lt;&gt;"pvp",Inputs!$B$44=0),1,IF(IF(Inputs!$B$39="pvp",15,Inputs!$B$44)-(B1135)&lt;=0,1,MAX(0,IF(Inputs!$B$39="pvp",15,Inputs!$B$44)-MAX(5,B1135))/(IF(Inputs!$B$39="pvp",15,Inputs!$B$44)-(B1135))))*IF(AND(ArtifactsInput!$M$42,((Inputs!$B$9+((C1116=TRUE)*(F1116-Calc!F26))+B1124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1100*(MIN(100,(Inputs!$B$9+((C1116=TRUE)*(F1116-Calc!F26))+B1124+(ArtifactsInput!$M$24-ArtifactsInput!$M$24)*CHOOSE(ArtifactsInput!$N$24+1,10,12,14,16,18,20)+(IF(AND(Inputs!$B$39&lt;&gt;"pvp",Inputs!$B$44=0),1,IF(IF(Inputs!$B$39="pvp",15,Inputs!$B$44)-(B1135)&lt;=0,1,MAX(0,IF(Inputs!$B$39="pvp",15,Inputs!$B$44)-MAX(5,B1135))/(IF(Inputs!$B$39="pvp",15,Inputs!$B$44)-(B1135))))*IF(AND(ArtifactsInput!$M$42,((Inputs!$B$9+((C1116=TRUE)*(F1116-Calc!F26))+B1124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1100">
        <f>IF(C1100,(0.2*SUMPRODUCT((Skills!Z2:Z31=TRUE)*(C1092:C1121=TRUE)*S1092:S1121)*N1100)*IF(Inputs!$B$39="pvp",1,(1+(Inputs!$B$21+Skills!Q10+B1125+(IF(ArtifactsInput!$M$33,CHOOSE(ArtifactsInput!$N$33+1,30,36,42,48,54,60),0))+(IF(AND(ArtifactsInput!$M$35,Inputs!$B$4&lt;&gt;"Chapter Hunt"),CHOOSE(ArtifactsInput!$N$35+1,15,18,21,24,27,30)*(1-EXP(-(0.2*B1128)*5)),0)+IF(AND(ArtifactsInput!$M$22,Inputs!$B$4&lt;&gt;"Chapter Hunt"),CHOOSE(ArtifactsInput!$N$22+1,10,12,14,16,18,20)*((0*(((0.15*B1128*5))^0/1)+1*(((0.15*B1128*5))^1/1)+2*(((0.15*B1128*5))^2/2)+3*(((0.15*B1128*5))^3/6)+4*(((0.15*B1128*5))^4/24)+5*(((0.15*B1128*5))^5/120))/((((0.15*B1128*5))^0/1)+(((0.15*B1128*5))^1/1)+(((0.15*B1128*5))^2/2)+(((0.15*B1128*5))^3/6)+(((0.15*B1128*5))^4/24)+(((0.15*B1128*5))^5/120))),0)))/100)*(MIN(Skills!W10,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101">
      <c r="A1101">
        <f>Skills!A11</f>
        <v/>
      </c>
      <c r="B1101">
        <f>Skills!B11</f>
        <v/>
      </c>
      <c r="C1101">
        <f>Inputs!$B$3&gt;=74</f>
        <v/>
      </c>
      <c r="D1101">
        <f>IF(Skills!C11=1,60+Inputs!$B$25+(Inputs!$B$29+1),IF(Skills!C11=2,90+Inputs!$B$26+(Inputs!$B$29+1),IF(Skills!C11=3,120+Inputs!$B$27+(Inputs!$B$29+1),MAX(0,(Inputs!$B$3-100)*3)+Inputs!$B$28+(Inputs!$B$29+1))))</f>
        <v/>
      </c>
      <c r="E1101">
        <f>INDEX(FactorTable!$B$2:$Y$301, MATCH(ROUND(MIN(300,MAX(1,D1101)),0), FactorTable!$A$2:$A$301,0), Skills!M11+1)</f>
        <v/>
      </c>
      <c r="F1101">
        <f>IF(Skills!N11=TRUE,(Skills!L11/10)*(E1101/1000),Skills!L11/10)+Skills!O11</f>
        <v/>
      </c>
      <c r="G1101">
        <f>Skills!G11*IF(Skills!H11&gt;0,IF(Inputs!$B$39="pvp",MIN(Skills!I11,15),Skills!I11)/Skills!H11,1)</f>
        <v/>
      </c>
      <c r="H1101">
        <f>1-(1-Skills!J11/100)^Skills!K11</f>
        <v/>
      </c>
      <c r="I1101" t="inlineStr">
        <is>
          <t>1</t>
        </is>
      </c>
      <c r="J1101" t="inlineStr"/>
      <c r="K1101" t="inlineStr"/>
      <c r="L1101" t="inlineStr"/>
      <c r="M1101" t="inlineStr"/>
      <c r="N1101" t="inlineStr"/>
      <c r="O1101">
        <f>(1-Summary!$B$11)*T1101+Summary!$B$11*V1101</f>
        <v/>
      </c>
      <c r="P1101">
        <f>IF(B1136=0,0,O1101/B1136)</f>
        <v/>
      </c>
      <c r="Q1101">
        <f>IFERROR(1/IF(Inputs!$B$39="pvp",15,MAX(0.1,Skills!D11-IF(TRUE=TRUE,Inputs!$B$32,0))),0)</f>
        <v/>
      </c>
      <c r="R1101">
        <f>IF(AND(Inputs!$B$39&lt;&gt;"pvp",Inputs!$B$44&gt;0),IF(Inputs!$B$44&lt;=0,0,(INT(Inputs!$B$44/IF(Inputs!$B$39="pvp",15,MAX(0.1,Skills!D11-IF(TRUE=TRUE,Inputs!$B$32,0))))+1)),0)</f>
        <v/>
      </c>
      <c r="S1101">
        <f>IFERROR(O1101/N1101,0)</f>
        <v/>
      </c>
      <c r="T1101" t="n">
        <v>0</v>
      </c>
      <c r="V1101" t="n">
        <v>0</v>
      </c>
    </row>
    <row r="1102">
      <c r="A1102">
        <f>Skills!A12</f>
        <v/>
      </c>
      <c r="B1102">
        <f>Skills!B12</f>
        <v/>
      </c>
      <c r="C1102">
        <f>Inputs!$B$3&gt;=103</f>
        <v/>
      </c>
      <c r="D1102">
        <f>IF(Skills!C12=1,60+Inputs!$B$25+(Inputs!$B$29+1),IF(Skills!C12=2,90+Inputs!$B$26+(Inputs!$B$29+1),IF(Skills!C12=3,120+Inputs!$B$27+(Inputs!$B$29+1),MAX(0,(Inputs!$B$3-100)*3)+Inputs!$B$28+(Inputs!$B$29+1))))</f>
        <v/>
      </c>
      <c r="E1102">
        <f>INDEX(FactorTable!$B$2:$Y$301, MATCH(ROUND(MIN(300,MAX(1,D1102)),0), FactorTable!$A$2:$A$301,0), Skills!M12+1)</f>
        <v/>
      </c>
      <c r="F1102">
        <f>(Skills!L12/10)*(E1102/1000)+IF(Inputs!$B$3&gt;=134,50,0)+0.5*(30000/10)*(INDEX(FactorTable!$B$2:$Y$301, MATCH(ROUND(MIN(300,MAX(1,D1102)),0), FactorTable!$A$2:$A$301,0), 13)/1000)*B1134</f>
        <v/>
      </c>
      <c r="G1102">
        <f>Skills!G12*IF(Skills!H12&gt;0,IF(Inputs!$B$39="pvp",MIN(Skills!I12,15),Skills!I12)/Skills!H12,1)</f>
        <v/>
      </c>
      <c r="H1102">
        <f>1-(1-Skills!J12/100)^Skills!K12</f>
        <v/>
      </c>
      <c r="I1102" t="inlineStr">
        <is>
          <t>1</t>
        </is>
      </c>
      <c r="J1102">
        <f>((Inputs!$B$6*(1+Inputs!$B$7/100))+(((Inputs!$B$12*(1+Inputs!$B$13/100))-(Inputs!$B$12*(1+Inputs!$B$13/100)))+0.25*(Inputs!$B$14-Inputs!$B$14))*(1+Inputs!$B$7/100))*(F1102/100)</f>
        <v/>
      </c>
      <c r="K1102">
        <f>J1102*(1+((Inputs!$B$12*(1+Inputs!$B$13/100))*0.01+Inputs!$B$14*0.0025)/100)*(1+Inputs!$B$15/100)*(1+Inputs!$B$16/100)*(5000/(6000+Inputs!$B$43*(1-(100*(1-(1-Inputs!$B$19/100)*(1-CHOOSE(ArtifactsInput!$N$40+1,5,6,7,8,9,10)/100)^(ArtifactsInput!$M$40-ArtifactsInput!$M$40)))/100)))*(1+(Inputs!$B$24+((C1121=TRUE)*(F1121-Calc!F31))+((C1108=TRUE)*(F1108-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12="CRUEL_STAB",Inputs!$B$17+((C1118=TRUE)*(F1118-Calc!F28))+((IF(AND(Inputs!$B$39&lt;&gt;"pvp",Inputs!$B$44=0),1,IF(IF(Inputs!$B$39="pvp",15,Inputs!$B$44)-(B1135)&lt;=0,1,MAX(0,IF(Inputs!$B$39="pvp",15,Inputs!$B$44)-MAX(5,B1135))/(IF(Inputs!$B$39="pvp",15,Inputs!$B$44)-(B1135))))*(IF(AND(ArtifactsInput!$M$42,((Inputs!$B$9+((C1116=TRUE)*(F1116-Calc!F26))+B1124+(ArtifactsInput!$M$24-ArtifactsInput!$M$24)*CHOOSE(ArtifactsInput!$N$24+1,10,12,14,16,18,20)+IF(ArtifactsInput!$M$10,CHOOSE(ArtifactsInput!$N$10+1,15,18,21,24,27,30)*(IF(Inputs!$B$39="pvp",MIN(15,15)/15,IF(AND(Inputs!$B$39&lt;&gt;"pvp",Inputs!$B$44&gt;0),MIN(15,Inputs!$B$44)/(Inputs!$B$44),0))),0)))&gt;=100),MIN(100,((Inputs!$B$9+((C1116=TRUE)*(F1116-Calc!F26))+B1124+(ArtifactsInput!$M$24-ArtifactsInput!$M$24)*CHOOSE(ArtifactsInput!$N$24+1,10,12,14,16,18,20)+IF(ArtifactsInput!$M$10,CHOOSE(ArtifactsInput!$N$10+1,15,18,21,24,27,30)*(IF(Inputs!$B$39="pvp",MIN(15,15)/15,IF(AND(Inputs!$B$39&lt;&gt;"pvp",Inputs!$B$44&gt;0),MIN(15,Inputs!$B$44)/(Inputs!$B$44),0))),0)))-100),0))*CHOOSE(ArtifactsInput!$N$42+1,0.6,0.72,0.84,0.96,1.08,1.2))),Inputs!$B$18+((C1119=TRUE)*(F1119-Calc!F29))+(IF(AND(Inputs!$B$39&lt;&gt;"pvp",Inputs!$B$44=0),1,IF(IF(Inputs!$B$39="pvp",15,Inputs!$B$44)-(B1135)&lt;=0,1,MAX(0,IF(Inputs!$B$39="pvp",15,Inputs!$B$44)-MAX(5,B1135))/(IF(Inputs!$B$39="pvp",15,Inputs!$B$44)-(B1135))))*IF(AND(ArtifactsInput!$M$42,((Inputs!$B$9+((C1116=TRUE)*(F1116-Calc!F26))+B1124+(ArtifactsInput!$M$24-ArtifactsInput!$M$24)*CHOOSE(ArtifactsInput!$N$24+1,10,12,14,16,18,20)+IF(ArtifactsInput!$M$10,CHOOSE(ArtifactsInput!$N$10+1,15,18,21,24,27,30)*(IF(Inputs!$B$39="pvp",MIN(15,15)/15,IF(AND(Inputs!$B$39&lt;&gt;"pvp",Inputs!$B$44&gt;0),MIN(15,Inputs!$B$44)/(Inputs!$B$44),0))),0)))&gt;=100),CHOOSE(ArtifactsInput!$N$42+1,40,48,56,64,72,80),0))))/100)*(((1+(((C1112=TRUE)*F1112*IF(AND(Inputs!$B$39&lt;&gt;"pvp",Inputs!$B$44&gt;0),(((R1112-1)*MIN((Skills!Y22*(1+Inputs!$B$34/100)),(1/Q1112))+MIN((Skills!Y22*(1+Inputs!$B$34/100)),MAX(0,Inputs!$B$44-((R1112-1)*(1/Q1112)))))/Inputs!$B$44),IF(Inputs!$B$39="pvp",MIN((Skills!Y22*(1+Inputs!$B$34/100)),15)/15,MIN(1,(Skills!Y22*(1+Inputs!$B$34/100))/(1/Q1112)))))+((C1093=TRUE)*F1093*3)+((C1095=TRUE)*F1095*(1-EXP(-0.75*B1128*5)))+((C1114=TRUE)*(F1114-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1101=TRUE)*F1101*IF(AND(Inputs!$B$39&lt;&gt;"pvp",Inputs!$B$44&gt;0),(((R1101-1)*MIN((Skills!Y11*(1+Inputs!$B$34/100)),(1/Q1101))+MIN((Skills!Y11*(1+Inputs!$B$34/100)),MAX(0,Inputs!$B$44-((R1101-1)*(1/Q1101)))))/Inputs!$B$44),IF(Inputs!$B$39="pvp",MIN((Skills!Y11*(1+Inputs!$B$34/100)),15)/15,MIN(1,(Skills!Y11*(1+Inputs!$B$34/100))/(1/Q1101)))))/100)*(1+((C1106=TRUE)*F1106*IF(AND(Inputs!$B$39&lt;&gt;"pvp",Inputs!$B$44&gt;0),(((R1106-1)*MIN((Skills!Y16*(1+Inputs!$B$34/100)),(1/Q1106))+MIN((Skills!Y16*(1+Inputs!$B$34/100)),MAX(0,Inputs!$B$44-((R1106-1)*(1/Q1106)))))/Inputs!$B$44),IF(Inputs!$B$39="pvp",MIN((Skills!Y16*(1+Inputs!$B$34/100)),15)/15,MIN(1,(Skills!Y16*(1+Inputs!$B$34/100))/(1/Q1106)))))/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1126*I1102)</f>
        <v/>
      </c>
      <c r="L1102">
        <f>K1102*(MIN(Inputs!$B$22+((C1115=TRUE)*(F1115-Calc!F25)),(Inputs!$B$23+((C1120=TRUE)*(F1120-Calc!F30))+IF(ArtifactsInput!$M$15,CHOOSE(ArtifactsInput!$N$15+1,25,30,35,40,45,50)/100*(Inputs!$B$11-Inputs!$B$11),0)))/100+(Inputs!$B$23+((C1120=TRUE)*(F1120-Calc!F30))+IF(ArtifactsInput!$M$15,CHOOSE(ArtifactsInput!$N$15+1,25,30,35,40,45,50)/100*(Inputs!$B$11-Inputs!$B$11),0))/100)/2</f>
        <v/>
      </c>
      <c r="M1102">
        <f>L1102*(1+(Inputs!$B$10+((C1117=TRUE)*(F1117-Calc!F27))+B1131+(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1102">
        <f>L1102*(1-MIN((Inputs!$B$9+((C1116=TRUE)*(F1116-Calc!F26))+B1124+(ArtifactsInput!$M$24-ArtifactsInput!$M$24)*CHOOSE(ArtifactsInput!$N$24+1,10,12,14,16,18,20)+(IF(AND(Inputs!$B$39&lt;&gt;"pvp",Inputs!$B$44=0),1,IF(IF(Inputs!$B$39="pvp",15,Inputs!$B$44)-(B1135)&lt;=0,1,MAX(0,IF(Inputs!$B$39="pvp",15,Inputs!$B$44)-MAX(5,B1135))/(IF(Inputs!$B$39="pvp",15,Inputs!$B$44)-(B1135))))*IF(AND(ArtifactsInput!$M$42,((Inputs!$B$9+((C1116=TRUE)*(F1116-Calc!F26))+B1124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1102*(MIN((Inputs!$B$9+((C1116=TRUE)*(F1116-Calc!F26))+B1124+(ArtifactsInput!$M$24-ArtifactsInput!$M$24)*CHOOSE(ArtifactsInput!$N$24+1,10,12,14,16,18,20)+(IF(AND(Inputs!$B$39&lt;&gt;"pvp",Inputs!$B$44=0),1,IF(IF(Inputs!$B$39="pvp",15,Inputs!$B$44)-(B1135)&lt;=0,1,MAX(0,IF(Inputs!$B$39="pvp",15,Inputs!$B$44)-MAX(5,B1135))/(IF(Inputs!$B$39="pvp",15,Inputs!$B$44)-(B1135))))*IF(AND(ArtifactsInput!$M$42,((Inputs!$B$9+((C1116=TRUE)*(F1116-Calc!F26))+B1124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102">
        <f>(1-Summary!$B$11)*T1102+Summary!$B$11*V1102</f>
        <v/>
      </c>
      <c r="P1102">
        <f>IF(B1136=0,0,O1102/B1136)</f>
        <v/>
      </c>
      <c r="Q1102">
        <f>IFERROR(1/IF(Inputs!$B$39="pvp",15,MAX(0.1,Skills!D12-IF(TRUE=TRUE,Inputs!$B$32,0))),0)</f>
        <v/>
      </c>
      <c r="R1102">
        <f>IF(AND(Inputs!$B$39&lt;&gt;"pvp",Inputs!$B$44&gt;0),IF(MAX(0,Inputs!$B$44-B1135)&lt;=0,0,(INT(MAX(0,Inputs!$B$44-B1135)/IF(Inputs!$B$39="pvp",15,MAX(0.1,Skills!D12-IF(TRUE=TRUE,Inputs!$B$32,0))))+1)),0)</f>
        <v/>
      </c>
      <c r="S1102">
        <f>IFERROR(O1102/N1102,0)</f>
        <v/>
      </c>
      <c r="T1102">
        <f>IF(C1102,(H1102*N1102*IF(AND(Inputs!$B$39&lt;&gt;"pvp",Inputs!$B$44&gt;0),((Skills!G12*((R1102-1)*IF(Skills!H12&gt;0,Skills!I12/Skills!H12,1)+IF(Skills!H12&gt;0,MIN(Skills!I12,MAX(0,MAX(0,Inputs!$B$44-B1135)-((R1102-1)*IF(Inputs!$B$39="pvp",15,MAX(0.1,Skills!D12-IF(TRUE=TRUE,Inputs!$B$32,0))))))/Skills!H12,1)))/Inputs!$B$44),G1102*Q1102))*IF(Inputs!$B$39="pvp",1,1+(Inputs!$B$20+0+Skills!P12+B1125+(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Hunt"),CHOOSE(ArtifactsInput!$N$35+1,15,18,21,24,27,30)*(1-EXP(-(0.2*B1128)*5)),0)+IF(AND(ArtifactsInput!$M$22,Inputs!$B$4&lt;&gt;"Chapter Hunt"),CHOOSE(ArtifactsInput!$N$22+1,10,12,14,16,18,20)*((0*(((0.15*B1128*5))^0/1)+1*(((0.15*B1128*5))^1/1)+2*(((0.15*B1128*5))^2/2)+3*(((0.15*B1128*5))^3/6)+4*(((0.15*B1128*5))^4/24)+5*(((0.15*B1128*5))^5/120))/((((0.15*B1128*5))^0/1)+(((0.15*B1128*5))^1/1)+(((0.15*B1128*5))^2/2)+(((0.15*B1128*5))^3/6)+(((0.15*B1128*5))^4/24)+(((0.15*B1128*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1102*(1-MIN(100,(Inputs!$B$9+((C1116=TRUE)*(F1116-Calc!F26))+B1124+(ArtifactsInput!$M$24-ArtifactsInput!$M$24)*CHOOSE(ArtifactsInput!$N$24+1,10,12,14,16,18,20)+(IF(AND(Inputs!$B$39&lt;&gt;"pvp",Inputs!$B$44=0),1,IF(IF(Inputs!$B$39="pvp",15,Inputs!$B$44)-(B1135)&lt;=0,1,MAX(0,IF(Inputs!$B$39="pvp",15,Inputs!$B$44)-MAX(5,B1135))/(IF(Inputs!$B$39="pvp",15,Inputs!$B$44)-(B1135))))*IF(AND(ArtifactsInput!$M$42,((Inputs!$B$9+((C1116=TRUE)*(F1116-Calc!F26))+B1124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1102*(MIN(100,(Inputs!$B$9+((C1116=TRUE)*(F1116-Calc!F26))+B1124+(ArtifactsInput!$M$24-ArtifactsInput!$M$24)*CHOOSE(ArtifactsInput!$N$24+1,10,12,14,16,18,20)+(IF(AND(Inputs!$B$39&lt;&gt;"pvp",Inputs!$B$44=0),1,IF(IF(Inputs!$B$39="pvp",15,Inputs!$B$44)-(B1135)&lt;=0,1,MAX(0,IF(Inputs!$B$39="pvp",15,Inputs!$B$44)-MAX(5,B1135))/(IF(Inputs!$B$39="pvp",15,Inputs!$B$44)-(B1135))))*IF(AND(ArtifactsInput!$M$42,((Inputs!$B$9+((C1116=TRUE)*(F1116-Calc!F26))+B1124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1102*(1-MIN(100,(Inputs!$B$9+((C1116=TRUE)*(F1116-Calc!F26))+B1124+(ArtifactsInput!$M$24-ArtifactsInput!$M$24)*CHOOSE(ArtifactsInput!$N$24+1,10,12,14,16,18,20)+(IF(AND(Inputs!$B$39&lt;&gt;"pvp",Inputs!$B$44=0),1,IF(IF(Inputs!$B$39="pvp",15,Inputs!$B$44)-(B1135)&lt;=0,1,MAX(0,IF(Inputs!$B$39="pvp",15,Inputs!$B$44)-MAX(5,B1135))/(IF(Inputs!$B$39="pvp",15,Inputs!$B$44)-(B1135))))*IF(AND(ArtifactsInput!$M$42,((Inputs!$B$9+((C1116=TRUE)*(F1116-Calc!F26))+B1124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1102*(MIN(100,(Inputs!$B$9+((C1116=TRUE)*(F1116-Calc!F26))+B1124+(ArtifactsInput!$M$24-ArtifactsInput!$M$24)*CHOOSE(ArtifactsInput!$N$24+1,10,12,14,16,18,20)+(IF(AND(Inputs!$B$39&lt;&gt;"pvp",Inputs!$B$44=0),1,IF(IF(Inputs!$B$39="pvp",15,Inputs!$B$44)-(B1135)&lt;=0,1,MAX(0,IF(Inputs!$B$39="pvp",15,Inputs!$B$44)-MAX(5,B1135))/(IF(Inputs!$B$39="pvp",15,Inputs!$B$44)-(B1135))))*IF(AND(ArtifactsInput!$M$42,((Inputs!$B$9+((C1116=TRUE)*(F1116-Calc!F26))+B1124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1102">
        <f>IF(C1102,(H1102*N1102*IF(AND(Inputs!$B$39&lt;&gt;"pvp",Inputs!$B$44&gt;0),((Skills!G12*((R1102-1)*IF(Skills!H12&gt;0,Skills!I12/Skills!H12,1)+IF(Skills!H12&gt;0,MIN(Skills!I12,MAX(0,MAX(0,Inputs!$B$44-B1135)-((R1102-1)*IF(Inputs!$B$39="pvp",15,MAX(0.1,Skills!D12-IF(TRUE=TRUE,Inputs!$B$32,0))))))/Skills!H12,1)))/Inputs!$B$44),G1102*Q1102))*IF(Inputs!$B$39="pvp",1,(1+(Inputs!$B$21+Skills!Q12+B1125+(IF(ArtifactsInput!$M$33,CHOOSE(ArtifactsInput!$N$33+1,30,36,42,48,54,60),0))+(IF(AND(ArtifactsInput!$M$35,Inputs!$B$4&lt;&gt;"Chapter Hunt"),CHOOSE(ArtifactsInput!$N$35+1,15,18,21,24,27,30)*(1-EXP(-(0.2*B1128)*5)),0)+IF(AND(ArtifactsInput!$M$22,Inputs!$B$4&lt;&gt;"Chapter Hunt"),CHOOSE(ArtifactsInput!$N$22+1,10,12,14,16,18,20)*((0*(((0.15*B1128*5))^0/1)+1*(((0.15*B1128*5))^1/1)+2*(((0.15*B1128*5))^2/2)+3*(((0.15*B1128*5))^3/6)+4*(((0.15*B1128*5))^4/24)+5*(((0.15*B1128*5))^5/120))/((((0.15*B1128*5))^0/1)+(((0.15*B1128*5))^1/1)+(((0.15*B1128*5))^2/2)+(((0.15*B1128*5))^3/6)+(((0.15*B1128*5))^4/24)+(((0.15*B1128*5))^5/120))),0)))/100)*(MIN(Skills!W12,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103">
      <c r="A1103">
        <f>Skills!A13</f>
        <v/>
      </c>
      <c r="B1103">
        <f>Skills!B13</f>
        <v/>
      </c>
      <c r="C1103">
        <f>Inputs!$B$3&gt;=105</f>
        <v/>
      </c>
      <c r="D1103">
        <f>IF(Skills!C13=1,60+Inputs!$B$25+(Inputs!$B$29+1),IF(Skills!C13=2,90+Inputs!$B$26+(Inputs!$B$29+1),IF(Skills!C13=3,120+Inputs!$B$27+(Inputs!$B$29+1),MAX(0,(Inputs!$B$3-100)*3)+Inputs!$B$28+(Inputs!$B$29+1))))</f>
        <v/>
      </c>
      <c r="E1103">
        <f>INDEX(FactorTable!$B$2:$Y$301, MATCH(ROUND(MIN(300,MAX(1,D1103)),0), FactorTable!$A$2:$A$301,0), Skills!M13+1)</f>
        <v/>
      </c>
      <c r="F1103">
        <f>IF(Skills!N13=TRUE,(Skills!L13/10)*(E1103/1000),Skills!L13/10)+Skills!O13</f>
        <v/>
      </c>
      <c r="G1103">
        <f>Skills!G13*IF(Skills!H13&gt;0,IF(Inputs!$B$39="pvp",MIN(Skills!I13,15),Skills!I13)/Skills!H13,1)</f>
        <v/>
      </c>
      <c r="H1103">
        <f>1-(1-Skills!J13/100)^Skills!K13</f>
        <v/>
      </c>
      <c r="I1103" t="inlineStr">
        <is>
          <t>1</t>
        </is>
      </c>
      <c r="J1103">
        <f>((Inputs!$B$6*(1+Inputs!$B$7/100))+(((Inputs!$B$12*(1+Inputs!$B$13/100))-(Inputs!$B$12*(1+Inputs!$B$13/100)))+0.25*(Inputs!$B$14-Inputs!$B$14))*(1+Inputs!$B$7/100))*(F1103/100)</f>
        <v/>
      </c>
      <c r="K1103">
        <f>J1103*(1+((Inputs!$B$12*(1+Inputs!$B$13/100))*0.01+Inputs!$B$14*0.0025)/100)*(1+Inputs!$B$15/100)*(1+Inputs!$B$16/100)*(5000/(6000+Inputs!$B$43*(1-(100*(1-(1-Inputs!$B$19/100)*(1-CHOOSE(ArtifactsInput!$N$40+1,5,6,7,8,9,10)/100)^(ArtifactsInput!$M$40-ArtifactsInput!$M$40)))/100)))*(1+(Inputs!$B$24+((C1121=TRUE)*(F1121-Calc!F31))+((C1108=TRUE)*(F1108-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13="CRUEL_STAB",Inputs!$B$17+((C1118=TRUE)*(F1118-Calc!F28))+((IF(AND(Inputs!$B$39&lt;&gt;"pvp",Inputs!$B$44=0),1,IF(IF(Inputs!$B$39="pvp",15,Inputs!$B$44)-(B1135)&lt;=0,1,MAX(0,IF(Inputs!$B$39="pvp",15,Inputs!$B$44)-MAX(5,B1135))/(IF(Inputs!$B$39="pvp",15,Inputs!$B$44)-(B1135))))*(IF(AND(ArtifactsInput!$M$42,((Inputs!$B$9+((C1116=TRUE)*(F1116-Calc!F26))+B1124+(ArtifactsInput!$M$24-ArtifactsInput!$M$24)*CHOOSE(ArtifactsInput!$N$24+1,10,12,14,16,18,20)+IF(ArtifactsInput!$M$10,CHOOSE(ArtifactsInput!$N$10+1,15,18,21,24,27,30)*(IF(Inputs!$B$39="pvp",MIN(15,15)/15,IF(AND(Inputs!$B$39&lt;&gt;"pvp",Inputs!$B$44&gt;0),MIN(15,Inputs!$B$44)/(Inputs!$B$44),0))),0)))&gt;=100),MIN(100,((Inputs!$B$9+((C1116=TRUE)*(F1116-Calc!F26))+B1124+(ArtifactsInput!$M$24-ArtifactsInput!$M$24)*CHOOSE(ArtifactsInput!$N$24+1,10,12,14,16,18,20)+IF(ArtifactsInput!$M$10,CHOOSE(ArtifactsInput!$N$10+1,15,18,21,24,27,30)*(IF(Inputs!$B$39="pvp",MIN(15,15)/15,IF(AND(Inputs!$B$39&lt;&gt;"pvp",Inputs!$B$44&gt;0),MIN(15,Inputs!$B$44)/(Inputs!$B$44),0))),0)))-100),0))*CHOOSE(ArtifactsInput!$N$42+1,0.6,0.72,0.84,0.96,1.08,1.2))),Inputs!$B$18+((C1119=TRUE)*(F1119-Calc!F29))+(IF(AND(Inputs!$B$39&lt;&gt;"pvp",Inputs!$B$44=0),1,IF(IF(Inputs!$B$39="pvp",15,Inputs!$B$44)-(B1135)&lt;=0,1,MAX(0,IF(Inputs!$B$39="pvp",15,Inputs!$B$44)-MAX(5,B1135))/(IF(Inputs!$B$39="pvp",15,Inputs!$B$44)-(B1135))))*IF(AND(ArtifactsInput!$M$42,((Inputs!$B$9+((C1116=TRUE)*(F1116-Calc!F26))+B1124+(ArtifactsInput!$M$24-ArtifactsInput!$M$24)*CHOOSE(ArtifactsInput!$N$24+1,10,12,14,16,18,20)+IF(ArtifactsInput!$M$10,CHOOSE(ArtifactsInput!$N$10+1,15,18,21,24,27,30)*(IF(Inputs!$B$39="pvp",MIN(15,15)/15,IF(AND(Inputs!$B$39&lt;&gt;"pvp",Inputs!$B$44&gt;0),MIN(15,Inputs!$B$44)/(Inputs!$B$44),0))),0)))&gt;=100),CHOOSE(ArtifactsInput!$N$42+1,40,48,56,64,72,80),0))))/100)*(((1+(((C1112=TRUE)*F1112*IF(AND(Inputs!$B$39&lt;&gt;"pvp",Inputs!$B$44&gt;0),(((R1112-1)*MIN((Skills!Y22*(1+Inputs!$B$34/100)),(1/Q1112))+MIN((Skills!Y22*(1+Inputs!$B$34/100)),MAX(0,Inputs!$B$44-((R1112-1)*(1/Q1112)))))/Inputs!$B$44),IF(Inputs!$B$39="pvp",MIN((Skills!Y22*(1+Inputs!$B$34/100)),15)/15,MIN(1,(Skills!Y22*(1+Inputs!$B$34/100))/(1/Q1112)))))+((C1093=TRUE)*F1093*3)+((C1095=TRUE)*F1095*(1-EXP(-0.75*B1128*5)))+((C1114=TRUE)*(F1114-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1101=TRUE)*F1101*IF(AND(Inputs!$B$39&lt;&gt;"pvp",Inputs!$B$44&gt;0),(((R1101-1)*MIN((Skills!Y11*(1+Inputs!$B$34/100)),(1/Q1101))+MIN((Skills!Y11*(1+Inputs!$B$34/100)),MAX(0,Inputs!$B$44-((R1101-1)*(1/Q1101)))))/Inputs!$B$44),IF(Inputs!$B$39="pvp",MIN((Skills!Y11*(1+Inputs!$B$34/100)),15)/15,MIN(1,(Skills!Y11*(1+Inputs!$B$34/100))/(1/Q1101)))))/100)*(1+((C1106=TRUE)*F1106*IF(AND(Inputs!$B$39&lt;&gt;"pvp",Inputs!$B$44&gt;0),(((R1106-1)*MIN((Skills!Y16*(1+Inputs!$B$34/100)),(1/Q1106))+MIN((Skills!Y16*(1+Inputs!$B$34/100)),MAX(0,Inputs!$B$44-((R1106-1)*(1/Q1106)))))/Inputs!$B$44),IF(Inputs!$B$39="pvp",MIN((Skills!Y16*(1+Inputs!$B$34/100)),15)/15,MIN(1,(Skills!Y16*(1+Inputs!$B$34/100))/(1/Q1106)))))/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1126*I1103)</f>
        <v/>
      </c>
      <c r="L1103">
        <f>K1103*(MIN(Inputs!$B$22+((C1115=TRUE)*(F1115-Calc!F25)),(Inputs!$B$23+((C1120=TRUE)*(F1120-Calc!F30))+IF(ArtifactsInput!$M$15,CHOOSE(ArtifactsInput!$N$15+1,25,30,35,40,45,50)/100*(Inputs!$B$11-Inputs!$B$11),0)))/100+(Inputs!$B$23+((C1120=TRUE)*(F1120-Calc!F30))+IF(ArtifactsInput!$M$15,CHOOSE(ArtifactsInput!$N$15+1,25,30,35,40,45,50)/100*(Inputs!$B$11-Inputs!$B$11),0))/100)/2</f>
        <v/>
      </c>
      <c r="M1103">
        <f>L1103*(1+(Inputs!$B$10+((C1117=TRUE)*(F1117-Calc!F27))+B1131+(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1103">
        <f>L1103*(1-MIN((Inputs!$B$9+((C1116=TRUE)*(F1116-Calc!F26))+B1124+(ArtifactsInput!$M$24-ArtifactsInput!$M$24)*CHOOSE(ArtifactsInput!$N$24+1,10,12,14,16,18,20)+(IF(AND(Inputs!$B$39&lt;&gt;"pvp",Inputs!$B$44=0),1,IF(IF(Inputs!$B$39="pvp",15,Inputs!$B$44)-(B1135)&lt;=0,1,MAX(0,IF(Inputs!$B$39="pvp",15,Inputs!$B$44)-MAX(5,B1135))/(IF(Inputs!$B$39="pvp",15,Inputs!$B$44)-(B1135))))*IF(AND(ArtifactsInput!$M$42,((Inputs!$B$9+((C1116=TRUE)*(F1116-Calc!F26))+B1124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1103*(MIN((Inputs!$B$9+((C1116=TRUE)*(F1116-Calc!F26))+B1124+(ArtifactsInput!$M$24-ArtifactsInput!$M$24)*CHOOSE(ArtifactsInput!$N$24+1,10,12,14,16,18,20)+(IF(AND(Inputs!$B$39&lt;&gt;"pvp",Inputs!$B$44=0),1,IF(IF(Inputs!$B$39="pvp",15,Inputs!$B$44)-(B1135)&lt;=0,1,MAX(0,IF(Inputs!$B$39="pvp",15,Inputs!$B$44)-MAX(5,B1135))/(IF(Inputs!$B$39="pvp",15,Inputs!$B$44)-(B1135))))*IF(AND(ArtifactsInput!$M$42,((Inputs!$B$9+((C1116=TRUE)*(F1116-Calc!F26))+B1124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103">
        <f>(1-Summary!$B$11)*T1103+Summary!$B$11*V1103</f>
        <v/>
      </c>
      <c r="P1103">
        <f>IF(B1136=0,0,O1103/B1136)</f>
        <v/>
      </c>
      <c r="Q1103">
        <f>IFERROR(1/IF(Inputs!$B$39="pvp",15,MAX(0.1,Skills!D13-IF(TRUE=TRUE,Inputs!$B$32,0))),0)</f>
        <v/>
      </c>
      <c r="R1103">
        <f>IF(AND(Inputs!$B$39&lt;&gt;"pvp",Inputs!$B$44&gt;0),IF(MAX(0,Inputs!$B$44-B1135)&lt;=0,0,(INT(MAX(0,Inputs!$B$44-B1135)/IF(Inputs!$B$39="pvp",15,MAX(0.1,Skills!D13-IF(TRUE=TRUE,Inputs!$B$32,0))))+1)),0)</f>
        <v/>
      </c>
      <c r="S1103">
        <f>IFERROR(O1103/N1103,0)</f>
        <v/>
      </c>
      <c r="T1103">
        <f>IF(C1103,(H1103*N1103*IF(AND(Inputs!$B$39&lt;&gt;"pvp",Inputs!$B$44&gt;0),((Skills!G13*((R1103-1)*IF(Skills!H13&gt;0,Skills!I13/Skills!H13,1)+IF(Skills!H13&gt;0,MIN(Skills!I13,MAX(0,MAX(0,Inputs!$B$44-B1135)-((R1103-1)*IF(Inputs!$B$39="pvp",15,MAX(0.1,Skills!D13-IF(TRUE=TRUE,Inputs!$B$32,0))))))/Skills!H13,1)))/Inputs!$B$44),G1103*Q1103))*IF(Inputs!$B$39="pvp",1,1+(Inputs!$B$20+0+Skills!P13+B1125+(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Hunt"),CHOOSE(ArtifactsInput!$N$35+1,15,18,21,24,27,30)*(1-EXP(-(0.2*B1128)*5)),0)+IF(AND(ArtifactsInput!$M$22,Inputs!$B$4&lt;&gt;"Chapter Hunt"),CHOOSE(ArtifactsInput!$N$22+1,10,12,14,16,18,20)*((0*(((0.15*B1128*5))^0/1)+1*(((0.15*B1128*5))^1/1)+2*(((0.15*B1128*5))^2/2)+3*(((0.15*B1128*5))^3/6)+4*(((0.15*B1128*5))^4/24)+5*(((0.15*B1128*5))^5/120))/((((0.15*B1128*5))^0/1)+(((0.15*B1128*5))^1/1)+(((0.15*B1128*5))^2/2)+(((0.15*B1128*5))^3/6)+(((0.15*B1128*5))^4/24)+(((0.15*B1128*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1103*(1-MIN(100,(Inputs!$B$9+((C1116=TRUE)*(F1116-Calc!F26))+B1124+(ArtifactsInput!$M$24-ArtifactsInput!$M$24)*CHOOSE(ArtifactsInput!$N$24+1,10,12,14,16,18,20)+(IF(AND(Inputs!$B$39&lt;&gt;"pvp",Inputs!$B$44=0),1,IF(IF(Inputs!$B$39="pvp",15,Inputs!$B$44)-(B1135)&lt;=0,1,MAX(0,IF(Inputs!$B$39="pvp",15,Inputs!$B$44)-MAX(5,B1135))/(IF(Inputs!$B$39="pvp",15,Inputs!$B$44)-(B1135))))*IF(AND(ArtifactsInput!$M$42,((Inputs!$B$9+((C1116=TRUE)*(F1116-Calc!F26))+B1124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1103*(MIN(100,(Inputs!$B$9+((C1116=TRUE)*(F1116-Calc!F26))+B1124+(ArtifactsInput!$M$24-ArtifactsInput!$M$24)*CHOOSE(ArtifactsInput!$N$24+1,10,12,14,16,18,20)+(IF(AND(Inputs!$B$39&lt;&gt;"pvp",Inputs!$B$44=0),1,IF(IF(Inputs!$B$39="pvp",15,Inputs!$B$44)-(B1135)&lt;=0,1,MAX(0,IF(Inputs!$B$39="pvp",15,Inputs!$B$44)-MAX(5,B1135))/(IF(Inputs!$B$39="pvp",15,Inputs!$B$44)-(B1135))))*IF(AND(ArtifactsInput!$M$42,((Inputs!$B$9+((C1116=TRUE)*(F1116-Calc!F26))+B1124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1103*(1-MIN(100,(Inputs!$B$9+((C1116=TRUE)*(F1116-Calc!F26))+B1124+(ArtifactsInput!$M$24-ArtifactsInput!$M$24)*CHOOSE(ArtifactsInput!$N$24+1,10,12,14,16,18,20)+(IF(AND(Inputs!$B$39&lt;&gt;"pvp",Inputs!$B$44=0),1,IF(IF(Inputs!$B$39="pvp",15,Inputs!$B$44)-(B1135)&lt;=0,1,MAX(0,IF(Inputs!$B$39="pvp",15,Inputs!$B$44)-MAX(5,B1135))/(IF(Inputs!$B$39="pvp",15,Inputs!$B$44)-(B1135))))*IF(AND(ArtifactsInput!$M$42,((Inputs!$B$9+((C1116=TRUE)*(F1116-Calc!F26))+B1124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1103*(MIN(100,(Inputs!$B$9+((C1116=TRUE)*(F1116-Calc!F26))+B1124+(ArtifactsInput!$M$24-ArtifactsInput!$M$24)*CHOOSE(ArtifactsInput!$N$24+1,10,12,14,16,18,20)+(IF(AND(Inputs!$B$39&lt;&gt;"pvp",Inputs!$B$44=0),1,IF(IF(Inputs!$B$39="pvp",15,Inputs!$B$44)-(B1135)&lt;=0,1,MAX(0,IF(Inputs!$B$39="pvp",15,Inputs!$B$44)-MAX(5,B1135))/(IF(Inputs!$B$39="pvp",15,Inputs!$B$44)-(B1135))))*IF(AND(ArtifactsInput!$M$42,((Inputs!$B$9+((C1116=TRUE)*(F1116-Calc!F26))+B1124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1103">
        <f>IF(C1103,(H1103*N1103*IF(AND(Inputs!$B$39&lt;&gt;"pvp",Inputs!$B$44&gt;0),((Skills!G13*((R1103-1)*IF(Skills!H13&gt;0,Skills!I13/Skills!H13,1)+IF(Skills!H13&gt;0,MIN(Skills!I13,MAX(0,MAX(0,Inputs!$B$44-B1135)-((R1103-1)*IF(Inputs!$B$39="pvp",15,MAX(0.1,Skills!D13-IF(TRUE=TRUE,Inputs!$B$32,0))))))/Skills!H13,1)))/Inputs!$B$44),G1103*Q1103))*IF(Inputs!$B$39="pvp",1,(1+(Inputs!$B$21+Skills!Q13+B1125+(IF(ArtifactsInput!$M$33,CHOOSE(ArtifactsInput!$N$33+1,30,36,42,48,54,60),0))+(IF(AND(ArtifactsInput!$M$35,Inputs!$B$4&lt;&gt;"Chapter Hunt"),CHOOSE(ArtifactsInput!$N$35+1,15,18,21,24,27,30)*(1-EXP(-(0.2*B1128)*5)),0)+IF(AND(ArtifactsInput!$M$22,Inputs!$B$4&lt;&gt;"Chapter Hunt"),CHOOSE(ArtifactsInput!$N$22+1,10,12,14,16,18,20)*((0*(((0.15*B1128*5))^0/1)+1*(((0.15*B1128*5))^1/1)+2*(((0.15*B1128*5))^2/2)+3*(((0.15*B1128*5))^3/6)+4*(((0.15*B1128*5))^4/24)+5*(((0.15*B1128*5))^5/120))/((((0.15*B1128*5))^0/1)+(((0.15*B1128*5))^1/1)+(((0.15*B1128*5))^2/2)+(((0.15*B1128*5))^3/6)+(((0.15*B1128*5))^4/24)+(((0.15*B1128*5))^5/120))),0)))/100)*(MIN(Skills!W13,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104">
      <c r="A1104">
        <f>Skills!A14</f>
        <v/>
      </c>
      <c r="B1104">
        <f>Skills!B14</f>
        <v/>
      </c>
      <c r="C1104">
        <f>Inputs!$B$3&gt;=105</f>
        <v/>
      </c>
      <c r="D1104">
        <f>IF(Skills!C14=1,60+Inputs!$B$25+(Inputs!$B$29+1),IF(Skills!C14=2,90+Inputs!$B$26+(Inputs!$B$29+1),IF(Skills!C14=3,120+Inputs!$B$27+(Inputs!$B$29+1),MAX(0,(Inputs!$B$3-100)*3)+Inputs!$B$28+(Inputs!$B$29+1))))</f>
        <v/>
      </c>
      <c r="E1104">
        <f>INDEX(FactorTable!$B$2:$Y$301, MATCH(ROUND(MIN(300,MAX(1,D1104)),0), FactorTable!$A$2:$A$301,0), Skills!M14+1)</f>
        <v/>
      </c>
      <c r="F1104">
        <f>IF(Skills!N14=TRUE,(Skills!L14/10)*(E1104/1000),Skills!L14/10)+Skills!O14</f>
        <v/>
      </c>
      <c r="G1104">
        <f>Skills!G14*IF(Skills!H14&gt;0,IF(Inputs!$B$39="pvp",MIN(Skills!I14,15),Skills!I14)/Skills!H14,1)</f>
        <v/>
      </c>
      <c r="H1104">
        <f>1-(1-Skills!J14/100)^Skills!K14</f>
        <v/>
      </c>
      <c r="I1104" t="inlineStr">
        <is>
          <t>1</t>
        </is>
      </c>
      <c r="J1104">
        <f>((Inputs!$B$6*(1+Inputs!$B$7/100))+(((Inputs!$B$12*(1+Inputs!$B$13/100))-(Inputs!$B$12*(1+Inputs!$B$13/100)))+0.25*(Inputs!$B$14-Inputs!$B$14))*(1+Inputs!$B$7/100))*(F1104/100)</f>
        <v/>
      </c>
      <c r="K1104">
        <f>J1104*(1+((Inputs!$B$12*(1+Inputs!$B$13/100))*0.01+Inputs!$B$14*0.0025)/100)*(1+Inputs!$B$15/100)*(1+Inputs!$B$16/100)*(5000/(6000+Inputs!$B$43*(1-(100*(1-(1-Inputs!$B$19/100)*(1-CHOOSE(ArtifactsInput!$N$40+1,5,6,7,8,9,10)/100)^(ArtifactsInput!$M$40-ArtifactsInput!$M$40)))/100)))*(1+(Inputs!$B$24+((C1121=TRUE)*(F1121-Calc!F31))+((C1108=TRUE)*(F1108-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14="CRUEL_STAB",Inputs!$B$17+((C1118=TRUE)*(F1118-Calc!F28))+((IF(AND(Inputs!$B$39&lt;&gt;"pvp",Inputs!$B$44=0),1,IF(IF(Inputs!$B$39="pvp",15,Inputs!$B$44)-(B1135)&lt;=0,1,MAX(0,IF(Inputs!$B$39="pvp",15,Inputs!$B$44)-MAX(5,B1135))/(IF(Inputs!$B$39="pvp",15,Inputs!$B$44)-(B1135))))*(IF(AND(ArtifactsInput!$M$42,((Inputs!$B$9+((C1116=TRUE)*(F1116-Calc!F26))+B1124+(ArtifactsInput!$M$24-ArtifactsInput!$M$24)*CHOOSE(ArtifactsInput!$N$24+1,10,12,14,16,18,20)+IF(ArtifactsInput!$M$10,CHOOSE(ArtifactsInput!$N$10+1,15,18,21,24,27,30)*(IF(Inputs!$B$39="pvp",MIN(15,15)/15,IF(AND(Inputs!$B$39&lt;&gt;"pvp",Inputs!$B$44&gt;0),MIN(15,Inputs!$B$44)/(Inputs!$B$44),0))),0)))&gt;=100),MIN(100,((Inputs!$B$9+((C1116=TRUE)*(F1116-Calc!F26))+B1124+(ArtifactsInput!$M$24-ArtifactsInput!$M$24)*CHOOSE(ArtifactsInput!$N$24+1,10,12,14,16,18,20)+IF(ArtifactsInput!$M$10,CHOOSE(ArtifactsInput!$N$10+1,15,18,21,24,27,30)*(IF(Inputs!$B$39="pvp",MIN(15,15)/15,IF(AND(Inputs!$B$39&lt;&gt;"pvp",Inputs!$B$44&gt;0),MIN(15,Inputs!$B$44)/(Inputs!$B$44),0))),0)))-100),0))*CHOOSE(ArtifactsInput!$N$42+1,0.6,0.72,0.84,0.96,1.08,1.2))),Inputs!$B$18+((C1119=TRUE)*(F1119-Calc!F29))+(IF(AND(Inputs!$B$39&lt;&gt;"pvp",Inputs!$B$44=0),1,IF(IF(Inputs!$B$39="pvp",15,Inputs!$B$44)-(B1135)&lt;=0,1,MAX(0,IF(Inputs!$B$39="pvp",15,Inputs!$B$44)-MAX(5,B1135))/(IF(Inputs!$B$39="pvp",15,Inputs!$B$44)-(B1135))))*IF(AND(ArtifactsInput!$M$42,((Inputs!$B$9+((C1116=TRUE)*(F1116-Calc!F26))+B1124+(ArtifactsInput!$M$24-ArtifactsInput!$M$24)*CHOOSE(ArtifactsInput!$N$24+1,10,12,14,16,18,20)+IF(ArtifactsInput!$M$10,CHOOSE(ArtifactsInput!$N$10+1,15,18,21,24,27,30)*(IF(Inputs!$B$39="pvp",MIN(15,15)/15,IF(AND(Inputs!$B$39&lt;&gt;"pvp",Inputs!$B$44&gt;0),MIN(15,Inputs!$B$44)/(Inputs!$B$44),0))),0)))&gt;=100),CHOOSE(ArtifactsInput!$N$42+1,40,48,56,64,72,80),0))))/100)*(((1+(((C1112=TRUE)*F1112*IF(AND(Inputs!$B$39&lt;&gt;"pvp",Inputs!$B$44&gt;0),(((R1112-1)*MIN((Skills!Y22*(1+Inputs!$B$34/100)),(1/Q1112))+MIN((Skills!Y22*(1+Inputs!$B$34/100)),MAX(0,Inputs!$B$44-((R1112-1)*(1/Q1112)))))/Inputs!$B$44),IF(Inputs!$B$39="pvp",MIN((Skills!Y22*(1+Inputs!$B$34/100)),15)/15,MIN(1,(Skills!Y22*(1+Inputs!$B$34/100))/(1/Q1112)))))+((C1093=TRUE)*F1093*3)+((C1095=TRUE)*F1095*(1-EXP(-0.75*B1128*5)))+((C1114=TRUE)*(F1114-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1101=TRUE)*F1101*IF(AND(Inputs!$B$39&lt;&gt;"pvp",Inputs!$B$44&gt;0),(((R1101-1)*MIN((Skills!Y11*(1+Inputs!$B$34/100)),(1/Q1101))+MIN((Skills!Y11*(1+Inputs!$B$34/100)),MAX(0,Inputs!$B$44-((R1101-1)*(1/Q1101)))))/Inputs!$B$44),IF(Inputs!$B$39="pvp",MIN((Skills!Y11*(1+Inputs!$B$34/100)),15)/15,MIN(1,(Skills!Y11*(1+Inputs!$B$34/100))/(1/Q1101)))))/100)*(1+((C1106=TRUE)*F1106*IF(AND(Inputs!$B$39&lt;&gt;"pvp",Inputs!$B$44&gt;0),(((R1106-1)*MIN((Skills!Y16*(1+Inputs!$B$34/100)),(1/Q1106))+MIN((Skills!Y16*(1+Inputs!$B$34/100)),MAX(0,Inputs!$B$44-((R1106-1)*(1/Q1106)))))/Inputs!$B$44),IF(Inputs!$B$39="pvp",MIN((Skills!Y16*(1+Inputs!$B$34/100)),15)/15,MIN(1,(Skills!Y16*(1+Inputs!$B$34/100))/(1/Q1106)))))/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1126*I1104)</f>
        <v/>
      </c>
      <c r="L1104">
        <f>K1104*(MIN(Inputs!$B$22+((C1115=TRUE)*(F1115-Calc!F25)),(Inputs!$B$23+((C1120=TRUE)*(F1120-Calc!F30))+IF(ArtifactsInput!$M$15,CHOOSE(ArtifactsInput!$N$15+1,25,30,35,40,45,50)/100*(Inputs!$B$11-Inputs!$B$11),0)))/100+(Inputs!$B$23+((C1120=TRUE)*(F1120-Calc!F30))+IF(ArtifactsInput!$M$15,CHOOSE(ArtifactsInput!$N$15+1,25,30,35,40,45,50)/100*(Inputs!$B$11-Inputs!$B$11),0))/100)/2</f>
        <v/>
      </c>
      <c r="M1104">
        <f>L1104*(1+(Inputs!$B$10+((C1117=TRUE)*(F1117-Calc!F27))+B1131+(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1104">
        <f>L1104*(1-MIN((Inputs!$B$9+((C1116=TRUE)*(F1116-Calc!F26))+B1124+(ArtifactsInput!$M$24-ArtifactsInput!$M$24)*CHOOSE(ArtifactsInput!$N$24+1,10,12,14,16,18,20)+(IF(AND(Inputs!$B$39&lt;&gt;"pvp",Inputs!$B$44=0),1,IF(IF(Inputs!$B$39="pvp",15,Inputs!$B$44)-(B1135)&lt;=0,1,MAX(0,IF(Inputs!$B$39="pvp",15,Inputs!$B$44)-MAX(5,B1135))/(IF(Inputs!$B$39="pvp",15,Inputs!$B$44)-(B1135))))*IF(AND(ArtifactsInput!$M$42,((Inputs!$B$9+((C1116=TRUE)*(F1116-Calc!F26))+B1124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1104*(MIN((Inputs!$B$9+((C1116=TRUE)*(F1116-Calc!F26))+B1124+(ArtifactsInput!$M$24-ArtifactsInput!$M$24)*CHOOSE(ArtifactsInput!$N$24+1,10,12,14,16,18,20)+(IF(AND(Inputs!$B$39&lt;&gt;"pvp",Inputs!$B$44=0),1,IF(IF(Inputs!$B$39="pvp",15,Inputs!$B$44)-(B1135)&lt;=0,1,MAX(0,IF(Inputs!$B$39="pvp",15,Inputs!$B$44)-MAX(5,B1135))/(IF(Inputs!$B$39="pvp",15,Inputs!$B$44)-(B1135))))*IF(AND(ArtifactsInput!$M$42,((Inputs!$B$9+((C1116=TRUE)*(F1116-Calc!F26))+B1124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104">
        <f>(1-Summary!$B$11)*T1104+Summary!$B$11*V1104</f>
        <v/>
      </c>
      <c r="P1104">
        <f>IF(B1136=0,0,O1104/B1136)</f>
        <v/>
      </c>
      <c r="Q1104">
        <f>IFERROR(1/IF(Inputs!$B$39="pvp",15,MAX(0.1,Skills!D14-IF(TRUE=TRUE,Inputs!$B$32,0))),0)</f>
        <v/>
      </c>
      <c r="R1104">
        <f>IF(AND(Inputs!$B$39&lt;&gt;"pvp",Inputs!$B$44&gt;0),IF(MAX(0,Inputs!$B$44-B1135)&lt;=0,0,(INT(MAX(0,Inputs!$B$44-B1135)/IF(Inputs!$B$39="pvp",15,MAX(0.1,Skills!D14-IF(TRUE=TRUE,Inputs!$B$32,0))))+1)),0)</f>
        <v/>
      </c>
      <c r="S1104">
        <f>IFERROR(O1104/N1104,0)</f>
        <v/>
      </c>
      <c r="T1104">
        <f>IF(C1104,(H1104*N1104*IF(AND(Inputs!$B$39&lt;&gt;"pvp",Inputs!$B$44&gt;0),((Skills!G14*((R1104-1)*IF(Skills!H14&gt;0,Skills!I14/Skills!H14,1)+IF(Skills!H14&gt;0,MIN(Skills!I14,MAX(0,MAX(0,Inputs!$B$44-B1135)-((R1104-1)*IF(Inputs!$B$39="pvp",15,MAX(0.1,Skills!D14-IF(TRUE=TRUE,Inputs!$B$32,0))))))/Skills!H14,1)))/Inputs!$B$44),G1104*Q1104))*IF(Inputs!$B$39="pvp",1,1+(Inputs!$B$20+0+Skills!P14+B1125+(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Hunt"),CHOOSE(ArtifactsInput!$N$35+1,15,18,21,24,27,30)*(1-EXP(-(0.2*B1128)*5)),0)+IF(AND(ArtifactsInput!$M$22,Inputs!$B$4&lt;&gt;"Chapter Hunt"),CHOOSE(ArtifactsInput!$N$22+1,10,12,14,16,18,20)*((0*(((0.15*B1128*5))^0/1)+1*(((0.15*B1128*5))^1/1)+2*(((0.15*B1128*5))^2/2)+3*(((0.15*B1128*5))^3/6)+4*(((0.15*B1128*5))^4/24)+5*(((0.15*B1128*5))^5/120))/((((0.15*B1128*5))^0/1)+(((0.15*B1128*5))^1/1)+(((0.15*B1128*5))^2/2)+(((0.15*B1128*5))^3/6)+(((0.15*B1128*5))^4/24)+(((0.15*B1128*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1104*(1-MIN(100,(Inputs!$B$9+((C1116=TRUE)*(F1116-Calc!F26))+B1124+(ArtifactsInput!$M$24-ArtifactsInput!$M$24)*CHOOSE(ArtifactsInput!$N$24+1,10,12,14,16,18,20)+(IF(AND(Inputs!$B$39&lt;&gt;"pvp",Inputs!$B$44=0),1,IF(IF(Inputs!$B$39="pvp",15,Inputs!$B$44)-(B1135)&lt;=0,1,MAX(0,IF(Inputs!$B$39="pvp",15,Inputs!$B$44)-MAX(5,B1135))/(IF(Inputs!$B$39="pvp",15,Inputs!$B$44)-(B1135))))*IF(AND(ArtifactsInput!$M$42,((Inputs!$B$9+((C1116=TRUE)*(F1116-Calc!F26))+B1124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1104*(MIN(100,(Inputs!$B$9+((C1116=TRUE)*(F1116-Calc!F26))+B1124+(ArtifactsInput!$M$24-ArtifactsInput!$M$24)*CHOOSE(ArtifactsInput!$N$24+1,10,12,14,16,18,20)+(IF(AND(Inputs!$B$39&lt;&gt;"pvp",Inputs!$B$44=0),1,IF(IF(Inputs!$B$39="pvp",15,Inputs!$B$44)-(B1135)&lt;=0,1,MAX(0,IF(Inputs!$B$39="pvp",15,Inputs!$B$44)-MAX(5,B1135))/(IF(Inputs!$B$39="pvp",15,Inputs!$B$44)-(B1135))))*IF(AND(ArtifactsInput!$M$42,((Inputs!$B$9+((C1116=TRUE)*(F1116-Calc!F26))+B1124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1104*(1-MIN(100,(Inputs!$B$9+((C1116=TRUE)*(F1116-Calc!F26))+B1124+(ArtifactsInput!$M$24-ArtifactsInput!$M$24)*CHOOSE(ArtifactsInput!$N$24+1,10,12,14,16,18,20)+(IF(AND(Inputs!$B$39&lt;&gt;"pvp",Inputs!$B$44=0),1,IF(IF(Inputs!$B$39="pvp",15,Inputs!$B$44)-(B1135)&lt;=0,1,MAX(0,IF(Inputs!$B$39="pvp",15,Inputs!$B$44)-MAX(5,B1135))/(IF(Inputs!$B$39="pvp",15,Inputs!$B$44)-(B1135))))*IF(AND(ArtifactsInput!$M$42,((Inputs!$B$9+((C1116=TRUE)*(F1116-Calc!F26))+B1124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1104*(MIN(100,(Inputs!$B$9+((C1116=TRUE)*(F1116-Calc!F26))+B1124+(ArtifactsInput!$M$24-ArtifactsInput!$M$24)*CHOOSE(ArtifactsInput!$N$24+1,10,12,14,16,18,20)+(IF(AND(Inputs!$B$39&lt;&gt;"pvp",Inputs!$B$44=0),1,IF(IF(Inputs!$B$39="pvp",15,Inputs!$B$44)-(B1135)&lt;=0,1,MAX(0,IF(Inputs!$B$39="pvp",15,Inputs!$B$44)-MAX(5,B1135))/(IF(Inputs!$B$39="pvp",15,Inputs!$B$44)-(B1135))))*IF(AND(ArtifactsInput!$M$42,((Inputs!$B$9+((C1116=TRUE)*(F1116-Calc!F26))+B1124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1104">
        <f>IF(C1104,(H1104*N1104*IF(AND(Inputs!$B$39&lt;&gt;"pvp",Inputs!$B$44&gt;0),((Skills!G14*((R1104-1)*IF(Skills!H14&gt;0,Skills!I14/Skills!H14,1)+IF(Skills!H14&gt;0,MIN(Skills!I14,MAX(0,MAX(0,Inputs!$B$44-B1135)-((R1104-1)*IF(Inputs!$B$39="pvp",15,MAX(0.1,Skills!D14-IF(TRUE=TRUE,Inputs!$B$32,0))))))/Skills!H14,1)))/Inputs!$B$44),G1104*Q1104))*IF(Inputs!$B$39="pvp",1,(1+(Inputs!$B$21+Skills!Q14+B1125+(IF(ArtifactsInput!$M$33,CHOOSE(ArtifactsInput!$N$33+1,30,36,42,48,54,60),0))+(IF(AND(ArtifactsInput!$M$35,Inputs!$B$4&lt;&gt;"Chapter Hunt"),CHOOSE(ArtifactsInput!$N$35+1,15,18,21,24,27,30)*(1-EXP(-(0.2*B1128)*5)),0)+IF(AND(ArtifactsInput!$M$22,Inputs!$B$4&lt;&gt;"Chapter Hunt"),CHOOSE(ArtifactsInput!$N$22+1,10,12,14,16,18,20)*((0*(((0.15*B1128*5))^0/1)+1*(((0.15*B1128*5))^1/1)+2*(((0.15*B1128*5))^2/2)+3*(((0.15*B1128*5))^3/6)+4*(((0.15*B1128*5))^4/24)+5*(((0.15*B1128*5))^5/120))/((((0.15*B1128*5))^0/1)+(((0.15*B1128*5))^1/1)+(((0.15*B1128*5))^2/2)+(((0.15*B1128*5))^3/6)+(((0.15*B1128*5))^4/24)+(((0.15*B1128*5))^5/120))),0)))/100)*(MIN(Skills!W14,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105">
      <c r="A1105">
        <f>Skills!A15</f>
        <v/>
      </c>
      <c r="B1105">
        <f>Skills!B15</f>
        <v/>
      </c>
      <c r="C1105">
        <f>Inputs!$B$3&gt;=107</f>
        <v/>
      </c>
      <c r="D1105">
        <f>IF(Skills!C15=1,60+Inputs!$B$25+(Inputs!$B$29+1),IF(Skills!C15=2,90+Inputs!$B$26+(Inputs!$B$29+1),IF(Skills!C15=3,120+Inputs!$B$27+(Inputs!$B$29+1),MAX(0,(Inputs!$B$3-100)*3)+Inputs!$B$28+(Inputs!$B$29+1))))</f>
        <v/>
      </c>
      <c r="E1105">
        <f>INDEX(FactorTable!$B$2:$Y$301, MATCH(ROUND(MIN(300,MAX(1,D1105)),0), FactorTable!$A$2:$A$301,0), Skills!M15+1)</f>
        <v/>
      </c>
      <c r="F1105">
        <f>IF(Skills!N15=TRUE,(Skills!L15/10)*(E1105/1000),Skills!L15/10)+Skills!O15</f>
        <v/>
      </c>
      <c r="G1105">
        <f>Skills!G15*IF(Skills!H15&gt;0,IF(Inputs!$B$39="pvp",MIN(Skills!I15,15),Skills!I15)/Skills!H15,1)</f>
        <v/>
      </c>
      <c r="H1105">
        <f>1-(1-Skills!J15/100)^Skills!K15</f>
        <v/>
      </c>
      <c r="I1105" t="inlineStr">
        <is>
          <t>1</t>
        </is>
      </c>
      <c r="J1105">
        <f>((Inputs!$B$6*(1+Inputs!$B$7/100))+(((Inputs!$B$12*(1+Inputs!$B$13/100))-(Inputs!$B$12*(1+Inputs!$B$13/100)))+0.25*(Inputs!$B$14-Inputs!$B$14))*(1+Inputs!$B$7/100))*(F1105/100)</f>
        <v/>
      </c>
      <c r="K1105">
        <f>J1105*(1+((Inputs!$B$12*(1+Inputs!$B$13/100))*0.01+Inputs!$B$14*0.0025)/100)*(1+Inputs!$B$15/100)*(1+Inputs!$B$16/100)*(5000/(6000+Inputs!$B$43*(1-(100*(1-(1-Inputs!$B$19/100)*(1-CHOOSE(ArtifactsInput!$N$40+1,5,6,7,8,9,10)/100)^(ArtifactsInput!$M$40-ArtifactsInput!$M$40)))/100)))*(1+(Inputs!$B$24+((C1121=TRUE)*(F1121-Calc!F31))+((C1108=TRUE)*(F1108-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15="CRUEL_STAB",Inputs!$B$17+((C1118=TRUE)*(F1118-Calc!F28))+((IF(AND(Inputs!$B$39&lt;&gt;"pvp",Inputs!$B$44=0),1,IF(IF(Inputs!$B$39="pvp",15,Inputs!$B$44)-(B1135)&lt;=0,1,MAX(0,IF(Inputs!$B$39="pvp",15,Inputs!$B$44)-MAX(5,B1135))/(IF(Inputs!$B$39="pvp",15,Inputs!$B$44)-(B1135))))*(IF(AND(ArtifactsInput!$M$42,((Inputs!$B$9+((C1116=TRUE)*(F1116-Calc!F26))+B1124+(ArtifactsInput!$M$24-ArtifactsInput!$M$24)*CHOOSE(ArtifactsInput!$N$24+1,10,12,14,16,18,20)+IF(ArtifactsInput!$M$10,CHOOSE(ArtifactsInput!$N$10+1,15,18,21,24,27,30)*(IF(Inputs!$B$39="pvp",MIN(15,15)/15,IF(AND(Inputs!$B$39&lt;&gt;"pvp",Inputs!$B$44&gt;0),MIN(15,Inputs!$B$44)/(Inputs!$B$44),0))),0)))&gt;=100),MIN(100,((Inputs!$B$9+((C1116=TRUE)*(F1116-Calc!F26))+B1124+(ArtifactsInput!$M$24-ArtifactsInput!$M$24)*CHOOSE(ArtifactsInput!$N$24+1,10,12,14,16,18,20)+IF(ArtifactsInput!$M$10,CHOOSE(ArtifactsInput!$N$10+1,15,18,21,24,27,30)*(IF(Inputs!$B$39="pvp",MIN(15,15)/15,IF(AND(Inputs!$B$39&lt;&gt;"pvp",Inputs!$B$44&gt;0),MIN(15,Inputs!$B$44)/(Inputs!$B$44),0))),0)))-100),0))*CHOOSE(ArtifactsInput!$N$42+1,0.6,0.72,0.84,0.96,1.08,1.2))),Inputs!$B$18+((C1119=TRUE)*(F1119-Calc!F29))+(IF(AND(Inputs!$B$39&lt;&gt;"pvp",Inputs!$B$44=0),1,IF(IF(Inputs!$B$39="pvp",15,Inputs!$B$44)-(B1135)&lt;=0,1,MAX(0,IF(Inputs!$B$39="pvp",15,Inputs!$B$44)-MAX(5,B1135))/(IF(Inputs!$B$39="pvp",15,Inputs!$B$44)-(B1135))))*IF(AND(ArtifactsInput!$M$42,((Inputs!$B$9+((C1116=TRUE)*(F1116-Calc!F26))+B1124+(ArtifactsInput!$M$24-ArtifactsInput!$M$24)*CHOOSE(ArtifactsInput!$N$24+1,10,12,14,16,18,20)+IF(ArtifactsInput!$M$10,CHOOSE(ArtifactsInput!$N$10+1,15,18,21,24,27,30)*(IF(Inputs!$B$39="pvp",MIN(15,15)/15,IF(AND(Inputs!$B$39&lt;&gt;"pvp",Inputs!$B$44&gt;0),MIN(15,Inputs!$B$44)/(Inputs!$B$44),0))),0)))&gt;=100),CHOOSE(ArtifactsInput!$N$42+1,40,48,56,64,72,80),0))))/100)*(((1+(((C1112=TRUE)*F1112*IF(AND(Inputs!$B$39&lt;&gt;"pvp",Inputs!$B$44&gt;0),(((R1112-1)*MIN((Skills!Y22*(1+Inputs!$B$34/100)),(1/Q1112))+MIN((Skills!Y22*(1+Inputs!$B$34/100)),MAX(0,Inputs!$B$44-((R1112-1)*(1/Q1112)))))/Inputs!$B$44),IF(Inputs!$B$39="pvp",MIN((Skills!Y22*(1+Inputs!$B$34/100)),15)/15,MIN(1,(Skills!Y22*(1+Inputs!$B$34/100))/(1/Q1112)))))+((C1093=TRUE)*F1093*3)+((C1095=TRUE)*F1095*(1-EXP(-0.75*B1128*5)))+((C1114=TRUE)*(F1114-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1101=TRUE)*F1101*IF(AND(Inputs!$B$39&lt;&gt;"pvp",Inputs!$B$44&gt;0),(((R1101-1)*MIN((Skills!Y11*(1+Inputs!$B$34/100)),(1/Q1101))+MIN((Skills!Y11*(1+Inputs!$B$34/100)),MAX(0,Inputs!$B$44-((R1101-1)*(1/Q1101)))))/Inputs!$B$44),IF(Inputs!$B$39="pvp",MIN((Skills!Y11*(1+Inputs!$B$34/100)),15)/15,MIN(1,(Skills!Y11*(1+Inputs!$B$34/100))/(1/Q1101)))))/100)*(1+((C1106=TRUE)*F1106*IF(AND(Inputs!$B$39&lt;&gt;"pvp",Inputs!$B$44&gt;0),(((R1106-1)*MIN((Skills!Y16*(1+Inputs!$B$34/100)),(1/Q1106))+MIN((Skills!Y16*(1+Inputs!$B$34/100)),MAX(0,Inputs!$B$44-((R1106-1)*(1/Q1106)))))/Inputs!$B$44),IF(Inputs!$B$39="pvp",MIN((Skills!Y16*(1+Inputs!$B$34/100)),15)/15,MIN(1,(Skills!Y16*(1+Inputs!$B$34/100))/(1/Q1106)))))/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1126*I1105)</f>
        <v/>
      </c>
      <c r="L1105">
        <f>K1105*(MIN(Inputs!$B$22+((C1115=TRUE)*(F1115-Calc!F25)),(Inputs!$B$23+((C1120=TRUE)*(F1120-Calc!F30))+IF(ArtifactsInput!$M$15,CHOOSE(ArtifactsInput!$N$15+1,25,30,35,40,45,50)/100*(Inputs!$B$11-Inputs!$B$11),0)))/100+(Inputs!$B$23+((C1120=TRUE)*(F1120-Calc!F30))+IF(ArtifactsInput!$M$15,CHOOSE(ArtifactsInput!$N$15+1,25,30,35,40,45,50)/100*(Inputs!$B$11-Inputs!$B$11),0))/100)/2</f>
        <v/>
      </c>
      <c r="M1105">
        <f>L1105*(1+(Inputs!$B$10+((C1117=TRUE)*(F1117-Calc!F27))+B1131+(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1105">
        <f>L1105*(1-MIN((Inputs!$B$9+((C1116=TRUE)*(F1116-Calc!F26))+B1124+(ArtifactsInput!$M$24-ArtifactsInput!$M$24)*CHOOSE(ArtifactsInput!$N$24+1,10,12,14,16,18,20)+(IF(AND(Inputs!$B$39&lt;&gt;"pvp",Inputs!$B$44=0),1,IF(IF(Inputs!$B$39="pvp",15,Inputs!$B$44)-(B1135)&lt;=0,1,MAX(0,IF(Inputs!$B$39="pvp",15,Inputs!$B$44)-MAX(5,B1135))/(IF(Inputs!$B$39="pvp",15,Inputs!$B$44)-(B1135))))*IF(AND(ArtifactsInput!$M$42,((Inputs!$B$9+((C1116=TRUE)*(F1116-Calc!F26))+B1124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1105*(MIN((Inputs!$B$9+((C1116=TRUE)*(F1116-Calc!F26))+B1124+(ArtifactsInput!$M$24-ArtifactsInput!$M$24)*CHOOSE(ArtifactsInput!$N$24+1,10,12,14,16,18,20)+(IF(AND(Inputs!$B$39&lt;&gt;"pvp",Inputs!$B$44=0),1,IF(IF(Inputs!$B$39="pvp",15,Inputs!$B$44)-(B1135)&lt;=0,1,MAX(0,IF(Inputs!$B$39="pvp",15,Inputs!$B$44)-MAX(5,B1135))/(IF(Inputs!$B$39="pvp",15,Inputs!$B$44)-(B1135))))*IF(AND(ArtifactsInput!$M$42,((Inputs!$B$9+((C1116=TRUE)*(F1116-Calc!F26))+B1124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105">
        <f>(1-Summary!$B$11)*T1105+Summary!$B$11*V1105</f>
        <v/>
      </c>
      <c r="P1105">
        <f>IF(B1136=0,0,O1105/B1136)</f>
        <v/>
      </c>
      <c r="Q1105">
        <f>IFERROR(1/IF(Inputs!$B$39="pvp",15,MAX(0.1,Skills!D15-IF(TRUE=TRUE,Inputs!$B$32,0))),0)</f>
        <v/>
      </c>
      <c r="R1105">
        <f>IF(AND(Inputs!$B$39&lt;&gt;"pvp",Inputs!$B$44&gt;0),IF(MAX(0,Inputs!$B$44-B1135)&lt;=0,0,(INT(MAX(0,Inputs!$B$44-B1135)/IF(Inputs!$B$39="pvp",15,MAX(0.1,Skills!D15-IF(TRUE=TRUE,Inputs!$B$32,0))))+1)),0)</f>
        <v/>
      </c>
      <c r="S1105">
        <f>IFERROR(O1105/N1105,0)</f>
        <v/>
      </c>
      <c r="T1105">
        <f>IF(C1105,(H1105*N1105*IF(AND(Inputs!$B$39&lt;&gt;"pvp",Inputs!$B$44&gt;0),((Skills!G15*((R1105-1)*IF(Skills!H15&gt;0,Skills!I15/Skills!H15,1)+IF(Skills!H15&gt;0,MIN(Skills!I15,MAX(0,MAX(0,Inputs!$B$44-B1135)-((R1105-1)*IF(Inputs!$B$39="pvp",15,MAX(0.1,Skills!D15-IF(TRUE=TRUE,Inputs!$B$32,0))))))/Skills!H15,1)))/Inputs!$B$44),G1105*Q1105))*IF(Inputs!$B$39="pvp",1,1+(Inputs!$B$20+0+Skills!P15+B1125+(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Hunt"),CHOOSE(ArtifactsInput!$N$35+1,15,18,21,24,27,30)*(1-EXP(-(0.2*B1128)*5)),0)+IF(AND(ArtifactsInput!$M$22,Inputs!$B$4&lt;&gt;"Chapter Hunt"),CHOOSE(ArtifactsInput!$N$22+1,10,12,14,16,18,20)*((0*(((0.15*B1128*5))^0/1)+1*(((0.15*B1128*5))^1/1)+2*(((0.15*B1128*5))^2/2)+3*(((0.15*B1128*5))^3/6)+4*(((0.15*B1128*5))^4/24)+5*(((0.15*B1128*5))^5/120))/((((0.15*B1128*5))^0/1)+(((0.15*B1128*5))^1/1)+(((0.15*B1128*5))^2/2)+(((0.15*B1128*5))^3/6)+(((0.15*B1128*5))^4/24)+(((0.15*B1128*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1105*(1-MIN(100,(Inputs!$B$9+((C1116=TRUE)*(F1116-Calc!F26))+B1124+(ArtifactsInput!$M$24-ArtifactsInput!$M$24)*CHOOSE(ArtifactsInput!$N$24+1,10,12,14,16,18,20)+(IF(AND(Inputs!$B$39&lt;&gt;"pvp",Inputs!$B$44=0),1,IF(IF(Inputs!$B$39="pvp",15,Inputs!$B$44)-(B1135)&lt;=0,1,MAX(0,IF(Inputs!$B$39="pvp",15,Inputs!$B$44)-MAX(5,B1135))/(IF(Inputs!$B$39="pvp",15,Inputs!$B$44)-(B1135))))*IF(AND(ArtifactsInput!$M$42,((Inputs!$B$9+((C1116=TRUE)*(F1116-Calc!F26))+B1124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1105*(MIN(100,(Inputs!$B$9+((C1116=TRUE)*(F1116-Calc!F26))+B1124+(ArtifactsInput!$M$24-ArtifactsInput!$M$24)*CHOOSE(ArtifactsInput!$N$24+1,10,12,14,16,18,20)+(IF(AND(Inputs!$B$39&lt;&gt;"pvp",Inputs!$B$44=0),1,IF(IF(Inputs!$B$39="pvp",15,Inputs!$B$44)-(B1135)&lt;=0,1,MAX(0,IF(Inputs!$B$39="pvp",15,Inputs!$B$44)-MAX(5,B1135))/(IF(Inputs!$B$39="pvp",15,Inputs!$B$44)-(B1135))))*IF(AND(ArtifactsInput!$M$42,((Inputs!$B$9+((C1116=TRUE)*(F1116-Calc!F26))+B1124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1105*(1-MIN(100,(Inputs!$B$9+((C1116=TRUE)*(F1116-Calc!F26))+B1124+(ArtifactsInput!$M$24-ArtifactsInput!$M$24)*CHOOSE(ArtifactsInput!$N$24+1,10,12,14,16,18,20)+(IF(AND(Inputs!$B$39&lt;&gt;"pvp",Inputs!$B$44=0),1,IF(IF(Inputs!$B$39="pvp",15,Inputs!$B$44)-(B1135)&lt;=0,1,MAX(0,IF(Inputs!$B$39="pvp",15,Inputs!$B$44)-MAX(5,B1135))/(IF(Inputs!$B$39="pvp",15,Inputs!$B$44)-(B1135))))*IF(AND(ArtifactsInput!$M$42,((Inputs!$B$9+((C1116=TRUE)*(F1116-Calc!F26))+B1124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1105*(MIN(100,(Inputs!$B$9+((C1116=TRUE)*(F1116-Calc!F26))+B1124+(ArtifactsInput!$M$24-ArtifactsInput!$M$24)*CHOOSE(ArtifactsInput!$N$24+1,10,12,14,16,18,20)+(IF(AND(Inputs!$B$39&lt;&gt;"pvp",Inputs!$B$44=0),1,IF(IF(Inputs!$B$39="pvp",15,Inputs!$B$44)-(B1135)&lt;=0,1,MAX(0,IF(Inputs!$B$39="pvp",15,Inputs!$B$44)-MAX(5,B1135))/(IF(Inputs!$B$39="pvp",15,Inputs!$B$44)-(B1135))))*IF(AND(ArtifactsInput!$M$42,((Inputs!$B$9+((C1116=TRUE)*(F1116-Calc!F26))+B1124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1105">
        <f>IF(C1105,(H1105*N1105*IF(AND(Inputs!$B$39&lt;&gt;"pvp",Inputs!$B$44&gt;0),((Skills!G15*((R1105-1)*IF(Skills!H15&gt;0,Skills!I15/Skills!H15,1)+IF(Skills!H15&gt;0,MIN(Skills!I15,MAX(0,MAX(0,Inputs!$B$44-B1135)-((R1105-1)*IF(Inputs!$B$39="pvp",15,MAX(0.1,Skills!D15-IF(TRUE=TRUE,Inputs!$B$32,0))))))/Skills!H15,1)))/Inputs!$B$44),G1105*Q1105))*IF(Inputs!$B$39="pvp",1,(1+(Inputs!$B$21+Skills!Q15+B1125+(IF(ArtifactsInput!$M$33,CHOOSE(ArtifactsInput!$N$33+1,30,36,42,48,54,60),0))+(IF(AND(ArtifactsInput!$M$35,Inputs!$B$4&lt;&gt;"Chapter Hunt"),CHOOSE(ArtifactsInput!$N$35+1,15,18,21,24,27,30)*(1-EXP(-(0.2*B1128)*5)),0)+IF(AND(ArtifactsInput!$M$22,Inputs!$B$4&lt;&gt;"Chapter Hunt"),CHOOSE(ArtifactsInput!$N$22+1,10,12,14,16,18,20)*((0*(((0.15*B1128*5))^0/1)+1*(((0.15*B1128*5))^1/1)+2*(((0.15*B1128*5))^2/2)+3*(((0.15*B1128*5))^3/6)+4*(((0.15*B1128*5))^4/24)+5*(((0.15*B1128*5))^5/120))/((((0.15*B1128*5))^0/1)+(((0.15*B1128*5))^1/1)+(((0.15*B1128*5))^2/2)+(((0.15*B1128*5))^3/6)+(((0.15*B1128*5))^4/24)+(((0.15*B1128*5))^5/120))),0)))/100)*(MIN(MIN(5,0.5*IF(Inputs!$B$3&gt;=75,0.75,0.5)*B1128*(1/Q1094))*Skills!V15,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106">
      <c r="A1106">
        <f>Skills!A16</f>
        <v/>
      </c>
      <c r="B1106">
        <f>Skills!B16</f>
        <v/>
      </c>
      <c r="C1106">
        <f>Inputs!$B$3&gt;=110</f>
        <v/>
      </c>
      <c r="D1106">
        <f>IF(Skills!C16=1,60+Inputs!$B$25+(Inputs!$B$29+1),IF(Skills!C16=2,90+Inputs!$B$26+(Inputs!$B$29+1),IF(Skills!C16=3,120+Inputs!$B$27+(Inputs!$B$29+1),MAX(0,(Inputs!$B$3-100)*3)+Inputs!$B$28+(Inputs!$B$29+1))))</f>
        <v/>
      </c>
      <c r="E1106">
        <f>INDEX(FactorTable!$B$2:$Y$301, MATCH(ROUND(MIN(300,MAX(1,D1106)),0), FactorTable!$A$2:$A$301,0), Skills!M16+1)</f>
        <v/>
      </c>
      <c r="F1106">
        <f>IF(Skills!N16=TRUE,(Skills!L16/10)*(E1106/1000),Skills!L16/10)+Skills!O16</f>
        <v/>
      </c>
      <c r="G1106">
        <f>Skills!G16*IF(Skills!H16&gt;0,IF(Inputs!$B$39="pvp",MIN(Skills!I16,15),Skills!I16)/Skills!H16,1)</f>
        <v/>
      </c>
      <c r="H1106">
        <f>1-(1-Skills!J16/100)^Skills!K16</f>
        <v/>
      </c>
      <c r="I1106" t="inlineStr">
        <is>
          <t>1</t>
        </is>
      </c>
      <c r="J1106" t="inlineStr"/>
      <c r="K1106" t="inlineStr"/>
      <c r="L1106" t="inlineStr"/>
      <c r="M1106" t="inlineStr"/>
      <c r="N1106" t="inlineStr"/>
      <c r="O1106">
        <f>(1-Summary!$B$11)*T1106+Summary!$B$11*V1106</f>
        <v/>
      </c>
      <c r="P1106">
        <f>IF(B1136=0,0,O1106/B1136)</f>
        <v/>
      </c>
      <c r="Q1106">
        <f>IFERROR(1/IF(Inputs!$B$39="pvp",15,MAX(0.1,Skills!D16-IF(TRUE=TRUE,Inputs!$B$32,0))),0)</f>
        <v/>
      </c>
      <c r="R1106">
        <f>IF(AND(Inputs!$B$39&lt;&gt;"pvp",Inputs!$B$44&gt;0),IF(Inputs!$B$44&lt;=0,0,(INT(Inputs!$B$44/IF(Inputs!$B$39="pvp",15,MAX(0.1,Skills!D16-IF(TRUE=TRUE,Inputs!$B$32,0))))+1)),0)</f>
        <v/>
      </c>
      <c r="S1106">
        <f>IFERROR(O1106/N1106,0)</f>
        <v/>
      </c>
      <c r="T1106" t="n">
        <v>0</v>
      </c>
      <c r="V1106" t="n">
        <v>0</v>
      </c>
    </row>
    <row r="1107">
      <c r="A1107">
        <f>Skills!A17</f>
        <v/>
      </c>
      <c r="B1107">
        <f>Skills!B17</f>
        <v/>
      </c>
      <c r="C1107">
        <f>Inputs!$B$3&gt;=115</f>
        <v/>
      </c>
      <c r="D1107">
        <f>IF(Skills!C17=1,60+Inputs!$B$25+(Inputs!$B$29+1),IF(Skills!C17=2,90+Inputs!$B$26+(Inputs!$B$29+1),IF(Skills!C17=3,120+Inputs!$B$27+(Inputs!$B$29+1),MAX(0,(Inputs!$B$3-100)*3)+Inputs!$B$28+(Inputs!$B$29+1))))</f>
        <v/>
      </c>
      <c r="E1107">
        <f>INDEX(FactorTable!$B$2:$Y$301, MATCH(ROUND(MIN(300,MAX(1,D1107)),0), FactorTable!$A$2:$A$301,0), Skills!M17+1)</f>
        <v/>
      </c>
      <c r="F1107">
        <f>IF(Skills!N17=TRUE,(Skills!L17/10)*(E1107/1000),Skills!L17/10)+Skills!O17</f>
        <v/>
      </c>
      <c r="G1107">
        <f>Skills!G17*IF(Skills!H17&gt;0,IF(Inputs!$B$39="pvp",MIN(Skills!I17,15),Skills!I17)/Skills!H17,1)</f>
        <v/>
      </c>
      <c r="H1107">
        <f>1-(1-Skills!J17/100)^Skills!K17</f>
        <v/>
      </c>
      <c r="I1107" t="inlineStr">
        <is>
          <t>1</t>
        </is>
      </c>
      <c r="J1107">
        <f>((Inputs!$B$6*(1+Inputs!$B$7/100))+(((Inputs!$B$12*(1+Inputs!$B$13/100))-(Inputs!$B$12*(1+Inputs!$B$13/100)))+0.25*(Inputs!$B$14-Inputs!$B$14))*(1+Inputs!$B$7/100))*(F1107/100)</f>
        <v/>
      </c>
      <c r="K1107">
        <f>J1107*(1+((Inputs!$B$12*(1+Inputs!$B$13/100))*0.01+Inputs!$B$14*0.0025)/100)*(1+Inputs!$B$15/100)*(1+Inputs!$B$16/100)*(5000/(6000+Inputs!$B$43*(1-(100*(1-(1-Inputs!$B$19/100)*(1-CHOOSE(ArtifactsInput!$N$40+1,5,6,7,8,9,10)/100)^(ArtifactsInput!$M$40-ArtifactsInput!$M$40)))/100)))*(1+(Inputs!$B$24+((C1121=TRUE)*(F1121-Calc!F31))+((C1108=TRUE)*(F1108-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17="CRUEL_STAB",Inputs!$B$17+((C1118=TRUE)*(F1118-Calc!F28))+((IF(AND(Inputs!$B$39&lt;&gt;"pvp",Inputs!$B$44=0),1,IF(IF(Inputs!$B$39="pvp",15,Inputs!$B$44)-(B1135)&lt;=0,1,MAX(0,IF(Inputs!$B$39="pvp",15,Inputs!$B$44)-MAX(5,B1135))/(IF(Inputs!$B$39="pvp",15,Inputs!$B$44)-(B1135))))*(IF(AND(ArtifactsInput!$M$42,((Inputs!$B$9+((C1116=TRUE)*(F1116-Calc!F26))+B1124+(ArtifactsInput!$M$24-ArtifactsInput!$M$24)*CHOOSE(ArtifactsInput!$N$24+1,10,12,14,16,18,20)+IF(ArtifactsInput!$M$10,CHOOSE(ArtifactsInput!$N$10+1,15,18,21,24,27,30)*(IF(Inputs!$B$39="pvp",MIN(15,15)/15,IF(AND(Inputs!$B$39&lt;&gt;"pvp",Inputs!$B$44&gt;0),MIN(15,Inputs!$B$44)/(Inputs!$B$44),0))),0)))&gt;=100),MIN(100,((Inputs!$B$9+((C1116=TRUE)*(F1116-Calc!F26))+B1124+(ArtifactsInput!$M$24-ArtifactsInput!$M$24)*CHOOSE(ArtifactsInput!$N$24+1,10,12,14,16,18,20)+IF(ArtifactsInput!$M$10,CHOOSE(ArtifactsInput!$N$10+1,15,18,21,24,27,30)*(IF(Inputs!$B$39="pvp",MIN(15,15)/15,IF(AND(Inputs!$B$39&lt;&gt;"pvp",Inputs!$B$44&gt;0),MIN(15,Inputs!$B$44)/(Inputs!$B$44),0))),0)))-100),0))*CHOOSE(ArtifactsInput!$N$42+1,0.6,0.72,0.84,0.96,1.08,1.2))),Inputs!$B$18+((C1119=TRUE)*(F1119-Calc!F29))+(IF(AND(Inputs!$B$39&lt;&gt;"pvp",Inputs!$B$44=0),1,IF(IF(Inputs!$B$39="pvp",15,Inputs!$B$44)-(B1135)&lt;=0,1,MAX(0,IF(Inputs!$B$39="pvp",15,Inputs!$B$44)-MAX(5,B1135))/(IF(Inputs!$B$39="pvp",15,Inputs!$B$44)-(B1135))))*IF(AND(ArtifactsInput!$M$42,((Inputs!$B$9+((C1116=TRUE)*(F1116-Calc!F26))+B1124+(ArtifactsInput!$M$24-ArtifactsInput!$M$24)*CHOOSE(ArtifactsInput!$N$24+1,10,12,14,16,18,20)+IF(ArtifactsInput!$M$10,CHOOSE(ArtifactsInput!$N$10+1,15,18,21,24,27,30)*(IF(Inputs!$B$39="pvp",MIN(15,15)/15,IF(AND(Inputs!$B$39&lt;&gt;"pvp",Inputs!$B$44&gt;0),MIN(15,Inputs!$B$44)/(Inputs!$B$44),0))),0)))&gt;=100),CHOOSE(ArtifactsInput!$N$42+1,40,48,56,64,72,80),0))))/100)*(((1+(((C1112=TRUE)*F1112*IF(AND(Inputs!$B$39&lt;&gt;"pvp",Inputs!$B$44&gt;0),(((R1112-1)*MIN((Skills!Y22*(1+Inputs!$B$34/100)),(1/Q1112))+MIN((Skills!Y22*(1+Inputs!$B$34/100)),MAX(0,Inputs!$B$44-((R1112-1)*(1/Q1112)))))/Inputs!$B$44),IF(Inputs!$B$39="pvp",MIN((Skills!Y22*(1+Inputs!$B$34/100)),15)/15,MIN(1,(Skills!Y22*(1+Inputs!$B$34/100))/(1/Q1112)))))+((C1093=TRUE)*F1093*3)+((C1095=TRUE)*F1095*(1-EXP(-0.75*B1128*5)))+((C1114=TRUE)*(F1114-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1101=TRUE)*F1101*IF(AND(Inputs!$B$39&lt;&gt;"pvp",Inputs!$B$44&gt;0),(((R1101-1)*MIN((Skills!Y11*(1+Inputs!$B$34/100)),(1/Q1101))+MIN((Skills!Y11*(1+Inputs!$B$34/100)),MAX(0,Inputs!$B$44-((R1101-1)*(1/Q1101)))))/Inputs!$B$44),IF(Inputs!$B$39="pvp",MIN((Skills!Y11*(1+Inputs!$B$34/100)),15)/15,MIN(1,(Skills!Y11*(1+Inputs!$B$34/100))/(1/Q1101)))))/100)*(1+((C1106=TRUE)*F1106*IF(AND(Inputs!$B$39&lt;&gt;"pvp",Inputs!$B$44&gt;0),(((R1106-1)*MIN((Skills!Y16*(1+Inputs!$B$34/100)),(1/Q1106))+MIN((Skills!Y16*(1+Inputs!$B$34/100)),MAX(0,Inputs!$B$44-((R1106-1)*(1/Q1106)))))/Inputs!$B$44),IF(Inputs!$B$39="pvp",MIN((Skills!Y16*(1+Inputs!$B$34/100)),15)/15,MIN(1,(Skills!Y16*(1+Inputs!$B$34/100))/(1/Q1106)))))/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1126*I1107)</f>
        <v/>
      </c>
      <c r="L1107">
        <f>K1107*(MIN(Inputs!$B$22+((C1115=TRUE)*(F1115-Calc!F25)),(Inputs!$B$23+((C1120=TRUE)*(F1120-Calc!F30))+IF(ArtifactsInput!$M$15,CHOOSE(ArtifactsInput!$N$15+1,25,30,35,40,45,50)/100*(Inputs!$B$11-Inputs!$B$11),0)))/100+(Inputs!$B$23+((C1120=TRUE)*(F1120-Calc!F30))+IF(ArtifactsInput!$M$15,CHOOSE(ArtifactsInput!$N$15+1,25,30,35,40,45,50)/100*(Inputs!$B$11-Inputs!$B$11),0))/100)/2</f>
        <v/>
      </c>
      <c r="M1107">
        <f>L1107*(1+(Inputs!$B$10+((C1117=TRUE)*(F1117-Calc!F27))+B1131+(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1107">
        <f>L1107*(1-MIN((Inputs!$B$9+((C1116=TRUE)*(F1116-Calc!F26))+B1124+(ArtifactsInput!$M$24-ArtifactsInput!$M$24)*CHOOSE(ArtifactsInput!$N$24+1,10,12,14,16,18,20)+(IF(AND(Inputs!$B$39&lt;&gt;"pvp",Inputs!$B$44=0),1,IF(IF(Inputs!$B$39="pvp",15,Inputs!$B$44)-(B1135)&lt;=0,1,MAX(0,IF(Inputs!$B$39="pvp",15,Inputs!$B$44)-MAX(5,B1135))/(IF(Inputs!$B$39="pvp",15,Inputs!$B$44)-(B1135))))*IF(AND(ArtifactsInput!$M$42,((Inputs!$B$9+((C1116=TRUE)*(F1116-Calc!F26))+B1124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1107*(MIN((Inputs!$B$9+((C1116=TRUE)*(F1116-Calc!F26))+B1124+(ArtifactsInput!$M$24-ArtifactsInput!$M$24)*CHOOSE(ArtifactsInput!$N$24+1,10,12,14,16,18,20)+(IF(AND(Inputs!$B$39&lt;&gt;"pvp",Inputs!$B$44=0),1,IF(IF(Inputs!$B$39="pvp",15,Inputs!$B$44)-(B1135)&lt;=0,1,MAX(0,IF(Inputs!$B$39="pvp",15,Inputs!$B$44)-MAX(5,B1135))/(IF(Inputs!$B$39="pvp",15,Inputs!$B$44)-(B1135))))*IF(AND(ArtifactsInput!$M$42,((Inputs!$B$9+((C1116=TRUE)*(F1116-Calc!F26))+B1124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107">
        <f>(1-Summary!$B$11)*T1107+Summary!$B$11*V1107</f>
        <v/>
      </c>
      <c r="P1107">
        <f>IF(B1136=0,0,O1107/B1136)</f>
        <v/>
      </c>
      <c r="Q1107" t="n">
        <v>0</v>
      </c>
      <c r="R1107" t="n">
        <v>0</v>
      </c>
      <c r="S1107">
        <f>IFERROR(O1107/N1107,0)</f>
        <v/>
      </c>
      <c r="T1107">
        <f>IF(C1107,(Inputs!$B$38*0.2*N1107)*IF(Inputs!$B$39="pvp",1,1+(Inputs!$B$20+0+Skills!P17+B1125+(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Hunt"),CHOOSE(ArtifactsInput!$N$35+1,15,18,21,24,27,30)*(1-EXP(-(0.2*B1128)*5)),0)+IF(AND(ArtifactsInput!$M$22,Inputs!$B$4&lt;&gt;"Chapter Hunt"),CHOOSE(ArtifactsInput!$N$22+1,10,12,14,16,18,20)*((0*(((0.15*B1128*5))^0/1)+1*(((0.15*B1128*5))^1/1)+2*(((0.15*B1128*5))^2/2)+3*(((0.15*B1128*5))^3/6)+4*(((0.15*B1128*5))^4/24)+5*(((0.15*B1128*5))^5/120))/((((0.15*B1128*5))^0/1)+(((0.15*B1128*5))^1/1)+(((0.15*B1128*5))^2/2)+(((0.15*B1128*5))^3/6)+(((0.15*B1128*5))^4/24)+(((0.15*B1128*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1107*(1-MIN(100,(Inputs!$B$9+((C1116=TRUE)*(F1116-Calc!F26))+B1124+(ArtifactsInput!$M$24-ArtifactsInput!$M$24)*CHOOSE(ArtifactsInput!$N$24+1,10,12,14,16,18,20)+(IF(AND(Inputs!$B$39&lt;&gt;"pvp",Inputs!$B$44=0),1,IF(IF(Inputs!$B$39="pvp",15,Inputs!$B$44)-(B1135)&lt;=0,1,MAX(0,IF(Inputs!$B$39="pvp",15,Inputs!$B$44)-MAX(5,B1135))/(IF(Inputs!$B$39="pvp",15,Inputs!$B$44)-(B1135))))*IF(AND(ArtifactsInput!$M$42,((Inputs!$B$9+((C1116=TRUE)*(F1116-Calc!F26))+B1124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1107*(MIN(100,(Inputs!$B$9+((C1116=TRUE)*(F1116-Calc!F26))+B1124+(ArtifactsInput!$M$24-ArtifactsInput!$M$24)*CHOOSE(ArtifactsInput!$N$24+1,10,12,14,16,18,20)+(IF(AND(Inputs!$B$39&lt;&gt;"pvp",Inputs!$B$44=0),1,IF(IF(Inputs!$B$39="pvp",15,Inputs!$B$44)-(B1135)&lt;=0,1,MAX(0,IF(Inputs!$B$39="pvp",15,Inputs!$B$44)-MAX(5,B1135))/(IF(Inputs!$B$39="pvp",15,Inputs!$B$44)-(B1135))))*IF(AND(ArtifactsInput!$M$42,((Inputs!$B$9+((C1116=TRUE)*(F1116-Calc!F26))+B1124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1107*(1-MIN(100,(Inputs!$B$9+((C1116=TRUE)*(F1116-Calc!F26))+B1124+(ArtifactsInput!$M$24-ArtifactsInput!$M$24)*CHOOSE(ArtifactsInput!$N$24+1,10,12,14,16,18,20)+(IF(AND(Inputs!$B$39&lt;&gt;"pvp",Inputs!$B$44=0),1,IF(IF(Inputs!$B$39="pvp",15,Inputs!$B$44)-(B1135)&lt;=0,1,MAX(0,IF(Inputs!$B$39="pvp",15,Inputs!$B$44)-MAX(5,B1135))/(IF(Inputs!$B$39="pvp",15,Inputs!$B$44)-(B1135))))*IF(AND(ArtifactsInput!$M$42,((Inputs!$B$9+((C1116=TRUE)*(F1116-Calc!F26))+B1124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1107*(MIN(100,(Inputs!$B$9+((C1116=TRUE)*(F1116-Calc!F26))+B1124+(ArtifactsInput!$M$24-ArtifactsInput!$M$24)*CHOOSE(ArtifactsInput!$N$24+1,10,12,14,16,18,20)+(IF(AND(Inputs!$B$39&lt;&gt;"pvp",Inputs!$B$44=0),1,IF(IF(Inputs!$B$39="pvp",15,Inputs!$B$44)-(B1135)&lt;=0,1,MAX(0,IF(Inputs!$B$39="pvp",15,Inputs!$B$44)-MAX(5,B1135))/(IF(Inputs!$B$39="pvp",15,Inputs!$B$44)-(B1135))))*IF(AND(ArtifactsInput!$M$42,((Inputs!$B$9+((C1116=TRUE)*(F1116-Calc!F26))+B1124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1107">
        <f>IF(C1107,(Inputs!$B$38*0.2*N1107)*IF(Inputs!$B$39="pvp",1,(1+(Inputs!$B$21+Skills!Q17+B1125+(IF(ArtifactsInput!$M$33,CHOOSE(ArtifactsInput!$N$33+1,30,36,42,48,54,60),0))+(IF(AND(ArtifactsInput!$M$35,Inputs!$B$4&lt;&gt;"Chapter Hunt"),CHOOSE(ArtifactsInput!$N$35+1,15,18,21,24,27,30)*(1-EXP(-(0.2*B1128)*5)),0)+IF(AND(ArtifactsInput!$M$22,Inputs!$B$4&lt;&gt;"Chapter Hunt"),CHOOSE(ArtifactsInput!$N$22+1,10,12,14,16,18,20)*((0*(((0.15*B1128*5))^0/1)+1*(((0.15*B1128*5))^1/1)+2*(((0.15*B1128*5))^2/2)+3*(((0.15*B1128*5))^3/6)+4*(((0.15*B1128*5))^4/24)+5*(((0.15*B1128*5))^5/120))/((((0.15*B1128*5))^0/1)+(((0.15*B1128*5))^1/1)+(((0.15*B1128*5))^2/2)+(((0.15*B1128*5))^3/6)+(((0.15*B1128*5))^4/24)+(((0.15*B1128*5))^5/120))),0)))/100)*(MIN(Skills!W17,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108">
      <c r="A1108">
        <f>Skills!A18</f>
        <v/>
      </c>
      <c r="B1108">
        <f>Skills!B18</f>
        <v/>
      </c>
      <c r="C1108">
        <f>Inputs!$B$3&gt;=115</f>
        <v/>
      </c>
      <c r="D1108">
        <f>IF(Skills!C18=1,60+Inputs!$B$25+(Inputs!$B$29+1),IF(Skills!C18=2,90+Inputs!$B$26+(Inputs!$B$29+1),IF(Skills!C18=3,120+Inputs!$B$27+(Inputs!$B$29+1),MAX(0,(Inputs!$B$3-100)*3)+Inputs!$B$28+(Inputs!$B$29+1))))</f>
        <v/>
      </c>
      <c r="E1108">
        <f>INDEX(FactorTable!$B$2:$Y$301, MATCH(ROUND(MIN(300,MAX(1,D1108)),0), FactorTable!$A$2:$A$301,0), Skills!M18+1)</f>
        <v/>
      </c>
      <c r="F1108">
        <f>IF(Skills!N18=TRUE,(Skills!L18/10)*(E1108/1000),Skills!L18/10)+Skills!O18</f>
        <v/>
      </c>
      <c r="G1108">
        <f>Skills!G18*IF(Skills!H18&gt;0,IF(Inputs!$B$39="pvp",MIN(Skills!I18,15),Skills!I18)/Skills!H18,1)</f>
        <v/>
      </c>
      <c r="H1108">
        <f>1-(1-Skills!J18/100)^Skills!K18</f>
        <v/>
      </c>
      <c r="I1108" t="inlineStr">
        <is>
          <t>1</t>
        </is>
      </c>
      <c r="J1108" t="inlineStr"/>
      <c r="K1108" t="inlineStr"/>
      <c r="L1108" t="inlineStr"/>
      <c r="M1108" t="inlineStr"/>
      <c r="N1108" t="inlineStr"/>
      <c r="O1108">
        <f>(1-Summary!$B$11)*T1108+Summary!$B$11*V1108</f>
        <v/>
      </c>
      <c r="P1108">
        <f>IF(B1136=0,0,O1108/B1136)</f>
        <v/>
      </c>
      <c r="Q1108" t="n">
        <v>0</v>
      </c>
      <c r="R1108" t="n">
        <v>0</v>
      </c>
      <c r="S1108">
        <f>IFERROR(O1108/N1108,0)</f>
        <v/>
      </c>
      <c r="T1108" t="n">
        <v>0</v>
      </c>
      <c r="V1108" t="n">
        <v>0</v>
      </c>
    </row>
    <row r="1109">
      <c r="A1109">
        <f>Skills!A19</f>
        <v/>
      </c>
      <c r="B1109">
        <f>Skills!B19</f>
        <v/>
      </c>
      <c r="C1109">
        <f>Inputs!$B$3&gt;=100</f>
        <v/>
      </c>
      <c r="D1109">
        <f>IF(Skills!C19=1,60+Inputs!$B$25+(Inputs!$B$29+1),IF(Skills!C19=2,90+Inputs!$B$26+(Inputs!$B$29+1),IF(Skills!C19=3,120+Inputs!$B$27+(Inputs!$B$29+1),MAX(0,(Inputs!$B$3-100)*3)+Inputs!$B$28+(Inputs!$B$29+1))))</f>
        <v/>
      </c>
      <c r="E1109">
        <f>INDEX(FactorTable!$B$2:$Y$301, MATCH(ROUND(MIN(300,MAX(1,D1109)),0), FactorTable!$A$2:$A$301,0), Skills!M19+1)</f>
        <v/>
      </c>
      <c r="F1109">
        <f>IF(Skills!N19=TRUE,(Skills!L19/10)*(E1109/1000),Skills!L19/10)+Skills!O19</f>
        <v/>
      </c>
      <c r="G1109">
        <f>Skills!G19*IF(Skills!H19&gt;0,IF(Inputs!$B$39="pvp",MIN(Skills!I19,15),Skills!I19)/Skills!H19,1)</f>
        <v/>
      </c>
      <c r="H1109">
        <f>1-(1-Skills!J19/100)^Skills!K19</f>
        <v/>
      </c>
      <c r="I1109" t="inlineStr">
        <is>
          <t>1</t>
        </is>
      </c>
      <c r="J1109" t="inlineStr"/>
      <c r="K1109" t="inlineStr"/>
      <c r="L1109" t="inlineStr"/>
      <c r="M1109" t="inlineStr"/>
      <c r="N1109" t="inlineStr"/>
      <c r="O1109">
        <f>(1-Summary!$B$11)*T1109+Summary!$B$11*V1109</f>
        <v/>
      </c>
      <c r="P1109">
        <f>IF(B1136=0,0,O1109/B1136)</f>
        <v/>
      </c>
      <c r="Q1109" t="n">
        <v>0</v>
      </c>
      <c r="R1109" t="n">
        <v>0</v>
      </c>
      <c r="S1109">
        <f>IFERROR(O1109/N1109,0)</f>
        <v/>
      </c>
      <c r="T1109" t="n">
        <v>0</v>
      </c>
      <c r="V1109" t="n">
        <v>0</v>
      </c>
    </row>
    <row r="1110">
      <c r="A1110">
        <f>Skills!A20</f>
        <v/>
      </c>
      <c r="B1110">
        <f>Skills!B20</f>
        <v/>
      </c>
      <c r="C1110">
        <f>TRUE</f>
        <v/>
      </c>
      <c r="D1110">
        <f>IF(Skills!C20=1,60+Inputs!$B$25+(Inputs!$B$29+1),IF(Skills!C20=2,90+Inputs!$B$26+(Inputs!$B$29+1),IF(Skills!C20=3,120+Inputs!$B$27+(Inputs!$B$29+1),MAX(0,(Inputs!$B$3-100)*3)+Inputs!$B$28+(Inputs!$B$29+1))))</f>
        <v/>
      </c>
      <c r="E1110">
        <f>INDEX(FactorTable!$B$2:$Y$301, MATCH(ROUND(MIN(300,MAX(1,D1110)),0), FactorTable!$A$2:$A$301,0), Skills!M20+1)</f>
        <v/>
      </c>
      <c r="F1110">
        <f>IF(Skills!N20=TRUE,(Skills!L20/10)*(E1110/1000),Skills!L20/10)+Skills!O20</f>
        <v/>
      </c>
      <c r="G1110">
        <f>Skills!G20*IF(Skills!H20&gt;0,IF(Inputs!$B$39="pvp",MIN(Skills!I20,15),Skills!I20)/Skills!H20,1)</f>
        <v/>
      </c>
      <c r="H1110">
        <f>1-(1-Skills!J20/100)^Skills!K20</f>
        <v/>
      </c>
      <c r="I1110" t="inlineStr">
        <is>
          <t>1</t>
        </is>
      </c>
      <c r="J1110" t="inlineStr"/>
      <c r="K1110" t="inlineStr"/>
      <c r="L1110" t="inlineStr"/>
      <c r="M1110" t="inlineStr"/>
      <c r="N1110" t="inlineStr"/>
      <c r="O1110">
        <f>(1-Summary!$B$11)*T1110+Summary!$B$11*V1110</f>
        <v/>
      </c>
      <c r="P1110">
        <f>IF(B1136=0,0,O1110/B1136)</f>
        <v/>
      </c>
      <c r="Q1110">
        <f>IFERROR(1/IF(Inputs!$B$39="pvp",15,MAX(0.1,Skills!D20-IF(TRUE=TRUE,Inputs!$B$32,0))),0)</f>
        <v/>
      </c>
      <c r="R1110">
        <f>IF(AND(Inputs!$B$39&lt;&gt;"pvp",Inputs!$B$44&gt;0),IF(Inputs!$B$44&lt;=0,0,(INT(Inputs!$B$44/IF(Inputs!$B$39="pvp",15,MAX(0.1,Skills!D20-IF(TRUE=TRUE,Inputs!$B$32,0))))+1)),0)</f>
        <v/>
      </c>
      <c r="S1110">
        <f>IFERROR(O1110/N1110,0)</f>
        <v/>
      </c>
      <c r="T1110" t="n">
        <v>0</v>
      </c>
      <c r="V1110" t="n">
        <v>0</v>
      </c>
    </row>
    <row r="1111">
      <c r="A1111">
        <f>Skills!A21</f>
        <v/>
      </c>
      <c r="B1111">
        <f>Skills!B21</f>
        <v/>
      </c>
      <c r="C1111">
        <f>Inputs!$B$3&gt;=15</f>
        <v/>
      </c>
      <c r="D1111">
        <f>IF(Skills!C21=1,60+Inputs!$B$25+(Inputs!$B$29+1),IF(Skills!C21=2,90+Inputs!$B$26+(Inputs!$B$29+1),IF(Skills!C21=3,120+Inputs!$B$27+(Inputs!$B$29+1),MAX(0,(Inputs!$B$3-100)*3)+Inputs!$B$28+(Inputs!$B$29+1))))</f>
        <v/>
      </c>
      <c r="E1111">
        <f>INDEX(FactorTable!$B$2:$Y$301, MATCH(ROUND(MIN(300,MAX(1,D1111)),0), FactorTable!$A$2:$A$301,0), Skills!M21+1)</f>
        <v/>
      </c>
      <c r="F1111">
        <f>IF(Skills!N21=TRUE,(Skills!L21/10)*(E1111/1000),Skills!L21/10)+Skills!O21</f>
        <v/>
      </c>
      <c r="G1111">
        <f>Skills!G21*IF(Skills!H21&gt;0,IF(Inputs!$B$39="pvp",MIN(Skills!I21,15),Skills!I21)/Skills!H21,1)</f>
        <v/>
      </c>
      <c r="H1111">
        <f>1-(1-Skills!J21/100)^Skills!K21</f>
        <v/>
      </c>
      <c r="I1111" t="inlineStr">
        <is>
          <t>1</t>
        </is>
      </c>
      <c r="J1111" t="inlineStr"/>
      <c r="K1111" t="inlineStr"/>
      <c r="L1111" t="inlineStr"/>
      <c r="M1111" t="inlineStr"/>
      <c r="N1111" t="inlineStr"/>
      <c r="O1111">
        <f>(1-Summary!$B$11)*T1111+Summary!$B$11*V1111</f>
        <v/>
      </c>
      <c r="P1111">
        <f>IF(B1136=0,0,O1111/B1136)</f>
        <v/>
      </c>
      <c r="Q1111">
        <f>IFERROR(1/IF(Inputs!$B$39="pvp",15,MAX(0.1,Skills!D21-IF(TRUE=TRUE,Inputs!$B$32,0))),0)</f>
        <v/>
      </c>
      <c r="R1111">
        <f>IF(AND(Inputs!$B$39&lt;&gt;"pvp",Inputs!$B$44&gt;0),IF(Inputs!$B$44&lt;=0,0,(INT(Inputs!$B$44/IF(Inputs!$B$39="pvp",15,MAX(0.1,Skills!D21-IF(TRUE=TRUE,Inputs!$B$32,0))))+1)),0)</f>
        <v/>
      </c>
      <c r="S1111">
        <f>IFERROR(O1111/N1111,0)</f>
        <v/>
      </c>
      <c r="T1111" t="n">
        <v>0</v>
      </c>
      <c r="V1111" t="n">
        <v>0</v>
      </c>
    </row>
    <row r="1112">
      <c r="A1112">
        <f>Skills!A22</f>
        <v/>
      </c>
      <c r="B1112">
        <f>Skills!B22</f>
        <v/>
      </c>
      <c r="C1112">
        <f>Inputs!$B$3&gt;=15</f>
        <v/>
      </c>
      <c r="D1112">
        <f>IF(Skills!C22=1,60+Inputs!$B$25+(Inputs!$B$29+1),IF(Skills!C22=2,90+Inputs!$B$26+(Inputs!$B$29+1),IF(Skills!C22=3,120+Inputs!$B$27+(Inputs!$B$29+1),MAX(0,(Inputs!$B$3-100)*3)+Inputs!$B$28+(Inputs!$B$29+1))))</f>
        <v/>
      </c>
      <c r="E1112">
        <f>INDEX(FactorTable!$B$2:$Y$301, MATCH(ROUND(MIN(300,MAX(1,D1112)),0), FactorTable!$A$2:$A$301,0), Skills!M22+1)</f>
        <v/>
      </c>
      <c r="F1112">
        <f>IF(Skills!N22=TRUE,(Skills!L22/10)*(E1112/1000),Skills!L22/10)+Skills!O22</f>
        <v/>
      </c>
      <c r="G1112">
        <f>Skills!G22*IF(Skills!H22&gt;0,IF(Inputs!$B$39="pvp",MIN(Skills!I22,15),Skills!I22)/Skills!H22,1)</f>
        <v/>
      </c>
      <c r="H1112">
        <f>1-(1-Skills!J22/100)^Skills!K22</f>
        <v/>
      </c>
      <c r="I1112" t="inlineStr">
        <is>
          <t>1</t>
        </is>
      </c>
      <c r="J1112" t="inlineStr"/>
      <c r="K1112" t="inlineStr"/>
      <c r="L1112" t="inlineStr"/>
      <c r="M1112" t="inlineStr"/>
      <c r="N1112" t="inlineStr"/>
      <c r="O1112">
        <f>(1-Summary!$B$11)*T1112+Summary!$B$11*V1112</f>
        <v/>
      </c>
      <c r="P1112">
        <f>IF(B1136=0,0,O1112/B1136)</f>
        <v/>
      </c>
      <c r="Q1112">
        <f>IFERROR(1/IF(Inputs!$B$39="pvp",15,MAX(0.1,Skills!D22-IF(TRUE=TRUE,Inputs!$B$32,0))),0)</f>
        <v/>
      </c>
      <c r="R1112">
        <f>IF(AND(Inputs!$B$39&lt;&gt;"pvp",Inputs!$B$44&gt;0),IF(Inputs!$B$44&lt;=0,0,(INT(Inputs!$B$44/IF(Inputs!$B$39="pvp",15,MAX(0.1,Skills!D22-IF(TRUE=TRUE,Inputs!$B$32,0))))+1)),0)</f>
        <v/>
      </c>
      <c r="S1112">
        <f>IFERROR(O1112/N1112,0)</f>
        <v/>
      </c>
      <c r="T1112" t="n">
        <v>0</v>
      </c>
      <c r="V1112" t="n">
        <v>0</v>
      </c>
    </row>
    <row r="1113">
      <c r="A1113">
        <f>Skills!A23</f>
        <v/>
      </c>
      <c r="B1113">
        <f>Skills!B23</f>
        <v/>
      </c>
      <c r="C1113">
        <f>Inputs!$B$3&gt;=33</f>
        <v/>
      </c>
      <c r="D1113">
        <f>IF(Skills!C23=1,60+Inputs!$B$25+(Inputs!$B$29+1),IF(Skills!C23=2,90+Inputs!$B$26+(Inputs!$B$29+1),IF(Skills!C23=3,120+Inputs!$B$27+(Inputs!$B$29+1),MAX(0,(Inputs!$B$3-100)*3)+Inputs!$B$28+(Inputs!$B$29+1))))</f>
        <v/>
      </c>
      <c r="E1113">
        <f>INDEX(FactorTable!$B$2:$Y$301, MATCH(ROUND(MIN(300,MAX(1,D1113)),0), FactorTable!$A$2:$A$301,0), Skills!M23+1)</f>
        <v/>
      </c>
      <c r="F1113">
        <f>IF(Skills!N23=TRUE,(Skills!L23/10)*(E1113/1000),Skills!L23/10)+Skills!O23</f>
        <v/>
      </c>
      <c r="G1113">
        <f>Skills!G23*IF(Skills!H23&gt;0,IF(Inputs!$B$39="pvp",MIN(Skills!I23,15),Skills!I23)/Skills!H23,1)</f>
        <v/>
      </c>
      <c r="H1113">
        <f>1-(1-Skills!J23/100)^Skills!K23</f>
        <v/>
      </c>
      <c r="I1113" t="inlineStr">
        <is>
          <t>1</t>
        </is>
      </c>
      <c r="J1113" t="inlineStr"/>
      <c r="K1113" t="inlineStr"/>
      <c r="L1113" t="inlineStr"/>
      <c r="M1113" t="inlineStr"/>
      <c r="N1113" t="inlineStr"/>
      <c r="O1113">
        <f>(1-Summary!$B$11)*T1113+Summary!$B$11*V1113</f>
        <v/>
      </c>
      <c r="P1113">
        <f>IF(B1136=0,0,O1113/B1136)</f>
        <v/>
      </c>
      <c r="Q1113" t="n">
        <v>0</v>
      </c>
      <c r="R1113" t="n">
        <v>0</v>
      </c>
      <c r="S1113">
        <f>IFERROR(O1113/N1113,0)</f>
        <v/>
      </c>
      <c r="T1113" t="n">
        <v>0</v>
      </c>
      <c r="V1113" t="n">
        <v>0</v>
      </c>
    </row>
    <row r="1114">
      <c r="A1114">
        <f>Skills!A24</f>
        <v/>
      </c>
      <c r="B1114">
        <f>Skills!B24</f>
        <v/>
      </c>
      <c r="C1114">
        <f>Inputs!$B$3&gt;=40</f>
        <v/>
      </c>
      <c r="D1114">
        <f>IF(Skills!C24=1,60+Inputs!$B$25+(Inputs!$B$29+1),IF(Skills!C24=2,90+Inputs!$B$26+(Inputs!$B$29+1),IF(Skills!C24=3,120+Inputs!$B$27+(Inputs!$B$29+1),MAX(0,(Inputs!$B$3-100)*3)+Inputs!$B$28+(Inputs!$B$29+1))))</f>
        <v/>
      </c>
      <c r="E1114">
        <f>INDEX(FactorTable!$B$2:$Y$301, MATCH(ROUND(MIN(300,MAX(1,D1114)),0), FactorTable!$A$2:$A$301,0), Skills!M24+1)</f>
        <v/>
      </c>
      <c r="F1114">
        <f>IF(Skills!N24=TRUE,(Skills!L24/10)*(E1114/1000),Skills!L24/10)+Skills!O24</f>
        <v/>
      </c>
      <c r="G1114">
        <f>Skills!G24*IF(Skills!H24&gt;0,IF(Inputs!$B$39="pvp",MIN(Skills!I24,15),Skills!I24)/Skills!H24,1)</f>
        <v/>
      </c>
      <c r="H1114">
        <f>1-(1-Skills!J24/100)^Skills!K24</f>
        <v/>
      </c>
      <c r="I1114" t="inlineStr">
        <is>
          <t>1</t>
        </is>
      </c>
      <c r="J1114" t="inlineStr"/>
      <c r="K1114" t="inlineStr"/>
      <c r="L1114" t="inlineStr"/>
      <c r="M1114" t="inlineStr"/>
      <c r="N1114" t="inlineStr"/>
      <c r="O1114">
        <f>(1-Summary!$B$11)*T1114+Summary!$B$11*V1114</f>
        <v/>
      </c>
      <c r="P1114">
        <f>IF(B1136=0,0,O1114/B1136)</f>
        <v/>
      </c>
      <c r="Q1114" t="n">
        <v>0</v>
      </c>
      <c r="R1114" t="n">
        <v>0</v>
      </c>
      <c r="S1114">
        <f>IFERROR(O1114/N1114,0)</f>
        <v/>
      </c>
      <c r="T1114" t="n">
        <v>0</v>
      </c>
      <c r="V1114" t="n">
        <v>0</v>
      </c>
    </row>
    <row r="1115">
      <c r="A1115">
        <f>Skills!A25</f>
        <v/>
      </c>
      <c r="B1115">
        <f>Skills!B25</f>
        <v/>
      </c>
      <c r="C1115">
        <f>Inputs!$B$3&gt;=43</f>
        <v/>
      </c>
      <c r="D1115">
        <f>IF(Skills!C25=1,60+Inputs!$B$25+(Inputs!$B$29+1),IF(Skills!C25=2,90+Inputs!$B$26+(Inputs!$B$29+1),IF(Skills!C25=3,120+Inputs!$B$27+(Inputs!$B$29+1),MAX(0,(Inputs!$B$3-100)*3)+Inputs!$B$28+(Inputs!$B$29+1))))</f>
        <v/>
      </c>
      <c r="E1115">
        <f>INDEX(FactorTable!$B$2:$Y$301, MATCH(ROUND(MIN(300,MAX(1,D1115)),0), FactorTable!$A$2:$A$301,0), Skills!M25+1)</f>
        <v/>
      </c>
      <c r="F1115">
        <f>IF(Skills!N25=TRUE,(Skills!L25/10)*(E1115/1000),Skills!L25/10)+Skills!O25</f>
        <v/>
      </c>
      <c r="G1115">
        <f>Skills!G25*IF(Skills!H25&gt;0,IF(Inputs!$B$39="pvp",MIN(Skills!I25,15),Skills!I25)/Skills!H25,1)</f>
        <v/>
      </c>
      <c r="H1115">
        <f>1-(1-Skills!J25/100)^Skills!K25</f>
        <v/>
      </c>
      <c r="I1115" t="inlineStr">
        <is>
          <t>1</t>
        </is>
      </c>
      <c r="J1115" t="inlineStr"/>
      <c r="K1115" t="inlineStr"/>
      <c r="L1115" t="inlineStr"/>
      <c r="M1115" t="inlineStr"/>
      <c r="N1115" t="inlineStr"/>
      <c r="O1115">
        <f>(1-Summary!$B$11)*T1115+Summary!$B$11*V1115</f>
        <v/>
      </c>
      <c r="P1115">
        <f>IF(B1136=0,0,O1115/B1136)</f>
        <v/>
      </c>
      <c r="Q1115" t="n">
        <v>0</v>
      </c>
      <c r="R1115" t="n">
        <v>0</v>
      </c>
      <c r="S1115">
        <f>IFERROR(O1115/N1115,0)</f>
        <v/>
      </c>
      <c r="T1115" t="n">
        <v>0</v>
      </c>
      <c r="V1115" t="n">
        <v>0</v>
      </c>
    </row>
    <row r="1116">
      <c r="A1116">
        <f>Skills!A26</f>
        <v/>
      </c>
      <c r="B1116">
        <f>Skills!B26</f>
        <v/>
      </c>
      <c r="C1116">
        <f>Inputs!$B$3&gt;=50</f>
        <v/>
      </c>
      <c r="D1116">
        <f>IF(Skills!C26=1,60+Inputs!$B$25+(Inputs!$B$29+1),IF(Skills!C26=2,90+Inputs!$B$26+(Inputs!$B$29+1),IF(Skills!C26=3,120+Inputs!$B$27+(Inputs!$B$29+1),MAX(0,(Inputs!$B$3-100)*3)+Inputs!$B$28+(Inputs!$B$29+1))))</f>
        <v/>
      </c>
      <c r="E1116">
        <f>INDEX(FactorTable!$B$2:$Y$301, MATCH(ROUND(MIN(300,MAX(1,D1116)),0), FactorTable!$A$2:$A$301,0), Skills!M26+1)</f>
        <v/>
      </c>
      <c r="F1116">
        <f>IF(Skills!N26=TRUE,(Skills!L26/10)*(E1116/1000),Skills!L26/10)+Skills!O26</f>
        <v/>
      </c>
      <c r="G1116">
        <f>Skills!G26*IF(Skills!H26&gt;0,IF(Inputs!$B$39="pvp",MIN(Skills!I26,15),Skills!I26)/Skills!H26,1)</f>
        <v/>
      </c>
      <c r="H1116">
        <f>1-(1-Skills!J26/100)^Skills!K26</f>
        <v/>
      </c>
      <c r="I1116" t="inlineStr">
        <is>
          <t>1</t>
        </is>
      </c>
      <c r="J1116" t="inlineStr"/>
      <c r="K1116" t="inlineStr"/>
      <c r="L1116" t="inlineStr"/>
      <c r="M1116" t="inlineStr"/>
      <c r="N1116" t="inlineStr"/>
      <c r="O1116">
        <f>(1-Summary!$B$11)*T1116+Summary!$B$11*V1116</f>
        <v/>
      </c>
      <c r="P1116">
        <f>IF(B1136=0,0,O1116/B1136)</f>
        <v/>
      </c>
      <c r="Q1116" t="n">
        <v>0</v>
      </c>
      <c r="R1116" t="n">
        <v>0</v>
      </c>
      <c r="S1116">
        <f>IFERROR(O1116/N1116,0)</f>
        <v/>
      </c>
      <c r="T1116" t="n">
        <v>0</v>
      </c>
      <c r="V1116" t="n">
        <v>0</v>
      </c>
    </row>
    <row r="1117">
      <c r="A1117">
        <f>Skills!A27</f>
        <v/>
      </c>
      <c r="B1117">
        <f>Skills!B27</f>
        <v/>
      </c>
      <c r="C1117">
        <f>Inputs!$B$3&gt;=50</f>
        <v/>
      </c>
      <c r="D1117">
        <f>IF(Skills!C27=1,60+Inputs!$B$25+(Inputs!$B$29+1),IF(Skills!C27=2,90+Inputs!$B$26+(Inputs!$B$29+1),IF(Skills!C27=3,120+Inputs!$B$27+(Inputs!$B$29+1),MAX(0,(Inputs!$B$3-100)*3)+Inputs!$B$28+(Inputs!$B$29+1))))</f>
        <v/>
      </c>
      <c r="E1117">
        <f>INDEX(FactorTable!$B$2:$Y$301, MATCH(ROUND(MIN(300,MAX(1,D1117)),0), FactorTable!$A$2:$A$301,0), Skills!M27+1)</f>
        <v/>
      </c>
      <c r="F1117">
        <f>IF(Skills!N27=TRUE,(Skills!L27/10)*(E1117/1000),Skills!L27/10)+Skills!O27</f>
        <v/>
      </c>
      <c r="G1117">
        <f>Skills!G27*IF(Skills!H27&gt;0,IF(Inputs!$B$39="pvp",MIN(Skills!I27,15),Skills!I27)/Skills!H27,1)</f>
        <v/>
      </c>
      <c r="H1117">
        <f>1-(1-Skills!J27/100)^Skills!K27</f>
        <v/>
      </c>
      <c r="I1117" t="inlineStr">
        <is>
          <t>1</t>
        </is>
      </c>
      <c r="J1117" t="inlineStr"/>
      <c r="K1117" t="inlineStr"/>
      <c r="L1117" t="inlineStr"/>
      <c r="M1117" t="inlineStr"/>
      <c r="N1117" t="inlineStr"/>
      <c r="O1117">
        <f>(1-Summary!$B$11)*T1117+Summary!$B$11*V1117</f>
        <v/>
      </c>
      <c r="P1117">
        <f>IF(B1136=0,0,O1117/B1136)</f>
        <v/>
      </c>
      <c r="Q1117" t="n">
        <v>0</v>
      </c>
      <c r="R1117" t="n">
        <v>0</v>
      </c>
      <c r="S1117">
        <f>IFERROR(O1117/N1117,0)</f>
        <v/>
      </c>
      <c r="T1117" t="n">
        <v>0</v>
      </c>
      <c r="V1117" t="n">
        <v>0</v>
      </c>
    </row>
    <row r="1118">
      <c r="A1118">
        <f>Skills!A28</f>
        <v/>
      </c>
      <c r="B1118">
        <f>Skills!B28</f>
        <v/>
      </c>
      <c r="C1118">
        <f>Inputs!$B$3&gt;=38</f>
        <v/>
      </c>
      <c r="D1118">
        <f>IF(Skills!C28=1,60+Inputs!$B$25+(Inputs!$B$29+1),IF(Skills!C28=2,90+Inputs!$B$26+(Inputs!$B$29+1),IF(Skills!C28=3,120+Inputs!$B$27+(Inputs!$B$29+1),MAX(0,(Inputs!$B$3-100)*3)+Inputs!$B$28+(Inputs!$B$29+1))))</f>
        <v/>
      </c>
      <c r="E1118">
        <f>INDEX(FactorTable!$B$2:$Y$301, MATCH(ROUND(MIN(300,MAX(1,D1118)),0), FactorTable!$A$2:$A$301,0), Skills!M28+1)</f>
        <v/>
      </c>
      <c r="F1118">
        <f>IF(Skills!N28=TRUE,(Skills!L28/10)*(E1118/1000),Skills!L28/10)+Skills!O28</f>
        <v/>
      </c>
      <c r="G1118">
        <f>Skills!G28*IF(Skills!H28&gt;0,IF(Inputs!$B$39="pvp",MIN(Skills!I28,15),Skills!I28)/Skills!H28,1)</f>
        <v/>
      </c>
      <c r="H1118">
        <f>1-(1-Skills!J28/100)^Skills!K28</f>
        <v/>
      </c>
      <c r="I1118" t="inlineStr">
        <is>
          <t>1</t>
        </is>
      </c>
      <c r="J1118" t="inlineStr"/>
      <c r="K1118" t="inlineStr"/>
      <c r="L1118" t="inlineStr"/>
      <c r="M1118" t="inlineStr"/>
      <c r="N1118" t="inlineStr"/>
      <c r="O1118">
        <f>(1-Summary!$B$11)*T1118+Summary!$B$11*V1118</f>
        <v/>
      </c>
      <c r="P1118">
        <f>IF(B1136=0,0,O1118/B1136)</f>
        <v/>
      </c>
      <c r="Q1118" t="n">
        <v>0</v>
      </c>
      <c r="R1118" t="n">
        <v>0</v>
      </c>
      <c r="S1118">
        <f>IFERROR(O1118/N1118,0)</f>
        <v/>
      </c>
      <c r="T1118" t="n">
        <v>0</v>
      </c>
      <c r="V1118" t="n">
        <v>0</v>
      </c>
    </row>
    <row r="1119">
      <c r="A1119">
        <f>Skills!A29</f>
        <v/>
      </c>
      <c r="B1119">
        <f>Skills!B29</f>
        <v/>
      </c>
      <c r="C1119">
        <f>Inputs!$B$3&gt;=120</f>
        <v/>
      </c>
      <c r="D1119">
        <f>IF(Skills!C29=1,60+Inputs!$B$25+(Inputs!$B$29+1),IF(Skills!C29=2,90+Inputs!$B$26+(Inputs!$B$29+1),IF(Skills!C29=3,120+Inputs!$B$27+(Inputs!$B$29+1),MAX(0,(Inputs!$B$3-100)*3)+Inputs!$B$28+(Inputs!$B$29+1))))</f>
        <v/>
      </c>
      <c r="E1119">
        <f>INDEX(FactorTable!$B$2:$Y$301, MATCH(ROUND(MIN(300,MAX(1,D1119)),0), FactorTable!$A$2:$A$301,0), Skills!M29+1)</f>
        <v/>
      </c>
      <c r="F1119">
        <f>IF(Skills!N29=TRUE,(Skills!L29/10)*(E1119/1000),Skills!L29/10)+Skills!O29</f>
        <v/>
      </c>
      <c r="G1119">
        <f>Skills!G29*IF(Skills!H29&gt;0,IF(Inputs!$B$39="pvp",MIN(Skills!I29,15),Skills!I29)/Skills!H29,1)</f>
        <v/>
      </c>
      <c r="H1119">
        <f>1-(1-Skills!J29/100)^Skills!K29</f>
        <v/>
      </c>
      <c r="I1119" t="inlineStr">
        <is>
          <t>1</t>
        </is>
      </c>
      <c r="J1119" t="inlineStr"/>
      <c r="K1119" t="inlineStr"/>
      <c r="L1119" t="inlineStr"/>
      <c r="M1119" t="inlineStr"/>
      <c r="N1119" t="inlineStr"/>
      <c r="O1119">
        <f>(1-Summary!$B$11)*T1119+Summary!$B$11*V1119</f>
        <v/>
      </c>
      <c r="P1119">
        <f>IF(B1136=0,0,O1119/B1136)</f>
        <v/>
      </c>
      <c r="Q1119" t="n">
        <v>0</v>
      </c>
      <c r="R1119" t="n">
        <v>0</v>
      </c>
      <c r="S1119">
        <f>IFERROR(O1119/N1119,0)</f>
        <v/>
      </c>
      <c r="T1119" t="n">
        <v>0</v>
      </c>
      <c r="V1119" t="n">
        <v>0</v>
      </c>
    </row>
    <row r="1120">
      <c r="A1120">
        <f>Skills!A30</f>
        <v/>
      </c>
      <c r="B1120">
        <f>Skills!B30</f>
        <v/>
      </c>
      <c r="C1120">
        <f>Inputs!$B$3&gt;=120</f>
        <v/>
      </c>
      <c r="D1120">
        <f>IF(Skills!C30=1,60+Inputs!$B$25+(Inputs!$B$29+1),IF(Skills!C30=2,90+Inputs!$B$26+(Inputs!$B$29+1),IF(Skills!C30=3,120+Inputs!$B$27+(Inputs!$B$29+1),MAX(0,(Inputs!$B$3-100)*3)+Inputs!$B$28+(Inputs!$B$29+1))))</f>
        <v/>
      </c>
      <c r="E1120">
        <f>INDEX(FactorTable!$B$2:$Y$301, MATCH(ROUND(MIN(300,MAX(1,D1120)),0), FactorTable!$A$2:$A$301,0), Skills!M30+1)</f>
        <v/>
      </c>
      <c r="F1120">
        <f>IF(Skills!N30=TRUE,(Skills!L30/10)*(E1120/1000),Skills!L30/10)+Skills!O30</f>
        <v/>
      </c>
      <c r="G1120">
        <f>Skills!G30*IF(Skills!H30&gt;0,IF(Inputs!$B$39="pvp",MIN(Skills!I30,15),Skills!I30)/Skills!H30,1)</f>
        <v/>
      </c>
      <c r="H1120">
        <f>1-(1-Skills!J30/100)^Skills!K30</f>
        <v/>
      </c>
      <c r="I1120" t="inlineStr">
        <is>
          <t>1</t>
        </is>
      </c>
      <c r="J1120" t="inlineStr"/>
      <c r="K1120" t="inlineStr"/>
      <c r="L1120" t="inlineStr"/>
      <c r="M1120" t="inlineStr"/>
      <c r="N1120" t="inlineStr"/>
      <c r="O1120">
        <f>(1-Summary!$B$11)*T1120+Summary!$B$11*V1120</f>
        <v/>
      </c>
      <c r="P1120">
        <f>IF(B1136=0,0,O1120/B1136)</f>
        <v/>
      </c>
      <c r="Q1120" t="n">
        <v>0</v>
      </c>
      <c r="R1120" t="n">
        <v>0</v>
      </c>
      <c r="S1120">
        <f>IFERROR(O1120/N1120,0)</f>
        <v/>
      </c>
      <c r="T1120" t="n">
        <v>0</v>
      </c>
      <c r="V1120" t="n">
        <v>0</v>
      </c>
    </row>
    <row r="1121">
      <c r="A1121">
        <f>Skills!A31</f>
        <v/>
      </c>
      <c r="B1121">
        <f>Skills!B31</f>
        <v/>
      </c>
      <c r="C1121">
        <f>Inputs!$B$3&gt;=125</f>
        <v/>
      </c>
      <c r="D1121">
        <f>IF(Skills!C31=1,60+Inputs!$B$25+(Inputs!$B$29+1),IF(Skills!C31=2,90+Inputs!$B$26+(Inputs!$B$29+1),IF(Skills!C31=3,120+Inputs!$B$27+(Inputs!$B$29+1),MAX(0,(Inputs!$B$3-100)*3)+Inputs!$B$28+(Inputs!$B$29+1))))</f>
        <v/>
      </c>
      <c r="E1121">
        <f>INDEX(FactorTable!$B$2:$Y$301, MATCH(ROUND(MIN(300,MAX(1,D1121)),0), FactorTable!$A$2:$A$301,0), Skills!M31+1)</f>
        <v/>
      </c>
      <c r="F1121">
        <f>IF(Skills!N31=TRUE,(Skills!L31/10)*(E1121/1000),Skills!L31/10)+Skills!O31</f>
        <v/>
      </c>
      <c r="G1121">
        <f>Skills!G31*IF(Skills!H31&gt;0,IF(Inputs!$B$39="pvp",MIN(Skills!I31,15),Skills!I31)/Skills!H31,1)</f>
        <v/>
      </c>
      <c r="H1121">
        <f>1-(1-Skills!J31/100)^Skills!K31</f>
        <v/>
      </c>
      <c r="I1121" t="inlineStr">
        <is>
          <t>1</t>
        </is>
      </c>
      <c r="J1121" t="inlineStr"/>
      <c r="K1121" t="inlineStr"/>
      <c r="L1121" t="inlineStr"/>
      <c r="M1121" t="inlineStr"/>
      <c r="N1121" t="inlineStr"/>
      <c r="O1121">
        <f>(1-Summary!$B$11)*T1121+Summary!$B$11*V1121</f>
        <v/>
      </c>
      <c r="P1121">
        <f>IF(B1136=0,0,O1121/B1136)</f>
        <v/>
      </c>
      <c r="Q1121" t="n">
        <v>0</v>
      </c>
      <c r="R1121" t="n">
        <v>0</v>
      </c>
      <c r="S1121">
        <f>IFERROR(O1121/N1121,0)</f>
        <v/>
      </c>
      <c r="T1121" t="n">
        <v>0</v>
      </c>
      <c r="V1121" t="n">
        <v>0</v>
      </c>
    </row>
    <row r="1123">
      <c r="A1123" t="inlineStr">
        <is>
          <t>Average Buff Multiplier</t>
        </is>
      </c>
      <c r="B1123">
        <f>(1+(((C1112=TRUE)*F1112*IF(AND(Inputs!$B$39&lt;&gt;"pvp",Inputs!$B$44&gt;0),(((R1112-1)*MIN((Skills!Y22*(1+Inputs!$B$34/100)),(1/Q1112))+MIN((Skills!Y22*(1+Inputs!$B$34/100)),MAX(0,Inputs!$B$44-((R1112-1)*(1/Q1112)))))/Inputs!$B$44),IF(Inputs!$B$39="pvp",MIN((Skills!Y22*(1+Inputs!$B$34/100)),15)/15,MIN(1,(Skills!Y22*(1+Inputs!$B$34/100))/(1/Q1112)))))+((C1093=TRUE)*F1093*3)+((C1095=TRUE)*F1095*(1-EXP(-0.75*B1128*5)))+((C1114=TRUE)*(F1114-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1101=TRUE)*F1101*IF(AND(Inputs!$B$39&lt;&gt;"pvp",Inputs!$B$44&gt;0),(((R1101-1)*MIN((Skills!Y11*(1+Inputs!$B$34/100)),(1/Q1101))+MIN((Skills!Y11*(1+Inputs!$B$34/100)),MAX(0,Inputs!$B$44-((R1101-1)*(1/Q1101)))))/Inputs!$B$44),IF(Inputs!$B$39="pvp",MIN((Skills!Y11*(1+Inputs!$B$34/100)),15)/15,MIN(1,(Skills!Y11*(1+Inputs!$B$34/100))/(1/Q1101)))))/100)*(1+((C1106=TRUE)*F1106*IF(AND(Inputs!$B$39&lt;&gt;"pvp",Inputs!$B$44&gt;0),(((R1106-1)*MIN((Skills!Y16*(1+Inputs!$B$34/100)),(1/Q1106))+MIN((Skills!Y16*(1+Inputs!$B$34/100)),MAX(0,Inputs!$B$44-((R1106-1)*(1/Q1106)))))/Inputs!$B$44),IF(Inputs!$B$39="pvp",MIN((Skills!Y16*(1+Inputs!$B$34/100)),15)/15,MIN(1,(Skills!Y16*(1+Inputs!$B$34/100))/(1/Q1106)))))/100)</f>
        <v/>
      </c>
    </row>
    <row r="1124">
      <c r="A1124" t="inlineStr">
        <is>
          <t>Global Crit Rate Bonus %</t>
        </is>
      </c>
      <c r="B1124">
        <f>((C1111=TRUE)*F1111*IF(AND(Inputs!$B$39&lt;&gt;"pvp",Inputs!$B$44&gt;0),(((R1111-1)*MIN((Skills!Y21*(1+Inputs!$B$34/100)),(1/Q1111))+MIN((Skills!Y21*(1+Inputs!$B$34/100)),MAX(0,Inputs!$B$44-((R1111-1)*(1/Q1111)))))/Inputs!$B$44),IF(Inputs!$B$39="pvp",MIN((Skills!Y21*(1+Inputs!$B$34/100)),15)/15,MIN(1,(Skills!Y21*(1+Inputs!$B$34/100))/(1/Q1111)))))</f>
        <v/>
      </c>
    </row>
    <row r="1125">
      <c r="A1125" t="inlineStr">
        <is>
          <t>Global Monster Damage-Taken Bonus %</t>
        </is>
      </c>
      <c r="B1125">
        <f>IF(Inputs!$B$3&gt;=82,15,0)</f>
        <v/>
      </c>
    </row>
    <row r="1126">
      <c r="A1126" t="inlineStr">
        <is>
          <t>Shadow Partner Average Multiplier</t>
        </is>
      </c>
      <c r="B1126">
        <f>1+((C1098=TRUE)*F1098*(1+3.3333333333333335*IF(C1109=TRUE,F1109,0)/100)*I1098*Skills!J8/100)/100</f>
        <v/>
      </c>
    </row>
    <row r="1127">
      <c r="A1127" t="inlineStr">
        <is>
          <t>Attack Speed Buff Bonus %</t>
        </is>
      </c>
      <c r="B1127">
        <f>((C1110=TRUE)*F1110*IF(AND(Inputs!$B$39&lt;&gt;"pvp",Inputs!$B$44&gt;0),(((R1110-1)*MIN((Skills!Y20*(1+Inputs!$B$34/100)),(1/Q1110))+MIN((Skills!Y20*(1+Inputs!$B$34/100)),MAX(0,Inputs!$B$44-((R1110-1)*(1/Q1110)))))/Inputs!$B$44),IF(Inputs!$B$39="pvp",MIN((Skills!Y20*(1+Inputs!$B$34/100)),15)/15,MIN(1,(Skills!Y20*(1+Inputs!$B$34/100))/(1/Q1110)))))</f>
        <v/>
      </c>
    </row>
    <row r="1128">
      <c r="A1128" t="inlineStr">
        <is>
          <t>Actions Per Second</t>
        </is>
      </c>
      <c r="B1128">
        <f>1+MIN(150,150*(1-(1-(Inputs!$B$11+((C1113=TRUE)*(F1113-Calc!F23)))/150)*(1-B1127/150)))/100</f>
        <v/>
      </c>
    </row>
    <row r="1129">
      <c r="A1129" t="inlineStr">
        <is>
          <t>Skill + Buff Cast Rate</t>
        </is>
      </c>
      <c r="B1129">
        <f>IF(AND(Inputs!$B$39&lt;&gt;"pvp",Inputs!$B$44&gt;0),SUMPRODUCT((Skills!E2:E31=TRUE)*(C1092:C1121=TRUE)*R1092:R1121*Skills!F2:F31)/Inputs!$B$44,SUMPRODUCT((Skills!E2:E31=TRUE)*(C1092:C1121=TRUE)*Q1092:Q1121*Skills!F2:F31))</f>
        <v/>
      </c>
    </row>
    <row r="1130">
      <c r="A1130" t="inlineStr">
        <is>
          <t>Cruel Stab Casts Per Second</t>
        </is>
      </c>
      <c r="B1130">
        <f>MAX(0,B1128-B1129)</f>
        <v/>
      </c>
    </row>
    <row r="1131">
      <c r="A1131" t="inlineStr">
        <is>
          <t>Global Critical Damage Bonus % (Smokescreen Mastery Lv.113)</t>
        </is>
      </c>
      <c r="B1131">
        <f>IF(Inputs!$B$3&gt;=113,30,0)*IF(AND(Inputs!$B$39&lt;&gt;"pvp",Inputs!$B$44&gt;0),(((R1106-1)*MIN((Skills!Y16*(1+Inputs!$B$34/100)),(1/Q1106))+MIN((Skills!Y16*(1+Inputs!$B$34/100)),MAX(0,Inputs!$B$44-((R1106-1)*(1/Q1106)))))/Inputs!$B$44),IF(Inputs!$B$39="pvp",MIN((Skills!Y16*(1+Inputs!$B$34/100)),15)/15,MIN(1,(Skills!Y16*(1+Inputs!$B$34/100))/(1/Q1106))))</f>
        <v/>
      </c>
    </row>
    <row r="1132">
      <c r="A1132" t="inlineStr">
        <is>
          <t>Meso Explosion average stack count</t>
        </is>
      </c>
      <c r="B1132">
        <f>MIN(10,IF(Inputs!$B$3&gt;=75,0.75,0.5)*B1128*(1/Q1094))</f>
        <v/>
      </c>
    </row>
    <row r="1133">
      <c r="A1133" t="inlineStr">
        <is>
          <t>Blood Money average stack count</t>
        </is>
      </c>
      <c r="B1133">
        <f>MIN(5,0.5*IF(Inputs!$B$3&gt;=75,0.75,0.5)*B1128*(1/Q1094))</f>
        <v/>
      </c>
    </row>
    <row r="1134">
      <c r="A1134" t="inlineStr">
        <is>
          <t>Assassinate Murderous Intent Multiplier</t>
        </is>
      </c>
      <c r="B1134">
        <f>1+IFERROR(MIN(1,Q1105*2/Q1102),0)</f>
        <v/>
      </c>
    </row>
    <row r="1135">
      <c r="A1135" t="inlineStr">
        <is>
          <t>Buff-Casting Startup Delay (s, fixed-duration only)</t>
        </is>
      </c>
      <c r="B1135">
        <f>IF(AND(Inputs!$B$39&lt;&gt;"pvp",Inputs!$B$44&gt;0),SUMPRODUCT((Skills!Y2:Y31&gt;0)*(Skills!E2:E31=TRUE)*(C1092:C1121=TRUE))/B1128,0)</f>
        <v/>
      </c>
    </row>
    <row r="1136">
      <c r="A1136" s="6" t="inlineStr">
        <is>
          <t>TOTAL DPS</t>
        </is>
      </c>
      <c r="B1136" s="6">
        <f>SUM(O1092:O1121)</f>
        <v/>
      </c>
    </row>
    <row r="1137">
      <c r="A1137" t="inlineStr">
        <is>
          <t>Boss-Only Total DPS (this block's swept value)</t>
        </is>
      </c>
      <c r="B1137">
        <f>SUM(T1092:T1121)</f>
        <v/>
      </c>
    </row>
    <row r="1138">
      <c r="A1138" t="inlineStr">
        <is>
          <t>Normal-Only Total DPS (this block's swept value)</t>
        </is>
      </c>
      <c r="B1138">
        <f>SUM(V1092:V1121)</f>
        <v/>
      </c>
    </row>
    <row r="1141">
      <c r="A1141" s="6" t="inlineStr">
        <is>
          <t>Stat: Flat ATTACK</t>
        </is>
      </c>
    </row>
    <row r="1142">
      <c r="A1142" s="5" t="inlineStr">
        <is>
          <t>Key</t>
        </is>
      </c>
      <c r="B1142" s="5" t="inlineStr">
        <is>
          <t>Name</t>
        </is>
      </c>
      <c r="C1142" s="5" t="inlineStr">
        <is>
          <t>Unlocked</t>
        </is>
      </c>
      <c r="D1142" s="5" t="inlineStr">
        <is>
          <t>InputLevel</t>
        </is>
      </c>
      <c r="E1142" s="5" t="inlineStr">
        <is>
          <t>Factor</t>
        </is>
      </c>
      <c r="F1142" s="5" t="inlineStr">
        <is>
          <t>CoefficientPercent</t>
        </is>
      </c>
      <c r="G1142" s="5" t="inlineStr">
        <is>
          <t>EffectiveHits</t>
        </is>
      </c>
      <c r="H1142" s="5" t="inlineStr">
        <is>
          <t>ProcProbability</t>
        </is>
      </c>
      <c r="I1142" s="5" t="inlineStr">
        <is>
          <t>MapleHeroMultiplier</t>
        </is>
      </c>
      <c r="J1142" s="5" t="inlineStr">
        <is>
          <t>BaseDamage</t>
        </is>
      </c>
      <c r="K1142" s="5" t="inlineStr">
        <is>
          <t>BaseHitDamage</t>
        </is>
      </c>
      <c r="L1142" s="5" t="inlineStr">
        <is>
          <t>NonCritAvg</t>
        </is>
      </c>
      <c r="M1142" s="5" t="inlineStr">
        <is>
          <t>CritAvg</t>
        </is>
      </c>
      <c r="N1142" s="5" t="inlineStr">
        <is>
          <t>ExpectedDamage(perHit)</t>
        </is>
      </c>
      <c r="O1142" s="5" t="inlineStr">
        <is>
          <t>DPS</t>
        </is>
      </c>
      <c r="P1142" s="5" t="inlineStr">
        <is>
          <t>% of Total</t>
        </is>
      </c>
      <c r="Q1142" s="5" t="inlineStr">
        <is>
          <t>InvCooldown</t>
        </is>
      </c>
      <c r="R1142" s="5" t="inlineStr">
        <is>
          <t>CastsInFight</t>
        </is>
      </c>
      <c r="S1142" s="5" t="inlineStr">
        <is>
          <t>HitRate(perSec)</t>
        </is>
      </c>
      <c r="U1142" t="inlineStr">
        <is>
          <t>helpers</t>
        </is>
      </c>
    </row>
    <row r="1143">
      <c r="A1143">
        <f>Skills!A2</f>
        <v/>
      </c>
      <c r="B1143">
        <f>Skills!B2</f>
        <v/>
      </c>
      <c r="C1143">
        <f>Inputs!$B$3&gt;=100</f>
        <v/>
      </c>
      <c r="D1143" t="inlineStr"/>
      <c r="E1143" t="inlineStr"/>
      <c r="F1143">
        <f>U1145+Skills!O2</f>
        <v/>
      </c>
      <c r="G1143">
        <f>Skills!G2*IF(Skills!H2&gt;0,IF(Inputs!$B$39="pvp",MIN(Skills!I2,15),Skills!I2)/Skills!H2,1)</f>
        <v/>
      </c>
      <c r="H1143">
        <f>1-(1-Skills!J2/100)^Skills!K2</f>
        <v/>
      </c>
      <c r="I1143" t="inlineStr">
        <is>
          <t>1</t>
        </is>
      </c>
      <c r="J1143">
        <f>(((Inputs!$B$6+1)*(1+Inputs!$B$7/100))+(((Inputs!$B$12*(1+Inputs!$B$13/100))-(Inputs!$B$12*(1+Inputs!$B$13/100)))+0.25*(Inputs!$B$14-Inputs!$B$14))*(1+Inputs!$B$7/100))*(F1143/100)</f>
        <v/>
      </c>
      <c r="K1143">
        <f>J1143*(1+((Inputs!$B$12*(1+Inputs!$B$13/100))*0.01+Inputs!$B$14*0.0025)/100)*(1+Inputs!$B$15/100)*(1+Inputs!$B$16/100)*(5000/(6000+Inputs!$B$43*(1-(100*(1-(1-Inputs!$B$19/100)*(1-CHOOSE(ArtifactsInput!$N$40+1,5,6,7,8,9,10)/100)^(ArtifactsInput!$M$40-ArtifactsInput!$M$40)))/100)))*(1+(Inputs!$B$24+((C1172=TRUE)*(F1172-Calc!F31))+((C1159=TRUE)*(F1159-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CRUEL_STAB",Inputs!$B$17+((C1169=TRUE)*(F1169-Calc!F28))+((IF(AND(Inputs!$B$39&lt;&gt;"pvp",Inputs!$B$44=0),1,IF(IF(Inputs!$B$39="pvp",15,Inputs!$B$44)-(B1186)&lt;=0,1,MAX(0,IF(Inputs!$B$39="pvp",15,Inputs!$B$44)-MAX(5,B1186))/(IF(Inputs!$B$39="pvp",15,Inputs!$B$44)-(B1186))))*(IF(AND(ArtifactsInput!$M$42,((Inputs!$B$9+((C1167=TRUE)*(F1167-Calc!F26))+B1175+(ArtifactsInput!$M$24-ArtifactsInput!$M$24)*CHOOSE(ArtifactsInput!$N$24+1,10,12,14,16,18,20)+IF(ArtifactsInput!$M$10,CHOOSE(ArtifactsInput!$N$10+1,15,18,21,24,27,30)*(IF(Inputs!$B$39="pvp",MIN(15,15)/15,IF(AND(Inputs!$B$39&lt;&gt;"pvp",Inputs!$B$44&gt;0),MIN(15,Inputs!$B$44)/(Inputs!$B$44),0))),0)))&gt;=100),MIN(100,((Inputs!$B$9+((C1167=TRUE)*(F1167-Calc!F26))+B1175+(ArtifactsInput!$M$24-ArtifactsInput!$M$24)*CHOOSE(ArtifactsInput!$N$24+1,10,12,14,16,18,20)+IF(ArtifactsInput!$M$10,CHOOSE(ArtifactsInput!$N$10+1,15,18,21,24,27,30)*(IF(Inputs!$B$39="pvp",MIN(15,15)/15,IF(AND(Inputs!$B$39&lt;&gt;"pvp",Inputs!$B$44&gt;0),MIN(15,Inputs!$B$44)/(Inputs!$B$44),0))),0)))-100),0))*CHOOSE(ArtifactsInput!$N$42+1,0.6,0.72,0.84,0.96,1.08,1.2))),Inputs!$B$18+((C1170=TRUE)*(F1170-Calc!F29))+(IF(AND(Inputs!$B$39&lt;&gt;"pvp",Inputs!$B$44=0),1,IF(IF(Inputs!$B$39="pvp",15,Inputs!$B$44)-(B1186)&lt;=0,1,MAX(0,IF(Inputs!$B$39="pvp",15,Inputs!$B$44)-MAX(5,B1186))/(IF(Inputs!$B$39="pvp",15,Inputs!$B$44)-(B1186))))*IF(AND(ArtifactsInput!$M$42,((Inputs!$B$9+((C1167=TRUE)*(F1167-Calc!F26))+B1175+(ArtifactsInput!$M$24-ArtifactsInput!$M$24)*CHOOSE(ArtifactsInput!$N$24+1,10,12,14,16,18,20)+IF(ArtifactsInput!$M$10,CHOOSE(ArtifactsInput!$N$10+1,15,18,21,24,27,30)*(IF(Inputs!$B$39="pvp",MIN(15,15)/15,IF(AND(Inputs!$B$39&lt;&gt;"pvp",Inputs!$B$44&gt;0),MIN(15,Inputs!$B$44)/(Inputs!$B$44),0))),0)))&gt;=100),CHOOSE(ArtifactsInput!$N$42+1,40,48,56,64,72,80),0))))/100)*(((1+(((C1163=TRUE)*F1163*IF(AND(Inputs!$B$39&lt;&gt;"pvp",Inputs!$B$44&gt;0),(((R1163-1)*MIN((Skills!Y22*(1+Inputs!$B$34/100)),(1/Q1163))+MIN((Skills!Y22*(1+Inputs!$B$34/100)),MAX(0,Inputs!$B$44-((R1163-1)*(1/Q1163)))))/Inputs!$B$44),IF(Inputs!$B$39="pvp",MIN((Skills!Y22*(1+Inputs!$B$34/100)),15)/15,MIN(1,(Skills!Y22*(1+Inputs!$B$34/100))/(1/Q1163)))))+((C1144=TRUE)*F1144*3)+((C1146=TRUE)*F1146*(1-EXP(-0.75*B1179*5)))+((C1165=TRUE)*(F1165-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1152=TRUE)*F1152*IF(AND(Inputs!$B$39&lt;&gt;"pvp",Inputs!$B$44&gt;0),(((R1152-1)*MIN((Skills!Y11*(1+Inputs!$B$34/100)),(1/Q1152))+MIN((Skills!Y11*(1+Inputs!$B$34/100)),MAX(0,Inputs!$B$44-((R1152-1)*(1/Q1152)))))/Inputs!$B$44),IF(Inputs!$B$39="pvp",MIN((Skills!Y11*(1+Inputs!$B$34/100)),15)/15,MIN(1,(Skills!Y11*(1+Inputs!$B$34/100))/(1/Q1152)))))/100)*(1+((C1157=TRUE)*F1157*IF(AND(Inputs!$B$39&lt;&gt;"pvp",Inputs!$B$44&gt;0),(((R1157-1)*MIN((Skills!Y16*(1+Inputs!$B$34/100)),(1/Q1157))+MIN((Skills!Y16*(1+Inputs!$B$34/100)),MAX(0,Inputs!$B$44-((R1157-1)*(1/Q1157)))))/Inputs!$B$44),IF(Inputs!$B$39="pvp",MIN((Skills!Y16*(1+Inputs!$B$34/100)),15)/15,MIN(1,(Skills!Y16*(1+Inputs!$B$34/100))/(1/Q1157)))))/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1177*I1143)</f>
        <v/>
      </c>
      <c r="L1143">
        <f>K1143*(MIN(Inputs!$B$22+((C1166=TRUE)*(F1166-Calc!F25)),(Inputs!$B$23+((C1171=TRUE)*(F1171-Calc!F30))+IF(ArtifactsInput!$M$15,CHOOSE(ArtifactsInput!$N$15+1,25,30,35,40,45,50)/100*(Inputs!$B$11-Inputs!$B$11),0)))/100+(Inputs!$B$23+((C1171=TRUE)*(F1171-Calc!F30))+IF(ArtifactsInput!$M$15,CHOOSE(ArtifactsInput!$N$15+1,25,30,35,40,45,50)/100*(Inputs!$B$11-Inputs!$B$11),0))/100)/2</f>
        <v/>
      </c>
      <c r="M1143">
        <f>L1143*(1+(Inputs!$B$10+((C1168=TRUE)*(F1168-Calc!F27))+B1182+(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1143">
        <f>L1143*(1-MIN((Inputs!$B$9+((C1167=TRUE)*(F1167-Calc!F26))+B1175+(ArtifactsInput!$M$24-ArtifactsInput!$M$24)*CHOOSE(ArtifactsInput!$N$24+1,10,12,14,16,18,20)+(IF(AND(Inputs!$B$39&lt;&gt;"pvp",Inputs!$B$44=0),1,IF(IF(Inputs!$B$39="pvp",15,Inputs!$B$44)-(B1186)&lt;=0,1,MAX(0,IF(Inputs!$B$39="pvp",15,Inputs!$B$44)-MAX(5,B1186))/(IF(Inputs!$B$39="pvp",15,Inputs!$B$44)-(B1186))))*IF(AND(ArtifactsInput!$M$42,((Inputs!$B$9+((C1167=TRUE)*(F1167-Calc!F26))+B1175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1143*(MIN((Inputs!$B$9+((C1167=TRUE)*(F1167-Calc!F26))+B1175+(ArtifactsInput!$M$24-ArtifactsInput!$M$24)*CHOOSE(ArtifactsInput!$N$24+1,10,12,14,16,18,20)+(IF(AND(Inputs!$B$39&lt;&gt;"pvp",Inputs!$B$44=0),1,IF(IF(Inputs!$B$39="pvp",15,Inputs!$B$44)-(B1186)&lt;=0,1,MAX(0,IF(Inputs!$B$39="pvp",15,Inputs!$B$44)-MAX(5,B1186))/(IF(Inputs!$B$39="pvp",15,Inputs!$B$44)-(B1186))))*IF(AND(ArtifactsInput!$M$42,((Inputs!$B$9+((C1167=TRUE)*(F1167-Calc!F26))+B1175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143">
        <f>(1-Summary!$B$11)*T1143+Summary!$B$11*V1143</f>
        <v/>
      </c>
      <c r="P1143">
        <f>IF(B1187=0,0,O1143/B1187)</f>
        <v/>
      </c>
      <c r="Q1143" t="n">
        <v>0</v>
      </c>
      <c r="R1143" t="n">
        <v>0</v>
      </c>
      <c r="S1143">
        <f>IFERROR(O1143/N1143,0)</f>
        <v/>
      </c>
      <c r="T1143">
        <f>IF(C1143,(Skills!G2*N1143*B1181)*IF(Inputs!$B$39="pvp",1,1+(Inputs!$B$20+0+Skills!P2+B1176+(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Hunt"),CHOOSE(ArtifactsInput!$N$35+1,15,18,21,24,27,30)*(1-EXP(-(0.2*B1179)*5)),0)+IF(AND(ArtifactsInput!$M$22,Inputs!$B$4&lt;&gt;"Chapter Hunt"),CHOOSE(ArtifactsInput!$N$22+1,10,12,14,16,18,20)*((0*(((0.15*B1179*5))^0/1)+1*(((0.15*B1179*5))^1/1)+2*(((0.15*B1179*5))^2/2)+3*(((0.15*B1179*5))^3/6)+4*(((0.15*B1179*5))^4/24)+5*(((0.15*B1179*5))^5/120))/((((0.15*B1179*5))^0/1)+(((0.15*B1179*5))^1/1)+(((0.15*B1179*5))^2/2)+(((0.15*B1179*5))^3/6)+(((0.15*B1179*5))^4/24)+(((0.15*B1179*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1143*(1-MIN(100,(Inputs!$B$9+((C1167=TRUE)*(F1167-Calc!F26))+B1175+(ArtifactsInput!$M$24-ArtifactsInput!$M$24)*CHOOSE(ArtifactsInput!$N$24+1,10,12,14,16,18,20)+(IF(AND(Inputs!$B$39&lt;&gt;"pvp",Inputs!$B$44=0),1,IF(IF(Inputs!$B$39="pvp",15,Inputs!$B$44)-(B1186)&lt;=0,1,MAX(0,IF(Inputs!$B$39="pvp",15,Inputs!$B$44)-MAX(5,B1186))/(IF(Inputs!$B$39="pvp",15,Inputs!$B$44)-(B1186))))*IF(AND(ArtifactsInput!$M$42,((Inputs!$B$9+((C1167=TRUE)*(F1167-Calc!F26))+B1175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1143*(MIN(100,(Inputs!$B$9+((C1167=TRUE)*(F1167-Calc!F26))+B1175+(ArtifactsInput!$M$24-ArtifactsInput!$M$24)*CHOOSE(ArtifactsInput!$N$24+1,10,12,14,16,18,20)+(IF(AND(Inputs!$B$39&lt;&gt;"pvp",Inputs!$B$44=0),1,IF(IF(Inputs!$B$39="pvp",15,Inputs!$B$44)-(B1186)&lt;=0,1,MAX(0,IF(Inputs!$B$39="pvp",15,Inputs!$B$44)-MAX(5,B1186))/(IF(Inputs!$B$39="pvp",15,Inputs!$B$44)-(B1186))))*IF(AND(ArtifactsInput!$M$42,((Inputs!$B$9+((C1167=TRUE)*(F1167-Calc!F26))+B1175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1143*(1-MIN(100,(Inputs!$B$9+((C1167=TRUE)*(F1167-Calc!F26))+B1175+(ArtifactsInput!$M$24-ArtifactsInput!$M$24)*CHOOSE(ArtifactsInput!$N$24+1,10,12,14,16,18,20)+(IF(AND(Inputs!$B$39&lt;&gt;"pvp",Inputs!$B$44=0),1,IF(IF(Inputs!$B$39="pvp",15,Inputs!$B$44)-(B1186)&lt;=0,1,MAX(0,IF(Inputs!$B$39="pvp",15,Inputs!$B$44)-MAX(5,B1186))/(IF(Inputs!$B$39="pvp",15,Inputs!$B$44)-(B1186))))*IF(AND(ArtifactsInput!$M$42,((Inputs!$B$9+((C1167=TRUE)*(F1167-Calc!F26))+B1175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1143*(MIN(100,(Inputs!$B$9+((C1167=TRUE)*(F1167-Calc!F26))+B1175+(ArtifactsInput!$M$24-ArtifactsInput!$M$24)*CHOOSE(ArtifactsInput!$N$24+1,10,12,14,16,18,20)+(IF(AND(Inputs!$B$39&lt;&gt;"pvp",Inputs!$B$44=0),1,IF(IF(Inputs!$B$39="pvp",15,Inputs!$B$44)-(B1186)&lt;=0,1,MAX(0,IF(Inputs!$B$39="pvp",15,Inputs!$B$44)-MAX(5,B1186))/(IF(Inputs!$B$39="pvp",15,Inputs!$B$44)-(B1186))))*IF(AND(ArtifactsInput!$M$42,((Inputs!$B$9+((C1167=TRUE)*(F1167-Calc!F26))+B1175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1143">
        <f>MAX(0,(Inputs!$B$3-100)*3)+Inputs!$B$28+Inputs!$B$29</f>
        <v/>
      </c>
      <c r="V1143">
        <f>IF(C1143,(Skills!G2*N1143*B1181)*IF(Inputs!$B$39="pvp",1,(1+(Inputs!$B$21+Skills!Q2+B1176+(IF(ArtifactsInput!$M$33,CHOOSE(ArtifactsInput!$N$33+1,30,36,42,48,54,60),0))+(IF(AND(ArtifactsInput!$M$35,Inputs!$B$4&lt;&gt;"Chapter Hunt"),CHOOSE(ArtifactsInput!$N$35+1,15,18,21,24,27,30)*(1-EXP(-(0.2*B1179)*5)),0)+IF(AND(ArtifactsInput!$M$22,Inputs!$B$4&lt;&gt;"Chapter Hunt"),CHOOSE(ArtifactsInput!$N$22+1,10,12,14,16,18,20)*((0*(((0.15*B1179*5))^0/1)+1*(((0.15*B1179*5))^1/1)+2*(((0.15*B1179*5))^2/2)+3*(((0.15*B1179*5))^3/6)+4*(((0.15*B1179*5))^4/24)+5*(((0.15*B1179*5))^5/120))/((((0.15*B1179*5))^0/1)+(((0.15*B1179*5))^1/1)+(((0.15*B1179*5))^2/2)+(((0.15*B1179*5))^3/6)+(((0.15*B1179*5))^4/24)+(((0.15*B1179*5))^5/120))),0)))/100)*(MIN((6+Inputs!$B$33),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144">
      <c r="A1144">
        <f>Skills!A3</f>
        <v/>
      </c>
      <c r="B1144">
        <f>Skills!B3</f>
        <v/>
      </c>
      <c r="C1144">
        <f>Inputs!$B$3&gt;=35</f>
        <v/>
      </c>
      <c r="D1144">
        <f>IF(Skills!C3=1,60+Inputs!$B$25+Inputs!$B$29,IF(Skills!C3=2,90+Inputs!$B$26+Inputs!$B$29,IF(Skills!C3=3,120+Inputs!$B$27+Inputs!$B$29,MAX(0,(Inputs!$B$3-100)*3)+Inputs!$B$28+Inputs!$B$29)))</f>
        <v/>
      </c>
      <c r="E1144">
        <f>INDEX(FactorTable!$B$2:$Y$301, MATCH(ROUND(MIN(300,MAX(1,D1144)),0), FactorTable!$A$2:$A$301,0), Skills!M3+1)</f>
        <v/>
      </c>
      <c r="F1144">
        <f>IF(Skills!N3=TRUE,(Skills!L3/10)*(E1144/1000),Skills!L3/10)+Skills!O3</f>
        <v/>
      </c>
      <c r="G1144">
        <f>Skills!G3*IF(Skills!H3&gt;0,IF(Inputs!$B$39="pvp",MIN(Skills!I3,15),Skills!I3)/Skills!H3,1)</f>
        <v/>
      </c>
      <c r="H1144">
        <f>1-(1-Skills!J3/100)^Skills!K3</f>
        <v/>
      </c>
      <c r="I1144" t="inlineStr">
        <is>
          <t>1</t>
        </is>
      </c>
      <c r="J1144" t="inlineStr"/>
      <c r="K1144" t="inlineStr"/>
      <c r="L1144" t="inlineStr"/>
      <c r="M1144" t="inlineStr"/>
      <c r="N1144" t="inlineStr"/>
      <c r="O1144">
        <f>(1-Summary!$B$11)*T1144+Summary!$B$11*V1144</f>
        <v/>
      </c>
      <c r="P1144">
        <f>IF(B1187=0,0,O1144/B1187)</f>
        <v/>
      </c>
      <c r="Q1144" t="n">
        <v>0</v>
      </c>
      <c r="R1144" t="n">
        <v>0</v>
      </c>
      <c r="S1144">
        <f>IFERROR(O1144/N1144,0)</f>
        <v/>
      </c>
      <c r="T1144" t="n">
        <v>0</v>
      </c>
      <c r="U1144">
        <f>INDEX(FactorTable!$B$2:$Y$301, MATCH(ROUND(MIN(300,MAX(1,U1143)),0), FactorTable!$A$2:$A$301,0), 22)</f>
        <v/>
      </c>
      <c r="V1144" t="n">
        <v>0</v>
      </c>
    </row>
    <row r="1145">
      <c r="A1145">
        <f>Skills!A4</f>
        <v/>
      </c>
      <c r="B1145">
        <f>Skills!B4</f>
        <v/>
      </c>
      <c r="C1145">
        <f>Inputs!$B$3&gt;=66</f>
        <v/>
      </c>
      <c r="D1145">
        <f>IF(Skills!C4=1,60+Inputs!$B$25+Inputs!$B$29,IF(Skills!C4=2,90+Inputs!$B$26+Inputs!$B$29,IF(Skills!C4=3,120+Inputs!$B$27+Inputs!$B$29,MAX(0,(Inputs!$B$3-100)*3)+Inputs!$B$28+Inputs!$B$29)))</f>
        <v/>
      </c>
      <c r="E1145">
        <f>INDEX(FactorTable!$B$2:$Y$301, MATCH(ROUND(MIN(300,MAX(1,D1145)),0), FactorTable!$A$2:$A$301,0), Skills!M4+1)</f>
        <v/>
      </c>
      <c r="F1145">
        <f>IF(Skills!N4=TRUE,(Skills!L4/10)*(E1145/1000),Skills!L4/10)+Skills!O4</f>
        <v/>
      </c>
      <c r="G1145">
        <f>Skills!G4*IF(Skills!H4&gt;0,IF(Inputs!$B$39="pvp",MIN(Skills!I4,15),Skills!I4)/Skills!H4,1)</f>
        <v/>
      </c>
      <c r="H1145">
        <f>1-(1-Skills!J4/100)^Skills!K4</f>
        <v/>
      </c>
      <c r="I1145" t="inlineStr">
        <is>
          <t>1</t>
        </is>
      </c>
      <c r="J1145">
        <f>(((Inputs!$B$6+1)*(1+Inputs!$B$7/100))+(((Inputs!$B$12*(1+Inputs!$B$13/100))-(Inputs!$B$12*(1+Inputs!$B$13/100)))+0.25*(Inputs!$B$14-Inputs!$B$14))*(1+Inputs!$B$7/100))*(F1145/100)</f>
        <v/>
      </c>
      <c r="K1145">
        <f>J1145*(1+((Inputs!$B$12*(1+Inputs!$B$13/100))*0.01+Inputs!$B$14*0.0025)/100)*(1+Inputs!$B$15/100)*(1+Inputs!$B$16/100)*(5000/(6000+Inputs!$B$43*(1-(100*(1-(1-Inputs!$B$19/100)*(1-CHOOSE(ArtifactsInput!$N$40+1,5,6,7,8,9,10)/100)^(ArtifactsInput!$M$40-ArtifactsInput!$M$40)))/100)))*(1+(Inputs!$B$24+((C1172=TRUE)*(F1172-Calc!F31))+((C1159=TRUE)*(F1159-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4="CRUEL_STAB",Inputs!$B$17+((C1169=TRUE)*(F1169-Calc!F28))+((IF(AND(Inputs!$B$39&lt;&gt;"pvp",Inputs!$B$44=0),1,IF(IF(Inputs!$B$39="pvp",15,Inputs!$B$44)-(B1186)&lt;=0,1,MAX(0,IF(Inputs!$B$39="pvp",15,Inputs!$B$44)-MAX(5,B1186))/(IF(Inputs!$B$39="pvp",15,Inputs!$B$44)-(B1186))))*(IF(AND(ArtifactsInput!$M$42,((Inputs!$B$9+((C1167=TRUE)*(F1167-Calc!F26))+B1175+(ArtifactsInput!$M$24-ArtifactsInput!$M$24)*CHOOSE(ArtifactsInput!$N$24+1,10,12,14,16,18,20)+IF(ArtifactsInput!$M$10,CHOOSE(ArtifactsInput!$N$10+1,15,18,21,24,27,30)*(IF(Inputs!$B$39="pvp",MIN(15,15)/15,IF(AND(Inputs!$B$39&lt;&gt;"pvp",Inputs!$B$44&gt;0),MIN(15,Inputs!$B$44)/(Inputs!$B$44),0))),0)))&gt;=100),MIN(100,((Inputs!$B$9+((C1167=TRUE)*(F1167-Calc!F26))+B1175+(ArtifactsInput!$M$24-ArtifactsInput!$M$24)*CHOOSE(ArtifactsInput!$N$24+1,10,12,14,16,18,20)+IF(ArtifactsInput!$M$10,CHOOSE(ArtifactsInput!$N$10+1,15,18,21,24,27,30)*(IF(Inputs!$B$39="pvp",MIN(15,15)/15,IF(AND(Inputs!$B$39&lt;&gt;"pvp",Inputs!$B$44&gt;0),MIN(15,Inputs!$B$44)/(Inputs!$B$44),0))),0)))-100),0))*CHOOSE(ArtifactsInput!$N$42+1,0.6,0.72,0.84,0.96,1.08,1.2))),Inputs!$B$18+((C1170=TRUE)*(F1170-Calc!F29))+(IF(AND(Inputs!$B$39&lt;&gt;"pvp",Inputs!$B$44=0),1,IF(IF(Inputs!$B$39="pvp",15,Inputs!$B$44)-(B1186)&lt;=0,1,MAX(0,IF(Inputs!$B$39="pvp",15,Inputs!$B$44)-MAX(5,B1186))/(IF(Inputs!$B$39="pvp",15,Inputs!$B$44)-(B1186))))*IF(AND(ArtifactsInput!$M$42,((Inputs!$B$9+((C1167=TRUE)*(F1167-Calc!F26))+B1175+(ArtifactsInput!$M$24-ArtifactsInput!$M$24)*CHOOSE(ArtifactsInput!$N$24+1,10,12,14,16,18,20)+IF(ArtifactsInput!$M$10,CHOOSE(ArtifactsInput!$N$10+1,15,18,21,24,27,30)*(IF(Inputs!$B$39="pvp",MIN(15,15)/15,IF(AND(Inputs!$B$39&lt;&gt;"pvp",Inputs!$B$44&gt;0),MIN(15,Inputs!$B$44)/(Inputs!$B$44),0))),0)))&gt;=100),CHOOSE(ArtifactsInput!$N$42+1,40,48,56,64,72,80),0))))/100)*(((1+(((C1163=TRUE)*F1163*IF(AND(Inputs!$B$39&lt;&gt;"pvp",Inputs!$B$44&gt;0),(((R1163-1)*MIN((Skills!Y22*(1+Inputs!$B$34/100)),(1/Q1163))+MIN((Skills!Y22*(1+Inputs!$B$34/100)),MAX(0,Inputs!$B$44-((R1163-1)*(1/Q1163)))))/Inputs!$B$44),IF(Inputs!$B$39="pvp",MIN((Skills!Y22*(1+Inputs!$B$34/100)),15)/15,MIN(1,(Skills!Y22*(1+Inputs!$B$34/100))/(1/Q1163)))))+((C1144=TRUE)*F1144*3)+((C1146=TRUE)*F1146*(1-EXP(-0.75*B1179*5)))+((C1165=TRUE)*(F1165-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1152=TRUE)*F1152*IF(AND(Inputs!$B$39&lt;&gt;"pvp",Inputs!$B$44&gt;0),(((R1152-1)*MIN((Skills!Y11*(1+Inputs!$B$34/100)),(1/Q1152))+MIN((Skills!Y11*(1+Inputs!$B$34/100)),MAX(0,Inputs!$B$44-((R1152-1)*(1/Q1152)))))/Inputs!$B$44),IF(Inputs!$B$39="pvp",MIN((Skills!Y11*(1+Inputs!$B$34/100)),15)/15,MIN(1,(Skills!Y11*(1+Inputs!$B$34/100))/(1/Q1152)))))/100)*(1+((C1157=TRUE)*F1157*IF(AND(Inputs!$B$39&lt;&gt;"pvp",Inputs!$B$44&gt;0),(((R1157-1)*MIN((Skills!Y16*(1+Inputs!$B$34/100)),(1/Q1157))+MIN((Skills!Y16*(1+Inputs!$B$34/100)),MAX(0,Inputs!$B$44-((R1157-1)*(1/Q1157)))))/Inputs!$B$44),IF(Inputs!$B$39="pvp",MIN((Skills!Y16*(1+Inputs!$B$34/100)),15)/15,MIN(1,(Skills!Y16*(1+Inputs!$B$34/100))/(1/Q1157)))))/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1177*I1145)</f>
        <v/>
      </c>
      <c r="L1145">
        <f>K1145*(MIN(Inputs!$B$22+((C1166=TRUE)*(F1166-Calc!F25)),(Inputs!$B$23+((C1171=TRUE)*(F1171-Calc!F30))+IF(ArtifactsInput!$M$15,CHOOSE(ArtifactsInput!$N$15+1,25,30,35,40,45,50)/100*(Inputs!$B$11-Inputs!$B$11),0)))/100+(Inputs!$B$23+((C1171=TRUE)*(F1171-Calc!F30))+IF(ArtifactsInput!$M$15,CHOOSE(ArtifactsInput!$N$15+1,25,30,35,40,45,50)/100*(Inputs!$B$11-Inputs!$B$11),0))/100)/2</f>
        <v/>
      </c>
      <c r="M1145">
        <f>L1145*(1+(Inputs!$B$10+((C1168=TRUE)*(F1168-Calc!F27))+B1182+(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1145">
        <f>L1145*(1-MIN((Inputs!$B$9+((C1167=TRUE)*(F1167-Calc!F26))+B1175+(ArtifactsInput!$M$24-ArtifactsInput!$M$24)*CHOOSE(ArtifactsInput!$N$24+1,10,12,14,16,18,20)+(IF(AND(Inputs!$B$39&lt;&gt;"pvp",Inputs!$B$44=0),1,IF(IF(Inputs!$B$39="pvp",15,Inputs!$B$44)-(B1186)&lt;=0,1,MAX(0,IF(Inputs!$B$39="pvp",15,Inputs!$B$44)-MAX(5,B1186))/(IF(Inputs!$B$39="pvp",15,Inputs!$B$44)-(B1186))))*IF(AND(ArtifactsInput!$M$42,((Inputs!$B$9+((C1167=TRUE)*(F1167-Calc!F26))+B1175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1145*(MIN((Inputs!$B$9+((C1167=TRUE)*(F1167-Calc!F26))+B1175+(ArtifactsInput!$M$24-ArtifactsInput!$M$24)*CHOOSE(ArtifactsInput!$N$24+1,10,12,14,16,18,20)+(IF(AND(Inputs!$B$39&lt;&gt;"pvp",Inputs!$B$44=0),1,IF(IF(Inputs!$B$39="pvp",15,Inputs!$B$44)-(B1186)&lt;=0,1,MAX(0,IF(Inputs!$B$39="pvp",15,Inputs!$B$44)-MAX(5,B1186))/(IF(Inputs!$B$39="pvp",15,Inputs!$B$44)-(B1186))))*IF(AND(ArtifactsInput!$M$42,((Inputs!$B$9+((C1167=TRUE)*(F1167-Calc!F26))+B1175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145">
        <f>(1-Summary!$B$11)*T1145+Summary!$B$11*V1145</f>
        <v/>
      </c>
      <c r="P1145">
        <f>IF(B1187=0,0,O1145/B1187)</f>
        <v/>
      </c>
      <c r="Q1145">
        <f>IFERROR(1/IF(Inputs!$B$39="pvp",15,MAX(0.1,Skills!D4-IF(TRUE=TRUE,Inputs!$B$32,0))),0)</f>
        <v/>
      </c>
      <c r="R1145">
        <f>IF(AND(Inputs!$B$39&lt;&gt;"pvp",Inputs!$B$44&gt;0),IF(MAX(0,Inputs!$B$44-B1186)&lt;=0,0,(INT(MAX(0,Inputs!$B$44-B1186)/IF(Inputs!$B$39="pvp",15,MAX(0.1,Skills!D4-IF(TRUE=TRUE,Inputs!$B$32,0))))+1)),0)</f>
        <v/>
      </c>
      <c r="S1145">
        <f>IFERROR(O1145/N1145,0)</f>
        <v/>
      </c>
      <c r="T1145">
        <f>IF(C1145,(H1145*N1145*IF(AND(Inputs!$B$39&lt;&gt;"pvp",Inputs!$B$44&gt;0),((Skills!G4*((R1145-1)*IF(Skills!H4&gt;0,Skills!I4/Skills!H4,1)+IF(Skills!H4&gt;0,MIN(Skills!I4,MAX(0,MAX(0,Inputs!$B$44-B1186)-((R1145-1)*IF(Inputs!$B$39="pvp",15,MAX(0.1,Skills!D4-IF(TRUE=TRUE,Inputs!$B$32,0))))))/Skills!H4,1)))/Inputs!$B$44),G1145*Q1145))*IF(Inputs!$B$39="pvp",1,1+(Inputs!$B$20+0+Skills!P4+B1176+(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Hunt"),CHOOSE(ArtifactsInput!$N$35+1,15,18,21,24,27,30)*(1-EXP(-(0.2*B1179)*5)),0)+IF(AND(ArtifactsInput!$M$22,Inputs!$B$4&lt;&gt;"Chapter Hunt"),CHOOSE(ArtifactsInput!$N$22+1,10,12,14,16,18,20)*((0*(((0.15*B1179*5))^0/1)+1*(((0.15*B1179*5))^1/1)+2*(((0.15*B1179*5))^2/2)+3*(((0.15*B1179*5))^3/6)+4*(((0.15*B1179*5))^4/24)+5*(((0.15*B1179*5))^5/120))/((((0.15*B1179*5))^0/1)+(((0.15*B1179*5))^1/1)+(((0.15*B1179*5))^2/2)+(((0.15*B1179*5))^3/6)+(((0.15*B1179*5))^4/24)+(((0.15*B1179*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1145*(1-MIN(100,(Inputs!$B$9+((C1167=TRUE)*(F1167-Calc!F26))+B1175+(ArtifactsInput!$M$24-ArtifactsInput!$M$24)*CHOOSE(ArtifactsInput!$N$24+1,10,12,14,16,18,20)+(IF(AND(Inputs!$B$39&lt;&gt;"pvp",Inputs!$B$44=0),1,IF(IF(Inputs!$B$39="pvp",15,Inputs!$B$44)-(B1186)&lt;=0,1,MAX(0,IF(Inputs!$B$39="pvp",15,Inputs!$B$44)-MAX(5,B1186))/(IF(Inputs!$B$39="pvp",15,Inputs!$B$44)-(B1186))))*IF(AND(ArtifactsInput!$M$42,((Inputs!$B$9+((C1167=TRUE)*(F1167-Calc!F26))+B1175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1145*(MIN(100,(Inputs!$B$9+((C1167=TRUE)*(F1167-Calc!F26))+B1175+(ArtifactsInput!$M$24-ArtifactsInput!$M$24)*CHOOSE(ArtifactsInput!$N$24+1,10,12,14,16,18,20)+(IF(AND(Inputs!$B$39&lt;&gt;"pvp",Inputs!$B$44=0),1,IF(IF(Inputs!$B$39="pvp",15,Inputs!$B$44)-(B1186)&lt;=0,1,MAX(0,IF(Inputs!$B$39="pvp",15,Inputs!$B$44)-MAX(5,B1186))/(IF(Inputs!$B$39="pvp",15,Inputs!$B$44)-(B1186))))*IF(AND(ArtifactsInput!$M$42,((Inputs!$B$9+((C1167=TRUE)*(F1167-Calc!F26))+B1175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1145*(1-MIN(100,(Inputs!$B$9+((C1167=TRUE)*(F1167-Calc!F26))+B1175+(ArtifactsInput!$M$24-ArtifactsInput!$M$24)*CHOOSE(ArtifactsInput!$N$24+1,10,12,14,16,18,20)+(IF(AND(Inputs!$B$39&lt;&gt;"pvp",Inputs!$B$44=0),1,IF(IF(Inputs!$B$39="pvp",15,Inputs!$B$44)-(B1186)&lt;=0,1,MAX(0,IF(Inputs!$B$39="pvp",15,Inputs!$B$44)-MAX(5,B1186))/(IF(Inputs!$B$39="pvp",15,Inputs!$B$44)-(B1186))))*IF(AND(ArtifactsInput!$M$42,((Inputs!$B$9+((C1167=TRUE)*(F1167-Calc!F26))+B1175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1145*(MIN(100,(Inputs!$B$9+((C1167=TRUE)*(F1167-Calc!F26))+B1175+(ArtifactsInput!$M$24-ArtifactsInput!$M$24)*CHOOSE(ArtifactsInput!$N$24+1,10,12,14,16,18,20)+(IF(AND(Inputs!$B$39&lt;&gt;"pvp",Inputs!$B$44=0),1,IF(IF(Inputs!$B$39="pvp",15,Inputs!$B$44)-(B1186)&lt;=0,1,MAX(0,IF(Inputs!$B$39="pvp",15,Inputs!$B$44)-MAX(5,B1186))/(IF(Inputs!$B$39="pvp",15,Inputs!$B$44)-(B1186))))*IF(AND(ArtifactsInput!$M$42,((Inputs!$B$9+((C1167=TRUE)*(F1167-Calc!F26))+B1175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1145">
        <f>290*U1144/1000</f>
        <v/>
      </c>
      <c r="V1145">
        <f>IF(C1145,(H1145*N1145*IF(AND(Inputs!$B$39&lt;&gt;"pvp",Inputs!$B$44&gt;0),((Skills!G4*((R1145-1)*IF(Skills!H4&gt;0,Skills!I4/Skills!H4,1)+IF(Skills!H4&gt;0,MIN(Skills!I4,MAX(0,MAX(0,Inputs!$B$44-B1186)-((R1145-1)*IF(Inputs!$B$39="pvp",15,MAX(0.1,Skills!D4-IF(TRUE=TRUE,Inputs!$B$32,0))))))/Skills!H4,1)))/Inputs!$B$44),G1145*Q1145))*IF(Inputs!$B$39="pvp",1,(1+(Inputs!$B$21+Skills!Q4+B1176+(IF(ArtifactsInput!$M$33,CHOOSE(ArtifactsInput!$N$33+1,30,36,42,48,54,60),0))+(IF(AND(ArtifactsInput!$M$35,Inputs!$B$4&lt;&gt;"Chapter Hunt"),CHOOSE(ArtifactsInput!$N$35+1,15,18,21,24,27,30)*(1-EXP(-(0.2*B1179)*5)),0)+IF(AND(ArtifactsInput!$M$22,Inputs!$B$4&lt;&gt;"Chapter Hunt"),CHOOSE(ArtifactsInput!$N$22+1,10,12,14,16,18,20)*((0*(((0.15*B1179*5))^0/1)+1*(((0.15*B1179*5))^1/1)+2*(((0.15*B1179*5))^2/2)+3*(((0.15*B1179*5))^3/6)+4*(((0.15*B1179*5))^4/24)+5*(((0.15*B1179*5))^5/120))/((((0.15*B1179*5))^0/1)+(((0.15*B1179*5))^1/1)+(((0.15*B1179*5))^2/2)+(((0.15*B1179*5))^3/6)+(((0.15*B1179*5))^4/24)+(((0.15*B1179*5))^5/120))),0)))/100)*(MIN(MIN(10,IF(Inputs!$B$3&gt;=75,0.75,0.5)*B1179*(1/Q1145)),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146">
      <c r="A1146">
        <f>Skills!A5</f>
        <v/>
      </c>
      <c r="B1146">
        <f>Skills!B5</f>
        <v/>
      </c>
      <c r="C1146">
        <f>Inputs!$B$3&gt;=75</f>
        <v/>
      </c>
      <c r="D1146">
        <f>IF(Skills!C5=1,60+Inputs!$B$25+Inputs!$B$29,IF(Skills!C5=2,90+Inputs!$B$26+Inputs!$B$29,IF(Skills!C5=3,120+Inputs!$B$27+Inputs!$B$29,MAX(0,(Inputs!$B$3-100)*3)+Inputs!$B$28+Inputs!$B$29)))</f>
        <v/>
      </c>
      <c r="E1146">
        <f>INDEX(FactorTable!$B$2:$Y$301, MATCH(ROUND(MIN(300,MAX(1,D1146)),0), FactorTable!$A$2:$A$301,0), Skills!M5+1)</f>
        <v/>
      </c>
      <c r="F1146">
        <f>IF(Skills!N5=TRUE,(Skills!L5/10)*(E1146/1000),Skills!L5/10)+Skills!O5</f>
        <v/>
      </c>
      <c r="G1146">
        <f>Skills!G5*IF(Skills!H5&gt;0,IF(Inputs!$B$39="pvp",MIN(Skills!I5,15),Skills!I5)/Skills!H5,1)</f>
        <v/>
      </c>
      <c r="H1146">
        <f>1-(1-Skills!J5/100)^Skills!K5</f>
        <v/>
      </c>
      <c r="I1146" t="inlineStr">
        <is>
          <t>1</t>
        </is>
      </c>
      <c r="J1146" t="inlineStr"/>
      <c r="K1146" t="inlineStr"/>
      <c r="L1146" t="inlineStr"/>
      <c r="M1146" t="inlineStr"/>
      <c r="N1146" t="inlineStr"/>
      <c r="O1146">
        <f>(1-Summary!$B$11)*T1146+Summary!$B$11*V1146</f>
        <v/>
      </c>
      <c r="P1146">
        <f>IF(B1187=0,0,O1146/B1187)</f>
        <v/>
      </c>
      <c r="Q1146" t="n">
        <v>0</v>
      </c>
      <c r="R1146" t="n">
        <v>0</v>
      </c>
      <c r="S1146">
        <f>IFERROR(O1146/N1146,0)</f>
        <v/>
      </c>
      <c r="T1146" t="n">
        <v>0</v>
      </c>
      <c r="V1146" t="n">
        <v>0</v>
      </c>
    </row>
    <row r="1147">
      <c r="A1147">
        <f>Skills!A6</f>
        <v/>
      </c>
      <c r="B1147">
        <f>Skills!B6</f>
        <v/>
      </c>
      <c r="C1147">
        <f>Inputs!$B$3&gt;=63</f>
        <v/>
      </c>
      <c r="D1147">
        <f>IF(Skills!C6=1,60+Inputs!$B$25+Inputs!$B$29,IF(Skills!C6=2,90+Inputs!$B$26+Inputs!$B$29,IF(Skills!C6=3,120+Inputs!$B$27+Inputs!$B$29,MAX(0,(Inputs!$B$3-100)*3)+Inputs!$B$28+Inputs!$B$29)))</f>
        <v/>
      </c>
      <c r="E1147">
        <f>INDEX(FactorTable!$B$2:$Y$301, MATCH(ROUND(MIN(300,MAX(1,D1147)),0), FactorTable!$A$2:$A$301,0), Skills!M6+1)</f>
        <v/>
      </c>
      <c r="F1147">
        <f>IF(Skills!N6=TRUE,(Skills!L6/10)*(E1147/1000),Skills!L6/10)+Skills!O6</f>
        <v/>
      </c>
      <c r="G1147">
        <f>Skills!G6*IF(Skills!H6&gt;0,IF(Inputs!$B$39="pvp",MIN(Skills!I6,15),Skills!I6)/Skills!H6,1)</f>
        <v/>
      </c>
      <c r="H1147">
        <f>1-(1-Skills!J6/100)^Skills!K6</f>
        <v/>
      </c>
      <c r="I1147" t="inlineStr">
        <is>
          <t>1</t>
        </is>
      </c>
      <c r="J1147">
        <f>(((Inputs!$B$6+1)*(1+Inputs!$B$7/100))+(((Inputs!$B$12*(1+Inputs!$B$13/100))-(Inputs!$B$12*(1+Inputs!$B$13/100)))+0.25*(Inputs!$B$14-Inputs!$B$14))*(1+Inputs!$B$7/100))*(F1147/100)</f>
        <v/>
      </c>
      <c r="K1147">
        <f>J1147*(1+((Inputs!$B$12*(1+Inputs!$B$13/100))*0.01+Inputs!$B$14*0.0025)/100)*(1+Inputs!$B$15/100)*(1+Inputs!$B$16/100)*(5000/(6000+Inputs!$B$43*(1-(100*(1-(1-Inputs!$B$19/100)*(1-CHOOSE(ArtifactsInput!$N$40+1,5,6,7,8,9,10)/100)^(ArtifactsInput!$M$40-ArtifactsInput!$M$40)))/100)))*(1+(Inputs!$B$24+((C1172=TRUE)*(F1172-Calc!F31))+((C1159=TRUE)*(F1159-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+2.6666666666666665*IF(C1160=TRUE,F1160,0)/100)*(1+(IF(Skills!A6="CRUEL_STAB",Inputs!$B$17+((C1169=TRUE)*(F1169-Calc!F28))+((IF(AND(Inputs!$B$39&lt;&gt;"pvp",Inputs!$B$44=0),1,IF(IF(Inputs!$B$39="pvp",15,Inputs!$B$44)-(B1186)&lt;=0,1,MAX(0,IF(Inputs!$B$39="pvp",15,Inputs!$B$44)-MAX(5,B1186))/(IF(Inputs!$B$39="pvp",15,Inputs!$B$44)-(B1186))))*(IF(AND(ArtifactsInput!$M$42,((Inputs!$B$9+((C1167=TRUE)*(F1167-Calc!F26))+B1175+(ArtifactsInput!$M$24-ArtifactsInput!$M$24)*CHOOSE(ArtifactsInput!$N$24+1,10,12,14,16,18,20)+IF(ArtifactsInput!$M$10,CHOOSE(ArtifactsInput!$N$10+1,15,18,21,24,27,30)*(IF(Inputs!$B$39="pvp",MIN(15,15)/15,IF(AND(Inputs!$B$39&lt;&gt;"pvp",Inputs!$B$44&gt;0),MIN(15,Inputs!$B$44)/(Inputs!$B$44),0))),0)))&gt;=100),MIN(100,((Inputs!$B$9+((C1167=TRUE)*(F1167-Calc!F26))+B1175+(ArtifactsInput!$M$24-ArtifactsInput!$M$24)*CHOOSE(ArtifactsInput!$N$24+1,10,12,14,16,18,20)+IF(ArtifactsInput!$M$10,CHOOSE(ArtifactsInput!$N$10+1,15,18,21,24,27,30)*(IF(Inputs!$B$39="pvp",MIN(15,15)/15,IF(AND(Inputs!$B$39&lt;&gt;"pvp",Inputs!$B$44&gt;0),MIN(15,Inputs!$B$44)/(Inputs!$B$44),0))),0)))-100),0))*CHOOSE(ArtifactsInput!$N$42+1,0.6,0.72,0.84,0.96,1.08,1.2))),Inputs!$B$18+((C1170=TRUE)*(F1170-Calc!F29))+(IF(AND(Inputs!$B$39&lt;&gt;"pvp",Inputs!$B$44=0),1,IF(IF(Inputs!$B$39="pvp",15,Inputs!$B$44)-(B1186)&lt;=0,1,MAX(0,IF(Inputs!$B$39="pvp",15,Inputs!$B$44)-MAX(5,B1186))/(IF(Inputs!$B$39="pvp",15,Inputs!$B$44)-(B1186))))*IF(AND(ArtifactsInput!$M$42,((Inputs!$B$9+((C1167=TRUE)*(F1167-Calc!F26))+B1175+(ArtifactsInput!$M$24-ArtifactsInput!$M$24)*CHOOSE(ArtifactsInput!$N$24+1,10,12,14,16,18,20)+IF(ArtifactsInput!$M$10,CHOOSE(ArtifactsInput!$N$10+1,15,18,21,24,27,30)*(IF(Inputs!$B$39="pvp",MIN(15,15)/15,IF(AND(Inputs!$B$39&lt;&gt;"pvp",Inputs!$B$44&gt;0),MIN(15,Inputs!$B$44)/(Inputs!$B$44),0))),0)))&gt;=100),CHOOSE(ArtifactsInput!$N$42+1,40,48,56,64,72,80),0))))/100)*(((1+(((C1163=TRUE)*F1163*IF(AND(Inputs!$B$39&lt;&gt;"pvp",Inputs!$B$44&gt;0),(((R1163-1)*MIN((Skills!Y22*(1+Inputs!$B$34/100)),(1/Q1163))+MIN((Skills!Y22*(1+Inputs!$B$34/100)),MAX(0,Inputs!$B$44-((R1163-1)*(1/Q1163)))))/Inputs!$B$44),IF(Inputs!$B$39="pvp",MIN((Skills!Y22*(1+Inputs!$B$34/100)),15)/15,MIN(1,(Skills!Y22*(1+Inputs!$B$34/100))/(1/Q1163)))))+((C1144=TRUE)*F1144*3)+((C1146=TRUE)*F1146*(1-EXP(-0.75*B1179*5)))+((C1165=TRUE)*(F1165-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1152=TRUE)*F1152*IF(AND(Inputs!$B$39&lt;&gt;"pvp",Inputs!$B$44&gt;0),(((R1152-1)*MIN((Skills!Y11*(1+Inputs!$B$34/100)),(1/Q1152))+MIN((Skills!Y11*(1+Inputs!$B$34/100)),MAX(0,Inputs!$B$44-((R1152-1)*(1/Q1152)))))/Inputs!$B$44),IF(Inputs!$B$39="pvp",MIN((Skills!Y11*(1+Inputs!$B$34/100)),15)/15,MIN(1,(Skills!Y11*(1+Inputs!$B$34/100))/(1/Q1152)))))/100)*(1+((C1157=TRUE)*F1157*IF(AND(Inputs!$B$39&lt;&gt;"pvp",Inputs!$B$44&gt;0),(((R1157-1)*MIN((Skills!Y16*(1+Inputs!$B$34/100)),(1/Q1157))+MIN((Skills!Y16*(1+Inputs!$B$34/100)),MAX(0,Inputs!$B$44-((R1157-1)*(1/Q1157)))))/Inputs!$B$44),IF(Inputs!$B$39="pvp",MIN((Skills!Y16*(1+Inputs!$B$34/100)),15)/15,MIN(1,(Skills!Y16*(1+Inputs!$B$34/100))/(1/Q1157)))))/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1177*I1147)</f>
        <v/>
      </c>
      <c r="L1147">
        <f>K1147*(MIN(Inputs!$B$22+((C1166=TRUE)*(F1166-Calc!F25)),(Inputs!$B$23+((C1171=TRUE)*(F1171-Calc!F30))+IF(ArtifactsInput!$M$15,CHOOSE(ArtifactsInput!$N$15+1,25,30,35,40,45,50)/100*(Inputs!$B$11-Inputs!$B$11),0)))/100+(Inputs!$B$23+((C1171=TRUE)*(F1171-Calc!F30))+IF(ArtifactsInput!$M$15,CHOOSE(ArtifactsInput!$N$15+1,25,30,35,40,45,50)/100*(Inputs!$B$11-Inputs!$B$11),0))/100)/2</f>
        <v/>
      </c>
      <c r="M1147">
        <f>L1147*(1+(Inputs!$B$10+((C1168=TRUE)*(F1168-Calc!F27))+B1182+(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1147">
        <f>L1147*(1-MIN((Inputs!$B$9+((C1167=TRUE)*(F1167-Calc!F26))+B1175+(ArtifactsInput!$M$24-ArtifactsInput!$M$24)*CHOOSE(ArtifactsInput!$N$24+1,10,12,14,16,18,20)+(IF(AND(Inputs!$B$39&lt;&gt;"pvp",Inputs!$B$44=0),1,IF(IF(Inputs!$B$39="pvp",15,Inputs!$B$44)-(B1186)&lt;=0,1,MAX(0,IF(Inputs!$B$39="pvp",15,Inputs!$B$44)-MAX(5,B1186))/(IF(Inputs!$B$39="pvp",15,Inputs!$B$44)-(B1186))))*IF(AND(ArtifactsInput!$M$42,((Inputs!$B$9+((C1167=TRUE)*(F1167-Calc!F26))+B1175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1147*(MIN((Inputs!$B$9+((C1167=TRUE)*(F1167-Calc!F26))+B1175+(ArtifactsInput!$M$24-ArtifactsInput!$M$24)*CHOOSE(ArtifactsInput!$N$24+1,10,12,14,16,18,20)+(IF(AND(Inputs!$B$39&lt;&gt;"pvp",Inputs!$B$44=0),1,IF(IF(Inputs!$B$39="pvp",15,Inputs!$B$44)-(B1186)&lt;=0,1,MAX(0,IF(Inputs!$B$39="pvp",15,Inputs!$B$44)-MAX(5,B1186))/(IF(Inputs!$B$39="pvp",15,Inputs!$B$44)-(B1186))))*IF(AND(ArtifactsInput!$M$42,((Inputs!$B$9+((C1167=TRUE)*(F1167-Calc!F26))+B1175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147">
        <f>(1-Summary!$B$11)*T1147+Summary!$B$11*V1147</f>
        <v/>
      </c>
      <c r="P1147">
        <f>IF(B1187=0,0,O1147/B1187)</f>
        <v/>
      </c>
      <c r="Q1147">
        <f>IFERROR(1/IF(Inputs!$B$39="pvp",15,MAX(0.1,Skills!D6-IF(TRUE=TRUE,Inputs!$B$32,0))),0)</f>
        <v/>
      </c>
      <c r="R1147">
        <f>IF(AND(Inputs!$B$39&lt;&gt;"pvp",Inputs!$B$44&gt;0),IF(MAX(0,Inputs!$B$44-B1186)&lt;=0,0,(INT(MAX(0,Inputs!$B$44-B1186)/IF(Inputs!$B$39="pvp",15,MAX(0.1,Skills!D6-IF(TRUE=TRUE,Inputs!$B$32,0))))+1)),0)</f>
        <v/>
      </c>
      <c r="S1147">
        <f>IFERROR(O1147/N1147,0)</f>
        <v/>
      </c>
      <c r="T1147">
        <f>IF(C1147,(H1147*N1147*IF(AND(Inputs!$B$39&lt;&gt;"pvp",Inputs!$B$44&gt;0),((Skills!G6*((R1147-1)*IF(Skills!H6&gt;0,Skills!I6/Skills!H6,1)+IF(Skills!H6&gt;0,MIN(Skills!I6,MAX(0,MAX(0,Inputs!$B$44-B1186)-((R1147-1)*IF(Inputs!$B$39="pvp",15,MAX(0.1,Skills!D6-IF(TRUE=TRUE,Inputs!$B$32,0))))))/Skills!H6,1)))/Inputs!$B$44),G1147*Q1147))*IF(Inputs!$B$39="pvp",1,1+(Inputs!$B$20+0+Skills!P6+B1176+(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Hunt"),CHOOSE(ArtifactsInput!$N$35+1,15,18,21,24,27,30)*(1-EXP(-(0.2*B1179)*5)),0)+IF(AND(ArtifactsInput!$M$22,Inputs!$B$4&lt;&gt;"Chapter Hunt"),CHOOSE(ArtifactsInput!$N$22+1,10,12,14,16,18,20)*((0*(((0.15*B1179*5))^0/1)+1*(((0.15*B1179*5))^1/1)+2*(((0.15*B1179*5))^2/2)+3*(((0.15*B1179*5))^3/6)+4*(((0.15*B1179*5))^4/24)+5*(((0.15*B1179*5))^5/120))/((((0.15*B1179*5))^0/1)+(((0.15*B1179*5))^1/1)+(((0.15*B1179*5))^2/2)+(((0.15*B1179*5))^3/6)+(((0.15*B1179*5))^4/24)+(((0.15*B1179*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1147*(1-MIN(100,(Inputs!$B$9+((C1167=TRUE)*(F1167-Calc!F26))+B1175+(ArtifactsInput!$M$24-ArtifactsInput!$M$24)*CHOOSE(ArtifactsInput!$N$24+1,10,12,14,16,18,20)+(IF(AND(Inputs!$B$39&lt;&gt;"pvp",Inputs!$B$44=0),1,IF(IF(Inputs!$B$39="pvp",15,Inputs!$B$44)-(B1186)&lt;=0,1,MAX(0,IF(Inputs!$B$39="pvp",15,Inputs!$B$44)-MAX(5,B1186))/(IF(Inputs!$B$39="pvp",15,Inputs!$B$44)-(B1186))))*IF(AND(ArtifactsInput!$M$42,((Inputs!$B$9+((C1167=TRUE)*(F1167-Calc!F26))+B1175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1147*(MIN(100,(Inputs!$B$9+((C1167=TRUE)*(F1167-Calc!F26))+B1175+(ArtifactsInput!$M$24-ArtifactsInput!$M$24)*CHOOSE(ArtifactsInput!$N$24+1,10,12,14,16,18,20)+(IF(AND(Inputs!$B$39&lt;&gt;"pvp",Inputs!$B$44=0),1,IF(IF(Inputs!$B$39="pvp",15,Inputs!$B$44)-(B1186)&lt;=0,1,MAX(0,IF(Inputs!$B$39="pvp",15,Inputs!$B$44)-MAX(5,B1186))/(IF(Inputs!$B$39="pvp",15,Inputs!$B$44)-(B1186))))*IF(AND(ArtifactsInput!$M$42,((Inputs!$B$9+((C1167=TRUE)*(F1167-Calc!F26))+B1175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1147*(1-MIN(100,(Inputs!$B$9+((C1167=TRUE)*(F1167-Calc!F26))+B1175+(ArtifactsInput!$M$24-ArtifactsInput!$M$24)*CHOOSE(ArtifactsInput!$N$24+1,10,12,14,16,18,20)+(IF(AND(Inputs!$B$39&lt;&gt;"pvp",Inputs!$B$44=0),1,IF(IF(Inputs!$B$39="pvp",15,Inputs!$B$44)-(B1186)&lt;=0,1,MAX(0,IF(Inputs!$B$39="pvp",15,Inputs!$B$44)-MAX(5,B1186))/(IF(Inputs!$B$39="pvp",15,Inputs!$B$44)-(B1186))))*IF(AND(ArtifactsInput!$M$42,((Inputs!$B$9+((C1167=TRUE)*(F1167-Calc!F26))+B1175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1147*(MIN(100,(Inputs!$B$9+((C1167=TRUE)*(F1167-Calc!F26))+B1175+(ArtifactsInput!$M$24-ArtifactsInput!$M$24)*CHOOSE(ArtifactsInput!$N$24+1,10,12,14,16,18,20)+(IF(AND(Inputs!$B$39&lt;&gt;"pvp",Inputs!$B$44=0),1,IF(IF(Inputs!$B$39="pvp",15,Inputs!$B$44)-(B1186)&lt;=0,1,MAX(0,IF(Inputs!$B$39="pvp",15,Inputs!$B$44)-MAX(5,B1186))/(IF(Inputs!$B$39="pvp",15,Inputs!$B$44)-(B1186))))*IF(AND(ArtifactsInput!$M$42,((Inputs!$B$9+((C1167=TRUE)*(F1167-Calc!F26))+B1175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1147">
        <f>IF(C1147,(H1147*N1147*IF(AND(Inputs!$B$39&lt;&gt;"pvp",Inputs!$B$44&gt;0),((Skills!G6*((R1147-1)*IF(Skills!H6&gt;0,Skills!I6/Skills!H6,1)+IF(Skills!H6&gt;0,MIN(Skills!I6,MAX(0,MAX(0,Inputs!$B$44-B1186)-((R1147-1)*IF(Inputs!$B$39="pvp",15,MAX(0.1,Skills!D6-IF(TRUE=TRUE,Inputs!$B$32,0))))))/Skills!H6,1)))/Inputs!$B$44),G1147*Q1147))*IF(Inputs!$B$39="pvp",1,(1+(Inputs!$B$21+Skills!Q6+B1176+(IF(ArtifactsInput!$M$33,CHOOSE(ArtifactsInput!$N$33+1,30,36,42,48,54,60),0))+(IF(AND(ArtifactsInput!$M$35,Inputs!$B$4&lt;&gt;"Chapter Hunt"),CHOOSE(ArtifactsInput!$N$35+1,15,18,21,24,27,30)*(1-EXP(-(0.2*B1179)*5)),0)+IF(AND(ArtifactsInput!$M$22,Inputs!$B$4&lt;&gt;"Chapter Hunt"),CHOOSE(ArtifactsInput!$N$22+1,10,12,14,16,18,20)*((0*(((0.15*B1179*5))^0/1)+1*(((0.15*B1179*5))^1/1)+2*(((0.15*B1179*5))^2/2)+3*(((0.15*B1179*5))^3/6)+4*(((0.15*B1179*5))^4/24)+5*(((0.15*B1179*5))^5/120))/((((0.15*B1179*5))^0/1)+(((0.15*B1179*5))^1/1)+(((0.15*B1179*5))^2/2)+(((0.15*B1179*5))^3/6)+(((0.15*B1179*5))^4/24)+(((0.15*B1179*5))^5/120))),0)))/100)*(MIN(Skills!W6,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148">
      <c r="A1148">
        <f>Skills!A7</f>
        <v/>
      </c>
      <c r="B1148">
        <f>Skills!B7</f>
        <v/>
      </c>
      <c r="C1148">
        <f>Inputs!$B$3&gt;=69</f>
        <v/>
      </c>
      <c r="D1148">
        <f>IF(Skills!C7=1,60+Inputs!$B$25+Inputs!$B$29,IF(Skills!C7=2,90+Inputs!$B$26+Inputs!$B$29,IF(Skills!C7=3,120+Inputs!$B$27+Inputs!$B$29,MAX(0,(Inputs!$B$3-100)*3)+Inputs!$B$28+Inputs!$B$29)))</f>
        <v/>
      </c>
      <c r="E1148">
        <f>INDEX(FactorTable!$B$2:$Y$301, MATCH(ROUND(MIN(300,MAX(1,D1148)),0), FactorTable!$A$2:$A$301,0), Skills!M7+1)</f>
        <v/>
      </c>
      <c r="F1148">
        <f>IF(Skills!N7=TRUE,(Skills!L7/10)*(E1148/1000),Skills!L7/10)+Skills!O7</f>
        <v/>
      </c>
      <c r="G1148">
        <f>Skills!G7*IF(Skills!H7&gt;0,IF(Inputs!$B$39="pvp",MIN(Skills!I7,15),Skills!I7)/Skills!H7,1)</f>
        <v/>
      </c>
      <c r="H1148">
        <f>1-(1-Skills!J7/100)^Skills!K7</f>
        <v/>
      </c>
      <c r="I1148" t="inlineStr">
        <is>
          <t>1</t>
        </is>
      </c>
      <c r="J1148">
        <f>(((Inputs!$B$6+1)*(1+Inputs!$B$7/100))+(((Inputs!$B$12*(1+Inputs!$B$13/100))-(Inputs!$B$12*(1+Inputs!$B$13/100)))+0.25*(Inputs!$B$14-Inputs!$B$14))*(1+Inputs!$B$7/100))*(F1148/100)</f>
        <v/>
      </c>
      <c r="K1148">
        <f>J1148*(1+((Inputs!$B$12*(1+Inputs!$B$13/100))*0.01+Inputs!$B$14*0.0025)/100)*(1+Inputs!$B$15/100)*(1+Inputs!$B$16/100)*(5000/(6000+Inputs!$B$43*(1-(100*(1-(1-Inputs!$B$19/100)*(1-CHOOSE(ArtifactsInput!$N$40+1,5,6,7,8,9,10)/100)^(ArtifactsInput!$M$40-ArtifactsInput!$M$40)))/100)))*(1+(Inputs!$B$24+((C1172=TRUE)*(F1172-Calc!F31))+((C1159=TRUE)*(F1159-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1160=TRUE,F1160,0)/100)*(1+(IF(Skills!A7="CRUEL_STAB",Inputs!$B$17+((C1169=TRUE)*(F1169-Calc!F28))+((IF(AND(Inputs!$B$39&lt;&gt;"pvp",Inputs!$B$44=0),1,IF(IF(Inputs!$B$39="pvp",15,Inputs!$B$44)-(B1186)&lt;=0,1,MAX(0,IF(Inputs!$B$39="pvp",15,Inputs!$B$44)-MAX(5,B1186))/(IF(Inputs!$B$39="pvp",15,Inputs!$B$44)-(B1186))))*(IF(AND(ArtifactsInput!$M$42,((Inputs!$B$9+((C1167=TRUE)*(F1167-Calc!F26))+B1175+(ArtifactsInput!$M$24-ArtifactsInput!$M$24)*CHOOSE(ArtifactsInput!$N$24+1,10,12,14,16,18,20)+IF(ArtifactsInput!$M$10,CHOOSE(ArtifactsInput!$N$10+1,15,18,21,24,27,30)*(IF(Inputs!$B$39="pvp",MIN(15,15)/15,IF(AND(Inputs!$B$39&lt;&gt;"pvp",Inputs!$B$44&gt;0),MIN(15,Inputs!$B$44)/(Inputs!$B$44),0))),0)))&gt;=100),MIN(100,((Inputs!$B$9+((C1167=TRUE)*(F1167-Calc!F26))+B1175+(ArtifactsInput!$M$24-ArtifactsInput!$M$24)*CHOOSE(ArtifactsInput!$N$24+1,10,12,14,16,18,20)+IF(ArtifactsInput!$M$10,CHOOSE(ArtifactsInput!$N$10+1,15,18,21,24,27,30)*(IF(Inputs!$B$39="pvp",MIN(15,15)/15,IF(AND(Inputs!$B$39&lt;&gt;"pvp",Inputs!$B$44&gt;0),MIN(15,Inputs!$B$44)/(Inputs!$B$44),0))),0)))-100),0))*CHOOSE(ArtifactsInput!$N$42+1,0.6,0.72,0.84,0.96,1.08,1.2))),Inputs!$B$18+((C1170=TRUE)*(F1170-Calc!F29))+(IF(AND(Inputs!$B$39&lt;&gt;"pvp",Inputs!$B$44=0),1,IF(IF(Inputs!$B$39="pvp",15,Inputs!$B$44)-(B1186)&lt;=0,1,MAX(0,IF(Inputs!$B$39="pvp",15,Inputs!$B$44)-MAX(5,B1186))/(IF(Inputs!$B$39="pvp",15,Inputs!$B$44)-(B1186))))*IF(AND(ArtifactsInput!$M$42,((Inputs!$B$9+((C1167=TRUE)*(F1167-Calc!F26))+B1175+(ArtifactsInput!$M$24-ArtifactsInput!$M$24)*CHOOSE(ArtifactsInput!$N$24+1,10,12,14,16,18,20)+IF(ArtifactsInput!$M$10,CHOOSE(ArtifactsInput!$N$10+1,15,18,21,24,27,30)*(IF(Inputs!$B$39="pvp",MIN(15,15)/15,IF(AND(Inputs!$B$39&lt;&gt;"pvp",Inputs!$B$44&gt;0),MIN(15,Inputs!$B$44)/(Inputs!$B$44),0))),0)))&gt;=100),CHOOSE(ArtifactsInput!$N$42+1,40,48,56,64,72,80),0))))/100)*(((1+(((C1163=TRUE)*F1163*IF(AND(Inputs!$B$39&lt;&gt;"pvp",Inputs!$B$44&gt;0),(((R1163-1)*MIN((Skills!Y22*(1+Inputs!$B$34/100)),(1/Q1163))+MIN((Skills!Y22*(1+Inputs!$B$34/100)),MAX(0,Inputs!$B$44-((R1163-1)*(1/Q1163)))))/Inputs!$B$44),IF(Inputs!$B$39="pvp",MIN((Skills!Y22*(1+Inputs!$B$34/100)),15)/15,MIN(1,(Skills!Y22*(1+Inputs!$B$34/100))/(1/Q1163)))))+((C1144=TRUE)*F1144*3)+((C1146=TRUE)*F1146*(1-EXP(-0.75*B1179*5)))+((C1165=TRUE)*(F1165-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1152=TRUE)*F1152*IF(AND(Inputs!$B$39&lt;&gt;"pvp",Inputs!$B$44&gt;0),(((R1152-1)*MIN((Skills!Y11*(1+Inputs!$B$34/100)),(1/Q1152))+MIN((Skills!Y11*(1+Inputs!$B$34/100)),MAX(0,Inputs!$B$44-((R1152-1)*(1/Q1152)))))/Inputs!$B$44),IF(Inputs!$B$39="pvp",MIN((Skills!Y11*(1+Inputs!$B$34/100)),15)/15,MIN(1,(Skills!Y11*(1+Inputs!$B$34/100))/(1/Q1152)))))/100)*(1+((C1157=TRUE)*F1157*IF(AND(Inputs!$B$39&lt;&gt;"pvp",Inputs!$B$44&gt;0),(((R1157-1)*MIN((Skills!Y16*(1+Inputs!$B$34/100)),(1/Q1157))+MIN((Skills!Y16*(1+Inputs!$B$34/100)),MAX(0,Inputs!$B$44-((R1157-1)*(1/Q1157)))))/Inputs!$B$44),IF(Inputs!$B$39="pvp",MIN((Skills!Y16*(1+Inputs!$B$34/100)),15)/15,MIN(1,(Skills!Y16*(1+Inputs!$B$34/100))/(1/Q1157)))))/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1177*I1148)</f>
        <v/>
      </c>
      <c r="L1148">
        <f>K1148*(MIN(Inputs!$B$22+((C1166=TRUE)*(F1166-Calc!F25)),(Inputs!$B$23+((C1171=TRUE)*(F1171-Calc!F30))+IF(ArtifactsInput!$M$15,CHOOSE(ArtifactsInput!$N$15+1,25,30,35,40,45,50)/100*(Inputs!$B$11-Inputs!$B$11),0)))/100+(Inputs!$B$23+((C1171=TRUE)*(F1171-Calc!F30))+IF(ArtifactsInput!$M$15,CHOOSE(ArtifactsInput!$N$15+1,25,30,35,40,45,50)/100*(Inputs!$B$11-Inputs!$B$11),0))/100)/2</f>
        <v/>
      </c>
      <c r="M1148">
        <f>L1148*(1+(Inputs!$B$10+((C1168=TRUE)*(F1168-Calc!F27))+B1182+(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1148">
        <f>L1148*(1-MIN((Inputs!$B$9+((C1167=TRUE)*(F1167-Calc!F26))+B1175+(ArtifactsInput!$M$24-ArtifactsInput!$M$24)*CHOOSE(ArtifactsInput!$N$24+1,10,12,14,16,18,20)+(IF(AND(Inputs!$B$39&lt;&gt;"pvp",Inputs!$B$44=0),1,IF(IF(Inputs!$B$39="pvp",15,Inputs!$B$44)-(B1186)&lt;=0,1,MAX(0,IF(Inputs!$B$39="pvp",15,Inputs!$B$44)-MAX(5,B1186))/(IF(Inputs!$B$39="pvp",15,Inputs!$B$44)-(B1186))))*IF(AND(ArtifactsInput!$M$42,((Inputs!$B$9+((C1167=TRUE)*(F1167-Calc!F26))+B1175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1148*(MIN((Inputs!$B$9+((C1167=TRUE)*(F1167-Calc!F26))+B1175+(ArtifactsInput!$M$24-ArtifactsInput!$M$24)*CHOOSE(ArtifactsInput!$N$24+1,10,12,14,16,18,20)+(IF(AND(Inputs!$B$39&lt;&gt;"pvp",Inputs!$B$44=0),1,IF(IF(Inputs!$B$39="pvp",15,Inputs!$B$44)-(B1186)&lt;=0,1,MAX(0,IF(Inputs!$B$39="pvp",15,Inputs!$B$44)-MAX(5,B1186))/(IF(Inputs!$B$39="pvp",15,Inputs!$B$44)-(B1186))))*IF(AND(ArtifactsInput!$M$42,((Inputs!$B$9+((C1167=TRUE)*(F1167-Calc!F26))+B1175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148">
        <f>(1-Summary!$B$11)*T1148+Summary!$B$11*V1148</f>
        <v/>
      </c>
      <c r="P1148">
        <f>IF(B1187=0,0,O1148/B1187)</f>
        <v/>
      </c>
      <c r="Q1148">
        <f>IFERROR(1/IF(Inputs!$B$39="pvp",15,MAX(0.1,Skills!D7-IF(TRUE=TRUE,Inputs!$B$32,0))),0)</f>
        <v/>
      </c>
      <c r="R1148">
        <f>IF(AND(Inputs!$B$39&lt;&gt;"pvp",Inputs!$B$44&gt;0),IF(MAX(0,Inputs!$B$44-B1186)&lt;=0,0,(INT(MAX(0,Inputs!$B$44-B1186)/IF(Inputs!$B$39="pvp",15,MAX(0.1,Skills!D7-IF(TRUE=TRUE,Inputs!$B$32,0))))+1)),0)</f>
        <v/>
      </c>
      <c r="S1148">
        <f>IFERROR(O1148/N1148,0)</f>
        <v/>
      </c>
      <c r="T1148">
        <f>IF(C1148,(H1148*N1148*IF(AND(Inputs!$B$39&lt;&gt;"pvp",Inputs!$B$44&gt;0),((Skills!G7*((R1148-1)*IF(Skills!H7&gt;0,Skills!I7/Skills!H7,1)+IF(Skills!H7&gt;0,MIN(Skills!I7,MAX(0,MAX(0,Inputs!$B$44-B1186)-((R1148-1)*IF(Inputs!$B$39="pvp",15,MAX(0.1,Skills!D7-IF(TRUE=TRUE,Inputs!$B$32,0))))))/Skills!H7,1)))/Inputs!$B$44),G1148*Q1148))*IF(Inputs!$B$39="pvp",1,1+(Inputs!$B$20+0+Skills!P7+B1176+(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Hunt"),CHOOSE(ArtifactsInput!$N$35+1,15,18,21,24,27,30)*(1-EXP(-(0.2*B1179)*5)),0)+IF(AND(ArtifactsInput!$M$22,Inputs!$B$4&lt;&gt;"Chapter Hunt"),CHOOSE(ArtifactsInput!$N$22+1,10,12,14,16,18,20)*((0*(((0.15*B1179*5))^0/1)+1*(((0.15*B1179*5))^1/1)+2*(((0.15*B1179*5))^2/2)+3*(((0.15*B1179*5))^3/6)+4*(((0.15*B1179*5))^4/24)+5*(((0.15*B1179*5))^5/120))/((((0.15*B1179*5))^0/1)+(((0.15*B1179*5))^1/1)+(((0.15*B1179*5))^2/2)+(((0.15*B1179*5))^3/6)+(((0.15*B1179*5))^4/24)+(((0.15*B1179*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1148*(1-MIN(100,(Inputs!$B$9+((C1167=TRUE)*(F1167-Calc!F26))+B1175+(ArtifactsInput!$M$24-ArtifactsInput!$M$24)*CHOOSE(ArtifactsInput!$N$24+1,10,12,14,16,18,20)+(IF(AND(Inputs!$B$39&lt;&gt;"pvp",Inputs!$B$44=0),1,IF(IF(Inputs!$B$39="pvp",15,Inputs!$B$44)-(B1186)&lt;=0,1,MAX(0,IF(Inputs!$B$39="pvp",15,Inputs!$B$44)-MAX(5,B1186))/(IF(Inputs!$B$39="pvp",15,Inputs!$B$44)-(B1186))))*IF(AND(ArtifactsInput!$M$42,((Inputs!$B$9+((C1167=TRUE)*(F1167-Calc!F26))+B1175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1148*(MIN(100,(Inputs!$B$9+((C1167=TRUE)*(F1167-Calc!F26))+B1175+(ArtifactsInput!$M$24-ArtifactsInput!$M$24)*CHOOSE(ArtifactsInput!$N$24+1,10,12,14,16,18,20)+(IF(AND(Inputs!$B$39&lt;&gt;"pvp",Inputs!$B$44=0),1,IF(IF(Inputs!$B$39="pvp",15,Inputs!$B$44)-(B1186)&lt;=0,1,MAX(0,IF(Inputs!$B$39="pvp",15,Inputs!$B$44)-MAX(5,B1186))/(IF(Inputs!$B$39="pvp",15,Inputs!$B$44)-(B1186))))*IF(AND(ArtifactsInput!$M$42,((Inputs!$B$9+((C1167=TRUE)*(F1167-Calc!F26))+B1175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1148*(1-MIN(100,(Inputs!$B$9+((C1167=TRUE)*(F1167-Calc!F26))+B1175+(ArtifactsInput!$M$24-ArtifactsInput!$M$24)*CHOOSE(ArtifactsInput!$N$24+1,10,12,14,16,18,20)+(IF(AND(Inputs!$B$39&lt;&gt;"pvp",Inputs!$B$44=0),1,IF(IF(Inputs!$B$39="pvp",15,Inputs!$B$44)-(B1186)&lt;=0,1,MAX(0,IF(Inputs!$B$39="pvp",15,Inputs!$B$44)-MAX(5,B1186))/(IF(Inputs!$B$39="pvp",15,Inputs!$B$44)-(B1186))))*IF(AND(ArtifactsInput!$M$42,((Inputs!$B$9+((C1167=TRUE)*(F1167-Calc!F26))+B1175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1148*(MIN(100,(Inputs!$B$9+((C1167=TRUE)*(F1167-Calc!F26))+B1175+(ArtifactsInput!$M$24-ArtifactsInput!$M$24)*CHOOSE(ArtifactsInput!$N$24+1,10,12,14,16,18,20)+(IF(AND(Inputs!$B$39&lt;&gt;"pvp",Inputs!$B$44=0),1,IF(IF(Inputs!$B$39="pvp",15,Inputs!$B$44)-(B1186)&lt;=0,1,MAX(0,IF(Inputs!$B$39="pvp",15,Inputs!$B$44)-MAX(5,B1186))/(IF(Inputs!$B$39="pvp",15,Inputs!$B$44)-(B1186))))*IF(AND(ArtifactsInput!$M$42,((Inputs!$B$9+((C1167=TRUE)*(F1167-Calc!F26))+B1175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1148">
        <f>IF(C1148,(H1148*N1148*IF(AND(Inputs!$B$39&lt;&gt;"pvp",Inputs!$B$44&gt;0),((Skills!G7*((R1148-1)*IF(Skills!H7&gt;0,Skills!I7/Skills!H7,1)+IF(Skills!H7&gt;0,MIN(Skills!I7,MAX(0,MAX(0,Inputs!$B$44-B1186)-((R1148-1)*IF(Inputs!$B$39="pvp",15,MAX(0.1,Skills!D7-IF(TRUE=TRUE,Inputs!$B$32,0))))))/Skills!H7,1)))/Inputs!$B$44),G1148*Q1148))*IF(Inputs!$B$39="pvp",1,(1+(Inputs!$B$21+Skills!Q7+B1176+(IF(ArtifactsInput!$M$33,CHOOSE(ArtifactsInput!$N$33+1,30,36,42,48,54,60),0))+(IF(AND(ArtifactsInput!$M$35,Inputs!$B$4&lt;&gt;"Chapter Hunt"),CHOOSE(ArtifactsInput!$N$35+1,15,18,21,24,27,30)*(1-EXP(-(0.2*B1179)*5)),0)+IF(AND(ArtifactsInput!$M$22,Inputs!$B$4&lt;&gt;"Chapter Hunt"),CHOOSE(ArtifactsInput!$N$22+1,10,12,14,16,18,20)*((0*(((0.15*B1179*5))^0/1)+1*(((0.15*B1179*5))^1/1)+2*(((0.15*B1179*5))^2/2)+3*(((0.15*B1179*5))^3/6)+4*(((0.15*B1179*5))^4/24)+5*(((0.15*B1179*5))^5/120))/((((0.15*B1179*5))^0/1)+(((0.15*B1179*5))^1/1)+(((0.15*B1179*5))^2/2)+(((0.15*B1179*5))^3/6)+(((0.15*B1179*5))^4/24)+(((0.15*B1179*5))^5/120))),0)))/100)*(MIN(Skills!W7,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149">
      <c r="A1149">
        <f>Skills!A8</f>
        <v/>
      </c>
      <c r="B1149">
        <f>Skills!B8</f>
        <v/>
      </c>
      <c r="C1149">
        <f>Inputs!$B$3&gt;=60</f>
        <v/>
      </c>
      <c r="D1149">
        <f>IF(Skills!C8=1,60+Inputs!$B$25+Inputs!$B$29,IF(Skills!C8=2,90+Inputs!$B$26+Inputs!$B$29,IF(Skills!C8=3,120+Inputs!$B$27+Inputs!$B$29,MAX(0,(Inputs!$B$3-100)*3)+Inputs!$B$28+Inputs!$B$29)))</f>
        <v/>
      </c>
      <c r="E1149">
        <f>INDEX(FactorTable!$B$2:$Y$301, MATCH(ROUND(MIN(300,MAX(1,D1149)),0), FactorTable!$A$2:$A$301,0), Skills!M8+1)</f>
        <v/>
      </c>
      <c r="F1149">
        <f>IF(Skills!N8=TRUE,(Skills!L8/10)*(E1149/1000),Skills!L8/10)+Skills!O8</f>
        <v/>
      </c>
      <c r="G1149">
        <f>Skills!G8*IF(Skills!H8&gt;0,IF(Inputs!$B$39="pvp",MIN(Skills!I8,15),Skills!I8)/Skills!H8,1)</f>
        <v/>
      </c>
      <c r="H1149">
        <f>1-(1-Skills!J8/100)^Skills!K8</f>
        <v/>
      </c>
      <c r="I1149" t="inlineStr">
        <is>
          <t>1</t>
        </is>
      </c>
      <c r="J1149" t="inlineStr"/>
      <c r="K1149" t="inlineStr"/>
      <c r="L1149" t="inlineStr"/>
      <c r="M1149" t="inlineStr"/>
      <c r="N1149" t="inlineStr"/>
      <c r="O1149">
        <f>(1-Summary!$B$11)*T1149+Summary!$B$11*V1149</f>
        <v/>
      </c>
      <c r="P1149">
        <f>IF(B1187=0,0,O1149/B1187)</f>
        <v/>
      </c>
      <c r="Q1149" t="n">
        <v>0</v>
      </c>
      <c r="R1149" t="n">
        <v>0</v>
      </c>
      <c r="S1149">
        <f>IFERROR(O1149/N1149,0)</f>
        <v/>
      </c>
      <c r="T1149" t="n">
        <v>0</v>
      </c>
      <c r="V1149" t="n">
        <v>0</v>
      </c>
    </row>
    <row r="1150">
      <c r="A1150">
        <f>Skills!A9</f>
        <v/>
      </c>
      <c r="B1150">
        <f>Skills!B9</f>
        <v/>
      </c>
      <c r="C1150">
        <f>Inputs!$B$3&gt;=72</f>
        <v/>
      </c>
      <c r="D1150">
        <f>IF(Skills!C9=1,60+Inputs!$B$25+Inputs!$B$29,IF(Skills!C9=2,90+Inputs!$B$26+Inputs!$B$29,IF(Skills!C9=3,120+Inputs!$B$27+Inputs!$B$29,MAX(0,(Inputs!$B$3-100)*3)+Inputs!$B$28+Inputs!$B$29)))</f>
        <v/>
      </c>
      <c r="E1150">
        <f>INDEX(FactorTable!$B$2:$Y$301, MATCH(ROUND(MIN(300,MAX(1,D1150)),0), FactorTable!$A$2:$A$301,0), Skills!M9+1)</f>
        <v/>
      </c>
      <c r="F1150">
        <f>IF(Skills!N9=TRUE,(Skills!L9/10)*(E1150/1000),Skills!L9/10)+Skills!O9</f>
        <v/>
      </c>
      <c r="G1150">
        <f>Skills!G9*IF(Skills!H9&gt;0,IF(Inputs!$B$39="pvp",MIN(Skills!I9,15),Skills!I9)/Skills!H9,1)</f>
        <v/>
      </c>
      <c r="H1150">
        <f>1-(1-Skills!J9/100)^Skills!K9</f>
        <v/>
      </c>
      <c r="I1150" t="inlineStr">
        <is>
          <t>1</t>
        </is>
      </c>
      <c r="J1150">
        <f>(((Inputs!$B$6+1)*(1+Inputs!$B$7/100))+(((Inputs!$B$12*(1+Inputs!$B$13/100))-(Inputs!$B$12*(1+Inputs!$B$13/100)))+0.25*(Inputs!$B$14-Inputs!$B$14))*(1+Inputs!$B$7/100))*(F1150/100)</f>
        <v/>
      </c>
      <c r="K1150">
        <f>J1150*(1+((Inputs!$B$12*(1+Inputs!$B$13/100))*0.01+Inputs!$B$14*0.0025)/100)*(1+Inputs!$B$15/100)*(1+Inputs!$B$16/100)*(5000/(6000+Inputs!$B$43*(1-(100*(1-(1-Inputs!$B$19/100)*(1-CHOOSE(ArtifactsInput!$N$40+1,5,6,7,8,9,10)/100)^(ArtifactsInput!$M$40-ArtifactsInput!$M$40)))/100)))*(1+(Inputs!$B$24+((C1172=TRUE)*(F1172-Calc!F31))+((C1159=TRUE)*(F1159-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+3.3333333333333335*IF(C1160=TRUE,F1160,0)/100)*(1+(IF(Skills!A9="CRUEL_STAB",Inputs!$B$17+((C1169=TRUE)*(F1169-Calc!F28))+((IF(AND(Inputs!$B$39&lt;&gt;"pvp",Inputs!$B$44=0),1,IF(IF(Inputs!$B$39="pvp",15,Inputs!$B$44)-(B1186)&lt;=0,1,MAX(0,IF(Inputs!$B$39="pvp",15,Inputs!$B$44)-MAX(5,B1186))/(IF(Inputs!$B$39="pvp",15,Inputs!$B$44)-(B1186))))*(IF(AND(ArtifactsInput!$M$42,((Inputs!$B$9+((C1167=TRUE)*(F1167-Calc!F26))+B1175+(ArtifactsInput!$M$24-ArtifactsInput!$M$24)*CHOOSE(ArtifactsInput!$N$24+1,10,12,14,16,18,20)+IF(ArtifactsInput!$M$10,CHOOSE(ArtifactsInput!$N$10+1,15,18,21,24,27,30)*(IF(Inputs!$B$39="pvp",MIN(15,15)/15,IF(AND(Inputs!$B$39&lt;&gt;"pvp",Inputs!$B$44&gt;0),MIN(15,Inputs!$B$44)/(Inputs!$B$44),0))),0)))&gt;=100),MIN(100,((Inputs!$B$9+((C1167=TRUE)*(F1167-Calc!F26))+B1175+(ArtifactsInput!$M$24-ArtifactsInput!$M$24)*CHOOSE(ArtifactsInput!$N$24+1,10,12,14,16,18,20)+IF(ArtifactsInput!$M$10,CHOOSE(ArtifactsInput!$N$10+1,15,18,21,24,27,30)*(IF(Inputs!$B$39="pvp",MIN(15,15)/15,IF(AND(Inputs!$B$39&lt;&gt;"pvp",Inputs!$B$44&gt;0),MIN(15,Inputs!$B$44)/(Inputs!$B$44),0))),0)))-100),0))*CHOOSE(ArtifactsInput!$N$42+1,0.6,0.72,0.84,0.96,1.08,1.2))),Inputs!$B$18+((C1170=TRUE)*(F1170-Calc!F29))+(IF(AND(Inputs!$B$39&lt;&gt;"pvp",Inputs!$B$44=0),1,IF(IF(Inputs!$B$39="pvp",15,Inputs!$B$44)-(B1186)&lt;=0,1,MAX(0,IF(Inputs!$B$39="pvp",15,Inputs!$B$44)-MAX(5,B1186))/(IF(Inputs!$B$39="pvp",15,Inputs!$B$44)-(B1186))))*IF(AND(ArtifactsInput!$M$42,((Inputs!$B$9+((C1167=TRUE)*(F1167-Calc!F26))+B1175+(ArtifactsInput!$M$24-ArtifactsInput!$M$24)*CHOOSE(ArtifactsInput!$N$24+1,10,12,14,16,18,20)+IF(ArtifactsInput!$M$10,CHOOSE(ArtifactsInput!$N$10+1,15,18,21,24,27,30)*(IF(Inputs!$B$39="pvp",MIN(15,15)/15,IF(AND(Inputs!$B$39&lt;&gt;"pvp",Inputs!$B$44&gt;0),MIN(15,Inputs!$B$44)/(Inputs!$B$44),0))),0)))&gt;=100),CHOOSE(ArtifactsInput!$N$42+1,40,48,56,64,72,80),0))))/100)*(((1+(((C1163=TRUE)*F1163*IF(AND(Inputs!$B$39&lt;&gt;"pvp",Inputs!$B$44&gt;0),(((R1163-1)*MIN((Skills!Y22*(1+Inputs!$B$34/100)),(1/Q1163))+MIN((Skills!Y22*(1+Inputs!$B$34/100)),MAX(0,Inputs!$B$44-((R1163-1)*(1/Q1163)))))/Inputs!$B$44),IF(Inputs!$B$39="pvp",MIN((Skills!Y22*(1+Inputs!$B$34/100)),15)/15,MIN(1,(Skills!Y22*(1+Inputs!$B$34/100))/(1/Q1163)))))+((C1144=TRUE)*F1144*3)+((C1146=TRUE)*F1146*(1-EXP(-0.75*B1179*5)))+((C1165=TRUE)*(F1165-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1152=TRUE)*F1152*IF(AND(Inputs!$B$39&lt;&gt;"pvp",Inputs!$B$44&gt;0),(((R1152-1)*MIN((Skills!Y11*(1+Inputs!$B$34/100)),(1/Q1152))+MIN((Skills!Y11*(1+Inputs!$B$34/100)),MAX(0,Inputs!$B$44-((R1152-1)*(1/Q1152)))))/Inputs!$B$44),IF(Inputs!$B$39="pvp",MIN((Skills!Y11*(1+Inputs!$B$34/100)),15)/15,MIN(1,(Skills!Y11*(1+Inputs!$B$34/100))/(1/Q1152)))))/100)*(1+((C1157=TRUE)*F1157*IF(AND(Inputs!$B$39&lt;&gt;"pvp",Inputs!$B$44&gt;0),(((R1157-1)*MIN((Skills!Y16*(1+Inputs!$B$34/100)),(1/Q1157))+MIN((Skills!Y16*(1+Inputs!$B$34/100)),MAX(0,Inputs!$B$44-((R1157-1)*(1/Q1157)))))/Inputs!$B$44),IF(Inputs!$B$39="pvp",MIN((Skills!Y16*(1+Inputs!$B$34/100)),15)/15,MIN(1,(Skills!Y16*(1+Inputs!$B$34/100))/(1/Q1157)))))/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1177*I1150)</f>
        <v/>
      </c>
      <c r="L1150">
        <f>K1150*(MIN(Inputs!$B$22+((C1166=TRUE)*(F1166-Calc!F25)),(Inputs!$B$23+((C1171=TRUE)*(F1171-Calc!F30))+IF(ArtifactsInput!$M$15,CHOOSE(ArtifactsInput!$N$15+1,25,30,35,40,45,50)/100*(Inputs!$B$11-Inputs!$B$11),0)))/100+(Inputs!$B$23+((C1171=TRUE)*(F1171-Calc!F30))+IF(ArtifactsInput!$M$15,CHOOSE(ArtifactsInput!$N$15+1,25,30,35,40,45,50)/100*(Inputs!$B$11-Inputs!$B$11),0))/100)/2</f>
        <v/>
      </c>
      <c r="M1150">
        <f>L1150*(1+(Inputs!$B$10+((C1168=TRUE)*(F1168-Calc!F27))+B1182+(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1150">
        <f>L1150*(1-MIN((Inputs!$B$9+((C1167=TRUE)*(F1167-Calc!F26))+B1175+(ArtifactsInput!$M$24-ArtifactsInput!$M$24)*CHOOSE(ArtifactsInput!$N$24+1,10,12,14,16,18,20)+(IF(AND(Inputs!$B$39&lt;&gt;"pvp",Inputs!$B$44=0),1,IF(IF(Inputs!$B$39="pvp",15,Inputs!$B$44)-(B1186)&lt;=0,1,MAX(0,IF(Inputs!$B$39="pvp",15,Inputs!$B$44)-MAX(5,B1186))/(IF(Inputs!$B$39="pvp",15,Inputs!$B$44)-(B1186))))*IF(AND(ArtifactsInput!$M$42,((Inputs!$B$9+((C1167=TRUE)*(F1167-Calc!F26))+B1175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1150*(MIN((Inputs!$B$9+((C1167=TRUE)*(F1167-Calc!F26))+B1175+(ArtifactsInput!$M$24-ArtifactsInput!$M$24)*CHOOSE(ArtifactsInput!$N$24+1,10,12,14,16,18,20)+(IF(AND(Inputs!$B$39&lt;&gt;"pvp",Inputs!$B$44=0),1,IF(IF(Inputs!$B$39="pvp",15,Inputs!$B$44)-(B1186)&lt;=0,1,MAX(0,IF(Inputs!$B$39="pvp",15,Inputs!$B$44)-MAX(5,B1186))/(IF(Inputs!$B$39="pvp",15,Inputs!$B$44)-(B1186))))*IF(AND(ArtifactsInput!$M$42,((Inputs!$B$9+((C1167=TRUE)*(F1167-Calc!F26))+B1175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150">
        <f>(1-Summary!$B$11)*T1150+Summary!$B$11*V1150</f>
        <v/>
      </c>
      <c r="P1150">
        <f>IF(B1187=0,0,O1150/B1187)</f>
        <v/>
      </c>
      <c r="Q1150">
        <f>IFERROR(1/IF(Inputs!$B$39="pvp",15,MAX(0.1,Skills!D9-IF(FALSE=TRUE,Inputs!$B$32,0))),0)</f>
        <v/>
      </c>
      <c r="R1150">
        <f>IF(AND(Inputs!$B$39&lt;&gt;"pvp",Inputs!$B$44&gt;0),IF(MAX(0,Inputs!$B$44-B1186)&lt;=0,0,(INT(MAX(0,Inputs!$B$44-B1186)/IF(Inputs!$B$39="pvp",15,MAX(0.1,Skills!D9-IF(FALSE=TRUE,Inputs!$B$32,0))))+1)),0)</f>
        <v/>
      </c>
      <c r="S1150">
        <f>IFERROR(O1150/N1150,0)</f>
        <v/>
      </c>
      <c r="T1150">
        <f>IF(C1150,(H1150*N1150*IF(AND(Inputs!$B$39&lt;&gt;"pvp",Inputs!$B$44&gt;0),((Skills!G9*((R1150-1)*IF(Skills!H9&gt;0,Skills!I9/Skills!H9,1)+IF(Skills!H9&gt;0,MIN(Skills!I9,MAX(0,MAX(0,Inputs!$B$44-B1186)-((R1150-1)*IF(Inputs!$B$39="pvp",15,MAX(0.1,Skills!D9-IF(FALSE=TRUE,Inputs!$B$32,0))))))/Skills!H9,1)))/Inputs!$B$44),G1150*Q1150))*IF(Inputs!$B$39="pvp",1,1+(Inputs!$B$20+0+Skills!P9+B1176+(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Hunt"),CHOOSE(ArtifactsInput!$N$35+1,15,18,21,24,27,30)*(1-EXP(-(0.2*B1179)*5)),0)+IF(AND(ArtifactsInput!$M$22,Inputs!$B$4&lt;&gt;"Chapter Hunt"),CHOOSE(ArtifactsInput!$N$22+1,10,12,14,16,18,20)*((0*(((0.15*B1179*5))^0/1)+1*(((0.15*B1179*5))^1/1)+2*(((0.15*B1179*5))^2/2)+3*(((0.15*B1179*5))^3/6)+4*(((0.15*B1179*5))^4/24)+5*(((0.15*B1179*5))^5/120))/((((0.15*B1179*5))^0/1)+(((0.15*B1179*5))^1/1)+(((0.15*B1179*5))^2/2)+(((0.15*B1179*5))^3/6)+(((0.15*B1179*5))^4/24)+(((0.15*B1179*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1150*(1-MIN(100,(Inputs!$B$9+((C1167=TRUE)*(F1167-Calc!F26))+B1175+(ArtifactsInput!$M$24-ArtifactsInput!$M$24)*CHOOSE(ArtifactsInput!$N$24+1,10,12,14,16,18,20)+(IF(AND(Inputs!$B$39&lt;&gt;"pvp",Inputs!$B$44=0),1,IF(IF(Inputs!$B$39="pvp",15,Inputs!$B$44)-(B1186)&lt;=0,1,MAX(0,IF(Inputs!$B$39="pvp",15,Inputs!$B$44)-MAX(5,B1186))/(IF(Inputs!$B$39="pvp",15,Inputs!$B$44)-(B1186))))*IF(AND(ArtifactsInput!$M$42,((Inputs!$B$9+((C1167=TRUE)*(F1167-Calc!F26))+B1175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1150*(MIN(100,(Inputs!$B$9+((C1167=TRUE)*(F1167-Calc!F26))+B1175+(ArtifactsInput!$M$24-ArtifactsInput!$M$24)*CHOOSE(ArtifactsInput!$N$24+1,10,12,14,16,18,20)+(IF(AND(Inputs!$B$39&lt;&gt;"pvp",Inputs!$B$44=0),1,IF(IF(Inputs!$B$39="pvp",15,Inputs!$B$44)-(B1186)&lt;=0,1,MAX(0,IF(Inputs!$B$39="pvp",15,Inputs!$B$44)-MAX(5,B1186))/(IF(Inputs!$B$39="pvp",15,Inputs!$B$44)-(B1186))))*IF(AND(ArtifactsInput!$M$42,((Inputs!$B$9+((C1167=TRUE)*(F1167-Calc!F26))+B1175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1150*(1-MIN(100,(Inputs!$B$9+((C1167=TRUE)*(F1167-Calc!F26))+B1175+(ArtifactsInput!$M$24-ArtifactsInput!$M$24)*CHOOSE(ArtifactsInput!$N$24+1,10,12,14,16,18,20)+(IF(AND(Inputs!$B$39&lt;&gt;"pvp",Inputs!$B$44=0),1,IF(IF(Inputs!$B$39="pvp",15,Inputs!$B$44)-(B1186)&lt;=0,1,MAX(0,IF(Inputs!$B$39="pvp",15,Inputs!$B$44)-MAX(5,B1186))/(IF(Inputs!$B$39="pvp",15,Inputs!$B$44)-(B1186))))*IF(AND(ArtifactsInput!$M$42,((Inputs!$B$9+((C1167=TRUE)*(F1167-Calc!F26))+B1175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1150*(MIN(100,(Inputs!$B$9+((C1167=TRUE)*(F1167-Calc!F26))+B1175+(ArtifactsInput!$M$24-ArtifactsInput!$M$24)*CHOOSE(ArtifactsInput!$N$24+1,10,12,14,16,18,20)+(IF(AND(Inputs!$B$39&lt;&gt;"pvp",Inputs!$B$44=0),1,IF(IF(Inputs!$B$39="pvp",15,Inputs!$B$44)-(B1186)&lt;=0,1,MAX(0,IF(Inputs!$B$39="pvp",15,Inputs!$B$44)-MAX(5,B1186))/(IF(Inputs!$B$39="pvp",15,Inputs!$B$44)-(B1186))))*IF(AND(ArtifactsInput!$M$42,((Inputs!$B$9+((C1167=TRUE)*(F1167-Calc!F26))+B1175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1150">
        <f>IF(C1150,(H1150*N1150*IF(AND(Inputs!$B$39&lt;&gt;"pvp",Inputs!$B$44&gt;0),((Skills!G9*((R1150-1)*IF(Skills!H9&gt;0,Skills!I9/Skills!H9,1)+IF(Skills!H9&gt;0,MIN(Skills!I9,MAX(0,MAX(0,Inputs!$B$44-B1186)-((R1150-1)*IF(Inputs!$B$39="pvp",15,MAX(0.1,Skills!D9-IF(FALSE=TRUE,Inputs!$B$32,0))))))/Skills!H9,1)))/Inputs!$B$44),G1150*Q1150))*IF(Inputs!$B$39="pvp",1,(1+(Inputs!$B$21+Skills!Q9+B1176+(IF(ArtifactsInput!$M$33,CHOOSE(ArtifactsInput!$N$33+1,30,36,42,48,54,60),0))+(IF(AND(ArtifactsInput!$M$35,Inputs!$B$4&lt;&gt;"Chapter Hunt"),CHOOSE(ArtifactsInput!$N$35+1,15,18,21,24,27,30)*(1-EXP(-(0.2*B1179)*5)),0)+IF(AND(ArtifactsInput!$M$22,Inputs!$B$4&lt;&gt;"Chapter Hunt"),CHOOSE(ArtifactsInput!$N$22+1,10,12,14,16,18,20)*((0*(((0.15*B1179*5))^0/1)+1*(((0.15*B1179*5))^1/1)+2*(((0.15*B1179*5))^2/2)+3*(((0.15*B1179*5))^3/6)+4*(((0.15*B1179*5))^4/24)+5*(((0.15*B1179*5))^5/120))/((((0.15*B1179*5))^0/1)+(((0.15*B1179*5))^1/1)+(((0.15*B1179*5))^2/2)+(((0.15*B1179*5))^3/6)+(((0.15*B1179*5))^4/24)+(((0.15*B1179*5))^5/120))),0)))/100)*(MIN(Skills!W9,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151">
      <c r="A1151">
        <f>Skills!A10</f>
        <v/>
      </c>
      <c r="B1151">
        <f>Skills!B10</f>
        <v/>
      </c>
      <c r="C1151">
        <f>Inputs!$B$3&gt;=117</f>
        <v/>
      </c>
      <c r="D1151">
        <f>IF(Skills!C10=1,60+Inputs!$B$25+Inputs!$B$29,IF(Skills!C10=2,90+Inputs!$B$26+Inputs!$B$29,IF(Skills!C10=3,120+Inputs!$B$27+Inputs!$B$29,MAX(0,(Inputs!$B$3-100)*3)+Inputs!$B$28+Inputs!$B$29)))</f>
        <v/>
      </c>
      <c r="E1151">
        <f>INDEX(FactorTable!$B$2:$Y$301, MATCH(ROUND(MIN(300,MAX(1,D1151)),0), FactorTable!$A$2:$A$301,0), Skills!M10+1)</f>
        <v/>
      </c>
      <c r="F1151">
        <f>IF(Skills!N10=TRUE,(Skills!L10/10)*(E1151/1000),Skills!L10/10)+Skills!O10</f>
        <v/>
      </c>
      <c r="G1151">
        <f>Skills!G10*IF(Skills!H10&gt;0,IF(Inputs!$B$39="pvp",MIN(Skills!I10,15),Skills!I10)/Skills!H10,1)</f>
        <v/>
      </c>
      <c r="H1151">
        <f>1-(1-Skills!J10/100)^Skills!K10</f>
        <v/>
      </c>
      <c r="I1151" t="inlineStr">
        <is>
          <t>1</t>
        </is>
      </c>
      <c r="J1151">
        <f>(((Inputs!$B$6+1)*(1+Inputs!$B$7/100))+(((Inputs!$B$12*(1+Inputs!$B$13/100))-(Inputs!$B$12*(1+Inputs!$B$13/100)))+0.25*(Inputs!$B$14-Inputs!$B$14))*(1+Inputs!$B$7/100))*(F1151/100)</f>
        <v/>
      </c>
      <c r="K1151">
        <f>J1151*(1+((Inputs!$B$12*(1+Inputs!$B$13/100))*0.01+Inputs!$B$14*0.0025)/100)*(1+Inputs!$B$15/100)*(1+Inputs!$B$16/100)*(5000/(6000+Inputs!$B$43*(1-(100*(1-(1-Inputs!$B$19/100)*(1-CHOOSE(ArtifactsInput!$N$40+1,5,6,7,8,9,10)/100)^(ArtifactsInput!$M$40-ArtifactsInput!$M$40)))/100)))*(1+(Inputs!$B$24+((C1172=TRUE)*(F1172-Calc!F31))+((C1159=TRUE)*(F1159-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10="CRUEL_STAB",Inputs!$B$17+((C1169=TRUE)*(F1169-Calc!F28))+((IF(AND(Inputs!$B$39&lt;&gt;"pvp",Inputs!$B$44=0),1,IF(IF(Inputs!$B$39="pvp",15,Inputs!$B$44)-(B1186)&lt;=0,1,MAX(0,IF(Inputs!$B$39="pvp",15,Inputs!$B$44)-MAX(5,B1186))/(IF(Inputs!$B$39="pvp",15,Inputs!$B$44)-(B1186))))*(IF(AND(ArtifactsInput!$M$42,((Inputs!$B$9+((C1167=TRUE)*(F1167-Calc!F26))+B1175+(ArtifactsInput!$M$24-ArtifactsInput!$M$24)*CHOOSE(ArtifactsInput!$N$24+1,10,12,14,16,18,20)+IF(ArtifactsInput!$M$10,CHOOSE(ArtifactsInput!$N$10+1,15,18,21,24,27,30)*(IF(Inputs!$B$39="pvp",MIN(15,15)/15,IF(AND(Inputs!$B$39&lt;&gt;"pvp",Inputs!$B$44&gt;0),MIN(15,Inputs!$B$44)/(Inputs!$B$44),0))),0)))&gt;=100),MIN(100,((Inputs!$B$9+((C1167=TRUE)*(F1167-Calc!F26))+B1175+(ArtifactsInput!$M$24-ArtifactsInput!$M$24)*CHOOSE(ArtifactsInput!$N$24+1,10,12,14,16,18,20)+IF(ArtifactsInput!$M$10,CHOOSE(ArtifactsInput!$N$10+1,15,18,21,24,27,30)*(IF(Inputs!$B$39="pvp",MIN(15,15)/15,IF(AND(Inputs!$B$39&lt;&gt;"pvp",Inputs!$B$44&gt;0),MIN(15,Inputs!$B$44)/(Inputs!$B$44),0))),0)))-100),0))*CHOOSE(ArtifactsInput!$N$42+1,0.6,0.72,0.84,0.96,1.08,1.2))),Inputs!$B$18+((C1170=TRUE)*(F1170-Calc!F29))+(IF(AND(Inputs!$B$39&lt;&gt;"pvp",Inputs!$B$44=0),1,IF(IF(Inputs!$B$39="pvp",15,Inputs!$B$44)-(B1186)&lt;=0,1,MAX(0,IF(Inputs!$B$39="pvp",15,Inputs!$B$44)-MAX(5,B1186))/(IF(Inputs!$B$39="pvp",15,Inputs!$B$44)-(B1186))))*IF(AND(ArtifactsInput!$M$42,((Inputs!$B$9+((C1167=TRUE)*(F1167-Calc!F26))+B1175+(ArtifactsInput!$M$24-ArtifactsInput!$M$24)*CHOOSE(ArtifactsInput!$N$24+1,10,12,14,16,18,20)+IF(ArtifactsInput!$M$10,CHOOSE(ArtifactsInput!$N$10+1,15,18,21,24,27,30)*(IF(Inputs!$B$39="pvp",MIN(15,15)/15,IF(AND(Inputs!$B$39&lt;&gt;"pvp",Inputs!$B$44&gt;0),MIN(15,Inputs!$B$44)/(Inputs!$B$44),0))),0)))&gt;=100),CHOOSE(ArtifactsInput!$N$42+1,40,48,56,64,72,80),0))))/100)*(((1+(((C1163=TRUE)*F1163*IF(AND(Inputs!$B$39&lt;&gt;"pvp",Inputs!$B$44&gt;0),(((R1163-1)*MIN((Skills!Y22*(1+Inputs!$B$34/100)),(1/Q1163))+MIN((Skills!Y22*(1+Inputs!$B$34/100)),MAX(0,Inputs!$B$44-((R1163-1)*(1/Q1163)))))/Inputs!$B$44),IF(Inputs!$B$39="pvp",MIN((Skills!Y22*(1+Inputs!$B$34/100)),15)/15,MIN(1,(Skills!Y22*(1+Inputs!$B$34/100))/(1/Q1163)))))+((C1144=TRUE)*F1144*3)+((C1146=TRUE)*F1146*(1-EXP(-0.75*B1179*5)))+((C1165=TRUE)*(F1165-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1152=TRUE)*F1152*IF(AND(Inputs!$B$39&lt;&gt;"pvp",Inputs!$B$44&gt;0),(((R1152-1)*MIN((Skills!Y11*(1+Inputs!$B$34/100)),(1/Q1152))+MIN((Skills!Y11*(1+Inputs!$B$34/100)),MAX(0,Inputs!$B$44-((R1152-1)*(1/Q1152)))))/Inputs!$B$44),IF(Inputs!$B$39="pvp",MIN((Skills!Y11*(1+Inputs!$B$34/100)),15)/15,MIN(1,(Skills!Y11*(1+Inputs!$B$34/100))/(1/Q1152)))))/100)*(1+((C1157=TRUE)*F1157*IF(AND(Inputs!$B$39&lt;&gt;"pvp",Inputs!$B$44&gt;0),(((R1157-1)*MIN((Skills!Y16*(1+Inputs!$B$34/100)),(1/Q1157))+MIN((Skills!Y16*(1+Inputs!$B$34/100)),MAX(0,Inputs!$B$44-((R1157-1)*(1/Q1157)))))/Inputs!$B$44),IF(Inputs!$B$39="pvp",MIN((Skills!Y16*(1+Inputs!$B$34/100)),15)/15,MIN(1,(Skills!Y16*(1+Inputs!$B$34/100))/(1/Q1157)))))/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1177*I1151)</f>
        <v/>
      </c>
      <c r="L1151">
        <f>K1151*(MIN(Inputs!$B$22+((C1166=TRUE)*(F1166-Calc!F25)),(Inputs!$B$23+((C1171=TRUE)*(F1171-Calc!F30))+IF(ArtifactsInput!$M$15,CHOOSE(ArtifactsInput!$N$15+1,25,30,35,40,45,50)/100*(Inputs!$B$11-Inputs!$B$11),0)))/100+(Inputs!$B$23+((C1171=TRUE)*(F1171-Calc!F30))+IF(ArtifactsInput!$M$15,CHOOSE(ArtifactsInput!$N$15+1,25,30,35,40,45,50)/100*(Inputs!$B$11-Inputs!$B$11),0))/100)/2</f>
        <v/>
      </c>
      <c r="M1151">
        <f>L1151*(1+(Inputs!$B$10+((C1168=TRUE)*(F1168-Calc!F27))+B1182+(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1151">
        <f>L1151*(1-MIN((Inputs!$B$9+((C1167=TRUE)*(F1167-Calc!F26))+B1175+(ArtifactsInput!$M$24-ArtifactsInput!$M$24)*CHOOSE(ArtifactsInput!$N$24+1,10,12,14,16,18,20)+(IF(AND(Inputs!$B$39&lt;&gt;"pvp",Inputs!$B$44=0),1,IF(IF(Inputs!$B$39="pvp",15,Inputs!$B$44)-(B1186)&lt;=0,1,MAX(0,IF(Inputs!$B$39="pvp",15,Inputs!$B$44)-MAX(5,B1186))/(IF(Inputs!$B$39="pvp",15,Inputs!$B$44)-(B1186))))*IF(AND(ArtifactsInput!$M$42,((Inputs!$B$9+((C1167=TRUE)*(F1167-Calc!F26))+B1175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1151*(MIN((Inputs!$B$9+((C1167=TRUE)*(F1167-Calc!F26))+B1175+(ArtifactsInput!$M$24-ArtifactsInput!$M$24)*CHOOSE(ArtifactsInput!$N$24+1,10,12,14,16,18,20)+(IF(AND(Inputs!$B$39&lt;&gt;"pvp",Inputs!$B$44=0),1,IF(IF(Inputs!$B$39="pvp",15,Inputs!$B$44)-(B1186)&lt;=0,1,MAX(0,IF(Inputs!$B$39="pvp",15,Inputs!$B$44)-MAX(5,B1186))/(IF(Inputs!$B$39="pvp",15,Inputs!$B$44)-(B1186))))*IF(AND(ArtifactsInput!$M$42,((Inputs!$B$9+((C1167=TRUE)*(F1167-Calc!F26))+B1175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151">
        <f>(1-Summary!$B$11)*T1151+Summary!$B$11*V1151</f>
        <v/>
      </c>
      <c r="P1151">
        <f>IF(B1187=0,0,O1151/B1187)</f>
        <v/>
      </c>
      <c r="Q1151" t="n">
        <v>0</v>
      </c>
      <c r="R1151" t="n">
        <v>0</v>
      </c>
      <c r="S1151" t="n">
        <v>0</v>
      </c>
      <c r="T1151">
        <f>IF(C1151,(0.2*SUMPRODUCT((Skills!Z2:Z31=TRUE)*(C1143:C1172=TRUE)*S1143:S1172)*N1151)*IF(Inputs!$B$39="pvp",1,1+(Inputs!$B$20+0+Skills!P10+B1176+(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Hunt"),CHOOSE(ArtifactsInput!$N$35+1,15,18,21,24,27,30)*(1-EXP(-(0.2*B1179)*5)),0)+IF(AND(ArtifactsInput!$M$22,Inputs!$B$4&lt;&gt;"Chapter Hunt"),CHOOSE(ArtifactsInput!$N$22+1,10,12,14,16,18,20)*((0*(((0.15*B1179*5))^0/1)+1*(((0.15*B1179*5))^1/1)+2*(((0.15*B1179*5))^2/2)+3*(((0.15*B1179*5))^3/6)+4*(((0.15*B1179*5))^4/24)+5*(((0.15*B1179*5))^5/120))/((((0.15*B1179*5))^0/1)+(((0.15*B1179*5))^1/1)+(((0.15*B1179*5))^2/2)+(((0.15*B1179*5))^3/6)+(((0.15*B1179*5))^4/24)+(((0.15*B1179*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1151*(1-MIN(100,(Inputs!$B$9+((C1167=TRUE)*(F1167-Calc!F26))+B1175+(ArtifactsInput!$M$24-ArtifactsInput!$M$24)*CHOOSE(ArtifactsInput!$N$24+1,10,12,14,16,18,20)+(IF(AND(Inputs!$B$39&lt;&gt;"pvp",Inputs!$B$44=0),1,IF(IF(Inputs!$B$39="pvp",15,Inputs!$B$44)-(B1186)&lt;=0,1,MAX(0,IF(Inputs!$B$39="pvp",15,Inputs!$B$44)-MAX(5,B1186))/(IF(Inputs!$B$39="pvp",15,Inputs!$B$44)-(B1186))))*IF(AND(ArtifactsInput!$M$42,((Inputs!$B$9+((C1167=TRUE)*(F1167-Calc!F26))+B1175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1151*(MIN(100,(Inputs!$B$9+((C1167=TRUE)*(F1167-Calc!F26))+B1175+(ArtifactsInput!$M$24-ArtifactsInput!$M$24)*CHOOSE(ArtifactsInput!$N$24+1,10,12,14,16,18,20)+(IF(AND(Inputs!$B$39&lt;&gt;"pvp",Inputs!$B$44=0),1,IF(IF(Inputs!$B$39="pvp",15,Inputs!$B$44)-(B1186)&lt;=0,1,MAX(0,IF(Inputs!$B$39="pvp",15,Inputs!$B$44)-MAX(5,B1186))/(IF(Inputs!$B$39="pvp",15,Inputs!$B$44)-(B1186))))*IF(AND(ArtifactsInput!$M$42,((Inputs!$B$9+((C1167=TRUE)*(F1167-Calc!F26))+B1175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1151*(1-MIN(100,(Inputs!$B$9+((C1167=TRUE)*(F1167-Calc!F26))+B1175+(ArtifactsInput!$M$24-ArtifactsInput!$M$24)*CHOOSE(ArtifactsInput!$N$24+1,10,12,14,16,18,20)+(IF(AND(Inputs!$B$39&lt;&gt;"pvp",Inputs!$B$44=0),1,IF(IF(Inputs!$B$39="pvp",15,Inputs!$B$44)-(B1186)&lt;=0,1,MAX(0,IF(Inputs!$B$39="pvp",15,Inputs!$B$44)-MAX(5,B1186))/(IF(Inputs!$B$39="pvp",15,Inputs!$B$44)-(B1186))))*IF(AND(ArtifactsInput!$M$42,((Inputs!$B$9+((C1167=TRUE)*(F1167-Calc!F26))+B1175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1151*(MIN(100,(Inputs!$B$9+((C1167=TRUE)*(F1167-Calc!F26))+B1175+(ArtifactsInput!$M$24-ArtifactsInput!$M$24)*CHOOSE(ArtifactsInput!$N$24+1,10,12,14,16,18,20)+(IF(AND(Inputs!$B$39&lt;&gt;"pvp",Inputs!$B$44=0),1,IF(IF(Inputs!$B$39="pvp",15,Inputs!$B$44)-(B1186)&lt;=0,1,MAX(0,IF(Inputs!$B$39="pvp",15,Inputs!$B$44)-MAX(5,B1186))/(IF(Inputs!$B$39="pvp",15,Inputs!$B$44)-(B1186))))*IF(AND(ArtifactsInput!$M$42,((Inputs!$B$9+((C1167=TRUE)*(F1167-Calc!F26))+B1175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1151">
        <f>IF(C1151,(0.2*SUMPRODUCT((Skills!Z2:Z31=TRUE)*(C1143:C1172=TRUE)*S1143:S1172)*N1151)*IF(Inputs!$B$39="pvp",1,(1+(Inputs!$B$21+Skills!Q10+B1176+(IF(ArtifactsInput!$M$33,CHOOSE(ArtifactsInput!$N$33+1,30,36,42,48,54,60),0))+(IF(AND(ArtifactsInput!$M$35,Inputs!$B$4&lt;&gt;"Chapter Hunt"),CHOOSE(ArtifactsInput!$N$35+1,15,18,21,24,27,30)*(1-EXP(-(0.2*B1179)*5)),0)+IF(AND(ArtifactsInput!$M$22,Inputs!$B$4&lt;&gt;"Chapter Hunt"),CHOOSE(ArtifactsInput!$N$22+1,10,12,14,16,18,20)*((0*(((0.15*B1179*5))^0/1)+1*(((0.15*B1179*5))^1/1)+2*(((0.15*B1179*5))^2/2)+3*(((0.15*B1179*5))^3/6)+4*(((0.15*B1179*5))^4/24)+5*(((0.15*B1179*5))^5/120))/((((0.15*B1179*5))^0/1)+(((0.15*B1179*5))^1/1)+(((0.15*B1179*5))^2/2)+(((0.15*B1179*5))^3/6)+(((0.15*B1179*5))^4/24)+(((0.15*B1179*5))^5/120))),0)))/100)*(MIN(Skills!W10,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152">
      <c r="A1152">
        <f>Skills!A11</f>
        <v/>
      </c>
      <c r="B1152">
        <f>Skills!B11</f>
        <v/>
      </c>
      <c r="C1152">
        <f>Inputs!$B$3&gt;=74</f>
        <v/>
      </c>
      <c r="D1152">
        <f>IF(Skills!C11=1,60+Inputs!$B$25+Inputs!$B$29,IF(Skills!C11=2,90+Inputs!$B$26+Inputs!$B$29,IF(Skills!C11=3,120+Inputs!$B$27+Inputs!$B$29,MAX(0,(Inputs!$B$3-100)*3)+Inputs!$B$28+Inputs!$B$29)))</f>
        <v/>
      </c>
      <c r="E1152">
        <f>INDEX(FactorTable!$B$2:$Y$301, MATCH(ROUND(MIN(300,MAX(1,D1152)),0), FactorTable!$A$2:$A$301,0), Skills!M11+1)</f>
        <v/>
      </c>
      <c r="F1152">
        <f>IF(Skills!N11=TRUE,(Skills!L11/10)*(E1152/1000),Skills!L11/10)+Skills!O11</f>
        <v/>
      </c>
      <c r="G1152">
        <f>Skills!G11*IF(Skills!H11&gt;0,IF(Inputs!$B$39="pvp",MIN(Skills!I11,15),Skills!I11)/Skills!H11,1)</f>
        <v/>
      </c>
      <c r="H1152">
        <f>1-(1-Skills!J11/100)^Skills!K11</f>
        <v/>
      </c>
      <c r="I1152" t="inlineStr">
        <is>
          <t>1</t>
        </is>
      </c>
      <c r="J1152" t="inlineStr"/>
      <c r="K1152" t="inlineStr"/>
      <c r="L1152" t="inlineStr"/>
      <c r="M1152" t="inlineStr"/>
      <c r="N1152" t="inlineStr"/>
      <c r="O1152">
        <f>(1-Summary!$B$11)*T1152+Summary!$B$11*V1152</f>
        <v/>
      </c>
      <c r="P1152">
        <f>IF(B1187=0,0,O1152/B1187)</f>
        <v/>
      </c>
      <c r="Q1152">
        <f>IFERROR(1/IF(Inputs!$B$39="pvp",15,MAX(0.1,Skills!D11-IF(TRUE=TRUE,Inputs!$B$32,0))),0)</f>
        <v/>
      </c>
      <c r="R1152">
        <f>IF(AND(Inputs!$B$39&lt;&gt;"pvp",Inputs!$B$44&gt;0),IF(Inputs!$B$44&lt;=0,0,(INT(Inputs!$B$44/IF(Inputs!$B$39="pvp",15,MAX(0.1,Skills!D11-IF(TRUE=TRUE,Inputs!$B$32,0))))+1)),0)</f>
        <v/>
      </c>
      <c r="S1152">
        <f>IFERROR(O1152/N1152,0)</f>
        <v/>
      </c>
      <c r="T1152" t="n">
        <v>0</v>
      </c>
      <c r="V1152" t="n">
        <v>0</v>
      </c>
    </row>
    <row r="1153">
      <c r="A1153">
        <f>Skills!A12</f>
        <v/>
      </c>
      <c r="B1153">
        <f>Skills!B12</f>
        <v/>
      </c>
      <c r="C1153">
        <f>Inputs!$B$3&gt;=103</f>
        <v/>
      </c>
      <c r="D1153">
        <f>IF(Skills!C12=1,60+Inputs!$B$25+Inputs!$B$29,IF(Skills!C12=2,90+Inputs!$B$26+Inputs!$B$29,IF(Skills!C12=3,120+Inputs!$B$27+Inputs!$B$29,MAX(0,(Inputs!$B$3-100)*3)+Inputs!$B$28+Inputs!$B$29)))</f>
        <v/>
      </c>
      <c r="E1153">
        <f>INDEX(FactorTable!$B$2:$Y$301, MATCH(ROUND(MIN(300,MAX(1,D1153)),0), FactorTable!$A$2:$A$301,0), Skills!M12+1)</f>
        <v/>
      </c>
      <c r="F1153">
        <f>(Skills!L12/10)*(E1153/1000)+IF(Inputs!$B$3&gt;=134,50,0)+0.5*(30000/10)*(INDEX(FactorTable!$B$2:$Y$301, MATCH(ROUND(MIN(300,MAX(1,D1153)),0), FactorTable!$A$2:$A$301,0), 13)/1000)*B1185</f>
        <v/>
      </c>
      <c r="G1153">
        <f>Skills!G12*IF(Skills!H12&gt;0,IF(Inputs!$B$39="pvp",MIN(Skills!I12,15),Skills!I12)/Skills!H12,1)</f>
        <v/>
      </c>
      <c r="H1153">
        <f>1-(1-Skills!J12/100)^Skills!K12</f>
        <v/>
      </c>
      <c r="I1153" t="inlineStr">
        <is>
          <t>1</t>
        </is>
      </c>
      <c r="J1153">
        <f>(((Inputs!$B$6+1)*(1+Inputs!$B$7/100))+(((Inputs!$B$12*(1+Inputs!$B$13/100))-(Inputs!$B$12*(1+Inputs!$B$13/100)))+0.25*(Inputs!$B$14-Inputs!$B$14))*(1+Inputs!$B$7/100))*(F1153/100)</f>
        <v/>
      </c>
      <c r="K1153">
        <f>J1153*(1+((Inputs!$B$12*(1+Inputs!$B$13/100))*0.01+Inputs!$B$14*0.0025)/100)*(1+Inputs!$B$15/100)*(1+Inputs!$B$16/100)*(5000/(6000+Inputs!$B$43*(1-(100*(1-(1-Inputs!$B$19/100)*(1-CHOOSE(ArtifactsInput!$N$40+1,5,6,7,8,9,10)/100)^(ArtifactsInput!$M$40-ArtifactsInput!$M$40)))/100)))*(1+(Inputs!$B$24+((C1172=TRUE)*(F1172-Calc!F31))+((C1159=TRUE)*(F1159-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12="CRUEL_STAB",Inputs!$B$17+((C1169=TRUE)*(F1169-Calc!F28))+((IF(AND(Inputs!$B$39&lt;&gt;"pvp",Inputs!$B$44=0),1,IF(IF(Inputs!$B$39="pvp",15,Inputs!$B$44)-(B1186)&lt;=0,1,MAX(0,IF(Inputs!$B$39="pvp",15,Inputs!$B$44)-MAX(5,B1186))/(IF(Inputs!$B$39="pvp",15,Inputs!$B$44)-(B1186))))*(IF(AND(ArtifactsInput!$M$42,((Inputs!$B$9+((C1167=TRUE)*(F1167-Calc!F26))+B1175+(ArtifactsInput!$M$24-ArtifactsInput!$M$24)*CHOOSE(ArtifactsInput!$N$24+1,10,12,14,16,18,20)+IF(ArtifactsInput!$M$10,CHOOSE(ArtifactsInput!$N$10+1,15,18,21,24,27,30)*(IF(Inputs!$B$39="pvp",MIN(15,15)/15,IF(AND(Inputs!$B$39&lt;&gt;"pvp",Inputs!$B$44&gt;0),MIN(15,Inputs!$B$44)/(Inputs!$B$44),0))),0)))&gt;=100),MIN(100,((Inputs!$B$9+((C1167=TRUE)*(F1167-Calc!F26))+B1175+(ArtifactsInput!$M$24-ArtifactsInput!$M$24)*CHOOSE(ArtifactsInput!$N$24+1,10,12,14,16,18,20)+IF(ArtifactsInput!$M$10,CHOOSE(ArtifactsInput!$N$10+1,15,18,21,24,27,30)*(IF(Inputs!$B$39="pvp",MIN(15,15)/15,IF(AND(Inputs!$B$39&lt;&gt;"pvp",Inputs!$B$44&gt;0),MIN(15,Inputs!$B$44)/(Inputs!$B$44),0))),0)))-100),0))*CHOOSE(ArtifactsInput!$N$42+1,0.6,0.72,0.84,0.96,1.08,1.2))),Inputs!$B$18+((C1170=TRUE)*(F1170-Calc!F29))+(IF(AND(Inputs!$B$39&lt;&gt;"pvp",Inputs!$B$44=0),1,IF(IF(Inputs!$B$39="pvp",15,Inputs!$B$44)-(B1186)&lt;=0,1,MAX(0,IF(Inputs!$B$39="pvp",15,Inputs!$B$44)-MAX(5,B1186))/(IF(Inputs!$B$39="pvp",15,Inputs!$B$44)-(B1186))))*IF(AND(ArtifactsInput!$M$42,((Inputs!$B$9+((C1167=TRUE)*(F1167-Calc!F26))+B1175+(ArtifactsInput!$M$24-ArtifactsInput!$M$24)*CHOOSE(ArtifactsInput!$N$24+1,10,12,14,16,18,20)+IF(ArtifactsInput!$M$10,CHOOSE(ArtifactsInput!$N$10+1,15,18,21,24,27,30)*(IF(Inputs!$B$39="pvp",MIN(15,15)/15,IF(AND(Inputs!$B$39&lt;&gt;"pvp",Inputs!$B$44&gt;0),MIN(15,Inputs!$B$44)/(Inputs!$B$44),0))),0)))&gt;=100),CHOOSE(ArtifactsInput!$N$42+1,40,48,56,64,72,80),0))))/100)*(((1+(((C1163=TRUE)*F1163*IF(AND(Inputs!$B$39&lt;&gt;"pvp",Inputs!$B$44&gt;0),(((R1163-1)*MIN((Skills!Y22*(1+Inputs!$B$34/100)),(1/Q1163))+MIN((Skills!Y22*(1+Inputs!$B$34/100)),MAX(0,Inputs!$B$44-((R1163-1)*(1/Q1163)))))/Inputs!$B$44),IF(Inputs!$B$39="pvp",MIN((Skills!Y22*(1+Inputs!$B$34/100)),15)/15,MIN(1,(Skills!Y22*(1+Inputs!$B$34/100))/(1/Q1163)))))+((C1144=TRUE)*F1144*3)+((C1146=TRUE)*F1146*(1-EXP(-0.75*B1179*5)))+((C1165=TRUE)*(F1165-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1152=TRUE)*F1152*IF(AND(Inputs!$B$39&lt;&gt;"pvp",Inputs!$B$44&gt;0),(((R1152-1)*MIN((Skills!Y11*(1+Inputs!$B$34/100)),(1/Q1152))+MIN((Skills!Y11*(1+Inputs!$B$34/100)),MAX(0,Inputs!$B$44-((R1152-1)*(1/Q1152)))))/Inputs!$B$44),IF(Inputs!$B$39="pvp",MIN((Skills!Y11*(1+Inputs!$B$34/100)),15)/15,MIN(1,(Skills!Y11*(1+Inputs!$B$34/100))/(1/Q1152)))))/100)*(1+((C1157=TRUE)*F1157*IF(AND(Inputs!$B$39&lt;&gt;"pvp",Inputs!$B$44&gt;0),(((R1157-1)*MIN((Skills!Y16*(1+Inputs!$B$34/100)),(1/Q1157))+MIN((Skills!Y16*(1+Inputs!$B$34/100)),MAX(0,Inputs!$B$44-((R1157-1)*(1/Q1157)))))/Inputs!$B$44),IF(Inputs!$B$39="pvp",MIN((Skills!Y16*(1+Inputs!$B$34/100)),15)/15,MIN(1,(Skills!Y16*(1+Inputs!$B$34/100))/(1/Q1157)))))/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1177*I1153)</f>
        <v/>
      </c>
      <c r="L1153">
        <f>K1153*(MIN(Inputs!$B$22+((C1166=TRUE)*(F1166-Calc!F25)),(Inputs!$B$23+((C1171=TRUE)*(F1171-Calc!F30))+IF(ArtifactsInput!$M$15,CHOOSE(ArtifactsInput!$N$15+1,25,30,35,40,45,50)/100*(Inputs!$B$11-Inputs!$B$11),0)))/100+(Inputs!$B$23+((C1171=TRUE)*(F1171-Calc!F30))+IF(ArtifactsInput!$M$15,CHOOSE(ArtifactsInput!$N$15+1,25,30,35,40,45,50)/100*(Inputs!$B$11-Inputs!$B$11),0))/100)/2</f>
        <v/>
      </c>
      <c r="M1153">
        <f>L1153*(1+(Inputs!$B$10+((C1168=TRUE)*(F1168-Calc!F27))+B1182+(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1153">
        <f>L1153*(1-MIN((Inputs!$B$9+((C1167=TRUE)*(F1167-Calc!F26))+B1175+(ArtifactsInput!$M$24-ArtifactsInput!$M$24)*CHOOSE(ArtifactsInput!$N$24+1,10,12,14,16,18,20)+(IF(AND(Inputs!$B$39&lt;&gt;"pvp",Inputs!$B$44=0),1,IF(IF(Inputs!$B$39="pvp",15,Inputs!$B$44)-(B1186)&lt;=0,1,MAX(0,IF(Inputs!$B$39="pvp",15,Inputs!$B$44)-MAX(5,B1186))/(IF(Inputs!$B$39="pvp",15,Inputs!$B$44)-(B1186))))*IF(AND(ArtifactsInput!$M$42,((Inputs!$B$9+((C1167=TRUE)*(F1167-Calc!F26))+B1175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1153*(MIN((Inputs!$B$9+((C1167=TRUE)*(F1167-Calc!F26))+B1175+(ArtifactsInput!$M$24-ArtifactsInput!$M$24)*CHOOSE(ArtifactsInput!$N$24+1,10,12,14,16,18,20)+(IF(AND(Inputs!$B$39&lt;&gt;"pvp",Inputs!$B$44=0),1,IF(IF(Inputs!$B$39="pvp",15,Inputs!$B$44)-(B1186)&lt;=0,1,MAX(0,IF(Inputs!$B$39="pvp",15,Inputs!$B$44)-MAX(5,B1186))/(IF(Inputs!$B$39="pvp",15,Inputs!$B$44)-(B1186))))*IF(AND(ArtifactsInput!$M$42,((Inputs!$B$9+((C1167=TRUE)*(F1167-Calc!F26))+B1175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153">
        <f>(1-Summary!$B$11)*T1153+Summary!$B$11*V1153</f>
        <v/>
      </c>
      <c r="P1153">
        <f>IF(B1187=0,0,O1153/B1187)</f>
        <v/>
      </c>
      <c r="Q1153">
        <f>IFERROR(1/IF(Inputs!$B$39="pvp",15,MAX(0.1,Skills!D12-IF(TRUE=TRUE,Inputs!$B$32,0))),0)</f>
        <v/>
      </c>
      <c r="R1153">
        <f>IF(AND(Inputs!$B$39&lt;&gt;"pvp",Inputs!$B$44&gt;0),IF(MAX(0,Inputs!$B$44-B1186)&lt;=0,0,(INT(MAX(0,Inputs!$B$44-B1186)/IF(Inputs!$B$39="pvp",15,MAX(0.1,Skills!D12-IF(TRUE=TRUE,Inputs!$B$32,0))))+1)),0)</f>
        <v/>
      </c>
      <c r="S1153">
        <f>IFERROR(O1153/N1153,0)</f>
        <v/>
      </c>
      <c r="T1153">
        <f>IF(C1153,(H1153*N1153*IF(AND(Inputs!$B$39&lt;&gt;"pvp",Inputs!$B$44&gt;0),((Skills!G12*((R1153-1)*IF(Skills!H12&gt;0,Skills!I12/Skills!H12,1)+IF(Skills!H12&gt;0,MIN(Skills!I12,MAX(0,MAX(0,Inputs!$B$44-B1186)-((R1153-1)*IF(Inputs!$B$39="pvp",15,MAX(0.1,Skills!D12-IF(TRUE=TRUE,Inputs!$B$32,0))))))/Skills!H12,1)))/Inputs!$B$44),G1153*Q1153))*IF(Inputs!$B$39="pvp",1,1+(Inputs!$B$20+0+Skills!P12+B1176+(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Hunt"),CHOOSE(ArtifactsInput!$N$35+1,15,18,21,24,27,30)*(1-EXP(-(0.2*B1179)*5)),0)+IF(AND(ArtifactsInput!$M$22,Inputs!$B$4&lt;&gt;"Chapter Hunt"),CHOOSE(ArtifactsInput!$N$22+1,10,12,14,16,18,20)*((0*(((0.15*B1179*5))^0/1)+1*(((0.15*B1179*5))^1/1)+2*(((0.15*B1179*5))^2/2)+3*(((0.15*B1179*5))^3/6)+4*(((0.15*B1179*5))^4/24)+5*(((0.15*B1179*5))^5/120))/((((0.15*B1179*5))^0/1)+(((0.15*B1179*5))^1/1)+(((0.15*B1179*5))^2/2)+(((0.15*B1179*5))^3/6)+(((0.15*B1179*5))^4/24)+(((0.15*B1179*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1153*(1-MIN(100,(Inputs!$B$9+((C1167=TRUE)*(F1167-Calc!F26))+B1175+(ArtifactsInput!$M$24-ArtifactsInput!$M$24)*CHOOSE(ArtifactsInput!$N$24+1,10,12,14,16,18,20)+(IF(AND(Inputs!$B$39&lt;&gt;"pvp",Inputs!$B$44=0),1,IF(IF(Inputs!$B$39="pvp",15,Inputs!$B$44)-(B1186)&lt;=0,1,MAX(0,IF(Inputs!$B$39="pvp",15,Inputs!$B$44)-MAX(5,B1186))/(IF(Inputs!$B$39="pvp",15,Inputs!$B$44)-(B1186))))*IF(AND(ArtifactsInput!$M$42,((Inputs!$B$9+((C1167=TRUE)*(F1167-Calc!F26))+B1175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1153*(MIN(100,(Inputs!$B$9+((C1167=TRUE)*(F1167-Calc!F26))+B1175+(ArtifactsInput!$M$24-ArtifactsInput!$M$24)*CHOOSE(ArtifactsInput!$N$24+1,10,12,14,16,18,20)+(IF(AND(Inputs!$B$39&lt;&gt;"pvp",Inputs!$B$44=0),1,IF(IF(Inputs!$B$39="pvp",15,Inputs!$B$44)-(B1186)&lt;=0,1,MAX(0,IF(Inputs!$B$39="pvp",15,Inputs!$B$44)-MAX(5,B1186))/(IF(Inputs!$B$39="pvp",15,Inputs!$B$44)-(B1186))))*IF(AND(ArtifactsInput!$M$42,((Inputs!$B$9+((C1167=TRUE)*(F1167-Calc!F26))+B1175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1153*(1-MIN(100,(Inputs!$B$9+((C1167=TRUE)*(F1167-Calc!F26))+B1175+(ArtifactsInput!$M$24-ArtifactsInput!$M$24)*CHOOSE(ArtifactsInput!$N$24+1,10,12,14,16,18,20)+(IF(AND(Inputs!$B$39&lt;&gt;"pvp",Inputs!$B$44=0),1,IF(IF(Inputs!$B$39="pvp",15,Inputs!$B$44)-(B1186)&lt;=0,1,MAX(0,IF(Inputs!$B$39="pvp",15,Inputs!$B$44)-MAX(5,B1186))/(IF(Inputs!$B$39="pvp",15,Inputs!$B$44)-(B1186))))*IF(AND(ArtifactsInput!$M$42,((Inputs!$B$9+((C1167=TRUE)*(F1167-Calc!F26))+B1175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1153*(MIN(100,(Inputs!$B$9+((C1167=TRUE)*(F1167-Calc!F26))+B1175+(ArtifactsInput!$M$24-ArtifactsInput!$M$24)*CHOOSE(ArtifactsInput!$N$24+1,10,12,14,16,18,20)+(IF(AND(Inputs!$B$39&lt;&gt;"pvp",Inputs!$B$44=0),1,IF(IF(Inputs!$B$39="pvp",15,Inputs!$B$44)-(B1186)&lt;=0,1,MAX(0,IF(Inputs!$B$39="pvp",15,Inputs!$B$44)-MAX(5,B1186))/(IF(Inputs!$B$39="pvp",15,Inputs!$B$44)-(B1186))))*IF(AND(ArtifactsInput!$M$42,((Inputs!$B$9+((C1167=TRUE)*(F1167-Calc!F26))+B1175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1153">
        <f>IF(C1153,(H1153*N1153*IF(AND(Inputs!$B$39&lt;&gt;"pvp",Inputs!$B$44&gt;0),((Skills!G12*((R1153-1)*IF(Skills!H12&gt;0,Skills!I12/Skills!H12,1)+IF(Skills!H12&gt;0,MIN(Skills!I12,MAX(0,MAX(0,Inputs!$B$44-B1186)-((R1153-1)*IF(Inputs!$B$39="pvp",15,MAX(0.1,Skills!D12-IF(TRUE=TRUE,Inputs!$B$32,0))))))/Skills!H12,1)))/Inputs!$B$44),G1153*Q1153))*IF(Inputs!$B$39="pvp",1,(1+(Inputs!$B$21+Skills!Q12+B1176+(IF(ArtifactsInput!$M$33,CHOOSE(ArtifactsInput!$N$33+1,30,36,42,48,54,60),0))+(IF(AND(ArtifactsInput!$M$35,Inputs!$B$4&lt;&gt;"Chapter Hunt"),CHOOSE(ArtifactsInput!$N$35+1,15,18,21,24,27,30)*(1-EXP(-(0.2*B1179)*5)),0)+IF(AND(ArtifactsInput!$M$22,Inputs!$B$4&lt;&gt;"Chapter Hunt"),CHOOSE(ArtifactsInput!$N$22+1,10,12,14,16,18,20)*((0*(((0.15*B1179*5))^0/1)+1*(((0.15*B1179*5))^1/1)+2*(((0.15*B1179*5))^2/2)+3*(((0.15*B1179*5))^3/6)+4*(((0.15*B1179*5))^4/24)+5*(((0.15*B1179*5))^5/120))/((((0.15*B1179*5))^0/1)+(((0.15*B1179*5))^1/1)+(((0.15*B1179*5))^2/2)+(((0.15*B1179*5))^3/6)+(((0.15*B1179*5))^4/24)+(((0.15*B1179*5))^5/120))),0)))/100)*(MIN(Skills!W12,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154">
      <c r="A1154">
        <f>Skills!A13</f>
        <v/>
      </c>
      <c r="B1154">
        <f>Skills!B13</f>
        <v/>
      </c>
      <c r="C1154">
        <f>Inputs!$B$3&gt;=105</f>
        <v/>
      </c>
      <c r="D1154">
        <f>IF(Skills!C13=1,60+Inputs!$B$25+Inputs!$B$29,IF(Skills!C13=2,90+Inputs!$B$26+Inputs!$B$29,IF(Skills!C13=3,120+Inputs!$B$27+Inputs!$B$29,MAX(0,(Inputs!$B$3-100)*3)+Inputs!$B$28+Inputs!$B$29)))</f>
        <v/>
      </c>
      <c r="E1154">
        <f>INDEX(FactorTable!$B$2:$Y$301, MATCH(ROUND(MIN(300,MAX(1,D1154)),0), FactorTable!$A$2:$A$301,0), Skills!M13+1)</f>
        <v/>
      </c>
      <c r="F1154">
        <f>IF(Skills!N13=TRUE,(Skills!L13/10)*(E1154/1000),Skills!L13/10)+Skills!O13</f>
        <v/>
      </c>
      <c r="G1154">
        <f>Skills!G13*IF(Skills!H13&gt;0,IF(Inputs!$B$39="pvp",MIN(Skills!I13,15),Skills!I13)/Skills!H13,1)</f>
        <v/>
      </c>
      <c r="H1154">
        <f>1-(1-Skills!J13/100)^Skills!K13</f>
        <v/>
      </c>
      <c r="I1154" t="inlineStr">
        <is>
          <t>1</t>
        </is>
      </c>
      <c r="J1154">
        <f>(((Inputs!$B$6+1)*(1+Inputs!$B$7/100))+(((Inputs!$B$12*(1+Inputs!$B$13/100))-(Inputs!$B$12*(1+Inputs!$B$13/100)))+0.25*(Inputs!$B$14-Inputs!$B$14))*(1+Inputs!$B$7/100))*(F1154/100)</f>
        <v/>
      </c>
      <c r="K1154">
        <f>J1154*(1+((Inputs!$B$12*(1+Inputs!$B$13/100))*0.01+Inputs!$B$14*0.0025)/100)*(1+Inputs!$B$15/100)*(1+Inputs!$B$16/100)*(5000/(6000+Inputs!$B$43*(1-(100*(1-(1-Inputs!$B$19/100)*(1-CHOOSE(ArtifactsInput!$N$40+1,5,6,7,8,9,10)/100)^(ArtifactsInput!$M$40-ArtifactsInput!$M$40)))/100)))*(1+(Inputs!$B$24+((C1172=TRUE)*(F1172-Calc!F31))+((C1159=TRUE)*(F1159-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13="CRUEL_STAB",Inputs!$B$17+((C1169=TRUE)*(F1169-Calc!F28))+((IF(AND(Inputs!$B$39&lt;&gt;"pvp",Inputs!$B$44=0),1,IF(IF(Inputs!$B$39="pvp",15,Inputs!$B$44)-(B1186)&lt;=0,1,MAX(0,IF(Inputs!$B$39="pvp",15,Inputs!$B$44)-MAX(5,B1186))/(IF(Inputs!$B$39="pvp",15,Inputs!$B$44)-(B1186))))*(IF(AND(ArtifactsInput!$M$42,((Inputs!$B$9+((C1167=TRUE)*(F1167-Calc!F26))+B1175+(ArtifactsInput!$M$24-ArtifactsInput!$M$24)*CHOOSE(ArtifactsInput!$N$24+1,10,12,14,16,18,20)+IF(ArtifactsInput!$M$10,CHOOSE(ArtifactsInput!$N$10+1,15,18,21,24,27,30)*(IF(Inputs!$B$39="pvp",MIN(15,15)/15,IF(AND(Inputs!$B$39&lt;&gt;"pvp",Inputs!$B$44&gt;0),MIN(15,Inputs!$B$44)/(Inputs!$B$44),0))),0)))&gt;=100),MIN(100,((Inputs!$B$9+((C1167=TRUE)*(F1167-Calc!F26))+B1175+(ArtifactsInput!$M$24-ArtifactsInput!$M$24)*CHOOSE(ArtifactsInput!$N$24+1,10,12,14,16,18,20)+IF(ArtifactsInput!$M$10,CHOOSE(ArtifactsInput!$N$10+1,15,18,21,24,27,30)*(IF(Inputs!$B$39="pvp",MIN(15,15)/15,IF(AND(Inputs!$B$39&lt;&gt;"pvp",Inputs!$B$44&gt;0),MIN(15,Inputs!$B$44)/(Inputs!$B$44),0))),0)))-100),0))*CHOOSE(ArtifactsInput!$N$42+1,0.6,0.72,0.84,0.96,1.08,1.2))),Inputs!$B$18+((C1170=TRUE)*(F1170-Calc!F29))+(IF(AND(Inputs!$B$39&lt;&gt;"pvp",Inputs!$B$44=0),1,IF(IF(Inputs!$B$39="pvp",15,Inputs!$B$44)-(B1186)&lt;=0,1,MAX(0,IF(Inputs!$B$39="pvp",15,Inputs!$B$44)-MAX(5,B1186))/(IF(Inputs!$B$39="pvp",15,Inputs!$B$44)-(B1186))))*IF(AND(ArtifactsInput!$M$42,((Inputs!$B$9+((C1167=TRUE)*(F1167-Calc!F26))+B1175+(ArtifactsInput!$M$24-ArtifactsInput!$M$24)*CHOOSE(ArtifactsInput!$N$24+1,10,12,14,16,18,20)+IF(ArtifactsInput!$M$10,CHOOSE(ArtifactsInput!$N$10+1,15,18,21,24,27,30)*(IF(Inputs!$B$39="pvp",MIN(15,15)/15,IF(AND(Inputs!$B$39&lt;&gt;"pvp",Inputs!$B$44&gt;0),MIN(15,Inputs!$B$44)/(Inputs!$B$44),0))),0)))&gt;=100),CHOOSE(ArtifactsInput!$N$42+1,40,48,56,64,72,80),0))))/100)*(((1+(((C1163=TRUE)*F1163*IF(AND(Inputs!$B$39&lt;&gt;"pvp",Inputs!$B$44&gt;0),(((R1163-1)*MIN((Skills!Y22*(1+Inputs!$B$34/100)),(1/Q1163))+MIN((Skills!Y22*(1+Inputs!$B$34/100)),MAX(0,Inputs!$B$44-((R1163-1)*(1/Q1163)))))/Inputs!$B$44),IF(Inputs!$B$39="pvp",MIN((Skills!Y22*(1+Inputs!$B$34/100)),15)/15,MIN(1,(Skills!Y22*(1+Inputs!$B$34/100))/(1/Q1163)))))+((C1144=TRUE)*F1144*3)+((C1146=TRUE)*F1146*(1-EXP(-0.75*B1179*5)))+((C1165=TRUE)*(F1165-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1152=TRUE)*F1152*IF(AND(Inputs!$B$39&lt;&gt;"pvp",Inputs!$B$44&gt;0),(((R1152-1)*MIN((Skills!Y11*(1+Inputs!$B$34/100)),(1/Q1152))+MIN((Skills!Y11*(1+Inputs!$B$34/100)),MAX(0,Inputs!$B$44-((R1152-1)*(1/Q1152)))))/Inputs!$B$44),IF(Inputs!$B$39="pvp",MIN((Skills!Y11*(1+Inputs!$B$34/100)),15)/15,MIN(1,(Skills!Y11*(1+Inputs!$B$34/100))/(1/Q1152)))))/100)*(1+((C1157=TRUE)*F1157*IF(AND(Inputs!$B$39&lt;&gt;"pvp",Inputs!$B$44&gt;0),(((R1157-1)*MIN((Skills!Y16*(1+Inputs!$B$34/100)),(1/Q1157))+MIN((Skills!Y16*(1+Inputs!$B$34/100)),MAX(0,Inputs!$B$44-((R1157-1)*(1/Q1157)))))/Inputs!$B$44),IF(Inputs!$B$39="pvp",MIN((Skills!Y16*(1+Inputs!$B$34/100)),15)/15,MIN(1,(Skills!Y16*(1+Inputs!$B$34/100))/(1/Q1157)))))/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1177*I1154)</f>
        <v/>
      </c>
      <c r="L1154">
        <f>K1154*(MIN(Inputs!$B$22+((C1166=TRUE)*(F1166-Calc!F25)),(Inputs!$B$23+((C1171=TRUE)*(F1171-Calc!F30))+IF(ArtifactsInput!$M$15,CHOOSE(ArtifactsInput!$N$15+1,25,30,35,40,45,50)/100*(Inputs!$B$11-Inputs!$B$11),0)))/100+(Inputs!$B$23+((C1171=TRUE)*(F1171-Calc!F30))+IF(ArtifactsInput!$M$15,CHOOSE(ArtifactsInput!$N$15+1,25,30,35,40,45,50)/100*(Inputs!$B$11-Inputs!$B$11),0))/100)/2</f>
        <v/>
      </c>
      <c r="M1154">
        <f>L1154*(1+(Inputs!$B$10+((C1168=TRUE)*(F1168-Calc!F27))+B1182+(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1154">
        <f>L1154*(1-MIN((Inputs!$B$9+((C1167=TRUE)*(F1167-Calc!F26))+B1175+(ArtifactsInput!$M$24-ArtifactsInput!$M$24)*CHOOSE(ArtifactsInput!$N$24+1,10,12,14,16,18,20)+(IF(AND(Inputs!$B$39&lt;&gt;"pvp",Inputs!$B$44=0),1,IF(IF(Inputs!$B$39="pvp",15,Inputs!$B$44)-(B1186)&lt;=0,1,MAX(0,IF(Inputs!$B$39="pvp",15,Inputs!$B$44)-MAX(5,B1186))/(IF(Inputs!$B$39="pvp",15,Inputs!$B$44)-(B1186))))*IF(AND(ArtifactsInput!$M$42,((Inputs!$B$9+((C1167=TRUE)*(F1167-Calc!F26))+B1175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1154*(MIN((Inputs!$B$9+((C1167=TRUE)*(F1167-Calc!F26))+B1175+(ArtifactsInput!$M$24-ArtifactsInput!$M$24)*CHOOSE(ArtifactsInput!$N$24+1,10,12,14,16,18,20)+(IF(AND(Inputs!$B$39&lt;&gt;"pvp",Inputs!$B$44=0),1,IF(IF(Inputs!$B$39="pvp",15,Inputs!$B$44)-(B1186)&lt;=0,1,MAX(0,IF(Inputs!$B$39="pvp",15,Inputs!$B$44)-MAX(5,B1186))/(IF(Inputs!$B$39="pvp",15,Inputs!$B$44)-(B1186))))*IF(AND(ArtifactsInput!$M$42,((Inputs!$B$9+((C1167=TRUE)*(F1167-Calc!F26))+B1175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154">
        <f>(1-Summary!$B$11)*T1154+Summary!$B$11*V1154</f>
        <v/>
      </c>
      <c r="P1154">
        <f>IF(B1187=0,0,O1154/B1187)</f>
        <v/>
      </c>
      <c r="Q1154">
        <f>IFERROR(1/IF(Inputs!$B$39="pvp",15,MAX(0.1,Skills!D13-IF(TRUE=TRUE,Inputs!$B$32,0))),0)</f>
        <v/>
      </c>
      <c r="R1154">
        <f>IF(AND(Inputs!$B$39&lt;&gt;"pvp",Inputs!$B$44&gt;0),IF(MAX(0,Inputs!$B$44-B1186)&lt;=0,0,(INT(MAX(0,Inputs!$B$44-B1186)/IF(Inputs!$B$39="pvp",15,MAX(0.1,Skills!D13-IF(TRUE=TRUE,Inputs!$B$32,0))))+1)),0)</f>
        <v/>
      </c>
      <c r="S1154">
        <f>IFERROR(O1154/N1154,0)</f>
        <v/>
      </c>
      <c r="T1154">
        <f>IF(C1154,(H1154*N1154*IF(AND(Inputs!$B$39&lt;&gt;"pvp",Inputs!$B$44&gt;0),((Skills!G13*((R1154-1)*IF(Skills!H13&gt;0,Skills!I13/Skills!H13,1)+IF(Skills!H13&gt;0,MIN(Skills!I13,MAX(0,MAX(0,Inputs!$B$44-B1186)-((R1154-1)*IF(Inputs!$B$39="pvp",15,MAX(0.1,Skills!D13-IF(TRUE=TRUE,Inputs!$B$32,0))))))/Skills!H13,1)))/Inputs!$B$44),G1154*Q1154))*IF(Inputs!$B$39="pvp",1,1+(Inputs!$B$20+0+Skills!P13+B1176+(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Hunt"),CHOOSE(ArtifactsInput!$N$35+1,15,18,21,24,27,30)*(1-EXP(-(0.2*B1179)*5)),0)+IF(AND(ArtifactsInput!$M$22,Inputs!$B$4&lt;&gt;"Chapter Hunt"),CHOOSE(ArtifactsInput!$N$22+1,10,12,14,16,18,20)*((0*(((0.15*B1179*5))^0/1)+1*(((0.15*B1179*5))^1/1)+2*(((0.15*B1179*5))^2/2)+3*(((0.15*B1179*5))^3/6)+4*(((0.15*B1179*5))^4/24)+5*(((0.15*B1179*5))^5/120))/((((0.15*B1179*5))^0/1)+(((0.15*B1179*5))^1/1)+(((0.15*B1179*5))^2/2)+(((0.15*B1179*5))^3/6)+(((0.15*B1179*5))^4/24)+(((0.15*B1179*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1154*(1-MIN(100,(Inputs!$B$9+((C1167=TRUE)*(F1167-Calc!F26))+B1175+(ArtifactsInput!$M$24-ArtifactsInput!$M$24)*CHOOSE(ArtifactsInput!$N$24+1,10,12,14,16,18,20)+(IF(AND(Inputs!$B$39&lt;&gt;"pvp",Inputs!$B$44=0),1,IF(IF(Inputs!$B$39="pvp",15,Inputs!$B$44)-(B1186)&lt;=0,1,MAX(0,IF(Inputs!$B$39="pvp",15,Inputs!$B$44)-MAX(5,B1186))/(IF(Inputs!$B$39="pvp",15,Inputs!$B$44)-(B1186))))*IF(AND(ArtifactsInput!$M$42,((Inputs!$B$9+((C1167=TRUE)*(F1167-Calc!F26))+B1175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1154*(MIN(100,(Inputs!$B$9+((C1167=TRUE)*(F1167-Calc!F26))+B1175+(ArtifactsInput!$M$24-ArtifactsInput!$M$24)*CHOOSE(ArtifactsInput!$N$24+1,10,12,14,16,18,20)+(IF(AND(Inputs!$B$39&lt;&gt;"pvp",Inputs!$B$44=0),1,IF(IF(Inputs!$B$39="pvp",15,Inputs!$B$44)-(B1186)&lt;=0,1,MAX(0,IF(Inputs!$B$39="pvp",15,Inputs!$B$44)-MAX(5,B1186))/(IF(Inputs!$B$39="pvp",15,Inputs!$B$44)-(B1186))))*IF(AND(ArtifactsInput!$M$42,((Inputs!$B$9+((C1167=TRUE)*(F1167-Calc!F26))+B1175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1154*(1-MIN(100,(Inputs!$B$9+((C1167=TRUE)*(F1167-Calc!F26))+B1175+(ArtifactsInput!$M$24-ArtifactsInput!$M$24)*CHOOSE(ArtifactsInput!$N$24+1,10,12,14,16,18,20)+(IF(AND(Inputs!$B$39&lt;&gt;"pvp",Inputs!$B$44=0),1,IF(IF(Inputs!$B$39="pvp",15,Inputs!$B$44)-(B1186)&lt;=0,1,MAX(0,IF(Inputs!$B$39="pvp",15,Inputs!$B$44)-MAX(5,B1186))/(IF(Inputs!$B$39="pvp",15,Inputs!$B$44)-(B1186))))*IF(AND(ArtifactsInput!$M$42,((Inputs!$B$9+((C1167=TRUE)*(F1167-Calc!F26))+B1175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1154*(MIN(100,(Inputs!$B$9+((C1167=TRUE)*(F1167-Calc!F26))+B1175+(ArtifactsInput!$M$24-ArtifactsInput!$M$24)*CHOOSE(ArtifactsInput!$N$24+1,10,12,14,16,18,20)+(IF(AND(Inputs!$B$39&lt;&gt;"pvp",Inputs!$B$44=0),1,IF(IF(Inputs!$B$39="pvp",15,Inputs!$B$44)-(B1186)&lt;=0,1,MAX(0,IF(Inputs!$B$39="pvp",15,Inputs!$B$44)-MAX(5,B1186))/(IF(Inputs!$B$39="pvp",15,Inputs!$B$44)-(B1186))))*IF(AND(ArtifactsInput!$M$42,((Inputs!$B$9+((C1167=TRUE)*(F1167-Calc!F26))+B1175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1154">
        <f>IF(C1154,(H1154*N1154*IF(AND(Inputs!$B$39&lt;&gt;"pvp",Inputs!$B$44&gt;0),((Skills!G13*((R1154-1)*IF(Skills!H13&gt;0,Skills!I13/Skills!H13,1)+IF(Skills!H13&gt;0,MIN(Skills!I13,MAX(0,MAX(0,Inputs!$B$44-B1186)-((R1154-1)*IF(Inputs!$B$39="pvp",15,MAX(0.1,Skills!D13-IF(TRUE=TRUE,Inputs!$B$32,0))))))/Skills!H13,1)))/Inputs!$B$44),G1154*Q1154))*IF(Inputs!$B$39="pvp",1,(1+(Inputs!$B$21+Skills!Q13+B1176+(IF(ArtifactsInput!$M$33,CHOOSE(ArtifactsInput!$N$33+1,30,36,42,48,54,60),0))+(IF(AND(ArtifactsInput!$M$35,Inputs!$B$4&lt;&gt;"Chapter Hunt"),CHOOSE(ArtifactsInput!$N$35+1,15,18,21,24,27,30)*(1-EXP(-(0.2*B1179)*5)),0)+IF(AND(ArtifactsInput!$M$22,Inputs!$B$4&lt;&gt;"Chapter Hunt"),CHOOSE(ArtifactsInput!$N$22+1,10,12,14,16,18,20)*((0*(((0.15*B1179*5))^0/1)+1*(((0.15*B1179*5))^1/1)+2*(((0.15*B1179*5))^2/2)+3*(((0.15*B1179*5))^3/6)+4*(((0.15*B1179*5))^4/24)+5*(((0.15*B1179*5))^5/120))/((((0.15*B1179*5))^0/1)+(((0.15*B1179*5))^1/1)+(((0.15*B1179*5))^2/2)+(((0.15*B1179*5))^3/6)+(((0.15*B1179*5))^4/24)+(((0.15*B1179*5))^5/120))),0)))/100)*(MIN(Skills!W13,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155">
      <c r="A1155">
        <f>Skills!A14</f>
        <v/>
      </c>
      <c r="B1155">
        <f>Skills!B14</f>
        <v/>
      </c>
      <c r="C1155">
        <f>Inputs!$B$3&gt;=105</f>
        <v/>
      </c>
      <c r="D1155">
        <f>IF(Skills!C14=1,60+Inputs!$B$25+Inputs!$B$29,IF(Skills!C14=2,90+Inputs!$B$26+Inputs!$B$29,IF(Skills!C14=3,120+Inputs!$B$27+Inputs!$B$29,MAX(0,(Inputs!$B$3-100)*3)+Inputs!$B$28+Inputs!$B$29)))</f>
        <v/>
      </c>
      <c r="E1155">
        <f>INDEX(FactorTable!$B$2:$Y$301, MATCH(ROUND(MIN(300,MAX(1,D1155)),0), FactorTable!$A$2:$A$301,0), Skills!M14+1)</f>
        <v/>
      </c>
      <c r="F1155">
        <f>IF(Skills!N14=TRUE,(Skills!L14/10)*(E1155/1000),Skills!L14/10)+Skills!O14</f>
        <v/>
      </c>
      <c r="G1155">
        <f>Skills!G14*IF(Skills!H14&gt;0,IF(Inputs!$B$39="pvp",MIN(Skills!I14,15),Skills!I14)/Skills!H14,1)</f>
        <v/>
      </c>
      <c r="H1155">
        <f>1-(1-Skills!J14/100)^Skills!K14</f>
        <v/>
      </c>
      <c r="I1155" t="inlineStr">
        <is>
          <t>1</t>
        </is>
      </c>
      <c r="J1155">
        <f>(((Inputs!$B$6+1)*(1+Inputs!$B$7/100))+(((Inputs!$B$12*(1+Inputs!$B$13/100))-(Inputs!$B$12*(1+Inputs!$B$13/100)))+0.25*(Inputs!$B$14-Inputs!$B$14))*(1+Inputs!$B$7/100))*(F1155/100)</f>
        <v/>
      </c>
      <c r="K1155">
        <f>J1155*(1+((Inputs!$B$12*(1+Inputs!$B$13/100))*0.01+Inputs!$B$14*0.0025)/100)*(1+Inputs!$B$15/100)*(1+Inputs!$B$16/100)*(5000/(6000+Inputs!$B$43*(1-(100*(1-(1-Inputs!$B$19/100)*(1-CHOOSE(ArtifactsInput!$N$40+1,5,6,7,8,9,10)/100)^(ArtifactsInput!$M$40-ArtifactsInput!$M$40)))/100)))*(1+(Inputs!$B$24+((C1172=TRUE)*(F1172-Calc!F31))+((C1159=TRUE)*(F1159-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14="CRUEL_STAB",Inputs!$B$17+((C1169=TRUE)*(F1169-Calc!F28))+((IF(AND(Inputs!$B$39&lt;&gt;"pvp",Inputs!$B$44=0),1,IF(IF(Inputs!$B$39="pvp",15,Inputs!$B$44)-(B1186)&lt;=0,1,MAX(0,IF(Inputs!$B$39="pvp",15,Inputs!$B$44)-MAX(5,B1186))/(IF(Inputs!$B$39="pvp",15,Inputs!$B$44)-(B1186))))*(IF(AND(ArtifactsInput!$M$42,((Inputs!$B$9+((C1167=TRUE)*(F1167-Calc!F26))+B1175+(ArtifactsInput!$M$24-ArtifactsInput!$M$24)*CHOOSE(ArtifactsInput!$N$24+1,10,12,14,16,18,20)+IF(ArtifactsInput!$M$10,CHOOSE(ArtifactsInput!$N$10+1,15,18,21,24,27,30)*(IF(Inputs!$B$39="pvp",MIN(15,15)/15,IF(AND(Inputs!$B$39&lt;&gt;"pvp",Inputs!$B$44&gt;0),MIN(15,Inputs!$B$44)/(Inputs!$B$44),0))),0)))&gt;=100),MIN(100,((Inputs!$B$9+((C1167=TRUE)*(F1167-Calc!F26))+B1175+(ArtifactsInput!$M$24-ArtifactsInput!$M$24)*CHOOSE(ArtifactsInput!$N$24+1,10,12,14,16,18,20)+IF(ArtifactsInput!$M$10,CHOOSE(ArtifactsInput!$N$10+1,15,18,21,24,27,30)*(IF(Inputs!$B$39="pvp",MIN(15,15)/15,IF(AND(Inputs!$B$39&lt;&gt;"pvp",Inputs!$B$44&gt;0),MIN(15,Inputs!$B$44)/(Inputs!$B$44),0))),0)))-100),0))*CHOOSE(ArtifactsInput!$N$42+1,0.6,0.72,0.84,0.96,1.08,1.2))),Inputs!$B$18+((C1170=TRUE)*(F1170-Calc!F29))+(IF(AND(Inputs!$B$39&lt;&gt;"pvp",Inputs!$B$44=0),1,IF(IF(Inputs!$B$39="pvp",15,Inputs!$B$44)-(B1186)&lt;=0,1,MAX(0,IF(Inputs!$B$39="pvp",15,Inputs!$B$44)-MAX(5,B1186))/(IF(Inputs!$B$39="pvp",15,Inputs!$B$44)-(B1186))))*IF(AND(ArtifactsInput!$M$42,((Inputs!$B$9+((C1167=TRUE)*(F1167-Calc!F26))+B1175+(ArtifactsInput!$M$24-ArtifactsInput!$M$24)*CHOOSE(ArtifactsInput!$N$24+1,10,12,14,16,18,20)+IF(ArtifactsInput!$M$10,CHOOSE(ArtifactsInput!$N$10+1,15,18,21,24,27,30)*(IF(Inputs!$B$39="pvp",MIN(15,15)/15,IF(AND(Inputs!$B$39&lt;&gt;"pvp",Inputs!$B$44&gt;0),MIN(15,Inputs!$B$44)/(Inputs!$B$44),0))),0)))&gt;=100),CHOOSE(ArtifactsInput!$N$42+1,40,48,56,64,72,80),0))))/100)*(((1+(((C1163=TRUE)*F1163*IF(AND(Inputs!$B$39&lt;&gt;"pvp",Inputs!$B$44&gt;0),(((R1163-1)*MIN((Skills!Y22*(1+Inputs!$B$34/100)),(1/Q1163))+MIN((Skills!Y22*(1+Inputs!$B$34/100)),MAX(0,Inputs!$B$44-((R1163-1)*(1/Q1163)))))/Inputs!$B$44),IF(Inputs!$B$39="pvp",MIN((Skills!Y22*(1+Inputs!$B$34/100)),15)/15,MIN(1,(Skills!Y22*(1+Inputs!$B$34/100))/(1/Q1163)))))+((C1144=TRUE)*F1144*3)+((C1146=TRUE)*F1146*(1-EXP(-0.75*B1179*5)))+((C1165=TRUE)*(F1165-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1152=TRUE)*F1152*IF(AND(Inputs!$B$39&lt;&gt;"pvp",Inputs!$B$44&gt;0),(((R1152-1)*MIN((Skills!Y11*(1+Inputs!$B$34/100)),(1/Q1152))+MIN((Skills!Y11*(1+Inputs!$B$34/100)),MAX(0,Inputs!$B$44-((R1152-1)*(1/Q1152)))))/Inputs!$B$44),IF(Inputs!$B$39="pvp",MIN((Skills!Y11*(1+Inputs!$B$34/100)),15)/15,MIN(1,(Skills!Y11*(1+Inputs!$B$34/100))/(1/Q1152)))))/100)*(1+((C1157=TRUE)*F1157*IF(AND(Inputs!$B$39&lt;&gt;"pvp",Inputs!$B$44&gt;0),(((R1157-1)*MIN((Skills!Y16*(1+Inputs!$B$34/100)),(1/Q1157))+MIN((Skills!Y16*(1+Inputs!$B$34/100)),MAX(0,Inputs!$B$44-((R1157-1)*(1/Q1157)))))/Inputs!$B$44),IF(Inputs!$B$39="pvp",MIN((Skills!Y16*(1+Inputs!$B$34/100)),15)/15,MIN(1,(Skills!Y16*(1+Inputs!$B$34/100))/(1/Q1157)))))/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1177*I1155)</f>
        <v/>
      </c>
      <c r="L1155">
        <f>K1155*(MIN(Inputs!$B$22+((C1166=TRUE)*(F1166-Calc!F25)),(Inputs!$B$23+((C1171=TRUE)*(F1171-Calc!F30))+IF(ArtifactsInput!$M$15,CHOOSE(ArtifactsInput!$N$15+1,25,30,35,40,45,50)/100*(Inputs!$B$11-Inputs!$B$11),0)))/100+(Inputs!$B$23+((C1171=TRUE)*(F1171-Calc!F30))+IF(ArtifactsInput!$M$15,CHOOSE(ArtifactsInput!$N$15+1,25,30,35,40,45,50)/100*(Inputs!$B$11-Inputs!$B$11),0))/100)/2</f>
        <v/>
      </c>
      <c r="M1155">
        <f>L1155*(1+(Inputs!$B$10+((C1168=TRUE)*(F1168-Calc!F27))+B1182+(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1155">
        <f>L1155*(1-MIN((Inputs!$B$9+((C1167=TRUE)*(F1167-Calc!F26))+B1175+(ArtifactsInput!$M$24-ArtifactsInput!$M$24)*CHOOSE(ArtifactsInput!$N$24+1,10,12,14,16,18,20)+(IF(AND(Inputs!$B$39&lt;&gt;"pvp",Inputs!$B$44=0),1,IF(IF(Inputs!$B$39="pvp",15,Inputs!$B$44)-(B1186)&lt;=0,1,MAX(0,IF(Inputs!$B$39="pvp",15,Inputs!$B$44)-MAX(5,B1186))/(IF(Inputs!$B$39="pvp",15,Inputs!$B$44)-(B1186))))*IF(AND(ArtifactsInput!$M$42,((Inputs!$B$9+((C1167=TRUE)*(F1167-Calc!F26))+B1175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1155*(MIN((Inputs!$B$9+((C1167=TRUE)*(F1167-Calc!F26))+B1175+(ArtifactsInput!$M$24-ArtifactsInput!$M$24)*CHOOSE(ArtifactsInput!$N$24+1,10,12,14,16,18,20)+(IF(AND(Inputs!$B$39&lt;&gt;"pvp",Inputs!$B$44=0),1,IF(IF(Inputs!$B$39="pvp",15,Inputs!$B$44)-(B1186)&lt;=0,1,MAX(0,IF(Inputs!$B$39="pvp",15,Inputs!$B$44)-MAX(5,B1186))/(IF(Inputs!$B$39="pvp",15,Inputs!$B$44)-(B1186))))*IF(AND(ArtifactsInput!$M$42,((Inputs!$B$9+((C1167=TRUE)*(F1167-Calc!F26))+B1175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155">
        <f>(1-Summary!$B$11)*T1155+Summary!$B$11*V1155</f>
        <v/>
      </c>
      <c r="P1155">
        <f>IF(B1187=0,0,O1155/B1187)</f>
        <v/>
      </c>
      <c r="Q1155">
        <f>IFERROR(1/IF(Inputs!$B$39="pvp",15,MAX(0.1,Skills!D14-IF(TRUE=TRUE,Inputs!$B$32,0))),0)</f>
        <v/>
      </c>
      <c r="R1155">
        <f>IF(AND(Inputs!$B$39&lt;&gt;"pvp",Inputs!$B$44&gt;0),IF(MAX(0,Inputs!$B$44-B1186)&lt;=0,0,(INT(MAX(0,Inputs!$B$44-B1186)/IF(Inputs!$B$39="pvp",15,MAX(0.1,Skills!D14-IF(TRUE=TRUE,Inputs!$B$32,0))))+1)),0)</f>
        <v/>
      </c>
      <c r="S1155">
        <f>IFERROR(O1155/N1155,0)</f>
        <v/>
      </c>
      <c r="T1155">
        <f>IF(C1155,(H1155*N1155*IF(AND(Inputs!$B$39&lt;&gt;"pvp",Inputs!$B$44&gt;0),((Skills!G14*((R1155-1)*IF(Skills!H14&gt;0,Skills!I14/Skills!H14,1)+IF(Skills!H14&gt;0,MIN(Skills!I14,MAX(0,MAX(0,Inputs!$B$44-B1186)-((R1155-1)*IF(Inputs!$B$39="pvp",15,MAX(0.1,Skills!D14-IF(TRUE=TRUE,Inputs!$B$32,0))))))/Skills!H14,1)))/Inputs!$B$44),G1155*Q1155))*IF(Inputs!$B$39="pvp",1,1+(Inputs!$B$20+0+Skills!P14+B1176+(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Hunt"),CHOOSE(ArtifactsInput!$N$35+1,15,18,21,24,27,30)*(1-EXP(-(0.2*B1179)*5)),0)+IF(AND(ArtifactsInput!$M$22,Inputs!$B$4&lt;&gt;"Chapter Hunt"),CHOOSE(ArtifactsInput!$N$22+1,10,12,14,16,18,20)*((0*(((0.15*B1179*5))^0/1)+1*(((0.15*B1179*5))^1/1)+2*(((0.15*B1179*5))^2/2)+3*(((0.15*B1179*5))^3/6)+4*(((0.15*B1179*5))^4/24)+5*(((0.15*B1179*5))^5/120))/((((0.15*B1179*5))^0/1)+(((0.15*B1179*5))^1/1)+(((0.15*B1179*5))^2/2)+(((0.15*B1179*5))^3/6)+(((0.15*B1179*5))^4/24)+(((0.15*B1179*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1155*(1-MIN(100,(Inputs!$B$9+((C1167=TRUE)*(F1167-Calc!F26))+B1175+(ArtifactsInput!$M$24-ArtifactsInput!$M$24)*CHOOSE(ArtifactsInput!$N$24+1,10,12,14,16,18,20)+(IF(AND(Inputs!$B$39&lt;&gt;"pvp",Inputs!$B$44=0),1,IF(IF(Inputs!$B$39="pvp",15,Inputs!$B$44)-(B1186)&lt;=0,1,MAX(0,IF(Inputs!$B$39="pvp",15,Inputs!$B$44)-MAX(5,B1186))/(IF(Inputs!$B$39="pvp",15,Inputs!$B$44)-(B1186))))*IF(AND(ArtifactsInput!$M$42,((Inputs!$B$9+((C1167=TRUE)*(F1167-Calc!F26))+B1175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1155*(MIN(100,(Inputs!$B$9+((C1167=TRUE)*(F1167-Calc!F26))+B1175+(ArtifactsInput!$M$24-ArtifactsInput!$M$24)*CHOOSE(ArtifactsInput!$N$24+1,10,12,14,16,18,20)+(IF(AND(Inputs!$B$39&lt;&gt;"pvp",Inputs!$B$44=0),1,IF(IF(Inputs!$B$39="pvp",15,Inputs!$B$44)-(B1186)&lt;=0,1,MAX(0,IF(Inputs!$B$39="pvp",15,Inputs!$B$44)-MAX(5,B1186))/(IF(Inputs!$B$39="pvp",15,Inputs!$B$44)-(B1186))))*IF(AND(ArtifactsInput!$M$42,((Inputs!$B$9+((C1167=TRUE)*(F1167-Calc!F26))+B1175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1155*(1-MIN(100,(Inputs!$B$9+((C1167=TRUE)*(F1167-Calc!F26))+B1175+(ArtifactsInput!$M$24-ArtifactsInput!$M$24)*CHOOSE(ArtifactsInput!$N$24+1,10,12,14,16,18,20)+(IF(AND(Inputs!$B$39&lt;&gt;"pvp",Inputs!$B$44=0),1,IF(IF(Inputs!$B$39="pvp",15,Inputs!$B$44)-(B1186)&lt;=0,1,MAX(0,IF(Inputs!$B$39="pvp",15,Inputs!$B$44)-MAX(5,B1186))/(IF(Inputs!$B$39="pvp",15,Inputs!$B$44)-(B1186))))*IF(AND(ArtifactsInput!$M$42,((Inputs!$B$9+((C1167=TRUE)*(F1167-Calc!F26))+B1175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1155*(MIN(100,(Inputs!$B$9+((C1167=TRUE)*(F1167-Calc!F26))+B1175+(ArtifactsInput!$M$24-ArtifactsInput!$M$24)*CHOOSE(ArtifactsInput!$N$24+1,10,12,14,16,18,20)+(IF(AND(Inputs!$B$39&lt;&gt;"pvp",Inputs!$B$44=0),1,IF(IF(Inputs!$B$39="pvp",15,Inputs!$B$44)-(B1186)&lt;=0,1,MAX(0,IF(Inputs!$B$39="pvp",15,Inputs!$B$44)-MAX(5,B1186))/(IF(Inputs!$B$39="pvp",15,Inputs!$B$44)-(B1186))))*IF(AND(ArtifactsInput!$M$42,((Inputs!$B$9+((C1167=TRUE)*(F1167-Calc!F26))+B1175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1155">
        <f>IF(C1155,(H1155*N1155*IF(AND(Inputs!$B$39&lt;&gt;"pvp",Inputs!$B$44&gt;0),((Skills!G14*((R1155-1)*IF(Skills!H14&gt;0,Skills!I14/Skills!H14,1)+IF(Skills!H14&gt;0,MIN(Skills!I14,MAX(0,MAX(0,Inputs!$B$44-B1186)-((R1155-1)*IF(Inputs!$B$39="pvp",15,MAX(0.1,Skills!D14-IF(TRUE=TRUE,Inputs!$B$32,0))))))/Skills!H14,1)))/Inputs!$B$44),G1155*Q1155))*IF(Inputs!$B$39="pvp",1,(1+(Inputs!$B$21+Skills!Q14+B1176+(IF(ArtifactsInput!$M$33,CHOOSE(ArtifactsInput!$N$33+1,30,36,42,48,54,60),0))+(IF(AND(ArtifactsInput!$M$35,Inputs!$B$4&lt;&gt;"Chapter Hunt"),CHOOSE(ArtifactsInput!$N$35+1,15,18,21,24,27,30)*(1-EXP(-(0.2*B1179)*5)),0)+IF(AND(ArtifactsInput!$M$22,Inputs!$B$4&lt;&gt;"Chapter Hunt"),CHOOSE(ArtifactsInput!$N$22+1,10,12,14,16,18,20)*((0*(((0.15*B1179*5))^0/1)+1*(((0.15*B1179*5))^1/1)+2*(((0.15*B1179*5))^2/2)+3*(((0.15*B1179*5))^3/6)+4*(((0.15*B1179*5))^4/24)+5*(((0.15*B1179*5))^5/120))/((((0.15*B1179*5))^0/1)+(((0.15*B1179*5))^1/1)+(((0.15*B1179*5))^2/2)+(((0.15*B1179*5))^3/6)+(((0.15*B1179*5))^4/24)+(((0.15*B1179*5))^5/120))),0)))/100)*(MIN(Skills!W14,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156">
      <c r="A1156">
        <f>Skills!A15</f>
        <v/>
      </c>
      <c r="B1156">
        <f>Skills!B15</f>
        <v/>
      </c>
      <c r="C1156">
        <f>Inputs!$B$3&gt;=107</f>
        <v/>
      </c>
      <c r="D1156">
        <f>IF(Skills!C15=1,60+Inputs!$B$25+Inputs!$B$29,IF(Skills!C15=2,90+Inputs!$B$26+Inputs!$B$29,IF(Skills!C15=3,120+Inputs!$B$27+Inputs!$B$29,MAX(0,(Inputs!$B$3-100)*3)+Inputs!$B$28+Inputs!$B$29)))</f>
        <v/>
      </c>
      <c r="E1156">
        <f>INDEX(FactorTable!$B$2:$Y$301, MATCH(ROUND(MIN(300,MAX(1,D1156)),0), FactorTable!$A$2:$A$301,0), Skills!M15+1)</f>
        <v/>
      </c>
      <c r="F1156">
        <f>IF(Skills!N15=TRUE,(Skills!L15/10)*(E1156/1000),Skills!L15/10)+Skills!O15</f>
        <v/>
      </c>
      <c r="G1156">
        <f>Skills!G15*IF(Skills!H15&gt;0,IF(Inputs!$B$39="pvp",MIN(Skills!I15,15),Skills!I15)/Skills!H15,1)</f>
        <v/>
      </c>
      <c r="H1156">
        <f>1-(1-Skills!J15/100)^Skills!K15</f>
        <v/>
      </c>
      <c r="I1156" t="inlineStr">
        <is>
          <t>1</t>
        </is>
      </c>
      <c r="J1156">
        <f>(((Inputs!$B$6+1)*(1+Inputs!$B$7/100))+(((Inputs!$B$12*(1+Inputs!$B$13/100))-(Inputs!$B$12*(1+Inputs!$B$13/100)))+0.25*(Inputs!$B$14-Inputs!$B$14))*(1+Inputs!$B$7/100))*(F1156/100)</f>
        <v/>
      </c>
      <c r="K1156">
        <f>J1156*(1+((Inputs!$B$12*(1+Inputs!$B$13/100))*0.01+Inputs!$B$14*0.0025)/100)*(1+Inputs!$B$15/100)*(1+Inputs!$B$16/100)*(5000/(6000+Inputs!$B$43*(1-(100*(1-(1-Inputs!$B$19/100)*(1-CHOOSE(ArtifactsInput!$N$40+1,5,6,7,8,9,10)/100)^(ArtifactsInput!$M$40-ArtifactsInput!$M$40)))/100)))*(1+(Inputs!$B$24+((C1172=TRUE)*(F1172-Calc!F31))+((C1159=TRUE)*(F1159-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15="CRUEL_STAB",Inputs!$B$17+((C1169=TRUE)*(F1169-Calc!F28))+((IF(AND(Inputs!$B$39&lt;&gt;"pvp",Inputs!$B$44=0),1,IF(IF(Inputs!$B$39="pvp",15,Inputs!$B$44)-(B1186)&lt;=0,1,MAX(0,IF(Inputs!$B$39="pvp",15,Inputs!$B$44)-MAX(5,B1186))/(IF(Inputs!$B$39="pvp",15,Inputs!$B$44)-(B1186))))*(IF(AND(ArtifactsInput!$M$42,((Inputs!$B$9+((C1167=TRUE)*(F1167-Calc!F26))+B1175+(ArtifactsInput!$M$24-ArtifactsInput!$M$24)*CHOOSE(ArtifactsInput!$N$24+1,10,12,14,16,18,20)+IF(ArtifactsInput!$M$10,CHOOSE(ArtifactsInput!$N$10+1,15,18,21,24,27,30)*(IF(Inputs!$B$39="pvp",MIN(15,15)/15,IF(AND(Inputs!$B$39&lt;&gt;"pvp",Inputs!$B$44&gt;0),MIN(15,Inputs!$B$44)/(Inputs!$B$44),0))),0)))&gt;=100),MIN(100,((Inputs!$B$9+((C1167=TRUE)*(F1167-Calc!F26))+B1175+(ArtifactsInput!$M$24-ArtifactsInput!$M$24)*CHOOSE(ArtifactsInput!$N$24+1,10,12,14,16,18,20)+IF(ArtifactsInput!$M$10,CHOOSE(ArtifactsInput!$N$10+1,15,18,21,24,27,30)*(IF(Inputs!$B$39="pvp",MIN(15,15)/15,IF(AND(Inputs!$B$39&lt;&gt;"pvp",Inputs!$B$44&gt;0),MIN(15,Inputs!$B$44)/(Inputs!$B$44),0))),0)))-100),0))*CHOOSE(ArtifactsInput!$N$42+1,0.6,0.72,0.84,0.96,1.08,1.2))),Inputs!$B$18+((C1170=TRUE)*(F1170-Calc!F29))+(IF(AND(Inputs!$B$39&lt;&gt;"pvp",Inputs!$B$44=0),1,IF(IF(Inputs!$B$39="pvp",15,Inputs!$B$44)-(B1186)&lt;=0,1,MAX(0,IF(Inputs!$B$39="pvp",15,Inputs!$B$44)-MAX(5,B1186))/(IF(Inputs!$B$39="pvp",15,Inputs!$B$44)-(B1186))))*IF(AND(ArtifactsInput!$M$42,((Inputs!$B$9+((C1167=TRUE)*(F1167-Calc!F26))+B1175+(ArtifactsInput!$M$24-ArtifactsInput!$M$24)*CHOOSE(ArtifactsInput!$N$24+1,10,12,14,16,18,20)+IF(ArtifactsInput!$M$10,CHOOSE(ArtifactsInput!$N$10+1,15,18,21,24,27,30)*(IF(Inputs!$B$39="pvp",MIN(15,15)/15,IF(AND(Inputs!$B$39&lt;&gt;"pvp",Inputs!$B$44&gt;0),MIN(15,Inputs!$B$44)/(Inputs!$B$44),0))),0)))&gt;=100),CHOOSE(ArtifactsInput!$N$42+1,40,48,56,64,72,80),0))))/100)*(((1+(((C1163=TRUE)*F1163*IF(AND(Inputs!$B$39&lt;&gt;"pvp",Inputs!$B$44&gt;0),(((R1163-1)*MIN((Skills!Y22*(1+Inputs!$B$34/100)),(1/Q1163))+MIN((Skills!Y22*(1+Inputs!$B$34/100)),MAX(0,Inputs!$B$44-((R1163-1)*(1/Q1163)))))/Inputs!$B$44),IF(Inputs!$B$39="pvp",MIN((Skills!Y22*(1+Inputs!$B$34/100)),15)/15,MIN(1,(Skills!Y22*(1+Inputs!$B$34/100))/(1/Q1163)))))+((C1144=TRUE)*F1144*3)+((C1146=TRUE)*F1146*(1-EXP(-0.75*B1179*5)))+((C1165=TRUE)*(F1165-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1152=TRUE)*F1152*IF(AND(Inputs!$B$39&lt;&gt;"pvp",Inputs!$B$44&gt;0),(((R1152-1)*MIN((Skills!Y11*(1+Inputs!$B$34/100)),(1/Q1152))+MIN((Skills!Y11*(1+Inputs!$B$34/100)),MAX(0,Inputs!$B$44-((R1152-1)*(1/Q1152)))))/Inputs!$B$44),IF(Inputs!$B$39="pvp",MIN((Skills!Y11*(1+Inputs!$B$34/100)),15)/15,MIN(1,(Skills!Y11*(1+Inputs!$B$34/100))/(1/Q1152)))))/100)*(1+((C1157=TRUE)*F1157*IF(AND(Inputs!$B$39&lt;&gt;"pvp",Inputs!$B$44&gt;0),(((R1157-1)*MIN((Skills!Y16*(1+Inputs!$B$34/100)),(1/Q1157))+MIN((Skills!Y16*(1+Inputs!$B$34/100)),MAX(0,Inputs!$B$44-((R1157-1)*(1/Q1157)))))/Inputs!$B$44),IF(Inputs!$B$39="pvp",MIN((Skills!Y16*(1+Inputs!$B$34/100)),15)/15,MIN(1,(Skills!Y16*(1+Inputs!$B$34/100))/(1/Q1157)))))/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1177*I1156)</f>
        <v/>
      </c>
      <c r="L1156">
        <f>K1156*(MIN(Inputs!$B$22+((C1166=TRUE)*(F1166-Calc!F25)),(Inputs!$B$23+((C1171=TRUE)*(F1171-Calc!F30))+IF(ArtifactsInput!$M$15,CHOOSE(ArtifactsInput!$N$15+1,25,30,35,40,45,50)/100*(Inputs!$B$11-Inputs!$B$11),0)))/100+(Inputs!$B$23+((C1171=TRUE)*(F1171-Calc!F30))+IF(ArtifactsInput!$M$15,CHOOSE(ArtifactsInput!$N$15+1,25,30,35,40,45,50)/100*(Inputs!$B$11-Inputs!$B$11),0))/100)/2</f>
        <v/>
      </c>
      <c r="M1156">
        <f>L1156*(1+(Inputs!$B$10+((C1168=TRUE)*(F1168-Calc!F27))+B1182+(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1156">
        <f>L1156*(1-MIN((Inputs!$B$9+((C1167=TRUE)*(F1167-Calc!F26))+B1175+(ArtifactsInput!$M$24-ArtifactsInput!$M$24)*CHOOSE(ArtifactsInput!$N$24+1,10,12,14,16,18,20)+(IF(AND(Inputs!$B$39&lt;&gt;"pvp",Inputs!$B$44=0),1,IF(IF(Inputs!$B$39="pvp",15,Inputs!$B$44)-(B1186)&lt;=0,1,MAX(0,IF(Inputs!$B$39="pvp",15,Inputs!$B$44)-MAX(5,B1186))/(IF(Inputs!$B$39="pvp",15,Inputs!$B$44)-(B1186))))*IF(AND(ArtifactsInput!$M$42,((Inputs!$B$9+((C1167=TRUE)*(F1167-Calc!F26))+B1175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1156*(MIN((Inputs!$B$9+((C1167=TRUE)*(F1167-Calc!F26))+B1175+(ArtifactsInput!$M$24-ArtifactsInput!$M$24)*CHOOSE(ArtifactsInput!$N$24+1,10,12,14,16,18,20)+(IF(AND(Inputs!$B$39&lt;&gt;"pvp",Inputs!$B$44=0),1,IF(IF(Inputs!$B$39="pvp",15,Inputs!$B$44)-(B1186)&lt;=0,1,MAX(0,IF(Inputs!$B$39="pvp",15,Inputs!$B$44)-MAX(5,B1186))/(IF(Inputs!$B$39="pvp",15,Inputs!$B$44)-(B1186))))*IF(AND(ArtifactsInput!$M$42,((Inputs!$B$9+((C1167=TRUE)*(F1167-Calc!F26))+B1175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156">
        <f>(1-Summary!$B$11)*T1156+Summary!$B$11*V1156</f>
        <v/>
      </c>
      <c r="P1156">
        <f>IF(B1187=0,0,O1156/B1187)</f>
        <v/>
      </c>
      <c r="Q1156">
        <f>IFERROR(1/IF(Inputs!$B$39="pvp",15,MAX(0.1,Skills!D15-IF(TRUE=TRUE,Inputs!$B$32,0))),0)</f>
        <v/>
      </c>
      <c r="R1156">
        <f>IF(AND(Inputs!$B$39&lt;&gt;"pvp",Inputs!$B$44&gt;0),IF(MAX(0,Inputs!$B$44-B1186)&lt;=0,0,(INT(MAX(0,Inputs!$B$44-B1186)/IF(Inputs!$B$39="pvp",15,MAX(0.1,Skills!D15-IF(TRUE=TRUE,Inputs!$B$32,0))))+1)),0)</f>
        <v/>
      </c>
      <c r="S1156">
        <f>IFERROR(O1156/N1156,0)</f>
        <v/>
      </c>
      <c r="T1156">
        <f>IF(C1156,(H1156*N1156*IF(AND(Inputs!$B$39&lt;&gt;"pvp",Inputs!$B$44&gt;0),((Skills!G15*((R1156-1)*IF(Skills!H15&gt;0,Skills!I15/Skills!H15,1)+IF(Skills!H15&gt;0,MIN(Skills!I15,MAX(0,MAX(0,Inputs!$B$44-B1186)-((R1156-1)*IF(Inputs!$B$39="pvp",15,MAX(0.1,Skills!D15-IF(TRUE=TRUE,Inputs!$B$32,0))))))/Skills!H15,1)))/Inputs!$B$44),G1156*Q1156))*IF(Inputs!$B$39="pvp",1,1+(Inputs!$B$20+0+Skills!P15+B1176+(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Hunt"),CHOOSE(ArtifactsInput!$N$35+1,15,18,21,24,27,30)*(1-EXP(-(0.2*B1179)*5)),0)+IF(AND(ArtifactsInput!$M$22,Inputs!$B$4&lt;&gt;"Chapter Hunt"),CHOOSE(ArtifactsInput!$N$22+1,10,12,14,16,18,20)*((0*(((0.15*B1179*5))^0/1)+1*(((0.15*B1179*5))^1/1)+2*(((0.15*B1179*5))^2/2)+3*(((0.15*B1179*5))^3/6)+4*(((0.15*B1179*5))^4/24)+5*(((0.15*B1179*5))^5/120))/((((0.15*B1179*5))^0/1)+(((0.15*B1179*5))^1/1)+(((0.15*B1179*5))^2/2)+(((0.15*B1179*5))^3/6)+(((0.15*B1179*5))^4/24)+(((0.15*B1179*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1156*(1-MIN(100,(Inputs!$B$9+((C1167=TRUE)*(F1167-Calc!F26))+B1175+(ArtifactsInput!$M$24-ArtifactsInput!$M$24)*CHOOSE(ArtifactsInput!$N$24+1,10,12,14,16,18,20)+(IF(AND(Inputs!$B$39&lt;&gt;"pvp",Inputs!$B$44=0),1,IF(IF(Inputs!$B$39="pvp",15,Inputs!$B$44)-(B1186)&lt;=0,1,MAX(0,IF(Inputs!$B$39="pvp",15,Inputs!$B$44)-MAX(5,B1186))/(IF(Inputs!$B$39="pvp",15,Inputs!$B$44)-(B1186))))*IF(AND(ArtifactsInput!$M$42,((Inputs!$B$9+((C1167=TRUE)*(F1167-Calc!F26))+B1175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1156*(MIN(100,(Inputs!$B$9+((C1167=TRUE)*(F1167-Calc!F26))+B1175+(ArtifactsInput!$M$24-ArtifactsInput!$M$24)*CHOOSE(ArtifactsInput!$N$24+1,10,12,14,16,18,20)+(IF(AND(Inputs!$B$39&lt;&gt;"pvp",Inputs!$B$44=0),1,IF(IF(Inputs!$B$39="pvp",15,Inputs!$B$44)-(B1186)&lt;=0,1,MAX(0,IF(Inputs!$B$39="pvp",15,Inputs!$B$44)-MAX(5,B1186))/(IF(Inputs!$B$39="pvp",15,Inputs!$B$44)-(B1186))))*IF(AND(ArtifactsInput!$M$42,((Inputs!$B$9+((C1167=TRUE)*(F1167-Calc!F26))+B1175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1156*(1-MIN(100,(Inputs!$B$9+((C1167=TRUE)*(F1167-Calc!F26))+B1175+(ArtifactsInput!$M$24-ArtifactsInput!$M$24)*CHOOSE(ArtifactsInput!$N$24+1,10,12,14,16,18,20)+(IF(AND(Inputs!$B$39&lt;&gt;"pvp",Inputs!$B$44=0),1,IF(IF(Inputs!$B$39="pvp",15,Inputs!$B$44)-(B1186)&lt;=0,1,MAX(0,IF(Inputs!$B$39="pvp",15,Inputs!$B$44)-MAX(5,B1186))/(IF(Inputs!$B$39="pvp",15,Inputs!$B$44)-(B1186))))*IF(AND(ArtifactsInput!$M$42,((Inputs!$B$9+((C1167=TRUE)*(F1167-Calc!F26))+B1175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1156*(MIN(100,(Inputs!$B$9+((C1167=TRUE)*(F1167-Calc!F26))+B1175+(ArtifactsInput!$M$24-ArtifactsInput!$M$24)*CHOOSE(ArtifactsInput!$N$24+1,10,12,14,16,18,20)+(IF(AND(Inputs!$B$39&lt;&gt;"pvp",Inputs!$B$44=0),1,IF(IF(Inputs!$B$39="pvp",15,Inputs!$B$44)-(B1186)&lt;=0,1,MAX(0,IF(Inputs!$B$39="pvp",15,Inputs!$B$44)-MAX(5,B1186))/(IF(Inputs!$B$39="pvp",15,Inputs!$B$44)-(B1186))))*IF(AND(ArtifactsInput!$M$42,((Inputs!$B$9+((C1167=TRUE)*(F1167-Calc!F26))+B1175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1156">
        <f>IF(C1156,(H1156*N1156*IF(AND(Inputs!$B$39&lt;&gt;"pvp",Inputs!$B$44&gt;0),((Skills!G15*((R1156-1)*IF(Skills!H15&gt;0,Skills!I15/Skills!H15,1)+IF(Skills!H15&gt;0,MIN(Skills!I15,MAX(0,MAX(0,Inputs!$B$44-B1186)-((R1156-1)*IF(Inputs!$B$39="pvp",15,MAX(0.1,Skills!D15-IF(TRUE=TRUE,Inputs!$B$32,0))))))/Skills!H15,1)))/Inputs!$B$44),G1156*Q1156))*IF(Inputs!$B$39="pvp",1,(1+(Inputs!$B$21+Skills!Q15+B1176+(IF(ArtifactsInput!$M$33,CHOOSE(ArtifactsInput!$N$33+1,30,36,42,48,54,60),0))+(IF(AND(ArtifactsInput!$M$35,Inputs!$B$4&lt;&gt;"Chapter Hunt"),CHOOSE(ArtifactsInput!$N$35+1,15,18,21,24,27,30)*(1-EXP(-(0.2*B1179)*5)),0)+IF(AND(ArtifactsInput!$M$22,Inputs!$B$4&lt;&gt;"Chapter Hunt"),CHOOSE(ArtifactsInput!$N$22+1,10,12,14,16,18,20)*((0*(((0.15*B1179*5))^0/1)+1*(((0.15*B1179*5))^1/1)+2*(((0.15*B1179*5))^2/2)+3*(((0.15*B1179*5))^3/6)+4*(((0.15*B1179*5))^4/24)+5*(((0.15*B1179*5))^5/120))/((((0.15*B1179*5))^0/1)+(((0.15*B1179*5))^1/1)+(((0.15*B1179*5))^2/2)+(((0.15*B1179*5))^3/6)+(((0.15*B1179*5))^4/24)+(((0.15*B1179*5))^5/120))),0)))/100)*(MIN(MIN(5,0.5*IF(Inputs!$B$3&gt;=75,0.75,0.5)*B1179*(1/Q1145))*Skills!V15,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157">
      <c r="A1157">
        <f>Skills!A16</f>
        <v/>
      </c>
      <c r="B1157">
        <f>Skills!B16</f>
        <v/>
      </c>
      <c r="C1157">
        <f>Inputs!$B$3&gt;=110</f>
        <v/>
      </c>
      <c r="D1157">
        <f>IF(Skills!C16=1,60+Inputs!$B$25+Inputs!$B$29,IF(Skills!C16=2,90+Inputs!$B$26+Inputs!$B$29,IF(Skills!C16=3,120+Inputs!$B$27+Inputs!$B$29,MAX(0,(Inputs!$B$3-100)*3)+Inputs!$B$28+Inputs!$B$29)))</f>
        <v/>
      </c>
      <c r="E1157">
        <f>INDEX(FactorTable!$B$2:$Y$301, MATCH(ROUND(MIN(300,MAX(1,D1157)),0), FactorTable!$A$2:$A$301,0), Skills!M16+1)</f>
        <v/>
      </c>
      <c r="F1157">
        <f>IF(Skills!N16=TRUE,(Skills!L16/10)*(E1157/1000),Skills!L16/10)+Skills!O16</f>
        <v/>
      </c>
      <c r="G1157">
        <f>Skills!G16*IF(Skills!H16&gt;0,IF(Inputs!$B$39="pvp",MIN(Skills!I16,15),Skills!I16)/Skills!H16,1)</f>
        <v/>
      </c>
      <c r="H1157">
        <f>1-(1-Skills!J16/100)^Skills!K16</f>
        <v/>
      </c>
      <c r="I1157" t="inlineStr">
        <is>
          <t>1</t>
        </is>
      </c>
      <c r="J1157" t="inlineStr"/>
      <c r="K1157" t="inlineStr"/>
      <c r="L1157" t="inlineStr"/>
      <c r="M1157" t="inlineStr"/>
      <c r="N1157" t="inlineStr"/>
      <c r="O1157">
        <f>(1-Summary!$B$11)*T1157+Summary!$B$11*V1157</f>
        <v/>
      </c>
      <c r="P1157">
        <f>IF(B1187=0,0,O1157/B1187)</f>
        <v/>
      </c>
      <c r="Q1157">
        <f>IFERROR(1/IF(Inputs!$B$39="pvp",15,MAX(0.1,Skills!D16-IF(TRUE=TRUE,Inputs!$B$32,0))),0)</f>
        <v/>
      </c>
      <c r="R1157">
        <f>IF(AND(Inputs!$B$39&lt;&gt;"pvp",Inputs!$B$44&gt;0),IF(Inputs!$B$44&lt;=0,0,(INT(Inputs!$B$44/IF(Inputs!$B$39="pvp",15,MAX(0.1,Skills!D16-IF(TRUE=TRUE,Inputs!$B$32,0))))+1)),0)</f>
        <v/>
      </c>
      <c r="S1157">
        <f>IFERROR(O1157/N1157,0)</f>
        <v/>
      </c>
      <c r="T1157" t="n">
        <v>0</v>
      </c>
      <c r="V1157" t="n">
        <v>0</v>
      </c>
    </row>
    <row r="1158">
      <c r="A1158">
        <f>Skills!A17</f>
        <v/>
      </c>
      <c r="B1158">
        <f>Skills!B17</f>
        <v/>
      </c>
      <c r="C1158">
        <f>Inputs!$B$3&gt;=115</f>
        <v/>
      </c>
      <c r="D1158">
        <f>IF(Skills!C17=1,60+Inputs!$B$25+Inputs!$B$29,IF(Skills!C17=2,90+Inputs!$B$26+Inputs!$B$29,IF(Skills!C17=3,120+Inputs!$B$27+Inputs!$B$29,MAX(0,(Inputs!$B$3-100)*3)+Inputs!$B$28+Inputs!$B$29)))</f>
        <v/>
      </c>
      <c r="E1158">
        <f>INDEX(FactorTable!$B$2:$Y$301, MATCH(ROUND(MIN(300,MAX(1,D1158)),0), FactorTable!$A$2:$A$301,0), Skills!M17+1)</f>
        <v/>
      </c>
      <c r="F1158">
        <f>IF(Skills!N17=TRUE,(Skills!L17/10)*(E1158/1000),Skills!L17/10)+Skills!O17</f>
        <v/>
      </c>
      <c r="G1158">
        <f>Skills!G17*IF(Skills!H17&gt;0,IF(Inputs!$B$39="pvp",MIN(Skills!I17,15),Skills!I17)/Skills!H17,1)</f>
        <v/>
      </c>
      <c r="H1158">
        <f>1-(1-Skills!J17/100)^Skills!K17</f>
        <v/>
      </c>
      <c r="I1158" t="inlineStr">
        <is>
          <t>1</t>
        </is>
      </c>
      <c r="J1158">
        <f>(((Inputs!$B$6+1)*(1+Inputs!$B$7/100))+(((Inputs!$B$12*(1+Inputs!$B$13/100))-(Inputs!$B$12*(1+Inputs!$B$13/100)))+0.25*(Inputs!$B$14-Inputs!$B$14))*(1+Inputs!$B$7/100))*(F1158/100)</f>
        <v/>
      </c>
      <c r="K1158">
        <f>J1158*(1+((Inputs!$B$12*(1+Inputs!$B$13/100))*0.01+Inputs!$B$14*0.0025)/100)*(1+Inputs!$B$15/100)*(1+Inputs!$B$16/100)*(5000/(6000+Inputs!$B$43*(1-(100*(1-(1-Inputs!$B$19/100)*(1-CHOOSE(ArtifactsInput!$N$40+1,5,6,7,8,9,10)/100)^(ArtifactsInput!$M$40-ArtifactsInput!$M$40)))/100)))*(1+(Inputs!$B$24+((C1172=TRUE)*(F1172-Calc!F31))+((C1159=TRUE)*(F1159-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17="CRUEL_STAB",Inputs!$B$17+((C1169=TRUE)*(F1169-Calc!F28))+((IF(AND(Inputs!$B$39&lt;&gt;"pvp",Inputs!$B$44=0),1,IF(IF(Inputs!$B$39="pvp",15,Inputs!$B$44)-(B1186)&lt;=0,1,MAX(0,IF(Inputs!$B$39="pvp",15,Inputs!$B$44)-MAX(5,B1186))/(IF(Inputs!$B$39="pvp",15,Inputs!$B$44)-(B1186))))*(IF(AND(ArtifactsInput!$M$42,((Inputs!$B$9+((C1167=TRUE)*(F1167-Calc!F26))+B1175+(ArtifactsInput!$M$24-ArtifactsInput!$M$24)*CHOOSE(ArtifactsInput!$N$24+1,10,12,14,16,18,20)+IF(ArtifactsInput!$M$10,CHOOSE(ArtifactsInput!$N$10+1,15,18,21,24,27,30)*(IF(Inputs!$B$39="pvp",MIN(15,15)/15,IF(AND(Inputs!$B$39&lt;&gt;"pvp",Inputs!$B$44&gt;0),MIN(15,Inputs!$B$44)/(Inputs!$B$44),0))),0)))&gt;=100),MIN(100,((Inputs!$B$9+((C1167=TRUE)*(F1167-Calc!F26))+B1175+(ArtifactsInput!$M$24-ArtifactsInput!$M$24)*CHOOSE(ArtifactsInput!$N$24+1,10,12,14,16,18,20)+IF(ArtifactsInput!$M$10,CHOOSE(ArtifactsInput!$N$10+1,15,18,21,24,27,30)*(IF(Inputs!$B$39="pvp",MIN(15,15)/15,IF(AND(Inputs!$B$39&lt;&gt;"pvp",Inputs!$B$44&gt;0),MIN(15,Inputs!$B$44)/(Inputs!$B$44),0))),0)))-100),0))*CHOOSE(ArtifactsInput!$N$42+1,0.6,0.72,0.84,0.96,1.08,1.2))),Inputs!$B$18+((C1170=TRUE)*(F1170-Calc!F29))+(IF(AND(Inputs!$B$39&lt;&gt;"pvp",Inputs!$B$44=0),1,IF(IF(Inputs!$B$39="pvp",15,Inputs!$B$44)-(B1186)&lt;=0,1,MAX(0,IF(Inputs!$B$39="pvp",15,Inputs!$B$44)-MAX(5,B1186))/(IF(Inputs!$B$39="pvp",15,Inputs!$B$44)-(B1186))))*IF(AND(ArtifactsInput!$M$42,((Inputs!$B$9+((C1167=TRUE)*(F1167-Calc!F26))+B1175+(ArtifactsInput!$M$24-ArtifactsInput!$M$24)*CHOOSE(ArtifactsInput!$N$24+1,10,12,14,16,18,20)+IF(ArtifactsInput!$M$10,CHOOSE(ArtifactsInput!$N$10+1,15,18,21,24,27,30)*(IF(Inputs!$B$39="pvp",MIN(15,15)/15,IF(AND(Inputs!$B$39&lt;&gt;"pvp",Inputs!$B$44&gt;0),MIN(15,Inputs!$B$44)/(Inputs!$B$44),0))),0)))&gt;=100),CHOOSE(ArtifactsInput!$N$42+1,40,48,56,64,72,80),0))))/100)*(((1+(((C1163=TRUE)*F1163*IF(AND(Inputs!$B$39&lt;&gt;"pvp",Inputs!$B$44&gt;0),(((R1163-1)*MIN((Skills!Y22*(1+Inputs!$B$34/100)),(1/Q1163))+MIN((Skills!Y22*(1+Inputs!$B$34/100)),MAX(0,Inputs!$B$44-((R1163-1)*(1/Q1163)))))/Inputs!$B$44),IF(Inputs!$B$39="pvp",MIN((Skills!Y22*(1+Inputs!$B$34/100)),15)/15,MIN(1,(Skills!Y22*(1+Inputs!$B$34/100))/(1/Q1163)))))+((C1144=TRUE)*F1144*3)+((C1146=TRUE)*F1146*(1-EXP(-0.75*B1179*5)))+((C1165=TRUE)*(F1165-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1152=TRUE)*F1152*IF(AND(Inputs!$B$39&lt;&gt;"pvp",Inputs!$B$44&gt;0),(((R1152-1)*MIN((Skills!Y11*(1+Inputs!$B$34/100)),(1/Q1152))+MIN((Skills!Y11*(1+Inputs!$B$34/100)),MAX(0,Inputs!$B$44-((R1152-1)*(1/Q1152)))))/Inputs!$B$44),IF(Inputs!$B$39="pvp",MIN((Skills!Y11*(1+Inputs!$B$34/100)),15)/15,MIN(1,(Skills!Y11*(1+Inputs!$B$34/100))/(1/Q1152)))))/100)*(1+((C1157=TRUE)*F1157*IF(AND(Inputs!$B$39&lt;&gt;"pvp",Inputs!$B$44&gt;0),(((R1157-1)*MIN((Skills!Y16*(1+Inputs!$B$34/100)),(1/Q1157))+MIN((Skills!Y16*(1+Inputs!$B$34/100)),MAX(0,Inputs!$B$44-((R1157-1)*(1/Q1157)))))/Inputs!$B$44),IF(Inputs!$B$39="pvp",MIN((Skills!Y16*(1+Inputs!$B$34/100)),15)/15,MIN(1,(Skills!Y16*(1+Inputs!$B$34/100))/(1/Q1157)))))/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1177*I1158)</f>
        <v/>
      </c>
      <c r="L1158">
        <f>K1158*(MIN(Inputs!$B$22+((C1166=TRUE)*(F1166-Calc!F25)),(Inputs!$B$23+((C1171=TRUE)*(F1171-Calc!F30))+IF(ArtifactsInput!$M$15,CHOOSE(ArtifactsInput!$N$15+1,25,30,35,40,45,50)/100*(Inputs!$B$11-Inputs!$B$11),0)))/100+(Inputs!$B$23+((C1171=TRUE)*(F1171-Calc!F30))+IF(ArtifactsInput!$M$15,CHOOSE(ArtifactsInput!$N$15+1,25,30,35,40,45,50)/100*(Inputs!$B$11-Inputs!$B$11),0))/100)/2</f>
        <v/>
      </c>
      <c r="M1158">
        <f>L1158*(1+(Inputs!$B$10+((C1168=TRUE)*(F1168-Calc!F27))+B1182+(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1158">
        <f>L1158*(1-MIN((Inputs!$B$9+((C1167=TRUE)*(F1167-Calc!F26))+B1175+(ArtifactsInput!$M$24-ArtifactsInput!$M$24)*CHOOSE(ArtifactsInput!$N$24+1,10,12,14,16,18,20)+(IF(AND(Inputs!$B$39&lt;&gt;"pvp",Inputs!$B$44=0),1,IF(IF(Inputs!$B$39="pvp",15,Inputs!$B$44)-(B1186)&lt;=0,1,MAX(0,IF(Inputs!$B$39="pvp",15,Inputs!$B$44)-MAX(5,B1186))/(IF(Inputs!$B$39="pvp",15,Inputs!$B$44)-(B1186))))*IF(AND(ArtifactsInput!$M$42,((Inputs!$B$9+((C1167=TRUE)*(F1167-Calc!F26))+B1175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1158*(MIN((Inputs!$B$9+((C1167=TRUE)*(F1167-Calc!F26))+B1175+(ArtifactsInput!$M$24-ArtifactsInput!$M$24)*CHOOSE(ArtifactsInput!$N$24+1,10,12,14,16,18,20)+(IF(AND(Inputs!$B$39&lt;&gt;"pvp",Inputs!$B$44=0),1,IF(IF(Inputs!$B$39="pvp",15,Inputs!$B$44)-(B1186)&lt;=0,1,MAX(0,IF(Inputs!$B$39="pvp",15,Inputs!$B$44)-MAX(5,B1186))/(IF(Inputs!$B$39="pvp",15,Inputs!$B$44)-(B1186))))*IF(AND(ArtifactsInput!$M$42,((Inputs!$B$9+((C1167=TRUE)*(F1167-Calc!F26))+B1175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158">
        <f>(1-Summary!$B$11)*T1158+Summary!$B$11*V1158</f>
        <v/>
      </c>
      <c r="P1158">
        <f>IF(B1187=0,0,O1158/B1187)</f>
        <v/>
      </c>
      <c r="Q1158" t="n">
        <v>0</v>
      </c>
      <c r="R1158" t="n">
        <v>0</v>
      </c>
      <c r="S1158">
        <f>IFERROR(O1158/N1158,0)</f>
        <v/>
      </c>
      <c r="T1158">
        <f>IF(C1158,(Inputs!$B$38*0.2*N1158)*IF(Inputs!$B$39="pvp",1,1+(Inputs!$B$20+0+Skills!P17+B1176+(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Hunt"),CHOOSE(ArtifactsInput!$N$35+1,15,18,21,24,27,30)*(1-EXP(-(0.2*B1179)*5)),0)+IF(AND(ArtifactsInput!$M$22,Inputs!$B$4&lt;&gt;"Chapter Hunt"),CHOOSE(ArtifactsInput!$N$22+1,10,12,14,16,18,20)*((0*(((0.15*B1179*5))^0/1)+1*(((0.15*B1179*5))^1/1)+2*(((0.15*B1179*5))^2/2)+3*(((0.15*B1179*5))^3/6)+4*(((0.15*B1179*5))^4/24)+5*(((0.15*B1179*5))^5/120))/((((0.15*B1179*5))^0/1)+(((0.15*B1179*5))^1/1)+(((0.15*B1179*5))^2/2)+(((0.15*B1179*5))^3/6)+(((0.15*B1179*5))^4/24)+(((0.15*B1179*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1158*(1-MIN(100,(Inputs!$B$9+((C1167=TRUE)*(F1167-Calc!F26))+B1175+(ArtifactsInput!$M$24-ArtifactsInput!$M$24)*CHOOSE(ArtifactsInput!$N$24+1,10,12,14,16,18,20)+(IF(AND(Inputs!$B$39&lt;&gt;"pvp",Inputs!$B$44=0),1,IF(IF(Inputs!$B$39="pvp",15,Inputs!$B$44)-(B1186)&lt;=0,1,MAX(0,IF(Inputs!$B$39="pvp",15,Inputs!$B$44)-MAX(5,B1186))/(IF(Inputs!$B$39="pvp",15,Inputs!$B$44)-(B1186))))*IF(AND(ArtifactsInput!$M$42,((Inputs!$B$9+((C1167=TRUE)*(F1167-Calc!F26))+B1175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1158*(MIN(100,(Inputs!$B$9+((C1167=TRUE)*(F1167-Calc!F26))+B1175+(ArtifactsInput!$M$24-ArtifactsInput!$M$24)*CHOOSE(ArtifactsInput!$N$24+1,10,12,14,16,18,20)+(IF(AND(Inputs!$B$39&lt;&gt;"pvp",Inputs!$B$44=0),1,IF(IF(Inputs!$B$39="pvp",15,Inputs!$B$44)-(B1186)&lt;=0,1,MAX(0,IF(Inputs!$B$39="pvp",15,Inputs!$B$44)-MAX(5,B1186))/(IF(Inputs!$B$39="pvp",15,Inputs!$B$44)-(B1186))))*IF(AND(ArtifactsInput!$M$42,((Inputs!$B$9+((C1167=TRUE)*(F1167-Calc!F26))+B1175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1158*(1-MIN(100,(Inputs!$B$9+((C1167=TRUE)*(F1167-Calc!F26))+B1175+(ArtifactsInput!$M$24-ArtifactsInput!$M$24)*CHOOSE(ArtifactsInput!$N$24+1,10,12,14,16,18,20)+(IF(AND(Inputs!$B$39&lt;&gt;"pvp",Inputs!$B$44=0),1,IF(IF(Inputs!$B$39="pvp",15,Inputs!$B$44)-(B1186)&lt;=0,1,MAX(0,IF(Inputs!$B$39="pvp",15,Inputs!$B$44)-MAX(5,B1186))/(IF(Inputs!$B$39="pvp",15,Inputs!$B$44)-(B1186))))*IF(AND(ArtifactsInput!$M$42,((Inputs!$B$9+((C1167=TRUE)*(F1167-Calc!F26))+B1175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1158*(MIN(100,(Inputs!$B$9+((C1167=TRUE)*(F1167-Calc!F26))+B1175+(ArtifactsInput!$M$24-ArtifactsInput!$M$24)*CHOOSE(ArtifactsInput!$N$24+1,10,12,14,16,18,20)+(IF(AND(Inputs!$B$39&lt;&gt;"pvp",Inputs!$B$44=0),1,IF(IF(Inputs!$B$39="pvp",15,Inputs!$B$44)-(B1186)&lt;=0,1,MAX(0,IF(Inputs!$B$39="pvp",15,Inputs!$B$44)-MAX(5,B1186))/(IF(Inputs!$B$39="pvp",15,Inputs!$B$44)-(B1186))))*IF(AND(ArtifactsInput!$M$42,((Inputs!$B$9+((C1167=TRUE)*(F1167-Calc!F26))+B1175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1158">
        <f>IF(C1158,(Inputs!$B$38*0.2*N1158)*IF(Inputs!$B$39="pvp",1,(1+(Inputs!$B$21+Skills!Q17+B1176+(IF(ArtifactsInput!$M$33,CHOOSE(ArtifactsInput!$N$33+1,30,36,42,48,54,60),0))+(IF(AND(ArtifactsInput!$M$35,Inputs!$B$4&lt;&gt;"Chapter Hunt"),CHOOSE(ArtifactsInput!$N$35+1,15,18,21,24,27,30)*(1-EXP(-(0.2*B1179)*5)),0)+IF(AND(ArtifactsInput!$M$22,Inputs!$B$4&lt;&gt;"Chapter Hunt"),CHOOSE(ArtifactsInput!$N$22+1,10,12,14,16,18,20)*((0*(((0.15*B1179*5))^0/1)+1*(((0.15*B1179*5))^1/1)+2*(((0.15*B1179*5))^2/2)+3*(((0.15*B1179*5))^3/6)+4*(((0.15*B1179*5))^4/24)+5*(((0.15*B1179*5))^5/120))/((((0.15*B1179*5))^0/1)+(((0.15*B1179*5))^1/1)+(((0.15*B1179*5))^2/2)+(((0.15*B1179*5))^3/6)+(((0.15*B1179*5))^4/24)+(((0.15*B1179*5))^5/120))),0)))/100)*(MIN(Skills!W17,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159">
      <c r="A1159">
        <f>Skills!A18</f>
        <v/>
      </c>
      <c r="B1159">
        <f>Skills!B18</f>
        <v/>
      </c>
      <c r="C1159">
        <f>Inputs!$B$3&gt;=115</f>
        <v/>
      </c>
      <c r="D1159">
        <f>IF(Skills!C18=1,60+Inputs!$B$25+Inputs!$B$29,IF(Skills!C18=2,90+Inputs!$B$26+Inputs!$B$29,IF(Skills!C18=3,120+Inputs!$B$27+Inputs!$B$29,MAX(0,(Inputs!$B$3-100)*3)+Inputs!$B$28+Inputs!$B$29)))</f>
        <v/>
      </c>
      <c r="E1159">
        <f>INDEX(FactorTable!$B$2:$Y$301, MATCH(ROUND(MIN(300,MAX(1,D1159)),0), FactorTable!$A$2:$A$301,0), Skills!M18+1)</f>
        <v/>
      </c>
      <c r="F1159">
        <f>IF(Skills!N18=TRUE,(Skills!L18/10)*(E1159/1000),Skills!L18/10)+Skills!O18</f>
        <v/>
      </c>
      <c r="G1159">
        <f>Skills!G18*IF(Skills!H18&gt;0,IF(Inputs!$B$39="pvp",MIN(Skills!I18,15),Skills!I18)/Skills!H18,1)</f>
        <v/>
      </c>
      <c r="H1159">
        <f>1-(1-Skills!J18/100)^Skills!K18</f>
        <v/>
      </c>
      <c r="I1159" t="inlineStr">
        <is>
          <t>1</t>
        </is>
      </c>
      <c r="J1159" t="inlineStr"/>
      <c r="K1159" t="inlineStr"/>
      <c r="L1159" t="inlineStr"/>
      <c r="M1159" t="inlineStr"/>
      <c r="N1159" t="inlineStr"/>
      <c r="O1159">
        <f>(1-Summary!$B$11)*T1159+Summary!$B$11*V1159</f>
        <v/>
      </c>
      <c r="P1159">
        <f>IF(B1187=0,0,O1159/B1187)</f>
        <v/>
      </c>
      <c r="Q1159" t="n">
        <v>0</v>
      </c>
      <c r="R1159" t="n">
        <v>0</v>
      </c>
      <c r="S1159">
        <f>IFERROR(O1159/N1159,0)</f>
        <v/>
      </c>
      <c r="T1159" t="n">
        <v>0</v>
      </c>
      <c r="V1159" t="n">
        <v>0</v>
      </c>
    </row>
    <row r="1160">
      <c r="A1160">
        <f>Skills!A19</f>
        <v/>
      </c>
      <c r="B1160">
        <f>Skills!B19</f>
        <v/>
      </c>
      <c r="C1160">
        <f>Inputs!$B$3&gt;=100</f>
        <v/>
      </c>
      <c r="D1160">
        <f>IF(Skills!C19=1,60+Inputs!$B$25+Inputs!$B$29,IF(Skills!C19=2,90+Inputs!$B$26+Inputs!$B$29,IF(Skills!C19=3,120+Inputs!$B$27+Inputs!$B$29,MAX(0,(Inputs!$B$3-100)*3)+Inputs!$B$28+Inputs!$B$29)))</f>
        <v/>
      </c>
      <c r="E1160">
        <f>INDEX(FactorTable!$B$2:$Y$301, MATCH(ROUND(MIN(300,MAX(1,D1160)),0), FactorTable!$A$2:$A$301,0), Skills!M19+1)</f>
        <v/>
      </c>
      <c r="F1160">
        <f>IF(Skills!N19=TRUE,(Skills!L19/10)*(E1160/1000),Skills!L19/10)+Skills!O19</f>
        <v/>
      </c>
      <c r="G1160">
        <f>Skills!G19*IF(Skills!H19&gt;0,IF(Inputs!$B$39="pvp",MIN(Skills!I19,15),Skills!I19)/Skills!H19,1)</f>
        <v/>
      </c>
      <c r="H1160">
        <f>1-(1-Skills!J19/100)^Skills!K19</f>
        <v/>
      </c>
      <c r="I1160" t="inlineStr">
        <is>
          <t>1</t>
        </is>
      </c>
      <c r="J1160" t="inlineStr"/>
      <c r="K1160" t="inlineStr"/>
      <c r="L1160" t="inlineStr"/>
      <c r="M1160" t="inlineStr"/>
      <c r="N1160" t="inlineStr"/>
      <c r="O1160">
        <f>(1-Summary!$B$11)*T1160+Summary!$B$11*V1160</f>
        <v/>
      </c>
      <c r="P1160">
        <f>IF(B1187=0,0,O1160/B1187)</f>
        <v/>
      </c>
      <c r="Q1160" t="n">
        <v>0</v>
      </c>
      <c r="R1160" t="n">
        <v>0</v>
      </c>
      <c r="S1160">
        <f>IFERROR(O1160/N1160,0)</f>
        <v/>
      </c>
      <c r="T1160" t="n">
        <v>0</v>
      </c>
      <c r="V1160" t="n">
        <v>0</v>
      </c>
    </row>
    <row r="1161">
      <c r="A1161">
        <f>Skills!A20</f>
        <v/>
      </c>
      <c r="B1161">
        <f>Skills!B20</f>
        <v/>
      </c>
      <c r="C1161">
        <f>TRUE</f>
        <v/>
      </c>
      <c r="D1161">
        <f>IF(Skills!C20=1,60+Inputs!$B$25+Inputs!$B$29,IF(Skills!C20=2,90+Inputs!$B$26+Inputs!$B$29,IF(Skills!C20=3,120+Inputs!$B$27+Inputs!$B$29,MAX(0,(Inputs!$B$3-100)*3)+Inputs!$B$28+Inputs!$B$29)))</f>
        <v/>
      </c>
      <c r="E1161">
        <f>INDEX(FactorTable!$B$2:$Y$301, MATCH(ROUND(MIN(300,MAX(1,D1161)),0), FactorTable!$A$2:$A$301,0), Skills!M20+1)</f>
        <v/>
      </c>
      <c r="F1161">
        <f>IF(Skills!N20=TRUE,(Skills!L20/10)*(E1161/1000),Skills!L20/10)+Skills!O20</f>
        <v/>
      </c>
      <c r="G1161">
        <f>Skills!G20*IF(Skills!H20&gt;0,IF(Inputs!$B$39="pvp",MIN(Skills!I20,15),Skills!I20)/Skills!H20,1)</f>
        <v/>
      </c>
      <c r="H1161">
        <f>1-(1-Skills!J20/100)^Skills!K20</f>
        <v/>
      </c>
      <c r="I1161" t="inlineStr">
        <is>
          <t>1</t>
        </is>
      </c>
      <c r="J1161" t="inlineStr"/>
      <c r="K1161" t="inlineStr"/>
      <c r="L1161" t="inlineStr"/>
      <c r="M1161" t="inlineStr"/>
      <c r="N1161" t="inlineStr"/>
      <c r="O1161">
        <f>(1-Summary!$B$11)*T1161+Summary!$B$11*V1161</f>
        <v/>
      </c>
      <c r="P1161">
        <f>IF(B1187=0,0,O1161/B1187)</f>
        <v/>
      </c>
      <c r="Q1161">
        <f>IFERROR(1/IF(Inputs!$B$39="pvp",15,MAX(0.1,Skills!D20-IF(TRUE=TRUE,Inputs!$B$32,0))),0)</f>
        <v/>
      </c>
      <c r="R1161">
        <f>IF(AND(Inputs!$B$39&lt;&gt;"pvp",Inputs!$B$44&gt;0),IF(Inputs!$B$44&lt;=0,0,(INT(Inputs!$B$44/IF(Inputs!$B$39="pvp",15,MAX(0.1,Skills!D20-IF(TRUE=TRUE,Inputs!$B$32,0))))+1)),0)</f>
        <v/>
      </c>
      <c r="S1161">
        <f>IFERROR(O1161/N1161,0)</f>
        <v/>
      </c>
      <c r="T1161" t="n">
        <v>0</v>
      </c>
      <c r="V1161" t="n">
        <v>0</v>
      </c>
    </row>
    <row r="1162">
      <c r="A1162">
        <f>Skills!A21</f>
        <v/>
      </c>
      <c r="B1162">
        <f>Skills!B21</f>
        <v/>
      </c>
      <c r="C1162">
        <f>Inputs!$B$3&gt;=15</f>
        <v/>
      </c>
      <c r="D1162">
        <f>IF(Skills!C21=1,60+Inputs!$B$25+Inputs!$B$29,IF(Skills!C21=2,90+Inputs!$B$26+Inputs!$B$29,IF(Skills!C21=3,120+Inputs!$B$27+Inputs!$B$29,MAX(0,(Inputs!$B$3-100)*3)+Inputs!$B$28+Inputs!$B$29)))</f>
        <v/>
      </c>
      <c r="E1162">
        <f>INDEX(FactorTable!$B$2:$Y$301, MATCH(ROUND(MIN(300,MAX(1,D1162)),0), FactorTable!$A$2:$A$301,0), Skills!M21+1)</f>
        <v/>
      </c>
      <c r="F1162">
        <f>IF(Skills!N21=TRUE,(Skills!L21/10)*(E1162/1000),Skills!L21/10)+Skills!O21</f>
        <v/>
      </c>
      <c r="G1162">
        <f>Skills!G21*IF(Skills!H21&gt;0,IF(Inputs!$B$39="pvp",MIN(Skills!I21,15),Skills!I21)/Skills!H21,1)</f>
        <v/>
      </c>
      <c r="H1162">
        <f>1-(1-Skills!J21/100)^Skills!K21</f>
        <v/>
      </c>
      <c r="I1162" t="inlineStr">
        <is>
          <t>1</t>
        </is>
      </c>
      <c r="J1162" t="inlineStr"/>
      <c r="K1162" t="inlineStr"/>
      <c r="L1162" t="inlineStr"/>
      <c r="M1162" t="inlineStr"/>
      <c r="N1162" t="inlineStr"/>
      <c r="O1162">
        <f>(1-Summary!$B$11)*T1162+Summary!$B$11*V1162</f>
        <v/>
      </c>
      <c r="P1162">
        <f>IF(B1187=0,0,O1162/B1187)</f>
        <v/>
      </c>
      <c r="Q1162">
        <f>IFERROR(1/IF(Inputs!$B$39="pvp",15,MAX(0.1,Skills!D21-IF(TRUE=TRUE,Inputs!$B$32,0))),0)</f>
        <v/>
      </c>
      <c r="R1162">
        <f>IF(AND(Inputs!$B$39&lt;&gt;"pvp",Inputs!$B$44&gt;0),IF(Inputs!$B$44&lt;=0,0,(INT(Inputs!$B$44/IF(Inputs!$B$39="pvp",15,MAX(0.1,Skills!D21-IF(TRUE=TRUE,Inputs!$B$32,0))))+1)),0)</f>
        <v/>
      </c>
      <c r="S1162">
        <f>IFERROR(O1162/N1162,0)</f>
        <v/>
      </c>
      <c r="T1162" t="n">
        <v>0</v>
      </c>
      <c r="V1162" t="n">
        <v>0</v>
      </c>
    </row>
    <row r="1163">
      <c r="A1163">
        <f>Skills!A22</f>
        <v/>
      </c>
      <c r="B1163">
        <f>Skills!B22</f>
        <v/>
      </c>
      <c r="C1163">
        <f>Inputs!$B$3&gt;=15</f>
        <v/>
      </c>
      <c r="D1163">
        <f>IF(Skills!C22=1,60+Inputs!$B$25+Inputs!$B$29,IF(Skills!C22=2,90+Inputs!$B$26+Inputs!$B$29,IF(Skills!C22=3,120+Inputs!$B$27+Inputs!$B$29,MAX(0,(Inputs!$B$3-100)*3)+Inputs!$B$28+Inputs!$B$29)))</f>
        <v/>
      </c>
      <c r="E1163">
        <f>INDEX(FactorTable!$B$2:$Y$301, MATCH(ROUND(MIN(300,MAX(1,D1163)),0), FactorTable!$A$2:$A$301,0), Skills!M22+1)</f>
        <v/>
      </c>
      <c r="F1163">
        <f>IF(Skills!N22=TRUE,(Skills!L22/10)*(E1163/1000),Skills!L22/10)+Skills!O22</f>
        <v/>
      </c>
      <c r="G1163">
        <f>Skills!G22*IF(Skills!H22&gt;0,IF(Inputs!$B$39="pvp",MIN(Skills!I22,15),Skills!I22)/Skills!H22,1)</f>
        <v/>
      </c>
      <c r="H1163">
        <f>1-(1-Skills!J22/100)^Skills!K22</f>
        <v/>
      </c>
      <c r="I1163" t="inlineStr">
        <is>
          <t>1</t>
        </is>
      </c>
      <c r="J1163" t="inlineStr"/>
      <c r="K1163" t="inlineStr"/>
      <c r="L1163" t="inlineStr"/>
      <c r="M1163" t="inlineStr"/>
      <c r="N1163" t="inlineStr"/>
      <c r="O1163">
        <f>(1-Summary!$B$11)*T1163+Summary!$B$11*V1163</f>
        <v/>
      </c>
      <c r="P1163">
        <f>IF(B1187=0,0,O1163/B1187)</f>
        <v/>
      </c>
      <c r="Q1163">
        <f>IFERROR(1/IF(Inputs!$B$39="pvp",15,MAX(0.1,Skills!D22-IF(TRUE=TRUE,Inputs!$B$32,0))),0)</f>
        <v/>
      </c>
      <c r="R1163">
        <f>IF(AND(Inputs!$B$39&lt;&gt;"pvp",Inputs!$B$44&gt;0),IF(Inputs!$B$44&lt;=0,0,(INT(Inputs!$B$44/IF(Inputs!$B$39="pvp",15,MAX(0.1,Skills!D22-IF(TRUE=TRUE,Inputs!$B$32,0))))+1)),0)</f>
        <v/>
      </c>
      <c r="S1163">
        <f>IFERROR(O1163/N1163,0)</f>
        <v/>
      </c>
      <c r="T1163" t="n">
        <v>0</v>
      </c>
      <c r="V1163" t="n">
        <v>0</v>
      </c>
    </row>
    <row r="1164">
      <c r="A1164">
        <f>Skills!A23</f>
        <v/>
      </c>
      <c r="B1164">
        <f>Skills!B23</f>
        <v/>
      </c>
      <c r="C1164">
        <f>Inputs!$B$3&gt;=33</f>
        <v/>
      </c>
      <c r="D1164">
        <f>IF(Skills!C23=1,60+Inputs!$B$25+Inputs!$B$29,IF(Skills!C23=2,90+Inputs!$B$26+Inputs!$B$29,IF(Skills!C23=3,120+Inputs!$B$27+Inputs!$B$29,MAX(0,(Inputs!$B$3-100)*3)+Inputs!$B$28+Inputs!$B$29)))</f>
        <v/>
      </c>
      <c r="E1164">
        <f>INDEX(FactorTable!$B$2:$Y$301, MATCH(ROUND(MIN(300,MAX(1,D1164)),0), FactorTable!$A$2:$A$301,0), Skills!M23+1)</f>
        <v/>
      </c>
      <c r="F1164">
        <f>IF(Skills!N23=TRUE,(Skills!L23/10)*(E1164/1000),Skills!L23/10)+Skills!O23</f>
        <v/>
      </c>
      <c r="G1164">
        <f>Skills!G23*IF(Skills!H23&gt;0,IF(Inputs!$B$39="pvp",MIN(Skills!I23,15),Skills!I23)/Skills!H23,1)</f>
        <v/>
      </c>
      <c r="H1164">
        <f>1-(1-Skills!J23/100)^Skills!K23</f>
        <v/>
      </c>
      <c r="I1164" t="inlineStr">
        <is>
          <t>1</t>
        </is>
      </c>
      <c r="J1164" t="inlineStr"/>
      <c r="K1164" t="inlineStr"/>
      <c r="L1164" t="inlineStr"/>
      <c r="M1164" t="inlineStr"/>
      <c r="N1164" t="inlineStr"/>
      <c r="O1164">
        <f>(1-Summary!$B$11)*T1164+Summary!$B$11*V1164</f>
        <v/>
      </c>
      <c r="P1164">
        <f>IF(B1187=0,0,O1164/B1187)</f>
        <v/>
      </c>
      <c r="Q1164" t="n">
        <v>0</v>
      </c>
      <c r="R1164" t="n">
        <v>0</v>
      </c>
      <c r="S1164">
        <f>IFERROR(O1164/N1164,0)</f>
        <v/>
      </c>
      <c r="T1164" t="n">
        <v>0</v>
      </c>
      <c r="V1164" t="n">
        <v>0</v>
      </c>
    </row>
    <row r="1165">
      <c r="A1165">
        <f>Skills!A24</f>
        <v/>
      </c>
      <c r="B1165">
        <f>Skills!B24</f>
        <v/>
      </c>
      <c r="C1165">
        <f>Inputs!$B$3&gt;=40</f>
        <v/>
      </c>
      <c r="D1165">
        <f>IF(Skills!C24=1,60+Inputs!$B$25+Inputs!$B$29,IF(Skills!C24=2,90+Inputs!$B$26+Inputs!$B$29,IF(Skills!C24=3,120+Inputs!$B$27+Inputs!$B$29,MAX(0,(Inputs!$B$3-100)*3)+Inputs!$B$28+Inputs!$B$29)))</f>
        <v/>
      </c>
      <c r="E1165">
        <f>INDEX(FactorTable!$B$2:$Y$301, MATCH(ROUND(MIN(300,MAX(1,D1165)),0), FactorTable!$A$2:$A$301,0), Skills!M24+1)</f>
        <v/>
      </c>
      <c r="F1165">
        <f>IF(Skills!N24=TRUE,(Skills!L24/10)*(E1165/1000),Skills!L24/10)+Skills!O24</f>
        <v/>
      </c>
      <c r="G1165">
        <f>Skills!G24*IF(Skills!H24&gt;0,IF(Inputs!$B$39="pvp",MIN(Skills!I24,15),Skills!I24)/Skills!H24,1)</f>
        <v/>
      </c>
      <c r="H1165">
        <f>1-(1-Skills!J24/100)^Skills!K24</f>
        <v/>
      </c>
      <c r="I1165" t="inlineStr">
        <is>
          <t>1</t>
        </is>
      </c>
      <c r="J1165" t="inlineStr"/>
      <c r="K1165" t="inlineStr"/>
      <c r="L1165" t="inlineStr"/>
      <c r="M1165" t="inlineStr"/>
      <c r="N1165" t="inlineStr"/>
      <c r="O1165">
        <f>(1-Summary!$B$11)*T1165+Summary!$B$11*V1165</f>
        <v/>
      </c>
      <c r="P1165">
        <f>IF(B1187=0,0,O1165/B1187)</f>
        <v/>
      </c>
      <c r="Q1165" t="n">
        <v>0</v>
      </c>
      <c r="R1165" t="n">
        <v>0</v>
      </c>
      <c r="S1165">
        <f>IFERROR(O1165/N1165,0)</f>
        <v/>
      </c>
      <c r="T1165" t="n">
        <v>0</v>
      </c>
      <c r="V1165" t="n">
        <v>0</v>
      </c>
    </row>
    <row r="1166">
      <c r="A1166">
        <f>Skills!A25</f>
        <v/>
      </c>
      <c r="B1166">
        <f>Skills!B25</f>
        <v/>
      </c>
      <c r="C1166">
        <f>Inputs!$B$3&gt;=43</f>
        <v/>
      </c>
      <c r="D1166">
        <f>IF(Skills!C25=1,60+Inputs!$B$25+Inputs!$B$29,IF(Skills!C25=2,90+Inputs!$B$26+Inputs!$B$29,IF(Skills!C25=3,120+Inputs!$B$27+Inputs!$B$29,MAX(0,(Inputs!$B$3-100)*3)+Inputs!$B$28+Inputs!$B$29)))</f>
        <v/>
      </c>
      <c r="E1166">
        <f>INDEX(FactorTable!$B$2:$Y$301, MATCH(ROUND(MIN(300,MAX(1,D1166)),0), FactorTable!$A$2:$A$301,0), Skills!M25+1)</f>
        <v/>
      </c>
      <c r="F1166">
        <f>IF(Skills!N25=TRUE,(Skills!L25/10)*(E1166/1000),Skills!L25/10)+Skills!O25</f>
        <v/>
      </c>
      <c r="G1166">
        <f>Skills!G25*IF(Skills!H25&gt;0,IF(Inputs!$B$39="pvp",MIN(Skills!I25,15),Skills!I25)/Skills!H25,1)</f>
        <v/>
      </c>
      <c r="H1166">
        <f>1-(1-Skills!J25/100)^Skills!K25</f>
        <v/>
      </c>
      <c r="I1166" t="inlineStr">
        <is>
          <t>1</t>
        </is>
      </c>
      <c r="J1166" t="inlineStr"/>
      <c r="K1166" t="inlineStr"/>
      <c r="L1166" t="inlineStr"/>
      <c r="M1166" t="inlineStr"/>
      <c r="N1166" t="inlineStr"/>
      <c r="O1166">
        <f>(1-Summary!$B$11)*T1166+Summary!$B$11*V1166</f>
        <v/>
      </c>
      <c r="P1166">
        <f>IF(B1187=0,0,O1166/B1187)</f>
        <v/>
      </c>
      <c r="Q1166" t="n">
        <v>0</v>
      </c>
      <c r="R1166" t="n">
        <v>0</v>
      </c>
      <c r="S1166">
        <f>IFERROR(O1166/N1166,0)</f>
        <v/>
      </c>
      <c r="T1166" t="n">
        <v>0</v>
      </c>
      <c r="V1166" t="n">
        <v>0</v>
      </c>
    </row>
    <row r="1167">
      <c r="A1167">
        <f>Skills!A26</f>
        <v/>
      </c>
      <c r="B1167">
        <f>Skills!B26</f>
        <v/>
      </c>
      <c r="C1167">
        <f>Inputs!$B$3&gt;=50</f>
        <v/>
      </c>
      <c r="D1167">
        <f>IF(Skills!C26=1,60+Inputs!$B$25+Inputs!$B$29,IF(Skills!C26=2,90+Inputs!$B$26+Inputs!$B$29,IF(Skills!C26=3,120+Inputs!$B$27+Inputs!$B$29,MAX(0,(Inputs!$B$3-100)*3)+Inputs!$B$28+Inputs!$B$29)))</f>
        <v/>
      </c>
      <c r="E1167">
        <f>INDEX(FactorTable!$B$2:$Y$301, MATCH(ROUND(MIN(300,MAX(1,D1167)),0), FactorTable!$A$2:$A$301,0), Skills!M26+1)</f>
        <v/>
      </c>
      <c r="F1167">
        <f>IF(Skills!N26=TRUE,(Skills!L26/10)*(E1167/1000),Skills!L26/10)+Skills!O26</f>
        <v/>
      </c>
      <c r="G1167">
        <f>Skills!G26*IF(Skills!H26&gt;0,IF(Inputs!$B$39="pvp",MIN(Skills!I26,15),Skills!I26)/Skills!H26,1)</f>
        <v/>
      </c>
      <c r="H1167">
        <f>1-(1-Skills!J26/100)^Skills!K26</f>
        <v/>
      </c>
      <c r="I1167" t="inlineStr">
        <is>
          <t>1</t>
        </is>
      </c>
      <c r="J1167" t="inlineStr"/>
      <c r="K1167" t="inlineStr"/>
      <c r="L1167" t="inlineStr"/>
      <c r="M1167" t="inlineStr"/>
      <c r="N1167" t="inlineStr"/>
      <c r="O1167">
        <f>(1-Summary!$B$11)*T1167+Summary!$B$11*V1167</f>
        <v/>
      </c>
      <c r="P1167">
        <f>IF(B1187=0,0,O1167/B1187)</f>
        <v/>
      </c>
      <c r="Q1167" t="n">
        <v>0</v>
      </c>
      <c r="R1167" t="n">
        <v>0</v>
      </c>
      <c r="S1167">
        <f>IFERROR(O1167/N1167,0)</f>
        <v/>
      </c>
      <c r="T1167" t="n">
        <v>0</v>
      </c>
      <c r="V1167" t="n">
        <v>0</v>
      </c>
    </row>
    <row r="1168">
      <c r="A1168">
        <f>Skills!A27</f>
        <v/>
      </c>
      <c r="B1168">
        <f>Skills!B27</f>
        <v/>
      </c>
      <c r="C1168">
        <f>Inputs!$B$3&gt;=50</f>
        <v/>
      </c>
      <c r="D1168">
        <f>IF(Skills!C27=1,60+Inputs!$B$25+Inputs!$B$29,IF(Skills!C27=2,90+Inputs!$B$26+Inputs!$B$29,IF(Skills!C27=3,120+Inputs!$B$27+Inputs!$B$29,MAX(0,(Inputs!$B$3-100)*3)+Inputs!$B$28+Inputs!$B$29)))</f>
        <v/>
      </c>
      <c r="E1168">
        <f>INDEX(FactorTable!$B$2:$Y$301, MATCH(ROUND(MIN(300,MAX(1,D1168)),0), FactorTable!$A$2:$A$301,0), Skills!M27+1)</f>
        <v/>
      </c>
      <c r="F1168">
        <f>IF(Skills!N27=TRUE,(Skills!L27/10)*(E1168/1000),Skills!L27/10)+Skills!O27</f>
        <v/>
      </c>
      <c r="G1168">
        <f>Skills!G27*IF(Skills!H27&gt;0,IF(Inputs!$B$39="pvp",MIN(Skills!I27,15),Skills!I27)/Skills!H27,1)</f>
        <v/>
      </c>
      <c r="H1168">
        <f>1-(1-Skills!J27/100)^Skills!K27</f>
        <v/>
      </c>
      <c r="I1168" t="inlineStr">
        <is>
          <t>1</t>
        </is>
      </c>
      <c r="J1168" t="inlineStr"/>
      <c r="K1168" t="inlineStr"/>
      <c r="L1168" t="inlineStr"/>
      <c r="M1168" t="inlineStr"/>
      <c r="N1168" t="inlineStr"/>
      <c r="O1168">
        <f>(1-Summary!$B$11)*T1168+Summary!$B$11*V1168</f>
        <v/>
      </c>
      <c r="P1168">
        <f>IF(B1187=0,0,O1168/B1187)</f>
        <v/>
      </c>
      <c r="Q1168" t="n">
        <v>0</v>
      </c>
      <c r="R1168" t="n">
        <v>0</v>
      </c>
      <c r="S1168">
        <f>IFERROR(O1168/N1168,0)</f>
        <v/>
      </c>
      <c r="T1168" t="n">
        <v>0</v>
      </c>
      <c r="V1168" t="n">
        <v>0</v>
      </c>
    </row>
    <row r="1169">
      <c r="A1169">
        <f>Skills!A28</f>
        <v/>
      </c>
      <c r="B1169">
        <f>Skills!B28</f>
        <v/>
      </c>
      <c r="C1169">
        <f>Inputs!$B$3&gt;=38</f>
        <v/>
      </c>
      <c r="D1169">
        <f>IF(Skills!C28=1,60+Inputs!$B$25+Inputs!$B$29,IF(Skills!C28=2,90+Inputs!$B$26+Inputs!$B$29,IF(Skills!C28=3,120+Inputs!$B$27+Inputs!$B$29,MAX(0,(Inputs!$B$3-100)*3)+Inputs!$B$28+Inputs!$B$29)))</f>
        <v/>
      </c>
      <c r="E1169">
        <f>INDEX(FactorTable!$B$2:$Y$301, MATCH(ROUND(MIN(300,MAX(1,D1169)),0), FactorTable!$A$2:$A$301,0), Skills!M28+1)</f>
        <v/>
      </c>
      <c r="F1169">
        <f>IF(Skills!N28=TRUE,(Skills!L28/10)*(E1169/1000),Skills!L28/10)+Skills!O28</f>
        <v/>
      </c>
      <c r="G1169">
        <f>Skills!G28*IF(Skills!H28&gt;0,IF(Inputs!$B$39="pvp",MIN(Skills!I28,15),Skills!I28)/Skills!H28,1)</f>
        <v/>
      </c>
      <c r="H1169">
        <f>1-(1-Skills!J28/100)^Skills!K28</f>
        <v/>
      </c>
      <c r="I1169" t="inlineStr">
        <is>
          <t>1</t>
        </is>
      </c>
      <c r="J1169" t="inlineStr"/>
      <c r="K1169" t="inlineStr"/>
      <c r="L1169" t="inlineStr"/>
      <c r="M1169" t="inlineStr"/>
      <c r="N1169" t="inlineStr"/>
      <c r="O1169">
        <f>(1-Summary!$B$11)*T1169+Summary!$B$11*V1169</f>
        <v/>
      </c>
      <c r="P1169">
        <f>IF(B1187=0,0,O1169/B1187)</f>
        <v/>
      </c>
      <c r="Q1169" t="n">
        <v>0</v>
      </c>
      <c r="R1169" t="n">
        <v>0</v>
      </c>
      <c r="S1169">
        <f>IFERROR(O1169/N1169,0)</f>
        <v/>
      </c>
      <c r="T1169" t="n">
        <v>0</v>
      </c>
      <c r="V1169" t="n">
        <v>0</v>
      </c>
    </row>
    <row r="1170">
      <c r="A1170">
        <f>Skills!A29</f>
        <v/>
      </c>
      <c r="B1170">
        <f>Skills!B29</f>
        <v/>
      </c>
      <c r="C1170">
        <f>Inputs!$B$3&gt;=120</f>
        <v/>
      </c>
      <c r="D1170">
        <f>IF(Skills!C29=1,60+Inputs!$B$25+Inputs!$B$29,IF(Skills!C29=2,90+Inputs!$B$26+Inputs!$B$29,IF(Skills!C29=3,120+Inputs!$B$27+Inputs!$B$29,MAX(0,(Inputs!$B$3-100)*3)+Inputs!$B$28+Inputs!$B$29)))</f>
        <v/>
      </c>
      <c r="E1170">
        <f>INDEX(FactorTable!$B$2:$Y$301, MATCH(ROUND(MIN(300,MAX(1,D1170)),0), FactorTable!$A$2:$A$301,0), Skills!M29+1)</f>
        <v/>
      </c>
      <c r="F1170">
        <f>IF(Skills!N29=TRUE,(Skills!L29/10)*(E1170/1000),Skills!L29/10)+Skills!O29</f>
        <v/>
      </c>
      <c r="G1170">
        <f>Skills!G29*IF(Skills!H29&gt;0,IF(Inputs!$B$39="pvp",MIN(Skills!I29,15),Skills!I29)/Skills!H29,1)</f>
        <v/>
      </c>
      <c r="H1170">
        <f>1-(1-Skills!J29/100)^Skills!K29</f>
        <v/>
      </c>
      <c r="I1170" t="inlineStr">
        <is>
          <t>1</t>
        </is>
      </c>
      <c r="J1170" t="inlineStr"/>
      <c r="K1170" t="inlineStr"/>
      <c r="L1170" t="inlineStr"/>
      <c r="M1170" t="inlineStr"/>
      <c r="N1170" t="inlineStr"/>
      <c r="O1170">
        <f>(1-Summary!$B$11)*T1170+Summary!$B$11*V1170</f>
        <v/>
      </c>
      <c r="P1170">
        <f>IF(B1187=0,0,O1170/B1187)</f>
        <v/>
      </c>
      <c r="Q1170" t="n">
        <v>0</v>
      </c>
      <c r="R1170" t="n">
        <v>0</v>
      </c>
      <c r="S1170">
        <f>IFERROR(O1170/N1170,0)</f>
        <v/>
      </c>
      <c r="T1170" t="n">
        <v>0</v>
      </c>
      <c r="V1170" t="n">
        <v>0</v>
      </c>
    </row>
    <row r="1171">
      <c r="A1171">
        <f>Skills!A30</f>
        <v/>
      </c>
      <c r="B1171">
        <f>Skills!B30</f>
        <v/>
      </c>
      <c r="C1171">
        <f>Inputs!$B$3&gt;=120</f>
        <v/>
      </c>
      <c r="D1171">
        <f>IF(Skills!C30=1,60+Inputs!$B$25+Inputs!$B$29,IF(Skills!C30=2,90+Inputs!$B$26+Inputs!$B$29,IF(Skills!C30=3,120+Inputs!$B$27+Inputs!$B$29,MAX(0,(Inputs!$B$3-100)*3)+Inputs!$B$28+Inputs!$B$29)))</f>
        <v/>
      </c>
      <c r="E1171">
        <f>INDEX(FactorTable!$B$2:$Y$301, MATCH(ROUND(MIN(300,MAX(1,D1171)),0), FactorTable!$A$2:$A$301,0), Skills!M30+1)</f>
        <v/>
      </c>
      <c r="F1171">
        <f>IF(Skills!N30=TRUE,(Skills!L30/10)*(E1171/1000),Skills!L30/10)+Skills!O30</f>
        <v/>
      </c>
      <c r="G1171">
        <f>Skills!G30*IF(Skills!H30&gt;0,IF(Inputs!$B$39="pvp",MIN(Skills!I30,15),Skills!I30)/Skills!H30,1)</f>
        <v/>
      </c>
      <c r="H1171">
        <f>1-(1-Skills!J30/100)^Skills!K30</f>
        <v/>
      </c>
      <c r="I1171" t="inlineStr">
        <is>
          <t>1</t>
        </is>
      </c>
      <c r="J1171" t="inlineStr"/>
      <c r="K1171" t="inlineStr"/>
      <c r="L1171" t="inlineStr"/>
      <c r="M1171" t="inlineStr"/>
      <c r="N1171" t="inlineStr"/>
      <c r="O1171">
        <f>(1-Summary!$B$11)*T1171+Summary!$B$11*V1171</f>
        <v/>
      </c>
      <c r="P1171">
        <f>IF(B1187=0,0,O1171/B1187)</f>
        <v/>
      </c>
      <c r="Q1171" t="n">
        <v>0</v>
      </c>
      <c r="R1171" t="n">
        <v>0</v>
      </c>
      <c r="S1171">
        <f>IFERROR(O1171/N1171,0)</f>
        <v/>
      </c>
      <c r="T1171" t="n">
        <v>0</v>
      </c>
      <c r="V1171" t="n">
        <v>0</v>
      </c>
    </row>
    <row r="1172">
      <c r="A1172">
        <f>Skills!A31</f>
        <v/>
      </c>
      <c r="B1172">
        <f>Skills!B31</f>
        <v/>
      </c>
      <c r="C1172">
        <f>Inputs!$B$3&gt;=125</f>
        <v/>
      </c>
      <c r="D1172">
        <f>IF(Skills!C31=1,60+Inputs!$B$25+Inputs!$B$29,IF(Skills!C31=2,90+Inputs!$B$26+Inputs!$B$29,IF(Skills!C31=3,120+Inputs!$B$27+Inputs!$B$29,MAX(0,(Inputs!$B$3-100)*3)+Inputs!$B$28+Inputs!$B$29)))</f>
        <v/>
      </c>
      <c r="E1172">
        <f>INDEX(FactorTable!$B$2:$Y$301, MATCH(ROUND(MIN(300,MAX(1,D1172)),0), FactorTable!$A$2:$A$301,0), Skills!M31+1)</f>
        <v/>
      </c>
      <c r="F1172">
        <f>IF(Skills!N31=TRUE,(Skills!L31/10)*(E1172/1000),Skills!L31/10)+Skills!O31</f>
        <v/>
      </c>
      <c r="G1172">
        <f>Skills!G31*IF(Skills!H31&gt;0,IF(Inputs!$B$39="pvp",MIN(Skills!I31,15),Skills!I31)/Skills!H31,1)</f>
        <v/>
      </c>
      <c r="H1172">
        <f>1-(1-Skills!J31/100)^Skills!K31</f>
        <v/>
      </c>
      <c r="I1172" t="inlineStr">
        <is>
          <t>1</t>
        </is>
      </c>
      <c r="J1172" t="inlineStr"/>
      <c r="K1172" t="inlineStr"/>
      <c r="L1172" t="inlineStr"/>
      <c r="M1172" t="inlineStr"/>
      <c r="N1172" t="inlineStr"/>
      <c r="O1172">
        <f>(1-Summary!$B$11)*T1172+Summary!$B$11*V1172</f>
        <v/>
      </c>
      <c r="P1172">
        <f>IF(B1187=0,0,O1172/B1187)</f>
        <v/>
      </c>
      <c r="Q1172" t="n">
        <v>0</v>
      </c>
      <c r="R1172" t="n">
        <v>0</v>
      </c>
      <c r="S1172">
        <f>IFERROR(O1172/N1172,0)</f>
        <v/>
      </c>
      <c r="T1172" t="n">
        <v>0</v>
      </c>
      <c r="V1172" t="n">
        <v>0</v>
      </c>
    </row>
    <row r="1174">
      <c r="A1174" t="inlineStr">
        <is>
          <t>Average Buff Multiplier</t>
        </is>
      </c>
      <c r="B1174">
        <f>(1+(((C1163=TRUE)*F1163*IF(AND(Inputs!$B$39&lt;&gt;"pvp",Inputs!$B$44&gt;0),(((R1163-1)*MIN((Skills!Y22*(1+Inputs!$B$34/100)),(1/Q1163))+MIN((Skills!Y22*(1+Inputs!$B$34/100)),MAX(0,Inputs!$B$44-((R1163-1)*(1/Q1163)))))/Inputs!$B$44),IF(Inputs!$B$39="pvp",MIN((Skills!Y22*(1+Inputs!$B$34/100)),15)/15,MIN(1,(Skills!Y22*(1+Inputs!$B$34/100))/(1/Q1163)))))+((C1144=TRUE)*F1144*3)+((C1146=TRUE)*F1146*(1-EXP(-0.75*B1179*5)))+((C1165=TRUE)*(F1165-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1152=TRUE)*F1152*IF(AND(Inputs!$B$39&lt;&gt;"pvp",Inputs!$B$44&gt;0),(((R1152-1)*MIN((Skills!Y11*(1+Inputs!$B$34/100)),(1/Q1152))+MIN((Skills!Y11*(1+Inputs!$B$34/100)),MAX(0,Inputs!$B$44-((R1152-1)*(1/Q1152)))))/Inputs!$B$44),IF(Inputs!$B$39="pvp",MIN((Skills!Y11*(1+Inputs!$B$34/100)),15)/15,MIN(1,(Skills!Y11*(1+Inputs!$B$34/100))/(1/Q1152)))))/100)*(1+((C1157=TRUE)*F1157*IF(AND(Inputs!$B$39&lt;&gt;"pvp",Inputs!$B$44&gt;0),(((R1157-1)*MIN((Skills!Y16*(1+Inputs!$B$34/100)),(1/Q1157))+MIN((Skills!Y16*(1+Inputs!$B$34/100)),MAX(0,Inputs!$B$44-((R1157-1)*(1/Q1157)))))/Inputs!$B$44),IF(Inputs!$B$39="pvp",MIN((Skills!Y16*(1+Inputs!$B$34/100)),15)/15,MIN(1,(Skills!Y16*(1+Inputs!$B$34/100))/(1/Q1157)))))/100)</f>
        <v/>
      </c>
    </row>
    <row r="1175">
      <c r="A1175" t="inlineStr">
        <is>
          <t>Global Crit Rate Bonus %</t>
        </is>
      </c>
      <c r="B1175">
        <f>((C1162=TRUE)*F1162*IF(AND(Inputs!$B$39&lt;&gt;"pvp",Inputs!$B$44&gt;0),(((R1162-1)*MIN((Skills!Y21*(1+Inputs!$B$34/100)),(1/Q1162))+MIN((Skills!Y21*(1+Inputs!$B$34/100)),MAX(0,Inputs!$B$44-((R1162-1)*(1/Q1162)))))/Inputs!$B$44),IF(Inputs!$B$39="pvp",MIN((Skills!Y21*(1+Inputs!$B$34/100)),15)/15,MIN(1,(Skills!Y21*(1+Inputs!$B$34/100))/(1/Q1162)))))</f>
        <v/>
      </c>
    </row>
    <row r="1176">
      <c r="A1176" t="inlineStr">
        <is>
          <t>Global Monster Damage-Taken Bonus %</t>
        </is>
      </c>
      <c r="B1176">
        <f>IF(Inputs!$B$3&gt;=82,15,0)</f>
        <v/>
      </c>
    </row>
    <row r="1177">
      <c r="A1177" t="inlineStr">
        <is>
          <t>Shadow Partner Average Multiplier</t>
        </is>
      </c>
      <c r="B1177">
        <f>1+((C1149=TRUE)*F1149*(1+3.3333333333333335*IF(C1160=TRUE,F1160,0)/100)*I1149*Skills!J8/100)/100</f>
        <v/>
      </c>
    </row>
    <row r="1178">
      <c r="A1178" t="inlineStr">
        <is>
          <t>Attack Speed Buff Bonus %</t>
        </is>
      </c>
      <c r="B1178">
        <f>((C1161=TRUE)*F1161*IF(AND(Inputs!$B$39&lt;&gt;"pvp",Inputs!$B$44&gt;0),(((R1161-1)*MIN((Skills!Y20*(1+Inputs!$B$34/100)),(1/Q1161))+MIN((Skills!Y20*(1+Inputs!$B$34/100)),MAX(0,Inputs!$B$44-((R1161-1)*(1/Q1161)))))/Inputs!$B$44),IF(Inputs!$B$39="pvp",MIN((Skills!Y20*(1+Inputs!$B$34/100)),15)/15,MIN(1,(Skills!Y20*(1+Inputs!$B$34/100))/(1/Q1161)))))</f>
        <v/>
      </c>
    </row>
    <row r="1179">
      <c r="A1179" t="inlineStr">
        <is>
          <t>Actions Per Second</t>
        </is>
      </c>
      <c r="B1179">
        <f>1+MIN(150,150*(1-(1-(Inputs!$B$11+((C1164=TRUE)*(F1164-Calc!F23)))/150)*(1-B1178/150)))/100</f>
        <v/>
      </c>
    </row>
    <row r="1180">
      <c r="A1180" t="inlineStr">
        <is>
          <t>Skill + Buff Cast Rate</t>
        </is>
      </c>
      <c r="B1180">
        <f>IF(AND(Inputs!$B$39&lt;&gt;"pvp",Inputs!$B$44&gt;0),SUMPRODUCT((Skills!E2:E31=TRUE)*(C1143:C1172=TRUE)*R1143:R1172*Skills!F2:F31)/Inputs!$B$44,SUMPRODUCT((Skills!E2:E31=TRUE)*(C1143:C1172=TRUE)*Q1143:Q1172*Skills!F2:F31))</f>
        <v/>
      </c>
    </row>
    <row r="1181">
      <c r="A1181" t="inlineStr">
        <is>
          <t>Cruel Stab Casts Per Second</t>
        </is>
      </c>
      <c r="B1181">
        <f>MAX(0,B1179-B1180)</f>
        <v/>
      </c>
    </row>
    <row r="1182">
      <c r="A1182" t="inlineStr">
        <is>
          <t>Global Critical Damage Bonus % (Smokescreen Mastery Lv.113)</t>
        </is>
      </c>
      <c r="B1182">
        <f>IF(Inputs!$B$3&gt;=113,30,0)*IF(AND(Inputs!$B$39&lt;&gt;"pvp",Inputs!$B$44&gt;0),(((R1157-1)*MIN((Skills!Y16*(1+Inputs!$B$34/100)),(1/Q1157))+MIN((Skills!Y16*(1+Inputs!$B$34/100)),MAX(0,Inputs!$B$44-((R1157-1)*(1/Q1157)))))/Inputs!$B$44),IF(Inputs!$B$39="pvp",MIN((Skills!Y16*(1+Inputs!$B$34/100)),15)/15,MIN(1,(Skills!Y16*(1+Inputs!$B$34/100))/(1/Q1157))))</f>
        <v/>
      </c>
    </row>
    <row r="1183">
      <c r="A1183" t="inlineStr">
        <is>
          <t>Meso Explosion average stack count</t>
        </is>
      </c>
      <c r="B1183">
        <f>MIN(10,IF(Inputs!$B$3&gt;=75,0.75,0.5)*B1179*(1/Q1145))</f>
        <v/>
      </c>
    </row>
    <row r="1184">
      <c r="A1184" t="inlineStr">
        <is>
          <t>Blood Money average stack count</t>
        </is>
      </c>
      <c r="B1184">
        <f>MIN(5,0.5*IF(Inputs!$B$3&gt;=75,0.75,0.5)*B1179*(1/Q1145))</f>
        <v/>
      </c>
    </row>
    <row r="1185">
      <c r="A1185" t="inlineStr">
        <is>
          <t>Assassinate Murderous Intent Multiplier</t>
        </is>
      </c>
      <c r="B1185">
        <f>1+IFERROR(MIN(1,Q1156*2/Q1153),0)</f>
        <v/>
      </c>
    </row>
    <row r="1186">
      <c r="A1186" t="inlineStr">
        <is>
          <t>Buff-Casting Startup Delay (s, fixed-duration only)</t>
        </is>
      </c>
      <c r="B1186">
        <f>IF(AND(Inputs!$B$39&lt;&gt;"pvp",Inputs!$B$44&gt;0),SUMPRODUCT((Skills!Y2:Y31&gt;0)*(Skills!E2:E31=TRUE)*(C1143:C1172=TRUE))/B1179,0)</f>
        <v/>
      </c>
    </row>
    <row r="1187">
      <c r="A1187" s="6" t="inlineStr">
        <is>
          <t>TOTAL DPS</t>
        </is>
      </c>
      <c r="B1187" s="6">
        <f>SUM(O1143:O1172)</f>
        <v/>
      </c>
    </row>
    <row r="1188">
      <c r="A1188" t="inlineStr">
        <is>
          <t>Boss-Only Total DPS (this block's swept value)</t>
        </is>
      </c>
      <c r="B1188">
        <f>SUM(T1143:T1172)</f>
        <v/>
      </c>
    </row>
    <row r="1189">
      <c r="A1189" t="inlineStr">
        <is>
          <t>Normal-Only Total DPS (this block's swept value)</t>
        </is>
      </c>
      <c r="B1189">
        <f>SUM(V1143:V1172)</f>
        <v/>
      </c>
    </row>
    <row r="1192">
      <c r="A1192" s="6" t="inlineStr">
        <is>
          <t>Stat: ATTACK %</t>
        </is>
      </c>
    </row>
    <row r="1193">
      <c r="A1193" s="5" t="inlineStr">
        <is>
          <t>Key</t>
        </is>
      </c>
      <c r="B1193" s="5" t="inlineStr">
        <is>
          <t>Name</t>
        </is>
      </c>
      <c r="C1193" s="5" t="inlineStr">
        <is>
          <t>Unlocked</t>
        </is>
      </c>
      <c r="D1193" s="5" t="inlineStr">
        <is>
          <t>InputLevel</t>
        </is>
      </c>
      <c r="E1193" s="5" t="inlineStr">
        <is>
          <t>Factor</t>
        </is>
      </c>
      <c r="F1193" s="5" t="inlineStr">
        <is>
          <t>CoefficientPercent</t>
        </is>
      </c>
      <c r="G1193" s="5" t="inlineStr">
        <is>
          <t>EffectiveHits</t>
        </is>
      </c>
      <c r="H1193" s="5" t="inlineStr">
        <is>
          <t>ProcProbability</t>
        </is>
      </c>
      <c r="I1193" s="5" t="inlineStr">
        <is>
          <t>MapleHeroMultiplier</t>
        </is>
      </c>
      <c r="J1193" s="5" t="inlineStr">
        <is>
          <t>BaseDamage</t>
        </is>
      </c>
      <c r="K1193" s="5" t="inlineStr">
        <is>
          <t>BaseHitDamage</t>
        </is>
      </c>
      <c r="L1193" s="5" t="inlineStr">
        <is>
          <t>NonCritAvg</t>
        </is>
      </c>
      <c r="M1193" s="5" t="inlineStr">
        <is>
          <t>CritAvg</t>
        </is>
      </c>
      <c r="N1193" s="5" t="inlineStr">
        <is>
          <t>ExpectedDamage(perHit)</t>
        </is>
      </c>
      <c r="O1193" s="5" t="inlineStr">
        <is>
          <t>DPS</t>
        </is>
      </c>
      <c r="P1193" s="5" t="inlineStr">
        <is>
          <t>% of Total</t>
        </is>
      </c>
      <c r="Q1193" s="5" t="inlineStr">
        <is>
          <t>InvCooldown</t>
        </is>
      </c>
      <c r="R1193" s="5" t="inlineStr">
        <is>
          <t>CastsInFight</t>
        </is>
      </c>
      <c r="S1193" s="5" t="inlineStr">
        <is>
          <t>HitRate(perSec)</t>
        </is>
      </c>
      <c r="U1193" t="inlineStr">
        <is>
          <t>helpers</t>
        </is>
      </c>
    </row>
    <row r="1194">
      <c r="A1194">
        <f>Skills!A2</f>
        <v/>
      </c>
      <c r="B1194">
        <f>Skills!B2</f>
        <v/>
      </c>
      <c r="C1194">
        <f>Inputs!$B$3&gt;=100</f>
        <v/>
      </c>
      <c r="D1194" t="inlineStr"/>
      <c r="E1194" t="inlineStr"/>
      <c r="F1194">
        <f>U1196+Skills!O2</f>
        <v/>
      </c>
      <c r="G1194">
        <f>Skills!G2*IF(Skills!H2&gt;0,IF(Inputs!$B$39="pvp",MIN(Skills!I2,15),Skills!I2)/Skills!H2,1)</f>
        <v/>
      </c>
      <c r="H1194">
        <f>1-(1-Skills!J2/100)^Skills!K2</f>
        <v/>
      </c>
      <c r="I1194" t="inlineStr">
        <is>
          <t>1</t>
        </is>
      </c>
      <c r="J1194">
        <f>((Inputs!$B$6*(1+(Inputs!$B$7+1)/100))+(((Inputs!$B$12*(1+Inputs!$B$13/100))-(Inputs!$B$12*(1+Inputs!$B$13/100)))+0.25*(Inputs!$B$14-Inputs!$B$14))*(1+(Inputs!$B$7+1)/100))*(F1194/100)</f>
        <v/>
      </c>
      <c r="K1194">
        <f>J1194*(1+((Inputs!$B$12*(1+Inputs!$B$13/100))*0.01+Inputs!$B$14*0.0025)/100)*(1+Inputs!$B$15/100)*(1+Inputs!$B$16/100)*(5000/(6000+Inputs!$B$43*(1-(100*(1-(1-Inputs!$B$19/100)*(1-CHOOSE(ArtifactsInput!$N$40+1,5,6,7,8,9,10)/100)^(ArtifactsInput!$M$40-ArtifactsInput!$M$40)))/100)))*(1+(Inputs!$B$24+((C1223=TRUE)*(F1223-Calc!F31))+((C1210=TRUE)*(F1210-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CRUEL_STAB",Inputs!$B$17+((C1220=TRUE)*(F1220-Calc!F28))+((IF(AND(Inputs!$B$39&lt;&gt;"pvp",Inputs!$B$44=0),1,IF(IF(Inputs!$B$39="pvp",15,Inputs!$B$44)-(B1237)&lt;=0,1,MAX(0,IF(Inputs!$B$39="pvp",15,Inputs!$B$44)-MAX(5,B1237))/(IF(Inputs!$B$39="pvp",15,Inputs!$B$44)-(B1237))))*(IF(AND(ArtifactsInput!$M$42,((Inputs!$B$9+((C1218=TRUE)*(F1218-Calc!F26))+B1226+(ArtifactsInput!$M$24-ArtifactsInput!$M$24)*CHOOSE(ArtifactsInput!$N$24+1,10,12,14,16,18,20)+IF(ArtifactsInput!$M$10,CHOOSE(ArtifactsInput!$N$10+1,15,18,21,24,27,30)*(IF(Inputs!$B$39="pvp",MIN(15,15)/15,IF(AND(Inputs!$B$39&lt;&gt;"pvp",Inputs!$B$44&gt;0),MIN(15,Inputs!$B$44)/(Inputs!$B$44),0))),0)))&gt;=100),MIN(100,((Inputs!$B$9+((C1218=TRUE)*(F1218-Calc!F26))+B1226+(ArtifactsInput!$M$24-ArtifactsInput!$M$24)*CHOOSE(ArtifactsInput!$N$24+1,10,12,14,16,18,20)+IF(ArtifactsInput!$M$10,CHOOSE(ArtifactsInput!$N$10+1,15,18,21,24,27,30)*(IF(Inputs!$B$39="pvp",MIN(15,15)/15,IF(AND(Inputs!$B$39&lt;&gt;"pvp",Inputs!$B$44&gt;0),MIN(15,Inputs!$B$44)/(Inputs!$B$44),0))),0)))-100),0))*CHOOSE(ArtifactsInput!$N$42+1,0.6,0.72,0.84,0.96,1.08,1.2))),Inputs!$B$18+((C1221=TRUE)*(F1221-Calc!F29))+(IF(AND(Inputs!$B$39&lt;&gt;"pvp",Inputs!$B$44=0),1,IF(IF(Inputs!$B$39="pvp",15,Inputs!$B$44)-(B1237)&lt;=0,1,MAX(0,IF(Inputs!$B$39="pvp",15,Inputs!$B$44)-MAX(5,B1237))/(IF(Inputs!$B$39="pvp",15,Inputs!$B$44)-(B1237))))*IF(AND(ArtifactsInput!$M$42,((Inputs!$B$9+((C1218=TRUE)*(F1218-Calc!F26))+B1226+(ArtifactsInput!$M$24-ArtifactsInput!$M$24)*CHOOSE(ArtifactsInput!$N$24+1,10,12,14,16,18,20)+IF(ArtifactsInput!$M$10,CHOOSE(ArtifactsInput!$N$10+1,15,18,21,24,27,30)*(IF(Inputs!$B$39="pvp",MIN(15,15)/15,IF(AND(Inputs!$B$39&lt;&gt;"pvp",Inputs!$B$44&gt;0),MIN(15,Inputs!$B$44)/(Inputs!$B$44),0))),0)))&gt;=100),CHOOSE(ArtifactsInput!$N$42+1,40,48,56,64,72,80),0))))/100)*(((1+(((C1214=TRUE)*F1214*IF(AND(Inputs!$B$39&lt;&gt;"pvp",Inputs!$B$44&gt;0),(((R1214-1)*MIN((Skills!Y22*(1+Inputs!$B$34/100)),(1/Q1214))+MIN((Skills!Y22*(1+Inputs!$B$34/100)),MAX(0,Inputs!$B$44-((R1214-1)*(1/Q1214)))))/Inputs!$B$44),IF(Inputs!$B$39="pvp",MIN((Skills!Y22*(1+Inputs!$B$34/100)),15)/15,MIN(1,(Skills!Y22*(1+Inputs!$B$34/100))/(1/Q1214)))))+((C1195=TRUE)*F1195*3)+((C1197=TRUE)*F1197*(1-EXP(-0.75*B1230*5)))+((C1216=TRUE)*(F1216-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1203=TRUE)*F1203*IF(AND(Inputs!$B$39&lt;&gt;"pvp",Inputs!$B$44&gt;0),(((R1203-1)*MIN((Skills!Y11*(1+Inputs!$B$34/100)),(1/Q1203))+MIN((Skills!Y11*(1+Inputs!$B$34/100)),MAX(0,Inputs!$B$44-((R1203-1)*(1/Q1203)))))/Inputs!$B$44),IF(Inputs!$B$39="pvp",MIN((Skills!Y11*(1+Inputs!$B$34/100)),15)/15,MIN(1,(Skills!Y11*(1+Inputs!$B$34/100))/(1/Q1203)))))/100)*(1+((C1208=TRUE)*F1208*IF(AND(Inputs!$B$39&lt;&gt;"pvp",Inputs!$B$44&gt;0),(((R1208-1)*MIN((Skills!Y16*(1+Inputs!$B$34/100)),(1/Q1208))+MIN((Skills!Y16*(1+Inputs!$B$34/100)),MAX(0,Inputs!$B$44-((R1208-1)*(1/Q1208)))))/Inputs!$B$44),IF(Inputs!$B$39="pvp",MIN((Skills!Y16*(1+Inputs!$B$34/100)),15)/15,MIN(1,(Skills!Y16*(1+Inputs!$B$34/100))/(1/Q1208)))))/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1228*I1194)</f>
        <v/>
      </c>
      <c r="L1194">
        <f>K1194*(MIN(Inputs!$B$22+((C1217=TRUE)*(F1217-Calc!F25)),(Inputs!$B$23+((C1222=TRUE)*(F1222-Calc!F30))+IF(ArtifactsInput!$M$15,CHOOSE(ArtifactsInput!$N$15+1,25,30,35,40,45,50)/100*(Inputs!$B$11-Inputs!$B$11),0)))/100+(Inputs!$B$23+((C1222=TRUE)*(F1222-Calc!F30))+IF(ArtifactsInput!$M$15,CHOOSE(ArtifactsInput!$N$15+1,25,30,35,40,45,50)/100*(Inputs!$B$11-Inputs!$B$11),0))/100)/2</f>
        <v/>
      </c>
      <c r="M1194">
        <f>L1194*(1+(Inputs!$B$10+((C1219=TRUE)*(F1219-Calc!F27))+B1233+(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1194">
        <f>L1194*(1-MIN((Inputs!$B$9+((C1218=TRUE)*(F1218-Calc!F26))+B1226+(ArtifactsInput!$M$24-ArtifactsInput!$M$24)*CHOOSE(ArtifactsInput!$N$24+1,10,12,14,16,18,20)+(IF(AND(Inputs!$B$39&lt;&gt;"pvp",Inputs!$B$44=0),1,IF(IF(Inputs!$B$39="pvp",15,Inputs!$B$44)-(B1237)&lt;=0,1,MAX(0,IF(Inputs!$B$39="pvp",15,Inputs!$B$44)-MAX(5,B1237))/(IF(Inputs!$B$39="pvp",15,Inputs!$B$44)-(B1237))))*IF(AND(ArtifactsInput!$M$42,((Inputs!$B$9+((C1218=TRUE)*(F1218-Calc!F26))+B1226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1194*(MIN((Inputs!$B$9+((C1218=TRUE)*(F1218-Calc!F26))+B1226+(ArtifactsInput!$M$24-ArtifactsInput!$M$24)*CHOOSE(ArtifactsInput!$N$24+1,10,12,14,16,18,20)+(IF(AND(Inputs!$B$39&lt;&gt;"pvp",Inputs!$B$44=0),1,IF(IF(Inputs!$B$39="pvp",15,Inputs!$B$44)-(B1237)&lt;=0,1,MAX(0,IF(Inputs!$B$39="pvp",15,Inputs!$B$44)-MAX(5,B1237))/(IF(Inputs!$B$39="pvp",15,Inputs!$B$44)-(B1237))))*IF(AND(ArtifactsInput!$M$42,((Inputs!$B$9+((C1218=TRUE)*(F1218-Calc!F26))+B1226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194">
        <f>(1-Summary!$B$11)*T1194+Summary!$B$11*V1194</f>
        <v/>
      </c>
      <c r="P1194">
        <f>IF(B1238=0,0,O1194/B1238)</f>
        <v/>
      </c>
      <c r="Q1194" t="n">
        <v>0</v>
      </c>
      <c r="R1194" t="n">
        <v>0</v>
      </c>
      <c r="S1194">
        <f>IFERROR(O1194/N1194,0)</f>
        <v/>
      </c>
      <c r="T1194">
        <f>IF(C1194,(Skills!G2*N1194*B1232)*IF(Inputs!$B$39="pvp",1,1+(Inputs!$B$20+0+Skills!P2+B1227+(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Hunt"),CHOOSE(ArtifactsInput!$N$35+1,15,18,21,24,27,30)*(1-EXP(-(0.2*B1230)*5)),0)+IF(AND(ArtifactsInput!$M$22,Inputs!$B$4&lt;&gt;"Chapter Hunt"),CHOOSE(ArtifactsInput!$N$22+1,10,12,14,16,18,20)*((0*(((0.15*B1230*5))^0/1)+1*(((0.15*B1230*5))^1/1)+2*(((0.15*B1230*5))^2/2)+3*(((0.15*B1230*5))^3/6)+4*(((0.15*B1230*5))^4/24)+5*(((0.15*B1230*5))^5/120))/((((0.15*B1230*5))^0/1)+(((0.15*B1230*5))^1/1)+(((0.15*B1230*5))^2/2)+(((0.15*B1230*5))^3/6)+(((0.15*B1230*5))^4/24)+(((0.15*B1230*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1194*(1-MIN(100,(Inputs!$B$9+((C1218=TRUE)*(F1218-Calc!F26))+B1226+(ArtifactsInput!$M$24-ArtifactsInput!$M$24)*CHOOSE(ArtifactsInput!$N$24+1,10,12,14,16,18,20)+(IF(AND(Inputs!$B$39&lt;&gt;"pvp",Inputs!$B$44=0),1,IF(IF(Inputs!$B$39="pvp",15,Inputs!$B$44)-(B1237)&lt;=0,1,MAX(0,IF(Inputs!$B$39="pvp",15,Inputs!$B$44)-MAX(5,B1237))/(IF(Inputs!$B$39="pvp",15,Inputs!$B$44)-(B1237))))*IF(AND(ArtifactsInput!$M$42,((Inputs!$B$9+((C1218=TRUE)*(F1218-Calc!F26))+B1226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1194*(MIN(100,(Inputs!$B$9+((C1218=TRUE)*(F1218-Calc!F26))+B1226+(ArtifactsInput!$M$24-ArtifactsInput!$M$24)*CHOOSE(ArtifactsInput!$N$24+1,10,12,14,16,18,20)+(IF(AND(Inputs!$B$39&lt;&gt;"pvp",Inputs!$B$44=0),1,IF(IF(Inputs!$B$39="pvp",15,Inputs!$B$44)-(B1237)&lt;=0,1,MAX(0,IF(Inputs!$B$39="pvp",15,Inputs!$B$44)-MAX(5,B1237))/(IF(Inputs!$B$39="pvp",15,Inputs!$B$44)-(B1237))))*IF(AND(ArtifactsInput!$M$42,((Inputs!$B$9+((C1218=TRUE)*(F1218-Calc!F26))+B1226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1194*(1-MIN(100,(Inputs!$B$9+((C1218=TRUE)*(F1218-Calc!F26))+B1226+(ArtifactsInput!$M$24-ArtifactsInput!$M$24)*CHOOSE(ArtifactsInput!$N$24+1,10,12,14,16,18,20)+(IF(AND(Inputs!$B$39&lt;&gt;"pvp",Inputs!$B$44=0),1,IF(IF(Inputs!$B$39="pvp",15,Inputs!$B$44)-(B1237)&lt;=0,1,MAX(0,IF(Inputs!$B$39="pvp",15,Inputs!$B$44)-MAX(5,B1237))/(IF(Inputs!$B$39="pvp",15,Inputs!$B$44)-(B1237))))*IF(AND(ArtifactsInput!$M$42,((Inputs!$B$9+((C1218=TRUE)*(F1218-Calc!F26))+B1226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1194*(MIN(100,(Inputs!$B$9+((C1218=TRUE)*(F1218-Calc!F26))+B1226+(ArtifactsInput!$M$24-ArtifactsInput!$M$24)*CHOOSE(ArtifactsInput!$N$24+1,10,12,14,16,18,20)+(IF(AND(Inputs!$B$39&lt;&gt;"pvp",Inputs!$B$44=0),1,IF(IF(Inputs!$B$39="pvp",15,Inputs!$B$44)-(B1237)&lt;=0,1,MAX(0,IF(Inputs!$B$39="pvp",15,Inputs!$B$44)-MAX(5,B1237))/(IF(Inputs!$B$39="pvp",15,Inputs!$B$44)-(B1237))))*IF(AND(ArtifactsInput!$M$42,((Inputs!$B$9+((C1218=TRUE)*(F1218-Calc!F26))+B1226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1194">
        <f>MAX(0,(Inputs!$B$3-100)*3)+Inputs!$B$28+Inputs!$B$29</f>
        <v/>
      </c>
      <c r="V1194">
        <f>IF(C1194,(Skills!G2*N1194*B1232)*IF(Inputs!$B$39="pvp",1,(1+(Inputs!$B$21+Skills!Q2+B1227+(IF(ArtifactsInput!$M$33,CHOOSE(ArtifactsInput!$N$33+1,30,36,42,48,54,60),0))+(IF(AND(ArtifactsInput!$M$35,Inputs!$B$4&lt;&gt;"Chapter Hunt"),CHOOSE(ArtifactsInput!$N$35+1,15,18,21,24,27,30)*(1-EXP(-(0.2*B1230)*5)),0)+IF(AND(ArtifactsInput!$M$22,Inputs!$B$4&lt;&gt;"Chapter Hunt"),CHOOSE(ArtifactsInput!$N$22+1,10,12,14,16,18,20)*((0*(((0.15*B1230*5))^0/1)+1*(((0.15*B1230*5))^1/1)+2*(((0.15*B1230*5))^2/2)+3*(((0.15*B1230*5))^3/6)+4*(((0.15*B1230*5))^4/24)+5*(((0.15*B1230*5))^5/120))/((((0.15*B1230*5))^0/1)+(((0.15*B1230*5))^1/1)+(((0.15*B1230*5))^2/2)+(((0.15*B1230*5))^3/6)+(((0.15*B1230*5))^4/24)+(((0.15*B1230*5))^5/120))),0)))/100)*(MIN((6+Inputs!$B$33),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195">
      <c r="A1195">
        <f>Skills!A3</f>
        <v/>
      </c>
      <c r="B1195">
        <f>Skills!B3</f>
        <v/>
      </c>
      <c r="C1195">
        <f>Inputs!$B$3&gt;=35</f>
        <v/>
      </c>
      <c r="D1195">
        <f>IF(Skills!C3=1,60+Inputs!$B$25+Inputs!$B$29,IF(Skills!C3=2,90+Inputs!$B$26+Inputs!$B$29,IF(Skills!C3=3,120+Inputs!$B$27+Inputs!$B$29,MAX(0,(Inputs!$B$3-100)*3)+Inputs!$B$28+Inputs!$B$29)))</f>
        <v/>
      </c>
      <c r="E1195">
        <f>INDEX(FactorTable!$B$2:$Y$301, MATCH(ROUND(MIN(300,MAX(1,D1195)),0), FactorTable!$A$2:$A$301,0), Skills!M3+1)</f>
        <v/>
      </c>
      <c r="F1195">
        <f>IF(Skills!N3=TRUE,(Skills!L3/10)*(E1195/1000),Skills!L3/10)+Skills!O3</f>
        <v/>
      </c>
      <c r="G1195">
        <f>Skills!G3*IF(Skills!H3&gt;0,IF(Inputs!$B$39="pvp",MIN(Skills!I3,15),Skills!I3)/Skills!H3,1)</f>
        <v/>
      </c>
      <c r="H1195">
        <f>1-(1-Skills!J3/100)^Skills!K3</f>
        <v/>
      </c>
      <c r="I1195" t="inlineStr">
        <is>
          <t>1</t>
        </is>
      </c>
      <c r="J1195" t="inlineStr"/>
      <c r="K1195" t="inlineStr"/>
      <c r="L1195" t="inlineStr"/>
      <c r="M1195" t="inlineStr"/>
      <c r="N1195" t="inlineStr"/>
      <c r="O1195">
        <f>(1-Summary!$B$11)*T1195+Summary!$B$11*V1195</f>
        <v/>
      </c>
      <c r="P1195">
        <f>IF(B1238=0,0,O1195/B1238)</f>
        <v/>
      </c>
      <c r="Q1195" t="n">
        <v>0</v>
      </c>
      <c r="R1195" t="n">
        <v>0</v>
      </c>
      <c r="S1195">
        <f>IFERROR(O1195/N1195,0)</f>
        <v/>
      </c>
      <c r="T1195" t="n">
        <v>0</v>
      </c>
      <c r="U1195">
        <f>INDEX(FactorTable!$B$2:$Y$301, MATCH(ROUND(MIN(300,MAX(1,U1194)),0), FactorTable!$A$2:$A$301,0), 22)</f>
        <v/>
      </c>
      <c r="V1195" t="n">
        <v>0</v>
      </c>
    </row>
    <row r="1196">
      <c r="A1196">
        <f>Skills!A4</f>
        <v/>
      </c>
      <c r="B1196">
        <f>Skills!B4</f>
        <v/>
      </c>
      <c r="C1196">
        <f>Inputs!$B$3&gt;=66</f>
        <v/>
      </c>
      <c r="D1196">
        <f>IF(Skills!C4=1,60+Inputs!$B$25+Inputs!$B$29,IF(Skills!C4=2,90+Inputs!$B$26+Inputs!$B$29,IF(Skills!C4=3,120+Inputs!$B$27+Inputs!$B$29,MAX(0,(Inputs!$B$3-100)*3)+Inputs!$B$28+Inputs!$B$29)))</f>
        <v/>
      </c>
      <c r="E1196">
        <f>INDEX(FactorTable!$B$2:$Y$301, MATCH(ROUND(MIN(300,MAX(1,D1196)),0), FactorTable!$A$2:$A$301,0), Skills!M4+1)</f>
        <v/>
      </c>
      <c r="F1196">
        <f>IF(Skills!N4=TRUE,(Skills!L4/10)*(E1196/1000),Skills!L4/10)+Skills!O4</f>
        <v/>
      </c>
      <c r="G1196">
        <f>Skills!G4*IF(Skills!H4&gt;0,IF(Inputs!$B$39="pvp",MIN(Skills!I4,15),Skills!I4)/Skills!H4,1)</f>
        <v/>
      </c>
      <c r="H1196">
        <f>1-(1-Skills!J4/100)^Skills!K4</f>
        <v/>
      </c>
      <c r="I1196" t="inlineStr">
        <is>
          <t>1</t>
        </is>
      </c>
      <c r="J1196">
        <f>((Inputs!$B$6*(1+(Inputs!$B$7+1)/100))+(((Inputs!$B$12*(1+Inputs!$B$13/100))-(Inputs!$B$12*(1+Inputs!$B$13/100)))+0.25*(Inputs!$B$14-Inputs!$B$14))*(1+(Inputs!$B$7+1)/100))*(F1196/100)</f>
        <v/>
      </c>
      <c r="K1196">
        <f>J1196*(1+((Inputs!$B$12*(1+Inputs!$B$13/100))*0.01+Inputs!$B$14*0.0025)/100)*(1+Inputs!$B$15/100)*(1+Inputs!$B$16/100)*(5000/(6000+Inputs!$B$43*(1-(100*(1-(1-Inputs!$B$19/100)*(1-CHOOSE(ArtifactsInput!$N$40+1,5,6,7,8,9,10)/100)^(ArtifactsInput!$M$40-ArtifactsInput!$M$40)))/100)))*(1+(Inputs!$B$24+((C1223=TRUE)*(F1223-Calc!F31))+((C1210=TRUE)*(F1210-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4="CRUEL_STAB",Inputs!$B$17+((C1220=TRUE)*(F1220-Calc!F28))+((IF(AND(Inputs!$B$39&lt;&gt;"pvp",Inputs!$B$44=0),1,IF(IF(Inputs!$B$39="pvp",15,Inputs!$B$44)-(B1237)&lt;=0,1,MAX(0,IF(Inputs!$B$39="pvp",15,Inputs!$B$44)-MAX(5,B1237))/(IF(Inputs!$B$39="pvp",15,Inputs!$B$44)-(B1237))))*(IF(AND(ArtifactsInput!$M$42,((Inputs!$B$9+((C1218=TRUE)*(F1218-Calc!F26))+B1226+(ArtifactsInput!$M$24-ArtifactsInput!$M$24)*CHOOSE(ArtifactsInput!$N$24+1,10,12,14,16,18,20)+IF(ArtifactsInput!$M$10,CHOOSE(ArtifactsInput!$N$10+1,15,18,21,24,27,30)*(IF(Inputs!$B$39="pvp",MIN(15,15)/15,IF(AND(Inputs!$B$39&lt;&gt;"pvp",Inputs!$B$44&gt;0),MIN(15,Inputs!$B$44)/(Inputs!$B$44),0))),0)))&gt;=100),MIN(100,((Inputs!$B$9+((C1218=TRUE)*(F1218-Calc!F26))+B1226+(ArtifactsInput!$M$24-ArtifactsInput!$M$24)*CHOOSE(ArtifactsInput!$N$24+1,10,12,14,16,18,20)+IF(ArtifactsInput!$M$10,CHOOSE(ArtifactsInput!$N$10+1,15,18,21,24,27,30)*(IF(Inputs!$B$39="pvp",MIN(15,15)/15,IF(AND(Inputs!$B$39&lt;&gt;"pvp",Inputs!$B$44&gt;0),MIN(15,Inputs!$B$44)/(Inputs!$B$44),0))),0)))-100),0))*CHOOSE(ArtifactsInput!$N$42+1,0.6,0.72,0.84,0.96,1.08,1.2))),Inputs!$B$18+((C1221=TRUE)*(F1221-Calc!F29))+(IF(AND(Inputs!$B$39&lt;&gt;"pvp",Inputs!$B$44=0),1,IF(IF(Inputs!$B$39="pvp",15,Inputs!$B$44)-(B1237)&lt;=0,1,MAX(0,IF(Inputs!$B$39="pvp",15,Inputs!$B$44)-MAX(5,B1237))/(IF(Inputs!$B$39="pvp",15,Inputs!$B$44)-(B1237))))*IF(AND(ArtifactsInput!$M$42,((Inputs!$B$9+((C1218=TRUE)*(F1218-Calc!F26))+B1226+(ArtifactsInput!$M$24-ArtifactsInput!$M$24)*CHOOSE(ArtifactsInput!$N$24+1,10,12,14,16,18,20)+IF(ArtifactsInput!$M$10,CHOOSE(ArtifactsInput!$N$10+1,15,18,21,24,27,30)*(IF(Inputs!$B$39="pvp",MIN(15,15)/15,IF(AND(Inputs!$B$39&lt;&gt;"pvp",Inputs!$B$44&gt;0),MIN(15,Inputs!$B$44)/(Inputs!$B$44),0))),0)))&gt;=100),CHOOSE(ArtifactsInput!$N$42+1,40,48,56,64,72,80),0))))/100)*(((1+(((C1214=TRUE)*F1214*IF(AND(Inputs!$B$39&lt;&gt;"pvp",Inputs!$B$44&gt;0),(((R1214-1)*MIN((Skills!Y22*(1+Inputs!$B$34/100)),(1/Q1214))+MIN((Skills!Y22*(1+Inputs!$B$34/100)),MAX(0,Inputs!$B$44-((R1214-1)*(1/Q1214)))))/Inputs!$B$44),IF(Inputs!$B$39="pvp",MIN((Skills!Y22*(1+Inputs!$B$34/100)),15)/15,MIN(1,(Skills!Y22*(1+Inputs!$B$34/100))/(1/Q1214)))))+((C1195=TRUE)*F1195*3)+((C1197=TRUE)*F1197*(1-EXP(-0.75*B1230*5)))+((C1216=TRUE)*(F1216-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1203=TRUE)*F1203*IF(AND(Inputs!$B$39&lt;&gt;"pvp",Inputs!$B$44&gt;0),(((R1203-1)*MIN((Skills!Y11*(1+Inputs!$B$34/100)),(1/Q1203))+MIN((Skills!Y11*(1+Inputs!$B$34/100)),MAX(0,Inputs!$B$44-((R1203-1)*(1/Q1203)))))/Inputs!$B$44),IF(Inputs!$B$39="pvp",MIN((Skills!Y11*(1+Inputs!$B$34/100)),15)/15,MIN(1,(Skills!Y11*(1+Inputs!$B$34/100))/(1/Q1203)))))/100)*(1+((C1208=TRUE)*F1208*IF(AND(Inputs!$B$39&lt;&gt;"pvp",Inputs!$B$44&gt;0),(((R1208-1)*MIN((Skills!Y16*(1+Inputs!$B$34/100)),(1/Q1208))+MIN((Skills!Y16*(1+Inputs!$B$34/100)),MAX(0,Inputs!$B$44-((R1208-1)*(1/Q1208)))))/Inputs!$B$44),IF(Inputs!$B$39="pvp",MIN((Skills!Y16*(1+Inputs!$B$34/100)),15)/15,MIN(1,(Skills!Y16*(1+Inputs!$B$34/100))/(1/Q1208)))))/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1228*I1196)</f>
        <v/>
      </c>
      <c r="L1196">
        <f>K1196*(MIN(Inputs!$B$22+((C1217=TRUE)*(F1217-Calc!F25)),(Inputs!$B$23+((C1222=TRUE)*(F1222-Calc!F30))+IF(ArtifactsInput!$M$15,CHOOSE(ArtifactsInput!$N$15+1,25,30,35,40,45,50)/100*(Inputs!$B$11-Inputs!$B$11),0)))/100+(Inputs!$B$23+((C1222=TRUE)*(F1222-Calc!F30))+IF(ArtifactsInput!$M$15,CHOOSE(ArtifactsInput!$N$15+1,25,30,35,40,45,50)/100*(Inputs!$B$11-Inputs!$B$11),0))/100)/2</f>
        <v/>
      </c>
      <c r="M1196">
        <f>L1196*(1+(Inputs!$B$10+((C1219=TRUE)*(F1219-Calc!F27))+B1233+(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1196">
        <f>L1196*(1-MIN((Inputs!$B$9+((C1218=TRUE)*(F1218-Calc!F26))+B1226+(ArtifactsInput!$M$24-ArtifactsInput!$M$24)*CHOOSE(ArtifactsInput!$N$24+1,10,12,14,16,18,20)+(IF(AND(Inputs!$B$39&lt;&gt;"pvp",Inputs!$B$44=0),1,IF(IF(Inputs!$B$39="pvp",15,Inputs!$B$44)-(B1237)&lt;=0,1,MAX(0,IF(Inputs!$B$39="pvp",15,Inputs!$B$44)-MAX(5,B1237))/(IF(Inputs!$B$39="pvp",15,Inputs!$B$44)-(B1237))))*IF(AND(ArtifactsInput!$M$42,((Inputs!$B$9+((C1218=TRUE)*(F1218-Calc!F26))+B1226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1196*(MIN((Inputs!$B$9+((C1218=TRUE)*(F1218-Calc!F26))+B1226+(ArtifactsInput!$M$24-ArtifactsInput!$M$24)*CHOOSE(ArtifactsInput!$N$24+1,10,12,14,16,18,20)+(IF(AND(Inputs!$B$39&lt;&gt;"pvp",Inputs!$B$44=0),1,IF(IF(Inputs!$B$39="pvp",15,Inputs!$B$44)-(B1237)&lt;=0,1,MAX(0,IF(Inputs!$B$39="pvp",15,Inputs!$B$44)-MAX(5,B1237))/(IF(Inputs!$B$39="pvp",15,Inputs!$B$44)-(B1237))))*IF(AND(ArtifactsInput!$M$42,((Inputs!$B$9+((C1218=TRUE)*(F1218-Calc!F26))+B1226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196">
        <f>(1-Summary!$B$11)*T1196+Summary!$B$11*V1196</f>
        <v/>
      </c>
      <c r="P1196">
        <f>IF(B1238=0,0,O1196/B1238)</f>
        <v/>
      </c>
      <c r="Q1196">
        <f>IFERROR(1/IF(Inputs!$B$39="pvp",15,MAX(0.1,Skills!D4-IF(TRUE=TRUE,Inputs!$B$32,0))),0)</f>
        <v/>
      </c>
      <c r="R1196">
        <f>IF(AND(Inputs!$B$39&lt;&gt;"pvp",Inputs!$B$44&gt;0),IF(MAX(0,Inputs!$B$44-B1237)&lt;=0,0,(INT(MAX(0,Inputs!$B$44-B1237)/IF(Inputs!$B$39="pvp",15,MAX(0.1,Skills!D4-IF(TRUE=TRUE,Inputs!$B$32,0))))+1)),0)</f>
        <v/>
      </c>
      <c r="S1196">
        <f>IFERROR(O1196/N1196,0)</f>
        <v/>
      </c>
      <c r="T1196">
        <f>IF(C1196,(H1196*N1196*IF(AND(Inputs!$B$39&lt;&gt;"pvp",Inputs!$B$44&gt;0),((Skills!G4*((R1196-1)*IF(Skills!H4&gt;0,Skills!I4/Skills!H4,1)+IF(Skills!H4&gt;0,MIN(Skills!I4,MAX(0,MAX(0,Inputs!$B$44-B1237)-((R1196-1)*IF(Inputs!$B$39="pvp",15,MAX(0.1,Skills!D4-IF(TRUE=TRUE,Inputs!$B$32,0))))))/Skills!H4,1)))/Inputs!$B$44),G1196*Q1196))*IF(Inputs!$B$39="pvp",1,1+(Inputs!$B$20+0+Skills!P4+B1227+(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Hunt"),CHOOSE(ArtifactsInput!$N$35+1,15,18,21,24,27,30)*(1-EXP(-(0.2*B1230)*5)),0)+IF(AND(ArtifactsInput!$M$22,Inputs!$B$4&lt;&gt;"Chapter Hunt"),CHOOSE(ArtifactsInput!$N$22+1,10,12,14,16,18,20)*((0*(((0.15*B1230*5))^0/1)+1*(((0.15*B1230*5))^1/1)+2*(((0.15*B1230*5))^2/2)+3*(((0.15*B1230*5))^3/6)+4*(((0.15*B1230*5))^4/24)+5*(((0.15*B1230*5))^5/120))/((((0.15*B1230*5))^0/1)+(((0.15*B1230*5))^1/1)+(((0.15*B1230*5))^2/2)+(((0.15*B1230*5))^3/6)+(((0.15*B1230*5))^4/24)+(((0.15*B1230*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1196*(1-MIN(100,(Inputs!$B$9+((C1218=TRUE)*(F1218-Calc!F26))+B1226+(ArtifactsInput!$M$24-ArtifactsInput!$M$24)*CHOOSE(ArtifactsInput!$N$24+1,10,12,14,16,18,20)+(IF(AND(Inputs!$B$39&lt;&gt;"pvp",Inputs!$B$44=0),1,IF(IF(Inputs!$B$39="pvp",15,Inputs!$B$44)-(B1237)&lt;=0,1,MAX(0,IF(Inputs!$B$39="pvp",15,Inputs!$B$44)-MAX(5,B1237))/(IF(Inputs!$B$39="pvp",15,Inputs!$B$44)-(B1237))))*IF(AND(ArtifactsInput!$M$42,((Inputs!$B$9+((C1218=TRUE)*(F1218-Calc!F26))+B1226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1196*(MIN(100,(Inputs!$B$9+((C1218=TRUE)*(F1218-Calc!F26))+B1226+(ArtifactsInput!$M$24-ArtifactsInput!$M$24)*CHOOSE(ArtifactsInput!$N$24+1,10,12,14,16,18,20)+(IF(AND(Inputs!$B$39&lt;&gt;"pvp",Inputs!$B$44=0),1,IF(IF(Inputs!$B$39="pvp",15,Inputs!$B$44)-(B1237)&lt;=0,1,MAX(0,IF(Inputs!$B$39="pvp",15,Inputs!$B$44)-MAX(5,B1237))/(IF(Inputs!$B$39="pvp",15,Inputs!$B$44)-(B1237))))*IF(AND(ArtifactsInput!$M$42,((Inputs!$B$9+((C1218=TRUE)*(F1218-Calc!F26))+B1226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1196*(1-MIN(100,(Inputs!$B$9+((C1218=TRUE)*(F1218-Calc!F26))+B1226+(ArtifactsInput!$M$24-ArtifactsInput!$M$24)*CHOOSE(ArtifactsInput!$N$24+1,10,12,14,16,18,20)+(IF(AND(Inputs!$B$39&lt;&gt;"pvp",Inputs!$B$44=0),1,IF(IF(Inputs!$B$39="pvp",15,Inputs!$B$44)-(B1237)&lt;=0,1,MAX(0,IF(Inputs!$B$39="pvp",15,Inputs!$B$44)-MAX(5,B1237))/(IF(Inputs!$B$39="pvp",15,Inputs!$B$44)-(B1237))))*IF(AND(ArtifactsInput!$M$42,((Inputs!$B$9+((C1218=TRUE)*(F1218-Calc!F26))+B1226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1196*(MIN(100,(Inputs!$B$9+((C1218=TRUE)*(F1218-Calc!F26))+B1226+(ArtifactsInput!$M$24-ArtifactsInput!$M$24)*CHOOSE(ArtifactsInput!$N$24+1,10,12,14,16,18,20)+(IF(AND(Inputs!$B$39&lt;&gt;"pvp",Inputs!$B$44=0),1,IF(IF(Inputs!$B$39="pvp",15,Inputs!$B$44)-(B1237)&lt;=0,1,MAX(0,IF(Inputs!$B$39="pvp",15,Inputs!$B$44)-MAX(5,B1237))/(IF(Inputs!$B$39="pvp",15,Inputs!$B$44)-(B1237))))*IF(AND(ArtifactsInput!$M$42,((Inputs!$B$9+((C1218=TRUE)*(F1218-Calc!F26))+B1226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1196">
        <f>290*U1195/1000</f>
        <v/>
      </c>
      <c r="V1196">
        <f>IF(C1196,(H1196*N1196*IF(AND(Inputs!$B$39&lt;&gt;"pvp",Inputs!$B$44&gt;0),((Skills!G4*((R1196-1)*IF(Skills!H4&gt;0,Skills!I4/Skills!H4,1)+IF(Skills!H4&gt;0,MIN(Skills!I4,MAX(0,MAX(0,Inputs!$B$44-B1237)-((R1196-1)*IF(Inputs!$B$39="pvp",15,MAX(0.1,Skills!D4-IF(TRUE=TRUE,Inputs!$B$32,0))))))/Skills!H4,1)))/Inputs!$B$44),G1196*Q1196))*IF(Inputs!$B$39="pvp",1,(1+(Inputs!$B$21+Skills!Q4+B1227+(IF(ArtifactsInput!$M$33,CHOOSE(ArtifactsInput!$N$33+1,30,36,42,48,54,60),0))+(IF(AND(ArtifactsInput!$M$35,Inputs!$B$4&lt;&gt;"Chapter Hunt"),CHOOSE(ArtifactsInput!$N$35+1,15,18,21,24,27,30)*(1-EXP(-(0.2*B1230)*5)),0)+IF(AND(ArtifactsInput!$M$22,Inputs!$B$4&lt;&gt;"Chapter Hunt"),CHOOSE(ArtifactsInput!$N$22+1,10,12,14,16,18,20)*((0*(((0.15*B1230*5))^0/1)+1*(((0.15*B1230*5))^1/1)+2*(((0.15*B1230*5))^2/2)+3*(((0.15*B1230*5))^3/6)+4*(((0.15*B1230*5))^4/24)+5*(((0.15*B1230*5))^5/120))/((((0.15*B1230*5))^0/1)+(((0.15*B1230*5))^1/1)+(((0.15*B1230*5))^2/2)+(((0.15*B1230*5))^3/6)+(((0.15*B1230*5))^4/24)+(((0.15*B1230*5))^5/120))),0)))/100)*(MIN(MIN(10,IF(Inputs!$B$3&gt;=75,0.75,0.5)*B1230*(1/Q1196)),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197">
      <c r="A1197">
        <f>Skills!A5</f>
        <v/>
      </c>
      <c r="B1197">
        <f>Skills!B5</f>
        <v/>
      </c>
      <c r="C1197">
        <f>Inputs!$B$3&gt;=75</f>
        <v/>
      </c>
      <c r="D1197">
        <f>IF(Skills!C5=1,60+Inputs!$B$25+Inputs!$B$29,IF(Skills!C5=2,90+Inputs!$B$26+Inputs!$B$29,IF(Skills!C5=3,120+Inputs!$B$27+Inputs!$B$29,MAX(0,(Inputs!$B$3-100)*3)+Inputs!$B$28+Inputs!$B$29)))</f>
        <v/>
      </c>
      <c r="E1197">
        <f>INDEX(FactorTable!$B$2:$Y$301, MATCH(ROUND(MIN(300,MAX(1,D1197)),0), FactorTable!$A$2:$A$301,0), Skills!M5+1)</f>
        <v/>
      </c>
      <c r="F1197">
        <f>IF(Skills!N5=TRUE,(Skills!L5/10)*(E1197/1000),Skills!L5/10)+Skills!O5</f>
        <v/>
      </c>
      <c r="G1197">
        <f>Skills!G5*IF(Skills!H5&gt;0,IF(Inputs!$B$39="pvp",MIN(Skills!I5,15),Skills!I5)/Skills!H5,1)</f>
        <v/>
      </c>
      <c r="H1197">
        <f>1-(1-Skills!J5/100)^Skills!K5</f>
        <v/>
      </c>
      <c r="I1197" t="inlineStr">
        <is>
          <t>1</t>
        </is>
      </c>
      <c r="J1197" t="inlineStr"/>
      <c r="K1197" t="inlineStr"/>
      <c r="L1197" t="inlineStr"/>
      <c r="M1197" t="inlineStr"/>
      <c r="N1197" t="inlineStr"/>
      <c r="O1197">
        <f>(1-Summary!$B$11)*T1197+Summary!$B$11*V1197</f>
        <v/>
      </c>
      <c r="P1197">
        <f>IF(B1238=0,0,O1197/B1238)</f>
        <v/>
      </c>
      <c r="Q1197" t="n">
        <v>0</v>
      </c>
      <c r="R1197" t="n">
        <v>0</v>
      </c>
      <c r="S1197">
        <f>IFERROR(O1197/N1197,0)</f>
        <v/>
      </c>
      <c r="T1197" t="n">
        <v>0</v>
      </c>
      <c r="V1197" t="n">
        <v>0</v>
      </c>
    </row>
    <row r="1198">
      <c r="A1198">
        <f>Skills!A6</f>
        <v/>
      </c>
      <c r="B1198">
        <f>Skills!B6</f>
        <v/>
      </c>
      <c r="C1198">
        <f>Inputs!$B$3&gt;=63</f>
        <v/>
      </c>
      <c r="D1198">
        <f>IF(Skills!C6=1,60+Inputs!$B$25+Inputs!$B$29,IF(Skills!C6=2,90+Inputs!$B$26+Inputs!$B$29,IF(Skills!C6=3,120+Inputs!$B$27+Inputs!$B$29,MAX(0,(Inputs!$B$3-100)*3)+Inputs!$B$28+Inputs!$B$29)))</f>
        <v/>
      </c>
      <c r="E1198">
        <f>INDEX(FactorTable!$B$2:$Y$301, MATCH(ROUND(MIN(300,MAX(1,D1198)),0), FactorTable!$A$2:$A$301,0), Skills!M6+1)</f>
        <v/>
      </c>
      <c r="F1198">
        <f>IF(Skills!N6=TRUE,(Skills!L6/10)*(E1198/1000),Skills!L6/10)+Skills!O6</f>
        <v/>
      </c>
      <c r="G1198">
        <f>Skills!G6*IF(Skills!H6&gt;0,IF(Inputs!$B$39="pvp",MIN(Skills!I6,15),Skills!I6)/Skills!H6,1)</f>
        <v/>
      </c>
      <c r="H1198">
        <f>1-(1-Skills!J6/100)^Skills!K6</f>
        <v/>
      </c>
      <c r="I1198" t="inlineStr">
        <is>
          <t>1</t>
        </is>
      </c>
      <c r="J1198">
        <f>((Inputs!$B$6*(1+(Inputs!$B$7+1)/100))+(((Inputs!$B$12*(1+Inputs!$B$13/100))-(Inputs!$B$12*(1+Inputs!$B$13/100)))+0.25*(Inputs!$B$14-Inputs!$B$14))*(1+(Inputs!$B$7+1)/100))*(F1198/100)</f>
        <v/>
      </c>
      <c r="K1198">
        <f>J1198*(1+((Inputs!$B$12*(1+Inputs!$B$13/100))*0.01+Inputs!$B$14*0.0025)/100)*(1+Inputs!$B$15/100)*(1+Inputs!$B$16/100)*(5000/(6000+Inputs!$B$43*(1-(100*(1-(1-Inputs!$B$19/100)*(1-CHOOSE(ArtifactsInput!$N$40+1,5,6,7,8,9,10)/100)^(ArtifactsInput!$M$40-ArtifactsInput!$M$40)))/100)))*(1+(Inputs!$B$24+((C1223=TRUE)*(F1223-Calc!F31))+((C1210=TRUE)*(F1210-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+2.6666666666666665*IF(C1211=TRUE,F1211,0)/100)*(1+(IF(Skills!A6="CRUEL_STAB",Inputs!$B$17+((C1220=TRUE)*(F1220-Calc!F28))+((IF(AND(Inputs!$B$39&lt;&gt;"pvp",Inputs!$B$44=0),1,IF(IF(Inputs!$B$39="pvp",15,Inputs!$B$44)-(B1237)&lt;=0,1,MAX(0,IF(Inputs!$B$39="pvp",15,Inputs!$B$44)-MAX(5,B1237))/(IF(Inputs!$B$39="pvp",15,Inputs!$B$44)-(B1237))))*(IF(AND(ArtifactsInput!$M$42,((Inputs!$B$9+((C1218=TRUE)*(F1218-Calc!F26))+B1226+(ArtifactsInput!$M$24-ArtifactsInput!$M$24)*CHOOSE(ArtifactsInput!$N$24+1,10,12,14,16,18,20)+IF(ArtifactsInput!$M$10,CHOOSE(ArtifactsInput!$N$10+1,15,18,21,24,27,30)*(IF(Inputs!$B$39="pvp",MIN(15,15)/15,IF(AND(Inputs!$B$39&lt;&gt;"pvp",Inputs!$B$44&gt;0),MIN(15,Inputs!$B$44)/(Inputs!$B$44),0))),0)))&gt;=100),MIN(100,((Inputs!$B$9+((C1218=TRUE)*(F1218-Calc!F26))+B1226+(ArtifactsInput!$M$24-ArtifactsInput!$M$24)*CHOOSE(ArtifactsInput!$N$24+1,10,12,14,16,18,20)+IF(ArtifactsInput!$M$10,CHOOSE(ArtifactsInput!$N$10+1,15,18,21,24,27,30)*(IF(Inputs!$B$39="pvp",MIN(15,15)/15,IF(AND(Inputs!$B$39&lt;&gt;"pvp",Inputs!$B$44&gt;0),MIN(15,Inputs!$B$44)/(Inputs!$B$44),0))),0)))-100),0))*CHOOSE(ArtifactsInput!$N$42+1,0.6,0.72,0.84,0.96,1.08,1.2))),Inputs!$B$18+((C1221=TRUE)*(F1221-Calc!F29))+(IF(AND(Inputs!$B$39&lt;&gt;"pvp",Inputs!$B$44=0),1,IF(IF(Inputs!$B$39="pvp",15,Inputs!$B$44)-(B1237)&lt;=0,1,MAX(0,IF(Inputs!$B$39="pvp",15,Inputs!$B$44)-MAX(5,B1237))/(IF(Inputs!$B$39="pvp",15,Inputs!$B$44)-(B1237))))*IF(AND(ArtifactsInput!$M$42,((Inputs!$B$9+((C1218=TRUE)*(F1218-Calc!F26))+B1226+(ArtifactsInput!$M$24-ArtifactsInput!$M$24)*CHOOSE(ArtifactsInput!$N$24+1,10,12,14,16,18,20)+IF(ArtifactsInput!$M$10,CHOOSE(ArtifactsInput!$N$10+1,15,18,21,24,27,30)*(IF(Inputs!$B$39="pvp",MIN(15,15)/15,IF(AND(Inputs!$B$39&lt;&gt;"pvp",Inputs!$B$44&gt;0),MIN(15,Inputs!$B$44)/(Inputs!$B$44),0))),0)))&gt;=100),CHOOSE(ArtifactsInput!$N$42+1,40,48,56,64,72,80),0))))/100)*(((1+(((C1214=TRUE)*F1214*IF(AND(Inputs!$B$39&lt;&gt;"pvp",Inputs!$B$44&gt;0),(((R1214-1)*MIN((Skills!Y22*(1+Inputs!$B$34/100)),(1/Q1214))+MIN((Skills!Y22*(1+Inputs!$B$34/100)),MAX(0,Inputs!$B$44-((R1214-1)*(1/Q1214)))))/Inputs!$B$44),IF(Inputs!$B$39="pvp",MIN((Skills!Y22*(1+Inputs!$B$34/100)),15)/15,MIN(1,(Skills!Y22*(1+Inputs!$B$34/100))/(1/Q1214)))))+((C1195=TRUE)*F1195*3)+((C1197=TRUE)*F1197*(1-EXP(-0.75*B1230*5)))+((C1216=TRUE)*(F1216-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1203=TRUE)*F1203*IF(AND(Inputs!$B$39&lt;&gt;"pvp",Inputs!$B$44&gt;0),(((R1203-1)*MIN((Skills!Y11*(1+Inputs!$B$34/100)),(1/Q1203))+MIN((Skills!Y11*(1+Inputs!$B$34/100)),MAX(0,Inputs!$B$44-((R1203-1)*(1/Q1203)))))/Inputs!$B$44),IF(Inputs!$B$39="pvp",MIN((Skills!Y11*(1+Inputs!$B$34/100)),15)/15,MIN(1,(Skills!Y11*(1+Inputs!$B$34/100))/(1/Q1203)))))/100)*(1+((C1208=TRUE)*F1208*IF(AND(Inputs!$B$39&lt;&gt;"pvp",Inputs!$B$44&gt;0),(((R1208-1)*MIN((Skills!Y16*(1+Inputs!$B$34/100)),(1/Q1208))+MIN((Skills!Y16*(1+Inputs!$B$34/100)),MAX(0,Inputs!$B$44-((R1208-1)*(1/Q1208)))))/Inputs!$B$44),IF(Inputs!$B$39="pvp",MIN((Skills!Y16*(1+Inputs!$B$34/100)),15)/15,MIN(1,(Skills!Y16*(1+Inputs!$B$34/100))/(1/Q1208)))))/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1228*I1198)</f>
        <v/>
      </c>
      <c r="L1198">
        <f>K1198*(MIN(Inputs!$B$22+((C1217=TRUE)*(F1217-Calc!F25)),(Inputs!$B$23+((C1222=TRUE)*(F1222-Calc!F30))+IF(ArtifactsInput!$M$15,CHOOSE(ArtifactsInput!$N$15+1,25,30,35,40,45,50)/100*(Inputs!$B$11-Inputs!$B$11),0)))/100+(Inputs!$B$23+((C1222=TRUE)*(F1222-Calc!F30))+IF(ArtifactsInput!$M$15,CHOOSE(ArtifactsInput!$N$15+1,25,30,35,40,45,50)/100*(Inputs!$B$11-Inputs!$B$11),0))/100)/2</f>
        <v/>
      </c>
      <c r="M1198">
        <f>L1198*(1+(Inputs!$B$10+((C1219=TRUE)*(F1219-Calc!F27))+B1233+(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1198">
        <f>L1198*(1-MIN((Inputs!$B$9+((C1218=TRUE)*(F1218-Calc!F26))+B1226+(ArtifactsInput!$M$24-ArtifactsInput!$M$24)*CHOOSE(ArtifactsInput!$N$24+1,10,12,14,16,18,20)+(IF(AND(Inputs!$B$39&lt;&gt;"pvp",Inputs!$B$44=0),1,IF(IF(Inputs!$B$39="pvp",15,Inputs!$B$44)-(B1237)&lt;=0,1,MAX(0,IF(Inputs!$B$39="pvp",15,Inputs!$B$44)-MAX(5,B1237))/(IF(Inputs!$B$39="pvp",15,Inputs!$B$44)-(B1237))))*IF(AND(ArtifactsInput!$M$42,((Inputs!$B$9+((C1218=TRUE)*(F1218-Calc!F26))+B1226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1198*(MIN((Inputs!$B$9+((C1218=TRUE)*(F1218-Calc!F26))+B1226+(ArtifactsInput!$M$24-ArtifactsInput!$M$24)*CHOOSE(ArtifactsInput!$N$24+1,10,12,14,16,18,20)+(IF(AND(Inputs!$B$39&lt;&gt;"pvp",Inputs!$B$44=0),1,IF(IF(Inputs!$B$39="pvp",15,Inputs!$B$44)-(B1237)&lt;=0,1,MAX(0,IF(Inputs!$B$39="pvp",15,Inputs!$B$44)-MAX(5,B1237))/(IF(Inputs!$B$39="pvp",15,Inputs!$B$44)-(B1237))))*IF(AND(ArtifactsInput!$M$42,((Inputs!$B$9+((C1218=TRUE)*(F1218-Calc!F26))+B1226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198">
        <f>(1-Summary!$B$11)*T1198+Summary!$B$11*V1198</f>
        <v/>
      </c>
      <c r="P1198">
        <f>IF(B1238=0,0,O1198/B1238)</f>
        <v/>
      </c>
      <c r="Q1198">
        <f>IFERROR(1/IF(Inputs!$B$39="pvp",15,MAX(0.1,Skills!D6-IF(TRUE=TRUE,Inputs!$B$32,0))),0)</f>
        <v/>
      </c>
      <c r="R1198">
        <f>IF(AND(Inputs!$B$39&lt;&gt;"pvp",Inputs!$B$44&gt;0),IF(MAX(0,Inputs!$B$44-B1237)&lt;=0,0,(INT(MAX(0,Inputs!$B$44-B1237)/IF(Inputs!$B$39="pvp",15,MAX(0.1,Skills!D6-IF(TRUE=TRUE,Inputs!$B$32,0))))+1)),0)</f>
        <v/>
      </c>
      <c r="S1198">
        <f>IFERROR(O1198/N1198,0)</f>
        <v/>
      </c>
      <c r="T1198">
        <f>IF(C1198,(H1198*N1198*IF(AND(Inputs!$B$39&lt;&gt;"pvp",Inputs!$B$44&gt;0),((Skills!G6*((R1198-1)*IF(Skills!H6&gt;0,Skills!I6/Skills!H6,1)+IF(Skills!H6&gt;0,MIN(Skills!I6,MAX(0,MAX(0,Inputs!$B$44-B1237)-((R1198-1)*IF(Inputs!$B$39="pvp",15,MAX(0.1,Skills!D6-IF(TRUE=TRUE,Inputs!$B$32,0))))))/Skills!H6,1)))/Inputs!$B$44),G1198*Q1198))*IF(Inputs!$B$39="pvp",1,1+(Inputs!$B$20+0+Skills!P6+B1227+(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Hunt"),CHOOSE(ArtifactsInput!$N$35+1,15,18,21,24,27,30)*(1-EXP(-(0.2*B1230)*5)),0)+IF(AND(ArtifactsInput!$M$22,Inputs!$B$4&lt;&gt;"Chapter Hunt"),CHOOSE(ArtifactsInput!$N$22+1,10,12,14,16,18,20)*((0*(((0.15*B1230*5))^0/1)+1*(((0.15*B1230*5))^1/1)+2*(((0.15*B1230*5))^2/2)+3*(((0.15*B1230*5))^3/6)+4*(((0.15*B1230*5))^4/24)+5*(((0.15*B1230*5))^5/120))/((((0.15*B1230*5))^0/1)+(((0.15*B1230*5))^1/1)+(((0.15*B1230*5))^2/2)+(((0.15*B1230*5))^3/6)+(((0.15*B1230*5))^4/24)+(((0.15*B1230*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1198*(1-MIN(100,(Inputs!$B$9+((C1218=TRUE)*(F1218-Calc!F26))+B1226+(ArtifactsInput!$M$24-ArtifactsInput!$M$24)*CHOOSE(ArtifactsInput!$N$24+1,10,12,14,16,18,20)+(IF(AND(Inputs!$B$39&lt;&gt;"pvp",Inputs!$B$44=0),1,IF(IF(Inputs!$B$39="pvp",15,Inputs!$B$44)-(B1237)&lt;=0,1,MAX(0,IF(Inputs!$B$39="pvp",15,Inputs!$B$44)-MAX(5,B1237))/(IF(Inputs!$B$39="pvp",15,Inputs!$B$44)-(B1237))))*IF(AND(ArtifactsInput!$M$42,((Inputs!$B$9+((C1218=TRUE)*(F1218-Calc!F26))+B1226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1198*(MIN(100,(Inputs!$B$9+((C1218=TRUE)*(F1218-Calc!F26))+B1226+(ArtifactsInput!$M$24-ArtifactsInput!$M$24)*CHOOSE(ArtifactsInput!$N$24+1,10,12,14,16,18,20)+(IF(AND(Inputs!$B$39&lt;&gt;"pvp",Inputs!$B$44=0),1,IF(IF(Inputs!$B$39="pvp",15,Inputs!$B$44)-(B1237)&lt;=0,1,MAX(0,IF(Inputs!$B$39="pvp",15,Inputs!$B$44)-MAX(5,B1237))/(IF(Inputs!$B$39="pvp",15,Inputs!$B$44)-(B1237))))*IF(AND(ArtifactsInput!$M$42,((Inputs!$B$9+((C1218=TRUE)*(F1218-Calc!F26))+B1226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1198*(1-MIN(100,(Inputs!$B$9+((C1218=TRUE)*(F1218-Calc!F26))+B1226+(ArtifactsInput!$M$24-ArtifactsInput!$M$24)*CHOOSE(ArtifactsInput!$N$24+1,10,12,14,16,18,20)+(IF(AND(Inputs!$B$39&lt;&gt;"pvp",Inputs!$B$44=0),1,IF(IF(Inputs!$B$39="pvp",15,Inputs!$B$44)-(B1237)&lt;=0,1,MAX(0,IF(Inputs!$B$39="pvp",15,Inputs!$B$44)-MAX(5,B1237))/(IF(Inputs!$B$39="pvp",15,Inputs!$B$44)-(B1237))))*IF(AND(ArtifactsInput!$M$42,((Inputs!$B$9+((C1218=TRUE)*(F1218-Calc!F26))+B1226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1198*(MIN(100,(Inputs!$B$9+((C1218=TRUE)*(F1218-Calc!F26))+B1226+(ArtifactsInput!$M$24-ArtifactsInput!$M$24)*CHOOSE(ArtifactsInput!$N$24+1,10,12,14,16,18,20)+(IF(AND(Inputs!$B$39&lt;&gt;"pvp",Inputs!$B$44=0),1,IF(IF(Inputs!$B$39="pvp",15,Inputs!$B$44)-(B1237)&lt;=0,1,MAX(0,IF(Inputs!$B$39="pvp",15,Inputs!$B$44)-MAX(5,B1237))/(IF(Inputs!$B$39="pvp",15,Inputs!$B$44)-(B1237))))*IF(AND(ArtifactsInput!$M$42,((Inputs!$B$9+((C1218=TRUE)*(F1218-Calc!F26))+B1226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1198">
        <f>IF(C1198,(H1198*N1198*IF(AND(Inputs!$B$39&lt;&gt;"pvp",Inputs!$B$44&gt;0),((Skills!G6*((R1198-1)*IF(Skills!H6&gt;0,Skills!I6/Skills!H6,1)+IF(Skills!H6&gt;0,MIN(Skills!I6,MAX(0,MAX(0,Inputs!$B$44-B1237)-((R1198-1)*IF(Inputs!$B$39="pvp",15,MAX(0.1,Skills!D6-IF(TRUE=TRUE,Inputs!$B$32,0))))))/Skills!H6,1)))/Inputs!$B$44),G1198*Q1198))*IF(Inputs!$B$39="pvp",1,(1+(Inputs!$B$21+Skills!Q6+B1227+(IF(ArtifactsInput!$M$33,CHOOSE(ArtifactsInput!$N$33+1,30,36,42,48,54,60),0))+(IF(AND(ArtifactsInput!$M$35,Inputs!$B$4&lt;&gt;"Chapter Hunt"),CHOOSE(ArtifactsInput!$N$35+1,15,18,21,24,27,30)*(1-EXP(-(0.2*B1230)*5)),0)+IF(AND(ArtifactsInput!$M$22,Inputs!$B$4&lt;&gt;"Chapter Hunt"),CHOOSE(ArtifactsInput!$N$22+1,10,12,14,16,18,20)*((0*(((0.15*B1230*5))^0/1)+1*(((0.15*B1230*5))^1/1)+2*(((0.15*B1230*5))^2/2)+3*(((0.15*B1230*5))^3/6)+4*(((0.15*B1230*5))^4/24)+5*(((0.15*B1230*5))^5/120))/((((0.15*B1230*5))^0/1)+(((0.15*B1230*5))^1/1)+(((0.15*B1230*5))^2/2)+(((0.15*B1230*5))^3/6)+(((0.15*B1230*5))^4/24)+(((0.15*B1230*5))^5/120))),0)))/100)*(MIN(Skills!W6,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199">
      <c r="A1199">
        <f>Skills!A7</f>
        <v/>
      </c>
      <c r="B1199">
        <f>Skills!B7</f>
        <v/>
      </c>
      <c r="C1199">
        <f>Inputs!$B$3&gt;=69</f>
        <v/>
      </c>
      <c r="D1199">
        <f>IF(Skills!C7=1,60+Inputs!$B$25+Inputs!$B$29,IF(Skills!C7=2,90+Inputs!$B$26+Inputs!$B$29,IF(Skills!C7=3,120+Inputs!$B$27+Inputs!$B$29,MAX(0,(Inputs!$B$3-100)*3)+Inputs!$B$28+Inputs!$B$29)))</f>
        <v/>
      </c>
      <c r="E1199">
        <f>INDEX(FactorTable!$B$2:$Y$301, MATCH(ROUND(MIN(300,MAX(1,D1199)),0), FactorTable!$A$2:$A$301,0), Skills!M7+1)</f>
        <v/>
      </c>
      <c r="F1199">
        <f>IF(Skills!N7=TRUE,(Skills!L7/10)*(E1199/1000),Skills!L7/10)+Skills!O7</f>
        <v/>
      </c>
      <c r="G1199">
        <f>Skills!G7*IF(Skills!H7&gt;0,IF(Inputs!$B$39="pvp",MIN(Skills!I7,15),Skills!I7)/Skills!H7,1)</f>
        <v/>
      </c>
      <c r="H1199">
        <f>1-(1-Skills!J7/100)^Skills!K7</f>
        <v/>
      </c>
      <c r="I1199" t="inlineStr">
        <is>
          <t>1</t>
        </is>
      </c>
      <c r="J1199">
        <f>((Inputs!$B$6*(1+(Inputs!$B$7+1)/100))+(((Inputs!$B$12*(1+Inputs!$B$13/100))-(Inputs!$B$12*(1+Inputs!$B$13/100)))+0.25*(Inputs!$B$14-Inputs!$B$14))*(1+(Inputs!$B$7+1)/100))*(F1199/100)</f>
        <v/>
      </c>
      <c r="K1199">
        <f>J1199*(1+((Inputs!$B$12*(1+Inputs!$B$13/100))*0.01+Inputs!$B$14*0.0025)/100)*(1+Inputs!$B$15/100)*(1+Inputs!$B$16/100)*(5000/(6000+Inputs!$B$43*(1-(100*(1-(1-Inputs!$B$19/100)*(1-CHOOSE(ArtifactsInput!$N$40+1,5,6,7,8,9,10)/100)^(ArtifactsInput!$M$40-ArtifactsInput!$M$40)))/100)))*(1+(Inputs!$B$24+((C1223=TRUE)*(F1223-Calc!F31))+((C1210=TRUE)*(F1210-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1211=TRUE,F1211,0)/100)*(1+(IF(Skills!A7="CRUEL_STAB",Inputs!$B$17+((C1220=TRUE)*(F1220-Calc!F28))+((IF(AND(Inputs!$B$39&lt;&gt;"pvp",Inputs!$B$44=0),1,IF(IF(Inputs!$B$39="pvp",15,Inputs!$B$44)-(B1237)&lt;=0,1,MAX(0,IF(Inputs!$B$39="pvp",15,Inputs!$B$44)-MAX(5,B1237))/(IF(Inputs!$B$39="pvp",15,Inputs!$B$44)-(B1237))))*(IF(AND(ArtifactsInput!$M$42,((Inputs!$B$9+((C1218=TRUE)*(F1218-Calc!F26))+B1226+(ArtifactsInput!$M$24-ArtifactsInput!$M$24)*CHOOSE(ArtifactsInput!$N$24+1,10,12,14,16,18,20)+IF(ArtifactsInput!$M$10,CHOOSE(ArtifactsInput!$N$10+1,15,18,21,24,27,30)*(IF(Inputs!$B$39="pvp",MIN(15,15)/15,IF(AND(Inputs!$B$39&lt;&gt;"pvp",Inputs!$B$44&gt;0),MIN(15,Inputs!$B$44)/(Inputs!$B$44),0))),0)))&gt;=100),MIN(100,((Inputs!$B$9+((C1218=TRUE)*(F1218-Calc!F26))+B1226+(ArtifactsInput!$M$24-ArtifactsInput!$M$24)*CHOOSE(ArtifactsInput!$N$24+1,10,12,14,16,18,20)+IF(ArtifactsInput!$M$10,CHOOSE(ArtifactsInput!$N$10+1,15,18,21,24,27,30)*(IF(Inputs!$B$39="pvp",MIN(15,15)/15,IF(AND(Inputs!$B$39&lt;&gt;"pvp",Inputs!$B$44&gt;0),MIN(15,Inputs!$B$44)/(Inputs!$B$44),0))),0)))-100),0))*CHOOSE(ArtifactsInput!$N$42+1,0.6,0.72,0.84,0.96,1.08,1.2))),Inputs!$B$18+((C1221=TRUE)*(F1221-Calc!F29))+(IF(AND(Inputs!$B$39&lt;&gt;"pvp",Inputs!$B$44=0),1,IF(IF(Inputs!$B$39="pvp",15,Inputs!$B$44)-(B1237)&lt;=0,1,MAX(0,IF(Inputs!$B$39="pvp",15,Inputs!$B$44)-MAX(5,B1237))/(IF(Inputs!$B$39="pvp",15,Inputs!$B$44)-(B1237))))*IF(AND(ArtifactsInput!$M$42,((Inputs!$B$9+((C1218=TRUE)*(F1218-Calc!F26))+B1226+(ArtifactsInput!$M$24-ArtifactsInput!$M$24)*CHOOSE(ArtifactsInput!$N$24+1,10,12,14,16,18,20)+IF(ArtifactsInput!$M$10,CHOOSE(ArtifactsInput!$N$10+1,15,18,21,24,27,30)*(IF(Inputs!$B$39="pvp",MIN(15,15)/15,IF(AND(Inputs!$B$39&lt;&gt;"pvp",Inputs!$B$44&gt;0),MIN(15,Inputs!$B$44)/(Inputs!$B$44),0))),0)))&gt;=100),CHOOSE(ArtifactsInput!$N$42+1,40,48,56,64,72,80),0))))/100)*(((1+(((C1214=TRUE)*F1214*IF(AND(Inputs!$B$39&lt;&gt;"pvp",Inputs!$B$44&gt;0),(((R1214-1)*MIN((Skills!Y22*(1+Inputs!$B$34/100)),(1/Q1214))+MIN((Skills!Y22*(1+Inputs!$B$34/100)),MAX(0,Inputs!$B$44-((R1214-1)*(1/Q1214)))))/Inputs!$B$44),IF(Inputs!$B$39="pvp",MIN((Skills!Y22*(1+Inputs!$B$34/100)),15)/15,MIN(1,(Skills!Y22*(1+Inputs!$B$34/100))/(1/Q1214)))))+((C1195=TRUE)*F1195*3)+((C1197=TRUE)*F1197*(1-EXP(-0.75*B1230*5)))+((C1216=TRUE)*(F1216-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1203=TRUE)*F1203*IF(AND(Inputs!$B$39&lt;&gt;"pvp",Inputs!$B$44&gt;0),(((R1203-1)*MIN((Skills!Y11*(1+Inputs!$B$34/100)),(1/Q1203))+MIN((Skills!Y11*(1+Inputs!$B$34/100)),MAX(0,Inputs!$B$44-((R1203-1)*(1/Q1203)))))/Inputs!$B$44),IF(Inputs!$B$39="pvp",MIN((Skills!Y11*(1+Inputs!$B$34/100)),15)/15,MIN(1,(Skills!Y11*(1+Inputs!$B$34/100))/(1/Q1203)))))/100)*(1+((C1208=TRUE)*F1208*IF(AND(Inputs!$B$39&lt;&gt;"pvp",Inputs!$B$44&gt;0),(((R1208-1)*MIN((Skills!Y16*(1+Inputs!$B$34/100)),(1/Q1208))+MIN((Skills!Y16*(1+Inputs!$B$34/100)),MAX(0,Inputs!$B$44-((R1208-1)*(1/Q1208)))))/Inputs!$B$44),IF(Inputs!$B$39="pvp",MIN((Skills!Y16*(1+Inputs!$B$34/100)),15)/15,MIN(1,(Skills!Y16*(1+Inputs!$B$34/100))/(1/Q1208)))))/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1228*I1199)</f>
        <v/>
      </c>
      <c r="L1199">
        <f>K1199*(MIN(Inputs!$B$22+((C1217=TRUE)*(F1217-Calc!F25)),(Inputs!$B$23+((C1222=TRUE)*(F1222-Calc!F30))+IF(ArtifactsInput!$M$15,CHOOSE(ArtifactsInput!$N$15+1,25,30,35,40,45,50)/100*(Inputs!$B$11-Inputs!$B$11),0)))/100+(Inputs!$B$23+((C1222=TRUE)*(F1222-Calc!F30))+IF(ArtifactsInput!$M$15,CHOOSE(ArtifactsInput!$N$15+1,25,30,35,40,45,50)/100*(Inputs!$B$11-Inputs!$B$11),0))/100)/2</f>
        <v/>
      </c>
      <c r="M1199">
        <f>L1199*(1+(Inputs!$B$10+((C1219=TRUE)*(F1219-Calc!F27))+B1233+(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1199">
        <f>L1199*(1-MIN((Inputs!$B$9+((C1218=TRUE)*(F1218-Calc!F26))+B1226+(ArtifactsInput!$M$24-ArtifactsInput!$M$24)*CHOOSE(ArtifactsInput!$N$24+1,10,12,14,16,18,20)+(IF(AND(Inputs!$B$39&lt;&gt;"pvp",Inputs!$B$44=0),1,IF(IF(Inputs!$B$39="pvp",15,Inputs!$B$44)-(B1237)&lt;=0,1,MAX(0,IF(Inputs!$B$39="pvp",15,Inputs!$B$44)-MAX(5,B1237))/(IF(Inputs!$B$39="pvp",15,Inputs!$B$44)-(B1237))))*IF(AND(ArtifactsInput!$M$42,((Inputs!$B$9+((C1218=TRUE)*(F1218-Calc!F26))+B1226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1199*(MIN((Inputs!$B$9+((C1218=TRUE)*(F1218-Calc!F26))+B1226+(ArtifactsInput!$M$24-ArtifactsInput!$M$24)*CHOOSE(ArtifactsInput!$N$24+1,10,12,14,16,18,20)+(IF(AND(Inputs!$B$39&lt;&gt;"pvp",Inputs!$B$44=0),1,IF(IF(Inputs!$B$39="pvp",15,Inputs!$B$44)-(B1237)&lt;=0,1,MAX(0,IF(Inputs!$B$39="pvp",15,Inputs!$B$44)-MAX(5,B1237))/(IF(Inputs!$B$39="pvp",15,Inputs!$B$44)-(B1237))))*IF(AND(ArtifactsInput!$M$42,((Inputs!$B$9+((C1218=TRUE)*(F1218-Calc!F26))+B1226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199">
        <f>(1-Summary!$B$11)*T1199+Summary!$B$11*V1199</f>
        <v/>
      </c>
      <c r="P1199">
        <f>IF(B1238=0,0,O1199/B1238)</f>
        <v/>
      </c>
      <c r="Q1199">
        <f>IFERROR(1/IF(Inputs!$B$39="pvp",15,MAX(0.1,Skills!D7-IF(TRUE=TRUE,Inputs!$B$32,0))),0)</f>
        <v/>
      </c>
      <c r="R1199">
        <f>IF(AND(Inputs!$B$39&lt;&gt;"pvp",Inputs!$B$44&gt;0),IF(MAX(0,Inputs!$B$44-B1237)&lt;=0,0,(INT(MAX(0,Inputs!$B$44-B1237)/IF(Inputs!$B$39="pvp",15,MAX(0.1,Skills!D7-IF(TRUE=TRUE,Inputs!$B$32,0))))+1)),0)</f>
        <v/>
      </c>
      <c r="S1199">
        <f>IFERROR(O1199/N1199,0)</f>
        <v/>
      </c>
      <c r="T1199">
        <f>IF(C1199,(H1199*N1199*IF(AND(Inputs!$B$39&lt;&gt;"pvp",Inputs!$B$44&gt;0),((Skills!G7*((R1199-1)*IF(Skills!H7&gt;0,Skills!I7/Skills!H7,1)+IF(Skills!H7&gt;0,MIN(Skills!I7,MAX(0,MAX(0,Inputs!$B$44-B1237)-((R1199-1)*IF(Inputs!$B$39="pvp",15,MAX(0.1,Skills!D7-IF(TRUE=TRUE,Inputs!$B$32,0))))))/Skills!H7,1)))/Inputs!$B$44),G1199*Q1199))*IF(Inputs!$B$39="pvp",1,1+(Inputs!$B$20+0+Skills!P7+B1227+(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Hunt"),CHOOSE(ArtifactsInput!$N$35+1,15,18,21,24,27,30)*(1-EXP(-(0.2*B1230)*5)),0)+IF(AND(ArtifactsInput!$M$22,Inputs!$B$4&lt;&gt;"Chapter Hunt"),CHOOSE(ArtifactsInput!$N$22+1,10,12,14,16,18,20)*((0*(((0.15*B1230*5))^0/1)+1*(((0.15*B1230*5))^1/1)+2*(((0.15*B1230*5))^2/2)+3*(((0.15*B1230*5))^3/6)+4*(((0.15*B1230*5))^4/24)+5*(((0.15*B1230*5))^5/120))/((((0.15*B1230*5))^0/1)+(((0.15*B1230*5))^1/1)+(((0.15*B1230*5))^2/2)+(((0.15*B1230*5))^3/6)+(((0.15*B1230*5))^4/24)+(((0.15*B1230*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1199*(1-MIN(100,(Inputs!$B$9+((C1218=TRUE)*(F1218-Calc!F26))+B1226+(ArtifactsInput!$M$24-ArtifactsInput!$M$24)*CHOOSE(ArtifactsInput!$N$24+1,10,12,14,16,18,20)+(IF(AND(Inputs!$B$39&lt;&gt;"pvp",Inputs!$B$44=0),1,IF(IF(Inputs!$B$39="pvp",15,Inputs!$B$44)-(B1237)&lt;=0,1,MAX(0,IF(Inputs!$B$39="pvp",15,Inputs!$B$44)-MAX(5,B1237))/(IF(Inputs!$B$39="pvp",15,Inputs!$B$44)-(B1237))))*IF(AND(ArtifactsInput!$M$42,((Inputs!$B$9+((C1218=TRUE)*(F1218-Calc!F26))+B1226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1199*(MIN(100,(Inputs!$B$9+((C1218=TRUE)*(F1218-Calc!F26))+B1226+(ArtifactsInput!$M$24-ArtifactsInput!$M$24)*CHOOSE(ArtifactsInput!$N$24+1,10,12,14,16,18,20)+(IF(AND(Inputs!$B$39&lt;&gt;"pvp",Inputs!$B$44=0),1,IF(IF(Inputs!$B$39="pvp",15,Inputs!$B$44)-(B1237)&lt;=0,1,MAX(0,IF(Inputs!$B$39="pvp",15,Inputs!$B$44)-MAX(5,B1237))/(IF(Inputs!$B$39="pvp",15,Inputs!$B$44)-(B1237))))*IF(AND(ArtifactsInput!$M$42,((Inputs!$B$9+((C1218=TRUE)*(F1218-Calc!F26))+B1226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1199*(1-MIN(100,(Inputs!$B$9+((C1218=TRUE)*(F1218-Calc!F26))+B1226+(ArtifactsInput!$M$24-ArtifactsInput!$M$24)*CHOOSE(ArtifactsInput!$N$24+1,10,12,14,16,18,20)+(IF(AND(Inputs!$B$39&lt;&gt;"pvp",Inputs!$B$44=0),1,IF(IF(Inputs!$B$39="pvp",15,Inputs!$B$44)-(B1237)&lt;=0,1,MAX(0,IF(Inputs!$B$39="pvp",15,Inputs!$B$44)-MAX(5,B1237))/(IF(Inputs!$B$39="pvp",15,Inputs!$B$44)-(B1237))))*IF(AND(ArtifactsInput!$M$42,((Inputs!$B$9+((C1218=TRUE)*(F1218-Calc!F26))+B1226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1199*(MIN(100,(Inputs!$B$9+((C1218=TRUE)*(F1218-Calc!F26))+B1226+(ArtifactsInput!$M$24-ArtifactsInput!$M$24)*CHOOSE(ArtifactsInput!$N$24+1,10,12,14,16,18,20)+(IF(AND(Inputs!$B$39&lt;&gt;"pvp",Inputs!$B$44=0),1,IF(IF(Inputs!$B$39="pvp",15,Inputs!$B$44)-(B1237)&lt;=0,1,MAX(0,IF(Inputs!$B$39="pvp",15,Inputs!$B$44)-MAX(5,B1237))/(IF(Inputs!$B$39="pvp",15,Inputs!$B$44)-(B1237))))*IF(AND(ArtifactsInput!$M$42,((Inputs!$B$9+((C1218=TRUE)*(F1218-Calc!F26))+B1226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1199">
        <f>IF(C1199,(H1199*N1199*IF(AND(Inputs!$B$39&lt;&gt;"pvp",Inputs!$B$44&gt;0),((Skills!G7*((R1199-1)*IF(Skills!H7&gt;0,Skills!I7/Skills!H7,1)+IF(Skills!H7&gt;0,MIN(Skills!I7,MAX(0,MAX(0,Inputs!$B$44-B1237)-((R1199-1)*IF(Inputs!$B$39="pvp",15,MAX(0.1,Skills!D7-IF(TRUE=TRUE,Inputs!$B$32,0))))))/Skills!H7,1)))/Inputs!$B$44),G1199*Q1199))*IF(Inputs!$B$39="pvp",1,(1+(Inputs!$B$21+Skills!Q7+B1227+(IF(ArtifactsInput!$M$33,CHOOSE(ArtifactsInput!$N$33+1,30,36,42,48,54,60),0))+(IF(AND(ArtifactsInput!$M$35,Inputs!$B$4&lt;&gt;"Chapter Hunt"),CHOOSE(ArtifactsInput!$N$35+1,15,18,21,24,27,30)*(1-EXP(-(0.2*B1230)*5)),0)+IF(AND(ArtifactsInput!$M$22,Inputs!$B$4&lt;&gt;"Chapter Hunt"),CHOOSE(ArtifactsInput!$N$22+1,10,12,14,16,18,20)*((0*(((0.15*B1230*5))^0/1)+1*(((0.15*B1230*5))^1/1)+2*(((0.15*B1230*5))^2/2)+3*(((0.15*B1230*5))^3/6)+4*(((0.15*B1230*5))^4/24)+5*(((0.15*B1230*5))^5/120))/((((0.15*B1230*5))^0/1)+(((0.15*B1230*5))^1/1)+(((0.15*B1230*5))^2/2)+(((0.15*B1230*5))^3/6)+(((0.15*B1230*5))^4/24)+(((0.15*B1230*5))^5/120))),0)))/100)*(MIN(Skills!W7,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200">
      <c r="A1200">
        <f>Skills!A8</f>
        <v/>
      </c>
      <c r="B1200">
        <f>Skills!B8</f>
        <v/>
      </c>
      <c r="C1200">
        <f>Inputs!$B$3&gt;=60</f>
        <v/>
      </c>
      <c r="D1200">
        <f>IF(Skills!C8=1,60+Inputs!$B$25+Inputs!$B$29,IF(Skills!C8=2,90+Inputs!$B$26+Inputs!$B$29,IF(Skills!C8=3,120+Inputs!$B$27+Inputs!$B$29,MAX(0,(Inputs!$B$3-100)*3)+Inputs!$B$28+Inputs!$B$29)))</f>
        <v/>
      </c>
      <c r="E1200">
        <f>INDEX(FactorTable!$B$2:$Y$301, MATCH(ROUND(MIN(300,MAX(1,D1200)),0), FactorTable!$A$2:$A$301,0), Skills!M8+1)</f>
        <v/>
      </c>
      <c r="F1200">
        <f>IF(Skills!N8=TRUE,(Skills!L8/10)*(E1200/1000),Skills!L8/10)+Skills!O8</f>
        <v/>
      </c>
      <c r="G1200">
        <f>Skills!G8*IF(Skills!H8&gt;0,IF(Inputs!$B$39="pvp",MIN(Skills!I8,15),Skills!I8)/Skills!H8,1)</f>
        <v/>
      </c>
      <c r="H1200">
        <f>1-(1-Skills!J8/100)^Skills!K8</f>
        <v/>
      </c>
      <c r="I1200" t="inlineStr">
        <is>
          <t>1</t>
        </is>
      </c>
      <c r="J1200" t="inlineStr"/>
      <c r="K1200" t="inlineStr"/>
      <c r="L1200" t="inlineStr"/>
      <c r="M1200" t="inlineStr"/>
      <c r="N1200" t="inlineStr"/>
      <c r="O1200">
        <f>(1-Summary!$B$11)*T1200+Summary!$B$11*V1200</f>
        <v/>
      </c>
      <c r="P1200">
        <f>IF(B1238=0,0,O1200/B1238)</f>
        <v/>
      </c>
      <c r="Q1200" t="n">
        <v>0</v>
      </c>
      <c r="R1200" t="n">
        <v>0</v>
      </c>
      <c r="S1200">
        <f>IFERROR(O1200/N1200,0)</f>
        <v/>
      </c>
      <c r="T1200" t="n">
        <v>0</v>
      </c>
      <c r="V1200" t="n">
        <v>0</v>
      </c>
    </row>
    <row r="1201">
      <c r="A1201">
        <f>Skills!A9</f>
        <v/>
      </c>
      <c r="B1201">
        <f>Skills!B9</f>
        <v/>
      </c>
      <c r="C1201">
        <f>Inputs!$B$3&gt;=72</f>
        <v/>
      </c>
      <c r="D1201">
        <f>IF(Skills!C9=1,60+Inputs!$B$25+Inputs!$B$29,IF(Skills!C9=2,90+Inputs!$B$26+Inputs!$B$29,IF(Skills!C9=3,120+Inputs!$B$27+Inputs!$B$29,MAX(0,(Inputs!$B$3-100)*3)+Inputs!$B$28+Inputs!$B$29)))</f>
        <v/>
      </c>
      <c r="E1201">
        <f>INDEX(FactorTable!$B$2:$Y$301, MATCH(ROUND(MIN(300,MAX(1,D1201)),0), FactorTable!$A$2:$A$301,0), Skills!M9+1)</f>
        <v/>
      </c>
      <c r="F1201">
        <f>IF(Skills!N9=TRUE,(Skills!L9/10)*(E1201/1000),Skills!L9/10)+Skills!O9</f>
        <v/>
      </c>
      <c r="G1201">
        <f>Skills!G9*IF(Skills!H9&gt;0,IF(Inputs!$B$39="pvp",MIN(Skills!I9,15),Skills!I9)/Skills!H9,1)</f>
        <v/>
      </c>
      <c r="H1201">
        <f>1-(1-Skills!J9/100)^Skills!K9</f>
        <v/>
      </c>
      <c r="I1201" t="inlineStr">
        <is>
          <t>1</t>
        </is>
      </c>
      <c r="J1201">
        <f>((Inputs!$B$6*(1+(Inputs!$B$7+1)/100))+(((Inputs!$B$12*(1+Inputs!$B$13/100))-(Inputs!$B$12*(1+Inputs!$B$13/100)))+0.25*(Inputs!$B$14-Inputs!$B$14))*(1+(Inputs!$B$7+1)/100))*(F1201/100)</f>
        <v/>
      </c>
      <c r="K1201">
        <f>J1201*(1+((Inputs!$B$12*(1+Inputs!$B$13/100))*0.01+Inputs!$B$14*0.0025)/100)*(1+Inputs!$B$15/100)*(1+Inputs!$B$16/100)*(5000/(6000+Inputs!$B$43*(1-(100*(1-(1-Inputs!$B$19/100)*(1-CHOOSE(ArtifactsInput!$N$40+1,5,6,7,8,9,10)/100)^(ArtifactsInput!$M$40-ArtifactsInput!$M$40)))/100)))*(1+(Inputs!$B$24+((C1223=TRUE)*(F1223-Calc!F31))+((C1210=TRUE)*(F1210-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+3.3333333333333335*IF(C1211=TRUE,F1211,0)/100)*(1+(IF(Skills!A9="CRUEL_STAB",Inputs!$B$17+((C1220=TRUE)*(F1220-Calc!F28))+((IF(AND(Inputs!$B$39&lt;&gt;"pvp",Inputs!$B$44=0),1,IF(IF(Inputs!$B$39="pvp",15,Inputs!$B$44)-(B1237)&lt;=0,1,MAX(0,IF(Inputs!$B$39="pvp",15,Inputs!$B$44)-MAX(5,B1237))/(IF(Inputs!$B$39="pvp",15,Inputs!$B$44)-(B1237))))*(IF(AND(ArtifactsInput!$M$42,((Inputs!$B$9+((C1218=TRUE)*(F1218-Calc!F26))+B1226+(ArtifactsInput!$M$24-ArtifactsInput!$M$24)*CHOOSE(ArtifactsInput!$N$24+1,10,12,14,16,18,20)+IF(ArtifactsInput!$M$10,CHOOSE(ArtifactsInput!$N$10+1,15,18,21,24,27,30)*(IF(Inputs!$B$39="pvp",MIN(15,15)/15,IF(AND(Inputs!$B$39&lt;&gt;"pvp",Inputs!$B$44&gt;0),MIN(15,Inputs!$B$44)/(Inputs!$B$44),0))),0)))&gt;=100),MIN(100,((Inputs!$B$9+((C1218=TRUE)*(F1218-Calc!F26))+B1226+(ArtifactsInput!$M$24-ArtifactsInput!$M$24)*CHOOSE(ArtifactsInput!$N$24+1,10,12,14,16,18,20)+IF(ArtifactsInput!$M$10,CHOOSE(ArtifactsInput!$N$10+1,15,18,21,24,27,30)*(IF(Inputs!$B$39="pvp",MIN(15,15)/15,IF(AND(Inputs!$B$39&lt;&gt;"pvp",Inputs!$B$44&gt;0),MIN(15,Inputs!$B$44)/(Inputs!$B$44),0))),0)))-100),0))*CHOOSE(ArtifactsInput!$N$42+1,0.6,0.72,0.84,0.96,1.08,1.2))),Inputs!$B$18+((C1221=TRUE)*(F1221-Calc!F29))+(IF(AND(Inputs!$B$39&lt;&gt;"pvp",Inputs!$B$44=0),1,IF(IF(Inputs!$B$39="pvp",15,Inputs!$B$44)-(B1237)&lt;=0,1,MAX(0,IF(Inputs!$B$39="pvp",15,Inputs!$B$44)-MAX(5,B1237))/(IF(Inputs!$B$39="pvp",15,Inputs!$B$44)-(B1237))))*IF(AND(ArtifactsInput!$M$42,((Inputs!$B$9+((C1218=TRUE)*(F1218-Calc!F26))+B1226+(ArtifactsInput!$M$24-ArtifactsInput!$M$24)*CHOOSE(ArtifactsInput!$N$24+1,10,12,14,16,18,20)+IF(ArtifactsInput!$M$10,CHOOSE(ArtifactsInput!$N$10+1,15,18,21,24,27,30)*(IF(Inputs!$B$39="pvp",MIN(15,15)/15,IF(AND(Inputs!$B$39&lt;&gt;"pvp",Inputs!$B$44&gt;0),MIN(15,Inputs!$B$44)/(Inputs!$B$44),0))),0)))&gt;=100),CHOOSE(ArtifactsInput!$N$42+1,40,48,56,64,72,80),0))))/100)*(((1+(((C1214=TRUE)*F1214*IF(AND(Inputs!$B$39&lt;&gt;"pvp",Inputs!$B$44&gt;0),(((R1214-1)*MIN((Skills!Y22*(1+Inputs!$B$34/100)),(1/Q1214))+MIN((Skills!Y22*(1+Inputs!$B$34/100)),MAX(0,Inputs!$B$44-((R1214-1)*(1/Q1214)))))/Inputs!$B$44),IF(Inputs!$B$39="pvp",MIN((Skills!Y22*(1+Inputs!$B$34/100)),15)/15,MIN(1,(Skills!Y22*(1+Inputs!$B$34/100))/(1/Q1214)))))+((C1195=TRUE)*F1195*3)+((C1197=TRUE)*F1197*(1-EXP(-0.75*B1230*5)))+((C1216=TRUE)*(F1216-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1203=TRUE)*F1203*IF(AND(Inputs!$B$39&lt;&gt;"pvp",Inputs!$B$44&gt;0),(((R1203-1)*MIN((Skills!Y11*(1+Inputs!$B$34/100)),(1/Q1203))+MIN((Skills!Y11*(1+Inputs!$B$34/100)),MAX(0,Inputs!$B$44-((R1203-1)*(1/Q1203)))))/Inputs!$B$44),IF(Inputs!$B$39="pvp",MIN((Skills!Y11*(1+Inputs!$B$34/100)),15)/15,MIN(1,(Skills!Y11*(1+Inputs!$B$34/100))/(1/Q1203)))))/100)*(1+((C1208=TRUE)*F1208*IF(AND(Inputs!$B$39&lt;&gt;"pvp",Inputs!$B$44&gt;0),(((R1208-1)*MIN((Skills!Y16*(1+Inputs!$B$34/100)),(1/Q1208))+MIN((Skills!Y16*(1+Inputs!$B$34/100)),MAX(0,Inputs!$B$44-((R1208-1)*(1/Q1208)))))/Inputs!$B$44),IF(Inputs!$B$39="pvp",MIN((Skills!Y16*(1+Inputs!$B$34/100)),15)/15,MIN(1,(Skills!Y16*(1+Inputs!$B$34/100))/(1/Q1208)))))/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1228*I1201)</f>
        <v/>
      </c>
      <c r="L1201">
        <f>K1201*(MIN(Inputs!$B$22+((C1217=TRUE)*(F1217-Calc!F25)),(Inputs!$B$23+((C1222=TRUE)*(F1222-Calc!F30))+IF(ArtifactsInput!$M$15,CHOOSE(ArtifactsInput!$N$15+1,25,30,35,40,45,50)/100*(Inputs!$B$11-Inputs!$B$11),0)))/100+(Inputs!$B$23+((C1222=TRUE)*(F1222-Calc!F30))+IF(ArtifactsInput!$M$15,CHOOSE(ArtifactsInput!$N$15+1,25,30,35,40,45,50)/100*(Inputs!$B$11-Inputs!$B$11),0))/100)/2</f>
        <v/>
      </c>
      <c r="M1201">
        <f>L1201*(1+(Inputs!$B$10+((C1219=TRUE)*(F1219-Calc!F27))+B1233+(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1201">
        <f>L1201*(1-MIN((Inputs!$B$9+((C1218=TRUE)*(F1218-Calc!F26))+B1226+(ArtifactsInput!$M$24-ArtifactsInput!$M$24)*CHOOSE(ArtifactsInput!$N$24+1,10,12,14,16,18,20)+(IF(AND(Inputs!$B$39&lt;&gt;"pvp",Inputs!$B$44=0),1,IF(IF(Inputs!$B$39="pvp",15,Inputs!$B$44)-(B1237)&lt;=0,1,MAX(0,IF(Inputs!$B$39="pvp",15,Inputs!$B$44)-MAX(5,B1237))/(IF(Inputs!$B$39="pvp",15,Inputs!$B$44)-(B1237))))*IF(AND(ArtifactsInput!$M$42,((Inputs!$B$9+((C1218=TRUE)*(F1218-Calc!F26))+B1226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1201*(MIN((Inputs!$B$9+((C1218=TRUE)*(F1218-Calc!F26))+B1226+(ArtifactsInput!$M$24-ArtifactsInput!$M$24)*CHOOSE(ArtifactsInput!$N$24+1,10,12,14,16,18,20)+(IF(AND(Inputs!$B$39&lt;&gt;"pvp",Inputs!$B$44=0),1,IF(IF(Inputs!$B$39="pvp",15,Inputs!$B$44)-(B1237)&lt;=0,1,MAX(0,IF(Inputs!$B$39="pvp",15,Inputs!$B$44)-MAX(5,B1237))/(IF(Inputs!$B$39="pvp",15,Inputs!$B$44)-(B1237))))*IF(AND(ArtifactsInput!$M$42,((Inputs!$B$9+((C1218=TRUE)*(F1218-Calc!F26))+B1226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201">
        <f>(1-Summary!$B$11)*T1201+Summary!$B$11*V1201</f>
        <v/>
      </c>
      <c r="P1201">
        <f>IF(B1238=0,0,O1201/B1238)</f>
        <v/>
      </c>
      <c r="Q1201">
        <f>IFERROR(1/IF(Inputs!$B$39="pvp",15,MAX(0.1,Skills!D9-IF(FALSE=TRUE,Inputs!$B$32,0))),0)</f>
        <v/>
      </c>
      <c r="R1201">
        <f>IF(AND(Inputs!$B$39&lt;&gt;"pvp",Inputs!$B$44&gt;0),IF(MAX(0,Inputs!$B$44-B1237)&lt;=0,0,(INT(MAX(0,Inputs!$B$44-B1237)/IF(Inputs!$B$39="pvp",15,MAX(0.1,Skills!D9-IF(FALSE=TRUE,Inputs!$B$32,0))))+1)),0)</f>
        <v/>
      </c>
      <c r="S1201">
        <f>IFERROR(O1201/N1201,0)</f>
        <v/>
      </c>
      <c r="T1201">
        <f>IF(C1201,(H1201*N1201*IF(AND(Inputs!$B$39&lt;&gt;"pvp",Inputs!$B$44&gt;0),((Skills!G9*((R1201-1)*IF(Skills!H9&gt;0,Skills!I9/Skills!H9,1)+IF(Skills!H9&gt;0,MIN(Skills!I9,MAX(0,MAX(0,Inputs!$B$44-B1237)-((R1201-1)*IF(Inputs!$B$39="pvp",15,MAX(0.1,Skills!D9-IF(FALSE=TRUE,Inputs!$B$32,0))))))/Skills!H9,1)))/Inputs!$B$44),G1201*Q1201))*IF(Inputs!$B$39="pvp",1,1+(Inputs!$B$20+0+Skills!P9+B1227+(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Hunt"),CHOOSE(ArtifactsInput!$N$35+1,15,18,21,24,27,30)*(1-EXP(-(0.2*B1230)*5)),0)+IF(AND(ArtifactsInput!$M$22,Inputs!$B$4&lt;&gt;"Chapter Hunt"),CHOOSE(ArtifactsInput!$N$22+1,10,12,14,16,18,20)*((0*(((0.15*B1230*5))^0/1)+1*(((0.15*B1230*5))^1/1)+2*(((0.15*B1230*5))^2/2)+3*(((0.15*B1230*5))^3/6)+4*(((0.15*B1230*5))^4/24)+5*(((0.15*B1230*5))^5/120))/((((0.15*B1230*5))^0/1)+(((0.15*B1230*5))^1/1)+(((0.15*B1230*5))^2/2)+(((0.15*B1230*5))^3/6)+(((0.15*B1230*5))^4/24)+(((0.15*B1230*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1201*(1-MIN(100,(Inputs!$B$9+((C1218=TRUE)*(F1218-Calc!F26))+B1226+(ArtifactsInput!$M$24-ArtifactsInput!$M$24)*CHOOSE(ArtifactsInput!$N$24+1,10,12,14,16,18,20)+(IF(AND(Inputs!$B$39&lt;&gt;"pvp",Inputs!$B$44=0),1,IF(IF(Inputs!$B$39="pvp",15,Inputs!$B$44)-(B1237)&lt;=0,1,MAX(0,IF(Inputs!$B$39="pvp",15,Inputs!$B$44)-MAX(5,B1237))/(IF(Inputs!$B$39="pvp",15,Inputs!$B$44)-(B1237))))*IF(AND(ArtifactsInput!$M$42,((Inputs!$B$9+((C1218=TRUE)*(F1218-Calc!F26))+B1226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1201*(MIN(100,(Inputs!$B$9+((C1218=TRUE)*(F1218-Calc!F26))+B1226+(ArtifactsInput!$M$24-ArtifactsInput!$M$24)*CHOOSE(ArtifactsInput!$N$24+1,10,12,14,16,18,20)+(IF(AND(Inputs!$B$39&lt;&gt;"pvp",Inputs!$B$44=0),1,IF(IF(Inputs!$B$39="pvp",15,Inputs!$B$44)-(B1237)&lt;=0,1,MAX(0,IF(Inputs!$B$39="pvp",15,Inputs!$B$44)-MAX(5,B1237))/(IF(Inputs!$B$39="pvp",15,Inputs!$B$44)-(B1237))))*IF(AND(ArtifactsInput!$M$42,((Inputs!$B$9+((C1218=TRUE)*(F1218-Calc!F26))+B1226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1201*(1-MIN(100,(Inputs!$B$9+((C1218=TRUE)*(F1218-Calc!F26))+B1226+(ArtifactsInput!$M$24-ArtifactsInput!$M$24)*CHOOSE(ArtifactsInput!$N$24+1,10,12,14,16,18,20)+(IF(AND(Inputs!$B$39&lt;&gt;"pvp",Inputs!$B$44=0),1,IF(IF(Inputs!$B$39="pvp",15,Inputs!$B$44)-(B1237)&lt;=0,1,MAX(0,IF(Inputs!$B$39="pvp",15,Inputs!$B$44)-MAX(5,B1237))/(IF(Inputs!$B$39="pvp",15,Inputs!$B$44)-(B1237))))*IF(AND(ArtifactsInput!$M$42,((Inputs!$B$9+((C1218=TRUE)*(F1218-Calc!F26))+B1226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1201*(MIN(100,(Inputs!$B$9+((C1218=TRUE)*(F1218-Calc!F26))+B1226+(ArtifactsInput!$M$24-ArtifactsInput!$M$24)*CHOOSE(ArtifactsInput!$N$24+1,10,12,14,16,18,20)+(IF(AND(Inputs!$B$39&lt;&gt;"pvp",Inputs!$B$44=0),1,IF(IF(Inputs!$B$39="pvp",15,Inputs!$B$44)-(B1237)&lt;=0,1,MAX(0,IF(Inputs!$B$39="pvp",15,Inputs!$B$44)-MAX(5,B1237))/(IF(Inputs!$B$39="pvp",15,Inputs!$B$44)-(B1237))))*IF(AND(ArtifactsInput!$M$42,((Inputs!$B$9+((C1218=TRUE)*(F1218-Calc!F26))+B1226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1201">
        <f>IF(C1201,(H1201*N1201*IF(AND(Inputs!$B$39&lt;&gt;"pvp",Inputs!$B$44&gt;0),((Skills!G9*((R1201-1)*IF(Skills!H9&gt;0,Skills!I9/Skills!H9,1)+IF(Skills!H9&gt;0,MIN(Skills!I9,MAX(0,MAX(0,Inputs!$B$44-B1237)-((R1201-1)*IF(Inputs!$B$39="pvp",15,MAX(0.1,Skills!D9-IF(FALSE=TRUE,Inputs!$B$32,0))))))/Skills!H9,1)))/Inputs!$B$44),G1201*Q1201))*IF(Inputs!$B$39="pvp",1,(1+(Inputs!$B$21+Skills!Q9+B1227+(IF(ArtifactsInput!$M$33,CHOOSE(ArtifactsInput!$N$33+1,30,36,42,48,54,60),0))+(IF(AND(ArtifactsInput!$M$35,Inputs!$B$4&lt;&gt;"Chapter Hunt"),CHOOSE(ArtifactsInput!$N$35+1,15,18,21,24,27,30)*(1-EXP(-(0.2*B1230)*5)),0)+IF(AND(ArtifactsInput!$M$22,Inputs!$B$4&lt;&gt;"Chapter Hunt"),CHOOSE(ArtifactsInput!$N$22+1,10,12,14,16,18,20)*((0*(((0.15*B1230*5))^0/1)+1*(((0.15*B1230*5))^1/1)+2*(((0.15*B1230*5))^2/2)+3*(((0.15*B1230*5))^3/6)+4*(((0.15*B1230*5))^4/24)+5*(((0.15*B1230*5))^5/120))/((((0.15*B1230*5))^0/1)+(((0.15*B1230*5))^1/1)+(((0.15*B1230*5))^2/2)+(((0.15*B1230*5))^3/6)+(((0.15*B1230*5))^4/24)+(((0.15*B1230*5))^5/120))),0)))/100)*(MIN(Skills!W9,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202">
      <c r="A1202">
        <f>Skills!A10</f>
        <v/>
      </c>
      <c r="B1202">
        <f>Skills!B10</f>
        <v/>
      </c>
      <c r="C1202">
        <f>Inputs!$B$3&gt;=117</f>
        <v/>
      </c>
      <c r="D1202">
        <f>IF(Skills!C10=1,60+Inputs!$B$25+Inputs!$B$29,IF(Skills!C10=2,90+Inputs!$B$26+Inputs!$B$29,IF(Skills!C10=3,120+Inputs!$B$27+Inputs!$B$29,MAX(0,(Inputs!$B$3-100)*3)+Inputs!$B$28+Inputs!$B$29)))</f>
        <v/>
      </c>
      <c r="E1202">
        <f>INDEX(FactorTable!$B$2:$Y$301, MATCH(ROUND(MIN(300,MAX(1,D1202)),0), FactorTable!$A$2:$A$301,0), Skills!M10+1)</f>
        <v/>
      </c>
      <c r="F1202">
        <f>IF(Skills!N10=TRUE,(Skills!L10/10)*(E1202/1000),Skills!L10/10)+Skills!O10</f>
        <v/>
      </c>
      <c r="G1202">
        <f>Skills!G10*IF(Skills!H10&gt;0,IF(Inputs!$B$39="pvp",MIN(Skills!I10,15),Skills!I10)/Skills!H10,1)</f>
        <v/>
      </c>
      <c r="H1202">
        <f>1-(1-Skills!J10/100)^Skills!K10</f>
        <v/>
      </c>
      <c r="I1202" t="inlineStr">
        <is>
          <t>1</t>
        </is>
      </c>
      <c r="J1202">
        <f>((Inputs!$B$6*(1+(Inputs!$B$7+1)/100))+(((Inputs!$B$12*(1+Inputs!$B$13/100))-(Inputs!$B$12*(1+Inputs!$B$13/100)))+0.25*(Inputs!$B$14-Inputs!$B$14))*(1+(Inputs!$B$7+1)/100))*(F1202/100)</f>
        <v/>
      </c>
      <c r="K1202">
        <f>J1202*(1+((Inputs!$B$12*(1+Inputs!$B$13/100))*0.01+Inputs!$B$14*0.0025)/100)*(1+Inputs!$B$15/100)*(1+Inputs!$B$16/100)*(5000/(6000+Inputs!$B$43*(1-(100*(1-(1-Inputs!$B$19/100)*(1-CHOOSE(ArtifactsInput!$N$40+1,5,6,7,8,9,10)/100)^(ArtifactsInput!$M$40-ArtifactsInput!$M$40)))/100)))*(1+(Inputs!$B$24+((C1223=TRUE)*(F1223-Calc!F31))+((C1210=TRUE)*(F1210-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10="CRUEL_STAB",Inputs!$B$17+((C1220=TRUE)*(F1220-Calc!F28))+((IF(AND(Inputs!$B$39&lt;&gt;"pvp",Inputs!$B$44=0),1,IF(IF(Inputs!$B$39="pvp",15,Inputs!$B$44)-(B1237)&lt;=0,1,MAX(0,IF(Inputs!$B$39="pvp",15,Inputs!$B$44)-MAX(5,B1237))/(IF(Inputs!$B$39="pvp",15,Inputs!$B$44)-(B1237))))*(IF(AND(ArtifactsInput!$M$42,((Inputs!$B$9+((C1218=TRUE)*(F1218-Calc!F26))+B1226+(ArtifactsInput!$M$24-ArtifactsInput!$M$24)*CHOOSE(ArtifactsInput!$N$24+1,10,12,14,16,18,20)+IF(ArtifactsInput!$M$10,CHOOSE(ArtifactsInput!$N$10+1,15,18,21,24,27,30)*(IF(Inputs!$B$39="pvp",MIN(15,15)/15,IF(AND(Inputs!$B$39&lt;&gt;"pvp",Inputs!$B$44&gt;0),MIN(15,Inputs!$B$44)/(Inputs!$B$44),0))),0)))&gt;=100),MIN(100,((Inputs!$B$9+((C1218=TRUE)*(F1218-Calc!F26))+B1226+(ArtifactsInput!$M$24-ArtifactsInput!$M$24)*CHOOSE(ArtifactsInput!$N$24+1,10,12,14,16,18,20)+IF(ArtifactsInput!$M$10,CHOOSE(ArtifactsInput!$N$10+1,15,18,21,24,27,30)*(IF(Inputs!$B$39="pvp",MIN(15,15)/15,IF(AND(Inputs!$B$39&lt;&gt;"pvp",Inputs!$B$44&gt;0),MIN(15,Inputs!$B$44)/(Inputs!$B$44),0))),0)))-100),0))*CHOOSE(ArtifactsInput!$N$42+1,0.6,0.72,0.84,0.96,1.08,1.2))),Inputs!$B$18+((C1221=TRUE)*(F1221-Calc!F29))+(IF(AND(Inputs!$B$39&lt;&gt;"pvp",Inputs!$B$44=0),1,IF(IF(Inputs!$B$39="pvp",15,Inputs!$B$44)-(B1237)&lt;=0,1,MAX(0,IF(Inputs!$B$39="pvp",15,Inputs!$B$44)-MAX(5,B1237))/(IF(Inputs!$B$39="pvp",15,Inputs!$B$44)-(B1237))))*IF(AND(ArtifactsInput!$M$42,((Inputs!$B$9+((C1218=TRUE)*(F1218-Calc!F26))+B1226+(ArtifactsInput!$M$24-ArtifactsInput!$M$24)*CHOOSE(ArtifactsInput!$N$24+1,10,12,14,16,18,20)+IF(ArtifactsInput!$M$10,CHOOSE(ArtifactsInput!$N$10+1,15,18,21,24,27,30)*(IF(Inputs!$B$39="pvp",MIN(15,15)/15,IF(AND(Inputs!$B$39&lt;&gt;"pvp",Inputs!$B$44&gt;0),MIN(15,Inputs!$B$44)/(Inputs!$B$44),0))),0)))&gt;=100),CHOOSE(ArtifactsInput!$N$42+1,40,48,56,64,72,80),0))))/100)*(((1+(((C1214=TRUE)*F1214*IF(AND(Inputs!$B$39&lt;&gt;"pvp",Inputs!$B$44&gt;0),(((R1214-1)*MIN((Skills!Y22*(1+Inputs!$B$34/100)),(1/Q1214))+MIN((Skills!Y22*(1+Inputs!$B$34/100)),MAX(0,Inputs!$B$44-((R1214-1)*(1/Q1214)))))/Inputs!$B$44),IF(Inputs!$B$39="pvp",MIN((Skills!Y22*(1+Inputs!$B$34/100)),15)/15,MIN(1,(Skills!Y22*(1+Inputs!$B$34/100))/(1/Q1214)))))+((C1195=TRUE)*F1195*3)+((C1197=TRUE)*F1197*(1-EXP(-0.75*B1230*5)))+((C1216=TRUE)*(F1216-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1203=TRUE)*F1203*IF(AND(Inputs!$B$39&lt;&gt;"pvp",Inputs!$B$44&gt;0),(((R1203-1)*MIN((Skills!Y11*(1+Inputs!$B$34/100)),(1/Q1203))+MIN((Skills!Y11*(1+Inputs!$B$34/100)),MAX(0,Inputs!$B$44-((R1203-1)*(1/Q1203)))))/Inputs!$B$44),IF(Inputs!$B$39="pvp",MIN((Skills!Y11*(1+Inputs!$B$34/100)),15)/15,MIN(1,(Skills!Y11*(1+Inputs!$B$34/100))/(1/Q1203)))))/100)*(1+((C1208=TRUE)*F1208*IF(AND(Inputs!$B$39&lt;&gt;"pvp",Inputs!$B$44&gt;0),(((R1208-1)*MIN((Skills!Y16*(1+Inputs!$B$34/100)),(1/Q1208))+MIN((Skills!Y16*(1+Inputs!$B$34/100)),MAX(0,Inputs!$B$44-((R1208-1)*(1/Q1208)))))/Inputs!$B$44),IF(Inputs!$B$39="pvp",MIN((Skills!Y16*(1+Inputs!$B$34/100)),15)/15,MIN(1,(Skills!Y16*(1+Inputs!$B$34/100))/(1/Q1208)))))/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1228*I1202)</f>
        <v/>
      </c>
      <c r="L1202">
        <f>K1202*(MIN(Inputs!$B$22+((C1217=TRUE)*(F1217-Calc!F25)),(Inputs!$B$23+((C1222=TRUE)*(F1222-Calc!F30))+IF(ArtifactsInput!$M$15,CHOOSE(ArtifactsInput!$N$15+1,25,30,35,40,45,50)/100*(Inputs!$B$11-Inputs!$B$11),0)))/100+(Inputs!$B$23+((C1222=TRUE)*(F1222-Calc!F30))+IF(ArtifactsInput!$M$15,CHOOSE(ArtifactsInput!$N$15+1,25,30,35,40,45,50)/100*(Inputs!$B$11-Inputs!$B$11),0))/100)/2</f>
        <v/>
      </c>
      <c r="M1202">
        <f>L1202*(1+(Inputs!$B$10+((C1219=TRUE)*(F1219-Calc!F27))+B1233+(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1202">
        <f>L1202*(1-MIN((Inputs!$B$9+((C1218=TRUE)*(F1218-Calc!F26))+B1226+(ArtifactsInput!$M$24-ArtifactsInput!$M$24)*CHOOSE(ArtifactsInput!$N$24+1,10,12,14,16,18,20)+(IF(AND(Inputs!$B$39&lt;&gt;"pvp",Inputs!$B$44=0),1,IF(IF(Inputs!$B$39="pvp",15,Inputs!$B$44)-(B1237)&lt;=0,1,MAX(0,IF(Inputs!$B$39="pvp",15,Inputs!$B$44)-MAX(5,B1237))/(IF(Inputs!$B$39="pvp",15,Inputs!$B$44)-(B1237))))*IF(AND(ArtifactsInput!$M$42,((Inputs!$B$9+((C1218=TRUE)*(F1218-Calc!F26))+B1226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1202*(MIN((Inputs!$B$9+((C1218=TRUE)*(F1218-Calc!F26))+B1226+(ArtifactsInput!$M$24-ArtifactsInput!$M$24)*CHOOSE(ArtifactsInput!$N$24+1,10,12,14,16,18,20)+(IF(AND(Inputs!$B$39&lt;&gt;"pvp",Inputs!$B$44=0),1,IF(IF(Inputs!$B$39="pvp",15,Inputs!$B$44)-(B1237)&lt;=0,1,MAX(0,IF(Inputs!$B$39="pvp",15,Inputs!$B$44)-MAX(5,B1237))/(IF(Inputs!$B$39="pvp",15,Inputs!$B$44)-(B1237))))*IF(AND(ArtifactsInput!$M$42,((Inputs!$B$9+((C1218=TRUE)*(F1218-Calc!F26))+B1226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202">
        <f>(1-Summary!$B$11)*T1202+Summary!$B$11*V1202</f>
        <v/>
      </c>
      <c r="P1202">
        <f>IF(B1238=0,0,O1202/B1238)</f>
        <v/>
      </c>
      <c r="Q1202" t="n">
        <v>0</v>
      </c>
      <c r="R1202" t="n">
        <v>0</v>
      </c>
      <c r="S1202" t="n">
        <v>0</v>
      </c>
      <c r="T1202">
        <f>IF(C1202,(0.2*SUMPRODUCT((Skills!Z2:Z31=TRUE)*(C1194:C1223=TRUE)*S1194:S1223)*N1202)*IF(Inputs!$B$39="pvp",1,1+(Inputs!$B$20+0+Skills!P10+B1227+(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Hunt"),CHOOSE(ArtifactsInput!$N$35+1,15,18,21,24,27,30)*(1-EXP(-(0.2*B1230)*5)),0)+IF(AND(ArtifactsInput!$M$22,Inputs!$B$4&lt;&gt;"Chapter Hunt"),CHOOSE(ArtifactsInput!$N$22+1,10,12,14,16,18,20)*((0*(((0.15*B1230*5))^0/1)+1*(((0.15*B1230*5))^1/1)+2*(((0.15*B1230*5))^2/2)+3*(((0.15*B1230*5))^3/6)+4*(((0.15*B1230*5))^4/24)+5*(((0.15*B1230*5))^5/120))/((((0.15*B1230*5))^0/1)+(((0.15*B1230*5))^1/1)+(((0.15*B1230*5))^2/2)+(((0.15*B1230*5))^3/6)+(((0.15*B1230*5))^4/24)+(((0.15*B1230*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1202*(1-MIN(100,(Inputs!$B$9+((C1218=TRUE)*(F1218-Calc!F26))+B1226+(ArtifactsInput!$M$24-ArtifactsInput!$M$24)*CHOOSE(ArtifactsInput!$N$24+1,10,12,14,16,18,20)+(IF(AND(Inputs!$B$39&lt;&gt;"pvp",Inputs!$B$44=0),1,IF(IF(Inputs!$B$39="pvp",15,Inputs!$B$44)-(B1237)&lt;=0,1,MAX(0,IF(Inputs!$B$39="pvp",15,Inputs!$B$44)-MAX(5,B1237))/(IF(Inputs!$B$39="pvp",15,Inputs!$B$44)-(B1237))))*IF(AND(ArtifactsInput!$M$42,((Inputs!$B$9+((C1218=TRUE)*(F1218-Calc!F26))+B1226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1202*(MIN(100,(Inputs!$B$9+((C1218=TRUE)*(F1218-Calc!F26))+B1226+(ArtifactsInput!$M$24-ArtifactsInput!$M$24)*CHOOSE(ArtifactsInput!$N$24+1,10,12,14,16,18,20)+(IF(AND(Inputs!$B$39&lt;&gt;"pvp",Inputs!$B$44=0),1,IF(IF(Inputs!$B$39="pvp",15,Inputs!$B$44)-(B1237)&lt;=0,1,MAX(0,IF(Inputs!$B$39="pvp",15,Inputs!$B$44)-MAX(5,B1237))/(IF(Inputs!$B$39="pvp",15,Inputs!$B$44)-(B1237))))*IF(AND(ArtifactsInput!$M$42,((Inputs!$B$9+((C1218=TRUE)*(F1218-Calc!F26))+B1226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1202*(1-MIN(100,(Inputs!$B$9+((C1218=TRUE)*(F1218-Calc!F26))+B1226+(ArtifactsInput!$M$24-ArtifactsInput!$M$24)*CHOOSE(ArtifactsInput!$N$24+1,10,12,14,16,18,20)+(IF(AND(Inputs!$B$39&lt;&gt;"pvp",Inputs!$B$44=0),1,IF(IF(Inputs!$B$39="pvp",15,Inputs!$B$44)-(B1237)&lt;=0,1,MAX(0,IF(Inputs!$B$39="pvp",15,Inputs!$B$44)-MAX(5,B1237))/(IF(Inputs!$B$39="pvp",15,Inputs!$B$44)-(B1237))))*IF(AND(ArtifactsInput!$M$42,((Inputs!$B$9+((C1218=TRUE)*(F1218-Calc!F26))+B1226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1202*(MIN(100,(Inputs!$B$9+((C1218=TRUE)*(F1218-Calc!F26))+B1226+(ArtifactsInput!$M$24-ArtifactsInput!$M$24)*CHOOSE(ArtifactsInput!$N$24+1,10,12,14,16,18,20)+(IF(AND(Inputs!$B$39&lt;&gt;"pvp",Inputs!$B$44=0),1,IF(IF(Inputs!$B$39="pvp",15,Inputs!$B$44)-(B1237)&lt;=0,1,MAX(0,IF(Inputs!$B$39="pvp",15,Inputs!$B$44)-MAX(5,B1237))/(IF(Inputs!$B$39="pvp",15,Inputs!$B$44)-(B1237))))*IF(AND(ArtifactsInput!$M$42,((Inputs!$B$9+((C1218=TRUE)*(F1218-Calc!F26))+B1226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1202">
        <f>IF(C1202,(0.2*SUMPRODUCT((Skills!Z2:Z31=TRUE)*(C1194:C1223=TRUE)*S1194:S1223)*N1202)*IF(Inputs!$B$39="pvp",1,(1+(Inputs!$B$21+Skills!Q10+B1227+(IF(ArtifactsInput!$M$33,CHOOSE(ArtifactsInput!$N$33+1,30,36,42,48,54,60),0))+(IF(AND(ArtifactsInput!$M$35,Inputs!$B$4&lt;&gt;"Chapter Hunt"),CHOOSE(ArtifactsInput!$N$35+1,15,18,21,24,27,30)*(1-EXP(-(0.2*B1230)*5)),0)+IF(AND(ArtifactsInput!$M$22,Inputs!$B$4&lt;&gt;"Chapter Hunt"),CHOOSE(ArtifactsInput!$N$22+1,10,12,14,16,18,20)*((0*(((0.15*B1230*5))^0/1)+1*(((0.15*B1230*5))^1/1)+2*(((0.15*B1230*5))^2/2)+3*(((0.15*B1230*5))^3/6)+4*(((0.15*B1230*5))^4/24)+5*(((0.15*B1230*5))^5/120))/((((0.15*B1230*5))^0/1)+(((0.15*B1230*5))^1/1)+(((0.15*B1230*5))^2/2)+(((0.15*B1230*5))^3/6)+(((0.15*B1230*5))^4/24)+(((0.15*B1230*5))^5/120))),0)))/100)*(MIN(Skills!W10,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203">
      <c r="A1203">
        <f>Skills!A11</f>
        <v/>
      </c>
      <c r="B1203">
        <f>Skills!B11</f>
        <v/>
      </c>
      <c r="C1203">
        <f>Inputs!$B$3&gt;=74</f>
        <v/>
      </c>
      <c r="D1203">
        <f>IF(Skills!C11=1,60+Inputs!$B$25+Inputs!$B$29,IF(Skills!C11=2,90+Inputs!$B$26+Inputs!$B$29,IF(Skills!C11=3,120+Inputs!$B$27+Inputs!$B$29,MAX(0,(Inputs!$B$3-100)*3)+Inputs!$B$28+Inputs!$B$29)))</f>
        <v/>
      </c>
      <c r="E1203">
        <f>INDEX(FactorTable!$B$2:$Y$301, MATCH(ROUND(MIN(300,MAX(1,D1203)),0), FactorTable!$A$2:$A$301,0), Skills!M11+1)</f>
        <v/>
      </c>
      <c r="F1203">
        <f>IF(Skills!N11=TRUE,(Skills!L11/10)*(E1203/1000),Skills!L11/10)+Skills!O11</f>
        <v/>
      </c>
      <c r="G1203">
        <f>Skills!G11*IF(Skills!H11&gt;0,IF(Inputs!$B$39="pvp",MIN(Skills!I11,15),Skills!I11)/Skills!H11,1)</f>
        <v/>
      </c>
      <c r="H1203">
        <f>1-(1-Skills!J11/100)^Skills!K11</f>
        <v/>
      </c>
      <c r="I1203" t="inlineStr">
        <is>
          <t>1</t>
        </is>
      </c>
      <c r="J1203" t="inlineStr"/>
      <c r="K1203" t="inlineStr"/>
      <c r="L1203" t="inlineStr"/>
      <c r="M1203" t="inlineStr"/>
      <c r="N1203" t="inlineStr"/>
      <c r="O1203">
        <f>(1-Summary!$B$11)*T1203+Summary!$B$11*V1203</f>
        <v/>
      </c>
      <c r="P1203">
        <f>IF(B1238=0,0,O1203/B1238)</f>
        <v/>
      </c>
      <c r="Q1203">
        <f>IFERROR(1/IF(Inputs!$B$39="pvp",15,MAX(0.1,Skills!D11-IF(TRUE=TRUE,Inputs!$B$32,0))),0)</f>
        <v/>
      </c>
      <c r="R1203">
        <f>IF(AND(Inputs!$B$39&lt;&gt;"pvp",Inputs!$B$44&gt;0),IF(Inputs!$B$44&lt;=0,0,(INT(Inputs!$B$44/IF(Inputs!$B$39="pvp",15,MAX(0.1,Skills!D11-IF(TRUE=TRUE,Inputs!$B$32,0))))+1)),0)</f>
        <v/>
      </c>
      <c r="S1203">
        <f>IFERROR(O1203/N1203,0)</f>
        <v/>
      </c>
      <c r="T1203" t="n">
        <v>0</v>
      </c>
      <c r="V1203" t="n">
        <v>0</v>
      </c>
    </row>
    <row r="1204">
      <c r="A1204">
        <f>Skills!A12</f>
        <v/>
      </c>
      <c r="B1204">
        <f>Skills!B12</f>
        <v/>
      </c>
      <c r="C1204">
        <f>Inputs!$B$3&gt;=103</f>
        <v/>
      </c>
      <c r="D1204">
        <f>IF(Skills!C12=1,60+Inputs!$B$25+Inputs!$B$29,IF(Skills!C12=2,90+Inputs!$B$26+Inputs!$B$29,IF(Skills!C12=3,120+Inputs!$B$27+Inputs!$B$29,MAX(0,(Inputs!$B$3-100)*3)+Inputs!$B$28+Inputs!$B$29)))</f>
        <v/>
      </c>
      <c r="E1204">
        <f>INDEX(FactorTable!$B$2:$Y$301, MATCH(ROUND(MIN(300,MAX(1,D1204)),0), FactorTable!$A$2:$A$301,0), Skills!M12+1)</f>
        <v/>
      </c>
      <c r="F1204">
        <f>(Skills!L12/10)*(E1204/1000)+IF(Inputs!$B$3&gt;=134,50,0)+0.5*(30000/10)*(INDEX(FactorTable!$B$2:$Y$301, MATCH(ROUND(MIN(300,MAX(1,D1204)),0), FactorTable!$A$2:$A$301,0), 13)/1000)*B1236</f>
        <v/>
      </c>
      <c r="G1204">
        <f>Skills!G12*IF(Skills!H12&gt;0,IF(Inputs!$B$39="pvp",MIN(Skills!I12,15),Skills!I12)/Skills!H12,1)</f>
        <v/>
      </c>
      <c r="H1204">
        <f>1-(1-Skills!J12/100)^Skills!K12</f>
        <v/>
      </c>
      <c r="I1204" t="inlineStr">
        <is>
          <t>1</t>
        </is>
      </c>
      <c r="J1204">
        <f>((Inputs!$B$6*(1+(Inputs!$B$7+1)/100))+(((Inputs!$B$12*(1+Inputs!$B$13/100))-(Inputs!$B$12*(1+Inputs!$B$13/100)))+0.25*(Inputs!$B$14-Inputs!$B$14))*(1+(Inputs!$B$7+1)/100))*(F1204/100)</f>
        <v/>
      </c>
      <c r="K1204">
        <f>J1204*(1+((Inputs!$B$12*(1+Inputs!$B$13/100))*0.01+Inputs!$B$14*0.0025)/100)*(1+Inputs!$B$15/100)*(1+Inputs!$B$16/100)*(5000/(6000+Inputs!$B$43*(1-(100*(1-(1-Inputs!$B$19/100)*(1-CHOOSE(ArtifactsInput!$N$40+1,5,6,7,8,9,10)/100)^(ArtifactsInput!$M$40-ArtifactsInput!$M$40)))/100)))*(1+(Inputs!$B$24+((C1223=TRUE)*(F1223-Calc!F31))+((C1210=TRUE)*(F1210-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12="CRUEL_STAB",Inputs!$B$17+((C1220=TRUE)*(F1220-Calc!F28))+((IF(AND(Inputs!$B$39&lt;&gt;"pvp",Inputs!$B$44=0),1,IF(IF(Inputs!$B$39="pvp",15,Inputs!$B$44)-(B1237)&lt;=0,1,MAX(0,IF(Inputs!$B$39="pvp",15,Inputs!$B$44)-MAX(5,B1237))/(IF(Inputs!$B$39="pvp",15,Inputs!$B$44)-(B1237))))*(IF(AND(ArtifactsInput!$M$42,((Inputs!$B$9+((C1218=TRUE)*(F1218-Calc!F26))+B1226+(ArtifactsInput!$M$24-ArtifactsInput!$M$24)*CHOOSE(ArtifactsInput!$N$24+1,10,12,14,16,18,20)+IF(ArtifactsInput!$M$10,CHOOSE(ArtifactsInput!$N$10+1,15,18,21,24,27,30)*(IF(Inputs!$B$39="pvp",MIN(15,15)/15,IF(AND(Inputs!$B$39&lt;&gt;"pvp",Inputs!$B$44&gt;0),MIN(15,Inputs!$B$44)/(Inputs!$B$44),0))),0)))&gt;=100),MIN(100,((Inputs!$B$9+((C1218=TRUE)*(F1218-Calc!F26))+B1226+(ArtifactsInput!$M$24-ArtifactsInput!$M$24)*CHOOSE(ArtifactsInput!$N$24+1,10,12,14,16,18,20)+IF(ArtifactsInput!$M$10,CHOOSE(ArtifactsInput!$N$10+1,15,18,21,24,27,30)*(IF(Inputs!$B$39="pvp",MIN(15,15)/15,IF(AND(Inputs!$B$39&lt;&gt;"pvp",Inputs!$B$44&gt;0),MIN(15,Inputs!$B$44)/(Inputs!$B$44),0))),0)))-100),0))*CHOOSE(ArtifactsInput!$N$42+1,0.6,0.72,0.84,0.96,1.08,1.2))),Inputs!$B$18+((C1221=TRUE)*(F1221-Calc!F29))+(IF(AND(Inputs!$B$39&lt;&gt;"pvp",Inputs!$B$44=0),1,IF(IF(Inputs!$B$39="pvp",15,Inputs!$B$44)-(B1237)&lt;=0,1,MAX(0,IF(Inputs!$B$39="pvp",15,Inputs!$B$44)-MAX(5,B1237))/(IF(Inputs!$B$39="pvp",15,Inputs!$B$44)-(B1237))))*IF(AND(ArtifactsInput!$M$42,((Inputs!$B$9+((C1218=TRUE)*(F1218-Calc!F26))+B1226+(ArtifactsInput!$M$24-ArtifactsInput!$M$24)*CHOOSE(ArtifactsInput!$N$24+1,10,12,14,16,18,20)+IF(ArtifactsInput!$M$10,CHOOSE(ArtifactsInput!$N$10+1,15,18,21,24,27,30)*(IF(Inputs!$B$39="pvp",MIN(15,15)/15,IF(AND(Inputs!$B$39&lt;&gt;"pvp",Inputs!$B$44&gt;0),MIN(15,Inputs!$B$44)/(Inputs!$B$44),0))),0)))&gt;=100),CHOOSE(ArtifactsInput!$N$42+1,40,48,56,64,72,80),0))))/100)*(((1+(((C1214=TRUE)*F1214*IF(AND(Inputs!$B$39&lt;&gt;"pvp",Inputs!$B$44&gt;0),(((R1214-1)*MIN((Skills!Y22*(1+Inputs!$B$34/100)),(1/Q1214))+MIN((Skills!Y22*(1+Inputs!$B$34/100)),MAX(0,Inputs!$B$44-((R1214-1)*(1/Q1214)))))/Inputs!$B$44),IF(Inputs!$B$39="pvp",MIN((Skills!Y22*(1+Inputs!$B$34/100)),15)/15,MIN(1,(Skills!Y22*(1+Inputs!$B$34/100))/(1/Q1214)))))+((C1195=TRUE)*F1195*3)+((C1197=TRUE)*F1197*(1-EXP(-0.75*B1230*5)))+((C1216=TRUE)*(F1216-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1203=TRUE)*F1203*IF(AND(Inputs!$B$39&lt;&gt;"pvp",Inputs!$B$44&gt;0),(((R1203-1)*MIN((Skills!Y11*(1+Inputs!$B$34/100)),(1/Q1203))+MIN((Skills!Y11*(1+Inputs!$B$34/100)),MAX(0,Inputs!$B$44-((R1203-1)*(1/Q1203)))))/Inputs!$B$44),IF(Inputs!$B$39="pvp",MIN((Skills!Y11*(1+Inputs!$B$34/100)),15)/15,MIN(1,(Skills!Y11*(1+Inputs!$B$34/100))/(1/Q1203)))))/100)*(1+((C1208=TRUE)*F1208*IF(AND(Inputs!$B$39&lt;&gt;"pvp",Inputs!$B$44&gt;0),(((R1208-1)*MIN((Skills!Y16*(1+Inputs!$B$34/100)),(1/Q1208))+MIN((Skills!Y16*(1+Inputs!$B$34/100)),MAX(0,Inputs!$B$44-((R1208-1)*(1/Q1208)))))/Inputs!$B$44),IF(Inputs!$B$39="pvp",MIN((Skills!Y16*(1+Inputs!$B$34/100)),15)/15,MIN(1,(Skills!Y16*(1+Inputs!$B$34/100))/(1/Q1208)))))/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1228*I1204)</f>
        <v/>
      </c>
      <c r="L1204">
        <f>K1204*(MIN(Inputs!$B$22+((C1217=TRUE)*(F1217-Calc!F25)),(Inputs!$B$23+((C1222=TRUE)*(F1222-Calc!F30))+IF(ArtifactsInput!$M$15,CHOOSE(ArtifactsInput!$N$15+1,25,30,35,40,45,50)/100*(Inputs!$B$11-Inputs!$B$11),0)))/100+(Inputs!$B$23+((C1222=TRUE)*(F1222-Calc!F30))+IF(ArtifactsInput!$M$15,CHOOSE(ArtifactsInput!$N$15+1,25,30,35,40,45,50)/100*(Inputs!$B$11-Inputs!$B$11),0))/100)/2</f>
        <v/>
      </c>
      <c r="M1204">
        <f>L1204*(1+(Inputs!$B$10+((C1219=TRUE)*(F1219-Calc!F27))+B1233+(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1204">
        <f>L1204*(1-MIN((Inputs!$B$9+((C1218=TRUE)*(F1218-Calc!F26))+B1226+(ArtifactsInput!$M$24-ArtifactsInput!$M$24)*CHOOSE(ArtifactsInput!$N$24+1,10,12,14,16,18,20)+(IF(AND(Inputs!$B$39&lt;&gt;"pvp",Inputs!$B$44=0),1,IF(IF(Inputs!$B$39="pvp",15,Inputs!$B$44)-(B1237)&lt;=0,1,MAX(0,IF(Inputs!$B$39="pvp",15,Inputs!$B$44)-MAX(5,B1237))/(IF(Inputs!$B$39="pvp",15,Inputs!$B$44)-(B1237))))*IF(AND(ArtifactsInput!$M$42,((Inputs!$B$9+((C1218=TRUE)*(F1218-Calc!F26))+B1226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1204*(MIN((Inputs!$B$9+((C1218=TRUE)*(F1218-Calc!F26))+B1226+(ArtifactsInput!$M$24-ArtifactsInput!$M$24)*CHOOSE(ArtifactsInput!$N$24+1,10,12,14,16,18,20)+(IF(AND(Inputs!$B$39&lt;&gt;"pvp",Inputs!$B$44=0),1,IF(IF(Inputs!$B$39="pvp",15,Inputs!$B$44)-(B1237)&lt;=0,1,MAX(0,IF(Inputs!$B$39="pvp",15,Inputs!$B$44)-MAX(5,B1237))/(IF(Inputs!$B$39="pvp",15,Inputs!$B$44)-(B1237))))*IF(AND(ArtifactsInput!$M$42,((Inputs!$B$9+((C1218=TRUE)*(F1218-Calc!F26))+B1226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204">
        <f>(1-Summary!$B$11)*T1204+Summary!$B$11*V1204</f>
        <v/>
      </c>
      <c r="P1204">
        <f>IF(B1238=0,0,O1204/B1238)</f>
        <v/>
      </c>
      <c r="Q1204">
        <f>IFERROR(1/IF(Inputs!$B$39="pvp",15,MAX(0.1,Skills!D12-IF(TRUE=TRUE,Inputs!$B$32,0))),0)</f>
        <v/>
      </c>
      <c r="R1204">
        <f>IF(AND(Inputs!$B$39&lt;&gt;"pvp",Inputs!$B$44&gt;0),IF(MAX(0,Inputs!$B$44-B1237)&lt;=0,0,(INT(MAX(0,Inputs!$B$44-B1237)/IF(Inputs!$B$39="pvp",15,MAX(0.1,Skills!D12-IF(TRUE=TRUE,Inputs!$B$32,0))))+1)),0)</f>
        <v/>
      </c>
      <c r="S1204">
        <f>IFERROR(O1204/N1204,0)</f>
        <v/>
      </c>
      <c r="T1204">
        <f>IF(C1204,(H1204*N1204*IF(AND(Inputs!$B$39&lt;&gt;"pvp",Inputs!$B$44&gt;0),((Skills!G12*((R1204-1)*IF(Skills!H12&gt;0,Skills!I12/Skills!H12,1)+IF(Skills!H12&gt;0,MIN(Skills!I12,MAX(0,MAX(0,Inputs!$B$44-B1237)-((R1204-1)*IF(Inputs!$B$39="pvp",15,MAX(0.1,Skills!D12-IF(TRUE=TRUE,Inputs!$B$32,0))))))/Skills!H12,1)))/Inputs!$B$44),G1204*Q1204))*IF(Inputs!$B$39="pvp",1,1+(Inputs!$B$20+0+Skills!P12+B1227+(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Hunt"),CHOOSE(ArtifactsInput!$N$35+1,15,18,21,24,27,30)*(1-EXP(-(0.2*B1230)*5)),0)+IF(AND(ArtifactsInput!$M$22,Inputs!$B$4&lt;&gt;"Chapter Hunt"),CHOOSE(ArtifactsInput!$N$22+1,10,12,14,16,18,20)*((0*(((0.15*B1230*5))^0/1)+1*(((0.15*B1230*5))^1/1)+2*(((0.15*B1230*5))^2/2)+3*(((0.15*B1230*5))^3/6)+4*(((0.15*B1230*5))^4/24)+5*(((0.15*B1230*5))^5/120))/((((0.15*B1230*5))^0/1)+(((0.15*B1230*5))^1/1)+(((0.15*B1230*5))^2/2)+(((0.15*B1230*5))^3/6)+(((0.15*B1230*5))^4/24)+(((0.15*B1230*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1204*(1-MIN(100,(Inputs!$B$9+((C1218=TRUE)*(F1218-Calc!F26))+B1226+(ArtifactsInput!$M$24-ArtifactsInput!$M$24)*CHOOSE(ArtifactsInput!$N$24+1,10,12,14,16,18,20)+(IF(AND(Inputs!$B$39&lt;&gt;"pvp",Inputs!$B$44=0),1,IF(IF(Inputs!$B$39="pvp",15,Inputs!$B$44)-(B1237)&lt;=0,1,MAX(0,IF(Inputs!$B$39="pvp",15,Inputs!$B$44)-MAX(5,B1237))/(IF(Inputs!$B$39="pvp",15,Inputs!$B$44)-(B1237))))*IF(AND(ArtifactsInput!$M$42,((Inputs!$B$9+((C1218=TRUE)*(F1218-Calc!F26))+B1226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1204*(MIN(100,(Inputs!$B$9+((C1218=TRUE)*(F1218-Calc!F26))+B1226+(ArtifactsInput!$M$24-ArtifactsInput!$M$24)*CHOOSE(ArtifactsInput!$N$24+1,10,12,14,16,18,20)+(IF(AND(Inputs!$B$39&lt;&gt;"pvp",Inputs!$B$44=0),1,IF(IF(Inputs!$B$39="pvp",15,Inputs!$B$44)-(B1237)&lt;=0,1,MAX(0,IF(Inputs!$B$39="pvp",15,Inputs!$B$44)-MAX(5,B1237))/(IF(Inputs!$B$39="pvp",15,Inputs!$B$44)-(B1237))))*IF(AND(ArtifactsInput!$M$42,((Inputs!$B$9+((C1218=TRUE)*(F1218-Calc!F26))+B1226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1204*(1-MIN(100,(Inputs!$B$9+((C1218=TRUE)*(F1218-Calc!F26))+B1226+(ArtifactsInput!$M$24-ArtifactsInput!$M$24)*CHOOSE(ArtifactsInput!$N$24+1,10,12,14,16,18,20)+(IF(AND(Inputs!$B$39&lt;&gt;"pvp",Inputs!$B$44=0),1,IF(IF(Inputs!$B$39="pvp",15,Inputs!$B$44)-(B1237)&lt;=0,1,MAX(0,IF(Inputs!$B$39="pvp",15,Inputs!$B$44)-MAX(5,B1237))/(IF(Inputs!$B$39="pvp",15,Inputs!$B$44)-(B1237))))*IF(AND(ArtifactsInput!$M$42,((Inputs!$B$9+((C1218=TRUE)*(F1218-Calc!F26))+B1226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1204*(MIN(100,(Inputs!$B$9+((C1218=TRUE)*(F1218-Calc!F26))+B1226+(ArtifactsInput!$M$24-ArtifactsInput!$M$24)*CHOOSE(ArtifactsInput!$N$24+1,10,12,14,16,18,20)+(IF(AND(Inputs!$B$39&lt;&gt;"pvp",Inputs!$B$44=0),1,IF(IF(Inputs!$B$39="pvp",15,Inputs!$B$44)-(B1237)&lt;=0,1,MAX(0,IF(Inputs!$B$39="pvp",15,Inputs!$B$44)-MAX(5,B1237))/(IF(Inputs!$B$39="pvp",15,Inputs!$B$44)-(B1237))))*IF(AND(ArtifactsInput!$M$42,((Inputs!$B$9+((C1218=TRUE)*(F1218-Calc!F26))+B1226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1204">
        <f>IF(C1204,(H1204*N1204*IF(AND(Inputs!$B$39&lt;&gt;"pvp",Inputs!$B$44&gt;0),((Skills!G12*((R1204-1)*IF(Skills!H12&gt;0,Skills!I12/Skills!H12,1)+IF(Skills!H12&gt;0,MIN(Skills!I12,MAX(0,MAX(0,Inputs!$B$44-B1237)-((R1204-1)*IF(Inputs!$B$39="pvp",15,MAX(0.1,Skills!D12-IF(TRUE=TRUE,Inputs!$B$32,0))))))/Skills!H12,1)))/Inputs!$B$44),G1204*Q1204))*IF(Inputs!$B$39="pvp",1,(1+(Inputs!$B$21+Skills!Q12+B1227+(IF(ArtifactsInput!$M$33,CHOOSE(ArtifactsInput!$N$33+1,30,36,42,48,54,60),0))+(IF(AND(ArtifactsInput!$M$35,Inputs!$B$4&lt;&gt;"Chapter Hunt"),CHOOSE(ArtifactsInput!$N$35+1,15,18,21,24,27,30)*(1-EXP(-(0.2*B1230)*5)),0)+IF(AND(ArtifactsInput!$M$22,Inputs!$B$4&lt;&gt;"Chapter Hunt"),CHOOSE(ArtifactsInput!$N$22+1,10,12,14,16,18,20)*((0*(((0.15*B1230*5))^0/1)+1*(((0.15*B1230*5))^1/1)+2*(((0.15*B1230*5))^2/2)+3*(((0.15*B1230*5))^3/6)+4*(((0.15*B1230*5))^4/24)+5*(((0.15*B1230*5))^5/120))/((((0.15*B1230*5))^0/1)+(((0.15*B1230*5))^1/1)+(((0.15*B1230*5))^2/2)+(((0.15*B1230*5))^3/6)+(((0.15*B1230*5))^4/24)+(((0.15*B1230*5))^5/120))),0)))/100)*(MIN(Skills!W12,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205">
      <c r="A1205">
        <f>Skills!A13</f>
        <v/>
      </c>
      <c r="B1205">
        <f>Skills!B13</f>
        <v/>
      </c>
      <c r="C1205">
        <f>Inputs!$B$3&gt;=105</f>
        <v/>
      </c>
      <c r="D1205">
        <f>IF(Skills!C13=1,60+Inputs!$B$25+Inputs!$B$29,IF(Skills!C13=2,90+Inputs!$B$26+Inputs!$B$29,IF(Skills!C13=3,120+Inputs!$B$27+Inputs!$B$29,MAX(0,(Inputs!$B$3-100)*3)+Inputs!$B$28+Inputs!$B$29)))</f>
        <v/>
      </c>
      <c r="E1205">
        <f>INDEX(FactorTable!$B$2:$Y$301, MATCH(ROUND(MIN(300,MAX(1,D1205)),0), FactorTable!$A$2:$A$301,0), Skills!M13+1)</f>
        <v/>
      </c>
      <c r="F1205">
        <f>IF(Skills!N13=TRUE,(Skills!L13/10)*(E1205/1000),Skills!L13/10)+Skills!O13</f>
        <v/>
      </c>
      <c r="G1205">
        <f>Skills!G13*IF(Skills!H13&gt;0,IF(Inputs!$B$39="pvp",MIN(Skills!I13,15),Skills!I13)/Skills!H13,1)</f>
        <v/>
      </c>
      <c r="H1205">
        <f>1-(1-Skills!J13/100)^Skills!K13</f>
        <v/>
      </c>
      <c r="I1205" t="inlineStr">
        <is>
          <t>1</t>
        </is>
      </c>
      <c r="J1205">
        <f>((Inputs!$B$6*(1+(Inputs!$B$7+1)/100))+(((Inputs!$B$12*(1+Inputs!$B$13/100))-(Inputs!$B$12*(1+Inputs!$B$13/100)))+0.25*(Inputs!$B$14-Inputs!$B$14))*(1+(Inputs!$B$7+1)/100))*(F1205/100)</f>
        <v/>
      </c>
      <c r="K1205">
        <f>J1205*(1+((Inputs!$B$12*(1+Inputs!$B$13/100))*0.01+Inputs!$B$14*0.0025)/100)*(1+Inputs!$B$15/100)*(1+Inputs!$B$16/100)*(5000/(6000+Inputs!$B$43*(1-(100*(1-(1-Inputs!$B$19/100)*(1-CHOOSE(ArtifactsInput!$N$40+1,5,6,7,8,9,10)/100)^(ArtifactsInput!$M$40-ArtifactsInput!$M$40)))/100)))*(1+(Inputs!$B$24+((C1223=TRUE)*(F1223-Calc!F31))+((C1210=TRUE)*(F1210-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13="CRUEL_STAB",Inputs!$B$17+((C1220=TRUE)*(F1220-Calc!F28))+((IF(AND(Inputs!$B$39&lt;&gt;"pvp",Inputs!$B$44=0),1,IF(IF(Inputs!$B$39="pvp",15,Inputs!$B$44)-(B1237)&lt;=0,1,MAX(0,IF(Inputs!$B$39="pvp",15,Inputs!$B$44)-MAX(5,B1237))/(IF(Inputs!$B$39="pvp",15,Inputs!$B$44)-(B1237))))*(IF(AND(ArtifactsInput!$M$42,((Inputs!$B$9+((C1218=TRUE)*(F1218-Calc!F26))+B1226+(ArtifactsInput!$M$24-ArtifactsInput!$M$24)*CHOOSE(ArtifactsInput!$N$24+1,10,12,14,16,18,20)+IF(ArtifactsInput!$M$10,CHOOSE(ArtifactsInput!$N$10+1,15,18,21,24,27,30)*(IF(Inputs!$B$39="pvp",MIN(15,15)/15,IF(AND(Inputs!$B$39&lt;&gt;"pvp",Inputs!$B$44&gt;0),MIN(15,Inputs!$B$44)/(Inputs!$B$44),0))),0)))&gt;=100),MIN(100,((Inputs!$B$9+((C1218=TRUE)*(F1218-Calc!F26))+B1226+(ArtifactsInput!$M$24-ArtifactsInput!$M$24)*CHOOSE(ArtifactsInput!$N$24+1,10,12,14,16,18,20)+IF(ArtifactsInput!$M$10,CHOOSE(ArtifactsInput!$N$10+1,15,18,21,24,27,30)*(IF(Inputs!$B$39="pvp",MIN(15,15)/15,IF(AND(Inputs!$B$39&lt;&gt;"pvp",Inputs!$B$44&gt;0),MIN(15,Inputs!$B$44)/(Inputs!$B$44),0))),0)))-100),0))*CHOOSE(ArtifactsInput!$N$42+1,0.6,0.72,0.84,0.96,1.08,1.2))),Inputs!$B$18+((C1221=TRUE)*(F1221-Calc!F29))+(IF(AND(Inputs!$B$39&lt;&gt;"pvp",Inputs!$B$44=0),1,IF(IF(Inputs!$B$39="pvp",15,Inputs!$B$44)-(B1237)&lt;=0,1,MAX(0,IF(Inputs!$B$39="pvp",15,Inputs!$B$44)-MAX(5,B1237))/(IF(Inputs!$B$39="pvp",15,Inputs!$B$44)-(B1237))))*IF(AND(ArtifactsInput!$M$42,((Inputs!$B$9+((C1218=TRUE)*(F1218-Calc!F26))+B1226+(ArtifactsInput!$M$24-ArtifactsInput!$M$24)*CHOOSE(ArtifactsInput!$N$24+1,10,12,14,16,18,20)+IF(ArtifactsInput!$M$10,CHOOSE(ArtifactsInput!$N$10+1,15,18,21,24,27,30)*(IF(Inputs!$B$39="pvp",MIN(15,15)/15,IF(AND(Inputs!$B$39&lt;&gt;"pvp",Inputs!$B$44&gt;0),MIN(15,Inputs!$B$44)/(Inputs!$B$44),0))),0)))&gt;=100),CHOOSE(ArtifactsInput!$N$42+1,40,48,56,64,72,80),0))))/100)*(((1+(((C1214=TRUE)*F1214*IF(AND(Inputs!$B$39&lt;&gt;"pvp",Inputs!$B$44&gt;0),(((R1214-1)*MIN((Skills!Y22*(1+Inputs!$B$34/100)),(1/Q1214))+MIN((Skills!Y22*(1+Inputs!$B$34/100)),MAX(0,Inputs!$B$44-((R1214-1)*(1/Q1214)))))/Inputs!$B$44),IF(Inputs!$B$39="pvp",MIN((Skills!Y22*(1+Inputs!$B$34/100)),15)/15,MIN(1,(Skills!Y22*(1+Inputs!$B$34/100))/(1/Q1214)))))+((C1195=TRUE)*F1195*3)+((C1197=TRUE)*F1197*(1-EXP(-0.75*B1230*5)))+((C1216=TRUE)*(F1216-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1203=TRUE)*F1203*IF(AND(Inputs!$B$39&lt;&gt;"pvp",Inputs!$B$44&gt;0),(((R1203-1)*MIN((Skills!Y11*(1+Inputs!$B$34/100)),(1/Q1203))+MIN((Skills!Y11*(1+Inputs!$B$34/100)),MAX(0,Inputs!$B$44-((R1203-1)*(1/Q1203)))))/Inputs!$B$44),IF(Inputs!$B$39="pvp",MIN((Skills!Y11*(1+Inputs!$B$34/100)),15)/15,MIN(1,(Skills!Y11*(1+Inputs!$B$34/100))/(1/Q1203)))))/100)*(1+((C1208=TRUE)*F1208*IF(AND(Inputs!$B$39&lt;&gt;"pvp",Inputs!$B$44&gt;0),(((R1208-1)*MIN((Skills!Y16*(1+Inputs!$B$34/100)),(1/Q1208))+MIN((Skills!Y16*(1+Inputs!$B$34/100)),MAX(0,Inputs!$B$44-((R1208-1)*(1/Q1208)))))/Inputs!$B$44),IF(Inputs!$B$39="pvp",MIN((Skills!Y16*(1+Inputs!$B$34/100)),15)/15,MIN(1,(Skills!Y16*(1+Inputs!$B$34/100))/(1/Q1208)))))/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1228*I1205)</f>
        <v/>
      </c>
      <c r="L1205">
        <f>K1205*(MIN(Inputs!$B$22+((C1217=TRUE)*(F1217-Calc!F25)),(Inputs!$B$23+((C1222=TRUE)*(F1222-Calc!F30))+IF(ArtifactsInput!$M$15,CHOOSE(ArtifactsInput!$N$15+1,25,30,35,40,45,50)/100*(Inputs!$B$11-Inputs!$B$11),0)))/100+(Inputs!$B$23+((C1222=TRUE)*(F1222-Calc!F30))+IF(ArtifactsInput!$M$15,CHOOSE(ArtifactsInput!$N$15+1,25,30,35,40,45,50)/100*(Inputs!$B$11-Inputs!$B$11),0))/100)/2</f>
        <v/>
      </c>
      <c r="M1205">
        <f>L1205*(1+(Inputs!$B$10+((C1219=TRUE)*(F1219-Calc!F27))+B1233+(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1205">
        <f>L1205*(1-MIN((Inputs!$B$9+((C1218=TRUE)*(F1218-Calc!F26))+B1226+(ArtifactsInput!$M$24-ArtifactsInput!$M$24)*CHOOSE(ArtifactsInput!$N$24+1,10,12,14,16,18,20)+(IF(AND(Inputs!$B$39&lt;&gt;"pvp",Inputs!$B$44=0),1,IF(IF(Inputs!$B$39="pvp",15,Inputs!$B$44)-(B1237)&lt;=0,1,MAX(0,IF(Inputs!$B$39="pvp",15,Inputs!$B$44)-MAX(5,B1237))/(IF(Inputs!$B$39="pvp",15,Inputs!$B$44)-(B1237))))*IF(AND(ArtifactsInput!$M$42,((Inputs!$B$9+((C1218=TRUE)*(F1218-Calc!F26))+B1226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1205*(MIN((Inputs!$B$9+((C1218=TRUE)*(F1218-Calc!F26))+B1226+(ArtifactsInput!$M$24-ArtifactsInput!$M$24)*CHOOSE(ArtifactsInput!$N$24+1,10,12,14,16,18,20)+(IF(AND(Inputs!$B$39&lt;&gt;"pvp",Inputs!$B$44=0),1,IF(IF(Inputs!$B$39="pvp",15,Inputs!$B$44)-(B1237)&lt;=0,1,MAX(0,IF(Inputs!$B$39="pvp",15,Inputs!$B$44)-MAX(5,B1237))/(IF(Inputs!$B$39="pvp",15,Inputs!$B$44)-(B1237))))*IF(AND(ArtifactsInput!$M$42,((Inputs!$B$9+((C1218=TRUE)*(F1218-Calc!F26))+B1226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205">
        <f>(1-Summary!$B$11)*T1205+Summary!$B$11*V1205</f>
        <v/>
      </c>
      <c r="P1205">
        <f>IF(B1238=0,0,O1205/B1238)</f>
        <v/>
      </c>
      <c r="Q1205">
        <f>IFERROR(1/IF(Inputs!$B$39="pvp",15,MAX(0.1,Skills!D13-IF(TRUE=TRUE,Inputs!$B$32,0))),0)</f>
        <v/>
      </c>
      <c r="R1205">
        <f>IF(AND(Inputs!$B$39&lt;&gt;"pvp",Inputs!$B$44&gt;0),IF(MAX(0,Inputs!$B$44-B1237)&lt;=0,0,(INT(MAX(0,Inputs!$B$44-B1237)/IF(Inputs!$B$39="pvp",15,MAX(0.1,Skills!D13-IF(TRUE=TRUE,Inputs!$B$32,0))))+1)),0)</f>
        <v/>
      </c>
      <c r="S1205">
        <f>IFERROR(O1205/N1205,0)</f>
        <v/>
      </c>
      <c r="T1205">
        <f>IF(C1205,(H1205*N1205*IF(AND(Inputs!$B$39&lt;&gt;"pvp",Inputs!$B$44&gt;0),((Skills!G13*((R1205-1)*IF(Skills!H13&gt;0,Skills!I13/Skills!H13,1)+IF(Skills!H13&gt;0,MIN(Skills!I13,MAX(0,MAX(0,Inputs!$B$44-B1237)-((R1205-1)*IF(Inputs!$B$39="pvp",15,MAX(0.1,Skills!D13-IF(TRUE=TRUE,Inputs!$B$32,0))))))/Skills!H13,1)))/Inputs!$B$44),G1205*Q1205))*IF(Inputs!$B$39="pvp",1,1+(Inputs!$B$20+0+Skills!P13+B1227+(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Hunt"),CHOOSE(ArtifactsInput!$N$35+1,15,18,21,24,27,30)*(1-EXP(-(0.2*B1230)*5)),0)+IF(AND(ArtifactsInput!$M$22,Inputs!$B$4&lt;&gt;"Chapter Hunt"),CHOOSE(ArtifactsInput!$N$22+1,10,12,14,16,18,20)*((0*(((0.15*B1230*5))^0/1)+1*(((0.15*B1230*5))^1/1)+2*(((0.15*B1230*5))^2/2)+3*(((0.15*B1230*5))^3/6)+4*(((0.15*B1230*5))^4/24)+5*(((0.15*B1230*5))^5/120))/((((0.15*B1230*5))^0/1)+(((0.15*B1230*5))^1/1)+(((0.15*B1230*5))^2/2)+(((0.15*B1230*5))^3/6)+(((0.15*B1230*5))^4/24)+(((0.15*B1230*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1205*(1-MIN(100,(Inputs!$B$9+((C1218=TRUE)*(F1218-Calc!F26))+B1226+(ArtifactsInput!$M$24-ArtifactsInput!$M$24)*CHOOSE(ArtifactsInput!$N$24+1,10,12,14,16,18,20)+(IF(AND(Inputs!$B$39&lt;&gt;"pvp",Inputs!$B$44=0),1,IF(IF(Inputs!$B$39="pvp",15,Inputs!$B$44)-(B1237)&lt;=0,1,MAX(0,IF(Inputs!$B$39="pvp",15,Inputs!$B$44)-MAX(5,B1237))/(IF(Inputs!$B$39="pvp",15,Inputs!$B$44)-(B1237))))*IF(AND(ArtifactsInput!$M$42,((Inputs!$B$9+((C1218=TRUE)*(F1218-Calc!F26))+B1226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1205*(MIN(100,(Inputs!$B$9+((C1218=TRUE)*(F1218-Calc!F26))+B1226+(ArtifactsInput!$M$24-ArtifactsInput!$M$24)*CHOOSE(ArtifactsInput!$N$24+1,10,12,14,16,18,20)+(IF(AND(Inputs!$B$39&lt;&gt;"pvp",Inputs!$B$44=0),1,IF(IF(Inputs!$B$39="pvp",15,Inputs!$B$44)-(B1237)&lt;=0,1,MAX(0,IF(Inputs!$B$39="pvp",15,Inputs!$B$44)-MAX(5,B1237))/(IF(Inputs!$B$39="pvp",15,Inputs!$B$44)-(B1237))))*IF(AND(ArtifactsInput!$M$42,((Inputs!$B$9+((C1218=TRUE)*(F1218-Calc!F26))+B1226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1205*(1-MIN(100,(Inputs!$B$9+((C1218=TRUE)*(F1218-Calc!F26))+B1226+(ArtifactsInput!$M$24-ArtifactsInput!$M$24)*CHOOSE(ArtifactsInput!$N$24+1,10,12,14,16,18,20)+(IF(AND(Inputs!$B$39&lt;&gt;"pvp",Inputs!$B$44=0),1,IF(IF(Inputs!$B$39="pvp",15,Inputs!$B$44)-(B1237)&lt;=0,1,MAX(0,IF(Inputs!$B$39="pvp",15,Inputs!$B$44)-MAX(5,B1237))/(IF(Inputs!$B$39="pvp",15,Inputs!$B$44)-(B1237))))*IF(AND(ArtifactsInput!$M$42,((Inputs!$B$9+((C1218=TRUE)*(F1218-Calc!F26))+B1226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1205*(MIN(100,(Inputs!$B$9+((C1218=TRUE)*(F1218-Calc!F26))+B1226+(ArtifactsInput!$M$24-ArtifactsInput!$M$24)*CHOOSE(ArtifactsInput!$N$24+1,10,12,14,16,18,20)+(IF(AND(Inputs!$B$39&lt;&gt;"pvp",Inputs!$B$44=0),1,IF(IF(Inputs!$B$39="pvp",15,Inputs!$B$44)-(B1237)&lt;=0,1,MAX(0,IF(Inputs!$B$39="pvp",15,Inputs!$B$44)-MAX(5,B1237))/(IF(Inputs!$B$39="pvp",15,Inputs!$B$44)-(B1237))))*IF(AND(ArtifactsInput!$M$42,((Inputs!$B$9+((C1218=TRUE)*(F1218-Calc!F26))+B1226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1205">
        <f>IF(C1205,(H1205*N1205*IF(AND(Inputs!$B$39&lt;&gt;"pvp",Inputs!$B$44&gt;0),((Skills!G13*((R1205-1)*IF(Skills!H13&gt;0,Skills!I13/Skills!H13,1)+IF(Skills!H13&gt;0,MIN(Skills!I13,MAX(0,MAX(0,Inputs!$B$44-B1237)-((R1205-1)*IF(Inputs!$B$39="pvp",15,MAX(0.1,Skills!D13-IF(TRUE=TRUE,Inputs!$B$32,0))))))/Skills!H13,1)))/Inputs!$B$44),G1205*Q1205))*IF(Inputs!$B$39="pvp",1,(1+(Inputs!$B$21+Skills!Q13+B1227+(IF(ArtifactsInput!$M$33,CHOOSE(ArtifactsInput!$N$33+1,30,36,42,48,54,60),0))+(IF(AND(ArtifactsInput!$M$35,Inputs!$B$4&lt;&gt;"Chapter Hunt"),CHOOSE(ArtifactsInput!$N$35+1,15,18,21,24,27,30)*(1-EXP(-(0.2*B1230)*5)),0)+IF(AND(ArtifactsInput!$M$22,Inputs!$B$4&lt;&gt;"Chapter Hunt"),CHOOSE(ArtifactsInput!$N$22+1,10,12,14,16,18,20)*((0*(((0.15*B1230*5))^0/1)+1*(((0.15*B1230*5))^1/1)+2*(((0.15*B1230*5))^2/2)+3*(((0.15*B1230*5))^3/6)+4*(((0.15*B1230*5))^4/24)+5*(((0.15*B1230*5))^5/120))/((((0.15*B1230*5))^0/1)+(((0.15*B1230*5))^1/1)+(((0.15*B1230*5))^2/2)+(((0.15*B1230*5))^3/6)+(((0.15*B1230*5))^4/24)+(((0.15*B1230*5))^5/120))),0)))/100)*(MIN(Skills!W13,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206">
      <c r="A1206">
        <f>Skills!A14</f>
        <v/>
      </c>
      <c r="B1206">
        <f>Skills!B14</f>
        <v/>
      </c>
      <c r="C1206">
        <f>Inputs!$B$3&gt;=105</f>
        <v/>
      </c>
      <c r="D1206">
        <f>IF(Skills!C14=1,60+Inputs!$B$25+Inputs!$B$29,IF(Skills!C14=2,90+Inputs!$B$26+Inputs!$B$29,IF(Skills!C14=3,120+Inputs!$B$27+Inputs!$B$29,MAX(0,(Inputs!$B$3-100)*3)+Inputs!$B$28+Inputs!$B$29)))</f>
        <v/>
      </c>
      <c r="E1206">
        <f>INDEX(FactorTable!$B$2:$Y$301, MATCH(ROUND(MIN(300,MAX(1,D1206)),0), FactorTable!$A$2:$A$301,0), Skills!M14+1)</f>
        <v/>
      </c>
      <c r="F1206">
        <f>IF(Skills!N14=TRUE,(Skills!L14/10)*(E1206/1000),Skills!L14/10)+Skills!O14</f>
        <v/>
      </c>
      <c r="G1206">
        <f>Skills!G14*IF(Skills!H14&gt;0,IF(Inputs!$B$39="pvp",MIN(Skills!I14,15),Skills!I14)/Skills!H14,1)</f>
        <v/>
      </c>
      <c r="H1206">
        <f>1-(1-Skills!J14/100)^Skills!K14</f>
        <v/>
      </c>
      <c r="I1206" t="inlineStr">
        <is>
          <t>1</t>
        </is>
      </c>
      <c r="J1206">
        <f>((Inputs!$B$6*(1+(Inputs!$B$7+1)/100))+(((Inputs!$B$12*(1+Inputs!$B$13/100))-(Inputs!$B$12*(1+Inputs!$B$13/100)))+0.25*(Inputs!$B$14-Inputs!$B$14))*(1+(Inputs!$B$7+1)/100))*(F1206/100)</f>
        <v/>
      </c>
      <c r="K1206">
        <f>J1206*(1+((Inputs!$B$12*(1+Inputs!$B$13/100))*0.01+Inputs!$B$14*0.0025)/100)*(1+Inputs!$B$15/100)*(1+Inputs!$B$16/100)*(5000/(6000+Inputs!$B$43*(1-(100*(1-(1-Inputs!$B$19/100)*(1-CHOOSE(ArtifactsInput!$N$40+1,5,6,7,8,9,10)/100)^(ArtifactsInput!$M$40-ArtifactsInput!$M$40)))/100)))*(1+(Inputs!$B$24+((C1223=TRUE)*(F1223-Calc!F31))+((C1210=TRUE)*(F1210-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14="CRUEL_STAB",Inputs!$B$17+((C1220=TRUE)*(F1220-Calc!F28))+((IF(AND(Inputs!$B$39&lt;&gt;"pvp",Inputs!$B$44=0),1,IF(IF(Inputs!$B$39="pvp",15,Inputs!$B$44)-(B1237)&lt;=0,1,MAX(0,IF(Inputs!$B$39="pvp",15,Inputs!$B$44)-MAX(5,B1237))/(IF(Inputs!$B$39="pvp",15,Inputs!$B$44)-(B1237))))*(IF(AND(ArtifactsInput!$M$42,((Inputs!$B$9+((C1218=TRUE)*(F1218-Calc!F26))+B1226+(ArtifactsInput!$M$24-ArtifactsInput!$M$24)*CHOOSE(ArtifactsInput!$N$24+1,10,12,14,16,18,20)+IF(ArtifactsInput!$M$10,CHOOSE(ArtifactsInput!$N$10+1,15,18,21,24,27,30)*(IF(Inputs!$B$39="pvp",MIN(15,15)/15,IF(AND(Inputs!$B$39&lt;&gt;"pvp",Inputs!$B$44&gt;0),MIN(15,Inputs!$B$44)/(Inputs!$B$44),0))),0)))&gt;=100),MIN(100,((Inputs!$B$9+((C1218=TRUE)*(F1218-Calc!F26))+B1226+(ArtifactsInput!$M$24-ArtifactsInput!$M$24)*CHOOSE(ArtifactsInput!$N$24+1,10,12,14,16,18,20)+IF(ArtifactsInput!$M$10,CHOOSE(ArtifactsInput!$N$10+1,15,18,21,24,27,30)*(IF(Inputs!$B$39="pvp",MIN(15,15)/15,IF(AND(Inputs!$B$39&lt;&gt;"pvp",Inputs!$B$44&gt;0),MIN(15,Inputs!$B$44)/(Inputs!$B$44),0))),0)))-100),0))*CHOOSE(ArtifactsInput!$N$42+1,0.6,0.72,0.84,0.96,1.08,1.2))),Inputs!$B$18+((C1221=TRUE)*(F1221-Calc!F29))+(IF(AND(Inputs!$B$39&lt;&gt;"pvp",Inputs!$B$44=0),1,IF(IF(Inputs!$B$39="pvp",15,Inputs!$B$44)-(B1237)&lt;=0,1,MAX(0,IF(Inputs!$B$39="pvp",15,Inputs!$B$44)-MAX(5,B1237))/(IF(Inputs!$B$39="pvp",15,Inputs!$B$44)-(B1237))))*IF(AND(ArtifactsInput!$M$42,((Inputs!$B$9+((C1218=TRUE)*(F1218-Calc!F26))+B1226+(ArtifactsInput!$M$24-ArtifactsInput!$M$24)*CHOOSE(ArtifactsInput!$N$24+1,10,12,14,16,18,20)+IF(ArtifactsInput!$M$10,CHOOSE(ArtifactsInput!$N$10+1,15,18,21,24,27,30)*(IF(Inputs!$B$39="pvp",MIN(15,15)/15,IF(AND(Inputs!$B$39&lt;&gt;"pvp",Inputs!$B$44&gt;0),MIN(15,Inputs!$B$44)/(Inputs!$B$44),0))),0)))&gt;=100),CHOOSE(ArtifactsInput!$N$42+1,40,48,56,64,72,80),0))))/100)*(((1+(((C1214=TRUE)*F1214*IF(AND(Inputs!$B$39&lt;&gt;"pvp",Inputs!$B$44&gt;0),(((R1214-1)*MIN((Skills!Y22*(1+Inputs!$B$34/100)),(1/Q1214))+MIN((Skills!Y22*(1+Inputs!$B$34/100)),MAX(0,Inputs!$B$44-((R1214-1)*(1/Q1214)))))/Inputs!$B$44),IF(Inputs!$B$39="pvp",MIN((Skills!Y22*(1+Inputs!$B$34/100)),15)/15,MIN(1,(Skills!Y22*(1+Inputs!$B$34/100))/(1/Q1214)))))+((C1195=TRUE)*F1195*3)+((C1197=TRUE)*F1197*(1-EXP(-0.75*B1230*5)))+((C1216=TRUE)*(F1216-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1203=TRUE)*F1203*IF(AND(Inputs!$B$39&lt;&gt;"pvp",Inputs!$B$44&gt;0),(((R1203-1)*MIN((Skills!Y11*(1+Inputs!$B$34/100)),(1/Q1203))+MIN((Skills!Y11*(1+Inputs!$B$34/100)),MAX(0,Inputs!$B$44-((R1203-1)*(1/Q1203)))))/Inputs!$B$44),IF(Inputs!$B$39="pvp",MIN((Skills!Y11*(1+Inputs!$B$34/100)),15)/15,MIN(1,(Skills!Y11*(1+Inputs!$B$34/100))/(1/Q1203)))))/100)*(1+((C1208=TRUE)*F1208*IF(AND(Inputs!$B$39&lt;&gt;"pvp",Inputs!$B$44&gt;0),(((R1208-1)*MIN((Skills!Y16*(1+Inputs!$B$34/100)),(1/Q1208))+MIN((Skills!Y16*(1+Inputs!$B$34/100)),MAX(0,Inputs!$B$44-((R1208-1)*(1/Q1208)))))/Inputs!$B$44),IF(Inputs!$B$39="pvp",MIN((Skills!Y16*(1+Inputs!$B$34/100)),15)/15,MIN(1,(Skills!Y16*(1+Inputs!$B$34/100))/(1/Q1208)))))/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1228*I1206)</f>
        <v/>
      </c>
      <c r="L1206">
        <f>K1206*(MIN(Inputs!$B$22+((C1217=TRUE)*(F1217-Calc!F25)),(Inputs!$B$23+((C1222=TRUE)*(F1222-Calc!F30))+IF(ArtifactsInput!$M$15,CHOOSE(ArtifactsInput!$N$15+1,25,30,35,40,45,50)/100*(Inputs!$B$11-Inputs!$B$11),0)))/100+(Inputs!$B$23+((C1222=TRUE)*(F1222-Calc!F30))+IF(ArtifactsInput!$M$15,CHOOSE(ArtifactsInput!$N$15+1,25,30,35,40,45,50)/100*(Inputs!$B$11-Inputs!$B$11),0))/100)/2</f>
        <v/>
      </c>
      <c r="M1206">
        <f>L1206*(1+(Inputs!$B$10+((C1219=TRUE)*(F1219-Calc!F27))+B1233+(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1206">
        <f>L1206*(1-MIN((Inputs!$B$9+((C1218=TRUE)*(F1218-Calc!F26))+B1226+(ArtifactsInput!$M$24-ArtifactsInput!$M$24)*CHOOSE(ArtifactsInput!$N$24+1,10,12,14,16,18,20)+(IF(AND(Inputs!$B$39&lt;&gt;"pvp",Inputs!$B$44=0),1,IF(IF(Inputs!$B$39="pvp",15,Inputs!$B$44)-(B1237)&lt;=0,1,MAX(0,IF(Inputs!$B$39="pvp",15,Inputs!$B$44)-MAX(5,B1237))/(IF(Inputs!$B$39="pvp",15,Inputs!$B$44)-(B1237))))*IF(AND(ArtifactsInput!$M$42,((Inputs!$B$9+((C1218=TRUE)*(F1218-Calc!F26))+B1226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1206*(MIN((Inputs!$B$9+((C1218=TRUE)*(F1218-Calc!F26))+B1226+(ArtifactsInput!$M$24-ArtifactsInput!$M$24)*CHOOSE(ArtifactsInput!$N$24+1,10,12,14,16,18,20)+(IF(AND(Inputs!$B$39&lt;&gt;"pvp",Inputs!$B$44=0),1,IF(IF(Inputs!$B$39="pvp",15,Inputs!$B$44)-(B1237)&lt;=0,1,MAX(0,IF(Inputs!$B$39="pvp",15,Inputs!$B$44)-MAX(5,B1237))/(IF(Inputs!$B$39="pvp",15,Inputs!$B$44)-(B1237))))*IF(AND(ArtifactsInput!$M$42,((Inputs!$B$9+((C1218=TRUE)*(F1218-Calc!F26))+B1226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206">
        <f>(1-Summary!$B$11)*T1206+Summary!$B$11*V1206</f>
        <v/>
      </c>
      <c r="P1206">
        <f>IF(B1238=0,0,O1206/B1238)</f>
        <v/>
      </c>
      <c r="Q1206">
        <f>IFERROR(1/IF(Inputs!$B$39="pvp",15,MAX(0.1,Skills!D14-IF(TRUE=TRUE,Inputs!$B$32,0))),0)</f>
        <v/>
      </c>
      <c r="R1206">
        <f>IF(AND(Inputs!$B$39&lt;&gt;"pvp",Inputs!$B$44&gt;0),IF(MAX(0,Inputs!$B$44-B1237)&lt;=0,0,(INT(MAX(0,Inputs!$B$44-B1237)/IF(Inputs!$B$39="pvp",15,MAX(0.1,Skills!D14-IF(TRUE=TRUE,Inputs!$B$32,0))))+1)),0)</f>
        <v/>
      </c>
      <c r="S1206">
        <f>IFERROR(O1206/N1206,0)</f>
        <v/>
      </c>
      <c r="T1206">
        <f>IF(C1206,(H1206*N1206*IF(AND(Inputs!$B$39&lt;&gt;"pvp",Inputs!$B$44&gt;0),((Skills!G14*((R1206-1)*IF(Skills!H14&gt;0,Skills!I14/Skills!H14,1)+IF(Skills!H14&gt;0,MIN(Skills!I14,MAX(0,MAX(0,Inputs!$B$44-B1237)-((R1206-1)*IF(Inputs!$B$39="pvp",15,MAX(0.1,Skills!D14-IF(TRUE=TRUE,Inputs!$B$32,0))))))/Skills!H14,1)))/Inputs!$B$44),G1206*Q1206))*IF(Inputs!$B$39="pvp",1,1+(Inputs!$B$20+0+Skills!P14+B1227+(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Hunt"),CHOOSE(ArtifactsInput!$N$35+1,15,18,21,24,27,30)*(1-EXP(-(0.2*B1230)*5)),0)+IF(AND(ArtifactsInput!$M$22,Inputs!$B$4&lt;&gt;"Chapter Hunt"),CHOOSE(ArtifactsInput!$N$22+1,10,12,14,16,18,20)*((0*(((0.15*B1230*5))^0/1)+1*(((0.15*B1230*5))^1/1)+2*(((0.15*B1230*5))^2/2)+3*(((0.15*B1230*5))^3/6)+4*(((0.15*B1230*5))^4/24)+5*(((0.15*B1230*5))^5/120))/((((0.15*B1230*5))^0/1)+(((0.15*B1230*5))^1/1)+(((0.15*B1230*5))^2/2)+(((0.15*B1230*5))^3/6)+(((0.15*B1230*5))^4/24)+(((0.15*B1230*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1206*(1-MIN(100,(Inputs!$B$9+((C1218=TRUE)*(F1218-Calc!F26))+B1226+(ArtifactsInput!$M$24-ArtifactsInput!$M$24)*CHOOSE(ArtifactsInput!$N$24+1,10,12,14,16,18,20)+(IF(AND(Inputs!$B$39&lt;&gt;"pvp",Inputs!$B$44=0),1,IF(IF(Inputs!$B$39="pvp",15,Inputs!$B$44)-(B1237)&lt;=0,1,MAX(0,IF(Inputs!$B$39="pvp",15,Inputs!$B$44)-MAX(5,B1237))/(IF(Inputs!$B$39="pvp",15,Inputs!$B$44)-(B1237))))*IF(AND(ArtifactsInput!$M$42,((Inputs!$B$9+((C1218=TRUE)*(F1218-Calc!F26))+B1226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1206*(MIN(100,(Inputs!$B$9+((C1218=TRUE)*(F1218-Calc!F26))+B1226+(ArtifactsInput!$M$24-ArtifactsInput!$M$24)*CHOOSE(ArtifactsInput!$N$24+1,10,12,14,16,18,20)+(IF(AND(Inputs!$B$39&lt;&gt;"pvp",Inputs!$B$44=0),1,IF(IF(Inputs!$B$39="pvp",15,Inputs!$B$44)-(B1237)&lt;=0,1,MAX(0,IF(Inputs!$B$39="pvp",15,Inputs!$B$44)-MAX(5,B1237))/(IF(Inputs!$B$39="pvp",15,Inputs!$B$44)-(B1237))))*IF(AND(ArtifactsInput!$M$42,((Inputs!$B$9+((C1218=TRUE)*(F1218-Calc!F26))+B1226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1206*(1-MIN(100,(Inputs!$B$9+((C1218=TRUE)*(F1218-Calc!F26))+B1226+(ArtifactsInput!$M$24-ArtifactsInput!$M$24)*CHOOSE(ArtifactsInput!$N$24+1,10,12,14,16,18,20)+(IF(AND(Inputs!$B$39&lt;&gt;"pvp",Inputs!$B$44=0),1,IF(IF(Inputs!$B$39="pvp",15,Inputs!$B$44)-(B1237)&lt;=0,1,MAX(0,IF(Inputs!$B$39="pvp",15,Inputs!$B$44)-MAX(5,B1237))/(IF(Inputs!$B$39="pvp",15,Inputs!$B$44)-(B1237))))*IF(AND(ArtifactsInput!$M$42,((Inputs!$B$9+((C1218=TRUE)*(F1218-Calc!F26))+B1226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1206*(MIN(100,(Inputs!$B$9+((C1218=TRUE)*(F1218-Calc!F26))+B1226+(ArtifactsInput!$M$24-ArtifactsInput!$M$24)*CHOOSE(ArtifactsInput!$N$24+1,10,12,14,16,18,20)+(IF(AND(Inputs!$B$39&lt;&gt;"pvp",Inputs!$B$44=0),1,IF(IF(Inputs!$B$39="pvp",15,Inputs!$B$44)-(B1237)&lt;=0,1,MAX(0,IF(Inputs!$B$39="pvp",15,Inputs!$B$44)-MAX(5,B1237))/(IF(Inputs!$B$39="pvp",15,Inputs!$B$44)-(B1237))))*IF(AND(ArtifactsInput!$M$42,((Inputs!$B$9+((C1218=TRUE)*(F1218-Calc!F26))+B1226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1206">
        <f>IF(C1206,(H1206*N1206*IF(AND(Inputs!$B$39&lt;&gt;"pvp",Inputs!$B$44&gt;0),((Skills!G14*((R1206-1)*IF(Skills!H14&gt;0,Skills!I14/Skills!H14,1)+IF(Skills!H14&gt;0,MIN(Skills!I14,MAX(0,MAX(0,Inputs!$B$44-B1237)-((R1206-1)*IF(Inputs!$B$39="pvp",15,MAX(0.1,Skills!D14-IF(TRUE=TRUE,Inputs!$B$32,0))))))/Skills!H14,1)))/Inputs!$B$44),G1206*Q1206))*IF(Inputs!$B$39="pvp",1,(1+(Inputs!$B$21+Skills!Q14+B1227+(IF(ArtifactsInput!$M$33,CHOOSE(ArtifactsInput!$N$33+1,30,36,42,48,54,60),0))+(IF(AND(ArtifactsInput!$M$35,Inputs!$B$4&lt;&gt;"Chapter Hunt"),CHOOSE(ArtifactsInput!$N$35+1,15,18,21,24,27,30)*(1-EXP(-(0.2*B1230)*5)),0)+IF(AND(ArtifactsInput!$M$22,Inputs!$B$4&lt;&gt;"Chapter Hunt"),CHOOSE(ArtifactsInput!$N$22+1,10,12,14,16,18,20)*((0*(((0.15*B1230*5))^0/1)+1*(((0.15*B1230*5))^1/1)+2*(((0.15*B1230*5))^2/2)+3*(((0.15*B1230*5))^3/6)+4*(((0.15*B1230*5))^4/24)+5*(((0.15*B1230*5))^5/120))/((((0.15*B1230*5))^0/1)+(((0.15*B1230*5))^1/1)+(((0.15*B1230*5))^2/2)+(((0.15*B1230*5))^3/6)+(((0.15*B1230*5))^4/24)+(((0.15*B1230*5))^5/120))),0)))/100)*(MIN(Skills!W14,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207">
      <c r="A1207">
        <f>Skills!A15</f>
        <v/>
      </c>
      <c r="B1207">
        <f>Skills!B15</f>
        <v/>
      </c>
      <c r="C1207">
        <f>Inputs!$B$3&gt;=107</f>
        <v/>
      </c>
      <c r="D1207">
        <f>IF(Skills!C15=1,60+Inputs!$B$25+Inputs!$B$29,IF(Skills!C15=2,90+Inputs!$B$26+Inputs!$B$29,IF(Skills!C15=3,120+Inputs!$B$27+Inputs!$B$29,MAX(0,(Inputs!$B$3-100)*3)+Inputs!$B$28+Inputs!$B$29)))</f>
        <v/>
      </c>
      <c r="E1207">
        <f>INDEX(FactorTable!$B$2:$Y$301, MATCH(ROUND(MIN(300,MAX(1,D1207)),0), FactorTable!$A$2:$A$301,0), Skills!M15+1)</f>
        <v/>
      </c>
      <c r="F1207">
        <f>IF(Skills!N15=TRUE,(Skills!L15/10)*(E1207/1000),Skills!L15/10)+Skills!O15</f>
        <v/>
      </c>
      <c r="G1207">
        <f>Skills!G15*IF(Skills!H15&gt;0,IF(Inputs!$B$39="pvp",MIN(Skills!I15,15),Skills!I15)/Skills!H15,1)</f>
        <v/>
      </c>
      <c r="H1207">
        <f>1-(1-Skills!J15/100)^Skills!K15</f>
        <v/>
      </c>
      <c r="I1207" t="inlineStr">
        <is>
          <t>1</t>
        </is>
      </c>
      <c r="J1207">
        <f>((Inputs!$B$6*(1+(Inputs!$B$7+1)/100))+(((Inputs!$B$12*(1+Inputs!$B$13/100))-(Inputs!$B$12*(1+Inputs!$B$13/100)))+0.25*(Inputs!$B$14-Inputs!$B$14))*(1+(Inputs!$B$7+1)/100))*(F1207/100)</f>
        <v/>
      </c>
      <c r="K1207">
        <f>J1207*(1+((Inputs!$B$12*(1+Inputs!$B$13/100))*0.01+Inputs!$B$14*0.0025)/100)*(1+Inputs!$B$15/100)*(1+Inputs!$B$16/100)*(5000/(6000+Inputs!$B$43*(1-(100*(1-(1-Inputs!$B$19/100)*(1-CHOOSE(ArtifactsInput!$N$40+1,5,6,7,8,9,10)/100)^(ArtifactsInput!$M$40-ArtifactsInput!$M$40)))/100)))*(1+(Inputs!$B$24+((C1223=TRUE)*(F1223-Calc!F31))+((C1210=TRUE)*(F1210-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15="CRUEL_STAB",Inputs!$B$17+((C1220=TRUE)*(F1220-Calc!F28))+((IF(AND(Inputs!$B$39&lt;&gt;"pvp",Inputs!$B$44=0),1,IF(IF(Inputs!$B$39="pvp",15,Inputs!$B$44)-(B1237)&lt;=0,1,MAX(0,IF(Inputs!$B$39="pvp",15,Inputs!$B$44)-MAX(5,B1237))/(IF(Inputs!$B$39="pvp",15,Inputs!$B$44)-(B1237))))*(IF(AND(ArtifactsInput!$M$42,((Inputs!$B$9+((C1218=TRUE)*(F1218-Calc!F26))+B1226+(ArtifactsInput!$M$24-ArtifactsInput!$M$24)*CHOOSE(ArtifactsInput!$N$24+1,10,12,14,16,18,20)+IF(ArtifactsInput!$M$10,CHOOSE(ArtifactsInput!$N$10+1,15,18,21,24,27,30)*(IF(Inputs!$B$39="pvp",MIN(15,15)/15,IF(AND(Inputs!$B$39&lt;&gt;"pvp",Inputs!$B$44&gt;0),MIN(15,Inputs!$B$44)/(Inputs!$B$44),0))),0)))&gt;=100),MIN(100,((Inputs!$B$9+((C1218=TRUE)*(F1218-Calc!F26))+B1226+(ArtifactsInput!$M$24-ArtifactsInput!$M$24)*CHOOSE(ArtifactsInput!$N$24+1,10,12,14,16,18,20)+IF(ArtifactsInput!$M$10,CHOOSE(ArtifactsInput!$N$10+1,15,18,21,24,27,30)*(IF(Inputs!$B$39="pvp",MIN(15,15)/15,IF(AND(Inputs!$B$39&lt;&gt;"pvp",Inputs!$B$44&gt;0),MIN(15,Inputs!$B$44)/(Inputs!$B$44),0))),0)))-100),0))*CHOOSE(ArtifactsInput!$N$42+1,0.6,0.72,0.84,0.96,1.08,1.2))),Inputs!$B$18+((C1221=TRUE)*(F1221-Calc!F29))+(IF(AND(Inputs!$B$39&lt;&gt;"pvp",Inputs!$B$44=0),1,IF(IF(Inputs!$B$39="pvp",15,Inputs!$B$44)-(B1237)&lt;=0,1,MAX(0,IF(Inputs!$B$39="pvp",15,Inputs!$B$44)-MAX(5,B1237))/(IF(Inputs!$B$39="pvp",15,Inputs!$B$44)-(B1237))))*IF(AND(ArtifactsInput!$M$42,((Inputs!$B$9+((C1218=TRUE)*(F1218-Calc!F26))+B1226+(ArtifactsInput!$M$24-ArtifactsInput!$M$24)*CHOOSE(ArtifactsInput!$N$24+1,10,12,14,16,18,20)+IF(ArtifactsInput!$M$10,CHOOSE(ArtifactsInput!$N$10+1,15,18,21,24,27,30)*(IF(Inputs!$B$39="pvp",MIN(15,15)/15,IF(AND(Inputs!$B$39&lt;&gt;"pvp",Inputs!$B$44&gt;0),MIN(15,Inputs!$B$44)/(Inputs!$B$44),0))),0)))&gt;=100),CHOOSE(ArtifactsInput!$N$42+1,40,48,56,64,72,80),0))))/100)*(((1+(((C1214=TRUE)*F1214*IF(AND(Inputs!$B$39&lt;&gt;"pvp",Inputs!$B$44&gt;0),(((R1214-1)*MIN((Skills!Y22*(1+Inputs!$B$34/100)),(1/Q1214))+MIN((Skills!Y22*(1+Inputs!$B$34/100)),MAX(0,Inputs!$B$44-((R1214-1)*(1/Q1214)))))/Inputs!$B$44),IF(Inputs!$B$39="pvp",MIN((Skills!Y22*(1+Inputs!$B$34/100)),15)/15,MIN(1,(Skills!Y22*(1+Inputs!$B$34/100))/(1/Q1214)))))+((C1195=TRUE)*F1195*3)+((C1197=TRUE)*F1197*(1-EXP(-0.75*B1230*5)))+((C1216=TRUE)*(F1216-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1203=TRUE)*F1203*IF(AND(Inputs!$B$39&lt;&gt;"pvp",Inputs!$B$44&gt;0),(((R1203-1)*MIN((Skills!Y11*(1+Inputs!$B$34/100)),(1/Q1203))+MIN((Skills!Y11*(1+Inputs!$B$34/100)),MAX(0,Inputs!$B$44-((R1203-1)*(1/Q1203)))))/Inputs!$B$44),IF(Inputs!$B$39="pvp",MIN((Skills!Y11*(1+Inputs!$B$34/100)),15)/15,MIN(1,(Skills!Y11*(1+Inputs!$B$34/100))/(1/Q1203)))))/100)*(1+((C1208=TRUE)*F1208*IF(AND(Inputs!$B$39&lt;&gt;"pvp",Inputs!$B$44&gt;0),(((R1208-1)*MIN((Skills!Y16*(1+Inputs!$B$34/100)),(1/Q1208))+MIN((Skills!Y16*(1+Inputs!$B$34/100)),MAX(0,Inputs!$B$44-((R1208-1)*(1/Q1208)))))/Inputs!$B$44),IF(Inputs!$B$39="pvp",MIN((Skills!Y16*(1+Inputs!$B$34/100)),15)/15,MIN(1,(Skills!Y16*(1+Inputs!$B$34/100))/(1/Q1208)))))/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1228*I1207)</f>
        <v/>
      </c>
      <c r="L1207">
        <f>K1207*(MIN(Inputs!$B$22+((C1217=TRUE)*(F1217-Calc!F25)),(Inputs!$B$23+((C1222=TRUE)*(F1222-Calc!F30))+IF(ArtifactsInput!$M$15,CHOOSE(ArtifactsInput!$N$15+1,25,30,35,40,45,50)/100*(Inputs!$B$11-Inputs!$B$11),0)))/100+(Inputs!$B$23+((C1222=TRUE)*(F1222-Calc!F30))+IF(ArtifactsInput!$M$15,CHOOSE(ArtifactsInput!$N$15+1,25,30,35,40,45,50)/100*(Inputs!$B$11-Inputs!$B$11),0))/100)/2</f>
        <v/>
      </c>
      <c r="M1207">
        <f>L1207*(1+(Inputs!$B$10+((C1219=TRUE)*(F1219-Calc!F27))+B1233+(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1207">
        <f>L1207*(1-MIN((Inputs!$B$9+((C1218=TRUE)*(F1218-Calc!F26))+B1226+(ArtifactsInput!$M$24-ArtifactsInput!$M$24)*CHOOSE(ArtifactsInput!$N$24+1,10,12,14,16,18,20)+(IF(AND(Inputs!$B$39&lt;&gt;"pvp",Inputs!$B$44=0),1,IF(IF(Inputs!$B$39="pvp",15,Inputs!$B$44)-(B1237)&lt;=0,1,MAX(0,IF(Inputs!$B$39="pvp",15,Inputs!$B$44)-MAX(5,B1237))/(IF(Inputs!$B$39="pvp",15,Inputs!$B$44)-(B1237))))*IF(AND(ArtifactsInput!$M$42,((Inputs!$B$9+((C1218=TRUE)*(F1218-Calc!F26))+B1226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1207*(MIN((Inputs!$B$9+((C1218=TRUE)*(F1218-Calc!F26))+B1226+(ArtifactsInput!$M$24-ArtifactsInput!$M$24)*CHOOSE(ArtifactsInput!$N$24+1,10,12,14,16,18,20)+(IF(AND(Inputs!$B$39&lt;&gt;"pvp",Inputs!$B$44=0),1,IF(IF(Inputs!$B$39="pvp",15,Inputs!$B$44)-(B1237)&lt;=0,1,MAX(0,IF(Inputs!$B$39="pvp",15,Inputs!$B$44)-MAX(5,B1237))/(IF(Inputs!$B$39="pvp",15,Inputs!$B$44)-(B1237))))*IF(AND(ArtifactsInput!$M$42,((Inputs!$B$9+((C1218=TRUE)*(F1218-Calc!F26))+B1226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207">
        <f>(1-Summary!$B$11)*T1207+Summary!$B$11*V1207</f>
        <v/>
      </c>
      <c r="P1207">
        <f>IF(B1238=0,0,O1207/B1238)</f>
        <v/>
      </c>
      <c r="Q1207">
        <f>IFERROR(1/IF(Inputs!$B$39="pvp",15,MAX(0.1,Skills!D15-IF(TRUE=TRUE,Inputs!$B$32,0))),0)</f>
        <v/>
      </c>
      <c r="R1207">
        <f>IF(AND(Inputs!$B$39&lt;&gt;"pvp",Inputs!$B$44&gt;0),IF(MAX(0,Inputs!$B$44-B1237)&lt;=0,0,(INT(MAX(0,Inputs!$B$44-B1237)/IF(Inputs!$B$39="pvp",15,MAX(0.1,Skills!D15-IF(TRUE=TRUE,Inputs!$B$32,0))))+1)),0)</f>
        <v/>
      </c>
      <c r="S1207">
        <f>IFERROR(O1207/N1207,0)</f>
        <v/>
      </c>
      <c r="T1207">
        <f>IF(C1207,(H1207*N1207*IF(AND(Inputs!$B$39&lt;&gt;"pvp",Inputs!$B$44&gt;0),((Skills!G15*((R1207-1)*IF(Skills!H15&gt;0,Skills!I15/Skills!H15,1)+IF(Skills!H15&gt;0,MIN(Skills!I15,MAX(0,MAX(0,Inputs!$B$44-B1237)-((R1207-1)*IF(Inputs!$B$39="pvp",15,MAX(0.1,Skills!D15-IF(TRUE=TRUE,Inputs!$B$32,0))))))/Skills!H15,1)))/Inputs!$B$44),G1207*Q1207))*IF(Inputs!$B$39="pvp",1,1+(Inputs!$B$20+0+Skills!P15+B1227+(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Hunt"),CHOOSE(ArtifactsInput!$N$35+1,15,18,21,24,27,30)*(1-EXP(-(0.2*B1230)*5)),0)+IF(AND(ArtifactsInput!$M$22,Inputs!$B$4&lt;&gt;"Chapter Hunt"),CHOOSE(ArtifactsInput!$N$22+1,10,12,14,16,18,20)*((0*(((0.15*B1230*5))^0/1)+1*(((0.15*B1230*5))^1/1)+2*(((0.15*B1230*5))^2/2)+3*(((0.15*B1230*5))^3/6)+4*(((0.15*B1230*5))^4/24)+5*(((0.15*B1230*5))^5/120))/((((0.15*B1230*5))^0/1)+(((0.15*B1230*5))^1/1)+(((0.15*B1230*5))^2/2)+(((0.15*B1230*5))^3/6)+(((0.15*B1230*5))^4/24)+(((0.15*B1230*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1207*(1-MIN(100,(Inputs!$B$9+((C1218=TRUE)*(F1218-Calc!F26))+B1226+(ArtifactsInput!$M$24-ArtifactsInput!$M$24)*CHOOSE(ArtifactsInput!$N$24+1,10,12,14,16,18,20)+(IF(AND(Inputs!$B$39&lt;&gt;"pvp",Inputs!$B$44=0),1,IF(IF(Inputs!$B$39="pvp",15,Inputs!$B$44)-(B1237)&lt;=0,1,MAX(0,IF(Inputs!$B$39="pvp",15,Inputs!$B$44)-MAX(5,B1237))/(IF(Inputs!$B$39="pvp",15,Inputs!$B$44)-(B1237))))*IF(AND(ArtifactsInput!$M$42,((Inputs!$B$9+((C1218=TRUE)*(F1218-Calc!F26))+B1226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1207*(MIN(100,(Inputs!$B$9+((C1218=TRUE)*(F1218-Calc!F26))+B1226+(ArtifactsInput!$M$24-ArtifactsInput!$M$24)*CHOOSE(ArtifactsInput!$N$24+1,10,12,14,16,18,20)+(IF(AND(Inputs!$B$39&lt;&gt;"pvp",Inputs!$B$44=0),1,IF(IF(Inputs!$B$39="pvp",15,Inputs!$B$44)-(B1237)&lt;=0,1,MAX(0,IF(Inputs!$B$39="pvp",15,Inputs!$B$44)-MAX(5,B1237))/(IF(Inputs!$B$39="pvp",15,Inputs!$B$44)-(B1237))))*IF(AND(ArtifactsInput!$M$42,((Inputs!$B$9+((C1218=TRUE)*(F1218-Calc!F26))+B1226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1207*(1-MIN(100,(Inputs!$B$9+((C1218=TRUE)*(F1218-Calc!F26))+B1226+(ArtifactsInput!$M$24-ArtifactsInput!$M$24)*CHOOSE(ArtifactsInput!$N$24+1,10,12,14,16,18,20)+(IF(AND(Inputs!$B$39&lt;&gt;"pvp",Inputs!$B$44=0),1,IF(IF(Inputs!$B$39="pvp",15,Inputs!$B$44)-(B1237)&lt;=0,1,MAX(0,IF(Inputs!$B$39="pvp",15,Inputs!$B$44)-MAX(5,B1237))/(IF(Inputs!$B$39="pvp",15,Inputs!$B$44)-(B1237))))*IF(AND(ArtifactsInput!$M$42,((Inputs!$B$9+((C1218=TRUE)*(F1218-Calc!F26))+B1226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1207*(MIN(100,(Inputs!$B$9+((C1218=TRUE)*(F1218-Calc!F26))+B1226+(ArtifactsInput!$M$24-ArtifactsInput!$M$24)*CHOOSE(ArtifactsInput!$N$24+1,10,12,14,16,18,20)+(IF(AND(Inputs!$B$39&lt;&gt;"pvp",Inputs!$B$44=0),1,IF(IF(Inputs!$B$39="pvp",15,Inputs!$B$44)-(B1237)&lt;=0,1,MAX(0,IF(Inputs!$B$39="pvp",15,Inputs!$B$44)-MAX(5,B1237))/(IF(Inputs!$B$39="pvp",15,Inputs!$B$44)-(B1237))))*IF(AND(ArtifactsInput!$M$42,((Inputs!$B$9+((C1218=TRUE)*(F1218-Calc!F26))+B1226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1207">
        <f>IF(C1207,(H1207*N1207*IF(AND(Inputs!$B$39&lt;&gt;"pvp",Inputs!$B$44&gt;0),((Skills!G15*((R1207-1)*IF(Skills!H15&gt;0,Skills!I15/Skills!H15,1)+IF(Skills!H15&gt;0,MIN(Skills!I15,MAX(0,MAX(0,Inputs!$B$44-B1237)-((R1207-1)*IF(Inputs!$B$39="pvp",15,MAX(0.1,Skills!D15-IF(TRUE=TRUE,Inputs!$B$32,0))))))/Skills!H15,1)))/Inputs!$B$44),G1207*Q1207))*IF(Inputs!$B$39="pvp",1,(1+(Inputs!$B$21+Skills!Q15+B1227+(IF(ArtifactsInput!$M$33,CHOOSE(ArtifactsInput!$N$33+1,30,36,42,48,54,60),0))+(IF(AND(ArtifactsInput!$M$35,Inputs!$B$4&lt;&gt;"Chapter Hunt"),CHOOSE(ArtifactsInput!$N$35+1,15,18,21,24,27,30)*(1-EXP(-(0.2*B1230)*5)),0)+IF(AND(ArtifactsInput!$M$22,Inputs!$B$4&lt;&gt;"Chapter Hunt"),CHOOSE(ArtifactsInput!$N$22+1,10,12,14,16,18,20)*((0*(((0.15*B1230*5))^0/1)+1*(((0.15*B1230*5))^1/1)+2*(((0.15*B1230*5))^2/2)+3*(((0.15*B1230*5))^3/6)+4*(((0.15*B1230*5))^4/24)+5*(((0.15*B1230*5))^5/120))/((((0.15*B1230*5))^0/1)+(((0.15*B1230*5))^1/1)+(((0.15*B1230*5))^2/2)+(((0.15*B1230*5))^3/6)+(((0.15*B1230*5))^4/24)+(((0.15*B1230*5))^5/120))),0)))/100)*(MIN(MIN(5,0.5*IF(Inputs!$B$3&gt;=75,0.75,0.5)*B1230*(1/Q1196))*Skills!V15,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208">
      <c r="A1208">
        <f>Skills!A16</f>
        <v/>
      </c>
      <c r="B1208">
        <f>Skills!B16</f>
        <v/>
      </c>
      <c r="C1208">
        <f>Inputs!$B$3&gt;=110</f>
        <v/>
      </c>
      <c r="D1208">
        <f>IF(Skills!C16=1,60+Inputs!$B$25+Inputs!$B$29,IF(Skills!C16=2,90+Inputs!$B$26+Inputs!$B$29,IF(Skills!C16=3,120+Inputs!$B$27+Inputs!$B$29,MAX(0,(Inputs!$B$3-100)*3)+Inputs!$B$28+Inputs!$B$29)))</f>
        <v/>
      </c>
      <c r="E1208">
        <f>INDEX(FactorTable!$B$2:$Y$301, MATCH(ROUND(MIN(300,MAX(1,D1208)),0), FactorTable!$A$2:$A$301,0), Skills!M16+1)</f>
        <v/>
      </c>
      <c r="F1208">
        <f>IF(Skills!N16=TRUE,(Skills!L16/10)*(E1208/1000),Skills!L16/10)+Skills!O16</f>
        <v/>
      </c>
      <c r="G1208">
        <f>Skills!G16*IF(Skills!H16&gt;0,IF(Inputs!$B$39="pvp",MIN(Skills!I16,15),Skills!I16)/Skills!H16,1)</f>
        <v/>
      </c>
      <c r="H1208">
        <f>1-(1-Skills!J16/100)^Skills!K16</f>
        <v/>
      </c>
      <c r="I1208" t="inlineStr">
        <is>
          <t>1</t>
        </is>
      </c>
      <c r="J1208" t="inlineStr"/>
      <c r="K1208" t="inlineStr"/>
      <c r="L1208" t="inlineStr"/>
      <c r="M1208" t="inlineStr"/>
      <c r="N1208" t="inlineStr"/>
      <c r="O1208">
        <f>(1-Summary!$B$11)*T1208+Summary!$B$11*V1208</f>
        <v/>
      </c>
      <c r="P1208">
        <f>IF(B1238=0,0,O1208/B1238)</f>
        <v/>
      </c>
      <c r="Q1208">
        <f>IFERROR(1/IF(Inputs!$B$39="pvp",15,MAX(0.1,Skills!D16-IF(TRUE=TRUE,Inputs!$B$32,0))),0)</f>
        <v/>
      </c>
      <c r="R1208">
        <f>IF(AND(Inputs!$B$39&lt;&gt;"pvp",Inputs!$B$44&gt;0),IF(Inputs!$B$44&lt;=0,0,(INT(Inputs!$B$44/IF(Inputs!$B$39="pvp",15,MAX(0.1,Skills!D16-IF(TRUE=TRUE,Inputs!$B$32,0))))+1)),0)</f>
        <v/>
      </c>
      <c r="S1208">
        <f>IFERROR(O1208/N1208,0)</f>
        <v/>
      </c>
      <c r="T1208" t="n">
        <v>0</v>
      </c>
      <c r="V1208" t="n">
        <v>0</v>
      </c>
    </row>
    <row r="1209">
      <c r="A1209">
        <f>Skills!A17</f>
        <v/>
      </c>
      <c r="B1209">
        <f>Skills!B17</f>
        <v/>
      </c>
      <c r="C1209">
        <f>Inputs!$B$3&gt;=115</f>
        <v/>
      </c>
      <c r="D1209">
        <f>IF(Skills!C17=1,60+Inputs!$B$25+Inputs!$B$29,IF(Skills!C17=2,90+Inputs!$B$26+Inputs!$B$29,IF(Skills!C17=3,120+Inputs!$B$27+Inputs!$B$29,MAX(0,(Inputs!$B$3-100)*3)+Inputs!$B$28+Inputs!$B$29)))</f>
        <v/>
      </c>
      <c r="E1209">
        <f>INDEX(FactorTable!$B$2:$Y$301, MATCH(ROUND(MIN(300,MAX(1,D1209)),0), FactorTable!$A$2:$A$301,0), Skills!M17+1)</f>
        <v/>
      </c>
      <c r="F1209">
        <f>IF(Skills!N17=TRUE,(Skills!L17/10)*(E1209/1000),Skills!L17/10)+Skills!O17</f>
        <v/>
      </c>
      <c r="G1209">
        <f>Skills!G17*IF(Skills!H17&gt;0,IF(Inputs!$B$39="pvp",MIN(Skills!I17,15),Skills!I17)/Skills!H17,1)</f>
        <v/>
      </c>
      <c r="H1209">
        <f>1-(1-Skills!J17/100)^Skills!K17</f>
        <v/>
      </c>
      <c r="I1209" t="inlineStr">
        <is>
          <t>1</t>
        </is>
      </c>
      <c r="J1209">
        <f>((Inputs!$B$6*(1+(Inputs!$B$7+1)/100))+(((Inputs!$B$12*(1+Inputs!$B$13/100))-(Inputs!$B$12*(1+Inputs!$B$13/100)))+0.25*(Inputs!$B$14-Inputs!$B$14))*(1+(Inputs!$B$7+1)/100))*(F1209/100)</f>
        <v/>
      </c>
      <c r="K1209">
        <f>J1209*(1+((Inputs!$B$12*(1+Inputs!$B$13/100))*0.01+Inputs!$B$14*0.0025)/100)*(1+Inputs!$B$15/100)*(1+Inputs!$B$16/100)*(5000/(6000+Inputs!$B$43*(1-(100*(1-(1-Inputs!$B$19/100)*(1-CHOOSE(ArtifactsInput!$N$40+1,5,6,7,8,9,10)/100)^(ArtifactsInput!$M$40-ArtifactsInput!$M$40)))/100)))*(1+(Inputs!$B$24+((C1223=TRUE)*(F1223-Calc!F31))+((C1210=TRUE)*(F1210-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17="CRUEL_STAB",Inputs!$B$17+((C1220=TRUE)*(F1220-Calc!F28))+((IF(AND(Inputs!$B$39&lt;&gt;"pvp",Inputs!$B$44=0),1,IF(IF(Inputs!$B$39="pvp",15,Inputs!$B$44)-(B1237)&lt;=0,1,MAX(0,IF(Inputs!$B$39="pvp",15,Inputs!$B$44)-MAX(5,B1237))/(IF(Inputs!$B$39="pvp",15,Inputs!$B$44)-(B1237))))*(IF(AND(ArtifactsInput!$M$42,((Inputs!$B$9+((C1218=TRUE)*(F1218-Calc!F26))+B1226+(ArtifactsInput!$M$24-ArtifactsInput!$M$24)*CHOOSE(ArtifactsInput!$N$24+1,10,12,14,16,18,20)+IF(ArtifactsInput!$M$10,CHOOSE(ArtifactsInput!$N$10+1,15,18,21,24,27,30)*(IF(Inputs!$B$39="pvp",MIN(15,15)/15,IF(AND(Inputs!$B$39&lt;&gt;"pvp",Inputs!$B$44&gt;0),MIN(15,Inputs!$B$44)/(Inputs!$B$44),0))),0)))&gt;=100),MIN(100,((Inputs!$B$9+((C1218=TRUE)*(F1218-Calc!F26))+B1226+(ArtifactsInput!$M$24-ArtifactsInput!$M$24)*CHOOSE(ArtifactsInput!$N$24+1,10,12,14,16,18,20)+IF(ArtifactsInput!$M$10,CHOOSE(ArtifactsInput!$N$10+1,15,18,21,24,27,30)*(IF(Inputs!$B$39="pvp",MIN(15,15)/15,IF(AND(Inputs!$B$39&lt;&gt;"pvp",Inputs!$B$44&gt;0),MIN(15,Inputs!$B$44)/(Inputs!$B$44),0))),0)))-100),0))*CHOOSE(ArtifactsInput!$N$42+1,0.6,0.72,0.84,0.96,1.08,1.2))),Inputs!$B$18+((C1221=TRUE)*(F1221-Calc!F29))+(IF(AND(Inputs!$B$39&lt;&gt;"pvp",Inputs!$B$44=0),1,IF(IF(Inputs!$B$39="pvp",15,Inputs!$B$44)-(B1237)&lt;=0,1,MAX(0,IF(Inputs!$B$39="pvp",15,Inputs!$B$44)-MAX(5,B1237))/(IF(Inputs!$B$39="pvp",15,Inputs!$B$44)-(B1237))))*IF(AND(ArtifactsInput!$M$42,((Inputs!$B$9+((C1218=TRUE)*(F1218-Calc!F26))+B1226+(ArtifactsInput!$M$24-ArtifactsInput!$M$24)*CHOOSE(ArtifactsInput!$N$24+1,10,12,14,16,18,20)+IF(ArtifactsInput!$M$10,CHOOSE(ArtifactsInput!$N$10+1,15,18,21,24,27,30)*(IF(Inputs!$B$39="pvp",MIN(15,15)/15,IF(AND(Inputs!$B$39&lt;&gt;"pvp",Inputs!$B$44&gt;0),MIN(15,Inputs!$B$44)/(Inputs!$B$44),0))),0)))&gt;=100),CHOOSE(ArtifactsInput!$N$42+1,40,48,56,64,72,80),0))))/100)*(((1+(((C1214=TRUE)*F1214*IF(AND(Inputs!$B$39&lt;&gt;"pvp",Inputs!$B$44&gt;0),(((R1214-1)*MIN((Skills!Y22*(1+Inputs!$B$34/100)),(1/Q1214))+MIN((Skills!Y22*(1+Inputs!$B$34/100)),MAX(0,Inputs!$B$44-((R1214-1)*(1/Q1214)))))/Inputs!$B$44),IF(Inputs!$B$39="pvp",MIN((Skills!Y22*(1+Inputs!$B$34/100)),15)/15,MIN(1,(Skills!Y22*(1+Inputs!$B$34/100))/(1/Q1214)))))+((C1195=TRUE)*F1195*3)+((C1197=TRUE)*F1197*(1-EXP(-0.75*B1230*5)))+((C1216=TRUE)*(F1216-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1203=TRUE)*F1203*IF(AND(Inputs!$B$39&lt;&gt;"pvp",Inputs!$B$44&gt;0),(((R1203-1)*MIN((Skills!Y11*(1+Inputs!$B$34/100)),(1/Q1203))+MIN((Skills!Y11*(1+Inputs!$B$34/100)),MAX(0,Inputs!$B$44-((R1203-1)*(1/Q1203)))))/Inputs!$B$44),IF(Inputs!$B$39="pvp",MIN((Skills!Y11*(1+Inputs!$B$34/100)),15)/15,MIN(1,(Skills!Y11*(1+Inputs!$B$34/100))/(1/Q1203)))))/100)*(1+((C1208=TRUE)*F1208*IF(AND(Inputs!$B$39&lt;&gt;"pvp",Inputs!$B$44&gt;0),(((R1208-1)*MIN((Skills!Y16*(1+Inputs!$B$34/100)),(1/Q1208))+MIN((Skills!Y16*(1+Inputs!$B$34/100)),MAX(0,Inputs!$B$44-((R1208-1)*(1/Q1208)))))/Inputs!$B$44),IF(Inputs!$B$39="pvp",MIN((Skills!Y16*(1+Inputs!$B$34/100)),15)/15,MIN(1,(Skills!Y16*(1+Inputs!$B$34/100))/(1/Q1208)))))/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1228*I1209)</f>
        <v/>
      </c>
      <c r="L1209">
        <f>K1209*(MIN(Inputs!$B$22+((C1217=TRUE)*(F1217-Calc!F25)),(Inputs!$B$23+((C1222=TRUE)*(F1222-Calc!F30))+IF(ArtifactsInput!$M$15,CHOOSE(ArtifactsInput!$N$15+1,25,30,35,40,45,50)/100*(Inputs!$B$11-Inputs!$B$11),0)))/100+(Inputs!$B$23+((C1222=TRUE)*(F1222-Calc!F30))+IF(ArtifactsInput!$M$15,CHOOSE(ArtifactsInput!$N$15+1,25,30,35,40,45,50)/100*(Inputs!$B$11-Inputs!$B$11),0))/100)/2</f>
        <v/>
      </c>
      <c r="M1209">
        <f>L1209*(1+(Inputs!$B$10+((C1219=TRUE)*(F1219-Calc!F27))+B1233+(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1209">
        <f>L1209*(1-MIN((Inputs!$B$9+((C1218=TRUE)*(F1218-Calc!F26))+B1226+(ArtifactsInput!$M$24-ArtifactsInput!$M$24)*CHOOSE(ArtifactsInput!$N$24+1,10,12,14,16,18,20)+(IF(AND(Inputs!$B$39&lt;&gt;"pvp",Inputs!$B$44=0),1,IF(IF(Inputs!$B$39="pvp",15,Inputs!$B$44)-(B1237)&lt;=0,1,MAX(0,IF(Inputs!$B$39="pvp",15,Inputs!$B$44)-MAX(5,B1237))/(IF(Inputs!$B$39="pvp",15,Inputs!$B$44)-(B1237))))*IF(AND(ArtifactsInput!$M$42,((Inputs!$B$9+((C1218=TRUE)*(F1218-Calc!F26))+B1226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1209*(MIN((Inputs!$B$9+((C1218=TRUE)*(F1218-Calc!F26))+B1226+(ArtifactsInput!$M$24-ArtifactsInput!$M$24)*CHOOSE(ArtifactsInput!$N$24+1,10,12,14,16,18,20)+(IF(AND(Inputs!$B$39&lt;&gt;"pvp",Inputs!$B$44=0),1,IF(IF(Inputs!$B$39="pvp",15,Inputs!$B$44)-(B1237)&lt;=0,1,MAX(0,IF(Inputs!$B$39="pvp",15,Inputs!$B$44)-MAX(5,B1237))/(IF(Inputs!$B$39="pvp",15,Inputs!$B$44)-(B1237))))*IF(AND(ArtifactsInput!$M$42,((Inputs!$B$9+((C1218=TRUE)*(F1218-Calc!F26))+B1226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209">
        <f>(1-Summary!$B$11)*T1209+Summary!$B$11*V1209</f>
        <v/>
      </c>
      <c r="P1209">
        <f>IF(B1238=0,0,O1209/B1238)</f>
        <v/>
      </c>
      <c r="Q1209" t="n">
        <v>0</v>
      </c>
      <c r="R1209" t="n">
        <v>0</v>
      </c>
      <c r="S1209">
        <f>IFERROR(O1209/N1209,0)</f>
        <v/>
      </c>
      <c r="T1209">
        <f>IF(C1209,(Inputs!$B$38*0.2*N1209)*IF(Inputs!$B$39="pvp",1,1+(Inputs!$B$20+0+Skills!P17+B1227+(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Hunt"),CHOOSE(ArtifactsInput!$N$35+1,15,18,21,24,27,30)*(1-EXP(-(0.2*B1230)*5)),0)+IF(AND(ArtifactsInput!$M$22,Inputs!$B$4&lt;&gt;"Chapter Hunt"),CHOOSE(ArtifactsInput!$N$22+1,10,12,14,16,18,20)*((0*(((0.15*B1230*5))^0/1)+1*(((0.15*B1230*5))^1/1)+2*(((0.15*B1230*5))^2/2)+3*(((0.15*B1230*5))^3/6)+4*(((0.15*B1230*5))^4/24)+5*(((0.15*B1230*5))^5/120))/((((0.15*B1230*5))^0/1)+(((0.15*B1230*5))^1/1)+(((0.15*B1230*5))^2/2)+(((0.15*B1230*5))^3/6)+(((0.15*B1230*5))^4/24)+(((0.15*B1230*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1209*(1-MIN(100,(Inputs!$B$9+((C1218=TRUE)*(F1218-Calc!F26))+B1226+(ArtifactsInput!$M$24-ArtifactsInput!$M$24)*CHOOSE(ArtifactsInput!$N$24+1,10,12,14,16,18,20)+(IF(AND(Inputs!$B$39&lt;&gt;"pvp",Inputs!$B$44=0),1,IF(IF(Inputs!$B$39="pvp",15,Inputs!$B$44)-(B1237)&lt;=0,1,MAX(0,IF(Inputs!$B$39="pvp",15,Inputs!$B$44)-MAX(5,B1237))/(IF(Inputs!$B$39="pvp",15,Inputs!$B$44)-(B1237))))*IF(AND(ArtifactsInput!$M$42,((Inputs!$B$9+((C1218=TRUE)*(F1218-Calc!F26))+B1226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1209*(MIN(100,(Inputs!$B$9+((C1218=TRUE)*(F1218-Calc!F26))+B1226+(ArtifactsInput!$M$24-ArtifactsInput!$M$24)*CHOOSE(ArtifactsInput!$N$24+1,10,12,14,16,18,20)+(IF(AND(Inputs!$B$39&lt;&gt;"pvp",Inputs!$B$44=0),1,IF(IF(Inputs!$B$39="pvp",15,Inputs!$B$44)-(B1237)&lt;=0,1,MAX(0,IF(Inputs!$B$39="pvp",15,Inputs!$B$44)-MAX(5,B1237))/(IF(Inputs!$B$39="pvp",15,Inputs!$B$44)-(B1237))))*IF(AND(ArtifactsInput!$M$42,((Inputs!$B$9+((C1218=TRUE)*(F1218-Calc!F26))+B1226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1209*(1-MIN(100,(Inputs!$B$9+((C1218=TRUE)*(F1218-Calc!F26))+B1226+(ArtifactsInput!$M$24-ArtifactsInput!$M$24)*CHOOSE(ArtifactsInput!$N$24+1,10,12,14,16,18,20)+(IF(AND(Inputs!$B$39&lt;&gt;"pvp",Inputs!$B$44=0),1,IF(IF(Inputs!$B$39="pvp",15,Inputs!$B$44)-(B1237)&lt;=0,1,MAX(0,IF(Inputs!$B$39="pvp",15,Inputs!$B$44)-MAX(5,B1237))/(IF(Inputs!$B$39="pvp",15,Inputs!$B$44)-(B1237))))*IF(AND(ArtifactsInput!$M$42,((Inputs!$B$9+((C1218=TRUE)*(F1218-Calc!F26))+B1226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1209*(MIN(100,(Inputs!$B$9+((C1218=TRUE)*(F1218-Calc!F26))+B1226+(ArtifactsInput!$M$24-ArtifactsInput!$M$24)*CHOOSE(ArtifactsInput!$N$24+1,10,12,14,16,18,20)+(IF(AND(Inputs!$B$39&lt;&gt;"pvp",Inputs!$B$44=0),1,IF(IF(Inputs!$B$39="pvp",15,Inputs!$B$44)-(B1237)&lt;=0,1,MAX(0,IF(Inputs!$B$39="pvp",15,Inputs!$B$44)-MAX(5,B1237))/(IF(Inputs!$B$39="pvp",15,Inputs!$B$44)-(B1237))))*IF(AND(ArtifactsInput!$M$42,((Inputs!$B$9+((C1218=TRUE)*(F1218-Calc!F26))+B1226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1209">
        <f>IF(C1209,(Inputs!$B$38*0.2*N1209)*IF(Inputs!$B$39="pvp",1,(1+(Inputs!$B$21+Skills!Q17+B1227+(IF(ArtifactsInput!$M$33,CHOOSE(ArtifactsInput!$N$33+1,30,36,42,48,54,60),0))+(IF(AND(ArtifactsInput!$M$35,Inputs!$B$4&lt;&gt;"Chapter Hunt"),CHOOSE(ArtifactsInput!$N$35+1,15,18,21,24,27,30)*(1-EXP(-(0.2*B1230)*5)),0)+IF(AND(ArtifactsInput!$M$22,Inputs!$B$4&lt;&gt;"Chapter Hunt"),CHOOSE(ArtifactsInput!$N$22+1,10,12,14,16,18,20)*((0*(((0.15*B1230*5))^0/1)+1*(((0.15*B1230*5))^1/1)+2*(((0.15*B1230*5))^2/2)+3*(((0.15*B1230*5))^3/6)+4*(((0.15*B1230*5))^4/24)+5*(((0.15*B1230*5))^5/120))/((((0.15*B1230*5))^0/1)+(((0.15*B1230*5))^1/1)+(((0.15*B1230*5))^2/2)+(((0.15*B1230*5))^3/6)+(((0.15*B1230*5))^4/24)+(((0.15*B1230*5))^5/120))),0)))/100)*(MIN(Skills!W17,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210">
      <c r="A1210">
        <f>Skills!A18</f>
        <v/>
      </c>
      <c r="B1210">
        <f>Skills!B18</f>
        <v/>
      </c>
      <c r="C1210">
        <f>Inputs!$B$3&gt;=115</f>
        <v/>
      </c>
      <c r="D1210">
        <f>IF(Skills!C18=1,60+Inputs!$B$25+Inputs!$B$29,IF(Skills!C18=2,90+Inputs!$B$26+Inputs!$B$29,IF(Skills!C18=3,120+Inputs!$B$27+Inputs!$B$29,MAX(0,(Inputs!$B$3-100)*3)+Inputs!$B$28+Inputs!$B$29)))</f>
        <v/>
      </c>
      <c r="E1210">
        <f>INDEX(FactorTable!$B$2:$Y$301, MATCH(ROUND(MIN(300,MAX(1,D1210)),0), FactorTable!$A$2:$A$301,0), Skills!M18+1)</f>
        <v/>
      </c>
      <c r="F1210">
        <f>IF(Skills!N18=TRUE,(Skills!L18/10)*(E1210/1000),Skills!L18/10)+Skills!O18</f>
        <v/>
      </c>
      <c r="G1210">
        <f>Skills!G18*IF(Skills!H18&gt;0,IF(Inputs!$B$39="pvp",MIN(Skills!I18,15),Skills!I18)/Skills!H18,1)</f>
        <v/>
      </c>
      <c r="H1210">
        <f>1-(1-Skills!J18/100)^Skills!K18</f>
        <v/>
      </c>
      <c r="I1210" t="inlineStr">
        <is>
          <t>1</t>
        </is>
      </c>
      <c r="J1210" t="inlineStr"/>
      <c r="K1210" t="inlineStr"/>
      <c r="L1210" t="inlineStr"/>
      <c r="M1210" t="inlineStr"/>
      <c r="N1210" t="inlineStr"/>
      <c r="O1210">
        <f>(1-Summary!$B$11)*T1210+Summary!$B$11*V1210</f>
        <v/>
      </c>
      <c r="P1210">
        <f>IF(B1238=0,0,O1210/B1238)</f>
        <v/>
      </c>
      <c r="Q1210" t="n">
        <v>0</v>
      </c>
      <c r="R1210" t="n">
        <v>0</v>
      </c>
      <c r="S1210">
        <f>IFERROR(O1210/N1210,0)</f>
        <v/>
      </c>
      <c r="T1210" t="n">
        <v>0</v>
      </c>
      <c r="V1210" t="n">
        <v>0</v>
      </c>
    </row>
    <row r="1211">
      <c r="A1211">
        <f>Skills!A19</f>
        <v/>
      </c>
      <c r="B1211">
        <f>Skills!B19</f>
        <v/>
      </c>
      <c r="C1211">
        <f>Inputs!$B$3&gt;=100</f>
        <v/>
      </c>
      <c r="D1211">
        <f>IF(Skills!C19=1,60+Inputs!$B$25+Inputs!$B$29,IF(Skills!C19=2,90+Inputs!$B$26+Inputs!$B$29,IF(Skills!C19=3,120+Inputs!$B$27+Inputs!$B$29,MAX(0,(Inputs!$B$3-100)*3)+Inputs!$B$28+Inputs!$B$29)))</f>
        <v/>
      </c>
      <c r="E1211">
        <f>INDEX(FactorTable!$B$2:$Y$301, MATCH(ROUND(MIN(300,MAX(1,D1211)),0), FactorTable!$A$2:$A$301,0), Skills!M19+1)</f>
        <v/>
      </c>
      <c r="F1211">
        <f>IF(Skills!N19=TRUE,(Skills!L19/10)*(E1211/1000),Skills!L19/10)+Skills!O19</f>
        <v/>
      </c>
      <c r="G1211">
        <f>Skills!G19*IF(Skills!H19&gt;0,IF(Inputs!$B$39="pvp",MIN(Skills!I19,15),Skills!I19)/Skills!H19,1)</f>
        <v/>
      </c>
      <c r="H1211">
        <f>1-(1-Skills!J19/100)^Skills!K19</f>
        <v/>
      </c>
      <c r="I1211" t="inlineStr">
        <is>
          <t>1</t>
        </is>
      </c>
      <c r="J1211" t="inlineStr"/>
      <c r="K1211" t="inlineStr"/>
      <c r="L1211" t="inlineStr"/>
      <c r="M1211" t="inlineStr"/>
      <c r="N1211" t="inlineStr"/>
      <c r="O1211">
        <f>(1-Summary!$B$11)*T1211+Summary!$B$11*V1211</f>
        <v/>
      </c>
      <c r="P1211">
        <f>IF(B1238=0,0,O1211/B1238)</f>
        <v/>
      </c>
      <c r="Q1211" t="n">
        <v>0</v>
      </c>
      <c r="R1211" t="n">
        <v>0</v>
      </c>
      <c r="S1211">
        <f>IFERROR(O1211/N1211,0)</f>
        <v/>
      </c>
      <c r="T1211" t="n">
        <v>0</v>
      </c>
      <c r="V1211" t="n">
        <v>0</v>
      </c>
    </row>
    <row r="1212">
      <c r="A1212">
        <f>Skills!A20</f>
        <v/>
      </c>
      <c r="B1212">
        <f>Skills!B20</f>
        <v/>
      </c>
      <c r="C1212">
        <f>TRUE</f>
        <v/>
      </c>
      <c r="D1212">
        <f>IF(Skills!C20=1,60+Inputs!$B$25+Inputs!$B$29,IF(Skills!C20=2,90+Inputs!$B$26+Inputs!$B$29,IF(Skills!C20=3,120+Inputs!$B$27+Inputs!$B$29,MAX(0,(Inputs!$B$3-100)*3)+Inputs!$B$28+Inputs!$B$29)))</f>
        <v/>
      </c>
      <c r="E1212">
        <f>INDEX(FactorTable!$B$2:$Y$301, MATCH(ROUND(MIN(300,MAX(1,D1212)),0), FactorTable!$A$2:$A$301,0), Skills!M20+1)</f>
        <v/>
      </c>
      <c r="F1212">
        <f>IF(Skills!N20=TRUE,(Skills!L20/10)*(E1212/1000),Skills!L20/10)+Skills!O20</f>
        <v/>
      </c>
      <c r="G1212">
        <f>Skills!G20*IF(Skills!H20&gt;0,IF(Inputs!$B$39="pvp",MIN(Skills!I20,15),Skills!I20)/Skills!H20,1)</f>
        <v/>
      </c>
      <c r="H1212">
        <f>1-(1-Skills!J20/100)^Skills!K20</f>
        <v/>
      </c>
      <c r="I1212" t="inlineStr">
        <is>
          <t>1</t>
        </is>
      </c>
      <c r="J1212" t="inlineStr"/>
      <c r="K1212" t="inlineStr"/>
      <c r="L1212" t="inlineStr"/>
      <c r="M1212" t="inlineStr"/>
      <c r="N1212" t="inlineStr"/>
      <c r="O1212">
        <f>(1-Summary!$B$11)*T1212+Summary!$B$11*V1212</f>
        <v/>
      </c>
      <c r="P1212">
        <f>IF(B1238=0,0,O1212/B1238)</f>
        <v/>
      </c>
      <c r="Q1212">
        <f>IFERROR(1/IF(Inputs!$B$39="pvp",15,MAX(0.1,Skills!D20-IF(TRUE=TRUE,Inputs!$B$32,0))),0)</f>
        <v/>
      </c>
      <c r="R1212">
        <f>IF(AND(Inputs!$B$39&lt;&gt;"pvp",Inputs!$B$44&gt;0),IF(Inputs!$B$44&lt;=0,0,(INT(Inputs!$B$44/IF(Inputs!$B$39="pvp",15,MAX(0.1,Skills!D20-IF(TRUE=TRUE,Inputs!$B$32,0))))+1)),0)</f>
        <v/>
      </c>
      <c r="S1212">
        <f>IFERROR(O1212/N1212,0)</f>
        <v/>
      </c>
      <c r="T1212" t="n">
        <v>0</v>
      </c>
      <c r="V1212" t="n">
        <v>0</v>
      </c>
    </row>
    <row r="1213">
      <c r="A1213">
        <f>Skills!A21</f>
        <v/>
      </c>
      <c r="B1213">
        <f>Skills!B21</f>
        <v/>
      </c>
      <c r="C1213">
        <f>Inputs!$B$3&gt;=15</f>
        <v/>
      </c>
      <c r="D1213">
        <f>IF(Skills!C21=1,60+Inputs!$B$25+Inputs!$B$29,IF(Skills!C21=2,90+Inputs!$B$26+Inputs!$B$29,IF(Skills!C21=3,120+Inputs!$B$27+Inputs!$B$29,MAX(0,(Inputs!$B$3-100)*3)+Inputs!$B$28+Inputs!$B$29)))</f>
        <v/>
      </c>
      <c r="E1213">
        <f>INDEX(FactorTable!$B$2:$Y$301, MATCH(ROUND(MIN(300,MAX(1,D1213)),0), FactorTable!$A$2:$A$301,0), Skills!M21+1)</f>
        <v/>
      </c>
      <c r="F1213">
        <f>IF(Skills!N21=TRUE,(Skills!L21/10)*(E1213/1000),Skills!L21/10)+Skills!O21</f>
        <v/>
      </c>
      <c r="G1213">
        <f>Skills!G21*IF(Skills!H21&gt;0,IF(Inputs!$B$39="pvp",MIN(Skills!I21,15),Skills!I21)/Skills!H21,1)</f>
        <v/>
      </c>
      <c r="H1213">
        <f>1-(1-Skills!J21/100)^Skills!K21</f>
        <v/>
      </c>
      <c r="I1213" t="inlineStr">
        <is>
          <t>1</t>
        </is>
      </c>
      <c r="J1213" t="inlineStr"/>
      <c r="K1213" t="inlineStr"/>
      <c r="L1213" t="inlineStr"/>
      <c r="M1213" t="inlineStr"/>
      <c r="N1213" t="inlineStr"/>
      <c r="O1213">
        <f>(1-Summary!$B$11)*T1213+Summary!$B$11*V1213</f>
        <v/>
      </c>
      <c r="P1213">
        <f>IF(B1238=0,0,O1213/B1238)</f>
        <v/>
      </c>
      <c r="Q1213">
        <f>IFERROR(1/IF(Inputs!$B$39="pvp",15,MAX(0.1,Skills!D21-IF(TRUE=TRUE,Inputs!$B$32,0))),0)</f>
        <v/>
      </c>
      <c r="R1213">
        <f>IF(AND(Inputs!$B$39&lt;&gt;"pvp",Inputs!$B$44&gt;0),IF(Inputs!$B$44&lt;=0,0,(INT(Inputs!$B$44/IF(Inputs!$B$39="pvp",15,MAX(0.1,Skills!D21-IF(TRUE=TRUE,Inputs!$B$32,0))))+1)),0)</f>
        <v/>
      </c>
      <c r="S1213">
        <f>IFERROR(O1213/N1213,0)</f>
        <v/>
      </c>
      <c r="T1213" t="n">
        <v>0</v>
      </c>
      <c r="V1213" t="n">
        <v>0</v>
      </c>
    </row>
    <row r="1214">
      <c r="A1214">
        <f>Skills!A22</f>
        <v/>
      </c>
      <c r="B1214">
        <f>Skills!B22</f>
        <v/>
      </c>
      <c r="C1214">
        <f>Inputs!$B$3&gt;=15</f>
        <v/>
      </c>
      <c r="D1214">
        <f>IF(Skills!C22=1,60+Inputs!$B$25+Inputs!$B$29,IF(Skills!C22=2,90+Inputs!$B$26+Inputs!$B$29,IF(Skills!C22=3,120+Inputs!$B$27+Inputs!$B$29,MAX(0,(Inputs!$B$3-100)*3)+Inputs!$B$28+Inputs!$B$29)))</f>
        <v/>
      </c>
      <c r="E1214">
        <f>INDEX(FactorTable!$B$2:$Y$301, MATCH(ROUND(MIN(300,MAX(1,D1214)),0), FactorTable!$A$2:$A$301,0), Skills!M22+1)</f>
        <v/>
      </c>
      <c r="F1214">
        <f>IF(Skills!N22=TRUE,(Skills!L22/10)*(E1214/1000),Skills!L22/10)+Skills!O22</f>
        <v/>
      </c>
      <c r="G1214">
        <f>Skills!G22*IF(Skills!H22&gt;0,IF(Inputs!$B$39="pvp",MIN(Skills!I22,15),Skills!I22)/Skills!H22,1)</f>
        <v/>
      </c>
      <c r="H1214">
        <f>1-(1-Skills!J22/100)^Skills!K22</f>
        <v/>
      </c>
      <c r="I1214" t="inlineStr">
        <is>
          <t>1</t>
        </is>
      </c>
      <c r="J1214" t="inlineStr"/>
      <c r="K1214" t="inlineStr"/>
      <c r="L1214" t="inlineStr"/>
      <c r="M1214" t="inlineStr"/>
      <c r="N1214" t="inlineStr"/>
      <c r="O1214">
        <f>(1-Summary!$B$11)*T1214+Summary!$B$11*V1214</f>
        <v/>
      </c>
      <c r="P1214">
        <f>IF(B1238=0,0,O1214/B1238)</f>
        <v/>
      </c>
      <c r="Q1214">
        <f>IFERROR(1/IF(Inputs!$B$39="pvp",15,MAX(0.1,Skills!D22-IF(TRUE=TRUE,Inputs!$B$32,0))),0)</f>
        <v/>
      </c>
      <c r="R1214">
        <f>IF(AND(Inputs!$B$39&lt;&gt;"pvp",Inputs!$B$44&gt;0),IF(Inputs!$B$44&lt;=0,0,(INT(Inputs!$B$44/IF(Inputs!$B$39="pvp",15,MAX(0.1,Skills!D22-IF(TRUE=TRUE,Inputs!$B$32,0))))+1)),0)</f>
        <v/>
      </c>
      <c r="S1214">
        <f>IFERROR(O1214/N1214,0)</f>
        <v/>
      </c>
      <c r="T1214" t="n">
        <v>0</v>
      </c>
      <c r="V1214" t="n">
        <v>0</v>
      </c>
    </row>
    <row r="1215">
      <c r="A1215">
        <f>Skills!A23</f>
        <v/>
      </c>
      <c r="B1215">
        <f>Skills!B23</f>
        <v/>
      </c>
      <c r="C1215">
        <f>Inputs!$B$3&gt;=33</f>
        <v/>
      </c>
      <c r="D1215">
        <f>IF(Skills!C23=1,60+Inputs!$B$25+Inputs!$B$29,IF(Skills!C23=2,90+Inputs!$B$26+Inputs!$B$29,IF(Skills!C23=3,120+Inputs!$B$27+Inputs!$B$29,MAX(0,(Inputs!$B$3-100)*3)+Inputs!$B$28+Inputs!$B$29)))</f>
        <v/>
      </c>
      <c r="E1215">
        <f>INDEX(FactorTable!$B$2:$Y$301, MATCH(ROUND(MIN(300,MAX(1,D1215)),0), FactorTable!$A$2:$A$301,0), Skills!M23+1)</f>
        <v/>
      </c>
      <c r="F1215">
        <f>IF(Skills!N23=TRUE,(Skills!L23/10)*(E1215/1000),Skills!L23/10)+Skills!O23</f>
        <v/>
      </c>
      <c r="G1215">
        <f>Skills!G23*IF(Skills!H23&gt;0,IF(Inputs!$B$39="pvp",MIN(Skills!I23,15),Skills!I23)/Skills!H23,1)</f>
        <v/>
      </c>
      <c r="H1215">
        <f>1-(1-Skills!J23/100)^Skills!K23</f>
        <v/>
      </c>
      <c r="I1215" t="inlineStr">
        <is>
          <t>1</t>
        </is>
      </c>
      <c r="J1215" t="inlineStr"/>
      <c r="K1215" t="inlineStr"/>
      <c r="L1215" t="inlineStr"/>
      <c r="M1215" t="inlineStr"/>
      <c r="N1215" t="inlineStr"/>
      <c r="O1215">
        <f>(1-Summary!$B$11)*T1215+Summary!$B$11*V1215</f>
        <v/>
      </c>
      <c r="P1215">
        <f>IF(B1238=0,0,O1215/B1238)</f>
        <v/>
      </c>
      <c r="Q1215" t="n">
        <v>0</v>
      </c>
      <c r="R1215" t="n">
        <v>0</v>
      </c>
      <c r="S1215">
        <f>IFERROR(O1215/N1215,0)</f>
        <v/>
      </c>
      <c r="T1215" t="n">
        <v>0</v>
      </c>
      <c r="V1215" t="n">
        <v>0</v>
      </c>
    </row>
    <row r="1216">
      <c r="A1216">
        <f>Skills!A24</f>
        <v/>
      </c>
      <c r="B1216">
        <f>Skills!B24</f>
        <v/>
      </c>
      <c r="C1216">
        <f>Inputs!$B$3&gt;=40</f>
        <v/>
      </c>
      <c r="D1216">
        <f>IF(Skills!C24=1,60+Inputs!$B$25+Inputs!$B$29,IF(Skills!C24=2,90+Inputs!$B$26+Inputs!$B$29,IF(Skills!C24=3,120+Inputs!$B$27+Inputs!$B$29,MAX(0,(Inputs!$B$3-100)*3)+Inputs!$B$28+Inputs!$B$29)))</f>
        <v/>
      </c>
      <c r="E1216">
        <f>INDEX(FactorTable!$B$2:$Y$301, MATCH(ROUND(MIN(300,MAX(1,D1216)),0), FactorTable!$A$2:$A$301,0), Skills!M24+1)</f>
        <v/>
      </c>
      <c r="F1216">
        <f>IF(Skills!N24=TRUE,(Skills!L24/10)*(E1216/1000),Skills!L24/10)+Skills!O24</f>
        <v/>
      </c>
      <c r="G1216">
        <f>Skills!G24*IF(Skills!H24&gt;0,IF(Inputs!$B$39="pvp",MIN(Skills!I24,15),Skills!I24)/Skills!H24,1)</f>
        <v/>
      </c>
      <c r="H1216">
        <f>1-(1-Skills!J24/100)^Skills!K24</f>
        <v/>
      </c>
      <c r="I1216" t="inlineStr">
        <is>
          <t>1</t>
        </is>
      </c>
      <c r="J1216" t="inlineStr"/>
      <c r="K1216" t="inlineStr"/>
      <c r="L1216" t="inlineStr"/>
      <c r="M1216" t="inlineStr"/>
      <c r="N1216" t="inlineStr"/>
      <c r="O1216">
        <f>(1-Summary!$B$11)*T1216+Summary!$B$11*V1216</f>
        <v/>
      </c>
      <c r="P1216">
        <f>IF(B1238=0,0,O1216/B1238)</f>
        <v/>
      </c>
      <c r="Q1216" t="n">
        <v>0</v>
      </c>
      <c r="R1216" t="n">
        <v>0</v>
      </c>
      <c r="S1216">
        <f>IFERROR(O1216/N1216,0)</f>
        <v/>
      </c>
      <c r="T1216" t="n">
        <v>0</v>
      </c>
      <c r="V1216" t="n">
        <v>0</v>
      </c>
    </row>
    <row r="1217">
      <c r="A1217">
        <f>Skills!A25</f>
        <v/>
      </c>
      <c r="B1217">
        <f>Skills!B25</f>
        <v/>
      </c>
      <c r="C1217">
        <f>Inputs!$B$3&gt;=43</f>
        <v/>
      </c>
      <c r="D1217">
        <f>IF(Skills!C25=1,60+Inputs!$B$25+Inputs!$B$29,IF(Skills!C25=2,90+Inputs!$B$26+Inputs!$B$29,IF(Skills!C25=3,120+Inputs!$B$27+Inputs!$B$29,MAX(0,(Inputs!$B$3-100)*3)+Inputs!$B$28+Inputs!$B$29)))</f>
        <v/>
      </c>
      <c r="E1217">
        <f>INDEX(FactorTable!$B$2:$Y$301, MATCH(ROUND(MIN(300,MAX(1,D1217)),0), FactorTable!$A$2:$A$301,0), Skills!M25+1)</f>
        <v/>
      </c>
      <c r="F1217">
        <f>IF(Skills!N25=TRUE,(Skills!L25/10)*(E1217/1000),Skills!L25/10)+Skills!O25</f>
        <v/>
      </c>
      <c r="G1217">
        <f>Skills!G25*IF(Skills!H25&gt;0,IF(Inputs!$B$39="pvp",MIN(Skills!I25,15),Skills!I25)/Skills!H25,1)</f>
        <v/>
      </c>
      <c r="H1217">
        <f>1-(1-Skills!J25/100)^Skills!K25</f>
        <v/>
      </c>
      <c r="I1217" t="inlineStr">
        <is>
          <t>1</t>
        </is>
      </c>
      <c r="J1217" t="inlineStr"/>
      <c r="K1217" t="inlineStr"/>
      <c r="L1217" t="inlineStr"/>
      <c r="M1217" t="inlineStr"/>
      <c r="N1217" t="inlineStr"/>
      <c r="O1217">
        <f>(1-Summary!$B$11)*T1217+Summary!$B$11*V1217</f>
        <v/>
      </c>
      <c r="P1217">
        <f>IF(B1238=0,0,O1217/B1238)</f>
        <v/>
      </c>
      <c r="Q1217" t="n">
        <v>0</v>
      </c>
      <c r="R1217" t="n">
        <v>0</v>
      </c>
      <c r="S1217">
        <f>IFERROR(O1217/N1217,0)</f>
        <v/>
      </c>
      <c r="T1217" t="n">
        <v>0</v>
      </c>
      <c r="V1217" t="n">
        <v>0</v>
      </c>
    </row>
    <row r="1218">
      <c r="A1218">
        <f>Skills!A26</f>
        <v/>
      </c>
      <c r="B1218">
        <f>Skills!B26</f>
        <v/>
      </c>
      <c r="C1218">
        <f>Inputs!$B$3&gt;=50</f>
        <v/>
      </c>
      <c r="D1218">
        <f>IF(Skills!C26=1,60+Inputs!$B$25+Inputs!$B$29,IF(Skills!C26=2,90+Inputs!$B$26+Inputs!$B$29,IF(Skills!C26=3,120+Inputs!$B$27+Inputs!$B$29,MAX(0,(Inputs!$B$3-100)*3)+Inputs!$B$28+Inputs!$B$29)))</f>
        <v/>
      </c>
      <c r="E1218">
        <f>INDEX(FactorTable!$B$2:$Y$301, MATCH(ROUND(MIN(300,MAX(1,D1218)),0), FactorTable!$A$2:$A$301,0), Skills!M26+1)</f>
        <v/>
      </c>
      <c r="F1218">
        <f>IF(Skills!N26=TRUE,(Skills!L26/10)*(E1218/1000),Skills!L26/10)+Skills!O26</f>
        <v/>
      </c>
      <c r="G1218">
        <f>Skills!G26*IF(Skills!H26&gt;0,IF(Inputs!$B$39="pvp",MIN(Skills!I26,15),Skills!I26)/Skills!H26,1)</f>
        <v/>
      </c>
      <c r="H1218">
        <f>1-(1-Skills!J26/100)^Skills!K26</f>
        <v/>
      </c>
      <c r="I1218" t="inlineStr">
        <is>
          <t>1</t>
        </is>
      </c>
      <c r="J1218" t="inlineStr"/>
      <c r="K1218" t="inlineStr"/>
      <c r="L1218" t="inlineStr"/>
      <c r="M1218" t="inlineStr"/>
      <c r="N1218" t="inlineStr"/>
      <c r="O1218">
        <f>(1-Summary!$B$11)*T1218+Summary!$B$11*V1218</f>
        <v/>
      </c>
      <c r="P1218">
        <f>IF(B1238=0,0,O1218/B1238)</f>
        <v/>
      </c>
      <c r="Q1218" t="n">
        <v>0</v>
      </c>
      <c r="R1218" t="n">
        <v>0</v>
      </c>
      <c r="S1218">
        <f>IFERROR(O1218/N1218,0)</f>
        <v/>
      </c>
      <c r="T1218" t="n">
        <v>0</v>
      </c>
      <c r="V1218" t="n">
        <v>0</v>
      </c>
    </row>
    <row r="1219">
      <c r="A1219">
        <f>Skills!A27</f>
        <v/>
      </c>
      <c r="B1219">
        <f>Skills!B27</f>
        <v/>
      </c>
      <c r="C1219">
        <f>Inputs!$B$3&gt;=50</f>
        <v/>
      </c>
      <c r="D1219">
        <f>IF(Skills!C27=1,60+Inputs!$B$25+Inputs!$B$29,IF(Skills!C27=2,90+Inputs!$B$26+Inputs!$B$29,IF(Skills!C27=3,120+Inputs!$B$27+Inputs!$B$29,MAX(0,(Inputs!$B$3-100)*3)+Inputs!$B$28+Inputs!$B$29)))</f>
        <v/>
      </c>
      <c r="E1219">
        <f>INDEX(FactorTable!$B$2:$Y$301, MATCH(ROUND(MIN(300,MAX(1,D1219)),0), FactorTable!$A$2:$A$301,0), Skills!M27+1)</f>
        <v/>
      </c>
      <c r="F1219">
        <f>IF(Skills!N27=TRUE,(Skills!L27/10)*(E1219/1000),Skills!L27/10)+Skills!O27</f>
        <v/>
      </c>
      <c r="G1219">
        <f>Skills!G27*IF(Skills!H27&gt;0,IF(Inputs!$B$39="pvp",MIN(Skills!I27,15),Skills!I27)/Skills!H27,1)</f>
        <v/>
      </c>
      <c r="H1219">
        <f>1-(1-Skills!J27/100)^Skills!K27</f>
        <v/>
      </c>
      <c r="I1219" t="inlineStr">
        <is>
          <t>1</t>
        </is>
      </c>
      <c r="J1219" t="inlineStr"/>
      <c r="K1219" t="inlineStr"/>
      <c r="L1219" t="inlineStr"/>
      <c r="M1219" t="inlineStr"/>
      <c r="N1219" t="inlineStr"/>
      <c r="O1219">
        <f>(1-Summary!$B$11)*T1219+Summary!$B$11*V1219</f>
        <v/>
      </c>
      <c r="P1219">
        <f>IF(B1238=0,0,O1219/B1238)</f>
        <v/>
      </c>
      <c r="Q1219" t="n">
        <v>0</v>
      </c>
      <c r="R1219" t="n">
        <v>0</v>
      </c>
      <c r="S1219">
        <f>IFERROR(O1219/N1219,0)</f>
        <v/>
      </c>
      <c r="T1219" t="n">
        <v>0</v>
      </c>
      <c r="V1219" t="n">
        <v>0</v>
      </c>
    </row>
    <row r="1220">
      <c r="A1220">
        <f>Skills!A28</f>
        <v/>
      </c>
      <c r="B1220">
        <f>Skills!B28</f>
        <v/>
      </c>
      <c r="C1220">
        <f>Inputs!$B$3&gt;=38</f>
        <v/>
      </c>
      <c r="D1220">
        <f>IF(Skills!C28=1,60+Inputs!$B$25+Inputs!$B$29,IF(Skills!C28=2,90+Inputs!$B$26+Inputs!$B$29,IF(Skills!C28=3,120+Inputs!$B$27+Inputs!$B$29,MAX(0,(Inputs!$B$3-100)*3)+Inputs!$B$28+Inputs!$B$29)))</f>
        <v/>
      </c>
      <c r="E1220">
        <f>INDEX(FactorTable!$B$2:$Y$301, MATCH(ROUND(MIN(300,MAX(1,D1220)),0), FactorTable!$A$2:$A$301,0), Skills!M28+1)</f>
        <v/>
      </c>
      <c r="F1220">
        <f>IF(Skills!N28=TRUE,(Skills!L28/10)*(E1220/1000),Skills!L28/10)+Skills!O28</f>
        <v/>
      </c>
      <c r="G1220">
        <f>Skills!G28*IF(Skills!H28&gt;0,IF(Inputs!$B$39="pvp",MIN(Skills!I28,15),Skills!I28)/Skills!H28,1)</f>
        <v/>
      </c>
      <c r="H1220">
        <f>1-(1-Skills!J28/100)^Skills!K28</f>
        <v/>
      </c>
      <c r="I1220" t="inlineStr">
        <is>
          <t>1</t>
        </is>
      </c>
      <c r="J1220" t="inlineStr"/>
      <c r="K1220" t="inlineStr"/>
      <c r="L1220" t="inlineStr"/>
      <c r="M1220" t="inlineStr"/>
      <c r="N1220" t="inlineStr"/>
      <c r="O1220">
        <f>(1-Summary!$B$11)*T1220+Summary!$B$11*V1220</f>
        <v/>
      </c>
      <c r="P1220">
        <f>IF(B1238=0,0,O1220/B1238)</f>
        <v/>
      </c>
      <c r="Q1220" t="n">
        <v>0</v>
      </c>
      <c r="R1220" t="n">
        <v>0</v>
      </c>
      <c r="S1220">
        <f>IFERROR(O1220/N1220,0)</f>
        <v/>
      </c>
      <c r="T1220" t="n">
        <v>0</v>
      </c>
      <c r="V1220" t="n">
        <v>0</v>
      </c>
    </row>
    <row r="1221">
      <c r="A1221">
        <f>Skills!A29</f>
        <v/>
      </c>
      <c r="B1221">
        <f>Skills!B29</f>
        <v/>
      </c>
      <c r="C1221">
        <f>Inputs!$B$3&gt;=120</f>
        <v/>
      </c>
      <c r="D1221">
        <f>IF(Skills!C29=1,60+Inputs!$B$25+Inputs!$B$29,IF(Skills!C29=2,90+Inputs!$B$26+Inputs!$B$29,IF(Skills!C29=3,120+Inputs!$B$27+Inputs!$B$29,MAX(0,(Inputs!$B$3-100)*3)+Inputs!$B$28+Inputs!$B$29)))</f>
        <v/>
      </c>
      <c r="E1221">
        <f>INDEX(FactorTable!$B$2:$Y$301, MATCH(ROUND(MIN(300,MAX(1,D1221)),0), FactorTable!$A$2:$A$301,0), Skills!M29+1)</f>
        <v/>
      </c>
      <c r="F1221">
        <f>IF(Skills!N29=TRUE,(Skills!L29/10)*(E1221/1000),Skills!L29/10)+Skills!O29</f>
        <v/>
      </c>
      <c r="G1221">
        <f>Skills!G29*IF(Skills!H29&gt;0,IF(Inputs!$B$39="pvp",MIN(Skills!I29,15),Skills!I29)/Skills!H29,1)</f>
        <v/>
      </c>
      <c r="H1221">
        <f>1-(1-Skills!J29/100)^Skills!K29</f>
        <v/>
      </c>
      <c r="I1221" t="inlineStr">
        <is>
          <t>1</t>
        </is>
      </c>
      <c r="J1221" t="inlineStr"/>
      <c r="K1221" t="inlineStr"/>
      <c r="L1221" t="inlineStr"/>
      <c r="M1221" t="inlineStr"/>
      <c r="N1221" t="inlineStr"/>
      <c r="O1221">
        <f>(1-Summary!$B$11)*T1221+Summary!$B$11*V1221</f>
        <v/>
      </c>
      <c r="P1221">
        <f>IF(B1238=0,0,O1221/B1238)</f>
        <v/>
      </c>
      <c r="Q1221" t="n">
        <v>0</v>
      </c>
      <c r="R1221" t="n">
        <v>0</v>
      </c>
      <c r="S1221">
        <f>IFERROR(O1221/N1221,0)</f>
        <v/>
      </c>
      <c r="T1221" t="n">
        <v>0</v>
      </c>
      <c r="V1221" t="n">
        <v>0</v>
      </c>
    </row>
    <row r="1222">
      <c r="A1222">
        <f>Skills!A30</f>
        <v/>
      </c>
      <c r="B1222">
        <f>Skills!B30</f>
        <v/>
      </c>
      <c r="C1222">
        <f>Inputs!$B$3&gt;=120</f>
        <v/>
      </c>
      <c r="D1222">
        <f>IF(Skills!C30=1,60+Inputs!$B$25+Inputs!$B$29,IF(Skills!C30=2,90+Inputs!$B$26+Inputs!$B$29,IF(Skills!C30=3,120+Inputs!$B$27+Inputs!$B$29,MAX(0,(Inputs!$B$3-100)*3)+Inputs!$B$28+Inputs!$B$29)))</f>
        <v/>
      </c>
      <c r="E1222">
        <f>INDEX(FactorTable!$B$2:$Y$301, MATCH(ROUND(MIN(300,MAX(1,D1222)),0), FactorTable!$A$2:$A$301,0), Skills!M30+1)</f>
        <v/>
      </c>
      <c r="F1222">
        <f>IF(Skills!N30=TRUE,(Skills!L30/10)*(E1222/1000),Skills!L30/10)+Skills!O30</f>
        <v/>
      </c>
      <c r="G1222">
        <f>Skills!G30*IF(Skills!H30&gt;0,IF(Inputs!$B$39="pvp",MIN(Skills!I30,15),Skills!I30)/Skills!H30,1)</f>
        <v/>
      </c>
      <c r="H1222">
        <f>1-(1-Skills!J30/100)^Skills!K30</f>
        <v/>
      </c>
      <c r="I1222" t="inlineStr">
        <is>
          <t>1</t>
        </is>
      </c>
      <c r="J1222" t="inlineStr"/>
      <c r="K1222" t="inlineStr"/>
      <c r="L1222" t="inlineStr"/>
      <c r="M1222" t="inlineStr"/>
      <c r="N1222" t="inlineStr"/>
      <c r="O1222">
        <f>(1-Summary!$B$11)*T1222+Summary!$B$11*V1222</f>
        <v/>
      </c>
      <c r="P1222">
        <f>IF(B1238=0,0,O1222/B1238)</f>
        <v/>
      </c>
      <c r="Q1222" t="n">
        <v>0</v>
      </c>
      <c r="R1222" t="n">
        <v>0</v>
      </c>
      <c r="S1222">
        <f>IFERROR(O1222/N1222,0)</f>
        <v/>
      </c>
      <c r="T1222" t="n">
        <v>0</v>
      </c>
      <c r="V1222" t="n">
        <v>0</v>
      </c>
    </row>
    <row r="1223">
      <c r="A1223">
        <f>Skills!A31</f>
        <v/>
      </c>
      <c r="B1223">
        <f>Skills!B31</f>
        <v/>
      </c>
      <c r="C1223">
        <f>Inputs!$B$3&gt;=125</f>
        <v/>
      </c>
      <c r="D1223">
        <f>IF(Skills!C31=1,60+Inputs!$B$25+Inputs!$B$29,IF(Skills!C31=2,90+Inputs!$B$26+Inputs!$B$29,IF(Skills!C31=3,120+Inputs!$B$27+Inputs!$B$29,MAX(0,(Inputs!$B$3-100)*3)+Inputs!$B$28+Inputs!$B$29)))</f>
        <v/>
      </c>
      <c r="E1223">
        <f>INDEX(FactorTable!$B$2:$Y$301, MATCH(ROUND(MIN(300,MAX(1,D1223)),0), FactorTable!$A$2:$A$301,0), Skills!M31+1)</f>
        <v/>
      </c>
      <c r="F1223">
        <f>IF(Skills!N31=TRUE,(Skills!L31/10)*(E1223/1000),Skills!L31/10)+Skills!O31</f>
        <v/>
      </c>
      <c r="G1223">
        <f>Skills!G31*IF(Skills!H31&gt;0,IF(Inputs!$B$39="pvp",MIN(Skills!I31,15),Skills!I31)/Skills!H31,1)</f>
        <v/>
      </c>
      <c r="H1223">
        <f>1-(1-Skills!J31/100)^Skills!K31</f>
        <v/>
      </c>
      <c r="I1223" t="inlineStr">
        <is>
          <t>1</t>
        </is>
      </c>
      <c r="J1223" t="inlineStr"/>
      <c r="K1223" t="inlineStr"/>
      <c r="L1223" t="inlineStr"/>
      <c r="M1223" t="inlineStr"/>
      <c r="N1223" t="inlineStr"/>
      <c r="O1223">
        <f>(1-Summary!$B$11)*T1223+Summary!$B$11*V1223</f>
        <v/>
      </c>
      <c r="P1223">
        <f>IF(B1238=0,0,O1223/B1238)</f>
        <v/>
      </c>
      <c r="Q1223" t="n">
        <v>0</v>
      </c>
      <c r="R1223" t="n">
        <v>0</v>
      </c>
      <c r="S1223">
        <f>IFERROR(O1223/N1223,0)</f>
        <v/>
      </c>
      <c r="T1223" t="n">
        <v>0</v>
      </c>
      <c r="V1223" t="n">
        <v>0</v>
      </c>
    </row>
    <row r="1225">
      <c r="A1225" t="inlineStr">
        <is>
          <t>Average Buff Multiplier</t>
        </is>
      </c>
      <c r="B1225">
        <f>(1+(((C1214=TRUE)*F1214*IF(AND(Inputs!$B$39&lt;&gt;"pvp",Inputs!$B$44&gt;0),(((R1214-1)*MIN((Skills!Y22*(1+Inputs!$B$34/100)),(1/Q1214))+MIN((Skills!Y22*(1+Inputs!$B$34/100)),MAX(0,Inputs!$B$44-((R1214-1)*(1/Q1214)))))/Inputs!$B$44),IF(Inputs!$B$39="pvp",MIN((Skills!Y22*(1+Inputs!$B$34/100)),15)/15,MIN(1,(Skills!Y22*(1+Inputs!$B$34/100))/(1/Q1214)))))+((C1195=TRUE)*F1195*3)+((C1197=TRUE)*F1197*(1-EXP(-0.75*B1230*5)))+((C1216=TRUE)*(F1216-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1203=TRUE)*F1203*IF(AND(Inputs!$B$39&lt;&gt;"pvp",Inputs!$B$44&gt;0),(((R1203-1)*MIN((Skills!Y11*(1+Inputs!$B$34/100)),(1/Q1203))+MIN((Skills!Y11*(1+Inputs!$B$34/100)),MAX(0,Inputs!$B$44-((R1203-1)*(1/Q1203)))))/Inputs!$B$44),IF(Inputs!$B$39="pvp",MIN((Skills!Y11*(1+Inputs!$B$34/100)),15)/15,MIN(1,(Skills!Y11*(1+Inputs!$B$34/100))/(1/Q1203)))))/100)*(1+((C1208=TRUE)*F1208*IF(AND(Inputs!$B$39&lt;&gt;"pvp",Inputs!$B$44&gt;0),(((R1208-1)*MIN((Skills!Y16*(1+Inputs!$B$34/100)),(1/Q1208))+MIN((Skills!Y16*(1+Inputs!$B$34/100)),MAX(0,Inputs!$B$44-((R1208-1)*(1/Q1208)))))/Inputs!$B$44),IF(Inputs!$B$39="pvp",MIN((Skills!Y16*(1+Inputs!$B$34/100)),15)/15,MIN(1,(Skills!Y16*(1+Inputs!$B$34/100))/(1/Q1208)))))/100)</f>
        <v/>
      </c>
    </row>
    <row r="1226">
      <c r="A1226" t="inlineStr">
        <is>
          <t>Global Crit Rate Bonus %</t>
        </is>
      </c>
      <c r="B1226">
        <f>((C1213=TRUE)*F1213*IF(AND(Inputs!$B$39&lt;&gt;"pvp",Inputs!$B$44&gt;0),(((R1213-1)*MIN((Skills!Y21*(1+Inputs!$B$34/100)),(1/Q1213))+MIN((Skills!Y21*(1+Inputs!$B$34/100)),MAX(0,Inputs!$B$44-((R1213-1)*(1/Q1213)))))/Inputs!$B$44),IF(Inputs!$B$39="pvp",MIN((Skills!Y21*(1+Inputs!$B$34/100)),15)/15,MIN(1,(Skills!Y21*(1+Inputs!$B$34/100))/(1/Q1213)))))</f>
        <v/>
      </c>
    </row>
    <row r="1227">
      <c r="A1227" t="inlineStr">
        <is>
          <t>Global Monster Damage-Taken Bonus %</t>
        </is>
      </c>
      <c r="B1227">
        <f>IF(Inputs!$B$3&gt;=82,15,0)</f>
        <v/>
      </c>
    </row>
    <row r="1228">
      <c r="A1228" t="inlineStr">
        <is>
          <t>Shadow Partner Average Multiplier</t>
        </is>
      </c>
      <c r="B1228">
        <f>1+((C1200=TRUE)*F1200*(1+3.3333333333333335*IF(C1211=TRUE,F1211,0)/100)*I1200*Skills!J8/100)/100</f>
        <v/>
      </c>
    </row>
    <row r="1229">
      <c r="A1229" t="inlineStr">
        <is>
          <t>Attack Speed Buff Bonus %</t>
        </is>
      </c>
      <c r="B1229">
        <f>((C1212=TRUE)*F1212*IF(AND(Inputs!$B$39&lt;&gt;"pvp",Inputs!$B$44&gt;0),(((R1212-1)*MIN((Skills!Y20*(1+Inputs!$B$34/100)),(1/Q1212))+MIN((Skills!Y20*(1+Inputs!$B$34/100)),MAX(0,Inputs!$B$44-((R1212-1)*(1/Q1212)))))/Inputs!$B$44),IF(Inputs!$B$39="pvp",MIN((Skills!Y20*(1+Inputs!$B$34/100)),15)/15,MIN(1,(Skills!Y20*(1+Inputs!$B$34/100))/(1/Q1212)))))</f>
        <v/>
      </c>
    </row>
    <row r="1230">
      <c r="A1230" t="inlineStr">
        <is>
          <t>Actions Per Second</t>
        </is>
      </c>
      <c r="B1230">
        <f>1+MIN(150,150*(1-(1-(Inputs!$B$11+((C1215=TRUE)*(F1215-Calc!F23)))/150)*(1-B1229/150)))/100</f>
        <v/>
      </c>
    </row>
    <row r="1231">
      <c r="A1231" t="inlineStr">
        <is>
          <t>Skill + Buff Cast Rate</t>
        </is>
      </c>
      <c r="B1231">
        <f>IF(AND(Inputs!$B$39&lt;&gt;"pvp",Inputs!$B$44&gt;0),SUMPRODUCT((Skills!E2:E31=TRUE)*(C1194:C1223=TRUE)*R1194:R1223*Skills!F2:F31)/Inputs!$B$44,SUMPRODUCT((Skills!E2:E31=TRUE)*(C1194:C1223=TRUE)*Q1194:Q1223*Skills!F2:F31))</f>
        <v/>
      </c>
    </row>
    <row r="1232">
      <c r="A1232" t="inlineStr">
        <is>
          <t>Cruel Stab Casts Per Second</t>
        </is>
      </c>
      <c r="B1232">
        <f>MAX(0,B1230-B1231)</f>
        <v/>
      </c>
    </row>
    <row r="1233">
      <c r="A1233" t="inlineStr">
        <is>
          <t>Global Critical Damage Bonus % (Smokescreen Mastery Lv.113)</t>
        </is>
      </c>
      <c r="B1233">
        <f>IF(Inputs!$B$3&gt;=113,30,0)*IF(AND(Inputs!$B$39&lt;&gt;"pvp",Inputs!$B$44&gt;0),(((R1208-1)*MIN((Skills!Y16*(1+Inputs!$B$34/100)),(1/Q1208))+MIN((Skills!Y16*(1+Inputs!$B$34/100)),MAX(0,Inputs!$B$44-((R1208-1)*(1/Q1208)))))/Inputs!$B$44),IF(Inputs!$B$39="pvp",MIN((Skills!Y16*(1+Inputs!$B$34/100)),15)/15,MIN(1,(Skills!Y16*(1+Inputs!$B$34/100))/(1/Q1208))))</f>
        <v/>
      </c>
    </row>
    <row r="1234">
      <c r="A1234" t="inlineStr">
        <is>
          <t>Meso Explosion average stack count</t>
        </is>
      </c>
      <c r="B1234">
        <f>MIN(10,IF(Inputs!$B$3&gt;=75,0.75,0.5)*B1230*(1/Q1196))</f>
        <v/>
      </c>
    </row>
    <row r="1235">
      <c r="A1235" t="inlineStr">
        <is>
          <t>Blood Money average stack count</t>
        </is>
      </c>
      <c r="B1235">
        <f>MIN(5,0.5*IF(Inputs!$B$3&gt;=75,0.75,0.5)*B1230*(1/Q1196))</f>
        <v/>
      </c>
    </row>
    <row r="1236">
      <c r="A1236" t="inlineStr">
        <is>
          <t>Assassinate Murderous Intent Multiplier</t>
        </is>
      </c>
      <c r="B1236">
        <f>1+IFERROR(MIN(1,Q1207*2/Q1204),0)</f>
        <v/>
      </c>
    </row>
    <row r="1237">
      <c r="A1237" t="inlineStr">
        <is>
          <t>Buff-Casting Startup Delay (s, fixed-duration only)</t>
        </is>
      </c>
      <c r="B1237">
        <f>IF(AND(Inputs!$B$39&lt;&gt;"pvp",Inputs!$B$44&gt;0),SUMPRODUCT((Skills!Y2:Y31&gt;0)*(Skills!E2:E31=TRUE)*(C1194:C1223=TRUE))/B1230,0)</f>
        <v/>
      </c>
    </row>
    <row r="1238">
      <c r="A1238" s="6" t="inlineStr">
        <is>
          <t>TOTAL DPS</t>
        </is>
      </c>
      <c r="B1238" s="6">
        <f>SUM(O1194:O1223)</f>
        <v/>
      </c>
    </row>
    <row r="1239">
      <c r="A1239" t="inlineStr">
        <is>
          <t>Boss-Only Total DPS (this block's swept value)</t>
        </is>
      </c>
      <c r="B1239">
        <f>SUM(T1194:T1223)</f>
        <v/>
      </c>
    </row>
    <row r="1240">
      <c r="A1240" t="inlineStr">
        <is>
          <t>Normal-Only Total DPS (this block's swept value)</t>
        </is>
      </c>
      <c r="B1240">
        <f>SUM(V1194:V1223)</f>
        <v/>
      </c>
    </row>
    <row r="1243">
      <c r="A1243" s="6" t="inlineStr">
        <is>
          <t>Stat: Skill Cooldown Decrease (seconds)</t>
        </is>
      </c>
    </row>
    <row r="1244">
      <c r="A1244" s="5" t="inlineStr">
        <is>
          <t>Key</t>
        </is>
      </c>
      <c r="B1244" s="5" t="inlineStr">
        <is>
          <t>Name</t>
        </is>
      </c>
      <c r="C1244" s="5" t="inlineStr">
        <is>
          <t>Unlocked</t>
        </is>
      </c>
      <c r="D1244" s="5" t="inlineStr">
        <is>
          <t>InputLevel</t>
        </is>
      </c>
      <c r="E1244" s="5" t="inlineStr">
        <is>
          <t>Factor</t>
        </is>
      </c>
      <c r="F1244" s="5" t="inlineStr">
        <is>
          <t>CoefficientPercent</t>
        </is>
      </c>
      <c r="G1244" s="5" t="inlineStr">
        <is>
          <t>EffectiveHits</t>
        </is>
      </c>
      <c r="H1244" s="5" t="inlineStr">
        <is>
          <t>ProcProbability</t>
        </is>
      </c>
      <c r="I1244" s="5" t="inlineStr">
        <is>
          <t>MapleHeroMultiplier</t>
        </is>
      </c>
      <c r="J1244" s="5" t="inlineStr">
        <is>
          <t>BaseDamage</t>
        </is>
      </c>
      <c r="K1244" s="5" t="inlineStr">
        <is>
          <t>BaseHitDamage</t>
        </is>
      </c>
      <c r="L1244" s="5" t="inlineStr">
        <is>
          <t>NonCritAvg</t>
        </is>
      </c>
      <c r="M1244" s="5" t="inlineStr">
        <is>
          <t>CritAvg</t>
        </is>
      </c>
      <c r="N1244" s="5" t="inlineStr">
        <is>
          <t>ExpectedDamage(perHit)</t>
        </is>
      </c>
      <c r="O1244" s="5" t="inlineStr">
        <is>
          <t>DPS</t>
        </is>
      </c>
      <c r="P1244" s="5" t="inlineStr">
        <is>
          <t>% of Total</t>
        </is>
      </c>
      <c r="Q1244" s="5" t="inlineStr">
        <is>
          <t>InvCooldown</t>
        </is>
      </c>
      <c r="R1244" s="5" t="inlineStr">
        <is>
          <t>CastsInFight</t>
        </is>
      </c>
      <c r="S1244" s="5" t="inlineStr">
        <is>
          <t>HitRate(perSec)</t>
        </is>
      </c>
      <c r="U1244" t="inlineStr">
        <is>
          <t>helpers</t>
        </is>
      </c>
    </row>
    <row r="1245">
      <c r="A1245">
        <f>Skills!A2</f>
        <v/>
      </c>
      <c r="B1245">
        <f>Skills!B2</f>
        <v/>
      </c>
      <c r="C1245">
        <f>Inputs!$B$3&gt;=100</f>
        <v/>
      </c>
      <c r="D1245" t="inlineStr"/>
      <c r="E1245" t="inlineStr"/>
      <c r="F1245">
        <f>U1247+Skills!O2</f>
        <v/>
      </c>
      <c r="G1245">
        <f>Skills!G2*IF(Skills!H2&gt;0,IF(Inputs!$B$39="pvp",MIN(Skills!I2,15),Skills!I2)/Skills!H2,1)</f>
        <v/>
      </c>
      <c r="H1245">
        <f>1-(1-Skills!J2/100)^Skills!K2</f>
        <v/>
      </c>
      <c r="I1245" t="inlineStr">
        <is>
          <t>1</t>
        </is>
      </c>
      <c r="J1245">
        <f>((Inputs!$B$6*(1+Inputs!$B$7/100))+(((Inputs!$B$12*(1+Inputs!$B$13/100))-(Inputs!$B$12*(1+Inputs!$B$13/100)))+0.25*(Inputs!$B$14-Inputs!$B$14))*(1+Inputs!$B$7/100))*(F1245/100)</f>
        <v/>
      </c>
      <c r="K1245">
        <f>J1245*(1+((Inputs!$B$12*(1+Inputs!$B$13/100))*0.01+Inputs!$B$14*0.0025)/100)*(1+Inputs!$B$15/100)*(1+Inputs!$B$16/100)*(5000/(6000+Inputs!$B$43*(1-(100*(1-(1-Inputs!$B$19/100)*(1-CHOOSE(ArtifactsInput!$N$40+1,5,6,7,8,9,10)/100)^(ArtifactsInput!$M$40-ArtifactsInput!$M$40)))/100)))*(1+(Inputs!$B$24+((C1274=TRUE)*(F1274-Calc!F31))+((C1261=TRUE)*(F1261-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CRUEL_STAB",Inputs!$B$17+((C1271=TRUE)*(F1271-Calc!F28))+((IF(AND(Inputs!$B$39&lt;&gt;"pvp",Inputs!$B$44=0),1,IF(IF(Inputs!$B$39="pvp",15,Inputs!$B$44)-(B1288)&lt;=0,1,MAX(0,IF(Inputs!$B$39="pvp",15,Inputs!$B$44)-MAX(5,B1288))/(IF(Inputs!$B$39="pvp",15,Inputs!$B$44)-(B1288))))*(IF(AND(ArtifactsInput!$M$42,((Inputs!$B$9+((C1269=TRUE)*(F1269-Calc!F26))+B1277+(ArtifactsInput!$M$24-ArtifactsInput!$M$24)*CHOOSE(ArtifactsInput!$N$24+1,10,12,14,16,18,20)+IF(ArtifactsInput!$M$10,CHOOSE(ArtifactsInput!$N$10+1,15,18,21,24,27,30)*(IF(Inputs!$B$39="pvp",MIN(15,15)/15,IF(AND(Inputs!$B$39&lt;&gt;"pvp",Inputs!$B$44&gt;0),MIN(15,Inputs!$B$44)/(Inputs!$B$44),0))),0)))&gt;=100),MIN(100,((Inputs!$B$9+((C1269=TRUE)*(F1269-Calc!F26))+B1277+(ArtifactsInput!$M$24-ArtifactsInput!$M$24)*CHOOSE(ArtifactsInput!$N$24+1,10,12,14,16,18,20)+IF(ArtifactsInput!$M$10,CHOOSE(ArtifactsInput!$N$10+1,15,18,21,24,27,30)*(IF(Inputs!$B$39="pvp",MIN(15,15)/15,IF(AND(Inputs!$B$39&lt;&gt;"pvp",Inputs!$B$44&gt;0),MIN(15,Inputs!$B$44)/(Inputs!$B$44),0))),0)))-100),0))*CHOOSE(ArtifactsInput!$N$42+1,0.6,0.72,0.84,0.96,1.08,1.2))),Inputs!$B$18+((C1272=TRUE)*(F1272-Calc!F29))+(IF(AND(Inputs!$B$39&lt;&gt;"pvp",Inputs!$B$44=0),1,IF(IF(Inputs!$B$39="pvp",15,Inputs!$B$44)-(B1288)&lt;=0,1,MAX(0,IF(Inputs!$B$39="pvp",15,Inputs!$B$44)-MAX(5,B1288))/(IF(Inputs!$B$39="pvp",15,Inputs!$B$44)-(B1288))))*IF(AND(ArtifactsInput!$M$42,((Inputs!$B$9+((C1269=TRUE)*(F1269-Calc!F26))+B1277+(ArtifactsInput!$M$24-ArtifactsInput!$M$24)*CHOOSE(ArtifactsInput!$N$24+1,10,12,14,16,18,20)+IF(ArtifactsInput!$M$10,CHOOSE(ArtifactsInput!$N$10+1,15,18,21,24,27,30)*(IF(Inputs!$B$39="pvp",MIN(15,15)/15,IF(AND(Inputs!$B$39&lt;&gt;"pvp",Inputs!$B$44&gt;0),MIN(15,Inputs!$B$44)/(Inputs!$B$44),0))),0)))&gt;=100),CHOOSE(ArtifactsInput!$N$42+1,40,48,56,64,72,80),0))))/100)*(((1+(((C1265=TRUE)*F1265*IF(AND(Inputs!$B$39&lt;&gt;"pvp",Inputs!$B$44&gt;0),(((R1265-1)*MIN((Skills!Y22*(1+Inputs!$B$34/100)),(1/Q1265))+MIN((Skills!Y22*(1+Inputs!$B$34/100)),MAX(0,Inputs!$B$44-((R1265-1)*(1/Q1265)))))/Inputs!$B$44),IF(Inputs!$B$39="pvp",MIN((Skills!Y22*(1+Inputs!$B$34/100)),15)/15,MIN(1,(Skills!Y22*(1+Inputs!$B$34/100))/(1/Q1265)))))+((C1246=TRUE)*F1246*3)+((C1248=TRUE)*F1248*(1-EXP(-0.75*B1281*5)))+((C1267=TRUE)*(F1267-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1254=TRUE)*F1254*IF(AND(Inputs!$B$39&lt;&gt;"pvp",Inputs!$B$44&gt;0),(((R1254-1)*MIN((Skills!Y11*(1+Inputs!$B$34/100)),(1/Q1254))+MIN((Skills!Y11*(1+Inputs!$B$34/100)),MAX(0,Inputs!$B$44-((R1254-1)*(1/Q1254)))))/Inputs!$B$44),IF(Inputs!$B$39="pvp",MIN((Skills!Y11*(1+Inputs!$B$34/100)),15)/15,MIN(1,(Skills!Y11*(1+Inputs!$B$34/100))/(1/Q1254)))))/100)*(1+((C1259=TRUE)*F1259*IF(AND(Inputs!$B$39&lt;&gt;"pvp",Inputs!$B$44&gt;0),(((R1259-1)*MIN((Skills!Y16*(1+Inputs!$B$34/100)),(1/Q1259))+MIN((Skills!Y16*(1+Inputs!$B$34/100)),MAX(0,Inputs!$B$44-((R1259-1)*(1/Q1259)))))/Inputs!$B$44),IF(Inputs!$B$39="pvp",MIN((Skills!Y16*(1+Inputs!$B$34/100)),15)/15,MIN(1,(Skills!Y16*(1+Inputs!$B$34/100))/(1/Q1259)))))/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1279*I1245)</f>
        <v/>
      </c>
      <c r="L1245">
        <f>K1245*(MIN(Inputs!$B$22+((C1268=TRUE)*(F1268-Calc!F25)),(Inputs!$B$23+((C1273=TRUE)*(F1273-Calc!F30))+IF(ArtifactsInput!$M$15,CHOOSE(ArtifactsInput!$N$15+1,25,30,35,40,45,50)/100*(Inputs!$B$11-Inputs!$B$11),0)))/100+(Inputs!$B$23+((C1273=TRUE)*(F1273-Calc!F30))+IF(ArtifactsInput!$M$15,CHOOSE(ArtifactsInput!$N$15+1,25,30,35,40,45,50)/100*(Inputs!$B$11-Inputs!$B$11),0))/100)/2</f>
        <v/>
      </c>
      <c r="M1245">
        <f>L1245*(1+(Inputs!$B$10+((C1270=TRUE)*(F1270-Calc!F27))+B1284+(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1245">
        <f>L1245*(1-MIN((Inputs!$B$9+((C1269=TRUE)*(F1269-Calc!F26))+B1277+(ArtifactsInput!$M$24-ArtifactsInput!$M$24)*CHOOSE(ArtifactsInput!$N$24+1,10,12,14,16,18,20)+(IF(AND(Inputs!$B$39&lt;&gt;"pvp",Inputs!$B$44=0),1,IF(IF(Inputs!$B$39="pvp",15,Inputs!$B$44)-(B1288)&lt;=0,1,MAX(0,IF(Inputs!$B$39="pvp",15,Inputs!$B$44)-MAX(5,B1288))/(IF(Inputs!$B$39="pvp",15,Inputs!$B$44)-(B1288))))*IF(AND(ArtifactsInput!$M$42,((Inputs!$B$9+((C1269=TRUE)*(F1269-Calc!F26))+B1277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1245*(MIN((Inputs!$B$9+((C1269=TRUE)*(F1269-Calc!F26))+B1277+(ArtifactsInput!$M$24-ArtifactsInput!$M$24)*CHOOSE(ArtifactsInput!$N$24+1,10,12,14,16,18,20)+(IF(AND(Inputs!$B$39&lt;&gt;"pvp",Inputs!$B$44=0),1,IF(IF(Inputs!$B$39="pvp",15,Inputs!$B$44)-(B1288)&lt;=0,1,MAX(0,IF(Inputs!$B$39="pvp",15,Inputs!$B$44)-MAX(5,B1288))/(IF(Inputs!$B$39="pvp",15,Inputs!$B$44)-(B1288))))*IF(AND(ArtifactsInput!$M$42,((Inputs!$B$9+((C1269=TRUE)*(F1269-Calc!F26))+B1277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245">
        <f>(1-Summary!$B$11)*T1245+Summary!$B$11*V1245</f>
        <v/>
      </c>
      <c r="P1245">
        <f>IF(B1289=0,0,O1245/B1289)</f>
        <v/>
      </c>
      <c r="Q1245" t="n">
        <v>0</v>
      </c>
      <c r="R1245" t="n">
        <v>0</v>
      </c>
      <c r="S1245">
        <f>IFERROR(O1245/N1245,0)</f>
        <v/>
      </c>
      <c r="T1245">
        <f>IF(C1245,(Skills!G2*N1245*B1283)*IF(Inputs!$B$39="pvp",1,1+(Inputs!$B$20+0+Skills!P2+B1278+(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Hunt"),CHOOSE(ArtifactsInput!$N$35+1,15,18,21,24,27,30)*(1-EXP(-(0.2*B1281)*5)),0)+IF(AND(ArtifactsInput!$M$22,Inputs!$B$4&lt;&gt;"Chapter Hunt"),CHOOSE(ArtifactsInput!$N$22+1,10,12,14,16,18,20)*((0*(((0.15*B1281*5))^0/1)+1*(((0.15*B1281*5))^1/1)+2*(((0.15*B1281*5))^2/2)+3*(((0.15*B1281*5))^3/6)+4*(((0.15*B1281*5))^4/24)+5*(((0.15*B1281*5))^5/120))/((((0.15*B1281*5))^0/1)+(((0.15*B1281*5))^1/1)+(((0.15*B1281*5))^2/2)+(((0.15*B1281*5))^3/6)+(((0.15*B1281*5))^4/24)+(((0.15*B1281*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1245*(1-MIN(100,(Inputs!$B$9+((C1269=TRUE)*(F1269-Calc!F26))+B1277+(ArtifactsInput!$M$24-ArtifactsInput!$M$24)*CHOOSE(ArtifactsInput!$N$24+1,10,12,14,16,18,20)+(IF(AND(Inputs!$B$39&lt;&gt;"pvp",Inputs!$B$44=0),1,IF(IF(Inputs!$B$39="pvp",15,Inputs!$B$44)-(B1288)&lt;=0,1,MAX(0,IF(Inputs!$B$39="pvp",15,Inputs!$B$44)-MAX(5,B1288))/(IF(Inputs!$B$39="pvp",15,Inputs!$B$44)-(B1288))))*IF(AND(ArtifactsInput!$M$42,((Inputs!$B$9+((C1269=TRUE)*(F1269-Calc!F26))+B1277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1245*(MIN(100,(Inputs!$B$9+((C1269=TRUE)*(F1269-Calc!F26))+B1277+(ArtifactsInput!$M$24-ArtifactsInput!$M$24)*CHOOSE(ArtifactsInput!$N$24+1,10,12,14,16,18,20)+(IF(AND(Inputs!$B$39&lt;&gt;"pvp",Inputs!$B$44=0),1,IF(IF(Inputs!$B$39="pvp",15,Inputs!$B$44)-(B1288)&lt;=0,1,MAX(0,IF(Inputs!$B$39="pvp",15,Inputs!$B$44)-MAX(5,B1288))/(IF(Inputs!$B$39="pvp",15,Inputs!$B$44)-(B1288))))*IF(AND(ArtifactsInput!$M$42,((Inputs!$B$9+((C1269=TRUE)*(F1269-Calc!F26))+B1277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1245*(1-MIN(100,(Inputs!$B$9+((C1269=TRUE)*(F1269-Calc!F26))+B1277+(ArtifactsInput!$M$24-ArtifactsInput!$M$24)*CHOOSE(ArtifactsInput!$N$24+1,10,12,14,16,18,20)+(IF(AND(Inputs!$B$39&lt;&gt;"pvp",Inputs!$B$44=0),1,IF(IF(Inputs!$B$39="pvp",15,Inputs!$B$44)-(B1288)&lt;=0,1,MAX(0,IF(Inputs!$B$39="pvp",15,Inputs!$B$44)-MAX(5,B1288))/(IF(Inputs!$B$39="pvp",15,Inputs!$B$44)-(B1288))))*IF(AND(ArtifactsInput!$M$42,((Inputs!$B$9+((C1269=TRUE)*(F1269-Calc!F26))+B1277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1245*(MIN(100,(Inputs!$B$9+((C1269=TRUE)*(F1269-Calc!F26))+B1277+(ArtifactsInput!$M$24-ArtifactsInput!$M$24)*CHOOSE(ArtifactsInput!$N$24+1,10,12,14,16,18,20)+(IF(AND(Inputs!$B$39&lt;&gt;"pvp",Inputs!$B$44=0),1,IF(IF(Inputs!$B$39="pvp",15,Inputs!$B$44)-(B1288)&lt;=0,1,MAX(0,IF(Inputs!$B$39="pvp",15,Inputs!$B$44)-MAX(5,B1288))/(IF(Inputs!$B$39="pvp",15,Inputs!$B$44)-(B1288))))*IF(AND(ArtifactsInput!$M$42,((Inputs!$B$9+((C1269=TRUE)*(F1269-Calc!F26))+B1277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1245">
        <f>MAX(0,(Inputs!$B$3-100)*3)+Inputs!$B$28+Inputs!$B$29</f>
        <v/>
      </c>
      <c r="V1245">
        <f>IF(C1245,(Skills!G2*N1245*B1283)*IF(Inputs!$B$39="pvp",1,(1+(Inputs!$B$21+Skills!Q2+B1278+(IF(ArtifactsInput!$M$33,CHOOSE(ArtifactsInput!$N$33+1,30,36,42,48,54,60),0))+(IF(AND(ArtifactsInput!$M$35,Inputs!$B$4&lt;&gt;"Chapter Hunt"),CHOOSE(ArtifactsInput!$N$35+1,15,18,21,24,27,30)*(1-EXP(-(0.2*B1281)*5)),0)+IF(AND(ArtifactsInput!$M$22,Inputs!$B$4&lt;&gt;"Chapter Hunt"),CHOOSE(ArtifactsInput!$N$22+1,10,12,14,16,18,20)*((0*(((0.15*B1281*5))^0/1)+1*(((0.15*B1281*5))^1/1)+2*(((0.15*B1281*5))^2/2)+3*(((0.15*B1281*5))^3/6)+4*(((0.15*B1281*5))^4/24)+5*(((0.15*B1281*5))^5/120))/((((0.15*B1281*5))^0/1)+(((0.15*B1281*5))^1/1)+(((0.15*B1281*5))^2/2)+(((0.15*B1281*5))^3/6)+(((0.15*B1281*5))^4/24)+(((0.15*B1281*5))^5/120))),0)))/100)*(MIN((6+Inputs!$B$33),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246">
      <c r="A1246">
        <f>Skills!A3</f>
        <v/>
      </c>
      <c r="B1246">
        <f>Skills!B3</f>
        <v/>
      </c>
      <c r="C1246">
        <f>Inputs!$B$3&gt;=35</f>
        <v/>
      </c>
      <c r="D1246">
        <f>IF(Skills!C3=1,60+Inputs!$B$25+Inputs!$B$29,IF(Skills!C3=2,90+Inputs!$B$26+Inputs!$B$29,IF(Skills!C3=3,120+Inputs!$B$27+Inputs!$B$29,MAX(0,(Inputs!$B$3-100)*3)+Inputs!$B$28+Inputs!$B$29)))</f>
        <v/>
      </c>
      <c r="E1246">
        <f>INDEX(FactorTable!$B$2:$Y$301, MATCH(ROUND(MIN(300,MAX(1,D1246)),0), FactorTable!$A$2:$A$301,0), Skills!M3+1)</f>
        <v/>
      </c>
      <c r="F1246">
        <f>IF(Skills!N3=TRUE,(Skills!L3/10)*(E1246/1000),Skills!L3/10)+Skills!O3</f>
        <v/>
      </c>
      <c r="G1246">
        <f>Skills!G3*IF(Skills!H3&gt;0,IF(Inputs!$B$39="pvp",MIN(Skills!I3,15),Skills!I3)/Skills!H3,1)</f>
        <v/>
      </c>
      <c r="H1246">
        <f>1-(1-Skills!J3/100)^Skills!K3</f>
        <v/>
      </c>
      <c r="I1246" t="inlineStr">
        <is>
          <t>1</t>
        </is>
      </c>
      <c r="J1246" t="inlineStr"/>
      <c r="K1246" t="inlineStr"/>
      <c r="L1246" t="inlineStr"/>
      <c r="M1246" t="inlineStr"/>
      <c r="N1246" t="inlineStr"/>
      <c r="O1246">
        <f>(1-Summary!$B$11)*T1246+Summary!$B$11*V1246</f>
        <v/>
      </c>
      <c r="P1246">
        <f>IF(B1289=0,0,O1246/B1289)</f>
        <v/>
      </c>
      <c r="Q1246" t="n">
        <v>0</v>
      </c>
      <c r="R1246" t="n">
        <v>0</v>
      </c>
      <c r="S1246">
        <f>IFERROR(O1246/N1246,0)</f>
        <v/>
      </c>
      <c r="T1246" t="n">
        <v>0</v>
      </c>
      <c r="U1246">
        <f>INDEX(FactorTable!$B$2:$Y$301, MATCH(ROUND(MIN(300,MAX(1,U1245)),0), FactorTable!$A$2:$A$301,0), 22)</f>
        <v/>
      </c>
      <c r="V1246" t="n">
        <v>0</v>
      </c>
    </row>
    <row r="1247">
      <c r="A1247">
        <f>Skills!A4</f>
        <v/>
      </c>
      <c r="B1247">
        <f>Skills!B4</f>
        <v/>
      </c>
      <c r="C1247">
        <f>Inputs!$B$3&gt;=66</f>
        <v/>
      </c>
      <c r="D1247">
        <f>IF(Skills!C4=1,60+Inputs!$B$25+Inputs!$B$29,IF(Skills!C4=2,90+Inputs!$B$26+Inputs!$B$29,IF(Skills!C4=3,120+Inputs!$B$27+Inputs!$B$29,MAX(0,(Inputs!$B$3-100)*3)+Inputs!$B$28+Inputs!$B$29)))</f>
        <v/>
      </c>
      <c r="E1247">
        <f>INDEX(FactorTable!$B$2:$Y$301, MATCH(ROUND(MIN(300,MAX(1,D1247)),0), FactorTable!$A$2:$A$301,0), Skills!M4+1)</f>
        <v/>
      </c>
      <c r="F1247">
        <f>IF(Skills!N4=TRUE,(Skills!L4/10)*(E1247/1000),Skills!L4/10)+Skills!O4</f>
        <v/>
      </c>
      <c r="G1247">
        <f>Skills!G4*IF(Skills!H4&gt;0,IF(Inputs!$B$39="pvp",MIN(Skills!I4,15),Skills!I4)/Skills!H4,1)</f>
        <v/>
      </c>
      <c r="H1247">
        <f>1-(1-Skills!J4/100)^Skills!K4</f>
        <v/>
      </c>
      <c r="I1247" t="inlineStr">
        <is>
          <t>1</t>
        </is>
      </c>
      <c r="J1247">
        <f>((Inputs!$B$6*(1+Inputs!$B$7/100))+(((Inputs!$B$12*(1+Inputs!$B$13/100))-(Inputs!$B$12*(1+Inputs!$B$13/100)))+0.25*(Inputs!$B$14-Inputs!$B$14))*(1+Inputs!$B$7/100))*(F1247/100)</f>
        <v/>
      </c>
      <c r="K1247">
        <f>J1247*(1+((Inputs!$B$12*(1+Inputs!$B$13/100))*0.01+Inputs!$B$14*0.0025)/100)*(1+Inputs!$B$15/100)*(1+Inputs!$B$16/100)*(5000/(6000+Inputs!$B$43*(1-(100*(1-(1-Inputs!$B$19/100)*(1-CHOOSE(ArtifactsInput!$N$40+1,5,6,7,8,9,10)/100)^(ArtifactsInput!$M$40-ArtifactsInput!$M$40)))/100)))*(1+(Inputs!$B$24+((C1274=TRUE)*(F1274-Calc!F31))+((C1261=TRUE)*(F1261-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4="CRUEL_STAB",Inputs!$B$17+((C1271=TRUE)*(F1271-Calc!F28))+((IF(AND(Inputs!$B$39&lt;&gt;"pvp",Inputs!$B$44=0),1,IF(IF(Inputs!$B$39="pvp",15,Inputs!$B$44)-(B1288)&lt;=0,1,MAX(0,IF(Inputs!$B$39="pvp",15,Inputs!$B$44)-MAX(5,B1288))/(IF(Inputs!$B$39="pvp",15,Inputs!$B$44)-(B1288))))*(IF(AND(ArtifactsInput!$M$42,((Inputs!$B$9+((C1269=TRUE)*(F1269-Calc!F26))+B1277+(ArtifactsInput!$M$24-ArtifactsInput!$M$24)*CHOOSE(ArtifactsInput!$N$24+1,10,12,14,16,18,20)+IF(ArtifactsInput!$M$10,CHOOSE(ArtifactsInput!$N$10+1,15,18,21,24,27,30)*(IF(Inputs!$B$39="pvp",MIN(15,15)/15,IF(AND(Inputs!$B$39&lt;&gt;"pvp",Inputs!$B$44&gt;0),MIN(15,Inputs!$B$44)/(Inputs!$B$44),0))),0)))&gt;=100),MIN(100,((Inputs!$B$9+((C1269=TRUE)*(F1269-Calc!F26))+B1277+(ArtifactsInput!$M$24-ArtifactsInput!$M$24)*CHOOSE(ArtifactsInput!$N$24+1,10,12,14,16,18,20)+IF(ArtifactsInput!$M$10,CHOOSE(ArtifactsInput!$N$10+1,15,18,21,24,27,30)*(IF(Inputs!$B$39="pvp",MIN(15,15)/15,IF(AND(Inputs!$B$39&lt;&gt;"pvp",Inputs!$B$44&gt;0),MIN(15,Inputs!$B$44)/(Inputs!$B$44),0))),0)))-100),0))*CHOOSE(ArtifactsInput!$N$42+1,0.6,0.72,0.84,0.96,1.08,1.2))),Inputs!$B$18+((C1272=TRUE)*(F1272-Calc!F29))+(IF(AND(Inputs!$B$39&lt;&gt;"pvp",Inputs!$B$44=0),1,IF(IF(Inputs!$B$39="pvp",15,Inputs!$B$44)-(B1288)&lt;=0,1,MAX(0,IF(Inputs!$B$39="pvp",15,Inputs!$B$44)-MAX(5,B1288))/(IF(Inputs!$B$39="pvp",15,Inputs!$B$44)-(B1288))))*IF(AND(ArtifactsInput!$M$42,((Inputs!$B$9+((C1269=TRUE)*(F1269-Calc!F26))+B1277+(ArtifactsInput!$M$24-ArtifactsInput!$M$24)*CHOOSE(ArtifactsInput!$N$24+1,10,12,14,16,18,20)+IF(ArtifactsInput!$M$10,CHOOSE(ArtifactsInput!$N$10+1,15,18,21,24,27,30)*(IF(Inputs!$B$39="pvp",MIN(15,15)/15,IF(AND(Inputs!$B$39&lt;&gt;"pvp",Inputs!$B$44&gt;0),MIN(15,Inputs!$B$44)/(Inputs!$B$44),0))),0)))&gt;=100),CHOOSE(ArtifactsInput!$N$42+1,40,48,56,64,72,80),0))))/100)*(((1+(((C1265=TRUE)*F1265*IF(AND(Inputs!$B$39&lt;&gt;"pvp",Inputs!$B$44&gt;0),(((R1265-1)*MIN((Skills!Y22*(1+Inputs!$B$34/100)),(1/Q1265))+MIN((Skills!Y22*(1+Inputs!$B$34/100)),MAX(0,Inputs!$B$44-((R1265-1)*(1/Q1265)))))/Inputs!$B$44),IF(Inputs!$B$39="pvp",MIN((Skills!Y22*(1+Inputs!$B$34/100)),15)/15,MIN(1,(Skills!Y22*(1+Inputs!$B$34/100))/(1/Q1265)))))+((C1246=TRUE)*F1246*3)+((C1248=TRUE)*F1248*(1-EXP(-0.75*B1281*5)))+((C1267=TRUE)*(F1267-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1254=TRUE)*F1254*IF(AND(Inputs!$B$39&lt;&gt;"pvp",Inputs!$B$44&gt;0),(((R1254-1)*MIN((Skills!Y11*(1+Inputs!$B$34/100)),(1/Q1254))+MIN((Skills!Y11*(1+Inputs!$B$34/100)),MAX(0,Inputs!$B$44-((R1254-1)*(1/Q1254)))))/Inputs!$B$44),IF(Inputs!$B$39="pvp",MIN((Skills!Y11*(1+Inputs!$B$34/100)),15)/15,MIN(1,(Skills!Y11*(1+Inputs!$B$34/100))/(1/Q1254)))))/100)*(1+((C1259=TRUE)*F1259*IF(AND(Inputs!$B$39&lt;&gt;"pvp",Inputs!$B$44&gt;0),(((R1259-1)*MIN((Skills!Y16*(1+Inputs!$B$34/100)),(1/Q1259))+MIN((Skills!Y16*(1+Inputs!$B$34/100)),MAX(0,Inputs!$B$44-((R1259-1)*(1/Q1259)))))/Inputs!$B$44),IF(Inputs!$B$39="pvp",MIN((Skills!Y16*(1+Inputs!$B$34/100)),15)/15,MIN(1,(Skills!Y16*(1+Inputs!$B$34/100))/(1/Q1259)))))/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1279*I1247)</f>
        <v/>
      </c>
      <c r="L1247">
        <f>K1247*(MIN(Inputs!$B$22+((C1268=TRUE)*(F1268-Calc!F25)),(Inputs!$B$23+((C1273=TRUE)*(F1273-Calc!F30))+IF(ArtifactsInput!$M$15,CHOOSE(ArtifactsInput!$N$15+1,25,30,35,40,45,50)/100*(Inputs!$B$11-Inputs!$B$11),0)))/100+(Inputs!$B$23+((C1273=TRUE)*(F1273-Calc!F30))+IF(ArtifactsInput!$M$15,CHOOSE(ArtifactsInput!$N$15+1,25,30,35,40,45,50)/100*(Inputs!$B$11-Inputs!$B$11),0))/100)/2</f>
        <v/>
      </c>
      <c r="M1247">
        <f>L1247*(1+(Inputs!$B$10+((C1270=TRUE)*(F1270-Calc!F27))+B1284+(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1247">
        <f>L1247*(1-MIN((Inputs!$B$9+((C1269=TRUE)*(F1269-Calc!F26))+B1277+(ArtifactsInput!$M$24-ArtifactsInput!$M$24)*CHOOSE(ArtifactsInput!$N$24+1,10,12,14,16,18,20)+(IF(AND(Inputs!$B$39&lt;&gt;"pvp",Inputs!$B$44=0),1,IF(IF(Inputs!$B$39="pvp",15,Inputs!$B$44)-(B1288)&lt;=0,1,MAX(0,IF(Inputs!$B$39="pvp",15,Inputs!$B$44)-MAX(5,B1288))/(IF(Inputs!$B$39="pvp",15,Inputs!$B$44)-(B1288))))*IF(AND(ArtifactsInput!$M$42,((Inputs!$B$9+((C1269=TRUE)*(F1269-Calc!F26))+B1277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1247*(MIN((Inputs!$B$9+((C1269=TRUE)*(F1269-Calc!F26))+B1277+(ArtifactsInput!$M$24-ArtifactsInput!$M$24)*CHOOSE(ArtifactsInput!$N$24+1,10,12,14,16,18,20)+(IF(AND(Inputs!$B$39&lt;&gt;"pvp",Inputs!$B$44=0),1,IF(IF(Inputs!$B$39="pvp",15,Inputs!$B$44)-(B1288)&lt;=0,1,MAX(0,IF(Inputs!$B$39="pvp",15,Inputs!$B$44)-MAX(5,B1288))/(IF(Inputs!$B$39="pvp",15,Inputs!$B$44)-(B1288))))*IF(AND(ArtifactsInput!$M$42,((Inputs!$B$9+((C1269=TRUE)*(F1269-Calc!F26))+B1277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247">
        <f>(1-Summary!$B$11)*T1247+Summary!$B$11*V1247</f>
        <v/>
      </c>
      <c r="P1247">
        <f>IF(B1289=0,0,O1247/B1289)</f>
        <v/>
      </c>
      <c r="Q1247">
        <f>IFERROR(1/IF(Inputs!$B$39="pvp",15,MAX(0.1,Skills!D4-IF(TRUE=TRUE,(Inputs!$B$32+1),0))),0)</f>
        <v/>
      </c>
      <c r="R1247">
        <f>IF(AND(Inputs!$B$39&lt;&gt;"pvp",Inputs!$B$44&gt;0),IF(MAX(0,Inputs!$B$44-B1288)&lt;=0,0,(INT(MAX(0,Inputs!$B$44-B1288)/IF(Inputs!$B$39="pvp",15,MAX(0.1,Skills!D4-IF(TRUE=TRUE,(Inputs!$B$32+1),0))))+1)),0)</f>
        <v/>
      </c>
      <c r="S1247">
        <f>IFERROR(O1247/N1247,0)</f>
        <v/>
      </c>
      <c r="T1247">
        <f>IF(C1247,(H1247*N1247*IF(AND(Inputs!$B$39&lt;&gt;"pvp",Inputs!$B$44&gt;0),((Skills!G4*((R1247-1)*IF(Skills!H4&gt;0,Skills!I4/Skills!H4,1)+IF(Skills!H4&gt;0,MIN(Skills!I4,MAX(0,MAX(0,Inputs!$B$44-B1288)-((R1247-1)*IF(Inputs!$B$39="pvp",15,MAX(0.1,Skills!D4-IF(TRUE=TRUE,(Inputs!$B$32+1),0))))))/Skills!H4,1)))/Inputs!$B$44),G1247*Q1247))*IF(Inputs!$B$39="pvp",1,1+(Inputs!$B$20+0+Skills!P4+B1278+(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Hunt"),CHOOSE(ArtifactsInput!$N$35+1,15,18,21,24,27,30)*(1-EXP(-(0.2*B1281)*5)),0)+IF(AND(ArtifactsInput!$M$22,Inputs!$B$4&lt;&gt;"Chapter Hunt"),CHOOSE(ArtifactsInput!$N$22+1,10,12,14,16,18,20)*((0*(((0.15*B1281*5))^0/1)+1*(((0.15*B1281*5))^1/1)+2*(((0.15*B1281*5))^2/2)+3*(((0.15*B1281*5))^3/6)+4*(((0.15*B1281*5))^4/24)+5*(((0.15*B1281*5))^5/120))/((((0.15*B1281*5))^0/1)+(((0.15*B1281*5))^1/1)+(((0.15*B1281*5))^2/2)+(((0.15*B1281*5))^3/6)+(((0.15*B1281*5))^4/24)+(((0.15*B1281*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1247*(1-MIN(100,(Inputs!$B$9+((C1269=TRUE)*(F1269-Calc!F26))+B1277+(ArtifactsInput!$M$24-ArtifactsInput!$M$24)*CHOOSE(ArtifactsInput!$N$24+1,10,12,14,16,18,20)+(IF(AND(Inputs!$B$39&lt;&gt;"pvp",Inputs!$B$44=0),1,IF(IF(Inputs!$B$39="pvp",15,Inputs!$B$44)-(B1288)&lt;=0,1,MAX(0,IF(Inputs!$B$39="pvp",15,Inputs!$B$44)-MAX(5,B1288))/(IF(Inputs!$B$39="pvp",15,Inputs!$B$44)-(B1288))))*IF(AND(ArtifactsInput!$M$42,((Inputs!$B$9+((C1269=TRUE)*(F1269-Calc!F26))+B1277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1247*(MIN(100,(Inputs!$B$9+((C1269=TRUE)*(F1269-Calc!F26))+B1277+(ArtifactsInput!$M$24-ArtifactsInput!$M$24)*CHOOSE(ArtifactsInput!$N$24+1,10,12,14,16,18,20)+(IF(AND(Inputs!$B$39&lt;&gt;"pvp",Inputs!$B$44=0),1,IF(IF(Inputs!$B$39="pvp",15,Inputs!$B$44)-(B1288)&lt;=0,1,MAX(0,IF(Inputs!$B$39="pvp",15,Inputs!$B$44)-MAX(5,B1288))/(IF(Inputs!$B$39="pvp",15,Inputs!$B$44)-(B1288))))*IF(AND(ArtifactsInput!$M$42,((Inputs!$B$9+((C1269=TRUE)*(F1269-Calc!F26))+B1277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1247*(1-MIN(100,(Inputs!$B$9+((C1269=TRUE)*(F1269-Calc!F26))+B1277+(ArtifactsInput!$M$24-ArtifactsInput!$M$24)*CHOOSE(ArtifactsInput!$N$24+1,10,12,14,16,18,20)+(IF(AND(Inputs!$B$39&lt;&gt;"pvp",Inputs!$B$44=0),1,IF(IF(Inputs!$B$39="pvp",15,Inputs!$B$44)-(B1288)&lt;=0,1,MAX(0,IF(Inputs!$B$39="pvp",15,Inputs!$B$44)-MAX(5,B1288))/(IF(Inputs!$B$39="pvp",15,Inputs!$B$44)-(B1288))))*IF(AND(ArtifactsInput!$M$42,((Inputs!$B$9+((C1269=TRUE)*(F1269-Calc!F26))+B1277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1247*(MIN(100,(Inputs!$B$9+((C1269=TRUE)*(F1269-Calc!F26))+B1277+(ArtifactsInput!$M$24-ArtifactsInput!$M$24)*CHOOSE(ArtifactsInput!$N$24+1,10,12,14,16,18,20)+(IF(AND(Inputs!$B$39&lt;&gt;"pvp",Inputs!$B$44=0),1,IF(IF(Inputs!$B$39="pvp",15,Inputs!$B$44)-(B1288)&lt;=0,1,MAX(0,IF(Inputs!$B$39="pvp",15,Inputs!$B$44)-MAX(5,B1288))/(IF(Inputs!$B$39="pvp",15,Inputs!$B$44)-(B1288))))*IF(AND(ArtifactsInput!$M$42,((Inputs!$B$9+((C1269=TRUE)*(F1269-Calc!F26))+B1277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1247">
        <f>290*U1246/1000</f>
        <v/>
      </c>
      <c r="V1247">
        <f>IF(C1247,(H1247*N1247*IF(AND(Inputs!$B$39&lt;&gt;"pvp",Inputs!$B$44&gt;0),((Skills!G4*((R1247-1)*IF(Skills!H4&gt;0,Skills!I4/Skills!H4,1)+IF(Skills!H4&gt;0,MIN(Skills!I4,MAX(0,MAX(0,Inputs!$B$44-B1288)-((R1247-1)*IF(Inputs!$B$39="pvp",15,MAX(0.1,Skills!D4-IF(TRUE=TRUE,(Inputs!$B$32+1),0))))))/Skills!H4,1)))/Inputs!$B$44),G1247*Q1247))*IF(Inputs!$B$39="pvp",1,(1+(Inputs!$B$21+Skills!Q4+B1278+(IF(ArtifactsInput!$M$33,CHOOSE(ArtifactsInput!$N$33+1,30,36,42,48,54,60),0))+(IF(AND(ArtifactsInput!$M$35,Inputs!$B$4&lt;&gt;"Chapter Hunt"),CHOOSE(ArtifactsInput!$N$35+1,15,18,21,24,27,30)*(1-EXP(-(0.2*B1281)*5)),0)+IF(AND(ArtifactsInput!$M$22,Inputs!$B$4&lt;&gt;"Chapter Hunt"),CHOOSE(ArtifactsInput!$N$22+1,10,12,14,16,18,20)*((0*(((0.15*B1281*5))^0/1)+1*(((0.15*B1281*5))^1/1)+2*(((0.15*B1281*5))^2/2)+3*(((0.15*B1281*5))^3/6)+4*(((0.15*B1281*5))^4/24)+5*(((0.15*B1281*5))^5/120))/((((0.15*B1281*5))^0/1)+(((0.15*B1281*5))^1/1)+(((0.15*B1281*5))^2/2)+(((0.15*B1281*5))^3/6)+(((0.15*B1281*5))^4/24)+(((0.15*B1281*5))^5/120))),0)))/100)*(MIN(MIN(10,IF(Inputs!$B$3&gt;=75,0.75,0.5)*B1281*(1/Q1247)),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248">
      <c r="A1248">
        <f>Skills!A5</f>
        <v/>
      </c>
      <c r="B1248">
        <f>Skills!B5</f>
        <v/>
      </c>
      <c r="C1248">
        <f>Inputs!$B$3&gt;=75</f>
        <v/>
      </c>
      <c r="D1248">
        <f>IF(Skills!C5=1,60+Inputs!$B$25+Inputs!$B$29,IF(Skills!C5=2,90+Inputs!$B$26+Inputs!$B$29,IF(Skills!C5=3,120+Inputs!$B$27+Inputs!$B$29,MAX(0,(Inputs!$B$3-100)*3)+Inputs!$B$28+Inputs!$B$29)))</f>
        <v/>
      </c>
      <c r="E1248">
        <f>INDEX(FactorTable!$B$2:$Y$301, MATCH(ROUND(MIN(300,MAX(1,D1248)),0), FactorTable!$A$2:$A$301,0), Skills!M5+1)</f>
        <v/>
      </c>
      <c r="F1248">
        <f>IF(Skills!N5=TRUE,(Skills!L5/10)*(E1248/1000),Skills!L5/10)+Skills!O5</f>
        <v/>
      </c>
      <c r="G1248">
        <f>Skills!G5*IF(Skills!H5&gt;0,IF(Inputs!$B$39="pvp",MIN(Skills!I5,15),Skills!I5)/Skills!H5,1)</f>
        <v/>
      </c>
      <c r="H1248">
        <f>1-(1-Skills!J5/100)^Skills!K5</f>
        <v/>
      </c>
      <c r="I1248" t="inlineStr">
        <is>
          <t>1</t>
        </is>
      </c>
      <c r="J1248" t="inlineStr"/>
      <c r="K1248" t="inlineStr"/>
      <c r="L1248" t="inlineStr"/>
      <c r="M1248" t="inlineStr"/>
      <c r="N1248" t="inlineStr"/>
      <c r="O1248">
        <f>(1-Summary!$B$11)*T1248+Summary!$B$11*V1248</f>
        <v/>
      </c>
      <c r="P1248">
        <f>IF(B1289=0,0,O1248/B1289)</f>
        <v/>
      </c>
      <c r="Q1248" t="n">
        <v>0</v>
      </c>
      <c r="R1248" t="n">
        <v>0</v>
      </c>
      <c r="S1248">
        <f>IFERROR(O1248/N1248,0)</f>
        <v/>
      </c>
      <c r="T1248" t="n">
        <v>0</v>
      </c>
      <c r="V1248" t="n">
        <v>0</v>
      </c>
    </row>
    <row r="1249">
      <c r="A1249">
        <f>Skills!A6</f>
        <v/>
      </c>
      <c r="B1249">
        <f>Skills!B6</f>
        <v/>
      </c>
      <c r="C1249">
        <f>Inputs!$B$3&gt;=63</f>
        <v/>
      </c>
      <c r="D1249">
        <f>IF(Skills!C6=1,60+Inputs!$B$25+Inputs!$B$29,IF(Skills!C6=2,90+Inputs!$B$26+Inputs!$B$29,IF(Skills!C6=3,120+Inputs!$B$27+Inputs!$B$29,MAX(0,(Inputs!$B$3-100)*3)+Inputs!$B$28+Inputs!$B$29)))</f>
        <v/>
      </c>
      <c r="E1249">
        <f>INDEX(FactorTable!$B$2:$Y$301, MATCH(ROUND(MIN(300,MAX(1,D1249)),0), FactorTable!$A$2:$A$301,0), Skills!M6+1)</f>
        <v/>
      </c>
      <c r="F1249">
        <f>IF(Skills!N6=TRUE,(Skills!L6/10)*(E1249/1000),Skills!L6/10)+Skills!O6</f>
        <v/>
      </c>
      <c r="G1249">
        <f>Skills!G6*IF(Skills!H6&gt;0,IF(Inputs!$B$39="pvp",MIN(Skills!I6,15),Skills!I6)/Skills!H6,1)</f>
        <v/>
      </c>
      <c r="H1249">
        <f>1-(1-Skills!J6/100)^Skills!K6</f>
        <v/>
      </c>
      <c r="I1249" t="inlineStr">
        <is>
          <t>1</t>
        </is>
      </c>
      <c r="J1249">
        <f>((Inputs!$B$6*(1+Inputs!$B$7/100))+(((Inputs!$B$12*(1+Inputs!$B$13/100))-(Inputs!$B$12*(1+Inputs!$B$13/100)))+0.25*(Inputs!$B$14-Inputs!$B$14))*(1+Inputs!$B$7/100))*(F1249/100)</f>
        <v/>
      </c>
      <c r="K1249">
        <f>J1249*(1+((Inputs!$B$12*(1+Inputs!$B$13/100))*0.01+Inputs!$B$14*0.0025)/100)*(1+Inputs!$B$15/100)*(1+Inputs!$B$16/100)*(5000/(6000+Inputs!$B$43*(1-(100*(1-(1-Inputs!$B$19/100)*(1-CHOOSE(ArtifactsInput!$N$40+1,5,6,7,8,9,10)/100)^(ArtifactsInput!$M$40-ArtifactsInput!$M$40)))/100)))*(1+(Inputs!$B$24+((C1274=TRUE)*(F1274-Calc!F31))+((C1261=TRUE)*(F1261-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+2.6666666666666665*IF(C1262=TRUE,F1262,0)/100)*(1+(IF(Skills!A6="CRUEL_STAB",Inputs!$B$17+((C1271=TRUE)*(F1271-Calc!F28))+((IF(AND(Inputs!$B$39&lt;&gt;"pvp",Inputs!$B$44=0),1,IF(IF(Inputs!$B$39="pvp",15,Inputs!$B$44)-(B1288)&lt;=0,1,MAX(0,IF(Inputs!$B$39="pvp",15,Inputs!$B$44)-MAX(5,B1288))/(IF(Inputs!$B$39="pvp",15,Inputs!$B$44)-(B1288))))*(IF(AND(ArtifactsInput!$M$42,((Inputs!$B$9+((C1269=TRUE)*(F1269-Calc!F26))+B1277+(ArtifactsInput!$M$24-ArtifactsInput!$M$24)*CHOOSE(ArtifactsInput!$N$24+1,10,12,14,16,18,20)+IF(ArtifactsInput!$M$10,CHOOSE(ArtifactsInput!$N$10+1,15,18,21,24,27,30)*(IF(Inputs!$B$39="pvp",MIN(15,15)/15,IF(AND(Inputs!$B$39&lt;&gt;"pvp",Inputs!$B$44&gt;0),MIN(15,Inputs!$B$44)/(Inputs!$B$44),0))),0)))&gt;=100),MIN(100,((Inputs!$B$9+((C1269=TRUE)*(F1269-Calc!F26))+B1277+(ArtifactsInput!$M$24-ArtifactsInput!$M$24)*CHOOSE(ArtifactsInput!$N$24+1,10,12,14,16,18,20)+IF(ArtifactsInput!$M$10,CHOOSE(ArtifactsInput!$N$10+1,15,18,21,24,27,30)*(IF(Inputs!$B$39="pvp",MIN(15,15)/15,IF(AND(Inputs!$B$39&lt;&gt;"pvp",Inputs!$B$44&gt;0),MIN(15,Inputs!$B$44)/(Inputs!$B$44),0))),0)))-100),0))*CHOOSE(ArtifactsInput!$N$42+1,0.6,0.72,0.84,0.96,1.08,1.2))),Inputs!$B$18+((C1272=TRUE)*(F1272-Calc!F29))+(IF(AND(Inputs!$B$39&lt;&gt;"pvp",Inputs!$B$44=0),1,IF(IF(Inputs!$B$39="pvp",15,Inputs!$B$44)-(B1288)&lt;=0,1,MAX(0,IF(Inputs!$B$39="pvp",15,Inputs!$B$44)-MAX(5,B1288))/(IF(Inputs!$B$39="pvp",15,Inputs!$B$44)-(B1288))))*IF(AND(ArtifactsInput!$M$42,((Inputs!$B$9+((C1269=TRUE)*(F1269-Calc!F26))+B1277+(ArtifactsInput!$M$24-ArtifactsInput!$M$24)*CHOOSE(ArtifactsInput!$N$24+1,10,12,14,16,18,20)+IF(ArtifactsInput!$M$10,CHOOSE(ArtifactsInput!$N$10+1,15,18,21,24,27,30)*(IF(Inputs!$B$39="pvp",MIN(15,15)/15,IF(AND(Inputs!$B$39&lt;&gt;"pvp",Inputs!$B$44&gt;0),MIN(15,Inputs!$B$44)/(Inputs!$B$44),0))),0)))&gt;=100),CHOOSE(ArtifactsInput!$N$42+1,40,48,56,64,72,80),0))))/100)*(((1+(((C1265=TRUE)*F1265*IF(AND(Inputs!$B$39&lt;&gt;"pvp",Inputs!$B$44&gt;0),(((R1265-1)*MIN((Skills!Y22*(1+Inputs!$B$34/100)),(1/Q1265))+MIN((Skills!Y22*(1+Inputs!$B$34/100)),MAX(0,Inputs!$B$44-((R1265-1)*(1/Q1265)))))/Inputs!$B$44),IF(Inputs!$B$39="pvp",MIN((Skills!Y22*(1+Inputs!$B$34/100)),15)/15,MIN(1,(Skills!Y22*(1+Inputs!$B$34/100))/(1/Q1265)))))+((C1246=TRUE)*F1246*3)+((C1248=TRUE)*F1248*(1-EXP(-0.75*B1281*5)))+((C1267=TRUE)*(F1267-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1254=TRUE)*F1254*IF(AND(Inputs!$B$39&lt;&gt;"pvp",Inputs!$B$44&gt;0),(((R1254-1)*MIN((Skills!Y11*(1+Inputs!$B$34/100)),(1/Q1254))+MIN((Skills!Y11*(1+Inputs!$B$34/100)),MAX(0,Inputs!$B$44-((R1254-1)*(1/Q1254)))))/Inputs!$B$44),IF(Inputs!$B$39="pvp",MIN((Skills!Y11*(1+Inputs!$B$34/100)),15)/15,MIN(1,(Skills!Y11*(1+Inputs!$B$34/100))/(1/Q1254)))))/100)*(1+((C1259=TRUE)*F1259*IF(AND(Inputs!$B$39&lt;&gt;"pvp",Inputs!$B$44&gt;0),(((R1259-1)*MIN((Skills!Y16*(1+Inputs!$B$34/100)),(1/Q1259))+MIN((Skills!Y16*(1+Inputs!$B$34/100)),MAX(0,Inputs!$B$44-((R1259-1)*(1/Q1259)))))/Inputs!$B$44),IF(Inputs!$B$39="pvp",MIN((Skills!Y16*(1+Inputs!$B$34/100)),15)/15,MIN(1,(Skills!Y16*(1+Inputs!$B$34/100))/(1/Q1259)))))/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1279*I1249)</f>
        <v/>
      </c>
      <c r="L1249">
        <f>K1249*(MIN(Inputs!$B$22+((C1268=TRUE)*(F1268-Calc!F25)),(Inputs!$B$23+((C1273=TRUE)*(F1273-Calc!F30))+IF(ArtifactsInput!$M$15,CHOOSE(ArtifactsInput!$N$15+1,25,30,35,40,45,50)/100*(Inputs!$B$11-Inputs!$B$11),0)))/100+(Inputs!$B$23+((C1273=TRUE)*(F1273-Calc!F30))+IF(ArtifactsInput!$M$15,CHOOSE(ArtifactsInput!$N$15+1,25,30,35,40,45,50)/100*(Inputs!$B$11-Inputs!$B$11),0))/100)/2</f>
        <v/>
      </c>
      <c r="M1249">
        <f>L1249*(1+(Inputs!$B$10+((C1270=TRUE)*(F1270-Calc!F27))+B1284+(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1249">
        <f>L1249*(1-MIN((Inputs!$B$9+((C1269=TRUE)*(F1269-Calc!F26))+B1277+(ArtifactsInput!$M$24-ArtifactsInput!$M$24)*CHOOSE(ArtifactsInput!$N$24+1,10,12,14,16,18,20)+(IF(AND(Inputs!$B$39&lt;&gt;"pvp",Inputs!$B$44=0),1,IF(IF(Inputs!$B$39="pvp",15,Inputs!$B$44)-(B1288)&lt;=0,1,MAX(0,IF(Inputs!$B$39="pvp",15,Inputs!$B$44)-MAX(5,B1288))/(IF(Inputs!$B$39="pvp",15,Inputs!$B$44)-(B1288))))*IF(AND(ArtifactsInput!$M$42,((Inputs!$B$9+((C1269=TRUE)*(F1269-Calc!F26))+B1277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1249*(MIN((Inputs!$B$9+((C1269=TRUE)*(F1269-Calc!F26))+B1277+(ArtifactsInput!$M$24-ArtifactsInput!$M$24)*CHOOSE(ArtifactsInput!$N$24+1,10,12,14,16,18,20)+(IF(AND(Inputs!$B$39&lt;&gt;"pvp",Inputs!$B$44=0),1,IF(IF(Inputs!$B$39="pvp",15,Inputs!$B$44)-(B1288)&lt;=0,1,MAX(0,IF(Inputs!$B$39="pvp",15,Inputs!$B$44)-MAX(5,B1288))/(IF(Inputs!$B$39="pvp",15,Inputs!$B$44)-(B1288))))*IF(AND(ArtifactsInput!$M$42,((Inputs!$B$9+((C1269=TRUE)*(F1269-Calc!F26))+B1277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249">
        <f>(1-Summary!$B$11)*T1249+Summary!$B$11*V1249</f>
        <v/>
      </c>
      <c r="P1249">
        <f>IF(B1289=0,0,O1249/B1289)</f>
        <v/>
      </c>
      <c r="Q1249">
        <f>IFERROR(1/IF(Inputs!$B$39="pvp",15,MAX(0.1,Skills!D6-IF(TRUE=TRUE,(Inputs!$B$32+1),0))),0)</f>
        <v/>
      </c>
      <c r="R1249">
        <f>IF(AND(Inputs!$B$39&lt;&gt;"pvp",Inputs!$B$44&gt;0),IF(MAX(0,Inputs!$B$44-B1288)&lt;=0,0,(INT(MAX(0,Inputs!$B$44-B1288)/IF(Inputs!$B$39="pvp",15,MAX(0.1,Skills!D6-IF(TRUE=TRUE,(Inputs!$B$32+1),0))))+1)),0)</f>
        <v/>
      </c>
      <c r="S1249">
        <f>IFERROR(O1249/N1249,0)</f>
        <v/>
      </c>
      <c r="T1249">
        <f>IF(C1249,(H1249*N1249*IF(AND(Inputs!$B$39&lt;&gt;"pvp",Inputs!$B$44&gt;0),((Skills!G6*((R1249-1)*IF(Skills!H6&gt;0,Skills!I6/Skills!H6,1)+IF(Skills!H6&gt;0,MIN(Skills!I6,MAX(0,MAX(0,Inputs!$B$44-B1288)-((R1249-1)*IF(Inputs!$B$39="pvp",15,MAX(0.1,Skills!D6-IF(TRUE=TRUE,(Inputs!$B$32+1),0))))))/Skills!H6,1)))/Inputs!$B$44),G1249*Q1249))*IF(Inputs!$B$39="pvp",1,1+(Inputs!$B$20+0+Skills!P6+B1278+(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Hunt"),CHOOSE(ArtifactsInput!$N$35+1,15,18,21,24,27,30)*(1-EXP(-(0.2*B1281)*5)),0)+IF(AND(ArtifactsInput!$M$22,Inputs!$B$4&lt;&gt;"Chapter Hunt"),CHOOSE(ArtifactsInput!$N$22+1,10,12,14,16,18,20)*((0*(((0.15*B1281*5))^0/1)+1*(((0.15*B1281*5))^1/1)+2*(((0.15*B1281*5))^2/2)+3*(((0.15*B1281*5))^3/6)+4*(((0.15*B1281*5))^4/24)+5*(((0.15*B1281*5))^5/120))/((((0.15*B1281*5))^0/1)+(((0.15*B1281*5))^1/1)+(((0.15*B1281*5))^2/2)+(((0.15*B1281*5))^3/6)+(((0.15*B1281*5))^4/24)+(((0.15*B1281*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1249*(1-MIN(100,(Inputs!$B$9+((C1269=TRUE)*(F1269-Calc!F26))+B1277+(ArtifactsInput!$M$24-ArtifactsInput!$M$24)*CHOOSE(ArtifactsInput!$N$24+1,10,12,14,16,18,20)+(IF(AND(Inputs!$B$39&lt;&gt;"pvp",Inputs!$B$44=0),1,IF(IF(Inputs!$B$39="pvp",15,Inputs!$B$44)-(B1288)&lt;=0,1,MAX(0,IF(Inputs!$B$39="pvp",15,Inputs!$B$44)-MAX(5,B1288))/(IF(Inputs!$B$39="pvp",15,Inputs!$B$44)-(B1288))))*IF(AND(ArtifactsInput!$M$42,((Inputs!$B$9+((C1269=TRUE)*(F1269-Calc!F26))+B1277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1249*(MIN(100,(Inputs!$B$9+((C1269=TRUE)*(F1269-Calc!F26))+B1277+(ArtifactsInput!$M$24-ArtifactsInput!$M$24)*CHOOSE(ArtifactsInput!$N$24+1,10,12,14,16,18,20)+(IF(AND(Inputs!$B$39&lt;&gt;"pvp",Inputs!$B$44=0),1,IF(IF(Inputs!$B$39="pvp",15,Inputs!$B$44)-(B1288)&lt;=0,1,MAX(0,IF(Inputs!$B$39="pvp",15,Inputs!$B$44)-MAX(5,B1288))/(IF(Inputs!$B$39="pvp",15,Inputs!$B$44)-(B1288))))*IF(AND(ArtifactsInput!$M$42,((Inputs!$B$9+((C1269=TRUE)*(F1269-Calc!F26))+B1277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1249*(1-MIN(100,(Inputs!$B$9+((C1269=TRUE)*(F1269-Calc!F26))+B1277+(ArtifactsInput!$M$24-ArtifactsInput!$M$24)*CHOOSE(ArtifactsInput!$N$24+1,10,12,14,16,18,20)+(IF(AND(Inputs!$B$39&lt;&gt;"pvp",Inputs!$B$44=0),1,IF(IF(Inputs!$B$39="pvp",15,Inputs!$B$44)-(B1288)&lt;=0,1,MAX(0,IF(Inputs!$B$39="pvp",15,Inputs!$B$44)-MAX(5,B1288))/(IF(Inputs!$B$39="pvp",15,Inputs!$B$44)-(B1288))))*IF(AND(ArtifactsInput!$M$42,((Inputs!$B$9+((C1269=TRUE)*(F1269-Calc!F26))+B1277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1249*(MIN(100,(Inputs!$B$9+((C1269=TRUE)*(F1269-Calc!F26))+B1277+(ArtifactsInput!$M$24-ArtifactsInput!$M$24)*CHOOSE(ArtifactsInput!$N$24+1,10,12,14,16,18,20)+(IF(AND(Inputs!$B$39&lt;&gt;"pvp",Inputs!$B$44=0),1,IF(IF(Inputs!$B$39="pvp",15,Inputs!$B$44)-(B1288)&lt;=0,1,MAX(0,IF(Inputs!$B$39="pvp",15,Inputs!$B$44)-MAX(5,B1288))/(IF(Inputs!$B$39="pvp",15,Inputs!$B$44)-(B1288))))*IF(AND(ArtifactsInput!$M$42,((Inputs!$B$9+((C1269=TRUE)*(F1269-Calc!F26))+B1277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1249">
        <f>IF(C1249,(H1249*N1249*IF(AND(Inputs!$B$39&lt;&gt;"pvp",Inputs!$B$44&gt;0),((Skills!G6*((R1249-1)*IF(Skills!H6&gt;0,Skills!I6/Skills!H6,1)+IF(Skills!H6&gt;0,MIN(Skills!I6,MAX(0,MAX(0,Inputs!$B$44-B1288)-((R1249-1)*IF(Inputs!$B$39="pvp",15,MAX(0.1,Skills!D6-IF(TRUE=TRUE,(Inputs!$B$32+1),0))))))/Skills!H6,1)))/Inputs!$B$44),G1249*Q1249))*IF(Inputs!$B$39="pvp",1,(1+(Inputs!$B$21+Skills!Q6+B1278+(IF(ArtifactsInput!$M$33,CHOOSE(ArtifactsInput!$N$33+1,30,36,42,48,54,60),0))+(IF(AND(ArtifactsInput!$M$35,Inputs!$B$4&lt;&gt;"Chapter Hunt"),CHOOSE(ArtifactsInput!$N$35+1,15,18,21,24,27,30)*(1-EXP(-(0.2*B1281)*5)),0)+IF(AND(ArtifactsInput!$M$22,Inputs!$B$4&lt;&gt;"Chapter Hunt"),CHOOSE(ArtifactsInput!$N$22+1,10,12,14,16,18,20)*((0*(((0.15*B1281*5))^0/1)+1*(((0.15*B1281*5))^1/1)+2*(((0.15*B1281*5))^2/2)+3*(((0.15*B1281*5))^3/6)+4*(((0.15*B1281*5))^4/24)+5*(((0.15*B1281*5))^5/120))/((((0.15*B1281*5))^0/1)+(((0.15*B1281*5))^1/1)+(((0.15*B1281*5))^2/2)+(((0.15*B1281*5))^3/6)+(((0.15*B1281*5))^4/24)+(((0.15*B1281*5))^5/120))),0)))/100)*(MIN(Skills!W6,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250">
      <c r="A1250">
        <f>Skills!A7</f>
        <v/>
      </c>
      <c r="B1250">
        <f>Skills!B7</f>
        <v/>
      </c>
      <c r="C1250">
        <f>Inputs!$B$3&gt;=69</f>
        <v/>
      </c>
      <c r="D1250">
        <f>IF(Skills!C7=1,60+Inputs!$B$25+Inputs!$B$29,IF(Skills!C7=2,90+Inputs!$B$26+Inputs!$B$29,IF(Skills!C7=3,120+Inputs!$B$27+Inputs!$B$29,MAX(0,(Inputs!$B$3-100)*3)+Inputs!$B$28+Inputs!$B$29)))</f>
        <v/>
      </c>
      <c r="E1250">
        <f>INDEX(FactorTable!$B$2:$Y$301, MATCH(ROUND(MIN(300,MAX(1,D1250)),0), FactorTable!$A$2:$A$301,0), Skills!M7+1)</f>
        <v/>
      </c>
      <c r="F1250">
        <f>IF(Skills!N7=TRUE,(Skills!L7/10)*(E1250/1000),Skills!L7/10)+Skills!O7</f>
        <v/>
      </c>
      <c r="G1250">
        <f>Skills!G7*IF(Skills!H7&gt;0,IF(Inputs!$B$39="pvp",MIN(Skills!I7,15),Skills!I7)/Skills!H7,1)</f>
        <v/>
      </c>
      <c r="H1250">
        <f>1-(1-Skills!J7/100)^Skills!K7</f>
        <v/>
      </c>
      <c r="I1250" t="inlineStr">
        <is>
          <t>1</t>
        </is>
      </c>
      <c r="J1250">
        <f>((Inputs!$B$6*(1+Inputs!$B$7/100))+(((Inputs!$B$12*(1+Inputs!$B$13/100))-(Inputs!$B$12*(1+Inputs!$B$13/100)))+0.25*(Inputs!$B$14-Inputs!$B$14))*(1+Inputs!$B$7/100))*(F1250/100)</f>
        <v/>
      </c>
      <c r="K1250">
        <f>J1250*(1+((Inputs!$B$12*(1+Inputs!$B$13/100))*0.01+Inputs!$B$14*0.0025)/100)*(1+Inputs!$B$15/100)*(1+Inputs!$B$16/100)*(5000/(6000+Inputs!$B$43*(1-(100*(1-(1-Inputs!$B$19/100)*(1-CHOOSE(ArtifactsInput!$N$40+1,5,6,7,8,9,10)/100)^(ArtifactsInput!$M$40-ArtifactsInput!$M$40)))/100)))*(1+(Inputs!$B$24+((C1274=TRUE)*(F1274-Calc!F31))+((C1261=TRUE)*(F1261-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1262=TRUE,F1262,0)/100)*(1+(IF(Skills!A7="CRUEL_STAB",Inputs!$B$17+((C1271=TRUE)*(F1271-Calc!F28))+((IF(AND(Inputs!$B$39&lt;&gt;"pvp",Inputs!$B$44=0),1,IF(IF(Inputs!$B$39="pvp",15,Inputs!$B$44)-(B1288)&lt;=0,1,MAX(0,IF(Inputs!$B$39="pvp",15,Inputs!$B$44)-MAX(5,B1288))/(IF(Inputs!$B$39="pvp",15,Inputs!$B$44)-(B1288))))*(IF(AND(ArtifactsInput!$M$42,((Inputs!$B$9+((C1269=TRUE)*(F1269-Calc!F26))+B1277+(ArtifactsInput!$M$24-ArtifactsInput!$M$24)*CHOOSE(ArtifactsInput!$N$24+1,10,12,14,16,18,20)+IF(ArtifactsInput!$M$10,CHOOSE(ArtifactsInput!$N$10+1,15,18,21,24,27,30)*(IF(Inputs!$B$39="pvp",MIN(15,15)/15,IF(AND(Inputs!$B$39&lt;&gt;"pvp",Inputs!$B$44&gt;0),MIN(15,Inputs!$B$44)/(Inputs!$B$44),0))),0)))&gt;=100),MIN(100,((Inputs!$B$9+((C1269=TRUE)*(F1269-Calc!F26))+B1277+(ArtifactsInput!$M$24-ArtifactsInput!$M$24)*CHOOSE(ArtifactsInput!$N$24+1,10,12,14,16,18,20)+IF(ArtifactsInput!$M$10,CHOOSE(ArtifactsInput!$N$10+1,15,18,21,24,27,30)*(IF(Inputs!$B$39="pvp",MIN(15,15)/15,IF(AND(Inputs!$B$39&lt;&gt;"pvp",Inputs!$B$44&gt;0),MIN(15,Inputs!$B$44)/(Inputs!$B$44),0))),0)))-100),0))*CHOOSE(ArtifactsInput!$N$42+1,0.6,0.72,0.84,0.96,1.08,1.2))),Inputs!$B$18+((C1272=TRUE)*(F1272-Calc!F29))+(IF(AND(Inputs!$B$39&lt;&gt;"pvp",Inputs!$B$44=0),1,IF(IF(Inputs!$B$39="pvp",15,Inputs!$B$44)-(B1288)&lt;=0,1,MAX(0,IF(Inputs!$B$39="pvp",15,Inputs!$B$44)-MAX(5,B1288))/(IF(Inputs!$B$39="pvp",15,Inputs!$B$44)-(B1288))))*IF(AND(ArtifactsInput!$M$42,((Inputs!$B$9+((C1269=TRUE)*(F1269-Calc!F26))+B1277+(ArtifactsInput!$M$24-ArtifactsInput!$M$24)*CHOOSE(ArtifactsInput!$N$24+1,10,12,14,16,18,20)+IF(ArtifactsInput!$M$10,CHOOSE(ArtifactsInput!$N$10+1,15,18,21,24,27,30)*(IF(Inputs!$B$39="pvp",MIN(15,15)/15,IF(AND(Inputs!$B$39&lt;&gt;"pvp",Inputs!$B$44&gt;0),MIN(15,Inputs!$B$44)/(Inputs!$B$44),0))),0)))&gt;=100),CHOOSE(ArtifactsInput!$N$42+1,40,48,56,64,72,80),0))))/100)*(((1+(((C1265=TRUE)*F1265*IF(AND(Inputs!$B$39&lt;&gt;"pvp",Inputs!$B$44&gt;0),(((R1265-1)*MIN((Skills!Y22*(1+Inputs!$B$34/100)),(1/Q1265))+MIN((Skills!Y22*(1+Inputs!$B$34/100)),MAX(0,Inputs!$B$44-((R1265-1)*(1/Q1265)))))/Inputs!$B$44),IF(Inputs!$B$39="pvp",MIN((Skills!Y22*(1+Inputs!$B$34/100)),15)/15,MIN(1,(Skills!Y22*(1+Inputs!$B$34/100))/(1/Q1265)))))+((C1246=TRUE)*F1246*3)+((C1248=TRUE)*F1248*(1-EXP(-0.75*B1281*5)))+((C1267=TRUE)*(F1267-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1254=TRUE)*F1254*IF(AND(Inputs!$B$39&lt;&gt;"pvp",Inputs!$B$44&gt;0),(((R1254-1)*MIN((Skills!Y11*(1+Inputs!$B$34/100)),(1/Q1254))+MIN((Skills!Y11*(1+Inputs!$B$34/100)),MAX(0,Inputs!$B$44-((R1254-1)*(1/Q1254)))))/Inputs!$B$44),IF(Inputs!$B$39="pvp",MIN((Skills!Y11*(1+Inputs!$B$34/100)),15)/15,MIN(1,(Skills!Y11*(1+Inputs!$B$34/100))/(1/Q1254)))))/100)*(1+((C1259=TRUE)*F1259*IF(AND(Inputs!$B$39&lt;&gt;"pvp",Inputs!$B$44&gt;0),(((R1259-1)*MIN((Skills!Y16*(1+Inputs!$B$34/100)),(1/Q1259))+MIN((Skills!Y16*(1+Inputs!$B$34/100)),MAX(0,Inputs!$B$44-((R1259-1)*(1/Q1259)))))/Inputs!$B$44),IF(Inputs!$B$39="pvp",MIN((Skills!Y16*(1+Inputs!$B$34/100)),15)/15,MIN(1,(Skills!Y16*(1+Inputs!$B$34/100))/(1/Q1259)))))/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1279*I1250)</f>
        <v/>
      </c>
      <c r="L1250">
        <f>K1250*(MIN(Inputs!$B$22+((C1268=TRUE)*(F1268-Calc!F25)),(Inputs!$B$23+((C1273=TRUE)*(F1273-Calc!F30))+IF(ArtifactsInput!$M$15,CHOOSE(ArtifactsInput!$N$15+1,25,30,35,40,45,50)/100*(Inputs!$B$11-Inputs!$B$11),0)))/100+(Inputs!$B$23+((C1273=TRUE)*(F1273-Calc!F30))+IF(ArtifactsInput!$M$15,CHOOSE(ArtifactsInput!$N$15+1,25,30,35,40,45,50)/100*(Inputs!$B$11-Inputs!$B$11),0))/100)/2</f>
        <v/>
      </c>
      <c r="M1250">
        <f>L1250*(1+(Inputs!$B$10+((C1270=TRUE)*(F1270-Calc!F27))+B1284+(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1250">
        <f>L1250*(1-MIN((Inputs!$B$9+((C1269=TRUE)*(F1269-Calc!F26))+B1277+(ArtifactsInput!$M$24-ArtifactsInput!$M$24)*CHOOSE(ArtifactsInput!$N$24+1,10,12,14,16,18,20)+(IF(AND(Inputs!$B$39&lt;&gt;"pvp",Inputs!$B$44=0),1,IF(IF(Inputs!$B$39="pvp",15,Inputs!$B$44)-(B1288)&lt;=0,1,MAX(0,IF(Inputs!$B$39="pvp",15,Inputs!$B$44)-MAX(5,B1288))/(IF(Inputs!$B$39="pvp",15,Inputs!$B$44)-(B1288))))*IF(AND(ArtifactsInput!$M$42,((Inputs!$B$9+((C1269=TRUE)*(F1269-Calc!F26))+B1277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1250*(MIN((Inputs!$B$9+((C1269=TRUE)*(F1269-Calc!F26))+B1277+(ArtifactsInput!$M$24-ArtifactsInput!$M$24)*CHOOSE(ArtifactsInput!$N$24+1,10,12,14,16,18,20)+(IF(AND(Inputs!$B$39&lt;&gt;"pvp",Inputs!$B$44=0),1,IF(IF(Inputs!$B$39="pvp",15,Inputs!$B$44)-(B1288)&lt;=0,1,MAX(0,IF(Inputs!$B$39="pvp",15,Inputs!$B$44)-MAX(5,B1288))/(IF(Inputs!$B$39="pvp",15,Inputs!$B$44)-(B1288))))*IF(AND(ArtifactsInput!$M$42,((Inputs!$B$9+((C1269=TRUE)*(F1269-Calc!F26))+B1277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250">
        <f>(1-Summary!$B$11)*T1250+Summary!$B$11*V1250</f>
        <v/>
      </c>
      <c r="P1250">
        <f>IF(B1289=0,0,O1250/B1289)</f>
        <v/>
      </c>
      <c r="Q1250">
        <f>IFERROR(1/IF(Inputs!$B$39="pvp",15,MAX(0.1,Skills!D7-IF(TRUE=TRUE,(Inputs!$B$32+1),0))),0)</f>
        <v/>
      </c>
      <c r="R1250">
        <f>IF(AND(Inputs!$B$39&lt;&gt;"pvp",Inputs!$B$44&gt;0),IF(MAX(0,Inputs!$B$44-B1288)&lt;=0,0,(INT(MAX(0,Inputs!$B$44-B1288)/IF(Inputs!$B$39="pvp",15,MAX(0.1,Skills!D7-IF(TRUE=TRUE,(Inputs!$B$32+1),0))))+1)),0)</f>
        <v/>
      </c>
      <c r="S1250">
        <f>IFERROR(O1250/N1250,0)</f>
        <v/>
      </c>
      <c r="T1250">
        <f>IF(C1250,(H1250*N1250*IF(AND(Inputs!$B$39&lt;&gt;"pvp",Inputs!$B$44&gt;0),((Skills!G7*((R1250-1)*IF(Skills!H7&gt;0,Skills!I7/Skills!H7,1)+IF(Skills!H7&gt;0,MIN(Skills!I7,MAX(0,MAX(0,Inputs!$B$44-B1288)-((R1250-1)*IF(Inputs!$B$39="pvp",15,MAX(0.1,Skills!D7-IF(TRUE=TRUE,(Inputs!$B$32+1),0))))))/Skills!H7,1)))/Inputs!$B$44),G1250*Q1250))*IF(Inputs!$B$39="pvp",1,1+(Inputs!$B$20+0+Skills!P7+B1278+(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Hunt"),CHOOSE(ArtifactsInput!$N$35+1,15,18,21,24,27,30)*(1-EXP(-(0.2*B1281)*5)),0)+IF(AND(ArtifactsInput!$M$22,Inputs!$B$4&lt;&gt;"Chapter Hunt"),CHOOSE(ArtifactsInput!$N$22+1,10,12,14,16,18,20)*((0*(((0.15*B1281*5))^0/1)+1*(((0.15*B1281*5))^1/1)+2*(((0.15*B1281*5))^2/2)+3*(((0.15*B1281*5))^3/6)+4*(((0.15*B1281*5))^4/24)+5*(((0.15*B1281*5))^5/120))/((((0.15*B1281*5))^0/1)+(((0.15*B1281*5))^1/1)+(((0.15*B1281*5))^2/2)+(((0.15*B1281*5))^3/6)+(((0.15*B1281*5))^4/24)+(((0.15*B1281*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1250*(1-MIN(100,(Inputs!$B$9+((C1269=TRUE)*(F1269-Calc!F26))+B1277+(ArtifactsInput!$M$24-ArtifactsInput!$M$24)*CHOOSE(ArtifactsInput!$N$24+1,10,12,14,16,18,20)+(IF(AND(Inputs!$B$39&lt;&gt;"pvp",Inputs!$B$44=0),1,IF(IF(Inputs!$B$39="pvp",15,Inputs!$B$44)-(B1288)&lt;=0,1,MAX(0,IF(Inputs!$B$39="pvp",15,Inputs!$B$44)-MAX(5,B1288))/(IF(Inputs!$B$39="pvp",15,Inputs!$B$44)-(B1288))))*IF(AND(ArtifactsInput!$M$42,((Inputs!$B$9+((C1269=TRUE)*(F1269-Calc!F26))+B1277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1250*(MIN(100,(Inputs!$B$9+((C1269=TRUE)*(F1269-Calc!F26))+B1277+(ArtifactsInput!$M$24-ArtifactsInput!$M$24)*CHOOSE(ArtifactsInput!$N$24+1,10,12,14,16,18,20)+(IF(AND(Inputs!$B$39&lt;&gt;"pvp",Inputs!$B$44=0),1,IF(IF(Inputs!$B$39="pvp",15,Inputs!$B$44)-(B1288)&lt;=0,1,MAX(0,IF(Inputs!$B$39="pvp",15,Inputs!$B$44)-MAX(5,B1288))/(IF(Inputs!$B$39="pvp",15,Inputs!$B$44)-(B1288))))*IF(AND(ArtifactsInput!$M$42,((Inputs!$B$9+((C1269=TRUE)*(F1269-Calc!F26))+B1277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1250*(1-MIN(100,(Inputs!$B$9+((C1269=TRUE)*(F1269-Calc!F26))+B1277+(ArtifactsInput!$M$24-ArtifactsInput!$M$24)*CHOOSE(ArtifactsInput!$N$24+1,10,12,14,16,18,20)+(IF(AND(Inputs!$B$39&lt;&gt;"pvp",Inputs!$B$44=0),1,IF(IF(Inputs!$B$39="pvp",15,Inputs!$B$44)-(B1288)&lt;=0,1,MAX(0,IF(Inputs!$B$39="pvp",15,Inputs!$B$44)-MAX(5,B1288))/(IF(Inputs!$B$39="pvp",15,Inputs!$B$44)-(B1288))))*IF(AND(ArtifactsInput!$M$42,((Inputs!$B$9+((C1269=TRUE)*(F1269-Calc!F26))+B1277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1250*(MIN(100,(Inputs!$B$9+((C1269=TRUE)*(F1269-Calc!F26))+B1277+(ArtifactsInput!$M$24-ArtifactsInput!$M$24)*CHOOSE(ArtifactsInput!$N$24+1,10,12,14,16,18,20)+(IF(AND(Inputs!$B$39&lt;&gt;"pvp",Inputs!$B$44=0),1,IF(IF(Inputs!$B$39="pvp",15,Inputs!$B$44)-(B1288)&lt;=0,1,MAX(0,IF(Inputs!$B$39="pvp",15,Inputs!$B$44)-MAX(5,B1288))/(IF(Inputs!$B$39="pvp",15,Inputs!$B$44)-(B1288))))*IF(AND(ArtifactsInput!$M$42,((Inputs!$B$9+((C1269=TRUE)*(F1269-Calc!F26))+B1277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1250">
        <f>IF(C1250,(H1250*N1250*IF(AND(Inputs!$B$39&lt;&gt;"pvp",Inputs!$B$44&gt;0),((Skills!G7*((R1250-1)*IF(Skills!H7&gt;0,Skills!I7/Skills!H7,1)+IF(Skills!H7&gt;0,MIN(Skills!I7,MAX(0,MAX(0,Inputs!$B$44-B1288)-((R1250-1)*IF(Inputs!$B$39="pvp",15,MAX(0.1,Skills!D7-IF(TRUE=TRUE,(Inputs!$B$32+1),0))))))/Skills!H7,1)))/Inputs!$B$44),G1250*Q1250))*IF(Inputs!$B$39="pvp",1,(1+(Inputs!$B$21+Skills!Q7+B1278+(IF(ArtifactsInput!$M$33,CHOOSE(ArtifactsInput!$N$33+1,30,36,42,48,54,60),0))+(IF(AND(ArtifactsInput!$M$35,Inputs!$B$4&lt;&gt;"Chapter Hunt"),CHOOSE(ArtifactsInput!$N$35+1,15,18,21,24,27,30)*(1-EXP(-(0.2*B1281)*5)),0)+IF(AND(ArtifactsInput!$M$22,Inputs!$B$4&lt;&gt;"Chapter Hunt"),CHOOSE(ArtifactsInput!$N$22+1,10,12,14,16,18,20)*((0*(((0.15*B1281*5))^0/1)+1*(((0.15*B1281*5))^1/1)+2*(((0.15*B1281*5))^2/2)+3*(((0.15*B1281*5))^3/6)+4*(((0.15*B1281*5))^4/24)+5*(((0.15*B1281*5))^5/120))/((((0.15*B1281*5))^0/1)+(((0.15*B1281*5))^1/1)+(((0.15*B1281*5))^2/2)+(((0.15*B1281*5))^3/6)+(((0.15*B1281*5))^4/24)+(((0.15*B1281*5))^5/120))),0)))/100)*(MIN(Skills!W7,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251">
      <c r="A1251">
        <f>Skills!A8</f>
        <v/>
      </c>
      <c r="B1251">
        <f>Skills!B8</f>
        <v/>
      </c>
      <c r="C1251">
        <f>Inputs!$B$3&gt;=60</f>
        <v/>
      </c>
      <c r="D1251">
        <f>IF(Skills!C8=1,60+Inputs!$B$25+Inputs!$B$29,IF(Skills!C8=2,90+Inputs!$B$26+Inputs!$B$29,IF(Skills!C8=3,120+Inputs!$B$27+Inputs!$B$29,MAX(0,(Inputs!$B$3-100)*3)+Inputs!$B$28+Inputs!$B$29)))</f>
        <v/>
      </c>
      <c r="E1251">
        <f>INDEX(FactorTable!$B$2:$Y$301, MATCH(ROUND(MIN(300,MAX(1,D1251)),0), FactorTable!$A$2:$A$301,0), Skills!M8+1)</f>
        <v/>
      </c>
      <c r="F1251">
        <f>IF(Skills!N8=TRUE,(Skills!L8/10)*(E1251/1000),Skills!L8/10)+Skills!O8</f>
        <v/>
      </c>
      <c r="G1251">
        <f>Skills!G8*IF(Skills!H8&gt;0,IF(Inputs!$B$39="pvp",MIN(Skills!I8,15),Skills!I8)/Skills!H8,1)</f>
        <v/>
      </c>
      <c r="H1251">
        <f>1-(1-Skills!J8/100)^Skills!K8</f>
        <v/>
      </c>
      <c r="I1251" t="inlineStr">
        <is>
          <t>1</t>
        </is>
      </c>
      <c r="J1251" t="inlineStr"/>
      <c r="K1251" t="inlineStr"/>
      <c r="L1251" t="inlineStr"/>
      <c r="M1251" t="inlineStr"/>
      <c r="N1251" t="inlineStr"/>
      <c r="O1251">
        <f>(1-Summary!$B$11)*T1251+Summary!$B$11*V1251</f>
        <v/>
      </c>
      <c r="P1251">
        <f>IF(B1289=0,0,O1251/B1289)</f>
        <v/>
      </c>
      <c r="Q1251" t="n">
        <v>0</v>
      </c>
      <c r="R1251" t="n">
        <v>0</v>
      </c>
      <c r="S1251">
        <f>IFERROR(O1251/N1251,0)</f>
        <v/>
      </c>
      <c r="T1251" t="n">
        <v>0</v>
      </c>
      <c r="V1251" t="n">
        <v>0</v>
      </c>
    </row>
    <row r="1252">
      <c r="A1252">
        <f>Skills!A9</f>
        <v/>
      </c>
      <c r="B1252">
        <f>Skills!B9</f>
        <v/>
      </c>
      <c r="C1252">
        <f>Inputs!$B$3&gt;=72</f>
        <v/>
      </c>
      <c r="D1252">
        <f>IF(Skills!C9=1,60+Inputs!$B$25+Inputs!$B$29,IF(Skills!C9=2,90+Inputs!$B$26+Inputs!$B$29,IF(Skills!C9=3,120+Inputs!$B$27+Inputs!$B$29,MAX(0,(Inputs!$B$3-100)*3)+Inputs!$B$28+Inputs!$B$29)))</f>
        <v/>
      </c>
      <c r="E1252">
        <f>INDEX(FactorTable!$B$2:$Y$301, MATCH(ROUND(MIN(300,MAX(1,D1252)),0), FactorTable!$A$2:$A$301,0), Skills!M9+1)</f>
        <v/>
      </c>
      <c r="F1252">
        <f>IF(Skills!N9=TRUE,(Skills!L9/10)*(E1252/1000),Skills!L9/10)+Skills!O9</f>
        <v/>
      </c>
      <c r="G1252">
        <f>Skills!G9*IF(Skills!H9&gt;0,IF(Inputs!$B$39="pvp",MIN(Skills!I9,15),Skills!I9)/Skills!H9,1)</f>
        <v/>
      </c>
      <c r="H1252">
        <f>1-(1-Skills!J9/100)^Skills!K9</f>
        <v/>
      </c>
      <c r="I1252" t="inlineStr">
        <is>
          <t>1</t>
        </is>
      </c>
      <c r="J1252">
        <f>((Inputs!$B$6*(1+Inputs!$B$7/100))+(((Inputs!$B$12*(1+Inputs!$B$13/100))-(Inputs!$B$12*(1+Inputs!$B$13/100)))+0.25*(Inputs!$B$14-Inputs!$B$14))*(1+Inputs!$B$7/100))*(F1252/100)</f>
        <v/>
      </c>
      <c r="K1252">
        <f>J1252*(1+((Inputs!$B$12*(1+Inputs!$B$13/100))*0.01+Inputs!$B$14*0.0025)/100)*(1+Inputs!$B$15/100)*(1+Inputs!$B$16/100)*(5000/(6000+Inputs!$B$43*(1-(100*(1-(1-Inputs!$B$19/100)*(1-CHOOSE(ArtifactsInput!$N$40+1,5,6,7,8,9,10)/100)^(ArtifactsInput!$M$40-ArtifactsInput!$M$40)))/100)))*(1+(Inputs!$B$24+((C1274=TRUE)*(F1274-Calc!F31))+((C1261=TRUE)*(F1261-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+3.3333333333333335*IF(C1262=TRUE,F1262,0)/100)*(1+(IF(Skills!A9="CRUEL_STAB",Inputs!$B$17+((C1271=TRUE)*(F1271-Calc!F28))+((IF(AND(Inputs!$B$39&lt;&gt;"pvp",Inputs!$B$44=0),1,IF(IF(Inputs!$B$39="pvp",15,Inputs!$B$44)-(B1288)&lt;=0,1,MAX(0,IF(Inputs!$B$39="pvp",15,Inputs!$B$44)-MAX(5,B1288))/(IF(Inputs!$B$39="pvp",15,Inputs!$B$44)-(B1288))))*(IF(AND(ArtifactsInput!$M$42,((Inputs!$B$9+((C1269=TRUE)*(F1269-Calc!F26))+B1277+(ArtifactsInput!$M$24-ArtifactsInput!$M$24)*CHOOSE(ArtifactsInput!$N$24+1,10,12,14,16,18,20)+IF(ArtifactsInput!$M$10,CHOOSE(ArtifactsInput!$N$10+1,15,18,21,24,27,30)*(IF(Inputs!$B$39="pvp",MIN(15,15)/15,IF(AND(Inputs!$B$39&lt;&gt;"pvp",Inputs!$B$44&gt;0),MIN(15,Inputs!$B$44)/(Inputs!$B$44),0))),0)))&gt;=100),MIN(100,((Inputs!$B$9+((C1269=TRUE)*(F1269-Calc!F26))+B1277+(ArtifactsInput!$M$24-ArtifactsInput!$M$24)*CHOOSE(ArtifactsInput!$N$24+1,10,12,14,16,18,20)+IF(ArtifactsInput!$M$10,CHOOSE(ArtifactsInput!$N$10+1,15,18,21,24,27,30)*(IF(Inputs!$B$39="pvp",MIN(15,15)/15,IF(AND(Inputs!$B$39&lt;&gt;"pvp",Inputs!$B$44&gt;0),MIN(15,Inputs!$B$44)/(Inputs!$B$44),0))),0)))-100),0))*CHOOSE(ArtifactsInput!$N$42+1,0.6,0.72,0.84,0.96,1.08,1.2))),Inputs!$B$18+((C1272=TRUE)*(F1272-Calc!F29))+(IF(AND(Inputs!$B$39&lt;&gt;"pvp",Inputs!$B$44=0),1,IF(IF(Inputs!$B$39="pvp",15,Inputs!$B$44)-(B1288)&lt;=0,1,MAX(0,IF(Inputs!$B$39="pvp",15,Inputs!$B$44)-MAX(5,B1288))/(IF(Inputs!$B$39="pvp",15,Inputs!$B$44)-(B1288))))*IF(AND(ArtifactsInput!$M$42,((Inputs!$B$9+((C1269=TRUE)*(F1269-Calc!F26))+B1277+(ArtifactsInput!$M$24-ArtifactsInput!$M$24)*CHOOSE(ArtifactsInput!$N$24+1,10,12,14,16,18,20)+IF(ArtifactsInput!$M$10,CHOOSE(ArtifactsInput!$N$10+1,15,18,21,24,27,30)*(IF(Inputs!$B$39="pvp",MIN(15,15)/15,IF(AND(Inputs!$B$39&lt;&gt;"pvp",Inputs!$B$44&gt;0),MIN(15,Inputs!$B$44)/(Inputs!$B$44),0))),0)))&gt;=100),CHOOSE(ArtifactsInput!$N$42+1,40,48,56,64,72,80),0))))/100)*(((1+(((C1265=TRUE)*F1265*IF(AND(Inputs!$B$39&lt;&gt;"pvp",Inputs!$B$44&gt;0),(((R1265-1)*MIN((Skills!Y22*(1+Inputs!$B$34/100)),(1/Q1265))+MIN((Skills!Y22*(1+Inputs!$B$34/100)),MAX(0,Inputs!$B$44-((R1265-1)*(1/Q1265)))))/Inputs!$B$44),IF(Inputs!$B$39="pvp",MIN((Skills!Y22*(1+Inputs!$B$34/100)),15)/15,MIN(1,(Skills!Y22*(1+Inputs!$B$34/100))/(1/Q1265)))))+((C1246=TRUE)*F1246*3)+((C1248=TRUE)*F1248*(1-EXP(-0.75*B1281*5)))+((C1267=TRUE)*(F1267-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1254=TRUE)*F1254*IF(AND(Inputs!$B$39&lt;&gt;"pvp",Inputs!$B$44&gt;0),(((R1254-1)*MIN((Skills!Y11*(1+Inputs!$B$34/100)),(1/Q1254))+MIN((Skills!Y11*(1+Inputs!$B$34/100)),MAX(0,Inputs!$B$44-((R1254-1)*(1/Q1254)))))/Inputs!$B$44),IF(Inputs!$B$39="pvp",MIN((Skills!Y11*(1+Inputs!$B$34/100)),15)/15,MIN(1,(Skills!Y11*(1+Inputs!$B$34/100))/(1/Q1254)))))/100)*(1+((C1259=TRUE)*F1259*IF(AND(Inputs!$B$39&lt;&gt;"pvp",Inputs!$B$44&gt;0),(((R1259-1)*MIN((Skills!Y16*(1+Inputs!$B$34/100)),(1/Q1259))+MIN((Skills!Y16*(1+Inputs!$B$34/100)),MAX(0,Inputs!$B$44-((R1259-1)*(1/Q1259)))))/Inputs!$B$44),IF(Inputs!$B$39="pvp",MIN((Skills!Y16*(1+Inputs!$B$34/100)),15)/15,MIN(1,(Skills!Y16*(1+Inputs!$B$34/100))/(1/Q1259)))))/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1279*I1252)</f>
        <v/>
      </c>
      <c r="L1252">
        <f>K1252*(MIN(Inputs!$B$22+((C1268=TRUE)*(F1268-Calc!F25)),(Inputs!$B$23+((C1273=TRUE)*(F1273-Calc!F30))+IF(ArtifactsInput!$M$15,CHOOSE(ArtifactsInput!$N$15+1,25,30,35,40,45,50)/100*(Inputs!$B$11-Inputs!$B$11),0)))/100+(Inputs!$B$23+((C1273=TRUE)*(F1273-Calc!F30))+IF(ArtifactsInput!$M$15,CHOOSE(ArtifactsInput!$N$15+1,25,30,35,40,45,50)/100*(Inputs!$B$11-Inputs!$B$11),0))/100)/2</f>
        <v/>
      </c>
      <c r="M1252">
        <f>L1252*(1+(Inputs!$B$10+((C1270=TRUE)*(F1270-Calc!F27))+B1284+(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1252">
        <f>L1252*(1-MIN((Inputs!$B$9+((C1269=TRUE)*(F1269-Calc!F26))+B1277+(ArtifactsInput!$M$24-ArtifactsInput!$M$24)*CHOOSE(ArtifactsInput!$N$24+1,10,12,14,16,18,20)+(IF(AND(Inputs!$B$39&lt;&gt;"pvp",Inputs!$B$44=0),1,IF(IF(Inputs!$B$39="pvp",15,Inputs!$B$44)-(B1288)&lt;=0,1,MAX(0,IF(Inputs!$B$39="pvp",15,Inputs!$B$44)-MAX(5,B1288))/(IF(Inputs!$B$39="pvp",15,Inputs!$B$44)-(B1288))))*IF(AND(ArtifactsInput!$M$42,((Inputs!$B$9+((C1269=TRUE)*(F1269-Calc!F26))+B1277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1252*(MIN((Inputs!$B$9+((C1269=TRUE)*(F1269-Calc!F26))+B1277+(ArtifactsInput!$M$24-ArtifactsInput!$M$24)*CHOOSE(ArtifactsInput!$N$24+1,10,12,14,16,18,20)+(IF(AND(Inputs!$B$39&lt;&gt;"pvp",Inputs!$B$44=0),1,IF(IF(Inputs!$B$39="pvp",15,Inputs!$B$44)-(B1288)&lt;=0,1,MAX(0,IF(Inputs!$B$39="pvp",15,Inputs!$B$44)-MAX(5,B1288))/(IF(Inputs!$B$39="pvp",15,Inputs!$B$44)-(B1288))))*IF(AND(ArtifactsInput!$M$42,((Inputs!$B$9+((C1269=TRUE)*(F1269-Calc!F26))+B1277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252">
        <f>(1-Summary!$B$11)*T1252+Summary!$B$11*V1252</f>
        <v/>
      </c>
      <c r="P1252">
        <f>IF(B1289=0,0,O1252/B1289)</f>
        <v/>
      </c>
      <c r="Q1252">
        <f>IFERROR(1/IF(Inputs!$B$39="pvp",15,MAX(0.1,Skills!D9-IF(FALSE=TRUE,(Inputs!$B$32+1),0))),0)</f>
        <v/>
      </c>
      <c r="R1252">
        <f>IF(AND(Inputs!$B$39&lt;&gt;"pvp",Inputs!$B$44&gt;0),IF(MAX(0,Inputs!$B$44-B1288)&lt;=0,0,(INT(MAX(0,Inputs!$B$44-B1288)/IF(Inputs!$B$39="pvp",15,MAX(0.1,Skills!D9-IF(FALSE=TRUE,(Inputs!$B$32+1),0))))+1)),0)</f>
        <v/>
      </c>
      <c r="S1252">
        <f>IFERROR(O1252/N1252,0)</f>
        <v/>
      </c>
      <c r="T1252">
        <f>IF(C1252,(H1252*N1252*IF(AND(Inputs!$B$39&lt;&gt;"pvp",Inputs!$B$44&gt;0),((Skills!G9*((R1252-1)*IF(Skills!H9&gt;0,Skills!I9/Skills!H9,1)+IF(Skills!H9&gt;0,MIN(Skills!I9,MAX(0,MAX(0,Inputs!$B$44-B1288)-((R1252-1)*IF(Inputs!$B$39="pvp",15,MAX(0.1,Skills!D9-IF(FALSE=TRUE,(Inputs!$B$32+1),0))))))/Skills!H9,1)))/Inputs!$B$44),G1252*Q1252))*IF(Inputs!$B$39="pvp",1,1+(Inputs!$B$20+0+Skills!P9+B1278+(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Hunt"),CHOOSE(ArtifactsInput!$N$35+1,15,18,21,24,27,30)*(1-EXP(-(0.2*B1281)*5)),0)+IF(AND(ArtifactsInput!$M$22,Inputs!$B$4&lt;&gt;"Chapter Hunt"),CHOOSE(ArtifactsInput!$N$22+1,10,12,14,16,18,20)*((0*(((0.15*B1281*5))^0/1)+1*(((0.15*B1281*5))^1/1)+2*(((0.15*B1281*5))^2/2)+3*(((0.15*B1281*5))^3/6)+4*(((0.15*B1281*5))^4/24)+5*(((0.15*B1281*5))^5/120))/((((0.15*B1281*5))^0/1)+(((0.15*B1281*5))^1/1)+(((0.15*B1281*5))^2/2)+(((0.15*B1281*5))^3/6)+(((0.15*B1281*5))^4/24)+(((0.15*B1281*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1252*(1-MIN(100,(Inputs!$B$9+((C1269=TRUE)*(F1269-Calc!F26))+B1277+(ArtifactsInput!$M$24-ArtifactsInput!$M$24)*CHOOSE(ArtifactsInput!$N$24+1,10,12,14,16,18,20)+(IF(AND(Inputs!$B$39&lt;&gt;"pvp",Inputs!$B$44=0),1,IF(IF(Inputs!$B$39="pvp",15,Inputs!$B$44)-(B1288)&lt;=0,1,MAX(0,IF(Inputs!$B$39="pvp",15,Inputs!$B$44)-MAX(5,B1288))/(IF(Inputs!$B$39="pvp",15,Inputs!$B$44)-(B1288))))*IF(AND(ArtifactsInput!$M$42,((Inputs!$B$9+((C1269=TRUE)*(F1269-Calc!F26))+B1277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1252*(MIN(100,(Inputs!$B$9+((C1269=TRUE)*(F1269-Calc!F26))+B1277+(ArtifactsInput!$M$24-ArtifactsInput!$M$24)*CHOOSE(ArtifactsInput!$N$24+1,10,12,14,16,18,20)+(IF(AND(Inputs!$B$39&lt;&gt;"pvp",Inputs!$B$44=0),1,IF(IF(Inputs!$B$39="pvp",15,Inputs!$B$44)-(B1288)&lt;=0,1,MAX(0,IF(Inputs!$B$39="pvp",15,Inputs!$B$44)-MAX(5,B1288))/(IF(Inputs!$B$39="pvp",15,Inputs!$B$44)-(B1288))))*IF(AND(ArtifactsInput!$M$42,((Inputs!$B$9+((C1269=TRUE)*(F1269-Calc!F26))+B1277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1252*(1-MIN(100,(Inputs!$B$9+((C1269=TRUE)*(F1269-Calc!F26))+B1277+(ArtifactsInput!$M$24-ArtifactsInput!$M$24)*CHOOSE(ArtifactsInput!$N$24+1,10,12,14,16,18,20)+(IF(AND(Inputs!$B$39&lt;&gt;"pvp",Inputs!$B$44=0),1,IF(IF(Inputs!$B$39="pvp",15,Inputs!$B$44)-(B1288)&lt;=0,1,MAX(0,IF(Inputs!$B$39="pvp",15,Inputs!$B$44)-MAX(5,B1288))/(IF(Inputs!$B$39="pvp",15,Inputs!$B$44)-(B1288))))*IF(AND(ArtifactsInput!$M$42,((Inputs!$B$9+((C1269=TRUE)*(F1269-Calc!F26))+B1277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1252*(MIN(100,(Inputs!$B$9+((C1269=TRUE)*(F1269-Calc!F26))+B1277+(ArtifactsInput!$M$24-ArtifactsInput!$M$24)*CHOOSE(ArtifactsInput!$N$24+1,10,12,14,16,18,20)+(IF(AND(Inputs!$B$39&lt;&gt;"pvp",Inputs!$B$44=0),1,IF(IF(Inputs!$B$39="pvp",15,Inputs!$B$44)-(B1288)&lt;=0,1,MAX(0,IF(Inputs!$B$39="pvp",15,Inputs!$B$44)-MAX(5,B1288))/(IF(Inputs!$B$39="pvp",15,Inputs!$B$44)-(B1288))))*IF(AND(ArtifactsInput!$M$42,((Inputs!$B$9+((C1269=TRUE)*(F1269-Calc!F26))+B1277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1252">
        <f>IF(C1252,(H1252*N1252*IF(AND(Inputs!$B$39&lt;&gt;"pvp",Inputs!$B$44&gt;0),((Skills!G9*((R1252-1)*IF(Skills!H9&gt;0,Skills!I9/Skills!H9,1)+IF(Skills!H9&gt;0,MIN(Skills!I9,MAX(0,MAX(0,Inputs!$B$44-B1288)-((R1252-1)*IF(Inputs!$B$39="pvp",15,MAX(0.1,Skills!D9-IF(FALSE=TRUE,(Inputs!$B$32+1),0))))))/Skills!H9,1)))/Inputs!$B$44),G1252*Q1252))*IF(Inputs!$B$39="pvp",1,(1+(Inputs!$B$21+Skills!Q9+B1278+(IF(ArtifactsInput!$M$33,CHOOSE(ArtifactsInput!$N$33+1,30,36,42,48,54,60),0))+(IF(AND(ArtifactsInput!$M$35,Inputs!$B$4&lt;&gt;"Chapter Hunt"),CHOOSE(ArtifactsInput!$N$35+1,15,18,21,24,27,30)*(1-EXP(-(0.2*B1281)*5)),0)+IF(AND(ArtifactsInput!$M$22,Inputs!$B$4&lt;&gt;"Chapter Hunt"),CHOOSE(ArtifactsInput!$N$22+1,10,12,14,16,18,20)*((0*(((0.15*B1281*5))^0/1)+1*(((0.15*B1281*5))^1/1)+2*(((0.15*B1281*5))^2/2)+3*(((0.15*B1281*5))^3/6)+4*(((0.15*B1281*5))^4/24)+5*(((0.15*B1281*5))^5/120))/((((0.15*B1281*5))^0/1)+(((0.15*B1281*5))^1/1)+(((0.15*B1281*5))^2/2)+(((0.15*B1281*5))^3/6)+(((0.15*B1281*5))^4/24)+(((0.15*B1281*5))^5/120))),0)))/100)*(MIN(Skills!W9,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253">
      <c r="A1253">
        <f>Skills!A10</f>
        <v/>
      </c>
      <c r="B1253">
        <f>Skills!B10</f>
        <v/>
      </c>
      <c r="C1253">
        <f>Inputs!$B$3&gt;=117</f>
        <v/>
      </c>
      <c r="D1253">
        <f>IF(Skills!C10=1,60+Inputs!$B$25+Inputs!$B$29,IF(Skills!C10=2,90+Inputs!$B$26+Inputs!$B$29,IF(Skills!C10=3,120+Inputs!$B$27+Inputs!$B$29,MAX(0,(Inputs!$B$3-100)*3)+Inputs!$B$28+Inputs!$B$29)))</f>
        <v/>
      </c>
      <c r="E1253">
        <f>INDEX(FactorTable!$B$2:$Y$301, MATCH(ROUND(MIN(300,MAX(1,D1253)),0), FactorTable!$A$2:$A$301,0), Skills!M10+1)</f>
        <v/>
      </c>
      <c r="F1253">
        <f>IF(Skills!N10=TRUE,(Skills!L10/10)*(E1253/1000),Skills!L10/10)+Skills!O10</f>
        <v/>
      </c>
      <c r="G1253">
        <f>Skills!G10*IF(Skills!H10&gt;0,IF(Inputs!$B$39="pvp",MIN(Skills!I10,15),Skills!I10)/Skills!H10,1)</f>
        <v/>
      </c>
      <c r="H1253">
        <f>1-(1-Skills!J10/100)^Skills!K10</f>
        <v/>
      </c>
      <c r="I1253" t="inlineStr">
        <is>
          <t>1</t>
        </is>
      </c>
      <c r="J1253">
        <f>((Inputs!$B$6*(1+Inputs!$B$7/100))+(((Inputs!$B$12*(1+Inputs!$B$13/100))-(Inputs!$B$12*(1+Inputs!$B$13/100)))+0.25*(Inputs!$B$14-Inputs!$B$14))*(1+Inputs!$B$7/100))*(F1253/100)</f>
        <v/>
      </c>
      <c r="K1253">
        <f>J1253*(1+((Inputs!$B$12*(1+Inputs!$B$13/100))*0.01+Inputs!$B$14*0.0025)/100)*(1+Inputs!$B$15/100)*(1+Inputs!$B$16/100)*(5000/(6000+Inputs!$B$43*(1-(100*(1-(1-Inputs!$B$19/100)*(1-CHOOSE(ArtifactsInput!$N$40+1,5,6,7,8,9,10)/100)^(ArtifactsInput!$M$40-ArtifactsInput!$M$40)))/100)))*(1+(Inputs!$B$24+((C1274=TRUE)*(F1274-Calc!F31))+((C1261=TRUE)*(F1261-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10="CRUEL_STAB",Inputs!$B$17+((C1271=TRUE)*(F1271-Calc!F28))+((IF(AND(Inputs!$B$39&lt;&gt;"pvp",Inputs!$B$44=0),1,IF(IF(Inputs!$B$39="pvp",15,Inputs!$B$44)-(B1288)&lt;=0,1,MAX(0,IF(Inputs!$B$39="pvp",15,Inputs!$B$44)-MAX(5,B1288))/(IF(Inputs!$B$39="pvp",15,Inputs!$B$44)-(B1288))))*(IF(AND(ArtifactsInput!$M$42,((Inputs!$B$9+((C1269=TRUE)*(F1269-Calc!F26))+B1277+(ArtifactsInput!$M$24-ArtifactsInput!$M$24)*CHOOSE(ArtifactsInput!$N$24+1,10,12,14,16,18,20)+IF(ArtifactsInput!$M$10,CHOOSE(ArtifactsInput!$N$10+1,15,18,21,24,27,30)*(IF(Inputs!$B$39="pvp",MIN(15,15)/15,IF(AND(Inputs!$B$39&lt;&gt;"pvp",Inputs!$B$44&gt;0),MIN(15,Inputs!$B$44)/(Inputs!$B$44),0))),0)))&gt;=100),MIN(100,((Inputs!$B$9+((C1269=TRUE)*(F1269-Calc!F26))+B1277+(ArtifactsInput!$M$24-ArtifactsInput!$M$24)*CHOOSE(ArtifactsInput!$N$24+1,10,12,14,16,18,20)+IF(ArtifactsInput!$M$10,CHOOSE(ArtifactsInput!$N$10+1,15,18,21,24,27,30)*(IF(Inputs!$B$39="pvp",MIN(15,15)/15,IF(AND(Inputs!$B$39&lt;&gt;"pvp",Inputs!$B$44&gt;0),MIN(15,Inputs!$B$44)/(Inputs!$B$44),0))),0)))-100),0))*CHOOSE(ArtifactsInput!$N$42+1,0.6,0.72,0.84,0.96,1.08,1.2))),Inputs!$B$18+((C1272=TRUE)*(F1272-Calc!F29))+(IF(AND(Inputs!$B$39&lt;&gt;"pvp",Inputs!$B$44=0),1,IF(IF(Inputs!$B$39="pvp",15,Inputs!$B$44)-(B1288)&lt;=0,1,MAX(0,IF(Inputs!$B$39="pvp",15,Inputs!$B$44)-MAX(5,B1288))/(IF(Inputs!$B$39="pvp",15,Inputs!$B$44)-(B1288))))*IF(AND(ArtifactsInput!$M$42,((Inputs!$B$9+((C1269=TRUE)*(F1269-Calc!F26))+B1277+(ArtifactsInput!$M$24-ArtifactsInput!$M$24)*CHOOSE(ArtifactsInput!$N$24+1,10,12,14,16,18,20)+IF(ArtifactsInput!$M$10,CHOOSE(ArtifactsInput!$N$10+1,15,18,21,24,27,30)*(IF(Inputs!$B$39="pvp",MIN(15,15)/15,IF(AND(Inputs!$B$39&lt;&gt;"pvp",Inputs!$B$44&gt;0),MIN(15,Inputs!$B$44)/(Inputs!$B$44),0))),0)))&gt;=100),CHOOSE(ArtifactsInput!$N$42+1,40,48,56,64,72,80),0))))/100)*(((1+(((C1265=TRUE)*F1265*IF(AND(Inputs!$B$39&lt;&gt;"pvp",Inputs!$B$44&gt;0),(((R1265-1)*MIN((Skills!Y22*(1+Inputs!$B$34/100)),(1/Q1265))+MIN((Skills!Y22*(1+Inputs!$B$34/100)),MAX(0,Inputs!$B$44-((R1265-1)*(1/Q1265)))))/Inputs!$B$44),IF(Inputs!$B$39="pvp",MIN((Skills!Y22*(1+Inputs!$B$34/100)),15)/15,MIN(1,(Skills!Y22*(1+Inputs!$B$34/100))/(1/Q1265)))))+((C1246=TRUE)*F1246*3)+((C1248=TRUE)*F1248*(1-EXP(-0.75*B1281*5)))+((C1267=TRUE)*(F1267-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1254=TRUE)*F1254*IF(AND(Inputs!$B$39&lt;&gt;"pvp",Inputs!$B$44&gt;0),(((R1254-1)*MIN((Skills!Y11*(1+Inputs!$B$34/100)),(1/Q1254))+MIN((Skills!Y11*(1+Inputs!$B$34/100)),MAX(0,Inputs!$B$44-((R1254-1)*(1/Q1254)))))/Inputs!$B$44),IF(Inputs!$B$39="pvp",MIN((Skills!Y11*(1+Inputs!$B$34/100)),15)/15,MIN(1,(Skills!Y11*(1+Inputs!$B$34/100))/(1/Q1254)))))/100)*(1+((C1259=TRUE)*F1259*IF(AND(Inputs!$B$39&lt;&gt;"pvp",Inputs!$B$44&gt;0),(((R1259-1)*MIN((Skills!Y16*(1+Inputs!$B$34/100)),(1/Q1259))+MIN((Skills!Y16*(1+Inputs!$B$34/100)),MAX(0,Inputs!$B$44-((R1259-1)*(1/Q1259)))))/Inputs!$B$44),IF(Inputs!$B$39="pvp",MIN((Skills!Y16*(1+Inputs!$B$34/100)),15)/15,MIN(1,(Skills!Y16*(1+Inputs!$B$34/100))/(1/Q1259)))))/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1279*I1253)</f>
        <v/>
      </c>
      <c r="L1253">
        <f>K1253*(MIN(Inputs!$B$22+((C1268=TRUE)*(F1268-Calc!F25)),(Inputs!$B$23+((C1273=TRUE)*(F1273-Calc!F30))+IF(ArtifactsInput!$M$15,CHOOSE(ArtifactsInput!$N$15+1,25,30,35,40,45,50)/100*(Inputs!$B$11-Inputs!$B$11),0)))/100+(Inputs!$B$23+((C1273=TRUE)*(F1273-Calc!F30))+IF(ArtifactsInput!$M$15,CHOOSE(ArtifactsInput!$N$15+1,25,30,35,40,45,50)/100*(Inputs!$B$11-Inputs!$B$11),0))/100)/2</f>
        <v/>
      </c>
      <c r="M1253">
        <f>L1253*(1+(Inputs!$B$10+((C1270=TRUE)*(F1270-Calc!F27))+B1284+(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1253">
        <f>L1253*(1-MIN((Inputs!$B$9+((C1269=TRUE)*(F1269-Calc!F26))+B1277+(ArtifactsInput!$M$24-ArtifactsInput!$M$24)*CHOOSE(ArtifactsInput!$N$24+1,10,12,14,16,18,20)+(IF(AND(Inputs!$B$39&lt;&gt;"pvp",Inputs!$B$44=0),1,IF(IF(Inputs!$B$39="pvp",15,Inputs!$B$44)-(B1288)&lt;=0,1,MAX(0,IF(Inputs!$B$39="pvp",15,Inputs!$B$44)-MAX(5,B1288))/(IF(Inputs!$B$39="pvp",15,Inputs!$B$44)-(B1288))))*IF(AND(ArtifactsInput!$M$42,((Inputs!$B$9+((C1269=TRUE)*(F1269-Calc!F26))+B1277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1253*(MIN((Inputs!$B$9+((C1269=TRUE)*(F1269-Calc!F26))+B1277+(ArtifactsInput!$M$24-ArtifactsInput!$M$24)*CHOOSE(ArtifactsInput!$N$24+1,10,12,14,16,18,20)+(IF(AND(Inputs!$B$39&lt;&gt;"pvp",Inputs!$B$44=0),1,IF(IF(Inputs!$B$39="pvp",15,Inputs!$B$44)-(B1288)&lt;=0,1,MAX(0,IF(Inputs!$B$39="pvp",15,Inputs!$B$44)-MAX(5,B1288))/(IF(Inputs!$B$39="pvp",15,Inputs!$B$44)-(B1288))))*IF(AND(ArtifactsInput!$M$42,((Inputs!$B$9+((C1269=TRUE)*(F1269-Calc!F26))+B1277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253">
        <f>(1-Summary!$B$11)*T1253+Summary!$B$11*V1253</f>
        <v/>
      </c>
      <c r="P1253">
        <f>IF(B1289=0,0,O1253/B1289)</f>
        <v/>
      </c>
      <c r="Q1253" t="n">
        <v>0</v>
      </c>
      <c r="R1253" t="n">
        <v>0</v>
      </c>
      <c r="S1253" t="n">
        <v>0</v>
      </c>
      <c r="T1253">
        <f>IF(C1253,(0.2*SUMPRODUCT((Skills!Z2:Z31=TRUE)*(C1245:C1274=TRUE)*S1245:S1274)*N1253)*IF(Inputs!$B$39="pvp",1,1+(Inputs!$B$20+0+Skills!P10+B1278+(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Hunt"),CHOOSE(ArtifactsInput!$N$35+1,15,18,21,24,27,30)*(1-EXP(-(0.2*B1281)*5)),0)+IF(AND(ArtifactsInput!$M$22,Inputs!$B$4&lt;&gt;"Chapter Hunt"),CHOOSE(ArtifactsInput!$N$22+1,10,12,14,16,18,20)*((0*(((0.15*B1281*5))^0/1)+1*(((0.15*B1281*5))^1/1)+2*(((0.15*B1281*5))^2/2)+3*(((0.15*B1281*5))^3/6)+4*(((0.15*B1281*5))^4/24)+5*(((0.15*B1281*5))^5/120))/((((0.15*B1281*5))^0/1)+(((0.15*B1281*5))^1/1)+(((0.15*B1281*5))^2/2)+(((0.15*B1281*5))^3/6)+(((0.15*B1281*5))^4/24)+(((0.15*B1281*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1253*(1-MIN(100,(Inputs!$B$9+((C1269=TRUE)*(F1269-Calc!F26))+B1277+(ArtifactsInput!$M$24-ArtifactsInput!$M$24)*CHOOSE(ArtifactsInput!$N$24+1,10,12,14,16,18,20)+(IF(AND(Inputs!$B$39&lt;&gt;"pvp",Inputs!$B$44=0),1,IF(IF(Inputs!$B$39="pvp",15,Inputs!$B$44)-(B1288)&lt;=0,1,MAX(0,IF(Inputs!$B$39="pvp",15,Inputs!$B$44)-MAX(5,B1288))/(IF(Inputs!$B$39="pvp",15,Inputs!$B$44)-(B1288))))*IF(AND(ArtifactsInput!$M$42,((Inputs!$B$9+((C1269=TRUE)*(F1269-Calc!F26))+B1277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1253*(MIN(100,(Inputs!$B$9+((C1269=TRUE)*(F1269-Calc!F26))+B1277+(ArtifactsInput!$M$24-ArtifactsInput!$M$24)*CHOOSE(ArtifactsInput!$N$24+1,10,12,14,16,18,20)+(IF(AND(Inputs!$B$39&lt;&gt;"pvp",Inputs!$B$44=0),1,IF(IF(Inputs!$B$39="pvp",15,Inputs!$B$44)-(B1288)&lt;=0,1,MAX(0,IF(Inputs!$B$39="pvp",15,Inputs!$B$44)-MAX(5,B1288))/(IF(Inputs!$B$39="pvp",15,Inputs!$B$44)-(B1288))))*IF(AND(ArtifactsInput!$M$42,((Inputs!$B$9+((C1269=TRUE)*(F1269-Calc!F26))+B1277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1253*(1-MIN(100,(Inputs!$B$9+((C1269=TRUE)*(F1269-Calc!F26))+B1277+(ArtifactsInput!$M$24-ArtifactsInput!$M$24)*CHOOSE(ArtifactsInput!$N$24+1,10,12,14,16,18,20)+(IF(AND(Inputs!$B$39&lt;&gt;"pvp",Inputs!$B$44=0),1,IF(IF(Inputs!$B$39="pvp",15,Inputs!$B$44)-(B1288)&lt;=0,1,MAX(0,IF(Inputs!$B$39="pvp",15,Inputs!$B$44)-MAX(5,B1288))/(IF(Inputs!$B$39="pvp",15,Inputs!$B$44)-(B1288))))*IF(AND(ArtifactsInput!$M$42,((Inputs!$B$9+((C1269=TRUE)*(F1269-Calc!F26))+B1277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1253*(MIN(100,(Inputs!$B$9+((C1269=TRUE)*(F1269-Calc!F26))+B1277+(ArtifactsInput!$M$24-ArtifactsInput!$M$24)*CHOOSE(ArtifactsInput!$N$24+1,10,12,14,16,18,20)+(IF(AND(Inputs!$B$39&lt;&gt;"pvp",Inputs!$B$44=0),1,IF(IF(Inputs!$B$39="pvp",15,Inputs!$B$44)-(B1288)&lt;=0,1,MAX(0,IF(Inputs!$B$39="pvp",15,Inputs!$B$44)-MAX(5,B1288))/(IF(Inputs!$B$39="pvp",15,Inputs!$B$44)-(B1288))))*IF(AND(ArtifactsInput!$M$42,((Inputs!$B$9+((C1269=TRUE)*(F1269-Calc!F26))+B1277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1253">
        <f>IF(C1253,(0.2*SUMPRODUCT((Skills!Z2:Z31=TRUE)*(C1245:C1274=TRUE)*S1245:S1274)*N1253)*IF(Inputs!$B$39="pvp",1,(1+(Inputs!$B$21+Skills!Q10+B1278+(IF(ArtifactsInput!$M$33,CHOOSE(ArtifactsInput!$N$33+1,30,36,42,48,54,60),0))+(IF(AND(ArtifactsInput!$M$35,Inputs!$B$4&lt;&gt;"Chapter Hunt"),CHOOSE(ArtifactsInput!$N$35+1,15,18,21,24,27,30)*(1-EXP(-(0.2*B1281)*5)),0)+IF(AND(ArtifactsInput!$M$22,Inputs!$B$4&lt;&gt;"Chapter Hunt"),CHOOSE(ArtifactsInput!$N$22+1,10,12,14,16,18,20)*((0*(((0.15*B1281*5))^0/1)+1*(((0.15*B1281*5))^1/1)+2*(((0.15*B1281*5))^2/2)+3*(((0.15*B1281*5))^3/6)+4*(((0.15*B1281*5))^4/24)+5*(((0.15*B1281*5))^5/120))/((((0.15*B1281*5))^0/1)+(((0.15*B1281*5))^1/1)+(((0.15*B1281*5))^2/2)+(((0.15*B1281*5))^3/6)+(((0.15*B1281*5))^4/24)+(((0.15*B1281*5))^5/120))),0)))/100)*(MIN(Skills!W10,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254">
      <c r="A1254">
        <f>Skills!A11</f>
        <v/>
      </c>
      <c r="B1254">
        <f>Skills!B11</f>
        <v/>
      </c>
      <c r="C1254">
        <f>Inputs!$B$3&gt;=74</f>
        <v/>
      </c>
      <c r="D1254">
        <f>IF(Skills!C11=1,60+Inputs!$B$25+Inputs!$B$29,IF(Skills!C11=2,90+Inputs!$B$26+Inputs!$B$29,IF(Skills!C11=3,120+Inputs!$B$27+Inputs!$B$29,MAX(0,(Inputs!$B$3-100)*3)+Inputs!$B$28+Inputs!$B$29)))</f>
        <v/>
      </c>
      <c r="E1254">
        <f>INDEX(FactorTable!$B$2:$Y$301, MATCH(ROUND(MIN(300,MAX(1,D1254)),0), FactorTable!$A$2:$A$301,0), Skills!M11+1)</f>
        <v/>
      </c>
      <c r="F1254">
        <f>IF(Skills!N11=TRUE,(Skills!L11/10)*(E1254/1000),Skills!L11/10)+Skills!O11</f>
        <v/>
      </c>
      <c r="G1254">
        <f>Skills!G11*IF(Skills!H11&gt;0,IF(Inputs!$B$39="pvp",MIN(Skills!I11,15),Skills!I11)/Skills!H11,1)</f>
        <v/>
      </c>
      <c r="H1254">
        <f>1-(1-Skills!J11/100)^Skills!K11</f>
        <v/>
      </c>
      <c r="I1254" t="inlineStr">
        <is>
          <t>1</t>
        </is>
      </c>
      <c r="J1254" t="inlineStr"/>
      <c r="K1254" t="inlineStr"/>
      <c r="L1254" t="inlineStr"/>
      <c r="M1254" t="inlineStr"/>
      <c r="N1254" t="inlineStr"/>
      <c r="O1254">
        <f>(1-Summary!$B$11)*T1254+Summary!$B$11*V1254</f>
        <v/>
      </c>
      <c r="P1254">
        <f>IF(B1289=0,0,O1254/B1289)</f>
        <v/>
      </c>
      <c r="Q1254">
        <f>IFERROR(1/IF(Inputs!$B$39="pvp",15,MAX(0.1,Skills!D11-IF(TRUE=TRUE,(Inputs!$B$32+1),0))),0)</f>
        <v/>
      </c>
      <c r="R1254">
        <f>IF(AND(Inputs!$B$39&lt;&gt;"pvp",Inputs!$B$44&gt;0),IF(Inputs!$B$44&lt;=0,0,(INT(Inputs!$B$44/IF(Inputs!$B$39="pvp",15,MAX(0.1,Skills!D11-IF(TRUE=TRUE,(Inputs!$B$32+1),0))))+1)),0)</f>
        <v/>
      </c>
      <c r="S1254">
        <f>IFERROR(O1254/N1254,0)</f>
        <v/>
      </c>
      <c r="T1254" t="n">
        <v>0</v>
      </c>
      <c r="V1254" t="n">
        <v>0</v>
      </c>
    </row>
    <row r="1255">
      <c r="A1255">
        <f>Skills!A12</f>
        <v/>
      </c>
      <c r="B1255">
        <f>Skills!B12</f>
        <v/>
      </c>
      <c r="C1255">
        <f>Inputs!$B$3&gt;=103</f>
        <v/>
      </c>
      <c r="D1255">
        <f>IF(Skills!C12=1,60+Inputs!$B$25+Inputs!$B$29,IF(Skills!C12=2,90+Inputs!$B$26+Inputs!$B$29,IF(Skills!C12=3,120+Inputs!$B$27+Inputs!$B$29,MAX(0,(Inputs!$B$3-100)*3)+Inputs!$B$28+Inputs!$B$29)))</f>
        <v/>
      </c>
      <c r="E1255">
        <f>INDEX(FactorTable!$B$2:$Y$301, MATCH(ROUND(MIN(300,MAX(1,D1255)),0), FactorTable!$A$2:$A$301,0), Skills!M12+1)</f>
        <v/>
      </c>
      <c r="F1255">
        <f>(Skills!L12/10)*(E1255/1000)+IF(Inputs!$B$3&gt;=134,50,0)+0.5*(30000/10)*(INDEX(FactorTable!$B$2:$Y$301, MATCH(ROUND(MIN(300,MAX(1,D1255)),0), FactorTable!$A$2:$A$301,0), 13)/1000)*B1287</f>
        <v/>
      </c>
      <c r="G1255">
        <f>Skills!G12*IF(Skills!H12&gt;0,IF(Inputs!$B$39="pvp",MIN(Skills!I12,15),Skills!I12)/Skills!H12,1)</f>
        <v/>
      </c>
      <c r="H1255">
        <f>1-(1-Skills!J12/100)^Skills!K12</f>
        <v/>
      </c>
      <c r="I1255" t="inlineStr">
        <is>
          <t>1</t>
        </is>
      </c>
      <c r="J1255">
        <f>((Inputs!$B$6*(1+Inputs!$B$7/100))+(((Inputs!$B$12*(1+Inputs!$B$13/100))-(Inputs!$B$12*(1+Inputs!$B$13/100)))+0.25*(Inputs!$B$14-Inputs!$B$14))*(1+Inputs!$B$7/100))*(F1255/100)</f>
        <v/>
      </c>
      <c r="K1255">
        <f>J1255*(1+((Inputs!$B$12*(1+Inputs!$B$13/100))*0.01+Inputs!$B$14*0.0025)/100)*(1+Inputs!$B$15/100)*(1+Inputs!$B$16/100)*(5000/(6000+Inputs!$B$43*(1-(100*(1-(1-Inputs!$B$19/100)*(1-CHOOSE(ArtifactsInput!$N$40+1,5,6,7,8,9,10)/100)^(ArtifactsInput!$M$40-ArtifactsInput!$M$40)))/100)))*(1+(Inputs!$B$24+((C1274=TRUE)*(F1274-Calc!F31))+((C1261=TRUE)*(F1261-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12="CRUEL_STAB",Inputs!$B$17+((C1271=TRUE)*(F1271-Calc!F28))+((IF(AND(Inputs!$B$39&lt;&gt;"pvp",Inputs!$B$44=0),1,IF(IF(Inputs!$B$39="pvp",15,Inputs!$B$44)-(B1288)&lt;=0,1,MAX(0,IF(Inputs!$B$39="pvp",15,Inputs!$B$44)-MAX(5,B1288))/(IF(Inputs!$B$39="pvp",15,Inputs!$B$44)-(B1288))))*(IF(AND(ArtifactsInput!$M$42,((Inputs!$B$9+((C1269=TRUE)*(F1269-Calc!F26))+B1277+(ArtifactsInput!$M$24-ArtifactsInput!$M$24)*CHOOSE(ArtifactsInput!$N$24+1,10,12,14,16,18,20)+IF(ArtifactsInput!$M$10,CHOOSE(ArtifactsInput!$N$10+1,15,18,21,24,27,30)*(IF(Inputs!$B$39="pvp",MIN(15,15)/15,IF(AND(Inputs!$B$39&lt;&gt;"pvp",Inputs!$B$44&gt;0),MIN(15,Inputs!$B$44)/(Inputs!$B$44),0))),0)))&gt;=100),MIN(100,((Inputs!$B$9+((C1269=TRUE)*(F1269-Calc!F26))+B1277+(ArtifactsInput!$M$24-ArtifactsInput!$M$24)*CHOOSE(ArtifactsInput!$N$24+1,10,12,14,16,18,20)+IF(ArtifactsInput!$M$10,CHOOSE(ArtifactsInput!$N$10+1,15,18,21,24,27,30)*(IF(Inputs!$B$39="pvp",MIN(15,15)/15,IF(AND(Inputs!$B$39&lt;&gt;"pvp",Inputs!$B$44&gt;0),MIN(15,Inputs!$B$44)/(Inputs!$B$44),0))),0)))-100),0))*CHOOSE(ArtifactsInput!$N$42+1,0.6,0.72,0.84,0.96,1.08,1.2))),Inputs!$B$18+((C1272=TRUE)*(F1272-Calc!F29))+(IF(AND(Inputs!$B$39&lt;&gt;"pvp",Inputs!$B$44=0),1,IF(IF(Inputs!$B$39="pvp",15,Inputs!$B$44)-(B1288)&lt;=0,1,MAX(0,IF(Inputs!$B$39="pvp",15,Inputs!$B$44)-MAX(5,B1288))/(IF(Inputs!$B$39="pvp",15,Inputs!$B$44)-(B1288))))*IF(AND(ArtifactsInput!$M$42,((Inputs!$B$9+((C1269=TRUE)*(F1269-Calc!F26))+B1277+(ArtifactsInput!$M$24-ArtifactsInput!$M$24)*CHOOSE(ArtifactsInput!$N$24+1,10,12,14,16,18,20)+IF(ArtifactsInput!$M$10,CHOOSE(ArtifactsInput!$N$10+1,15,18,21,24,27,30)*(IF(Inputs!$B$39="pvp",MIN(15,15)/15,IF(AND(Inputs!$B$39&lt;&gt;"pvp",Inputs!$B$44&gt;0),MIN(15,Inputs!$B$44)/(Inputs!$B$44),0))),0)))&gt;=100),CHOOSE(ArtifactsInput!$N$42+1,40,48,56,64,72,80),0))))/100)*(((1+(((C1265=TRUE)*F1265*IF(AND(Inputs!$B$39&lt;&gt;"pvp",Inputs!$B$44&gt;0),(((R1265-1)*MIN((Skills!Y22*(1+Inputs!$B$34/100)),(1/Q1265))+MIN((Skills!Y22*(1+Inputs!$B$34/100)),MAX(0,Inputs!$B$44-((R1265-1)*(1/Q1265)))))/Inputs!$B$44),IF(Inputs!$B$39="pvp",MIN((Skills!Y22*(1+Inputs!$B$34/100)),15)/15,MIN(1,(Skills!Y22*(1+Inputs!$B$34/100))/(1/Q1265)))))+((C1246=TRUE)*F1246*3)+((C1248=TRUE)*F1248*(1-EXP(-0.75*B1281*5)))+((C1267=TRUE)*(F1267-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1254=TRUE)*F1254*IF(AND(Inputs!$B$39&lt;&gt;"pvp",Inputs!$B$44&gt;0),(((R1254-1)*MIN((Skills!Y11*(1+Inputs!$B$34/100)),(1/Q1254))+MIN((Skills!Y11*(1+Inputs!$B$34/100)),MAX(0,Inputs!$B$44-((R1254-1)*(1/Q1254)))))/Inputs!$B$44),IF(Inputs!$B$39="pvp",MIN((Skills!Y11*(1+Inputs!$B$34/100)),15)/15,MIN(1,(Skills!Y11*(1+Inputs!$B$34/100))/(1/Q1254)))))/100)*(1+((C1259=TRUE)*F1259*IF(AND(Inputs!$B$39&lt;&gt;"pvp",Inputs!$B$44&gt;0),(((R1259-1)*MIN((Skills!Y16*(1+Inputs!$B$34/100)),(1/Q1259))+MIN((Skills!Y16*(1+Inputs!$B$34/100)),MAX(0,Inputs!$B$44-((R1259-1)*(1/Q1259)))))/Inputs!$B$44),IF(Inputs!$B$39="pvp",MIN((Skills!Y16*(1+Inputs!$B$34/100)),15)/15,MIN(1,(Skills!Y16*(1+Inputs!$B$34/100))/(1/Q1259)))))/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1279*I1255)</f>
        <v/>
      </c>
      <c r="L1255">
        <f>K1255*(MIN(Inputs!$B$22+((C1268=TRUE)*(F1268-Calc!F25)),(Inputs!$B$23+((C1273=TRUE)*(F1273-Calc!F30))+IF(ArtifactsInput!$M$15,CHOOSE(ArtifactsInput!$N$15+1,25,30,35,40,45,50)/100*(Inputs!$B$11-Inputs!$B$11),0)))/100+(Inputs!$B$23+((C1273=TRUE)*(F1273-Calc!F30))+IF(ArtifactsInput!$M$15,CHOOSE(ArtifactsInput!$N$15+1,25,30,35,40,45,50)/100*(Inputs!$B$11-Inputs!$B$11),0))/100)/2</f>
        <v/>
      </c>
      <c r="M1255">
        <f>L1255*(1+(Inputs!$B$10+((C1270=TRUE)*(F1270-Calc!F27))+B1284+(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1255">
        <f>L1255*(1-MIN((Inputs!$B$9+((C1269=TRUE)*(F1269-Calc!F26))+B1277+(ArtifactsInput!$M$24-ArtifactsInput!$M$24)*CHOOSE(ArtifactsInput!$N$24+1,10,12,14,16,18,20)+(IF(AND(Inputs!$B$39&lt;&gt;"pvp",Inputs!$B$44=0),1,IF(IF(Inputs!$B$39="pvp",15,Inputs!$B$44)-(B1288)&lt;=0,1,MAX(0,IF(Inputs!$B$39="pvp",15,Inputs!$B$44)-MAX(5,B1288))/(IF(Inputs!$B$39="pvp",15,Inputs!$B$44)-(B1288))))*IF(AND(ArtifactsInput!$M$42,((Inputs!$B$9+((C1269=TRUE)*(F1269-Calc!F26))+B1277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1255*(MIN((Inputs!$B$9+((C1269=TRUE)*(F1269-Calc!F26))+B1277+(ArtifactsInput!$M$24-ArtifactsInput!$M$24)*CHOOSE(ArtifactsInput!$N$24+1,10,12,14,16,18,20)+(IF(AND(Inputs!$B$39&lt;&gt;"pvp",Inputs!$B$44=0),1,IF(IF(Inputs!$B$39="pvp",15,Inputs!$B$44)-(B1288)&lt;=0,1,MAX(0,IF(Inputs!$B$39="pvp",15,Inputs!$B$44)-MAX(5,B1288))/(IF(Inputs!$B$39="pvp",15,Inputs!$B$44)-(B1288))))*IF(AND(ArtifactsInput!$M$42,((Inputs!$B$9+((C1269=TRUE)*(F1269-Calc!F26))+B1277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255">
        <f>(1-Summary!$B$11)*T1255+Summary!$B$11*V1255</f>
        <v/>
      </c>
      <c r="P1255">
        <f>IF(B1289=0,0,O1255/B1289)</f>
        <v/>
      </c>
      <c r="Q1255">
        <f>IFERROR(1/IF(Inputs!$B$39="pvp",15,MAX(0.1,Skills!D12-IF(TRUE=TRUE,(Inputs!$B$32+1),0))),0)</f>
        <v/>
      </c>
      <c r="R1255">
        <f>IF(AND(Inputs!$B$39&lt;&gt;"pvp",Inputs!$B$44&gt;0),IF(MAX(0,Inputs!$B$44-B1288)&lt;=0,0,(INT(MAX(0,Inputs!$B$44-B1288)/IF(Inputs!$B$39="pvp",15,MAX(0.1,Skills!D12-IF(TRUE=TRUE,(Inputs!$B$32+1),0))))+1)),0)</f>
        <v/>
      </c>
      <c r="S1255">
        <f>IFERROR(O1255/N1255,0)</f>
        <v/>
      </c>
      <c r="T1255">
        <f>IF(C1255,(H1255*N1255*IF(AND(Inputs!$B$39&lt;&gt;"pvp",Inputs!$B$44&gt;0),((Skills!G12*((R1255-1)*IF(Skills!H12&gt;0,Skills!I12/Skills!H12,1)+IF(Skills!H12&gt;0,MIN(Skills!I12,MAX(0,MAX(0,Inputs!$B$44-B1288)-((R1255-1)*IF(Inputs!$B$39="pvp",15,MAX(0.1,Skills!D12-IF(TRUE=TRUE,(Inputs!$B$32+1),0))))))/Skills!H12,1)))/Inputs!$B$44),G1255*Q1255))*IF(Inputs!$B$39="pvp",1,1+(Inputs!$B$20+0+Skills!P12+B1278+(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Hunt"),CHOOSE(ArtifactsInput!$N$35+1,15,18,21,24,27,30)*(1-EXP(-(0.2*B1281)*5)),0)+IF(AND(ArtifactsInput!$M$22,Inputs!$B$4&lt;&gt;"Chapter Hunt"),CHOOSE(ArtifactsInput!$N$22+1,10,12,14,16,18,20)*((0*(((0.15*B1281*5))^0/1)+1*(((0.15*B1281*5))^1/1)+2*(((0.15*B1281*5))^2/2)+3*(((0.15*B1281*5))^3/6)+4*(((0.15*B1281*5))^4/24)+5*(((0.15*B1281*5))^5/120))/((((0.15*B1281*5))^0/1)+(((0.15*B1281*5))^1/1)+(((0.15*B1281*5))^2/2)+(((0.15*B1281*5))^3/6)+(((0.15*B1281*5))^4/24)+(((0.15*B1281*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1255*(1-MIN(100,(Inputs!$B$9+((C1269=TRUE)*(F1269-Calc!F26))+B1277+(ArtifactsInput!$M$24-ArtifactsInput!$M$24)*CHOOSE(ArtifactsInput!$N$24+1,10,12,14,16,18,20)+(IF(AND(Inputs!$B$39&lt;&gt;"pvp",Inputs!$B$44=0),1,IF(IF(Inputs!$B$39="pvp",15,Inputs!$B$44)-(B1288)&lt;=0,1,MAX(0,IF(Inputs!$B$39="pvp",15,Inputs!$B$44)-MAX(5,B1288))/(IF(Inputs!$B$39="pvp",15,Inputs!$B$44)-(B1288))))*IF(AND(ArtifactsInput!$M$42,((Inputs!$B$9+((C1269=TRUE)*(F1269-Calc!F26))+B1277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1255*(MIN(100,(Inputs!$B$9+((C1269=TRUE)*(F1269-Calc!F26))+B1277+(ArtifactsInput!$M$24-ArtifactsInput!$M$24)*CHOOSE(ArtifactsInput!$N$24+1,10,12,14,16,18,20)+(IF(AND(Inputs!$B$39&lt;&gt;"pvp",Inputs!$B$44=0),1,IF(IF(Inputs!$B$39="pvp",15,Inputs!$B$44)-(B1288)&lt;=0,1,MAX(0,IF(Inputs!$B$39="pvp",15,Inputs!$B$44)-MAX(5,B1288))/(IF(Inputs!$B$39="pvp",15,Inputs!$B$44)-(B1288))))*IF(AND(ArtifactsInput!$M$42,((Inputs!$B$9+((C1269=TRUE)*(F1269-Calc!F26))+B1277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1255*(1-MIN(100,(Inputs!$B$9+((C1269=TRUE)*(F1269-Calc!F26))+B1277+(ArtifactsInput!$M$24-ArtifactsInput!$M$24)*CHOOSE(ArtifactsInput!$N$24+1,10,12,14,16,18,20)+(IF(AND(Inputs!$B$39&lt;&gt;"pvp",Inputs!$B$44=0),1,IF(IF(Inputs!$B$39="pvp",15,Inputs!$B$44)-(B1288)&lt;=0,1,MAX(0,IF(Inputs!$B$39="pvp",15,Inputs!$B$44)-MAX(5,B1288))/(IF(Inputs!$B$39="pvp",15,Inputs!$B$44)-(B1288))))*IF(AND(ArtifactsInput!$M$42,((Inputs!$B$9+((C1269=TRUE)*(F1269-Calc!F26))+B1277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1255*(MIN(100,(Inputs!$B$9+((C1269=TRUE)*(F1269-Calc!F26))+B1277+(ArtifactsInput!$M$24-ArtifactsInput!$M$24)*CHOOSE(ArtifactsInput!$N$24+1,10,12,14,16,18,20)+(IF(AND(Inputs!$B$39&lt;&gt;"pvp",Inputs!$B$44=0),1,IF(IF(Inputs!$B$39="pvp",15,Inputs!$B$44)-(B1288)&lt;=0,1,MAX(0,IF(Inputs!$B$39="pvp",15,Inputs!$B$44)-MAX(5,B1288))/(IF(Inputs!$B$39="pvp",15,Inputs!$B$44)-(B1288))))*IF(AND(ArtifactsInput!$M$42,((Inputs!$B$9+((C1269=TRUE)*(F1269-Calc!F26))+B1277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1255">
        <f>IF(C1255,(H1255*N1255*IF(AND(Inputs!$B$39&lt;&gt;"pvp",Inputs!$B$44&gt;0),((Skills!G12*((R1255-1)*IF(Skills!H12&gt;0,Skills!I12/Skills!H12,1)+IF(Skills!H12&gt;0,MIN(Skills!I12,MAX(0,MAX(0,Inputs!$B$44-B1288)-((R1255-1)*IF(Inputs!$B$39="pvp",15,MAX(0.1,Skills!D12-IF(TRUE=TRUE,(Inputs!$B$32+1),0))))))/Skills!H12,1)))/Inputs!$B$44),G1255*Q1255))*IF(Inputs!$B$39="pvp",1,(1+(Inputs!$B$21+Skills!Q12+B1278+(IF(ArtifactsInput!$M$33,CHOOSE(ArtifactsInput!$N$33+1,30,36,42,48,54,60),0))+(IF(AND(ArtifactsInput!$M$35,Inputs!$B$4&lt;&gt;"Chapter Hunt"),CHOOSE(ArtifactsInput!$N$35+1,15,18,21,24,27,30)*(1-EXP(-(0.2*B1281)*5)),0)+IF(AND(ArtifactsInput!$M$22,Inputs!$B$4&lt;&gt;"Chapter Hunt"),CHOOSE(ArtifactsInput!$N$22+1,10,12,14,16,18,20)*((0*(((0.15*B1281*5))^0/1)+1*(((0.15*B1281*5))^1/1)+2*(((0.15*B1281*5))^2/2)+3*(((0.15*B1281*5))^3/6)+4*(((0.15*B1281*5))^4/24)+5*(((0.15*B1281*5))^5/120))/((((0.15*B1281*5))^0/1)+(((0.15*B1281*5))^1/1)+(((0.15*B1281*5))^2/2)+(((0.15*B1281*5))^3/6)+(((0.15*B1281*5))^4/24)+(((0.15*B1281*5))^5/120))),0)))/100)*(MIN(Skills!W12,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256">
      <c r="A1256">
        <f>Skills!A13</f>
        <v/>
      </c>
      <c r="B1256">
        <f>Skills!B13</f>
        <v/>
      </c>
      <c r="C1256">
        <f>Inputs!$B$3&gt;=105</f>
        <v/>
      </c>
      <c r="D1256">
        <f>IF(Skills!C13=1,60+Inputs!$B$25+Inputs!$B$29,IF(Skills!C13=2,90+Inputs!$B$26+Inputs!$B$29,IF(Skills!C13=3,120+Inputs!$B$27+Inputs!$B$29,MAX(0,(Inputs!$B$3-100)*3)+Inputs!$B$28+Inputs!$B$29)))</f>
        <v/>
      </c>
      <c r="E1256">
        <f>INDEX(FactorTable!$B$2:$Y$301, MATCH(ROUND(MIN(300,MAX(1,D1256)),0), FactorTable!$A$2:$A$301,0), Skills!M13+1)</f>
        <v/>
      </c>
      <c r="F1256">
        <f>IF(Skills!N13=TRUE,(Skills!L13/10)*(E1256/1000),Skills!L13/10)+Skills!O13</f>
        <v/>
      </c>
      <c r="G1256">
        <f>Skills!G13*IF(Skills!H13&gt;0,IF(Inputs!$B$39="pvp",MIN(Skills!I13,15),Skills!I13)/Skills!H13,1)</f>
        <v/>
      </c>
      <c r="H1256">
        <f>1-(1-Skills!J13/100)^Skills!K13</f>
        <v/>
      </c>
      <c r="I1256" t="inlineStr">
        <is>
          <t>1</t>
        </is>
      </c>
      <c r="J1256">
        <f>((Inputs!$B$6*(1+Inputs!$B$7/100))+(((Inputs!$B$12*(1+Inputs!$B$13/100))-(Inputs!$B$12*(1+Inputs!$B$13/100)))+0.25*(Inputs!$B$14-Inputs!$B$14))*(1+Inputs!$B$7/100))*(F1256/100)</f>
        <v/>
      </c>
      <c r="K1256">
        <f>J1256*(1+((Inputs!$B$12*(1+Inputs!$B$13/100))*0.01+Inputs!$B$14*0.0025)/100)*(1+Inputs!$B$15/100)*(1+Inputs!$B$16/100)*(5000/(6000+Inputs!$B$43*(1-(100*(1-(1-Inputs!$B$19/100)*(1-CHOOSE(ArtifactsInput!$N$40+1,5,6,7,8,9,10)/100)^(ArtifactsInput!$M$40-ArtifactsInput!$M$40)))/100)))*(1+(Inputs!$B$24+((C1274=TRUE)*(F1274-Calc!F31))+((C1261=TRUE)*(F1261-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13="CRUEL_STAB",Inputs!$B$17+((C1271=TRUE)*(F1271-Calc!F28))+((IF(AND(Inputs!$B$39&lt;&gt;"pvp",Inputs!$B$44=0),1,IF(IF(Inputs!$B$39="pvp",15,Inputs!$B$44)-(B1288)&lt;=0,1,MAX(0,IF(Inputs!$B$39="pvp",15,Inputs!$B$44)-MAX(5,B1288))/(IF(Inputs!$B$39="pvp",15,Inputs!$B$44)-(B1288))))*(IF(AND(ArtifactsInput!$M$42,((Inputs!$B$9+((C1269=TRUE)*(F1269-Calc!F26))+B1277+(ArtifactsInput!$M$24-ArtifactsInput!$M$24)*CHOOSE(ArtifactsInput!$N$24+1,10,12,14,16,18,20)+IF(ArtifactsInput!$M$10,CHOOSE(ArtifactsInput!$N$10+1,15,18,21,24,27,30)*(IF(Inputs!$B$39="pvp",MIN(15,15)/15,IF(AND(Inputs!$B$39&lt;&gt;"pvp",Inputs!$B$44&gt;0),MIN(15,Inputs!$B$44)/(Inputs!$B$44),0))),0)))&gt;=100),MIN(100,((Inputs!$B$9+((C1269=TRUE)*(F1269-Calc!F26))+B1277+(ArtifactsInput!$M$24-ArtifactsInput!$M$24)*CHOOSE(ArtifactsInput!$N$24+1,10,12,14,16,18,20)+IF(ArtifactsInput!$M$10,CHOOSE(ArtifactsInput!$N$10+1,15,18,21,24,27,30)*(IF(Inputs!$B$39="pvp",MIN(15,15)/15,IF(AND(Inputs!$B$39&lt;&gt;"pvp",Inputs!$B$44&gt;0),MIN(15,Inputs!$B$44)/(Inputs!$B$44),0))),0)))-100),0))*CHOOSE(ArtifactsInput!$N$42+1,0.6,0.72,0.84,0.96,1.08,1.2))),Inputs!$B$18+((C1272=TRUE)*(F1272-Calc!F29))+(IF(AND(Inputs!$B$39&lt;&gt;"pvp",Inputs!$B$44=0),1,IF(IF(Inputs!$B$39="pvp",15,Inputs!$B$44)-(B1288)&lt;=0,1,MAX(0,IF(Inputs!$B$39="pvp",15,Inputs!$B$44)-MAX(5,B1288))/(IF(Inputs!$B$39="pvp",15,Inputs!$B$44)-(B1288))))*IF(AND(ArtifactsInput!$M$42,((Inputs!$B$9+((C1269=TRUE)*(F1269-Calc!F26))+B1277+(ArtifactsInput!$M$24-ArtifactsInput!$M$24)*CHOOSE(ArtifactsInput!$N$24+1,10,12,14,16,18,20)+IF(ArtifactsInput!$M$10,CHOOSE(ArtifactsInput!$N$10+1,15,18,21,24,27,30)*(IF(Inputs!$B$39="pvp",MIN(15,15)/15,IF(AND(Inputs!$B$39&lt;&gt;"pvp",Inputs!$B$44&gt;0),MIN(15,Inputs!$B$44)/(Inputs!$B$44),0))),0)))&gt;=100),CHOOSE(ArtifactsInput!$N$42+1,40,48,56,64,72,80),0))))/100)*(((1+(((C1265=TRUE)*F1265*IF(AND(Inputs!$B$39&lt;&gt;"pvp",Inputs!$B$44&gt;0),(((R1265-1)*MIN((Skills!Y22*(1+Inputs!$B$34/100)),(1/Q1265))+MIN((Skills!Y22*(1+Inputs!$B$34/100)),MAX(0,Inputs!$B$44-((R1265-1)*(1/Q1265)))))/Inputs!$B$44),IF(Inputs!$B$39="pvp",MIN((Skills!Y22*(1+Inputs!$B$34/100)),15)/15,MIN(1,(Skills!Y22*(1+Inputs!$B$34/100))/(1/Q1265)))))+((C1246=TRUE)*F1246*3)+((C1248=TRUE)*F1248*(1-EXP(-0.75*B1281*5)))+((C1267=TRUE)*(F1267-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1254=TRUE)*F1254*IF(AND(Inputs!$B$39&lt;&gt;"pvp",Inputs!$B$44&gt;0),(((R1254-1)*MIN((Skills!Y11*(1+Inputs!$B$34/100)),(1/Q1254))+MIN((Skills!Y11*(1+Inputs!$B$34/100)),MAX(0,Inputs!$B$44-((R1254-1)*(1/Q1254)))))/Inputs!$B$44),IF(Inputs!$B$39="pvp",MIN((Skills!Y11*(1+Inputs!$B$34/100)),15)/15,MIN(1,(Skills!Y11*(1+Inputs!$B$34/100))/(1/Q1254)))))/100)*(1+((C1259=TRUE)*F1259*IF(AND(Inputs!$B$39&lt;&gt;"pvp",Inputs!$B$44&gt;0),(((R1259-1)*MIN((Skills!Y16*(1+Inputs!$B$34/100)),(1/Q1259))+MIN((Skills!Y16*(1+Inputs!$B$34/100)),MAX(0,Inputs!$B$44-((R1259-1)*(1/Q1259)))))/Inputs!$B$44),IF(Inputs!$B$39="pvp",MIN((Skills!Y16*(1+Inputs!$B$34/100)),15)/15,MIN(1,(Skills!Y16*(1+Inputs!$B$34/100))/(1/Q1259)))))/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1279*I1256)</f>
        <v/>
      </c>
      <c r="L1256">
        <f>K1256*(MIN(Inputs!$B$22+((C1268=TRUE)*(F1268-Calc!F25)),(Inputs!$B$23+((C1273=TRUE)*(F1273-Calc!F30))+IF(ArtifactsInput!$M$15,CHOOSE(ArtifactsInput!$N$15+1,25,30,35,40,45,50)/100*(Inputs!$B$11-Inputs!$B$11),0)))/100+(Inputs!$B$23+((C1273=TRUE)*(F1273-Calc!F30))+IF(ArtifactsInput!$M$15,CHOOSE(ArtifactsInput!$N$15+1,25,30,35,40,45,50)/100*(Inputs!$B$11-Inputs!$B$11),0))/100)/2</f>
        <v/>
      </c>
      <c r="M1256">
        <f>L1256*(1+(Inputs!$B$10+((C1270=TRUE)*(F1270-Calc!F27))+B1284+(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1256">
        <f>L1256*(1-MIN((Inputs!$B$9+((C1269=TRUE)*(F1269-Calc!F26))+B1277+(ArtifactsInput!$M$24-ArtifactsInput!$M$24)*CHOOSE(ArtifactsInput!$N$24+1,10,12,14,16,18,20)+(IF(AND(Inputs!$B$39&lt;&gt;"pvp",Inputs!$B$44=0),1,IF(IF(Inputs!$B$39="pvp",15,Inputs!$B$44)-(B1288)&lt;=0,1,MAX(0,IF(Inputs!$B$39="pvp",15,Inputs!$B$44)-MAX(5,B1288))/(IF(Inputs!$B$39="pvp",15,Inputs!$B$44)-(B1288))))*IF(AND(ArtifactsInput!$M$42,((Inputs!$B$9+((C1269=TRUE)*(F1269-Calc!F26))+B1277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1256*(MIN((Inputs!$B$9+((C1269=TRUE)*(F1269-Calc!F26))+B1277+(ArtifactsInput!$M$24-ArtifactsInput!$M$24)*CHOOSE(ArtifactsInput!$N$24+1,10,12,14,16,18,20)+(IF(AND(Inputs!$B$39&lt;&gt;"pvp",Inputs!$B$44=0),1,IF(IF(Inputs!$B$39="pvp",15,Inputs!$B$44)-(B1288)&lt;=0,1,MAX(0,IF(Inputs!$B$39="pvp",15,Inputs!$B$44)-MAX(5,B1288))/(IF(Inputs!$B$39="pvp",15,Inputs!$B$44)-(B1288))))*IF(AND(ArtifactsInput!$M$42,((Inputs!$B$9+((C1269=TRUE)*(F1269-Calc!F26))+B1277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256">
        <f>(1-Summary!$B$11)*T1256+Summary!$B$11*V1256</f>
        <v/>
      </c>
      <c r="P1256">
        <f>IF(B1289=0,0,O1256/B1289)</f>
        <v/>
      </c>
      <c r="Q1256">
        <f>IFERROR(1/IF(Inputs!$B$39="pvp",15,MAX(0.1,Skills!D13-IF(TRUE=TRUE,(Inputs!$B$32+1),0))),0)</f>
        <v/>
      </c>
      <c r="R1256">
        <f>IF(AND(Inputs!$B$39&lt;&gt;"pvp",Inputs!$B$44&gt;0),IF(MAX(0,Inputs!$B$44-B1288)&lt;=0,0,(INT(MAX(0,Inputs!$B$44-B1288)/IF(Inputs!$B$39="pvp",15,MAX(0.1,Skills!D13-IF(TRUE=TRUE,(Inputs!$B$32+1),0))))+1)),0)</f>
        <v/>
      </c>
      <c r="S1256">
        <f>IFERROR(O1256/N1256,0)</f>
        <v/>
      </c>
      <c r="T1256">
        <f>IF(C1256,(H1256*N1256*IF(AND(Inputs!$B$39&lt;&gt;"pvp",Inputs!$B$44&gt;0),((Skills!G13*((R1256-1)*IF(Skills!H13&gt;0,Skills!I13/Skills!H13,1)+IF(Skills!H13&gt;0,MIN(Skills!I13,MAX(0,MAX(0,Inputs!$B$44-B1288)-((R1256-1)*IF(Inputs!$B$39="pvp",15,MAX(0.1,Skills!D13-IF(TRUE=TRUE,(Inputs!$B$32+1),0))))))/Skills!H13,1)))/Inputs!$B$44),G1256*Q1256))*IF(Inputs!$B$39="pvp",1,1+(Inputs!$B$20+0+Skills!P13+B1278+(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Hunt"),CHOOSE(ArtifactsInput!$N$35+1,15,18,21,24,27,30)*(1-EXP(-(0.2*B1281)*5)),0)+IF(AND(ArtifactsInput!$M$22,Inputs!$B$4&lt;&gt;"Chapter Hunt"),CHOOSE(ArtifactsInput!$N$22+1,10,12,14,16,18,20)*((0*(((0.15*B1281*5))^0/1)+1*(((0.15*B1281*5))^1/1)+2*(((0.15*B1281*5))^2/2)+3*(((0.15*B1281*5))^3/6)+4*(((0.15*B1281*5))^4/24)+5*(((0.15*B1281*5))^5/120))/((((0.15*B1281*5))^0/1)+(((0.15*B1281*5))^1/1)+(((0.15*B1281*5))^2/2)+(((0.15*B1281*5))^3/6)+(((0.15*B1281*5))^4/24)+(((0.15*B1281*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1256*(1-MIN(100,(Inputs!$B$9+((C1269=TRUE)*(F1269-Calc!F26))+B1277+(ArtifactsInput!$M$24-ArtifactsInput!$M$24)*CHOOSE(ArtifactsInput!$N$24+1,10,12,14,16,18,20)+(IF(AND(Inputs!$B$39&lt;&gt;"pvp",Inputs!$B$44=0),1,IF(IF(Inputs!$B$39="pvp",15,Inputs!$B$44)-(B1288)&lt;=0,1,MAX(0,IF(Inputs!$B$39="pvp",15,Inputs!$B$44)-MAX(5,B1288))/(IF(Inputs!$B$39="pvp",15,Inputs!$B$44)-(B1288))))*IF(AND(ArtifactsInput!$M$42,((Inputs!$B$9+((C1269=TRUE)*(F1269-Calc!F26))+B1277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1256*(MIN(100,(Inputs!$B$9+((C1269=TRUE)*(F1269-Calc!F26))+B1277+(ArtifactsInput!$M$24-ArtifactsInput!$M$24)*CHOOSE(ArtifactsInput!$N$24+1,10,12,14,16,18,20)+(IF(AND(Inputs!$B$39&lt;&gt;"pvp",Inputs!$B$44=0),1,IF(IF(Inputs!$B$39="pvp",15,Inputs!$B$44)-(B1288)&lt;=0,1,MAX(0,IF(Inputs!$B$39="pvp",15,Inputs!$B$44)-MAX(5,B1288))/(IF(Inputs!$B$39="pvp",15,Inputs!$B$44)-(B1288))))*IF(AND(ArtifactsInput!$M$42,((Inputs!$B$9+((C1269=TRUE)*(F1269-Calc!F26))+B1277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1256*(1-MIN(100,(Inputs!$B$9+((C1269=TRUE)*(F1269-Calc!F26))+B1277+(ArtifactsInput!$M$24-ArtifactsInput!$M$24)*CHOOSE(ArtifactsInput!$N$24+1,10,12,14,16,18,20)+(IF(AND(Inputs!$B$39&lt;&gt;"pvp",Inputs!$B$44=0),1,IF(IF(Inputs!$B$39="pvp",15,Inputs!$B$44)-(B1288)&lt;=0,1,MAX(0,IF(Inputs!$B$39="pvp",15,Inputs!$B$44)-MAX(5,B1288))/(IF(Inputs!$B$39="pvp",15,Inputs!$B$44)-(B1288))))*IF(AND(ArtifactsInput!$M$42,((Inputs!$B$9+((C1269=TRUE)*(F1269-Calc!F26))+B1277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1256*(MIN(100,(Inputs!$B$9+((C1269=TRUE)*(F1269-Calc!F26))+B1277+(ArtifactsInput!$M$24-ArtifactsInput!$M$24)*CHOOSE(ArtifactsInput!$N$24+1,10,12,14,16,18,20)+(IF(AND(Inputs!$B$39&lt;&gt;"pvp",Inputs!$B$44=0),1,IF(IF(Inputs!$B$39="pvp",15,Inputs!$B$44)-(B1288)&lt;=0,1,MAX(0,IF(Inputs!$B$39="pvp",15,Inputs!$B$44)-MAX(5,B1288))/(IF(Inputs!$B$39="pvp",15,Inputs!$B$44)-(B1288))))*IF(AND(ArtifactsInput!$M$42,((Inputs!$B$9+((C1269=TRUE)*(F1269-Calc!F26))+B1277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1256">
        <f>IF(C1256,(H1256*N1256*IF(AND(Inputs!$B$39&lt;&gt;"pvp",Inputs!$B$44&gt;0),((Skills!G13*((R1256-1)*IF(Skills!H13&gt;0,Skills!I13/Skills!H13,1)+IF(Skills!H13&gt;0,MIN(Skills!I13,MAX(0,MAX(0,Inputs!$B$44-B1288)-((R1256-1)*IF(Inputs!$B$39="pvp",15,MAX(0.1,Skills!D13-IF(TRUE=TRUE,(Inputs!$B$32+1),0))))))/Skills!H13,1)))/Inputs!$B$44),G1256*Q1256))*IF(Inputs!$B$39="pvp",1,(1+(Inputs!$B$21+Skills!Q13+B1278+(IF(ArtifactsInput!$M$33,CHOOSE(ArtifactsInput!$N$33+1,30,36,42,48,54,60),0))+(IF(AND(ArtifactsInput!$M$35,Inputs!$B$4&lt;&gt;"Chapter Hunt"),CHOOSE(ArtifactsInput!$N$35+1,15,18,21,24,27,30)*(1-EXP(-(0.2*B1281)*5)),0)+IF(AND(ArtifactsInput!$M$22,Inputs!$B$4&lt;&gt;"Chapter Hunt"),CHOOSE(ArtifactsInput!$N$22+1,10,12,14,16,18,20)*((0*(((0.15*B1281*5))^0/1)+1*(((0.15*B1281*5))^1/1)+2*(((0.15*B1281*5))^2/2)+3*(((0.15*B1281*5))^3/6)+4*(((0.15*B1281*5))^4/24)+5*(((0.15*B1281*5))^5/120))/((((0.15*B1281*5))^0/1)+(((0.15*B1281*5))^1/1)+(((0.15*B1281*5))^2/2)+(((0.15*B1281*5))^3/6)+(((0.15*B1281*5))^4/24)+(((0.15*B1281*5))^5/120))),0)))/100)*(MIN(Skills!W13,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257">
      <c r="A1257">
        <f>Skills!A14</f>
        <v/>
      </c>
      <c r="B1257">
        <f>Skills!B14</f>
        <v/>
      </c>
      <c r="C1257">
        <f>Inputs!$B$3&gt;=105</f>
        <v/>
      </c>
      <c r="D1257">
        <f>IF(Skills!C14=1,60+Inputs!$B$25+Inputs!$B$29,IF(Skills!C14=2,90+Inputs!$B$26+Inputs!$B$29,IF(Skills!C14=3,120+Inputs!$B$27+Inputs!$B$29,MAX(0,(Inputs!$B$3-100)*3)+Inputs!$B$28+Inputs!$B$29)))</f>
        <v/>
      </c>
      <c r="E1257">
        <f>INDEX(FactorTable!$B$2:$Y$301, MATCH(ROUND(MIN(300,MAX(1,D1257)),0), FactorTable!$A$2:$A$301,0), Skills!M14+1)</f>
        <v/>
      </c>
      <c r="F1257">
        <f>IF(Skills!N14=TRUE,(Skills!L14/10)*(E1257/1000),Skills!L14/10)+Skills!O14</f>
        <v/>
      </c>
      <c r="G1257">
        <f>Skills!G14*IF(Skills!H14&gt;0,IF(Inputs!$B$39="pvp",MIN(Skills!I14,15),Skills!I14)/Skills!H14,1)</f>
        <v/>
      </c>
      <c r="H1257">
        <f>1-(1-Skills!J14/100)^Skills!K14</f>
        <v/>
      </c>
      <c r="I1257" t="inlineStr">
        <is>
          <t>1</t>
        </is>
      </c>
      <c r="J1257">
        <f>((Inputs!$B$6*(1+Inputs!$B$7/100))+(((Inputs!$B$12*(1+Inputs!$B$13/100))-(Inputs!$B$12*(1+Inputs!$B$13/100)))+0.25*(Inputs!$B$14-Inputs!$B$14))*(1+Inputs!$B$7/100))*(F1257/100)</f>
        <v/>
      </c>
      <c r="K1257">
        <f>J1257*(1+((Inputs!$B$12*(1+Inputs!$B$13/100))*0.01+Inputs!$B$14*0.0025)/100)*(1+Inputs!$B$15/100)*(1+Inputs!$B$16/100)*(5000/(6000+Inputs!$B$43*(1-(100*(1-(1-Inputs!$B$19/100)*(1-CHOOSE(ArtifactsInput!$N$40+1,5,6,7,8,9,10)/100)^(ArtifactsInput!$M$40-ArtifactsInput!$M$40)))/100)))*(1+(Inputs!$B$24+((C1274=TRUE)*(F1274-Calc!F31))+((C1261=TRUE)*(F1261-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14="CRUEL_STAB",Inputs!$B$17+((C1271=TRUE)*(F1271-Calc!F28))+((IF(AND(Inputs!$B$39&lt;&gt;"pvp",Inputs!$B$44=0),1,IF(IF(Inputs!$B$39="pvp",15,Inputs!$B$44)-(B1288)&lt;=0,1,MAX(0,IF(Inputs!$B$39="pvp",15,Inputs!$B$44)-MAX(5,B1288))/(IF(Inputs!$B$39="pvp",15,Inputs!$B$44)-(B1288))))*(IF(AND(ArtifactsInput!$M$42,((Inputs!$B$9+((C1269=TRUE)*(F1269-Calc!F26))+B1277+(ArtifactsInput!$M$24-ArtifactsInput!$M$24)*CHOOSE(ArtifactsInput!$N$24+1,10,12,14,16,18,20)+IF(ArtifactsInput!$M$10,CHOOSE(ArtifactsInput!$N$10+1,15,18,21,24,27,30)*(IF(Inputs!$B$39="pvp",MIN(15,15)/15,IF(AND(Inputs!$B$39&lt;&gt;"pvp",Inputs!$B$44&gt;0),MIN(15,Inputs!$B$44)/(Inputs!$B$44),0))),0)))&gt;=100),MIN(100,((Inputs!$B$9+((C1269=TRUE)*(F1269-Calc!F26))+B1277+(ArtifactsInput!$M$24-ArtifactsInput!$M$24)*CHOOSE(ArtifactsInput!$N$24+1,10,12,14,16,18,20)+IF(ArtifactsInput!$M$10,CHOOSE(ArtifactsInput!$N$10+1,15,18,21,24,27,30)*(IF(Inputs!$B$39="pvp",MIN(15,15)/15,IF(AND(Inputs!$B$39&lt;&gt;"pvp",Inputs!$B$44&gt;0),MIN(15,Inputs!$B$44)/(Inputs!$B$44),0))),0)))-100),0))*CHOOSE(ArtifactsInput!$N$42+1,0.6,0.72,0.84,0.96,1.08,1.2))),Inputs!$B$18+((C1272=TRUE)*(F1272-Calc!F29))+(IF(AND(Inputs!$B$39&lt;&gt;"pvp",Inputs!$B$44=0),1,IF(IF(Inputs!$B$39="pvp",15,Inputs!$B$44)-(B1288)&lt;=0,1,MAX(0,IF(Inputs!$B$39="pvp",15,Inputs!$B$44)-MAX(5,B1288))/(IF(Inputs!$B$39="pvp",15,Inputs!$B$44)-(B1288))))*IF(AND(ArtifactsInput!$M$42,((Inputs!$B$9+((C1269=TRUE)*(F1269-Calc!F26))+B1277+(ArtifactsInput!$M$24-ArtifactsInput!$M$24)*CHOOSE(ArtifactsInput!$N$24+1,10,12,14,16,18,20)+IF(ArtifactsInput!$M$10,CHOOSE(ArtifactsInput!$N$10+1,15,18,21,24,27,30)*(IF(Inputs!$B$39="pvp",MIN(15,15)/15,IF(AND(Inputs!$B$39&lt;&gt;"pvp",Inputs!$B$44&gt;0),MIN(15,Inputs!$B$44)/(Inputs!$B$44),0))),0)))&gt;=100),CHOOSE(ArtifactsInput!$N$42+1,40,48,56,64,72,80),0))))/100)*(((1+(((C1265=TRUE)*F1265*IF(AND(Inputs!$B$39&lt;&gt;"pvp",Inputs!$B$44&gt;0),(((R1265-1)*MIN((Skills!Y22*(1+Inputs!$B$34/100)),(1/Q1265))+MIN((Skills!Y22*(1+Inputs!$B$34/100)),MAX(0,Inputs!$B$44-((R1265-1)*(1/Q1265)))))/Inputs!$B$44),IF(Inputs!$B$39="pvp",MIN((Skills!Y22*(1+Inputs!$B$34/100)),15)/15,MIN(1,(Skills!Y22*(1+Inputs!$B$34/100))/(1/Q1265)))))+((C1246=TRUE)*F1246*3)+((C1248=TRUE)*F1248*(1-EXP(-0.75*B1281*5)))+((C1267=TRUE)*(F1267-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1254=TRUE)*F1254*IF(AND(Inputs!$B$39&lt;&gt;"pvp",Inputs!$B$44&gt;0),(((R1254-1)*MIN((Skills!Y11*(1+Inputs!$B$34/100)),(1/Q1254))+MIN((Skills!Y11*(1+Inputs!$B$34/100)),MAX(0,Inputs!$B$44-((R1254-1)*(1/Q1254)))))/Inputs!$B$44),IF(Inputs!$B$39="pvp",MIN((Skills!Y11*(1+Inputs!$B$34/100)),15)/15,MIN(1,(Skills!Y11*(1+Inputs!$B$34/100))/(1/Q1254)))))/100)*(1+((C1259=TRUE)*F1259*IF(AND(Inputs!$B$39&lt;&gt;"pvp",Inputs!$B$44&gt;0),(((R1259-1)*MIN((Skills!Y16*(1+Inputs!$B$34/100)),(1/Q1259))+MIN((Skills!Y16*(1+Inputs!$B$34/100)),MAX(0,Inputs!$B$44-((R1259-1)*(1/Q1259)))))/Inputs!$B$44),IF(Inputs!$B$39="pvp",MIN((Skills!Y16*(1+Inputs!$B$34/100)),15)/15,MIN(1,(Skills!Y16*(1+Inputs!$B$34/100))/(1/Q1259)))))/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1279*I1257)</f>
        <v/>
      </c>
      <c r="L1257">
        <f>K1257*(MIN(Inputs!$B$22+((C1268=TRUE)*(F1268-Calc!F25)),(Inputs!$B$23+((C1273=TRUE)*(F1273-Calc!F30))+IF(ArtifactsInput!$M$15,CHOOSE(ArtifactsInput!$N$15+1,25,30,35,40,45,50)/100*(Inputs!$B$11-Inputs!$B$11),0)))/100+(Inputs!$B$23+((C1273=TRUE)*(F1273-Calc!F30))+IF(ArtifactsInput!$M$15,CHOOSE(ArtifactsInput!$N$15+1,25,30,35,40,45,50)/100*(Inputs!$B$11-Inputs!$B$11),0))/100)/2</f>
        <v/>
      </c>
      <c r="M1257">
        <f>L1257*(1+(Inputs!$B$10+((C1270=TRUE)*(F1270-Calc!F27))+B1284+(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1257">
        <f>L1257*(1-MIN((Inputs!$B$9+((C1269=TRUE)*(F1269-Calc!F26))+B1277+(ArtifactsInput!$M$24-ArtifactsInput!$M$24)*CHOOSE(ArtifactsInput!$N$24+1,10,12,14,16,18,20)+(IF(AND(Inputs!$B$39&lt;&gt;"pvp",Inputs!$B$44=0),1,IF(IF(Inputs!$B$39="pvp",15,Inputs!$B$44)-(B1288)&lt;=0,1,MAX(0,IF(Inputs!$B$39="pvp",15,Inputs!$B$44)-MAX(5,B1288))/(IF(Inputs!$B$39="pvp",15,Inputs!$B$44)-(B1288))))*IF(AND(ArtifactsInput!$M$42,((Inputs!$B$9+((C1269=TRUE)*(F1269-Calc!F26))+B1277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1257*(MIN((Inputs!$B$9+((C1269=TRUE)*(F1269-Calc!F26))+B1277+(ArtifactsInput!$M$24-ArtifactsInput!$M$24)*CHOOSE(ArtifactsInput!$N$24+1,10,12,14,16,18,20)+(IF(AND(Inputs!$B$39&lt;&gt;"pvp",Inputs!$B$44=0),1,IF(IF(Inputs!$B$39="pvp",15,Inputs!$B$44)-(B1288)&lt;=0,1,MAX(0,IF(Inputs!$B$39="pvp",15,Inputs!$B$44)-MAX(5,B1288))/(IF(Inputs!$B$39="pvp",15,Inputs!$B$44)-(B1288))))*IF(AND(ArtifactsInput!$M$42,((Inputs!$B$9+((C1269=TRUE)*(F1269-Calc!F26))+B1277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257">
        <f>(1-Summary!$B$11)*T1257+Summary!$B$11*V1257</f>
        <v/>
      </c>
      <c r="P1257">
        <f>IF(B1289=0,0,O1257/B1289)</f>
        <v/>
      </c>
      <c r="Q1257">
        <f>IFERROR(1/IF(Inputs!$B$39="pvp",15,MAX(0.1,Skills!D14-IF(TRUE=TRUE,(Inputs!$B$32+1),0))),0)</f>
        <v/>
      </c>
      <c r="R1257">
        <f>IF(AND(Inputs!$B$39&lt;&gt;"pvp",Inputs!$B$44&gt;0),IF(MAX(0,Inputs!$B$44-B1288)&lt;=0,0,(INT(MAX(0,Inputs!$B$44-B1288)/IF(Inputs!$B$39="pvp",15,MAX(0.1,Skills!D14-IF(TRUE=TRUE,(Inputs!$B$32+1),0))))+1)),0)</f>
        <v/>
      </c>
      <c r="S1257">
        <f>IFERROR(O1257/N1257,0)</f>
        <v/>
      </c>
      <c r="T1257">
        <f>IF(C1257,(H1257*N1257*IF(AND(Inputs!$B$39&lt;&gt;"pvp",Inputs!$B$44&gt;0),((Skills!G14*((R1257-1)*IF(Skills!H14&gt;0,Skills!I14/Skills!H14,1)+IF(Skills!H14&gt;0,MIN(Skills!I14,MAX(0,MAX(0,Inputs!$B$44-B1288)-((R1257-1)*IF(Inputs!$B$39="pvp",15,MAX(0.1,Skills!D14-IF(TRUE=TRUE,(Inputs!$B$32+1),0))))))/Skills!H14,1)))/Inputs!$B$44),G1257*Q1257))*IF(Inputs!$B$39="pvp",1,1+(Inputs!$B$20+0+Skills!P14+B1278+(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Hunt"),CHOOSE(ArtifactsInput!$N$35+1,15,18,21,24,27,30)*(1-EXP(-(0.2*B1281)*5)),0)+IF(AND(ArtifactsInput!$M$22,Inputs!$B$4&lt;&gt;"Chapter Hunt"),CHOOSE(ArtifactsInput!$N$22+1,10,12,14,16,18,20)*((0*(((0.15*B1281*5))^0/1)+1*(((0.15*B1281*5))^1/1)+2*(((0.15*B1281*5))^2/2)+3*(((0.15*B1281*5))^3/6)+4*(((0.15*B1281*5))^4/24)+5*(((0.15*B1281*5))^5/120))/((((0.15*B1281*5))^0/1)+(((0.15*B1281*5))^1/1)+(((0.15*B1281*5))^2/2)+(((0.15*B1281*5))^3/6)+(((0.15*B1281*5))^4/24)+(((0.15*B1281*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1257*(1-MIN(100,(Inputs!$B$9+((C1269=TRUE)*(F1269-Calc!F26))+B1277+(ArtifactsInput!$M$24-ArtifactsInput!$M$24)*CHOOSE(ArtifactsInput!$N$24+1,10,12,14,16,18,20)+(IF(AND(Inputs!$B$39&lt;&gt;"pvp",Inputs!$B$44=0),1,IF(IF(Inputs!$B$39="pvp",15,Inputs!$B$44)-(B1288)&lt;=0,1,MAX(0,IF(Inputs!$B$39="pvp",15,Inputs!$B$44)-MAX(5,B1288))/(IF(Inputs!$B$39="pvp",15,Inputs!$B$44)-(B1288))))*IF(AND(ArtifactsInput!$M$42,((Inputs!$B$9+((C1269=TRUE)*(F1269-Calc!F26))+B1277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1257*(MIN(100,(Inputs!$B$9+((C1269=TRUE)*(F1269-Calc!F26))+B1277+(ArtifactsInput!$M$24-ArtifactsInput!$M$24)*CHOOSE(ArtifactsInput!$N$24+1,10,12,14,16,18,20)+(IF(AND(Inputs!$B$39&lt;&gt;"pvp",Inputs!$B$44=0),1,IF(IF(Inputs!$B$39="pvp",15,Inputs!$B$44)-(B1288)&lt;=0,1,MAX(0,IF(Inputs!$B$39="pvp",15,Inputs!$B$44)-MAX(5,B1288))/(IF(Inputs!$B$39="pvp",15,Inputs!$B$44)-(B1288))))*IF(AND(ArtifactsInput!$M$42,((Inputs!$B$9+((C1269=TRUE)*(F1269-Calc!F26))+B1277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1257*(1-MIN(100,(Inputs!$B$9+((C1269=TRUE)*(F1269-Calc!F26))+B1277+(ArtifactsInput!$M$24-ArtifactsInput!$M$24)*CHOOSE(ArtifactsInput!$N$24+1,10,12,14,16,18,20)+(IF(AND(Inputs!$B$39&lt;&gt;"pvp",Inputs!$B$44=0),1,IF(IF(Inputs!$B$39="pvp",15,Inputs!$B$44)-(B1288)&lt;=0,1,MAX(0,IF(Inputs!$B$39="pvp",15,Inputs!$B$44)-MAX(5,B1288))/(IF(Inputs!$B$39="pvp",15,Inputs!$B$44)-(B1288))))*IF(AND(ArtifactsInput!$M$42,((Inputs!$B$9+((C1269=TRUE)*(F1269-Calc!F26))+B1277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1257*(MIN(100,(Inputs!$B$9+((C1269=TRUE)*(F1269-Calc!F26))+B1277+(ArtifactsInput!$M$24-ArtifactsInput!$M$24)*CHOOSE(ArtifactsInput!$N$24+1,10,12,14,16,18,20)+(IF(AND(Inputs!$B$39&lt;&gt;"pvp",Inputs!$B$44=0),1,IF(IF(Inputs!$B$39="pvp",15,Inputs!$B$44)-(B1288)&lt;=0,1,MAX(0,IF(Inputs!$B$39="pvp",15,Inputs!$B$44)-MAX(5,B1288))/(IF(Inputs!$B$39="pvp",15,Inputs!$B$44)-(B1288))))*IF(AND(ArtifactsInput!$M$42,((Inputs!$B$9+((C1269=TRUE)*(F1269-Calc!F26))+B1277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1257">
        <f>IF(C1257,(H1257*N1257*IF(AND(Inputs!$B$39&lt;&gt;"pvp",Inputs!$B$44&gt;0),((Skills!G14*((R1257-1)*IF(Skills!H14&gt;0,Skills!I14/Skills!H14,1)+IF(Skills!H14&gt;0,MIN(Skills!I14,MAX(0,MAX(0,Inputs!$B$44-B1288)-((R1257-1)*IF(Inputs!$B$39="pvp",15,MAX(0.1,Skills!D14-IF(TRUE=TRUE,(Inputs!$B$32+1),0))))))/Skills!H14,1)))/Inputs!$B$44),G1257*Q1257))*IF(Inputs!$B$39="pvp",1,(1+(Inputs!$B$21+Skills!Q14+B1278+(IF(ArtifactsInput!$M$33,CHOOSE(ArtifactsInput!$N$33+1,30,36,42,48,54,60),0))+(IF(AND(ArtifactsInput!$M$35,Inputs!$B$4&lt;&gt;"Chapter Hunt"),CHOOSE(ArtifactsInput!$N$35+1,15,18,21,24,27,30)*(1-EXP(-(0.2*B1281)*5)),0)+IF(AND(ArtifactsInput!$M$22,Inputs!$B$4&lt;&gt;"Chapter Hunt"),CHOOSE(ArtifactsInput!$N$22+1,10,12,14,16,18,20)*((0*(((0.15*B1281*5))^0/1)+1*(((0.15*B1281*5))^1/1)+2*(((0.15*B1281*5))^2/2)+3*(((0.15*B1281*5))^3/6)+4*(((0.15*B1281*5))^4/24)+5*(((0.15*B1281*5))^5/120))/((((0.15*B1281*5))^0/1)+(((0.15*B1281*5))^1/1)+(((0.15*B1281*5))^2/2)+(((0.15*B1281*5))^3/6)+(((0.15*B1281*5))^4/24)+(((0.15*B1281*5))^5/120))),0)))/100)*(MIN(Skills!W14,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258">
      <c r="A1258">
        <f>Skills!A15</f>
        <v/>
      </c>
      <c r="B1258">
        <f>Skills!B15</f>
        <v/>
      </c>
      <c r="C1258">
        <f>Inputs!$B$3&gt;=107</f>
        <v/>
      </c>
      <c r="D1258">
        <f>IF(Skills!C15=1,60+Inputs!$B$25+Inputs!$B$29,IF(Skills!C15=2,90+Inputs!$B$26+Inputs!$B$29,IF(Skills!C15=3,120+Inputs!$B$27+Inputs!$B$29,MAX(0,(Inputs!$B$3-100)*3)+Inputs!$B$28+Inputs!$B$29)))</f>
        <v/>
      </c>
      <c r="E1258">
        <f>INDEX(FactorTable!$B$2:$Y$301, MATCH(ROUND(MIN(300,MAX(1,D1258)),0), FactorTable!$A$2:$A$301,0), Skills!M15+1)</f>
        <v/>
      </c>
      <c r="F1258">
        <f>IF(Skills!N15=TRUE,(Skills!L15/10)*(E1258/1000),Skills!L15/10)+Skills!O15</f>
        <v/>
      </c>
      <c r="G1258">
        <f>Skills!G15*IF(Skills!H15&gt;0,IF(Inputs!$B$39="pvp",MIN(Skills!I15,15),Skills!I15)/Skills!H15,1)</f>
        <v/>
      </c>
      <c r="H1258">
        <f>1-(1-Skills!J15/100)^Skills!K15</f>
        <v/>
      </c>
      <c r="I1258" t="inlineStr">
        <is>
          <t>1</t>
        </is>
      </c>
      <c r="J1258">
        <f>((Inputs!$B$6*(1+Inputs!$B$7/100))+(((Inputs!$B$12*(1+Inputs!$B$13/100))-(Inputs!$B$12*(1+Inputs!$B$13/100)))+0.25*(Inputs!$B$14-Inputs!$B$14))*(1+Inputs!$B$7/100))*(F1258/100)</f>
        <v/>
      </c>
      <c r="K1258">
        <f>J1258*(1+((Inputs!$B$12*(1+Inputs!$B$13/100))*0.01+Inputs!$B$14*0.0025)/100)*(1+Inputs!$B$15/100)*(1+Inputs!$B$16/100)*(5000/(6000+Inputs!$B$43*(1-(100*(1-(1-Inputs!$B$19/100)*(1-CHOOSE(ArtifactsInput!$N$40+1,5,6,7,8,9,10)/100)^(ArtifactsInput!$M$40-ArtifactsInput!$M$40)))/100)))*(1+(Inputs!$B$24+((C1274=TRUE)*(F1274-Calc!F31))+((C1261=TRUE)*(F1261-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15="CRUEL_STAB",Inputs!$B$17+((C1271=TRUE)*(F1271-Calc!F28))+((IF(AND(Inputs!$B$39&lt;&gt;"pvp",Inputs!$B$44=0),1,IF(IF(Inputs!$B$39="pvp",15,Inputs!$B$44)-(B1288)&lt;=0,1,MAX(0,IF(Inputs!$B$39="pvp",15,Inputs!$B$44)-MAX(5,B1288))/(IF(Inputs!$B$39="pvp",15,Inputs!$B$44)-(B1288))))*(IF(AND(ArtifactsInput!$M$42,((Inputs!$B$9+((C1269=TRUE)*(F1269-Calc!F26))+B1277+(ArtifactsInput!$M$24-ArtifactsInput!$M$24)*CHOOSE(ArtifactsInput!$N$24+1,10,12,14,16,18,20)+IF(ArtifactsInput!$M$10,CHOOSE(ArtifactsInput!$N$10+1,15,18,21,24,27,30)*(IF(Inputs!$B$39="pvp",MIN(15,15)/15,IF(AND(Inputs!$B$39&lt;&gt;"pvp",Inputs!$B$44&gt;0),MIN(15,Inputs!$B$44)/(Inputs!$B$44),0))),0)))&gt;=100),MIN(100,((Inputs!$B$9+((C1269=TRUE)*(F1269-Calc!F26))+B1277+(ArtifactsInput!$M$24-ArtifactsInput!$M$24)*CHOOSE(ArtifactsInput!$N$24+1,10,12,14,16,18,20)+IF(ArtifactsInput!$M$10,CHOOSE(ArtifactsInput!$N$10+1,15,18,21,24,27,30)*(IF(Inputs!$B$39="pvp",MIN(15,15)/15,IF(AND(Inputs!$B$39&lt;&gt;"pvp",Inputs!$B$44&gt;0),MIN(15,Inputs!$B$44)/(Inputs!$B$44),0))),0)))-100),0))*CHOOSE(ArtifactsInput!$N$42+1,0.6,0.72,0.84,0.96,1.08,1.2))),Inputs!$B$18+((C1272=TRUE)*(F1272-Calc!F29))+(IF(AND(Inputs!$B$39&lt;&gt;"pvp",Inputs!$B$44=0),1,IF(IF(Inputs!$B$39="pvp",15,Inputs!$B$44)-(B1288)&lt;=0,1,MAX(0,IF(Inputs!$B$39="pvp",15,Inputs!$B$44)-MAX(5,B1288))/(IF(Inputs!$B$39="pvp",15,Inputs!$B$44)-(B1288))))*IF(AND(ArtifactsInput!$M$42,((Inputs!$B$9+((C1269=TRUE)*(F1269-Calc!F26))+B1277+(ArtifactsInput!$M$24-ArtifactsInput!$M$24)*CHOOSE(ArtifactsInput!$N$24+1,10,12,14,16,18,20)+IF(ArtifactsInput!$M$10,CHOOSE(ArtifactsInput!$N$10+1,15,18,21,24,27,30)*(IF(Inputs!$B$39="pvp",MIN(15,15)/15,IF(AND(Inputs!$B$39&lt;&gt;"pvp",Inputs!$B$44&gt;0),MIN(15,Inputs!$B$44)/(Inputs!$B$44),0))),0)))&gt;=100),CHOOSE(ArtifactsInput!$N$42+1,40,48,56,64,72,80),0))))/100)*(((1+(((C1265=TRUE)*F1265*IF(AND(Inputs!$B$39&lt;&gt;"pvp",Inputs!$B$44&gt;0),(((R1265-1)*MIN((Skills!Y22*(1+Inputs!$B$34/100)),(1/Q1265))+MIN((Skills!Y22*(1+Inputs!$B$34/100)),MAX(0,Inputs!$B$44-((R1265-1)*(1/Q1265)))))/Inputs!$B$44),IF(Inputs!$B$39="pvp",MIN((Skills!Y22*(1+Inputs!$B$34/100)),15)/15,MIN(1,(Skills!Y22*(1+Inputs!$B$34/100))/(1/Q1265)))))+((C1246=TRUE)*F1246*3)+((C1248=TRUE)*F1248*(1-EXP(-0.75*B1281*5)))+((C1267=TRUE)*(F1267-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1254=TRUE)*F1254*IF(AND(Inputs!$B$39&lt;&gt;"pvp",Inputs!$B$44&gt;0),(((R1254-1)*MIN((Skills!Y11*(1+Inputs!$B$34/100)),(1/Q1254))+MIN((Skills!Y11*(1+Inputs!$B$34/100)),MAX(0,Inputs!$B$44-((R1254-1)*(1/Q1254)))))/Inputs!$B$44),IF(Inputs!$B$39="pvp",MIN((Skills!Y11*(1+Inputs!$B$34/100)),15)/15,MIN(1,(Skills!Y11*(1+Inputs!$B$34/100))/(1/Q1254)))))/100)*(1+((C1259=TRUE)*F1259*IF(AND(Inputs!$B$39&lt;&gt;"pvp",Inputs!$B$44&gt;0),(((R1259-1)*MIN((Skills!Y16*(1+Inputs!$B$34/100)),(1/Q1259))+MIN((Skills!Y16*(1+Inputs!$B$34/100)),MAX(0,Inputs!$B$44-((R1259-1)*(1/Q1259)))))/Inputs!$B$44),IF(Inputs!$B$39="pvp",MIN((Skills!Y16*(1+Inputs!$B$34/100)),15)/15,MIN(1,(Skills!Y16*(1+Inputs!$B$34/100))/(1/Q1259)))))/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1279*I1258)</f>
        <v/>
      </c>
      <c r="L1258">
        <f>K1258*(MIN(Inputs!$B$22+((C1268=TRUE)*(F1268-Calc!F25)),(Inputs!$B$23+((C1273=TRUE)*(F1273-Calc!F30))+IF(ArtifactsInput!$M$15,CHOOSE(ArtifactsInput!$N$15+1,25,30,35,40,45,50)/100*(Inputs!$B$11-Inputs!$B$11),0)))/100+(Inputs!$B$23+((C1273=TRUE)*(F1273-Calc!F30))+IF(ArtifactsInput!$M$15,CHOOSE(ArtifactsInput!$N$15+1,25,30,35,40,45,50)/100*(Inputs!$B$11-Inputs!$B$11),0))/100)/2</f>
        <v/>
      </c>
      <c r="M1258">
        <f>L1258*(1+(Inputs!$B$10+((C1270=TRUE)*(F1270-Calc!F27))+B1284+(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1258">
        <f>L1258*(1-MIN((Inputs!$B$9+((C1269=TRUE)*(F1269-Calc!F26))+B1277+(ArtifactsInput!$M$24-ArtifactsInput!$M$24)*CHOOSE(ArtifactsInput!$N$24+1,10,12,14,16,18,20)+(IF(AND(Inputs!$B$39&lt;&gt;"pvp",Inputs!$B$44=0),1,IF(IF(Inputs!$B$39="pvp",15,Inputs!$B$44)-(B1288)&lt;=0,1,MAX(0,IF(Inputs!$B$39="pvp",15,Inputs!$B$44)-MAX(5,B1288))/(IF(Inputs!$B$39="pvp",15,Inputs!$B$44)-(B1288))))*IF(AND(ArtifactsInput!$M$42,((Inputs!$B$9+((C1269=TRUE)*(F1269-Calc!F26))+B1277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1258*(MIN((Inputs!$B$9+((C1269=TRUE)*(F1269-Calc!F26))+B1277+(ArtifactsInput!$M$24-ArtifactsInput!$M$24)*CHOOSE(ArtifactsInput!$N$24+1,10,12,14,16,18,20)+(IF(AND(Inputs!$B$39&lt;&gt;"pvp",Inputs!$B$44=0),1,IF(IF(Inputs!$B$39="pvp",15,Inputs!$B$44)-(B1288)&lt;=0,1,MAX(0,IF(Inputs!$B$39="pvp",15,Inputs!$B$44)-MAX(5,B1288))/(IF(Inputs!$B$39="pvp",15,Inputs!$B$44)-(B1288))))*IF(AND(ArtifactsInput!$M$42,((Inputs!$B$9+((C1269=TRUE)*(F1269-Calc!F26))+B1277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258">
        <f>(1-Summary!$B$11)*T1258+Summary!$B$11*V1258</f>
        <v/>
      </c>
      <c r="P1258">
        <f>IF(B1289=0,0,O1258/B1289)</f>
        <v/>
      </c>
      <c r="Q1258">
        <f>IFERROR(1/IF(Inputs!$B$39="pvp",15,MAX(0.1,Skills!D15-IF(TRUE=TRUE,(Inputs!$B$32+1),0))),0)</f>
        <v/>
      </c>
      <c r="R1258">
        <f>IF(AND(Inputs!$B$39&lt;&gt;"pvp",Inputs!$B$44&gt;0),IF(MAX(0,Inputs!$B$44-B1288)&lt;=0,0,(INT(MAX(0,Inputs!$B$44-B1288)/IF(Inputs!$B$39="pvp",15,MAX(0.1,Skills!D15-IF(TRUE=TRUE,(Inputs!$B$32+1),0))))+1)),0)</f>
        <v/>
      </c>
      <c r="S1258">
        <f>IFERROR(O1258/N1258,0)</f>
        <v/>
      </c>
      <c r="T1258">
        <f>IF(C1258,(H1258*N1258*IF(AND(Inputs!$B$39&lt;&gt;"pvp",Inputs!$B$44&gt;0),((Skills!G15*((R1258-1)*IF(Skills!H15&gt;0,Skills!I15/Skills!H15,1)+IF(Skills!H15&gt;0,MIN(Skills!I15,MAX(0,MAX(0,Inputs!$B$44-B1288)-((R1258-1)*IF(Inputs!$B$39="pvp",15,MAX(0.1,Skills!D15-IF(TRUE=TRUE,(Inputs!$B$32+1),0))))))/Skills!H15,1)))/Inputs!$B$44),G1258*Q1258))*IF(Inputs!$B$39="pvp",1,1+(Inputs!$B$20+0+Skills!P15+B1278+(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Hunt"),CHOOSE(ArtifactsInput!$N$35+1,15,18,21,24,27,30)*(1-EXP(-(0.2*B1281)*5)),0)+IF(AND(ArtifactsInput!$M$22,Inputs!$B$4&lt;&gt;"Chapter Hunt"),CHOOSE(ArtifactsInput!$N$22+1,10,12,14,16,18,20)*((0*(((0.15*B1281*5))^0/1)+1*(((0.15*B1281*5))^1/1)+2*(((0.15*B1281*5))^2/2)+3*(((0.15*B1281*5))^3/6)+4*(((0.15*B1281*5))^4/24)+5*(((0.15*B1281*5))^5/120))/((((0.15*B1281*5))^0/1)+(((0.15*B1281*5))^1/1)+(((0.15*B1281*5))^2/2)+(((0.15*B1281*5))^3/6)+(((0.15*B1281*5))^4/24)+(((0.15*B1281*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1258*(1-MIN(100,(Inputs!$B$9+((C1269=TRUE)*(F1269-Calc!F26))+B1277+(ArtifactsInput!$M$24-ArtifactsInput!$M$24)*CHOOSE(ArtifactsInput!$N$24+1,10,12,14,16,18,20)+(IF(AND(Inputs!$B$39&lt;&gt;"pvp",Inputs!$B$44=0),1,IF(IF(Inputs!$B$39="pvp",15,Inputs!$B$44)-(B1288)&lt;=0,1,MAX(0,IF(Inputs!$B$39="pvp",15,Inputs!$B$44)-MAX(5,B1288))/(IF(Inputs!$B$39="pvp",15,Inputs!$B$44)-(B1288))))*IF(AND(ArtifactsInput!$M$42,((Inputs!$B$9+((C1269=TRUE)*(F1269-Calc!F26))+B1277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1258*(MIN(100,(Inputs!$B$9+((C1269=TRUE)*(F1269-Calc!F26))+B1277+(ArtifactsInput!$M$24-ArtifactsInput!$M$24)*CHOOSE(ArtifactsInput!$N$24+1,10,12,14,16,18,20)+(IF(AND(Inputs!$B$39&lt;&gt;"pvp",Inputs!$B$44=0),1,IF(IF(Inputs!$B$39="pvp",15,Inputs!$B$44)-(B1288)&lt;=0,1,MAX(0,IF(Inputs!$B$39="pvp",15,Inputs!$B$44)-MAX(5,B1288))/(IF(Inputs!$B$39="pvp",15,Inputs!$B$44)-(B1288))))*IF(AND(ArtifactsInput!$M$42,((Inputs!$B$9+((C1269=TRUE)*(F1269-Calc!F26))+B1277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1258*(1-MIN(100,(Inputs!$B$9+((C1269=TRUE)*(F1269-Calc!F26))+B1277+(ArtifactsInput!$M$24-ArtifactsInput!$M$24)*CHOOSE(ArtifactsInput!$N$24+1,10,12,14,16,18,20)+(IF(AND(Inputs!$B$39&lt;&gt;"pvp",Inputs!$B$44=0),1,IF(IF(Inputs!$B$39="pvp",15,Inputs!$B$44)-(B1288)&lt;=0,1,MAX(0,IF(Inputs!$B$39="pvp",15,Inputs!$B$44)-MAX(5,B1288))/(IF(Inputs!$B$39="pvp",15,Inputs!$B$44)-(B1288))))*IF(AND(ArtifactsInput!$M$42,((Inputs!$B$9+((C1269=TRUE)*(F1269-Calc!F26))+B1277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1258*(MIN(100,(Inputs!$B$9+((C1269=TRUE)*(F1269-Calc!F26))+B1277+(ArtifactsInput!$M$24-ArtifactsInput!$M$24)*CHOOSE(ArtifactsInput!$N$24+1,10,12,14,16,18,20)+(IF(AND(Inputs!$B$39&lt;&gt;"pvp",Inputs!$B$44=0),1,IF(IF(Inputs!$B$39="pvp",15,Inputs!$B$44)-(B1288)&lt;=0,1,MAX(0,IF(Inputs!$B$39="pvp",15,Inputs!$B$44)-MAX(5,B1288))/(IF(Inputs!$B$39="pvp",15,Inputs!$B$44)-(B1288))))*IF(AND(ArtifactsInput!$M$42,((Inputs!$B$9+((C1269=TRUE)*(F1269-Calc!F26))+B1277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1258">
        <f>IF(C1258,(H1258*N1258*IF(AND(Inputs!$B$39&lt;&gt;"pvp",Inputs!$B$44&gt;0),((Skills!G15*((R1258-1)*IF(Skills!H15&gt;0,Skills!I15/Skills!H15,1)+IF(Skills!H15&gt;0,MIN(Skills!I15,MAX(0,MAX(0,Inputs!$B$44-B1288)-((R1258-1)*IF(Inputs!$B$39="pvp",15,MAX(0.1,Skills!D15-IF(TRUE=TRUE,(Inputs!$B$32+1),0))))))/Skills!H15,1)))/Inputs!$B$44),G1258*Q1258))*IF(Inputs!$B$39="pvp",1,(1+(Inputs!$B$21+Skills!Q15+B1278+(IF(ArtifactsInput!$M$33,CHOOSE(ArtifactsInput!$N$33+1,30,36,42,48,54,60),0))+(IF(AND(ArtifactsInput!$M$35,Inputs!$B$4&lt;&gt;"Chapter Hunt"),CHOOSE(ArtifactsInput!$N$35+1,15,18,21,24,27,30)*(1-EXP(-(0.2*B1281)*5)),0)+IF(AND(ArtifactsInput!$M$22,Inputs!$B$4&lt;&gt;"Chapter Hunt"),CHOOSE(ArtifactsInput!$N$22+1,10,12,14,16,18,20)*((0*(((0.15*B1281*5))^0/1)+1*(((0.15*B1281*5))^1/1)+2*(((0.15*B1281*5))^2/2)+3*(((0.15*B1281*5))^3/6)+4*(((0.15*B1281*5))^4/24)+5*(((0.15*B1281*5))^5/120))/((((0.15*B1281*5))^0/1)+(((0.15*B1281*5))^1/1)+(((0.15*B1281*5))^2/2)+(((0.15*B1281*5))^3/6)+(((0.15*B1281*5))^4/24)+(((0.15*B1281*5))^5/120))),0)))/100)*(MIN(MIN(5,0.5*IF(Inputs!$B$3&gt;=75,0.75,0.5)*B1281*(1/Q1247))*Skills!V15,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259">
      <c r="A1259">
        <f>Skills!A16</f>
        <v/>
      </c>
      <c r="B1259">
        <f>Skills!B16</f>
        <v/>
      </c>
      <c r="C1259">
        <f>Inputs!$B$3&gt;=110</f>
        <v/>
      </c>
      <c r="D1259">
        <f>IF(Skills!C16=1,60+Inputs!$B$25+Inputs!$B$29,IF(Skills!C16=2,90+Inputs!$B$26+Inputs!$B$29,IF(Skills!C16=3,120+Inputs!$B$27+Inputs!$B$29,MAX(0,(Inputs!$B$3-100)*3)+Inputs!$B$28+Inputs!$B$29)))</f>
        <v/>
      </c>
      <c r="E1259">
        <f>INDEX(FactorTable!$B$2:$Y$301, MATCH(ROUND(MIN(300,MAX(1,D1259)),0), FactorTable!$A$2:$A$301,0), Skills!M16+1)</f>
        <v/>
      </c>
      <c r="F1259">
        <f>IF(Skills!N16=TRUE,(Skills!L16/10)*(E1259/1000),Skills!L16/10)+Skills!O16</f>
        <v/>
      </c>
      <c r="G1259">
        <f>Skills!G16*IF(Skills!H16&gt;0,IF(Inputs!$B$39="pvp",MIN(Skills!I16,15),Skills!I16)/Skills!H16,1)</f>
        <v/>
      </c>
      <c r="H1259">
        <f>1-(1-Skills!J16/100)^Skills!K16</f>
        <v/>
      </c>
      <c r="I1259" t="inlineStr">
        <is>
          <t>1</t>
        </is>
      </c>
      <c r="J1259" t="inlineStr"/>
      <c r="K1259" t="inlineStr"/>
      <c r="L1259" t="inlineStr"/>
      <c r="M1259" t="inlineStr"/>
      <c r="N1259" t="inlineStr"/>
      <c r="O1259">
        <f>(1-Summary!$B$11)*T1259+Summary!$B$11*V1259</f>
        <v/>
      </c>
      <c r="P1259">
        <f>IF(B1289=0,0,O1259/B1289)</f>
        <v/>
      </c>
      <c r="Q1259">
        <f>IFERROR(1/IF(Inputs!$B$39="pvp",15,MAX(0.1,Skills!D16-IF(TRUE=TRUE,(Inputs!$B$32+1),0))),0)</f>
        <v/>
      </c>
      <c r="R1259">
        <f>IF(AND(Inputs!$B$39&lt;&gt;"pvp",Inputs!$B$44&gt;0),IF(Inputs!$B$44&lt;=0,0,(INT(Inputs!$B$44/IF(Inputs!$B$39="pvp",15,MAX(0.1,Skills!D16-IF(TRUE=TRUE,(Inputs!$B$32+1),0))))+1)),0)</f>
        <v/>
      </c>
      <c r="S1259">
        <f>IFERROR(O1259/N1259,0)</f>
        <v/>
      </c>
      <c r="T1259" t="n">
        <v>0</v>
      </c>
      <c r="V1259" t="n">
        <v>0</v>
      </c>
    </row>
    <row r="1260">
      <c r="A1260">
        <f>Skills!A17</f>
        <v/>
      </c>
      <c r="B1260">
        <f>Skills!B17</f>
        <v/>
      </c>
      <c r="C1260">
        <f>Inputs!$B$3&gt;=115</f>
        <v/>
      </c>
      <c r="D1260">
        <f>IF(Skills!C17=1,60+Inputs!$B$25+Inputs!$B$29,IF(Skills!C17=2,90+Inputs!$B$26+Inputs!$B$29,IF(Skills!C17=3,120+Inputs!$B$27+Inputs!$B$29,MAX(0,(Inputs!$B$3-100)*3)+Inputs!$B$28+Inputs!$B$29)))</f>
        <v/>
      </c>
      <c r="E1260">
        <f>INDEX(FactorTable!$B$2:$Y$301, MATCH(ROUND(MIN(300,MAX(1,D1260)),0), FactorTable!$A$2:$A$301,0), Skills!M17+1)</f>
        <v/>
      </c>
      <c r="F1260">
        <f>IF(Skills!N17=TRUE,(Skills!L17/10)*(E1260/1000),Skills!L17/10)+Skills!O17</f>
        <v/>
      </c>
      <c r="G1260">
        <f>Skills!G17*IF(Skills!H17&gt;0,IF(Inputs!$B$39="pvp",MIN(Skills!I17,15),Skills!I17)/Skills!H17,1)</f>
        <v/>
      </c>
      <c r="H1260">
        <f>1-(1-Skills!J17/100)^Skills!K17</f>
        <v/>
      </c>
      <c r="I1260" t="inlineStr">
        <is>
          <t>1</t>
        </is>
      </c>
      <c r="J1260">
        <f>((Inputs!$B$6*(1+Inputs!$B$7/100))+(((Inputs!$B$12*(1+Inputs!$B$13/100))-(Inputs!$B$12*(1+Inputs!$B$13/100)))+0.25*(Inputs!$B$14-Inputs!$B$14))*(1+Inputs!$B$7/100))*(F1260/100)</f>
        <v/>
      </c>
      <c r="K1260">
        <f>J1260*(1+((Inputs!$B$12*(1+Inputs!$B$13/100))*0.01+Inputs!$B$14*0.0025)/100)*(1+Inputs!$B$15/100)*(1+Inputs!$B$16/100)*(5000/(6000+Inputs!$B$43*(1-(100*(1-(1-Inputs!$B$19/100)*(1-CHOOSE(ArtifactsInput!$N$40+1,5,6,7,8,9,10)/100)^(ArtifactsInput!$M$40-ArtifactsInput!$M$40)))/100)))*(1+(Inputs!$B$24+((C1274=TRUE)*(F1274-Calc!F31))+((C1261=TRUE)*(F1261-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17="CRUEL_STAB",Inputs!$B$17+((C1271=TRUE)*(F1271-Calc!F28))+((IF(AND(Inputs!$B$39&lt;&gt;"pvp",Inputs!$B$44=0),1,IF(IF(Inputs!$B$39="pvp",15,Inputs!$B$44)-(B1288)&lt;=0,1,MAX(0,IF(Inputs!$B$39="pvp",15,Inputs!$B$44)-MAX(5,B1288))/(IF(Inputs!$B$39="pvp",15,Inputs!$B$44)-(B1288))))*(IF(AND(ArtifactsInput!$M$42,((Inputs!$B$9+((C1269=TRUE)*(F1269-Calc!F26))+B1277+(ArtifactsInput!$M$24-ArtifactsInput!$M$24)*CHOOSE(ArtifactsInput!$N$24+1,10,12,14,16,18,20)+IF(ArtifactsInput!$M$10,CHOOSE(ArtifactsInput!$N$10+1,15,18,21,24,27,30)*(IF(Inputs!$B$39="pvp",MIN(15,15)/15,IF(AND(Inputs!$B$39&lt;&gt;"pvp",Inputs!$B$44&gt;0),MIN(15,Inputs!$B$44)/(Inputs!$B$44),0))),0)))&gt;=100),MIN(100,((Inputs!$B$9+((C1269=TRUE)*(F1269-Calc!F26))+B1277+(ArtifactsInput!$M$24-ArtifactsInput!$M$24)*CHOOSE(ArtifactsInput!$N$24+1,10,12,14,16,18,20)+IF(ArtifactsInput!$M$10,CHOOSE(ArtifactsInput!$N$10+1,15,18,21,24,27,30)*(IF(Inputs!$B$39="pvp",MIN(15,15)/15,IF(AND(Inputs!$B$39&lt;&gt;"pvp",Inputs!$B$44&gt;0),MIN(15,Inputs!$B$44)/(Inputs!$B$44),0))),0)))-100),0))*CHOOSE(ArtifactsInput!$N$42+1,0.6,0.72,0.84,0.96,1.08,1.2))),Inputs!$B$18+((C1272=TRUE)*(F1272-Calc!F29))+(IF(AND(Inputs!$B$39&lt;&gt;"pvp",Inputs!$B$44=0),1,IF(IF(Inputs!$B$39="pvp",15,Inputs!$B$44)-(B1288)&lt;=0,1,MAX(0,IF(Inputs!$B$39="pvp",15,Inputs!$B$44)-MAX(5,B1288))/(IF(Inputs!$B$39="pvp",15,Inputs!$B$44)-(B1288))))*IF(AND(ArtifactsInput!$M$42,((Inputs!$B$9+((C1269=TRUE)*(F1269-Calc!F26))+B1277+(ArtifactsInput!$M$24-ArtifactsInput!$M$24)*CHOOSE(ArtifactsInput!$N$24+1,10,12,14,16,18,20)+IF(ArtifactsInput!$M$10,CHOOSE(ArtifactsInput!$N$10+1,15,18,21,24,27,30)*(IF(Inputs!$B$39="pvp",MIN(15,15)/15,IF(AND(Inputs!$B$39&lt;&gt;"pvp",Inputs!$B$44&gt;0),MIN(15,Inputs!$B$44)/(Inputs!$B$44),0))),0)))&gt;=100),CHOOSE(ArtifactsInput!$N$42+1,40,48,56,64,72,80),0))))/100)*(((1+(((C1265=TRUE)*F1265*IF(AND(Inputs!$B$39&lt;&gt;"pvp",Inputs!$B$44&gt;0),(((R1265-1)*MIN((Skills!Y22*(1+Inputs!$B$34/100)),(1/Q1265))+MIN((Skills!Y22*(1+Inputs!$B$34/100)),MAX(0,Inputs!$B$44-((R1265-1)*(1/Q1265)))))/Inputs!$B$44),IF(Inputs!$B$39="pvp",MIN((Skills!Y22*(1+Inputs!$B$34/100)),15)/15,MIN(1,(Skills!Y22*(1+Inputs!$B$34/100))/(1/Q1265)))))+((C1246=TRUE)*F1246*3)+((C1248=TRUE)*F1248*(1-EXP(-0.75*B1281*5)))+((C1267=TRUE)*(F1267-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1254=TRUE)*F1254*IF(AND(Inputs!$B$39&lt;&gt;"pvp",Inputs!$B$44&gt;0),(((R1254-1)*MIN((Skills!Y11*(1+Inputs!$B$34/100)),(1/Q1254))+MIN((Skills!Y11*(1+Inputs!$B$34/100)),MAX(0,Inputs!$B$44-((R1254-1)*(1/Q1254)))))/Inputs!$B$44),IF(Inputs!$B$39="pvp",MIN((Skills!Y11*(1+Inputs!$B$34/100)),15)/15,MIN(1,(Skills!Y11*(1+Inputs!$B$34/100))/(1/Q1254)))))/100)*(1+((C1259=TRUE)*F1259*IF(AND(Inputs!$B$39&lt;&gt;"pvp",Inputs!$B$44&gt;0),(((R1259-1)*MIN((Skills!Y16*(1+Inputs!$B$34/100)),(1/Q1259))+MIN((Skills!Y16*(1+Inputs!$B$34/100)),MAX(0,Inputs!$B$44-((R1259-1)*(1/Q1259)))))/Inputs!$B$44),IF(Inputs!$B$39="pvp",MIN((Skills!Y16*(1+Inputs!$B$34/100)),15)/15,MIN(1,(Skills!Y16*(1+Inputs!$B$34/100))/(1/Q1259)))))/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1279*I1260)</f>
        <v/>
      </c>
      <c r="L1260">
        <f>K1260*(MIN(Inputs!$B$22+((C1268=TRUE)*(F1268-Calc!F25)),(Inputs!$B$23+((C1273=TRUE)*(F1273-Calc!F30))+IF(ArtifactsInput!$M$15,CHOOSE(ArtifactsInput!$N$15+1,25,30,35,40,45,50)/100*(Inputs!$B$11-Inputs!$B$11),0)))/100+(Inputs!$B$23+((C1273=TRUE)*(F1273-Calc!F30))+IF(ArtifactsInput!$M$15,CHOOSE(ArtifactsInput!$N$15+1,25,30,35,40,45,50)/100*(Inputs!$B$11-Inputs!$B$11),0))/100)/2</f>
        <v/>
      </c>
      <c r="M1260">
        <f>L1260*(1+(Inputs!$B$10+((C1270=TRUE)*(F1270-Calc!F27))+B1284+(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1260">
        <f>L1260*(1-MIN((Inputs!$B$9+((C1269=TRUE)*(F1269-Calc!F26))+B1277+(ArtifactsInput!$M$24-ArtifactsInput!$M$24)*CHOOSE(ArtifactsInput!$N$24+1,10,12,14,16,18,20)+(IF(AND(Inputs!$B$39&lt;&gt;"pvp",Inputs!$B$44=0),1,IF(IF(Inputs!$B$39="pvp",15,Inputs!$B$44)-(B1288)&lt;=0,1,MAX(0,IF(Inputs!$B$39="pvp",15,Inputs!$B$44)-MAX(5,B1288))/(IF(Inputs!$B$39="pvp",15,Inputs!$B$44)-(B1288))))*IF(AND(ArtifactsInput!$M$42,((Inputs!$B$9+((C1269=TRUE)*(F1269-Calc!F26))+B1277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1260*(MIN((Inputs!$B$9+((C1269=TRUE)*(F1269-Calc!F26))+B1277+(ArtifactsInput!$M$24-ArtifactsInput!$M$24)*CHOOSE(ArtifactsInput!$N$24+1,10,12,14,16,18,20)+(IF(AND(Inputs!$B$39&lt;&gt;"pvp",Inputs!$B$44=0),1,IF(IF(Inputs!$B$39="pvp",15,Inputs!$B$44)-(B1288)&lt;=0,1,MAX(0,IF(Inputs!$B$39="pvp",15,Inputs!$B$44)-MAX(5,B1288))/(IF(Inputs!$B$39="pvp",15,Inputs!$B$44)-(B1288))))*IF(AND(ArtifactsInput!$M$42,((Inputs!$B$9+((C1269=TRUE)*(F1269-Calc!F26))+B1277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260">
        <f>(1-Summary!$B$11)*T1260+Summary!$B$11*V1260</f>
        <v/>
      </c>
      <c r="P1260">
        <f>IF(B1289=0,0,O1260/B1289)</f>
        <v/>
      </c>
      <c r="Q1260" t="n">
        <v>0</v>
      </c>
      <c r="R1260" t="n">
        <v>0</v>
      </c>
      <c r="S1260">
        <f>IFERROR(O1260/N1260,0)</f>
        <v/>
      </c>
      <c r="T1260">
        <f>IF(C1260,(Inputs!$B$38*0.2*N1260)*IF(Inputs!$B$39="pvp",1,1+(Inputs!$B$20+0+Skills!P17+B1278+(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Hunt"),CHOOSE(ArtifactsInput!$N$35+1,15,18,21,24,27,30)*(1-EXP(-(0.2*B1281)*5)),0)+IF(AND(ArtifactsInput!$M$22,Inputs!$B$4&lt;&gt;"Chapter Hunt"),CHOOSE(ArtifactsInput!$N$22+1,10,12,14,16,18,20)*((0*(((0.15*B1281*5))^0/1)+1*(((0.15*B1281*5))^1/1)+2*(((0.15*B1281*5))^2/2)+3*(((0.15*B1281*5))^3/6)+4*(((0.15*B1281*5))^4/24)+5*(((0.15*B1281*5))^5/120))/((((0.15*B1281*5))^0/1)+(((0.15*B1281*5))^1/1)+(((0.15*B1281*5))^2/2)+(((0.15*B1281*5))^3/6)+(((0.15*B1281*5))^4/24)+(((0.15*B1281*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1260*(1-MIN(100,(Inputs!$B$9+((C1269=TRUE)*(F1269-Calc!F26))+B1277+(ArtifactsInput!$M$24-ArtifactsInput!$M$24)*CHOOSE(ArtifactsInput!$N$24+1,10,12,14,16,18,20)+(IF(AND(Inputs!$B$39&lt;&gt;"pvp",Inputs!$B$44=0),1,IF(IF(Inputs!$B$39="pvp",15,Inputs!$B$44)-(B1288)&lt;=0,1,MAX(0,IF(Inputs!$B$39="pvp",15,Inputs!$B$44)-MAX(5,B1288))/(IF(Inputs!$B$39="pvp",15,Inputs!$B$44)-(B1288))))*IF(AND(ArtifactsInput!$M$42,((Inputs!$B$9+((C1269=TRUE)*(F1269-Calc!F26))+B1277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1260*(MIN(100,(Inputs!$B$9+((C1269=TRUE)*(F1269-Calc!F26))+B1277+(ArtifactsInput!$M$24-ArtifactsInput!$M$24)*CHOOSE(ArtifactsInput!$N$24+1,10,12,14,16,18,20)+(IF(AND(Inputs!$B$39&lt;&gt;"pvp",Inputs!$B$44=0),1,IF(IF(Inputs!$B$39="pvp",15,Inputs!$B$44)-(B1288)&lt;=0,1,MAX(0,IF(Inputs!$B$39="pvp",15,Inputs!$B$44)-MAX(5,B1288))/(IF(Inputs!$B$39="pvp",15,Inputs!$B$44)-(B1288))))*IF(AND(ArtifactsInput!$M$42,((Inputs!$B$9+((C1269=TRUE)*(F1269-Calc!F26))+B1277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1260*(1-MIN(100,(Inputs!$B$9+((C1269=TRUE)*(F1269-Calc!F26))+B1277+(ArtifactsInput!$M$24-ArtifactsInput!$M$24)*CHOOSE(ArtifactsInput!$N$24+1,10,12,14,16,18,20)+(IF(AND(Inputs!$B$39&lt;&gt;"pvp",Inputs!$B$44=0),1,IF(IF(Inputs!$B$39="pvp",15,Inputs!$B$44)-(B1288)&lt;=0,1,MAX(0,IF(Inputs!$B$39="pvp",15,Inputs!$B$44)-MAX(5,B1288))/(IF(Inputs!$B$39="pvp",15,Inputs!$B$44)-(B1288))))*IF(AND(ArtifactsInput!$M$42,((Inputs!$B$9+((C1269=TRUE)*(F1269-Calc!F26))+B1277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1260*(MIN(100,(Inputs!$B$9+((C1269=TRUE)*(F1269-Calc!F26))+B1277+(ArtifactsInput!$M$24-ArtifactsInput!$M$24)*CHOOSE(ArtifactsInput!$N$24+1,10,12,14,16,18,20)+(IF(AND(Inputs!$B$39&lt;&gt;"pvp",Inputs!$B$44=0),1,IF(IF(Inputs!$B$39="pvp",15,Inputs!$B$44)-(B1288)&lt;=0,1,MAX(0,IF(Inputs!$B$39="pvp",15,Inputs!$B$44)-MAX(5,B1288))/(IF(Inputs!$B$39="pvp",15,Inputs!$B$44)-(B1288))))*IF(AND(ArtifactsInput!$M$42,((Inputs!$B$9+((C1269=TRUE)*(F1269-Calc!F26))+B1277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1260">
        <f>IF(C1260,(Inputs!$B$38*0.2*N1260)*IF(Inputs!$B$39="pvp",1,(1+(Inputs!$B$21+Skills!Q17+B1278+(IF(ArtifactsInput!$M$33,CHOOSE(ArtifactsInput!$N$33+1,30,36,42,48,54,60),0))+(IF(AND(ArtifactsInput!$M$35,Inputs!$B$4&lt;&gt;"Chapter Hunt"),CHOOSE(ArtifactsInput!$N$35+1,15,18,21,24,27,30)*(1-EXP(-(0.2*B1281)*5)),0)+IF(AND(ArtifactsInput!$M$22,Inputs!$B$4&lt;&gt;"Chapter Hunt"),CHOOSE(ArtifactsInput!$N$22+1,10,12,14,16,18,20)*((0*(((0.15*B1281*5))^0/1)+1*(((0.15*B1281*5))^1/1)+2*(((0.15*B1281*5))^2/2)+3*(((0.15*B1281*5))^3/6)+4*(((0.15*B1281*5))^4/24)+5*(((0.15*B1281*5))^5/120))/((((0.15*B1281*5))^0/1)+(((0.15*B1281*5))^1/1)+(((0.15*B1281*5))^2/2)+(((0.15*B1281*5))^3/6)+(((0.15*B1281*5))^4/24)+(((0.15*B1281*5))^5/120))),0)))/100)*(MIN(Skills!W17,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261">
      <c r="A1261">
        <f>Skills!A18</f>
        <v/>
      </c>
      <c r="B1261">
        <f>Skills!B18</f>
        <v/>
      </c>
      <c r="C1261">
        <f>Inputs!$B$3&gt;=115</f>
        <v/>
      </c>
      <c r="D1261">
        <f>IF(Skills!C18=1,60+Inputs!$B$25+Inputs!$B$29,IF(Skills!C18=2,90+Inputs!$B$26+Inputs!$B$29,IF(Skills!C18=3,120+Inputs!$B$27+Inputs!$B$29,MAX(0,(Inputs!$B$3-100)*3)+Inputs!$B$28+Inputs!$B$29)))</f>
        <v/>
      </c>
      <c r="E1261">
        <f>INDEX(FactorTable!$B$2:$Y$301, MATCH(ROUND(MIN(300,MAX(1,D1261)),0), FactorTable!$A$2:$A$301,0), Skills!M18+1)</f>
        <v/>
      </c>
      <c r="F1261">
        <f>IF(Skills!N18=TRUE,(Skills!L18/10)*(E1261/1000),Skills!L18/10)+Skills!O18</f>
        <v/>
      </c>
      <c r="G1261">
        <f>Skills!G18*IF(Skills!H18&gt;0,IF(Inputs!$B$39="pvp",MIN(Skills!I18,15),Skills!I18)/Skills!H18,1)</f>
        <v/>
      </c>
      <c r="H1261">
        <f>1-(1-Skills!J18/100)^Skills!K18</f>
        <v/>
      </c>
      <c r="I1261" t="inlineStr">
        <is>
          <t>1</t>
        </is>
      </c>
      <c r="J1261" t="inlineStr"/>
      <c r="K1261" t="inlineStr"/>
      <c r="L1261" t="inlineStr"/>
      <c r="M1261" t="inlineStr"/>
      <c r="N1261" t="inlineStr"/>
      <c r="O1261">
        <f>(1-Summary!$B$11)*T1261+Summary!$B$11*V1261</f>
        <v/>
      </c>
      <c r="P1261">
        <f>IF(B1289=0,0,O1261/B1289)</f>
        <v/>
      </c>
      <c r="Q1261" t="n">
        <v>0</v>
      </c>
      <c r="R1261" t="n">
        <v>0</v>
      </c>
      <c r="S1261">
        <f>IFERROR(O1261/N1261,0)</f>
        <v/>
      </c>
      <c r="T1261" t="n">
        <v>0</v>
      </c>
      <c r="V1261" t="n">
        <v>0</v>
      </c>
    </row>
    <row r="1262">
      <c r="A1262">
        <f>Skills!A19</f>
        <v/>
      </c>
      <c r="B1262">
        <f>Skills!B19</f>
        <v/>
      </c>
      <c r="C1262">
        <f>Inputs!$B$3&gt;=100</f>
        <v/>
      </c>
      <c r="D1262">
        <f>IF(Skills!C19=1,60+Inputs!$B$25+Inputs!$B$29,IF(Skills!C19=2,90+Inputs!$B$26+Inputs!$B$29,IF(Skills!C19=3,120+Inputs!$B$27+Inputs!$B$29,MAX(0,(Inputs!$B$3-100)*3)+Inputs!$B$28+Inputs!$B$29)))</f>
        <v/>
      </c>
      <c r="E1262">
        <f>INDEX(FactorTable!$B$2:$Y$301, MATCH(ROUND(MIN(300,MAX(1,D1262)),0), FactorTable!$A$2:$A$301,0), Skills!M19+1)</f>
        <v/>
      </c>
      <c r="F1262">
        <f>IF(Skills!N19=TRUE,(Skills!L19/10)*(E1262/1000),Skills!L19/10)+Skills!O19</f>
        <v/>
      </c>
      <c r="G1262">
        <f>Skills!G19*IF(Skills!H19&gt;0,IF(Inputs!$B$39="pvp",MIN(Skills!I19,15),Skills!I19)/Skills!H19,1)</f>
        <v/>
      </c>
      <c r="H1262">
        <f>1-(1-Skills!J19/100)^Skills!K19</f>
        <v/>
      </c>
      <c r="I1262" t="inlineStr">
        <is>
          <t>1</t>
        </is>
      </c>
      <c r="J1262" t="inlineStr"/>
      <c r="K1262" t="inlineStr"/>
      <c r="L1262" t="inlineStr"/>
      <c r="M1262" t="inlineStr"/>
      <c r="N1262" t="inlineStr"/>
      <c r="O1262">
        <f>(1-Summary!$B$11)*T1262+Summary!$B$11*V1262</f>
        <v/>
      </c>
      <c r="P1262">
        <f>IF(B1289=0,0,O1262/B1289)</f>
        <v/>
      </c>
      <c r="Q1262" t="n">
        <v>0</v>
      </c>
      <c r="R1262" t="n">
        <v>0</v>
      </c>
      <c r="S1262">
        <f>IFERROR(O1262/N1262,0)</f>
        <v/>
      </c>
      <c r="T1262" t="n">
        <v>0</v>
      </c>
      <c r="V1262" t="n">
        <v>0</v>
      </c>
    </row>
    <row r="1263">
      <c r="A1263">
        <f>Skills!A20</f>
        <v/>
      </c>
      <c r="B1263">
        <f>Skills!B20</f>
        <v/>
      </c>
      <c r="C1263">
        <f>TRUE</f>
        <v/>
      </c>
      <c r="D1263">
        <f>IF(Skills!C20=1,60+Inputs!$B$25+Inputs!$B$29,IF(Skills!C20=2,90+Inputs!$B$26+Inputs!$B$29,IF(Skills!C20=3,120+Inputs!$B$27+Inputs!$B$29,MAX(0,(Inputs!$B$3-100)*3)+Inputs!$B$28+Inputs!$B$29)))</f>
        <v/>
      </c>
      <c r="E1263">
        <f>INDEX(FactorTable!$B$2:$Y$301, MATCH(ROUND(MIN(300,MAX(1,D1263)),0), FactorTable!$A$2:$A$301,0), Skills!M20+1)</f>
        <v/>
      </c>
      <c r="F1263">
        <f>IF(Skills!N20=TRUE,(Skills!L20/10)*(E1263/1000),Skills!L20/10)+Skills!O20</f>
        <v/>
      </c>
      <c r="G1263">
        <f>Skills!G20*IF(Skills!H20&gt;0,IF(Inputs!$B$39="pvp",MIN(Skills!I20,15),Skills!I20)/Skills!H20,1)</f>
        <v/>
      </c>
      <c r="H1263">
        <f>1-(1-Skills!J20/100)^Skills!K20</f>
        <v/>
      </c>
      <c r="I1263" t="inlineStr">
        <is>
          <t>1</t>
        </is>
      </c>
      <c r="J1263" t="inlineStr"/>
      <c r="K1263" t="inlineStr"/>
      <c r="L1263" t="inlineStr"/>
      <c r="M1263" t="inlineStr"/>
      <c r="N1263" t="inlineStr"/>
      <c r="O1263">
        <f>(1-Summary!$B$11)*T1263+Summary!$B$11*V1263</f>
        <v/>
      </c>
      <c r="P1263">
        <f>IF(B1289=0,0,O1263/B1289)</f>
        <v/>
      </c>
      <c r="Q1263">
        <f>IFERROR(1/IF(Inputs!$B$39="pvp",15,MAX(0.1,Skills!D20-IF(TRUE=TRUE,(Inputs!$B$32+1),0))),0)</f>
        <v/>
      </c>
      <c r="R1263">
        <f>IF(AND(Inputs!$B$39&lt;&gt;"pvp",Inputs!$B$44&gt;0),IF(Inputs!$B$44&lt;=0,0,(INT(Inputs!$B$44/IF(Inputs!$B$39="pvp",15,MAX(0.1,Skills!D20-IF(TRUE=TRUE,(Inputs!$B$32+1),0))))+1)),0)</f>
        <v/>
      </c>
      <c r="S1263">
        <f>IFERROR(O1263/N1263,0)</f>
        <v/>
      </c>
      <c r="T1263" t="n">
        <v>0</v>
      </c>
      <c r="V1263" t="n">
        <v>0</v>
      </c>
    </row>
    <row r="1264">
      <c r="A1264">
        <f>Skills!A21</f>
        <v/>
      </c>
      <c r="B1264">
        <f>Skills!B21</f>
        <v/>
      </c>
      <c r="C1264">
        <f>Inputs!$B$3&gt;=15</f>
        <v/>
      </c>
      <c r="D1264">
        <f>IF(Skills!C21=1,60+Inputs!$B$25+Inputs!$B$29,IF(Skills!C21=2,90+Inputs!$B$26+Inputs!$B$29,IF(Skills!C21=3,120+Inputs!$B$27+Inputs!$B$29,MAX(0,(Inputs!$B$3-100)*3)+Inputs!$B$28+Inputs!$B$29)))</f>
        <v/>
      </c>
      <c r="E1264">
        <f>INDEX(FactorTable!$B$2:$Y$301, MATCH(ROUND(MIN(300,MAX(1,D1264)),0), FactorTable!$A$2:$A$301,0), Skills!M21+1)</f>
        <v/>
      </c>
      <c r="F1264">
        <f>IF(Skills!N21=TRUE,(Skills!L21/10)*(E1264/1000),Skills!L21/10)+Skills!O21</f>
        <v/>
      </c>
      <c r="G1264">
        <f>Skills!G21*IF(Skills!H21&gt;0,IF(Inputs!$B$39="pvp",MIN(Skills!I21,15),Skills!I21)/Skills!H21,1)</f>
        <v/>
      </c>
      <c r="H1264">
        <f>1-(1-Skills!J21/100)^Skills!K21</f>
        <v/>
      </c>
      <c r="I1264" t="inlineStr">
        <is>
          <t>1</t>
        </is>
      </c>
      <c r="J1264" t="inlineStr"/>
      <c r="K1264" t="inlineStr"/>
      <c r="L1264" t="inlineStr"/>
      <c r="M1264" t="inlineStr"/>
      <c r="N1264" t="inlineStr"/>
      <c r="O1264">
        <f>(1-Summary!$B$11)*T1264+Summary!$B$11*V1264</f>
        <v/>
      </c>
      <c r="P1264">
        <f>IF(B1289=0,0,O1264/B1289)</f>
        <v/>
      </c>
      <c r="Q1264">
        <f>IFERROR(1/IF(Inputs!$B$39="pvp",15,MAX(0.1,Skills!D21-IF(TRUE=TRUE,(Inputs!$B$32+1),0))),0)</f>
        <v/>
      </c>
      <c r="R1264">
        <f>IF(AND(Inputs!$B$39&lt;&gt;"pvp",Inputs!$B$44&gt;0),IF(Inputs!$B$44&lt;=0,0,(INT(Inputs!$B$44/IF(Inputs!$B$39="pvp",15,MAX(0.1,Skills!D21-IF(TRUE=TRUE,(Inputs!$B$32+1),0))))+1)),0)</f>
        <v/>
      </c>
      <c r="S1264">
        <f>IFERROR(O1264/N1264,0)</f>
        <v/>
      </c>
      <c r="T1264" t="n">
        <v>0</v>
      </c>
      <c r="V1264" t="n">
        <v>0</v>
      </c>
    </row>
    <row r="1265">
      <c r="A1265">
        <f>Skills!A22</f>
        <v/>
      </c>
      <c r="B1265">
        <f>Skills!B22</f>
        <v/>
      </c>
      <c r="C1265">
        <f>Inputs!$B$3&gt;=15</f>
        <v/>
      </c>
      <c r="D1265">
        <f>IF(Skills!C22=1,60+Inputs!$B$25+Inputs!$B$29,IF(Skills!C22=2,90+Inputs!$B$26+Inputs!$B$29,IF(Skills!C22=3,120+Inputs!$B$27+Inputs!$B$29,MAX(0,(Inputs!$B$3-100)*3)+Inputs!$B$28+Inputs!$B$29)))</f>
        <v/>
      </c>
      <c r="E1265">
        <f>INDEX(FactorTable!$B$2:$Y$301, MATCH(ROUND(MIN(300,MAX(1,D1265)),0), FactorTable!$A$2:$A$301,0), Skills!M22+1)</f>
        <v/>
      </c>
      <c r="F1265">
        <f>IF(Skills!N22=TRUE,(Skills!L22/10)*(E1265/1000),Skills!L22/10)+Skills!O22</f>
        <v/>
      </c>
      <c r="G1265">
        <f>Skills!G22*IF(Skills!H22&gt;0,IF(Inputs!$B$39="pvp",MIN(Skills!I22,15),Skills!I22)/Skills!H22,1)</f>
        <v/>
      </c>
      <c r="H1265">
        <f>1-(1-Skills!J22/100)^Skills!K22</f>
        <v/>
      </c>
      <c r="I1265" t="inlineStr">
        <is>
          <t>1</t>
        </is>
      </c>
      <c r="J1265" t="inlineStr"/>
      <c r="K1265" t="inlineStr"/>
      <c r="L1265" t="inlineStr"/>
      <c r="M1265" t="inlineStr"/>
      <c r="N1265" t="inlineStr"/>
      <c r="O1265">
        <f>(1-Summary!$B$11)*T1265+Summary!$B$11*V1265</f>
        <v/>
      </c>
      <c r="P1265">
        <f>IF(B1289=0,0,O1265/B1289)</f>
        <v/>
      </c>
      <c r="Q1265">
        <f>IFERROR(1/IF(Inputs!$B$39="pvp",15,MAX(0.1,Skills!D22-IF(TRUE=TRUE,(Inputs!$B$32+1),0))),0)</f>
        <v/>
      </c>
      <c r="R1265">
        <f>IF(AND(Inputs!$B$39&lt;&gt;"pvp",Inputs!$B$44&gt;0),IF(Inputs!$B$44&lt;=0,0,(INT(Inputs!$B$44/IF(Inputs!$B$39="pvp",15,MAX(0.1,Skills!D22-IF(TRUE=TRUE,(Inputs!$B$32+1),0))))+1)),0)</f>
        <v/>
      </c>
      <c r="S1265">
        <f>IFERROR(O1265/N1265,0)</f>
        <v/>
      </c>
      <c r="T1265" t="n">
        <v>0</v>
      </c>
      <c r="V1265" t="n">
        <v>0</v>
      </c>
    </row>
    <row r="1266">
      <c r="A1266">
        <f>Skills!A23</f>
        <v/>
      </c>
      <c r="B1266">
        <f>Skills!B23</f>
        <v/>
      </c>
      <c r="C1266">
        <f>Inputs!$B$3&gt;=33</f>
        <v/>
      </c>
      <c r="D1266">
        <f>IF(Skills!C23=1,60+Inputs!$B$25+Inputs!$B$29,IF(Skills!C23=2,90+Inputs!$B$26+Inputs!$B$29,IF(Skills!C23=3,120+Inputs!$B$27+Inputs!$B$29,MAX(0,(Inputs!$B$3-100)*3)+Inputs!$B$28+Inputs!$B$29)))</f>
        <v/>
      </c>
      <c r="E1266">
        <f>INDEX(FactorTable!$B$2:$Y$301, MATCH(ROUND(MIN(300,MAX(1,D1266)),0), FactorTable!$A$2:$A$301,0), Skills!M23+1)</f>
        <v/>
      </c>
      <c r="F1266">
        <f>IF(Skills!N23=TRUE,(Skills!L23/10)*(E1266/1000),Skills!L23/10)+Skills!O23</f>
        <v/>
      </c>
      <c r="G1266">
        <f>Skills!G23*IF(Skills!H23&gt;0,IF(Inputs!$B$39="pvp",MIN(Skills!I23,15),Skills!I23)/Skills!H23,1)</f>
        <v/>
      </c>
      <c r="H1266">
        <f>1-(1-Skills!J23/100)^Skills!K23</f>
        <v/>
      </c>
      <c r="I1266" t="inlineStr">
        <is>
          <t>1</t>
        </is>
      </c>
      <c r="J1266" t="inlineStr"/>
      <c r="K1266" t="inlineStr"/>
      <c r="L1266" t="inlineStr"/>
      <c r="M1266" t="inlineStr"/>
      <c r="N1266" t="inlineStr"/>
      <c r="O1266">
        <f>(1-Summary!$B$11)*T1266+Summary!$B$11*V1266</f>
        <v/>
      </c>
      <c r="P1266">
        <f>IF(B1289=0,0,O1266/B1289)</f>
        <v/>
      </c>
      <c r="Q1266" t="n">
        <v>0</v>
      </c>
      <c r="R1266" t="n">
        <v>0</v>
      </c>
      <c r="S1266">
        <f>IFERROR(O1266/N1266,0)</f>
        <v/>
      </c>
      <c r="T1266" t="n">
        <v>0</v>
      </c>
      <c r="V1266" t="n">
        <v>0</v>
      </c>
    </row>
    <row r="1267">
      <c r="A1267">
        <f>Skills!A24</f>
        <v/>
      </c>
      <c r="B1267">
        <f>Skills!B24</f>
        <v/>
      </c>
      <c r="C1267">
        <f>Inputs!$B$3&gt;=40</f>
        <v/>
      </c>
      <c r="D1267">
        <f>IF(Skills!C24=1,60+Inputs!$B$25+Inputs!$B$29,IF(Skills!C24=2,90+Inputs!$B$26+Inputs!$B$29,IF(Skills!C24=3,120+Inputs!$B$27+Inputs!$B$29,MAX(0,(Inputs!$B$3-100)*3)+Inputs!$B$28+Inputs!$B$29)))</f>
        <v/>
      </c>
      <c r="E1267">
        <f>INDEX(FactorTable!$B$2:$Y$301, MATCH(ROUND(MIN(300,MAX(1,D1267)),0), FactorTable!$A$2:$A$301,0), Skills!M24+1)</f>
        <v/>
      </c>
      <c r="F1267">
        <f>IF(Skills!N24=TRUE,(Skills!L24/10)*(E1267/1000),Skills!L24/10)+Skills!O24</f>
        <v/>
      </c>
      <c r="G1267">
        <f>Skills!G24*IF(Skills!H24&gt;0,IF(Inputs!$B$39="pvp",MIN(Skills!I24,15),Skills!I24)/Skills!H24,1)</f>
        <v/>
      </c>
      <c r="H1267">
        <f>1-(1-Skills!J24/100)^Skills!K24</f>
        <v/>
      </c>
      <c r="I1267" t="inlineStr">
        <is>
          <t>1</t>
        </is>
      </c>
      <c r="J1267" t="inlineStr"/>
      <c r="K1267" t="inlineStr"/>
      <c r="L1267" t="inlineStr"/>
      <c r="M1267" t="inlineStr"/>
      <c r="N1267" t="inlineStr"/>
      <c r="O1267">
        <f>(1-Summary!$B$11)*T1267+Summary!$B$11*V1267</f>
        <v/>
      </c>
      <c r="P1267">
        <f>IF(B1289=0,0,O1267/B1289)</f>
        <v/>
      </c>
      <c r="Q1267" t="n">
        <v>0</v>
      </c>
      <c r="R1267" t="n">
        <v>0</v>
      </c>
      <c r="S1267">
        <f>IFERROR(O1267/N1267,0)</f>
        <v/>
      </c>
      <c r="T1267" t="n">
        <v>0</v>
      </c>
      <c r="V1267" t="n">
        <v>0</v>
      </c>
    </row>
    <row r="1268">
      <c r="A1268">
        <f>Skills!A25</f>
        <v/>
      </c>
      <c r="B1268">
        <f>Skills!B25</f>
        <v/>
      </c>
      <c r="C1268">
        <f>Inputs!$B$3&gt;=43</f>
        <v/>
      </c>
      <c r="D1268">
        <f>IF(Skills!C25=1,60+Inputs!$B$25+Inputs!$B$29,IF(Skills!C25=2,90+Inputs!$B$26+Inputs!$B$29,IF(Skills!C25=3,120+Inputs!$B$27+Inputs!$B$29,MAX(0,(Inputs!$B$3-100)*3)+Inputs!$B$28+Inputs!$B$29)))</f>
        <v/>
      </c>
      <c r="E1268">
        <f>INDEX(FactorTable!$B$2:$Y$301, MATCH(ROUND(MIN(300,MAX(1,D1268)),0), FactorTable!$A$2:$A$301,0), Skills!M25+1)</f>
        <v/>
      </c>
      <c r="F1268">
        <f>IF(Skills!N25=TRUE,(Skills!L25/10)*(E1268/1000),Skills!L25/10)+Skills!O25</f>
        <v/>
      </c>
      <c r="G1268">
        <f>Skills!G25*IF(Skills!H25&gt;0,IF(Inputs!$B$39="pvp",MIN(Skills!I25,15),Skills!I25)/Skills!H25,1)</f>
        <v/>
      </c>
      <c r="H1268">
        <f>1-(1-Skills!J25/100)^Skills!K25</f>
        <v/>
      </c>
      <c r="I1268" t="inlineStr">
        <is>
          <t>1</t>
        </is>
      </c>
      <c r="J1268" t="inlineStr"/>
      <c r="K1268" t="inlineStr"/>
      <c r="L1268" t="inlineStr"/>
      <c r="M1268" t="inlineStr"/>
      <c r="N1268" t="inlineStr"/>
      <c r="O1268">
        <f>(1-Summary!$B$11)*T1268+Summary!$B$11*V1268</f>
        <v/>
      </c>
      <c r="P1268">
        <f>IF(B1289=0,0,O1268/B1289)</f>
        <v/>
      </c>
      <c r="Q1268" t="n">
        <v>0</v>
      </c>
      <c r="R1268" t="n">
        <v>0</v>
      </c>
      <c r="S1268">
        <f>IFERROR(O1268/N1268,0)</f>
        <v/>
      </c>
      <c r="T1268" t="n">
        <v>0</v>
      </c>
      <c r="V1268" t="n">
        <v>0</v>
      </c>
    </row>
    <row r="1269">
      <c r="A1269">
        <f>Skills!A26</f>
        <v/>
      </c>
      <c r="B1269">
        <f>Skills!B26</f>
        <v/>
      </c>
      <c r="C1269">
        <f>Inputs!$B$3&gt;=50</f>
        <v/>
      </c>
      <c r="D1269">
        <f>IF(Skills!C26=1,60+Inputs!$B$25+Inputs!$B$29,IF(Skills!C26=2,90+Inputs!$B$26+Inputs!$B$29,IF(Skills!C26=3,120+Inputs!$B$27+Inputs!$B$29,MAX(0,(Inputs!$B$3-100)*3)+Inputs!$B$28+Inputs!$B$29)))</f>
        <v/>
      </c>
      <c r="E1269">
        <f>INDEX(FactorTable!$B$2:$Y$301, MATCH(ROUND(MIN(300,MAX(1,D1269)),0), FactorTable!$A$2:$A$301,0), Skills!M26+1)</f>
        <v/>
      </c>
      <c r="F1269">
        <f>IF(Skills!N26=TRUE,(Skills!L26/10)*(E1269/1000),Skills!L26/10)+Skills!O26</f>
        <v/>
      </c>
      <c r="G1269">
        <f>Skills!G26*IF(Skills!H26&gt;0,IF(Inputs!$B$39="pvp",MIN(Skills!I26,15),Skills!I26)/Skills!H26,1)</f>
        <v/>
      </c>
      <c r="H1269">
        <f>1-(1-Skills!J26/100)^Skills!K26</f>
        <v/>
      </c>
      <c r="I1269" t="inlineStr">
        <is>
          <t>1</t>
        </is>
      </c>
      <c r="J1269" t="inlineStr"/>
      <c r="K1269" t="inlineStr"/>
      <c r="L1269" t="inlineStr"/>
      <c r="M1269" t="inlineStr"/>
      <c r="N1269" t="inlineStr"/>
      <c r="O1269">
        <f>(1-Summary!$B$11)*T1269+Summary!$B$11*V1269</f>
        <v/>
      </c>
      <c r="P1269">
        <f>IF(B1289=0,0,O1269/B1289)</f>
        <v/>
      </c>
      <c r="Q1269" t="n">
        <v>0</v>
      </c>
      <c r="R1269" t="n">
        <v>0</v>
      </c>
      <c r="S1269">
        <f>IFERROR(O1269/N1269,0)</f>
        <v/>
      </c>
      <c r="T1269" t="n">
        <v>0</v>
      </c>
      <c r="V1269" t="n">
        <v>0</v>
      </c>
    </row>
    <row r="1270">
      <c r="A1270">
        <f>Skills!A27</f>
        <v/>
      </c>
      <c r="B1270">
        <f>Skills!B27</f>
        <v/>
      </c>
      <c r="C1270">
        <f>Inputs!$B$3&gt;=50</f>
        <v/>
      </c>
      <c r="D1270">
        <f>IF(Skills!C27=1,60+Inputs!$B$25+Inputs!$B$29,IF(Skills!C27=2,90+Inputs!$B$26+Inputs!$B$29,IF(Skills!C27=3,120+Inputs!$B$27+Inputs!$B$29,MAX(0,(Inputs!$B$3-100)*3)+Inputs!$B$28+Inputs!$B$29)))</f>
        <v/>
      </c>
      <c r="E1270">
        <f>INDEX(FactorTable!$B$2:$Y$301, MATCH(ROUND(MIN(300,MAX(1,D1270)),0), FactorTable!$A$2:$A$301,0), Skills!M27+1)</f>
        <v/>
      </c>
      <c r="F1270">
        <f>IF(Skills!N27=TRUE,(Skills!L27/10)*(E1270/1000),Skills!L27/10)+Skills!O27</f>
        <v/>
      </c>
      <c r="G1270">
        <f>Skills!G27*IF(Skills!H27&gt;0,IF(Inputs!$B$39="pvp",MIN(Skills!I27,15),Skills!I27)/Skills!H27,1)</f>
        <v/>
      </c>
      <c r="H1270">
        <f>1-(1-Skills!J27/100)^Skills!K27</f>
        <v/>
      </c>
      <c r="I1270" t="inlineStr">
        <is>
          <t>1</t>
        </is>
      </c>
      <c r="J1270" t="inlineStr"/>
      <c r="K1270" t="inlineStr"/>
      <c r="L1270" t="inlineStr"/>
      <c r="M1270" t="inlineStr"/>
      <c r="N1270" t="inlineStr"/>
      <c r="O1270">
        <f>(1-Summary!$B$11)*T1270+Summary!$B$11*V1270</f>
        <v/>
      </c>
      <c r="P1270">
        <f>IF(B1289=0,0,O1270/B1289)</f>
        <v/>
      </c>
      <c r="Q1270" t="n">
        <v>0</v>
      </c>
      <c r="R1270" t="n">
        <v>0</v>
      </c>
      <c r="S1270">
        <f>IFERROR(O1270/N1270,0)</f>
        <v/>
      </c>
      <c r="T1270" t="n">
        <v>0</v>
      </c>
      <c r="V1270" t="n">
        <v>0</v>
      </c>
    </row>
    <row r="1271">
      <c r="A1271">
        <f>Skills!A28</f>
        <v/>
      </c>
      <c r="B1271">
        <f>Skills!B28</f>
        <v/>
      </c>
      <c r="C1271">
        <f>Inputs!$B$3&gt;=38</f>
        <v/>
      </c>
      <c r="D1271">
        <f>IF(Skills!C28=1,60+Inputs!$B$25+Inputs!$B$29,IF(Skills!C28=2,90+Inputs!$B$26+Inputs!$B$29,IF(Skills!C28=3,120+Inputs!$B$27+Inputs!$B$29,MAX(0,(Inputs!$B$3-100)*3)+Inputs!$B$28+Inputs!$B$29)))</f>
        <v/>
      </c>
      <c r="E1271">
        <f>INDEX(FactorTable!$B$2:$Y$301, MATCH(ROUND(MIN(300,MAX(1,D1271)),0), FactorTable!$A$2:$A$301,0), Skills!M28+1)</f>
        <v/>
      </c>
      <c r="F1271">
        <f>IF(Skills!N28=TRUE,(Skills!L28/10)*(E1271/1000),Skills!L28/10)+Skills!O28</f>
        <v/>
      </c>
      <c r="G1271">
        <f>Skills!G28*IF(Skills!H28&gt;0,IF(Inputs!$B$39="pvp",MIN(Skills!I28,15),Skills!I28)/Skills!H28,1)</f>
        <v/>
      </c>
      <c r="H1271">
        <f>1-(1-Skills!J28/100)^Skills!K28</f>
        <v/>
      </c>
      <c r="I1271" t="inlineStr">
        <is>
          <t>1</t>
        </is>
      </c>
      <c r="J1271" t="inlineStr"/>
      <c r="K1271" t="inlineStr"/>
      <c r="L1271" t="inlineStr"/>
      <c r="M1271" t="inlineStr"/>
      <c r="N1271" t="inlineStr"/>
      <c r="O1271">
        <f>(1-Summary!$B$11)*T1271+Summary!$B$11*V1271</f>
        <v/>
      </c>
      <c r="P1271">
        <f>IF(B1289=0,0,O1271/B1289)</f>
        <v/>
      </c>
      <c r="Q1271" t="n">
        <v>0</v>
      </c>
      <c r="R1271" t="n">
        <v>0</v>
      </c>
      <c r="S1271">
        <f>IFERROR(O1271/N1271,0)</f>
        <v/>
      </c>
      <c r="T1271" t="n">
        <v>0</v>
      </c>
      <c r="V1271" t="n">
        <v>0</v>
      </c>
    </row>
    <row r="1272">
      <c r="A1272">
        <f>Skills!A29</f>
        <v/>
      </c>
      <c r="B1272">
        <f>Skills!B29</f>
        <v/>
      </c>
      <c r="C1272">
        <f>Inputs!$B$3&gt;=120</f>
        <v/>
      </c>
      <c r="D1272">
        <f>IF(Skills!C29=1,60+Inputs!$B$25+Inputs!$B$29,IF(Skills!C29=2,90+Inputs!$B$26+Inputs!$B$29,IF(Skills!C29=3,120+Inputs!$B$27+Inputs!$B$29,MAX(0,(Inputs!$B$3-100)*3)+Inputs!$B$28+Inputs!$B$29)))</f>
        <v/>
      </c>
      <c r="E1272">
        <f>INDEX(FactorTable!$B$2:$Y$301, MATCH(ROUND(MIN(300,MAX(1,D1272)),0), FactorTable!$A$2:$A$301,0), Skills!M29+1)</f>
        <v/>
      </c>
      <c r="F1272">
        <f>IF(Skills!N29=TRUE,(Skills!L29/10)*(E1272/1000),Skills!L29/10)+Skills!O29</f>
        <v/>
      </c>
      <c r="G1272">
        <f>Skills!G29*IF(Skills!H29&gt;0,IF(Inputs!$B$39="pvp",MIN(Skills!I29,15),Skills!I29)/Skills!H29,1)</f>
        <v/>
      </c>
      <c r="H1272">
        <f>1-(1-Skills!J29/100)^Skills!K29</f>
        <v/>
      </c>
      <c r="I1272" t="inlineStr">
        <is>
          <t>1</t>
        </is>
      </c>
      <c r="J1272" t="inlineStr"/>
      <c r="K1272" t="inlineStr"/>
      <c r="L1272" t="inlineStr"/>
      <c r="M1272" t="inlineStr"/>
      <c r="N1272" t="inlineStr"/>
      <c r="O1272">
        <f>(1-Summary!$B$11)*T1272+Summary!$B$11*V1272</f>
        <v/>
      </c>
      <c r="P1272">
        <f>IF(B1289=0,0,O1272/B1289)</f>
        <v/>
      </c>
      <c r="Q1272" t="n">
        <v>0</v>
      </c>
      <c r="R1272" t="n">
        <v>0</v>
      </c>
      <c r="S1272">
        <f>IFERROR(O1272/N1272,0)</f>
        <v/>
      </c>
      <c r="T1272" t="n">
        <v>0</v>
      </c>
      <c r="V1272" t="n">
        <v>0</v>
      </c>
    </row>
    <row r="1273">
      <c r="A1273">
        <f>Skills!A30</f>
        <v/>
      </c>
      <c r="B1273">
        <f>Skills!B30</f>
        <v/>
      </c>
      <c r="C1273">
        <f>Inputs!$B$3&gt;=120</f>
        <v/>
      </c>
      <c r="D1273">
        <f>IF(Skills!C30=1,60+Inputs!$B$25+Inputs!$B$29,IF(Skills!C30=2,90+Inputs!$B$26+Inputs!$B$29,IF(Skills!C30=3,120+Inputs!$B$27+Inputs!$B$29,MAX(0,(Inputs!$B$3-100)*3)+Inputs!$B$28+Inputs!$B$29)))</f>
        <v/>
      </c>
      <c r="E1273">
        <f>INDEX(FactorTable!$B$2:$Y$301, MATCH(ROUND(MIN(300,MAX(1,D1273)),0), FactorTable!$A$2:$A$301,0), Skills!M30+1)</f>
        <v/>
      </c>
      <c r="F1273">
        <f>IF(Skills!N30=TRUE,(Skills!L30/10)*(E1273/1000),Skills!L30/10)+Skills!O30</f>
        <v/>
      </c>
      <c r="G1273">
        <f>Skills!G30*IF(Skills!H30&gt;0,IF(Inputs!$B$39="pvp",MIN(Skills!I30,15),Skills!I30)/Skills!H30,1)</f>
        <v/>
      </c>
      <c r="H1273">
        <f>1-(1-Skills!J30/100)^Skills!K30</f>
        <v/>
      </c>
      <c r="I1273" t="inlineStr">
        <is>
          <t>1</t>
        </is>
      </c>
      <c r="J1273" t="inlineStr"/>
      <c r="K1273" t="inlineStr"/>
      <c r="L1273" t="inlineStr"/>
      <c r="M1273" t="inlineStr"/>
      <c r="N1273" t="inlineStr"/>
      <c r="O1273">
        <f>(1-Summary!$B$11)*T1273+Summary!$B$11*V1273</f>
        <v/>
      </c>
      <c r="P1273">
        <f>IF(B1289=0,0,O1273/B1289)</f>
        <v/>
      </c>
      <c r="Q1273" t="n">
        <v>0</v>
      </c>
      <c r="R1273" t="n">
        <v>0</v>
      </c>
      <c r="S1273">
        <f>IFERROR(O1273/N1273,0)</f>
        <v/>
      </c>
      <c r="T1273" t="n">
        <v>0</v>
      </c>
      <c r="V1273" t="n">
        <v>0</v>
      </c>
    </row>
    <row r="1274">
      <c r="A1274">
        <f>Skills!A31</f>
        <v/>
      </c>
      <c r="B1274">
        <f>Skills!B31</f>
        <v/>
      </c>
      <c r="C1274">
        <f>Inputs!$B$3&gt;=125</f>
        <v/>
      </c>
      <c r="D1274">
        <f>IF(Skills!C31=1,60+Inputs!$B$25+Inputs!$B$29,IF(Skills!C31=2,90+Inputs!$B$26+Inputs!$B$29,IF(Skills!C31=3,120+Inputs!$B$27+Inputs!$B$29,MAX(0,(Inputs!$B$3-100)*3)+Inputs!$B$28+Inputs!$B$29)))</f>
        <v/>
      </c>
      <c r="E1274">
        <f>INDEX(FactorTable!$B$2:$Y$301, MATCH(ROUND(MIN(300,MAX(1,D1274)),0), FactorTable!$A$2:$A$301,0), Skills!M31+1)</f>
        <v/>
      </c>
      <c r="F1274">
        <f>IF(Skills!N31=TRUE,(Skills!L31/10)*(E1274/1000),Skills!L31/10)+Skills!O31</f>
        <v/>
      </c>
      <c r="G1274">
        <f>Skills!G31*IF(Skills!H31&gt;0,IF(Inputs!$B$39="pvp",MIN(Skills!I31,15),Skills!I31)/Skills!H31,1)</f>
        <v/>
      </c>
      <c r="H1274">
        <f>1-(1-Skills!J31/100)^Skills!K31</f>
        <v/>
      </c>
      <c r="I1274" t="inlineStr">
        <is>
          <t>1</t>
        </is>
      </c>
      <c r="J1274" t="inlineStr"/>
      <c r="K1274" t="inlineStr"/>
      <c r="L1274" t="inlineStr"/>
      <c r="M1274" t="inlineStr"/>
      <c r="N1274" t="inlineStr"/>
      <c r="O1274">
        <f>(1-Summary!$B$11)*T1274+Summary!$B$11*V1274</f>
        <v/>
      </c>
      <c r="P1274">
        <f>IF(B1289=0,0,O1274/B1289)</f>
        <v/>
      </c>
      <c r="Q1274" t="n">
        <v>0</v>
      </c>
      <c r="R1274" t="n">
        <v>0</v>
      </c>
      <c r="S1274">
        <f>IFERROR(O1274/N1274,0)</f>
        <v/>
      </c>
      <c r="T1274" t="n">
        <v>0</v>
      </c>
      <c r="V1274" t="n">
        <v>0</v>
      </c>
    </row>
    <row r="1276">
      <c r="A1276" t="inlineStr">
        <is>
          <t>Average Buff Multiplier</t>
        </is>
      </c>
      <c r="B1276">
        <f>(1+(((C1265=TRUE)*F1265*IF(AND(Inputs!$B$39&lt;&gt;"pvp",Inputs!$B$44&gt;0),(((R1265-1)*MIN((Skills!Y22*(1+Inputs!$B$34/100)),(1/Q1265))+MIN((Skills!Y22*(1+Inputs!$B$34/100)),MAX(0,Inputs!$B$44-((R1265-1)*(1/Q1265)))))/Inputs!$B$44),IF(Inputs!$B$39="pvp",MIN((Skills!Y22*(1+Inputs!$B$34/100)),15)/15,MIN(1,(Skills!Y22*(1+Inputs!$B$34/100))/(1/Q1265)))))+((C1246=TRUE)*F1246*3)+((C1248=TRUE)*F1248*(1-EXP(-0.75*B1281*5)))+((C1267=TRUE)*(F1267-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1254=TRUE)*F1254*IF(AND(Inputs!$B$39&lt;&gt;"pvp",Inputs!$B$44&gt;0),(((R1254-1)*MIN((Skills!Y11*(1+Inputs!$B$34/100)),(1/Q1254))+MIN((Skills!Y11*(1+Inputs!$B$34/100)),MAX(0,Inputs!$B$44-((R1254-1)*(1/Q1254)))))/Inputs!$B$44),IF(Inputs!$B$39="pvp",MIN((Skills!Y11*(1+Inputs!$B$34/100)),15)/15,MIN(1,(Skills!Y11*(1+Inputs!$B$34/100))/(1/Q1254)))))/100)*(1+((C1259=TRUE)*F1259*IF(AND(Inputs!$B$39&lt;&gt;"pvp",Inputs!$B$44&gt;0),(((R1259-1)*MIN((Skills!Y16*(1+Inputs!$B$34/100)),(1/Q1259))+MIN((Skills!Y16*(1+Inputs!$B$34/100)),MAX(0,Inputs!$B$44-((R1259-1)*(1/Q1259)))))/Inputs!$B$44),IF(Inputs!$B$39="pvp",MIN((Skills!Y16*(1+Inputs!$B$34/100)),15)/15,MIN(1,(Skills!Y16*(1+Inputs!$B$34/100))/(1/Q1259)))))/100)</f>
        <v/>
      </c>
    </row>
    <row r="1277">
      <c r="A1277" t="inlineStr">
        <is>
          <t>Global Crit Rate Bonus %</t>
        </is>
      </c>
      <c r="B1277">
        <f>((C1264=TRUE)*F1264*IF(AND(Inputs!$B$39&lt;&gt;"pvp",Inputs!$B$44&gt;0),(((R1264-1)*MIN((Skills!Y21*(1+Inputs!$B$34/100)),(1/Q1264))+MIN((Skills!Y21*(1+Inputs!$B$34/100)),MAX(0,Inputs!$B$44-((R1264-1)*(1/Q1264)))))/Inputs!$B$44),IF(Inputs!$B$39="pvp",MIN((Skills!Y21*(1+Inputs!$B$34/100)),15)/15,MIN(1,(Skills!Y21*(1+Inputs!$B$34/100))/(1/Q1264)))))</f>
        <v/>
      </c>
    </row>
    <row r="1278">
      <c r="A1278" t="inlineStr">
        <is>
          <t>Global Monster Damage-Taken Bonus %</t>
        </is>
      </c>
      <c r="B1278">
        <f>IF(Inputs!$B$3&gt;=82,15,0)</f>
        <v/>
      </c>
    </row>
    <row r="1279">
      <c r="A1279" t="inlineStr">
        <is>
          <t>Shadow Partner Average Multiplier</t>
        </is>
      </c>
      <c r="B1279">
        <f>1+((C1251=TRUE)*F1251*(1+3.3333333333333335*IF(C1262=TRUE,F1262,0)/100)*I1251*Skills!J8/100)/100</f>
        <v/>
      </c>
    </row>
    <row r="1280">
      <c r="A1280" t="inlineStr">
        <is>
          <t>Attack Speed Buff Bonus %</t>
        </is>
      </c>
      <c r="B1280">
        <f>((C1263=TRUE)*F1263*IF(AND(Inputs!$B$39&lt;&gt;"pvp",Inputs!$B$44&gt;0),(((R1263-1)*MIN((Skills!Y20*(1+Inputs!$B$34/100)),(1/Q1263))+MIN((Skills!Y20*(1+Inputs!$B$34/100)),MAX(0,Inputs!$B$44-((R1263-1)*(1/Q1263)))))/Inputs!$B$44),IF(Inputs!$B$39="pvp",MIN((Skills!Y20*(1+Inputs!$B$34/100)),15)/15,MIN(1,(Skills!Y20*(1+Inputs!$B$34/100))/(1/Q1263)))))</f>
        <v/>
      </c>
    </row>
    <row r="1281">
      <c r="A1281" t="inlineStr">
        <is>
          <t>Actions Per Second</t>
        </is>
      </c>
      <c r="B1281">
        <f>1+MIN(150,150*(1-(1-(Inputs!$B$11+((C1266=TRUE)*(F1266-Calc!F23)))/150)*(1-B1280/150)))/100</f>
        <v/>
      </c>
    </row>
    <row r="1282">
      <c r="A1282" t="inlineStr">
        <is>
          <t>Skill + Buff Cast Rate</t>
        </is>
      </c>
      <c r="B1282">
        <f>IF(AND(Inputs!$B$39&lt;&gt;"pvp",Inputs!$B$44&gt;0),SUMPRODUCT((Skills!E2:E31=TRUE)*(C1245:C1274=TRUE)*R1245:R1274*Skills!F2:F31)/Inputs!$B$44,SUMPRODUCT((Skills!E2:E31=TRUE)*(C1245:C1274=TRUE)*Q1245:Q1274*Skills!F2:F31))</f>
        <v/>
      </c>
    </row>
    <row r="1283">
      <c r="A1283" t="inlineStr">
        <is>
          <t>Cruel Stab Casts Per Second</t>
        </is>
      </c>
      <c r="B1283">
        <f>MAX(0,B1281-B1282)</f>
        <v/>
      </c>
    </row>
    <row r="1284">
      <c r="A1284" t="inlineStr">
        <is>
          <t>Global Critical Damage Bonus % (Smokescreen Mastery Lv.113)</t>
        </is>
      </c>
      <c r="B1284">
        <f>IF(Inputs!$B$3&gt;=113,30,0)*IF(AND(Inputs!$B$39&lt;&gt;"pvp",Inputs!$B$44&gt;0),(((R1259-1)*MIN((Skills!Y16*(1+Inputs!$B$34/100)),(1/Q1259))+MIN((Skills!Y16*(1+Inputs!$B$34/100)),MAX(0,Inputs!$B$44-((R1259-1)*(1/Q1259)))))/Inputs!$B$44),IF(Inputs!$B$39="pvp",MIN((Skills!Y16*(1+Inputs!$B$34/100)),15)/15,MIN(1,(Skills!Y16*(1+Inputs!$B$34/100))/(1/Q1259))))</f>
        <v/>
      </c>
    </row>
    <row r="1285">
      <c r="A1285" t="inlineStr">
        <is>
          <t>Meso Explosion average stack count</t>
        </is>
      </c>
      <c r="B1285">
        <f>MIN(10,IF(Inputs!$B$3&gt;=75,0.75,0.5)*B1281*(1/Q1247))</f>
        <v/>
      </c>
    </row>
    <row r="1286">
      <c r="A1286" t="inlineStr">
        <is>
          <t>Blood Money average stack count</t>
        </is>
      </c>
      <c r="B1286">
        <f>MIN(5,0.5*IF(Inputs!$B$3&gt;=75,0.75,0.5)*B1281*(1/Q1247))</f>
        <v/>
      </c>
    </row>
    <row r="1287">
      <c r="A1287" t="inlineStr">
        <is>
          <t>Assassinate Murderous Intent Multiplier</t>
        </is>
      </c>
      <c r="B1287">
        <f>1+IFERROR(MIN(1,Q1258*2/Q1255),0)</f>
        <v/>
      </c>
    </row>
    <row r="1288">
      <c r="A1288" t="inlineStr">
        <is>
          <t>Buff-Casting Startup Delay (s, fixed-duration only)</t>
        </is>
      </c>
      <c r="B1288">
        <f>IF(AND(Inputs!$B$39&lt;&gt;"pvp",Inputs!$B$44&gt;0),SUMPRODUCT((Skills!Y2:Y31&gt;0)*(Skills!E2:E31=TRUE)*(C1245:C1274=TRUE))/B1281,0)</f>
        <v/>
      </c>
    </row>
    <row r="1289">
      <c r="A1289" s="6" t="inlineStr">
        <is>
          <t>TOTAL DPS</t>
        </is>
      </c>
      <c r="B1289" s="6">
        <f>SUM(O1245:O1274)</f>
        <v/>
      </c>
    </row>
    <row r="1290">
      <c r="A1290" t="inlineStr">
        <is>
          <t>Boss-Only Total DPS (this block's swept value)</t>
        </is>
      </c>
      <c r="B1290">
        <f>SUM(T1245:T1274)</f>
        <v/>
      </c>
    </row>
    <row r="1291">
      <c r="A1291" t="inlineStr">
        <is>
          <t>Normal-Only Total DPS (this block's swept value)</t>
        </is>
      </c>
      <c r="B1291">
        <f>SUM(V1245:V1274)</f>
        <v/>
      </c>
    </row>
    <row r="1294">
      <c r="A1294" s="6" t="inlineStr">
        <is>
          <t>Stat: Basic Attack Target Increase (flat)</t>
        </is>
      </c>
    </row>
    <row r="1295">
      <c r="A1295" s="5" t="inlineStr">
        <is>
          <t>Key</t>
        </is>
      </c>
      <c r="B1295" s="5" t="inlineStr">
        <is>
          <t>Name</t>
        </is>
      </c>
      <c r="C1295" s="5" t="inlineStr">
        <is>
          <t>Unlocked</t>
        </is>
      </c>
      <c r="D1295" s="5" t="inlineStr">
        <is>
          <t>InputLevel</t>
        </is>
      </c>
      <c r="E1295" s="5" t="inlineStr">
        <is>
          <t>Factor</t>
        </is>
      </c>
      <c r="F1295" s="5" t="inlineStr">
        <is>
          <t>CoefficientPercent</t>
        </is>
      </c>
      <c r="G1295" s="5" t="inlineStr">
        <is>
          <t>EffectiveHits</t>
        </is>
      </c>
      <c r="H1295" s="5" t="inlineStr">
        <is>
          <t>ProcProbability</t>
        </is>
      </c>
      <c r="I1295" s="5" t="inlineStr">
        <is>
          <t>MapleHeroMultiplier</t>
        </is>
      </c>
      <c r="J1295" s="5" t="inlineStr">
        <is>
          <t>BaseDamage</t>
        </is>
      </c>
      <c r="K1295" s="5" t="inlineStr">
        <is>
          <t>BaseHitDamage</t>
        </is>
      </c>
      <c r="L1295" s="5" t="inlineStr">
        <is>
          <t>NonCritAvg</t>
        </is>
      </c>
      <c r="M1295" s="5" t="inlineStr">
        <is>
          <t>CritAvg</t>
        </is>
      </c>
      <c r="N1295" s="5" t="inlineStr">
        <is>
          <t>ExpectedDamage(perHit)</t>
        </is>
      </c>
      <c r="O1295" s="5" t="inlineStr">
        <is>
          <t>DPS</t>
        </is>
      </c>
      <c r="P1295" s="5" t="inlineStr">
        <is>
          <t>% of Total</t>
        </is>
      </c>
      <c r="Q1295" s="5" t="inlineStr">
        <is>
          <t>InvCooldown</t>
        </is>
      </c>
      <c r="R1295" s="5" t="inlineStr">
        <is>
          <t>CastsInFight</t>
        </is>
      </c>
      <c r="S1295" s="5" t="inlineStr">
        <is>
          <t>HitRate(perSec)</t>
        </is>
      </c>
      <c r="U1295" t="inlineStr">
        <is>
          <t>helpers</t>
        </is>
      </c>
    </row>
    <row r="1296">
      <c r="A1296">
        <f>Skills!A2</f>
        <v/>
      </c>
      <c r="B1296">
        <f>Skills!B2</f>
        <v/>
      </c>
      <c r="C1296">
        <f>Inputs!$B$3&gt;=100</f>
        <v/>
      </c>
      <c r="D1296" t="inlineStr"/>
      <c r="E1296" t="inlineStr"/>
      <c r="F1296">
        <f>U1298+Skills!O2</f>
        <v/>
      </c>
      <c r="G1296">
        <f>Skills!G2*IF(Skills!H2&gt;0,IF(Inputs!$B$39="pvp",MIN(Skills!I2,15),Skills!I2)/Skills!H2,1)</f>
        <v/>
      </c>
      <c r="H1296">
        <f>1-(1-Skills!J2/100)^Skills!K2</f>
        <v/>
      </c>
      <c r="I1296" t="inlineStr">
        <is>
          <t>1</t>
        </is>
      </c>
      <c r="J1296">
        <f>((Inputs!$B$6*(1+Inputs!$B$7/100))+(((Inputs!$B$12*(1+Inputs!$B$13/100))-(Inputs!$B$12*(1+Inputs!$B$13/100)))+0.25*(Inputs!$B$14-Inputs!$B$14))*(1+Inputs!$B$7/100))*(F1296/100)</f>
        <v/>
      </c>
      <c r="K1296">
        <f>J1296*(1+((Inputs!$B$12*(1+Inputs!$B$13/100))*0.01+Inputs!$B$14*0.0025)/100)*(1+Inputs!$B$15/100)*(1+Inputs!$B$16/100)*(5000/(6000+Inputs!$B$43*(1-(100*(1-(1-Inputs!$B$19/100)*(1-CHOOSE(ArtifactsInput!$N$40+1,5,6,7,8,9,10)/100)^(ArtifactsInput!$M$40-ArtifactsInput!$M$40)))/100)))*(1+(Inputs!$B$24+((C1325=TRUE)*(F1325-Calc!F31))+((C1312=TRUE)*(F1312-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CRUEL_STAB",Inputs!$B$17+((C1322=TRUE)*(F1322-Calc!F28))+((IF(AND(Inputs!$B$39&lt;&gt;"pvp",Inputs!$B$44=0),1,IF(IF(Inputs!$B$39="pvp",15,Inputs!$B$44)-(B1339)&lt;=0,1,MAX(0,IF(Inputs!$B$39="pvp",15,Inputs!$B$44)-MAX(5,B1339))/(IF(Inputs!$B$39="pvp",15,Inputs!$B$44)-(B1339))))*(IF(AND(ArtifactsInput!$M$42,((Inputs!$B$9+((C1320=TRUE)*(F1320-Calc!F26))+B1328+(ArtifactsInput!$M$24-ArtifactsInput!$M$24)*CHOOSE(ArtifactsInput!$N$24+1,10,12,14,16,18,20)+IF(ArtifactsInput!$M$10,CHOOSE(ArtifactsInput!$N$10+1,15,18,21,24,27,30)*(IF(Inputs!$B$39="pvp",MIN(15,15)/15,IF(AND(Inputs!$B$39&lt;&gt;"pvp",Inputs!$B$44&gt;0),MIN(15,Inputs!$B$44)/(Inputs!$B$44),0))),0)))&gt;=100),MIN(100,((Inputs!$B$9+((C1320=TRUE)*(F1320-Calc!F26))+B1328+(ArtifactsInput!$M$24-ArtifactsInput!$M$24)*CHOOSE(ArtifactsInput!$N$24+1,10,12,14,16,18,20)+IF(ArtifactsInput!$M$10,CHOOSE(ArtifactsInput!$N$10+1,15,18,21,24,27,30)*(IF(Inputs!$B$39="pvp",MIN(15,15)/15,IF(AND(Inputs!$B$39&lt;&gt;"pvp",Inputs!$B$44&gt;0),MIN(15,Inputs!$B$44)/(Inputs!$B$44),0))),0)))-100),0))*CHOOSE(ArtifactsInput!$N$42+1,0.6,0.72,0.84,0.96,1.08,1.2))),Inputs!$B$18+((C1323=TRUE)*(F1323-Calc!F29))+(IF(AND(Inputs!$B$39&lt;&gt;"pvp",Inputs!$B$44=0),1,IF(IF(Inputs!$B$39="pvp",15,Inputs!$B$44)-(B1339)&lt;=0,1,MAX(0,IF(Inputs!$B$39="pvp",15,Inputs!$B$44)-MAX(5,B1339))/(IF(Inputs!$B$39="pvp",15,Inputs!$B$44)-(B1339))))*IF(AND(ArtifactsInput!$M$42,((Inputs!$B$9+((C1320=TRUE)*(F1320-Calc!F26))+B1328+(ArtifactsInput!$M$24-ArtifactsInput!$M$24)*CHOOSE(ArtifactsInput!$N$24+1,10,12,14,16,18,20)+IF(ArtifactsInput!$M$10,CHOOSE(ArtifactsInput!$N$10+1,15,18,21,24,27,30)*(IF(Inputs!$B$39="pvp",MIN(15,15)/15,IF(AND(Inputs!$B$39&lt;&gt;"pvp",Inputs!$B$44&gt;0),MIN(15,Inputs!$B$44)/(Inputs!$B$44),0))),0)))&gt;=100),CHOOSE(ArtifactsInput!$N$42+1,40,48,56,64,72,80),0))))/100)*(((1+(((C1316=TRUE)*F1316*IF(AND(Inputs!$B$39&lt;&gt;"pvp",Inputs!$B$44&gt;0),(((R1316-1)*MIN((Skills!Y22*(1+Inputs!$B$34/100)),(1/Q1316))+MIN((Skills!Y22*(1+Inputs!$B$34/100)),MAX(0,Inputs!$B$44-((R1316-1)*(1/Q1316)))))/Inputs!$B$44),IF(Inputs!$B$39="pvp",MIN((Skills!Y22*(1+Inputs!$B$34/100)),15)/15,MIN(1,(Skills!Y22*(1+Inputs!$B$34/100))/(1/Q1316)))))+((C1297=TRUE)*F1297*3)+((C1299=TRUE)*F1299*(1-EXP(-0.75*B1332*5)))+((C1318=TRUE)*(F1318-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1305=TRUE)*F1305*IF(AND(Inputs!$B$39&lt;&gt;"pvp",Inputs!$B$44&gt;0),(((R1305-1)*MIN((Skills!Y11*(1+Inputs!$B$34/100)),(1/Q1305))+MIN((Skills!Y11*(1+Inputs!$B$34/100)),MAX(0,Inputs!$B$44-((R1305-1)*(1/Q1305)))))/Inputs!$B$44),IF(Inputs!$B$39="pvp",MIN((Skills!Y11*(1+Inputs!$B$34/100)),15)/15,MIN(1,(Skills!Y11*(1+Inputs!$B$34/100))/(1/Q1305)))))/100)*(1+((C1310=TRUE)*F1310*IF(AND(Inputs!$B$39&lt;&gt;"pvp",Inputs!$B$44&gt;0),(((R1310-1)*MIN((Skills!Y16*(1+Inputs!$B$34/100)),(1/Q1310))+MIN((Skills!Y16*(1+Inputs!$B$34/100)),MAX(0,Inputs!$B$44-((R1310-1)*(1/Q1310)))))/Inputs!$B$44),IF(Inputs!$B$39="pvp",MIN((Skills!Y16*(1+Inputs!$B$34/100)),15)/15,MIN(1,(Skills!Y16*(1+Inputs!$B$34/100))/(1/Q1310)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1330*I1296)</f>
        <v/>
      </c>
      <c r="L1296">
        <f>K1296*(MIN(Inputs!$B$22+((C1319=TRUE)*(F1319-Calc!F25)),(Inputs!$B$23+((C1324=TRUE)*(F1324-Calc!F30))+IF(ArtifactsInput!$M$15,CHOOSE(ArtifactsInput!$N$15+1,25,30,35,40,45,50)/100*(Inputs!$B$11-Inputs!$B$11),0)))/100+(Inputs!$B$23+((C1324=TRUE)*(F1324-Calc!F30))+IF(ArtifactsInput!$M$15,CHOOSE(ArtifactsInput!$N$15+1,25,30,35,40,45,50)/100*(Inputs!$B$11-Inputs!$B$11),0))/100)/2</f>
        <v/>
      </c>
      <c r="M1296">
        <f>L1296*(1+(Inputs!$B$10+((C1321=TRUE)*(F1321-Calc!F27))+B1335+(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1296">
        <f>L1296*(1-MIN((Inputs!$B$9+((C1320=TRUE)*(F1320-Calc!F26))+B1328+(ArtifactsInput!$M$24-ArtifactsInput!$M$24)*CHOOSE(ArtifactsInput!$N$24+1,10,12,14,16,18,20)+(IF(AND(Inputs!$B$39&lt;&gt;"pvp",Inputs!$B$44=0),1,IF(IF(Inputs!$B$39="pvp",15,Inputs!$B$44)-(B1339)&lt;=0,1,MAX(0,IF(Inputs!$B$39="pvp",15,Inputs!$B$44)-MAX(5,B1339))/(IF(Inputs!$B$39="pvp",15,Inputs!$B$44)-(B1339))))*IF(AND(ArtifactsInput!$M$42,((Inputs!$B$9+((C1320=TRUE)*(F1320-Calc!F26))+B1328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1296*(MIN((Inputs!$B$9+((C1320=TRUE)*(F1320-Calc!F26))+B1328+(ArtifactsInput!$M$24-ArtifactsInput!$M$24)*CHOOSE(ArtifactsInput!$N$24+1,10,12,14,16,18,20)+(IF(AND(Inputs!$B$39&lt;&gt;"pvp",Inputs!$B$44=0),1,IF(IF(Inputs!$B$39="pvp",15,Inputs!$B$44)-(B1339)&lt;=0,1,MAX(0,IF(Inputs!$B$39="pvp",15,Inputs!$B$44)-MAX(5,B1339))/(IF(Inputs!$B$39="pvp",15,Inputs!$B$44)-(B1339))))*IF(AND(ArtifactsInput!$M$42,((Inputs!$B$9+((C1320=TRUE)*(F1320-Calc!F26))+B1328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296">
        <f>(1-Summary!$B$11)*T1296+Summary!$B$11*V1296</f>
        <v/>
      </c>
      <c r="P1296">
        <f>IF(B1340=0,0,O1296/B1340)</f>
        <v/>
      </c>
      <c r="Q1296" t="n">
        <v>0</v>
      </c>
      <c r="R1296" t="n">
        <v>0</v>
      </c>
      <c r="S1296">
        <f>IFERROR(O1296/N1296,0)</f>
        <v/>
      </c>
      <c r="T1296">
        <f>IF(C1296,(Skills!G2*N1296*B1334)*IF(Inputs!$B$39="pvp",1,1+(Inputs!$B$20+0+Skills!P2+B1329+(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Hunt"),CHOOSE(ArtifactsInput!$N$35+1,15,18,21,24,27,30)*(1-EXP(-(0.2*B1332)*5)),0)+IF(AND(ArtifactsInput!$M$22,Inputs!$B$4&lt;&gt;"Chapter Hunt"),CHOOSE(ArtifactsInput!$N$22+1,10,12,14,16,18,20)*((0*(((0.15*B1332*5))^0/1)+1*(((0.15*B1332*5))^1/1)+2*(((0.15*B1332*5))^2/2)+3*(((0.15*B1332*5))^3/6)+4*(((0.15*B1332*5))^4/24)+5*(((0.15*B1332*5))^5/120))/((((0.15*B1332*5))^0/1)+(((0.15*B1332*5))^1/1)+(((0.15*B1332*5))^2/2)+(((0.15*B1332*5))^3/6)+(((0.15*B1332*5))^4/24)+(((0.15*B1332*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1296*(1-MIN(100,(Inputs!$B$9+((C1320=TRUE)*(F1320-Calc!F26))+B1328+(ArtifactsInput!$M$24-ArtifactsInput!$M$24)*CHOOSE(ArtifactsInput!$N$24+1,10,12,14,16,18,20)+(IF(AND(Inputs!$B$39&lt;&gt;"pvp",Inputs!$B$44=0),1,IF(IF(Inputs!$B$39="pvp",15,Inputs!$B$44)-(B1339)&lt;=0,1,MAX(0,IF(Inputs!$B$39="pvp",15,Inputs!$B$44)-MAX(5,B1339))/(IF(Inputs!$B$39="pvp",15,Inputs!$B$44)-(B1339))))*IF(AND(ArtifactsInput!$M$42,((Inputs!$B$9+((C1320=TRUE)*(F1320-Calc!F26))+B1328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1296*(MIN(100,(Inputs!$B$9+((C1320=TRUE)*(F1320-Calc!F26))+B1328+(ArtifactsInput!$M$24-ArtifactsInput!$M$24)*CHOOSE(ArtifactsInput!$N$24+1,10,12,14,16,18,20)+(IF(AND(Inputs!$B$39&lt;&gt;"pvp",Inputs!$B$44=0),1,IF(IF(Inputs!$B$39="pvp",15,Inputs!$B$44)-(B1339)&lt;=0,1,MAX(0,IF(Inputs!$B$39="pvp",15,Inputs!$B$44)-MAX(5,B1339))/(IF(Inputs!$B$39="pvp",15,Inputs!$B$44)-(B1339))))*IF(AND(ArtifactsInput!$M$42,((Inputs!$B$9+((C1320=TRUE)*(F1320-Calc!F26))+B1328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1296*(1-MIN(100,(Inputs!$B$9+((C1320=TRUE)*(F1320-Calc!F26))+B1328+(ArtifactsInput!$M$24-ArtifactsInput!$M$24)*CHOOSE(ArtifactsInput!$N$24+1,10,12,14,16,18,20)+(IF(AND(Inputs!$B$39&lt;&gt;"pvp",Inputs!$B$44=0),1,IF(IF(Inputs!$B$39="pvp",15,Inputs!$B$44)-(B1339)&lt;=0,1,MAX(0,IF(Inputs!$B$39="pvp",15,Inputs!$B$44)-MAX(5,B1339))/(IF(Inputs!$B$39="pvp",15,Inputs!$B$44)-(B1339))))*IF(AND(ArtifactsInput!$M$42,((Inputs!$B$9+((C1320=TRUE)*(F1320-Calc!F26))+B1328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1296*(MIN(100,(Inputs!$B$9+((C1320=TRUE)*(F1320-Calc!F26))+B1328+(ArtifactsInput!$M$24-ArtifactsInput!$M$24)*CHOOSE(ArtifactsInput!$N$24+1,10,12,14,16,18,20)+(IF(AND(Inputs!$B$39&lt;&gt;"pvp",Inputs!$B$44=0),1,IF(IF(Inputs!$B$39="pvp",15,Inputs!$B$44)-(B1339)&lt;=0,1,MAX(0,IF(Inputs!$B$39="pvp",15,Inputs!$B$44)-MAX(5,B1339))/(IF(Inputs!$B$39="pvp",15,Inputs!$B$44)-(B1339))))*IF(AND(ArtifactsInput!$M$42,((Inputs!$B$9+((C1320=TRUE)*(F1320-Calc!F26))+B1328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1296">
        <f>MAX(0,(Inputs!$B$3-100)*3)+Inputs!$B$28+Inputs!$B$29</f>
        <v/>
      </c>
      <c r="V1296">
        <f>IF(C1296,(Skills!G2*N1296*B1334)*IF(Inputs!$B$39="pvp",1,(1+(Inputs!$B$21+Skills!Q2+B1329+(IF(ArtifactsInput!$M$33,CHOOSE(ArtifactsInput!$N$33+1,30,36,42,48,54,60),0))+(IF(AND(ArtifactsInput!$M$35,Inputs!$B$4&lt;&gt;"Chapter Hunt"),CHOOSE(ArtifactsInput!$N$35+1,15,18,21,24,27,30)*(1-EXP(-(0.2*B1332)*5)),0)+IF(AND(ArtifactsInput!$M$22,Inputs!$B$4&lt;&gt;"Chapter Hunt"),CHOOSE(ArtifactsInput!$N$22+1,10,12,14,16,18,20)*((0*(((0.15*B1332*5))^0/1)+1*(((0.15*B1332*5))^1/1)+2*(((0.15*B1332*5))^2/2)+3*(((0.15*B1332*5))^3/6)+4*(((0.15*B1332*5))^4/24)+5*(((0.15*B1332*5))^5/120))/((((0.15*B1332*5))^0/1)+(((0.15*B1332*5))^1/1)+(((0.15*B1332*5))^2/2)+(((0.15*B1332*5))^3/6)+(((0.15*B1332*5))^4/24)+(((0.15*B1332*5))^5/120))),0)))/100)*(MIN((6+(Inputs!$B$33+1)),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297">
      <c r="A1297">
        <f>Skills!A3</f>
        <v/>
      </c>
      <c r="B1297">
        <f>Skills!B3</f>
        <v/>
      </c>
      <c r="C1297">
        <f>Inputs!$B$3&gt;=35</f>
        <v/>
      </c>
      <c r="D1297">
        <f>IF(Skills!C3=1,60+Inputs!$B$25+Inputs!$B$29,IF(Skills!C3=2,90+Inputs!$B$26+Inputs!$B$29,IF(Skills!C3=3,120+Inputs!$B$27+Inputs!$B$29,MAX(0,(Inputs!$B$3-100)*3)+Inputs!$B$28+Inputs!$B$29)))</f>
        <v/>
      </c>
      <c r="E1297">
        <f>INDEX(FactorTable!$B$2:$Y$301, MATCH(ROUND(MIN(300,MAX(1,D1297)),0), FactorTable!$A$2:$A$301,0), Skills!M3+1)</f>
        <v/>
      </c>
      <c r="F1297">
        <f>IF(Skills!N3=TRUE,(Skills!L3/10)*(E1297/1000),Skills!L3/10)+Skills!O3</f>
        <v/>
      </c>
      <c r="G1297">
        <f>Skills!G3*IF(Skills!H3&gt;0,IF(Inputs!$B$39="pvp",MIN(Skills!I3,15),Skills!I3)/Skills!H3,1)</f>
        <v/>
      </c>
      <c r="H1297">
        <f>1-(1-Skills!J3/100)^Skills!K3</f>
        <v/>
      </c>
      <c r="I1297" t="inlineStr">
        <is>
          <t>1</t>
        </is>
      </c>
      <c r="J1297" t="inlineStr"/>
      <c r="K1297" t="inlineStr"/>
      <c r="L1297" t="inlineStr"/>
      <c r="M1297" t="inlineStr"/>
      <c r="N1297" t="inlineStr"/>
      <c r="O1297">
        <f>(1-Summary!$B$11)*T1297+Summary!$B$11*V1297</f>
        <v/>
      </c>
      <c r="P1297">
        <f>IF(B1340=0,0,O1297/B1340)</f>
        <v/>
      </c>
      <c r="Q1297" t="n">
        <v>0</v>
      </c>
      <c r="R1297" t="n">
        <v>0</v>
      </c>
      <c r="S1297">
        <f>IFERROR(O1297/N1297,0)</f>
        <v/>
      </c>
      <c r="T1297" t="n">
        <v>0</v>
      </c>
      <c r="U1297">
        <f>INDEX(FactorTable!$B$2:$Y$301, MATCH(ROUND(MIN(300,MAX(1,U1296)),0), FactorTable!$A$2:$A$301,0), 22)</f>
        <v/>
      </c>
      <c r="V1297" t="n">
        <v>0</v>
      </c>
    </row>
    <row r="1298">
      <c r="A1298">
        <f>Skills!A4</f>
        <v/>
      </c>
      <c r="B1298">
        <f>Skills!B4</f>
        <v/>
      </c>
      <c r="C1298">
        <f>Inputs!$B$3&gt;=66</f>
        <v/>
      </c>
      <c r="D1298">
        <f>IF(Skills!C4=1,60+Inputs!$B$25+Inputs!$B$29,IF(Skills!C4=2,90+Inputs!$B$26+Inputs!$B$29,IF(Skills!C4=3,120+Inputs!$B$27+Inputs!$B$29,MAX(0,(Inputs!$B$3-100)*3)+Inputs!$B$28+Inputs!$B$29)))</f>
        <v/>
      </c>
      <c r="E1298">
        <f>INDEX(FactorTable!$B$2:$Y$301, MATCH(ROUND(MIN(300,MAX(1,D1298)),0), FactorTable!$A$2:$A$301,0), Skills!M4+1)</f>
        <v/>
      </c>
      <c r="F1298">
        <f>IF(Skills!N4=TRUE,(Skills!L4/10)*(E1298/1000),Skills!L4/10)+Skills!O4</f>
        <v/>
      </c>
      <c r="G1298">
        <f>Skills!G4*IF(Skills!H4&gt;0,IF(Inputs!$B$39="pvp",MIN(Skills!I4,15),Skills!I4)/Skills!H4,1)</f>
        <v/>
      </c>
      <c r="H1298">
        <f>1-(1-Skills!J4/100)^Skills!K4</f>
        <v/>
      </c>
      <c r="I1298" t="inlineStr">
        <is>
          <t>1</t>
        </is>
      </c>
      <c r="J1298">
        <f>((Inputs!$B$6*(1+Inputs!$B$7/100))+(((Inputs!$B$12*(1+Inputs!$B$13/100))-(Inputs!$B$12*(1+Inputs!$B$13/100)))+0.25*(Inputs!$B$14-Inputs!$B$14))*(1+Inputs!$B$7/100))*(F1298/100)</f>
        <v/>
      </c>
      <c r="K1298">
        <f>J1298*(1+((Inputs!$B$12*(1+Inputs!$B$13/100))*0.01+Inputs!$B$14*0.0025)/100)*(1+Inputs!$B$15/100)*(1+Inputs!$B$16/100)*(5000/(6000+Inputs!$B$43*(1-(100*(1-(1-Inputs!$B$19/100)*(1-CHOOSE(ArtifactsInput!$N$40+1,5,6,7,8,9,10)/100)^(ArtifactsInput!$M$40-ArtifactsInput!$M$40)))/100)))*(1+(Inputs!$B$24+((C1325=TRUE)*(F1325-Calc!F31))+((C1312=TRUE)*(F1312-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4="CRUEL_STAB",Inputs!$B$17+((C1322=TRUE)*(F1322-Calc!F28))+((IF(AND(Inputs!$B$39&lt;&gt;"pvp",Inputs!$B$44=0),1,IF(IF(Inputs!$B$39="pvp",15,Inputs!$B$44)-(B1339)&lt;=0,1,MAX(0,IF(Inputs!$B$39="pvp",15,Inputs!$B$44)-MAX(5,B1339))/(IF(Inputs!$B$39="pvp",15,Inputs!$B$44)-(B1339))))*(IF(AND(ArtifactsInput!$M$42,((Inputs!$B$9+((C1320=TRUE)*(F1320-Calc!F26))+B1328+(ArtifactsInput!$M$24-ArtifactsInput!$M$24)*CHOOSE(ArtifactsInput!$N$24+1,10,12,14,16,18,20)+IF(ArtifactsInput!$M$10,CHOOSE(ArtifactsInput!$N$10+1,15,18,21,24,27,30)*(IF(Inputs!$B$39="pvp",MIN(15,15)/15,IF(AND(Inputs!$B$39&lt;&gt;"pvp",Inputs!$B$44&gt;0),MIN(15,Inputs!$B$44)/(Inputs!$B$44),0))),0)))&gt;=100),MIN(100,((Inputs!$B$9+((C1320=TRUE)*(F1320-Calc!F26))+B1328+(ArtifactsInput!$M$24-ArtifactsInput!$M$24)*CHOOSE(ArtifactsInput!$N$24+1,10,12,14,16,18,20)+IF(ArtifactsInput!$M$10,CHOOSE(ArtifactsInput!$N$10+1,15,18,21,24,27,30)*(IF(Inputs!$B$39="pvp",MIN(15,15)/15,IF(AND(Inputs!$B$39&lt;&gt;"pvp",Inputs!$B$44&gt;0),MIN(15,Inputs!$B$44)/(Inputs!$B$44),0))),0)))-100),0))*CHOOSE(ArtifactsInput!$N$42+1,0.6,0.72,0.84,0.96,1.08,1.2))),Inputs!$B$18+((C1323=TRUE)*(F1323-Calc!F29))+(IF(AND(Inputs!$B$39&lt;&gt;"pvp",Inputs!$B$44=0),1,IF(IF(Inputs!$B$39="pvp",15,Inputs!$B$44)-(B1339)&lt;=0,1,MAX(0,IF(Inputs!$B$39="pvp",15,Inputs!$B$44)-MAX(5,B1339))/(IF(Inputs!$B$39="pvp",15,Inputs!$B$44)-(B1339))))*IF(AND(ArtifactsInput!$M$42,((Inputs!$B$9+((C1320=TRUE)*(F1320-Calc!F26))+B1328+(ArtifactsInput!$M$24-ArtifactsInput!$M$24)*CHOOSE(ArtifactsInput!$N$24+1,10,12,14,16,18,20)+IF(ArtifactsInput!$M$10,CHOOSE(ArtifactsInput!$N$10+1,15,18,21,24,27,30)*(IF(Inputs!$B$39="pvp",MIN(15,15)/15,IF(AND(Inputs!$B$39&lt;&gt;"pvp",Inputs!$B$44&gt;0),MIN(15,Inputs!$B$44)/(Inputs!$B$44),0))),0)))&gt;=100),CHOOSE(ArtifactsInput!$N$42+1,40,48,56,64,72,80),0))))/100)*(((1+(((C1316=TRUE)*F1316*IF(AND(Inputs!$B$39&lt;&gt;"pvp",Inputs!$B$44&gt;0),(((R1316-1)*MIN((Skills!Y22*(1+Inputs!$B$34/100)),(1/Q1316))+MIN((Skills!Y22*(1+Inputs!$B$34/100)),MAX(0,Inputs!$B$44-((R1316-1)*(1/Q1316)))))/Inputs!$B$44),IF(Inputs!$B$39="pvp",MIN((Skills!Y22*(1+Inputs!$B$34/100)),15)/15,MIN(1,(Skills!Y22*(1+Inputs!$B$34/100))/(1/Q1316)))))+((C1297=TRUE)*F1297*3)+((C1299=TRUE)*F1299*(1-EXP(-0.75*B1332*5)))+((C1318=TRUE)*(F1318-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1305=TRUE)*F1305*IF(AND(Inputs!$B$39&lt;&gt;"pvp",Inputs!$B$44&gt;0),(((R1305-1)*MIN((Skills!Y11*(1+Inputs!$B$34/100)),(1/Q1305))+MIN((Skills!Y11*(1+Inputs!$B$34/100)),MAX(0,Inputs!$B$44-((R1305-1)*(1/Q1305)))))/Inputs!$B$44),IF(Inputs!$B$39="pvp",MIN((Skills!Y11*(1+Inputs!$B$34/100)),15)/15,MIN(1,(Skills!Y11*(1+Inputs!$B$34/100))/(1/Q1305)))))/100)*(1+((C1310=TRUE)*F1310*IF(AND(Inputs!$B$39&lt;&gt;"pvp",Inputs!$B$44&gt;0),(((R1310-1)*MIN((Skills!Y16*(1+Inputs!$B$34/100)),(1/Q1310))+MIN((Skills!Y16*(1+Inputs!$B$34/100)),MAX(0,Inputs!$B$44-((R1310-1)*(1/Q1310)))))/Inputs!$B$44),IF(Inputs!$B$39="pvp",MIN((Skills!Y16*(1+Inputs!$B$34/100)),15)/15,MIN(1,(Skills!Y16*(1+Inputs!$B$34/100))/(1/Q1310)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1330*I1298)</f>
        <v/>
      </c>
      <c r="L1298">
        <f>K1298*(MIN(Inputs!$B$22+((C1319=TRUE)*(F1319-Calc!F25)),(Inputs!$B$23+((C1324=TRUE)*(F1324-Calc!F30))+IF(ArtifactsInput!$M$15,CHOOSE(ArtifactsInput!$N$15+1,25,30,35,40,45,50)/100*(Inputs!$B$11-Inputs!$B$11),0)))/100+(Inputs!$B$23+((C1324=TRUE)*(F1324-Calc!F30))+IF(ArtifactsInput!$M$15,CHOOSE(ArtifactsInput!$N$15+1,25,30,35,40,45,50)/100*(Inputs!$B$11-Inputs!$B$11),0))/100)/2</f>
        <v/>
      </c>
      <c r="M1298">
        <f>L1298*(1+(Inputs!$B$10+((C1321=TRUE)*(F1321-Calc!F27))+B1335+(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1298">
        <f>L1298*(1-MIN((Inputs!$B$9+((C1320=TRUE)*(F1320-Calc!F26))+B1328+(ArtifactsInput!$M$24-ArtifactsInput!$M$24)*CHOOSE(ArtifactsInput!$N$24+1,10,12,14,16,18,20)+(IF(AND(Inputs!$B$39&lt;&gt;"pvp",Inputs!$B$44=0),1,IF(IF(Inputs!$B$39="pvp",15,Inputs!$B$44)-(B1339)&lt;=0,1,MAX(0,IF(Inputs!$B$39="pvp",15,Inputs!$B$44)-MAX(5,B1339))/(IF(Inputs!$B$39="pvp",15,Inputs!$B$44)-(B1339))))*IF(AND(ArtifactsInput!$M$42,((Inputs!$B$9+((C1320=TRUE)*(F1320-Calc!F26))+B1328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1298*(MIN((Inputs!$B$9+((C1320=TRUE)*(F1320-Calc!F26))+B1328+(ArtifactsInput!$M$24-ArtifactsInput!$M$24)*CHOOSE(ArtifactsInput!$N$24+1,10,12,14,16,18,20)+(IF(AND(Inputs!$B$39&lt;&gt;"pvp",Inputs!$B$44=0),1,IF(IF(Inputs!$B$39="pvp",15,Inputs!$B$44)-(B1339)&lt;=0,1,MAX(0,IF(Inputs!$B$39="pvp",15,Inputs!$B$44)-MAX(5,B1339))/(IF(Inputs!$B$39="pvp",15,Inputs!$B$44)-(B1339))))*IF(AND(ArtifactsInput!$M$42,((Inputs!$B$9+((C1320=TRUE)*(F1320-Calc!F26))+B1328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298">
        <f>(1-Summary!$B$11)*T1298+Summary!$B$11*V1298</f>
        <v/>
      </c>
      <c r="P1298">
        <f>IF(B1340=0,0,O1298/B1340)</f>
        <v/>
      </c>
      <c r="Q1298">
        <f>IFERROR(1/IF(Inputs!$B$39="pvp",15,MAX(0.1,Skills!D4-IF(TRUE=TRUE,Inputs!$B$32,0))),0)</f>
        <v/>
      </c>
      <c r="R1298">
        <f>IF(AND(Inputs!$B$39&lt;&gt;"pvp",Inputs!$B$44&gt;0),IF(MAX(0,Inputs!$B$44-B1339)&lt;=0,0,(INT(MAX(0,Inputs!$B$44-B1339)/IF(Inputs!$B$39="pvp",15,MAX(0.1,Skills!D4-IF(TRUE=TRUE,Inputs!$B$32,0))))+1)),0)</f>
        <v/>
      </c>
      <c r="S1298">
        <f>IFERROR(O1298/N1298,0)</f>
        <v/>
      </c>
      <c r="T1298">
        <f>IF(C1298,(H1298*N1298*IF(AND(Inputs!$B$39&lt;&gt;"pvp",Inputs!$B$44&gt;0),((Skills!G4*((R1298-1)*IF(Skills!H4&gt;0,Skills!I4/Skills!H4,1)+IF(Skills!H4&gt;0,MIN(Skills!I4,MAX(0,MAX(0,Inputs!$B$44-B1339)-((R1298-1)*IF(Inputs!$B$39="pvp",15,MAX(0.1,Skills!D4-IF(TRUE=TRUE,Inputs!$B$32,0))))))/Skills!H4,1)))/Inputs!$B$44),G1298*Q1298))*IF(Inputs!$B$39="pvp",1,1+(Inputs!$B$20+0+Skills!P4+B1329+(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Hunt"),CHOOSE(ArtifactsInput!$N$35+1,15,18,21,24,27,30)*(1-EXP(-(0.2*B1332)*5)),0)+IF(AND(ArtifactsInput!$M$22,Inputs!$B$4&lt;&gt;"Chapter Hunt"),CHOOSE(ArtifactsInput!$N$22+1,10,12,14,16,18,20)*((0*(((0.15*B1332*5))^0/1)+1*(((0.15*B1332*5))^1/1)+2*(((0.15*B1332*5))^2/2)+3*(((0.15*B1332*5))^3/6)+4*(((0.15*B1332*5))^4/24)+5*(((0.15*B1332*5))^5/120))/((((0.15*B1332*5))^0/1)+(((0.15*B1332*5))^1/1)+(((0.15*B1332*5))^2/2)+(((0.15*B1332*5))^3/6)+(((0.15*B1332*5))^4/24)+(((0.15*B1332*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1298*(1-MIN(100,(Inputs!$B$9+((C1320=TRUE)*(F1320-Calc!F26))+B1328+(ArtifactsInput!$M$24-ArtifactsInput!$M$24)*CHOOSE(ArtifactsInput!$N$24+1,10,12,14,16,18,20)+(IF(AND(Inputs!$B$39&lt;&gt;"pvp",Inputs!$B$44=0),1,IF(IF(Inputs!$B$39="pvp",15,Inputs!$B$44)-(B1339)&lt;=0,1,MAX(0,IF(Inputs!$B$39="pvp",15,Inputs!$B$44)-MAX(5,B1339))/(IF(Inputs!$B$39="pvp",15,Inputs!$B$44)-(B1339))))*IF(AND(ArtifactsInput!$M$42,((Inputs!$B$9+((C1320=TRUE)*(F1320-Calc!F26))+B1328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1298*(MIN(100,(Inputs!$B$9+((C1320=TRUE)*(F1320-Calc!F26))+B1328+(ArtifactsInput!$M$24-ArtifactsInput!$M$24)*CHOOSE(ArtifactsInput!$N$24+1,10,12,14,16,18,20)+(IF(AND(Inputs!$B$39&lt;&gt;"pvp",Inputs!$B$44=0),1,IF(IF(Inputs!$B$39="pvp",15,Inputs!$B$44)-(B1339)&lt;=0,1,MAX(0,IF(Inputs!$B$39="pvp",15,Inputs!$B$44)-MAX(5,B1339))/(IF(Inputs!$B$39="pvp",15,Inputs!$B$44)-(B1339))))*IF(AND(ArtifactsInput!$M$42,((Inputs!$B$9+((C1320=TRUE)*(F1320-Calc!F26))+B1328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1298*(1-MIN(100,(Inputs!$B$9+((C1320=TRUE)*(F1320-Calc!F26))+B1328+(ArtifactsInput!$M$24-ArtifactsInput!$M$24)*CHOOSE(ArtifactsInput!$N$24+1,10,12,14,16,18,20)+(IF(AND(Inputs!$B$39&lt;&gt;"pvp",Inputs!$B$44=0),1,IF(IF(Inputs!$B$39="pvp",15,Inputs!$B$44)-(B1339)&lt;=0,1,MAX(0,IF(Inputs!$B$39="pvp",15,Inputs!$B$44)-MAX(5,B1339))/(IF(Inputs!$B$39="pvp",15,Inputs!$B$44)-(B1339))))*IF(AND(ArtifactsInput!$M$42,((Inputs!$B$9+((C1320=TRUE)*(F1320-Calc!F26))+B1328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1298*(MIN(100,(Inputs!$B$9+((C1320=TRUE)*(F1320-Calc!F26))+B1328+(ArtifactsInput!$M$24-ArtifactsInput!$M$24)*CHOOSE(ArtifactsInput!$N$24+1,10,12,14,16,18,20)+(IF(AND(Inputs!$B$39&lt;&gt;"pvp",Inputs!$B$44=0),1,IF(IF(Inputs!$B$39="pvp",15,Inputs!$B$44)-(B1339)&lt;=0,1,MAX(0,IF(Inputs!$B$39="pvp",15,Inputs!$B$44)-MAX(5,B1339))/(IF(Inputs!$B$39="pvp",15,Inputs!$B$44)-(B1339))))*IF(AND(ArtifactsInput!$M$42,((Inputs!$B$9+((C1320=TRUE)*(F1320-Calc!F26))+B1328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1298">
        <f>290*U1297/1000</f>
        <v/>
      </c>
      <c r="V1298">
        <f>IF(C1298,(H1298*N1298*IF(AND(Inputs!$B$39&lt;&gt;"pvp",Inputs!$B$44&gt;0),((Skills!G4*((R1298-1)*IF(Skills!H4&gt;0,Skills!I4/Skills!H4,1)+IF(Skills!H4&gt;0,MIN(Skills!I4,MAX(0,MAX(0,Inputs!$B$44-B1339)-((R1298-1)*IF(Inputs!$B$39="pvp",15,MAX(0.1,Skills!D4-IF(TRUE=TRUE,Inputs!$B$32,0))))))/Skills!H4,1)))/Inputs!$B$44),G1298*Q1298))*IF(Inputs!$B$39="pvp",1,(1+(Inputs!$B$21+Skills!Q4+B1329+(IF(ArtifactsInput!$M$33,CHOOSE(ArtifactsInput!$N$33+1,30,36,42,48,54,60),0))+(IF(AND(ArtifactsInput!$M$35,Inputs!$B$4&lt;&gt;"Chapter Hunt"),CHOOSE(ArtifactsInput!$N$35+1,15,18,21,24,27,30)*(1-EXP(-(0.2*B1332)*5)),0)+IF(AND(ArtifactsInput!$M$22,Inputs!$B$4&lt;&gt;"Chapter Hunt"),CHOOSE(ArtifactsInput!$N$22+1,10,12,14,16,18,20)*((0*(((0.15*B1332*5))^0/1)+1*(((0.15*B1332*5))^1/1)+2*(((0.15*B1332*5))^2/2)+3*(((0.15*B1332*5))^3/6)+4*(((0.15*B1332*5))^4/24)+5*(((0.15*B1332*5))^5/120))/((((0.15*B1332*5))^0/1)+(((0.15*B1332*5))^1/1)+(((0.15*B1332*5))^2/2)+(((0.15*B1332*5))^3/6)+(((0.15*B1332*5))^4/24)+(((0.15*B1332*5))^5/120))),0)))/100)*(MIN(MIN(10,IF(Inputs!$B$3&gt;=75,0.75,0.5)*B1332*(1/Q1298)),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299">
      <c r="A1299">
        <f>Skills!A5</f>
        <v/>
      </c>
      <c r="B1299">
        <f>Skills!B5</f>
        <v/>
      </c>
      <c r="C1299">
        <f>Inputs!$B$3&gt;=75</f>
        <v/>
      </c>
      <c r="D1299">
        <f>IF(Skills!C5=1,60+Inputs!$B$25+Inputs!$B$29,IF(Skills!C5=2,90+Inputs!$B$26+Inputs!$B$29,IF(Skills!C5=3,120+Inputs!$B$27+Inputs!$B$29,MAX(0,(Inputs!$B$3-100)*3)+Inputs!$B$28+Inputs!$B$29)))</f>
        <v/>
      </c>
      <c r="E1299">
        <f>INDEX(FactorTable!$B$2:$Y$301, MATCH(ROUND(MIN(300,MAX(1,D1299)),0), FactorTable!$A$2:$A$301,0), Skills!M5+1)</f>
        <v/>
      </c>
      <c r="F1299">
        <f>IF(Skills!N5=TRUE,(Skills!L5/10)*(E1299/1000),Skills!L5/10)+Skills!O5</f>
        <v/>
      </c>
      <c r="G1299">
        <f>Skills!G5*IF(Skills!H5&gt;0,IF(Inputs!$B$39="pvp",MIN(Skills!I5,15),Skills!I5)/Skills!H5,1)</f>
        <v/>
      </c>
      <c r="H1299">
        <f>1-(1-Skills!J5/100)^Skills!K5</f>
        <v/>
      </c>
      <c r="I1299" t="inlineStr">
        <is>
          <t>1</t>
        </is>
      </c>
      <c r="J1299" t="inlineStr"/>
      <c r="K1299" t="inlineStr"/>
      <c r="L1299" t="inlineStr"/>
      <c r="M1299" t="inlineStr"/>
      <c r="N1299" t="inlineStr"/>
      <c r="O1299">
        <f>(1-Summary!$B$11)*T1299+Summary!$B$11*V1299</f>
        <v/>
      </c>
      <c r="P1299">
        <f>IF(B1340=0,0,O1299/B1340)</f>
        <v/>
      </c>
      <c r="Q1299" t="n">
        <v>0</v>
      </c>
      <c r="R1299" t="n">
        <v>0</v>
      </c>
      <c r="S1299">
        <f>IFERROR(O1299/N1299,0)</f>
        <v/>
      </c>
      <c r="T1299" t="n">
        <v>0</v>
      </c>
      <c r="V1299" t="n">
        <v>0</v>
      </c>
    </row>
    <row r="1300">
      <c r="A1300">
        <f>Skills!A6</f>
        <v/>
      </c>
      <c r="B1300">
        <f>Skills!B6</f>
        <v/>
      </c>
      <c r="C1300">
        <f>Inputs!$B$3&gt;=63</f>
        <v/>
      </c>
      <c r="D1300">
        <f>IF(Skills!C6=1,60+Inputs!$B$25+Inputs!$B$29,IF(Skills!C6=2,90+Inputs!$B$26+Inputs!$B$29,IF(Skills!C6=3,120+Inputs!$B$27+Inputs!$B$29,MAX(0,(Inputs!$B$3-100)*3)+Inputs!$B$28+Inputs!$B$29)))</f>
        <v/>
      </c>
      <c r="E1300">
        <f>INDEX(FactorTable!$B$2:$Y$301, MATCH(ROUND(MIN(300,MAX(1,D1300)),0), FactorTable!$A$2:$A$301,0), Skills!M6+1)</f>
        <v/>
      </c>
      <c r="F1300">
        <f>IF(Skills!N6=TRUE,(Skills!L6/10)*(E1300/1000),Skills!L6/10)+Skills!O6</f>
        <v/>
      </c>
      <c r="G1300">
        <f>Skills!G6*IF(Skills!H6&gt;0,IF(Inputs!$B$39="pvp",MIN(Skills!I6,15),Skills!I6)/Skills!H6,1)</f>
        <v/>
      </c>
      <c r="H1300">
        <f>1-(1-Skills!J6/100)^Skills!K6</f>
        <v/>
      </c>
      <c r="I1300" t="inlineStr">
        <is>
          <t>1</t>
        </is>
      </c>
      <c r="J1300">
        <f>((Inputs!$B$6*(1+Inputs!$B$7/100))+(((Inputs!$B$12*(1+Inputs!$B$13/100))-(Inputs!$B$12*(1+Inputs!$B$13/100)))+0.25*(Inputs!$B$14-Inputs!$B$14))*(1+Inputs!$B$7/100))*(F1300/100)</f>
        <v/>
      </c>
      <c r="K1300">
        <f>J1300*(1+((Inputs!$B$12*(1+Inputs!$B$13/100))*0.01+Inputs!$B$14*0.0025)/100)*(1+Inputs!$B$15/100)*(1+Inputs!$B$16/100)*(5000/(6000+Inputs!$B$43*(1-(100*(1-(1-Inputs!$B$19/100)*(1-CHOOSE(ArtifactsInput!$N$40+1,5,6,7,8,9,10)/100)^(ArtifactsInput!$M$40-ArtifactsInput!$M$40)))/100)))*(1+(Inputs!$B$24+((C1325=TRUE)*(F1325-Calc!F31))+((C1312=TRUE)*(F1312-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+2.6666666666666665*IF(C1313=TRUE,F1313,0)/100)*(1+(IF(Skills!A6="CRUEL_STAB",Inputs!$B$17+((C1322=TRUE)*(F1322-Calc!F28))+((IF(AND(Inputs!$B$39&lt;&gt;"pvp",Inputs!$B$44=0),1,IF(IF(Inputs!$B$39="pvp",15,Inputs!$B$44)-(B1339)&lt;=0,1,MAX(0,IF(Inputs!$B$39="pvp",15,Inputs!$B$44)-MAX(5,B1339))/(IF(Inputs!$B$39="pvp",15,Inputs!$B$44)-(B1339))))*(IF(AND(ArtifactsInput!$M$42,((Inputs!$B$9+((C1320=TRUE)*(F1320-Calc!F26))+B1328+(ArtifactsInput!$M$24-ArtifactsInput!$M$24)*CHOOSE(ArtifactsInput!$N$24+1,10,12,14,16,18,20)+IF(ArtifactsInput!$M$10,CHOOSE(ArtifactsInput!$N$10+1,15,18,21,24,27,30)*(IF(Inputs!$B$39="pvp",MIN(15,15)/15,IF(AND(Inputs!$B$39&lt;&gt;"pvp",Inputs!$B$44&gt;0),MIN(15,Inputs!$B$44)/(Inputs!$B$44),0))),0)))&gt;=100),MIN(100,((Inputs!$B$9+((C1320=TRUE)*(F1320-Calc!F26))+B1328+(ArtifactsInput!$M$24-ArtifactsInput!$M$24)*CHOOSE(ArtifactsInput!$N$24+1,10,12,14,16,18,20)+IF(ArtifactsInput!$M$10,CHOOSE(ArtifactsInput!$N$10+1,15,18,21,24,27,30)*(IF(Inputs!$B$39="pvp",MIN(15,15)/15,IF(AND(Inputs!$B$39&lt;&gt;"pvp",Inputs!$B$44&gt;0),MIN(15,Inputs!$B$44)/(Inputs!$B$44),0))),0)))-100),0))*CHOOSE(ArtifactsInput!$N$42+1,0.6,0.72,0.84,0.96,1.08,1.2))),Inputs!$B$18+((C1323=TRUE)*(F1323-Calc!F29))+(IF(AND(Inputs!$B$39&lt;&gt;"pvp",Inputs!$B$44=0),1,IF(IF(Inputs!$B$39="pvp",15,Inputs!$B$44)-(B1339)&lt;=0,1,MAX(0,IF(Inputs!$B$39="pvp",15,Inputs!$B$44)-MAX(5,B1339))/(IF(Inputs!$B$39="pvp",15,Inputs!$B$44)-(B1339))))*IF(AND(ArtifactsInput!$M$42,((Inputs!$B$9+((C1320=TRUE)*(F1320-Calc!F26))+B1328+(ArtifactsInput!$M$24-ArtifactsInput!$M$24)*CHOOSE(ArtifactsInput!$N$24+1,10,12,14,16,18,20)+IF(ArtifactsInput!$M$10,CHOOSE(ArtifactsInput!$N$10+1,15,18,21,24,27,30)*(IF(Inputs!$B$39="pvp",MIN(15,15)/15,IF(AND(Inputs!$B$39&lt;&gt;"pvp",Inputs!$B$44&gt;0),MIN(15,Inputs!$B$44)/(Inputs!$B$44),0))),0)))&gt;=100),CHOOSE(ArtifactsInput!$N$42+1,40,48,56,64,72,80),0))))/100)*(((1+(((C1316=TRUE)*F1316*IF(AND(Inputs!$B$39&lt;&gt;"pvp",Inputs!$B$44&gt;0),(((R1316-1)*MIN((Skills!Y22*(1+Inputs!$B$34/100)),(1/Q1316))+MIN((Skills!Y22*(1+Inputs!$B$34/100)),MAX(0,Inputs!$B$44-((R1316-1)*(1/Q1316)))))/Inputs!$B$44),IF(Inputs!$B$39="pvp",MIN((Skills!Y22*(1+Inputs!$B$34/100)),15)/15,MIN(1,(Skills!Y22*(1+Inputs!$B$34/100))/(1/Q1316)))))+((C1297=TRUE)*F1297*3)+((C1299=TRUE)*F1299*(1-EXP(-0.75*B1332*5)))+((C1318=TRUE)*(F1318-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1305=TRUE)*F1305*IF(AND(Inputs!$B$39&lt;&gt;"pvp",Inputs!$B$44&gt;0),(((R1305-1)*MIN((Skills!Y11*(1+Inputs!$B$34/100)),(1/Q1305))+MIN((Skills!Y11*(1+Inputs!$B$34/100)),MAX(0,Inputs!$B$44-((R1305-1)*(1/Q1305)))))/Inputs!$B$44),IF(Inputs!$B$39="pvp",MIN((Skills!Y11*(1+Inputs!$B$34/100)),15)/15,MIN(1,(Skills!Y11*(1+Inputs!$B$34/100))/(1/Q1305)))))/100)*(1+((C1310=TRUE)*F1310*IF(AND(Inputs!$B$39&lt;&gt;"pvp",Inputs!$B$44&gt;0),(((R1310-1)*MIN((Skills!Y16*(1+Inputs!$B$34/100)),(1/Q1310))+MIN((Skills!Y16*(1+Inputs!$B$34/100)),MAX(0,Inputs!$B$44-((R1310-1)*(1/Q1310)))))/Inputs!$B$44),IF(Inputs!$B$39="pvp",MIN((Skills!Y16*(1+Inputs!$B$34/100)),15)/15,MIN(1,(Skills!Y16*(1+Inputs!$B$34/100))/(1/Q1310)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1330*I1300)</f>
        <v/>
      </c>
      <c r="L1300">
        <f>K1300*(MIN(Inputs!$B$22+((C1319=TRUE)*(F1319-Calc!F25)),(Inputs!$B$23+((C1324=TRUE)*(F1324-Calc!F30))+IF(ArtifactsInput!$M$15,CHOOSE(ArtifactsInput!$N$15+1,25,30,35,40,45,50)/100*(Inputs!$B$11-Inputs!$B$11),0)))/100+(Inputs!$B$23+((C1324=TRUE)*(F1324-Calc!F30))+IF(ArtifactsInput!$M$15,CHOOSE(ArtifactsInput!$N$15+1,25,30,35,40,45,50)/100*(Inputs!$B$11-Inputs!$B$11),0))/100)/2</f>
        <v/>
      </c>
      <c r="M1300">
        <f>L1300*(1+(Inputs!$B$10+((C1321=TRUE)*(F1321-Calc!F27))+B1335+(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1300">
        <f>L1300*(1-MIN((Inputs!$B$9+((C1320=TRUE)*(F1320-Calc!F26))+B1328+(ArtifactsInput!$M$24-ArtifactsInput!$M$24)*CHOOSE(ArtifactsInput!$N$24+1,10,12,14,16,18,20)+(IF(AND(Inputs!$B$39&lt;&gt;"pvp",Inputs!$B$44=0),1,IF(IF(Inputs!$B$39="pvp",15,Inputs!$B$44)-(B1339)&lt;=0,1,MAX(0,IF(Inputs!$B$39="pvp",15,Inputs!$B$44)-MAX(5,B1339))/(IF(Inputs!$B$39="pvp",15,Inputs!$B$44)-(B1339))))*IF(AND(ArtifactsInput!$M$42,((Inputs!$B$9+((C1320=TRUE)*(F1320-Calc!F26))+B1328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1300*(MIN((Inputs!$B$9+((C1320=TRUE)*(F1320-Calc!F26))+B1328+(ArtifactsInput!$M$24-ArtifactsInput!$M$24)*CHOOSE(ArtifactsInput!$N$24+1,10,12,14,16,18,20)+(IF(AND(Inputs!$B$39&lt;&gt;"pvp",Inputs!$B$44=0),1,IF(IF(Inputs!$B$39="pvp",15,Inputs!$B$44)-(B1339)&lt;=0,1,MAX(0,IF(Inputs!$B$39="pvp",15,Inputs!$B$44)-MAX(5,B1339))/(IF(Inputs!$B$39="pvp",15,Inputs!$B$44)-(B1339))))*IF(AND(ArtifactsInput!$M$42,((Inputs!$B$9+((C1320=TRUE)*(F1320-Calc!F26))+B1328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300">
        <f>(1-Summary!$B$11)*T1300+Summary!$B$11*V1300</f>
        <v/>
      </c>
      <c r="P1300">
        <f>IF(B1340=0,0,O1300/B1340)</f>
        <v/>
      </c>
      <c r="Q1300">
        <f>IFERROR(1/IF(Inputs!$B$39="pvp",15,MAX(0.1,Skills!D6-IF(TRUE=TRUE,Inputs!$B$32,0))),0)</f>
        <v/>
      </c>
      <c r="R1300">
        <f>IF(AND(Inputs!$B$39&lt;&gt;"pvp",Inputs!$B$44&gt;0),IF(MAX(0,Inputs!$B$44-B1339)&lt;=0,0,(INT(MAX(0,Inputs!$B$44-B1339)/IF(Inputs!$B$39="pvp",15,MAX(0.1,Skills!D6-IF(TRUE=TRUE,Inputs!$B$32,0))))+1)),0)</f>
        <v/>
      </c>
      <c r="S1300">
        <f>IFERROR(O1300/N1300,0)</f>
        <v/>
      </c>
      <c r="T1300">
        <f>IF(C1300,(H1300*N1300*IF(AND(Inputs!$B$39&lt;&gt;"pvp",Inputs!$B$44&gt;0),((Skills!G6*((R1300-1)*IF(Skills!H6&gt;0,Skills!I6/Skills!H6,1)+IF(Skills!H6&gt;0,MIN(Skills!I6,MAX(0,MAX(0,Inputs!$B$44-B1339)-((R1300-1)*IF(Inputs!$B$39="pvp",15,MAX(0.1,Skills!D6-IF(TRUE=TRUE,Inputs!$B$32,0))))))/Skills!H6,1)))/Inputs!$B$44),G1300*Q1300))*IF(Inputs!$B$39="pvp",1,1+(Inputs!$B$20+0+Skills!P6+B1329+(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Hunt"),CHOOSE(ArtifactsInput!$N$35+1,15,18,21,24,27,30)*(1-EXP(-(0.2*B1332)*5)),0)+IF(AND(ArtifactsInput!$M$22,Inputs!$B$4&lt;&gt;"Chapter Hunt"),CHOOSE(ArtifactsInput!$N$22+1,10,12,14,16,18,20)*((0*(((0.15*B1332*5))^0/1)+1*(((0.15*B1332*5))^1/1)+2*(((0.15*B1332*5))^2/2)+3*(((0.15*B1332*5))^3/6)+4*(((0.15*B1332*5))^4/24)+5*(((0.15*B1332*5))^5/120))/((((0.15*B1332*5))^0/1)+(((0.15*B1332*5))^1/1)+(((0.15*B1332*5))^2/2)+(((0.15*B1332*5))^3/6)+(((0.15*B1332*5))^4/24)+(((0.15*B1332*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1300*(1-MIN(100,(Inputs!$B$9+((C1320=TRUE)*(F1320-Calc!F26))+B1328+(ArtifactsInput!$M$24-ArtifactsInput!$M$24)*CHOOSE(ArtifactsInput!$N$24+1,10,12,14,16,18,20)+(IF(AND(Inputs!$B$39&lt;&gt;"pvp",Inputs!$B$44=0),1,IF(IF(Inputs!$B$39="pvp",15,Inputs!$B$44)-(B1339)&lt;=0,1,MAX(0,IF(Inputs!$B$39="pvp",15,Inputs!$B$44)-MAX(5,B1339))/(IF(Inputs!$B$39="pvp",15,Inputs!$B$44)-(B1339))))*IF(AND(ArtifactsInput!$M$42,((Inputs!$B$9+((C1320=TRUE)*(F1320-Calc!F26))+B1328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1300*(MIN(100,(Inputs!$B$9+((C1320=TRUE)*(F1320-Calc!F26))+B1328+(ArtifactsInput!$M$24-ArtifactsInput!$M$24)*CHOOSE(ArtifactsInput!$N$24+1,10,12,14,16,18,20)+(IF(AND(Inputs!$B$39&lt;&gt;"pvp",Inputs!$B$44=0),1,IF(IF(Inputs!$B$39="pvp",15,Inputs!$B$44)-(B1339)&lt;=0,1,MAX(0,IF(Inputs!$B$39="pvp",15,Inputs!$B$44)-MAX(5,B1339))/(IF(Inputs!$B$39="pvp",15,Inputs!$B$44)-(B1339))))*IF(AND(ArtifactsInput!$M$42,((Inputs!$B$9+((C1320=TRUE)*(F1320-Calc!F26))+B1328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1300*(1-MIN(100,(Inputs!$B$9+((C1320=TRUE)*(F1320-Calc!F26))+B1328+(ArtifactsInput!$M$24-ArtifactsInput!$M$24)*CHOOSE(ArtifactsInput!$N$24+1,10,12,14,16,18,20)+(IF(AND(Inputs!$B$39&lt;&gt;"pvp",Inputs!$B$44=0),1,IF(IF(Inputs!$B$39="pvp",15,Inputs!$B$44)-(B1339)&lt;=0,1,MAX(0,IF(Inputs!$B$39="pvp",15,Inputs!$B$44)-MAX(5,B1339))/(IF(Inputs!$B$39="pvp",15,Inputs!$B$44)-(B1339))))*IF(AND(ArtifactsInput!$M$42,((Inputs!$B$9+((C1320=TRUE)*(F1320-Calc!F26))+B1328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1300*(MIN(100,(Inputs!$B$9+((C1320=TRUE)*(F1320-Calc!F26))+B1328+(ArtifactsInput!$M$24-ArtifactsInput!$M$24)*CHOOSE(ArtifactsInput!$N$24+1,10,12,14,16,18,20)+(IF(AND(Inputs!$B$39&lt;&gt;"pvp",Inputs!$B$44=0),1,IF(IF(Inputs!$B$39="pvp",15,Inputs!$B$44)-(B1339)&lt;=0,1,MAX(0,IF(Inputs!$B$39="pvp",15,Inputs!$B$44)-MAX(5,B1339))/(IF(Inputs!$B$39="pvp",15,Inputs!$B$44)-(B1339))))*IF(AND(ArtifactsInput!$M$42,((Inputs!$B$9+((C1320=TRUE)*(F1320-Calc!F26))+B1328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1300">
        <f>IF(C1300,(H1300*N1300*IF(AND(Inputs!$B$39&lt;&gt;"pvp",Inputs!$B$44&gt;0),((Skills!G6*((R1300-1)*IF(Skills!H6&gt;0,Skills!I6/Skills!H6,1)+IF(Skills!H6&gt;0,MIN(Skills!I6,MAX(0,MAX(0,Inputs!$B$44-B1339)-((R1300-1)*IF(Inputs!$B$39="pvp",15,MAX(0.1,Skills!D6-IF(TRUE=TRUE,Inputs!$B$32,0))))))/Skills!H6,1)))/Inputs!$B$44),G1300*Q1300))*IF(Inputs!$B$39="pvp",1,(1+(Inputs!$B$21+Skills!Q6+B1329+(IF(ArtifactsInput!$M$33,CHOOSE(ArtifactsInput!$N$33+1,30,36,42,48,54,60),0))+(IF(AND(ArtifactsInput!$M$35,Inputs!$B$4&lt;&gt;"Chapter Hunt"),CHOOSE(ArtifactsInput!$N$35+1,15,18,21,24,27,30)*(1-EXP(-(0.2*B1332)*5)),0)+IF(AND(ArtifactsInput!$M$22,Inputs!$B$4&lt;&gt;"Chapter Hunt"),CHOOSE(ArtifactsInput!$N$22+1,10,12,14,16,18,20)*((0*(((0.15*B1332*5))^0/1)+1*(((0.15*B1332*5))^1/1)+2*(((0.15*B1332*5))^2/2)+3*(((0.15*B1332*5))^3/6)+4*(((0.15*B1332*5))^4/24)+5*(((0.15*B1332*5))^5/120))/((((0.15*B1332*5))^0/1)+(((0.15*B1332*5))^1/1)+(((0.15*B1332*5))^2/2)+(((0.15*B1332*5))^3/6)+(((0.15*B1332*5))^4/24)+(((0.15*B1332*5))^5/120))),0)))/100)*(MIN(Skills!W6,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301">
      <c r="A1301">
        <f>Skills!A7</f>
        <v/>
      </c>
      <c r="B1301">
        <f>Skills!B7</f>
        <v/>
      </c>
      <c r="C1301">
        <f>Inputs!$B$3&gt;=69</f>
        <v/>
      </c>
      <c r="D1301">
        <f>IF(Skills!C7=1,60+Inputs!$B$25+Inputs!$B$29,IF(Skills!C7=2,90+Inputs!$B$26+Inputs!$B$29,IF(Skills!C7=3,120+Inputs!$B$27+Inputs!$B$29,MAX(0,(Inputs!$B$3-100)*3)+Inputs!$B$28+Inputs!$B$29)))</f>
        <v/>
      </c>
      <c r="E1301">
        <f>INDEX(FactorTable!$B$2:$Y$301, MATCH(ROUND(MIN(300,MAX(1,D1301)),0), FactorTable!$A$2:$A$301,0), Skills!M7+1)</f>
        <v/>
      </c>
      <c r="F1301">
        <f>IF(Skills!N7=TRUE,(Skills!L7/10)*(E1301/1000),Skills!L7/10)+Skills!O7</f>
        <v/>
      </c>
      <c r="G1301">
        <f>Skills!G7*IF(Skills!H7&gt;0,IF(Inputs!$B$39="pvp",MIN(Skills!I7,15),Skills!I7)/Skills!H7,1)</f>
        <v/>
      </c>
      <c r="H1301">
        <f>1-(1-Skills!J7/100)^Skills!K7</f>
        <v/>
      </c>
      <c r="I1301" t="inlineStr">
        <is>
          <t>1</t>
        </is>
      </c>
      <c r="J1301">
        <f>((Inputs!$B$6*(1+Inputs!$B$7/100))+(((Inputs!$B$12*(1+Inputs!$B$13/100))-(Inputs!$B$12*(1+Inputs!$B$13/100)))+0.25*(Inputs!$B$14-Inputs!$B$14))*(1+Inputs!$B$7/100))*(F1301/100)</f>
        <v/>
      </c>
      <c r="K1301">
        <f>J1301*(1+((Inputs!$B$12*(1+Inputs!$B$13/100))*0.01+Inputs!$B$14*0.0025)/100)*(1+Inputs!$B$15/100)*(1+Inputs!$B$16/100)*(5000/(6000+Inputs!$B$43*(1-(100*(1-(1-Inputs!$B$19/100)*(1-CHOOSE(ArtifactsInput!$N$40+1,5,6,7,8,9,10)/100)^(ArtifactsInput!$M$40-ArtifactsInput!$M$40)))/100)))*(1+(Inputs!$B$24+((C1325=TRUE)*(F1325-Calc!F31))+((C1312=TRUE)*(F1312-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1313=TRUE,F1313,0)/100)*(1+(IF(Skills!A7="CRUEL_STAB",Inputs!$B$17+((C1322=TRUE)*(F1322-Calc!F28))+((IF(AND(Inputs!$B$39&lt;&gt;"pvp",Inputs!$B$44=0),1,IF(IF(Inputs!$B$39="pvp",15,Inputs!$B$44)-(B1339)&lt;=0,1,MAX(0,IF(Inputs!$B$39="pvp",15,Inputs!$B$44)-MAX(5,B1339))/(IF(Inputs!$B$39="pvp",15,Inputs!$B$44)-(B1339))))*(IF(AND(ArtifactsInput!$M$42,((Inputs!$B$9+((C1320=TRUE)*(F1320-Calc!F26))+B1328+(ArtifactsInput!$M$24-ArtifactsInput!$M$24)*CHOOSE(ArtifactsInput!$N$24+1,10,12,14,16,18,20)+IF(ArtifactsInput!$M$10,CHOOSE(ArtifactsInput!$N$10+1,15,18,21,24,27,30)*(IF(Inputs!$B$39="pvp",MIN(15,15)/15,IF(AND(Inputs!$B$39&lt;&gt;"pvp",Inputs!$B$44&gt;0),MIN(15,Inputs!$B$44)/(Inputs!$B$44),0))),0)))&gt;=100),MIN(100,((Inputs!$B$9+((C1320=TRUE)*(F1320-Calc!F26))+B1328+(ArtifactsInput!$M$24-ArtifactsInput!$M$24)*CHOOSE(ArtifactsInput!$N$24+1,10,12,14,16,18,20)+IF(ArtifactsInput!$M$10,CHOOSE(ArtifactsInput!$N$10+1,15,18,21,24,27,30)*(IF(Inputs!$B$39="pvp",MIN(15,15)/15,IF(AND(Inputs!$B$39&lt;&gt;"pvp",Inputs!$B$44&gt;0),MIN(15,Inputs!$B$44)/(Inputs!$B$44),0))),0)))-100),0))*CHOOSE(ArtifactsInput!$N$42+1,0.6,0.72,0.84,0.96,1.08,1.2))),Inputs!$B$18+((C1323=TRUE)*(F1323-Calc!F29))+(IF(AND(Inputs!$B$39&lt;&gt;"pvp",Inputs!$B$44=0),1,IF(IF(Inputs!$B$39="pvp",15,Inputs!$B$44)-(B1339)&lt;=0,1,MAX(0,IF(Inputs!$B$39="pvp",15,Inputs!$B$44)-MAX(5,B1339))/(IF(Inputs!$B$39="pvp",15,Inputs!$B$44)-(B1339))))*IF(AND(ArtifactsInput!$M$42,((Inputs!$B$9+((C1320=TRUE)*(F1320-Calc!F26))+B1328+(ArtifactsInput!$M$24-ArtifactsInput!$M$24)*CHOOSE(ArtifactsInput!$N$24+1,10,12,14,16,18,20)+IF(ArtifactsInput!$M$10,CHOOSE(ArtifactsInput!$N$10+1,15,18,21,24,27,30)*(IF(Inputs!$B$39="pvp",MIN(15,15)/15,IF(AND(Inputs!$B$39&lt;&gt;"pvp",Inputs!$B$44&gt;0),MIN(15,Inputs!$B$44)/(Inputs!$B$44),0))),0)))&gt;=100),CHOOSE(ArtifactsInput!$N$42+1,40,48,56,64,72,80),0))))/100)*(((1+(((C1316=TRUE)*F1316*IF(AND(Inputs!$B$39&lt;&gt;"pvp",Inputs!$B$44&gt;0),(((R1316-1)*MIN((Skills!Y22*(1+Inputs!$B$34/100)),(1/Q1316))+MIN((Skills!Y22*(1+Inputs!$B$34/100)),MAX(0,Inputs!$B$44-((R1316-1)*(1/Q1316)))))/Inputs!$B$44),IF(Inputs!$B$39="pvp",MIN((Skills!Y22*(1+Inputs!$B$34/100)),15)/15,MIN(1,(Skills!Y22*(1+Inputs!$B$34/100))/(1/Q1316)))))+((C1297=TRUE)*F1297*3)+((C1299=TRUE)*F1299*(1-EXP(-0.75*B1332*5)))+((C1318=TRUE)*(F1318-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1305=TRUE)*F1305*IF(AND(Inputs!$B$39&lt;&gt;"pvp",Inputs!$B$44&gt;0),(((R1305-1)*MIN((Skills!Y11*(1+Inputs!$B$34/100)),(1/Q1305))+MIN((Skills!Y11*(1+Inputs!$B$34/100)),MAX(0,Inputs!$B$44-((R1305-1)*(1/Q1305)))))/Inputs!$B$44),IF(Inputs!$B$39="pvp",MIN((Skills!Y11*(1+Inputs!$B$34/100)),15)/15,MIN(1,(Skills!Y11*(1+Inputs!$B$34/100))/(1/Q1305)))))/100)*(1+((C1310=TRUE)*F1310*IF(AND(Inputs!$B$39&lt;&gt;"pvp",Inputs!$B$44&gt;0),(((R1310-1)*MIN((Skills!Y16*(1+Inputs!$B$34/100)),(1/Q1310))+MIN((Skills!Y16*(1+Inputs!$B$34/100)),MAX(0,Inputs!$B$44-((R1310-1)*(1/Q1310)))))/Inputs!$B$44),IF(Inputs!$B$39="pvp",MIN((Skills!Y16*(1+Inputs!$B$34/100)),15)/15,MIN(1,(Skills!Y16*(1+Inputs!$B$34/100))/(1/Q1310)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1330*I1301)</f>
        <v/>
      </c>
      <c r="L1301">
        <f>K1301*(MIN(Inputs!$B$22+((C1319=TRUE)*(F1319-Calc!F25)),(Inputs!$B$23+((C1324=TRUE)*(F1324-Calc!F30))+IF(ArtifactsInput!$M$15,CHOOSE(ArtifactsInput!$N$15+1,25,30,35,40,45,50)/100*(Inputs!$B$11-Inputs!$B$11),0)))/100+(Inputs!$B$23+((C1324=TRUE)*(F1324-Calc!F30))+IF(ArtifactsInput!$M$15,CHOOSE(ArtifactsInput!$N$15+1,25,30,35,40,45,50)/100*(Inputs!$B$11-Inputs!$B$11),0))/100)/2</f>
        <v/>
      </c>
      <c r="M1301">
        <f>L1301*(1+(Inputs!$B$10+((C1321=TRUE)*(F1321-Calc!F27))+B1335+(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1301">
        <f>L1301*(1-MIN((Inputs!$B$9+((C1320=TRUE)*(F1320-Calc!F26))+B1328+(ArtifactsInput!$M$24-ArtifactsInput!$M$24)*CHOOSE(ArtifactsInput!$N$24+1,10,12,14,16,18,20)+(IF(AND(Inputs!$B$39&lt;&gt;"pvp",Inputs!$B$44=0),1,IF(IF(Inputs!$B$39="pvp",15,Inputs!$B$44)-(B1339)&lt;=0,1,MAX(0,IF(Inputs!$B$39="pvp",15,Inputs!$B$44)-MAX(5,B1339))/(IF(Inputs!$B$39="pvp",15,Inputs!$B$44)-(B1339))))*IF(AND(ArtifactsInput!$M$42,((Inputs!$B$9+((C1320=TRUE)*(F1320-Calc!F26))+B1328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1301*(MIN((Inputs!$B$9+((C1320=TRUE)*(F1320-Calc!F26))+B1328+(ArtifactsInput!$M$24-ArtifactsInput!$M$24)*CHOOSE(ArtifactsInput!$N$24+1,10,12,14,16,18,20)+(IF(AND(Inputs!$B$39&lt;&gt;"pvp",Inputs!$B$44=0),1,IF(IF(Inputs!$B$39="pvp",15,Inputs!$B$44)-(B1339)&lt;=0,1,MAX(0,IF(Inputs!$B$39="pvp",15,Inputs!$B$44)-MAX(5,B1339))/(IF(Inputs!$B$39="pvp",15,Inputs!$B$44)-(B1339))))*IF(AND(ArtifactsInput!$M$42,((Inputs!$B$9+((C1320=TRUE)*(F1320-Calc!F26))+B1328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301">
        <f>(1-Summary!$B$11)*T1301+Summary!$B$11*V1301</f>
        <v/>
      </c>
      <c r="P1301">
        <f>IF(B1340=0,0,O1301/B1340)</f>
        <v/>
      </c>
      <c r="Q1301">
        <f>IFERROR(1/IF(Inputs!$B$39="pvp",15,MAX(0.1,Skills!D7-IF(TRUE=TRUE,Inputs!$B$32,0))),0)</f>
        <v/>
      </c>
      <c r="R1301">
        <f>IF(AND(Inputs!$B$39&lt;&gt;"pvp",Inputs!$B$44&gt;0),IF(MAX(0,Inputs!$B$44-B1339)&lt;=0,0,(INT(MAX(0,Inputs!$B$44-B1339)/IF(Inputs!$B$39="pvp",15,MAX(0.1,Skills!D7-IF(TRUE=TRUE,Inputs!$B$32,0))))+1)),0)</f>
        <v/>
      </c>
      <c r="S1301">
        <f>IFERROR(O1301/N1301,0)</f>
        <v/>
      </c>
      <c r="T1301">
        <f>IF(C1301,(H1301*N1301*IF(AND(Inputs!$B$39&lt;&gt;"pvp",Inputs!$B$44&gt;0),((Skills!G7*((R1301-1)*IF(Skills!H7&gt;0,Skills!I7/Skills!H7,1)+IF(Skills!H7&gt;0,MIN(Skills!I7,MAX(0,MAX(0,Inputs!$B$44-B1339)-((R1301-1)*IF(Inputs!$B$39="pvp",15,MAX(0.1,Skills!D7-IF(TRUE=TRUE,Inputs!$B$32,0))))))/Skills!H7,1)))/Inputs!$B$44),G1301*Q1301))*IF(Inputs!$B$39="pvp",1,1+(Inputs!$B$20+0+Skills!P7+B1329+(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Hunt"),CHOOSE(ArtifactsInput!$N$35+1,15,18,21,24,27,30)*(1-EXP(-(0.2*B1332)*5)),0)+IF(AND(ArtifactsInput!$M$22,Inputs!$B$4&lt;&gt;"Chapter Hunt"),CHOOSE(ArtifactsInput!$N$22+1,10,12,14,16,18,20)*((0*(((0.15*B1332*5))^0/1)+1*(((0.15*B1332*5))^1/1)+2*(((0.15*B1332*5))^2/2)+3*(((0.15*B1332*5))^3/6)+4*(((0.15*B1332*5))^4/24)+5*(((0.15*B1332*5))^5/120))/((((0.15*B1332*5))^0/1)+(((0.15*B1332*5))^1/1)+(((0.15*B1332*5))^2/2)+(((0.15*B1332*5))^3/6)+(((0.15*B1332*5))^4/24)+(((0.15*B1332*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1301*(1-MIN(100,(Inputs!$B$9+((C1320=TRUE)*(F1320-Calc!F26))+B1328+(ArtifactsInput!$M$24-ArtifactsInput!$M$24)*CHOOSE(ArtifactsInput!$N$24+1,10,12,14,16,18,20)+(IF(AND(Inputs!$B$39&lt;&gt;"pvp",Inputs!$B$44=0),1,IF(IF(Inputs!$B$39="pvp",15,Inputs!$B$44)-(B1339)&lt;=0,1,MAX(0,IF(Inputs!$B$39="pvp",15,Inputs!$B$44)-MAX(5,B1339))/(IF(Inputs!$B$39="pvp",15,Inputs!$B$44)-(B1339))))*IF(AND(ArtifactsInput!$M$42,((Inputs!$B$9+((C1320=TRUE)*(F1320-Calc!F26))+B1328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1301*(MIN(100,(Inputs!$B$9+((C1320=TRUE)*(F1320-Calc!F26))+B1328+(ArtifactsInput!$M$24-ArtifactsInput!$M$24)*CHOOSE(ArtifactsInput!$N$24+1,10,12,14,16,18,20)+(IF(AND(Inputs!$B$39&lt;&gt;"pvp",Inputs!$B$44=0),1,IF(IF(Inputs!$B$39="pvp",15,Inputs!$B$44)-(B1339)&lt;=0,1,MAX(0,IF(Inputs!$B$39="pvp",15,Inputs!$B$44)-MAX(5,B1339))/(IF(Inputs!$B$39="pvp",15,Inputs!$B$44)-(B1339))))*IF(AND(ArtifactsInput!$M$42,((Inputs!$B$9+((C1320=TRUE)*(F1320-Calc!F26))+B1328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1301*(1-MIN(100,(Inputs!$B$9+((C1320=TRUE)*(F1320-Calc!F26))+B1328+(ArtifactsInput!$M$24-ArtifactsInput!$M$24)*CHOOSE(ArtifactsInput!$N$24+1,10,12,14,16,18,20)+(IF(AND(Inputs!$B$39&lt;&gt;"pvp",Inputs!$B$44=0),1,IF(IF(Inputs!$B$39="pvp",15,Inputs!$B$44)-(B1339)&lt;=0,1,MAX(0,IF(Inputs!$B$39="pvp",15,Inputs!$B$44)-MAX(5,B1339))/(IF(Inputs!$B$39="pvp",15,Inputs!$B$44)-(B1339))))*IF(AND(ArtifactsInput!$M$42,((Inputs!$B$9+((C1320=TRUE)*(F1320-Calc!F26))+B1328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1301*(MIN(100,(Inputs!$B$9+((C1320=TRUE)*(F1320-Calc!F26))+B1328+(ArtifactsInput!$M$24-ArtifactsInput!$M$24)*CHOOSE(ArtifactsInput!$N$24+1,10,12,14,16,18,20)+(IF(AND(Inputs!$B$39&lt;&gt;"pvp",Inputs!$B$44=0),1,IF(IF(Inputs!$B$39="pvp",15,Inputs!$B$44)-(B1339)&lt;=0,1,MAX(0,IF(Inputs!$B$39="pvp",15,Inputs!$B$44)-MAX(5,B1339))/(IF(Inputs!$B$39="pvp",15,Inputs!$B$44)-(B1339))))*IF(AND(ArtifactsInput!$M$42,((Inputs!$B$9+((C1320=TRUE)*(F1320-Calc!F26))+B1328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1301">
        <f>IF(C1301,(H1301*N1301*IF(AND(Inputs!$B$39&lt;&gt;"pvp",Inputs!$B$44&gt;0),((Skills!G7*((R1301-1)*IF(Skills!H7&gt;0,Skills!I7/Skills!H7,1)+IF(Skills!H7&gt;0,MIN(Skills!I7,MAX(0,MAX(0,Inputs!$B$44-B1339)-((R1301-1)*IF(Inputs!$B$39="pvp",15,MAX(0.1,Skills!D7-IF(TRUE=TRUE,Inputs!$B$32,0))))))/Skills!H7,1)))/Inputs!$B$44),G1301*Q1301))*IF(Inputs!$B$39="pvp",1,(1+(Inputs!$B$21+Skills!Q7+B1329+(IF(ArtifactsInput!$M$33,CHOOSE(ArtifactsInput!$N$33+1,30,36,42,48,54,60),0))+(IF(AND(ArtifactsInput!$M$35,Inputs!$B$4&lt;&gt;"Chapter Hunt"),CHOOSE(ArtifactsInput!$N$35+1,15,18,21,24,27,30)*(1-EXP(-(0.2*B1332)*5)),0)+IF(AND(ArtifactsInput!$M$22,Inputs!$B$4&lt;&gt;"Chapter Hunt"),CHOOSE(ArtifactsInput!$N$22+1,10,12,14,16,18,20)*((0*(((0.15*B1332*5))^0/1)+1*(((0.15*B1332*5))^1/1)+2*(((0.15*B1332*5))^2/2)+3*(((0.15*B1332*5))^3/6)+4*(((0.15*B1332*5))^4/24)+5*(((0.15*B1332*5))^5/120))/((((0.15*B1332*5))^0/1)+(((0.15*B1332*5))^1/1)+(((0.15*B1332*5))^2/2)+(((0.15*B1332*5))^3/6)+(((0.15*B1332*5))^4/24)+(((0.15*B1332*5))^5/120))),0)))/100)*(MIN(Skills!W7,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302">
      <c r="A1302">
        <f>Skills!A8</f>
        <v/>
      </c>
      <c r="B1302">
        <f>Skills!B8</f>
        <v/>
      </c>
      <c r="C1302">
        <f>Inputs!$B$3&gt;=60</f>
        <v/>
      </c>
      <c r="D1302">
        <f>IF(Skills!C8=1,60+Inputs!$B$25+Inputs!$B$29,IF(Skills!C8=2,90+Inputs!$B$26+Inputs!$B$29,IF(Skills!C8=3,120+Inputs!$B$27+Inputs!$B$29,MAX(0,(Inputs!$B$3-100)*3)+Inputs!$B$28+Inputs!$B$29)))</f>
        <v/>
      </c>
      <c r="E1302">
        <f>INDEX(FactorTable!$B$2:$Y$301, MATCH(ROUND(MIN(300,MAX(1,D1302)),0), FactorTable!$A$2:$A$301,0), Skills!M8+1)</f>
        <v/>
      </c>
      <c r="F1302">
        <f>IF(Skills!N8=TRUE,(Skills!L8/10)*(E1302/1000),Skills!L8/10)+Skills!O8</f>
        <v/>
      </c>
      <c r="G1302">
        <f>Skills!G8*IF(Skills!H8&gt;0,IF(Inputs!$B$39="pvp",MIN(Skills!I8,15),Skills!I8)/Skills!H8,1)</f>
        <v/>
      </c>
      <c r="H1302">
        <f>1-(1-Skills!J8/100)^Skills!K8</f>
        <v/>
      </c>
      <c r="I1302" t="inlineStr">
        <is>
          <t>1</t>
        </is>
      </c>
      <c r="J1302" t="inlineStr"/>
      <c r="K1302" t="inlineStr"/>
      <c r="L1302" t="inlineStr"/>
      <c r="M1302" t="inlineStr"/>
      <c r="N1302" t="inlineStr"/>
      <c r="O1302">
        <f>(1-Summary!$B$11)*T1302+Summary!$B$11*V1302</f>
        <v/>
      </c>
      <c r="P1302">
        <f>IF(B1340=0,0,O1302/B1340)</f>
        <v/>
      </c>
      <c r="Q1302" t="n">
        <v>0</v>
      </c>
      <c r="R1302" t="n">
        <v>0</v>
      </c>
      <c r="S1302">
        <f>IFERROR(O1302/N1302,0)</f>
        <v/>
      </c>
      <c r="T1302" t="n">
        <v>0</v>
      </c>
      <c r="V1302" t="n">
        <v>0</v>
      </c>
    </row>
    <row r="1303">
      <c r="A1303">
        <f>Skills!A9</f>
        <v/>
      </c>
      <c r="B1303">
        <f>Skills!B9</f>
        <v/>
      </c>
      <c r="C1303">
        <f>Inputs!$B$3&gt;=72</f>
        <v/>
      </c>
      <c r="D1303">
        <f>IF(Skills!C9=1,60+Inputs!$B$25+Inputs!$B$29,IF(Skills!C9=2,90+Inputs!$B$26+Inputs!$B$29,IF(Skills!C9=3,120+Inputs!$B$27+Inputs!$B$29,MAX(0,(Inputs!$B$3-100)*3)+Inputs!$B$28+Inputs!$B$29)))</f>
        <v/>
      </c>
      <c r="E1303">
        <f>INDEX(FactorTable!$B$2:$Y$301, MATCH(ROUND(MIN(300,MAX(1,D1303)),0), FactorTable!$A$2:$A$301,0), Skills!M9+1)</f>
        <v/>
      </c>
      <c r="F1303">
        <f>IF(Skills!N9=TRUE,(Skills!L9/10)*(E1303/1000),Skills!L9/10)+Skills!O9</f>
        <v/>
      </c>
      <c r="G1303">
        <f>Skills!G9*IF(Skills!H9&gt;0,IF(Inputs!$B$39="pvp",MIN(Skills!I9,15),Skills!I9)/Skills!H9,1)</f>
        <v/>
      </c>
      <c r="H1303">
        <f>1-(1-Skills!J9/100)^Skills!K9</f>
        <v/>
      </c>
      <c r="I1303" t="inlineStr">
        <is>
          <t>1</t>
        </is>
      </c>
      <c r="J1303">
        <f>((Inputs!$B$6*(1+Inputs!$B$7/100))+(((Inputs!$B$12*(1+Inputs!$B$13/100))-(Inputs!$B$12*(1+Inputs!$B$13/100)))+0.25*(Inputs!$B$14-Inputs!$B$14))*(1+Inputs!$B$7/100))*(F1303/100)</f>
        <v/>
      </c>
      <c r="K1303">
        <f>J1303*(1+((Inputs!$B$12*(1+Inputs!$B$13/100))*0.01+Inputs!$B$14*0.0025)/100)*(1+Inputs!$B$15/100)*(1+Inputs!$B$16/100)*(5000/(6000+Inputs!$B$43*(1-(100*(1-(1-Inputs!$B$19/100)*(1-CHOOSE(ArtifactsInput!$N$40+1,5,6,7,8,9,10)/100)^(ArtifactsInput!$M$40-ArtifactsInput!$M$40)))/100)))*(1+(Inputs!$B$24+((C1325=TRUE)*(F1325-Calc!F31))+((C1312=TRUE)*(F1312-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+3.3333333333333335*IF(C1313=TRUE,F1313,0)/100)*(1+(IF(Skills!A9="CRUEL_STAB",Inputs!$B$17+((C1322=TRUE)*(F1322-Calc!F28))+((IF(AND(Inputs!$B$39&lt;&gt;"pvp",Inputs!$B$44=0),1,IF(IF(Inputs!$B$39="pvp",15,Inputs!$B$44)-(B1339)&lt;=0,1,MAX(0,IF(Inputs!$B$39="pvp",15,Inputs!$B$44)-MAX(5,B1339))/(IF(Inputs!$B$39="pvp",15,Inputs!$B$44)-(B1339))))*(IF(AND(ArtifactsInput!$M$42,((Inputs!$B$9+((C1320=TRUE)*(F1320-Calc!F26))+B1328+(ArtifactsInput!$M$24-ArtifactsInput!$M$24)*CHOOSE(ArtifactsInput!$N$24+1,10,12,14,16,18,20)+IF(ArtifactsInput!$M$10,CHOOSE(ArtifactsInput!$N$10+1,15,18,21,24,27,30)*(IF(Inputs!$B$39="pvp",MIN(15,15)/15,IF(AND(Inputs!$B$39&lt;&gt;"pvp",Inputs!$B$44&gt;0),MIN(15,Inputs!$B$44)/(Inputs!$B$44),0))),0)))&gt;=100),MIN(100,((Inputs!$B$9+((C1320=TRUE)*(F1320-Calc!F26))+B1328+(ArtifactsInput!$M$24-ArtifactsInput!$M$24)*CHOOSE(ArtifactsInput!$N$24+1,10,12,14,16,18,20)+IF(ArtifactsInput!$M$10,CHOOSE(ArtifactsInput!$N$10+1,15,18,21,24,27,30)*(IF(Inputs!$B$39="pvp",MIN(15,15)/15,IF(AND(Inputs!$B$39&lt;&gt;"pvp",Inputs!$B$44&gt;0),MIN(15,Inputs!$B$44)/(Inputs!$B$44),0))),0)))-100),0))*CHOOSE(ArtifactsInput!$N$42+1,0.6,0.72,0.84,0.96,1.08,1.2))),Inputs!$B$18+((C1323=TRUE)*(F1323-Calc!F29))+(IF(AND(Inputs!$B$39&lt;&gt;"pvp",Inputs!$B$44=0),1,IF(IF(Inputs!$B$39="pvp",15,Inputs!$B$44)-(B1339)&lt;=0,1,MAX(0,IF(Inputs!$B$39="pvp",15,Inputs!$B$44)-MAX(5,B1339))/(IF(Inputs!$B$39="pvp",15,Inputs!$B$44)-(B1339))))*IF(AND(ArtifactsInput!$M$42,((Inputs!$B$9+((C1320=TRUE)*(F1320-Calc!F26))+B1328+(ArtifactsInput!$M$24-ArtifactsInput!$M$24)*CHOOSE(ArtifactsInput!$N$24+1,10,12,14,16,18,20)+IF(ArtifactsInput!$M$10,CHOOSE(ArtifactsInput!$N$10+1,15,18,21,24,27,30)*(IF(Inputs!$B$39="pvp",MIN(15,15)/15,IF(AND(Inputs!$B$39&lt;&gt;"pvp",Inputs!$B$44&gt;0),MIN(15,Inputs!$B$44)/(Inputs!$B$44),0))),0)))&gt;=100),CHOOSE(ArtifactsInput!$N$42+1,40,48,56,64,72,80),0))))/100)*(((1+(((C1316=TRUE)*F1316*IF(AND(Inputs!$B$39&lt;&gt;"pvp",Inputs!$B$44&gt;0),(((R1316-1)*MIN((Skills!Y22*(1+Inputs!$B$34/100)),(1/Q1316))+MIN((Skills!Y22*(1+Inputs!$B$34/100)),MAX(0,Inputs!$B$44-((R1316-1)*(1/Q1316)))))/Inputs!$B$44),IF(Inputs!$B$39="pvp",MIN((Skills!Y22*(1+Inputs!$B$34/100)),15)/15,MIN(1,(Skills!Y22*(1+Inputs!$B$34/100))/(1/Q1316)))))+((C1297=TRUE)*F1297*3)+((C1299=TRUE)*F1299*(1-EXP(-0.75*B1332*5)))+((C1318=TRUE)*(F1318-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1305=TRUE)*F1305*IF(AND(Inputs!$B$39&lt;&gt;"pvp",Inputs!$B$44&gt;0),(((R1305-1)*MIN((Skills!Y11*(1+Inputs!$B$34/100)),(1/Q1305))+MIN((Skills!Y11*(1+Inputs!$B$34/100)),MAX(0,Inputs!$B$44-((R1305-1)*(1/Q1305)))))/Inputs!$B$44),IF(Inputs!$B$39="pvp",MIN((Skills!Y11*(1+Inputs!$B$34/100)),15)/15,MIN(1,(Skills!Y11*(1+Inputs!$B$34/100))/(1/Q1305)))))/100)*(1+((C1310=TRUE)*F1310*IF(AND(Inputs!$B$39&lt;&gt;"pvp",Inputs!$B$44&gt;0),(((R1310-1)*MIN((Skills!Y16*(1+Inputs!$B$34/100)),(1/Q1310))+MIN((Skills!Y16*(1+Inputs!$B$34/100)),MAX(0,Inputs!$B$44-((R1310-1)*(1/Q1310)))))/Inputs!$B$44),IF(Inputs!$B$39="pvp",MIN((Skills!Y16*(1+Inputs!$B$34/100)),15)/15,MIN(1,(Skills!Y16*(1+Inputs!$B$34/100))/(1/Q1310)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1330*I1303)</f>
        <v/>
      </c>
      <c r="L1303">
        <f>K1303*(MIN(Inputs!$B$22+((C1319=TRUE)*(F1319-Calc!F25)),(Inputs!$B$23+((C1324=TRUE)*(F1324-Calc!F30))+IF(ArtifactsInput!$M$15,CHOOSE(ArtifactsInput!$N$15+1,25,30,35,40,45,50)/100*(Inputs!$B$11-Inputs!$B$11),0)))/100+(Inputs!$B$23+((C1324=TRUE)*(F1324-Calc!F30))+IF(ArtifactsInput!$M$15,CHOOSE(ArtifactsInput!$N$15+1,25,30,35,40,45,50)/100*(Inputs!$B$11-Inputs!$B$11),0))/100)/2</f>
        <v/>
      </c>
      <c r="M1303">
        <f>L1303*(1+(Inputs!$B$10+((C1321=TRUE)*(F1321-Calc!F27))+B1335+(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1303">
        <f>L1303*(1-MIN((Inputs!$B$9+((C1320=TRUE)*(F1320-Calc!F26))+B1328+(ArtifactsInput!$M$24-ArtifactsInput!$M$24)*CHOOSE(ArtifactsInput!$N$24+1,10,12,14,16,18,20)+(IF(AND(Inputs!$B$39&lt;&gt;"pvp",Inputs!$B$44=0),1,IF(IF(Inputs!$B$39="pvp",15,Inputs!$B$44)-(B1339)&lt;=0,1,MAX(0,IF(Inputs!$B$39="pvp",15,Inputs!$B$44)-MAX(5,B1339))/(IF(Inputs!$B$39="pvp",15,Inputs!$B$44)-(B1339))))*IF(AND(ArtifactsInput!$M$42,((Inputs!$B$9+((C1320=TRUE)*(F1320-Calc!F26))+B1328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1303*(MIN((Inputs!$B$9+((C1320=TRUE)*(F1320-Calc!F26))+B1328+(ArtifactsInput!$M$24-ArtifactsInput!$M$24)*CHOOSE(ArtifactsInput!$N$24+1,10,12,14,16,18,20)+(IF(AND(Inputs!$B$39&lt;&gt;"pvp",Inputs!$B$44=0),1,IF(IF(Inputs!$B$39="pvp",15,Inputs!$B$44)-(B1339)&lt;=0,1,MAX(0,IF(Inputs!$B$39="pvp",15,Inputs!$B$44)-MAX(5,B1339))/(IF(Inputs!$B$39="pvp",15,Inputs!$B$44)-(B1339))))*IF(AND(ArtifactsInput!$M$42,((Inputs!$B$9+((C1320=TRUE)*(F1320-Calc!F26))+B1328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303">
        <f>(1-Summary!$B$11)*T1303+Summary!$B$11*V1303</f>
        <v/>
      </c>
      <c r="P1303">
        <f>IF(B1340=0,0,O1303/B1340)</f>
        <v/>
      </c>
      <c r="Q1303">
        <f>IFERROR(1/IF(Inputs!$B$39="pvp",15,MAX(0.1,Skills!D9-IF(FALSE=TRUE,Inputs!$B$32,0))),0)</f>
        <v/>
      </c>
      <c r="R1303">
        <f>IF(AND(Inputs!$B$39&lt;&gt;"pvp",Inputs!$B$44&gt;0),IF(MAX(0,Inputs!$B$44-B1339)&lt;=0,0,(INT(MAX(0,Inputs!$B$44-B1339)/IF(Inputs!$B$39="pvp",15,MAX(0.1,Skills!D9-IF(FALSE=TRUE,Inputs!$B$32,0))))+1)),0)</f>
        <v/>
      </c>
      <c r="S1303">
        <f>IFERROR(O1303/N1303,0)</f>
        <v/>
      </c>
      <c r="T1303">
        <f>IF(C1303,(H1303*N1303*IF(AND(Inputs!$B$39&lt;&gt;"pvp",Inputs!$B$44&gt;0),((Skills!G9*((R1303-1)*IF(Skills!H9&gt;0,Skills!I9/Skills!H9,1)+IF(Skills!H9&gt;0,MIN(Skills!I9,MAX(0,MAX(0,Inputs!$B$44-B1339)-((R1303-1)*IF(Inputs!$B$39="pvp",15,MAX(0.1,Skills!D9-IF(FALSE=TRUE,Inputs!$B$32,0))))))/Skills!H9,1)))/Inputs!$B$44),G1303*Q1303))*IF(Inputs!$B$39="pvp",1,1+(Inputs!$B$20+0+Skills!P9+B1329+(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Hunt"),CHOOSE(ArtifactsInput!$N$35+1,15,18,21,24,27,30)*(1-EXP(-(0.2*B1332)*5)),0)+IF(AND(ArtifactsInput!$M$22,Inputs!$B$4&lt;&gt;"Chapter Hunt"),CHOOSE(ArtifactsInput!$N$22+1,10,12,14,16,18,20)*((0*(((0.15*B1332*5))^0/1)+1*(((0.15*B1332*5))^1/1)+2*(((0.15*B1332*5))^2/2)+3*(((0.15*B1332*5))^3/6)+4*(((0.15*B1332*5))^4/24)+5*(((0.15*B1332*5))^5/120))/((((0.15*B1332*5))^0/1)+(((0.15*B1332*5))^1/1)+(((0.15*B1332*5))^2/2)+(((0.15*B1332*5))^3/6)+(((0.15*B1332*5))^4/24)+(((0.15*B1332*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1303*(1-MIN(100,(Inputs!$B$9+((C1320=TRUE)*(F1320-Calc!F26))+B1328+(ArtifactsInput!$M$24-ArtifactsInput!$M$24)*CHOOSE(ArtifactsInput!$N$24+1,10,12,14,16,18,20)+(IF(AND(Inputs!$B$39&lt;&gt;"pvp",Inputs!$B$44=0),1,IF(IF(Inputs!$B$39="pvp",15,Inputs!$B$44)-(B1339)&lt;=0,1,MAX(0,IF(Inputs!$B$39="pvp",15,Inputs!$B$44)-MAX(5,B1339))/(IF(Inputs!$B$39="pvp",15,Inputs!$B$44)-(B1339))))*IF(AND(ArtifactsInput!$M$42,((Inputs!$B$9+((C1320=TRUE)*(F1320-Calc!F26))+B1328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1303*(MIN(100,(Inputs!$B$9+((C1320=TRUE)*(F1320-Calc!F26))+B1328+(ArtifactsInput!$M$24-ArtifactsInput!$M$24)*CHOOSE(ArtifactsInput!$N$24+1,10,12,14,16,18,20)+(IF(AND(Inputs!$B$39&lt;&gt;"pvp",Inputs!$B$44=0),1,IF(IF(Inputs!$B$39="pvp",15,Inputs!$B$44)-(B1339)&lt;=0,1,MAX(0,IF(Inputs!$B$39="pvp",15,Inputs!$B$44)-MAX(5,B1339))/(IF(Inputs!$B$39="pvp",15,Inputs!$B$44)-(B1339))))*IF(AND(ArtifactsInput!$M$42,((Inputs!$B$9+((C1320=TRUE)*(F1320-Calc!F26))+B1328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1303*(1-MIN(100,(Inputs!$B$9+((C1320=TRUE)*(F1320-Calc!F26))+B1328+(ArtifactsInput!$M$24-ArtifactsInput!$M$24)*CHOOSE(ArtifactsInput!$N$24+1,10,12,14,16,18,20)+(IF(AND(Inputs!$B$39&lt;&gt;"pvp",Inputs!$B$44=0),1,IF(IF(Inputs!$B$39="pvp",15,Inputs!$B$44)-(B1339)&lt;=0,1,MAX(0,IF(Inputs!$B$39="pvp",15,Inputs!$B$44)-MAX(5,B1339))/(IF(Inputs!$B$39="pvp",15,Inputs!$B$44)-(B1339))))*IF(AND(ArtifactsInput!$M$42,((Inputs!$B$9+((C1320=TRUE)*(F1320-Calc!F26))+B1328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1303*(MIN(100,(Inputs!$B$9+((C1320=TRUE)*(F1320-Calc!F26))+B1328+(ArtifactsInput!$M$24-ArtifactsInput!$M$24)*CHOOSE(ArtifactsInput!$N$24+1,10,12,14,16,18,20)+(IF(AND(Inputs!$B$39&lt;&gt;"pvp",Inputs!$B$44=0),1,IF(IF(Inputs!$B$39="pvp",15,Inputs!$B$44)-(B1339)&lt;=0,1,MAX(0,IF(Inputs!$B$39="pvp",15,Inputs!$B$44)-MAX(5,B1339))/(IF(Inputs!$B$39="pvp",15,Inputs!$B$44)-(B1339))))*IF(AND(ArtifactsInput!$M$42,((Inputs!$B$9+((C1320=TRUE)*(F1320-Calc!F26))+B1328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1303">
        <f>IF(C1303,(H1303*N1303*IF(AND(Inputs!$B$39&lt;&gt;"pvp",Inputs!$B$44&gt;0),((Skills!G9*((R1303-1)*IF(Skills!H9&gt;0,Skills!I9/Skills!H9,1)+IF(Skills!H9&gt;0,MIN(Skills!I9,MAX(0,MAX(0,Inputs!$B$44-B1339)-((R1303-1)*IF(Inputs!$B$39="pvp",15,MAX(0.1,Skills!D9-IF(FALSE=TRUE,Inputs!$B$32,0))))))/Skills!H9,1)))/Inputs!$B$44),G1303*Q1303))*IF(Inputs!$B$39="pvp",1,(1+(Inputs!$B$21+Skills!Q9+B1329+(IF(ArtifactsInput!$M$33,CHOOSE(ArtifactsInput!$N$33+1,30,36,42,48,54,60),0))+(IF(AND(ArtifactsInput!$M$35,Inputs!$B$4&lt;&gt;"Chapter Hunt"),CHOOSE(ArtifactsInput!$N$35+1,15,18,21,24,27,30)*(1-EXP(-(0.2*B1332)*5)),0)+IF(AND(ArtifactsInput!$M$22,Inputs!$B$4&lt;&gt;"Chapter Hunt"),CHOOSE(ArtifactsInput!$N$22+1,10,12,14,16,18,20)*((0*(((0.15*B1332*5))^0/1)+1*(((0.15*B1332*5))^1/1)+2*(((0.15*B1332*5))^2/2)+3*(((0.15*B1332*5))^3/6)+4*(((0.15*B1332*5))^4/24)+5*(((0.15*B1332*5))^5/120))/((((0.15*B1332*5))^0/1)+(((0.15*B1332*5))^1/1)+(((0.15*B1332*5))^2/2)+(((0.15*B1332*5))^3/6)+(((0.15*B1332*5))^4/24)+(((0.15*B1332*5))^5/120))),0)))/100)*(MIN(Skills!W9,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304">
      <c r="A1304">
        <f>Skills!A10</f>
        <v/>
      </c>
      <c r="B1304">
        <f>Skills!B10</f>
        <v/>
      </c>
      <c r="C1304">
        <f>Inputs!$B$3&gt;=117</f>
        <v/>
      </c>
      <c r="D1304">
        <f>IF(Skills!C10=1,60+Inputs!$B$25+Inputs!$B$29,IF(Skills!C10=2,90+Inputs!$B$26+Inputs!$B$29,IF(Skills!C10=3,120+Inputs!$B$27+Inputs!$B$29,MAX(0,(Inputs!$B$3-100)*3)+Inputs!$B$28+Inputs!$B$29)))</f>
        <v/>
      </c>
      <c r="E1304">
        <f>INDEX(FactorTable!$B$2:$Y$301, MATCH(ROUND(MIN(300,MAX(1,D1304)),0), FactorTable!$A$2:$A$301,0), Skills!M10+1)</f>
        <v/>
      </c>
      <c r="F1304">
        <f>IF(Skills!N10=TRUE,(Skills!L10/10)*(E1304/1000),Skills!L10/10)+Skills!O10</f>
        <v/>
      </c>
      <c r="G1304">
        <f>Skills!G10*IF(Skills!H10&gt;0,IF(Inputs!$B$39="pvp",MIN(Skills!I10,15),Skills!I10)/Skills!H10,1)</f>
        <v/>
      </c>
      <c r="H1304">
        <f>1-(1-Skills!J10/100)^Skills!K10</f>
        <v/>
      </c>
      <c r="I1304" t="inlineStr">
        <is>
          <t>1</t>
        </is>
      </c>
      <c r="J1304">
        <f>((Inputs!$B$6*(1+Inputs!$B$7/100))+(((Inputs!$B$12*(1+Inputs!$B$13/100))-(Inputs!$B$12*(1+Inputs!$B$13/100)))+0.25*(Inputs!$B$14-Inputs!$B$14))*(1+Inputs!$B$7/100))*(F1304/100)</f>
        <v/>
      </c>
      <c r="K1304">
        <f>J1304*(1+((Inputs!$B$12*(1+Inputs!$B$13/100))*0.01+Inputs!$B$14*0.0025)/100)*(1+Inputs!$B$15/100)*(1+Inputs!$B$16/100)*(5000/(6000+Inputs!$B$43*(1-(100*(1-(1-Inputs!$B$19/100)*(1-CHOOSE(ArtifactsInput!$N$40+1,5,6,7,8,9,10)/100)^(ArtifactsInput!$M$40-ArtifactsInput!$M$40)))/100)))*(1+(Inputs!$B$24+((C1325=TRUE)*(F1325-Calc!F31))+((C1312=TRUE)*(F1312-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10="CRUEL_STAB",Inputs!$B$17+((C1322=TRUE)*(F1322-Calc!F28))+((IF(AND(Inputs!$B$39&lt;&gt;"pvp",Inputs!$B$44=0),1,IF(IF(Inputs!$B$39="pvp",15,Inputs!$B$44)-(B1339)&lt;=0,1,MAX(0,IF(Inputs!$B$39="pvp",15,Inputs!$B$44)-MAX(5,B1339))/(IF(Inputs!$B$39="pvp",15,Inputs!$B$44)-(B1339))))*(IF(AND(ArtifactsInput!$M$42,((Inputs!$B$9+((C1320=TRUE)*(F1320-Calc!F26))+B1328+(ArtifactsInput!$M$24-ArtifactsInput!$M$24)*CHOOSE(ArtifactsInput!$N$24+1,10,12,14,16,18,20)+IF(ArtifactsInput!$M$10,CHOOSE(ArtifactsInput!$N$10+1,15,18,21,24,27,30)*(IF(Inputs!$B$39="pvp",MIN(15,15)/15,IF(AND(Inputs!$B$39&lt;&gt;"pvp",Inputs!$B$44&gt;0),MIN(15,Inputs!$B$44)/(Inputs!$B$44),0))),0)))&gt;=100),MIN(100,((Inputs!$B$9+((C1320=TRUE)*(F1320-Calc!F26))+B1328+(ArtifactsInput!$M$24-ArtifactsInput!$M$24)*CHOOSE(ArtifactsInput!$N$24+1,10,12,14,16,18,20)+IF(ArtifactsInput!$M$10,CHOOSE(ArtifactsInput!$N$10+1,15,18,21,24,27,30)*(IF(Inputs!$B$39="pvp",MIN(15,15)/15,IF(AND(Inputs!$B$39&lt;&gt;"pvp",Inputs!$B$44&gt;0),MIN(15,Inputs!$B$44)/(Inputs!$B$44),0))),0)))-100),0))*CHOOSE(ArtifactsInput!$N$42+1,0.6,0.72,0.84,0.96,1.08,1.2))),Inputs!$B$18+((C1323=TRUE)*(F1323-Calc!F29))+(IF(AND(Inputs!$B$39&lt;&gt;"pvp",Inputs!$B$44=0),1,IF(IF(Inputs!$B$39="pvp",15,Inputs!$B$44)-(B1339)&lt;=0,1,MAX(0,IF(Inputs!$B$39="pvp",15,Inputs!$B$44)-MAX(5,B1339))/(IF(Inputs!$B$39="pvp",15,Inputs!$B$44)-(B1339))))*IF(AND(ArtifactsInput!$M$42,((Inputs!$B$9+((C1320=TRUE)*(F1320-Calc!F26))+B1328+(ArtifactsInput!$M$24-ArtifactsInput!$M$24)*CHOOSE(ArtifactsInput!$N$24+1,10,12,14,16,18,20)+IF(ArtifactsInput!$M$10,CHOOSE(ArtifactsInput!$N$10+1,15,18,21,24,27,30)*(IF(Inputs!$B$39="pvp",MIN(15,15)/15,IF(AND(Inputs!$B$39&lt;&gt;"pvp",Inputs!$B$44&gt;0),MIN(15,Inputs!$B$44)/(Inputs!$B$44),0))),0)))&gt;=100),CHOOSE(ArtifactsInput!$N$42+1,40,48,56,64,72,80),0))))/100)*(((1+(((C1316=TRUE)*F1316*IF(AND(Inputs!$B$39&lt;&gt;"pvp",Inputs!$B$44&gt;0),(((R1316-1)*MIN((Skills!Y22*(1+Inputs!$B$34/100)),(1/Q1316))+MIN((Skills!Y22*(1+Inputs!$B$34/100)),MAX(0,Inputs!$B$44-((R1316-1)*(1/Q1316)))))/Inputs!$B$44),IF(Inputs!$B$39="pvp",MIN((Skills!Y22*(1+Inputs!$B$34/100)),15)/15,MIN(1,(Skills!Y22*(1+Inputs!$B$34/100))/(1/Q1316)))))+((C1297=TRUE)*F1297*3)+((C1299=TRUE)*F1299*(1-EXP(-0.75*B1332*5)))+((C1318=TRUE)*(F1318-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1305=TRUE)*F1305*IF(AND(Inputs!$B$39&lt;&gt;"pvp",Inputs!$B$44&gt;0),(((R1305-1)*MIN((Skills!Y11*(1+Inputs!$B$34/100)),(1/Q1305))+MIN((Skills!Y11*(1+Inputs!$B$34/100)),MAX(0,Inputs!$B$44-((R1305-1)*(1/Q1305)))))/Inputs!$B$44),IF(Inputs!$B$39="pvp",MIN((Skills!Y11*(1+Inputs!$B$34/100)),15)/15,MIN(1,(Skills!Y11*(1+Inputs!$B$34/100))/(1/Q1305)))))/100)*(1+((C1310=TRUE)*F1310*IF(AND(Inputs!$B$39&lt;&gt;"pvp",Inputs!$B$44&gt;0),(((R1310-1)*MIN((Skills!Y16*(1+Inputs!$B$34/100)),(1/Q1310))+MIN((Skills!Y16*(1+Inputs!$B$34/100)),MAX(0,Inputs!$B$44-((R1310-1)*(1/Q1310)))))/Inputs!$B$44),IF(Inputs!$B$39="pvp",MIN((Skills!Y16*(1+Inputs!$B$34/100)),15)/15,MIN(1,(Skills!Y16*(1+Inputs!$B$34/100))/(1/Q1310)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1330*I1304)</f>
        <v/>
      </c>
      <c r="L1304">
        <f>K1304*(MIN(Inputs!$B$22+((C1319=TRUE)*(F1319-Calc!F25)),(Inputs!$B$23+((C1324=TRUE)*(F1324-Calc!F30))+IF(ArtifactsInput!$M$15,CHOOSE(ArtifactsInput!$N$15+1,25,30,35,40,45,50)/100*(Inputs!$B$11-Inputs!$B$11),0)))/100+(Inputs!$B$23+((C1324=TRUE)*(F1324-Calc!F30))+IF(ArtifactsInput!$M$15,CHOOSE(ArtifactsInput!$N$15+1,25,30,35,40,45,50)/100*(Inputs!$B$11-Inputs!$B$11),0))/100)/2</f>
        <v/>
      </c>
      <c r="M1304">
        <f>L1304*(1+(Inputs!$B$10+((C1321=TRUE)*(F1321-Calc!F27))+B1335+(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1304">
        <f>L1304*(1-MIN((Inputs!$B$9+((C1320=TRUE)*(F1320-Calc!F26))+B1328+(ArtifactsInput!$M$24-ArtifactsInput!$M$24)*CHOOSE(ArtifactsInput!$N$24+1,10,12,14,16,18,20)+(IF(AND(Inputs!$B$39&lt;&gt;"pvp",Inputs!$B$44=0),1,IF(IF(Inputs!$B$39="pvp",15,Inputs!$B$44)-(B1339)&lt;=0,1,MAX(0,IF(Inputs!$B$39="pvp",15,Inputs!$B$44)-MAX(5,B1339))/(IF(Inputs!$B$39="pvp",15,Inputs!$B$44)-(B1339))))*IF(AND(ArtifactsInput!$M$42,((Inputs!$B$9+((C1320=TRUE)*(F1320-Calc!F26))+B1328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1304*(MIN((Inputs!$B$9+((C1320=TRUE)*(F1320-Calc!F26))+B1328+(ArtifactsInput!$M$24-ArtifactsInput!$M$24)*CHOOSE(ArtifactsInput!$N$24+1,10,12,14,16,18,20)+(IF(AND(Inputs!$B$39&lt;&gt;"pvp",Inputs!$B$44=0),1,IF(IF(Inputs!$B$39="pvp",15,Inputs!$B$44)-(B1339)&lt;=0,1,MAX(0,IF(Inputs!$B$39="pvp",15,Inputs!$B$44)-MAX(5,B1339))/(IF(Inputs!$B$39="pvp",15,Inputs!$B$44)-(B1339))))*IF(AND(ArtifactsInput!$M$42,((Inputs!$B$9+((C1320=TRUE)*(F1320-Calc!F26))+B1328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304">
        <f>(1-Summary!$B$11)*T1304+Summary!$B$11*V1304</f>
        <v/>
      </c>
      <c r="P1304">
        <f>IF(B1340=0,0,O1304/B1340)</f>
        <v/>
      </c>
      <c r="Q1304" t="n">
        <v>0</v>
      </c>
      <c r="R1304" t="n">
        <v>0</v>
      </c>
      <c r="S1304" t="n">
        <v>0</v>
      </c>
      <c r="T1304">
        <f>IF(C1304,(0.2*SUMPRODUCT((Skills!Z2:Z31=TRUE)*(C1296:C1325=TRUE)*S1296:S1325)*N1304)*IF(Inputs!$B$39="pvp",1,1+(Inputs!$B$20+0+Skills!P10+B1329+(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Hunt"),CHOOSE(ArtifactsInput!$N$35+1,15,18,21,24,27,30)*(1-EXP(-(0.2*B1332)*5)),0)+IF(AND(ArtifactsInput!$M$22,Inputs!$B$4&lt;&gt;"Chapter Hunt"),CHOOSE(ArtifactsInput!$N$22+1,10,12,14,16,18,20)*((0*(((0.15*B1332*5))^0/1)+1*(((0.15*B1332*5))^1/1)+2*(((0.15*B1332*5))^2/2)+3*(((0.15*B1332*5))^3/6)+4*(((0.15*B1332*5))^4/24)+5*(((0.15*B1332*5))^5/120))/((((0.15*B1332*5))^0/1)+(((0.15*B1332*5))^1/1)+(((0.15*B1332*5))^2/2)+(((0.15*B1332*5))^3/6)+(((0.15*B1332*5))^4/24)+(((0.15*B1332*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1304*(1-MIN(100,(Inputs!$B$9+((C1320=TRUE)*(F1320-Calc!F26))+B1328+(ArtifactsInput!$M$24-ArtifactsInput!$M$24)*CHOOSE(ArtifactsInput!$N$24+1,10,12,14,16,18,20)+(IF(AND(Inputs!$B$39&lt;&gt;"pvp",Inputs!$B$44=0),1,IF(IF(Inputs!$B$39="pvp",15,Inputs!$B$44)-(B1339)&lt;=0,1,MAX(0,IF(Inputs!$B$39="pvp",15,Inputs!$B$44)-MAX(5,B1339))/(IF(Inputs!$B$39="pvp",15,Inputs!$B$44)-(B1339))))*IF(AND(ArtifactsInput!$M$42,((Inputs!$B$9+((C1320=TRUE)*(F1320-Calc!F26))+B1328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1304*(MIN(100,(Inputs!$B$9+((C1320=TRUE)*(F1320-Calc!F26))+B1328+(ArtifactsInput!$M$24-ArtifactsInput!$M$24)*CHOOSE(ArtifactsInput!$N$24+1,10,12,14,16,18,20)+(IF(AND(Inputs!$B$39&lt;&gt;"pvp",Inputs!$B$44=0),1,IF(IF(Inputs!$B$39="pvp",15,Inputs!$B$44)-(B1339)&lt;=0,1,MAX(0,IF(Inputs!$B$39="pvp",15,Inputs!$B$44)-MAX(5,B1339))/(IF(Inputs!$B$39="pvp",15,Inputs!$B$44)-(B1339))))*IF(AND(ArtifactsInput!$M$42,((Inputs!$B$9+((C1320=TRUE)*(F1320-Calc!F26))+B1328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1304*(1-MIN(100,(Inputs!$B$9+((C1320=TRUE)*(F1320-Calc!F26))+B1328+(ArtifactsInput!$M$24-ArtifactsInput!$M$24)*CHOOSE(ArtifactsInput!$N$24+1,10,12,14,16,18,20)+(IF(AND(Inputs!$B$39&lt;&gt;"pvp",Inputs!$B$44=0),1,IF(IF(Inputs!$B$39="pvp",15,Inputs!$B$44)-(B1339)&lt;=0,1,MAX(0,IF(Inputs!$B$39="pvp",15,Inputs!$B$44)-MAX(5,B1339))/(IF(Inputs!$B$39="pvp",15,Inputs!$B$44)-(B1339))))*IF(AND(ArtifactsInput!$M$42,((Inputs!$B$9+((C1320=TRUE)*(F1320-Calc!F26))+B1328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1304*(MIN(100,(Inputs!$B$9+((C1320=TRUE)*(F1320-Calc!F26))+B1328+(ArtifactsInput!$M$24-ArtifactsInput!$M$24)*CHOOSE(ArtifactsInput!$N$24+1,10,12,14,16,18,20)+(IF(AND(Inputs!$B$39&lt;&gt;"pvp",Inputs!$B$44=0),1,IF(IF(Inputs!$B$39="pvp",15,Inputs!$B$44)-(B1339)&lt;=0,1,MAX(0,IF(Inputs!$B$39="pvp",15,Inputs!$B$44)-MAX(5,B1339))/(IF(Inputs!$B$39="pvp",15,Inputs!$B$44)-(B1339))))*IF(AND(ArtifactsInput!$M$42,((Inputs!$B$9+((C1320=TRUE)*(F1320-Calc!F26))+B1328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1304">
        <f>IF(C1304,(0.2*SUMPRODUCT((Skills!Z2:Z31=TRUE)*(C1296:C1325=TRUE)*S1296:S1325)*N1304)*IF(Inputs!$B$39="pvp",1,(1+(Inputs!$B$21+Skills!Q10+B1329+(IF(ArtifactsInput!$M$33,CHOOSE(ArtifactsInput!$N$33+1,30,36,42,48,54,60),0))+(IF(AND(ArtifactsInput!$M$35,Inputs!$B$4&lt;&gt;"Chapter Hunt"),CHOOSE(ArtifactsInput!$N$35+1,15,18,21,24,27,30)*(1-EXP(-(0.2*B1332)*5)),0)+IF(AND(ArtifactsInput!$M$22,Inputs!$B$4&lt;&gt;"Chapter Hunt"),CHOOSE(ArtifactsInput!$N$22+1,10,12,14,16,18,20)*((0*(((0.15*B1332*5))^0/1)+1*(((0.15*B1332*5))^1/1)+2*(((0.15*B1332*5))^2/2)+3*(((0.15*B1332*5))^3/6)+4*(((0.15*B1332*5))^4/24)+5*(((0.15*B1332*5))^5/120))/((((0.15*B1332*5))^0/1)+(((0.15*B1332*5))^1/1)+(((0.15*B1332*5))^2/2)+(((0.15*B1332*5))^3/6)+(((0.15*B1332*5))^4/24)+(((0.15*B1332*5))^5/120))),0)))/100)*(MIN(Skills!W10,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305">
      <c r="A1305">
        <f>Skills!A11</f>
        <v/>
      </c>
      <c r="B1305">
        <f>Skills!B11</f>
        <v/>
      </c>
      <c r="C1305">
        <f>Inputs!$B$3&gt;=74</f>
        <v/>
      </c>
      <c r="D1305">
        <f>IF(Skills!C11=1,60+Inputs!$B$25+Inputs!$B$29,IF(Skills!C11=2,90+Inputs!$B$26+Inputs!$B$29,IF(Skills!C11=3,120+Inputs!$B$27+Inputs!$B$29,MAX(0,(Inputs!$B$3-100)*3)+Inputs!$B$28+Inputs!$B$29)))</f>
        <v/>
      </c>
      <c r="E1305">
        <f>INDEX(FactorTable!$B$2:$Y$301, MATCH(ROUND(MIN(300,MAX(1,D1305)),0), FactorTable!$A$2:$A$301,0), Skills!M11+1)</f>
        <v/>
      </c>
      <c r="F1305">
        <f>IF(Skills!N11=TRUE,(Skills!L11/10)*(E1305/1000),Skills!L11/10)+Skills!O11</f>
        <v/>
      </c>
      <c r="G1305">
        <f>Skills!G11*IF(Skills!H11&gt;0,IF(Inputs!$B$39="pvp",MIN(Skills!I11,15),Skills!I11)/Skills!H11,1)</f>
        <v/>
      </c>
      <c r="H1305">
        <f>1-(1-Skills!J11/100)^Skills!K11</f>
        <v/>
      </c>
      <c r="I1305" t="inlineStr">
        <is>
          <t>1</t>
        </is>
      </c>
      <c r="J1305" t="inlineStr"/>
      <c r="K1305" t="inlineStr"/>
      <c r="L1305" t="inlineStr"/>
      <c r="M1305" t="inlineStr"/>
      <c r="N1305" t="inlineStr"/>
      <c r="O1305">
        <f>(1-Summary!$B$11)*T1305+Summary!$B$11*V1305</f>
        <v/>
      </c>
      <c r="P1305">
        <f>IF(B1340=0,0,O1305/B1340)</f>
        <v/>
      </c>
      <c r="Q1305">
        <f>IFERROR(1/IF(Inputs!$B$39="pvp",15,MAX(0.1,Skills!D11-IF(TRUE=TRUE,Inputs!$B$32,0))),0)</f>
        <v/>
      </c>
      <c r="R1305">
        <f>IF(AND(Inputs!$B$39&lt;&gt;"pvp",Inputs!$B$44&gt;0),IF(Inputs!$B$44&lt;=0,0,(INT(Inputs!$B$44/IF(Inputs!$B$39="pvp",15,MAX(0.1,Skills!D11-IF(TRUE=TRUE,Inputs!$B$32,0))))+1)),0)</f>
        <v/>
      </c>
      <c r="S1305">
        <f>IFERROR(O1305/N1305,0)</f>
        <v/>
      </c>
      <c r="T1305" t="n">
        <v>0</v>
      </c>
      <c r="V1305" t="n">
        <v>0</v>
      </c>
    </row>
    <row r="1306">
      <c r="A1306">
        <f>Skills!A12</f>
        <v/>
      </c>
      <c r="B1306">
        <f>Skills!B12</f>
        <v/>
      </c>
      <c r="C1306">
        <f>Inputs!$B$3&gt;=103</f>
        <v/>
      </c>
      <c r="D1306">
        <f>IF(Skills!C12=1,60+Inputs!$B$25+Inputs!$B$29,IF(Skills!C12=2,90+Inputs!$B$26+Inputs!$B$29,IF(Skills!C12=3,120+Inputs!$B$27+Inputs!$B$29,MAX(0,(Inputs!$B$3-100)*3)+Inputs!$B$28+Inputs!$B$29)))</f>
        <v/>
      </c>
      <c r="E1306">
        <f>INDEX(FactorTable!$B$2:$Y$301, MATCH(ROUND(MIN(300,MAX(1,D1306)),0), FactorTable!$A$2:$A$301,0), Skills!M12+1)</f>
        <v/>
      </c>
      <c r="F1306">
        <f>(Skills!L12/10)*(E1306/1000)+IF(Inputs!$B$3&gt;=134,50,0)+0.5*(30000/10)*(INDEX(FactorTable!$B$2:$Y$301, MATCH(ROUND(MIN(300,MAX(1,D1306)),0), FactorTable!$A$2:$A$301,0), 13)/1000)*B1338</f>
        <v/>
      </c>
      <c r="G1306">
        <f>Skills!G12*IF(Skills!H12&gt;0,IF(Inputs!$B$39="pvp",MIN(Skills!I12,15),Skills!I12)/Skills!H12,1)</f>
        <v/>
      </c>
      <c r="H1306">
        <f>1-(1-Skills!J12/100)^Skills!K12</f>
        <v/>
      </c>
      <c r="I1306" t="inlineStr">
        <is>
          <t>1</t>
        </is>
      </c>
      <c r="J1306">
        <f>((Inputs!$B$6*(1+Inputs!$B$7/100))+(((Inputs!$B$12*(1+Inputs!$B$13/100))-(Inputs!$B$12*(1+Inputs!$B$13/100)))+0.25*(Inputs!$B$14-Inputs!$B$14))*(1+Inputs!$B$7/100))*(F1306/100)</f>
        <v/>
      </c>
      <c r="K1306">
        <f>J1306*(1+((Inputs!$B$12*(1+Inputs!$B$13/100))*0.01+Inputs!$B$14*0.0025)/100)*(1+Inputs!$B$15/100)*(1+Inputs!$B$16/100)*(5000/(6000+Inputs!$B$43*(1-(100*(1-(1-Inputs!$B$19/100)*(1-CHOOSE(ArtifactsInput!$N$40+1,5,6,7,8,9,10)/100)^(ArtifactsInput!$M$40-ArtifactsInput!$M$40)))/100)))*(1+(Inputs!$B$24+((C1325=TRUE)*(F1325-Calc!F31))+((C1312=TRUE)*(F1312-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12="CRUEL_STAB",Inputs!$B$17+((C1322=TRUE)*(F1322-Calc!F28))+((IF(AND(Inputs!$B$39&lt;&gt;"pvp",Inputs!$B$44=0),1,IF(IF(Inputs!$B$39="pvp",15,Inputs!$B$44)-(B1339)&lt;=0,1,MAX(0,IF(Inputs!$B$39="pvp",15,Inputs!$B$44)-MAX(5,B1339))/(IF(Inputs!$B$39="pvp",15,Inputs!$B$44)-(B1339))))*(IF(AND(ArtifactsInput!$M$42,((Inputs!$B$9+((C1320=TRUE)*(F1320-Calc!F26))+B1328+(ArtifactsInput!$M$24-ArtifactsInput!$M$24)*CHOOSE(ArtifactsInput!$N$24+1,10,12,14,16,18,20)+IF(ArtifactsInput!$M$10,CHOOSE(ArtifactsInput!$N$10+1,15,18,21,24,27,30)*(IF(Inputs!$B$39="pvp",MIN(15,15)/15,IF(AND(Inputs!$B$39&lt;&gt;"pvp",Inputs!$B$44&gt;0),MIN(15,Inputs!$B$44)/(Inputs!$B$44),0))),0)))&gt;=100),MIN(100,((Inputs!$B$9+((C1320=TRUE)*(F1320-Calc!F26))+B1328+(ArtifactsInput!$M$24-ArtifactsInput!$M$24)*CHOOSE(ArtifactsInput!$N$24+1,10,12,14,16,18,20)+IF(ArtifactsInput!$M$10,CHOOSE(ArtifactsInput!$N$10+1,15,18,21,24,27,30)*(IF(Inputs!$B$39="pvp",MIN(15,15)/15,IF(AND(Inputs!$B$39&lt;&gt;"pvp",Inputs!$B$44&gt;0),MIN(15,Inputs!$B$44)/(Inputs!$B$44),0))),0)))-100),0))*CHOOSE(ArtifactsInput!$N$42+1,0.6,0.72,0.84,0.96,1.08,1.2))),Inputs!$B$18+((C1323=TRUE)*(F1323-Calc!F29))+(IF(AND(Inputs!$B$39&lt;&gt;"pvp",Inputs!$B$44=0),1,IF(IF(Inputs!$B$39="pvp",15,Inputs!$B$44)-(B1339)&lt;=0,1,MAX(0,IF(Inputs!$B$39="pvp",15,Inputs!$B$44)-MAX(5,B1339))/(IF(Inputs!$B$39="pvp",15,Inputs!$B$44)-(B1339))))*IF(AND(ArtifactsInput!$M$42,((Inputs!$B$9+((C1320=TRUE)*(F1320-Calc!F26))+B1328+(ArtifactsInput!$M$24-ArtifactsInput!$M$24)*CHOOSE(ArtifactsInput!$N$24+1,10,12,14,16,18,20)+IF(ArtifactsInput!$M$10,CHOOSE(ArtifactsInput!$N$10+1,15,18,21,24,27,30)*(IF(Inputs!$B$39="pvp",MIN(15,15)/15,IF(AND(Inputs!$B$39&lt;&gt;"pvp",Inputs!$B$44&gt;0),MIN(15,Inputs!$B$44)/(Inputs!$B$44),0))),0)))&gt;=100),CHOOSE(ArtifactsInput!$N$42+1,40,48,56,64,72,80),0))))/100)*(((1+(((C1316=TRUE)*F1316*IF(AND(Inputs!$B$39&lt;&gt;"pvp",Inputs!$B$44&gt;0),(((R1316-1)*MIN((Skills!Y22*(1+Inputs!$B$34/100)),(1/Q1316))+MIN((Skills!Y22*(1+Inputs!$B$34/100)),MAX(0,Inputs!$B$44-((R1316-1)*(1/Q1316)))))/Inputs!$B$44),IF(Inputs!$B$39="pvp",MIN((Skills!Y22*(1+Inputs!$B$34/100)),15)/15,MIN(1,(Skills!Y22*(1+Inputs!$B$34/100))/(1/Q1316)))))+((C1297=TRUE)*F1297*3)+((C1299=TRUE)*F1299*(1-EXP(-0.75*B1332*5)))+((C1318=TRUE)*(F1318-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1305=TRUE)*F1305*IF(AND(Inputs!$B$39&lt;&gt;"pvp",Inputs!$B$44&gt;0),(((R1305-1)*MIN((Skills!Y11*(1+Inputs!$B$34/100)),(1/Q1305))+MIN((Skills!Y11*(1+Inputs!$B$34/100)),MAX(0,Inputs!$B$44-((R1305-1)*(1/Q1305)))))/Inputs!$B$44),IF(Inputs!$B$39="pvp",MIN((Skills!Y11*(1+Inputs!$B$34/100)),15)/15,MIN(1,(Skills!Y11*(1+Inputs!$B$34/100))/(1/Q1305)))))/100)*(1+((C1310=TRUE)*F1310*IF(AND(Inputs!$B$39&lt;&gt;"pvp",Inputs!$B$44&gt;0),(((R1310-1)*MIN((Skills!Y16*(1+Inputs!$B$34/100)),(1/Q1310))+MIN((Skills!Y16*(1+Inputs!$B$34/100)),MAX(0,Inputs!$B$44-((R1310-1)*(1/Q1310)))))/Inputs!$B$44),IF(Inputs!$B$39="pvp",MIN((Skills!Y16*(1+Inputs!$B$34/100)),15)/15,MIN(1,(Skills!Y16*(1+Inputs!$B$34/100))/(1/Q1310)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1330*I1306)</f>
        <v/>
      </c>
      <c r="L1306">
        <f>K1306*(MIN(Inputs!$B$22+((C1319=TRUE)*(F1319-Calc!F25)),(Inputs!$B$23+((C1324=TRUE)*(F1324-Calc!F30))+IF(ArtifactsInput!$M$15,CHOOSE(ArtifactsInput!$N$15+1,25,30,35,40,45,50)/100*(Inputs!$B$11-Inputs!$B$11),0)))/100+(Inputs!$B$23+((C1324=TRUE)*(F1324-Calc!F30))+IF(ArtifactsInput!$M$15,CHOOSE(ArtifactsInput!$N$15+1,25,30,35,40,45,50)/100*(Inputs!$B$11-Inputs!$B$11),0))/100)/2</f>
        <v/>
      </c>
      <c r="M1306">
        <f>L1306*(1+(Inputs!$B$10+((C1321=TRUE)*(F1321-Calc!F27))+B1335+(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1306">
        <f>L1306*(1-MIN((Inputs!$B$9+((C1320=TRUE)*(F1320-Calc!F26))+B1328+(ArtifactsInput!$M$24-ArtifactsInput!$M$24)*CHOOSE(ArtifactsInput!$N$24+1,10,12,14,16,18,20)+(IF(AND(Inputs!$B$39&lt;&gt;"pvp",Inputs!$B$44=0),1,IF(IF(Inputs!$B$39="pvp",15,Inputs!$B$44)-(B1339)&lt;=0,1,MAX(0,IF(Inputs!$B$39="pvp",15,Inputs!$B$44)-MAX(5,B1339))/(IF(Inputs!$B$39="pvp",15,Inputs!$B$44)-(B1339))))*IF(AND(ArtifactsInput!$M$42,((Inputs!$B$9+((C1320=TRUE)*(F1320-Calc!F26))+B1328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1306*(MIN((Inputs!$B$9+((C1320=TRUE)*(F1320-Calc!F26))+B1328+(ArtifactsInput!$M$24-ArtifactsInput!$M$24)*CHOOSE(ArtifactsInput!$N$24+1,10,12,14,16,18,20)+(IF(AND(Inputs!$B$39&lt;&gt;"pvp",Inputs!$B$44=0),1,IF(IF(Inputs!$B$39="pvp",15,Inputs!$B$44)-(B1339)&lt;=0,1,MAX(0,IF(Inputs!$B$39="pvp",15,Inputs!$B$44)-MAX(5,B1339))/(IF(Inputs!$B$39="pvp",15,Inputs!$B$44)-(B1339))))*IF(AND(ArtifactsInput!$M$42,((Inputs!$B$9+((C1320=TRUE)*(F1320-Calc!F26))+B1328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306">
        <f>(1-Summary!$B$11)*T1306+Summary!$B$11*V1306</f>
        <v/>
      </c>
      <c r="P1306">
        <f>IF(B1340=0,0,O1306/B1340)</f>
        <v/>
      </c>
      <c r="Q1306">
        <f>IFERROR(1/IF(Inputs!$B$39="pvp",15,MAX(0.1,Skills!D12-IF(TRUE=TRUE,Inputs!$B$32,0))),0)</f>
        <v/>
      </c>
      <c r="R1306">
        <f>IF(AND(Inputs!$B$39&lt;&gt;"pvp",Inputs!$B$44&gt;0),IF(MAX(0,Inputs!$B$44-B1339)&lt;=0,0,(INT(MAX(0,Inputs!$B$44-B1339)/IF(Inputs!$B$39="pvp",15,MAX(0.1,Skills!D12-IF(TRUE=TRUE,Inputs!$B$32,0))))+1)),0)</f>
        <v/>
      </c>
      <c r="S1306">
        <f>IFERROR(O1306/N1306,0)</f>
        <v/>
      </c>
      <c r="T1306">
        <f>IF(C1306,(H1306*N1306*IF(AND(Inputs!$B$39&lt;&gt;"pvp",Inputs!$B$44&gt;0),((Skills!G12*((R1306-1)*IF(Skills!H12&gt;0,Skills!I12/Skills!H12,1)+IF(Skills!H12&gt;0,MIN(Skills!I12,MAX(0,MAX(0,Inputs!$B$44-B1339)-((R1306-1)*IF(Inputs!$B$39="pvp",15,MAX(0.1,Skills!D12-IF(TRUE=TRUE,Inputs!$B$32,0))))))/Skills!H12,1)))/Inputs!$B$44),G1306*Q1306))*IF(Inputs!$B$39="pvp",1,1+(Inputs!$B$20+0+Skills!P12+B1329+(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Hunt"),CHOOSE(ArtifactsInput!$N$35+1,15,18,21,24,27,30)*(1-EXP(-(0.2*B1332)*5)),0)+IF(AND(ArtifactsInput!$M$22,Inputs!$B$4&lt;&gt;"Chapter Hunt"),CHOOSE(ArtifactsInput!$N$22+1,10,12,14,16,18,20)*((0*(((0.15*B1332*5))^0/1)+1*(((0.15*B1332*5))^1/1)+2*(((0.15*B1332*5))^2/2)+3*(((0.15*B1332*5))^3/6)+4*(((0.15*B1332*5))^4/24)+5*(((0.15*B1332*5))^5/120))/((((0.15*B1332*5))^0/1)+(((0.15*B1332*5))^1/1)+(((0.15*B1332*5))^2/2)+(((0.15*B1332*5))^3/6)+(((0.15*B1332*5))^4/24)+(((0.15*B1332*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1306*(1-MIN(100,(Inputs!$B$9+((C1320=TRUE)*(F1320-Calc!F26))+B1328+(ArtifactsInput!$M$24-ArtifactsInput!$M$24)*CHOOSE(ArtifactsInput!$N$24+1,10,12,14,16,18,20)+(IF(AND(Inputs!$B$39&lt;&gt;"pvp",Inputs!$B$44=0),1,IF(IF(Inputs!$B$39="pvp",15,Inputs!$B$44)-(B1339)&lt;=0,1,MAX(0,IF(Inputs!$B$39="pvp",15,Inputs!$B$44)-MAX(5,B1339))/(IF(Inputs!$B$39="pvp",15,Inputs!$B$44)-(B1339))))*IF(AND(ArtifactsInput!$M$42,((Inputs!$B$9+((C1320=TRUE)*(F1320-Calc!F26))+B1328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1306*(MIN(100,(Inputs!$B$9+((C1320=TRUE)*(F1320-Calc!F26))+B1328+(ArtifactsInput!$M$24-ArtifactsInput!$M$24)*CHOOSE(ArtifactsInput!$N$24+1,10,12,14,16,18,20)+(IF(AND(Inputs!$B$39&lt;&gt;"pvp",Inputs!$B$44=0),1,IF(IF(Inputs!$B$39="pvp",15,Inputs!$B$44)-(B1339)&lt;=0,1,MAX(0,IF(Inputs!$B$39="pvp",15,Inputs!$B$44)-MAX(5,B1339))/(IF(Inputs!$B$39="pvp",15,Inputs!$B$44)-(B1339))))*IF(AND(ArtifactsInput!$M$42,((Inputs!$B$9+((C1320=TRUE)*(F1320-Calc!F26))+B1328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1306*(1-MIN(100,(Inputs!$B$9+((C1320=TRUE)*(F1320-Calc!F26))+B1328+(ArtifactsInput!$M$24-ArtifactsInput!$M$24)*CHOOSE(ArtifactsInput!$N$24+1,10,12,14,16,18,20)+(IF(AND(Inputs!$B$39&lt;&gt;"pvp",Inputs!$B$44=0),1,IF(IF(Inputs!$B$39="pvp",15,Inputs!$B$44)-(B1339)&lt;=0,1,MAX(0,IF(Inputs!$B$39="pvp",15,Inputs!$B$44)-MAX(5,B1339))/(IF(Inputs!$B$39="pvp",15,Inputs!$B$44)-(B1339))))*IF(AND(ArtifactsInput!$M$42,((Inputs!$B$9+((C1320=TRUE)*(F1320-Calc!F26))+B1328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1306*(MIN(100,(Inputs!$B$9+((C1320=TRUE)*(F1320-Calc!F26))+B1328+(ArtifactsInput!$M$24-ArtifactsInput!$M$24)*CHOOSE(ArtifactsInput!$N$24+1,10,12,14,16,18,20)+(IF(AND(Inputs!$B$39&lt;&gt;"pvp",Inputs!$B$44=0),1,IF(IF(Inputs!$B$39="pvp",15,Inputs!$B$44)-(B1339)&lt;=0,1,MAX(0,IF(Inputs!$B$39="pvp",15,Inputs!$B$44)-MAX(5,B1339))/(IF(Inputs!$B$39="pvp",15,Inputs!$B$44)-(B1339))))*IF(AND(ArtifactsInput!$M$42,((Inputs!$B$9+((C1320=TRUE)*(F1320-Calc!F26))+B1328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1306">
        <f>IF(C1306,(H1306*N1306*IF(AND(Inputs!$B$39&lt;&gt;"pvp",Inputs!$B$44&gt;0),((Skills!G12*((R1306-1)*IF(Skills!H12&gt;0,Skills!I12/Skills!H12,1)+IF(Skills!H12&gt;0,MIN(Skills!I12,MAX(0,MAX(0,Inputs!$B$44-B1339)-((R1306-1)*IF(Inputs!$B$39="pvp",15,MAX(0.1,Skills!D12-IF(TRUE=TRUE,Inputs!$B$32,0))))))/Skills!H12,1)))/Inputs!$B$44),G1306*Q1306))*IF(Inputs!$B$39="pvp",1,(1+(Inputs!$B$21+Skills!Q12+B1329+(IF(ArtifactsInput!$M$33,CHOOSE(ArtifactsInput!$N$33+1,30,36,42,48,54,60),0))+(IF(AND(ArtifactsInput!$M$35,Inputs!$B$4&lt;&gt;"Chapter Hunt"),CHOOSE(ArtifactsInput!$N$35+1,15,18,21,24,27,30)*(1-EXP(-(0.2*B1332)*5)),0)+IF(AND(ArtifactsInput!$M$22,Inputs!$B$4&lt;&gt;"Chapter Hunt"),CHOOSE(ArtifactsInput!$N$22+1,10,12,14,16,18,20)*((0*(((0.15*B1332*5))^0/1)+1*(((0.15*B1332*5))^1/1)+2*(((0.15*B1332*5))^2/2)+3*(((0.15*B1332*5))^3/6)+4*(((0.15*B1332*5))^4/24)+5*(((0.15*B1332*5))^5/120))/((((0.15*B1332*5))^0/1)+(((0.15*B1332*5))^1/1)+(((0.15*B1332*5))^2/2)+(((0.15*B1332*5))^3/6)+(((0.15*B1332*5))^4/24)+(((0.15*B1332*5))^5/120))),0)))/100)*(MIN(Skills!W12,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307">
      <c r="A1307">
        <f>Skills!A13</f>
        <v/>
      </c>
      <c r="B1307">
        <f>Skills!B13</f>
        <v/>
      </c>
      <c r="C1307">
        <f>Inputs!$B$3&gt;=105</f>
        <v/>
      </c>
      <c r="D1307">
        <f>IF(Skills!C13=1,60+Inputs!$B$25+Inputs!$B$29,IF(Skills!C13=2,90+Inputs!$B$26+Inputs!$B$29,IF(Skills!C13=3,120+Inputs!$B$27+Inputs!$B$29,MAX(0,(Inputs!$B$3-100)*3)+Inputs!$B$28+Inputs!$B$29)))</f>
        <v/>
      </c>
      <c r="E1307">
        <f>INDEX(FactorTable!$B$2:$Y$301, MATCH(ROUND(MIN(300,MAX(1,D1307)),0), FactorTable!$A$2:$A$301,0), Skills!M13+1)</f>
        <v/>
      </c>
      <c r="F1307">
        <f>IF(Skills!N13=TRUE,(Skills!L13/10)*(E1307/1000),Skills!L13/10)+Skills!O13</f>
        <v/>
      </c>
      <c r="G1307">
        <f>Skills!G13*IF(Skills!H13&gt;0,IF(Inputs!$B$39="pvp",MIN(Skills!I13,15),Skills!I13)/Skills!H13,1)</f>
        <v/>
      </c>
      <c r="H1307">
        <f>1-(1-Skills!J13/100)^Skills!K13</f>
        <v/>
      </c>
      <c r="I1307" t="inlineStr">
        <is>
          <t>1</t>
        </is>
      </c>
      <c r="J1307">
        <f>((Inputs!$B$6*(1+Inputs!$B$7/100))+(((Inputs!$B$12*(1+Inputs!$B$13/100))-(Inputs!$B$12*(1+Inputs!$B$13/100)))+0.25*(Inputs!$B$14-Inputs!$B$14))*(1+Inputs!$B$7/100))*(F1307/100)</f>
        <v/>
      </c>
      <c r="K1307">
        <f>J1307*(1+((Inputs!$B$12*(1+Inputs!$B$13/100))*0.01+Inputs!$B$14*0.0025)/100)*(1+Inputs!$B$15/100)*(1+Inputs!$B$16/100)*(5000/(6000+Inputs!$B$43*(1-(100*(1-(1-Inputs!$B$19/100)*(1-CHOOSE(ArtifactsInput!$N$40+1,5,6,7,8,9,10)/100)^(ArtifactsInput!$M$40-ArtifactsInput!$M$40)))/100)))*(1+(Inputs!$B$24+((C1325=TRUE)*(F1325-Calc!F31))+((C1312=TRUE)*(F1312-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13="CRUEL_STAB",Inputs!$B$17+((C1322=TRUE)*(F1322-Calc!F28))+((IF(AND(Inputs!$B$39&lt;&gt;"pvp",Inputs!$B$44=0),1,IF(IF(Inputs!$B$39="pvp",15,Inputs!$B$44)-(B1339)&lt;=0,1,MAX(0,IF(Inputs!$B$39="pvp",15,Inputs!$B$44)-MAX(5,B1339))/(IF(Inputs!$B$39="pvp",15,Inputs!$B$44)-(B1339))))*(IF(AND(ArtifactsInput!$M$42,((Inputs!$B$9+((C1320=TRUE)*(F1320-Calc!F26))+B1328+(ArtifactsInput!$M$24-ArtifactsInput!$M$24)*CHOOSE(ArtifactsInput!$N$24+1,10,12,14,16,18,20)+IF(ArtifactsInput!$M$10,CHOOSE(ArtifactsInput!$N$10+1,15,18,21,24,27,30)*(IF(Inputs!$B$39="pvp",MIN(15,15)/15,IF(AND(Inputs!$B$39&lt;&gt;"pvp",Inputs!$B$44&gt;0),MIN(15,Inputs!$B$44)/(Inputs!$B$44),0))),0)))&gt;=100),MIN(100,((Inputs!$B$9+((C1320=TRUE)*(F1320-Calc!F26))+B1328+(ArtifactsInput!$M$24-ArtifactsInput!$M$24)*CHOOSE(ArtifactsInput!$N$24+1,10,12,14,16,18,20)+IF(ArtifactsInput!$M$10,CHOOSE(ArtifactsInput!$N$10+1,15,18,21,24,27,30)*(IF(Inputs!$B$39="pvp",MIN(15,15)/15,IF(AND(Inputs!$B$39&lt;&gt;"pvp",Inputs!$B$44&gt;0),MIN(15,Inputs!$B$44)/(Inputs!$B$44),0))),0)))-100),0))*CHOOSE(ArtifactsInput!$N$42+1,0.6,0.72,0.84,0.96,1.08,1.2))),Inputs!$B$18+((C1323=TRUE)*(F1323-Calc!F29))+(IF(AND(Inputs!$B$39&lt;&gt;"pvp",Inputs!$B$44=0),1,IF(IF(Inputs!$B$39="pvp",15,Inputs!$B$44)-(B1339)&lt;=0,1,MAX(0,IF(Inputs!$B$39="pvp",15,Inputs!$B$44)-MAX(5,B1339))/(IF(Inputs!$B$39="pvp",15,Inputs!$B$44)-(B1339))))*IF(AND(ArtifactsInput!$M$42,((Inputs!$B$9+((C1320=TRUE)*(F1320-Calc!F26))+B1328+(ArtifactsInput!$M$24-ArtifactsInput!$M$24)*CHOOSE(ArtifactsInput!$N$24+1,10,12,14,16,18,20)+IF(ArtifactsInput!$M$10,CHOOSE(ArtifactsInput!$N$10+1,15,18,21,24,27,30)*(IF(Inputs!$B$39="pvp",MIN(15,15)/15,IF(AND(Inputs!$B$39&lt;&gt;"pvp",Inputs!$B$44&gt;0),MIN(15,Inputs!$B$44)/(Inputs!$B$44),0))),0)))&gt;=100),CHOOSE(ArtifactsInput!$N$42+1,40,48,56,64,72,80),0))))/100)*(((1+(((C1316=TRUE)*F1316*IF(AND(Inputs!$B$39&lt;&gt;"pvp",Inputs!$B$44&gt;0),(((R1316-1)*MIN((Skills!Y22*(1+Inputs!$B$34/100)),(1/Q1316))+MIN((Skills!Y22*(1+Inputs!$B$34/100)),MAX(0,Inputs!$B$44-((R1316-1)*(1/Q1316)))))/Inputs!$B$44),IF(Inputs!$B$39="pvp",MIN((Skills!Y22*(1+Inputs!$B$34/100)),15)/15,MIN(1,(Skills!Y22*(1+Inputs!$B$34/100))/(1/Q1316)))))+((C1297=TRUE)*F1297*3)+((C1299=TRUE)*F1299*(1-EXP(-0.75*B1332*5)))+((C1318=TRUE)*(F1318-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1305=TRUE)*F1305*IF(AND(Inputs!$B$39&lt;&gt;"pvp",Inputs!$B$44&gt;0),(((R1305-1)*MIN((Skills!Y11*(1+Inputs!$B$34/100)),(1/Q1305))+MIN((Skills!Y11*(1+Inputs!$B$34/100)),MAX(0,Inputs!$B$44-((R1305-1)*(1/Q1305)))))/Inputs!$B$44),IF(Inputs!$B$39="pvp",MIN((Skills!Y11*(1+Inputs!$B$34/100)),15)/15,MIN(1,(Skills!Y11*(1+Inputs!$B$34/100))/(1/Q1305)))))/100)*(1+((C1310=TRUE)*F1310*IF(AND(Inputs!$B$39&lt;&gt;"pvp",Inputs!$B$44&gt;0),(((R1310-1)*MIN((Skills!Y16*(1+Inputs!$B$34/100)),(1/Q1310))+MIN((Skills!Y16*(1+Inputs!$B$34/100)),MAX(0,Inputs!$B$44-((R1310-1)*(1/Q1310)))))/Inputs!$B$44),IF(Inputs!$B$39="pvp",MIN((Skills!Y16*(1+Inputs!$B$34/100)),15)/15,MIN(1,(Skills!Y16*(1+Inputs!$B$34/100))/(1/Q1310)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1330*I1307)</f>
        <v/>
      </c>
      <c r="L1307">
        <f>K1307*(MIN(Inputs!$B$22+((C1319=TRUE)*(F1319-Calc!F25)),(Inputs!$B$23+((C1324=TRUE)*(F1324-Calc!F30))+IF(ArtifactsInput!$M$15,CHOOSE(ArtifactsInput!$N$15+1,25,30,35,40,45,50)/100*(Inputs!$B$11-Inputs!$B$11),0)))/100+(Inputs!$B$23+((C1324=TRUE)*(F1324-Calc!F30))+IF(ArtifactsInput!$M$15,CHOOSE(ArtifactsInput!$N$15+1,25,30,35,40,45,50)/100*(Inputs!$B$11-Inputs!$B$11),0))/100)/2</f>
        <v/>
      </c>
      <c r="M1307">
        <f>L1307*(1+(Inputs!$B$10+((C1321=TRUE)*(F1321-Calc!F27))+B1335+(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1307">
        <f>L1307*(1-MIN((Inputs!$B$9+((C1320=TRUE)*(F1320-Calc!F26))+B1328+(ArtifactsInput!$M$24-ArtifactsInput!$M$24)*CHOOSE(ArtifactsInput!$N$24+1,10,12,14,16,18,20)+(IF(AND(Inputs!$B$39&lt;&gt;"pvp",Inputs!$B$44=0),1,IF(IF(Inputs!$B$39="pvp",15,Inputs!$B$44)-(B1339)&lt;=0,1,MAX(0,IF(Inputs!$B$39="pvp",15,Inputs!$B$44)-MAX(5,B1339))/(IF(Inputs!$B$39="pvp",15,Inputs!$B$44)-(B1339))))*IF(AND(ArtifactsInput!$M$42,((Inputs!$B$9+((C1320=TRUE)*(F1320-Calc!F26))+B1328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1307*(MIN((Inputs!$B$9+((C1320=TRUE)*(F1320-Calc!F26))+B1328+(ArtifactsInput!$M$24-ArtifactsInput!$M$24)*CHOOSE(ArtifactsInput!$N$24+1,10,12,14,16,18,20)+(IF(AND(Inputs!$B$39&lt;&gt;"pvp",Inputs!$B$44=0),1,IF(IF(Inputs!$B$39="pvp",15,Inputs!$B$44)-(B1339)&lt;=0,1,MAX(0,IF(Inputs!$B$39="pvp",15,Inputs!$B$44)-MAX(5,B1339))/(IF(Inputs!$B$39="pvp",15,Inputs!$B$44)-(B1339))))*IF(AND(ArtifactsInput!$M$42,((Inputs!$B$9+((C1320=TRUE)*(F1320-Calc!F26))+B1328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307">
        <f>(1-Summary!$B$11)*T1307+Summary!$B$11*V1307</f>
        <v/>
      </c>
      <c r="P1307">
        <f>IF(B1340=0,0,O1307/B1340)</f>
        <v/>
      </c>
      <c r="Q1307">
        <f>IFERROR(1/IF(Inputs!$B$39="pvp",15,MAX(0.1,Skills!D13-IF(TRUE=TRUE,Inputs!$B$32,0))),0)</f>
        <v/>
      </c>
      <c r="R1307">
        <f>IF(AND(Inputs!$B$39&lt;&gt;"pvp",Inputs!$B$44&gt;0),IF(MAX(0,Inputs!$B$44-B1339)&lt;=0,0,(INT(MAX(0,Inputs!$B$44-B1339)/IF(Inputs!$B$39="pvp",15,MAX(0.1,Skills!D13-IF(TRUE=TRUE,Inputs!$B$32,0))))+1)),0)</f>
        <v/>
      </c>
      <c r="S1307">
        <f>IFERROR(O1307/N1307,0)</f>
        <v/>
      </c>
      <c r="T1307">
        <f>IF(C1307,(H1307*N1307*IF(AND(Inputs!$B$39&lt;&gt;"pvp",Inputs!$B$44&gt;0),((Skills!G13*((R1307-1)*IF(Skills!H13&gt;0,Skills!I13/Skills!H13,1)+IF(Skills!H13&gt;0,MIN(Skills!I13,MAX(0,MAX(0,Inputs!$B$44-B1339)-((R1307-1)*IF(Inputs!$B$39="pvp",15,MAX(0.1,Skills!D13-IF(TRUE=TRUE,Inputs!$B$32,0))))))/Skills!H13,1)))/Inputs!$B$44),G1307*Q1307))*IF(Inputs!$B$39="pvp",1,1+(Inputs!$B$20+0+Skills!P13+B1329+(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Hunt"),CHOOSE(ArtifactsInput!$N$35+1,15,18,21,24,27,30)*(1-EXP(-(0.2*B1332)*5)),0)+IF(AND(ArtifactsInput!$M$22,Inputs!$B$4&lt;&gt;"Chapter Hunt"),CHOOSE(ArtifactsInput!$N$22+1,10,12,14,16,18,20)*((0*(((0.15*B1332*5))^0/1)+1*(((0.15*B1332*5))^1/1)+2*(((0.15*B1332*5))^2/2)+3*(((0.15*B1332*5))^3/6)+4*(((0.15*B1332*5))^4/24)+5*(((0.15*B1332*5))^5/120))/((((0.15*B1332*5))^0/1)+(((0.15*B1332*5))^1/1)+(((0.15*B1332*5))^2/2)+(((0.15*B1332*5))^3/6)+(((0.15*B1332*5))^4/24)+(((0.15*B1332*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1307*(1-MIN(100,(Inputs!$B$9+((C1320=TRUE)*(F1320-Calc!F26))+B1328+(ArtifactsInput!$M$24-ArtifactsInput!$M$24)*CHOOSE(ArtifactsInput!$N$24+1,10,12,14,16,18,20)+(IF(AND(Inputs!$B$39&lt;&gt;"pvp",Inputs!$B$44=0),1,IF(IF(Inputs!$B$39="pvp",15,Inputs!$B$44)-(B1339)&lt;=0,1,MAX(0,IF(Inputs!$B$39="pvp",15,Inputs!$B$44)-MAX(5,B1339))/(IF(Inputs!$B$39="pvp",15,Inputs!$B$44)-(B1339))))*IF(AND(ArtifactsInput!$M$42,((Inputs!$B$9+((C1320=TRUE)*(F1320-Calc!F26))+B1328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1307*(MIN(100,(Inputs!$B$9+((C1320=TRUE)*(F1320-Calc!F26))+B1328+(ArtifactsInput!$M$24-ArtifactsInput!$M$24)*CHOOSE(ArtifactsInput!$N$24+1,10,12,14,16,18,20)+(IF(AND(Inputs!$B$39&lt;&gt;"pvp",Inputs!$B$44=0),1,IF(IF(Inputs!$B$39="pvp",15,Inputs!$B$44)-(B1339)&lt;=0,1,MAX(0,IF(Inputs!$B$39="pvp",15,Inputs!$B$44)-MAX(5,B1339))/(IF(Inputs!$B$39="pvp",15,Inputs!$B$44)-(B1339))))*IF(AND(ArtifactsInput!$M$42,((Inputs!$B$9+((C1320=TRUE)*(F1320-Calc!F26))+B1328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1307*(1-MIN(100,(Inputs!$B$9+((C1320=TRUE)*(F1320-Calc!F26))+B1328+(ArtifactsInput!$M$24-ArtifactsInput!$M$24)*CHOOSE(ArtifactsInput!$N$24+1,10,12,14,16,18,20)+(IF(AND(Inputs!$B$39&lt;&gt;"pvp",Inputs!$B$44=0),1,IF(IF(Inputs!$B$39="pvp",15,Inputs!$B$44)-(B1339)&lt;=0,1,MAX(0,IF(Inputs!$B$39="pvp",15,Inputs!$B$44)-MAX(5,B1339))/(IF(Inputs!$B$39="pvp",15,Inputs!$B$44)-(B1339))))*IF(AND(ArtifactsInput!$M$42,((Inputs!$B$9+((C1320=TRUE)*(F1320-Calc!F26))+B1328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1307*(MIN(100,(Inputs!$B$9+((C1320=TRUE)*(F1320-Calc!F26))+B1328+(ArtifactsInput!$M$24-ArtifactsInput!$M$24)*CHOOSE(ArtifactsInput!$N$24+1,10,12,14,16,18,20)+(IF(AND(Inputs!$B$39&lt;&gt;"pvp",Inputs!$B$44=0),1,IF(IF(Inputs!$B$39="pvp",15,Inputs!$B$44)-(B1339)&lt;=0,1,MAX(0,IF(Inputs!$B$39="pvp",15,Inputs!$B$44)-MAX(5,B1339))/(IF(Inputs!$B$39="pvp",15,Inputs!$B$44)-(B1339))))*IF(AND(ArtifactsInput!$M$42,((Inputs!$B$9+((C1320=TRUE)*(F1320-Calc!F26))+B1328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1307">
        <f>IF(C1307,(H1307*N1307*IF(AND(Inputs!$B$39&lt;&gt;"pvp",Inputs!$B$44&gt;0),((Skills!G13*((R1307-1)*IF(Skills!H13&gt;0,Skills!I13/Skills!H13,1)+IF(Skills!H13&gt;0,MIN(Skills!I13,MAX(0,MAX(0,Inputs!$B$44-B1339)-((R1307-1)*IF(Inputs!$B$39="pvp",15,MAX(0.1,Skills!D13-IF(TRUE=TRUE,Inputs!$B$32,0))))))/Skills!H13,1)))/Inputs!$B$44),G1307*Q1307))*IF(Inputs!$B$39="pvp",1,(1+(Inputs!$B$21+Skills!Q13+B1329+(IF(ArtifactsInput!$M$33,CHOOSE(ArtifactsInput!$N$33+1,30,36,42,48,54,60),0))+(IF(AND(ArtifactsInput!$M$35,Inputs!$B$4&lt;&gt;"Chapter Hunt"),CHOOSE(ArtifactsInput!$N$35+1,15,18,21,24,27,30)*(1-EXP(-(0.2*B1332)*5)),0)+IF(AND(ArtifactsInput!$M$22,Inputs!$B$4&lt;&gt;"Chapter Hunt"),CHOOSE(ArtifactsInput!$N$22+1,10,12,14,16,18,20)*((0*(((0.15*B1332*5))^0/1)+1*(((0.15*B1332*5))^1/1)+2*(((0.15*B1332*5))^2/2)+3*(((0.15*B1332*5))^3/6)+4*(((0.15*B1332*5))^4/24)+5*(((0.15*B1332*5))^5/120))/((((0.15*B1332*5))^0/1)+(((0.15*B1332*5))^1/1)+(((0.15*B1332*5))^2/2)+(((0.15*B1332*5))^3/6)+(((0.15*B1332*5))^4/24)+(((0.15*B1332*5))^5/120))),0)))/100)*(MIN(Skills!W13,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308">
      <c r="A1308">
        <f>Skills!A14</f>
        <v/>
      </c>
      <c r="B1308">
        <f>Skills!B14</f>
        <v/>
      </c>
      <c r="C1308">
        <f>Inputs!$B$3&gt;=105</f>
        <v/>
      </c>
      <c r="D1308">
        <f>IF(Skills!C14=1,60+Inputs!$B$25+Inputs!$B$29,IF(Skills!C14=2,90+Inputs!$B$26+Inputs!$B$29,IF(Skills!C14=3,120+Inputs!$B$27+Inputs!$B$29,MAX(0,(Inputs!$B$3-100)*3)+Inputs!$B$28+Inputs!$B$29)))</f>
        <v/>
      </c>
      <c r="E1308">
        <f>INDEX(FactorTable!$B$2:$Y$301, MATCH(ROUND(MIN(300,MAX(1,D1308)),0), FactorTable!$A$2:$A$301,0), Skills!M14+1)</f>
        <v/>
      </c>
      <c r="F1308">
        <f>IF(Skills!N14=TRUE,(Skills!L14/10)*(E1308/1000),Skills!L14/10)+Skills!O14</f>
        <v/>
      </c>
      <c r="G1308">
        <f>Skills!G14*IF(Skills!H14&gt;0,IF(Inputs!$B$39="pvp",MIN(Skills!I14,15),Skills!I14)/Skills!H14,1)</f>
        <v/>
      </c>
      <c r="H1308">
        <f>1-(1-Skills!J14/100)^Skills!K14</f>
        <v/>
      </c>
      <c r="I1308" t="inlineStr">
        <is>
          <t>1</t>
        </is>
      </c>
      <c r="J1308">
        <f>((Inputs!$B$6*(1+Inputs!$B$7/100))+(((Inputs!$B$12*(1+Inputs!$B$13/100))-(Inputs!$B$12*(1+Inputs!$B$13/100)))+0.25*(Inputs!$B$14-Inputs!$B$14))*(1+Inputs!$B$7/100))*(F1308/100)</f>
        <v/>
      </c>
      <c r="K1308">
        <f>J1308*(1+((Inputs!$B$12*(1+Inputs!$B$13/100))*0.01+Inputs!$B$14*0.0025)/100)*(1+Inputs!$B$15/100)*(1+Inputs!$B$16/100)*(5000/(6000+Inputs!$B$43*(1-(100*(1-(1-Inputs!$B$19/100)*(1-CHOOSE(ArtifactsInput!$N$40+1,5,6,7,8,9,10)/100)^(ArtifactsInput!$M$40-ArtifactsInput!$M$40)))/100)))*(1+(Inputs!$B$24+((C1325=TRUE)*(F1325-Calc!F31))+((C1312=TRUE)*(F1312-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14="CRUEL_STAB",Inputs!$B$17+((C1322=TRUE)*(F1322-Calc!F28))+((IF(AND(Inputs!$B$39&lt;&gt;"pvp",Inputs!$B$44=0),1,IF(IF(Inputs!$B$39="pvp",15,Inputs!$B$44)-(B1339)&lt;=0,1,MAX(0,IF(Inputs!$B$39="pvp",15,Inputs!$B$44)-MAX(5,B1339))/(IF(Inputs!$B$39="pvp",15,Inputs!$B$44)-(B1339))))*(IF(AND(ArtifactsInput!$M$42,((Inputs!$B$9+((C1320=TRUE)*(F1320-Calc!F26))+B1328+(ArtifactsInput!$M$24-ArtifactsInput!$M$24)*CHOOSE(ArtifactsInput!$N$24+1,10,12,14,16,18,20)+IF(ArtifactsInput!$M$10,CHOOSE(ArtifactsInput!$N$10+1,15,18,21,24,27,30)*(IF(Inputs!$B$39="pvp",MIN(15,15)/15,IF(AND(Inputs!$B$39&lt;&gt;"pvp",Inputs!$B$44&gt;0),MIN(15,Inputs!$B$44)/(Inputs!$B$44),0))),0)))&gt;=100),MIN(100,((Inputs!$B$9+((C1320=TRUE)*(F1320-Calc!F26))+B1328+(ArtifactsInput!$M$24-ArtifactsInput!$M$24)*CHOOSE(ArtifactsInput!$N$24+1,10,12,14,16,18,20)+IF(ArtifactsInput!$M$10,CHOOSE(ArtifactsInput!$N$10+1,15,18,21,24,27,30)*(IF(Inputs!$B$39="pvp",MIN(15,15)/15,IF(AND(Inputs!$B$39&lt;&gt;"pvp",Inputs!$B$44&gt;0),MIN(15,Inputs!$B$44)/(Inputs!$B$44),0))),0)))-100),0))*CHOOSE(ArtifactsInput!$N$42+1,0.6,0.72,0.84,0.96,1.08,1.2))),Inputs!$B$18+((C1323=TRUE)*(F1323-Calc!F29))+(IF(AND(Inputs!$B$39&lt;&gt;"pvp",Inputs!$B$44=0),1,IF(IF(Inputs!$B$39="pvp",15,Inputs!$B$44)-(B1339)&lt;=0,1,MAX(0,IF(Inputs!$B$39="pvp",15,Inputs!$B$44)-MAX(5,B1339))/(IF(Inputs!$B$39="pvp",15,Inputs!$B$44)-(B1339))))*IF(AND(ArtifactsInput!$M$42,((Inputs!$B$9+((C1320=TRUE)*(F1320-Calc!F26))+B1328+(ArtifactsInput!$M$24-ArtifactsInput!$M$24)*CHOOSE(ArtifactsInput!$N$24+1,10,12,14,16,18,20)+IF(ArtifactsInput!$M$10,CHOOSE(ArtifactsInput!$N$10+1,15,18,21,24,27,30)*(IF(Inputs!$B$39="pvp",MIN(15,15)/15,IF(AND(Inputs!$B$39&lt;&gt;"pvp",Inputs!$B$44&gt;0),MIN(15,Inputs!$B$44)/(Inputs!$B$44),0))),0)))&gt;=100),CHOOSE(ArtifactsInput!$N$42+1,40,48,56,64,72,80),0))))/100)*(((1+(((C1316=TRUE)*F1316*IF(AND(Inputs!$B$39&lt;&gt;"pvp",Inputs!$B$44&gt;0),(((R1316-1)*MIN((Skills!Y22*(1+Inputs!$B$34/100)),(1/Q1316))+MIN((Skills!Y22*(1+Inputs!$B$34/100)),MAX(0,Inputs!$B$44-((R1316-1)*(1/Q1316)))))/Inputs!$B$44),IF(Inputs!$B$39="pvp",MIN((Skills!Y22*(1+Inputs!$B$34/100)),15)/15,MIN(1,(Skills!Y22*(1+Inputs!$B$34/100))/(1/Q1316)))))+((C1297=TRUE)*F1297*3)+((C1299=TRUE)*F1299*(1-EXP(-0.75*B1332*5)))+((C1318=TRUE)*(F1318-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1305=TRUE)*F1305*IF(AND(Inputs!$B$39&lt;&gt;"pvp",Inputs!$B$44&gt;0),(((R1305-1)*MIN((Skills!Y11*(1+Inputs!$B$34/100)),(1/Q1305))+MIN((Skills!Y11*(1+Inputs!$B$34/100)),MAX(0,Inputs!$B$44-((R1305-1)*(1/Q1305)))))/Inputs!$B$44),IF(Inputs!$B$39="pvp",MIN((Skills!Y11*(1+Inputs!$B$34/100)),15)/15,MIN(1,(Skills!Y11*(1+Inputs!$B$34/100))/(1/Q1305)))))/100)*(1+((C1310=TRUE)*F1310*IF(AND(Inputs!$B$39&lt;&gt;"pvp",Inputs!$B$44&gt;0),(((R1310-1)*MIN((Skills!Y16*(1+Inputs!$B$34/100)),(1/Q1310))+MIN((Skills!Y16*(1+Inputs!$B$34/100)),MAX(0,Inputs!$B$44-((R1310-1)*(1/Q1310)))))/Inputs!$B$44),IF(Inputs!$B$39="pvp",MIN((Skills!Y16*(1+Inputs!$B$34/100)),15)/15,MIN(1,(Skills!Y16*(1+Inputs!$B$34/100))/(1/Q1310)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1330*I1308)</f>
        <v/>
      </c>
      <c r="L1308">
        <f>K1308*(MIN(Inputs!$B$22+((C1319=TRUE)*(F1319-Calc!F25)),(Inputs!$B$23+((C1324=TRUE)*(F1324-Calc!F30))+IF(ArtifactsInput!$M$15,CHOOSE(ArtifactsInput!$N$15+1,25,30,35,40,45,50)/100*(Inputs!$B$11-Inputs!$B$11),0)))/100+(Inputs!$B$23+((C1324=TRUE)*(F1324-Calc!F30))+IF(ArtifactsInput!$M$15,CHOOSE(ArtifactsInput!$N$15+1,25,30,35,40,45,50)/100*(Inputs!$B$11-Inputs!$B$11),0))/100)/2</f>
        <v/>
      </c>
      <c r="M1308">
        <f>L1308*(1+(Inputs!$B$10+((C1321=TRUE)*(F1321-Calc!F27))+B1335+(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1308">
        <f>L1308*(1-MIN((Inputs!$B$9+((C1320=TRUE)*(F1320-Calc!F26))+B1328+(ArtifactsInput!$M$24-ArtifactsInput!$M$24)*CHOOSE(ArtifactsInput!$N$24+1,10,12,14,16,18,20)+(IF(AND(Inputs!$B$39&lt;&gt;"pvp",Inputs!$B$44=0),1,IF(IF(Inputs!$B$39="pvp",15,Inputs!$B$44)-(B1339)&lt;=0,1,MAX(0,IF(Inputs!$B$39="pvp",15,Inputs!$B$44)-MAX(5,B1339))/(IF(Inputs!$B$39="pvp",15,Inputs!$B$44)-(B1339))))*IF(AND(ArtifactsInput!$M$42,((Inputs!$B$9+((C1320=TRUE)*(F1320-Calc!F26))+B1328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1308*(MIN((Inputs!$B$9+((C1320=TRUE)*(F1320-Calc!F26))+B1328+(ArtifactsInput!$M$24-ArtifactsInput!$M$24)*CHOOSE(ArtifactsInput!$N$24+1,10,12,14,16,18,20)+(IF(AND(Inputs!$B$39&lt;&gt;"pvp",Inputs!$B$44=0),1,IF(IF(Inputs!$B$39="pvp",15,Inputs!$B$44)-(B1339)&lt;=0,1,MAX(0,IF(Inputs!$B$39="pvp",15,Inputs!$B$44)-MAX(5,B1339))/(IF(Inputs!$B$39="pvp",15,Inputs!$B$44)-(B1339))))*IF(AND(ArtifactsInput!$M$42,((Inputs!$B$9+((C1320=TRUE)*(F1320-Calc!F26))+B1328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308">
        <f>(1-Summary!$B$11)*T1308+Summary!$B$11*V1308</f>
        <v/>
      </c>
      <c r="P1308">
        <f>IF(B1340=0,0,O1308/B1340)</f>
        <v/>
      </c>
      <c r="Q1308">
        <f>IFERROR(1/IF(Inputs!$B$39="pvp",15,MAX(0.1,Skills!D14-IF(TRUE=TRUE,Inputs!$B$32,0))),0)</f>
        <v/>
      </c>
      <c r="R1308">
        <f>IF(AND(Inputs!$B$39&lt;&gt;"pvp",Inputs!$B$44&gt;0),IF(MAX(0,Inputs!$B$44-B1339)&lt;=0,0,(INT(MAX(0,Inputs!$B$44-B1339)/IF(Inputs!$B$39="pvp",15,MAX(0.1,Skills!D14-IF(TRUE=TRUE,Inputs!$B$32,0))))+1)),0)</f>
        <v/>
      </c>
      <c r="S1308">
        <f>IFERROR(O1308/N1308,0)</f>
        <v/>
      </c>
      <c r="T1308">
        <f>IF(C1308,(H1308*N1308*IF(AND(Inputs!$B$39&lt;&gt;"pvp",Inputs!$B$44&gt;0),((Skills!G14*((R1308-1)*IF(Skills!H14&gt;0,Skills!I14/Skills!H14,1)+IF(Skills!H14&gt;0,MIN(Skills!I14,MAX(0,MAX(0,Inputs!$B$44-B1339)-((R1308-1)*IF(Inputs!$B$39="pvp",15,MAX(0.1,Skills!D14-IF(TRUE=TRUE,Inputs!$B$32,0))))))/Skills!H14,1)))/Inputs!$B$44),G1308*Q1308))*IF(Inputs!$B$39="pvp",1,1+(Inputs!$B$20+0+Skills!P14+B1329+(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Hunt"),CHOOSE(ArtifactsInput!$N$35+1,15,18,21,24,27,30)*(1-EXP(-(0.2*B1332)*5)),0)+IF(AND(ArtifactsInput!$M$22,Inputs!$B$4&lt;&gt;"Chapter Hunt"),CHOOSE(ArtifactsInput!$N$22+1,10,12,14,16,18,20)*((0*(((0.15*B1332*5))^0/1)+1*(((0.15*B1332*5))^1/1)+2*(((0.15*B1332*5))^2/2)+3*(((0.15*B1332*5))^3/6)+4*(((0.15*B1332*5))^4/24)+5*(((0.15*B1332*5))^5/120))/((((0.15*B1332*5))^0/1)+(((0.15*B1332*5))^1/1)+(((0.15*B1332*5))^2/2)+(((0.15*B1332*5))^3/6)+(((0.15*B1332*5))^4/24)+(((0.15*B1332*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1308*(1-MIN(100,(Inputs!$B$9+((C1320=TRUE)*(F1320-Calc!F26))+B1328+(ArtifactsInput!$M$24-ArtifactsInput!$M$24)*CHOOSE(ArtifactsInput!$N$24+1,10,12,14,16,18,20)+(IF(AND(Inputs!$B$39&lt;&gt;"pvp",Inputs!$B$44=0),1,IF(IF(Inputs!$B$39="pvp",15,Inputs!$B$44)-(B1339)&lt;=0,1,MAX(0,IF(Inputs!$B$39="pvp",15,Inputs!$B$44)-MAX(5,B1339))/(IF(Inputs!$B$39="pvp",15,Inputs!$B$44)-(B1339))))*IF(AND(ArtifactsInput!$M$42,((Inputs!$B$9+((C1320=TRUE)*(F1320-Calc!F26))+B1328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1308*(MIN(100,(Inputs!$B$9+((C1320=TRUE)*(F1320-Calc!F26))+B1328+(ArtifactsInput!$M$24-ArtifactsInput!$M$24)*CHOOSE(ArtifactsInput!$N$24+1,10,12,14,16,18,20)+(IF(AND(Inputs!$B$39&lt;&gt;"pvp",Inputs!$B$44=0),1,IF(IF(Inputs!$B$39="pvp",15,Inputs!$B$44)-(B1339)&lt;=0,1,MAX(0,IF(Inputs!$B$39="pvp",15,Inputs!$B$44)-MAX(5,B1339))/(IF(Inputs!$B$39="pvp",15,Inputs!$B$44)-(B1339))))*IF(AND(ArtifactsInput!$M$42,((Inputs!$B$9+((C1320=TRUE)*(F1320-Calc!F26))+B1328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1308*(1-MIN(100,(Inputs!$B$9+((C1320=TRUE)*(F1320-Calc!F26))+B1328+(ArtifactsInput!$M$24-ArtifactsInput!$M$24)*CHOOSE(ArtifactsInput!$N$24+1,10,12,14,16,18,20)+(IF(AND(Inputs!$B$39&lt;&gt;"pvp",Inputs!$B$44=0),1,IF(IF(Inputs!$B$39="pvp",15,Inputs!$B$44)-(B1339)&lt;=0,1,MAX(0,IF(Inputs!$B$39="pvp",15,Inputs!$B$44)-MAX(5,B1339))/(IF(Inputs!$B$39="pvp",15,Inputs!$B$44)-(B1339))))*IF(AND(ArtifactsInput!$M$42,((Inputs!$B$9+((C1320=TRUE)*(F1320-Calc!F26))+B1328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1308*(MIN(100,(Inputs!$B$9+((C1320=TRUE)*(F1320-Calc!F26))+B1328+(ArtifactsInput!$M$24-ArtifactsInput!$M$24)*CHOOSE(ArtifactsInput!$N$24+1,10,12,14,16,18,20)+(IF(AND(Inputs!$B$39&lt;&gt;"pvp",Inputs!$B$44=0),1,IF(IF(Inputs!$B$39="pvp",15,Inputs!$B$44)-(B1339)&lt;=0,1,MAX(0,IF(Inputs!$B$39="pvp",15,Inputs!$B$44)-MAX(5,B1339))/(IF(Inputs!$B$39="pvp",15,Inputs!$B$44)-(B1339))))*IF(AND(ArtifactsInput!$M$42,((Inputs!$B$9+((C1320=TRUE)*(F1320-Calc!F26))+B1328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1308">
        <f>IF(C1308,(H1308*N1308*IF(AND(Inputs!$B$39&lt;&gt;"pvp",Inputs!$B$44&gt;0),((Skills!G14*((R1308-1)*IF(Skills!H14&gt;0,Skills!I14/Skills!H14,1)+IF(Skills!H14&gt;0,MIN(Skills!I14,MAX(0,MAX(0,Inputs!$B$44-B1339)-((R1308-1)*IF(Inputs!$B$39="pvp",15,MAX(0.1,Skills!D14-IF(TRUE=TRUE,Inputs!$B$32,0))))))/Skills!H14,1)))/Inputs!$B$44),G1308*Q1308))*IF(Inputs!$B$39="pvp",1,(1+(Inputs!$B$21+Skills!Q14+B1329+(IF(ArtifactsInput!$M$33,CHOOSE(ArtifactsInput!$N$33+1,30,36,42,48,54,60),0))+(IF(AND(ArtifactsInput!$M$35,Inputs!$B$4&lt;&gt;"Chapter Hunt"),CHOOSE(ArtifactsInput!$N$35+1,15,18,21,24,27,30)*(1-EXP(-(0.2*B1332)*5)),0)+IF(AND(ArtifactsInput!$M$22,Inputs!$B$4&lt;&gt;"Chapter Hunt"),CHOOSE(ArtifactsInput!$N$22+1,10,12,14,16,18,20)*((0*(((0.15*B1332*5))^0/1)+1*(((0.15*B1332*5))^1/1)+2*(((0.15*B1332*5))^2/2)+3*(((0.15*B1332*5))^3/6)+4*(((0.15*B1332*5))^4/24)+5*(((0.15*B1332*5))^5/120))/((((0.15*B1332*5))^0/1)+(((0.15*B1332*5))^1/1)+(((0.15*B1332*5))^2/2)+(((0.15*B1332*5))^3/6)+(((0.15*B1332*5))^4/24)+(((0.15*B1332*5))^5/120))),0)))/100)*(MIN(Skills!W14,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309">
      <c r="A1309">
        <f>Skills!A15</f>
        <v/>
      </c>
      <c r="B1309">
        <f>Skills!B15</f>
        <v/>
      </c>
      <c r="C1309">
        <f>Inputs!$B$3&gt;=107</f>
        <v/>
      </c>
      <c r="D1309">
        <f>IF(Skills!C15=1,60+Inputs!$B$25+Inputs!$B$29,IF(Skills!C15=2,90+Inputs!$B$26+Inputs!$B$29,IF(Skills!C15=3,120+Inputs!$B$27+Inputs!$B$29,MAX(0,(Inputs!$B$3-100)*3)+Inputs!$B$28+Inputs!$B$29)))</f>
        <v/>
      </c>
      <c r="E1309">
        <f>INDEX(FactorTable!$B$2:$Y$301, MATCH(ROUND(MIN(300,MAX(1,D1309)),0), FactorTable!$A$2:$A$301,0), Skills!M15+1)</f>
        <v/>
      </c>
      <c r="F1309">
        <f>IF(Skills!N15=TRUE,(Skills!L15/10)*(E1309/1000),Skills!L15/10)+Skills!O15</f>
        <v/>
      </c>
      <c r="G1309">
        <f>Skills!G15*IF(Skills!H15&gt;0,IF(Inputs!$B$39="pvp",MIN(Skills!I15,15),Skills!I15)/Skills!H15,1)</f>
        <v/>
      </c>
      <c r="H1309">
        <f>1-(1-Skills!J15/100)^Skills!K15</f>
        <v/>
      </c>
      <c r="I1309" t="inlineStr">
        <is>
          <t>1</t>
        </is>
      </c>
      <c r="J1309">
        <f>((Inputs!$B$6*(1+Inputs!$B$7/100))+(((Inputs!$B$12*(1+Inputs!$B$13/100))-(Inputs!$B$12*(1+Inputs!$B$13/100)))+0.25*(Inputs!$B$14-Inputs!$B$14))*(1+Inputs!$B$7/100))*(F1309/100)</f>
        <v/>
      </c>
      <c r="K1309">
        <f>J1309*(1+((Inputs!$B$12*(1+Inputs!$B$13/100))*0.01+Inputs!$B$14*0.0025)/100)*(1+Inputs!$B$15/100)*(1+Inputs!$B$16/100)*(5000/(6000+Inputs!$B$43*(1-(100*(1-(1-Inputs!$B$19/100)*(1-CHOOSE(ArtifactsInput!$N$40+1,5,6,7,8,9,10)/100)^(ArtifactsInput!$M$40-ArtifactsInput!$M$40)))/100)))*(1+(Inputs!$B$24+((C1325=TRUE)*(F1325-Calc!F31))+((C1312=TRUE)*(F1312-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15="CRUEL_STAB",Inputs!$B$17+((C1322=TRUE)*(F1322-Calc!F28))+((IF(AND(Inputs!$B$39&lt;&gt;"pvp",Inputs!$B$44=0),1,IF(IF(Inputs!$B$39="pvp",15,Inputs!$B$44)-(B1339)&lt;=0,1,MAX(0,IF(Inputs!$B$39="pvp",15,Inputs!$B$44)-MAX(5,B1339))/(IF(Inputs!$B$39="pvp",15,Inputs!$B$44)-(B1339))))*(IF(AND(ArtifactsInput!$M$42,((Inputs!$B$9+((C1320=TRUE)*(F1320-Calc!F26))+B1328+(ArtifactsInput!$M$24-ArtifactsInput!$M$24)*CHOOSE(ArtifactsInput!$N$24+1,10,12,14,16,18,20)+IF(ArtifactsInput!$M$10,CHOOSE(ArtifactsInput!$N$10+1,15,18,21,24,27,30)*(IF(Inputs!$B$39="pvp",MIN(15,15)/15,IF(AND(Inputs!$B$39&lt;&gt;"pvp",Inputs!$B$44&gt;0),MIN(15,Inputs!$B$44)/(Inputs!$B$44),0))),0)))&gt;=100),MIN(100,((Inputs!$B$9+((C1320=TRUE)*(F1320-Calc!F26))+B1328+(ArtifactsInput!$M$24-ArtifactsInput!$M$24)*CHOOSE(ArtifactsInput!$N$24+1,10,12,14,16,18,20)+IF(ArtifactsInput!$M$10,CHOOSE(ArtifactsInput!$N$10+1,15,18,21,24,27,30)*(IF(Inputs!$B$39="pvp",MIN(15,15)/15,IF(AND(Inputs!$B$39&lt;&gt;"pvp",Inputs!$B$44&gt;0),MIN(15,Inputs!$B$44)/(Inputs!$B$44),0))),0)))-100),0))*CHOOSE(ArtifactsInput!$N$42+1,0.6,0.72,0.84,0.96,1.08,1.2))),Inputs!$B$18+((C1323=TRUE)*(F1323-Calc!F29))+(IF(AND(Inputs!$B$39&lt;&gt;"pvp",Inputs!$B$44=0),1,IF(IF(Inputs!$B$39="pvp",15,Inputs!$B$44)-(B1339)&lt;=0,1,MAX(0,IF(Inputs!$B$39="pvp",15,Inputs!$B$44)-MAX(5,B1339))/(IF(Inputs!$B$39="pvp",15,Inputs!$B$44)-(B1339))))*IF(AND(ArtifactsInput!$M$42,((Inputs!$B$9+((C1320=TRUE)*(F1320-Calc!F26))+B1328+(ArtifactsInput!$M$24-ArtifactsInput!$M$24)*CHOOSE(ArtifactsInput!$N$24+1,10,12,14,16,18,20)+IF(ArtifactsInput!$M$10,CHOOSE(ArtifactsInput!$N$10+1,15,18,21,24,27,30)*(IF(Inputs!$B$39="pvp",MIN(15,15)/15,IF(AND(Inputs!$B$39&lt;&gt;"pvp",Inputs!$B$44&gt;0),MIN(15,Inputs!$B$44)/(Inputs!$B$44),0))),0)))&gt;=100),CHOOSE(ArtifactsInput!$N$42+1,40,48,56,64,72,80),0))))/100)*(((1+(((C1316=TRUE)*F1316*IF(AND(Inputs!$B$39&lt;&gt;"pvp",Inputs!$B$44&gt;0),(((R1316-1)*MIN((Skills!Y22*(1+Inputs!$B$34/100)),(1/Q1316))+MIN((Skills!Y22*(1+Inputs!$B$34/100)),MAX(0,Inputs!$B$44-((R1316-1)*(1/Q1316)))))/Inputs!$B$44),IF(Inputs!$B$39="pvp",MIN((Skills!Y22*(1+Inputs!$B$34/100)),15)/15,MIN(1,(Skills!Y22*(1+Inputs!$B$34/100))/(1/Q1316)))))+((C1297=TRUE)*F1297*3)+((C1299=TRUE)*F1299*(1-EXP(-0.75*B1332*5)))+((C1318=TRUE)*(F1318-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1305=TRUE)*F1305*IF(AND(Inputs!$B$39&lt;&gt;"pvp",Inputs!$B$44&gt;0),(((R1305-1)*MIN((Skills!Y11*(1+Inputs!$B$34/100)),(1/Q1305))+MIN((Skills!Y11*(1+Inputs!$B$34/100)),MAX(0,Inputs!$B$44-((R1305-1)*(1/Q1305)))))/Inputs!$B$44),IF(Inputs!$B$39="pvp",MIN((Skills!Y11*(1+Inputs!$B$34/100)),15)/15,MIN(1,(Skills!Y11*(1+Inputs!$B$34/100))/(1/Q1305)))))/100)*(1+((C1310=TRUE)*F1310*IF(AND(Inputs!$B$39&lt;&gt;"pvp",Inputs!$B$44&gt;0),(((R1310-1)*MIN((Skills!Y16*(1+Inputs!$B$34/100)),(1/Q1310))+MIN((Skills!Y16*(1+Inputs!$B$34/100)),MAX(0,Inputs!$B$44-((R1310-1)*(1/Q1310)))))/Inputs!$B$44),IF(Inputs!$B$39="pvp",MIN((Skills!Y16*(1+Inputs!$B$34/100)),15)/15,MIN(1,(Skills!Y16*(1+Inputs!$B$34/100))/(1/Q1310)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1330*I1309)</f>
        <v/>
      </c>
      <c r="L1309">
        <f>K1309*(MIN(Inputs!$B$22+((C1319=TRUE)*(F1319-Calc!F25)),(Inputs!$B$23+((C1324=TRUE)*(F1324-Calc!F30))+IF(ArtifactsInput!$M$15,CHOOSE(ArtifactsInput!$N$15+1,25,30,35,40,45,50)/100*(Inputs!$B$11-Inputs!$B$11),0)))/100+(Inputs!$B$23+((C1324=TRUE)*(F1324-Calc!F30))+IF(ArtifactsInput!$M$15,CHOOSE(ArtifactsInput!$N$15+1,25,30,35,40,45,50)/100*(Inputs!$B$11-Inputs!$B$11),0))/100)/2</f>
        <v/>
      </c>
      <c r="M1309">
        <f>L1309*(1+(Inputs!$B$10+((C1321=TRUE)*(F1321-Calc!F27))+B1335+(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1309">
        <f>L1309*(1-MIN((Inputs!$B$9+((C1320=TRUE)*(F1320-Calc!F26))+B1328+(ArtifactsInput!$M$24-ArtifactsInput!$M$24)*CHOOSE(ArtifactsInput!$N$24+1,10,12,14,16,18,20)+(IF(AND(Inputs!$B$39&lt;&gt;"pvp",Inputs!$B$44=0),1,IF(IF(Inputs!$B$39="pvp",15,Inputs!$B$44)-(B1339)&lt;=0,1,MAX(0,IF(Inputs!$B$39="pvp",15,Inputs!$B$44)-MAX(5,B1339))/(IF(Inputs!$B$39="pvp",15,Inputs!$B$44)-(B1339))))*IF(AND(ArtifactsInput!$M$42,((Inputs!$B$9+((C1320=TRUE)*(F1320-Calc!F26))+B1328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1309*(MIN((Inputs!$B$9+((C1320=TRUE)*(F1320-Calc!F26))+B1328+(ArtifactsInput!$M$24-ArtifactsInput!$M$24)*CHOOSE(ArtifactsInput!$N$24+1,10,12,14,16,18,20)+(IF(AND(Inputs!$B$39&lt;&gt;"pvp",Inputs!$B$44=0),1,IF(IF(Inputs!$B$39="pvp",15,Inputs!$B$44)-(B1339)&lt;=0,1,MAX(0,IF(Inputs!$B$39="pvp",15,Inputs!$B$44)-MAX(5,B1339))/(IF(Inputs!$B$39="pvp",15,Inputs!$B$44)-(B1339))))*IF(AND(ArtifactsInput!$M$42,((Inputs!$B$9+((C1320=TRUE)*(F1320-Calc!F26))+B1328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309">
        <f>(1-Summary!$B$11)*T1309+Summary!$B$11*V1309</f>
        <v/>
      </c>
      <c r="P1309">
        <f>IF(B1340=0,0,O1309/B1340)</f>
        <v/>
      </c>
      <c r="Q1309">
        <f>IFERROR(1/IF(Inputs!$B$39="pvp",15,MAX(0.1,Skills!D15-IF(TRUE=TRUE,Inputs!$B$32,0))),0)</f>
        <v/>
      </c>
      <c r="R1309">
        <f>IF(AND(Inputs!$B$39&lt;&gt;"pvp",Inputs!$B$44&gt;0),IF(MAX(0,Inputs!$B$44-B1339)&lt;=0,0,(INT(MAX(0,Inputs!$B$44-B1339)/IF(Inputs!$B$39="pvp",15,MAX(0.1,Skills!D15-IF(TRUE=TRUE,Inputs!$B$32,0))))+1)),0)</f>
        <v/>
      </c>
      <c r="S1309">
        <f>IFERROR(O1309/N1309,0)</f>
        <v/>
      </c>
      <c r="T1309">
        <f>IF(C1309,(H1309*N1309*IF(AND(Inputs!$B$39&lt;&gt;"pvp",Inputs!$B$44&gt;0),((Skills!G15*((R1309-1)*IF(Skills!H15&gt;0,Skills!I15/Skills!H15,1)+IF(Skills!H15&gt;0,MIN(Skills!I15,MAX(0,MAX(0,Inputs!$B$44-B1339)-((R1309-1)*IF(Inputs!$B$39="pvp",15,MAX(0.1,Skills!D15-IF(TRUE=TRUE,Inputs!$B$32,0))))))/Skills!H15,1)))/Inputs!$B$44),G1309*Q1309))*IF(Inputs!$B$39="pvp",1,1+(Inputs!$B$20+0+Skills!P15+B1329+(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Hunt"),CHOOSE(ArtifactsInput!$N$35+1,15,18,21,24,27,30)*(1-EXP(-(0.2*B1332)*5)),0)+IF(AND(ArtifactsInput!$M$22,Inputs!$B$4&lt;&gt;"Chapter Hunt"),CHOOSE(ArtifactsInput!$N$22+1,10,12,14,16,18,20)*((0*(((0.15*B1332*5))^0/1)+1*(((0.15*B1332*5))^1/1)+2*(((0.15*B1332*5))^2/2)+3*(((0.15*B1332*5))^3/6)+4*(((0.15*B1332*5))^4/24)+5*(((0.15*B1332*5))^5/120))/((((0.15*B1332*5))^0/1)+(((0.15*B1332*5))^1/1)+(((0.15*B1332*5))^2/2)+(((0.15*B1332*5))^3/6)+(((0.15*B1332*5))^4/24)+(((0.15*B1332*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1309*(1-MIN(100,(Inputs!$B$9+((C1320=TRUE)*(F1320-Calc!F26))+B1328+(ArtifactsInput!$M$24-ArtifactsInput!$M$24)*CHOOSE(ArtifactsInput!$N$24+1,10,12,14,16,18,20)+(IF(AND(Inputs!$B$39&lt;&gt;"pvp",Inputs!$B$44=0),1,IF(IF(Inputs!$B$39="pvp",15,Inputs!$B$44)-(B1339)&lt;=0,1,MAX(0,IF(Inputs!$B$39="pvp",15,Inputs!$B$44)-MAX(5,B1339))/(IF(Inputs!$B$39="pvp",15,Inputs!$B$44)-(B1339))))*IF(AND(ArtifactsInput!$M$42,((Inputs!$B$9+((C1320=TRUE)*(F1320-Calc!F26))+B1328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1309*(MIN(100,(Inputs!$B$9+((C1320=TRUE)*(F1320-Calc!F26))+B1328+(ArtifactsInput!$M$24-ArtifactsInput!$M$24)*CHOOSE(ArtifactsInput!$N$24+1,10,12,14,16,18,20)+(IF(AND(Inputs!$B$39&lt;&gt;"pvp",Inputs!$B$44=0),1,IF(IF(Inputs!$B$39="pvp",15,Inputs!$B$44)-(B1339)&lt;=0,1,MAX(0,IF(Inputs!$B$39="pvp",15,Inputs!$B$44)-MAX(5,B1339))/(IF(Inputs!$B$39="pvp",15,Inputs!$B$44)-(B1339))))*IF(AND(ArtifactsInput!$M$42,((Inputs!$B$9+((C1320=TRUE)*(F1320-Calc!F26))+B1328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1309*(1-MIN(100,(Inputs!$B$9+((C1320=TRUE)*(F1320-Calc!F26))+B1328+(ArtifactsInput!$M$24-ArtifactsInput!$M$24)*CHOOSE(ArtifactsInput!$N$24+1,10,12,14,16,18,20)+(IF(AND(Inputs!$B$39&lt;&gt;"pvp",Inputs!$B$44=0),1,IF(IF(Inputs!$B$39="pvp",15,Inputs!$B$44)-(B1339)&lt;=0,1,MAX(0,IF(Inputs!$B$39="pvp",15,Inputs!$B$44)-MAX(5,B1339))/(IF(Inputs!$B$39="pvp",15,Inputs!$B$44)-(B1339))))*IF(AND(ArtifactsInput!$M$42,((Inputs!$B$9+((C1320=TRUE)*(F1320-Calc!F26))+B1328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1309*(MIN(100,(Inputs!$B$9+((C1320=TRUE)*(F1320-Calc!F26))+B1328+(ArtifactsInput!$M$24-ArtifactsInput!$M$24)*CHOOSE(ArtifactsInput!$N$24+1,10,12,14,16,18,20)+(IF(AND(Inputs!$B$39&lt;&gt;"pvp",Inputs!$B$44=0),1,IF(IF(Inputs!$B$39="pvp",15,Inputs!$B$44)-(B1339)&lt;=0,1,MAX(0,IF(Inputs!$B$39="pvp",15,Inputs!$B$44)-MAX(5,B1339))/(IF(Inputs!$B$39="pvp",15,Inputs!$B$44)-(B1339))))*IF(AND(ArtifactsInput!$M$42,((Inputs!$B$9+((C1320=TRUE)*(F1320-Calc!F26))+B1328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1309">
        <f>IF(C1309,(H1309*N1309*IF(AND(Inputs!$B$39&lt;&gt;"pvp",Inputs!$B$44&gt;0),((Skills!G15*((R1309-1)*IF(Skills!H15&gt;0,Skills!I15/Skills!H15,1)+IF(Skills!H15&gt;0,MIN(Skills!I15,MAX(0,MAX(0,Inputs!$B$44-B1339)-((R1309-1)*IF(Inputs!$B$39="pvp",15,MAX(0.1,Skills!D15-IF(TRUE=TRUE,Inputs!$B$32,0))))))/Skills!H15,1)))/Inputs!$B$44),G1309*Q1309))*IF(Inputs!$B$39="pvp",1,(1+(Inputs!$B$21+Skills!Q15+B1329+(IF(ArtifactsInput!$M$33,CHOOSE(ArtifactsInput!$N$33+1,30,36,42,48,54,60),0))+(IF(AND(ArtifactsInput!$M$35,Inputs!$B$4&lt;&gt;"Chapter Hunt"),CHOOSE(ArtifactsInput!$N$35+1,15,18,21,24,27,30)*(1-EXP(-(0.2*B1332)*5)),0)+IF(AND(ArtifactsInput!$M$22,Inputs!$B$4&lt;&gt;"Chapter Hunt"),CHOOSE(ArtifactsInput!$N$22+1,10,12,14,16,18,20)*((0*(((0.15*B1332*5))^0/1)+1*(((0.15*B1332*5))^1/1)+2*(((0.15*B1332*5))^2/2)+3*(((0.15*B1332*5))^3/6)+4*(((0.15*B1332*5))^4/24)+5*(((0.15*B1332*5))^5/120))/((((0.15*B1332*5))^0/1)+(((0.15*B1332*5))^1/1)+(((0.15*B1332*5))^2/2)+(((0.15*B1332*5))^3/6)+(((0.15*B1332*5))^4/24)+(((0.15*B1332*5))^5/120))),0)))/100)*(MIN(MIN(5,0.5*IF(Inputs!$B$3&gt;=75,0.75,0.5)*B1332*(1/Q1298))*Skills!V15,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310">
      <c r="A1310">
        <f>Skills!A16</f>
        <v/>
      </c>
      <c r="B1310">
        <f>Skills!B16</f>
        <v/>
      </c>
      <c r="C1310">
        <f>Inputs!$B$3&gt;=110</f>
        <v/>
      </c>
      <c r="D1310">
        <f>IF(Skills!C16=1,60+Inputs!$B$25+Inputs!$B$29,IF(Skills!C16=2,90+Inputs!$B$26+Inputs!$B$29,IF(Skills!C16=3,120+Inputs!$B$27+Inputs!$B$29,MAX(0,(Inputs!$B$3-100)*3)+Inputs!$B$28+Inputs!$B$29)))</f>
        <v/>
      </c>
      <c r="E1310">
        <f>INDEX(FactorTable!$B$2:$Y$301, MATCH(ROUND(MIN(300,MAX(1,D1310)),0), FactorTable!$A$2:$A$301,0), Skills!M16+1)</f>
        <v/>
      </c>
      <c r="F1310">
        <f>IF(Skills!N16=TRUE,(Skills!L16/10)*(E1310/1000),Skills!L16/10)+Skills!O16</f>
        <v/>
      </c>
      <c r="G1310">
        <f>Skills!G16*IF(Skills!H16&gt;0,IF(Inputs!$B$39="pvp",MIN(Skills!I16,15),Skills!I16)/Skills!H16,1)</f>
        <v/>
      </c>
      <c r="H1310">
        <f>1-(1-Skills!J16/100)^Skills!K16</f>
        <v/>
      </c>
      <c r="I1310" t="inlineStr">
        <is>
          <t>1</t>
        </is>
      </c>
      <c r="J1310" t="inlineStr"/>
      <c r="K1310" t="inlineStr"/>
      <c r="L1310" t="inlineStr"/>
      <c r="M1310" t="inlineStr"/>
      <c r="N1310" t="inlineStr"/>
      <c r="O1310">
        <f>(1-Summary!$B$11)*T1310+Summary!$B$11*V1310</f>
        <v/>
      </c>
      <c r="P1310">
        <f>IF(B1340=0,0,O1310/B1340)</f>
        <v/>
      </c>
      <c r="Q1310">
        <f>IFERROR(1/IF(Inputs!$B$39="pvp",15,MAX(0.1,Skills!D16-IF(TRUE=TRUE,Inputs!$B$32,0))),0)</f>
        <v/>
      </c>
      <c r="R1310">
        <f>IF(AND(Inputs!$B$39&lt;&gt;"pvp",Inputs!$B$44&gt;0),IF(Inputs!$B$44&lt;=0,0,(INT(Inputs!$B$44/IF(Inputs!$B$39="pvp",15,MAX(0.1,Skills!D16-IF(TRUE=TRUE,Inputs!$B$32,0))))+1)),0)</f>
        <v/>
      </c>
      <c r="S1310">
        <f>IFERROR(O1310/N1310,0)</f>
        <v/>
      </c>
      <c r="T1310" t="n">
        <v>0</v>
      </c>
      <c r="V1310" t="n">
        <v>0</v>
      </c>
    </row>
    <row r="1311">
      <c r="A1311">
        <f>Skills!A17</f>
        <v/>
      </c>
      <c r="B1311">
        <f>Skills!B17</f>
        <v/>
      </c>
      <c r="C1311">
        <f>Inputs!$B$3&gt;=115</f>
        <v/>
      </c>
      <c r="D1311">
        <f>IF(Skills!C17=1,60+Inputs!$B$25+Inputs!$B$29,IF(Skills!C17=2,90+Inputs!$B$26+Inputs!$B$29,IF(Skills!C17=3,120+Inputs!$B$27+Inputs!$B$29,MAX(0,(Inputs!$B$3-100)*3)+Inputs!$B$28+Inputs!$B$29)))</f>
        <v/>
      </c>
      <c r="E1311">
        <f>INDEX(FactorTable!$B$2:$Y$301, MATCH(ROUND(MIN(300,MAX(1,D1311)),0), FactorTable!$A$2:$A$301,0), Skills!M17+1)</f>
        <v/>
      </c>
      <c r="F1311">
        <f>IF(Skills!N17=TRUE,(Skills!L17/10)*(E1311/1000),Skills!L17/10)+Skills!O17</f>
        <v/>
      </c>
      <c r="G1311">
        <f>Skills!G17*IF(Skills!H17&gt;0,IF(Inputs!$B$39="pvp",MIN(Skills!I17,15),Skills!I17)/Skills!H17,1)</f>
        <v/>
      </c>
      <c r="H1311">
        <f>1-(1-Skills!J17/100)^Skills!K17</f>
        <v/>
      </c>
      <c r="I1311" t="inlineStr">
        <is>
          <t>1</t>
        </is>
      </c>
      <c r="J1311">
        <f>((Inputs!$B$6*(1+Inputs!$B$7/100))+(((Inputs!$B$12*(1+Inputs!$B$13/100))-(Inputs!$B$12*(1+Inputs!$B$13/100)))+0.25*(Inputs!$B$14-Inputs!$B$14))*(1+Inputs!$B$7/100))*(F1311/100)</f>
        <v/>
      </c>
      <c r="K1311">
        <f>J1311*(1+((Inputs!$B$12*(1+Inputs!$B$13/100))*0.01+Inputs!$B$14*0.0025)/100)*(1+Inputs!$B$15/100)*(1+Inputs!$B$16/100)*(5000/(6000+Inputs!$B$43*(1-(100*(1-(1-Inputs!$B$19/100)*(1-CHOOSE(ArtifactsInput!$N$40+1,5,6,7,8,9,10)/100)^(ArtifactsInput!$M$40-ArtifactsInput!$M$40)))/100)))*(1+(Inputs!$B$24+((C1325=TRUE)*(F1325-Calc!F31))+((C1312=TRUE)*(F1312-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17="CRUEL_STAB",Inputs!$B$17+((C1322=TRUE)*(F1322-Calc!F28))+((IF(AND(Inputs!$B$39&lt;&gt;"pvp",Inputs!$B$44=0),1,IF(IF(Inputs!$B$39="pvp",15,Inputs!$B$44)-(B1339)&lt;=0,1,MAX(0,IF(Inputs!$B$39="pvp",15,Inputs!$B$44)-MAX(5,B1339))/(IF(Inputs!$B$39="pvp",15,Inputs!$B$44)-(B1339))))*(IF(AND(ArtifactsInput!$M$42,((Inputs!$B$9+((C1320=TRUE)*(F1320-Calc!F26))+B1328+(ArtifactsInput!$M$24-ArtifactsInput!$M$24)*CHOOSE(ArtifactsInput!$N$24+1,10,12,14,16,18,20)+IF(ArtifactsInput!$M$10,CHOOSE(ArtifactsInput!$N$10+1,15,18,21,24,27,30)*(IF(Inputs!$B$39="pvp",MIN(15,15)/15,IF(AND(Inputs!$B$39&lt;&gt;"pvp",Inputs!$B$44&gt;0),MIN(15,Inputs!$B$44)/(Inputs!$B$44),0))),0)))&gt;=100),MIN(100,((Inputs!$B$9+((C1320=TRUE)*(F1320-Calc!F26))+B1328+(ArtifactsInput!$M$24-ArtifactsInput!$M$24)*CHOOSE(ArtifactsInput!$N$24+1,10,12,14,16,18,20)+IF(ArtifactsInput!$M$10,CHOOSE(ArtifactsInput!$N$10+1,15,18,21,24,27,30)*(IF(Inputs!$B$39="pvp",MIN(15,15)/15,IF(AND(Inputs!$B$39&lt;&gt;"pvp",Inputs!$B$44&gt;0),MIN(15,Inputs!$B$44)/(Inputs!$B$44),0))),0)))-100),0))*CHOOSE(ArtifactsInput!$N$42+1,0.6,0.72,0.84,0.96,1.08,1.2))),Inputs!$B$18+((C1323=TRUE)*(F1323-Calc!F29))+(IF(AND(Inputs!$B$39&lt;&gt;"pvp",Inputs!$B$44=0),1,IF(IF(Inputs!$B$39="pvp",15,Inputs!$B$44)-(B1339)&lt;=0,1,MAX(0,IF(Inputs!$B$39="pvp",15,Inputs!$B$44)-MAX(5,B1339))/(IF(Inputs!$B$39="pvp",15,Inputs!$B$44)-(B1339))))*IF(AND(ArtifactsInput!$M$42,((Inputs!$B$9+((C1320=TRUE)*(F1320-Calc!F26))+B1328+(ArtifactsInput!$M$24-ArtifactsInput!$M$24)*CHOOSE(ArtifactsInput!$N$24+1,10,12,14,16,18,20)+IF(ArtifactsInput!$M$10,CHOOSE(ArtifactsInput!$N$10+1,15,18,21,24,27,30)*(IF(Inputs!$B$39="pvp",MIN(15,15)/15,IF(AND(Inputs!$B$39&lt;&gt;"pvp",Inputs!$B$44&gt;0),MIN(15,Inputs!$B$44)/(Inputs!$B$44),0))),0)))&gt;=100),CHOOSE(ArtifactsInput!$N$42+1,40,48,56,64,72,80),0))))/100)*(((1+(((C1316=TRUE)*F1316*IF(AND(Inputs!$B$39&lt;&gt;"pvp",Inputs!$B$44&gt;0),(((R1316-1)*MIN((Skills!Y22*(1+Inputs!$B$34/100)),(1/Q1316))+MIN((Skills!Y22*(1+Inputs!$B$34/100)),MAX(0,Inputs!$B$44-((R1316-1)*(1/Q1316)))))/Inputs!$B$44),IF(Inputs!$B$39="pvp",MIN((Skills!Y22*(1+Inputs!$B$34/100)),15)/15,MIN(1,(Skills!Y22*(1+Inputs!$B$34/100))/(1/Q1316)))))+((C1297=TRUE)*F1297*3)+((C1299=TRUE)*F1299*(1-EXP(-0.75*B1332*5)))+((C1318=TRUE)*(F1318-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1305=TRUE)*F1305*IF(AND(Inputs!$B$39&lt;&gt;"pvp",Inputs!$B$44&gt;0),(((R1305-1)*MIN((Skills!Y11*(1+Inputs!$B$34/100)),(1/Q1305))+MIN((Skills!Y11*(1+Inputs!$B$34/100)),MAX(0,Inputs!$B$44-((R1305-1)*(1/Q1305)))))/Inputs!$B$44),IF(Inputs!$B$39="pvp",MIN((Skills!Y11*(1+Inputs!$B$34/100)),15)/15,MIN(1,(Skills!Y11*(1+Inputs!$B$34/100))/(1/Q1305)))))/100)*(1+((C1310=TRUE)*F1310*IF(AND(Inputs!$B$39&lt;&gt;"pvp",Inputs!$B$44&gt;0),(((R1310-1)*MIN((Skills!Y16*(1+Inputs!$B$34/100)),(1/Q1310))+MIN((Skills!Y16*(1+Inputs!$B$34/100)),MAX(0,Inputs!$B$44-((R1310-1)*(1/Q1310)))))/Inputs!$B$44),IF(Inputs!$B$39="pvp",MIN((Skills!Y16*(1+Inputs!$B$34/100)),15)/15,MIN(1,(Skills!Y16*(1+Inputs!$B$34/100))/(1/Q1310)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1330*I1311)</f>
        <v/>
      </c>
      <c r="L1311">
        <f>K1311*(MIN(Inputs!$B$22+((C1319=TRUE)*(F1319-Calc!F25)),(Inputs!$B$23+((C1324=TRUE)*(F1324-Calc!F30))+IF(ArtifactsInput!$M$15,CHOOSE(ArtifactsInput!$N$15+1,25,30,35,40,45,50)/100*(Inputs!$B$11-Inputs!$B$11),0)))/100+(Inputs!$B$23+((C1324=TRUE)*(F1324-Calc!F30))+IF(ArtifactsInput!$M$15,CHOOSE(ArtifactsInput!$N$15+1,25,30,35,40,45,50)/100*(Inputs!$B$11-Inputs!$B$11),0))/100)/2</f>
        <v/>
      </c>
      <c r="M1311">
        <f>L1311*(1+(Inputs!$B$10+((C1321=TRUE)*(F1321-Calc!F27))+B1335+(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1311">
        <f>L1311*(1-MIN((Inputs!$B$9+((C1320=TRUE)*(F1320-Calc!F26))+B1328+(ArtifactsInput!$M$24-ArtifactsInput!$M$24)*CHOOSE(ArtifactsInput!$N$24+1,10,12,14,16,18,20)+(IF(AND(Inputs!$B$39&lt;&gt;"pvp",Inputs!$B$44=0),1,IF(IF(Inputs!$B$39="pvp",15,Inputs!$B$44)-(B1339)&lt;=0,1,MAX(0,IF(Inputs!$B$39="pvp",15,Inputs!$B$44)-MAX(5,B1339))/(IF(Inputs!$B$39="pvp",15,Inputs!$B$44)-(B1339))))*IF(AND(ArtifactsInput!$M$42,((Inputs!$B$9+((C1320=TRUE)*(F1320-Calc!F26))+B1328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1311*(MIN((Inputs!$B$9+((C1320=TRUE)*(F1320-Calc!F26))+B1328+(ArtifactsInput!$M$24-ArtifactsInput!$M$24)*CHOOSE(ArtifactsInput!$N$24+1,10,12,14,16,18,20)+(IF(AND(Inputs!$B$39&lt;&gt;"pvp",Inputs!$B$44=0),1,IF(IF(Inputs!$B$39="pvp",15,Inputs!$B$44)-(B1339)&lt;=0,1,MAX(0,IF(Inputs!$B$39="pvp",15,Inputs!$B$44)-MAX(5,B1339))/(IF(Inputs!$B$39="pvp",15,Inputs!$B$44)-(B1339))))*IF(AND(ArtifactsInput!$M$42,((Inputs!$B$9+((C1320=TRUE)*(F1320-Calc!F26))+B1328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311">
        <f>(1-Summary!$B$11)*T1311+Summary!$B$11*V1311</f>
        <v/>
      </c>
      <c r="P1311">
        <f>IF(B1340=0,0,O1311/B1340)</f>
        <v/>
      </c>
      <c r="Q1311" t="n">
        <v>0</v>
      </c>
      <c r="R1311" t="n">
        <v>0</v>
      </c>
      <c r="S1311">
        <f>IFERROR(O1311/N1311,0)</f>
        <v/>
      </c>
      <c r="T1311">
        <f>IF(C1311,(Inputs!$B$38*0.2*N1311)*IF(Inputs!$B$39="pvp",1,1+(Inputs!$B$20+0+Skills!P17+B1329+(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Hunt"),CHOOSE(ArtifactsInput!$N$35+1,15,18,21,24,27,30)*(1-EXP(-(0.2*B1332)*5)),0)+IF(AND(ArtifactsInput!$M$22,Inputs!$B$4&lt;&gt;"Chapter Hunt"),CHOOSE(ArtifactsInput!$N$22+1,10,12,14,16,18,20)*((0*(((0.15*B1332*5))^0/1)+1*(((0.15*B1332*5))^1/1)+2*(((0.15*B1332*5))^2/2)+3*(((0.15*B1332*5))^3/6)+4*(((0.15*B1332*5))^4/24)+5*(((0.15*B1332*5))^5/120))/((((0.15*B1332*5))^0/1)+(((0.15*B1332*5))^1/1)+(((0.15*B1332*5))^2/2)+(((0.15*B1332*5))^3/6)+(((0.15*B1332*5))^4/24)+(((0.15*B1332*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1311*(1-MIN(100,(Inputs!$B$9+((C1320=TRUE)*(F1320-Calc!F26))+B1328+(ArtifactsInput!$M$24-ArtifactsInput!$M$24)*CHOOSE(ArtifactsInput!$N$24+1,10,12,14,16,18,20)+(IF(AND(Inputs!$B$39&lt;&gt;"pvp",Inputs!$B$44=0),1,IF(IF(Inputs!$B$39="pvp",15,Inputs!$B$44)-(B1339)&lt;=0,1,MAX(0,IF(Inputs!$B$39="pvp",15,Inputs!$B$44)-MAX(5,B1339))/(IF(Inputs!$B$39="pvp",15,Inputs!$B$44)-(B1339))))*IF(AND(ArtifactsInput!$M$42,((Inputs!$B$9+((C1320=TRUE)*(F1320-Calc!F26))+B1328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1311*(MIN(100,(Inputs!$B$9+((C1320=TRUE)*(F1320-Calc!F26))+B1328+(ArtifactsInput!$M$24-ArtifactsInput!$M$24)*CHOOSE(ArtifactsInput!$N$24+1,10,12,14,16,18,20)+(IF(AND(Inputs!$B$39&lt;&gt;"pvp",Inputs!$B$44=0),1,IF(IF(Inputs!$B$39="pvp",15,Inputs!$B$44)-(B1339)&lt;=0,1,MAX(0,IF(Inputs!$B$39="pvp",15,Inputs!$B$44)-MAX(5,B1339))/(IF(Inputs!$B$39="pvp",15,Inputs!$B$44)-(B1339))))*IF(AND(ArtifactsInput!$M$42,((Inputs!$B$9+((C1320=TRUE)*(F1320-Calc!F26))+B1328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1311*(1-MIN(100,(Inputs!$B$9+((C1320=TRUE)*(F1320-Calc!F26))+B1328+(ArtifactsInput!$M$24-ArtifactsInput!$M$24)*CHOOSE(ArtifactsInput!$N$24+1,10,12,14,16,18,20)+(IF(AND(Inputs!$B$39&lt;&gt;"pvp",Inputs!$B$44=0),1,IF(IF(Inputs!$B$39="pvp",15,Inputs!$B$44)-(B1339)&lt;=0,1,MAX(0,IF(Inputs!$B$39="pvp",15,Inputs!$B$44)-MAX(5,B1339))/(IF(Inputs!$B$39="pvp",15,Inputs!$B$44)-(B1339))))*IF(AND(ArtifactsInput!$M$42,((Inputs!$B$9+((C1320=TRUE)*(F1320-Calc!F26))+B1328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1311*(MIN(100,(Inputs!$B$9+((C1320=TRUE)*(F1320-Calc!F26))+B1328+(ArtifactsInput!$M$24-ArtifactsInput!$M$24)*CHOOSE(ArtifactsInput!$N$24+1,10,12,14,16,18,20)+(IF(AND(Inputs!$B$39&lt;&gt;"pvp",Inputs!$B$44=0),1,IF(IF(Inputs!$B$39="pvp",15,Inputs!$B$44)-(B1339)&lt;=0,1,MAX(0,IF(Inputs!$B$39="pvp",15,Inputs!$B$44)-MAX(5,B1339))/(IF(Inputs!$B$39="pvp",15,Inputs!$B$44)-(B1339))))*IF(AND(ArtifactsInput!$M$42,((Inputs!$B$9+((C1320=TRUE)*(F1320-Calc!F26))+B1328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1311">
        <f>IF(C1311,(Inputs!$B$38*0.2*N1311)*IF(Inputs!$B$39="pvp",1,(1+(Inputs!$B$21+Skills!Q17+B1329+(IF(ArtifactsInput!$M$33,CHOOSE(ArtifactsInput!$N$33+1,30,36,42,48,54,60),0))+(IF(AND(ArtifactsInput!$M$35,Inputs!$B$4&lt;&gt;"Chapter Hunt"),CHOOSE(ArtifactsInput!$N$35+1,15,18,21,24,27,30)*(1-EXP(-(0.2*B1332)*5)),0)+IF(AND(ArtifactsInput!$M$22,Inputs!$B$4&lt;&gt;"Chapter Hunt"),CHOOSE(ArtifactsInput!$N$22+1,10,12,14,16,18,20)*((0*(((0.15*B1332*5))^0/1)+1*(((0.15*B1332*5))^1/1)+2*(((0.15*B1332*5))^2/2)+3*(((0.15*B1332*5))^3/6)+4*(((0.15*B1332*5))^4/24)+5*(((0.15*B1332*5))^5/120))/((((0.15*B1332*5))^0/1)+(((0.15*B1332*5))^1/1)+(((0.15*B1332*5))^2/2)+(((0.15*B1332*5))^3/6)+(((0.15*B1332*5))^4/24)+(((0.15*B1332*5))^5/120))),0)))/100)*(MIN(Skills!W17,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312">
      <c r="A1312">
        <f>Skills!A18</f>
        <v/>
      </c>
      <c r="B1312">
        <f>Skills!B18</f>
        <v/>
      </c>
      <c r="C1312">
        <f>Inputs!$B$3&gt;=115</f>
        <v/>
      </c>
      <c r="D1312">
        <f>IF(Skills!C18=1,60+Inputs!$B$25+Inputs!$B$29,IF(Skills!C18=2,90+Inputs!$B$26+Inputs!$B$29,IF(Skills!C18=3,120+Inputs!$B$27+Inputs!$B$29,MAX(0,(Inputs!$B$3-100)*3)+Inputs!$B$28+Inputs!$B$29)))</f>
        <v/>
      </c>
      <c r="E1312">
        <f>INDEX(FactorTable!$B$2:$Y$301, MATCH(ROUND(MIN(300,MAX(1,D1312)),0), FactorTable!$A$2:$A$301,0), Skills!M18+1)</f>
        <v/>
      </c>
      <c r="F1312">
        <f>IF(Skills!N18=TRUE,(Skills!L18/10)*(E1312/1000),Skills!L18/10)+Skills!O18</f>
        <v/>
      </c>
      <c r="G1312">
        <f>Skills!G18*IF(Skills!H18&gt;0,IF(Inputs!$B$39="pvp",MIN(Skills!I18,15),Skills!I18)/Skills!H18,1)</f>
        <v/>
      </c>
      <c r="H1312">
        <f>1-(1-Skills!J18/100)^Skills!K18</f>
        <v/>
      </c>
      <c r="I1312" t="inlineStr">
        <is>
          <t>1</t>
        </is>
      </c>
      <c r="J1312" t="inlineStr"/>
      <c r="K1312" t="inlineStr"/>
      <c r="L1312" t="inlineStr"/>
      <c r="M1312" t="inlineStr"/>
      <c r="N1312" t="inlineStr"/>
      <c r="O1312">
        <f>(1-Summary!$B$11)*T1312+Summary!$B$11*V1312</f>
        <v/>
      </c>
      <c r="P1312">
        <f>IF(B1340=0,0,O1312/B1340)</f>
        <v/>
      </c>
      <c r="Q1312" t="n">
        <v>0</v>
      </c>
      <c r="R1312" t="n">
        <v>0</v>
      </c>
      <c r="S1312">
        <f>IFERROR(O1312/N1312,0)</f>
        <v/>
      </c>
      <c r="T1312" t="n">
        <v>0</v>
      </c>
      <c r="V1312" t="n">
        <v>0</v>
      </c>
    </row>
    <row r="1313">
      <c r="A1313">
        <f>Skills!A19</f>
        <v/>
      </c>
      <c r="B1313">
        <f>Skills!B19</f>
        <v/>
      </c>
      <c r="C1313">
        <f>Inputs!$B$3&gt;=100</f>
        <v/>
      </c>
      <c r="D1313">
        <f>IF(Skills!C19=1,60+Inputs!$B$25+Inputs!$B$29,IF(Skills!C19=2,90+Inputs!$B$26+Inputs!$B$29,IF(Skills!C19=3,120+Inputs!$B$27+Inputs!$B$29,MAX(0,(Inputs!$B$3-100)*3)+Inputs!$B$28+Inputs!$B$29)))</f>
        <v/>
      </c>
      <c r="E1313">
        <f>INDEX(FactorTable!$B$2:$Y$301, MATCH(ROUND(MIN(300,MAX(1,D1313)),0), FactorTable!$A$2:$A$301,0), Skills!M19+1)</f>
        <v/>
      </c>
      <c r="F1313">
        <f>IF(Skills!N19=TRUE,(Skills!L19/10)*(E1313/1000),Skills!L19/10)+Skills!O19</f>
        <v/>
      </c>
      <c r="G1313">
        <f>Skills!G19*IF(Skills!H19&gt;0,IF(Inputs!$B$39="pvp",MIN(Skills!I19,15),Skills!I19)/Skills!H19,1)</f>
        <v/>
      </c>
      <c r="H1313">
        <f>1-(1-Skills!J19/100)^Skills!K19</f>
        <v/>
      </c>
      <c r="I1313" t="inlineStr">
        <is>
          <t>1</t>
        </is>
      </c>
      <c r="J1313" t="inlineStr"/>
      <c r="K1313" t="inlineStr"/>
      <c r="L1313" t="inlineStr"/>
      <c r="M1313" t="inlineStr"/>
      <c r="N1313" t="inlineStr"/>
      <c r="O1313">
        <f>(1-Summary!$B$11)*T1313+Summary!$B$11*V1313</f>
        <v/>
      </c>
      <c r="P1313">
        <f>IF(B1340=0,0,O1313/B1340)</f>
        <v/>
      </c>
      <c r="Q1313" t="n">
        <v>0</v>
      </c>
      <c r="R1313" t="n">
        <v>0</v>
      </c>
      <c r="S1313">
        <f>IFERROR(O1313/N1313,0)</f>
        <v/>
      </c>
      <c r="T1313" t="n">
        <v>0</v>
      </c>
      <c r="V1313" t="n">
        <v>0</v>
      </c>
    </row>
    <row r="1314">
      <c r="A1314">
        <f>Skills!A20</f>
        <v/>
      </c>
      <c r="B1314">
        <f>Skills!B20</f>
        <v/>
      </c>
      <c r="C1314">
        <f>TRUE</f>
        <v/>
      </c>
      <c r="D1314">
        <f>IF(Skills!C20=1,60+Inputs!$B$25+Inputs!$B$29,IF(Skills!C20=2,90+Inputs!$B$26+Inputs!$B$29,IF(Skills!C20=3,120+Inputs!$B$27+Inputs!$B$29,MAX(0,(Inputs!$B$3-100)*3)+Inputs!$B$28+Inputs!$B$29)))</f>
        <v/>
      </c>
      <c r="E1314">
        <f>INDEX(FactorTable!$B$2:$Y$301, MATCH(ROUND(MIN(300,MAX(1,D1314)),0), FactorTable!$A$2:$A$301,0), Skills!M20+1)</f>
        <v/>
      </c>
      <c r="F1314">
        <f>IF(Skills!N20=TRUE,(Skills!L20/10)*(E1314/1000),Skills!L20/10)+Skills!O20</f>
        <v/>
      </c>
      <c r="G1314">
        <f>Skills!G20*IF(Skills!H20&gt;0,IF(Inputs!$B$39="pvp",MIN(Skills!I20,15),Skills!I20)/Skills!H20,1)</f>
        <v/>
      </c>
      <c r="H1314">
        <f>1-(1-Skills!J20/100)^Skills!K20</f>
        <v/>
      </c>
      <c r="I1314" t="inlineStr">
        <is>
          <t>1</t>
        </is>
      </c>
      <c r="J1314" t="inlineStr"/>
      <c r="K1314" t="inlineStr"/>
      <c r="L1314" t="inlineStr"/>
      <c r="M1314" t="inlineStr"/>
      <c r="N1314" t="inlineStr"/>
      <c r="O1314">
        <f>(1-Summary!$B$11)*T1314+Summary!$B$11*V1314</f>
        <v/>
      </c>
      <c r="P1314">
        <f>IF(B1340=0,0,O1314/B1340)</f>
        <v/>
      </c>
      <c r="Q1314">
        <f>IFERROR(1/IF(Inputs!$B$39="pvp",15,MAX(0.1,Skills!D20-IF(TRUE=TRUE,Inputs!$B$32,0))),0)</f>
        <v/>
      </c>
      <c r="R1314">
        <f>IF(AND(Inputs!$B$39&lt;&gt;"pvp",Inputs!$B$44&gt;0),IF(Inputs!$B$44&lt;=0,0,(INT(Inputs!$B$44/IF(Inputs!$B$39="pvp",15,MAX(0.1,Skills!D20-IF(TRUE=TRUE,Inputs!$B$32,0))))+1)),0)</f>
        <v/>
      </c>
      <c r="S1314">
        <f>IFERROR(O1314/N1314,0)</f>
        <v/>
      </c>
      <c r="T1314" t="n">
        <v>0</v>
      </c>
      <c r="V1314" t="n">
        <v>0</v>
      </c>
    </row>
    <row r="1315">
      <c r="A1315">
        <f>Skills!A21</f>
        <v/>
      </c>
      <c r="B1315">
        <f>Skills!B21</f>
        <v/>
      </c>
      <c r="C1315">
        <f>Inputs!$B$3&gt;=15</f>
        <v/>
      </c>
      <c r="D1315">
        <f>IF(Skills!C21=1,60+Inputs!$B$25+Inputs!$B$29,IF(Skills!C21=2,90+Inputs!$B$26+Inputs!$B$29,IF(Skills!C21=3,120+Inputs!$B$27+Inputs!$B$29,MAX(0,(Inputs!$B$3-100)*3)+Inputs!$B$28+Inputs!$B$29)))</f>
        <v/>
      </c>
      <c r="E1315">
        <f>INDEX(FactorTable!$B$2:$Y$301, MATCH(ROUND(MIN(300,MAX(1,D1315)),0), FactorTable!$A$2:$A$301,0), Skills!M21+1)</f>
        <v/>
      </c>
      <c r="F1315">
        <f>IF(Skills!N21=TRUE,(Skills!L21/10)*(E1315/1000),Skills!L21/10)+Skills!O21</f>
        <v/>
      </c>
      <c r="G1315">
        <f>Skills!G21*IF(Skills!H21&gt;0,IF(Inputs!$B$39="pvp",MIN(Skills!I21,15),Skills!I21)/Skills!H21,1)</f>
        <v/>
      </c>
      <c r="H1315">
        <f>1-(1-Skills!J21/100)^Skills!K21</f>
        <v/>
      </c>
      <c r="I1315" t="inlineStr">
        <is>
          <t>1</t>
        </is>
      </c>
      <c r="J1315" t="inlineStr"/>
      <c r="K1315" t="inlineStr"/>
      <c r="L1315" t="inlineStr"/>
      <c r="M1315" t="inlineStr"/>
      <c r="N1315" t="inlineStr"/>
      <c r="O1315">
        <f>(1-Summary!$B$11)*T1315+Summary!$B$11*V1315</f>
        <v/>
      </c>
      <c r="P1315">
        <f>IF(B1340=0,0,O1315/B1340)</f>
        <v/>
      </c>
      <c r="Q1315">
        <f>IFERROR(1/IF(Inputs!$B$39="pvp",15,MAX(0.1,Skills!D21-IF(TRUE=TRUE,Inputs!$B$32,0))),0)</f>
        <v/>
      </c>
      <c r="R1315">
        <f>IF(AND(Inputs!$B$39&lt;&gt;"pvp",Inputs!$B$44&gt;0),IF(Inputs!$B$44&lt;=0,0,(INT(Inputs!$B$44/IF(Inputs!$B$39="pvp",15,MAX(0.1,Skills!D21-IF(TRUE=TRUE,Inputs!$B$32,0))))+1)),0)</f>
        <v/>
      </c>
      <c r="S1315">
        <f>IFERROR(O1315/N1315,0)</f>
        <v/>
      </c>
      <c r="T1315" t="n">
        <v>0</v>
      </c>
      <c r="V1315" t="n">
        <v>0</v>
      </c>
    </row>
    <row r="1316">
      <c r="A1316">
        <f>Skills!A22</f>
        <v/>
      </c>
      <c r="B1316">
        <f>Skills!B22</f>
        <v/>
      </c>
      <c r="C1316">
        <f>Inputs!$B$3&gt;=15</f>
        <v/>
      </c>
      <c r="D1316">
        <f>IF(Skills!C22=1,60+Inputs!$B$25+Inputs!$B$29,IF(Skills!C22=2,90+Inputs!$B$26+Inputs!$B$29,IF(Skills!C22=3,120+Inputs!$B$27+Inputs!$B$29,MAX(0,(Inputs!$B$3-100)*3)+Inputs!$B$28+Inputs!$B$29)))</f>
        <v/>
      </c>
      <c r="E1316">
        <f>INDEX(FactorTable!$B$2:$Y$301, MATCH(ROUND(MIN(300,MAX(1,D1316)),0), FactorTable!$A$2:$A$301,0), Skills!M22+1)</f>
        <v/>
      </c>
      <c r="F1316">
        <f>IF(Skills!N22=TRUE,(Skills!L22/10)*(E1316/1000),Skills!L22/10)+Skills!O22</f>
        <v/>
      </c>
      <c r="G1316">
        <f>Skills!G22*IF(Skills!H22&gt;0,IF(Inputs!$B$39="pvp",MIN(Skills!I22,15),Skills!I22)/Skills!H22,1)</f>
        <v/>
      </c>
      <c r="H1316">
        <f>1-(1-Skills!J22/100)^Skills!K22</f>
        <v/>
      </c>
      <c r="I1316" t="inlineStr">
        <is>
          <t>1</t>
        </is>
      </c>
      <c r="J1316" t="inlineStr"/>
      <c r="K1316" t="inlineStr"/>
      <c r="L1316" t="inlineStr"/>
      <c r="M1316" t="inlineStr"/>
      <c r="N1316" t="inlineStr"/>
      <c r="O1316">
        <f>(1-Summary!$B$11)*T1316+Summary!$B$11*V1316</f>
        <v/>
      </c>
      <c r="P1316">
        <f>IF(B1340=0,0,O1316/B1340)</f>
        <v/>
      </c>
      <c r="Q1316">
        <f>IFERROR(1/IF(Inputs!$B$39="pvp",15,MAX(0.1,Skills!D22-IF(TRUE=TRUE,Inputs!$B$32,0))),0)</f>
        <v/>
      </c>
      <c r="R1316">
        <f>IF(AND(Inputs!$B$39&lt;&gt;"pvp",Inputs!$B$44&gt;0),IF(Inputs!$B$44&lt;=0,0,(INT(Inputs!$B$44/IF(Inputs!$B$39="pvp",15,MAX(0.1,Skills!D22-IF(TRUE=TRUE,Inputs!$B$32,0))))+1)),0)</f>
        <v/>
      </c>
      <c r="S1316">
        <f>IFERROR(O1316/N1316,0)</f>
        <v/>
      </c>
      <c r="T1316" t="n">
        <v>0</v>
      </c>
      <c r="V1316" t="n">
        <v>0</v>
      </c>
    </row>
    <row r="1317">
      <c r="A1317">
        <f>Skills!A23</f>
        <v/>
      </c>
      <c r="B1317">
        <f>Skills!B23</f>
        <v/>
      </c>
      <c r="C1317">
        <f>Inputs!$B$3&gt;=33</f>
        <v/>
      </c>
      <c r="D1317">
        <f>IF(Skills!C23=1,60+Inputs!$B$25+Inputs!$B$29,IF(Skills!C23=2,90+Inputs!$B$26+Inputs!$B$29,IF(Skills!C23=3,120+Inputs!$B$27+Inputs!$B$29,MAX(0,(Inputs!$B$3-100)*3)+Inputs!$B$28+Inputs!$B$29)))</f>
        <v/>
      </c>
      <c r="E1317">
        <f>INDEX(FactorTable!$B$2:$Y$301, MATCH(ROUND(MIN(300,MAX(1,D1317)),0), FactorTable!$A$2:$A$301,0), Skills!M23+1)</f>
        <v/>
      </c>
      <c r="F1317">
        <f>IF(Skills!N23=TRUE,(Skills!L23/10)*(E1317/1000),Skills!L23/10)+Skills!O23</f>
        <v/>
      </c>
      <c r="G1317">
        <f>Skills!G23*IF(Skills!H23&gt;0,IF(Inputs!$B$39="pvp",MIN(Skills!I23,15),Skills!I23)/Skills!H23,1)</f>
        <v/>
      </c>
      <c r="H1317">
        <f>1-(1-Skills!J23/100)^Skills!K23</f>
        <v/>
      </c>
      <c r="I1317" t="inlineStr">
        <is>
          <t>1</t>
        </is>
      </c>
      <c r="J1317" t="inlineStr"/>
      <c r="K1317" t="inlineStr"/>
      <c r="L1317" t="inlineStr"/>
      <c r="M1317" t="inlineStr"/>
      <c r="N1317" t="inlineStr"/>
      <c r="O1317">
        <f>(1-Summary!$B$11)*T1317+Summary!$B$11*V1317</f>
        <v/>
      </c>
      <c r="P1317">
        <f>IF(B1340=0,0,O1317/B1340)</f>
        <v/>
      </c>
      <c r="Q1317" t="n">
        <v>0</v>
      </c>
      <c r="R1317" t="n">
        <v>0</v>
      </c>
      <c r="S1317">
        <f>IFERROR(O1317/N1317,0)</f>
        <v/>
      </c>
      <c r="T1317" t="n">
        <v>0</v>
      </c>
      <c r="V1317" t="n">
        <v>0</v>
      </c>
    </row>
    <row r="1318">
      <c r="A1318">
        <f>Skills!A24</f>
        <v/>
      </c>
      <c r="B1318">
        <f>Skills!B24</f>
        <v/>
      </c>
      <c r="C1318">
        <f>Inputs!$B$3&gt;=40</f>
        <v/>
      </c>
      <c r="D1318">
        <f>IF(Skills!C24=1,60+Inputs!$B$25+Inputs!$B$29,IF(Skills!C24=2,90+Inputs!$B$26+Inputs!$B$29,IF(Skills!C24=3,120+Inputs!$B$27+Inputs!$B$29,MAX(0,(Inputs!$B$3-100)*3)+Inputs!$B$28+Inputs!$B$29)))</f>
        <v/>
      </c>
      <c r="E1318">
        <f>INDEX(FactorTable!$B$2:$Y$301, MATCH(ROUND(MIN(300,MAX(1,D1318)),0), FactorTable!$A$2:$A$301,0), Skills!M24+1)</f>
        <v/>
      </c>
      <c r="F1318">
        <f>IF(Skills!N24=TRUE,(Skills!L24/10)*(E1318/1000),Skills!L24/10)+Skills!O24</f>
        <v/>
      </c>
      <c r="G1318">
        <f>Skills!G24*IF(Skills!H24&gt;0,IF(Inputs!$B$39="pvp",MIN(Skills!I24,15),Skills!I24)/Skills!H24,1)</f>
        <v/>
      </c>
      <c r="H1318">
        <f>1-(1-Skills!J24/100)^Skills!K24</f>
        <v/>
      </c>
      <c r="I1318" t="inlineStr">
        <is>
          <t>1</t>
        </is>
      </c>
      <c r="J1318" t="inlineStr"/>
      <c r="K1318" t="inlineStr"/>
      <c r="L1318" t="inlineStr"/>
      <c r="M1318" t="inlineStr"/>
      <c r="N1318" t="inlineStr"/>
      <c r="O1318">
        <f>(1-Summary!$B$11)*T1318+Summary!$B$11*V1318</f>
        <v/>
      </c>
      <c r="P1318">
        <f>IF(B1340=0,0,O1318/B1340)</f>
        <v/>
      </c>
      <c r="Q1318" t="n">
        <v>0</v>
      </c>
      <c r="R1318" t="n">
        <v>0</v>
      </c>
      <c r="S1318">
        <f>IFERROR(O1318/N1318,0)</f>
        <v/>
      </c>
      <c r="T1318" t="n">
        <v>0</v>
      </c>
      <c r="V1318" t="n">
        <v>0</v>
      </c>
    </row>
    <row r="1319">
      <c r="A1319">
        <f>Skills!A25</f>
        <v/>
      </c>
      <c r="B1319">
        <f>Skills!B25</f>
        <v/>
      </c>
      <c r="C1319">
        <f>Inputs!$B$3&gt;=43</f>
        <v/>
      </c>
      <c r="D1319">
        <f>IF(Skills!C25=1,60+Inputs!$B$25+Inputs!$B$29,IF(Skills!C25=2,90+Inputs!$B$26+Inputs!$B$29,IF(Skills!C25=3,120+Inputs!$B$27+Inputs!$B$29,MAX(0,(Inputs!$B$3-100)*3)+Inputs!$B$28+Inputs!$B$29)))</f>
        <v/>
      </c>
      <c r="E1319">
        <f>INDEX(FactorTable!$B$2:$Y$301, MATCH(ROUND(MIN(300,MAX(1,D1319)),0), FactorTable!$A$2:$A$301,0), Skills!M25+1)</f>
        <v/>
      </c>
      <c r="F1319">
        <f>IF(Skills!N25=TRUE,(Skills!L25/10)*(E1319/1000),Skills!L25/10)+Skills!O25</f>
        <v/>
      </c>
      <c r="G1319">
        <f>Skills!G25*IF(Skills!H25&gt;0,IF(Inputs!$B$39="pvp",MIN(Skills!I25,15),Skills!I25)/Skills!H25,1)</f>
        <v/>
      </c>
      <c r="H1319">
        <f>1-(1-Skills!J25/100)^Skills!K25</f>
        <v/>
      </c>
      <c r="I1319" t="inlineStr">
        <is>
          <t>1</t>
        </is>
      </c>
      <c r="J1319" t="inlineStr"/>
      <c r="K1319" t="inlineStr"/>
      <c r="L1319" t="inlineStr"/>
      <c r="M1319" t="inlineStr"/>
      <c r="N1319" t="inlineStr"/>
      <c r="O1319">
        <f>(1-Summary!$B$11)*T1319+Summary!$B$11*V1319</f>
        <v/>
      </c>
      <c r="P1319">
        <f>IF(B1340=0,0,O1319/B1340)</f>
        <v/>
      </c>
      <c r="Q1319" t="n">
        <v>0</v>
      </c>
      <c r="R1319" t="n">
        <v>0</v>
      </c>
      <c r="S1319">
        <f>IFERROR(O1319/N1319,0)</f>
        <v/>
      </c>
      <c r="T1319" t="n">
        <v>0</v>
      </c>
      <c r="V1319" t="n">
        <v>0</v>
      </c>
    </row>
    <row r="1320">
      <c r="A1320">
        <f>Skills!A26</f>
        <v/>
      </c>
      <c r="B1320">
        <f>Skills!B26</f>
        <v/>
      </c>
      <c r="C1320">
        <f>Inputs!$B$3&gt;=50</f>
        <v/>
      </c>
      <c r="D1320">
        <f>IF(Skills!C26=1,60+Inputs!$B$25+Inputs!$B$29,IF(Skills!C26=2,90+Inputs!$B$26+Inputs!$B$29,IF(Skills!C26=3,120+Inputs!$B$27+Inputs!$B$29,MAX(0,(Inputs!$B$3-100)*3)+Inputs!$B$28+Inputs!$B$29)))</f>
        <v/>
      </c>
      <c r="E1320">
        <f>INDEX(FactorTable!$B$2:$Y$301, MATCH(ROUND(MIN(300,MAX(1,D1320)),0), FactorTable!$A$2:$A$301,0), Skills!M26+1)</f>
        <v/>
      </c>
      <c r="F1320">
        <f>IF(Skills!N26=TRUE,(Skills!L26/10)*(E1320/1000),Skills!L26/10)+Skills!O26</f>
        <v/>
      </c>
      <c r="G1320">
        <f>Skills!G26*IF(Skills!H26&gt;0,IF(Inputs!$B$39="pvp",MIN(Skills!I26,15),Skills!I26)/Skills!H26,1)</f>
        <v/>
      </c>
      <c r="H1320">
        <f>1-(1-Skills!J26/100)^Skills!K26</f>
        <v/>
      </c>
      <c r="I1320" t="inlineStr">
        <is>
          <t>1</t>
        </is>
      </c>
      <c r="J1320" t="inlineStr"/>
      <c r="K1320" t="inlineStr"/>
      <c r="L1320" t="inlineStr"/>
      <c r="M1320" t="inlineStr"/>
      <c r="N1320" t="inlineStr"/>
      <c r="O1320">
        <f>(1-Summary!$B$11)*T1320+Summary!$B$11*V1320</f>
        <v/>
      </c>
      <c r="P1320">
        <f>IF(B1340=0,0,O1320/B1340)</f>
        <v/>
      </c>
      <c r="Q1320" t="n">
        <v>0</v>
      </c>
      <c r="R1320" t="n">
        <v>0</v>
      </c>
      <c r="S1320">
        <f>IFERROR(O1320/N1320,0)</f>
        <v/>
      </c>
      <c r="T1320" t="n">
        <v>0</v>
      </c>
      <c r="V1320" t="n">
        <v>0</v>
      </c>
    </row>
    <row r="1321">
      <c r="A1321">
        <f>Skills!A27</f>
        <v/>
      </c>
      <c r="B1321">
        <f>Skills!B27</f>
        <v/>
      </c>
      <c r="C1321">
        <f>Inputs!$B$3&gt;=50</f>
        <v/>
      </c>
      <c r="D1321">
        <f>IF(Skills!C27=1,60+Inputs!$B$25+Inputs!$B$29,IF(Skills!C27=2,90+Inputs!$B$26+Inputs!$B$29,IF(Skills!C27=3,120+Inputs!$B$27+Inputs!$B$29,MAX(0,(Inputs!$B$3-100)*3)+Inputs!$B$28+Inputs!$B$29)))</f>
        <v/>
      </c>
      <c r="E1321">
        <f>INDEX(FactorTable!$B$2:$Y$301, MATCH(ROUND(MIN(300,MAX(1,D1321)),0), FactorTable!$A$2:$A$301,0), Skills!M27+1)</f>
        <v/>
      </c>
      <c r="F1321">
        <f>IF(Skills!N27=TRUE,(Skills!L27/10)*(E1321/1000),Skills!L27/10)+Skills!O27</f>
        <v/>
      </c>
      <c r="G1321">
        <f>Skills!G27*IF(Skills!H27&gt;0,IF(Inputs!$B$39="pvp",MIN(Skills!I27,15),Skills!I27)/Skills!H27,1)</f>
        <v/>
      </c>
      <c r="H1321">
        <f>1-(1-Skills!J27/100)^Skills!K27</f>
        <v/>
      </c>
      <c r="I1321" t="inlineStr">
        <is>
          <t>1</t>
        </is>
      </c>
      <c r="J1321" t="inlineStr"/>
      <c r="K1321" t="inlineStr"/>
      <c r="L1321" t="inlineStr"/>
      <c r="M1321" t="inlineStr"/>
      <c r="N1321" t="inlineStr"/>
      <c r="O1321">
        <f>(1-Summary!$B$11)*T1321+Summary!$B$11*V1321</f>
        <v/>
      </c>
      <c r="P1321">
        <f>IF(B1340=0,0,O1321/B1340)</f>
        <v/>
      </c>
      <c r="Q1321" t="n">
        <v>0</v>
      </c>
      <c r="R1321" t="n">
        <v>0</v>
      </c>
      <c r="S1321">
        <f>IFERROR(O1321/N1321,0)</f>
        <v/>
      </c>
      <c r="T1321" t="n">
        <v>0</v>
      </c>
      <c r="V1321" t="n">
        <v>0</v>
      </c>
    </row>
    <row r="1322">
      <c r="A1322">
        <f>Skills!A28</f>
        <v/>
      </c>
      <c r="B1322">
        <f>Skills!B28</f>
        <v/>
      </c>
      <c r="C1322">
        <f>Inputs!$B$3&gt;=38</f>
        <v/>
      </c>
      <c r="D1322">
        <f>IF(Skills!C28=1,60+Inputs!$B$25+Inputs!$B$29,IF(Skills!C28=2,90+Inputs!$B$26+Inputs!$B$29,IF(Skills!C28=3,120+Inputs!$B$27+Inputs!$B$29,MAX(0,(Inputs!$B$3-100)*3)+Inputs!$B$28+Inputs!$B$29)))</f>
        <v/>
      </c>
      <c r="E1322">
        <f>INDEX(FactorTable!$B$2:$Y$301, MATCH(ROUND(MIN(300,MAX(1,D1322)),0), FactorTable!$A$2:$A$301,0), Skills!M28+1)</f>
        <v/>
      </c>
      <c r="F1322">
        <f>IF(Skills!N28=TRUE,(Skills!L28/10)*(E1322/1000),Skills!L28/10)+Skills!O28</f>
        <v/>
      </c>
      <c r="G1322">
        <f>Skills!G28*IF(Skills!H28&gt;0,IF(Inputs!$B$39="pvp",MIN(Skills!I28,15),Skills!I28)/Skills!H28,1)</f>
        <v/>
      </c>
      <c r="H1322">
        <f>1-(1-Skills!J28/100)^Skills!K28</f>
        <v/>
      </c>
      <c r="I1322" t="inlineStr">
        <is>
          <t>1</t>
        </is>
      </c>
      <c r="J1322" t="inlineStr"/>
      <c r="K1322" t="inlineStr"/>
      <c r="L1322" t="inlineStr"/>
      <c r="M1322" t="inlineStr"/>
      <c r="N1322" t="inlineStr"/>
      <c r="O1322">
        <f>(1-Summary!$B$11)*T1322+Summary!$B$11*V1322</f>
        <v/>
      </c>
      <c r="P1322">
        <f>IF(B1340=0,0,O1322/B1340)</f>
        <v/>
      </c>
      <c r="Q1322" t="n">
        <v>0</v>
      </c>
      <c r="R1322" t="n">
        <v>0</v>
      </c>
      <c r="S1322">
        <f>IFERROR(O1322/N1322,0)</f>
        <v/>
      </c>
      <c r="T1322" t="n">
        <v>0</v>
      </c>
      <c r="V1322" t="n">
        <v>0</v>
      </c>
    </row>
    <row r="1323">
      <c r="A1323">
        <f>Skills!A29</f>
        <v/>
      </c>
      <c r="B1323">
        <f>Skills!B29</f>
        <v/>
      </c>
      <c r="C1323">
        <f>Inputs!$B$3&gt;=120</f>
        <v/>
      </c>
      <c r="D1323">
        <f>IF(Skills!C29=1,60+Inputs!$B$25+Inputs!$B$29,IF(Skills!C29=2,90+Inputs!$B$26+Inputs!$B$29,IF(Skills!C29=3,120+Inputs!$B$27+Inputs!$B$29,MAX(0,(Inputs!$B$3-100)*3)+Inputs!$B$28+Inputs!$B$29)))</f>
        <v/>
      </c>
      <c r="E1323">
        <f>INDEX(FactorTable!$B$2:$Y$301, MATCH(ROUND(MIN(300,MAX(1,D1323)),0), FactorTable!$A$2:$A$301,0), Skills!M29+1)</f>
        <v/>
      </c>
      <c r="F1323">
        <f>IF(Skills!N29=TRUE,(Skills!L29/10)*(E1323/1000),Skills!L29/10)+Skills!O29</f>
        <v/>
      </c>
      <c r="G1323">
        <f>Skills!G29*IF(Skills!H29&gt;0,IF(Inputs!$B$39="pvp",MIN(Skills!I29,15),Skills!I29)/Skills!H29,1)</f>
        <v/>
      </c>
      <c r="H1323">
        <f>1-(1-Skills!J29/100)^Skills!K29</f>
        <v/>
      </c>
      <c r="I1323" t="inlineStr">
        <is>
          <t>1</t>
        </is>
      </c>
      <c r="J1323" t="inlineStr"/>
      <c r="K1323" t="inlineStr"/>
      <c r="L1323" t="inlineStr"/>
      <c r="M1323" t="inlineStr"/>
      <c r="N1323" t="inlineStr"/>
      <c r="O1323">
        <f>(1-Summary!$B$11)*T1323+Summary!$B$11*V1323</f>
        <v/>
      </c>
      <c r="P1323">
        <f>IF(B1340=0,0,O1323/B1340)</f>
        <v/>
      </c>
      <c r="Q1323" t="n">
        <v>0</v>
      </c>
      <c r="R1323" t="n">
        <v>0</v>
      </c>
      <c r="S1323">
        <f>IFERROR(O1323/N1323,0)</f>
        <v/>
      </c>
      <c r="T1323" t="n">
        <v>0</v>
      </c>
      <c r="V1323" t="n">
        <v>0</v>
      </c>
    </row>
    <row r="1324">
      <c r="A1324">
        <f>Skills!A30</f>
        <v/>
      </c>
      <c r="B1324">
        <f>Skills!B30</f>
        <v/>
      </c>
      <c r="C1324">
        <f>Inputs!$B$3&gt;=120</f>
        <v/>
      </c>
      <c r="D1324">
        <f>IF(Skills!C30=1,60+Inputs!$B$25+Inputs!$B$29,IF(Skills!C30=2,90+Inputs!$B$26+Inputs!$B$29,IF(Skills!C30=3,120+Inputs!$B$27+Inputs!$B$29,MAX(0,(Inputs!$B$3-100)*3)+Inputs!$B$28+Inputs!$B$29)))</f>
        <v/>
      </c>
      <c r="E1324">
        <f>INDEX(FactorTable!$B$2:$Y$301, MATCH(ROUND(MIN(300,MAX(1,D1324)),0), FactorTable!$A$2:$A$301,0), Skills!M30+1)</f>
        <v/>
      </c>
      <c r="F1324">
        <f>IF(Skills!N30=TRUE,(Skills!L30/10)*(E1324/1000),Skills!L30/10)+Skills!O30</f>
        <v/>
      </c>
      <c r="G1324">
        <f>Skills!G30*IF(Skills!H30&gt;0,IF(Inputs!$B$39="pvp",MIN(Skills!I30,15),Skills!I30)/Skills!H30,1)</f>
        <v/>
      </c>
      <c r="H1324">
        <f>1-(1-Skills!J30/100)^Skills!K30</f>
        <v/>
      </c>
      <c r="I1324" t="inlineStr">
        <is>
          <t>1</t>
        </is>
      </c>
      <c r="J1324" t="inlineStr"/>
      <c r="K1324" t="inlineStr"/>
      <c r="L1324" t="inlineStr"/>
      <c r="M1324" t="inlineStr"/>
      <c r="N1324" t="inlineStr"/>
      <c r="O1324">
        <f>(1-Summary!$B$11)*T1324+Summary!$B$11*V1324</f>
        <v/>
      </c>
      <c r="P1324">
        <f>IF(B1340=0,0,O1324/B1340)</f>
        <v/>
      </c>
      <c r="Q1324" t="n">
        <v>0</v>
      </c>
      <c r="R1324" t="n">
        <v>0</v>
      </c>
      <c r="S1324">
        <f>IFERROR(O1324/N1324,0)</f>
        <v/>
      </c>
      <c r="T1324" t="n">
        <v>0</v>
      </c>
      <c r="V1324" t="n">
        <v>0</v>
      </c>
    </row>
    <row r="1325">
      <c r="A1325">
        <f>Skills!A31</f>
        <v/>
      </c>
      <c r="B1325">
        <f>Skills!B31</f>
        <v/>
      </c>
      <c r="C1325">
        <f>Inputs!$B$3&gt;=125</f>
        <v/>
      </c>
      <c r="D1325">
        <f>IF(Skills!C31=1,60+Inputs!$B$25+Inputs!$B$29,IF(Skills!C31=2,90+Inputs!$B$26+Inputs!$B$29,IF(Skills!C31=3,120+Inputs!$B$27+Inputs!$B$29,MAX(0,(Inputs!$B$3-100)*3)+Inputs!$B$28+Inputs!$B$29)))</f>
        <v/>
      </c>
      <c r="E1325">
        <f>INDEX(FactorTable!$B$2:$Y$301, MATCH(ROUND(MIN(300,MAX(1,D1325)),0), FactorTable!$A$2:$A$301,0), Skills!M31+1)</f>
        <v/>
      </c>
      <c r="F1325">
        <f>IF(Skills!N31=TRUE,(Skills!L31/10)*(E1325/1000),Skills!L31/10)+Skills!O31</f>
        <v/>
      </c>
      <c r="G1325">
        <f>Skills!G31*IF(Skills!H31&gt;0,IF(Inputs!$B$39="pvp",MIN(Skills!I31,15),Skills!I31)/Skills!H31,1)</f>
        <v/>
      </c>
      <c r="H1325">
        <f>1-(1-Skills!J31/100)^Skills!K31</f>
        <v/>
      </c>
      <c r="I1325" t="inlineStr">
        <is>
          <t>1</t>
        </is>
      </c>
      <c r="J1325" t="inlineStr"/>
      <c r="K1325" t="inlineStr"/>
      <c r="L1325" t="inlineStr"/>
      <c r="M1325" t="inlineStr"/>
      <c r="N1325" t="inlineStr"/>
      <c r="O1325">
        <f>(1-Summary!$B$11)*T1325+Summary!$B$11*V1325</f>
        <v/>
      </c>
      <c r="P1325">
        <f>IF(B1340=0,0,O1325/B1340)</f>
        <v/>
      </c>
      <c r="Q1325" t="n">
        <v>0</v>
      </c>
      <c r="R1325" t="n">
        <v>0</v>
      </c>
      <c r="S1325">
        <f>IFERROR(O1325/N1325,0)</f>
        <v/>
      </c>
      <c r="T1325" t="n">
        <v>0</v>
      </c>
      <c r="V1325" t="n">
        <v>0</v>
      </c>
    </row>
    <row r="1327">
      <c r="A1327" t="inlineStr">
        <is>
          <t>Average Buff Multiplier</t>
        </is>
      </c>
      <c r="B1327">
        <f>(1+(((C1316=TRUE)*F1316*IF(AND(Inputs!$B$39&lt;&gt;"pvp",Inputs!$B$44&gt;0),(((R1316-1)*MIN((Skills!Y22*(1+Inputs!$B$34/100)),(1/Q1316))+MIN((Skills!Y22*(1+Inputs!$B$34/100)),MAX(0,Inputs!$B$44-((R1316-1)*(1/Q1316)))))/Inputs!$B$44),IF(Inputs!$B$39="pvp",MIN((Skills!Y22*(1+Inputs!$B$34/100)),15)/15,MIN(1,(Skills!Y22*(1+Inputs!$B$34/100))/(1/Q1316)))))+((C1297=TRUE)*F1297*3)+((C1299=TRUE)*F1299*(1-EXP(-0.75*B1332*5)))+((C1318=TRUE)*(F1318-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1305=TRUE)*F1305*IF(AND(Inputs!$B$39&lt;&gt;"pvp",Inputs!$B$44&gt;0),(((R1305-1)*MIN((Skills!Y11*(1+Inputs!$B$34/100)),(1/Q1305))+MIN((Skills!Y11*(1+Inputs!$B$34/100)),MAX(0,Inputs!$B$44-((R1305-1)*(1/Q1305)))))/Inputs!$B$44),IF(Inputs!$B$39="pvp",MIN((Skills!Y11*(1+Inputs!$B$34/100)),15)/15,MIN(1,(Skills!Y11*(1+Inputs!$B$34/100))/(1/Q1305)))))/100)*(1+((C1310=TRUE)*F1310*IF(AND(Inputs!$B$39&lt;&gt;"pvp",Inputs!$B$44&gt;0),(((R1310-1)*MIN((Skills!Y16*(1+Inputs!$B$34/100)),(1/Q1310))+MIN((Skills!Y16*(1+Inputs!$B$34/100)),MAX(0,Inputs!$B$44-((R1310-1)*(1/Q1310)))))/Inputs!$B$44),IF(Inputs!$B$39="pvp",MIN((Skills!Y16*(1+Inputs!$B$34/100)),15)/15,MIN(1,(Skills!Y16*(1+Inputs!$B$34/100))/(1/Q1310)))))/100)</f>
        <v/>
      </c>
    </row>
    <row r="1328">
      <c r="A1328" t="inlineStr">
        <is>
          <t>Global Crit Rate Bonus %</t>
        </is>
      </c>
      <c r="B1328">
        <f>((C1315=TRUE)*F1315*IF(AND(Inputs!$B$39&lt;&gt;"pvp",Inputs!$B$44&gt;0),(((R1315-1)*MIN((Skills!Y21*(1+Inputs!$B$34/100)),(1/Q1315))+MIN((Skills!Y21*(1+Inputs!$B$34/100)),MAX(0,Inputs!$B$44-((R1315-1)*(1/Q1315)))))/Inputs!$B$44),IF(Inputs!$B$39="pvp",MIN((Skills!Y21*(1+Inputs!$B$34/100)),15)/15,MIN(1,(Skills!Y21*(1+Inputs!$B$34/100))/(1/Q1315)))))</f>
        <v/>
      </c>
    </row>
    <row r="1329">
      <c r="A1329" t="inlineStr">
        <is>
          <t>Global Monster Damage-Taken Bonus %</t>
        </is>
      </c>
      <c r="B1329">
        <f>IF(Inputs!$B$3&gt;=82,15,0)</f>
        <v/>
      </c>
    </row>
    <row r="1330">
      <c r="A1330" t="inlineStr">
        <is>
          <t>Shadow Partner Average Multiplier</t>
        </is>
      </c>
      <c r="B1330">
        <f>1+((C1302=TRUE)*F1302*(1+3.3333333333333335*IF(C1313=TRUE,F1313,0)/100)*I1302*Skills!J8/100)/100</f>
        <v/>
      </c>
    </row>
    <row r="1331">
      <c r="A1331" t="inlineStr">
        <is>
          <t>Attack Speed Buff Bonus %</t>
        </is>
      </c>
      <c r="B1331">
        <f>((C1314=TRUE)*F1314*IF(AND(Inputs!$B$39&lt;&gt;"pvp",Inputs!$B$44&gt;0),(((R1314-1)*MIN((Skills!Y20*(1+Inputs!$B$34/100)),(1/Q1314))+MIN((Skills!Y20*(1+Inputs!$B$34/100)),MAX(0,Inputs!$B$44-((R1314-1)*(1/Q1314)))))/Inputs!$B$44),IF(Inputs!$B$39="pvp",MIN((Skills!Y20*(1+Inputs!$B$34/100)),15)/15,MIN(1,(Skills!Y20*(1+Inputs!$B$34/100))/(1/Q1314)))))</f>
        <v/>
      </c>
    </row>
    <row r="1332">
      <c r="A1332" t="inlineStr">
        <is>
          <t>Actions Per Second</t>
        </is>
      </c>
      <c r="B1332">
        <f>1+MIN(150,150*(1-(1-(Inputs!$B$11+((C1317=TRUE)*(F1317-Calc!F23)))/150)*(1-B1331/150)))/100</f>
        <v/>
      </c>
    </row>
    <row r="1333">
      <c r="A1333" t="inlineStr">
        <is>
          <t>Skill + Buff Cast Rate</t>
        </is>
      </c>
      <c r="B1333">
        <f>IF(AND(Inputs!$B$39&lt;&gt;"pvp",Inputs!$B$44&gt;0),SUMPRODUCT((Skills!E2:E31=TRUE)*(C1296:C1325=TRUE)*R1296:R1325*Skills!F2:F31)/Inputs!$B$44,SUMPRODUCT((Skills!E2:E31=TRUE)*(C1296:C1325=TRUE)*Q1296:Q1325*Skills!F2:F31))</f>
        <v/>
      </c>
    </row>
    <row r="1334">
      <c r="A1334" t="inlineStr">
        <is>
          <t>Cruel Stab Casts Per Second</t>
        </is>
      </c>
      <c r="B1334">
        <f>MAX(0,B1332-B1333)</f>
        <v/>
      </c>
    </row>
    <row r="1335">
      <c r="A1335" t="inlineStr">
        <is>
          <t>Global Critical Damage Bonus % (Smokescreen Mastery Lv.113)</t>
        </is>
      </c>
      <c r="B1335">
        <f>IF(Inputs!$B$3&gt;=113,30,0)*IF(AND(Inputs!$B$39&lt;&gt;"pvp",Inputs!$B$44&gt;0),(((R1310-1)*MIN((Skills!Y16*(1+Inputs!$B$34/100)),(1/Q1310))+MIN((Skills!Y16*(1+Inputs!$B$34/100)),MAX(0,Inputs!$B$44-((R1310-1)*(1/Q1310)))))/Inputs!$B$44),IF(Inputs!$B$39="pvp",MIN((Skills!Y16*(1+Inputs!$B$34/100)),15)/15,MIN(1,(Skills!Y16*(1+Inputs!$B$34/100))/(1/Q1310))))</f>
        <v/>
      </c>
    </row>
    <row r="1336">
      <c r="A1336" t="inlineStr">
        <is>
          <t>Meso Explosion average stack count</t>
        </is>
      </c>
      <c r="B1336">
        <f>MIN(10,IF(Inputs!$B$3&gt;=75,0.75,0.5)*B1332*(1/Q1298))</f>
        <v/>
      </c>
    </row>
    <row r="1337">
      <c r="A1337" t="inlineStr">
        <is>
          <t>Blood Money average stack count</t>
        </is>
      </c>
      <c r="B1337">
        <f>MIN(5,0.5*IF(Inputs!$B$3&gt;=75,0.75,0.5)*B1332*(1/Q1298))</f>
        <v/>
      </c>
    </row>
    <row r="1338">
      <c r="A1338" t="inlineStr">
        <is>
          <t>Assassinate Murderous Intent Multiplier</t>
        </is>
      </c>
      <c r="B1338">
        <f>1+IFERROR(MIN(1,Q1309*2/Q1306),0)</f>
        <v/>
      </c>
    </row>
    <row r="1339">
      <c r="A1339" t="inlineStr">
        <is>
          <t>Buff-Casting Startup Delay (s, fixed-duration only)</t>
        </is>
      </c>
      <c r="B1339">
        <f>IF(AND(Inputs!$B$39&lt;&gt;"pvp",Inputs!$B$44&gt;0),SUMPRODUCT((Skills!Y2:Y31&gt;0)*(Skills!E2:E31=TRUE)*(C1296:C1325=TRUE))/B1332,0)</f>
        <v/>
      </c>
    </row>
    <row r="1340">
      <c r="A1340" s="6" t="inlineStr">
        <is>
          <t>TOTAL DPS</t>
        </is>
      </c>
      <c r="B1340" s="6">
        <f>SUM(O1296:O1325)</f>
        <v/>
      </c>
    </row>
    <row r="1341">
      <c r="A1341" t="inlineStr">
        <is>
          <t>Boss-Only Total DPS (this block's swept value)</t>
        </is>
      </c>
      <c r="B1341">
        <f>SUM(T1296:T1325)</f>
        <v/>
      </c>
    </row>
    <row r="1342">
      <c r="A1342" t="inlineStr">
        <is>
          <t>Normal-Only Total DPS (this block's swept value)</t>
        </is>
      </c>
      <c r="B1342">
        <f>SUM(V1296:V1325)</f>
        <v/>
      </c>
    </row>
    <row r="1345">
      <c r="A1345" s="6" t="inlineStr">
        <is>
          <t>Stat: Buff Duration Increase %</t>
        </is>
      </c>
    </row>
    <row r="1346">
      <c r="A1346" s="5" t="inlineStr">
        <is>
          <t>Key</t>
        </is>
      </c>
      <c r="B1346" s="5" t="inlineStr">
        <is>
          <t>Name</t>
        </is>
      </c>
      <c r="C1346" s="5" t="inlineStr">
        <is>
          <t>Unlocked</t>
        </is>
      </c>
      <c r="D1346" s="5" t="inlineStr">
        <is>
          <t>InputLevel</t>
        </is>
      </c>
      <c r="E1346" s="5" t="inlineStr">
        <is>
          <t>Factor</t>
        </is>
      </c>
      <c r="F1346" s="5" t="inlineStr">
        <is>
          <t>CoefficientPercent</t>
        </is>
      </c>
      <c r="G1346" s="5" t="inlineStr">
        <is>
          <t>EffectiveHits</t>
        </is>
      </c>
      <c r="H1346" s="5" t="inlineStr">
        <is>
          <t>ProcProbability</t>
        </is>
      </c>
      <c r="I1346" s="5" t="inlineStr">
        <is>
          <t>MapleHeroMultiplier</t>
        </is>
      </c>
      <c r="J1346" s="5" t="inlineStr">
        <is>
          <t>BaseDamage</t>
        </is>
      </c>
      <c r="K1346" s="5" t="inlineStr">
        <is>
          <t>BaseHitDamage</t>
        </is>
      </c>
      <c r="L1346" s="5" t="inlineStr">
        <is>
          <t>NonCritAvg</t>
        </is>
      </c>
      <c r="M1346" s="5" t="inlineStr">
        <is>
          <t>CritAvg</t>
        </is>
      </c>
      <c r="N1346" s="5" t="inlineStr">
        <is>
          <t>ExpectedDamage(perHit)</t>
        </is>
      </c>
      <c r="O1346" s="5" t="inlineStr">
        <is>
          <t>DPS</t>
        </is>
      </c>
      <c r="P1346" s="5" t="inlineStr">
        <is>
          <t>% of Total</t>
        </is>
      </c>
      <c r="Q1346" s="5" t="inlineStr">
        <is>
          <t>InvCooldown</t>
        </is>
      </c>
      <c r="R1346" s="5" t="inlineStr">
        <is>
          <t>CastsInFight</t>
        </is>
      </c>
      <c r="S1346" s="5" t="inlineStr">
        <is>
          <t>HitRate(perSec)</t>
        </is>
      </c>
      <c r="U1346" t="inlineStr">
        <is>
          <t>helpers</t>
        </is>
      </c>
    </row>
    <row r="1347">
      <c r="A1347">
        <f>Skills!A2</f>
        <v/>
      </c>
      <c r="B1347">
        <f>Skills!B2</f>
        <v/>
      </c>
      <c r="C1347">
        <f>Inputs!$B$3&gt;=100</f>
        <v/>
      </c>
      <c r="D1347" t="inlineStr"/>
      <c r="E1347" t="inlineStr"/>
      <c r="F1347">
        <f>U1349+Skills!O2</f>
        <v/>
      </c>
      <c r="G1347">
        <f>Skills!G2*IF(Skills!H2&gt;0,IF(Inputs!$B$39="pvp",MIN(Skills!I2,15),Skills!I2)/Skills!H2,1)</f>
        <v/>
      </c>
      <c r="H1347">
        <f>1-(1-Skills!J2/100)^Skills!K2</f>
        <v/>
      </c>
      <c r="I1347" t="inlineStr">
        <is>
          <t>1</t>
        </is>
      </c>
      <c r="J1347">
        <f>((Inputs!$B$6*(1+Inputs!$B$7/100))+(((Inputs!$B$12*(1+Inputs!$B$13/100))-(Inputs!$B$12*(1+Inputs!$B$13/100)))+0.25*(Inputs!$B$14-Inputs!$B$14))*(1+Inputs!$B$7/100))*(F1347/100)</f>
        <v/>
      </c>
      <c r="K1347">
        <f>J1347*(1+((Inputs!$B$12*(1+Inputs!$B$13/100))*0.01+Inputs!$B$14*0.0025)/100)*(1+Inputs!$B$15/100)*(1+Inputs!$B$16/100)*(5000/(6000+Inputs!$B$43*(1-(100*(1-(1-Inputs!$B$19/100)*(1-CHOOSE(ArtifactsInput!$N$40+1,5,6,7,8,9,10)/100)^(ArtifactsInput!$M$40-ArtifactsInput!$M$40)))/100)))*(1+(Inputs!$B$24+((C1376=TRUE)*(F1376-Calc!F31))+((C1363=TRUE)*(F1363-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CRUEL_STAB",Inputs!$B$17+((C1373=TRUE)*(F1373-Calc!F28))+((IF(AND(Inputs!$B$39&lt;&gt;"pvp",Inputs!$B$44=0),1,IF(IF(Inputs!$B$39="pvp",15,Inputs!$B$44)-(B1390)&lt;=0,1,MAX(0,IF(Inputs!$B$39="pvp",15,Inputs!$B$44)-MAX(5,B1390))/(IF(Inputs!$B$39="pvp",15,Inputs!$B$44)-(B1390))))*(IF(AND(ArtifactsInput!$M$42,((Inputs!$B$9+((C1371=TRUE)*(F1371-Calc!F26))+B1379+(ArtifactsInput!$M$24-ArtifactsInput!$M$24)*CHOOSE(ArtifactsInput!$N$24+1,10,12,14,16,18,20)+IF(ArtifactsInput!$M$10,CHOOSE(ArtifactsInput!$N$10+1,15,18,21,24,27,30)*(IF(Inputs!$B$39="pvp",MIN(15,15)/15,IF(AND(Inputs!$B$39&lt;&gt;"pvp",Inputs!$B$44&gt;0),MIN(15,Inputs!$B$44)/(Inputs!$B$44),0))),0)))&gt;=100),MIN(100,((Inputs!$B$9+((C1371=TRUE)*(F1371-Calc!F26))+B1379+(ArtifactsInput!$M$24-ArtifactsInput!$M$24)*CHOOSE(ArtifactsInput!$N$24+1,10,12,14,16,18,20)+IF(ArtifactsInput!$M$10,CHOOSE(ArtifactsInput!$N$10+1,15,18,21,24,27,30)*(IF(Inputs!$B$39="pvp",MIN(15,15)/15,IF(AND(Inputs!$B$39&lt;&gt;"pvp",Inputs!$B$44&gt;0),MIN(15,Inputs!$B$44)/(Inputs!$B$44),0))),0)))-100),0))*CHOOSE(ArtifactsInput!$N$42+1,0.6,0.72,0.84,0.96,1.08,1.2))),Inputs!$B$18+((C1374=TRUE)*(F1374-Calc!F29))+(IF(AND(Inputs!$B$39&lt;&gt;"pvp",Inputs!$B$44=0),1,IF(IF(Inputs!$B$39="pvp",15,Inputs!$B$44)-(B1390)&lt;=0,1,MAX(0,IF(Inputs!$B$39="pvp",15,Inputs!$B$44)-MAX(5,B1390))/(IF(Inputs!$B$39="pvp",15,Inputs!$B$44)-(B1390))))*IF(AND(ArtifactsInput!$M$42,((Inputs!$B$9+((C1371=TRUE)*(F1371-Calc!F26))+B1379+(ArtifactsInput!$M$24-ArtifactsInput!$M$24)*CHOOSE(ArtifactsInput!$N$24+1,10,12,14,16,18,20)+IF(ArtifactsInput!$M$10,CHOOSE(ArtifactsInput!$N$10+1,15,18,21,24,27,30)*(IF(Inputs!$B$39="pvp",MIN(15,15)/15,IF(AND(Inputs!$B$39&lt;&gt;"pvp",Inputs!$B$44&gt;0),MIN(15,Inputs!$B$44)/(Inputs!$B$44),0))),0)))&gt;=100),CHOOSE(ArtifactsInput!$N$42+1,40,48,56,64,72,80),0))))/100)*(((1+(((C1367=TRUE)*F1367*IF(AND(Inputs!$B$39&lt;&gt;"pvp",Inputs!$B$44&gt;0),(((R1367-1)*MIN((Skills!Y22*(1+(Inputs!$B$34+1)/100)),(1/Q1367))+MIN((Skills!Y22*(1+(Inputs!$B$34+1)/100)),MAX(0,Inputs!$B$44-((R1367-1)*(1/Q1367)))))/Inputs!$B$44),IF(Inputs!$B$39="pvp",MIN((Skills!Y22*(1+(Inputs!$B$34+1)/100)),15)/15,MIN(1,(Skills!Y22*(1+(Inputs!$B$34+1)/100))/(1/Q1367)))))+((C1348=TRUE)*F1348*3)+((C1350=TRUE)*F1350*(1-EXP(-0.75*B1383*5)))+((C1369=TRUE)*(F1369-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1356=TRUE)*F1356*IF(AND(Inputs!$B$39&lt;&gt;"pvp",Inputs!$B$44&gt;0),(((R1356-1)*MIN((Skills!Y11*(1+(Inputs!$B$34+1)/100)),(1/Q1356))+MIN((Skills!Y11*(1+(Inputs!$B$34+1)/100)),MAX(0,Inputs!$B$44-((R1356-1)*(1/Q1356)))))/Inputs!$B$44),IF(Inputs!$B$39="pvp",MIN((Skills!Y11*(1+(Inputs!$B$34+1)/100)),15)/15,MIN(1,(Skills!Y11*(1+(Inputs!$B$34+1)/100))/(1/Q1356)))))/100)*(1+((C1361=TRUE)*F1361*IF(AND(Inputs!$B$39&lt;&gt;"pvp",Inputs!$B$44&gt;0),(((R1361-1)*MIN((Skills!Y16*(1+(Inputs!$B$34+1)/100)),(1/Q1361))+MIN((Skills!Y16*(1+(Inputs!$B$34+1)/100)),MAX(0,Inputs!$B$44-((R1361-1)*(1/Q1361)))))/Inputs!$B$44),IF(Inputs!$B$39="pvp",MIN((Skills!Y16*(1+(Inputs!$B$34+1)/100)),15)/15,MIN(1,(Skills!Y16*(1+(Inputs!$B$34+1)/100))/(1/Q1361)))))/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1381*I1347)</f>
        <v/>
      </c>
      <c r="L1347">
        <f>K1347*(MIN(Inputs!$B$22+((C1370=TRUE)*(F1370-Calc!F25)),(Inputs!$B$23+((C1375=TRUE)*(F1375-Calc!F30))+IF(ArtifactsInput!$M$15,CHOOSE(ArtifactsInput!$N$15+1,25,30,35,40,45,50)/100*(Inputs!$B$11-Inputs!$B$11),0)))/100+(Inputs!$B$23+((C1375=TRUE)*(F1375-Calc!F30))+IF(ArtifactsInput!$M$15,CHOOSE(ArtifactsInput!$N$15+1,25,30,35,40,45,50)/100*(Inputs!$B$11-Inputs!$B$11),0))/100)/2</f>
        <v/>
      </c>
      <c r="M1347">
        <f>L1347*(1+(Inputs!$B$10+((C1372=TRUE)*(F1372-Calc!F27))+B1386+(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1347">
        <f>L1347*(1-MIN((Inputs!$B$9+((C1371=TRUE)*(F1371-Calc!F26))+B1379+(ArtifactsInput!$M$24-ArtifactsInput!$M$24)*CHOOSE(ArtifactsInput!$N$24+1,10,12,14,16,18,20)+(IF(AND(Inputs!$B$39&lt;&gt;"pvp",Inputs!$B$44=0),1,IF(IF(Inputs!$B$39="pvp",15,Inputs!$B$44)-(B1390)&lt;=0,1,MAX(0,IF(Inputs!$B$39="pvp",15,Inputs!$B$44)-MAX(5,B1390))/(IF(Inputs!$B$39="pvp",15,Inputs!$B$44)-(B1390))))*IF(AND(ArtifactsInput!$M$42,((Inputs!$B$9+((C1371=TRUE)*(F1371-Calc!F26))+B1379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1347*(MIN((Inputs!$B$9+((C1371=TRUE)*(F1371-Calc!F26))+B1379+(ArtifactsInput!$M$24-ArtifactsInput!$M$24)*CHOOSE(ArtifactsInput!$N$24+1,10,12,14,16,18,20)+(IF(AND(Inputs!$B$39&lt;&gt;"pvp",Inputs!$B$44=0),1,IF(IF(Inputs!$B$39="pvp",15,Inputs!$B$44)-(B1390)&lt;=0,1,MAX(0,IF(Inputs!$B$39="pvp",15,Inputs!$B$44)-MAX(5,B1390))/(IF(Inputs!$B$39="pvp",15,Inputs!$B$44)-(B1390))))*IF(AND(ArtifactsInput!$M$42,((Inputs!$B$9+((C1371=TRUE)*(F1371-Calc!F26))+B1379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347">
        <f>(1-Summary!$B$11)*T1347+Summary!$B$11*V1347</f>
        <v/>
      </c>
      <c r="P1347">
        <f>IF(B1391=0,0,O1347/B1391)</f>
        <v/>
      </c>
      <c r="Q1347" t="n">
        <v>0</v>
      </c>
      <c r="R1347" t="n">
        <v>0</v>
      </c>
      <c r="S1347">
        <f>IFERROR(O1347/N1347,0)</f>
        <v/>
      </c>
      <c r="T1347">
        <f>IF(C1347,(Skills!G2*N1347*B1385)*IF(Inputs!$B$39="pvp",1,1+(Inputs!$B$20+0+Skills!P2+B1380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Hunt"),CHOOSE(ArtifactsInput!$N$35+1,15,18,21,24,27,30)*(1-EXP(-(0.2*B1383)*5)),0)+IF(AND(ArtifactsInput!$M$22,Inputs!$B$4&lt;&gt;"Chapter Hunt"),CHOOSE(ArtifactsInput!$N$22+1,10,12,14,16,18,20)*((0*(((0.15*B1383*5))^0/1)+1*(((0.15*B1383*5))^1/1)+2*(((0.15*B1383*5))^2/2)+3*(((0.15*B1383*5))^3/6)+4*(((0.15*B1383*5))^4/24)+5*(((0.15*B1383*5))^5/120))/((((0.15*B1383*5))^0/1)+(((0.15*B1383*5))^1/1)+(((0.15*B1383*5))^2/2)+(((0.15*B1383*5))^3/6)+(((0.15*B1383*5))^4/24)+(((0.15*B1383*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1347*(1-MIN(100,(Inputs!$B$9+((C1371=TRUE)*(F1371-Calc!F26))+B1379+(ArtifactsInput!$M$24-ArtifactsInput!$M$24)*CHOOSE(ArtifactsInput!$N$24+1,10,12,14,16,18,20)+(IF(AND(Inputs!$B$39&lt;&gt;"pvp",Inputs!$B$44=0),1,IF(IF(Inputs!$B$39="pvp",15,Inputs!$B$44)-(B1390)&lt;=0,1,MAX(0,IF(Inputs!$B$39="pvp",15,Inputs!$B$44)-MAX(5,B1390))/(IF(Inputs!$B$39="pvp",15,Inputs!$B$44)-(B1390))))*IF(AND(ArtifactsInput!$M$42,((Inputs!$B$9+((C1371=TRUE)*(F1371-Calc!F26))+B1379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1347*(MIN(100,(Inputs!$B$9+((C1371=TRUE)*(F1371-Calc!F26))+B1379+(ArtifactsInput!$M$24-ArtifactsInput!$M$24)*CHOOSE(ArtifactsInput!$N$24+1,10,12,14,16,18,20)+(IF(AND(Inputs!$B$39&lt;&gt;"pvp",Inputs!$B$44=0),1,IF(IF(Inputs!$B$39="pvp",15,Inputs!$B$44)-(B1390)&lt;=0,1,MAX(0,IF(Inputs!$B$39="pvp",15,Inputs!$B$44)-MAX(5,B1390))/(IF(Inputs!$B$39="pvp",15,Inputs!$B$44)-(B1390))))*IF(AND(ArtifactsInput!$M$42,((Inputs!$B$9+((C1371=TRUE)*(F1371-Calc!F26))+B1379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1347*(1-MIN(100,(Inputs!$B$9+((C1371=TRUE)*(F1371-Calc!F26))+B1379+(ArtifactsInput!$M$24-ArtifactsInput!$M$24)*CHOOSE(ArtifactsInput!$N$24+1,10,12,14,16,18,20)+(IF(AND(Inputs!$B$39&lt;&gt;"pvp",Inputs!$B$44=0),1,IF(IF(Inputs!$B$39="pvp",15,Inputs!$B$44)-(B1390)&lt;=0,1,MAX(0,IF(Inputs!$B$39="pvp",15,Inputs!$B$44)-MAX(5,B1390))/(IF(Inputs!$B$39="pvp",15,Inputs!$B$44)-(B1390))))*IF(AND(ArtifactsInput!$M$42,((Inputs!$B$9+((C1371=TRUE)*(F1371-Calc!F26))+B1379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1347*(MIN(100,(Inputs!$B$9+((C1371=TRUE)*(F1371-Calc!F26))+B1379+(ArtifactsInput!$M$24-ArtifactsInput!$M$24)*CHOOSE(ArtifactsInput!$N$24+1,10,12,14,16,18,20)+(IF(AND(Inputs!$B$39&lt;&gt;"pvp",Inputs!$B$44=0),1,IF(IF(Inputs!$B$39="pvp",15,Inputs!$B$44)-(B1390)&lt;=0,1,MAX(0,IF(Inputs!$B$39="pvp",15,Inputs!$B$44)-MAX(5,B1390))/(IF(Inputs!$B$39="pvp",15,Inputs!$B$44)-(B1390))))*IF(AND(ArtifactsInput!$M$42,((Inputs!$B$9+((C1371=TRUE)*(F1371-Calc!F26))+B1379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1347">
        <f>MAX(0,(Inputs!$B$3-100)*3)+Inputs!$B$28+Inputs!$B$29</f>
        <v/>
      </c>
      <c r="V1347">
        <f>IF(C1347,(Skills!G2*N1347*B1385)*IF(Inputs!$B$39="pvp",1,(1+(Inputs!$B$21+Skills!Q2+B1380+(IF(ArtifactsInput!$M$33,CHOOSE(ArtifactsInput!$N$33+1,30,36,42,48,54,60),0))+(IF(AND(ArtifactsInput!$M$35,Inputs!$B$4&lt;&gt;"Chapter Hunt"),CHOOSE(ArtifactsInput!$N$35+1,15,18,21,24,27,30)*(1-EXP(-(0.2*B1383)*5)),0)+IF(AND(ArtifactsInput!$M$22,Inputs!$B$4&lt;&gt;"Chapter Hunt"),CHOOSE(ArtifactsInput!$N$22+1,10,12,14,16,18,20)*((0*(((0.15*B1383*5))^0/1)+1*(((0.15*B1383*5))^1/1)+2*(((0.15*B1383*5))^2/2)+3*(((0.15*B1383*5))^3/6)+4*(((0.15*B1383*5))^4/24)+5*(((0.15*B1383*5))^5/120))/((((0.15*B1383*5))^0/1)+(((0.15*B1383*5))^1/1)+(((0.15*B1383*5))^2/2)+(((0.15*B1383*5))^3/6)+(((0.15*B1383*5))^4/24)+(((0.15*B1383*5))^5/120))),0)))/100)*(MIN((6+Inputs!$B$33),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348">
      <c r="A1348">
        <f>Skills!A3</f>
        <v/>
      </c>
      <c r="B1348">
        <f>Skills!B3</f>
        <v/>
      </c>
      <c r="C1348">
        <f>Inputs!$B$3&gt;=35</f>
        <v/>
      </c>
      <c r="D1348">
        <f>IF(Skills!C3=1,60+Inputs!$B$25+Inputs!$B$29,IF(Skills!C3=2,90+Inputs!$B$26+Inputs!$B$29,IF(Skills!C3=3,120+Inputs!$B$27+Inputs!$B$29,MAX(0,(Inputs!$B$3-100)*3)+Inputs!$B$28+Inputs!$B$29)))</f>
        <v/>
      </c>
      <c r="E1348">
        <f>INDEX(FactorTable!$B$2:$Y$301, MATCH(ROUND(MIN(300,MAX(1,D1348)),0), FactorTable!$A$2:$A$301,0), Skills!M3+1)</f>
        <v/>
      </c>
      <c r="F1348">
        <f>IF(Skills!N3=TRUE,(Skills!L3/10)*(E1348/1000),Skills!L3/10)+Skills!O3</f>
        <v/>
      </c>
      <c r="G1348">
        <f>Skills!G3*IF(Skills!H3&gt;0,IF(Inputs!$B$39="pvp",MIN(Skills!I3,15),Skills!I3)/Skills!H3,1)</f>
        <v/>
      </c>
      <c r="H1348">
        <f>1-(1-Skills!J3/100)^Skills!K3</f>
        <v/>
      </c>
      <c r="I1348" t="inlineStr">
        <is>
          <t>1</t>
        </is>
      </c>
      <c r="J1348" t="inlineStr"/>
      <c r="K1348" t="inlineStr"/>
      <c r="L1348" t="inlineStr"/>
      <c r="M1348" t="inlineStr"/>
      <c r="N1348" t="inlineStr"/>
      <c r="O1348">
        <f>(1-Summary!$B$11)*T1348+Summary!$B$11*V1348</f>
        <v/>
      </c>
      <c r="P1348">
        <f>IF(B1391=0,0,O1348/B1391)</f>
        <v/>
      </c>
      <c r="Q1348" t="n">
        <v>0</v>
      </c>
      <c r="R1348" t="n">
        <v>0</v>
      </c>
      <c r="S1348">
        <f>IFERROR(O1348/N1348,0)</f>
        <v/>
      </c>
      <c r="T1348" t="n">
        <v>0</v>
      </c>
      <c r="U1348">
        <f>INDEX(FactorTable!$B$2:$Y$301, MATCH(ROUND(MIN(300,MAX(1,U1347)),0), FactorTable!$A$2:$A$301,0), 22)</f>
        <v/>
      </c>
      <c r="V1348" t="n">
        <v>0</v>
      </c>
    </row>
    <row r="1349">
      <c r="A1349">
        <f>Skills!A4</f>
        <v/>
      </c>
      <c r="B1349">
        <f>Skills!B4</f>
        <v/>
      </c>
      <c r="C1349">
        <f>Inputs!$B$3&gt;=66</f>
        <v/>
      </c>
      <c r="D1349">
        <f>IF(Skills!C4=1,60+Inputs!$B$25+Inputs!$B$29,IF(Skills!C4=2,90+Inputs!$B$26+Inputs!$B$29,IF(Skills!C4=3,120+Inputs!$B$27+Inputs!$B$29,MAX(0,(Inputs!$B$3-100)*3)+Inputs!$B$28+Inputs!$B$29)))</f>
        <v/>
      </c>
      <c r="E1349">
        <f>INDEX(FactorTable!$B$2:$Y$301, MATCH(ROUND(MIN(300,MAX(1,D1349)),0), FactorTable!$A$2:$A$301,0), Skills!M4+1)</f>
        <v/>
      </c>
      <c r="F1349">
        <f>IF(Skills!N4=TRUE,(Skills!L4/10)*(E1349/1000),Skills!L4/10)+Skills!O4</f>
        <v/>
      </c>
      <c r="G1349">
        <f>Skills!G4*IF(Skills!H4&gt;0,IF(Inputs!$B$39="pvp",MIN(Skills!I4,15),Skills!I4)/Skills!H4,1)</f>
        <v/>
      </c>
      <c r="H1349">
        <f>1-(1-Skills!J4/100)^Skills!K4</f>
        <v/>
      </c>
      <c r="I1349" t="inlineStr">
        <is>
          <t>1</t>
        </is>
      </c>
      <c r="J1349">
        <f>((Inputs!$B$6*(1+Inputs!$B$7/100))+(((Inputs!$B$12*(1+Inputs!$B$13/100))-(Inputs!$B$12*(1+Inputs!$B$13/100)))+0.25*(Inputs!$B$14-Inputs!$B$14))*(1+Inputs!$B$7/100))*(F1349/100)</f>
        <v/>
      </c>
      <c r="K1349">
        <f>J1349*(1+((Inputs!$B$12*(1+Inputs!$B$13/100))*0.01+Inputs!$B$14*0.0025)/100)*(1+Inputs!$B$15/100)*(1+Inputs!$B$16/100)*(5000/(6000+Inputs!$B$43*(1-(100*(1-(1-Inputs!$B$19/100)*(1-CHOOSE(ArtifactsInput!$N$40+1,5,6,7,8,9,10)/100)^(ArtifactsInput!$M$40-ArtifactsInput!$M$40)))/100)))*(1+(Inputs!$B$24+((C1376=TRUE)*(F1376-Calc!F31))+((C1363=TRUE)*(F1363-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4="CRUEL_STAB",Inputs!$B$17+((C1373=TRUE)*(F1373-Calc!F28))+((IF(AND(Inputs!$B$39&lt;&gt;"pvp",Inputs!$B$44=0),1,IF(IF(Inputs!$B$39="pvp",15,Inputs!$B$44)-(B1390)&lt;=0,1,MAX(0,IF(Inputs!$B$39="pvp",15,Inputs!$B$44)-MAX(5,B1390))/(IF(Inputs!$B$39="pvp",15,Inputs!$B$44)-(B1390))))*(IF(AND(ArtifactsInput!$M$42,((Inputs!$B$9+((C1371=TRUE)*(F1371-Calc!F26))+B1379+(ArtifactsInput!$M$24-ArtifactsInput!$M$24)*CHOOSE(ArtifactsInput!$N$24+1,10,12,14,16,18,20)+IF(ArtifactsInput!$M$10,CHOOSE(ArtifactsInput!$N$10+1,15,18,21,24,27,30)*(IF(Inputs!$B$39="pvp",MIN(15,15)/15,IF(AND(Inputs!$B$39&lt;&gt;"pvp",Inputs!$B$44&gt;0),MIN(15,Inputs!$B$44)/(Inputs!$B$44),0))),0)))&gt;=100),MIN(100,((Inputs!$B$9+((C1371=TRUE)*(F1371-Calc!F26))+B1379+(ArtifactsInput!$M$24-ArtifactsInput!$M$24)*CHOOSE(ArtifactsInput!$N$24+1,10,12,14,16,18,20)+IF(ArtifactsInput!$M$10,CHOOSE(ArtifactsInput!$N$10+1,15,18,21,24,27,30)*(IF(Inputs!$B$39="pvp",MIN(15,15)/15,IF(AND(Inputs!$B$39&lt;&gt;"pvp",Inputs!$B$44&gt;0),MIN(15,Inputs!$B$44)/(Inputs!$B$44),0))),0)))-100),0))*CHOOSE(ArtifactsInput!$N$42+1,0.6,0.72,0.84,0.96,1.08,1.2))),Inputs!$B$18+((C1374=TRUE)*(F1374-Calc!F29))+(IF(AND(Inputs!$B$39&lt;&gt;"pvp",Inputs!$B$44=0),1,IF(IF(Inputs!$B$39="pvp",15,Inputs!$B$44)-(B1390)&lt;=0,1,MAX(0,IF(Inputs!$B$39="pvp",15,Inputs!$B$44)-MAX(5,B1390))/(IF(Inputs!$B$39="pvp",15,Inputs!$B$44)-(B1390))))*IF(AND(ArtifactsInput!$M$42,((Inputs!$B$9+((C1371=TRUE)*(F1371-Calc!F26))+B1379+(ArtifactsInput!$M$24-ArtifactsInput!$M$24)*CHOOSE(ArtifactsInput!$N$24+1,10,12,14,16,18,20)+IF(ArtifactsInput!$M$10,CHOOSE(ArtifactsInput!$N$10+1,15,18,21,24,27,30)*(IF(Inputs!$B$39="pvp",MIN(15,15)/15,IF(AND(Inputs!$B$39&lt;&gt;"pvp",Inputs!$B$44&gt;0),MIN(15,Inputs!$B$44)/(Inputs!$B$44),0))),0)))&gt;=100),CHOOSE(ArtifactsInput!$N$42+1,40,48,56,64,72,80),0))))/100)*(((1+(((C1367=TRUE)*F1367*IF(AND(Inputs!$B$39&lt;&gt;"pvp",Inputs!$B$44&gt;0),(((R1367-1)*MIN((Skills!Y22*(1+(Inputs!$B$34+1)/100)),(1/Q1367))+MIN((Skills!Y22*(1+(Inputs!$B$34+1)/100)),MAX(0,Inputs!$B$44-((R1367-1)*(1/Q1367)))))/Inputs!$B$44),IF(Inputs!$B$39="pvp",MIN((Skills!Y22*(1+(Inputs!$B$34+1)/100)),15)/15,MIN(1,(Skills!Y22*(1+(Inputs!$B$34+1)/100))/(1/Q1367)))))+((C1348=TRUE)*F1348*3)+((C1350=TRUE)*F1350*(1-EXP(-0.75*B1383*5)))+((C1369=TRUE)*(F1369-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1356=TRUE)*F1356*IF(AND(Inputs!$B$39&lt;&gt;"pvp",Inputs!$B$44&gt;0),(((R1356-1)*MIN((Skills!Y11*(1+(Inputs!$B$34+1)/100)),(1/Q1356))+MIN((Skills!Y11*(1+(Inputs!$B$34+1)/100)),MAX(0,Inputs!$B$44-((R1356-1)*(1/Q1356)))))/Inputs!$B$44),IF(Inputs!$B$39="pvp",MIN((Skills!Y11*(1+(Inputs!$B$34+1)/100)),15)/15,MIN(1,(Skills!Y11*(1+(Inputs!$B$34+1)/100))/(1/Q1356)))))/100)*(1+((C1361=TRUE)*F1361*IF(AND(Inputs!$B$39&lt;&gt;"pvp",Inputs!$B$44&gt;0),(((R1361-1)*MIN((Skills!Y16*(1+(Inputs!$B$34+1)/100)),(1/Q1361))+MIN((Skills!Y16*(1+(Inputs!$B$34+1)/100)),MAX(0,Inputs!$B$44-((R1361-1)*(1/Q1361)))))/Inputs!$B$44),IF(Inputs!$B$39="pvp",MIN((Skills!Y16*(1+(Inputs!$B$34+1)/100)),15)/15,MIN(1,(Skills!Y16*(1+(Inputs!$B$34+1)/100))/(1/Q1361)))))/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1381*I1349)</f>
        <v/>
      </c>
      <c r="L1349">
        <f>K1349*(MIN(Inputs!$B$22+((C1370=TRUE)*(F1370-Calc!F25)),(Inputs!$B$23+((C1375=TRUE)*(F1375-Calc!F30))+IF(ArtifactsInput!$M$15,CHOOSE(ArtifactsInput!$N$15+1,25,30,35,40,45,50)/100*(Inputs!$B$11-Inputs!$B$11),0)))/100+(Inputs!$B$23+((C1375=TRUE)*(F1375-Calc!F30))+IF(ArtifactsInput!$M$15,CHOOSE(ArtifactsInput!$N$15+1,25,30,35,40,45,50)/100*(Inputs!$B$11-Inputs!$B$11),0))/100)/2</f>
        <v/>
      </c>
      <c r="M1349">
        <f>L1349*(1+(Inputs!$B$10+((C1372=TRUE)*(F1372-Calc!F27))+B1386+(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1349">
        <f>L1349*(1-MIN((Inputs!$B$9+((C1371=TRUE)*(F1371-Calc!F26))+B1379+(ArtifactsInput!$M$24-ArtifactsInput!$M$24)*CHOOSE(ArtifactsInput!$N$24+1,10,12,14,16,18,20)+(IF(AND(Inputs!$B$39&lt;&gt;"pvp",Inputs!$B$44=0),1,IF(IF(Inputs!$B$39="pvp",15,Inputs!$B$44)-(B1390)&lt;=0,1,MAX(0,IF(Inputs!$B$39="pvp",15,Inputs!$B$44)-MAX(5,B1390))/(IF(Inputs!$B$39="pvp",15,Inputs!$B$44)-(B1390))))*IF(AND(ArtifactsInput!$M$42,((Inputs!$B$9+((C1371=TRUE)*(F1371-Calc!F26))+B1379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1349*(MIN((Inputs!$B$9+((C1371=TRUE)*(F1371-Calc!F26))+B1379+(ArtifactsInput!$M$24-ArtifactsInput!$M$24)*CHOOSE(ArtifactsInput!$N$24+1,10,12,14,16,18,20)+(IF(AND(Inputs!$B$39&lt;&gt;"pvp",Inputs!$B$44=0),1,IF(IF(Inputs!$B$39="pvp",15,Inputs!$B$44)-(B1390)&lt;=0,1,MAX(0,IF(Inputs!$B$39="pvp",15,Inputs!$B$44)-MAX(5,B1390))/(IF(Inputs!$B$39="pvp",15,Inputs!$B$44)-(B1390))))*IF(AND(ArtifactsInput!$M$42,((Inputs!$B$9+((C1371=TRUE)*(F1371-Calc!F26))+B1379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349">
        <f>(1-Summary!$B$11)*T1349+Summary!$B$11*V1349</f>
        <v/>
      </c>
      <c r="P1349">
        <f>IF(B1391=0,0,O1349/B1391)</f>
        <v/>
      </c>
      <c r="Q1349">
        <f>IFERROR(1/IF(Inputs!$B$39="pvp",15,MAX(0.1,Skills!D4-IF(TRUE=TRUE,Inputs!$B$32,0))),0)</f>
        <v/>
      </c>
      <c r="R1349">
        <f>IF(AND(Inputs!$B$39&lt;&gt;"pvp",Inputs!$B$44&gt;0),IF(MAX(0,Inputs!$B$44-B1390)&lt;=0,0,(INT(MAX(0,Inputs!$B$44-B1390)/IF(Inputs!$B$39="pvp",15,MAX(0.1,Skills!D4-IF(TRUE=TRUE,Inputs!$B$32,0))))+1)),0)</f>
        <v/>
      </c>
      <c r="S1349">
        <f>IFERROR(O1349/N1349,0)</f>
        <v/>
      </c>
      <c r="T1349">
        <f>IF(C1349,(H1349*N1349*IF(AND(Inputs!$B$39&lt;&gt;"pvp",Inputs!$B$44&gt;0),((Skills!G4*((R1349-1)*IF(Skills!H4&gt;0,Skills!I4/Skills!H4,1)+IF(Skills!H4&gt;0,MIN(Skills!I4,MAX(0,MAX(0,Inputs!$B$44-B1390)-((R1349-1)*IF(Inputs!$B$39="pvp",15,MAX(0.1,Skills!D4-IF(TRUE=TRUE,Inputs!$B$32,0))))))/Skills!H4,1)))/Inputs!$B$44),G1349*Q1349))*IF(Inputs!$B$39="pvp",1,1+(Inputs!$B$20+0+Skills!P4+B1380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Hunt"),CHOOSE(ArtifactsInput!$N$35+1,15,18,21,24,27,30)*(1-EXP(-(0.2*B1383)*5)),0)+IF(AND(ArtifactsInput!$M$22,Inputs!$B$4&lt;&gt;"Chapter Hunt"),CHOOSE(ArtifactsInput!$N$22+1,10,12,14,16,18,20)*((0*(((0.15*B1383*5))^0/1)+1*(((0.15*B1383*5))^1/1)+2*(((0.15*B1383*5))^2/2)+3*(((0.15*B1383*5))^3/6)+4*(((0.15*B1383*5))^4/24)+5*(((0.15*B1383*5))^5/120))/((((0.15*B1383*5))^0/1)+(((0.15*B1383*5))^1/1)+(((0.15*B1383*5))^2/2)+(((0.15*B1383*5))^3/6)+(((0.15*B1383*5))^4/24)+(((0.15*B1383*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1349*(1-MIN(100,(Inputs!$B$9+((C1371=TRUE)*(F1371-Calc!F26))+B1379+(ArtifactsInput!$M$24-ArtifactsInput!$M$24)*CHOOSE(ArtifactsInput!$N$24+1,10,12,14,16,18,20)+(IF(AND(Inputs!$B$39&lt;&gt;"pvp",Inputs!$B$44=0),1,IF(IF(Inputs!$B$39="pvp",15,Inputs!$B$44)-(B1390)&lt;=0,1,MAX(0,IF(Inputs!$B$39="pvp",15,Inputs!$B$44)-MAX(5,B1390))/(IF(Inputs!$B$39="pvp",15,Inputs!$B$44)-(B1390))))*IF(AND(ArtifactsInput!$M$42,((Inputs!$B$9+((C1371=TRUE)*(F1371-Calc!F26))+B1379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1349*(MIN(100,(Inputs!$B$9+((C1371=TRUE)*(F1371-Calc!F26))+B1379+(ArtifactsInput!$M$24-ArtifactsInput!$M$24)*CHOOSE(ArtifactsInput!$N$24+1,10,12,14,16,18,20)+(IF(AND(Inputs!$B$39&lt;&gt;"pvp",Inputs!$B$44=0),1,IF(IF(Inputs!$B$39="pvp",15,Inputs!$B$44)-(B1390)&lt;=0,1,MAX(0,IF(Inputs!$B$39="pvp",15,Inputs!$B$44)-MAX(5,B1390))/(IF(Inputs!$B$39="pvp",15,Inputs!$B$44)-(B1390))))*IF(AND(ArtifactsInput!$M$42,((Inputs!$B$9+((C1371=TRUE)*(F1371-Calc!F26))+B1379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1349*(1-MIN(100,(Inputs!$B$9+((C1371=TRUE)*(F1371-Calc!F26))+B1379+(ArtifactsInput!$M$24-ArtifactsInput!$M$24)*CHOOSE(ArtifactsInput!$N$24+1,10,12,14,16,18,20)+(IF(AND(Inputs!$B$39&lt;&gt;"pvp",Inputs!$B$44=0),1,IF(IF(Inputs!$B$39="pvp",15,Inputs!$B$44)-(B1390)&lt;=0,1,MAX(0,IF(Inputs!$B$39="pvp",15,Inputs!$B$44)-MAX(5,B1390))/(IF(Inputs!$B$39="pvp",15,Inputs!$B$44)-(B1390))))*IF(AND(ArtifactsInput!$M$42,((Inputs!$B$9+((C1371=TRUE)*(F1371-Calc!F26))+B1379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1349*(MIN(100,(Inputs!$B$9+((C1371=TRUE)*(F1371-Calc!F26))+B1379+(ArtifactsInput!$M$24-ArtifactsInput!$M$24)*CHOOSE(ArtifactsInput!$N$24+1,10,12,14,16,18,20)+(IF(AND(Inputs!$B$39&lt;&gt;"pvp",Inputs!$B$44=0),1,IF(IF(Inputs!$B$39="pvp",15,Inputs!$B$44)-(B1390)&lt;=0,1,MAX(0,IF(Inputs!$B$39="pvp",15,Inputs!$B$44)-MAX(5,B1390))/(IF(Inputs!$B$39="pvp",15,Inputs!$B$44)-(B1390))))*IF(AND(ArtifactsInput!$M$42,((Inputs!$B$9+((C1371=TRUE)*(F1371-Calc!F26))+B1379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1349">
        <f>290*U1348/1000</f>
        <v/>
      </c>
      <c r="V1349">
        <f>IF(C1349,(H1349*N1349*IF(AND(Inputs!$B$39&lt;&gt;"pvp",Inputs!$B$44&gt;0),((Skills!G4*((R1349-1)*IF(Skills!H4&gt;0,Skills!I4/Skills!H4,1)+IF(Skills!H4&gt;0,MIN(Skills!I4,MAX(0,MAX(0,Inputs!$B$44-B1390)-((R1349-1)*IF(Inputs!$B$39="pvp",15,MAX(0.1,Skills!D4-IF(TRUE=TRUE,Inputs!$B$32,0))))))/Skills!H4,1)))/Inputs!$B$44),G1349*Q1349))*IF(Inputs!$B$39="pvp",1,(1+(Inputs!$B$21+Skills!Q4+B1380+(IF(ArtifactsInput!$M$33,CHOOSE(ArtifactsInput!$N$33+1,30,36,42,48,54,60),0))+(IF(AND(ArtifactsInput!$M$35,Inputs!$B$4&lt;&gt;"Chapter Hunt"),CHOOSE(ArtifactsInput!$N$35+1,15,18,21,24,27,30)*(1-EXP(-(0.2*B1383)*5)),0)+IF(AND(ArtifactsInput!$M$22,Inputs!$B$4&lt;&gt;"Chapter Hunt"),CHOOSE(ArtifactsInput!$N$22+1,10,12,14,16,18,20)*((0*(((0.15*B1383*5))^0/1)+1*(((0.15*B1383*5))^1/1)+2*(((0.15*B1383*5))^2/2)+3*(((0.15*B1383*5))^3/6)+4*(((0.15*B1383*5))^4/24)+5*(((0.15*B1383*5))^5/120))/((((0.15*B1383*5))^0/1)+(((0.15*B1383*5))^1/1)+(((0.15*B1383*5))^2/2)+(((0.15*B1383*5))^3/6)+(((0.15*B1383*5))^4/24)+(((0.15*B1383*5))^5/120))),0)))/100)*(MIN(MIN(10,IF(Inputs!$B$3&gt;=75,0.75,0.5)*B1383*(1/Q1349)),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350">
      <c r="A1350">
        <f>Skills!A5</f>
        <v/>
      </c>
      <c r="B1350">
        <f>Skills!B5</f>
        <v/>
      </c>
      <c r="C1350">
        <f>Inputs!$B$3&gt;=75</f>
        <v/>
      </c>
      <c r="D1350">
        <f>IF(Skills!C5=1,60+Inputs!$B$25+Inputs!$B$29,IF(Skills!C5=2,90+Inputs!$B$26+Inputs!$B$29,IF(Skills!C5=3,120+Inputs!$B$27+Inputs!$B$29,MAX(0,(Inputs!$B$3-100)*3)+Inputs!$B$28+Inputs!$B$29)))</f>
        <v/>
      </c>
      <c r="E1350">
        <f>INDEX(FactorTable!$B$2:$Y$301, MATCH(ROUND(MIN(300,MAX(1,D1350)),0), FactorTable!$A$2:$A$301,0), Skills!M5+1)</f>
        <v/>
      </c>
      <c r="F1350">
        <f>IF(Skills!N5=TRUE,(Skills!L5/10)*(E1350/1000),Skills!L5/10)+Skills!O5</f>
        <v/>
      </c>
      <c r="G1350">
        <f>Skills!G5*IF(Skills!H5&gt;0,IF(Inputs!$B$39="pvp",MIN(Skills!I5,15),Skills!I5)/Skills!H5,1)</f>
        <v/>
      </c>
      <c r="H1350">
        <f>1-(1-Skills!J5/100)^Skills!K5</f>
        <v/>
      </c>
      <c r="I1350" t="inlineStr">
        <is>
          <t>1</t>
        </is>
      </c>
      <c r="J1350" t="inlineStr"/>
      <c r="K1350" t="inlineStr"/>
      <c r="L1350" t="inlineStr"/>
      <c r="M1350" t="inlineStr"/>
      <c r="N1350" t="inlineStr"/>
      <c r="O1350">
        <f>(1-Summary!$B$11)*T1350+Summary!$B$11*V1350</f>
        <v/>
      </c>
      <c r="P1350">
        <f>IF(B1391=0,0,O1350/B1391)</f>
        <v/>
      </c>
      <c r="Q1350" t="n">
        <v>0</v>
      </c>
      <c r="R1350" t="n">
        <v>0</v>
      </c>
      <c r="S1350">
        <f>IFERROR(O1350/N1350,0)</f>
        <v/>
      </c>
      <c r="T1350" t="n">
        <v>0</v>
      </c>
      <c r="V1350" t="n">
        <v>0</v>
      </c>
    </row>
    <row r="1351">
      <c r="A1351">
        <f>Skills!A6</f>
        <v/>
      </c>
      <c r="B1351">
        <f>Skills!B6</f>
        <v/>
      </c>
      <c r="C1351">
        <f>Inputs!$B$3&gt;=63</f>
        <v/>
      </c>
      <c r="D1351">
        <f>IF(Skills!C6=1,60+Inputs!$B$25+Inputs!$B$29,IF(Skills!C6=2,90+Inputs!$B$26+Inputs!$B$29,IF(Skills!C6=3,120+Inputs!$B$27+Inputs!$B$29,MAX(0,(Inputs!$B$3-100)*3)+Inputs!$B$28+Inputs!$B$29)))</f>
        <v/>
      </c>
      <c r="E1351">
        <f>INDEX(FactorTable!$B$2:$Y$301, MATCH(ROUND(MIN(300,MAX(1,D1351)),0), FactorTable!$A$2:$A$301,0), Skills!M6+1)</f>
        <v/>
      </c>
      <c r="F1351">
        <f>IF(Skills!N6=TRUE,(Skills!L6/10)*(E1351/1000),Skills!L6/10)+Skills!O6</f>
        <v/>
      </c>
      <c r="G1351">
        <f>Skills!G6*IF(Skills!H6&gt;0,IF(Inputs!$B$39="pvp",MIN(Skills!I6,15),Skills!I6)/Skills!H6,1)</f>
        <v/>
      </c>
      <c r="H1351">
        <f>1-(1-Skills!J6/100)^Skills!K6</f>
        <v/>
      </c>
      <c r="I1351" t="inlineStr">
        <is>
          <t>1</t>
        </is>
      </c>
      <c r="J1351">
        <f>((Inputs!$B$6*(1+Inputs!$B$7/100))+(((Inputs!$B$12*(1+Inputs!$B$13/100))-(Inputs!$B$12*(1+Inputs!$B$13/100)))+0.25*(Inputs!$B$14-Inputs!$B$14))*(1+Inputs!$B$7/100))*(F1351/100)</f>
        <v/>
      </c>
      <c r="K1351">
        <f>J1351*(1+((Inputs!$B$12*(1+Inputs!$B$13/100))*0.01+Inputs!$B$14*0.0025)/100)*(1+Inputs!$B$15/100)*(1+Inputs!$B$16/100)*(5000/(6000+Inputs!$B$43*(1-(100*(1-(1-Inputs!$B$19/100)*(1-CHOOSE(ArtifactsInput!$N$40+1,5,6,7,8,9,10)/100)^(ArtifactsInput!$M$40-ArtifactsInput!$M$40)))/100)))*(1+(Inputs!$B$24+((C1376=TRUE)*(F1376-Calc!F31))+((C1363=TRUE)*(F1363-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+2.6666666666666665*IF(C1364=TRUE,F1364,0)/100)*(1+(IF(Skills!A6="CRUEL_STAB",Inputs!$B$17+((C1373=TRUE)*(F1373-Calc!F28))+((IF(AND(Inputs!$B$39&lt;&gt;"pvp",Inputs!$B$44=0),1,IF(IF(Inputs!$B$39="pvp",15,Inputs!$B$44)-(B1390)&lt;=0,1,MAX(0,IF(Inputs!$B$39="pvp",15,Inputs!$B$44)-MAX(5,B1390))/(IF(Inputs!$B$39="pvp",15,Inputs!$B$44)-(B1390))))*(IF(AND(ArtifactsInput!$M$42,((Inputs!$B$9+((C1371=TRUE)*(F1371-Calc!F26))+B1379+(ArtifactsInput!$M$24-ArtifactsInput!$M$24)*CHOOSE(ArtifactsInput!$N$24+1,10,12,14,16,18,20)+IF(ArtifactsInput!$M$10,CHOOSE(ArtifactsInput!$N$10+1,15,18,21,24,27,30)*(IF(Inputs!$B$39="pvp",MIN(15,15)/15,IF(AND(Inputs!$B$39&lt;&gt;"pvp",Inputs!$B$44&gt;0),MIN(15,Inputs!$B$44)/(Inputs!$B$44),0))),0)))&gt;=100),MIN(100,((Inputs!$B$9+((C1371=TRUE)*(F1371-Calc!F26))+B1379+(ArtifactsInput!$M$24-ArtifactsInput!$M$24)*CHOOSE(ArtifactsInput!$N$24+1,10,12,14,16,18,20)+IF(ArtifactsInput!$M$10,CHOOSE(ArtifactsInput!$N$10+1,15,18,21,24,27,30)*(IF(Inputs!$B$39="pvp",MIN(15,15)/15,IF(AND(Inputs!$B$39&lt;&gt;"pvp",Inputs!$B$44&gt;0),MIN(15,Inputs!$B$44)/(Inputs!$B$44),0))),0)))-100),0))*CHOOSE(ArtifactsInput!$N$42+1,0.6,0.72,0.84,0.96,1.08,1.2))),Inputs!$B$18+((C1374=TRUE)*(F1374-Calc!F29))+(IF(AND(Inputs!$B$39&lt;&gt;"pvp",Inputs!$B$44=0),1,IF(IF(Inputs!$B$39="pvp",15,Inputs!$B$44)-(B1390)&lt;=0,1,MAX(0,IF(Inputs!$B$39="pvp",15,Inputs!$B$44)-MAX(5,B1390))/(IF(Inputs!$B$39="pvp",15,Inputs!$B$44)-(B1390))))*IF(AND(ArtifactsInput!$M$42,((Inputs!$B$9+((C1371=TRUE)*(F1371-Calc!F26))+B1379+(ArtifactsInput!$M$24-ArtifactsInput!$M$24)*CHOOSE(ArtifactsInput!$N$24+1,10,12,14,16,18,20)+IF(ArtifactsInput!$M$10,CHOOSE(ArtifactsInput!$N$10+1,15,18,21,24,27,30)*(IF(Inputs!$B$39="pvp",MIN(15,15)/15,IF(AND(Inputs!$B$39&lt;&gt;"pvp",Inputs!$B$44&gt;0),MIN(15,Inputs!$B$44)/(Inputs!$B$44),0))),0)))&gt;=100),CHOOSE(ArtifactsInput!$N$42+1,40,48,56,64,72,80),0))))/100)*(((1+(((C1367=TRUE)*F1367*IF(AND(Inputs!$B$39&lt;&gt;"pvp",Inputs!$B$44&gt;0),(((R1367-1)*MIN((Skills!Y22*(1+(Inputs!$B$34+1)/100)),(1/Q1367))+MIN((Skills!Y22*(1+(Inputs!$B$34+1)/100)),MAX(0,Inputs!$B$44-((R1367-1)*(1/Q1367)))))/Inputs!$B$44),IF(Inputs!$B$39="pvp",MIN((Skills!Y22*(1+(Inputs!$B$34+1)/100)),15)/15,MIN(1,(Skills!Y22*(1+(Inputs!$B$34+1)/100))/(1/Q1367)))))+((C1348=TRUE)*F1348*3)+((C1350=TRUE)*F1350*(1-EXP(-0.75*B1383*5)))+((C1369=TRUE)*(F1369-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1356=TRUE)*F1356*IF(AND(Inputs!$B$39&lt;&gt;"pvp",Inputs!$B$44&gt;0),(((R1356-1)*MIN((Skills!Y11*(1+(Inputs!$B$34+1)/100)),(1/Q1356))+MIN((Skills!Y11*(1+(Inputs!$B$34+1)/100)),MAX(0,Inputs!$B$44-((R1356-1)*(1/Q1356)))))/Inputs!$B$44),IF(Inputs!$B$39="pvp",MIN((Skills!Y11*(1+(Inputs!$B$34+1)/100)),15)/15,MIN(1,(Skills!Y11*(1+(Inputs!$B$34+1)/100))/(1/Q1356)))))/100)*(1+((C1361=TRUE)*F1361*IF(AND(Inputs!$B$39&lt;&gt;"pvp",Inputs!$B$44&gt;0),(((R1361-1)*MIN((Skills!Y16*(1+(Inputs!$B$34+1)/100)),(1/Q1361))+MIN((Skills!Y16*(1+(Inputs!$B$34+1)/100)),MAX(0,Inputs!$B$44-((R1361-1)*(1/Q1361)))))/Inputs!$B$44),IF(Inputs!$B$39="pvp",MIN((Skills!Y16*(1+(Inputs!$B$34+1)/100)),15)/15,MIN(1,(Skills!Y16*(1+(Inputs!$B$34+1)/100))/(1/Q1361)))))/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1381*I1351)</f>
        <v/>
      </c>
      <c r="L1351">
        <f>K1351*(MIN(Inputs!$B$22+((C1370=TRUE)*(F1370-Calc!F25)),(Inputs!$B$23+((C1375=TRUE)*(F1375-Calc!F30))+IF(ArtifactsInput!$M$15,CHOOSE(ArtifactsInput!$N$15+1,25,30,35,40,45,50)/100*(Inputs!$B$11-Inputs!$B$11),0)))/100+(Inputs!$B$23+((C1375=TRUE)*(F1375-Calc!F30))+IF(ArtifactsInput!$M$15,CHOOSE(ArtifactsInput!$N$15+1,25,30,35,40,45,50)/100*(Inputs!$B$11-Inputs!$B$11),0))/100)/2</f>
        <v/>
      </c>
      <c r="M1351">
        <f>L1351*(1+(Inputs!$B$10+((C1372=TRUE)*(F1372-Calc!F27))+B1386+(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1351">
        <f>L1351*(1-MIN((Inputs!$B$9+((C1371=TRUE)*(F1371-Calc!F26))+B1379+(ArtifactsInput!$M$24-ArtifactsInput!$M$24)*CHOOSE(ArtifactsInput!$N$24+1,10,12,14,16,18,20)+(IF(AND(Inputs!$B$39&lt;&gt;"pvp",Inputs!$B$44=0),1,IF(IF(Inputs!$B$39="pvp",15,Inputs!$B$44)-(B1390)&lt;=0,1,MAX(0,IF(Inputs!$B$39="pvp",15,Inputs!$B$44)-MAX(5,B1390))/(IF(Inputs!$B$39="pvp",15,Inputs!$B$44)-(B1390))))*IF(AND(ArtifactsInput!$M$42,((Inputs!$B$9+((C1371=TRUE)*(F1371-Calc!F26))+B1379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1351*(MIN((Inputs!$B$9+((C1371=TRUE)*(F1371-Calc!F26))+B1379+(ArtifactsInput!$M$24-ArtifactsInput!$M$24)*CHOOSE(ArtifactsInput!$N$24+1,10,12,14,16,18,20)+(IF(AND(Inputs!$B$39&lt;&gt;"pvp",Inputs!$B$44=0),1,IF(IF(Inputs!$B$39="pvp",15,Inputs!$B$44)-(B1390)&lt;=0,1,MAX(0,IF(Inputs!$B$39="pvp",15,Inputs!$B$44)-MAX(5,B1390))/(IF(Inputs!$B$39="pvp",15,Inputs!$B$44)-(B1390))))*IF(AND(ArtifactsInput!$M$42,((Inputs!$B$9+((C1371=TRUE)*(F1371-Calc!F26))+B1379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351">
        <f>(1-Summary!$B$11)*T1351+Summary!$B$11*V1351</f>
        <v/>
      </c>
      <c r="P1351">
        <f>IF(B1391=0,0,O1351/B1391)</f>
        <v/>
      </c>
      <c r="Q1351">
        <f>IFERROR(1/IF(Inputs!$B$39="pvp",15,MAX(0.1,Skills!D6-IF(TRUE=TRUE,Inputs!$B$32,0))),0)</f>
        <v/>
      </c>
      <c r="R1351">
        <f>IF(AND(Inputs!$B$39&lt;&gt;"pvp",Inputs!$B$44&gt;0),IF(MAX(0,Inputs!$B$44-B1390)&lt;=0,0,(INT(MAX(0,Inputs!$B$44-B1390)/IF(Inputs!$B$39="pvp",15,MAX(0.1,Skills!D6-IF(TRUE=TRUE,Inputs!$B$32,0))))+1)),0)</f>
        <v/>
      </c>
      <c r="S1351">
        <f>IFERROR(O1351/N1351,0)</f>
        <v/>
      </c>
      <c r="T1351">
        <f>IF(C1351,(H1351*N1351*IF(AND(Inputs!$B$39&lt;&gt;"pvp",Inputs!$B$44&gt;0),((Skills!G6*((R1351-1)*IF(Skills!H6&gt;0,Skills!I6/Skills!H6,1)+IF(Skills!H6&gt;0,MIN(Skills!I6,MAX(0,MAX(0,Inputs!$B$44-B1390)-((R1351-1)*IF(Inputs!$B$39="pvp",15,MAX(0.1,Skills!D6-IF(TRUE=TRUE,Inputs!$B$32,0))))))/Skills!H6,1)))/Inputs!$B$44),G1351*Q1351))*IF(Inputs!$B$39="pvp",1,1+(Inputs!$B$20+0+Skills!P6+B1380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Hunt"),CHOOSE(ArtifactsInput!$N$35+1,15,18,21,24,27,30)*(1-EXP(-(0.2*B1383)*5)),0)+IF(AND(ArtifactsInput!$M$22,Inputs!$B$4&lt;&gt;"Chapter Hunt"),CHOOSE(ArtifactsInput!$N$22+1,10,12,14,16,18,20)*((0*(((0.15*B1383*5))^0/1)+1*(((0.15*B1383*5))^1/1)+2*(((0.15*B1383*5))^2/2)+3*(((0.15*B1383*5))^3/6)+4*(((0.15*B1383*5))^4/24)+5*(((0.15*B1383*5))^5/120))/((((0.15*B1383*5))^0/1)+(((0.15*B1383*5))^1/1)+(((0.15*B1383*5))^2/2)+(((0.15*B1383*5))^3/6)+(((0.15*B1383*5))^4/24)+(((0.15*B1383*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1351*(1-MIN(100,(Inputs!$B$9+((C1371=TRUE)*(F1371-Calc!F26))+B1379+(ArtifactsInput!$M$24-ArtifactsInput!$M$24)*CHOOSE(ArtifactsInput!$N$24+1,10,12,14,16,18,20)+(IF(AND(Inputs!$B$39&lt;&gt;"pvp",Inputs!$B$44=0),1,IF(IF(Inputs!$B$39="pvp",15,Inputs!$B$44)-(B1390)&lt;=0,1,MAX(0,IF(Inputs!$B$39="pvp",15,Inputs!$B$44)-MAX(5,B1390))/(IF(Inputs!$B$39="pvp",15,Inputs!$B$44)-(B1390))))*IF(AND(ArtifactsInput!$M$42,((Inputs!$B$9+((C1371=TRUE)*(F1371-Calc!F26))+B1379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1351*(MIN(100,(Inputs!$B$9+((C1371=TRUE)*(F1371-Calc!F26))+B1379+(ArtifactsInput!$M$24-ArtifactsInput!$M$24)*CHOOSE(ArtifactsInput!$N$24+1,10,12,14,16,18,20)+(IF(AND(Inputs!$B$39&lt;&gt;"pvp",Inputs!$B$44=0),1,IF(IF(Inputs!$B$39="pvp",15,Inputs!$B$44)-(B1390)&lt;=0,1,MAX(0,IF(Inputs!$B$39="pvp",15,Inputs!$B$44)-MAX(5,B1390))/(IF(Inputs!$B$39="pvp",15,Inputs!$B$44)-(B1390))))*IF(AND(ArtifactsInput!$M$42,((Inputs!$B$9+((C1371=TRUE)*(F1371-Calc!F26))+B1379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1351*(1-MIN(100,(Inputs!$B$9+((C1371=TRUE)*(F1371-Calc!F26))+B1379+(ArtifactsInput!$M$24-ArtifactsInput!$M$24)*CHOOSE(ArtifactsInput!$N$24+1,10,12,14,16,18,20)+(IF(AND(Inputs!$B$39&lt;&gt;"pvp",Inputs!$B$44=0),1,IF(IF(Inputs!$B$39="pvp",15,Inputs!$B$44)-(B1390)&lt;=0,1,MAX(0,IF(Inputs!$B$39="pvp",15,Inputs!$B$44)-MAX(5,B1390))/(IF(Inputs!$B$39="pvp",15,Inputs!$B$44)-(B1390))))*IF(AND(ArtifactsInput!$M$42,((Inputs!$B$9+((C1371=TRUE)*(F1371-Calc!F26))+B1379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1351*(MIN(100,(Inputs!$B$9+((C1371=TRUE)*(F1371-Calc!F26))+B1379+(ArtifactsInput!$M$24-ArtifactsInput!$M$24)*CHOOSE(ArtifactsInput!$N$24+1,10,12,14,16,18,20)+(IF(AND(Inputs!$B$39&lt;&gt;"pvp",Inputs!$B$44=0),1,IF(IF(Inputs!$B$39="pvp",15,Inputs!$B$44)-(B1390)&lt;=0,1,MAX(0,IF(Inputs!$B$39="pvp",15,Inputs!$B$44)-MAX(5,B1390))/(IF(Inputs!$B$39="pvp",15,Inputs!$B$44)-(B1390))))*IF(AND(ArtifactsInput!$M$42,((Inputs!$B$9+((C1371=TRUE)*(F1371-Calc!F26))+B1379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1351">
        <f>IF(C1351,(H1351*N1351*IF(AND(Inputs!$B$39&lt;&gt;"pvp",Inputs!$B$44&gt;0),((Skills!G6*((R1351-1)*IF(Skills!H6&gt;0,Skills!I6/Skills!H6,1)+IF(Skills!H6&gt;0,MIN(Skills!I6,MAX(0,MAX(0,Inputs!$B$44-B1390)-((R1351-1)*IF(Inputs!$B$39="pvp",15,MAX(0.1,Skills!D6-IF(TRUE=TRUE,Inputs!$B$32,0))))))/Skills!H6,1)))/Inputs!$B$44),G1351*Q1351))*IF(Inputs!$B$39="pvp",1,(1+(Inputs!$B$21+Skills!Q6+B1380+(IF(ArtifactsInput!$M$33,CHOOSE(ArtifactsInput!$N$33+1,30,36,42,48,54,60),0))+(IF(AND(ArtifactsInput!$M$35,Inputs!$B$4&lt;&gt;"Chapter Hunt"),CHOOSE(ArtifactsInput!$N$35+1,15,18,21,24,27,30)*(1-EXP(-(0.2*B1383)*5)),0)+IF(AND(ArtifactsInput!$M$22,Inputs!$B$4&lt;&gt;"Chapter Hunt"),CHOOSE(ArtifactsInput!$N$22+1,10,12,14,16,18,20)*((0*(((0.15*B1383*5))^0/1)+1*(((0.15*B1383*5))^1/1)+2*(((0.15*B1383*5))^2/2)+3*(((0.15*B1383*5))^3/6)+4*(((0.15*B1383*5))^4/24)+5*(((0.15*B1383*5))^5/120))/((((0.15*B1383*5))^0/1)+(((0.15*B1383*5))^1/1)+(((0.15*B1383*5))^2/2)+(((0.15*B1383*5))^3/6)+(((0.15*B1383*5))^4/24)+(((0.15*B1383*5))^5/120))),0)))/100)*(MIN(Skills!W6,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352">
      <c r="A1352">
        <f>Skills!A7</f>
        <v/>
      </c>
      <c r="B1352">
        <f>Skills!B7</f>
        <v/>
      </c>
      <c r="C1352">
        <f>Inputs!$B$3&gt;=69</f>
        <v/>
      </c>
      <c r="D1352">
        <f>IF(Skills!C7=1,60+Inputs!$B$25+Inputs!$B$29,IF(Skills!C7=2,90+Inputs!$B$26+Inputs!$B$29,IF(Skills!C7=3,120+Inputs!$B$27+Inputs!$B$29,MAX(0,(Inputs!$B$3-100)*3)+Inputs!$B$28+Inputs!$B$29)))</f>
        <v/>
      </c>
      <c r="E1352">
        <f>INDEX(FactorTable!$B$2:$Y$301, MATCH(ROUND(MIN(300,MAX(1,D1352)),0), FactorTable!$A$2:$A$301,0), Skills!M7+1)</f>
        <v/>
      </c>
      <c r="F1352">
        <f>IF(Skills!N7=TRUE,(Skills!L7/10)*(E1352/1000),Skills!L7/10)+Skills!O7</f>
        <v/>
      </c>
      <c r="G1352">
        <f>Skills!G7*IF(Skills!H7&gt;0,IF(Inputs!$B$39="pvp",MIN(Skills!I7,15),Skills!I7)/Skills!H7,1)</f>
        <v/>
      </c>
      <c r="H1352">
        <f>1-(1-Skills!J7/100)^Skills!K7</f>
        <v/>
      </c>
      <c r="I1352" t="inlineStr">
        <is>
          <t>1</t>
        </is>
      </c>
      <c r="J1352">
        <f>((Inputs!$B$6*(1+Inputs!$B$7/100))+(((Inputs!$B$12*(1+Inputs!$B$13/100))-(Inputs!$B$12*(1+Inputs!$B$13/100)))+0.25*(Inputs!$B$14-Inputs!$B$14))*(1+Inputs!$B$7/100))*(F1352/100)</f>
        <v/>
      </c>
      <c r="K1352">
        <f>J1352*(1+((Inputs!$B$12*(1+Inputs!$B$13/100))*0.01+Inputs!$B$14*0.0025)/100)*(1+Inputs!$B$15/100)*(1+Inputs!$B$16/100)*(5000/(6000+Inputs!$B$43*(1-(100*(1-(1-Inputs!$B$19/100)*(1-CHOOSE(ArtifactsInput!$N$40+1,5,6,7,8,9,10)/100)^(ArtifactsInput!$M$40-ArtifactsInput!$M$40)))/100)))*(1+(Inputs!$B$24+((C1376=TRUE)*(F1376-Calc!F31))+((C1363=TRUE)*(F1363-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1364=TRUE,F1364,0)/100)*(1+(IF(Skills!A7="CRUEL_STAB",Inputs!$B$17+((C1373=TRUE)*(F1373-Calc!F28))+((IF(AND(Inputs!$B$39&lt;&gt;"pvp",Inputs!$B$44=0),1,IF(IF(Inputs!$B$39="pvp",15,Inputs!$B$44)-(B1390)&lt;=0,1,MAX(0,IF(Inputs!$B$39="pvp",15,Inputs!$B$44)-MAX(5,B1390))/(IF(Inputs!$B$39="pvp",15,Inputs!$B$44)-(B1390))))*(IF(AND(ArtifactsInput!$M$42,((Inputs!$B$9+((C1371=TRUE)*(F1371-Calc!F26))+B1379+(ArtifactsInput!$M$24-ArtifactsInput!$M$24)*CHOOSE(ArtifactsInput!$N$24+1,10,12,14,16,18,20)+IF(ArtifactsInput!$M$10,CHOOSE(ArtifactsInput!$N$10+1,15,18,21,24,27,30)*(IF(Inputs!$B$39="pvp",MIN(15,15)/15,IF(AND(Inputs!$B$39&lt;&gt;"pvp",Inputs!$B$44&gt;0),MIN(15,Inputs!$B$44)/(Inputs!$B$44),0))),0)))&gt;=100),MIN(100,((Inputs!$B$9+((C1371=TRUE)*(F1371-Calc!F26))+B1379+(ArtifactsInput!$M$24-ArtifactsInput!$M$24)*CHOOSE(ArtifactsInput!$N$24+1,10,12,14,16,18,20)+IF(ArtifactsInput!$M$10,CHOOSE(ArtifactsInput!$N$10+1,15,18,21,24,27,30)*(IF(Inputs!$B$39="pvp",MIN(15,15)/15,IF(AND(Inputs!$B$39&lt;&gt;"pvp",Inputs!$B$44&gt;0),MIN(15,Inputs!$B$44)/(Inputs!$B$44),0))),0)))-100),0))*CHOOSE(ArtifactsInput!$N$42+1,0.6,0.72,0.84,0.96,1.08,1.2))),Inputs!$B$18+((C1374=TRUE)*(F1374-Calc!F29))+(IF(AND(Inputs!$B$39&lt;&gt;"pvp",Inputs!$B$44=0),1,IF(IF(Inputs!$B$39="pvp",15,Inputs!$B$44)-(B1390)&lt;=0,1,MAX(0,IF(Inputs!$B$39="pvp",15,Inputs!$B$44)-MAX(5,B1390))/(IF(Inputs!$B$39="pvp",15,Inputs!$B$44)-(B1390))))*IF(AND(ArtifactsInput!$M$42,((Inputs!$B$9+((C1371=TRUE)*(F1371-Calc!F26))+B1379+(ArtifactsInput!$M$24-ArtifactsInput!$M$24)*CHOOSE(ArtifactsInput!$N$24+1,10,12,14,16,18,20)+IF(ArtifactsInput!$M$10,CHOOSE(ArtifactsInput!$N$10+1,15,18,21,24,27,30)*(IF(Inputs!$B$39="pvp",MIN(15,15)/15,IF(AND(Inputs!$B$39&lt;&gt;"pvp",Inputs!$B$44&gt;0),MIN(15,Inputs!$B$44)/(Inputs!$B$44),0))),0)))&gt;=100),CHOOSE(ArtifactsInput!$N$42+1,40,48,56,64,72,80),0))))/100)*(((1+(((C1367=TRUE)*F1367*IF(AND(Inputs!$B$39&lt;&gt;"pvp",Inputs!$B$44&gt;0),(((R1367-1)*MIN((Skills!Y22*(1+(Inputs!$B$34+1)/100)),(1/Q1367))+MIN((Skills!Y22*(1+(Inputs!$B$34+1)/100)),MAX(0,Inputs!$B$44-((R1367-1)*(1/Q1367)))))/Inputs!$B$44),IF(Inputs!$B$39="pvp",MIN((Skills!Y22*(1+(Inputs!$B$34+1)/100)),15)/15,MIN(1,(Skills!Y22*(1+(Inputs!$B$34+1)/100))/(1/Q1367)))))+((C1348=TRUE)*F1348*3)+((C1350=TRUE)*F1350*(1-EXP(-0.75*B1383*5)))+((C1369=TRUE)*(F1369-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1356=TRUE)*F1356*IF(AND(Inputs!$B$39&lt;&gt;"pvp",Inputs!$B$44&gt;0),(((R1356-1)*MIN((Skills!Y11*(1+(Inputs!$B$34+1)/100)),(1/Q1356))+MIN((Skills!Y11*(1+(Inputs!$B$34+1)/100)),MAX(0,Inputs!$B$44-((R1356-1)*(1/Q1356)))))/Inputs!$B$44),IF(Inputs!$B$39="pvp",MIN((Skills!Y11*(1+(Inputs!$B$34+1)/100)),15)/15,MIN(1,(Skills!Y11*(1+(Inputs!$B$34+1)/100))/(1/Q1356)))))/100)*(1+((C1361=TRUE)*F1361*IF(AND(Inputs!$B$39&lt;&gt;"pvp",Inputs!$B$44&gt;0),(((R1361-1)*MIN((Skills!Y16*(1+(Inputs!$B$34+1)/100)),(1/Q1361))+MIN((Skills!Y16*(1+(Inputs!$B$34+1)/100)),MAX(0,Inputs!$B$44-((R1361-1)*(1/Q1361)))))/Inputs!$B$44),IF(Inputs!$B$39="pvp",MIN((Skills!Y16*(1+(Inputs!$B$34+1)/100)),15)/15,MIN(1,(Skills!Y16*(1+(Inputs!$B$34+1)/100))/(1/Q1361)))))/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1381*I1352)</f>
        <v/>
      </c>
      <c r="L1352">
        <f>K1352*(MIN(Inputs!$B$22+((C1370=TRUE)*(F1370-Calc!F25)),(Inputs!$B$23+((C1375=TRUE)*(F1375-Calc!F30))+IF(ArtifactsInput!$M$15,CHOOSE(ArtifactsInput!$N$15+1,25,30,35,40,45,50)/100*(Inputs!$B$11-Inputs!$B$11),0)))/100+(Inputs!$B$23+((C1375=TRUE)*(F1375-Calc!F30))+IF(ArtifactsInput!$M$15,CHOOSE(ArtifactsInput!$N$15+1,25,30,35,40,45,50)/100*(Inputs!$B$11-Inputs!$B$11),0))/100)/2</f>
        <v/>
      </c>
      <c r="M1352">
        <f>L1352*(1+(Inputs!$B$10+((C1372=TRUE)*(F1372-Calc!F27))+B1386+(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1352">
        <f>L1352*(1-MIN((Inputs!$B$9+((C1371=TRUE)*(F1371-Calc!F26))+B1379+(ArtifactsInput!$M$24-ArtifactsInput!$M$24)*CHOOSE(ArtifactsInput!$N$24+1,10,12,14,16,18,20)+(IF(AND(Inputs!$B$39&lt;&gt;"pvp",Inputs!$B$44=0),1,IF(IF(Inputs!$B$39="pvp",15,Inputs!$B$44)-(B1390)&lt;=0,1,MAX(0,IF(Inputs!$B$39="pvp",15,Inputs!$B$44)-MAX(5,B1390))/(IF(Inputs!$B$39="pvp",15,Inputs!$B$44)-(B1390))))*IF(AND(ArtifactsInput!$M$42,((Inputs!$B$9+((C1371=TRUE)*(F1371-Calc!F26))+B1379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1352*(MIN((Inputs!$B$9+((C1371=TRUE)*(F1371-Calc!F26))+B1379+(ArtifactsInput!$M$24-ArtifactsInput!$M$24)*CHOOSE(ArtifactsInput!$N$24+1,10,12,14,16,18,20)+(IF(AND(Inputs!$B$39&lt;&gt;"pvp",Inputs!$B$44=0),1,IF(IF(Inputs!$B$39="pvp",15,Inputs!$B$44)-(B1390)&lt;=0,1,MAX(0,IF(Inputs!$B$39="pvp",15,Inputs!$B$44)-MAX(5,B1390))/(IF(Inputs!$B$39="pvp",15,Inputs!$B$44)-(B1390))))*IF(AND(ArtifactsInput!$M$42,((Inputs!$B$9+((C1371=TRUE)*(F1371-Calc!F26))+B1379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352">
        <f>(1-Summary!$B$11)*T1352+Summary!$B$11*V1352</f>
        <v/>
      </c>
      <c r="P1352">
        <f>IF(B1391=0,0,O1352/B1391)</f>
        <v/>
      </c>
      <c r="Q1352">
        <f>IFERROR(1/IF(Inputs!$B$39="pvp",15,MAX(0.1,Skills!D7-IF(TRUE=TRUE,Inputs!$B$32,0))),0)</f>
        <v/>
      </c>
      <c r="R1352">
        <f>IF(AND(Inputs!$B$39&lt;&gt;"pvp",Inputs!$B$44&gt;0),IF(MAX(0,Inputs!$B$44-B1390)&lt;=0,0,(INT(MAX(0,Inputs!$B$44-B1390)/IF(Inputs!$B$39="pvp",15,MAX(0.1,Skills!D7-IF(TRUE=TRUE,Inputs!$B$32,0))))+1)),0)</f>
        <v/>
      </c>
      <c r="S1352">
        <f>IFERROR(O1352/N1352,0)</f>
        <v/>
      </c>
      <c r="T1352">
        <f>IF(C1352,(H1352*N1352*IF(AND(Inputs!$B$39&lt;&gt;"pvp",Inputs!$B$44&gt;0),((Skills!G7*((R1352-1)*IF(Skills!H7&gt;0,Skills!I7/Skills!H7,1)+IF(Skills!H7&gt;0,MIN(Skills!I7,MAX(0,MAX(0,Inputs!$B$44-B1390)-((R1352-1)*IF(Inputs!$B$39="pvp",15,MAX(0.1,Skills!D7-IF(TRUE=TRUE,Inputs!$B$32,0))))))/Skills!H7,1)))/Inputs!$B$44),G1352*Q1352))*IF(Inputs!$B$39="pvp",1,1+(Inputs!$B$20+0+Skills!P7+B1380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Hunt"),CHOOSE(ArtifactsInput!$N$35+1,15,18,21,24,27,30)*(1-EXP(-(0.2*B1383)*5)),0)+IF(AND(ArtifactsInput!$M$22,Inputs!$B$4&lt;&gt;"Chapter Hunt"),CHOOSE(ArtifactsInput!$N$22+1,10,12,14,16,18,20)*((0*(((0.15*B1383*5))^0/1)+1*(((0.15*B1383*5))^1/1)+2*(((0.15*B1383*5))^2/2)+3*(((0.15*B1383*5))^3/6)+4*(((0.15*B1383*5))^4/24)+5*(((0.15*B1383*5))^5/120))/((((0.15*B1383*5))^0/1)+(((0.15*B1383*5))^1/1)+(((0.15*B1383*5))^2/2)+(((0.15*B1383*5))^3/6)+(((0.15*B1383*5))^4/24)+(((0.15*B1383*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1352*(1-MIN(100,(Inputs!$B$9+((C1371=TRUE)*(F1371-Calc!F26))+B1379+(ArtifactsInput!$M$24-ArtifactsInput!$M$24)*CHOOSE(ArtifactsInput!$N$24+1,10,12,14,16,18,20)+(IF(AND(Inputs!$B$39&lt;&gt;"pvp",Inputs!$B$44=0),1,IF(IF(Inputs!$B$39="pvp",15,Inputs!$B$44)-(B1390)&lt;=0,1,MAX(0,IF(Inputs!$B$39="pvp",15,Inputs!$B$44)-MAX(5,B1390))/(IF(Inputs!$B$39="pvp",15,Inputs!$B$44)-(B1390))))*IF(AND(ArtifactsInput!$M$42,((Inputs!$B$9+((C1371=TRUE)*(F1371-Calc!F26))+B1379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1352*(MIN(100,(Inputs!$B$9+((C1371=TRUE)*(F1371-Calc!F26))+B1379+(ArtifactsInput!$M$24-ArtifactsInput!$M$24)*CHOOSE(ArtifactsInput!$N$24+1,10,12,14,16,18,20)+(IF(AND(Inputs!$B$39&lt;&gt;"pvp",Inputs!$B$44=0),1,IF(IF(Inputs!$B$39="pvp",15,Inputs!$B$44)-(B1390)&lt;=0,1,MAX(0,IF(Inputs!$B$39="pvp",15,Inputs!$B$44)-MAX(5,B1390))/(IF(Inputs!$B$39="pvp",15,Inputs!$B$44)-(B1390))))*IF(AND(ArtifactsInput!$M$42,((Inputs!$B$9+((C1371=TRUE)*(F1371-Calc!F26))+B1379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1352*(1-MIN(100,(Inputs!$B$9+((C1371=TRUE)*(F1371-Calc!F26))+B1379+(ArtifactsInput!$M$24-ArtifactsInput!$M$24)*CHOOSE(ArtifactsInput!$N$24+1,10,12,14,16,18,20)+(IF(AND(Inputs!$B$39&lt;&gt;"pvp",Inputs!$B$44=0),1,IF(IF(Inputs!$B$39="pvp",15,Inputs!$B$44)-(B1390)&lt;=0,1,MAX(0,IF(Inputs!$B$39="pvp",15,Inputs!$B$44)-MAX(5,B1390))/(IF(Inputs!$B$39="pvp",15,Inputs!$B$44)-(B1390))))*IF(AND(ArtifactsInput!$M$42,((Inputs!$B$9+((C1371=TRUE)*(F1371-Calc!F26))+B1379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1352*(MIN(100,(Inputs!$B$9+((C1371=TRUE)*(F1371-Calc!F26))+B1379+(ArtifactsInput!$M$24-ArtifactsInput!$M$24)*CHOOSE(ArtifactsInput!$N$24+1,10,12,14,16,18,20)+(IF(AND(Inputs!$B$39&lt;&gt;"pvp",Inputs!$B$44=0),1,IF(IF(Inputs!$B$39="pvp",15,Inputs!$B$44)-(B1390)&lt;=0,1,MAX(0,IF(Inputs!$B$39="pvp",15,Inputs!$B$44)-MAX(5,B1390))/(IF(Inputs!$B$39="pvp",15,Inputs!$B$44)-(B1390))))*IF(AND(ArtifactsInput!$M$42,((Inputs!$B$9+((C1371=TRUE)*(F1371-Calc!F26))+B1379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1352">
        <f>IF(C1352,(H1352*N1352*IF(AND(Inputs!$B$39&lt;&gt;"pvp",Inputs!$B$44&gt;0),((Skills!G7*((R1352-1)*IF(Skills!H7&gt;0,Skills!I7/Skills!H7,1)+IF(Skills!H7&gt;0,MIN(Skills!I7,MAX(0,MAX(0,Inputs!$B$44-B1390)-((R1352-1)*IF(Inputs!$B$39="pvp",15,MAX(0.1,Skills!D7-IF(TRUE=TRUE,Inputs!$B$32,0))))))/Skills!H7,1)))/Inputs!$B$44),G1352*Q1352))*IF(Inputs!$B$39="pvp",1,(1+(Inputs!$B$21+Skills!Q7+B1380+(IF(ArtifactsInput!$M$33,CHOOSE(ArtifactsInput!$N$33+1,30,36,42,48,54,60),0))+(IF(AND(ArtifactsInput!$M$35,Inputs!$B$4&lt;&gt;"Chapter Hunt"),CHOOSE(ArtifactsInput!$N$35+1,15,18,21,24,27,30)*(1-EXP(-(0.2*B1383)*5)),0)+IF(AND(ArtifactsInput!$M$22,Inputs!$B$4&lt;&gt;"Chapter Hunt"),CHOOSE(ArtifactsInput!$N$22+1,10,12,14,16,18,20)*((0*(((0.15*B1383*5))^0/1)+1*(((0.15*B1383*5))^1/1)+2*(((0.15*B1383*5))^2/2)+3*(((0.15*B1383*5))^3/6)+4*(((0.15*B1383*5))^4/24)+5*(((0.15*B1383*5))^5/120))/((((0.15*B1383*5))^0/1)+(((0.15*B1383*5))^1/1)+(((0.15*B1383*5))^2/2)+(((0.15*B1383*5))^3/6)+(((0.15*B1383*5))^4/24)+(((0.15*B1383*5))^5/120))),0)))/100)*(MIN(Skills!W7,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353">
      <c r="A1353">
        <f>Skills!A8</f>
        <v/>
      </c>
      <c r="B1353">
        <f>Skills!B8</f>
        <v/>
      </c>
      <c r="C1353">
        <f>Inputs!$B$3&gt;=60</f>
        <v/>
      </c>
      <c r="D1353">
        <f>IF(Skills!C8=1,60+Inputs!$B$25+Inputs!$B$29,IF(Skills!C8=2,90+Inputs!$B$26+Inputs!$B$29,IF(Skills!C8=3,120+Inputs!$B$27+Inputs!$B$29,MAX(0,(Inputs!$B$3-100)*3)+Inputs!$B$28+Inputs!$B$29)))</f>
        <v/>
      </c>
      <c r="E1353">
        <f>INDEX(FactorTable!$B$2:$Y$301, MATCH(ROUND(MIN(300,MAX(1,D1353)),0), FactorTable!$A$2:$A$301,0), Skills!M8+1)</f>
        <v/>
      </c>
      <c r="F1353">
        <f>IF(Skills!N8=TRUE,(Skills!L8/10)*(E1353/1000),Skills!L8/10)+Skills!O8</f>
        <v/>
      </c>
      <c r="G1353">
        <f>Skills!G8*IF(Skills!H8&gt;0,IF(Inputs!$B$39="pvp",MIN(Skills!I8,15),Skills!I8)/Skills!H8,1)</f>
        <v/>
      </c>
      <c r="H1353">
        <f>1-(1-Skills!J8/100)^Skills!K8</f>
        <v/>
      </c>
      <c r="I1353" t="inlineStr">
        <is>
          <t>1</t>
        </is>
      </c>
      <c r="J1353" t="inlineStr"/>
      <c r="K1353" t="inlineStr"/>
      <c r="L1353" t="inlineStr"/>
      <c r="M1353" t="inlineStr"/>
      <c r="N1353" t="inlineStr"/>
      <c r="O1353">
        <f>(1-Summary!$B$11)*T1353+Summary!$B$11*V1353</f>
        <v/>
      </c>
      <c r="P1353">
        <f>IF(B1391=0,0,O1353/B1391)</f>
        <v/>
      </c>
      <c r="Q1353" t="n">
        <v>0</v>
      </c>
      <c r="R1353" t="n">
        <v>0</v>
      </c>
      <c r="S1353">
        <f>IFERROR(O1353/N1353,0)</f>
        <v/>
      </c>
      <c r="T1353" t="n">
        <v>0</v>
      </c>
      <c r="V1353" t="n">
        <v>0</v>
      </c>
    </row>
    <row r="1354">
      <c r="A1354">
        <f>Skills!A9</f>
        <v/>
      </c>
      <c r="B1354">
        <f>Skills!B9</f>
        <v/>
      </c>
      <c r="C1354">
        <f>Inputs!$B$3&gt;=72</f>
        <v/>
      </c>
      <c r="D1354">
        <f>IF(Skills!C9=1,60+Inputs!$B$25+Inputs!$B$29,IF(Skills!C9=2,90+Inputs!$B$26+Inputs!$B$29,IF(Skills!C9=3,120+Inputs!$B$27+Inputs!$B$29,MAX(0,(Inputs!$B$3-100)*3)+Inputs!$B$28+Inputs!$B$29)))</f>
        <v/>
      </c>
      <c r="E1354">
        <f>INDEX(FactorTable!$B$2:$Y$301, MATCH(ROUND(MIN(300,MAX(1,D1354)),0), FactorTable!$A$2:$A$301,0), Skills!M9+1)</f>
        <v/>
      </c>
      <c r="F1354">
        <f>IF(Skills!N9=TRUE,(Skills!L9/10)*(E1354/1000),Skills!L9/10)+Skills!O9</f>
        <v/>
      </c>
      <c r="G1354">
        <f>Skills!G9*IF(Skills!H9&gt;0,IF(Inputs!$B$39="pvp",MIN(Skills!I9,15),Skills!I9)/Skills!H9,1)</f>
        <v/>
      </c>
      <c r="H1354">
        <f>1-(1-Skills!J9/100)^Skills!K9</f>
        <v/>
      </c>
      <c r="I1354" t="inlineStr">
        <is>
          <t>1</t>
        </is>
      </c>
      <c r="J1354">
        <f>((Inputs!$B$6*(1+Inputs!$B$7/100))+(((Inputs!$B$12*(1+Inputs!$B$13/100))-(Inputs!$B$12*(1+Inputs!$B$13/100)))+0.25*(Inputs!$B$14-Inputs!$B$14))*(1+Inputs!$B$7/100))*(F1354/100)</f>
        <v/>
      </c>
      <c r="K1354">
        <f>J1354*(1+((Inputs!$B$12*(1+Inputs!$B$13/100))*0.01+Inputs!$B$14*0.0025)/100)*(1+Inputs!$B$15/100)*(1+Inputs!$B$16/100)*(5000/(6000+Inputs!$B$43*(1-(100*(1-(1-Inputs!$B$19/100)*(1-CHOOSE(ArtifactsInput!$N$40+1,5,6,7,8,9,10)/100)^(ArtifactsInput!$M$40-ArtifactsInput!$M$40)))/100)))*(1+(Inputs!$B$24+((C1376=TRUE)*(F1376-Calc!F31))+((C1363=TRUE)*(F1363-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+3.3333333333333335*IF(C1364=TRUE,F1364,0)/100)*(1+(IF(Skills!A9="CRUEL_STAB",Inputs!$B$17+((C1373=TRUE)*(F1373-Calc!F28))+((IF(AND(Inputs!$B$39&lt;&gt;"pvp",Inputs!$B$44=0),1,IF(IF(Inputs!$B$39="pvp",15,Inputs!$B$44)-(B1390)&lt;=0,1,MAX(0,IF(Inputs!$B$39="pvp",15,Inputs!$B$44)-MAX(5,B1390))/(IF(Inputs!$B$39="pvp",15,Inputs!$B$44)-(B1390))))*(IF(AND(ArtifactsInput!$M$42,((Inputs!$B$9+((C1371=TRUE)*(F1371-Calc!F26))+B1379+(ArtifactsInput!$M$24-ArtifactsInput!$M$24)*CHOOSE(ArtifactsInput!$N$24+1,10,12,14,16,18,20)+IF(ArtifactsInput!$M$10,CHOOSE(ArtifactsInput!$N$10+1,15,18,21,24,27,30)*(IF(Inputs!$B$39="pvp",MIN(15,15)/15,IF(AND(Inputs!$B$39&lt;&gt;"pvp",Inputs!$B$44&gt;0),MIN(15,Inputs!$B$44)/(Inputs!$B$44),0))),0)))&gt;=100),MIN(100,((Inputs!$B$9+((C1371=TRUE)*(F1371-Calc!F26))+B1379+(ArtifactsInput!$M$24-ArtifactsInput!$M$24)*CHOOSE(ArtifactsInput!$N$24+1,10,12,14,16,18,20)+IF(ArtifactsInput!$M$10,CHOOSE(ArtifactsInput!$N$10+1,15,18,21,24,27,30)*(IF(Inputs!$B$39="pvp",MIN(15,15)/15,IF(AND(Inputs!$B$39&lt;&gt;"pvp",Inputs!$B$44&gt;0),MIN(15,Inputs!$B$44)/(Inputs!$B$44),0))),0)))-100),0))*CHOOSE(ArtifactsInput!$N$42+1,0.6,0.72,0.84,0.96,1.08,1.2))),Inputs!$B$18+((C1374=TRUE)*(F1374-Calc!F29))+(IF(AND(Inputs!$B$39&lt;&gt;"pvp",Inputs!$B$44=0),1,IF(IF(Inputs!$B$39="pvp",15,Inputs!$B$44)-(B1390)&lt;=0,1,MAX(0,IF(Inputs!$B$39="pvp",15,Inputs!$B$44)-MAX(5,B1390))/(IF(Inputs!$B$39="pvp",15,Inputs!$B$44)-(B1390))))*IF(AND(ArtifactsInput!$M$42,((Inputs!$B$9+((C1371=TRUE)*(F1371-Calc!F26))+B1379+(ArtifactsInput!$M$24-ArtifactsInput!$M$24)*CHOOSE(ArtifactsInput!$N$24+1,10,12,14,16,18,20)+IF(ArtifactsInput!$M$10,CHOOSE(ArtifactsInput!$N$10+1,15,18,21,24,27,30)*(IF(Inputs!$B$39="pvp",MIN(15,15)/15,IF(AND(Inputs!$B$39&lt;&gt;"pvp",Inputs!$B$44&gt;0),MIN(15,Inputs!$B$44)/(Inputs!$B$44),0))),0)))&gt;=100),CHOOSE(ArtifactsInput!$N$42+1,40,48,56,64,72,80),0))))/100)*(((1+(((C1367=TRUE)*F1367*IF(AND(Inputs!$B$39&lt;&gt;"pvp",Inputs!$B$44&gt;0),(((R1367-1)*MIN((Skills!Y22*(1+(Inputs!$B$34+1)/100)),(1/Q1367))+MIN((Skills!Y22*(1+(Inputs!$B$34+1)/100)),MAX(0,Inputs!$B$44-((R1367-1)*(1/Q1367)))))/Inputs!$B$44),IF(Inputs!$B$39="pvp",MIN((Skills!Y22*(1+(Inputs!$B$34+1)/100)),15)/15,MIN(1,(Skills!Y22*(1+(Inputs!$B$34+1)/100))/(1/Q1367)))))+((C1348=TRUE)*F1348*3)+((C1350=TRUE)*F1350*(1-EXP(-0.75*B1383*5)))+((C1369=TRUE)*(F1369-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1356=TRUE)*F1356*IF(AND(Inputs!$B$39&lt;&gt;"pvp",Inputs!$B$44&gt;0),(((R1356-1)*MIN((Skills!Y11*(1+(Inputs!$B$34+1)/100)),(1/Q1356))+MIN((Skills!Y11*(1+(Inputs!$B$34+1)/100)),MAX(0,Inputs!$B$44-((R1356-1)*(1/Q1356)))))/Inputs!$B$44),IF(Inputs!$B$39="pvp",MIN((Skills!Y11*(1+(Inputs!$B$34+1)/100)),15)/15,MIN(1,(Skills!Y11*(1+(Inputs!$B$34+1)/100))/(1/Q1356)))))/100)*(1+((C1361=TRUE)*F1361*IF(AND(Inputs!$B$39&lt;&gt;"pvp",Inputs!$B$44&gt;0),(((R1361-1)*MIN((Skills!Y16*(1+(Inputs!$B$34+1)/100)),(1/Q1361))+MIN((Skills!Y16*(1+(Inputs!$B$34+1)/100)),MAX(0,Inputs!$B$44-((R1361-1)*(1/Q1361)))))/Inputs!$B$44),IF(Inputs!$B$39="pvp",MIN((Skills!Y16*(1+(Inputs!$B$34+1)/100)),15)/15,MIN(1,(Skills!Y16*(1+(Inputs!$B$34+1)/100))/(1/Q1361)))))/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1381*I1354)</f>
        <v/>
      </c>
      <c r="L1354">
        <f>K1354*(MIN(Inputs!$B$22+((C1370=TRUE)*(F1370-Calc!F25)),(Inputs!$B$23+((C1375=TRUE)*(F1375-Calc!F30))+IF(ArtifactsInput!$M$15,CHOOSE(ArtifactsInput!$N$15+1,25,30,35,40,45,50)/100*(Inputs!$B$11-Inputs!$B$11),0)))/100+(Inputs!$B$23+((C1375=TRUE)*(F1375-Calc!F30))+IF(ArtifactsInput!$M$15,CHOOSE(ArtifactsInput!$N$15+1,25,30,35,40,45,50)/100*(Inputs!$B$11-Inputs!$B$11),0))/100)/2</f>
        <v/>
      </c>
      <c r="M1354">
        <f>L1354*(1+(Inputs!$B$10+((C1372=TRUE)*(F1372-Calc!F27))+B1386+(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1354">
        <f>L1354*(1-MIN((Inputs!$B$9+((C1371=TRUE)*(F1371-Calc!F26))+B1379+(ArtifactsInput!$M$24-ArtifactsInput!$M$24)*CHOOSE(ArtifactsInput!$N$24+1,10,12,14,16,18,20)+(IF(AND(Inputs!$B$39&lt;&gt;"pvp",Inputs!$B$44=0),1,IF(IF(Inputs!$B$39="pvp",15,Inputs!$B$44)-(B1390)&lt;=0,1,MAX(0,IF(Inputs!$B$39="pvp",15,Inputs!$B$44)-MAX(5,B1390))/(IF(Inputs!$B$39="pvp",15,Inputs!$B$44)-(B1390))))*IF(AND(ArtifactsInput!$M$42,((Inputs!$B$9+((C1371=TRUE)*(F1371-Calc!F26))+B1379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1354*(MIN((Inputs!$B$9+((C1371=TRUE)*(F1371-Calc!F26))+B1379+(ArtifactsInput!$M$24-ArtifactsInput!$M$24)*CHOOSE(ArtifactsInput!$N$24+1,10,12,14,16,18,20)+(IF(AND(Inputs!$B$39&lt;&gt;"pvp",Inputs!$B$44=0),1,IF(IF(Inputs!$B$39="pvp",15,Inputs!$B$44)-(B1390)&lt;=0,1,MAX(0,IF(Inputs!$B$39="pvp",15,Inputs!$B$44)-MAX(5,B1390))/(IF(Inputs!$B$39="pvp",15,Inputs!$B$44)-(B1390))))*IF(AND(ArtifactsInput!$M$42,((Inputs!$B$9+((C1371=TRUE)*(F1371-Calc!F26))+B1379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354">
        <f>(1-Summary!$B$11)*T1354+Summary!$B$11*V1354</f>
        <v/>
      </c>
      <c r="P1354">
        <f>IF(B1391=0,0,O1354/B1391)</f>
        <v/>
      </c>
      <c r="Q1354">
        <f>IFERROR(1/IF(Inputs!$B$39="pvp",15,MAX(0.1,Skills!D9-IF(FALSE=TRUE,Inputs!$B$32,0))),0)</f>
        <v/>
      </c>
      <c r="R1354">
        <f>IF(AND(Inputs!$B$39&lt;&gt;"pvp",Inputs!$B$44&gt;0),IF(MAX(0,Inputs!$B$44-B1390)&lt;=0,0,(INT(MAX(0,Inputs!$B$44-B1390)/IF(Inputs!$B$39="pvp",15,MAX(0.1,Skills!D9-IF(FALSE=TRUE,Inputs!$B$32,0))))+1)),0)</f>
        <v/>
      </c>
      <c r="S1354">
        <f>IFERROR(O1354/N1354,0)</f>
        <v/>
      </c>
      <c r="T1354">
        <f>IF(C1354,(H1354*N1354*IF(AND(Inputs!$B$39&lt;&gt;"pvp",Inputs!$B$44&gt;0),((Skills!G9*((R1354-1)*IF(Skills!H9&gt;0,Skills!I9/Skills!H9,1)+IF(Skills!H9&gt;0,MIN(Skills!I9,MAX(0,MAX(0,Inputs!$B$44-B1390)-((R1354-1)*IF(Inputs!$B$39="pvp",15,MAX(0.1,Skills!D9-IF(FALSE=TRUE,Inputs!$B$32,0))))))/Skills!H9,1)))/Inputs!$B$44),G1354*Q1354))*IF(Inputs!$B$39="pvp",1,1+(Inputs!$B$20+0+Skills!P9+B1380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Hunt"),CHOOSE(ArtifactsInput!$N$35+1,15,18,21,24,27,30)*(1-EXP(-(0.2*B1383)*5)),0)+IF(AND(ArtifactsInput!$M$22,Inputs!$B$4&lt;&gt;"Chapter Hunt"),CHOOSE(ArtifactsInput!$N$22+1,10,12,14,16,18,20)*((0*(((0.15*B1383*5))^0/1)+1*(((0.15*B1383*5))^1/1)+2*(((0.15*B1383*5))^2/2)+3*(((0.15*B1383*5))^3/6)+4*(((0.15*B1383*5))^4/24)+5*(((0.15*B1383*5))^5/120))/((((0.15*B1383*5))^0/1)+(((0.15*B1383*5))^1/1)+(((0.15*B1383*5))^2/2)+(((0.15*B1383*5))^3/6)+(((0.15*B1383*5))^4/24)+(((0.15*B1383*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1354*(1-MIN(100,(Inputs!$B$9+((C1371=TRUE)*(F1371-Calc!F26))+B1379+(ArtifactsInput!$M$24-ArtifactsInput!$M$24)*CHOOSE(ArtifactsInput!$N$24+1,10,12,14,16,18,20)+(IF(AND(Inputs!$B$39&lt;&gt;"pvp",Inputs!$B$44=0),1,IF(IF(Inputs!$B$39="pvp",15,Inputs!$B$44)-(B1390)&lt;=0,1,MAX(0,IF(Inputs!$B$39="pvp",15,Inputs!$B$44)-MAX(5,B1390))/(IF(Inputs!$B$39="pvp",15,Inputs!$B$44)-(B1390))))*IF(AND(ArtifactsInput!$M$42,((Inputs!$B$9+((C1371=TRUE)*(F1371-Calc!F26))+B1379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1354*(MIN(100,(Inputs!$B$9+((C1371=TRUE)*(F1371-Calc!F26))+B1379+(ArtifactsInput!$M$24-ArtifactsInput!$M$24)*CHOOSE(ArtifactsInput!$N$24+1,10,12,14,16,18,20)+(IF(AND(Inputs!$B$39&lt;&gt;"pvp",Inputs!$B$44=0),1,IF(IF(Inputs!$B$39="pvp",15,Inputs!$B$44)-(B1390)&lt;=0,1,MAX(0,IF(Inputs!$B$39="pvp",15,Inputs!$B$44)-MAX(5,B1390))/(IF(Inputs!$B$39="pvp",15,Inputs!$B$44)-(B1390))))*IF(AND(ArtifactsInput!$M$42,((Inputs!$B$9+((C1371=TRUE)*(F1371-Calc!F26))+B1379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1354*(1-MIN(100,(Inputs!$B$9+((C1371=TRUE)*(F1371-Calc!F26))+B1379+(ArtifactsInput!$M$24-ArtifactsInput!$M$24)*CHOOSE(ArtifactsInput!$N$24+1,10,12,14,16,18,20)+(IF(AND(Inputs!$B$39&lt;&gt;"pvp",Inputs!$B$44=0),1,IF(IF(Inputs!$B$39="pvp",15,Inputs!$B$44)-(B1390)&lt;=0,1,MAX(0,IF(Inputs!$B$39="pvp",15,Inputs!$B$44)-MAX(5,B1390))/(IF(Inputs!$B$39="pvp",15,Inputs!$B$44)-(B1390))))*IF(AND(ArtifactsInput!$M$42,((Inputs!$B$9+((C1371=TRUE)*(F1371-Calc!F26))+B1379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1354*(MIN(100,(Inputs!$B$9+((C1371=TRUE)*(F1371-Calc!F26))+B1379+(ArtifactsInput!$M$24-ArtifactsInput!$M$24)*CHOOSE(ArtifactsInput!$N$24+1,10,12,14,16,18,20)+(IF(AND(Inputs!$B$39&lt;&gt;"pvp",Inputs!$B$44=0),1,IF(IF(Inputs!$B$39="pvp",15,Inputs!$B$44)-(B1390)&lt;=0,1,MAX(0,IF(Inputs!$B$39="pvp",15,Inputs!$B$44)-MAX(5,B1390))/(IF(Inputs!$B$39="pvp",15,Inputs!$B$44)-(B1390))))*IF(AND(ArtifactsInput!$M$42,((Inputs!$B$9+((C1371=TRUE)*(F1371-Calc!F26))+B1379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1354">
        <f>IF(C1354,(H1354*N1354*IF(AND(Inputs!$B$39&lt;&gt;"pvp",Inputs!$B$44&gt;0),((Skills!G9*((R1354-1)*IF(Skills!H9&gt;0,Skills!I9/Skills!H9,1)+IF(Skills!H9&gt;0,MIN(Skills!I9,MAX(0,MAX(0,Inputs!$B$44-B1390)-((R1354-1)*IF(Inputs!$B$39="pvp",15,MAX(0.1,Skills!D9-IF(FALSE=TRUE,Inputs!$B$32,0))))))/Skills!H9,1)))/Inputs!$B$44),G1354*Q1354))*IF(Inputs!$B$39="pvp",1,(1+(Inputs!$B$21+Skills!Q9+B1380+(IF(ArtifactsInput!$M$33,CHOOSE(ArtifactsInput!$N$33+1,30,36,42,48,54,60),0))+(IF(AND(ArtifactsInput!$M$35,Inputs!$B$4&lt;&gt;"Chapter Hunt"),CHOOSE(ArtifactsInput!$N$35+1,15,18,21,24,27,30)*(1-EXP(-(0.2*B1383)*5)),0)+IF(AND(ArtifactsInput!$M$22,Inputs!$B$4&lt;&gt;"Chapter Hunt"),CHOOSE(ArtifactsInput!$N$22+1,10,12,14,16,18,20)*((0*(((0.15*B1383*5))^0/1)+1*(((0.15*B1383*5))^1/1)+2*(((0.15*B1383*5))^2/2)+3*(((0.15*B1383*5))^3/6)+4*(((0.15*B1383*5))^4/24)+5*(((0.15*B1383*5))^5/120))/((((0.15*B1383*5))^0/1)+(((0.15*B1383*5))^1/1)+(((0.15*B1383*5))^2/2)+(((0.15*B1383*5))^3/6)+(((0.15*B1383*5))^4/24)+(((0.15*B1383*5))^5/120))),0)))/100)*(MIN(Skills!W9,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355">
      <c r="A1355">
        <f>Skills!A10</f>
        <v/>
      </c>
      <c r="B1355">
        <f>Skills!B10</f>
        <v/>
      </c>
      <c r="C1355">
        <f>Inputs!$B$3&gt;=117</f>
        <v/>
      </c>
      <c r="D1355">
        <f>IF(Skills!C10=1,60+Inputs!$B$25+Inputs!$B$29,IF(Skills!C10=2,90+Inputs!$B$26+Inputs!$B$29,IF(Skills!C10=3,120+Inputs!$B$27+Inputs!$B$29,MAX(0,(Inputs!$B$3-100)*3)+Inputs!$B$28+Inputs!$B$29)))</f>
        <v/>
      </c>
      <c r="E1355">
        <f>INDEX(FactorTable!$B$2:$Y$301, MATCH(ROUND(MIN(300,MAX(1,D1355)),0), FactorTable!$A$2:$A$301,0), Skills!M10+1)</f>
        <v/>
      </c>
      <c r="F1355">
        <f>IF(Skills!N10=TRUE,(Skills!L10/10)*(E1355/1000),Skills!L10/10)+Skills!O10</f>
        <v/>
      </c>
      <c r="G1355">
        <f>Skills!G10*IF(Skills!H10&gt;0,IF(Inputs!$B$39="pvp",MIN(Skills!I10,15),Skills!I10)/Skills!H10,1)</f>
        <v/>
      </c>
      <c r="H1355">
        <f>1-(1-Skills!J10/100)^Skills!K10</f>
        <v/>
      </c>
      <c r="I1355" t="inlineStr">
        <is>
          <t>1</t>
        </is>
      </c>
      <c r="J1355">
        <f>((Inputs!$B$6*(1+Inputs!$B$7/100))+(((Inputs!$B$12*(1+Inputs!$B$13/100))-(Inputs!$B$12*(1+Inputs!$B$13/100)))+0.25*(Inputs!$B$14-Inputs!$B$14))*(1+Inputs!$B$7/100))*(F1355/100)</f>
        <v/>
      </c>
      <c r="K1355">
        <f>J1355*(1+((Inputs!$B$12*(1+Inputs!$B$13/100))*0.01+Inputs!$B$14*0.0025)/100)*(1+Inputs!$B$15/100)*(1+Inputs!$B$16/100)*(5000/(6000+Inputs!$B$43*(1-(100*(1-(1-Inputs!$B$19/100)*(1-CHOOSE(ArtifactsInput!$N$40+1,5,6,7,8,9,10)/100)^(ArtifactsInput!$M$40-ArtifactsInput!$M$40)))/100)))*(1+(Inputs!$B$24+((C1376=TRUE)*(F1376-Calc!F31))+((C1363=TRUE)*(F1363-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10="CRUEL_STAB",Inputs!$B$17+((C1373=TRUE)*(F1373-Calc!F28))+((IF(AND(Inputs!$B$39&lt;&gt;"pvp",Inputs!$B$44=0),1,IF(IF(Inputs!$B$39="pvp",15,Inputs!$B$44)-(B1390)&lt;=0,1,MAX(0,IF(Inputs!$B$39="pvp",15,Inputs!$B$44)-MAX(5,B1390))/(IF(Inputs!$B$39="pvp",15,Inputs!$B$44)-(B1390))))*(IF(AND(ArtifactsInput!$M$42,((Inputs!$B$9+((C1371=TRUE)*(F1371-Calc!F26))+B1379+(ArtifactsInput!$M$24-ArtifactsInput!$M$24)*CHOOSE(ArtifactsInput!$N$24+1,10,12,14,16,18,20)+IF(ArtifactsInput!$M$10,CHOOSE(ArtifactsInput!$N$10+1,15,18,21,24,27,30)*(IF(Inputs!$B$39="pvp",MIN(15,15)/15,IF(AND(Inputs!$B$39&lt;&gt;"pvp",Inputs!$B$44&gt;0),MIN(15,Inputs!$B$44)/(Inputs!$B$44),0))),0)))&gt;=100),MIN(100,((Inputs!$B$9+((C1371=TRUE)*(F1371-Calc!F26))+B1379+(ArtifactsInput!$M$24-ArtifactsInput!$M$24)*CHOOSE(ArtifactsInput!$N$24+1,10,12,14,16,18,20)+IF(ArtifactsInput!$M$10,CHOOSE(ArtifactsInput!$N$10+1,15,18,21,24,27,30)*(IF(Inputs!$B$39="pvp",MIN(15,15)/15,IF(AND(Inputs!$B$39&lt;&gt;"pvp",Inputs!$B$44&gt;0),MIN(15,Inputs!$B$44)/(Inputs!$B$44),0))),0)))-100),0))*CHOOSE(ArtifactsInput!$N$42+1,0.6,0.72,0.84,0.96,1.08,1.2))),Inputs!$B$18+((C1374=TRUE)*(F1374-Calc!F29))+(IF(AND(Inputs!$B$39&lt;&gt;"pvp",Inputs!$B$44=0),1,IF(IF(Inputs!$B$39="pvp",15,Inputs!$B$44)-(B1390)&lt;=0,1,MAX(0,IF(Inputs!$B$39="pvp",15,Inputs!$B$44)-MAX(5,B1390))/(IF(Inputs!$B$39="pvp",15,Inputs!$B$44)-(B1390))))*IF(AND(ArtifactsInput!$M$42,((Inputs!$B$9+((C1371=TRUE)*(F1371-Calc!F26))+B1379+(ArtifactsInput!$M$24-ArtifactsInput!$M$24)*CHOOSE(ArtifactsInput!$N$24+1,10,12,14,16,18,20)+IF(ArtifactsInput!$M$10,CHOOSE(ArtifactsInput!$N$10+1,15,18,21,24,27,30)*(IF(Inputs!$B$39="pvp",MIN(15,15)/15,IF(AND(Inputs!$B$39&lt;&gt;"pvp",Inputs!$B$44&gt;0),MIN(15,Inputs!$B$44)/(Inputs!$B$44),0))),0)))&gt;=100),CHOOSE(ArtifactsInput!$N$42+1,40,48,56,64,72,80),0))))/100)*(((1+(((C1367=TRUE)*F1367*IF(AND(Inputs!$B$39&lt;&gt;"pvp",Inputs!$B$44&gt;0),(((R1367-1)*MIN((Skills!Y22*(1+(Inputs!$B$34+1)/100)),(1/Q1367))+MIN((Skills!Y22*(1+(Inputs!$B$34+1)/100)),MAX(0,Inputs!$B$44-((R1367-1)*(1/Q1367)))))/Inputs!$B$44),IF(Inputs!$B$39="pvp",MIN((Skills!Y22*(1+(Inputs!$B$34+1)/100)),15)/15,MIN(1,(Skills!Y22*(1+(Inputs!$B$34+1)/100))/(1/Q1367)))))+((C1348=TRUE)*F1348*3)+((C1350=TRUE)*F1350*(1-EXP(-0.75*B1383*5)))+((C1369=TRUE)*(F1369-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1356=TRUE)*F1356*IF(AND(Inputs!$B$39&lt;&gt;"pvp",Inputs!$B$44&gt;0),(((R1356-1)*MIN((Skills!Y11*(1+(Inputs!$B$34+1)/100)),(1/Q1356))+MIN((Skills!Y11*(1+(Inputs!$B$34+1)/100)),MAX(0,Inputs!$B$44-((R1356-1)*(1/Q1356)))))/Inputs!$B$44),IF(Inputs!$B$39="pvp",MIN((Skills!Y11*(1+(Inputs!$B$34+1)/100)),15)/15,MIN(1,(Skills!Y11*(1+(Inputs!$B$34+1)/100))/(1/Q1356)))))/100)*(1+((C1361=TRUE)*F1361*IF(AND(Inputs!$B$39&lt;&gt;"pvp",Inputs!$B$44&gt;0),(((R1361-1)*MIN((Skills!Y16*(1+(Inputs!$B$34+1)/100)),(1/Q1361))+MIN((Skills!Y16*(1+(Inputs!$B$34+1)/100)),MAX(0,Inputs!$B$44-((R1361-1)*(1/Q1361)))))/Inputs!$B$44),IF(Inputs!$B$39="pvp",MIN((Skills!Y16*(1+(Inputs!$B$34+1)/100)),15)/15,MIN(1,(Skills!Y16*(1+(Inputs!$B$34+1)/100))/(1/Q1361)))))/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1381*I1355)</f>
        <v/>
      </c>
      <c r="L1355">
        <f>K1355*(MIN(Inputs!$B$22+((C1370=TRUE)*(F1370-Calc!F25)),(Inputs!$B$23+((C1375=TRUE)*(F1375-Calc!F30))+IF(ArtifactsInput!$M$15,CHOOSE(ArtifactsInput!$N$15+1,25,30,35,40,45,50)/100*(Inputs!$B$11-Inputs!$B$11),0)))/100+(Inputs!$B$23+((C1375=TRUE)*(F1375-Calc!F30))+IF(ArtifactsInput!$M$15,CHOOSE(ArtifactsInput!$N$15+1,25,30,35,40,45,50)/100*(Inputs!$B$11-Inputs!$B$11),0))/100)/2</f>
        <v/>
      </c>
      <c r="M1355">
        <f>L1355*(1+(Inputs!$B$10+((C1372=TRUE)*(F1372-Calc!F27))+B1386+(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1355">
        <f>L1355*(1-MIN((Inputs!$B$9+((C1371=TRUE)*(F1371-Calc!F26))+B1379+(ArtifactsInput!$M$24-ArtifactsInput!$M$24)*CHOOSE(ArtifactsInput!$N$24+1,10,12,14,16,18,20)+(IF(AND(Inputs!$B$39&lt;&gt;"pvp",Inputs!$B$44=0),1,IF(IF(Inputs!$B$39="pvp",15,Inputs!$B$44)-(B1390)&lt;=0,1,MAX(0,IF(Inputs!$B$39="pvp",15,Inputs!$B$44)-MAX(5,B1390))/(IF(Inputs!$B$39="pvp",15,Inputs!$B$44)-(B1390))))*IF(AND(ArtifactsInput!$M$42,((Inputs!$B$9+((C1371=TRUE)*(F1371-Calc!F26))+B1379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1355*(MIN((Inputs!$B$9+((C1371=TRUE)*(F1371-Calc!F26))+B1379+(ArtifactsInput!$M$24-ArtifactsInput!$M$24)*CHOOSE(ArtifactsInput!$N$24+1,10,12,14,16,18,20)+(IF(AND(Inputs!$B$39&lt;&gt;"pvp",Inputs!$B$44=0),1,IF(IF(Inputs!$B$39="pvp",15,Inputs!$B$44)-(B1390)&lt;=0,1,MAX(0,IF(Inputs!$B$39="pvp",15,Inputs!$B$44)-MAX(5,B1390))/(IF(Inputs!$B$39="pvp",15,Inputs!$B$44)-(B1390))))*IF(AND(ArtifactsInput!$M$42,((Inputs!$B$9+((C1371=TRUE)*(F1371-Calc!F26))+B1379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355">
        <f>(1-Summary!$B$11)*T1355+Summary!$B$11*V1355</f>
        <v/>
      </c>
      <c r="P1355">
        <f>IF(B1391=0,0,O1355/B1391)</f>
        <v/>
      </c>
      <c r="Q1355" t="n">
        <v>0</v>
      </c>
      <c r="R1355" t="n">
        <v>0</v>
      </c>
      <c r="S1355" t="n">
        <v>0</v>
      </c>
      <c r="T1355">
        <f>IF(C1355,(0.2*SUMPRODUCT((Skills!Z2:Z31=TRUE)*(C1347:C1376=TRUE)*S1347:S1376)*N1355)*IF(Inputs!$B$39="pvp",1,1+(Inputs!$B$20+0+Skills!P10+B1380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Hunt"),CHOOSE(ArtifactsInput!$N$35+1,15,18,21,24,27,30)*(1-EXP(-(0.2*B1383)*5)),0)+IF(AND(ArtifactsInput!$M$22,Inputs!$B$4&lt;&gt;"Chapter Hunt"),CHOOSE(ArtifactsInput!$N$22+1,10,12,14,16,18,20)*((0*(((0.15*B1383*5))^0/1)+1*(((0.15*B1383*5))^1/1)+2*(((0.15*B1383*5))^2/2)+3*(((0.15*B1383*5))^3/6)+4*(((0.15*B1383*5))^4/24)+5*(((0.15*B1383*5))^5/120))/((((0.15*B1383*5))^0/1)+(((0.15*B1383*5))^1/1)+(((0.15*B1383*5))^2/2)+(((0.15*B1383*5))^3/6)+(((0.15*B1383*5))^4/24)+(((0.15*B1383*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1355*(1-MIN(100,(Inputs!$B$9+((C1371=TRUE)*(F1371-Calc!F26))+B1379+(ArtifactsInput!$M$24-ArtifactsInput!$M$24)*CHOOSE(ArtifactsInput!$N$24+1,10,12,14,16,18,20)+(IF(AND(Inputs!$B$39&lt;&gt;"pvp",Inputs!$B$44=0),1,IF(IF(Inputs!$B$39="pvp",15,Inputs!$B$44)-(B1390)&lt;=0,1,MAX(0,IF(Inputs!$B$39="pvp",15,Inputs!$B$44)-MAX(5,B1390))/(IF(Inputs!$B$39="pvp",15,Inputs!$B$44)-(B1390))))*IF(AND(ArtifactsInput!$M$42,((Inputs!$B$9+((C1371=TRUE)*(F1371-Calc!F26))+B1379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1355*(MIN(100,(Inputs!$B$9+((C1371=TRUE)*(F1371-Calc!F26))+B1379+(ArtifactsInput!$M$24-ArtifactsInput!$M$24)*CHOOSE(ArtifactsInput!$N$24+1,10,12,14,16,18,20)+(IF(AND(Inputs!$B$39&lt;&gt;"pvp",Inputs!$B$44=0),1,IF(IF(Inputs!$B$39="pvp",15,Inputs!$B$44)-(B1390)&lt;=0,1,MAX(0,IF(Inputs!$B$39="pvp",15,Inputs!$B$44)-MAX(5,B1390))/(IF(Inputs!$B$39="pvp",15,Inputs!$B$44)-(B1390))))*IF(AND(ArtifactsInput!$M$42,((Inputs!$B$9+((C1371=TRUE)*(F1371-Calc!F26))+B1379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1355*(1-MIN(100,(Inputs!$B$9+((C1371=TRUE)*(F1371-Calc!F26))+B1379+(ArtifactsInput!$M$24-ArtifactsInput!$M$24)*CHOOSE(ArtifactsInput!$N$24+1,10,12,14,16,18,20)+(IF(AND(Inputs!$B$39&lt;&gt;"pvp",Inputs!$B$44=0),1,IF(IF(Inputs!$B$39="pvp",15,Inputs!$B$44)-(B1390)&lt;=0,1,MAX(0,IF(Inputs!$B$39="pvp",15,Inputs!$B$44)-MAX(5,B1390))/(IF(Inputs!$B$39="pvp",15,Inputs!$B$44)-(B1390))))*IF(AND(ArtifactsInput!$M$42,((Inputs!$B$9+((C1371=TRUE)*(F1371-Calc!F26))+B1379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1355*(MIN(100,(Inputs!$B$9+((C1371=TRUE)*(F1371-Calc!F26))+B1379+(ArtifactsInput!$M$24-ArtifactsInput!$M$24)*CHOOSE(ArtifactsInput!$N$24+1,10,12,14,16,18,20)+(IF(AND(Inputs!$B$39&lt;&gt;"pvp",Inputs!$B$44=0),1,IF(IF(Inputs!$B$39="pvp",15,Inputs!$B$44)-(B1390)&lt;=0,1,MAX(0,IF(Inputs!$B$39="pvp",15,Inputs!$B$44)-MAX(5,B1390))/(IF(Inputs!$B$39="pvp",15,Inputs!$B$44)-(B1390))))*IF(AND(ArtifactsInput!$M$42,((Inputs!$B$9+((C1371=TRUE)*(F1371-Calc!F26))+B1379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1355">
        <f>IF(C1355,(0.2*SUMPRODUCT((Skills!Z2:Z31=TRUE)*(C1347:C1376=TRUE)*S1347:S1376)*N1355)*IF(Inputs!$B$39="pvp",1,(1+(Inputs!$B$21+Skills!Q10+B1380+(IF(ArtifactsInput!$M$33,CHOOSE(ArtifactsInput!$N$33+1,30,36,42,48,54,60),0))+(IF(AND(ArtifactsInput!$M$35,Inputs!$B$4&lt;&gt;"Chapter Hunt"),CHOOSE(ArtifactsInput!$N$35+1,15,18,21,24,27,30)*(1-EXP(-(0.2*B1383)*5)),0)+IF(AND(ArtifactsInput!$M$22,Inputs!$B$4&lt;&gt;"Chapter Hunt"),CHOOSE(ArtifactsInput!$N$22+1,10,12,14,16,18,20)*((0*(((0.15*B1383*5))^0/1)+1*(((0.15*B1383*5))^1/1)+2*(((0.15*B1383*5))^2/2)+3*(((0.15*B1383*5))^3/6)+4*(((0.15*B1383*5))^4/24)+5*(((0.15*B1383*5))^5/120))/((((0.15*B1383*5))^0/1)+(((0.15*B1383*5))^1/1)+(((0.15*B1383*5))^2/2)+(((0.15*B1383*5))^3/6)+(((0.15*B1383*5))^4/24)+(((0.15*B1383*5))^5/120))),0)))/100)*(MIN(Skills!W10,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356">
      <c r="A1356">
        <f>Skills!A11</f>
        <v/>
      </c>
      <c r="B1356">
        <f>Skills!B11</f>
        <v/>
      </c>
      <c r="C1356">
        <f>Inputs!$B$3&gt;=74</f>
        <v/>
      </c>
      <c r="D1356">
        <f>IF(Skills!C11=1,60+Inputs!$B$25+Inputs!$B$29,IF(Skills!C11=2,90+Inputs!$B$26+Inputs!$B$29,IF(Skills!C11=3,120+Inputs!$B$27+Inputs!$B$29,MAX(0,(Inputs!$B$3-100)*3)+Inputs!$B$28+Inputs!$B$29)))</f>
        <v/>
      </c>
      <c r="E1356">
        <f>INDEX(FactorTable!$B$2:$Y$301, MATCH(ROUND(MIN(300,MAX(1,D1356)),0), FactorTable!$A$2:$A$301,0), Skills!M11+1)</f>
        <v/>
      </c>
      <c r="F1356">
        <f>IF(Skills!N11=TRUE,(Skills!L11/10)*(E1356/1000),Skills!L11/10)+Skills!O11</f>
        <v/>
      </c>
      <c r="G1356">
        <f>Skills!G11*IF(Skills!H11&gt;0,IF(Inputs!$B$39="pvp",MIN(Skills!I11,15),Skills!I11)/Skills!H11,1)</f>
        <v/>
      </c>
      <c r="H1356">
        <f>1-(1-Skills!J11/100)^Skills!K11</f>
        <v/>
      </c>
      <c r="I1356" t="inlineStr">
        <is>
          <t>1</t>
        </is>
      </c>
      <c r="J1356" t="inlineStr"/>
      <c r="K1356" t="inlineStr"/>
      <c r="L1356" t="inlineStr"/>
      <c r="M1356" t="inlineStr"/>
      <c r="N1356" t="inlineStr"/>
      <c r="O1356">
        <f>(1-Summary!$B$11)*T1356+Summary!$B$11*V1356</f>
        <v/>
      </c>
      <c r="P1356">
        <f>IF(B1391=0,0,O1356/B1391)</f>
        <v/>
      </c>
      <c r="Q1356">
        <f>IFERROR(1/IF(Inputs!$B$39="pvp",15,MAX(0.1,Skills!D11-IF(TRUE=TRUE,Inputs!$B$32,0))),0)</f>
        <v/>
      </c>
      <c r="R1356">
        <f>IF(AND(Inputs!$B$39&lt;&gt;"pvp",Inputs!$B$44&gt;0),IF(Inputs!$B$44&lt;=0,0,(INT(Inputs!$B$44/IF(Inputs!$B$39="pvp",15,MAX(0.1,Skills!D11-IF(TRUE=TRUE,Inputs!$B$32,0))))+1)),0)</f>
        <v/>
      </c>
      <c r="S1356">
        <f>IFERROR(O1356/N1356,0)</f>
        <v/>
      </c>
      <c r="T1356" t="n">
        <v>0</v>
      </c>
      <c r="V1356" t="n">
        <v>0</v>
      </c>
    </row>
    <row r="1357">
      <c r="A1357">
        <f>Skills!A12</f>
        <v/>
      </c>
      <c r="B1357">
        <f>Skills!B12</f>
        <v/>
      </c>
      <c r="C1357">
        <f>Inputs!$B$3&gt;=103</f>
        <v/>
      </c>
      <c r="D1357">
        <f>IF(Skills!C12=1,60+Inputs!$B$25+Inputs!$B$29,IF(Skills!C12=2,90+Inputs!$B$26+Inputs!$B$29,IF(Skills!C12=3,120+Inputs!$B$27+Inputs!$B$29,MAX(0,(Inputs!$B$3-100)*3)+Inputs!$B$28+Inputs!$B$29)))</f>
        <v/>
      </c>
      <c r="E1357">
        <f>INDEX(FactorTable!$B$2:$Y$301, MATCH(ROUND(MIN(300,MAX(1,D1357)),0), FactorTable!$A$2:$A$301,0), Skills!M12+1)</f>
        <v/>
      </c>
      <c r="F1357">
        <f>(Skills!L12/10)*(E1357/1000)+IF(Inputs!$B$3&gt;=134,50,0)+0.5*(30000/10)*(INDEX(FactorTable!$B$2:$Y$301, MATCH(ROUND(MIN(300,MAX(1,D1357)),0), FactorTable!$A$2:$A$301,0), 13)/1000)*B1389</f>
        <v/>
      </c>
      <c r="G1357">
        <f>Skills!G12*IF(Skills!H12&gt;0,IF(Inputs!$B$39="pvp",MIN(Skills!I12,15),Skills!I12)/Skills!H12,1)</f>
        <v/>
      </c>
      <c r="H1357">
        <f>1-(1-Skills!J12/100)^Skills!K12</f>
        <v/>
      </c>
      <c r="I1357" t="inlineStr">
        <is>
          <t>1</t>
        </is>
      </c>
      <c r="J1357">
        <f>((Inputs!$B$6*(1+Inputs!$B$7/100))+(((Inputs!$B$12*(1+Inputs!$B$13/100))-(Inputs!$B$12*(1+Inputs!$B$13/100)))+0.25*(Inputs!$B$14-Inputs!$B$14))*(1+Inputs!$B$7/100))*(F1357/100)</f>
        <v/>
      </c>
      <c r="K1357">
        <f>J1357*(1+((Inputs!$B$12*(1+Inputs!$B$13/100))*0.01+Inputs!$B$14*0.0025)/100)*(1+Inputs!$B$15/100)*(1+Inputs!$B$16/100)*(5000/(6000+Inputs!$B$43*(1-(100*(1-(1-Inputs!$B$19/100)*(1-CHOOSE(ArtifactsInput!$N$40+1,5,6,7,8,9,10)/100)^(ArtifactsInput!$M$40-ArtifactsInput!$M$40)))/100)))*(1+(Inputs!$B$24+((C1376=TRUE)*(F1376-Calc!F31))+((C1363=TRUE)*(F1363-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12="CRUEL_STAB",Inputs!$B$17+((C1373=TRUE)*(F1373-Calc!F28))+((IF(AND(Inputs!$B$39&lt;&gt;"pvp",Inputs!$B$44=0),1,IF(IF(Inputs!$B$39="pvp",15,Inputs!$B$44)-(B1390)&lt;=0,1,MAX(0,IF(Inputs!$B$39="pvp",15,Inputs!$B$44)-MAX(5,B1390))/(IF(Inputs!$B$39="pvp",15,Inputs!$B$44)-(B1390))))*(IF(AND(ArtifactsInput!$M$42,((Inputs!$B$9+((C1371=TRUE)*(F1371-Calc!F26))+B1379+(ArtifactsInput!$M$24-ArtifactsInput!$M$24)*CHOOSE(ArtifactsInput!$N$24+1,10,12,14,16,18,20)+IF(ArtifactsInput!$M$10,CHOOSE(ArtifactsInput!$N$10+1,15,18,21,24,27,30)*(IF(Inputs!$B$39="pvp",MIN(15,15)/15,IF(AND(Inputs!$B$39&lt;&gt;"pvp",Inputs!$B$44&gt;0),MIN(15,Inputs!$B$44)/(Inputs!$B$44),0))),0)))&gt;=100),MIN(100,((Inputs!$B$9+((C1371=TRUE)*(F1371-Calc!F26))+B1379+(ArtifactsInput!$M$24-ArtifactsInput!$M$24)*CHOOSE(ArtifactsInput!$N$24+1,10,12,14,16,18,20)+IF(ArtifactsInput!$M$10,CHOOSE(ArtifactsInput!$N$10+1,15,18,21,24,27,30)*(IF(Inputs!$B$39="pvp",MIN(15,15)/15,IF(AND(Inputs!$B$39&lt;&gt;"pvp",Inputs!$B$44&gt;0),MIN(15,Inputs!$B$44)/(Inputs!$B$44),0))),0)))-100),0))*CHOOSE(ArtifactsInput!$N$42+1,0.6,0.72,0.84,0.96,1.08,1.2))),Inputs!$B$18+((C1374=TRUE)*(F1374-Calc!F29))+(IF(AND(Inputs!$B$39&lt;&gt;"pvp",Inputs!$B$44=0),1,IF(IF(Inputs!$B$39="pvp",15,Inputs!$B$44)-(B1390)&lt;=0,1,MAX(0,IF(Inputs!$B$39="pvp",15,Inputs!$B$44)-MAX(5,B1390))/(IF(Inputs!$B$39="pvp",15,Inputs!$B$44)-(B1390))))*IF(AND(ArtifactsInput!$M$42,((Inputs!$B$9+((C1371=TRUE)*(F1371-Calc!F26))+B1379+(ArtifactsInput!$M$24-ArtifactsInput!$M$24)*CHOOSE(ArtifactsInput!$N$24+1,10,12,14,16,18,20)+IF(ArtifactsInput!$M$10,CHOOSE(ArtifactsInput!$N$10+1,15,18,21,24,27,30)*(IF(Inputs!$B$39="pvp",MIN(15,15)/15,IF(AND(Inputs!$B$39&lt;&gt;"pvp",Inputs!$B$44&gt;0),MIN(15,Inputs!$B$44)/(Inputs!$B$44),0))),0)))&gt;=100),CHOOSE(ArtifactsInput!$N$42+1,40,48,56,64,72,80),0))))/100)*(((1+(((C1367=TRUE)*F1367*IF(AND(Inputs!$B$39&lt;&gt;"pvp",Inputs!$B$44&gt;0),(((R1367-1)*MIN((Skills!Y22*(1+(Inputs!$B$34+1)/100)),(1/Q1367))+MIN((Skills!Y22*(1+(Inputs!$B$34+1)/100)),MAX(0,Inputs!$B$44-((R1367-1)*(1/Q1367)))))/Inputs!$B$44),IF(Inputs!$B$39="pvp",MIN((Skills!Y22*(1+(Inputs!$B$34+1)/100)),15)/15,MIN(1,(Skills!Y22*(1+(Inputs!$B$34+1)/100))/(1/Q1367)))))+((C1348=TRUE)*F1348*3)+((C1350=TRUE)*F1350*(1-EXP(-0.75*B1383*5)))+((C1369=TRUE)*(F1369-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1356=TRUE)*F1356*IF(AND(Inputs!$B$39&lt;&gt;"pvp",Inputs!$B$44&gt;0),(((R1356-1)*MIN((Skills!Y11*(1+(Inputs!$B$34+1)/100)),(1/Q1356))+MIN((Skills!Y11*(1+(Inputs!$B$34+1)/100)),MAX(0,Inputs!$B$44-((R1356-1)*(1/Q1356)))))/Inputs!$B$44),IF(Inputs!$B$39="pvp",MIN((Skills!Y11*(1+(Inputs!$B$34+1)/100)),15)/15,MIN(1,(Skills!Y11*(1+(Inputs!$B$34+1)/100))/(1/Q1356)))))/100)*(1+((C1361=TRUE)*F1361*IF(AND(Inputs!$B$39&lt;&gt;"pvp",Inputs!$B$44&gt;0),(((R1361-1)*MIN((Skills!Y16*(1+(Inputs!$B$34+1)/100)),(1/Q1361))+MIN((Skills!Y16*(1+(Inputs!$B$34+1)/100)),MAX(0,Inputs!$B$44-((R1361-1)*(1/Q1361)))))/Inputs!$B$44),IF(Inputs!$B$39="pvp",MIN((Skills!Y16*(1+(Inputs!$B$34+1)/100)),15)/15,MIN(1,(Skills!Y16*(1+(Inputs!$B$34+1)/100))/(1/Q1361)))))/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1381*I1357)</f>
        <v/>
      </c>
      <c r="L1357">
        <f>K1357*(MIN(Inputs!$B$22+((C1370=TRUE)*(F1370-Calc!F25)),(Inputs!$B$23+((C1375=TRUE)*(F1375-Calc!F30))+IF(ArtifactsInput!$M$15,CHOOSE(ArtifactsInput!$N$15+1,25,30,35,40,45,50)/100*(Inputs!$B$11-Inputs!$B$11),0)))/100+(Inputs!$B$23+((C1375=TRUE)*(F1375-Calc!F30))+IF(ArtifactsInput!$M$15,CHOOSE(ArtifactsInput!$N$15+1,25,30,35,40,45,50)/100*(Inputs!$B$11-Inputs!$B$11),0))/100)/2</f>
        <v/>
      </c>
      <c r="M1357">
        <f>L1357*(1+(Inputs!$B$10+((C1372=TRUE)*(F1372-Calc!F27))+B1386+(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1357">
        <f>L1357*(1-MIN((Inputs!$B$9+((C1371=TRUE)*(F1371-Calc!F26))+B1379+(ArtifactsInput!$M$24-ArtifactsInput!$M$24)*CHOOSE(ArtifactsInput!$N$24+1,10,12,14,16,18,20)+(IF(AND(Inputs!$B$39&lt;&gt;"pvp",Inputs!$B$44=0),1,IF(IF(Inputs!$B$39="pvp",15,Inputs!$B$44)-(B1390)&lt;=0,1,MAX(0,IF(Inputs!$B$39="pvp",15,Inputs!$B$44)-MAX(5,B1390))/(IF(Inputs!$B$39="pvp",15,Inputs!$B$44)-(B1390))))*IF(AND(ArtifactsInput!$M$42,((Inputs!$B$9+((C1371=TRUE)*(F1371-Calc!F26))+B1379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1357*(MIN((Inputs!$B$9+((C1371=TRUE)*(F1371-Calc!F26))+B1379+(ArtifactsInput!$M$24-ArtifactsInput!$M$24)*CHOOSE(ArtifactsInput!$N$24+1,10,12,14,16,18,20)+(IF(AND(Inputs!$B$39&lt;&gt;"pvp",Inputs!$B$44=0),1,IF(IF(Inputs!$B$39="pvp",15,Inputs!$B$44)-(B1390)&lt;=0,1,MAX(0,IF(Inputs!$B$39="pvp",15,Inputs!$B$44)-MAX(5,B1390))/(IF(Inputs!$B$39="pvp",15,Inputs!$B$44)-(B1390))))*IF(AND(ArtifactsInput!$M$42,((Inputs!$B$9+((C1371=TRUE)*(F1371-Calc!F26))+B1379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357">
        <f>(1-Summary!$B$11)*T1357+Summary!$B$11*V1357</f>
        <v/>
      </c>
      <c r="P1357">
        <f>IF(B1391=0,0,O1357/B1391)</f>
        <v/>
      </c>
      <c r="Q1357">
        <f>IFERROR(1/IF(Inputs!$B$39="pvp",15,MAX(0.1,Skills!D12-IF(TRUE=TRUE,Inputs!$B$32,0))),0)</f>
        <v/>
      </c>
      <c r="R1357">
        <f>IF(AND(Inputs!$B$39&lt;&gt;"pvp",Inputs!$B$44&gt;0),IF(MAX(0,Inputs!$B$44-B1390)&lt;=0,0,(INT(MAX(0,Inputs!$B$44-B1390)/IF(Inputs!$B$39="pvp",15,MAX(0.1,Skills!D12-IF(TRUE=TRUE,Inputs!$B$32,0))))+1)),0)</f>
        <v/>
      </c>
      <c r="S1357">
        <f>IFERROR(O1357/N1357,0)</f>
        <v/>
      </c>
      <c r="T1357">
        <f>IF(C1357,(H1357*N1357*IF(AND(Inputs!$B$39&lt;&gt;"pvp",Inputs!$B$44&gt;0),((Skills!G12*((R1357-1)*IF(Skills!H12&gt;0,Skills!I12/Skills!H12,1)+IF(Skills!H12&gt;0,MIN(Skills!I12,MAX(0,MAX(0,Inputs!$B$44-B1390)-((R1357-1)*IF(Inputs!$B$39="pvp",15,MAX(0.1,Skills!D12-IF(TRUE=TRUE,Inputs!$B$32,0))))))/Skills!H12,1)))/Inputs!$B$44),G1357*Q1357))*IF(Inputs!$B$39="pvp",1,1+(Inputs!$B$20+0+Skills!P12+B1380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Hunt"),CHOOSE(ArtifactsInput!$N$35+1,15,18,21,24,27,30)*(1-EXP(-(0.2*B1383)*5)),0)+IF(AND(ArtifactsInput!$M$22,Inputs!$B$4&lt;&gt;"Chapter Hunt"),CHOOSE(ArtifactsInput!$N$22+1,10,12,14,16,18,20)*((0*(((0.15*B1383*5))^0/1)+1*(((0.15*B1383*5))^1/1)+2*(((0.15*B1383*5))^2/2)+3*(((0.15*B1383*5))^3/6)+4*(((0.15*B1383*5))^4/24)+5*(((0.15*B1383*5))^5/120))/((((0.15*B1383*5))^0/1)+(((0.15*B1383*5))^1/1)+(((0.15*B1383*5))^2/2)+(((0.15*B1383*5))^3/6)+(((0.15*B1383*5))^4/24)+(((0.15*B1383*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1357*(1-MIN(100,(Inputs!$B$9+((C1371=TRUE)*(F1371-Calc!F26))+B1379+(ArtifactsInput!$M$24-ArtifactsInput!$M$24)*CHOOSE(ArtifactsInput!$N$24+1,10,12,14,16,18,20)+(IF(AND(Inputs!$B$39&lt;&gt;"pvp",Inputs!$B$44=0),1,IF(IF(Inputs!$B$39="pvp",15,Inputs!$B$44)-(B1390)&lt;=0,1,MAX(0,IF(Inputs!$B$39="pvp",15,Inputs!$B$44)-MAX(5,B1390))/(IF(Inputs!$B$39="pvp",15,Inputs!$B$44)-(B1390))))*IF(AND(ArtifactsInput!$M$42,((Inputs!$B$9+((C1371=TRUE)*(F1371-Calc!F26))+B1379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1357*(MIN(100,(Inputs!$B$9+((C1371=TRUE)*(F1371-Calc!F26))+B1379+(ArtifactsInput!$M$24-ArtifactsInput!$M$24)*CHOOSE(ArtifactsInput!$N$24+1,10,12,14,16,18,20)+(IF(AND(Inputs!$B$39&lt;&gt;"pvp",Inputs!$B$44=0),1,IF(IF(Inputs!$B$39="pvp",15,Inputs!$B$44)-(B1390)&lt;=0,1,MAX(0,IF(Inputs!$B$39="pvp",15,Inputs!$B$44)-MAX(5,B1390))/(IF(Inputs!$B$39="pvp",15,Inputs!$B$44)-(B1390))))*IF(AND(ArtifactsInput!$M$42,((Inputs!$B$9+((C1371=TRUE)*(F1371-Calc!F26))+B1379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1357*(1-MIN(100,(Inputs!$B$9+((C1371=TRUE)*(F1371-Calc!F26))+B1379+(ArtifactsInput!$M$24-ArtifactsInput!$M$24)*CHOOSE(ArtifactsInput!$N$24+1,10,12,14,16,18,20)+(IF(AND(Inputs!$B$39&lt;&gt;"pvp",Inputs!$B$44=0),1,IF(IF(Inputs!$B$39="pvp",15,Inputs!$B$44)-(B1390)&lt;=0,1,MAX(0,IF(Inputs!$B$39="pvp",15,Inputs!$B$44)-MAX(5,B1390))/(IF(Inputs!$B$39="pvp",15,Inputs!$B$44)-(B1390))))*IF(AND(ArtifactsInput!$M$42,((Inputs!$B$9+((C1371=TRUE)*(F1371-Calc!F26))+B1379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1357*(MIN(100,(Inputs!$B$9+((C1371=TRUE)*(F1371-Calc!F26))+B1379+(ArtifactsInput!$M$24-ArtifactsInput!$M$24)*CHOOSE(ArtifactsInput!$N$24+1,10,12,14,16,18,20)+(IF(AND(Inputs!$B$39&lt;&gt;"pvp",Inputs!$B$44=0),1,IF(IF(Inputs!$B$39="pvp",15,Inputs!$B$44)-(B1390)&lt;=0,1,MAX(0,IF(Inputs!$B$39="pvp",15,Inputs!$B$44)-MAX(5,B1390))/(IF(Inputs!$B$39="pvp",15,Inputs!$B$44)-(B1390))))*IF(AND(ArtifactsInput!$M$42,((Inputs!$B$9+((C1371=TRUE)*(F1371-Calc!F26))+B1379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1357">
        <f>IF(C1357,(H1357*N1357*IF(AND(Inputs!$B$39&lt;&gt;"pvp",Inputs!$B$44&gt;0),((Skills!G12*((R1357-1)*IF(Skills!H12&gt;0,Skills!I12/Skills!H12,1)+IF(Skills!H12&gt;0,MIN(Skills!I12,MAX(0,MAX(0,Inputs!$B$44-B1390)-((R1357-1)*IF(Inputs!$B$39="pvp",15,MAX(0.1,Skills!D12-IF(TRUE=TRUE,Inputs!$B$32,0))))))/Skills!H12,1)))/Inputs!$B$44),G1357*Q1357))*IF(Inputs!$B$39="pvp",1,(1+(Inputs!$B$21+Skills!Q12+B1380+(IF(ArtifactsInput!$M$33,CHOOSE(ArtifactsInput!$N$33+1,30,36,42,48,54,60),0))+(IF(AND(ArtifactsInput!$M$35,Inputs!$B$4&lt;&gt;"Chapter Hunt"),CHOOSE(ArtifactsInput!$N$35+1,15,18,21,24,27,30)*(1-EXP(-(0.2*B1383)*5)),0)+IF(AND(ArtifactsInput!$M$22,Inputs!$B$4&lt;&gt;"Chapter Hunt"),CHOOSE(ArtifactsInput!$N$22+1,10,12,14,16,18,20)*((0*(((0.15*B1383*5))^0/1)+1*(((0.15*B1383*5))^1/1)+2*(((0.15*B1383*5))^2/2)+3*(((0.15*B1383*5))^3/6)+4*(((0.15*B1383*5))^4/24)+5*(((0.15*B1383*5))^5/120))/((((0.15*B1383*5))^0/1)+(((0.15*B1383*5))^1/1)+(((0.15*B1383*5))^2/2)+(((0.15*B1383*5))^3/6)+(((0.15*B1383*5))^4/24)+(((0.15*B1383*5))^5/120))),0)))/100)*(MIN(Skills!W12,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358">
      <c r="A1358">
        <f>Skills!A13</f>
        <v/>
      </c>
      <c r="B1358">
        <f>Skills!B13</f>
        <v/>
      </c>
      <c r="C1358">
        <f>Inputs!$B$3&gt;=105</f>
        <v/>
      </c>
      <c r="D1358">
        <f>IF(Skills!C13=1,60+Inputs!$B$25+Inputs!$B$29,IF(Skills!C13=2,90+Inputs!$B$26+Inputs!$B$29,IF(Skills!C13=3,120+Inputs!$B$27+Inputs!$B$29,MAX(0,(Inputs!$B$3-100)*3)+Inputs!$B$28+Inputs!$B$29)))</f>
        <v/>
      </c>
      <c r="E1358">
        <f>INDEX(FactorTable!$B$2:$Y$301, MATCH(ROUND(MIN(300,MAX(1,D1358)),0), FactorTable!$A$2:$A$301,0), Skills!M13+1)</f>
        <v/>
      </c>
      <c r="F1358">
        <f>IF(Skills!N13=TRUE,(Skills!L13/10)*(E1358/1000),Skills!L13/10)+Skills!O13</f>
        <v/>
      </c>
      <c r="G1358">
        <f>Skills!G13*IF(Skills!H13&gt;0,IF(Inputs!$B$39="pvp",MIN(Skills!I13,15),Skills!I13)/Skills!H13,1)</f>
        <v/>
      </c>
      <c r="H1358">
        <f>1-(1-Skills!J13/100)^Skills!K13</f>
        <v/>
      </c>
      <c r="I1358" t="inlineStr">
        <is>
          <t>1</t>
        </is>
      </c>
      <c r="J1358">
        <f>((Inputs!$B$6*(1+Inputs!$B$7/100))+(((Inputs!$B$12*(1+Inputs!$B$13/100))-(Inputs!$B$12*(1+Inputs!$B$13/100)))+0.25*(Inputs!$B$14-Inputs!$B$14))*(1+Inputs!$B$7/100))*(F1358/100)</f>
        <v/>
      </c>
      <c r="K1358">
        <f>J1358*(1+((Inputs!$B$12*(1+Inputs!$B$13/100))*0.01+Inputs!$B$14*0.0025)/100)*(1+Inputs!$B$15/100)*(1+Inputs!$B$16/100)*(5000/(6000+Inputs!$B$43*(1-(100*(1-(1-Inputs!$B$19/100)*(1-CHOOSE(ArtifactsInput!$N$40+1,5,6,7,8,9,10)/100)^(ArtifactsInput!$M$40-ArtifactsInput!$M$40)))/100)))*(1+(Inputs!$B$24+((C1376=TRUE)*(F1376-Calc!F31))+((C1363=TRUE)*(F1363-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13="CRUEL_STAB",Inputs!$B$17+((C1373=TRUE)*(F1373-Calc!F28))+((IF(AND(Inputs!$B$39&lt;&gt;"pvp",Inputs!$B$44=0),1,IF(IF(Inputs!$B$39="pvp",15,Inputs!$B$44)-(B1390)&lt;=0,1,MAX(0,IF(Inputs!$B$39="pvp",15,Inputs!$B$44)-MAX(5,B1390))/(IF(Inputs!$B$39="pvp",15,Inputs!$B$44)-(B1390))))*(IF(AND(ArtifactsInput!$M$42,((Inputs!$B$9+((C1371=TRUE)*(F1371-Calc!F26))+B1379+(ArtifactsInput!$M$24-ArtifactsInput!$M$24)*CHOOSE(ArtifactsInput!$N$24+1,10,12,14,16,18,20)+IF(ArtifactsInput!$M$10,CHOOSE(ArtifactsInput!$N$10+1,15,18,21,24,27,30)*(IF(Inputs!$B$39="pvp",MIN(15,15)/15,IF(AND(Inputs!$B$39&lt;&gt;"pvp",Inputs!$B$44&gt;0),MIN(15,Inputs!$B$44)/(Inputs!$B$44),0))),0)))&gt;=100),MIN(100,((Inputs!$B$9+((C1371=TRUE)*(F1371-Calc!F26))+B1379+(ArtifactsInput!$M$24-ArtifactsInput!$M$24)*CHOOSE(ArtifactsInput!$N$24+1,10,12,14,16,18,20)+IF(ArtifactsInput!$M$10,CHOOSE(ArtifactsInput!$N$10+1,15,18,21,24,27,30)*(IF(Inputs!$B$39="pvp",MIN(15,15)/15,IF(AND(Inputs!$B$39&lt;&gt;"pvp",Inputs!$B$44&gt;0),MIN(15,Inputs!$B$44)/(Inputs!$B$44),0))),0)))-100),0))*CHOOSE(ArtifactsInput!$N$42+1,0.6,0.72,0.84,0.96,1.08,1.2))),Inputs!$B$18+((C1374=TRUE)*(F1374-Calc!F29))+(IF(AND(Inputs!$B$39&lt;&gt;"pvp",Inputs!$B$44=0),1,IF(IF(Inputs!$B$39="pvp",15,Inputs!$B$44)-(B1390)&lt;=0,1,MAX(0,IF(Inputs!$B$39="pvp",15,Inputs!$B$44)-MAX(5,B1390))/(IF(Inputs!$B$39="pvp",15,Inputs!$B$44)-(B1390))))*IF(AND(ArtifactsInput!$M$42,((Inputs!$B$9+((C1371=TRUE)*(F1371-Calc!F26))+B1379+(ArtifactsInput!$M$24-ArtifactsInput!$M$24)*CHOOSE(ArtifactsInput!$N$24+1,10,12,14,16,18,20)+IF(ArtifactsInput!$M$10,CHOOSE(ArtifactsInput!$N$10+1,15,18,21,24,27,30)*(IF(Inputs!$B$39="pvp",MIN(15,15)/15,IF(AND(Inputs!$B$39&lt;&gt;"pvp",Inputs!$B$44&gt;0),MIN(15,Inputs!$B$44)/(Inputs!$B$44),0))),0)))&gt;=100),CHOOSE(ArtifactsInput!$N$42+1,40,48,56,64,72,80),0))))/100)*(((1+(((C1367=TRUE)*F1367*IF(AND(Inputs!$B$39&lt;&gt;"pvp",Inputs!$B$44&gt;0),(((R1367-1)*MIN((Skills!Y22*(1+(Inputs!$B$34+1)/100)),(1/Q1367))+MIN((Skills!Y22*(1+(Inputs!$B$34+1)/100)),MAX(0,Inputs!$B$44-((R1367-1)*(1/Q1367)))))/Inputs!$B$44),IF(Inputs!$B$39="pvp",MIN((Skills!Y22*(1+(Inputs!$B$34+1)/100)),15)/15,MIN(1,(Skills!Y22*(1+(Inputs!$B$34+1)/100))/(1/Q1367)))))+((C1348=TRUE)*F1348*3)+((C1350=TRUE)*F1350*(1-EXP(-0.75*B1383*5)))+((C1369=TRUE)*(F1369-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1356=TRUE)*F1356*IF(AND(Inputs!$B$39&lt;&gt;"pvp",Inputs!$B$44&gt;0),(((R1356-1)*MIN((Skills!Y11*(1+(Inputs!$B$34+1)/100)),(1/Q1356))+MIN((Skills!Y11*(1+(Inputs!$B$34+1)/100)),MAX(0,Inputs!$B$44-((R1356-1)*(1/Q1356)))))/Inputs!$B$44),IF(Inputs!$B$39="pvp",MIN((Skills!Y11*(1+(Inputs!$B$34+1)/100)),15)/15,MIN(1,(Skills!Y11*(1+(Inputs!$B$34+1)/100))/(1/Q1356)))))/100)*(1+((C1361=TRUE)*F1361*IF(AND(Inputs!$B$39&lt;&gt;"pvp",Inputs!$B$44&gt;0),(((R1361-1)*MIN((Skills!Y16*(1+(Inputs!$B$34+1)/100)),(1/Q1361))+MIN((Skills!Y16*(1+(Inputs!$B$34+1)/100)),MAX(0,Inputs!$B$44-((R1361-1)*(1/Q1361)))))/Inputs!$B$44),IF(Inputs!$B$39="pvp",MIN((Skills!Y16*(1+(Inputs!$B$34+1)/100)),15)/15,MIN(1,(Skills!Y16*(1+(Inputs!$B$34+1)/100))/(1/Q1361)))))/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1381*I1358)</f>
        <v/>
      </c>
      <c r="L1358">
        <f>K1358*(MIN(Inputs!$B$22+((C1370=TRUE)*(F1370-Calc!F25)),(Inputs!$B$23+((C1375=TRUE)*(F1375-Calc!F30))+IF(ArtifactsInput!$M$15,CHOOSE(ArtifactsInput!$N$15+1,25,30,35,40,45,50)/100*(Inputs!$B$11-Inputs!$B$11),0)))/100+(Inputs!$B$23+((C1375=TRUE)*(F1375-Calc!F30))+IF(ArtifactsInput!$M$15,CHOOSE(ArtifactsInput!$N$15+1,25,30,35,40,45,50)/100*(Inputs!$B$11-Inputs!$B$11),0))/100)/2</f>
        <v/>
      </c>
      <c r="M1358">
        <f>L1358*(1+(Inputs!$B$10+((C1372=TRUE)*(F1372-Calc!F27))+B1386+(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1358">
        <f>L1358*(1-MIN((Inputs!$B$9+((C1371=TRUE)*(F1371-Calc!F26))+B1379+(ArtifactsInput!$M$24-ArtifactsInput!$M$24)*CHOOSE(ArtifactsInput!$N$24+1,10,12,14,16,18,20)+(IF(AND(Inputs!$B$39&lt;&gt;"pvp",Inputs!$B$44=0),1,IF(IF(Inputs!$B$39="pvp",15,Inputs!$B$44)-(B1390)&lt;=0,1,MAX(0,IF(Inputs!$B$39="pvp",15,Inputs!$B$44)-MAX(5,B1390))/(IF(Inputs!$B$39="pvp",15,Inputs!$B$44)-(B1390))))*IF(AND(ArtifactsInput!$M$42,((Inputs!$B$9+((C1371=TRUE)*(F1371-Calc!F26))+B1379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1358*(MIN((Inputs!$B$9+((C1371=TRUE)*(F1371-Calc!F26))+B1379+(ArtifactsInput!$M$24-ArtifactsInput!$M$24)*CHOOSE(ArtifactsInput!$N$24+1,10,12,14,16,18,20)+(IF(AND(Inputs!$B$39&lt;&gt;"pvp",Inputs!$B$44=0),1,IF(IF(Inputs!$B$39="pvp",15,Inputs!$B$44)-(B1390)&lt;=0,1,MAX(0,IF(Inputs!$B$39="pvp",15,Inputs!$B$44)-MAX(5,B1390))/(IF(Inputs!$B$39="pvp",15,Inputs!$B$44)-(B1390))))*IF(AND(ArtifactsInput!$M$42,((Inputs!$B$9+((C1371=TRUE)*(F1371-Calc!F26))+B1379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358">
        <f>(1-Summary!$B$11)*T1358+Summary!$B$11*V1358</f>
        <v/>
      </c>
      <c r="P1358">
        <f>IF(B1391=0,0,O1358/B1391)</f>
        <v/>
      </c>
      <c r="Q1358">
        <f>IFERROR(1/IF(Inputs!$B$39="pvp",15,MAX(0.1,Skills!D13-IF(TRUE=TRUE,Inputs!$B$32,0))),0)</f>
        <v/>
      </c>
      <c r="R1358">
        <f>IF(AND(Inputs!$B$39&lt;&gt;"pvp",Inputs!$B$44&gt;0),IF(MAX(0,Inputs!$B$44-B1390)&lt;=0,0,(INT(MAX(0,Inputs!$B$44-B1390)/IF(Inputs!$B$39="pvp",15,MAX(0.1,Skills!D13-IF(TRUE=TRUE,Inputs!$B$32,0))))+1)),0)</f>
        <v/>
      </c>
      <c r="S1358">
        <f>IFERROR(O1358/N1358,0)</f>
        <v/>
      </c>
      <c r="T1358">
        <f>IF(C1358,(H1358*N1358*IF(AND(Inputs!$B$39&lt;&gt;"pvp",Inputs!$B$44&gt;0),((Skills!G13*((R1358-1)*IF(Skills!H13&gt;0,Skills!I13/Skills!H13,1)+IF(Skills!H13&gt;0,MIN(Skills!I13,MAX(0,MAX(0,Inputs!$B$44-B1390)-((R1358-1)*IF(Inputs!$B$39="pvp",15,MAX(0.1,Skills!D13-IF(TRUE=TRUE,Inputs!$B$32,0))))))/Skills!H13,1)))/Inputs!$B$44),G1358*Q1358))*IF(Inputs!$B$39="pvp",1,1+(Inputs!$B$20+0+Skills!P13+B1380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Hunt"),CHOOSE(ArtifactsInput!$N$35+1,15,18,21,24,27,30)*(1-EXP(-(0.2*B1383)*5)),0)+IF(AND(ArtifactsInput!$M$22,Inputs!$B$4&lt;&gt;"Chapter Hunt"),CHOOSE(ArtifactsInput!$N$22+1,10,12,14,16,18,20)*((0*(((0.15*B1383*5))^0/1)+1*(((0.15*B1383*5))^1/1)+2*(((0.15*B1383*5))^2/2)+3*(((0.15*B1383*5))^3/6)+4*(((0.15*B1383*5))^4/24)+5*(((0.15*B1383*5))^5/120))/((((0.15*B1383*5))^0/1)+(((0.15*B1383*5))^1/1)+(((0.15*B1383*5))^2/2)+(((0.15*B1383*5))^3/6)+(((0.15*B1383*5))^4/24)+(((0.15*B1383*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1358*(1-MIN(100,(Inputs!$B$9+((C1371=TRUE)*(F1371-Calc!F26))+B1379+(ArtifactsInput!$M$24-ArtifactsInput!$M$24)*CHOOSE(ArtifactsInput!$N$24+1,10,12,14,16,18,20)+(IF(AND(Inputs!$B$39&lt;&gt;"pvp",Inputs!$B$44=0),1,IF(IF(Inputs!$B$39="pvp",15,Inputs!$B$44)-(B1390)&lt;=0,1,MAX(0,IF(Inputs!$B$39="pvp",15,Inputs!$B$44)-MAX(5,B1390))/(IF(Inputs!$B$39="pvp",15,Inputs!$B$44)-(B1390))))*IF(AND(ArtifactsInput!$M$42,((Inputs!$B$9+((C1371=TRUE)*(F1371-Calc!F26))+B1379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1358*(MIN(100,(Inputs!$B$9+((C1371=TRUE)*(F1371-Calc!F26))+B1379+(ArtifactsInput!$M$24-ArtifactsInput!$M$24)*CHOOSE(ArtifactsInput!$N$24+1,10,12,14,16,18,20)+(IF(AND(Inputs!$B$39&lt;&gt;"pvp",Inputs!$B$44=0),1,IF(IF(Inputs!$B$39="pvp",15,Inputs!$B$44)-(B1390)&lt;=0,1,MAX(0,IF(Inputs!$B$39="pvp",15,Inputs!$B$44)-MAX(5,B1390))/(IF(Inputs!$B$39="pvp",15,Inputs!$B$44)-(B1390))))*IF(AND(ArtifactsInput!$M$42,((Inputs!$B$9+((C1371=TRUE)*(F1371-Calc!F26))+B1379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1358*(1-MIN(100,(Inputs!$B$9+((C1371=TRUE)*(F1371-Calc!F26))+B1379+(ArtifactsInput!$M$24-ArtifactsInput!$M$24)*CHOOSE(ArtifactsInput!$N$24+1,10,12,14,16,18,20)+(IF(AND(Inputs!$B$39&lt;&gt;"pvp",Inputs!$B$44=0),1,IF(IF(Inputs!$B$39="pvp",15,Inputs!$B$44)-(B1390)&lt;=0,1,MAX(0,IF(Inputs!$B$39="pvp",15,Inputs!$B$44)-MAX(5,B1390))/(IF(Inputs!$B$39="pvp",15,Inputs!$B$44)-(B1390))))*IF(AND(ArtifactsInput!$M$42,((Inputs!$B$9+((C1371=TRUE)*(F1371-Calc!F26))+B1379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1358*(MIN(100,(Inputs!$B$9+((C1371=TRUE)*(F1371-Calc!F26))+B1379+(ArtifactsInput!$M$24-ArtifactsInput!$M$24)*CHOOSE(ArtifactsInput!$N$24+1,10,12,14,16,18,20)+(IF(AND(Inputs!$B$39&lt;&gt;"pvp",Inputs!$B$44=0),1,IF(IF(Inputs!$B$39="pvp",15,Inputs!$B$44)-(B1390)&lt;=0,1,MAX(0,IF(Inputs!$B$39="pvp",15,Inputs!$B$44)-MAX(5,B1390))/(IF(Inputs!$B$39="pvp",15,Inputs!$B$44)-(B1390))))*IF(AND(ArtifactsInput!$M$42,((Inputs!$B$9+((C1371=TRUE)*(F1371-Calc!F26))+B1379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1358">
        <f>IF(C1358,(H1358*N1358*IF(AND(Inputs!$B$39&lt;&gt;"pvp",Inputs!$B$44&gt;0),((Skills!G13*((R1358-1)*IF(Skills!H13&gt;0,Skills!I13/Skills!H13,1)+IF(Skills!H13&gt;0,MIN(Skills!I13,MAX(0,MAX(0,Inputs!$B$44-B1390)-((R1358-1)*IF(Inputs!$B$39="pvp",15,MAX(0.1,Skills!D13-IF(TRUE=TRUE,Inputs!$B$32,0))))))/Skills!H13,1)))/Inputs!$B$44),G1358*Q1358))*IF(Inputs!$B$39="pvp",1,(1+(Inputs!$B$21+Skills!Q13+B1380+(IF(ArtifactsInput!$M$33,CHOOSE(ArtifactsInput!$N$33+1,30,36,42,48,54,60),0))+(IF(AND(ArtifactsInput!$M$35,Inputs!$B$4&lt;&gt;"Chapter Hunt"),CHOOSE(ArtifactsInput!$N$35+1,15,18,21,24,27,30)*(1-EXP(-(0.2*B1383)*5)),0)+IF(AND(ArtifactsInput!$M$22,Inputs!$B$4&lt;&gt;"Chapter Hunt"),CHOOSE(ArtifactsInput!$N$22+1,10,12,14,16,18,20)*((0*(((0.15*B1383*5))^0/1)+1*(((0.15*B1383*5))^1/1)+2*(((0.15*B1383*5))^2/2)+3*(((0.15*B1383*5))^3/6)+4*(((0.15*B1383*5))^4/24)+5*(((0.15*B1383*5))^5/120))/((((0.15*B1383*5))^0/1)+(((0.15*B1383*5))^1/1)+(((0.15*B1383*5))^2/2)+(((0.15*B1383*5))^3/6)+(((0.15*B1383*5))^4/24)+(((0.15*B1383*5))^5/120))),0)))/100)*(MIN(Skills!W13,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359">
      <c r="A1359">
        <f>Skills!A14</f>
        <v/>
      </c>
      <c r="B1359">
        <f>Skills!B14</f>
        <v/>
      </c>
      <c r="C1359">
        <f>Inputs!$B$3&gt;=105</f>
        <v/>
      </c>
      <c r="D1359">
        <f>IF(Skills!C14=1,60+Inputs!$B$25+Inputs!$B$29,IF(Skills!C14=2,90+Inputs!$B$26+Inputs!$B$29,IF(Skills!C14=3,120+Inputs!$B$27+Inputs!$B$29,MAX(0,(Inputs!$B$3-100)*3)+Inputs!$B$28+Inputs!$B$29)))</f>
        <v/>
      </c>
      <c r="E1359">
        <f>INDEX(FactorTable!$B$2:$Y$301, MATCH(ROUND(MIN(300,MAX(1,D1359)),0), FactorTable!$A$2:$A$301,0), Skills!M14+1)</f>
        <v/>
      </c>
      <c r="F1359">
        <f>IF(Skills!N14=TRUE,(Skills!L14/10)*(E1359/1000),Skills!L14/10)+Skills!O14</f>
        <v/>
      </c>
      <c r="G1359">
        <f>Skills!G14*IF(Skills!H14&gt;0,IF(Inputs!$B$39="pvp",MIN(Skills!I14,15),Skills!I14)/Skills!H14,1)</f>
        <v/>
      </c>
      <c r="H1359">
        <f>1-(1-Skills!J14/100)^Skills!K14</f>
        <v/>
      </c>
      <c r="I1359" t="inlineStr">
        <is>
          <t>1</t>
        </is>
      </c>
      <c r="J1359">
        <f>((Inputs!$B$6*(1+Inputs!$B$7/100))+(((Inputs!$B$12*(1+Inputs!$B$13/100))-(Inputs!$B$12*(1+Inputs!$B$13/100)))+0.25*(Inputs!$B$14-Inputs!$B$14))*(1+Inputs!$B$7/100))*(F1359/100)</f>
        <v/>
      </c>
      <c r="K1359">
        <f>J1359*(1+((Inputs!$B$12*(1+Inputs!$B$13/100))*0.01+Inputs!$B$14*0.0025)/100)*(1+Inputs!$B$15/100)*(1+Inputs!$B$16/100)*(5000/(6000+Inputs!$B$43*(1-(100*(1-(1-Inputs!$B$19/100)*(1-CHOOSE(ArtifactsInput!$N$40+1,5,6,7,8,9,10)/100)^(ArtifactsInput!$M$40-ArtifactsInput!$M$40)))/100)))*(1+(Inputs!$B$24+((C1376=TRUE)*(F1376-Calc!F31))+((C1363=TRUE)*(F1363-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14="CRUEL_STAB",Inputs!$B$17+((C1373=TRUE)*(F1373-Calc!F28))+((IF(AND(Inputs!$B$39&lt;&gt;"pvp",Inputs!$B$44=0),1,IF(IF(Inputs!$B$39="pvp",15,Inputs!$B$44)-(B1390)&lt;=0,1,MAX(0,IF(Inputs!$B$39="pvp",15,Inputs!$B$44)-MAX(5,B1390))/(IF(Inputs!$B$39="pvp",15,Inputs!$B$44)-(B1390))))*(IF(AND(ArtifactsInput!$M$42,((Inputs!$B$9+((C1371=TRUE)*(F1371-Calc!F26))+B1379+(ArtifactsInput!$M$24-ArtifactsInput!$M$24)*CHOOSE(ArtifactsInput!$N$24+1,10,12,14,16,18,20)+IF(ArtifactsInput!$M$10,CHOOSE(ArtifactsInput!$N$10+1,15,18,21,24,27,30)*(IF(Inputs!$B$39="pvp",MIN(15,15)/15,IF(AND(Inputs!$B$39&lt;&gt;"pvp",Inputs!$B$44&gt;0),MIN(15,Inputs!$B$44)/(Inputs!$B$44),0))),0)))&gt;=100),MIN(100,((Inputs!$B$9+((C1371=TRUE)*(F1371-Calc!F26))+B1379+(ArtifactsInput!$M$24-ArtifactsInput!$M$24)*CHOOSE(ArtifactsInput!$N$24+1,10,12,14,16,18,20)+IF(ArtifactsInput!$M$10,CHOOSE(ArtifactsInput!$N$10+1,15,18,21,24,27,30)*(IF(Inputs!$B$39="pvp",MIN(15,15)/15,IF(AND(Inputs!$B$39&lt;&gt;"pvp",Inputs!$B$44&gt;0),MIN(15,Inputs!$B$44)/(Inputs!$B$44),0))),0)))-100),0))*CHOOSE(ArtifactsInput!$N$42+1,0.6,0.72,0.84,0.96,1.08,1.2))),Inputs!$B$18+((C1374=TRUE)*(F1374-Calc!F29))+(IF(AND(Inputs!$B$39&lt;&gt;"pvp",Inputs!$B$44=0),1,IF(IF(Inputs!$B$39="pvp",15,Inputs!$B$44)-(B1390)&lt;=0,1,MAX(0,IF(Inputs!$B$39="pvp",15,Inputs!$B$44)-MAX(5,B1390))/(IF(Inputs!$B$39="pvp",15,Inputs!$B$44)-(B1390))))*IF(AND(ArtifactsInput!$M$42,((Inputs!$B$9+((C1371=TRUE)*(F1371-Calc!F26))+B1379+(ArtifactsInput!$M$24-ArtifactsInput!$M$24)*CHOOSE(ArtifactsInput!$N$24+1,10,12,14,16,18,20)+IF(ArtifactsInput!$M$10,CHOOSE(ArtifactsInput!$N$10+1,15,18,21,24,27,30)*(IF(Inputs!$B$39="pvp",MIN(15,15)/15,IF(AND(Inputs!$B$39&lt;&gt;"pvp",Inputs!$B$44&gt;0),MIN(15,Inputs!$B$44)/(Inputs!$B$44),0))),0)))&gt;=100),CHOOSE(ArtifactsInput!$N$42+1,40,48,56,64,72,80),0))))/100)*(((1+(((C1367=TRUE)*F1367*IF(AND(Inputs!$B$39&lt;&gt;"pvp",Inputs!$B$44&gt;0),(((R1367-1)*MIN((Skills!Y22*(1+(Inputs!$B$34+1)/100)),(1/Q1367))+MIN((Skills!Y22*(1+(Inputs!$B$34+1)/100)),MAX(0,Inputs!$B$44-((R1367-1)*(1/Q1367)))))/Inputs!$B$44),IF(Inputs!$B$39="pvp",MIN((Skills!Y22*(1+(Inputs!$B$34+1)/100)),15)/15,MIN(1,(Skills!Y22*(1+(Inputs!$B$34+1)/100))/(1/Q1367)))))+((C1348=TRUE)*F1348*3)+((C1350=TRUE)*F1350*(1-EXP(-0.75*B1383*5)))+((C1369=TRUE)*(F1369-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1356=TRUE)*F1356*IF(AND(Inputs!$B$39&lt;&gt;"pvp",Inputs!$B$44&gt;0),(((R1356-1)*MIN((Skills!Y11*(1+(Inputs!$B$34+1)/100)),(1/Q1356))+MIN((Skills!Y11*(1+(Inputs!$B$34+1)/100)),MAX(0,Inputs!$B$44-((R1356-1)*(1/Q1356)))))/Inputs!$B$44),IF(Inputs!$B$39="pvp",MIN((Skills!Y11*(1+(Inputs!$B$34+1)/100)),15)/15,MIN(1,(Skills!Y11*(1+(Inputs!$B$34+1)/100))/(1/Q1356)))))/100)*(1+((C1361=TRUE)*F1361*IF(AND(Inputs!$B$39&lt;&gt;"pvp",Inputs!$B$44&gt;0),(((R1361-1)*MIN((Skills!Y16*(1+(Inputs!$B$34+1)/100)),(1/Q1361))+MIN((Skills!Y16*(1+(Inputs!$B$34+1)/100)),MAX(0,Inputs!$B$44-((R1361-1)*(1/Q1361)))))/Inputs!$B$44),IF(Inputs!$B$39="pvp",MIN((Skills!Y16*(1+(Inputs!$B$34+1)/100)),15)/15,MIN(1,(Skills!Y16*(1+(Inputs!$B$34+1)/100))/(1/Q1361)))))/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1381*I1359)</f>
        <v/>
      </c>
      <c r="L1359">
        <f>K1359*(MIN(Inputs!$B$22+((C1370=TRUE)*(F1370-Calc!F25)),(Inputs!$B$23+((C1375=TRUE)*(F1375-Calc!F30))+IF(ArtifactsInput!$M$15,CHOOSE(ArtifactsInput!$N$15+1,25,30,35,40,45,50)/100*(Inputs!$B$11-Inputs!$B$11),0)))/100+(Inputs!$B$23+((C1375=TRUE)*(F1375-Calc!F30))+IF(ArtifactsInput!$M$15,CHOOSE(ArtifactsInput!$N$15+1,25,30,35,40,45,50)/100*(Inputs!$B$11-Inputs!$B$11),0))/100)/2</f>
        <v/>
      </c>
      <c r="M1359">
        <f>L1359*(1+(Inputs!$B$10+((C1372=TRUE)*(F1372-Calc!F27))+B1386+(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1359">
        <f>L1359*(1-MIN((Inputs!$B$9+((C1371=TRUE)*(F1371-Calc!F26))+B1379+(ArtifactsInput!$M$24-ArtifactsInput!$M$24)*CHOOSE(ArtifactsInput!$N$24+1,10,12,14,16,18,20)+(IF(AND(Inputs!$B$39&lt;&gt;"pvp",Inputs!$B$44=0),1,IF(IF(Inputs!$B$39="pvp",15,Inputs!$B$44)-(B1390)&lt;=0,1,MAX(0,IF(Inputs!$B$39="pvp",15,Inputs!$B$44)-MAX(5,B1390))/(IF(Inputs!$B$39="pvp",15,Inputs!$B$44)-(B1390))))*IF(AND(ArtifactsInput!$M$42,((Inputs!$B$9+((C1371=TRUE)*(F1371-Calc!F26))+B1379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1359*(MIN((Inputs!$B$9+((C1371=TRUE)*(F1371-Calc!F26))+B1379+(ArtifactsInput!$M$24-ArtifactsInput!$M$24)*CHOOSE(ArtifactsInput!$N$24+1,10,12,14,16,18,20)+(IF(AND(Inputs!$B$39&lt;&gt;"pvp",Inputs!$B$44=0),1,IF(IF(Inputs!$B$39="pvp",15,Inputs!$B$44)-(B1390)&lt;=0,1,MAX(0,IF(Inputs!$B$39="pvp",15,Inputs!$B$44)-MAX(5,B1390))/(IF(Inputs!$B$39="pvp",15,Inputs!$B$44)-(B1390))))*IF(AND(ArtifactsInput!$M$42,((Inputs!$B$9+((C1371=TRUE)*(F1371-Calc!F26))+B1379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359">
        <f>(1-Summary!$B$11)*T1359+Summary!$B$11*V1359</f>
        <v/>
      </c>
      <c r="P1359">
        <f>IF(B1391=0,0,O1359/B1391)</f>
        <v/>
      </c>
      <c r="Q1359">
        <f>IFERROR(1/IF(Inputs!$B$39="pvp",15,MAX(0.1,Skills!D14-IF(TRUE=TRUE,Inputs!$B$32,0))),0)</f>
        <v/>
      </c>
      <c r="R1359">
        <f>IF(AND(Inputs!$B$39&lt;&gt;"pvp",Inputs!$B$44&gt;0),IF(MAX(0,Inputs!$B$44-B1390)&lt;=0,0,(INT(MAX(0,Inputs!$B$44-B1390)/IF(Inputs!$B$39="pvp",15,MAX(0.1,Skills!D14-IF(TRUE=TRUE,Inputs!$B$32,0))))+1)),0)</f>
        <v/>
      </c>
      <c r="S1359">
        <f>IFERROR(O1359/N1359,0)</f>
        <v/>
      </c>
      <c r="T1359">
        <f>IF(C1359,(H1359*N1359*IF(AND(Inputs!$B$39&lt;&gt;"pvp",Inputs!$B$44&gt;0),((Skills!G14*((R1359-1)*IF(Skills!H14&gt;0,Skills!I14/Skills!H14,1)+IF(Skills!H14&gt;0,MIN(Skills!I14,MAX(0,MAX(0,Inputs!$B$44-B1390)-((R1359-1)*IF(Inputs!$B$39="pvp",15,MAX(0.1,Skills!D14-IF(TRUE=TRUE,Inputs!$B$32,0))))))/Skills!H14,1)))/Inputs!$B$44),G1359*Q1359))*IF(Inputs!$B$39="pvp",1,1+(Inputs!$B$20+0+Skills!P14+B1380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Hunt"),CHOOSE(ArtifactsInput!$N$35+1,15,18,21,24,27,30)*(1-EXP(-(0.2*B1383)*5)),0)+IF(AND(ArtifactsInput!$M$22,Inputs!$B$4&lt;&gt;"Chapter Hunt"),CHOOSE(ArtifactsInput!$N$22+1,10,12,14,16,18,20)*((0*(((0.15*B1383*5))^0/1)+1*(((0.15*B1383*5))^1/1)+2*(((0.15*B1383*5))^2/2)+3*(((0.15*B1383*5))^3/6)+4*(((0.15*B1383*5))^4/24)+5*(((0.15*B1383*5))^5/120))/((((0.15*B1383*5))^0/1)+(((0.15*B1383*5))^1/1)+(((0.15*B1383*5))^2/2)+(((0.15*B1383*5))^3/6)+(((0.15*B1383*5))^4/24)+(((0.15*B1383*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1359*(1-MIN(100,(Inputs!$B$9+((C1371=TRUE)*(F1371-Calc!F26))+B1379+(ArtifactsInput!$M$24-ArtifactsInput!$M$24)*CHOOSE(ArtifactsInput!$N$24+1,10,12,14,16,18,20)+(IF(AND(Inputs!$B$39&lt;&gt;"pvp",Inputs!$B$44=0),1,IF(IF(Inputs!$B$39="pvp",15,Inputs!$B$44)-(B1390)&lt;=0,1,MAX(0,IF(Inputs!$B$39="pvp",15,Inputs!$B$44)-MAX(5,B1390))/(IF(Inputs!$B$39="pvp",15,Inputs!$B$44)-(B1390))))*IF(AND(ArtifactsInput!$M$42,((Inputs!$B$9+((C1371=TRUE)*(F1371-Calc!F26))+B1379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1359*(MIN(100,(Inputs!$B$9+((C1371=TRUE)*(F1371-Calc!F26))+B1379+(ArtifactsInput!$M$24-ArtifactsInput!$M$24)*CHOOSE(ArtifactsInput!$N$24+1,10,12,14,16,18,20)+(IF(AND(Inputs!$B$39&lt;&gt;"pvp",Inputs!$B$44=0),1,IF(IF(Inputs!$B$39="pvp",15,Inputs!$B$44)-(B1390)&lt;=0,1,MAX(0,IF(Inputs!$B$39="pvp",15,Inputs!$B$44)-MAX(5,B1390))/(IF(Inputs!$B$39="pvp",15,Inputs!$B$44)-(B1390))))*IF(AND(ArtifactsInput!$M$42,((Inputs!$B$9+((C1371=TRUE)*(F1371-Calc!F26))+B1379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1359*(1-MIN(100,(Inputs!$B$9+((C1371=TRUE)*(F1371-Calc!F26))+B1379+(ArtifactsInput!$M$24-ArtifactsInput!$M$24)*CHOOSE(ArtifactsInput!$N$24+1,10,12,14,16,18,20)+(IF(AND(Inputs!$B$39&lt;&gt;"pvp",Inputs!$B$44=0),1,IF(IF(Inputs!$B$39="pvp",15,Inputs!$B$44)-(B1390)&lt;=0,1,MAX(0,IF(Inputs!$B$39="pvp",15,Inputs!$B$44)-MAX(5,B1390))/(IF(Inputs!$B$39="pvp",15,Inputs!$B$44)-(B1390))))*IF(AND(ArtifactsInput!$M$42,((Inputs!$B$9+((C1371=TRUE)*(F1371-Calc!F26))+B1379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1359*(MIN(100,(Inputs!$B$9+((C1371=TRUE)*(F1371-Calc!F26))+B1379+(ArtifactsInput!$M$24-ArtifactsInput!$M$24)*CHOOSE(ArtifactsInput!$N$24+1,10,12,14,16,18,20)+(IF(AND(Inputs!$B$39&lt;&gt;"pvp",Inputs!$B$44=0),1,IF(IF(Inputs!$B$39="pvp",15,Inputs!$B$44)-(B1390)&lt;=0,1,MAX(0,IF(Inputs!$B$39="pvp",15,Inputs!$B$44)-MAX(5,B1390))/(IF(Inputs!$B$39="pvp",15,Inputs!$B$44)-(B1390))))*IF(AND(ArtifactsInput!$M$42,((Inputs!$B$9+((C1371=TRUE)*(F1371-Calc!F26))+B1379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1359">
        <f>IF(C1359,(H1359*N1359*IF(AND(Inputs!$B$39&lt;&gt;"pvp",Inputs!$B$44&gt;0),((Skills!G14*((R1359-1)*IF(Skills!H14&gt;0,Skills!I14/Skills!H14,1)+IF(Skills!H14&gt;0,MIN(Skills!I14,MAX(0,MAX(0,Inputs!$B$44-B1390)-((R1359-1)*IF(Inputs!$B$39="pvp",15,MAX(0.1,Skills!D14-IF(TRUE=TRUE,Inputs!$B$32,0))))))/Skills!H14,1)))/Inputs!$B$44),G1359*Q1359))*IF(Inputs!$B$39="pvp",1,(1+(Inputs!$B$21+Skills!Q14+B1380+(IF(ArtifactsInput!$M$33,CHOOSE(ArtifactsInput!$N$33+1,30,36,42,48,54,60),0))+(IF(AND(ArtifactsInput!$M$35,Inputs!$B$4&lt;&gt;"Chapter Hunt"),CHOOSE(ArtifactsInput!$N$35+1,15,18,21,24,27,30)*(1-EXP(-(0.2*B1383)*5)),0)+IF(AND(ArtifactsInput!$M$22,Inputs!$B$4&lt;&gt;"Chapter Hunt"),CHOOSE(ArtifactsInput!$N$22+1,10,12,14,16,18,20)*((0*(((0.15*B1383*5))^0/1)+1*(((0.15*B1383*5))^1/1)+2*(((0.15*B1383*5))^2/2)+3*(((0.15*B1383*5))^3/6)+4*(((0.15*B1383*5))^4/24)+5*(((0.15*B1383*5))^5/120))/((((0.15*B1383*5))^0/1)+(((0.15*B1383*5))^1/1)+(((0.15*B1383*5))^2/2)+(((0.15*B1383*5))^3/6)+(((0.15*B1383*5))^4/24)+(((0.15*B1383*5))^5/120))),0)))/100)*(MIN(Skills!W14,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360">
      <c r="A1360">
        <f>Skills!A15</f>
        <v/>
      </c>
      <c r="B1360">
        <f>Skills!B15</f>
        <v/>
      </c>
      <c r="C1360">
        <f>Inputs!$B$3&gt;=107</f>
        <v/>
      </c>
      <c r="D1360">
        <f>IF(Skills!C15=1,60+Inputs!$B$25+Inputs!$B$29,IF(Skills!C15=2,90+Inputs!$B$26+Inputs!$B$29,IF(Skills!C15=3,120+Inputs!$B$27+Inputs!$B$29,MAX(0,(Inputs!$B$3-100)*3)+Inputs!$B$28+Inputs!$B$29)))</f>
        <v/>
      </c>
      <c r="E1360">
        <f>INDEX(FactorTable!$B$2:$Y$301, MATCH(ROUND(MIN(300,MAX(1,D1360)),0), FactorTable!$A$2:$A$301,0), Skills!M15+1)</f>
        <v/>
      </c>
      <c r="F1360">
        <f>IF(Skills!N15=TRUE,(Skills!L15/10)*(E1360/1000),Skills!L15/10)+Skills!O15</f>
        <v/>
      </c>
      <c r="G1360">
        <f>Skills!G15*IF(Skills!H15&gt;0,IF(Inputs!$B$39="pvp",MIN(Skills!I15,15),Skills!I15)/Skills!H15,1)</f>
        <v/>
      </c>
      <c r="H1360">
        <f>1-(1-Skills!J15/100)^Skills!K15</f>
        <v/>
      </c>
      <c r="I1360" t="inlineStr">
        <is>
          <t>1</t>
        </is>
      </c>
      <c r="J1360">
        <f>((Inputs!$B$6*(1+Inputs!$B$7/100))+(((Inputs!$B$12*(1+Inputs!$B$13/100))-(Inputs!$B$12*(1+Inputs!$B$13/100)))+0.25*(Inputs!$B$14-Inputs!$B$14))*(1+Inputs!$B$7/100))*(F1360/100)</f>
        <v/>
      </c>
      <c r="K1360">
        <f>J1360*(1+((Inputs!$B$12*(1+Inputs!$B$13/100))*0.01+Inputs!$B$14*0.0025)/100)*(1+Inputs!$B$15/100)*(1+Inputs!$B$16/100)*(5000/(6000+Inputs!$B$43*(1-(100*(1-(1-Inputs!$B$19/100)*(1-CHOOSE(ArtifactsInput!$N$40+1,5,6,7,8,9,10)/100)^(ArtifactsInput!$M$40-ArtifactsInput!$M$40)))/100)))*(1+(Inputs!$B$24+((C1376=TRUE)*(F1376-Calc!F31))+((C1363=TRUE)*(F1363-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15="CRUEL_STAB",Inputs!$B$17+((C1373=TRUE)*(F1373-Calc!F28))+((IF(AND(Inputs!$B$39&lt;&gt;"pvp",Inputs!$B$44=0),1,IF(IF(Inputs!$B$39="pvp",15,Inputs!$B$44)-(B1390)&lt;=0,1,MAX(0,IF(Inputs!$B$39="pvp",15,Inputs!$B$44)-MAX(5,B1390))/(IF(Inputs!$B$39="pvp",15,Inputs!$B$44)-(B1390))))*(IF(AND(ArtifactsInput!$M$42,((Inputs!$B$9+((C1371=TRUE)*(F1371-Calc!F26))+B1379+(ArtifactsInput!$M$24-ArtifactsInput!$M$24)*CHOOSE(ArtifactsInput!$N$24+1,10,12,14,16,18,20)+IF(ArtifactsInput!$M$10,CHOOSE(ArtifactsInput!$N$10+1,15,18,21,24,27,30)*(IF(Inputs!$B$39="pvp",MIN(15,15)/15,IF(AND(Inputs!$B$39&lt;&gt;"pvp",Inputs!$B$44&gt;0),MIN(15,Inputs!$B$44)/(Inputs!$B$44),0))),0)))&gt;=100),MIN(100,((Inputs!$B$9+((C1371=TRUE)*(F1371-Calc!F26))+B1379+(ArtifactsInput!$M$24-ArtifactsInput!$M$24)*CHOOSE(ArtifactsInput!$N$24+1,10,12,14,16,18,20)+IF(ArtifactsInput!$M$10,CHOOSE(ArtifactsInput!$N$10+1,15,18,21,24,27,30)*(IF(Inputs!$B$39="pvp",MIN(15,15)/15,IF(AND(Inputs!$B$39&lt;&gt;"pvp",Inputs!$B$44&gt;0),MIN(15,Inputs!$B$44)/(Inputs!$B$44),0))),0)))-100),0))*CHOOSE(ArtifactsInput!$N$42+1,0.6,0.72,0.84,0.96,1.08,1.2))),Inputs!$B$18+((C1374=TRUE)*(F1374-Calc!F29))+(IF(AND(Inputs!$B$39&lt;&gt;"pvp",Inputs!$B$44=0),1,IF(IF(Inputs!$B$39="pvp",15,Inputs!$B$44)-(B1390)&lt;=0,1,MAX(0,IF(Inputs!$B$39="pvp",15,Inputs!$B$44)-MAX(5,B1390))/(IF(Inputs!$B$39="pvp",15,Inputs!$B$44)-(B1390))))*IF(AND(ArtifactsInput!$M$42,((Inputs!$B$9+((C1371=TRUE)*(F1371-Calc!F26))+B1379+(ArtifactsInput!$M$24-ArtifactsInput!$M$24)*CHOOSE(ArtifactsInput!$N$24+1,10,12,14,16,18,20)+IF(ArtifactsInput!$M$10,CHOOSE(ArtifactsInput!$N$10+1,15,18,21,24,27,30)*(IF(Inputs!$B$39="pvp",MIN(15,15)/15,IF(AND(Inputs!$B$39&lt;&gt;"pvp",Inputs!$B$44&gt;0),MIN(15,Inputs!$B$44)/(Inputs!$B$44),0))),0)))&gt;=100),CHOOSE(ArtifactsInput!$N$42+1,40,48,56,64,72,80),0))))/100)*(((1+(((C1367=TRUE)*F1367*IF(AND(Inputs!$B$39&lt;&gt;"pvp",Inputs!$B$44&gt;0),(((R1367-1)*MIN((Skills!Y22*(1+(Inputs!$B$34+1)/100)),(1/Q1367))+MIN((Skills!Y22*(1+(Inputs!$B$34+1)/100)),MAX(0,Inputs!$B$44-((R1367-1)*(1/Q1367)))))/Inputs!$B$44),IF(Inputs!$B$39="pvp",MIN((Skills!Y22*(1+(Inputs!$B$34+1)/100)),15)/15,MIN(1,(Skills!Y22*(1+(Inputs!$B$34+1)/100))/(1/Q1367)))))+((C1348=TRUE)*F1348*3)+((C1350=TRUE)*F1350*(1-EXP(-0.75*B1383*5)))+((C1369=TRUE)*(F1369-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1356=TRUE)*F1356*IF(AND(Inputs!$B$39&lt;&gt;"pvp",Inputs!$B$44&gt;0),(((R1356-1)*MIN((Skills!Y11*(1+(Inputs!$B$34+1)/100)),(1/Q1356))+MIN((Skills!Y11*(1+(Inputs!$B$34+1)/100)),MAX(0,Inputs!$B$44-((R1356-1)*(1/Q1356)))))/Inputs!$B$44),IF(Inputs!$B$39="pvp",MIN((Skills!Y11*(1+(Inputs!$B$34+1)/100)),15)/15,MIN(1,(Skills!Y11*(1+(Inputs!$B$34+1)/100))/(1/Q1356)))))/100)*(1+((C1361=TRUE)*F1361*IF(AND(Inputs!$B$39&lt;&gt;"pvp",Inputs!$B$44&gt;0),(((R1361-1)*MIN((Skills!Y16*(1+(Inputs!$B$34+1)/100)),(1/Q1361))+MIN((Skills!Y16*(1+(Inputs!$B$34+1)/100)),MAX(0,Inputs!$B$44-((R1361-1)*(1/Q1361)))))/Inputs!$B$44),IF(Inputs!$B$39="pvp",MIN((Skills!Y16*(1+(Inputs!$B$34+1)/100)),15)/15,MIN(1,(Skills!Y16*(1+(Inputs!$B$34+1)/100))/(1/Q1361)))))/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1381*I1360)</f>
        <v/>
      </c>
      <c r="L1360">
        <f>K1360*(MIN(Inputs!$B$22+((C1370=TRUE)*(F1370-Calc!F25)),(Inputs!$B$23+((C1375=TRUE)*(F1375-Calc!F30))+IF(ArtifactsInput!$M$15,CHOOSE(ArtifactsInput!$N$15+1,25,30,35,40,45,50)/100*(Inputs!$B$11-Inputs!$B$11),0)))/100+(Inputs!$B$23+((C1375=TRUE)*(F1375-Calc!F30))+IF(ArtifactsInput!$M$15,CHOOSE(ArtifactsInput!$N$15+1,25,30,35,40,45,50)/100*(Inputs!$B$11-Inputs!$B$11),0))/100)/2</f>
        <v/>
      </c>
      <c r="M1360">
        <f>L1360*(1+(Inputs!$B$10+((C1372=TRUE)*(F1372-Calc!F27))+B1386+(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1360">
        <f>L1360*(1-MIN((Inputs!$B$9+((C1371=TRUE)*(F1371-Calc!F26))+B1379+(ArtifactsInput!$M$24-ArtifactsInput!$M$24)*CHOOSE(ArtifactsInput!$N$24+1,10,12,14,16,18,20)+(IF(AND(Inputs!$B$39&lt;&gt;"pvp",Inputs!$B$44=0),1,IF(IF(Inputs!$B$39="pvp",15,Inputs!$B$44)-(B1390)&lt;=0,1,MAX(0,IF(Inputs!$B$39="pvp",15,Inputs!$B$44)-MAX(5,B1390))/(IF(Inputs!$B$39="pvp",15,Inputs!$B$44)-(B1390))))*IF(AND(ArtifactsInput!$M$42,((Inputs!$B$9+((C1371=TRUE)*(F1371-Calc!F26))+B1379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1360*(MIN((Inputs!$B$9+((C1371=TRUE)*(F1371-Calc!F26))+B1379+(ArtifactsInput!$M$24-ArtifactsInput!$M$24)*CHOOSE(ArtifactsInput!$N$24+1,10,12,14,16,18,20)+(IF(AND(Inputs!$B$39&lt;&gt;"pvp",Inputs!$B$44=0),1,IF(IF(Inputs!$B$39="pvp",15,Inputs!$B$44)-(B1390)&lt;=0,1,MAX(0,IF(Inputs!$B$39="pvp",15,Inputs!$B$44)-MAX(5,B1390))/(IF(Inputs!$B$39="pvp",15,Inputs!$B$44)-(B1390))))*IF(AND(ArtifactsInput!$M$42,((Inputs!$B$9+((C1371=TRUE)*(F1371-Calc!F26))+B1379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360">
        <f>(1-Summary!$B$11)*T1360+Summary!$B$11*V1360</f>
        <v/>
      </c>
      <c r="P1360">
        <f>IF(B1391=0,0,O1360/B1391)</f>
        <v/>
      </c>
      <c r="Q1360">
        <f>IFERROR(1/IF(Inputs!$B$39="pvp",15,MAX(0.1,Skills!D15-IF(TRUE=TRUE,Inputs!$B$32,0))),0)</f>
        <v/>
      </c>
      <c r="R1360">
        <f>IF(AND(Inputs!$B$39&lt;&gt;"pvp",Inputs!$B$44&gt;0),IF(MAX(0,Inputs!$B$44-B1390)&lt;=0,0,(INT(MAX(0,Inputs!$B$44-B1390)/IF(Inputs!$B$39="pvp",15,MAX(0.1,Skills!D15-IF(TRUE=TRUE,Inputs!$B$32,0))))+1)),0)</f>
        <v/>
      </c>
      <c r="S1360">
        <f>IFERROR(O1360/N1360,0)</f>
        <v/>
      </c>
      <c r="T1360">
        <f>IF(C1360,(H1360*N1360*IF(AND(Inputs!$B$39&lt;&gt;"pvp",Inputs!$B$44&gt;0),((Skills!G15*((R1360-1)*IF(Skills!H15&gt;0,Skills!I15/Skills!H15,1)+IF(Skills!H15&gt;0,MIN(Skills!I15,MAX(0,MAX(0,Inputs!$B$44-B1390)-((R1360-1)*IF(Inputs!$B$39="pvp",15,MAX(0.1,Skills!D15-IF(TRUE=TRUE,Inputs!$B$32,0))))))/Skills!H15,1)))/Inputs!$B$44),G1360*Q1360))*IF(Inputs!$B$39="pvp",1,1+(Inputs!$B$20+0+Skills!P15+B1380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Hunt"),CHOOSE(ArtifactsInput!$N$35+1,15,18,21,24,27,30)*(1-EXP(-(0.2*B1383)*5)),0)+IF(AND(ArtifactsInput!$M$22,Inputs!$B$4&lt;&gt;"Chapter Hunt"),CHOOSE(ArtifactsInput!$N$22+1,10,12,14,16,18,20)*((0*(((0.15*B1383*5))^0/1)+1*(((0.15*B1383*5))^1/1)+2*(((0.15*B1383*5))^2/2)+3*(((0.15*B1383*5))^3/6)+4*(((0.15*B1383*5))^4/24)+5*(((0.15*B1383*5))^5/120))/((((0.15*B1383*5))^0/1)+(((0.15*B1383*5))^1/1)+(((0.15*B1383*5))^2/2)+(((0.15*B1383*5))^3/6)+(((0.15*B1383*5))^4/24)+(((0.15*B1383*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1360*(1-MIN(100,(Inputs!$B$9+((C1371=TRUE)*(F1371-Calc!F26))+B1379+(ArtifactsInput!$M$24-ArtifactsInput!$M$24)*CHOOSE(ArtifactsInput!$N$24+1,10,12,14,16,18,20)+(IF(AND(Inputs!$B$39&lt;&gt;"pvp",Inputs!$B$44=0),1,IF(IF(Inputs!$B$39="pvp",15,Inputs!$B$44)-(B1390)&lt;=0,1,MAX(0,IF(Inputs!$B$39="pvp",15,Inputs!$B$44)-MAX(5,B1390))/(IF(Inputs!$B$39="pvp",15,Inputs!$B$44)-(B1390))))*IF(AND(ArtifactsInput!$M$42,((Inputs!$B$9+((C1371=TRUE)*(F1371-Calc!F26))+B1379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1360*(MIN(100,(Inputs!$B$9+((C1371=TRUE)*(F1371-Calc!F26))+B1379+(ArtifactsInput!$M$24-ArtifactsInput!$M$24)*CHOOSE(ArtifactsInput!$N$24+1,10,12,14,16,18,20)+(IF(AND(Inputs!$B$39&lt;&gt;"pvp",Inputs!$B$44=0),1,IF(IF(Inputs!$B$39="pvp",15,Inputs!$B$44)-(B1390)&lt;=0,1,MAX(0,IF(Inputs!$B$39="pvp",15,Inputs!$B$44)-MAX(5,B1390))/(IF(Inputs!$B$39="pvp",15,Inputs!$B$44)-(B1390))))*IF(AND(ArtifactsInput!$M$42,((Inputs!$B$9+((C1371=TRUE)*(F1371-Calc!F26))+B1379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1360*(1-MIN(100,(Inputs!$B$9+((C1371=TRUE)*(F1371-Calc!F26))+B1379+(ArtifactsInput!$M$24-ArtifactsInput!$M$24)*CHOOSE(ArtifactsInput!$N$24+1,10,12,14,16,18,20)+(IF(AND(Inputs!$B$39&lt;&gt;"pvp",Inputs!$B$44=0),1,IF(IF(Inputs!$B$39="pvp",15,Inputs!$B$44)-(B1390)&lt;=0,1,MAX(0,IF(Inputs!$B$39="pvp",15,Inputs!$B$44)-MAX(5,B1390))/(IF(Inputs!$B$39="pvp",15,Inputs!$B$44)-(B1390))))*IF(AND(ArtifactsInput!$M$42,((Inputs!$B$9+((C1371=TRUE)*(F1371-Calc!F26))+B1379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1360*(MIN(100,(Inputs!$B$9+((C1371=TRUE)*(F1371-Calc!F26))+B1379+(ArtifactsInput!$M$24-ArtifactsInput!$M$24)*CHOOSE(ArtifactsInput!$N$24+1,10,12,14,16,18,20)+(IF(AND(Inputs!$B$39&lt;&gt;"pvp",Inputs!$B$44=0),1,IF(IF(Inputs!$B$39="pvp",15,Inputs!$B$44)-(B1390)&lt;=0,1,MAX(0,IF(Inputs!$B$39="pvp",15,Inputs!$B$44)-MAX(5,B1390))/(IF(Inputs!$B$39="pvp",15,Inputs!$B$44)-(B1390))))*IF(AND(ArtifactsInput!$M$42,((Inputs!$B$9+((C1371=TRUE)*(F1371-Calc!F26))+B1379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1360">
        <f>IF(C1360,(H1360*N1360*IF(AND(Inputs!$B$39&lt;&gt;"pvp",Inputs!$B$44&gt;0),((Skills!G15*((R1360-1)*IF(Skills!H15&gt;0,Skills!I15/Skills!H15,1)+IF(Skills!H15&gt;0,MIN(Skills!I15,MAX(0,MAX(0,Inputs!$B$44-B1390)-((R1360-1)*IF(Inputs!$B$39="pvp",15,MAX(0.1,Skills!D15-IF(TRUE=TRUE,Inputs!$B$32,0))))))/Skills!H15,1)))/Inputs!$B$44),G1360*Q1360))*IF(Inputs!$B$39="pvp",1,(1+(Inputs!$B$21+Skills!Q15+B1380+(IF(ArtifactsInput!$M$33,CHOOSE(ArtifactsInput!$N$33+1,30,36,42,48,54,60),0))+(IF(AND(ArtifactsInput!$M$35,Inputs!$B$4&lt;&gt;"Chapter Hunt"),CHOOSE(ArtifactsInput!$N$35+1,15,18,21,24,27,30)*(1-EXP(-(0.2*B1383)*5)),0)+IF(AND(ArtifactsInput!$M$22,Inputs!$B$4&lt;&gt;"Chapter Hunt"),CHOOSE(ArtifactsInput!$N$22+1,10,12,14,16,18,20)*((0*(((0.15*B1383*5))^0/1)+1*(((0.15*B1383*5))^1/1)+2*(((0.15*B1383*5))^2/2)+3*(((0.15*B1383*5))^3/6)+4*(((0.15*B1383*5))^4/24)+5*(((0.15*B1383*5))^5/120))/((((0.15*B1383*5))^0/1)+(((0.15*B1383*5))^1/1)+(((0.15*B1383*5))^2/2)+(((0.15*B1383*5))^3/6)+(((0.15*B1383*5))^4/24)+(((0.15*B1383*5))^5/120))),0)))/100)*(MIN(MIN(5,0.5*IF(Inputs!$B$3&gt;=75,0.75,0.5)*B1383*(1/Q1349))*Skills!V15,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361">
      <c r="A1361">
        <f>Skills!A16</f>
        <v/>
      </c>
      <c r="B1361">
        <f>Skills!B16</f>
        <v/>
      </c>
      <c r="C1361">
        <f>Inputs!$B$3&gt;=110</f>
        <v/>
      </c>
      <c r="D1361">
        <f>IF(Skills!C16=1,60+Inputs!$B$25+Inputs!$B$29,IF(Skills!C16=2,90+Inputs!$B$26+Inputs!$B$29,IF(Skills!C16=3,120+Inputs!$B$27+Inputs!$B$29,MAX(0,(Inputs!$B$3-100)*3)+Inputs!$B$28+Inputs!$B$29)))</f>
        <v/>
      </c>
      <c r="E1361">
        <f>INDEX(FactorTable!$B$2:$Y$301, MATCH(ROUND(MIN(300,MAX(1,D1361)),0), FactorTable!$A$2:$A$301,0), Skills!M16+1)</f>
        <v/>
      </c>
      <c r="F1361">
        <f>IF(Skills!N16=TRUE,(Skills!L16/10)*(E1361/1000),Skills!L16/10)+Skills!O16</f>
        <v/>
      </c>
      <c r="G1361">
        <f>Skills!G16*IF(Skills!H16&gt;0,IF(Inputs!$B$39="pvp",MIN(Skills!I16,15),Skills!I16)/Skills!H16,1)</f>
        <v/>
      </c>
      <c r="H1361">
        <f>1-(1-Skills!J16/100)^Skills!K16</f>
        <v/>
      </c>
      <c r="I1361" t="inlineStr">
        <is>
          <t>1</t>
        </is>
      </c>
      <c r="J1361" t="inlineStr"/>
      <c r="K1361" t="inlineStr"/>
      <c r="L1361" t="inlineStr"/>
      <c r="M1361" t="inlineStr"/>
      <c r="N1361" t="inlineStr"/>
      <c r="O1361">
        <f>(1-Summary!$B$11)*T1361+Summary!$B$11*V1361</f>
        <v/>
      </c>
      <c r="P1361">
        <f>IF(B1391=0,0,O1361/B1391)</f>
        <v/>
      </c>
      <c r="Q1361">
        <f>IFERROR(1/IF(Inputs!$B$39="pvp",15,MAX(0.1,Skills!D16-IF(TRUE=TRUE,Inputs!$B$32,0))),0)</f>
        <v/>
      </c>
      <c r="R1361">
        <f>IF(AND(Inputs!$B$39&lt;&gt;"pvp",Inputs!$B$44&gt;0),IF(Inputs!$B$44&lt;=0,0,(INT(Inputs!$B$44/IF(Inputs!$B$39="pvp",15,MAX(0.1,Skills!D16-IF(TRUE=TRUE,Inputs!$B$32,0))))+1)),0)</f>
        <v/>
      </c>
      <c r="S1361">
        <f>IFERROR(O1361/N1361,0)</f>
        <v/>
      </c>
      <c r="T1361" t="n">
        <v>0</v>
      </c>
      <c r="V1361" t="n">
        <v>0</v>
      </c>
    </row>
    <row r="1362">
      <c r="A1362">
        <f>Skills!A17</f>
        <v/>
      </c>
      <c r="B1362">
        <f>Skills!B17</f>
        <v/>
      </c>
      <c r="C1362">
        <f>Inputs!$B$3&gt;=115</f>
        <v/>
      </c>
      <c r="D1362">
        <f>IF(Skills!C17=1,60+Inputs!$B$25+Inputs!$B$29,IF(Skills!C17=2,90+Inputs!$B$26+Inputs!$B$29,IF(Skills!C17=3,120+Inputs!$B$27+Inputs!$B$29,MAX(0,(Inputs!$B$3-100)*3)+Inputs!$B$28+Inputs!$B$29)))</f>
        <v/>
      </c>
      <c r="E1362">
        <f>INDEX(FactorTable!$B$2:$Y$301, MATCH(ROUND(MIN(300,MAX(1,D1362)),0), FactorTable!$A$2:$A$301,0), Skills!M17+1)</f>
        <v/>
      </c>
      <c r="F1362">
        <f>IF(Skills!N17=TRUE,(Skills!L17/10)*(E1362/1000),Skills!L17/10)+Skills!O17</f>
        <v/>
      </c>
      <c r="G1362">
        <f>Skills!G17*IF(Skills!H17&gt;0,IF(Inputs!$B$39="pvp",MIN(Skills!I17,15),Skills!I17)/Skills!H17,1)</f>
        <v/>
      </c>
      <c r="H1362">
        <f>1-(1-Skills!J17/100)^Skills!K17</f>
        <v/>
      </c>
      <c r="I1362" t="inlineStr">
        <is>
          <t>1</t>
        </is>
      </c>
      <c r="J1362">
        <f>((Inputs!$B$6*(1+Inputs!$B$7/100))+(((Inputs!$B$12*(1+Inputs!$B$13/100))-(Inputs!$B$12*(1+Inputs!$B$13/100)))+0.25*(Inputs!$B$14-Inputs!$B$14))*(1+Inputs!$B$7/100))*(F1362/100)</f>
        <v/>
      </c>
      <c r="K1362">
        <f>J1362*(1+((Inputs!$B$12*(1+Inputs!$B$13/100))*0.01+Inputs!$B$14*0.0025)/100)*(1+Inputs!$B$15/100)*(1+Inputs!$B$16/100)*(5000/(6000+Inputs!$B$43*(1-(100*(1-(1-Inputs!$B$19/100)*(1-CHOOSE(ArtifactsInput!$N$40+1,5,6,7,8,9,10)/100)^(ArtifactsInput!$M$40-ArtifactsInput!$M$40)))/100)))*(1+(Inputs!$B$24+((C1376=TRUE)*(F1376-Calc!F31))+((C1363=TRUE)*(F1363-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17="CRUEL_STAB",Inputs!$B$17+((C1373=TRUE)*(F1373-Calc!F28))+((IF(AND(Inputs!$B$39&lt;&gt;"pvp",Inputs!$B$44=0),1,IF(IF(Inputs!$B$39="pvp",15,Inputs!$B$44)-(B1390)&lt;=0,1,MAX(0,IF(Inputs!$B$39="pvp",15,Inputs!$B$44)-MAX(5,B1390))/(IF(Inputs!$B$39="pvp",15,Inputs!$B$44)-(B1390))))*(IF(AND(ArtifactsInput!$M$42,((Inputs!$B$9+((C1371=TRUE)*(F1371-Calc!F26))+B1379+(ArtifactsInput!$M$24-ArtifactsInput!$M$24)*CHOOSE(ArtifactsInput!$N$24+1,10,12,14,16,18,20)+IF(ArtifactsInput!$M$10,CHOOSE(ArtifactsInput!$N$10+1,15,18,21,24,27,30)*(IF(Inputs!$B$39="pvp",MIN(15,15)/15,IF(AND(Inputs!$B$39&lt;&gt;"pvp",Inputs!$B$44&gt;0),MIN(15,Inputs!$B$44)/(Inputs!$B$44),0))),0)))&gt;=100),MIN(100,((Inputs!$B$9+((C1371=TRUE)*(F1371-Calc!F26))+B1379+(ArtifactsInput!$M$24-ArtifactsInput!$M$24)*CHOOSE(ArtifactsInput!$N$24+1,10,12,14,16,18,20)+IF(ArtifactsInput!$M$10,CHOOSE(ArtifactsInput!$N$10+1,15,18,21,24,27,30)*(IF(Inputs!$B$39="pvp",MIN(15,15)/15,IF(AND(Inputs!$B$39&lt;&gt;"pvp",Inputs!$B$44&gt;0),MIN(15,Inputs!$B$44)/(Inputs!$B$44),0))),0)))-100),0))*CHOOSE(ArtifactsInput!$N$42+1,0.6,0.72,0.84,0.96,1.08,1.2))),Inputs!$B$18+((C1374=TRUE)*(F1374-Calc!F29))+(IF(AND(Inputs!$B$39&lt;&gt;"pvp",Inputs!$B$44=0),1,IF(IF(Inputs!$B$39="pvp",15,Inputs!$B$44)-(B1390)&lt;=0,1,MAX(0,IF(Inputs!$B$39="pvp",15,Inputs!$B$44)-MAX(5,B1390))/(IF(Inputs!$B$39="pvp",15,Inputs!$B$44)-(B1390))))*IF(AND(ArtifactsInput!$M$42,((Inputs!$B$9+((C1371=TRUE)*(F1371-Calc!F26))+B1379+(ArtifactsInput!$M$24-ArtifactsInput!$M$24)*CHOOSE(ArtifactsInput!$N$24+1,10,12,14,16,18,20)+IF(ArtifactsInput!$M$10,CHOOSE(ArtifactsInput!$N$10+1,15,18,21,24,27,30)*(IF(Inputs!$B$39="pvp",MIN(15,15)/15,IF(AND(Inputs!$B$39&lt;&gt;"pvp",Inputs!$B$44&gt;0),MIN(15,Inputs!$B$44)/(Inputs!$B$44),0))),0)))&gt;=100),CHOOSE(ArtifactsInput!$N$42+1,40,48,56,64,72,80),0))))/100)*(((1+(((C1367=TRUE)*F1367*IF(AND(Inputs!$B$39&lt;&gt;"pvp",Inputs!$B$44&gt;0),(((R1367-1)*MIN((Skills!Y22*(1+(Inputs!$B$34+1)/100)),(1/Q1367))+MIN((Skills!Y22*(1+(Inputs!$B$34+1)/100)),MAX(0,Inputs!$B$44-((R1367-1)*(1/Q1367)))))/Inputs!$B$44),IF(Inputs!$B$39="pvp",MIN((Skills!Y22*(1+(Inputs!$B$34+1)/100)),15)/15,MIN(1,(Skills!Y22*(1+(Inputs!$B$34+1)/100))/(1/Q1367)))))+((C1348=TRUE)*F1348*3)+((C1350=TRUE)*F1350*(1-EXP(-0.75*B1383*5)))+((C1369=TRUE)*(F1369-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1356=TRUE)*F1356*IF(AND(Inputs!$B$39&lt;&gt;"pvp",Inputs!$B$44&gt;0),(((R1356-1)*MIN((Skills!Y11*(1+(Inputs!$B$34+1)/100)),(1/Q1356))+MIN((Skills!Y11*(1+(Inputs!$B$34+1)/100)),MAX(0,Inputs!$B$44-((R1356-1)*(1/Q1356)))))/Inputs!$B$44),IF(Inputs!$B$39="pvp",MIN((Skills!Y11*(1+(Inputs!$B$34+1)/100)),15)/15,MIN(1,(Skills!Y11*(1+(Inputs!$B$34+1)/100))/(1/Q1356)))))/100)*(1+((C1361=TRUE)*F1361*IF(AND(Inputs!$B$39&lt;&gt;"pvp",Inputs!$B$44&gt;0),(((R1361-1)*MIN((Skills!Y16*(1+(Inputs!$B$34+1)/100)),(1/Q1361))+MIN((Skills!Y16*(1+(Inputs!$B$34+1)/100)),MAX(0,Inputs!$B$44-((R1361-1)*(1/Q1361)))))/Inputs!$B$44),IF(Inputs!$B$39="pvp",MIN((Skills!Y16*(1+(Inputs!$B$34+1)/100)),15)/15,MIN(1,(Skills!Y16*(1+(Inputs!$B$34+1)/100))/(1/Q1361)))))/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1381*I1362)</f>
        <v/>
      </c>
      <c r="L1362">
        <f>K1362*(MIN(Inputs!$B$22+((C1370=TRUE)*(F1370-Calc!F25)),(Inputs!$B$23+((C1375=TRUE)*(F1375-Calc!F30))+IF(ArtifactsInput!$M$15,CHOOSE(ArtifactsInput!$N$15+1,25,30,35,40,45,50)/100*(Inputs!$B$11-Inputs!$B$11),0)))/100+(Inputs!$B$23+((C1375=TRUE)*(F1375-Calc!F30))+IF(ArtifactsInput!$M$15,CHOOSE(ArtifactsInput!$N$15+1,25,30,35,40,45,50)/100*(Inputs!$B$11-Inputs!$B$11),0))/100)/2</f>
        <v/>
      </c>
      <c r="M1362">
        <f>L1362*(1+(Inputs!$B$10+((C1372=TRUE)*(F1372-Calc!F27))+B1386+(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1362">
        <f>L1362*(1-MIN((Inputs!$B$9+((C1371=TRUE)*(F1371-Calc!F26))+B1379+(ArtifactsInput!$M$24-ArtifactsInput!$M$24)*CHOOSE(ArtifactsInput!$N$24+1,10,12,14,16,18,20)+(IF(AND(Inputs!$B$39&lt;&gt;"pvp",Inputs!$B$44=0),1,IF(IF(Inputs!$B$39="pvp",15,Inputs!$B$44)-(B1390)&lt;=0,1,MAX(0,IF(Inputs!$B$39="pvp",15,Inputs!$B$44)-MAX(5,B1390))/(IF(Inputs!$B$39="pvp",15,Inputs!$B$44)-(B1390))))*IF(AND(ArtifactsInput!$M$42,((Inputs!$B$9+((C1371=TRUE)*(F1371-Calc!F26))+B1379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1362*(MIN((Inputs!$B$9+((C1371=TRUE)*(F1371-Calc!F26))+B1379+(ArtifactsInput!$M$24-ArtifactsInput!$M$24)*CHOOSE(ArtifactsInput!$N$24+1,10,12,14,16,18,20)+(IF(AND(Inputs!$B$39&lt;&gt;"pvp",Inputs!$B$44=0),1,IF(IF(Inputs!$B$39="pvp",15,Inputs!$B$44)-(B1390)&lt;=0,1,MAX(0,IF(Inputs!$B$39="pvp",15,Inputs!$B$44)-MAX(5,B1390))/(IF(Inputs!$B$39="pvp",15,Inputs!$B$44)-(B1390))))*IF(AND(ArtifactsInput!$M$42,((Inputs!$B$9+((C1371=TRUE)*(F1371-Calc!F26))+B1379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362">
        <f>(1-Summary!$B$11)*T1362+Summary!$B$11*V1362</f>
        <v/>
      </c>
      <c r="P1362">
        <f>IF(B1391=0,0,O1362/B1391)</f>
        <v/>
      </c>
      <c r="Q1362" t="n">
        <v>0</v>
      </c>
      <c r="R1362" t="n">
        <v>0</v>
      </c>
      <c r="S1362">
        <f>IFERROR(O1362/N1362,0)</f>
        <v/>
      </c>
      <c r="T1362">
        <f>IF(C1362,(Inputs!$B$38*0.2*N1362)*IF(Inputs!$B$39="pvp",1,1+(Inputs!$B$20+0+Skills!P17+B1380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Hunt"),CHOOSE(ArtifactsInput!$N$35+1,15,18,21,24,27,30)*(1-EXP(-(0.2*B1383)*5)),0)+IF(AND(ArtifactsInput!$M$22,Inputs!$B$4&lt;&gt;"Chapter Hunt"),CHOOSE(ArtifactsInput!$N$22+1,10,12,14,16,18,20)*((0*(((0.15*B1383*5))^0/1)+1*(((0.15*B1383*5))^1/1)+2*(((0.15*B1383*5))^2/2)+3*(((0.15*B1383*5))^3/6)+4*(((0.15*B1383*5))^4/24)+5*(((0.15*B1383*5))^5/120))/((((0.15*B1383*5))^0/1)+(((0.15*B1383*5))^1/1)+(((0.15*B1383*5))^2/2)+(((0.15*B1383*5))^3/6)+(((0.15*B1383*5))^4/24)+(((0.15*B1383*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1362*(1-MIN(100,(Inputs!$B$9+((C1371=TRUE)*(F1371-Calc!F26))+B1379+(ArtifactsInput!$M$24-ArtifactsInput!$M$24)*CHOOSE(ArtifactsInput!$N$24+1,10,12,14,16,18,20)+(IF(AND(Inputs!$B$39&lt;&gt;"pvp",Inputs!$B$44=0),1,IF(IF(Inputs!$B$39="pvp",15,Inputs!$B$44)-(B1390)&lt;=0,1,MAX(0,IF(Inputs!$B$39="pvp",15,Inputs!$B$44)-MAX(5,B1390))/(IF(Inputs!$B$39="pvp",15,Inputs!$B$44)-(B1390))))*IF(AND(ArtifactsInput!$M$42,((Inputs!$B$9+((C1371=TRUE)*(F1371-Calc!F26))+B1379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1362*(MIN(100,(Inputs!$B$9+((C1371=TRUE)*(F1371-Calc!F26))+B1379+(ArtifactsInput!$M$24-ArtifactsInput!$M$24)*CHOOSE(ArtifactsInput!$N$24+1,10,12,14,16,18,20)+(IF(AND(Inputs!$B$39&lt;&gt;"pvp",Inputs!$B$44=0),1,IF(IF(Inputs!$B$39="pvp",15,Inputs!$B$44)-(B1390)&lt;=0,1,MAX(0,IF(Inputs!$B$39="pvp",15,Inputs!$B$44)-MAX(5,B1390))/(IF(Inputs!$B$39="pvp",15,Inputs!$B$44)-(B1390))))*IF(AND(ArtifactsInput!$M$42,((Inputs!$B$9+((C1371=TRUE)*(F1371-Calc!F26))+B1379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1362*(1-MIN(100,(Inputs!$B$9+((C1371=TRUE)*(F1371-Calc!F26))+B1379+(ArtifactsInput!$M$24-ArtifactsInput!$M$24)*CHOOSE(ArtifactsInput!$N$24+1,10,12,14,16,18,20)+(IF(AND(Inputs!$B$39&lt;&gt;"pvp",Inputs!$B$44=0),1,IF(IF(Inputs!$B$39="pvp",15,Inputs!$B$44)-(B1390)&lt;=0,1,MAX(0,IF(Inputs!$B$39="pvp",15,Inputs!$B$44)-MAX(5,B1390))/(IF(Inputs!$B$39="pvp",15,Inputs!$B$44)-(B1390))))*IF(AND(ArtifactsInput!$M$42,((Inputs!$B$9+((C1371=TRUE)*(F1371-Calc!F26))+B1379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1362*(MIN(100,(Inputs!$B$9+((C1371=TRUE)*(F1371-Calc!F26))+B1379+(ArtifactsInput!$M$24-ArtifactsInput!$M$24)*CHOOSE(ArtifactsInput!$N$24+1,10,12,14,16,18,20)+(IF(AND(Inputs!$B$39&lt;&gt;"pvp",Inputs!$B$44=0),1,IF(IF(Inputs!$B$39="pvp",15,Inputs!$B$44)-(B1390)&lt;=0,1,MAX(0,IF(Inputs!$B$39="pvp",15,Inputs!$B$44)-MAX(5,B1390))/(IF(Inputs!$B$39="pvp",15,Inputs!$B$44)-(B1390))))*IF(AND(ArtifactsInput!$M$42,((Inputs!$B$9+((C1371=TRUE)*(F1371-Calc!F26))+B1379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1362">
        <f>IF(C1362,(Inputs!$B$38*0.2*N1362)*IF(Inputs!$B$39="pvp",1,(1+(Inputs!$B$21+Skills!Q17+B1380+(IF(ArtifactsInput!$M$33,CHOOSE(ArtifactsInput!$N$33+1,30,36,42,48,54,60),0))+(IF(AND(ArtifactsInput!$M$35,Inputs!$B$4&lt;&gt;"Chapter Hunt"),CHOOSE(ArtifactsInput!$N$35+1,15,18,21,24,27,30)*(1-EXP(-(0.2*B1383)*5)),0)+IF(AND(ArtifactsInput!$M$22,Inputs!$B$4&lt;&gt;"Chapter Hunt"),CHOOSE(ArtifactsInput!$N$22+1,10,12,14,16,18,20)*((0*(((0.15*B1383*5))^0/1)+1*(((0.15*B1383*5))^1/1)+2*(((0.15*B1383*5))^2/2)+3*(((0.15*B1383*5))^3/6)+4*(((0.15*B1383*5))^4/24)+5*(((0.15*B1383*5))^5/120))/((((0.15*B1383*5))^0/1)+(((0.15*B1383*5))^1/1)+(((0.15*B1383*5))^2/2)+(((0.15*B1383*5))^3/6)+(((0.15*B1383*5))^4/24)+(((0.15*B1383*5))^5/120))),0)))/100)*(MIN(Skills!W17,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363">
      <c r="A1363">
        <f>Skills!A18</f>
        <v/>
      </c>
      <c r="B1363">
        <f>Skills!B18</f>
        <v/>
      </c>
      <c r="C1363">
        <f>Inputs!$B$3&gt;=115</f>
        <v/>
      </c>
      <c r="D1363">
        <f>IF(Skills!C18=1,60+Inputs!$B$25+Inputs!$B$29,IF(Skills!C18=2,90+Inputs!$B$26+Inputs!$B$29,IF(Skills!C18=3,120+Inputs!$B$27+Inputs!$B$29,MAX(0,(Inputs!$B$3-100)*3)+Inputs!$B$28+Inputs!$B$29)))</f>
        <v/>
      </c>
      <c r="E1363">
        <f>INDEX(FactorTable!$B$2:$Y$301, MATCH(ROUND(MIN(300,MAX(1,D1363)),0), FactorTable!$A$2:$A$301,0), Skills!M18+1)</f>
        <v/>
      </c>
      <c r="F1363">
        <f>IF(Skills!N18=TRUE,(Skills!L18/10)*(E1363/1000),Skills!L18/10)+Skills!O18</f>
        <v/>
      </c>
      <c r="G1363">
        <f>Skills!G18*IF(Skills!H18&gt;0,IF(Inputs!$B$39="pvp",MIN(Skills!I18,15),Skills!I18)/Skills!H18,1)</f>
        <v/>
      </c>
      <c r="H1363">
        <f>1-(1-Skills!J18/100)^Skills!K18</f>
        <v/>
      </c>
      <c r="I1363" t="inlineStr">
        <is>
          <t>1</t>
        </is>
      </c>
      <c r="J1363" t="inlineStr"/>
      <c r="K1363" t="inlineStr"/>
      <c r="L1363" t="inlineStr"/>
      <c r="M1363" t="inlineStr"/>
      <c r="N1363" t="inlineStr"/>
      <c r="O1363">
        <f>(1-Summary!$B$11)*T1363+Summary!$B$11*V1363</f>
        <v/>
      </c>
      <c r="P1363">
        <f>IF(B1391=0,0,O1363/B1391)</f>
        <v/>
      </c>
      <c r="Q1363" t="n">
        <v>0</v>
      </c>
      <c r="R1363" t="n">
        <v>0</v>
      </c>
      <c r="S1363">
        <f>IFERROR(O1363/N1363,0)</f>
        <v/>
      </c>
      <c r="T1363" t="n">
        <v>0</v>
      </c>
      <c r="V1363" t="n">
        <v>0</v>
      </c>
    </row>
    <row r="1364">
      <c r="A1364">
        <f>Skills!A19</f>
        <v/>
      </c>
      <c r="B1364">
        <f>Skills!B19</f>
        <v/>
      </c>
      <c r="C1364">
        <f>Inputs!$B$3&gt;=100</f>
        <v/>
      </c>
      <c r="D1364">
        <f>IF(Skills!C19=1,60+Inputs!$B$25+Inputs!$B$29,IF(Skills!C19=2,90+Inputs!$B$26+Inputs!$B$29,IF(Skills!C19=3,120+Inputs!$B$27+Inputs!$B$29,MAX(0,(Inputs!$B$3-100)*3)+Inputs!$B$28+Inputs!$B$29)))</f>
        <v/>
      </c>
      <c r="E1364">
        <f>INDEX(FactorTable!$B$2:$Y$301, MATCH(ROUND(MIN(300,MAX(1,D1364)),0), FactorTable!$A$2:$A$301,0), Skills!M19+1)</f>
        <v/>
      </c>
      <c r="F1364">
        <f>IF(Skills!N19=TRUE,(Skills!L19/10)*(E1364/1000),Skills!L19/10)+Skills!O19</f>
        <v/>
      </c>
      <c r="G1364">
        <f>Skills!G19*IF(Skills!H19&gt;0,IF(Inputs!$B$39="pvp",MIN(Skills!I19,15),Skills!I19)/Skills!H19,1)</f>
        <v/>
      </c>
      <c r="H1364">
        <f>1-(1-Skills!J19/100)^Skills!K19</f>
        <v/>
      </c>
      <c r="I1364" t="inlineStr">
        <is>
          <t>1</t>
        </is>
      </c>
      <c r="J1364" t="inlineStr"/>
      <c r="K1364" t="inlineStr"/>
      <c r="L1364" t="inlineStr"/>
      <c r="M1364" t="inlineStr"/>
      <c r="N1364" t="inlineStr"/>
      <c r="O1364">
        <f>(1-Summary!$B$11)*T1364+Summary!$B$11*V1364</f>
        <v/>
      </c>
      <c r="P1364">
        <f>IF(B1391=0,0,O1364/B1391)</f>
        <v/>
      </c>
      <c r="Q1364" t="n">
        <v>0</v>
      </c>
      <c r="R1364" t="n">
        <v>0</v>
      </c>
      <c r="S1364">
        <f>IFERROR(O1364/N1364,0)</f>
        <v/>
      </c>
      <c r="T1364" t="n">
        <v>0</v>
      </c>
      <c r="V1364" t="n">
        <v>0</v>
      </c>
    </row>
    <row r="1365">
      <c r="A1365">
        <f>Skills!A20</f>
        <v/>
      </c>
      <c r="B1365">
        <f>Skills!B20</f>
        <v/>
      </c>
      <c r="C1365">
        <f>TRUE</f>
        <v/>
      </c>
      <c r="D1365">
        <f>IF(Skills!C20=1,60+Inputs!$B$25+Inputs!$B$29,IF(Skills!C20=2,90+Inputs!$B$26+Inputs!$B$29,IF(Skills!C20=3,120+Inputs!$B$27+Inputs!$B$29,MAX(0,(Inputs!$B$3-100)*3)+Inputs!$B$28+Inputs!$B$29)))</f>
        <v/>
      </c>
      <c r="E1365">
        <f>INDEX(FactorTable!$B$2:$Y$301, MATCH(ROUND(MIN(300,MAX(1,D1365)),0), FactorTable!$A$2:$A$301,0), Skills!M20+1)</f>
        <v/>
      </c>
      <c r="F1365">
        <f>IF(Skills!N20=TRUE,(Skills!L20/10)*(E1365/1000),Skills!L20/10)+Skills!O20</f>
        <v/>
      </c>
      <c r="G1365">
        <f>Skills!G20*IF(Skills!H20&gt;0,IF(Inputs!$B$39="pvp",MIN(Skills!I20,15),Skills!I20)/Skills!H20,1)</f>
        <v/>
      </c>
      <c r="H1365">
        <f>1-(1-Skills!J20/100)^Skills!K20</f>
        <v/>
      </c>
      <c r="I1365" t="inlineStr">
        <is>
          <t>1</t>
        </is>
      </c>
      <c r="J1365" t="inlineStr"/>
      <c r="K1365" t="inlineStr"/>
      <c r="L1365" t="inlineStr"/>
      <c r="M1365" t="inlineStr"/>
      <c r="N1365" t="inlineStr"/>
      <c r="O1365">
        <f>(1-Summary!$B$11)*T1365+Summary!$B$11*V1365</f>
        <v/>
      </c>
      <c r="P1365">
        <f>IF(B1391=0,0,O1365/B1391)</f>
        <v/>
      </c>
      <c r="Q1365">
        <f>IFERROR(1/IF(Inputs!$B$39="pvp",15,MAX(0.1,Skills!D20-IF(TRUE=TRUE,Inputs!$B$32,0))),0)</f>
        <v/>
      </c>
      <c r="R1365">
        <f>IF(AND(Inputs!$B$39&lt;&gt;"pvp",Inputs!$B$44&gt;0),IF(Inputs!$B$44&lt;=0,0,(INT(Inputs!$B$44/IF(Inputs!$B$39="pvp",15,MAX(0.1,Skills!D20-IF(TRUE=TRUE,Inputs!$B$32,0))))+1)),0)</f>
        <v/>
      </c>
      <c r="S1365">
        <f>IFERROR(O1365/N1365,0)</f>
        <v/>
      </c>
      <c r="T1365" t="n">
        <v>0</v>
      </c>
      <c r="V1365" t="n">
        <v>0</v>
      </c>
    </row>
    <row r="1366">
      <c r="A1366">
        <f>Skills!A21</f>
        <v/>
      </c>
      <c r="B1366">
        <f>Skills!B21</f>
        <v/>
      </c>
      <c r="C1366">
        <f>Inputs!$B$3&gt;=15</f>
        <v/>
      </c>
      <c r="D1366">
        <f>IF(Skills!C21=1,60+Inputs!$B$25+Inputs!$B$29,IF(Skills!C21=2,90+Inputs!$B$26+Inputs!$B$29,IF(Skills!C21=3,120+Inputs!$B$27+Inputs!$B$29,MAX(0,(Inputs!$B$3-100)*3)+Inputs!$B$28+Inputs!$B$29)))</f>
        <v/>
      </c>
      <c r="E1366">
        <f>INDEX(FactorTable!$B$2:$Y$301, MATCH(ROUND(MIN(300,MAX(1,D1366)),0), FactorTable!$A$2:$A$301,0), Skills!M21+1)</f>
        <v/>
      </c>
      <c r="F1366">
        <f>IF(Skills!N21=TRUE,(Skills!L21/10)*(E1366/1000),Skills!L21/10)+Skills!O21</f>
        <v/>
      </c>
      <c r="G1366">
        <f>Skills!G21*IF(Skills!H21&gt;0,IF(Inputs!$B$39="pvp",MIN(Skills!I21,15),Skills!I21)/Skills!H21,1)</f>
        <v/>
      </c>
      <c r="H1366">
        <f>1-(1-Skills!J21/100)^Skills!K21</f>
        <v/>
      </c>
      <c r="I1366" t="inlineStr">
        <is>
          <t>1</t>
        </is>
      </c>
      <c r="J1366" t="inlineStr"/>
      <c r="K1366" t="inlineStr"/>
      <c r="L1366" t="inlineStr"/>
      <c r="M1366" t="inlineStr"/>
      <c r="N1366" t="inlineStr"/>
      <c r="O1366">
        <f>(1-Summary!$B$11)*T1366+Summary!$B$11*V1366</f>
        <v/>
      </c>
      <c r="P1366">
        <f>IF(B1391=0,0,O1366/B1391)</f>
        <v/>
      </c>
      <c r="Q1366">
        <f>IFERROR(1/IF(Inputs!$B$39="pvp",15,MAX(0.1,Skills!D21-IF(TRUE=TRUE,Inputs!$B$32,0))),0)</f>
        <v/>
      </c>
      <c r="R1366">
        <f>IF(AND(Inputs!$B$39&lt;&gt;"pvp",Inputs!$B$44&gt;0),IF(Inputs!$B$44&lt;=0,0,(INT(Inputs!$B$44/IF(Inputs!$B$39="pvp",15,MAX(0.1,Skills!D21-IF(TRUE=TRUE,Inputs!$B$32,0))))+1)),0)</f>
        <v/>
      </c>
      <c r="S1366">
        <f>IFERROR(O1366/N1366,0)</f>
        <v/>
      </c>
      <c r="T1366" t="n">
        <v>0</v>
      </c>
      <c r="V1366" t="n">
        <v>0</v>
      </c>
    </row>
    <row r="1367">
      <c r="A1367">
        <f>Skills!A22</f>
        <v/>
      </c>
      <c r="B1367">
        <f>Skills!B22</f>
        <v/>
      </c>
      <c r="C1367">
        <f>Inputs!$B$3&gt;=15</f>
        <v/>
      </c>
      <c r="D1367">
        <f>IF(Skills!C22=1,60+Inputs!$B$25+Inputs!$B$29,IF(Skills!C22=2,90+Inputs!$B$26+Inputs!$B$29,IF(Skills!C22=3,120+Inputs!$B$27+Inputs!$B$29,MAX(0,(Inputs!$B$3-100)*3)+Inputs!$B$28+Inputs!$B$29)))</f>
        <v/>
      </c>
      <c r="E1367">
        <f>INDEX(FactorTable!$B$2:$Y$301, MATCH(ROUND(MIN(300,MAX(1,D1367)),0), FactorTable!$A$2:$A$301,0), Skills!M22+1)</f>
        <v/>
      </c>
      <c r="F1367">
        <f>IF(Skills!N22=TRUE,(Skills!L22/10)*(E1367/1000),Skills!L22/10)+Skills!O22</f>
        <v/>
      </c>
      <c r="G1367">
        <f>Skills!G22*IF(Skills!H22&gt;0,IF(Inputs!$B$39="pvp",MIN(Skills!I22,15),Skills!I22)/Skills!H22,1)</f>
        <v/>
      </c>
      <c r="H1367">
        <f>1-(1-Skills!J22/100)^Skills!K22</f>
        <v/>
      </c>
      <c r="I1367" t="inlineStr">
        <is>
          <t>1</t>
        </is>
      </c>
      <c r="J1367" t="inlineStr"/>
      <c r="K1367" t="inlineStr"/>
      <c r="L1367" t="inlineStr"/>
      <c r="M1367" t="inlineStr"/>
      <c r="N1367" t="inlineStr"/>
      <c r="O1367">
        <f>(1-Summary!$B$11)*T1367+Summary!$B$11*V1367</f>
        <v/>
      </c>
      <c r="P1367">
        <f>IF(B1391=0,0,O1367/B1391)</f>
        <v/>
      </c>
      <c r="Q1367">
        <f>IFERROR(1/IF(Inputs!$B$39="pvp",15,MAX(0.1,Skills!D22-IF(TRUE=TRUE,Inputs!$B$32,0))),0)</f>
        <v/>
      </c>
      <c r="R1367">
        <f>IF(AND(Inputs!$B$39&lt;&gt;"pvp",Inputs!$B$44&gt;0),IF(Inputs!$B$44&lt;=0,0,(INT(Inputs!$B$44/IF(Inputs!$B$39="pvp",15,MAX(0.1,Skills!D22-IF(TRUE=TRUE,Inputs!$B$32,0))))+1)),0)</f>
        <v/>
      </c>
      <c r="S1367">
        <f>IFERROR(O1367/N1367,0)</f>
        <v/>
      </c>
      <c r="T1367" t="n">
        <v>0</v>
      </c>
      <c r="V1367" t="n">
        <v>0</v>
      </c>
    </row>
    <row r="1368">
      <c r="A1368">
        <f>Skills!A23</f>
        <v/>
      </c>
      <c r="B1368">
        <f>Skills!B23</f>
        <v/>
      </c>
      <c r="C1368">
        <f>Inputs!$B$3&gt;=33</f>
        <v/>
      </c>
      <c r="D1368">
        <f>IF(Skills!C23=1,60+Inputs!$B$25+Inputs!$B$29,IF(Skills!C23=2,90+Inputs!$B$26+Inputs!$B$29,IF(Skills!C23=3,120+Inputs!$B$27+Inputs!$B$29,MAX(0,(Inputs!$B$3-100)*3)+Inputs!$B$28+Inputs!$B$29)))</f>
        <v/>
      </c>
      <c r="E1368">
        <f>INDEX(FactorTable!$B$2:$Y$301, MATCH(ROUND(MIN(300,MAX(1,D1368)),0), FactorTable!$A$2:$A$301,0), Skills!M23+1)</f>
        <v/>
      </c>
      <c r="F1368">
        <f>IF(Skills!N23=TRUE,(Skills!L23/10)*(E1368/1000),Skills!L23/10)+Skills!O23</f>
        <v/>
      </c>
      <c r="G1368">
        <f>Skills!G23*IF(Skills!H23&gt;0,IF(Inputs!$B$39="pvp",MIN(Skills!I23,15),Skills!I23)/Skills!H23,1)</f>
        <v/>
      </c>
      <c r="H1368">
        <f>1-(1-Skills!J23/100)^Skills!K23</f>
        <v/>
      </c>
      <c r="I1368" t="inlineStr">
        <is>
          <t>1</t>
        </is>
      </c>
      <c r="J1368" t="inlineStr"/>
      <c r="K1368" t="inlineStr"/>
      <c r="L1368" t="inlineStr"/>
      <c r="M1368" t="inlineStr"/>
      <c r="N1368" t="inlineStr"/>
      <c r="O1368">
        <f>(1-Summary!$B$11)*T1368+Summary!$B$11*V1368</f>
        <v/>
      </c>
      <c r="P1368">
        <f>IF(B1391=0,0,O1368/B1391)</f>
        <v/>
      </c>
      <c r="Q1368" t="n">
        <v>0</v>
      </c>
      <c r="R1368" t="n">
        <v>0</v>
      </c>
      <c r="S1368">
        <f>IFERROR(O1368/N1368,0)</f>
        <v/>
      </c>
      <c r="T1368" t="n">
        <v>0</v>
      </c>
      <c r="V1368" t="n">
        <v>0</v>
      </c>
    </row>
    <row r="1369">
      <c r="A1369">
        <f>Skills!A24</f>
        <v/>
      </c>
      <c r="B1369">
        <f>Skills!B24</f>
        <v/>
      </c>
      <c r="C1369">
        <f>Inputs!$B$3&gt;=40</f>
        <v/>
      </c>
      <c r="D1369">
        <f>IF(Skills!C24=1,60+Inputs!$B$25+Inputs!$B$29,IF(Skills!C24=2,90+Inputs!$B$26+Inputs!$B$29,IF(Skills!C24=3,120+Inputs!$B$27+Inputs!$B$29,MAX(0,(Inputs!$B$3-100)*3)+Inputs!$B$28+Inputs!$B$29)))</f>
        <v/>
      </c>
      <c r="E1369">
        <f>INDEX(FactorTable!$B$2:$Y$301, MATCH(ROUND(MIN(300,MAX(1,D1369)),0), FactorTable!$A$2:$A$301,0), Skills!M24+1)</f>
        <v/>
      </c>
      <c r="F1369">
        <f>IF(Skills!N24=TRUE,(Skills!L24/10)*(E1369/1000),Skills!L24/10)+Skills!O24</f>
        <v/>
      </c>
      <c r="G1369">
        <f>Skills!G24*IF(Skills!H24&gt;0,IF(Inputs!$B$39="pvp",MIN(Skills!I24,15),Skills!I24)/Skills!H24,1)</f>
        <v/>
      </c>
      <c r="H1369">
        <f>1-(1-Skills!J24/100)^Skills!K24</f>
        <v/>
      </c>
      <c r="I1369" t="inlineStr">
        <is>
          <t>1</t>
        </is>
      </c>
      <c r="J1369" t="inlineStr"/>
      <c r="K1369" t="inlineStr"/>
      <c r="L1369" t="inlineStr"/>
      <c r="M1369" t="inlineStr"/>
      <c r="N1369" t="inlineStr"/>
      <c r="O1369">
        <f>(1-Summary!$B$11)*T1369+Summary!$B$11*V1369</f>
        <v/>
      </c>
      <c r="P1369">
        <f>IF(B1391=0,0,O1369/B1391)</f>
        <v/>
      </c>
      <c r="Q1369" t="n">
        <v>0</v>
      </c>
      <c r="R1369" t="n">
        <v>0</v>
      </c>
      <c r="S1369">
        <f>IFERROR(O1369/N1369,0)</f>
        <v/>
      </c>
      <c r="T1369" t="n">
        <v>0</v>
      </c>
      <c r="V1369" t="n">
        <v>0</v>
      </c>
    </row>
    <row r="1370">
      <c r="A1370">
        <f>Skills!A25</f>
        <v/>
      </c>
      <c r="B1370">
        <f>Skills!B25</f>
        <v/>
      </c>
      <c r="C1370">
        <f>Inputs!$B$3&gt;=43</f>
        <v/>
      </c>
      <c r="D1370">
        <f>IF(Skills!C25=1,60+Inputs!$B$25+Inputs!$B$29,IF(Skills!C25=2,90+Inputs!$B$26+Inputs!$B$29,IF(Skills!C25=3,120+Inputs!$B$27+Inputs!$B$29,MAX(0,(Inputs!$B$3-100)*3)+Inputs!$B$28+Inputs!$B$29)))</f>
        <v/>
      </c>
      <c r="E1370">
        <f>INDEX(FactorTable!$B$2:$Y$301, MATCH(ROUND(MIN(300,MAX(1,D1370)),0), FactorTable!$A$2:$A$301,0), Skills!M25+1)</f>
        <v/>
      </c>
      <c r="F1370">
        <f>IF(Skills!N25=TRUE,(Skills!L25/10)*(E1370/1000),Skills!L25/10)+Skills!O25</f>
        <v/>
      </c>
      <c r="G1370">
        <f>Skills!G25*IF(Skills!H25&gt;0,IF(Inputs!$B$39="pvp",MIN(Skills!I25,15),Skills!I25)/Skills!H25,1)</f>
        <v/>
      </c>
      <c r="H1370">
        <f>1-(1-Skills!J25/100)^Skills!K25</f>
        <v/>
      </c>
      <c r="I1370" t="inlineStr">
        <is>
          <t>1</t>
        </is>
      </c>
      <c r="J1370" t="inlineStr"/>
      <c r="K1370" t="inlineStr"/>
      <c r="L1370" t="inlineStr"/>
      <c r="M1370" t="inlineStr"/>
      <c r="N1370" t="inlineStr"/>
      <c r="O1370">
        <f>(1-Summary!$B$11)*T1370+Summary!$B$11*V1370</f>
        <v/>
      </c>
      <c r="P1370">
        <f>IF(B1391=0,0,O1370/B1391)</f>
        <v/>
      </c>
      <c r="Q1370" t="n">
        <v>0</v>
      </c>
      <c r="R1370" t="n">
        <v>0</v>
      </c>
      <c r="S1370">
        <f>IFERROR(O1370/N1370,0)</f>
        <v/>
      </c>
      <c r="T1370" t="n">
        <v>0</v>
      </c>
      <c r="V1370" t="n">
        <v>0</v>
      </c>
    </row>
    <row r="1371">
      <c r="A1371">
        <f>Skills!A26</f>
        <v/>
      </c>
      <c r="B1371">
        <f>Skills!B26</f>
        <v/>
      </c>
      <c r="C1371">
        <f>Inputs!$B$3&gt;=50</f>
        <v/>
      </c>
      <c r="D1371">
        <f>IF(Skills!C26=1,60+Inputs!$B$25+Inputs!$B$29,IF(Skills!C26=2,90+Inputs!$B$26+Inputs!$B$29,IF(Skills!C26=3,120+Inputs!$B$27+Inputs!$B$29,MAX(0,(Inputs!$B$3-100)*3)+Inputs!$B$28+Inputs!$B$29)))</f>
        <v/>
      </c>
      <c r="E1371">
        <f>INDEX(FactorTable!$B$2:$Y$301, MATCH(ROUND(MIN(300,MAX(1,D1371)),0), FactorTable!$A$2:$A$301,0), Skills!M26+1)</f>
        <v/>
      </c>
      <c r="F1371">
        <f>IF(Skills!N26=TRUE,(Skills!L26/10)*(E1371/1000),Skills!L26/10)+Skills!O26</f>
        <v/>
      </c>
      <c r="G1371">
        <f>Skills!G26*IF(Skills!H26&gt;0,IF(Inputs!$B$39="pvp",MIN(Skills!I26,15),Skills!I26)/Skills!H26,1)</f>
        <v/>
      </c>
      <c r="H1371">
        <f>1-(1-Skills!J26/100)^Skills!K26</f>
        <v/>
      </c>
      <c r="I1371" t="inlineStr">
        <is>
          <t>1</t>
        </is>
      </c>
      <c r="J1371" t="inlineStr"/>
      <c r="K1371" t="inlineStr"/>
      <c r="L1371" t="inlineStr"/>
      <c r="M1371" t="inlineStr"/>
      <c r="N1371" t="inlineStr"/>
      <c r="O1371">
        <f>(1-Summary!$B$11)*T1371+Summary!$B$11*V1371</f>
        <v/>
      </c>
      <c r="P1371">
        <f>IF(B1391=0,0,O1371/B1391)</f>
        <v/>
      </c>
      <c r="Q1371" t="n">
        <v>0</v>
      </c>
      <c r="R1371" t="n">
        <v>0</v>
      </c>
      <c r="S1371">
        <f>IFERROR(O1371/N1371,0)</f>
        <v/>
      </c>
      <c r="T1371" t="n">
        <v>0</v>
      </c>
      <c r="V1371" t="n">
        <v>0</v>
      </c>
    </row>
    <row r="1372">
      <c r="A1372">
        <f>Skills!A27</f>
        <v/>
      </c>
      <c r="B1372">
        <f>Skills!B27</f>
        <v/>
      </c>
      <c r="C1372">
        <f>Inputs!$B$3&gt;=50</f>
        <v/>
      </c>
      <c r="D1372">
        <f>IF(Skills!C27=1,60+Inputs!$B$25+Inputs!$B$29,IF(Skills!C27=2,90+Inputs!$B$26+Inputs!$B$29,IF(Skills!C27=3,120+Inputs!$B$27+Inputs!$B$29,MAX(0,(Inputs!$B$3-100)*3)+Inputs!$B$28+Inputs!$B$29)))</f>
        <v/>
      </c>
      <c r="E1372">
        <f>INDEX(FactorTable!$B$2:$Y$301, MATCH(ROUND(MIN(300,MAX(1,D1372)),0), FactorTable!$A$2:$A$301,0), Skills!M27+1)</f>
        <v/>
      </c>
      <c r="F1372">
        <f>IF(Skills!N27=TRUE,(Skills!L27/10)*(E1372/1000),Skills!L27/10)+Skills!O27</f>
        <v/>
      </c>
      <c r="G1372">
        <f>Skills!G27*IF(Skills!H27&gt;0,IF(Inputs!$B$39="pvp",MIN(Skills!I27,15),Skills!I27)/Skills!H27,1)</f>
        <v/>
      </c>
      <c r="H1372">
        <f>1-(1-Skills!J27/100)^Skills!K27</f>
        <v/>
      </c>
      <c r="I1372" t="inlineStr">
        <is>
          <t>1</t>
        </is>
      </c>
      <c r="J1372" t="inlineStr"/>
      <c r="K1372" t="inlineStr"/>
      <c r="L1372" t="inlineStr"/>
      <c r="M1372" t="inlineStr"/>
      <c r="N1372" t="inlineStr"/>
      <c r="O1372">
        <f>(1-Summary!$B$11)*T1372+Summary!$B$11*V1372</f>
        <v/>
      </c>
      <c r="P1372">
        <f>IF(B1391=0,0,O1372/B1391)</f>
        <v/>
      </c>
      <c r="Q1372" t="n">
        <v>0</v>
      </c>
      <c r="R1372" t="n">
        <v>0</v>
      </c>
      <c r="S1372">
        <f>IFERROR(O1372/N1372,0)</f>
        <v/>
      </c>
      <c r="T1372" t="n">
        <v>0</v>
      </c>
      <c r="V1372" t="n">
        <v>0</v>
      </c>
    </row>
    <row r="1373">
      <c r="A1373">
        <f>Skills!A28</f>
        <v/>
      </c>
      <c r="B1373">
        <f>Skills!B28</f>
        <v/>
      </c>
      <c r="C1373">
        <f>Inputs!$B$3&gt;=38</f>
        <v/>
      </c>
      <c r="D1373">
        <f>IF(Skills!C28=1,60+Inputs!$B$25+Inputs!$B$29,IF(Skills!C28=2,90+Inputs!$B$26+Inputs!$B$29,IF(Skills!C28=3,120+Inputs!$B$27+Inputs!$B$29,MAX(0,(Inputs!$B$3-100)*3)+Inputs!$B$28+Inputs!$B$29)))</f>
        <v/>
      </c>
      <c r="E1373">
        <f>INDEX(FactorTable!$B$2:$Y$301, MATCH(ROUND(MIN(300,MAX(1,D1373)),0), FactorTable!$A$2:$A$301,0), Skills!M28+1)</f>
        <v/>
      </c>
      <c r="F1373">
        <f>IF(Skills!N28=TRUE,(Skills!L28/10)*(E1373/1000),Skills!L28/10)+Skills!O28</f>
        <v/>
      </c>
      <c r="G1373">
        <f>Skills!G28*IF(Skills!H28&gt;0,IF(Inputs!$B$39="pvp",MIN(Skills!I28,15),Skills!I28)/Skills!H28,1)</f>
        <v/>
      </c>
      <c r="H1373">
        <f>1-(1-Skills!J28/100)^Skills!K28</f>
        <v/>
      </c>
      <c r="I1373" t="inlineStr">
        <is>
          <t>1</t>
        </is>
      </c>
      <c r="J1373" t="inlineStr"/>
      <c r="K1373" t="inlineStr"/>
      <c r="L1373" t="inlineStr"/>
      <c r="M1373" t="inlineStr"/>
      <c r="N1373" t="inlineStr"/>
      <c r="O1373">
        <f>(1-Summary!$B$11)*T1373+Summary!$B$11*V1373</f>
        <v/>
      </c>
      <c r="P1373">
        <f>IF(B1391=0,0,O1373/B1391)</f>
        <v/>
      </c>
      <c r="Q1373" t="n">
        <v>0</v>
      </c>
      <c r="R1373" t="n">
        <v>0</v>
      </c>
      <c r="S1373">
        <f>IFERROR(O1373/N1373,0)</f>
        <v/>
      </c>
      <c r="T1373" t="n">
        <v>0</v>
      </c>
      <c r="V1373" t="n">
        <v>0</v>
      </c>
    </row>
    <row r="1374">
      <c r="A1374">
        <f>Skills!A29</f>
        <v/>
      </c>
      <c r="B1374">
        <f>Skills!B29</f>
        <v/>
      </c>
      <c r="C1374">
        <f>Inputs!$B$3&gt;=120</f>
        <v/>
      </c>
      <c r="D1374">
        <f>IF(Skills!C29=1,60+Inputs!$B$25+Inputs!$B$29,IF(Skills!C29=2,90+Inputs!$B$26+Inputs!$B$29,IF(Skills!C29=3,120+Inputs!$B$27+Inputs!$B$29,MAX(0,(Inputs!$B$3-100)*3)+Inputs!$B$28+Inputs!$B$29)))</f>
        <v/>
      </c>
      <c r="E1374">
        <f>INDEX(FactorTable!$B$2:$Y$301, MATCH(ROUND(MIN(300,MAX(1,D1374)),0), FactorTable!$A$2:$A$301,0), Skills!M29+1)</f>
        <v/>
      </c>
      <c r="F1374">
        <f>IF(Skills!N29=TRUE,(Skills!L29/10)*(E1374/1000),Skills!L29/10)+Skills!O29</f>
        <v/>
      </c>
      <c r="G1374">
        <f>Skills!G29*IF(Skills!H29&gt;0,IF(Inputs!$B$39="pvp",MIN(Skills!I29,15),Skills!I29)/Skills!H29,1)</f>
        <v/>
      </c>
      <c r="H1374">
        <f>1-(1-Skills!J29/100)^Skills!K29</f>
        <v/>
      </c>
      <c r="I1374" t="inlineStr">
        <is>
          <t>1</t>
        </is>
      </c>
      <c r="J1374" t="inlineStr"/>
      <c r="K1374" t="inlineStr"/>
      <c r="L1374" t="inlineStr"/>
      <c r="M1374" t="inlineStr"/>
      <c r="N1374" t="inlineStr"/>
      <c r="O1374">
        <f>(1-Summary!$B$11)*T1374+Summary!$B$11*V1374</f>
        <v/>
      </c>
      <c r="P1374">
        <f>IF(B1391=0,0,O1374/B1391)</f>
        <v/>
      </c>
      <c r="Q1374" t="n">
        <v>0</v>
      </c>
      <c r="R1374" t="n">
        <v>0</v>
      </c>
      <c r="S1374">
        <f>IFERROR(O1374/N1374,0)</f>
        <v/>
      </c>
      <c r="T1374" t="n">
        <v>0</v>
      </c>
      <c r="V1374" t="n">
        <v>0</v>
      </c>
    </row>
    <row r="1375">
      <c r="A1375">
        <f>Skills!A30</f>
        <v/>
      </c>
      <c r="B1375">
        <f>Skills!B30</f>
        <v/>
      </c>
      <c r="C1375">
        <f>Inputs!$B$3&gt;=120</f>
        <v/>
      </c>
      <c r="D1375">
        <f>IF(Skills!C30=1,60+Inputs!$B$25+Inputs!$B$29,IF(Skills!C30=2,90+Inputs!$B$26+Inputs!$B$29,IF(Skills!C30=3,120+Inputs!$B$27+Inputs!$B$29,MAX(0,(Inputs!$B$3-100)*3)+Inputs!$B$28+Inputs!$B$29)))</f>
        <v/>
      </c>
      <c r="E1375">
        <f>INDEX(FactorTable!$B$2:$Y$301, MATCH(ROUND(MIN(300,MAX(1,D1375)),0), FactorTable!$A$2:$A$301,0), Skills!M30+1)</f>
        <v/>
      </c>
      <c r="F1375">
        <f>IF(Skills!N30=TRUE,(Skills!L30/10)*(E1375/1000),Skills!L30/10)+Skills!O30</f>
        <v/>
      </c>
      <c r="G1375">
        <f>Skills!G30*IF(Skills!H30&gt;0,IF(Inputs!$B$39="pvp",MIN(Skills!I30,15),Skills!I30)/Skills!H30,1)</f>
        <v/>
      </c>
      <c r="H1375">
        <f>1-(1-Skills!J30/100)^Skills!K30</f>
        <v/>
      </c>
      <c r="I1375" t="inlineStr">
        <is>
          <t>1</t>
        </is>
      </c>
      <c r="J1375" t="inlineStr"/>
      <c r="K1375" t="inlineStr"/>
      <c r="L1375" t="inlineStr"/>
      <c r="M1375" t="inlineStr"/>
      <c r="N1375" t="inlineStr"/>
      <c r="O1375">
        <f>(1-Summary!$B$11)*T1375+Summary!$B$11*V1375</f>
        <v/>
      </c>
      <c r="P1375">
        <f>IF(B1391=0,0,O1375/B1391)</f>
        <v/>
      </c>
      <c r="Q1375" t="n">
        <v>0</v>
      </c>
      <c r="R1375" t="n">
        <v>0</v>
      </c>
      <c r="S1375">
        <f>IFERROR(O1375/N1375,0)</f>
        <v/>
      </c>
      <c r="T1375" t="n">
        <v>0</v>
      </c>
      <c r="V1375" t="n">
        <v>0</v>
      </c>
    </row>
    <row r="1376">
      <c r="A1376">
        <f>Skills!A31</f>
        <v/>
      </c>
      <c r="B1376">
        <f>Skills!B31</f>
        <v/>
      </c>
      <c r="C1376">
        <f>Inputs!$B$3&gt;=125</f>
        <v/>
      </c>
      <c r="D1376">
        <f>IF(Skills!C31=1,60+Inputs!$B$25+Inputs!$B$29,IF(Skills!C31=2,90+Inputs!$B$26+Inputs!$B$29,IF(Skills!C31=3,120+Inputs!$B$27+Inputs!$B$29,MAX(0,(Inputs!$B$3-100)*3)+Inputs!$B$28+Inputs!$B$29)))</f>
        <v/>
      </c>
      <c r="E1376">
        <f>INDEX(FactorTable!$B$2:$Y$301, MATCH(ROUND(MIN(300,MAX(1,D1376)),0), FactorTable!$A$2:$A$301,0), Skills!M31+1)</f>
        <v/>
      </c>
      <c r="F1376">
        <f>IF(Skills!N31=TRUE,(Skills!L31/10)*(E1376/1000),Skills!L31/10)+Skills!O31</f>
        <v/>
      </c>
      <c r="G1376">
        <f>Skills!G31*IF(Skills!H31&gt;0,IF(Inputs!$B$39="pvp",MIN(Skills!I31,15),Skills!I31)/Skills!H31,1)</f>
        <v/>
      </c>
      <c r="H1376">
        <f>1-(1-Skills!J31/100)^Skills!K31</f>
        <v/>
      </c>
      <c r="I1376" t="inlineStr">
        <is>
          <t>1</t>
        </is>
      </c>
      <c r="J1376" t="inlineStr"/>
      <c r="K1376" t="inlineStr"/>
      <c r="L1376" t="inlineStr"/>
      <c r="M1376" t="inlineStr"/>
      <c r="N1376" t="inlineStr"/>
      <c r="O1376">
        <f>(1-Summary!$B$11)*T1376+Summary!$B$11*V1376</f>
        <v/>
      </c>
      <c r="P1376">
        <f>IF(B1391=0,0,O1376/B1391)</f>
        <v/>
      </c>
      <c r="Q1376" t="n">
        <v>0</v>
      </c>
      <c r="R1376" t="n">
        <v>0</v>
      </c>
      <c r="S1376">
        <f>IFERROR(O1376/N1376,0)</f>
        <v/>
      </c>
      <c r="T1376" t="n">
        <v>0</v>
      </c>
      <c r="V1376" t="n">
        <v>0</v>
      </c>
    </row>
    <row r="1378">
      <c r="A1378" t="inlineStr">
        <is>
          <t>Average Buff Multiplier</t>
        </is>
      </c>
      <c r="B1378">
        <f>(1+(((C1367=TRUE)*F1367*IF(AND(Inputs!$B$39&lt;&gt;"pvp",Inputs!$B$44&gt;0),(((R1367-1)*MIN((Skills!Y22*(1+(Inputs!$B$34+1)/100)),(1/Q1367))+MIN((Skills!Y22*(1+(Inputs!$B$34+1)/100)),MAX(0,Inputs!$B$44-((R1367-1)*(1/Q1367)))))/Inputs!$B$44),IF(Inputs!$B$39="pvp",MIN((Skills!Y22*(1+(Inputs!$B$34+1)/100)),15)/15,MIN(1,(Skills!Y22*(1+(Inputs!$B$34+1)/100))/(1/Q1367)))))+((C1348=TRUE)*F1348*3)+((C1350=TRUE)*F1350*(1-EXP(-0.75*B1383*5)))+((C1369=TRUE)*(F1369-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1356=TRUE)*F1356*IF(AND(Inputs!$B$39&lt;&gt;"pvp",Inputs!$B$44&gt;0),(((R1356-1)*MIN((Skills!Y11*(1+(Inputs!$B$34+1)/100)),(1/Q1356))+MIN((Skills!Y11*(1+(Inputs!$B$34+1)/100)),MAX(0,Inputs!$B$44-((R1356-1)*(1/Q1356)))))/Inputs!$B$44),IF(Inputs!$B$39="pvp",MIN((Skills!Y11*(1+(Inputs!$B$34+1)/100)),15)/15,MIN(1,(Skills!Y11*(1+(Inputs!$B$34+1)/100))/(1/Q1356)))))/100)*(1+((C1361=TRUE)*F1361*IF(AND(Inputs!$B$39&lt;&gt;"pvp",Inputs!$B$44&gt;0),(((R1361-1)*MIN((Skills!Y16*(1+(Inputs!$B$34+1)/100)),(1/Q1361))+MIN((Skills!Y16*(1+(Inputs!$B$34+1)/100)),MAX(0,Inputs!$B$44-((R1361-1)*(1/Q1361)))))/Inputs!$B$44),IF(Inputs!$B$39="pvp",MIN((Skills!Y16*(1+(Inputs!$B$34+1)/100)),15)/15,MIN(1,(Skills!Y16*(1+(Inputs!$B$34+1)/100))/(1/Q1361)))))/100)</f>
        <v/>
      </c>
    </row>
    <row r="1379">
      <c r="A1379" t="inlineStr">
        <is>
          <t>Global Crit Rate Bonus %</t>
        </is>
      </c>
      <c r="B1379">
        <f>((C1366=TRUE)*F1366*IF(AND(Inputs!$B$39&lt;&gt;"pvp",Inputs!$B$44&gt;0),(((R1366-1)*MIN((Skills!Y21*(1+(Inputs!$B$34+1)/100)),(1/Q1366))+MIN((Skills!Y21*(1+(Inputs!$B$34+1)/100)),MAX(0,Inputs!$B$44-((R1366-1)*(1/Q1366)))))/Inputs!$B$44),IF(Inputs!$B$39="pvp",MIN((Skills!Y21*(1+(Inputs!$B$34+1)/100)),15)/15,MIN(1,(Skills!Y21*(1+(Inputs!$B$34+1)/100))/(1/Q1366)))))</f>
        <v/>
      </c>
    </row>
    <row r="1380">
      <c r="A1380" t="inlineStr">
        <is>
          <t>Global Monster Damage-Taken Bonus %</t>
        </is>
      </c>
      <c r="B1380">
        <f>IF(Inputs!$B$3&gt;=82,15,0)</f>
        <v/>
      </c>
    </row>
    <row r="1381">
      <c r="A1381" t="inlineStr">
        <is>
          <t>Shadow Partner Average Multiplier</t>
        </is>
      </c>
      <c r="B1381">
        <f>1+((C1353=TRUE)*F1353*(1+3.3333333333333335*IF(C1364=TRUE,F1364,0)/100)*I1353*Skills!J8/100)/100</f>
        <v/>
      </c>
    </row>
    <row r="1382">
      <c r="A1382" t="inlineStr">
        <is>
          <t>Attack Speed Buff Bonus %</t>
        </is>
      </c>
      <c r="B1382">
        <f>((C1365=TRUE)*F1365*IF(AND(Inputs!$B$39&lt;&gt;"pvp",Inputs!$B$44&gt;0),(((R1365-1)*MIN((Skills!Y20*(1+(Inputs!$B$34+1)/100)),(1/Q1365))+MIN((Skills!Y20*(1+(Inputs!$B$34+1)/100)),MAX(0,Inputs!$B$44-((R1365-1)*(1/Q1365)))))/Inputs!$B$44),IF(Inputs!$B$39="pvp",MIN((Skills!Y20*(1+(Inputs!$B$34+1)/100)),15)/15,MIN(1,(Skills!Y20*(1+(Inputs!$B$34+1)/100))/(1/Q1365)))))</f>
        <v/>
      </c>
    </row>
    <row r="1383">
      <c r="A1383" t="inlineStr">
        <is>
          <t>Actions Per Second</t>
        </is>
      </c>
      <c r="B1383">
        <f>1+MIN(150,150*(1-(1-(Inputs!$B$11+((C1368=TRUE)*(F1368-Calc!F23)))/150)*(1-B1382/150)))/100</f>
        <v/>
      </c>
    </row>
    <row r="1384">
      <c r="A1384" t="inlineStr">
        <is>
          <t>Skill + Buff Cast Rate</t>
        </is>
      </c>
      <c r="B1384">
        <f>IF(AND(Inputs!$B$39&lt;&gt;"pvp",Inputs!$B$44&gt;0),SUMPRODUCT((Skills!E2:E31=TRUE)*(C1347:C1376=TRUE)*R1347:R1376*Skills!F2:F31)/Inputs!$B$44,SUMPRODUCT((Skills!E2:E31=TRUE)*(C1347:C1376=TRUE)*Q1347:Q1376*Skills!F2:F31))</f>
        <v/>
      </c>
    </row>
    <row r="1385">
      <c r="A1385" t="inlineStr">
        <is>
          <t>Cruel Stab Casts Per Second</t>
        </is>
      </c>
      <c r="B1385">
        <f>MAX(0,B1383-B1384)</f>
        <v/>
      </c>
    </row>
    <row r="1386">
      <c r="A1386" t="inlineStr">
        <is>
          <t>Global Critical Damage Bonus % (Smokescreen Mastery Lv.113)</t>
        </is>
      </c>
      <c r="B1386">
        <f>IF(Inputs!$B$3&gt;=113,30,0)*IF(AND(Inputs!$B$39&lt;&gt;"pvp",Inputs!$B$44&gt;0),(((R1361-1)*MIN((Skills!Y16*(1+(Inputs!$B$34+1)/100)),(1/Q1361))+MIN((Skills!Y16*(1+(Inputs!$B$34+1)/100)),MAX(0,Inputs!$B$44-((R1361-1)*(1/Q1361)))))/Inputs!$B$44),IF(Inputs!$B$39="pvp",MIN((Skills!Y16*(1+(Inputs!$B$34+1)/100)),15)/15,MIN(1,(Skills!Y16*(1+(Inputs!$B$34+1)/100))/(1/Q1361))))</f>
        <v/>
      </c>
    </row>
    <row r="1387">
      <c r="A1387" t="inlineStr">
        <is>
          <t>Meso Explosion average stack count</t>
        </is>
      </c>
      <c r="B1387">
        <f>MIN(10,IF(Inputs!$B$3&gt;=75,0.75,0.5)*B1383*(1/Q1349))</f>
        <v/>
      </c>
    </row>
    <row r="1388">
      <c r="A1388" t="inlineStr">
        <is>
          <t>Blood Money average stack count</t>
        </is>
      </c>
      <c r="B1388">
        <f>MIN(5,0.5*IF(Inputs!$B$3&gt;=75,0.75,0.5)*B1383*(1/Q1349))</f>
        <v/>
      </c>
    </row>
    <row r="1389">
      <c r="A1389" t="inlineStr">
        <is>
          <t>Assassinate Murderous Intent Multiplier</t>
        </is>
      </c>
      <c r="B1389">
        <f>1+IFERROR(MIN(1,Q1360*2/Q1357),0)</f>
        <v/>
      </c>
    </row>
    <row r="1390">
      <c r="A1390" t="inlineStr">
        <is>
          <t>Buff-Casting Startup Delay (s, fixed-duration only)</t>
        </is>
      </c>
      <c r="B1390">
        <f>IF(AND(Inputs!$B$39&lt;&gt;"pvp",Inputs!$B$44&gt;0),SUMPRODUCT((Skills!Y2:Y31&gt;0)*(Skills!E2:E31=TRUE)*(C1347:C1376=TRUE))/B1383,0)</f>
        <v/>
      </c>
    </row>
    <row r="1391">
      <c r="A1391" s="6" t="inlineStr">
        <is>
          <t>TOTAL DPS</t>
        </is>
      </c>
      <c r="B1391" s="6">
        <f>SUM(O1347:O1376)</f>
        <v/>
      </c>
    </row>
    <row r="1392">
      <c r="A1392" t="inlineStr">
        <is>
          <t>Boss-Only Total DPS (this block's swept value)</t>
        </is>
      </c>
      <c r="B1392">
        <f>SUM(T1347:T1376)</f>
        <v/>
      </c>
    </row>
    <row r="1393">
      <c r="A1393" t="inlineStr">
        <is>
          <t>Normal-Only Total DPS (this block's swept value)</t>
        </is>
      </c>
      <c r="B1393">
        <f>SUM(V1347:V1376)</f>
        <v/>
      </c>
    </row>
    <row r="1396">
      <c r="A1396" s="6" t="inlineStr">
        <is>
          <t>Stat: Incoming Hit Rate (hits/sec, Shadow Shifter only)</t>
        </is>
      </c>
    </row>
    <row r="1397">
      <c r="A1397" s="5" t="inlineStr">
        <is>
          <t>Key</t>
        </is>
      </c>
      <c r="B1397" s="5" t="inlineStr">
        <is>
          <t>Name</t>
        </is>
      </c>
      <c r="C1397" s="5" t="inlineStr">
        <is>
          <t>Unlocked</t>
        </is>
      </c>
      <c r="D1397" s="5" t="inlineStr">
        <is>
          <t>InputLevel</t>
        </is>
      </c>
      <c r="E1397" s="5" t="inlineStr">
        <is>
          <t>Factor</t>
        </is>
      </c>
      <c r="F1397" s="5" t="inlineStr">
        <is>
          <t>CoefficientPercent</t>
        </is>
      </c>
      <c r="G1397" s="5" t="inlineStr">
        <is>
          <t>EffectiveHits</t>
        </is>
      </c>
      <c r="H1397" s="5" t="inlineStr">
        <is>
          <t>ProcProbability</t>
        </is>
      </c>
      <c r="I1397" s="5" t="inlineStr">
        <is>
          <t>MapleHeroMultiplier</t>
        </is>
      </c>
      <c r="J1397" s="5" t="inlineStr">
        <is>
          <t>BaseDamage</t>
        </is>
      </c>
      <c r="K1397" s="5" t="inlineStr">
        <is>
          <t>BaseHitDamage</t>
        </is>
      </c>
      <c r="L1397" s="5" t="inlineStr">
        <is>
          <t>NonCritAvg</t>
        </is>
      </c>
      <c r="M1397" s="5" t="inlineStr">
        <is>
          <t>CritAvg</t>
        </is>
      </c>
      <c r="N1397" s="5" t="inlineStr">
        <is>
          <t>ExpectedDamage(perHit)</t>
        </is>
      </c>
      <c r="O1397" s="5" t="inlineStr">
        <is>
          <t>DPS</t>
        </is>
      </c>
      <c r="P1397" s="5" t="inlineStr">
        <is>
          <t>% of Total</t>
        </is>
      </c>
      <c r="Q1397" s="5" t="inlineStr">
        <is>
          <t>InvCooldown</t>
        </is>
      </c>
      <c r="R1397" s="5" t="inlineStr">
        <is>
          <t>CastsInFight</t>
        </is>
      </c>
      <c r="S1397" s="5" t="inlineStr">
        <is>
          <t>HitRate(perSec)</t>
        </is>
      </c>
      <c r="U1397" t="inlineStr">
        <is>
          <t>helpers</t>
        </is>
      </c>
    </row>
    <row r="1398">
      <c r="A1398">
        <f>Skills!A2</f>
        <v/>
      </c>
      <c r="B1398">
        <f>Skills!B2</f>
        <v/>
      </c>
      <c r="C1398">
        <f>Inputs!$B$3&gt;=100</f>
        <v/>
      </c>
      <c r="D1398" t="inlineStr"/>
      <c r="E1398" t="inlineStr"/>
      <c r="F1398">
        <f>U1400+Skills!O2</f>
        <v/>
      </c>
      <c r="G1398">
        <f>Skills!G2*IF(Skills!H2&gt;0,IF(Inputs!$B$39="pvp",MIN(Skills!I2,15),Skills!I2)/Skills!H2,1)</f>
        <v/>
      </c>
      <c r="H1398">
        <f>1-(1-Skills!J2/100)^Skills!K2</f>
        <v/>
      </c>
      <c r="I1398" t="inlineStr">
        <is>
          <t>1</t>
        </is>
      </c>
      <c r="J1398">
        <f>((Inputs!$B$6*(1+Inputs!$B$7/100))+(((Inputs!$B$12*(1+Inputs!$B$13/100))-(Inputs!$B$12*(1+Inputs!$B$13/100)))+0.25*(Inputs!$B$14-Inputs!$B$14))*(1+Inputs!$B$7/100))*(F1398/100)</f>
        <v/>
      </c>
      <c r="K1398">
        <f>J1398*(1+((Inputs!$B$12*(1+Inputs!$B$13/100))*0.01+Inputs!$B$14*0.0025)/100)*(1+Inputs!$B$15/100)*(1+Inputs!$B$16/100)*(5000/(6000+Inputs!$B$43*(1-(100*(1-(1-Inputs!$B$19/100)*(1-CHOOSE(ArtifactsInput!$N$40+1,5,6,7,8,9,10)/100)^(ArtifactsInput!$M$40-ArtifactsInput!$M$40)))/100)))*(1+(Inputs!$B$24+((C1427=TRUE)*(F1427-Calc!F31))+((C1414=TRUE)*(F1414-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CRUEL_STAB",Inputs!$B$17+((C1424=TRUE)*(F1424-Calc!F28))+((IF(AND(Inputs!$B$39&lt;&gt;"pvp",Inputs!$B$44=0),1,IF(IF(Inputs!$B$39="pvp",15,Inputs!$B$44)-(B1441)&lt;=0,1,MAX(0,IF(Inputs!$B$39="pvp",15,Inputs!$B$44)-MAX(5,B1441))/(IF(Inputs!$B$39="pvp",15,Inputs!$B$44)-(B1441))))*(IF(AND(ArtifactsInput!$M$42,((Inputs!$B$9+((C1422=TRUE)*(F1422-Calc!F26))+B1430+(ArtifactsInput!$M$24-ArtifactsInput!$M$24)*CHOOSE(ArtifactsInput!$N$24+1,10,12,14,16,18,20)+IF(ArtifactsInput!$M$10,CHOOSE(ArtifactsInput!$N$10+1,15,18,21,24,27,30)*(IF(Inputs!$B$39="pvp",MIN(15,15)/15,IF(AND(Inputs!$B$39&lt;&gt;"pvp",Inputs!$B$44&gt;0),MIN(15,Inputs!$B$44)/(Inputs!$B$44),0))),0)))&gt;=100),MIN(100,((Inputs!$B$9+((C1422=TRUE)*(F1422-Calc!F26))+B1430+(ArtifactsInput!$M$24-ArtifactsInput!$M$24)*CHOOSE(ArtifactsInput!$N$24+1,10,12,14,16,18,20)+IF(ArtifactsInput!$M$10,CHOOSE(ArtifactsInput!$N$10+1,15,18,21,24,27,30)*(IF(Inputs!$B$39="pvp",MIN(15,15)/15,IF(AND(Inputs!$B$39&lt;&gt;"pvp",Inputs!$B$44&gt;0),MIN(15,Inputs!$B$44)/(Inputs!$B$44),0))),0)))-100),0))*CHOOSE(ArtifactsInput!$N$42+1,0.6,0.72,0.84,0.96,1.08,1.2))),Inputs!$B$18+((C1425=TRUE)*(F1425-Calc!F29))+(IF(AND(Inputs!$B$39&lt;&gt;"pvp",Inputs!$B$44=0),1,IF(IF(Inputs!$B$39="pvp",15,Inputs!$B$44)-(B1441)&lt;=0,1,MAX(0,IF(Inputs!$B$39="pvp",15,Inputs!$B$44)-MAX(5,B1441))/(IF(Inputs!$B$39="pvp",15,Inputs!$B$44)-(B1441))))*IF(AND(ArtifactsInput!$M$42,((Inputs!$B$9+((C1422=TRUE)*(F1422-Calc!F26))+B1430+(ArtifactsInput!$M$24-ArtifactsInput!$M$24)*CHOOSE(ArtifactsInput!$N$24+1,10,12,14,16,18,20)+IF(ArtifactsInput!$M$10,CHOOSE(ArtifactsInput!$N$10+1,15,18,21,24,27,30)*(IF(Inputs!$B$39="pvp",MIN(15,15)/15,IF(AND(Inputs!$B$39&lt;&gt;"pvp",Inputs!$B$44&gt;0),MIN(15,Inputs!$B$44)/(Inputs!$B$44),0))),0)))&gt;=100),CHOOSE(ArtifactsInput!$N$42+1,40,48,56,64,72,80),0))))/100)*(((1+(((C1418=TRUE)*F1418*IF(AND(Inputs!$B$39&lt;&gt;"pvp",Inputs!$B$44&gt;0),(((R1418-1)*MIN((Skills!Y22*(1+Inputs!$B$34/100)),(1/Q1418))+MIN((Skills!Y22*(1+Inputs!$B$34/100)),MAX(0,Inputs!$B$44-((R1418-1)*(1/Q1418)))))/Inputs!$B$44),IF(Inputs!$B$39="pvp",MIN((Skills!Y22*(1+Inputs!$B$34/100)),15)/15,MIN(1,(Skills!Y22*(1+Inputs!$B$34/100))/(1/Q1418)))))+((C1399=TRUE)*F1399*3)+((C1401=TRUE)*F1401*(1-EXP(-0.75*B1434*5)))+((C1420=TRUE)*(F1420-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1407=TRUE)*F1407*IF(AND(Inputs!$B$39&lt;&gt;"pvp",Inputs!$B$44&gt;0),(((R1407-1)*MIN((Skills!Y11*(1+Inputs!$B$34/100)),(1/Q1407))+MIN((Skills!Y11*(1+Inputs!$B$34/100)),MAX(0,Inputs!$B$44-((R1407-1)*(1/Q1407)))))/Inputs!$B$44),IF(Inputs!$B$39="pvp",MIN((Skills!Y11*(1+Inputs!$B$34/100)),15)/15,MIN(1,(Skills!Y11*(1+Inputs!$B$34/100))/(1/Q1407)))))/100)*(1+((C1412=TRUE)*F1412*IF(AND(Inputs!$B$39&lt;&gt;"pvp",Inputs!$B$44&gt;0),(((R1412-1)*MIN((Skills!Y16*(1+Inputs!$B$34/100)),(1/Q1412))+MIN((Skills!Y16*(1+Inputs!$B$34/100)),MAX(0,Inputs!$B$44-((R1412-1)*(1/Q1412)))))/Inputs!$B$44),IF(Inputs!$B$39="pvp",MIN((Skills!Y16*(1+Inputs!$B$34/100)),15)/15,MIN(1,(Skills!Y16*(1+Inputs!$B$34/100))/(1/Q1412)))))/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1432*I1398)</f>
        <v/>
      </c>
      <c r="L1398">
        <f>K1398*(MIN(Inputs!$B$22+((C1421=TRUE)*(F1421-Calc!F25)),(Inputs!$B$23+((C1426=TRUE)*(F1426-Calc!F30))+IF(ArtifactsInput!$M$15,CHOOSE(ArtifactsInput!$N$15+1,25,30,35,40,45,50)/100*(Inputs!$B$11-Inputs!$B$11),0)))/100+(Inputs!$B$23+((C1426=TRUE)*(F1426-Calc!F30))+IF(ArtifactsInput!$M$15,CHOOSE(ArtifactsInput!$N$15+1,25,30,35,40,45,50)/100*(Inputs!$B$11-Inputs!$B$11),0))/100)/2</f>
        <v/>
      </c>
      <c r="M1398">
        <f>L1398*(1+(Inputs!$B$10+((C1423=TRUE)*(F1423-Calc!F27))+B1437+(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1398">
        <f>L1398*(1-MIN((Inputs!$B$9+((C1422=TRUE)*(F1422-Calc!F26))+B1430+(ArtifactsInput!$M$24-ArtifactsInput!$M$24)*CHOOSE(ArtifactsInput!$N$24+1,10,12,14,16,18,20)+(IF(AND(Inputs!$B$39&lt;&gt;"pvp",Inputs!$B$44=0),1,IF(IF(Inputs!$B$39="pvp",15,Inputs!$B$44)-(B1441)&lt;=0,1,MAX(0,IF(Inputs!$B$39="pvp",15,Inputs!$B$44)-MAX(5,B1441))/(IF(Inputs!$B$39="pvp",15,Inputs!$B$44)-(B1441))))*IF(AND(ArtifactsInput!$M$42,((Inputs!$B$9+((C1422=TRUE)*(F1422-Calc!F26))+B1430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1398*(MIN((Inputs!$B$9+((C1422=TRUE)*(F1422-Calc!F26))+B1430+(ArtifactsInput!$M$24-ArtifactsInput!$M$24)*CHOOSE(ArtifactsInput!$N$24+1,10,12,14,16,18,20)+(IF(AND(Inputs!$B$39&lt;&gt;"pvp",Inputs!$B$44=0),1,IF(IF(Inputs!$B$39="pvp",15,Inputs!$B$44)-(B1441)&lt;=0,1,MAX(0,IF(Inputs!$B$39="pvp",15,Inputs!$B$44)-MAX(5,B1441))/(IF(Inputs!$B$39="pvp",15,Inputs!$B$44)-(B1441))))*IF(AND(ArtifactsInput!$M$42,((Inputs!$B$9+((C1422=TRUE)*(F1422-Calc!F26))+B1430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398">
        <f>(1-Summary!$B$11)*T1398+Summary!$B$11*V1398</f>
        <v/>
      </c>
      <c r="P1398">
        <f>IF(B1442=0,0,O1398/B1442)</f>
        <v/>
      </c>
      <c r="Q1398" t="n">
        <v>0</v>
      </c>
      <c r="R1398" t="n">
        <v>0</v>
      </c>
      <c r="S1398">
        <f>IFERROR(O1398/N1398,0)</f>
        <v/>
      </c>
      <c r="T1398">
        <f>IF(C1398,(Skills!G2*N1398*B1436)*IF(Inputs!$B$39="pvp",1,1+(Inputs!$B$20+0+Skills!P2+B1431+(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Hunt"),CHOOSE(ArtifactsInput!$N$35+1,15,18,21,24,27,30)*(1-EXP(-(0.2*B1434)*5)),0)+IF(AND(ArtifactsInput!$M$22,Inputs!$B$4&lt;&gt;"Chapter Hunt"),CHOOSE(ArtifactsInput!$N$22+1,10,12,14,16,18,20)*((0*(((0.15*B1434*5))^0/1)+1*(((0.15*B1434*5))^1/1)+2*(((0.15*B1434*5))^2/2)+3*(((0.15*B1434*5))^3/6)+4*(((0.15*B1434*5))^4/24)+5*(((0.15*B1434*5))^5/120))/((((0.15*B1434*5))^0/1)+(((0.15*B1434*5))^1/1)+(((0.15*B1434*5))^2/2)+(((0.15*B1434*5))^3/6)+(((0.15*B1434*5))^4/24)+(((0.15*B1434*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1398*(1-MIN(100,(Inputs!$B$9+((C1422=TRUE)*(F1422-Calc!F26))+B1430+(ArtifactsInput!$M$24-ArtifactsInput!$M$24)*CHOOSE(ArtifactsInput!$N$24+1,10,12,14,16,18,20)+(IF(AND(Inputs!$B$39&lt;&gt;"pvp",Inputs!$B$44=0),1,IF(IF(Inputs!$B$39="pvp",15,Inputs!$B$44)-(B1441)&lt;=0,1,MAX(0,IF(Inputs!$B$39="pvp",15,Inputs!$B$44)-MAX(5,B1441))/(IF(Inputs!$B$39="pvp",15,Inputs!$B$44)-(B1441))))*IF(AND(ArtifactsInput!$M$42,((Inputs!$B$9+((C1422=TRUE)*(F1422-Calc!F26))+B1430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1398*(MIN(100,(Inputs!$B$9+((C1422=TRUE)*(F1422-Calc!F26))+B1430+(ArtifactsInput!$M$24-ArtifactsInput!$M$24)*CHOOSE(ArtifactsInput!$N$24+1,10,12,14,16,18,20)+(IF(AND(Inputs!$B$39&lt;&gt;"pvp",Inputs!$B$44=0),1,IF(IF(Inputs!$B$39="pvp",15,Inputs!$B$44)-(B1441)&lt;=0,1,MAX(0,IF(Inputs!$B$39="pvp",15,Inputs!$B$44)-MAX(5,B1441))/(IF(Inputs!$B$39="pvp",15,Inputs!$B$44)-(B1441))))*IF(AND(ArtifactsInput!$M$42,((Inputs!$B$9+((C1422=TRUE)*(F1422-Calc!F26))+B1430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1398*(1-MIN(100,(Inputs!$B$9+((C1422=TRUE)*(F1422-Calc!F26))+B1430+(ArtifactsInput!$M$24-ArtifactsInput!$M$24)*CHOOSE(ArtifactsInput!$N$24+1,10,12,14,16,18,20)+(IF(AND(Inputs!$B$39&lt;&gt;"pvp",Inputs!$B$44=0),1,IF(IF(Inputs!$B$39="pvp",15,Inputs!$B$44)-(B1441)&lt;=0,1,MAX(0,IF(Inputs!$B$39="pvp",15,Inputs!$B$44)-MAX(5,B1441))/(IF(Inputs!$B$39="pvp",15,Inputs!$B$44)-(B1441))))*IF(AND(ArtifactsInput!$M$42,((Inputs!$B$9+((C1422=TRUE)*(F1422-Calc!F26))+B1430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1398*(MIN(100,(Inputs!$B$9+((C1422=TRUE)*(F1422-Calc!F26))+B1430+(ArtifactsInput!$M$24-ArtifactsInput!$M$24)*CHOOSE(ArtifactsInput!$N$24+1,10,12,14,16,18,20)+(IF(AND(Inputs!$B$39&lt;&gt;"pvp",Inputs!$B$44=0),1,IF(IF(Inputs!$B$39="pvp",15,Inputs!$B$44)-(B1441)&lt;=0,1,MAX(0,IF(Inputs!$B$39="pvp",15,Inputs!$B$44)-MAX(5,B1441))/(IF(Inputs!$B$39="pvp",15,Inputs!$B$44)-(B1441))))*IF(AND(ArtifactsInput!$M$42,((Inputs!$B$9+((C1422=TRUE)*(F1422-Calc!F26))+B1430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1398">
        <f>MAX(0,(Inputs!$B$3-100)*3)+Inputs!$B$28+Inputs!$B$29</f>
        <v/>
      </c>
      <c r="V1398">
        <f>IF(C1398,(Skills!G2*N1398*B1436)*IF(Inputs!$B$39="pvp",1,(1+(Inputs!$B$21+Skills!Q2+B1431+(IF(ArtifactsInput!$M$33,CHOOSE(ArtifactsInput!$N$33+1,30,36,42,48,54,60),0))+(IF(AND(ArtifactsInput!$M$35,Inputs!$B$4&lt;&gt;"Chapter Hunt"),CHOOSE(ArtifactsInput!$N$35+1,15,18,21,24,27,30)*(1-EXP(-(0.2*B1434)*5)),0)+IF(AND(ArtifactsInput!$M$22,Inputs!$B$4&lt;&gt;"Chapter Hunt"),CHOOSE(ArtifactsInput!$N$22+1,10,12,14,16,18,20)*((0*(((0.15*B1434*5))^0/1)+1*(((0.15*B1434*5))^1/1)+2*(((0.15*B1434*5))^2/2)+3*(((0.15*B1434*5))^3/6)+4*(((0.15*B1434*5))^4/24)+5*(((0.15*B1434*5))^5/120))/((((0.15*B1434*5))^0/1)+(((0.15*B1434*5))^1/1)+(((0.15*B1434*5))^2/2)+(((0.15*B1434*5))^3/6)+(((0.15*B1434*5))^4/24)+(((0.15*B1434*5))^5/120))),0)))/100)*(MIN((6+Inputs!$B$33),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399">
      <c r="A1399">
        <f>Skills!A3</f>
        <v/>
      </c>
      <c r="B1399">
        <f>Skills!B3</f>
        <v/>
      </c>
      <c r="C1399">
        <f>Inputs!$B$3&gt;=35</f>
        <v/>
      </c>
      <c r="D1399">
        <f>IF(Skills!C3=1,60+Inputs!$B$25+Inputs!$B$29,IF(Skills!C3=2,90+Inputs!$B$26+Inputs!$B$29,IF(Skills!C3=3,120+Inputs!$B$27+Inputs!$B$29,MAX(0,(Inputs!$B$3-100)*3)+Inputs!$B$28+Inputs!$B$29)))</f>
        <v/>
      </c>
      <c r="E1399">
        <f>INDEX(FactorTable!$B$2:$Y$301, MATCH(ROUND(MIN(300,MAX(1,D1399)),0), FactorTable!$A$2:$A$301,0), Skills!M3+1)</f>
        <v/>
      </c>
      <c r="F1399">
        <f>IF(Skills!N3=TRUE,(Skills!L3/10)*(E1399/1000),Skills!L3/10)+Skills!O3</f>
        <v/>
      </c>
      <c r="G1399">
        <f>Skills!G3*IF(Skills!H3&gt;0,IF(Inputs!$B$39="pvp",MIN(Skills!I3,15),Skills!I3)/Skills!H3,1)</f>
        <v/>
      </c>
      <c r="H1399">
        <f>1-(1-Skills!J3/100)^Skills!K3</f>
        <v/>
      </c>
      <c r="I1399" t="inlineStr">
        <is>
          <t>1</t>
        </is>
      </c>
      <c r="J1399" t="inlineStr"/>
      <c r="K1399" t="inlineStr"/>
      <c r="L1399" t="inlineStr"/>
      <c r="M1399" t="inlineStr"/>
      <c r="N1399" t="inlineStr"/>
      <c r="O1399">
        <f>(1-Summary!$B$11)*T1399+Summary!$B$11*V1399</f>
        <v/>
      </c>
      <c r="P1399">
        <f>IF(B1442=0,0,O1399/B1442)</f>
        <v/>
      </c>
      <c r="Q1399" t="n">
        <v>0</v>
      </c>
      <c r="R1399" t="n">
        <v>0</v>
      </c>
      <c r="S1399">
        <f>IFERROR(O1399/N1399,0)</f>
        <v/>
      </c>
      <c r="T1399" t="n">
        <v>0</v>
      </c>
      <c r="U1399">
        <f>INDEX(FactorTable!$B$2:$Y$301, MATCH(ROUND(MIN(300,MAX(1,U1398)),0), FactorTable!$A$2:$A$301,0), 22)</f>
        <v/>
      </c>
      <c r="V1399" t="n">
        <v>0</v>
      </c>
    </row>
    <row r="1400">
      <c r="A1400">
        <f>Skills!A4</f>
        <v/>
      </c>
      <c r="B1400">
        <f>Skills!B4</f>
        <v/>
      </c>
      <c r="C1400">
        <f>Inputs!$B$3&gt;=66</f>
        <v/>
      </c>
      <c r="D1400">
        <f>IF(Skills!C4=1,60+Inputs!$B$25+Inputs!$B$29,IF(Skills!C4=2,90+Inputs!$B$26+Inputs!$B$29,IF(Skills!C4=3,120+Inputs!$B$27+Inputs!$B$29,MAX(0,(Inputs!$B$3-100)*3)+Inputs!$B$28+Inputs!$B$29)))</f>
        <v/>
      </c>
      <c r="E1400">
        <f>INDEX(FactorTable!$B$2:$Y$301, MATCH(ROUND(MIN(300,MAX(1,D1400)),0), FactorTable!$A$2:$A$301,0), Skills!M4+1)</f>
        <v/>
      </c>
      <c r="F1400">
        <f>IF(Skills!N4=TRUE,(Skills!L4/10)*(E1400/1000),Skills!L4/10)+Skills!O4</f>
        <v/>
      </c>
      <c r="G1400">
        <f>Skills!G4*IF(Skills!H4&gt;0,IF(Inputs!$B$39="pvp",MIN(Skills!I4,15),Skills!I4)/Skills!H4,1)</f>
        <v/>
      </c>
      <c r="H1400">
        <f>1-(1-Skills!J4/100)^Skills!K4</f>
        <v/>
      </c>
      <c r="I1400" t="inlineStr">
        <is>
          <t>1</t>
        </is>
      </c>
      <c r="J1400">
        <f>((Inputs!$B$6*(1+Inputs!$B$7/100))+(((Inputs!$B$12*(1+Inputs!$B$13/100))-(Inputs!$B$12*(1+Inputs!$B$13/100)))+0.25*(Inputs!$B$14-Inputs!$B$14))*(1+Inputs!$B$7/100))*(F1400/100)</f>
        <v/>
      </c>
      <c r="K1400">
        <f>J1400*(1+((Inputs!$B$12*(1+Inputs!$B$13/100))*0.01+Inputs!$B$14*0.0025)/100)*(1+Inputs!$B$15/100)*(1+Inputs!$B$16/100)*(5000/(6000+Inputs!$B$43*(1-(100*(1-(1-Inputs!$B$19/100)*(1-CHOOSE(ArtifactsInput!$N$40+1,5,6,7,8,9,10)/100)^(ArtifactsInput!$M$40-ArtifactsInput!$M$40)))/100)))*(1+(Inputs!$B$24+((C1427=TRUE)*(F1427-Calc!F31))+((C1414=TRUE)*(F1414-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4="CRUEL_STAB",Inputs!$B$17+((C1424=TRUE)*(F1424-Calc!F28))+((IF(AND(Inputs!$B$39&lt;&gt;"pvp",Inputs!$B$44=0),1,IF(IF(Inputs!$B$39="pvp",15,Inputs!$B$44)-(B1441)&lt;=0,1,MAX(0,IF(Inputs!$B$39="pvp",15,Inputs!$B$44)-MAX(5,B1441))/(IF(Inputs!$B$39="pvp",15,Inputs!$B$44)-(B1441))))*(IF(AND(ArtifactsInput!$M$42,((Inputs!$B$9+((C1422=TRUE)*(F1422-Calc!F26))+B1430+(ArtifactsInput!$M$24-ArtifactsInput!$M$24)*CHOOSE(ArtifactsInput!$N$24+1,10,12,14,16,18,20)+IF(ArtifactsInput!$M$10,CHOOSE(ArtifactsInput!$N$10+1,15,18,21,24,27,30)*(IF(Inputs!$B$39="pvp",MIN(15,15)/15,IF(AND(Inputs!$B$39&lt;&gt;"pvp",Inputs!$B$44&gt;0),MIN(15,Inputs!$B$44)/(Inputs!$B$44),0))),0)))&gt;=100),MIN(100,((Inputs!$B$9+((C1422=TRUE)*(F1422-Calc!F26))+B1430+(ArtifactsInput!$M$24-ArtifactsInput!$M$24)*CHOOSE(ArtifactsInput!$N$24+1,10,12,14,16,18,20)+IF(ArtifactsInput!$M$10,CHOOSE(ArtifactsInput!$N$10+1,15,18,21,24,27,30)*(IF(Inputs!$B$39="pvp",MIN(15,15)/15,IF(AND(Inputs!$B$39&lt;&gt;"pvp",Inputs!$B$44&gt;0),MIN(15,Inputs!$B$44)/(Inputs!$B$44),0))),0)))-100),0))*CHOOSE(ArtifactsInput!$N$42+1,0.6,0.72,0.84,0.96,1.08,1.2))),Inputs!$B$18+((C1425=TRUE)*(F1425-Calc!F29))+(IF(AND(Inputs!$B$39&lt;&gt;"pvp",Inputs!$B$44=0),1,IF(IF(Inputs!$B$39="pvp",15,Inputs!$B$44)-(B1441)&lt;=0,1,MAX(0,IF(Inputs!$B$39="pvp",15,Inputs!$B$44)-MAX(5,B1441))/(IF(Inputs!$B$39="pvp",15,Inputs!$B$44)-(B1441))))*IF(AND(ArtifactsInput!$M$42,((Inputs!$B$9+((C1422=TRUE)*(F1422-Calc!F26))+B1430+(ArtifactsInput!$M$24-ArtifactsInput!$M$24)*CHOOSE(ArtifactsInput!$N$24+1,10,12,14,16,18,20)+IF(ArtifactsInput!$M$10,CHOOSE(ArtifactsInput!$N$10+1,15,18,21,24,27,30)*(IF(Inputs!$B$39="pvp",MIN(15,15)/15,IF(AND(Inputs!$B$39&lt;&gt;"pvp",Inputs!$B$44&gt;0),MIN(15,Inputs!$B$44)/(Inputs!$B$44),0))),0)))&gt;=100),CHOOSE(ArtifactsInput!$N$42+1,40,48,56,64,72,80),0))))/100)*(((1+(((C1418=TRUE)*F1418*IF(AND(Inputs!$B$39&lt;&gt;"pvp",Inputs!$B$44&gt;0),(((R1418-1)*MIN((Skills!Y22*(1+Inputs!$B$34/100)),(1/Q1418))+MIN((Skills!Y22*(1+Inputs!$B$34/100)),MAX(0,Inputs!$B$44-((R1418-1)*(1/Q1418)))))/Inputs!$B$44),IF(Inputs!$B$39="pvp",MIN((Skills!Y22*(1+Inputs!$B$34/100)),15)/15,MIN(1,(Skills!Y22*(1+Inputs!$B$34/100))/(1/Q1418)))))+((C1399=TRUE)*F1399*3)+((C1401=TRUE)*F1401*(1-EXP(-0.75*B1434*5)))+((C1420=TRUE)*(F1420-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1407=TRUE)*F1407*IF(AND(Inputs!$B$39&lt;&gt;"pvp",Inputs!$B$44&gt;0),(((R1407-1)*MIN((Skills!Y11*(1+Inputs!$B$34/100)),(1/Q1407))+MIN((Skills!Y11*(1+Inputs!$B$34/100)),MAX(0,Inputs!$B$44-((R1407-1)*(1/Q1407)))))/Inputs!$B$44),IF(Inputs!$B$39="pvp",MIN((Skills!Y11*(1+Inputs!$B$34/100)),15)/15,MIN(1,(Skills!Y11*(1+Inputs!$B$34/100))/(1/Q1407)))))/100)*(1+((C1412=TRUE)*F1412*IF(AND(Inputs!$B$39&lt;&gt;"pvp",Inputs!$B$44&gt;0),(((R1412-1)*MIN((Skills!Y16*(1+Inputs!$B$34/100)),(1/Q1412))+MIN((Skills!Y16*(1+Inputs!$B$34/100)),MAX(0,Inputs!$B$44-((R1412-1)*(1/Q1412)))))/Inputs!$B$44),IF(Inputs!$B$39="pvp",MIN((Skills!Y16*(1+Inputs!$B$34/100)),15)/15,MIN(1,(Skills!Y16*(1+Inputs!$B$34/100))/(1/Q1412)))))/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1432*I1400)</f>
        <v/>
      </c>
      <c r="L1400">
        <f>K1400*(MIN(Inputs!$B$22+((C1421=TRUE)*(F1421-Calc!F25)),(Inputs!$B$23+((C1426=TRUE)*(F1426-Calc!F30))+IF(ArtifactsInput!$M$15,CHOOSE(ArtifactsInput!$N$15+1,25,30,35,40,45,50)/100*(Inputs!$B$11-Inputs!$B$11),0)))/100+(Inputs!$B$23+((C1426=TRUE)*(F1426-Calc!F30))+IF(ArtifactsInput!$M$15,CHOOSE(ArtifactsInput!$N$15+1,25,30,35,40,45,50)/100*(Inputs!$B$11-Inputs!$B$11),0))/100)/2</f>
        <v/>
      </c>
      <c r="M1400">
        <f>L1400*(1+(Inputs!$B$10+((C1423=TRUE)*(F1423-Calc!F27))+B1437+(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1400">
        <f>L1400*(1-MIN((Inputs!$B$9+((C1422=TRUE)*(F1422-Calc!F26))+B1430+(ArtifactsInput!$M$24-ArtifactsInput!$M$24)*CHOOSE(ArtifactsInput!$N$24+1,10,12,14,16,18,20)+(IF(AND(Inputs!$B$39&lt;&gt;"pvp",Inputs!$B$44=0),1,IF(IF(Inputs!$B$39="pvp",15,Inputs!$B$44)-(B1441)&lt;=0,1,MAX(0,IF(Inputs!$B$39="pvp",15,Inputs!$B$44)-MAX(5,B1441))/(IF(Inputs!$B$39="pvp",15,Inputs!$B$44)-(B1441))))*IF(AND(ArtifactsInput!$M$42,((Inputs!$B$9+((C1422=TRUE)*(F1422-Calc!F26))+B1430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1400*(MIN((Inputs!$B$9+((C1422=TRUE)*(F1422-Calc!F26))+B1430+(ArtifactsInput!$M$24-ArtifactsInput!$M$24)*CHOOSE(ArtifactsInput!$N$24+1,10,12,14,16,18,20)+(IF(AND(Inputs!$B$39&lt;&gt;"pvp",Inputs!$B$44=0),1,IF(IF(Inputs!$B$39="pvp",15,Inputs!$B$44)-(B1441)&lt;=0,1,MAX(0,IF(Inputs!$B$39="pvp",15,Inputs!$B$44)-MAX(5,B1441))/(IF(Inputs!$B$39="pvp",15,Inputs!$B$44)-(B1441))))*IF(AND(ArtifactsInput!$M$42,((Inputs!$B$9+((C1422=TRUE)*(F1422-Calc!F26))+B1430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400">
        <f>(1-Summary!$B$11)*T1400+Summary!$B$11*V1400</f>
        <v/>
      </c>
      <c r="P1400">
        <f>IF(B1442=0,0,O1400/B1442)</f>
        <v/>
      </c>
      <c r="Q1400">
        <f>IFERROR(1/IF(Inputs!$B$39="pvp",15,MAX(0.1,Skills!D4-IF(TRUE=TRUE,Inputs!$B$32,0))),0)</f>
        <v/>
      </c>
      <c r="R1400">
        <f>IF(AND(Inputs!$B$39&lt;&gt;"pvp",Inputs!$B$44&gt;0),IF(MAX(0,Inputs!$B$44-B1441)&lt;=0,0,(INT(MAX(0,Inputs!$B$44-B1441)/IF(Inputs!$B$39="pvp",15,MAX(0.1,Skills!D4-IF(TRUE=TRUE,Inputs!$B$32,0))))+1)),0)</f>
        <v/>
      </c>
      <c r="S1400">
        <f>IFERROR(O1400/N1400,0)</f>
        <v/>
      </c>
      <c r="T1400">
        <f>IF(C1400,(H1400*N1400*IF(AND(Inputs!$B$39&lt;&gt;"pvp",Inputs!$B$44&gt;0),((Skills!G4*((R1400-1)*IF(Skills!H4&gt;0,Skills!I4/Skills!H4,1)+IF(Skills!H4&gt;0,MIN(Skills!I4,MAX(0,MAX(0,Inputs!$B$44-B1441)-((R1400-1)*IF(Inputs!$B$39="pvp",15,MAX(0.1,Skills!D4-IF(TRUE=TRUE,Inputs!$B$32,0))))))/Skills!H4,1)))/Inputs!$B$44),G1400*Q1400))*IF(Inputs!$B$39="pvp",1,1+(Inputs!$B$20+0+Skills!P4+B1431+(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Hunt"),CHOOSE(ArtifactsInput!$N$35+1,15,18,21,24,27,30)*(1-EXP(-(0.2*B1434)*5)),0)+IF(AND(ArtifactsInput!$M$22,Inputs!$B$4&lt;&gt;"Chapter Hunt"),CHOOSE(ArtifactsInput!$N$22+1,10,12,14,16,18,20)*((0*(((0.15*B1434*5))^0/1)+1*(((0.15*B1434*5))^1/1)+2*(((0.15*B1434*5))^2/2)+3*(((0.15*B1434*5))^3/6)+4*(((0.15*B1434*5))^4/24)+5*(((0.15*B1434*5))^5/120))/((((0.15*B1434*5))^0/1)+(((0.15*B1434*5))^1/1)+(((0.15*B1434*5))^2/2)+(((0.15*B1434*5))^3/6)+(((0.15*B1434*5))^4/24)+(((0.15*B1434*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1400*(1-MIN(100,(Inputs!$B$9+((C1422=TRUE)*(F1422-Calc!F26))+B1430+(ArtifactsInput!$M$24-ArtifactsInput!$M$24)*CHOOSE(ArtifactsInput!$N$24+1,10,12,14,16,18,20)+(IF(AND(Inputs!$B$39&lt;&gt;"pvp",Inputs!$B$44=0),1,IF(IF(Inputs!$B$39="pvp",15,Inputs!$B$44)-(B1441)&lt;=0,1,MAX(0,IF(Inputs!$B$39="pvp",15,Inputs!$B$44)-MAX(5,B1441))/(IF(Inputs!$B$39="pvp",15,Inputs!$B$44)-(B1441))))*IF(AND(ArtifactsInput!$M$42,((Inputs!$B$9+((C1422=TRUE)*(F1422-Calc!F26))+B1430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1400*(MIN(100,(Inputs!$B$9+((C1422=TRUE)*(F1422-Calc!F26))+B1430+(ArtifactsInput!$M$24-ArtifactsInput!$M$24)*CHOOSE(ArtifactsInput!$N$24+1,10,12,14,16,18,20)+(IF(AND(Inputs!$B$39&lt;&gt;"pvp",Inputs!$B$44=0),1,IF(IF(Inputs!$B$39="pvp",15,Inputs!$B$44)-(B1441)&lt;=0,1,MAX(0,IF(Inputs!$B$39="pvp",15,Inputs!$B$44)-MAX(5,B1441))/(IF(Inputs!$B$39="pvp",15,Inputs!$B$44)-(B1441))))*IF(AND(ArtifactsInput!$M$42,((Inputs!$B$9+((C1422=TRUE)*(F1422-Calc!F26))+B1430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1400*(1-MIN(100,(Inputs!$B$9+((C1422=TRUE)*(F1422-Calc!F26))+B1430+(ArtifactsInput!$M$24-ArtifactsInput!$M$24)*CHOOSE(ArtifactsInput!$N$24+1,10,12,14,16,18,20)+(IF(AND(Inputs!$B$39&lt;&gt;"pvp",Inputs!$B$44=0),1,IF(IF(Inputs!$B$39="pvp",15,Inputs!$B$44)-(B1441)&lt;=0,1,MAX(0,IF(Inputs!$B$39="pvp",15,Inputs!$B$44)-MAX(5,B1441))/(IF(Inputs!$B$39="pvp",15,Inputs!$B$44)-(B1441))))*IF(AND(ArtifactsInput!$M$42,((Inputs!$B$9+((C1422=TRUE)*(F1422-Calc!F26))+B1430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1400*(MIN(100,(Inputs!$B$9+((C1422=TRUE)*(F1422-Calc!F26))+B1430+(ArtifactsInput!$M$24-ArtifactsInput!$M$24)*CHOOSE(ArtifactsInput!$N$24+1,10,12,14,16,18,20)+(IF(AND(Inputs!$B$39&lt;&gt;"pvp",Inputs!$B$44=0),1,IF(IF(Inputs!$B$39="pvp",15,Inputs!$B$44)-(B1441)&lt;=0,1,MAX(0,IF(Inputs!$B$39="pvp",15,Inputs!$B$44)-MAX(5,B1441))/(IF(Inputs!$B$39="pvp",15,Inputs!$B$44)-(B1441))))*IF(AND(ArtifactsInput!$M$42,((Inputs!$B$9+((C1422=TRUE)*(F1422-Calc!F26))+B1430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1400">
        <f>290*U1399/1000</f>
        <v/>
      </c>
      <c r="V1400">
        <f>IF(C1400,(H1400*N1400*IF(AND(Inputs!$B$39&lt;&gt;"pvp",Inputs!$B$44&gt;0),((Skills!G4*((R1400-1)*IF(Skills!H4&gt;0,Skills!I4/Skills!H4,1)+IF(Skills!H4&gt;0,MIN(Skills!I4,MAX(0,MAX(0,Inputs!$B$44-B1441)-((R1400-1)*IF(Inputs!$B$39="pvp",15,MAX(0.1,Skills!D4-IF(TRUE=TRUE,Inputs!$B$32,0))))))/Skills!H4,1)))/Inputs!$B$44),G1400*Q1400))*IF(Inputs!$B$39="pvp",1,(1+(Inputs!$B$21+Skills!Q4+B1431+(IF(ArtifactsInput!$M$33,CHOOSE(ArtifactsInput!$N$33+1,30,36,42,48,54,60),0))+(IF(AND(ArtifactsInput!$M$35,Inputs!$B$4&lt;&gt;"Chapter Hunt"),CHOOSE(ArtifactsInput!$N$35+1,15,18,21,24,27,30)*(1-EXP(-(0.2*B1434)*5)),0)+IF(AND(ArtifactsInput!$M$22,Inputs!$B$4&lt;&gt;"Chapter Hunt"),CHOOSE(ArtifactsInput!$N$22+1,10,12,14,16,18,20)*((0*(((0.15*B1434*5))^0/1)+1*(((0.15*B1434*5))^1/1)+2*(((0.15*B1434*5))^2/2)+3*(((0.15*B1434*5))^3/6)+4*(((0.15*B1434*5))^4/24)+5*(((0.15*B1434*5))^5/120))/((((0.15*B1434*5))^0/1)+(((0.15*B1434*5))^1/1)+(((0.15*B1434*5))^2/2)+(((0.15*B1434*5))^3/6)+(((0.15*B1434*5))^4/24)+(((0.15*B1434*5))^5/120))),0)))/100)*(MIN(MIN(10,IF(Inputs!$B$3&gt;=75,0.75,0.5)*B1434*(1/Q1400)),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401">
      <c r="A1401">
        <f>Skills!A5</f>
        <v/>
      </c>
      <c r="B1401">
        <f>Skills!B5</f>
        <v/>
      </c>
      <c r="C1401">
        <f>Inputs!$B$3&gt;=75</f>
        <v/>
      </c>
      <c r="D1401">
        <f>IF(Skills!C5=1,60+Inputs!$B$25+Inputs!$B$29,IF(Skills!C5=2,90+Inputs!$B$26+Inputs!$B$29,IF(Skills!C5=3,120+Inputs!$B$27+Inputs!$B$29,MAX(0,(Inputs!$B$3-100)*3)+Inputs!$B$28+Inputs!$B$29)))</f>
        <v/>
      </c>
      <c r="E1401">
        <f>INDEX(FactorTable!$B$2:$Y$301, MATCH(ROUND(MIN(300,MAX(1,D1401)),0), FactorTable!$A$2:$A$301,0), Skills!M5+1)</f>
        <v/>
      </c>
      <c r="F1401">
        <f>IF(Skills!N5=TRUE,(Skills!L5/10)*(E1401/1000),Skills!L5/10)+Skills!O5</f>
        <v/>
      </c>
      <c r="G1401">
        <f>Skills!G5*IF(Skills!H5&gt;0,IF(Inputs!$B$39="pvp",MIN(Skills!I5,15),Skills!I5)/Skills!H5,1)</f>
        <v/>
      </c>
      <c r="H1401">
        <f>1-(1-Skills!J5/100)^Skills!K5</f>
        <v/>
      </c>
      <c r="I1401" t="inlineStr">
        <is>
          <t>1</t>
        </is>
      </c>
      <c r="J1401" t="inlineStr"/>
      <c r="K1401" t="inlineStr"/>
      <c r="L1401" t="inlineStr"/>
      <c r="M1401" t="inlineStr"/>
      <c r="N1401" t="inlineStr"/>
      <c r="O1401">
        <f>(1-Summary!$B$11)*T1401+Summary!$B$11*V1401</f>
        <v/>
      </c>
      <c r="P1401">
        <f>IF(B1442=0,0,O1401/B1442)</f>
        <v/>
      </c>
      <c r="Q1401" t="n">
        <v>0</v>
      </c>
      <c r="R1401" t="n">
        <v>0</v>
      </c>
      <c r="S1401">
        <f>IFERROR(O1401/N1401,0)</f>
        <v/>
      </c>
      <c r="T1401" t="n">
        <v>0</v>
      </c>
      <c r="V1401" t="n">
        <v>0</v>
      </c>
    </row>
    <row r="1402">
      <c r="A1402">
        <f>Skills!A6</f>
        <v/>
      </c>
      <c r="B1402">
        <f>Skills!B6</f>
        <v/>
      </c>
      <c r="C1402">
        <f>Inputs!$B$3&gt;=63</f>
        <v/>
      </c>
      <c r="D1402">
        <f>IF(Skills!C6=1,60+Inputs!$B$25+Inputs!$B$29,IF(Skills!C6=2,90+Inputs!$B$26+Inputs!$B$29,IF(Skills!C6=3,120+Inputs!$B$27+Inputs!$B$29,MAX(0,(Inputs!$B$3-100)*3)+Inputs!$B$28+Inputs!$B$29)))</f>
        <v/>
      </c>
      <c r="E1402">
        <f>INDEX(FactorTable!$B$2:$Y$301, MATCH(ROUND(MIN(300,MAX(1,D1402)),0), FactorTable!$A$2:$A$301,0), Skills!M6+1)</f>
        <v/>
      </c>
      <c r="F1402">
        <f>IF(Skills!N6=TRUE,(Skills!L6/10)*(E1402/1000),Skills!L6/10)+Skills!O6</f>
        <v/>
      </c>
      <c r="G1402">
        <f>Skills!G6*IF(Skills!H6&gt;0,IF(Inputs!$B$39="pvp",MIN(Skills!I6,15),Skills!I6)/Skills!H6,1)</f>
        <v/>
      </c>
      <c r="H1402">
        <f>1-(1-Skills!J6/100)^Skills!K6</f>
        <v/>
      </c>
      <c r="I1402" t="inlineStr">
        <is>
          <t>1</t>
        </is>
      </c>
      <c r="J1402">
        <f>((Inputs!$B$6*(1+Inputs!$B$7/100))+(((Inputs!$B$12*(1+Inputs!$B$13/100))-(Inputs!$B$12*(1+Inputs!$B$13/100)))+0.25*(Inputs!$B$14-Inputs!$B$14))*(1+Inputs!$B$7/100))*(F1402/100)</f>
        <v/>
      </c>
      <c r="K1402">
        <f>J1402*(1+((Inputs!$B$12*(1+Inputs!$B$13/100))*0.01+Inputs!$B$14*0.0025)/100)*(1+Inputs!$B$15/100)*(1+Inputs!$B$16/100)*(5000/(6000+Inputs!$B$43*(1-(100*(1-(1-Inputs!$B$19/100)*(1-CHOOSE(ArtifactsInput!$N$40+1,5,6,7,8,9,10)/100)^(ArtifactsInput!$M$40-ArtifactsInput!$M$40)))/100)))*(1+(Inputs!$B$24+((C1427=TRUE)*(F1427-Calc!F31))+((C1414=TRUE)*(F1414-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+2.6666666666666665*IF(C1415=TRUE,F1415,0)/100)*(1+(IF(Skills!A6="CRUEL_STAB",Inputs!$B$17+((C1424=TRUE)*(F1424-Calc!F28))+((IF(AND(Inputs!$B$39&lt;&gt;"pvp",Inputs!$B$44=0),1,IF(IF(Inputs!$B$39="pvp",15,Inputs!$B$44)-(B1441)&lt;=0,1,MAX(0,IF(Inputs!$B$39="pvp",15,Inputs!$B$44)-MAX(5,B1441))/(IF(Inputs!$B$39="pvp",15,Inputs!$B$44)-(B1441))))*(IF(AND(ArtifactsInput!$M$42,((Inputs!$B$9+((C1422=TRUE)*(F1422-Calc!F26))+B1430+(ArtifactsInput!$M$24-ArtifactsInput!$M$24)*CHOOSE(ArtifactsInput!$N$24+1,10,12,14,16,18,20)+IF(ArtifactsInput!$M$10,CHOOSE(ArtifactsInput!$N$10+1,15,18,21,24,27,30)*(IF(Inputs!$B$39="pvp",MIN(15,15)/15,IF(AND(Inputs!$B$39&lt;&gt;"pvp",Inputs!$B$44&gt;0),MIN(15,Inputs!$B$44)/(Inputs!$B$44),0))),0)))&gt;=100),MIN(100,((Inputs!$B$9+((C1422=TRUE)*(F1422-Calc!F26))+B1430+(ArtifactsInput!$M$24-ArtifactsInput!$M$24)*CHOOSE(ArtifactsInput!$N$24+1,10,12,14,16,18,20)+IF(ArtifactsInput!$M$10,CHOOSE(ArtifactsInput!$N$10+1,15,18,21,24,27,30)*(IF(Inputs!$B$39="pvp",MIN(15,15)/15,IF(AND(Inputs!$B$39&lt;&gt;"pvp",Inputs!$B$44&gt;0),MIN(15,Inputs!$B$44)/(Inputs!$B$44),0))),0)))-100),0))*CHOOSE(ArtifactsInput!$N$42+1,0.6,0.72,0.84,0.96,1.08,1.2))),Inputs!$B$18+((C1425=TRUE)*(F1425-Calc!F29))+(IF(AND(Inputs!$B$39&lt;&gt;"pvp",Inputs!$B$44=0),1,IF(IF(Inputs!$B$39="pvp",15,Inputs!$B$44)-(B1441)&lt;=0,1,MAX(0,IF(Inputs!$B$39="pvp",15,Inputs!$B$44)-MAX(5,B1441))/(IF(Inputs!$B$39="pvp",15,Inputs!$B$44)-(B1441))))*IF(AND(ArtifactsInput!$M$42,((Inputs!$B$9+((C1422=TRUE)*(F1422-Calc!F26))+B1430+(ArtifactsInput!$M$24-ArtifactsInput!$M$24)*CHOOSE(ArtifactsInput!$N$24+1,10,12,14,16,18,20)+IF(ArtifactsInput!$M$10,CHOOSE(ArtifactsInput!$N$10+1,15,18,21,24,27,30)*(IF(Inputs!$B$39="pvp",MIN(15,15)/15,IF(AND(Inputs!$B$39&lt;&gt;"pvp",Inputs!$B$44&gt;0),MIN(15,Inputs!$B$44)/(Inputs!$B$44),0))),0)))&gt;=100),CHOOSE(ArtifactsInput!$N$42+1,40,48,56,64,72,80),0))))/100)*(((1+(((C1418=TRUE)*F1418*IF(AND(Inputs!$B$39&lt;&gt;"pvp",Inputs!$B$44&gt;0),(((R1418-1)*MIN((Skills!Y22*(1+Inputs!$B$34/100)),(1/Q1418))+MIN((Skills!Y22*(1+Inputs!$B$34/100)),MAX(0,Inputs!$B$44-((R1418-1)*(1/Q1418)))))/Inputs!$B$44),IF(Inputs!$B$39="pvp",MIN((Skills!Y22*(1+Inputs!$B$34/100)),15)/15,MIN(1,(Skills!Y22*(1+Inputs!$B$34/100))/(1/Q1418)))))+((C1399=TRUE)*F1399*3)+((C1401=TRUE)*F1401*(1-EXP(-0.75*B1434*5)))+((C1420=TRUE)*(F1420-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1407=TRUE)*F1407*IF(AND(Inputs!$B$39&lt;&gt;"pvp",Inputs!$B$44&gt;0),(((R1407-1)*MIN((Skills!Y11*(1+Inputs!$B$34/100)),(1/Q1407))+MIN((Skills!Y11*(1+Inputs!$B$34/100)),MAX(0,Inputs!$B$44-((R1407-1)*(1/Q1407)))))/Inputs!$B$44),IF(Inputs!$B$39="pvp",MIN((Skills!Y11*(1+Inputs!$B$34/100)),15)/15,MIN(1,(Skills!Y11*(1+Inputs!$B$34/100))/(1/Q1407)))))/100)*(1+((C1412=TRUE)*F1412*IF(AND(Inputs!$B$39&lt;&gt;"pvp",Inputs!$B$44&gt;0),(((R1412-1)*MIN((Skills!Y16*(1+Inputs!$B$34/100)),(1/Q1412))+MIN((Skills!Y16*(1+Inputs!$B$34/100)),MAX(0,Inputs!$B$44-((R1412-1)*(1/Q1412)))))/Inputs!$B$44),IF(Inputs!$B$39="pvp",MIN((Skills!Y16*(1+Inputs!$B$34/100)),15)/15,MIN(1,(Skills!Y16*(1+Inputs!$B$34/100))/(1/Q1412)))))/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1432*I1402)</f>
        <v/>
      </c>
      <c r="L1402">
        <f>K1402*(MIN(Inputs!$B$22+((C1421=TRUE)*(F1421-Calc!F25)),(Inputs!$B$23+((C1426=TRUE)*(F1426-Calc!F30))+IF(ArtifactsInput!$M$15,CHOOSE(ArtifactsInput!$N$15+1,25,30,35,40,45,50)/100*(Inputs!$B$11-Inputs!$B$11),0)))/100+(Inputs!$B$23+((C1426=TRUE)*(F1426-Calc!F30))+IF(ArtifactsInput!$M$15,CHOOSE(ArtifactsInput!$N$15+1,25,30,35,40,45,50)/100*(Inputs!$B$11-Inputs!$B$11),0))/100)/2</f>
        <v/>
      </c>
      <c r="M1402">
        <f>L1402*(1+(Inputs!$B$10+((C1423=TRUE)*(F1423-Calc!F27))+B1437+(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1402">
        <f>L1402*(1-MIN((Inputs!$B$9+((C1422=TRUE)*(F1422-Calc!F26))+B1430+(ArtifactsInput!$M$24-ArtifactsInput!$M$24)*CHOOSE(ArtifactsInput!$N$24+1,10,12,14,16,18,20)+(IF(AND(Inputs!$B$39&lt;&gt;"pvp",Inputs!$B$44=0),1,IF(IF(Inputs!$B$39="pvp",15,Inputs!$B$44)-(B1441)&lt;=0,1,MAX(0,IF(Inputs!$B$39="pvp",15,Inputs!$B$44)-MAX(5,B1441))/(IF(Inputs!$B$39="pvp",15,Inputs!$B$44)-(B1441))))*IF(AND(ArtifactsInput!$M$42,((Inputs!$B$9+((C1422=TRUE)*(F1422-Calc!F26))+B1430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1402*(MIN((Inputs!$B$9+((C1422=TRUE)*(F1422-Calc!F26))+B1430+(ArtifactsInput!$M$24-ArtifactsInput!$M$24)*CHOOSE(ArtifactsInput!$N$24+1,10,12,14,16,18,20)+(IF(AND(Inputs!$B$39&lt;&gt;"pvp",Inputs!$B$44=0),1,IF(IF(Inputs!$B$39="pvp",15,Inputs!$B$44)-(B1441)&lt;=0,1,MAX(0,IF(Inputs!$B$39="pvp",15,Inputs!$B$44)-MAX(5,B1441))/(IF(Inputs!$B$39="pvp",15,Inputs!$B$44)-(B1441))))*IF(AND(ArtifactsInput!$M$42,((Inputs!$B$9+((C1422=TRUE)*(F1422-Calc!F26))+B1430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402">
        <f>(1-Summary!$B$11)*T1402+Summary!$B$11*V1402</f>
        <v/>
      </c>
      <c r="P1402">
        <f>IF(B1442=0,0,O1402/B1442)</f>
        <v/>
      </c>
      <c r="Q1402">
        <f>IFERROR(1/IF(Inputs!$B$39="pvp",15,MAX(0.1,Skills!D6-IF(TRUE=TRUE,Inputs!$B$32,0))),0)</f>
        <v/>
      </c>
      <c r="R1402">
        <f>IF(AND(Inputs!$B$39&lt;&gt;"pvp",Inputs!$B$44&gt;0),IF(MAX(0,Inputs!$B$44-B1441)&lt;=0,0,(INT(MAX(0,Inputs!$B$44-B1441)/IF(Inputs!$B$39="pvp",15,MAX(0.1,Skills!D6-IF(TRUE=TRUE,Inputs!$B$32,0))))+1)),0)</f>
        <v/>
      </c>
      <c r="S1402">
        <f>IFERROR(O1402/N1402,0)</f>
        <v/>
      </c>
      <c r="T1402">
        <f>IF(C1402,(H1402*N1402*IF(AND(Inputs!$B$39&lt;&gt;"pvp",Inputs!$B$44&gt;0),((Skills!G6*((R1402-1)*IF(Skills!H6&gt;0,Skills!I6/Skills!H6,1)+IF(Skills!H6&gt;0,MIN(Skills!I6,MAX(0,MAX(0,Inputs!$B$44-B1441)-((R1402-1)*IF(Inputs!$B$39="pvp",15,MAX(0.1,Skills!D6-IF(TRUE=TRUE,Inputs!$B$32,0))))))/Skills!H6,1)))/Inputs!$B$44),G1402*Q1402))*IF(Inputs!$B$39="pvp",1,1+(Inputs!$B$20+0+Skills!P6+B1431+(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Hunt"),CHOOSE(ArtifactsInput!$N$35+1,15,18,21,24,27,30)*(1-EXP(-(0.2*B1434)*5)),0)+IF(AND(ArtifactsInput!$M$22,Inputs!$B$4&lt;&gt;"Chapter Hunt"),CHOOSE(ArtifactsInput!$N$22+1,10,12,14,16,18,20)*((0*(((0.15*B1434*5))^0/1)+1*(((0.15*B1434*5))^1/1)+2*(((0.15*B1434*5))^2/2)+3*(((0.15*B1434*5))^3/6)+4*(((0.15*B1434*5))^4/24)+5*(((0.15*B1434*5))^5/120))/((((0.15*B1434*5))^0/1)+(((0.15*B1434*5))^1/1)+(((0.15*B1434*5))^2/2)+(((0.15*B1434*5))^3/6)+(((0.15*B1434*5))^4/24)+(((0.15*B1434*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1402*(1-MIN(100,(Inputs!$B$9+((C1422=TRUE)*(F1422-Calc!F26))+B1430+(ArtifactsInput!$M$24-ArtifactsInput!$M$24)*CHOOSE(ArtifactsInput!$N$24+1,10,12,14,16,18,20)+(IF(AND(Inputs!$B$39&lt;&gt;"pvp",Inputs!$B$44=0),1,IF(IF(Inputs!$B$39="pvp",15,Inputs!$B$44)-(B1441)&lt;=0,1,MAX(0,IF(Inputs!$B$39="pvp",15,Inputs!$B$44)-MAX(5,B1441))/(IF(Inputs!$B$39="pvp",15,Inputs!$B$44)-(B1441))))*IF(AND(ArtifactsInput!$M$42,((Inputs!$B$9+((C1422=TRUE)*(F1422-Calc!F26))+B1430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1402*(MIN(100,(Inputs!$B$9+((C1422=TRUE)*(F1422-Calc!F26))+B1430+(ArtifactsInput!$M$24-ArtifactsInput!$M$24)*CHOOSE(ArtifactsInput!$N$24+1,10,12,14,16,18,20)+(IF(AND(Inputs!$B$39&lt;&gt;"pvp",Inputs!$B$44=0),1,IF(IF(Inputs!$B$39="pvp",15,Inputs!$B$44)-(B1441)&lt;=0,1,MAX(0,IF(Inputs!$B$39="pvp",15,Inputs!$B$44)-MAX(5,B1441))/(IF(Inputs!$B$39="pvp",15,Inputs!$B$44)-(B1441))))*IF(AND(ArtifactsInput!$M$42,((Inputs!$B$9+((C1422=TRUE)*(F1422-Calc!F26))+B1430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1402*(1-MIN(100,(Inputs!$B$9+((C1422=TRUE)*(F1422-Calc!F26))+B1430+(ArtifactsInput!$M$24-ArtifactsInput!$M$24)*CHOOSE(ArtifactsInput!$N$24+1,10,12,14,16,18,20)+(IF(AND(Inputs!$B$39&lt;&gt;"pvp",Inputs!$B$44=0),1,IF(IF(Inputs!$B$39="pvp",15,Inputs!$B$44)-(B1441)&lt;=0,1,MAX(0,IF(Inputs!$B$39="pvp",15,Inputs!$B$44)-MAX(5,B1441))/(IF(Inputs!$B$39="pvp",15,Inputs!$B$44)-(B1441))))*IF(AND(ArtifactsInput!$M$42,((Inputs!$B$9+((C1422=TRUE)*(F1422-Calc!F26))+B1430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1402*(MIN(100,(Inputs!$B$9+((C1422=TRUE)*(F1422-Calc!F26))+B1430+(ArtifactsInput!$M$24-ArtifactsInput!$M$24)*CHOOSE(ArtifactsInput!$N$24+1,10,12,14,16,18,20)+(IF(AND(Inputs!$B$39&lt;&gt;"pvp",Inputs!$B$44=0),1,IF(IF(Inputs!$B$39="pvp",15,Inputs!$B$44)-(B1441)&lt;=0,1,MAX(0,IF(Inputs!$B$39="pvp",15,Inputs!$B$44)-MAX(5,B1441))/(IF(Inputs!$B$39="pvp",15,Inputs!$B$44)-(B1441))))*IF(AND(ArtifactsInput!$M$42,((Inputs!$B$9+((C1422=TRUE)*(F1422-Calc!F26))+B1430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1402">
        <f>IF(C1402,(H1402*N1402*IF(AND(Inputs!$B$39&lt;&gt;"pvp",Inputs!$B$44&gt;0),((Skills!G6*((R1402-1)*IF(Skills!H6&gt;0,Skills!I6/Skills!H6,1)+IF(Skills!H6&gt;0,MIN(Skills!I6,MAX(0,MAX(0,Inputs!$B$44-B1441)-((R1402-1)*IF(Inputs!$B$39="pvp",15,MAX(0.1,Skills!D6-IF(TRUE=TRUE,Inputs!$B$32,0))))))/Skills!H6,1)))/Inputs!$B$44),G1402*Q1402))*IF(Inputs!$B$39="pvp",1,(1+(Inputs!$B$21+Skills!Q6+B1431+(IF(ArtifactsInput!$M$33,CHOOSE(ArtifactsInput!$N$33+1,30,36,42,48,54,60),0))+(IF(AND(ArtifactsInput!$M$35,Inputs!$B$4&lt;&gt;"Chapter Hunt"),CHOOSE(ArtifactsInput!$N$35+1,15,18,21,24,27,30)*(1-EXP(-(0.2*B1434)*5)),0)+IF(AND(ArtifactsInput!$M$22,Inputs!$B$4&lt;&gt;"Chapter Hunt"),CHOOSE(ArtifactsInput!$N$22+1,10,12,14,16,18,20)*((0*(((0.15*B1434*5))^0/1)+1*(((0.15*B1434*5))^1/1)+2*(((0.15*B1434*5))^2/2)+3*(((0.15*B1434*5))^3/6)+4*(((0.15*B1434*5))^4/24)+5*(((0.15*B1434*5))^5/120))/((((0.15*B1434*5))^0/1)+(((0.15*B1434*5))^1/1)+(((0.15*B1434*5))^2/2)+(((0.15*B1434*5))^3/6)+(((0.15*B1434*5))^4/24)+(((0.15*B1434*5))^5/120))),0)))/100)*(MIN(Skills!W6,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403">
      <c r="A1403">
        <f>Skills!A7</f>
        <v/>
      </c>
      <c r="B1403">
        <f>Skills!B7</f>
        <v/>
      </c>
      <c r="C1403">
        <f>Inputs!$B$3&gt;=69</f>
        <v/>
      </c>
      <c r="D1403">
        <f>IF(Skills!C7=1,60+Inputs!$B$25+Inputs!$B$29,IF(Skills!C7=2,90+Inputs!$B$26+Inputs!$B$29,IF(Skills!C7=3,120+Inputs!$B$27+Inputs!$B$29,MAX(0,(Inputs!$B$3-100)*3)+Inputs!$B$28+Inputs!$B$29)))</f>
        <v/>
      </c>
      <c r="E1403">
        <f>INDEX(FactorTable!$B$2:$Y$301, MATCH(ROUND(MIN(300,MAX(1,D1403)),0), FactorTable!$A$2:$A$301,0), Skills!M7+1)</f>
        <v/>
      </c>
      <c r="F1403">
        <f>IF(Skills!N7=TRUE,(Skills!L7/10)*(E1403/1000),Skills!L7/10)+Skills!O7</f>
        <v/>
      </c>
      <c r="G1403">
        <f>Skills!G7*IF(Skills!H7&gt;0,IF(Inputs!$B$39="pvp",MIN(Skills!I7,15),Skills!I7)/Skills!H7,1)</f>
        <v/>
      </c>
      <c r="H1403">
        <f>1-(1-Skills!J7/100)^Skills!K7</f>
        <v/>
      </c>
      <c r="I1403" t="inlineStr">
        <is>
          <t>1</t>
        </is>
      </c>
      <c r="J1403">
        <f>((Inputs!$B$6*(1+Inputs!$B$7/100))+(((Inputs!$B$12*(1+Inputs!$B$13/100))-(Inputs!$B$12*(1+Inputs!$B$13/100)))+0.25*(Inputs!$B$14-Inputs!$B$14))*(1+Inputs!$B$7/100))*(F1403/100)</f>
        <v/>
      </c>
      <c r="K1403">
        <f>J1403*(1+((Inputs!$B$12*(1+Inputs!$B$13/100))*0.01+Inputs!$B$14*0.0025)/100)*(1+Inputs!$B$15/100)*(1+Inputs!$B$16/100)*(5000/(6000+Inputs!$B$43*(1-(100*(1-(1-Inputs!$B$19/100)*(1-CHOOSE(ArtifactsInput!$N$40+1,5,6,7,8,9,10)/100)^(ArtifactsInput!$M$40-ArtifactsInput!$M$40)))/100)))*(1+(Inputs!$B$24+((C1427=TRUE)*(F1427-Calc!F31))+((C1414=TRUE)*(F1414-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1415=TRUE,F1415,0)/100)*(1+(IF(Skills!A7="CRUEL_STAB",Inputs!$B$17+((C1424=TRUE)*(F1424-Calc!F28))+((IF(AND(Inputs!$B$39&lt;&gt;"pvp",Inputs!$B$44=0),1,IF(IF(Inputs!$B$39="pvp",15,Inputs!$B$44)-(B1441)&lt;=0,1,MAX(0,IF(Inputs!$B$39="pvp",15,Inputs!$B$44)-MAX(5,B1441))/(IF(Inputs!$B$39="pvp",15,Inputs!$B$44)-(B1441))))*(IF(AND(ArtifactsInput!$M$42,((Inputs!$B$9+((C1422=TRUE)*(F1422-Calc!F26))+B1430+(ArtifactsInput!$M$24-ArtifactsInput!$M$24)*CHOOSE(ArtifactsInput!$N$24+1,10,12,14,16,18,20)+IF(ArtifactsInput!$M$10,CHOOSE(ArtifactsInput!$N$10+1,15,18,21,24,27,30)*(IF(Inputs!$B$39="pvp",MIN(15,15)/15,IF(AND(Inputs!$B$39&lt;&gt;"pvp",Inputs!$B$44&gt;0),MIN(15,Inputs!$B$44)/(Inputs!$B$44),0))),0)))&gt;=100),MIN(100,((Inputs!$B$9+((C1422=TRUE)*(F1422-Calc!F26))+B1430+(ArtifactsInput!$M$24-ArtifactsInput!$M$24)*CHOOSE(ArtifactsInput!$N$24+1,10,12,14,16,18,20)+IF(ArtifactsInput!$M$10,CHOOSE(ArtifactsInput!$N$10+1,15,18,21,24,27,30)*(IF(Inputs!$B$39="pvp",MIN(15,15)/15,IF(AND(Inputs!$B$39&lt;&gt;"pvp",Inputs!$B$44&gt;0),MIN(15,Inputs!$B$44)/(Inputs!$B$44),0))),0)))-100),0))*CHOOSE(ArtifactsInput!$N$42+1,0.6,0.72,0.84,0.96,1.08,1.2))),Inputs!$B$18+((C1425=TRUE)*(F1425-Calc!F29))+(IF(AND(Inputs!$B$39&lt;&gt;"pvp",Inputs!$B$44=0),1,IF(IF(Inputs!$B$39="pvp",15,Inputs!$B$44)-(B1441)&lt;=0,1,MAX(0,IF(Inputs!$B$39="pvp",15,Inputs!$B$44)-MAX(5,B1441))/(IF(Inputs!$B$39="pvp",15,Inputs!$B$44)-(B1441))))*IF(AND(ArtifactsInput!$M$42,((Inputs!$B$9+((C1422=TRUE)*(F1422-Calc!F26))+B1430+(ArtifactsInput!$M$24-ArtifactsInput!$M$24)*CHOOSE(ArtifactsInput!$N$24+1,10,12,14,16,18,20)+IF(ArtifactsInput!$M$10,CHOOSE(ArtifactsInput!$N$10+1,15,18,21,24,27,30)*(IF(Inputs!$B$39="pvp",MIN(15,15)/15,IF(AND(Inputs!$B$39&lt;&gt;"pvp",Inputs!$B$44&gt;0),MIN(15,Inputs!$B$44)/(Inputs!$B$44),0))),0)))&gt;=100),CHOOSE(ArtifactsInput!$N$42+1,40,48,56,64,72,80),0))))/100)*(((1+(((C1418=TRUE)*F1418*IF(AND(Inputs!$B$39&lt;&gt;"pvp",Inputs!$B$44&gt;0),(((R1418-1)*MIN((Skills!Y22*(1+Inputs!$B$34/100)),(1/Q1418))+MIN((Skills!Y22*(1+Inputs!$B$34/100)),MAX(0,Inputs!$B$44-((R1418-1)*(1/Q1418)))))/Inputs!$B$44),IF(Inputs!$B$39="pvp",MIN((Skills!Y22*(1+Inputs!$B$34/100)),15)/15,MIN(1,(Skills!Y22*(1+Inputs!$B$34/100))/(1/Q1418)))))+((C1399=TRUE)*F1399*3)+((C1401=TRUE)*F1401*(1-EXP(-0.75*B1434*5)))+((C1420=TRUE)*(F1420-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1407=TRUE)*F1407*IF(AND(Inputs!$B$39&lt;&gt;"pvp",Inputs!$B$44&gt;0),(((R1407-1)*MIN((Skills!Y11*(1+Inputs!$B$34/100)),(1/Q1407))+MIN((Skills!Y11*(1+Inputs!$B$34/100)),MAX(0,Inputs!$B$44-((R1407-1)*(1/Q1407)))))/Inputs!$B$44),IF(Inputs!$B$39="pvp",MIN((Skills!Y11*(1+Inputs!$B$34/100)),15)/15,MIN(1,(Skills!Y11*(1+Inputs!$B$34/100))/(1/Q1407)))))/100)*(1+((C1412=TRUE)*F1412*IF(AND(Inputs!$B$39&lt;&gt;"pvp",Inputs!$B$44&gt;0),(((R1412-1)*MIN((Skills!Y16*(1+Inputs!$B$34/100)),(1/Q1412))+MIN((Skills!Y16*(1+Inputs!$B$34/100)),MAX(0,Inputs!$B$44-((R1412-1)*(1/Q1412)))))/Inputs!$B$44),IF(Inputs!$B$39="pvp",MIN((Skills!Y16*(1+Inputs!$B$34/100)),15)/15,MIN(1,(Skills!Y16*(1+Inputs!$B$34/100))/(1/Q1412)))))/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1432*I1403)</f>
        <v/>
      </c>
      <c r="L1403">
        <f>K1403*(MIN(Inputs!$B$22+((C1421=TRUE)*(F1421-Calc!F25)),(Inputs!$B$23+((C1426=TRUE)*(F1426-Calc!F30))+IF(ArtifactsInput!$M$15,CHOOSE(ArtifactsInput!$N$15+1,25,30,35,40,45,50)/100*(Inputs!$B$11-Inputs!$B$11),0)))/100+(Inputs!$B$23+((C1426=TRUE)*(F1426-Calc!F30))+IF(ArtifactsInput!$M$15,CHOOSE(ArtifactsInput!$N$15+1,25,30,35,40,45,50)/100*(Inputs!$B$11-Inputs!$B$11),0))/100)/2</f>
        <v/>
      </c>
      <c r="M1403">
        <f>L1403*(1+(Inputs!$B$10+((C1423=TRUE)*(F1423-Calc!F27))+B1437+(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1403">
        <f>L1403*(1-MIN((Inputs!$B$9+((C1422=TRUE)*(F1422-Calc!F26))+B1430+(ArtifactsInput!$M$24-ArtifactsInput!$M$24)*CHOOSE(ArtifactsInput!$N$24+1,10,12,14,16,18,20)+(IF(AND(Inputs!$B$39&lt;&gt;"pvp",Inputs!$B$44=0),1,IF(IF(Inputs!$B$39="pvp",15,Inputs!$B$44)-(B1441)&lt;=0,1,MAX(0,IF(Inputs!$B$39="pvp",15,Inputs!$B$44)-MAX(5,B1441))/(IF(Inputs!$B$39="pvp",15,Inputs!$B$44)-(B1441))))*IF(AND(ArtifactsInput!$M$42,((Inputs!$B$9+((C1422=TRUE)*(F1422-Calc!F26))+B1430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1403*(MIN((Inputs!$B$9+((C1422=TRUE)*(F1422-Calc!F26))+B1430+(ArtifactsInput!$M$24-ArtifactsInput!$M$24)*CHOOSE(ArtifactsInput!$N$24+1,10,12,14,16,18,20)+(IF(AND(Inputs!$B$39&lt;&gt;"pvp",Inputs!$B$44=0),1,IF(IF(Inputs!$B$39="pvp",15,Inputs!$B$44)-(B1441)&lt;=0,1,MAX(0,IF(Inputs!$B$39="pvp",15,Inputs!$B$44)-MAX(5,B1441))/(IF(Inputs!$B$39="pvp",15,Inputs!$B$44)-(B1441))))*IF(AND(ArtifactsInput!$M$42,((Inputs!$B$9+((C1422=TRUE)*(F1422-Calc!F26))+B1430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403">
        <f>(1-Summary!$B$11)*T1403+Summary!$B$11*V1403</f>
        <v/>
      </c>
      <c r="P1403">
        <f>IF(B1442=0,0,O1403/B1442)</f>
        <v/>
      </c>
      <c r="Q1403">
        <f>IFERROR(1/IF(Inputs!$B$39="pvp",15,MAX(0.1,Skills!D7-IF(TRUE=TRUE,Inputs!$B$32,0))),0)</f>
        <v/>
      </c>
      <c r="R1403">
        <f>IF(AND(Inputs!$B$39&lt;&gt;"pvp",Inputs!$B$44&gt;0),IF(MAX(0,Inputs!$B$44-B1441)&lt;=0,0,(INT(MAX(0,Inputs!$B$44-B1441)/IF(Inputs!$B$39="pvp",15,MAX(0.1,Skills!D7-IF(TRUE=TRUE,Inputs!$B$32,0))))+1)),0)</f>
        <v/>
      </c>
      <c r="S1403">
        <f>IFERROR(O1403/N1403,0)</f>
        <v/>
      </c>
      <c r="T1403">
        <f>IF(C1403,(H1403*N1403*IF(AND(Inputs!$B$39&lt;&gt;"pvp",Inputs!$B$44&gt;0),((Skills!G7*((R1403-1)*IF(Skills!H7&gt;0,Skills!I7/Skills!H7,1)+IF(Skills!H7&gt;0,MIN(Skills!I7,MAX(0,MAX(0,Inputs!$B$44-B1441)-((R1403-1)*IF(Inputs!$B$39="pvp",15,MAX(0.1,Skills!D7-IF(TRUE=TRUE,Inputs!$B$32,0))))))/Skills!H7,1)))/Inputs!$B$44),G1403*Q1403))*IF(Inputs!$B$39="pvp",1,1+(Inputs!$B$20+0+Skills!P7+B1431+(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Hunt"),CHOOSE(ArtifactsInput!$N$35+1,15,18,21,24,27,30)*(1-EXP(-(0.2*B1434)*5)),0)+IF(AND(ArtifactsInput!$M$22,Inputs!$B$4&lt;&gt;"Chapter Hunt"),CHOOSE(ArtifactsInput!$N$22+1,10,12,14,16,18,20)*((0*(((0.15*B1434*5))^0/1)+1*(((0.15*B1434*5))^1/1)+2*(((0.15*B1434*5))^2/2)+3*(((0.15*B1434*5))^3/6)+4*(((0.15*B1434*5))^4/24)+5*(((0.15*B1434*5))^5/120))/((((0.15*B1434*5))^0/1)+(((0.15*B1434*5))^1/1)+(((0.15*B1434*5))^2/2)+(((0.15*B1434*5))^3/6)+(((0.15*B1434*5))^4/24)+(((0.15*B1434*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1403*(1-MIN(100,(Inputs!$B$9+((C1422=TRUE)*(F1422-Calc!F26))+B1430+(ArtifactsInput!$M$24-ArtifactsInput!$M$24)*CHOOSE(ArtifactsInput!$N$24+1,10,12,14,16,18,20)+(IF(AND(Inputs!$B$39&lt;&gt;"pvp",Inputs!$B$44=0),1,IF(IF(Inputs!$B$39="pvp",15,Inputs!$B$44)-(B1441)&lt;=0,1,MAX(0,IF(Inputs!$B$39="pvp",15,Inputs!$B$44)-MAX(5,B1441))/(IF(Inputs!$B$39="pvp",15,Inputs!$B$44)-(B1441))))*IF(AND(ArtifactsInput!$M$42,((Inputs!$B$9+((C1422=TRUE)*(F1422-Calc!F26))+B1430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1403*(MIN(100,(Inputs!$B$9+((C1422=TRUE)*(F1422-Calc!F26))+B1430+(ArtifactsInput!$M$24-ArtifactsInput!$M$24)*CHOOSE(ArtifactsInput!$N$24+1,10,12,14,16,18,20)+(IF(AND(Inputs!$B$39&lt;&gt;"pvp",Inputs!$B$44=0),1,IF(IF(Inputs!$B$39="pvp",15,Inputs!$B$44)-(B1441)&lt;=0,1,MAX(0,IF(Inputs!$B$39="pvp",15,Inputs!$B$44)-MAX(5,B1441))/(IF(Inputs!$B$39="pvp",15,Inputs!$B$44)-(B1441))))*IF(AND(ArtifactsInput!$M$42,((Inputs!$B$9+((C1422=TRUE)*(F1422-Calc!F26))+B1430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1403*(1-MIN(100,(Inputs!$B$9+((C1422=TRUE)*(F1422-Calc!F26))+B1430+(ArtifactsInput!$M$24-ArtifactsInput!$M$24)*CHOOSE(ArtifactsInput!$N$24+1,10,12,14,16,18,20)+(IF(AND(Inputs!$B$39&lt;&gt;"pvp",Inputs!$B$44=0),1,IF(IF(Inputs!$B$39="pvp",15,Inputs!$B$44)-(B1441)&lt;=0,1,MAX(0,IF(Inputs!$B$39="pvp",15,Inputs!$B$44)-MAX(5,B1441))/(IF(Inputs!$B$39="pvp",15,Inputs!$B$44)-(B1441))))*IF(AND(ArtifactsInput!$M$42,((Inputs!$B$9+((C1422=TRUE)*(F1422-Calc!F26))+B1430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1403*(MIN(100,(Inputs!$B$9+((C1422=TRUE)*(F1422-Calc!F26))+B1430+(ArtifactsInput!$M$24-ArtifactsInput!$M$24)*CHOOSE(ArtifactsInput!$N$24+1,10,12,14,16,18,20)+(IF(AND(Inputs!$B$39&lt;&gt;"pvp",Inputs!$B$44=0),1,IF(IF(Inputs!$B$39="pvp",15,Inputs!$B$44)-(B1441)&lt;=0,1,MAX(0,IF(Inputs!$B$39="pvp",15,Inputs!$B$44)-MAX(5,B1441))/(IF(Inputs!$B$39="pvp",15,Inputs!$B$44)-(B1441))))*IF(AND(ArtifactsInput!$M$42,((Inputs!$B$9+((C1422=TRUE)*(F1422-Calc!F26))+B1430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1403">
        <f>IF(C1403,(H1403*N1403*IF(AND(Inputs!$B$39&lt;&gt;"pvp",Inputs!$B$44&gt;0),((Skills!G7*((R1403-1)*IF(Skills!H7&gt;0,Skills!I7/Skills!H7,1)+IF(Skills!H7&gt;0,MIN(Skills!I7,MAX(0,MAX(0,Inputs!$B$44-B1441)-((R1403-1)*IF(Inputs!$B$39="pvp",15,MAX(0.1,Skills!D7-IF(TRUE=TRUE,Inputs!$B$32,0))))))/Skills!H7,1)))/Inputs!$B$44),G1403*Q1403))*IF(Inputs!$B$39="pvp",1,(1+(Inputs!$B$21+Skills!Q7+B1431+(IF(ArtifactsInput!$M$33,CHOOSE(ArtifactsInput!$N$33+1,30,36,42,48,54,60),0))+(IF(AND(ArtifactsInput!$M$35,Inputs!$B$4&lt;&gt;"Chapter Hunt"),CHOOSE(ArtifactsInput!$N$35+1,15,18,21,24,27,30)*(1-EXP(-(0.2*B1434)*5)),0)+IF(AND(ArtifactsInput!$M$22,Inputs!$B$4&lt;&gt;"Chapter Hunt"),CHOOSE(ArtifactsInput!$N$22+1,10,12,14,16,18,20)*((0*(((0.15*B1434*5))^0/1)+1*(((0.15*B1434*5))^1/1)+2*(((0.15*B1434*5))^2/2)+3*(((0.15*B1434*5))^3/6)+4*(((0.15*B1434*5))^4/24)+5*(((0.15*B1434*5))^5/120))/((((0.15*B1434*5))^0/1)+(((0.15*B1434*5))^1/1)+(((0.15*B1434*5))^2/2)+(((0.15*B1434*5))^3/6)+(((0.15*B1434*5))^4/24)+(((0.15*B1434*5))^5/120))),0)))/100)*(MIN(Skills!W7,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404">
      <c r="A1404">
        <f>Skills!A8</f>
        <v/>
      </c>
      <c r="B1404">
        <f>Skills!B8</f>
        <v/>
      </c>
      <c r="C1404">
        <f>Inputs!$B$3&gt;=60</f>
        <v/>
      </c>
      <c r="D1404">
        <f>IF(Skills!C8=1,60+Inputs!$B$25+Inputs!$B$29,IF(Skills!C8=2,90+Inputs!$B$26+Inputs!$B$29,IF(Skills!C8=3,120+Inputs!$B$27+Inputs!$B$29,MAX(0,(Inputs!$B$3-100)*3)+Inputs!$B$28+Inputs!$B$29)))</f>
        <v/>
      </c>
      <c r="E1404">
        <f>INDEX(FactorTable!$B$2:$Y$301, MATCH(ROUND(MIN(300,MAX(1,D1404)),0), FactorTable!$A$2:$A$301,0), Skills!M8+1)</f>
        <v/>
      </c>
      <c r="F1404">
        <f>IF(Skills!N8=TRUE,(Skills!L8/10)*(E1404/1000),Skills!L8/10)+Skills!O8</f>
        <v/>
      </c>
      <c r="G1404">
        <f>Skills!G8*IF(Skills!H8&gt;0,IF(Inputs!$B$39="pvp",MIN(Skills!I8,15),Skills!I8)/Skills!H8,1)</f>
        <v/>
      </c>
      <c r="H1404">
        <f>1-(1-Skills!J8/100)^Skills!K8</f>
        <v/>
      </c>
      <c r="I1404" t="inlineStr">
        <is>
          <t>1</t>
        </is>
      </c>
      <c r="J1404" t="inlineStr"/>
      <c r="K1404" t="inlineStr"/>
      <c r="L1404" t="inlineStr"/>
      <c r="M1404" t="inlineStr"/>
      <c r="N1404" t="inlineStr"/>
      <c r="O1404">
        <f>(1-Summary!$B$11)*T1404+Summary!$B$11*V1404</f>
        <v/>
      </c>
      <c r="P1404">
        <f>IF(B1442=0,0,O1404/B1442)</f>
        <v/>
      </c>
      <c r="Q1404" t="n">
        <v>0</v>
      </c>
      <c r="R1404" t="n">
        <v>0</v>
      </c>
      <c r="S1404">
        <f>IFERROR(O1404/N1404,0)</f>
        <v/>
      </c>
      <c r="T1404" t="n">
        <v>0</v>
      </c>
      <c r="V1404" t="n">
        <v>0</v>
      </c>
    </row>
    <row r="1405">
      <c r="A1405">
        <f>Skills!A9</f>
        <v/>
      </c>
      <c r="B1405">
        <f>Skills!B9</f>
        <v/>
      </c>
      <c r="C1405">
        <f>Inputs!$B$3&gt;=72</f>
        <v/>
      </c>
      <c r="D1405">
        <f>IF(Skills!C9=1,60+Inputs!$B$25+Inputs!$B$29,IF(Skills!C9=2,90+Inputs!$B$26+Inputs!$B$29,IF(Skills!C9=3,120+Inputs!$B$27+Inputs!$B$29,MAX(0,(Inputs!$B$3-100)*3)+Inputs!$B$28+Inputs!$B$29)))</f>
        <v/>
      </c>
      <c r="E1405">
        <f>INDEX(FactorTable!$B$2:$Y$301, MATCH(ROUND(MIN(300,MAX(1,D1405)),0), FactorTable!$A$2:$A$301,0), Skills!M9+1)</f>
        <v/>
      </c>
      <c r="F1405">
        <f>IF(Skills!N9=TRUE,(Skills!L9/10)*(E1405/1000),Skills!L9/10)+Skills!O9</f>
        <v/>
      </c>
      <c r="G1405">
        <f>Skills!G9*IF(Skills!H9&gt;0,IF(Inputs!$B$39="pvp",MIN(Skills!I9,15),Skills!I9)/Skills!H9,1)</f>
        <v/>
      </c>
      <c r="H1405">
        <f>1-(1-Skills!J9/100)^Skills!K9</f>
        <v/>
      </c>
      <c r="I1405" t="inlineStr">
        <is>
          <t>1</t>
        </is>
      </c>
      <c r="J1405">
        <f>((Inputs!$B$6*(1+Inputs!$B$7/100))+(((Inputs!$B$12*(1+Inputs!$B$13/100))-(Inputs!$B$12*(1+Inputs!$B$13/100)))+0.25*(Inputs!$B$14-Inputs!$B$14))*(1+Inputs!$B$7/100))*(F1405/100)</f>
        <v/>
      </c>
      <c r="K1405">
        <f>J1405*(1+((Inputs!$B$12*(1+Inputs!$B$13/100))*0.01+Inputs!$B$14*0.0025)/100)*(1+Inputs!$B$15/100)*(1+Inputs!$B$16/100)*(5000/(6000+Inputs!$B$43*(1-(100*(1-(1-Inputs!$B$19/100)*(1-CHOOSE(ArtifactsInput!$N$40+1,5,6,7,8,9,10)/100)^(ArtifactsInput!$M$40-ArtifactsInput!$M$40)))/100)))*(1+(Inputs!$B$24+((C1427=TRUE)*(F1427-Calc!F31))+((C1414=TRUE)*(F1414-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+3.3333333333333335*IF(C1415=TRUE,F1415,0)/100)*(1+(IF(Skills!A9="CRUEL_STAB",Inputs!$B$17+((C1424=TRUE)*(F1424-Calc!F28))+((IF(AND(Inputs!$B$39&lt;&gt;"pvp",Inputs!$B$44=0),1,IF(IF(Inputs!$B$39="pvp",15,Inputs!$B$44)-(B1441)&lt;=0,1,MAX(0,IF(Inputs!$B$39="pvp",15,Inputs!$B$44)-MAX(5,B1441))/(IF(Inputs!$B$39="pvp",15,Inputs!$B$44)-(B1441))))*(IF(AND(ArtifactsInput!$M$42,((Inputs!$B$9+((C1422=TRUE)*(F1422-Calc!F26))+B1430+(ArtifactsInput!$M$24-ArtifactsInput!$M$24)*CHOOSE(ArtifactsInput!$N$24+1,10,12,14,16,18,20)+IF(ArtifactsInput!$M$10,CHOOSE(ArtifactsInput!$N$10+1,15,18,21,24,27,30)*(IF(Inputs!$B$39="pvp",MIN(15,15)/15,IF(AND(Inputs!$B$39&lt;&gt;"pvp",Inputs!$B$44&gt;0),MIN(15,Inputs!$B$44)/(Inputs!$B$44),0))),0)))&gt;=100),MIN(100,((Inputs!$B$9+((C1422=TRUE)*(F1422-Calc!F26))+B1430+(ArtifactsInput!$M$24-ArtifactsInput!$M$24)*CHOOSE(ArtifactsInput!$N$24+1,10,12,14,16,18,20)+IF(ArtifactsInput!$M$10,CHOOSE(ArtifactsInput!$N$10+1,15,18,21,24,27,30)*(IF(Inputs!$B$39="pvp",MIN(15,15)/15,IF(AND(Inputs!$B$39&lt;&gt;"pvp",Inputs!$B$44&gt;0),MIN(15,Inputs!$B$44)/(Inputs!$B$44),0))),0)))-100),0))*CHOOSE(ArtifactsInput!$N$42+1,0.6,0.72,0.84,0.96,1.08,1.2))),Inputs!$B$18+((C1425=TRUE)*(F1425-Calc!F29))+(IF(AND(Inputs!$B$39&lt;&gt;"pvp",Inputs!$B$44=0),1,IF(IF(Inputs!$B$39="pvp",15,Inputs!$B$44)-(B1441)&lt;=0,1,MAX(0,IF(Inputs!$B$39="pvp",15,Inputs!$B$44)-MAX(5,B1441))/(IF(Inputs!$B$39="pvp",15,Inputs!$B$44)-(B1441))))*IF(AND(ArtifactsInput!$M$42,((Inputs!$B$9+((C1422=TRUE)*(F1422-Calc!F26))+B1430+(ArtifactsInput!$M$24-ArtifactsInput!$M$24)*CHOOSE(ArtifactsInput!$N$24+1,10,12,14,16,18,20)+IF(ArtifactsInput!$M$10,CHOOSE(ArtifactsInput!$N$10+1,15,18,21,24,27,30)*(IF(Inputs!$B$39="pvp",MIN(15,15)/15,IF(AND(Inputs!$B$39&lt;&gt;"pvp",Inputs!$B$44&gt;0),MIN(15,Inputs!$B$44)/(Inputs!$B$44),0))),0)))&gt;=100),CHOOSE(ArtifactsInput!$N$42+1,40,48,56,64,72,80),0))))/100)*(((1+(((C1418=TRUE)*F1418*IF(AND(Inputs!$B$39&lt;&gt;"pvp",Inputs!$B$44&gt;0),(((R1418-1)*MIN((Skills!Y22*(1+Inputs!$B$34/100)),(1/Q1418))+MIN((Skills!Y22*(1+Inputs!$B$34/100)),MAX(0,Inputs!$B$44-((R1418-1)*(1/Q1418)))))/Inputs!$B$44),IF(Inputs!$B$39="pvp",MIN((Skills!Y22*(1+Inputs!$B$34/100)),15)/15,MIN(1,(Skills!Y22*(1+Inputs!$B$34/100))/(1/Q1418)))))+((C1399=TRUE)*F1399*3)+((C1401=TRUE)*F1401*(1-EXP(-0.75*B1434*5)))+((C1420=TRUE)*(F1420-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1407=TRUE)*F1407*IF(AND(Inputs!$B$39&lt;&gt;"pvp",Inputs!$B$44&gt;0),(((R1407-1)*MIN((Skills!Y11*(1+Inputs!$B$34/100)),(1/Q1407))+MIN((Skills!Y11*(1+Inputs!$B$34/100)),MAX(0,Inputs!$B$44-((R1407-1)*(1/Q1407)))))/Inputs!$B$44),IF(Inputs!$B$39="pvp",MIN((Skills!Y11*(1+Inputs!$B$34/100)),15)/15,MIN(1,(Skills!Y11*(1+Inputs!$B$34/100))/(1/Q1407)))))/100)*(1+((C1412=TRUE)*F1412*IF(AND(Inputs!$B$39&lt;&gt;"pvp",Inputs!$B$44&gt;0),(((R1412-1)*MIN((Skills!Y16*(1+Inputs!$B$34/100)),(1/Q1412))+MIN((Skills!Y16*(1+Inputs!$B$34/100)),MAX(0,Inputs!$B$44-((R1412-1)*(1/Q1412)))))/Inputs!$B$44),IF(Inputs!$B$39="pvp",MIN((Skills!Y16*(1+Inputs!$B$34/100)),15)/15,MIN(1,(Skills!Y16*(1+Inputs!$B$34/100))/(1/Q1412)))))/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1432*I1405)</f>
        <v/>
      </c>
      <c r="L1405">
        <f>K1405*(MIN(Inputs!$B$22+((C1421=TRUE)*(F1421-Calc!F25)),(Inputs!$B$23+((C1426=TRUE)*(F1426-Calc!F30))+IF(ArtifactsInput!$M$15,CHOOSE(ArtifactsInput!$N$15+1,25,30,35,40,45,50)/100*(Inputs!$B$11-Inputs!$B$11),0)))/100+(Inputs!$B$23+((C1426=TRUE)*(F1426-Calc!F30))+IF(ArtifactsInput!$M$15,CHOOSE(ArtifactsInput!$N$15+1,25,30,35,40,45,50)/100*(Inputs!$B$11-Inputs!$B$11),0))/100)/2</f>
        <v/>
      </c>
      <c r="M1405">
        <f>L1405*(1+(Inputs!$B$10+((C1423=TRUE)*(F1423-Calc!F27))+B1437+(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1405">
        <f>L1405*(1-MIN((Inputs!$B$9+((C1422=TRUE)*(F1422-Calc!F26))+B1430+(ArtifactsInput!$M$24-ArtifactsInput!$M$24)*CHOOSE(ArtifactsInput!$N$24+1,10,12,14,16,18,20)+(IF(AND(Inputs!$B$39&lt;&gt;"pvp",Inputs!$B$44=0),1,IF(IF(Inputs!$B$39="pvp",15,Inputs!$B$44)-(B1441)&lt;=0,1,MAX(0,IF(Inputs!$B$39="pvp",15,Inputs!$B$44)-MAX(5,B1441))/(IF(Inputs!$B$39="pvp",15,Inputs!$B$44)-(B1441))))*IF(AND(ArtifactsInput!$M$42,((Inputs!$B$9+((C1422=TRUE)*(F1422-Calc!F26))+B1430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1405*(MIN((Inputs!$B$9+((C1422=TRUE)*(F1422-Calc!F26))+B1430+(ArtifactsInput!$M$24-ArtifactsInput!$M$24)*CHOOSE(ArtifactsInput!$N$24+1,10,12,14,16,18,20)+(IF(AND(Inputs!$B$39&lt;&gt;"pvp",Inputs!$B$44=0),1,IF(IF(Inputs!$B$39="pvp",15,Inputs!$B$44)-(B1441)&lt;=0,1,MAX(0,IF(Inputs!$B$39="pvp",15,Inputs!$B$44)-MAX(5,B1441))/(IF(Inputs!$B$39="pvp",15,Inputs!$B$44)-(B1441))))*IF(AND(ArtifactsInput!$M$42,((Inputs!$B$9+((C1422=TRUE)*(F1422-Calc!F26))+B1430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405">
        <f>(1-Summary!$B$11)*T1405+Summary!$B$11*V1405</f>
        <v/>
      </c>
      <c r="P1405">
        <f>IF(B1442=0,0,O1405/B1442)</f>
        <v/>
      </c>
      <c r="Q1405">
        <f>IFERROR(1/IF(Inputs!$B$39="pvp",15,MAX(0.1,Skills!D9-IF(FALSE=TRUE,Inputs!$B$32,0))),0)</f>
        <v/>
      </c>
      <c r="R1405">
        <f>IF(AND(Inputs!$B$39&lt;&gt;"pvp",Inputs!$B$44&gt;0),IF(MAX(0,Inputs!$B$44-B1441)&lt;=0,0,(INT(MAX(0,Inputs!$B$44-B1441)/IF(Inputs!$B$39="pvp",15,MAX(0.1,Skills!D9-IF(FALSE=TRUE,Inputs!$B$32,0))))+1)),0)</f>
        <v/>
      </c>
      <c r="S1405">
        <f>IFERROR(O1405/N1405,0)</f>
        <v/>
      </c>
      <c r="T1405">
        <f>IF(C1405,(H1405*N1405*IF(AND(Inputs!$B$39&lt;&gt;"pvp",Inputs!$B$44&gt;0),((Skills!G9*((R1405-1)*IF(Skills!H9&gt;0,Skills!I9/Skills!H9,1)+IF(Skills!H9&gt;0,MIN(Skills!I9,MAX(0,MAX(0,Inputs!$B$44-B1441)-((R1405-1)*IF(Inputs!$B$39="pvp",15,MAX(0.1,Skills!D9-IF(FALSE=TRUE,Inputs!$B$32,0))))))/Skills!H9,1)))/Inputs!$B$44),G1405*Q1405))*IF(Inputs!$B$39="pvp",1,1+(Inputs!$B$20+0+Skills!P9+B1431+(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Hunt"),CHOOSE(ArtifactsInput!$N$35+1,15,18,21,24,27,30)*(1-EXP(-(0.2*B1434)*5)),0)+IF(AND(ArtifactsInput!$M$22,Inputs!$B$4&lt;&gt;"Chapter Hunt"),CHOOSE(ArtifactsInput!$N$22+1,10,12,14,16,18,20)*((0*(((0.15*B1434*5))^0/1)+1*(((0.15*B1434*5))^1/1)+2*(((0.15*B1434*5))^2/2)+3*(((0.15*B1434*5))^3/6)+4*(((0.15*B1434*5))^4/24)+5*(((0.15*B1434*5))^5/120))/((((0.15*B1434*5))^0/1)+(((0.15*B1434*5))^1/1)+(((0.15*B1434*5))^2/2)+(((0.15*B1434*5))^3/6)+(((0.15*B1434*5))^4/24)+(((0.15*B1434*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1405*(1-MIN(100,(Inputs!$B$9+((C1422=TRUE)*(F1422-Calc!F26))+B1430+(ArtifactsInput!$M$24-ArtifactsInput!$M$24)*CHOOSE(ArtifactsInput!$N$24+1,10,12,14,16,18,20)+(IF(AND(Inputs!$B$39&lt;&gt;"pvp",Inputs!$B$44=0),1,IF(IF(Inputs!$B$39="pvp",15,Inputs!$B$44)-(B1441)&lt;=0,1,MAX(0,IF(Inputs!$B$39="pvp",15,Inputs!$B$44)-MAX(5,B1441))/(IF(Inputs!$B$39="pvp",15,Inputs!$B$44)-(B1441))))*IF(AND(ArtifactsInput!$M$42,((Inputs!$B$9+((C1422=TRUE)*(F1422-Calc!F26))+B1430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1405*(MIN(100,(Inputs!$B$9+((C1422=TRUE)*(F1422-Calc!F26))+B1430+(ArtifactsInput!$M$24-ArtifactsInput!$M$24)*CHOOSE(ArtifactsInput!$N$24+1,10,12,14,16,18,20)+(IF(AND(Inputs!$B$39&lt;&gt;"pvp",Inputs!$B$44=0),1,IF(IF(Inputs!$B$39="pvp",15,Inputs!$B$44)-(B1441)&lt;=0,1,MAX(0,IF(Inputs!$B$39="pvp",15,Inputs!$B$44)-MAX(5,B1441))/(IF(Inputs!$B$39="pvp",15,Inputs!$B$44)-(B1441))))*IF(AND(ArtifactsInput!$M$42,((Inputs!$B$9+((C1422=TRUE)*(F1422-Calc!F26))+B1430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1405*(1-MIN(100,(Inputs!$B$9+((C1422=TRUE)*(F1422-Calc!F26))+B1430+(ArtifactsInput!$M$24-ArtifactsInput!$M$24)*CHOOSE(ArtifactsInput!$N$24+1,10,12,14,16,18,20)+(IF(AND(Inputs!$B$39&lt;&gt;"pvp",Inputs!$B$44=0),1,IF(IF(Inputs!$B$39="pvp",15,Inputs!$B$44)-(B1441)&lt;=0,1,MAX(0,IF(Inputs!$B$39="pvp",15,Inputs!$B$44)-MAX(5,B1441))/(IF(Inputs!$B$39="pvp",15,Inputs!$B$44)-(B1441))))*IF(AND(ArtifactsInput!$M$42,((Inputs!$B$9+((C1422=TRUE)*(F1422-Calc!F26))+B1430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1405*(MIN(100,(Inputs!$B$9+((C1422=TRUE)*(F1422-Calc!F26))+B1430+(ArtifactsInput!$M$24-ArtifactsInput!$M$24)*CHOOSE(ArtifactsInput!$N$24+1,10,12,14,16,18,20)+(IF(AND(Inputs!$B$39&lt;&gt;"pvp",Inputs!$B$44=0),1,IF(IF(Inputs!$B$39="pvp",15,Inputs!$B$44)-(B1441)&lt;=0,1,MAX(0,IF(Inputs!$B$39="pvp",15,Inputs!$B$44)-MAX(5,B1441))/(IF(Inputs!$B$39="pvp",15,Inputs!$B$44)-(B1441))))*IF(AND(ArtifactsInput!$M$42,((Inputs!$B$9+((C1422=TRUE)*(F1422-Calc!F26))+B1430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1405">
        <f>IF(C1405,(H1405*N1405*IF(AND(Inputs!$B$39&lt;&gt;"pvp",Inputs!$B$44&gt;0),((Skills!G9*((R1405-1)*IF(Skills!H9&gt;0,Skills!I9/Skills!H9,1)+IF(Skills!H9&gt;0,MIN(Skills!I9,MAX(0,MAX(0,Inputs!$B$44-B1441)-((R1405-1)*IF(Inputs!$B$39="pvp",15,MAX(0.1,Skills!D9-IF(FALSE=TRUE,Inputs!$B$32,0))))))/Skills!H9,1)))/Inputs!$B$44),G1405*Q1405))*IF(Inputs!$B$39="pvp",1,(1+(Inputs!$B$21+Skills!Q9+B1431+(IF(ArtifactsInput!$M$33,CHOOSE(ArtifactsInput!$N$33+1,30,36,42,48,54,60),0))+(IF(AND(ArtifactsInput!$M$35,Inputs!$B$4&lt;&gt;"Chapter Hunt"),CHOOSE(ArtifactsInput!$N$35+1,15,18,21,24,27,30)*(1-EXP(-(0.2*B1434)*5)),0)+IF(AND(ArtifactsInput!$M$22,Inputs!$B$4&lt;&gt;"Chapter Hunt"),CHOOSE(ArtifactsInput!$N$22+1,10,12,14,16,18,20)*((0*(((0.15*B1434*5))^0/1)+1*(((0.15*B1434*5))^1/1)+2*(((0.15*B1434*5))^2/2)+3*(((0.15*B1434*5))^3/6)+4*(((0.15*B1434*5))^4/24)+5*(((0.15*B1434*5))^5/120))/((((0.15*B1434*5))^0/1)+(((0.15*B1434*5))^1/1)+(((0.15*B1434*5))^2/2)+(((0.15*B1434*5))^3/6)+(((0.15*B1434*5))^4/24)+(((0.15*B1434*5))^5/120))),0)))/100)*(MIN(Skills!W9,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406">
      <c r="A1406">
        <f>Skills!A10</f>
        <v/>
      </c>
      <c r="B1406">
        <f>Skills!B10</f>
        <v/>
      </c>
      <c r="C1406">
        <f>Inputs!$B$3&gt;=117</f>
        <v/>
      </c>
      <c r="D1406">
        <f>IF(Skills!C10=1,60+Inputs!$B$25+Inputs!$B$29,IF(Skills!C10=2,90+Inputs!$B$26+Inputs!$B$29,IF(Skills!C10=3,120+Inputs!$B$27+Inputs!$B$29,MAX(0,(Inputs!$B$3-100)*3)+Inputs!$B$28+Inputs!$B$29)))</f>
        <v/>
      </c>
      <c r="E1406">
        <f>INDEX(FactorTable!$B$2:$Y$301, MATCH(ROUND(MIN(300,MAX(1,D1406)),0), FactorTable!$A$2:$A$301,0), Skills!M10+1)</f>
        <v/>
      </c>
      <c r="F1406">
        <f>IF(Skills!N10=TRUE,(Skills!L10/10)*(E1406/1000),Skills!L10/10)+Skills!O10</f>
        <v/>
      </c>
      <c r="G1406">
        <f>Skills!G10*IF(Skills!H10&gt;0,IF(Inputs!$B$39="pvp",MIN(Skills!I10,15),Skills!I10)/Skills!H10,1)</f>
        <v/>
      </c>
      <c r="H1406">
        <f>1-(1-Skills!J10/100)^Skills!K10</f>
        <v/>
      </c>
      <c r="I1406" t="inlineStr">
        <is>
          <t>1</t>
        </is>
      </c>
      <c r="J1406">
        <f>((Inputs!$B$6*(1+Inputs!$B$7/100))+(((Inputs!$B$12*(1+Inputs!$B$13/100))-(Inputs!$B$12*(1+Inputs!$B$13/100)))+0.25*(Inputs!$B$14-Inputs!$B$14))*(1+Inputs!$B$7/100))*(F1406/100)</f>
        <v/>
      </c>
      <c r="K1406">
        <f>J1406*(1+((Inputs!$B$12*(1+Inputs!$B$13/100))*0.01+Inputs!$B$14*0.0025)/100)*(1+Inputs!$B$15/100)*(1+Inputs!$B$16/100)*(5000/(6000+Inputs!$B$43*(1-(100*(1-(1-Inputs!$B$19/100)*(1-CHOOSE(ArtifactsInput!$N$40+1,5,6,7,8,9,10)/100)^(ArtifactsInput!$M$40-ArtifactsInput!$M$40)))/100)))*(1+(Inputs!$B$24+((C1427=TRUE)*(F1427-Calc!F31))+((C1414=TRUE)*(F1414-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10="CRUEL_STAB",Inputs!$B$17+((C1424=TRUE)*(F1424-Calc!F28))+((IF(AND(Inputs!$B$39&lt;&gt;"pvp",Inputs!$B$44=0),1,IF(IF(Inputs!$B$39="pvp",15,Inputs!$B$44)-(B1441)&lt;=0,1,MAX(0,IF(Inputs!$B$39="pvp",15,Inputs!$B$44)-MAX(5,B1441))/(IF(Inputs!$B$39="pvp",15,Inputs!$B$44)-(B1441))))*(IF(AND(ArtifactsInput!$M$42,((Inputs!$B$9+((C1422=TRUE)*(F1422-Calc!F26))+B1430+(ArtifactsInput!$M$24-ArtifactsInput!$M$24)*CHOOSE(ArtifactsInput!$N$24+1,10,12,14,16,18,20)+IF(ArtifactsInput!$M$10,CHOOSE(ArtifactsInput!$N$10+1,15,18,21,24,27,30)*(IF(Inputs!$B$39="pvp",MIN(15,15)/15,IF(AND(Inputs!$B$39&lt;&gt;"pvp",Inputs!$B$44&gt;0),MIN(15,Inputs!$B$44)/(Inputs!$B$44),0))),0)))&gt;=100),MIN(100,((Inputs!$B$9+((C1422=TRUE)*(F1422-Calc!F26))+B1430+(ArtifactsInput!$M$24-ArtifactsInput!$M$24)*CHOOSE(ArtifactsInput!$N$24+1,10,12,14,16,18,20)+IF(ArtifactsInput!$M$10,CHOOSE(ArtifactsInput!$N$10+1,15,18,21,24,27,30)*(IF(Inputs!$B$39="pvp",MIN(15,15)/15,IF(AND(Inputs!$B$39&lt;&gt;"pvp",Inputs!$B$44&gt;0),MIN(15,Inputs!$B$44)/(Inputs!$B$44),0))),0)))-100),0))*CHOOSE(ArtifactsInput!$N$42+1,0.6,0.72,0.84,0.96,1.08,1.2))),Inputs!$B$18+((C1425=TRUE)*(F1425-Calc!F29))+(IF(AND(Inputs!$B$39&lt;&gt;"pvp",Inputs!$B$44=0),1,IF(IF(Inputs!$B$39="pvp",15,Inputs!$B$44)-(B1441)&lt;=0,1,MAX(0,IF(Inputs!$B$39="pvp",15,Inputs!$B$44)-MAX(5,B1441))/(IF(Inputs!$B$39="pvp",15,Inputs!$B$44)-(B1441))))*IF(AND(ArtifactsInput!$M$42,((Inputs!$B$9+((C1422=TRUE)*(F1422-Calc!F26))+B1430+(ArtifactsInput!$M$24-ArtifactsInput!$M$24)*CHOOSE(ArtifactsInput!$N$24+1,10,12,14,16,18,20)+IF(ArtifactsInput!$M$10,CHOOSE(ArtifactsInput!$N$10+1,15,18,21,24,27,30)*(IF(Inputs!$B$39="pvp",MIN(15,15)/15,IF(AND(Inputs!$B$39&lt;&gt;"pvp",Inputs!$B$44&gt;0),MIN(15,Inputs!$B$44)/(Inputs!$B$44),0))),0)))&gt;=100),CHOOSE(ArtifactsInput!$N$42+1,40,48,56,64,72,80),0))))/100)*(((1+(((C1418=TRUE)*F1418*IF(AND(Inputs!$B$39&lt;&gt;"pvp",Inputs!$B$44&gt;0),(((R1418-1)*MIN((Skills!Y22*(1+Inputs!$B$34/100)),(1/Q1418))+MIN((Skills!Y22*(1+Inputs!$B$34/100)),MAX(0,Inputs!$B$44-((R1418-1)*(1/Q1418)))))/Inputs!$B$44),IF(Inputs!$B$39="pvp",MIN((Skills!Y22*(1+Inputs!$B$34/100)),15)/15,MIN(1,(Skills!Y22*(1+Inputs!$B$34/100))/(1/Q1418)))))+((C1399=TRUE)*F1399*3)+((C1401=TRUE)*F1401*(1-EXP(-0.75*B1434*5)))+((C1420=TRUE)*(F1420-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1407=TRUE)*F1407*IF(AND(Inputs!$B$39&lt;&gt;"pvp",Inputs!$B$44&gt;0),(((R1407-1)*MIN((Skills!Y11*(1+Inputs!$B$34/100)),(1/Q1407))+MIN((Skills!Y11*(1+Inputs!$B$34/100)),MAX(0,Inputs!$B$44-((R1407-1)*(1/Q1407)))))/Inputs!$B$44),IF(Inputs!$B$39="pvp",MIN((Skills!Y11*(1+Inputs!$B$34/100)),15)/15,MIN(1,(Skills!Y11*(1+Inputs!$B$34/100))/(1/Q1407)))))/100)*(1+((C1412=TRUE)*F1412*IF(AND(Inputs!$B$39&lt;&gt;"pvp",Inputs!$B$44&gt;0),(((R1412-1)*MIN((Skills!Y16*(1+Inputs!$B$34/100)),(1/Q1412))+MIN((Skills!Y16*(1+Inputs!$B$34/100)),MAX(0,Inputs!$B$44-((R1412-1)*(1/Q1412)))))/Inputs!$B$44),IF(Inputs!$B$39="pvp",MIN((Skills!Y16*(1+Inputs!$B$34/100)),15)/15,MIN(1,(Skills!Y16*(1+Inputs!$B$34/100))/(1/Q1412)))))/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1432*I1406)</f>
        <v/>
      </c>
      <c r="L1406">
        <f>K1406*(MIN(Inputs!$B$22+((C1421=TRUE)*(F1421-Calc!F25)),(Inputs!$B$23+((C1426=TRUE)*(F1426-Calc!F30))+IF(ArtifactsInput!$M$15,CHOOSE(ArtifactsInput!$N$15+1,25,30,35,40,45,50)/100*(Inputs!$B$11-Inputs!$B$11),0)))/100+(Inputs!$B$23+((C1426=TRUE)*(F1426-Calc!F30))+IF(ArtifactsInput!$M$15,CHOOSE(ArtifactsInput!$N$15+1,25,30,35,40,45,50)/100*(Inputs!$B$11-Inputs!$B$11),0))/100)/2</f>
        <v/>
      </c>
      <c r="M1406">
        <f>L1406*(1+(Inputs!$B$10+((C1423=TRUE)*(F1423-Calc!F27))+B1437+(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1406">
        <f>L1406*(1-MIN((Inputs!$B$9+((C1422=TRUE)*(F1422-Calc!F26))+B1430+(ArtifactsInput!$M$24-ArtifactsInput!$M$24)*CHOOSE(ArtifactsInput!$N$24+1,10,12,14,16,18,20)+(IF(AND(Inputs!$B$39&lt;&gt;"pvp",Inputs!$B$44=0),1,IF(IF(Inputs!$B$39="pvp",15,Inputs!$B$44)-(B1441)&lt;=0,1,MAX(0,IF(Inputs!$B$39="pvp",15,Inputs!$B$44)-MAX(5,B1441))/(IF(Inputs!$B$39="pvp",15,Inputs!$B$44)-(B1441))))*IF(AND(ArtifactsInput!$M$42,((Inputs!$B$9+((C1422=TRUE)*(F1422-Calc!F26))+B1430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1406*(MIN((Inputs!$B$9+((C1422=TRUE)*(F1422-Calc!F26))+B1430+(ArtifactsInput!$M$24-ArtifactsInput!$M$24)*CHOOSE(ArtifactsInput!$N$24+1,10,12,14,16,18,20)+(IF(AND(Inputs!$B$39&lt;&gt;"pvp",Inputs!$B$44=0),1,IF(IF(Inputs!$B$39="pvp",15,Inputs!$B$44)-(B1441)&lt;=0,1,MAX(0,IF(Inputs!$B$39="pvp",15,Inputs!$B$44)-MAX(5,B1441))/(IF(Inputs!$B$39="pvp",15,Inputs!$B$44)-(B1441))))*IF(AND(ArtifactsInput!$M$42,((Inputs!$B$9+((C1422=TRUE)*(F1422-Calc!F26))+B1430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406">
        <f>(1-Summary!$B$11)*T1406+Summary!$B$11*V1406</f>
        <v/>
      </c>
      <c r="P1406">
        <f>IF(B1442=0,0,O1406/B1442)</f>
        <v/>
      </c>
      <c r="Q1406" t="n">
        <v>0</v>
      </c>
      <c r="R1406" t="n">
        <v>0</v>
      </c>
      <c r="S1406" t="n">
        <v>0</v>
      </c>
      <c r="T1406">
        <f>IF(C1406,(0.2*SUMPRODUCT((Skills!Z2:Z31=TRUE)*(C1398:C1427=TRUE)*S1398:S1427)*N1406)*IF(Inputs!$B$39="pvp",1,1+(Inputs!$B$20+0+Skills!P10+B1431+(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Hunt"),CHOOSE(ArtifactsInput!$N$35+1,15,18,21,24,27,30)*(1-EXP(-(0.2*B1434)*5)),0)+IF(AND(ArtifactsInput!$M$22,Inputs!$B$4&lt;&gt;"Chapter Hunt"),CHOOSE(ArtifactsInput!$N$22+1,10,12,14,16,18,20)*((0*(((0.15*B1434*5))^0/1)+1*(((0.15*B1434*5))^1/1)+2*(((0.15*B1434*5))^2/2)+3*(((0.15*B1434*5))^3/6)+4*(((0.15*B1434*5))^4/24)+5*(((0.15*B1434*5))^5/120))/((((0.15*B1434*5))^0/1)+(((0.15*B1434*5))^1/1)+(((0.15*B1434*5))^2/2)+(((0.15*B1434*5))^3/6)+(((0.15*B1434*5))^4/24)+(((0.15*B1434*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1406*(1-MIN(100,(Inputs!$B$9+((C1422=TRUE)*(F1422-Calc!F26))+B1430+(ArtifactsInput!$M$24-ArtifactsInput!$M$24)*CHOOSE(ArtifactsInput!$N$24+1,10,12,14,16,18,20)+(IF(AND(Inputs!$B$39&lt;&gt;"pvp",Inputs!$B$44=0),1,IF(IF(Inputs!$B$39="pvp",15,Inputs!$B$44)-(B1441)&lt;=0,1,MAX(0,IF(Inputs!$B$39="pvp",15,Inputs!$B$44)-MAX(5,B1441))/(IF(Inputs!$B$39="pvp",15,Inputs!$B$44)-(B1441))))*IF(AND(ArtifactsInput!$M$42,((Inputs!$B$9+((C1422=TRUE)*(F1422-Calc!F26))+B1430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1406*(MIN(100,(Inputs!$B$9+((C1422=TRUE)*(F1422-Calc!F26))+B1430+(ArtifactsInput!$M$24-ArtifactsInput!$M$24)*CHOOSE(ArtifactsInput!$N$24+1,10,12,14,16,18,20)+(IF(AND(Inputs!$B$39&lt;&gt;"pvp",Inputs!$B$44=0),1,IF(IF(Inputs!$B$39="pvp",15,Inputs!$B$44)-(B1441)&lt;=0,1,MAX(0,IF(Inputs!$B$39="pvp",15,Inputs!$B$44)-MAX(5,B1441))/(IF(Inputs!$B$39="pvp",15,Inputs!$B$44)-(B1441))))*IF(AND(ArtifactsInput!$M$42,((Inputs!$B$9+((C1422=TRUE)*(F1422-Calc!F26))+B1430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1406*(1-MIN(100,(Inputs!$B$9+((C1422=TRUE)*(F1422-Calc!F26))+B1430+(ArtifactsInput!$M$24-ArtifactsInput!$M$24)*CHOOSE(ArtifactsInput!$N$24+1,10,12,14,16,18,20)+(IF(AND(Inputs!$B$39&lt;&gt;"pvp",Inputs!$B$44=0),1,IF(IF(Inputs!$B$39="pvp",15,Inputs!$B$44)-(B1441)&lt;=0,1,MAX(0,IF(Inputs!$B$39="pvp",15,Inputs!$B$44)-MAX(5,B1441))/(IF(Inputs!$B$39="pvp",15,Inputs!$B$44)-(B1441))))*IF(AND(ArtifactsInput!$M$42,((Inputs!$B$9+((C1422=TRUE)*(F1422-Calc!F26))+B1430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1406*(MIN(100,(Inputs!$B$9+((C1422=TRUE)*(F1422-Calc!F26))+B1430+(ArtifactsInput!$M$24-ArtifactsInput!$M$24)*CHOOSE(ArtifactsInput!$N$24+1,10,12,14,16,18,20)+(IF(AND(Inputs!$B$39&lt;&gt;"pvp",Inputs!$B$44=0),1,IF(IF(Inputs!$B$39="pvp",15,Inputs!$B$44)-(B1441)&lt;=0,1,MAX(0,IF(Inputs!$B$39="pvp",15,Inputs!$B$44)-MAX(5,B1441))/(IF(Inputs!$B$39="pvp",15,Inputs!$B$44)-(B1441))))*IF(AND(ArtifactsInput!$M$42,((Inputs!$B$9+((C1422=TRUE)*(F1422-Calc!F26))+B1430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1406">
        <f>IF(C1406,(0.2*SUMPRODUCT((Skills!Z2:Z31=TRUE)*(C1398:C1427=TRUE)*S1398:S1427)*N1406)*IF(Inputs!$B$39="pvp",1,(1+(Inputs!$B$21+Skills!Q10+B1431+(IF(ArtifactsInput!$M$33,CHOOSE(ArtifactsInput!$N$33+1,30,36,42,48,54,60),0))+(IF(AND(ArtifactsInput!$M$35,Inputs!$B$4&lt;&gt;"Chapter Hunt"),CHOOSE(ArtifactsInput!$N$35+1,15,18,21,24,27,30)*(1-EXP(-(0.2*B1434)*5)),0)+IF(AND(ArtifactsInput!$M$22,Inputs!$B$4&lt;&gt;"Chapter Hunt"),CHOOSE(ArtifactsInput!$N$22+1,10,12,14,16,18,20)*((0*(((0.15*B1434*5))^0/1)+1*(((0.15*B1434*5))^1/1)+2*(((0.15*B1434*5))^2/2)+3*(((0.15*B1434*5))^3/6)+4*(((0.15*B1434*5))^4/24)+5*(((0.15*B1434*5))^5/120))/((((0.15*B1434*5))^0/1)+(((0.15*B1434*5))^1/1)+(((0.15*B1434*5))^2/2)+(((0.15*B1434*5))^3/6)+(((0.15*B1434*5))^4/24)+(((0.15*B1434*5))^5/120))),0)))/100)*(MIN(Skills!W10,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407">
      <c r="A1407">
        <f>Skills!A11</f>
        <v/>
      </c>
      <c r="B1407">
        <f>Skills!B11</f>
        <v/>
      </c>
      <c r="C1407">
        <f>Inputs!$B$3&gt;=74</f>
        <v/>
      </c>
      <c r="D1407">
        <f>IF(Skills!C11=1,60+Inputs!$B$25+Inputs!$B$29,IF(Skills!C11=2,90+Inputs!$B$26+Inputs!$B$29,IF(Skills!C11=3,120+Inputs!$B$27+Inputs!$B$29,MAX(0,(Inputs!$B$3-100)*3)+Inputs!$B$28+Inputs!$B$29)))</f>
        <v/>
      </c>
      <c r="E1407">
        <f>INDEX(FactorTable!$B$2:$Y$301, MATCH(ROUND(MIN(300,MAX(1,D1407)),0), FactorTable!$A$2:$A$301,0), Skills!M11+1)</f>
        <v/>
      </c>
      <c r="F1407">
        <f>IF(Skills!N11=TRUE,(Skills!L11/10)*(E1407/1000),Skills!L11/10)+Skills!O11</f>
        <v/>
      </c>
      <c r="G1407">
        <f>Skills!G11*IF(Skills!H11&gt;0,IF(Inputs!$B$39="pvp",MIN(Skills!I11,15),Skills!I11)/Skills!H11,1)</f>
        <v/>
      </c>
      <c r="H1407">
        <f>1-(1-Skills!J11/100)^Skills!K11</f>
        <v/>
      </c>
      <c r="I1407" t="inlineStr">
        <is>
          <t>1</t>
        </is>
      </c>
      <c r="J1407" t="inlineStr"/>
      <c r="K1407" t="inlineStr"/>
      <c r="L1407" t="inlineStr"/>
      <c r="M1407" t="inlineStr"/>
      <c r="N1407" t="inlineStr"/>
      <c r="O1407">
        <f>(1-Summary!$B$11)*T1407+Summary!$B$11*V1407</f>
        <v/>
      </c>
      <c r="P1407">
        <f>IF(B1442=0,0,O1407/B1442)</f>
        <v/>
      </c>
      <c r="Q1407">
        <f>IFERROR(1/IF(Inputs!$B$39="pvp",15,MAX(0.1,Skills!D11-IF(TRUE=TRUE,Inputs!$B$32,0))),0)</f>
        <v/>
      </c>
      <c r="R1407">
        <f>IF(AND(Inputs!$B$39&lt;&gt;"pvp",Inputs!$B$44&gt;0),IF(Inputs!$B$44&lt;=0,0,(INT(Inputs!$B$44/IF(Inputs!$B$39="pvp",15,MAX(0.1,Skills!D11-IF(TRUE=TRUE,Inputs!$B$32,0))))+1)),0)</f>
        <v/>
      </c>
      <c r="S1407">
        <f>IFERROR(O1407/N1407,0)</f>
        <v/>
      </c>
      <c r="T1407" t="n">
        <v>0</v>
      </c>
      <c r="V1407" t="n">
        <v>0</v>
      </c>
    </row>
    <row r="1408">
      <c r="A1408">
        <f>Skills!A12</f>
        <v/>
      </c>
      <c r="B1408">
        <f>Skills!B12</f>
        <v/>
      </c>
      <c r="C1408">
        <f>Inputs!$B$3&gt;=103</f>
        <v/>
      </c>
      <c r="D1408">
        <f>IF(Skills!C12=1,60+Inputs!$B$25+Inputs!$B$29,IF(Skills!C12=2,90+Inputs!$B$26+Inputs!$B$29,IF(Skills!C12=3,120+Inputs!$B$27+Inputs!$B$29,MAX(0,(Inputs!$B$3-100)*3)+Inputs!$B$28+Inputs!$B$29)))</f>
        <v/>
      </c>
      <c r="E1408">
        <f>INDEX(FactorTable!$B$2:$Y$301, MATCH(ROUND(MIN(300,MAX(1,D1408)),0), FactorTable!$A$2:$A$301,0), Skills!M12+1)</f>
        <v/>
      </c>
      <c r="F1408">
        <f>(Skills!L12/10)*(E1408/1000)+IF(Inputs!$B$3&gt;=134,50,0)+0.5*(30000/10)*(INDEX(FactorTable!$B$2:$Y$301, MATCH(ROUND(MIN(300,MAX(1,D1408)),0), FactorTable!$A$2:$A$301,0), 13)/1000)*B1440</f>
        <v/>
      </c>
      <c r="G1408">
        <f>Skills!G12*IF(Skills!H12&gt;0,IF(Inputs!$B$39="pvp",MIN(Skills!I12,15),Skills!I12)/Skills!H12,1)</f>
        <v/>
      </c>
      <c r="H1408">
        <f>1-(1-Skills!J12/100)^Skills!K12</f>
        <v/>
      </c>
      <c r="I1408" t="inlineStr">
        <is>
          <t>1</t>
        </is>
      </c>
      <c r="J1408">
        <f>((Inputs!$B$6*(1+Inputs!$B$7/100))+(((Inputs!$B$12*(1+Inputs!$B$13/100))-(Inputs!$B$12*(1+Inputs!$B$13/100)))+0.25*(Inputs!$B$14-Inputs!$B$14))*(1+Inputs!$B$7/100))*(F1408/100)</f>
        <v/>
      </c>
      <c r="K1408">
        <f>J1408*(1+((Inputs!$B$12*(1+Inputs!$B$13/100))*0.01+Inputs!$B$14*0.0025)/100)*(1+Inputs!$B$15/100)*(1+Inputs!$B$16/100)*(5000/(6000+Inputs!$B$43*(1-(100*(1-(1-Inputs!$B$19/100)*(1-CHOOSE(ArtifactsInput!$N$40+1,5,6,7,8,9,10)/100)^(ArtifactsInput!$M$40-ArtifactsInput!$M$40)))/100)))*(1+(Inputs!$B$24+((C1427=TRUE)*(F1427-Calc!F31))+((C1414=TRUE)*(F1414-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12="CRUEL_STAB",Inputs!$B$17+((C1424=TRUE)*(F1424-Calc!F28))+((IF(AND(Inputs!$B$39&lt;&gt;"pvp",Inputs!$B$44=0),1,IF(IF(Inputs!$B$39="pvp",15,Inputs!$B$44)-(B1441)&lt;=0,1,MAX(0,IF(Inputs!$B$39="pvp",15,Inputs!$B$44)-MAX(5,B1441))/(IF(Inputs!$B$39="pvp",15,Inputs!$B$44)-(B1441))))*(IF(AND(ArtifactsInput!$M$42,((Inputs!$B$9+((C1422=TRUE)*(F1422-Calc!F26))+B1430+(ArtifactsInput!$M$24-ArtifactsInput!$M$24)*CHOOSE(ArtifactsInput!$N$24+1,10,12,14,16,18,20)+IF(ArtifactsInput!$M$10,CHOOSE(ArtifactsInput!$N$10+1,15,18,21,24,27,30)*(IF(Inputs!$B$39="pvp",MIN(15,15)/15,IF(AND(Inputs!$B$39&lt;&gt;"pvp",Inputs!$B$44&gt;0),MIN(15,Inputs!$B$44)/(Inputs!$B$44),0))),0)))&gt;=100),MIN(100,((Inputs!$B$9+((C1422=TRUE)*(F1422-Calc!F26))+B1430+(ArtifactsInput!$M$24-ArtifactsInput!$M$24)*CHOOSE(ArtifactsInput!$N$24+1,10,12,14,16,18,20)+IF(ArtifactsInput!$M$10,CHOOSE(ArtifactsInput!$N$10+1,15,18,21,24,27,30)*(IF(Inputs!$B$39="pvp",MIN(15,15)/15,IF(AND(Inputs!$B$39&lt;&gt;"pvp",Inputs!$B$44&gt;0),MIN(15,Inputs!$B$44)/(Inputs!$B$44),0))),0)))-100),0))*CHOOSE(ArtifactsInput!$N$42+1,0.6,0.72,0.84,0.96,1.08,1.2))),Inputs!$B$18+((C1425=TRUE)*(F1425-Calc!F29))+(IF(AND(Inputs!$B$39&lt;&gt;"pvp",Inputs!$B$44=0),1,IF(IF(Inputs!$B$39="pvp",15,Inputs!$B$44)-(B1441)&lt;=0,1,MAX(0,IF(Inputs!$B$39="pvp",15,Inputs!$B$44)-MAX(5,B1441))/(IF(Inputs!$B$39="pvp",15,Inputs!$B$44)-(B1441))))*IF(AND(ArtifactsInput!$M$42,((Inputs!$B$9+((C1422=TRUE)*(F1422-Calc!F26))+B1430+(ArtifactsInput!$M$24-ArtifactsInput!$M$24)*CHOOSE(ArtifactsInput!$N$24+1,10,12,14,16,18,20)+IF(ArtifactsInput!$M$10,CHOOSE(ArtifactsInput!$N$10+1,15,18,21,24,27,30)*(IF(Inputs!$B$39="pvp",MIN(15,15)/15,IF(AND(Inputs!$B$39&lt;&gt;"pvp",Inputs!$B$44&gt;0),MIN(15,Inputs!$B$44)/(Inputs!$B$44),0))),0)))&gt;=100),CHOOSE(ArtifactsInput!$N$42+1,40,48,56,64,72,80),0))))/100)*(((1+(((C1418=TRUE)*F1418*IF(AND(Inputs!$B$39&lt;&gt;"pvp",Inputs!$B$44&gt;0),(((R1418-1)*MIN((Skills!Y22*(1+Inputs!$B$34/100)),(1/Q1418))+MIN((Skills!Y22*(1+Inputs!$B$34/100)),MAX(0,Inputs!$B$44-((R1418-1)*(1/Q1418)))))/Inputs!$B$44),IF(Inputs!$B$39="pvp",MIN((Skills!Y22*(1+Inputs!$B$34/100)),15)/15,MIN(1,(Skills!Y22*(1+Inputs!$B$34/100))/(1/Q1418)))))+((C1399=TRUE)*F1399*3)+((C1401=TRUE)*F1401*(1-EXP(-0.75*B1434*5)))+((C1420=TRUE)*(F1420-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1407=TRUE)*F1407*IF(AND(Inputs!$B$39&lt;&gt;"pvp",Inputs!$B$44&gt;0),(((R1407-1)*MIN((Skills!Y11*(1+Inputs!$B$34/100)),(1/Q1407))+MIN((Skills!Y11*(1+Inputs!$B$34/100)),MAX(0,Inputs!$B$44-((R1407-1)*(1/Q1407)))))/Inputs!$B$44),IF(Inputs!$B$39="pvp",MIN((Skills!Y11*(1+Inputs!$B$34/100)),15)/15,MIN(1,(Skills!Y11*(1+Inputs!$B$34/100))/(1/Q1407)))))/100)*(1+((C1412=TRUE)*F1412*IF(AND(Inputs!$B$39&lt;&gt;"pvp",Inputs!$B$44&gt;0),(((R1412-1)*MIN((Skills!Y16*(1+Inputs!$B$34/100)),(1/Q1412))+MIN((Skills!Y16*(1+Inputs!$B$34/100)),MAX(0,Inputs!$B$44-((R1412-1)*(1/Q1412)))))/Inputs!$B$44),IF(Inputs!$B$39="pvp",MIN((Skills!Y16*(1+Inputs!$B$34/100)),15)/15,MIN(1,(Skills!Y16*(1+Inputs!$B$34/100))/(1/Q1412)))))/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1432*I1408)</f>
        <v/>
      </c>
      <c r="L1408">
        <f>K1408*(MIN(Inputs!$B$22+((C1421=TRUE)*(F1421-Calc!F25)),(Inputs!$B$23+((C1426=TRUE)*(F1426-Calc!F30))+IF(ArtifactsInput!$M$15,CHOOSE(ArtifactsInput!$N$15+1,25,30,35,40,45,50)/100*(Inputs!$B$11-Inputs!$B$11),0)))/100+(Inputs!$B$23+((C1426=TRUE)*(F1426-Calc!F30))+IF(ArtifactsInput!$M$15,CHOOSE(ArtifactsInput!$N$15+1,25,30,35,40,45,50)/100*(Inputs!$B$11-Inputs!$B$11),0))/100)/2</f>
        <v/>
      </c>
      <c r="M1408">
        <f>L1408*(1+(Inputs!$B$10+((C1423=TRUE)*(F1423-Calc!F27))+B1437+(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1408">
        <f>L1408*(1-MIN((Inputs!$B$9+((C1422=TRUE)*(F1422-Calc!F26))+B1430+(ArtifactsInput!$M$24-ArtifactsInput!$M$24)*CHOOSE(ArtifactsInput!$N$24+1,10,12,14,16,18,20)+(IF(AND(Inputs!$B$39&lt;&gt;"pvp",Inputs!$B$44=0),1,IF(IF(Inputs!$B$39="pvp",15,Inputs!$B$44)-(B1441)&lt;=0,1,MAX(0,IF(Inputs!$B$39="pvp",15,Inputs!$B$44)-MAX(5,B1441))/(IF(Inputs!$B$39="pvp",15,Inputs!$B$44)-(B1441))))*IF(AND(ArtifactsInput!$M$42,((Inputs!$B$9+((C1422=TRUE)*(F1422-Calc!F26))+B1430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1408*(MIN((Inputs!$B$9+((C1422=TRUE)*(F1422-Calc!F26))+B1430+(ArtifactsInput!$M$24-ArtifactsInput!$M$24)*CHOOSE(ArtifactsInput!$N$24+1,10,12,14,16,18,20)+(IF(AND(Inputs!$B$39&lt;&gt;"pvp",Inputs!$B$44=0),1,IF(IF(Inputs!$B$39="pvp",15,Inputs!$B$44)-(B1441)&lt;=0,1,MAX(0,IF(Inputs!$B$39="pvp",15,Inputs!$B$44)-MAX(5,B1441))/(IF(Inputs!$B$39="pvp",15,Inputs!$B$44)-(B1441))))*IF(AND(ArtifactsInput!$M$42,((Inputs!$B$9+((C1422=TRUE)*(F1422-Calc!F26))+B1430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408">
        <f>(1-Summary!$B$11)*T1408+Summary!$B$11*V1408</f>
        <v/>
      </c>
      <c r="P1408">
        <f>IF(B1442=0,0,O1408/B1442)</f>
        <v/>
      </c>
      <c r="Q1408">
        <f>IFERROR(1/IF(Inputs!$B$39="pvp",15,MAX(0.1,Skills!D12-IF(TRUE=TRUE,Inputs!$B$32,0))),0)</f>
        <v/>
      </c>
      <c r="R1408">
        <f>IF(AND(Inputs!$B$39&lt;&gt;"pvp",Inputs!$B$44&gt;0),IF(MAX(0,Inputs!$B$44-B1441)&lt;=0,0,(INT(MAX(0,Inputs!$B$44-B1441)/IF(Inputs!$B$39="pvp",15,MAX(0.1,Skills!D12-IF(TRUE=TRUE,Inputs!$B$32,0))))+1)),0)</f>
        <v/>
      </c>
      <c r="S1408">
        <f>IFERROR(O1408/N1408,0)</f>
        <v/>
      </c>
      <c r="T1408">
        <f>IF(C1408,(H1408*N1408*IF(AND(Inputs!$B$39&lt;&gt;"pvp",Inputs!$B$44&gt;0),((Skills!G12*((R1408-1)*IF(Skills!H12&gt;0,Skills!I12/Skills!H12,1)+IF(Skills!H12&gt;0,MIN(Skills!I12,MAX(0,MAX(0,Inputs!$B$44-B1441)-((R1408-1)*IF(Inputs!$B$39="pvp",15,MAX(0.1,Skills!D12-IF(TRUE=TRUE,Inputs!$B$32,0))))))/Skills!H12,1)))/Inputs!$B$44),G1408*Q1408))*IF(Inputs!$B$39="pvp",1,1+(Inputs!$B$20+0+Skills!P12+B1431+(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Hunt"),CHOOSE(ArtifactsInput!$N$35+1,15,18,21,24,27,30)*(1-EXP(-(0.2*B1434)*5)),0)+IF(AND(ArtifactsInput!$M$22,Inputs!$B$4&lt;&gt;"Chapter Hunt"),CHOOSE(ArtifactsInput!$N$22+1,10,12,14,16,18,20)*((0*(((0.15*B1434*5))^0/1)+1*(((0.15*B1434*5))^1/1)+2*(((0.15*B1434*5))^2/2)+3*(((0.15*B1434*5))^3/6)+4*(((0.15*B1434*5))^4/24)+5*(((0.15*B1434*5))^5/120))/((((0.15*B1434*5))^0/1)+(((0.15*B1434*5))^1/1)+(((0.15*B1434*5))^2/2)+(((0.15*B1434*5))^3/6)+(((0.15*B1434*5))^4/24)+(((0.15*B1434*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1408*(1-MIN(100,(Inputs!$B$9+((C1422=TRUE)*(F1422-Calc!F26))+B1430+(ArtifactsInput!$M$24-ArtifactsInput!$M$24)*CHOOSE(ArtifactsInput!$N$24+1,10,12,14,16,18,20)+(IF(AND(Inputs!$B$39&lt;&gt;"pvp",Inputs!$B$44=0),1,IF(IF(Inputs!$B$39="pvp",15,Inputs!$B$44)-(B1441)&lt;=0,1,MAX(0,IF(Inputs!$B$39="pvp",15,Inputs!$B$44)-MAX(5,B1441))/(IF(Inputs!$B$39="pvp",15,Inputs!$B$44)-(B1441))))*IF(AND(ArtifactsInput!$M$42,((Inputs!$B$9+((C1422=TRUE)*(F1422-Calc!F26))+B1430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1408*(MIN(100,(Inputs!$B$9+((C1422=TRUE)*(F1422-Calc!F26))+B1430+(ArtifactsInput!$M$24-ArtifactsInput!$M$24)*CHOOSE(ArtifactsInput!$N$24+1,10,12,14,16,18,20)+(IF(AND(Inputs!$B$39&lt;&gt;"pvp",Inputs!$B$44=0),1,IF(IF(Inputs!$B$39="pvp",15,Inputs!$B$44)-(B1441)&lt;=0,1,MAX(0,IF(Inputs!$B$39="pvp",15,Inputs!$B$44)-MAX(5,B1441))/(IF(Inputs!$B$39="pvp",15,Inputs!$B$44)-(B1441))))*IF(AND(ArtifactsInput!$M$42,((Inputs!$B$9+((C1422=TRUE)*(F1422-Calc!F26))+B1430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1408*(1-MIN(100,(Inputs!$B$9+((C1422=TRUE)*(F1422-Calc!F26))+B1430+(ArtifactsInput!$M$24-ArtifactsInput!$M$24)*CHOOSE(ArtifactsInput!$N$24+1,10,12,14,16,18,20)+(IF(AND(Inputs!$B$39&lt;&gt;"pvp",Inputs!$B$44=0),1,IF(IF(Inputs!$B$39="pvp",15,Inputs!$B$44)-(B1441)&lt;=0,1,MAX(0,IF(Inputs!$B$39="pvp",15,Inputs!$B$44)-MAX(5,B1441))/(IF(Inputs!$B$39="pvp",15,Inputs!$B$44)-(B1441))))*IF(AND(ArtifactsInput!$M$42,((Inputs!$B$9+((C1422=TRUE)*(F1422-Calc!F26))+B1430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1408*(MIN(100,(Inputs!$B$9+((C1422=TRUE)*(F1422-Calc!F26))+B1430+(ArtifactsInput!$M$24-ArtifactsInput!$M$24)*CHOOSE(ArtifactsInput!$N$24+1,10,12,14,16,18,20)+(IF(AND(Inputs!$B$39&lt;&gt;"pvp",Inputs!$B$44=0),1,IF(IF(Inputs!$B$39="pvp",15,Inputs!$B$44)-(B1441)&lt;=0,1,MAX(0,IF(Inputs!$B$39="pvp",15,Inputs!$B$44)-MAX(5,B1441))/(IF(Inputs!$B$39="pvp",15,Inputs!$B$44)-(B1441))))*IF(AND(ArtifactsInput!$M$42,((Inputs!$B$9+((C1422=TRUE)*(F1422-Calc!F26))+B1430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1408">
        <f>IF(C1408,(H1408*N1408*IF(AND(Inputs!$B$39&lt;&gt;"pvp",Inputs!$B$44&gt;0),((Skills!G12*((R1408-1)*IF(Skills!H12&gt;0,Skills!I12/Skills!H12,1)+IF(Skills!H12&gt;0,MIN(Skills!I12,MAX(0,MAX(0,Inputs!$B$44-B1441)-((R1408-1)*IF(Inputs!$B$39="pvp",15,MAX(0.1,Skills!D12-IF(TRUE=TRUE,Inputs!$B$32,0))))))/Skills!H12,1)))/Inputs!$B$44),G1408*Q1408))*IF(Inputs!$B$39="pvp",1,(1+(Inputs!$B$21+Skills!Q12+B1431+(IF(ArtifactsInput!$M$33,CHOOSE(ArtifactsInput!$N$33+1,30,36,42,48,54,60),0))+(IF(AND(ArtifactsInput!$M$35,Inputs!$B$4&lt;&gt;"Chapter Hunt"),CHOOSE(ArtifactsInput!$N$35+1,15,18,21,24,27,30)*(1-EXP(-(0.2*B1434)*5)),0)+IF(AND(ArtifactsInput!$M$22,Inputs!$B$4&lt;&gt;"Chapter Hunt"),CHOOSE(ArtifactsInput!$N$22+1,10,12,14,16,18,20)*((0*(((0.15*B1434*5))^0/1)+1*(((0.15*B1434*5))^1/1)+2*(((0.15*B1434*5))^2/2)+3*(((0.15*B1434*5))^3/6)+4*(((0.15*B1434*5))^4/24)+5*(((0.15*B1434*5))^5/120))/((((0.15*B1434*5))^0/1)+(((0.15*B1434*5))^1/1)+(((0.15*B1434*5))^2/2)+(((0.15*B1434*5))^3/6)+(((0.15*B1434*5))^4/24)+(((0.15*B1434*5))^5/120))),0)))/100)*(MIN(Skills!W12,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409">
      <c r="A1409">
        <f>Skills!A13</f>
        <v/>
      </c>
      <c r="B1409">
        <f>Skills!B13</f>
        <v/>
      </c>
      <c r="C1409">
        <f>Inputs!$B$3&gt;=105</f>
        <v/>
      </c>
      <c r="D1409">
        <f>IF(Skills!C13=1,60+Inputs!$B$25+Inputs!$B$29,IF(Skills!C13=2,90+Inputs!$B$26+Inputs!$B$29,IF(Skills!C13=3,120+Inputs!$B$27+Inputs!$B$29,MAX(0,(Inputs!$B$3-100)*3)+Inputs!$B$28+Inputs!$B$29)))</f>
        <v/>
      </c>
      <c r="E1409">
        <f>INDEX(FactorTable!$B$2:$Y$301, MATCH(ROUND(MIN(300,MAX(1,D1409)),0), FactorTable!$A$2:$A$301,0), Skills!M13+1)</f>
        <v/>
      </c>
      <c r="F1409">
        <f>IF(Skills!N13=TRUE,(Skills!L13/10)*(E1409/1000),Skills!L13/10)+Skills!O13</f>
        <v/>
      </c>
      <c r="G1409">
        <f>Skills!G13*IF(Skills!H13&gt;0,IF(Inputs!$B$39="pvp",MIN(Skills!I13,15),Skills!I13)/Skills!H13,1)</f>
        <v/>
      </c>
      <c r="H1409">
        <f>1-(1-Skills!J13/100)^Skills!K13</f>
        <v/>
      </c>
      <c r="I1409" t="inlineStr">
        <is>
          <t>1</t>
        </is>
      </c>
      <c r="J1409">
        <f>((Inputs!$B$6*(1+Inputs!$B$7/100))+(((Inputs!$B$12*(1+Inputs!$B$13/100))-(Inputs!$B$12*(1+Inputs!$B$13/100)))+0.25*(Inputs!$B$14-Inputs!$B$14))*(1+Inputs!$B$7/100))*(F1409/100)</f>
        <v/>
      </c>
      <c r="K1409">
        <f>J1409*(1+((Inputs!$B$12*(1+Inputs!$B$13/100))*0.01+Inputs!$B$14*0.0025)/100)*(1+Inputs!$B$15/100)*(1+Inputs!$B$16/100)*(5000/(6000+Inputs!$B$43*(1-(100*(1-(1-Inputs!$B$19/100)*(1-CHOOSE(ArtifactsInput!$N$40+1,5,6,7,8,9,10)/100)^(ArtifactsInput!$M$40-ArtifactsInput!$M$40)))/100)))*(1+(Inputs!$B$24+((C1427=TRUE)*(F1427-Calc!F31))+((C1414=TRUE)*(F1414-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13="CRUEL_STAB",Inputs!$B$17+((C1424=TRUE)*(F1424-Calc!F28))+((IF(AND(Inputs!$B$39&lt;&gt;"pvp",Inputs!$B$44=0),1,IF(IF(Inputs!$B$39="pvp",15,Inputs!$B$44)-(B1441)&lt;=0,1,MAX(0,IF(Inputs!$B$39="pvp",15,Inputs!$B$44)-MAX(5,B1441))/(IF(Inputs!$B$39="pvp",15,Inputs!$B$44)-(B1441))))*(IF(AND(ArtifactsInput!$M$42,((Inputs!$B$9+((C1422=TRUE)*(F1422-Calc!F26))+B1430+(ArtifactsInput!$M$24-ArtifactsInput!$M$24)*CHOOSE(ArtifactsInput!$N$24+1,10,12,14,16,18,20)+IF(ArtifactsInput!$M$10,CHOOSE(ArtifactsInput!$N$10+1,15,18,21,24,27,30)*(IF(Inputs!$B$39="pvp",MIN(15,15)/15,IF(AND(Inputs!$B$39&lt;&gt;"pvp",Inputs!$B$44&gt;0),MIN(15,Inputs!$B$44)/(Inputs!$B$44),0))),0)))&gt;=100),MIN(100,((Inputs!$B$9+((C1422=TRUE)*(F1422-Calc!F26))+B1430+(ArtifactsInput!$M$24-ArtifactsInput!$M$24)*CHOOSE(ArtifactsInput!$N$24+1,10,12,14,16,18,20)+IF(ArtifactsInput!$M$10,CHOOSE(ArtifactsInput!$N$10+1,15,18,21,24,27,30)*(IF(Inputs!$B$39="pvp",MIN(15,15)/15,IF(AND(Inputs!$B$39&lt;&gt;"pvp",Inputs!$B$44&gt;0),MIN(15,Inputs!$B$44)/(Inputs!$B$44),0))),0)))-100),0))*CHOOSE(ArtifactsInput!$N$42+1,0.6,0.72,0.84,0.96,1.08,1.2))),Inputs!$B$18+((C1425=TRUE)*(F1425-Calc!F29))+(IF(AND(Inputs!$B$39&lt;&gt;"pvp",Inputs!$B$44=0),1,IF(IF(Inputs!$B$39="pvp",15,Inputs!$B$44)-(B1441)&lt;=0,1,MAX(0,IF(Inputs!$B$39="pvp",15,Inputs!$B$44)-MAX(5,B1441))/(IF(Inputs!$B$39="pvp",15,Inputs!$B$44)-(B1441))))*IF(AND(ArtifactsInput!$M$42,((Inputs!$B$9+((C1422=TRUE)*(F1422-Calc!F26))+B1430+(ArtifactsInput!$M$24-ArtifactsInput!$M$24)*CHOOSE(ArtifactsInput!$N$24+1,10,12,14,16,18,20)+IF(ArtifactsInput!$M$10,CHOOSE(ArtifactsInput!$N$10+1,15,18,21,24,27,30)*(IF(Inputs!$B$39="pvp",MIN(15,15)/15,IF(AND(Inputs!$B$39&lt;&gt;"pvp",Inputs!$B$44&gt;0),MIN(15,Inputs!$B$44)/(Inputs!$B$44),0))),0)))&gt;=100),CHOOSE(ArtifactsInput!$N$42+1,40,48,56,64,72,80),0))))/100)*(((1+(((C1418=TRUE)*F1418*IF(AND(Inputs!$B$39&lt;&gt;"pvp",Inputs!$B$44&gt;0),(((R1418-1)*MIN((Skills!Y22*(1+Inputs!$B$34/100)),(1/Q1418))+MIN((Skills!Y22*(1+Inputs!$B$34/100)),MAX(0,Inputs!$B$44-((R1418-1)*(1/Q1418)))))/Inputs!$B$44),IF(Inputs!$B$39="pvp",MIN((Skills!Y22*(1+Inputs!$B$34/100)),15)/15,MIN(1,(Skills!Y22*(1+Inputs!$B$34/100))/(1/Q1418)))))+((C1399=TRUE)*F1399*3)+((C1401=TRUE)*F1401*(1-EXP(-0.75*B1434*5)))+((C1420=TRUE)*(F1420-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1407=TRUE)*F1407*IF(AND(Inputs!$B$39&lt;&gt;"pvp",Inputs!$B$44&gt;0),(((R1407-1)*MIN((Skills!Y11*(1+Inputs!$B$34/100)),(1/Q1407))+MIN((Skills!Y11*(1+Inputs!$B$34/100)),MAX(0,Inputs!$B$44-((R1407-1)*(1/Q1407)))))/Inputs!$B$44),IF(Inputs!$B$39="pvp",MIN((Skills!Y11*(1+Inputs!$B$34/100)),15)/15,MIN(1,(Skills!Y11*(1+Inputs!$B$34/100))/(1/Q1407)))))/100)*(1+((C1412=TRUE)*F1412*IF(AND(Inputs!$B$39&lt;&gt;"pvp",Inputs!$B$44&gt;0),(((R1412-1)*MIN((Skills!Y16*(1+Inputs!$B$34/100)),(1/Q1412))+MIN((Skills!Y16*(1+Inputs!$B$34/100)),MAX(0,Inputs!$B$44-((R1412-1)*(1/Q1412)))))/Inputs!$B$44),IF(Inputs!$B$39="pvp",MIN((Skills!Y16*(1+Inputs!$B$34/100)),15)/15,MIN(1,(Skills!Y16*(1+Inputs!$B$34/100))/(1/Q1412)))))/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1432*I1409)</f>
        <v/>
      </c>
      <c r="L1409">
        <f>K1409*(MIN(Inputs!$B$22+((C1421=TRUE)*(F1421-Calc!F25)),(Inputs!$B$23+((C1426=TRUE)*(F1426-Calc!F30))+IF(ArtifactsInput!$M$15,CHOOSE(ArtifactsInput!$N$15+1,25,30,35,40,45,50)/100*(Inputs!$B$11-Inputs!$B$11),0)))/100+(Inputs!$B$23+((C1426=TRUE)*(F1426-Calc!F30))+IF(ArtifactsInput!$M$15,CHOOSE(ArtifactsInput!$N$15+1,25,30,35,40,45,50)/100*(Inputs!$B$11-Inputs!$B$11),0))/100)/2</f>
        <v/>
      </c>
      <c r="M1409">
        <f>L1409*(1+(Inputs!$B$10+((C1423=TRUE)*(F1423-Calc!F27))+B1437+(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1409">
        <f>L1409*(1-MIN((Inputs!$B$9+((C1422=TRUE)*(F1422-Calc!F26))+B1430+(ArtifactsInput!$M$24-ArtifactsInput!$M$24)*CHOOSE(ArtifactsInput!$N$24+1,10,12,14,16,18,20)+(IF(AND(Inputs!$B$39&lt;&gt;"pvp",Inputs!$B$44=0),1,IF(IF(Inputs!$B$39="pvp",15,Inputs!$B$44)-(B1441)&lt;=0,1,MAX(0,IF(Inputs!$B$39="pvp",15,Inputs!$B$44)-MAX(5,B1441))/(IF(Inputs!$B$39="pvp",15,Inputs!$B$44)-(B1441))))*IF(AND(ArtifactsInput!$M$42,((Inputs!$B$9+((C1422=TRUE)*(F1422-Calc!F26))+B1430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1409*(MIN((Inputs!$B$9+((C1422=TRUE)*(F1422-Calc!F26))+B1430+(ArtifactsInput!$M$24-ArtifactsInput!$M$24)*CHOOSE(ArtifactsInput!$N$24+1,10,12,14,16,18,20)+(IF(AND(Inputs!$B$39&lt;&gt;"pvp",Inputs!$B$44=0),1,IF(IF(Inputs!$B$39="pvp",15,Inputs!$B$44)-(B1441)&lt;=0,1,MAX(0,IF(Inputs!$B$39="pvp",15,Inputs!$B$44)-MAX(5,B1441))/(IF(Inputs!$B$39="pvp",15,Inputs!$B$44)-(B1441))))*IF(AND(ArtifactsInput!$M$42,((Inputs!$B$9+((C1422=TRUE)*(F1422-Calc!F26))+B1430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409">
        <f>(1-Summary!$B$11)*T1409+Summary!$B$11*V1409</f>
        <v/>
      </c>
      <c r="P1409">
        <f>IF(B1442=0,0,O1409/B1442)</f>
        <v/>
      </c>
      <c r="Q1409">
        <f>IFERROR(1/IF(Inputs!$B$39="pvp",15,MAX(0.1,Skills!D13-IF(TRUE=TRUE,Inputs!$B$32,0))),0)</f>
        <v/>
      </c>
      <c r="R1409">
        <f>IF(AND(Inputs!$B$39&lt;&gt;"pvp",Inputs!$B$44&gt;0),IF(MAX(0,Inputs!$B$44-B1441)&lt;=0,0,(INT(MAX(0,Inputs!$B$44-B1441)/IF(Inputs!$B$39="pvp",15,MAX(0.1,Skills!D13-IF(TRUE=TRUE,Inputs!$B$32,0))))+1)),0)</f>
        <v/>
      </c>
      <c r="S1409">
        <f>IFERROR(O1409/N1409,0)</f>
        <v/>
      </c>
      <c r="T1409">
        <f>IF(C1409,(H1409*N1409*IF(AND(Inputs!$B$39&lt;&gt;"pvp",Inputs!$B$44&gt;0),((Skills!G13*((R1409-1)*IF(Skills!H13&gt;0,Skills!I13/Skills!H13,1)+IF(Skills!H13&gt;0,MIN(Skills!I13,MAX(0,MAX(0,Inputs!$B$44-B1441)-((R1409-1)*IF(Inputs!$B$39="pvp",15,MAX(0.1,Skills!D13-IF(TRUE=TRUE,Inputs!$B$32,0))))))/Skills!H13,1)))/Inputs!$B$44),G1409*Q1409))*IF(Inputs!$B$39="pvp",1,1+(Inputs!$B$20+0+Skills!P13+B1431+(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Hunt"),CHOOSE(ArtifactsInput!$N$35+1,15,18,21,24,27,30)*(1-EXP(-(0.2*B1434)*5)),0)+IF(AND(ArtifactsInput!$M$22,Inputs!$B$4&lt;&gt;"Chapter Hunt"),CHOOSE(ArtifactsInput!$N$22+1,10,12,14,16,18,20)*((0*(((0.15*B1434*5))^0/1)+1*(((0.15*B1434*5))^1/1)+2*(((0.15*B1434*5))^2/2)+3*(((0.15*B1434*5))^3/6)+4*(((0.15*B1434*5))^4/24)+5*(((0.15*B1434*5))^5/120))/((((0.15*B1434*5))^0/1)+(((0.15*B1434*5))^1/1)+(((0.15*B1434*5))^2/2)+(((0.15*B1434*5))^3/6)+(((0.15*B1434*5))^4/24)+(((0.15*B1434*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1409*(1-MIN(100,(Inputs!$B$9+((C1422=TRUE)*(F1422-Calc!F26))+B1430+(ArtifactsInput!$M$24-ArtifactsInput!$M$24)*CHOOSE(ArtifactsInput!$N$24+1,10,12,14,16,18,20)+(IF(AND(Inputs!$B$39&lt;&gt;"pvp",Inputs!$B$44=0),1,IF(IF(Inputs!$B$39="pvp",15,Inputs!$B$44)-(B1441)&lt;=0,1,MAX(0,IF(Inputs!$B$39="pvp",15,Inputs!$B$44)-MAX(5,B1441))/(IF(Inputs!$B$39="pvp",15,Inputs!$B$44)-(B1441))))*IF(AND(ArtifactsInput!$M$42,((Inputs!$B$9+((C1422=TRUE)*(F1422-Calc!F26))+B1430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1409*(MIN(100,(Inputs!$B$9+((C1422=TRUE)*(F1422-Calc!F26))+B1430+(ArtifactsInput!$M$24-ArtifactsInput!$M$24)*CHOOSE(ArtifactsInput!$N$24+1,10,12,14,16,18,20)+(IF(AND(Inputs!$B$39&lt;&gt;"pvp",Inputs!$B$44=0),1,IF(IF(Inputs!$B$39="pvp",15,Inputs!$B$44)-(B1441)&lt;=0,1,MAX(0,IF(Inputs!$B$39="pvp",15,Inputs!$B$44)-MAX(5,B1441))/(IF(Inputs!$B$39="pvp",15,Inputs!$B$44)-(B1441))))*IF(AND(ArtifactsInput!$M$42,((Inputs!$B$9+((C1422=TRUE)*(F1422-Calc!F26))+B1430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1409*(1-MIN(100,(Inputs!$B$9+((C1422=TRUE)*(F1422-Calc!F26))+B1430+(ArtifactsInput!$M$24-ArtifactsInput!$M$24)*CHOOSE(ArtifactsInput!$N$24+1,10,12,14,16,18,20)+(IF(AND(Inputs!$B$39&lt;&gt;"pvp",Inputs!$B$44=0),1,IF(IF(Inputs!$B$39="pvp",15,Inputs!$B$44)-(B1441)&lt;=0,1,MAX(0,IF(Inputs!$B$39="pvp",15,Inputs!$B$44)-MAX(5,B1441))/(IF(Inputs!$B$39="pvp",15,Inputs!$B$44)-(B1441))))*IF(AND(ArtifactsInput!$M$42,((Inputs!$B$9+((C1422=TRUE)*(F1422-Calc!F26))+B1430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1409*(MIN(100,(Inputs!$B$9+((C1422=TRUE)*(F1422-Calc!F26))+B1430+(ArtifactsInput!$M$24-ArtifactsInput!$M$24)*CHOOSE(ArtifactsInput!$N$24+1,10,12,14,16,18,20)+(IF(AND(Inputs!$B$39&lt;&gt;"pvp",Inputs!$B$44=0),1,IF(IF(Inputs!$B$39="pvp",15,Inputs!$B$44)-(B1441)&lt;=0,1,MAX(0,IF(Inputs!$B$39="pvp",15,Inputs!$B$44)-MAX(5,B1441))/(IF(Inputs!$B$39="pvp",15,Inputs!$B$44)-(B1441))))*IF(AND(ArtifactsInput!$M$42,((Inputs!$B$9+((C1422=TRUE)*(F1422-Calc!F26))+B1430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1409">
        <f>IF(C1409,(H1409*N1409*IF(AND(Inputs!$B$39&lt;&gt;"pvp",Inputs!$B$44&gt;0),((Skills!G13*((R1409-1)*IF(Skills!H13&gt;0,Skills!I13/Skills!H13,1)+IF(Skills!H13&gt;0,MIN(Skills!I13,MAX(0,MAX(0,Inputs!$B$44-B1441)-((R1409-1)*IF(Inputs!$B$39="pvp",15,MAX(0.1,Skills!D13-IF(TRUE=TRUE,Inputs!$B$32,0))))))/Skills!H13,1)))/Inputs!$B$44),G1409*Q1409))*IF(Inputs!$B$39="pvp",1,(1+(Inputs!$B$21+Skills!Q13+B1431+(IF(ArtifactsInput!$M$33,CHOOSE(ArtifactsInput!$N$33+1,30,36,42,48,54,60),0))+(IF(AND(ArtifactsInput!$M$35,Inputs!$B$4&lt;&gt;"Chapter Hunt"),CHOOSE(ArtifactsInput!$N$35+1,15,18,21,24,27,30)*(1-EXP(-(0.2*B1434)*5)),0)+IF(AND(ArtifactsInput!$M$22,Inputs!$B$4&lt;&gt;"Chapter Hunt"),CHOOSE(ArtifactsInput!$N$22+1,10,12,14,16,18,20)*((0*(((0.15*B1434*5))^0/1)+1*(((0.15*B1434*5))^1/1)+2*(((0.15*B1434*5))^2/2)+3*(((0.15*B1434*5))^3/6)+4*(((0.15*B1434*5))^4/24)+5*(((0.15*B1434*5))^5/120))/((((0.15*B1434*5))^0/1)+(((0.15*B1434*5))^1/1)+(((0.15*B1434*5))^2/2)+(((0.15*B1434*5))^3/6)+(((0.15*B1434*5))^4/24)+(((0.15*B1434*5))^5/120))),0)))/100)*(MIN(Skills!W13,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410">
      <c r="A1410">
        <f>Skills!A14</f>
        <v/>
      </c>
      <c r="B1410">
        <f>Skills!B14</f>
        <v/>
      </c>
      <c r="C1410">
        <f>Inputs!$B$3&gt;=105</f>
        <v/>
      </c>
      <c r="D1410">
        <f>IF(Skills!C14=1,60+Inputs!$B$25+Inputs!$B$29,IF(Skills!C14=2,90+Inputs!$B$26+Inputs!$B$29,IF(Skills!C14=3,120+Inputs!$B$27+Inputs!$B$29,MAX(0,(Inputs!$B$3-100)*3)+Inputs!$B$28+Inputs!$B$29)))</f>
        <v/>
      </c>
      <c r="E1410">
        <f>INDEX(FactorTable!$B$2:$Y$301, MATCH(ROUND(MIN(300,MAX(1,D1410)),0), FactorTable!$A$2:$A$301,0), Skills!M14+1)</f>
        <v/>
      </c>
      <c r="F1410">
        <f>IF(Skills!N14=TRUE,(Skills!L14/10)*(E1410/1000),Skills!L14/10)+Skills!O14</f>
        <v/>
      </c>
      <c r="G1410">
        <f>Skills!G14*IF(Skills!H14&gt;0,IF(Inputs!$B$39="pvp",MIN(Skills!I14,15),Skills!I14)/Skills!H14,1)</f>
        <v/>
      </c>
      <c r="H1410">
        <f>1-(1-Skills!J14/100)^Skills!K14</f>
        <v/>
      </c>
      <c r="I1410" t="inlineStr">
        <is>
          <t>1</t>
        </is>
      </c>
      <c r="J1410">
        <f>((Inputs!$B$6*(1+Inputs!$B$7/100))+(((Inputs!$B$12*(1+Inputs!$B$13/100))-(Inputs!$B$12*(1+Inputs!$B$13/100)))+0.25*(Inputs!$B$14-Inputs!$B$14))*(1+Inputs!$B$7/100))*(F1410/100)</f>
        <v/>
      </c>
      <c r="K1410">
        <f>J1410*(1+((Inputs!$B$12*(1+Inputs!$B$13/100))*0.01+Inputs!$B$14*0.0025)/100)*(1+Inputs!$B$15/100)*(1+Inputs!$B$16/100)*(5000/(6000+Inputs!$B$43*(1-(100*(1-(1-Inputs!$B$19/100)*(1-CHOOSE(ArtifactsInput!$N$40+1,5,6,7,8,9,10)/100)^(ArtifactsInput!$M$40-ArtifactsInput!$M$40)))/100)))*(1+(Inputs!$B$24+((C1427=TRUE)*(F1427-Calc!F31))+((C1414=TRUE)*(F1414-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14="CRUEL_STAB",Inputs!$B$17+((C1424=TRUE)*(F1424-Calc!F28))+((IF(AND(Inputs!$B$39&lt;&gt;"pvp",Inputs!$B$44=0),1,IF(IF(Inputs!$B$39="pvp",15,Inputs!$B$44)-(B1441)&lt;=0,1,MAX(0,IF(Inputs!$B$39="pvp",15,Inputs!$B$44)-MAX(5,B1441))/(IF(Inputs!$B$39="pvp",15,Inputs!$B$44)-(B1441))))*(IF(AND(ArtifactsInput!$M$42,((Inputs!$B$9+((C1422=TRUE)*(F1422-Calc!F26))+B1430+(ArtifactsInput!$M$24-ArtifactsInput!$M$24)*CHOOSE(ArtifactsInput!$N$24+1,10,12,14,16,18,20)+IF(ArtifactsInput!$M$10,CHOOSE(ArtifactsInput!$N$10+1,15,18,21,24,27,30)*(IF(Inputs!$B$39="pvp",MIN(15,15)/15,IF(AND(Inputs!$B$39&lt;&gt;"pvp",Inputs!$B$44&gt;0),MIN(15,Inputs!$B$44)/(Inputs!$B$44),0))),0)))&gt;=100),MIN(100,((Inputs!$B$9+((C1422=TRUE)*(F1422-Calc!F26))+B1430+(ArtifactsInput!$M$24-ArtifactsInput!$M$24)*CHOOSE(ArtifactsInput!$N$24+1,10,12,14,16,18,20)+IF(ArtifactsInput!$M$10,CHOOSE(ArtifactsInput!$N$10+1,15,18,21,24,27,30)*(IF(Inputs!$B$39="pvp",MIN(15,15)/15,IF(AND(Inputs!$B$39&lt;&gt;"pvp",Inputs!$B$44&gt;0),MIN(15,Inputs!$B$44)/(Inputs!$B$44),0))),0)))-100),0))*CHOOSE(ArtifactsInput!$N$42+1,0.6,0.72,0.84,0.96,1.08,1.2))),Inputs!$B$18+((C1425=TRUE)*(F1425-Calc!F29))+(IF(AND(Inputs!$B$39&lt;&gt;"pvp",Inputs!$B$44=0),1,IF(IF(Inputs!$B$39="pvp",15,Inputs!$B$44)-(B1441)&lt;=0,1,MAX(0,IF(Inputs!$B$39="pvp",15,Inputs!$B$44)-MAX(5,B1441))/(IF(Inputs!$B$39="pvp",15,Inputs!$B$44)-(B1441))))*IF(AND(ArtifactsInput!$M$42,((Inputs!$B$9+((C1422=TRUE)*(F1422-Calc!F26))+B1430+(ArtifactsInput!$M$24-ArtifactsInput!$M$24)*CHOOSE(ArtifactsInput!$N$24+1,10,12,14,16,18,20)+IF(ArtifactsInput!$M$10,CHOOSE(ArtifactsInput!$N$10+1,15,18,21,24,27,30)*(IF(Inputs!$B$39="pvp",MIN(15,15)/15,IF(AND(Inputs!$B$39&lt;&gt;"pvp",Inputs!$B$44&gt;0),MIN(15,Inputs!$B$44)/(Inputs!$B$44),0))),0)))&gt;=100),CHOOSE(ArtifactsInput!$N$42+1,40,48,56,64,72,80),0))))/100)*(((1+(((C1418=TRUE)*F1418*IF(AND(Inputs!$B$39&lt;&gt;"pvp",Inputs!$B$44&gt;0),(((R1418-1)*MIN((Skills!Y22*(1+Inputs!$B$34/100)),(1/Q1418))+MIN((Skills!Y22*(1+Inputs!$B$34/100)),MAX(0,Inputs!$B$44-((R1418-1)*(1/Q1418)))))/Inputs!$B$44),IF(Inputs!$B$39="pvp",MIN((Skills!Y22*(1+Inputs!$B$34/100)),15)/15,MIN(1,(Skills!Y22*(1+Inputs!$B$34/100))/(1/Q1418)))))+((C1399=TRUE)*F1399*3)+((C1401=TRUE)*F1401*(1-EXP(-0.75*B1434*5)))+((C1420=TRUE)*(F1420-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1407=TRUE)*F1407*IF(AND(Inputs!$B$39&lt;&gt;"pvp",Inputs!$B$44&gt;0),(((R1407-1)*MIN((Skills!Y11*(1+Inputs!$B$34/100)),(1/Q1407))+MIN((Skills!Y11*(1+Inputs!$B$34/100)),MAX(0,Inputs!$B$44-((R1407-1)*(1/Q1407)))))/Inputs!$B$44),IF(Inputs!$B$39="pvp",MIN((Skills!Y11*(1+Inputs!$B$34/100)),15)/15,MIN(1,(Skills!Y11*(1+Inputs!$B$34/100))/(1/Q1407)))))/100)*(1+((C1412=TRUE)*F1412*IF(AND(Inputs!$B$39&lt;&gt;"pvp",Inputs!$B$44&gt;0),(((R1412-1)*MIN((Skills!Y16*(1+Inputs!$B$34/100)),(1/Q1412))+MIN((Skills!Y16*(1+Inputs!$B$34/100)),MAX(0,Inputs!$B$44-((R1412-1)*(1/Q1412)))))/Inputs!$B$44),IF(Inputs!$B$39="pvp",MIN((Skills!Y16*(1+Inputs!$B$34/100)),15)/15,MIN(1,(Skills!Y16*(1+Inputs!$B$34/100))/(1/Q1412)))))/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1432*I1410)</f>
        <v/>
      </c>
      <c r="L1410">
        <f>K1410*(MIN(Inputs!$B$22+((C1421=TRUE)*(F1421-Calc!F25)),(Inputs!$B$23+((C1426=TRUE)*(F1426-Calc!F30))+IF(ArtifactsInput!$M$15,CHOOSE(ArtifactsInput!$N$15+1,25,30,35,40,45,50)/100*(Inputs!$B$11-Inputs!$B$11),0)))/100+(Inputs!$B$23+((C1426=TRUE)*(F1426-Calc!F30))+IF(ArtifactsInput!$M$15,CHOOSE(ArtifactsInput!$N$15+1,25,30,35,40,45,50)/100*(Inputs!$B$11-Inputs!$B$11),0))/100)/2</f>
        <v/>
      </c>
      <c r="M1410">
        <f>L1410*(1+(Inputs!$B$10+((C1423=TRUE)*(F1423-Calc!F27))+B1437+(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1410">
        <f>L1410*(1-MIN((Inputs!$B$9+((C1422=TRUE)*(F1422-Calc!F26))+B1430+(ArtifactsInput!$M$24-ArtifactsInput!$M$24)*CHOOSE(ArtifactsInput!$N$24+1,10,12,14,16,18,20)+(IF(AND(Inputs!$B$39&lt;&gt;"pvp",Inputs!$B$44=0),1,IF(IF(Inputs!$B$39="pvp",15,Inputs!$B$44)-(B1441)&lt;=0,1,MAX(0,IF(Inputs!$B$39="pvp",15,Inputs!$B$44)-MAX(5,B1441))/(IF(Inputs!$B$39="pvp",15,Inputs!$B$44)-(B1441))))*IF(AND(ArtifactsInput!$M$42,((Inputs!$B$9+((C1422=TRUE)*(F1422-Calc!F26))+B1430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1410*(MIN((Inputs!$B$9+((C1422=TRUE)*(F1422-Calc!F26))+B1430+(ArtifactsInput!$M$24-ArtifactsInput!$M$24)*CHOOSE(ArtifactsInput!$N$24+1,10,12,14,16,18,20)+(IF(AND(Inputs!$B$39&lt;&gt;"pvp",Inputs!$B$44=0),1,IF(IF(Inputs!$B$39="pvp",15,Inputs!$B$44)-(B1441)&lt;=0,1,MAX(0,IF(Inputs!$B$39="pvp",15,Inputs!$B$44)-MAX(5,B1441))/(IF(Inputs!$B$39="pvp",15,Inputs!$B$44)-(B1441))))*IF(AND(ArtifactsInput!$M$42,((Inputs!$B$9+((C1422=TRUE)*(F1422-Calc!F26))+B1430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410">
        <f>(1-Summary!$B$11)*T1410+Summary!$B$11*V1410</f>
        <v/>
      </c>
      <c r="P1410">
        <f>IF(B1442=0,0,O1410/B1442)</f>
        <v/>
      </c>
      <c r="Q1410">
        <f>IFERROR(1/IF(Inputs!$B$39="pvp",15,MAX(0.1,Skills!D14-IF(TRUE=TRUE,Inputs!$B$32,0))),0)</f>
        <v/>
      </c>
      <c r="R1410">
        <f>IF(AND(Inputs!$B$39&lt;&gt;"pvp",Inputs!$B$44&gt;0),IF(MAX(0,Inputs!$B$44-B1441)&lt;=0,0,(INT(MAX(0,Inputs!$B$44-B1441)/IF(Inputs!$B$39="pvp",15,MAX(0.1,Skills!D14-IF(TRUE=TRUE,Inputs!$B$32,0))))+1)),0)</f>
        <v/>
      </c>
      <c r="S1410">
        <f>IFERROR(O1410/N1410,0)</f>
        <v/>
      </c>
      <c r="T1410">
        <f>IF(C1410,(H1410*N1410*IF(AND(Inputs!$B$39&lt;&gt;"pvp",Inputs!$B$44&gt;0),((Skills!G14*((R1410-1)*IF(Skills!H14&gt;0,Skills!I14/Skills!H14,1)+IF(Skills!H14&gt;0,MIN(Skills!I14,MAX(0,MAX(0,Inputs!$B$44-B1441)-((R1410-1)*IF(Inputs!$B$39="pvp",15,MAX(0.1,Skills!D14-IF(TRUE=TRUE,Inputs!$B$32,0))))))/Skills!H14,1)))/Inputs!$B$44),G1410*Q1410))*IF(Inputs!$B$39="pvp",1,1+(Inputs!$B$20+0+Skills!P14+B1431+(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Hunt"),CHOOSE(ArtifactsInput!$N$35+1,15,18,21,24,27,30)*(1-EXP(-(0.2*B1434)*5)),0)+IF(AND(ArtifactsInput!$M$22,Inputs!$B$4&lt;&gt;"Chapter Hunt"),CHOOSE(ArtifactsInput!$N$22+1,10,12,14,16,18,20)*((0*(((0.15*B1434*5))^0/1)+1*(((0.15*B1434*5))^1/1)+2*(((0.15*B1434*5))^2/2)+3*(((0.15*B1434*5))^3/6)+4*(((0.15*B1434*5))^4/24)+5*(((0.15*B1434*5))^5/120))/((((0.15*B1434*5))^0/1)+(((0.15*B1434*5))^1/1)+(((0.15*B1434*5))^2/2)+(((0.15*B1434*5))^3/6)+(((0.15*B1434*5))^4/24)+(((0.15*B1434*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1410*(1-MIN(100,(Inputs!$B$9+((C1422=TRUE)*(F1422-Calc!F26))+B1430+(ArtifactsInput!$M$24-ArtifactsInput!$M$24)*CHOOSE(ArtifactsInput!$N$24+1,10,12,14,16,18,20)+(IF(AND(Inputs!$B$39&lt;&gt;"pvp",Inputs!$B$44=0),1,IF(IF(Inputs!$B$39="pvp",15,Inputs!$B$44)-(B1441)&lt;=0,1,MAX(0,IF(Inputs!$B$39="pvp",15,Inputs!$B$44)-MAX(5,B1441))/(IF(Inputs!$B$39="pvp",15,Inputs!$B$44)-(B1441))))*IF(AND(ArtifactsInput!$M$42,((Inputs!$B$9+((C1422=TRUE)*(F1422-Calc!F26))+B1430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1410*(MIN(100,(Inputs!$B$9+((C1422=TRUE)*(F1422-Calc!F26))+B1430+(ArtifactsInput!$M$24-ArtifactsInput!$M$24)*CHOOSE(ArtifactsInput!$N$24+1,10,12,14,16,18,20)+(IF(AND(Inputs!$B$39&lt;&gt;"pvp",Inputs!$B$44=0),1,IF(IF(Inputs!$B$39="pvp",15,Inputs!$B$44)-(B1441)&lt;=0,1,MAX(0,IF(Inputs!$B$39="pvp",15,Inputs!$B$44)-MAX(5,B1441))/(IF(Inputs!$B$39="pvp",15,Inputs!$B$44)-(B1441))))*IF(AND(ArtifactsInput!$M$42,((Inputs!$B$9+((C1422=TRUE)*(F1422-Calc!F26))+B1430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1410*(1-MIN(100,(Inputs!$B$9+((C1422=TRUE)*(F1422-Calc!F26))+B1430+(ArtifactsInput!$M$24-ArtifactsInput!$M$24)*CHOOSE(ArtifactsInput!$N$24+1,10,12,14,16,18,20)+(IF(AND(Inputs!$B$39&lt;&gt;"pvp",Inputs!$B$44=0),1,IF(IF(Inputs!$B$39="pvp",15,Inputs!$B$44)-(B1441)&lt;=0,1,MAX(0,IF(Inputs!$B$39="pvp",15,Inputs!$B$44)-MAX(5,B1441))/(IF(Inputs!$B$39="pvp",15,Inputs!$B$44)-(B1441))))*IF(AND(ArtifactsInput!$M$42,((Inputs!$B$9+((C1422=TRUE)*(F1422-Calc!F26))+B1430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1410*(MIN(100,(Inputs!$B$9+((C1422=TRUE)*(F1422-Calc!F26))+B1430+(ArtifactsInput!$M$24-ArtifactsInput!$M$24)*CHOOSE(ArtifactsInput!$N$24+1,10,12,14,16,18,20)+(IF(AND(Inputs!$B$39&lt;&gt;"pvp",Inputs!$B$44=0),1,IF(IF(Inputs!$B$39="pvp",15,Inputs!$B$44)-(B1441)&lt;=0,1,MAX(0,IF(Inputs!$B$39="pvp",15,Inputs!$B$44)-MAX(5,B1441))/(IF(Inputs!$B$39="pvp",15,Inputs!$B$44)-(B1441))))*IF(AND(ArtifactsInput!$M$42,((Inputs!$B$9+((C1422=TRUE)*(F1422-Calc!F26))+B1430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1410">
        <f>IF(C1410,(H1410*N1410*IF(AND(Inputs!$B$39&lt;&gt;"pvp",Inputs!$B$44&gt;0),((Skills!G14*((R1410-1)*IF(Skills!H14&gt;0,Skills!I14/Skills!H14,1)+IF(Skills!H14&gt;0,MIN(Skills!I14,MAX(0,MAX(0,Inputs!$B$44-B1441)-((R1410-1)*IF(Inputs!$B$39="pvp",15,MAX(0.1,Skills!D14-IF(TRUE=TRUE,Inputs!$B$32,0))))))/Skills!H14,1)))/Inputs!$B$44),G1410*Q1410))*IF(Inputs!$B$39="pvp",1,(1+(Inputs!$B$21+Skills!Q14+B1431+(IF(ArtifactsInput!$M$33,CHOOSE(ArtifactsInput!$N$33+1,30,36,42,48,54,60),0))+(IF(AND(ArtifactsInput!$M$35,Inputs!$B$4&lt;&gt;"Chapter Hunt"),CHOOSE(ArtifactsInput!$N$35+1,15,18,21,24,27,30)*(1-EXP(-(0.2*B1434)*5)),0)+IF(AND(ArtifactsInput!$M$22,Inputs!$B$4&lt;&gt;"Chapter Hunt"),CHOOSE(ArtifactsInput!$N$22+1,10,12,14,16,18,20)*((0*(((0.15*B1434*5))^0/1)+1*(((0.15*B1434*5))^1/1)+2*(((0.15*B1434*5))^2/2)+3*(((0.15*B1434*5))^3/6)+4*(((0.15*B1434*5))^4/24)+5*(((0.15*B1434*5))^5/120))/((((0.15*B1434*5))^0/1)+(((0.15*B1434*5))^1/1)+(((0.15*B1434*5))^2/2)+(((0.15*B1434*5))^3/6)+(((0.15*B1434*5))^4/24)+(((0.15*B1434*5))^5/120))),0)))/100)*(MIN(Skills!W14,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411">
      <c r="A1411">
        <f>Skills!A15</f>
        <v/>
      </c>
      <c r="B1411">
        <f>Skills!B15</f>
        <v/>
      </c>
      <c r="C1411">
        <f>Inputs!$B$3&gt;=107</f>
        <v/>
      </c>
      <c r="D1411">
        <f>IF(Skills!C15=1,60+Inputs!$B$25+Inputs!$B$29,IF(Skills!C15=2,90+Inputs!$B$26+Inputs!$B$29,IF(Skills!C15=3,120+Inputs!$B$27+Inputs!$B$29,MAX(0,(Inputs!$B$3-100)*3)+Inputs!$B$28+Inputs!$B$29)))</f>
        <v/>
      </c>
      <c r="E1411">
        <f>INDEX(FactorTable!$B$2:$Y$301, MATCH(ROUND(MIN(300,MAX(1,D1411)),0), FactorTable!$A$2:$A$301,0), Skills!M15+1)</f>
        <v/>
      </c>
      <c r="F1411">
        <f>IF(Skills!N15=TRUE,(Skills!L15/10)*(E1411/1000),Skills!L15/10)+Skills!O15</f>
        <v/>
      </c>
      <c r="G1411">
        <f>Skills!G15*IF(Skills!H15&gt;0,IF(Inputs!$B$39="pvp",MIN(Skills!I15,15),Skills!I15)/Skills!H15,1)</f>
        <v/>
      </c>
      <c r="H1411">
        <f>1-(1-Skills!J15/100)^Skills!K15</f>
        <v/>
      </c>
      <c r="I1411" t="inlineStr">
        <is>
          <t>1</t>
        </is>
      </c>
      <c r="J1411">
        <f>((Inputs!$B$6*(1+Inputs!$B$7/100))+(((Inputs!$B$12*(1+Inputs!$B$13/100))-(Inputs!$B$12*(1+Inputs!$B$13/100)))+0.25*(Inputs!$B$14-Inputs!$B$14))*(1+Inputs!$B$7/100))*(F1411/100)</f>
        <v/>
      </c>
      <c r="K1411">
        <f>J1411*(1+((Inputs!$B$12*(1+Inputs!$B$13/100))*0.01+Inputs!$B$14*0.0025)/100)*(1+Inputs!$B$15/100)*(1+Inputs!$B$16/100)*(5000/(6000+Inputs!$B$43*(1-(100*(1-(1-Inputs!$B$19/100)*(1-CHOOSE(ArtifactsInput!$N$40+1,5,6,7,8,9,10)/100)^(ArtifactsInput!$M$40-ArtifactsInput!$M$40)))/100)))*(1+(Inputs!$B$24+((C1427=TRUE)*(F1427-Calc!F31))+((C1414=TRUE)*(F1414-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15="CRUEL_STAB",Inputs!$B$17+((C1424=TRUE)*(F1424-Calc!F28))+((IF(AND(Inputs!$B$39&lt;&gt;"pvp",Inputs!$B$44=0),1,IF(IF(Inputs!$B$39="pvp",15,Inputs!$B$44)-(B1441)&lt;=0,1,MAX(0,IF(Inputs!$B$39="pvp",15,Inputs!$B$44)-MAX(5,B1441))/(IF(Inputs!$B$39="pvp",15,Inputs!$B$44)-(B1441))))*(IF(AND(ArtifactsInput!$M$42,((Inputs!$B$9+((C1422=TRUE)*(F1422-Calc!F26))+B1430+(ArtifactsInput!$M$24-ArtifactsInput!$M$24)*CHOOSE(ArtifactsInput!$N$24+1,10,12,14,16,18,20)+IF(ArtifactsInput!$M$10,CHOOSE(ArtifactsInput!$N$10+1,15,18,21,24,27,30)*(IF(Inputs!$B$39="pvp",MIN(15,15)/15,IF(AND(Inputs!$B$39&lt;&gt;"pvp",Inputs!$B$44&gt;0),MIN(15,Inputs!$B$44)/(Inputs!$B$44),0))),0)))&gt;=100),MIN(100,((Inputs!$B$9+((C1422=TRUE)*(F1422-Calc!F26))+B1430+(ArtifactsInput!$M$24-ArtifactsInput!$M$24)*CHOOSE(ArtifactsInput!$N$24+1,10,12,14,16,18,20)+IF(ArtifactsInput!$M$10,CHOOSE(ArtifactsInput!$N$10+1,15,18,21,24,27,30)*(IF(Inputs!$B$39="pvp",MIN(15,15)/15,IF(AND(Inputs!$B$39&lt;&gt;"pvp",Inputs!$B$44&gt;0),MIN(15,Inputs!$B$44)/(Inputs!$B$44),0))),0)))-100),0))*CHOOSE(ArtifactsInput!$N$42+1,0.6,0.72,0.84,0.96,1.08,1.2))),Inputs!$B$18+((C1425=TRUE)*(F1425-Calc!F29))+(IF(AND(Inputs!$B$39&lt;&gt;"pvp",Inputs!$B$44=0),1,IF(IF(Inputs!$B$39="pvp",15,Inputs!$B$44)-(B1441)&lt;=0,1,MAX(0,IF(Inputs!$B$39="pvp",15,Inputs!$B$44)-MAX(5,B1441))/(IF(Inputs!$B$39="pvp",15,Inputs!$B$44)-(B1441))))*IF(AND(ArtifactsInput!$M$42,((Inputs!$B$9+((C1422=TRUE)*(F1422-Calc!F26))+B1430+(ArtifactsInput!$M$24-ArtifactsInput!$M$24)*CHOOSE(ArtifactsInput!$N$24+1,10,12,14,16,18,20)+IF(ArtifactsInput!$M$10,CHOOSE(ArtifactsInput!$N$10+1,15,18,21,24,27,30)*(IF(Inputs!$B$39="pvp",MIN(15,15)/15,IF(AND(Inputs!$B$39&lt;&gt;"pvp",Inputs!$B$44&gt;0),MIN(15,Inputs!$B$44)/(Inputs!$B$44),0))),0)))&gt;=100),CHOOSE(ArtifactsInput!$N$42+1,40,48,56,64,72,80),0))))/100)*(((1+(((C1418=TRUE)*F1418*IF(AND(Inputs!$B$39&lt;&gt;"pvp",Inputs!$B$44&gt;0),(((R1418-1)*MIN((Skills!Y22*(1+Inputs!$B$34/100)),(1/Q1418))+MIN((Skills!Y22*(1+Inputs!$B$34/100)),MAX(0,Inputs!$B$44-((R1418-1)*(1/Q1418)))))/Inputs!$B$44),IF(Inputs!$B$39="pvp",MIN((Skills!Y22*(1+Inputs!$B$34/100)),15)/15,MIN(1,(Skills!Y22*(1+Inputs!$B$34/100))/(1/Q1418)))))+((C1399=TRUE)*F1399*3)+((C1401=TRUE)*F1401*(1-EXP(-0.75*B1434*5)))+((C1420=TRUE)*(F1420-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1407=TRUE)*F1407*IF(AND(Inputs!$B$39&lt;&gt;"pvp",Inputs!$B$44&gt;0),(((R1407-1)*MIN((Skills!Y11*(1+Inputs!$B$34/100)),(1/Q1407))+MIN((Skills!Y11*(1+Inputs!$B$34/100)),MAX(0,Inputs!$B$44-((R1407-1)*(1/Q1407)))))/Inputs!$B$44),IF(Inputs!$B$39="pvp",MIN((Skills!Y11*(1+Inputs!$B$34/100)),15)/15,MIN(1,(Skills!Y11*(1+Inputs!$B$34/100))/(1/Q1407)))))/100)*(1+((C1412=TRUE)*F1412*IF(AND(Inputs!$B$39&lt;&gt;"pvp",Inputs!$B$44&gt;0),(((R1412-1)*MIN((Skills!Y16*(1+Inputs!$B$34/100)),(1/Q1412))+MIN((Skills!Y16*(1+Inputs!$B$34/100)),MAX(0,Inputs!$B$44-((R1412-1)*(1/Q1412)))))/Inputs!$B$44),IF(Inputs!$B$39="pvp",MIN((Skills!Y16*(1+Inputs!$B$34/100)),15)/15,MIN(1,(Skills!Y16*(1+Inputs!$B$34/100))/(1/Q1412)))))/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1432*I1411)</f>
        <v/>
      </c>
      <c r="L1411">
        <f>K1411*(MIN(Inputs!$B$22+((C1421=TRUE)*(F1421-Calc!F25)),(Inputs!$B$23+((C1426=TRUE)*(F1426-Calc!F30))+IF(ArtifactsInput!$M$15,CHOOSE(ArtifactsInput!$N$15+1,25,30,35,40,45,50)/100*(Inputs!$B$11-Inputs!$B$11),0)))/100+(Inputs!$B$23+((C1426=TRUE)*(F1426-Calc!F30))+IF(ArtifactsInput!$M$15,CHOOSE(ArtifactsInput!$N$15+1,25,30,35,40,45,50)/100*(Inputs!$B$11-Inputs!$B$11),0))/100)/2</f>
        <v/>
      </c>
      <c r="M1411">
        <f>L1411*(1+(Inputs!$B$10+((C1423=TRUE)*(F1423-Calc!F27))+B1437+(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1411">
        <f>L1411*(1-MIN((Inputs!$B$9+((C1422=TRUE)*(F1422-Calc!F26))+B1430+(ArtifactsInput!$M$24-ArtifactsInput!$M$24)*CHOOSE(ArtifactsInput!$N$24+1,10,12,14,16,18,20)+(IF(AND(Inputs!$B$39&lt;&gt;"pvp",Inputs!$B$44=0),1,IF(IF(Inputs!$B$39="pvp",15,Inputs!$B$44)-(B1441)&lt;=0,1,MAX(0,IF(Inputs!$B$39="pvp",15,Inputs!$B$44)-MAX(5,B1441))/(IF(Inputs!$B$39="pvp",15,Inputs!$B$44)-(B1441))))*IF(AND(ArtifactsInput!$M$42,((Inputs!$B$9+((C1422=TRUE)*(F1422-Calc!F26))+B1430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1411*(MIN((Inputs!$B$9+((C1422=TRUE)*(F1422-Calc!F26))+B1430+(ArtifactsInput!$M$24-ArtifactsInput!$M$24)*CHOOSE(ArtifactsInput!$N$24+1,10,12,14,16,18,20)+(IF(AND(Inputs!$B$39&lt;&gt;"pvp",Inputs!$B$44=0),1,IF(IF(Inputs!$B$39="pvp",15,Inputs!$B$44)-(B1441)&lt;=0,1,MAX(0,IF(Inputs!$B$39="pvp",15,Inputs!$B$44)-MAX(5,B1441))/(IF(Inputs!$B$39="pvp",15,Inputs!$B$44)-(B1441))))*IF(AND(ArtifactsInput!$M$42,((Inputs!$B$9+((C1422=TRUE)*(F1422-Calc!F26))+B1430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411">
        <f>(1-Summary!$B$11)*T1411+Summary!$B$11*V1411</f>
        <v/>
      </c>
      <c r="P1411">
        <f>IF(B1442=0,0,O1411/B1442)</f>
        <v/>
      </c>
      <c r="Q1411">
        <f>IFERROR(1/IF(Inputs!$B$39="pvp",15,MAX(0.1,Skills!D15-IF(TRUE=TRUE,Inputs!$B$32,0))),0)</f>
        <v/>
      </c>
      <c r="R1411">
        <f>IF(AND(Inputs!$B$39&lt;&gt;"pvp",Inputs!$B$44&gt;0),IF(MAX(0,Inputs!$B$44-B1441)&lt;=0,0,(INT(MAX(0,Inputs!$B$44-B1441)/IF(Inputs!$B$39="pvp",15,MAX(0.1,Skills!D15-IF(TRUE=TRUE,Inputs!$B$32,0))))+1)),0)</f>
        <v/>
      </c>
      <c r="S1411">
        <f>IFERROR(O1411/N1411,0)</f>
        <v/>
      </c>
      <c r="T1411">
        <f>IF(C1411,(H1411*N1411*IF(AND(Inputs!$B$39&lt;&gt;"pvp",Inputs!$B$44&gt;0),((Skills!G15*((R1411-1)*IF(Skills!H15&gt;0,Skills!I15/Skills!H15,1)+IF(Skills!H15&gt;0,MIN(Skills!I15,MAX(0,MAX(0,Inputs!$B$44-B1441)-((R1411-1)*IF(Inputs!$B$39="pvp",15,MAX(0.1,Skills!D15-IF(TRUE=TRUE,Inputs!$B$32,0))))))/Skills!H15,1)))/Inputs!$B$44),G1411*Q1411))*IF(Inputs!$B$39="pvp",1,1+(Inputs!$B$20+0+Skills!P15+B1431+(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Hunt"),CHOOSE(ArtifactsInput!$N$35+1,15,18,21,24,27,30)*(1-EXP(-(0.2*B1434)*5)),0)+IF(AND(ArtifactsInput!$M$22,Inputs!$B$4&lt;&gt;"Chapter Hunt"),CHOOSE(ArtifactsInput!$N$22+1,10,12,14,16,18,20)*((0*(((0.15*B1434*5))^0/1)+1*(((0.15*B1434*5))^1/1)+2*(((0.15*B1434*5))^2/2)+3*(((0.15*B1434*5))^3/6)+4*(((0.15*B1434*5))^4/24)+5*(((0.15*B1434*5))^5/120))/((((0.15*B1434*5))^0/1)+(((0.15*B1434*5))^1/1)+(((0.15*B1434*5))^2/2)+(((0.15*B1434*5))^3/6)+(((0.15*B1434*5))^4/24)+(((0.15*B1434*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1411*(1-MIN(100,(Inputs!$B$9+((C1422=TRUE)*(F1422-Calc!F26))+B1430+(ArtifactsInput!$M$24-ArtifactsInput!$M$24)*CHOOSE(ArtifactsInput!$N$24+1,10,12,14,16,18,20)+(IF(AND(Inputs!$B$39&lt;&gt;"pvp",Inputs!$B$44=0),1,IF(IF(Inputs!$B$39="pvp",15,Inputs!$B$44)-(B1441)&lt;=0,1,MAX(0,IF(Inputs!$B$39="pvp",15,Inputs!$B$44)-MAX(5,B1441))/(IF(Inputs!$B$39="pvp",15,Inputs!$B$44)-(B1441))))*IF(AND(ArtifactsInput!$M$42,((Inputs!$B$9+((C1422=TRUE)*(F1422-Calc!F26))+B1430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1411*(MIN(100,(Inputs!$B$9+((C1422=TRUE)*(F1422-Calc!F26))+B1430+(ArtifactsInput!$M$24-ArtifactsInput!$M$24)*CHOOSE(ArtifactsInput!$N$24+1,10,12,14,16,18,20)+(IF(AND(Inputs!$B$39&lt;&gt;"pvp",Inputs!$B$44=0),1,IF(IF(Inputs!$B$39="pvp",15,Inputs!$B$44)-(B1441)&lt;=0,1,MAX(0,IF(Inputs!$B$39="pvp",15,Inputs!$B$44)-MAX(5,B1441))/(IF(Inputs!$B$39="pvp",15,Inputs!$B$44)-(B1441))))*IF(AND(ArtifactsInput!$M$42,((Inputs!$B$9+((C1422=TRUE)*(F1422-Calc!F26))+B1430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1411*(1-MIN(100,(Inputs!$B$9+((C1422=TRUE)*(F1422-Calc!F26))+B1430+(ArtifactsInput!$M$24-ArtifactsInput!$M$24)*CHOOSE(ArtifactsInput!$N$24+1,10,12,14,16,18,20)+(IF(AND(Inputs!$B$39&lt;&gt;"pvp",Inputs!$B$44=0),1,IF(IF(Inputs!$B$39="pvp",15,Inputs!$B$44)-(B1441)&lt;=0,1,MAX(0,IF(Inputs!$B$39="pvp",15,Inputs!$B$44)-MAX(5,B1441))/(IF(Inputs!$B$39="pvp",15,Inputs!$B$44)-(B1441))))*IF(AND(ArtifactsInput!$M$42,((Inputs!$B$9+((C1422=TRUE)*(F1422-Calc!F26))+B1430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1411*(MIN(100,(Inputs!$B$9+((C1422=TRUE)*(F1422-Calc!F26))+B1430+(ArtifactsInput!$M$24-ArtifactsInput!$M$24)*CHOOSE(ArtifactsInput!$N$24+1,10,12,14,16,18,20)+(IF(AND(Inputs!$B$39&lt;&gt;"pvp",Inputs!$B$44=0),1,IF(IF(Inputs!$B$39="pvp",15,Inputs!$B$44)-(B1441)&lt;=0,1,MAX(0,IF(Inputs!$B$39="pvp",15,Inputs!$B$44)-MAX(5,B1441))/(IF(Inputs!$B$39="pvp",15,Inputs!$B$44)-(B1441))))*IF(AND(ArtifactsInput!$M$42,((Inputs!$B$9+((C1422=TRUE)*(F1422-Calc!F26))+B1430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1411">
        <f>IF(C1411,(H1411*N1411*IF(AND(Inputs!$B$39&lt;&gt;"pvp",Inputs!$B$44&gt;0),((Skills!G15*((R1411-1)*IF(Skills!H15&gt;0,Skills!I15/Skills!H15,1)+IF(Skills!H15&gt;0,MIN(Skills!I15,MAX(0,MAX(0,Inputs!$B$44-B1441)-((R1411-1)*IF(Inputs!$B$39="pvp",15,MAX(0.1,Skills!D15-IF(TRUE=TRUE,Inputs!$B$32,0))))))/Skills!H15,1)))/Inputs!$B$44),G1411*Q1411))*IF(Inputs!$B$39="pvp",1,(1+(Inputs!$B$21+Skills!Q15+B1431+(IF(ArtifactsInput!$M$33,CHOOSE(ArtifactsInput!$N$33+1,30,36,42,48,54,60),0))+(IF(AND(ArtifactsInput!$M$35,Inputs!$B$4&lt;&gt;"Chapter Hunt"),CHOOSE(ArtifactsInput!$N$35+1,15,18,21,24,27,30)*(1-EXP(-(0.2*B1434)*5)),0)+IF(AND(ArtifactsInput!$M$22,Inputs!$B$4&lt;&gt;"Chapter Hunt"),CHOOSE(ArtifactsInput!$N$22+1,10,12,14,16,18,20)*((0*(((0.15*B1434*5))^0/1)+1*(((0.15*B1434*5))^1/1)+2*(((0.15*B1434*5))^2/2)+3*(((0.15*B1434*5))^3/6)+4*(((0.15*B1434*5))^4/24)+5*(((0.15*B1434*5))^5/120))/((((0.15*B1434*5))^0/1)+(((0.15*B1434*5))^1/1)+(((0.15*B1434*5))^2/2)+(((0.15*B1434*5))^3/6)+(((0.15*B1434*5))^4/24)+(((0.15*B1434*5))^5/120))),0)))/100)*(MIN(MIN(5,0.5*IF(Inputs!$B$3&gt;=75,0.75,0.5)*B1434*(1/Q1400))*Skills!V15,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412">
      <c r="A1412">
        <f>Skills!A16</f>
        <v/>
      </c>
      <c r="B1412">
        <f>Skills!B16</f>
        <v/>
      </c>
      <c r="C1412">
        <f>Inputs!$B$3&gt;=110</f>
        <v/>
      </c>
      <c r="D1412">
        <f>IF(Skills!C16=1,60+Inputs!$B$25+Inputs!$B$29,IF(Skills!C16=2,90+Inputs!$B$26+Inputs!$B$29,IF(Skills!C16=3,120+Inputs!$B$27+Inputs!$B$29,MAX(0,(Inputs!$B$3-100)*3)+Inputs!$B$28+Inputs!$B$29)))</f>
        <v/>
      </c>
      <c r="E1412">
        <f>INDEX(FactorTable!$B$2:$Y$301, MATCH(ROUND(MIN(300,MAX(1,D1412)),0), FactorTable!$A$2:$A$301,0), Skills!M16+1)</f>
        <v/>
      </c>
      <c r="F1412">
        <f>IF(Skills!N16=TRUE,(Skills!L16/10)*(E1412/1000),Skills!L16/10)+Skills!O16</f>
        <v/>
      </c>
      <c r="G1412">
        <f>Skills!G16*IF(Skills!H16&gt;0,IF(Inputs!$B$39="pvp",MIN(Skills!I16,15),Skills!I16)/Skills!H16,1)</f>
        <v/>
      </c>
      <c r="H1412">
        <f>1-(1-Skills!J16/100)^Skills!K16</f>
        <v/>
      </c>
      <c r="I1412" t="inlineStr">
        <is>
          <t>1</t>
        </is>
      </c>
      <c r="J1412" t="inlineStr"/>
      <c r="K1412" t="inlineStr"/>
      <c r="L1412" t="inlineStr"/>
      <c r="M1412" t="inlineStr"/>
      <c r="N1412" t="inlineStr"/>
      <c r="O1412">
        <f>(1-Summary!$B$11)*T1412+Summary!$B$11*V1412</f>
        <v/>
      </c>
      <c r="P1412">
        <f>IF(B1442=0,0,O1412/B1442)</f>
        <v/>
      </c>
      <c r="Q1412">
        <f>IFERROR(1/IF(Inputs!$B$39="pvp",15,MAX(0.1,Skills!D16-IF(TRUE=TRUE,Inputs!$B$32,0))),0)</f>
        <v/>
      </c>
      <c r="R1412">
        <f>IF(AND(Inputs!$B$39&lt;&gt;"pvp",Inputs!$B$44&gt;0),IF(Inputs!$B$44&lt;=0,0,(INT(Inputs!$B$44/IF(Inputs!$B$39="pvp",15,MAX(0.1,Skills!D16-IF(TRUE=TRUE,Inputs!$B$32,0))))+1)),0)</f>
        <v/>
      </c>
      <c r="S1412">
        <f>IFERROR(O1412/N1412,0)</f>
        <v/>
      </c>
      <c r="T1412" t="n">
        <v>0</v>
      </c>
      <c r="V1412" t="n">
        <v>0</v>
      </c>
    </row>
    <row r="1413">
      <c r="A1413">
        <f>Skills!A17</f>
        <v/>
      </c>
      <c r="B1413">
        <f>Skills!B17</f>
        <v/>
      </c>
      <c r="C1413">
        <f>Inputs!$B$3&gt;=115</f>
        <v/>
      </c>
      <c r="D1413">
        <f>IF(Skills!C17=1,60+Inputs!$B$25+Inputs!$B$29,IF(Skills!C17=2,90+Inputs!$B$26+Inputs!$B$29,IF(Skills!C17=3,120+Inputs!$B$27+Inputs!$B$29,MAX(0,(Inputs!$B$3-100)*3)+Inputs!$B$28+Inputs!$B$29)))</f>
        <v/>
      </c>
      <c r="E1413">
        <f>INDEX(FactorTable!$B$2:$Y$301, MATCH(ROUND(MIN(300,MAX(1,D1413)),0), FactorTable!$A$2:$A$301,0), Skills!M17+1)</f>
        <v/>
      </c>
      <c r="F1413">
        <f>IF(Skills!N17=TRUE,(Skills!L17/10)*(E1413/1000),Skills!L17/10)+Skills!O17</f>
        <v/>
      </c>
      <c r="G1413">
        <f>Skills!G17*IF(Skills!H17&gt;0,IF(Inputs!$B$39="pvp",MIN(Skills!I17,15),Skills!I17)/Skills!H17,1)</f>
        <v/>
      </c>
      <c r="H1413">
        <f>1-(1-Skills!J17/100)^Skills!K17</f>
        <v/>
      </c>
      <c r="I1413" t="inlineStr">
        <is>
          <t>1</t>
        </is>
      </c>
      <c r="J1413">
        <f>((Inputs!$B$6*(1+Inputs!$B$7/100))+(((Inputs!$B$12*(1+Inputs!$B$13/100))-(Inputs!$B$12*(1+Inputs!$B$13/100)))+0.25*(Inputs!$B$14-Inputs!$B$14))*(1+Inputs!$B$7/100))*(F1413/100)</f>
        <v/>
      </c>
      <c r="K1413">
        <f>J1413*(1+((Inputs!$B$12*(1+Inputs!$B$13/100))*0.01+Inputs!$B$14*0.0025)/100)*(1+Inputs!$B$15/100)*(1+Inputs!$B$16/100)*(5000/(6000+Inputs!$B$43*(1-(100*(1-(1-Inputs!$B$19/100)*(1-CHOOSE(ArtifactsInput!$N$40+1,5,6,7,8,9,10)/100)^(ArtifactsInput!$M$40-ArtifactsInput!$M$40)))/100)))*(1+(Inputs!$B$24+((C1427=TRUE)*(F1427-Calc!F31))+((C1414=TRUE)*(F1414-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17="CRUEL_STAB",Inputs!$B$17+((C1424=TRUE)*(F1424-Calc!F28))+((IF(AND(Inputs!$B$39&lt;&gt;"pvp",Inputs!$B$44=0),1,IF(IF(Inputs!$B$39="pvp",15,Inputs!$B$44)-(B1441)&lt;=0,1,MAX(0,IF(Inputs!$B$39="pvp",15,Inputs!$B$44)-MAX(5,B1441))/(IF(Inputs!$B$39="pvp",15,Inputs!$B$44)-(B1441))))*(IF(AND(ArtifactsInput!$M$42,((Inputs!$B$9+((C1422=TRUE)*(F1422-Calc!F26))+B1430+(ArtifactsInput!$M$24-ArtifactsInput!$M$24)*CHOOSE(ArtifactsInput!$N$24+1,10,12,14,16,18,20)+IF(ArtifactsInput!$M$10,CHOOSE(ArtifactsInput!$N$10+1,15,18,21,24,27,30)*(IF(Inputs!$B$39="pvp",MIN(15,15)/15,IF(AND(Inputs!$B$39&lt;&gt;"pvp",Inputs!$B$44&gt;0),MIN(15,Inputs!$B$44)/(Inputs!$B$44),0))),0)))&gt;=100),MIN(100,((Inputs!$B$9+((C1422=TRUE)*(F1422-Calc!F26))+B1430+(ArtifactsInput!$M$24-ArtifactsInput!$M$24)*CHOOSE(ArtifactsInput!$N$24+1,10,12,14,16,18,20)+IF(ArtifactsInput!$M$10,CHOOSE(ArtifactsInput!$N$10+1,15,18,21,24,27,30)*(IF(Inputs!$B$39="pvp",MIN(15,15)/15,IF(AND(Inputs!$B$39&lt;&gt;"pvp",Inputs!$B$44&gt;0),MIN(15,Inputs!$B$44)/(Inputs!$B$44),0))),0)))-100),0))*CHOOSE(ArtifactsInput!$N$42+1,0.6,0.72,0.84,0.96,1.08,1.2))),Inputs!$B$18+((C1425=TRUE)*(F1425-Calc!F29))+(IF(AND(Inputs!$B$39&lt;&gt;"pvp",Inputs!$B$44=0),1,IF(IF(Inputs!$B$39="pvp",15,Inputs!$B$44)-(B1441)&lt;=0,1,MAX(0,IF(Inputs!$B$39="pvp",15,Inputs!$B$44)-MAX(5,B1441))/(IF(Inputs!$B$39="pvp",15,Inputs!$B$44)-(B1441))))*IF(AND(ArtifactsInput!$M$42,((Inputs!$B$9+((C1422=TRUE)*(F1422-Calc!F26))+B1430+(ArtifactsInput!$M$24-ArtifactsInput!$M$24)*CHOOSE(ArtifactsInput!$N$24+1,10,12,14,16,18,20)+IF(ArtifactsInput!$M$10,CHOOSE(ArtifactsInput!$N$10+1,15,18,21,24,27,30)*(IF(Inputs!$B$39="pvp",MIN(15,15)/15,IF(AND(Inputs!$B$39&lt;&gt;"pvp",Inputs!$B$44&gt;0),MIN(15,Inputs!$B$44)/(Inputs!$B$44),0))),0)))&gt;=100),CHOOSE(ArtifactsInput!$N$42+1,40,48,56,64,72,80),0))))/100)*(((1+(((C1418=TRUE)*F1418*IF(AND(Inputs!$B$39&lt;&gt;"pvp",Inputs!$B$44&gt;0),(((R1418-1)*MIN((Skills!Y22*(1+Inputs!$B$34/100)),(1/Q1418))+MIN((Skills!Y22*(1+Inputs!$B$34/100)),MAX(0,Inputs!$B$44-((R1418-1)*(1/Q1418)))))/Inputs!$B$44),IF(Inputs!$B$39="pvp",MIN((Skills!Y22*(1+Inputs!$B$34/100)),15)/15,MIN(1,(Skills!Y22*(1+Inputs!$B$34/100))/(1/Q1418)))))+((C1399=TRUE)*F1399*3)+((C1401=TRUE)*F1401*(1-EXP(-0.75*B1434*5)))+((C1420=TRUE)*(F1420-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1407=TRUE)*F1407*IF(AND(Inputs!$B$39&lt;&gt;"pvp",Inputs!$B$44&gt;0),(((R1407-1)*MIN((Skills!Y11*(1+Inputs!$B$34/100)),(1/Q1407))+MIN((Skills!Y11*(1+Inputs!$B$34/100)),MAX(0,Inputs!$B$44-((R1407-1)*(1/Q1407)))))/Inputs!$B$44),IF(Inputs!$B$39="pvp",MIN((Skills!Y11*(1+Inputs!$B$34/100)),15)/15,MIN(1,(Skills!Y11*(1+Inputs!$B$34/100))/(1/Q1407)))))/100)*(1+((C1412=TRUE)*F1412*IF(AND(Inputs!$B$39&lt;&gt;"pvp",Inputs!$B$44&gt;0),(((R1412-1)*MIN((Skills!Y16*(1+Inputs!$B$34/100)),(1/Q1412))+MIN((Skills!Y16*(1+Inputs!$B$34/100)),MAX(0,Inputs!$B$44-((R1412-1)*(1/Q1412)))))/Inputs!$B$44),IF(Inputs!$B$39="pvp",MIN((Skills!Y16*(1+Inputs!$B$34/100)),15)/15,MIN(1,(Skills!Y16*(1+Inputs!$B$34/100))/(1/Q1412)))))/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1432*I1413)</f>
        <v/>
      </c>
      <c r="L1413">
        <f>K1413*(MIN(Inputs!$B$22+((C1421=TRUE)*(F1421-Calc!F25)),(Inputs!$B$23+((C1426=TRUE)*(F1426-Calc!F30))+IF(ArtifactsInput!$M$15,CHOOSE(ArtifactsInput!$N$15+1,25,30,35,40,45,50)/100*(Inputs!$B$11-Inputs!$B$11),0)))/100+(Inputs!$B$23+((C1426=TRUE)*(F1426-Calc!F30))+IF(ArtifactsInput!$M$15,CHOOSE(ArtifactsInput!$N$15+1,25,30,35,40,45,50)/100*(Inputs!$B$11-Inputs!$B$11),0))/100)/2</f>
        <v/>
      </c>
      <c r="M1413">
        <f>L1413*(1+(Inputs!$B$10+((C1423=TRUE)*(F1423-Calc!F27))+B1437+(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1413">
        <f>L1413*(1-MIN((Inputs!$B$9+((C1422=TRUE)*(F1422-Calc!F26))+B1430+(ArtifactsInput!$M$24-ArtifactsInput!$M$24)*CHOOSE(ArtifactsInput!$N$24+1,10,12,14,16,18,20)+(IF(AND(Inputs!$B$39&lt;&gt;"pvp",Inputs!$B$44=0),1,IF(IF(Inputs!$B$39="pvp",15,Inputs!$B$44)-(B1441)&lt;=0,1,MAX(0,IF(Inputs!$B$39="pvp",15,Inputs!$B$44)-MAX(5,B1441))/(IF(Inputs!$B$39="pvp",15,Inputs!$B$44)-(B1441))))*IF(AND(ArtifactsInput!$M$42,((Inputs!$B$9+((C1422=TRUE)*(F1422-Calc!F26))+B1430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1413*(MIN((Inputs!$B$9+((C1422=TRUE)*(F1422-Calc!F26))+B1430+(ArtifactsInput!$M$24-ArtifactsInput!$M$24)*CHOOSE(ArtifactsInput!$N$24+1,10,12,14,16,18,20)+(IF(AND(Inputs!$B$39&lt;&gt;"pvp",Inputs!$B$44=0),1,IF(IF(Inputs!$B$39="pvp",15,Inputs!$B$44)-(B1441)&lt;=0,1,MAX(0,IF(Inputs!$B$39="pvp",15,Inputs!$B$44)-MAX(5,B1441))/(IF(Inputs!$B$39="pvp",15,Inputs!$B$44)-(B1441))))*IF(AND(ArtifactsInput!$M$42,((Inputs!$B$9+((C1422=TRUE)*(F1422-Calc!F26))+B1430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413">
        <f>(1-Summary!$B$11)*T1413+Summary!$B$11*V1413</f>
        <v/>
      </c>
      <c r="P1413">
        <f>IF(B1442=0,0,O1413/B1442)</f>
        <v/>
      </c>
      <c r="Q1413" t="n">
        <v>0</v>
      </c>
      <c r="R1413" t="n">
        <v>0</v>
      </c>
      <c r="S1413">
        <f>IFERROR(O1413/N1413,0)</f>
        <v/>
      </c>
      <c r="T1413">
        <f>IF(C1413,((Inputs!$B$38+1)*0.2*N1413)*IF(Inputs!$B$39="pvp",1,1+(Inputs!$B$20+0+Skills!P17+B1431+(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Hunt"),CHOOSE(ArtifactsInput!$N$35+1,15,18,21,24,27,30)*(1-EXP(-(0.2*B1434)*5)),0)+IF(AND(ArtifactsInput!$M$22,Inputs!$B$4&lt;&gt;"Chapter Hunt"),CHOOSE(ArtifactsInput!$N$22+1,10,12,14,16,18,20)*((0*(((0.15*B1434*5))^0/1)+1*(((0.15*B1434*5))^1/1)+2*(((0.15*B1434*5))^2/2)+3*(((0.15*B1434*5))^3/6)+4*(((0.15*B1434*5))^4/24)+5*(((0.15*B1434*5))^5/120))/((((0.15*B1434*5))^0/1)+(((0.15*B1434*5))^1/1)+(((0.15*B1434*5))^2/2)+(((0.15*B1434*5))^3/6)+(((0.15*B1434*5))^4/24)+(((0.15*B1434*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1413*(1-MIN(100,(Inputs!$B$9+((C1422=TRUE)*(F1422-Calc!F26))+B1430+(ArtifactsInput!$M$24-ArtifactsInput!$M$24)*CHOOSE(ArtifactsInput!$N$24+1,10,12,14,16,18,20)+(IF(AND(Inputs!$B$39&lt;&gt;"pvp",Inputs!$B$44=0),1,IF(IF(Inputs!$B$39="pvp",15,Inputs!$B$44)-(B1441)&lt;=0,1,MAX(0,IF(Inputs!$B$39="pvp",15,Inputs!$B$44)-MAX(5,B1441))/(IF(Inputs!$B$39="pvp",15,Inputs!$B$44)-(B1441))))*IF(AND(ArtifactsInput!$M$42,((Inputs!$B$9+((C1422=TRUE)*(F1422-Calc!F26))+B1430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1413*(MIN(100,(Inputs!$B$9+((C1422=TRUE)*(F1422-Calc!F26))+B1430+(ArtifactsInput!$M$24-ArtifactsInput!$M$24)*CHOOSE(ArtifactsInput!$N$24+1,10,12,14,16,18,20)+(IF(AND(Inputs!$B$39&lt;&gt;"pvp",Inputs!$B$44=0),1,IF(IF(Inputs!$B$39="pvp",15,Inputs!$B$44)-(B1441)&lt;=0,1,MAX(0,IF(Inputs!$B$39="pvp",15,Inputs!$B$44)-MAX(5,B1441))/(IF(Inputs!$B$39="pvp",15,Inputs!$B$44)-(B1441))))*IF(AND(ArtifactsInput!$M$42,((Inputs!$B$9+((C1422=TRUE)*(F1422-Calc!F26))+B1430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1413*(1-MIN(100,(Inputs!$B$9+((C1422=TRUE)*(F1422-Calc!F26))+B1430+(ArtifactsInput!$M$24-ArtifactsInput!$M$24)*CHOOSE(ArtifactsInput!$N$24+1,10,12,14,16,18,20)+(IF(AND(Inputs!$B$39&lt;&gt;"pvp",Inputs!$B$44=0),1,IF(IF(Inputs!$B$39="pvp",15,Inputs!$B$44)-(B1441)&lt;=0,1,MAX(0,IF(Inputs!$B$39="pvp",15,Inputs!$B$44)-MAX(5,B1441))/(IF(Inputs!$B$39="pvp",15,Inputs!$B$44)-(B1441))))*IF(AND(ArtifactsInput!$M$42,((Inputs!$B$9+((C1422=TRUE)*(F1422-Calc!F26))+B1430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1413*(MIN(100,(Inputs!$B$9+((C1422=TRUE)*(F1422-Calc!F26))+B1430+(ArtifactsInput!$M$24-ArtifactsInput!$M$24)*CHOOSE(ArtifactsInput!$N$24+1,10,12,14,16,18,20)+(IF(AND(Inputs!$B$39&lt;&gt;"pvp",Inputs!$B$44=0),1,IF(IF(Inputs!$B$39="pvp",15,Inputs!$B$44)-(B1441)&lt;=0,1,MAX(0,IF(Inputs!$B$39="pvp",15,Inputs!$B$44)-MAX(5,B1441))/(IF(Inputs!$B$39="pvp",15,Inputs!$B$44)-(B1441))))*IF(AND(ArtifactsInput!$M$42,((Inputs!$B$9+((C1422=TRUE)*(F1422-Calc!F26))+B1430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1413">
        <f>IF(C1413,((Inputs!$B$38+1)*0.2*N1413)*IF(Inputs!$B$39="pvp",1,(1+(Inputs!$B$21+Skills!Q17+B1431+(IF(ArtifactsInput!$M$33,CHOOSE(ArtifactsInput!$N$33+1,30,36,42,48,54,60),0))+(IF(AND(ArtifactsInput!$M$35,Inputs!$B$4&lt;&gt;"Chapter Hunt"),CHOOSE(ArtifactsInput!$N$35+1,15,18,21,24,27,30)*(1-EXP(-(0.2*B1434)*5)),0)+IF(AND(ArtifactsInput!$M$22,Inputs!$B$4&lt;&gt;"Chapter Hunt"),CHOOSE(ArtifactsInput!$N$22+1,10,12,14,16,18,20)*((0*(((0.15*B1434*5))^0/1)+1*(((0.15*B1434*5))^1/1)+2*(((0.15*B1434*5))^2/2)+3*(((0.15*B1434*5))^3/6)+4*(((0.15*B1434*5))^4/24)+5*(((0.15*B1434*5))^5/120))/((((0.15*B1434*5))^0/1)+(((0.15*B1434*5))^1/1)+(((0.15*B1434*5))^2/2)+(((0.15*B1434*5))^3/6)+(((0.15*B1434*5))^4/24)+(((0.15*B1434*5))^5/120))),0)))/100)*(MIN(Skills!W17,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414">
      <c r="A1414">
        <f>Skills!A18</f>
        <v/>
      </c>
      <c r="B1414">
        <f>Skills!B18</f>
        <v/>
      </c>
      <c r="C1414">
        <f>Inputs!$B$3&gt;=115</f>
        <v/>
      </c>
      <c r="D1414">
        <f>IF(Skills!C18=1,60+Inputs!$B$25+Inputs!$B$29,IF(Skills!C18=2,90+Inputs!$B$26+Inputs!$B$29,IF(Skills!C18=3,120+Inputs!$B$27+Inputs!$B$29,MAX(0,(Inputs!$B$3-100)*3)+Inputs!$B$28+Inputs!$B$29)))</f>
        <v/>
      </c>
      <c r="E1414">
        <f>INDEX(FactorTable!$B$2:$Y$301, MATCH(ROUND(MIN(300,MAX(1,D1414)),0), FactorTable!$A$2:$A$301,0), Skills!M18+1)</f>
        <v/>
      </c>
      <c r="F1414">
        <f>IF(Skills!N18=TRUE,(Skills!L18/10)*(E1414/1000),Skills!L18/10)+Skills!O18</f>
        <v/>
      </c>
      <c r="G1414">
        <f>Skills!G18*IF(Skills!H18&gt;0,IF(Inputs!$B$39="pvp",MIN(Skills!I18,15),Skills!I18)/Skills!H18,1)</f>
        <v/>
      </c>
      <c r="H1414">
        <f>1-(1-Skills!J18/100)^Skills!K18</f>
        <v/>
      </c>
      <c r="I1414" t="inlineStr">
        <is>
          <t>1</t>
        </is>
      </c>
      <c r="J1414" t="inlineStr"/>
      <c r="K1414" t="inlineStr"/>
      <c r="L1414" t="inlineStr"/>
      <c r="M1414" t="inlineStr"/>
      <c r="N1414" t="inlineStr"/>
      <c r="O1414">
        <f>(1-Summary!$B$11)*T1414+Summary!$B$11*V1414</f>
        <v/>
      </c>
      <c r="P1414">
        <f>IF(B1442=0,0,O1414/B1442)</f>
        <v/>
      </c>
      <c r="Q1414" t="n">
        <v>0</v>
      </c>
      <c r="R1414" t="n">
        <v>0</v>
      </c>
      <c r="S1414">
        <f>IFERROR(O1414/N1414,0)</f>
        <v/>
      </c>
      <c r="T1414" t="n">
        <v>0</v>
      </c>
      <c r="V1414" t="n">
        <v>0</v>
      </c>
    </row>
    <row r="1415">
      <c r="A1415">
        <f>Skills!A19</f>
        <v/>
      </c>
      <c r="B1415">
        <f>Skills!B19</f>
        <v/>
      </c>
      <c r="C1415">
        <f>Inputs!$B$3&gt;=100</f>
        <v/>
      </c>
      <c r="D1415">
        <f>IF(Skills!C19=1,60+Inputs!$B$25+Inputs!$B$29,IF(Skills!C19=2,90+Inputs!$B$26+Inputs!$B$29,IF(Skills!C19=3,120+Inputs!$B$27+Inputs!$B$29,MAX(0,(Inputs!$B$3-100)*3)+Inputs!$B$28+Inputs!$B$29)))</f>
        <v/>
      </c>
      <c r="E1415">
        <f>INDEX(FactorTable!$B$2:$Y$301, MATCH(ROUND(MIN(300,MAX(1,D1415)),0), FactorTable!$A$2:$A$301,0), Skills!M19+1)</f>
        <v/>
      </c>
      <c r="F1415">
        <f>IF(Skills!N19=TRUE,(Skills!L19/10)*(E1415/1000),Skills!L19/10)+Skills!O19</f>
        <v/>
      </c>
      <c r="G1415">
        <f>Skills!G19*IF(Skills!H19&gt;0,IF(Inputs!$B$39="pvp",MIN(Skills!I19,15),Skills!I19)/Skills!H19,1)</f>
        <v/>
      </c>
      <c r="H1415">
        <f>1-(1-Skills!J19/100)^Skills!K19</f>
        <v/>
      </c>
      <c r="I1415" t="inlineStr">
        <is>
          <t>1</t>
        </is>
      </c>
      <c r="J1415" t="inlineStr"/>
      <c r="K1415" t="inlineStr"/>
      <c r="L1415" t="inlineStr"/>
      <c r="M1415" t="inlineStr"/>
      <c r="N1415" t="inlineStr"/>
      <c r="O1415">
        <f>(1-Summary!$B$11)*T1415+Summary!$B$11*V1415</f>
        <v/>
      </c>
      <c r="P1415">
        <f>IF(B1442=0,0,O1415/B1442)</f>
        <v/>
      </c>
      <c r="Q1415" t="n">
        <v>0</v>
      </c>
      <c r="R1415" t="n">
        <v>0</v>
      </c>
      <c r="S1415">
        <f>IFERROR(O1415/N1415,0)</f>
        <v/>
      </c>
      <c r="T1415" t="n">
        <v>0</v>
      </c>
      <c r="V1415" t="n">
        <v>0</v>
      </c>
    </row>
    <row r="1416">
      <c r="A1416">
        <f>Skills!A20</f>
        <v/>
      </c>
      <c r="B1416">
        <f>Skills!B20</f>
        <v/>
      </c>
      <c r="C1416">
        <f>TRUE</f>
        <v/>
      </c>
      <c r="D1416">
        <f>IF(Skills!C20=1,60+Inputs!$B$25+Inputs!$B$29,IF(Skills!C20=2,90+Inputs!$B$26+Inputs!$B$29,IF(Skills!C20=3,120+Inputs!$B$27+Inputs!$B$29,MAX(0,(Inputs!$B$3-100)*3)+Inputs!$B$28+Inputs!$B$29)))</f>
        <v/>
      </c>
      <c r="E1416">
        <f>INDEX(FactorTable!$B$2:$Y$301, MATCH(ROUND(MIN(300,MAX(1,D1416)),0), FactorTable!$A$2:$A$301,0), Skills!M20+1)</f>
        <v/>
      </c>
      <c r="F1416">
        <f>IF(Skills!N20=TRUE,(Skills!L20/10)*(E1416/1000),Skills!L20/10)+Skills!O20</f>
        <v/>
      </c>
      <c r="G1416">
        <f>Skills!G20*IF(Skills!H20&gt;0,IF(Inputs!$B$39="pvp",MIN(Skills!I20,15),Skills!I20)/Skills!H20,1)</f>
        <v/>
      </c>
      <c r="H1416">
        <f>1-(1-Skills!J20/100)^Skills!K20</f>
        <v/>
      </c>
      <c r="I1416" t="inlineStr">
        <is>
          <t>1</t>
        </is>
      </c>
      <c r="J1416" t="inlineStr"/>
      <c r="K1416" t="inlineStr"/>
      <c r="L1416" t="inlineStr"/>
      <c r="M1416" t="inlineStr"/>
      <c r="N1416" t="inlineStr"/>
      <c r="O1416">
        <f>(1-Summary!$B$11)*T1416+Summary!$B$11*V1416</f>
        <v/>
      </c>
      <c r="P1416">
        <f>IF(B1442=0,0,O1416/B1442)</f>
        <v/>
      </c>
      <c r="Q1416">
        <f>IFERROR(1/IF(Inputs!$B$39="pvp",15,MAX(0.1,Skills!D20-IF(TRUE=TRUE,Inputs!$B$32,0))),0)</f>
        <v/>
      </c>
      <c r="R1416">
        <f>IF(AND(Inputs!$B$39&lt;&gt;"pvp",Inputs!$B$44&gt;0),IF(Inputs!$B$44&lt;=0,0,(INT(Inputs!$B$44/IF(Inputs!$B$39="pvp",15,MAX(0.1,Skills!D20-IF(TRUE=TRUE,Inputs!$B$32,0))))+1)),0)</f>
        <v/>
      </c>
      <c r="S1416">
        <f>IFERROR(O1416/N1416,0)</f>
        <v/>
      </c>
      <c r="T1416" t="n">
        <v>0</v>
      </c>
      <c r="V1416" t="n">
        <v>0</v>
      </c>
    </row>
    <row r="1417">
      <c r="A1417">
        <f>Skills!A21</f>
        <v/>
      </c>
      <c r="B1417">
        <f>Skills!B21</f>
        <v/>
      </c>
      <c r="C1417">
        <f>Inputs!$B$3&gt;=15</f>
        <v/>
      </c>
      <c r="D1417">
        <f>IF(Skills!C21=1,60+Inputs!$B$25+Inputs!$B$29,IF(Skills!C21=2,90+Inputs!$B$26+Inputs!$B$29,IF(Skills!C21=3,120+Inputs!$B$27+Inputs!$B$29,MAX(0,(Inputs!$B$3-100)*3)+Inputs!$B$28+Inputs!$B$29)))</f>
        <v/>
      </c>
      <c r="E1417">
        <f>INDEX(FactorTable!$B$2:$Y$301, MATCH(ROUND(MIN(300,MAX(1,D1417)),0), FactorTable!$A$2:$A$301,0), Skills!M21+1)</f>
        <v/>
      </c>
      <c r="F1417">
        <f>IF(Skills!N21=TRUE,(Skills!L21/10)*(E1417/1000),Skills!L21/10)+Skills!O21</f>
        <v/>
      </c>
      <c r="G1417">
        <f>Skills!G21*IF(Skills!H21&gt;0,IF(Inputs!$B$39="pvp",MIN(Skills!I21,15),Skills!I21)/Skills!H21,1)</f>
        <v/>
      </c>
      <c r="H1417">
        <f>1-(1-Skills!J21/100)^Skills!K21</f>
        <v/>
      </c>
      <c r="I1417" t="inlineStr">
        <is>
          <t>1</t>
        </is>
      </c>
      <c r="J1417" t="inlineStr"/>
      <c r="K1417" t="inlineStr"/>
      <c r="L1417" t="inlineStr"/>
      <c r="M1417" t="inlineStr"/>
      <c r="N1417" t="inlineStr"/>
      <c r="O1417">
        <f>(1-Summary!$B$11)*T1417+Summary!$B$11*V1417</f>
        <v/>
      </c>
      <c r="P1417">
        <f>IF(B1442=0,0,O1417/B1442)</f>
        <v/>
      </c>
      <c r="Q1417">
        <f>IFERROR(1/IF(Inputs!$B$39="pvp",15,MAX(0.1,Skills!D21-IF(TRUE=TRUE,Inputs!$B$32,0))),0)</f>
        <v/>
      </c>
      <c r="R1417">
        <f>IF(AND(Inputs!$B$39&lt;&gt;"pvp",Inputs!$B$44&gt;0),IF(Inputs!$B$44&lt;=0,0,(INT(Inputs!$B$44/IF(Inputs!$B$39="pvp",15,MAX(0.1,Skills!D21-IF(TRUE=TRUE,Inputs!$B$32,0))))+1)),0)</f>
        <v/>
      </c>
      <c r="S1417">
        <f>IFERROR(O1417/N1417,0)</f>
        <v/>
      </c>
      <c r="T1417" t="n">
        <v>0</v>
      </c>
      <c r="V1417" t="n">
        <v>0</v>
      </c>
    </row>
    <row r="1418">
      <c r="A1418">
        <f>Skills!A22</f>
        <v/>
      </c>
      <c r="B1418">
        <f>Skills!B22</f>
        <v/>
      </c>
      <c r="C1418">
        <f>Inputs!$B$3&gt;=15</f>
        <v/>
      </c>
      <c r="D1418">
        <f>IF(Skills!C22=1,60+Inputs!$B$25+Inputs!$B$29,IF(Skills!C22=2,90+Inputs!$B$26+Inputs!$B$29,IF(Skills!C22=3,120+Inputs!$B$27+Inputs!$B$29,MAX(0,(Inputs!$B$3-100)*3)+Inputs!$B$28+Inputs!$B$29)))</f>
        <v/>
      </c>
      <c r="E1418">
        <f>INDEX(FactorTable!$B$2:$Y$301, MATCH(ROUND(MIN(300,MAX(1,D1418)),0), FactorTable!$A$2:$A$301,0), Skills!M22+1)</f>
        <v/>
      </c>
      <c r="F1418">
        <f>IF(Skills!N22=TRUE,(Skills!L22/10)*(E1418/1000),Skills!L22/10)+Skills!O22</f>
        <v/>
      </c>
      <c r="G1418">
        <f>Skills!G22*IF(Skills!H22&gt;0,IF(Inputs!$B$39="pvp",MIN(Skills!I22,15),Skills!I22)/Skills!H22,1)</f>
        <v/>
      </c>
      <c r="H1418">
        <f>1-(1-Skills!J22/100)^Skills!K22</f>
        <v/>
      </c>
      <c r="I1418" t="inlineStr">
        <is>
          <t>1</t>
        </is>
      </c>
      <c r="J1418" t="inlineStr"/>
      <c r="K1418" t="inlineStr"/>
      <c r="L1418" t="inlineStr"/>
      <c r="M1418" t="inlineStr"/>
      <c r="N1418" t="inlineStr"/>
      <c r="O1418">
        <f>(1-Summary!$B$11)*T1418+Summary!$B$11*V1418</f>
        <v/>
      </c>
      <c r="P1418">
        <f>IF(B1442=0,0,O1418/B1442)</f>
        <v/>
      </c>
      <c r="Q1418">
        <f>IFERROR(1/IF(Inputs!$B$39="pvp",15,MAX(0.1,Skills!D22-IF(TRUE=TRUE,Inputs!$B$32,0))),0)</f>
        <v/>
      </c>
      <c r="R1418">
        <f>IF(AND(Inputs!$B$39&lt;&gt;"pvp",Inputs!$B$44&gt;0),IF(Inputs!$B$44&lt;=0,0,(INT(Inputs!$B$44/IF(Inputs!$B$39="pvp",15,MAX(0.1,Skills!D22-IF(TRUE=TRUE,Inputs!$B$32,0))))+1)),0)</f>
        <v/>
      </c>
      <c r="S1418">
        <f>IFERROR(O1418/N1418,0)</f>
        <v/>
      </c>
      <c r="T1418" t="n">
        <v>0</v>
      </c>
      <c r="V1418" t="n">
        <v>0</v>
      </c>
    </row>
    <row r="1419">
      <c r="A1419">
        <f>Skills!A23</f>
        <v/>
      </c>
      <c r="B1419">
        <f>Skills!B23</f>
        <v/>
      </c>
      <c r="C1419">
        <f>Inputs!$B$3&gt;=33</f>
        <v/>
      </c>
      <c r="D1419">
        <f>IF(Skills!C23=1,60+Inputs!$B$25+Inputs!$B$29,IF(Skills!C23=2,90+Inputs!$B$26+Inputs!$B$29,IF(Skills!C23=3,120+Inputs!$B$27+Inputs!$B$29,MAX(0,(Inputs!$B$3-100)*3)+Inputs!$B$28+Inputs!$B$29)))</f>
        <v/>
      </c>
      <c r="E1419">
        <f>INDEX(FactorTable!$B$2:$Y$301, MATCH(ROUND(MIN(300,MAX(1,D1419)),0), FactorTable!$A$2:$A$301,0), Skills!M23+1)</f>
        <v/>
      </c>
      <c r="F1419">
        <f>IF(Skills!N23=TRUE,(Skills!L23/10)*(E1419/1000),Skills!L23/10)+Skills!O23</f>
        <v/>
      </c>
      <c r="G1419">
        <f>Skills!G23*IF(Skills!H23&gt;0,IF(Inputs!$B$39="pvp",MIN(Skills!I23,15),Skills!I23)/Skills!H23,1)</f>
        <v/>
      </c>
      <c r="H1419">
        <f>1-(1-Skills!J23/100)^Skills!K23</f>
        <v/>
      </c>
      <c r="I1419" t="inlineStr">
        <is>
          <t>1</t>
        </is>
      </c>
      <c r="J1419" t="inlineStr"/>
      <c r="K1419" t="inlineStr"/>
      <c r="L1419" t="inlineStr"/>
      <c r="M1419" t="inlineStr"/>
      <c r="N1419" t="inlineStr"/>
      <c r="O1419">
        <f>(1-Summary!$B$11)*T1419+Summary!$B$11*V1419</f>
        <v/>
      </c>
      <c r="P1419">
        <f>IF(B1442=0,0,O1419/B1442)</f>
        <v/>
      </c>
      <c r="Q1419" t="n">
        <v>0</v>
      </c>
      <c r="R1419" t="n">
        <v>0</v>
      </c>
      <c r="S1419">
        <f>IFERROR(O1419/N1419,0)</f>
        <v/>
      </c>
      <c r="T1419" t="n">
        <v>0</v>
      </c>
      <c r="V1419" t="n">
        <v>0</v>
      </c>
    </row>
    <row r="1420">
      <c r="A1420">
        <f>Skills!A24</f>
        <v/>
      </c>
      <c r="B1420">
        <f>Skills!B24</f>
        <v/>
      </c>
      <c r="C1420">
        <f>Inputs!$B$3&gt;=40</f>
        <v/>
      </c>
      <c r="D1420">
        <f>IF(Skills!C24=1,60+Inputs!$B$25+Inputs!$B$29,IF(Skills!C24=2,90+Inputs!$B$26+Inputs!$B$29,IF(Skills!C24=3,120+Inputs!$B$27+Inputs!$B$29,MAX(0,(Inputs!$B$3-100)*3)+Inputs!$B$28+Inputs!$B$29)))</f>
        <v/>
      </c>
      <c r="E1420">
        <f>INDEX(FactorTable!$B$2:$Y$301, MATCH(ROUND(MIN(300,MAX(1,D1420)),0), FactorTable!$A$2:$A$301,0), Skills!M24+1)</f>
        <v/>
      </c>
      <c r="F1420">
        <f>IF(Skills!N24=TRUE,(Skills!L24/10)*(E1420/1000),Skills!L24/10)+Skills!O24</f>
        <v/>
      </c>
      <c r="G1420">
        <f>Skills!G24*IF(Skills!H24&gt;0,IF(Inputs!$B$39="pvp",MIN(Skills!I24,15),Skills!I24)/Skills!H24,1)</f>
        <v/>
      </c>
      <c r="H1420">
        <f>1-(1-Skills!J24/100)^Skills!K24</f>
        <v/>
      </c>
      <c r="I1420" t="inlineStr">
        <is>
          <t>1</t>
        </is>
      </c>
      <c r="J1420" t="inlineStr"/>
      <c r="K1420" t="inlineStr"/>
      <c r="L1420" t="inlineStr"/>
      <c r="M1420" t="inlineStr"/>
      <c r="N1420" t="inlineStr"/>
      <c r="O1420">
        <f>(1-Summary!$B$11)*T1420+Summary!$B$11*V1420</f>
        <v/>
      </c>
      <c r="P1420">
        <f>IF(B1442=0,0,O1420/B1442)</f>
        <v/>
      </c>
      <c r="Q1420" t="n">
        <v>0</v>
      </c>
      <c r="R1420" t="n">
        <v>0</v>
      </c>
      <c r="S1420">
        <f>IFERROR(O1420/N1420,0)</f>
        <v/>
      </c>
      <c r="T1420" t="n">
        <v>0</v>
      </c>
      <c r="V1420" t="n">
        <v>0</v>
      </c>
    </row>
    <row r="1421">
      <c r="A1421">
        <f>Skills!A25</f>
        <v/>
      </c>
      <c r="B1421">
        <f>Skills!B25</f>
        <v/>
      </c>
      <c r="C1421">
        <f>Inputs!$B$3&gt;=43</f>
        <v/>
      </c>
      <c r="D1421">
        <f>IF(Skills!C25=1,60+Inputs!$B$25+Inputs!$B$29,IF(Skills!C25=2,90+Inputs!$B$26+Inputs!$B$29,IF(Skills!C25=3,120+Inputs!$B$27+Inputs!$B$29,MAX(0,(Inputs!$B$3-100)*3)+Inputs!$B$28+Inputs!$B$29)))</f>
        <v/>
      </c>
      <c r="E1421">
        <f>INDEX(FactorTable!$B$2:$Y$301, MATCH(ROUND(MIN(300,MAX(1,D1421)),0), FactorTable!$A$2:$A$301,0), Skills!M25+1)</f>
        <v/>
      </c>
      <c r="F1421">
        <f>IF(Skills!N25=TRUE,(Skills!L25/10)*(E1421/1000),Skills!L25/10)+Skills!O25</f>
        <v/>
      </c>
      <c r="G1421">
        <f>Skills!G25*IF(Skills!H25&gt;0,IF(Inputs!$B$39="pvp",MIN(Skills!I25,15),Skills!I25)/Skills!H25,1)</f>
        <v/>
      </c>
      <c r="H1421">
        <f>1-(1-Skills!J25/100)^Skills!K25</f>
        <v/>
      </c>
      <c r="I1421" t="inlineStr">
        <is>
          <t>1</t>
        </is>
      </c>
      <c r="J1421" t="inlineStr"/>
      <c r="K1421" t="inlineStr"/>
      <c r="L1421" t="inlineStr"/>
      <c r="M1421" t="inlineStr"/>
      <c r="N1421" t="inlineStr"/>
      <c r="O1421">
        <f>(1-Summary!$B$11)*T1421+Summary!$B$11*V1421</f>
        <v/>
      </c>
      <c r="P1421">
        <f>IF(B1442=0,0,O1421/B1442)</f>
        <v/>
      </c>
      <c r="Q1421" t="n">
        <v>0</v>
      </c>
      <c r="R1421" t="n">
        <v>0</v>
      </c>
      <c r="S1421">
        <f>IFERROR(O1421/N1421,0)</f>
        <v/>
      </c>
      <c r="T1421" t="n">
        <v>0</v>
      </c>
      <c r="V1421" t="n">
        <v>0</v>
      </c>
    </row>
    <row r="1422">
      <c r="A1422">
        <f>Skills!A26</f>
        <v/>
      </c>
      <c r="B1422">
        <f>Skills!B26</f>
        <v/>
      </c>
      <c r="C1422">
        <f>Inputs!$B$3&gt;=50</f>
        <v/>
      </c>
      <c r="D1422">
        <f>IF(Skills!C26=1,60+Inputs!$B$25+Inputs!$B$29,IF(Skills!C26=2,90+Inputs!$B$26+Inputs!$B$29,IF(Skills!C26=3,120+Inputs!$B$27+Inputs!$B$29,MAX(0,(Inputs!$B$3-100)*3)+Inputs!$B$28+Inputs!$B$29)))</f>
        <v/>
      </c>
      <c r="E1422">
        <f>INDEX(FactorTable!$B$2:$Y$301, MATCH(ROUND(MIN(300,MAX(1,D1422)),0), FactorTable!$A$2:$A$301,0), Skills!M26+1)</f>
        <v/>
      </c>
      <c r="F1422">
        <f>IF(Skills!N26=TRUE,(Skills!L26/10)*(E1422/1000),Skills!L26/10)+Skills!O26</f>
        <v/>
      </c>
      <c r="G1422">
        <f>Skills!G26*IF(Skills!H26&gt;0,IF(Inputs!$B$39="pvp",MIN(Skills!I26,15),Skills!I26)/Skills!H26,1)</f>
        <v/>
      </c>
      <c r="H1422">
        <f>1-(1-Skills!J26/100)^Skills!K26</f>
        <v/>
      </c>
      <c r="I1422" t="inlineStr">
        <is>
          <t>1</t>
        </is>
      </c>
      <c r="J1422" t="inlineStr"/>
      <c r="K1422" t="inlineStr"/>
      <c r="L1422" t="inlineStr"/>
      <c r="M1422" t="inlineStr"/>
      <c r="N1422" t="inlineStr"/>
      <c r="O1422">
        <f>(1-Summary!$B$11)*T1422+Summary!$B$11*V1422</f>
        <v/>
      </c>
      <c r="P1422">
        <f>IF(B1442=0,0,O1422/B1442)</f>
        <v/>
      </c>
      <c r="Q1422" t="n">
        <v>0</v>
      </c>
      <c r="R1422" t="n">
        <v>0</v>
      </c>
      <c r="S1422">
        <f>IFERROR(O1422/N1422,0)</f>
        <v/>
      </c>
      <c r="T1422" t="n">
        <v>0</v>
      </c>
      <c r="V1422" t="n">
        <v>0</v>
      </c>
    </row>
    <row r="1423">
      <c r="A1423">
        <f>Skills!A27</f>
        <v/>
      </c>
      <c r="B1423">
        <f>Skills!B27</f>
        <v/>
      </c>
      <c r="C1423">
        <f>Inputs!$B$3&gt;=50</f>
        <v/>
      </c>
      <c r="D1423">
        <f>IF(Skills!C27=1,60+Inputs!$B$25+Inputs!$B$29,IF(Skills!C27=2,90+Inputs!$B$26+Inputs!$B$29,IF(Skills!C27=3,120+Inputs!$B$27+Inputs!$B$29,MAX(0,(Inputs!$B$3-100)*3)+Inputs!$B$28+Inputs!$B$29)))</f>
        <v/>
      </c>
      <c r="E1423">
        <f>INDEX(FactorTable!$B$2:$Y$301, MATCH(ROUND(MIN(300,MAX(1,D1423)),0), FactorTable!$A$2:$A$301,0), Skills!M27+1)</f>
        <v/>
      </c>
      <c r="F1423">
        <f>IF(Skills!N27=TRUE,(Skills!L27/10)*(E1423/1000),Skills!L27/10)+Skills!O27</f>
        <v/>
      </c>
      <c r="G1423">
        <f>Skills!G27*IF(Skills!H27&gt;0,IF(Inputs!$B$39="pvp",MIN(Skills!I27,15),Skills!I27)/Skills!H27,1)</f>
        <v/>
      </c>
      <c r="H1423">
        <f>1-(1-Skills!J27/100)^Skills!K27</f>
        <v/>
      </c>
      <c r="I1423" t="inlineStr">
        <is>
          <t>1</t>
        </is>
      </c>
      <c r="J1423" t="inlineStr"/>
      <c r="K1423" t="inlineStr"/>
      <c r="L1423" t="inlineStr"/>
      <c r="M1423" t="inlineStr"/>
      <c r="N1423" t="inlineStr"/>
      <c r="O1423">
        <f>(1-Summary!$B$11)*T1423+Summary!$B$11*V1423</f>
        <v/>
      </c>
      <c r="P1423">
        <f>IF(B1442=0,0,O1423/B1442)</f>
        <v/>
      </c>
      <c r="Q1423" t="n">
        <v>0</v>
      </c>
      <c r="R1423" t="n">
        <v>0</v>
      </c>
      <c r="S1423">
        <f>IFERROR(O1423/N1423,0)</f>
        <v/>
      </c>
      <c r="T1423" t="n">
        <v>0</v>
      </c>
      <c r="V1423" t="n">
        <v>0</v>
      </c>
    </row>
    <row r="1424">
      <c r="A1424">
        <f>Skills!A28</f>
        <v/>
      </c>
      <c r="B1424">
        <f>Skills!B28</f>
        <v/>
      </c>
      <c r="C1424">
        <f>Inputs!$B$3&gt;=38</f>
        <v/>
      </c>
      <c r="D1424">
        <f>IF(Skills!C28=1,60+Inputs!$B$25+Inputs!$B$29,IF(Skills!C28=2,90+Inputs!$B$26+Inputs!$B$29,IF(Skills!C28=3,120+Inputs!$B$27+Inputs!$B$29,MAX(0,(Inputs!$B$3-100)*3)+Inputs!$B$28+Inputs!$B$29)))</f>
        <v/>
      </c>
      <c r="E1424">
        <f>INDEX(FactorTable!$B$2:$Y$301, MATCH(ROUND(MIN(300,MAX(1,D1424)),0), FactorTable!$A$2:$A$301,0), Skills!M28+1)</f>
        <v/>
      </c>
      <c r="F1424">
        <f>IF(Skills!N28=TRUE,(Skills!L28/10)*(E1424/1000),Skills!L28/10)+Skills!O28</f>
        <v/>
      </c>
      <c r="G1424">
        <f>Skills!G28*IF(Skills!H28&gt;0,IF(Inputs!$B$39="pvp",MIN(Skills!I28,15),Skills!I28)/Skills!H28,1)</f>
        <v/>
      </c>
      <c r="H1424">
        <f>1-(1-Skills!J28/100)^Skills!K28</f>
        <v/>
      </c>
      <c r="I1424" t="inlineStr">
        <is>
          <t>1</t>
        </is>
      </c>
      <c r="J1424" t="inlineStr"/>
      <c r="K1424" t="inlineStr"/>
      <c r="L1424" t="inlineStr"/>
      <c r="M1424" t="inlineStr"/>
      <c r="N1424" t="inlineStr"/>
      <c r="O1424">
        <f>(1-Summary!$B$11)*T1424+Summary!$B$11*V1424</f>
        <v/>
      </c>
      <c r="P1424">
        <f>IF(B1442=0,0,O1424/B1442)</f>
        <v/>
      </c>
      <c r="Q1424" t="n">
        <v>0</v>
      </c>
      <c r="R1424" t="n">
        <v>0</v>
      </c>
      <c r="S1424">
        <f>IFERROR(O1424/N1424,0)</f>
        <v/>
      </c>
      <c r="T1424" t="n">
        <v>0</v>
      </c>
      <c r="V1424" t="n">
        <v>0</v>
      </c>
    </row>
    <row r="1425">
      <c r="A1425">
        <f>Skills!A29</f>
        <v/>
      </c>
      <c r="B1425">
        <f>Skills!B29</f>
        <v/>
      </c>
      <c r="C1425">
        <f>Inputs!$B$3&gt;=120</f>
        <v/>
      </c>
      <c r="D1425">
        <f>IF(Skills!C29=1,60+Inputs!$B$25+Inputs!$B$29,IF(Skills!C29=2,90+Inputs!$B$26+Inputs!$B$29,IF(Skills!C29=3,120+Inputs!$B$27+Inputs!$B$29,MAX(0,(Inputs!$B$3-100)*3)+Inputs!$B$28+Inputs!$B$29)))</f>
        <v/>
      </c>
      <c r="E1425">
        <f>INDEX(FactorTable!$B$2:$Y$301, MATCH(ROUND(MIN(300,MAX(1,D1425)),0), FactorTable!$A$2:$A$301,0), Skills!M29+1)</f>
        <v/>
      </c>
      <c r="F1425">
        <f>IF(Skills!N29=TRUE,(Skills!L29/10)*(E1425/1000),Skills!L29/10)+Skills!O29</f>
        <v/>
      </c>
      <c r="G1425">
        <f>Skills!G29*IF(Skills!H29&gt;0,IF(Inputs!$B$39="pvp",MIN(Skills!I29,15),Skills!I29)/Skills!H29,1)</f>
        <v/>
      </c>
      <c r="H1425">
        <f>1-(1-Skills!J29/100)^Skills!K29</f>
        <v/>
      </c>
      <c r="I1425" t="inlineStr">
        <is>
          <t>1</t>
        </is>
      </c>
      <c r="J1425" t="inlineStr"/>
      <c r="K1425" t="inlineStr"/>
      <c r="L1425" t="inlineStr"/>
      <c r="M1425" t="inlineStr"/>
      <c r="N1425" t="inlineStr"/>
      <c r="O1425">
        <f>(1-Summary!$B$11)*T1425+Summary!$B$11*V1425</f>
        <v/>
      </c>
      <c r="P1425">
        <f>IF(B1442=0,0,O1425/B1442)</f>
        <v/>
      </c>
      <c r="Q1425" t="n">
        <v>0</v>
      </c>
      <c r="R1425" t="n">
        <v>0</v>
      </c>
      <c r="S1425">
        <f>IFERROR(O1425/N1425,0)</f>
        <v/>
      </c>
      <c r="T1425" t="n">
        <v>0</v>
      </c>
      <c r="V1425" t="n">
        <v>0</v>
      </c>
    </row>
    <row r="1426">
      <c r="A1426">
        <f>Skills!A30</f>
        <v/>
      </c>
      <c r="B1426">
        <f>Skills!B30</f>
        <v/>
      </c>
      <c r="C1426">
        <f>Inputs!$B$3&gt;=120</f>
        <v/>
      </c>
      <c r="D1426">
        <f>IF(Skills!C30=1,60+Inputs!$B$25+Inputs!$B$29,IF(Skills!C30=2,90+Inputs!$B$26+Inputs!$B$29,IF(Skills!C30=3,120+Inputs!$B$27+Inputs!$B$29,MAX(0,(Inputs!$B$3-100)*3)+Inputs!$B$28+Inputs!$B$29)))</f>
        <v/>
      </c>
      <c r="E1426">
        <f>INDEX(FactorTable!$B$2:$Y$301, MATCH(ROUND(MIN(300,MAX(1,D1426)),0), FactorTable!$A$2:$A$301,0), Skills!M30+1)</f>
        <v/>
      </c>
      <c r="F1426">
        <f>IF(Skills!N30=TRUE,(Skills!L30/10)*(E1426/1000),Skills!L30/10)+Skills!O30</f>
        <v/>
      </c>
      <c r="G1426">
        <f>Skills!G30*IF(Skills!H30&gt;0,IF(Inputs!$B$39="pvp",MIN(Skills!I30,15),Skills!I30)/Skills!H30,1)</f>
        <v/>
      </c>
      <c r="H1426">
        <f>1-(1-Skills!J30/100)^Skills!K30</f>
        <v/>
      </c>
      <c r="I1426" t="inlineStr">
        <is>
          <t>1</t>
        </is>
      </c>
      <c r="J1426" t="inlineStr"/>
      <c r="K1426" t="inlineStr"/>
      <c r="L1426" t="inlineStr"/>
      <c r="M1426" t="inlineStr"/>
      <c r="N1426" t="inlineStr"/>
      <c r="O1426">
        <f>(1-Summary!$B$11)*T1426+Summary!$B$11*V1426</f>
        <v/>
      </c>
      <c r="P1426">
        <f>IF(B1442=0,0,O1426/B1442)</f>
        <v/>
      </c>
      <c r="Q1426" t="n">
        <v>0</v>
      </c>
      <c r="R1426" t="n">
        <v>0</v>
      </c>
      <c r="S1426">
        <f>IFERROR(O1426/N1426,0)</f>
        <v/>
      </c>
      <c r="T1426" t="n">
        <v>0</v>
      </c>
      <c r="V1426" t="n">
        <v>0</v>
      </c>
    </row>
    <row r="1427">
      <c r="A1427">
        <f>Skills!A31</f>
        <v/>
      </c>
      <c r="B1427">
        <f>Skills!B31</f>
        <v/>
      </c>
      <c r="C1427">
        <f>Inputs!$B$3&gt;=125</f>
        <v/>
      </c>
      <c r="D1427">
        <f>IF(Skills!C31=1,60+Inputs!$B$25+Inputs!$B$29,IF(Skills!C31=2,90+Inputs!$B$26+Inputs!$B$29,IF(Skills!C31=3,120+Inputs!$B$27+Inputs!$B$29,MAX(0,(Inputs!$B$3-100)*3)+Inputs!$B$28+Inputs!$B$29)))</f>
        <v/>
      </c>
      <c r="E1427">
        <f>INDEX(FactorTable!$B$2:$Y$301, MATCH(ROUND(MIN(300,MAX(1,D1427)),0), FactorTable!$A$2:$A$301,0), Skills!M31+1)</f>
        <v/>
      </c>
      <c r="F1427">
        <f>IF(Skills!N31=TRUE,(Skills!L31/10)*(E1427/1000),Skills!L31/10)+Skills!O31</f>
        <v/>
      </c>
      <c r="G1427">
        <f>Skills!G31*IF(Skills!H31&gt;0,IF(Inputs!$B$39="pvp",MIN(Skills!I31,15),Skills!I31)/Skills!H31,1)</f>
        <v/>
      </c>
      <c r="H1427">
        <f>1-(1-Skills!J31/100)^Skills!K31</f>
        <v/>
      </c>
      <c r="I1427" t="inlineStr">
        <is>
          <t>1</t>
        </is>
      </c>
      <c r="J1427" t="inlineStr"/>
      <c r="K1427" t="inlineStr"/>
      <c r="L1427" t="inlineStr"/>
      <c r="M1427" t="inlineStr"/>
      <c r="N1427" t="inlineStr"/>
      <c r="O1427">
        <f>(1-Summary!$B$11)*T1427+Summary!$B$11*V1427</f>
        <v/>
      </c>
      <c r="P1427">
        <f>IF(B1442=0,0,O1427/B1442)</f>
        <v/>
      </c>
      <c r="Q1427" t="n">
        <v>0</v>
      </c>
      <c r="R1427" t="n">
        <v>0</v>
      </c>
      <c r="S1427">
        <f>IFERROR(O1427/N1427,0)</f>
        <v/>
      </c>
      <c r="T1427" t="n">
        <v>0</v>
      </c>
      <c r="V1427" t="n">
        <v>0</v>
      </c>
    </row>
    <row r="1429">
      <c r="A1429" t="inlineStr">
        <is>
          <t>Average Buff Multiplier</t>
        </is>
      </c>
      <c r="B1429">
        <f>(1+(((C1418=TRUE)*F1418*IF(AND(Inputs!$B$39&lt;&gt;"pvp",Inputs!$B$44&gt;0),(((R1418-1)*MIN((Skills!Y22*(1+Inputs!$B$34/100)),(1/Q1418))+MIN((Skills!Y22*(1+Inputs!$B$34/100)),MAX(0,Inputs!$B$44-((R1418-1)*(1/Q1418)))))/Inputs!$B$44),IF(Inputs!$B$39="pvp",MIN((Skills!Y22*(1+Inputs!$B$34/100)),15)/15,MIN(1,(Skills!Y22*(1+Inputs!$B$34/100))/(1/Q1418)))))+((C1399=TRUE)*F1399*3)+((C1401=TRUE)*F1401*(1-EXP(-0.75*B1434*5)))+((C1420=TRUE)*(F1420-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1407=TRUE)*F1407*IF(AND(Inputs!$B$39&lt;&gt;"pvp",Inputs!$B$44&gt;0),(((R1407-1)*MIN((Skills!Y11*(1+Inputs!$B$34/100)),(1/Q1407))+MIN((Skills!Y11*(1+Inputs!$B$34/100)),MAX(0,Inputs!$B$44-((R1407-1)*(1/Q1407)))))/Inputs!$B$44),IF(Inputs!$B$39="pvp",MIN((Skills!Y11*(1+Inputs!$B$34/100)),15)/15,MIN(1,(Skills!Y11*(1+Inputs!$B$34/100))/(1/Q1407)))))/100)*(1+((C1412=TRUE)*F1412*IF(AND(Inputs!$B$39&lt;&gt;"pvp",Inputs!$B$44&gt;0),(((R1412-1)*MIN((Skills!Y16*(1+Inputs!$B$34/100)),(1/Q1412))+MIN((Skills!Y16*(1+Inputs!$B$34/100)),MAX(0,Inputs!$B$44-((R1412-1)*(1/Q1412)))))/Inputs!$B$44),IF(Inputs!$B$39="pvp",MIN((Skills!Y16*(1+Inputs!$B$34/100)),15)/15,MIN(1,(Skills!Y16*(1+Inputs!$B$34/100))/(1/Q1412)))))/100)</f>
        <v/>
      </c>
    </row>
    <row r="1430">
      <c r="A1430" t="inlineStr">
        <is>
          <t>Global Crit Rate Bonus %</t>
        </is>
      </c>
      <c r="B1430">
        <f>((C1417=TRUE)*F1417*IF(AND(Inputs!$B$39&lt;&gt;"pvp",Inputs!$B$44&gt;0),(((R1417-1)*MIN((Skills!Y21*(1+Inputs!$B$34/100)),(1/Q1417))+MIN((Skills!Y21*(1+Inputs!$B$34/100)),MAX(0,Inputs!$B$44-((R1417-1)*(1/Q1417)))))/Inputs!$B$44),IF(Inputs!$B$39="pvp",MIN((Skills!Y21*(1+Inputs!$B$34/100)),15)/15,MIN(1,(Skills!Y21*(1+Inputs!$B$34/100))/(1/Q1417)))))</f>
        <v/>
      </c>
    </row>
    <row r="1431">
      <c r="A1431" t="inlineStr">
        <is>
          <t>Global Monster Damage-Taken Bonus %</t>
        </is>
      </c>
      <c r="B1431">
        <f>IF(Inputs!$B$3&gt;=82,15,0)</f>
        <v/>
      </c>
    </row>
    <row r="1432">
      <c r="A1432" t="inlineStr">
        <is>
          <t>Shadow Partner Average Multiplier</t>
        </is>
      </c>
      <c r="B1432">
        <f>1+((C1404=TRUE)*F1404*(1+3.3333333333333335*IF(C1415=TRUE,F1415,0)/100)*I1404*Skills!J8/100)/100</f>
        <v/>
      </c>
    </row>
    <row r="1433">
      <c r="A1433" t="inlineStr">
        <is>
          <t>Attack Speed Buff Bonus %</t>
        </is>
      </c>
      <c r="B1433">
        <f>((C1416=TRUE)*F1416*IF(AND(Inputs!$B$39&lt;&gt;"pvp",Inputs!$B$44&gt;0),(((R1416-1)*MIN((Skills!Y20*(1+Inputs!$B$34/100)),(1/Q1416))+MIN((Skills!Y20*(1+Inputs!$B$34/100)),MAX(0,Inputs!$B$44-((R1416-1)*(1/Q1416)))))/Inputs!$B$44),IF(Inputs!$B$39="pvp",MIN((Skills!Y20*(1+Inputs!$B$34/100)),15)/15,MIN(1,(Skills!Y20*(1+Inputs!$B$34/100))/(1/Q1416)))))</f>
        <v/>
      </c>
    </row>
    <row r="1434">
      <c r="A1434" t="inlineStr">
        <is>
          <t>Actions Per Second</t>
        </is>
      </c>
      <c r="B1434">
        <f>1+MIN(150,150*(1-(1-(Inputs!$B$11+((C1419=TRUE)*(F1419-Calc!F23)))/150)*(1-B1433/150)))/100</f>
        <v/>
      </c>
    </row>
    <row r="1435">
      <c r="A1435" t="inlineStr">
        <is>
          <t>Skill + Buff Cast Rate</t>
        </is>
      </c>
      <c r="B1435">
        <f>IF(AND(Inputs!$B$39&lt;&gt;"pvp",Inputs!$B$44&gt;0),SUMPRODUCT((Skills!E2:E31=TRUE)*(C1398:C1427=TRUE)*R1398:R1427*Skills!F2:F31)/Inputs!$B$44,SUMPRODUCT((Skills!E2:E31=TRUE)*(C1398:C1427=TRUE)*Q1398:Q1427*Skills!F2:F31))</f>
        <v/>
      </c>
    </row>
    <row r="1436">
      <c r="A1436" t="inlineStr">
        <is>
          <t>Cruel Stab Casts Per Second</t>
        </is>
      </c>
      <c r="B1436">
        <f>MAX(0,B1434-B1435)</f>
        <v/>
      </c>
    </row>
    <row r="1437">
      <c r="A1437" t="inlineStr">
        <is>
          <t>Global Critical Damage Bonus % (Smokescreen Mastery Lv.113)</t>
        </is>
      </c>
      <c r="B1437">
        <f>IF(Inputs!$B$3&gt;=113,30,0)*IF(AND(Inputs!$B$39&lt;&gt;"pvp",Inputs!$B$44&gt;0),(((R1412-1)*MIN((Skills!Y16*(1+Inputs!$B$34/100)),(1/Q1412))+MIN((Skills!Y16*(1+Inputs!$B$34/100)),MAX(0,Inputs!$B$44-((R1412-1)*(1/Q1412)))))/Inputs!$B$44),IF(Inputs!$B$39="pvp",MIN((Skills!Y16*(1+Inputs!$B$34/100)),15)/15,MIN(1,(Skills!Y16*(1+Inputs!$B$34/100))/(1/Q1412))))</f>
        <v/>
      </c>
    </row>
    <row r="1438">
      <c r="A1438" t="inlineStr">
        <is>
          <t>Meso Explosion average stack count</t>
        </is>
      </c>
      <c r="B1438">
        <f>MIN(10,IF(Inputs!$B$3&gt;=75,0.75,0.5)*B1434*(1/Q1400))</f>
        <v/>
      </c>
    </row>
    <row r="1439">
      <c r="A1439" t="inlineStr">
        <is>
          <t>Blood Money average stack count</t>
        </is>
      </c>
      <c r="B1439">
        <f>MIN(5,0.5*IF(Inputs!$B$3&gt;=75,0.75,0.5)*B1434*(1/Q1400))</f>
        <v/>
      </c>
    </row>
    <row r="1440">
      <c r="A1440" t="inlineStr">
        <is>
          <t>Assassinate Murderous Intent Multiplier</t>
        </is>
      </c>
      <c r="B1440">
        <f>1+IFERROR(MIN(1,Q1411*2/Q1408),0)</f>
        <v/>
      </c>
    </row>
    <row r="1441">
      <c r="A1441" t="inlineStr">
        <is>
          <t>Buff-Casting Startup Delay (s, fixed-duration only)</t>
        </is>
      </c>
      <c r="B1441">
        <f>IF(AND(Inputs!$B$39&lt;&gt;"pvp",Inputs!$B$44&gt;0),SUMPRODUCT((Skills!Y2:Y31&gt;0)*(Skills!E2:E31=TRUE)*(C1398:C1427=TRUE))/B1434,0)</f>
        <v/>
      </c>
    </row>
    <row r="1442">
      <c r="A1442" s="6" t="inlineStr">
        <is>
          <t>TOTAL DPS</t>
        </is>
      </c>
      <c r="B1442" s="6">
        <f>SUM(O1398:O1427)</f>
        <v/>
      </c>
    </row>
    <row r="1443">
      <c r="A1443" t="inlineStr">
        <is>
          <t>Boss-Only Total DPS (this block's swept value)</t>
        </is>
      </c>
      <c r="B1443">
        <f>SUM(T1398:T1427)</f>
        <v/>
      </c>
    </row>
    <row r="1444">
      <c r="A1444" t="inlineStr">
        <is>
          <t>Normal-Only Total DPS (this block's swept value)</t>
        </is>
      </c>
      <c r="B1444">
        <f>SUM(V1398:V1427)</f>
        <v/>
      </c>
    </row>
    <row r="1447">
      <c r="A1447" s="6" t="inlineStr">
        <is>
          <t>Stat: Charm of the Undead (Equip)</t>
        </is>
      </c>
    </row>
    <row r="1448">
      <c r="A1448" s="5" t="inlineStr">
        <is>
          <t>Key</t>
        </is>
      </c>
      <c r="B1448" s="5" t="inlineStr">
        <is>
          <t>Name</t>
        </is>
      </c>
      <c r="C1448" s="5" t="inlineStr">
        <is>
          <t>Unlocked</t>
        </is>
      </c>
      <c r="D1448" s="5" t="inlineStr">
        <is>
          <t>InputLevel</t>
        </is>
      </c>
      <c r="E1448" s="5" t="inlineStr">
        <is>
          <t>Factor</t>
        </is>
      </c>
      <c r="F1448" s="5" t="inlineStr">
        <is>
          <t>CoefficientPercent</t>
        </is>
      </c>
      <c r="G1448" s="5" t="inlineStr">
        <is>
          <t>EffectiveHits</t>
        </is>
      </c>
      <c r="H1448" s="5" t="inlineStr">
        <is>
          <t>ProcProbability</t>
        </is>
      </c>
      <c r="I1448" s="5" t="inlineStr">
        <is>
          <t>MapleHeroMultiplier</t>
        </is>
      </c>
      <c r="J1448" s="5" t="inlineStr">
        <is>
          <t>BaseDamage</t>
        </is>
      </c>
      <c r="K1448" s="5" t="inlineStr">
        <is>
          <t>BaseHitDamage</t>
        </is>
      </c>
      <c r="L1448" s="5" t="inlineStr">
        <is>
          <t>NonCritAvg</t>
        </is>
      </c>
      <c r="M1448" s="5" t="inlineStr">
        <is>
          <t>CritAvg</t>
        </is>
      </c>
      <c r="N1448" s="5" t="inlineStr">
        <is>
          <t>ExpectedDamage(perHit)</t>
        </is>
      </c>
      <c r="O1448" s="5" t="inlineStr">
        <is>
          <t>DPS</t>
        </is>
      </c>
      <c r="P1448" s="5" t="inlineStr">
        <is>
          <t>% of Total</t>
        </is>
      </c>
      <c r="Q1448" s="5" t="inlineStr">
        <is>
          <t>InvCooldown</t>
        </is>
      </c>
      <c r="R1448" s="5" t="inlineStr">
        <is>
          <t>CastsInFight</t>
        </is>
      </c>
      <c r="S1448" s="5" t="inlineStr">
        <is>
          <t>HitRate(perSec)</t>
        </is>
      </c>
      <c r="U1448" t="inlineStr">
        <is>
          <t>helpers</t>
        </is>
      </c>
    </row>
    <row r="1449">
      <c r="A1449">
        <f>Skills!A2</f>
        <v/>
      </c>
      <c r="B1449">
        <f>Skills!B2</f>
        <v/>
      </c>
      <c r="C1449">
        <f>Inputs!$B$3&gt;=100</f>
        <v/>
      </c>
      <c r="D1449" t="inlineStr"/>
      <c r="E1449" t="inlineStr"/>
      <c r="F1449">
        <f>U1451+Skills!O2</f>
        <v/>
      </c>
      <c r="G1449">
        <f>Skills!G2*IF(Skills!H2&gt;0,IF(Inputs!$B$39="pvp",MIN(Skills!I2,15),Skills!I2)/Skills!H2,1)</f>
        <v/>
      </c>
      <c r="H1449">
        <f>1-(1-Skills!J2/100)^Skills!K2</f>
        <v/>
      </c>
      <c r="I1449" t="inlineStr">
        <is>
          <t>1</t>
        </is>
      </c>
      <c r="J1449">
        <f>((Inputs!$B$6*(1+Inputs!$B$7/100))+(((Inputs!$B$12*(1+Inputs!$B$13/100))-(Inputs!$B$12*(1+Inputs!$B$13/100)))+0.25*(Inputs!$B$14-Inputs!$B$14))*(1+Inputs!$B$7/100))*(F1449/100)</f>
        <v/>
      </c>
      <c r="K1449">
        <f>J1449*(1+((Inputs!$B$12*(1+Inputs!$B$13/100))*0.01+Inputs!$B$14*0.0025)/100)*(1+Inputs!$B$15/100)*(1+Inputs!$B$16/100)*(5000/(6000+Inputs!$B$43*(1-(100*(1-(1-Inputs!$B$19/100)*(1-CHOOSE(ArtifactsInput!$N$40+1,5,6,7,8,9,10)/100)^(ArtifactsInput!$M$40-ArtifactsInput!$M$40)))/100)))*(1+(Inputs!$B$24+((C1478=TRUE)*(F1478-Calc!F31))+((C1465=TRUE)*(F1465-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CRUEL_STAB",Inputs!$B$17+((C1475=TRUE)*(F1475-Calc!F28))+((IF(AND(Inputs!$B$39&lt;&gt;"pvp",Inputs!$B$44=0),1,IF(IF(Inputs!$B$39="pvp",15,Inputs!$B$44)-(B1492)&lt;=0,1,MAX(0,IF(Inputs!$B$39="pvp",15,Inputs!$B$44)-MAX(5,B1492))/(IF(Inputs!$B$39="pvp",15,Inputs!$B$44)-(B1492))))*(IF(AND(ArtifactsInput!$M$42,((Inputs!$B$9+((C1473=TRUE)*(F1473-Calc!F26))+B1481+(ArtifactsInput!$M$24-ArtifactsInput!$M$24)*CHOOSE(ArtifactsInput!$N$24+1,10,12,14,16,18,20)+IF(ArtifactsInput!$M$10,CHOOSE(ArtifactsInput!$N$10+1,15,18,21,24,27,30)*(IF(Inputs!$B$39="pvp",MIN(15,15)/15,IF(AND(Inputs!$B$39&lt;&gt;"pvp",Inputs!$B$44&gt;0),MIN(15,Inputs!$B$44)/(Inputs!$B$44),0))),0)))&gt;=100),MIN(100,((Inputs!$B$9+((C1473=TRUE)*(F1473-Calc!F26))+B1481+(ArtifactsInput!$M$24-ArtifactsInput!$M$24)*CHOOSE(ArtifactsInput!$N$24+1,10,12,14,16,18,20)+IF(ArtifactsInput!$M$10,CHOOSE(ArtifactsInput!$N$10+1,15,18,21,24,27,30)*(IF(Inputs!$B$39="pvp",MIN(15,15)/15,IF(AND(Inputs!$B$39&lt;&gt;"pvp",Inputs!$B$44&gt;0),MIN(15,Inputs!$B$44)/(Inputs!$B$44),0))),0)))-100),0))*CHOOSE(ArtifactsInput!$N$42+1,0.6,0.72,0.84,0.96,1.08,1.2))),Inputs!$B$18+((C1476=TRUE)*(F1476-Calc!F29))+(IF(AND(Inputs!$B$39&lt;&gt;"pvp",Inputs!$B$44=0),1,IF(IF(Inputs!$B$39="pvp",15,Inputs!$B$44)-(B1492)&lt;=0,1,MAX(0,IF(Inputs!$B$39="pvp",15,Inputs!$B$44)-MAX(5,B1492))/(IF(Inputs!$B$39="pvp",15,Inputs!$B$44)-(B1492))))*IF(AND(ArtifactsInput!$M$42,((Inputs!$B$9+((C1473=TRUE)*(F1473-Calc!F26))+B1481+(ArtifactsInput!$M$24-ArtifactsInput!$M$24)*CHOOSE(ArtifactsInput!$N$24+1,10,12,14,16,18,20)+IF(ArtifactsInput!$M$10,CHOOSE(ArtifactsInput!$N$10+1,15,18,21,24,27,30)*(IF(Inputs!$B$39="pvp",MIN(15,15)/15,IF(AND(Inputs!$B$39&lt;&gt;"pvp",Inputs!$B$44&gt;0),MIN(15,Inputs!$B$44)/(Inputs!$B$44),0))),0)))&gt;=100),CHOOSE(ArtifactsInput!$N$42+1,40,48,56,64,72,80),0))))/100)*(((1+(((C1469=TRUE)*F1469*IF(AND(Inputs!$B$39&lt;&gt;"pvp",Inputs!$B$44&gt;0),(((R1469-1)*MIN((Skills!Y22*(1+Inputs!$B$34/100)),(1/Q1469))+MIN((Skills!Y22*(1+Inputs!$B$34/100)),MAX(0,Inputs!$B$44-((R1469-1)*(1/Q1469)))))/Inputs!$B$44),IF(Inputs!$B$39="pvp",MIN((Skills!Y22*(1+Inputs!$B$34/100)),15)/15,MIN(1,(Skills!Y22*(1+Inputs!$B$34/100))/(1/Q1469)))))+((C1450=TRUE)*F1450*3)+((C1452=TRUE)*F1452*(1-EXP(-0.75*B1485*5)))+((C1471=TRUE)*(F1471-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IF(ArtifactsInput!$M$5,FALSE,TRUE),CHOOSE(ArtifactsInput!$N$5+1,10,12,14,16,18,20)*(IF(AND(Inputs!$B$39&lt;&gt;"pvp",Inputs!$B$44=0),0.5,(5*INT(MAX(0,IF(Inputs!$B$39="pvp",15,Inputs!$B$44)-10)/10)+MIN((MAX(0,IF(Inputs!$B$39="pvp",15,Inputs!$B$44)-10)-10*INT(MAX(0,IF(Inputs!$B$39="pvp",15,Inputs!$B$44)-10)/10)),5))/IF(Inputs!$B$39="pvp",15,Inputs!$B$44))),0)))/100)*(1+((C1458=TRUE)*F1458*IF(AND(Inputs!$B$39&lt;&gt;"pvp",Inputs!$B$44&gt;0),(((R1458-1)*MIN((Skills!Y11*(1+Inputs!$B$34/100)),(1/Q1458))+MIN((Skills!Y11*(1+Inputs!$B$34/100)),MAX(0,Inputs!$B$44-((R1458-1)*(1/Q1458)))))/Inputs!$B$44),IF(Inputs!$B$39="pvp",MIN((Skills!Y11*(1+Inputs!$B$34/100)),15)/15,MIN(1,(Skills!Y11*(1+Inputs!$B$34/100))/(1/Q1458)))))/100)*(1+((C1463=TRUE)*F1463*IF(AND(Inputs!$B$39&lt;&gt;"pvp",Inputs!$B$44&gt;0),(((R1463-1)*MIN((Skills!Y16*(1+Inputs!$B$34/100)),(1/Q1463))+MIN((Skills!Y16*(1+Inputs!$B$34/100)),MAX(0,Inputs!$B$44-((R1463-1)*(1/Q1463)))))/Inputs!$B$44),IF(Inputs!$B$39="pvp",MIN((Skills!Y16*(1+Inputs!$B$34/100)),15)/15,MIN(1,(Skills!Y16*(1+Inputs!$B$34/100))/(1/Q1463)))))/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1483*I1449)</f>
        <v/>
      </c>
      <c r="L1449">
        <f>K1449*(MIN(Inputs!$B$22+((C1472=TRUE)*(F1472-Calc!F25)),(Inputs!$B$23+((C1477=TRUE)*(F1477-Calc!F30))+IF(ArtifactsInput!$M$15,CHOOSE(ArtifactsInput!$N$15+1,25,30,35,40,45,50)/100*(Inputs!$B$11-Inputs!$B$11),0)))/100+(Inputs!$B$23+((C1477=TRUE)*(F1477-Calc!F30))+IF(ArtifactsInput!$M$15,CHOOSE(ArtifactsInput!$N$15+1,25,30,35,40,45,50)/100*(Inputs!$B$11-Inputs!$B$11),0))/100)/2</f>
        <v/>
      </c>
      <c r="M1449">
        <f>L1449*(1+(Inputs!$B$10+((C1474=TRUE)*(F1474-Calc!F27))+B1488+(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1449">
        <f>L1449*(1-MIN((Inputs!$B$9+((C1473=TRUE)*(F1473-Calc!F26))+B1481+(ArtifactsInput!$M$24-ArtifactsInput!$M$24)*CHOOSE(ArtifactsInput!$N$24+1,10,12,14,16,18,20)+(IF(AND(Inputs!$B$39&lt;&gt;"pvp",Inputs!$B$44=0),1,IF(IF(Inputs!$B$39="pvp",15,Inputs!$B$44)-(B1492)&lt;=0,1,MAX(0,IF(Inputs!$B$39="pvp",15,Inputs!$B$44)-MAX(5,B1492))/(IF(Inputs!$B$39="pvp",15,Inputs!$B$44)-(B1492))))*IF(AND(ArtifactsInput!$M$42,((Inputs!$B$9+((C1473=TRUE)*(F1473-Calc!F26))+B1481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1449*(MIN((Inputs!$B$9+((C1473=TRUE)*(F1473-Calc!F26))+B1481+(ArtifactsInput!$M$24-ArtifactsInput!$M$24)*CHOOSE(ArtifactsInput!$N$24+1,10,12,14,16,18,20)+(IF(AND(Inputs!$B$39&lt;&gt;"pvp",Inputs!$B$44=0),1,IF(IF(Inputs!$B$39="pvp",15,Inputs!$B$44)-(B1492)&lt;=0,1,MAX(0,IF(Inputs!$B$39="pvp",15,Inputs!$B$44)-MAX(5,B1492))/(IF(Inputs!$B$39="pvp",15,Inputs!$B$44)-(B1492))))*IF(AND(ArtifactsInput!$M$42,((Inputs!$B$9+((C1473=TRUE)*(F1473-Calc!F26))+B1481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449">
        <f>(1-Summary!$B$11)*T1449+Summary!$B$11*V1449</f>
        <v/>
      </c>
      <c r="P1449">
        <f>IF(B1493=0,0,O1449/B1493)</f>
        <v/>
      </c>
      <c r="Q1449" t="n">
        <v>0</v>
      </c>
      <c r="R1449" t="n">
        <v>0</v>
      </c>
      <c r="S1449">
        <f>IFERROR(O1449/N1449,0)</f>
        <v/>
      </c>
      <c r="T1449">
        <f>IF(C1449,(Skills!G2*N1449*B1487)*IF(Inputs!$B$39="pvp",1,1+(Inputs!$B$20+0+Skills!P2+B1482+(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Hunt"),CHOOSE(ArtifactsInput!$N$35+1,15,18,21,24,27,30)*(1-EXP(-(0.2*B1485)*5)),0)+IF(AND(ArtifactsInput!$M$22,Inputs!$B$4&lt;&gt;"Chapter Hunt"),CHOOSE(ArtifactsInput!$N$22+1,10,12,14,16,18,20)*((0*(((0.15*B1485*5))^0/1)+1*(((0.15*B1485*5))^1/1)+2*(((0.15*B1485*5))^2/2)+3*(((0.15*B1485*5))^3/6)+4*(((0.15*B1485*5))^4/24)+5*(((0.15*B1485*5))^5/120))/((((0.15*B1485*5))^0/1)+(((0.15*B1485*5))^1/1)+(((0.15*B1485*5))^2/2)+(((0.15*B1485*5))^3/6)+(((0.15*B1485*5))^4/24)+(((0.15*B1485*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1449*(1-MIN(100,(Inputs!$B$9+((C1473=TRUE)*(F1473-Calc!F26))+B1481+(ArtifactsInput!$M$24-ArtifactsInput!$M$24)*CHOOSE(ArtifactsInput!$N$24+1,10,12,14,16,18,20)+(IF(AND(Inputs!$B$39&lt;&gt;"pvp",Inputs!$B$44=0),1,IF(IF(Inputs!$B$39="pvp",15,Inputs!$B$44)-(B1492)&lt;=0,1,MAX(0,IF(Inputs!$B$39="pvp",15,Inputs!$B$44)-MAX(5,B1492))/(IF(Inputs!$B$39="pvp",15,Inputs!$B$44)-(B1492))))*IF(AND(ArtifactsInput!$M$42,((Inputs!$B$9+((C1473=TRUE)*(F1473-Calc!F26))+B1481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1449*(MIN(100,(Inputs!$B$9+((C1473=TRUE)*(F1473-Calc!F26))+B1481+(ArtifactsInput!$M$24-ArtifactsInput!$M$24)*CHOOSE(ArtifactsInput!$N$24+1,10,12,14,16,18,20)+(IF(AND(Inputs!$B$39&lt;&gt;"pvp",Inputs!$B$44=0),1,IF(IF(Inputs!$B$39="pvp",15,Inputs!$B$44)-(B1492)&lt;=0,1,MAX(0,IF(Inputs!$B$39="pvp",15,Inputs!$B$44)-MAX(5,B1492))/(IF(Inputs!$B$39="pvp",15,Inputs!$B$44)-(B1492))))*IF(AND(ArtifactsInput!$M$42,((Inputs!$B$9+((C1473=TRUE)*(F1473-Calc!F26))+B1481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1449*(1-MIN(100,(Inputs!$B$9+((C1473=TRUE)*(F1473-Calc!F26))+B1481+(ArtifactsInput!$M$24-ArtifactsInput!$M$24)*CHOOSE(ArtifactsInput!$N$24+1,10,12,14,16,18,20)+(IF(AND(Inputs!$B$39&lt;&gt;"pvp",Inputs!$B$44=0),1,IF(IF(Inputs!$B$39="pvp",15,Inputs!$B$44)-(B1492)&lt;=0,1,MAX(0,IF(Inputs!$B$39="pvp",15,Inputs!$B$44)-MAX(5,B1492))/(IF(Inputs!$B$39="pvp",15,Inputs!$B$44)-(B1492))))*IF(AND(ArtifactsInput!$M$42,((Inputs!$B$9+((C1473=TRUE)*(F1473-Calc!F26))+B1481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1449*(MIN(100,(Inputs!$B$9+((C1473=TRUE)*(F1473-Calc!F26))+B1481+(ArtifactsInput!$M$24-ArtifactsInput!$M$24)*CHOOSE(ArtifactsInput!$N$24+1,10,12,14,16,18,20)+(IF(AND(Inputs!$B$39&lt;&gt;"pvp",Inputs!$B$44=0),1,IF(IF(Inputs!$B$39="pvp",15,Inputs!$B$44)-(B1492)&lt;=0,1,MAX(0,IF(Inputs!$B$39="pvp",15,Inputs!$B$44)-MAX(5,B1492))/(IF(Inputs!$B$39="pvp",15,Inputs!$B$44)-(B1492))))*IF(AND(ArtifactsInput!$M$42,((Inputs!$B$9+((C1473=TRUE)*(F1473-Calc!F26))+B1481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1449">
        <f>MAX(0,(Inputs!$B$3-100)*3)+Inputs!$B$28+Inputs!$B$29</f>
        <v/>
      </c>
      <c r="V1449">
        <f>IF(C1449,(Skills!G2*N1449*B1487)*IF(Inputs!$B$39="pvp",1,(1+(Inputs!$B$21+Skills!Q2+B1482+(IF(ArtifactsInput!$M$33,CHOOSE(ArtifactsInput!$N$33+1,30,36,42,48,54,60),0))+(IF(AND(ArtifactsInput!$M$35,Inputs!$B$4&lt;&gt;"Chapter Hunt"),CHOOSE(ArtifactsInput!$N$35+1,15,18,21,24,27,30)*(1-EXP(-(0.2*B1485)*5)),0)+IF(AND(ArtifactsInput!$M$22,Inputs!$B$4&lt;&gt;"Chapter Hunt"),CHOOSE(ArtifactsInput!$N$22+1,10,12,14,16,18,20)*((0*(((0.15*B1485*5))^0/1)+1*(((0.15*B1485*5))^1/1)+2*(((0.15*B1485*5))^2/2)+3*(((0.15*B1485*5))^3/6)+4*(((0.15*B1485*5))^4/24)+5*(((0.15*B1485*5))^5/120))/((((0.15*B1485*5))^0/1)+(((0.15*B1485*5))^1/1)+(((0.15*B1485*5))^2/2)+(((0.15*B1485*5))^3/6)+(((0.15*B1485*5))^4/24)+(((0.15*B1485*5))^5/120))),0)))/100)*(MIN((6+Inputs!$B$33),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450">
      <c r="A1450">
        <f>Skills!A3</f>
        <v/>
      </c>
      <c r="B1450">
        <f>Skills!B3</f>
        <v/>
      </c>
      <c r="C1450">
        <f>Inputs!$B$3&gt;=35</f>
        <v/>
      </c>
      <c r="D1450">
        <f>IF(Skills!C3=1,60+Inputs!$B$25+Inputs!$B$29,IF(Skills!C3=2,90+Inputs!$B$26+Inputs!$B$29,IF(Skills!C3=3,120+Inputs!$B$27+Inputs!$B$29,MAX(0,(Inputs!$B$3-100)*3)+Inputs!$B$28+Inputs!$B$29)))</f>
        <v/>
      </c>
      <c r="E1450">
        <f>INDEX(FactorTable!$B$2:$Y$301, MATCH(ROUND(MIN(300,MAX(1,D1450)),0), FactorTable!$A$2:$A$301,0), Skills!M3+1)</f>
        <v/>
      </c>
      <c r="F1450">
        <f>IF(Skills!N3=TRUE,(Skills!L3/10)*(E1450/1000),Skills!L3/10)+Skills!O3</f>
        <v/>
      </c>
      <c r="G1450">
        <f>Skills!G3*IF(Skills!H3&gt;0,IF(Inputs!$B$39="pvp",MIN(Skills!I3,15),Skills!I3)/Skills!H3,1)</f>
        <v/>
      </c>
      <c r="H1450">
        <f>1-(1-Skills!J3/100)^Skills!K3</f>
        <v/>
      </c>
      <c r="I1450" t="inlineStr">
        <is>
          <t>1</t>
        </is>
      </c>
      <c r="J1450" t="inlineStr"/>
      <c r="K1450" t="inlineStr"/>
      <c r="L1450" t="inlineStr"/>
      <c r="M1450" t="inlineStr"/>
      <c r="N1450" t="inlineStr"/>
      <c r="O1450">
        <f>(1-Summary!$B$11)*T1450+Summary!$B$11*V1450</f>
        <v/>
      </c>
      <c r="P1450">
        <f>IF(B1493=0,0,O1450/B1493)</f>
        <v/>
      </c>
      <c r="Q1450" t="n">
        <v>0</v>
      </c>
      <c r="R1450" t="n">
        <v>0</v>
      </c>
      <c r="S1450">
        <f>IFERROR(O1450/N1450,0)</f>
        <v/>
      </c>
      <c r="T1450" t="n">
        <v>0</v>
      </c>
      <c r="U1450">
        <f>INDEX(FactorTable!$B$2:$Y$301, MATCH(ROUND(MIN(300,MAX(1,U1449)),0), FactorTable!$A$2:$A$301,0), 22)</f>
        <v/>
      </c>
      <c r="V1450" t="n">
        <v>0</v>
      </c>
    </row>
    <row r="1451">
      <c r="A1451">
        <f>Skills!A4</f>
        <v/>
      </c>
      <c r="B1451">
        <f>Skills!B4</f>
        <v/>
      </c>
      <c r="C1451">
        <f>Inputs!$B$3&gt;=66</f>
        <v/>
      </c>
      <c r="D1451">
        <f>IF(Skills!C4=1,60+Inputs!$B$25+Inputs!$B$29,IF(Skills!C4=2,90+Inputs!$B$26+Inputs!$B$29,IF(Skills!C4=3,120+Inputs!$B$27+Inputs!$B$29,MAX(0,(Inputs!$B$3-100)*3)+Inputs!$B$28+Inputs!$B$29)))</f>
        <v/>
      </c>
      <c r="E1451">
        <f>INDEX(FactorTable!$B$2:$Y$301, MATCH(ROUND(MIN(300,MAX(1,D1451)),0), FactorTable!$A$2:$A$301,0), Skills!M4+1)</f>
        <v/>
      </c>
      <c r="F1451">
        <f>IF(Skills!N4=TRUE,(Skills!L4/10)*(E1451/1000),Skills!L4/10)+Skills!O4</f>
        <v/>
      </c>
      <c r="G1451">
        <f>Skills!G4*IF(Skills!H4&gt;0,IF(Inputs!$B$39="pvp",MIN(Skills!I4,15),Skills!I4)/Skills!H4,1)</f>
        <v/>
      </c>
      <c r="H1451">
        <f>1-(1-Skills!J4/100)^Skills!K4</f>
        <v/>
      </c>
      <c r="I1451" t="inlineStr">
        <is>
          <t>1</t>
        </is>
      </c>
      <c r="J1451">
        <f>((Inputs!$B$6*(1+Inputs!$B$7/100))+(((Inputs!$B$12*(1+Inputs!$B$13/100))-(Inputs!$B$12*(1+Inputs!$B$13/100)))+0.25*(Inputs!$B$14-Inputs!$B$14))*(1+Inputs!$B$7/100))*(F1451/100)</f>
        <v/>
      </c>
      <c r="K1451">
        <f>J1451*(1+((Inputs!$B$12*(1+Inputs!$B$13/100))*0.01+Inputs!$B$14*0.0025)/100)*(1+Inputs!$B$15/100)*(1+Inputs!$B$16/100)*(5000/(6000+Inputs!$B$43*(1-(100*(1-(1-Inputs!$B$19/100)*(1-CHOOSE(ArtifactsInput!$N$40+1,5,6,7,8,9,10)/100)^(ArtifactsInput!$M$40-ArtifactsInput!$M$40)))/100)))*(1+(Inputs!$B$24+((C1478=TRUE)*(F1478-Calc!F31))+((C1465=TRUE)*(F1465-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4="CRUEL_STAB",Inputs!$B$17+((C1475=TRUE)*(F1475-Calc!F28))+((IF(AND(Inputs!$B$39&lt;&gt;"pvp",Inputs!$B$44=0),1,IF(IF(Inputs!$B$39="pvp",15,Inputs!$B$44)-(B1492)&lt;=0,1,MAX(0,IF(Inputs!$B$39="pvp",15,Inputs!$B$44)-MAX(5,B1492))/(IF(Inputs!$B$39="pvp",15,Inputs!$B$44)-(B1492))))*(IF(AND(ArtifactsInput!$M$42,((Inputs!$B$9+((C1473=TRUE)*(F1473-Calc!F26))+B1481+(ArtifactsInput!$M$24-ArtifactsInput!$M$24)*CHOOSE(ArtifactsInput!$N$24+1,10,12,14,16,18,20)+IF(ArtifactsInput!$M$10,CHOOSE(ArtifactsInput!$N$10+1,15,18,21,24,27,30)*(IF(Inputs!$B$39="pvp",MIN(15,15)/15,IF(AND(Inputs!$B$39&lt;&gt;"pvp",Inputs!$B$44&gt;0),MIN(15,Inputs!$B$44)/(Inputs!$B$44),0))),0)))&gt;=100),MIN(100,((Inputs!$B$9+((C1473=TRUE)*(F1473-Calc!F26))+B1481+(ArtifactsInput!$M$24-ArtifactsInput!$M$24)*CHOOSE(ArtifactsInput!$N$24+1,10,12,14,16,18,20)+IF(ArtifactsInput!$M$10,CHOOSE(ArtifactsInput!$N$10+1,15,18,21,24,27,30)*(IF(Inputs!$B$39="pvp",MIN(15,15)/15,IF(AND(Inputs!$B$39&lt;&gt;"pvp",Inputs!$B$44&gt;0),MIN(15,Inputs!$B$44)/(Inputs!$B$44),0))),0)))-100),0))*CHOOSE(ArtifactsInput!$N$42+1,0.6,0.72,0.84,0.96,1.08,1.2))),Inputs!$B$18+((C1476=TRUE)*(F1476-Calc!F29))+(IF(AND(Inputs!$B$39&lt;&gt;"pvp",Inputs!$B$44=0),1,IF(IF(Inputs!$B$39="pvp",15,Inputs!$B$44)-(B1492)&lt;=0,1,MAX(0,IF(Inputs!$B$39="pvp",15,Inputs!$B$44)-MAX(5,B1492))/(IF(Inputs!$B$39="pvp",15,Inputs!$B$44)-(B1492))))*IF(AND(ArtifactsInput!$M$42,((Inputs!$B$9+((C1473=TRUE)*(F1473-Calc!F26))+B1481+(ArtifactsInput!$M$24-ArtifactsInput!$M$24)*CHOOSE(ArtifactsInput!$N$24+1,10,12,14,16,18,20)+IF(ArtifactsInput!$M$10,CHOOSE(ArtifactsInput!$N$10+1,15,18,21,24,27,30)*(IF(Inputs!$B$39="pvp",MIN(15,15)/15,IF(AND(Inputs!$B$39&lt;&gt;"pvp",Inputs!$B$44&gt;0),MIN(15,Inputs!$B$44)/(Inputs!$B$44),0))),0)))&gt;=100),CHOOSE(ArtifactsInput!$N$42+1,40,48,56,64,72,80),0))))/100)*(((1+(((C1469=TRUE)*F1469*IF(AND(Inputs!$B$39&lt;&gt;"pvp",Inputs!$B$44&gt;0),(((R1469-1)*MIN((Skills!Y22*(1+Inputs!$B$34/100)),(1/Q1469))+MIN((Skills!Y22*(1+Inputs!$B$34/100)),MAX(0,Inputs!$B$44-((R1469-1)*(1/Q1469)))))/Inputs!$B$44),IF(Inputs!$B$39="pvp",MIN((Skills!Y22*(1+Inputs!$B$34/100)),15)/15,MIN(1,(Skills!Y22*(1+Inputs!$B$34/100))/(1/Q1469)))))+((C1450=TRUE)*F1450*3)+((C1452=TRUE)*F1452*(1-EXP(-0.75*B1485*5)))+((C1471=TRUE)*(F1471-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IF(ArtifactsInput!$M$5,FALSE,TRUE),CHOOSE(ArtifactsInput!$N$5+1,10,12,14,16,18,20)*(IF(AND(Inputs!$B$39&lt;&gt;"pvp",Inputs!$B$44=0),0.5,(5*INT(MAX(0,IF(Inputs!$B$39="pvp",15,Inputs!$B$44)-10)/10)+MIN((MAX(0,IF(Inputs!$B$39="pvp",15,Inputs!$B$44)-10)-10*INT(MAX(0,IF(Inputs!$B$39="pvp",15,Inputs!$B$44)-10)/10)),5))/IF(Inputs!$B$39="pvp",15,Inputs!$B$44))),0)))/100)*(1+((C1458=TRUE)*F1458*IF(AND(Inputs!$B$39&lt;&gt;"pvp",Inputs!$B$44&gt;0),(((R1458-1)*MIN((Skills!Y11*(1+Inputs!$B$34/100)),(1/Q1458))+MIN((Skills!Y11*(1+Inputs!$B$34/100)),MAX(0,Inputs!$B$44-((R1458-1)*(1/Q1458)))))/Inputs!$B$44),IF(Inputs!$B$39="pvp",MIN((Skills!Y11*(1+Inputs!$B$34/100)),15)/15,MIN(1,(Skills!Y11*(1+Inputs!$B$34/100))/(1/Q1458)))))/100)*(1+((C1463=TRUE)*F1463*IF(AND(Inputs!$B$39&lt;&gt;"pvp",Inputs!$B$44&gt;0),(((R1463-1)*MIN((Skills!Y16*(1+Inputs!$B$34/100)),(1/Q1463))+MIN((Skills!Y16*(1+Inputs!$B$34/100)),MAX(0,Inputs!$B$44-((R1463-1)*(1/Q1463)))))/Inputs!$B$44),IF(Inputs!$B$39="pvp",MIN((Skills!Y16*(1+Inputs!$B$34/100)),15)/15,MIN(1,(Skills!Y16*(1+Inputs!$B$34/100))/(1/Q1463)))))/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1483*I1451)</f>
        <v/>
      </c>
      <c r="L1451">
        <f>K1451*(MIN(Inputs!$B$22+((C1472=TRUE)*(F1472-Calc!F25)),(Inputs!$B$23+((C1477=TRUE)*(F1477-Calc!F30))+IF(ArtifactsInput!$M$15,CHOOSE(ArtifactsInput!$N$15+1,25,30,35,40,45,50)/100*(Inputs!$B$11-Inputs!$B$11),0)))/100+(Inputs!$B$23+((C1477=TRUE)*(F1477-Calc!F30))+IF(ArtifactsInput!$M$15,CHOOSE(ArtifactsInput!$N$15+1,25,30,35,40,45,50)/100*(Inputs!$B$11-Inputs!$B$11),0))/100)/2</f>
        <v/>
      </c>
      <c r="M1451">
        <f>L1451*(1+(Inputs!$B$10+((C1474=TRUE)*(F1474-Calc!F27))+B1488+(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1451">
        <f>L1451*(1-MIN((Inputs!$B$9+((C1473=TRUE)*(F1473-Calc!F26))+B1481+(ArtifactsInput!$M$24-ArtifactsInput!$M$24)*CHOOSE(ArtifactsInput!$N$24+1,10,12,14,16,18,20)+(IF(AND(Inputs!$B$39&lt;&gt;"pvp",Inputs!$B$44=0),1,IF(IF(Inputs!$B$39="pvp",15,Inputs!$B$44)-(B1492)&lt;=0,1,MAX(0,IF(Inputs!$B$39="pvp",15,Inputs!$B$44)-MAX(5,B1492))/(IF(Inputs!$B$39="pvp",15,Inputs!$B$44)-(B1492))))*IF(AND(ArtifactsInput!$M$42,((Inputs!$B$9+((C1473=TRUE)*(F1473-Calc!F26))+B1481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1451*(MIN((Inputs!$B$9+((C1473=TRUE)*(F1473-Calc!F26))+B1481+(ArtifactsInput!$M$24-ArtifactsInput!$M$24)*CHOOSE(ArtifactsInput!$N$24+1,10,12,14,16,18,20)+(IF(AND(Inputs!$B$39&lt;&gt;"pvp",Inputs!$B$44=0),1,IF(IF(Inputs!$B$39="pvp",15,Inputs!$B$44)-(B1492)&lt;=0,1,MAX(0,IF(Inputs!$B$39="pvp",15,Inputs!$B$44)-MAX(5,B1492))/(IF(Inputs!$B$39="pvp",15,Inputs!$B$44)-(B1492))))*IF(AND(ArtifactsInput!$M$42,((Inputs!$B$9+((C1473=TRUE)*(F1473-Calc!F26))+B1481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451">
        <f>(1-Summary!$B$11)*T1451+Summary!$B$11*V1451</f>
        <v/>
      </c>
      <c r="P1451">
        <f>IF(B1493=0,0,O1451/B1493)</f>
        <v/>
      </c>
      <c r="Q1451">
        <f>IFERROR(1/IF(Inputs!$B$39="pvp",15,MAX(0.1,Skills!D4-IF(TRUE=TRUE,Inputs!$B$32,0))),0)</f>
        <v/>
      </c>
      <c r="R1451">
        <f>IF(AND(Inputs!$B$39&lt;&gt;"pvp",Inputs!$B$44&gt;0),IF(MAX(0,Inputs!$B$44-B1492)&lt;=0,0,(INT(MAX(0,Inputs!$B$44-B1492)/IF(Inputs!$B$39="pvp",15,MAX(0.1,Skills!D4-IF(TRUE=TRUE,Inputs!$B$32,0))))+1)),0)</f>
        <v/>
      </c>
      <c r="S1451">
        <f>IFERROR(O1451/N1451,0)</f>
        <v/>
      </c>
      <c r="T1451">
        <f>IF(C1451,(H1451*N1451*IF(AND(Inputs!$B$39&lt;&gt;"pvp",Inputs!$B$44&gt;0),((Skills!G4*((R1451-1)*IF(Skills!H4&gt;0,Skills!I4/Skills!H4,1)+IF(Skills!H4&gt;0,MIN(Skills!I4,MAX(0,MAX(0,Inputs!$B$44-B1492)-((R1451-1)*IF(Inputs!$B$39="pvp",15,MAX(0.1,Skills!D4-IF(TRUE=TRUE,Inputs!$B$32,0))))))/Skills!H4,1)))/Inputs!$B$44),G1451*Q1451))*IF(Inputs!$B$39="pvp",1,1+(Inputs!$B$20+0+Skills!P4+B1482+(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Hunt"),CHOOSE(ArtifactsInput!$N$35+1,15,18,21,24,27,30)*(1-EXP(-(0.2*B1485)*5)),0)+IF(AND(ArtifactsInput!$M$22,Inputs!$B$4&lt;&gt;"Chapter Hunt"),CHOOSE(ArtifactsInput!$N$22+1,10,12,14,16,18,20)*((0*(((0.15*B1485*5))^0/1)+1*(((0.15*B1485*5))^1/1)+2*(((0.15*B1485*5))^2/2)+3*(((0.15*B1485*5))^3/6)+4*(((0.15*B1485*5))^4/24)+5*(((0.15*B1485*5))^5/120))/((((0.15*B1485*5))^0/1)+(((0.15*B1485*5))^1/1)+(((0.15*B1485*5))^2/2)+(((0.15*B1485*5))^3/6)+(((0.15*B1485*5))^4/24)+(((0.15*B1485*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1451*(1-MIN(100,(Inputs!$B$9+((C1473=TRUE)*(F1473-Calc!F26))+B1481+(ArtifactsInput!$M$24-ArtifactsInput!$M$24)*CHOOSE(ArtifactsInput!$N$24+1,10,12,14,16,18,20)+(IF(AND(Inputs!$B$39&lt;&gt;"pvp",Inputs!$B$44=0),1,IF(IF(Inputs!$B$39="pvp",15,Inputs!$B$44)-(B1492)&lt;=0,1,MAX(0,IF(Inputs!$B$39="pvp",15,Inputs!$B$44)-MAX(5,B1492))/(IF(Inputs!$B$39="pvp",15,Inputs!$B$44)-(B1492))))*IF(AND(ArtifactsInput!$M$42,((Inputs!$B$9+((C1473=TRUE)*(F1473-Calc!F26))+B1481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1451*(MIN(100,(Inputs!$B$9+((C1473=TRUE)*(F1473-Calc!F26))+B1481+(ArtifactsInput!$M$24-ArtifactsInput!$M$24)*CHOOSE(ArtifactsInput!$N$24+1,10,12,14,16,18,20)+(IF(AND(Inputs!$B$39&lt;&gt;"pvp",Inputs!$B$44=0),1,IF(IF(Inputs!$B$39="pvp",15,Inputs!$B$44)-(B1492)&lt;=0,1,MAX(0,IF(Inputs!$B$39="pvp",15,Inputs!$B$44)-MAX(5,B1492))/(IF(Inputs!$B$39="pvp",15,Inputs!$B$44)-(B1492))))*IF(AND(ArtifactsInput!$M$42,((Inputs!$B$9+((C1473=TRUE)*(F1473-Calc!F26))+B1481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1451*(1-MIN(100,(Inputs!$B$9+((C1473=TRUE)*(F1473-Calc!F26))+B1481+(ArtifactsInput!$M$24-ArtifactsInput!$M$24)*CHOOSE(ArtifactsInput!$N$24+1,10,12,14,16,18,20)+(IF(AND(Inputs!$B$39&lt;&gt;"pvp",Inputs!$B$44=0),1,IF(IF(Inputs!$B$39="pvp",15,Inputs!$B$44)-(B1492)&lt;=0,1,MAX(0,IF(Inputs!$B$39="pvp",15,Inputs!$B$44)-MAX(5,B1492))/(IF(Inputs!$B$39="pvp",15,Inputs!$B$44)-(B1492))))*IF(AND(ArtifactsInput!$M$42,((Inputs!$B$9+((C1473=TRUE)*(F1473-Calc!F26))+B1481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1451*(MIN(100,(Inputs!$B$9+((C1473=TRUE)*(F1473-Calc!F26))+B1481+(ArtifactsInput!$M$24-ArtifactsInput!$M$24)*CHOOSE(ArtifactsInput!$N$24+1,10,12,14,16,18,20)+(IF(AND(Inputs!$B$39&lt;&gt;"pvp",Inputs!$B$44=0),1,IF(IF(Inputs!$B$39="pvp",15,Inputs!$B$44)-(B1492)&lt;=0,1,MAX(0,IF(Inputs!$B$39="pvp",15,Inputs!$B$44)-MAX(5,B1492))/(IF(Inputs!$B$39="pvp",15,Inputs!$B$44)-(B1492))))*IF(AND(ArtifactsInput!$M$42,((Inputs!$B$9+((C1473=TRUE)*(F1473-Calc!F26))+B1481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1451">
        <f>290*U1450/1000</f>
        <v/>
      </c>
      <c r="V1451">
        <f>IF(C1451,(H1451*N1451*IF(AND(Inputs!$B$39&lt;&gt;"pvp",Inputs!$B$44&gt;0),((Skills!G4*((R1451-1)*IF(Skills!H4&gt;0,Skills!I4/Skills!H4,1)+IF(Skills!H4&gt;0,MIN(Skills!I4,MAX(0,MAX(0,Inputs!$B$44-B1492)-((R1451-1)*IF(Inputs!$B$39="pvp",15,MAX(0.1,Skills!D4-IF(TRUE=TRUE,Inputs!$B$32,0))))))/Skills!H4,1)))/Inputs!$B$44),G1451*Q1451))*IF(Inputs!$B$39="pvp",1,(1+(Inputs!$B$21+Skills!Q4+B1482+(IF(ArtifactsInput!$M$33,CHOOSE(ArtifactsInput!$N$33+1,30,36,42,48,54,60),0))+(IF(AND(ArtifactsInput!$M$35,Inputs!$B$4&lt;&gt;"Chapter Hunt"),CHOOSE(ArtifactsInput!$N$35+1,15,18,21,24,27,30)*(1-EXP(-(0.2*B1485)*5)),0)+IF(AND(ArtifactsInput!$M$22,Inputs!$B$4&lt;&gt;"Chapter Hunt"),CHOOSE(ArtifactsInput!$N$22+1,10,12,14,16,18,20)*((0*(((0.15*B1485*5))^0/1)+1*(((0.15*B1485*5))^1/1)+2*(((0.15*B1485*5))^2/2)+3*(((0.15*B1485*5))^3/6)+4*(((0.15*B1485*5))^4/24)+5*(((0.15*B1485*5))^5/120))/((((0.15*B1485*5))^0/1)+(((0.15*B1485*5))^1/1)+(((0.15*B1485*5))^2/2)+(((0.15*B1485*5))^3/6)+(((0.15*B1485*5))^4/24)+(((0.15*B1485*5))^5/120))),0)))/100)*(MIN(MIN(10,IF(Inputs!$B$3&gt;=75,0.75,0.5)*B1485*(1/Q1451)),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452">
      <c r="A1452">
        <f>Skills!A5</f>
        <v/>
      </c>
      <c r="B1452">
        <f>Skills!B5</f>
        <v/>
      </c>
      <c r="C1452">
        <f>Inputs!$B$3&gt;=75</f>
        <v/>
      </c>
      <c r="D1452">
        <f>IF(Skills!C5=1,60+Inputs!$B$25+Inputs!$B$29,IF(Skills!C5=2,90+Inputs!$B$26+Inputs!$B$29,IF(Skills!C5=3,120+Inputs!$B$27+Inputs!$B$29,MAX(0,(Inputs!$B$3-100)*3)+Inputs!$B$28+Inputs!$B$29)))</f>
        <v/>
      </c>
      <c r="E1452">
        <f>INDEX(FactorTable!$B$2:$Y$301, MATCH(ROUND(MIN(300,MAX(1,D1452)),0), FactorTable!$A$2:$A$301,0), Skills!M5+1)</f>
        <v/>
      </c>
      <c r="F1452">
        <f>IF(Skills!N5=TRUE,(Skills!L5/10)*(E1452/1000),Skills!L5/10)+Skills!O5</f>
        <v/>
      </c>
      <c r="G1452">
        <f>Skills!G5*IF(Skills!H5&gt;0,IF(Inputs!$B$39="pvp",MIN(Skills!I5,15),Skills!I5)/Skills!H5,1)</f>
        <v/>
      </c>
      <c r="H1452">
        <f>1-(1-Skills!J5/100)^Skills!K5</f>
        <v/>
      </c>
      <c r="I1452" t="inlineStr">
        <is>
          <t>1</t>
        </is>
      </c>
      <c r="J1452" t="inlineStr"/>
      <c r="K1452" t="inlineStr"/>
      <c r="L1452" t="inlineStr"/>
      <c r="M1452" t="inlineStr"/>
      <c r="N1452" t="inlineStr"/>
      <c r="O1452">
        <f>(1-Summary!$B$11)*T1452+Summary!$B$11*V1452</f>
        <v/>
      </c>
      <c r="P1452">
        <f>IF(B1493=0,0,O1452/B1493)</f>
        <v/>
      </c>
      <c r="Q1452" t="n">
        <v>0</v>
      </c>
      <c r="R1452" t="n">
        <v>0</v>
      </c>
      <c r="S1452">
        <f>IFERROR(O1452/N1452,0)</f>
        <v/>
      </c>
      <c r="T1452" t="n">
        <v>0</v>
      </c>
      <c r="V1452" t="n">
        <v>0</v>
      </c>
    </row>
    <row r="1453">
      <c r="A1453">
        <f>Skills!A6</f>
        <v/>
      </c>
      <c r="B1453">
        <f>Skills!B6</f>
        <v/>
      </c>
      <c r="C1453">
        <f>Inputs!$B$3&gt;=63</f>
        <v/>
      </c>
      <c r="D1453">
        <f>IF(Skills!C6=1,60+Inputs!$B$25+Inputs!$B$29,IF(Skills!C6=2,90+Inputs!$B$26+Inputs!$B$29,IF(Skills!C6=3,120+Inputs!$B$27+Inputs!$B$29,MAX(0,(Inputs!$B$3-100)*3)+Inputs!$B$28+Inputs!$B$29)))</f>
        <v/>
      </c>
      <c r="E1453">
        <f>INDEX(FactorTable!$B$2:$Y$301, MATCH(ROUND(MIN(300,MAX(1,D1453)),0), FactorTable!$A$2:$A$301,0), Skills!M6+1)</f>
        <v/>
      </c>
      <c r="F1453">
        <f>IF(Skills!N6=TRUE,(Skills!L6/10)*(E1453/1000),Skills!L6/10)+Skills!O6</f>
        <v/>
      </c>
      <c r="G1453">
        <f>Skills!G6*IF(Skills!H6&gt;0,IF(Inputs!$B$39="pvp",MIN(Skills!I6,15),Skills!I6)/Skills!H6,1)</f>
        <v/>
      </c>
      <c r="H1453">
        <f>1-(1-Skills!J6/100)^Skills!K6</f>
        <v/>
      </c>
      <c r="I1453" t="inlineStr">
        <is>
          <t>1</t>
        </is>
      </c>
      <c r="J1453">
        <f>((Inputs!$B$6*(1+Inputs!$B$7/100))+(((Inputs!$B$12*(1+Inputs!$B$13/100))-(Inputs!$B$12*(1+Inputs!$B$13/100)))+0.25*(Inputs!$B$14-Inputs!$B$14))*(1+Inputs!$B$7/100))*(F1453/100)</f>
        <v/>
      </c>
      <c r="K1453">
        <f>J1453*(1+((Inputs!$B$12*(1+Inputs!$B$13/100))*0.01+Inputs!$B$14*0.0025)/100)*(1+Inputs!$B$15/100)*(1+Inputs!$B$16/100)*(5000/(6000+Inputs!$B$43*(1-(100*(1-(1-Inputs!$B$19/100)*(1-CHOOSE(ArtifactsInput!$N$40+1,5,6,7,8,9,10)/100)^(ArtifactsInput!$M$40-ArtifactsInput!$M$40)))/100)))*(1+(Inputs!$B$24+((C1478=TRUE)*(F1478-Calc!F31))+((C1465=TRUE)*(F1465-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+2.6666666666666665*IF(C1466=TRUE,F1466,0)/100)*(1+(IF(Skills!A6="CRUEL_STAB",Inputs!$B$17+((C1475=TRUE)*(F1475-Calc!F28))+((IF(AND(Inputs!$B$39&lt;&gt;"pvp",Inputs!$B$44=0),1,IF(IF(Inputs!$B$39="pvp",15,Inputs!$B$44)-(B1492)&lt;=0,1,MAX(0,IF(Inputs!$B$39="pvp",15,Inputs!$B$44)-MAX(5,B1492))/(IF(Inputs!$B$39="pvp",15,Inputs!$B$44)-(B1492))))*(IF(AND(ArtifactsInput!$M$42,((Inputs!$B$9+((C1473=TRUE)*(F1473-Calc!F26))+B1481+(ArtifactsInput!$M$24-ArtifactsInput!$M$24)*CHOOSE(ArtifactsInput!$N$24+1,10,12,14,16,18,20)+IF(ArtifactsInput!$M$10,CHOOSE(ArtifactsInput!$N$10+1,15,18,21,24,27,30)*(IF(Inputs!$B$39="pvp",MIN(15,15)/15,IF(AND(Inputs!$B$39&lt;&gt;"pvp",Inputs!$B$44&gt;0),MIN(15,Inputs!$B$44)/(Inputs!$B$44),0))),0)))&gt;=100),MIN(100,((Inputs!$B$9+((C1473=TRUE)*(F1473-Calc!F26))+B1481+(ArtifactsInput!$M$24-ArtifactsInput!$M$24)*CHOOSE(ArtifactsInput!$N$24+1,10,12,14,16,18,20)+IF(ArtifactsInput!$M$10,CHOOSE(ArtifactsInput!$N$10+1,15,18,21,24,27,30)*(IF(Inputs!$B$39="pvp",MIN(15,15)/15,IF(AND(Inputs!$B$39&lt;&gt;"pvp",Inputs!$B$44&gt;0),MIN(15,Inputs!$B$44)/(Inputs!$B$44),0))),0)))-100),0))*CHOOSE(ArtifactsInput!$N$42+1,0.6,0.72,0.84,0.96,1.08,1.2))),Inputs!$B$18+((C1476=TRUE)*(F1476-Calc!F29))+(IF(AND(Inputs!$B$39&lt;&gt;"pvp",Inputs!$B$44=0),1,IF(IF(Inputs!$B$39="pvp",15,Inputs!$B$44)-(B1492)&lt;=0,1,MAX(0,IF(Inputs!$B$39="pvp",15,Inputs!$B$44)-MAX(5,B1492))/(IF(Inputs!$B$39="pvp",15,Inputs!$B$44)-(B1492))))*IF(AND(ArtifactsInput!$M$42,((Inputs!$B$9+((C1473=TRUE)*(F1473-Calc!F26))+B1481+(ArtifactsInput!$M$24-ArtifactsInput!$M$24)*CHOOSE(ArtifactsInput!$N$24+1,10,12,14,16,18,20)+IF(ArtifactsInput!$M$10,CHOOSE(ArtifactsInput!$N$10+1,15,18,21,24,27,30)*(IF(Inputs!$B$39="pvp",MIN(15,15)/15,IF(AND(Inputs!$B$39&lt;&gt;"pvp",Inputs!$B$44&gt;0),MIN(15,Inputs!$B$44)/(Inputs!$B$44),0))),0)))&gt;=100),CHOOSE(ArtifactsInput!$N$42+1,40,48,56,64,72,80),0))))/100)*(((1+(((C1469=TRUE)*F1469*IF(AND(Inputs!$B$39&lt;&gt;"pvp",Inputs!$B$44&gt;0),(((R1469-1)*MIN((Skills!Y22*(1+Inputs!$B$34/100)),(1/Q1469))+MIN((Skills!Y22*(1+Inputs!$B$34/100)),MAX(0,Inputs!$B$44-((R1469-1)*(1/Q1469)))))/Inputs!$B$44),IF(Inputs!$B$39="pvp",MIN((Skills!Y22*(1+Inputs!$B$34/100)),15)/15,MIN(1,(Skills!Y22*(1+Inputs!$B$34/100))/(1/Q1469)))))+((C1450=TRUE)*F1450*3)+((C1452=TRUE)*F1452*(1-EXP(-0.75*B1485*5)))+((C1471=TRUE)*(F1471-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IF(ArtifactsInput!$M$5,FALSE,TRUE),CHOOSE(ArtifactsInput!$N$5+1,10,12,14,16,18,20)*(IF(AND(Inputs!$B$39&lt;&gt;"pvp",Inputs!$B$44=0),0.5,(5*INT(MAX(0,IF(Inputs!$B$39="pvp",15,Inputs!$B$44)-10)/10)+MIN((MAX(0,IF(Inputs!$B$39="pvp",15,Inputs!$B$44)-10)-10*INT(MAX(0,IF(Inputs!$B$39="pvp",15,Inputs!$B$44)-10)/10)),5))/IF(Inputs!$B$39="pvp",15,Inputs!$B$44))),0)))/100)*(1+((C1458=TRUE)*F1458*IF(AND(Inputs!$B$39&lt;&gt;"pvp",Inputs!$B$44&gt;0),(((R1458-1)*MIN((Skills!Y11*(1+Inputs!$B$34/100)),(1/Q1458))+MIN((Skills!Y11*(1+Inputs!$B$34/100)),MAX(0,Inputs!$B$44-((R1458-1)*(1/Q1458)))))/Inputs!$B$44),IF(Inputs!$B$39="pvp",MIN((Skills!Y11*(1+Inputs!$B$34/100)),15)/15,MIN(1,(Skills!Y11*(1+Inputs!$B$34/100))/(1/Q1458)))))/100)*(1+((C1463=TRUE)*F1463*IF(AND(Inputs!$B$39&lt;&gt;"pvp",Inputs!$B$44&gt;0),(((R1463-1)*MIN((Skills!Y16*(1+Inputs!$B$34/100)),(1/Q1463))+MIN((Skills!Y16*(1+Inputs!$B$34/100)),MAX(0,Inputs!$B$44-((R1463-1)*(1/Q1463)))))/Inputs!$B$44),IF(Inputs!$B$39="pvp",MIN((Skills!Y16*(1+Inputs!$B$34/100)),15)/15,MIN(1,(Skills!Y16*(1+Inputs!$B$34/100))/(1/Q1463)))))/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1483*I1453)</f>
        <v/>
      </c>
      <c r="L1453">
        <f>K1453*(MIN(Inputs!$B$22+((C1472=TRUE)*(F1472-Calc!F25)),(Inputs!$B$23+((C1477=TRUE)*(F1477-Calc!F30))+IF(ArtifactsInput!$M$15,CHOOSE(ArtifactsInput!$N$15+1,25,30,35,40,45,50)/100*(Inputs!$B$11-Inputs!$B$11),0)))/100+(Inputs!$B$23+((C1477=TRUE)*(F1477-Calc!F30))+IF(ArtifactsInput!$M$15,CHOOSE(ArtifactsInput!$N$15+1,25,30,35,40,45,50)/100*(Inputs!$B$11-Inputs!$B$11),0))/100)/2</f>
        <v/>
      </c>
      <c r="M1453">
        <f>L1453*(1+(Inputs!$B$10+((C1474=TRUE)*(F1474-Calc!F27))+B1488+(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1453">
        <f>L1453*(1-MIN((Inputs!$B$9+((C1473=TRUE)*(F1473-Calc!F26))+B1481+(ArtifactsInput!$M$24-ArtifactsInput!$M$24)*CHOOSE(ArtifactsInput!$N$24+1,10,12,14,16,18,20)+(IF(AND(Inputs!$B$39&lt;&gt;"pvp",Inputs!$B$44=0),1,IF(IF(Inputs!$B$39="pvp",15,Inputs!$B$44)-(B1492)&lt;=0,1,MAX(0,IF(Inputs!$B$39="pvp",15,Inputs!$B$44)-MAX(5,B1492))/(IF(Inputs!$B$39="pvp",15,Inputs!$B$44)-(B1492))))*IF(AND(ArtifactsInput!$M$42,((Inputs!$B$9+((C1473=TRUE)*(F1473-Calc!F26))+B1481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1453*(MIN((Inputs!$B$9+((C1473=TRUE)*(F1473-Calc!F26))+B1481+(ArtifactsInput!$M$24-ArtifactsInput!$M$24)*CHOOSE(ArtifactsInput!$N$24+1,10,12,14,16,18,20)+(IF(AND(Inputs!$B$39&lt;&gt;"pvp",Inputs!$B$44=0),1,IF(IF(Inputs!$B$39="pvp",15,Inputs!$B$44)-(B1492)&lt;=0,1,MAX(0,IF(Inputs!$B$39="pvp",15,Inputs!$B$44)-MAX(5,B1492))/(IF(Inputs!$B$39="pvp",15,Inputs!$B$44)-(B1492))))*IF(AND(ArtifactsInput!$M$42,((Inputs!$B$9+((C1473=TRUE)*(F1473-Calc!F26))+B1481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453">
        <f>(1-Summary!$B$11)*T1453+Summary!$B$11*V1453</f>
        <v/>
      </c>
      <c r="P1453">
        <f>IF(B1493=0,0,O1453/B1493)</f>
        <v/>
      </c>
      <c r="Q1453">
        <f>IFERROR(1/IF(Inputs!$B$39="pvp",15,MAX(0.1,Skills!D6-IF(TRUE=TRUE,Inputs!$B$32,0))),0)</f>
        <v/>
      </c>
      <c r="R1453">
        <f>IF(AND(Inputs!$B$39&lt;&gt;"pvp",Inputs!$B$44&gt;0),IF(MAX(0,Inputs!$B$44-B1492)&lt;=0,0,(INT(MAX(0,Inputs!$B$44-B1492)/IF(Inputs!$B$39="pvp",15,MAX(0.1,Skills!D6-IF(TRUE=TRUE,Inputs!$B$32,0))))+1)),0)</f>
        <v/>
      </c>
      <c r="S1453">
        <f>IFERROR(O1453/N1453,0)</f>
        <v/>
      </c>
      <c r="T1453">
        <f>IF(C1453,(H1453*N1453*IF(AND(Inputs!$B$39&lt;&gt;"pvp",Inputs!$B$44&gt;0),((Skills!G6*((R1453-1)*IF(Skills!H6&gt;0,Skills!I6/Skills!H6,1)+IF(Skills!H6&gt;0,MIN(Skills!I6,MAX(0,MAX(0,Inputs!$B$44-B1492)-((R1453-1)*IF(Inputs!$B$39="pvp",15,MAX(0.1,Skills!D6-IF(TRUE=TRUE,Inputs!$B$32,0))))))/Skills!H6,1)))/Inputs!$B$44),G1453*Q1453))*IF(Inputs!$B$39="pvp",1,1+(Inputs!$B$20+0+Skills!P6+B1482+(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Hunt"),CHOOSE(ArtifactsInput!$N$35+1,15,18,21,24,27,30)*(1-EXP(-(0.2*B1485)*5)),0)+IF(AND(ArtifactsInput!$M$22,Inputs!$B$4&lt;&gt;"Chapter Hunt"),CHOOSE(ArtifactsInput!$N$22+1,10,12,14,16,18,20)*((0*(((0.15*B1485*5))^0/1)+1*(((0.15*B1485*5))^1/1)+2*(((0.15*B1485*5))^2/2)+3*(((0.15*B1485*5))^3/6)+4*(((0.15*B1485*5))^4/24)+5*(((0.15*B1485*5))^5/120))/((((0.15*B1485*5))^0/1)+(((0.15*B1485*5))^1/1)+(((0.15*B1485*5))^2/2)+(((0.15*B1485*5))^3/6)+(((0.15*B1485*5))^4/24)+(((0.15*B1485*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1453*(1-MIN(100,(Inputs!$B$9+((C1473=TRUE)*(F1473-Calc!F26))+B1481+(ArtifactsInput!$M$24-ArtifactsInput!$M$24)*CHOOSE(ArtifactsInput!$N$24+1,10,12,14,16,18,20)+(IF(AND(Inputs!$B$39&lt;&gt;"pvp",Inputs!$B$44=0),1,IF(IF(Inputs!$B$39="pvp",15,Inputs!$B$44)-(B1492)&lt;=0,1,MAX(0,IF(Inputs!$B$39="pvp",15,Inputs!$B$44)-MAX(5,B1492))/(IF(Inputs!$B$39="pvp",15,Inputs!$B$44)-(B1492))))*IF(AND(ArtifactsInput!$M$42,((Inputs!$B$9+((C1473=TRUE)*(F1473-Calc!F26))+B1481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1453*(MIN(100,(Inputs!$B$9+((C1473=TRUE)*(F1473-Calc!F26))+B1481+(ArtifactsInput!$M$24-ArtifactsInput!$M$24)*CHOOSE(ArtifactsInput!$N$24+1,10,12,14,16,18,20)+(IF(AND(Inputs!$B$39&lt;&gt;"pvp",Inputs!$B$44=0),1,IF(IF(Inputs!$B$39="pvp",15,Inputs!$B$44)-(B1492)&lt;=0,1,MAX(0,IF(Inputs!$B$39="pvp",15,Inputs!$B$44)-MAX(5,B1492))/(IF(Inputs!$B$39="pvp",15,Inputs!$B$44)-(B1492))))*IF(AND(ArtifactsInput!$M$42,((Inputs!$B$9+((C1473=TRUE)*(F1473-Calc!F26))+B1481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1453*(1-MIN(100,(Inputs!$B$9+((C1473=TRUE)*(F1473-Calc!F26))+B1481+(ArtifactsInput!$M$24-ArtifactsInput!$M$24)*CHOOSE(ArtifactsInput!$N$24+1,10,12,14,16,18,20)+(IF(AND(Inputs!$B$39&lt;&gt;"pvp",Inputs!$B$44=0),1,IF(IF(Inputs!$B$39="pvp",15,Inputs!$B$44)-(B1492)&lt;=0,1,MAX(0,IF(Inputs!$B$39="pvp",15,Inputs!$B$44)-MAX(5,B1492))/(IF(Inputs!$B$39="pvp",15,Inputs!$B$44)-(B1492))))*IF(AND(ArtifactsInput!$M$42,((Inputs!$B$9+((C1473=TRUE)*(F1473-Calc!F26))+B1481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1453*(MIN(100,(Inputs!$B$9+((C1473=TRUE)*(F1473-Calc!F26))+B1481+(ArtifactsInput!$M$24-ArtifactsInput!$M$24)*CHOOSE(ArtifactsInput!$N$24+1,10,12,14,16,18,20)+(IF(AND(Inputs!$B$39&lt;&gt;"pvp",Inputs!$B$44=0),1,IF(IF(Inputs!$B$39="pvp",15,Inputs!$B$44)-(B1492)&lt;=0,1,MAX(0,IF(Inputs!$B$39="pvp",15,Inputs!$B$44)-MAX(5,B1492))/(IF(Inputs!$B$39="pvp",15,Inputs!$B$44)-(B1492))))*IF(AND(ArtifactsInput!$M$42,((Inputs!$B$9+((C1473=TRUE)*(F1473-Calc!F26))+B1481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1453">
        <f>IF(C1453,(H1453*N1453*IF(AND(Inputs!$B$39&lt;&gt;"pvp",Inputs!$B$44&gt;0),((Skills!G6*((R1453-1)*IF(Skills!H6&gt;0,Skills!I6/Skills!H6,1)+IF(Skills!H6&gt;0,MIN(Skills!I6,MAX(0,MAX(0,Inputs!$B$44-B1492)-((R1453-1)*IF(Inputs!$B$39="pvp",15,MAX(0.1,Skills!D6-IF(TRUE=TRUE,Inputs!$B$32,0))))))/Skills!H6,1)))/Inputs!$B$44),G1453*Q1453))*IF(Inputs!$B$39="pvp",1,(1+(Inputs!$B$21+Skills!Q6+B1482+(IF(ArtifactsInput!$M$33,CHOOSE(ArtifactsInput!$N$33+1,30,36,42,48,54,60),0))+(IF(AND(ArtifactsInput!$M$35,Inputs!$B$4&lt;&gt;"Chapter Hunt"),CHOOSE(ArtifactsInput!$N$35+1,15,18,21,24,27,30)*(1-EXP(-(0.2*B1485)*5)),0)+IF(AND(ArtifactsInput!$M$22,Inputs!$B$4&lt;&gt;"Chapter Hunt"),CHOOSE(ArtifactsInput!$N$22+1,10,12,14,16,18,20)*((0*(((0.15*B1485*5))^0/1)+1*(((0.15*B1485*5))^1/1)+2*(((0.15*B1485*5))^2/2)+3*(((0.15*B1485*5))^3/6)+4*(((0.15*B1485*5))^4/24)+5*(((0.15*B1485*5))^5/120))/((((0.15*B1485*5))^0/1)+(((0.15*B1485*5))^1/1)+(((0.15*B1485*5))^2/2)+(((0.15*B1485*5))^3/6)+(((0.15*B1485*5))^4/24)+(((0.15*B1485*5))^5/120))),0)))/100)*(MIN(Skills!W6,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454">
      <c r="A1454">
        <f>Skills!A7</f>
        <v/>
      </c>
      <c r="B1454">
        <f>Skills!B7</f>
        <v/>
      </c>
      <c r="C1454">
        <f>Inputs!$B$3&gt;=69</f>
        <v/>
      </c>
      <c r="D1454">
        <f>IF(Skills!C7=1,60+Inputs!$B$25+Inputs!$B$29,IF(Skills!C7=2,90+Inputs!$B$26+Inputs!$B$29,IF(Skills!C7=3,120+Inputs!$B$27+Inputs!$B$29,MAX(0,(Inputs!$B$3-100)*3)+Inputs!$B$28+Inputs!$B$29)))</f>
        <v/>
      </c>
      <c r="E1454">
        <f>INDEX(FactorTable!$B$2:$Y$301, MATCH(ROUND(MIN(300,MAX(1,D1454)),0), FactorTable!$A$2:$A$301,0), Skills!M7+1)</f>
        <v/>
      </c>
      <c r="F1454">
        <f>IF(Skills!N7=TRUE,(Skills!L7/10)*(E1454/1000),Skills!L7/10)+Skills!O7</f>
        <v/>
      </c>
      <c r="G1454">
        <f>Skills!G7*IF(Skills!H7&gt;0,IF(Inputs!$B$39="pvp",MIN(Skills!I7,15),Skills!I7)/Skills!H7,1)</f>
        <v/>
      </c>
      <c r="H1454">
        <f>1-(1-Skills!J7/100)^Skills!K7</f>
        <v/>
      </c>
      <c r="I1454" t="inlineStr">
        <is>
          <t>1</t>
        </is>
      </c>
      <c r="J1454">
        <f>((Inputs!$B$6*(1+Inputs!$B$7/100))+(((Inputs!$B$12*(1+Inputs!$B$13/100))-(Inputs!$B$12*(1+Inputs!$B$13/100)))+0.25*(Inputs!$B$14-Inputs!$B$14))*(1+Inputs!$B$7/100))*(F1454/100)</f>
        <v/>
      </c>
      <c r="K1454">
        <f>J1454*(1+((Inputs!$B$12*(1+Inputs!$B$13/100))*0.01+Inputs!$B$14*0.0025)/100)*(1+Inputs!$B$15/100)*(1+Inputs!$B$16/100)*(5000/(6000+Inputs!$B$43*(1-(100*(1-(1-Inputs!$B$19/100)*(1-CHOOSE(ArtifactsInput!$N$40+1,5,6,7,8,9,10)/100)^(ArtifactsInput!$M$40-ArtifactsInput!$M$40)))/100)))*(1+(Inputs!$B$24+((C1478=TRUE)*(F1478-Calc!F31))+((C1465=TRUE)*(F1465-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1466=TRUE,F1466,0)/100)*(1+(IF(Skills!A7="CRUEL_STAB",Inputs!$B$17+((C1475=TRUE)*(F1475-Calc!F28))+((IF(AND(Inputs!$B$39&lt;&gt;"pvp",Inputs!$B$44=0),1,IF(IF(Inputs!$B$39="pvp",15,Inputs!$B$44)-(B1492)&lt;=0,1,MAX(0,IF(Inputs!$B$39="pvp",15,Inputs!$B$44)-MAX(5,B1492))/(IF(Inputs!$B$39="pvp",15,Inputs!$B$44)-(B1492))))*(IF(AND(ArtifactsInput!$M$42,((Inputs!$B$9+((C1473=TRUE)*(F1473-Calc!F26))+B1481+(ArtifactsInput!$M$24-ArtifactsInput!$M$24)*CHOOSE(ArtifactsInput!$N$24+1,10,12,14,16,18,20)+IF(ArtifactsInput!$M$10,CHOOSE(ArtifactsInput!$N$10+1,15,18,21,24,27,30)*(IF(Inputs!$B$39="pvp",MIN(15,15)/15,IF(AND(Inputs!$B$39&lt;&gt;"pvp",Inputs!$B$44&gt;0),MIN(15,Inputs!$B$44)/(Inputs!$B$44),0))),0)))&gt;=100),MIN(100,((Inputs!$B$9+((C1473=TRUE)*(F1473-Calc!F26))+B1481+(ArtifactsInput!$M$24-ArtifactsInput!$M$24)*CHOOSE(ArtifactsInput!$N$24+1,10,12,14,16,18,20)+IF(ArtifactsInput!$M$10,CHOOSE(ArtifactsInput!$N$10+1,15,18,21,24,27,30)*(IF(Inputs!$B$39="pvp",MIN(15,15)/15,IF(AND(Inputs!$B$39&lt;&gt;"pvp",Inputs!$B$44&gt;0),MIN(15,Inputs!$B$44)/(Inputs!$B$44),0))),0)))-100),0))*CHOOSE(ArtifactsInput!$N$42+1,0.6,0.72,0.84,0.96,1.08,1.2))),Inputs!$B$18+((C1476=TRUE)*(F1476-Calc!F29))+(IF(AND(Inputs!$B$39&lt;&gt;"pvp",Inputs!$B$44=0),1,IF(IF(Inputs!$B$39="pvp",15,Inputs!$B$44)-(B1492)&lt;=0,1,MAX(0,IF(Inputs!$B$39="pvp",15,Inputs!$B$44)-MAX(5,B1492))/(IF(Inputs!$B$39="pvp",15,Inputs!$B$44)-(B1492))))*IF(AND(ArtifactsInput!$M$42,((Inputs!$B$9+((C1473=TRUE)*(F1473-Calc!F26))+B1481+(ArtifactsInput!$M$24-ArtifactsInput!$M$24)*CHOOSE(ArtifactsInput!$N$24+1,10,12,14,16,18,20)+IF(ArtifactsInput!$M$10,CHOOSE(ArtifactsInput!$N$10+1,15,18,21,24,27,30)*(IF(Inputs!$B$39="pvp",MIN(15,15)/15,IF(AND(Inputs!$B$39&lt;&gt;"pvp",Inputs!$B$44&gt;0),MIN(15,Inputs!$B$44)/(Inputs!$B$44),0))),0)))&gt;=100),CHOOSE(ArtifactsInput!$N$42+1,40,48,56,64,72,80),0))))/100)*(((1+(((C1469=TRUE)*F1469*IF(AND(Inputs!$B$39&lt;&gt;"pvp",Inputs!$B$44&gt;0),(((R1469-1)*MIN((Skills!Y22*(1+Inputs!$B$34/100)),(1/Q1469))+MIN((Skills!Y22*(1+Inputs!$B$34/100)),MAX(0,Inputs!$B$44-((R1469-1)*(1/Q1469)))))/Inputs!$B$44),IF(Inputs!$B$39="pvp",MIN((Skills!Y22*(1+Inputs!$B$34/100)),15)/15,MIN(1,(Skills!Y22*(1+Inputs!$B$34/100))/(1/Q1469)))))+((C1450=TRUE)*F1450*3)+((C1452=TRUE)*F1452*(1-EXP(-0.75*B1485*5)))+((C1471=TRUE)*(F1471-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IF(ArtifactsInput!$M$5,FALSE,TRUE),CHOOSE(ArtifactsInput!$N$5+1,10,12,14,16,18,20)*(IF(AND(Inputs!$B$39&lt;&gt;"pvp",Inputs!$B$44=0),0.5,(5*INT(MAX(0,IF(Inputs!$B$39="pvp",15,Inputs!$B$44)-10)/10)+MIN((MAX(0,IF(Inputs!$B$39="pvp",15,Inputs!$B$44)-10)-10*INT(MAX(0,IF(Inputs!$B$39="pvp",15,Inputs!$B$44)-10)/10)),5))/IF(Inputs!$B$39="pvp",15,Inputs!$B$44))),0)))/100)*(1+((C1458=TRUE)*F1458*IF(AND(Inputs!$B$39&lt;&gt;"pvp",Inputs!$B$44&gt;0),(((R1458-1)*MIN((Skills!Y11*(1+Inputs!$B$34/100)),(1/Q1458))+MIN((Skills!Y11*(1+Inputs!$B$34/100)),MAX(0,Inputs!$B$44-((R1458-1)*(1/Q1458)))))/Inputs!$B$44),IF(Inputs!$B$39="pvp",MIN((Skills!Y11*(1+Inputs!$B$34/100)),15)/15,MIN(1,(Skills!Y11*(1+Inputs!$B$34/100))/(1/Q1458)))))/100)*(1+((C1463=TRUE)*F1463*IF(AND(Inputs!$B$39&lt;&gt;"pvp",Inputs!$B$44&gt;0),(((R1463-1)*MIN((Skills!Y16*(1+Inputs!$B$34/100)),(1/Q1463))+MIN((Skills!Y16*(1+Inputs!$B$34/100)),MAX(0,Inputs!$B$44-((R1463-1)*(1/Q1463)))))/Inputs!$B$44),IF(Inputs!$B$39="pvp",MIN((Skills!Y16*(1+Inputs!$B$34/100)),15)/15,MIN(1,(Skills!Y16*(1+Inputs!$B$34/100))/(1/Q1463)))))/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1483*I1454)</f>
        <v/>
      </c>
      <c r="L1454">
        <f>K1454*(MIN(Inputs!$B$22+((C1472=TRUE)*(F1472-Calc!F25)),(Inputs!$B$23+((C1477=TRUE)*(F1477-Calc!F30))+IF(ArtifactsInput!$M$15,CHOOSE(ArtifactsInput!$N$15+1,25,30,35,40,45,50)/100*(Inputs!$B$11-Inputs!$B$11),0)))/100+(Inputs!$B$23+((C1477=TRUE)*(F1477-Calc!F30))+IF(ArtifactsInput!$M$15,CHOOSE(ArtifactsInput!$N$15+1,25,30,35,40,45,50)/100*(Inputs!$B$11-Inputs!$B$11),0))/100)/2</f>
        <v/>
      </c>
      <c r="M1454">
        <f>L1454*(1+(Inputs!$B$10+((C1474=TRUE)*(F1474-Calc!F27))+B1488+(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1454">
        <f>L1454*(1-MIN((Inputs!$B$9+((C1473=TRUE)*(F1473-Calc!F26))+B1481+(ArtifactsInput!$M$24-ArtifactsInput!$M$24)*CHOOSE(ArtifactsInput!$N$24+1,10,12,14,16,18,20)+(IF(AND(Inputs!$B$39&lt;&gt;"pvp",Inputs!$B$44=0),1,IF(IF(Inputs!$B$39="pvp",15,Inputs!$B$44)-(B1492)&lt;=0,1,MAX(0,IF(Inputs!$B$39="pvp",15,Inputs!$B$44)-MAX(5,B1492))/(IF(Inputs!$B$39="pvp",15,Inputs!$B$44)-(B1492))))*IF(AND(ArtifactsInput!$M$42,((Inputs!$B$9+((C1473=TRUE)*(F1473-Calc!F26))+B1481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1454*(MIN((Inputs!$B$9+((C1473=TRUE)*(F1473-Calc!F26))+B1481+(ArtifactsInput!$M$24-ArtifactsInput!$M$24)*CHOOSE(ArtifactsInput!$N$24+1,10,12,14,16,18,20)+(IF(AND(Inputs!$B$39&lt;&gt;"pvp",Inputs!$B$44=0),1,IF(IF(Inputs!$B$39="pvp",15,Inputs!$B$44)-(B1492)&lt;=0,1,MAX(0,IF(Inputs!$B$39="pvp",15,Inputs!$B$44)-MAX(5,B1492))/(IF(Inputs!$B$39="pvp",15,Inputs!$B$44)-(B1492))))*IF(AND(ArtifactsInput!$M$42,((Inputs!$B$9+((C1473=TRUE)*(F1473-Calc!F26))+B1481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454">
        <f>(1-Summary!$B$11)*T1454+Summary!$B$11*V1454</f>
        <v/>
      </c>
      <c r="P1454">
        <f>IF(B1493=0,0,O1454/B1493)</f>
        <v/>
      </c>
      <c r="Q1454">
        <f>IFERROR(1/IF(Inputs!$B$39="pvp",15,MAX(0.1,Skills!D7-IF(TRUE=TRUE,Inputs!$B$32,0))),0)</f>
        <v/>
      </c>
      <c r="R1454">
        <f>IF(AND(Inputs!$B$39&lt;&gt;"pvp",Inputs!$B$44&gt;0),IF(MAX(0,Inputs!$B$44-B1492)&lt;=0,0,(INT(MAX(0,Inputs!$B$44-B1492)/IF(Inputs!$B$39="pvp",15,MAX(0.1,Skills!D7-IF(TRUE=TRUE,Inputs!$B$32,0))))+1)),0)</f>
        <v/>
      </c>
      <c r="S1454">
        <f>IFERROR(O1454/N1454,0)</f>
        <v/>
      </c>
      <c r="T1454">
        <f>IF(C1454,(H1454*N1454*IF(AND(Inputs!$B$39&lt;&gt;"pvp",Inputs!$B$44&gt;0),((Skills!G7*((R1454-1)*IF(Skills!H7&gt;0,Skills!I7/Skills!H7,1)+IF(Skills!H7&gt;0,MIN(Skills!I7,MAX(0,MAX(0,Inputs!$B$44-B1492)-((R1454-1)*IF(Inputs!$B$39="pvp",15,MAX(0.1,Skills!D7-IF(TRUE=TRUE,Inputs!$B$32,0))))))/Skills!H7,1)))/Inputs!$B$44),G1454*Q1454))*IF(Inputs!$B$39="pvp",1,1+(Inputs!$B$20+0+Skills!P7+B1482+(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Hunt"),CHOOSE(ArtifactsInput!$N$35+1,15,18,21,24,27,30)*(1-EXP(-(0.2*B1485)*5)),0)+IF(AND(ArtifactsInput!$M$22,Inputs!$B$4&lt;&gt;"Chapter Hunt"),CHOOSE(ArtifactsInput!$N$22+1,10,12,14,16,18,20)*((0*(((0.15*B1485*5))^0/1)+1*(((0.15*B1485*5))^1/1)+2*(((0.15*B1485*5))^2/2)+3*(((0.15*B1485*5))^3/6)+4*(((0.15*B1485*5))^4/24)+5*(((0.15*B1485*5))^5/120))/((((0.15*B1485*5))^0/1)+(((0.15*B1485*5))^1/1)+(((0.15*B1485*5))^2/2)+(((0.15*B1485*5))^3/6)+(((0.15*B1485*5))^4/24)+(((0.15*B1485*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1454*(1-MIN(100,(Inputs!$B$9+((C1473=TRUE)*(F1473-Calc!F26))+B1481+(ArtifactsInput!$M$24-ArtifactsInput!$M$24)*CHOOSE(ArtifactsInput!$N$24+1,10,12,14,16,18,20)+(IF(AND(Inputs!$B$39&lt;&gt;"pvp",Inputs!$B$44=0),1,IF(IF(Inputs!$B$39="pvp",15,Inputs!$B$44)-(B1492)&lt;=0,1,MAX(0,IF(Inputs!$B$39="pvp",15,Inputs!$B$44)-MAX(5,B1492))/(IF(Inputs!$B$39="pvp",15,Inputs!$B$44)-(B1492))))*IF(AND(ArtifactsInput!$M$42,((Inputs!$B$9+((C1473=TRUE)*(F1473-Calc!F26))+B1481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1454*(MIN(100,(Inputs!$B$9+((C1473=TRUE)*(F1473-Calc!F26))+B1481+(ArtifactsInput!$M$24-ArtifactsInput!$M$24)*CHOOSE(ArtifactsInput!$N$24+1,10,12,14,16,18,20)+(IF(AND(Inputs!$B$39&lt;&gt;"pvp",Inputs!$B$44=0),1,IF(IF(Inputs!$B$39="pvp",15,Inputs!$B$44)-(B1492)&lt;=0,1,MAX(0,IF(Inputs!$B$39="pvp",15,Inputs!$B$44)-MAX(5,B1492))/(IF(Inputs!$B$39="pvp",15,Inputs!$B$44)-(B1492))))*IF(AND(ArtifactsInput!$M$42,((Inputs!$B$9+((C1473=TRUE)*(F1473-Calc!F26))+B1481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1454*(1-MIN(100,(Inputs!$B$9+((C1473=TRUE)*(F1473-Calc!F26))+B1481+(ArtifactsInput!$M$24-ArtifactsInput!$M$24)*CHOOSE(ArtifactsInput!$N$24+1,10,12,14,16,18,20)+(IF(AND(Inputs!$B$39&lt;&gt;"pvp",Inputs!$B$44=0),1,IF(IF(Inputs!$B$39="pvp",15,Inputs!$B$44)-(B1492)&lt;=0,1,MAX(0,IF(Inputs!$B$39="pvp",15,Inputs!$B$44)-MAX(5,B1492))/(IF(Inputs!$B$39="pvp",15,Inputs!$B$44)-(B1492))))*IF(AND(ArtifactsInput!$M$42,((Inputs!$B$9+((C1473=TRUE)*(F1473-Calc!F26))+B1481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1454*(MIN(100,(Inputs!$B$9+((C1473=TRUE)*(F1473-Calc!F26))+B1481+(ArtifactsInput!$M$24-ArtifactsInput!$M$24)*CHOOSE(ArtifactsInput!$N$24+1,10,12,14,16,18,20)+(IF(AND(Inputs!$B$39&lt;&gt;"pvp",Inputs!$B$44=0),1,IF(IF(Inputs!$B$39="pvp",15,Inputs!$B$44)-(B1492)&lt;=0,1,MAX(0,IF(Inputs!$B$39="pvp",15,Inputs!$B$44)-MAX(5,B1492))/(IF(Inputs!$B$39="pvp",15,Inputs!$B$44)-(B1492))))*IF(AND(ArtifactsInput!$M$42,((Inputs!$B$9+((C1473=TRUE)*(F1473-Calc!F26))+B1481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1454">
        <f>IF(C1454,(H1454*N1454*IF(AND(Inputs!$B$39&lt;&gt;"pvp",Inputs!$B$44&gt;0),((Skills!G7*((R1454-1)*IF(Skills!H7&gt;0,Skills!I7/Skills!H7,1)+IF(Skills!H7&gt;0,MIN(Skills!I7,MAX(0,MAX(0,Inputs!$B$44-B1492)-((R1454-1)*IF(Inputs!$B$39="pvp",15,MAX(0.1,Skills!D7-IF(TRUE=TRUE,Inputs!$B$32,0))))))/Skills!H7,1)))/Inputs!$B$44),G1454*Q1454))*IF(Inputs!$B$39="pvp",1,(1+(Inputs!$B$21+Skills!Q7+B1482+(IF(ArtifactsInput!$M$33,CHOOSE(ArtifactsInput!$N$33+1,30,36,42,48,54,60),0))+(IF(AND(ArtifactsInput!$M$35,Inputs!$B$4&lt;&gt;"Chapter Hunt"),CHOOSE(ArtifactsInput!$N$35+1,15,18,21,24,27,30)*(1-EXP(-(0.2*B1485)*5)),0)+IF(AND(ArtifactsInput!$M$22,Inputs!$B$4&lt;&gt;"Chapter Hunt"),CHOOSE(ArtifactsInput!$N$22+1,10,12,14,16,18,20)*((0*(((0.15*B1485*5))^0/1)+1*(((0.15*B1485*5))^1/1)+2*(((0.15*B1485*5))^2/2)+3*(((0.15*B1485*5))^3/6)+4*(((0.15*B1485*5))^4/24)+5*(((0.15*B1485*5))^5/120))/((((0.15*B1485*5))^0/1)+(((0.15*B1485*5))^1/1)+(((0.15*B1485*5))^2/2)+(((0.15*B1485*5))^3/6)+(((0.15*B1485*5))^4/24)+(((0.15*B1485*5))^5/120))),0)))/100)*(MIN(Skills!W7,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455">
      <c r="A1455">
        <f>Skills!A8</f>
        <v/>
      </c>
      <c r="B1455">
        <f>Skills!B8</f>
        <v/>
      </c>
      <c r="C1455">
        <f>Inputs!$B$3&gt;=60</f>
        <v/>
      </c>
      <c r="D1455">
        <f>IF(Skills!C8=1,60+Inputs!$B$25+Inputs!$B$29,IF(Skills!C8=2,90+Inputs!$B$26+Inputs!$B$29,IF(Skills!C8=3,120+Inputs!$B$27+Inputs!$B$29,MAX(0,(Inputs!$B$3-100)*3)+Inputs!$B$28+Inputs!$B$29)))</f>
        <v/>
      </c>
      <c r="E1455">
        <f>INDEX(FactorTable!$B$2:$Y$301, MATCH(ROUND(MIN(300,MAX(1,D1455)),0), FactorTable!$A$2:$A$301,0), Skills!M8+1)</f>
        <v/>
      </c>
      <c r="F1455">
        <f>IF(Skills!N8=TRUE,(Skills!L8/10)*(E1455/1000),Skills!L8/10)+Skills!O8</f>
        <v/>
      </c>
      <c r="G1455">
        <f>Skills!G8*IF(Skills!H8&gt;0,IF(Inputs!$B$39="pvp",MIN(Skills!I8,15),Skills!I8)/Skills!H8,1)</f>
        <v/>
      </c>
      <c r="H1455">
        <f>1-(1-Skills!J8/100)^Skills!K8</f>
        <v/>
      </c>
      <c r="I1455" t="inlineStr">
        <is>
          <t>1</t>
        </is>
      </c>
      <c r="J1455" t="inlineStr"/>
      <c r="K1455" t="inlineStr"/>
      <c r="L1455" t="inlineStr"/>
      <c r="M1455" t="inlineStr"/>
      <c r="N1455" t="inlineStr"/>
      <c r="O1455">
        <f>(1-Summary!$B$11)*T1455+Summary!$B$11*V1455</f>
        <v/>
      </c>
      <c r="P1455">
        <f>IF(B1493=0,0,O1455/B1493)</f>
        <v/>
      </c>
      <c r="Q1455" t="n">
        <v>0</v>
      </c>
      <c r="R1455" t="n">
        <v>0</v>
      </c>
      <c r="S1455">
        <f>IFERROR(O1455/N1455,0)</f>
        <v/>
      </c>
      <c r="T1455" t="n">
        <v>0</v>
      </c>
      <c r="V1455" t="n">
        <v>0</v>
      </c>
    </row>
    <row r="1456">
      <c r="A1456">
        <f>Skills!A9</f>
        <v/>
      </c>
      <c r="B1456">
        <f>Skills!B9</f>
        <v/>
      </c>
      <c r="C1456">
        <f>Inputs!$B$3&gt;=72</f>
        <v/>
      </c>
      <c r="D1456">
        <f>IF(Skills!C9=1,60+Inputs!$B$25+Inputs!$B$29,IF(Skills!C9=2,90+Inputs!$B$26+Inputs!$B$29,IF(Skills!C9=3,120+Inputs!$B$27+Inputs!$B$29,MAX(0,(Inputs!$B$3-100)*3)+Inputs!$B$28+Inputs!$B$29)))</f>
        <v/>
      </c>
      <c r="E1456">
        <f>INDEX(FactorTable!$B$2:$Y$301, MATCH(ROUND(MIN(300,MAX(1,D1456)),0), FactorTable!$A$2:$A$301,0), Skills!M9+1)</f>
        <v/>
      </c>
      <c r="F1456">
        <f>IF(Skills!N9=TRUE,(Skills!L9/10)*(E1456/1000),Skills!L9/10)+Skills!O9</f>
        <v/>
      </c>
      <c r="G1456">
        <f>Skills!G9*IF(Skills!H9&gt;0,IF(Inputs!$B$39="pvp",MIN(Skills!I9,15),Skills!I9)/Skills!H9,1)</f>
        <v/>
      </c>
      <c r="H1456">
        <f>1-(1-Skills!J9/100)^Skills!K9</f>
        <v/>
      </c>
      <c r="I1456" t="inlineStr">
        <is>
          <t>1</t>
        </is>
      </c>
      <c r="J1456">
        <f>((Inputs!$B$6*(1+Inputs!$B$7/100))+(((Inputs!$B$12*(1+Inputs!$B$13/100))-(Inputs!$B$12*(1+Inputs!$B$13/100)))+0.25*(Inputs!$B$14-Inputs!$B$14))*(1+Inputs!$B$7/100))*(F1456/100)</f>
        <v/>
      </c>
      <c r="K1456">
        <f>J1456*(1+((Inputs!$B$12*(1+Inputs!$B$13/100))*0.01+Inputs!$B$14*0.0025)/100)*(1+Inputs!$B$15/100)*(1+Inputs!$B$16/100)*(5000/(6000+Inputs!$B$43*(1-(100*(1-(1-Inputs!$B$19/100)*(1-CHOOSE(ArtifactsInput!$N$40+1,5,6,7,8,9,10)/100)^(ArtifactsInput!$M$40-ArtifactsInput!$M$40)))/100)))*(1+(Inputs!$B$24+((C1478=TRUE)*(F1478-Calc!F31))+((C1465=TRUE)*(F1465-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+3.3333333333333335*IF(C1466=TRUE,F1466,0)/100)*(1+(IF(Skills!A9="CRUEL_STAB",Inputs!$B$17+((C1475=TRUE)*(F1475-Calc!F28))+((IF(AND(Inputs!$B$39&lt;&gt;"pvp",Inputs!$B$44=0),1,IF(IF(Inputs!$B$39="pvp",15,Inputs!$B$44)-(B1492)&lt;=0,1,MAX(0,IF(Inputs!$B$39="pvp",15,Inputs!$B$44)-MAX(5,B1492))/(IF(Inputs!$B$39="pvp",15,Inputs!$B$44)-(B1492))))*(IF(AND(ArtifactsInput!$M$42,((Inputs!$B$9+((C1473=TRUE)*(F1473-Calc!F26))+B1481+(ArtifactsInput!$M$24-ArtifactsInput!$M$24)*CHOOSE(ArtifactsInput!$N$24+1,10,12,14,16,18,20)+IF(ArtifactsInput!$M$10,CHOOSE(ArtifactsInput!$N$10+1,15,18,21,24,27,30)*(IF(Inputs!$B$39="pvp",MIN(15,15)/15,IF(AND(Inputs!$B$39&lt;&gt;"pvp",Inputs!$B$44&gt;0),MIN(15,Inputs!$B$44)/(Inputs!$B$44),0))),0)))&gt;=100),MIN(100,((Inputs!$B$9+((C1473=TRUE)*(F1473-Calc!F26))+B1481+(ArtifactsInput!$M$24-ArtifactsInput!$M$24)*CHOOSE(ArtifactsInput!$N$24+1,10,12,14,16,18,20)+IF(ArtifactsInput!$M$10,CHOOSE(ArtifactsInput!$N$10+1,15,18,21,24,27,30)*(IF(Inputs!$B$39="pvp",MIN(15,15)/15,IF(AND(Inputs!$B$39&lt;&gt;"pvp",Inputs!$B$44&gt;0),MIN(15,Inputs!$B$44)/(Inputs!$B$44),0))),0)))-100),0))*CHOOSE(ArtifactsInput!$N$42+1,0.6,0.72,0.84,0.96,1.08,1.2))),Inputs!$B$18+((C1476=TRUE)*(F1476-Calc!F29))+(IF(AND(Inputs!$B$39&lt;&gt;"pvp",Inputs!$B$44=0),1,IF(IF(Inputs!$B$39="pvp",15,Inputs!$B$44)-(B1492)&lt;=0,1,MAX(0,IF(Inputs!$B$39="pvp",15,Inputs!$B$44)-MAX(5,B1492))/(IF(Inputs!$B$39="pvp",15,Inputs!$B$44)-(B1492))))*IF(AND(ArtifactsInput!$M$42,((Inputs!$B$9+((C1473=TRUE)*(F1473-Calc!F26))+B1481+(ArtifactsInput!$M$24-ArtifactsInput!$M$24)*CHOOSE(ArtifactsInput!$N$24+1,10,12,14,16,18,20)+IF(ArtifactsInput!$M$10,CHOOSE(ArtifactsInput!$N$10+1,15,18,21,24,27,30)*(IF(Inputs!$B$39="pvp",MIN(15,15)/15,IF(AND(Inputs!$B$39&lt;&gt;"pvp",Inputs!$B$44&gt;0),MIN(15,Inputs!$B$44)/(Inputs!$B$44),0))),0)))&gt;=100),CHOOSE(ArtifactsInput!$N$42+1,40,48,56,64,72,80),0))))/100)*(((1+(((C1469=TRUE)*F1469*IF(AND(Inputs!$B$39&lt;&gt;"pvp",Inputs!$B$44&gt;0),(((R1469-1)*MIN((Skills!Y22*(1+Inputs!$B$34/100)),(1/Q1469))+MIN((Skills!Y22*(1+Inputs!$B$34/100)),MAX(0,Inputs!$B$44-((R1469-1)*(1/Q1469)))))/Inputs!$B$44),IF(Inputs!$B$39="pvp",MIN((Skills!Y22*(1+Inputs!$B$34/100)),15)/15,MIN(1,(Skills!Y22*(1+Inputs!$B$34/100))/(1/Q1469)))))+((C1450=TRUE)*F1450*3)+((C1452=TRUE)*F1452*(1-EXP(-0.75*B1485*5)))+((C1471=TRUE)*(F1471-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IF(ArtifactsInput!$M$5,FALSE,TRUE),CHOOSE(ArtifactsInput!$N$5+1,10,12,14,16,18,20)*(IF(AND(Inputs!$B$39&lt;&gt;"pvp",Inputs!$B$44=0),0.5,(5*INT(MAX(0,IF(Inputs!$B$39="pvp",15,Inputs!$B$44)-10)/10)+MIN((MAX(0,IF(Inputs!$B$39="pvp",15,Inputs!$B$44)-10)-10*INT(MAX(0,IF(Inputs!$B$39="pvp",15,Inputs!$B$44)-10)/10)),5))/IF(Inputs!$B$39="pvp",15,Inputs!$B$44))),0)))/100)*(1+((C1458=TRUE)*F1458*IF(AND(Inputs!$B$39&lt;&gt;"pvp",Inputs!$B$44&gt;0),(((R1458-1)*MIN((Skills!Y11*(1+Inputs!$B$34/100)),(1/Q1458))+MIN((Skills!Y11*(1+Inputs!$B$34/100)),MAX(0,Inputs!$B$44-((R1458-1)*(1/Q1458)))))/Inputs!$B$44),IF(Inputs!$B$39="pvp",MIN((Skills!Y11*(1+Inputs!$B$34/100)),15)/15,MIN(1,(Skills!Y11*(1+Inputs!$B$34/100))/(1/Q1458)))))/100)*(1+((C1463=TRUE)*F1463*IF(AND(Inputs!$B$39&lt;&gt;"pvp",Inputs!$B$44&gt;0),(((R1463-1)*MIN((Skills!Y16*(1+Inputs!$B$34/100)),(1/Q1463))+MIN((Skills!Y16*(1+Inputs!$B$34/100)),MAX(0,Inputs!$B$44-((R1463-1)*(1/Q1463)))))/Inputs!$B$44),IF(Inputs!$B$39="pvp",MIN((Skills!Y16*(1+Inputs!$B$34/100)),15)/15,MIN(1,(Skills!Y16*(1+Inputs!$B$34/100))/(1/Q1463)))))/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1483*I1456)</f>
        <v/>
      </c>
      <c r="L1456">
        <f>K1456*(MIN(Inputs!$B$22+((C1472=TRUE)*(F1472-Calc!F25)),(Inputs!$B$23+((C1477=TRUE)*(F1477-Calc!F30))+IF(ArtifactsInput!$M$15,CHOOSE(ArtifactsInput!$N$15+1,25,30,35,40,45,50)/100*(Inputs!$B$11-Inputs!$B$11),0)))/100+(Inputs!$B$23+((C1477=TRUE)*(F1477-Calc!F30))+IF(ArtifactsInput!$M$15,CHOOSE(ArtifactsInput!$N$15+1,25,30,35,40,45,50)/100*(Inputs!$B$11-Inputs!$B$11),0))/100)/2</f>
        <v/>
      </c>
      <c r="M1456">
        <f>L1456*(1+(Inputs!$B$10+((C1474=TRUE)*(F1474-Calc!F27))+B1488+(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1456">
        <f>L1456*(1-MIN((Inputs!$B$9+((C1473=TRUE)*(F1473-Calc!F26))+B1481+(ArtifactsInput!$M$24-ArtifactsInput!$M$24)*CHOOSE(ArtifactsInput!$N$24+1,10,12,14,16,18,20)+(IF(AND(Inputs!$B$39&lt;&gt;"pvp",Inputs!$B$44=0),1,IF(IF(Inputs!$B$39="pvp",15,Inputs!$B$44)-(B1492)&lt;=0,1,MAX(0,IF(Inputs!$B$39="pvp",15,Inputs!$B$44)-MAX(5,B1492))/(IF(Inputs!$B$39="pvp",15,Inputs!$B$44)-(B1492))))*IF(AND(ArtifactsInput!$M$42,((Inputs!$B$9+((C1473=TRUE)*(F1473-Calc!F26))+B1481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1456*(MIN((Inputs!$B$9+((C1473=TRUE)*(F1473-Calc!F26))+B1481+(ArtifactsInput!$M$24-ArtifactsInput!$M$24)*CHOOSE(ArtifactsInput!$N$24+1,10,12,14,16,18,20)+(IF(AND(Inputs!$B$39&lt;&gt;"pvp",Inputs!$B$44=0),1,IF(IF(Inputs!$B$39="pvp",15,Inputs!$B$44)-(B1492)&lt;=0,1,MAX(0,IF(Inputs!$B$39="pvp",15,Inputs!$B$44)-MAX(5,B1492))/(IF(Inputs!$B$39="pvp",15,Inputs!$B$44)-(B1492))))*IF(AND(ArtifactsInput!$M$42,((Inputs!$B$9+((C1473=TRUE)*(F1473-Calc!F26))+B1481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456">
        <f>(1-Summary!$B$11)*T1456+Summary!$B$11*V1456</f>
        <v/>
      </c>
      <c r="P1456">
        <f>IF(B1493=0,0,O1456/B1493)</f>
        <v/>
      </c>
      <c r="Q1456">
        <f>IFERROR(1/IF(Inputs!$B$39="pvp",15,MAX(0.1,Skills!D9-IF(FALSE=TRUE,Inputs!$B$32,0))),0)</f>
        <v/>
      </c>
      <c r="R1456">
        <f>IF(AND(Inputs!$B$39&lt;&gt;"pvp",Inputs!$B$44&gt;0),IF(MAX(0,Inputs!$B$44-B1492)&lt;=0,0,(INT(MAX(0,Inputs!$B$44-B1492)/IF(Inputs!$B$39="pvp",15,MAX(0.1,Skills!D9-IF(FALSE=TRUE,Inputs!$B$32,0))))+1)),0)</f>
        <v/>
      </c>
      <c r="S1456">
        <f>IFERROR(O1456/N1456,0)</f>
        <v/>
      </c>
      <c r="T1456">
        <f>IF(C1456,(H1456*N1456*IF(AND(Inputs!$B$39&lt;&gt;"pvp",Inputs!$B$44&gt;0),((Skills!G9*((R1456-1)*IF(Skills!H9&gt;0,Skills!I9/Skills!H9,1)+IF(Skills!H9&gt;0,MIN(Skills!I9,MAX(0,MAX(0,Inputs!$B$44-B1492)-((R1456-1)*IF(Inputs!$B$39="pvp",15,MAX(0.1,Skills!D9-IF(FALSE=TRUE,Inputs!$B$32,0))))))/Skills!H9,1)))/Inputs!$B$44),G1456*Q1456))*IF(Inputs!$B$39="pvp",1,1+(Inputs!$B$20+0+Skills!P9+B1482+(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Hunt"),CHOOSE(ArtifactsInput!$N$35+1,15,18,21,24,27,30)*(1-EXP(-(0.2*B1485)*5)),0)+IF(AND(ArtifactsInput!$M$22,Inputs!$B$4&lt;&gt;"Chapter Hunt"),CHOOSE(ArtifactsInput!$N$22+1,10,12,14,16,18,20)*((0*(((0.15*B1485*5))^0/1)+1*(((0.15*B1485*5))^1/1)+2*(((0.15*B1485*5))^2/2)+3*(((0.15*B1485*5))^3/6)+4*(((0.15*B1485*5))^4/24)+5*(((0.15*B1485*5))^5/120))/((((0.15*B1485*5))^0/1)+(((0.15*B1485*5))^1/1)+(((0.15*B1485*5))^2/2)+(((0.15*B1485*5))^3/6)+(((0.15*B1485*5))^4/24)+(((0.15*B1485*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1456*(1-MIN(100,(Inputs!$B$9+((C1473=TRUE)*(F1473-Calc!F26))+B1481+(ArtifactsInput!$M$24-ArtifactsInput!$M$24)*CHOOSE(ArtifactsInput!$N$24+1,10,12,14,16,18,20)+(IF(AND(Inputs!$B$39&lt;&gt;"pvp",Inputs!$B$44=0),1,IF(IF(Inputs!$B$39="pvp",15,Inputs!$B$44)-(B1492)&lt;=0,1,MAX(0,IF(Inputs!$B$39="pvp",15,Inputs!$B$44)-MAX(5,B1492))/(IF(Inputs!$B$39="pvp",15,Inputs!$B$44)-(B1492))))*IF(AND(ArtifactsInput!$M$42,((Inputs!$B$9+((C1473=TRUE)*(F1473-Calc!F26))+B1481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1456*(MIN(100,(Inputs!$B$9+((C1473=TRUE)*(F1473-Calc!F26))+B1481+(ArtifactsInput!$M$24-ArtifactsInput!$M$24)*CHOOSE(ArtifactsInput!$N$24+1,10,12,14,16,18,20)+(IF(AND(Inputs!$B$39&lt;&gt;"pvp",Inputs!$B$44=0),1,IF(IF(Inputs!$B$39="pvp",15,Inputs!$B$44)-(B1492)&lt;=0,1,MAX(0,IF(Inputs!$B$39="pvp",15,Inputs!$B$44)-MAX(5,B1492))/(IF(Inputs!$B$39="pvp",15,Inputs!$B$44)-(B1492))))*IF(AND(ArtifactsInput!$M$42,((Inputs!$B$9+((C1473=TRUE)*(F1473-Calc!F26))+B1481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1456*(1-MIN(100,(Inputs!$B$9+((C1473=TRUE)*(F1473-Calc!F26))+B1481+(ArtifactsInput!$M$24-ArtifactsInput!$M$24)*CHOOSE(ArtifactsInput!$N$24+1,10,12,14,16,18,20)+(IF(AND(Inputs!$B$39&lt;&gt;"pvp",Inputs!$B$44=0),1,IF(IF(Inputs!$B$39="pvp",15,Inputs!$B$44)-(B1492)&lt;=0,1,MAX(0,IF(Inputs!$B$39="pvp",15,Inputs!$B$44)-MAX(5,B1492))/(IF(Inputs!$B$39="pvp",15,Inputs!$B$44)-(B1492))))*IF(AND(ArtifactsInput!$M$42,((Inputs!$B$9+((C1473=TRUE)*(F1473-Calc!F26))+B1481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1456*(MIN(100,(Inputs!$B$9+((C1473=TRUE)*(F1473-Calc!F26))+B1481+(ArtifactsInput!$M$24-ArtifactsInput!$M$24)*CHOOSE(ArtifactsInput!$N$24+1,10,12,14,16,18,20)+(IF(AND(Inputs!$B$39&lt;&gt;"pvp",Inputs!$B$44=0),1,IF(IF(Inputs!$B$39="pvp",15,Inputs!$B$44)-(B1492)&lt;=0,1,MAX(0,IF(Inputs!$B$39="pvp",15,Inputs!$B$44)-MAX(5,B1492))/(IF(Inputs!$B$39="pvp",15,Inputs!$B$44)-(B1492))))*IF(AND(ArtifactsInput!$M$42,((Inputs!$B$9+((C1473=TRUE)*(F1473-Calc!F26))+B1481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1456">
        <f>IF(C1456,(H1456*N1456*IF(AND(Inputs!$B$39&lt;&gt;"pvp",Inputs!$B$44&gt;0),((Skills!G9*((R1456-1)*IF(Skills!H9&gt;0,Skills!I9/Skills!H9,1)+IF(Skills!H9&gt;0,MIN(Skills!I9,MAX(0,MAX(0,Inputs!$B$44-B1492)-((R1456-1)*IF(Inputs!$B$39="pvp",15,MAX(0.1,Skills!D9-IF(FALSE=TRUE,Inputs!$B$32,0))))))/Skills!H9,1)))/Inputs!$B$44),G1456*Q1456))*IF(Inputs!$B$39="pvp",1,(1+(Inputs!$B$21+Skills!Q9+B1482+(IF(ArtifactsInput!$M$33,CHOOSE(ArtifactsInput!$N$33+1,30,36,42,48,54,60),0))+(IF(AND(ArtifactsInput!$M$35,Inputs!$B$4&lt;&gt;"Chapter Hunt"),CHOOSE(ArtifactsInput!$N$35+1,15,18,21,24,27,30)*(1-EXP(-(0.2*B1485)*5)),0)+IF(AND(ArtifactsInput!$M$22,Inputs!$B$4&lt;&gt;"Chapter Hunt"),CHOOSE(ArtifactsInput!$N$22+1,10,12,14,16,18,20)*((0*(((0.15*B1485*5))^0/1)+1*(((0.15*B1485*5))^1/1)+2*(((0.15*B1485*5))^2/2)+3*(((0.15*B1485*5))^3/6)+4*(((0.15*B1485*5))^4/24)+5*(((0.15*B1485*5))^5/120))/((((0.15*B1485*5))^0/1)+(((0.15*B1485*5))^1/1)+(((0.15*B1485*5))^2/2)+(((0.15*B1485*5))^3/6)+(((0.15*B1485*5))^4/24)+(((0.15*B1485*5))^5/120))),0)))/100)*(MIN(Skills!W9,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457">
      <c r="A1457">
        <f>Skills!A10</f>
        <v/>
      </c>
      <c r="B1457">
        <f>Skills!B10</f>
        <v/>
      </c>
      <c r="C1457">
        <f>Inputs!$B$3&gt;=117</f>
        <v/>
      </c>
      <c r="D1457">
        <f>IF(Skills!C10=1,60+Inputs!$B$25+Inputs!$B$29,IF(Skills!C10=2,90+Inputs!$B$26+Inputs!$B$29,IF(Skills!C10=3,120+Inputs!$B$27+Inputs!$B$29,MAX(0,(Inputs!$B$3-100)*3)+Inputs!$B$28+Inputs!$B$29)))</f>
        <v/>
      </c>
      <c r="E1457">
        <f>INDEX(FactorTable!$B$2:$Y$301, MATCH(ROUND(MIN(300,MAX(1,D1457)),0), FactorTable!$A$2:$A$301,0), Skills!M10+1)</f>
        <v/>
      </c>
      <c r="F1457">
        <f>IF(Skills!N10=TRUE,(Skills!L10/10)*(E1457/1000),Skills!L10/10)+Skills!O10</f>
        <v/>
      </c>
      <c r="G1457">
        <f>Skills!G10*IF(Skills!H10&gt;0,IF(Inputs!$B$39="pvp",MIN(Skills!I10,15),Skills!I10)/Skills!H10,1)</f>
        <v/>
      </c>
      <c r="H1457">
        <f>1-(1-Skills!J10/100)^Skills!K10</f>
        <v/>
      </c>
      <c r="I1457" t="inlineStr">
        <is>
          <t>1</t>
        </is>
      </c>
      <c r="J1457">
        <f>((Inputs!$B$6*(1+Inputs!$B$7/100))+(((Inputs!$B$12*(1+Inputs!$B$13/100))-(Inputs!$B$12*(1+Inputs!$B$13/100)))+0.25*(Inputs!$B$14-Inputs!$B$14))*(1+Inputs!$B$7/100))*(F1457/100)</f>
        <v/>
      </c>
      <c r="K1457">
        <f>J1457*(1+((Inputs!$B$12*(1+Inputs!$B$13/100))*0.01+Inputs!$B$14*0.0025)/100)*(1+Inputs!$B$15/100)*(1+Inputs!$B$16/100)*(5000/(6000+Inputs!$B$43*(1-(100*(1-(1-Inputs!$B$19/100)*(1-CHOOSE(ArtifactsInput!$N$40+1,5,6,7,8,9,10)/100)^(ArtifactsInput!$M$40-ArtifactsInput!$M$40)))/100)))*(1+(Inputs!$B$24+((C1478=TRUE)*(F1478-Calc!F31))+((C1465=TRUE)*(F1465-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10="CRUEL_STAB",Inputs!$B$17+((C1475=TRUE)*(F1475-Calc!F28))+((IF(AND(Inputs!$B$39&lt;&gt;"pvp",Inputs!$B$44=0),1,IF(IF(Inputs!$B$39="pvp",15,Inputs!$B$44)-(B1492)&lt;=0,1,MAX(0,IF(Inputs!$B$39="pvp",15,Inputs!$B$44)-MAX(5,B1492))/(IF(Inputs!$B$39="pvp",15,Inputs!$B$44)-(B1492))))*(IF(AND(ArtifactsInput!$M$42,((Inputs!$B$9+((C1473=TRUE)*(F1473-Calc!F26))+B1481+(ArtifactsInput!$M$24-ArtifactsInput!$M$24)*CHOOSE(ArtifactsInput!$N$24+1,10,12,14,16,18,20)+IF(ArtifactsInput!$M$10,CHOOSE(ArtifactsInput!$N$10+1,15,18,21,24,27,30)*(IF(Inputs!$B$39="pvp",MIN(15,15)/15,IF(AND(Inputs!$B$39&lt;&gt;"pvp",Inputs!$B$44&gt;0),MIN(15,Inputs!$B$44)/(Inputs!$B$44),0))),0)))&gt;=100),MIN(100,((Inputs!$B$9+((C1473=TRUE)*(F1473-Calc!F26))+B1481+(ArtifactsInput!$M$24-ArtifactsInput!$M$24)*CHOOSE(ArtifactsInput!$N$24+1,10,12,14,16,18,20)+IF(ArtifactsInput!$M$10,CHOOSE(ArtifactsInput!$N$10+1,15,18,21,24,27,30)*(IF(Inputs!$B$39="pvp",MIN(15,15)/15,IF(AND(Inputs!$B$39&lt;&gt;"pvp",Inputs!$B$44&gt;0),MIN(15,Inputs!$B$44)/(Inputs!$B$44),0))),0)))-100),0))*CHOOSE(ArtifactsInput!$N$42+1,0.6,0.72,0.84,0.96,1.08,1.2))),Inputs!$B$18+((C1476=TRUE)*(F1476-Calc!F29))+(IF(AND(Inputs!$B$39&lt;&gt;"pvp",Inputs!$B$44=0),1,IF(IF(Inputs!$B$39="pvp",15,Inputs!$B$44)-(B1492)&lt;=0,1,MAX(0,IF(Inputs!$B$39="pvp",15,Inputs!$B$44)-MAX(5,B1492))/(IF(Inputs!$B$39="pvp",15,Inputs!$B$44)-(B1492))))*IF(AND(ArtifactsInput!$M$42,((Inputs!$B$9+((C1473=TRUE)*(F1473-Calc!F26))+B1481+(ArtifactsInput!$M$24-ArtifactsInput!$M$24)*CHOOSE(ArtifactsInput!$N$24+1,10,12,14,16,18,20)+IF(ArtifactsInput!$M$10,CHOOSE(ArtifactsInput!$N$10+1,15,18,21,24,27,30)*(IF(Inputs!$B$39="pvp",MIN(15,15)/15,IF(AND(Inputs!$B$39&lt;&gt;"pvp",Inputs!$B$44&gt;0),MIN(15,Inputs!$B$44)/(Inputs!$B$44),0))),0)))&gt;=100),CHOOSE(ArtifactsInput!$N$42+1,40,48,56,64,72,80),0))))/100)*(((1+(((C1469=TRUE)*F1469*IF(AND(Inputs!$B$39&lt;&gt;"pvp",Inputs!$B$44&gt;0),(((R1469-1)*MIN((Skills!Y22*(1+Inputs!$B$34/100)),(1/Q1469))+MIN((Skills!Y22*(1+Inputs!$B$34/100)),MAX(0,Inputs!$B$44-((R1469-1)*(1/Q1469)))))/Inputs!$B$44),IF(Inputs!$B$39="pvp",MIN((Skills!Y22*(1+Inputs!$B$34/100)),15)/15,MIN(1,(Skills!Y22*(1+Inputs!$B$34/100))/(1/Q1469)))))+((C1450=TRUE)*F1450*3)+((C1452=TRUE)*F1452*(1-EXP(-0.75*B1485*5)))+((C1471=TRUE)*(F1471-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IF(ArtifactsInput!$M$5,FALSE,TRUE),CHOOSE(ArtifactsInput!$N$5+1,10,12,14,16,18,20)*(IF(AND(Inputs!$B$39&lt;&gt;"pvp",Inputs!$B$44=0),0.5,(5*INT(MAX(0,IF(Inputs!$B$39="pvp",15,Inputs!$B$44)-10)/10)+MIN((MAX(0,IF(Inputs!$B$39="pvp",15,Inputs!$B$44)-10)-10*INT(MAX(0,IF(Inputs!$B$39="pvp",15,Inputs!$B$44)-10)/10)),5))/IF(Inputs!$B$39="pvp",15,Inputs!$B$44))),0)))/100)*(1+((C1458=TRUE)*F1458*IF(AND(Inputs!$B$39&lt;&gt;"pvp",Inputs!$B$44&gt;0),(((R1458-1)*MIN((Skills!Y11*(1+Inputs!$B$34/100)),(1/Q1458))+MIN((Skills!Y11*(1+Inputs!$B$34/100)),MAX(0,Inputs!$B$44-((R1458-1)*(1/Q1458)))))/Inputs!$B$44),IF(Inputs!$B$39="pvp",MIN((Skills!Y11*(1+Inputs!$B$34/100)),15)/15,MIN(1,(Skills!Y11*(1+Inputs!$B$34/100))/(1/Q1458)))))/100)*(1+((C1463=TRUE)*F1463*IF(AND(Inputs!$B$39&lt;&gt;"pvp",Inputs!$B$44&gt;0),(((R1463-1)*MIN((Skills!Y16*(1+Inputs!$B$34/100)),(1/Q1463))+MIN((Skills!Y16*(1+Inputs!$B$34/100)),MAX(0,Inputs!$B$44-((R1463-1)*(1/Q1463)))))/Inputs!$B$44),IF(Inputs!$B$39="pvp",MIN((Skills!Y16*(1+Inputs!$B$34/100)),15)/15,MIN(1,(Skills!Y16*(1+Inputs!$B$34/100))/(1/Q1463)))))/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1483*I1457)</f>
        <v/>
      </c>
      <c r="L1457">
        <f>K1457*(MIN(Inputs!$B$22+((C1472=TRUE)*(F1472-Calc!F25)),(Inputs!$B$23+((C1477=TRUE)*(F1477-Calc!F30))+IF(ArtifactsInput!$M$15,CHOOSE(ArtifactsInput!$N$15+1,25,30,35,40,45,50)/100*(Inputs!$B$11-Inputs!$B$11),0)))/100+(Inputs!$B$23+((C1477=TRUE)*(F1477-Calc!F30))+IF(ArtifactsInput!$M$15,CHOOSE(ArtifactsInput!$N$15+1,25,30,35,40,45,50)/100*(Inputs!$B$11-Inputs!$B$11),0))/100)/2</f>
        <v/>
      </c>
      <c r="M1457">
        <f>L1457*(1+(Inputs!$B$10+((C1474=TRUE)*(F1474-Calc!F27))+B1488+(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1457">
        <f>L1457*(1-MIN((Inputs!$B$9+((C1473=TRUE)*(F1473-Calc!F26))+B1481+(ArtifactsInput!$M$24-ArtifactsInput!$M$24)*CHOOSE(ArtifactsInput!$N$24+1,10,12,14,16,18,20)+(IF(AND(Inputs!$B$39&lt;&gt;"pvp",Inputs!$B$44=0),1,IF(IF(Inputs!$B$39="pvp",15,Inputs!$B$44)-(B1492)&lt;=0,1,MAX(0,IF(Inputs!$B$39="pvp",15,Inputs!$B$44)-MAX(5,B1492))/(IF(Inputs!$B$39="pvp",15,Inputs!$B$44)-(B1492))))*IF(AND(ArtifactsInput!$M$42,((Inputs!$B$9+((C1473=TRUE)*(F1473-Calc!F26))+B1481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1457*(MIN((Inputs!$B$9+((C1473=TRUE)*(F1473-Calc!F26))+B1481+(ArtifactsInput!$M$24-ArtifactsInput!$M$24)*CHOOSE(ArtifactsInput!$N$24+1,10,12,14,16,18,20)+(IF(AND(Inputs!$B$39&lt;&gt;"pvp",Inputs!$B$44=0),1,IF(IF(Inputs!$B$39="pvp",15,Inputs!$B$44)-(B1492)&lt;=0,1,MAX(0,IF(Inputs!$B$39="pvp",15,Inputs!$B$44)-MAX(5,B1492))/(IF(Inputs!$B$39="pvp",15,Inputs!$B$44)-(B1492))))*IF(AND(ArtifactsInput!$M$42,((Inputs!$B$9+((C1473=TRUE)*(F1473-Calc!F26))+B1481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457">
        <f>(1-Summary!$B$11)*T1457+Summary!$B$11*V1457</f>
        <v/>
      </c>
      <c r="P1457">
        <f>IF(B1493=0,0,O1457/B1493)</f>
        <v/>
      </c>
      <c r="Q1457" t="n">
        <v>0</v>
      </c>
      <c r="R1457" t="n">
        <v>0</v>
      </c>
      <c r="S1457" t="n">
        <v>0</v>
      </c>
      <c r="T1457">
        <f>IF(C1457,(0.2*SUMPRODUCT((Skills!Z2:Z31=TRUE)*(C1449:C1478=TRUE)*S1449:S1478)*N1457)*IF(Inputs!$B$39="pvp",1,1+(Inputs!$B$20+0+Skills!P10+B1482+(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Hunt"),CHOOSE(ArtifactsInput!$N$35+1,15,18,21,24,27,30)*(1-EXP(-(0.2*B1485)*5)),0)+IF(AND(ArtifactsInput!$M$22,Inputs!$B$4&lt;&gt;"Chapter Hunt"),CHOOSE(ArtifactsInput!$N$22+1,10,12,14,16,18,20)*((0*(((0.15*B1485*5))^0/1)+1*(((0.15*B1485*5))^1/1)+2*(((0.15*B1485*5))^2/2)+3*(((0.15*B1485*5))^3/6)+4*(((0.15*B1485*5))^4/24)+5*(((0.15*B1485*5))^5/120))/((((0.15*B1485*5))^0/1)+(((0.15*B1485*5))^1/1)+(((0.15*B1485*5))^2/2)+(((0.15*B1485*5))^3/6)+(((0.15*B1485*5))^4/24)+(((0.15*B1485*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1457*(1-MIN(100,(Inputs!$B$9+((C1473=TRUE)*(F1473-Calc!F26))+B1481+(ArtifactsInput!$M$24-ArtifactsInput!$M$24)*CHOOSE(ArtifactsInput!$N$24+1,10,12,14,16,18,20)+(IF(AND(Inputs!$B$39&lt;&gt;"pvp",Inputs!$B$44=0),1,IF(IF(Inputs!$B$39="pvp",15,Inputs!$B$44)-(B1492)&lt;=0,1,MAX(0,IF(Inputs!$B$39="pvp",15,Inputs!$B$44)-MAX(5,B1492))/(IF(Inputs!$B$39="pvp",15,Inputs!$B$44)-(B1492))))*IF(AND(ArtifactsInput!$M$42,((Inputs!$B$9+((C1473=TRUE)*(F1473-Calc!F26))+B1481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1457*(MIN(100,(Inputs!$B$9+((C1473=TRUE)*(F1473-Calc!F26))+B1481+(ArtifactsInput!$M$24-ArtifactsInput!$M$24)*CHOOSE(ArtifactsInput!$N$24+1,10,12,14,16,18,20)+(IF(AND(Inputs!$B$39&lt;&gt;"pvp",Inputs!$B$44=0),1,IF(IF(Inputs!$B$39="pvp",15,Inputs!$B$44)-(B1492)&lt;=0,1,MAX(0,IF(Inputs!$B$39="pvp",15,Inputs!$B$44)-MAX(5,B1492))/(IF(Inputs!$B$39="pvp",15,Inputs!$B$44)-(B1492))))*IF(AND(ArtifactsInput!$M$42,((Inputs!$B$9+((C1473=TRUE)*(F1473-Calc!F26))+B1481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1457*(1-MIN(100,(Inputs!$B$9+((C1473=TRUE)*(F1473-Calc!F26))+B1481+(ArtifactsInput!$M$24-ArtifactsInput!$M$24)*CHOOSE(ArtifactsInput!$N$24+1,10,12,14,16,18,20)+(IF(AND(Inputs!$B$39&lt;&gt;"pvp",Inputs!$B$44=0),1,IF(IF(Inputs!$B$39="pvp",15,Inputs!$B$44)-(B1492)&lt;=0,1,MAX(0,IF(Inputs!$B$39="pvp",15,Inputs!$B$44)-MAX(5,B1492))/(IF(Inputs!$B$39="pvp",15,Inputs!$B$44)-(B1492))))*IF(AND(ArtifactsInput!$M$42,((Inputs!$B$9+((C1473=TRUE)*(F1473-Calc!F26))+B1481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1457*(MIN(100,(Inputs!$B$9+((C1473=TRUE)*(F1473-Calc!F26))+B1481+(ArtifactsInput!$M$24-ArtifactsInput!$M$24)*CHOOSE(ArtifactsInput!$N$24+1,10,12,14,16,18,20)+(IF(AND(Inputs!$B$39&lt;&gt;"pvp",Inputs!$B$44=0),1,IF(IF(Inputs!$B$39="pvp",15,Inputs!$B$44)-(B1492)&lt;=0,1,MAX(0,IF(Inputs!$B$39="pvp",15,Inputs!$B$44)-MAX(5,B1492))/(IF(Inputs!$B$39="pvp",15,Inputs!$B$44)-(B1492))))*IF(AND(ArtifactsInput!$M$42,((Inputs!$B$9+((C1473=TRUE)*(F1473-Calc!F26))+B1481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1457">
        <f>IF(C1457,(0.2*SUMPRODUCT((Skills!Z2:Z31=TRUE)*(C1449:C1478=TRUE)*S1449:S1478)*N1457)*IF(Inputs!$B$39="pvp",1,(1+(Inputs!$B$21+Skills!Q10+B1482+(IF(ArtifactsInput!$M$33,CHOOSE(ArtifactsInput!$N$33+1,30,36,42,48,54,60),0))+(IF(AND(ArtifactsInput!$M$35,Inputs!$B$4&lt;&gt;"Chapter Hunt"),CHOOSE(ArtifactsInput!$N$35+1,15,18,21,24,27,30)*(1-EXP(-(0.2*B1485)*5)),0)+IF(AND(ArtifactsInput!$M$22,Inputs!$B$4&lt;&gt;"Chapter Hunt"),CHOOSE(ArtifactsInput!$N$22+1,10,12,14,16,18,20)*((0*(((0.15*B1485*5))^0/1)+1*(((0.15*B1485*5))^1/1)+2*(((0.15*B1485*5))^2/2)+3*(((0.15*B1485*5))^3/6)+4*(((0.15*B1485*5))^4/24)+5*(((0.15*B1485*5))^5/120))/((((0.15*B1485*5))^0/1)+(((0.15*B1485*5))^1/1)+(((0.15*B1485*5))^2/2)+(((0.15*B1485*5))^3/6)+(((0.15*B1485*5))^4/24)+(((0.15*B1485*5))^5/120))),0)))/100)*(MIN(Skills!W10,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458">
      <c r="A1458">
        <f>Skills!A11</f>
        <v/>
      </c>
      <c r="B1458">
        <f>Skills!B11</f>
        <v/>
      </c>
      <c r="C1458">
        <f>Inputs!$B$3&gt;=74</f>
        <v/>
      </c>
      <c r="D1458">
        <f>IF(Skills!C11=1,60+Inputs!$B$25+Inputs!$B$29,IF(Skills!C11=2,90+Inputs!$B$26+Inputs!$B$29,IF(Skills!C11=3,120+Inputs!$B$27+Inputs!$B$29,MAX(0,(Inputs!$B$3-100)*3)+Inputs!$B$28+Inputs!$B$29)))</f>
        <v/>
      </c>
      <c r="E1458">
        <f>INDEX(FactorTable!$B$2:$Y$301, MATCH(ROUND(MIN(300,MAX(1,D1458)),0), FactorTable!$A$2:$A$301,0), Skills!M11+1)</f>
        <v/>
      </c>
      <c r="F1458">
        <f>IF(Skills!N11=TRUE,(Skills!L11/10)*(E1458/1000),Skills!L11/10)+Skills!O11</f>
        <v/>
      </c>
      <c r="G1458">
        <f>Skills!G11*IF(Skills!H11&gt;0,IF(Inputs!$B$39="pvp",MIN(Skills!I11,15),Skills!I11)/Skills!H11,1)</f>
        <v/>
      </c>
      <c r="H1458">
        <f>1-(1-Skills!J11/100)^Skills!K11</f>
        <v/>
      </c>
      <c r="I1458" t="inlineStr">
        <is>
          <t>1</t>
        </is>
      </c>
      <c r="J1458" t="inlineStr"/>
      <c r="K1458" t="inlineStr"/>
      <c r="L1458" t="inlineStr"/>
      <c r="M1458" t="inlineStr"/>
      <c r="N1458" t="inlineStr"/>
      <c r="O1458">
        <f>(1-Summary!$B$11)*T1458+Summary!$B$11*V1458</f>
        <v/>
      </c>
      <c r="P1458">
        <f>IF(B1493=0,0,O1458/B1493)</f>
        <v/>
      </c>
      <c r="Q1458">
        <f>IFERROR(1/IF(Inputs!$B$39="pvp",15,MAX(0.1,Skills!D11-IF(TRUE=TRUE,Inputs!$B$32,0))),0)</f>
        <v/>
      </c>
      <c r="R1458">
        <f>IF(AND(Inputs!$B$39&lt;&gt;"pvp",Inputs!$B$44&gt;0),IF(Inputs!$B$44&lt;=0,0,(INT(Inputs!$B$44/IF(Inputs!$B$39="pvp",15,MAX(0.1,Skills!D11-IF(TRUE=TRUE,Inputs!$B$32,0))))+1)),0)</f>
        <v/>
      </c>
      <c r="S1458">
        <f>IFERROR(O1458/N1458,0)</f>
        <v/>
      </c>
      <c r="T1458" t="n">
        <v>0</v>
      </c>
      <c r="V1458" t="n">
        <v>0</v>
      </c>
    </row>
    <row r="1459">
      <c r="A1459">
        <f>Skills!A12</f>
        <v/>
      </c>
      <c r="B1459">
        <f>Skills!B12</f>
        <v/>
      </c>
      <c r="C1459">
        <f>Inputs!$B$3&gt;=103</f>
        <v/>
      </c>
      <c r="D1459">
        <f>IF(Skills!C12=1,60+Inputs!$B$25+Inputs!$B$29,IF(Skills!C12=2,90+Inputs!$B$26+Inputs!$B$29,IF(Skills!C12=3,120+Inputs!$B$27+Inputs!$B$29,MAX(0,(Inputs!$B$3-100)*3)+Inputs!$B$28+Inputs!$B$29)))</f>
        <v/>
      </c>
      <c r="E1459">
        <f>INDEX(FactorTable!$B$2:$Y$301, MATCH(ROUND(MIN(300,MAX(1,D1459)),0), FactorTable!$A$2:$A$301,0), Skills!M12+1)</f>
        <v/>
      </c>
      <c r="F1459">
        <f>(Skills!L12/10)*(E1459/1000)+IF(Inputs!$B$3&gt;=134,50,0)+0.5*(30000/10)*(INDEX(FactorTable!$B$2:$Y$301, MATCH(ROUND(MIN(300,MAX(1,D1459)),0), FactorTable!$A$2:$A$301,0), 13)/1000)*B1491</f>
        <v/>
      </c>
      <c r="G1459">
        <f>Skills!G12*IF(Skills!H12&gt;0,IF(Inputs!$B$39="pvp",MIN(Skills!I12,15),Skills!I12)/Skills!H12,1)</f>
        <v/>
      </c>
      <c r="H1459">
        <f>1-(1-Skills!J12/100)^Skills!K12</f>
        <v/>
      </c>
      <c r="I1459" t="inlineStr">
        <is>
          <t>1</t>
        </is>
      </c>
      <c r="J1459">
        <f>((Inputs!$B$6*(1+Inputs!$B$7/100))+(((Inputs!$B$12*(1+Inputs!$B$13/100))-(Inputs!$B$12*(1+Inputs!$B$13/100)))+0.25*(Inputs!$B$14-Inputs!$B$14))*(1+Inputs!$B$7/100))*(F1459/100)</f>
        <v/>
      </c>
      <c r="K1459">
        <f>J1459*(1+((Inputs!$B$12*(1+Inputs!$B$13/100))*0.01+Inputs!$B$14*0.0025)/100)*(1+Inputs!$B$15/100)*(1+Inputs!$B$16/100)*(5000/(6000+Inputs!$B$43*(1-(100*(1-(1-Inputs!$B$19/100)*(1-CHOOSE(ArtifactsInput!$N$40+1,5,6,7,8,9,10)/100)^(ArtifactsInput!$M$40-ArtifactsInput!$M$40)))/100)))*(1+(Inputs!$B$24+((C1478=TRUE)*(F1478-Calc!F31))+((C1465=TRUE)*(F1465-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12="CRUEL_STAB",Inputs!$B$17+((C1475=TRUE)*(F1475-Calc!F28))+((IF(AND(Inputs!$B$39&lt;&gt;"pvp",Inputs!$B$44=0),1,IF(IF(Inputs!$B$39="pvp",15,Inputs!$B$44)-(B1492)&lt;=0,1,MAX(0,IF(Inputs!$B$39="pvp",15,Inputs!$B$44)-MAX(5,B1492))/(IF(Inputs!$B$39="pvp",15,Inputs!$B$44)-(B1492))))*(IF(AND(ArtifactsInput!$M$42,((Inputs!$B$9+((C1473=TRUE)*(F1473-Calc!F26))+B1481+(ArtifactsInput!$M$24-ArtifactsInput!$M$24)*CHOOSE(ArtifactsInput!$N$24+1,10,12,14,16,18,20)+IF(ArtifactsInput!$M$10,CHOOSE(ArtifactsInput!$N$10+1,15,18,21,24,27,30)*(IF(Inputs!$B$39="pvp",MIN(15,15)/15,IF(AND(Inputs!$B$39&lt;&gt;"pvp",Inputs!$B$44&gt;0),MIN(15,Inputs!$B$44)/(Inputs!$B$44),0))),0)))&gt;=100),MIN(100,((Inputs!$B$9+((C1473=TRUE)*(F1473-Calc!F26))+B1481+(ArtifactsInput!$M$24-ArtifactsInput!$M$24)*CHOOSE(ArtifactsInput!$N$24+1,10,12,14,16,18,20)+IF(ArtifactsInput!$M$10,CHOOSE(ArtifactsInput!$N$10+1,15,18,21,24,27,30)*(IF(Inputs!$B$39="pvp",MIN(15,15)/15,IF(AND(Inputs!$B$39&lt;&gt;"pvp",Inputs!$B$44&gt;0),MIN(15,Inputs!$B$44)/(Inputs!$B$44),0))),0)))-100),0))*CHOOSE(ArtifactsInput!$N$42+1,0.6,0.72,0.84,0.96,1.08,1.2))),Inputs!$B$18+((C1476=TRUE)*(F1476-Calc!F29))+(IF(AND(Inputs!$B$39&lt;&gt;"pvp",Inputs!$B$44=0),1,IF(IF(Inputs!$B$39="pvp",15,Inputs!$B$44)-(B1492)&lt;=0,1,MAX(0,IF(Inputs!$B$39="pvp",15,Inputs!$B$44)-MAX(5,B1492))/(IF(Inputs!$B$39="pvp",15,Inputs!$B$44)-(B1492))))*IF(AND(ArtifactsInput!$M$42,((Inputs!$B$9+((C1473=TRUE)*(F1473-Calc!F26))+B1481+(ArtifactsInput!$M$24-ArtifactsInput!$M$24)*CHOOSE(ArtifactsInput!$N$24+1,10,12,14,16,18,20)+IF(ArtifactsInput!$M$10,CHOOSE(ArtifactsInput!$N$10+1,15,18,21,24,27,30)*(IF(Inputs!$B$39="pvp",MIN(15,15)/15,IF(AND(Inputs!$B$39&lt;&gt;"pvp",Inputs!$B$44&gt;0),MIN(15,Inputs!$B$44)/(Inputs!$B$44),0))),0)))&gt;=100),CHOOSE(ArtifactsInput!$N$42+1,40,48,56,64,72,80),0))))/100)*(((1+(((C1469=TRUE)*F1469*IF(AND(Inputs!$B$39&lt;&gt;"pvp",Inputs!$B$44&gt;0),(((R1469-1)*MIN((Skills!Y22*(1+Inputs!$B$34/100)),(1/Q1469))+MIN((Skills!Y22*(1+Inputs!$B$34/100)),MAX(0,Inputs!$B$44-((R1469-1)*(1/Q1469)))))/Inputs!$B$44),IF(Inputs!$B$39="pvp",MIN((Skills!Y22*(1+Inputs!$B$34/100)),15)/15,MIN(1,(Skills!Y22*(1+Inputs!$B$34/100))/(1/Q1469)))))+((C1450=TRUE)*F1450*3)+((C1452=TRUE)*F1452*(1-EXP(-0.75*B1485*5)))+((C1471=TRUE)*(F1471-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IF(ArtifactsInput!$M$5,FALSE,TRUE),CHOOSE(ArtifactsInput!$N$5+1,10,12,14,16,18,20)*(IF(AND(Inputs!$B$39&lt;&gt;"pvp",Inputs!$B$44=0),0.5,(5*INT(MAX(0,IF(Inputs!$B$39="pvp",15,Inputs!$B$44)-10)/10)+MIN((MAX(0,IF(Inputs!$B$39="pvp",15,Inputs!$B$44)-10)-10*INT(MAX(0,IF(Inputs!$B$39="pvp",15,Inputs!$B$44)-10)/10)),5))/IF(Inputs!$B$39="pvp",15,Inputs!$B$44))),0)))/100)*(1+((C1458=TRUE)*F1458*IF(AND(Inputs!$B$39&lt;&gt;"pvp",Inputs!$B$44&gt;0),(((R1458-1)*MIN((Skills!Y11*(1+Inputs!$B$34/100)),(1/Q1458))+MIN((Skills!Y11*(1+Inputs!$B$34/100)),MAX(0,Inputs!$B$44-((R1458-1)*(1/Q1458)))))/Inputs!$B$44),IF(Inputs!$B$39="pvp",MIN((Skills!Y11*(1+Inputs!$B$34/100)),15)/15,MIN(1,(Skills!Y11*(1+Inputs!$B$34/100))/(1/Q1458)))))/100)*(1+((C1463=TRUE)*F1463*IF(AND(Inputs!$B$39&lt;&gt;"pvp",Inputs!$B$44&gt;0),(((R1463-1)*MIN((Skills!Y16*(1+Inputs!$B$34/100)),(1/Q1463))+MIN((Skills!Y16*(1+Inputs!$B$34/100)),MAX(0,Inputs!$B$44-((R1463-1)*(1/Q1463)))))/Inputs!$B$44),IF(Inputs!$B$39="pvp",MIN((Skills!Y16*(1+Inputs!$B$34/100)),15)/15,MIN(1,(Skills!Y16*(1+Inputs!$B$34/100))/(1/Q1463)))))/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1483*I1459)</f>
        <v/>
      </c>
      <c r="L1459">
        <f>K1459*(MIN(Inputs!$B$22+((C1472=TRUE)*(F1472-Calc!F25)),(Inputs!$B$23+((C1477=TRUE)*(F1477-Calc!F30))+IF(ArtifactsInput!$M$15,CHOOSE(ArtifactsInput!$N$15+1,25,30,35,40,45,50)/100*(Inputs!$B$11-Inputs!$B$11),0)))/100+(Inputs!$B$23+((C1477=TRUE)*(F1477-Calc!F30))+IF(ArtifactsInput!$M$15,CHOOSE(ArtifactsInput!$N$15+1,25,30,35,40,45,50)/100*(Inputs!$B$11-Inputs!$B$11),0))/100)/2</f>
        <v/>
      </c>
      <c r="M1459">
        <f>L1459*(1+(Inputs!$B$10+((C1474=TRUE)*(F1474-Calc!F27))+B1488+(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1459">
        <f>L1459*(1-MIN((Inputs!$B$9+((C1473=TRUE)*(F1473-Calc!F26))+B1481+(ArtifactsInput!$M$24-ArtifactsInput!$M$24)*CHOOSE(ArtifactsInput!$N$24+1,10,12,14,16,18,20)+(IF(AND(Inputs!$B$39&lt;&gt;"pvp",Inputs!$B$44=0),1,IF(IF(Inputs!$B$39="pvp",15,Inputs!$B$44)-(B1492)&lt;=0,1,MAX(0,IF(Inputs!$B$39="pvp",15,Inputs!$B$44)-MAX(5,B1492))/(IF(Inputs!$B$39="pvp",15,Inputs!$B$44)-(B1492))))*IF(AND(ArtifactsInput!$M$42,((Inputs!$B$9+((C1473=TRUE)*(F1473-Calc!F26))+B1481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1459*(MIN((Inputs!$B$9+((C1473=TRUE)*(F1473-Calc!F26))+B1481+(ArtifactsInput!$M$24-ArtifactsInput!$M$24)*CHOOSE(ArtifactsInput!$N$24+1,10,12,14,16,18,20)+(IF(AND(Inputs!$B$39&lt;&gt;"pvp",Inputs!$B$44=0),1,IF(IF(Inputs!$B$39="pvp",15,Inputs!$B$44)-(B1492)&lt;=0,1,MAX(0,IF(Inputs!$B$39="pvp",15,Inputs!$B$44)-MAX(5,B1492))/(IF(Inputs!$B$39="pvp",15,Inputs!$B$44)-(B1492))))*IF(AND(ArtifactsInput!$M$42,((Inputs!$B$9+((C1473=TRUE)*(F1473-Calc!F26))+B1481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459">
        <f>(1-Summary!$B$11)*T1459+Summary!$B$11*V1459</f>
        <v/>
      </c>
      <c r="P1459">
        <f>IF(B1493=0,0,O1459/B1493)</f>
        <v/>
      </c>
      <c r="Q1459">
        <f>IFERROR(1/IF(Inputs!$B$39="pvp",15,MAX(0.1,Skills!D12-IF(TRUE=TRUE,Inputs!$B$32,0))),0)</f>
        <v/>
      </c>
      <c r="R1459">
        <f>IF(AND(Inputs!$B$39&lt;&gt;"pvp",Inputs!$B$44&gt;0),IF(MAX(0,Inputs!$B$44-B1492)&lt;=0,0,(INT(MAX(0,Inputs!$B$44-B1492)/IF(Inputs!$B$39="pvp",15,MAX(0.1,Skills!D12-IF(TRUE=TRUE,Inputs!$B$32,0))))+1)),0)</f>
        <v/>
      </c>
      <c r="S1459">
        <f>IFERROR(O1459/N1459,0)</f>
        <v/>
      </c>
      <c r="T1459">
        <f>IF(C1459,(H1459*N1459*IF(AND(Inputs!$B$39&lt;&gt;"pvp",Inputs!$B$44&gt;0),((Skills!G12*((R1459-1)*IF(Skills!H12&gt;0,Skills!I12/Skills!H12,1)+IF(Skills!H12&gt;0,MIN(Skills!I12,MAX(0,MAX(0,Inputs!$B$44-B1492)-((R1459-1)*IF(Inputs!$B$39="pvp",15,MAX(0.1,Skills!D12-IF(TRUE=TRUE,Inputs!$B$32,0))))))/Skills!H12,1)))/Inputs!$B$44),G1459*Q1459))*IF(Inputs!$B$39="pvp",1,1+(Inputs!$B$20+0+Skills!P12+B1482+(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Hunt"),CHOOSE(ArtifactsInput!$N$35+1,15,18,21,24,27,30)*(1-EXP(-(0.2*B1485)*5)),0)+IF(AND(ArtifactsInput!$M$22,Inputs!$B$4&lt;&gt;"Chapter Hunt"),CHOOSE(ArtifactsInput!$N$22+1,10,12,14,16,18,20)*((0*(((0.15*B1485*5))^0/1)+1*(((0.15*B1485*5))^1/1)+2*(((0.15*B1485*5))^2/2)+3*(((0.15*B1485*5))^3/6)+4*(((0.15*B1485*5))^4/24)+5*(((0.15*B1485*5))^5/120))/((((0.15*B1485*5))^0/1)+(((0.15*B1485*5))^1/1)+(((0.15*B1485*5))^2/2)+(((0.15*B1485*5))^3/6)+(((0.15*B1485*5))^4/24)+(((0.15*B1485*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1459*(1-MIN(100,(Inputs!$B$9+((C1473=TRUE)*(F1473-Calc!F26))+B1481+(ArtifactsInput!$M$24-ArtifactsInput!$M$24)*CHOOSE(ArtifactsInput!$N$24+1,10,12,14,16,18,20)+(IF(AND(Inputs!$B$39&lt;&gt;"pvp",Inputs!$B$44=0),1,IF(IF(Inputs!$B$39="pvp",15,Inputs!$B$44)-(B1492)&lt;=0,1,MAX(0,IF(Inputs!$B$39="pvp",15,Inputs!$B$44)-MAX(5,B1492))/(IF(Inputs!$B$39="pvp",15,Inputs!$B$44)-(B1492))))*IF(AND(ArtifactsInput!$M$42,((Inputs!$B$9+((C1473=TRUE)*(F1473-Calc!F26))+B1481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1459*(MIN(100,(Inputs!$B$9+((C1473=TRUE)*(F1473-Calc!F26))+B1481+(ArtifactsInput!$M$24-ArtifactsInput!$M$24)*CHOOSE(ArtifactsInput!$N$24+1,10,12,14,16,18,20)+(IF(AND(Inputs!$B$39&lt;&gt;"pvp",Inputs!$B$44=0),1,IF(IF(Inputs!$B$39="pvp",15,Inputs!$B$44)-(B1492)&lt;=0,1,MAX(0,IF(Inputs!$B$39="pvp",15,Inputs!$B$44)-MAX(5,B1492))/(IF(Inputs!$B$39="pvp",15,Inputs!$B$44)-(B1492))))*IF(AND(ArtifactsInput!$M$42,((Inputs!$B$9+((C1473=TRUE)*(F1473-Calc!F26))+B1481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1459*(1-MIN(100,(Inputs!$B$9+((C1473=TRUE)*(F1473-Calc!F26))+B1481+(ArtifactsInput!$M$24-ArtifactsInput!$M$24)*CHOOSE(ArtifactsInput!$N$24+1,10,12,14,16,18,20)+(IF(AND(Inputs!$B$39&lt;&gt;"pvp",Inputs!$B$44=0),1,IF(IF(Inputs!$B$39="pvp",15,Inputs!$B$44)-(B1492)&lt;=0,1,MAX(0,IF(Inputs!$B$39="pvp",15,Inputs!$B$44)-MAX(5,B1492))/(IF(Inputs!$B$39="pvp",15,Inputs!$B$44)-(B1492))))*IF(AND(ArtifactsInput!$M$42,((Inputs!$B$9+((C1473=TRUE)*(F1473-Calc!F26))+B1481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1459*(MIN(100,(Inputs!$B$9+((C1473=TRUE)*(F1473-Calc!F26))+B1481+(ArtifactsInput!$M$24-ArtifactsInput!$M$24)*CHOOSE(ArtifactsInput!$N$24+1,10,12,14,16,18,20)+(IF(AND(Inputs!$B$39&lt;&gt;"pvp",Inputs!$B$44=0),1,IF(IF(Inputs!$B$39="pvp",15,Inputs!$B$44)-(B1492)&lt;=0,1,MAX(0,IF(Inputs!$B$39="pvp",15,Inputs!$B$44)-MAX(5,B1492))/(IF(Inputs!$B$39="pvp",15,Inputs!$B$44)-(B1492))))*IF(AND(ArtifactsInput!$M$42,((Inputs!$B$9+((C1473=TRUE)*(F1473-Calc!F26))+B1481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1459">
        <f>IF(C1459,(H1459*N1459*IF(AND(Inputs!$B$39&lt;&gt;"pvp",Inputs!$B$44&gt;0),((Skills!G12*((R1459-1)*IF(Skills!H12&gt;0,Skills!I12/Skills!H12,1)+IF(Skills!H12&gt;0,MIN(Skills!I12,MAX(0,MAX(0,Inputs!$B$44-B1492)-((R1459-1)*IF(Inputs!$B$39="pvp",15,MAX(0.1,Skills!D12-IF(TRUE=TRUE,Inputs!$B$32,0))))))/Skills!H12,1)))/Inputs!$B$44),G1459*Q1459))*IF(Inputs!$B$39="pvp",1,(1+(Inputs!$B$21+Skills!Q12+B1482+(IF(ArtifactsInput!$M$33,CHOOSE(ArtifactsInput!$N$33+1,30,36,42,48,54,60),0))+(IF(AND(ArtifactsInput!$M$35,Inputs!$B$4&lt;&gt;"Chapter Hunt"),CHOOSE(ArtifactsInput!$N$35+1,15,18,21,24,27,30)*(1-EXP(-(0.2*B1485)*5)),0)+IF(AND(ArtifactsInput!$M$22,Inputs!$B$4&lt;&gt;"Chapter Hunt"),CHOOSE(ArtifactsInput!$N$22+1,10,12,14,16,18,20)*((0*(((0.15*B1485*5))^0/1)+1*(((0.15*B1485*5))^1/1)+2*(((0.15*B1485*5))^2/2)+3*(((0.15*B1485*5))^3/6)+4*(((0.15*B1485*5))^4/24)+5*(((0.15*B1485*5))^5/120))/((((0.15*B1485*5))^0/1)+(((0.15*B1485*5))^1/1)+(((0.15*B1485*5))^2/2)+(((0.15*B1485*5))^3/6)+(((0.15*B1485*5))^4/24)+(((0.15*B1485*5))^5/120))),0)))/100)*(MIN(Skills!W12,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460">
      <c r="A1460">
        <f>Skills!A13</f>
        <v/>
      </c>
      <c r="B1460">
        <f>Skills!B13</f>
        <v/>
      </c>
      <c r="C1460">
        <f>Inputs!$B$3&gt;=105</f>
        <v/>
      </c>
      <c r="D1460">
        <f>IF(Skills!C13=1,60+Inputs!$B$25+Inputs!$B$29,IF(Skills!C13=2,90+Inputs!$B$26+Inputs!$B$29,IF(Skills!C13=3,120+Inputs!$B$27+Inputs!$B$29,MAX(0,(Inputs!$B$3-100)*3)+Inputs!$B$28+Inputs!$B$29)))</f>
        <v/>
      </c>
      <c r="E1460">
        <f>INDEX(FactorTable!$B$2:$Y$301, MATCH(ROUND(MIN(300,MAX(1,D1460)),0), FactorTable!$A$2:$A$301,0), Skills!M13+1)</f>
        <v/>
      </c>
      <c r="F1460">
        <f>IF(Skills!N13=TRUE,(Skills!L13/10)*(E1460/1000),Skills!L13/10)+Skills!O13</f>
        <v/>
      </c>
      <c r="G1460">
        <f>Skills!G13*IF(Skills!H13&gt;0,IF(Inputs!$B$39="pvp",MIN(Skills!I13,15),Skills!I13)/Skills!H13,1)</f>
        <v/>
      </c>
      <c r="H1460">
        <f>1-(1-Skills!J13/100)^Skills!K13</f>
        <v/>
      </c>
      <c r="I1460" t="inlineStr">
        <is>
          <t>1</t>
        </is>
      </c>
      <c r="J1460">
        <f>((Inputs!$B$6*(1+Inputs!$B$7/100))+(((Inputs!$B$12*(1+Inputs!$B$13/100))-(Inputs!$B$12*(1+Inputs!$B$13/100)))+0.25*(Inputs!$B$14-Inputs!$B$14))*(1+Inputs!$B$7/100))*(F1460/100)</f>
        <v/>
      </c>
      <c r="K1460">
        <f>J1460*(1+((Inputs!$B$12*(1+Inputs!$B$13/100))*0.01+Inputs!$B$14*0.0025)/100)*(1+Inputs!$B$15/100)*(1+Inputs!$B$16/100)*(5000/(6000+Inputs!$B$43*(1-(100*(1-(1-Inputs!$B$19/100)*(1-CHOOSE(ArtifactsInput!$N$40+1,5,6,7,8,9,10)/100)^(ArtifactsInput!$M$40-ArtifactsInput!$M$40)))/100)))*(1+(Inputs!$B$24+((C1478=TRUE)*(F1478-Calc!F31))+((C1465=TRUE)*(F1465-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13="CRUEL_STAB",Inputs!$B$17+((C1475=TRUE)*(F1475-Calc!F28))+((IF(AND(Inputs!$B$39&lt;&gt;"pvp",Inputs!$B$44=0),1,IF(IF(Inputs!$B$39="pvp",15,Inputs!$B$44)-(B1492)&lt;=0,1,MAX(0,IF(Inputs!$B$39="pvp",15,Inputs!$B$44)-MAX(5,B1492))/(IF(Inputs!$B$39="pvp",15,Inputs!$B$44)-(B1492))))*(IF(AND(ArtifactsInput!$M$42,((Inputs!$B$9+((C1473=TRUE)*(F1473-Calc!F26))+B1481+(ArtifactsInput!$M$24-ArtifactsInput!$M$24)*CHOOSE(ArtifactsInput!$N$24+1,10,12,14,16,18,20)+IF(ArtifactsInput!$M$10,CHOOSE(ArtifactsInput!$N$10+1,15,18,21,24,27,30)*(IF(Inputs!$B$39="pvp",MIN(15,15)/15,IF(AND(Inputs!$B$39&lt;&gt;"pvp",Inputs!$B$44&gt;0),MIN(15,Inputs!$B$44)/(Inputs!$B$44),0))),0)))&gt;=100),MIN(100,((Inputs!$B$9+((C1473=TRUE)*(F1473-Calc!F26))+B1481+(ArtifactsInput!$M$24-ArtifactsInput!$M$24)*CHOOSE(ArtifactsInput!$N$24+1,10,12,14,16,18,20)+IF(ArtifactsInput!$M$10,CHOOSE(ArtifactsInput!$N$10+1,15,18,21,24,27,30)*(IF(Inputs!$B$39="pvp",MIN(15,15)/15,IF(AND(Inputs!$B$39&lt;&gt;"pvp",Inputs!$B$44&gt;0),MIN(15,Inputs!$B$44)/(Inputs!$B$44),0))),0)))-100),0))*CHOOSE(ArtifactsInput!$N$42+1,0.6,0.72,0.84,0.96,1.08,1.2))),Inputs!$B$18+((C1476=TRUE)*(F1476-Calc!F29))+(IF(AND(Inputs!$B$39&lt;&gt;"pvp",Inputs!$B$44=0),1,IF(IF(Inputs!$B$39="pvp",15,Inputs!$B$44)-(B1492)&lt;=0,1,MAX(0,IF(Inputs!$B$39="pvp",15,Inputs!$B$44)-MAX(5,B1492))/(IF(Inputs!$B$39="pvp",15,Inputs!$B$44)-(B1492))))*IF(AND(ArtifactsInput!$M$42,((Inputs!$B$9+((C1473=TRUE)*(F1473-Calc!F26))+B1481+(ArtifactsInput!$M$24-ArtifactsInput!$M$24)*CHOOSE(ArtifactsInput!$N$24+1,10,12,14,16,18,20)+IF(ArtifactsInput!$M$10,CHOOSE(ArtifactsInput!$N$10+1,15,18,21,24,27,30)*(IF(Inputs!$B$39="pvp",MIN(15,15)/15,IF(AND(Inputs!$B$39&lt;&gt;"pvp",Inputs!$B$44&gt;0),MIN(15,Inputs!$B$44)/(Inputs!$B$44),0))),0)))&gt;=100),CHOOSE(ArtifactsInput!$N$42+1,40,48,56,64,72,80),0))))/100)*(((1+(((C1469=TRUE)*F1469*IF(AND(Inputs!$B$39&lt;&gt;"pvp",Inputs!$B$44&gt;0),(((R1469-1)*MIN((Skills!Y22*(1+Inputs!$B$34/100)),(1/Q1469))+MIN((Skills!Y22*(1+Inputs!$B$34/100)),MAX(0,Inputs!$B$44-((R1469-1)*(1/Q1469)))))/Inputs!$B$44),IF(Inputs!$B$39="pvp",MIN((Skills!Y22*(1+Inputs!$B$34/100)),15)/15,MIN(1,(Skills!Y22*(1+Inputs!$B$34/100))/(1/Q1469)))))+((C1450=TRUE)*F1450*3)+((C1452=TRUE)*F1452*(1-EXP(-0.75*B1485*5)))+((C1471=TRUE)*(F1471-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IF(ArtifactsInput!$M$5,FALSE,TRUE),CHOOSE(ArtifactsInput!$N$5+1,10,12,14,16,18,20)*(IF(AND(Inputs!$B$39&lt;&gt;"pvp",Inputs!$B$44=0),0.5,(5*INT(MAX(0,IF(Inputs!$B$39="pvp",15,Inputs!$B$44)-10)/10)+MIN((MAX(0,IF(Inputs!$B$39="pvp",15,Inputs!$B$44)-10)-10*INT(MAX(0,IF(Inputs!$B$39="pvp",15,Inputs!$B$44)-10)/10)),5))/IF(Inputs!$B$39="pvp",15,Inputs!$B$44))),0)))/100)*(1+((C1458=TRUE)*F1458*IF(AND(Inputs!$B$39&lt;&gt;"pvp",Inputs!$B$44&gt;0),(((R1458-1)*MIN((Skills!Y11*(1+Inputs!$B$34/100)),(1/Q1458))+MIN((Skills!Y11*(1+Inputs!$B$34/100)),MAX(0,Inputs!$B$44-((R1458-1)*(1/Q1458)))))/Inputs!$B$44),IF(Inputs!$B$39="pvp",MIN((Skills!Y11*(1+Inputs!$B$34/100)),15)/15,MIN(1,(Skills!Y11*(1+Inputs!$B$34/100))/(1/Q1458)))))/100)*(1+((C1463=TRUE)*F1463*IF(AND(Inputs!$B$39&lt;&gt;"pvp",Inputs!$B$44&gt;0),(((R1463-1)*MIN((Skills!Y16*(1+Inputs!$B$34/100)),(1/Q1463))+MIN((Skills!Y16*(1+Inputs!$B$34/100)),MAX(0,Inputs!$B$44-((R1463-1)*(1/Q1463)))))/Inputs!$B$44),IF(Inputs!$B$39="pvp",MIN((Skills!Y16*(1+Inputs!$B$34/100)),15)/15,MIN(1,(Skills!Y16*(1+Inputs!$B$34/100))/(1/Q1463)))))/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1483*I1460)</f>
        <v/>
      </c>
      <c r="L1460">
        <f>K1460*(MIN(Inputs!$B$22+((C1472=TRUE)*(F1472-Calc!F25)),(Inputs!$B$23+((C1477=TRUE)*(F1477-Calc!F30))+IF(ArtifactsInput!$M$15,CHOOSE(ArtifactsInput!$N$15+1,25,30,35,40,45,50)/100*(Inputs!$B$11-Inputs!$B$11),0)))/100+(Inputs!$B$23+((C1477=TRUE)*(F1477-Calc!F30))+IF(ArtifactsInput!$M$15,CHOOSE(ArtifactsInput!$N$15+1,25,30,35,40,45,50)/100*(Inputs!$B$11-Inputs!$B$11),0))/100)/2</f>
        <v/>
      </c>
      <c r="M1460">
        <f>L1460*(1+(Inputs!$B$10+((C1474=TRUE)*(F1474-Calc!F27))+B1488+(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1460">
        <f>L1460*(1-MIN((Inputs!$B$9+((C1473=TRUE)*(F1473-Calc!F26))+B1481+(ArtifactsInput!$M$24-ArtifactsInput!$M$24)*CHOOSE(ArtifactsInput!$N$24+1,10,12,14,16,18,20)+(IF(AND(Inputs!$B$39&lt;&gt;"pvp",Inputs!$B$44=0),1,IF(IF(Inputs!$B$39="pvp",15,Inputs!$B$44)-(B1492)&lt;=0,1,MAX(0,IF(Inputs!$B$39="pvp",15,Inputs!$B$44)-MAX(5,B1492))/(IF(Inputs!$B$39="pvp",15,Inputs!$B$44)-(B1492))))*IF(AND(ArtifactsInput!$M$42,((Inputs!$B$9+((C1473=TRUE)*(F1473-Calc!F26))+B1481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1460*(MIN((Inputs!$B$9+((C1473=TRUE)*(F1473-Calc!F26))+B1481+(ArtifactsInput!$M$24-ArtifactsInput!$M$24)*CHOOSE(ArtifactsInput!$N$24+1,10,12,14,16,18,20)+(IF(AND(Inputs!$B$39&lt;&gt;"pvp",Inputs!$B$44=0),1,IF(IF(Inputs!$B$39="pvp",15,Inputs!$B$44)-(B1492)&lt;=0,1,MAX(0,IF(Inputs!$B$39="pvp",15,Inputs!$B$44)-MAX(5,B1492))/(IF(Inputs!$B$39="pvp",15,Inputs!$B$44)-(B1492))))*IF(AND(ArtifactsInput!$M$42,((Inputs!$B$9+((C1473=TRUE)*(F1473-Calc!F26))+B1481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460">
        <f>(1-Summary!$B$11)*T1460+Summary!$B$11*V1460</f>
        <v/>
      </c>
      <c r="P1460">
        <f>IF(B1493=0,0,O1460/B1493)</f>
        <v/>
      </c>
      <c r="Q1460">
        <f>IFERROR(1/IF(Inputs!$B$39="pvp",15,MAX(0.1,Skills!D13-IF(TRUE=TRUE,Inputs!$B$32,0))),0)</f>
        <v/>
      </c>
      <c r="R1460">
        <f>IF(AND(Inputs!$B$39&lt;&gt;"pvp",Inputs!$B$44&gt;0),IF(MAX(0,Inputs!$B$44-B1492)&lt;=0,0,(INT(MAX(0,Inputs!$B$44-B1492)/IF(Inputs!$B$39="pvp",15,MAX(0.1,Skills!D13-IF(TRUE=TRUE,Inputs!$B$32,0))))+1)),0)</f>
        <v/>
      </c>
      <c r="S1460">
        <f>IFERROR(O1460/N1460,0)</f>
        <v/>
      </c>
      <c r="T1460">
        <f>IF(C1460,(H1460*N1460*IF(AND(Inputs!$B$39&lt;&gt;"pvp",Inputs!$B$44&gt;0),((Skills!G13*((R1460-1)*IF(Skills!H13&gt;0,Skills!I13/Skills!H13,1)+IF(Skills!H13&gt;0,MIN(Skills!I13,MAX(0,MAX(0,Inputs!$B$44-B1492)-((R1460-1)*IF(Inputs!$B$39="pvp",15,MAX(0.1,Skills!D13-IF(TRUE=TRUE,Inputs!$B$32,0))))))/Skills!H13,1)))/Inputs!$B$44),G1460*Q1460))*IF(Inputs!$B$39="pvp",1,1+(Inputs!$B$20+0+Skills!P13+B1482+(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Hunt"),CHOOSE(ArtifactsInput!$N$35+1,15,18,21,24,27,30)*(1-EXP(-(0.2*B1485)*5)),0)+IF(AND(ArtifactsInput!$M$22,Inputs!$B$4&lt;&gt;"Chapter Hunt"),CHOOSE(ArtifactsInput!$N$22+1,10,12,14,16,18,20)*((0*(((0.15*B1485*5))^0/1)+1*(((0.15*B1485*5))^1/1)+2*(((0.15*B1485*5))^2/2)+3*(((0.15*B1485*5))^3/6)+4*(((0.15*B1485*5))^4/24)+5*(((0.15*B1485*5))^5/120))/((((0.15*B1485*5))^0/1)+(((0.15*B1485*5))^1/1)+(((0.15*B1485*5))^2/2)+(((0.15*B1485*5))^3/6)+(((0.15*B1485*5))^4/24)+(((0.15*B1485*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1460*(1-MIN(100,(Inputs!$B$9+((C1473=TRUE)*(F1473-Calc!F26))+B1481+(ArtifactsInput!$M$24-ArtifactsInput!$M$24)*CHOOSE(ArtifactsInput!$N$24+1,10,12,14,16,18,20)+(IF(AND(Inputs!$B$39&lt;&gt;"pvp",Inputs!$B$44=0),1,IF(IF(Inputs!$B$39="pvp",15,Inputs!$B$44)-(B1492)&lt;=0,1,MAX(0,IF(Inputs!$B$39="pvp",15,Inputs!$B$44)-MAX(5,B1492))/(IF(Inputs!$B$39="pvp",15,Inputs!$B$44)-(B1492))))*IF(AND(ArtifactsInput!$M$42,((Inputs!$B$9+((C1473=TRUE)*(F1473-Calc!F26))+B1481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1460*(MIN(100,(Inputs!$B$9+((C1473=TRUE)*(F1473-Calc!F26))+B1481+(ArtifactsInput!$M$24-ArtifactsInput!$M$24)*CHOOSE(ArtifactsInput!$N$24+1,10,12,14,16,18,20)+(IF(AND(Inputs!$B$39&lt;&gt;"pvp",Inputs!$B$44=0),1,IF(IF(Inputs!$B$39="pvp",15,Inputs!$B$44)-(B1492)&lt;=0,1,MAX(0,IF(Inputs!$B$39="pvp",15,Inputs!$B$44)-MAX(5,B1492))/(IF(Inputs!$B$39="pvp",15,Inputs!$B$44)-(B1492))))*IF(AND(ArtifactsInput!$M$42,((Inputs!$B$9+((C1473=TRUE)*(F1473-Calc!F26))+B1481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1460*(1-MIN(100,(Inputs!$B$9+((C1473=TRUE)*(F1473-Calc!F26))+B1481+(ArtifactsInput!$M$24-ArtifactsInput!$M$24)*CHOOSE(ArtifactsInput!$N$24+1,10,12,14,16,18,20)+(IF(AND(Inputs!$B$39&lt;&gt;"pvp",Inputs!$B$44=0),1,IF(IF(Inputs!$B$39="pvp",15,Inputs!$B$44)-(B1492)&lt;=0,1,MAX(0,IF(Inputs!$B$39="pvp",15,Inputs!$B$44)-MAX(5,B1492))/(IF(Inputs!$B$39="pvp",15,Inputs!$B$44)-(B1492))))*IF(AND(ArtifactsInput!$M$42,((Inputs!$B$9+((C1473=TRUE)*(F1473-Calc!F26))+B1481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1460*(MIN(100,(Inputs!$B$9+((C1473=TRUE)*(F1473-Calc!F26))+B1481+(ArtifactsInput!$M$24-ArtifactsInput!$M$24)*CHOOSE(ArtifactsInput!$N$24+1,10,12,14,16,18,20)+(IF(AND(Inputs!$B$39&lt;&gt;"pvp",Inputs!$B$44=0),1,IF(IF(Inputs!$B$39="pvp",15,Inputs!$B$44)-(B1492)&lt;=0,1,MAX(0,IF(Inputs!$B$39="pvp",15,Inputs!$B$44)-MAX(5,B1492))/(IF(Inputs!$B$39="pvp",15,Inputs!$B$44)-(B1492))))*IF(AND(ArtifactsInput!$M$42,((Inputs!$B$9+((C1473=TRUE)*(F1473-Calc!F26))+B1481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1460">
        <f>IF(C1460,(H1460*N1460*IF(AND(Inputs!$B$39&lt;&gt;"pvp",Inputs!$B$44&gt;0),((Skills!G13*((R1460-1)*IF(Skills!H13&gt;0,Skills!I13/Skills!H13,1)+IF(Skills!H13&gt;0,MIN(Skills!I13,MAX(0,MAX(0,Inputs!$B$44-B1492)-((R1460-1)*IF(Inputs!$B$39="pvp",15,MAX(0.1,Skills!D13-IF(TRUE=TRUE,Inputs!$B$32,0))))))/Skills!H13,1)))/Inputs!$B$44),G1460*Q1460))*IF(Inputs!$B$39="pvp",1,(1+(Inputs!$B$21+Skills!Q13+B1482+(IF(ArtifactsInput!$M$33,CHOOSE(ArtifactsInput!$N$33+1,30,36,42,48,54,60),0))+(IF(AND(ArtifactsInput!$M$35,Inputs!$B$4&lt;&gt;"Chapter Hunt"),CHOOSE(ArtifactsInput!$N$35+1,15,18,21,24,27,30)*(1-EXP(-(0.2*B1485)*5)),0)+IF(AND(ArtifactsInput!$M$22,Inputs!$B$4&lt;&gt;"Chapter Hunt"),CHOOSE(ArtifactsInput!$N$22+1,10,12,14,16,18,20)*((0*(((0.15*B1485*5))^0/1)+1*(((0.15*B1485*5))^1/1)+2*(((0.15*B1485*5))^2/2)+3*(((0.15*B1485*5))^3/6)+4*(((0.15*B1485*5))^4/24)+5*(((0.15*B1485*5))^5/120))/((((0.15*B1485*5))^0/1)+(((0.15*B1485*5))^1/1)+(((0.15*B1485*5))^2/2)+(((0.15*B1485*5))^3/6)+(((0.15*B1485*5))^4/24)+(((0.15*B1485*5))^5/120))),0)))/100)*(MIN(Skills!W13,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461">
      <c r="A1461">
        <f>Skills!A14</f>
        <v/>
      </c>
      <c r="B1461">
        <f>Skills!B14</f>
        <v/>
      </c>
      <c r="C1461">
        <f>Inputs!$B$3&gt;=105</f>
        <v/>
      </c>
      <c r="D1461">
        <f>IF(Skills!C14=1,60+Inputs!$B$25+Inputs!$B$29,IF(Skills!C14=2,90+Inputs!$B$26+Inputs!$B$29,IF(Skills!C14=3,120+Inputs!$B$27+Inputs!$B$29,MAX(0,(Inputs!$B$3-100)*3)+Inputs!$B$28+Inputs!$B$29)))</f>
        <v/>
      </c>
      <c r="E1461">
        <f>INDEX(FactorTable!$B$2:$Y$301, MATCH(ROUND(MIN(300,MAX(1,D1461)),0), FactorTable!$A$2:$A$301,0), Skills!M14+1)</f>
        <v/>
      </c>
      <c r="F1461">
        <f>IF(Skills!N14=TRUE,(Skills!L14/10)*(E1461/1000),Skills!L14/10)+Skills!O14</f>
        <v/>
      </c>
      <c r="G1461">
        <f>Skills!G14*IF(Skills!H14&gt;0,IF(Inputs!$B$39="pvp",MIN(Skills!I14,15),Skills!I14)/Skills!H14,1)</f>
        <v/>
      </c>
      <c r="H1461">
        <f>1-(1-Skills!J14/100)^Skills!K14</f>
        <v/>
      </c>
      <c r="I1461" t="inlineStr">
        <is>
          <t>1</t>
        </is>
      </c>
      <c r="J1461">
        <f>((Inputs!$B$6*(1+Inputs!$B$7/100))+(((Inputs!$B$12*(1+Inputs!$B$13/100))-(Inputs!$B$12*(1+Inputs!$B$13/100)))+0.25*(Inputs!$B$14-Inputs!$B$14))*(1+Inputs!$B$7/100))*(F1461/100)</f>
        <v/>
      </c>
      <c r="K1461">
        <f>J1461*(1+((Inputs!$B$12*(1+Inputs!$B$13/100))*0.01+Inputs!$B$14*0.0025)/100)*(1+Inputs!$B$15/100)*(1+Inputs!$B$16/100)*(5000/(6000+Inputs!$B$43*(1-(100*(1-(1-Inputs!$B$19/100)*(1-CHOOSE(ArtifactsInput!$N$40+1,5,6,7,8,9,10)/100)^(ArtifactsInput!$M$40-ArtifactsInput!$M$40)))/100)))*(1+(Inputs!$B$24+((C1478=TRUE)*(F1478-Calc!F31))+((C1465=TRUE)*(F1465-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14="CRUEL_STAB",Inputs!$B$17+((C1475=TRUE)*(F1475-Calc!F28))+((IF(AND(Inputs!$B$39&lt;&gt;"pvp",Inputs!$B$44=0),1,IF(IF(Inputs!$B$39="pvp",15,Inputs!$B$44)-(B1492)&lt;=0,1,MAX(0,IF(Inputs!$B$39="pvp",15,Inputs!$B$44)-MAX(5,B1492))/(IF(Inputs!$B$39="pvp",15,Inputs!$B$44)-(B1492))))*(IF(AND(ArtifactsInput!$M$42,((Inputs!$B$9+((C1473=TRUE)*(F1473-Calc!F26))+B1481+(ArtifactsInput!$M$24-ArtifactsInput!$M$24)*CHOOSE(ArtifactsInput!$N$24+1,10,12,14,16,18,20)+IF(ArtifactsInput!$M$10,CHOOSE(ArtifactsInput!$N$10+1,15,18,21,24,27,30)*(IF(Inputs!$B$39="pvp",MIN(15,15)/15,IF(AND(Inputs!$B$39&lt;&gt;"pvp",Inputs!$B$44&gt;0),MIN(15,Inputs!$B$44)/(Inputs!$B$44),0))),0)))&gt;=100),MIN(100,((Inputs!$B$9+((C1473=TRUE)*(F1473-Calc!F26))+B1481+(ArtifactsInput!$M$24-ArtifactsInput!$M$24)*CHOOSE(ArtifactsInput!$N$24+1,10,12,14,16,18,20)+IF(ArtifactsInput!$M$10,CHOOSE(ArtifactsInput!$N$10+1,15,18,21,24,27,30)*(IF(Inputs!$B$39="pvp",MIN(15,15)/15,IF(AND(Inputs!$B$39&lt;&gt;"pvp",Inputs!$B$44&gt;0),MIN(15,Inputs!$B$44)/(Inputs!$B$44),0))),0)))-100),0))*CHOOSE(ArtifactsInput!$N$42+1,0.6,0.72,0.84,0.96,1.08,1.2))),Inputs!$B$18+((C1476=TRUE)*(F1476-Calc!F29))+(IF(AND(Inputs!$B$39&lt;&gt;"pvp",Inputs!$B$44=0),1,IF(IF(Inputs!$B$39="pvp",15,Inputs!$B$44)-(B1492)&lt;=0,1,MAX(0,IF(Inputs!$B$39="pvp",15,Inputs!$B$44)-MAX(5,B1492))/(IF(Inputs!$B$39="pvp",15,Inputs!$B$44)-(B1492))))*IF(AND(ArtifactsInput!$M$42,((Inputs!$B$9+((C1473=TRUE)*(F1473-Calc!F26))+B1481+(ArtifactsInput!$M$24-ArtifactsInput!$M$24)*CHOOSE(ArtifactsInput!$N$24+1,10,12,14,16,18,20)+IF(ArtifactsInput!$M$10,CHOOSE(ArtifactsInput!$N$10+1,15,18,21,24,27,30)*(IF(Inputs!$B$39="pvp",MIN(15,15)/15,IF(AND(Inputs!$B$39&lt;&gt;"pvp",Inputs!$B$44&gt;0),MIN(15,Inputs!$B$44)/(Inputs!$B$44),0))),0)))&gt;=100),CHOOSE(ArtifactsInput!$N$42+1,40,48,56,64,72,80),0))))/100)*(((1+(((C1469=TRUE)*F1469*IF(AND(Inputs!$B$39&lt;&gt;"pvp",Inputs!$B$44&gt;0),(((R1469-1)*MIN((Skills!Y22*(1+Inputs!$B$34/100)),(1/Q1469))+MIN((Skills!Y22*(1+Inputs!$B$34/100)),MAX(0,Inputs!$B$44-((R1469-1)*(1/Q1469)))))/Inputs!$B$44),IF(Inputs!$B$39="pvp",MIN((Skills!Y22*(1+Inputs!$B$34/100)),15)/15,MIN(1,(Skills!Y22*(1+Inputs!$B$34/100))/(1/Q1469)))))+((C1450=TRUE)*F1450*3)+((C1452=TRUE)*F1452*(1-EXP(-0.75*B1485*5)))+((C1471=TRUE)*(F1471-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IF(ArtifactsInput!$M$5,FALSE,TRUE),CHOOSE(ArtifactsInput!$N$5+1,10,12,14,16,18,20)*(IF(AND(Inputs!$B$39&lt;&gt;"pvp",Inputs!$B$44=0),0.5,(5*INT(MAX(0,IF(Inputs!$B$39="pvp",15,Inputs!$B$44)-10)/10)+MIN((MAX(0,IF(Inputs!$B$39="pvp",15,Inputs!$B$44)-10)-10*INT(MAX(0,IF(Inputs!$B$39="pvp",15,Inputs!$B$44)-10)/10)),5))/IF(Inputs!$B$39="pvp",15,Inputs!$B$44))),0)))/100)*(1+((C1458=TRUE)*F1458*IF(AND(Inputs!$B$39&lt;&gt;"pvp",Inputs!$B$44&gt;0),(((R1458-1)*MIN((Skills!Y11*(1+Inputs!$B$34/100)),(1/Q1458))+MIN((Skills!Y11*(1+Inputs!$B$34/100)),MAX(0,Inputs!$B$44-((R1458-1)*(1/Q1458)))))/Inputs!$B$44),IF(Inputs!$B$39="pvp",MIN((Skills!Y11*(1+Inputs!$B$34/100)),15)/15,MIN(1,(Skills!Y11*(1+Inputs!$B$34/100))/(1/Q1458)))))/100)*(1+((C1463=TRUE)*F1463*IF(AND(Inputs!$B$39&lt;&gt;"pvp",Inputs!$B$44&gt;0),(((R1463-1)*MIN((Skills!Y16*(1+Inputs!$B$34/100)),(1/Q1463))+MIN((Skills!Y16*(1+Inputs!$B$34/100)),MAX(0,Inputs!$B$44-((R1463-1)*(1/Q1463)))))/Inputs!$B$44),IF(Inputs!$B$39="pvp",MIN((Skills!Y16*(1+Inputs!$B$34/100)),15)/15,MIN(1,(Skills!Y16*(1+Inputs!$B$34/100))/(1/Q1463)))))/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1483*I1461)</f>
        <v/>
      </c>
      <c r="L1461">
        <f>K1461*(MIN(Inputs!$B$22+((C1472=TRUE)*(F1472-Calc!F25)),(Inputs!$B$23+((C1477=TRUE)*(F1477-Calc!F30))+IF(ArtifactsInput!$M$15,CHOOSE(ArtifactsInput!$N$15+1,25,30,35,40,45,50)/100*(Inputs!$B$11-Inputs!$B$11),0)))/100+(Inputs!$B$23+((C1477=TRUE)*(F1477-Calc!F30))+IF(ArtifactsInput!$M$15,CHOOSE(ArtifactsInput!$N$15+1,25,30,35,40,45,50)/100*(Inputs!$B$11-Inputs!$B$11),0))/100)/2</f>
        <v/>
      </c>
      <c r="M1461">
        <f>L1461*(1+(Inputs!$B$10+((C1474=TRUE)*(F1474-Calc!F27))+B1488+(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1461">
        <f>L1461*(1-MIN((Inputs!$B$9+((C1473=TRUE)*(F1473-Calc!F26))+B1481+(ArtifactsInput!$M$24-ArtifactsInput!$M$24)*CHOOSE(ArtifactsInput!$N$24+1,10,12,14,16,18,20)+(IF(AND(Inputs!$B$39&lt;&gt;"pvp",Inputs!$B$44=0),1,IF(IF(Inputs!$B$39="pvp",15,Inputs!$B$44)-(B1492)&lt;=0,1,MAX(0,IF(Inputs!$B$39="pvp",15,Inputs!$B$44)-MAX(5,B1492))/(IF(Inputs!$B$39="pvp",15,Inputs!$B$44)-(B1492))))*IF(AND(ArtifactsInput!$M$42,((Inputs!$B$9+((C1473=TRUE)*(F1473-Calc!F26))+B1481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1461*(MIN((Inputs!$B$9+((C1473=TRUE)*(F1473-Calc!F26))+B1481+(ArtifactsInput!$M$24-ArtifactsInput!$M$24)*CHOOSE(ArtifactsInput!$N$24+1,10,12,14,16,18,20)+(IF(AND(Inputs!$B$39&lt;&gt;"pvp",Inputs!$B$44=0),1,IF(IF(Inputs!$B$39="pvp",15,Inputs!$B$44)-(B1492)&lt;=0,1,MAX(0,IF(Inputs!$B$39="pvp",15,Inputs!$B$44)-MAX(5,B1492))/(IF(Inputs!$B$39="pvp",15,Inputs!$B$44)-(B1492))))*IF(AND(ArtifactsInput!$M$42,((Inputs!$B$9+((C1473=TRUE)*(F1473-Calc!F26))+B1481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461">
        <f>(1-Summary!$B$11)*T1461+Summary!$B$11*V1461</f>
        <v/>
      </c>
      <c r="P1461">
        <f>IF(B1493=0,0,O1461/B1493)</f>
        <v/>
      </c>
      <c r="Q1461">
        <f>IFERROR(1/IF(Inputs!$B$39="pvp",15,MAX(0.1,Skills!D14-IF(TRUE=TRUE,Inputs!$B$32,0))),0)</f>
        <v/>
      </c>
      <c r="R1461">
        <f>IF(AND(Inputs!$B$39&lt;&gt;"pvp",Inputs!$B$44&gt;0),IF(MAX(0,Inputs!$B$44-B1492)&lt;=0,0,(INT(MAX(0,Inputs!$B$44-B1492)/IF(Inputs!$B$39="pvp",15,MAX(0.1,Skills!D14-IF(TRUE=TRUE,Inputs!$B$32,0))))+1)),0)</f>
        <v/>
      </c>
      <c r="S1461">
        <f>IFERROR(O1461/N1461,0)</f>
        <v/>
      </c>
      <c r="T1461">
        <f>IF(C1461,(H1461*N1461*IF(AND(Inputs!$B$39&lt;&gt;"pvp",Inputs!$B$44&gt;0),((Skills!G14*((R1461-1)*IF(Skills!H14&gt;0,Skills!I14/Skills!H14,1)+IF(Skills!H14&gt;0,MIN(Skills!I14,MAX(0,MAX(0,Inputs!$B$44-B1492)-((R1461-1)*IF(Inputs!$B$39="pvp",15,MAX(0.1,Skills!D14-IF(TRUE=TRUE,Inputs!$B$32,0))))))/Skills!H14,1)))/Inputs!$B$44),G1461*Q1461))*IF(Inputs!$B$39="pvp",1,1+(Inputs!$B$20+0+Skills!P14+B1482+(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Hunt"),CHOOSE(ArtifactsInput!$N$35+1,15,18,21,24,27,30)*(1-EXP(-(0.2*B1485)*5)),0)+IF(AND(ArtifactsInput!$M$22,Inputs!$B$4&lt;&gt;"Chapter Hunt"),CHOOSE(ArtifactsInput!$N$22+1,10,12,14,16,18,20)*((0*(((0.15*B1485*5))^0/1)+1*(((0.15*B1485*5))^1/1)+2*(((0.15*B1485*5))^2/2)+3*(((0.15*B1485*5))^3/6)+4*(((0.15*B1485*5))^4/24)+5*(((0.15*B1485*5))^5/120))/((((0.15*B1485*5))^0/1)+(((0.15*B1485*5))^1/1)+(((0.15*B1485*5))^2/2)+(((0.15*B1485*5))^3/6)+(((0.15*B1485*5))^4/24)+(((0.15*B1485*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1461*(1-MIN(100,(Inputs!$B$9+((C1473=TRUE)*(F1473-Calc!F26))+B1481+(ArtifactsInput!$M$24-ArtifactsInput!$M$24)*CHOOSE(ArtifactsInput!$N$24+1,10,12,14,16,18,20)+(IF(AND(Inputs!$B$39&lt;&gt;"pvp",Inputs!$B$44=0),1,IF(IF(Inputs!$B$39="pvp",15,Inputs!$B$44)-(B1492)&lt;=0,1,MAX(0,IF(Inputs!$B$39="pvp",15,Inputs!$B$44)-MAX(5,B1492))/(IF(Inputs!$B$39="pvp",15,Inputs!$B$44)-(B1492))))*IF(AND(ArtifactsInput!$M$42,((Inputs!$B$9+((C1473=TRUE)*(F1473-Calc!F26))+B1481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1461*(MIN(100,(Inputs!$B$9+((C1473=TRUE)*(F1473-Calc!F26))+B1481+(ArtifactsInput!$M$24-ArtifactsInput!$M$24)*CHOOSE(ArtifactsInput!$N$24+1,10,12,14,16,18,20)+(IF(AND(Inputs!$B$39&lt;&gt;"pvp",Inputs!$B$44=0),1,IF(IF(Inputs!$B$39="pvp",15,Inputs!$B$44)-(B1492)&lt;=0,1,MAX(0,IF(Inputs!$B$39="pvp",15,Inputs!$B$44)-MAX(5,B1492))/(IF(Inputs!$B$39="pvp",15,Inputs!$B$44)-(B1492))))*IF(AND(ArtifactsInput!$M$42,((Inputs!$B$9+((C1473=TRUE)*(F1473-Calc!F26))+B1481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1461*(1-MIN(100,(Inputs!$B$9+((C1473=TRUE)*(F1473-Calc!F26))+B1481+(ArtifactsInput!$M$24-ArtifactsInput!$M$24)*CHOOSE(ArtifactsInput!$N$24+1,10,12,14,16,18,20)+(IF(AND(Inputs!$B$39&lt;&gt;"pvp",Inputs!$B$44=0),1,IF(IF(Inputs!$B$39="pvp",15,Inputs!$B$44)-(B1492)&lt;=0,1,MAX(0,IF(Inputs!$B$39="pvp",15,Inputs!$B$44)-MAX(5,B1492))/(IF(Inputs!$B$39="pvp",15,Inputs!$B$44)-(B1492))))*IF(AND(ArtifactsInput!$M$42,((Inputs!$B$9+((C1473=TRUE)*(F1473-Calc!F26))+B1481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1461*(MIN(100,(Inputs!$B$9+((C1473=TRUE)*(F1473-Calc!F26))+B1481+(ArtifactsInput!$M$24-ArtifactsInput!$M$24)*CHOOSE(ArtifactsInput!$N$24+1,10,12,14,16,18,20)+(IF(AND(Inputs!$B$39&lt;&gt;"pvp",Inputs!$B$44=0),1,IF(IF(Inputs!$B$39="pvp",15,Inputs!$B$44)-(B1492)&lt;=0,1,MAX(0,IF(Inputs!$B$39="pvp",15,Inputs!$B$44)-MAX(5,B1492))/(IF(Inputs!$B$39="pvp",15,Inputs!$B$44)-(B1492))))*IF(AND(ArtifactsInput!$M$42,((Inputs!$B$9+((C1473=TRUE)*(F1473-Calc!F26))+B1481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1461">
        <f>IF(C1461,(H1461*N1461*IF(AND(Inputs!$B$39&lt;&gt;"pvp",Inputs!$B$44&gt;0),((Skills!G14*((R1461-1)*IF(Skills!H14&gt;0,Skills!I14/Skills!H14,1)+IF(Skills!H14&gt;0,MIN(Skills!I14,MAX(0,MAX(0,Inputs!$B$44-B1492)-((R1461-1)*IF(Inputs!$B$39="pvp",15,MAX(0.1,Skills!D14-IF(TRUE=TRUE,Inputs!$B$32,0))))))/Skills!H14,1)))/Inputs!$B$44),G1461*Q1461))*IF(Inputs!$B$39="pvp",1,(1+(Inputs!$B$21+Skills!Q14+B1482+(IF(ArtifactsInput!$M$33,CHOOSE(ArtifactsInput!$N$33+1,30,36,42,48,54,60),0))+(IF(AND(ArtifactsInput!$M$35,Inputs!$B$4&lt;&gt;"Chapter Hunt"),CHOOSE(ArtifactsInput!$N$35+1,15,18,21,24,27,30)*(1-EXP(-(0.2*B1485)*5)),0)+IF(AND(ArtifactsInput!$M$22,Inputs!$B$4&lt;&gt;"Chapter Hunt"),CHOOSE(ArtifactsInput!$N$22+1,10,12,14,16,18,20)*((0*(((0.15*B1485*5))^0/1)+1*(((0.15*B1485*5))^1/1)+2*(((0.15*B1485*5))^2/2)+3*(((0.15*B1485*5))^3/6)+4*(((0.15*B1485*5))^4/24)+5*(((0.15*B1485*5))^5/120))/((((0.15*B1485*5))^0/1)+(((0.15*B1485*5))^1/1)+(((0.15*B1485*5))^2/2)+(((0.15*B1485*5))^3/6)+(((0.15*B1485*5))^4/24)+(((0.15*B1485*5))^5/120))),0)))/100)*(MIN(Skills!W14,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462">
      <c r="A1462">
        <f>Skills!A15</f>
        <v/>
      </c>
      <c r="B1462">
        <f>Skills!B15</f>
        <v/>
      </c>
      <c r="C1462">
        <f>Inputs!$B$3&gt;=107</f>
        <v/>
      </c>
      <c r="D1462">
        <f>IF(Skills!C15=1,60+Inputs!$B$25+Inputs!$B$29,IF(Skills!C15=2,90+Inputs!$B$26+Inputs!$B$29,IF(Skills!C15=3,120+Inputs!$B$27+Inputs!$B$29,MAX(0,(Inputs!$B$3-100)*3)+Inputs!$B$28+Inputs!$B$29)))</f>
        <v/>
      </c>
      <c r="E1462">
        <f>INDEX(FactorTable!$B$2:$Y$301, MATCH(ROUND(MIN(300,MAX(1,D1462)),0), FactorTable!$A$2:$A$301,0), Skills!M15+1)</f>
        <v/>
      </c>
      <c r="F1462">
        <f>IF(Skills!N15=TRUE,(Skills!L15/10)*(E1462/1000),Skills!L15/10)+Skills!O15</f>
        <v/>
      </c>
      <c r="G1462">
        <f>Skills!G15*IF(Skills!H15&gt;0,IF(Inputs!$B$39="pvp",MIN(Skills!I15,15),Skills!I15)/Skills!H15,1)</f>
        <v/>
      </c>
      <c r="H1462">
        <f>1-(1-Skills!J15/100)^Skills!K15</f>
        <v/>
      </c>
      <c r="I1462" t="inlineStr">
        <is>
          <t>1</t>
        </is>
      </c>
      <c r="J1462">
        <f>((Inputs!$B$6*(1+Inputs!$B$7/100))+(((Inputs!$B$12*(1+Inputs!$B$13/100))-(Inputs!$B$12*(1+Inputs!$B$13/100)))+0.25*(Inputs!$B$14-Inputs!$B$14))*(1+Inputs!$B$7/100))*(F1462/100)</f>
        <v/>
      </c>
      <c r="K1462">
        <f>J1462*(1+((Inputs!$B$12*(1+Inputs!$B$13/100))*0.01+Inputs!$B$14*0.0025)/100)*(1+Inputs!$B$15/100)*(1+Inputs!$B$16/100)*(5000/(6000+Inputs!$B$43*(1-(100*(1-(1-Inputs!$B$19/100)*(1-CHOOSE(ArtifactsInput!$N$40+1,5,6,7,8,9,10)/100)^(ArtifactsInput!$M$40-ArtifactsInput!$M$40)))/100)))*(1+(Inputs!$B$24+((C1478=TRUE)*(F1478-Calc!F31))+((C1465=TRUE)*(F1465-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15="CRUEL_STAB",Inputs!$B$17+((C1475=TRUE)*(F1475-Calc!F28))+((IF(AND(Inputs!$B$39&lt;&gt;"pvp",Inputs!$B$44=0),1,IF(IF(Inputs!$B$39="pvp",15,Inputs!$B$44)-(B1492)&lt;=0,1,MAX(0,IF(Inputs!$B$39="pvp",15,Inputs!$B$44)-MAX(5,B1492))/(IF(Inputs!$B$39="pvp",15,Inputs!$B$44)-(B1492))))*(IF(AND(ArtifactsInput!$M$42,((Inputs!$B$9+((C1473=TRUE)*(F1473-Calc!F26))+B1481+(ArtifactsInput!$M$24-ArtifactsInput!$M$24)*CHOOSE(ArtifactsInput!$N$24+1,10,12,14,16,18,20)+IF(ArtifactsInput!$M$10,CHOOSE(ArtifactsInput!$N$10+1,15,18,21,24,27,30)*(IF(Inputs!$B$39="pvp",MIN(15,15)/15,IF(AND(Inputs!$B$39&lt;&gt;"pvp",Inputs!$B$44&gt;0),MIN(15,Inputs!$B$44)/(Inputs!$B$44),0))),0)))&gt;=100),MIN(100,((Inputs!$B$9+((C1473=TRUE)*(F1473-Calc!F26))+B1481+(ArtifactsInput!$M$24-ArtifactsInput!$M$24)*CHOOSE(ArtifactsInput!$N$24+1,10,12,14,16,18,20)+IF(ArtifactsInput!$M$10,CHOOSE(ArtifactsInput!$N$10+1,15,18,21,24,27,30)*(IF(Inputs!$B$39="pvp",MIN(15,15)/15,IF(AND(Inputs!$B$39&lt;&gt;"pvp",Inputs!$B$44&gt;0),MIN(15,Inputs!$B$44)/(Inputs!$B$44),0))),0)))-100),0))*CHOOSE(ArtifactsInput!$N$42+1,0.6,0.72,0.84,0.96,1.08,1.2))),Inputs!$B$18+((C1476=TRUE)*(F1476-Calc!F29))+(IF(AND(Inputs!$B$39&lt;&gt;"pvp",Inputs!$B$44=0),1,IF(IF(Inputs!$B$39="pvp",15,Inputs!$B$44)-(B1492)&lt;=0,1,MAX(0,IF(Inputs!$B$39="pvp",15,Inputs!$B$44)-MAX(5,B1492))/(IF(Inputs!$B$39="pvp",15,Inputs!$B$44)-(B1492))))*IF(AND(ArtifactsInput!$M$42,((Inputs!$B$9+((C1473=TRUE)*(F1473-Calc!F26))+B1481+(ArtifactsInput!$M$24-ArtifactsInput!$M$24)*CHOOSE(ArtifactsInput!$N$24+1,10,12,14,16,18,20)+IF(ArtifactsInput!$M$10,CHOOSE(ArtifactsInput!$N$10+1,15,18,21,24,27,30)*(IF(Inputs!$B$39="pvp",MIN(15,15)/15,IF(AND(Inputs!$B$39&lt;&gt;"pvp",Inputs!$B$44&gt;0),MIN(15,Inputs!$B$44)/(Inputs!$B$44),0))),0)))&gt;=100),CHOOSE(ArtifactsInput!$N$42+1,40,48,56,64,72,80),0))))/100)*(((1+(((C1469=TRUE)*F1469*IF(AND(Inputs!$B$39&lt;&gt;"pvp",Inputs!$B$44&gt;0),(((R1469-1)*MIN((Skills!Y22*(1+Inputs!$B$34/100)),(1/Q1469))+MIN((Skills!Y22*(1+Inputs!$B$34/100)),MAX(0,Inputs!$B$44-((R1469-1)*(1/Q1469)))))/Inputs!$B$44),IF(Inputs!$B$39="pvp",MIN((Skills!Y22*(1+Inputs!$B$34/100)),15)/15,MIN(1,(Skills!Y22*(1+Inputs!$B$34/100))/(1/Q1469)))))+((C1450=TRUE)*F1450*3)+((C1452=TRUE)*F1452*(1-EXP(-0.75*B1485*5)))+((C1471=TRUE)*(F1471-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IF(ArtifactsInput!$M$5,FALSE,TRUE),CHOOSE(ArtifactsInput!$N$5+1,10,12,14,16,18,20)*(IF(AND(Inputs!$B$39&lt;&gt;"pvp",Inputs!$B$44=0),0.5,(5*INT(MAX(0,IF(Inputs!$B$39="pvp",15,Inputs!$B$44)-10)/10)+MIN((MAX(0,IF(Inputs!$B$39="pvp",15,Inputs!$B$44)-10)-10*INT(MAX(0,IF(Inputs!$B$39="pvp",15,Inputs!$B$44)-10)/10)),5))/IF(Inputs!$B$39="pvp",15,Inputs!$B$44))),0)))/100)*(1+((C1458=TRUE)*F1458*IF(AND(Inputs!$B$39&lt;&gt;"pvp",Inputs!$B$44&gt;0),(((R1458-1)*MIN((Skills!Y11*(1+Inputs!$B$34/100)),(1/Q1458))+MIN((Skills!Y11*(1+Inputs!$B$34/100)),MAX(0,Inputs!$B$44-((R1458-1)*(1/Q1458)))))/Inputs!$B$44),IF(Inputs!$B$39="pvp",MIN((Skills!Y11*(1+Inputs!$B$34/100)),15)/15,MIN(1,(Skills!Y11*(1+Inputs!$B$34/100))/(1/Q1458)))))/100)*(1+((C1463=TRUE)*F1463*IF(AND(Inputs!$B$39&lt;&gt;"pvp",Inputs!$B$44&gt;0),(((R1463-1)*MIN((Skills!Y16*(1+Inputs!$B$34/100)),(1/Q1463))+MIN((Skills!Y16*(1+Inputs!$B$34/100)),MAX(0,Inputs!$B$44-((R1463-1)*(1/Q1463)))))/Inputs!$B$44),IF(Inputs!$B$39="pvp",MIN((Skills!Y16*(1+Inputs!$B$34/100)),15)/15,MIN(1,(Skills!Y16*(1+Inputs!$B$34/100))/(1/Q1463)))))/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1483*I1462)</f>
        <v/>
      </c>
      <c r="L1462">
        <f>K1462*(MIN(Inputs!$B$22+((C1472=TRUE)*(F1472-Calc!F25)),(Inputs!$B$23+((C1477=TRUE)*(F1477-Calc!F30))+IF(ArtifactsInput!$M$15,CHOOSE(ArtifactsInput!$N$15+1,25,30,35,40,45,50)/100*(Inputs!$B$11-Inputs!$B$11),0)))/100+(Inputs!$B$23+((C1477=TRUE)*(F1477-Calc!F30))+IF(ArtifactsInput!$M$15,CHOOSE(ArtifactsInput!$N$15+1,25,30,35,40,45,50)/100*(Inputs!$B$11-Inputs!$B$11),0))/100)/2</f>
        <v/>
      </c>
      <c r="M1462">
        <f>L1462*(1+(Inputs!$B$10+((C1474=TRUE)*(F1474-Calc!F27))+B1488+(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1462">
        <f>L1462*(1-MIN((Inputs!$B$9+((C1473=TRUE)*(F1473-Calc!F26))+B1481+(ArtifactsInput!$M$24-ArtifactsInput!$M$24)*CHOOSE(ArtifactsInput!$N$24+1,10,12,14,16,18,20)+(IF(AND(Inputs!$B$39&lt;&gt;"pvp",Inputs!$B$44=0),1,IF(IF(Inputs!$B$39="pvp",15,Inputs!$B$44)-(B1492)&lt;=0,1,MAX(0,IF(Inputs!$B$39="pvp",15,Inputs!$B$44)-MAX(5,B1492))/(IF(Inputs!$B$39="pvp",15,Inputs!$B$44)-(B1492))))*IF(AND(ArtifactsInput!$M$42,((Inputs!$B$9+((C1473=TRUE)*(F1473-Calc!F26))+B1481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1462*(MIN((Inputs!$B$9+((C1473=TRUE)*(F1473-Calc!F26))+B1481+(ArtifactsInput!$M$24-ArtifactsInput!$M$24)*CHOOSE(ArtifactsInput!$N$24+1,10,12,14,16,18,20)+(IF(AND(Inputs!$B$39&lt;&gt;"pvp",Inputs!$B$44=0),1,IF(IF(Inputs!$B$39="pvp",15,Inputs!$B$44)-(B1492)&lt;=0,1,MAX(0,IF(Inputs!$B$39="pvp",15,Inputs!$B$44)-MAX(5,B1492))/(IF(Inputs!$B$39="pvp",15,Inputs!$B$44)-(B1492))))*IF(AND(ArtifactsInput!$M$42,((Inputs!$B$9+((C1473=TRUE)*(F1473-Calc!F26))+B1481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462">
        <f>(1-Summary!$B$11)*T1462+Summary!$B$11*V1462</f>
        <v/>
      </c>
      <c r="P1462">
        <f>IF(B1493=0,0,O1462/B1493)</f>
        <v/>
      </c>
      <c r="Q1462">
        <f>IFERROR(1/IF(Inputs!$B$39="pvp",15,MAX(0.1,Skills!D15-IF(TRUE=TRUE,Inputs!$B$32,0))),0)</f>
        <v/>
      </c>
      <c r="R1462">
        <f>IF(AND(Inputs!$B$39&lt;&gt;"pvp",Inputs!$B$44&gt;0),IF(MAX(0,Inputs!$B$44-B1492)&lt;=0,0,(INT(MAX(0,Inputs!$B$44-B1492)/IF(Inputs!$B$39="pvp",15,MAX(0.1,Skills!D15-IF(TRUE=TRUE,Inputs!$B$32,0))))+1)),0)</f>
        <v/>
      </c>
      <c r="S1462">
        <f>IFERROR(O1462/N1462,0)</f>
        <v/>
      </c>
      <c r="T1462">
        <f>IF(C1462,(H1462*N1462*IF(AND(Inputs!$B$39&lt;&gt;"pvp",Inputs!$B$44&gt;0),((Skills!G15*((R1462-1)*IF(Skills!H15&gt;0,Skills!I15/Skills!H15,1)+IF(Skills!H15&gt;0,MIN(Skills!I15,MAX(0,MAX(0,Inputs!$B$44-B1492)-((R1462-1)*IF(Inputs!$B$39="pvp",15,MAX(0.1,Skills!D15-IF(TRUE=TRUE,Inputs!$B$32,0))))))/Skills!H15,1)))/Inputs!$B$44),G1462*Q1462))*IF(Inputs!$B$39="pvp",1,1+(Inputs!$B$20+0+Skills!P15+B1482+(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Hunt"),CHOOSE(ArtifactsInput!$N$35+1,15,18,21,24,27,30)*(1-EXP(-(0.2*B1485)*5)),0)+IF(AND(ArtifactsInput!$M$22,Inputs!$B$4&lt;&gt;"Chapter Hunt"),CHOOSE(ArtifactsInput!$N$22+1,10,12,14,16,18,20)*((0*(((0.15*B1485*5))^0/1)+1*(((0.15*B1485*5))^1/1)+2*(((0.15*B1485*5))^2/2)+3*(((0.15*B1485*5))^3/6)+4*(((0.15*B1485*5))^4/24)+5*(((0.15*B1485*5))^5/120))/((((0.15*B1485*5))^0/1)+(((0.15*B1485*5))^1/1)+(((0.15*B1485*5))^2/2)+(((0.15*B1485*5))^3/6)+(((0.15*B1485*5))^4/24)+(((0.15*B1485*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1462*(1-MIN(100,(Inputs!$B$9+((C1473=TRUE)*(F1473-Calc!F26))+B1481+(ArtifactsInput!$M$24-ArtifactsInput!$M$24)*CHOOSE(ArtifactsInput!$N$24+1,10,12,14,16,18,20)+(IF(AND(Inputs!$B$39&lt;&gt;"pvp",Inputs!$B$44=0),1,IF(IF(Inputs!$B$39="pvp",15,Inputs!$B$44)-(B1492)&lt;=0,1,MAX(0,IF(Inputs!$B$39="pvp",15,Inputs!$B$44)-MAX(5,B1492))/(IF(Inputs!$B$39="pvp",15,Inputs!$B$44)-(B1492))))*IF(AND(ArtifactsInput!$M$42,((Inputs!$B$9+((C1473=TRUE)*(F1473-Calc!F26))+B1481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1462*(MIN(100,(Inputs!$B$9+((C1473=TRUE)*(F1473-Calc!F26))+B1481+(ArtifactsInput!$M$24-ArtifactsInput!$M$24)*CHOOSE(ArtifactsInput!$N$24+1,10,12,14,16,18,20)+(IF(AND(Inputs!$B$39&lt;&gt;"pvp",Inputs!$B$44=0),1,IF(IF(Inputs!$B$39="pvp",15,Inputs!$B$44)-(B1492)&lt;=0,1,MAX(0,IF(Inputs!$B$39="pvp",15,Inputs!$B$44)-MAX(5,B1492))/(IF(Inputs!$B$39="pvp",15,Inputs!$B$44)-(B1492))))*IF(AND(ArtifactsInput!$M$42,((Inputs!$B$9+((C1473=TRUE)*(F1473-Calc!F26))+B1481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1462*(1-MIN(100,(Inputs!$B$9+((C1473=TRUE)*(F1473-Calc!F26))+B1481+(ArtifactsInput!$M$24-ArtifactsInput!$M$24)*CHOOSE(ArtifactsInput!$N$24+1,10,12,14,16,18,20)+(IF(AND(Inputs!$B$39&lt;&gt;"pvp",Inputs!$B$44=0),1,IF(IF(Inputs!$B$39="pvp",15,Inputs!$B$44)-(B1492)&lt;=0,1,MAX(0,IF(Inputs!$B$39="pvp",15,Inputs!$B$44)-MAX(5,B1492))/(IF(Inputs!$B$39="pvp",15,Inputs!$B$44)-(B1492))))*IF(AND(ArtifactsInput!$M$42,((Inputs!$B$9+((C1473=TRUE)*(F1473-Calc!F26))+B1481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1462*(MIN(100,(Inputs!$B$9+((C1473=TRUE)*(F1473-Calc!F26))+B1481+(ArtifactsInput!$M$24-ArtifactsInput!$M$24)*CHOOSE(ArtifactsInput!$N$24+1,10,12,14,16,18,20)+(IF(AND(Inputs!$B$39&lt;&gt;"pvp",Inputs!$B$44=0),1,IF(IF(Inputs!$B$39="pvp",15,Inputs!$B$44)-(B1492)&lt;=0,1,MAX(0,IF(Inputs!$B$39="pvp",15,Inputs!$B$44)-MAX(5,B1492))/(IF(Inputs!$B$39="pvp",15,Inputs!$B$44)-(B1492))))*IF(AND(ArtifactsInput!$M$42,((Inputs!$B$9+((C1473=TRUE)*(F1473-Calc!F26))+B1481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1462">
        <f>IF(C1462,(H1462*N1462*IF(AND(Inputs!$B$39&lt;&gt;"pvp",Inputs!$B$44&gt;0),((Skills!G15*((R1462-1)*IF(Skills!H15&gt;0,Skills!I15/Skills!H15,1)+IF(Skills!H15&gt;0,MIN(Skills!I15,MAX(0,MAX(0,Inputs!$B$44-B1492)-((R1462-1)*IF(Inputs!$B$39="pvp",15,MAX(0.1,Skills!D15-IF(TRUE=TRUE,Inputs!$B$32,0))))))/Skills!H15,1)))/Inputs!$B$44),G1462*Q1462))*IF(Inputs!$B$39="pvp",1,(1+(Inputs!$B$21+Skills!Q15+B1482+(IF(ArtifactsInput!$M$33,CHOOSE(ArtifactsInput!$N$33+1,30,36,42,48,54,60),0))+(IF(AND(ArtifactsInput!$M$35,Inputs!$B$4&lt;&gt;"Chapter Hunt"),CHOOSE(ArtifactsInput!$N$35+1,15,18,21,24,27,30)*(1-EXP(-(0.2*B1485)*5)),0)+IF(AND(ArtifactsInput!$M$22,Inputs!$B$4&lt;&gt;"Chapter Hunt"),CHOOSE(ArtifactsInput!$N$22+1,10,12,14,16,18,20)*((0*(((0.15*B1485*5))^0/1)+1*(((0.15*B1485*5))^1/1)+2*(((0.15*B1485*5))^2/2)+3*(((0.15*B1485*5))^3/6)+4*(((0.15*B1485*5))^4/24)+5*(((0.15*B1485*5))^5/120))/((((0.15*B1485*5))^0/1)+(((0.15*B1485*5))^1/1)+(((0.15*B1485*5))^2/2)+(((0.15*B1485*5))^3/6)+(((0.15*B1485*5))^4/24)+(((0.15*B1485*5))^5/120))),0)))/100)*(MIN(MIN(5,0.5*IF(Inputs!$B$3&gt;=75,0.75,0.5)*B1485*(1/Q1451))*Skills!V15,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463">
      <c r="A1463">
        <f>Skills!A16</f>
        <v/>
      </c>
      <c r="B1463">
        <f>Skills!B16</f>
        <v/>
      </c>
      <c r="C1463">
        <f>Inputs!$B$3&gt;=110</f>
        <v/>
      </c>
      <c r="D1463">
        <f>IF(Skills!C16=1,60+Inputs!$B$25+Inputs!$B$29,IF(Skills!C16=2,90+Inputs!$B$26+Inputs!$B$29,IF(Skills!C16=3,120+Inputs!$B$27+Inputs!$B$29,MAX(0,(Inputs!$B$3-100)*3)+Inputs!$B$28+Inputs!$B$29)))</f>
        <v/>
      </c>
      <c r="E1463">
        <f>INDEX(FactorTable!$B$2:$Y$301, MATCH(ROUND(MIN(300,MAX(1,D1463)),0), FactorTable!$A$2:$A$301,0), Skills!M16+1)</f>
        <v/>
      </c>
      <c r="F1463">
        <f>IF(Skills!N16=TRUE,(Skills!L16/10)*(E1463/1000),Skills!L16/10)+Skills!O16</f>
        <v/>
      </c>
      <c r="G1463">
        <f>Skills!G16*IF(Skills!H16&gt;0,IF(Inputs!$B$39="pvp",MIN(Skills!I16,15),Skills!I16)/Skills!H16,1)</f>
        <v/>
      </c>
      <c r="H1463">
        <f>1-(1-Skills!J16/100)^Skills!K16</f>
        <v/>
      </c>
      <c r="I1463" t="inlineStr">
        <is>
          <t>1</t>
        </is>
      </c>
      <c r="J1463" t="inlineStr"/>
      <c r="K1463" t="inlineStr"/>
      <c r="L1463" t="inlineStr"/>
      <c r="M1463" t="inlineStr"/>
      <c r="N1463" t="inlineStr"/>
      <c r="O1463">
        <f>(1-Summary!$B$11)*T1463+Summary!$B$11*V1463</f>
        <v/>
      </c>
      <c r="P1463">
        <f>IF(B1493=0,0,O1463/B1493)</f>
        <v/>
      </c>
      <c r="Q1463">
        <f>IFERROR(1/IF(Inputs!$B$39="pvp",15,MAX(0.1,Skills!D16-IF(TRUE=TRUE,Inputs!$B$32,0))),0)</f>
        <v/>
      </c>
      <c r="R1463">
        <f>IF(AND(Inputs!$B$39&lt;&gt;"pvp",Inputs!$B$44&gt;0),IF(Inputs!$B$44&lt;=0,0,(INT(Inputs!$B$44/IF(Inputs!$B$39="pvp",15,MAX(0.1,Skills!D16-IF(TRUE=TRUE,Inputs!$B$32,0))))+1)),0)</f>
        <v/>
      </c>
      <c r="S1463">
        <f>IFERROR(O1463/N1463,0)</f>
        <v/>
      </c>
      <c r="T1463" t="n">
        <v>0</v>
      </c>
      <c r="V1463" t="n">
        <v>0</v>
      </c>
    </row>
    <row r="1464">
      <c r="A1464">
        <f>Skills!A17</f>
        <v/>
      </c>
      <c r="B1464">
        <f>Skills!B17</f>
        <v/>
      </c>
      <c r="C1464">
        <f>Inputs!$B$3&gt;=115</f>
        <v/>
      </c>
      <c r="D1464">
        <f>IF(Skills!C17=1,60+Inputs!$B$25+Inputs!$B$29,IF(Skills!C17=2,90+Inputs!$B$26+Inputs!$B$29,IF(Skills!C17=3,120+Inputs!$B$27+Inputs!$B$29,MAX(0,(Inputs!$B$3-100)*3)+Inputs!$B$28+Inputs!$B$29)))</f>
        <v/>
      </c>
      <c r="E1464">
        <f>INDEX(FactorTable!$B$2:$Y$301, MATCH(ROUND(MIN(300,MAX(1,D1464)),0), FactorTable!$A$2:$A$301,0), Skills!M17+1)</f>
        <v/>
      </c>
      <c r="F1464">
        <f>IF(Skills!N17=TRUE,(Skills!L17/10)*(E1464/1000),Skills!L17/10)+Skills!O17</f>
        <v/>
      </c>
      <c r="G1464">
        <f>Skills!G17*IF(Skills!H17&gt;0,IF(Inputs!$B$39="pvp",MIN(Skills!I17,15),Skills!I17)/Skills!H17,1)</f>
        <v/>
      </c>
      <c r="H1464">
        <f>1-(1-Skills!J17/100)^Skills!K17</f>
        <v/>
      </c>
      <c r="I1464" t="inlineStr">
        <is>
          <t>1</t>
        </is>
      </c>
      <c r="J1464">
        <f>((Inputs!$B$6*(1+Inputs!$B$7/100))+(((Inputs!$B$12*(1+Inputs!$B$13/100))-(Inputs!$B$12*(1+Inputs!$B$13/100)))+0.25*(Inputs!$B$14-Inputs!$B$14))*(1+Inputs!$B$7/100))*(F1464/100)</f>
        <v/>
      </c>
      <c r="K1464">
        <f>J1464*(1+((Inputs!$B$12*(1+Inputs!$B$13/100))*0.01+Inputs!$B$14*0.0025)/100)*(1+Inputs!$B$15/100)*(1+Inputs!$B$16/100)*(5000/(6000+Inputs!$B$43*(1-(100*(1-(1-Inputs!$B$19/100)*(1-CHOOSE(ArtifactsInput!$N$40+1,5,6,7,8,9,10)/100)^(ArtifactsInput!$M$40-ArtifactsInput!$M$40)))/100)))*(1+(Inputs!$B$24+((C1478=TRUE)*(F1478-Calc!F31))+((C1465=TRUE)*(F1465-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17="CRUEL_STAB",Inputs!$B$17+((C1475=TRUE)*(F1475-Calc!F28))+((IF(AND(Inputs!$B$39&lt;&gt;"pvp",Inputs!$B$44=0),1,IF(IF(Inputs!$B$39="pvp",15,Inputs!$B$44)-(B1492)&lt;=0,1,MAX(0,IF(Inputs!$B$39="pvp",15,Inputs!$B$44)-MAX(5,B1492))/(IF(Inputs!$B$39="pvp",15,Inputs!$B$44)-(B1492))))*(IF(AND(ArtifactsInput!$M$42,((Inputs!$B$9+((C1473=TRUE)*(F1473-Calc!F26))+B1481+(ArtifactsInput!$M$24-ArtifactsInput!$M$24)*CHOOSE(ArtifactsInput!$N$24+1,10,12,14,16,18,20)+IF(ArtifactsInput!$M$10,CHOOSE(ArtifactsInput!$N$10+1,15,18,21,24,27,30)*(IF(Inputs!$B$39="pvp",MIN(15,15)/15,IF(AND(Inputs!$B$39&lt;&gt;"pvp",Inputs!$B$44&gt;0),MIN(15,Inputs!$B$44)/(Inputs!$B$44),0))),0)))&gt;=100),MIN(100,((Inputs!$B$9+((C1473=TRUE)*(F1473-Calc!F26))+B1481+(ArtifactsInput!$M$24-ArtifactsInput!$M$24)*CHOOSE(ArtifactsInput!$N$24+1,10,12,14,16,18,20)+IF(ArtifactsInput!$M$10,CHOOSE(ArtifactsInput!$N$10+1,15,18,21,24,27,30)*(IF(Inputs!$B$39="pvp",MIN(15,15)/15,IF(AND(Inputs!$B$39&lt;&gt;"pvp",Inputs!$B$44&gt;0),MIN(15,Inputs!$B$44)/(Inputs!$B$44),0))),0)))-100),0))*CHOOSE(ArtifactsInput!$N$42+1,0.6,0.72,0.84,0.96,1.08,1.2))),Inputs!$B$18+((C1476=TRUE)*(F1476-Calc!F29))+(IF(AND(Inputs!$B$39&lt;&gt;"pvp",Inputs!$B$44=0),1,IF(IF(Inputs!$B$39="pvp",15,Inputs!$B$44)-(B1492)&lt;=0,1,MAX(0,IF(Inputs!$B$39="pvp",15,Inputs!$B$44)-MAX(5,B1492))/(IF(Inputs!$B$39="pvp",15,Inputs!$B$44)-(B1492))))*IF(AND(ArtifactsInput!$M$42,((Inputs!$B$9+((C1473=TRUE)*(F1473-Calc!F26))+B1481+(ArtifactsInput!$M$24-ArtifactsInput!$M$24)*CHOOSE(ArtifactsInput!$N$24+1,10,12,14,16,18,20)+IF(ArtifactsInput!$M$10,CHOOSE(ArtifactsInput!$N$10+1,15,18,21,24,27,30)*(IF(Inputs!$B$39="pvp",MIN(15,15)/15,IF(AND(Inputs!$B$39&lt;&gt;"pvp",Inputs!$B$44&gt;0),MIN(15,Inputs!$B$44)/(Inputs!$B$44),0))),0)))&gt;=100),CHOOSE(ArtifactsInput!$N$42+1,40,48,56,64,72,80),0))))/100)*(((1+(((C1469=TRUE)*F1469*IF(AND(Inputs!$B$39&lt;&gt;"pvp",Inputs!$B$44&gt;0),(((R1469-1)*MIN((Skills!Y22*(1+Inputs!$B$34/100)),(1/Q1469))+MIN((Skills!Y22*(1+Inputs!$B$34/100)),MAX(0,Inputs!$B$44-((R1469-1)*(1/Q1469)))))/Inputs!$B$44),IF(Inputs!$B$39="pvp",MIN((Skills!Y22*(1+Inputs!$B$34/100)),15)/15,MIN(1,(Skills!Y22*(1+Inputs!$B$34/100))/(1/Q1469)))))+((C1450=TRUE)*F1450*3)+((C1452=TRUE)*F1452*(1-EXP(-0.75*B1485*5)))+((C1471=TRUE)*(F1471-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IF(ArtifactsInput!$M$5,FALSE,TRUE),CHOOSE(ArtifactsInput!$N$5+1,10,12,14,16,18,20)*(IF(AND(Inputs!$B$39&lt;&gt;"pvp",Inputs!$B$44=0),0.5,(5*INT(MAX(0,IF(Inputs!$B$39="pvp",15,Inputs!$B$44)-10)/10)+MIN((MAX(0,IF(Inputs!$B$39="pvp",15,Inputs!$B$44)-10)-10*INT(MAX(0,IF(Inputs!$B$39="pvp",15,Inputs!$B$44)-10)/10)),5))/IF(Inputs!$B$39="pvp",15,Inputs!$B$44))),0)))/100)*(1+((C1458=TRUE)*F1458*IF(AND(Inputs!$B$39&lt;&gt;"pvp",Inputs!$B$44&gt;0),(((R1458-1)*MIN((Skills!Y11*(1+Inputs!$B$34/100)),(1/Q1458))+MIN((Skills!Y11*(1+Inputs!$B$34/100)),MAX(0,Inputs!$B$44-((R1458-1)*(1/Q1458)))))/Inputs!$B$44),IF(Inputs!$B$39="pvp",MIN((Skills!Y11*(1+Inputs!$B$34/100)),15)/15,MIN(1,(Skills!Y11*(1+Inputs!$B$34/100))/(1/Q1458)))))/100)*(1+((C1463=TRUE)*F1463*IF(AND(Inputs!$B$39&lt;&gt;"pvp",Inputs!$B$44&gt;0),(((R1463-1)*MIN((Skills!Y16*(1+Inputs!$B$34/100)),(1/Q1463))+MIN((Skills!Y16*(1+Inputs!$B$34/100)),MAX(0,Inputs!$B$44-((R1463-1)*(1/Q1463)))))/Inputs!$B$44),IF(Inputs!$B$39="pvp",MIN((Skills!Y16*(1+Inputs!$B$34/100)),15)/15,MIN(1,(Skills!Y16*(1+Inputs!$B$34/100))/(1/Q1463)))))/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1483*I1464)</f>
        <v/>
      </c>
      <c r="L1464">
        <f>K1464*(MIN(Inputs!$B$22+((C1472=TRUE)*(F1472-Calc!F25)),(Inputs!$B$23+((C1477=TRUE)*(F1477-Calc!F30))+IF(ArtifactsInput!$M$15,CHOOSE(ArtifactsInput!$N$15+1,25,30,35,40,45,50)/100*(Inputs!$B$11-Inputs!$B$11),0)))/100+(Inputs!$B$23+((C1477=TRUE)*(F1477-Calc!F30))+IF(ArtifactsInput!$M$15,CHOOSE(ArtifactsInput!$N$15+1,25,30,35,40,45,50)/100*(Inputs!$B$11-Inputs!$B$11),0))/100)/2</f>
        <v/>
      </c>
      <c r="M1464">
        <f>L1464*(1+(Inputs!$B$10+((C1474=TRUE)*(F1474-Calc!F27))+B1488+(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1464">
        <f>L1464*(1-MIN((Inputs!$B$9+((C1473=TRUE)*(F1473-Calc!F26))+B1481+(ArtifactsInput!$M$24-ArtifactsInput!$M$24)*CHOOSE(ArtifactsInput!$N$24+1,10,12,14,16,18,20)+(IF(AND(Inputs!$B$39&lt;&gt;"pvp",Inputs!$B$44=0),1,IF(IF(Inputs!$B$39="pvp",15,Inputs!$B$44)-(B1492)&lt;=0,1,MAX(0,IF(Inputs!$B$39="pvp",15,Inputs!$B$44)-MAX(5,B1492))/(IF(Inputs!$B$39="pvp",15,Inputs!$B$44)-(B1492))))*IF(AND(ArtifactsInput!$M$42,((Inputs!$B$9+((C1473=TRUE)*(F1473-Calc!F26))+B1481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1464*(MIN((Inputs!$B$9+((C1473=TRUE)*(F1473-Calc!F26))+B1481+(ArtifactsInput!$M$24-ArtifactsInput!$M$24)*CHOOSE(ArtifactsInput!$N$24+1,10,12,14,16,18,20)+(IF(AND(Inputs!$B$39&lt;&gt;"pvp",Inputs!$B$44=0),1,IF(IF(Inputs!$B$39="pvp",15,Inputs!$B$44)-(B1492)&lt;=0,1,MAX(0,IF(Inputs!$B$39="pvp",15,Inputs!$B$44)-MAX(5,B1492))/(IF(Inputs!$B$39="pvp",15,Inputs!$B$44)-(B1492))))*IF(AND(ArtifactsInput!$M$42,((Inputs!$B$9+((C1473=TRUE)*(F1473-Calc!F26))+B1481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464">
        <f>(1-Summary!$B$11)*T1464+Summary!$B$11*V1464</f>
        <v/>
      </c>
      <c r="P1464">
        <f>IF(B1493=0,0,O1464/B1493)</f>
        <v/>
      </c>
      <c r="Q1464" t="n">
        <v>0</v>
      </c>
      <c r="R1464" t="n">
        <v>0</v>
      </c>
      <c r="S1464">
        <f>IFERROR(O1464/N1464,0)</f>
        <v/>
      </c>
      <c r="T1464">
        <f>IF(C1464,(Inputs!$B$38*0.2*N1464)*IF(Inputs!$B$39="pvp",1,1+(Inputs!$B$20+0+Skills!P17+B1482+(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Hunt"),CHOOSE(ArtifactsInput!$N$35+1,15,18,21,24,27,30)*(1-EXP(-(0.2*B1485)*5)),0)+IF(AND(ArtifactsInput!$M$22,Inputs!$B$4&lt;&gt;"Chapter Hunt"),CHOOSE(ArtifactsInput!$N$22+1,10,12,14,16,18,20)*((0*(((0.15*B1485*5))^0/1)+1*(((0.15*B1485*5))^1/1)+2*(((0.15*B1485*5))^2/2)+3*(((0.15*B1485*5))^3/6)+4*(((0.15*B1485*5))^4/24)+5*(((0.15*B1485*5))^5/120))/((((0.15*B1485*5))^0/1)+(((0.15*B1485*5))^1/1)+(((0.15*B1485*5))^2/2)+(((0.15*B1485*5))^3/6)+(((0.15*B1485*5))^4/24)+(((0.15*B1485*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1464*(1-MIN(100,(Inputs!$B$9+((C1473=TRUE)*(F1473-Calc!F26))+B1481+(ArtifactsInput!$M$24-ArtifactsInput!$M$24)*CHOOSE(ArtifactsInput!$N$24+1,10,12,14,16,18,20)+(IF(AND(Inputs!$B$39&lt;&gt;"pvp",Inputs!$B$44=0),1,IF(IF(Inputs!$B$39="pvp",15,Inputs!$B$44)-(B1492)&lt;=0,1,MAX(0,IF(Inputs!$B$39="pvp",15,Inputs!$B$44)-MAX(5,B1492))/(IF(Inputs!$B$39="pvp",15,Inputs!$B$44)-(B1492))))*IF(AND(ArtifactsInput!$M$42,((Inputs!$B$9+((C1473=TRUE)*(F1473-Calc!F26))+B1481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1464*(MIN(100,(Inputs!$B$9+((C1473=TRUE)*(F1473-Calc!F26))+B1481+(ArtifactsInput!$M$24-ArtifactsInput!$M$24)*CHOOSE(ArtifactsInput!$N$24+1,10,12,14,16,18,20)+(IF(AND(Inputs!$B$39&lt;&gt;"pvp",Inputs!$B$44=0),1,IF(IF(Inputs!$B$39="pvp",15,Inputs!$B$44)-(B1492)&lt;=0,1,MAX(0,IF(Inputs!$B$39="pvp",15,Inputs!$B$44)-MAX(5,B1492))/(IF(Inputs!$B$39="pvp",15,Inputs!$B$44)-(B1492))))*IF(AND(ArtifactsInput!$M$42,((Inputs!$B$9+((C1473=TRUE)*(F1473-Calc!F26))+B1481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1464*(1-MIN(100,(Inputs!$B$9+((C1473=TRUE)*(F1473-Calc!F26))+B1481+(ArtifactsInput!$M$24-ArtifactsInput!$M$24)*CHOOSE(ArtifactsInput!$N$24+1,10,12,14,16,18,20)+(IF(AND(Inputs!$B$39&lt;&gt;"pvp",Inputs!$B$44=0),1,IF(IF(Inputs!$B$39="pvp",15,Inputs!$B$44)-(B1492)&lt;=0,1,MAX(0,IF(Inputs!$B$39="pvp",15,Inputs!$B$44)-MAX(5,B1492))/(IF(Inputs!$B$39="pvp",15,Inputs!$B$44)-(B1492))))*IF(AND(ArtifactsInput!$M$42,((Inputs!$B$9+((C1473=TRUE)*(F1473-Calc!F26))+B1481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1464*(MIN(100,(Inputs!$B$9+((C1473=TRUE)*(F1473-Calc!F26))+B1481+(ArtifactsInput!$M$24-ArtifactsInput!$M$24)*CHOOSE(ArtifactsInput!$N$24+1,10,12,14,16,18,20)+(IF(AND(Inputs!$B$39&lt;&gt;"pvp",Inputs!$B$44=0),1,IF(IF(Inputs!$B$39="pvp",15,Inputs!$B$44)-(B1492)&lt;=0,1,MAX(0,IF(Inputs!$B$39="pvp",15,Inputs!$B$44)-MAX(5,B1492))/(IF(Inputs!$B$39="pvp",15,Inputs!$B$44)-(B1492))))*IF(AND(ArtifactsInput!$M$42,((Inputs!$B$9+((C1473=TRUE)*(F1473-Calc!F26))+B1481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1464">
        <f>IF(C1464,(Inputs!$B$38*0.2*N1464)*IF(Inputs!$B$39="pvp",1,(1+(Inputs!$B$21+Skills!Q17+B1482+(IF(ArtifactsInput!$M$33,CHOOSE(ArtifactsInput!$N$33+1,30,36,42,48,54,60),0))+(IF(AND(ArtifactsInput!$M$35,Inputs!$B$4&lt;&gt;"Chapter Hunt"),CHOOSE(ArtifactsInput!$N$35+1,15,18,21,24,27,30)*(1-EXP(-(0.2*B1485)*5)),0)+IF(AND(ArtifactsInput!$M$22,Inputs!$B$4&lt;&gt;"Chapter Hunt"),CHOOSE(ArtifactsInput!$N$22+1,10,12,14,16,18,20)*((0*(((0.15*B1485*5))^0/1)+1*(((0.15*B1485*5))^1/1)+2*(((0.15*B1485*5))^2/2)+3*(((0.15*B1485*5))^3/6)+4*(((0.15*B1485*5))^4/24)+5*(((0.15*B1485*5))^5/120))/((((0.15*B1485*5))^0/1)+(((0.15*B1485*5))^1/1)+(((0.15*B1485*5))^2/2)+(((0.15*B1485*5))^3/6)+(((0.15*B1485*5))^4/24)+(((0.15*B1485*5))^5/120))),0)))/100)*(MIN(Skills!W17,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465">
      <c r="A1465">
        <f>Skills!A18</f>
        <v/>
      </c>
      <c r="B1465">
        <f>Skills!B18</f>
        <v/>
      </c>
      <c r="C1465">
        <f>Inputs!$B$3&gt;=115</f>
        <v/>
      </c>
      <c r="D1465">
        <f>IF(Skills!C18=1,60+Inputs!$B$25+Inputs!$B$29,IF(Skills!C18=2,90+Inputs!$B$26+Inputs!$B$29,IF(Skills!C18=3,120+Inputs!$B$27+Inputs!$B$29,MAX(0,(Inputs!$B$3-100)*3)+Inputs!$B$28+Inputs!$B$29)))</f>
        <v/>
      </c>
      <c r="E1465">
        <f>INDEX(FactorTable!$B$2:$Y$301, MATCH(ROUND(MIN(300,MAX(1,D1465)),0), FactorTable!$A$2:$A$301,0), Skills!M18+1)</f>
        <v/>
      </c>
      <c r="F1465">
        <f>IF(Skills!N18=TRUE,(Skills!L18/10)*(E1465/1000),Skills!L18/10)+Skills!O18</f>
        <v/>
      </c>
      <c r="G1465">
        <f>Skills!G18*IF(Skills!H18&gt;0,IF(Inputs!$B$39="pvp",MIN(Skills!I18,15),Skills!I18)/Skills!H18,1)</f>
        <v/>
      </c>
      <c r="H1465">
        <f>1-(1-Skills!J18/100)^Skills!K18</f>
        <v/>
      </c>
      <c r="I1465" t="inlineStr">
        <is>
          <t>1</t>
        </is>
      </c>
      <c r="J1465" t="inlineStr"/>
      <c r="K1465" t="inlineStr"/>
      <c r="L1465" t="inlineStr"/>
      <c r="M1465" t="inlineStr"/>
      <c r="N1465" t="inlineStr"/>
      <c r="O1465">
        <f>(1-Summary!$B$11)*T1465+Summary!$B$11*V1465</f>
        <v/>
      </c>
      <c r="P1465">
        <f>IF(B1493=0,0,O1465/B1493)</f>
        <v/>
      </c>
      <c r="Q1465" t="n">
        <v>0</v>
      </c>
      <c r="R1465" t="n">
        <v>0</v>
      </c>
      <c r="S1465">
        <f>IFERROR(O1465/N1465,0)</f>
        <v/>
      </c>
      <c r="T1465" t="n">
        <v>0</v>
      </c>
      <c r="V1465" t="n">
        <v>0</v>
      </c>
    </row>
    <row r="1466">
      <c r="A1466">
        <f>Skills!A19</f>
        <v/>
      </c>
      <c r="B1466">
        <f>Skills!B19</f>
        <v/>
      </c>
      <c r="C1466">
        <f>Inputs!$B$3&gt;=100</f>
        <v/>
      </c>
      <c r="D1466">
        <f>IF(Skills!C19=1,60+Inputs!$B$25+Inputs!$B$29,IF(Skills!C19=2,90+Inputs!$B$26+Inputs!$B$29,IF(Skills!C19=3,120+Inputs!$B$27+Inputs!$B$29,MAX(0,(Inputs!$B$3-100)*3)+Inputs!$B$28+Inputs!$B$29)))</f>
        <v/>
      </c>
      <c r="E1466">
        <f>INDEX(FactorTable!$B$2:$Y$301, MATCH(ROUND(MIN(300,MAX(1,D1466)),0), FactorTable!$A$2:$A$301,0), Skills!M19+1)</f>
        <v/>
      </c>
      <c r="F1466">
        <f>IF(Skills!N19=TRUE,(Skills!L19/10)*(E1466/1000),Skills!L19/10)+Skills!O19</f>
        <v/>
      </c>
      <c r="G1466">
        <f>Skills!G19*IF(Skills!H19&gt;0,IF(Inputs!$B$39="pvp",MIN(Skills!I19,15),Skills!I19)/Skills!H19,1)</f>
        <v/>
      </c>
      <c r="H1466">
        <f>1-(1-Skills!J19/100)^Skills!K19</f>
        <v/>
      </c>
      <c r="I1466" t="inlineStr">
        <is>
          <t>1</t>
        </is>
      </c>
      <c r="J1466" t="inlineStr"/>
      <c r="K1466" t="inlineStr"/>
      <c r="L1466" t="inlineStr"/>
      <c r="M1466" t="inlineStr"/>
      <c r="N1466" t="inlineStr"/>
      <c r="O1466">
        <f>(1-Summary!$B$11)*T1466+Summary!$B$11*V1466</f>
        <v/>
      </c>
      <c r="P1466">
        <f>IF(B1493=0,0,O1466/B1493)</f>
        <v/>
      </c>
      <c r="Q1466" t="n">
        <v>0</v>
      </c>
      <c r="R1466" t="n">
        <v>0</v>
      </c>
      <c r="S1466">
        <f>IFERROR(O1466/N1466,0)</f>
        <v/>
      </c>
      <c r="T1466" t="n">
        <v>0</v>
      </c>
      <c r="V1466" t="n">
        <v>0</v>
      </c>
    </row>
    <row r="1467">
      <c r="A1467">
        <f>Skills!A20</f>
        <v/>
      </c>
      <c r="B1467">
        <f>Skills!B20</f>
        <v/>
      </c>
      <c r="C1467">
        <f>TRUE</f>
        <v/>
      </c>
      <c r="D1467">
        <f>IF(Skills!C20=1,60+Inputs!$B$25+Inputs!$B$29,IF(Skills!C20=2,90+Inputs!$B$26+Inputs!$B$29,IF(Skills!C20=3,120+Inputs!$B$27+Inputs!$B$29,MAX(0,(Inputs!$B$3-100)*3)+Inputs!$B$28+Inputs!$B$29)))</f>
        <v/>
      </c>
      <c r="E1467">
        <f>INDEX(FactorTable!$B$2:$Y$301, MATCH(ROUND(MIN(300,MAX(1,D1467)),0), FactorTable!$A$2:$A$301,0), Skills!M20+1)</f>
        <v/>
      </c>
      <c r="F1467">
        <f>IF(Skills!N20=TRUE,(Skills!L20/10)*(E1467/1000),Skills!L20/10)+Skills!O20</f>
        <v/>
      </c>
      <c r="G1467">
        <f>Skills!G20*IF(Skills!H20&gt;0,IF(Inputs!$B$39="pvp",MIN(Skills!I20,15),Skills!I20)/Skills!H20,1)</f>
        <v/>
      </c>
      <c r="H1467">
        <f>1-(1-Skills!J20/100)^Skills!K20</f>
        <v/>
      </c>
      <c r="I1467" t="inlineStr">
        <is>
          <t>1</t>
        </is>
      </c>
      <c r="J1467" t="inlineStr"/>
      <c r="K1467" t="inlineStr"/>
      <c r="L1467" t="inlineStr"/>
      <c r="M1467" t="inlineStr"/>
      <c r="N1467" t="inlineStr"/>
      <c r="O1467">
        <f>(1-Summary!$B$11)*T1467+Summary!$B$11*V1467</f>
        <v/>
      </c>
      <c r="P1467">
        <f>IF(B1493=0,0,O1467/B1493)</f>
        <v/>
      </c>
      <c r="Q1467">
        <f>IFERROR(1/IF(Inputs!$B$39="pvp",15,MAX(0.1,Skills!D20-IF(TRUE=TRUE,Inputs!$B$32,0))),0)</f>
        <v/>
      </c>
      <c r="R1467">
        <f>IF(AND(Inputs!$B$39&lt;&gt;"pvp",Inputs!$B$44&gt;0),IF(Inputs!$B$44&lt;=0,0,(INT(Inputs!$B$44/IF(Inputs!$B$39="pvp",15,MAX(0.1,Skills!D20-IF(TRUE=TRUE,Inputs!$B$32,0))))+1)),0)</f>
        <v/>
      </c>
      <c r="S1467">
        <f>IFERROR(O1467/N1467,0)</f>
        <v/>
      </c>
      <c r="T1467" t="n">
        <v>0</v>
      </c>
      <c r="V1467" t="n">
        <v>0</v>
      </c>
    </row>
    <row r="1468">
      <c r="A1468">
        <f>Skills!A21</f>
        <v/>
      </c>
      <c r="B1468">
        <f>Skills!B21</f>
        <v/>
      </c>
      <c r="C1468">
        <f>Inputs!$B$3&gt;=15</f>
        <v/>
      </c>
      <c r="D1468">
        <f>IF(Skills!C21=1,60+Inputs!$B$25+Inputs!$B$29,IF(Skills!C21=2,90+Inputs!$B$26+Inputs!$B$29,IF(Skills!C21=3,120+Inputs!$B$27+Inputs!$B$29,MAX(0,(Inputs!$B$3-100)*3)+Inputs!$B$28+Inputs!$B$29)))</f>
        <v/>
      </c>
      <c r="E1468">
        <f>INDEX(FactorTable!$B$2:$Y$301, MATCH(ROUND(MIN(300,MAX(1,D1468)),0), FactorTable!$A$2:$A$301,0), Skills!M21+1)</f>
        <v/>
      </c>
      <c r="F1468">
        <f>IF(Skills!N21=TRUE,(Skills!L21/10)*(E1468/1000),Skills!L21/10)+Skills!O21</f>
        <v/>
      </c>
      <c r="G1468">
        <f>Skills!G21*IF(Skills!H21&gt;0,IF(Inputs!$B$39="pvp",MIN(Skills!I21,15),Skills!I21)/Skills!H21,1)</f>
        <v/>
      </c>
      <c r="H1468">
        <f>1-(1-Skills!J21/100)^Skills!K21</f>
        <v/>
      </c>
      <c r="I1468" t="inlineStr">
        <is>
          <t>1</t>
        </is>
      </c>
      <c r="J1468" t="inlineStr"/>
      <c r="K1468" t="inlineStr"/>
      <c r="L1468" t="inlineStr"/>
      <c r="M1468" t="inlineStr"/>
      <c r="N1468" t="inlineStr"/>
      <c r="O1468">
        <f>(1-Summary!$B$11)*T1468+Summary!$B$11*V1468</f>
        <v/>
      </c>
      <c r="P1468">
        <f>IF(B1493=0,0,O1468/B1493)</f>
        <v/>
      </c>
      <c r="Q1468">
        <f>IFERROR(1/IF(Inputs!$B$39="pvp",15,MAX(0.1,Skills!D21-IF(TRUE=TRUE,Inputs!$B$32,0))),0)</f>
        <v/>
      </c>
      <c r="R1468">
        <f>IF(AND(Inputs!$B$39&lt;&gt;"pvp",Inputs!$B$44&gt;0),IF(Inputs!$B$44&lt;=0,0,(INT(Inputs!$B$44/IF(Inputs!$B$39="pvp",15,MAX(0.1,Skills!D21-IF(TRUE=TRUE,Inputs!$B$32,0))))+1)),0)</f>
        <v/>
      </c>
      <c r="S1468">
        <f>IFERROR(O1468/N1468,0)</f>
        <v/>
      </c>
      <c r="T1468" t="n">
        <v>0</v>
      </c>
      <c r="V1468" t="n">
        <v>0</v>
      </c>
    </row>
    <row r="1469">
      <c r="A1469">
        <f>Skills!A22</f>
        <v/>
      </c>
      <c r="B1469">
        <f>Skills!B22</f>
        <v/>
      </c>
      <c r="C1469">
        <f>Inputs!$B$3&gt;=15</f>
        <v/>
      </c>
      <c r="D1469">
        <f>IF(Skills!C22=1,60+Inputs!$B$25+Inputs!$B$29,IF(Skills!C22=2,90+Inputs!$B$26+Inputs!$B$29,IF(Skills!C22=3,120+Inputs!$B$27+Inputs!$B$29,MAX(0,(Inputs!$B$3-100)*3)+Inputs!$B$28+Inputs!$B$29)))</f>
        <v/>
      </c>
      <c r="E1469">
        <f>INDEX(FactorTable!$B$2:$Y$301, MATCH(ROUND(MIN(300,MAX(1,D1469)),0), FactorTable!$A$2:$A$301,0), Skills!M22+1)</f>
        <v/>
      </c>
      <c r="F1469">
        <f>IF(Skills!N22=TRUE,(Skills!L22/10)*(E1469/1000),Skills!L22/10)+Skills!O22</f>
        <v/>
      </c>
      <c r="G1469">
        <f>Skills!G22*IF(Skills!H22&gt;0,IF(Inputs!$B$39="pvp",MIN(Skills!I22,15),Skills!I22)/Skills!H22,1)</f>
        <v/>
      </c>
      <c r="H1469">
        <f>1-(1-Skills!J22/100)^Skills!K22</f>
        <v/>
      </c>
      <c r="I1469" t="inlineStr">
        <is>
          <t>1</t>
        </is>
      </c>
      <c r="J1469" t="inlineStr"/>
      <c r="K1469" t="inlineStr"/>
      <c r="L1469" t="inlineStr"/>
      <c r="M1469" t="inlineStr"/>
      <c r="N1469" t="inlineStr"/>
      <c r="O1469">
        <f>(1-Summary!$B$11)*T1469+Summary!$B$11*V1469</f>
        <v/>
      </c>
      <c r="P1469">
        <f>IF(B1493=0,0,O1469/B1493)</f>
        <v/>
      </c>
      <c r="Q1469">
        <f>IFERROR(1/IF(Inputs!$B$39="pvp",15,MAX(0.1,Skills!D22-IF(TRUE=TRUE,Inputs!$B$32,0))),0)</f>
        <v/>
      </c>
      <c r="R1469">
        <f>IF(AND(Inputs!$B$39&lt;&gt;"pvp",Inputs!$B$44&gt;0),IF(Inputs!$B$44&lt;=0,0,(INT(Inputs!$B$44/IF(Inputs!$B$39="pvp",15,MAX(0.1,Skills!D22-IF(TRUE=TRUE,Inputs!$B$32,0))))+1)),0)</f>
        <v/>
      </c>
      <c r="S1469">
        <f>IFERROR(O1469/N1469,0)</f>
        <v/>
      </c>
      <c r="T1469" t="n">
        <v>0</v>
      </c>
      <c r="V1469" t="n">
        <v>0</v>
      </c>
    </row>
    <row r="1470">
      <c r="A1470">
        <f>Skills!A23</f>
        <v/>
      </c>
      <c r="B1470">
        <f>Skills!B23</f>
        <v/>
      </c>
      <c r="C1470">
        <f>Inputs!$B$3&gt;=33</f>
        <v/>
      </c>
      <c r="D1470">
        <f>IF(Skills!C23=1,60+Inputs!$B$25+Inputs!$B$29,IF(Skills!C23=2,90+Inputs!$B$26+Inputs!$B$29,IF(Skills!C23=3,120+Inputs!$B$27+Inputs!$B$29,MAX(0,(Inputs!$B$3-100)*3)+Inputs!$B$28+Inputs!$B$29)))</f>
        <v/>
      </c>
      <c r="E1470">
        <f>INDEX(FactorTable!$B$2:$Y$301, MATCH(ROUND(MIN(300,MAX(1,D1470)),0), FactorTable!$A$2:$A$301,0), Skills!M23+1)</f>
        <v/>
      </c>
      <c r="F1470">
        <f>IF(Skills!N23=TRUE,(Skills!L23/10)*(E1470/1000),Skills!L23/10)+Skills!O23</f>
        <v/>
      </c>
      <c r="G1470">
        <f>Skills!G23*IF(Skills!H23&gt;0,IF(Inputs!$B$39="pvp",MIN(Skills!I23,15),Skills!I23)/Skills!H23,1)</f>
        <v/>
      </c>
      <c r="H1470">
        <f>1-(1-Skills!J23/100)^Skills!K23</f>
        <v/>
      </c>
      <c r="I1470" t="inlineStr">
        <is>
          <t>1</t>
        </is>
      </c>
      <c r="J1470" t="inlineStr"/>
      <c r="K1470" t="inlineStr"/>
      <c r="L1470" t="inlineStr"/>
      <c r="M1470" t="inlineStr"/>
      <c r="N1470" t="inlineStr"/>
      <c r="O1470">
        <f>(1-Summary!$B$11)*T1470+Summary!$B$11*V1470</f>
        <v/>
      </c>
      <c r="P1470">
        <f>IF(B1493=0,0,O1470/B1493)</f>
        <v/>
      </c>
      <c r="Q1470" t="n">
        <v>0</v>
      </c>
      <c r="R1470" t="n">
        <v>0</v>
      </c>
      <c r="S1470">
        <f>IFERROR(O1470/N1470,0)</f>
        <v/>
      </c>
      <c r="T1470" t="n">
        <v>0</v>
      </c>
      <c r="V1470" t="n">
        <v>0</v>
      </c>
    </row>
    <row r="1471">
      <c r="A1471">
        <f>Skills!A24</f>
        <v/>
      </c>
      <c r="B1471">
        <f>Skills!B24</f>
        <v/>
      </c>
      <c r="C1471">
        <f>Inputs!$B$3&gt;=40</f>
        <v/>
      </c>
      <c r="D1471">
        <f>IF(Skills!C24=1,60+Inputs!$B$25+Inputs!$B$29,IF(Skills!C24=2,90+Inputs!$B$26+Inputs!$B$29,IF(Skills!C24=3,120+Inputs!$B$27+Inputs!$B$29,MAX(0,(Inputs!$B$3-100)*3)+Inputs!$B$28+Inputs!$B$29)))</f>
        <v/>
      </c>
      <c r="E1471">
        <f>INDEX(FactorTable!$B$2:$Y$301, MATCH(ROUND(MIN(300,MAX(1,D1471)),0), FactorTable!$A$2:$A$301,0), Skills!M24+1)</f>
        <v/>
      </c>
      <c r="F1471">
        <f>IF(Skills!N24=TRUE,(Skills!L24/10)*(E1471/1000),Skills!L24/10)+Skills!O24</f>
        <v/>
      </c>
      <c r="G1471">
        <f>Skills!G24*IF(Skills!H24&gt;0,IF(Inputs!$B$39="pvp",MIN(Skills!I24,15),Skills!I24)/Skills!H24,1)</f>
        <v/>
      </c>
      <c r="H1471">
        <f>1-(1-Skills!J24/100)^Skills!K24</f>
        <v/>
      </c>
      <c r="I1471" t="inlineStr">
        <is>
          <t>1</t>
        </is>
      </c>
      <c r="J1471" t="inlineStr"/>
      <c r="K1471" t="inlineStr"/>
      <c r="L1471" t="inlineStr"/>
      <c r="M1471" t="inlineStr"/>
      <c r="N1471" t="inlineStr"/>
      <c r="O1471">
        <f>(1-Summary!$B$11)*T1471+Summary!$B$11*V1471</f>
        <v/>
      </c>
      <c r="P1471">
        <f>IF(B1493=0,0,O1471/B1493)</f>
        <v/>
      </c>
      <c r="Q1471" t="n">
        <v>0</v>
      </c>
      <c r="R1471" t="n">
        <v>0</v>
      </c>
      <c r="S1471">
        <f>IFERROR(O1471/N1471,0)</f>
        <v/>
      </c>
      <c r="T1471" t="n">
        <v>0</v>
      </c>
      <c r="V1471" t="n">
        <v>0</v>
      </c>
    </row>
    <row r="1472">
      <c r="A1472">
        <f>Skills!A25</f>
        <v/>
      </c>
      <c r="B1472">
        <f>Skills!B25</f>
        <v/>
      </c>
      <c r="C1472">
        <f>Inputs!$B$3&gt;=43</f>
        <v/>
      </c>
      <c r="D1472">
        <f>IF(Skills!C25=1,60+Inputs!$B$25+Inputs!$B$29,IF(Skills!C25=2,90+Inputs!$B$26+Inputs!$B$29,IF(Skills!C25=3,120+Inputs!$B$27+Inputs!$B$29,MAX(0,(Inputs!$B$3-100)*3)+Inputs!$B$28+Inputs!$B$29)))</f>
        <v/>
      </c>
      <c r="E1472">
        <f>INDEX(FactorTable!$B$2:$Y$301, MATCH(ROUND(MIN(300,MAX(1,D1472)),0), FactorTable!$A$2:$A$301,0), Skills!M25+1)</f>
        <v/>
      </c>
      <c r="F1472">
        <f>IF(Skills!N25=TRUE,(Skills!L25/10)*(E1472/1000),Skills!L25/10)+Skills!O25</f>
        <v/>
      </c>
      <c r="G1472">
        <f>Skills!G25*IF(Skills!H25&gt;0,IF(Inputs!$B$39="pvp",MIN(Skills!I25,15),Skills!I25)/Skills!H25,1)</f>
        <v/>
      </c>
      <c r="H1472">
        <f>1-(1-Skills!J25/100)^Skills!K25</f>
        <v/>
      </c>
      <c r="I1472" t="inlineStr">
        <is>
          <t>1</t>
        </is>
      </c>
      <c r="J1472" t="inlineStr"/>
      <c r="K1472" t="inlineStr"/>
      <c r="L1472" t="inlineStr"/>
      <c r="M1472" t="inlineStr"/>
      <c r="N1472" t="inlineStr"/>
      <c r="O1472">
        <f>(1-Summary!$B$11)*T1472+Summary!$B$11*V1472</f>
        <v/>
      </c>
      <c r="P1472">
        <f>IF(B1493=0,0,O1472/B1493)</f>
        <v/>
      </c>
      <c r="Q1472" t="n">
        <v>0</v>
      </c>
      <c r="R1472" t="n">
        <v>0</v>
      </c>
      <c r="S1472">
        <f>IFERROR(O1472/N1472,0)</f>
        <v/>
      </c>
      <c r="T1472" t="n">
        <v>0</v>
      </c>
      <c r="V1472" t="n">
        <v>0</v>
      </c>
    </row>
    <row r="1473">
      <c r="A1473">
        <f>Skills!A26</f>
        <v/>
      </c>
      <c r="B1473">
        <f>Skills!B26</f>
        <v/>
      </c>
      <c r="C1473">
        <f>Inputs!$B$3&gt;=50</f>
        <v/>
      </c>
      <c r="D1473">
        <f>IF(Skills!C26=1,60+Inputs!$B$25+Inputs!$B$29,IF(Skills!C26=2,90+Inputs!$B$26+Inputs!$B$29,IF(Skills!C26=3,120+Inputs!$B$27+Inputs!$B$29,MAX(0,(Inputs!$B$3-100)*3)+Inputs!$B$28+Inputs!$B$29)))</f>
        <v/>
      </c>
      <c r="E1473">
        <f>INDEX(FactorTable!$B$2:$Y$301, MATCH(ROUND(MIN(300,MAX(1,D1473)),0), FactorTable!$A$2:$A$301,0), Skills!M26+1)</f>
        <v/>
      </c>
      <c r="F1473">
        <f>IF(Skills!N26=TRUE,(Skills!L26/10)*(E1473/1000),Skills!L26/10)+Skills!O26</f>
        <v/>
      </c>
      <c r="G1473">
        <f>Skills!G26*IF(Skills!H26&gt;0,IF(Inputs!$B$39="pvp",MIN(Skills!I26,15),Skills!I26)/Skills!H26,1)</f>
        <v/>
      </c>
      <c r="H1473">
        <f>1-(1-Skills!J26/100)^Skills!K26</f>
        <v/>
      </c>
      <c r="I1473" t="inlineStr">
        <is>
          <t>1</t>
        </is>
      </c>
      <c r="J1473" t="inlineStr"/>
      <c r="K1473" t="inlineStr"/>
      <c r="L1473" t="inlineStr"/>
      <c r="M1473" t="inlineStr"/>
      <c r="N1473" t="inlineStr"/>
      <c r="O1473">
        <f>(1-Summary!$B$11)*T1473+Summary!$B$11*V1473</f>
        <v/>
      </c>
      <c r="P1473">
        <f>IF(B1493=0,0,O1473/B1493)</f>
        <v/>
      </c>
      <c r="Q1473" t="n">
        <v>0</v>
      </c>
      <c r="R1473" t="n">
        <v>0</v>
      </c>
      <c r="S1473">
        <f>IFERROR(O1473/N1473,0)</f>
        <v/>
      </c>
      <c r="T1473" t="n">
        <v>0</v>
      </c>
      <c r="V1473" t="n">
        <v>0</v>
      </c>
    </row>
    <row r="1474">
      <c r="A1474">
        <f>Skills!A27</f>
        <v/>
      </c>
      <c r="B1474">
        <f>Skills!B27</f>
        <v/>
      </c>
      <c r="C1474">
        <f>Inputs!$B$3&gt;=50</f>
        <v/>
      </c>
      <c r="D1474">
        <f>IF(Skills!C27=1,60+Inputs!$B$25+Inputs!$B$29,IF(Skills!C27=2,90+Inputs!$B$26+Inputs!$B$29,IF(Skills!C27=3,120+Inputs!$B$27+Inputs!$B$29,MAX(0,(Inputs!$B$3-100)*3)+Inputs!$B$28+Inputs!$B$29)))</f>
        <v/>
      </c>
      <c r="E1474">
        <f>INDEX(FactorTable!$B$2:$Y$301, MATCH(ROUND(MIN(300,MAX(1,D1474)),0), FactorTable!$A$2:$A$301,0), Skills!M27+1)</f>
        <v/>
      </c>
      <c r="F1474">
        <f>IF(Skills!N27=TRUE,(Skills!L27/10)*(E1474/1000),Skills!L27/10)+Skills!O27</f>
        <v/>
      </c>
      <c r="G1474">
        <f>Skills!G27*IF(Skills!H27&gt;0,IF(Inputs!$B$39="pvp",MIN(Skills!I27,15),Skills!I27)/Skills!H27,1)</f>
        <v/>
      </c>
      <c r="H1474">
        <f>1-(1-Skills!J27/100)^Skills!K27</f>
        <v/>
      </c>
      <c r="I1474" t="inlineStr">
        <is>
          <t>1</t>
        </is>
      </c>
      <c r="J1474" t="inlineStr"/>
      <c r="K1474" t="inlineStr"/>
      <c r="L1474" t="inlineStr"/>
      <c r="M1474" t="inlineStr"/>
      <c r="N1474" t="inlineStr"/>
      <c r="O1474">
        <f>(1-Summary!$B$11)*T1474+Summary!$B$11*V1474</f>
        <v/>
      </c>
      <c r="P1474">
        <f>IF(B1493=0,0,O1474/B1493)</f>
        <v/>
      </c>
      <c r="Q1474" t="n">
        <v>0</v>
      </c>
      <c r="R1474" t="n">
        <v>0</v>
      </c>
      <c r="S1474">
        <f>IFERROR(O1474/N1474,0)</f>
        <v/>
      </c>
      <c r="T1474" t="n">
        <v>0</v>
      </c>
      <c r="V1474" t="n">
        <v>0</v>
      </c>
    </row>
    <row r="1475">
      <c r="A1475">
        <f>Skills!A28</f>
        <v/>
      </c>
      <c r="B1475">
        <f>Skills!B28</f>
        <v/>
      </c>
      <c r="C1475">
        <f>Inputs!$B$3&gt;=38</f>
        <v/>
      </c>
      <c r="D1475">
        <f>IF(Skills!C28=1,60+Inputs!$B$25+Inputs!$B$29,IF(Skills!C28=2,90+Inputs!$B$26+Inputs!$B$29,IF(Skills!C28=3,120+Inputs!$B$27+Inputs!$B$29,MAX(0,(Inputs!$B$3-100)*3)+Inputs!$B$28+Inputs!$B$29)))</f>
        <v/>
      </c>
      <c r="E1475">
        <f>INDEX(FactorTable!$B$2:$Y$301, MATCH(ROUND(MIN(300,MAX(1,D1475)),0), FactorTable!$A$2:$A$301,0), Skills!M28+1)</f>
        <v/>
      </c>
      <c r="F1475">
        <f>IF(Skills!N28=TRUE,(Skills!L28/10)*(E1475/1000),Skills!L28/10)+Skills!O28</f>
        <v/>
      </c>
      <c r="G1475">
        <f>Skills!G28*IF(Skills!H28&gt;0,IF(Inputs!$B$39="pvp",MIN(Skills!I28,15),Skills!I28)/Skills!H28,1)</f>
        <v/>
      </c>
      <c r="H1475">
        <f>1-(1-Skills!J28/100)^Skills!K28</f>
        <v/>
      </c>
      <c r="I1475" t="inlineStr">
        <is>
          <t>1</t>
        </is>
      </c>
      <c r="J1475" t="inlineStr"/>
      <c r="K1475" t="inlineStr"/>
      <c r="L1475" t="inlineStr"/>
      <c r="M1475" t="inlineStr"/>
      <c r="N1475" t="inlineStr"/>
      <c r="O1475">
        <f>(1-Summary!$B$11)*T1475+Summary!$B$11*V1475</f>
        <v/>
      </c>
      <c r="P1475">
        <f>IF(B1493=0,0,O1475/B1493)</f>
        <v/>
      </c>
      <c r="Q1475" t="n">
        <v>0</v>
      </c>
      <c r="R1475" t="n">
        <v>0</v>
      </c>
      <c r="S1475">
        <f>IFERROR(O1475/N1475,0)</f>
        <v/>
      </c>
      <c r="T1475" t="n">
        <v>0</v>
      </c>
      <c r="V1475" t="n">
        <v>0</v>
      </c>
    </row>
    <row r="1476">
      <c r="A1476">
        <f>Skills!A29</f>
        <v/>
      </c>
      <c r="B1476">
        <f>Skills!B29</f>
        <v/>
      </c>
      <c r="C1476">
        <f>Inputs!$B$3&gt;=120</f>
        <v/>
      </c>
      <c r="D1476">
        <f>IF(Skills!C29=1,60+Inputs!$B$25+Inputs!$B$29,IF(Skills!C29=2,90+Inputs!$B$26+Inputs!$B$29,IF(Skills!C29=3,120+Inputs!$B$27+Inputs!$B$29,MAX(0,(Inputs!$B$3-100)*3)+Inputs!$B$28+Inputs!$B$29)))</f>
        <v/>
      </c>
      <c r="E1476">
        <f>INDEX(FactorTable!$B$2:$Y$301, MATCH(ROUND(MIN(300,MAX(1,D1476)),0), FactorTable!$A$2:$A$301,0), Skills!M29+1)</f>
        <v/>
      </c>
      <c r="F1476">
        <f>IF(Skills!N29=TRUE,(Skills!L29/10)*(E1476/1000),Skills!L29/10)+Skills!O29</f>
        <v/>
      </c>
      <c r="G1476">
        <f>Skills!G29*IF(Skills!H29&gt;0,IF(Inputs!$B$39="pvp",MIN(Skills!I29,15),Skills!I29)/Skills!H29,1)</f>
        <v/>
      </c>
      <c r="H1476">
        <f>1-(1-Skills!J29/100)^Skills!K29</f>
        <v/>
      </c>
      <c r="I1476" t="inlineStr">
        <is>
          <t>1</t>
        </is>
      </c>
      <c r="J1476" t="inlineStr"/>
      <c r="K1476" t="inlineStr"/>
      <c r="L1476" t="inlineStr"/>
      <c r="M1476" t="inlineStr"/>
      <c r="N1476" t="inlineStr"/>
      <c r="O1476">
        <f>(1-Summary!$B$11)*T1476+Summary!$B$11*V1476</f>
        <v/>
      </c>
      <c r="P1476">
        <f>IF(B1493=0,0,O1476/B1493)</f>
        <v/>
      </c>
      <c r="Q1476" t="n">
        <v>0</v>
      </c>
      <c r="R1476" t="n">
        <v>0</v>
      </c>
      <c r="S1476">
        <f>IFERROR(O1476/N1476,0)</f>
        <v/>
      </c>
      <c r="T1476" t="n">
        <v>0</v>
      </c>
      <c r="V1476" t="n">
        <v>0</v>
      </c>
    </row>
    <row r="1477">
      <c r="A1477">
        <f>Skills!A30</f>
        <v/>
      </c>
      <c r="B1477">
        <f>Skills!B30</f>
        <v/>
      </c>
      <c r="C1477">
        <f>Inputs!$B$3&gt;=120</f>
        <v/>
      </c>
      <c r="D1477">
        <f>IF(Skills!C30=1,60+Inputs!$B$25+Inputs!$B$29,IF(Skills!C30=2,90+Inputs!$B$26+Inputs!$B$29,IF(Skills!C30=3,120+Inputs!$B$27+Inputs!$B$29,MAX(0,(Inputs!$B$3-100)*3)+Inputs!$B$28+Inputs!$B$29)))</f>
        <v/>
      </c>
      <c r="E1477">
        <f>INDEX(FactorTable!$B$2:$Y$301, MATCH(ROUND(MIN(300,MAX(1,D1477)),0), FactorTable!$A$2:$A$301,0), Skills!M30+1)</f>
        <v/>
      </c>
      <c r="F1477">
        <f>IF(Skills!N30=TRUE,(Skills!L30/10)*(E1477/1000),Skills!L30/10)+Skills!O30</f>
        <v/>
      </c>
      <c r="G1477">
        <f>Skills!G30*IF(Skills!H30&gt;0,IF(Inputs!$B$39="pvp",MIN(Skills!I30,15),Skills!I30)/Skills!H30,1)</f>
        <v/>
      </c>
      <c r="H1477">
        <f>1-(1-Skills!J30/100)^Skills!K30</f>
        <v/>
      </c>
      <c r="I1477" t="inlineStr">
        <is>
          <t>1</t>
        </is>
      </c>
      <c r="J1477" t="inlineStr"/>
      <c r="K1477" t="inlineStr"/>
      <c r="L1477" t="inlineStr"/>
      <c r="M1477" t="inlineStr"/>
      <c r="N1477" t="inlineStr"/>
      <c r="O1477">
        <f>(1-Summary!$B$11)*T1477+Summary!$B$11*V1477</f>
        <v/>
      </c>
      <c r="P1477">
        <f>IF(B1493=0,0,O1477/B1493)</f>
        <v/>
      </c>
      <c r="Q1477" t="n">
        <v>0</v>
      </c>
      <c r="R1477" t="n">
        <v>0</v>
      </c>
      <c r="S1477">
        <f>IFERROR(O1477/N1477,0)</f>
        <v/>
      </c>
      <c r="T1477" t="n">
        <v>0</v>
      </c>
      <c r="V1477" t="n">
        <v>0</v>
      </c>
    </row>
    <row r="1478">
      <c r="A1478">
        <f>Skills!A31</f>
        <v/>
      </c>
      <c r="B1478">
        <f>Skills!B31</f>
        <v/>
      </c>
      <c r="C1478">
        <f>Inputs!$B$3&gt;=125</f>
        <v/>
      </c>
      <c r="D1478">
        <f>IF(Skills!C31=1,60+Inputs!$B$25+Inputs!$B$29,IF(Skills!C31=2,90+Inputs!$B$26+Inputs!$B$29,IF(Skills!C31=3,120+Inputs!$B$27+Inputs!$B$29,MAX(0,(Inputs!$B$3-100)*3)+Inputs!$B$28+Inputs!$B$29)))</f>
        <v/>
      </c>
      <c r="E1478">
        <f>INDEX(FactorTable!$B$2:$Y$301, MATCH(ROUND(MIN(300,MAX(1,D1478)),0), FactorTable!$A$2:$A$301,0), Skills!M31+1)</f>
        <v/>
      </c>
      <c r="F1478">
        <f>IF(Skills!N31=TRUE,(Skills!L31/10)*(E1478/1000),Skills!L31/10)+Skills!O31</f>
        <v/>
      </c>
      <c r="G1478">
        <f>Skills!G31*IF(Skills!H31&gt;0,IF(Inputs!$B$39="pvp",MIN(Skills!I31,15),Skills!I31)/Skills!H31,1)</f>
        <v/>
      </c>
      <c r="H1478">
        <f>1-(1-Skills!J31/100)^Skills!K31</f>
        <v/>
      </c>
      <c r="I1478" t="inlineStr">
        <is>
          <t>1</t>
        </is>
      </c>
      <c r="J1478" t="inlineStr"/>
      <c r="K1478" t="inlineStr"/>
      <c r="L1478" t="inlineStr"/>
      <c r="M1478" t="inlineStr"/>
      <c r="N1478" t="inlineStr"/>
      <c r="O1478">
        <f>(1-Summary!$B$11)*T1478+Summary!$B$11*V1478</f>
        <v/>
      </c>
      <c r="P1478">
        <f>IF(B1493=0,0,O1478/B1493)</f>
        <v/>
      </c>
      <c r="Q1478" t="n">
        <v>0</v>
      </c>
      <c r="R1478" t="n">
        <v>0</v>
      </c>
      <c r="S1478">
        <f>IFERROR(O1478/N1478,0)</f>
        <v/>
      </c>
      <c r="T1478" t="n">
        <v>0</v>
      </c>
      <c r="V1478" t="n">
        <v>0</v>
      </c>
    </row>
    <row r="1480">
      <c r="A1480" t="inlineStr">
        <is>
          <t>Average Buff Multiplier</t>
        </is>
      </c>
      <c r="B1480">
        <f>(1+(((C1469=TRUE)*F1469*IF(AND(Inputs!$B$39&lt;&gt;"pvp",Inputs!$B$44&gt;0),(((R1469-1)*MIN((Skills!Y22*(1+Inputs!$B$34/100)),(1/Q1469))+MIN((Skills!Y22*(1+Inputs!$B$34/100)),MAX(0,Inputs!$B$44-((R1469-1)*(1/Q1469)))))/Inputs!$B$44),IF(Inputs!$B$39="pvp",MIN((Skills!Y22*(1+Inputs!$B$34/100)),15)/15,MIN(1,(Skills!Y22*(1+Inputs!$B$34/100))/(1/Q1469)))))+((C1450=TRUE)*F1450*3)+((C1452=TRUE)*F1452*(1-EXP(-0.75*B1485*5)))+((C1471=TRUE)*(F1471-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IF(ArtifactsInput!$M$5,FALSE,TRUE),CHOOSE(ArtifactsInput!$N$5+1,10,12,14,16,18,20)*(IF(AND(Inputs!$B$39&lt;&gt;"pvp",Inputs!$B$44=0),0.5,(5*INT(MAX(0,IF(Inputs!$B$39="pvp",15,Inputs!$B$44)-10)/10)+MIN((MAX(0,IF(Inputs!$B$39="pvp",15,Inputs!$B$44)-10)-10*INT(MAX(0,IF(Inputs!$B$39="pvp",15,Inputs!$B$44)-10)/10)),5))/IF(Inputs!$B$39="pvp",15,Inputs!$B$44))),0)))/100)*(1+((C1458=TRUE)*F1458*IF(AND(Inputs!$B$39&lt;&gt;"pvp",Inputs!$B$44&gt;0),(((R1458-1)*MIN((Skills!Y11*(1+Inputs!$B$34/100)),(1/Q1458))+MIN((Skills!Y11*(1+Inputs!$B$34/100)),MAX(0,Inputs!$B$44-((R1458-1)*(1/Q1458)))))/Inputs!$B$44),IF(Inputs!$B$39="pvp",MIN((Skills!Y11*(1+Inputs!$B$34/100)),15)/15,MIN(1,(Skills!Y11*(1+Inputs!$B$34/100))/(1/Q1458)))))/100)*(1+((C1463=TRUE)*F1463*IF(AND(Inputs!$B$39&lt;&gt;"pvp",Inputs!$B$44&gt;0),(((R1463-1)*MIN((Skills!Y16*(1+Inputs!$B$34/100)),(1/Q1463))+MIN((Skills!Y16*(1+Inputs!$B$34/100)),MAX(0,Inputs!$B$44-((R1463-1)*(1/Q1463)))))/Inputs!$B$44),IF(Inputs!$B$39="pvp",MIN((Skills!Y16*(1+Inputs!$B$34/100)),15)/15,MIN(1,(Skills!Y16*(1+Inputs!$B$34/100))/(1/Q1463)))))/100)</f>
        <v/>
      </c>
    </row>
    <row r="1481">
      <c r="A1481" t="inlineStr">
        <is>
          <t>Global Crit Rate Bonus %</t>
        </is>
      </c>
      <c r="B1481">
        <f>((C1468=TRUE)*F1468*IF(AND(Inputs!$B$39&lt;&gt;"pvp",Inputs!$B$44&gt;0),(((R1468-1)*MIN((Skills!Y21*(1+Inputs!$B$34/100)),(1/Q1468))+MIN((Skills!Y21*(1+Inputs!$B$34/100)),MAX(0,Inputs!$B$44-((R1468-1)*(1/Q1468)))))/Inputs!$B$44),IF(Inputs!$B$39="pvp",MIN((Skills!Y21*(1+Inputs!$B$34/100)),15)/15,MIN(1,(Skills!Y21*(1+Inputs!$B$34/100))/(1/Q1468)))))</f>
        <v/>
      </c>
    </row>
    <row r="1482">
      <c r="A1482" t="inlineStr">
        <is>
          <t>Global Monster Damage-Taken Bonus %</t>
        </is>
      </c>
      <c r="B1482">
        <f>IF(Inputs!$B$3&gt;=82,15,0)</f>
        <v/>
      </c>
    </row>
    <row r="1483">
      <c r="A1483" t="inlineStr">
        <is>
          <t>Shadow Partner Average Multiplier</t>
        </is>
      </c>
      <c r="B1483">
        <f>1+((C1455=TRUE)*F1455*(1+3.3333333333333335*IF(C1466=TRUE,F1466,0)/100)*I1455*Skills!J8/100)/100</f>
        <v/>
      </c>
    </row>
    <row r="1484">
      <c r="A1484" t="inlineStr">
        <is>
          <t>Attack Speed Buff Bonus %</t>
        </is>
      </c>
      <c r="B1484">
        <f>((C1467=TRUE)*F1467*IF(AND(Inputs!$B$39&lt;&gt;"pvp",Inputs!$B$44&gt;0),(((R1467-1)*MIN((Skills!Y20*(1+Inputs!$B$34/100)),(1/Q1467))+MIN((Skills!Y20*(1+Inputs!$B$34/100)),MAX(0,Inputs!$B$44-((R1467-1)*(1/Q1467)))))/Inputs!$B$44),IF(Inputs!$B$39="pvp",MIN((Skills!Y20*(1+Inputs!$B$34/100)),15)/15,MIN(1,(Skills!Y20*(1+Inputs!$B$34/100))/(1/Q1467)))))</f>
        <v/>
      </c>
    </row>
    <row r="1485">
      <c r="A1485" t="inlineStr">
        <is>
          <t>Actions Per Second</t>
        </is>
      </c>
      <c r="B1485">
        <f>1+MIN(150,150*(1-(1-(Inputs!$B$11+((C1470=TRUE)*(F1470-Calc!F23)))/150)*(1-B1484/150)))/100</f>
        <v/>
      </c>
    </row>
    <row r="1486">
      <c r="A1486" t="inlineStr">
        <is>
          <t>Skill + Buff Cast Rate</t>
        </is>
      </c>
      <c r="B1486">
        <f>IF(AND(Inputs!$B$39&lt;&gt;"pvp",Inputs!$B$44&gt;0),SUMPRODUCT((Skills!E2:E31=TRUE)*(C1449:C1478=TRUE)*R1449:R1478*Skills!F2:F31)/Inputs!$B$44,SUMPRODUCT((Skills!E2:E31=TRUE)*(C1449:C1478=TRUE)*Q1449:Q1478*Skills!F2:F31))</f>
        <v/>
      </c>
    </row>
    <row r="1487">
      <c r="A1487" t="inlineStr">
        <is>
          <t>Cruel Stab Casts Per Second</t>
        </is>
      </c>
      <c r="B1487">
        <f>MAX(0,B1485-B1486)</f>
        <v/>
      </c>
    </row>
    <row r="1488">
      <c r="A1488" t="inlineStr">
        <is>
          <t>Global Critical Damage Bonus % (Smokescreen Mastery Lv.113)</t>
        </is>
      </c>
      <c r="B1488">
        <f>IF(Inputs!$B$3&gt;=113,30,0)*IF(AND(Inputs!$B$39&lt;&gt;"pvp",Inputs!$B$44&gt;0),(((R1463-1)*MIN((Skills!Y16*(1+Inputs!$B$34/100)),(1/Q1463))+MIN((Skills!Y16*(1+Inputs!$B$34/100)),MAX(0,Inputs!$B$44-((R1463-1)*(1/Q1463)))))/Inputs!$B$44),IF(Inputs!$B$39="pvp",MIN((Skills!Y16*(1+Inputs!$B$34/100)),15)/15,MIN(1,(Skills!Y16*(1+Inputs!$B$34/100))/(1/Q1463))))</f>
        <v/>
      </c>
    </row>
    <row r="1489">
      <c r="A1489" t="inlineStr">
        <is>
          <t>Meso Explosion average stack count</t>
        </is>
      </c>
      <c r="B1489">
        <f>MIN(10,IF(Inputs!$B$3&gt;=75,0.75,0.5)*B1485*(1/Q1451))</f>
        <v/>
      </c>
    </row>
    <row r="1490">
      <c r="A1490" t="inlineStr">
        <is>
          <t>Blood Money average stack count</t>
        </is>
      </c>
      <c r="B1490">
        <f>MIN(5,0.5*IF(Inputs!$B$3&gt;=75,0.75,0.5)*B1485*(1/Q1451))</f>
        <v/>
      </c>
    </row>
    <row r="1491">
      <c r="A1491" t="inlineStr">
        <is>
          <t>Assassinate Murderous Intent Multiplier</t>
        </is>
      </c>
      <c r="B1491">
        <f>1+IFERROR(MIN(1,Q1462*2/Q1459),0)</f>
        <v/>
      </c>
    </row>
    <row r="1492">
      <c r="A1492" t="inlineStr">
        <is>
          <t>Buff-Casting Startup Delay (s, fixed-duration only)</t>
        </is>
      </c>
      <c r="B1492">
        <f>IF(AND(Inputs!$B$39&lt;&gt;"pvp",Inputs!$B$44&gt;0),SUMPRODUCT((Skills!Y2:Y31&gt;0)*(Skills!E2:E31=TRUE)*(C1449:C1478=TRUE))/B1485,0)</f>
        <v/>
      </c>
    </row>
    <row r="1493">
      <c r="A1493" s="6" t="inlineStr">
        <is>
          <t>TOTAL DPS</t>
        </is>
      </c>
      <c r="B1493" s="6">
        <f>SUM(O1449:O1478)</f>
        <v/>
      </c>
    </row>
    <row r="1494">
      <c r="A1494" t="inlineStr">
        <is>
          <t>Boss-Only Total DPS (this block's swept value)</t>
        </is>
      </c>
      <c r="B1494">
        <f>SUM(T1449:T1478)</f>
        <v/>
      </c>
    </row>
    <row r="1495">
      <c r="A1495" t="inlineStr">
        <is>
          <t>Normal-Only Total DPS (this block's swept value)</t>
        </is>
      </c>
      <c r="B1495">
        <f>SUM(V1449:V1478)</f>
        <v/>
      </c>
    </row>
    <row r="1498">
      <c r="A1498" s="6" t="inlineStr">
        <is>
          <t>Stat: Pig's Ribbon (Equip)</t>
        </is>
      </c>
    </row>
    <row r="1499">
      <c r="A1499" s="5" t="inlineStr">
        <is>
          <t>Key</t>
        </is>
      </c>
      <c r="B1499" s="5" t="inlineStr">
        <is>
          <t>Name</t>
        </is>
      </c>
      <c r="C1499" s="5" t="inlineStr">
        <is>
          <t>Unlocked</t>
        </is>
      </c>
      <c r="D1499" s="5" t="inlineStr">
        <is>
          <t>InputLevel</t>
        </is>
      </c>
      <c r="E1499" s="5" t="inlineStr">
        <is>
          <t>Factor</t>
        </is>
      </c>
      <c r="F1499" s="5" t="inlineStr">
        <is>
          <t>CoefficientPercent</t>
        </is>
      </c>
      <c r="G1499" s="5" t="inlineStr">
        <is>
          <t>EffectiveHits</t>
        </is>
      </c>
      <c r="H1499" s="5" t="inlineStr">
        <is>
          <t>ProcProbability</t>
        </is>
      </c>
      <c r="I1499" s="5" t="inlineStr">
        <is>
          <t>MapleHeroMultiplier</t>
        </is>
      </c>
      <c r="J1499" s="5" t="inlineStr">
        <is>
          <t>BaseDamage</t>
        </is>
      </c>
      <c r="K1499" s="5" t="inlineStr">
        <is>
          <t>BaseHitDamage</t>
        </is>
      </c>
      <c r="L1499" s="5" t="inlineStr">
        <is>
          <t>NonCritAvg</t>
        </is>
      </c>
      <c r="M1499" s="5" t="inlineStr">
        <is>
          <t>CritAvg</t>
        </is>
      </c>
      <c r="N1499" s="5" t="inlineStr">
        <is>
          <t>ExpectedDamage(perHit)</t>
        </is>
      </c>
      <c r="O1499" s="5" t="inlineStr">
        <is>
          <t>DPS</t>
        </is>
      </c>
      <c r="P1499" s="5" t="inlineStr">
        <is>
          <t>% of Total</t>
        </is>
      </c>
      <c r="Q1499" s="5" t="inlineStr">
        <is>
          <t>InvCooldown</t>
        </is>
      </c>
      <c r="R1499" s="5" t="inlineStr">
        <is>
          <t>CastsInFight</t>
        </is>
      </c>
      <c r="S1499" s="5" t="inlineStr">
        <is>
          <t>HitRate(perSec)</t>
        </is>
      </c>
      <c r="U1499" t="inlineStr">
        <is>
          <t>helpers</t>
        </is>
      </c>
    </row>
    <row r="1500">
      <c r="A1500">
        <f>Skills!A2</f>
        <v/>
      </c>
      <c r="B1500">
        <f>Skills!B2</f>
        <v/>
      </c>
      <c r="C1500">
        <f>Inputs!$B$3&gt;=100</f>
        <v/>
      </c>
      <c r="D1500" t="inlineStr"/>
      <c r="E1500" t="inlineStr"/>
      <c r="F1500">
        <f>U1502+Skills!O2</f>
        <v/>
      </c>
      <c r="G1500">
        <f>Skills!G2*IF(Skills!H2&gt;0,IF(Inputs!$B$39="pvp",MIN(Skills!I2,15),Skills!I2)/Skills!H2,1)</f>
        <v/>
      </c>
      <c r="H1500">
        <f>1-(1-Skills!J2/100)^Skills!K2</f>
        <v/>
      </c>
      <c r="I1500" t="inlineStr">
        <is>
          <t>1</t>
        </is>
      </c>
      <c r="J1500">
        <f>((Inputs!$B$6*(1+Inputs!$B$7/100))+(((Inputs!$B$12*(1+Inputs!$B$13/100))-(Inputs!$B$12*(1+Inputs!$B$13/100)))+0.25*(Inputs!$B$14-Inputs!$B$14))*(1+Inputs!$B$7/100))*(F1500/100)</f>
        <v/>
      </c>
      <c r="K1500">
        <f>J1500*(1+((Inputs!$B$12*(1+Inputs!$B$13/100))*0.01+Inputs!$B$14*0.0025)/100)*(1+Inputs!$B$15/100)*(1+Inputs!$B$16/100)*(5000/(6000+Inputs!$B$43*(1-(100*(1-(1-Inputs!$B$19/100)*(1-CHOOSE(ArtifactsInput!$N$40+1,5,6,7,8,9,10)/100)^(ArtifactsInput!$M$40-ArtifactsInput!$M$40)))/100)))*(1+(Inputs!$B$24+((C1529=TRUE)*(F1529-Calc!F31))+((C1516=TRUE)*(F1516-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CRUEL_STAB",Inputs!$B$17+((C1526=TRUE)*(F1526-Calc!F28))+((IF(AND(Inputs!$B$39&lt;&gt;"pvp",Inputs!$B$44=0),1,IF(IF(Inputs!$B$39="pvp",15,Inputs!$B$44)-(B1543)&lt;=0,1,MAX(0,IF(Inputs!$B$39="pvp",15,Inputs!$B$44)-MAX(5,B1543))/(IF(Inputs!$B$39="pvp",15,Inputs!$B$44)-(B1543))))*(IF(AND(ArtifactsInput!$M$42,((Inputs!$B$9+((C1524=TRUE)*(F1524-Calc!F26))+B1532+(ArtifactsInput!$M$24-ArtifactsInput!$M$24)*CHOOSE(ArtifactsInput!$N$24+1,10,12,14,16,18,20)+IF(ArtifactsInput!$M$10,CHOOSE(ArtifactsInput!$N$10+1,15,18,21,24,27,30)*(IF(Inputs!$B$39="pvp",MIN(15,15)/15,IF(AND(Inputs!$B$39&lt;&gt;"pvp",Inputs!$B$44&gt;0),MIN(15,Inputs!$B$44)/(Inputs!$B$44),0))),0)))&gt;=100),MIN(100,((Inputs!$B$9+((C1524=TRUE)*(F1524-Calc!F26))+B1532+(ArtifactsInput!$M$24-ArtifactsInput!$M$24)*CHOOSE(ArtifactsInput!$N$24+1,10,12,14,16,18,20)+IF(ArtifactsInput!$M$10,CHOOSE(ArtifactsInput!$N$10+1,15,18,21,24,27,30)*(IF(Inputs!$B$39="pvp",MIN(15,15)/15,IF(AND(Inputs!$B$39&lt;&gt;"pvp",Inputs!$B$44&gt;0),MIN(15,Inputs!$B$44)/(Inputs!$B$44),0))),0)))-100),0))*CHOOSE(ArtifactsInput!$N$42+1,0.6,0.72,0.84,0.96,1.08,1.2))),Inputs!$B$18+((C1527=TRUE)*(F1527-Calc!F29))+(IF(AND(Inputs!$B$39&lt;&gt;"pvp",Inputs!$B$44=0),1,IF(IF(Inputs!$B$39="pvp",15,Inputs!$B$44)-(B1543)&lt;=0,1,MAX(0,IF(Inputs!$B$39="pvp",15,Inputs!$B$44)-MAX(5,B1543))/(IF(Inputs!$B$39="pvp",15,Inputs!$B$44)-(B1543))))*IF(AND(ArtifactsInput!$M$42,((Inputs!$B$9+((C1524=TRUE)*(F1524-Calc!F26))+B1532+(ArtifactsInput!$M$24-ArtifactsInput!$M$24)*CHOOSE(ArtifactsInput!$N$24+1,10,12,14,16,18,20)+IF(ArtifactsInput!$M$10,CHOOSE(ArtifactsInput!$N$10+1,15,18,21,24,27,30)*(IF(Inputs!$B$39="pvp",MIN(15,15)/15,IF(AND(Inputs!$B$39&lt;&gt;"pvp",Inputs!$B$44&gt;0),MIN(15,Inputs!$B$44)/(Inputs!$B$44),0))),0)))&gt;=100),CHOOSE(ArtifactsInput!$N$42+1,40,48,56,64,72,80),0))))/100)*(((1+(((C1520=TRUE)*F1520*IF(AND(Inputs!$B$39&lt;&gt;"pvp",Inputs!$B$44&gt;0),(((R1520-1)*MIN((Skills!Y22*(1+Inputs!$B$34/100)),(1/Q1520))+MIN((Skills!Y22*(1+Inputs!$B$34/100)),MAX(0,Inputs!$B$44-((R1520-1)*(1/Q1520)))))/Inputs!$B$44),IF(Inputs!$B$39="pvp",MIN((Skills!Y22*(1+Inputs!$B$34/100)),15)/15,MIN(1,(Skills!Y22*(1+Inputs!$B$34/100))/(1/Q1520)))))+((C1501=TRUE)*F1501*3)+((C1503=TRUE)*F1503*(1-EXP(-0.75*B1536*5)))+((C1522=TRUE)*(F1522-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1509=TRUE)*F1509*IF(AND(Inputs!$B$39&lt;&gt;"pvp",Inputs!$B$44&gt;0),(((R1509-1)*MIN((Skills!Y11*(1+Inputs!$B$34/100)),(1/Q1509))+MIN((Skills!Y11*(1+Inputs!$B$34/100)),MAX(0,Inputs!$B$44-((R1509-1)*(1/Q1509)))))/Inputs!$B$44),IF(Inputs!$B$39="pvp",MIN((Skills!Y11*(1+Inputs!$B$34/100)),15)/15,MIN(1,(Skills!Y11*(1+Inputs!$B$34/100))/(1/Q1509)))))/100)*(1+((C1514=TRUE)*F1514*IF(AND(Inputs!$B$39&lt;&gt;"pvp",Inputs!$B$44&gt;0),(((R1514-1)*MIN((Skills!Y16*(1+Inputs!$B$34/100)),(1/Q1514))+MIN((Skills!Y16*(1+Inputs!$B$34/100)),MAX(0,Inputs!$B$44-((R1514-1)*(1/Q1514)))))/Inputs!$B$44),IF(Inputs!$B$39="pvp",MIN((Skills!Y16*(1+Inputs!$B$34/100)),15)/15,MIN(1,(Skills!Y16*(1+Inputs!$B$34/100))/(1/Q1514)))))/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1534*I1500)</f>
        <v/>
      </c>
      <c r="L1500">
        <f>K1500*(MIN(Inputs!$B$22+((C1523=TRUE)*(F1523-Calc!F25)),(Inputs!$B$23+((C1528=TRUE)*(F1528-Calc!F30))+IF(ArtifactsInput!$M$15,CHOOSE(ArtifactsInput!$N$15+1,25,30,35,40,45,50)/100*(Inputs!$B$11-Inputs!$B$11),0)))/100+(Inputs!$B$23+((C1528=TRUE)*(F1528-Calc!F30))+IF(ArtifactsInput!$M$15,CHOOSE(ArtifactsInput!$N$15+1,25,30,35,40,45,50)/100*(Inputs!$B$11-Inputs!$B$11),0))/100)/2</f>
        <v/>
      </c>
      <c r="M1500">
        <f>L1500*(1+(Inputs!$B$10+((C1525=TRUE)*(F1525-Calc!F27))+B1539+(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1500">
        <f>L1500*(1-MIN((Inputs!$B$9+((C1524=TRUE)*(F1524-Calc!F26))+B1532+(ArtifactsInput!$M$24-ArtifactsInput!$M$24)*CHOOSE(ArtifactsInput!$N$24+1,10,12,14,16,18,20)+(IF(AND(Inputs!$B$39&lt;&gt;"pvp",Inputs!$B$44=0),1,IF(IF(Inputs!$B$39="pvp",15,Inputs!$B$44)-(B1543)&lt;=0,1,MAX(0,IF(Inputs!$B$39="pvp",15,Inputs!$B$44)-MAX(5,B1543))/(IF(Inputs!$B$39="pvp",15,Inputs!$B$44)-(B1543))))*IF(AND(ArtifactsInput!$M$42,((Inputs!$B$9+((C1524=TRUE)*(F1524-Calc!F26))+B1532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1500*(MIN((Inputs!$B$9+((C1524=TRUE)*(F1524-Calc!F26))+B1532+(ArtifactsInput!$M$24-ArtifactsInput!$M$24)*CHOOSE(ArtifactsInput!$N$24+1,10,12,14,16,18,20)+(IF(AND(Inputs!$B$39&lt;&gt;"pvp",Inputs!$B$44=0),1,IF(IF(Inputs!$B$39="pvp",15,Inputs!$B$44)-(B1543)&lt;=0,1,MAX(0,IF(Inputs!$B$39="pvp",15,Inputs!$B$44)-MAX(5,B1543))/(IF(Inputs!$B$39="pvp",15,Inputs!$B$44)-(B1543))))*IF(AND(ArtifactsInput!$M$42,((Inputs!$B$9+((C1524=TRUE)*(F1524-Calc!F26))+B1532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500">
        <f>(1-Summary!$B$11)*T1500+Summary!$B$11*V1500</f>
        <v/>
      </c>
      <c r="P1500">
        <f>IF(B1544=0,0,O1500/B1544)</f>
        <v/>
      </c>
      <c r="Q1500" t="n">
        <v>0</v>
      </c>
      <c r="R1500" t="n">
        <v>0</v>
      </c>
      <c r="S1500">
        <f>IFERROR(O1500/N1500,0)</f>
        <v/>
      </c>
      <c r="T1500">
        <f>IF(C1500,(Skills!G2*N1500*B1538)*IF(Inputs!$B$39="pvp",1,1+(Inputs!$B$20+0+Skills!P2+B1533+(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Hunt"),CHOOSE(ArtifactsInput!$N$35+1,15,18,21,24,27,30)*(1-EXP(-(0.2*B1536)*5)),0)+IF(AND(ArtifactsInput!$M$22,Inputs!$B$4&lt;&gt;"Chapter Hunt"),CHOOSE(ArtifactsInput!$N$22+1,10,12,14,16,18,20)*((0*(((0.15*B1536*5))^0/1)+1*(((0.15*B1536*5))^1/1)+2*(((0.15*B1536*5))^2/2)+3*(((0.15*B1536*5))^3/6)+4*(((0.15*B1536*5))^4/24)+5*(((0.15*B1536*5))^5/120))/((((0.15*B1536*5))^0/1)+(((0.15*B1536*5))^1/1)+(((0.15*B1536*5))^2/2)+(((0.15*B1536*5))^3/6)+(((0.15*B1536*5))^4/24)+(((0.15*B1536*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1500*(1-MIN(100,(Inputs!$B$9+((C1524=TRUE)*(F1524-Calc!F26))+B1532+(ArtifactsInput!$M$24-ArtifactsInput!$M$24)*CHOOSE(ArtifactsInput!$N$24+1,10,12,14,16,18,20)+(IF(AND(Inputs!$B$39&lt;&gt;"pvp",Inputs!$B$44=0),1,IF(IF(Inputs!$B$39="pvp",15,Inputs!$B$44)-(B1543)&lt;=0,1,MAX(0,IF(Inputs!$B$39="pvp",15,Inputs!$B$44)-MAX(5,B1543))/(IF(Inputs!$B$39="pvp",15,Inputs!$B$44)-(B1543))))*IF(AND(ArtifactsInput!$M$42,((Inputs!$B$9+((C1524=TRUE)*(F1524-Calc!F26))+B1532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1500*(MIN(100,(Inputs!$B$9+((C1524=TRUE)*(F1524-Calc!F26))+B1532+(ArtifactsInput!$M$24-ArtifactsInput!$M$24)*CHOOSE(ArtifactsInput!$N$24+1,10,12,14,16,18,20)+(IF(AND(Inputs!$B$39&lt;&gt;"pvp",Inputs!$B$44=0),1,IF(IF(Inputs!$B$39="pvp",15,Inputs!$B$44)-(B1543)&lt;=0,1,MAX(0,IF(Inputs!$B$39="pvp",15,Inputs!$B$44)-MAX(5,B1543))/(IF(Inputs!$B$39="pvp",15,Inputs!$B$44)-(B1543))))*IF(AND(ArtifactsInput!$M$42,((Inputs!$B$9+((C1524=TRUE)*(F1524-Calc!F26))+B1532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1500*(1-MIN(100,(Inputs!$B$9+((C1524=TRUE)*(F1524-Calc!F26))+B1532+(ArtifactsInput!$M$24-ArtifactsInput!$M$24)*CHOOSE(ArtifactsInput!$N$24+1,10,12,14,16,18,20)+(IF(AND(Inputs!$B$39&lt;&gt;"pvp",Inputs!$B$44=0),1,IF(IF(Inputs!$B$39="pvp",15,Inputs!$B$44)-(B1543)&lt;=0,1,MAX(0,IF(Inputs!$B$39="pvp",15,Inputs!$B$44)-MAX(5,B1543))/(IF(Inputs!$B$39="pvp",15,Inputs!$B$44)-(B1543))))*IF(AND(ArtifactsInput!$M$42,((Inputs!$B$9+((C1524=TRUE)*(F1524-Calc!F26))+B1532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1500*(MIN(100,(Inputs!$B$9+((C1524=TRUE)*(F1524-Calc!F26))+B1532+(ArtifactsInput!$M$24-ArtifactsInput!$M$24)*CHOOSE(ArtifactsInput!$N$24+1,10,12,14,16,18,20)+(IF(AND(Inputs!$B$39&lt;&gt;"pvp",Inputs!$B$44=0),1,IF(IF(Inputs!$B$39="pvp",15,Inputs!$B$44)-(B1543)&lt;=0,1,MAX(0,IF(Inputs!$B$39="pvp",15,Inputs!$B$44)-MAX(5,B1543))/(IF(Inputs!$B$39="pvp",15,Inputs!$B$44)-(B1543))))*IF(AND(ArtifactsInput!$M$42,((Inputs!$B$9+((C1524=TRUE)*(F1524-Calc!F26))+B1532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1500">
        <f>MAX(0,(Inputs!$B$3-100)*3)+Inputs!$B$28+Inputs!$B$29</f>
        <v/>
      </c>
      <c r="V1500">
        <f>IF(C1500,(Skills!G2*N1500*B1538)*IF(Inputs!$B$39="pvp",1,(1+(Inputs!$B$21+Skills!Q2+B1533+(IF(ArtifactsInput!$M$33,CHOOSE(ArtifactsInput!$N$33+1,30,36,42,48,54,60),0))+(IF(AND(ArtifactsInput!$M$35,Inputs!$B$4&lt;&gt;"Chapter Hunt"),CHOOSE(ArtifactsInput!$N$35+1,15,18,21,24,27,30)*(1-EXP(-(0.2*B1536)*5)),0)+IF(AND(ArtifactsInput!$M$22,Inputs!$B$4&lt;&gt;"Chapter Hunt"),CHOOSE(ArtifactsInput!$N$22+1,10,12,14,16,18,20)*((0*(((0.15*B1536*5))^0/1)+1*(((0.15*B1536*5))^1/1)+2*(((0.15*B1536*5))^2/2)+3*(((0.15*B1536*5))^3/6)+4*(((0.15*B1536*5))^4/24)+5*(((0.15*B1536*5))^5/120))/((((0.15*B1536*5))^0/1)+(((0.15*B1536*5))^1/1)+(((0.15*B1536*5))^2/2)+(((0.15*B1536*5))^3/6)+(((0.15*B1536*5))^4/24)+(((0.15*B1536*5))^5/120))),0)))/100)*(MIN((6+Inputs!$B$33),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501">
      <c r="A1501">
        <f>Skills!A3</f>
        <v/>
      </c>
      <c r="B1501">
        <f>Skills!B3</f>
        <v/>
      </c>
      <c r="C1501">
        <f>Inputs!$B$3&gt;=35</f>
        <v/>
      </c>
      <c r="D1501">
        <f>IF(Skills!C3=1,60+Inputs!$B$25+Inputs!$B$29,IF(Skills!C3=2,90+Inputs!$B$26+Inputs!$B$29,IF(Skills!C3=3,120+Inputs!$B$27+Inputs!$B$29,MAX(0,(Inputs!$B$3-100)*3)+Inputs!$B$28+Inputs!$B$29)))</f>
        <v/>
      </c>
      <c r="E1501">
        <f>INDEX(FactorTable!$B$2:$Y$301, MATCH(ROUND(MIN(300,MAX(1,D1501)),0), FactorTable!$A$2:$A$301,0), Skills!M3+1)</f>
        <v/>
      </c>
      <c r="F1501">
        <f>IF(Skills!N3=TRUE,(Skills!L3/10)*(E1501/1000),Skills!L3/10)+Skills!O3</f>
        <v/>
      </c>
      <c r="G1501">
        <f>Skills!G3*IF(Skills!H3&gt;0,IF(Inputs!$B$39="pvp",MIN(Skills!I3,15),Skills!I3)/Skills!H3,1)</f>
        <v/>
      </c>
      <c r="H1501">
        <f>1-(1-Skills!J3/100)^Skills!K3</f>
        <v/>
      </c>
      <c r="I1501" t="inlineStr">
        <is>
          <t>1</t>
        </is>
      </c>
      <c r="J1501" t="inlineStr"/>
      <c r="K1501" t="inlineStr"/>
      <c r="L1501" t="inlineStr"/>
      <c r="M1501" t="inlineStr"/>
      <c r="N1501" t="inlineStr"/>
      <c r="O1501">
        <f>(1-Summary!$B$11)*T1501+Summary!$B$11*V1501</f>
        <v/>
      </c>
      <c r="P1501">
        <f>IF(B1544=0,0,O1501/B1544)</f>
        <v/>
      </c>
      <c r="Q1501" t="n">
        <v>0</v>
      </c>
      <c r="R1501" t="n">
        <v>0</v>
      </c>
      <c r="S1501">
        <f>IFERROR(O1501/N1501,0)</f>
        <v/>
      </c>
      <c r="T1501" t="n">
        <v>0</v>
      </c>
      <c r="U1501">
        <f>INDEX(FactorTable!$B$2:$Y$301, MATCH(ROUND(MIN(300,MAX(1,U1500)),0), FactorTable!$A$2:$A$301,0), 22)</f>
        <v/>
      </c>
      <c r="V1501" t="n">
        <v>0</v>
      </c>
    </row>
    <row r="1502">
      <c r="A1502">
        <f>Skills!A4</f>
        <v/>
      </c>
      <c r="B1502">
        <f>Skills!B4</f>
        <v/>
      </c>
      <c r="C1502">
        <f>Inputs!$B$3&gt;=66</f>
        <v/>
      </c>
      <c r="D1502">
        <f>IF(Skills!C4=1,60+Inputs!$B$25+Inputs!$B$29,IF(Skills!C4=2,90+Inputs!$B$26+Inputs!$B$29,IF(Skills!C4=3,120+Inputs!$B$27+Inputs!$B$29,MAX(0,(Inputs!$B$3-100)*3)+Inputs!$B$28+Inputs!$B$29)))</f>
        <v/>
      </c>
      <c r="E1502">
        <f>INDEX(FactorTable!$B$2:$Y$301, MATCH(ROUND(MIN(300,MAX(1,D1502)),0), FactorTable!$A$2:$A$301,0), Skills!M4+1)</f>
        <v/>
      </c>
      <c r="F1502">
        <f>IF(Skills!N4=TRUE,(Skills!L4/10)*(E1502/1000),Skills!L4/10)+Skills!O4</f>
        <v/>
      </c>
      <c r="G1502">
        <f>Skills!G4*IF(Skills!H4&gt;0,IF(Inputs!$B$39="pvp",MIN(Skills!I4,15),Skills!I4)/Skills!H4,1)</f>
        <v/>
      </c>
      <c r="H1502">
        <f>1-(1-Skills!J4/100)^Skills!K4</f>
        <v/>
      </c>
      <c r="I1502" t="inlineStr">
        <is>
          <t>1</t>
        </is>
      </c>
      <c r="J1502">
        <f>((Inputs!$B$6*(1+Inputs!$B$7/100))+(((Inputs!$B$12*(1+Inputs!$B$13/100))-(Inputs!$B$12*(1+Inputs!$B$13/100)))+0.25*(Inputs!$B$14-Inputs!$B$14))*(1+Inputs!$B$7/100))*(F1502/100)</f>
        <v/>
      </c>
      <c r="K1502">
        <f>J1502*(1+((Inputs!$B$12*(1+Inputs!$B$13/100))*0.01+Inputs!$B$14*0.0025)/100)*(1+Inputs!$B$15/100)*(1+Inputs!$B$16/100)*(5000/(6000+Inputs!$B$43*(1-(100*(1-(1-Inputs!$B$19/100)*(1-CHOOSE(ArtifactsInput!$N$40+1,5,6,7,8,9,10)/100)^(ArtifactsInput!$M$40-ArtifactsInput!$M$40)))/100)))*(1+(Inputs!$B$24+((C1529=TRUE)*(F1529-Calc!F31))+((C1516=TRUE)*(F1516-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4="CRUEL_STAB",Inputs!$B$17+((C1526=TRUE)*(F1526-Calc!F28))+((IF(AND(Inputs!$B$39&lt;&gt;"pvp",Inputs!$B$44=0),1,IF(IF(Inputs!$B$39="pvp",15,Inputs!$B$44)-(B1543)&lt;=0,1,MAX(0,IF(Inputs!$B$39="pvp",15,Inputs!$B$44)-MAX(5,B1543))/(IF(Inputs!$B$39="pvp",15,Inputs!$B$44)-(B1543))))*(IF(AND(ArtifactsInput!$M$42,((Inputs!$B$9+((C1524=TRUE)*(F1524-Calc!F26))+B1532+(ArtifactsInput!$M$24-ArtifactsInput!$M$24)*CHOOSE(ArtifactsInput!$N$24+1,10,12,14,16,18,20)+IF(ArtifactsInput!$M$10,CHOOSE(ArtifactsInput!$N$10+1,15,18,21,24,27,30)*(IF(Inputs!$B$39="pvp",MIN(15,15)/15,IF(AND(Inputs!$B$39&lt;&gt;"pvp",Inputs!$B$44&gt;0),MIN(15,Inputs!$B$44)/(Inputs!$B$44),0))),0)))&gt;=100),MIN(100,((Inputs!$B$9+((C1524=TRUE)*(F1524-Calc!F26))+B1532+(ArtifactsInput!$M$24-ArtifactsInput!$M$24)*CHOOSE(ArtifactsInput!$N$24+1,10,12,14,16,18,20)+IF(ArtifactsInput!$M$10,CHOOSE(ArtifactsInput!$N$10+1,15,18,21,24,27,30)*(IF(Inputs!$B$39="pvp",MIN(15,15)/15,IF(AND(Inputs!$B$39&lt;&gt;"pvp",Inputs!$B$44&gt;0),MIN(15,Inputs!$B$44)/(Inputs!$B$44),0))),0)))-100),0))*CHOOSE(ArtifactsInput!$N$42+1,0.6,0.72,0.84,0.96,1.08,1.2))),Inputs!$B$18+((C1527=TRUE)*(F1527-Calc!F29))+(IF(AND(Inputs!$B$39&lt;&gt;"pvp",Inputs!$B$44=0),1,IF(IF(Inputs!$B$39="pvp",15,Inputs!$B$44)-(B1543)&lt;=0,1,MAX(0,IF(Inputs!$B$39="pvp",15,Inputs!$B$44)-MAX(5,B1543))/(IF(Inputs!$B$39="pvp",15,Inputs!$B$44)-(B1543))))*IF(AND(ArtifactsInput!$M$42,((Inputs!$B$9+((C1524=TRUE)*(F1524-Calc!F26))+B1532+(ArtifactsInput!$M$24-ArtifactsInput!$M$24)*CHOOSE(ArtifactsInput!$N$24+1,10,12,14,16,18,20)+IF(ArtifactsInput!$M$10,CHOOSE(ArtifactsInput!$N$10+1,15,18,21,24,27,30)*(IF(Inputs!$B$39="pvp",MIN(15,15)/15,IF(AND(Inputs!$B$39&lt;&gt;"pvp",Inputs!$B$44&gt;0),MIN(15,Inputs!$B$44)/(Inputs!$B$44),0))),0)))&gt;=100),CHOOSE(ArtifactsInput!$N$42+1,40,48,56,64,72,80),0))))/100)*(((1+(((C1520=TRUE)*F1520*IF(AND(Inputs!$B$39&lt;&gt;"pvp",Inputs!$B$44&gt;0),(((R1520-1)*MIN((Skills!Y22*(1+Inputs!$B$34/100)),(1/Q1520))+MIN((Skills!Y22*(1+Inputs!$B$34/100)),MAX(0,Inputs!$B$44-((R1520-1)*(1/Q1520)))))/Inputs!$B$44),IF(Inputs!$B$39="pvp",MIN((Skills!Y22*(1+Inputs!$B$34/100)),15)/15,MIN(1,(Skills!Y22*(1+Inputs!$B$34/100))/(1/Q1520)))))+((C1501=TRUE)*F1501*3)+((C1503=TRUE)*F1503*(1-EXP(-0.75*B1536*5)))+((C1522=TRUE)*(F1522-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1509=TRUE)*F1509*IF(AND(Inputs!$B$39&lt;&gt;"pvp",Inputs!$B$44&gt;0),(((R1509-1)*MIN((Skills!Y11*(1+Inputs!$B$34/100)),(1/Q1509))+MIN((Skills!Y11*(1+Inputs!$B$34/100)),MAX(0,Inputs!$B$44-((R1509-1)*(1/Q1509)))))/Inputs!$B$44),IF(Inputs!$B$39="pvp",MIN((Skills!Y11*(1+Inputs!$B$34/100)),15)/15,MIN(1,(Skills!Y11*(1+Inputs!$B$34/100))/(1/Q1509)))))/100)*(1+((C1514=TRUE)*F1514*IF(AND(Inputs!$B$39&lt;&gt;"pvp",Inputs!$B$44&gt;0),(((R1514-1)*MIN((Skills!Y16*(1+Inputs!$B$34/100)),(1/Q1514))+MIN((Skills!Y16*(1+Inputs!$B$34/100)),MAX(0,Inputs!$B$44-((R1514-1)*(1/Q1514)))))/Inputs!$B$44),IF(Inputs!$B$39="pvp",MIN((Skills!Y16*(1+Inputs!$B$34/100)),15)/15,MIN(1,(Skills!Y16*(1+Inputs!$B$34/100))/(1/Q1514)))))/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1534*I1502)</f>
        <v/>
      </c>
      <c r="L1502">
        <f>K1502*(MIN(Inputs!$B$22+((C1523=TRUE)*(F1523-Calc!F25)),(Inputs!$B$23+((C1528=TRUE)*(F1528-Calc!F30))+IF(ArtifactsInput!$M$15,CHOOSE(ArtifactsInput!$N$15+1,25,30,35,40,45,50)/100*(Inputs!$B$11-Inputs!$B$11),0)))/100+(Inputs!$B$23+((C1528=TRUE)*(F1528-Calc!F30))+IF(ArtifactsInput!$M$15,CHOOSE(ArtifactsInput!$N$15+1,25,30,35,40,45,50)/100*(Inputs!$B$11-Inputs!$B$11),0))/100)/2</f>
        <v/>
      </c>
      <c r="M1502">
        <f>L1502*(1+(Inputs!$B$10+((C1525=TRUE)*(F1525-Calc!F27))+B1539+(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1502">
        <f>L1502*(1-MIN((Inputs!$B$9+((C1524=TRUE)*(F1524-Calc!F26))+B1532+(ArtifactsInput!$M$24-ArtifactsInput!$M$24)*CHOOSE(ArtifactsInput!$N$24+1,10,12,14,16,18,20)+(IF(AND(Inputs!$B$39&lt;&gt;"pvp",Inputs!$B$44=0),1,IF(IF(Inputs!$B$39="pvp",15,Inputs!$B$44)-(B1543)&lt;=0,1,MAX(0,IF(Inputs!$B$39="pvp",15,Inputs!$B$44)-MAX(5,B1543))/(IF(Inputs!$B$39="pvp",15,Inputs!$B$44)-(B1543))))*IF(AND(ArtifactsInput!$M$42,((Inputs!$B$9+((C1524=TRUE)*(F1524-Calc!F26))+B1532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1502*(MIN((Inputs!$B$9+((C1524=TRUE)*(F1524-Calc!F26))+B1532+(ArtifactsInput!$M$24-ArtifactsInput!$M$24)*CHOOSE(ArtifactsInput!$N$24+1,10,12,14,16,18,20)+(IF(AND(Inputs!$B$39&lt;&gt;"pvp",Inputs!$B$44=0),1,IF(IF(Inputs!$B$39="pvp",15,Inputs!$B$44)-(B1543)&lt;=0,1,MAX(0,IF(Inputs!$B$39="pvp",15,Inputs!$B$44)-MAX(5,B1543))/(IF(Inputs!$B$39="pvp",15,Inputs!$B$44)-(B1543))))*IF(AND(ArtifactsInput!$M$42,((Inputs!$B$9+((C1524=TRUE)*(F1524-Calc!F26))+B1532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502">
        <f>(1-Summary!$B$11)*T1502+Summary!$B$11*V1502</f>
        <v/>
      </c>
      <c r="P1502">
        <f>IF(B1544=0,0,O1502/B1544)</f>
        <v/>
      </c>
      <c r="Q1502">
        <f>IFERROR(1/IF(Inputs!$B$39="pvp",15,MAX(0.1,Skills!D4-IF(TRUE=TRUE,Inputs!$B$32,0))),0)</f>
        <v/>
      </c>
      <c r="R1502">
        <f>IF(AND(Inputs!$B$39&lt;&gt;"pvp",Inputs!$B$44&gt;0),IF(MAX(0,Inputs!$B$44-B1543)&lt;=0,0,(INT(MAX(0,Inputs!$B$44-B1543)/IF(Inputs!$B$39="pvp",15,MAX(0.1,Skills!D4-IF(TRUE=TRUE,Inputs!$B$32,0))))+1)),0)</f>
        <v/>
      </c>
      <c r="S1502">
        <f>IFERROR(O1502/N1502,0)</f>
        <v/>
      </c>
      <c r="T1502">
        <f>IF(C1502,(H1502*N1502*IF(AND(Inputs!$B$39&lt;&gt;"pvp",Inputs!$B$44&gt;0),((Skills!G4*((R1502-1)*IF(Skills!H4&gt;0,Skills!I4/Skills!H4,1)+IF(Skills!H4&gt;0,MIN(Skills!I4,MAX(0,MAX(0,Inputs!$B$44-B1543)-((R1502-1)*IF(Inputs!$B$39="pvp",15,MAX(0.1,Skills!D4-IF(TRUE=TRUE,Inputs!$B$32,0))))))/Skills!H4,1)))/Inputs!$B$44),G1502*Q1502))*IF(Inputs!$B$39="pvp",1,1+(Inputs!$B$20+0+Skills!P4+B1533+(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Hunt"),CHOOSE(ArtifactsInput!$N$35+1,15,18,21,24,27,30)*(1-EXP(-(0.2*B1536)*5)),0)+IF(AND(ArtifactsInput!$M$22,Inputs!$B$4&lt;&gt;"Chapter Hunt"),CHOOSE(ArtifactsInput!$N$22+1,10,12,14,16,18,20)*((0*(((0.15*B1536*5))^0/1)+1*(((0.15*B1536*5))^1/1)+2*(((0.15*B1536*5))^2/2)+3*(((0.15*B1536*5))^3/6)+4*(((0.15*B1536*5))^4/24)+5*(((0.15*B1536*5))^5/120))/((((0.15*B1536*5))^0/1)+(((0.15*B1536*5))^1/1)+(((0.15*B1536*5))^2/2)+(((0.15*B1536*5))^3/6)+(((0.15*B1536*5))^4/24)+(((0.15*B1536*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1502*(1-MIN(100,(Inputs!$B$9+((C1524=TRUE)*(F1524-Calc!F26))+B1532+(ArtifactsInput!$M$24-ArtifactsInput!$M$24)*CHOOSE(ArtifactsInput!$N$24+1,10,12,14,16,18,20)+(IF(AND(Inputs!$B$39&lt;&gt;"pvp",Inputs!$B$44=0),1,IF(IF(Inputs!$B$39="pvp",15,Inputs!$B$44)-(B1543)&lt;=0,1,MAX(0,IF(Inputs!$B$39="pvp",15,Inputs!$B$44)-MAX(5,B1543))/(IF(Inputs!$B$39="pvp",15,Inputs!$B$44)-(B1543))))*IF(AND(ArtifactsInput!$M$42,((Inputs!$B$9+((C1524=TRUE)*(F1524-Calc!F26))+B1532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1502*(MIN(100,(Inputs!$B$9+((C1524=TRUE)*(F1524-Calc!F26))+B1532+(ArtifactsInput!$M$24-ArtifactsInput!$M$24)*CHOOSE(ArtifactsInput!$N$24+1,10,12,14,16,18,20)+(IF(AND(Inputs!$B$39&lt;&gt;"pvp",Inputs!$B$44=0),1,IF(IF(Inputs!$B$39="pvp",15,Inputs!$B$44)-(B1543)&lt;=0,1,MAX(0,IF(Inputs!$B$39="pvp",15,Inputs!$B$44)-MAX(5,B1543))/(IF(Inputs!$B$39="pvp",15,Inputs!$B$44)-(B1543))))*IF(AND(ArtifactsInput!$M$42,((Inputs!$B$9+((C1524=TRUE)*(F1524-Calc!F26))+B1532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1502*(1-MIN(100,(Inputs!$B$9+((C1524=TRUE)*(F1524-Calc!F26))+B1532+(ArtifactsInput!$M$24-ArtifactsInput!$M$24)*CHOOSE(ArtifactsInput!$N$24+1,10,12,14,16,18,20)+(IF(AND(Inputs!$B$39&lt;&gt;"pvp",Inputs!$B$44=0),1,IF(IF(Inputs!$B$39="pvp",15,Inputs!$B$44)-(B1543)&lt;=0,1,MAX(0,IF(Inputs!$B$39="pvp",15,Inputs!$B$44)-MAX(5,B1543))/(IF(Inputs!$B$39="pvp",15,Inputs!$B$44)-(B1543))))*IF(AND(ArtifactsInput!$M$42,((Inputs!$B$9+((C1524=TRUE)*(F1524-Calc!F26))+B1532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1502*(MIN(100,(Inputs!$B$9+((C1524=TRUE)*(F1524-Calc!F26))+B1532+(ArtifactsInput!$M$24-ArtifactsInput!$M$24)*CHOOSE(ArtifactsInput!$N$24+1,10,12,14,16,18,20)+(IF(AND(Inputs!$B$39&lt;&gt;"pvp",Inputs!$B$44=0),1,IF(IF(Inputs!$B$39="pvp",15,Inputs!$B$44)-(B1543)&lt;=0,1,MAX(0,IF(Inputs!$B$39="pvp",15,Inputs!$B$44)-MAX(5,B1543))/(IF(Inputs!$B$39="pvp",15,Inputs!$B$44)-(B1543))))*IF(AND(ArtifactsInput!$M$42,((Inputs!$B$9+((C1524=TRUE)*(F1524-Calc!F26))+B1532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1502">
        <f>290*U1501/1000</f>
        <v/>
      </c>
      <c r="V1502">
        <f>IF(C1502,(H1502*N1502*IF(AND(Inputs!$B$39&lt;&gt;"pvp",Inputs!$B$44&gt;0),((Skills!G4*((R1502-1)*IF(Skills!H4&gt;0,Skills!I4/Skills!H4,1)+IF(Skills!H4&gt;0,MIN(Skills!I4,MAX(0,MAX(0,Inputs!$B$44-B1543)-((R1502-1)*IF(Inputs!$B$39="pvp",15,MAX(0.1,Skills!D4-IF(TRUE=TRUE,Inputs!$B$32,0))))))/Skills!H4,1)))/Inputs!$B$44),G1502*Q1502))*IF(Inputs!$B$39="pvp",1,(1+(Inputs!$B$21+Skills!Q4+B1533+(IF(ArtifactsInput!$M$33,CHOOSE(ArtifactsInput!$N$33+1,30,36,42,48,54,60),0))+(IF(AND(ArtifactsInput!$M$35,Inputs!$B$4&lt;&gt;"Chapter Hunt"),CHOOSE(ArtifactsInput!$N$35+1,15,18,21,24,27,30)*(1-EXP(-(0.2*B1536)*5)),0)+IF(AND(ArtifactsInput!$M$22,Inputs!$B$4&lt;&gt;"Chapter Hunt"),CHOOSE(ArtifactsInput!$N$22+1,10,12,14,16,18,20)*((0*(((0.15*B1536*5))^0/1)+1*(((0.15*B1536*5))^1/1)+2*(((0.15*B1536*5))^2/2)+3*(((0.15*B1536*5))^3/6)+4*(((0.15*B1536*5))^4/24)+5*(((0.15*B1536*5))^5/120))/((((0.15*B1536*5))^0/1)+(((0.15*B1536*5))^1/1)+(((0.15*B1536*5))^2/2)+(((0.15*B1536*5))^3/6)+(((0.15*B1536*5))^4/24)+(((0.15*B1536*5))^5/120))),0)))/100)*(MIN(MIN(10,IF(Inputs!$B$3&gt;=75,0.75,0.5)*B1536*(1/Q1502)),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503">
      <c r="A1503">
        <f>Skills!A5</f>
        <v/>
      </c>
      <c r="B1503">
        <f>Skills!B5</f>
        <v/>
      </c>
      <c r="C1503">
        <f>Inputs!$B$3&gt;=75</f>
        <v/>
      </c>
      <c r="D1503">
        <f>IF(Skills!C5=1,60+Inputs!$B$25+Inputs!$B$29,IF(Skills!C5=2,90+Inputs!$B$26+Inputs!$B$29,IF(Skills!C5=3,120+Inputs!$B$27+Inputs!$B$29,MAX(0,(Inputs!$B$3-100)*3)+Inputs!$B$28+Inputs!$B$29)))</f>
        <v/>
      </c>
      <c r="E1503">
        <f>INDEX(FactorTable!$B$2:$Y$301, MATCH(ROUND(MIN(300,MAX(1,D1503)),0), FactorTable!$A$2:$A$301,0), Skills!M5+1)</f>
        <v/>
      </c>
      <c r="F1503">
        <f>IF(Skills!N5=TRUE,(Skills!L5/10)*(E1503/1000),Skills!L5/10)+Skills!O5</f>
        <v/>
      </c>
      <c r="G1503">
        <f>Skills!G5*IF(Skills!H5&gt;0,IF(Inputs!$B$39="pvp",MIN(Skills!I5,15),Skills!I5)/Skills!H5,1)</f>
        <v/>
      </c>
      <c r="H1503">
        <f>1-(1-Skills!J5/100)^Skills!K5</f>
        <v/>
      </c>
      <c r="I1503" t="inlineStr">
        <is>
          <t>1</t>
        </is>
      </c>
      <c r="J1503" t="inlineStr"/>
      <c r="K1503" t="inlineStr"/>
      <c r="L1503" t="inlineStr"/>
      <c r="M1503" t="inlineStr"/>
      <c r="N1503" t="inlineStr"/>
      <c r="O1503">
        <f>(1-Summary!$B$11)*T1503+Summary!$B$11*V1503</f>
        <v/>
      </c>
      <c r="P1503">
        <f>IF(B1544=0,0,O1503/B1544)</f>
        <v/>
      </c>
      <c r="Q1503" t="n">
        <v>0</v>
      </c>
      <c r="R1503" t="n">
        <v>0</v>
      </c>
      <c r="S1503">
        <f>IFERROR(O1503/N1503,0)</f>
        <v/>
      </c>
      <c r="T1503" t="n">
        <v>0</v>
      </c>
      <c r="V1503" t="n">
        <v>0</v>
      </c>
    </row>
    <row r="1504">
      <c r="A1504">
        <f>Skills!A6</f>
        <v/>
      </c>
      <c r="B1504">
        <f>Skills!B6</f>
        <v/>
      </c>
      <c r="C1504">
        <f>Inputs!$B$3&gt;=63</f>
        <v/>
      </c>
      <c r="D1504">
        <f>IF(Skills!C6=1,60+Inputs!$B$25+Inputs!$B$29,IF(Skills!C6=2,90+Inputs!$B$26+Inputs!$B$29,IF(Skills!C6=3,120+Inputs!$B$27+Inputs!$B$29,MAX(0,(Inputs!$B$3-100)*3)+Inputs!$B$28+Inputs!$B$29)))</f>
        <v/>
      </c>
      <c r="E1504">
        <f>INDEX(FactorTable!$B$2:$Y$301, MATCH(ROUND(MIN(300,MAX(1,D1504)),0), FactorTable!$A$2:$A$301,0), Skills!M6+1)</f>
        <v/>
      </c>
      <c r="F1504">
        <f>IF(Skills!N6=TRUE,(Skills!L6/10)*(E1504/1000),Skills!L6/10)+Skills!O6</f>
        <v/>
      </c>
      <c r="G1504">
        <f>Skills!G6*IF(Skills!H6&gt;0,IF(Inputs!$B$39="pvp",MIN(Skills!I6,15),Skills!I6)/Skills!H6,1)</f>
        <v/>
      </c>
      <c r="H1504">
        <f>1-(1-Skills!J6/100)^Skills!K6</f>
        <v/>
      </c>
      <c r="I1504" t="inlineStr">
        <is>
          <t>1</t>
        </is>
      </c>
      <c r="J1504">
        <f>((Inputs!$B$6*(1+Inputs!$B$7/100))+(((Inputs!$B$12*(1+Inputs!$B$13/100))-(Inputs!$B$12*(1+Inputs!$B$13/100)))+0.25*(Inputs!$B$14-Inputs!$B$14))*(1+Inputs!$B$7/100))*(F1504/100)</f>
        <v/>
      </c>
      <c r="K1504">
        <f>J1504*(1+((Inputs!$B$12*(1+Inputs!$B$13/100))*0.01+Inputs!$B$14*0.0025)/100)*(1+Inputs!$B$15/100)*(1+Inputs!$B$16/100)*(5000/(6000+Inputs!$B$43*(1-(100*(1-(1-Inputs!$B$19/100)*(1-CHOOSE(ArtifactsInput!$N$40+1,5,6,7,8,9,10)/100)^(ArtifactsInput!$M$40-ArtifactsInput!$M$40)))/100)))*(1+(Inputs!$B$24+((C1529=TRUE)*(F1529-Calc!F31))+((C1516=TRUE)*(F1516-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+2.6666666666666665*IF(C1517=TRUE,F1517,0)/100)*(1+(IF(Skills!A6="CRUEL_STAB",Inputs!$B$17+((C1526=TRUE)*(F1526-Calc!F28))+((IF(AND(Inputs!$B$39&lt;&gt;"pvp",Inputs!$B$44=0),1,IF(IF(Inputs!$B$39="pvp",15,Inputs!$B$44)-(B1543)&lt;=0,1,MAX(0,IF(Inputs!$B$39="pvp",15,Inputs!$B$44)-MAX(5,B1543))/(IF(Inputs!$B$39="pvp",15,Inputs!$B$44)-(B1543))))*(IF(AND(ArtifactsInput!$M$42,((Inputs!$B$9+((C1524=TRUE)*(F1524-Calc!F26))+B1532+(ArtifactsInput!$M$24-ArtifactsInput!$M$24)*CHOOSE(ArtifactsInput!$N$24+1,10,12,14,16,18,20)+IF(ArtifactsInput!$M$10,CHOOSE(ArtifactsInput!$N$10+1,15,18,21,24,27,30)*(IF(Inputs!$B$39="pvp",MIN(15,15)/15,IF(AND(Inputs!$B$39&lt;&gt;"pvp",Inputs!$B$44&gt;0),MIN(15,Inputs!$B$44)/(Inputs!$B$44),0))),0)))&gt;=100),MIN(100,((Inputs!$B$9+((C1524=TRUE)*(F1524-Calc!F26))+B1532+(ArtifactsInput!$M$24-ArtifactsInput!$M$24)*CHOOSE(ArtifactsInput!$N$24+1,10,12,14,16,18,20)+IF(ArtifactsInput!$M$10,CHOOSE(ArtifactsInput!$N$10+1,15,18,21,24,27,30)*(IF(Inputs!$B$39="pvp",MIN(15,15)/15,IF(AND(Inputs!$B$39&lt;&gt;"pvp",Inputs!$B$44&gt;0),MIN(15,Inputs!$B$44)/(Inputs!$B$44),0))),0)))-100),0))*CHOOSE(ArtifactsInput!$N$42+1,0.6,0.72,0.84,0.96,1.08,1.2))),Inputs!$B$18+((C1527=TRUE)*(F1527-Calc!F29))+(IF(AND(Inputs!$B$39&lt;&gt;"pvp",Inputs!$B$44=0),1,IF(IF(Inputs!$B$39="pvp",15,Inputs!$B$44)-(B1543)&lt;=0,1,MAX(0,IF(Inputs!$B$39="pvp",15,Inputs!$B$44)-MAX(5,B1543))/(IF(Inputs!$B$39="pvp",15,Inputs!$B$44)-(B1543))))*IF(AND(ArtifactsInput!$M$42,((Inputs!$B$9+((C1524=TRUE)*(F1524-Calc!F26))+B1532+(ArtifactsInput!$M$24-ArtifactsInput!$M$24)*CHOOSE(ArtifactsInput!$N$24+1,10,12,14,16,18,20)+IF(ArtifactsInput!$M$10,CHOOSE(ArtifactsInput!$N$10+1,15,18,21,24,27,30)*(IF(Inputs!$B$39="pvp",MIN(15,15)/15,IF(AND(Inputs!$B$39&lt;&gt;"pvp",Inputs!$B$44&gt;0),MIN(15,Inputs!$B$44)/(Inputs!$B$44),0))),0)))&gt;=100),CHOOSE(ArtifactsInput!$N$42+1,40,48,56,64,72,80),0))))/100)*(((1+(((C1520=TRUE)*F1520*IF(AND(Inputs!$B$39&lt;&gt;"pvp",Inputs!$B$44&gt;0),(((R1520-1)*MIN((Skills!Y22*(1+Inputs!$B$34/100)),(1/Q1520))+MIN((Skills!Y22*(1+Inputs!$B$34/100)),MAX(0,Inputs!$B$44-((R1520-1)*(1/Q1520)))))/Inputs!$B$44),IF(Inputs!$B$39="pvp",MIN((Skills!Y22*(1+Inputs!$B$34/100)),15)/15,MIN(1,(Skills!Y22*(1+Inputs!$B$34/100))/(1/Q1520)))))+((C1501=TRUE)*F1501*3)+((C1503=TRUE)*F1503*(1-EXP(-0.75*B1536*5)))+((C1522=TRUE)*(F1522-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1509=TRUE)*F1509*IF(AND(Inputs!$B$39&lt;&gt;"pvp",Inputs!$B$44&gt;0),(((R1509-1)*MIN((Skills!Y11*(1+Inputs!$B$34/100)),(1/Q1509))+MIN((Skills!Y11*(1+Inputs!$B$34/100)),MAX(0,Inputs!$B$44-((R1509-1)*(1/Q1509)))))/Inputs!$B$44),IF(Inputs!$B$39="pvp",MIN((Skills!Y11*(1+Inputs!$B$34/100)),15)/15,MIN(1,(Skills!Y11*(1+Inputs!$B$34/100))/(1/Q1509)))))/100)*(1+((C1514=TRUE)*F1514*IF(AND(Inputs!$B$39&lt;&gt;"pvp",Inputs!$B$44&gt;0),(((R1514-1)*MIN((Skills!Y16*(1+Inputs!$B$34/100)),(1/Q1514))+MIN((Skills!Y16*(1+Inputs!$B$34/100)),MAX(0,Inputs!$B$44-((R1514-1)*(1/Q1514)))))/Inputs!$B$44),IF(Inputs!$B$39="pvp",MIN((Skills!Y16*(1+Inputs!$B$34/100)),15)/15,MIN(1,(Skills!Y16*(1+Inputs!$B$34/100))/(1/Q1514)))))/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1534*I1504)</f>
        <v/>
      </c>
      <c r="L1504">
        <f>K1504*(MIN(Inputs!$B$22+((C1523=TRUE)*(F1523-Calc!F25)),(Inputs!$B$23+((C1528=TRUE)*(F1528-Calc!F30))+IF(ArtifactsInput!$M$15,CHOOSE(ArtifactsInput!$N$15+1,25,30,35,40,45,50)/100*(Inputs!$B$11-Inputs!$B$11),0)))/100+(Inputs!$B$23+((C1528=TRUE)*(F1528-Calc!F30))+IF(ArtifactsInput!$M$15,CHOOSE(ArtifactsInput!$N$15+1,25,30,35,40,45,50)/100*(Inputs!$B$11-Inputs!$B$11),0))/100)/2</f>
        <v/>
      </c>
      <c r="M1504">
        <f>L1504*(1+(Inputs!$B$10+((C1525=TRUE)*(F1525-Calc!F27))+B1539+(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1504">
        <f>L1504*(1-MIN((Inputs!$B$9+((C1524=TRUE)*(F1524-Calc!F26))+B1532+(ArtifactsInput!$M$24-ArtifactsInput!$M$24)*CHOOSE(ArtifactsInput!$N$24+1,10,12,14,16,18,20)+(IF(AND(Inputs!$B$39&lt;&gt;"pvp",Inputs!$B$44=0),1,IF(IF(Inputs!$B$39="pvp",15,Inputs!$B$44)-(B1543)&lt;=0,1,MAX(0,IF(Inputs!$B$39="pvp",15,Inputs!$B$44)-MAX(5,B1543))/(IF(Inputs!$B$39="pvp",15,Inputs!$B$44)-(B1543))))*IF(AND(ArtifactsInput!$M$42,((Inputs!$B$9+((C1524=TRUE)*(F1524-Calc!F26))+B1532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1504*(MIN((Inputs!$B$9+((C1524=TRUE)*(F1524-Calc!F26))+B1532+(ArtifactsInput!$M$24-ArtifactsInput!$M$24)*CHOOSE(ArtifactsInput!$N$24+1,10,12,14,16,18,20)+(IF(AND(Inputs!$B$39&lt;&gt;"pvp",Inputs!$B$44=0),1,IF(IF(Inputs!$B$39="pvp",15,Inputs!$B$44)-(B1543)&lt;=0,1,MAX(0,IF(Inputs!$B$39="pvp",15,Inputs!$B$44)-MAX(5,B1543))/(IF(Inputs!$B$39="pvp",15,Inputs!$B$44)-(B1543))))*IF(AND(ArtifactsInput!$M$42,((Inputs!$B$9+((C1524=TRUE)*(F1524-Calc!F26))+B1532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504">
        <f>(1-Summary!$B$11)*T1504+Summary!$B$11*V1504</f>
        <v/>
      </c>
      <c r="P1504">
        <f>IF(B1544=0,0,O1504/B1544)</f>
        <v/>
      </c>
      <c r="Q1504">
        <f>IFERROR(1/IF(Inputs!$B$39="pvp",15,MAX(0.1,Skills!D6-IF(TRUE=TRUE,Inputs!$B$32,0))),0)</f>
        <v/>
      </c>
      <c r="R1504">
        <f>IF(AND(Inputs!$B$39&lt;&gt;"pvp",Inputs!$B$44&gt;0),IF(MAX(0,Inputs!$B$44-B1543)&lt;=0,0,(INT(MAX(0,Inputs!$B$44-B1543)/IF(Inputs!$B$39="pvp",15,MAX(0.1,Skills!D6-IF(TRUE=TRUE,Inputs!$B$32,0))))+1)),0)</f>
        <v/>
      </c>
      <c r="S1504">
        <f>IFERROR(O1504/N1504,0)</f>
        <v/>
      </c>
      <c r="T1504">
        <f>IF(C1504,(H1504*N1504*IF(AND(Inputs!$B$39&lt;&gt;"pvp",Inputs!$B$44&gt;0),((Skills!G6*((R1504-1)*IF(Skills!H6&gt;0,Skills!I6/Skills!H6,1)+IF(Skills!H6&gt;0,MIN(Skills!I6,MAX(0,MAX(0,Inputs!$B$44-B1543)-((R1504-1)*IF(Inputs!$B$39="pvp",15,MAX(0.1,Skills!D6-IF(TRUE=TRUE,Inputs!$B$32,0))))))/Skills!H6,1)))/Inputs!$B$44),G1504*Q1504))*IF(Inputs!$B$39="pvp",1,1+(Inputs!$B$20+0+Skills!P6+B1533+(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Hunt"),CHOOSE(ArtifactsInput!$N$35+1,15,18,21,24,27,30)*(1-EXP(-(0.2*B1536)*5)),0)+IF(AND(ArtifactsInput!$M$22,Inputs!$B$4&lt;&gt;"Chapter Hunt"),CHOOSE(ArtifactsInput!$N$22+1,10,12,14,16,18,20)*((0*(((0.15*B1536*5))^0/1)+1*(((0.15*B1536*5))^1/1)+2*(((0.15*B1536*5))^2/2)+3*(((0.15*B1536*5))^3/6)+4*(((0.15*B1536*5))^4/24)+5*(((0.15*B1536*5))^5/120))/((((0.15*B1536*5))^0/1)+(((0.15*B1536*5))^1/1)+(((0.15*B1536*5))^2/2)+(((0.15*B1536*5))^3/6)+(((0.15*B1536*5))^4/24)+(((0.15*B1536*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1504*(1-MIN(100,(Inputs!$B$9+((C1524=TRUE)*(F1524-Calc!F26))+B1532+(ArtifactsInput!$M$24-ArtifactsInput!$M$24)*CHOOSE(ArtifactsInput!$N$24+1,10,12,14,16,18,20)+(IF(AND(Inputs!$B$39&lt;&gt;"pvp",Inputs!$B$44=0),1,IF(IF(Inputs!$B$39="pvp",15,Inputs!$B$44)-(B1543)&lt;=0,1,MAX(0,IF(Inputs!$B$39="pvp",15,Inputs!$B$44)-MAX(5,B1543))/(IF(Inputs!$B$39="pvp",15,Inputs!$B$44)-(B1543))))*IF(AND(ArtifactsInput!$M$42,((Inputs!$B$9+((C1524=TRUE)*(F1524-Calc!F26))+B1532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1504*(MIN(100,(Inputs!$B$9+((C1524=TRUE)*(F1524-Calc!F26))+B1532+(ArtifactsInput!$M$24-ArtifactsInput!$M$24)*CHOOSE(ArtifactsInput!$N$24+1,10,12,14,16,18,20)+(IF(AND(Inputs!$B$39&lt;&gt;"pvp",Inputs!$B$44=0),1,IF(IF(Inputs!$B$39="pvp",15,Inputs!$B$44)-(B1543)&lt;=0,1,MAX(0,IF(Inputs!$B$39="pvp",15,Inputs!$B$44)-MAX(5,B1543))/(IF(Inputs!$B$39="pvp",15,Inputs!$B$44)-(B1543))))*IF(AND(ArtifactsInput!$M$42,((Inputs!$B$9+((C1524=TRUE)*(F1524-Calc!F26))+B1532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1504*(1-MIN(100,(Inputs!$B$9+((C1524=TRUE)*(F1524-Calc!F26))+B1532+(ArtifactsInput!$M$24-ArtifactsInput!$M$24)*CHOOSE(ArtifactsInput!$N$24+1,10,12,14,16,18,20)+(IF(AND(Inputs!$B$39&lt;&gt;"pvp",Inputs!$B$44=0),1,IF(IF(Inputs!$B$39="pvp",15,Inputs!$B$44)-(B1543)&lt;=0,1,MAX(0,IF(Inputs!$B$39="pvp",15,Inputs!$B$44)-MAX(5,B1543))/(IF(Inputs!$B$39="pvp",15,Inputs!$B$44)-(B1543))))*IF(AND(ArtifactsInput!$M$42,((Inputs!$B$9+((C1524=TRUE)*(F1524-Calc!F26))+B1532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1504*(MIN(100,(Inputs!$B$9+((C1524=TRUE)*(F1524-Calc!F26))+B1532+(ArtifactsInput!$M$24-ArtifactsInput!$M$24)*CHOOSE(ArtifactsInput!$N$24+1,10,12,14,16,18,20)+(IF(AND(Inputs!$B$39&lt;&gt;"pvp",Inputs!$B$44=0),1,IF(IF(Inputs!$B$39="pvp",15,Inputs!$B$44)-(B1543)&lt;=0,1,MAX(0,IF(Inputs!$B$39="pvp",15,Inputs!$B$44)-MAX(5,B1543))/(IF(Inputs!$B$39="pvp",15,Inputs!$B$44)-(B1543))))*IF(AND(ArtifactsInput!$M$42,((Inputs!$B$9+((C1524=TRUE)*(F1524-Calc!F26))+B1532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1504">
        <f>IF(C1504,(H1504*N1504*IF(AND(Inputs!$B$39&lt;&gt;"pvp",Inputs!$B$44&gt;0),((Skills!G6*((R1504-1)*IF(Skills!H6&gt;0,Skills!I6/Skills!H6,1)+IF(Skills!H6&gt;0,MIN(Skills!I6,MAX(0,MAX(0,Inputs!$B$44-B1543)-((R1504-1)*IF(Inputs!$B$39="pvp",15,MAX(0.1,Skills!D6-IF(TRUE=TRUE,Inputs!$B$32,0))))))/Skills!H6,1)))/Inputs!$B$44),G1504*Q1504))*IF(Inputs!$B$39="pvp",1,(1+(Inputs!$B$21+Skills!Q6+B1533+(IF(ArtifactsInput!$M$33,CHOOSE(ArtifactsInput!$N$33+1,30,36,42,48,54,60),0))+(IF(AND(ArtifactsInput!$M$35,Inputs!$B$4&lt;&gt;"Chapter Hunt"),CHOOSE(ArtifactsInput!$N$35+1,15,18,21,24,27,30)*(1-EXP(-(0.2*B1536)*5)),0)+IF(AND(ArtifactsInput!$M$22,Inputs!$B$4&lt;&gt;"Chapter Hunt"),CHOOSE(ArtifactsInput!$N$22+1,10,12,14,16,18,20)*((0*(((0.15*B1536*5))^0/1)+1*(((0.15*B1536*5))^1/1)+2*(((0.15*B1536*5))^2/2)+3*(((0.15*B1536*5))^3/6)+4*(((0.15*B1536*5))^4/24)+5*(((0.15*B1536*5))^5/120))/((((0.15*B1536*5))^0/1)+(((0.15*B1536*5))^1/1)+(((0.15*B1536*5))^2/2)+(((0.15*B1536*5))^3/6)+(((0.15*B1536*5))^4/24)+(((0.15*B1536*5))^5/120))),0)))/100)*(MIN(Skills!W6,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505">
      <c r="A1505">
        <f>Skills!A7</f>
        <v/>
      </c>
      <c r="B1505">
        <f>Skills!B7</f>
        <v/>
      </c>
      <c r="C1505">
        <f>Inputs!$B$3&gt;=69</f>
        <v/>
      </c>
      <c r="D1505">
        <f>IF(Skills!C7=1,60+Inputs!$B$25+Inputs!$B$29,IF(Skills!C7=2,90+Inputs!$B$26+Inputs!$B$29,IF(Skills!C7=3,120+Inputs!$B$27+Inputs!$B$29,MAX(0,(Inputs!$B$3-100)*3)+Inputs!$B$28+Inputs!$B$29)))</f>
        <v/>
      </c>
      <c r="E1505">
        <f>INDEX(FactorTable!$B$2:$Y$301, MATCH(ROUND(MIN(300,MAX(1,D1505)),0), FactorTable!$A$2:$A$301,0), Skills!M7+1)</f>
        <v/>
      </c>
      <c r="F1505">
        <f>IF(Skills!N7=TRUE,(Skills!L7/10)*(E1505/1000),Skills!L7/10)+Skills!O7</f>
        <v/>
      </c>
      <c r="G1505">
        <f>Skills!G7*IF(Skills!H7&gt;0,IF(Inputs!$B$39="pvp",MIN(Skills!I7,15),Skills!I7)/Skills!H7,1)</f>
        <v/>
      </c>
      <c r="H1505">
        <f>1-(1-Skills!J7/100)^Skills!K7</f>
        <v/>
      </c>
      <c r="I1505" t="inlineStr">
        <is>
          <t>1</t>
        </is>
      </c>
      <c r="J1505">
        <f>((Inputs!$B$6*(1+Inputs!$B$7/100))+(((Inputs!$B$12*(1+Inputs!$B$13/100))-(Inputs!$B$12*(1+Inputs!$B$13/100)))+0.25*(Inputs!$B$14-Inputs!$B$14))*(1+Inputs!$B$7/100))*(F1505/100)</f>
        <v/>
      </c>
      <c r="K1505">
        <f>J1505*(1+((Inputs!$B$12*(1+Inputs!$B$13/100))*0.01+Inputs!$B$14*0.0025)/100)*(1+Inputs!$B$15/100)*(1+Inputs!$B$16/100)*(5000/(6000+Inputs!$B$43*(1-(100*(1-(1-Inputs!$B$19/100)*(1-CHOOSE(ArtifactsInput!$N$40+1,5,6,7,8,9,10)/100)^(ArtifactsInput!$M$40-ArtifactsInput!$M$40)))/100)))*(1+(Inputs!$B$24+((C1529=TRUE)*(F1529-Calc!F31))+((C1516=TRUE)*(F1516-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1517=TRUE,F1517,0)/100)*(1+(IF(Skills!A7="CRUEL_STAB",Inputs!$B$17+((C1526=TRUE)*(F1526-Calc!F28))+((IF(AND(Inputs!$B$39&lt;&gt;"pvp",Inputs!$B$44=0),1,IF(IF(Inputs!$B$39="pvp",15,Inputs!$B$44)-(B1543)&lt;=0,1,MAX(0,IF(Inputs!$B$39="pvp",15,Inputs!$B$44)-MAX(5,B1543))/(IF(Inputs!$B$39="pvp",15,Inputs!$B$44)-(B1543))))*(IF(AND(ArtifactsInput!$M$42,((Inputs!$B$9+((C1524=TRUE)*(F1524-Calc!F26))+B1532+(ArtifactsInput!$M$24-ArtifactsInput!$M$24)*CHOOSE(ArtifactsInput!$N$24+1,10,12,14,16,18,20)+IF(ArtifactsInput!$M$10,CHOOSE(ArtifactsInput!$N$10+1,15,18,21,24,27,30)*(IF(Inputs!$B$39="pvp",MIN(15,15)/15,IF(AND(Inputs!$B$39&lt;&gt;"pvp",Inputs!$B$44&gt;0),MIN(15,Inputs!$B$44)/(Inputs!$B$44),0))),0)))&gt;=100),MIN(100,((Inputs!$B$9+((C1524=TRUE)*(F1524-Calc!F26))+B1532+(ArtifactsInput!$M$24-ArtifactsInput!$M$24)*CHOOSE(ArtifactsInput!$N$24+1,10,12,14,16,18,20)+IF(ArtifactsInput!$M$10,CHOOSE(ArtifactsInput!$N$10+1,15,18,21,24,27,30)*(IF(Inputs!$B$39="pvp",MIN(15,15)/15,IF(AND(Inputs!$B$39&lt;&gt;"pvp",Inputs!$B$44&gt;0),MIN(15,Inputs!$B$44)/(Inputs!$B$44),0))),0)))-100),0))*CHOOSE(ArtifactsInput!$N$42+1,0.6,0.72,0.84,0.96,1.08,1.2))),Inputs!$B$18+((C1527=TRUE)*(F1527-Calc!F29))+(IF(AND(Inputs!$B$39&lt;&gt;"pvp",Inputs!$B$44=0),1,IF(IF(Inputs!$B$39="pvp",15,Inputs!$B$44)-(B1543)&lt;=0,1,MAX(0,IF(Inputs!$B$39="pvp",15,Inputs!$B$44)-MAX(5,B1543))/(IF(Inputs!$B$39="pvp",15,Inputs!$B$44)-(B1543))))*IF(AND(ArtifactsInput!$M$42,((Inputs!$B$9+((C1524=TRUE)*(F1524-Calc!F26))+B1532+(ArtifactsInput!$M$24-ArtifactsInput!$M$24)*CHOOSE(ArtifactsInput!$N$24+1,10,12,14,16,18,20)+IF(ArtifactsInput!$M$10,CHOOSE(ArtifactsInput!$N$10+1,15,18,21,24,27,30)*(IF(Inputs!$B$39="pvp",MIN(15,15)/15,IF(AND(Inputs!$B$39&lt;&gt;"pvp",Inputs!$B$44&gt;0),MIN(15,Inputs!$B$44)/(Inputs!$B$44),0))),0)))&gt;=100),CHOOSE(ArtifactsInput!$N$42+1,40,48,56,64,72,80),0))))/100)*(((1+(((C1520=TRUE)*F1520*IF(AND(Inputs!$B$39&lt;&gt;"pvp",Inputs!$B$44&gt;0),(((R1520-1)*MIN((Skills!Y22*(1+Inputs!$B$34/100)),(1/Q1520))+MIN((Skills!Y22*(1+Inputs!$B$34/100)),MAX(0,Inputs!$B$44-((R1520-1)*(1/Q1520)))))/Inputs!$B$44),IF(Inputs!$B$39="pvp",MIN((Skills!Y22*(1+Inputs!$B$34/100)),15)/15,MIN(1,(Skills!Y22*(1+Inputs!$B$34/100))/(1/Q1520)))))+((C1501=TRUE)*F1501*3)+((C1503=TRUE)*F1503*(1-EXP(-0.75*B1536*5)))+((C1522=TRUE)*(F1522-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1509=TRUE)*F1509*IF(AND(Inputs!$B$39&lt;&gt;"pvp",Inputs!$B$44&gt;0),(((R1509-1)*MIN((Skills!Y11*(1+Inputs!$B$34/100)),(1/Q1509))+MIN((Skills!Y11*(1+Inputs!$B$34/100)),MAX(0,Inputs!$B$44-((R1509-1)*(1/Q1509)))))/Inputs!$B$44),IF(Inputs!$B$39="pvp",MIN((Skills!Y11*(1+Inputs!$B$34/100)),15)/15,MIN(1,(Skills!Y11*(1+Inputs!$B$34/100))/(1/Q1509)))))/100)*(1+((C1514=TRUE)*F1514*IF(AND(Inputs!$B$39&lt;&gt;"pvp",Inputs!$B$44&gt;0),(((R1514-1)*MIN((Skills!Y16*(1+Inputs!$B$34/100)),(1/Q1514))+MIN((Skills!Y16*(1+Inputs!$B$34/100)),MAX(0,Inputs!$B$44-((R1514-1)*(1/Q1514)))))/Inputs!$B$44),IF(Inputs!$B$39="pvp",MIN((Skills!Y16*(1+Inputs!$B$34/100)),15)/15,MIN(1,(Skills!Y16*(1+Inputs!$B$34/100))/(1/Q1514)))))/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1534*I1505)</f>
        <v/>
      </c>
      <c r="L1505">
        <f>K1505*(MIN(Inputs!$B$22+((C1523=TRUE)*(F1523-Calc!F25)),(Inputs!$B$23+((C1528=TRUE)*(F1528-Calc!F30))+IF(ArtifactsInput!$M$15,CHOOSE(ArtifactsInput!$N$15+1,25,30,35,40,45,50)/100*(Inputs!$B$11-Inputs!$B$11),0)))/100+(Inputs!$B$23+((C1528=TRUE)*(F1528-Calc!F30))+IF(ArtifactsInput!$M$15,CHOOSE(ArtifactsInput!$N$15+1,25,30,35,40,45,50)/100*(Inputs!$B$11-Inputs!$B$11),0))/100)/2</f>
        <v/>
      </c>
      <c r="M1505">
        <f>L1505*(1+(Inputs!$B$10+((C1525=TRUE)*(F1525-Calc!F27))+B1539+(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1505">
        <f>L1505*(1-MIN((Inputs!$B$9+((C1524=TRUE)*(F1524-Calc!F26))+B1532+(ArtifactsInput!$M$24-ArtifactsInput!$M$24)*CHOOSE(ArtifactsInput!$N$24+1,10,12,14,16,18,20)+(IF(AND(Inputs!$B$39&lt;&gt;"pvp",Inputs!$B$44=0),1,IF(IF(Inputs!$B$39="pvp",15,Inputs!$B$44)-(B1543)&lt;=0,1,MAX(0,IF(Inputs!$B$39="pvp",15,Inputs!$B$44)-MAX(5,B1543))/(IF(Inputs!$B$39="pvp",15,Inputs!$B$44)-(B1543))))*IF(AND(ArtifactsInput!$M$42,((Inputs!$B$9+((C1524=TRUE)*(F1524-Calc!F26))+B1532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1505*(MIN((Inputs!$B$9+((C1524=TRUE)*(F1524-Calc!F26))+B1532+(ArtifactsInput!$M$24-ArtifactsInput!$M$24)*CHOOSE(ArtifactsInput!$N$24+1,10,12,14,16,18,20)+(IF(AND(Inputs!$B$39&lt;&gt;"pvp",Inputs!$B$44=0),1,IF(IF(Inputs!$B$39="pvp",15,Inputs!$B$44)-(B1543)&lt;=0,1,MAX(0,IF(Inputs!$B$39="pvp",15,Inputs!$B$44)-MAX(5,B1543))/(IF(Inputs!$B$39="pvp",15,Inputs!$B$44)-(B1543))))*IF(AND(ArtifactsInput!$M$42,((Inputs!$B$9+((C1524=TRUE)*(F1524-Calc!F26))+B1532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505">
        <f>(1-Summary!$B$11)*T1505+Summary!$B$11*V1505</f>
        <v/>
      </c>
      <c r="P1505">
        <f>IF(B1544=0,0,O1505/B1544)</f>
        <v/>
      </c>
      <c r="Q1505">
        <f>IFERROR(1/IF(Inputs!$B$39="pvp",15,MAX(0.1,Skills!D7-IF(TRUE=TRUE,Inputs!$B$32,0))),0)</f>
        <v/>
      </c>
      <c r="R1505">
        <f>IF(AND(Inputs!$B$39&lt;&gt;"pvp",Inputs!$B$44&gt;0),IF(MAX(0,Inputs!$B$44-B1543)&lt;=0,0,(INT(MAX(0,Inputs!$B$44-B1543)/IF(Inputs!$B$39="pvp",15,MAX(0.1,Skills!D7-IF(TRUE=TRUE,Inputs!$B$32,0))))+1)),0)</f>
        <v/>
      </c>
      <c r="S1505">
        <f>IFERROR(O1505/N1505,0)</f>
        <v/>
      </c>
      <c r="T1505">
        <f>IF(C1505,(H1505*N1505*IF(AND(Inputs!$B$39&lt;&gt;"pvp",Inputs!$B$44&gt;0),((Skills!G7*((R1505-1)*IF(Skills!H7&gt;0,Skills!I7/Skills!H7,1)+IF(Skills!H7&gt;0,MIN(Skills!I7,MAX(0,MAX(0,Inputs!$B$44-B1543)-((R1505-1)*IF(Inputs!$B$39="pvp",15,MAX(0.1,Skills!D7-IF(TRUE=TRUE,Inputs!$B$32,0))))))/Skills!H7,1)))/Inputs!$B$44),G1505*Q1505))*IF(Inputs!$B$39="pvp",1,1+(Inputs!$B$20+0+Skills!P7+B1533+(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Hunt"),CHOOSE(ArtifactsInput!$N$35+1,15,18,21,24,27,30)*(1-EXP(-(0.2*B1536)*5)),0)+IF(AND(ArtifactsInput!$M$22,Inputs!$B$4&lt;&gt;"Chapter Hunt"),CHOOSE(ArtifactsInput!$N$22+1,10,12,14,16,18,20)*((0*(((0.15*B1536*5))^0/1)+1*(((0.15*B1536*5))^1/1)+2*(((0.15*B1536*5))^2/2)+3*(((0.15*B1536*5))^3/6)+4*(((0.15*B1536*5))^4/24)+5*(((0.15*B1536*5))^5/120))/((((0.15*B1536*5))^0/1)+(((0.15*B1536*5))^1/1)+(((0.15*B1536*5))^2/2)+(((0.15*B1536*5))^3/6)+(((0.15*B1536*5))^4/24)+(((0.15*B1536*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1505*(1-MIN(100,(Inputs!$B$9+((C1524=TRUE)*(F1524-Calc!F26))+B1532+(ArtifactsInput!$M$24-ArtifactsInput!$M$24)*CHOOSE(ArtifactsInput!$N$24+1,10,12,14,16,18,20)+(IF(AND(Inputs!$B$39&lt;&gt;"pvp",Inputs!$B$44=0),1,IF(IF(Inputs!$B$39="pvp",15,Inputs!$B$44)-(B1543)&lt;=0,1,MAX(0,IF(Inputs!$B$39="pvp",15,Inputs!$B$44)-MAX(5,B1543))/(IF(Inputs!$B$39="pvp",15,Inputs!$B$44)-(B1543))))*IF(AND(ArtifactsInput!$M$42,((Inputs!$B$9+((C1524=TRUE)*(F1524-Calc!F26))+B1532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1505*(MIN(100,(Inputs!$B$9+((C1524=TRUE)*(F1524-Calc!F26))+B1532+(ArtifactsInput!$M$24-ArtifactsInput!$M$24)*CHOOSE(ArtifactsInput!$N$24+1,10,12,14,16,18,20)+(IF(AND(Inputs!$B$39&lt;&gt;"pvp",Inputs!$B$44=0),1,IF(IF(Inputs!$B$39="pvp",15,Inputs!$B$44)-(B1543)&lt;=0,1,MAX(0,IF(Inputs!$B$39="pvp",15,Inputs!$B$44)-MAX(5,B1543))/(IF(Inputs!$B$39="pvp",15,Inputs!$B$44)-(B1543))))*IF(AND(ArtifactsInput!$M$42,((Inputs!$B$9+((C1524=TRUE)*(F1524-Calc!F26))+B1532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1505*(1-MIN(100,(Inputs!$B$9+((C1524=TRUE)*(F1524-Calc!F26))+B1532+(ArtifactsInput!$M$24-ArtifactsInput!$M$24)*CHOOSE(ArtifactsInput!$N$24+1,10,12,14,16,18,20)+(IF(AND(Inputs!$B$39&lt;&gt;"pvp",Inputs!$B$44=0),1,IF(IF(Inputs!$B$39="pvp",15,Inputs!$B$44)-(B1543)&lt;=0,1,MAX(0,IF(Inputs!$B$39="pvp",15,Inputs!$B$44)-MAX(5,B1543))/(IF(Inputs!$B$39="pvp",15,Inputs!$B$44)-(B1543))))*IF(AND(ArtifactsInput!$M$42,((Inputs!$B$9+((C1524=TRUE)*(F1524-Calc!F26))+B1532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1505*(MIN(100,(Inputs!$B$9+((C1524=TRUE)*(F1524-Calc!F26))+B1532+(ArtifactsInput!$M$24-ArtifactsInput!$M$24)*CHOOSE(ArtifactsInput!$N$24+1,10,12,14,16,18,20)+(IF(AND(Inputs!$B$39&lt;&gt;"pvp",Inputs!$B$44=0),1,IF(IF(Inputs!$B$39="pvp",15,Inputs!$B$44)-(B1543)&lt;=0,1,MAX(0,IF(Inputs!$B$39="pvp",15,Inputs!$B$44)-MAX(5,B1543))/(IF(Inputs!$B$39="pvp",15,Inputs!$B$44)-(B1543))))*IF(AND(ArtifactsInput!$M$42,((Inputs!$B$9+((C1524=TRUE)*(F1524-Calc!F26))+B1532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1505">
        <f>IF(C1505,(H1505*N1505*IF(AND(Inputs!$B$39&lt;&gt;"pvp",Inputs!$B$44&gt;0),((Skills!G7*((R1505-1)*IF(Skills!H7&gt;0,Skills!I7/Skills!H7,1)+IF(Skills!H7&gt;0,MIN(Skills!I7,MAX(0,MAX(0,Inputs!$B$44-B1543)-((R1505-1)*IF(Inputs!$B$39="pvp",15,MAX(0.1,Skills!D7-IF(TRUE=TRUE,Inputs!$B$32,0))))))/Skills!H7,1)))/Inputs!$B$44),G1505*Q1505))*IF(Inputs!$B$39="pvp",1,(1+(Inputs!$B$21+Skills!Q7+B1533+(IF(ArtifactsInput!$M$33,CHOOSE(ArtifactsInput!$N$33+1,30,36,42,48,54,60),0))+(IF(AND(ArtifactsInput!$M$35,Inputs!$B$4&lt;&gt;"Chapter Hunt"),CHOOSE(ArtifactsInput!$N$35+1,15,18,21,24,27,30)*(1-EXP(-(0.2*B1536)*5)),0)+IF(AND(ArtifactsInput!$M$22,Inputs!$B$4&lt;&gt;"Chapter Hunt"),CHOOSE(ArtifactsInput!$N$22+1,10,12,14,16,18,20)*((0*(((0.15*B1536*5))^0/1)+1*(((0.15*B1536*5))^1/1)+2*(((0.15*B1536*5))^2/2)+3*(((0.15*B1536*5))^3/6)+4*(((0.15*B1536*5))^4/24)+5*(((0.15*B1536*5))^5/120))/((((0.15*B1536*5))^0/1)+(((0.15*B1536*5))^1/1)+(((0.15*B1536*5))^2/2)+(((0.15*B1536*5))^3/6)+(((0.15*B1536*5))^4/24)+(((0.15*B1536*5))^5/120))),0)))/100)*(MIN(Skills!W7,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506">
      <c r="A1506">
        <f>Skills!A8</f>
        <v/>
      </c>
      <c r="B1506">
        <f>Skills!B8</f>
        <v/>
      </c>
      <c r="C1506">
        <f>Inputs!$B$3&gt;=60</f>
        <v/>
      </c>
      <c r="D1506">
        <f>IF(Skills!C8=1,60+Inputs!$B$25+Inputs!$B$29,IF(Skills!C8=2,90+Inputs!$B$26+Inputs!$B$29,IF(Skills!C8=3,120+Inputs!$B$27+Inputs!$B$29,MAX(0,(Inputs!$B$3-100)*3)+Inputs!$B$28+Inputs!$B$29)))</f>
        <v/>
      </c>
      <c r="E1506">
        <f>INDEX(FactorTable!$B$2:$Y$301, MATCH(ROUND(MIN(300,MAX(1,D1506)),0), FactorTable!$A$2:$A$301,0), Skills!M8+1)</f>
        <v/>
      </c>
      <c r="F1506">
        <f>IF(Skills!N8=TRUE,(Skills!L8/10)*(E1506/1000),Skills!L8/10)+Skills!O8</f>
        <v/>
      </c>
      <c r="G1506">
        <f>Skills!G8*IF(Skills!H8&gt;0,IF(Inputs!$B$39="pvp",MIN(Skills!I8,15),Skills!I8)/Skills!H8,1)</f>
        <v/>
      </c>
      <c r="H1506">
        <f>1-(1-Skills!J8/100)^Skills!K8</f>
        <v/>
      </c>
      <c r="I1506" t="inlineStr">
        <is>
          <t>1</t>
        </is>
      </c>
      <c r="J1506" t="inlineStr"/>
      <c r="K1506" t="inlineStr"/>
      <c r="L1506" t="inlineStr"/>
      <c r="M1506" t="inlineStr"/>
      <c r="N1506" t="inlineStr"/>
      <c r="O1506">
        <f>(1-Summary!$B$11)*T1506+Summary!$B$11*V1506</f>
        <v/>
      </c>
      <c r="P1506">
        <f>IF(B1544=0,0,O1506/B1544)</f>
        <v/>
      </c>
      <c r="Q1506" t="n">
        <v>0</v>
      </c>
      <c r="R1506" t="n">
        <v>0</v>
      </c>
      <c r="S1506">
        <f>IFERROR(O1506/N1506,0)</f>
        <v/>
      </c>
      <c r="T1506" t="n">
        <v>0</v>
      </c>
      <c r="V1506" t="n">
        <v>0</v>
      </c>
    </row>
    <row r="1507">
      <c r="A1507">
        <f>Skills!A9</f>
        <v/>
      </c>
      <c r="B1507">
        <f>Skills!B9</f>
        <v/>
      </c>
      <c r="C1507">
        <f>Inputs!$B$3&gt;=72</f>
        <v/>
      </c>
      <c r="D1507">
        <f>IF(Skills!C9=1,60+Inputs!$B$25+Inputs!$B$29,IF(Skills!C9=2,90+Inputs!$B$26+Inputs!$B$29,IF(Skills!C9=3,120+Inputs!$B$27+Inputs!$B$29,MAX(0,(Inputs!$B$3-100)*3)+Inputs!$B$28+Inputs!$B$29)))</f>
        <v/>
      </c>
      <c r="E1507">
        <f>INDEX(FactorTable!$B$2:$Y$301, MATCH(ROUND(MIN(300,MAX(1,D1507)),0), FactorTable!$A$2:$A$301,0), Skills!M9+1)</f>
        <v/>
      </c>
      <c r="F1507">
        <f>IF(Skills!N9=TRUE,(Skills!L9/10)*(E1507/1000),Skills!L9/10)+Skills!O9</f>
        <v/>
      </c>
      <c r="G1507">
        <f>Skills!G9*IF(Skills!H9&gt;0,IF(Inputs!$B$39="pvp",MIN(Skills!I9,15),Skills!I9)/Skills!H9,1)</f>
        <v/>
      </c>
      <c r="H1507">
        <f>1-(1-Skills!J9/100)^Skills!K9</f>
        <v/>
      </c>
      <c r="I1507" t="inlineStr">
        <is>
          <t>1</t>
        </is>
      </c>
      <c r="J1507">
        <f>((Inputs!$B$6*(1+Inputs!$B$7/100))+(((Inputs!$B$12*(1+Inputs!$B$13/100))-(Inputs!$B$12*(1+Inputs!$B$13/100)))+0.25*(Inputs!$B$14-Inputs!$B$14))*(1+Inputs!$B$7/100))*(F1507/100)</f>
        <v/>
      </c>
      <c r="K1507">
        <f>J1507*(1+((Inputs!$B$12*(1+Inputs!$B$13/100))*0.01+Inputs!$B$14*0.0025)/100)*(1+Inputs!$B$15/100)*(1+Inputs!$B$16/100)*(5000/(6000+Inputs!$B$43*(1-(100*(1-(1-Inputs!$B$19/100)*(1-CHOOSE(ArtifactsInput!$N$40+1,5,6,7,8,9,10)/100)^(ArtifactsInput!$M$40-ArtifactsInput!$M$40)))/100)))*(1+(Inputs!$B$24+((C1529=TRUE)*(F1529-Calc!F31))+((C1516=TRUE)*(F1516-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+3.3333333333333335*IF(C1517=TRUE,F1517,0)/100)*(1+(IF(Skills!A9="CRUEL_STAB",Inputs!$B$17+((C1526=TRUE)*(F1526-Calc!F28))+((IF(AND(Inputs!$B$39&lt;&gt;"pvp",Inputs!$B$44=0),1,IF(IF(Inputs!$B$39="pvp",15,Inputs!$B$44)-(B1543)&lt;=0,1,MAX(0,IF(Inputs!$B$39="pvp",15,Inputs!$B$44)-MAX(5,B1543))/(IF(Inputs!$B$39="pvp",15,Inputs!$B$44)-(B1543))))*(IF(AND(ArtifactsInput!$M$42,((Inputs!$B$9+((C1524=TRUE)*(F1524-Calc!F26))+B1532+(ArtifactsInput!$M$24-ArtifactsInput!$M$24)*CHOOSE(ArtifactsInput!$N$24+1,10,12,14,16,18,20)+IF(ArtifactsInput!$M$10,CHOOSE(ArtifactsInput!$N$10+1,15,18,21,24,27,30)*(IF(Inputs!$B$39="pvp",MIN(15,15)/15,IF(AND(Inputs!$B$39&lt;&gt;"pvp",Inputs!$B$44&gt;0),MIN(15,Inputs!$B$44)/(Inputs!$B$44),0))),0)))&gt;=100),MIN(100,((Inputs!$B$9+((C1524=TRUE)*(F1524-Calc!F26))+B1532+(ArtifactsInput!$M$24-ArtifactsInput!$M$24)*CHOOSE(ArtifactsInput!$N$24+1,10,12,14,16,18,20)+IF(ArtifactsInput!$M$10,CHOOSE(ArtifactsInput!$N$10+1,15,18,21,24,27,30)*(IF(Inputs!$B$39="pvp",MIN(15,15)/15,IF(AND(Inputs!$B$39&lt;&gt;"pvp",Inputs!$B$44&gt;0),MIN(15,Inputs!$B$44)/(Inputs!$B$44),0))),0)))-100),0))*CHOOSE(ArtifactsInput!$N$42+1,0.6,0.72,0.84,0.96,1.08,1.2))),Inputs!$B$18+((C1527=TRUE)*(F1527-Calc!F29))+(IF(AND(Inputs!$B$39&lt;&gt;"pvp",Inputs!$B$44=0),1,IF(IF(Inputs!$B$39="pvp",15,Inputs!$B$44)-(B1543)&lt;=0,1,MAX(0,IF(Inputs!$B$39="pvp",15,Inputs!$B$44)-MAX(5,B1543))/(IF(Inputs!$B$39="pvp",15,Inputs!$B$44)-(B1543))))*IF(AND(ArtifactsInput!$M$42,((Inputs!$B$9+((C1524=TRUE)*(F1524-Calc!F26))+B1532+(ArtifactsInput!$M$24-ArtifactsInput!$M$24)*CHOOSE(ArtifactsInput!$N$24+1,10,12,14,16,18,20)+IF(ArtifactsInput!$M$10,CHOOSE(ArtifactsInput!$N$10+1,15,18,21,24,27,30)*(IF(Inputs!$B$39="pvp",MIN(15,15)/15,IF(AND(Inputs!$B$39&lt;&gt;"pvp",Inputs!$B$44&gt;0),MIN(15,Inputs!$B$44)/(Inputs!$B$44),0))),0)))&gt;=100),CHOOSE(ArtifactsInput!$N$42+1,40,48,56,64,72,80),0))))/100)*(((1+(((C1520=TRUE)*F1520*IF(AND(Inputs!$B$39&lt;&gt;"pvp",Inputs!$B$44&gt;0),(((R1520-1)*MIN((Skills!Y22*(1+Inputs!$B$34/100)),(1/Q1520))+MIN((Skills!Y22*(1+Inputs!$B$34/100)),MAX(0,Inputs!$B$44-((R1520-1)*(1/Q1520)))))/Inputs!$B$44),IF(Inputs!$B$39="pvp",MIN((Skills!Y22*(1+Inputs!$B$34/100)),15)/15,MIN(1,(Skills!Y22*(1+Inputs!$B$34/100))/(1/Q1520)))))+((C1501=TRUE)*F1501*3)+((C1503=TRUE)*F1503*(1-EXP(-0.75*B1536*5)))+((C1522=TRUE)*(F1522-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1509=TRUE)*F1509*IF(AND(Inputs!$B$39&lt;&gt;"pvp",Inputs!$B$44&gt;0),(((R1509-1)*MIN((Skills!Y11*(1+Inputs!$B$34/100)),(1/Q1509))+MIN((Skills!Y11*(1+Inputs!$B$34/100)),MAX(0,Inputs!$B$44-((R1509-1)*(1/Q1509)))))/Inputs!$B$44),IF(Inputs!$B$39="pvp",MIN((Skills!Y11*(1+Inputs!$B$34/100)),15)/15,MIN(1,(Skills!Y11*(1+Inputs!$B$34/100))/(1/Q1509)))))/100)*(1+((C1514=TRUE)*F1514*IF(AND(Inputs!$B$39&lt;&gt;"pvp",Inputs!$B$44&gt;0),(((R1514-1)*MIN((Skills!Y16*(1+Inputs!$B$34/100)),(1/Q1514))+MIN((Skills!Y16*(1+Inputs!$B$34/100)),MAX(0,Inputs!$B$44-((R1514-1)*(1/Q1514)))))/Inputs!$B$44),IF(Inputs!$B$39="pvp",MIN((Skills!Y16*(1+Inputs!$B$34/100)),15)/15,MIN(1,(Skills!Y16*(1+Inputs!$B$34/100))/(1/Q1514)))))/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1534*I1507)</f>
        <v/>
      </c>
      <c r="L1507">
        <f>K1507*(MIN(Inputs!$B$22+((C1523=TRUE)*(F1523-Calc!F25)),(Inputs!$B$23+((C1528=TRUE)*(F1528-Calc!F30))+IF(ArtifactsInput!$M$15,CHOOSE(ArtifactsInput!$N$15+1,25,30,35,40,45,50)/100*(Inputs!$B$11-Inputs!$B$11),0)))/100+(Inputs!$B$23+((C1528=TRUE)*(F1528-Calc!F30))+IF(ArtifactsInput!$M$15,CHOOSE(ArtifactsInput!$N$15+1,25,30,35,40,45,50)/100*(Inputs!$B$11-Inputs!$B$11),0))/100)/2</f>
        <v/>
      </c>
      <c r="M1507">
        <f>L1507*(1+(Inputs!$B$10+((C1525=TRUE)*(F1525-Calc!F27))+B1539+(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1507">
        <f>L1507*(1-MIN((Inputs!$B$9+((C1524=TRUE)*(F1524-Calc!F26))+B1532+(ArtifactsInput!$M$24-ArtifactsInput!$M$24)*CHOOSE(ArtifactsInput!$N$24+1,10,12,14,16,18,20)+(IF(AND(Inputs!$B$39&lt;&gt;"pvp",Inputs!$B$44=0),1,IF(IF(Inputs!$B$39="pvp",15,Inputs!$B$44)-(B1543)&lt;=0,1,MAX(0,IF(Inputs!$B$39="pvp",15,Inputs!$B$44)-MAX(5,B1543))/(IF(Inputs!$B$39="pvp",15,Inputs!$B$44)-(B1543))))*IF(AND(ArtifactsInput!$M$42,((Inputs!$B$9+((C1524=TRUE)*(F1524-Calc!F26))+B1532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1507*(MIN((Inputs!$B$9+((C1524=TRUE)*(F1524-Calc!F26))+B1532+(ArtifactsInput!$M$24-ArtifactsInput!$M$24)*CHOOSE(ArtifactsInput!$N$24+1,10,12,14,16,18,20)+(IF(AND(Inputs!$B$39&lt;&gt;"pvp",Inputs!$B$44=0),1,IF(IF(Inputs!$B$39="pvp",15,Inputs!$B$44)-(B1543)&lt;=0,1,MAX(0,IF(Inputs!$B$39="pvp",15,Inputs!$B$44)-MAX(5,B1543))/(IF(Inputs!$B$39="pvp",15,Inputs!$B$44)-(B1543))))*IF(AND(ArtifactsInput!$M$42,((Inputs!$B$9+((C1524=TRUE)*(F1524-Calc!F26))+B1532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507">
        <f>(1-Summary!$B$11)*T1507+Summary!$B$11*V1507</f>
        <v/>
      </c>
      <c r="P1507">
        <f>IF(B1544=0,0,O1507/B1544)</f>
        <v/>
      </c>
      <c r="Q1507">
        <f>IFERROR(1/IF(Inputs!$B$39="pvp",15,MAX(0.1,Skills!D9-IF(FALSE=TRUE,Inputs!$B$32,0))),0)</f>
        <v/>
      </c>
      <c r="R1507">
        <f>IF(AND(Inputs!$B$39&lt;&gt;"pvp",Inputs!$B$44&gt;0),IF(MAX(0,Inputs!$B$44-B1543)&lt;=0,0,(INT(MAX(0,Inputs!$B$44-B1543)/IF(Inputs!$B$39="pvp",15,MAX(0.1,Skills!D9-IF(FALSE=TRUE,Inputs!$B$32,0))))+1)),0)</f>
        <v/>
      </c>
      <c r="S1507">
        <f>IFERROR(O1507/N1507,0)</f>
        <v/>
      </c>
      <c r="T1507">
        <f>IF(C1507,(H1507*N1507*IF(AND(Inputs!$B$39&lt;&gt;"pvp",Inputs!$B$44&gt;0),((Skills!G9*((R1507-1)*IF(Skills!H9&gt;0,Skills!I9/Skills!H9,1)+IF(Skills!H9&gt;0,MIN(Skills!I9,MAX(0,MAX(0,Inputs!$B$44-B1543)-((R1507-1)*IF(Inputs!$B$39="pvp",15,MAX(0.1,Skills!D9-IF(FALSE=TRUE,Inputs!$B$32,0))))))/Skills!H9,1)))/Inputs!$B$44),G1507*Q1507))*IF(Inputs!$B$39="pvp",1,1+(Inputs!$B$20+0+Skills!P9+B1533+(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Hunt"),CHOOSE(ArtifactsInput!$N$35+1,15,18,21,24,27,30)*(1-EXP(-(0.2*B1536)*5)),0)+IF(AND(ArtifactsInput!$M$22,Inputs!$B$4&lt;&gt;"Chapter Hunt"),CHOOSE(ArtifactsInput!$N$22+1,10,12,14,16,18,20)*((0*(((0.15*B1536*5))^0/1)+1*(((0.15*B1536*5))^1/1)+2*(((0.15*B1536*5))^2/2)+3*(((0.15*B1536*5))^3/6)+4*(((0.15*B1536*5))^4/24)+5*(((0.15*B1536*5))^5/120))/((((0.15*B1536*5))^0/1)+(((0.15*B1536*5))^1/1)+(((0.15*B1536*5))^2/2)+(((0.15*B1536*5))^3/6)+(((0.15*B1536*5))^4/24)+(((0.15*B1536*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1507*(1-MIN(100,(Inputs!$B$9+((C1524=TRUE)*(F1524-Calc!F26))+B1532+(ArtifactsInput!$M$24-ArtifactsInput!$M$24)*CHOOSE(ArtifactsInput!$N$24+1,10,12,14,16,18,20)+(IF(AND(Inputs!$B$39&lt;&gt;"pvp",Inputs!$B$44=0),1,IF(IF(Inputs!$B$39="pvp",15,Inputs!$B$44)-(B1543)&lt;=0,1,MAX(0,IF(Inputs!$B$39="pvp",15,Inputs!$B$44)-MAX(5,B1543))/(IF(Inputs!$B$39="pvp",15,Inputs!$B$44)-(B1543))))*IF(AND(ArtifactsInput!$M$42,((Inputs!$B$9+((C1524=TRUE)*(F1524-Calc!F26))+B1532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1507*(MIN(100,(Inputs!$B$9+((C1524=TRUE)*(F1524-Calc!F26))+B1532+(ArtifactsInput!$M$24-ArtifactsInput!$M$24)*CHOOSE(ArtifactsInput!$N$24+1,10,12,14,16,18,20)+(IF(AND(Inputs!$B$39&lt;&gt;"pvp",Inputs!$B$44=0),1,IF(IF(Inputs!$B$39="pvp",15,Inputs!$B$44)-(B1543)&lt;=0,1,MAX(0,IF(Inputs!$B$39="pvp",15,Inputs!$B$44)-MAX(5,B1543))/(IF(Inputs!$B$39="pvp",15,Inputs!$B$44)-(B1543))))*IF(AND(ArtifactsInput!$M$42,((Inputs!$B$9+((C1524=TRUE)*(F1524-Calc!F26))+B1532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1507*(1-MIN(100,(Inputs!$B$9+((C1524=TRUE)*(F1524-Calc!F26))+B1532+(ArtifactsInput!$M$24-ArtifactsInput!$M$24)*CHOOSE(ArtifactsInput!$N$24+1,10,12,14,16,18,20)+(IF(AND(Inputs!$B$39&lt;&gt;"pvp",Inputs!$B$44=0),1,IF(IF(Inputs!$B$39="pvp",15,Inputs!$B$44)-(B1543)&lt;=0,1,MAX(0,IF(Inputs!$B$39="pvp",15,Inputs!$B$44)-MAX(5,B1543))/(IF(Inputs!$B$39="pvp",15,Inputs!$B$44)-(B1543))))*IF(AND(ArtifactsInput!$M$42,((Inputs!$B$9+((C1524=TRUE)*(F1524-Calc!F26))+B1532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1507*(MIN(100,(Inputs!$B$9+((C1524=TRUE)*(F1524-Calc!F26))+B1532+(ArtifactsInput!$M$24-ArtifactsInput!$M$24)*CHOOSE(ArtifactsInput!$N$24+1,10,12,14,16,18,20)+(IF(AND(Inputs!$B$39&lt;&gt;"pvp",Inputs!$B$44=0),1,IF(IF(Inputs!$B$39="pvp",15,Inputs!$B$44)-(B1543)&lt;=0,1,MAX(0,IF(Inputs!$B$39="pvp",15,Inputs!$B$44)-MAX(5,B1543))/(IF(Inputs!$B$39="pvp",15,Inputs!$B$44)-(B1543))))*IF(AND(ArtifactsInput!$M$42,((Inputs!$B$9+((C1524=TRUE)*(F1524-Calc!F26))+B1532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1507">
        <f>IF(C1507,(H1507*N1507*IF(AND(Inputs!$B$39&lt;&gt;"pvp",Inputs!$B$44&gt;0),((Skills!G9*((R1507-1)*IF(Skills!H9&gt;0,Skills!I9/Skills!H9,1)+IF(Skills!H9&gt;0,MIN(Skills!I9,MAX(0,MAX(0,Inputs!$B$44-B1543)-((R1507-1)*IF(Inputs!$B$39="pvp",15,MAX(0.1,Skills!D9-IF(FALSE=TRUE,Inputs!$B$32,0))))))/Skills!H9,1)))/Inputs!$B$44),G1507*Q1507))*IF(Inputs!$B$39="pvp",1,(1+(Inputs!$B$21+Skills!Q9+B1533+(IF(ArtifactsInput!$M$33,CHOOSE(ArtifactsInput!$N$33+1,30,36,42,48,54,60),0))+(IF(AND(ArtifactsInput!$M$35,Inputs!$B$4&lt;&gt;"Chapter Hunt"),CHOOSE(ArtifactsInput!$N$35+1,15,18,21,24,27,30)*(1-EXP(-(0.2*B1536)*5)),0)+IF(AND(ArtifactsInput!$M$22,Inputs!$B$4&lt;&gt;"Chapter Hunt"),CHOOSE(ArtifactsInput!$N$22+1,10,12,14,16,18,20)*((0*(((0.15*B1536*5))^0/1)+1*(((0.15*B1536*5))^1/1)+2*(((0.15*B1536*5))^2/2)+3*(((0.15*B1536*5))^3/6)+4*(((0.15*B1536*5))^4/24)+5*(((0.15*B1536*5))^5/120))/((((0.15*B1536*5))^0/1)+(((0.15*B1536*5))^1/1)+(((0.15*B1536*5))^2/2)+(((0.15*B1536*5))^3/6)+(((0.15*B1536*5))^4/24)+(((0.15*B1536*5))^5/120))),0)))/100)*(MIN(Skills!W9,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508">
      <c r="A1508">
        <f>Skills!A10</f>
        <v/>
      </c>
      <c r="B1508">
        <f>Skills!B10</f>
        <v/>
      </c>
      <c r="C1508">
        <f>Inputs!$B$3&gt;=117</f>
        <v/>
      </c>
      <c r="D1508">
        <f>IF(Skills!C10=1,60+Inputs!$B$25+Inputs!$B$29,IF(Skills!C10=2,90+Inputs!$B$26+Inputs!$B$29,IF(Skills!C10=3,120+Inputs!$B$27+Inputs!$B$29,MAX(0,(Inputs!$B$3-100)*3)+Inputs!$B$28+Inputs!$B$29)))</f>
        <v/>
      </c>
      <c r="E1508">
        <f>INDEX(FactorTable!$B$2:$Y$301, MATCH(ROUND(MIN(300,MAX(1,D1508)),0), FactorTable!$A$2:$A$301,0), Skills!M10+1)</f>
        <v/>
      </c>
      <c r="F1508">
        <f>IF(Skills!N10=TRUE,(Skills!L10/10)*(E1508/1000),Skills!L10/10)+Skills!O10</f>
        <v/>
      </c>
      <c r="G1508">
        <f>Skills!G10*IF(Skills!H10&gt;0,IF(Inputs!$B$39="pvp",MIN(Skills!I10,15),Skills!I10)/Skills!H10,1)</f>
        <v/>
      </c>
      <c r="H1508">
        <f>1-(1-Skills!J10/100)^Skills!K10</f>
        <v/>
      </c>
      <c r="I1508" t="inlineStr">
        <is>
          <t>1</t>
        </is>
      </c>
      <c r="J1508">
        <f>((Inputs!$B$6*(1+Inputs!$B$7/100))+(((Inputs!$B$12*(1+Inputs!$B$13/100))-(Inputs!$B$12*(1+Inputs!$B$13/100)))+0.25*(Inputs!$B$14-Inputs!$B$14))*(1+Inputs!$B$7/100))*(F1508/100)</f>
        <v/>
      </c>
      <c r="K1508">
        <f>J1508*(1+((Inputs!$B$12*(1+Inputs!$B$13/100))*0.01+Inputs!$B$14*0.0025)/100)*(1+Inputs!$B$15/100)*(1+Inputs!$B$16/100)*(5000/(6000+Inputs!$B$43*(1-(100*(1-(1-Inputs!$B$19/100)*(1-CHOOSE(ArtifactsInput!$N$40+1,5,6,7,8,9,10)/100)^(ArtifactsInput!$M$40-ArtifactsInput!$M$40)))/100)))*(1+(Inputs!$B$24+((C1529=TRUE)*(F1529-Calc!F31))+((C1516=TRUE)*(F1516-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10="CRUEL_STAB",Inputs!$B$17+((C1526=TRUE)*(F1526-Calc!F28))+((IF(AND(Inputs!$B$39&lt;&gt;"pvp",Inputs!$B$44=0),1,IF(IF(Inputs!$B$39="pvp",15,Inputs!$B$44)-(B1543)&lt;=0,1,MAX(0,IF(Inputs!$B$39="pvp",15,Inputs!$B$44)-MAX(5,B1543))/(IF(Inputs!$B$39="pvp",15,Inputs!$B$44)-(B1543))))*(IF(AND(ArtifactsInput!$M$42,((Inputs!$B$9+((C1524=TRUE)*(F1524-Calc!F26))+B1532+(ArtifactsInput!$M$24-ArtifactsInput!$M$24)*CHOOSE(ArtifactsInput!$N$24+1,10,12,14,16,18,20)+IF(ArtifactsInput!$M$10,CHOOSE(ArtifactsInput!$N$10+1,15,18,21,24,27,30)*(IF(Inputs!$B$39="pvp",MIN(15,15)/15,IF(AND(Inputs!$B$39&lt;&gt;"pvp",Inputs!$B$44&gt;0),MIN(15,Inputs!$B$44)/(Inputs!$B$44),0))),0)))&gt;=100),MIN(100,((Inputs!$B$9+((C1524=TRUE)*(F1524-Calc!F26))+B1532+(ArtifactsInput!$M$24-ArtifactsInput!$M$24)*CHOOSE(ArtifactsInput!$N$24+1,10,12,14,16,18,20)+IF(ArtifactsInput!$M$10,CHOOSE(ArtifactsInput!$N$10+1,15,18,21,24,27,30)*(IF(Inputs!$B$39="pvp",MIN(15,15)/15,IF(AND(Inputs!$B$39&lt;&gt;"pvp",Inputs!$B$44&gt;0),MIN(15,Inputs!$B$44)/(Inputs!$B$44),0))),0)))-100),0))*CHOOSE(ArtifactsInput!$N$42+1,0.6,0.72,0.84,0.96,1.08,1.2))),Inputs!$B$18+((C1527=TRUE)*(F1527-Calc!F29))+(IF(AND(Inputs!$B$39&lt;&gt;"pvp",Inputs!$B$44=0),1,IF(IF(Inputs!$B$39="pvp",15,Inputs!$B$44)-(B1543)&lt;=0,1,MAX(0,IF(Inputs!$B$39="pvp",15,Inputs!$B$44)-MAX(5,B1543))/(IF(Inputs!$B$39="pvp",15,Inputs!$B$44)-(B1543))))*IF(AND(ArtifactsInput!$M$42,((Inputs!$B$9+((C1524=TRUE)*(F1524-Calc!F26))+B1532+(ArtifactsInput!$M$24-ArtifactsInput!$M$24)*CHOOSE(ArtifactsInput!$N$24+1,10,12,14,16,18,20)+IF(ArtifactsInput!$M$10,CHOOSE(ArtifactsInput!$N$10+1,15,18,21,24,27,30)*(IF(Inputs!$B$39="pvp",MIN(15,15)/15,IF(AND(Inputs!$B$39&lt;&gt;"pvp",Inputs!$B$44&gt;0),MIN(15,Inputs!$B$44)/(Inputs!$B$44),0))),0)))&gt;=100),CHOOSE(ArtifactsInput!$N$42+1,40,48,56,64,72,80),0))))/100)*(((1+(((C1520=TRUE)*F1520*IF(AND(Inputs!$B$39&lt;&gt;"pvp",Inputs!$B$44&gt;0),(((R1520-1)*MIN((Skills!Y22*(1+Inputs!$B$34/100)),(1/Q1520))+MIN((Skills!Y22*(1+Inputs!$B$34/100)),MAX(0,Inputs!$B$44-((R1520-1)*(1/Q1520)))))/Inputs!$B$44),IF(Inputs!$B$39="pvp",MIN((Skills!Y22*(1+Inputs!$B$34/100)),15)/15,MIN(1,(Skills!Y22*(1+Inputs!$B$34/100))/(1/Q1520)))))+((C1501=TRUE)*F1501*3)+((C1503=TRUE)*F1503*(1-EXP(-0.75*B1536*5)))+((C1522=TRUE)*(F1522-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1509=TRUE)*F1509*IF(AND(Inputs!$B$39&lt;&gt;"pvp",Inputs!$B$44&gt;0),(((R1509-1)*MIN((Skills!Y11*(1+Inputs!$B$34/100)),(1/Q1509))+MIN((Skills!Y11*(1+Inputs!$B$34/100)),MAX(0,Inputs!$B$44-((R1509-1)*(1/Q1509)))))/Inputs!$B$44),IF(Inputs!$B$39="pvp",MIN((Skills!Y11*(1+Inputs!$B$34/100)),15)/15,MIN(1,(Skills!Y11*(1+Inputs!$B$34/100))/(1/Q1509)))))/100)*(1+((C1514=TRUE)*F1514*IF(AND(Inputs!$B$39&lt;&gt;"pvp",Inputs!$B$44&gt;0),(((R1514-1)*MIN((Skills!Y16*(1+Inputs!$B$34/100)),(1/Q1514))+MIN((Skills!Y16*(1+Inputs!$B$34/100)),MAX(0,Inputs!$B$44-((R1514-1)*(1/Q1514)))))/Inputs!$B$44),IF(Inputs!$B$39="pvp",MIN((Skills!Y16*(1+Inputs!$B$34/100)),15)/15,MIN(1,(Skills!Y16*(1+Inputs!$B$34/100))/(1/Q1514)))))/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1534*I1508)</f>
        <v/>
      </c>
      <c r="L1508">
        <f>K1508*(MIN(Inputs!$B$22+((C1523=TRUE)*(F1523-Calc!F25)),(Inputs!$B$23+((C1528=TRUE)*(F1528-Calc!F30))+IF(ArtifactsInput!$M$15,CHOOSE(ArtifactsInput!$N$15+1,25,30,35,40,45,50)/100*(Inputs!$B$11-Inputs!$B$11),0)))/100+(Inputs!$B$23+((C1528=TRUE)*(F1528-Calc!F30))+IF(ArtifactsInput!$M$15,CHOOSE(ArtifactsInput!$N$15+1,25,30,35,40,45,50)/100*(Inputs!$B$11-Inputs!$B$11),0))/100)/2</f>
        <v/>
      </c>
      <c r="M1508">
        <f>L1508*(1+(Inputs!$B$10+((C1525=TRUE)*(F1525-Calc!F27))+B1539+(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1508">
        <f>L1508*(1-MIN((Inputs!$B$9+((C1524=TRUE)*(F1524-Calc!F26))+B1532+(ArtifactsInput!$M$24-ArtifactsInput!$M$24)*CHOOSE(ArtifactsInput!$N$24+1,10,12,14,16,18,20)+(IF(AND(Inputs!$B$39&lt;&gt;"pvp",Inputs!$B$44=0),1,IF(IF(Inputs!$B$39="pvp",15,Inputs!$B$44)-(B1543)&lt;=0,1,MAX(0,IF(Inputs!$B$39="pvp",15,Inputs!$B$44)-MAX(5,B1543))/(IF(Inputs!$B$39="pvp",15,Inputs!$B$44)-(B1543))))*IF(AND(ArtifactsInput!$M$42,((Inputs!$B$9+((C1524=TRUE)*(F1524-Calc!F26))+B1532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1508*(MIN((Inputs!$B$9+((C1524=TRUE)*(F1524-Calc!F26))+B1532+(ArtifactsInput!$M$24-ArtifactsInput!$M$24)*CHOOSE(ArtifactsInput!$N$24+1,10,12,14,16,18,20)+(IF(AND(Inputs!$B$39&lt;&gt;"pvp",Inputs!$B$44=0),1,IF(IF(Inputs!$B$39="pvp",15,Inputs!$B$44)-(B1543)&lt;=0,1,MAX(0,IF(Inputs!$B$39="pvp",15,Inputs!$B$44)-MAX(5,B1543))/(IF(Inputs!$B$39="pvp",15,Inputs!$B$44)-(B1543))))*IF(AND(ArtifactsInput!$M$42,((Inputs!$B$9+((C1524=TRUE)*(F1524-Calc!F26))+B1532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508">
        <f>(1-Summary!$B$11)*T1508+Summary!$B$11*V1508</f>
        <v/>
      </c>
      <c r="P1508">
        <f>IF(B1544=0,0,O1508/B1544)</f>
        <v/>
      </c>
      <c r="Q1508" t="n">
        <v>0</v>
      </c>
      <c r="R1508" t="n">
        <v>0</v>
      </c>
      <c r="S1508" t="n">
        <v>0</v>
      </c>
      <c r="T1508">
        <f>IF(C1508,(0.2*SUMPRODUCT((Skills!Z2:Z31=TRUE)*(C1500:C1529=TRUE)*S1500:S1529)*N1508)*IF(Inputs!$B$39="pvp",1,1+(Inputs!$B$20+0+Skills!P10+B1533+(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Hunt"),CHOOSE(ArtifactsInput!$N$35+1,15,18,21,24,27,30)*(1-EXP(-(0.2*B1536)*5)),0)+IF(AND(ArtifactsInput!$M$22,Inputs!$B$4&lt;&gt;"Chapter Hunt"),CHOOSE(ArtifactsInput!$N$22+1,10,12,14,16,18,20)*((0*(((0.15*B1536*5))^0/1)+1*(((0.15*B1536*5))^1/1)+2*(((0.15*B1536*5))^2/2)+3*(((0.15*B1536*5))^3/6)+4*(((0.15*B1536*5))^4/24)+5*(((0.15*B1536*5))^5/120))/((((0.15*B1536*5))^0/1)+(((0.15*B1536*5))^1/1)+(((0.15*B1536*5))^2/2)+(((0.15*B1536*5))^3/6)+(((0.15*B1536*5))^4/24)+(((0.15*B1536*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1508*(1-MIN(100,(Inputs!$B$9+((C1524=TRUE)*(F1524-Calc!F26))+B1532+(ArtifactsInput!$M$24-ArtifactsInput!$M$24)*CHOOSE(ArtifactsInput!$N$24+1,10,12,14,16,18,20)+(IF(AND(Inputs!$B$39&lt;&gt;"pvp",Inputs!$B$44=0),1,IF(IF(Inputs!$B$39="pvp",15,Inputs!$B$44)-(B1543)&lt;=0,1,MAX(0,IF(Inputs!$B$39="pvp",15,Inputs!$B$44)-MAX(5,B1543))/(IF(Inputs!$B$39="pvp",15,Inputs!$B$44)-(B1543))))*IF(AND(ArtifactsInput!$M$42,((Inputs!$B$9+((C1524=TRUE)*(F1524-Calc!F26))+B1532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1508*(MIN(100,(Inputs!$B$9+((C1524=TRUE)*(F1524-Calc!F26))+B1532+(ArtifactsInput!$M$24-ArtifactsInput!$M$24)*CHOOSE(ArtifactsInput!$N$24+1,10,12,14,16,18,20)+(IF(AND(Inputs!$B$39&lt;&gt;"pvp",Inputs!$B$44=0),1,IF(IF(Inputs!$B$39="pvp",15,Inputs!$B$44)-(B1543)&lt;=0,1,MAX(0,IF(Inputs!$B$39="pvp",15,Inputs!$B$44)-MAX(5,B1543))/(IF(Inputs!$B$39="pvp",15,Inputs!$B$44)-(B1543))))*IF(AND(ArtifactsInput!$M$42,((Inputs!$B$9+((C1524=TRUE)*(F1524-Calc!F26))+B1532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1508*(1-MIN(100,(Inputs!$B$9+((C1524=TRUE)*(F1524-Calc!F26))+B1532+(ArtifactsInput!$M$24-ArtifactsInput!$M$24)*CHOOSE(ArtifactsInput!$N$24+1,10,12,14,16,18,20)+(IF(AND(Inputs!$B$39&lt;&gt;"pvp",Inputs!$B$44=0),1,IF(IF(Inputs!$B$39="pvp",15,Inputs!$B$44)-(B1543)&lt;=0,1,MAX(0,IF(Inputs!$B$39="pvp",15,Inputs!$B$44)-MAX(5,B1543))/(IF(Inputs!$B$39="pvp",15,Inputs!$B$44)-(B1543))))*IF(AND(ArtifactsInput!$M$42,((Inputs!$B$9+((C1524=TRUE)*(F1524-Calc!F26))+B1532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1508*(MIN(100,(Inputs!$B$9+((C1524=TRUE)*(F1524-Calc!F26))+B1532+(ArtifactsInput!$M$24-ArtifactsInput!$M$24)*CHOOSE(ArtifactsInput!$N$24+1,10,12,14,16,18,20)+(IF(AND(Inputs!$B$39&lt;&gt;"pvp",Inputs!$B$44=0),1,IF(IF(Inputs!$B$39="pvp",15,Inputs!$B$44)-(B1543)&lt;=0,1,MAX(0,IF(Inputs!$B$39="pvp",15,Inputs!$B$44)-MAX(5,B1543))/(IF(Inputs!$B$39="pvp",15,Inputs!$B$44)-(B1543))))*IF(AND(ArtifactsInput!$M$42,((Inputs!$B$9+((C1524=TRUE)*(F1524-Calc!F26))+B1532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1508">
        <f>IF(C1508,(0.2*SUMPRODUCT((Skills!Z2:Z31=TRUE)*(C1500:C1529=TRUE)*S1500:S1529)*N1508)*IF(Inputs!$B$39="pvp",1,(1+(Inputs!$B$21+Skills!Q10+B1533+(IF(ArtifactsInput!$M$33,CHOOSE(ArtifactsInput!$N$33+1,30,36,42,48,54,60),0))+(IF(AND(ArtifactsInput!$M$35,Inputs!$B$4&lt;&gt;"Chapter Hunt"),CHOOSE(ArtifactsInput!$N$35+1,15,18,21,24,27,30)*(1-EXP(-(0.2*B1536)*5)),0)+IF(AND(ArtifactsInput!$M$22,Inputs!$B$4&lt;&gt;"Chapter Hunt"),CHOOSE(ArtifactsInput!$N$22+1,10,12,14,16,18,20)*((0*(((0.15*B1536*5))^0/1)+1*(((0.15*B1536*5))^1/1)+2*(((0.15*B1536*5))^2/2)+3*(((0.15*B1536*5))^3/6)+4*(((0.15*B1536*5))^4/24)+5*(((0.15*B1536*5))^5/120))/((((0.15*B1536*5))^0/1)+(((0.15*B1536*5))^1/1)+(((0.15*B1536*5))^2/2)+(((0.15*B1536*5))^3/6)+(((0.15*B1536*5))^4/24)+(((0.15*B1536*5))^5/120))),0)))/100)*(MIN(Skills!W10,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509">
      <c r="A1509">
        <f>Skills!A11</f>
        <v/>
      </c>
      <c r="B1509">
        <f>Skills!B11</f>
        <v/>
      </c>
      <c r="C1509">
        <f>Inputs!$B$3&gt;=74</f>
        <v/>
      </c>
      <c r="D1509">
        <f>IF(Skills!C11=1,60+Inputs!$B$25+Inputs!$B$29,IF(Skills!C11=2,90+Inputs!$B$26+Inputs!$B$29,IF(Skills!C11=3,120+Inputs!$B$27+Inputs!$B$29,MAX(0,(Inputs!$B$3-100)*3)+Inputs!$B$28+Inputs!$B$29)))</f>
        <v/>
      </c>
      <c r="E1509">
        <f>INDEX(FactorTable!$B$2:$Y$301, MATCH(ROUND(MIN(300,MAX(1,D1509)),0), FactorTable!$A$2:$A$301,0), Skills!M11+1)</f>
        <v/>
      </c>
      <c r="F1509">
        <f>IF(Skills!N11=TRUE,(Skills!L11/10)*(E1509/1000),Skills!L11/10)+Skills!O11</f>
        <v/>
      </c>
      <c r="G1509">
        <f>Skills!G11*IF(Skills!H11&gt;0,IF(Inputs!$B$39="pvp",MIN(Skills!I11,15),Skills!I11)/Skills!H11,1)</f>
        <v/>
      </c>
      <c r="H1509">
        <f>1-(1-Skills!J11/100)^Skills!K11</f>
        <v/>
      </c>
      <c r="I1509" t="inlineStr">
        <is>
          <t>1</t>
        </is>
      </c>
      <c r="J1509" t="inlineStr"/>
      <c r="K1509" t="inlineStr"/>
      <c r="L1509" t="inlineStr"/>
      <c r="M1509" t="inlineStr"/>
      <c r="N1509" t="inlineStr"/>
      <c r="O1509">
        <f>(1-Summary!$B$11)*T1509+Summary!$B$11*V1509</f>
        <v/>
      </c>
      <c r="P1509">
        <f>IF(B1544=0,0,O1509/B1544)</f>
        <v/>
      </c>
      <c r="Q1509">
        <f>IFERROR(1/IF(Inputs!$B$39="pvp",15,MAX(0.1,Skills!D11-IF(TRUE=TRUE,Inputs!$B$32,0))),0)</f>
        <v/>
      </c>
      <c r="R1509">
        <f>IF(AND(Inputs!$B$39&lt;&gt;"pvp",Inputs!$B$44&gt;0),IF(Inputs!$B$44&lt;=0,0,(INT(Inputs!$B$44/IF(Inputs!$B$39="pvp",15,MAX(0.1,Skills!D11-IF(TRUE=TRUE,Inputs!$B$32,0))))+1)),0)</f>
        <v/>
      </c>
      <c r="S1509">
        <f>IFERROR(O1509/N1509,0)</f>
        <v/>
      </c>
      <c r="T1509" t="n">
        <v>0</v>
      </c>
      <c r="V1509" t="n">
        <v>0</v>
      </c>
    </row>
    <row r="1510">
      <c r="A1510">
        <f>Skills!A12</f>
        <v/>
      </c>
      <c r="B1510">
        <f>Skills!B12</f>
        <v/>
      </c>
      <c r="C1510">
        <f>Inputs!$B$3&gt;=103</f>
        <v/>
      </c>
      <c r="D1510">
        <f>IF(Skills!C12=1,60+Inputs!$B$25+Inputs!$B$29,IF(Skills!C12=2,90+Inputs!$B$26+Inputs!$B$29,IF(Skills!C12=3,120+Inputs!$B$27+Inputs!$B$29,MAX(0,(Inputs!$B$3-100)*3)+Inputs!$B$28+Inputs!$B$29)))</f>
        <v/>
      </c>
      <c r="E1510">
        <f>INDEX(FactorTable!$B$2:$Y$301, MATCH(ROUND(MIN(300,MAX(1,D1510)),0), FactorTable!$A$2:$A$301,0), Skills!M12+1)</f>
        <v/>
      </c>
      <c r="F1510">
        <f>(Skills!L12/10)*(E1510/1000)+IF(Inputs!$B$3&gt;=134,50,0)+0.5*(30000/10)*(INDEX(FactorTable!$B$2:$Y$301, MATCH(ROUND(MIN(300,MAX(1,D1510)),0), FactorTable!$A$2:$A$301,0), 13)/1000)*B1542</f>
        <v/>
      </c>
      <c r="G1510">
        <f>Skills!G12*IF(Skills!H12&gt;0,IF(Inputs!$B$39="pvp",MIN(Skills!I12,15),Skills!I12)/Skills!H12,1)</f>
        <v/>
      </c>
      <c r="H1510">
        <f>1-(1-Skills!J12/100)^Skills!K12</f>
        <v/>
      </c>
      <c r="I1510" t="inlineStr">
        <is>
          <t>1</t>
        </is>
      </c>
      <c r="J1510">
        <f>((Inputs!$B$6*(1+Inputs!$B$7/100))+(((Inputs!$B$12*(1+Inputs!$B$13/100))-(Inputs!$B$12*(1+Inputs!$B$13/100)))+0.25*(Inputs!$B$14-Inputs!$B$14))*(1+Inputs!$B$7/100))*(F1510/100)</f>
        <v/>
      </c>
      <c r="K1510">
        <f>J1510*(1+((Inputs!$B$12*(1+Inputs!$B$13/100))*0.01+Inputs!$B$14*0.0025)/100)*(1+Inputs!$B$15/100)*(1+Inputs!$B$16/100)*(5000/(6000+Inputs!$B$43*(1-(100*(1-(1-Inputs!$B$19/100)*(1-CHOOSE(ArtifactsInput!$N$40+1,5,6,7,8,9,10)/100)^(ArtifactsInput!$M$40-ArtifactsInput!$M$40)))/100)))*(1+(Inputs!$B$24+((C1529=TRUE)*(F1529-Calc!F31))+((C1516=TRUE)*(F1516-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12="CRUEL_STAB",Inputs!$B$17+((C1526=TRUE)*(F1526-Calc!F28))+((IF(AND(Inputs!$B$39&lt;&gt;"pvp",Inputs!$B$44=0),1,IF(IF(Inputs!$B$39="pvp",15,Inputs!$B$44)-(B1543)&lt;=0,1,MAX(0,IF(Inputs!$B$39="pvp",15,Inputs!$B$44)-MAX(5,B1543))/(IF(Inputs!$B$39="pvp",15,Inputs!$B$44)-(B1543))))*(IF(AND(ArtifactsInput!$M$42,((Inputs!$B$9+((C1524=TRUE)*(F1524-Calc!F26))+B1532+(ArtifactsInput!$M$24-ArtifactsInput!$M$24)*CHOOSE(ArtifactsInput!$N$24+1,10,12,14,16,18,20)+IF(ArtifactsInput!$M$10,CHOOSE(ArtifactsInput!$N$10+1,15,18,21,24,27,30)*(IF(Inputs!$B$39="pvp",MIN(15,15)/15,IF(AND(Inputs!$B$39&lt;&gt;"pvp",Inputs!$B$44&gt;0),MIN(15,Inputs!$B$44)/(Inputs!$B$44),0))),0)))&gt;=100),MIN(100,((Inputs!$B$9+((C1524=TRUE)*(F1524-Calc!F26))+B1532+(ArtifactsInput!$M$24-ArtifactsInput!$M$24)*CHOOSE(ArtifactsInput!$N$24+1,10,12,14,16,18,20)+IF(ArtifactsInput!$M$10,CHOOSE(ArtifactsInput!$N$10+1,15,18,21,24,27,30)*(IF(Inputs!$B$39="pvp",MIN(15,15)/15,IF(AND(Inputs!$B$39&lt;&gt;"pvp",Inputs!$B$44&gt;0),MIN(15,Inputs!$B$44)/(Inputs!$B$44),0))),0)))-100),0))*CHOOSE(ArtifactsInput!$N$42+1,0.6,0.72,0.84,0.96,1.08,1.2))),Inputs!$B$18+((C1527=TRUE)*(F1527-Calc!F29))+(IF(AND(Inputs!$B$39&lt;&gt;"pvp",Inputs!$B$44=0),1,IF(IF(Inputs!$B$39="pvp",15,Inputs!$B$44)-(B1543)&lt;=0,1,MAX(0,IF(Inputs!$B$39="pvp",15,Inputs!$B$44)-MAX(5,B1543))/(IF(Inputs!$B$39="pvp",15,Inputs!$B$44)-(B1543))))*IF(AND(ArtifactsInput!$M$42,((Inputs!$B$9+((C1524=TRUE)*(F1524-Calc!F26))+B1532+(ArtifactsInput!$M$24-ArtifactsInput!$M$24)*CHOOSE(ArtifactsInput!$N$24+1,10,12,14,16,18,20)+IF(ArtifactsInput!$M$10,CHOOSE(ArtifactsInput!$N$10+1,15,18,21,24,27,30)*(IF(Inputs!$B$39="pvp",MIN(15,15)/15,IF(AND(Inputs!$B$39&lt;&gt;"pvp",Inputs!$B$44&gt;0),MIN(15,Inputs!$B$44)/(Inputs!$B$44),0))),0)))&gt;=100),CHOOSE(ArtifactsInput!$N$42+1,40,48,56,64,72,80),0))))/100)*(((1+(((C1520=TRUE)*F1520*IF(AND(Inputs!$B$39&lt;&gt;"pvp",Inputs!$B$44&gt;0),(((R1520-1)*MIN((Skills!Y22*(1+Inputs!$B$34/100)),(1/Q1520))+MIN((Skills!Y22*(1+Inputs!$B$34/100)),MAX(0,Inputs!$B$44-((R1520-1)*(1/Q1520)))))/Inputs!$B$44),IF(Inputs!$B$39="pvp",MIN((Skills!Y22*(1+Inputs!$B$34/100)),15)/15,MIN(1,(Skills!Y22*(1+Inputs!$B$34/100))/(1/Q1520)))))+((C1501=TRUE)*F1501*3)+((C1503=TRUE)*F1503*(1-EXP(-0.75*B1536*5)))+((C1522=TRUE)*(F1522-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1509=TRUE)*F1509*IF(AND(Inputs!$B$39&lt;&gt;"pvp",Inputs!$B$44&gt;0),(((R1509-1)*MIN((Skills!Y11*(1+Inputs!$B$34/100)),(1/Q1509))+MIN((Skills!Y11*(1+Inputs!$B$34/100)),MAX(0,Inputs!$B$44-((R1509-1)*(1/Q1509)))))/Inputs!$B$44),IF(Inputs!$B$39="pvp",MIN((Skills!Y11*(1+Inputs!$B$34/100)),15)/15,MIN(1,(Skills!Y11*(1+Inputs!$B$34/100))/(1/Q1509)))))/100)*(1+((C1514=TRUE)*F1514*IF(AND(Inputs!$B$39&lt;&gt;"pvp",Inputs!$B$44&gt;0),(((R1514-1)*MIN((Skills!Y16*(1+Inputs!$B$34/100)),(1/Q1514))+MIN((Skills!Y16*(1+Inputs!$B$34/100)),MAX(0,Inputs!$B$44-((R1514-1)*(1/Q1514)))))/Inputs!$B$44),IF(Inputs!$B$39="pvp",MIN((Skills!Y16*(1+Inputs!$B$34/100)),15)/15,MIN(1,(Skills!Y16*(1+Inputs!$B$34/100))/(1/Q1514)))))/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1534*I1510)</f>
        <v/>
      </c>
      <c r="L1510">
        <f>K1510*(MIN(Inputs!$B$22+((C1523=TRUE)*(F1523-Calc!F25)),(Inputs!$B$23+((C1528=TRUE)*(F1528-Calc!F30))+IF(ArtifactsInput!$M$15,CHOOSE(ArtifactsInput!$N$15+1,25,30,35,40,45,50)/100*(Inputs!$B$11-Inputs!$B$11),0)))/100+(Inputs!$B$23+((C1528=TRUE)*(F1528-Calc!F30))+IF(ArtifactsInput!$M$15,CHOOSE(ArtifactsInput!$N$15+1,25,30,35,40,45,50)/100*(Inputs!$B$11-Inputs!$B$11),0))/100)/2</f>
        <v/>
      </c>
      <c r="M1510">
        <f>L1510*(1+(Inputs!$B$10+((C1525=TRUE)*(F1525-Calc!F27))+B1539+(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1510">
        <f>L1510*(1-MIN((Inputs!$B$9+((C1524=TRUE)*(F1524-Calc!F26))+B1532+(ArtifactsInput!$M$24-ArtifactsInput!$M$24)*CHOOSE(ArtifactsInput!$N$24+1,10,12,14,16,18,20)+(IF(AND(Inputs!$B$39&lt;&gt;"pvp",Inputs!$B$44=0),1,IF(IF(Inputs!$B$39="pvp",15,Inputs!$B$44)-(B1543)&lt;=0,1,MAX(0,IF(Inputs!$B$39="pvp",15,Inputs!$B$44)-MAX(5,B1543))/(IF(Inputs!$B$39="pvp",15,Inputs!$B$44)-(B1543))))*IF(AND(ArtifactsInput!$M$42,((Inputs!$B$9+((C1524=TRUE)*(F1524-Calc!F26))+B1532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1510*(MIN((Inputs!$B$9+((C1524=TRUE)*(F1524-Calc!F26))+B1532+(ArtifactsInput!$M$24-ArtifactsInput!$M$24)*CHOOSE(ArtifactsInput!$N$24+1,10,12,14,16,18,20)+(IF(AND(Inputs!$B$39&lt;&gt;"pvp",Inputs!$B$44=0),1,IF(IF(Inputs!$B$39="pvp",15,Inputs!$B$44)-(B1543)&lt;=0,1,MAX(0,IF(Inputs!$B$39="pvp",15,Inputs!$B$44)-MAX(5,B1543))/(IF(Inputs!$B$39="pvp",15,Inputs!$B$44)-(B1543))))*IF(AND(ArtifactsInput!$M$42,((Inputs!$B$9+((C1524=TRUE)*(F1524-Calc!F26))+B1532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510">
        <f>(1-Summary!$B$11)*T1510+Summary!$B$11*V1510</f>
        <v/>
      </c>
      <c r="P1510">
        <f>IF(B1544=0,0,O1510/B1544)</f>
        <v/>
      </c>
      <c r="Q1510">
        <f>IFERROR(1/IF(Inputs!$B$39="pvp",15,MAX(0.1,Skills!D12-IF(TRUE=TRUE,Inputs!$B$32,0))),0)</f>
        <v/>
      </c>
      <c r="R1510">
        <f>IF(AND(Inputs!$B$39&lt;&gt;"pvp",Inputs!$B$44&gt;0),IF(MAX(0,Inputs!$B$44-B1543)&lt;=0,0,(INT(MAX(0,Inputs!$B$44-B1543)/IF(Inputs!$B$39="pvp",15,MAX(0.1,Skills!D12-IF(TRUE=TRUE,Inputs!$B$32,0))))+1)),0)</f>
        <v/>
      </c>
      <c r="S1510">
        <f>IFERROR(O1510/N1510,0)</f>
        <v/>
      </c>
      <c r="T1510">
        <f>IF(C1510,(H1510*N1510*IF(AND(Inputs!$B$39&lt;&gt;"pvp",Inputs!$B$44&gt;0),((Skills!G12*((R1510-1)*IF(Skills!H12&gt;0,Skills!I12/Skills!H12,1)+IF(Skills!H12&gt;0,MIN(Skills!I12,MAX(0,MAX(0,Inputs!$B$44-B1543)-((R1510-1)*IF(Inputs!$B$39="pvp",15,MAX(0.1,Skills!D12-IF(TRUE=TRUE,Inputs!$B$32,0))))))/Skills!H12,1)))/Inputs!$B$44),G1510*Q1510))*IF(Inputs!$B$39="pvp",1,1+(Inputs!$B$20+0+Skills!P12+B1533+(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Hunt"),CHOOSE(ArtifactsInput!$N$35+1,15,18,21,24,27,30)*(1-EXP(-(0.2*B1536)*5)),0)+IF(AND(ArtifactsInput!$M$22,Inputs!$B$4&lt;&gt;"Chapter Hunt"),CHOOSE(ArtifactsInput!$N$22+1,10,12,14,16,18,20)*((0*(((0.15*B1536*5))^0/1)+1*(((0.15*B1536*5))^1/1)+2*(((0.15*B1536*5))^2/2)+3*(((0.15*B1536*5))^3/6)+4*(((0.15*B1536*5))^4/24)+5*(((0.15*B1536*5))^5/120))/((((0.15*B1536*5))^0/1)+(((0.15*B1536*5))^1/1)+(((0.15*B1536*5))^2/2)+(((0.15*B1536*5))^3/6)+(((0.15*B1536*5))^4/24)+(((0.15*B1536*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1510*(1-MIN(100,(Inputs!$B$9+((C1524=TRUE)*(F1524-Calc!F26))+B1532+(ArtifactsInput!$M$24-ArtifactsInput!$M$24)*CHOOSE(ArtifactsInput!$N$24+1,10,12,14,16,18,20)+(IF(AND(Inputs!$B$39&lt;&gt;"pvp",Inputs!$B$44=0),1,IF(IF(Inputs!$B$39="pvp",15,Inputs!$B$44)-(B1543)&lt;=0,1,MAX(0,IF(Inputs!$B$39="pvp",15,Inputs!$B$44)-MAX(5,B1543))/(IF(Inputs!$B$39="pvp",15,Inputs!$B$44)-(B1543))))*IF(AND(ArtifactsInput!$M$42,((Inputs!$B$9+((C1524=TRUE)*(F1524-Calc!F26))+B1532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1510*(MIN(100,(Inputs!$B$9+((C1524=TRUE)*(F1524-Calc!F26))+B1532+(ArtifactsInput!$M$24-ArtifactsInput!$M$24)*CHOOSE(ArtifactsInput!$N$24+1,10,12,14,16,18,20)+(IF(AND(Inputs!$B$39&lt;&gt;"pvp",Inputs!$B$44=0),1,IF(IF(Inputs!$B$39="pvp",15,Inputs!$B$44)-(B1543)&lt;=0,1,MAX(0,IF(Inputs!$B$39="pvp",15,Inputs!$B$44)-MAX(5,B1543))/(IF(Inputs!$B$39="pvp",15,Inputs!$B$44)-(B1543))))*IF(AND(ArtifactsInput!$M$42,((Inputs!$B$9+((C1524=TRUE)*(F1524-Calc!F26))+B1532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1510*(1-MIN(100,(Inputs!$B$9+((C1524=TRUE)*(F1524-Calc!F26))+B1532+(ArtifactsInput!$M$24-ArtifactsInput!$M$24)*CHOOSE(ArtifactsInput!$N$24+1,10,12,14,16,18,20)+(IF(AND(Inputs!$B$39&lt;&gt;"pvp",Inputs!$B$44=0),1,IF(IF(Inputs!$B$39="pvp",15,Inputs!$B$44)-(B1543)&lt;=0,1,MAX(0,IF(Inputs!$B$39="pvp",15,Inputs!$B$44)-MAX(5,B1543))/(IF(Inputs!$B$39="pvp",15,Inputs!$B$44)-(B1543))))*IF(AND(ArtifactsInput!$M$42,((Inputs!$B$9+((C1524=TRUE)*(F1524-Calc!F26))+B1532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1510*(MIN(100,(Inputs!$B$9+((C1524=TRUE)*(F1524-Calc!F26))+B1532+(ArtifactsInput!$M$24-ArtifactsInput!$M$24)*CHOOSE(ArtifactsInput!$N$24+1,10,12,14,16,18,20)+(IF(AND(Inputs!$B$39&lt;&gt;"pvp",Inputs!$B$44=0),1,IF(IF(Inputs!$B$39="pvp",15,Inputs!$B$44)-(B1543)&lt;=0,1,MAX(0,IF(Inputs!$B$39="pvp",15,Inputs!$B$44)-MAX(5,B1543))/(IF(Inputs!$B$39="pvp",15,Inputs!$B$44)-(B1543))))*IF(AND(ArtifactsInput!$M$42,((Inputs!$B$9+((C1524=TRUE)*(F1524-Calc!F26))+B1532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1510">
        <f>IF(C1510,(H1510*N1510*IF(AND(Inputs!$B$39&lt;&gt;"pvp",Inputs!$B$44&gt;0),((Skills!G12*((R1510-1)*IF(Skills!H12&gt;0,Skills!I12/Skills!H12,1)+IF(Skills!H12&gt;0,MIN(Skills!I12,MAX(0,MAX(0,Inputs!$B$44-B1543)-((R1510-1)*IF(Inputs!$B$39="pvp",15,MAX(0.1,Skills!D12-IF(TRUE=TRUE,Inputs!$B$32,0))))))/Skills!H12,1)))/Inputs!$B$44),G1510*Q1510))*IF(Inputs!$B$39="pvp",1,(1+(Inputs!$B$21+Skills!Q12+B1533+(IF(ArtifactsInput!$M$33,CHOOSE(ArtifactsInput!$N$33+1,30,36,42,48,54,60),0))+(IF(AND(ArtifactsInput!$M$35,Inputs!$B$4&lt;&gt;"Chapter Hunt"),CHOOSE(ArtifactsInput!$N$35+1,15,18,21,24,27,30)*(1-EXP(-(0.2*B1536)*5)),0)+IF(AND(ArtifactsInput!$M$22,Inputs!$B$4&lt;&gt;"Chapter Hunt"),CHOOSE(ArtifactsInput!$N$22+1,10,12,14,16,18,20)*((0*(((0.15*B1536*5))^0/1)+1*(((0.15*B1536*5))^1/1)+2*(((0.15*B1536*5))^2/2)+3*(((0.15*B1536*5))^3/6)+4*(((0.15*B1536*5))^4/24)+5*(((0.15*B1536*5))^5/120))/((((0.15*B1536*5))^0/1)+(((0.15*B1536*5))^1/1)+(((0.15*B1536*5))^2/2)+(((0.15*B1536*5))^3/6)+(((0.15*B1536*5))^4/24)+(((0.15*B1536*5))^5/120))),0)))/100)*(MIN(Skills!W12,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511">
      <c r="A1511">
        <f>Skills!A13</f>
        <v/>
      </c>
      <c r="B1511">
        <f>Skills!B13</f>
        <v/>
      </c>
      <c r="C1511">
        <f>Inputs!$B$3&gt;=105</f>
        <v/>
      </c>
      <c r="D1511">
        <f>IF(Skills!C13=1,60+Inputs!$B$25+Inputs!$B$29,IF(Skills!C13=2,90+Inputs!$B$26+Inputs!$B$29,IF(Skills!C13=3,120+Inputs!$B$27+Inputs!$B$29,MAX(0,(Inputs!$B$3-100)*3)+Inputs!$B$28+Inputs!$B$29)))</f>
        <v/>
      </c>
      <c r="E1511">
        <f>INDEX(FactorTable!$B$2:$Y$301, MATCH(ROUND(MIN(300,MAX(1,D1511)),0), FactorTable!$A$2:$A$301,0), Skills!M13+1)</f>
        <v/>
      </c>
      <c r="F1511">
        <f>IF(Skills!N13=TRUE,(Skills!L13/10)*(E1511/1000),Skills!L13/10)+Skills!O13</f>
        <v/>
      </c>
      <c r="G1511">
        <f>Skills!G13*IF(Skills!H13&gt;0,IF(Inputs!$B$39="pvp",MIN(Skills!I13,15),Skills!I13)/Skills!H13,1)</f>
        <v/>
      </c>
      <c r="H1511">
        <f>1-(1-Skills!J13/100)^Skills!K13</f>
        <v/>
      </c>
      <c r="I1511" t="inlineStr">
        <is>
          <t>1</t>
        </is>
      </c>
      <c r="J1511">
        <f>((Inputs!$B$6*(1+Inputs!$B$7/100))+(((Inputs!$B$12*(1+Inputs!$B$13/100))-(Inputs!$B$12*(1+Inputs!$B$13/100)))+0.25*(Inputs!$B$14-Inputs!$B$14))*(1+Inputs!$B$7/100))*(F1511/100)</f>
        <v/>
      </c>
      <c r="K1511">
        <f>J1511*(1+((Inputs!$B$12*(1+Inputs!$B$13/100))*0.01+Inputs!$B$14*0.0025)/100)*(1+Inputs!$B$15/100)*(1+Inputs!$B$16/100)*(5000/(6000+Inputs!$B$43*(1-(100*(1-(1-Inputs!$B$19/100)*(1-CHOOSE(ArtifactsInput!$N$40+1,5,6,7,8,9,10)/100)^(ArtifactsInput!$M$40-ArtifactsInput!$M$40)))/100)))*(1+(Inputs!$B$24+((C1529=TRUE)*(F1529-Calc!F31))+((C1516=TRUE)*(F1516-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13="CRUEL_STAB",Inputs!$B$17+((C1526=TRUE)*(F1526-Calc!F28))+((IF(AND(Inputs!$B$39&lt;&gt;"pvp",Inputs!$B$44=0),1,IF(IF(Inputs!$B$39="pvp",15,Inputs!$B$44)-(B1543)&lt;=0,1,MAX(0,IF(Inputs!$B$39="pvp",15,Inputs!$B$44)-MAX(5,B1543))/(IF(Inputs!$B$39="pvp",15,Inputs!$B$44)-(B1543))))*(IF(AND(ArtifactsInput!$M$42,((Inputs!$B$9+((C1524=TRUE)*(F1524-Calc!F26))+B1532+(ArtifactsInput!$M$24-ArtifactsInput!$M$24)*CHOOSE(ArtifactsInput!$N$24+1,10,12,14,16,18,20)+IF(ArtifactsInput!$M$10,CHOOSE(ArtifactsInput!$N$10+1,15,18,21,24,27,30)*(IF(Inputs!$B$39="pvp",MIN(15,15)/15,IF(AND(Inputs!$B$39&lt;&gt;"pvp",Inputs!$B$44&gt;0),MIN(15,Inputs!$B$44)/(Inputs!$B$44),0))),0)))&gt;=100),MIN(100,((Inputs!$B$9+((C1524=TRUE)*(F1524-Calc!F26))+B1532+(ArtifactsInput!$M$24-ArtifactsInput!$M$24)*CHOOSE(ArtifactsInput!$N$24+1,10,12,14,16,18,20)+IF(ArtifactsInput!$M$10,CHOOSE(ArtifactsInput!$N$10+1,15,18,21,24,27,30)*(IF(Inputs!$B$39="pvp",MIN(15,15)/15,IF(AND(Inputs!$B$39&lt;&gt;"pvp",Inputs!$B$44&gt;0),MIN(15,Inputs!$B$44)/(Inputs!$B$44),0))),0)))-100),0))*CHOOSE(ArtifactsInput!$N$42+1,0.6,0.72,0.84,0.96,1.08,1.2))),Inputs!$B$18+((C1527=TRUE)*(F1527-Calc!F29))+(IF(AND(Inputs!$B$39&lt;&gt;"pvp",Inputs!$B$44=0),1,IF(IF(Inputs!$B$39="pvp",15,Inputs!$B$44)-(B1543)&lt;=0,1,MAX(0,IF(Inputs!$B$39="pvp",15,Inputs!$B$44)-MAX(5,B1543))/(IF(Inputs!$B$39="pvp",15,Inputs!$B$44)-(B1543))))*IF(AND(ArtifactsInput!$M$42,((Inputs!$B$9+((C1524=TRUE)*(F1524-Calc!F26))+B1532+(ArtifactsInput!$M$24-ArtifactsInput!$M$24)*CHOOSE(ArtifactsInput!$N$24+1,10,12,14,16,18,20)+IF(ArtifactsInput!$M$10,CHOOSE(ArtifactsInput!$N$10+1,15,18,21,24,27,30)*(IF(Inputs!$B$39="pvp",MIN(15,15)/15,IF(AND(Inputs!$B$39&lt;&gt;"pvp",Inputs!$B$44&gt;0),MIN(15,Inputs!$B$44)/(Inputs!$B$44),0))),0)))&gt;=100),CHOOSE(ArtifactsInput!$N$42+1,40,48,56,64,72,80),0))))/100)*(((1+(((C1520=TRUE)*F1520*IF(AND(Inputs!$B$39&lt;&gt;"pvp",Inputs!$B$44&gt;0),(((R1520-1)*MIN((Skills!Y22*(1+Inputs!$B$34/100)),(1/Q1520))+MIN((Skills!Y22*(1+Inputs!$B$34/100)),MAX(0,Inputs!$B$44-((R1520-1)*(1/Q1520)))))/Inputs!$B$44),IF(Inputs!$B$39="pvp",MIN((Skills!Y22*(1+Inputs!$B$34/100)),15)/15,MIN(1,(Skills!Y22*(1+Inputs!$B$34/100))/(1/Q1520)))))+((C1501=TRUE)*F1501*3)+((C1503=TRUE)*F1503*(1-EXP(-0.75*B1536*5)))+((C1522=TRUE)*(F1522-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1509=TRUE)*F1509*IF(AND(Inputs!$B$39&lt;&gt;"pvp",Inputs!$B$44&gt;0),(((R1509-1)*MIN((Skills!Y11*(1+Inputs!$B$34/100)),(1/Q1509))+MIN((Skills!Y11*(1+Inputs!$B$34/100)),MAX(0,Inputs!$B$44-((R1509-1)*(1/Q1509)))))/Inputs!$B$44),IF(Inputs!$B$39="pvp",MIN((Skills!Y11*(1+Inputs!$B$34/100)),15)/15,MIN(1,(Skills!Y11*(1+Inputs!$B$34/100))/(1/Q1509)))))/100)*(1+((C1514=TRUE)*F1514*IF(AND(Inputs!$B$39&lt;&gt;"pvp",Inputs!$B$44&gt;0),(((R1514-1)*MIN((Skills!Y16*(1+Inputs!$B$34/100)),(1/Q1514))+MIN((Skills!Y16*(1+Inputs!$B$34/100)),MAX(0,Inputs!$B$44-((R1514-1)*(1/Q1514)))))/Inputs!$B$44),IF(Inputs!$B$39="pvp",MIN((Skills!Y16*(1+Inputs!$B$34/100)),15)/15,MIN(1,(Skills!Y16*(1+Inputs!$B$34/100))/(1/Q1514)))))/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1534*I1511)</f>
        <v/>
      </c>
      <c r="L1511">
        <f>K1511*(MIN(Inputs!$B$22+((C1523=TRUE)*(F1523-Calc!F25)),(Inputs!$B$23+((C1528=TRUE)*(F1528-Calc!F30))+IF(ArtifactsInput!$M$15,CHOOSE(ArtifactsInput!$N$15+1,25,30,35,40,45,50)/100*(Inputs!$B$11-Inputs!$B$11),0)))/100+(Inputs!$B$23+((C1528=TRUE)*(F1528-Calc!F30))+IF(ArtifactsInput!$M$15,CHOOSE(ArtifactsInput!$N$15+1,25,30,35,40,45,50)/100*(Inputs!$B$11-Inputs!$B$11),0))/100)/2</f>
        <v/>
      </c>
      <c r="M1511">
        <f>L1511*(1+(Inputs!$B$10+((C1525=TRUE)*(F1525-Calc!F27))+B1539+(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1511">
        <f>L1511*(1-MIN((Inputs!$B$9+((C1524=TRUE)*(F1524-Calc!F26))+B1532+(ArtifactsInput!$M$24-ArtifactsInput!$M$24)*CHOOSE(ArtifactsInput!$N$24+1,10,12,14,16,18,20)+(IF(AND(Inputs!$B$39&lt;&gt;"pvp",Inputs!$B$44=0),1,IF(IF(Inputs!$B$39="pvp",15,Inputs!$B$44)-(B1543)&lt;=0,1,MAX(0,IF(Inputs!$B$39="pvp",15,Inputs!$B$44)-MAX(5,B1543))/(IF(Inputs!$B$39="pvp",15,Inputs!$B$44)-(B1543))))*IF(AND(ArtifactsInput!$M$42,((Inputs!$B$9+((C1524=TRUE)*(F1524-Calc!F26))+B1532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1511*(MIN((Inputs!$B$9+((C1524=TRUE)*(F1524-Calc!F26))+B1532+(ArtifactsInput!$M$24-ArtifactsInput!$M$24)*CHOOSE(ArtifactsInput!$N$24+1,10,12,14,16,18,20)+(IF(AND(Inputs!$B$39&lt;&gt;"pvp",Inputs!$B$44=0),1,IF(IF(Inputs!$B$39="pvp",15,Inputs!$B$44)-(B1543)&lt;=0,1,MAX(0,IF(Inputs!$B$39="pvp",15,Inputs!$B$44)-MAX(5,B1543))/(IF(Inputs!$B$39="pvp",15,Inputs!$B$44)-(B1543))))*IF(AND(ArtifactsInput!$M$42,((Inputs!$B$9+((C1524=TRUE)*(F1524-Calc!F26))+B1532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511">
        <f>(1-Summary!$B$11)*T1511+Summary!$B$11*V1511</f>
        <v/>
      </c>
      <c r="P1511">
        <f>IF(B1544=0,0,O1511/B1544)</f>
        <v/>
      </c>
      <c r="Q1511">
        <f>IFERROR(1/IF(Inputs!$B$39="pvp",15,MAX(0.1,Skills!D13-IF(TRUE=TRUE,Inputs!$B$32,0))),0)</f>
        <v/>
      </c>
      <c r="R1511">
        <f>IF(AND(Inputs!$B$39&lt;&gt;"pvp",Inputs!$B$44&gt;0),IF(MAX(0,Inputs!$B$44-B1543)&lt;=0,0,(INT(MAX(0,Inputs!$B$44-B1543)/IF(Inputs!$B$39="pvp",15,MAX(0.1,Skills!D13-IF(TRUE=TRUE,Inputs!$B$32,0))))+1)),0)</f>
        <v/>
      </c>
      <c r="S1511">
        <f>IFERROR(O1511/N1511,0)</f>
        <v/>
      </c>
      <c r="T1511">
        <f>IF(C1511,(H1511*N1511*IF(AND(Inputs!$B$39&lt;&gt;"pvp",Inputs!$B$44&gt;0),((Skills!G13*((R1511-1)*IF(Skills!H13&gt;0,Skills!I13/Skills!H13,1)+IF(Skills!H13&gt;0,MIN(Skills!I13,MAX(0,MAX(0,Inputs!$B$44-B1543)-((R1511-1)*IF(Inputs!$B$39="pvp",15,MAX(0.1,Skills!D13-IF(TRUE=TRUE,Inputs!$B$32,0))))))/Skills!H13,1)))/Inputs!$B$44),G1511*Q1511))*IF(Inputs!$B$39="pvp",1,1+(Inputs!$B$20+0+Skills!P13+B1533+(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Hunt"),CHOOSE(ArtifactsInput!$N$35+1,15,18,21,24,27,30)*(1-EXP(-(0.2*B1536)*5)),0)+IF(AND(ArtifactsInput!$M$22,Inputs!$B$4&lt;&gt;"Chapter Hunt"),CHOOSE(ArtifactsInput!$N$22+1,10,12,14,16,18,20)*((0*(((0.15*B1536*5))^0/1)+1*(((0.15*B1536*5))^1/1)+2*(((0.15*B1536*5))^2/2)+3*(((0.15*B1536*5))^3/6)+4*(((0.15*B1536*5))^4/24)+5*(((0.15*B1536*5))^5/120))/((((0.15*B1536*5))^0/1)+(((0.15*B1536*5))^1/1)+(((0.15*B1536*5))^2/2)+(((0.15*B1536*5))^3/6)+(((0.15*B1536*5))^4/24)+(((0.15*B1536*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1511*(1-MIN(100,(Inputs!$B$9+((C1524=TRUE)*(F1524-Calc!F26))+B1532+(ArtifactsInput!$M$24-ArtifactsInput!$M$24)*CHOOSE(ArtifactsInput!$N$24+1,10,12,14,16,18,20)+(IF(AND(Inputs!$B$39&lt;&gt;"pvp",Inputs!$B$44=0),1,IF(IF(Inputs!$B$39="pvp",15,Inputs!$B$44)-(B1543)&lt;=0,1,MAX(0,IF(Inputs!$B$39="pvp",15,Inputs!$B$44)-MAX(5,B1543))/(IF(Inputs!$B$39="pvp",15,Inputs!$B$44)-(B1543))))*IF(AND(ArtifactsInput!$M$42,((Inputs!$B$9+((C1524=TRUE)*(F1524-Calc!F26))+B1532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1511*(MIN(100,(Inputs!$B$9+((C1524=TRUE)*(F1524-Calc!F26))+B1532+(ArtifactsInput!$M$24-ArtifactsInput!$M$24)*CHOOSE(ArtifactsInput!$N$24+1,10,12,14,16,18,20)+(IF(AND(Inputs!$B$39&lt;&gt;"pvp",Inputs!$B$44=0),1,IF(IF(Inputs!$B$39="pvp",15,Inputs!$B$44)-(B1543)&lt;=0,1,MAX(0,IF(Inputs!$B$39="pvp",15,Inputs!$B$44)-MAX(5,B1543))/(IF(Inputs!$B$39="pvp",15,Inputs!$B$44)-(B1543))))*IF(AND(ArtifactsInput!$M$42,((Inputs!$B$9+((C1524=TRUE)*(F1524-Calc!F26))+B1532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1511*(1-MIN(100,(Inputs!$B$9+((C1524=TRUE)*(F1524-Calc!F26))+B1532+(ArtifactsInput!$M$24-ArtifactsInput!$M$24)*CHOOSE(ArtifactsInput!$N$24+1,10,12,14,16,18,20)+(IF(AND(Inputs!$B$39&lt;&gt;"pvp",Inputs!$B$44=0),1,IF(IF(Inputs!$B$39="pvp",15,Inputs!$B$44)-(B1543)&lt;=0,1,MAX(0,IF(Inputs!$B$39="pvp",15,Inputs!$B$44)-MAX(5,B1543))/(IF(Inputs!$B$39="pvp",15,Inputs!$B$44)-(B1543))))*IF(AND(ArtifactsInput!$M$42,((Inputs!$B$9+((C1524=TRUE)*(F1524-Calc!F26))+B1532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1511*(MIN(100,(Inputs!$B$9+((C1524=TRUE)*(F1524-Calc!F26))+B1532+(ArtifactsInput!$M$24-ArtifactsInput!$M$24)*CHOOSE(ArtifactsInput!$N$24+1,10,12,14,16,18,20)+(IF(AND(Inputs!$B$39&lt;&gt;"pvp",Inputs!$B$44=0),1,IF(IF(Inputs!$B$39="pvp",15,Inputs!$B$44)-(B1543)&lt;=0,1,MAX(0,IF(Inputs!$B$39="pvp",15,Inputs!$B$44)-MAX(5,B1543))/(IF(Inputs!$B$39="pvp",15,Inputs!$B$44)-(B1543))))*IF(AND(ArtifactsInput!$M$42,((Inputs!$B$9+((C1524=TRUE)*(F1524-Calc!F26))+B1532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1511">
        <f>IF(C1511,(H1511*N1511*IF(AND(Inputs!$B$39&lt;&gt;"pvp",Inputs!$B$44&gt;0),((Skills!G13*((R1511-1)*IF(Skills!H13&gt;0,Skills!I13/Skills!H13,1)+IF(Skills!H13&gt;0,MIN(Skills!I13,MAX(0,MAX(0,Inputs!$B$44-B1543)-((R1511-1)*IF(Inputs!$B$39="pvp",15,MAX(0.1,Skills!D13-IF(TRUE=TRUE,Inputs!$B$32,0))))))/Skills!H13,1)))/Inputs!$B$44),G1511*Q1511))*IF(Inputs!$B$39="pvp",1,(1+(Inputs!$B$21+Skills!Q13+B1533+(IF(ArtifactsInput!$M$33,CHOOSE(ArtifactsInput!$N$33+1,30,36,42,48,54,60),0))+(IF(AND(ArtifactsInput!$M$35,Inputs!$B$4&lt;&gt;"Chapter Hunt"),CHOOSE(ArtifactsInput!$N$35+1,15,18,21,24,27,30)*(1-EXP(-(0.2*B1536)*5)),0)+IF(AND(ArtifactsInput!$M$22,Inputs!$B$4&lt;&gt;"Chapter Hunt"),CHOOSE(ArtifactsInput!$N$22+1,10,12,14,16,18,20)*((0*(((0.15*B1536*5))^0/1)+1*(((0.15*B1536*5))^1/1)+2*(((0.15*B1536*5))^2/2)+3*(((0.15*B1536*5))^3/6)+4*(((0.15*B1536*5))^4/24)+5*(((0.15*B1536*5))^5/120))/((((0.15*B1536*5))^0/1)+(((0.15*B1536*5))^1/1)+(((0.15*B1536*5))^2/2)+(((0.15*B1536*5))^3/6)+(((0.15*B1536*5))^4/24)+(((0.15*B1536*5))^5/120))),0)))/100)*(MIN(Skills!W13,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512">
      <c r="A1512">
        <f>Skills!A14</f>
        <v/>
      </c>
      <c r="B1512">
        <f>Skills!B14</f>
        <v/>
      </c>
      <c r="C1512">
        <f>Inputs!$B$3&gt;=105</f>
        <v/>
      </c>
      <c r="D1512">
        <f>IF(Skills!C14=1,60+Inputs!$B$25+Inputs!$B$29,IF(Skills!C14=2,90+Inputs!$B$26+Inputs!$B$29,IF(Skills!C14=3,120+Inputs!$B$27+Inputs!$B$29,MAX(0,(Inputs!$B$3-100)*3)+Inputs!$B$28+Inputs!$B$29)))</f>
        <v/>
      </c>
      <c r="E1512">
        <f>INDEX(FactorTable!$B$2:$Y$301, MATCH(ROUND(MIN(300,MAX(1,D1512)),0), FactorTable!$A$2:$A$301,0), Skills!M14+1)</f>
        <v/>
      </c>
      <c r="F1512">
        <f>IF(Skills!N14=TRUE,(Skills!L14/10)*(E1512/1000),Skills!L14/10)+Skills!O14</f>
        <v/>
      </c>
      <c r="G1512">
        <f>Skills!G14*IF(Skills!H14&gt;0,IF(Inputs!$B$39="pvp",MIN(Skills!I14,15),Skills!I14)/Skills!H14,1)</f>
        <v/>
      </c>
      <c r="H1512">
        <f>1-(1-Skills!J14/100)^Skills!K14</f>
        <v/>
      </c>
      <c r="I1512" t="inlineStr">
        <is>
          <t>1</t>
        </is>
      </c>
      <c r="J1512">
        <f>((Inputs!$B$6*(1+Inputs!$B$7/100))+(((Inputs!$B$12*(1+Inputs!$B$13/100))-(Inputs!$B$12*(1+Inputs!$B$13/100)))+0.25*(Inputs!$B$14-Inputs!$B$14))*(1+Inputs!$B$7/100))*(F1512/100)</f>
        <v/>
      </c>
      <c r="K1512">
        <f>J1512*(1+((Inputs!$B$12*(1+Inputs!$B$13/100))*0.01+Inputs!$B$14*0.0025)/100)*(1+Inputs!$B$15/100)*(1+Inputs!$B$16/100)*(5000/(6000+Inputs!$B$43*(1-(100*(1-(1-Inputs!$B$19/100)*(1-CHOOSE(ArtifactsInput!$N$40+1,5,6,7,8,9,10)/100)^(ArtifactsInput!$M$40-ArtifactsInput!$M$40)))/100)))*(1+(Inputs!$B$24+((C1529=TRUE)*(F1529-Calc!F31))+((C1516=TRUE)*(F1516-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14="CRUEL_STAB",Inputs!$B$17+((C1526=TRUE)*(F1526-Calc!F28))+((IF(AND(Inputs!$B$39&lt;&gt;"pvp",Inputs!$B$44=0),1,IF(IF(Inputs!$B$39="pvp",15,Inputs!$B$44)-(B1543)&lt;=0,1,MAX(0,IF(Inputs!$B$39="pvp",15,Inputs!$B$44)-MAX(5,B1543))/(IF(Inputs!$B$39="pvp",15,Inputs!$B$44)-(B1543))))*(IF(AND(ArtifactsInput!$M$42,((Inputs!$B$9+((C1524=TRUE)*(F1524-Calc!F26))+B1532+(ArtifactsInput!$M$24-ArtifactsInput!$M$24)*CHOOSE(ArtifactsInput!$N$24+1,10,12,14,16,18,20)+IF(ArtifactsInput!$M$10,CHOOSE(ArtifactsInput!$N$10+1,15,18,21,24,27,30)*(IF(Inputs!$B$39="pvp",MIN(15,15)/15,IF(AND(Inputs!$B$39&lt;&gt;"pvp",Inputs!$B$44&gt;0),MIN(15,Inputs!$B$44)/(Inputs!$B$44),0))),0)))&gt;=100),MIN(100,((Inputs!$B$9+((C1524=TRUE)*(F1524-Calc!F26))+B1532+(ArtifactsInput!$M$24-ArtifactsInput!$M$24)*CHOOSE(ArtifactsInput!$N$24+1,10,12,14,16,18,20)+IF(ArtifactsInput!$M$10,CHOOSE(ArtifactsInput!$N$10+1,15,18,21,24,27,30)*(IF(Inputs!$B$39="pvp",MIN(15,15)/15,IF(AND(Inputs!$B$39&lt;&gt;"pvp",Inputs!$B$44&gt;0),MIN(15,Inputs!$B$44)/(Inputs!$B$44),0))),0)))-100),0))*CHOOSE(ArtifactsInput!$N$42+1,0.6,0.72,0.84,0.96,1.08,1.2))),Inputs!$B$18+((C1527=TRUE)*(F1527-Calc!F29))+(IF(AND(Inputs!$B$39&lt;&gt;"pvp",Inputs!$B$44=0),1,IF(IF(Inputs!$B$39="pvp",15,Inputs!$B$44)-(B1543)&lt;=0,1,MAX(0,IF(Inputs!$B$39="pvp",15,Inputs!$B$44)-MAX(5,B1543))/(IF(Inputs!$B$39="pvp",15,Inputs!$B$44)-(B1543))))*IF(AND(ArtifactsInput!$M$42,((Inputs!$B$9+((C1524=TRUE)*(F1524-Calc!F26))+B1532+(ArtifactsInput!$M$24-ArtifactsInput!$M$24)*CHOOSE(ArtifactsInput!$N$24+1,10,12,14,16,18,20)+IF(ArtifactsInput!$M$10,CHOOSE(ArtifactsInput!$N$10+1,15,18,21,24,27,30)*(IF(Inputs!$B$39="pvp",MIN(15,15)/15,IF(AND(Inputs!$B$39&lt;&gt;"pvp",Inputs!$B$44&gt;0),MIN(15,Inputs!$B$44)/(Inputs!$B$44),0))),0)))&gt;=100),CHOOSE(ArtifactsInput!$N$42+1,40,48,56,64,72,80),0))))/100)*(((1+(((C1520=TRUE)*F1520*IF(AND(Inputs!$B$39&lt;&gt;"pvp",Inputs!$B$44&gt;0),(((R1520-1)*MIN((Skills!Y22*(1+Inputs!$B$34/100)),(1/Q1520))+MIN((Skills!Y22*(1+Inputs!$B$34/100)),MAX(0,Inputs!$B$44-((R1520-1)*(1/Q1520)))))/Inputs!$B$44),IF(Inputs!$B$39="pvp",MIN((Skills!Y22*(1+Inputs!$B$34/100)),15)/15,MIN(1,(Skills!Y22*(1+Inputs!$B$34/100))/(1/Q1520)))))+((C1501=TRUE)*F1501*3)+((C1503=TRUE)*F1503*(1-EXP(-0.75*B1536*5)))+((C1522=TRUE)*(F1522-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1509=TRUE)*F1509*IF(AND(Inputs!$B$39&lt;&gt;"pvp",Inputs!$B$44&gt;0),(((R1509-1)*MIN((Skills!Y11*(1+Inputs!$B$34/100)),(1/Q1509))+MIN((Skills!Y11*(1+Inputs!$B$34/100)),MAX(0,Inputs!$B$44-((R1509-1)*(1/Q1509)))))/Inputs!$B$44),IF(Inputs!$B$39="pvp",MIN((Skills!Y11*(1+Inputs!$B$34/100)),15)/15,MIN(1,(Skills!Y11*(1+Inputs!$B$34/100))/(1/Q1509)))))/100)*(1+((C1514=TRUE)*F1514*IF(AND(Inputs!$B$39&lt;&gt;"pvp",Inputs!$B$44&gt;0),(((R1514-1)*MIN((Skills!Y16*(1+Inputs!$B$34/100)),(1/Q1514))+MIN((Skills!Y16*(1+Inputs!$B$34/100)),MAX(0,Inputs!$B$44-((R1514-1)*(1/Q1514)))))/Inputs!$B$44),IF(Inputs!$B$39="pvp",MIN((Skills!Y16*(1+Inputs!$B$34/100)),15)/15,MIN(1,(Skills!Y16*(1+Inputs!$B$34/100))/(1/Q1514)))))/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1534*I1512)</f>
        <v/>
      </c>
      <c r="L1512">
        <f>K1512*(MIN(Inputs!$B$22+((C1523=TRUE)*(F1523-Calc!F25)),(Inputs!$B$23+((C1528=TRUE)*(F1528-Calc!F30))+IF(ArtifactsInput!$M$15,CHOOSE(ArtifactsInput!$N$15+1,25,30,35,40,45,50)/100*(Inputs!$B$11-Inputs!$B$11),0)))/100+(Inputs!$B$23+((C1528=TRUE)*(F1528-Calc!F30))+IF(ArtifactsInput!$M$15,CHOOSE(ArtifactsInput!$N$15+1,25,30,35,40,45,50)/100*(Inputs!$B$11-Inputs!$B$11),0))/100)/2</f>
        <v/>
      </c>
      <c r="M1512">
        <f>L1512*(1+(Inputs!$B$10+((C1525=TRUE)*(F1525-Calc!F27))+B1539+(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1512">
        <f>L1512*(1-MIN((Inputs!$B$9+((C1524=TRUE)*(F1524-Calc!F26))+B1532+(ArtifactsInput!$M$24-ArtifactsInput!$M$24)*CHOOSE(ArtifactsInput!$N$24+1,10,12,14,16,18,20)+(IF(AND(Inputs!$B$39&lt;&gt;"pvp",Inputs!$B$44=0),1,IF(IF(Inputs!$B$39="pvp",15,Inputs!$B$44)-(B1543)&lt;=0,1,MAX(0,IF(Inputs!$B$39="pvp",15,Inputs!$B$44)-MAX(5,B1543))/(IF(Inputs!$B$39="pvp",15,Inputs!$B$44)-(B1543))))*IF(AND(ArtifactsInput!$M$42,((Inputs!$B$9+((C1524=TRUE)*(F1524-Calc!F26))+B1532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1512*(MIN((Inputs!$B$9+((C1524=TRUE)*(F1524-Calc!F26))+B1532+(ArtifactsInput!$M$24-ArtifactsInput!$M$24)*CHOOSE(ArtifactsInput!$N$24+1,10,12,14,16,18,20)+(IF(AND(Inputs!$B$39&lt;&gt;"pvp",Inputs!$B$44=0),1,IF(IF(Inputs!$B$39="pvp",15,Inputs!$B$44)-(B1543)&lt;=0,1,MAX(0,IF(Inputs!$B$39="pvp",15,Inputs!$B$44)-MAX(5,B1543))/(IF(Inputs!$B$39="pvp",15,Inputs!$B$44)-(B1543))))*IF(AND(ArtifactsInput!$M$42,((Inputs!$B$9+((C1524=TRUE)*(F1524-Calc!F26))+B1532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512">
        <f>(1-Summary!$B$11)*T1512+Summary!$B$11*V1512</f>
        <v/>
      </c>
      <c r="P1512">
        <f>IF(B1544=0,0,O1512/B1544)</f>
        <v/>
      </c>
      <c r="Q1512">
        <f>IFERROR(1/IF(Inputs!$B$39="pvp",15,MAX(0.1,Skills!D14-IF(TRUE=TRUE,Inputs!$B$32,0))),0)</f>
        <v/>
      </c>
      <c r="R1512">
        <f>IF(AND(Inputs!$B$39&lt;&gt;"pvp",Inputs!$B$44&gt;0),IF(MAX(0,Inputs!$B$44-B1543)&lt;=0,0,(INT(MAX(0,Inputs!$B$44-B1543)/IF(Inputs!$B$39="pvp",15,MAX(0.1,Skills!D14-IF(TRUE=TRUE,Inputs!$B$32,0))))+1)),0)</f>
        <v/>
      </c>
      <c r="S1512">
        <f>IFERROR(O1512/N1512,0)</f>
        <v/>
      </c>
      <c r="T1512">
        <f>IF(C1512,(H1512*N1512*IF(AND(Inputs!$B$39&lt;&gt;"pvp",Inputs!$B$44&gt;0),((Skills!G14*((R1512-1)*IF(Skills!H14&gt;0,Skills!I14/Skills!H14,1)+IF(Skills!H14&gt;0,MIN(Skills!I14,MAX(0,MAX(0,Inputs!$B$44-B1543)-((R1512-1)*IF(Inputs!$B$39="pvp",15,MAX(0.1,Skills!D14-IF(TRUE=TRUE,Inputs!$B$32,0))))))/Skills!H14,1)))/Inputs!$B$44),G1512*Q1512))*IF(Inputs!$B$39="pvp",1,1+(Inputs!$B$20+0+Skills!P14+B1533+(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Hunt"),CHOOSE(ArtifactsInput!$N$35+1,15,18,21,24,27,30)*(1-EXP(-(0.2*B1536)*5)),0)+IF(AND(ArtifactsInput!$M$22,Inputs!$B$4&lt;&gt;"Chapter Hunt"),CHOOSE(ArtifactsInput!$N$22+1,10,12,14,16,18,20)*((0*(((0.15*B1536*5))^0/1)+1*(((0.15*B1536*5))^1/1)+2*(((0.15*B1536*5))^2/2)+3*(((0.15*B1536*5))^3/6)+4*(((0.15*B1536*5))^4/24)+5*(((0.15*B1536*5))^5/120))/((((0.15*B1536*5))^0/1)+(((0.15*B1536*5))^1/1)+(((0.15*B1536*5))^2/2)+(((0.15*B1536*5))^3/6)+(((0.15*B1536*5))^4/24)+(((0.15*B1536*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1512*(1-MIN(100,(Inputs!$B$9+((C1524=TRUE)*(F1524-Calc!F26))+B1532+(ArtifactsInput!$M$24-ArtifactsInput!$M$24)*CHOOSE(ArtifactsInput!$N$24+1,10,12,14,16,18,20)+(IF(AND(Inputs!$B$39&lt;&gt;"pvp",Inputs!$B$44=0),1,IF(IF(Inputs!$B$39="pvp",15,Inputs!$B$44)-(B1543)&lt;=0,1,MAX(0,IF(Inputs!$B$39="pvp",15,Inputs!$B$44)-MAX(5,B1543))/(IF(Inputs!$B$39="pvp",15,Inputs!$B$44)-(B1543))))*IF(AND(ArtifactsInput!$M$42,((Inputs!$B$9+((C1524=TRUE)*(F1524-Calc!F26))+B1532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1512*(MIN(100,(Inputs!$B$9+((C1524=TRUE)*(F1524-Calc!F26))+B1532+(ArtifactsInput!$M$24-ArtifactsInput!$M$24)*CHOOSE(ArtifactsInput!$N$24+1,10,12,14,16,18,20)+(IF(AND(Inputs!$B$39&lt;&gt;"pvp",Inputs!$B$44=0),1,IF(IF(Inputs!$B$39="pvp",15,Inputs!$B$44)-(B1543)&lt;=0,1,MAX(0,IF(Inputs!$B$39="pvp",15,Inputs!$B$44)-MAX(5,B1543))/(IF(Inputs!$B$39="pvp",15,Inputs!$B$44)-(B1543))))*IF(AND(ArtifactsInput!$M$42,((Inputs!$B$9+((C1524=TRUE)*(F1524-Calc!F26))+B1532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1512*(1-MIN(100,(Inputs!$B$9+((C1524=TRUE)*(F1524-Calc!F26))+B1532+(ArtifactsInput!$M$24-ArtifactsInput!$M$24)*CHOOSE(ArtifactsInput!$N$24+1,10,12,14,16,18,20)+(IF(AND(Inputs!$B$39&lt;&gt;"pvp",Inputs!$B$44=0),1,IF(IF(Inputs!$B$39="pvp",15,Inputs!$B$44)-(B1543)&lt;=0,1,MAX(0,IF(Inputs!$B$39="pvp",15,Inputs!$B$44)-MAX(5,B1543))/(IF(Inputs!$B$39="pvp",15,Inputs!$B$44)-(B1543))))*IF(AND(ArtifactsInput!$M$42,((Inputs!$B$9+((C1524=TRUE)*(F1524-Calc!F26))+B1532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1512*(MIN(100,(Inputs!$B$9+((C1524=TRUE)*(F1524-Calc!F26))+B1532+(ArtifactsInput!$M$24-ArtifactsInput!$M$24)*CHOOSE(ArtifactsInput!$N$24+1,10,12,14,16,18,20)+(IF(AND(Inputs!$B$39&lt;&gt;"pvp",Inputs!$B$44=0),1,IF(IF(Inputs!$B$39="pvp",15,Inputs!$B$44)-(B1543)&lt;=0,1,MAX(0,IF(Inputs!$B$39="pvp",15,Inputs!$B$44)-MAX(5,B1543))/(IF(Inputs!$B$39="pvp",15,Inputs!$B$44)-(B1543))))*IF(AND(ArtifactsInput!$M$42,((Inputs!$B$9+((C1524=TRUE)*(F1524-Calc!F26))+B1532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1512">
        <f>IF(C1512,(H1512*N1512*IF(AND(Inputs!$B$39&lt;&gt;"pvp",Inputs!$B$44&gt;0),((Skills!G14*((R1512-1)*IF(Skills!H14&gt;0,Skills!I14/Skills!H14,1)+IF(Skills!H14&gt;0,MIN(Skills!I14,MAX(0,MAX(0,Inputs!$B$44-B1543)-((R1512-1)*IF(Inputs!$B$39="pvp",15,MAX(0.1,Skills!D14-IF(TRUE=TRUE,Inputs!$B$32,0))))))/Skills!H14,1)))/Inputs!$B$44),G1512*Q1512))*IF(Inputs!$B$39="pvp",1,(1+(Inputs!$B$21+Skills!Q14+B1533+(IF(ArtifactsInput!$M$33,CHOOSE(ArtifactsInput!$N$33+1,30,36,42,48,54,60),0))+(IF(AND(ArtifactsInput!$M$35,Inputs!$B$4&lt;&gt;"Chapter Hunt"),CHOOSE(ArtifactsInput!$N$35+1,15,18,21,24,27,30)*(1-EXP(-(0.2*B1536)*5)),0)+IF(AND(ArtifactsInput!$M$22,Inputs!$B$4&lt;&gt;"Chapter Hunt"),CHOOSE(ArtifactsInput!$N$22+1,10,12,14,16,18,20)*((0*(((0.15*B1536*5))^0/1)+1*(((0.15*B1536*5))^1/1)+2*(((0.15*B1536*5))^2/2)+3*(((0.15*B1536*5))^3/6)+4*(((0.15*B1536*5))^4/24)+5*(((0.15*B1536*5))^5/120))/((((0.15*B1536*5))^0/1)+(((0.15*B1536*5))^1/1)+(((0.15*B1536*5))^2/2)+(((0.15*B1536*5))^3/6)+(((0.15*B1536*5))^4/24)+(((0.15*B1536*5))^5/120))),0)))/100)*(MIN(Skills!W14,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513">
      <c r="A1513">
        <f>Skills!A15</f>
        <v/>
      </c>
      <c r="B1513">
        <f>Skills!B15</f>
        <v/>
      </c>
      <c r="C1513">
        <f>Inputs!$B$3&gt;=107</f>
        <v/>
      </c>
      <c r="D1513">
        <f>IF(Skills!C15=1,60+Inputs!$B$25+Inputs!$B$29,IF(Skills!C15=2,90+Inputs!$B$26+Inputs!$B$29,IF(Skills!C15=3,120+Inputs!$B$27+Inputs!$B$29,MAX(0,(Inputs!$B$3-100)*3)+Inputs!$B$28+Inputs!$B$29)))</f>
        <v/>
      </c>
      <c r="E1513">
        <f>INDEX(FactorTable!$B$2:$Y$301, MATCH(ROUND(MIN(300,MAX(1,D1513)),0), FactorTable!$A$2:$A$301,0), Skills!M15+1)</f>
        <v/>
      </c>
      <c r="F1513">
        <f>IF(Skills!N15=TRUE,(Skills!L15/10)*(E1513/1000),Skills!L15/10)+Skills!O15</f>
        <v/>
      </c>
      <c r="G1513">
        <f>Skills!G15*IF(Skills!H15&gt;0,IF(Inputs!$B$39="pvp",MIN(Skills!I15,15),Skills!I15)/Skills!H15,1)</f>
        <v/>
      </c>
      <c r="H1513">
        <f>1-(1-Skills!J15/100)^Skills!K15</f>
        <v/>
      </c>
      <c r="I1513" t="inlineStr">
        <is>
          <t>1</t>
        </is>
      </c>
      <c r="J1513">
        <f>((Inputs!$B$6*(1+Inputs!$B$7/100))+(((Inputs!$B$12*(1+Inputs!$B$13/100))-(Inputs!$B$12*(1+Inputs!$B$13/100)))+0.25*(Inputs!$B$14-Inputs!$B$14))*(1+Inputs!$B$7/100))*(F1513/100)</f>
        <v/>
      </c>
      <c r="K1513">
        <f>J1513*(1+((Inputs!$B$12*(1+Inputs!$B$13/100))*0.01+Inputs!$B$14*0.0025)/100)*(1+Inputs!$B$15/100)*(1+Inputs!$B$16/100)*(5000/(6000+Inputs!$B$43*(1-(100*(1-(1-Inputs!$B$19/100)*(1-CHOOSE(ArtifactsInput!$N$40+1,5,6,7,8,9,10)/100)^(ArtifactsInput!$M$40-ArtifactsInput!$M$40)))/100)))*(1+(Inputs!$B$24+((C1529=TRUE)*(F1529-Calc!F31))+((C1516=TRUE)*(F1516-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15="CRUEL_STAB",Inputs!$B$17+((C1526=TRUE)*(F1526-Calc!F28))+((IF(AND(Inputs!$B$39&lt;&gt;"pvp",Inputs!$B$44=0),1,IF(IF(Inputs!$B$39="pvp",15,Inputs!$B$44)-(B1543)&lt;=0,1,MAX(0,IF(Inputs!$B$39="pvp",15,Inputs!$B$44)-MAX(5,B1543))/(IF(Inputs!$B$39="pvp",15,Inputs!$B$44)-(B1543))))*(IF(AND(ArtifactsInput!$M$42,((Inputs!$B$9+((C1524=TRUE)*(F1524-Calc!F26))+B1532+(ArtifactsInput!$M$24-ArtifactsInput!$M$24)*CHOOSE(ArtifactsInput!$N$24+1,10,12,14,16,18,20)+IF(ArtifactsInput!$M$10,CHOOSE(ArtifactsInput!$N$10+1,15,18,21,24,27,30)*(IF(Inputs!$B$39="pvp",MIN(15,15)/15,IF(AND(Inputs!$B$39&lt;&gt;"pvp",Inputs!$B$44&gt;0),MIN(15,Inputs!$B$44)/(Inputs!$B$44),0))),0)))&gt;=100),MIN(100,((Inputs!$B$9+((C1524=TRUE)*(F1524-Calc!F26))+B1532+(ArtifactsInput!$M$24-ArtifactsInput!$M$24)*CHOOSE(ArtifactsInput!$N$24+1,10,12,14,16,18,20)+IF(ArtifactsInput!$M$10,CHOOSE(ArtifactsInput!$N$10+1,15,18,21,24,27,30)*(IF(Inputs!$B$39="pvp",MIN(15,15)/15,IF(AND(Inputs!$B$39&lt;&gt;"pvp",Inputs!$B$44&gt;0),MIN(15,Inputs!$B$44)/(Inputs!$B$44),0))),0)))-100),0))*CHOOSE(ArtifactsInput!$N$42+1,0.6,0.72,0.84,0.96,1.08,1.2))),Inputs!$B$18+((C1527=TRUE)*(F1527-Calc!F29))+(IF(AND(Inputs!$B$39&lt;&gt;"pvp",Inputs!$B$44=0),1,IF(IF(Inputs!$B$39="pvp",15,Inputs!$B$44)-(B1543)&lt;=0,1,MAX(0,IF(Inputs!$B$39="pvp",15,Inputs!$B$44)-MAX(5,B1543))/(IF(Inputs!$B$39="pvp",15,Inputs!$B$44)-(B1543))))*IF(AND(ArtifactsInput!$M$42,((Inputs!$B$9+((C1524=TRUE)*(F1524-Calc!F26))+B1532+(ArtifactsInput!$M$24-ArtifactsInput!$M$24)*CHOOSE(ArtifactsInput!$N$24+1,10,12,14,16,18,20)+IF(ArtifactsInput!$M$10,CHOOSE(ArtifactsInput!$N$10+1,15,18,21,24,27,30)*(IF(Inputs!$B$39="pvp",MIN(15,15)/15,IF(AND(Inputs!$B$39&lt;&gt;"pvp",Inputs!$B$44&gt;0),MIN(15,Inputs!$B$44)/(Inputs!$B$44),0))),0)))&gt;=100),CHOOSE(ArtifactsInput!$N$42+1,40,48,56,64,72,80),0))))/100)*(((1+(((C1520=TRUE)*F1520*IF(AND(Inputs!$B$39&lt;&gt;"pvp",Inputs!$B$44&gt;0),(((R1520-1)*MIN((Skills!Y22*(1+Inputs!$B$34/100)),(1/Q1520))+MIN((Skills!Y22*(1+Inputs!$B$34/100)),MAX(0,Inputs!$B$44-((R1520-1)*(1/Q1520)))))/Inputs!$B$44),IF(Inputs!$B$39="pvp",MIN((Skills!Y22*(1+Inputs!$B$34/100)),15)/15,MIN(1,(Skills!Y22*(1+Inputs!$B$34/100))/(1/Q1520)))))+((C1501=TRUE)*F1501*3)+((C1503=TRUE)*F1503*(1-EXP(-0.75*B1536*5)))+((C1522=TRUE)*(F1522-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1509=TRUE)*F1509*IF(AND(Inputs!$B$39&lt;&gt;"pvp",Inputs!$B$44&gt;0),(((R1509-1)*MIN((Skills!Y11*(1+Inputs!$B$34/100)),(1/Q1509))+MIN((Skills!Y11*(1+Inputs!$B$34/100)),MAX(0,Inputs!$B$44-((R1509-1)*(1/Q1509)))))/Inputs!$B$44),IF(Inputs!$B$39="pvp",MIN((Skills!Y11*(1+Inputs!$B$34/100)),15)/15,MIN(1,(Skills!Y11*(1+Inputs!$B$34/100))/(1/Q1509)))))/100)*(1+((C1514=TRUE)*F1514*IF(AND(Inputs!$B$39&lt;&gt;"pvp",Inputs!$B$44&gt;0),(((R1514-1)*MIN((Skills!Y16*(1+Inputs!$B$34/100)),(1/Q1514))+MIN((Skills!Y16*(1+Inputs!$B$34/100)),MAX(0,Inputs!$B$44-((R1514-1)*(1/Q1514)))))/Inputs!$B$44),IF(Inputs!$B$39="pvp",MIN((Skills!Y16*(1+Inputs!$B$34/100)),15)/15,MIN(1,(Skills!Y16*(1+Inputs!$B$34/100))/(1/Q1514)))))/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1534*I1513)</f>
        <v/>
      </c>
      <c r="L1513">
        <f>K1513*(MIN(Inputs!$B$22+((C1523=TRUE)*(F1523-Calc!F25)),(Inputs!$B$23+((C1528=TRUE)*(F1528-Calc!F30))+IF(ArtifactsInput!$M$15,CHOOSE(ArtifactsInput!$N$15+1,25,30,35,40,45,50)/100*(Inputs!$B$11-Inputs!$B$11),0)))/100+(Inputs!$B$23+((C1528=TRUE)*(F1528-Calc!F30))+IF(ArtifactsInput!$M$15,CHOOSE(ArtifactsInput!$N$15+1,25,30,35,40,45,50)/100*(Inputs!$B$11-Inputs!$B$11),0))/100)/2</f>
        <v/>
      </c>
      <c r="M1513">
        <f>L1513*(1+(Inputs!$B$10+((C1525=TRUE)*(F1525-Calc!F27))+B1539+(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1513">
        <f>L1513*(1-MIN((Inputs!$B$9+((C1524=TRUE)*(F1524-Calc!F26))+B1532+(ArtifactsInput!$M$24-ArtifactsInput!$M$24)*CHOOSE(ArtifactsInput!$N$24+1,10,12,14,16,18,20)+(IF(AND(Inputs!$B$39&lt;&gt;"pvp",Inputs!$B$44=0),1,IF(IF(Inputs!$B$39="pvp",15,Inputs!$B$44)-(B1543)&lt;=0,1,MAX(0,IF(Inputs!$B$39="pvp",15,Inputs!$B$44)-MAX(5,B1543))/(IF(Inputs!$B$39="pvp",15,Inputs!$B$44)-(B1543))))*IF(AND(ArtifactsInput!$M$42,((Inputs!$B$9+((C1524=TRUE)*(F1524-Calc!F26))+B1532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1513*(MIN((Inputs!$B$9+((C1524=TRUE)*(F1524-Calc!F26))+B1532+(ArtifactsInput!$M$24-ArtifactsInput!$M$24)*CHOOSE(ArtifactsInput!$N$24+1,10,12,14,16,18,20)+(IF(AND(Inputs!$B$39&lt;&gt;"pvp",Inputs!$B$44=0),1,IF(IF(Inputs!$B$39="pvp",15,Inputs!$B$44)-(B1543)&lt;=0,1,MAX(0,IF(Inputs!$B$39="pvp",15,Inputs!$B$44)-MAX(5,B1543))/(IF(Inputs!$B$39="pvp",15,Inputs!$B$44)-(B1543))))*IF(AND(ArtifactsInput!$M$42,((Inputs!$B$9+((C1524=TRUE)*(F1524-Calc!F26))+B1532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513">
        <f>(1-Summary!$B$11)*T1513+Summary!$B$11*V1513</f>
        <v/>
      </c>
      <c r="P1513">
        <f>IF(B1544=0,0,O1513/B1544)</f>
        <v/>
      </c>
      <c r="Q1513">
        <f>IFERROR(1/IF(Inputs!$B$39="pvp",15,MAX(0.1,Skills!D15-IF(TRUE=TRUE,Inputs!$B$32,0))),0)</f>
        <v/>
      </c>
      <c r="R1513">
        <f>IF(AND(Inputs!$B$39&lt;&gt;"pvp",Inputs!$B$44&gt;0),IF(MAX(0,Inputs!$B$44-B1543)&lt;=0,0,(INT(MAX(0,Inputs!$B$44-B1543)/IF(Inputs!$B$39="pvp",15,MAX(0.1,Skills!D15-IF(TRUE=TRUE,Inputs!$B$32,0))))+1)),0)</f>
        <v/>
      </c>
      <c r="S1513">
        <f>IFERROR(O1513/N1513,0)</f>
        <v/>
      </c>
      <c r="T1513">
        <f>IF(C1513,(H1513*N1513*IF(AND(Inputs!$B$39&lt;&gt;"pvp",Inputs!$B$44&gt;0),((Skills!G15*((R1513-1)*IF(Skills!H15&gt;0,Skills!I15/Skills!H15,1)+IF(Skills!H15&gt;0,MIN(Skills!I15,MAX(0,MAX(0,Inputs!$B$44-B1543)-((R1513-1)*IF(Inputs!$B$39="pvp",15,MAX(0.1,Skills!D15-IF(TRUE=TRUE,Inputs!$B$32,0))))))/Skills!H15,1)))/Inputs!$B$44),G1513*Q1513))*IF(Inputs!$B$39="pvp",1,1+(Inputs!$B$20+0+Skills!P15+B1533+(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Hunt"),CHOOSE(ArtifactsInput!$N$35+1,15,18,21,24,27,30)*(1-EXP(-(0.2*B1536)*5)),0)+IF(AND(ArtifactsInput!$M$22,Inputs!$B$4&lt;&gt;"Chapter Hunt"),CHOOSE(ArtifactsInput!$N$22+1,10,12,14,16,18,20)*((0*(((0.15*B1536*5))^0/1)+1*(((0.15*B1536*5))^1/1)+2*(((0.15*B1536*5))^2/2)+3*(((0.15*B1536*5))^3/6)+4*(((0.15*B1536*5))^4/24)+5*(((0.15*B1536*5))^5/120))/((((0.15*B1536*5))^0/1)+(((0.15*B1536*5))^1/1)+(((0.15*B1536*5))^2/2)+(((0.15*B1536*5))^3/6)+(((0.15*B1536*5))^4/24)+(((0.15*B1536*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1513*(1-MIN(100,(Inputs!$B$9+((C1524=TRUE)*(F1524-Calc!F26))+B1532+(ArtifactsInput!$M$24-ArtifactsInput!$M$24)*CHOOSE(ArtifactsInput!$N$24+1,10,12,14,16,18,20)+(IF(AND(Inputs!$B$39&lt;&gt;"pvp",Inputs!$B$44=0),1,IF(IF(Inputs!$B$39="pvp",15,Inputs!$B$44)-(B1543)&lt;=0,1,MAX(0,IF(Inputs!$B$39="pvp",15,Inputs!$B$44)-MAX(5,B1543))/(IF(Inputs!$B$39="pvp",15,Inputs!$B$44)-(B1543))))*IF(AND(ArtifactsInput!$M$42,((Inputs!$B$9+((C1524=TRUE)*(F1524-Calc!F26))+B1532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1513*(MIN(100,(Inputs!$B$9+((C1524=TRUE)*(F1524-Calc!F26))+B1532+(ArtifactsInput!$M$24-ArtifactsInput!$M$24)*CHOOSE(ArtifactsInput!$N$24+1,10,12,14,16,18,20)+(IF(AND(Inputs!$B$39&lt;&gt;"pvp",Inputs!$B$44=0),1,IF(IF(Inputs!$B$39="pvp",15,Inputs!$B$44)-(B1543)&lt;=0,1,MAX(0,IF(Inputs!$B$39="pvp",15,Inputs!$B$44)-MAX(5,B1543))/(IF(Inputs!$B$39="pvp",15,Inputs!$B$44)-(B1543))))*IF(AND(ArtifactsInput!$M$42,((Inputs!$B$9+((C1524=TRUE)*(F1524-Calc!F26))+B1532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1513*(1-MIN(100,(Inputs!$B$9+((C1524=TRUE)*(F1524-Calc!F26))+B1532+(ArtifactsInput!$M$24-ArtifactsInput!$M$24)*CHOOSE(ArtifactsInput!$N$24+1,10,12,14,16,18,20)+(IF(AND(Inputs!$B$39&lt;&gt;"pvp",Inputs!$B$44=0),1,IF(IF(Inputs!$B$39="pvp",15,Inputs!$B$44)-(B1543)&lt;=0,1,MAX(0,IF(Inputs!$B$39="pvp",15,Inputs!$B$44)-MAX(5,B1543))/(IF(Inputs!$B$39="pvp",15,Inputs!$B$44)-(B1543))))*IF(AND(ArtifactsInput!$M$42,((Inputs!$B$9+((C1524=TRUE)*(F1524-Calc!F26))+B1532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1513*(MIN(100,(Inputs!$B$9+((C1524=TRUE)*(F1524-Calc!F26))+B1532+(ArtifactsInput!$M$24-ArtifactsInput!$M$24)*CHOOSE(ArtifactsInput!$N$24+1,10,12,14,16,18,20)+(IF(AND(Inputs!$B$39&lt;&gt;"pvp",Inputs!$B$44=0),1,IF(IF(Inputs!$B$39="pvp",15,Inputs!$B$44)-(B1543)&lt;=0,1,MAX(0,IF(Inputs!$B$39="pvp",15,Inputs!$B$44)-MAX(5,B1543))/(IF(Inputs!$B$39="pvp",15,Inputs!$B$44)-(B1543))))*IF(AND(ArtifactsInput!$M$42,((Inputs!$B$9+((C1524=TRUE)*(F1524-Calc!F26))+B1532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1513">
        <f>IF(C1513,(H1513*N1513*IF(AND(Inputs!$B$39&lt;&gt;"pvp",Inputs!$B$44&gt;0),((Skills!G15*((R1513-1)*IF(Skills!H15&gt;0,Skills!I15/Skills!H15,1)+IF(Skills!H15&gt;0,MIN(Skills!I15,MAX(0,MAX(0,Inputs!$B$44-B1543)-((R1513-1)*IF(Inputs!$B$39="pvp",15,MAX(0.1,Skills!D15-IF(TRUE=TRUE,Inputs!$B$32,0))))))/Skills!H15,1)))/Inputs!$B$44),G1513*Q1513))*IF(Inputs!$B$39="pvp",1,(1+(Inputs!$B$21+Skills!Q15+B1533+(IF(ArtifactsInput!$M$33,CHOOSE(ArtifactsInput!$N$33+1,30,36,42,48,54,60),0))+(IF(AND(ArtifactsInput!$M$35,Inputs!$B$4&lt;&gt;"Chapter Hunt"),CHOOSE(ArtifactsInput!$N$35+1,15,18,21,24,27,30)*(1-EXP(-(0.2*B1536)*5)),0)+IF(AND(ArtifactsInput!$M$22,Inputs!$B$4&lt;&gt;"Chapter Hunt"),CHOOSE(ArtifactsInput!$N$22+1,10,12,14,16,18,20)*((0*(((0.15*B1536*5))^0/1)+1*(((0.15*B1536*5))^1/1)+2*(((0.15*B1536*5))^2/2)+3*(((0.15*B1536*5))^3/6)+4*(((0.15*B1536*5))^4/24)+5*(((0.15*B1536*5))^5/120))/((((0.15*B1536*5))^0/1)+(((0.15*B1536*5))^1/1)+(((0.15*B1536*5))^2/2)+(((0.15*B1536*5))^3/6)+(((0.15*B1536*5))^4/24)+(((0.15*B1536*5))^5/120))),0)))/100)*(MIN(MIN(5,0.5*IF(Inputs!$B$3&gt;=75,0.75,0.5)*B1536*(1/Q1502))*Skills!V15,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514">
      <c r="A1514">
        <f>Skills!A16</f>
        <v/>
      </c>
      <c r="B1514">
        <f>Skills!B16</f>
        <v/>
      </c>
      <c r="C1514">
        <f>Inputs!$B$3&gt;=110</f>
        <v/>
      </c>
      <c r="D1514">
        <f>IF(Skills!C16=1,60+Inputs!$B$25+Inputs!$B$29,IF(Skills!C16=2,90+Inputs!$B$26+Inputs!$B$29,IF(Skills!C16=3,120+Inputs!$B$27+Inputs!$B$29,MAX(0,(Inputs!$B$3-100)*3)+Inputs!$B$28+Inputs!$B$29)))</f>
        <v/>
      </c>
      <c r="E1514">
        <f>INDEX(FactorTable!$B$2:$Y$301, MATCH(ROUND(MIN(300,MAX(1,D1514)),0), FactorTable!$A$2:$A$301,0), Skills!M16+1)</f>
        <v/>
      </c>
      <c r="F1514">
        <f>IF(Skills!N16=TRUE,(Skills!L16/10)*(E1514/1000),Skills!L16/10)+Skills!O16</f>
        <v/>
      </c>
      <c r="G1514">
        <f>Skills!G16*IF(Skills!H16&gt;0,IF(Inputs!$B$39="pvp",MIN(Skills!I16,15),Skills!I16)/Skills!H16,1)</f>
        <v/>
      </c>
      <c r="H1514">
        <f>1-(1-Skills!J16/100)^Skills!K16</f>
        <v/>
      </c>
      <c r="I1514" t="inlineStr">
        <is>
          <t>1</t>
        </is>
      </c>
      <c r="J1514" t="inlineStr"/>
      <c r="K1514" t="inlineStr"/>
      <c r="L1514" t="inlineStr"/>
      <c r="M1514" t="inlineStr"/>
      <c r="N1514" t="inlineStr"/>
      <c r="O1514">
        <f>(1-Summary!$B$11)*T1514+Summary!$B$11*V1514</f>
        <v/>
      </c>
      <c r="P1514">
        <f>IF(B1544=0,0,O1514/B1544)</f>
        <v/>
      </c>
      <c r="Q1514">
        <f>IFERROR(1/IF(Inputs!$B$39="pvp",15,MAX(0.1,Skills!D16-IF(TRUE=TRUE,Inputs!$B$32,0))),0)</f>
        <v/>
      </c>
      <c r="R1514">
        <f>IF(AND(Inputs!$B$39&lt;&gt;"pvp",Inputs!$B$44&gt;0),IF(Inputs!$B$44&lt;=0,0,(INT(Inputs!$B$44/IF(Inputs!$B$39="pvp",15,MAX(0.1,Skills!D16-IF(TRUE=TRUE,Inputs!$B$32,0))))+1)),0)</f>
        <v/>
      </c>
      <c r="S1514">
        <f>IFERROR(O1514/N1514,0)</f>
        <v/>
      </c>
      <c r="T1514" t="n">
        <v>0</v>
      </c>
      <c r="V1514" t="n">
        <v>0</v>
      </c>
    </row>
    <row r="1515">
      <c r="A1515">
        <f>Skills!A17</f>
        <v/>
      </c>
      <c r="B1515">
        <f>Skills!B17</f>
        <v/>
      </c>
      <c r="C1515">
        <f>Inputs!$B$3&gt;=115</f>
        <v/>
      </c>
      <c r="D1515">
        <f>IF(Skills!C17=1,60+Inputs!$B$25+Inputs!$B$29,IF(Skills!C17=2,90+Inputs!$B$26+Inputs!$B$29,IF(Skills!C17=3,120+Inputs!$B$27+Inputs!$B$29,MAX(0,(Inputs!$B$3-100)*3)+Inputs!$B$28+Inputs!$B$29)))</f>
        <v/>
      </c>
      <c r="E1515">
        <f>INDEX(FactorTable!$B$2:$Y$301, MATCH(ROUND(MIN(300,MAX(1,D1515)),0), FactorTable!$A$2:$A$301,0), Skills!M17+1)</f>
        <v/>
      </c>
      <c r="F1515">
        <f>IF(Skills!N17=TRUE,(Skills!L17/10)*(E1515/1000),Skills!L17/10)+Skills!O17</f>
        <v/>
      </c>
      <c r="G1515">
        <f>Skills!G17*IF(Skills!H17&gt;0,IF(Inputs!$B$39="pvp",MIN(Skills!I17,15),Skills!I17)/Skills!H17,1)</f>
        <v/>
      </c>
      <c r="H1515">
        <f>1-(1-Skills!J17/100)^Skills!K17</f>
        <v/>
      </c>
      <c r="I1515" t="inlineStr">
        <is>
          <t>1</t>
        </is>
      </c>
      <c r="J1515">
        <f>((Inputs!$B$6*(1+Inputs!$B$7/100))+(((Inputs!$B$12*(1+Inputs!$B$13/100))-(Inputs!$B$12*(1+Inputs!$B$13/100)))+0.25*(Inputs!$B$14-Inputs!$B$14))*(1+Inputs!$B$7/100))*(F1515/100)</f>
        <v/>
      </c>
      <c r="K1515">
        <f>J1515*(1+((Inputs!$B$12*(1+Inputs!$B$13/100))*0.01+Inputs!$B$14*0.0025)/100)*(1+Inputs!$B$15/100)*(1+Inputs!$B$16/100)*(5000/(6000+Inputs!$B$43*(1-(100*(1-(1-Inputs!$B$19/100)*(1-CHOOSE(ArtifactsInput!$N$40+1,5,6,7,8,9,10)/100)^(ArtifactsInput!$M$40-ArtifactsInput!$M$40)))/100)))*(1+(Inputs!$B$24+((C1529=TRUE)*(F1529-Calc!F31))+((C1516=TRUE)*(F1516-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17="CRUEL_STAB",Inputs!$B$17+((C1526=TRUE)*(F1526-Calc!F28))+((IF(AND(Inputs!$B$39&lt;&gt;"pvp",Inputs!$B$44=0),1,IF(IF(Inputs!$B$39="pvp",15,Inputs!$B$44)-(B1543)&lt;=0,1,MAX(0,IF(Inputs!$B$39="pvp",15,Inputs!$B$44)-MAX(5,B1543))/(IF(Inputs!$B$39="pvp",15,Inputs!$B$44)-(B1543))))*(IF(AND(ArtifactsInput!$M$42,((Inputs!$B$9+((C1524=TRUE)*(F1524-Calc!F26))+B1532+(ArtifactsInput!$M$24-ArtifactsInput!$M$24)*CHOOSE(ArtifactsInput!$N$24+1,10,12,14,16,18,20)+IF(ArtifactsInput!$M$10,CHOOSE(ArtifactsInput!$N$10+1,15,18,21,24,27,30)*(IF(Inputs!$B$39="pvp",MIN(15,15)/15,IF(AND(Inputs!$B$39&lt;&gt;"pvp",Inputs!$B$44&gt;0),MIN(15,Inputs!$B$44)/(Inputs!$B$44),0))),0)))&gt;=100),MIN(100,((Inputs!$B$9+((C1524=TRUE)*(F1524-Calc!F26))+B1532+(ArtifactsInput!$M$24-ArtifactsInput!$M$24)*CHOOSE(ArtifactsInput!$N$24+1,10,12,14,16,18,20)+IF(ArtifactsInput!$M$10,CHOOSE(ArtifactsInput!$N$10+1,15,18,21,24,27,30)*(IF(Inputs!$B$39="pvp",MIN(15,15)/15,IF(AND(Inputs!$B$39&lt;&gt;"pvp",Inputs!$B$44&gt;0),MIN(15,Inputs!$B$44)/(Inputs!$B$44),0))),0)))-100),0))*CHOOSE(ArtifactsInput!$N$42+1,0.6,0.72,0.84,0.96,1.08,1.2))),Inputs!$B$18+((C1527=TRUE)*(F1527-Calc!F29))+(IF(AND(Inputs!$B$39&lt;&gt;"pvp",Inputs!$B$44=0),1,IF(IF(Inputs!$B$39="pvp",15,Inputs!$B$44)-(B1543)&lt;=0,1,MAX(0,IF(Inputs!$B$39="pvp",15,Inputs!$B$44)-MAX(5,B1543))/(IF(Inputs!$B$39="pvp",15,Inputs!$B$44)-(B1543))))*IF(AND(ArtifactsInput!$M$42,((Inputs!$B$9+((C1524=TRUE)*(F1524-Calc!F26))+B1532+(ArtifactsInput!$M$24-ArtifactsInput!$M$24)*CHOOSE(ArtifactsInput!$N$24+1,10,12,14,16,18,20)+IF(ArtifactsInput!$M$10,CHOOSE(ArtifactsInput!$N$10+1,15,18,21,24,27,30)*(IF(Inputs!$B$39="pvp",MIN(15,15)/15,IF(AND(Inputs!$B$39&lt;&gt;"pvp",Inputs!$B$44&gt;0),MIN(15,Inputs!$B$44)/(Inputs!$B$44),0))),0)))&gt;=100),CHOOSE(ArtifactsInput!$N$42+1,40,48,56,64,72,80),0))))/100)*(((1+(((C1520=TRUE)*F1520*IF(AND(Inputs!$B$39&lt;&gt;"pvp",Inputs!$B$44&gt;0),(((R1520-1)*MIN((Skills!Y22*(1+Inputs!$B$34/100)),(1/Q1520))+MIN((Skills!Y22*(1+Inputs!$B$34/100)),MAX(0,Inputs!$B$44-((R1520-1)*(1/Q1520)))))/Inputs!$B$44),IF(Inputs!$B$39="pvp",MIN((Skills!Y22*(1+Inputs!$B$34/100)),15)/15,MIN(1,(Skills!Y22*(1+Inputs!$B$34/100))/(1/Q1520)))))+((C1501=TRUE)*F1501*3)+((C1503=TRUE)*F1503*(1-EXP(-0.75*B1536*5)))+((C1522=TRUE)*(F1522-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1509=TRUE)*F1509*IF(AND(Inputs!$B$39&lt;&gt;"pvp",Inputs!$B$44&gt;0),(((R1509-1)*MIN((Skills!Y11*(1+Inputs!$B$34/100)),(1/Q1509))+MIN((Skills!Y11*(1+Inputs!$B$34/100)),MAX(0,Inputs!$B$44-((R1509-1)*(1/Q1509)))))/Inputs!$B$44),IF(Inputs!$B$39="pvp",MIN((Skills!Y11*(1+Inputs!$B$34/100)),15)/15,MIN(1,(Skills!Y11*(1+Inputs!$B$34/100))/(1/Q1509)))))/100)*(1+((C1514=TRUE)*F1514*IF(AND(Inputs!$B$39&lt;&gt;"pvp",Inputs!$B$44&gt;0),(((R1514-1)*MIN((Skills!Y16*(1+Inputs!$B$34/100)),(1/Q1514))+MIN((Skills!Y16*(1+Inputs!$B$34/100)),MAX(0,Inputs!$B$44-((R1514-1)*(1/Q1514)))))/Inputs!$B$44),IF(Inputs!$B$39="pvp",MIN((Skills!Y16*(1+Inputs!$B$34/100)),15)/15,MIN(1,(Skills!Y16*(1+Inputs!$B$34/100))/(1/Q1514)))))/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1534*I1515)</f>
        <v/>
      </c>
      <c r="L1515">
        <f>K1515*(MIN(Inputs!$B$22+((C1523=TRUE)*(F1523-Calc!F25)),(Inputs!$B$23+((C1528=TRUE)*(F1528-Calc!F30))+IF(ArtifactsInput!$M$15,CHOOSE(ArtifactsInput!$N$15+1,25,30,35,40,45,50)/100*(Inputs!$B$11-Inputs!$B$11),0)))/100+(Inputs!$B$23+((C1528=TRUE)*(F1528-Calc!F30))+IF(ArtifactsInput!$M$15,CHOOSE(ArtifactsInput!$N$15+1,25,30,35,40,45,50)/100*(Inputs!$B$11-Inputs!$B$11),0))/100)/2</f>
        <v/>
      </c>
      <c r="M1515">
        <f>L1515*(1+(Inputs!$B$10+((C1525=TRUE)*(F1525-Calc!F27))+B1539+(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1515">
        <f>L1515*(1-MIN((Inputs!$B$9+((C1524=TRUE)*(F1524-Calc!F26))+B1532+(ArtifactsInput!$M$24-ArtifactsInput!$M$24)*CHOOSE(ArtifactsInput!$N$24+1,10,12,14,16,18,20)+(IF(AND(Inputs!$B$39&lt;&gt;"pvp",Inputs!$B$44=0),1,IF(IF(Inputs!$B$39="pvp",15,Inputs!$B$44)-(B1543)&lt;=0,1,MAX(0,IF(Inputs!$B$39="pvp",15,Inputs!$B$44)-MAX(5,B1543))/(IF(Inputs!$B$39="pvp",15,Inputs!$B$44)-(B1543))))*IF(AND(ArtifactsInput!$M$42,((Inputs!$B$9+((C1524=TRUE)*(F1524-Calc!F26))+B1532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1515*(MIN((Inputs!$B$9+((C1524=TRUE)*(F1524-Calc!F26))+B1532+(ArtifactsInput!$M$24-ArtifactsInput!$M$24)*CHOOSE(ArtifactsInput!$N$24+1,10,12,14,16,18,20)+(IF(AND(Inputs!$B$39&lt;&gt;"pvp",Inputs!$B$44=0),1,IF(IF(Inputs!$B$39="pvp",15,Inputs!$B$44)-(B1543)&lt;=0,1,MAX(0,IF(Inputs!$B$39="pvp",15,Inputs!$B$44)-MAX(5,B1543))/(IF(Inputs!$B$39="pvp",15,Inputs!$B$44)-(B1543))))*IF(AND(ArtifactsInput!$M$42,((Inputs!$B$9+((C1524=TRUE)*(F1524-Calc!F26))+B1532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515">
        <f>(1-Summary!$B$11)*T1515+Summary!$B$11*V1515</f>
        <v/>
      </c>
      <c r="P1515">
        <f>IF(B1544=0,0,O1515/B1544)</f>
        <v/>
      </c>
      <c r="Q1515" t="n">
        <v>0</v>
      </c>
      <c r="R1515" t="n">
        <v>0</v>
      </c>
      <c r="S1515">
        <f>IFERROR(O1515/N1515,0)</f>
        <v/>
      </c>
      <c r="T1515">
        <f>IF(C1515,(Inputs!$B$38*0.2*N1515)*IF(Inputs!$B$39="pvp",1,1+(Inputs!$B$20+0+Skills!P17+B1533+(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Hunt"),CHOOSE(ArtifactsInput!$N$35+1,15,18,21,24,27,30)*(1-EXP(-(0.2*B1536)*5)),0)+IF(AND(ArtifactsInput!$M$22,Inputs!$B$4&lt;&gt;"Chapter Hunt"),CHOOSE(ArtifactsInput!$N$22+1,10,12,14,16,18,20)*((0*(((0.15*B1536*5))^0/1)+1*(((0.15*B1536*5))^1/1)+2*(((0.15*B1536*5))^2/2)+3*(((0.15*B1536*5))^3/6)+4*(((0.15*B1536*5))^4/24)+5*(((0.15*B1536*5))^5/120))/((((0.15*B1536*5))^0/1)+(((0.15*B1536*5))^1/1)+(((0.15*B1536*5))^2/2)+(((0.15*B1536*5))^3/6)+(((0.15*B1536*5))^4/24)+(((0.15*B1536*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1515*(1-MIN(100,(Inputs!$B$9+((C1524=TRUE)*(F1524-Calc!F26))+B1532+(ArtifactsInput!$M$24-ArtifactsInput!$M$24)*CHOOSE(ArtifactsInput!$N$24+1,10,12,14,16,18,20)+(IF(AND(Inputs!$B$39&lt;&gt;"pvp",Inputs!$B$44=0),1,IF(IF(Inputs!$B$39="pvp",15,Inputs!$B$44)-(B1543)&lt;=0,1,MAX(0,IF(Inputs!$B$39="pvp",15,Inputs!$B$44)-MAX(5,B1543))/(IF(Inputs!$B$39="pvp",15,Inputs!$B$44)-(B1543))))*IF(AND(ArtifactsInput!$M$42,((Inputs!$B$9+((C1524=TRUE)*(F1524-Calc!F26))+B1532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1515*(MIN(100,(Inputs!$B$9+((C1524=TRUE)*(F1524-Calc!F26))+B1532+(ArtifactsInput!$M$24-ArtifactsInput!$M$24)*CHOOSE(ArtifactsInput!$N$24+1,10,12,14,16,18,20)+(IF(AND(Inputs!$B$39&lt;&gt;"pvp",Inputs!$B$44=0),1,IF(IF(Inputs!$B$39="pvp",15,Inputs!$B$44)-(B1543)&lt;=0,1,MAX(0,IF(Inputs!$B$39="pvp",15,Inputs!$B$44)-MAX(5,B1543))/(IF(Inputs!$B$39="pvp",15,Inputs!$B$44)-(B1543))))*IF(AND(ArtifactsInput!$M$42,((Inputs!$B$9+((C1524=TRUE)*(F1524-Calc!F26))+B1532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1515*(1-MIN(100,(Inputs!$B$9+((C1524=TRUE)*(F1524-Calc!F26))+B1532+(ArtifactsInput!$M$24-ArtifactsInput!$M$24)*CHOOSE(ArtifactsInput!$N$24+1,10,12,14,16,18,20)+(IF(AND(Inputs!$B$39&lt;&gt;"pvp",Inputs!$B$44=0),1,IF(IF(Inputs!$B$39="pvp",15,Inputs!$B$44)-(B1543)&lt;=0,1,MAX(0,IF(Inputs!$B$39="pvp",15,Inputs!$B$44)-MAX(5,B1543))/(IF(Inputs!$B$39="pvp",15,Inputs!$B$44)-(B1543))))*IF(AND(ArtifactsInput!$M$42,((Inputs!$B$9+((C1524=TRUE)*(F1524-Calc!F26))+B1532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1515*(MIN(100,(Inputs!$B$9+((C1524=TRUE)*(F1524-Calc!F26))+B1532+(ArtifactsInput!$M$24-ArtifactsInput!$M$24)*CHOOSE(ArtifactsInput!$N$24+1,10,12,14,16,18,20)+(IF(AND(Inputs!$B$39&lt;&gt;"pvp",Inputs!$B$44=0),1,IF(IF(Inputs!$B$39="pvp",15,Inputs!$B$44)-(B1543)&lt;=0,1,MAX(0,IF(Inputs!$B$39="pvp",15,Inputs!$B$44)-MAX(5,B1543))/(IF(Inputs!$B$39="pvp",15,Inputs!$B$44)-(B1543))))*IF(AND(ArtifactsInput!$M$42,((Inputs!$B$9+((C1524=TRUE)*(F1524-Calc!F26))+B1532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1515">
        <f>IF(C1515,(Inputs!$B$38*0.2*N1515)*IF(Inputs!$B$39="pvp",1,(1+(Inputs!$B$21+Skills!Q17+B1533+(IF(ArtifactsInput!$M$33,CHOOSE(ArtifactsInput!$N$33+1,30,36,42,48,54,60),0))+(IF(AND(ArtifactsInput!$M$35,Inputs!$B$4&lt;&gt;"Chapter Hunt"),CHOOSE(ArtifactsInput!$N$35+1,15,18,21,24,27,30)*(1-EXP(-(0.2*B1536)*5)),0)+IF(AND(ArtifactsInput!$M$22,Inputs!$B$4&lt;&gt;"Chapter Hunt"),CHOOSE(ArtifactsInput!$N$22+1,10,12,14,16,18,20)*((0*(((0.15*B1536*5))^0/1)+1*(((0.15*B1536*5))^1/1)+2*(((0.15*B1536*5))^2/2)+3*(((0.15*B1536*5))^3/6)+4*(((0.15*B1536*5))^4/24)+5*(((0.15*B1536*5))^5/120))/((((0.15*B1536*5))^0/1)+(((0.15*B1536*5))^1/1)+(((0.15*B1536*5))^2/2)+(((0.15*B1536*5))^3/6)+(((0.15*B1536*5))^4/24)+(((0.15*B1536*5))^5/120))),0)))/100)*(MIN(Skills!W17,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516">
      <c r="A1516">
        <f>Skills!A18</f>
        <v/>
      </c>
      <c r="B1516">
        <f>Skills!B18</f>
        <v/>
      </c>
      <c r="C1516">
        <f>Inputs!$B$3&gt;=115</f>
        <v/>
      </c>
      <c r="D1516">
        <f>IF(Skills!C18=1,60+Inputs!$B$25+Inputs!$B$29,IF(Skills!C18=2,90+Inputs!$B$26+Inputs!$B$29,IF(Skills!C18=3,120+Inputs!$B$27+Inputs!$B$29,MAX(0,(Inputs!$B$3-100)*3)+Inputs!$B$28+Inputs!$B$29)))</f>
        <v/>
      </c>
      <c r="E1516">
        <f>INDEX(FactorTable!$B$2:$Y$301, MATCH(ROUND(MIN(300,MAX(1,D1516)),0), FactorTable!$A$2:$A$301,0), Skills!M18+1)</f>
        <v/>
      </c>
      <c r="F1516">
        <f>IF(Skills!N18=TRUE,(Skills!L18/10)*(E1516/1000),Skills!L18/10)+Skills!O18</f>
        <v/>
      </c>
      <c r="G1516">
        <f>Skills!G18*IF(Skills!H18&gt;0,IF(Inputs!$B$39="pvp",MIN(Skills!I18,15),Skills!I18)/Skills!H18,1)</f>
        <v/>
      </c>
      <c r="H1516">
        <f>1-(1-Skills!J18/100)^Skills!K18</f>
        <v/>
      </c>
      <c r="I1516" t="inlineStr">
        <is>
          <t>1</t>
        </is>
      </c>
      <c r="J1516" t="inlineStr"/>
      <c r="K1516" t="inlineStr"/>
      <c r="L1516" t="inlineStr"/>
      <c r="M1516" t="inlineStr"/>
      <c r="N1516" t="inlineStr"/>
      <c r="O1516">
        <f>(1-Summary!$B$11)*T1516+Summary!$B$11*V1516</f>
        <v/>
      </c>
      <c r="P1516">
        <f>IF(B1544=0,0,O1516/B1544)</f>
        <v/>
      </c>
      <c r="Q1516" t="n">
        <v>0</v>
      </c>
      <c r="R1516" t="n">
        <v>0</v>
      </c>
      <c r="S1516">
        <f>IFERROR(O1516/N1516,0)</f>
        <v/>
      </c>
      <c r="T1516" t="n">
        <v>0</v>
      </c>
      <c r="V1516" t="n">
        <v>0</v>
      </c>
    </row>
    <row r="1517">
      <c r="A1517">
        <f>Skills!A19</f>
        <v/>
      </c>
      <c r="B1517">
        <f>Skills!B19</f>
        <v/>
      </c>
      <c r="C1517">
        <f>Inputs!$B$3&gt;=100</f>
        <v/>
      </c>
      <c r="D1517">
        <f>IF(Skills!C19=1,60+Inputs!$B$25+Inputs!$B$29,IF(Skills!C19=2,90+Inputs!$B$26+Inputs!$B$29,IF(Skills!C19=3,120+Inputs!$B$27+Inputs!$B$29,MAX(0,(Inputs!$B$3-100)*3)+Inputs!$B$28+Inputs!$B$29)))</f>
        <v/>
      </c>
      <c r="E1517">
        <f>INDEX(FactorTable!$B$2:$Y$301, MATCH(ROUND(MIN(300,MAX(1,D1517)),0), FactorTable!$A$2:$A$301,0), Skills!M19+1)</f>
        <v/>
      </c>
      <c r="F1517">
        <f>IF(Skills!N19=TRUE,(Skills!L19/10)*(E1517/1000),Skills!L19/10)+Skills!O19</f>
        <v/>
      </c>
      <c r="G1517">
        <f>Skills!G19*IF(Skills!H19&gt;0,IF(Inputs!$B$39="pvp",MIN(Skills!I19,15),Skills!I19)/Skills!H19,1)</f>
        <v/>
      </c>
      <c r="H1517">
        <f>1-(1-Skills!J19/100)^Skills!K19</f>
        <v/>
      </c>
      <c r="I1517" t="inlineStr">
        <is>
          <t>1</t>
        </is>
      </c>
      <c r="J1517" t="inlineStr"/>
      <c r="K1517" t="inlineStr"/>
      <c r="L1517" t="inlineStr"/>
      <c r="M1517" t="inlineStr"/>
      <c r="N1517" t="inlineStr"/>
      <c r="O1517">
        <f>(1-Summary!$B$11)*T1517+Summary!$B$11*V1517</f>
        <v/>
      </c>
      <c r="P1517">
        <f>IF(B1544=0,0,O1517/B1544)</f>
        <v/>
      </c>
      <c r="Q1517" t="n">
        <v>0</v>
      </c>
      <c r="R1517" t="n">
        <v>0</v>
      </c>
      <c r="S1517">
        <f>IFERROR(O1517/N1517,0)</f>
        <v/>
      </c>
      <c r="T1517" t="n">
        <v>0</v>
      </c>
      <c r="V1517" t="n">
        <v>0</v>
      </c>
    </row>
    <row r="1518">
      <c r="A1518">
        <f>Skills!A20</f>
        <v/>
      </c>
      <c r="B1518">
        <f>Skills!B20</f>
        <v/>
      </c>
      <c r="C1518">
        <f>TRUE</f>
        <v/>
      </c>
      <c r="D1518">
        <f>IF(Skills!C20=1,60+Inputs!$B$25+Inputs!$B$29,IF(Skills!C20=2,90+Inputs!$B$26+Inputs!$B$29,IF(Skills!C20=3,120+Inputs!$B$27+Inputs!$B$29,MAX(0,(Inputs!$B$3-100)*3)+Inputs!$B$28+Inputs!$B$29)))</f>
        <v/>
      </c>
      <c r="E1518">
        <f>INDEX(FactorTable!$B$2:$Y$301, MATCH(ROUND(MIN(300,MAX(1,D1518)),0), FactorTable!$A$2:$A$301,0), Skills!M20+1)</f>
        <v/>
      </c>
      <c r="F1518">
        <f>IF(Skills!N20=TRUE,(Skills!L20/10)*(E1518/1000),Skills!L20/10)+Skills!O20</f>
        <v/>
      </c>
      <c r="G1518">
        <f>Skills!G20*IF(Skills!H20&gt;0,IF(Inputs!$B$39="pvp",MIN(Skills!I20,15),Skills!I20)/Skills!H20,1)</f>
        <v/>
      </c>
      <c r="H1518">
        <f>1-(1-Skills!J20/100)^Skills!K20</f>
        <v/>
      </c>
      <c r="I1518" t="inlineStr">
        <is>
          <t>1</t>
        </is>
      </c>
      <c r="J1518" t="inlineStr"/>
      <c r="K1518" t="inlineStr"/>
      <c r="L1518" t="inlineStr"/>
      <c r="M1518" t="inlineStr"/>
      <c r="N1518" t="inlineStr"/>
      <c r="O1518">
        <f>(1-Summary!$B$11)*T1518+Summary!$B$11*V1518</f>
        <v/>
      </c>
      <c r="P1518">
        <f>IF(B1544=0,0,O1518/B1544)</f>
        <v/>
      </c>
      <c r="Q1518">
        <f>IFERROR(1/IF(Inputs!$B$39="pvp",15,MAX(0.1,Skills!D20-IF(TRUE=TRUE,Inputs!$B$32,0))),0)</f>
        <v/>
      </c>
      <c r="R1518">
        <f>IF(AND(Inputs!$B$39&lt;&gt;"pvp",Inputs!$B$44&gt;0),IF(Inputs!$B$44&lt;=0,0,(INT(Inputs!$B$44/IF(Inputs!$B$39="pvp",15,MAX(0.1,Skills!D20-IF(TRUE=TRUE,Inputs!$B$32,0))))+1)),0)</f>
        <v/>
      </c>
      <c r="S1518">
        <f>IFERROR(O1518/N1518,0)</f>
        <v/>
      </c>
      <c r="T1518" t="n">
        <v>0</v>
      </c>
      <c r="V1518" t="n">
        <v>0</v>
      </c>
    </row>
    <row r="1519">
      <c r="A1519">
        <f>Skills!A21</f>
        <v/>
      </c>
      <c r="B1519">
        <f>Skills!B21</f>
        <v/>
      </c>
      <c r="C1519">
        <f>Inputs!$B$3&gt;=15</f>
        <v/>
      </c>
      <c r="D1519">
        <f>IF(Skills!C21=1,60+Inputs!$B$25+Inputs!$B$29,IF(Skills!C21=2,90+Inputs!$B$26+Inputs!$B$29,IF(Skills!C21=3,120+Inputs!$B$27+Inputs!$B$29,MAX(0,(Inputs!$B$3-100)*3)+Inputs!$B$28+Inputs!$B$29)))</f>
        <v/>
      </c>
      <c r="E1519">
        <f>INDEX(FactorTable!$B$2:$Y$301, MATCH(ROUND(MIN(300,MAX(1,D1519)),0), FactorTable!$A$2:$A$301,0), Skills!M21+1)</f>
        <v/>
      </c>
      <c r="F1519">
        <f>IF(Skills!N21=TRUE,(Skills!L21/10)*(E1519/1000),Skills!L21/10)+Skills!O21</f>
        <v/>
      </c>
      <c r="G1519">
        <f>Skills!G21*IF(Skills!H21&gt;0,IF(Inputs!$B$39="pvp",MIN(Skills!I21,15),Skills!I21)/Skills!H21,1)</f>
        <v/>
      </c>
      <c r="H1519">
        <f>1-(1-Skills!J21/100)^Skills!K21</f>
        <v/>
      </c>
      <c r="I1519" t="inlineStr">
        <is>
          <t>1</t>
        </is>
      </c>
      <c r="J1519" t="inlineStr"/>
      <c r="K1519" t="inlineStr"/>
      <c r="L1519" t="inlineStr"/>
      <c r="M1519" t="inlineStr"/>
      <c r="N1519" t="inlineStr"/>
      <c r="O1519">
        <f>(1-Summary!$B$11)*T1519+Summary!$B$11*V1519</f>
        <v/>
      </c>
      <c r="P1519">
        <f>IF(B1544=0,0,O1519/B1544)</f>
        <v/>
      </c>
      <c r="Q1519">
        <f>IFERROR(1/IF(Inputs!$B$39="pvp",15,MAX(0.1,Skills!D21-IF(TRUE=TRUE,Inputs!$B$32,0))),0)</f>
        <v/>
      </c>
      <c r="R1519">
        <f>IF(AND(Inputs!$B$39&lt;&gt;"pvp",Inputs!$B$44&gt;0),IF(Inputs!$B$44&lt;=0,0,(INT(Inputs!$B$44/IF(Inputs!$B$39="pvp",15,MAX(0.1,Skills!D21-IF(TRUE=TRUE,Inputs!$B$32,0))))+1)),0)</f>
        <v/>
      </c>
      <c r="S1519">
        <f>IFERROR(O1519/N1519,0)</f>
        <v/>
      </c>
      <c r="T1519" t="n">
        <v>0</v>
      </c>
      <c r="V1519" t="n">
        <v>0</v>
      </c>
    </row>
    <row r="1520">
      <c r="A1520">
        <f>Skills!A22</f>
        <v/>
      </c>
      <c r="B1520">
        <f>Skills!B22</f>
        <v/>
      </c>
      <c r="C1520">
        <f>Inputs!$B$3&gt;=15</f>
        <v/>
      </c>
      <c r="D1520">
        <f>IF(Skills!C22=1,60+Inputs!$B$25+Inputs!$B$29,IF(Skills!C22=2,90+Inputs!$B$26+Inputs!$B$29,IF(Skills!C22=3,120+Inputs!$B$27+Inputs!$B$29,MAX(0,(Inputs!$B$3-100)*3)+Inputs!$B$28+Inputs!$B$29)))</f>
        <v/>
      </c>
      <c r="E1520">
        <f>INDEX(FactorTable!$B$2:$Y$301, MATCH(ROUND(MIN(300,MAX(1,D1520)),0), FactorTable!$A$2:$A$301,0), Skills!M22+1)</f>
        <v/>
      </c>
      <c r="F1520">
        <f>IF(Skills!N22=TRUE,(Skills!L22/10)*(E1520/1000),Skills!L22/10)+Skills!O22</f>
        <v/>
      </c>
      <c r="G1520">
        <f>Skills!G22*IF(Skills!H22&gt;0,IF(Inputs!$B$39="pvp",MIN(Skills!I22,15),Skills!I22)/Skills!H22,1)</f>
        <v/>
      </c>
      <c r="H1520">
        <f>1-(1-Skills!J22/100)^Skills!K22</f>
        <v/>
      </c>
      <c r="I1520" t="inlineStr">
        <is>
          <t>1</t>
        </is>
      </c>
      <c r="J1520" t="inlineStr"/>
      <c r="K1520" t="inlineStr"/>
      <c r="L1520" t="inlineStr"/>
      <c r="M1520" t="inlineStr"/>
      <c r="N1520" t="inlineStr"/>
      <c r="O1520">
        <f>(1-Summary!$B$11)*T1520+Summary!$B$11*V1520</f>
        <v/>
      </c>
      <c r="P1520">
        <f>IF(B1544=0,0,O1520/B1544)</f>
        <v/>
      </c>
      <c r="Q1520">
        <f>IFERROR(1/IF(Inputs!$B$39="pvp",15,MAX(0.1,Skills!D22-IF(TRUE=TRUE,Inputs!$B$32,0))),0)</f>
        <v/>
      </c>
      <c r="R1520">
        <f>IF(AND(Inputs!$B$39&lt;&gt;"pvp",Inputs!$B$44&gt;0),IF(Inputs!$B$44&lt;=0,0,(INT(Inputs!$B$44/IF(Inputs!$B$39="pvp",15,MAX(0.1,Skills!D22-IF(TRUE=TRUE,Inputs!$B$32,0))))+1)),0)</f>
        <v/>
      </c>
      <c r="S1520">
        <f>IFERROR(O1520/N1520,0)</f>
        <v/>
      </c>
      <c r="T1520" t="n">
        <v>0</v>
      </c>
      <c r="V1520" t="n">
        <v>0</v>
      </c>
    </row>
    <row r="1521">
      <c r="A1521">
        <f>Skills!A23</f>
        <v/>
      </c>
      <c r="B1521">
        <f>Skills!B23</f>
        <v/>
      </c>
      <c r="C1521">
        <f>Inputs!$B$3&gt;=33</f>
        <v/>
      </c>
      <c r="D1521">
        <f>IF(Skills!C23=1,60+Inputs!$B$25+Inputs!$B$29,IF(Skills!C23=2,90+Inputs!$B$26+Inputs!$B$29,IF(Skills!C23=3,120+Inputs!$B$27+Inputs!$B$29,MAX(0,(Inputs!$B$3-100)*3)+Inputs!$B$28+Inputs!$B$29)))</f>
        <v/>
      </c>
      <c r="E1521">
        <f>INDEX(FactorTable!$B$2:$Y$301, MATCH(ROUND(MIN(300,MAX(1,D1521)),0), FactorTable!$A$2:$A$301,0), Skills!M23+1)</f>
        <v/>
      </c>
      <c r="F1521">
        <f>IF(Skills!N23=TRUE,(Skills!L23/10)*(E1521/1000),Skills!L23/10)+Skills!O23</f>
        <v/>
      </c>
      <c r="G1521">
        <f>Skills!G23*IF(Skills!H23&gt;0,IF(Inputs!$B$39="pvp",MIN(Skills!I23,15),Skills!I23)/Skills!H23,1)</f>
        <v/>
      </c>
      <c r="H1521">
        <f>1-(1-Skills!J23/100)^Skills!K23</f>
        <v/>
      </c>
      <c r="I1521" t="inlineStr">
        <is>
          <t>1</t>
        </is>
      </c>
      <c r="J1521" t="inlineStr"/>
      <c r="K1521" t="inlineStr"/>
      <c r="L1521" t="inlineStr"/>
      <c r="M1521" t="inlineStr"/>
      <c r="N1521" t="inlineStr"/>
      <c r="O1521">
        <f>(1-Summary!$B$11)*T1521+Summary!$B$11*V1521</f>
        <v/>
      </c>
      <c r="P1521">
        <f>IF(B1544=0,0,O1521/B1544)</f>
        <v/>
      </c>
      <c r="Q1521" t="n">
        <v>0</v>
      </c>
      <c r="R1521" t="n">
        <v>0</v>
      </c>
      <c r="S1521">
        <f>IFERROR(O1521/N1521,0)</f>
        <v/>
      </c>
      <c r="T1521" t="n">
        <v>0</v>
      </c>
      <c r="V1521" t="n">
        <v>0</v>
      </c>
    </row>
    <row r="1522">
      <c r="A1522">
        <f>Skills!A24</f>
        <v/>
      </c>
      <c r="B1522">
        <f>Skills!B24</f>
        <v/>
      </c>
      <c r="C1522">
        <f>Inputs!$B$3&gt;=40</f>
        <v/>
      </c>
      <c r="D1522">
        <f>IF(Skills!C24=1,60+Inputs!$B$25+Inputs!$B$29,IF(Skills!C24=2,90+Inputs!$B$26+Inputs!$B$29,IF(Skills!C24=3,120+Inputs!$B$27+Inputs!$B$29,MAX(0,(Inputs!$B$3-100)*3)+Inputs!$B$28+Inputs!$B$29)))</f>
        <v/>
      </c>
      <c r="E1522">
        <f>INDEX(FactorTable!$B$2:$Y$301, MATCH(ROUND(MIN(300,MAX(1,D1522)),0), FactorTable!$A$2:$A$301,0), Skills!M24+1)</f>
        <v/>
      </c>
      <c r="F1522">
        <f>IF(Skills!N24=TRUE,(Skills!L24/10)*(E1522/1000),Skills!L24/10)+Skills!O24</f>
        <v/>
      </c>
      <c r="G1522">
        <f>Skills!G24*IF(Skills!H24&gt;0,IF(Inputs!$B$39="pvp",MIN(Skills!I24,15),Skills!I24)/Skills!H24,1)</f>
        <v/>
      </c>
      <c r="H1522">
        <f>1-(1-Skills!J24/100)^Skills!K24</f>
        <v/>
      </c>
      <c r="I1522" t="inlineStr">
        <is>
          <t>1</t>
        </is>
      </c>
      <c r="J1522" t="inlineStr"/>
      <c r="K1522" t="inlineStr"/>
      <c r="L1522" t="inlineStr"/>
      <c r="M1522" t="inlineStr"/>
      <c r="N1522" t="inlineStr"/>
      <c r="O1522">
        <f>(1-Summary!$B$11)*T1522+Summary!$B$11*V1522</f>
        <v/>
      </c>
      <c r="P1522">
        <f>IF(B1544=0,0,O1522/B1544)</f>
        <v/>
      </c>
      <c r="Q1522" t="n">
        <v>0</v>
      </c>
      <c r="R1522" t="n">
        <v>0</v>
      </c>
      <c r="S1522">
        <f>IFERROR(O1522/N1522,0)</f>
        <v/>
      </c>
      <c r="T1522" t="n">
        <v>0</v>
      </c>
      <c r="V1522" t="n">
        <v>0</v>
      </c>
    </row>
    <row r="1523">
      <c r="A1523">
        <f>Skills!A25</f>
        <v/>
      </c>
      <c r="B1523">
        <f>Skills!B25</f>
        <v/>
      </c>
      <c r="C1523">
        <f>Inputs!$B$3&gt;=43</f>
        <v/>
      </c>
      <c r="D1523">
        <f>IF(Skills!C25=1,60+Inputs!$B$25+Inputs!$B$29,IF(Skills!C25=2,90+Inputs!$B$26+Inputs!$B$29,IF(Skills!C25=3,120+Inputs!$B$27+Inputs!$B$29,MAX(0,(Inputs!$B$3-100)*3)+Inputs!$B$28+Inputs!$B$29)))</f>
        <v/>
      </c>
      <c r="E1523">
        <f>INDEX(FactorTable!$B$2:$Y$301, MATCH(ROUND(MIN(300,MAX(1,D1523)),0), FactorTable!$A$2:$A$301,0), Skills!M25+1)</f>
        <v/>
      </c>
      <c r="F1523">
        <f>IF(Skills!N25=TRUE,(Skills!L25/10)*(E1523/1000),Skills!L25/10)+Skills!O25</f>
        <v/>
      </c>
      <c r="G1523">
        <f>Skills!G25*IF(Skills!H25&gt;0,IF(Inputs!$B$39="pvp",MIN(Skills!I25,15),Skills!I25)/Skills!H25,1)</f>
        <v/>
      </c>
      <c r="H1523">
        <f>1-(1-Skills!J25/100)^Skills!K25</f>
        <v/>
      </c>
      <c r="I1523" t="inlineStr">
        <is>
          <t>1</t>
        </is>
      </c>
      <c r="J1523" t="inlineStr"/>
      <c r="K1523" t="inlineStr"/>
      <c r="L1523" t="inlineStr"/>
      <c r="M1523" t="inlineStr"/>
      <c r="N1523" t="inlineStr"/>
      <c r="O1523">
        <f>(1-Summary!$B$11)*T1523+Summary!$B$11*V1523</f>
        <v/>
      </c>
      <c r="P1523">
        <f>IF(B1544=0,0,O1523/B1544)</f>
        <v/>
      </c>
      <c r="Q1523" t="n">
        <v>0</v>
      </c>
      <c r="R1523" t="n">
        <v>0</v>
      </c>
      <c r="S1523">
        <f>IFERROR(O1523/N1523,0)</f>
        <v/>
      </c>
      <c r="T1523" t="n">
        <v>0</v>
      </c>
      <c r="V1523" t="n">
        <v>0</v>
      </c>
    </row>
    <row r="1524">
      <c r="A1524">
        <f>Skills!A26</f>
        <v/>
      </c>
      <c r="B1524">
        <f>Skills!B26</f>
        <v/>
      </c>
      <c r="C1524">
        <f>Inputs!$B$3&gt;=50</f>
        <v/>
      </c>
      <c r="D1524">
        <f>IF(Skills!C26=1,60+Inputs!$B$25+Inputs!$B$29,IF(Skills!C26=2,90+Inputs!$B$26+Inputs!$B$29,IF(Skills!C26=3,120+Inputs!$B$27+Inputs!$B$29,MAX(0,(Inputs!$B$3-100)*3)+Inputs!$B$28+Inputs!$B$29)))</f>
        <v/>
      </c>
      <c r="E1524">
        <f>INDEX(FactorTable!$B$2:$Y$301, MATCH(ROUND(MIN(300,MAX(1,D1524)),0), FactorTable!$A$2:$A$301,0), Skills!M26+1)</f>
        <v/>
      </c>
      <c r="F1524">
        <f>IF(Skills!N26=TRUE,(Skills!L26/10)*(E1524/1000),Skills!L26/10)+Skills!O26</f>
        <v/>
      </c>
      <c r="G1524">
        <f>Skills!G26*IF(Skills!H26&gt;0,IF(Inputs!$B$39="pvp",MIN(Skills!I26,15),Skills!I26)/Skills!H26,1)</f>
        <v/>
      </c>
      <c r="H1524">
        <f>1-(1-Skills!J26/100)^Skills!K26</f>
        <v/>
      </c>
      <c r="I1524" t="inlineStr">
        <is>
          <t>1</t>
        </is>
      </c>
      <c r="J1524" t="inlineStr"/>
      <c r="K1524" t="inlineStr"/>
      <c r="L1524" t="inlineStr"/>
      <c r="M1524" t="inlineStr"/>
      <c r="N1524" t="inlineStr"/>
      <c r="O1524">
        <f>(1-Summary!$B$11)*T1524+Summary!$B$11*V1524</f>
        <v/>
      </c>
      <c r="P1524">
        <f>IF(B1544=0,0,O1524/B1544)</f>
        <v/>
      </c>
      <c r="Q1524" t="n">
        <v>0</v>
      </c>
      <c r="R1524" t="n">
        <v>0</v>
      </c>
      <c r="S1524">
        <f>IFERROR(O1524/N1524,0)</f>
        <v/>
      </c>
      <c r="T1524" t="n">
        <v>0</v>
      </c>
      <c r="V1524" t="n">
        <v>0</v>
      </c>
    </row>
    <row r="1525">
      <c r="A1525">
        <f>Skills!A27</f>
        <v/>
      </c>
      <c r="B1525">
        <f>Skills!B27</f>
        <v/>
      </c>
      <c r="C1525">
        <f>Inputs!$B$3&gt;=50</f>
        <v/>
      </c>
      <c r="D1525">
        <f>IF(Skills!C27=1,60+Inputs!$B$25+Inputs!$B$29,IF(Skills!C27=2,90+Inputs!$B$26+Inputs!$B$29,IF(Skills!C27=3,120+Inputs!$B$27+Inputs!$B$29,MAX(0,(Inputs!$B$3-100)*3)+Inputs!$B$28+Inputs!$B$29)))</f>
        <v/>
      </c>
      <c r="E1525">
        <f>INDEX(FactorTable!$B$2:$Y$301, MATCH(ROUND(MIN(300,MAX(1,D1525)),0), FactorTable!$A$2:$A$301,0), Skills!M27+1)</f>
        <v/>
      </c>
      <c r="F1525">
        <f>IF(Skills!N27=TRUE,(Skills!L27/10)*(E1525/1000),Skills!L27/10)+Skills!O27</f>
        <v/>
      </c>
      <c r="G1525">
        <f>Skills!G27*IF(Skills!H27&gt;0,IF(Inputs!$B$39="pvp",MIN(Skills!I27,15),Skills!I27)/Skills!H27,1)</f>
        <v/>
      </c>
      <c r="H1525">
        <f>1-(1-Skills!J27/100)^Skills!K27</f>
        <v/>
      </c>
      <c r="I1525" t="inlineStr">
        <is>
          <t>1</t>
        </is>
      </c>
      <c r="J1525" t="inlineStr"/>
      <c r="K1525" t="inlineStr"/>
      <c r="L1525" t="inlineStr"/>
      <c r="M1525" t="inlineStr"/>
      <c r="N1525" t="inlineStr"/>
      <c r="O1525">
        <f>(1-Summary!$B$11)*T1525+Summary!$B$11*V1525</f>
        <v/>
      </c>
      <c r="P1525">
        <f>IF(B1544=0,0,O1525/B1544)</f>
        <v/>
      </c>
      <c r="Q1525" t="n">
        <v>0</v>
      </c>
      <c r="R1525" t="n">
        <v>0</v>
      </c>
      <c r="S1525">
        <f>IFERROR(O1525/N1525,0)</f>
        <v/>
      </c>
      <c r="T1525" t="n">
        <v>0</v>
      </c>
      <c r="V1525" t="n">
        <v>0</v>
      </c>
    </row>
    <row r="1526">
      <c r="A1526">
        <f>Skills!A28</f>
        <v/>
      </c>
      <c r="B1526">
        <f>Skills!B28</f>
        <v/>
      </c>
      <c r="C1526">
        <f>Inputs!$B$3&gt;=38</f>
        <v/>
      </c>
      <c r="D1526">
        <f>IF(Skills!C28=1,60+Inputs!$B$25+Inputs!$B$29,IF(Skills!C28=2,90+Inputs!$B$26+Inputs!$B$29,IF(Skills!C28=3,120+Inputs!$B$27+Inputs!$B$29,MAX(0,(Inputs!$B$3-100)*3)+Inputs!$B$28+Inputs!$B$29)))</f>
        <v/>
      </c>
      <c r="E1526">
        <f>INDEX(FactorTable!$B$2:$Y$301, MATCH(ROUND(MIN(300,MAX(1,D1526)),0), FactorTable!$A$2:$A$301,0), Skills!M28+1)</f>
        <v/>
      </c>
      <c r="F1526">
        <f>IF(Skills!N28=TRUE,(Skills!L28/10)*(E1526/1000),Skills!L28/10)+Skills!O28</f>
        <v/>
      </c>
      <c r="G1526">
        <f>Skills!G28*IF(Skills!H28&gt;0,IF(Inputs!$B$39="pvp",MIN(Skills!I28,15),Skills!I28)/Skills!H28,1)</f>
        <v/>
      </c>
      <c r="H1526">
        <f>1-(1-Skills!J28/100)^Skills!K28</f>
        <v/>
      </c>
      <c r="I1526" t="inlineStr">
        <is>
          <t>1</t>
        </is>
      </c>
      <c r="J1526" t="inlineStr"/>
      <c r="K1526" t="inlineStr"/>
      <c r="L1526" t="inlineStr"/>
      <c r="M1526" t="inlineStr"/>
      <c r="N1526" t="inlineStr"/>
      <c r="O1526">
        <f>(1-Summary!$B$11)*T1526+Summary!$B$11*V1526</f>
        <v/>
      </c>
      <c r="P1526">
        <f>IF(B1544=0,0,O1526/B1544)</f>
        <v/>
      </c>
      <c r="Q1526" t="n">
        <v>0</v>
      </c>
      <c r="R1526" t="n">
        <v>0</v>
      </c>
      <c r="S1526">
        <f>IFERROR(O1526/N1526,0)</f>
        <v/>
      </c>
      <c r="T1526" t="n">
        <v>0</v>
      </c>
      <c r="V1526" t="n">
        <v>0</v>
      </c>
    </row>
    <row r="1527">
      <c r="A1527">
        <f>Skills!A29</f>
        <v/>
      </c>
      <c r="B1527">
        <f>Skills!B29</f>
        <v/>
      </c>
      <c r="C1527">
        <f>Inputs!$B$3&gt;=120</f>
        <v/>
      </c>
      <c r="D1527">
        <f>IF(Skills!C29=1,60+Inputs!$B$25+Inputs!$B$29,IF(Skills!C29=2,90+Inputs!$B$26+Inputs!$B$29,IF(Skills!C29=3,120+Inputs!$B$27+Inputs!$B$29,MAX(0,(Inputs!$B$3-100)*3)+Inputs!$B$28+Inputs!$B$29)))</f>
        <v/>
      </c>
      <c r="E1527">
        <f>INDEX(FactorTable!$B$2:$Y$301, MATCH(ROUND(MIN(300,MAX(1,D1527)),0), FactorTable!$A$2:$A$301,0), Skills!M29+1)</f>
        <v/>
      </c>
      <c r="F1527">
        <f>IF(Skills!N29=TRUE,(Skills!L29/10)*(E1527/1000),Skills!L29/10)+Skills!O29</f>
        <v/>
      </c>
      <c r="G1527">
        <f>Skills!G29*IF(Skills!H29&gt;0,IF(Inputs!$B$39="pvp",MIN(Skills!I29,15),Skills!I29)/Skills!H29,1)</f>
        <v/>
      </c>
      <c r="H1527">
        <f>1-(1-Skills!J29/100)^Skills!K29</f>
        <v/>
      </c>
      <c r="I1527" t="inlineStr">
        <is>
          <t>1</t>
        </is>
      </c>
      <c r="J1527" t="inlineStr"/>
      <c r="K1527" t="inlineStr"/>
      <c r="L1527" t="inlineStr"/>
      <c r="M1527" t="inlineStr"/>
      <c r="N1527" t="inlineStr"/>
      <c r="O1527">
        <f>(1-Summary!$B$11)*T1527+Summary!$B$11*V1527</f>
        <v/>
      </c>
      <c r="P1527">
        <f>IF(B1544=0,0,O1527/B1544)</f>
        <v/>
      </c>
      <c r="Q1527" t="n">
        <v>0</v>
      </c>
      <c r="R1527" t="n">
        <v>0</v>
      </c>
      <c r="S1527">
        <f>IFERROR(O1527/N1527,0)</f>
        <v/>
      </c>
      <c r="T1527" t="n">
        <v>0</v>
      </c>
      <c r="V1527" t="n">
        <v>0</v>
      </c>
    </row>
    <row r="1528">
      <c r="A1528">
        <f>Skills!A30</f>
        <v/>
      </c>
      <c r="B1528">
        <f>Skills!B30</f>
        <v/>
      </c>
      <c r="C1528">
        <f>Inputs!$B$3&gt;=120</f>
        <v/>
      </c>
      <c r="D1528">
        <f>IF(Skills!C30=1,60+Inputs!$B$25+Inputs!$B$29,IF(Skills!C30=2,90+Inputs!$B$26+Inputs!$B$29,IF(Skills!C30=3,120+Inputs!$B$27+Inputs!$B$29,MAX(0,(Inputs!$B$3-100)*3)+Inputs!$B$28+Inputs!$B$29)))</f>
        <v/>
      </c>
      <c r="E1528">
        <f>INDEX(FactorTable!$B$2:$Y$301, MATCH(ROUND(MIN(300,MAX(1,D1528)),0), FactorTable!$A$2:$A$301,0), Skills!M30+1)</f>
        <v/>
      </c>
      <c r="F1528">
        <f>IF(Skills!N30=TRUE,(Skills!L30/10)*(E1528/1000),Skills!L30/10)+Skills!O30</f>
        <v/>
      </c>
      <c r="G1528">
        <f>Skills!G30*IF(Skills!H30&gt;0,IF(Inputs!$B$39="pvp",MIN(Skills!I30,15),Skills!I30)/Skills!H30,1)</f>
        <v/>
      </c>
      <c r="H1528">
        <f>1-(1-Skills!J30/100)^Skills!K30</f>
        <v/>
      </c>
      <c r="I1528" t="inlineStr">
        <is>
          <t>1</t>
        </is>
      </c>
      <c r="J1528" t="inlineStr"/>
      <c r="K1528" t="inlineStr"/>
      <c r="L1528" t="inlineStr"/>
      <c r="M1528" t="inlineStr"/>
      <c r="N1528" t="inlineStr"/>
      <c r="O1528">
        <f>(1-Summary!$B$11)*T1528+Summary!$B$11*V1528</f>
        <v/>
      </c>
      <c r="P1528">
        <f>IF(B1544=0,0,O1528/B1544)</f>
        <v/>
      </c>
      <c r="Q1528" t="n">
        <v>0</v>
      </c>
      <c r="R1528" t="n">
        <v>0</v>
      </c>
      <c r="S1528">
        <f>IFERROR(O1528/N1528,0)</f>
        <v/>
      </c>
      <c r="T1528" t="n">
        <v>0</v>
      </c>
      <c r="V1528" t="n">
        <v>0</v>
      </c>
    </row>
    <row r="1529">
      <c r="A1529">
        <f>Skills!A31</f>
        <v/>
      </c>
      <c r="B1529">
        <f>Skills!B31</f>
        <v/>
      </c>
      <c r="C1529">
        <f>Inputs!$B$3&gt;=125</f>
        <v/>
      </c>
      <c r="D1529">
        <f>IF(Skills!C31=1,60+Inputs!$B$25+Inputs!$B$29,IF(Skills!C31=2,90+Inputs!$B$26+Inputs!$B$29,IF(Skills!C31=3,120+Inputs!$B$27+Inputs!$B$29,MAX(0,(Inputs!$B$3-100)*3)+Inputs!$B$28+Inputs!$B$29)))</f>
        <v/>
      </c>
      <c r="E1529">
        <f>INDEX(FactorTable!$B$2:$Y$301, MATCH(ROUND(MIN(300,MAX(1,D1529)),0), FactorTable!$A$2:$A$301,0), Skills!M31+1)</f>
        <v/>
      </c>
      <c r="F1529">
        <f>IF(Skills!N31=TRUE,(Skills!L31/10)*(E1529/1000),Skills!L31/10)+Skills!O31</f>
        <v/>
      </c>
      <c r="G1529">
        <f>Skills!G31*IF(Skills!H31&gt;0,IF(Inputs!$B$39="pvp",MIN(Skills!I31,15),Skills!I31)/Skills!H31,1)</f>
        <v/>
      </c>
      <c r="H1529">
        <f>1-(1-Skills!J31/100)^Skills!K31</f>
        <v/>
      </c>
      <c r="I1529" t="inlineStr">
        <is>
          <t>1</t>
        </is>
      </c>
      <c r="J1529" t="inlineStr"/>
      <c r="K1529" t="inlineStr"/>
      <c r="L1529" t="inlineStr"/>
      <c r="M1529" t="inlineStr"/>
      <c r="N1529" t="inlineStr"/>
      <c r="O1529">
        <f>(1-Summary!$B$11)*T1529+Summary!$B$11*V1529</f>
        <v/>
      </c>
      <c r="P1529">
        <f>IF(B1544=0,0,O1529/B1544)</f>
        <v/>
      </c>
      <c r="Q1529" t="n">
        <v>0</v>
      </c>
      <c r="R1529" t="n">
        <v>0</v>
      </c>
      <c r="S1529">
        <f>IFERROR(O1529/N1529,0)</f>
        <v/>
      </c>
      <c r="T1529" t="n">
        <v>0</v>
      </c>
      <c r="V1529" t="n">
        <v>0</v>
      </c>
    </row>
    <row r="1531">
      <c r="A1531" t="inlineStr">
        <is>
          <t>Average Buff Multiplier</t>
        </is>
      </c>
      <c r="B1531">
        <f>(1+(((C1520=TRUE)*F1520*IF(AND(Inputs!$B$39&lt;&gt;"pvp",Inputs!$B$44&gt;0),(((R1520-1)*MIN((Skills!Y22*(1+Inputs!$B$34/100)),(1/Q1520))+MIN((Skills!Y22*(1+Inputs!$B$34/100)),MAX(0,Inputs!$B$44-((R1520-1)*(1/Q1520)))))/Inputs!$B$44),IF(Inputs!$B$39="pvp",MIN((Skills!Y22*(1+Inputs!$B$34/100)),15)/15,MIN(1,(Skills!Y22*(1+Inputs!$B$34/100))/(1/Q1520)))))+((C1501=TRUE)*F1501*3)+((C1503=TRUE)*F1503*(1-EXP(-0.75*B1536*5)))+((C1522=TRUE)*(F1522-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1509=TRUE)*F1509*IF(AND(Inputs!$B$39&lt;&gt;"pvp",Inputs!$B$44&gt;0),(((R1509-1)*MIN((Skills!Y11*(1+Inputs!$B$34/100)),(1/Q1509))+MIN((Skills!Y11*(1+Inputs!$B$34/100)),MAX(0,Inputs!$B$44-((R1509-1)*(1/Q1509)))))/Inputs!$B$44),IF(Inputs!$B$39="pvp",MIN((Skills!Y11*(1+Inputs!$B$34/100)),15)/15,MIN(1,(Skills!Y11*(1+Inputs!$B$34/100))/(1/Q1509)))))/100)*(1+((C1514=TRUE)*F1514*IF(AND(Inputs!$B$39&lt;&gt;"pvp",Inputs!$B$44&gt;0),(((R1514-1)*MIN((Skills!Y16*(1+Inputs!$B$34/100)),(1/Q1514))+MIN((Skills!Y16*(1+Inputs!$B$34/100)),MAX(0,Inputs!$B$44-((R1514-1)*(1/Q1514)))))/Inputs!$B$44),IF(Inputs!$B$39="pvp",MIN((Skills!Y16*(1+Inputs!$B$34/100)),15)/15,MIN(1,(Skills!Y16*(1+Inputs!$B$34/100))/(1/Q1514)))))/100)</f>
        <v/>
      </c>
    </row>
    <row r="1532">
      <c r="A1532" t="inlineStr">
        <is>
          <t>Global Crit Rate Bonus %</t>
        </is>
      </c>
      <c r="B1532">
        <f>((C1519=TRUE)*F1519*IF(AND(Inputs!$B$39&lt;&gt;"pvp",Inputs!$B$44&gt;0),(((R1519-1)*MIN((Skills!Y21*(1+Inputs!$B$34/100)),(1/Q1519))+MIN((Skills!Y21*(1+Inputs!$B$34/100)),MAX(0,Inputs!$B$44-((R1519-1)*(1/Q1519)))))/Inputs!$B$44),IF(Inputs!$B$39="pvp",MIN((Skills!Y21*(1+Inputs!$B$34/100)),15)/15,MIN(1,(Skills!Y21*(1+Inputs!$B$34/100))/(1/Q1519)))))</f>
        <v/>
      </c>
    </row>
    <row r="1533">
      <c r="A1533" t="inlineStr">
        <is>
          <t>Global Monster Damage-Taken Bonus %</t>
        </is>
      </c>
      <c r="B1533">
        <f>IF(Inputs!$B$3&gt;=82,15,0)</f>
        <v/>
      </c>
    </row>
    <row r="1534">
      <c r="A1534" t="inlineStr">
        <is>
          <t>Shadow Partner Average Multiplier</t>
        </is>
      </c>
      <c r="B1534">
        <f>1+((C1506=TRUE)*F1506*(1+3.3333333333333335*IF(C1517=TRUE,F1517,0)/100)*I1506*Skills!J8/100)/100</f>
        <v/>
      </c>
    </row>
    <row r="1535">
      <c r="A1535" t="inlineStr">
        <is>
          <t>Attack Speed Buff Bonus %</t>
        </is>
      </c>
      <c r="B1535">
        <f>((C1518=TRUE)*F1518*IF(AND(Inputs!$B$39&lt;&gt;"pvp",Inputs!$B$44&gt;0),(((R1518-1)*MIN((Skills!Y20*(1+Inputs!$B$34/100)),(1/Q1518))+MIN((Skills!Y20*(1+Inputs!$B$34/100)),MAX(0,Inputs!$B$44-((R1518-1)*(1/Q1518)))))/Inputs!$B$44),IF(Inputs!$B$39="pvp",MIN((Skills!Y20*(1+Inputs!$B$34/100)),15)/15,MIN(1,(Skills!Y20*(1+Inputs!$B$34/100))/(1/Q1518)))))</f>
        <v/>
      </c>
    </row>
    <row r="1536">
      <c r="A1536" t="inlineStr">
        <is>
          <t>Actions Per Second</t>
        </is>
      </c>
      <c r="B1536">
        <f>1+MIN(150,150*(1-(1-(Inputs!$B$11+((C1521=TRUE)*(F1521-Calc!F23)))/150)*(1-B1535/150)))/100</f>
        <v/>
      </c>
    </row>
    <row r="1537">
      <c r="A1537" t="inlineStr">
        <is>
          <t>Skill + Buff Cast Rate</t>
        </is>
      </c>
      <c r="B1537">
        <f>IF(AND(Inputs!$B$39&lt;&gt;"pvp",Inputs!$B$44&gt;0),SUMPRODUCT((Skills!E2:E31=TRUE)*(C1500:C1529=TRUE)*R1500:R1529*Skills!F2:F31)/Inputs!$B$44,SUMPRODUCT((Skills!E2:E31=TRUE)*(C1500:C1529=TRUE)*Q1500:Q1529*Skills!F2:F31))</f>
        <v/>
      </c>
    </row>
    <row r="1538">
      <c r="A1538" t="inlineStr">
        <is>
          <t>Cruel Stab Casts Per Second</t>
        </is>
      </c>
      <c r="B1538">
        <f>MAX(0,B1536-B1537)</f>
        <v/>
      </c>
    </row>
    <row r="1539">
      <c r="A1539" t="inlineStr">
        <is>
          <t>Global Critical Damage Bonus % (Smokescreen Mastery Lv.113)</t>
        </is>
      </c>
      <c r="B1539">
        <f>IF(Inputs!$B$3&gt;=113,30,0)*IF(AND(Inputs!$B$39&lt;&gt;"pvp",Inputs!$B$44&gt;0),(((R1514-1)*MIN((Skills!Y16*(1+Inputs!$B$34/100)),(1/Q1514))+MIN((Skills!Y16*(1+Inputs!$B$34/100)),MAX(0,Inputs!$B$44-((R1514-1)*(1/Q1514)))))/Inputs!$B$44),IF(Inputs!$B$39="pvp",MIN((Skills!Y16*(1+Inputs!$B$34/100)),15)/15,MIN(1,(Skills!Y16*(1+Inputs!$B$34/100))/(1/Q1514))))</f>
        <v/>
      </c>
    </row>
    <row r="1540">
      <c r="A1540" t="inlineStr">
        <is>
          <t>Meso Explosion average stack count</t>
        </is>
      </c>
      <c r="B1540">
        <f>MIN(10,IF(Inputs!$B$3&gt;=75,0.75,0.5)*B1536*(1/Q1502))</f>
        <v/>
      </c>
    </row>
    <row r="1541">
      <c r="A1541" t="inlineStr">
        <is>
          <t>Blood Money average stack count</t>
        </is>
      </c>
      <c r="B1541">
        <f>MIN(5,0.5*IF(Inputs!$B$3&gt;=75,0.75,0.5)*B1536*(1/Q1502))</f>
        <v/>
      </c>
    </row>
    <row r="1542">
      <c r="A1542" t="inlineStr">
        <is>
          <t>Assassinate Murderous Intent Multiplier</t>
        </is>
      </c>
      <c r="B1542">
        <f>1+IFERROR(MIN(1,Q1513*2/Q1510),0)</f>
        <v/>
      </c>
    </row>
    <row r="1543">
      <c r="A1543" t="inlineStr">
        <is>
          <t>Buff-Casting Startup Delay (s, fixed-duration only)</t>
        </is>
      </c>
      <c r="B1543">
        <f>IF(AND(Inputs!$B$39&lt;&gt;"pvp",Inputs!$B$44&gt;0),SUMPRODUCT((Skills!Y2:Y31&gt;0)*(Skills!E2:E31=TRUE)*(C1500:C1529=TRUE))/B1536,0)</f>
        <v/>
      </c>
    </row>
    <row r="1544">
      <c r="A1544" s="6" t="inlineStr">
        <is>
          <t>TOTAL DPS</t>
        </is>
      </c>
      <c r="B1544" s="6">
        <f>SUM(O1500:O1529)</f>
        <v/>
      </c>
    </row>
    <row r="1545">
      <c r="A1545" t="inlineStr">
        <is>
          <t>Boss-Only Total DPS (this block's swept value)</t>
        </is>
      </c>
      <c r="B1545">
        <f>SUM(T1500:T1529)</f>
        <v/>
      </c>
    </row>
    <row r="1546">
      <c r="A1546" t="inlineStr">
        <is>
          <t>Normal-Only Total DPS (this block's swept value)</t>
        </is>
      </c>
      <c r="B1546">
        <f>SUM(V1500:V1529)</f>
        <v/>
      </c>
    </row>
    <row r="1549">
      <c r="A1549" s="6" t="inlineStr">
        <is>
          <t>Stat: Shamaness Marble (Equip)</t>
        </is>
      </c>
    </row>
    <row r="1550">
      <c r="A1550" s="5" t="inlineStr">
        <is>
          <t>Key</t>
        </is>
      </c>
      <c r="B1550" s="5" t="inlineStr">
        <is>
          <t>Name</t>
        </is>
      </c>
      <c r="C1550" s="5" t="inlineStr">
        <is>
          <t>Unlocked</t>
        </is>
      </c>
      <c r="D1550" s="5" t="inlineStr">
        <is>
          <t>InputLevel</t>
        </is>
      </c>
      <c r="E1550" s="5" t="inlineStr">
        <is>
          <t>Factor</t>
        </is>
      </c>
      <c r="F1550" s="5" t="inlineStr">
        <is>
          <t>CoefficientPercent</t>
        </is>
      </c>
      <c r="G1550" s="5" t="inlineStr">
        <is>
          <t>EffectiveHits</t>
        </is>
      </c>
      <c r="H1550" s="5" t="inlineStr">
        <is>
          <t>ProcProbability</t>
        </is>
      </c>
      <c r="I1550" s="5" t="inlineStr">
        <is>
          <t>MapleHeroMultiplier</t>
        </is>
      </c>
      <c r="J1550" s="5" t="inlineStr">
        <is>
          <t>BaseDamage</t>
        </is>
      </c>
      <c r="K1550" s="5" t="inlineStr">
        <is>
          <t>BaseHitDamage</t>
        </is>
      </c>
      <c r="L1550" s="5" t="inlineStr">
        <is>
          <t>NonCritAvg</t>
        </is>
      </c>
      <c r="M1550" s="5" t="inlineStr">
        <is>
          <t>CritAvg</t>
        </is>
      </c>
      <c r="N1550" s="5" t="inlineStr">
        <is>
          <t>ExpectedDamage(perHit)</t>
        </is>
      </c>
      <c r="O1550" s="5" t="inlineStr">
        <is>
          <t>DPS</t>
        </is>
      </c>
      <c r="P1550" s="5" t="inlineStr">
        <is>
          <t>% of Total</t>
        </is>
      </c>
      <c r="Q1550" s="5" t="inlineStr">
        <is>
          <t>InvCooldown</t>
        </is>
      </c>
      <c r="R1550" s="5" t="inlineStr">
        <is>
          <t>CastsInFight</t>
        </is>
      </c>
      <c r="S1550" s="5" t="inlineStr">
        <is>
          <t>HitRate(perSec)</t>
        </is>
      </c>
      <c r="U1550" t="inlineStr">
        <is>
          <t>helpers</t>
        </is>
      </c>
    </row>
    <row r="1551">
      <c r="A1551">
        <f>Skills!A2</f>
        <v/>
      </c>
      <c r="B1551">
        <f>Skills!B2</f>
        <v/>
      </c>
      <c r="C1551">
        <f>Inputs!$B$3&gt;=100</f>
        <v/>
      </c>
      <c r="D1551" t="inlineStr"/>
      <c r="E1551" t="inlineStr"/>
      <c r="F1551">
        <f>U1553+Skills!O2</f>
        <v/>
      </c>
      <c r="G1551">
        <f>Skills!G2*IF(Skills!H2&gt;0,IF(Inputs!$B$39="pvp",MIN(Skills!I2,15),Skills!I2)/Skills!H2,1)</f>
        <v/>
      </c>
      <c r="H1551">
        <f>1-(1-Skills!J2/100)^Skills!K2</f>
        <v/>
      </c>
      <c r="I1551" t="inlineStr">
        <is>
          <t>1</t>
        </is>
      </c>
      <c r="J1551">
        <f>((Inputs!$B$6*(1+Inputs!$B$7/100))+(((Inputs!$B$12*(1+Inputs!$B$13/100))-(Inputs!$B$12*(1+Inputs!$B$13/100)))+0.25*(Inputs!$B$14-Inputs!$B$14))*(1+Inputs!$B$7/100))*(F1551/100)</f>
        <v/>
      </c>
      <c r="K1551">
        <f>J1551*(1+((Inputs!$B$12*(1+Inputs!$B$13/100))*0.01+Inputs!$B$14*0.0025)/100)*(1+Inputs!$B$15/100)*(1+Inputs!$B$16/100)*(5000/(6000+Inputs!$B$43*(1-(100*(1-(1-Inputs!$B$19/100)*(1-CHOOSE(ArtifactsInput!$N$40+1,5,6,7,8,9,10)/100)^(ArtifactsInput!$M$40-ArtifactsInput!$M$40)))/100)))*(1+(Inputs!$B$24+((C1580=TRUE)*(F1580-Calc!F31))+((C1567=TRUE)*(F1567-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CRUEL_STAB",Inputs!$B$17+((C1577=TRUE)*(F1577-Calc!F28))+((IF(AND(Inputs!$B$39&lt;&gt;"pvp",Inputs!$B$44=0),1,IF(IF(Inputs!$B$39="pvp",15,Inputs!$B$44)-(B1594)&lt;=0,1,MAX(0,IF(Inputs!$B$39="pvp",15,Inputs!$B$44)-MAX(5,B1594))/(IF(Inputs!$B$39="pvp",15,Inputs!$B$44)-(B1594))))*(IF(AND(ArtifactsInput!$M$42,((Inputs!$B$9+((C1575=TRUE)*(F1575-Calc!F26))+B1583+(ArtifactsInput!$M$24-ArtifactsInput!$M$24)*CHOOSE(ArtifactsInput!$N$24+1,10,12,14,16,18,20)+IF(ArtifactsInput!$M$10,CHOOSE(ArtifactsInput!$N$10+1,15,18,21,24,27,30)*(IF(Inputs!$B$39="pvp",MIN(15,15)/15,IF(AND(Inputs!$B$39&lt;&gt;"pvp",Inputs!$B$44&gt;0),MIN(15,Inputs!$B$44)/(Inputs!$B$44),0))),0)))&gt;=100),MIN(100,((Inputs!$B$9+((C1575=TRUE)*(F1575-Calc!F26))+B1583+(ArtifactsInput!$M$24-ArtifactsInput!$M$24)*CHOOSE(ArtifactsInput!$N$24+1,10,12,14,16,18,20)+IF(ArtifactsInput!$M$10,CHOOSE(ArtifactsInput!$N$10+1,15,18,21,24,27,30)*(IF(Inputs!$B$39="pvp",MIN(15,15)/15,IF(AND(Inputs!$B$39&lt;&gt;"pvp",Inputs!$B$44&gt;0),MIN(15,Inputs!$B$44)/(Inputs!$B$44),0))),0)))-100),0))*CHOOSE(ArtifactsInput!$N$42+1,0.6,0.72,0.84,0.96,1.08,1.2))),Inputs!$B$18+((C1578=TRUE)*(F1578-Calc!F29))+(IF(AND(Inputs!$B$39&lt;&gt;"pvp",Inputs!$B$44=0),1,IF(IF(Inputs!$B$39="pvp",15,Inputs!$B$44)-(B1594)&lt;=0,1,MAX(0,IF(Inputs!$B$39="pvp",15,Inputs!$B$44)-MAX(5,B1594))/(IF(Inputs!$B$39="pvp",15,Inputs!$B$44)-(B1594))))*IF(AND(ArtifactsInput!$M$42,((Inputs!$B$9+((C1575=TRUE)*(F1575-Calc!F26))+B1583+(ArtifactsInput!$M$24-ArtifactsInput!$M$24)*CHOOSE(ArtifactsInput!$N$24+1,10,12,14,16,18,20)+IF(ArtifactsInput!$M$10,CHOOSE(ArtifactsInput!$N$10+1,15,18,21,24,27,30)*(IF(Inputs!$B$39="pvp",MIN(15,15)/15,IF(AND(Inputs!$B$39&lt;&gt;"pvp",Inputs!$B$44&gt;0),MIN(15,Inputs!$B$44)/(Inputs!$B$44),0))),0)))&gt;=100),CHOOSE(ArtifactsInput!$N$42+1,40,48,56,64,72,80),0))))/100)*(((1+(((C1571=TRUE)*F1571*IF(AND(Inputs!$B$39&lt;&gt;"pvp",Inputs!$B$44&gt;0),(((R1571-1)*MIN((Skills!Y22*(1+Inputs!$B$34/100)),(1/Q1571))+MIN((Skills!Y22*(1+Inputs!$B$34/100)),MAX(0,Inputs!$B$44-((R1571-1)*(1/Q1571)))))/Inputs!$B$44),IF(Inputs!$B$39="pvp",MIN((Skills!Y22*(1+Inputs!$B$34/100)),15)/15,MIN(1,(Skills!Y22*(1+Inputs!$B$34/100))/(1/Q1571)))))+((C1552=TRUE)*F1552*3)+((C1554=TRUE)*F1554*(1-EXP(-0.75*B1587*5)))+((C1573=TRUE)*(F1573-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1560=TRUE)*F1560*IF(AND(Inputs!$B$39&lt;&gt;"pvp",Inputs!$B$44&gt;0),(((R1560-1)*MIN((Skills!Y11*(1+Inputs!$B$34/100)),(1/Q1560))+MIN((Skills!Y11*(1+Inputs!$B$34/100)),MAX(0,Inputs!$B$44-((R1560-1)*(1/Q1560)))))/Inputs!$B$44),IF(Inputs!$B$39="pvp",MIN((Skills!Y11*(1+Inputs!$B$34/100)),15)/15,MIN(1,(Skills!Y11*(1+Inputs!$B$34/100))/(1/Q1560)))))/100)*(1+((C1565=TRUE)*F1565*IF(AND(Inputs!$B$39&lt;&gt;"pvp",Inputs!$B$44&gt;0),(((R1565-1)*MIN((Skills!Y16*(1+Inputs!$B$34/100)),(1/Q1565))+MIN((Skills!Y16*(1+Inputs!$B$34/100)),MAX(0,Inputs!$B$44-((R1565-1)*(1/Q1565)))))/Inputs!$B$44),IF(Inputs!$B$39="pvp",MIN((Skills!Y16*(1+Inputs!$B$34/100)),15)/15,MIN(1,(Skills!Y16*(1+Inputs!$B$34/100))/(1/Q1565)))))/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1585*I1551)</f>
        <v/>
      </c>
      <c r="L1551">
        <f>K1551*(MIN(Inputs!$B$22+((C1574=TRUE)*(F1574-Calc!F25)),(Inputs!$B$23+((C1579=TRUE)*(F1579-Calc!F30))+IF(ArtifactsInput!$M$15,CHOOSE(ArtifactsInput!$N$15+1,25,30,35,40,45,50)/100*(Inputs!$B$11-Inputs!$B$11),0)))/100+(Inputs!$B$23+((C1579=TRUE)*(F1579-Calc!F30))+IF(ArtifactsInput!$M$15,CHOOSE(ArtifactsInput!$N$15+1,25,30,35,40,45,50)/100*(Inputs!$B$11-Inputs!$B$11),0))/100)/2</f>
        <v/>
      </c>
      <c r="M1551">
        <f>L1551*(1+(Inputs!$B$10+((C1576=TRUE)*(F1576-Calc!F27))+B1590+(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1551">
        <f>L1551*(1-MIN((Inputs!$B$9+((C1575=TRUE)*(F1575-Calc!F26))+B1583+(ArtifactsInput!$M$24-ArtifactsInput!$M$24)*CHOOSE(ArtifactsInput!$N$24+1,10,12,14,16,18,20)+(IF(AND(Inputs!$B$39&lt;&gt;"pvp",Inputs!$B$44=0),1,IF(IF(Inputs!$B$39="pvp",15,Inputs!$B$44)-(B1594)&lt;=0,1,MAX(0,IF(Inputs!$B$39="pvp",15,Inputs!$B$44)-MAX(5,B1594))/(IF(Inputs!$B$39="pvp",15,Inputs!$B$44)-(B1594))))*IF(AND(ArtifactsInput!$M$42,((Inputs!$B$9+((C1575=TRUE)*(F1575-Calc!F26))+B1583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1551*(MIN((Inputs!$B$9+((C1575=TRUE)*(F1575-Calc!F26))+B1583+(ArtifactsInput!$M$24-ArtifactsInput!$M$24)*CHOOSE(ArtifactsInput!$N$24+1,10,12,14,16,18,20)+(IF(AND(Inputs!$B$39&lt;&gt;"pvp",Inputs!$B$44=0),1,IF(IF(Inputs!$B$39="pvp",15,Inputs!$B$44)-(B1594)&lt;=0,1,MAX(0,IF(Inputs!$B$39="pvp",15,Inputs!$B$44)-MAX(5,B1594))/(IF(Inputs!$B$39="pvp",15,Inputs!$B$44)-(B1594))))*IF(AND(ArtifactsInput!$M$42,((Inputs!$B$9+((C1575=TRUE)*(F1575-Calc!F26))+B1583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551">
        <f>(1-Summary!$B$11)*T1551+Summary!$B$11*V1551</f>
        <v/>
      </c>
      <c r="P1551">
        <f>IF(B1595=0,0,O1551/B1595)</f>
        <v/>
      </c>
      <c r="Q1551" t="n">
        <v>0</v>
      </c>
      <c r="R1551" t="n">
        <v>0</v>
      </c>
      <c r="S1551">
        <f>IFERROR(O1551/N1551,0)</f>
        <v/>
      </c>
      <c r="T1551">
        <f>IF(C1551,(Skills!G2*N1551*B1589)*IF(Inputs!$B$39="pvp",1,1+(Inputs!$B$20+0+Skills!P2+B1584+(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Hunt"),CHOOSE(ArtifactsInput!$N$35+1,15,18,21,24,27,30)*(1-EXP(-(0.2*B1587)*5)),0)+IF(AND(ArtifactsInput!$M$22,Inputs!$B$4&lt;&gt;"Chapter Hunt"),CHOOSE(ArtifactsInput!$N$22+1,10,12,14,16,18,20)*((0*(((0.15*B1587*5))^0/1)+1*(((0.15*B1587*5))^1/1)+2*(((0.15*B1587*5))^2/2)+3*(((0.15*B1587*5))^3/6)+4*(((0.15*B1587*5))^4/24)+5*(((0.15*B1587*5))^5/120))/((((0.15*B1587*5))^0/1)+(((0.15*B1587*5))^1/1)+(((0.15*B1587*5))^2/2)+(((0.15*B1587*5))^3/6)+(((0.15*B1587*5))^4/24)+(((0.15*B1587*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1551*(1-MIN(100,(Inputs!$B$9+((C1575=TRUE)*(F1575-Calc!F26))+B1583+(ArtifactsInput!$M$24-ArtifactsInput!$M$24)*CHOOSE(ArtifactsInput!$N$24+1,10,12,14,16,18,20)+(IF(AND(Inputs!$B$39&lt;&gt;"pvp",Inputs!$B$44=0),1,IF(IF(Inputs!$B$39="pvp",15,Inputs!$B$44)-(B1594)&lt;=0,1,MAX(0,IF(Inputs!$B$39="pvp",15,Inputs!$B$44)-MAX(5,B1594))/(IF(Inputs!$B$39="pvp",15,Inputs!$B$44)-(B1594))))*IF(AND(ArtifactsInput!$M$42,((Inputs!$B$9+((C1575=TRUE)*(F1575-Calc!F26))+B1583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1551*(MIN(100,(Inputs!$B$9+((C1575=TRUE)*(F1575-Calc!F26))+B1583+(ArtifactsInput!$M$24-ArtifactsInput!$M$24)*CHOOSE(ArtifactsInput!$N$24+1,10,12,14,16,18,20)+(IF(AND(Inputs!$B$39&lt;&gt;"pvp",Inputs!$B$44=0),1,IF(IF(Inputs!$B$39="pvp",15,Inputs!$B$44)-(B1594)&lt;=0,1,MAX(0,IF(Inputs!$B$39="pvp",15,Inputs!$B$44)-MAX(5,B1594))/(IF(Inputs!$B$39="pvp",15,Inputs!$B$44)-(B1594))))*IF(AND(ArtifactsInput!$M$42,((Inputs!$B$9+((C1575=TRUE)*(F1575-Calc!F26))+B1583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1551*(1-MIN(100,(Inputs!$B$9+((C1575=TRUE)*(F1575-Calc!F26))+B1583+(ArtifactsInput!$M$24-ArtifactsInput!$M$24)*CHOOSE(ArtifactsInput!$N$24+1,10,12,14,16,18,20)+(IF(AND(Inputs!$B$39&lt;&gt;"pvp",Inputs!$B$44=0),1,IF(IF(Inputs!$B$39="pvp",15,Inputs!$B$44)-(B1594)&lt;=0,1,MAX(0,IF(Inputs!$B$39="pvp",15,Inputs!$B$44)-MAX(5,B1594))/(IF(Inputs!$B$39="pvp",15,Inputs!$B$44)-(B1594))))*IF(AND(ArtifactsInput!$M$42,((Inputs!$B$9+((C1575=TRUE)*(F1575-Calc!F26))+B1583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1551*(MIN(100,(Inputs!$B$9+((C1575=TRUE)*(F1575-Calc!F26))+B1583+(ArtifactsInput!$M$24-ArtifactsInput!$M$24)*CHOOSE(ArtifactsInput!$N$24+1,10,12,14,16,18,20)+(IF(AND(Inputs!$B$39&lt;&gt;"pvp",Inputs!$B$44=0),1,IF(IF(Inputs!$B$39="pvp",15,Inputs!$B$44)-(B1594)&lt;=0,1,MAX(0,IF(Inputs!$B$39="pvp",15,Inputs!$B$44)-MAX(5,B1594))/(IF(Inputs!$B$39="pvp",15,Inputs!$B$44)-(B1594))))*IF(AND(ArtifactsInput!$M$42,((Inputs!$B$9+((C1575=TRUE)*(F1575-Calc!F26))+B1583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1551">
        <f>MAX(0,(Inputs!$B$3-100)*3)+Inputs!$B$28+Inputs!$B$29</f>
        <v/>
      </c>
      <c r="V1551">
        <f>IF(C1551,(Skills!G2*N1551*B1589)*IF(Inputs!$B$39="pvp",1,(1+(Inputs!$B$21+Skills!Q2+B1584+(IF(ArtifactsInput!$M$33,CHOOSE(ArtifactsInput!$N$33+1,30,36,42,48,54,60),0))+(IF(AND(ArtifactsInput!$M$35,Inputs!$B$4&lt;&gt;"Chapter Hunt"),CHOOSE(ArtifactsInput!$N$35+1,15,18,21,24,27,30)*(1-EXP(-(0.2*B1587)*5)),0)+IF(AND(ArtifactsInput!$M$22,Inputs!$B$4&lt;&gt;"Chapter Hunt"),CHOOSE(ArtifactsInput!$N$22+1,10,12,14,16,18,20)*((0*(((0.15*B1587*5))^0/1)+1*(((0.15*B1587*5))^1/1)+2*(((0.15*B1587*5))^2/2)+3*(((0.15*B1587*5))^3/6)+4*(((0.15*B1587*5))^4/24)+5*(((0.15*B1587*5))^5/120))/((((0.15*B1587*5))^0/1)+(((0.15*B1587*5))^1/1)+(((0.15*B1587*5))^2/2)+(((0.15*B1587*5))^3/6)+(((0.15*B1587*5))^4/24)+(((0.15*B1587*5))^5/120))),0)))/100)*(MIN((6+Inputs!$B$33),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552">
      <c r="A1552">
        <f>Skills!A3</f>
        <v/>
      </c>
      <c r="B1552">
        <f>Skills!B3</f>
        <v/>
      </c>
      <c r="C1552">
        <f>Inputs!$B$3&gt;=35</f>
        <v/>
      </c>
      <c r="D1552">
        <f>IF(Skills!C3=1,60+Inputs!$B$25+Inputs!$B$29,IF(Skills!C3=2,90+Inputs!$B$26+Inputs!$B$29,IF(Skills!C3=3,120+Inputs!$B$27+Inputs!$B$29,MAX(0,(Inputs!$B$3-100)*3)+Inputs!$B$28+Inputs!$B$29)))</f>
        <v/>
      </c>
      <c r="E1552">
        <f>INDEX(FactorTable!$B$2:$Y$301, MATCH(ROUND(MIN(300,MAX(1,D1552)),0), FactorTable!$A$2:$A$301,0), Skills!M3+1)</f>
        <v/>
      </c>
      <c r="F1552">
        <f>IF(Skills!N3=TRUE,(Skills!L3/10)*(E1552/1000),Skills!L3/10)+Skills!O3</f>
        <v/>
      </c>
      <c r="G1552">
        <f>Skills!G3*IF(Skills!H3&gt;0,IF(Inputs!$B$39="pvp",MIN(Skills!I3,15),Skills!I3)/Skills!H3,1)</f>
        <v/>
      </c>
      <c r="H1552">
        <f>1-(1-Skills!J3/100)^Skills!K3</f>
        <v/>
      </c>
      <c r="I1552" t="inlineStr">
        <is>
          <t>1</t>
        </is>
      </c>
      <c r="J1552" t="inlineStr"/>
      <c r="K1552" t="inlineStr"/>
      <c r="L1552" t="inlineStr"/>
      <c r="M1552" t="inlineStr"/>
      <c r="N1552" t="inlineStr"/>
      <c r="O1552">
        <f>(1-Summary!$B$11)*T1552+Summary!$B$11*V1552</f>
        <v/>
      </c>
      <c r="P1552">
        <f>IF(B1595=0,0,O1552/B1595)</f>
        <v/>
      </c>
      <c r="Q1552" t="n">
        <v>0</v>
      </c>
      <c r="R1552" t="n">
        <v>0</v>
      </c>
      <c r="S1552">
        <f>IFERROR(O1552/N1552,0)</f>
        <v/>
      </c>
      <c r="T1552" t="n">
        <v>0</v>
      </c>
      <c r="U1552">
        <f>INDEX(FactorTable!$B$2:$Y$301, MATCH(ROUND(MIN(300,MAX(1,U1551)),0), FactorTable!$A$2:$A$301,0), 22)</f>
        <v/>
      </c>
      <c r="V1552" t="n">
        <v>0</v>
      </c>
    </row>
    <row r="1553">
      <c r="A1553">
        <f>Skills!A4</f>
        <v/>
      </c>
      <c r="B1553">
        <f>Skills!B4</f>
        <v/>
      </c>
      <c r="C1553">
        <f>Inputs!$B$3&gt;=66</f>
        <v/>
      </c>
      <c r="D1553">
        <f>IF(Skills!C4=1,60+Inputs!$B$25+Inputs!$B$29,IF(Skills!C4=2,90+Inputs!$B$26+Inputs!$B$29,IF(Skills!C4=3,120+Inputs!$B$27+Inputs!$B$29,MAX(0,(Inputs!$B$3-100)*3)+Inputs!$B$28+Inputs!$B$29)))</f>
        <v/>
      </c>
      <c r="E1553">
        <f>INDEX(FactorTable!$B$2:$Y$301, MATCH(ROUND(MIN(300,MAX(1,D1553)),0), FactorTable!$A$2:$A$301,0), Skills!M4+1)</f>
        <v/>
      </c>
      <c r="F1553">
        <f>IF(Skills!N4=TRUE,(Skills!L4/10)*(E1553/1000),Skills!L4/10)+Skills!O4</f>
        <v/>
      </c>
      <c r="G1553">
        <f>Skills!G4*IF(Skills!H4&gt;0,IF(Inputs!$B$39="pvp",MIN(Skills!I4,15),Skills!I4)/Skills!H4,1)</f>
        <v/>
      </c>
      <c r="H1553">
        <f>1-(1-Skills!J4/100)^Skills!K4</f>
        <v/>
      </c>
      <c r="I1553" t="inlineStr">
        <is>
          <t>1</t>
        </is>
      </c>
      <c r="J1553">
        <f>((Inputs!$B$6*(1+Inputs!$B$7/100))+(((Inputs!$B$12*(1+Inputs!$B$13/100))-(Inputs!$B$12*(1+Inputs!$B$13/100)))+0.25*(Inputs!$B$14-Inputs!$B$14))*(1+Inputs!$B$7/100))*(F1553/100)</f>
        <v/>
      </c>
      <c r="K1553">
        <f>J1553*(1+((Inputs!$B$12*(1+Inputs!$B$13/100))*0.01+Inputs!$B$14*0.0025)/100)*(1+Inputs!$B$15/100)*(1+Inputs!$B$16/100)*(5000/(6000+Inputs!$B$43*(1-(100*(1-(1-Inputs!$B$19/100)*(1-CHOOSE(ArtifactsInput!$N$40+1,5,6,7,8,9,10)/100)^(ArtifactsInput!$M$40-ArtifactsInput!$M$40)))/100)))*(1+(Inputs!$B$24+((C1580=TRUE)*(F1580-Calc!F31))+((C1567=TRUE)*(F1567-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4="CRUEL_STAB",Inputs!$B$17+((C1577=TRUE)*(F1577-Calc!F28))+((IF(AND(Inputs!$B$39&lt;&gt;"pvp",Inputs!$B$44=0),1,IF(IF(Inputs!$B$39="pvp",15,Inputs!$B$44)-(B1594)&lt;=0,1,MAX(0,IF(Inputs!$B$39="pvp",15,Inputs!$B$44)-MAX(5,B1594))/(IF(Inputs!$B$39="pvp",15,Inputs!$B$44)-(B1594))))*(IF(AND(ArtifactsInput!$M$42,((Inputs!$B$9+((C1575=TRUE)*(F1575-Calc!F26))+B1583+(ArtifactsInput!$M$24-ArtifactsInput!$M$24)*CHOOSE(ArtifactsInput!$N$24+1,10,12,14,16,18,20)+IF(ArtifactsInput!$M$10,CHOOSE(ArtifactsInput!$N$10+1,15,18,21,24,27,30)*(IF(Inputs!$B$39="pvp",MIN(15,15)/15,IF(AND(Inputs!$B$39&lt;&gt;"pvp",Inputs!$B$44&gt;0),MIN(15,Inputs!$B$44)/(Inputs!$B$44),0))),0)))&gt;=100),MIN(100,((Inputs!$B$9+((C1575=TRUE)*(F1575-Calc!F26))+B1583+(ArtifactsInput!$M$24-ArtifactsInput!$M$24)*CHOOSE(ArtifactsInput!$N$24+1,10,12,14,16,18,20)+IF(ArtifactsInput!$M$10,CHOOSE(ArtifactsInput!$N$10+1,15,18,21,24,27,30)*(IF(Inputs!$B$39="pvp",MIN(15,15)/15,IF(AND(Inputs!$B$39&lt;&gt;"pvp",Inputs!$B$44&gt;0),MIN(15,Inputs!$B$44)/(Inputs!$B$44),0))),0)))-100),0))*CHOOSE(ArtifactsInput!$N$42+1,0.6,0.72,0.84,0.96,1.08,1.2))),Inputs!$B$18+((C1578=TRUE)*(F1578-Calc!F29))+(IF(AND(Inputs!$B$39&lt;&gt;"pvp",Inputs!$B$44=0),1,IF(IF(Inputs!$B$39="pvp",15,Inputs!$B$44)-(B1594)&lt;=0,1,MAX(0,IF(Inputs!$B$39="pvp",15,Inputs!$B$44)-MAX(5,B1594))/(IF(Inputs!$B$39="pvp",15,Inputs!$B$44)-(B1594))))*IF(AND(ArtifactsInput!$M$42,((Inputs!$B$9+((C1575=TRUE)*(F1575-Calc!F26))+B1583+(ArtifactsInput!$M$24-ArtifactsInput!$M$24)*CHOOSE(ArtifactsInput!$N$24+1,10,12,14,16,18,20)+IF(ArtifactsInput!$M$10,CHOOSE(ArtifactsInput!$N$10+1,15,18,21,24,27,30)*(IF(Inputs!$B$39="pvp",MIN(15,15)/15,IF(AND(Inputs!$B$39&lt;&gt;"pvp",Inputs!$B$44&gt;0),MIN(15,Inputs!$B$44)/(Inputs!$B$44),0))),0)))&gt;=100),CHOOSE(ArtifactsInput!$N$42+1,40,48,56,64,72,80),0))))/100)*(((1+(((C1571=TRUE)*F1571*IF(AND(Inputs!$B$39&lt;&gt;"pvp",Inputs!$B$44&gt;0),(((R1571-1)*MIN((Skills!Y22*(1+Inputs!$B$34/100)),(1/Q1571))+MIN((Skills!Y22*(1+Inputs!$B$34/100)),MAX(0,Inputs!$B$44-((R1571-1)*(1/Q1571)))))/Inputs!$B$44),IF(Inputs!$B$39="pvp",MIN((Skills!Y22*(1+Inputs!$B$34/100)),15)/15,MIN(1,(Skills!Y22*(1+Inputs!$B$34/100))/(1/Q1571)))))+((C1552=TRUE)*F1552*3)+((C1554=TRUE)*F1554*(1-EXP(-0.75*B1587*5)))+((C1573=TRUE)*(F1573-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1560=TRUE)*F1560*IF(AND(Inputs!$B$39&lt;&gt;"pvp",Inputs!$B$44&gt;0),(((R1560-1)*MIN((Skills!Y11*(1+Inputs!$B$34/100)),(1/Q1560))+MIN((Skills!Y11*(1+Inputs!$B$34/100)),MAX(0,Inputs!$B$44-((R1560-1)*(1/Q1560)))))/Inputs!$B$44),IF(Inputs!$B$39="pvp",MIN((Skills!Y11*(1+Inputs!$B$34/100)),15)/15,MIN(1,(Skills!Y11*(1+Inputs!$B$34/100))/(1/Q1560)))))/100)*(1+((C1565=TRUE)*F1565*IF(AND(Inputs!$B$39&lt;&gt;"pvp",Inputs!$B$44&gt;0),(((R1565-1)*MIN((Skills!Y16*(1+Inputs!$B$34/100)),(1/Q1565))+MIN((Skills!Y16*(1+Inputs!$B$34/100)),MAX(0,Inputs!$B$44-((R1565-1)*(1/Q1565)))))/Inputs!$B$44),IF(Inputs!$B$39="pvp",MIN((Skills!Y16*(1+Inputs!$B$34/100)),15)/15,MIN(1,(Skills!Y16*(1+Inputs!$B$34/100))/(1/Q1565)))))/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1585*I1553)</f>
        <v/>
      </c>
      <c r="L1553">
        <f>K1553*(MIN(Inputs!$B$22+((C1574=TRUE)*(F1574-Calc!F25)),(Inputs!$B$23+((C1579=TRUE)*(F1579-Calc!F30))+IF(ArtifactsInput!$M$15,CHOOSE(ArtifactsInput!$N$15+1,25,30,35,40,45,50)/100*(Inputs!$B$11-Inputs!$B$11),0)))/100+(Inputs!$B$23+((C1579=TRUE)*(F1579-Calc!F30))+IF(ArtifactsInput!$M$15,CHOOSE(ArtifactsInput!$N$15+1,25,30,35,40,45,50)/100*(Inputs!$B$11-Inputs!$B$11),0))/100)/2</f>
        <v/>
      </c>
      <c r="M1553">
        <f>L1553*(1+(Inputs!$B$10+((C1576=TRUE)*(F1576-Calc!F27))+B1590+(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1553">
        <f>L1553*(1-MIN((Inputs!$B$9+((C1575=TRUE)*(F1575-Calc!F26))+B1583+(ArtifactsInput!$M$24-ArtifactsInput!$M$24)*CHOOSE(ArtifactsInput!$N$24+1,10,12,14,16,18,20)+(IF(AND(Inputs!$B$39&lt;&gt;"pvp",Inputs!$B$44=0),1,IF(IF(Inputs!$B$39="pvp",15,Inputs!$B$44)-(B1594)&lt;=0,1,MAX(0,IF(Inputs!$B$39="pvp",15,Inputs!$B$44)-MAX(5,B1594))/(IF(Inputs!$B$39="pvp",15,Inputs!$B$44)-(B1594))))*IF(AND(ArtifactsInput!$M$42,((Inputs!$B$9+((C1575=TRUE)*(F1575-Calc!F26))+B1583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1553*(MIN((Inputs!$B$9+((C1575=TRUE)*(F1575-Calc!F26))+B1583+(ArtifactsInput!$M$24-ArtifactsInput!$M$24)*CHOOSE(ArtifactsInput!$N$24+1,10,12,14,16,18,20)+(IF(AND(Inputs!$B$39&lt;&gt;"pvp",Inputs!$B$44=0),1,IF(IF(Inputs!$B$39="pvp",15,Inputs!$B$44)-(B1594)&lt;=0,1,MAX(0,IF(Inputs!$B$39="pvp",15,Inputs!$B$44)-MAX(5,B1594))/(IF(Inputs!$B$39="pvp",15,Inputs!$B$44)-(B1594))))*IF(AND(ArtifactsInput!$M$42,((Inputs!$B$9+((C1575=TRUE)*(F1575-Calc!F26))+B1583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553">
        <f>(1-Summary!$B$11)*T1553+Summary!$B$11*V1553</f>
        <v/>
      </c>
      <c r="P1553">
        <f>IF(B1595=0,0,O1553/B1595)</f>
        <v/>
      </c>
      <c r="Q1553">
        <f>IFERROR(1/IF(Inputs!$B$39="pvp",15,MAX(0.1,Skills!D4-IF(TRUE=TRUE,Inputs!$B$32,0))),0)</f>
        <v/>
      </c>
      <c r="R1553">
        <f>IF(AND(Inputs!$B$39&lt;&gt;"pvp",Inputs!$B$44&gt;0),IF(MAX(0,Inputs!$B$44-B1594)&lt;=0,0,(INT(MAX(0,Inputs!$B$44-B1594)/IF(Inputs!$B$39="pvp",15,MAX(0.1,Skills!D4-IF(TRUE=TRUE,Inputs!$B$32,0))))+1)),0)</f>
        <v/>
      </c>
      <c r="S1553">
        <f>IFERROR(O1553/N1553,0)</f>
        <v/>
      </c>
      <c r="T1553">
        <f>IF(C1553,(H1553*N1553*IF(AND(Inputs!$B$39&lt;&gt;"pvp",Inputs!$B$44&gt;0),((Skills!G4*((R1553-1)*IF(Skills!H4&gt;0,Skills!I4/Skills!H4,1)+IF(Skills!H4&gt;0,MIN(Skills!I4,MAX(0,MAX(0,Inputs!$B$44-B1594)-((R1553-1)*IF(Inputs!$B$39="pvp",15,MAX(0.1,Skills!D4-IF(TRUE=TRUE,Inputs!$B$32,0))))))/Skills!H4,1)))/Inputs!$B$44),G1553*Q1553))*IF(Inputs!$B$39="pvp",1,1+(Inputs!$B$20+0+Skills!P4+B1584+(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Hunt"),CHOOSE(ArtifactsInput!$N$35+1,15,18,21,24,27,30)*(1-EXP(-(0.2*B1587)*5)),0)+IF(AND(ArtifactsInput!$M$22,Inputs!$B$4&lt;&gt;"Chapter Hunt"),CHOOSE(ArtifactsInput!$N$22+1,10,12,14,16,18,20)*((0*(((0.15*B1587*5))^0/1)+1*(((0.15*B1587*5))^1/1)+2*(((0.15*B1587*5))^2/2)+3*(((0.15*B1587*5))^3/6)+4*(((0.15*B1587*5))^4/24)+5*(((0.15*B1587*5))^5/120))/((((0.15*B1587*5))^0/1)+(((0.15*B1587*5))^1/1)+(((0.15*B1587*5))^2/2)+(((0.15*B1587*5))^3/6)+(((0.15*B1587*5))^4/24)+(((0.15*B1587*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1553*(1-MIN(100,(Inputs!$B$9+((C1575=TRUE)*(F1575-Calc!F26))+B1583+(ArtifactsInput!$M$24-ArtifactsInput!$M$24)*CHOOSE(ArtifactsInput!$N$24+1,10,12,14,16,18,20)+(IF(AND(Inputs!$B$39&lt;&gt;"pvp",Inputs!$B$44=0),1,IF(IF(Inputs!$B$39="pvp",15,Inputs!$B$44)-(B1594)&lt;=0,1,MAX(0,IF(Inputs!$B$39="pvp",15,Inputs!$B$44)-MAX(5,B1594))/(IF(Inputs!$B$39="pvp",15,Inputs!$B$44)-(B1594))))*IF(AND(ArtifactsInput!$M$42,((Inputs!$B$9+((C1575=TRUE)*(F1575-Calc!F26))+B1583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1553*(MIN(100,(Inputs!$B$9+((C1575=TRUE)*(F1575-Calc!F26))+B1583+(ArtifactsInput!$M$24-ArtifactsInput!$M$24)*CHOOSE(ArtifactsInput!$N$24+1,10,12,14,16,18,20)+(IF(AND(Inputs!$B$39&lt;&gt;"pvp",Inputs!$B$44=0),1,IF(IF(Inputs!$B$39="pvp",15,Inputs!$B$44)-(B1594)&lt;=0,1,MAX(0,IF(Inputs!$B$39="pvp",15,Inputs!$B$44)-MAX(5,B1594))/(IF(Inputs!$B$39="pvp",15,Inputs!$B$44)-(B1594))))*IF(AND(ArtifactsInput!$M$42,((Inputs!$B$9+((C1575=TRUE)*(F1575-Calc!F26))+B1583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1553*(1-MIN(100,(Inputs!$B$9+((C1575=TRUE)*(F1575-Calc!F26))+B1583+(ArtifactsInput!$M$24-ArtifactsInput!$M$24)*CHOOSE(ArtifactsInput!$N$24+1,10,12,14,16,18,20)+(IF(AND(Inputs!$B$39&lt;&gt;"pvp",Inputs!$B$44=0),1,IF(IF(Inputs!$B$39="pvp",15,Inputs!$B$44)-(B1594)&lt;=0,1,MAX(0,IF(Inputs!$B$39="pvp",15,Inputs!$B$44)-MAX(5,B1594))/(IF(Inputs!$B$39="pvp",15,Inputs!$B$44)-(B1594))))*IF(AND(ArtifactsInput!$M$42,((Inputs!$B$9+((C1575=TRUE)*(F1575-Calc!F26))+B1583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1553*(MIN(100,(Inputs!$B$9+((C1575=TRUE)*(F1575-Calc!F26))+B1583+(ArtifactsInput!$M$24-ArtifactsInput!$M$24)*CHOOSE(ArtifactsInput!$N$24+1,10,12,14,16,18,20)+(IF(AND(Inputs!$B$39&lt;&gt;"pvp",Inputs!$B$44=0),1,IF(IF(Inputs!$B$39="pvp",15,Inputs!$B$44)-(B1594)&lt;=0,1,MAX(0,IF(Inputs!$B$39="pvp",15,Inputs!$B$44)-MAX(5,B1594))/(IF(Inputs!$B$39="pvp",15,Inputs!$B$44)-(B1594))))*IF(AND(ArtifactsInput!$M$42,((Inputs!$B$9+((C1575=TRUE)*(F1575-Calc!F26))+B1583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1553">
        <f>290*U1552/1000</f>
        <v/>
      </c>
      <c r="V1553">
        <f>IF(C1553,(H1553*N1553*IF(AND(Inputs!$B$39&lt;&gt;"pvp",Inputs!$B$44&gt;0),((Skills!G4*((R1553-1)*IF(Skills!H4&gt;0,Skills!I4/Skills!H4,1)+IF(Skills!H4&gt;0,MIN(Skills!I4,MAX(0,MAX(0,Inputs!$B$44-B1594)-((R1553-1)*IF(Inputs!$B$39="pvp",15,MAX(0.1,Skills!D4-IF(TRUE=TRUE,Inputs!$B$32,0))))))/Skills!H4,1)))/Inputs!$B$44),G1553*Q1553))*IF(Inputs!$B$39="pvp",1,(1+(Inputs!$B$21+Skills!Q4+B1584+(IF(ArtifactsInput!$M$33,CHOOSE(ArtifactsInput!$N$33+1,30,36,42,48,54,60),0))+(IF(AND(ArtifactsInput!$M$35,Inputs!$B$4&lt;&gt;"Chapter Hunt"),CHOOSE(ArtifactsInput!$N$35+1,15,18,21,24,27,30)*(1-EXP(-(0.2*B1587)*5)),0)+IF(AND(ArtifactsInput!$M$22,Inputs!$B$4&lt;&gt;"Chapter Hunt"),CHOOSE(ArtifactsInput!$N$22+1,10,12,14,16,18,20)*((0*(((0.15*B1587*5))^0/1)+1*(((0.15*B1587*5))^1/1)+2*(((0.15*B1587*5))^2/2)+3*(((0.15*B1587*5))^3/6)+4*(((0.15*B1587*5))^4/24)+5*(((0.15*B1587*5))^5/120))/((((0.15*B1587*5))^0/1)+(((0.15*B1587*5))^1/1)+(((0.15*B1587*5))^2/2)+(((0.15*B1587*5))^3/6)+(((0.15*B1587*5))^4/24)+(((0.15*B1587*5))^5/120))),0)))/100)*(MIN(MIN(10,IF(Inputs!$B$3&gt;=75,0.75,0.5)*B1587*(1/Q1553)),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554">
      <c r="A1554">
        <f>Skills!A5</f>
        <v/>
      </c>
      <c r="B1554">
        <f>Skills!B5</f>
        <v/>
      </c>
      <c r="C1554">
        <f>Inputs!$B$3&gt;=75</f>
        <v/>
      </c>
      <c r="D1554">
        <f>IF(Skills!C5=1,60+Inputs!$B$25+Inputs!$B$29,IF(Skills!C5=2,90+Inputs!$B$26+Inputs!$B$29,IF(Skills!C5=3,120+Inputs!$B$27+Inputs!$B$29,MAX(0,(Inputs!$B$3-100)*3)+Inputs!$B$28+Inputs!$B$29)))</f>
        <v/>
      </c>
      <c r="E1554">
        <f>INDEX(FactorTable!$B$2:$Y$301, MATCH(ROUND(MIN(300,MAX(1,D1554)),0), FactorTable!$A$2:$A$301,0), Skills!M5+1)</f>
        <v/>
      </c>
      <c r="F1554">
        <f>IF(Skills!N5=TRUE,(Skills!L5/10)*(E1554/1000),Skills!L5/10)+Skills!O5</f>
        <v/>
      </c>
      <c r="G1554">
        <f>Skills!G5*IF(Skills!H5&gt;0,IF(Inputs!$B$39="pvp",MIN(Skills!I5,15),Skills!I5)/Skills!H5,1)</f>
        <v/>
      </c>
      <c r="H1554">
        <f>1-(1-Skills!J5/100)^Skills!K5</f>
        <v/>
      </c>
      <c r="I1554" t="inlineStr">
        <is>
          <t>1</t>
        </is>
      </c>
      <c r="J1554" t="inlineStr"/>
      <c r="K1554" t="inlineStr"/>
      <c r="L1554" t="inlineStr"/>
      <c r="M1554" t="inlineStr"/>
      <c r="N1554" t="inlineStr"/>
      <c r="O1554">
        <f>(1-Summary!$B$11)*T1554+Summary!$B$11*V1554</f>
        <v/>
      </c>
      <c r="P1554">
        <f>IF(B1595=0,0,O1554/B1595)</f>
        <v/>
      </c>
      <c r="Q1554" t="n">
        <v>0</v>
      </c>
      <c r="R1554" t="n">
        <v>0</v>
      </c>
      <c r="S1554">
        <f>IFERROR(O1554/N1554,0)</f>
        <v/>
      </c>
      <c r="T1554" t="n">
        <v>0</v>
      </c>
      <c r="V1554" t="n">
        <v>0</v>
      </c>
    </row>
    <row r="1555">
      <c r="A1555">
        <f>Skills!A6</f>
        <v/>
      </c>
      <c r="B1555">
        <f>Skills!B6</f>
        <v/>
      </c>
      <c r="C1555">
        <f>Inputs!$B$3&gt;=63</f>
        <v/>
      </c>
      <c r="D1555">
        <f>IF(Skills!C6=1,60+Inputs!$B$25+Inputs!$B$29,IF(Skills!C6=2,90+Inputs!$B$26+Inputs!$B$29,IF(Skills!C6=3,120+Inputs!$B$27+Inputs!$B$29,MAX(0,(Inputs!$B$3-100)*3)+Inputs!$B$28+Inputs!$B$29)))</f>
        <v/>
      </c>
      <c r="E1555">
        <f>INDEX(FactorTable!$B$2:$Y$301, MATCH(ROUND(MIN(300,MAX(1,D1555)),0), FactorTable!$A$2:$A$301,0), Skills!M6+1)</f>
        <v/>
      </c>
      <c r="F1555">
        <f>IF(Skills!N6=TRUE,(Skills!L6/10)*(E1555/1000),Skills!L6/10)+Skills!O6</f>
        <v/>
      </c>
      <c r="G1555">
        <f>Skills!G6*IF(Skills!H6&gt;0,IF(Inputs!$B$39="pvp",MIN(Skills!I6,15),Skills!I6)/Skills!H6,1)</f>
        <v/>
      </c>
      <c r="H1555">
        <f>1-(1-Skills!J6/100)^Skills!K6</f>
        <v/>
      </c>
      <c r="I1555" t="inlineStr">
        <is>
          <t>1</t>
        </is>
      </c>
      <c r="J1555">
        <f>((Inputs!$B$6*(1+Inputs!$B$7/100))+(((Inputs!$B$12*(1+Inputs!$B$13/100))-(Inputs!$B$12*(1+Inputs!$B$13/100)))+0.25*(Inputs!$B$14-Inputs!$B$14))*(1+Inputs!$B$7/100))*(F1555/100)</f>
        <v/>
      </c>
      <c r="K1555">
        <f>J1555*(1+((Inputs!$B$12*(1+Inputs!$B$13/100))*0.01+Inputs!$B$14*0.0025)/100)*(1+Inputs!$B$15/100)*(1+Inputs!$B$16/100)*(5000/(6000+Inputs!$B$43*(1-(100*(1-(1-Inputs!$B$19/100)*(1-CHOOSE(ArtifactsInput!$N$40+1,5,6,7,8,9,10)/100)^(ArtifactsInput!$M$40-ArtifactsInput!$M$40)))/100)))*(1+(Inputs!$B$24+((C1580=TRUE)*(F1580-Calc!F31))+((C1567=TRUE)*(F1567-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+2.6666666666666665*IF(C1568=TRUE,F1568,0)/100)*(1+(IF(Skills!A6="CRUEL_STAB",Inputs!$B$17+((C1577=TRUE)*(F1577-Calc!F28))+((IF(AND(Inputs!$B$39&lt;&gt;"pvp",Inputs!$B$44=0),1,IF(IF(Inputs!$B$39="pvp",15,Inputs!$B$44)-(B1594)&lt;=0,1,MAX(0,IF(Inputs!$B$39="pvp",15,Inputs!$B$44)-MAX(5,B1594))/(IF(Inputs!$B$39="pvp",15,Inputs!$B$44)-(B1594))))*(IF(AND(ArtifactsInput!$M$42,((Inputs!$B$9+((C1575=TRUE)*(F1575-Calc!F26))+B1583+(ArtifactsInput!$M$24-ArtifactsInput!$M$24)*CHOOSE(ArtifactsInput!$N$24+1,10,12,14,16,18,20)+IF(ArtifactsInput!$M$10,CHOOSE(ArtifactsInput!$N$10+1,15,18,21,24,27,30)*(IF(Inputs!$B$39="pvp",MIN(15,15)/15,IF(AND(Inputs!$B$39&lt;&gt;"pvp",Inputs!$B$44&gt;0),MIN(15,Inputs!$B$44)/(Inputs!$B$44),0))),0)))&gt;=100),MIN(100,((Inputs!$B$9+((C1575=TRUE)*(F1575-Calc!F26))+B1583+(ArtifactsInput!$M$24-ArtifactsInput!$M$24)*CHOOSE(ArtifactsInput!$N$24+1,10,12,14,16,18,20)+IF(ArtifactsInput!$M$10,CHOOSE(ArtifactsInput!$N$10+1,15,18,21,24,27,30)*(IF(Inputs!$B$39="pvp",MIN(15,15)/15,IF(AND(Inputs!$B$39&lt;&gt;"pvp",Inputs!$B$44&gt;0),MIN(15,Inputs!$B$44)/(Inputs!$B$44),0))),0)))-100),0))*CHOOSE(ArtifactsInput!$N$42+1,0.6,0.72,0.84,0.96,1.08,1.2))),Inputs!$B$18+((C1578=TRUE)*(F1578-Calc!F29))+(IF(AND(Inputs!$B$39&lt;&gt;"pvp",Inputs!$B$44=0),1,IF(IF(Inputs!$B$39="pvp",15,Inputs!$B$44)-(B1594)&lt;=0,1,MAX(0,IF(Inputs!$B$39="pvp",15,Inputs!$B$44)-MAX(5,B1594))/(IF(Inputs!$B$39="pvp",15,Inputs!$B$44)-(B1594))))*IF(AND(ArtifactsInput!$M$42,((Inputs!$B$9+((C1575=TRUE)*(F1575-Calc!F26))+B1583+(ArtifactsInput!$M$24-ArtifactsInput!$M$24)*CHOOSE(ArtifactsInput!$N$24+1,10,12,14,16,18,20)+IF(ArtifactsInput!$M$10,CHOOSE(ArtifactsInput!$N$10+1,15,18,21,24,27,30)*(IF(Inputs!$B$39="pvp",MIN(15,15)/15,IF(AND(Inputs!$B$39&lt;&gt;"pvp",Inputs!$B$44&gt;0),MIN(15,Inputs!$B$44)/(Inputs!$B$44),0))),0)))&gt;=100),CHOOSE(ArtifactsInput!$N$42+1,40,48,56,64,72,80),0))))/100)*(((1+(((C1571=TRUE)*F1571*IF(AND(Inputs!$B$39&lt;&gt;"pvp",Inputs!$B$44&gt;0),(((R1571-1)*MIN((Skills!Y22*(1+Inputs!$B$34/100)),(1/Q1571))+MIN((Skills!Y22*(1+Inputs!$B$34/100)),MAX(0,Inputs!$B$44-((R1571-1)*(1/Q1571)))))/Inputs!$B$44),IF(Inputs!$B$39="pvp",MIN((Skills!Y22*(1+Inputs!$B$34/100)),15)/15,MIN(1,(Skills!Y22*(1+Inputs!$B$34/100))/(1/Q1571)))))+((C1552=TRUE)*F1552*3)+((C1554=TRUE)*F1554*(1-EXP(-0.75*B1587*5)))+((C1573=TRUE)*(F1573-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1560=TRUE)*F1560*IF(AND(Inputs!$B$39&lt;&gt;"pvp",Inputs!$B$44&gt;0),(((R1560-1)*MIN((Skills!Y11*(1+Inputs!$B$34/100)),(1/Q1560))+MIN((Skills!Y11*(1+Inputs!$B$34/100)),MAX(0,Inputs!$B$44-((R1560-1)*(1/Q1560)))))/Inputs!$B$44),IF(Inputs!$B$39="pvp",MIN((Skills!Y11*(1+Inputs!$B$34/100)),15)/15,MIN(1,(Skills!Y11*(1+Inputs!$B$34/100))/(1/Q1560)))))/100)*(1+((C1565=TRUE)*F1565*IF(AND(Inputs!$B$39&lt;&gt;"pvp",Inputs!$B$44&gt;0),(((R1565-1)*MIN((Skills!Y16*(1+Inputs!$B$34/100)),(1/Q1565))+MIN((Skills!Y16*(1+Inputs!$B$34/100)),MAX(0,Inputs!$B$44-((R1565-1)*(1/Q1565)))))/Inputs!$B$44),IF(Inputs!$B$39="pvp",MIN((Skills!Y16*(1+Inputs!$B$34/100)),15)/15,MIN(1,(Skills!Y16*(1+Inputs!$B$34/100))/(1/Q1565)))))/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1585*I1555)</f>
        <v/>
      </c>
      <c r="L1555">
        <f>K1555*(MIN(Inputs!$B$22+((C1574=TRUE)*(F1574-Calc!F25)),(Inputs!$B$23+((C1579=TRUE)*(F1579-Calc!F30))+IF(ArtifactsInput!$M$15,CHOOSE(ArtifactsInput!$N$15+1,25,30,35,40,45,50)/100*(Inputs!$B$11-Inputs!$B$11),0)))/100+(Inputs!$B$23+((C1579=TRUE)*(F1579-Calc!F30))+IF(ArtifactsInput!$M$15,CHOOSE(ArtifactsInput!$N$15+1,25,30,35,40,45,50)/100*(Inputs!$B$11-Inputs!$B$11),0))/100)/2</f>
        <v/>
      </c>
      <c r="M1555">
        <f>L1555*(1+(Inputs!$B$10+((C1576=TRUE)*(F1576-Calc!F27))+B1590+(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1555">
        <f>L1555*(1-MIN((Inputs!$B$9+((C1575=TRUE)*(F1575-Calc!F26))+B1583+(ArtifactsInput!$M$24-ArtifactsInput!$M$24)*CHOOSE(ArtifactsInput!$N$24+1,10,12,14,16,18,20)+(IF(AND(Inputs!$B$39&lt;&gt;"pvp",Inputs!$B$44=0),1,IF(IF(Inputs!$B$39="pvp",15,Inputs!$B$44)-(B1594)&lt;=0,1,MAX(0,IF(Inputs!$B$39="pvp",15,Inputs!$B$44)-MAX(5,B1594))/(IF(Inputs!$B$39="pvp",15,Inputs!$B$44)-(B1594))))*IF(AND(ArtifactsInput!$M$42,((Inputs!$B$9+((C1575=TRUE)*(F1575-Calc!F26))+B1583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1555*(MIN((Inputs!$B$9+((C1575=TRUE)*(F1575-Calc!F26))+B1583+(ArtifactsInput!$M$24-ArtifactsInput!$M$24)*CHOOSE(ArtifactsInput!$N$24+1,10,12,14,16,18,20)+(IF(AND(Inputs!$B$39&lt;&gt;"pvp",Inputs!$B$44=0),1,IF(IF(Inputs!$B$39="pvp",15,Inputs!$B$44)-(B1594)&lt;=0,1,MAX(0,IF(Inputs!$B$39="pvp",15,Inputs!$B$44)-MAX(5,B1594))/(IF(Inputs!$B$39="pvp",15,Inputs!$B$44)-(B1594))))*IF(AND(ArtifactsInput!$M$42,((Inputs!$B$9+((C1575=TRUE)*(F1575-Calc!F26))+B1583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555">
        <f>(1-Summary!$B$11)*T1555+Summary!$B$11*V1555</f>
        <v/>
      </c>
      <c r="P1555">
        <f>IF(B1595=0,0,O1555/B1595)</f>
        <v/>
      </c>
      <c r="Q1555">
        <f>IFERROR(1/IF(Inputs!$B$39="pvp",15,MAX(0.1,Skills!D6-IF(TRUE=TRUE,Inputs!$B$32,0))),0)</f>
        <v/>
      </c>
      <c r="R1555">
        <f>IF(AND(Inputs!$B$39&lt;&gt;"pvp",Inputs!$B$44&gt;0),IF(MAX(0,Inputs!$B$44-B1594)&lt;=0,0,(INT(MAX(0,Inputs!$B$44-B1594)/IF(Inputs!$B$39="pvp",15,MAX(0.1,Skills!D6-IF(TRUE=TRUE,Inputs!$B$32,0))))+1)),0)</f>
        <v/>
      </c>
      <c r="S1555">
        <f>IFERROR(O1555/N1555,0)</f>
        <v/>
      </c>
      <c r="T1555">
        <f>IF(C1555,(H1555*N1555*IF(AND(Inputs!$B$39&lt;&gt;"pvp",Inputs!$B$44&gt;0),((Skills!G6*((R1555-1)*IF(Skills!H6&gt;0,Skills!I6/Skills!H6,1)+IF(Skills!H6&gt;0,MIN(Skills!I6,MAX(0,MAX(0,Inputs!$B$44-B1594)-((R1555-1)*IF(Inputs!$B$39="pvp",15,MAX(0.1,Skills!D6-IF(TRUE=TRUE,Inputs!$B$32,0))))))/Skills!H6,1)))/Inputs!$B$44),G1555*Q1555))*IF(Inputs!$B$39="pvp",1,1+(Inputs!$B$20+0+Skills!P6+B1584+(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Hunt"),CHOOSE(ArtifactsInput!$N$35+1,15,18,21,24,27,30)*(1-EXP(-(0.2*B1587)*5)),0)+IF(AND(ArtifactsInput!$M$22,Inputs!$B$4&lt;&gt;"Chapter Hunt"),CHOOSE(ArtifactsInput!$N$22+1,10,12,14,16,18,20)*((0*(((0.15*B1587*5))^0/1)+1*(((0.15*B1587*5))^1/1)+2*(((0.15*B1587*5))^2/2)+3*(((0.15*B1587*5))^3/6)+4*(((0.15*B1587*5))^4/24)+5*(((0.15*B1587*5))^5/120))/((((0.15*B1587*5))^0/1)+(((0.15*B1587*5))^1/1)+(((0.15*B1587*5))^2/2)+(((0.15*B1587*5))^3/6)+(((0.15*B1587*5))^4/24)+(((0.15*B1587*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1555*(1-MIN(100,(Inputs!$B$9+((C1575=TRUE)*(F1575-Calc!F26))+B1583+(ArtifactsInput!$M$24-ArtifactsInput!$M$24)*CHOOSE(ArtifactsInput!$N$24+1,10,12,14,16,18,20)+(IF(AND(Inputs!$B$39&lt;&gt;"pvp",Inputs!$B$44=0),1,IF(IF(Inputs!$B$39="pvp",15,Inputs!$B$44)-(B1594)&lt;=0,1,MAX(0,IF(Inputs!$B$39="pvp",15,Inputs!$B$44)-MAX(5,B1594))/(IF(Inputs!$B$39="pvp",15,Inputs!$B$44)-(B1594))))*IF(AND(ArtifactsInput!$M$42,((Inputs!$B$9+((C1575=TRUE)*(F1575-Calc!F26))+B1583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1555*(MIN(100,(Inputs!$B$9+((C1575=TRUE)*(F1575-Calc!F26))+B1583+(ArtifactsInput!$M$24-ArtifactsInput!$M$24)*CHOOSE(ArtifactsInput!$N$24+1,10,12,14,16,18,20)+(IF(AND(Inputs!$B$39&lt;&gt;"pvp",Inputs!$B$44=0),1,IF(IF(Inputs!$B$39="pvp",15,Inputs!$B$44)-(B1594)&lt;=0,1,MAX(0,IF(Inputs!$B$39="pvp",15,Inputs!$B$44)-MAX(5,B1594))/(IF(Inputs!$B$39="pvp",15,Inputs!$B$44)-(B1594))))*IF(AND(ArtifactsInput!$M$42,((Inputs!$B$9+((C1575=TRUE)*(F1575-Calc!F26))+B1583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1555*(1-MIN(100,(Inputs!$B$9+((C1575=TRUE)*(F1575-Calc!F26))+B1583+(ArtifactsInput!$M$24-ArtifactsInput!$M$24)*CHOOSE(ArtifactsInput!$N$24+1,10,12,14,16,18,20)+(IF(AND(Inputs!$B$39&lt;&gt;"pvp",Inputs!$B$44=0),1,IF(IF(Inputs!$B$39="pvp",15,Inputs!$B$44)-(B1594)&lt;=0,1,MAX(0,IF(Inputs!$B$39="pvp",15,Inputs!$B$44)-MAX(5,B1594))/(IF(Inputs!$B$39="pvp",15,Inputs!$B$44)-(B1594))))*IF(AND(ArtifactsInput!$M$42,((Inputs!$B$9+((C1575=TRUE)*(F1575-Calc!F26))+B1583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1555*(MIN(100,(Inputs!$B$9+((C1575=TRUE)*(F1575-Calc!F26))+B1583+(ArtifactsInput!$M$24-ArtifactsInput!$M$24)*CHOOSE(ArtifactsInput!$N$24+1,10,12,14,16,18,20)+(IF(AND(Inputs!$B$39&lt;&gt;"pvp",Inputs!$B$44=0),1,IF(IF(Inputs!$B$39="pvp",15,Inputs!$B$44)-(B1594)&lt;=0,1,MAX(0,IF(Inputs!$B$39="pvp",15,Inputs!$B$44)-MAX(5,B1594))/(IF(Inputs!$B$39="pvp",15,Inputs!$B$44)-(B1594))))*IF(AND(ArtifactsInput!$M$42,((Inputs!$B$9+((C1575=TRUE)*(F1575-Calc!F26))+B1583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1555">
        <f>IF(C1555,(H1555*N1555*IF(AND(Inputs!$B$39&lt;&gt;"pvp",Inputs!$B$44&gt;0),((Skills!G6*((R1555-1)*IF(Skills!H6&gt;0,Skills!I6/Skills!H6,1)+IF(Skills!H6&gt;0,MIN(Skills!I6,MAX(0,MAX(0,Inputs!$B$44-B1594)-((R1555-1)*IF(Inputs!$B$39="pvp",15,MAX(0.1,Skills!D6-IF(TRUE=TRUE,Inputs!$B$32,0))))))/Skills!H6,1)))/Inputs!$B$44),G1555*Q1555))*IF(Inputs!$B$39="pvp",1,(1+(Inputs!$B$21+Skills!Q6+B1584+(IF(ArtifactsInput!$M$33,CHOOSE(ArtifactsInput!$N$33+1,30,36,42,48,54,60),0))+(IF(AND(ArtifactsInput!$M$35,Inputs!$B$4&lt;&gt;"Chapter Hunt"),CHOOSE(ArtifactsInput!$N$35+1,15,18,21,24,27,30)*(1-EXP(-(0.2*B1587)*5)),0)+IF(AND(ArtifactsInput!$M$22,Inputs!$B$4&lt;&gt;"Chapter Hunt"),CHOOSE(ArtifactsInput!$N$22+1,10,12,14,16,18,20)*((0*(((0.15*B1587*5))^0/1)+1*(((0.15*B1587*5))^1/1)+2*(((0.15*B1587*5))^2/2)+3*(((0.15*B1587*5))^3/6)+4*(((0.15*B1587*5))^4/24)+5*(((0.15*B1587*5))^5/120))/((((0.15*B1587*5))^0/1)+(((0.15*B1587*5))^1/1)+(((0.15*B1587*5))^2/2)+(((0.15*B1587*5))^3/6)+(((0.15*B1587*5))^4/24)+(((0.15*B1587*5))^5/120))),0)))/100)*(MIN(Skills!W6,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556">
      <c r="A1556">
        <f>Skills!A7</f>
        <v/>
      </c>
      <c r="B1556">
        <f>Skills!B7</f>
        <v/>
      </c>
      <c r="C1556">
        <f>Inputs!$B$3&gt;=69</f>
        <v/>
      </c>
      <c r="D1556">
        <f>IF(Skills!C7=1,60+Inputs!$B$25+Inputs!$B$29,IF(Skills!C7=2,90+Inputs!$B$26+Inputs!$B$29,IF(Skills!C7=3,120+Inputs!$B$27+Inputs!$B$29,MAX(0,(Inputs!$B$3-100)*3)+Inputs!$B$28+Inputs!$B$29)))</f>
        <v/>
      </c>
      <c r="E1556">
        <f>INDEX(FactorTable!$B$2:$Y$301, MATCH(ROUND(MIN(300,MAX(1,D1556)),0), FactorTable!$A$2:$A$301,0), Skills!M7+1)</f>
        <v/>
      </c>
      <c r="F1556">
        <f>IF(Skills!N7=TRUE,(Skills!L7/10)*(E1556/1000),Skills!L7/10)+Skills!O7</f>
        <v/>
      </c>
      <c r="G1556">
        <f>Skills!G7*IF(Skills!H7&gt;0,IF(Inputs!$B$39="pvp",MIN(Skills!I7,15),Skills!I7)/Skills!H7,1)</f>
        <v/>
      </c>
      <c r="H1556">
        <f>1-(1-Skills!J7/100)^Skills!K7</f>
        <v/>
      </c>
      <c r="I1556" t="inlineStr">
        <is>
          <t>1</t>
        </is>
      </c>
      <c r="J1556">
        <f>((Inputs!$B$6*(1+Inputs!$B$7/100))+(((Inputs!$B$12*(1+Inputs!$B$13/100))-(Inputs!$B$12*(1+Inputs!$B$13/100)))+0.25*(Inputs!$B$14-Inputs!$B$14))*(1+Inputs!$B$7/100))*(F1556/100)</f>
        <v/>
      </c>
      <c r="K1556">
        <f>J1556*(1+((Inputs!$B$12*(1+Inputs!$B$13/100))*0.01+Inputs!$B$14*0.0025)/100)*(1+Inputs!$B$15/100)*(1+Inputs!$B$16/100)*(5000/(6000+Inputs!$B$43*(1-(100*(1-(1-Inputs!$B$19/100)*(1-CHOOSE(ArtifactsInput!$N$40+1,5,6,7,8,9,10)/100)^(ArtifactsInput!$M$40-ArtifactsInput!$M$40)))/100)))*(1+(Inputs!$B$24+((C1580=TRUE)*(F1580-Calc!F31))+((C1567=TRUE)*(F1567-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1568=TRUE,F1568,0)/100)*(1+(IF(Skills!A7="CRUEL_STAB",Inputs!$B$17+((C1577=TRUE)*(F1577-Calc!F28))+((IF(AND(Inputs!$B$39&lt;&gt;"pvp",Inputs!$B$44=0),1,IF(IF(Inputs!$B$39="pvp",15,Inputs!$B$44)-(B1594)&lt;=0,1,MAX(0,IF(Inputs!$B$39="pvp",15,Inputs!$B$44)-MAX(5,B1594))/(IF(Inputs!$B$39="pvp",15,Inputs!$B$44)-(B1594))))*(IF(AND(ArtifactsInput!$M$42,((Inputs!$B$9+((C1575=TRUE)*(F1575-Calc!F26))+B1583+(ArtifactsInput!$M$24-ArtifactsInput!$M$24)*CHOOSE(ArtifactsInput!$N$24+1,10,12,14,16,18,20)+IF(ArtifactsInput!$M$10,CHOOSE(ArtifactsInput!$N$10+1,15,18,21,24,27,30)*(IF(Inputs!$B$39="pvp",MIN(15,15)/15,IF(AND(Inputs!$B$39&lt;&gt;"pvp",Inputs!$B$44&gt;0),MIN(15,Inputs!$B$44)/(Inputs!$B$44),0))),0)))&gt;=100),MIN(100,((Inputs!$B$9+((C1575=TRUE)*(F1575-Calc!F26))+B1583+(ArtifactsInput!$M$24-ArtifactsInput!$M$24)*CHOOSE(ArtifactsInput!$N$24+1,10,12,14,16,18,20)+IF(ArtifactsInput!$M$10,CHOOSE(ArtifactsInput!$N$10+1,15,18,21,24,27,30)*(IF(Inputs!$B$39="pvp",MIN(15,15)/15,IF(AND(Inputs!$B$39&lt;&gt;"pvp",Inputs!$B$44&gt;0),MIN(15,Inputs!$B$44)/(Inputs!$B$44),0))),0)))-100),0))*CHOOSE(ArtifactsInput!$N$42+1,0.6,0.72,0.84,0.96,1.08,1.2))),Inputs!$B$18+((C1578=TRUE)*(F1578-Calc!F29))+(IF(AND(Inputs!$B$39&lt;&gt;"pvp",Inputs!$B$44=0),1,IF(IF(Inputs!$B$39="pvp",15,Inputs!$B$44)-(B1594)&lt;=0,1,MAX(0,IF(Inputs!$B$39="pvp",15,Inputs!$B$44)-MAX(5,B1594))/(IF(Inputs!$B$39="pvp",15,Inputs!$B$44)-(B1594))))*IF(AND(ArtifactsInput!$M$42,((Inputs!$B$9+((C1575=TRUE)*(F1575-Calc!F26))+B1583+(ArtifactsInput!$M$24-ArtifactsInput!$M$24)*CHOOSE(ArtifactsInput!$N$24+1,10,12,14,16,18,20)+IF(ArtifactsInput!$M$10,CHOOSE(ArtifactsInput!$N$10+1,15,18,21,24,27,30)*(IF(Inputs!$B$39="pvp",MIN(15,15)/15,IF(AND(Inputs!$B$39&lt;&gt;"pvp",Inputs!$B$44&gt;0),MIN(15,Inputs!$B$44)/(Inputs!$B$44),0))),0)))&gt;=100),CHOOSE(ArtifactsInput!$N$42+1,40,48,56,64,72,80),0))))/100)*(((1+(((C1571=TRUE)*F1571*IF(AND(Inputs!$B$39&lt;&gt;"pvp",Inputs!$B$44&gt;0),(((R1571-1)*MIN((Skills!Y22*(1+Inputs!$B$34/100)),(1/Q1571))+MIN((Skills!Y22*(1+Inputs!$B$34/100)),MAX(0,Inputs!$B$44-((R1571-1)*(1/Q1571)))))/Inputs!$B$44),IF(Inputs!$B$39="pvp",MIN((Skills!Y22*(1+Inputs!$B$34/100)),15)/15,MIN(1,(Skills!Y22*(1+Inputs!$B$34/100))/(1/Q1571)))))+((C1552=TRUE)*F1552*3)+((C1554=TRUE)*F1554*(1-EXP(-0.75*B1587*5)))+((C1573=TRUE)*(F1573-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1560=TRUE)*F1560*IF(AND(Inputs!$B$39&lt;&gt;"pvp",Inputs!$B$44&gt;0),(((R1560-1)*MIN((Skills!Y11*(1+Inputs!$B$34/100)),(1/Q1560))+MIN((Skills!Y11*(1+Inputs!$B$34/100)),MAX(0,Inputs!$B$44-((R1560-1)*(1/Q1560)))))/Inputs!$B$44),IF(Inputs!$B$39="pvp",MIN((Skills!Y11*(1+Inputs!$B$34/100)),15)/15,MIN(1,(Skills!Y11*(1+Inputs!$B$34/100))/(1/Q1560)))))/100)*(1+((C1565=TRUE)*F1565*IF(AND(Inputs!$B$39&lt;&gt;"pvp",Inputs!$B$44&gt;0),(((R1565-1)*MIN((Skills!Y16*(1+Inputs!$B$34/100)),(1/Q1565))+MIN((Skills!Y16*(1+Inputs!$B$34/100)),MAX(0,Inputs!$B$44-((R1565-1)*(1/Q1565)))))/Inputs!$B$44),IF(Inputs!$B$39="pvp",MIN((Skills!Y16*(1+Inputs!$B$34/100)),15)/15,MIN(1,(Skills!Y16*(1+Inputs!$B$34/100))/(1/Q1565)))))/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1585*I1556)</f>
        <v/>
      </c>
      <c r="L1556">
        <f>K1556*(MIN(Inputs!$B$22+((C1574=TRUE)*(F1574-Calc!F25)),(Inputs!$B$23+((C1579=TRUE)*(F1579-Calc!F30))+IF(ArtifactsInput!$M$15,CHOOSE(ArtifactsInput!$N$15+1,25,30,35,40,45,50)/100*(Inputs!$B$11-Inputs!$B$11),0)))/100+(Inputs!$B$23+((C1579=TRUE)*(F1579-Calc!F30))+IF(ArtifactsInput!$M$15,CHOOSE(ArtifactsInput!$N$15+1,25,30,35,40,45,50)/100*(Inputs!$B$11-Inputs!$B$11),0))/100)/2</f>
        <v/>
      </c>
      <c r="M1556">
        <f>L1556*(1+(Inputs!$B$10+((C1576=TRUE)*(F1576-Calc!F27))+B1590+(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1556">
        <f>L1556*(1-MIN((Inputs!$B$9+((C1575=TRUE)*(F1575-Calc!F26))+B1583+(ArtifactsInput!$M$24-ArtifactsInput!$M$24)*CHOOSE(ArtifactsInput!$N$24+1,10,12,14,16,18,20)+(IF(AND(Inputs!$B$39&lt;&gt;"pvp",Inputs!$B$44=0),1,IF(IF(Inputs!$B$39="pvp",15,Inputs!$B$44)-(B1594)&lt;=0,1,MAX(0,IF(Inputs!$B$39="pvp",15,Inputs!$B$44)-MAX(5,B1594))/(IF(Inputs!$B$39="pvp",15,Inputs!$B$44)-(B1594))))*IF(AND(ArtifactsInput!$M$42,((Inputs!$B$9+((C1575=TRUE)*(F1575-Calc!F26))+B1583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1556*(MIN((Inputs!$B$9+((C1575=TRUE)*(F1575-Calc!F26))+B1583+(ArtifactsInput!$M$24-ArtifactsInput!$M$24)*CHOOSE(ArtifactsInput!$N$24+1,10,12,14,16,18,20)+(IF(AND(Inputs!$B$39&lt;&gt;"pvp",Inputs!$B$44=0),1,IF(IF(Inputs!$B$39="pvp",15,Inputs!$B$44)-(B1594)&lt;=0,1,MAX(0,IF(Inputs!$B$39="pvp",15,Inputs!$B$44)-MAX(5,B1594))/(IF(Inputs!$B$39="pvp",15,Inputs!$B$44)-(B1594))))*IF(AND(ArtifactsInput!$M$42,((Inputs!$B$9+((C1575=TRUE)*(F1575-Calc!F26))+B1583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556">
        <f>(1-Summary!$B$11)*T1556+Summary!$B$11*V1556</f>
        <v/>
      </c>
      <c r="P1556">
        <f>IF(B1595=0,0,O1556/B1595)</f>
        <v/>
      </c>
      <c r="Q1556">
        <f>IFERROR(1/IF(Inputs!$B$39="pvp",15,MAX(0.1,Skills!D7-IF(TRUE=TRUE,Inputs!$B$32,0))),0)</f>
        <v/>
      </c>
      <c r="R1556">
        <f>IF(AND(Inputs!$B$39&lt;&gt;"pvp",Inputs!$B$44&gt;0),IF(MAX(0,Inputs!$B$44-B1594)&lt;=0,0,(INT(MAX(0,Inputs!$B$44-B1594)/IF(Inputs!$B$39="pvp",15,MAX(0.1,Skills!D7-IF(TRUE=TRUE,Inputs!$B$32,0))))+1)),0)</f>
        <v/>
      </c>
      <c r="S1556">
        <f>IFERROR(O1556/N1556,0)</f>
        <v/>
      </c>
      <c r="T1556">
        <f>IF(C1556,(H1556*N1556*IF(AND(Inputs!$B$39&lt;&gt;"pvp",Inputs!$B$44&gt;0),((Skills!G7*((R1556-1)*IF(Skills!H7&gt;0,Skills!I7/Skills!H7,1)+IF(Skills!H7&gt;0,MIN(Skills!I7,MAX(0,MAX(0,Inputs!$B$44-B1594)-((R1556-1)*IF(Inputs!$B$39="pvp",15,MAX(0.1,Skills!D7-IF(TRUE=TRUE,Inputs!$B$32,0))))))/Skills!H7,1)))/Inputs!$B$44),G1556*Q1556))*IF(Inputs!$B$39="pvp",1,1+(Inputs!$B$20+0+Skills!P7+B1584+(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Hunt"),CHOOSE(ArtifactsInput!$N$35+1,15,18,21,24,27,30)*(1-EXP(-(0.2*B1587)*5)),0)+IF(AND(ArtifactsInput!$M$22,Inputs!$B$4&lt;&gt;"Chapter Hunt"),CHOOSE(ArtifactsInput!$N$22+1,10,12,14,16,18,20)*((0*(((0.15*B1587*5))^0/1)+1*(((0.15*B1587*5))^1/1)+2*(((0.15*B1587*5))^2/2)+3*(((0.15*B1587*5))^3/6)+4*(((0.15*B1587*5))^4/24)+5*(((0.15*B1587*5))^5/120))/((((0.15*B1587*5))^0/1)+(((0.15*B1587*5))^1/1)+(((0.15*B1587*5))^2/2)+(((0.15*B1587*5))^3/6)+(((0.15*B1587*5))^4/24)+(((0.15*B1587*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1556*(1-MIN(100,(Inputs!$B$9+((C1575=TRUE)*(F1575-Calc!F26))+B1583+(ArtifactsInput!$M$24-ArtifactsInput!$M$24)*CHOOSE(ArtifactsInput!$N$24+1,10,12,14,16,18,20)+(IF(AND(Inputs!$B$39&lt;&gt;"pvp",Inputs!$B$44=0),1,IF(IF(Inputs!$B$39="pvp",15,Inputs!$B$44)-(B1594)&lt;=0,1,MAX(0,IF(Inputs!$B$39="pvp",15,Inputs!$B$44)-MAX(5,B1594))/(IF(Inputs!$B$39="pvp",15,Inputs!$B$44)-(B1594))))*IF(AND(ArtifactsInput!$M$42,((Inputs!$B$9+((C1575=TRUE)*(F1575-Calc!F26))+B1583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1556*(MIN(100,(Inputs!$B$9+((C1575=TRUE)*(F1575-Calc!F26))+B1583+(ArtifactsInput!$M$24-ArtifactsInput!$M$24)*CHOOSE(ArtifactsInput!$N$24+1,10,12,14,16,18,20)+(IF(AND(Inputs!$B$39&lt;&gt;"pvp",Inputs!$B$44=0),1,IF(IF(Inputs!$B$39="pvp",15,Inputs!$B$44)-(B1594)&lt;=0,1,MAX(0,IF(Inputs!$B$39="pvp",15,Inputs!$B$44)-MAX(5,B1594))/(IF(Inputs!$B$39="pvp",15,Inputs!$B$44)-(B1594))))*IF(AND(ArtifactsInput!$M$42,((Inputs!$B$9+((C1575=TRUE)*(F1575-Calc!F26))+B1583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1556*(1-MIN(100,(Inputs!$B$9+((C1575=TRUE)*(F1575-Calc!F26))+B1583+(ArtifactsInput!$M$24-ArtifactsInput!$M$24)*CHOOSE(ArtifactsInput!$N$24+1,10,12,14,16,18,20)+(IF(AND(Inputs!$B$39&lt;&gt;"pvp",Inputs!$B$44=0),1,IF(IF(Inputs!$B$39="pvp",15,Inputs!$B$44)-(B1594)&lt;=0,1,MAX(0,IF(Inputs!$B$39="pvp",15,Inputs!$B$44)-MAX(5,B1594))/(IF(Inputs!$B$39="pvp",15,Inputs!$B$44)-(B1594))))*IF(AND(ArtifactsInput!$M$42,((Inputs!$B$9+((C1575=TRUE)*(F1575-Calc!F26))+B1583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1556*(MIN(100,(Inputs!$B$9+((C1575=TRUE)*(F1575-Calc!F26))+B1583+(ArtifactsInput!$M$24-ArtifactsInput!$M$24)*CHOOSE(ArtifactsInput!$N$24+1,10,12,14,16,18,20)+(IF(AND(Inputs!$B$39&lt;&gt;"pvp",Inputs!$B$44=0),1,IF(IF(Inputs!$B$39="pvp",15,Inputs!$B$44)-(B1594)&lt;=0,1,MAX(0,IF(Inputs!$B$39="pvp",15,Inputs!$B$44)-MAX(5,B1594))/(IF(Inputs!$B$39="pvp",15,Inputs!$B$44)-(B1594))))*IF(AND(ArtifactsInput!$M$42,((Inputs!$B$9+((C1575=TRUE)*(F1575-Calc!F26))+B1583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1556">
        <f>IF(C1556,(H1556*N1556*IF(AND(Inputs!$B$39&lt;&gt;"pvp",Inputs!$B$44&gt;0),((Skills!G7*((R1556-1)*IF(Skills!H7&gt;0,Skills!I7/Skills!H7,1)+IF(Skills!H7&gt;0,MIN(Skills!I7,MAX(0,MAX(0,Inputs!$B$44-B1594)-((R1556-1)*IF(Inputs!$B$39="pvp",15,MAX(0.1,Skills!D7-IF(TRUE=TRUE,Inputs!$B$32,0))))))/Skills!H7,1)))/Inputs!$B$44),G1556*Q1556))*IF(Inputs!$B$39="pvp",1,(1+(Inputs!$B$21+Skills!Q7+B1584+(IF(ArtifactsInput!$M$33,CHOOSE(ArtifactsInput!$N$33+1,30,36,42,48,54,60),0))+(IF(AND(ArtifactsInput!$M$35,Inputs!$B$4&lt;&gt;"Chapter Hunt"),CHOOSE(ArtifactsInput!$N$35+1,15,18,21,24,27,30)*(1-EXP(-(0.2*B1587)*5)),0)+IF(AND(ArtifactsInput!$M$22,Inputs!$B$4&lt;&gt;"Chapter Hunt"),CHOOSE(ArtifactsInput!$N$22+1,10,12,14,16,18,20)*((0*(((0.15*B1587*5))^0/1)+1*(((0.15*B1587*5))^1/1)+2*(((0.15*B1587*5))^2/2)+3*(((0.15*B1587*5))^3/6)+4*(((0.15*B1587*5))^4/24)+5*(((0.15*B1587*5))^5/120))/((((0.15*B1587*5))^0/1)+(((0.15*B1587*5))^1/1)+(((0.15*B1587*5))^2/2)+(((0.15*B1587*5))^3/6)+(((0.15*B1587*5))^4/24)+(((0.15*B1587*5))^5/120))),0)))/100)*(MIN(Skills!W7,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557">
      <c r="A1557">
        <f>Skills!A8</f>
        <v/>
      </c>
      <c r="B1557">
        <f>Skills!B8</f>
        <v/>
      </c>
      <c r="C1557">
        <f>Inputs!$B$3&gt;=60</f>
        <v/>
      </c>
      <c r="D1557">
        <f>IF(Skills!C8=1,60+Inputs!$B$25+Inputs!$B$29,IF(Skills!C8=2,90+Inputs!$B$26+Inputs!$B$29,IF(Skills!C8=3,120+Inputs!$B$27+Inputs!$B$29,MAX(0,(Inputs!$B$3-100)*3)+Inputs!$B$28+Inputs!$B$29)))</f>
        <v/>
      </c>
      <c r="E1557">
        <f>INDEX(FactorTable!$B$2:$Y$301, MATCH(ROUND(MIN(300,MAX(1,D1557)),0), FactorTable!$A$2:$A$301,0), Skills!M8+1)</f>
        <v/>
      </c>
      <c r="F1557">
        <f>IF(Skills!N8=TRUE,(Skills!L8/10)*(E1557/1000),Skills!L8/10)+Skills!O8</f>
        <v/>
      </c>
      <c r="G1557">
        <f>Skills!G8*IF(Skills!H8&gt;0,IF(Inputs!$B$39="pvp",MIN(Skills!I8,15),Skills!I8)/Skills!H8,1)</f>
        <v/>
      </c>
      <c r="H1557">
        <f>1-(1-Skills!J8/100)^Skills!K8</f>
        <v/>
      </c>
      <c r="I1557" t="inlineStr">
        <is>
          <t>1</t>
        </is>
      </c>
      <c r="J1557" t="inlineStr"/>
      <c r="K1557" t="inlineStr"/>
      <c r="L1557" t="inlineStr"/>
      <c r="M1557" t="inlineStr"/>
      <c r="N1557" t="inlineStr"/>
      <c r="O1557">
        <f>(1-Summary!$B$11)*T1557+Summary!$B$11*V1557</f>
        <v/>
      </c>
      <c r="P1557">
        <f>IF(B1595=0,0,O1557/B1595)</f>
        <v/>
      </c>
      <c r="Q1557" t="n">
        <v>0</v>
      </c>
      <c r="R1557" t="n">
        <v>0</v>
      </c>
      <c r="S1557">
        <f>IFERROR(O1557/N1557,0)</f>
        <v/>
      </c>
      <c r="T1557" t="n">
        <v>0</v>
      </c>
      <c r="V1557" t="n">
        <v>0</v>
      </c>
    </row>
    <row r="1558">
      <c r="A1558">
        <f>Skills!A9</f>
        <v/>
      </c>
      <c r="B1558">
        <f>Skills!B9</f>
        <v/>
      </c>
      <c r="C1558">
        <f>Inputs!$B$3&gt;=72</f>
        <v/>
      </c>
      <c r="D1558">
        <f>IF(Skills!C9=1,60+Inputs!$B$25+Inputs!$B$29,IF(Skills!C9=2,90+Inputs!$B$26+Inputs!$B$29,IF(Skills!C9=3,120+Inputs!$B$27+Inputs!$B$29,MAX(0,(Inputs!$B$3-100)*3)+Inputs!$B$28+Inputs!$B$29)))</f>
        <v/>
      </c>
      <c r="E1558">
        <f>INDEX(FactorTable!$B$2:$Y$301, MATCH(ROUND(MIN(300,MAX(1,D1558)),0), FactorTable!$A$2:$A$301,0), Skills!M9+1)</f>
        <v/>
      </c>
      <c r="F1558">
        <f>IF(Skills!N9=TRUE,(Skills!L9/10)*(E1558/1000),Skills!L9/10)+Skills!O9</f>
        <v/>
      </c>
      <c r="G1558">
        <f>Skills!G9*IF(Skills!H9&gt;0,IF(Inputs!$B$39="pvp",MIN(Skills!I9,15),Skills!I9)/Skills!H9,1)</f>
        <v/>
      </c>
      <c r="H1558">
        <f>1-(1-Skills!J9/100)^Skills!K9</f>
        <v/>
      </c>
      <c r="I1558" t="inlineStr">
        <is>
          <t>1</t>
        </is>
      </c>
      <c r="J1558">
        <f>((Inputs!$B$6*(1+Inputs!$B$7/100))+(((Inputs!$B$12*(1+Inputs!$B$13/100))-(Inputs!$B$12*(1+Inputs!$B$13/100)))+0.25*(Inputs!$B$14-Inputs!$B$14))*(1+Inputs!$B$7/100))*(F1558/100)</f>
        <v/>
      </c>
      <c r="K1558">
        <f>J1558*(1+((Inputs!$B$12*(1+Inputs!$B$13/100))*0.01+Inputs!$B$14*0.0025)/100)*(1+Inputs!$B$15/100)*(1+Inputs!$B$16/100)*(5000/(6000+Inputs!$B$43*(1-(100*(1-(1-Inputs!$B$19/100)*(1-CHOOSE(ArtifactsInput!$N$40+1,5,6,7,8,9,10)/100)^(ArtifactsInput!$M$40-ArtifactsInput!$M$40)))/100)))*(1+(Inputs!$B$24+((C1580=TRUE)*(F1580-Calc!F31))+((C1567=TRUE)*(F1567-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+3.3333333333333335*IF(C1568=TRUE,F1568,0)/100)*(1+(IF(Skills!A9="CRUEL_STAB",Inputs!$B$17+((C1577=TRUE)*(F1577-Calc!F28))+((IF(AND(Inputs!$B$39&lt;&gt;"pvp",Inputs!$B$44=0),1,IF(IF(Inputs!$B$39="pvp",15,Inputs!$B$44)-(B1594)&lt;=0,1,MAX(0,IF(Inputs!$B$39="pvp",15,Inputs!$B$44)-MAX(5,B1594))/(IF(Inputs!$B$39="pvp",15,Inputs!$B$44)-(B1594))))*(IF(AND(ArtifactsInput!$M$42,((Inputs!$B$9+((C1575=TRUE)*(F1575-Calc!F26))+B1583+(ArtifactsInput!$M$24-ArtifactsInput!$M$24)*CHOOSE(ArtifactsInput!$N$24+1,10,12,14,16,18,20)+IF(ArtifactsInput!$M$10,CHOOSE(ArtifactsInput!$N$10+1,15,18,21,24,27,30)*(IF(Inputs!$B$39="pvp",MIN(15,15)/15,IF(AND(Inputs!$B$39&lt;&gt;"pvp",Inputs!$B$44&gt;0),MIN(15,Inputs!$B$44)/(Inputs!$B$44),0))),0)))&gt;=100),MIN(100,((Inputs!$B$9+((C1575=TRUE)*(F1575-Calc!F26))+B1583+(ArtifactsInput!$M$24-ArtifactsInput!$M$24)*CHOOSE(ArtifactsInput!$N$24+1,10,12,14,16,18,20)+IF(ArtifactsInput!$M$10,CHOOSE(ArtifactsInput!$N$10+1,15,18,21,24,27,30)*(IF(Inputs!$B$39="pvp",MIN(15,15)/15,IF(AND(Inputs!$B$39&lt;&gt;"pvp",Inputs!$B$44&gt;0),MIN(15,Inputs!$B$44)/(Inputs!$B$44),0))),0)))-100),0))*CHOOSE(ArtifactsInput!$N$42+1,0.6,0.72,0.84,0.96,1.08,1.2))),Inputs!$B$18+((C1578=TRUE)*(F1578-Calc!F29))+(IF(AND(Inputs!$B$39&lt;&gt;"pvp",Inputs!$B$44=0),1,IF(IF(Inputs!$B$39="pvp",15,Inputs!$B$44)-(B1594)&lt;=0,1,MAX(0,IF(Inputs!$B$39="pvp",15,Inputs!$B$44)-MAX(5,B1594))/(IF(Inputs!$B$39="pvp",15,Inputs!$B$44)-(B1594))))*IF(AND(ArtifactsInput!$M$42,((Inputs!$B$9+((C1575=TRUE)*(F1575-Calc!F26))+B1583+(ArtifactsInput!$M$24-ArtifactsInput!$M$24)*CHOOSE(ArtifactsInput!$N$24+1,10,12,14,16,18,20)+IF(ArtifactsInput!$M$10,CHOOSE(ArtifactsInput!$N$10+1,15,18,21,24,27,30)*(IF(Inputs!$B$39="pvp",MIN(15,15)/15,IF(AND(Inputs!$B$39&lt;&gt;"pvp",Inputs!$B$44&gt;0),MIN(15,Inputs!$B$44)/(Inputs!$B$44),0))),0)))&gt;=100),CHOOSE(ArtifactsInput!$N$42+1,40,48,56,64,72,80),0))))/100)*(((1+(((C1571=TRUE)*F1571*IF(AND(Inputs!$B$39&lt;&gt;"pvp",Inputs!$B$44&gt;0),(((R1571-1)*MIN((Skills!Y22*(1+Inputs!$B$34/100)),(1/Q1571))+MIN((Skills!Y22*(1+Inputs!$B$34/100)),MAX(0,Inputs!$B$44-((R1571-1)*(1/Q1571)))))/Inputs!$B$44),IF(Inputs!$B$39="pvp",MIN((Skills!Y22*(1+Inputs!$B$34/100)),15)/15,MIN(1,(Skills!Y22*(1+Inputs!$B$34/100))/(1/Q1571)))))+((C1552=TRUE)*F1552*3)+((C1554=TRUE)*F1554*(1-EXP(-0.75*B1587*5)))+((C1573=TRUE)*(F1573-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1560=TRUE)*F1560*IF(AND(Inputs!$B$39&lt;&gt;"pvp",Inputs!$B$44&gt;0),(((R1560-1)*MIN((Skills!Y11*(1+Inputs!$B$34/100)),(1/Q1560))+MIN((Skills!Y11*(1+Inputs!$B$34/100)),MAX(0,Inputs!$B$44-((R1560-1)*(1/Q1560)))))/Inputs!$B$44),IF(Inputs!$B$39="pvp",MIN((Skills!Y11*(1+Inputs!$B$34/100)),15)/15,MIN(1,(Skills!Y11*(1+Inputs!$B$34/100))/(1/Q1560)))))/100)*(1+((C1565=TRUE)*F1565*IF(AND(Inputs!$B$39&lt;&gt;"pvp",Inputs!$B$44&gt;0),(((R1565-1)*MIN((Skills!Y16*(1+Inputs!$B$34/100)),(1/Q1565))+MIN((Skills!Y16*(1+Inputs!$B$34/100)),MAX(0,Inputs!$B$44-((R1565-1)*(1/Q1565)))))/Inputs!$B$44),IF(Inputs!$B$39="pvp",MIN((Skills!Y16*(1+Inputs!$B$34/100)),15)/15,MIN(1,(Skills!Y16*(1+Inputs!$B$34/100))/(1/Q1565)))))/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1585*I1558)</f>
        <v/>
      </c>
      <c r="L1558">
        <f>K1558*(MIN(Inputs!$B$22+((C1574=TRUE)*(F1574-Calc!F25)),(Inputs!$B$23+((C1579=TRUE)*(F1579-Calc!F30))+IF(ArtifactsInput!$M$15,CHOOSE(ArtifactsInput!$N$15+1,25,30,35,40,45,50)/100*(Inputs!$B$11-Inputs!$B$11),0)))/100+(Inputs!$B$23+((C1579=TRUE)*(F1579-Calc!F30))+IF(ArtifactsInput!$M$15,CHOOSE(ArtifactsInput!$N$15+1,25,30,35,40,45,50)/100*(Inputs!$B$11-Inputs!$B$11),0))/100)/2</f>
        <v/>
      </c>
      <c r="M1558">
        <f>L1558*(1+(Inputs!$B$10+((C1576=TRUE)*(F1576-Calc!F27))+B1590+(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1558">
        <f>L1558*(1-MIN((Inputs!$B$9+((C1575=TRUE)*(F1575-Calc!F26))+B1583+(ArtifactsInput!$M$24-ArtifactsInput!$M$24)*CHOOSE(ArtifactsInput!$N$24+1,10,12,14,16,18,20)+(IF(AND(Inputs!$B$39&lt;&gt;"pvp",Inputs!$B$44=0),1,IF(IF(Inputs!$B$39="pvp",15,Inputs!$B$44)-(B1594)&lt;=0,1,MAX(0,IF(Inputs!$B$39="pvp",15,Inputs!$B$44)-MAX(5,B1594))/(IF(Inputs!$B$39="pvp",15,Inputs!$B$44)-(B1594))))*IF(AND(ArtifactsInput!$M$42,((Inputs!$B$9+((C1575=TRUE)*(F1575-Calc!F26))+B1583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1558*(MIN((Inputs!$B$9+((C1575=TRUE)*(F1575-Calc!F26))+B1583+(ArtifactsInput!$M$24-ArtifactsInput!$M$24)*CHOOSE(ArtifactsInput!$N$24+1,10,12,14,16,18,20)+(IF(AND(Inputs!$B$39&lt;&gt;"pvp",Inputs!$B$44=0),1,IF(IF(Inputs!$B$39="pvp",15,Inputs!$B$44)-(B1594)&lt;=0,1,MAX(0,IF(Inputs!$B$39="pvp",15,Inputs!$B$44)-MAX(5,B1594))/(IF(Inputs!$B$39="pvp",15,Inputs!$B$44)-(B1594))))*IF(AND(ArtifactsInput!$M$42,((Inputs!$B$9+((C1575=TRUE)*(F1575-Calc!F26))+B1583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558">
        <f>(1-Summary!$B$11)*T1558+Summary!$B$11*V1558</f>
        <v/>
      </c>
      <c r="P1558">
        <f>IF(B1595=0,0,O1558/B1595)</f>
        <v/>
      </c>
      <c r="Q1558">
        <f>IFERROR(1/IF(Inputs!$B$39="pvp",15,MAX(0.1,Skills!D9-IF(FALSE=TRUE,Inputs!$B$32,0))),0)</f>
        <v/>
      </c>
      <c r="R1558">
        <f>IF(AND(Inputs!$B$39&lt;&gt;"pvp",Inputs!$B$44&gt;0),IF(MAX(0,Inputs!$B$44-B1594)&lt;=0,0,(INT(MAX(0,Inputs!$B$44-B1594)/IF(Inputs!$B$39="pvp",15,MAX(0.1,Skills!D9-IF(FALSE=TRUE,Inputs!$B$32,0))))+1)),0)</f>
        <v/>
      </c>
      <c r="S1558">
        <f>IFERROR(O1558/N1558,0)</f>
        <v/>
      </c>
      <c r="T1558">
        <f>IF(C1558,(H1558*N1558*IF(AND(Inputs!$B$39&lt;&gt;"pvp",Inputs!$B$44&gt;0),((Skills!G9*((R1558-1)*IF(Skills!H9&gt;0,Skills!I9/Skills!H9,1)+IF(Skills!H9&gt;0,MIN(Skills!I9,MAX(0,MAX(0,Inputs!$B$44-B1594)-((R1558-1)*IF(Inputs!$B$39="pvp",15,MAX(0.1,Skills!D9-IF(FALSE=TRUE,Inputs!$B$32,0))))))/Skills!H9,1)))/Inputs!$B$44),G1558*Q1558))*IF(Inputs!$B$39="pvp",1,1+(Inputs!$B$20+0+Skills!P9+B1584+(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Hunt"),CHOOSE(ArtifactsInput!$N$35+1,15,18,21,24,27,30)*(1-EXP(-(0.2*B1587)*5)),0)+IF(AND(ArtifactsInput!$M$22,Inputs!$B$4&lt;&gt;"Chapter Hunt"),CHOOSE(ArtifactsInput!$N$22+1,10,12,14,16,18,20)*((0*(((0.15*B1587*5))^0/1)+1*(((0.15*B1587*5))^1/1)+2*(((0.15*B1587*5))^2/2)+3*(((0.15*B1587*5))^3/6)+4*(((0.15*B1587*5))^4/24)+5*(((0.15*B1587*5))^5/120))/((((0.15*B1587*5))^0/1)+(((0.15*B1587*5))^1/1)+(((0.15*B1587*5))^2/2)+(((0.15*B1587*5))^3/6)+(((0.15*B1587*5))^4/24)+(((0.15*B1587*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1558*(1-MIN(100,(Inputs!$B$9+((C1575=TRUE)*(F1575-Calc!F26))+B1583+(ArtifactsInput!$M$24-ArtifactsInput!$M$24)*CHOOSE(ArtifactsInput!$N$24+1,10,12,14,16,18,20)+(IF(AND(Inputs!$B$39&lt;&gt;"pvp",Inputs!$B$44=0),1,IF(IF(Inputs!$B$39="pvp",15,Inputs!$B$44)-(B1594)&lt;=0,1,MAX(0,IF(Inputs!$B$39="pvp",15,Inputs!$B$44)-MAX(5,B1594))/(IF(Inputs!$B$39="pvp",15,Inputs!$B$44)-(B1594))))*IF(AND(ArtifactsInput!$M$42,((Inputs!$B$9+((C1575=TRUE)*(F1575-Calc!F26))+B1583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1558*(MIN(100,(Inputs!$B$9+((C1575=TRUE)*(F1575-Calc!F26))+B1583+(ArtifactsInput!$M$24-ArtifactsInput!$M$24)*CHOOSE(ArtifactsInput!$N$24+1,10,12,14,16,18,20)+(IF(AND(Inputs!$B$39&lt;&gt;"pvp",Inputs!$B$44=0),1,IF(IF(Inputs!$B$39="pvp",15,Inputs!$B$44)-(B1594)&lt;=0,1,MAX(0,IF(Inputs!$B$39="pvp",15,Inputs!$B$44)-MAX(5,B1594))/(IF(Inputs!$B$39="pvp",15,Inputs!$B$44)-(B1594))))*IF(AND(ArtifactsInput!$M$42,((Inputs!$B$9+((C1575=TRUE)*(F1575-Calc!F26))+B1583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1558*(1-MIN(100,(Inputs!$B$9+((C1575=TRUE)*(F1575-Calc!F26))+B1583+(ArtifactsInput!$M$24-ArtifactsInput!$M$24)*CHOOSE(ArtifactsInput!$N$24+1,10,12,14,16,18,20)+(IF(AND(Inputs!$B$39&lt;&gt;"pvp",Inputs!$B$44=0),1,IF(IF(Inputs!$B$39="pvp",15,Inputs!$B$44)-(B1594)&lt;=0,1,MAX(0,IF(Inputs!$B$39="pvp",15,Inputs!$B$44)-MAX(5,B1594))/(IF(Inputs!$B$39="pvp",15,Inputs!$B$44)-(B1594))))*IF(AND(ArtifactsInput!$M$42,((Inputs!$B$9+((C1575=TRUE)*(F1575-Calc!F26))+B1583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1558*(MIN(100,(Inputs!$B$9+((C1575=TRUE)*(F1575-Calc!F26))+B1583+(ArtifactsInput!$M$24-ArtifactsInput!$M$24)*CHOOSE(ArtifactsInput!$N$24+1,10,12,14,16,18,20)+(IF(AND(Inputs!$B$39&lt;&gt;"pvp",Inputs!$B$44=0),1,IF(IF(Inputs!$B$39="pvp",15,Inputs!$B$44)-(B1594)&lt;=0,1,MAX(0,IF(Inputs!$B$39="pvp",15,Inputs!$B$44)-MAX(5,B1594))/(IF(Inputs!$B$39="pvp",15,Inputs!$B$44)-(B1594))))*IF(AND(ArtifactsInput!$M$42,((Inputs!$B$9+((C1575=TRUE)*(F1575-Calc!F26))+B1583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1558">
        <f>IF(C1558,(H1558*N1558*IF(AND(Inputs!$B$39&lt;&gt;"pvp",Inputs!$B$44&gt;0),((Skills!G9*((R1558-1)*IF(Skills!H9&gt;0,Skills!I9/Skills!H9,1)+IF(Skills!H9&gt;0,MIN(Skills!I9,MAX(0,MAX(0,Inputs!$B$44-B1594)-((R1558-1)*IF(Inputs!$B$39="pvp",15,MAX(0.1,Skills!D9-IF(FALSE=TRUE,Inputs!$B$32,0))))))/Skills!H9,1)))/Inputs!$B$44),G1558*Q1558))*IF(Inputs!$B$39="pvp",1,(1+(Inputs!$B$21+Skills!Q9+B1584+(IF(ArtifactsInput!$M$33,CHOOSE(ArtifactsInput!$N$33+1,30,36,42,48,54,60),0))+(IF(AND(ArtifactsInput!$M$35,Inputs!$B$4&lt;&gt;"Chapter Hunt"),CHOOSE(ArtifactsInput!$N$35+1,15,18,21,24,27,30)*(1-EXP(-(0.2*B1587)*5)),0)+IF(AND(ArtifactsInput!$M$22,Inputs!$B$4&lt;&gt;"Chapter Hunt"),CHOOSE(ArtifactsInput!$N$22+1,10,12,14,16,18,20)*((0*(((0.15*B1587*5))^0/1)+1*(((0.15*B1587*5))^1/1)+2*(((0.15*B1587*5))^2/2)+3*(((0.15*B1587*5))^3/6)+4*(((0.15*B1587*5))^4/24)+5*(((0.15*B1587*5))^5/120))/((((0.15*B1587*5))^0/1)+(((0.15*B1587*5))^1/1)+(((0.15*B1587*5))^2/2)+(((0.15*B1587*5))^3/6)+(((0.15*B1587*5))^4/24)+(((0.15*B1587*5))^5/120))),0)))/100)*(MIN(Skills!W9,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559">
      <c r="A1559">
        <f>Skills!A10</f>
        <v/>
      </c>
      <c r="B1559">
        <f>Skills!B10</f>
        <v/>
      </c>
      <c r="C1559">
        <f>Inputs!$B$3&gt;=117</f>
        <v/>
      </c>
      <c r="D1559">
        <f>IF(Skills!C10=1,60+Inputs!$B$25+Inputs!$B$29,IF(Skills!C10=2,90+Inputs!$B$26+Inputs!$B$29,IF(Skills!C10=3,120+Inputs!$B$27+Inputs!$B$29,MAX(0,(Inputs!$B$3-100)*3)+Inputs!$B$28+Inputs!$B$29)))</f>
        <v/>
      </c>
      <c r="E1559">
        <f>INDEX(FactorTable!$B$2:$Y$301, MATCH(ROUND(MIN(300,MAX(1,D1559)),0), FactorTable!$A$2:$A$301,0), Skills!M10+1)</f>
        <v/>
      </c>
      <c r="F1559">
        <f>IF(Skills!N10=TRUE,(Skills!L10/10)*(E1559/1000),Skills!L10/10)+Skills!O10</f>
        <v/>
      </c>
      <c r="G1559">
        <f>Skills!G10*IF(Skills!H10&gt;0,IF(Inputs!$B$39="pvp",MIN(Skills!I10,15),Skills!I10)/Skills!H10,1)</f>
        <v/>
      </c>
      <c r="H1559">
        <f>1-(1-Skills!J10/100)^Skills!K10</f>
        <v/>
      </c>
      <c r="I1559" t="inlineStr">
        <is>
          <t>1</t>
        </is>
      </c>
      <c r="J1559">
        <f>((Inputs!$B$6*(1+Inputs!$B$7/100))+(((Inputs!$B$12*(1+Inputs!$B$13/100))-(Inputs!$B$12*(1+Inputs!$B$13/100)))+0.25*(Inputs!$B$14-Inputs!$B$14))*(1+Inputs!$B$7/100))*(F1559/100)</f>
        <v/>
      </c>
      <c r="K1559">
        <f>J1559*(1+((Inputs!$B$12*(1+Inputs!$B$13/100))*0.01+Inputs!$B$14*0.0025)/100)*(1+Inputs!$B$15/100)*(1+Inputs!$B$16/100)*(5000/(6000+Inputs!$B$43*(1-(100*(1-(1-Inputs!$B$19/100)*(1-CHOOSE(ArtifactsInput!$N$40+1,5,6,7,8,9,10)/100)^(ArtifactsInput!$M$40-ArtifactsInput!$M$40)))/100)))*(1+(Inputs!$B$24+((C1580=TRUE)*(F1580-Calc!F31))+((C1567=TRUE)*(F1567-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10="CRUEL_STAB",Inputs!$B$17+((C1577=TRUE)*(F1577-Calc!F28))+((IF(AND(Inputs!$B$39&lt;&gt;"pvp",Inputs!$B$44=0),1,IF(IF(Inputs!$B$39="pvp",15,Inputs!$B$44)-(B1594)&lt;=0,1,MAX(0,IF(Inputs!$B$39="pvp",15,Inputs!$B$44)-MAX(5,B1594))/(IF(Inputs!$B$39="pvp",15,Inputs!$B$44)-(B1594))))*(IF(AND(ArtifactsInput!$M$42,((Inputs!$B$9+((C1575=TRUE)*(F1575-Calc!F26))+B1583+(ArtifactsInput!$M$24-ArtifactsInput!$M$24)*CHOOSE(ArtifactsInput!$N$24+1,10,12,14,16,18,20)+IF(ArtifactsInput!$M$10,CHOOSE(ArtifactsInput!$N$10+1,15,18,21,24,27,30)*(IF(Inputs!$B$39="pvp",MIN(15,15)/15,IF(AND(Inputs!$B$39&lt;&gt;"pvp",Inputs!$B$44&gt;0),MIN(15,Inputs!$B$44)/(Inputs!$B$44),0))),0)))&gt;=100),MIN(100,((Inputs!$B$9+((C1575=TRUE)*(F1575-Calc!F26))+B1583+(ArtifactsInput!$M$24-ArtifactsInput!$M$24)*CHOOSE(ArtifactsInput!$N$24+1,10,12,14,16,18,20)+IF(ArtifactsInput!$M$10,CHOOSE(ArtifactsInput!$N$10+1,15,18,21,24,27,30)*(IF(Inputs!$B$39="pvp",MIN(15,15)/15,IF(AND(Inputs!$B$39&lt;&gt;"pvp",Inputs!$B$44&gt;0),MIN(15,Inputs!$B$44)/(Inputs!$B$44),0))),0)))-100),0))*CHOOSE(ArtifactsInput!$N$42+1,0.6,0.72,0.84,0.96,1.08,1.2))),Inputs!$B$18+((C1578=TRUE)*(F1578-Calc!F29))+(IF(AND(Inputs!$B$39&lt;&gt;"pvp",Inputs!$B$44=0),1,IF(IF(Inputs!$B$39="pvp",15,Inputs!$B$44)-(B1594)&lt;=0,1,MAX(0,IF(Inputs!$B$39="pvp",15,Inputs!$B$44)-MAX(5,B1594))/(IF(Inputs!$B$39="pvp",15,Inputs!$B$44)-(B1594))))*IF(AND(ArtifactsInput!$M$42,((Inputs!$B$9+((C1575=TRUE)*(F1575-Calc!F26))+B1583+(ArtifactsInput!$M$24-ArtifactsInput!$M$24)*CHOOSE(ArtifactsInput!$N$24+1,10,12,14,16,18,20)+IF(ArtifactsInput!$M$10,CHOOSE(ArtifactsInput!$N$10+1,15,18,21,24,27,30)*(IF(Inputs!$B$39="pvp",MIN(15,15)/15,IF(AND(Inputs!$B$39&lt;&gt;"pvp",Inputs!$B$44&gt;0),MIN(15,Inputs!$B$44)/(Inputs!$B$44),0))),0)))&gt;=100),CHOOSE(ArtifactsInput!$N$42+1,40,48,56,64,72,80),0))))/100)*(((1+(((C1571=TRUE)*F1571*IF(AND(Inputs!$B$39&lt;&gt;"pvp",Inputs!$B$44&gt;0),(((R1571-1)*MIN((Skills!Y22*(1+Inputs!$B$34/100)),(1/Q1571))+MIN((Skills!Y22*(1+Inputs!$B$34/100)),MAX(0,Inputs!$B$44-((R1571-1)*(1/Q1571)))))/Inputs!$B$44),IF(Inputs!$B$39="pvp",MIN((Skills!Y22*(1+Inputs!$B$34/100)),15)/15,MIN(1,(Skills!Y22*(1+Inputs!$B$34/100))/(1/Q1571)))))+((C1552=TRUE)*F1552*3)+((C1554=TRUE)*F1554*(1-EXP(-0.75*B1587*5)))+((C1573=TRUE)*(F1573-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1560=TRUE)*F1560*IF(AND(Inputs!$B$39&lt;&gt;"pvp",Inputs!$B$44&gt;0),(((R1560-1)*MIN((Skills!Y11*(1+Inputs!$B$34/100)),(1/Q1560))+MIN((Skills!Y11*(1+Inputs!$B$34/100)),MAX(0,Inputs!$B$44-((R1560-1)*(1/Q1560)))))/Inputs!$B$44),IF(Inputs!$B$39="pvp",MIN((Skills!Y11*(1+Inputs!$B$34/100)),15)/15,MIN(1,(Skills!Y11*(1+Inputs!$B$34/100))/(1/Q1560)))))/100)*(1+((C1565=TRUE)*F1565*IF(AND(Inputs!$B$39&lt;&gt;"pvp",Inputs!$B$44&gt;0),(((R1565-1)*MIN((Skills!Y16*(1+Inputs!$B$34/100)),(1/Q1565))+MIN((Skills!Y16*(1+Inputs!$B$34/100)),MAX(0,Inputs!$B$44-((R1565-1)*(1/Q1565)))))/Inputs!$B$44),IF(Inputs!$B$39="pvp",MIN((Skills!Y16*(1+Inputs!$B$34/100)),15)/15,MIN(1,(Skills!Y16*(1+Inputs!$B$34/100))/(1/Q1565)))))/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1585*I1559)</f>
        <v/>
      </c>
      <c r="L1559">
        <f>K1559*(MIN(Inputs!$B$22+((C1574=TRUE)*(F1574-Calc!F25)),(Inputs!$B$23+((C1579=TRUE)*(F1579-Calc!F30))+IF(ArtifactsInput!$M$15,CHOOSE(ArtifactsInput!$N$15+1,25,30,35,40,45,50)/100*(Inputs!$B$11-Inputs!$B$11),0)))/100+(Inputs!$B$23+((C1579=TRUE)*(F1579-Calc!F30))+IF(ArtifactsInput!$M$15,CHOOSE(ArtifactsInput!$N$15+1,25,30,35,40,45,50)/100*(Inputs!$B$11-Inputs!$B$11),0))/100)/2</f>
        <v/>
      </c>
      <c r="M1559">
        <f>L1559*(1+(Inputs!$B$10+((C1576=TRUE)*(F1576-Calc!F27))+B1590+(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1559">
        <f>L1559*(1-MIN((Inputs!$B$9+((C1575=TRUE)*(F1575-Calc!F26))+B1583+(ArtifactsInput!$M$24-ArtifactsInput!$M$24)*CHOOSE(ArtifactsInput!$N$24+1,10,12,14,16,18,20)+(IF(AND(Inputs!$B$39&lt;&gt;"pvp",Inputs!$B$44=0),1,IF(IF(Inputs!$B$39="pvp",15,Inputs!$B$44)-(B1594)&lt;=0,1,MAX(0,IF(Inputs!$B$39="pvp",15,Inputs!$B$44)-MAX(5,B1594))/(IF(Inputs!$B$39="pvp",15,Inputs!$B$44)-(B1594))))*IF(AND(ArtifactsInput!$M$42,((Inputs!$B$9+((C1575=TRUE)*(F1575-Calc!F26))+B1583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1559*(MIN((Inputs!$B$9+((C1575=TRUE)*(F1575-Calc!F26))+B1583+(ArtifactsInput!$M$24-ArtifactsInput!$M$24)*CHOOSE(ArtifactsInput!$N$24+1,10,12,14,16,18,20)+(IF(AND(Inputs!$B$39&lt;&gt;"pvp",Inputs!$B$44=0),1,IF(IF(Inputs!$B$39="pvp",15,Inputs!$B$44)-(B1594)&lt;=0,1,MAX(0,IF(Inputs!$B$39="pvp",15,Inputs!$B$44)-MAX(5,B1594))/(IF(Inputs!$B$39="pvp",15,Inputs!$B$44)-(B1594))))*IF(AND(ArtifactsInput!$M$42,((Inputs!$B$9+((C1575=TRUE)*(F1575-Calc!F26))+B1583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559">
        <f>(1-Summary!$B$11)*T1559+Summary!$B$11*V1559</f>
        <v/>
      </c>
      <c r="P1559">
        <f>IF(B1595=0,0,O1559/B1595)</f>
        <v/>
      </c>
      <c r="Q1559" t="n">
        <v>0</v>
      </c>
      <c r="R1559" t="n">
        <v>0</v>
      </c>
      <c r="S1559" t="n">
        <v>0</v>
      </c>
      <c r="T1559">
        <f>IF(C1559,(0.2*SUMPRODUCT((Skills!Z2:Z31=TRUE)*(C1551:C1580=TRUE)*S1551:S1580)*N1559)*IF(Inputs!$B$39="pvp",1,1+(Inputs!$B$20+0+Skills!P10+B1584+(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Hunt"),CHOOSE(ArtifactsInput!$N$35+1,15,18,21,24,27,30)*(1-EXP(-(0.2*B1587)*5)),0)+IF(AND(ArtifactsInput!$M$22,Inputs!$B$4&lt;&gt;"Chapter Hunt"),CHOOSE(ArtifactsInput!$N$22+1,10,12,14,16,18,20)*((0*(((0.15*B1587*5))^0/1)+1*(((0.15*B1587*5))^1/1)+2*(((0.15*B1587*5))^2/2)+3*(((0.15*B1587*5))^3/6)+4*(((0.15*B1587*5))^4/24)+5*(((0.15*B1587*5))^5/120))/((((0.15*B1587*5))^0/1)+(((0.15*B1587*5))^1/1)+(((0.15*B1587*5))^2/2)+(((0.15*B1587*5))^3/6)+(((0.15*B1587*5))^4/24)+(((0.15*B1587*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1559*(1-MIN(100,(Inputs!$B$9+((C1575=TRUE)*(F1575-Calc!F26))+B1583+(ArtifactsInput!$M$24-ArtifactsInput!$M$24)*CHOOSE(ArtifactsInput!$N$24+1,10,12,14,16,18,20)+(IF(AND(Inputs!$B$39&lt;&gt;"pvp",Inputs!$B$44=0),1,IF(IF(Inputs!$B$39="pvp",15,Inputs!$B$44)-(B1594)&lt;=0,1,MAX(0,IF(Inputs!$B$39="pvp",15,Inputs!$B$44)-MAX(5,B1594))/(IF(Inputs!$B$39="pvp",15,Inputs!$B$44)-(B1594))))*IF(AND(ArtifactsInput!$M$42,((Inputs!$B$9+((C1575=TRUE)*(F1575-Calc!F26))+B1583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1559*(MIN(100,(Inputs!$B$9+((C1575=TRUE)*(F1575-Calc!F26))+B1583+(ArtifactsInput!$M$24-ArtifactsInput!$M$24)*CHOOSE(ArtifactsInput!$N$24+1,10,12,14,16,18,20)+(IF(AND(Inputs!$B$39&lt;&gt;"pvp",Inputs!$B$44=0),1,IF(IF(Inputs!$B$39="pvp",15,Inputs!$B$44)-(B1594)&lt;=0,1,MAX(0,IF(Inputs!$B$39="pvp",15,Inputs!$B$44)-MAX(5,B1594))/(IF(Inputs!$B$39="pvp",15,Inputs!$B$44)-(B1594))))*IF(AND(ArtifactsInput!$M$42,((Inputs!$B$9+((C1575=TRUE)*(F1575-Calc!F26))+B1583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1559*(1-MIN(100,(Inputs!$B$9+((C1575=TRUE)*(F1575-Calc!F26))+B1583+(ArtifactsInput!$M$24-ArtifactsInput!$M$24)*CHOOSE(ArtifactsInput!$N$24+1,10,12,14,16,18,20)+(IF(AND(Inputs!$B$39&lt;&gt;"pvp",Inputs!$B$44=0),1,IF(IF(Inputs!$B$39="pvp",15,Inputs!$B$44)-(B1594)&lt;=0,1,MAX(0,IF(Inputs!$B$39="pvp",15,Inputs!$B$44)-MAX(5,B1594))/(IF(Inputs!$B$39="pvp",15,Inputs!$B$44)-(B1594))))*IF(AND(ArtifactsInput!$M$42,((Inputs!$B$9+((C1575=TRUE)*(F1575-Calc!F26))+B1583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1559*(MIN(100,(Inputs!$B$9+((C1575=TRUE)*(F1575-Calc!F26))+B1583+(ArtifactsInput!$M$24-ArtifactsInput!$M$24)*CHOOSE(ArtifactsInput!$N$24+1,10,12,14,16,18,20)+(IF(AND(Inputs!$B$39&lt;&gt;"pvp",Inputs!$B$44=0),1,IF(IF(Inputs!$B$39="pvp",15,Inputs!$B$44)-(B1594)&lt;=0,1,MAX(0,IF(Inputs!$B$39="pvp",15,Inputs!$B$44)-MAX(5,B1594))/(IF(Inputs!$B$39="pvp",15,Inputs!$B$44)-(B1594))))*IF(AND(ArtifactsInput!$M$42,((Inputs!$B$9+((C1575=TRUE)*(F1575-Calc!F26))+B1583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1559">
        <f>IF(C1559,(0.2*SUMPRODUCT((Skills!Z2:Z31=TRUE)*(C1551:C1580=TRUE)*S1551:S1580)*N1559)*IF(Inputs!$B$39="pvp",1,(1+(Inputs!$B$21+Skills!Q10+B1584+(IF(ArtifactsInput!$M$33,CHOOSE(ArtifactsInput!$N$33+1,30,36,42,48,54,60),0))+(IF(AND(ArtifactsInput!$M$35,Inputs!$B$4&lt;&gt;"Chapter Hunt"),CHOOSE(ArtifactsInput!$N$35+1,15,18,21,24,27,30)*(1-EXP(-(0.2*B1587)*5)),0)+IF(AND(ArtifactsInput!$M$22,Inputs!$B$4&lt;&gt;"Chapter Hunt"),CHOOSE(ArtifactsInput!$N$22+1,10,12,14,16,18,20)*((0*(((0.15*B1587*5))^0/1)+1*(((0.15*B1587*5))^1/1)+2*(((0.15*B1587*5))^2/2)+3*(((0.15*B1587*5))^3/6)+4*(((0.15*B1587*5))^4/24)+5*(((0.15*B1587*5))^5/120))/((((0.15*B1587*5))^0/1)+(((0.15*B1587*5))^1/1)+(((0.15*B1587*5))^2/2)+(((0.15*B1587*5))^3/6)+(((0.15*B1587*5))^4/24)+(((0.15*B1587*5))^5/120))),0)))/100)*(MIN(Skills!W10,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560">
      <c r="A1560">
        <f>Skills!A11</f>
        <v/>
      </c>
      <c r="B1560">
        <f>Skills!B11</f>
        <v/>
      </c>
      <c r="C1560">
        <f>Inputs!$B$3&gt;=74</f>
        <v/>
      </c>
      <c r="D1560">
        <f>IF(Skills!C11=1,60+Inputs!$B$25+Inputs!$B$29,IF(Skills!C11=2,90+Inputs!$B$26+Inputs!$B$29,IF(Skills!C11=3,120+Inputs!$B$27+Inputs!$B$29,MAX(0,(Inputs!$B$3-100)*3)+Inputs!$B$28+Inputs!$B$29)))</f>
        <v/>
      </c>
      <c r="E1560">
        <f>INDEX(FactorTable!$B$2:$Y$301, MATCH(ROUND(MIN(300,MAX(1,D1560)),0), FactorTable!$A$2:$A$301,0), Skills!M11+1)</f>
        <v/>
      </c>
      <c r="F1560">
        <f>IF(Skills!N11=TRUE,(Skills!L11/10)*(E1560/1000),Skills!L11/10)+Skills!O11</f>
        <v/>
      </c>
      <c r="G1560">
        <f>Skills!G11*IF(Skills!H11&gt;0,IF(Inputs!$B$39="pvp",MIN(Skills!I11,15),Skills!I11)/Skills!H11,1)</f>
        <v/>
      </c>
      <c r="H1560">
        <f>1-(1-Skills!J11/100)^Skills!K11</f>
        <v/>
      </c>
      <c r="I1560" t="inlineStr">
        <is>
          <t>1</t>
        </is>
      </c>
      <c r="J1560" t="inlineStr"/>
      <c r="K1560" t="inlineStr"/>
      <c r="L1560" t="inlineStr"/>
      <c r="M1560" t="inlineStr"/>
      <c r="N1560" t="inlineStr"/>
      <c r="O1560">
        <f>(1-Summary!$B$11)*T1560+Summary!$B$11*V1560</f>
        <v/>
      </c>
      <c r="P1560">
        <f>IF(B1595=0,0,O1560/B1595)</f>
        <v/>
      </c>
      <c r="Q1560">
        <f>IFERROR(1/IF(Inputs!$B$39="pvp",15,MAX(0.1,Skills!D11-IF(TRUE=TRUE,Inputs!$B$32,0))),0)</f>
        <v/>
      </c>
      <c r="R1560">
        <f>IF(AND(Inputs!$B$39&lt;&gt;"pvp",Inputs!$B$44&gt;0),IF(Inputs!$B$44&lt;=0,0,(INT(Inputs!$B$44/IF(Inputs!$B$39="pvp",15,MAX(0.1,Skills!D11-IF(TRUE=TRUE,Inputs!$B$32,0))))+1)),0)</f>
        <v/>
      </c>
      <c r="S1560">
        <f>IFERROR(O1560/N1560,0)</f>
        <v/>
      </c>
      <c r="T1560" t="n">
        <v>0</v>
      </c>
      <c r="V1560" t="n">
        <v>0</v>
      </c>
    </row>
    <row r="1561">
      <c r="A1561">
        <f>Skills!A12</f>
        <v/>
      </c>
      <c r="B1561">
        <f>Skills!B12</f>
        <v/>
      </c>
      <c r="C1561">
        <f>Inputs!$B$3&gt;=103</f>
        <v/>
      </c>
      <c r="D1561">
        <f>IF(Skills!C12=1,60+Inputs!$B$25+Inputs!$B$29,IF(Skills!C12=2,90+Inputs!$B$26+Inputs!$B$29,IF(Skills!C12=3,120+Inputs!$B$27+Inputs!$B$29,MAX(0,(Inputs!$B$3-100)*3)+Inputs!$B$28+Inputs!$B$29)))</f>
        <v/>
      </c>
      <c r="E1561">
        <f>INDEX(FactorTable!$B$2:$Y$301, MATCH(ROUND(MIN(300,MAX(1,D1561)),0), FactorTable!$A$2:$A$301,0), Skills!M12+1)</f>
        <v/>
      </c>
      <c r="F1561">
        <f>(Skills!L12/10)*(E1561/1000)+IF(Inputs!$B$3&gt;=134,50,0)+0.5*(30000/10)*(INDEX(FactorTable!$B$2:$Y$301, MATCH(ROUND(MIN(300,MAX(1,D1561)),0), FactorTable!$A$2:$A$301,0), 13)/1000)*B1593</f>
        <v/>
      </c>
      <c r="G1561">
        <f>Skills!G12*IF(Skills!H12&gt;0,IF(Inputs!$B$39="pvp",MIN(Skills!I12,15),Skills!I12)/Skills!H12,1)</f>
        <v/>
      </c>
      <c r="H1561">
        <f>1-(1-Skills!J12/100)^Skills!K12</f>
        <v/>
      </c>
      <c r="I1561" t="inlineStr">
        <is>
          <t>1</t>
        </is>
      </c>
      <c r="J1561">
        <f>((Inputs!$B$6*(1+Inputs!$B$7/100))+(((Inputs!$B$12*(1+Inputs!$B$13/100))-(Inputs!$B$12*(1+Inputs!$B$13/100)))+0.25*(Inputs!$B$14-Inputs!$B$14))*(1+Inputs!$B$7/100))*(F1561/100)</f>
        <v/>
      </c>
      <c r="K1561">
        <f>J1561*(1+((Inputs!$B$12*(1+Inputs!$B$13/100))*0.01+Inputs!$B$14*0.0025)/100)*(1+Inputs!$B$15/100)*(1+Inputs!$B$16/100)*(5000/(6000+Inputs!$B$43*(1-(100*(1-(1-Inputs!$B$19/100)*(1-CHOOSE(ArtifactsInput!$N$40+1,5,6,7,8,9,10)/100)^(ArtifactsInput!$M$40-ArtifactsInput!$M$40)))/100)))*(1+(Inputs!$B$24+((C1580=TRUE)*(F1580-Calc!F31))+((C1567=TRUE)*(F1567-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12="CRUEL_STAB",Inputs!$B$17+((C1577=TRUE)*(F1577-Calc!F28))+((IF(AND(Inputs!$B$39&lt;&gt;"pvp",Inputs!$B$44=0),1,IF(IF(Inputs!$B$39="pvp",15,Inputs!$B$44)-(B1594)&lt;=0,1,MAX(0,IF(Inputs!$B$39="pvp",15,Inputs!$B$44)-MAX(5,B1594))/(IF(Inputs!$B$39="pvp",15,Inputs!$B$44)-(B1594))))*(IF(AND(ArtifactsInput!$M$42,((Inputs!$B$9+((C1575=TRUE)*(F1575-Calc!F26))+B1583+(ArtifactsInput!$M$24-ArtifactsInput!$M$24)*CHOOSE(ArtifactsInput!$N$24+1,10,12,14,16,18,20)+IF(ArtifactsInput!$M$10,CHOOSE(ArtifactsInput!$N$10+1,15,18,21,24,27,30)*(IF(Inputs!$B$39="pvp",MIN(15,15)/15,IF(AND(Inputs!$B$39&lt;&gt;"pvp",Inputs!$B$44&gt;0),MIN(15,Inputs!$B$44)/(Inputs!$B$44),0))),0)))&gt;=100),MIN(100,((Inputs!$B$9+((C1575=TRUE)*(F1575-Calc!F26))+B1583+(ArtifactsInput!$M$24-ArtifactsInput!$M$24)*CHOOSE(ArtifactsInput!$N$24+1,10,12,14,16,18,20)+IF(ArtifactsInput!$M$10,CHOOSE(ArtifactsInput!$N$10+1,15,18,21,24,27,30)*(IF(Inputs!$B$39="pvp",MIN(15,15)/15,IF(AND(Inputs!$B$39&lt;&gt;"pvp",Inputs!$B$44&gt;0),MIN(15,Inputs!$B$44)/(Inputs!$B$44),0))),0)))-100),0))*CHOOSE(ArtifactsInput!$N$42+1,0.6,0.72,0.84,0.96,1.08,1.2))),Inputs!$B$18+((C1578=TRUE)*(F1578-Calc!F29))+(IF(AND(Inputs!$B$39&lt;&gt;"pvp",Inputs!$B$44=0),1,IF(IF(Inputs!$B$39="pvp",15,Inputs!$B$44)-(B1594)&lt;=0,1,MAX(0,IF(Inputs!$B$39="pvp",15,Inputs!$B$44)-MAX(5,B1594))/(IF(Inputs!$B$39="pvp",15,Inputs!$B$44)-(B1594))))*IF(AND(ArtifactsInput!$M$42,((Inputs!$B$9+((C1575=TRUE)*(F1575-Calc!F26))+B1583+(ArtifactsInput!$M$24-ArtifactsInput!$M$24)*CHOOSE(ArtifactsInput!$N$24+1,10,12,14,16,18,20)+IF(ArtifactsInput!$M$10,CHOOSE(ArtifactsInput!$N$10+1,15,18,21,24,27,30)*(IF(Inputs!$B$39="pvp",MIN(15,15)/15,IF(AND(Inputs!$B$39&lt;&gt;"pvp",Inputs!$B$44&gt;0),MIN(15,Inputs!$B$44)/(Inputs!$B$44),0))),0)))&gt;=100),CHOOSE(ArtifactsInput!$N$42+1,40,48,56,64,72,80),0))))/100)*(((1+(((C1571=TRUE)*F1571*IF(AND(Inputs!$B$39&lt;&gt;"pvp",Inputs!$B$44&gt;0),(((R1571-1)*MIN((Skills!Y22*(1+Inputs!$B$34/100)),(1/Q1571))+MIN((Skills!Y22*(1+Inputs!$B$34/100)),MAX(0,Inputs!$B$44-((R1571-1)*(1/Q1571)))))/Inputs!$B$44),IF(Inputs!$B$39="pvp",MIN((Skills!Y22*(1+Inputs!$B$34/100)),15)/15,MIN(1,(Skills!Y22*(1+Inputs!$B$34/100))/(1/Q1571)))))+((C1552=TRUE)*F1552*3)+((C1554=TRUE)*F1554*(1-EXP(-0.75*B1587*5)))+((C1573=TRUE)*(F1573-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1560=TRUE)*F1560*IF(AND(Inputs!$B$39&lt;&gt;"pvp",Inputs!$B$44&gt;0),(((R1560-1)*MIN((Skills!Y11*(1+Inputs!$B$34/100)),(1/Q1560))+MIN((Skills!Y11*(1+Inputs!$B$34/100)),MAX(0,Inputs!$B$44-((R1560-1)*(1/Q1560)))))/Inputs!$B$44),IF(Inputs!$B$39="pvp",MIN((Skills!Y11*(1+Inputs!$B$34/100)),15)/15,MIN(1,(Skills!Y11*(1+Inputs!$B$34/100))/(1/Q1560)))))/100)*(1+((C1565=TRUE)*F1565*IF(AND(Inputs!$B$39&lt;&gt;"pvp",Inputs!$B$44&gt;0),(((R1565-1)*MIN((Skills!Y16*(1+Inputs!$B$34/100)),(1/Q1565))+MIN((Skills!Y16*(1+Inputs!$B$34/100)),MAX(0,Inputs!$B$44-((R1565-1)*(1/Q1565)))))/Inputs!$B$44),IF(Inputs!$B$39="pvp",MIN((Skills!Y16*(1+Inputs!$B$34/100)),15)/15,MIN(1,(Skills!Y16*(1+Inputs!$B$34/100))/(1/Q1565)))))/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1585*I1561)</f>
        <v/>
      </c>
      <c r="L1561">
        <f>K1561*(MIN(Inputs!$B$22+((C1574=TRUE)*(F1574-Calc!F25)),(Inputs!$B$23+((C1579=TRUE)*(F1579-Calc!F30))+IF(ArtifactsInput!$M$15,CHOOSE(ArtifactsInput!$N$15+1,25,30,35,40,45,50)/100*(Inputs!$B$11-Inputs!$B$11),0)))/100+(Inputs!$B$23+((C1579=TRUE)*(F1579-Calc!F30))+IF(ArtifactsInput!$M$15,CHOOSE(ArtifactsInput!$N$15+1,25,30,35,40,45,50)/100*(Inputs!$B$11-Inputs!$B$11),0))/100)/2</f>
        <v/>
      </c>
      <c r="M1561">
        <f>L1561*(1+(Inputs!$B$10+((C1576=TRUE)*(F1576-Calc!F27))+B1590+(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1561">
        <f>L1561*(1-MIN((Inputs!$B$9+((C1575=TRUE)*(F1575-Calc!F26))+B1583+(ArtifactsInput!$M$24-ArtifactsInput!$M$24)*CHOOSE(ArtifactsInput!$N$24+1,10,12,14,16,18,20)+(IF(AND(Inputs!$B$39&lt;&gt;"pvp",Inputs!$B$44=0),1,IF(IF(Inputs!$B$39="pvp",15,Inputs!$B$44)-(B1594)&lt;=0,1,MAX(0,IF(Inputs!$B$39="pvp",15,Inputs!$B$44)-MAX(5,B1594))/(IF(Inputs!$B$39="pvp",15,Inputs!$B$44)-(B1594))))*IF(AND(ArtifactsInput!$M$42,((Inputs!$B$9+((C1575=TRUE)*(F1575-Calc!F26))+B1583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1561*(MIN((Inputs!$B$9+((C1575=TRUE)*(F1575-Calc!F26))+B1583+(ArtifactsInput!$M$24-ArtifactsInput!$M$24)*CHOOSE(ArtifactsInput!$N$24+1,10,12,14,16,18,20)+(IF(AND(Inputs!$B$39&lt;&gt;"pvp",Inputs!$B$44=0),1,IF(IF(Inputs!$B$39="pvp",15,Inputs!$B$44)-(B1594)&lt;=0,1,MAX(0,IF(Inputs!$B$39="pvp",15,Inputs!$B$44)-MAX(5,B1594))/(IF(Inputs!$B$39="pvp",15,Inputs!$B$44)-(B1594))))*IF(AND(ArtifactsInput!$M$42,((Inputs!$B$9+((C1575=TRUE)*(F1575-Calc!F26))+B1583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561">
        <f>(1-Summary!$B$11)*T1561+Summary!$B$11*V1561</f>
        <v/>
      </c>
      <c r="P1561">
        <f>IF(B1595=0,0,O1561/B1595)</f>
        <v/>
      </c>
      <c r="Q1561">
        <f>IFERROR(1/IF(Inputs!$B$39="pvp",15,MAX(0.1,Skills!D12-IF(TRUE=TRUE,Inputs!$B$32,0))),0)</f>
        <v/>
      </c>
      <c r="R1561">
        <f>IF(AND(Inputs!$B$39&lt;&gt;"pvp",Inputs!$B$44&gt;0),IF(MAX(0,Inputs!$B$44-B1594)&lt;=0,0,(INT(MAX(0,Inputs!$B$44-B1594)/IF(Inputs!$B$39="pvp",15,MAX(0.1,Skills!D12-IF(TRUE=TRUE,Inputs!$B$32,0))))+1)),0)</f>
        <v/>
      </c>
      <c r="S1561">
        <f>IFERROR(O1561/N1561,0)</f>
        <v/>
      </c>
      <c r="T1561">
        <f>IF(C1561,(H1561*N1561*IF(AND(Inputs!$B$39&lt;&gt;"pvp",Inputs!$B$44&gt;0),((Skills!G12*((R1561-1)*IF(Skills!H12&gt;0,Skills!I12/Skills!H12,1)+IF(Skills!H12&gt;0,MIN(Skills!I12,MAX(0,MAX(0,Inputs!$B$44-B1594)-((R1561-1)*IF(Inputs!$B$39="pvp",15,MAX(0.1,Skills!D12-IF(TRUE=TRUE,Inputs!$B$32,0))))))/Skills!H12,1)))/Inputs!$B$44),G1561*Q1561))*IF(Inputs!$B$39="pvp",1,1+(Inputs!$B$20+0+Skills!P12+B1584+(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Hunt"),CHOOSE(ArtifactsInput!$N$35+1,15,18,21,24,27,30)*(1-EXP(-(0.2*B1587)*5)),0)+IF(AND(ArtifactsInput!$M$22,Inputs!$B$4&lt;&gt;"Chapter Hunt"),CHOOSE(ArtifactsInput!$N$22+1,10,12,14,16,18,20)*((0*(((0.15*B1587*5))^0/1)+1*(((0.15*B1587*5))^1/1)+2*(((0.15*B1587*5))^2/2)+3*(((0.15*B1587*5))^3/6)+4*(((0.15*B1587*5))^4/24)+5*(((0.15*B1587*5))^5/120))/((((0.15*B1587*5))^0/1)+(((0.15*B1587*5))^1/1)+(((0.15*B1587*5))^2/2)+(((0.15*B1587*5))^3/6)+(((0.15*B1587*5))^4/24)+(((0.15*B1587*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1561*(1-MIN(100,(Inputs!$B$9+((C1575=TRUE)*(F1575-Calc!F26))+B1583+(ArtifactsInput!$M$24-ArtifactsInput!$M$24)*CHOOSE(ArtifactsInput!$N$24+1,10,12,14,16,18,20)+(IF(AND(Inputs!$B$39&lt;&gt;"pvp",Inputs!$B$44=0),1,IF(IF(Inputs!$B$39="pvp",15,Inputs!$B$44)-(B1594)&lt;=0,1,MAX(0,IF(Inputs!$B$39="pvp",15,Inputs!$B$44)-MAX(5,B1594))/(IF(Inputs!$B$39="pvp",15,Inputs!$B$44)-(B1594))))*IF(AND(ArtifactsInput!$M$42,((Inputs!$B$9+((C1575=TRUE)*(F1575-Calc!F26))+B1583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1561*(MIN(100,(Inputs!$B$9+((C1575=TRUE)*(F1575-Calc!F26))+B1583+(ArtifactsInput!$M$24-ArtifactsInput!$M$24)*CHOOSE(ArtifactsInput!$N$24+1,10,12,14,16,18,20)+(IF(AND(Inputs!$B$39&lt;&gt;"pvp",Inputs!$B$44=0),1,IF(IF(Inputs!$B$39="pvp",15,Inputs!$B$44)-(B1594)&lt;=0,1,MAX(0,IF(Inputs!$B$39="pvp",15,Inputs!$B$44)-MAX(5,B1594))/(IF(Inputs!$B$39="pvp",15,Inputs!$B$44)-(B1594))))*IF(AND(ArtifactsInput!$M$42,((Inputs!$B$9+((C1575=TRUE)*(F1575-Calc!F26))+B1583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1561*(1-MIN(100,(Inputs!$B$9+((C1575=TRUE)*(F1575-Calc!F26))+B1583+(ArtifactsInput!$M$24-ArtifactsInput!$M$24)*CHOOSE(ArtifactsInput!$N$24+1,10,12,14,16,18,20)+(IF(AND(Inputs!$B$39&lt;&gt;"pvp",Inputs!$B$44=0),1,IF(IF(Inputs!$B$39="pvp",15,Inputs!$B$44)-(B1594)&lt;=0,1,MAX(0,IF(Inputs!$B$39="pvp",15,Inputs!$B$44)-MAX(5,B1594))/(IF(Inputs!$B$39="pvp",15,Inputs!$B$44)-(B1594))))*IF(AND(ArtifactsInput!$M$42,((Inputs!$B$9+((C1575=TRUE)*(F1575-Calc!F26))+B1583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1561*(MIN(100,(Inputs!$B$9+((C1575=TRUE)*(F1575-Calc!F26))+B1583+(ArtifactsInput!$M$24-ArtifactsInput!$M$24)*CHOOSE(ArtifactsInput!$N$24+1,10,12,14,16,18,20)+(IF(AND(Inputs!$B$39&lt;&gt;"pvp",Inputs!$B$44=0),1,IF(IF(Inputs!$B$39="pvp",15,Inputs!$B$44)-(B1594)&lt;=0,1,MAX(0,IF(Inputs!$B$39="pvp",15,Inputs!$B$44)-MAX(5,B1594))/(IF(Inputs!$B$39="pvp",15,Inputs!$B$44)-(B1594))))*IF(AND(ArtifactsInput!$M$42,((Inputs!$B$9+((C1575=TRUE)*(F1575-Calc!F26))+B1583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1561">
        <f>IF(C1561,(H1561*N1561*IF(AND(Inputs!$B$39&lt;&gt;"pvp",Inputs!$B$44&gt;0),((Skills!G12*((R1561-1)*IF(Skills!H12&gt;0,Skills!I12/Skills!H12,1)+IF(Skills!H12&gt;0,MIN(Skills!I12,MAX(0,MAX(0,Inputs!$B$44-B1594)-((R1561-1)*IF(Inputs!$B$39="pvp",15,MAX(0.1,Skills!D12-IF(TRUE=TRUE,Inputs!$B$32,0))))))/Skills!H12,1)))/Inputs!$B$44),G1561*Q1561))*IF(Inputs!$B$39="pvp",1,(1+(Inputs!$B$21+Skills!Q12+B1584+(IF(ArtifactsInput!$M$33,CHOOSE(ArtifactsInput!$N$33+1,30,36,42,48,54,60),0))+(IF(AND(ArtifactsInput!$M$35,Inputs!$B$4&lt;&gt;"Chapter Hunt"),CHOOSE(ArtifactsInput!$N$35+1,15,18,21,24,27,30)*(1-EXP(-(0.2*B1587)*5)),0)+IF(AND(ArtifactsInput!$M$22,Inputs!$B$4&lt;&gt;"Chapter Hunt"),CHOOSE(ArtifactsInput!$N$22+1,10,12,14,16,18,20)*((0*(((0.15*B1587*5))^0/1)+1*(((0.15*B1587*5))^1/1)+2*(((0.15*B1587*5))^2/2)+3*(((0.15*B1587*5))^3/6)+4*(((0.15*B1587*5))^4/24)+5*(((0.15*B1587*5))^5/120))/((((0.15*B1587*5))^0/1)+(((0.15*B1587*5))^1/1)+(((0.15*B1587*5))^2/2)+(((0.15*B1587*5))^3/6)+(((0.15*B1587*5))^4/24)+(((0.15*B1587*5))^5/120))),0)))/100)*(MIN(Skills!W12,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562">
      <c r="A1562">
        <f>Skills!A13</f>
        <v/>
      </c>
      <c r="B1562">
        <f>Skills!B13</f>
        <v/>
      </c>
      <c r="C1562">
        <f>Inputs!$B$3&gt;=105</f>
        <v/>
      </c>
      <c r="D1562">
        <f>IF(Skills!C13=1,60+Inputs!$B$25+Inputs!$B$29,IF(Skills!C13=2,90+Inputs!$B$26+Inputs!$B$29,IF(Skills!C13=3,120+Inputs!$B$27+Inputs!$B$29,MAX(0,(Inputs!$B$3-100)*3)+Inputs!$B$28+Inputs!$B$29)))</f>
        <v/>
      </c>
      <c r="E1562">
        <f>INDEX(FactorTable!$B$2:$Y$301, MATCH(ROUND(MIN(300,MAX(1,D1562)),0), FactorTable!$A$2:$A$301,0), Skills!M13+1)</f>
        <v/>
      </c>
      <c r="F1562">
        <f>IF(Skills!N13=TRUE,(Skills!L13/10)*(E1562/1000),Skills!L13/10)+Skills!O13</f>
        <v/>
      </c>
      <c r="G1562">
        <f>Skills!G13*IF(Skills!H13&gt;0,IF(Inputs!$B$39="pvp",MIN(Skills!I13,15),Skills!I13)/Skills!H13,1)</f>
        <v/>
      </c>
      <c r="H1562">
        <f>1-(1-Skills!J13/100)^Skills!K13</f>
        <v/>
      </c>
      <c r="I1562" t="inlineStr">
        <is>
          <t>1</t>
        </is>
      </c>
      <c r="J1562">
        <f>((Inputs!$B$6*(1+Inputs!$B$7/100))+(((Inputs!$B$12*(1+Inputs!$B$13/100))-(Inputs!$B$12*(1+Inputs!$B$13/100)))+0.25*(Inputs!$B$14-Inputs!$B$14))*(1+Inputs!$B$7/100))*(F1562/100)</f>
        <v/>
      </c>
      <c r="K1562">
        <f>J1562*(1+((Inputs!$B$12*(1+Inputs!$B$13/100))*0.01+Inputs!$B$14*0.0025)/100)*(1+Inputs!$B$15/100)*(1+Inputs!$B$16/100)*(5000/(6000+Inputs!$B$43*(1-(100*(1-(1-Inputs!$B$19/100)*(1-CHOOSE(ArtifactsInput!$N$40+1,5,6,7,8,9,10)/100)^(ArtifactsInput!$M$40-ArtifactsInput!$M$40)))/100)))*(1+(Inputs!$B$24+((C1580=TRUE)*(F1580-Calc!F31))+((C1567=TRUE)*(F1567-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13="CRUEL_STAB",Inputs!$B$17+((C1577=TRUE)*(F1577-Calc!F28))+((IF(AND(Inputs!$B$39&lt;&gt;"pvp",Inputs!$B$44=0),1,IF(IF(Inputs!$B$39="pvp",15,Inputs!$B$44)-(B1594)&lt;=0,1,MAX(0,IF(Inputs!$B$39="pvp",15,Inputs!$B$44)-MAX(5,B1594))/(IF(Inputs!$B$39="pvp",15,Inputs!$B$44)-(B1594))))*(IF(AND(ArtifactsInput!$M$42,((Inputs!$B$9+((C1575=TRUE)*(F1575-Calc!F26))+B1583+(ArtifactsInput!$M$24-ArtifactsInput!$M$24)*CHOOSE(ArtifactsInput!$N$24+1,10,12,14,16,18,20)+IF(ArtifactsInput!$M$10,CHOOSE(ArtifactsInput!$N$10+1,15,18,21,24,27,30)*(IF(Inputs!$B$39="pvp",MIN(15,15)/15,IF(AND(Inputs!$B$39&lt;&gt;"pvp",Inputs!$B$44&gt;0),MIN(15,Inputs!$B$44)/(Inputs!$B$44),0))),0)))&gt;=100),MIN(100,((Inputs!$B$9+((C1575=TRUE)*(F1575-Calc!F26))+B1583+(ArtifactsInput!$M$24-ArtifactsInput!$M$24)*CHOOSE(ArtifactsInput!$N$24+1,10,12,14,16,18,20)+IF(ArtifactsInput!$M$10,CHOOSE(ArtifactsInput!$N$10+1,15,18,21,24,27,30)*(IF(Inputs!$B$39="pvp",MIN(15,15)/15,IF(AND(Inputs!$B$39&lt;&gt;"pvp",Inputs!$B$44&gt;0),MIN(15,Inputs!$B$44)/(Inputs!$B$44),0))),0)))-100),0))*CHOOSE(ArtifactsInput!$N$42+1,0.6,0.72,0.84,0.96,1.08,1.2))),Inputs!$B$18+((C1578=TRUE)*(F1578-Calc!F29))+(IF(AND(Inputs!$B$39&lt;&gt;"pvp",Inputs!$B$44=0),1,IF(IF(Inputs!$B$39="pvp",15,Inputs!$B$44)-(B1594)&lt;=0,1,MAX(0,IF(Inputs!$B$39="pvp",15,Inputs!$B$44)-MAX(5,B1594))/(IF(Inputs!$B$39="pvp",15,Inputs!$B$44)-(B1594))))*IF(AND(ArtifactsInput!$M$42,((Inputs!$B$9+((C1575=TRUE)*(F1575-Calc!F26))+B1583+(ArtifactsInput!$M$24-ArtifactsInput!$M$24)*CHOOSE(ArtifactsInput!$N$24+1,10,12,14,16,18,20)+IF(ArtifactsInput!$M$10,CHOOSE(ArtifactsInput!$N$10+1,15,18,21,24,27,30)*(IF(Inputs!$B$39="pvp",MIN(15,15)/15,IF(AND(Inputs!$B$39&lt;&gt;"pvp",Inputs!$B$44&gt;0),MIN(15,Inputs!$B$44)/(Inputs!$B$44),0))),0)))&gt;=100),CHOOSE(ArtifactsInput!$N$42+1,40,48,56,64,72,80),0))))/100)*(((1+(((C1571=TRUE)*F1571*IF(AND(Inputs!$B$39&lt;&gt;"pvp",Inputs!$B$44&gt;0),(((R1571-1)*MIN((Skills!Y22*(1+Inputs!$B$34/100)),(1/Q1571))+MIN((Skills!Y22*(1+Inputs!$B$34/100)),MAX(0,Inputs!$B$44-((R1571-1)*(1/Q1571)))))/Inputs!$B$44),IF(Inputs!$B$39="pvp",MIN((Skills!Y22*(1+Inputs!$B$34/100)),15)/15,MIN(1,(Skills!Y22*(1+Inputs!$B$34/100))/(1/Q1571)))))+((C1552=TRUE)*F1552*3)+((C1554=TRUE)*F1554*(1-EXP(-0.75*B1587*5)))+((C1573=TRUE)*(F1573-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1560=TRUE)*F1560*IF(AND(Inputs!$B$39&lt;&gt;"pvp",Inputs!$B$44&gt;0),(((R1560-1)*MIN((Skills!Y11*(1+Inputs!$B$34/100)),(1/Q1560))+MIN((Skills!Y11*(1+Inputs!$B$34/100)),MAX(0,Inputs!$B$44-((R1560-1)*(1/Q1560)))))/Inputs!$B$44),IF(Inputs!$B$39="pvp",MIN((Skills!Y11*(1+Inputs!$B$34/100)),15)/15,MIN(1,(Skills!Y11*(1+Inputs!$B$34/100))/(1/Q1560)))))/100)*(1+((C1565=TRUE)*F1565*IF(AND(Inputs!$B$39&lt;&gt;"pvp",Inputs!$B$44&gt;0),(((R1565-1)*MIN((Skills!Y16*(1+Inputs!$B$34/100)),(1/Q1565))+MIN((Skills!Y16*(1+Inputs!$B$34/100)),MAX(0,Inputs!$B$44-((R1565-1)*(1/Q1565)))))/Inputs!$B$44),IF(Inputs!$B$39="pvp",MIN((Skills!Y16*(1+Inputs!$B$34/100)),15)/15,MIN(1,(Skills!Y16*(1+Inputs!$B$34/100))/(1/Q1565)))))/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1585*I1562)</f>
        <v/>
      </c>
      <c r="L1562">
        <f>K1562*(MIN(Inputs!$B$22+((C1574=TRUE)*(F1574-Calc!F25)),(Inputs!$B$23+((C1579=TRUE)*(F1579-Calc!F30))+IF(ArtifactsInput!$M$15,CHOOSE(ArtifactsInput!$N$15+1,25,30,35,40,45,50)/100*(Inputs!$B$11-Inputs!$B$11),0)))/100+(Inputs!$B$23+((C1579=TRUE)*(F1579-Calc!F30))+IF(ArtifactsInput!$M$15,CHOOSE(ArtifactsInput!$N$15+1,25,30,35,40,45,50)/100*(Inputs!$B$11-Inputs!$B$11),0))/100)/2</f>
        <v/>
      </c>
      <c r="M1562">
        <f>L1562*(1+(Inputs!$B$10+((C1576=TRUE)*(F1576-Calc!F27))+B1590+(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1562">
        <f>L1562*(1-MIN((Inputs!$B$9+((C1575=TRUE)*(F1575-Calc!F26))+B1583+(ArtifactsInput!$M$24-ArtifactsInput!$M$24)*CHOOSE(ArtifactsInput!$N$24+1,10,12,14,16,18,20)+(IF(AND(Inputs!$B$39&lt;&gt;"pvp",Inputs!$B$44=0),1,IF(IF(Inputs!$B$39="pvp",15,Inputs!$B$44)-(B1594)&lt;=0,1,MAX(0,IF(Inputs!$B$39="pvp",15,Inputs!$B$44)-MAX(5,B1594))/(IF(Inputs!$B$39="pvp",15,Inputs!$B$44)-(B1594))))*IF(AND(ArtifactsInput!$M$42,((Inputs!$B$9+((C1575=TRUE)*(F1575-Calc!F26))+B1583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1562*(MIN((Inputs!$B$9+((C1575=TRUE)*(F1575-Calc!F26))+B1583+(ArtifactsInput!$M$24-ArtifactsInput!$M$24)*CHOOSE(ArtifactsInput!$N$24+1,10,12,14,16,18,20)+(IF(AND(Inputs!$B$39&lt;&gt;"pvp",Inputs!$B$44=0),1,IF(IF(Inputs!$B$39="pvp",15,Inputs!$B$44)-(B1594)&lt;=0,1,MAX(0,IF(Inputs!$B$39="pvp",15,Inputs!$B$44)-MAX(5,B1594))/(IF(Inputs!$B$39="pvp",15,Inputs!$B$44)-(B1594))))*IF(AND(ArtifactsInput!$M$42,((Inputs!$B$9+((C1575=TRUE)*(F1575-Calc!F26))+B1583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562">
        <f>(1-Summary!$B$11)*T1562+Summary!$B$11*V1562</f>
        <v/>
      </c>
      <c r="P1562">
        <f>IF(B1595=0,0,O1562/B1595)</f>
        <v/>
      </c>
      <c r="Q1562">
        <f>IFERROR(1/IF(Inputs!$B$39="pvp",15,MAX(0.1,Skills!D13-IF(TRUE=TRUE,Inputs!$B$32,0))),0)</f>
        <v/>
      </c>
      <c r="R1562">
        <f>IF(AND(Inputs!$B$39&lt;&gt;"pvp",Inputs!$B$44&gt;0),IF(MAX(0,Inputs!$B$44-B1594)&lt;=0,0,(INT(MAX(0,Inputs!$B$44-B1594)/IF(Inputs!$B$39="pvp",15,MAX(0.1,Skills!D13-IF(TRUE=TRUE,Inputs!$B$32,0))))+1)),0)</f>
        <v/>
      </c>
      <c r="S1562">
        <f>IFERROR(O1562/N1562,0)</f>
        <v/>
      </c>
      <c r="T1562">
        <f>IF(C1562,(H1562*N1562*IF(AND(Inputs!$B$39&lt;&gt;"pvp",Inputs!$B$44&gt;0),((Skills!G13*((R1562-1)*IF(Skills!H13&gt;0,Skills!I13/Skills!H13,1)+IF(Skills!H13&gt;0,MIN(Skills!I13,MAX(0,MAX(0,Inputs!$B$44-B1594)-((R1562-1)*IF(Inputs!$B$39="pvp",15,MAX(0.1,Skills!D13-IF(TRUE=TRUE,Inputs!$B$32,0))))))/Skills!H13,1)))/Inputs!$B$44),G1562*Q1562))*IF(Inputs!$B$39="pvp",1,1+(Inputs!$B$20+0+Skills!P13+B1584+(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Hunt"),CHOOSE(ArtifactsInput!$N$35+1,15,18,21,24,27,30)*(1-EXP(-(0.2*B1587)*5)),0)+IF(AND(ArtifactsInput!$M$22,Inputs!$B$4&lt;&gt;"Chapter Hunt"),CHOOSE(ArtifactsInput!$N$22+1,10,12,14,16,18,20)*((0*(((0.15*B1587*5))^0/1)+1*(((0.15*B1587*5))^1/1)+2*(((0.15*B1587*5))^2/2)+3*(((0.15*B1587*5))^3/6)+4*(((0.15*B1587*5))^4/24)+5*(((0.15*B1587*5))^5/120))/((((0.15*B1587*5))^0/1)+(((0.15*B1587*5))^1/1)+(((0.15*B1587*5))^2/2)+(((0.15*B1587*5))^3/6)+(((0.15*B1587*5))^4/24)+(((0.15*B1587*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1562*(1-MIN(100,(Inputs!$B$9+((C1575=TRUE)*(F1575-Calc!F26))+B1583+(ArtifactsInput!$M$24-ArtifactsInput!$M$24)*CHOOSE(ArtifactsInput!$N$24+1,10,12,14,16,18,20)+(IF(AND(Inputs!$B$39&lt;&gt;"pvp",Inputs!$B$44=0),1,IF(IF(Inputs!$B$39="pvp",15,Inputs!$B$44)-(B1594)&lt;=0,1,MAX(0,IF(Inputs!$B$39="pvp",15,Inputs!$B$44)-MAX(5,B1594))/(IF(Inputs!$B$39="pvp",15,Inputs!$B$44)-(B1594))))*IF(AND(ArtifactsInput!$M$42,((Inputs!$B$9+((C1575=TRUE)*(F1575-Calc!F26))+B1583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1562*(MIN(100,(Inputs!$B$9+((C1575=TRUE)*(F1575-Calc!F26))+B1583+(ArtifactsInput!$M$24-ArtifactsInput!$M$24)*CHOOSE(ArtifactsInput!$N$24+1,10,12,14,16,18,20)+(IF(AND(Inputs!$B$39&lt;&gt;"pvp",Inputs!$B$44=0),1,IF(IF(Inputs!$B$39="pvp",15,Inputs!$B$44)-(B1594)&lt;=0,1,MAX(0,IF(Inputs!$B$39="pvp",15,Inputs!$B$44)-MAX(5,B1594))/(IF(Inputs!$B$39="pvp",15,Inputs!$B$44)-(B1594))))*IF(AND(ArtifactsInput!$M$42,((Inputs!$B$9+((C1575=TRUE)*(F1575-Calc!F26))+B1583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1562*(1-MIN(100,(Inputs!$B$9+((C1575=TRUE)*(F1575-Calc!F26))+B1583+(ArtifactsInput!$M$24-ArtifactsInput!$M$24)*CHOOSE(ArtifactsInput!$N$24+1,10,12,14,16,18,20)+(IF(AND(Inputs!$B$39&lt;&gt;"pvp",Inputs!$B$44=0),1,IF(IF(Inputs!$B$39="pvp",15,Inputs!$B$44)-(B1594)&lt;=0,1,MAX(0,IF(Inputs!$B$39="pvp",15,Inputs!$B$44)-MAX(5,B1594))/(IF(Inputs!$B$39="pvp",15,Inputs!$B$44)-(B1594))))*IF(AND(ArtifactsInput!$M$42,((Inputs!$B$9+((C1575=TRUE)*(F1575-Calc!F26))+B1583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1562*(MIN(100,(Inputs!$B$9+((C1575=TRUE)*(F1575-Calc!F26))+B1583+(ArtifactsInput!$M$24-ArtifactsInput!$M$24)*CHOOSE(ArtifactsInput!$N$24+1,10,12,14,16,18,20)+(IF(AND(Inputs!$B$39&lt;&gt;"pvp",Inputs!$B$44=0),1,IF(IF(Inputs!$B$39="pvp",15,Inputs!$B$44)-(B1594)&lt;=0,1,MAX(0,IF(Inputs!$B$39="pvp",15,Inputs!$B$44)-MAX(5,B1594))/(IF(Inputs!$B$39="pvp",15,Inputs!$B$44)-(B1594))))*IF(AND(ArtifactsInput!$M$42,((Inputs!$B$9+((C1575=TRUE)*(F1575-Calc!F26))+B1583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1562">
        <f>IF(C1562,(H1562*N1562*IF(AND(Inputs!$B$39&lt;&gt;"pvp",Inputs!$B$44&gt;0),((Skills!G13*((R1562-1)*IF(Skills!H13&gt;0,Skills!I13/Skills!H13,1)+IF(Skills!H13&gt;0,MIN(Skills!I13,MAX(0,MAX(0,Inputs!$B$44-B1594)-((R1562-1)*IF(Inputs!$B$39="pvp",15,MAX(0.1,Skills!D13-IF(TRUE=TRUE,Inputs!$B$32,0))))))/Skills!H13,1)))/Inputs!$B$44),G1562*Q1562))*IF(Inputs!$B$39="pvp",1,(1+(Inputs!$B$21+Skills!Q13+B1584+(IF(ArtifactsInput!$M$33,CHOOSE(ArtifactsInput!$N$33+1,30,36,42,48,54,60),0))+(IF(AND(ArtifactsInput!$M$35,Inputs!$B$4&lt;&gt;"Chapter Hunt"),CHOOSE(ArtifactsInput!$N$35+1,15,18,21,24,27,30)*(1-EXP(-(0.2*B1587)*5)),0)+IF(AND(ArtifactsInput!$M$22,Inputs!$B$4&lt;&gt;"Chapter Hunt"),CHOOSE(ArtifactsInput!$N$22+1,10,12,14,16,18,20)*((0*(((0.15*B1587*5))^0/1)+1*(((0.15*B1587*5))^1/1)+2*(((0.15*B1587*5))^2/2)+3*(((0.15*B1587*5))^3/6)+4*(((0.15*B1587*5))^4/24)+5*(((0.15*B1587*5))^5/120))/((((0.15*B1587*5))^0/1)+(((0.15*B1587*5))^1/1)+(((0.15*B1587*5))^2/2)+(((0.15*B1587*5))^3/6)+(((0.15*B1587*5))^4/24)+(((0.15*B1587*5))^5/120))),0)))/100)*(MIN(Skills!W13,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563">
      <c r="A1563">
        <f>Skills!A14</f>
        <v/>
      </c>
      <c r="B1563">
        <f>Skills!B14</f>
        <v/>
      </c>
      <c r="C1563">
        <f>Inputs!$B$3&gt;=105</f>
        <v/>
      </c>
      <c r="D1563">
        <f>IF(Skills!C14=1,60+Inputs!$B$25+Inputs!$B$29,IF(Skills!C14=2,90+Inputs!$B$26+Inputs!$B$29,IF(Skills!C14=3,120+Inputs!$B$27+Inputs!$B$29,MAX(0,(Inputs!$B$3-100)*3)+Inputs!$B$28+Inputs!$B$29)))</f>
        <v/>
      </c>
      <c r="E1563">
        <f>INDEX(FactorTable!$B$2:$Y$301, MATCH(ROUND(MIN(300,MAX(1,D1563)),0), FactorTable!$A$2:$A$301,0), Skills!M14+1)</f>
        <v/>
      </c>
      <c r="F1563">
        <f>IF(Skills!N14=TRUE,(Skills!L14/10)*(E1563/1000),Skills!L14/10)+Skills!O14</f>
        <v/>
      </c>
      <c r="G1563">
        <f>Skills!G14*IF(Skills!H14&gt;0,IF(Inputs!$B$39="pvp",MIN(Skills!I14,15),Skills!I14)/Skills!H14,1)</f>
        <v/>
      </c>
      <c r="H1563">
        <f>1-(1-Skills!J14/100)^Skills!K14</f>
        <v/>
      </c>
      <c r="I1563" t="inlineStr">
        <is>
          <t>1</t>
        </is>
      </c>
      <c r="J1563">
        <f>((Inputs!$B$6*(1+Inputs!$B$7/100))+(((Inputs!$B$12*(1+Inputs!$B$13/100))-(Inputs!$B$12*(1+Inputs!$B$13/100)))+0.25*(Inputs!$B$14-Inputs!$B$14))*(1+Inputs!$B$7/100))*(F1563/100)</f>
        <v/>
      </c>
      <c r="K1563">
        <f>J1563*(1+((Inputs!$B$12*(1+Inputs!$B$13/100))*0.01+Inputs!$B$14*0.0025)/100)*(1+Inputs!$B$15/100)*(1+Inputs!$B$16/100)*(5000/(6000+Inputs!$B$43*(1-(100*(1-(1-Inputs!$B$19/100)*(1-CHOOSE(ArtifactsInput!$N$40+1,5,6,7,8,9,10)/100)^(ArtifactsInput!$M$40-ArtifactsInput!$M$40)))/100)))*(1+(Inputs!$B$24+((C1580=TRUE)*(F1580-Calc!F31))+((C1567=TRUE)*(F1567-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14="CRUEL_STAB",Inputs!$B$17+((C1577=TRUE)*(F1577-Calc!F28))+((IF(AND(Inputs!$B$39&lt;&gt;"pvp",Inputs!$B$44=0),1,IF(IF(Inputs!$B$39="pvp",15,Inputs!$B$44)-(B1594)&lt;=0,1,MAX(0,IF(Inputs!$B$39="pvp",15,Inputs!$B$44)-MAX(5,B1594))/(IF(Inputs!$B$39="pvp",15,Inputs!$B$44)-(B1594))))*(IF(AND(ArtifactsInput!$M$42,((Inputs!$B$9+((C1575=TRUE)*(F1575-Calc!F26))+B1583+(ArtifactsInput!$M$24-ArtifactsInput!$M$24)*CHOOSE(ArtifactsInput!$N$24+1,10,12,14,16,18,20)+IF(ArtifactsInput!$M$10,CHOOSE(ArtifactsInput!$N$10+1,15,18,21,24,27,30)*(IF(Inputs!$B$39="pvp",MIN(15,15)/15,IF(AND(Inputs!$B$39&lt;&gt;"pvp",Inputs!$B$44&gt;0),MIN(15,Inputs!$B$44)/(Inputs!$B$44),0))),0)))&gt;=100),MIN(100,((Inputs!$B$9+((C1575=TRUE)*(F1575-Calc!F26))+B1583+(ArtifactsInput!$M$24-ArtifactsInput!$M$24)*CHOOSE(ArtifactsInput!$N$24+1,10,12,14,16,18,20)+IF(ArtifactsInput!$M$10,CHOOSE(ArtifactsInput!$N$10+1,15,18,21,24,27,30)*(IF(Inputs!$B$39="pvp",MIN(15,15)/15,IF(AND(Inputs!$B$39&lt;&gt;"pvp",Inputs!$B$44&gt;0),MIN(15,Inputs!$B$44)/(Inputs!$B$44),0))),0)))-100),0))*CHOOSE(ArtifactsInput!$N$42+1,0.6,0.72,0.84,0.96,1.08,1.2))),Inputs!$B$18+((C1578=TRUE)*(F1578-Calc!F29))+(IF(AND(Inputs!$B$39&lt;&gt;"pvp",Inputs!$B$44=0),1,IF(IF(Inputs!$B$39="pvp",15,Inputs!$B$44)-(B1594)&lt;=0,1,MAX(0,IF(Inputs!$B$39="pvp",15,Inputs!$B$44)-MAX(5,B1594))/(IF(Inputs!$B$39="pvp",15,Inputs!$B$44)-(B1594))))*IF(AND(ArtifactsInput!$M$42,((Inputs!$B$9+((C1575=TRUE)*(F1575-Calc!F26))+B1583+(ArtifactsInput!$M$24-ArtifactsInput!$M$24)*CHOOSE(ArtifactsInput!$N$24+1,10,12,14,16,18,20)+IF(ArtifactsInput!$M$10,CHOOSE(ArtifactsInput!$N$10+1,15,18,21,24,27,30)*(IF(Inputs!$B$39="pvp",MIN(15,15)/15,IF(AND(Inputs!$B$39&lt;&gt;"pvp",Inputs!$B$44&gt;0),MIN(15,Inputs!$B$44)/(Inputs!$B$44),0))),0)))&gt;=100),CHOOSE(ArtifactsInput!$N$42+1,40,48,56,64,72,80),0))))/100)*(((1+(((C1571=TRUE)*F1571*IF(AND(Inputs!$B$39&lt;&gt;"pvp",Inputs!$B$44&gt;0),(((R1571-1)*MIN((Skills!Y22*(1+Inputs!$B$34/100)),(1/Q1571))+MIN((Skills!Y22*(1+Inputs!$B$34/100)),MAX(0,Inputs!$B$44-((R1571-1)*(1/Q1571)))))/Inputs!$B$44),IF(Inputs!$B$39="pvp",MIN((Skills!Y22*(1+Inputs!$B$34/100)),15)/15,MIN(1,(Skills!Y22*(1+Inputs!$B$34/100))/(1/Q1571)))))+((C1552=TRUE)*F1552*3)+((C1554=TRUE)*F1554*(1-EXP(-0.75*B1587*5)))+((C1573=TRUE)*(F1573-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1560=TRUE)*F1560*IF(AND(Inputs!$B$39&lt;&gt;"pvp",Inputs!$B$44&gt;0),(((R1560-1)*MIN((Skills!Y11*(1+Inputs!$B$34/100)),(1/Q1560))+MIN((Skills!Y11*(1+Inputs!$B$34/100)),MAX(0,Inputs!$B$44-((R1560-1)*(1/Q1560)))))/Inputs!$B$44),IF(Inputs!$B$39="pvp",MIN((Skills!Y11*(1+Inputs!$B$34/100)),15)/15,MIN(1,(Skills!Y11*(1+Inputs!$B$34/100))/(1/Q1560)))))/100)*(1+((C1565=TRUE)*F1565*IF(AND(Inputs!$B$39&lt;&gt;"pvp",Inputs!$B$44&gt;0),(((R1565-1)*MIN((Skills!Y16*(1+Inputs!$B$34/100)),(1/Q1565))+MIN((Skills!Y16*(1+Inputs!$B$34/100)),MAX(0,Inputs!$B$44-((R1565-1)*(1/Q1565)))))/Inputs!$B$44),IF(Inputs!$B$39="pvp",MIN((Skills!Y16*(1+Inputs!$B$34/100)),15)/15,MIN(1,(Skills!Y16*(1+Inputs!$B$34/100))/(1/Q1565)))))/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1585*I1563)</f>
        <v/>
      </c>
      <c r="L1563">
        <f>K1563*(MIN(Inputs!$B$22+((C1574=TRUE)*(F1574-Calc!F25)),(Inputs!$B$23+((C1579=TRUE)*(F1579-Calc!F30))+IF(ArtifactsInput!$M$15,CHOOSE(ArtifactsInput!$N$15+1,25,30,35,40,45,50)/100*(Inputs!$B$11-Inputs!$B$11),0)))/100+(Inputs!$B$23+((C1579=TRUE)*(F1579-Calc!F30))+IF(ArtifactsInput!$M$15,CHOOSE(ArtifactsInput!$N$15+1,25,30,35,40,45,50)/100*(Inputs!$B$11-Inputs!$B$11),0))/100)/2</f>
        <v/>
      </c>
      <c r="M1563">
        <f>L1563*(1+(Inputs!$B$10+((C1576=TRUE)*(F1576-Calc!F27))+B1590+(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1563">
        <f>L1563*(1-MIN((Inputs!$B$9+((C1575=TRUE)*(F1575-Calc!F26))+B1583+(ArtifactsInput!$M$24-ArtifactsInput!$M$24)*CHOOSE(ArtifactsInput!$N$24+1,10,12,14,16,18,20)+(IF(AND(Inputs!$B$39&lt;&gt;"pvp",Inputs!$B$44=0),1,IF(IF(Inputs!$B$39="pvp",15,Inputs!$B$44)-(B1594)&lt;=0,1,MAX(0,IF(Inputs!$B$39="pvp",15,Inputs!$B$44)-MAX(5,B1594))/(IF(Inputs!$B$39="pvp",15,Inputs!$B$44)-(B1594))))*IF(AND(ArtifactsInput!$M$42,((Inputs!$B$9+((C1575=TRUE)*(F1575-Calc!F26))+B1583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1563*(MIN((Inputs!$B$9+((C1575=TRUE)*(F1575-Calc!F26))+B1583+(ArtifactsInput!$M$24-ArtifactsInput!$M$24)*CHOOSE(ArtifactsInput!$N$24+1,10,12,14,16,18,20)+(IF(AND(Inputs!$B$39&lt;&gt;"pvp",Inputs!$B$44=0),1,IF(IF(Inputs!$B$39="pvp",15,Inputs!$B$44)-(B1594)&lt;=0,1,MAX(0,IF(Inputs!$B$39="pvp",15,Inputs!$B$44)-MAX(5,B1594))/(IF(Inputs!$B$39="pvp",15,Inputs!$B$44)-(B1594))))*IF(AND(ArtifactsInput!$M$42,((Inputs!$B$9+((C1575=TRUE)*(F1575-Calc!F26))+B1583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563">
        <f>(1-Summary!$B$11)*T1563+Summary!$B$11*V1563</f>
        <v/>
      </c>
      <c r="P1563">
        <f>IF(B1595=0,0,O1563/B1595)</f>
        <v/>
      </c>
      <c r="Q1563">
        <f>IFERROR(1/IF(Inputs!$B$39="pvp",15,MAX(0.1,Skills!D14-IF(TRUE=TRUE,Inputs!$B$32,0))),0)</f>
        <v/>
      </c>
      <c r="R1563">
        <f>IF(AND(Inputs!$B$39&lt;&gt;"pvp",Inputs!$B$44&gt;0),IF(MAX(0,Inputs!$B$44-B1594)&lt;=0,0,(INT(MAX(0,Inputs!$B$44-B1594)/IF(Inputs!$B$39="pvp",15,MAX(0.1,Skills!D14-IF(TRUE=TRUE,Inputs!$B$32,0))))+1)),0)</f>
        <v/>
      </c>
      <c r="S1563">
        <f>IFERROR(O1563/N1563,0)</f>
        <v/>
      </c>
      <c r="T1563">
        <f>IF(C1563,(H1563*N1563*IF(AND(Inputs!$B$39&lt;&gt;"pvp",Inputs!$B$44&gt;0),((Skills!G14*((R1563-1)*IF(Skills!H14&gt;0,Skills!I14/Skills!H14,1)+IF(Skills!H14&gt;0,MIN(Skills!I14,MAX(0,MAX(0,Inputs!$B$44-B1594)-((R1563-1)*IF(Inputs!$B$39="pvp",15,MAX(0.1,Skills!D14-IF(TRUE=TRUE,Inputs!$B$32,0))))))/Skills!H14,1)))/Inputs!$B$44),G1563*Q1563))*IF(Inputs!$B$39="pvp",1,1+(Inputs!$B$20+0+Skills!P14+B1584+(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Hunt"),CHOOSE(ArtifactsInput!$N$35+1,15,18,21,24,27,30)*(1-EXP(-(0.2*B1587)*5)),0)+IF(AND(ArtifactsInput!$M$22,Inputs!$B$4&lt;&gt;"Chapter Hunt"),CHOOSE(ArtifactsInput!$N$22+1,10,12,14,16,18,20)*((0*(((0.15*B1587*5))^0/1)+1*(((0.15*B1587*5))^1/1)+2*(((0.15*B1587*5))^2/2)+3*(((0.15*B1587*5))^3/6)+4*(((0.15*B1587*5))^4/24)+5*(((0.15*B1587*5))^5/120))/((((0.15*B1587*5))^0/1)+(((0.15*B1587*5))^1/1)+(((0.15*B1587*5))^2/2)+(((0.15*B1587*5))^3/6)+(((0.15*B1587*5))^4/24)+(((0.15*B1587*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1563*(1-MIN(100,(Inputs!$B$9+((C1575=TRUE)*(F1575-Calc!F26))+B1583+(ArtifactsInput!$M$24-ArtifactsInput!$M$24)*CHOOSE(ArtifactsInput!$N$24+1,10,12,14,16,18,20)+(IF(AND(Inputs!$B$39&lt;&gt;"pvp",Inputs!$B$44=0),1,IF(IF(Inputs!$B$39="pvp",15,Inputs!$B$44)-(B1594)&lt;=0,1,MAX(0,IF(Inputs!$B$39="pvp",15,Inputs!$B$44)-MAX(5,B1594))/(IF(Inputs!$B$39="pvp",15,Inputs!$B$44)-(B1594))))*IF(AND(ArtifactsInput!$M$42,((Inputs!$B$9+((C1575=TRUE)*(F1575-Calc!F26))+B1583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1563*(MIN(100,(Inputs!$B$9+((C1575=TRUE)*(F1575-Calc!F26))+B1583+(ArtifactsInput!$M$24-ArtifactsInput!$M$24)*CHOOSE(ArtifactsInput!$N$24+1,10,12,14,16,18,20)+(IF(AND(Inputs!$B$39&lt;&gt;"pvp",Inputs!$B$44=0),1,IF(IF(Inputs!$B$39="pvp",15,Inputs!$B$44)-(B1594)&lt;=0,1,MAX(0,IF(Inputs!$B$39="pvp",15,Inputs!$B$44)-MAX(5,B1594))/(IF(Inputs!$B$39="pvp",15,Inputs!$B$44)-(B1594))))*IF(AND(ArtifactsInput!$M$42,((Inputs!$B$9+((C1575=TRUE)*(F1575-Calc!F26))+B1583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1563*(1-MIN(100,(Inputs!$B$9+((C1575=TRUE)*(F1575-Calc!F26))+B1583+(ArtifactsInput!$M$24-ArtifactsInput!$M$24)*CHOOSE(ArtifactsInput!$N$24+1,10,12,14,16,18,20)+(IF(AND(Inputs!$B$39&lt;&gt;"pvp",Inputs!$B$44=0),1,IF(IF(Inputs!$B$39="pvp",15,Inputs!$B$44)-(B1594)&lt;=0,1,MAX(0,IF(Inputs!$B$39="pvp",15,Inputs!$B$44)-MAX(5,B1594))/(IF(Inputs!$B$39="pvp",15,Inputs!$B$44)-(B1594))))*IF(AND(ArtifactsInput!$M$42,((Inputs!$B$9+((C1575=TRUE)*(F1575-Calc!F26))+B1583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1563*(MIN(100,(Inputs!$B$9+((C1575=TRUE)*(F1575-Calc!F26))+B1583+(ArtifactsInput!$M$24-ArtifactsInput!$M$24)*CHOOSE(ArtifactsInput!$N$24+1,10,12,14,16,18,20)+(IF(AND(Inputs!$B$39&lt;&gt;"pvp",Inputs!$B$44=0),1,IF(IF(Inputs!$B$39="pvp",15,Inputs!$B$44)-(B1594)&lt;=0,1,MAX(0,IF(Inputs!$B$39="pvp",15,Inputs!$B$44)-MAX(5,B1594))/(IF(Inputs!$B$39="pvp",15,Inputs!$B$44)-(B1594))))*IF(AND(ArtifactsInput!$M$42,((Inputs!$B$9+((C1575=TRUE)*(F1575-Calc!F26))+B1583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1563">
        <f>IF(C1563,(H1563*N1563*IF(AND(Inputs!$B$39&lt;&gt;"pvp",Inputs!$B$44&gt;0),((Skills!G14*((R1563-1)*IF(Skills!H14&gt;0,Skills!I14/Skills!H14,1)+IF(Skills!H14&gt;0,MIN(Skills!I14,MAX(0,MAX(0,Inputs!$B$44-B1594)-((R1563-1)*IF(Inputs!$B$39="pvp",15,MAX(0.1,Skills!D14-IF(TRUE=TRUE,Inputs!$B$32,0))))))/Skills!H14,1)))/Inputs!$B$44),G1563*Q1563))*IF(Inputs!$B$39="pvp",1,(1+(Inputs!$B$21+Skills!Q14+B1584+(IF(ArtifactsInput!$M$33,CHOOSE(ArtifactsInput!$N$33+1,30,36,42,48,54,60),0))+(IF(AND(ArtifactsInput!$M$35,Inputs!$B$4&lt;&gt;"Chapter Hunt"),CHOOSE(ArtifactsInput!$N$35+1,15,18,21,24,27,30)*(1-EXP(-(0.2*B1587)*5)),0)+IF(AND(ArtifactsInput!$M$22,Inputs!$B$4&lt;&gt;"Chapter Hunt"),CHOOSE(ArtifactsInput!$N$22+1,10,12,14,16,18,20)*((0*(((0.15*B1587*5))^0/1)+1*(((0.15*B1587*5))^1/1)+2*(((0.15*B1587*5))^2/2)+3*(((0.15*B1587*5))^3/6)+4*(((0.15*B1587*5))^4/24)+5*(((0.15*B1587*5))^5/120))/((((0.15*B1587*5))^0/1)+(((0.15*B1587*5))^1/1)+(((0.15*B1587*5))^2/2)+(((0.15*B1587*5))^3/6)+(((0.15*B1587*5))^4/24)+(((0.15*B1587*5))^5/120))),0)))/100)*(MIN(Skills!W14,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564">
      <c r="A1564">
        <f>Skills!A15</f>
        <v/>
      </c>
      <c r="B1564">
        <f>Skills!B15</f>
        <v/>
      </c>
      <c r="C1564">
        <f>Inputs!$B$3&gt;=107</f>
        <v/>
      </c>
      <c r="D1564">
        <f>IF(Skills!C15=1,60+Inputs!$B$25+Inputs!$B$29,IF(Skills!C15=2,90+Inputs!$B$26+Inputs!$B$29,IF(Skills!C15=3,120+Inputs!$B$27+Inputs!$B$29,MAX(0,(Inputs!$B$3-100)*3)+Inputs!$B$28+Inputs!$B$29)))</f>
        <v/>
      </c>
      <c r="E1564">
        <f>INDEX(FactorTable!$B$2:$Y$301, MATCH(ROUND(MIN(300,MAX(1,D1564)),0), FactorTable!$A$2:$A$301,0), Skills!M15+1)</f>
        <v/>
      </c>
      <c r="F1564">
        <f>IF(Skills!N15=TRUE,(Skills!L15/10)*(E1564/1000),Skills!L15/10)+Skills!O15</f>
        <v/>
      </c>
      <c r="G1564">
        <f>Skills!G15*IF(Skills!H15&gt;0,IF(Inputs!$B$39="pvp",MIN(Skills!I15,15),Skills!I15)/Skills!H15,1)</f>
        <v/>
      </c>
      <c r="H1564">
        <f>1-(1-Skills!J15/100)^Skills!K15</f>
        <v/>
      </c>
      <c r="I1564" t="inlineStr">
        <is>
          <t>1</t>
        </is>
      </c>
      <c r="J1564">
        <f>((Inputs!$B$6*(1+Inputs!$B$7/100))+(((Inputs!$B$12*(1+Inputs!$B$13/100))-(Inputs!$B$12*(1+Inputs!$B$13/100)))+0.25*(Inputs!$B$14-Inputs!$B$14))*(1+Inputs!$B$7/100))*(F1564/100)</f>
        <v/>
      </c>
      <c r="K1564">
        <f>J1564*(1+((Inputs!$B$12*(1+Inputs!$B$13/100))*0.01+Inputs!$B$14*0.0025)/100)*(1+Inputs!$B$15/100)*(1+Inputs!$B$16/100)*(5000/(6000+Inputs!$B$43*(1-(100*(1-(1-Inputs!$B$19/100)*(1-CHOOSE(ArtifactsInput!$N$40+1,5,6,7,8,9,10)/100)^(ArtifactsInput!$M$40-ArtifactsInput!$M$40)))/100)))*(1+(Inputs!$B$24+((C1580=TRUE)*(F1580-Calc!F31))+((C1567=TRUE)*(F1567-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15="CRUEL_STAB",Inputs!$B$17+((C1577=TRUE)*(F1577-Calc!F28))+((IF(AND(Inputs!$B$39&lt;&gt;"pvp",Inputs!$B$44=0),1,IF(IF(Inputs!$B$39="pvp",15,Inputs!$B$44)-(B1594)&lt;=0,1,MAX(0,IF(Inputs!$B$39="pvp",15,Inputs!$B$44)-MAX(5,B1594))/(IF(Inputs!$B$39="pvp",15,Inputs!$B$44)-(B1594))))*(IF(AND(ArtifactsInput!$M$42,((Inputs!$B$9+((C1575=TRUE)*(F1575-Calc!F26))+B1583+(ArtifactsInput!$M$24-ArtifactsInput!$M$24)*CHOOSE(ArtifactsInput!$N$24+1,10,12,14,16,18,20)+IF(ArtifactsInput!$M$10,CHOOSE(ArtifactsInput!$N$10+1,15,18,21,24,27,30)*(IF(Inputs!$B$39="pvp",MIN(15,15)/15,IF(AND(Inputs!$B$39&lt;&gt;"pvp",Inputs!$B$44&gt;0),MIN(15,Inputs!$B$44)/(Inputs!$B$44),0))),0)))&gt;=100),MIN(100,((Inputs!$B$9+((C1575=TRUE)*(F1575-Calc!F26))+B1583+(ArtifactsInput!$M$24-ArtifactsInput!$M$24)*CHOOSE(ArtifactsInput!$N$24+1,10,12,14,16,18,20)+IF(ArtifactsInput!$M$10,CHOOSE(ArtifactsInput!$N$10+1,15,18,21,24,27,30)*(IF(Inputs!$B$39="pvp",MIN(15,15)/15,IF(AND(Inputs!$B$39&lt;&gt;"pvp",Inputs!$B$44&gt;0),MIN(15,Inputs!$B$44)/(Inputs!$B$44),0))),0)))-100),0))*CHOOSE(ArtifactsInput!$N$42+1,0.6,0.72,0.84,0.96,1.08,1.2))),Inputs!$B$18+((C1578=TRUE)*(F1578-Calc!F29))+(IF(AND(Inputs!$B$39&lt;&gt;"pvp",Inputs!$B$44=0),1,IF(IF(Inputs!$B$39="pvp",15,Inputs!$B$44)-(B1594)&lt;=0,1,MAX(0,IF(Inputs!$B$39="pvp",15,Inputs!$B$44)-MAX(5,B1594))/(IF(Inputs!$B$39="pvp",15,Inputs!$B$44)-(B1594))))*IF(AND(ArtifactsInput!$M$42,((Inputs!$B$9+((C1575=TRUE)*(F1575-Calc!F26))+B1583+(ArtifactsInput!$M$24-ArtifactsInput!$M$24)*CHOOSE(ArtifactsInput!$N$24+1,10,12,14,16,18,20)+IF(ArtifactsInput!$M$10,CHOOSE(ArtifactsInput!$N$10+1,15,18,21,24,27,30)*(IF(Inputs!$B$39="pvp",MIN(15,15)/15,IF(AND(Inputs!$B$39&lt;&gt;"pvp",Inputs!$B$44&gt;0),MIN(15,Inputs!$B$44)/(Inputs!$B$44),0))),0)))&gt;=100),CHOOSE(ArtifactsInput!$N$42+1,40,48,56,64,72,80),0))))/100)*(((1+(((C1571=TRUE)*F1571*IF(AND(Inputs!$B$39&lt;&gt;"pvp",Inputs!$B$44&gt;0),(((R1571-1)*MIN((Skills!Y22*(1+Inputs!$B$34/100)),(1/Q1571))+MIN((Skills!Y22*(1+Inputs!$B$34/100)),MAX(0,Inputs!$B$44-((R1571-1)*(1/Q1571)))))/Inputs!$B$44),IF(Inputs!$B$39="pvp",MIN((Skills!Y22*(1+Inputs!$B$34/100)),15)/15,MIN(1,(Skills!Y22*(1+Inputs!$B$34/100))/(1/Q1571)))))+((C1552=TRUE)*F1552*3)+((C1554=TRUE)*F1554*(1-EXP(-0.75*B1587*5)))+((C1573=TRUE)*(F1573-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1560=TRUE)*F1560*IF(AND(Inputs!$B$39&lt;&gt;"pvp",Inputs!$B$44&gt;0),(((R1560-1)*MIN((Skills!Y11*(1+Inputs!$B$34/100)),(1/Q1560))+MIN((Skills!Y11*(1+Inputs!$B$34/100)),MAX(0,Inputs!$B$44-((R1560-1)*(1/Q1560)))))/Inputs!$B$44),IF(Inputs!$B$39="pvp",MIN((Skills!Y11*(1+Inputs!$B$34/100)),15)/15,MIN(1,(Skills!Y11*(1+Inputs!$B$34/100))/(1/Q1560)))))/100)*(1+((C1565=TRUE)*F1565*IF(AND(Inputs!$B$39&lt;&gt;"pvp",Inputs!$B$44&gt;0),(((R1565-1)*MIN((Skills!Y16*(1+Inputs!$B$34/100)),(1/Q1565))+MIN((Skills!Y16*(1+Inputs!$B$34/100)),MAX(0,Inputs!$B$44-((R1565-1)*(1/Q1565)))))/Inputs!$B$44),IF(Inputs!$B$39="pvp",MIN((Skills!Y16*(1+Inputs!$B$34/100)),15)/15,MIN(1,(Skills!Y16*(1+Inputs!$B$34/100))/(1/Q1565)))))/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1585*I1564)</f>
        <v/>
      </c>
      <c r="L1564">
        <f>K1564*(MIN(Inputs!$B$22+((C1574=TRUE)*(F1574-Calc!F25)),(Inputs!$B$23+((C1579=TRUE)*(F1579-Calc!F30))+IF(ArtifactsInput!$M$15,CHOOSE(ArtifactsInput!$N$15+1,25,30,35,40,45,50)/100*(Inputs!$B$11-Inputs!$B$11),0)))/100+(Inputs!$B$23+((C1579=TRUE)*(F1579-Calc!F30))+IF(ArtifactsInput!$M$15,CHOOSE(ArtifactsInput!$N$15+1,25,30,35,40,45,50)/100*(Inputs!$B$11-Inputs!$B$11),0))/100)/2</f>
        <v/>
      </c>
      <c r="M1564">
        <f>L1564*(1+(Inputs!$B$10+((C1576=TRUE)*(F1576-Calc!F27))+B1590+(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1564">
        <f>L1564*(1-MIN((Inputs!$B$9+((C1575=TRUE)*(F1575-Calc!F26))+B1583+(ArtifactsInput!$M$24-ArtifactsInput!$M$24)*CHOOSE(ArtifactsInput!$N$24+1,10,12,14,16,18,20)+(IF(AND(Inputs!$B$39&lt;&gt;"pvp",Inputs!$B$44=0),1,IF(IF(Inputs!$B$39="pvp",15,Inputs!$B$44)-(B1594)&lt;=0,1,MAX(0,IF(Inputs!$B$39="pvp",15,Inputs!$B$44)-MAX(5,B1594))/(IF(Inputs!$B$39="pvp",15,Inputs!$B$44)-(B1594))))*IF(AND(ArtifactsInput!$M$42,((Inputs!$B$9+((C1575=TRUE)*(F1575-Calc!F26))+B1583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1564*(MIN((Inputs!$B$9+((C1575=TRUE)*(F1575-Calc!F26))+B1583+(ArtifactsInput!$M$24-ArtifactsInput!$M$24)*CHOOSE(ArtifactsInput!$N$24+1,10,12,14,16,18,20)+(IF(AND(Inputs!$B$39&lt;&gt;"pvp",Inputs!$B$44=0),1,IF(IF(Inputs!$B$39="pvp",15,Inputs!$B$44)-(B1594)&lt;=0,1,MAX(0,IF(Inputs!$B$39="pvp",15,Inputs!$B$44)-MAX(5,B1594))/(IF(Inputs!$B$39="pvp",15,Inputs!$B$44)-(B1594))))*IF(AND(ArtifactsInput!$M$42,((Inputs!$B$9+((C1575=TRUE)*(F1575-Calc!F26))+B1583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564">
        <f>(1-Summary!$B$11)*T1564+Summary!$B$11*V1564</f>
        <v/>
      </c>
      <c r="P1564">
        <f>IF(B1595=0,0,O1564/B1595)</f>
        <v/>
      </c>
      <c r="Q1564">
        <f>IFERROR(1/IF(Inputs!$B$39="pvp",15,MAX(0.1,Skills!D15-IF(TRUE=TRUE,Inputs!$B$32,0))),0)</f>
        <v/>
      </c>
      <c r="R1564">
        <f>IF(AND(Inputs!$B$39&lt;&gt;"pvp",Inputs!$B$44&gt;0),IF(MAX(0,Inputs!$B$44-B1594)&lt;=0,0,(INT(MAX(0,Inputs!$B$44-B1594)/IF(Inputs!$B$39="pvp",15,MAX(0.1,Skills!D15-IF(TRUE=TRUE,Inputs!$B$32,0))))+1)),0)</f>
        <v/>
      </c>
      <c r="S1564">
        <f>IFERROR(O1564/N1564,0)</f>
        <v/>
      </c>
      <c r="T1564">
        <f>IF(C1564,(H1564*N1564*IF(AND(Inputs!$B$39&lt;&gt;"pvp",Inputs!$B$44&gt;0),((Skills!G15*((R1564-1)*IF(Skills!H15&gt;0,Skills!I15/Skills!H15,1)+IF(Skills!H15&gt;0,MIN(Skills!I15,MAX(0,MAX(0,Inputs!$B$44-B1594)-((R1564-1)*IF(Inputs!$B$39="pvp",15,MAX(0.1,Skills!D15-IF(TRUE=TRUE,Inputs!$B$32,0))))))/Skills!H15,1)))/Inputs!$B$44),G1564*Q1564))*IF(Inputs!$B$39="pvp",1,1+(Inputs!$B$20+0+Skills!P15+B1584+(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Hunt"),CHOOSE(ArtifactsInput!$N$35+1,15,18,21,24,27,30)*(1-EXP(-(0.2*B1587)*5)),0)+IF(AND(ArtifactsInput!$M$22,Inputs!$B$4&lt;&gt;"Chapter Hunt"),CHOOSE(ArtifactsInput!$N$22+1,10,12,14,16,18,20)*((0*(((0.15*B1587*5))^0/1)+1*(((0.15*B1587*5))^1/1)+2*(((0.15*B1587*5))^2/2)+3*(((0.15*B1587*5))^3/6)+4*(((0.15*B1587*5))^4/24)+5*(((0.15*B1587*5))^5/120))/((((0.15*B1587*5))^0/1)+(((0.15*B1587*5))^1/1)+(((0.15*B1587*5))^2/2)+(((0.15*B1587*5))^3/6)+(((0.15*B1587*5))^4/24)+(((0.15*B1587*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1564*(1-MIN(100,(Inputs!$B$9+((C1575=TRUE)*(F1575-Calc!F26))+B1583+(ArtifactsInput!$M$24-ArtifactsInput!$M$24)*CHOOSE(ArtifactsInput!$N$24+1,10,12,14,16,18,20)+(IF(AND(Inputs!$B$39&lt;&gt;"pvp",Inputs!$B$44=0),1,IF(IF(Inputs!$B$39="pvp",15,Inputs!$B$44)-(B1594)&lt;=0,1,MAX(0,IF(Inputs!$B$39="pvp",15,Inputs!$B$44)-MAX(5,B1594))/(IF(Inputs!$B$39="pvp",15,Inputs!$B$44)-(B1594))))*IF(AND(ArtifactsInput!$M$42,((Inputs!$B$9+((C1575=TRUE)*(F1575-Calc!F26))+B1583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1564*(MIN(100,(Inputs!$B$9+((C1575=TRUE)*(F1575-Calc!F26))+B1583+(ArtifactsInput!$M$24-ArtifactsInput!$M$24)*CHOOSE(ArtifactsInput!$N$24+1,10,12,14,16,18,20)+(IF(AND(Inputs!$B$39&lt;&gt;"pvp",Inputs!$B$44=0),1,IF(IF(Inputs!$B$39="pvp",15,Inputs!$B$44)-(B1594)&lt;=0,1,MAX(0,IF(Inputs!$B$39="pvp",15,Inputs!$B$44)-MAX(5,B1594))/(IF(Inputs!$B$39="pvp",15,Inputs!$B$44)-(B1594))))*IF(AND(ArtifactsInput!$M$42,((Inputs!$B$9+((C1575=TRUE)*(F1575-Calc!F26))+B1583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1564*(1-MIN(100,(Inputs!$B$9+((C1575=TRUE)*(F1575-Calc!F26))+B1583+(ArtifactsInput!$M$24-ArtifactsInput!$M$24)*CHOOSE(ArtifactsInput!$N$24+1,10,12,14,16,18,20)+(IF(AND(Inputs!$B$39&lt;&gt;"pvp",Inputs!$B$44=0),1,IF(IF(Inputs!$B$39="pvp",15,Inputs!$B$44)-(B1594)&lt;=0,1,MAX(0,IF(Inputs!$B$39="pvp",15,Inputs!$B$44)-MAX(5,B1594))/(IF(Inputs!$B$39="pvp",15,Inputs!$B$44)-(B1594))))*IF(AND(ArtifactsInput!$M$42,((Inputs!$B$9+((C1575=TRUE)*(F1575-Calc!F26))+B1583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1564*(MIN(100,(Inputs!$B$9+((C1575=TRUE)*(F1575-Calc!F26))+B1583+(ArtifactsInput!$M$24-ArtifactsInput!$M$24)*CHOOSE(ArtifactsInput!$N$24+1,10,12,14,16,18,20)+(IF(AND(Inputs!$B$39&lt;&gt;"pvp",Inputs!$B$44=0),1,IF(IF(Inputs!$B$39="pvp",15,Inputs!$B$44)-(B1594)&lt;=0,1,MAX(0,IF(Inputs!$B$39="pvp",15,Inputs!$B$44)-MAX(5,B1594))/(IF(Inputs!$B$39="pvp",15,Inputs!$B$44)-(B1594))))*IF(AND(ArtifactsInput!$M$42,((Inputs!$B$9+((C1575=TRUE)*(F1575-Calc!F26))+B1583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1564">
        <f>IF(C1564,(H1564*N1564*IF(AND(Inputs!$B$39&lt;&gt;"pvp",Inputs!$B$44&gt;0),((Skills!G15*((R1564-1)*IF(Skills!H15&gt;0,Skills!I15/Skills!H15,1)+IF(Skills!H15&gt;0,MIN(Skills!I15,MAX(0,MAX(0,Inputs!$B$44-B1594)-((R1564-1)*IF(Inputs!$B$39="pvp",15,MAX(0.1,Skills!D15-IF(TRUE=TRUE,Inputs!$B$32,0))))))/Skills!H15,1)))/Inputs!$B$44),G1564*Q1564))*IF(Inputs!$B$39="pvp",1,(1+(Inputs!$B$21+Skills!Q15+B1584+(IF(ArtifactsInput!$M$33,CHOOSE(ArtifactsInput!$N$33+1,30,36,42,48,54,60),0))+(IF(AND(ArtifactsInput!$M$35,Inputs!$B$4&lt;&gt;"Chapter Hunt"),CHOOSE(ArtifactsInput!$N$35+1,15,18,21,24,27,30)*(1-EXP(-(0.2*B1587)*5)),0)+IF(AND(ArtifactsInput!$M$22,Inputs!$B$4&lt;&gt;"Chapter Hunt"),CHOOSE(ArtifactsInput!$N$22+1,10,12,14,16,18,20)*((0*(((0.15*B1587*5))^0/1)+1*(((0.15*B1587*5))^1/1)+2*(((0.15*B1587*5))^2/2)+3*(((0.15*B1587*5))^3/6)+4*(((0.15*B1587*5))^4/24)+5*(((0.15*B1587*5))^5/120))/((((0.15*B1587*5))^0/1)+(((0.15*B1587*5))^1/1)+(((0.15*B1587*5))^2/2)+(((0.15*B1587*5))^3/6)+(((0.15*B1587*5))^4/24)+(((0.15*B1587*5))^5/120))),0)))/100)*(MIN(MIN(5,0.5*IF(Inputs!$B$3&gt;=75,0.75,0.5)*B1587*(1/Q1553))*Skills!V15,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565">
      <c r="A1565">
        <f>Skills!A16</f>
        <v/>
      </c>
      <c r="B1565">
        <f>Skills!B16</f>
        <v/>
      </c>
      <c r="C1565">
        <f>Inputs!$B$3&gt;=110</f>
        <v/>
      </c>
      <c r="D1565">
        <f>IF(Skills!C16=1,60+Inputs!$B$25+Inputs!$B$29,IF(Skills!C16=2,90+Inputs!$B$26+Inputs!$B$29,IF(Skills!C16=3,120+Inputs!$B$27+Inputs!$B$29,MAX(0,(Inputs!$B$3-100)*3)+Inputs!$B$28+Inputs!$B$29)))</f>
        <v/>
      </c>
      <c r="E1565">
        <f>INDEX(FactorTable!$B$2:$Y$301, MATCH(ROUND(MIN(300,MAX(1,D1565)),0), FactorTable!$A$2:$A$301,0), Skills!M16+1)</f>
        <v/>
      </c>
      <c r="F1565">
        <f>IF(Skills!N16=TRUE,(Skills!L16/10)*(E1565/1000),Skills!L16/10)+Skills!O16</f>
        <v/>
      </c>
      <c r="G1565">
        <f>Skills!G16*IF(Skills!H16&gt;0,IF(Inputs!$B$39="pvp",MIN(Skills!I16,15),Skills!I16)/Skills!H16,1)</f>
        <v/>
      </c>
      <c r="H1565">
        <f>1-(1-Skills!J16/100)^Skills!K16</f>
        <v/>
      </c>
      <c r="I1565" t="inlineStr">
        <is>
          <t>1</t>
        </is>
      </c>
      <c r="J1565" t="inlineStr"/>
      <c r="K1565" t="inlineStr"/>
      <c r="L1565" t="inlineStr"/>
      <c r="M1565" t="inlineStr"/>
      <c r="N1565" t="inlineStr"/>
      <c r="O1565">
        <f>(1-Summary!$B$11)*T1565+Summary!$B$11*V1565</f>
        <v/>
      </c>
      <c r="P1565">
        <f>IF(B1595=0,0,O1565/B1595)</f>
        <v/>
      </c>
      <c r="Q1565">
        <f>IFERROR(1/IF(Inputs!$B$39="pvp",15,MAX(0.1,Skills!D16-IF(TRUE=TRUE,Inputs!$B$32,0))),0)</f>
        <v/>
      </c>
      <c r="R1565">
        <f>IF(AND(Inputs!$B$39&lt;&gt;"pvp",Inputs!$B$44&gt;0),IF(Inputs!$B$44&lt;=0,0,(INT(Inputs!$B$44/IF(Inputs!$B$39="pvp",15,MAX(0.1,Skills!D16-IF(TRUE=TRUE,Inputs!$B$32,0))))+1)),0)</f>
        <v/>
      </c>
      <c r="S1565">
        <f>IFERROR(O1565/N1565,0)</f>
        <v/>
      </c>
      <c r="T1565" t="n">
        <v>0</v>
      </c>
      <c r="V1565" t="n">
        <v>0</v>
      </c>
    </row>
    <row r="1566">
      <c r="A1566">
        <f>Skills!A17</f>
        <v/>
      </c>
      <c r="B1566">
        <f>Skills!B17</f>
        <v/>
      </c>
      <c r="C1566">
        <f>Inputs!$B$3&gt;=115</f>
        <v/>
      </c>
      <c r="D1566">
        <f>IF(Skills!C17=1,60+Inputs!$B$25+Inputs!$B$29,IF(Skills!C17=2,90+Inputs!$B$26+Inputs!$B$29,IF(Skills!C17=3,120+Inputs!$B$27+Inputs!$B$29,MAX(0,(Inputs!$B$3-100)*3)+Inputs!$B$28+Inputs!$B$29)))</f>
        <v/>
      </c>
      <c r="E1566">
        <f>INDEX(FactorTable!$B$2:$Y$301, MATCH(ROUND(MIN(300,MAX(1,D1566)),0), FactorTable!$A$2:$A$301,0), Skills!M17+1)</f>
        <v/>
      </c>
      <c r="F1566">
        <f>IF(Skills!N17=TRUE,(Skills!L17/10)*(E1566/1000),Skills!L17/10)+Skills!O17</f>
        <v/>
      </c>
      <c r="G1566">
        <f>Skills!G17*IF(Skills!H17&gt;0,IF(Inputs!$B$39="pvp",MIN(Skills!I17,15),Skills!I17)/Skills!H17,1)</f>
        <v/>
      </c>
      <c r="H1566">
        <f>1-(1-Skills!J17/100)^Skills!K17</f>
        <v/>
      </c>
      <c r="I1566" t="inlineStr">
        <is>
          <t>1</t>
        </is>
      </c>
      <c r="J1566">
        <f>((Inputs!$B$6*(1+Inputs!$B$7/100))+(((Inputs!$B$12*(1+Inputs!$B$13/100))-(Inputs!$B$12*(1+Inputs!$B$13/100)))+0.25*(Inputs!$B$14-Inputs!$B$14))*(1+Inputs!$B$7/100))*(F1566/100)</f>
        <v/>
      </c>
      <c r="K1566">
        <f>J1566*(1+((Inputs!$B$12*(1+Inputs!$B$13/100))*0.01+Inputs!$B$14*0.0025)/100)*(1+Inputs!$B$15/100)*(1+Inputs!$B$16/100)*(5000/(6000+Inputs!$B$43*(1-(100*(1-(1-Inputs!$B$19/100)*(1-CHOOSE(ArtifactsInput!$N$40+1,5,6,7,8,9,10)/100)^(ArtifactsInput!$M$40-ArtifactsInput!$M$40)))/100)))*(1+(Inputs!$B$24+((C1580=TRUE)*(F1580-Calc!F31))+((C1567=TRUE)*(F1567-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17="CRUEL_STAB",Inputs!$B$17+((C1577=TRUE)*(F1577-Calc!F28))+((IF(AND(Inputs!$B$39&lt;&gt;"pvp",Inputs!$B$44=0),1,IF(IF(Inputs!$B$39="pvp",15,Inputs!$B$44)-(B1594)&lt;=0,1,MAX(0,IF(Inputs!$B$39="pvp",15,Inputs!$B$44)-MAX(5,B1594))/(IF(Inputs!$B$39="pvp",15,Inputs!$B$44)-(B1594))))*(IF(AND(ArtifactsInput!$M$42,((Inputs!$B$9+((C1575=TRUE)*(F1575-Calc!F26))+B1583+(ArtifactsInput!$M$24-ArtifactsInput!$M$24)*CHOOSE(ArtifactsInput!$N$24+1,10,12,14,16,18,20)+IF(ArtifactsInput!$M$10,CHOOSE(ArtifactsInput!$N$10+1,15,18,21,24,27,30)*(IF(Inputs!$B$39="pvp",MIN(15,15)/15,IF(AND(Inputs!$B$39&lt;&gt;"pvp",Inputs!$B$44&gt;0),MIN(15,Inputs!$B$44)/(Inputs!$B$44),0))),0)))&gt;=100),MIN(100,((Inputs!$B$9+((C1575=TRUE)*(F1575-Calc!F26))+B1583+(ArtifactsInput!$M$24-ArtifactsInput!$M$24)*CHOOSE(ArtifactsInput!$N$24+1,10,12,14,16,18,20)+IF(ArtifactsInput!$M$10,CHOOSE(ArtifactsInput!$N$10+1,15,18,21,24,27,30)*(IF(Inputs!$B$39="pvp",MIN(15,15)/15,IF(AND(Inputs!$B$39&lt;&gt;"pvp",Inputs!$B$44&gt;0),MIN(15,Inputs!$B$44)/(Inputs!$B$44),0))),0)))-100),0))*CHOOSE(ArtifactsInput!$N$42+1,0.6,0.72,0.84,0.96,1.08,1.2))),Inputs!$B$18+((C1578=TRUE)*(F1578-Calc!F29))+(IF(AND(Inputs!$B$39&lt;&gt;"pvp",Inputs!$B$44=0),1,IF(IF(Inputs!$B$39="pvp",15,Inputs!$B$44)-(B1594)&lt;=0,1,MAX(0,IF(Inputs!$B$39="pvp",15,Inputs!$B$44)-MAX(5,B1594))/(IF(Inputs!$B$39="pvp",15,Inputs!$B$44)-(B1594))))*IF(AND(ArtifactsInput!$M$42,((Inputs!$B$9+((C1575=TRUE)*(F1575-Calc!F26))+B1583+(ArtifactsInput!$M$24-ArtifactsInput!$M$24)*CHOOSE(ArtifactsInput!$N$24+1,10,12,14,16,18,20)+IF(ArtifactsInput!$M$10,CHOOSE(ArtifactsInput!$N$10+1,15,18,21,24,27,30)*(IF(Inputs!$B$39="pvp",MIN(15,15)/15,IF(AND(Inputs!$B$39&lt;&gt;"pvp",Inputs!$B$44&gt;0),MIN(15,Inputs!$B$44)/(Inputs!$B$44),0))),0)))&gt;=100),CHOOSE(ArtifactsInput!$N$42+1,40,48,56,64,72,80),0))))/100)*(((1+(((C1571=TRUE)*F1571*IF(AND(Inputs!$B$39&lt;&gt;"pvp",Inputs!$B$44&gt;0),(((R1571-1)*MIN((Skills!Y22*(1+Inputs!$B$34/100)),(1/Q1571))+MIN((Skills!Y22*(1+Inputs!$B$34/100)),MAX(0,Inputs!$B$44-((R1571-1)*(1/Q1571)))))/Inputs!$B$44),IF(Inputs!$B$39="pvp",MIN((Skills!Y22*(1+Inputs!$B$34/100)),15)/15,MIN(1,(Skills!Y22*(1+Inputs!$B$34/100))/(1/Q1571)))))+((C1552=TRUE)*F1552*3)+((C1554=TRUE)*F1554*(1-EXP(-0.75*B1587*5)))+((C1573=TRUE)*(F1573-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1560=TRUE)*F1560*IF(AND(Inputs!$B$39&lt;&gt;"pvp",Inputs!$B$44&gt;0),(((R1560-1)*MIN((Skills!Y11*(1+Inputs!$B$34/100)),(1/Q1560))+MIN((Skills!Y11*(1+Inputs!$B$34/100)),MAX(0,Inputs!$B$44-((R1560-1)*(1/Q1560)))))/Inputs!$B$44),IF(Inputs!$B$39="pvp",MIN((Skills!Y11*(1+Inputs!$B$34/100)),15)/15,MIN(1,(Skills!Y11*(1+Inputs!$B$34/100))/(1/Q1560)))))/100)*(1+((C1565=TRUE)*F1565*IF(AND(Inputs!$B$39&lt;&gt;"pvp",Inputs!$B$44&gt;0),(((R1565-1)*MIN((Skills!Y16*(1+Inputs!$B$34/100)),(1/Q1565))+MIN((Skills!Y16*(1+Inputs!$B$34/100)),MAX(0,Inputs!$B$44-((R1565-1)*(1/Q1565)))))/Inputs!$B$44),IF(Inputs!$B$39="pvp",MIN((Skills!Y16*(1+Inputs!$B$34/100)),15)/15,MIN(1,(Skills!Y16*(1+Inputs!$B$34/100))/(1/Q1565)))))/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1585*I1566)</f>
        <v/>
      </c>
      <c r="L1566">
        <f>K1566*(MIN(Inputs!$B$22+((C1574=TRUE)*(F1574-Calc!F25)),(Inputs!$B$23+((C1579=TRUE)*(F1579-Calc!F30))+IF(ArtifactsInput!$M$15,CHOOSE(ArtifactsInput!$N$15+1,25,30,35,40,45,50)/100*(Inputs!$B$11-Inputs!$B$11),0)))/100+(Inputs!$B$23+((C1579=TRUE)*(F1579-Calc!F30))+IF(ArtifactsInput!$M$15,CHOOSE(ArtifactsInput!$N$15+1,25,30,35,40,45,50)/100*(Inputs!$B$11-Inputs!$B$11),0))/100)/2</f>
        <v/>
      </c>
      <c r="M1566">
        <f>L1566*(1+(Inputs!$B$10+((C1576=TRUE)*(F1576-Calc!F27))+B1590+(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1566">
        <f>L1566*(1-MIN((Inputs!$B$9+((C1575=TRUE)*(F1575-Calc!F26))+B1583+(ArtifactsInput!$M$24-ArtifactsInput!$M$24)*CHOOSE(ArtifactsInput!$N$24+1,10,12,14,16,18,20)+(IF(AND(Inputs!$B$39&lt;&gt;"pvp",Inputs!$B$44=0),1,IF(IF(Inputs!$B$39="pvp",15,Inputs!$B$44)-(B1594)&lt;=0,1,MAX(0,IF(Inputs!$B$39="pvp",15,Inputs!$B$44)-MAX(5,B1594))/(IF(Inputs!$B$39="pvp",15,Inputs!$B$44)-(B1594))))*IF(AND(ArtifactsInput!$M$42,((Inputs!$B$9+((C1575=TRUE)*(F1575-Calc!F26))+B1583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1566*(MIN((Inputs!$B$9+((C1575=TRUE)*(F1575-Calc!F26))+B1583+(ArtifactsInput!$M$24-ArtifactsInput!$M$24)*CHOOSE(ArtifactsInput!$N$24+1,10,12,14,16,18,20)+(IF(AND(Inputs!$B$39&lt;&gt;"pvp",Inputs!$B$44=0),1,IF(IF(Inputs!$B$39="pvp",15,Inputs!$B$44)-(B1594)&lt;=0,1,MAX(0,IF(Inputs!$B$39="pvp",15,Inputs!$B$44)-MAX(5,B1594))/(IF(Inputs!$B$39="pvp",15,Inputs!$B$44)-(B1594))))*IF(AND(ArtifactsInput!$M$42,((Inputs!$B$9+((C1575=TRUE)*(F1575-Calc!F26))+B1583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566">
        <f>(1-Summary!$B$11)*T1566+Summary!$B$11*V1566</f>
        <v/>
      </c>
      <c r="P1566">
        <f>IF(B1595=0,0,O1566/B1595)</f>
        <v/>
      </c>
      <c r="Q1566" t="n">
        <v>0</v>
      </c>
      <c r="R1566" t="n">
        <v>0</v>
      </c>
      <c r="S1566">
        <f>IFERROR(O1566/N1566,0)</f>
        <v/>
      </c>
      <c r="T1566">
        <f>IF(C1566,(Inputs!$B$38*0.2*N1566)*IF(Inputs!$B$39="pvp",1,1+(Inputs!$B$20+0+Skills!P17+B1584+(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Hunt"),CHOOSE(ArtifactsInput!$N$35+1,15,18,21,24,27,30)*(1-EXP(-(0.2*B1587)*5)),0)+IF(AND(ArtifactsInput!$M$22,Inputs!$B$4&lt;&gt;"Chapter Hunt"),CHOOSE(ArtifactsInput!$N$22+1,10,12,14,16,18,20)*((0*(((0.15*B1587*5))^0/1)+1*(((0.15*B1587*5))^1/1)+2*(((0.15*B1587*5))^2/2)+3*(((0.15*B1587*5))^3/6)+4*(((0.15*B1587*5))^4/24)+5*(((0.15*B1587*5))^5/120))/((((0.15*B1587*5))^0/1)+(((0.15*B1587*5))^1/1)+(((0.15*B1587*5))^2/2)+(((0.15*B1587*5))^3/6)+(((0.15*B1587*5))^4/24)+(((0.15*B1587*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1566*(1-MIN(100,(Inputs!$B$9+((C1575=TRUE)*(F1575-Calc!F26))+B1583+(ArtifactsInput!$M$24-ArtifactsInput!$M$24)*CHOOSE(ArtifactsInput!$N$24+1,10,12,14,16,18,20)+(IF(AND(Inputs!$B$39&lt;&gt;"pvp",Inputs!$B$44=0),1,IF(IF(Inputs!$B$39="pvp",15,Inputs!$B$44)-(B1594)&lt;=0,1,MAX(0,IF(Inputs!$B$39="pvp",15,Inputs!$B$44)-MAX(5,B1594))/(IF(Inputs!$B$39="pvp",15,Inputs!$B$44)-(B1594))))*IF(AND(ArtifactsInput!$M$42,((Inputs!$B$9+((C1575=TRUE)*(F1575-Calc!F26))+B1583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1566*(MIN(100,(Inputs!$B$9+((C1575=TRUE)*(F1575-Calc!F26))+B1583+(ArtifactsInput!$M$24-ArtifactsInput!$M$24)*CHOOSE(ArtifactsInput!$N$24+1,10,12,14,16,18,20)+(IF(AND(Inputs!$B$39&lt;&gt;"pvp",Inputs!$B$44=0),1,IF(IF(Inputs!$B$39="pvp",15,Inputs!$B$44)-(B1594)&lt;=0,1,MAX(0,IF(Inputs!$B$39="pvp",15,Inputs!$B$44)-MAX(5,B1594))/(IF(Inputs!$B$39="pvp",15,Inputs!$B$44)-(B1594))))*IF(AND(ArtifactsInput!$M$42,((Inputs!$B$9+((C1575=TRUE)*(F1575-Calc!F26))+B1583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1566*(1-MIN(100,(Inputs!$B$9+((C1575=TRUE)*(F1575-Calc!F26))+B1583+(ArtifactsInput!$M$24-ArtifactsInput!$M$24)*CHOOSE(ArtifactsInput!$N$24+1,10,12,14,16,18,20)+(IF(AND(Inputs!$B$39&lt;&gt;"pvp",Inputs!$B$44=0),1,IF(IF(Inputs!$B$39="pvp",15,Inputs!$B$44)-(B1594)&lt;=0,1,MAX(0,IF(Inputs!$B$39="pvp",15,Inputs!$B$44)-MAX(5,B1594))/(IF(Inputs!$B$39="pvp",15,Inputs!$B$44)-(B1594))))*IF(AND(ArtifactsInput!$M$42,((Inputs!$B$9+((C1575=TRUE)*(F1575-Calc!F26))+B1583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1566*(MIN(100,(Inputs!$B$9+((C1575=TRUE)*(F1575-Calc!F26))+B1583+(ArtifactsInput!$M$24-ArtifactsInput!$M$24)*CHOOSE(ArtifactsInput!$N$24+1,10,12,14,16,18,20)+(IF(AND(Inputs!$B$39&lt;&gt;"pvp",Inputs!$B$44=0),1,IF(IF(Inputs!$B$39="pvp",15,Inputs!$B$44)-(B1594)&lt;=0,1,MAX(0,IF(Inputs!$B$39="pvp",15,Inputs!$B$44)-MAX(5,B1594))/(IF(Inputs!$B$39="pvp",15,Inputs!$B$44)-(B1594))))*IF(AND(ArtifactsInput!$M$42,((Inputs!$B$9+((C1575=TRUE)*(F1575-Calc!F26))+B1583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1566">
        <f>IF(C1566,(Inputs!$B$38*0.2*N1566)*IF(Inputs!$B$39="pvp",1,(1+(Inputs!$B$21+Skills!Q17+B1584+(IF(ArtifactsInput!$M$33,CHOOSE(ArtifactsInput!$N$33+1,30,36,42,48,54,60),0))+(IF(AND(ArtifactsInput!$M$35,Inputs!$B$4&lt;&gt;"Chapter Hunt"),CHOOSE(ArtifactsInput!$N$35+1,15,18,21,24,27,30)*(1-EXP(-(0.2*B1587)*5)),0)+IF(AND(ArtifactsInput!$M$22,Inputs!$B$4&lt;&gt;"Chapter Hunt"),CHOOSE(ArtifactsInput!$N$22+1,10,12,14,16,18,20)*((0*(((0.15*B1587*5))^0/1)+1*(((0.15*B1587*5))^1/1)+2*(((0.15*B1587*5))^2/2)+3*(((0.15*B1587*5))^3/6)+4*(((0.15*B1587*5))^4/24)+5*(((0.15*B1587*5))^5/120))/((((0.15*B1587*5))^0/1)+(((0.15*B1587*5))^1/1)+(((0.15*B1587*5))^2/2)+(((0.15*B1587*5))^3/6)+(((0.15*B1587*5))^4/24)+(((0.15*B1587*5))^5/120))),0)))/100)*(MIN(Skills!W17,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567">
      <c r="A1567">
        <f>Skills!A18</f>
        <v/>
      </c>
      <c r="B1567">
        <f>Skills!B18</f>
        <v/>
      </c>
      <c r="C1567">
        <f>Inputs!$B$3&gt;=115</f>
        <v/>
      </c>
      <c r="D1567">
        <f>IF(Skills!C18=1,60+Inputs!$B$25+Inputs!$B$29,IF(Skills!C18=2,90+Inputs!$B$26+Inputs!$B$29,IF(Skills!C18=3,120+Inputs!$B$27+Inputs!$B$29,MAX(0,(Inputs!$B$3-100)*3)+Inputs!$B$28+Inputs!$B$29)))</f>
        <v/>
      </c>
      <c r="E1567">
        <f>INDEX(FactorTable!$B$2:$Y$301, MATCH(ROUND(MIN(300,MAX(1,D1567)),0), FactorTable!$A$2:$A$301,0), Skills!M18+1)</f>
        <v/>
      </c>
      <c r="F1567">
        <f>IF(Skills!N18=TRUE,(Skills!L18/10)*(E1567/1000),Skills!L18/10)+Skills!O18</f>
        <v/>
      </c>
      <c r="G1567">
        <f>Skills!G18*IF(Skills!H18&gt;0,IF(Inputs!$B$39="pvp",MIN(Skills!I18,15),Skills!I18)/Skills!H18,1)</f>
        <v/>
      </c>
      <c r="H1567">
        <f>1-(1-Skills!J18/100)^Skills!K18</f>
        <v/>
      </c>
      <c r="I1567" t="inlineStr">
        <is>
          <t>1</t>
        </is>
      </c>
      <c r="J1567" t="inlineStr"/>
      <c r="K1567" t="inlineStr"/>
      <c r="L1567" t="inlineStr"/>
      <c r="M1567" t="inlineStr"/>
      <c r="N1567" t="inlineStr"/>
      <c r="O1567">
        <f>(1-Summary!$B$11)*T1567+Summary!$B$11*V1567</f>
        <v/>
      </c>
      <c r="P1567">
        <f>IF(B1595=0,0,O1567/B1595)</f>
        <v/>
      </c>
      <c r="Q1567" t="n">
        <v>0</v>
      </c>
      <c r="R1567" t="n">
        <v>0</v>
      </c>
      <c r="S1567">
        <f>IFERROR(O1567/N1567,0)</f>
        <v/>
      </c>
      <c r="T1567" t="n">
        <v>0</v>
      </c>
      <c r="V1567" t="n">
        <v>0</v>
      </c>
    </row>
    <row r="1568">
      <c r="A1568">
        <f>Skills!A19</f>
        <v/>
      </c>
      <c r="B1568">
        <f>Skills!B19</f>
        <v/>
      </c>
      <c r="C1568">
        <f>Inputs!$B$3&gt;=100</f>
        <v/>
      </c>
      <c r="D1568">
        <f>IF(Skills!C19=1,60+Inputs!$B$25+Inputs!$B$29,IF(Skills!C19=2,90+Inputs!$B$26+Inputs!$B$29,IF(Skills!C19=3,120+Inputs!$B$27+Inputs!$B$29,MAX(0,(Inputs!$B$3-100)*3)+Inputs!$B$28+Inputs!$B$29)))</f>
        <v/>
      </c>
      <c r="E1568">
        <f>INDEX(FactorTable!$B$2:$Y$301, MATCH(ROUND(MIN(300,MAX(1,D1568)),0), FactorTable!$A$2:$A$301,0), Skills!M19+1)</f>
        <v/>
      </c>
      <c r="F1568">
        <f>IF(Skills!N19=TRUE,(Skills!L19/10)*(E1568/1000),Skills!L19/10)+Skills!O19</f>
        <v/>
      </c>
      <c r="G1568">
        <f>Skills!G19*IF(Skills!H19&gt;0,IF(Inputs!$B$39="pvp",MIN(Skills!I19,15),Skills!I19)/Skills!H19,1)</f>
        <v/>
      </c>
      <c r="H1568">
        <f>1-(1-Skills!J19/100)^Skills!K19</f>
        <v/>
      </c>
      <c r="I1568" t="inlineStr">
        <is>
          <t>1</t>
        </is>
      </c>
      <c r="J1568" t="inlineStr"/>
      <c r="K1568" t="inlineStr"/>
      <c r="L1568" t="inlineStr"/>
      <c r="M1568" t="inlineStr"/>
      <c r="N1568" t="inlineStr"/>
      <c r="O1568">
        <f>(1-Summary!$B$11)*T1568+Summary!$B$11*V1568</f>
        <v/>
      </c>
      <c r="P1568">
        <f>IF(B1595=0,0,O1568/B1595)</f>
        <v/>
      </c>
      <c r="Q1568" t="n">
        <v>0</v>
      </c>
      <c r="R1568" t="n">
        <v>0</v>
      </c>
      <c r="S1568">
        <f>IFERROR(O1568/N1568,0)</f>
        <v/>
      </c>
      <c r="T1568" t="n">
        <v>0</v>
      </c>
      <c r="V1568" t="n">
        <v>0</v>
      </c>
    </row>
    <row r="1569">
      <c r="A1569">
        <f>Skills!A20</f>
        <v/>
      </c>
      <c r="B1569">
        <f>Skills!B20</f>
        <v/>
      </c>
      <c r="C1569">
        <f>TRUE</f>
        <v/>
      </c>
      <c r="D1569">
        <f>IF(Skills!C20=1,60+Inputs!$B$25+Inputs!$B$29,IF(Skills!C20=2,90+Inputs!$B$26+Inputs!$B$29,IF(Skills!C20=3,120+Inputs!$B$27+Inputs!$B$29,MAX(0,(Inputs!$B$3-100)*3)+Inputs!$B$28+Inputs!$B$29)))</f>
        <v/>
      </c>
      <c r="E1569">
        <f>INDEX(FactorTable!$B$2:$Y$301, MATCH(ROUND(MIN(300,MAX(1,D1569)),0), FactorTable!$A$2:$A$301,0), Skills!M20+1)</f>
        <v/>
      </c>
      <c r="F1569">
        <f>IF(Skills!N20=TRUE,(Skills!L20/10)*(E1569/1000),Skills!L20/10)+Skills!O20</f>
        <v/>
      </c>
      <c r="G1569">
        <f>Skills!G20*IF(Skills!H20&gt;0,IF(Inputs!$B$39="pvp",MIN(Skills!I20,15),Skills!I20)/Skills!H20,1)</f>
        <v/>
      </c>
      <c r="H1569">
        <f>1-(1-Skills!J20/100)^Skills!K20</f>
        <v/>
      </c>
      <c r="I1569" t="inlineStr">
        <is>
          <t>1</t>
        </is>
      </c>
      <c r="J1569" t="inlineStr"/>
      <c r="K1569" t="inlineStr"/>
      <c r="L1569" t="inlineStr"/>
      <c r="M1569" t="inlineStr"/>
      <c r="N1569" t="inlineStr"/>
      <c r="O1569">
        <f>(1-Summary!$B$11)*T1569+Summary!$B$11*V1569</f>
        <v/>
      </c>
      <c r="P1569">
        <f>IF(B1595=0,0,O1569/B1595)</f>
        <v/>
      </c>
      <c r="Q1569">
        <f>IFERROR(1/IF(Inputs!$B$39="pvp",15,MAX(0.1,Skills!D20-IF(TRUE=TRUE,Inputs!$B$32,0))),0)</f>
        <v/>
      </c>
      <c r="R1569">
        <f>IF(AND(Inputs!$B$39&lt;&gt;"pvp",Inputs!$B$44&gt;0),IF(Inputs!$B$44&lt;=0,0,(INT(Inputs!$B$44/IF(Inputs!$B$39="pvp",15,MAX(0.1,Skills!D20-IF(TRUE=TRUE,Inputs!$B$32,0))))+1)),0)</f>
        <v/>
      </c>
      <c r="S1569">
        <f>IFERROR(O1569/N1569,0)</f>
        <v/>
      </c>
      <c r="T1569" t="n">
        <v>0</v>
      </c>
      <c r="V1569" t="n">
        <v>0</v>
      </c>
    </row>
    <row r="1570">
      <c r="A1570">
        <f>Skills!A21</f>
        <v/>
      </c>
      <c r="B1570">
        <f>Skills!B21</f>
        <v/>
      </c>
      <c r="C1570">
        <f>Inputs!$B$3&gt;=15</f>
        <v/>
      </c>
      <c r="D1570">
        <f>IF(Skills!C21=1,60+Inputs!$B$25+Inputs!$B$29,IF(Skills!C21=2,90+Inputs!$B$26+Inputs!$B$29,IF(Skills!C21=3,120+Inputs!$B$27+Inputs!$B$29,MAX(0,(Inputs!$B$3-100)*3)+Inputs!$B$28+Inputs!$B$29)))</f>
        <v/>
      </c>
      <c r="E1570">
        <f>INDEX(FactorTable!$B$2:$Y$301, MATCH(ROUND(MIN(300,MAX(1,D1570)),0), FactorTable!$A$2:$A$301,0), Skills!M21+1)</f>
        <v/>
      </c>
      <c r="F1570">
        <f>IF(Skills!N21=TRUE,(Skills!L21/10)*(E1570/1000),Skills!L21/10)+Skills!O21</f>
        <v/>
      </c>
      <c r="G1570">
        <f>Skills!G21*IF(Skills!H21&gt;0,IF(Inputs!$B$39="pvp",MIN(Skills!I21,15),Skills!I21)/Skills!H21,1)</f>
        <v/>
      </c>
      <c r="H1570">
        <f>1-(1-Skills!J21/100)^Skills!K21</f>
        <v/>
      </c>
      <c r="I1570" t="inlineStr">
        <is>
          <t>1</t>
        </is>
      </c>
      <c r="J1570" t="inlineStr"/>
      <c r="K1570" t="inlineStr"/>
      <c r="L1570" t="inlineStr"/>
      <c r="M1570" t="inlineStr"/>
      <c r="N1570" t="inlineStr"/>
      <c r="O1570">
        <f>(1-Summary!$B$11)*T1570+Summary!$B$11*V1570</f>
        <v/>
      </c>
      <c r="P1570">
        <f>IF(B1595=0,0,O1570/B1595)</f>
        <v/>
      </c>
      <c r="Q1570">
        <f>IFERROR(1/IF(Inputs!$B$39="pvp",15,MAX(0.1,Skills!D21-IF(TRUE=TRUE,Inputs!$B$32,0))),0)</f>
        <v/>
      </c>
      <c r="R1570">
        <f>IF(AND(Inputs!$B$39&lt;&gt;"pvp",Inputs!$B$44&gt;0),IF(Inputs!$B$44&lt;=0,0,(INT(Inputs!$B$44/IF(Inputs!$B$39="pvp",15,MAX(0.1,Skills!D21-IF(TRUE=TRUE,Inputs!$B$32,0))))+1)),0)</f>
        <v/>
      </c>
      <c r="S1570">
        <f>IFERROR(O1570/N1570,0)</f>
        <v/>
      </c>
      <c r="T1570" t="n">
        <v>0</v>
      </c>
      <c r="V1570" t="n">
        <v>0</v>
      </c>
    </row>
    <row r="1571">
      <c r="A1571">
        <f>Skills!A22</f>
        <v/>
      </c>
      <c r="B1571">
        <f>Skills!B22</f>
        <v/>
      </c>
      <c r="C1571">
        <f>Inputs!$B$3&gt;=15</f>
        <v/>
      </c>
      <c r="D1571">
        <f>IF(Skills!C22=1,60+Inputs!$B$25+Inputs!$B$29,IF(Skills!C22=2,90+Inputs!$B$26+Inputs!$B$29,IF(Skills!C22=3,120+Inputs!$B$27+Inputs!$B$29,MAX(0,(Inputs!$B$3-100)*3)+Inputs!$B$28+Inputs!$B$29)))</f>
        <v/>
      </c>
      <c r="E1571">
        <f>INDEX(FactorTable!$B$2:$Y$301, MATCH(ROUND(MIN(300,MAX(1,D1571)),0), FactorTable!$A$2:$A$301,0), Skills!M22+1)</f>
        <v/>
      </c>
      <c r="F1571">
        <f>IF(Skills!N22=TRUE,(Skills!L22/10)*(E1571/1000),Skills!L22/10)+Skills!O22</f>
        <v/>
      </c>
      <c r="G1571">
        <f>Skills!G22*IF(Skills!H22&gt;0,IF(Inputs!$B$39="pvp",MIN(Skills!I22,15),Skills!I22)/Skills!H22,1)</f>
        <v/>
      </c>
      <c r="H1571">
        <f>1-(1-Skills!J22/100)^Skills!K22</f>
        <v/>
      </c>
      <c r="I1571" t="inlineStr">
        <is>
          <t>1</t>
        </is>
      </c>
      <c r="J1571" t="inlineStr"/>
      <c r="K1571" t="inlineStr"/>
      <c r="L1571" t="inlineStr"/>
      <c r="M1571" t="inlineStr"/>
      <c r="N1571" t="inlineStr"/>
      <c r="O1571">
        <f>(1-Summary!$B$11)*T1571+Summary!$B$11*V1571</f>
        <v/>
      </c>
      <c r="P1571">
        <f>IF(B1595=0,0,O1571/B1595)</f>
        <v/>
      </c>
      <c r="Q1571">
        <f>IFERROR(1/IF(Inputs!$B$39="pvp",15,MAX(0.1,Skills!D22-IF(TRUE=TRUE,Inputs!$B$32,0))),0)</f>
        <v/>
      </c>
      <c r="R1571">
        <f>IF(AND(Inputs!$B$39&lt;&gt;"pvp",Inputs!$B$44&gt;0),IF(Inputs!$B$44&lt;=0,0,(INT(Inputs!$B$44/IF(Inputs!$B$39="pvp",15,MAX(0.1,Skills!D22-IF(TRUE=TRUE,Inputs!$B$32,0))))+1)),0)</f>
        <v/>
      </c>
      <c r="S1571">
        <f>IFERROR(O1571/N1571,0)</f>
        <v/>
      </c>
      <c r="T1571" t="n">
        <v>0</v>
      </c>
      <c r="V1571" t="n">
        <v>0</v>
      </c>
    </row>
    <row r="1572">
      <c r="A1572">
        <f>Skills!A23</f>
        <v/>
      </c>
      <c r="B1572">
        <f>Skills!B23</f>
        <v/>
      </c>
      <c r="C1572">
        <f>Inputs!$B$3&gt;=33</f>
        <v/>
      </c>
      <c r="D1572">
        <f>IF(Skills!C23=1,60+Inputs!$B$25+Inputs!$B$29,IF(Skills!C23=2,90+Inputs!$B$26+Inputs!$B$29,IF(Skills!C23=3,120+Inputs!$B$27+Inputs!$B$29,MAX(0,(Inputs!$B$3-100)*3)+Inputs!$B$28+Inputs!$B$29)))</f>
        <v/>
      </c>
      <c r="E1572">
        <f>INDEX(FactorTable!$B$2:$Y$301, MATCH(ROUND(MIN(300,MAX(1,D1572)),0), FactorTable!$A$2:$A$301,0), Skills!M23+1)</f>
        <v/>
      </c>
      <c r="F1572">
        <f>IF(Skills!N23=TRUE,(Skills!L23/10)*(E1572/1000),Skills!L23/10)+Skills!O23</f>
        <v/>
      </c>
      <c r="G1572">
        <f>Skills!G23*IF(Skills!H23&gt;0,IF(Inputs!$B$39="pvp",MIN(Skills!I23,15),Skills!I23)/Skills!H23,1)</f>
        <v/>
      </c>
      <c r="H1572">
        <f>1-(1-Skills!J23/100)^Skills!K23</f>
        <v/>
      </c>
      <c r="I1572" t="inlineStr">
        <is>
          <t>1</t>
        </is>
      </c>
      <c r="J1572" t="inlineStr"/>
      <c r="K1572" t="inlineStr"/>
      <c r="L1572" t="inlineStr"/>
      <c r="M1572" t="inlineStr"/>
      <c r="N1572" t="inlineStr"/>
      <c r="O1572">
        <f>(1-Summary!$B$11)*T1572+Summary!$B$11*V1572</f>
        <v/>
      </c>
      <c r="P1572">
        <f>IF(B1595=0,0,O1572/B1595)</f>
        <v/>
      </c>
      <c r="Q1572" t="n">
        <v>0</v>
      </c>
      <c r="R1572" t="n">
        <v>0</v>
      </c>
      <c r="S1572">
        <f>IFERROR(O1572/N1572,0)</f>
        <v/>
      </c>
      <c r="T1572" t="n">
        <v>0</v>
      </c>
      <c r="V1572" t="n">
        <v>0</v>
      </c>
    </row>
    <row r="1573">
      <c r="A1573">
        <f>Skills!A24</f>
        <v/>
      </c>
      <c r="B1573">
        <f>Skills!B24</f>
        <v/>
      </c>
      <c r="C1573">
        <f>Inputs!$B$3&gt;=40</f>
        <v/>
      </c>
      <c r="D1573">
        <f>IF(Skills!C24=1,60+Inputs!$B$25+Inputs!$B$29,IF(Skills!C24=2,90+Inputs!$B$26+Inputs!$B$29,IF(Skills!C24=3,120+Inputs!$B$27+Inputs!$B$29,MAX(0,(Inputs!$B$3-100)*3)+Inputs!$B$28+Inputs!$B$29)))</f>
        <v/>
      </c>
      <c r="E1573">
        <f>INDEX(FactorTable!$B$2:$Y$301, MATCH(ROUND(MIN(300,MAX(1,D1573)),0), FactorTable!$A$2:$A$301,0), Skills!M24+1)</f>
        <v/>
      </c>
      <c r="F1573">
        <f>IF(Skills!N24=TRUE,(Skills!L24/10)*(E1573/1000),Skills!L24/10)+Skills!O24</f>
        <v/>
      </c>
      <c r="G1573">
        <f>Skills!G24*IF(Skills!H24&gt;0,IF(Inputs!$B$39="pvp",MIN(Skills!I24,15),Skills!I24)/Skills!H24,1)</f>
        <v/>
      </c>
      <c r="H1573">
        <f>1-(1-Skills!J24/100)^Skills!K24</f>
        <v/>
      </c>
      <c r="I1573" t="inlineStr">
        <is>
          <t>1</t>
        </is>
      </c>
      <c r="J1573" t="inlineStr"/>
      <c r="K1573" t="inlineStr"/>
      <c r="L1573" t="inlineStr"/>
      <c r="M1573" t="inlineStr"/>
      <c r="N1573" t="inlineStr"/>
      <c r="O1573">
        <f>(1-Summary!$B$11)*T1573+Summary!$B$11*V1573</f>
        <v/>
      </c>
      <c r="P1573">
        <f>IF(B1595=0,0,O1573/B1595)</f>
        <v/>
      </c>
      <c r="Q1573" t="n">
        <v>0</v>
      </c>
      <c r="R1573" t="n">
        <v>0</v>
      </c>
      <c r="S1573">
        <f>IFERROR(O1573/N1573,0)</f>
        <v/>
      </c>
      <c r="T1573" t="n">
        <v>0</v>
      </c>
      <c r="V1573" t="n">
        <v>0</v>
      </c>
    </row>
    <row r="1574">
      <c r="A1574">
        <f>Skills!A25</f>
        <v/>
      </c>
      <c r="B1574">
        <f>Skills!B25</f>
        <v/>
      </c>
      <c r="C1574">
        <f>Inputs!$B$3&gt;=43</f>
        <v/>
      </c>
      <c r="D1574">
        <f>IF(Skills!C25=1,60+Inputs!$B$25+Inputs!$B$29,IF(Skills!C25=2,90+Inputs!$B$26+Inputs!$B$29,IF(Skills!C25=3,120+Inputs!$B$27+Inputs!$B$29,MAX(0,(Inputs!$B$3-100)*3)+Inputs!$B$28+Inputs!$B$29)))</f>
        <v/>
      </c>
      <c r="E1574">
        <f>INDEX(FactorTable!$B$2:$Y$301, MATCH(ROUND(MIN(300,MAX(1,D1574)),0), FactorTable!$A$2:$A$301,0), Skills!M25+1)</f>
        <v/>
      </c>
      <c r="F1574">
        <f>IF(Skills!N25=TRUE,(Skills!L25/10)*(E1574/1000),Skills!L25/10)+Skills!O25</f>
        <v/>
      </c>
      <c r="G1574">
        <f>Skills!G25*IF(Skills!H25&gt;0,IF(Inputs!$B$39="pvp",MIN(Skills!I25,15),Skills!I25)/Skills!H25,1)</f>
        <v/>
      </c>
      <c r="H1574">
        <f>1-(1-Skills!J25/100)^Skills!K25</f>
        <v/>
      </c>
      <c r="I1574" t="inlineStr">
        <is>
          <t>1</t>
        </is>
      </c>
      <c r="J1574" t="inlineStr"/>
      <c r="K1574" t="inlineStr"/>
      <c r="L1574" t="inlineStr"/>
      <c r="M1574" t="inlineStr"/>
      <c r="N1574" t="inlineStr"/>
      <c r="O1574">
        <f>(1-Summary!$B$11)*T1574+Summary!$B$11*V1574</f>
        <v/>
      </c>
      <c r="P1574">
        <f>IF(B1595=0,0,O1574/B1595)</f>
        <v/>
      </c>
      <c r="Q1574" t="n">
        <v>0</v>
      </c>
      <c r="R1574" t="n">
        <v>0</v>
      </c>
      <c r="S1574">
        <f>IFERROR(O1574/N1574,0)</f>
        <v/>
      </c>
      <c r="T1574" t="n">
        <v>0</v>
      </c>
      <c r="V1574" t="n">
        <v>0</v>
      </c>
    </row>
    <row r="1575">
      <c r="A1575">
        <f>Skills!A26</f>
        <v/>
      </c>
      <c r="B1575">
        <f>Skills!B26</f>
        <v/>
      </c>
      <c r="C1575">
        <f>Inputs!$B$3&gt;=50</f>
        <v/>
      </c>
      <c r="D1575">
        <f>IF(Skills!C26=1,60+Inputs!$B$25+Inputs!$B$29,IF(Skills!C26=2,90+Inputs!$B$26+Inputs!$B$29,IF(Skills!C26=3,120+Inputs!$B$27+Inputs!$B$29,MAX(0,(Inputs!$B$3-100)*3)+Inputs!$B$28+Inputs!$B$29)))</f>
        <v/>
      </c>
      <c r="E1575">
        <f>INDEX(FactorTable!$B$2:$Y$301, MATCH(ROUND(MIN(300,MAX(1,D1575)),0), FactorTable!$A$2:$A$301,0), Skills!M26+1)</f>
        <v/>
      </c>
      <c r="F1575">
        <f>IF(Skills!N26=TRUE,(Skills!L26/10)*(E1575/1000),Skills!L26/10)+Skills!O26</f>
        <v/>
      </c>
      <c r="G1575">
        <f>Skills!G26*IF(Skills!H26&gt;0,IF(Inputs!$B$39="pvp",MIN(Skills!I26,15),Skills!I26)/Skills!H26,1)</f>
        <v/>
      </c>
      <c r="H1575">
        <f>1-(1-Skills!J26/100)^Skills!K26</f>
        <v/>
      </c>
      <c r="I1575" t="inlineStr">
        <is>
          <t>1</t>
        </is>
      </c>
      <c r="J1575" t="inlineStr"/>
      <c r="K1575" t="inlineStr"/>
      <c r="L1575" t="inlineStr"/>
      <c r="M1575" t="inlineStr"/>
      <c r="N1575" t="inlineStr"/>
      <c r="O1575">
        <f>(1-Summary!$B$11)*T1575+Summary!$B$11*V1575</f>
        <v/>
      </c>
      <c r="P1575">
        <f>IF(B1595=0,0,O1575/B1595)</f>
        <v/>
      </c>
      <c r="Q1575" t="n">
        <v>0</v>
      </c>
      <c r="R1575" t="n">
        <v>0</v>
      </c>
      <c r="S1575">
        <f>IFERROR(O1575/N1575,0)</f>
        <v/>
      </c>
      <c r="T1575" t="n">
        <v>0</v>
      </c>
      <c r="V1575" t="n">
        <v>0</v>
      </c>
    </row>
    <row r="1576">
      <c r="A1576">
        <f>Skills!A27</f>
        <v/>
      </c>
      <c r="B1576">
        <f>Skills!B27</f>
        <v/>
      </c>
      <c r="C1576">
        <f>Inputs!$B$3&gt;=50</f>
        <v/>
      </c>
      <c r="D1576">
        <f>IF(Skills!C27=1,60+Inputs!$B$25+Inputs!$B$29,IF(Skills!C27=2,90+Inputs!$B$26+Inputs!$B$29,IF(Skills!C27=3,120+Inputs!$B$27+Inputs!$B$29,MAX(0,(Inputs!$B$3-100)*3)+Inputs!$B$28+Inputs!$B$29)))</f>
        <v/>
      </c>
      <c r="E1576">
        <f>INDEX(FactorTable!$B$2:$Y$301, MATCH(ROUND(MIN(300,MAX(1,D1576)),0), FactorTable!$A$2:$A$301,0), Skills!M27+1)</f>
        <v/>
      </c>
      <c r="F1576">
        <f>IF(Skills!N27=TRUE,(Skills!L27/10)*(E1576/1000),Skills!L27/10)+Skills!O27</f>
        <v/>
      </c>
      <c r="G1576">
        <f>Skills!G27*IF(Skills!H27&gt;0,IF(Inputs!$B$39="pvp",MIN(Skills!I27,15),Skills!I27)/Skills!H27,1)</f>
        <v/>
      </c>
      <c r="H1576">
        <f>1-(1-Skills!J27/100)^Skills!K27</f>
        <v/>
      </c>
      <c r="I1576" t="inlineStr">
        <is>
          <t>1</t>
        </is>
      </c>
      <c r="J1576" t="inlineStr"/>
      <c r="K1576" t="inlineStr"/>
      <c r="L1576" t="inlineStr"/>
      <c r="M1576" t="inlineStr"/>
      <c r="N1576" t="inlineStr"/>
      <c r="O1576">
        <f>(1-Summary!$B$11)*T1576+Summary!$B$11*V1576</f>
        <v/>
      </c>
      <c r="P1576">
        <f>IF(B1595=0,0,O1576/B1595)</f>
        <v/>
      </c>
      <c r="Q1576" t="n">
        <v>0</v>
      </c>
      <c r="R1576" t="n">
        <v>0</v>
      </c>
      <c r="S1576">
        <f>IFERROR(O1576/N1576,0)</f>
        <v/>
      </c>
      <c r="T1576" t="n">
        <v>0</v>
      </c>
      <c r="V1576" t="n">
        <v>0</v>
      </c>
    </row>
    <row r="1577">
      <c r="A1577">
        <f>Skills!A28</f>
        <v/>
      </c>
      <c r="B1577">
        <f>Skills!B28</f>
        <v/>
      </c>
      <c r="C1577">
        <f>Inputs!$B$3&gt;=38</f>
        <v/>
      </c>
      <c r="D1577">
        <f>IF(Skills!C28=1,60+Inputs!$B$25+Inputs!$B$29,IF(Skills!C28=2,90+Inputs!$B$26+Inputs!$B$29,IF(Skills!C28=3,120+Inputs!$B$27+Inputs!$B$29,MAX(0,(Inputs!$B$3-100)*3)+Inputs!$B$28+Inputs!$B$29)))</f>
        <v/>
      </c>
      <c r="E1577">
        <f>INDEX(FactorTable!$B$2:$Y$301, MATCH(ROUND(MIN(300,MAX(1,D1577)),0), FactorTable!$A$2:$A$301,0), Skills!M28+1)</f>
        <v/>
      </c>
      <c r="F1577">
        <f>IF(Skills!N28=TRUE,(Skills!L28/10)*(E1577/1000),Skills!L28/10)+Skills!O28</f>
        <v/>
      </c>
      <c r="G1577">
        <f>Skills!G28*IF(Skills!H28&gt;0,IF(Inputs!$B$39="pvp",MIN(Skills!I28,15),Skills!I28)/Skills!H28,1)</f>
        <v/>
      </c>
      <c r="H1577">
        <f>1-(1-Skills!J28/100)^Skills!K28</f>
        <v/>
      </c>
      <c r="I1577" t="inlineStr">
        <is>
          <t>1</t>
        </is>
      </c>
      <c r="J1577" t="inlineStr"/>
      <c r="K1577" t="inlineStr"/>
      <c r="L1577" t="inlineStr"/>
      <c r="M1577" t="inlineStr"/>
      <c r="N1577" t="inlineStr"/>
      <c r="O1577">
        <f>(1-Summary!$B$11)*T1577+Summary!$B$11*V1577</f>
        <v/>
      </c>
      <c r="P1577">
        <f>IF(B1595=0,0,O1577/B1595)</f>
        <v/>
      </c>
      <c r="Q1577" t="n">
        <v>0</v>
      </c>
      <c r="R1577" t="n">
        <v>0</v>
      </c>
      <c r="S1577">
        <f>IFERROR(O1577/N1577,0)</f>
        <v/>
      </c>
      <c r="T1577" t="n">
        <v>0</v>
      </c>
      <c r="V1577" t="n">
        <v>0</v>
      </c>
    </row>
    <row r="1578">
      <c r="A1578">
        <f>Skills!A29</f>
        <v/>
      </c>
      <c r="B1578">
        <f>Skills!B29</f>
        <v/>
      </c>
      <c r="C1578">
        <f>Inputs!$B$3&gt;=120</f>
        <v/>
      </c>
      <c r="D1578">
        <f>IF(Skills!C29=1,60+Inputs!$B$25+Inputs!$B$29,IF(Skills!C29=2,90+Inputs!$B$26+Inputs!$B$29,IF(Skills!C29=3,120+Inputs!$B$27+Inputs!$B$29,MAX(0,(Inputs!$B$3-100)*3)+Inputs!$B$28+Inputs!$B$29)))</f>
        <v/>
      </c>
      <c r="E1578">
        <f>INDEX(FactorTable!$B$2:$Y$301, MATCH(ROUND(MIN(300,MAX(1,D1578)),0), FactorTable!$A$2:$A$301,0), Skills!M29+1)</f>
        <v/>
      </c>
      <c r="F1578">
        <f>IF(Skills!N29=TRUE,(Skills!L29/10)*(E1578/1000),Skills!L29/10)+Skills!O29</f>
        <v/>
      </c>
      <c r="G1578">
        <f>Skills!G29*IF(Skills!H29&gt;0,IF(Inputs!$B$39="pvp",MIN(Skills!I29,15),Skills!I29)/Skills!H29,1)</f>
        <v/>
      </c>
      <c r="H1578">
        <f>1-(1-Skills!J29/100)^Skills!K29</f>
        <v/>
      </c>
      <c r="I1578" t="inlineStr">
        <is>
          <t>1</t>
        </is>
      </c>
      <c r="J1578" t="inlineStr"/>
      <c r="K1578" t="inlineStr"/>
      <c r="L1578" t="inlineStr"/>
      <c r="M1578" t="inlineStr"/>
      <c r="N1578" t="inlineStr"/>
      <c r="O1578">
        <f>(1-Summary!$B$11)*T1578+Summary!$B$11*V1578</f>
        <v/>
      </c>
      <c r="P1578">
        <f>IF(B1595=0,0,O1578/B1595)</f>
        <v/>
      </c>
      <c r="Q1578" t="n">
        <v>0</v>
      </c>
      <c r="R1578" t="n">
        <v>0</v>
      </c>
      <c r="S1578">
        <f>IFERROR(O1578/N1578,0)</f>
        <v/>
      </c>
      <c r="T1578" t="n">
        <v>0</v>
      </c>
      <c r="V1578" t="n">
        <v>0</v>
      </c>
    </row>
    <row r="1579">
      <c r="A1579">
        <f>Skills!A30</f>
        <v/>
      </c>
      <c r="B1579">
        <f>Skills!B30</f>
        <v/>
      </c>
      <c r="C1579">
        <f>Inputs!$B$3&gt;=120</f>
        <v/>
      </c>
      <c r="D1579">
        <f>IF(Skills!C30=1,60+Inputs!$B$25+Inputs!$B$29,IF(Skills!C30=2,90+Inputs!$B$26+Inputs!$B$29,IF(Skills!C30=3,120+Inputs!$B$27+Inputs!$B$29,MAX(0,(Inputs!$B$3-100)*3)+Inputs!$B$28+Inputs!$B$29)))</f>
        <v/>
      </c>
      <c r="E1579">
        <f>INDEX(FactorTable!$B$2:$Y$301, MATCH(ROUND(MIN(300,MAX(1,D1579)),0), FactorTable!$A$2:$A$301,0), Skills!M30+1)</f>
        <v/>
      </c>
      <c r="F1579">
        <f>IF(Skills!N30=TRUE,(Skills!L30/10)*(E1579/1000),Skills!L30/10)+Skills!O30</f>
        <v/>
      </c>
      <c r="G1579">
        <f>Skills!G30*IF(Skills!H30&gt;0,IF(Inputs!$B$39="pvp",MIN(Skills!I30,15),Skills!I30)/Skills!H30,1)</f>
        <v/>
      </c>
      <c r="H1579">
        <f>1-(1-Skills!J30/100)^Skills!K30</f>
        <v/>
      </c>
      <c r="I1579" t="inlineStr">
        <is>
          <t>1</t>
        </is>
      </c>
      <c r="J1579" t="inlineStr"/>
      <c r="K1579" t="inlineStr"/>
      <c r="L1579" t="inlineStr"/>
      <c r="M1579" t="inlineStr"/>
      <c r="N1579" t="inlineStr"/>
      <c r="O1579">
        <f>(1-Summary!$B$11)*T1579+Summary!$B$11*V1579</f>
        <v/>
      </c>
      <c r="P1579">
        <f>IF(B1595=0,0,O1579/B1595)</f>
        <v/>
      </c>
      <c r="Q1579" t="n">
        <v>0</v>
      </c>
      <c r="R1579" t="n">
        <v>0</v>
      </c>
      <c r="S1579">
        <f>IFERROR(O1579/N1579,0)</f>
        <v/>
      </c>
      <c r="T1579" t="n">
        <v>0</v>
      </c>
      <c r="V1579" t="n">
        <v>0</v>
      </c>
    </row>
    <row r="1580">
      <c r="A1580">
        <f>Skills!A31</f>
        <v/>
      </c>
      <c r="B1580">
        <f>Skills!B31</f>
        <v/>
      </c>
      <c r="C1580">
        <f>Inputs!$B$3&gt;=125</f>
        <v/>
      </c>
      <c r="D1580">
        <f>IF(Skills!C31=1,60+Inputs!$B$25+Inputs!$B$29,IF(Skills!C31=2,90+Inputs!$B$26+Inputs!$B$29,IF(Skills!C31=3,120+Inputs!$B$27+Inputs!$B$29,MAX(0,(Inputs!$B$3-100)*3)+Inputs!$B$28+Inputs!$B$29)))</f>
        <v/>
      </c>
      <c r="E1580">
        <f>INDEX(FactorTable!$B$2:$Y$301, MATCH(ROUND(MIN(300,MAX(1,D1580)),0), FactorTable!$A$2:$A$301,0), Skills!M31+1)</f>
        <v/>
      </c>
      <c r="F1580">
        <f>IF(Skills!N31=TRUE,(Skills!L31/10)*(E1580/1000),Skills!L31/10)+Skills!O31</f>
        <v/>
      </c>
      <c r="G1580">
        <f>Skills!G31*IF(Skills!H31&gt;0,IF(Inputs!$B$39="pvp",MIN(Skills!I31,15),Skills!I31)/Skills!H31,1)</f>
        <v/>
      </c>
      <c r="H1580">
        <f>1-(1-Skills!J31/100)^Skills!K31</f>
        <v/>
      </c>
      <c r="I1580" t="inlineStr">
        <is>
          <t>1</t>
        </is>
      </c>
      <c r="J1580" t="inlineStr"/>
      <c r="K1580" t="inlineStr"/>
      <c r="L1580" t="inlineStr"/>
      <c r="M1580" t="inlineStr"/>
      <c r="N1580" t="inlineStr"/>
      <c r="O1580">
        <f>(1-Summary!$B$11)*T1580+Summary!$B$11*V1580</f>
        <v/>
      </c>
      <c r="P1580">
        <f>IF(B1595=0,0,O1580/B1595)</f>
        <v/>
      </c>
      <c r="Q1580" t="n">
        <v>0</v>
      </c>
      <c r="R1580" t="n">
        <v>0</v>
      </c>
      <c r="S1580">
        <f>IFERROR(O1580/N1580,0)</f>
        <v/>
      </c>
      <c r="T1580" t="n">
        <v>0</v>
      </c>
      <c r="V1580" t="n">
        <v>0</v>
      </c>
    </row>
    <row r="1582">
      <c r="A1582" t="inlineStr">
        <is>
          <t>Average Buff Multiplier</t>
        </is>
      </c>
      <c r="B1582">
        <f>(1+(((C1571=TRUE)*F1571*IF(AND(Inputs!$B$39&lt;&gt;"pvp",Inputs!$B$44&gt;0),(((R1571-1)*MIN((Skills!Y22*(1+Inputs!$B$34/100)),(1/Q1571))+MIN((Skills!Y22*(1+Inputs!$B$34/100)),MAX(0,Inputs!$B$44-((R1571-1)*(1/Q1571)))))/Inputs!$B$44),IF(Inputs!$B$39="pvp",MIN((Skills!Y22*(1+Inputs!$B$34/100)),15)/15,MIN(1,(Skills!Y22*(1+Inputs!$B$34/100))/(1/Q1571)))))+((C1552=TRUE)*F1552*3)+((C1554=TRUE)*F1554*(1-EXP(-0.75*B1587*5)))+((C1573=TRUE)*(F1573-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1560=TRUE)*F1560*IF(AND(Inputs!$B$39&lt;&gt;"pvp",Inputs!$B$44&gt;0),(((R1560-1)*MIN((Skills!Y11*(1+Inputs!$B$34/100)),(1/Q1560))+MIN((Skills!Y11*(1+Inputs!$B$34/100)),MAX(0,Inputs!$B$44-((R1560-1)*(1/Q1560)))))/Inputs!$B$44),IF(Inputs!$B$39="pvp",MIN((Skills!Y11*(1+Inputs!$B$34/100)),15)/15,MIN(1,(Skills!Y11*(1+Inputs!$B$34/100))/(1/Q1560)))))/100)*(1+((C1565=TRUE)*F1565*IF(AND(Inputs!$B$39&lt;&gt;"pvp",Inputs!$B$44&gt;0),(((R1565-1)*MIN((Skills!Y16*(1+Inputs!$B$34/100)),(1/Q1565))+MIN((Skills!Y16*(1+Inputs!$B$34/100)),MAX(0,Inputs!$B$44-((R1565-1)*(1/Q1565)))))/Inputs!$B$44),IF(Inputs!$B$39="pvp",MIN((Skills!Y16*(1+Inputs!$B$34/100)),15)/15,MIN(1,(Skills!Y16*(1+Inputs!$B$34/100))/(1/Q1565)))))/100)</f>
        <v/>
      </c>
    </row>
    <row r="1583">
      <c r="A1583" t="inlineStr">
        <is>
          <t>Global Crit Rate Bonus %</t>
        </is>
      </c>
      <c r="B1583">
        <f>((C1570=TRUE)*F1570*IF(AND(Inputs!$B$39&lt;&gt;"pvp",Inputs!$B$44&gt;0),(((R1570-1)*MIN((Skills!Y21*(1+Inputs!$B$34/100)),(1/Q1570))+MIN((Skills!Y21*(1+Inputs!$B$34/100)),MAX(0,Inputs!$B$44-((R1570-1)*(1/Q1570)))))/Inputs!$B$44),IF(Inputs!$B$39="pvp",MIN((Skills!Y21*(1+Inputs!$B$34/100)),15)/15,MIN(1,(Skills!Y21*(1+Inputs!$B$34/100))/(1/Q1570)))))</f>
        <v/>
      </c>
    </row>
    <row r="1584">
      <c r="A1584" t="inlineStr">
        <is>
          <t>Global Monster Damage-Taken Bonus %</t>
        </is>
      </c>
      <c r="B1584">
        <f>IF(Inputs!$B$3&gt;=82,15,0)</f>
        <v/>
      </c>
    </row>
    <row r="1585">
      <c r="A1585" t="inlineStr">
        <is>
          <t>Shadow Partner Average Multiplier</t>
        </is>
      </c>
      <c r="B1585">
        <f>1+((C1557=TRUE)*F1557*(1+3.3333333333333335*IF(C1568=TRUE,F1568,0)/100)*I1557*Skills!J8/100)/100</f>
        <v/>
      </c>
    </row>
    <row r="1586">
      <c r="A1586" t="inlineStr">
        <is>
          <t>Attack Speed Buff Bonus %</t>
        </is>
      </c>
      <c r="B1586">
        <f>((C1569=TRUE)*F1569*IF(AND(Inputs!$B$39&lt;&gt;"pvp",Inputs!$B$44&gt;0),(((R1569-1)*MIN((Skills!Y20*(1+Inputs!$B$34/100)),(1/Q1569))+MIN((Skills!Y20*(1+Inputs!$B$34/100)),MAX(0,Inputs!$B$44-((R1569-1)*(1/Q1569)))))/Inputs!$B$44),IF(Inputs!$B$39="pvp",MIN((Skills!Y20*(1+Inputs!$B$34/100)),15)/15,MIN(1,(Skills!Y20*(1+Inputs!$B$34/100))/(1/Q1569)))))</f>
        <v/>
      </c>
    </row>
    <row r="1587">
      <c r="A1587" t="inlineStr">
        <is>
          <t>Actions Per Second</t>
        </is>
      </c>
      <c r="B1587">
        <f>1+MIN(150,150*(1-(1-(Inputs!$B$11+((C1572=TRUE)*(F1572-Calc!F23)))/150)*(1-B1586/150)))/100</f>
        <v/>
      </c>
    </row>
    <row r="1588">
      <c r="A1588" t="inlineStr">
        <is>
          <t>Skill + Buff Cast Rate</t>
        </is>
      </c>
      <c r="B1588">
        <f>IF(AND(Inputs!$B$39&lt;&gt;"pvp",Inputs!$B$44&gt;0),SUMPRODUCT((Skills!E2:E31=TRUE)*(C1551:C1580=TRUE)*R1551:R1580*Skills!F2:F31)/Inputs!$B$44,SUMPRODUCT((Skills!E2:E31=TRUE)*(C1551:C1580=TRUE)*Q1551:Q1580*Skills!F2:F31))</f>
        <v/>
      </c>
    </row>
    <row r="1589">
      <c r="A1589" t="inlineStr">
        <is>
          <t>Cruel Stab Casts Per Second</t>
        </is>
      </c>
      <c r="B1589">
        <f>MAX(0,B1587-B1588)</f>
        <v/>
      </c>
    </row>
    <row r="1590">
      <c r="A1590" t="inlineStr">
        <is>
          <t>Global Critical Damage Bonus % (Smokescreen Mastery Lv.113)</t>
        </is>
      </c>
      <c r="B1590">
        <f>IF(Inputs!$B$3&gt;=113,30,0)*IF(AND(Inputs!$B$39&lt;&gt;"pvp",Inputs!$B$44&gt;0),(((R1565-1)*MIN((Skills!Y16*(1+Inputs!$B$34/100)),(1/Q1565))+MIN((Skills!Y16*(1+Inputs!$B$34/100)),MAX(0,Inputs!$B$44-((R1565-1)*(1/Q1565)))))/Inputs!$B$44),IF(Inputs!$B$39="pvp",MIN((Skills!Y16*(1+Inputs!$B$34/100)),15)/15,MIN(1,(Skills!Y16*(1+Inputs!$B$34/100))/(1/Q1565))))</f>
        <v/>
      </c>
    </row>
    <row r="1591">
      <c r="A1591" t="inlineStr">
        <is>
          <t>Meso Explosion average stack count</t>
        </is>
      </c>
      <c r="B1591">
        <f>MIN(10,IF(Inputs!$B$3&gt;=75,0.75,0.5)*B1587*(1/Q1553))</f>
        <v/>
      </c>
    </row>
    <row r="1592">
      <c r="A1592" t="inlineStr">
        <is>
          <t>Blood Money average stack count</t>
        </is>
      </c>
      <c r="B1592">
        <f>MIN(5,0.5*IF(Inputs!$B$3&gt;=75,0.75,0.5)*B1587*(1/Q1553))</f>
        <v/>
      </c>
    </row>
    <row r="1593">
      <c r="A1593" t="inlineStr">
        <is>
          <t>Assassinate Murderous Intent Multiplier</t>
        </is>
      </c>
      <c r="B1593">
        <f>1+IFERROR(MIN(1,Q1564*2/Q1561),0)</f>
        <v/>
      </c>
    </row>
    <row r="1594">
      <c r="A1594" t="inlineStr">
        <is>
          <t>Buff-Casting Startup Delay (s, fixed-duration only)</t>
        </is>
      </c>
      <c r="B1594">
        <f>IF(AND(Inputs!$B$39&lt;&gt;"pvp",Inputs!$B$44&gt;0),SUMPRODUCT((Skills!Y2:Y31&gt;0)*(Skills!E2:E31=TRUE)*(C1551:C1580=TRUE))/B1587,0)</f>
        <v/>
      </c>
    </row>
    <row r="1595">
      <c r="A1595" s="6" t="inlineStr">
        <is>
          <t>TOTAL DPS</t>
        </is>
      </c>
      <c r="B1595" s="6">
        <f>SUM(O1551:O1580)</f>
        <v/>
      </c>
    </row>
    <row r="1596">
      <c r="A1596" t="inlineStr">
        <is>
          <t>Boss-Only Total DPS (this block's swept value)</t>
        </is>
      </c>
      <c r="B1596">
        <f>SUM(T1551:T1580)</f>
        <v/>
      </c>
    </row>
    <row r="1597">
      <c r="A1597" t="inlineStr">
        <is>
          <t>Normal-Only Total DPS (this block's swept value)</t>
        </is>
      </c>
      <c r="B1597">
        <f>SUM(V1551:V1580)</f>
        <v/>
      </c>
    </row>
    <row r="1600">
      <c r="A1600" s="6" t="inlineStr">
        <is>
          <t>Stat: The Contract of Darkness (Equip)</t>
        </is>
      </c>
    </row>
    <row r="1601">
      <c r="A1601" s="5" t="inlineStr">
        <is>
          <t>Key</t>
        </is>
      </c>
      <c r="B1601" s="5" t="inlineStr">
        <is>
          <t>Name</t>
        </is>
      </c>
      <c r="C1601" s="5" t="inlineStr">
        <is>
          <t>Unlocked</t>
        </is>
      </c>
      <c r="D1601" s="5" t="inlineStr">
        <is>
          <t>InputLevel</t>
        </is>
      </c>
      <c r="E1601" s="5" t="inlineStr">
        <is>
          <t>Factor</t>
        </is>
      </c>
      <c r="F1601" s="5" t="inlineStr">
        <is>
          <t>CoefficientPercent</t>
        </is>
      </c>
      <c r="G1601" s="5" t="inlineStr">
        <is>
          <t>EffectiveHits</t>
        </is>
      </c>
      <c r="H1601" s="5" t="inlineStr">
        <is>
          <t>ProcProbability</t>
        </is>
      </c>
      <c r="I1601" s="5" t="inlineStr">
        <is>
          <t>MapleHeroMultiplier</t>
        </is>
      </c>
      <c r="J1601" s="5" t="inlineStr">
        <is>
          <t>BaseDamage</t>
        </is>
      </c>
      <c r="K1601" s="5" t="inlineStr">
        <is>
          <t>BaseHitDamage</t>
        </is>
      </c>
      <c r="L1601" s="5" t="inlineStr">
        <is>
          <t>NonCritAvg</t>
        </is>
      </c>
      <c r="M1601" s="5" t="inlineStr">
        <is>
          <t>CritAvg</t>
        </is>
      </c>
      <c r="N1601" s="5" t="inlineStr">
        <is>
          <t>ExpectedDamage(perHit)</t>
        </is>
      </c>
      <c r="O1601" s="5" t="inlineStr">
        <is>
          <t>DPS</t>
        </is>
      </c>
      <c r="P1601" s="5" t="inlineStr">
        <is>
          <t>% of Total</t>
        </is>
      </c>
      <c r="Q1601" s="5" t="inlineStr">
        <is>
          <t>InvCooldown</t>
        </is>
      </c>
      <c r="R1601" s="5" t="inlineStr">
        <is>
          <t>CastsInFight</t>
        </is>
      </c>
      <c r="S1601" s="5" t="inlineStr">
        <is>
          <t>HitRate(perSec)</t>
        </is>
      </c>
      <c r="U1601" t="inlineStr">
        <is>
          <t>helpers</t>
        </is>
      </c>
    </row>
    <row r="1602">
      <c r="A1602">
        <f>Skills!A2</f>
        <v/>
      </c>
      <c r="B1602">
        <f>Skills!B2</f>
        <v/>
      </c>
      <c r="C1602">
        <f>Inputs!$B$3&gt;=100</f>
        <v/>
      </c>
      <c r="D1602" t="inlineStr"/>
      <c r="E1602" t="inlineStr"/>
      <c r="F1602">
        <f>U1604+Skills!O2</f>
        <v/>
      </c>
      <c r="G1602">
        <f>Skills!G2*IF(Skills!H2&gt;0,IF(Inputs!$B$39="pvp",MIN(Skills!I2,15),Skills!I2)/Skills!H2,1)</f>
        <v/>
      </c>
      <c r="H1602">
        <f>1-(1-Skills!J2/100)^Skills!K2</f>
        <v/>
      </c>
      <c r="I1602" t="inlineStr">
        <is>
          <t>1</t>
        </is>
      </c>
      <c r="J1602">
        <f>((Inputs!$B$6*(1+Inputs!$B$7/100))+(((Inputs!$B$12*(1+Inputs!$B$13/100))-(Inputs!$B$12*(1+Inputs!$B$13/100)))+0.25*(Inputs!$B$14-Inputs!$B$14))*(1+Inputs!$B$7/100))*(F1602/100)</f>
        <v/>
      </c>
      <c r="K1602">
        <f>J1602*(1+((Inputs!$B$12*(1+Inputs!$B$13/100))*0.01+Inputs!$B$14*0.0025)/100)*(1+Inputs!$B$15/100)*(1+Inputs!$B$16/100)*(5000/(6000+Inputs!$B$43*(1-(100*(1-(1-Inputs!$B$19/100)*(1-CHOOSE(ArtifactsInput!$N$40+1,5,6,7,8,9,10)/100)^(ArtifactsInput!$M$40-ArtifactsInput!$M$40)))/100)))*(1+(Inputs!$B$24+((C1631=TRUE)*(F1631-Calc!F31))+((C1618=TRUE)*(F1618-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CRUEL_STAB",Inputs!$B$17+((C1628=TRUE)*(F1628-Calc!F28))+((IF(AND(Inputs!$B$39&lt;&gt;"pvp",Inputs!$B$44=0),1,IF(IF(Inputs!$B$39="pvp",15,Inputs!$B$44)-(B1645)&lt;=0,1,MAX(0,IF(Inputs!$B$39="pvp",15,Inputs!$B$44)-MAX(5,B1645))/(IF(Inputs!$B$39="pvp",15,Inputs!$B$44)-(B1645))))*(IF(AND(ArtifactsInput!$M$42,((Inputs!$B$9+((C1626=TRUE)*(F1626-Calc!F26))+B1634+(ArtifactsInput!$M$24-ArtifactsInput!$M$24)*CHOOSE(ArtifactsInput!$N$24+1,10,12,14,16,18,20)+IF(ArtifactsInput!$M$10,CHOOSE(ArtifactsInput!$N$10+1,15,18,21,24,27,30)*(IF(Inputs!$B$39="pvp",MIN(15,15)/15,IF(AND(Inputs!$B$39&lt;&gt;"pvp",Inputs!$B$44&gt;0),MIN(15,Inputs!$B$44)/(Inputs!$B$44),0))),0)))&gt;=100),MIN(100,((Inputs!$B$9+((C1626=TRUE)*(F1626-Calc!F26))+B1634+(ArtifactsInput!$M$24-ArtifactsInput!$M$24)*CHOOSE(ArtifactsInput!$N$24+1,10,12,14,16,18,20)+IF(ArtifactsInput!$M$10,CHOOSE(ArtifactsInput!$N$10+1,15,18,21,24,27,30)*(IF(Inputs!$B$39="pvp",MIN(15,15)/15,IF(AND(Inputs!$B$39&lt;&gt;"pvp",Inputs!$B$44&gt;0),MIN(15,Inputs!$B$44)/(Inputs!$B$44),0))),0)))-100),0))*CHOOSE(ArtifactsInput!$N$42+1,0.6,0.72,0.84,0.96,1.08,1.2))),Inputs!$B$18+((C1629=TRUE)*(F1629-Calc!F29))+(IF(AND(Inputs!$B$39&lt;&gt;"pvp",Inputs!$B$44=0),1,IF(IF(Inputs!$B$39="pvp",15,Inputs!$B$44)-(B1645)&lt;=0,1,MAX(0,IF(Inputs!$B$39="pvp",15,Inputs!$B$44)-MAX(5,B1645))/(IF(Inputs!$B$39="pvp",15,Inputs!$B$44)-(B1645))))*IF(AND(ArtifactsInput!$M$42,((Inputs!$B$9+((C1626=TRUE)*(F1626-Calc!F26))+B1634+(ArtifactsInput!$M$24-ArtifactsInput!$M$24)*CHOOSE(ArtifactsInput!$N$24+1,10,12,14,16,18,20)+IF(ArtifactsInput!$M$10,CHOOSE(ArtifactsInput!$N$10+1,15,18,21,24,27,30)*(IF(Inputs!$B$39="pvp",MIN(15,15)/15,IF(AND(Inputs!$B$39&lt;&gt;"pvp",Inputs!$B$44&gt;0),MIN(15,Inputs!$B$44)/(Inputs!$B$44),0))),0)))&gt;=100),CHOOSE(ArtifactsInput!$N$42+1,40,48,56,64,72,80),0))))/100)*(((1+(((C1622=TRUE)*F1622*IF(AND(Inputs!$B$39&lt;&gt;"pvp",Inputs!$B$44&gt;0),(((R1622-1)*MIN((Skills!Y22*(1+Inputs!$B$34/100)),(1/Q1622))+MIN((Skills!Y22*(1+Inputs!$B$34/100)),MAX(0,Inputs!$B$44-((R1622-1)*(1/Q1622)))))/Inputs!$B$44),IF(Inputs!$B$39="pvp",MIN((Skills!Y22*(1+Inputs!$B$34/100)),15)/15,MIN(1,(Skills!Y22*(1+Inputs!$B$34/100))/(1/Q1622)))))+((C1603=TRUE)*F1603*3)+((C1605=TRUE)*F1605*(1-EXP(-0.75*B1638*5)))+((C1624=TRUE)*(F1624-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1611=TRUE)*F1611*IF(AND(Inputs!$B$39&lt;&gt;"pvp",Inputs!$B$44&gt;0),(((R1611-1)*MIN((Skills!Y11*(1+Inputs!$B$34/100)),(1/Q1611))+MIN((Skills!Y11*(1+Inputs!$B$34/100)),MAX(0,Inputs!$B$44-((R1611-1)*(1/Q1611)))))/Inputs!$B$44),IF(Inputs!$B$39="pvp",MIN((Skills!Y11*(1+Inputs!$B$34/100)),15)/15,MIN(1,(Skills!Y11*(1+Inputs!$B$34/100))/(1/Q1611)))))/100)*(1+((C1616=TRUE)*F1616*IF(AND(Inputs!$B$39&lt;&gt;"pvp",Inputs!$B$44&gt;0),(((R1616-1)*MIN((Skills!Y16*(1+Inputs!$B$34/100)),(1/Q1616))+MIN((Skills!Y16*(1+Inputs!$B$34/100)),MAX(0,Inputs!$B$44-((R1616-1)*(1/Q1616)))))/Inputs!$B$44),IF(Inputs!$B$39="pvp",MIN((Skills!Y16*(1+Inputs!$B$34/100)),15)/15,MIN(1,(Skills!Y16*(1+Inputs!$B$34/100))/(1/Q1616)))))/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1636*I1602)</f>
        <v/>
      </c>
      <c r="L1602">
        <f>K1602*(MIN(Inputs!$B$22+((C1625=TRUE)*(F1625-Calc!F25)),(Inputs!$B$23+((C1630=TRUE)*(F1630-Calc!F30))+IF(ArtifactsInput!$M$15,CHOOSE(ArtifactsInput!$N$15+1,25,30,35,40,45,50)/100*(Inputs!$B$11-Inputs!$B$11),0)))/100+(Inputs!$B$23+((C1630=TRUE)*(F1630-Calc!F30))+IF(ArtifactsInput!$M$15,CHOOSE(ArtifactsInput!$N$15+1,25,30,35,40,45,50)/100*(Inputs!$B$11-Inputs!$B$11),0))/100)/2</f>
        <v/>
      </c>
      <c r="M1602">
        <f>L1602*(1+(Inputs!$B$10+((C1627=TRUE)*(F1627-Calc!F27))+B1641+(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1602">
        <f>L1602*(1-MIN((Inputs!$B$9+((C1626=TRUE)*(F1626-Calc!F26))+B1634+(ArtifactsInput!$M$24-ArtifactsInput!$M$24)*CHOOSE(ArtifactsInput!$N$24+1,10,12,14,16,18,20)+(IF(AND(Inputs!$B$39&lt;&gt;"pvp",Inputs!$B$44=0),1,IF(IF(Inputs!$B$39="pvp",15,Inputs!$B$44)-(B1645)&lt;=0,1,MAX(0,IF(Inputs!$B$39="pvp",15,Inputs!$B$44)-MAX(5,B1645))/(IF(Inputs!$B$39="pvp",15,Inputs!$B$44)-(B1645))))*IF(AND(ArtifactsInput!$M$42,((Inputs!$B$9+((C1626=TRUE)*(F1626-Calc!F26))+B1634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1602*(MIN((Inputs!$B$9+((C1626=TRUE)*(F1626-Calc!F26))+B1634+(ArtifactsInput!$M$24-ArtifactsInput!$M$24)*CHOOSE(ArtifactsInput!$N$24+1,10,12,14,16,18,20)+(IF(AND(Inputs!$B$39&lt;&gt;"pvp",Inputs!$B$44=0),1,IF(IF(Inputs!$B$39="pvp",15,Inputs!$B$44)-(B1645)&lt;=0,1,MAX(0,IF(Inputs!$B$39="pvp",15,Inputs!$B$44)-MAX(5,B1645))/(IF(Inputs!$B$39="pvp",15,Inputs!$B$44)-(B1645))))*IF(AND(ArtifactsInput!$M$42,((Inputs!$B$9+((C1626=TRUE)*(F1626-Calc!F26))+B1634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602">
        <f>(1-Summary!$B$11)*T1602+Summary!$B$11*V1602</f>
        <v/>
      </c>
      <c r="P1602">
        <f>IF(B1646=0,0,O1602/B1646)</f>
        <v/>
      </c>
      <c r="Q1602" t="n">
        <v>0</v>
      </c>
      <c r="R1602" t="n">
        <v>0</v>
      </c>
      <c r="S1602">
        <f>IFERROR(O1602/N1602,0)</f>
        <v/>
      </c>
      <c r="T1602">
        <f>IF(C1602,(Skills!G2*N1602*B1640)*IF(Inputs!$B$39="pvp",1,1+(Inputs!$B$20+0+Skills!P2+B1635+(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Hunt"),CHOOSE(ArtifactsInput!$N$35+1,15,18,21,24,27,30)*(1-EXP(-(0.2*B1638)*5)),0)+IF(AND(ArtifactsInput!$M$22,Inputs!$B$4&lt;&gt;"Chapter Hunt"),CHOOSE(ArtifactsInput!$N$22+1,10,12,14,16,18,20)*((0*(((0.15*B1638*5))^0/1)+1*(((0.15*B1638*5))^1/1)+2*(((0.15*B1638*5))^2/2)+3*(((0.15*B1638*5))^3/6)+4*(((0.15*B1638*5))^4/24)+5*(((0.15*B1638*5))^5/120))/((((0.15*B1638*5))^0/1)+(((0.15*B1638*5))^1/1)+(((0.15*B1638*5))^2/2)+(((0.15*B1638*5))^3/6)+(((0.15*B1638*5))^4/24)+(((0.15*B1638*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1602*(1-MIN(100,(Inputs!$B$9+((C1626=TRUE)*(F1626-Calc!F26))+B1634+(ArtifactsInput!$M$24-ArtifactsInput!$M$24)*CHOOSE(ArtifactsInput!$N$24+1,10,12,14,16,18,20)+(IF(AND(Inputs!$B$39&lt;&gt;"pvp",Inputs!$B$44=0),1,IF(IF(Inputs!$B$39="pvp",15,Inputs!$B$44)-(B1645)&lt;=0,1,MAX(0,IF(Inputs!$B$39="pvp",15,Inputs!$B$44)-MAX(5,B1645))/(IF(Inputs!$B$39="pvp",15,Inputs!$B$44)-(B1645))))*IF(AND(ArtifactsInput!$M$42,((Inputs!$B$9+((C1626=TRUE)*(F1626-Calc!F26))+B1634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IF(ArtifactsInput!$M$8,FALSE,TRUE),Inputs!$B$39&lt;&gt;"pvp"),CHOOSE(ArtifactsInput!$N$8+1,8,9.6,11.2,12.8,14.4,16),0))/100)+M1602*(MIN(100,(Inputs!$B$9+((C1626=TRUE)*(F1626-Calc!F26))+B1634+(ArtifactsInput!$M$24-ArtifactsInput!$M$24)*CHOOSE(ArtifactsInput!$N$24+1,10,12,14,16,18,20)+(IF(AND(Inputs!$B$39&lt;&gt;"pvp",Inputs!$B$44=0),1,IF(IF(Inputs!$B$39="pvp",15,Inputs!$B$44)-(B1645)&lt;=0,1,MAX(0,IF(Inputs!$B$39="pvp",15,Inputs!$B$44)-MAX(5,B1645))/(IF(Inputs!$B$39="pvp",15,Inputs!$B$44)-(B1645))))*IF(AND(ArtifactsInput!$M$42,((Inputs!$B$9+((C1626=TRUE)*(F1626-Calc!F26))+B1634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IF(ArtifactsInput!$M$8,FALSE,TRUE),Inputs!$B$39&lt;&gt;"pvp"),CHOOSE(ArtifactsInput!$N$8+1,8,9.6,11.2,12.8,14.4,16),0))/100))/(L1602*(1-MIN(100,(Inputs!$B$9+((C1626=TRUE)*(F1626-Calc!F26))+B1634+(ArtifactsInput!$M$24-ArtifactsInput!$M$24)*CHOOSE(ArtifactsInput!$N$24+1,10,12,14,16,18,20)+(IF(AND(Inputs!$B$39&lt;&gt;"pvp",Inputs!$B$44=0),1,IF(IF(Inputs!$B$39="pvp",15,Inputs!$B$44)-(B1645)&lt;=0,1,MAX(0,IF(Inputs!$B$39="pvp",15,Inputs!$B$44)-MAX(5,B1645))/(IF(Inputs!$B$39="pvp",15,Inputs!$B$44)-(B1645))))*IF(AND(ArtifactsInput!$M$42,((Inputs!$B$9+((C1626=TRUE)*(F1626-Calc!F26))+B1634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1602*(MIN(100,(Inputs!$B$9+((C1626=TRUE)*(F1626-Calc!F26))+B1634+(ArtifactsInput!$M$24-ArtifactsInput!$M$24)*CHOOSE(ArtifactsInput!$N$24+1,10,12,14,16,18,20)+(IF(AND(Inputs!$B$39&lt;&gt;"pvp",Inputs!$B$44=0),1,IF(IF(Inputs!$B$39="pvp",15,Inputs!$B$44)-(B1645)&lt;=0,1,MAX(0,IF(Inputs!$B$39="pvp",15,Inputs!$B$44)-MAX(5,B1645))/(IF(Inputs!$B$39="pvp",15,Inputs!$B$44)-(B1645))))*IF(AND(ArtifactsInput!$M$42,((Inputs!$B$9+((C1626=TRUE)*(F1626-Calc!F26))+B1634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1602">
        <f>MAX(0,(Inputs!$B$3-100)*3)+Inputs!$B$28+Inputs!$B$29</f>
        <v/>
      </c>
      <c r="V1602">
        <f>IF(C1602,(Skills!G2*N1602*B1640)*IF(Inputs!$B$39="pvp",1,(1+(Inputs!$B$21+Skills!Q2+B1635+(IF(ArtifactsInput!$M$33,CHOOSE(ArtifactsInput!$N$33+1,30,36,42,48,54,60),0))+(IF(AND(ArtifactsInput!$M$35,Inputs!$B$4&lt;&gt;"Chapter Hunt"),CHOOSE(ArtifactsInput!$N$35+1,15,18,21,24,27,30)*(1-EXP(-(0.2*B1638)*5)),0)+IF(AND(ArtifactsInput!$M$22,Inputs!$B$4&lt;&gt;"Chapter Hunt"),CHOOSE(ArtifactsInput!$N$22+1,10,12,14,16,18,20)*((0*(((0.15*B1638*5))^0/1)+1*(((0.15*B1638*5))^1/1)+2*(((0.15*B1638*5))^2/2)+3*(((0.15*B1638*5))^3/6)+4*(((0.15*B1638*5))^4/24)+5*(((0.15*B1638*5))^5/120))/((((0.15*B1638*5))^0/1)+(((0.15*B1638*5))^1/1)+(((0.15*B1638*5))^2/2)+(((0.15*B1638*5))^3/6)+(((0.15*B1638*5))^4/24)+(((0.15*B1638*5))^5/120))),0)))/100)*(MIN((6+Inputs!$B$33),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603">
      <c r="A1603">
        <f>Skills!A3</f>
        <v/>
      </c>
      <c r="B1603">
        <f>Skills!B3</f>
        <v/>
      </c>
      <c r="C1603">
        <f>Inputs!$B$3&gt;=35</f>
        <v/>
      </c>
      <c r="D1603">
        <f>IF(Skills!C3=1,60+Inputs!$B$25+Inputs!$B$29,IF(Skills!C3=2,90+Inputs!$B$26+Inputs!$B$29,IF(Skills!C3=3,120+Inputs!$B$27+Inputs!$B$29,MAX(0,(Inputs!$B$3-100)*3)+Inputs!$B$28+Inputs!$B$29)))</f>
        <v/>
      </c>
      <c r="E1603">
        <f>INDEX(FactorTable!$B$2:$Y$301, MATCH(ROUND(MIN(300,MAX(1,D1603)),0), FactorTable!$A$2:$A$301,0), Skills!M3+1)</f>
        <v/>
      </c>
      <c r="F1603">
        <f>IF(Skills!N3=TRUE,(Skills!L3/10)*(E1603/1000),Skills!L3/10)+Skills!O3</f>
        <v/>
      </c>
      <c r="G1603">
        <f>Skills!G3*IF(Skills!H3&gt;0,IF(Inputs!$B$39="pvp",MIN(Skills!I3,15),Skills!I3)/Skills!H3,1)</f>
        <v/>
      </c>
      <c r="H1603">
        <f>1-(1-Skills!J3/100)^Skills!K3</f>
        <v/>
      </c>
      <c r="I1603" t="inlineStr">
        <is>
          <t>1</t>
        </is>
      </c>
      <c r="J1603" t="inlineStr"/>
      <c r="K1603" t="inlineStr"/>
      <c r="L1603" t="inlineStr"/>
      <c r="M1603" t="inlineStr"/>
      <c r="N1603" t="inlineStr"/>
      <c r="O1603">
        <f>(1-Summary!$B$11)*T1603+Summary!$B$11*V1603</f>
        <v/>
      </c>
      <c r="P1603">
        <f>IF(B1646=0,0,O1603/B1646)</f>
        <v/>
      </c>
      <c r="Q1603" t="n">
        <v>0</v>
      </c>
      <c r="R1603" t="n">
        <v>0</v>
      </c>
      <c r="S1603">
        <f>IFERROR(O1603/N1603,0)</f>
        <v/>
      </c>
      <c r="T1603" t="n">
        <v>0</v>
      </c>
      <c r="U1603">
        <f>INDEX(FactorTable!$B$2:$Y$301, MATCH(ROUND(MIN(300,MAX(1,U1602)),0), FactorTable!$A$2:$A$301,0), 22)</f>
        <v/>
      </c>
      <c r="V1603" t="n">
        <v>0</v>
      </c>
    </row>
    <row r="1604">
      <c r="A1604">
        <f>Skills!A4</f>
        <v/>
      </c>
      <c r="B1604">
        <f>Skills!B4</f>
        <v/>
      </c>
      <c r="C1604">
        <f>Inputs!$B$3&gt;=66</f>
        <v/>
      </c>
      <c r="D1604">
        <f>IF(Skills!C4=1,60+Inputs!$B$25+Inputs!$B$29,IF(Skills!C4=2,90+Inputs!$B$26+Inputs!$B$29,IF(Skills!C4=3,120+Inputs!$B$27+Inputs!$B$29,MAX(0,(Inputs!$B$3-100)*3)+Inputs!$B$28+Inputs!$B$29)))</f>
        <v/>
      </c>
      <c r="E1604">
        <f>INDEX(FactorTable!$B$2:$Y$301, MATCH(ROUND(MIN(300,MAX(1,D1604)),0), FactorTable!$A$2:$A$301,0), Skills!M4+1)</f>
        <v/>
      </c>
      <c r="F1604">
        <f>IF(Skills!N4=TRUE,(Skills!L4/10)*(E1604/1000),Skills!L4/10)+Skills!O4</f>
        <v/>
      </c>
      <c r="G1604">
        <f>Skills!G4*IF(Skills!H4&gt;0,IF(Inputs!$B$39="pvp",MIN(Skills!I4,15),Skills!I4)/Skills!H4,1)</f>
        <v/>
      </c>
      <c r="H1604">
        <f>1-(1-Skills!J4/100)^Skills!K4</f>
        <v/>
      </c>
      <c r="I1604" t="inlineStr">
        <is>
          <t>1</t>
        </is>
      </c>
      <c r="J1604">
        <f>((Inputs!$B$6*(1+Inputs!$B$7/100))+(((Inputs!$B$12*(1+Inputs!$B$13/100))-(Inputs!$B$12*(1+Inputs!$B$13/100)))+0.25*(Inputs!$B$14-Inputs!$B$14))*(1+Inputs!$B$7/100))*(F1604/100)</f>
        <v/>
      </c>
      <c r="K1604">
        <f>J1604*(1+((Inputs!$B$12*(1+Inputs!$B$13/100))*0.01+Inputs!$B$14*0.0025)/100)*(1+Inputs!$B$15/100)*(1+Inputs!$B$16/100)*(5000/(6000+Inputs!$B$43*(1-(100*(1-(1-Inputs!$B$19/100)*(1-CHOOSE(ArtifactsInput!$N$40+1,5,6,7,8,9,10)/100)^(ArtifactsInput!$M$40-ArtifactsInput!$M$40)))/100)))*(1+(Inputs!$B$24+((C1631=TRUE)*(F1631-Calc!F31))+((C1618=TRUE)*(F1618-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4="CRUEL_STAB",Inputs!$B$17+((C1628=TRUE)*(F1628-Calc!F28))+((IF(AND(Inputs!$B$39&lt;&gt;"pvp",Inputs!$B$44=0),1,IF(IF(Inputs!$B$39="pvp",15,Inputs!$B$44)-(B1645)&lt;=0,1,MAX(0,IF(Inputs!$B$39="pvp",15,Inputs!$B$44)-MAX(5,B1645))/(IF(Inputs!$B$39="pvp",15,Inputs!$B$44)-(B1645))))*(IF(AND(ArtifactsInput!$M$42,((Inputs!$B$9+((C1626=TRUE)*(F1626-Calc!F26))+B1634+(ArtifactsInput!$M$24-ArtifactsInput!$M$24)*CHOOSE(ArtifactsInput!$N$24+1,10,12,14,16,18,20)+IF(ArtifactsInput!$M$10,CHOOSE(ArtifactsInput!$N$10+1,15,18,21,24,27,30)*(IF(Inputs!$B$39="pvp",MIN(15,15)/15,IF(AND(Inputs!$B$39&lt;&gt;"pvp",Inputs!$B$44&gt;0),MIN(15,Inputs!$B$44)/(Inputs!$B$44),0))),0)))&gt;=100),MIN(100,((Inputs!$B$9+((C1626=TRUE)*(F1626-Calc!F26))+B1634+(ArtifactsInput!$M$24-ArtifactsInput!$M$24)*CHOOSE(ArtifactsInput!$N$24+1,10,12,14,16,18,20)+IF(ArtifactsInput!$M$10,CHOOSE(ArtifactsInput!$N$10+1,15,18,21,24,27,30)*(IF(Inputs!$B$39="pvp",MIN(15,15)/15,IF(AND(Inputs!$B$39&lt;&gt;"pvp",Inputs!$B$44&gt;0),MIN(15,Inputs!$B$44)/(Inputs!$B$44),0))),0)))-100),0))*CHOOSE(ArtifactsInput!$N$42+1,0.6,0.72,0.84,0.96,1.08,1.2))),Inputs!$B$18+((C1629=TRUE)*(F1629-Calc!F29))+(IF(AND(Inputs!$B$39&lt;&gt;"pvp",Inputs!$B$44=0),1,IF(IF(Inputs!$B$39="pvp",15,Inputs!$B$44)-(B1645)&lt;=0,1,MAX(0,IF(Inputs!$B$39="pvp",15,Inputs!$B$44)-MAX(5,B1645))/(IF(Inputs!$B$39="pvp",15,Inputs!$B$44)-(B1645))))*IF(AND(ArtifactsInput!$M$42,((Inputs!$B$9+((C1626=TRUE)*(F1626-Calc!F26))+B1634+(ArtifactsInput!$M$24-ArtifactsInput!$M$24)*CHOOSE(ArtifactsInput!$N$24+1,10,12,14,16,18,20)+IF(ArtifactsInput!$M$10,CHOOSE(ArtifactsInput!$N$10+1,15,18,21,24,27,30)*(IF(Inputs!$B$39="pvp",MIN(15,15)/15,IF(AND(Inputs!$B$39&lt;&gt;"pvp",Inputs!$B$44&gt;0),MIN(15,Inputs!$B$44)/(Inputs!$B$44),0))),0)))&gt;=100),CHOOSE(ArtifactsInput!$N$42+1,40,48,56,64,72,80),0))))/100)*(((1+(((C1622=TRUE)*F1622*IF(AND(Inputs!$B$39&lt;&gt;"pvp",Inputs!$B$44&gt;0),(((R1622-1)*MIN((Skills!Y22*(1+Inputs!$B$34/100)),(1/Q1622))+MIN((Skills!Y22*(1+Inputs!$B$34/100)),MAX(0,Inputs!$B$44-((R1622-1)*(1/Q1622)))))/Inputs!$B$44),IF(Inputs!$B$39="pvp",MIN((Skills!Y22*(1+Inputs!$B$34/100)),15)/15,MIN(1,(Skills!Y22*(1+Inputs!$B$34/100))/(1/Q1622)))))+((C1603=TRUE)*F1603*3)+((C1605=TRUE)*F1605*(1-EXP(-0.75*B1638*5)))+((C1624=TRUE)*(F1624-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1611=TRUE)*F1611*IF(AND(Inputs!$B$39&lt;&gt;"pvp",Inputs!$B$44&gt;0),(((R1611-1)*MIN((Skills!Y11*(1+Inputs!$B$34/100)),(1/Q1611))+MIN((Skills!Y11*(1+Inputs!$B$34/100)),MAX(0,Inputs!$B$44-((R1611-1)*(1/Q1611)))))/Inputs!$B$44),IF(Inputs!$B$39="pvp",MIN((Skills!Y11*(1+Inputs!$B$34/100)),15)/15,MIN(1,(Skills!Y11*(1+Inputs!$B$34/100))/(1/Q1611)))))/100)*(1+((C1616=TRUE)*F1616*IF(AND(Inputs!$B$39&lt;&gt;"pvp",Inputs!$B$44&gt;0),(((R1616-1)*MIN((Skills!Y16*(1+Inputs!$B$34/100)),(1/Q1616))+MIN((Skills!Y16*(1+Inputs!$B$34/100)),MAX(0,Inputs!$B$44-((R1616-1)*(1/Q1616)))))/Inputs!$B$44),IF(Inputs!$B$39="pvp",MIN((Skills!Y16*(1+Inputs!$B$34/100)),15)/15,MIN(1,(Skills!Y16*(1+Inputs!$B$34/100))/(1/Q1616)))))/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1636*I1604)</f>
        <v/>
      </c>
      <c r="L1604">
        <f>K1604*(MIN(Inputs!$B$22+((C1625=TRUE)*(F1625-Calc!F25)),(Inputs!$B$23+((C1630=TRUE)*(F1630-Calc!F30))+IF(ArtifactsInput!$M$15,CHOOSE(ArtifactsInput!$N$15+1,25,30,35,40,45,50)/100*(Inputs!$B$11-Inputs!$B$11),0)))/100+(Inputs!$B$23+((C1630=TRUE)*(F1630-Calc!F30))+IF(ArtifactsInput!$M$15,CHOOSE(ArtifactsInput!$N$15+1,25,30,35,40,45,50)/100*(Inputs!$B$11-Inputs!$B$11),0))/100)/2</f>
        <v/>
      </c>
      <c r="M1604">
        <f>L1604*(1+(Inputs!$B$10+((C1627=TRUE)*(F1627-Calc!F27))+B1641+(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1604">
        <f>L1604*(1-MIN((Inputs!$B$9+((C1626=TRUE)*(F1626-Calc!F26))+B1634+(ArtifactsInput!$M$24-ArtifactsInput!$M$24)*CHOOSE(ArtifactsInput!$N$24+1,10,12,14,16,18,20)+(IF(AND(Inputs!$B$39&lt;&gt;"pvp",Inputs!$B$44=0),1,IF(IF(Inputs!$B$39="pvp",15,Inputs!$B$44)-(B1645)&lt;=0,1,MAX(0,IF(Inputs!$B$39="pvp",15,Inputs!$B$44)-MAX(5,B1645))/(IF(Inputs!$B$39="pvp",15,Inputs!$B$44)-(B1645))))*IF(AND(ArtifactsInput!$M$42,((Inputs!$B$9+((C1626=TRUE)*(F1626-Calc!F26))+B1634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1604*(MIN((Inputs!$B$9+((C1626=TRUE)*(F1626-Calc!F26))+B1634+(ArtifactsInput!$M$24-ArtifactsInput!$M$24)*CHOOSE(ArtifactsInput!$N$24+1,10,12,14,16,18,20)+(IF(AND(Inputs!$B$39&lt;&gt;"pvp",Inputs!$B$44=0),1,IF(IF(Inputs!$B$39="pvp",15,Inputs!$B$44)-(B1645)&lt;=0,1,MAX(0,IF(Inputs!$B$39="pvp",15,Inputs!$B$44)-MAX(5,B1645))/(IF(Inputs!$B$39="pvp",15,Inputs!$B$44)-(B1645))))*IF(AND(ArtifactsInput!$M$42,((Inputs!$B$9+((C1626=TRUE)*(F1626-Calc!F26))+B1634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604">
        <f>(1-Summary!$B$11)*T1604+Summary!$B$11*V1604</f>
        <v/>
      </c>
      <c r="P1604">
        <f>IF(B1646=0,0,O1604/B1646)</f>
        <v/>
      </c>
      <c r="Q1604">
        <f>IFERROR(1/IF(Inputs!$B$39="pvp",15,MAX(0.1,Skills!D4-IF(TRUE=TRUE,Inputs!$B$32,0))),0)</f>
        <v/>
      </c>
      <c r="R1604">
        <f>IF(AND(Inputs!$B$39&lt;&gt;"pvp",Inputs!$B$44&gt;0),IF(MAX(0,Inputs!$B$44-B1645)&lt;=0,0,(INT(MAX(0,Inputs!$B$44-B1645)/IF(Inputs!$B$39="pvp",15,MAX(0.1,Skills!D4-IF(TRUE=TRUE,Inputs!$B$32,0))))+1)),0)</f>
        <v/>
      </c>
      <c r="S1604">
        <f>IFERROR(O1604/N1604,0)</f>
        <v/>
      </c>
      <c r="T1604">
        <f>IF(C1604,(H1604*N1604*IF(AND(Inputs!$B$39&lt;&gt;"pvp",Inputs!$B$44&gt;0),((Skills!G4*((R1604-1)*IF(Skills!H4&gt;0,Skills!I4/Skills!H4,1)+IF(Skills!H4&gt;0,MIN(Skills!I4,MAX(0,MAX(0,Inputs!$B$44-B1645)-((R1604-1)*IF(Inputs!$B$39="pvp",15,MAX(0.1,Skills!D4-IF(TRUE=TRUE,Inputs!$B$32,0))))))/Skills!H4,1)))/Inputs!$B$44),G1604*Q1604))*IF(Inputs!$B$39="pvp",1,1+(Inputs!$B$20+0+Skills!P4+B1635+(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Hunt"),CHOOSE(ArtifactsInput!$N$35+1,15,18,21,24,27,30)*(1-EXP(-(0.2*B1638)*5)),0)+IF(AND(ArtifactsInput!$M$22,Inputs!$B$4&lt;&gt;"Chapter Hunt"),CHOOSE(ArtifactsInput!$N$22+1,10,12,14,16,18,20)*((0*(((0.15*B1638*5))^0/1)+1*(((0.15*B1638*5))^1/1)+2*(((0.15*B1638*5))^2/2)+3*(((0.15*B1638*5))^3/6)+4*(((0.15*B1638*5))^4/24)+5*(((0.15*B1638*5))^5/120))/((((0.15*B1638*5))^0/1)+(((0.15*B1638*5))^1/1)+(((0.15*B1638*5))^2/2)+(((0.15*B1638*5))^3/6)+(((0.15*B1638*5))^4/24)+(((0.15*B1638*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1604*(1-MIN(100,(Inputs!$B$9+((C1626=TRUE)*(F1626-Calc!F26))+B1634+(ArtifactsInput!$M$24-ArtifactsInput!$M$24)*CHOOSE(ArtifactsInput!$N$24+1,10,12,14,16,18,20)+(IF(AND(Inputs!$B$39&lt;&gt;"pvp",Inputs!$B$44=0),1,IF(IF(Inputs!$B$39="pvp",15,Inputs!$B$44)-(B1645)&lt;=0,1,MAX(0,IF(Inputs!$B$39="pvp",15,Inputs!$B$44)-MAX(5,B1645))/(IF(Inputs!$B$39="pvp",15,Inputs!$B$44)-(B1645))))*IF(AND(ArtifactsInput!$M$42,((Inputs!$B$9+((C1626=TRUE)*(F1626-Calc!F26))+B1634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IF(ArtifactsInput!$M$8,FALSE,TRUE),Inputs!$B$39&lt;&gt;"pvp"),CHOOSE(ArtifactsInput!$N$8+1,8,9.6,11.2,12.8,14.4,16),0))/100)+M1604*(MIN(100,(Inputs!$B$9+((C1626=TRUE)*(F1626-Calc!F26))+B1634+(ArtifactsInput!$M$24-ArtifactsInput!$M$24)*CHOOSE(ArtifactsInput!$N$24+1,10,12,14,16,18,20)+(IF(AND(Inputs!$B$39&lt;&gt;"pvp",Inputs!$B$44=0),1,IF(IF(Inputs!$B$39="pvp",15,Inputs!$B$44)-(B1645)&lt;=0,1,MAX(0,IF(Inputs!$B$39="pvp",15,Inputs!$B$44)-MAX(5,B1645))/(IF(Inputs!$B$39="pvp",15,Inputs!$B$44)-(B1645))))*IF(AND(ArtifactsInput!$M$42,((Inputs!$B$9+((C1626=TRUE)*(F1626-Calc!F26))+B1634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IF(ArtifactsInput!$M$8,FALSE,TRUE),Inputs!$B$39&lt;&gt;"pvp"),CHOOSE(ArtifactsInput!$N$8+1,8,9.6,11.2,12.8,14.4,16),0))/100))/(L1604*(1-MIN(100,(Inputs!$B$9+((C1626=TRUE)*(F1626-Calc!F26))+B1634+(ArtifactsInput!$M$24-ArtifactsInput!$M$24)*CHOOSE(ArtifactsInput!$N$24+1,10,12,14,16,18,20)+(IF(AND(Inputs!$B$39&lt;&gt;"pvp",Inputs!$B$44=0),1,IF(IF(Inputs!$B$39="pvp",15,Inputs!$B$44)-(B1645)&lt;=0,1,MAX(0,IF(Inputs!$B$39="pvp",15,Inputs!$B$44)-MAX(5,B1645))/(IF(Inputs!$B$39="pvp",15,Inputs!$B$44)-(B1645))))*IF(AND(ArtifactsInput!$M$42,((Inputs!$B$9+((C1626=TRUE)*(F1626-Calc!F26))+B1634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1604*(MIN(100,(Inputs!$B$9+((C1626=TRUE)*(F1626-Calc!F26))+B1634+(ArtifactsInput!$M$24-ArtifactsInput!$M$24)*CHOOSE(ArtifactsInput!$N$24+1,10,12,14,16,18,20)+(IF(AND(Inputs!$B$39&lt;&gt;"pvp",Inputs!$B$44=0),1,IF(IF(Inputs!$B$39="pvp",15,Inputs!$B$44)-(B1645)&lt;=0,1,MAX(0,IF(Inputs!$B$39="pvp",15,Inputs!$B$44)-MAX(5,B1645))/(IF(Inputs!$B$39="pvp",15,Inputs!$B$44)-(B1645))))*IF(AND(ArtifactsInput!$M$42,((Inputs!$B$9+((C1626=TRUE)*(F1626-Calc!F26))+B1634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1604">
        <f>290*U1603/1000</f>
        <v/>
      </c>
      <c r="V1604">
        <f>IF(C1604,(H1604*N1604*IF(AND(Inputs!$B$39&lt;&gt;"pvp",Inputs!$B$44&gt;0),((Skills!G4*((R1604-1)*IF(Skills!H4&gt;0,Skills!I4/Skills!H4,1)+IF(Skills!H4&gt;0,MIN(Skills!I4,MAX(0,MAX(0,Inputs!$B$44-B1645)-((R1604-1)*IF(Inputs!$B$39="pvp",15,MAX(0.1,Skills!D4-IF(TRUE=TRUE,Inputs!$B$32,0))))))/Skills!H4,1)))/Inputs!$B$44),G1604*Q1604))*IF(Inputs!$B$39="pvp",1,(1+(Inputs!$B$21+Skills!Q4+B1635+(IF(ArtifactsInput!$M$33,CHOOSE(ArtifactsInput!$N$33+1,30,36,42,48,54,60),0))+(IF(AND(ArtifactsInput!$M$35,Inputs!$B$4&lt;&gt;"Chapter Hunt"),CHOOSE(ArtifactsInput!$N$35+1,15,18,21,24,27,30)*(1-EXP(-(0.2*B1638)*5)),0)+IF(AND(ArtifactsInput!$M$22,Inputs!$B$4&lt;&gt;"Chapter Hunt"),CHOOSE(ArtifactsInput!$N$22+1,10,12,14,16,18,20)*((0*(((0.15*B1638*5))^0/1)+1*(((0.15*B1638*5))^1/1)+2*(((0.15*B1638*5))^2/2)+3*(((0.15*B1638*5))^3/6)+4*(((0.15*B1638*5))^4/24)+5*(((0.15*B1638*5))^5/120))/((((0.15*B1638*5))^0/1)+(((0.15*B1638*5))^1/1)+(((0.15*B1638*5))^2/2)+(((0.15*B1638*5))^3/6)+(((0.15*B1638*5))^4/24)+(((0.15*B1638*5))^5/120))),0)))/100)*(MIN(MIN(10,IF(Inputs!$B$3&gt;=75,0.75,0.5)*B1638*(1/Q1604)),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605">
      <c r="A1605">
        <f>Skills!A5</f>
        <v/>
      </c>
      <c r="B1605">
        <f>Skills!B5</f>
        <v/>
      </c>
      <c r="C1605">
        <f>Inputs!$B$3&gt;=75</f>
        <v/>
      </c>
      <c r="D1605">
        <f>IF(Skills!C5=1,60+Inputs!$B$25+Inputs!$B$29,IF(Skills!C5=2,90+Inputs!$B$26+Inputs!$B$29,IF(Skills!C5=3,120+Inputs!$B$27+Inputs!$B$29,MAX(0,(Inputs!$B$3-100)*3)+Inputs!$B$28+Inputs!$B$29)))</f>
        <v/>
      </c>
      <c r="E1605">
        <f>INDEX(FactorTable!$B$2:$Y$301, MATCH(ROUND(MIN(300,MAX(1,D1605)),0), FactorTable!$A$2:$A$301,0), Skills!M5+1)</f>
        <v/>
      </c>
      <c r="F1605">
        <f>IF(Skills!N5=TRUE,(Skills!L5/10)*(E1605/1000),Skills!L5/10)+Skills!O5</f>
        <v/>
      </c>
      <c r="G1605">
        <f>Skills!G5*IF(Skills!H5&gt;0,IF(Inputs!$B$39="pvp",MIN(Skills!I5,15),Skills!I5)/Skills!H5,1)</f>
        <v/>
      </c>
      <c r="H1605">
        <f>1-(1-Skills!J5/100)^Skills!K5</f>
        <v/>
      </c>
      <c r="I1605" t="inlineStr">
        <is>
          <t>1</t>
        </is>
      </c>
      <c r="J1605" t="inlineStr"/>
      <c r="K1605" t="inlineStr"/>
      <c r="L1605" t="inlineStr"/>
      <c r="M1605" t="inlineStr"/>
      <c r="N1605" t="inlineStr"/>
      <c r="O1605">
        <f>(1-Summary!$B$11)*T1605+Summary!$B$11*V1605</f>
        <v/>
      </c>
      <c r="P1605">
        <f>IF(B1646=0,0,O1605/B1646)</f>
        <v/>
      </c>
      <c r="Q1605" t="n">
        <v>0</v>
      </c>
      <c r="R1605" t="n">
        <v>0</v>
      </c>
      <c r="S1605">
        <f>IFERROR(O1605/N1605,0)</f>
        <v/>
      </c>
      <c r="T1605" t="n">
        <v>0</v>
      </c>
      <c r="V1605" t="n">
        <v>0</v>
      </c>
    </row>
    <row r="1606">
      <c r="A1606">
        <f>Skills!A6</f>
        <v/>
      </c>
      <c r="B1606">
        <f>Skills!B6</f>
        <v/>
      </c>
      <c r="C1606">
        <f>Inputs!$B$3&gt;=63</f>
        <v/>
      </c>
      <c r="D1606">
        <f>IF(Skills!C6=1,60+Inputs!$B$25+Inputs!$B$29,IF(Skills!C6=2,90+Inputs!$B$26+Inputs!$B$29,IF(Skills!C6=3,120+Inputs!$B$27+Inputs!$B$29,MAX(0,(Inputs!$B$3-100)*3)+Inputs!$B$28+Inputs!$B$29)))</f>
        <v/>
      </c>
      <c r="E1606">
        <f>INDEX(FactorTable!$B$2:$Y$301, MATCH(ROUND(MIN(300,MAX(1,D1606)),0), FactorTable!$A$2:$A$301,0), Skills!M6+1)</f>
        <v/>
      </c>
      <c r="F1606">
        <f>IF(Skills!N6=TRUE,(Skills!L6/10)*(E1606/1000),Skills!L6/10)+Skills!O6</f>
        <v/>
      </c>
      <c r="G1606">
        <f>Skills!G6*IF(Skills!H6&gt;0,IF(Inputs!$B$39="pvp",MIN(Skills!I6,15),Skills!I6)/Skills!H6,1)</f>
        <v/>
      </c>
      <c r="H1606">
        <f>1-(1-Skills!J6/100)^Skills!K6</f>
        <v/>
      </c>
      <c r="I1606" t="inlineStr">
        <is>
          <t>1</t>
        </is>
      </c>
      <c r="J1606">
        <f>((Inputs!$B$6*(1+Inputs!$B$7/100))+(((Inputs!$B$12*(1+Inputs!$B$13/100))-(Inputs!$B$12*(1+Inputs!$B$13/100)))+0.25*(Inputs!$B$14-Inputs!$B$14))*(1+Inputs!$B$7/100))*(F1606/100)</f>
        <v/>
      </c>
      <c r="K1606">
        <f>J1606*(1+((Inputs!$B$12*(1+Inputs!$B$13/100))*0.01+Inputs!$B$14*0.0025)/100)*(1+Inputs!$B$15/100)*(1+Inputs!$B$16/100)*(5000/(6000+Inputs!$B$43*(1-(100*(1-(1-Inputs!$B$19/100)*(1-CHOOSE(ArtifactsInput!$N$40+1,5,6,7,8,9,10)/100)^(ArtifactsInput!$M$40-ArtifactsInput!$M$40)))/100)))*(1+(Inputs!$B$24+((C1631=TRUE)*(F1631-Calc!F31))+((C1618=TRUE)*(F1618-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+2.6666666666666665*IF(C1619=TRUE,F1619,0)/100)*(1+(IF(Skills!A6="CRUEL_STAB",Inputs!$B$17+((C1628=TRUE)*(F1628-Calc!F28))+((IF(AND(Inputs!$B$39&lt;&gt;"pvp",Inputs!$B$44=0),1,IF(IF(Inputs!$B$39="pvp",15,Inputs!$B$44)-(B1645)&lt;=0,1,MAX(0,IF(Inputs!$B$39="pvp",15,Inputs!$B$44)-MAX(5,B1645))/(IF(Inputs!$B$39="pvp",15,Inputs!$B$44)-(B1645))))*(IF(AND(ArtifactsInput!$M$42,((Inputs!$B$9+((C1626=TRUE)*(F1626-Calc!F26))+B1634+(ArtifactsInput!$M$24-ArtifactsInput!$M$24)*CHOOSE(ArtifactsInput!$N$24+1,10,12,14,16,18,20)+IF(ArtifactsInput!$M$10,CHOOSE(ArtifactsInput!$N$10+1,15,18,21,24,27,30)*(IF(Inputs!$B$39="pvp",MIN(15,15)/15,IF(AND(Inputs!$B$39&lt;&gt;"pvp",Inputs!$B$44&gt;0),MIN(15,Inputs!$B$44)/(Inputs!$B$44),0))),0)))&gt;=100),MIN(100,((Inputs!$B$9+((C1626=TRUE)*(F1626-Calc!F26))+B1634+(ArtifactsInput!$M$24-ArtifactsInput!$M$24)*CHOOSE(ArtifactsInput!$N$24+1,10,12,14,16,18,20)+IF(ArtifactsInput!$M$10,CHOOSE(ArtifactsInput!$N$10+1,15,18,21,24,27,30)*(IF(Inputs!$B$39="pvp",MIN(15,15)/15,IF(AND(Inputs!$B$39&lt;&gt;"pvp",Inputs!$B$44&gt;0),MIN(15,Inputs!$B$44)/(Inputs!$B$44),0))),0)))-100),0))*CHOOSE(ArtifactsInput!$N$42+1,0.6,0.72,0.84,0.96,1.08,1.2))),Inputs!$B$18+((C1629=TRUE)*(F1629-Calc!F29))+(IF(AND(Inputs!$B$39&lt;&gt;"pvp",Inputs!$B$44=0),1,IF(IF(Inputs!$B$39="pvp",15,Inputs!$B$44)-(B1645)&lt;=0,1,MAX(0,IF(Inputs!$B$39="pvp",15,Inputs!$B$44)-MAX(5,B1645))/(IF(Inputs!$B$39="pvp",15,Inputs!$B$44)-(B1645))))*IF(AND(ArtifactsInput!$M$42,((Inputs!$B$9+((C1626=TRUE)*(F1626-Calc!F26))+B1634+(ArtifactsInput!$M$24-ArtifactsInput!$M$24)*CHOOSE(ArtifactsInput!$N$24+1,10,12,14,16,18,20)+IF(ArtifactsInput!$M$10,CHOOSE(ArtifactsInput!$N$10+1,15,18,21,24,27,30)*(IF(Inputs!$B$39="pvp",MIN(15,15)/15,IF(AND(Inputs!$B$39&lt;&gt;"pvp",Inputs!$B$44&gt;0),MIN(15,Inputs!$B$44)/(Inputs!$B$44),0))),0)))&gt;=100),CHOOSE(ArtifactsInput!$N$42+1,40,48,56,64,72,80),0))))/100)*(((1+(((C1622=TRUE)*F1622*IF(AND(Inputs!$B$39&lt;&gt;"pvp",Inputs!$B$44&gt;0),(((R1622-1)*MIN((Skills!Y22*(1+Inputs!$B$34/100)),(1/Q1622))+MIN((Skills!Y22*(1+Inputs!$B$34/100)),MAX(0,Inputs!$B$44-((R1622-1)*(1/Q1622)))))/Inputs!$B$44),IF(Inputs!$B$39="pvp",MIN((Skills!Y22*(1+Inputs!$B$34/100)),15)/15,MIN(1,(Skills!Y22*(1+Inputs!$B$34/100))/(1/Q1622)))))+((C1603=TRUE)*F1603*3)+((C1605=TRUE)*F1605*(1-EXP(-0.75*B1638*5)))+((C1624=TRUE)*(F1624-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1611=TRUE)*F1611*IF(AND(Inputs!$B$39&lt;&gt;"pvp",Inputs!$B$44&gt;0),(((R1611-1)*MIN((Skills!Y11*(1+Inputs!$B$34/100)),(1/Q1611))+MIN((Skills!Y11*(1+Inputs!$B$34/100)),MAX(0,Inputs!$B$44-((R1611-1)*(1/Q1611)))))/Inputs!$B$44),IF(Inputs!$B$39="pvp",MIN((Skills!Y11*(1+Inputs!$B$34/100)),15)/15,MIN(1,(Skills!Y11*(1+Inputs!$B$34/100))/(1/Q1611)))))/100)*(1+((C1616=TRUE)*F1616*IF(AND(Inputs!$B$39&lt;&gt;"pvp",Inputs!$B$44&gt;0),(((R1616-1)*MIN((Skills!Y16*(1+Inputs!$B$34/100)),(1/Q1616))+MIN((Skills!Y16*(1+Inputs!$B$34/100)),MAX(0,Inputs!$B$44-((R1616-1)*(1/Q1616)))))/Inputs!$B$44),IF(Inputs!$B$39="pvp",MIN((Skills!Y16*(1+Inputs!$B$34/100)),15)/15,MIN(1,(Skills!Y16*(1+Inputs!$B$34/100))/(1/Q1616)))))/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1636*I1606)</f>
        <v/>
      </c>
      <c r="L1606">
        <f>K1606*(MIN(Inputs!$B$22+((C1625=TRUE)*(F1625-Calc!F25)),(Inputs!$B$23+((C1630=TRUE)*(F1630-Calc!F30))+IF(ArtifactsInput!$M$15,CHOOSE(ArtifactsInput!$N$15+1,25,30,35,40,45,50)/100*(Inputs!$B$11-Inputs!$B$11),0)))/100+(Inputs!$B$23+((C1630=TRUE)*(F1630-Calc!F30))+IF(ArtifactsInput!$M$15,CHOOSE(ArtifactsInput!$N$15+1,25,30,35,40,45,50)/100*(Inputs!$B$11-Inputs!$B$11),0))/100)/2</f>
        <v/>
      </c>
      <c r="M1606">
        <f>L1606*(1+(Inputs!$B$10+((C1627=TRUE)*(F1627-Calc!F27))+B1641+(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1606">
        <f>L1606*(1-MIN((Inputs!$B$9+((C1626=TRUE)*(F1626-Calc!F26))+B1634+(ArtifactsInput!$M$24-ArtifactsInput!$M$24)*CHOOSE(ArtifactsInput!$N$24+1,10,12,14,16,18,20)+(IF(AND(Inputs!$B$39&lt;&gt;"pvp",Inputs!$B$44=0),1,IF(IF(Inputs!$B$39="pvp",15,Inputs!$B$44)-(B1645)&lt;=0,1,MAX(0,IF(Inputs!$B$39="pvp",15,Inputs!$B$44)-MAX(5,B1645))/(IF(Inputs!$B$39="pvp",15,Inputs!$B$44)-(B1645))))*IF(AND(ArtifactsInput!$M$42,((Inputs!$B$9+((C1626=TRUE)*(F1626-Calc!F26))+B1634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1606*(MIN((Inputs!$B$9+((C1626=TRUE)*(F1626-Calc!F26))+B1634+(ArtifactsInput!$M$24-ArtifactsInput!$M$24)*CHOOSE(ArtifactsInput!$N$24+1,10,12,14,16,18,20)+(IF(AND(Inputs!$B$39&lt;&gt;"pvp",Inputs!$B$44=0),1,IF(IF(Inputs!$B$39="pvp",15,Inputs!$B$44)-(B1645)&lt;=0,1,MAX(0,IF(Inputs!$B$39="pvp",15,Inputs!$B$44)-MAX(5,B1645))/(IF(Inputs!$B$39="pvp",15,Inputs!$B$44)-(B1645))))*IF(AND(ArtifactsInput!$M$42,((Inputs!$B$9+((C1626=TRUE)*(F1626-Calc!F26))+B1634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606">
        <f>(1-Summary!$B$11)*T1606+Summary!$B$11*V1606</f>
        <v/>
      </c>
      <c r="P1606">
        <f>IF(B1646=0,0,O1606/B1646)</f>
        <v/>
      </c>
      <c r="Q1606">
        <f>IFERROR(1/IF(Inputs!$B$39="pvp",15,MAX(0.1,Skills!D6-IF(TRUE=TRUE,Inputs!$B$32,0))),0)</f>
        <v/>
      </c>
      <c r="R1606">
        <f>IF(AND(Inputs!$B$39&lt;&gt;"pvp",Inputs!$B$44&gt;0),IF(MAX(0,Inputs!$B$44-B1645)&lt;=0,0,(INT(MAX(0,Inputs!$B$44-B1645)/IF(Inputs!$B$39="pvp",15,MAX(0.1,Skills!D6-IF(TRUE=TRUE,Inputs!$B$32,0))))+1)),0)</f>
        <v/>
      </c>
      <c r="S1606">
        <f>IFERROR(O1606/N1606,0)</f>
        <v/>
      </c>
      <c r="T1606">
        <f>IF(C1606,(H1606*N1606*IF(AND(Inputs!$B$39&lt;&gt;"pvp",Inputs!$B$44&gt;0),((Skills!G6*((R1606-1)*IF(Skills!H6&gt;0,Skills!I6/Skills!H6,1)+IF(Skills!H6&gt;0,MIN(Skills!I6,MAX(0,MAX(0,Inputs!$B$44-B1645)-((R1606-1)*IF(Inputs!$B$39="pvp",15,MAX(0.1,Skills!D6-IF(TRUE=TRUE,Inputs!$B$32,0))))))/Skills!H6,1)))/Inputs!$B$44),G1606*Q1606))*IF(Inputs!$B$39="pvp",1,1+(Inputs!$B$20+0+Skills!P6+B1635+(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Hunt"),CHOOSE(ArtifactsInput!$N$35+1,15,18,21,24,27,30)*(1-EXP(-(0.2*B1638)*5)),0)+IF(AND(ArtifactsInput!$M$22,Inputs!$B$4&lt;&gt;"Chapter Hunt"),CHOOSE(ArtifactsInput!$N$22+1,10,12,14,16,18,20)*((0*(((0.15*B1638*5))^0/1)+1*(((0.15*B1638*5))^1/1)+2*(((0.15*B1638*5))^2/2)+3*(((0.15*B1638*5))^3/6)+4*(((0.15*B1638*5))^4/24)+5*(((0.15*B1638*5))^5/120))/((((0.15*B1638*5))^0/1)+(((0.15*B1638*5))^1/1)+(((0.15*B1638*5))^2/2)+(((0.15*B1638*5))^3/6)+(((0.15*B1638*5))^4/24)+(((0.15*B1638*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1606*(1-MIN(100,(Inputs!$B$9+((C1626=TRUE)*(F1626-Calc!F26))+B1634+(ArtifactsInput!$M$24-ArtifactsInput!$M$24)*CHOOSE(ArtifactsInput!$N$24+1,10,12,14,16,18,20)+(IF(AND(Inputs!$B$39&lt;&gt;"pvp",Inputs!$B$44=0),1,IF(IF(Inputs!$B$39="pvp",15,Inputs!$B$44)-(B1645)&lt;=0,1,MAX(0,IF(Inputs!$B$39="pvp",15,Inputs!$B$44)-MAX(5,B1645))/(IF(Inputs!$B$39="pvp",15,Inputs!$B$44)-(B1645))))*IF(AND(ArtifactsInput!$M$42,((Inputs!$B$9+((C1626=TRUE)*(F1626-Calc!F26))+B1634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IF(ArtifactsInput!$M$8,FALSE,TRUE),Inputs!$B$39&lt;&gt;"pvp"),CHOOSE(ArtifactsInput!$N$8+1,8,9.6,11.2,12.8,14.4,16),0))/100)+M1606*(MIN(100,(Inputs!$B$9+((C1626=TRUE)*(F1626-Calc!F26))+B1634+(ArtifactsInput!$M$24-ArtifactsInput!$M$24)*CHOOSE(ArtifactsInput!$N$24+1,10,12,14,16,18,20)+(IF(AND(Inputs!$B$39&lt;&gt;"pvp",Inputs!$B$44=0),1,IF(IF(Inputs!$B$39="pvp",15,Inputs!$B$44)-(B1645)&lt;=0,1,MAX(0,IF(Inputs!$B$39="pvp",15,Inputs!$B$44)-MAX(5,B1645))/(IF(Inputs!$B$39="pvp",15,Inputs!$B$44)-(B1645))))*IF(AND(ArtifactsInput!$M$42,((Inputs!$B$9+((C1626=TRUE)*(F1626-Calc!F26))+B1634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IF(ArtifactsInput!$M$8,FALSE,TRUE),Inputs!$B$39&lt;&gt;"pvp"),CHOOSE(ArtifactsInput!$N$8+1,8,9.6,11.2,12.8,14.4,16),0))/100))/(L1606*(1-MIN(100,(Inputs!$B$9+((C1626=TRUE)*(F1626-Calc!F26))+B1634+(ArtifactsInput!$M$24-ArtifactsInput!$M$24)*CHOOSE(ArtifactsInput!$N$24+1,10,12,14,16,18,20)+(IF(AND(Inputs!$B$39&lt;&gt;"pvp",Inputs!$B$44=0),1,IF(IF(Inputs!$B$39="pvp",15,Inputs!$B$44)-(B1645)&lt;=0,1,MAX(0,IF(Inputs!$B$39="pvp",15,Inputs!$B$44)-MAX(5,B1645))/(IF(Inputs!$B$39="pvp",15,Inputs!$B$44)-(B1645))))*IF(AND(ArtifactsInput!$M$42,((Inputs!$B$9+((C1626=TRUE)*(F1626-Calc!F26))+B1634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1606*(MIN(100,(Inputs!$B$9+((C1626=TRUE)*(F1626-Calc!F26))+B1634+(ArtifactsInput!$M$24-ArtifactsInput!$M$24)*CHOOSE(ArtifactsInput!$N$24+1,10,12,14,16,18,20)+(IF(AND(Inputs!$B$39&lt;&gt;"pvp",Inputs!$B$44=0),1,IF(IF(Inputs!$B$39="pvp",15,Inputs!$B$44)-(B1645)&lt;=0,1,MAX(0,IF(Inputs!$B$39="pvp",15,Inputs!$B$44)-MAX(5,B1645))/(IF(Inputs!$B$39="pvp",15,Inputs!$B$44)-(B1645))))*IF(AND(ArtifactsInput!$M$42,((Inputs!$B$9+((C1626=TRUE)*(F1626-Calc!F26))+B1634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1606">
        <f>IF(C1606,(H1606*N1606*IF(AND(Inputs!$B$39&lt;&gt;"pvp",Inputs!$B$44&gt;0),((Skills!G6*((R1606-1)*IF(Skills!H6&gt;0,Skills!I6/Skills!H6,1)+IF(Skills!H6&gt;0,MIN(Skills!I6,MAX(0,MAX(0,Inputs!$B$44-B1645)-((R1606-1)*IF(Inputs!$B$39="pvp",15,MAX(0.1,Skills!D6-IF(TRUE=TRUE,Inputs!$B$32,0))))))/Skills!H6,1)))/Inputs!$B$44),G1606*Q1606))*IF(Inputs!$B$39="pvp",1,(1+(Inputs!$B$21+Skills!Q6+B1635+(IF(ArtifactsInput!$M$33,CHOOSE(ArtifactsInput!$N$33+1,30,36,42,48,54,60),0))+(IF(AND(ArtifactsInput!$M$35,Inputs!$B$4&lt;&gt;"Chapter Hunt"),CHOOSE(ArtifactsInput!$N$35+1,15,18,21,24,27,30)*(1-EXP(-(0.2*B1638)*5)),0)+IF(AND(ArtifactsInput!$M$22,Inputs!$B$4&lt;&gt;"Chapter Hunt"),CHOOSE(ArtifactsInput!$N$22+1,10,12,14,16,18,20)*((0*(((0.15*B1638*5))^0/1)+1*(((0.15*B1638*5))^1/1)+2*(((0.15*B1638*5))^2/2)+3*(((0.15*B1638*5))^3/6)+4*(((0.15*B1638*5))^4/24)+5*(((0.15*B1638*5))^5/120))/((((0.15*B1638*5))^0/1)+(((0.15*B1638*5))^1/1)+(((0.15*B1638*5))^2/2)+(((0.15*B1638*5))^3/6)+(((0.15*B1638*5))^4/24)+(((0.15*B1638*5))^5/120))),0)))/100)*(MIN(Skills!W6,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607">
      <c r="A1607">
        <f>Skills!A7</f>
        <v/>
      </c>
      <c r="B1607">
        <f>Skills!B7</f>
        <v/>
      </c>
      <c r="C1607">
        <f>Inputs!$B$3&gt;=69</f>
        <v/>
      </c>
      <c r="D1607">
        <f>IF(Skills!C7=1,60+Inputs!$B$25+Inputs!$B$29,IF(Skills!C7=2,90+Inputs!$B$26+Inputs!$B$29,IF(Skills!C7=3,120+Inputs!$B$27+Inputs!$B$29,MAX(0,(Inputs!$B$3-100)*3)+Inputs!$B$28+Inputs!$B$29)))</f>
        <v/>
      </c>
      <c r="E1607">
        <f>INDEX(FactorTable!$B$2:$Y$301, MATCH(ROUND(MIN(300,MAX(1,D1607)),0), FactorTable!$A$2:$A$301,0), Skills!M7+1)</f>
        <v/>
      </c>
      <c r="F1607">
        <f>IF(Skills!N7=TRUE,(Skills!L7/10)*(E1607/1000),Skills!L7/10)+Skills!O7</f>
        <v/>
      </c>
      <c r="G1607">
        <f>Skills!G7*IF(Skills!H7&gt;0,IF(Inputs!$B$39="pvp",MIN(Skills!I7,15),Skills!I7)/Skills!H7,1)</f>
        <v/>
      </c>
      <c r="H1607">
        <f>1-(1-Skills!J7/100)^Skills!K7</f>
        <v/>
      </c>
      <c r="I1607" t="inlineStr">
        <is>
          <t>1</t>
        </is>
      </c>
      <c r="J1607">
        <f>((Inputs!$B$6*(1+Inputs!$B$7/100))+(((Inputs!$B$12*(1+Inputs!$B$13/100))-(Inputs!$B$12*(1+Inputs!$B$13/100)))+0.25*(Inputs!$B$14-Inputs!$B$14))*(1+Inputs!$B$7/100))*(F1607/100)</f>
        <v/>
      </c>
      <c r="K1607">
        <f>J1607*(1+((Inputs!$B$12*(1+Inputs!$B$13/100))*0.01+Inputs!$B$14*0.0025)/100)*(1+Inputs!$B$15/100)*(1+Inputs!$B$16/100)*(5000/(6000+Inputs!$B$43*(1-(100*(1-(1-Inputs!$B$19/100)*(1-CHOOSE(ArtifactsInput!$N$40+1,5,6,7,8,9,10)/100)^(ArtifactsInput!$M$40-ArtifactsInput!$M$40)))/100)))*(1+(Inputs!$B$24+((C1631=TRUE)*(F1631-Calc!F31))+((C1618=TRUE)*(F1618-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1619=TRUE,F1619,0)/100)*(1+(IF(Skills!A7="CRUEL_STAB",Inputs!$B$17+((C1628=TRUE)*(F1628-Calc!F28))+((IF(AND(Inputs!$B$39&lt;&gt;"pvp",Inputs!$B$44=0),1,IF(IF(Inputs!$B$39="pvp",15,Inputs!$B$44)-(B1645)&lt;=0,1,MAX(0,IF(Inputs!$B$39="pvp",15,Inputs!$B$44)-MAX(5,B1645))/(IF(Inputs!$B$39="pvp",15,Inputs!$B$44)-(B1645))))*(IF(AND(ArtifactsInput!$M$42,((Inputs!$B$9+((C1626=TRUE)*(F1626-Calc!F26))+B1634+(ArtifactsInput!$M$24-ArtifactsInput!$M$24)*CHOOSE(ArtifactsInput!$N$24+1,10,12,14,16,18,20)+IF(ArtifactsInput!$M$10,CHOOSE(ArtifactsInput!$N$10+1,15,18,21,24,27,30)*(IF(Inputs!$B$39="pvp",MIN(15,15)/15,IF(AND(Inputs!$B$39&lt;&gt;"pvp",Inputs!$B$44&gt;0),MIN(15,Inputs!$B$44)/(Inputs!$B$44),0))),0)))&gt;=100),MIN(100,((Inputs!$B$9+((C1626=TRUE)*(F1626-Calc!F26))+B1634+(ArtifactsInput!$M$24-ArtifactsInput!$M$24)*CHOOSE(ArtifactsInput!$N$24+1,10,12,14,16,18,20)+IF(ArtifactsInput!$M$10,CHOOSE(ArtifactsInput!$N$10+1,15,18,21,24,27,30)*(IF(Inputs!$B$39="pvp",MIN(15,15)/15,IF(AND(Inputs!$B$39&lt;&gt;"pvp",Inputs!$B$44&gt;0),MIN(15,Inputs!$B$44)/(Inputs!$B$44),0))),0)))-100),0))*CHOOSE(ArtifactsInput!$N$42+1,0.6,0.72,0.84,0.96,1.08,1.2))),Inputs!$B$18+((C1629=TRUE)*(F1629-Calc!F29))+(IF(AND(Inputs!$B$39&lt;&gt;"pvp",Inputs!$B$44=0),1,IF(IF(Inputs!$B$39="pvp",15,Inputs!$B$44)-(B1645)&lt;=0,1,MAX(0,IF(Inputs!$B$39="pvp",15,Inputs!$B$44)-MAX(5,B1645))/(IF(Inputs!$B$39="pvp",15,Inputs!$B$44)-(B1645))))*IF(AND(ArtifactsInput!$M$42,((Inputs!$B$9+((C1626=TRUE)*(F1626-Calc!F26))+B1634+(ArtifactsInput!$M$24-ArtifactsInput!$M$24)*CHOOSE(ArtifactsInput!$N$24+1,10,12,14,16,18,20)+IF(ArtifactsInput!$M$10,CHOOSE(ArtifactsInput!$N$10+1,15,18,21,24,27,30)*(IF(Inputs!$B$39="pvp",MIN(15,15)/15,IF(AND(Inputs!$B$39&lt;&gt;"pvp",Inputs!$B$44&gt;0),MIN(15,Inputs!$B$44)/(Inputs!$B$44),0))),0)))&gt;=100),CHOOSE(ArtifactsInput!$N$42+1,40,48,56,64,72,80),0))))/100)*(((1+(((C1622=TRUE)*F1622*IF(AND(Inputs!$B$39&lt;&gt;"pvp",Inputs!$B$44&gt;0),(((R1622-1)*MIN((Skills!Y22*(1+Inputs!$B$34/100)),(1/Q1622))+MIN((Skills!Y22*(1+Inputs!$B$34/100)),MAX(0,Inputs!$B$44-((R1622-1)*(1/Q1622)))))/Inputs!$B$44),IF(Inputs!$B$39="pvp",MIN((Skills!Y22*(1+Inputs!$B$34/100)),15)/15,MIN(1,(Skills!Y22*(1+Inputs!$B$34/100))/(1/Q1622)))))+((C1603=TRUE)*F1603*3)+((C1605=TRUE)*F1605*(1-EXP(-0.75*B1638*5)))+((C1624=TRUE)*(F1624-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1611=TRUE)*F1611*IF(AND(Inputs!$B$39&lt;&gt;"pvp",Inputs!$B$44&gt;0),(((R1611-1)*MIN((Skills!Y11*(1+Inputs!$B$34/100)),(1/Q1611))+MIN((Skills!Y11*(1+Inputs!$B$34/100)),MAX(0,Inputs!$B$44-((R1611-1)*(1/Q1611)))))/Inputs!$B$44),IF(Inputs!$B$39="pvp",MIN((Skills!Y11*(1+Inputs!$B$34/100)),15)/15,MIN(1,(Skills!Y11*(1+Inputs!$B$34/100))/(1/Q1611)))))/100)*(1+((C1616=TRUE)*F1616*IF(AND(Inputs!$B$39&lt;&gt;"pvp",Inputs!$B$44&gt;0),(((R1616-1)*MIN((Skills!Y16*(1+Inputs!$B$34/100)),(1/Q1616))+MIN((Skills!Y16*(1+Inputs!$B$34/100)),MAX(0,Inputs!$B$44-((R1616-1)*(1/Q1616)))))/Inputs!$B$44),IF(Inputs!$B$39="pvp",MIN((Skills!Y16*(1+Inputs!$B$34/100)),15)/15,MIN(1,(Skills!Y16*(1+Inputs!$B$34/100))/(1/Q1616)))))/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1636*I1607)</f>
        <v/>
      </c>
      <c r="L1607">
        <f>K1607*(MIN(Inputs!$B$22+((C1625=TRUE)*(F1625-Calc!F25)),(Inputs!$B$23+((C1630=TRUE)*(F1630-Calc!F30))+IF(ArtifactsInput!$M$15,CHOOSE(ArtifactsInput!$N$15+1,25,30,35,40,45,50)/100*(Inputs!$B$11-Inputs!$B$11),0)))/100+(Inputs!$B$23+((C1630=TRUE)*(F1630-Calc!F30))+IF(ArtifactsInput!$M$15,CHOOSE(ArtifactsInput!$N$15+1,25,30,35,40,45,50)/100*(Inputs!$B$11-Inputs!$B$11),0))/100)/2</f>
        <v/>
      </c>
      <c r="M1607">
        <f>L1607*(1+(Inputs!$B$10+((C1627=TRUE)*(F1627-Calc!F27))+B1641+(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1607">
        <f>L1607*(1-MIN((Inputs!$B$9+((C1626=TRUE)*(F1626-Calc!F26))+B1634+(ArtifactsInput!$M$24-ArtifactsInput!$M$24)*CHOOSE(ArtifactsInput!$N$24+1,10,12,14,16,18,20)+(IF(AND(Inputs!$B$39&lt;&gt;"pvp",Inputs!$B$44=0),1,IF(IF(Inputs!$B$39="pvp",15,Inputs!$B$44)-(B1645)&lt;=0,1,MAX(0,IF(Inputs!$B$39="pvp",15,Inputs!$B$44)-MAX(5,B1645))/(IF(Inputs!$B$39="pvp",15,Inputs!$B$44)-(B1645))))*IF(AND(ArtifactsInput!$M$42,((Inputs!$B$9+((C1626=TRUE)*(F1626-Calc!F26))+B1634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1607*(MIN((Inputs!$B$9+((C1626=TRUE)*(F1626-Calc!F26))+B1634+(ArtifactsInput!$M$24-ArtifactsInput!$M$24)*CHOOSE(ArtifactsInput!$N$24+1,10,12,14,16,18,20)+(IF(AND(Inputs!$B$39&lt;&gt;"pvp",Inputs!$B$44=0),1,IF(IF(Inputs!$B$39="pvp",15,Inputs!$B$44)-(B1645)&lt;=0,1,MAX(0,IF(Inputs!$B$39="pvp",15,Inputs!$B$44)-MAX(5,B1645))/(IF(Inputs!$B$39="pvp",15,Inputs!$B$44)-(B1645))))*IF(AND(ArtifactsInput!$M$42,((Inputs!$B$9+((C1626=TRUE)*(F1626-Calc!F26))+B1634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607">
        <f>(1-Summary!$B$11)*T1607+Summary!$B$11*V1607</f>
        <v/>
      </c>
      <c r="P1607">
        <f>IF(B1646=0,0,O1607/B1646)</f>
        <v/>
      </c>
      <c r="Q1607">
        <f>IFERROR(1/IF(Inputs!$B$39="pvp",15,MAX(0.1,Skills!D7-IF(TRUE=TRUE,Inputs!$B$32,0))),0)</f>
        <v/>
      </c>
      <c r="R1607">
        <f>IF(AND(Inputs!$B$39&lt;&gt;"pvp",Inputs!$B$44&gt;0),IF(MAX(0,Inputs!$B$44-B1645)&lt;=0,0,(INT(MAX(0,Inputs!$B$44-B1645)/IF(Inputs!$B$39="pvp",15,MAX(0.1,Skills!D7-IF(TRUE=TRUE,Inputs!$B$32,0))))+1)),0)</f>
        <v/>
      </c>
      <c r="S1607">
        <f>IFERROR(O1607/N1607,0)</f>
        <v/>
      </c>
      <c r="T1607">
        <f>IF(C1607,(H1607*N1607*IF(AND(Inputs!$B$39&lt;&gt;"pvp",Inputs!$B$44&gt;0),((Skills!G7*((R1607-1)*IF(Skills!H7&gt;0,Skills!I7/Skills!H7,1)+IF(Skills!H7&gt;0,MIN(Skills!I7,MAX(0,MAX(0,Inputs!$B$44-B1645)-((R1607-1)*IF(Inputs!$B$39="pvp",15,MAX(0.1,Skills!D7-IF(TRUE=TRUE,Inputs!$B$32,0))))))/Skills!H7,1)))/Inputs!$B$44),G1607*Q1607))*IF(Inputs!$B$39="pvp",1,1+(Inputs!$B$20+0+Skills!P7+B1635+(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Hunt"),CHOOSE(ArtifactsInput!$N$35+1,15,18,21,24,27,30)*(1-EXP(-(0.2*B1638)*5)),0)+IF(AND(ArtifactsInput!$M$22,Inputs!$B$4&lt;&gt;"Chapter Hunt"),CHOOSE(ArtifactsInput!$N$22+1,10,12,14,16,18,20)*((0*(((0.15*B1638*5))^0/1)+1*(((0.15*B1638*5))^1/1)+2*(((0.15*B1638*5))^2/2)+3*(((0.15*B1638*5))^3/6)+4*(((0.15*B1638*5))^4/24)+5*(((0.15*B1638*5))^5/120))/((((0.15*B1638*5))^0/1)+(((0.15*B1638*5))^1/1)+(((0.15*B1638*5))^2/2)+(((0.15*B1638*5))^3/6)+(((0.15*B1638*5))^4/24)+(((0.15*B1638*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1607*(1-MIN(100,(Inputs!$B$9+((C1626=TRUE)*(F1626-Calc!F26))+B1634+(ArtifactsInput!$M$24-ArtifactsInput!$M$24)*CHOOSE(ArtifactsInput!$N$24+1,10,12,14,16,18,20)+(IF(AND(Inputs!$B$39&lt;&gt;"pvp",Inputs!$B$44=0),1,IF(IF(Inputs!$B$39="pvp",15,Inputs!$B$44)-(B1645)&lt;=0,1,MAX(0,IF(Inputs!$B$39="pvp",15,Inputs!$B$44)-MAX(5,B1645))/(IF(Inputs!$B$39="pvp",15,Inputs!$B$44)-(B1645))))*IF(AND(ArtifactsInput!$M$42,((Inputs!$B$9+((C1626=TRUE)*(F1626-Calc!F26))+B1634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IF(ArtifactsInput!$M$8,FALSE,TRUE),Inputs!$B$39&lt;&gt;"pvp"),CHOOSE(ArtifactsInput!$N$8+1,8,9.6,11.2,12.8,14.4,16),0))/100)+M1607*(MIN(100,(Inputs!$B$9+((C1626=TRUE)*(F1626-Calc!F26))+B1634+(ArtifactsInput!$M$24-ArtifactsInput!$M$24)*CHOOSE(ArtifactsInput!$N$24+1,10,12,14,16,18,20)+(IF(AND(Inputs!$B$39&lt;&gt;"pvp",Inputs!$B$44=0),1,IF(IF(Inputs!$B$39="pvp",15,Inputs!$B$44)-(B1645)&lt;=0,1,MAX(0,IF(Inputs!$B$39="pvp",15,Inputs!$B$44)-MAX(5,B1645))/(IF(Inputs!$B$39="pvp",15,Inputs!$B$44)-(B1645))))*IF(AND(ArtifactsInput!$M$42,((Inputs!$B$9+((C1626=TRUE)*(F1626-Calc!F26))+B1634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IF(ArtifactsInput!$M$8,FALSE,TRUE),Inputs!$B$39&lt;&gt;"pvp"),CHOOSE(ArtifactsInput!$N$8+1,8,9.6,11.2,12.8,14.4,16),0))/100))/(L1607*(1-MIN(100,(Inputs!$B$9+((C1626=TRUE)*(F1626-Calc!F26))+B1634+(ArtifactsInput!$M$24-ArtifactsInput!$M$24)*CHOOSE(ArtifactsInput!$N$24+1,10,12,14,16,18,20)+(IF(AND(Inputs!$B$39&lt;&gt;"pvp",Inputs!$B$44=0),1,IF(IF(Inputs!$B$39="pvp",15,Inputs!$B$44)-(B1645)&lt;=0,1,MAX(0,IF(Inputs!$B$39="pvp",15,Inputs!$B$44)-MAX(5,B1645))/(IF(Inputs!$B$39="pvp",15,Inputs!$B$44)-(B1645))))*IF(AND(ArtifactsInput!$M$42,((Inputs!$B$9+((C1626=TRUE)*(F1626-Calc!F26))+B1634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1607*(MIN(100,(Inputs!$B$9+((C1626=TRUE)*(F1626-Calc!F26))+B1634+(ArtifactsInput!$M$24-ArtifactsInput!$M$24)*CHOOSE(ArtifactsInput!$N$24+1,10,12,14,16,18,20)+(IF(AND(Inputs!$B$39&lt;&gt;"pvp",Inputs!$B$44=0),1,IF(IF(Inputs!$B$39="pvp",15,Inputs!$B$44)-(B1645)&lt;=0,1,MAX(0,IF(Inputs!$B$39="pvp",15,Inputs!$B$44)-MAX(5,B1645))/(IF(Inputs!$B$39="pvp",15,Inputs!$B$44)-(B1645))))*IF(AND(ArtifactsInput!$M$42,((Inputs!$B$9+((C1626=TRUE)*(F1626-Calc!F26))+B1634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1607">
        <f>IF(C1607,(H1607*N1607*IF(AND(Inputs!$B$39&lt;&gt;"pvp",Inputs!$B$44&gt;0),((Skills!G7*((R1607-1)*IF(Skills!H7&gt;0,Skills!I7/Skills!H7,1)+IF(Skills!H7&gt;0,MIN(Skills!I7,MAX(0,MAX(0,Inputs!$B$44-B1645)-((R1607-1)*IF(Inputs!$B$39="pvp",15,MAX(0.1,Skills!D7-IF(TRUE=TRUE,Inputs!$B$32,0))))))/Skills!H7,1)))/Inputs!$B$44),G1607*Q1607))*IF(Inputs!$B$39="pvp",1,(1+(Inputs!$B$21+Skills!Q7+B1635+(IF(ArtifactsInput!$M$33,CHOOSE(ArtifactsInput!$N$33+1,30,36,42,48,54,60),0))+(IF(AND(ArtifactsInput!$M$35,Inputs!$B$4&lt;&gt;"Chapter Hunt"),CHOOSE(ArtifactsInput!$N$35+1,15,18,21,24,27,30)*(1-EXP(-(0.2*B1638)*5)),0)+IF(AND(ArtifactsInput!$M$22,Inputs!$B$4&lt;&gt;"Chapter Hunt"),CHOOSE(ArtifactsInput!$N$22+1,10,12,14,16,18,20)*((0*(((0.15*B1638*5))^0/1)+1*(((0.15*B1638*5))^1/1)+2*(((0.15*B1638*5))^2/2)+3*(((0.15*B1638*5))^3/6)+4*(((0.15*B1638*5))^4/24)+5*(((0.15*B1638*5))^5/120))/((((0.15*B1638*5))^0/1)+(((0.15*B1638*5))^1/1)+(((0.15*B1638*5))^2/2)+(((0.15*B1638*5))^3/6)+(((0.15*B1638*5))^4/24)+(((0.15*B1638*5))^5/120))),0)))/100)*(MIN(Skills!W7,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608">
      <c r="A1608">
        <f>Skills!A8</f>
        <v/>
      </c>
      <c r="B1608">
        <f>Skills!B8</f>
        <v/>
      </c>
      <c r="C1608">
        <f>Inputs!$B$3&gt;=60</f>
        <v/>
      </c>
      <c r="D1608">
        <f>IF(Skills!C8=1,60+Inputs!$B$25+Inputs!$B$29,IF(Skills!C8=2,90+Inputs!$B$26+Inputs!$B$29,IF(Skills!C8=3,120+Inputs!$B$27+Inputs!$B$29,MAX(0,(Inputs!$B$3-100)*3)+Inputs!$B$28+Inputs!$B$29)))</f>
        <v/>
      </c>
      <c r="E1608">
        <f>INDEX(FactorTable!$B$2:$Y$301, MATCH(ROUND(MIN(300,MAX(1,D1608)),0), FactorTable!$A$2:$A$301,0), Skills!M8+1)</f>
        <v/>
      </c>
      <c r="F1608">
        <f>IF(Skills!N8=TRUE,(Skills!L8/10)*(E1608/1000),Skills!L8/10)+Skills!O8</f>
        <v/>
      </c>
      <c r="G1608">
        <f>Skills!G8*IF(Skills!H8&gt;0,IF(Inputs!$B$39="pvp",MIN(Skills!I8,15),Skills!I8)/Skills!H8,1)</f>
        <v/>
      </c>
      <c r="H1608">
        <f>1-(1-Skills!J8/100)^Skills!K8</f>
        <v/>
      </c>
      <c r="I1608" t="inlineStr">
        <is>
          <t>1</t>
        </is>
      </c>
      <c r="J1608" t="inlineStr"/>
      <c r="K1608" t="inlineStr"/>
      <c r="L1608" t="inlineStr"/>
      <c r="M1608" t="inlineStr"/>
      <c r="N1608" t="inlineStr"/>
      <c r="O1608">
        <f>(1-Summary!$B$11)*T1608+Summary!$B$11*V1608</f>
        <v/>
      </c>
      <c r="P1608">
        <f>IF(B1646=0,0,O1608/B1646)</f>
        <v/>
      </c>
      <c r="Q1608" t="n">
        <v>0</v>
      </c>
      <c r="R1608" t="n">
        <v>0</v>
      </c>
      <c r="S1608">
        <f>IFERROR(O1608/N1608,0)</f>
        <v/>
      </c>
      <c r="T1608" t="n">
        <v>0</v>
      </c>
      <c r="V1608" t="n">
        <v>0</v>
      </c>
    </row>
    <row r="1609">
      <c r="A1609">
        <f>Skills!A9</f>
        <v/>
      </c>
      <c r="B1609">
        <f>Skills!B9</f>
        <v/>
      </c>
      <c r="C1609">
        <f>Inputs!$B$3&gt;=72</f>
        <v/>
      </c>
      <c r="D1609">
        <f>IF(Skills!C9=1,60+Inputs!$B$25+Inputs!$B$29,IF(Skills!C9=2,90+Inputs!$B$26+Inputs!$B$29,IF(Skills!C9=3,120+Inputs!$B$27+Inputs!$B$29,MAX(0,(Inputs!$B$3-100)*3)+Inputs!$B$28+Inputs!$B$29)))</f>
        <v/>
      </c>
      <c r="E1609">
        <f>INDEX(FactorTable!$B$2:$Y$301, MATCH(ROUND(MIN(300,MAX(1,D1609)),0), FactorTable!$A$2:$A$301,0), Skills!M9+1)</f>
        <v/>
      </c>
      <c r="F1609">
        <f>IF(Skills!N9=TRUE,(Skills!L9/10)*(E1609/1000),Skills!L9/10)+Skills!O9</f>
        <v/>
      </c>
      <c r="G1609">
        <f>Skills!G9*IF(Skills!H9&gt;0,IF(Inputs!$B$39="pvp",MIN(Skills!I9,15),Skills!I9)/Skills!H9,1)</f>
        <v/>
      </c>
      <c r="H1609">
        <f>1-(1-Skills!J9/100)^Skills!K9</f>
        <v/>
      </c>
      <c r="I1609" t="inlineStr">
        <is>
          <t>1</t>
        </is>
      </c>
      <c r="J1609">
        <f>((Inputs!$B$6*(1+Inputs!$B$7/100))+(((Inputs!$B$12*(1+Inputs!$B$13/100))-(Inputs!$B$12*(1+Inputs!$B$13/100)))+0.25*(Inputs!$B$14-Inputs!$B$14))*(1+Inputs!$B$7/100))*(F1609/100)</f>
        <v/>
      </c>
      <c r="K1609">
        <f>J1609*(1+((Inputs!$B$12*(1+Inputs!$B$13/100))*0.01+Inputs!$B$14*0.0025)/100)*(1+Inputs!$B$15/100)*(1+Inputs!$B$16/100)*(5000/(6000+Inputs!$B$43*(1-(100*(1-(1-Inputs!$B$19/100)*(1-CHOOSE(ArtifactsInput!$N$40+1,5,6,7,8,9,10)/100)^(ArtifactsInput!$M$40-ArtifactsInput!$M$40)))/100)))*(1+(Inputs!$B$24+((C1631=TRUE)*(F1631-Calc!F31))+((C1618=TRUE)*(F1618-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+3.3333333333333335*IF(C1619=TRUE,F1619,0)/100)*(1+(IF(Skills!A9="CRUEL_STAB",Inputs!$B$17+((C1628=TRUE)*(F1628-Calc!F28))+((IF(AND(Inputs!$B$39&lt;&gt;"pvp",Inputs!$B$44=0),1,IF(IF(Inputs!$B$39="pvp",15,Inputs!$B$44)-(B1645)&lt;=0,1,MAX(0,IF(Inputs!$B$39="pvp",15,Inputs!$B$44)-MAX(5,B1645))/(IF(Inputs!$B$39="pvp",15,Inputs!$B$44)-(B1645))))*(IF(AND(ArtifactsInput!$M$42,((Inputs!$B$9+((C1626=TRUE)*(F1626-Calc!F26))+B1634+(ArtifactsInput!$M$24-ArtifactsInput!$M$24)*CHOOSE(ArtifactsInput!$N$24+1,10,12,14,16,18,20)+IF(ArtifactsInput!$M$10,CHOOSE(ArtifactsInput!$N$10+1,15,18,21,24,27,30)*(IF(Inputs!$B$39="pvp",MIN(15,15)/15,IF(AND(Inputs!$B$39&lt;&gt;"pvp",Inputs!$B$44&gt;0),MIN(15,Inputs!$B$44)/(Inputs!$B$44),0))),0)))&gt;=100),MIN(100,((Inputs!$B$9+((C1626=TRUE)*(F1626-Calc!F26))+B1634+(ArtifactsInput!$M$24-ArtifactsInput!$M$24)*CHOOSE(ArtifactsInput!$N$24+1,10,12,14,16,18,20)+IF(ArtifactsInput!$M$10,CHOOSE(ArtifactsInput!$N$10+1,15,18,21,24,27,30)*(IF(Inputs!$B$39="pvp",MIN(15,15)/15,IF(AND(Inputs!$B$39&lt;&gt;"pvp",Inputs!$B$44&gt;0),MIN(15,Inputs!$B$44)/(Inputs!$B$44),0))),0)))-100),0))*CHOOSE(ArtifactsInput!$N$42+1,0.6,0.72,0.84,0.96,1.08,1.2))),Inputs!$B$18+((C1629=TRUE)*(F1629-Calc!F29))+(IF(AND(Inputs!$B$39&lt;&gt;"pvp",Inputs!$B$44=0),1,IF(IF(Inputs!$B$39="pvp",15,Inputs!$B$44)-(B1645)&lt;=0,1,MAX(0,IF(Inputs!$B$39="pvp",15,Inputs!$B$44)-MAX(5,B1645))/(IF(Inputs!$B$39="pvp",15,Inputs!$B$44)-(B1645))))*IF(AND(ArtifactsInput!$M$42,((Inputs!$B$9+((C1626=TRUE)*(F1626-Calc!F26))+B1634+(ArtifactsInput!$M$24-ArtifactsInput!$M$24)*CHOOSE(ArtifactsInput!$N$24+1,10,12,14,16,18,20)+IF(ArtifactsInput!$M$10,CHOOSE(ArtifactsInput!$N$10+1,15,18,21,24,27,30)*(IF(Inputs!$B$39="pvp",MIN(15,15)/15,IF(AND(Inputs!$B$39&lt;&gt;"pvp",Inputs!$B$44&gt;0),MIN(15,Inputs!$B$44)/(Inputs!$B$44),0))),0)))&gt;=100),CHOOSE(ArtifactsInput!$N$42+1,40,48,56,64,72,80),0))))/100)*(((1+(((C1622=TRUE)*F1622*IF(AND(Inputs!$B$39&lt;&gt;"pvp",Inputs!$B$44&gt;0),(((R1622-1)*MIN((Skills!Y22*(1+Inputs!$B$34/100)),(1/Q1622))+MIN((Skills!Y22*(1+Inputs!$B$34/100)),MAX(0,Inputs!$B$44-((R1622-1)*(1/Q1622)))))/Inputs!$B$44),IF(Inputs!$B$39="pvp",MIN((Skills!Y22*(1+Inputs!$B$34/100)),15)/15,MIN(1,(Skills!Y22*(1+Inputs!$B$34/100))/(1/Q1622)))))+((C1603=TRUE)*F1603*3)+((C1605=TRUE)*F1605*(1-EXP(-0.75*B1638*5)))+((C1624=TRUE)*(F1624-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1611=TRUE)*F1611*IF(AND(Inputs!$B$39&lt;&gt;"pvp",Inputs!$B$44&gt;0),(((R1611-1)*MIN((Skills!Y11*(1+Inputs!$B$34/100)),(1/Q1611))+MIN((Skills!Y11*(1+Inputs!$B$34/100)),MAX(0,Inputs!$B$44-((R1611-1)*(1/Q1611)))))/Inputs!$B$44),IF(Inputs!$B$39="pvp",MIN((Skills!Y11*(1+Inputs!$B$34/100)),15)/15,MIN(1,(Skills!Y11*(1+Inputs!$B$34/100))/(1/Q1611)))))/100)*(1+((C1616=TRUE)*F1616*IF(AND(Inputs!$B$39&lt;&gt;"pvp",Inputs!$B$44&gt;0),(((R1616-1)*MIN((Skills!Y16*(1+Inputs!$B$34/100)),(1/Q1616))+MIN((Skills!Y16*(1+Inputs!$B$34/100)),MAX(0,Inputs!$B$44-((R1616-1)*(1/Q1616)))))/Inputs!$B$44),IF(Inputs!$B$39="pvp",MIN((Skills!Y16*(1+Inputs!$B$34/100)),15)/15,MIN(1,(Skills!Y16*(1+Inputs!$B$34/100))/(1/Q1616)))))/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1636*I1609)</f>
        <v/>
      </c>
      <c r="L1609">
        <f>K1609*(MIN(Inputs!$B$22+((C1625=TRUE)*(F1625-Calc!F25)),(Inputs!$B$23+((C1630=TRUE)*(F1630-Calc!F30))+IF(ArtifactsInput!$M$15,CHOOSE(ArtifactsInput!$N$15+1,25,30,35,40,45,50)/100*(Inputs!$B$11-Inputs!$B$11),0)))/100+(Inputs!$B$23+((C1630=TRUE)*(F1630-Calc!F30))+IF(ArtifactsInput!$M$15,CHOOSE(ArtifactsInput!$N$15+1,25,30,35,40,45,50)/100*(Inputs!$B$11-Inputs!$B$11),0))/100)/2</f>
        <v/>
      </c>
      <c r="M1609">
        <f>L1609*(1+(Inputs!$B$10+((C1627=TRUE)*(F1627-Calc!F27))+B1641+(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1609">
        <f>L1609*(1-MIN((Inputs!$B$9+((C1626=TRUE)*(F1626-Calc!F26))+B1634+(ArtifactsInput!$M$24-ArtifactsInput!$M$24)*CHOOSE(ArtifactsInput!$N$24+1,10,12,14,16,18,20)+(IF(AND(Inputs!$B$39&lt;&gt;"pvp",Inputs!$B$44=0),1,IF(IF(Inputs!$B$39="pvp",15,Inputs!$B$44)-(B1645)&lt;=0,1,MAX(0,IF(Inputs!$B$39="pvp",15,Inputs!$B$44)-MAX(5,B1645))/(IF(Inputs!$B$39="pvp",15,Inputs!$B$44)-(B1645))))*IF(AND(ArtifactsInput!$M$42,((Inputs!$B$9+((C1626=TRUE)*(F1626-Calc!F26))+B1634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1609*(MIN((Inputs!$B$9+((C1626=TRUE)*(F1626-Calc!F26))+B1634+(ArtifactsInput!$M$24-ArtifactsInput!$M$24)*CHOOSE(ArtifactsInput!$N$24+1,10,12,14,16,18,20)+(IF(AND(Inputs!$B$39&lt;&gt;"pvp",Inputs!$B$44=0),1,IF(IF(Inputs!$B$39="pvp",15,Inputs!$B$44)-(B1645)&lt;=0,1,MAX(0,IF(Inputs!$B$39="pvp",15,Inputs!$B$44)-MAX(5,B1645))/(IF(Inputs!$B$39="pvp",15,Inputs!$B$44)-(B1645))))*IF(AND(ArtifactsInput!$M$42,((Inputs!$B$9+((C1626=TRUE)*(F1626-Calc!F26))+B1634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609">
        <f>(1-Summary!$B$11)*T1609+Summary!$B$11*V1609</f>
        <v/>
      </c>
      <c r="P1609">
        <f>IF(B1646=0,0,O1609/B1646)</f>
        <v/>
      </c>
      <c r="Q1609">
        <f>IFERROR(1/IF(Inputs!$B$39="pvp",15,MAX(0.1,Skills!D9-IF(FALSE=TRUE,Inputs!$B$32,0))),0)</f>
        <v/>
      </c>
      <c r="R1609">
        <f>IF(AND(Inputs!$B$39&lt;&gt;"pvp",Inputs!$B$44&gt;0),IF(MAX(0,Inputs!$B$44-B1645)&lt;=0,0,(INT(MAX(0,Inputs!$B$44-B1645)/IF(Inputs!$B$39="pvp",15,MAX(0.1,Skills!D9-IF(FALSE=TRUE,Inputs!$B$32,0))))+1)),0)</f>
        <v/>
      </c>
      <c r="S1609">
        <f>IFERROR(O1609/N1609,0)</f>
        <v/>
      </c>
      <c r="T1609">
        <f>IF(C1609,(H1609*N1609*IF(AND(Inputs!$B$39&lt;&gt;"pvp",Inputs!$B$44&gt;0),((Skills!G9*((R1609-1)*IF(Skills!H9&gt;0,Skills!I9/Skills!H9,1)+IF(Skills!H9&gt;0,MIN(Skills!I9,MAX(0,MAX(0,Inputs!$B$44-B1645)-((R1609-1)*IF(Inputs!$B$39="pvp",15,MAX(0.1,Skills!D9-IF(FALSE=TRUE,Inputs!$B$32,0))))))/Skills!H9,1)))/Inputs!$B$44),G1609*Q1609))*IF(Inputs!$B$39="pvp",1,1+(Inputs!$B$20+0+Skills!P9+B1635+(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Hunt"),CHOOSE(ArtifactsInput!$N$35+1,15,18,21,24,27,30)*(1-EXP(-(0.2*B1638)*5)),0)+IF(AND(ArtifactsInput!$M$22,Inputs!$B$4&lt;&gt;"Chapter Hunt"),CHOOSE(ArtifactsInput!$N$22+1,10,12,14,16,18,20)*((0*(((0.15*B1638*5))^0/1)+1*(((0.15*B1638*5))^1/1)+2*(((0.15*B1638*5))^2/2)+3*(((0.15*B1638*5))^3/6)+4*(((0.15*B1638*5))^4/24)+5*(((0.15*B1638*5))^5/120))/((((0.15*B1638*5))^0/1)+(((0.15*B1638*5))^1/1)+(((0.15*B1638*5))^2/2)+(((0.15*B1638*5))^3/6)+(((0.15*B1638*5))^4/24)+(((0.15*B1638*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1609*(1-MIN(100,(Inputs!$B$9+((C1626=TRUE)*(F1626-Calc!F26))+B1634+(ArtifactsInput!$M$24-ArtifactsInput!$M$24)*CHOOSE(ArtifactsInput!$N$24+1,10,12,14,16,18,20)+(IF(AND(Inputs!$B$39&lt;&gt;"pvp",Inputs!$B$44=0),1,IF(IF(Inputs!$B$39="pvp",15,Inputs!$B$44)-(B1645)&lt;=0,1,MAX(0,IF(Inputs!$B$39="pvp",15,Inputs!$B$44)-MAX(5,B1645))/(IF(Inputs!$B$39="pvp",15,Inputs!$B$44)-(B1645))))*IF(AND(ArtifactsInput!$M$42,((Inputs!$B$9+((C1626=TRUE)*(F1626-Calc!F26))+B1634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IF(ArtifactsInput!$M$8,FALSE,TRUE),Inputs!$B$39&lt;&gt;"pvp"),CHOOSE(ArtifactsInput!$N$8+1,8,9.6,11.2,12.8,14.4,16),0))/100)+M1609*(MIN(100,(Inputs!$B$9+((C1626=TRUE)*(F1626-Calc!F26))+B1634+(ArtifactsInput!$M$24-ArtifactsInput!$M$24)*CHOOSE(ArtifactsInput!$N$24+1,10,12,14,16,18,20)+(IF(AND(Inputs!$B$39&lt;&gt;"pvp",Inputs!$B$44=0),1,IF(IF(Inputs!$B$39="pvp",15,Inputs!$B$44)-(B1645)&lt;=0,1,MAX(0,IF(Inputs!$B$39="pvp",15,Inputs!$B$44)-MAX(5,B1645))/(IF(Inputs!$B$39="pvp",15,Inputs!$B$44)-(B1645))))*IF(AND(ArtifactsInput!$M$42,((Inputs!$B$9+((C1626=TRUE)*(F1626-Calc!F26))+B1634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IF(ArtifactsInput!$M$8,FALSE,TRUE),Inputs!$B$39&lt;&gt;"pvp"),CHOOSE(ArtifactsInput!$N$8+1,8,9.6,11.2,12.8,14.4,16),0))/100))/(L1609*(1-MIN(100,(Inputs!$B$9+((C1626=TRUE)*(F1626-Calc!F26))+B1634+(ArtifactsInput!$M$24-ArtifactsInput!$M$24)*CHOOSE(ArtifactsInput!$N$24+1,10,12,14,16,18,20)+(IF(AND(Inputs!$B$39&lt;&gt;"pvp",Inputs!$B$44=0),1,IF(IF(Inputs!$B$39="pvp",15,Inputs!$B$44)-(B1645)&lt;=0,1,MAX(0,IF(Inputs!$B$39="pvp",15,Inputs!$B$44)-MAX(5,B1645))/(IF(Inputs!$B$39="pvp",15,Inputs!$B$44)-(B1645))))*IF(AND(ArtifactsInput!$M$42,((Inputs!$B$9+((C1626=TRUE)*(F1626-Calc!F26))+B1634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1609*(MIN(100,(Inputs!$B$9+((C1626=TRUE)*(F1626-Calc!F26))+B1634+(ArtifactsInput!$M$24-ArtifactsInput!$M$24)*CHOOSE(ArtifactsInput!$N$24+1,10,12,14,16,18,20)+(IF(AND(Inputs!$B$39&lt;&gt;"pvp",Inputs!$B$44=0),1,IF(IF(Inputs!$B$39="pvp",15,Inputs!$B$44)-(B1645)&lt;=0,1,MAX(0,IF(Inputs!$B$39="pvp",15,Inputs!$B$44)-MAX(5,B1645))/(IF(Inputs!$B$39="pvp",15,Inputs!$B$44)-(B1645))))*IF(AND(ArtifactsInput!$M$42,((Inputs!$B$9+((C1626=TRUE)*(F1626-Calc!F26))+B1634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1609">
        <f>IF(C1609,(H1609*N1609*IF(AND(Inputs!$B$39&lt;&gt;"pvp",Inputs!$B$44&gt;0),((Skills!G9*((R1609-1)*IF(Skills!H9&gt;0,Skills!I9/Skills!H9,1)+IF(Skills!H9&gt;0,MIN(Skills!I9,MAX(0,MAX(0,Inputs!$B$44-B1645)-((R1609-1)*IF(Inputs!$B$39="pvp",15,MAX(0.1,Skills!D9-IF(FALSE=TRUE,Inputs!$B$32,0))))))/Skills!H9,1)))/Inputs!$B$44),G1609*Q1609))*IF(Inputs!$B$39="pvp",1,(1+(Inputs!$B$21+Skills!Q9+B1635+(IF(ArtifactsInput!$M$33,CHOOSE(ArtifactsInput!$N$33+1,30,36,42,48,54,60),0))+(IF(AND(ArtifactsInput!$M$35,Inputs!$B$4&lt;&gt;"Chapter Hunt"),CHOOSE(ArtifactsInput!$N$35+1,15,18,21,24,27,30)*(1-EXP(-(0.2*B1638)*5)),0)+IF(AND(ArtifactsInput!$M$22,Inputs!$B$4&lt;&gt;"Chapter Hunt"),CHOOSE(ArtifactsInput!$N$22+1,10,12,14,16,18,20)*((0*(((0.15*B1638*5))^0/1)+1*(((0.15*B1638*5))^1/1)+2*(((0.15*B1638*5))^2/2)+3*(((0.15*B1638*5))^3/6)+4*(((0.15*B1638*5))^4/24)+5*(((0.15*B1638*5))^5/120))/((((0.15*B1638*5))^0/1)+(((0.15*B1638*5))^1/1)+(((0.15*B1638*5))^2/2)+(((0.15*B1638*5))^3/6)+(((0.15*B1638*5))^4/24)+(((0.15*B1638*5))^5/120))),0)))/100)*(MIN(Skills!W9,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610">
      <c r="A1610">
        <f>Skills!A10</f>
        <v/>
      </c>
      <c r="B1610">
        <f>Skills!B10</f>
        <v/>
      </c>
      <c r="C1610">
        <f>Inputs!$B$3&gt;=117</f>
        <v/>
      </c>
      <c r="D1610">
        <f>IF(Skills!C10=1,60+Inputs!$B$25+Inputs!$B$29,IF(Skills!C10=2,90+Inputs!$B$26+Inputs!$B$29,IF(Skills!C10=3,120+Inputs!$B$27+Inputs!$B$29,MAX(0,(Inputs!$B$3-100)*3)+Inputs!$B$28+Inputs!$B$29)))</f>
        <v/>
      </c>
      <c r="E1610">
        <f>INDEX(FactorTable!$B$2:$Y$301, MATCH(ROUND(MIN(300,MAX(1,D1610)),0), FactorTable!$A$2:$A$301,0), Skills!M10+1)</f>
        <v/>
      </c>
      <c r="F1610">
        <f>IF(Skills!N10=TRUE,(Skills!L10/10)*(E1610/1000),Skills!L10/10)+Skills!O10</f>
        <v/>
      </c>
      <c r="G1610">
        <f>Skills!G10*IF(Skills!H10&gt;0,IF(Inputs!$B$39="pvp",MIN(Skills!I10,15),Skills!I10)/Skills!H10,1)</f>
        <v/>
      </c>
      <c r="H1610">
        <f>1-(1-Skills!J10/100)^Skills!K10</f>
        <v/>
      </c>
      <c r="I1610" t="inlineStr">
        <is>
          <t>1</t>
        </is>
      </c>
      <c r="J1610">
        <f>((Inputs!$B$6*(1+Inputs!$B$7/100))+(((Inputs!$B$12*(1+Inputs!$B$13/100))-(Inputs!$B$12*(1+Inputs!$B$13/100)))+0.25*(Inputs!$B$14-Inputs!$B$14))*(1+Inputs!$B$7/100))*(F1610/100)</f>
        <v/>
      </c>
      <c r="K1610">
        <f>J1610*(1+((Inputs!$B$12*(1+Inputs!$B$13/100))*0.01+Inputs!$B$14*0.0025)/100)*(1+Inputs!$B$15/100)*(1+Inputs!$B$16/100)*(5000/(6000+Inputs!$B$43*(1-(100*(1-(1-Inputs!$B$19/100)*(1-CHOOSE(ArtifactsInput!$N$40+1,5,6,7,8,9,10)/100)^(ArtifactsInput!$M$40-ArtifactsInput!$M$40)))/100)))*(1+(Inputs!$B$24+((C1631=TRUE)*(F1631-Calc!F31))+((C1618=TRUE)*(F1618-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10="CRUEL_STAB",Inputs!$B$17+((C1628=TRUE)*(F1628-Calc!F28))+((IF(AND(Inputs!$B$39&lt;&gt;"pvp",Inputs!$B$44=0),1,IF(IF(Inputs!$B$39="pvp",15,Inputs!$B$44)-(B1645)&lt;=0,1,MAX(0,IF(Inputs!$B$39="pvp",15,Inputs!$B$44)-MAX(5,B1645))/(IF(Inputs!$B$39="pvp",15,Inputs!$B$44)-(B1645))))*(IF(AND(ArtifactsInput!$M$42,((Inputs!$B$9+((C1626=TRUE)*(F1626-Calc!F26))+B1634+(ArtifactsInput!$M$24-ArtifactsInput!$M$24)*CHOOSE(ArtifactsInput!$N$24+1,10,12,14,16,18,20)+IF(ArtifactsInput!$M$10,CHOOSE(ArtifactsInput!$N$10+1,15,18,21,24,27,30)*(IF(Inputs!$B$39="pvp",MIN(15,15)/15,IF(AND(Inputs!$B$39&lt;&gt;"pvp",Inputs!$B$44&gt;0),MIN(15,Inputs!$B$44)/(Inputs!$B$44),0))),0)))&gt;=100),MIN(100,((Inputs!$B$9+((C1626=TRUE)*(F1626-Calc!F26))+B1634+(ArtifactsInput!$M$24-ArtifactsInput!$M$24)*CHOOSE(ArtifactsInput!$N$24+1,10,12,14,16,18,20)+IF(ArtifactsInput!$M$10,CHOOSE(ArtifactsInput!$N$10+1,15,18,21,24,27,30)*(IF(Inputs!$B$39="pvp",MIN(15,15)/15,IF(AND(Inputs!$B$39&lt;&gt;"pvp",Inputs!$B$44&gt;0),MIN(15,Inputs!$B$44)/(Inputs!$B$44),0))),0)))-100),0))*CHOOSE(ArtifactsInput!$N$42+1,0.6,0.72,0.84,0.96,1.08,1.2))),Inputs!$B$18+((C1629=TRUE)*(F1629-Calc!F29))+(IF(AND(Inputs!$B$39&lt;&gt;"pvp",Inputs!$B$44=0),1,IF(IF(Inputs!$B$39="pvp",15,Inputs!$B$44)-(B1645)&lt;=0,1,MAX(0,IF(Inputs!$B$39="pvp",15,Inputs!$B$44)-MAX(5,B1645))/(IF(Inputs!$B$39="pvp",15,Inputs!$B$44)-(B1645))))*IF(AND(ArtifactsInput!$M$42,((Inputs!$B$9+((C1626=TRUE)*(F1626-Calc!F26))+B1634+(ArtifactsInput!$M$24-ArtifactsInput!$M$24)*CHOOSE(ArtifactsInput!$N$24+1,10,12,14,16,18,20)+IF(ArtifactsInput!$M$10,CHOOSE(ArtifactsInput!$N$10+1,15,18,21,24,27,30)*(IF(Inputs!$B$39="pvp",MIN(15,15)/15,IF(AND(Inputs!$B$39&lt;&gt;"pvp",Inputs!$B$44&gt;0),MIN(15,Inputs!$B$44)/(Inputs!$B$44),0))),0)))&gt;=100),CHOOSE(ArtifactsInput!$N$42+1,40,48,56,64,72,80),0))))/100)*(((1+(((C1622=TRUE)*F1622*IF(AND(Inputs!$B$39&lt;&gt;"pvp",Inputs!$B$44&gt;0),(((R1622-1)*MIN((Skills!Y22*(1+Inputs!$B$34/100)),(1/Q1622))+MIN((Skills!Y22*(1+Inputs!$B$34/100)),MAX(0,Inputs!$B$44-((R1622-1)*(1/Q1622)))))/Inputs!$B$44),IF(Inputs!$B$39="pvp",MIN((Skills!Y22*(1+Inputs!$B$34/100)),15)/15,MIN(1,(Skills!Y22*(1+Inputs!$B$34/100))/(1/Q1622)))))+((C1603=TRUE)*F1603*3)+((C1605=TRUE)*F1605*(1-EXP(-0.75*B1638*5)))+((C1624=TRUE)*(F1624-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1611=TRUE)*F1611*IF(AND(Inputs!$B$39&lt;&gt;"pvp",Inputs!$B$44&gt;0),(((R1611-1)*MIN((Skills!Y11*(1+Inputs!$B$34/100)),(1/Q1611))+MIN((Skills!Y11*(1+Inputs!$B$34/100)),MAX(0,Inputs!$B$44-((R1611-1)*(1/Q1611)))))/Inputs!$B$44),IF(Inputs!$B$39="pvp",MIN((Skills!Y11*(1+Inputs!$B$34/100)),15)/15,MIN(1,(Skills!Y11*(1+Inputs!$B$34/100))/(1/Q1611)))))/100)*(1+((C1616=TRUE)*F1616*IF(AND(Inputs!$B$39&lt;&gt;"pvp",Inputs!$B$44&gt;0),(((R1616-1)*MIN((Skills!Y16*(1+Inputs!$B$34/100)),(1/Q1616))+MIN((Skills!Y16*(1+Inputs!$B$34/100)),MAX(0,Inputs!$B$44-((R1616-1)*(1/Q1616)))))/Inputs!$B$44),IF(Inputs!$B$39="pvp",MIN((Skills!Y16*(1+Inputs!$B$34/100)),15)/15,MIN(1,(Skills!Y16*(1+Inputs!$B$34/100))/(1/Q1616)))))/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1636*I1610)</f>
        <v/>
      </c>
      <c r="L1610">
        <f>K1610*(MIN(Inputs!$B$22+((C1625=TRUE)*(F1625-Calc!F25)),(Inputs!$B$23+((C1630=TRUE)*(F1630-Calc!F30))+IF(ArtifactsInput!$M$15,CHOOSE(ArtifactsInput!$N$15+1,25,30,35,40,45,50)/100*(Inputs!$B$11-Inputs!$B$11),0)))/100+(Inputs!$B$23+((C1630=TRUE)*(F1630-Calc!F30))+IF(ArtifactsInput!$M$15,CHOOSE(ArtifactsInput!$N$15+1,25,30,35,40,45,50)/100*(Inputs!$B$11-Inputs!$B$11),0))/100)/2</f>
        <v/>
      </c>
      <c r="M1610">
        <f>L1610*(1+(Inputs!$B$10+((C1627=TRUE)*(F1627-Calc!F27))+B1641+(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1610">
        <f>L1610*(1-MIN((Inputs!$B$9+((C1626=TRUE)*(F1626-Calc!F26))+B1634+(ArtifactsInput!$M$24-ArtifactsInput!$M$24)*CHOOSE(ArtifactsInput!$N$24+1,10,12,14,16,18,20)+(IF(AND(Inputs!$B$39&lt;&gt;"pvp",Inputs!$B$44=0),1,IF(IF(Inputs!$B$39="pvp",15,Inputs!$B$44)-(B1645)&lt;=0,1,MAX(0,IF(Inputs!$B$39="pvp",15,Inputs!$B$44)-MAX(5,B1645))/(IF(Inputs!$B$39="pvp",15,Inputs!$B$44)-(B1645))))*IF(AND(ArtifactsInput!$M$42,((Inputs!$B$9+((C1626=TRUE)*(F1626-Calc!F26))+B1634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1610*(MIN((Inputs!$B$9+((C1626=TRUE)*(F1626-Calc!F26))+B1634+(ArtifactsInput!$M$24-ArtifactsInput!$M$24)*CHOOSE(ArtifactsInput!$N$24+1,10,12,14,16,18,20)+(IF(AND(Inputs!$B$39&lt;&gt;"pvp",Inputs!$B$44=0),1,IF(IF(Inputs!$B$39="pvp",15,Inputs!$B$44)-(B1645)&lt;=0,1,MAX(0,IF(Inputs!$B$39="pvp",15,Inputs!$B$44)-MAX(5,B1645))/(IF(Inputs!$B$39="pvp",15,Inputs!$B$44)-(B1645))))*IF(AND(ArtifactsInput!$M$42,((Inputs!$B$9+((C1626=TRUE)*(F1626-Calc!F26))+B1634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610">
        <f>(1-Summary!$B$11)*T1610+Summary!$B$11*V1610</f>
        <v/>
      </c>
      <c r="P1610">
        <f>IF(B1646=0,0,O1610/B1646)</f>
        <v/>
      </c>
      <c r="Q1610" t="n">
        <v>0</v>
      </c>
      <c r="R1610" t="n">
        <v>0</v>
      </c>
      <c r="S1610" t="n">
        <v>0</v>
      </c>
      <c r="T1610">
        <f>IF(C1610,(0.2*SUMPRODUCT((Skills!Z2:Z31=TRUE)*(C1602:C1631=TRUE)*S1602:S1631)*N1610)*IF(Inputs!$B$39="pvp",1,1+(Inputs!$B$20+0+Skills!P10+B1635+(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Hunt"),CHOOSE(ArtifactsInput!$N$35+1,15,18,21,24,27,30)*(1-EXP(-(0.2*B1638)*5)),0)+IF(AND(ArtifactsInput!$M$22,Inputs!$B$4&lt;&gt;"Chapter Hunt"),CHOOSE(ArtifactsInput!$N$22+1,10,12,14,16,18,20)*((0*(((0.15*B1638*5))^0/1)+1*(((0.15*B1638*5))^1/1)+2*(((0.15*B1638*5))^2/2)+3*(((0.15*B1638*5))^3/6)+4*(((0.15*B1638*5))^4/24)+5*(((0.15*B1638*5))^5/120))/((((0.15*B1638*5))^0/1)+(((0.15*B1638*5))^1/1)+(((0.15*B1638*5))^2/2)+(((0.15*B1638*5))^3/6)+(((0.15*B1638*5))^4/24)+(((0.15*B1638*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1610*(1-MIN(100,(Inputs!$B$9+((C1626=TRUE)*(F1626-Calc!F26))+B1634+(ArtifactsInput!$M$24-ArtifactsInput!$M$24)*CHOOSE(ArtifactsInput!$N$24+1,10,12,14,16,18,20)+(IF(AND(Inputs!$B$39&lt;&gt;"pvp",Inputs!$B$44=0),1,IF(IF(Inputs!$B$39="pvp",15,Inputs!$B$44)-(B1645)&lt;=0,1,MAX(0,IF(Inputs!$B$39="pvp",15,Inputs!$B$44)-MAX(5,B1645))/(IF(Inputs!$B$39="pvp",15,Inputs!$B$44)-(B1645))))*IF(AND(ArtifactsInput!$M$42,((Inputs!$B$9+((C1626=TRUE)*(F1626-Calc!F26))+B1634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IF(ArtifactsInput!$M$8,FALSE,TRUE),Inputs!$B$39&lt;&gt;"pvp"),CHOOSE(ArtifactsInput!$N$8+1,8,9.6,11.2,12.8,14.4,16),0))/100)+M1610*(MIN(100,(Inputs!$B$9+((C1626=TRUE)*(F1626-Calc!F26))+B1634+(ArtifactsInput!$M$24-ArtifactsInput!$M$24)*CHOOSE(ArtifactsInput!$N$24+1,10,12,14,16,18,20)+(IF(AND(Inputs!$B$39&lt;&gt;"pvp",Inputs!$B$44=0),1,IF(IF(Inputs!$B$39="pvp",15,Inputs!$B$44)-(B1645)&lt;=0,1,MAX(0,IF(Inputs!$B$39="pvp",15,Inputs!$B$44)-MAX(5,B1645))/(IF(Inputs!$B$39="pvp",15,Inputs!$B$44)-(B1645))))*IF(AND(ArtifactsInput!$M$42,((Inputs!$B$9+((C1626=TRUE)*(F1626-Calc!F26))+B1634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IF(ArtifactsInput!$M$8,FALSE,TRUE),Inputs!$B$39&lt;&gt;"pvp"),CHOOSE(ArtifactsInput!$N$8+1,8,9.6,11.2,12.8,14.4,16),0))/100))/(L1610*(1-MIN(100,(Inputs!$B$9+((C1626=TRUE)*(F1626-Calc!F26))+B1634+(ArtifactsInput!$M$24-ArtifactsInput!$M$24)*CHOOSE(ArtifactsInput!$N$24+1,10,12,14,16,18,20)+(IF(AND(Inputs!$B$39&lt;&gt;"pvp",Inputs!$B$44=0),1,IF(IF(Inputs!$B$39="pvp",15,Inputs!$B$44)-(B1645)&lt;=0,1,MAX(0,IF(Inputs!$B$39="pvp",15,Inputs!$B$44)-MAX(5,B1645))/(IF(Inputs!$B$39="pvp",15,Inputs!$B$44)-(B1645))))*IF(AND(ArtifactsInput!$M$42,((Inputs!$B$9+((C1626=TRUE)*(F1626-Calc!F26))+B1634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1610*(MIN(100,(Inputs!$B$9+((C1626=TRUE)*(F1626-Calc!F26))+B1634+(ArtifactsInput!$M$24-ArtifactsInput!$M$24)*CHOOSE(ArtifactsInput!$N$24+1,10,12,14,16,18,20)+(IF(AND(Inputs!$B$39&lt;&gt;"pvp",Inputs!$B$44=0),1,IF(IF(Inputs!$B$39="pvp",15,Inputs!$B$44)-(B1645)&lt;=0,1,MAX(0,IF(Inputs!$B$39="pvp",15,Inputs!$B$44)-MAX(5,B1645))/(IF(Inputs!$B$39="pvp",15,Inputs!$B$44)-(B1645))))*IF(AND(ArtifactsInput!$M$42,((Inputs!$B$9+((C1626=TRUE)*(F1626-Calc!F26))+B1634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1610">
        <f>IF(C1610,(0.2*SUMPRODUCT((Skills!Z2:Z31=TRUE)*(C1602:C1631=TRUE)*S1602:S1631)*N1610)*IF(Inputs!$B$39="pvp",1,(1+(Inputs!$B$21+Skills!Q10+B1635+(IF(ArtifactsInput!$M$33,CHOOSE(ArtifactsInput!$N$33+1,30,36,42,48,54,60),0))+(IF(AND(ArtifactsInput!$M$35,Inputs!$B$4&lt;&gt;"Chapter Hunt"),CHOOSE(ArtifactsInput!$N$35+1,15,18,21,24,27,30)*(1-EXP(-(0.2*B1638)*5)),0)+IF(AND(ArtifactsInput!$M$22,Inputs!$B$4&lt;&gt;"Chapter Hunt"),CHOOSE(ArtifactsInput!$N$22+1,10,12,14,16,18,20)*((0*(((0.15*B1638*5))^0/1)+1*(((0.15*B1638*5))^1/1)+2*(((0.15*B1638*5))^2/2)+3*(((0.15*B1638*5))^3/6)+4*(((0.15*B1638*5))^4/24)+5*(((0.15*B1638*5))^5/120))/((((0.15*B1638*5))^0/1)+(((0.15*B1638*5))^1/1)+(((0.15*B1638*5))^2/2)+(((0.15*B1638*5))^3/6)+(((0.15*B1638*5))^4/24)+(((0.15*B1638*5))^5/120))),0)))/100)*(MIN(Skills!W10,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611">
      <c r="A1611">
        <f>Skills!A11</f>
        <v/>
      </c>
      <c r="B1611">
        <f>Skills!B11</f>
        <v/>
      </c>
      <c r="C1611">
        <f>Inputs!$B$3&gt;=74</f>
        <v/>
      </c>
      <c r="D1611">
        <f>IF(Skills!C11=1,60+Inputs!$B$25+Inputs!$B$29,IF(Skills!C11=2,90+Inputs!$B$26+Inputs!$B$29,IF(Skills!C11=3,120+Inputs!$B$27+Inputs!$B$29,MAX(0,(Inputs!$B$3-100)*3)+Inputs!$B$28+Inputs!$B$29)))</f>
        <v/>
      </c>
      <c r="E1611">
        <f>INDEX(FactorTable!$B$2:$Y$301, MATCH(ROUND(MIN(300,MAX(1,D1611)),0), FactorTable!$A$2:$A$301,0), Skills!M11+1)</f>
        <v/>
      </c>
      <c r="F1611">
        <f>IF(Skills!N11=TRUE,(Skills!L11/10)*(E1611/1000),Skills!L11/10)+Skills!O11</f>
        <v/>
      </c>
      <c r="G1611">
        <f>Skills!G11*IF(Skills!H11&gt;0,IF(Inputs!$B$39="pvp",MIN(Skills!I11,15),Skills!I11)/Skills!H11,1)</f>
        <v/>
      </c>
      <c r="H1611">
        <f>1-(1-Skills!J11/100)^Skills!K11</f>
        <v/>
      </c>
      <c r="I1611" t="inlineStr">
        <is>
          <t>1</t>
        </is>
      </c>
      <c r="J1611" t="inlineStr"/>
      <c r="K1611" t="inlineStr"/>
      <c r="L1611" t="inlineStr"/>
      <c r="M1611" t="inlineStr"/>
      <c r="N1611" t="inlineStr"/>
      <c r="O1611">
        <f>(1-Summary!$B$11)*T1611+Summary!$B$11*V1611</f>
        <v/>
      </c>
      <c r="P1611">
        <f>IF(B1646=0,0,O1611/B1646)</f>
        <v/>
      </c>
      <c r="Q1611">
        <f>IFERROR(1/IF(Inputs!$B$39="pvp",15,MAX(0.1,Skills!D11-IF(TRUE=TRUE,Inputs!$B$32,0))),0)</f>
        <v/>
      </c>
      <c r="R1611">
        <f>IF(AND(Inputs!$B$39&lt;&gt;"pvp",Inputs!$B$44&gt;0),IF(Inputs!$B$44&lt;=0,0,(INT(Inputs!$B$44/IF(Inputs!$B$39="pvp",15,MAX(0.1,Skills!D11-IF(TRUE=TRUE,Inputs!$B$32,0))))+1)),0)</f>
        <v/>
      </c>
      <c r="S1611">
        <f>IFERROR(O1611/N1611,0)</f>
        <v/>
      </c>
      <c r="T1611" t="n">
        <v>0</v>
      </c>
      <c r="V1611" t="n">
        <v>0</v>
      </c>
    </row>
    <row r="1612">
      <c r="A1612">
        <f>Skills!A12</f>
        <v/>
      </c>
      <c r="B1612">
        <f>Skills!B12</f>
        <v/>
      </c>
      <c r="C1612">
        <f>Inputs!$B$3&gt;=103</f>
        <v/>
      </c>
      <c r="D1612">
        <f>IF(Skills!C12=1,60+Inputs!$B$25+Inputs!$B$29,IF(Skills!C12=2,90+Inputs!$B$26+Inputs!$B$29,IF(Skills!C12=3,120+Inputs!$B$27+Inputs!$B$29,MAX(0,(Inputs!$B$3-100)*3)+Inputs!$B$28+Inputs!$B$29)))</f>
        <v/>
      </c>
      <c r="E1612">
        <f>INDEX(FactorTable!$B$2:$Y$301, MATCH(ROUND(MIN(300,MAX(1,D1612)),0), FactorTable!$A$2:$A$301,0), Skills!M12+1)</f>
        <v/>
      </c>
      <c r="F1612">
        <f>(Skills!L12/10)*(E1612/1000)+IF(Inputs!$B$3&gt;=134,50,0)+0.5*(30000/10)*(INDEX(FactorTable!$B$2:$Y$301, MATCH(ROUND(MIN(300,MAX(1,D1612)),0), FactorTable!$A$2:$A$301,0), 13)/1000)*B1644</f>
        <v/>
      </c>
      <c r="G1612">
        <f>Skills!G12*IF(Skills!H12&gt;0,IF(Inputs!$B$39="pvp",MIN(Skills!I12,15),Skills!I12)/Skills!H12,1)</f>
        <v/>
      </c>
      <c r="H1612">
        <f>1-(1-Skills!J12/100)^Skills!K12</f>
        <v/>
      </c>
      <c r="I1612" t="inlineStr">
        <is>
          <t>1</t>
        </is>
      </c>
      <c r="J1612">
        <f>((Inputs!$B$6*(1+Inputs!$B$7/100))+(((Inputs!$B$12*(1+Inputs!$B$13/100))-(Inputs!$B$12*(1+Inputs!$B$13/100)))+0.25*(Inputs!$B$14-Inputs!$B$14))*(1+Inputs!$B$7/100))*(F1612/100)</f>
        <v/>
      </c>
      <c r="K1612">
        <f>J1612*(1+((Inputs!$B$12*(1+Inputs!$B$13/100))*0.01+Inputs!$B$14*0.0025)/100)*(1+Inputs!$B$15/100)*(1+Inputs!$B$16/100)*(5000/(6000+Inputs!$B$43*(1-(100*(1-(1-Inputs!$B$19/100)*(1-CHOOSE(ArtifactsInput!$N$40+1,5,6,7,8,9,10)/100)^(ArtifactsInput!$M$40-ArtifactsInput!$M$40)))/100)))*(1+(Inputs!$B$24+((C1631=TRUE)*(F1631-Calc!F31))+((C1618=TRUE)*(F1618-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12="CRUEL_STAB",Inputs!$B$17+((C1628=TRUE)*(F1628-Calc!F28))+((IF(AND(Inputs!$B$39&lt;&gt;"pvp",Inputs!$B$44=0),1,IF(IF(Inputs!$B$39="pvp",15,Inputs!$B$44)-(B1645)&lt;=0,1,MAX(0,IF(Inputs!$B$39="pvp",15,Inputs!$B$44)-MAX(5,B1645))/(IF(Inputs!$B$39="pvp",15,Inputs!$B$44)-(B1645))))*(IF(AND(ArtifactsInput!$M$42,((Inputs!$B$9+((C1626=TRUE)*(F1626-Calc!F26))+B1634+(ArtifactsInput!$M$24-ArtifactsInput!$M$24)*CHOOSE(ArtifactsInput!$N$24+1,10,12,14,16,18,20)+IF(ArtifactsInput!$M$10,CHOOSE(ArtifactsInput!$N$10+1,15,18,21,24,27,30)*(IF(Inputs!$B$39="pvp",MIN(15,15)/15,IF(AND(Inputs!$B$39&lt;&gt;"pvp",Inputs!$B$44&gt;0),MIN(15,Inputs!$B$44)/(Inputs!$B$44),0))),0)))&gt;=100),MIN(100,((Inputs!$B$9+((C1626=TRUE)*(F1626-Calc!F26))+B1634+(ArtifactsInput!$M$24-ArtifactsInput!$M$24)*CHOOSE(ArtifactsInput!$N$24+1,10,12,14,16,18,20)+IF(ArtifactsInput!$M$10,CHOOSE(ArtifactsInput!$N$10+1,15,18,21,24,27,30)*(IF(Inputs!$B$39="pvp",MIN(15,15)/15,IF(AND(Inputs!$B$39&lt;&gt;"pvp",Inputs!$B$44&gt;0),MIN(15,Inputs!$B$44)/(Inputs!$B$44),0))),0)))-100),0))*CHOOSE(ArtifactsInput!$N$42+1,0.6,0.72,0.84,0.96,1.08,1.2))),Inputs!$B$18+((C1629=TRUE)*(F1629-Calc!F29))+(IF(AND(Inputs!$B$39&lt;&gt;"pvp",Inputs!$B$44=0),1,IF(IF(Inputs!$B$39="pvp",15,Inputs!$B$44)-(B1645)&lt;=0,1,MAX(0,IF(Inputs!$B$39="pvp",15,Inputs!$B$44)-MAX(5,B1645))/(IF(Inputs!$B$39="pvp",15,Inputs!$B$44)-(B1645))))*IF(AND(ArtifactsInput!$M$42,((Inputs!$B$9+((C1626=TRUE)*(F1626-Calc!F26))+B1634+(ArtifactsInput!$M$24-ArtifactsInput!$M$24)*CHOOSE(ArtifactsInput!$N$24+1,10,12,14,16,18,20)+IF(ArtifactsInput!$M$10,CHOOSE(ArtifactsInput!$N$10+1,15,18,21,24,27,30)*(IF(Inputs!$B$39="pvp",MIN(15,15)/15,IF(AND(Inputs!$B$39&lt;&gt;"pvp",Inputs!$B$44&gt;0),MIN(15,Inputs!$B$44)/(Inputs!$B$44),0))),0)))&gt;=100),CHOOSE(ArtifactsInput!$N$42+1,40,48,56,64,72,80),0))))/100)*(((1+(((C1622=TRUE)*F1622*IF(AND(Inputs!$B$39&lt;&gt;"pvp",Inputs!$B$44&gt;0),(((R1622-1)*MIN((Skills!Y22*(1+Inputs!$B$34/100)),(1/Q1622))+MIN((Skills!Y22*(1+Inputs!$B$34/100)),MAX(0,Inputs!$B$44-((R1622-1)*(1/Q1622)))))/Inputs!$B$44),IF(Inputs!$B$39="pvp",MIN((Skills!Y22*(1+Inputs!$B$34/100)),15)/15,MIN(1,(Skills!Y22*(1+Inputs!$B$34/100))/(1/Q1622)))))+((C1603=TRUE)*F1603*3)+((C1605=TRUE)*F1605*(1-EXP(-0.75*B1638*5)))+((C1624=TRUE)*(F1624-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1611=TRUE)*F1611*IF(AND(Inputs!$B$39&lt;&gt;"pvp",Inputs!$B$44&gt;0),(((R1611-1)*MIN((Skills!Y11*(1+Inputs!$B$34/100)),(1/Q1611))+MIN((Skills!Y11*(1+Inputs!$B$34/100)),MAX(0,Inputs!$B$44-((R1611-1)*(1/Q1611)))))/Inputs!$B$44),IF(Inputs!$B$39="pvp",MIN((Skills!Y11*(1+Inputs!$B$34/100)),15)/15,MIN(1,(Skills!Y11*(1+Inputs!$B$34/100))/(1/Q1611)))))/100)*(1+((C1616=TRUE)*F1616*IF(AND(Inputs!$B$39&lt;&gt;"pvp",Inputs!$B$44&gt;0),(((R1616-1)*MIN((Skills!Y16*(1+Inputs!$B$34/100)),(1/Q1616))+MIN((Skills!Y16*(1+Inputs!$B$34/100)),MAX(0,Inputs!$B$44-((R1616-1)*(1/Q1616)))))/Inputs!$B$44),IF(Inputs!$B$39="pvp",MIN((Skills!Y16*(1+Inputs!$B$34/100)),15)/15,MIN(1,(Skills!Y16*(1+Inputs!$B$34/100))/(1/Q1616)))))/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1636*I1612)</f>
        <v/>
      </c>
      <c r="L1612">
        <f>K1612*(MIN(Inputs!$B$22+((C1625=TRUE)*(F1625-Calc!F25)),(Inputs!$B$23+((C1630=TRUE)*(F1630-Calc!F30))+IF(ArtifactsInput!$M$15,CHOOSE(ArtifactsInput!$N$15+1,25,30,35,40,45,50)/100*(Inputs!$B$11-Inputs!$B$11),0)))/100+(Inputs!$B$23+((C1630=TRUE)*(F1630-Calc!F30))+IF(ArtifactsInput!$M$15,CHOOSE(ArtifactsInput!$N$15+1,25,30,35,40,45,50)/100*(Inputs!$B$11-Inputs!$B$11),0))/100)/2</f>
        <v/>
      </c>
      <c r="M1612">
        <f>L1612*(1+(Inputs!$B$10+((C1627=TRUE)*(F1627-Calc!F27))+B1641+(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1612">
        <f>L1612*(1-MIN((Inputs!$B$9+((C1626=TRUE)*(F1626-Calc!F26))+B1634+(ArtifactsInput!$M$24-ArtifactsInput!$M$24)*CHOOSE(ArtifactsInput!$N$24+1,10,12,14,16,18,20)+(IF(AND(Inputs!$B$39&lt;&gt;"pvp",Inputs!$B$44=0),1,IF(IF(Inputs!$B$39="pvp",15,Inputs!$B$44)-(B1645)&lt;=0,1,MAX(0,IF(Inputs!$B$39="pvp",15,Inputs!$B$44)-MAX(5,B1645))/(IF(Inputs!$B$39="pvp",15,Inputs!$B$44)-(B1645))))*IF(AND(ArtifactsInput!$M$42,((Inputs!$B$9+((C1626=TRUE)*(F1626-Calc!F26))+B1634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1612*(MIN((Inputs!$B$9+((C1626=TRUE)*(F1626-Calc!F26))+B1634+(ArtifactsInput!$M$24-ArtifactsInput!$M$24)*CHOOSE(ArtifactsInput!$N$24+1,10,12,14,16,18,20)+(IF(AND(Inputs!$B$39&lt;&gt;"pvp",Inputs!$B$44=0),1,IF(IF(Inputs!$B$39="pvp",15,Inputs!$B$44)-(B1645)&lt;=0,1,MAX(0,IF(Inputs!$B$39="pvp",15,Inputs!$B$44)-MAX(5,B1645))/(IF(Inputs!$B$39="pvp",15,Inputs!$B$44)-(B1645))))*IF(AND(ArtifactsInput!$M$42,((Inputs!$B$9+((C1626=TRUE)*(F1626-Calc!F26))+B1634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612">
        <f>(1-Summary!$B$11)*T1612+Summary!$B$11*V1612</f>
        <v/>
      </c>
      <c r="P1612">
        <f>IF(B1646=0,0,O1612/B1646)</f>
        <v/>
      </c>
      <c r="Q1612">
        <f>IFERROR(1/IF(Inputs!$B$39="pvp",15,MAX(0.1,Skills!D12-IF(TRUE=TRUE,Inputs!$B$32,0))),0)</f>
        <v/>
      </c>
      <c r="R1612">
        <f>IF(AND(Inputs!$B$39&lt;&gt;"pvp",Inputs!$B$44&gt;0),IF(MAX(0,Inputs!$B$44-B1645)&lt;=0,0,(INT(MAX(0,Inputs!$B$44-B1645)/IF(Inputs!$B$39="pvp",15,MAX(0.1,Skills!D12-IF(TRUE=TRUE,Inputs!$B$32,0))))+1)),0)</f>
        <v/>
      </c>
      <c r="S1612">
        <f>IFERROR(O1612/N1612,0)</f>
        <v/>
      </c>
      <c r="T1612">
        <f>IF(C1612,(H1612*N1612*IF(AND(Inputs!$B$39&lt;&gt;"pvp",Inputs!$B$44&gt;0),((Skills!G12*((R1612-1)*IF(Skills!H12&gt;0,Skills!I12/Skills!H12,1)+IF(Skills!H12&gt;0,MIN(Skills!I12,MAX(0,MAX(0,Inputs!$B$44-B1645)-((R1612-1)*IF(Inputs!$B$39="pvp",15,MAX(0.1,Skills!D12-IF(TRUE=TRUE,Inputs!$B$32,0))))))/Skills!H12,1)))/Inputs!$B$44),G1612*Q1612))*IF(Inputs!$B$39="pvp",1,1+(Inputs!$B$20+0+Skills!P12+B1635+(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Hunt"),CHOOSE(ArtifactsInput!$N$35+1,15,18,21,24,27,30)*(1-EXP(-(0.2*B1638)*5)),0)+IF(AND(ArtifactsInput!$M$22,Inputs!$B$4&lt;&gt;"Chapter Hunt"),CHOOSE(ArtifactsInput!$N$22+1,10,12,14,16,18,20)*((0*(((0.15*B1638*5))^0/1)+1*(((0.15*B1638*5))^1/1)+2*(((0.15*B1638*5))^2/2)+3*(((0.15*B1638*5))^3/6)+4*(((0.15*B1638*5))^4/24)+5*(((0.15*B1638*5))^5/120))/((((0.15*B1638*5))^0/1)+(((0.15*B1638*5))^1/1)+(((0.15*B1638*5))^2/2)+(((0.15*B1638*5))^3/6)+(((0.15*B1638*5))^4/24)+(((0.15*B1638*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1612*(1-MIN(100,(Inputs!$B$9+((C1626=TRUE)*(F1626-Calc!F26))+B1634+(ArtifactsInput!$M$24-ArtifactsInput!$M$24)*CHOOSE(ArtifactsInput!$N$24+1,10,12,14,16,18,20)+(IF(AND(Inputs!$B$39&lt;&gt;"pvp",Inputs!$B$44=0),1,IF(IF(Inputs!$B$39="pvp",15,Inputs!$B$44)-(B1645)&lt;=0,1,MAX(0,IF(Inputs!$B$39="pvp",15,Inputs!$B$44)-MAX(5,B1645))/(IF(Inputs!$B$39="pvp",15,Inputs!$B$44)-(B1645))))*IF(AND(ArtifactsInput!$M$42,((Inputs!$B$9+((C1626=TRUE)*(F1626-Calc!F26))+B1634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IF(ArtifactsInput!$M$8,FALSE,TRUE),Inputs!$B$39&lt;&gt;"pvp"),CHOOSE(ArtifactsInput!$N$8+1,8,9.6,11.2,12.8,14.4,16),0))/100)+M1612*(MIN(100,(Inputs!$B$9+((C1626=TRUE)*(F1626-Calc!F26))+B1634+(ArtifactsInput!$M$24-ArtifactsInput!$M$24)*CHOOSE(ArtifactsInput!$N$24+1,10,12,14,16,18,20)+(IF(AND(Inputs!$B$39&lt;&gt;"pvp",Inputs!$B$44=0),1,IF(IF(Inputs!$B$39="pvp",15,Inputs!$B$44)-(B1645)&lt;=0,1,MAX(0,IF(Inputs!$B$39="pvp",15,Inputs!$B$44)-MAX(5,B1645))/(IF(Inputs!$B$39="pvp",15,Inputs!$B$44)-(B1645))))*IF(AND(ArtifactsInput!$M$42,((Inputs!$B$9+((C1626=TRUE)*(F1626-Calc!F26))+B1634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IF(ArtifactsInput!$M$8,FALSE,TRUE),Inputs!$B$39&lt;&gt;"pvp"),CHOOSE(ArtifactsInput!$N$8+1,8,9.6,11.2,12.8,14.4,16),0))/100))/(L1612*(1-MIN(100,(Inputs!$B$9+((C1626=TRUE)*(F1626-Calc!F26))+B1634+(ArtifactsInput!$M$24-ArtifactsInput!$M$24)*CHOOSE(ArtifactsInput!$N$24+1,10,12,14,16,18,20)+(IF(AND(Inputs!$B$39&lt;&gt;"pvp",Inputs!$B$44=0),1,IF(IF(Inputs!$B$39="pvp",15,Inputs!$B$44)-(B1645)&lt;=0,1,MAX(0,IF(Inputs!$B$39="pvp",15,Inputs!$B$44)-MAX(5,B1645))/(IF(Inputs!$B$39="pvp",15,Inputs!$B$44)-(B1645))))*IF(AND(ArtifactsInput!$M$42,((Inputs!$B$9+((C1626=TRUE)*(F1626-Calc!F26))+B1634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1612*(MIN(100,(Inputs!$B$9+((C1626=TRUE)*(F1626-Calc!F26))+B1634+(ArtifactsInput!$M$24-ArtifactsInput!$M$24)*CHOOSE(ArtifactsInput!$N$24+1,10,12,14,16,18,20)+(IF(AND(Inputs!$B$39&lt;&gt;"pvp",Inputs!$B$44=0),1,IF(IF(Inputs!$B$39="pvp",15,Inputs!$B$44)-(B1645)&lt;=0,1,MAX(0,IF(Inputs!$B$39="pvp",15,Inputs!$B$44)-MAX(5,B1645))/(IF(Inputs!$B$39="pvp",15,Inputs!$B$44)-(B1645))))*IF(AND(ArtifactsInput!$M$42,((Inputs!$B$9+((C1626=TRUE)*(F1626-Calc!F26))+B1634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1612">
        <f>IF(C1612,(H1612*N1612*IF(AND(Inputs!$B$39&lt;&gt;"pvp",Inputs!$B$44&gt;0),((Skills!G12*((R1612-1)*IF(Skills!H12&gt;0,Skills!I12/Skills!H12,1)+IF(Skills!H12&gt;0,MIN(Skills!I12,MAX(0,MAX(0,Inputs!$B$44-B1645)-((R1612-1)*IF(Inputs!$B$39="pvp",15,MAX(0.1,Skills!D12-IF(TRUE=TRUE,Inputs!$B$32,0))))))/Skills!H12,1)))/Inputs!$B$44),G1612*Q1612))*IF(Inputs!$B$39="pvp",1,(1+(Inputs!$B$21+Skills!Q12+B1635+(IF(ArtifactsInput!$M$33,CHOOSE(ArtifactsInput!$N$33+1,30,36,42,48,54,60),0))+(IF(AND(ArtifactsInput!$M$35,Inputs!$B$4&lt;&gt;"Chapter Hunt"),CHOOSE(ArtifactsInput!$N$35+1,15,18,21,24,27,30)*(1-EXP(-(0.2*B1638)*5)),0)+IF(AND(ArtifactsInput!$M$22,Inputs!$B$4&lt;&gt;"Chapter Hunt"),CHOOSE(ArtifactsInput!$N$22+1,10,12,14,16,18,20)*((0*(((0.15*B1638*5))^0/1)+1*(((0.15*B1638*5))^1/1)+2*(((0.15*B1638*5))^2/2)+3*(((0.15*B1638*5))^3/6)+4*(((0.15*B1638*5))^4/24)+5*(((0.15*B1638*5))^5/120))/((((0.15*B1638*5))^0/1)+(((0.15*B1638*5))^1/1)+(((0.15*B1638*5))^2/2)+(((0.15*B1638*5))^3/6)+(((0.15*B1638*5))^4/24)+(((0.15*B1638*5))^5/120))),0)))/100)*(MIN(Skills!W12,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613">
      <c r="A1613">
        <f>Skills!A13</f>
        <v/>
      </c>
      <c r="B1613">
        <f>Skills!B13</f>
        <v/>
      </c>
      <c r="C1613">
        <f>Inputs!$B$3&gt;=105</f>
        <v/>
      </c>
      <c r="D1613">
        <f>IF(Skills!C13=1,60+Inputs!$B$25+Inputs!$B$29,IF(Skills!C13=2,90+Inputs!$B$26+Inputs!$B$29,IF(Skills!C13=3,120+Inputs!$B$27+Inputs!$B$29,MAX(0,(Inputs!$B$3-100)*3)+Inputs!$B$28+Inputs!$B$29)))</f>
        <v/>
      </c>
      <c r="E1613">
        <f>INDEX(FactorTable!$B$2:$Y$301, MATCH(ROUND(MIN(300,MAX(1,D1613)),0), FactorTable!$A$2:$A$301,0), Skills!M13+1)</f>
        <v/>
      </c>
      <c r="F1613">
        <f>IF(Skills!N13=TRUE,(Skills!L13/10)*(E1613/1000),Skills!L13/10)+Skills!O13</f>
        <v/>
      </c>
      <c r="G1613">
        <f>Skills!G13*IF(Skills!H13&gt;0,IF(Inputs!$B$39="pvp",MIN(Skills!I13,15),Skills!I13)/Skills!H13,1)</f>
        <v/>
      </c>
      <c r="H1613">
        <f>1-(1-Skills!J13/100)^Skills!K13</f>
        <v/>
      </c>
      <c r="I1613" t="inlineStr">
        <is>
          <t>1</t>
        </is>
      </c>
      <c r="J1613">
        <f>((Inputs!$B$6*(1+Inputs!$B$7/100))+(((Inputs!$B$12*(1+Inputs!$B$13/100))-(Inputs!$B$12*(1+Inputs!$B$13/100)))+0.25*(Inputs!$B$14-Inputs!$B$14))*(1+Inputs!$B$7/100))*(F1613/100)</f>
        <v/>
      </c>
      <c r="K1613">
        <f>J1613*(1+((Inputs!$B$12*(1+Inputs!$B$13/100))*0.01+Inputs!$B$14*0.0025)/100)*(1+Inputs!$B$15/100)*(1+Inputs!$B$16/100)*(5000/(6000+Inputs!$B$43*(1-(100*(1-(1-Inputs!$B$19/100)*(1-CHOOSE(ArtifactsInput!$N$40+1,5,6,7,8,9,10)/100)^(ArtifactsInput!$M$40-ArtifactsInput!$M$40)))/100)))*(1+(Inputs!$B$24+((C1631=TRUE)*(F1631-Calc!F31))+((C1618=TRUE)*(F1618-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13="CRUEL_STAB",Inputs!$B$17+((C1628=TRUE)*(F1628-Calc!F28))+((IF(AND(Inputs!$B$39&lt;&gt;"pvp",Inputs!$B$44=0),1,IF(IF(Inputs!$B$39="pvp",15,Inputs!$B$44)-(B1645)&lt;=0,1,MAX(0,IF(Inputs!$B$39="pvp",15,Inputs!$B$44)-MAX(5,B1645))/(IF(Inputs!$B$39="pvp",15,Inputs!$B$44)-(B1645))))*(IF(AND(ArtifactsInput!$M$42,((Inputs!$B$9+((C1626=TRUE)*(F1626-Calc!F26))+B1634+(ArtifactsInput!$M$24-ArtifactsInput!$M$24)*CHOOSE(ArtifactsInput!$N$24+1,10,12,14,16,18,20)+IF(ArtifactsInput!$M$10,CHOOSE(ArtifactsInput!$N$10+1,15,18,21,24,27,30)*(IF(Inputs!$B$39="pvp",MIN(15,15)/15,IF(AND(Inputs!$B$39&lt;&gt;"pvp",Inputs!$B$44&gt;0),MIN(15,Inputs!$B$44)/(Inputs!$B$44),0))),0)))&gt;=100),MIN(100,((Inputs!$B$9+((C1626=TRUE)*(F1626-Calc!F26))+B1634+(ArtifactsInput!$M$24-ArtifactsInput!$M$24)*CHOOSE(ArtifactsInput!$N$24+1,10,12,14,16,18,20)+IF(ArtifactsInput!$M$10,CHOOSE(ArtifactsInput!$N$10+1,15,18,21,24,27,30)*(IF(Inputs!$B$39="pvp",MIN(15,15)/15,IF(AND(Inputs!$B$39&lt;&gt;"pvp",Inputs!$B$44&gt;0),MIN(15,Inputs!$B$44)/(Inputs!$B$44),0))),0)))-100),0))*CHOOSE(ArtifactsInput!$N$42+1,0.6,0.72,0.84,0.96,1.08,1.2))),Inputs!$B$18+((C1629=TRUE)*(F1629-Calc!F29))+(IF(AND(Inputs!$B$39&lt;&gt;"pvp",Inputs!$B$44=0),1,IF(IF(Inputs!$B$39="pvp",15,Inputs!$B$44)-(B1645)&lt;=0,1,MAX(0,IF(Inputs!$B$39="pvp",15,Inputs!$B$44)-MAX(5,B1645))/(IF(Inputs!$B$39="pvp",15,Inputs!$B$44)-(B1645))))*IF(AND(ArtifactsInput!$M$42,((Inputs!$B$9+((C1626=TRUE)*(F1626-Calc!F26))+B1634+(ArtifactsInput!$M$24-ArtifactsInput!$M$24)*CHOOSE(ArtifactsInput!$N$24+1,10,12,14,16,18,20)+IF(ArtifactsInput!$M$10,CHOOSE(ArtifactsInput!$N$10+1,15,18,21,24,27,30)*(IF(Inputs!$B$39="pvp",MIN(15,15)/15,IF(AND(Inputs!$B$39&lt;&gt;"pvp",Inputs!$B$44&gt;0),MIN(15,Inputs!$B$44)/(Inputs!$B$44),0))),0)))&gt;=100),CHOOSE(ArtifactsInput!$N$42+1,40,48,56,64,72,80),0))))/100)*(((1+(((C1622=TRUE)*F1622*IF(AND(Inputs!$B$39&lt;&gt;"pvp",Inputs!$B$44&gt;0),(((R1622-1)*MIN((Skills!Y22*(1+Inputs!$B$34/100)),(1/Q1622))+MIN((Skills!Y22*(1+Inputs!$B$34/100)),MAX(0,Inputs!$B$44-((R1622-1)*(1/Q1622)))))/Inputs!$B$44),IF(Inputs!$B$39="pvp",MIN((Skills!Y22*(1+Inputs!$B$34/100)),15)/15,MIN(1,(Skills!Y22*(1+Inputs!$B$34/100))/(1/Q1622)))))+((C1603=TRUE)*F1603*3)+((C1605=TRUE)*F1605*(1-EXP(-0.75*B1638*5)))+((C1624=TRUE)*(F1624-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1611=TRUE)*F1611*IF(AND(Inputs!$B$39&lt;&gt;"pvp",Inputs!$B$44&gt;0),(((R1611-1)*MIN((Skills!Y11*(1+Inputs!$B$34/100)),(1/Q1611))+MIN((Skills!Y11*(1+Inputs!$B$34/100)),MAX(0,Inputs!$B$44-((R1611-1)*(1/Q1611)))))/Inputs!$B$44),IF(Inputs!$B$39="pvp",MIN((Skills!Y11*(1+Inputs!$B$34/100)),15)/15,MIN(1,(Skills!Y11*(1+Inputs!$B$34/100))/(1/Q1611)))))/100)*(1+((C1616=TRUE)*F1616*IF(AND(Inputs!$B$39&lt;&gt;"pvp",Inputs!$B$44&gt;0),(((R1616-1)*MIN((Skills!Y16*(1+Inputs!$B$34/100)),(1/Q1616))+MIN((Skills!Y16*(1+Inputs!$B$34/100)),MAX(0,Inputs!$B$44-((R1616-1)*(1/Q1616)))))/Inputs!$B$44),IF(Inputs!$B$39="pvp",MIN((Skills!Y16*(1+Inputs!$B$34/100)),15)/15,MIN(1,(Skills!Y16*(1+Inputs!$B$34/100))/(1/Q1616)))))/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1636*I1613)</f>
        <v/>
      </c>
      <c r="L1613">
        <f>K1613*(MIN(Inputs!$B$22+((C1625=TRUE)*(F1625-Calc!F25)),(Inputs!$B$23+((C1630=TRUE)*(F1630-Calc!F30))+IF(ArtifactsInput!$M$15,CHOOSE(ArtifactsInput!$N$15+1,25,30,35,40,45,50)/100*(Inputs!$B$11-Inputs!$B$11),0)))/100+(Inputs!$B$23+((C1630=TRUE)*(F1630-Calc!F30))+IF(ArtifactsInput!$M$15,CHOOSE(ArtifactsInput!$N$15+1,25,30,35,40,45,50)/100*(Inputs!$B$11-Inputs!$B$11),0))/100)/2</f>
        <v/>
      </c>
      <c r="M1613">
        <f>L1613*(1+(Inputs!$B$10+((C1627=TRUE)*(F1627-Calc!F27))+B1641+(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1613">
        <f>L1613*(1-MIN((Inputs!$B$9+((C1626=TRUE)*(F1626-Calc!F26))+B1634+(ArtifactsInput!$M$24-ArtifactsInput!$M$24)*CHOOSE(ArtifactsInput!$N$24+1,10,12,14,16,18,20)+(IF(AND(Inputs!$B$39&lt;&gt;"pvp",Inputs!$B$44=0),1,IF(IF(Inputs!$B$39="pvp",15,Inputs!$B$44)-(B1645)&lt;=0,1,MAX(0,IF(Inputs!$B$39="pvp",15,Inputs!$B$44)-MAX(5,B1645))/(IF(Inputs!$B$39="pvp",15,Inputs!$B$44)-(B1645))))*IF(AND(ArtifactsInput!$M$42,((Inputs!$B$9+((C1626=TRUE)*(F1626-Calc!F26))+B1634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1613*(MIN((Inputs!$B$9+((C1626=TRUE)*(F1626-Calc!F26))+B1634+(ArtifactsInput!$M$24-ArtifactsInput!$M$24)*CHOOSE(ArtifactsInput!$N$24+1,10,12,14,16,18,20)+(IF(AND(Inputs!$B$39&lt;&gt;"pvp",Inputs!$B$44=0),1,IF(IF(Inputs!$B$39="pvp",15,Inputs!$B$44)-(B1645)&lt;=0,1,MAX(0,IF(Inputs!$B$39="pvp",15,Inputs!$B$44)-MAX(5,B1645))/(IF(Inputs!$B$39="pvp",15,Inputs!$B$44)-(B1645))))*IF(AND(ArtifactsInput!$M$42,((Inputs!$B$9+((C1626=TRUE)*(F1626-Calc!F26))+B1634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613">
        <f>(1-Summary!$B$11)*T1613+Summary!$B$11*V1613</f>
        <v/>
      </c>
      <c r="P1613">
        <f>IF(B1646=0,0,O1613/B1646)</f>
        <v/>
      </c>
      <c r="Q1613">
        <f>IFERROR(1/IF(Inputs!$B$39="pvp",15,MAX(0.1,Skills!D13-IF(TRUE=TRUE,Inputs!$B$32,0))),0)</f>
        <v/>
      </c>
      <c r="R1613">
        <f>IF(AND(Inputs!$B$39&lt;&gt;"pvp",Inputs!$B$44&gt;0),IF(MAX(0,Inputs!$B$44-B1645)&lt;=0,0,(INT(MAX(0,Inputs!$B$44-B1645)/IF(Inputs!$B$39="pvp",15,MAX(0.1,Skills!D13-IF(TRUE=TRUE,Inputs!$B$32,0))))+1)),0)</f>
        <v/>
      </c>
      <c r="S1613">
        <f>IFERROR(O1613/N1613,0)</f>
        <v/>
      </c>
      <c r="T1613">
        <f>IF(C1613,(H1613*N1613*IF(AND(Inputs!$B$39&lt;&gt;"pvp",Inputs!$B$44&gt;0),((Skills!G13*((R1613-1)*IF(Skills!H13&gt;0,Skills!I13/Skills!H13,1)+IF(Skills!H13&gt;0,MIN(Skills!I13,MAX(0,MAX(0,Inputs!$B$44-B1645)-((R1613-1)*IF(Inputs!$B$39="pvp",15,MAX(0.1,Skills!D13-IF(TRUE=TRUE,Inputs!$B$32,0))))))/Skills!H13,1)))/Inputs!$B$44),G1613*Q1613))*IF(Inputs!$B$39="pvp",1,1+(Inputs!$B$20+0+Skills!P13+B1635+(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Hunt"),CHOOSE(ArtifactsInput!$N$35+1,15,18,21,24,27,30)*(1-EXP(-(0.2*B1638)*5)),0)+IF(AND(ArtifactsInput!$M$22,Inputs!$B$4&lt;&gt;"Chapter Hunt"),CHOOSE(ArtifactsInput!$N$22+1,10,12,14,16,18,20)*((0*(((0.15*B1638*5))^0/1)+1*(((0.15*B1638*5))^1/1)+2*(((0.15*B1638*5))^2/2)+3*(((0.15*B1638*5))^3/6)+4*(((0.15*B1638*5))^4/24)+5*(((0.15*B1638*5))^5/120))/((((0.15*B1638*5))^0/1)+(((0.15*B1638*5))^1/1)+(((0.15*B1638*5))^2/2)+(((0.15*B1638*5))^3/6)+(((0.15*B1638*5))^4/24)+(((0.15*B1638*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1613*(1-MIN(100,(Inputs!$B$9+((C1626=TRUE)*(F1626-Calc!F26))+B1634+(ArtifactsInput!$M$24-ArtifactsInput!$M$24)*CHOOSE(ArtifactsInput!$N$24+1,10,12,14,16,18,20)+(IF(AND(Inputs!$B$39&lt;&gt;"pvp",Inputs!$B$44=0),1,IF(IF(Inputs!$B$39="pvp",15,Inputs!$B$44)-(B1645)&lt;=0,1,MAX(0,IF(Inputs!$B$39="pvp",15,Inputs!$B$44)-MAX(5,B1645))/(IF(Inputs!$B$39="pvp",15,Inputs!$B$44)-(B1645))))*IF(AND(ArtifactsInput!$M$42,((Inputs!$B$9+((C1626=TRUE)*(F1626-Calc!F26))+B1634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IF(ArtifactsInput!$M$8,FALSE,TRUE),Inputs!$B$39&lt;&gt;"pvp"),CHOOSE(ArtifactsInput!$N$8+1,8,9.6,11.2,12.8,14.4,16),0))/100)+M1613*(MIN(100,(Inputs!$B$9+((C1626=TRUE)*(F1626-Calc!F26))+B1634+(ArtifactsInput!$M$24-ArtifactsInput!$M$24)*CHOOSE(ArtifactsInput!$N$24+1,10,12,14,16,18,20)+(IF(AND(Inputs!$B$39&lt;&gt;"pvp",Inputs!$B$44=0),1,IF(IF(Inputs!$B$39="pvp",15,Inputs!$B$44)-(B1645)&lt;=0,1,MAX(0,IF(Inputs!$B$39="pvp",15,Inputs!$B$44)-MAX(5,B1645))/(IF(Inputs!$B$39="pvp",15,Inputs!$B$44)-(B1645))))*IF(AND(ArtifactsInput!$M$42,((Inputs!$B$9+((C1626=TRUE)*(F1626-Calc!F26))+B1634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IF(ArtifactsInput!$M$8,FALSE,TRUE),Inputs!$B$39&lt;&gt;"pvp"),CHOOSE(ArtifactsInput!$N$8+1,8,9.6,11.2,12.8,14.4,16),0))/100))/(L1613*(1-MIN(100,(Inputs!$B$9+((C1626=TRUE)*(F1626-Calc!F26))+B1634+(ArtifactsInput!$M$24-ArtifactsInput!$M$24)*CHOOSE(ArtifactsInput!$N$24+1,10,12,14,16,18,20)+(IF(AND(Inputs!$B$39&lt;&gt;"pvp",Inputs!$B$44=0),1,IF(IF(Inputs!$B$39="pvp",15,Inputs!$B$44)-(B1645)&lt;=0,1,MAX(0,IF(Inputs!$B$39="pvp",15,Inputs!$B$44)-MAX(5,B1645))/(IF(Inputs!$B$39="pvp",15,Inputs!$B$44)-(B1645))))*IF(AND(ArtifactsInput!$M$42,((Inputs!$B$9+((C1626=TRUE)*(F1626-Calc!F26))+B1634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1613*(MIN(100,(Inputs!$B$9+((C1626=TRUE)*(F1626-Calc!F26))+B1634+(ArtifactsInput!$M$24-ArtifactsInput!$M$24)*CHOOSE(ArtifactsInput!$N$24+1,10,12,14,16,18,20)+(IF(AND(Inputs!$B$39&lt;&gt;"pvp",Inputs!$B$44=0),1,IF(IF(Inputs!$B$39="pvp",15,Inputs!$B$44)-(B1645)&lt;=0,1,MAX(0,IF(Inputs!$B$39="pvp",15,Inputs!$B$44)-MAX(5,B1645))/(IF(Inputs!$B$39="pvp",15,Inputs!$B$44)-(B1645))))*IF(AND(ArtifactsInput!$M$42,((Inputs!$B$9+((C1626=TRUE)*(F1626-Calc!F26))+B1634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1613">
        <f>IF(C1613,(H1613*N1613*IF(AND(Inputs!$B$39&lt;&gt;"pvp",Inputs!$B$44&gt;0),((Skills!G13*((R1613-1)*IF(Skills!H13&gt;0,Skills!I13/Skills!H13,1)+IF(Skills!H13&gt;0,MIN(Skills!I13,MAX(0,MAX(0,Inputs!$B$44-B1645)-((R1613-1)*IF(Inputs!$B$39="pvp",15,MAX(0.1,Skills!D13-IF(TRUE=TRUE,Inputs!$B$32,0))))))/Skills!H13,1)))/Inputs!$B$44),G1613*Q1613))*IF(Inputs!$B$39="pvp",1,(1+(Inputs!$B$21+Skills!Q13+B1635+(IF(ArtifactsInput!$M$33,CHOOSE(ArtifactsInput!$N$33+1,30,36,42,48,54,60),0))+(IF(AND(ArtifactsInput!$M$35,Inputs!$B$4&lt;&gt;"Chapter Hunt"),CHOOSE(ArtifactsInput!$N$35+1,15,18,21,24,27,30)*(1-EXP(-(0.2*B1638)*5)),0)+IF(AND(ArtifactsInput!$M$22,Inputs!$B$4&lt;&gt;"Chapter Hunt"),CHOOSE(ArtifactsInput!$N$22+1,10,12,14,16,18,20)*((0*(((0.15*B1638*5))^0/1)+1*(((0.15*B1638*5))^1/1)+2*(((0.15*B1638*5))^2/2)+3*(((0.15*B1638*5))^3/6)+4*(((0.15*B1638*5))^4/24)+5*(((0.15*B1638*5))^5/120))/((((0.15*B1638*5))^0/1)+(((0.15*B1638*5))^1/1)+(((0.15*B1638*5))^2/2)+(((0.15*B1638*5))^3/6)+(((0.15*B1638*5))^4/24)+(((0.15*B1638*5))^5/120))),0)))/100)*(MIN(Skills!W13,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614">
      <c r="A1614">
        <f>Skills!A14</f>
        <v/>
      </c>
      <c r="B1614">
        <f>Skills!B14</f>
        <v/>
      </c>
      <c r="C1614">
        <f>Inputs!$B$3&gt;=105</f>
        <v/>
      </c>
      <c r="D1614">
        <f>IF(Skills!C14=1,60+Inputs!$B$25+Inputs!$B$29,IF(Skills!C14=2,90+Inputs!$B$26+Inputs!$B$29,IF(Skills!C14=3,120+Inputs!$B$27+Inputs!$B$29,MAX(0,(Inputs!$B$3-100)*3)+Inputs!$B$28+Inputs!$B$29)))</f>
        <v/>
      </c>
      <c r="E1614">
        <f>INDEX(FactorTable!$B$2:$Y$301, MATCH(ROUND(MIN(300,MAX(1,D1614)),0), FactorTable!$A$2:$A$301,0), Skills!M14+1)</f>
        <v/>
      </c>
      <c r="F1614">
        <f>IF(Skills!N14=TRUE,(Skills!L14/10)*(E1614/1000),Skills!L14/10)+Skills!O14</f>
        <v/>
      </c>
      <c r="G1614">
        <f>Skills!G14*IF(Skills!H14&gt;0,IF(Inputs!$B$39="pvp",MIN(Skills!I14,15),Skills!I14)/Skills!H14,1)</f>
        <v/>
      </c>
      <c r="H1614">
        <f>1-(1-Skills!J14/100)^Skills!K14</f>
        <v/>
      </c>
      <c r="I1614" t="inlineStr">
        <is>
          <t>1</t>
        </is>
      </c>
      <c r="J1614">
        <f>((Inputs!$B$6*(1+Inputs!$B$7/100))+(((Inputs!$B$12*(1+Inputs!$B$13/100))-(Inputs!$B$12*(1+Inputs!$B$13/100)))+0.25*(Inputs!$B$14-Inputs!$B$14))*(1+Inputs!$B$7/100))*(F1614/100)</f>
        <v/>
      </c>
      <c r="K1614">
        <f>J1614*(1+((Inputs!$B$12*(1+Inputs!$B$13/100))*0.01+Inputs!$B$14*0.0025)/100)*(1+Inputs!$B$15/100)*(1+Inputs!$B$16/100)*(5000/(6000+Inputs!$B$43*(1-(100*(1-(1-Inputs!$B$19/100)*(1-CHOOSE(ArtifactsInput!$N$40+1,5,6,7,8,9,10)/100)^(ArtifactsInput!$M$40-ArtifactsInput!$M$40)))/100)))*(1+(Inputs!$B$24+((C1631=TRUE)*(F1631-Calc!F31))+((C1618=TRUE)*(F1618-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14="CRUEL_STAB",Inputs!$B$17+((C1628=TRUE)*(F1628-Calc!F28))+((IF(AND(Inputs!$B$39&lt;&gt;"pvp",Inputs!$B$44=0),1,IF(IF(Inputs!$B$39="pvp",15,Inputs!$B$44)-(B1645)&lt;=0,1,MAX(0,IF(Inputs!$B$39="pvp",15,Inputs!$B$44)-MAX(5,B1645))/(IF(Inputs!$B$39="pvp",15,Inputs!$B$44)-(B1645))))*(IF(AND(ArtifactsInput!$M$42,((Inputs!$B$9+((C1626=TRUE)*(F1626-Calc!F26))+B1634+(ArtifactsInput!$M$24-ArtifactsInput!$M$24)*CHOOSE(ArtifactsInput!$N$24+1,10,12,14,16,18,20)+IF(ArtifactsInput!$M$10,CHOOSE(ArtifactsInput!$N$10+1,15,18,21,24,27,30)*(IF(Inputs!$B$39="pvp",MIN(15,15)/15,IF(AND(Inputs!$B$39&lt;&gt;"pvp",Inputs!$B$44&gt;0),MIN(15,Inputs!$B$44)/(Inputs!$B$44),0))),0)))&gt;=100),MIN(100,((Inputs!$B$9+((C1626=TRUE)*(F1626-Calc!F26))+B1634+(ArtifactsInput!$M$24-ArtifactsInput!$M$24)*CHOOSE(ArtifactsInput!$N$24+1,10,12,14,16,18,20)+IF(ArtifactsInput!$M$10,CHOOSE(ArtifactsInput!$N$10+1,15,18,21,24,27,30)*(IF(Inputs!$B$39="pvp",MIN(15,15)/15,IF(AND(Inputs!$B$39&lt;&gt;"pvp",Inputs!$B$44&gt;0),MIN(15,Inputs!$B$44)/(Inputs!$B$44),0))),0)))-100),0))*CHOOSE(ArtifactsInput!$N$42+1,0.6,0.72,0.84,0.96,1.08,1.2))),Inputs!$B$18+((C1629=TRUE)*(F1629-Calc!F29))+(IF(AND(Inputs!$B$39&lt;&gt;"pvp",Inputs!$B$44=0),1,IF(IF(Inputs!$B$39="pvp",15,Inputs!$B$44)-(B1645)&lt;=0,1,MAX(0,IF(Inputs!$B$39="pvp",15,Inputs!$B$44)-MAX(5,B1645))/(IF(Inputs!$B$39="pvp",15,Inputs!$B$44)-(B1645))))*IF(AND(ArtifactsInput!$M$42,((Inputs!$B$9+((C1626=TRUE)*(F1626-Calc!F26))+B1634+(ArtifactsInput!$M$24-ArtifactsInput!$M$24)*CHOOSE(ArtifactsInput!$N$24+1,10,12,14,16,18,20)+IF(ArtifactsInput!$M$10,CHOOSE(ArtifactsInput!$N$10+1,15,18,21,24,27,30)*(IF(Inputs!$B$39="pvp",MIN(15,15)/15,IF(AND(Inputs!$B$39&lt;&gt;"pvp",Inputs!$B$44&gt;0),MIN(15,Inputs!$B$44)/(Inputs!$B$44),0))),0)))&gt;=100),CHOOSE(ArtifactsInput!$N$42+1,40,48,56,64,72,80),0))))/100)*(((1+(((C1622=TRUE)*F1622*IF(AND(Inputs!$B$39&lt;&gt;"pvp",Inputs!$B$44&gt;0),(((R1622-1)*MIN((Skills!Y22*(1+Inputs!$B$34/100)),(1/Q1622))+MIN((Skills!Y22*(1+Inputs!$B$34/100)),MAX(0,Inputs!$B$44-((R1622-1)*(1/Q1622)))))/Inputs!$B$44),IF(Inputs!$B$39="pvp",MIN((Skills!Y22*(1+Inputs!$B$34/100)),15)/15,MIN(1,(Skills!Y22*(1+Inputs!$B$34/100))/(1/Q1622)))))+((C1603=TRUE)*F1603*3)+((C1605=TRUE)*F1605*(1-EXP(-0.75*B1638*5)))+((C1624=TRUE)*(F1624-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1611=TRUE)*F1611*IF(AND(Inputs!$B$39&lt;&gt;"pvp",Inputs!$B$44&gt;0),(((R1611-1)*MIN((Skills!Y11*(1+Inputs!$B$34/100)),(1/Q1611))+MIN((Skills!Y11*(1+Inputs!$B$34/100)),MAX(0,Inputs!$B$44-((R1611-1)*(1/Q1611)))))/Inputs!$B$44),IF(Inputs!$B$39="pvp",MIN((Skills!Y11*(1+Inputs!$B$34/100)),15)/15,MIN(1,(Skills!Y11*(1+Inputs!$B$34/100))/(1/Q1611)))))/100)*(1+((C1616=TRUE)*F1616*IF(AND(Inputs!$B$39&lt;&gt;"pvp",Inputs!$B$44&gt;0),(((R1616-1)*MIN((Skills!Y16*(1+Inputs!$B$34/100)),(1/Q1616))+MIN((Skills!Y16*(1+Inputs!$B$34/100)),MAX(0,Inputs!$B$44-((R1616-1)*(1/Q1616)))))/Inputs!$B$44),IF(Inputs!$B$39="pvp",MIN((Skills!Y16*(1+Inputs!$B$34/100)),15)/15,MIN(1,(Skills!Y16*(1+Inputs!$B$34/100))/(1/Q1616)))))/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1636*I1614)</f>
        <v/>
      </c>
      <c r="L1614">
        <f>K1614*(MIN(Inputs!$B$22+((C1625=TRUE)*(F1625-Calc!F25)),(Inputs!$B$23+((C1630=TRUE)*(F1630-Calc!F30))+IF(ArtifactsInput!$M$15,CHOOSE(ArtifactsInput!$N$15+1,25,30,35,40,45,50)/100*(Inputs!$B$11-Inputs!$B$11),0)))/100+(Inputs!$B$23+((C1630=TRUE)*(F1630-Calc!F30))+IF(ArtifactsInput!$M$15,CHOOSE(ArtifactsInput!$N$15+1,25,30,35,40,45,50)/100*(Inputs!$B$11-Inputs!$B$11),0))/100)/2</f>
        <v/>
      </c>
      <c r="M1614">
        <f>L1614*(1+(Inputs!$B$10+((C1627=TRUE)*(F1627-Calc!F27))+B1641+(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1614">
        <f>L1614*(1-MIN((Inputs!$B$9+((C1626=TRUE)*(F1626-Calc!F26))+B1634+(ArtifactsInput!$M$24-ArtifactsInput!$M$24)*CHOOSE(ArtifactsInput!$N$24+1,10,12,14,16,18,20)+(IF(AND(Inputs!$B$39&lt;&gt;"pvp",Inputs!$B$44=0),1,IF(IF(Inputs!$B$39="pvp",15,Inputs!$B$44)-(B1645)&lt;=0,1,MAX(0,IF(Inputs!$B$39="pvp",15,Inputs!$B$44)-MAX(5,B1645))/(IF(Inputs!$B$39="pvp",15,Inputs!$B$44)-(B1645))))*IF(AND(ArtifactsInput!$M$42,((Inputs!$B$9+((C1626=TRUE)*(F1626-Calc!F26))+B1634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1614*(MIN((Inputs!$B$9+((C1626=TRUE)*(F1626-Calc!F26))+B1634+(ArtifactsInput!$M$24-ArtifactsInput!$M$24)*CHOOSE(ArtifactsInput!$N$24+1,10,12,14,16,18,20)+(IF(AND(Inputs!$B$39&lt;&gt;"pvp",Inputs!$B$44=0),1,IF(IF(Inputs!$B$39="pvp",15,Inputs!$B$44)-(B1645)&lt;=0,1,MAX(0,IF(Inputs!$B$39="pvp",15,Inputs!$B$44)-MAX(5,B1645))/(IF(Inputs!$B$39="pvp",15,Inputs!$B$44)-(B1645))))*IF(AND(ArtifactsInput!$M$42,((Inputs!$B$9+((C1626=TRUE)*(F1626-Calc!F26))+B1634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614">
        <f>(1-Summary!$B$11)*T1614+Summary!$B$11*V1614</f>
        <v/>
      </c>
      <c r="P1614">
        <f>IF(B1646=0,0,O1614/B1646)</f>
        <v/>
      </c>
      <c r="Q1614">
        <f>IFERROR(1/IF(Inputs!$B$39="pvp",15,MAX(0.1,Skills!D14-IF(TRUE=TRUE,Inputs!$B$32,0))),0)</f>
        <v/>
      </c>
      <c r="R1614">
        <f>IF(AND(Inputs!$B$39&lt;&gt;"pvp",Inputs!$B$44&gt;0),IF(MAX(0,Inputs!$B$44-B1645)&lt;=0,0,(INT(MAX(0,Inputs!$B$44-B1645)/IF(Inputs!$B$39="pvp",15,MAX(0.1,Skills!D14-IF(TRUE=TRUE,Inputs!$B$32,0))))+1)),0)</f>
        <v/>
      </c>
      <c r="S1614">
        <f>IFERROR(O1614/N1614,0)</f>
        <v/>
      </c>
      <c r="T1614">
        <f>IF(C1614,(H1614*N1614*IF(AND(Inputs!$B$39&lt;&gt;"pvp",Inputs!$B$44&gt;0),((Skills!G14*((R1614-1)*IF(Skills!H14&gt;0,Skills!I14/Skills!H14,1)+IF(Skills!H14&gt;0,MIN(Skills!I14,MAX(0,MAX(0,Inputs!$B$44-B1645)-((R1614-1)*IF(Inputs!$B$39="pvp",15,MAX(0.1,Skills!D14-IF(TRUE=TRUE,Inputs!$B$32,0))))))/Skills!H14,1)))/Inputs!$B$44),G1614*Q1614))*IF(Inputs!$B$39="pvp",1,1+(Inputs!$B$20+0+Skills!P14+B1635+(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Hunt"),CHOOSE(ArtifactsInput!$N$35+1,15,18,21,24,27,30)*(1-EXP(-(0.2*B1638)*5)),0)+IF(AND(ArtifactsInput!$M$22,Inputs!$B$4&lt;&gt;"Chapter Hunt"),CHOOSE(ArtifactsInput!$N$22+1,10,12,14,16,18,20)*((0*(((0.15*B1638*5))^0/1)+1*(((0.15*B1638*5))^1/1)+2*(((0.15*B1638*5))^2/2)+3*(((0.15*B1638*5))^3/6)+4*(((0.15*B1638*5))^4/24)+5*(((0.15*B1638*5))^5/120))/((((0.15*B1638*5))^0/1)+(((0.15*B1638*5))^1/1)+(((0.15*B1638*5))^2/2)+(((0.15*B1638*5))^3/6)+(((0.15*B1638*5))^4/24)+(((0.15*B1638*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1614*(1-MIN(100,(Inputs!$B$9+((C1626=TRUE)*(F1626-Calc!F26))+B1634+(ArtifactsInput!$M$24-ArtifactsInput!$M$24)*CHOOSE(ArtifactsInput!$N$24+1,10,12,14,16,18,20)+(IF(AND(Inputs!$B$39&lt;&gt;"pvp",Inputs!$B$44=0),1,IF(IF(Inputs!$B$39="pvp",15,Inputs!$B$44)-(B1645)&lt;=0,1,MAX(0,IF(Inputs!$B$39="pvp",15,Inputs!$B$44)-MAX(5,B1645))/(IF(Inputs!$B$39="pvp",15,Inputs!$B$44)-(B1645))))*IF(AND(ArtifactsInput!$M$42,((Inputs!$B$9+((C1626=TRUE)*(F1626-Calc!F26))+B1634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IF(ArtifactsInput!$M$8,FALSE,TRUE),Inputs!$B$39&lt;&gt;"pvp"),CHOOSE(ArtifactsInput!$N$8+1,8,9.6,11.2,12.8,14.4,16),0))/100)+M1614*(MIN(100,(Inputs!$B$9+((C1626=TRUE)*(F1626-Calc!F26))+B1634+(ArtifactsInput!$M$24-ArtifactsInput!$M$24)*CHOOSE(ArtifactsInput!$N$24+1,10,12,14,16,18,20)+(IF(AND(Inputs!$B$39&lt;&gt;"pvp",Inputs!$B$44=0),1,IF(IF(Inputs!$B$39="pvp",15,Inputs!$B$44)-(B1645)&lt;=0,1,MAX(0,IF(Inputs!$B$39="pvp",15,Inputs!$B$44)-MAX(5,B1645))/(IF(Inputs!$B$39="pvp",15,Inputs!$B$44)-(B1645))))*IF(AND(ArtifactsInput!$M$42,((Inputs!$B$9+((C1626=TRUE)*(F1626-Calc!F26))+B1634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IF(ArtifactsInput!$M$8,FALSE,TRUE),Inputs!$B$39&lt;&gt;"pvp"),CHOOSE(ArtifactsInput!$N$8+1,8,9.6,11.2,12.8,14.4,16),0))/100))/(L1614*(1-MIN(100,(Inputs!$B$9+((C1626=TRUE)*(F1626-Calc!F26))+B1634+(ArtifactsInput!$M$24-ArtifactsInput!$M$24)*CHOOSE(ArtifactsInput!$N$24+1,10,12,14,16,18,20)+(IF(AND(Inputs!$B$39&lt;&gt;"pvp",Inputs!$B$44=0),1,IF(IF(Inputs!$B$39="pvp",15,Inputs!$B$44)-(B1645)&lt;=0,1,MAX(0,IF(Inputs!$B$39="pvp",15,Inputs!$B$44)-MAX(5,B1645))/(IF(Inputs!$B$39="pvp",15,Inputs!$B$44)-(B1645))))*IF(AND(ArtifactsInput!$M$42,((Inputs!$B$9+((C1626=TRUE)*(F1626-Calc!F26))+B1634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1614*(MIN(100,(Inputs!$B$9+((C1626=TRUE)*(F1626-Calc!F26))+B1634+(ArtifactsInput!$M$24-ArtifactsInput!$M$24)*CHOOSE(ArtifactsInput!$N$24+1,10,12,14,16,18,20)+(IF(AND(Inputs!$B$39&lt;&gt;"pvp",Inputs!$B$44=0),1,IF(IF(Inputs!$B$39="pvp",15,Inputs!$B$44)-(B1645)&lt;=0,1,MAX(0,IF(Inputs!$B$39="pvp",15,Inputs!$B$44)-MAX(5,B1645))/(IF(Inputs!$B$39="pvp",15,Inputs!$B$44)-(B1645))))*IF(AND(ArtifactsInput!$M$42,((Inputs!$B$9+((C1626=TRUE)*(F1626-Calc!F26))+B1634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1614">
        <f>IF(C1614,(H1614*N1614*IF(AND(Inputs!$B$39&lt;&gt;"pvp",Inputs!$B$44&gt;0),((Skills!G14*((R1614-1)*IF(Skills!H14&gt;0,Skills!I14/Skills!H14,1)+IF(Skills!H14&gt;0,MIN(Skills!I14,MAX(0,MAX(0,Inputs!$B$44-B1645)-((R1614-1)*IF(Inputs!$B$39="pvp",15,MAX(0.1,Skills!D14-IF(TRUE=TRUE,Inputs!$B$32,0))))))/Skills!H14,1)))/Inputs!$B$44),G1614*Q1614))*IF(Inputs!$B$39="pvp",1,(1+(Inputs!$B$21+Skills!Q14+B1635+(IF(ArtifactsInput!$M$33,CHOOSE(ArtifactsInput!$N$33+1,30,36,42,48,54,60),0))+(IF(AND(ArtifactsInput!$M$35,Inputs!$B$4&lt;&gt;"Chapter Hunt"),CHOOSE(ArtifactsInput!$N$35+1,15,18,21,24,27,30)*(1-EXP(-(0.2*B1638)*5)),0)+IF(AND(ArtifactsInput!$M$22,Inputs!$B$4&lt;&gt;"Chapter Hunt"),CHOOSE(ArtifactsInput!$N$22+1,10,12,14,16,18,20)*((0*(((0.15*B1638*5))^0/1)+1*(((0.15*B1638*5))^1/1)+2*(((0.15*B1638*5))^2/2)+3*(((0.15*B1638*5))^3/6)+4*(((0.15*B1638*5))^4/24)+5*(((0.15*B1638*5))^5/120))/((((0.15*B1638*5))^0/1)+(((0.15*B1638*5))^1/1)+(((0.15*B1638*5))^2/2)+(((0.15*B1638*5))^3/6)+(((0.15*B1638*5))^4/24)+(((0.15*B1638*5))^5/120))),0)))/100)*(MIN(Skills!W14,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615">
      <c r="A1615">
        <f>Skills!A15</f>
        <v/>
      </c>
      <c r="B1615">
        <f>Skills!B15</f>
        <v/>
      </c>
      <c r="C1615">
        <f>Inputs!$B$3&gt;=107</f>
        <v/>
      </c>
      <c r="D1615">
        <f>IF(Skills!C15=1,60+Inputs!$B$25+Inputs!$B$29,IF(Skills!C15=2,90+Inputs!$B$26+Inputs!$B$29,IF(Skills!C15=3,120+Inputs!$B$27+Inputs!$B$29,MAX(0,(Inputs!$B$3-100)*3)+Inputs!$B$28+Inputs!$B$29)))</f>
        <v/>
      </c>
      <c r="E1615">
        <f>INDEX(FactorTable!$B$2:$Y$301, MATCH(ROUND(MIN(300,MAX(1,D1615)),0), FactorTable!$A$2:$A$301,0), Skills!M15+1)</f>
        <v/>
      </c>
      <c r="F1615">
        <f>IF(Skills!N15=TRUE,(Skills!L15/10)*(E1615/1000),Skills!L15/10)+Skills!O15</f>
        <v/>
      </c>
      <c r="G1615">
        <f>Skills!G15*IF(Skills!H15&gt;0,IF(Inputs!$B$39="pvp",MIN(Skills!I15,15),Skills!I15)/Skills!H15,1)</f>
        <v/>
      </c>
      <c r="H1615">
        <f>1-(1-Skills!J15/100)^Skills!K15</f>
        <v/>
      </c>
      <c r="I1615" t="inlineStr">
        <is>
          <t>1</t>
        </is>
      </c>
      <c r="J1615">
        <f>((Inputs!$B$6*(1+Inputs!$B$7/100))+(((Inputs!$B$12*(1+Inputs!$B$13/100))-(Inputs!$B$12*(1+Inputs!$B$13/100)))+0.25*(Inputs!$B$14-Inputs!$B$14))*(1+Inputs!$B$7/100))*(F1615/100)</f>
        <v/>
      </c>
      <c r="K1615">
        <f>J1615*(1+((Inputs!$B$12*(1+Inputs!$B$13/100))*0.01+Inputs!$B$14*0.0025)/100)*(1+Inputs!$B$15/100)*(1+Inputs!$B$16/100)*(5000/(6000+Inputs!$B$43*(1-(100*(1-(1-Inputs!$B$19/100)*(1-CHOOSE(ArtifactsInput!$N$40+1,5,6,7,8,9,10)/100)^(ArtifactsInput!$M$40-ArtifactsInput!$M$40)))/100)))*(1+(Inputs!$B$24+((C1631=TRUE)*(F1631-Calc!F31))+((C1618=TRUE)*(F1618-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15="CRUEL_STAB",Inputs!$B$17+((C1628=TRUE)*(F1628-Calc!F28))+((IF(AND(Inputs!$B$39&lt;&gt;"pvp",Inputs!$B$44=0),1,IF(IF(Inputs!$B$39="pvp",15,Inputs!$B$44)-(B1645)&lt;=0,1,MAX(0,IF(Inputs!$B$39="pvp",15,Inputs!$B$44)-MAX(5,B1645))/(IF(Inputs!$B$39="pvp",15,Inputs!$B$44)-(B1645))))*(IF(AND(ArtifactsInput!$M$42,((Inputs!$B$9+((C1626=TRUE)*(F1626-Calc!F26))+B1634+(ArtifactsInput!$M$24-ArtifactsInput!$M$24)*CHOOSE(ArtifactsInput!$N$24+1,10,12,14,16,18,20)+IF(ArtifactsInput!$M$10,CHOOSE(ArtifactsInput!$N$10+1,15,18,21,24,27,30)*(IF(Inputs!$B$39="pvp",MIN(15,15)/15,IF(AND(Inputs!$B$39&lt;&gt;"pvp",Inputs!$B$44&gt;0),MIN(15,Inputs!$B$44)/(Inputs!$B$44),0))),0)))&gt;=100),MIN(100,((Inputs!$B$9+((C1626=TRUE)*(F1626-Calc!F26))+B1634+(ArtifactsInput!$M$24-ArtifactsInput!$M$24)*CHOOSE(ArtifactsInput!$N$24+1,10,12,14,16,18,20)+IF(ArtifactsInput!$M$10,CHOOSE(ArtifactsInput!$N$10+1,15,18,21,24,27,30)*(IF(Inputs!$B$39="pvp",MIN(15,15)/15,IF(AND(Inputs!$B$39&lt;&gt;"pvp",Inputs!$B$44&gt;0),MIN(15,Inputs!$B$44)/(Inputs!$B$44),0))),0)))-100),0))*CHOOSE(ArtifactsInput!$N$42+1,0.6,0.72,0.84,0.96,1.08,1.2))),Inputs!$B$18+((C1629=TRUE)*(F1629-Calc!F29))+(IF(AND(Inputs!$B$39&lt;&gt;"pvp",Inputs!$B$44=0),1,IF(IF(Inputs!$B$39="pvp",15,Inputs!$B$44)-(B1645)&lt;=0,1,MAX(0,IF(Inputs!$B$39="pvp",15,Inputs!$B$44)-MAX(5,B1645))/(IF(Inputs!$B$39="pvp",15,Inputs!$B$44)-(B1645))))*IF(AND(ArtifactsInput!$M$42,((Inputs!$B$9+((C1626=TRUE)*(F1626-Calc!F26))+B1634+(ArtifactsInput!$M$24-ArtifactsInput!$M$24)*CHOOSE(ArtifactsInput!$N$24+1,10,12,14,16,18,20)+IF(ArtifactsInput!$M$10,CHOOSE(ArtifactsInput!$N$10+1,15,18,21,24,27,30)*(IF(Inputs!$B$39="pvp",MIN(15,15)/15,IF(AND(Inputs!$B$39&lt;&gt;"pvp",Inputs!$B$44&gt;0),MIN(15,Inputs!$B$44)/(Inputs!$B$44),0))),0)))&gt;=100),CHOOSE(ArtifactsInput!$N$42+1,40,48,56,64,72,80),0))))/100)*(((1+(((C1622=TRUE)*F1622*IF(AND(Inputs!$B$39&lt;&gt;"pvp",Inputs!$B$44&gt;0),(((R1622-1)*MIN((Skills!Y22*(1+Inputs!$B$34/100)),(1/Q1622))+MIN((Skills!Y22*(1+Inputs!$B$34/100)),MAX(0,Inputs!$B$44-((R1622-1)*(1/Q1622)))))/Inputs!$B$44),IF(Inputs!$B$39="pvp",MIN((Skills!Y22*(1+Inputs!$B$34/100)),15)/15,MIN(1,(Skills!Y22*(1+Inputs!$B$34/100))/(1/Q1622)))))+((C1603=TRUE)*F1603*3)+((C1605=TRUE)*F1605*(1-EXP(-0.75*B1638*5)))+((C1624=TRUE)*(F1624-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1611=TRUE)*F1611*IF(AND(Inputs!$B$39&lt;&gt;"pvp",Inputs!$B$44&gt;0),(((R1611-1)*MIN((Skills!Y11*(1+Inputs!$B$34/100)),(1/Q1611))+MIN((Skills!Y11*(1+Inputs!$B$34/100)),MAX(0,Inputs!$B$44-((R1611-1)*(1/Q1611)))))/Inputs!$B$44),IF(Inputs!$B$39="pvp",MIN((Skills!Y11*(1+Inputs!$B$34/100)),15)/15,MIN(1,(Skills!Y11*(1+Inputs!$B$34/100))/(1/Q1611)))))/100)*(1+((C1616=TRUE)*F1616*IF(AND(Inputs!$B$39&lt;&gt;"pvp",Inputs!$B$44&gt;0),(((R1616-1)*MIN((Skills!Y16*(1+Inputs!$B$34/100)),(1/Q1616))+MIN((Skills!Y16*(1+Inputs!$B$34/100)),MAX(0,Inputs!$B$44-((R1616-1)*(1/Q1616)))))/Inputs!$B$44),IF(Inputs!$B$39="pvp",MIN((Skills!Y16*(1+Inputs!$B$34/100)),15)/15,MIN(1,(Skills!Y16*(1+Inputs!$B$34/100))/(1/Q1616)))))/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1636*I1615)</f>
        <v/>
      </c>
      <c r="L1615">
        <f>K1615*(MIN(Inputs!$B$22+((C1625=TRUE)*(F1625-Calc!F25)),(Inputs!$B$23+((C1630=TRUE)*(F1630-Calc!F30))+IF(ArtifactsInput!$M$15,CHOOSE(ArtifactsInput!$N$15+1,25,30,35,40,45,50)/100*(Inputs!$B$11-Inputs!$B$11),0)))/100+(Inputs!$B$23+((C1630=TRUE)*(F1630-Calc!F30))+IF(ArtifactsInput!$M$15,CHOOSE(ArtifactsInput!$N$15+1,25,30,35,40,45,50)/100*(Inputs!$B$11-Inputs!$B$11),0))/100)/2</f>
        <v/>
      </c>
      <c r="M1615">
        <f>L1615*(1+(Inputs!$B$10+((C1627=TRUE)*(F1627-Calc!F27))+B1641+(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1615">
        <f>L1615*(1-MIN((Inputs!$B$9+((C1626=TRUE)*(F1626-Calc!F26))+B1634+(ArtifactsInput!$M$24-ArtifactsInput!$M$24)*CHOOSE(ArtifactsInput!$N$24+1,10,12,14,16,18,20)+(IF(AND(Inputs!$B$39&lt;&gt;"pvp",Inputs!$B$44=0),1,IF(IF(Inputs!$B$39="pvp",15,Inputs!$B$44)-(B1645)&lt;=0,1,MAX(0,IF(Inputs!$B$39="pvp",15,Inputs!$B$44)-MAX(5,B1645))/(IF(Inputs!$B$39="pvp",15,Inputs!$B$44)-(B1645))))*IF(AND(ArtifactsInput!$M$42,((Inputs!$B$9+((C1626=TRUE)*(F1626-Calc!F26))+B1634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1615*(MIN((Inputs!$B$9+((C1626=TRUE)*(F1626-Calc!F26))+B1634+(ArtifactsInput!$M$24-ArtifactsInput!$M$24)*CHOOSE(ArtifactsInput!$N$24+1,10,12,14,16,18,20)+(IF(AND(Inputs!$B$39&lt;&gt;"pvp",Inputs!$B$44=0),1,IF(IF(Inputs!$B$39="pvp",15,Inputs!$B$44)-(B1645)&lt;=0,1,MAX(0,IF(Inputs!$B$39="pvp",15,Inputs!$B$44)-MAX(5,B1645))/(IF(Inputs!$B$39="pvp",15,Inputs!$B$44)-(B1645))))*IF(AND(ArtifactsInput!$M$42,((Inputs!$B$9+((C1626=TRUE)*(F1626-Calc!F26))+B1634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615">
        <f>(1-Summary!$B$11)*T1615+Summary!$B$11*V1615</f>
        <v/>
      </c>
      <c r="P1615">
        <f>IF(B1646=0,0,O1615/B1646)</f>
        <v/>
      </c>
      <c r="Q1615">
        <f>IFERROR(1/IF(Inputs!$B$39="pvp",15,MAX(0.1,Skills!D15-IF(TRUE=TRUE,Inputs!$B$32,0))),0)</f>
        <v/>
      </c>
      <c r="R1615">
        <f>IF(AND(Inputs!$B$39&lt;&gt;"pvp",Inputs!$B$44&gt;0),IF(MAX(0,Inputs!$B$44-B1645)&lt;=0,0,(INT(MAX(0,Inputs!$B$44-B1645)/IF(Inputs!$B$39="pvp",15,MAX(0.1,Skills!D15-IF(TRUE=TRUE,Inputs!$B$32,0))))+1)),0)</f>
        <v/>
      </c>
      <c r="S1615">
        <f>IFERROR(O1615/N1615,0)</f>
        <v/>
      </c>
      <c r="T1615">
        <f>IF(C1615,(H1615*N1615*IF(AND(Inputs!$B$39&lt;&gt;"pvp",Inputs!$B$44&gt;0),((Skills!G15*((R1615-1)*IF(Skills!H15&gt;0,Skills!I15/Skills!H15,1)+IF(Skills!H15&gt;0,MIN(Skills!I15,MAX(0,MAX(0,Inputs!$B$44-B1645)-((R1615-1)*IF(Inputs!$B$39="pvp",15,MAX(0.1,Skills!D15-IF(TRUE=TRUE,Inputs!$B$32,0))))))/Skills!H15,1)))/Inputs!$B$44),G1615*Q1615))*IF(Inputs!$B$39="pvp",1,1+(Inputs!$B$20+0+Skills!P15+B1635+(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Hunt"),CHOOSE(ArtifactsInput!$N$35+1,15,18,21,24,27,30)*(1-EXP(-(0.2*B1638)*5)),0)+IF(AND(ArtifactsInput!$M$22,Inputs!$B$4&lt;&gt;"Chapter Hunt"),CHOOSE(ArtifactsInput!$N$22+1,10,12,14,16,18,20)*((0*(((0.15*B1638*5))^0/1)+1*(((0.15*B1638*5))^1/1)+2*(((0.15*B1638*5))^2/2)+3*(((0.15*B1638*5))^3/6)+4*(((0.15*B1638*5))^4/24)+5*(((0.15*B1638*5))^5/120))/((((0.15*B1638*5))^0/1)+(((0.15*B1638*5))^1/1)+(((0.15*B1638*5))^2/2)+(((0.15*B1638*5))^3/6)+(((0.15*B1638*5))^4/24)+(((0.15*B1638*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1615*(1-MIN(100,(Inputs!$B$9+((C1626=TRUE)*(F1626-Calc!F26))+B1634+(ArtifactsInput!$M$24-ArtifactsInput!$M$24)*CHOOSE(ArtifactsInput!$N$24+1,10,12,14,16,18,20)+(IF(AND(Inputs!$B$39&lt;&gt;"pvp",Inputs!$B$44=0),1,IF(IF(Inputs!$B$39="pvp",15,Inputs!$B$44)-(B1645)&lt;=0,1,MAX(0,IF(Inputs!$B$39="pvp",15,Inputs!$B$44)-MAX(5,B1645))/(IF(Inputs!$B$39="pvp",15,Inputs!$B$44)-(B1645))))*IF(AND(ArtifactsInput!$M$42,((Inputs!$B$9+((C1626=TRUE)*(F1626-Calc!F26))+B1634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IF(ArtifactsInput!$M$8,FALSE,TRUE),Inputs!$B$39&lt;&gt;"pvp"),CHOOSE(ArtifactsInput!$N$8+1,8,9.6,11.2,12.8,14.4,16),0))/100)+M1615*(MIN(100,(Inputs!$B$9+((C1626=TRUE)*(F1626-Calc!F26))+B1634+(ArtifactsInput!$M$24-ArtifactsInput!$M$24)*CHOOSE(ArtifactsInput!$N$24+1,10,12,14,16,18,20)+(IF(AND(Inputs!$B$39&lt;&gt;"pvp",Inputs!$B$44=0),1,IF(IF(Inputs!$B$39="pvp",15,Inputs!$B$44)-(B1645)&lt;=0,1,MAX(0,IF(Inputs!$B$39="pvp",15,Inputs!$B$44)-MAX(5,B1645))/(IF(Inputs!$B$39="pvp",15,Inputs!$B$44)-(B1645))))*IF(AND(ArtifactsInput!$M$42,((Inputs!$B$9+((C1626=TRUE)*(F1626-Calc!F26))+B1634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IF(ArtifactsInput!$M$8,FALSE,TRUE),Inputs!$B$39&lt;&gt;"pvp"),CHOOSE(ArtifactsInput!$N$8+1,8,9.6,11.2,12.8,14.4,16),0))/100))/(L1615*(1-MIN(100,(Inputs!$B$9+((C1626=TRUE)*(F1626-Calc!F26))+B1634+(ArtifactsInput!$M$24-ArtifactsInput!$M$24)*CHOOSE(ArtifactsInput!$N$24+1,10,12,14,16,18,20)+(IF(AND(Inputs!$B$39&lt;&gt;"pvp",Inputs!$B$44=0),1,IF(IF(Inputs!$B$39="pvp",15,Inputs!$B$44)-(B1645)&lt;=0,1,MAX(0,IF(Inputs!$B$39="pvp",15,Inputs!$B$44)-MAX(5,B1645))/(IF(Inputs!$B$39="pvp",15,Inputs!$B$44)-(B1645))))*IF(AND(ArtifactsInput!$M$42,((Inputs!$B$9+((C1626=TRUE)*(F1626-Calc!F26))+B1634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1615*(MIN(100,(Inputs!$B$9+((C1626=TRUE)*(F1626-Calc!F26))+B1634+(ArtifactsInput!$M$24-ArtifactsInput!$M$24)*CHOOSE(ArtifactsInput!$N$24+1,10,12,14,16,18,20)+(IF(AND(Inputs!$B$39&lt;&gt;"pvp",Inputs!$B$44=0),1,IF(IF(Inputs!$B$39="pvp",15,Inputs!$B$44)-(B1645)&lt;=0,1,MAX(0,IF(Inputs!$B$39="pvp",15,Inputs!$B$44)-MAX(5,B1645))/(IF(Inputs!$B$39="pvp",15,Inputs!$B$44)-(B1645))))*IF(AND(ArtifactsInput!$M$42,((Inputs!$B$9+((C1626=TRUE)*(F1626-Calc!F26))+B1634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1615">
        <f>IF(C1615,(H1615*N1615*IF(AND(Inputs!$B$39&lt;&gt;"pvp",Inputs!$B$44&gt;0),((Skills!G15*((R1615-1)*IF(Skills!H15&gt;0,Skills!I15/Skills!H15,1)+IF(Skills!H15&gt;0,MIN(Skills!I15,MAX(0,MAX(0,Inputs!$B$44-B1645)-((R1615-1)*IF(Inputs!$B$39="pvp",15,MAX(0.1,Skills!D15-IF(TRUE=TRUE,Inputs!$B$32,0))))))/Skills!H15,1)))/Inputs!$B$44),G1615*Q1615))*IF(Inputs!$B$39="pvp",1,(1+(Inputs!$B$21+Skills!Q15+B1635+(IF(ArtifactsInput!$M$33,CHOOSE(ArtifactsInput!$N$33+1,30,36,42,48,54,60),0))+(IF(AND(ArtifactsInput!$M$35,Inputs!$B$4&lt;&gt;"Chapter Hunt"),CHOOSE(ArtifactsInput!$N$35+1,15,18,21,24,27,30)*(1-EXP(-(0.2*B1638)*5)),0)+IF(AND(ArtifactsInput!$M$22,Inputs!$B$4&lt;&gt;"Chapter Hunt"),CHOOSE(ArtifactsInput!$N$22+1,10,12,14,16,18,20)*((0*(((0.15*B1638*5))^0/1)+1*(((0.15*B1638*5))^1/1)+2*(((0.15*B1638*5))^2/2)+3*(((0.15*B1638*5))^3/6)+4*(((0.15*B1638*5))^4/24)+5*(((0.15*B1638*5))^5/120))/((((0.15*B1638*5))^0/1)+(((0.15*B1638*5))^1/1)+(((0.15*B1638*5))^2/2)+(((0.15*B1638*5))^3/6)+(((0.15*B1638*5))^4/24)+(((0.15*B1638*5))^5/120))),0)))/100)*(MIN(MIN(5,0.5*IF(Inputs!$B$3&gt;=75,0.75,0.5)*B1638*(1/Q1604))*Skills!V15,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616">
      <c r="A1616">
        <f>Skills!A16</f>
        <v/>
      </c>
      <c r="B1616">
        <f>Skills!B16</f>
        <v/>
      </c>
      <c r="C1616">
        <f>Inputs!$B$3&gt;=110</f>
        <v/>
      </c>
      <c r="D1616">
        <f>IF(Skills!C16=1,60+Inputs!$B$25+Inputs!$B$29,IF(Skills!C16=2,90+Inputs!$B$26+Inputs!$B$29,IF(Skills!C16=3,120+Inputs!$B$27+Inputs!$B$29,MAX(0,(Inputs!$B$3-100)*3)+Inputs!$B$28+Inputs!$B$29)))</f>
        <v/>
      </c>
      <c r="E1616">
        <f>INDEX(FactorTable!$B$2:$Y$301, MATCH(ROUND(MIN(300,MAX(1,D1616)),0), FactorTable!$A$2:$A$301,0), Skills!M16+1)</f>
        <v/>
      </c>
      <c r="F1616">
        <f>IF(Skills!N16=TRUE,(Skills!L16/10)*(E1616/1000),Skills!L16/10)+Skills!O16</f>
        <v/>
      </c>
      <c r="G1616">
        <f>Skills!G16*IF(Skills!H16&gt;0,IF(Inputs!$B$39="pvp",MIN(Skills!I16,15),Skills!I16)/Skills!H16,1)</f>
        <v/>
      </c>
      <c r="H1616">
        <f>1-(1-Skills!J16/100)^Skills!K16</f>
        <v/>
      </c>
      <c r="I1616" t="inlineStr">
        <is>
          <t>1</t>
        </is>
      </c>
      <c r="J1616" t="inlineStr"/>
      <c r="K1616" t="inlineStr"/>
      <c r="L1616" t="inlineStr"/>
      <c r="M1616" t="inlineStr"/>
      <c r="N1616" t="inlineStr"/>
      <c r="O1616">
        <f>(1-Summary!$B$11)*T1616+Summary!$B$11*V1616</f>
        <v/>
      </c>
      <c r="P1616">
        <f>IF(B1646=0,0,O1616/B1646)</f>
        <v/>
      </c>
      <c r="Q1616">
        <f>IFERROR(1/IF(Inputs!$B$39="pvp",15,MAX(0.1,Skills!D16-IF(TRUE=TRUE,Inputs!$B$32,0))),0)</f>
        <v/>
      </c>
      <c r="R1616">
        <f>IF(AND(Inputs!$B$39&lt;&gt;"pvp",Inputs!$B$44&gt;0),IF(Inputs!$B$44&lt;=0,0,(INT(Inputs!$B$44/IF(Inputs!$B$39="pvp",15,MAX(0.1,Skills!D16-IF(TRUE=TRUE,Inputs!$B$32,0))))+1)),0)</f>
        <v/>
      </c>
      <c r="S1616">
        <f>IFERROR(O1616/N1616,0)</f>
        <v/>
      </c>
      <c r="T1616" t="n">
        <v>0</v>
      </c>
      <c r="V1616" t="n">
        <v>0</v>
      </c>
    </row>
    <row r="1617">
      <c r="A1617">
        <f>Skills!A17</f>
        <v/>
      </c>
      <c r="B1617">
        <f>Skills!B17</f>
        <v/>
      </c>
      <c r="C1617">
        <f>Inputs!$B$3&gt;=115</f>
        <v/>
      </c>
      <c r="D1617">
        <f>IF(Skills!C17=1,60+Inputs!$B$25+Inputs!$B$29,IF(Skills!C17=2,90+Inputs!$B$26+Inputs!$B$29,IF(Skills!C17=3,120+Inputs!$B$27+Inputs!$B$29,MAX(0,(Inputs!$B$3-100)*3)+Inputs!$B$28+Inputs!$B$29)))</f>
        <v/>
      </c>
      <c r="E1617">
        <f>INDEX(FactorTable!$B$2:$Y$301, MATCH(ROUND(MIN(300,MAX(1,D1617)),0), FactorTable!$A$2:$A$301,0), Skills!M17+1)</f>
        <v/>
      </c>
      <c r="F1617">
        <f>IF(Skills!N17=TRUE,(Skills!L17/10)*(E1617/1000),Skills!L17/10)+Skills!O17</f>
        <v/>
      </c>
      <c r="G1617">
        <f>Skills!G17*IF(Skills!H17&gt;0,IF(Inputs!$B$39="pvp",MIN(Skills!I17,15),Skills!I17)/Skills!H17,1)</f>
        <v/>
      </c>
      <c r="H1617">
        <f>1-(1-Skills!J17/100)^Skills!K17</f>
        <v/>
      </c>
      <c r="I1617" t="inlineStr">
        <is>
          <t>1</t>
        </is>
      </c>
      <c r="J1617">
        <f>((Inputs!$B$6*(1+Inputs!$B$7/100))+(((Inputs!$B$12*(1+Inputs!$B$13/100))-(Inputs!$B$12*(1+Inputs!$B$13/100)))+0.25*(Inputs!$B$14-Inputs!$B$14))*(1+Inputs!$B$7/100))*(F1617/100)</f>
        <v/>
      </c>
      <c r="K1617">
        <f>J1617*(1+((Inputs!$B$12*(1+Inputs!$B$13/100))*0.01+Inputs!$B$14*0.0025)/100)*(1+Inputs!$B$15/100)*(1+Inputs!$B$16/100)*(5000/(6000+Inputs!$B$43*(1-(100*(1-(1-Inputs!$B$19/100)*(1-CHOOSE(ArtifactsInput!$N$40+1,5,6,7,8,9,10)/100)^(ArtifactsInput!$M$40-ArtifactsInput!$M$40)))/100)))*(1+(Inputs!$B$24+((C1631=TRUE)*(F1631-Calc!F31))+((C1618=TRUE)*(F1618-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17="CRUEL_STAB",Inputs!$B$17+((C1628=TRUE)*(F1628-Calc!F28))+((IF(AND(Inputs!$B$39&lt;&gt;"pvp",Inputs!$B$44=0),1,IF(IF(Inputs!$B$39="pvp",15,Inputs!$B$44)-(B1645)&lt;=0,1,MAX(0,IF(Inputs!$B$39="pvp",15,Inputs!$B$44)-MAX(5,B1645))/(IF(Inputs!$B$39="pvp",15,Inputs!$B$44)-(B1645))))*(IF(AND(ArtifactsInput!$M$42,((Inputs!$B$9+((C1626=TRUE)*(F1626-Calc!F26))+B1634+(ArtifactsInput!$M$24-ArtifactsInput!$M$24)*CHOOSE(ArtifactsInput!$N$24+1,10,12,14,16,18,20)+IF(ArtifactsInput!$M$10,CHOOSE(ArtifactsInput!$N$10+1,15,18,21,24,27,30)*(IF(Inputs!$B$39="pvp",MIN(15,15)/15,IF(AND(Inputs!$B$39&lt;&gt;"pvp",Inputs!$B$44&gt;0),MIN(15,Inputs!$B$44)/(Inputs!$B$44),0))),0)))&gt;=100),MIN(100,((Inputs!$B$9+((C1626=TRUE)*(F1626-Calc!F26))+B1634+(ArtifactsInput!$M$24-ArtifactsInput!$M$24)*CHOOSE(ArtifactsInput!$N$24+1,10,12,14,16,18,20)+IF(ArtifactsInput!$M$10,CHOOSE(ArtifactsInput!$N$10+1,15,18,21,24,27,30)*(IF(Inputs!$B$39="pvp",MIN(15,15)/15,IF(AND(Inputs!$B$39&lt;&gt;"pvp",Inputs!$B$44&gt;0),MIN(15,Inputs!$B$44)/(Inputs!$B$44),0))),0)))-100),0))*CHOOSE(ArtifactsInput!$N$42+1,0.6,0.72,0.84,0.96,1.08,1.2))),Inputs!$B$18+((C1629=TRUE)*(F1629-Calc!F29))+(IF(AND(Inputs!$B$39&lt;&gt;"pvp",Inputs!$B$44=0),1,IF(IF(Inputs!$B$39="pvp",15,Inputs!$B$44)-(B1645)&lt;=0,1,MAX(0,IF(Inputs!$B$39="pvp",15,Inputs!$B$44)-MAX(5,B1645))/(IF(Inputs!$B$39="pvp",15,Inputs!$B$44)-(B1645))))*IF(AND(ArtifactsInput!$M$42,((Inputs!$B$9+((C1626=TRUE)*(F1626-Calc!F26))+B1634+(ArtifactsInput!$M$24-ArtifactsInput!$M$24)*CHOOSE(ArtifactsInput!$N$24+1,10,12,14,16,18,20)+IF(ArtifactsInput!$M$10,CHOOSE(ArtifactsInput!$N$10+1,15,18,21,24,27,30)*(IF(Inputs!$B$39="pvp",MIN(15,15)/15,IF(AND(Inputs!$B$39&lt;&gt;"pvp",Inputs!$B$44&gt;0),MIN(15,Inputs!$B$44)/(Inputs!$B$44),0))),0)))&gt;=100),CHOOSE(ArtifactsInput!$N$42+1,40,48,56,64,72,80),0))))/100)*(((1+(((C1622=TRUE)*F1622*IF(AND(Inputs!$B$39&lt;&gt;"pvp",Inputs!$B$44&gt;0),(((R1622-1)*MIN((Skills!Y22*(1+Inputs!$B$34/100)),(1/Q1622))+MIN((Skills!Y22*(1+Inputs!$B$34/100)),MAX(0,Inputs!$B$44-((R1622-1)*(1/Q1622)))))/Inputs!$B$44),IF(Inputs!$B$39="pvp",MIN((Skills!Y22*(1+Inputs!$B$34/100)),15)/15,MIN(1,(Skills!Y22*(1+Inputs!$B$34/100))/(1/Q1622)))))+((C1603=TRUE)*F1603*3)+((C1605=TRUE)*F1605*(1-EXP(-0.75*B1638*5)))+((C1624=TRUE)*(F1624-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1611=TRUE)*F1611*IF(AND(Inputs!$B$39&lt;&gt;"pvp",Inputs!$B$44&gt;0),(((R1611-1)*MIN((Skills!Y11*(1+Inputs!$B$34/100)),(1/Q1611))+MIN((Skills!Y11*(1+Inputs!$B$34/100)),MAX(0,Inputs!$B$44-((R1611-1)*(1/Q1611)))))/Inputs!$B$44),IF(Inputs!$B$39="pvp",MIN((Skills!Y11*(1+Inputs!$B$34/100)),15)/15,MIN(1,(Skills!Y11*(1+Inputs!$B$34/100))/(1/Q1611)))))/100)*(1+((C1616=TRUE)*F1616*IF(AND(Inputs!$B$39&lt;&gt;"pvp",Inputs!$B$44&gt;0),(((R1616-1)*MIN((Skills!Y16*(1+Inputs!$B$34/100)),(1/Q1616))+MIN((Skills!Y16*(1+Inputs!$B$34/100)),MAX(0,Inputs!$B$44-((R1616-1)*(1/Q1616)))))/Inputs!$B$44),IF(Inputs!$B$39="pvp",MIN((Skills!Y16*(1+Inputs!$B$34/100)),15)/15,MIN(1,(Skills!Y16*(1+Inputs!$B$34/100))/(1/Q1616)))))/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1636*I1617)</f>
        <v/>
      </c>
      <c r="L1617">
        <f>K1617*(MIN(Inputs!$B$22+((C1625=TRUE)*(F1625-Calc!F25)),(Inputs!$B$23+((C1630=TRUE)*(F1630-Calc!F30))+IF(ArtifactsInput!$M$15,CHOOSE(ArtifactsInput!$N$15+1,25,30,35,40,45,50)/100*(Inputs!$B$11-Inputs!$B$11),0)))/100+(Inputs!$B$23+((C1630=TRUE)*(F1630-Calc!F30))+IF(ArtifactsInput!$M$15,CHOOSE(ArtifactsInput!$N$15+1,25,30,35,40,45,50)/100*(Inputs!$B$11-Inputs!$B$11),0))/100)/2</f>
        <v/>
      </c>
      <c r="M1617">
        <f>L1617*(1+(Inputs!$B$10+((C1627=TRUE)*(F1627-Calc!F27))+B1641+(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1617">
        <f>L1617*(1-MIN((Inputs!$B$9+((C1626=TRUE)*(F1626-Calc!F26))+B1634+(ArtifactsInput!$M$24-ArtifactsInput!$M$24)*CHOOSE(ArtifactsInput!$N$24+1,10,12,14,16,18,20)+(IF(AND(Inputs!$B$39&lt;&gt;"pvp",Inputs!$B$44=0),1,IF(IF(Inputs!$B$39="pvp",15,Inputs!$B$44)-(B1645)&lt;=0,1,MAX(0,IF(Inputs!$B$39="pvp",15,Inputs!$B$44)-MAX(5,B1645))/(IF(Inputs!$B$39="pvp",15,Inputs!$B$44)-(B1645))))*IF(AND(ArtifactsInput!$M$42,((Inputs!$B$9+((C1626=TRUE)*(F1626-Calc!F26))+B1634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1617*(MIN((Inputs!$B$9+((C1626=TRUE)*(F1626-Calc!F26))+B1634+(ArtifactsInput!$M$24-ArtifactsInput!$M$24)*CHOOSE(ArtifactsInput!$N$24+1,10,12,14,16,18,20)+(IF(AND(Inputs!$B$39&lt;&gt;"pvp",Inputs!$B$44=0),1,IF(IF(Inputs!$B$39="pvp",15,Inputs!$B$44)-(B1645)&lt;=0,1,MAX(0,IF(Inputs!$B$39="pvp",15,Inputs!$B$44)-MAX(5,B1645))/(IF(Inputs!$B$39="pvp",15,Inputs!$B$44)-(B1645))))*IF(AND(ArtifactsInput!$M$42,((Inputs!$B$9+((C1626=TRUE)*(F1626-Calc!F26))+B1634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617">
        <f>(1-Summary!$B$11)*T1617+Summary!$B$11*V1617</f>
        <v/>
      </c>
      <c r="P1617">
        <f>IF(B1646=0,0,O1617/B1646)</f>
        <v/>
      </c>
      <c r="Q1617" t="n">
        <v>0</v>
      </c>
      <c r="R1617" t="n">
        <v>0</v>
      </c>
      <c r="S1617">
        <f>IFERROR(O1617/N1617,0)</f>
        <v/>
      </c>
      <c r="T1617">
        <f>IF(C1617,(Inputs!$B$38*0.2*N1617)*IF(Inputs!$B$39="pvp",1,1+(Inputs!$B$20+0+Skills!P17+B1635+(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Hunt"),CHOOSE(ArtifactsInput!$N$35+1,15,18,21,24,27,30)*(1-EXP(-(0.2*B1638)*5)),0)+IF(AND(ArtifactsInput!$M$22,Inputs!$B$4&lt;&gt;"Chapter Hunt"),CHOOSE(ArtifactsInput!$N$22+1,10,12,14,16,18,20)*((0*(((0.15*B1638*5))^0/1)+1*(((0.15*B1638*5))^1/1)+2*(((0.15*B1638*5))^2/2)+3*(((0.15*B1638*5))^3/6)+4*(((0.15*B1638*5))^4/24)+5*(((0.15*B1638*5))^5/120))/((((0.15*B1638*5))^0/1)+(((0.15*B1638*5))^1/1)+(((0.15*B1638*5))^2/2)+(((0.15*B1638*5))^3/6)+(((0.15*B1638*5))^4/24)+(((0.15*B1638*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1617*(1-MIN(100,(Inputs!$B$9+((C1626=TRUE)*(F1626-Calc!F26))+B1634+(ArtifactsInput!$M$24-ArtifactsInput!$M$24)*CHOOSE(ArtifactsInput!$N$24+1,10,12,14,16,18,20)+(IF(AND(Inputs!$B$39&lt;&gt;"pvp",Inputs!$B$44=0),1,IF(IF(Inputs!$B$39="pvp",15,Inputs!$B$44)-(B1645)&lt;=0,1,MAX(0,IF(Inputs!$B$39="pvp",15,Inputs!$B$44)-MAX(5,B1645))/(IF(Inputs!$B$39="pvp",15,Inputs!$B$44)-(B1645))))*IF(AND(ArtifactsInput!$M$42,((Inputs!$B$9+((C1626=TRUE)*(F1626-Calc!F26))+B1634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IF(ArtifactsInput!$M$8,FALSE,TRUE),Inputs!$B$39&lt;&gt;"pvp"),CHOOSE(ArtifactsInput!$N$8+1,8,9.6,11.2,12.8,14.4,16),0))/100)+M1617*(MIN(100,(Inputs!$B$9+((C1626=TRUE)*(F1626-Calc!F26))+B1634+(ArtifactsInput!$M$24-ArtifactsInput!$M$24)*CHOOSE(ArtifactsInput!$N$24+1,10,12,14,16,18,20)+(IF(AND(Inputs!$B$39&lt;&gt;"pvp",Inputs!$B$44=0),1,IF(IF(Inputs!$B$39="pvp",15,Inputs!$B$44)-(B1645)&lt;=0,1,MAX(0,IF(Inputs!$B$39="pvp",15,Inputs!$B$44)-MAX(5,B1645))/(IF(Inputs!$B$39="pvp",15,Inputs!$B$44)-(B1645))))*IF(AND(ArtifactsInput!$M$42,((Inputs!$B$9+((C1626=TRUE)*(F1626-Calc!F26))+B1634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IF(ArtifactsInput!$M$8,FALSE,TRUE),Inputs!$B$39&lt;&gt;"pvp"),CHOOSE(ArtifactsInput!$N$8+1,8,9.6,11.2,12.8,14.4,16),0))/100))/(L1617*(1-MIN(100,(Inputs!$B$9+((C1626=TRUE)*(F1626-Calc!F26))+B1634+(ArtifactsInput!$M$24-ArtifactsInput!$M$24)*CHOOSE(ArtifactsInput!$N$24+1,10,12,14,16,18,20)+(IF(AND(Inputs!$B$39&lt;&gt;"pvp",Inputs!$B$44=0),1,IF(IF(Inputs!$B$39="pvp",15,Inputs!$B$44)-(B1645)&lt;=0,1,MAX(0,IF(Inputs!$B$39="pvp",15,Inputs!$B$44)-MAX(5,B1645))/(IF(Inputs!$B$39="pvp",15,Inputs!$B$44)-(B1645))))*IF(AND(ArtifactsInput!$M$42,((Inputs!$B$9+((C1626=TRUE)*(F1626-Calc!F26))+B1634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1617*(MIN(100,(Inputs!$B$9+((C1626=TRUE)*(F1626-Calc!F26))+B1634+(ArtifactsInput!$M$24-ArtifactsInput!$M$24)*CHOOSE(ArtifactsInput!$N$24+1,10,12,14,16,18,20)+(IF(AND(Inputs!$B$39&lt;&gt;"pvp",Inputs!$B$44=0),1,IF(IF(Inputs!$B$39="pvp",15,Inputs!$B$44)-(B1645)&lt;=0,1,MAX(0,IF(Inputs!$B$39="pvp",15,Inputs!$B$44)-MAX(5,B1645))/(IF(Inputs!$B$39="pvp",15,Inputs!$B$44)-(B1645))))*IF(AND(ArtifactsInput!$M$42,((Inputs!$B$9+((C1626=TRUE)*(F1626-Calc!F26))+B1634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1617">
        <f>IF(C1617,(Inputs!$B$38*0.2*N1617)*IF(Inputs!$B$39="pvp",1,(1+(Inputs!$B$21+Skills!Q17+B1635+(IF(ArtifactsInput!$M$33,CHOOSE(ArtifactsInput!$N$33+1,30,36,42,48,54,60),0))+(IF(AND(ArtifactsInput!$M$35,Inputs!$B$4&lt;&gt;"Chapter Hunt"),CHOOSE(ArtifactsInput!$N$35+1,15,18,21,24,27,30)*(1-EXP(-(0.2*B1638)*5)),0)+IF(AND(ArtifactsInput!$M$22,Inputs!$B$4&lt;&gt;"Chapter Hunt"),CHOOSE(ArtifactsInput!$N$22+1,10,12,14,16,18,20)*((0*(((0.15*B1638*5))^0/1)+1*(((0.15*B1638*5))^1/1)+2*(((0.15*B1638*5))^2/2)+3*(((0.15*B1638*5))^3/6)+4*(((0.15*B1638*5))^4/24)+5*(((0.15*B1638*5))^5/120))/((((0.15*B1638*5))^0/1)+(((0.15*B1638*5))^1/1)+(((0.15*B1638*5))^2/2)+(((0.15*B1638*5))^3/6)+(((0.15*B1638*5))^4/24)+(((0.15*B1638*5))^5/120))),0)))/100)*(MIN(Skills!W17,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618">
      <c r="A1618">
        <f>Skills!A18</f>
        <v/>
      </c>
      <c r="B1618">
        <f>Skills!B18</f>
        <v/>
      </c>
      <c r="C1618">
        <f>Inputs!$B$3&gt;=115</f>
        <v/>
      </c>
      <c r="D1618">
        <f>IF(Skills!C18=1,60+Inputs!$B$25+Inputs!$B$29,IF(Skills!C18=2,90+Inputs!$B$26+Inputs!$B$29,IF(Skills!C18=3,120+Inputs!$B$27+Inputs!$B$29,MAX(0,(Inputs!$B$3-100)*3)+Inputs!$B$28+Inputs!$B$29)))</f>
        <v/>
      </c>
      <c r="E1618">
        <f>INDEX(FactorTable!$B$2:$Y$301, MATCH(ROUND(MIN(300,MAX(1,D1618)),0), FactorTable!$A$2:$A$301,0), Skills!M18+1)</f>
        <v/>
      </c>
      <c r="F1618">
        <f>IF(Skills!N18=TRUE,(Skills!L18/10)*(E1618/1000),Skills!L18/10)+Skills!O18</f>
        <v/>
      </c>
      <c r="G1618">
        <f>Skills!G18*IF(Skills!H18&gt;0,IF(Inputs!$B$39="pvp",MIN(Skills!I18,15),Skills!I18)/Skills!H18,1)</f>
        <v/>
      </c>
      <c r="H1618">
        <f>1-(1-Skills!J18/100)^Skills!K18</f>
        <v/>
      </c>
      <c r="I1618" t="inlineStr">
        <is>
          <t>1</t>
        </is>
      </c>
      <c r="J1618" t="inlineStr"/>
      <c r="K1618" t="inlineStr"/>
      <c r="L1618" t="inlineStr"/>
      <c r="M1618" t="inlineStr"/>
      <c r="N1618" t="inlineStr"/>
      <c r="O1618">
        <f>(1-Summary!$B$11)*T1618+Summary!$B$11*V1618</f>
        <v/>
      </c>
      <c r="P1618">
        <f>IF(B1646=0,0,O1618/B1646)</f>
        <v/>
      </c>
      <c r="Q1618" t="n">
        <v>0</v>
      </c>
      <c r="R1618" t="n">
        <v>0</v>
      </c>
      <c r="S1618">
        <f>IFERROR(O1618/N1618,0)</f>
        <v/>
      </c>
      <c r="T1618" t="n">
        <v>0</v>
      </c>
      <c r="V1618" t="n">
        <v>0</v>
      </c>
    </row>
    <row r="1619">
      <c r="A1619">
        <f>Skills!A19</f>
        <v/>
      </c>
      <c r="B1619">
        <f>Skills!B19</f>
        <v/>
      </c>
      <c r="C1619">
        <f>Inputs!$B$3&gt;=100</f>
        <v/>
      </c>
      <c r="D1619">
        <f>IF(Skills!C19=1,60+Inputs!$B$25+Inputs!$B$29,IF(Skills!C19=2,90+Inputs!$B$26+Inputs!$B$29,IF(Skills!C19=3,120+Inputs!$B$27+Inputs!$B$29,MAX(0,(Inputs!$B$3-100)*3)+Inputs!$B$28+Inputs!$B$29)))</f>
        <v/>
      </c>
      <c r="E1619">
        <f>INDEX(FactorTable!$B$2:$Y$301, MATCH(ROUND(MIN(300,MAX(1,D1619)),0), FactorTable!$A$2:$A$301,0), Skills!M19+1)</f>
        <v/>
      </c>
      <c r="F1619">
        <f>IF(Skills!N19=TRUE,(Skills!L19/10)*(E1619/1000),Skills!L19/10)+Skills!O19</f>
        <v/>
      </c>
      <c r="G1619">
        <f>Skills!G19*IF(Skills!H19&gt;0,IF(Inputs!$B$39="pvp",MIN(Skills!I19,15),Skills!I19)/Skills!H19,1)</f>
        <v/>
      </c>
      <c r="H1619">
        <f>1-(1-Skills!J19/100)^Skills!K19</f>
        <v/>
      </c>
      <c r="I1619" t="inlineStr">
        <is>
          <t>1</t>
        </is>
      </c>
      <c r="J1619" t="inlineStr"/>
      <c r="K1619" t="inlineStr"/>
      <c r="L1619" t="inlineStr"/>
      <c r="M1619" t="inlineStr"/>
      <c r="N1619" t="inlineStr"/>
      <c r="O1619">
        <f>(1-Summary!$B$11)*T1619+Summary!$B$11*V1619</f>
        <v/>
      </c>
      <c r="P1619">
        <f>IF(B1646=0,0,O1619/B1646)</f>
        <v/>
      </c>
      <c r="Q1619" t="n">
        <v>0</v>
      </c>
      <c r="R1619" t="n">
        <v>0</v>
      </c>
      <c r="S1619">
        <f>IFERROR(O1619/N1619,0)</f>
        <v/>
      </c>
      <c r="T1619" t="n">
        <v>0</v>
      </c>
      <c r="V1619" t="n">
        <v>0</v>
      </c>
    </row>
    <row r="1620">
      <c r="A1620">
        <f>Skills!A20</f>
        <v/>
      </c>
      <c r="B1620">
        <f>Skills!B20</f>
        <v/>
      </c>
      <c r="C1620">
        <f>TRUE</f>
        <v/>
      </c>
      <c r="D1620">
        <f>IF(Skills!C20=1,60+Inputs!$B$25+Inputs!$B$29,IF(Skills!C20=2,90+Inputs!$B$26+Inputs!$B$29,IF(Skills!C20=3,120+Inputs!$B$27+Inputs!$B$29,MAX(0,(Inputs!$B$3-100)*3)+Inputs!$B$28+Inputs!$B$29)))</f>
        <v/>
      </c>
      <c r="E1620">
        <f>INDEX(FactorTable!$B$2:$Y$301, MATCH(ROUND(MIN(300,MAX(1,D1620)),0), FactorTable!$A$2:$A$301,0), Skills!M20+1)</f>
        <v/>
      </c>
      <c r="F1620">
        <f>IF(Skills!N20=TRUE,(Skills!L20/10)*(E1620/1000),Skills!L20/10)+Skills!O20</f>
        <v/>
      </c>
      <c r="G1620">
        <f>Skills!G20*IF(Skills!H20&gt;0,IF(Inputs!$B$39="pvp",MIN(Skills!I20,15),Skills!I20)/Skills!H20,1)</f>
        <v/>
      </c>
      <c r="H1620">
        <f>1-(1-Skills!J20/100)^Skills!K20</f>
        <v/>
      </c>
      <c r="I1620" t="inlineStr">
        <is>
          <t>1</t>
        </is>
      </c>
      <c r="J1620" t="inlineStr"/>
      <c r="K1620" t="inlineStr"/>
      <c r="L1620" t="inlineStr"/>
      <c r="M1620" t="inlineStr"/>
      <c r="N1620" t="inlineStr"/>
      <c r="O1620">
        <f>(1-Summary!$B$11)*T1620+Summary!$B$11*V1620</f>
        <v/>
      </c>
      <c r="P1620">
        <f>IF(B1646=0,0,O1620/B1646)</f>
        <v/>
      </c>
      <c r="Q1620">
        <f>IFERROR(1/IF(Inputs!$B$39="pvp",15,MAX(0.1,Skills!D20-IF(TRUE=TRUE,Inputs!$B$32,0))),0)</f>
        <v/>
      </c>
      <c r="R1620">
        <f>IF(AND(Inputs!$B$39&lt;&gt;"pvp",Inputs!$B$44&gt;0),IF(Inputs!$B$44&lt;=0,0,(INT(Inputs!$B$44/IF(Inputs!$B$39="pvp",15,MAX(0.1,Skills!D20-IF(TRUE=TRUE,Inputs!$B$32,0))))+1)),0)</f>
        <v/>
      </c>
      <c r="S1620">
        <f>IFERROR(O1620/N1620,0)</f>
        <v/>
      </c>
      <c r="T1620" t="n">
        <v>0</v>
      </c>
      <c r="V1620" t="n">
        <v>0</v>
      </c>
    </row>
    <row r="1621">
      <c r="A1621">
        <f>Skills!A21</f>
        <v/>
      </c>
      <c r="B1621">
        <f>Skills!B21</f>
        <v/>
      </c>
      <c r="C1621">
        <f>Inputs!$B$3&gt;=15</f>
        <v/>
      </c>
      <c r="D1621">
        <f>IF(Skills!C21=1,60+Inputs!$B$25+Inputs!$B$29,IF(Skills!C21=2,90+Inputs!$B$26+Inputs!$B$29,IF(Skills!C21=3,120+Inputs!$B$27+Inputs!$B$29,MAX(0,(Inputs!$B$3-100)*3)+Inputs!$B$28+Inputs!$B$29)))</f>
        <v/>
      </c>
      <c r="E1621">
        <f>INDEX(FactorTable!$B$2:$Y$301, MATCH(ROUND(MIN(300,MAX(1,D1621)),0), FactorTable!$A$2:$A$301,0), Skills!M21+1)</f>
        <v/>
      </c>
      <c r="F1621">
        <f>IF(Skills!N21=TRUE,(Skills!L21/10)*(E1621/1000),Skills!L21/10)+Skills!O21</f>
        <v/>
      </c>
      <c r="G1621">
        <f>Skills!G21*IF(Skills!H21&gt;0,IF(Inputs!$B$39="pvp",MIN(Skills!I21,15),Skills!I21)/Skills!H21,1)</f>
        <v/>
      </c>
      <c r="H1621">
        <f>1-(1-Skills!J21/100)^Skills!K21</f>
        <v/>
      </c>
      <c r="I1621" t="inlineStr">
        <is>
          <t>1</t>
        </is>
      </c>
      <c r="J1621" t="inlineStr"/>
      <c r="K1621" t="inlineStr"/>
      <c r="L1621" t="inlineStr"/>
      <c r="M1621" t="inlineStr"/>
      <c r="N1621" t="inlineStr"/>
      <c r="O1621">
        <f>(1-Summary!$B$11)*T1621+Summary!$B$11*V1621</f>
        <v/>
      </c>
      <c r="P1621">
        <f>IF(B1646=0,0,O1621/B1646)</f>
        <v/>
      </c>
      <c r="Q1621">
        <f>IFERROR(1/IF(Inputs!$B$39="pvp",15,MAX(0.1,Skills!D21-IF(TRUE=TRUE,Inputs!$B$32,0))),0)</f>
        <v/>
      </c>
      <c r="R1621">
        <f>IF(AND(Inputs!$B$39&lt;&gt;"pvp",Inputs!$B$44&gt;0),IF(Inputs!$B$44&lt;=0,0,(INT(Inputs!$B$44/IF(Inputs!$B$39="pvp",15,MAX(0.1,Skills!D21-IF(TRUE=TRUE,Inputs!$B$32,0))))+1)),0)</f>
        <v/>
      </c>
      <c r="S1621">
        <f>IFERROR(O1621/N1621,0)</f>
        <v/>
      </c>
      <c r="T1621" t="n">
        <v>0</v>
      </c>
      <c r="V1621" t="n">
        <v>0</v>
      </c>
    </row>
    <row r="1622">
      <c r="A1622">
        <f>Skills!A22</f>
        <v/>
      </c>
      <c r="B1622">
        <f>Skills!B22</f>
        <v/>
      </c>
      <c r="C1622">
        <f>Inputs!$B$3&gt;=15</f>
        <v/>
      </c>
      <c r="D1622">
        <f>IF(Skills!C22=1,60+Inputs!$B$25+Inputs!$B$29,IF(Skills!C22=2,90+Inputs!$B$26+Inputs!$B$29,IF(Skills!C22=3,120+Inputs!$B$27+Inputs!$B$29,MAX(0,(Inputs!$B$3-100)*3)+Inputs!$B$28+Inputs!$B$29)))</f>
        <v/>
      </c>
      <c r="E1622">
        <f>INDEX(FactorTable!$B$2:$Y$301, MATCH(ROUND(MIN(300,MAX(1,D1622)),0), FactorTable!$A$2:$A$301,0), Skills!M22+1)</f>
        <v/>
      </c>
      <c r="F1622">
        <f>IF(Skills!N22=TRUE,(Skills!L22/10)*(E1622/1000),Skills!L22/10)+Skills!O22</f>
        <v/>
      </c>
      <c r="G1622">
        <f>Skills!G22*IF(Skills!H22&gt;0,IF(Inputs!$B$39="pvp",MIN(Skills!I22,15),Skills!I22)/Skills!H22,1)</f>
        <v/>
      </c>
      <c r="H1622">
        <f>1-(1-Skills!J22/100)^Skills!K22</f>
        <v/>
      </c>
      <c r="I1622" t="inlineStr">
        <is>
          <t>1</t>
        </is>
      </c>
      <c r="J1622" t="inlineStr"/>
      <c r="K1622" t="inlineStr"/>
      <c r="L1622" t="inlineStr"/>
      <c r="M1622" t="inlineStr"/>
      <c r="N1622" t="inlineStr"/>
      <c r="O1622">
        <f>(1-Summary!$B$11)*T1622+Summary!$B$11*V1622</f>
        <v/>
      </c>
      <c r="P1622">
        <f>IF(B1646=0,0,O1622/B1646)</f>
        <v/>
      </c>
      <c r="Q1622">
        <f>IFERROR(1/IF(Inputs!$B$39="pvp",15,MAX(0.1,Skills!D22-IF(TRUE=TRUE,Inputs!$B$32,0))),0)</f>
        <v/>
      </c>
      <c r="R1622">
        <f>IF(AND(Inputs!$B$39&lt;&gt;"pvp",Inputs!$B$44&gt;0),IF(Inputs!$B$44&lt;=0,0,(INT(Inputs!$B$44/IF(Inputs!$B$39="pvp",15,MAX(0.1,Skills!D22-IF(TRUE=TRUE,Inputs!$B$32,0))))+1)),0)</f>
        <v/>
      </c>
      <c r="S1622">
        <f>IFERROR(O1622/N1622,0)</f>
        <v/>
      </c>
      <c r="T1622" t="n">
        <v>0</v>
      </c>
      <c r="V1622" t="n">
        <v>0</v>
      </c>
    </row>
    <row r="1623">
      <c r="A1623">
        <f>Skills!A23</f>
        <v/>
      </c>
      <c r="B1623">
        <f>Skills!B23</f>
        <v/>
      </c>
      <c r="C1623">
        <f>Inputs!$B$3&gt;=33</f>
        <v/>
      </c>
      <c r="D1623">
        <f>IF(Skills!C23=1,60+Inputs!$B$25+Inputs!$B$29,IF(Skills!C23=2,90+Inputs!$B$26+Inputs!$B$29,IF(Skills!C23=3,120+Inputs!$B$27+Inputs!$B$29,MAX(0,(Inputs!$B$3-100)*3)+Inputs!$B$28+Inputs!$B$29)))</f>
        <v/>
      </c>
      <c r="E1623">
        <f>INDEX(FactorTable!$B$2:$Y$301, MATCH(ROUND(MIN(300,MAX(1,D1623)),0), FactorTable!$A$2:$A$301,0), Skills!M23+1)</f>
        <v/>
      </c>
      <c r="F1623">
        <f>IF(Skills!N23=TRUE,(Skills!L23/10)*(E1623/1000),Skills!L23/10)+Skills!O23</f>
        <v/>
      </c>
      <c r="G1623">
        <f>Skills!G23*IF(Skills!H23&gt;0,IF(Inputs!$B$39="pvp",MIN(Skills!I23,15),Skills!I23)/Skills!H23,1)</f>
        <v/>
      </c>
      <c r="H1623">
        <f>1-(1-Skills!J23/100)^Skills!K23</f>
        <v/>
      </c>
      <c r="I1623" t="inlineStr">
        <is>
          <t>1</t>
        </is>
      </c>
      <c r="J1623" t="inlineStr"/>
      <c r="K1623" t="inlineStr"/>
      <c r="L1623" t="inlineStr"/>
      <c r="M1623" t="inlineStr"/>
      <c r="N1623" t="inlineStr"/>
      <c r="O1623">
        <f>(1-Summary!$B$11)*T1623+Summary!$B$11*V1623</f>
        <v/>
      </c>
      <c r="P1623">
        <f>IF(B1646=0,0,O1623/B1646)</f>
        <v/>
      </c>
      <c r="Q1623" t="n">
        <v>0</v>
      </c>
      <c r="R1623" t="n">
        <v>0</v>
      </c>
      <c r="S1623">
        <f>IFERROR(O1623/N1623,0)</f>
        <v/>
      </c>
      <c r="T1623" t="n">
        <v>0</v>
      </c>
      <c r="V1623" t="n">
        <v>0</v>
      </c>
    </row>
    <row r="1624">
      <c r="A1624">
        <f>Skills!A24</f>
        <v/>
      </c>
      <c r="B1624">
        <f>Skills!B24</f>
        <v/>
      </c>
      <c r="C1624">
        <f>Inputs!$B$3&gt;=40</f>
        <v/>
      </c>
      <c r="D1624">
        <f>IF(Skills!C24=1,60+Inputs!$B$25+Inputs!$B$29,IF(Skills!C24=2,90+Inputs!$B$26+Inputs!$B$29,IF(Skills!C24=3,120+Inputs!$B$27+Inputs!$B$29,MAX(0,(Inputs!$B$3-100)*3)+Inputs!$B$28+Inputs!$B$29)))</f>
        <v/>
      </c>
      <c r="E1624">
        <f>INDEX(FactorTable!$B$2:$Y$301, MATCH(ROUND(MIN(300,MAX(1,D1624)),0), FactorTable!$A$2:$A$301,0), Skills!M24+1)</f>
        <v/>
      </c>
      <c r="F1624">
        <f>IF(Skills!N24=TRUE,(Skills!L24/10)*(E1624/1000),Skills!L24/10)+Skills!O24</f>
        <v/>
      </c>
      <c r="G1624">
        <f>Skills!G24*IF(Skills!H24&gt;0,IF(Inputs!$B$39="pvp",MIN(Skills!I24,15),Skills!I24)/Skills!H24,1)</f>
        <v/>
      </c>
      <c r="H1624">
        <f>1-(1-Skills!J24/100)^Skills!K24</f>
        <v/>
      </c>
      <c r="I1624" t="inlineStr">
        <is>
          <t>1</t>
        </is>
      </c>
      <c r="J1624" t="inlineStr"/>
      <c r="K1624" t="inlineStr"/>
      <c r="L1624" t="inlineStr"/>
      <c r="M1624" t="inlineStr"/>
      <c r="N1624" t="inlineStr"/>
      <c r="O1624">
        <f>(1-Summary!$B$11)*T1624+Summary!$B$11*V1624</f>
        <v/>
      </c>
      <c r="P1624">
        <f>IF(B1646=0,0,O1624/B1646)</f>
        <v/>
      </c>
      <c r="Q1624" t="n">
        <v>0</v>
      </c>
      <c r="R1624" t="n">
        <v>0</v>
      </c>
      <c r="S1624">
        <f>IFERROR(O1624/N1624,0)</f>
        <v/>
      </c>
      <c r="T1624" t="n">
        <v>0</v>
      </c>
      <c r="V1624" t="n">
        <v>0</v>
      </c>
    </row>
    <row r="1625">
      <c r="A1625">
        <f>Skills!A25</f>
        <v/>
      </c>
      <c r="B1625">
        <f>Skills!B25</f>
        <v/>
      </c>
      <c r="C1625">
        <f>Inputs!$B$3&gt;=43</f>
        <v/>
      </c>
      <c r="D1625">
        <f>IF(Skills!C25=1,60+Inputs!$B$25+Inputs!$B$29,IF(Skills!C25=2,90+Inputs!$B$26+Inputs!$B$29,IF(Skills!C25=3,120+Inputs!$B$27+Inputs!$B$29,MAX(0,(Inputs!$B$3-100)*3)+Inputs!$B$28+Inputs!$B$29)))</f>
        <v/>
      </c>
      <c r="E1625">
        <f>INDEX(FactorTable!$B$2:$Y$301, MATCH(ROUND(MIN(300,MAX(1,D1625)),0), FactorTable!$A$2:$A$301,0), Skills!M25+1)</f>
        <v/>
      </c>
      <c r="F1625">
        <f>IF(Skills!N25=TRUE,(Skills!L25/10)*(E1625/1000),Skills!L25/10)+Skills!O25</f>
        <v/>
      </c>
      <c r="G1625">
        <f>Skills!G25*IF(Skills!H25&gt;0,IF(Inputs!$B$39="pvp",MIN(Skills!I25,15),Skills!I25)/Skills!H25,1)</f>
        <v/>
      </c>
      <c r="H1625">
        <f>1-(1-Skills!J25/100)^Skills!K25</f>
        <v/>
      </c>
      <c r="I1625" t="inlineStr">
        <is>
          <t>1</t>
        </is>
      </c>
      <c r="J1625" t="inlineStr"/>
      <c r="K1625" t="inlineStr"/>
      <c r="L1625" t="inlineStr"/>
      <c r="M1625" t="inlineStr"/>
      <c r="N1625" t="inlineStr"/>
      <c r="O1625">
        <f>(1-Summary!$B$11)*T1625+Summary!$B$11*V1625</f>
        <v/>
      </c>
      <c r="P1625">
        <f>IF(B1646=0,0,O1625/B1646)</f>
        <v/>
      </c>
      <c r="Q1625" t="n">
        <v>0</v>
      </c>
      <c r="R1625" t="n">
        <v>0</v>
      </c>
      <c r="S1625">
        <f>IFERROR(O1625/N1625,0)</f>
        <v/>
      </c>
      <c r="T1625" t="n">
        <v>0</v>
      </c>
      <c r="V1625" t="n">
        <v>0</v>
      </c>
    </row>
    <row r="1626">
      <c r="A1626">
        <f>Skills!A26</f>
        <v/>
      </c>
      <c r="B1626">
        <f>Skills!B26</f>
        <v/>
      </c>
      <c r="C1626">
        <f>Inputs!$B$3&gt;=50</f>
        <v/>
      </c>
      <c r="D1626">
        <f>IF(Skills!C26=1,60+Inputs!$B$25+Inputs!$B$29,IF(Skills!C26=2,90+Inputs!$B$26+Inputs!$B$29,IF(Skills!C26=3,120+Inputs!$B$27+Inputs!$B$29,MAX(0,(Inputs!$B$3-100)*3)+Inputs!$B$28+Inputs!$B$29)))</f>
        <v/>
      </c>
      <c r="E1626">
        <f>INDEX(FactorTable!$B$2:$Y$301, MATCH(ROUND(MIN(300,MAX(1,D1626)),0), FactorTable!$A$2:$A$301,0), Skills!M26+1)</f>
        <v/>
      </c>
      <c r="F1626">
        <f>IF(Skills!N26=TRUE,(Skills!L26/10)*(E1626/1000),Skills!L26/10)+Skills!O26</f>
        <v/>
      </c>
      <c r="G1626">
        <f>Skills!G26*IF(Skills!H26&gt;0,IF(Inputs!$B$39="pvp",MIN(Skills!I26,15),Skills!I26)/Skills!H26,1)</f>
        <v/>
      </c>
      <c r="H1626">
        <f>1-(1-Skills!J26/100)^Skills!K26</f>
        <v/>
      </c>
      <c r="I1626" t="inlineStr">
        <is>
          <t>1</t>
        </is>
      </c>
      <c r="J1626" t="inlineStr"/>
      <c r="K1626" t="inlineStr"/>
      <c r="L1626" t="inlineStr"/>
      <c r="M1626" t="inlineStr"/>
      <c r="N1626" t="inlineStr"/>
      <c r="O1626">
        <f>(1-Summary!$B$11)*T1626+Summary!$B$11*V1626</f>
        <v/>
      </c>
      <c r="P1626">
        <f>IF(B1646=0,0,O1626/B1646)</f>
        <v/>
      </c>
      <c r="Q1626" t="n">
        <v>0</v>
      </c>
      <c r="R1626" t="n">
        <v>0</v>
      </c>
      <c r="S1626">
        <f>IFERROR(O1626/N1626,0)</f>
        <v/>
      </c>
      <c r="T1626" t="n">
        <v>0</v>
      </c>
      <c r="V1626" t="n">
        <v>0</v>
      </c>
    </row>
    <row r="1627">
      <c r="A1627">
        <f>Skills!A27</f>
        <v/>
      </c>
      <c r="B1627">
        <f>Skills!B27</f>
        <v/>
      </c>
      <c r="C1627">
        <f>Inputs!$B$3&gt;=50</f>
        <v/>
      </c>
      <c r="D1627">
        <f>IF(Skills!C27=1,60+Inputs!$B$25+Inputs!$B$29,IF(Skills!C27=2,90+Inputs!$B$26+Inputs!$B$29,IF(Skills!C27=3,120+Inputs!$B$27+Inputs!$B$29,MAX(0,(Inputs!$B$3-100)*3)+Inputs!$B$28+Inputs!$B$29)))</f>
        <v/>
      </c>
      <c r="E1627">
        <f>INDEX(FactorTable!$B$2:$Y$301, MATCH(ROUND(MIN(300,MAX(1,D1627)),0), FactorTable!$A$2:$A$301,0), Skills!M27+1)</f>
        <v/>
      </c>
      <c r="F1627">
        <f>IF(Skills!N27=TRUE,(Skills!L27/10)*(E1627/1000),Skills!L27/10)+Skills!O27</f>
        <v/>
      </c>
      <c r="G1627">
        <f>Skills!G27*IF(Skills!H27&gt;0,IF(Inputs!$B$39="pvp",MIN(Skills!I27,15),Skills!I27)/Skills!H27,1)</f>
        <v/>
      </c>
      <c r="H1627">
        <f>1-(1-Skills!J27/100)^Skills!K27</f>
        <v/>
      </c>
      <c r="I1627" t="inlineStr">
        <is>
          <t>1</t>
        </is>
      </c>
      <c r="J1627" t="inlineStr"/>
      <c r="K1627" t="inlineStr"/>
      <c r="L1627" t="inlineStr"/>
      <c r="M1627" t="inlineStr"/>
      <c r="N1627" t="inlineStr"/>
      <c r="O1627">
        <f>(1-Summary!$B$11)*T1627+Summary!$B$11*V1627</f>
        <v/>
      </c>
      <c r="P1627">
        <f>IF(B1646=0,0,O1627/B1646)</f>
        <v/>
      </c>
      <c r="Q1627" t="n">
        <v>0</v>
      </c>
      <c r="R1627" t="n">
        <v>0</v>
      </c>
      <c r="S1627">
        <f>IFERROR(O1627/N1627,0)</f>
        <v/>
      </c>
      <c r="T1627" t="n">
        <v>0</v>
      </c>
      <c r="V1627" t="n">
        <v>0</v>
      </c>
    </row>
    <row r="1628">
      <c r="A1628">
        <f>Skills!A28</f>
        <v/>
      </c>
      <c r="B1628">
        <f>Skills!B28</f>
        <v/>
      </c>
      <c r="C1628">
        <f>Inputs!$B$3&gt;=38</f>
        <v/>
      </c>
      <c r="D1628">
        <f>IF(Skills!C28=1,60+Inputs!$B$25+Inputs!$B$29,IF(Skills!C28=2,90+Inputs!$B$26+Inputs!$B$29,IF(Skills!C28=3,120+Inputs!$B$27+Inputs!$B$29,MAX(0,(Inputs!$B$3-100)*3)+Inputs!$B$28+Inputs!$B$29)))</f>
        <v/>
      </c>
      <c r="E1628">
        <f>INDEX(FactorTable!$B$2:$Y$301, MATCH(ROUND(MIN(300,MAX(1,D1628)),0), FactorTable!$A$2:$A$301,0), Skills!M28+1)</f>
        <v/>
      </c>
      <c r="F1628">
        <f>IF(Skills!N28=TRUE,(Skills!L28/10)*(E1628/1000),Skills!L28/10)+Skills!O28</f>
        <v/>
      </c>
      <c r="G1628">
        <f>Skills!G28*IF(Skills!H28&gt;0,IF(Inputs!$B$39="pvp",MIN(Skills!I28,15),Skills!I28)/Skills!H28,1)</f>
        <v/>
      </c>
      <c r="H1628">
        <f>1-(1-Skills!J28/100)^Skills!K28</f>
        <v/>
      </c>
      <c r="I1628" t="inlineStr">
        <is>
          <t>1</t>
        </is>
      </c>
      <c r="J1628" t="inlineStr"/>
      <c r="K1628" t="inlineStr"/>
      <c r="L1628" t="inlineStr"/>
      <c r="M1628" t="inlineStr"/>
      <c r="N1628" t="inlineStr"/>
      <c r="O1628">
        <f>(1-Summary!$B$11)*T1628+Summary!$B$11*V1628</f>
        <v/>
      </c>
      <c r="P1628">
        <f>IF(B1646=0,0,O1628/B1646)</f>
        <v/>
      </c>
      <c r="Q1628" t="n">
        <v>0</v>
      </c>
      <c r="R1628" t="n">
        <v>0</v>
      </c>
      <c r="S1628">
        <f>IFERROR(O1628/N1628,0)</f>
        <v/>
      </c>
      <c r="T1628" t="n">
        <v>0</v>
      </c>
      <c r="V1628" t="n">
        <v>0</v>
      </c>
    </row>
    <row r="1629">
      <c r="A1629">
        <f>Skills!A29</f>
        <v/>
      </c>
      <c r="B1629">
        <f>Skills!B29</f>
        <v/>
      </c>
      <c r="C1629">
        <f>Inputs!$B$3&gt;=120</f>
        <v/>
      </c>
      <c r="D1629">
        <f>IF(Skills!C29=1,60+Inputs!$B$25+Inputs!$B$29,IF(Skills!C29=2,90+Inputs!$B$26+Inputs!$B$29,IF(Skills!C29=3,120+Inputs!$B$27+Inputs!$B$29,MAX(0,(Inputs!$B$3-100)*3)+Inputs!$B$28+Inputs!$B$29)))</f>
        <v/>
      </c>
      <c r="E1629">
        <f>INDEX(FactorTable!$B$2:$Y$301, MATCH(ROUND(MIN(300,MAX(1,D1629)),0), FactorTable!$A$2:$A$301,0), Skills!M29+1)</f>
        <v/>
      </c>
      <c r="F1629">
        <f>IF(Skills!N29=TRUE,(Skills!L29/10)*(E1629/1000),Skills!L29/10)+Skills!O29</f>
        <v/>
      </c>
      <c r="G1629">
        <f>Skills!G29*IF(Skills!H29&gt;0,IF(Inputs!$B$39="pvp",MIN(Skills!I29,15),Skills!I29)/Skills!H29,1)</f>
        <v/>
      </c>
      <c r="H1629">
        <f>1-(1-Skills!J29/100)^Skills!K29</f>
        <v/>
      </c>
      <c r="I1629" t="inlineStr">
        <is>
          <t>1</t>
        </is>
      </c>
      <c r="J1629" t="inlineStr"/>
      <c r="K1629" t="inlineStr"/>
      <c r="L1629" t="inlineStr"/>
      <c r="M1629" t="inlineStr"/>
      <c r="N1629" t="inlineStr"/>
      <c r="O1629">
        <f>(1-Summary!$B$11)*T1629+Summary!$B$11*V1629</f>
        <v/>
      </c>
      <c r="P1629">
        <f>IF(B1646=0,0,O1629/B1646)</f>
        <v/>
      </c>
      <c r="Q1629" t="n">
        <v>0</v>
      </c>
      <c r="R1629" t="n">
        <v>0</v>
      </c>
      <c r="S1629">
        <f>IFERROR(O1629/N1629,0)</f>
        <v/>
      </c>
      <c r="T1629" t="n">
        <v>0</v>
      </c>
      <c r="V1629" t="n">
        <v>0</v>
      </c>
    </row>
    <row r="1630">
      <c r="A1630">
        <f>Skills!A30</f>
        <v/>
      </c>
      <c r="B1630">
        <f>Skills!B30</f>
        <v/>
      </c>
      <c r="C1630">
        <f>Inputs!$B$3&gt;=120</f>
        <v/>
      </c>
      <c r="D1630">
        <f>IF(Skills!C30=1,60+Inputs!$B$25+Inputs!$B$29,IF(Skills!C30=2,90+Inputs!$B$26+Inputs!$B$29,IF(Skills!C30=3,120+Inputs!$B$27+Inputs!$B$29,MAX(0,(Inputs!$B$3-100)*3)+Inputs!$B$28+Inputs!$B$29)))</f>
        <v/>
      </c>
      <c r="E1630">
        <f>INDEX(FactorTable!$B$2:$Y$301, MATCH(ROUND(MIN(300,MAX(1,D1630)),0), FactorTable!$A$2:$A$301,0), Skills!M30+1)</f>
        <v/>
      </c>
      <c r="F1630">
        <f>IF(Skills!N30=TRUE,(Skills!L30/10)*(E1630/1000),Skills!L30/10)+Skills!O30</f>
        <v/>
      </c>
      <c r="G1630">
        <f>Skills!G30*IF(Skills!H30&gt;0,IF(Inputs!$B$39="pvp",MIN(Skills!I30,15),Skills!I30)/Skills!H30,1)</f>
        <v/>
      </c>
      <c r="H1630">
        <f>1-(1-Skills!J30/100)^Skills!K30</f>
        <v/>
      </c>
      <c r="I1630" t="inlineStr">
        <is>
          <t>1</t>
        </is>
      </c>
      <c r="J1630" t="inlineStr"/>
      <c r="K1630" t="inlineStr"/>
      <c r="L1630" t="inlineStr"/>
      <c r="M1630" t="inlineStr"/>
      <c r="N1630" t="inlineStr"/>
      <c r="O1630">
        <f>(1-Summary!$B$11)*T1630+Summary!$B$11*V1630</f>
        <v/>
      </c>
      <c r="P1630">
        <f>IF(B1646=0,0,O1630/B1646)</f>
        <v/>
      </c>
      <c r="Q1630" t="n">
        <v>0</v>
      </c>
      <c r="R1630" t="n">
        <v>0</v>
      </c>
      <c r="S1630">
        <f>IFERROR(O1630/N1630,0)</f>
        <v/>
      </c>
      <c r="T1630" t="n">
        <v>0</v>
      </c>
      <c r="V1630" t="n">
        <v>0</v>
      </c>
    </row>
    <row r="1631">
      <c r="A1631">
        <f>Skills!A31</f>
        <v/>
      </c>
      <c r="B1631">
        <f>Skills!B31</f>
        <v/>
      </c>
      <c r="C1631">
        <f>Inputs!$B$3&gt;=125</f>
        <v/>
      </c>
      <c r="D1631">
        <f>IF(Skills!C31=1,60+Inputs!$B$25+Inputs!$B$29,IF(Skills!C31=2,90+Inputs!$B$26+Inputs!$B$29,IF(Skills!C31=3,120+Inputs!$B$27+Inputs!$B$29,MAX(0,(Inputs!$B$3-100)*3)+Inputs!$B$28+Inputs!$B$29)))</f>
        <v/>
      </c>
      <c r="E1631">
        <f>INDEX(FactorTable!$B$2:$Y$301, MATCH(ROUND(MIN(300,MAX(1,D1631)),0), FactorTable!$A$2:$A$301,0), Skills!M31+1)</f>
        <v/>
      </c>
      <c r="F1631">
        <f>IF(Skills!N31=TRUE,(Skills!L31/10)*(E1631/1000),Skills!L31/10)+Skills!O31</f>
        <v/>
      </c>
      <c r="G1631">
        <f>Skills!G31*IF(Skills!H31&gt;0,IF(Inputs!$B$39="pvp",MIN(Skills!I31,15),Skills!I31)/Skills!H31,1)</f>
        <v/>
      </c>
      <c r="H1631">
        <f>1-(1-Skills!J31/100)^Skills!K31</f>
        <v/>
      </c>
      <c r="I1631" t="inlineStr">
        <is>
          <t>1</t>
        </is>
      </c>
      <c r="J1631" t="inlineStr"/>
      <c r="K1631" t="inlineStr"/>
      <c r="L1631" t="inlineStr"/>
      <c r="M1631" t="inlineStr"/>
      <c r="N1631" t="inlineStr"/>
      <c r="O1631">
        <f>(1-Summary!$B$11)*T1631+Summary!$B$11*V1631</f>
        <v/>
      </c>
      <c r="P1631">
        <f>IF(B1646=0,0,O1631/B1646)</f>
        <v/>
      </c>
      <c r="Q1631" t="n">
        <v>0</v>
      </c>
      <c r="R1631" t="n">
        <v>0</v>
      </c>
      <c r="S1631">
        <f>IFERROR(O1631/N1631,0)</f>
        <v/>
      </c>
      <c r="T1631" t="n">
        <v>0</v>
      </c>
      <c r="V1631" t="n">
        <v>0</v>
      </c>
    </row>
    <row r="1633">
      <c r="A1633" t="inlineStr">
        <is>
          <t>Average Buff Multiplier</t>
        </is>
      </c>
      <c r="B1633">
        <f>(1+(((C1622=TRUE)*F1622*IF(AND(Inputs!$B$39&lt;&gt;"pvp",Inputs!$B$44&gt;0),(((R1622-1)*MIN((Skills!Y22*(1+Inputs!$B$34/100)),(1/Q1622))+MIN((Skills!Y22*(1+Inputs!$B$34/100)),MAX(0,Inputs!$B$44-((R1622-1)*(1/Q1622)))))/Inputs!$B$44),IF(Inputs!$B$39="pvp",MIN((Skills!Y22*(1+Inputs!$B$34/100)),15)/15,MIN(1,(Skills!Y22*(1+Inputs!$B$34/100))/(1/Q1622)))))+((C1603=TRUE)*F1603*3)+((C1605=TRUE)*F1605*(1-EXP(-0.75*B1638*5)))+((C1624=TRUE)*(F1624-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1611=TRUE)*F1611*IF(AND(Inputs!$B$39&lt;&gt;"pvp",Inputs!$B$44&gt;0),(((R1611-1)*MIN((Skills!Y11*(1+Inputs!$B$34/100)),(1/Q1611))+MIN((Skills!Y11*(1+Inputs!$B$34/100)),MAX(0,Inputs!$B$44-((R1611-1)*(1/Q1611)))))/Inputs!$B$44),IF(Inputs!$B$39="pvp",MIN((Skills!Y11*(1+Inputs!$B$34/100)),15)/15,MIN(1,(Skills!Y11*(1+Inputs!$B$34/100))/(1/Q1611)))))/100)*(1+((C1616=TRUE)*F1616*IF(AND(Inputs!$B$39&lt;&gt;"pvp",Inputs!$B$44&gt;0),(((R1616-1)*MIN((Skills!Y16*(1+Inputs!$B$34/100)),(1/Q1616))+MIN((Skills!Y16*(1+Inputs!$B$34/100)),MAX(0,Inputs!$B$44-((R1616-1)*(1/Q1616)))))/Inputs!$B$44),IF(Inputs!$B$39="pvp",MIN((Skills!Y16*(1+Inputs!$B$34/100)),15)/15,MIN(1,(Skills!Y16*(1+Inputs!$B$34/100))/(1/Q1616)))))/100)</f>
        <v/>
      </c>
    </row>
    <row r="1634">
      <c r="A1634" t="inlineStr">
        <is>
          <t>Global Crit Rate Bonus %</t>
        </is>
      </c>
      <c r="B1634">
        <f>((C1621=TRUE)*F1621*IF(AND(Inputs!$B$39&lt;&gt;"pvp",Inputs!$B$44&gt;0),(((R1621-1)*MIN((Skills!Y21*(1+Inputs!$B$34/100)),(1/Q1621))+MIN((Skills!Y21*(1+Inputs!$B$34/100)),MAX(0,Inputs!$B$44-((R1621-1)*(1/Q1621)))))/Inputs!$B$44),IF(Inputs!$B$39="pvp",MIN((Skills!Y21*(1+Inputs!$B$34/100)),15)/15,MIN(1,(Skills!Y21*(1+Inputs!$B$34/100))/(1/Q1621)))))</f>
        <v/>
      </c>
    </row>
    <row r="1635">
      <c r="A1635" t="inlineStr">
        <is>
          <t>Global Monster Damage-Taken Bonus %</t>
        </is>
      </c>
      <c r="B1635">
        <f>IF(Inputs!$B$3&gt;=82,15,0)</f>
        <v/>
      </c>
    </row>
    <row r="1636">
      <c r="A1636" t="inlineStr">
        <is>
          <t>Shadow Partner Average Multiplier</t>
        </is>
      </c>
      <c r="B1636">
        <f>1+((C1608=TRUE)*F1608*(1+3.3333333333333335*IF(C1619=TRUE,F1619,0)/100)*I1608*Skills!J8/100)/100</f>
        <v/>
      </c>
    </row>
    <row r="1637">
      <c r="A1637" t="inlineStr">
        <is>
          <t>Attack Speed Buff Bonus %</t>
        </is>
      </c>
      <c r="B1637">
        <f>((C1620=TRUE)*F1620*IF(AND(Inputs!$B$39&lt;&gt;"pvp",Inputs!$B$44&gt;0),(((R1620-1)*MIN((Skills!Y20*(1+Inputs!$B$34/100)),(1/Q1620))+MIN((Skills!Y20*(1+Inputs!$B$34/100)),MAX(0,Inputs!$B$44-((R1620-1)*(1/Q1620)))))/Inputs!$B$44),IF(Inputs!$B$39="pvp",MIN((Skills!Y20*(1+Inputs!$B$34/100)),15)/15,MIN(1,(Skills!Y20*(1+Inputs!$B$34/100))/(1/Q1620)))))</f>
        <v/>
      </c>
    </row>
    <row r="1638">
      <c r="A1638" t="inlineStr">
        <is>
          <t>Actions Per Second</t>
        </is>
      </c>
      <c r="B1638">
        <f>1+MIN(150,150*(1-(1-(Inputs!$B$11+((C1623=TRUE)*(F1623-Calc!F23)))/150)*(1-B1637/150)))/100</f>
        <v/>
      </c>
    </row>
    <row r="1639">
      <c r="A1639" t="inlineStr">
        <is>
          <t>Skill + Buff Cast Rate</t>
        </is>
      </c>
      <c r="B1639">
        <f>IF(AND(Inputs!$B$39&lt;&gt;"pvp",Inputs!$B$44&gt;0),SUMPRODUCT((Skills!E2:E31=TRUE)*(C1602:C1631=TRUE)*R1602:R1631*Skills!F2:F31)/Inputs!$B$44,SUMPRODUCT((Skills!E2:E31=TRUE)*(C1602:C1631=TRUE)*Q1602:Q1631*Skills!F2:F31))</f>
        <v/>
      </c>
    </row>
    <row r="1640">
      <c r="A1640" t="inlineStr">
        <is>
          <t>Cruel Stab Casts Per Second</t>
        </is>
      </c>
      <c r="B1640">
        <f>MAX(0,B1638-B1639)</f>
        <v/>
      </c>
    </row>
    <row r="1641">
      <c r="A1641" t="inlineStr">
        <is>
          <t>Global Critical Damage Bonus % (Smokescreen Mastery Lv.113)</t>
        </is>
      </c>
      <c r="B1641">
        <f>IF(Inputs!$B$3&gt;=113,30,0)*IF(AND(Inputs!$B$39&lt;&gt;"pvp",Inputs!$B$44&gt;0),(((R1616-1)*MIN((Skills!Y16*(1+Inputs!$B$34/100)),(1/Q1616))+MIN((Skills!Y16*(1+Inputs!$B$34/100)),MAX(0,Inputs!$B$44-((R1616-1)*(1/Q1616)))))/Inputs!$B$44),IF(Inputs!$B$39="pvp",MIN((Skills!Y16*(1+Inputs!$B$34/100)),15)/15,MIN(1,(Skills!Y16*(1+Inputs!$B$34/100))/(1/Q1616))))</f>
        <v/>
      </c>
    </row>
    <row r="1642">
      <c r="A1642" t="inlineStr">
        <is>
          <t>Meso Explosion average stack count</t>
        </is>
      </c>
      <c r="B1642">
        <f>MIN(10,IF(Inputs!$B$3&gt;=75,0.75,0.5)*B1638*(1/Q1604))</f>
        <v/>
      </c>
    </row>
    <row r="1643">
      <c r="A1643" t="inlineStr">
        <is>
          <t>Blood Money average stack count</t>
        </is>
      </c>
      <c r="B1643">
        <f>MIN(5,0.5*IF(Inputs!$B$3&gt;=75,0.75,0.5)*B1638*(1/Q1604))</f>
        <v/>
      </c>
    </row>
    <row r="1644">
      <c r="A1644" t="inlineStr">
        <is>
          <t>Assassinate Murderous Intent Multiplier</t>
        </is>
      </c>
      <c r="B1644">
        <f>1+IFERROR(MIN(1,Q1615*2/Q1612),0)</f>
        <v/>
      </c>
    </row>
    <row r="1645">
      <c r="A1645" t="inlineStr">
        <is>
          <t>Buff-Casting Startup Delay (s, fixed-duration only)</t>
        </is>
      </c>
      <c r="B1645">
        <f>IF(AND(Inputs!$B$39&lt;&gt;"pvp",Inputs!$B$44&gt;0),SUMPRODUCT((Skills!Y2:Y31&gt;0)*(Skills!E2:E31=TRUE)*(C1602:C1631=TRUE))/B1638,0)</f>
        <v/>
      </c>
    </row>
    <row r="1646">
      <c r="A1646" s="6" t="inlineStr">
        <is>
          <t>TOTAL DPS</t>
        </is>
      </c>
      <c r="B1646" s="6">
        <f>SUM(O1602:O1631)</f>
        <v/>
      </c>
    </row>
    <row r="1647">
      <c r="A1647" t="inlineStr">
        <is>
          <t>Boss-Only Total DPS (this block's swept value)</t>
        </is>
      </c>
      <c r="B1647">
        <f>SUM(T1602:T1631)</f>
        <v/>
      </c>
    </row>
    <row r="1648">
      <c r="A1648" t="inlineStr">
        <is>
          <t>Normal-Only Total DPS (this block's swept value)</t>
        </is>
      </c>
      <c r="B1648">
        <f>SUM(V1602:V1631)</f>
        <v/>
      </c>
    </row>
    <row r="1651">
      <c r="A1651" s="6" t="inlineStr">
        <is>
          <t>Stat: Rainbow-colored Snail Shell (Equip)</t>
        </is>
      </c>
    </row>
    <row r="1652">
      <c r="A1652" s="5" t="inlineStr">
        <is>
          <t>Key</t>
        </is>
      </c>
      <c r="B1652" s="5" t="inlineStr">
        <is>
          <t>Name</t>
        </is>
      </c>
      <c r="C1652" s="5" t="inlineStr">
        <is>
          <t>Unlocked</t>
        </is>
      </c>
      <c r="D1652" s="5" t="inlineStr">
        <is>
          <t>InputLevel</t>
        </is>
      </c>
      <c r="E1652" s="5" t="inlineStr">
        <is>
          <t>Factor</t>
        </is>
      </c>
      <c r="F1652" s="5" t="inlineStr">
        <is>
          <t>CoefficientPercent</t>
        </is>
      </c>
      <c r="G1652" s="5" t="inlineStr">
        <is>
          <t>EffectiveHits</t>
        </is>
      </c>
      <c r="H1652" s="5" t="inlineStr">
        <is>
          <t>ProcProbability</t>
        </is>
      </c>
      <c r="I1652" s="5" t="inlineStr">
        <is>
          <t>MapleHeroMultiplier</t>
        </is>
      </c>
      <c r="J1652" s="5" t="inlineStr">
        <is>
          <t>BaseDamage</t>
        </is>
      </c>
      <c r="K1652" s="5" t="inlineStr">
        <is>
          <t>BaseHitDamage</t>
        </is>
      </c>
      <c r="L1652" s="5" t="inlineStr">
        <is>
          <t>NonCritAvg</t>
        </is>
      </c>
      <c r="M1652" s="5" t="inlineStr">
        <is>
          <t>CritAvg</t>
        </is>
      </c>
      <c r="N1652" s="5" t="inlineStr">
        <is>
          <t>ExpectedDamage(perHit)</t>
        </is>
      </c>
      <c r="O1652" s="5" t="inlineStr">
        <is>
          <t>DPS</t>
        </is>
      </c>
      <c r="P1652" s="5" t="inlineStr">
        <is>
          <t>% of Total</t>
        </is>
      </c>
      <c r="Q1652" s="5" t="inlineStr">
        <is>
          <t>InvCooldown</t>
        </is>
      </c>
      <c r="R1652" s="5" t="inlineStr">
        <is>
          <t>CastsInFight</t>
        </is>
      </c>
      <c r="S1652" s="5" t="inlineStr">
        <is>
          <t>HitRate(perSec)</t>
        </is>
      </c>
      <c r="U1652" t="inlineStr">
        <is>
          <t>helpers</t>
        </is>
      </c>
    </row>
    <row r="1653">
      <c r="A1653">
        <f>Skills!A2</f>
        <v/>
      </c>
      <c r="B1653">
        <f>Skills!B2</f>
        <v/>
      </c>
      <c r="C1653">
        <f>Inputs!$B$3&gt;=100</f>
        <v/>
      </c>
      <c r="D1653" t="inlineStr"/>
      <c r="E1653" t="inlineStr"/>
      <c r="F1653">
        <f>U1655+Skills!O2</f>
        <v/>
      </c>
      <c r="G1653">
        <f>Skills!G2*IF(Skills!H2&gt;0,IF(Inputs!$B$39="pvp",MIN(Skills!I2,15),Skills!I2)/Skills!H2,1)</f>
        <v/>
      </c>
      <c r="H1653">
        <f>1-(1-Skills!J2/100)^Skills!K2</f>
        <v/>
      </c>
      <c r="I1653" t="inlineStr">
        <is>
          <t>1</t>
        </is>
      </c>
      <c r="J1653">
        <f>((Inputs!$B$6*(1+Inputs!$B$7/100))+(((Inputs!$B$12*(1+Inputs!$B$13/100))-(Inputs!$B$12*(1+Inputs!$B$13/100)))+0.25*(Inputs!$B$14-Inputs!$B$14))*(1+Inputs!$B$7/100))*(F1653/100)</f>
        <v/>
      </c>
      <c r="K1653">
        <f>J1653*(1+((Inputs!$B$12*(1+Inputs!$B$13/100))*0.01+Inputs!$B$14*0.0025)/100)*(1+Inputs!$B$15/100)*(1+Inputs!$B$16/100)*(5000/(6000+Inputs!$B$43*(1-(100*(1-(1-Inputs!$B$19/100)*(1-CHOOSE(ArtifactsInput!$N$40+1,5,6,7,8,9,10)/100)^(ArtifactsInput!$M$40-ArtifactsInput!$M$40)))/100)))*(1+(Inputs!$B$24+((C1682=TRUE)*(F1682-Calc!F31))+((C1669=TRUE)*(F1669-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CRUEL_STAB",Inputs!$B$17+((C1679=TRUE)*(F1679-Calc!F28))+((IF(AND(Inputs!$B$39&lt;&gt;"pvp",Inputs!$B$44=0),1,IF(IF(Inputs!$B$39="pvp",15,Inputs!$B$44)-(B1696)&lt;=0,1,MAX(0,IF(Inputs!$B$39="pvp",15,Inputs!$B$44)-MAX(5,B1696))/(IF(Inputs!$B$39="pvp",15,Inputs!$B$44)-(B1696))))*(IF(AND(ArtifactsInput!$M$42,((Inputs!$B$9+((C1677=TRUE)*(F1677-Calc!F26))+B1685+(ArtifactsInput!$M$24-ArtifactsInput!$M$24)*CHOOSE(ArtifactsInput!$N$24+1,10,12,14,16,18,20)+IF(IF(ArtifactsInput!$M$10,FALSE,TRUE),CHOOSE(ArtifactsInput!$N$10+1,15,18,21,24,27,30)*(IF(Inputs!$B$39="pvp",MIN(15,15)/15,IF(AND(Inputs!$B$39&lt;&gt;"pvp",Inputs!$B$44&gt;0),MIN(15,Inputs!$B$44)/(Inputs!$B$44),0))),0)))&gt;=100),MIN(100,((Inputs!$B$9+((C1677=TRUE)*(F1677-Calc!F26))+B1685+(ArtifactsInput!$M$24-ArtifactsInput!$M$24)*CHOOSE(ArtifactsInput!$N$24+1,10,12,14,16,18,20)+IF(IF(ArtifactsInput!$M$10,FALSE,TRUE),CHOOSE(ArtifactsInput!$N$10+1,15,18,21,24,27,30)*(IF(Inputs!$B$39="pvp",MIN(15,15)/15,IF(AND(Inputs!$B$39&lt;&gt;"pvp",Inputs!$B$44&gt;0),MIN(15,Inputs!$B$44)/(Inputs!$B$44),0))),0)))-100),0))*CHOOSE(ArtifactsInput!$N$42+1,0.6,0.72,0.84,0.96,1.08,1.2))),Inputs!$B$18+((C1680=TRUE)*(F1680-Calc!F29))+(IF(AND(Inputs!$B$39&lt;&gt;"pvp",Inputs!$B$44=0),1,IF(IF(Inputs!$B$39="pvp",15,Inputs!$B$44)-(B1696)&lt;=0,1,MAX(0,IF(Inputs!$B$39="pvp",15,Inputs!$B$44)-MAX(5,B1696))/(IF(Inputs!$B$39="pvp",15,Inputs!$B$44)-(B1696))))*IF(AND(ArtifactsInput!$M$42,((Inputs!$B$9+((C1677=TRUE)*(F1677-Calc!F26))+B1685+(ArtifactsInput!$M$24-ArtifactsInput!$M$24)*CHOOSE(ArtifactsInput!$N$24+1,10,12,14,16,18,20)+IF(IF(ArtifactsInput!$M$10,FALSE,TRUE),CHOOSE(ArtifactsInput!$N$10+1,15,18,21,24,27,30)*(IF(Inputs!$B$39="pvp",MIN(15,15)/15,IF(AND(Inputs!$B$39&lt;&gt;"pvp",Inputs!$B$44&gt;0),MIN(15,Inputs!$B$44)/(Inputs!$B$44),0))),0)))&gt;=100),CHOOSE(ArtifactsInput!$N$42+1,40,48,56,64,72,80),0))))/100)*(((1+(((C1673=TRUE)*F1673*IF(AND(Inputs!$B$39&lt;&gt;"pvp",Inputs!$B$44&gt;0),(((R1673-1)*MIN((Skills!Y22*(1+Inputs!$B$34/100)),(1/Q1673))+MIN((Skills!Y22*(1+Inputs!$B$34/100)),MAX(0,Inputs!$B$44-((R1673-1)*(1/Q1673)))))/Inputs!$B$44),IF(Inputs!$B$39="pvp",MIN((Skills!Y22*(1+Inputs!$B$34/100)),15)/15,MIN(1,(Skills!Y22*(1+Inputs!$B$34/100))/(1/Q1673)))))+((C1654=TRUE)*F1654*3)+((C1656=TRUE)*F1656*(1-EXP(-0.75*B1689*5)))+((C1675=TRUE)*(F1675-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1662=TRUE)*F1662*IF(AND(Inputs!$B$39&lt;&gt;"pvp",Inputs!$B$44&gt;0),(((R1662-1)*MIN((Skills!Y11*(1+Inputs!$B$34/100)),(1/Q1662))+MIN((Skills!Y11*(1+Inputs!$B$34/100)),MAX(0,Inputs!$B$44-((R1662-1)*(1/Q1662)))))/Inputs!$B$44),IF(Inputs!$B$39="pvp",MIN((Skills!Y11*(1+Inputs!$B$34/100)),15)/15,MIN(1,(Skills!Y11*(1+Inputs!$B$34/100))/(1/Q1662)))))/100)*(1+((C1667=TRUE)*F1667*IF(AND(Inputs!$B$39&lt;&gt;"pvp",Inputs!$B$44&gt;0),(((R1667-1)*MIN((Skills!Y16*(1+Inputs!$B$34/100)),(1/Q1667))+MIN((Skills!Y16*(1+Inputs!$B$34/100)),MAX(0,Inputs!$B$44-((R1667-1)*(1/Q1667)))))/Inputs!$B$44),IF(Inputs!$B$39="pvp",MIN((Skills!Y16*(1+Inputs!$B$34/100)),15)/15,MIN(1,(Skills!Y16*(1+Inputs!$B$34/100))/(1/Q1667)))))/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1687*I1653)</f>
        <v/>
      </c>
      <c r="L1653">
        <f>K1653*(MIN(Inputs!$B$22+((C1676=TRUE)*(F1676-Calc!F25)),(Inputs!$B$23+((C1681=TRUE)*(F1681-Calc!F30))+IF(ArtifactsInput!$M$15,CHOOSE(ArtifactsInput!$N$15+1,25,30,35,40,45,50)/100*(Inputs!$B$11-Inputs!$B$11),0)))/100+(Inputs!$B$23+((C1681=TRUE)*(F1681-Calc!F30))+IF(ArtifactsInput!$M$15,CHOOSE(ArtifactsInput!$N$15+1,25,30,35,40,45,50)/100*(Inputs!$B$11-Inputs!$B$11),0))/100)/2</f>
        <v/>
      </c>
      <c r="M1653">
        <f>L1653*(1+(Inputs!$B$10+((C1678=TRUE)*(F1678-Calc!F27))+B1692+(IF(ArtifactsInput!$M$24,CHOOSE(ArtifactsInput!$N$24+1,30,36,42,48,54,60)/100*(Inputs!$B$9-Inputs!$B$9),0)+IF(IF(ArtifactsInput!$M$10,FALSE,TRUE),CHOOSE(ArtifactsInput!$N$10+1,20,24,28,32,36,40)*(IF(Inputs!$B$39="pvp",MIN(15,15)/15,IF(AND(Inputs!$B$39&lt;&gt;"pvp",Inputs!$B$44&gt;0),MIN(15,Inputs!$B$44)/(Inputs!$B$44),0))),0)+IF(ArtifactsInput!$M$31,1.5*CHOOSE(ArtifactsInput!$N$31+1,20,24,28,32,36,40),0)))/100)</f>
        <v/>
      </c>
      <c r="N1653">
        <f>L1653*(1-MIN((Inputs!$B$9+((C1677=TRUE)*(F1677-Calc!F26))+B1685+(ArtifactsInput!$M$24-ArtifactsInput!$M$24)*CHOOSE(ArtifactsInput!$N$24+1,10,12,14,16,18,20)+(IF(AND(Inputs!$B$39&lt;&gt;"pvp",Inputs!$B$44=0),1,IF(IF(Inputs!$B$39="pvp",15,Inputs!$B$44)-(B1696)&lt;=0,1,MAX(0,IF(Inputs!$B$39="pvp",15,Inputs!$B$44)-MAX(5,B1696))/(IF(Inputs!$B$39="pvp",15,Inputs!$B$44)-(B1696))))*IF(AND(ArtifactsInput!$M$42,((Inputs!$B$9+((C1677=TRUE)*(F1677-Calc!F26))+B1685+(ArtifactsInput!$M$24-ArtifactsInput!$M$24)*CHOOSE(ArtifactsInput!$N$24+1,10,12,14,16,18,20)+IF(IF(ArtifactsInput!$M$10,FALSE,TRUE),CHOOSE(ArtifactsInput!$N$10+1,15,18,21,24,27,30)*(IF(Inputs!$B$39="pvp",MIN(15,15)/15,IF(AND(Inputs!$B$39&lt;&gt;"pvp",Inputs!$B$44&gt;0),MIN(15,Inputs!$B$44)/(Inputs!$B$44),0))),0)))&lt;100),CHOOSE(ArtifactsInput!$N$42+1,30,36,42,48,54,60),0)+IF(IF(ArtifactsInput!$M$10,FALSE,TRUE),CHOOSE(ArtifactsInput!$N$10+1,15,18,21,24,27,30)*(IF(Inputs!$B$39="pvp",MIN(15,15)/15,IF(AND(Inputs!$B$39&lt;&gt;"pvp",Inputs!$B$44&gt;0),MIN(15,Inputs!$B$44)/(Inputs!$B$44),0))),0))),100)/100)+M1653*(MIN((Inputs!$B$9+((C1677=TRUE)*(F1677-Calc!F26))+B1685+(ArtifactsInput!$M$24-ArtifactsInput!$M$24)*CHOOSE(ArtifactsInput!$N$24+1,10,12,14,16,18,20)+(IF(AND(Inputs!$B$39&lt;&gt;"pvp",Inputs!$B$44=0),1,IF(IF(Inputs!$B$39="pvp",15,Inputs!$B$44)-(B1696)&lt;=0,1,MAX(0,IF(Inputs!$B$39="pvp",15,Inputs!$B$44)-MAX(5,B1696))/(IF(Inputs!$B$39="pvp",15,Inputs!$B$44)-(B1696))))*IF(AND(ArtifactsInput!$M$42,((Inputs!$B$9+((C1677=TRUE)*(F1677-Calc!F26))+B1685+(ArtifactsInput!$M$24-ArtifactsInput!$M$24)*CHOOSE(ArtifactsInput!$N$24+1,10,12,14,16,18,20)+IF(IF(ArtifactsInput!$M$10,FALSE,TRUE),CHOOSE(ArtifactsInput!$N$10+1,15,18,21,24,27,30)*(IF(Inputs!$B$39="pvp",MIN(15,15)/15,IF(AND(Inputs!$B$39&lt;&gt;"pvp",Inputs!$B$44&gt;0),MIN(15,Inputs!$B$44)/(Inputs!$B$44),0))),0)))&lt;100),CHOOSE(ArtifactsInput!$N$42+1,30,36,42,48,54,60),0)+IF(IF(ArtifactsInput!$M$10,FALSE,TRUE),CHOOSE(ArtifactsInput!$N$10+1,15,18,21,24,27,30)*(IF(Inputs!$B$39="pvp",MIN(15,15)/15,IF(AND(Inputs!$B$39&lt;&gt;"pvp",Inputs!$B$44&gt;0),MIN(15,Inputs!$B$44)/(Inputs!$B$44),0))),0))),100)/100)</f>
        <v/>
      </c>
      <c r="O1653">
        <f>(1-Summary!$B$11)*T1653+Summary!$B$11*V1653</f>
        <v/>
      </c>
      <c r="P1653">
        <f>IF(B1697=0,0,O1653/B1697)</f>
        <v/>
      </c>
      <c r="Q1653" t="n">
        <v>0</v>
      </c>
      <c r="R1653" t="n">
        <v>0</v>
      </c>
      <c r="S1653">
        <f>IFERROR(O1653/N1653,0)</f>
        <v/>
      </c>
      <c r="T1653">
        <f>IF(C1653,(Skills!G2*N1653*B1691)*IF(Inputs!$B$39="pvp",1,1+(Inputs!$B$20+0+Skills!P2+B1686+(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Hunt"),CHOOSE(ArtifactsInput!$N$35+1,15,18,21,24,27,30)*(1-EXP(-(0.2*B1689)*5)),0)+IF(AND(ArtifactsInput!$M$22,Inputs!$B$4&lt;&gt;"Chapter Hunt"),CHOOSE(ArtifactsInput!$N$22+1,10,12,14,16,18,20)*((0*(((0.15*B1689*5))^0/1)+1*(((0.15*B1689*5))^1/1)+2*(((0.15*B1689*5))^2/2)+3*(((0.15*B1689*5))^3/6)+4*(((0.15*B1689*5))^4/24)+5*(((0.15*B1689*5))^5/120))/((((0.15*B1689*5))^0/1)+(((0.15*B1689*5))^1/1)+(((0.15*B1689*5))^2/2)+(((0.15*B1689*5))^3/6)+(((0.15*B1689*5))^4/24)+(((0.15*B1689*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1653*(1-MIN(100,(Inputs!$B$9+((C1677=TRUE)*(F1677-Calc!F26))+B1685+(ArtifactsInput!$M$24-ArtifactsInput!$M$24)*CHOOSE(ArtifactsInput!$N$24+1,10,12,14,16,18,20)+(IF(AND(Inputs!$B$39&lt;&gt;"pvp",Inputs!$B$44=0),1,IF(IF(Inputs!$B$39="pvp",15,Inputs!$B$44)-(B1696)&lt;=0,1,MAX(0,IF(Inputs!$B$39="pvp",15,Inputs!$B$44)-MAX(5,B1696))/(IF(Inputs!$B$39="pvp",15,Inputs!$B$44)-(B1696))))*IF(AND(ArtifactsInput!$M$42,((Inputs!$B$9+((C1677=TRUE)*(F1677-Calc!F26))+B1685+(ArtifactsInput!$M$24-ArtifactsInput!$M$24)*CHOOSE(ArtifactsInput!$N$24+1,10,12,14,16,18,20)+IF(IF(ArtifactsInput!$M$10,FALSE,TRUE),CHOOSE(ArtifactsInput!$N$10+1,15,18,21,24,27,30)*(IF(Inputs!$B$39="pvp",MIN(15,15)/15,IF(AND(Inputs!$B$39&lt;&gt;"pvp",Inputs!$B$44&gt;0),MIN(15,Inputs!$B$44)/(Inputs!$B$44),0))),0)))&lt;100),CHOOSE(ArtifactsInput!$N$42+1,30,36,42,48,54,60),0)+IF(IF(ArtifactsInput!$M$10,FALSE,TRUE),CHOOSE(ArtifactsInput!$N$10+1,15,18,21,24,27,30)*(IF(Inputs!$B$39="pvp",MIN(15,15)/15,IF(AND(Inputs!$B$39&lt;&gt;"pvp",Inputs!$B$44&gt;0),MIN(15,Inputs!$B$44)/(Inputs!$B$44),0))),0)))+IF(AND(ArtifactsInput!$M$8,Inputs!$B$39&lt;&gt;"pvp"),CHOOSE(ArtifactsInput!$N$8+1,8,9.6,11.2,12.8,14.4,16),0))/100)+M1653*(MIN(100,(Inputs!$B$9+((C1677=TRUE)*(F1677-Calc!F26))+B1685+(ArtifactsInput!$M$24-ArtifactsInput!$M$24)*CHOOSE(ArtifactsInput!$N$24+1,10,12,14,16,18,20)+(IF(AND(Inputs!$B$39&lt;&gt;"pvp",Inputs!$B$44=0),1,IF(IF(Inputs!$B$39="pvp",15,Inputs!$B$44)-(B1696)&lt;=0,1,MAX(0,IF(Inputs!$B$39="pvp",15,Inputs!$B$44)-MAX(5,B1696))/(IF(Inputs!$B$39="pvp",15,Inputs!$B$44)-(B1696))))*IF(AND(ArtifactsInput!$M$42,((Inputs!$B$9+((C1677=TRUE)*(F1677-Calc!F26))+B1685+(ArtifactsInput!$M$24-ArtifactsInput!$M$24)*CHOOSE(ArtifactsInput!$N$24+1,10,12,14,16,18,20)+IF(IF(ArtifactsInput!$M$10,FALSE,TRUE),CHOOSE(ArtifactsInput!$N$10+1,15,18,21,24,27,30)*(IF(Inputs!$B$39="pvp",MIN(15,15)/15,IF(AND(Inputs!$B$39&lt;&gt;"pvp",Inputs!$B$44&gt;0),MIN(15,Inputs!$B$44)/(Inputs!$B$44),0))),0)))&lt;100),CHOOSE(ArtifactsInput!$N$42+1,30,36,42,48,54,60),0)+IF(IF(ArtifactsInput!$M$10,FALSE,TRUE),CHOOSE(ArtifactsInput!$N$10+1,15,18,21,24,27,30)*(IF(Inputs!$B$39="pvp",MIN(15,15)/15,IF(AND(Inputs!$B$39&lt;&gt;"pvp",Inputs!$B$44&gt;0),MIN(15,Inputs!$B$44)/(Inputs!$B$44),0))),0)))+IF(AND(ArtifactsInput!$M$8,Inputs!$B$39&lt;&gt;"pvp"),CHOOSE(ArtifactsInput!$N$8+1,8,9.6,11.2,12.8,14.4,16),0))/100))/(L1653*(1-MIN(100,(Inputs!$B$9+((C1677=TRUE)*(F1677-Calc!F26))+B1685+(ArtifactsInput!$M$24-ArtifactsInput!$M$24)*CHOOSE(ArtifactsInput!$N$24+1,10,12,14,16,18,20)+(IF(AND(Inputs!$B$39&lt;&gt;"pvp",Inputs!$B$44=0),1,IF(IF(Inputs!$B$39="pvp",15,Inputs!$B$44)-(B1696)&lt;=0,1,MAX(0,IF(Inputs!$B$39="pvp",15,Inputs!$B$44)-MAX(5,B1696))/(IF(Inputs!$B$39="pvp",15,Inputs!$B$44)-(B1696))))*IF(AND(ArtifactsInput!$M$42,((Inputs!$B$9+((C1677=TRUE)*(F1677-Calc!F26))+B1685+(ArtifactsInput!$M$24-ArtifactsInput!$M$24)*CHOOSE(ArtifactsInput!$N$24+1,10,12,14,16,18,20)+IF(IF(ArtifactsInput!$M$10,FALSE,TRUE),CHOOSE(ArtifactsInput!$N$10+1,15,18,21,24,27,30)*(IF(Inputs!$B$39="pvp",MIN(15,15)/15,IF(AND(Inputs!$B$39&lt;&gt;"pvp",Inputs!$B$44&gt;0),MIN(15,Inputs!$B$44)/(Inputs!$B$44),0))),0)))&lt;100),CHOOSE(ArtifactsInput!$N$42+1,30,36,42,48,54,60),0)+IF(IF(ArtifactsInput!$M$10,FALSE,TRUE),CHOOSE(ArtifactsInput!$N$10+1,15,18,21,24,27,30)*(IF(Inputs!$B$39="pvp",MIN(15,15)/15,IF(AND(Inputs!$B$39&lt;&gt;"pvp",Inputs!$B$44&gt;0),MIN(15,Inputs!$B$44)/(Inputs!$B$44),0))),0))))/100)+M1653*(MIN(100,(Inputs!$B$9+((C1677=TRUE)*(F1677-Calc!F26))+B1685+(ArtifactsInput!$M$24-ArtifactsInput!$M$24)*CHOOSE(ArtifactsInput!$N$24+1,10,12,14,16,18,20)+(IF(AND(Inputs!$B$39&lt;&gt;"pvp",Inputs!$B$44=0),1,IF(IF(Inputs!$B$39="pvp",15,Inputs!$B$44)-(B1696)&lt;=0,1,MAX(0,IF(Inputs!$B$39="pvp",15,Inputs!$B$44)-MAX(5,B1696))/(IF(Inputs!$B$39="pvp",15,Inputs!$B$44)-(B1696))))*IF(AND(ArtifactsInput!$M$42,((Inputs!$B$9+((C1677=TRUE)*(F1677-Calc!F26))+B1685+(ArtifactsInput!$M$24-ArtifactsInput!$M$24)*CHOOSE(ArtifactsInput!$N$24+1,10,12,14,16,18,20)+IF(IF(ArtifactsInput!$M$10,FALSE,TRUE),CHOOSE(ArtifactsInput!$N$10+1,15,18,21,24,27,30)*(IF(Inputs!$B$39="pvp",MIN(15,15)/15,IF(AND(Inputs!$B$39&lt;&gt;"pvp",Inputs!$B$44&gt;0),MIN(15,Inputs!$B$44)/(Inputs!$B$44),0))),0)))&lt;100),CHOOSE(ArtifactsInput!$N$42+1,30,36,42,48,54,60),0)+IF(IF(ArtifactsInput!$M$10,FALSE,TRUE),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1653">
        <f>MAX(0,(Inputs!$B$3-100)*3)+Inputs!$B$28+Inputs!$B$29</f>
        <v/>
      </c>
      <c r="V1653">
        <f>IF(C1653,(Skills!G2*N1653*B1691)*IF(Inputs!$B$39="pvp",1,(1+(Inputs!$B$21+Skills!Q2+B1686+(IF(ArtifactsInput!$M$33,CHOOSE(ArtifactsInput!$N$33+1,30,36,42,48,54,60),0))+(IF(AND(ArtifactsInput!$M$35,Inputs!$B$4&lt;&gt;"Chapter Hunt"),CHOOSE(ArtifactsInput!$N$35+1,15,18,21,24,27,30)*(1-EXP(-(0.2*B1689)*5)),0)+IF(AND(ArtifactsInput!$M$22,Inputs!$B$4&lt;&gt;"Chapter Hunt"),CHOOSE(ArtifactsInput!$N$22+1,10,12,14,16,18,20)*((0*(((0.15*B1689*5))^0/1)+1*(((0.15*B1689*5))^1/1)+2*(((0.15*B1689*5))^2/2)+3*(((0.15*B1689*5))^3/6)+4*(((0.15*B1689*5))^4/24)+5*(((0.15*B1689*5))^5/120))/((((0.15*B1689*5))^0/1)+(((0.15*B1689*5))^1/1)+(((0.15*B1689*5))^2/2)+(((0.15*B1689*5))^3/6)+(((0.15*B1689*5))^4/24)+(((0.15*B1689*5))^5/120))),0)))/100)*(MIN((6+Inputs!$B$33),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654">
      <c r="A1654">
        <f>Skills!A3</f>
        <v/>
      </c>
      <c r="B1654">
        <f>Skills!B3</f>
        <v/>
      </c>
      <c r="C1654">
        <f>Inputs!$B$3&gt;=35</f>
        <v/>
      </c>
      <c r="D1654">
        <f>IF(Skills!C3=1,60+Inputs!$B$25+Inputs!$B$29,IF(Skills!C3=2,90+Inputs!$B$26+Inputs!$B$29,IF(Skills!C3=3,120+Inputs!$B$27+Inputs!$B$29,MAX(0,(Inputs!$B$3-100)*3)+Inputs!$B$28+Inputs!$B$29)))</f>
        <v/>
      </c>
      <c r="E1654">
        <f>INDEX(FactorTable!$B$2:$Y$301, MATCH(ROUND(MIN(300,MAX(1,D1654)),0), FactorTable!$A$2:$A$301,0), Skills!M3+1)</f>
        <v/>
      </c>
      <c r="F1654">
        <f>IF(Skills!N3=TRUE,(Skills!L3/10)*(E1654/1000),Skills!L3/10)+Skills!O3</f>
        <v/>
      </c>
      <c r="G1654">
        <f>Skills!G3*IF(Skills!H3&gt;0,IF(Inputs!$B$39="pvp",MIN(Skills!I3,15),Skills!I3)/Skills!H3,1)</f>
        <v/>
      </c>
      <c r="H1654">
        <f>1-(1-Skills!J3/100)^Skills!K3</f>
        <v/>
      </c>
      <c r="I1654" t="inlineStr">
        <is>
          <t>1</t>
        </is>
      </c>
      <c r="J1654" t="inlineStr"/>
      <c r="K1654" t="inlineStr"/>
      <c r="L1654" t="inlineStr"/>
      <c r="M1654" t="inlineStr"/>
      <c r="N1654" t="inlineStr"/>
      <c r="O1654">
        <f>(1-Summary!$B$11)*T1654+Summary!$B$11*V1654</f>
        <v/>
      </c>
      <c r="P1654">
        <f>IF(B1697=0,0,O1654/B1697)</f>
        <v/>
      </c>
      <c r="Q1654" t="n">
        <v>0</v>
      </c>
      <c r="R1654" t="n">
        <v>0</v>
      </c>
      <c r="S1654">
        <f>IFERROR(O1654/N1654,0)</f>
        <v/>
      </c>
      <c r="T1654" t="n">
        <v>0</v>
      </c>
      <c r="U1654">
        <f>INDEX(FactorTable!$B$2:$Y$301, MATCH(ROUND(MIN(300,MAX(1,U1653)),0), FactorTable!$A$2:$A$301,0), 22)</f>
        <v/>
      </c>
      <c r="V1654" t="n">
        <v>0</v>
      </c>
    </row>
    <row r="1655">
      <c r="A1655">
        <f>Skills!A4</f>
        <v/>
      </c>
      <c r="B1655">
        <f>Skills!B4</f>
        <v/>
      </c>
      <c r="C1655">
        <f>Inputs!$B$3&gt;=66</f>
        <v/>
      </c>
      <c r="D1655">
        <f>IF(Skills!C4=1,60+Inputs!$B$25+Inputs!$B$29,IF(Skills!C4=2,90+Inputs!$B$26+Inputs!$B$29,IF(Skills!C4=3,120+Inputs!$B$27+Inputs!$B$29,MAX(0,(Inputs!$B$3-100)*3)+Inputs!$B$28+Inputs!$B$29)))</f>
        <v/>
      </c>
      <c r="E1655">
        <f>INDEX(FactorTable!$B$2:$Y$301, MATCH(ROUND(MIN(300,MAX(1,D1655)),0), FactorTable!$A$2:$A$301,0), Skills!M4+1)</f>
        <v/>
      </c>
      <c r="F1655">
        <f>IF(Skills!N4=TRUE,(Skills!L4/10)*(E1655/1000),Skills!L4/10)+Skills!O4</f>
        <v/>
      </c>
      <c r="G1655">
        <f>Skills!G4*IF(Skills!H4&gt;0,IF(Inputs!$B$39="pvp",MIN(Skills!I4,15),Skills!I4)/Skills!H4,1)</f>
        <v/>
      </c>
      <c r="H1655">
        <f>1-(1-Skills!J4/100)^Skills!K4</f>
        <v/>
      </c>
      <c r="I1655" t="inlineStr">
        <is>
          <t>1</t>
        </is>
      </c>
      <c r="J1655">
        <f>((Inputs!$B$6*(1+Inputs!$B$7/100))+(((Inputs!$B$12*(1+Inputs!$B$13/100))-(Inputs!$B$12*(1+Inputs!$B$13/100)))+0.25*(Inputs!$B$14-Inputs!$B$14))*(1+Inputs!$B$7/100))*(F1655/100)</f>
        <v/>
      </c>
      <c r="K1655">
        <f>J1655*(1+((Inputs!$B$12*(1+Inputs!$B$13/100))*0.01+Inputs!$B$14*0.0025)/100)*(1+Inputs!$B$15/100)*(1+Inputs!$B$16/100)*(5000/(6000+Inputs!$B$43*(1-(100*(1-(1-Inputs!$B$19/100)*(1-CHOOSE(ArtifactsInput!$N$40+1,5,6,7,8,9,10)/100)^(ArtifactsInput!$M$40-ArtifactsInput!$M$40)))/100)))*(1+(Inputs!$B$24+((C1682=TRUE)*(F1682-Calc!F31))+((C1669=TRUE)*(F1669-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4="CRUEL_STAB",Inputs!$B$17+((C1679=TRUE)*(F1679-Calc!F28))+((IF(AND(Inputs!$B$39&lt;&gt;"pvp",Inputs!$B$44=0),1,IF(IF(Inputs!$B$39="pvp",15,Inputs!$B$44)-(B1696)&lt;=0,1,MAX(0,IF(Inputs!$B$39="pvp",15,Inputs!$B$44)-MAX(5,B1696))/(IF(Inputs!$B$39="pvp",15,Inputs!$B$44)-(B1696))))*(IF(AND(ArtifactsInput!$M$42,((Inputs!$B$9+((C1677=TRUE)*(F1677-Calc!F26))+B1685+(ArtifactsInput!$M$24-ArtifactsInput!$M$24)*CHOOSE(ArtifactsInput!$N$24+1,10,12,14,16,18,20)+IF(IF(ArtifactsInput!$M$10,FALSE,TRUE),CHOOSE(ArtifactsInput!$N$10+1,15,18,21,24,27,30)*(IF(Inputs!$B$39="pvp",MIN(15,15)/15,IF(AND(Inputs!$B$39&lt;&gt;"pvp",Inputs!$B$44&gt;0),MIN(15,Inputs!$B$44)/(Inputs!$B$44),0))),0)))&gt;=100),MIN(100,((Inputs!$B$9+((C1677=TRUE)*(F1677-Calc!F26))+B1685+(ArtifactsInput!$M$24-ArtifactsInput!$M$24)*CHOOSE(ArtifactsInput!$N$24+1,10,12,14,16,18,20)+IF(IF(ArtifactsInput!$M$10,FALSE,TRUE),CHOOSE(ArtifactsInput!$N$10+1,15,18,21,24,27,30)*(IF(Inputs!$B$39="pvp",MIN(15,15)/15,IF(AND(Inputs!$B$39&lt;&gt;"pvp",Inputs!$B$44&gt;0),MIN(15,Inputs!$B$44)/(Inputs!$B$44),0))),0)))-100),0))*CHOOSE(ArtifactsInput!$N$42+1,0.6,0.72,0.84,0.96,1.08,1.2))),Inputs!$B$18+((C1680=TRUE)*(F1680-Calc!F29))+(IF(AND(Inputs!$B$39&lt;&gt;"pvp",Inputs!$B$44=0),1,IF(IF(Inputs!$B$39="pvp",15,Inputs!$B$44)-(B1696)&lt;=0,1,MAX(0,IF(Inputs!$B$39="pvp",15,Inputs!$B$44)-MAX(5,B1696))/(IF(Inputs!$B$39="pvp",15,Inputs!$B$44)-(B1696))))*IF(AND(ArtifactsInput!$M$42,((Inputs!$B$9+((C1677=TRUE)*(F1677-Calc!F26))+B1685+(ArtifactsInput!$M$24-ArtifactsInput!$M$24)*CHOOSE(ArtifactsInput!$N$24+1,10,12,14,16,18,20)+IF(IF(ArtifactsInput!$M$10,FALSE,TRUE),CHOOSE(ArtifactsInput!$N$10+1,15,18,21,24,27,30)*(IF(Inputs!$B$39="pvp",MIN(15,15)/15,IF(AND(Inputs!$B$39&lt;&gt;"pvp",Inputs!$B$44&gt;0),MIN(15,Inputs!$B$44)/(Inputs!$B$44),0))),0)))&gt;=100),CHOOSE(ArtifactsInput!$N$42+1,40,48,56,64,72,80),0))))/100)*(((1+(((C1673=TRUE)*F1673*IF(AND(Inputs!$B$39&lt;&gt;"pvp",Inputs!$B$44&gt;0),(((R1673-1)*MIN((Skills!Y22*(1+Inputs!$B$34/100)),(1/Q1673))+MIN((Skills!Y22*(1+Inputs!$B$34/100)),MAX(0,Inputs!$B$44-((R1673-1)*(1/Q1673)))))/Inputs!$B$44),IF(Inputs!$B$39="pvp",MIN((Skills!Y22*(1+Inputs!$B$34/100)),15)/15,MIN(1,(Skills!Y22*(1+Inputs!$B$34/100))/(1/Q1673)))))+((C1654=TRUE)*F1654*3)+((C1656=TRUE)*F1656*(1-EXP(-0.75*B1689*5)))+((C1675=TRUE)*(F1675-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1662=TRUE)*F1662*IF(AND(Inputs!$B$39&lt;&gt;"pvp",Inputs!$B$44&gt;0),(((R1662-1)*MIN((Skills!Y11*(1+Inputs!$B$34/100)),(1/Q1662))+MIN((Skills!Y11*(1+Inputs!$B$34/100)),MAX(0,Inputs!$B$44-((R1662-1)*(1/Q1662)))))/Inputs!$B$44),IF(Inputs!$B$39="pvp",MIN((Skills!Y11*(1+Inputs!$B$34/100)),15)/15,MIN(1,(Skills!Y11*(1+Inputs!$B$34/100))/(1/Q1662)))))/100)*(1+((C1667=TRUE)*F1667*IF(AND(Inputs!$B$39&lt;&gt;"pvp",Inputs!$B$44&gt;0),(((R1667-1)*MIN((Skills!Y16*(1+Inputs!$B$34/100)),(1/Q1667))+MIN((Skills!Y16*(1+Inputs!$B$34/100)),MAX(0,Inputs!$B$44-((R1667-1)*(1/Q1667)))))/Inputs!$B$44),IF(Inputs!$B$39="pvp",MIN((Skills!Y16*(1+Inputs!$B$34/100)),15)/15,MIN(1,(Skills!Y16*(1+Inputs!$B$34/100))/(1/Q1667)))))/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1687*I1655)</f>
        <v/>
      </c>
      <c r="L1655">
        <f>K1655*(MIN(Inputs!$B$22+((C1676=TRUE)*(F1676-Calc!F25)),(Inputs!$B$23+((C1681=TRUE)*(F1681-Calc!F30))+IF(ArtifactsInput!$M$15,CHOOSE(ArtifactsInput!$N$15+1,25,30,35,40,45,50)/100*(Inputs!$B$11-Inputs!$B$11),0)))/100+(Inputs!$B$23+((C1681=TRUE)*(F1681-Calc!F30))+IF(ArtifactsInput!$M$15,CHOOSE(ArtifactsInput!$N$15+1,25,30,35,40,45,50)/100*(Inputs!$B$11-Inputs!$B$11),0))/100)/2</f>
        <v/>
      </c>
      <c r="M1655">
        <f>L1655*(1+(Inputs!$B$10+((C1678=TRUE)*(F1678-Calc!F27))+B1692+(IF(ArtifactsInput!$M$24,CHOOSE(ArtifactsInput!$N$24+1,30,36,42,48,54,60)/100*(Inputs!$B$9-Inputs!$B$9),0)+IF(IF(ArtifactsInput!$M$10,FALSE,TRUE),CHOOSE(ArtifactsInput!$N$10+1,20,24,28,32,36,40)*(IF(Inputs!$B$39="pvp",MIN(15,15)/15,IF(AND(Inputs!$B$39&lt;&gt;"pvp",Inputs!$B$44&gt;0),MIN(15,Inputs!$B$44)/(Inputs!$B$44),0))),0)+IF(ArtifactsInput!$M$31,1.5*CHOOSE(ArtifactsInput!$N$31+1,20,24,28,32,36,40),0)))/100)</f>
        <v/>
      </c>
      <c r="N1655">
        <f>L1655*(1-MIN((Inputs!$B$9+((C1677=TRUE)*(F1677-Calc!F26))+B1685+(ArtifactsInput!$M$24-ArtifactsInput!$M$24)*CHOOSE(ArtifactsInput!$N$24+1,10,12,14,16,18,20)+(IF(AND(Inputs!$B$39&lt;&gt;"pvp",Inputs!$B$44=0),1,IF(IF(Inputs!$B$39="pvp",15,Inputs!$B$44)-(B1696)&lt;=0,1,MAX(0,IF(Inputs!$B$39="pvp",15,Inputs!$B$44)-MAX(5,B1696))/(IF(Inputs!$B$39="pvp",15,Inputs!$B$44)-(B1696))))*IF(AND(ArtifactsInput!$M$42,((Inputs!$B$9+((C1677=TRUE)*(F1677-Calc!F26))+B1685+(ArtifactsInput!$M$24-ArtifactsInput!$M$24)*CHOOSE(ArtifactsInput!$N$24+1,10,12,14,16,18,20)+IF(IF(ArtifactsInput!$M$10,FALSE,TRUE),CHOOSE(ArtifactsInput!$N$10+1,15,18,21,24,27,30)*(IF(Inputs!$B$39="pvp",MIN(15,15)/15,IF(AND(Inputs!$B$39&lt;&gt;"pvp",Inputs!$B$44&gt;0),MIN(15,Inputs!$B$44)/(Inputs!$B$44),0))),0)))&lt;100),CHOOSE(ArtifactsInput!$N$42+1,30,36,42,48,54,60),0)+IF(IF(ArtifactsInput!$M$10,FALSE,TRUE),CHOOSE(ArtifactsInput!$N$10+1,15,18,21,24,27,30)*(IF(Inputs!$B$39="pvp",MIN(15,15)/15,IF(AND(Inputs!$B$39&lt;&gt;"pvp",Inputs!$B$44&gt;0),MIN(15,Inputs!$B$44)/(Inputs!$B$44),0))),0))),100)/100)+M1655*(MIN((Inputs!$B$9+((C1677=TRUE)*(F1677-Calc!F26))+B1685+(ArtifactsInput!$M$24-ArtifactsInput!$M$24)*CHOOSE(ArtifactsInput!$N$24+1,10,12,14,16,18,20)+(IF(AND(Inputs!$B$39&lt;&gt;"pvp",Inputs!$B$44=0),1,IF(IF(Inputs!$B$39="pvp",15,Inputs!$B$44)-(B1696)&lt;=0,1,MAX(0,IF(Inputs!$B$39="pvp",15,Inputs!$B$44)-MAX(5,B1696))/(IF(Inputs!$B$39="pvp",15,Inputs!$B$44)-(B1696))))*IF(AND(ArtifactsInput!$M$42,((Inputs!$B$9+((C1677=TRUE)*(F1677-Calc!F26))+B1685+(ArtifactsInput!$M$24-ArtifactsInput!$M$24)*CHOOSE(ArtifactsInput!$N$24+1,10,12,14,16,18,20)+IF(IF(ArtifactsInput!$M$10,FALSE,TRUE),CHOOSE(ArtifactsInput!$N$10+1,15,18,21,24,27,30)*(IF(Inputs!$B$39="pvp",MIN(15,15)/15,IF(AND(Inputs!$B$39&lt;&gt;"pvp",Inputs!$B$44&gt;0),MIN(15,Inputs!$B$44)/(Inputs!$B$44),0))),0)))&lt;100),CHOOSE(ArtifactsInput!$N$42+1,30,36,42,48,54,60),0)+IF(IF(ArtifactsInput!$M$10,FALSE,TRUE),CHOOSE(ArtifactsInput!$N$10+1,15,18,21,24,27,30)*(IF(Inputs!$B$39="pvp",MIN(15,15)/15,IF(AND(Inputs!$B$39&lt;&gt;"pvp",Inputs!$B$44&gt;0),MIN(15,Inputs!$B$44)/(Inputs!$B$44),0))),0))),100)/100)</f>
        <v/>
      </c>
      <c r="O1655">
        <f>(1-Summary!$B$11)*T1655+Summary!$B$11*V1655</f>
        <v/>
      </c>
      <c r="P1655">
        <f>IF(B1697=0,0,O1655/B1697)</f>
        <v/>
      </c>
      <c r="Q1655">
        <f>IFERROR(1/IF(Inputs!$B$39="pvp",15,MAX(0.1,Skills!D4-IF(TRUE=TRUE,Inputs!$B$32,0))),0)</f>
        <v/>
      </c>
      <c r="R1655">
        <f>IF(AND(Inputs!$B$39&lt;&gt;"pvp",Inputs!$B$44&gt;0),IF(MAX(0,Inputs!$B$44-B1696)&lt;=0,0,(INT(MAX(0,Inputs!$B$44-B1696)/IF(Inputs!$B$39="pvp",15,MAX(0.1,Skills!D4-IF(TRUE=TRUE,Inputs!$B$32,0))))+1)),0)</f>
        <v/>
      </c>
      <c r="S1655">
        <f>IFERROR(O1655/N1655,0)</f>
        <v/>
      </c>
      <c r="T1655">
        <f>IF(C1655,(H1655*N1655*IF(AND(Inputs!$B$39&lt;&gt;"pvp",Inputs!$B$44&gt;0),((Skills!G4*((R1655-1)*IF(Skills!H4&gt;0,Skills!I4/Skills!H4,1)+IF(Skills!H4&gt;0,MIN(Skills!I4,MAX(0,MAX(0,Inputs!$B$44-B1696)-((R1655-1)*IF(Inputs!$B$39="pvp",15,MAX(0.1,Skills!D4-IF(TRUE=TRUE,Inputs!$B$32,0))))))/Skills!H4,1)))/Inputs!$B$44),G1655*Q1655))*IF(Inputs!$B$39="pvp",1,1+(Inputs!$B$20+0+Skills!P4+B1686+(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Hunt"),CHOOSE(ArtifactsInput!$N$35+1,15,18,21,24,27,30)*(1-EXP(-(0.2*B1689)*5)),0)+IF(AND(ArtifactsInput!$M$22,Inputs!$B$4&lt;&gt;"Chapter Hunt"),CHOOSE(ArtifactsInput!$N$22+1,10,12,14,16,18,20)*((0*(((0.15*B1689*5))^0/1)+1*(((0.15*B1689*5))^1/1)+2*(((0.15*B1689*5))^2/2)+3*(((0.15*B1689*5))^3/6)+4*(((0.15*B1689*5))^4/24)+5*(((0.15*B1689*5))^5/120))/((((0.15*B1689*5))^0/1)+(((0.15*B1689*5))^1/1)+(((0.15*B1689*5))^2/2)+(((0.15*B1689*5))^3/6)+(((0.15*B1689*5))^4/24)+(((0.15*B1689*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1655*(1-MIN(100,(Inputs!$B$9+((C1677=TRUE)*(F1677-Calc!F26))+B1685+(ArtifactsInput!$M$24-ArtifactsInput!$M$24)*CHOOSE(ArtifactsInput!$N$24+1,10,12,14,16,18,20)+(IF(AND(Inputs!$B$39&lt;&gt;"pvp",Inputs!$B$44=0),1,IF(IF(Inputs!$B$39="pvp",15,Inputs!$B$44)-(B1696)&lt;=0,1,MAX(0,IF(Inputs!$B$39="pvp",15,Inputs!$B$44)-MAX(5,B1696))/(IF(Inputs!$B$39="pvp",15,Inputs!$B$44)-(B1696))))*IF(AND(ArtifactsInput!$M$42,((Inputs!$B$9+((C1677=TRUE)*(F1677-Calc!F26))+B1685+(ArtifactsInput!$M$24-ArtifactsInput!$M$24)*CHOOSE(ArtifactsInput!$N$24+1,10,12,14,16,18,20)+IF(IF(ArtifactsInput!$M$10,FALSE,TRUE),CHOOSE(ArtifactsInput!$N$10+1,15,18,21,24,27,30)*(IF(Inputs!$B$39="pvp",MIN(15,15)/15,IF(AND(Inputs!$B$39&lt;&gt;"pvp",Inputs!$B$44&gt;0),MIN(15,Inputs!$B$44)/(Inputs!$B$44),0))),0)))&lt;100),CHOOSE(ArtifactsInput!$N$42+1,30,36,42,48,54,60),0)+IF(IF(ArtifactsInput!$M$10,FALSE,TRUE),CHOOSE(ArtifactsInput!$N$10+1,15,18,21,24,27,30)*(IF(Inputs!$B$39="pvp",MIN(15,15)/15,IF(AND(Inputs!$B$39&lt;&gt;"pvp",Inputs!$B$44&gt;0),MIN(15,Inputs!$B$44)/(Inputs!$B$44),0))),0)))+IF(AND(ArtifactsInput!$M$8,Inputs!$B$39&lt;&gt;"pvp"),CHOOSE(ArtifactsInput!$N$8+1,8,9.6,11.2,12.8,14.4,16),0))/100)+M1655*(MIN(100,(Inputs!$B$9+((C1677=TRUE)*(F1677-Calc!F26))+B1685+(ArtifactsInput!$M$24-ArtifactsInput!$M$24)*CHOOSE(ArtifactsInput!$N$24+1,10,12,14,16,18,20)+(IF(AND(Inputs!$B$39&lt;&gt;"pvp",Inputs!$B$44=0),1,IF(IF(Inputs!$B$39="pvp",15,Inputs!$B$44)-(B1696)&lt;=0,1,MAX(0,IF(Inputs!$B$39="pvp",15,Inputs!$B$44)-MAX(5,B1696))/(IF(Inputs!$B$39="pvp",15,Inputs!$B$44)-(B1696))))*IF(AND(ArtifactsInput!$M$42,((Inputs!$B$9+((C1677=TRUE)*(F1677-Calc!F26))+B1685+(ArtifactsInput!$M$24-ArtifactsInput!$M$24)*CHOOSE(ArtifactsInput!$N$24+1,10,12,14,16,18,20)+IF(IF(ArtifactsInput!$M$10,FALSE,TRUE),CHOOSE(ArtifactsInput!$N$10+1,15,18,21,24,27,30)*(IF(Inputs!$B$39="pvp",MIN(15,15)/15,IF(AND(Inputs!$B$39&lt;&gt;"pvp",Inputs!$B$44&gt;0),MIN(15,Inputs!$B$44)/(Inputs!$B$44),0))),0)))&lt;100),CHOOSE(ArtifactsInput!$N$42+1,30,36,42,48,54,60),0)+IF(IF(ArtifactsInput!$M$10,FALSE,TRUE),CHOOSE(ArtifactsInput!$N$10+1,15,18,21,24,27,30)*(IF(Inputs!$B$39="pvp",MIN(15,15)/15,IF(AND(Inputs!$B$39&lt;&gt;"pvp",Inputs!$B$44&gt;0),MIN(15,Inputs!$B$44)/(Inputs!$B$44),0))),0)))+IF(AND(ArtifactsInput!$M$8,Inputs!$B$39&lt;&gt;"pvp"),CHOOSE(ArtifactsInput!$N$8+1,8,9.6,11.2,12.8,14.4,16),0))/100))/(L1655*(1-MIN(100,(Inputs!$B$9+((C1677=TRUE)*(F1677-Calc!F26))+B1685+(ArtifactsInput!$M$24-ArtifactsInput!$M$24)*CHOOSE(ArtifactsInput!$N$24+1,10,12,14,16,18,20)+(IF(AND(Inputs!$B$39&lt;&gt;"pvp",Inputs!$B$44=0),1,IF(IF(Inputs!$B$39="pvp",15,Inputs!$B$44)-(B1696)&lt;=0,1,MAX(0,IF(Inputs!$B$39="pvp",15,Inputs!$B$44)-MAX(5,B1696))/(IF(Inputs!$B$39="pvp",15,Inputs!$B$44)-(B1696))))*IF(AND(ArtifactsInput!$M$42,((Inputs!$B$9+((C1677=TRUE)*(F1677-Calc!F26))+B1685+(ArtifactsInput!$M$24-ArtifactsInput!$M$24)*CHOOSE(ArtifactsInput!$N$24+1,10,12,14,16,18,20)+IF(IF(ArtifactsInput!$M$10,FALSE,TRUE),CHOOSE(ArtifactsInput!$N$10+1,15,18,21,24,27,30)*(IF(Inputs!$B$39="pvp",MIN(15,15)/15,IF(AND(Inputs!$B$39&lt;&gt;"pvp",Inputs!$B$44&gt;0),MIN(15,Inputs!$B$44)/(Inputs!$B$44),0))),0)))&lt;100),CHOOSE(ArtifactsInput!$N$42+1,30,36,42,48,54,60),0)+IF(IF(ArtifactsInput!$M$10,FALSE,TRUE),CHOOSE(ArtifactsInput!$N$10+1,15,18,21,24,27,30)*(IF(Inputs!$B$39="pvp",MIN(15,15)/15,IF(AND(Inputs!$B$39&lt;&gt;"pvp",Inputs!$B$44&gt;0),MIN(15,Inputs!$B$44)/(Inputs!$B$44),0))),0))))/100)+M1655*(MIN(100,(Inputs!$B$9+((C1677=TRUE)*(F1677-Calc!F26))+B1685+(ArtifactsInput!$M$24-ArtifactsInput!$M$24)*CHOOSE(ArtifactsInput!$N$24+1,10,12,14,16,18,20)+(IF(AND(Inputs!$B$39&lt;&gt;"pvp",Inputs!$B$44=0),1,IF(IF(Inputs!$B$39="pvp",15,Inputs!$B$44)-(B1696)&lt;=0,1,MAX(0,IF(Inputs!$B$39="pvp",15,Inputs!$B$44)-MAX(5,B1696))/(IF(Inputs!$B$39="pvp",15,Inputs!$B$44)-(B1696))))*IF(AND(ArtifactsInput!$M$42,((Inputs!$B$9+((C1677=TRUE)*(F1677-Calc!F26))+B1685+(ArtifactsInput!$M$24-ArtifactsInput!$M$24)*CHOOSE(ArtifactsInput!$N$24+1,10,12,14,16,18,20)+IF(IF(ArtifactsInput!$M$10,FALSE,TRUE),CHOOSE(ArtifactsInput!$N$10+1,15,18,21,24,27,30)*(IF(Inputs!$B$39="pvp",MIN(15,15)/15,IF(AND(Inputs!$B$39&lt;&gt;"pvp",Inputs!$B$44&gt;0),MIN(15,Inputs!$B$44)/(Inputs!$B$44),0))),0)))&lt;100),CHOOSE(ArtifactsInput!$N$42+1,30,36,42,48,54,60),0)+IF(IF(ArtifactsInput!$M$10,FALSE,TRUE),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1655">
        <f>290*U1654/1000</f>
        <v/>
      </c>
      <c r="V1655">
        <f>IF(C1655,(H1655*N1655*IF(AND(Inputs!$B$39&lt;&gt;"pvp",Inputs!$B$44&gt;0),((Skills!G4*((R1655-1)*IF(Skills!H4&gt;0,Skills!I4/Skills!H4,1)+IF(Skills!H4&gt;0,MIN(Skills!I4,MAX(0,MAX(0,Inputs!$B$44-B1696)-((R1655-1)*IF(Inputs!$B$39="pvp",15,MAX(0.1,Skills!D4-IF(TRUE=TRUE,Inputs!$B$32,0))))))/Skills!H4,1)))/Inputs!$B$44),G1655*Q1655))*IF(Inputs!$B$39="pvp",1,(1+(Inputs!$B$21+Skills!Q4+B1686+(IF(ArtifactsInput!$M$33,CHOOSE(ArtifactsInput!$N$33+1,30,36,42,48,54,60),0))+(IF(AND(ArtifactsInput!$M$35,Inputs!$B$4&lt;&gt;"Chapter Hunt"),CHOOSE(ArtifactsInput!$N$35+1,15,18,21,24,27,30)*(1-EXP(-(0.2*B1689)*5)),0)+IF(AND(ArtifactsInput!$M$22,Inputs!$B$4&lt;&gt;"Chapter Hunt"),CHOOSE(ArtifactsInput!$N$22+1,10,12,14,16,18,20)*((0*(((0.15*B1689*5))^0/1)+1*(((0.15*B1689*5))^1/1)+2*(((0.15*B1689*5))^2/2)+3*(((0.15*B1689*5))^3/6)+4*(((0.15*B1689*5))^4/24)+5*(((0.15*B1689*5))^5/120))/((((0.15*B1689*5))^0/1)+(((0.15*B1689*5))^1/1)+(((0.15*B1689*5))^2/2)+(((0.15*B1689*5))^3/6)+(((0.15*B1689*5))^4/24)+(((0.15*B1689*5))^5/120))),0)))/100)*(MIN(MIN(10,IF(Inputs!$B$3&gt;=75,0.75,0.5)*B1689*(1/Q1655)),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656">
      <c r="A1656">
        <f>Skills!A5</f>
        <v/>
      </c>
      <c r="B1656">
        <f>Skills!B5</f>
        <v/>
      </c>
      <c r="C1656">
        <f>Inputs!$B$3&gt;=75</f>
        <v/>
      </c>
      <c r="D1656">
        <f>IF(Skills!C5=1,60+Inputs!$B$25+Inputs!$B$29,IF(Skills!C5=2,90+Inputs!$B$26+Inputs!$B$29,IF(Skills!C5=3,120+Inputs!$B$27+Inputs!$B$29,MAX(0,(Inputs!$B$3-100)*3)+Inputs!$B$28+Inputs!$B$29)))</f>
        <v/>
      </c>
      <c r="E1656">
        <f>INDEX(FactorTable!$B$2:$Y$301, MATCH(ROUND(MIN(300,MAX(1,D1656)),0), FactorTable!$A$2:$A$301,0), Skills!M5+1)</f>
        <v/>
      </c>
      <c r="F1656">
        <f>IF(Skills!N5=TRUE,(Skills!L5/10)*(E1656/1000),Skills!L5/10)+Skills!O5</f>
        <v/>
      </c>
      <c r="G1656">
        <f>Skills!G5*IF(Skills!H5&gt;0,IF(Inputs!$B$39="pvp",MIN(Skills!I5,15),Skills!I5)/Skills!H5,1)</f>
        <v/>
      </c>
      <c r="H1656">
        <f>1-(1-Skills!J5/100)^Skills!K5</f>
        <v/>
      </c>
      <c r="I1656" t="inlineStr">
        <is>
          <t>1</t>
        </is>
      </c>
      <c r="J1656" t="inlineStr"/>
      <c r="K1656" t="inlineStr"/>
      <c r="L1656" t="inlineStr"/>
      <c r="M1656" t="inlineStr"/>
      <c r="N1656" t="inlineStr"/>
      <c r="O1656">
        <f>(1-Summary!$B$11)*T1656+Summary!$B$11*V1656</f>
        <v/>
      </c>
      <c r="P1656">
        <f>IF(B1697=0,0,O1656/B1697)</f>
        <v/>
      </c>
      <c r="Q1656" t="n">
        <v>0</v>
      </c>
      <c r="R1656" t="n">
        <v>0</v>
      </c>
      <c r="S1656">
        <f>IFERROR(O1656/N1656,0)</f>
        <v/>
      </c>
      <c r="T1656" t="n">
        <v>0</v>
      </c>
      <c r="V1656" t="n">
        <v>0</v>
      </c>
    </row>
    <row r="1657">
      <c r="A1657">
        <f>Skills!A6</f>
        <v/>
      </c>
      <c r="B1657">
        <f>Skills!B6</f>
        <v/>
      </c>
      <c r="C1657">
        <f>Inputs!$B$3&gt;=63</f>
        <v/>
      </c>
      <c r="D1657">
        <f>IF(Skills!C6=1,60+Inputs!$B$25+Inputs!$B$29,IF(Skills!C6=2,90+Inputs!$B$26+Inputs!$B$29,IF(Skills!C6=3,120+Inputs!$B$27+Inputs!$B$29,MAX(0,(Inputs!$B$3-100)*3)+Inputs!$B$28+Inputs!$B$29)))</f>
        <v/>
      </c>
      <c r="E1657">
        <f>INDEX(FactorTable!$B$2:$Y$301, MATCH(ROUND(MIN(300,MAX(1,D1657)),0), FactorTable!$A$2:$A$301,0), Skills!M6+1)</f>
        <v/>
      </c>
      <c r="F1657">
        <f>IF(Skills!N6=TRUE,(Skills!L6/10)*(E1657/1000),Skills!L6/10)+Skills!O6</f>
        <v/>
      </c>
      <c r="G1657">
        <f>Skills!G6*IF(Skills!H6&gt;0,IF(Inputs!$B$39="pvp",MIN(Skills!I6,15),Skills!I6)/Skills!H6,1)</f>
        <v/>
      </c>
      <c r="H1657">
        <f>1-(1-Skills!J6/100)^Skills!K6</f>
        <v/>
      </c>
      <c r="I1657" t="inlineStr">
        <is>
          <t>1</t>
        </is>
      </c>
      <c r="J1657">
        <f>((Inputs!$B$6*(1+Inputs!$B$7/100))+(((Inputs!$B$12*(1+Inputs!$B$13/100))-(Inputs!$B$12*(1+Inputs!$B$13/100)))+0.25*(Inputs!$B$14-Inputs!$B$14))*(1+Inputs!$B$7/100))*(F1657/100)</f>
        <v/>
      </c>
      <c r="K1657">
        <f>J1657*(1+((Inputs!$B$12*(1+Inputs!$B$13/100))*0.01+Inputs!$B$14*0.0025)/100)*(1+Inputs!$B$15/100)*(1+Inputs!$B$16/100)*(5000/(6000+Inputs!$B$43*(1-(100*(1-(1-Inputs!$B$19/100)*(1-CHOOSE(ArtifactsInput!$N$40+1,5,6,7,8,9,10)/100)^(ArtifactsInput!$M$40-ArtifactsInput!$M$40)))/100)))*(1+(Inputs!$B$24+((C1682=TRUE)*(F1682-Calc!F31))+((C1669=TRUE)*(F1669-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+2.6666666666666665*IF(C1670=TRUE,F1670,0)/100)*(1+(IF(Skills!A6="CRUEL_STAB",Inputs!$B$17+((C1679=TRUE)*(F1679-Calc!F28))+((IF(AND(Inputs!$B$39&lt;&gt;"pvp",Inputs!$B$44=0),1,IF(IF(Inputs!$B$39="pvp",15,Inputs!$B$44)-(B1696)&lt;=0,1,MAX(0,IF(Inputs!$B$39="pvp",15,Inputs!$B$44)-MAX(5,B1696))/(IF(Inputs!$B$39="pvp",15,Inputs!$B$44)-(B1696))))*(IF(AND(ArtifactsInput!$M$42,((Inputs!$B$9+((C1677=TRUE)*(F1677-Calc!F26))+B1685+(ArtifactsInput!$M$24-ArtifactsInput!$M$24)*CHOOSE(ArtifactsInput!$N$24+1,10,12,14,16,18,20)+IF(IF(ArtifactsInput!$M$10,FALSE,TRUE),CHOOSE(ArtifactsInput!$N$10+1,15,18,21,24,27,30)*(IF(Inputs!$B$39="pvp",MIN(15,15)/15,IF(AND(Inputs!$B$39&lt;&gt;"pvp",Inputs!$B$44&gt;0),MIN(15,Inputs!$B$44)/(Inputs!$B$44),0))),0)))&gt;=100),MIN(100,((Inputs!$B$9+((C1677=TRUE)*(F1677-Calc!F26))+B1685+(ArtifactsInput!$M$24-ArtifactsInput!$M$24)*CHOOSE(ArtifactsInput!$N$24+1,10,12,14,16,18,20)+IF(IF(ArtifactsInput!$M$10,FALSE,TRUE),CHOOSE(ArtifactsInput!$N$10+1,15,18,21,24,27,30)*(IF(Inputs!$B$39="pvp",MIN(15,15)/15,IF(AND(Inputs!$B$39&lt;&gt;"pvp",Inputs!$B$44&gt;0),MIN(15,Inputs!$B$44)/(Inputs!$B$44),0))),0)))-100),0))*CHOOSE(ArtifactsInput!$N$42+1,0.6,0.72,0.84,0.96,1.08,1.2))),Inputs!$B$18+((C1680=TRUE)*(F1680-Calc!F29))+(IF(AND(Inputs!$B$39&lt;&gt;"pvp",Inputs!$B$44=0),1,IF(IF(Inputs!$B$39="pvp",15,Inputs!$B$44)-(B1696)&lt;=0,1,MAX(0,IF(Inputs!$B$39="pvp",15,Inputs!$B$44)-MAX(5,B1696))/(IF(Inputs!$B$39="pvp",15,Inputs!$B$44)-(B1696))))*IF(AND(ArtifactsInput!$M$42,((Inputs!$B$9+((C1677=TRUE)*(F1677-Calc!F26))+B1685+(ArtifactsInput!$M$24-ArtifactsInput!$M$24)*CHOOSE(ArtifactsInput!$N$24+1,10,12,14,16,18,20)+IF(IF(ArtifactsInput!$M$10,FALSE,TRUE),CHOOSE(ArtifactsInput!$N$10+1,15,18,21,24,27,30)*(IF(Inputs!$B$39="pvp",MIN(15,15)/15,IF(AND(Inputs!$B$39&lt;&gt;"pvp",Inputs!$B$44&gt;0),MIN(15,Inputs!$B$44)/(Inputs!$B$44),0))),0)))&gt;=100),CHOOSE(ArtifactsInput!$N$42+1,40,48,56,64,72,80),0))))/100)*(((1+(((C1673=TRUE)*F1673*IF(AND(Inputs!$B$39&lt;&gt;"pvp",Inputs!$B$44&gt;0),(((R1673-1)*MIN((Skills!Y22*(1+Inputs!$B$34/100)),(1/Q1673))+MIN((Skills!Y22*(1+Inputs!$B$34/100)),MAX(0,Inputs!$B$44-((R1673-1)*(1/Q1673)))))/Inputs!$B$44),IF(Inputs!$B$39="pvp",MIN((Skills!Y22*(1+Inputs!$B$34/100)),15)/15,MIN(1,(Skills!Y22*(1+Inputs!$B$34/100))/(1/Q1673)))))+((C1654=TRUE)*F1654*3)+((C1656=TRUE)*F1656*(1-EXP(-0.75*B1689*5)))+((C1675=TRUE)*(F1675-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1662=TRUE)*F1662*IF(AND(Inputs!$B$39&lt;&gt;"pvp",Inputs!$B$44&gt;0),(((R1662-1)*MIN((Skills!Y11*(1+Inputs!$B$34/100)),(1/Q1662))+MIN((Skills!Y11*(1+Inputs!$B$34/100)),MAX(0,Inputs!$B$44-((R1662-1)*(1/Q1662)))))/Inputs!$B$44),IF(Inputs!$B$39="pvp",MIN((Skills!Y11*(1+Inputs!$B$34/100)),15)/15,MIN(1,(Skills!Y11*(1+Inputs!$B$34/100))/(1/Q1662)))))/100)*(1+((C1667=TRUE)*F1667*IF(AND(Inputs!$B$39&lt;&gt;"pvp",Inputs!$B$44&gt;0),(((R1667-1)*MIN((Skills!Y16*(1+Inputs!$B$34/100)),(1/Q1667))+MIN((Skills!Y16*(1+Inputs!$B$34/100)),MAX(0,Inputs!$B$44-((R1667-1)*(1/Q1667)))))/Inputs!$B$44),IF(Inputs!$B$39="pvp",MIN((Skills!Y16*(1+Inputs!$B$34/100)),15)/15,MIN(1,(Skills!Y16*(1+Inputs!$B$34/100))/(1/Q1667)))))/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1687*I1657)</f>
        <v/>
      </c>
      <c r="L1657">
        <f>K1657*(MIN(Inputs!$B$22+((C1676=TRUE)*(F1676-Calc!F25)),(Inputs!$B$23+((C1681=TRUE)*(F1681-Calc!F30))+IF(ArtifactsInput!$M$15,CHOOSE(ArtifactsInput!$N$15+1,25,30,35,40,45,50)/100*(Inputs!$B$11-Inputs!$B$11),0)))/100+(Inputs!$B$23+((C1681=TRUE)*(F1681-Calc!F30))+IF(ArtifactsInput!$M$15,CHOOSE(ArtifactsInput!$N$15+1,25,30,35,40,45,50)/100*(Inputs!$B$11-Inputs!$B$11),0))/100)/2</f>
        <v/>
      </c>
      <c r="M1657">
        <f>L1657*(1+(Inputs!$B$10+((C1678=TRUE)*(F1678-Calc!F27))+B1692+(IF(ArtifactsInput!$M$24,CHOOSE(ArtifactsInput!$N$24+1,30,36,42,48,54,60)/100*(Inputs!$B$9-Inputs!$B$9),0)+IF(IF(ArtifactsInput!$M$10,FALSE,TRUE),CHOOSE(ArtifactsInput!$N$10+1,20,24,28,32,36,40)*(IF(Inputs!$B$39="pvp",MIN(15,15)/15,IF(AND(Inputs!$B$39&lt;&gt;"pvp",Inputs!$B$44&gt;0),MIN(15,Inputs!$B$44)/(Inputs!$B$44),0))),0)+IF(ArtifactsInput!$M$31,1.5*CHOOSE(ArtifactsInput!$N$31+1,20,24,28,32,36,40),0)))/100)</f>
        <v/>
      </c>
      <c r="N1657">
        <f>L1657*(1-MIN((Inputs!$B$9+((C1677=TRUE)*(F1677-Calc!F26))+B1685+(ArtifactsInput!$M$24-ArtifactsInput!$M$24)*CHOOSE(ArtifactsInput!$N$24+1,10,12,14,16,18,20)+(IF(AND(Inputs!$B$39&lt;&gt;"pvp",Inputs!$B$44=0),1,IF(IF(Inputs!$B$39="pvp",15,Inputs!$B$44)-(B1696)&lt;=0,1,MAX(0,IF(Inputs!$B$39="pvp",15,Inputs!$B$44)-MAX(5,B1696))/(IF(Inputs!$B$39="pvp",15,Inputs!$B$44)-(B1696))))*IF(AND(ArtifactsInput!$M$42,((Inputs!$B$9+((C1677=TRUE)*(F1677-Calc!F26))+B1685+(ArtifactsInput!$M$24-ArtifactsInput!$M$24)*CHOOSE(ArtifactsInput!$N$24+1,10,12,14,16,18,20)+IF(IF(ArtifactsInput!$M$10,FALSE,TRUE),CHOOSE(ArtifactsInput!$N$10+1,15,18,21,24,27,30)*(IF(Inputs!$B$39="pvp",MIN(15,15)/15,IF(AND(Inputs!$B$39&lt;&gt;"pvp",Inputs!$B$44&gt;0),MIN(15,Inputs!$B$44)/(Inputs!$B$44),0))),0)))&lt;100),CHOOSE(ArtifactsInput!$N$42+1,30,36,42,48,54,60),0)+IF(IF(ArtifactsInput!$M$10,FALSE,TRUE),CHOOSE(ArtifactsInput!$N$10+1,15,18,21,24,27,30)*(IF(Inputs!$B$39="pvp",MIN(15,15)/15,IF(AND(Inputs!$B$39&lt;&gt;"pvp",Inputs!$B$44&gt;0),MIN(15,Inputs!$B$44)/(Inputs!$B$44),0))),0))),100)/100)+M1657*(MIN((Inputs!$B$9+((C1677=TRUE)*(F1677-Calc!F26))+B1685+(ArtifactsInput!$M$24-ArtifactsInput!$M$24)*CHOOSE(ArtifactsInput!$N$24+1,10,12,14,16,18,20)+(IF(AND(Inputs!$B$39&lt;&gt;"pvp",Inputs!$B$44=0),1,IF(IF(Inputs!$B$39="pvp",15,Inputs!$B$44)-(B1696)&lt;=0,1,MAX(0,IF(Inputs!$B$39="pvp",15,Inputs!$B$44)-MAX(5,B1696))/(IF(Inputs!$B$39="pvp",15,Inputs!$B$44)-(B1696))))*IF(AND(ArtifactsInput!$M$42,((Inputs!$B$9+((C1677=TRUE)*(F1677-Calc!F26))+B1685+(ArtifactsInput!$M$24-ArtifactsInput!$M$24)*CHOOSE(ArtifactsInput!$N$24+1,10,12,14,16,18,20)+IF(IF(ArtifactsInput!$M$10,FALSE,TRUE),CHOOSE(ArtifactsInput!$N$10+1,15,18,21,24,27,30)*(IF(Inputs!$B$39="pvp",MIN(15,15)/15,IF(AND(Inputs!$B$39&lt;&gt;"pvp",Inputs!$B$44&gt;0),MIN(15,Inputs!$B$44)/(Inputs!$B$44),0))),0)))&lt;100),CHOOSE(ArtifactsInput!$N$42+1,30,36,42,48,54,60),0)+IF(IF(ArtifactsInput!$M$10,FALSE,TRUE),CHOOSE(ArtifactsInput!$N$10+1,15,18,21,24,27,30)*(IF(Inputs!$B$39="pvp",MIN(15,15)/15,IF(AND(Inputs!$B$39&lt;&gt;"pvp",Inputs!$B$44&gt;0),MIN(15,Inputs!$B$44)/(Inputs!$B$44),0))),0))),100)/100)</f>
        <v/>
      </c>
      <c r="O1657">
        <f>(1-Summary!$B$11)*T1657+Summary!$B$11*V1657</f>
        <v/>
      </c>
      <c r="P1657">
        <f>IF(B1697=0,0,O1657/B1697)</f>
        <v/>
      </c>
      <c r="Q1657">
        <f>IFERROR(1/IF(Inputs!$B$39="pvp",15,MAX(0.1,Skills!D6-IF(TRUE=TRUE,Inputs!$B$32,0))),0)</f>
        <v/>
      </c>
      <c r="R1657">
        <f>IF(AND(Inputs!$B$39&lt;&gt;"pvp",Inputs!$B$44&gt;0),IF(MAX(0,Inputs!$B$44-B1696)&lt;=0,0,(INT(MAX(0,Inputs!$B$44-B1696)/IF(Inputs!$B$39="pvp",15,MAX(0.1,Skills!D6-IF(TRUE=TRUE,Inputs!$B$32,0))))+1)),0)</f>
        <v/>
      </c>
      <c r="S1657">
        <f>IFERROR(O1657/N1657,0)</f>
        <v/>
      </c>
      <c r="T1657">
        <f>IF(C1657,(H1657*N1657*IF(AND(Inputs!$B$39&lt;&gt;"pvp",Inputs!$B$44&gt;0),((Skills!G6*((R1657-1)*IF(Skills!H6&gt;0,Skills!I6/Skills!H6,1)+IF(Skills!H6&gt;0,MIN(Skills!I6,MAX(0,MAX(0,Inputs!$B$44-B1696)-((R1657-1)*IF(Inputs!$B$39="pvp",15,MAX(0.1,Skills!D6-IF(TRUE=TRUE,Inputs!$B$32,0))))))/Skills!H6,1)))/Inputs!$B$44),G1657*Q1657))*IF(Inputs!$B$39="pvp",1,1+(Inputs!$B$20+0+Skills!P6+B1686+(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Hunt"),CHOOSE(ArtifactsInput!$N$35+1,15,18,21,24,27,30)*(1-EXP(-(0.2*B1689)*5)),0)+IF(AND(ArtifactsInput!$M$22,Inputs!$B$4&lt;&gt;"Chapter Hunt"),CHOOSE(ArtifactsInput!$N$22+1,10,12,14,16,18,20)*((0*(((0.15*B1689*5))^0/1)+1*(((0.15*B1689*5))^1/1)+2*(((0.15*B1689*5))^2/2)+3*(((0.15*B1689*5))^3/6)+4*(((0.15*B1689*5))^4/24)+5*(((0.15*B1689*5))^5/120))/((((0.15*B1689*5))^0/1)+(((0.15*B1689*5))^1/1)+(((0.15*B1689*5))^2/2)+(((0.15*B1689*5))^3/6)+(((0.15*B1689*5))^4/24)+(((0.15*B1689*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1657*(1-MIN(100,(Inputs!$B$9+((C1677=TRUE)*(F1677-Calc!F26))+B1685+(ArtifactsInput!$M$24-ArtifactsInput!$M$24)*CHOOSE(ArtifactsInput!$N$24+1,10,12,14,16,18,20)+(IF(AND(Inputs!$B$39&lt;&gt;"pvp",Inputs!$B$44=0),1,IF(IF(Inputs!$B$39="pvp",15,Inputs!$B$44)-(B1696)&lt;=0,1,MAX(0,IF(Inputs!$B$39="pvp",15,Inputs!$B$44)-MAX(5,B1696))/(IF(Inputs!$B$39="pvp",15,Inputs!$B$44)-(B1696))))*IF(AND(ArtifactsInput!$M$42,((Inputs!$B$9+((C1677=TRUE)*(F1677-Calc!F26))+B1685+(ArtifactsInput!$M$24-ArtifactsInput!$M$24)*CHOOSE(ArtifactsInput!$N$24+1,10,12,14,16,18,20)+IF(IF(ArtifactsInput!$M$10,FALSE,TRUE),CHOOSE(ArtifactsInput!$N$10+1,15,18,21,24,27,30)*(IF(Inputs!$B$39="pvp",MIN(15,15)/15,IF(AND(Inputs!$B$39&lt;&gt;"pvp",Inputs!$B$44&gt;0),MIN(15,Inputs!$B$44)/(Inputs!$B$44),0))),0)))&lt;100),CHOOSE(ArtifactsInput!$N$42+1,30,36,42,48,54,60),0)+IF(IF(ArtifactsInput!$M$10,FALSE,TRUE),CHOOSE(ArtifactsInput!$N$10+1,15,18,21,24,27,30)*(IF(Inputs!$B$39="pvp",MIN(15,15)/15,IF(AND(Inputs!$B$39&lt;&gt;"pvp",Inputs!$B$44&gt;0),MIN(15,Inputs!$B$44)/(Inputs!$B$44),0))),0)))+IF(AND(ArtifactsInput!$M$8,Inputs!$B$39&lt;&gt;"pvp"),CHOOSE(ArtifactsInput!$N$8+1,8,9.6,11.2,12.8,14.4,16),0))/100)+M1657*(MIN(100,(Inputs!$B$9+((C1677=TRUE)*(F1677-Calc!F26))+B1685+(ArtifactsInput!$M$24-ArtifactsInput!$M$24)*CHOOSE(ArtifactsInput!$N$24+1,10,12,14,16,18,20)+(IF(AND(Inputs!$B$39&lt;&gt;"pvp",Inputs!$B$44=0),1,IF(IF(Inputs!$B$39="pvp",15,Inputs!$B$44)-(B1696)&lt;=0,1,MAX(0,IF(Inputs!$B$39="pvp",15,Inputs!$B$44)-MAX(5,B1696))/(IF(Inputs!$B$39="pvp",15,Inputs!$B$44)-(B1696))))*IF(AND(ArtifactsInput!$M$42,((Inputs!$B$9+((C1677=TRUE)*(F1677-Calc!F26))+B1685+(ArtifactsInput!$M$24-ArtifactsInput!$M$24)*CHOOSE(ArtifactsInput!$N$24+1,10,12,14,16,18,20)+IF(IF(ArtifactsInput!$M$10,FALSE,TRUE),CHOOSE(ArtifactsInput!$N$10+1,15,18,21,24,27,30)*(IF(Inputs!$B$39="pvp",MIN(15,15)/15,IF(AND(Inputs!$B$39&lt;&gt;"pvp",Inputs!$B$44&gt;0),MIN(15,Inputs!$B$44)/(Inputs!$B$44),0))),0)))&lt;100),CHOOSE(ArtifactsInput!$N$42+1,30,36,42,48,54,60),0)+IF(IF(ArtifactsInput!$M$10,FALSE,TRUE),CHOOSE(ArtifactsInput!$N$10+1,15,18,21,24,27,30)*(IF(Inputs!$B$39="pvp",MIN(15,15)/15,IF(AND(Inputs!$B$39&lt;&gt;"pvp",Inputs!$B$44&gt;0),MIN(15,Inputs!$B$44)/(Inputs!$B$44),0))),0)))+IF(AND(ArtifactsInput!$M$8,Inputs!$B$39&lt;&gt;"pvp"),CHOOSE(ArtifactsInput!$N$8+1,8,9.6,11.2,12.8,14.4,16),0))/100))/(L1657*(1-MIN(100,(Inputs!$B$9+((C1677=TRUE)*(F1677-Calc!F26))+B1685+(ArtifactsInput!$M$24-ArtifactsInput!$M$24)*CHOOSE(ArtifactsInput!$N$24+1,10,12,14,16,18,20)+(IF(AND(Inputs!$B$39&lt;&gt;"pvp",Inputs!$B$44=0),1,IF(IF(Inputs!$B$39="pvp",15,Inputs!$B$44)-(B1696)&lt;=0,1,MAX(0,IF(Inputs!$B$39="pvp",15,Inputs!$B$44)-MAX(5,B1696))/(IF(Inputs!$B$39="pvp",15,Inputs!$B$44)-(B1696))))*IF(AND(ArtifactsInput!$M$42,((Inputs!$B$9+((C1677=TRUE)*(F1677-Calc!F26))+B1685+(ArtifactsInput!$M$24-ArtifactsInput!$M$24)*CHOOSE(ArtifactsInput!$N$24+1,10,12,14,16,18,20)+IF(IF(ArtifactsInput!$M$10,FALSE,TRUE),CHOOSE(ArtifactsInput!$N$10+1,15,18,21,24,27,30)*(IF(Inputs!$B$39="pvp",MIN(15,15)/15,IF(AND(Inputs!$B$39&lt;&gt;"pvp",Inputs!$B$44&gt;0),MIN(15,Inputs!$B$44)/(Inputs!$B$44),0))),0)))&lt;100),CHOOSE(ArtifactsInput!$N$42+1,30,36,42,48,54,60),0)+IF(IF(ArtifactsInput!$M$10,FALSE,TRUE),CHOOSE(ArtifactsInput!$N$10+1,15,18,21,24,27,30)*(IF(Inputs!$B$39="pvp",MIN(15,15)/15,IF(AND(Inputs!$B$39&lt;&gt;"pvp",Inputs!$B$44&gt;0),MIN(15,Inputs!$B$44)/(Inputs!$B$44),0))),0))))/100)+M1657*(MIN(100,(Inputs!$B$9+((C1677=TRUE)*(F1677-Calc!F26))+B1685+(ArtifactsInput!$M$24-ArtifactsInput!$M$24)*CHOOSE(ArtifactsInput!$N$24+1,10,12,14,16,18,20)+(IF(AND(Inputs!$B$39&lt;&gt;"pvp",Inputs!$B$44=0),1,IF(IF(Inputs!$B$39="pvp",15,Inputs!$B$44)-(B1696)&lt;=0,1,MAX(0,IF(Inputs!$B$39="pvp",15,Inputs!$B$44)-MAX(5,B1696))/(IF(Inputs!$B$39="pvp",15,Inputs!$B$44)-(B1696))))*IF(AND(ArtifactsInput!$M$42,((Inputs!$B$9+((C1677=TRUE)*(F1677-Calc!F26))+B1685+(ArtifactsInput!$M$24-ArtifactsInput!$M$24)*CHOOSE(ArtifactsInput!$N$24+1,10,12,14,16,18,20)+IF(IF(ArtifactsInput!$M$10,FALSE,TRUE),CHOOSE(ArtifactsInput!$N$10+1,15,18,21,24,27,30)*(IF(Inputs!$B$39="pvp",MIN(15,15)/15,IF(AND(Inputs!$B$39&lt;&gt;"pvp",Inputs!$B$44&gt;0),MIN(15,Inputs!$B$44)/(Inputs!$B$44),0))),0)))&lt;100),CHOOSE(ArtifactsInput!$N$42+1,30,36,42,48,54,60),0)+IF(IF(ArtifactsInput!$M$10,FALSE,TRUE),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1657">
        <f>IF(C1657,(H1657*N1657*IF(AND(Inputs!$B$39&lt;&gt;"pvp",Inputs!$B$44&gt;0),((Skills!G6*((R1657-1)*IF(Skills!H6&gt;0,Skills!I6/Skills!H6,1)+IF(Skills!H6&gt;0,MIN(Skills!I6,MAX(0,MAX(0,Inputs!$B$44-B1696)-((R1657-1)*IF(Inputs!$B$39="pvp",15,MAX(0.1,Skills!D6-IF(TRUE=TRUE,Inputs!$B$32,0))))))/Skills!H6,1)))/Inputs!$B$44),G1657*Q1657))*IF(Inputs!$B$39="pvp",1,(1+(Inputs!$B$21+Skills!Q6+B1686+(IF(ArtifactsInput!$M$33,CHOOSE(ArtifactsInput!$N$33+1,30,36,42,48,54,60),0))+(IF(AND(ArtifactsInput!$M$35,Inputs!$B$4&lt;&gt;"Chapter Hunt"),CHOOSE(ArtifactsInput!$N$35+1,15,18,21,24,27,30)*(1-EXP(-(0.2*B1689)*5)),0)+IF(AND(ArtifactsInput!$M$22,Inputs!$B$4&lt;&gt;"Chapter Hunt"),CHOOSE(ArtifactsInput!$N$22+1,10,12,14,16,18,20)*((0*(((0.15*B1689*5))^0/1)+1*(((0.15*B1689*5))^1/1)+2*(((0.15*B1689*5))^2/2)+3*(((0.15*B1689*5))^3/6)+4*(((0.15*B1689*5))^4/24)+5*(((0.15*B1689*5))^5/120))/((((0.15*B1689*5))^0/1)+(((0.15*B1689*5))^1/1)+(((0.15*B1689*5))^2/2)+(((0.15*B1689*5))^3/6)+(((0.15*B1689*5))^4/24)+(((0.15*B1689*5))^5/120))),0)))/100)*(MIN(Skills!W6,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658">
      <c r="A1658">
        <f>Skills!A7</f>
        <v/>
      </c>
      <c r="B1658">
        <f>Skills!B7</f>
        <v/>
      </c>
      <c r="C1658">
        <f>Inputs!$B$3&gt;=69</f>
        <v/>
      </c>
      <c r="D1658">
        <f>IF(Skills!C7=1,60+Inputs!$B$25+Inputs!$B$29,IF(Skills!C7=2,90+Inputs!$B$26+Inputs!$B$29,IF(Skills!C7=3,120+Inputs!$B$27+Inputs!$B$29,MAX(0,(Inputs!$B$3-100)*3)+Inputs!$B$28+Inputs!$B$29)))</f>
        <v/>
      </c>
      <c r="E1658">
        <f>INDEX(FactorTable!$B$2:$Y$301, MATCH(ROUND(MIN(300,MAX(1,D1658)),0), FactorTable!$A$2:$A$301,0), Skills!M7+1)</f>
        <v/>
      </c>
      <c r="F1658">
        <f>IF(Skills!N7=TRUE,(Skills!L7/10)*(E1658/1000),Skills!L7/10)+Skills!O7</f>
        <v/>
      </c>
      <c r="G1658">
        <f>Skills!G7*IF(Skills!H7&gt;0,IF(Inputs!$B$39="pvp",MIN(Skills!I7,15),Skills!I7)/Skills!H7,1)</f>
        <v/>
      </c>
      <c r="H1658">
        <f>1-(1-Skills!J7/100)^Skills!K7</f>
        <v/>
      </c>
      <c r="I1658" t="inlineStr">
        <is>
          <t>1</t>
        </is>
      </c>
      <c r="J1658">
        <f>((Inputs!$B$6*(1+Inputs!$B$7/100))+(((Inputs!$B$12*(1+Inputs!$B$13/100))-(Inputs!$B$12*(1+Inputs!$B$13/100)))+0.25*(Inputs!$B$14-Inputs!$B$14))*(1+Inputs!$B$7/100))*(F1658/100)</f>
        <v/>
      </c>
      <c r="K1658">
        <f>J1658*(1+((Inputs!$B$12*(1+Inputs!$B$13/100))*0.01+Inputs!$B$14*0.0025)/100)*(1+Inputs!$B$15/100)*(1+Inputs!$B$16/100)*(5000/(6000+Inputs!$B$43*(1-(100*(1-(1-Inputs!$B$19/100)*(1-CHOOSE(ArtifactsInput!$N$40+1,5,6,7,8,9,10)/100)^(ArtifactsInput!$M$40-ArtifactsInput!$M$40)))/100)))*(1+(Inputs!$B$24+((C1682=TRUE)*(F1682-Calc!F31))+((C1669=TRUE)*(F1669-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1670=TRUE,F1670,0)/100)*(1+(IF(Skills!A7="CRUEL_STAB",Inputs!$B$17+((C1679=TRUE)*(F1679-Calc!F28))+((IF(AND(Inputs!$B$39&lt;&gt;"pvp",Inputs!$B$44=0),1,IF(IF(Inputs!$B$39="pvp",15,Inputs!$B$44)-(B1696)&lt;=0,1,MAX(0,IF(Inputs!$B$39="pvp",15,Inputs!$B$44)-MAX(5,B1696))/(IF(Inputs!$B$39="pvp",15,Inputs!$B$44)-(B1696))))*(IF(AND(ArtifactsInput!$M$42,((Inputs!$B$9+((C1677=TRUE)*(F1677-Calc!F26))+B1685+(ArtifactsInput!$M$24-ArtifactsInput!$M$24)*CHOOSE(ArtifactsInput!$N$24+1,10,12,14,16,18,20)+IF(IF(ArtifactsInput!$M$10,FALSE,TRUE),CHOOSE(ArtifactsInput!$N$10+1,15,18,21,24,27,30)*(IF(Inputs!$B$39="pvp",MIN(15,15)/15,IF(AND(Inputs!$B$39&lt;&gt;"pvp",Inputs!$B$44&gt;0),MIN(15,Inputs!$B$44)/(Inputs!$B$44),0))),0)))&gt;=100),MIN(100,((Inputs!$B$9+((C1677=TRUE)*(F1677-Calc!F26))+B1685+(ArtifactsInput!$M$24-ArtifactsInput!$M$24)*CHOOSE(ArtifactsInput!$N$24+1,10,12,14,16,18,20)+IF(IF(ArtifactsInput!$M$10,FALSE,TRUE),CHOOSE(ArtifactsInput!$N$10+1,15,18,21,24,27,30)*(IF(Inputs!$B$39="pvp",MIN(15,15)/15,IF(AND(Inputs!$B$39&lt;&gt;"pvp",Inputs!$B$44&gt;0),MIN(15,Inputs!$B$44)/(Inputs!$B$44),0))),0)))-100),0))*CHOOSE(ArtifactsInput!$N$42+1,0.6,0.72,0.84,0.96,1.08,1.2))),Inputs!$B$18+((C1680=TRUE)*(F1680-Calc!F29))+(IF(AND(Inputs!$B$39&lt;&gt;"pvp",Inputs!$B$44=0),1,IF(IF(Inputs!$B$39="pvp",15,Inputs!$B$44)-(B1696)&lt;=0,1,MAX(0,IF(Inputs!$B$39="pvp",15,Inputs!$B$44)-MAX(5,B1696))/(IF(Inputs!$B$39="pvp",15,Inputs!$B$44)-(B1696))))*IF(AND(ArtifactsInput!$M$42,((Inputs!$B$9+((C1677=TRUE)*(F1677-Calc!F26))+B1685+(ArtifactsInput!$M$24-ArtifactsInput!$M$24)*CHOOSE(ArtifactsInput!$N$24+1,10,12,14,16,18,20)+IF(IF(ArtifactsInput!$M$10,FALSE,TRUE),CHOOSE(ArtifactsInput!$N$10+1,15,18,21,24,27,30)*(IF(Inputs!$B$39="pvp",MIN(15,15)/15,IF(AND(Inputs!$B$39&lt;&gt;"pvp",Inputs!$B$44&gt;0),MIN(15,Inputs!$B$44)/(Inputs!$B$44),0))),0)))&gt;=100),CHOOSE(ArtifactsInput!$N$42+1,40,48,56,64,72,80),0))))/100)*(((1+(((C1673=TRUE)*F1673*IF(AND(Inputs!$B$39&lt;&gt;"pvp",Inputs!$B$44&gt;0),(((R1673-1)*MIN((Skills!Y22*(1+Inputs!$B$34/100)),(1/Q1673))+MIN((Skills!Y22*(1+Inputs!$B$34/100)),MAX(0,Inputs!$B$44-((R1673-1)*(1/Q1673)))))/Inputs!$B$44),IF(Inputs!$B$39="pvp",MIN((Skills!Y22*(1+Inputs!$B$34/100)),15)/15,MIN(1,(Skills!Y22*(1+Inputs!$B$34/100))/(1/Q1673)))))+((C1654=TRUE)*F1654*3)+((C1656=TRUE)*F1656*(1-EXP(-0.75*B1689*5)))+((C1675=TRUE)*(F1675-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1662=TRUE)*F1662*IF(AND(Inputs!$B$39&lt;&gt;"pvp",Inputs!$B$44&gt;0),(((R1662-1)*MIN((Skills!Y11*(1+Inputs!$B$34/100)),(1/Q1662))+MIN((Skills!Y11*(1+Inputs!$B$34/100)),MAX(0,Inputs!$B$44-((R1662-1)*(1/Q1662)))))/Inputs!$B$44),IF(Inputs!$B$39="pvp",MIN((Skills!Y11*(1+Inputs!$B$34/100)),15)/15,MIN(1,(Skills!Y11*(1+Inputs!$B$34/100))/(1/Q1662)))))/100)*(1+((C1667=TRUE)*F1667*IF(AND(Inputs!$B$39&lt;&gt;"pvp",Inputs!$B$44&gt;0),(((R1667-1)*MIN((Skills!Y16*(1+Inputs!$B$34/100)),(1/Q1667))+MIN((Skills!Y16*(1+Inputs!$B$34/100)),MAX(0,Inputs!$B$44-((R1667-1)*(1/Q1667)))))/Inputs!$B$44),IF(Inputs!$B$39="pvp",MIN((Skills!Y16*(1+Inputs!$B$34/100)),15)/15,MIN(1,(Skills!Y16*(1+Inputs!$B$34/100))/(1/Q1667)))))/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1687*I1658)</f>
        <v/>
      </c>
      <c r="L1658">
        <f>K1658*(MIN(Inputs!$B$22+((C1676=TRUE)*(F1676-Calc!F25)),(Inputs!$B$23+((C1681=TRUE)*(F1681-Calc!F30))+IF(ArtifactsInput!$M$15,CHOOSE(ArtifactsInput!$N$15+1,25,30,35,40,45,50)/100*(Inputs!$B$11-Inputs!$B$11),0)))/100+(Inputs!$B$23+((C1681=TRUE)*(F1681-Calc!F30))+IF(ArtifactsInput!$M$15,CHOOSE(ArtifactsInput!$N$15+1,25,30,35,40,45,50)/100*(Inputs!$B$11-Inputs!$B$11),0))/100)/2</f>
        <v/>
      </c>
      <c r="M1658">
        <f>L1658*(1+(Inputs!$B$10+((C1678=TRUE)*(F1678-Calc!F27))+B1692+(IF(ArtifactsInput!$M$24,CHOOSE(ArtifactsInput!$N$24+1,30,36,42,48,54,60)/100*(Inputs!$B$9-Inputs!$B$9),0)+IF(IF(ArtifactsInput!$M$10,FALSE,TRUE),CHOOSE(ArtifactsInput!$N$10+1,20,24,28,32,36,40)*(IF(Inputs!$B$39="pvp",MIN(15,15)/15,IF(AND(Inputs!$B$39&lt;&gt;"pvp",Inputs!$B$44&gt;0),MIN(15,Inputs!$B$44)/(Inputs!$B$44),0))),0)+IF(ArtifactsInput!$M$31,1.5*CHOOSE(ArtifactsInput!$N$31+1,20,24,28,32,36,40),0)))/100)</f>
        <v/>
      </c>
      <c r="N1658">
        <f>L1658*(1-MIN((Inputs!$B$9+((C1677=TRUE)*(F1677-Calc!F26))+B1685+(ArtifactsInput!$M$24-ArtifactsInput!$M$24)*CHOOSE(ArtifactsInput!$N$24+1,10,12,14,16,18,20)+(IF(AND(Inputs!$B$39&lt;&gt;"pvp",Inputs!$B$44=0),1,IF(IF(Inputs!$B$39="pvp",15,Inputs!$B$44)-(B1696)&lt;=0,1,MAX(0,IF(Inputs!$B$39="pvp",15,Inputs!$B$44)-MAX(5,B1696))/(IF(Inputs!$B$39="pvp",15,Inputs!$B$44)-(B1696))))*IF(AND(ArtifactsInput!$M$42,((Inputs!$B$9+((C1677=TRUE)*(F1677-Calc!F26))+B1685+(ArtifactsInput!$M$24-ArtifactsInput!$M$24)*CHOOSE(ArtifactsInput!$N$24+1,10,12,14,16,18,20)+IF(IF(ArtifactsInput!$M$10,FALSE,TRUE),CHOOSE(ArtifactsInput!$N$10+1,15,18,21,24,27,30)*(IF(Inputs!$B$39="pvp",MIN(15,15)/15,IF(AND(Inputs!$B$39&lt;&gt;"pvp",Inputs!$B$44&gt;0),MIN(15,Inputs!$B$44)/(Inputs!$B$44),0))),0)))&lt;100),CHOOSE(ArtifactsInput!$N$42+1,30,36,42,48,54,60),0)+IF(IF(ArtifactsInput!$M$10,FALSE,TRUE),CHOOSE(ArtifactsInput!$N$10+1,15,18,21,24,27,30)*(IF(Inputs!$B$39="pvp",MIN(15,15)/15,IF(AND(Inputs!$B$39&lt;&gt;"pvp",Inputs!$B$44&gt;0),MIN(15,Inputs!$B$44)/(Inputs!$B$44),0))),0))),100)/100)+M1658*(MIN((Inputs!$B$9+((C1677=TRUE)*(F1677-Calc!F26))+B1685+(ArtifactsInput!$M$24-ArtifactsInput!$M$24)*CHOOSE(ArtifactsInput!$N$24+1,10,12,14,16,18,20)+(IF(AND(Inputs!$B$39&lt;&gt;"pvp",Inputs!$B$44=0),1,IF(IF(Inputs!$B$39="pvp",15,Inputs!$B$44)-(B1696)&lt;=0,1,MAX(0,IF(Inputs!$B$39="pvp",15,Inputs!$B$44)-MAX(5,B1696))/(IF(Inputs!$B$39="pvp",15,Inputs!$B$44)-(B1696))))*IF(AND(ArtifactsInput!$M$42,((Inputs!$B$9+((C1677=TRUE)*(F1677-Calc!F26))+B1685+(ArtifactsInput!$M$24-ArtifactsInput!$M$24)*CHOOSE(ArtifactsInput!$N$24+1,10,12,14,16,18,20)+IF(IF(ArtifactsInput!$M$10,FALSE,TRUE),CHOOSE(ArtifactsInput!$N$10+1,15,18,21,24,27,30)*(IF(Inputs!$B$39="pvp",MIN(15,15)/15,IF(AND(Inputs!$B$39&lt;&gt;"pvp",Inputs!$B$44&gt;0),MIN(15,Inputs!$B$44)/(Inputs!$B$44),0))),0)))&lt;100),CHOOSE(ArtifactsInput!$N$42+1,30,36,42,48,54,60),0)+IF(IF(ArtifactsInput!$M$10,FALSE,TRUE),CHOOSE(ArtifactsInput!$N$10+1,15,18,21,24,27,30)*(IF(Inputs!$B$39="pvp",MIN(15,15)/15,IF(AND(Inputs!$B$39&lt;&gt;"pvp",Inputs!$B$44&gt;0),MIN(15,Inputs!$B$44)/(Inputs!$B$44),0))),0))),100)/100)</f>
        <v/>
      </c>
      <c r="O1658">
        <f>(1-Summary!$B$11)*T1658+Summary!$B$11*V1658</f>
        <v/>
      </c>
      <c r="P1658">
        <f>IF(B1697=0,0,O1658/B1697)</f>
        <v/>
      </c>
      <c r="Q1658">
        <f>IFERROR(1/IF(Inputs!$B$39="pvp",15,MAX(0.1,Skills!D7-IF(TRUE=TRUE,Inputs!$B$32,0))),0)</f>
        <v/>
      </c>
      <c r="R1658">
        <f>IF(AND(Inputs!$B$39&lt;&gt;"pvp",Inputs!$B$44&gt;0),IF(MAX(0,Inputs!$B$44-B1696)&lt;=0,0,(INT(MAX(0,Inputs!$B$44-B1696)/IF(Inputs!$B$39="pvp",15,MAX(0.1,Skills!D7-IF(TRUE=TRUE,Inputs!$B$32,0))))+1)),0)</f>
        <v/>
      </c>
      <c r="S1658">
        <f>IFERROR(O1658/N1658,0)</f>
        <v/>
      </c>
      <c r="T1658">
        <f>IF(C1658,(H1658*N1658*IF(AND(Inputs!$B$39&lt;&gt;"pvp",Inputs!$B$44&gt;0),((Skills!G7*((R1658-1)*IF(Skills!H7&gt;0,Skills!I7/Skills!H7,1)+IF(Skills!H7&gt;0,MIN(Skills!I7,MAX(0,MAX(0,Inputs!$B$44-B1696)-((R1658-1)*IF(Inputs!$B$39="pvp",15,MAX(0.1,Skills!D7-IF(TRUE=TRUE,Inputs!$B$32,0))))))/Skills!H7,1)))/Inputs!$B$44),G1658*Q1658))*IF(Inputs!$B$39="pvp",1,1+(Inputs!$B$20+0+Skills!P7+B1686+(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Hunt"),CHOOSE(ArtifactsInput!$N$35+1,15,18,21,24,27,30)*(1-EXP(-(0.2*B1689)*5)),0)+IF(AND(ArtifactsInput!$M$22,Inputs!$B$4&lt;&gt;"Chapter Hunt"),CHOOSE(ArtifactsInput!$N$22+1,10,12,14,16,18,20)*((0*(((0.15*B1689*5))^0/1)+1*(((0.15*B1689*5))^1/1)+2*(((0.15*B1689*5))^2/2)+3*(((0.15*B1689*5))^3/6)+4*(((0.15*B1689*5))^4/24)+5*(((0.15*B1689*5))^5/120))/((((0.15*B1689*5))^0/1)+(((0.15*B1689*5))^1/1)+(((0.15*B1689*5))^2/2)+(((0.15*B1689*5))^3/6)+(((0.15*B1689*5))^4/24)+(((0.15*B1689*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1658*(1-MIN(100,(Inputs!$B$9+((C1677=TRUE)*(F1677-Calc!F26))+B1685+(ArtifactsInput!$M$24-ArtifactsInput!$M$24)*CHOOSE(ArtifactsInput!$N$24+1,10,12,14,16,18,20)+(IF(AND(Inputs!$B$39&lt;&gt;"pvp",Inputs!$B$44=0),1,IF(IF(Inputs!$B$39="pvp",15,Inputs!$B$44)-(B1696)&lt;=0,1,MAX(0,IF(Inputs!$B$39="pvp",15,Inputs!$B$44)-MAX(5,B1696))/(IF(Inputs!$B$39="pvp",15,Inputs!$B$44)-(B1696))))*IF(AND(ArtifactsInput!$M$42,((Inputs!$B$9+((C1677=TRUE)*(F1677-Calc!F26))+B1685+(ArtifactsInput!$M$24-ArtifactsInput!$M$24)*CHOOSE(ArtifactsInput!$N$24+1,10,12,14,16,18,20)+IF(IF(ArtifactsInput!$M$10,FALSE,TRUE),CHOOSE(ArtifactsInput!$N$10+1,15,18,21,24,27,30)*(IF(Inputs!$B$39="pvp",MIN(15,15)/15,IF(AND(Inputs!$B$39&lt;&gt;"pvp",Inputs!$B$44&gt;0),MIN(15,Inputs!$B$44)/(Inputs!$B$44),0))),0)))&lt;100),CHOOSE(ArtifactsInput!$N$42+1,30,36,42,48,54,60),0)+IF(IF(ArtifactsInput!$M$10,FALSE,TRUE),CHOOSE(ArtifactsInput!$N$10+1,15,18,21,24,27,30)*(IF(Inputs!$B$39="pvp",MIN(15,15)/15,IF(AND(Inputs!$B$39&lt;&gt;"pvp",Inputs!$B$44&gt;0),MIN(15,Inputs!$B$44)/(Inputs!$B$44),0))),0)))+IF(AND(ArtifactsInput!$M$8,Inputs!$B$39&lt;&gt;"pvp"),CHOOSE(ArtifactsInput!$N$8+1,8,9.6,11.2,12.8,14.4,16),0))/100)+M1658*(MIN(100,(Inputs!$B$9+((C1677=TRUE)*(F1677-Calc!F26))+B1685+(ArtifactsInput!$M$24-ArtifactsInput!$M$24)*CHOOSE(ArtifactsInput!$N$24+1,10,12,14,16,18,20)+(IF(AND(Inputs!$B$39&lt;&gt;"pvp",Inputs!$B$44=0),1,IF(IF(Inputs!$B$39="pvp",15,Inputs!$B$44)-(B1696)&lt;=0,1,MAX(0,IF(Inputs!$B$39="pvp",15,Inputs!$B$44)-MAX(5,B1696))/(IF(Inputs!$B$39="pvp",15,Inputs!$B$44)-(B1696))))*IF(AND(ArtifactsInput!$M$42,((Inputs!$B$9+((C1677=TRUE)*(F1677-Calc!F26))+B1685+(ArtifactsInput!$M$24-ArtifactsInput!$M$24)*CHOOSE(ArtifactsInput!$N$24+1,10,12,14,16,18,20)+IF(IF(ArtifactsInput!$M$10,FALSE,TRUE),CHOOSE(ArtifactsInput!$N$10+1,15,18,21,24,27,30)*(IF(Inputs!$B$39="pvp",MIN(15,15)/15,IF(AND(Inputs!$B$39&lt;&gt;"pvp",Inputs!$B$44&gt;0),MIN(15,Inputs!$B$44)/(Inputs!$B$44),0))),0)))&lt;100),CHOOSE(ArtifactsInput!$N$42+1,30,36,42,48,54,60),0)+IF(IF(ArtifactsInput!$M$10,FALSE,TRUE),CHOOSE(ArtifactsInput!$N$10+1,15,18,21,24,27,30)*(IF(Inputs!$B$39="pvp",MIN(15,15)/15,IF(AND(Inputs!$B$39&lt;&gt;"pvp",Inputs!$B$44&gt;0),MIN(15,Inputs!$B$44)/(Inputs!$B$44),0))),0)))+IF(AND(ArtifactsInput!$M$8,Inputs!$B$39&lt;&gt;"pvp"),CHOOSE(ArtifactsInput!$N$8+1,8,9.6,11.2,12.8,14.4,16),0))/100))/(L1658*(1-MIN(100,(Inputs!$B$9+((C1677=TRUE)*(F1677-Calc!F26))+B1685+(ArtifactsInput!$M$24-ArtifactsInput!$M$24)*CHOOSE(ArtifactsInput!$N$24+1,10,12,14,16,18,20)+(IF(AND(Inputs!$B$39&lt;&gt;"pvp",Inputs!$B$44=0),1,IF(IF(Inputs!$B$39="pvp",15,Inputs!$B$44)-(B1696)&lt;=0,1,MAX(0,IF(Inputs!$B$39="pvp",15,Inputs!$B$44)-MAX(5,B1696))/(IF(Inputs!$B$39="pvp",15,Inputs!$B$44)-(B1696))))*IF(AND(ArtifactsInput!$M$42,((Inputs!$B$9+((C1677=TRUE)*(F1677-Calc!F26))+B1685+(ArtifactsInput!$M$24-ArtifactsInput!$M$24)*CHOOSE(ArtifactsInput!$N$24+1,10,12,14,16,18,20)+IF(IF(ArtifactsInput!$M$10,FALSE,TRUE),CHOOSE(ArtifactsInput!$N$10+1,15,18,21,24,27,30)*(IF(Inputs!$B$39="pvp",MIN(15,15)/15,IF(AND(Inputs!$B$39&lt;&gt;"pvp",Inputs!$B$44&gt;0),MIN(15,Inputs!$B$44)/(Inputs!$B$44),0))),0)))&lt;100),CHOOSE(ArtifactsInput!$N$42+1,30,36,42,48,54,60),0)+IF(IF(ArtifactsInput!$M$10,FALSE,TRUE),CHOOSE(ArtifactsInput!$N$10+1,15,18,21,24,27,30)*(IF(Inputs!$B$39="pvp",MIN(15,15)/15,IF(AND(Inputs!$B$39&lt;&gt;"pvp",Inputs!$B$44&gt;0),MIN(15,Inputs!$B$44)/(Inputs!$B$44),0))),0))))/100)+M1658*(MIN(100,(Inputs!$B$9+((C1677=TRUE)*(F1677-Calc!F26))+B1685+(ArtifactsInput!$M$24-ArtifactsInput!$M$24)*CHOOSE(ArtifactsInput!$N$24+1,10,12,14,16,18,20)+(IF(AND(Inputs!$B$39&lt;&gt;"pvp",Inputs!$B$44=0),1,IF(IF(Inputs!$B$39="pvp",15,Inputs!$B$44)-(B1696)&lt;=0,1,MAX(0,IF(Inputs!$B$39="pvp",15,Inputs!$B$44)-MAX(5,B1696))/(IF(Inputs!$B$39="pvp",15,Inputs!$B$44)-(B1696))))*IF(AND(ArtifactsInput!$M$42,((Inputs!$B$9+((C1677=TRUE)*(F1677-Calc!F26))+B1685+(ArtifactsInput!$M$24-ArtifactsInput!$M$24)*CHOOSE(ArtifactsInput!$N$24+1,10,12,14,16,18,20)+IF(IF(ArtifactsInput!$M$10,FALSE,TRUE),CHOOSE(ArtifactsInput!$N$10+1,15,18,21,24,27,30)*(IF(Inputs!$B$39="pvp",MIN(15,15)/15,IF(AND(Inputs!$B$39&lt;&gt;"pvp",Inputs!$B$44&gt;0),MIN(15,Inputs!$B$44)/(Inputs!$B$44),0))),0)))&lt;100),CHOOSE(ArtifactsInput!$N$42+1,30,36,42,48,54,60),0)+IF(IF(ArtifactsInput!$M$10,FALSE,TRUE),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1658">
        <f>IF(C1658,(H1658*N1658*IF(AND(Inputs!$B$39&lt;&gt;"pvp",Inputs!$B$44&gt;0),((Skills!G7*((R1658-1)*IF(Skills!H7&gt;0,Skills!I7/Skills!H7,1)+IF(Skills!H7&gt;0,MIN(Skills!I7,MAX(0,MAX(0,Inputs!$B$44-B1696)-((R1658-1)*IF(Inputs!$B$39="pvp",15,MAX(0.1,Skills!D7-IF(TRUE=TRUE,Inputs!$B$32,0))))))/Skills!H7,1)))/Inputs!$B$44),G1658*Q1658))*IF(Inputs!$B$39="pvp",1,(1+(Inputs!$B$21+Skills!Q7+B1686+(IF(ArtifactsInput!$M$33,CHOOSE(ArtifactsInput!$N$33+1,30,36,42,48,54,60),0))+(IF(AND(ArtifactsInput!$M$35,Inputs!$B$4&lt;&gt;"Chapter Hunt"),CHOOSE(ArtifactsInput!$N$35+1,15,18,21,24,27,30)*(1-EXP(-(0.2*B1689)*5)),0)+IF(AND(ArtifactsInput!$M$22,Inputs!$B$4&lt;&gt;"Chapter Hunt"),CHOOSE(ArtifactsInput!$N$22+1,10,12,14,16,18,20)*((0*(((0.15*B1689*5))^0/1)+1*(((0.15*B1689*5))^1/1)+2*(((0.15*B1689*5))^2/2)+3*(((0.15*B1689*5))^3/6)+4*(((0.15*B1689*5))^4/24)+5*(((0.15*B1689*5))^5/120))/((((0.15*B1689*5))^0/1)+(((0.15*B1689*5))^1/1)+(((0.15*B1689*5))^2/2)+(((0.15*B1689*5))^3/6)+(((0.15*B1689*5))^4/24)+(((0.15*B1689*5))^5/120))),0)))/100)*(MIN(Skills!W7,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659">
      <c r="A1659">
        <f>Skills!A8</f>
        <v/>
      </c>
      <c r="B1659">
        <f>Skills!B8</f>
        <v/>
      </c>
      <c r="C1659">
        <f>Inputs!$B$3&gt;=60</f>
        <v/>
      </c>
      <c r="D1659">
        <f>IF(Skills!C8=1,60+Inputs!$B$25+Inputs!$B$29,IF(Skills!C8=2,90+Inputs!$B$26+Inputs!$B$29,IF(Skills!C8=3,120+Inputs!$B$27+Inputs!$B$29,MAX(0,(Inputs!$B$3-100)*3)+Inputs!$B$28+Inputs!$B$29)))</f>
        <v/>
      </c>
      <c r="E1659">
        <f>INDEX(FactorTable!$B$2:$Y$301, MATCH(ROUND(MIN(300,MAX(1,D1659)),0), FactorTable!$A$2:$A$301,0), Skills!M8+1)</f>
        <v/>
      </c>
      <c r="F1659">
        <f>IF(Skills!N8=TRUE,(Skills!L8/10)*(E1659/1000),Skills!L8/10)+Skills!O8</f>
        <v/>
      </c>
      <c r="G1659">
        <f>Skills!G8*IF(Skills!H8&gt;0,IF(Inputs!$B$39="pvp",MIN(Skills!I8,15),Skills!I8)/Skills!H8,1)</f>
        <v/>
      </c>
      <c r="H1659">
        <f>1-(1-Skills!J8/100)^Skills!K8</f>
        <v/>
      </c>
      <c r="I1659" t="inlineStr">
        <is>
          <t>1</t>
        </is>
      </c>
      <c r="J1659" t="inlineStr"/>
      <c r="K1659" t="inlineStr"/>
      <c r="L1659" t="inlineStr"/>
      <c r="M1659" t="inlineStr"/>
      <c r="N1659" t="inlineStr"/>
      <c r="O1659">
        <f>(1-Summary!$B$11)*T1659+Summary!$B$11*V1659</f>
        <v/>
      </c>
      <c r="P1659">
        <f>IF(B1697=0,0,O1659/B1697)</f>
        <v/>
      </c>
      <c r="Q1659" t="n">
        <v>0</v>
      </c>
      <c r="R1659" t="n">
        <v>0</v>
      </c>
      <c r="S1659">
        <f>IFERROR(O1659/N1659,0)</f>
        <v/>
      </c>
      <c r="T1659" t="n">
        <v>0</v>
      </c>
      <c r="V1659" t="n">
        <v>0</v>
      </c>
    </row>
    <row r="1660">
      <c r="A1660">
        <f>Skills!A9</f>
        <v/>
      </c>
      <c r="B1660">
        <f>Skills!B9</f>
        <v/>
      </c>
      <c r="C1660">
        <f>Inputs!$B$3&gt;=72</f>
        <v/>
      </c>
      <c r="D1660">
        <f>IF(Skills!C9=1,60+Inputs!$B$25+Inputs!$B$29,IF(Skills!C9=2,90+Inputs!$B$26+Inputs!$B$29,IF(Skills!C9=3,120+Inputs!$B$27+Inputs!$B$29,MAX(0,(Inputs!$B$3-100)*3)+Inputs!$B$28+Inputs!$B$29)))</f>
        <v/>
      </c>
      <c r="E1660">
        <f>INDEX(FactorTable!$B$2:$Y$301, MATCH(ROUND(MIN(300,MAX(1,D1660)),0), FactorTable!$A$2:$A$301,0), Skills!M9+1)</f>
        <v/>
      </c>
      <c r="F1660">
        <f>IF(Skills!N9=TRUE,(Skills!L9/10)*(E1660/1000),Skills!L9/10)+Skills!O9</f>
        <v/>
      </c>
      <c r="G1660">
        <f>Skills!G9*IF(Skills!H9&gt;0,IF(Inputs!$B$39="pvp",MIN(Skills!I9,15),Skills!I9)/Skills!H9,1)</f>
        <v/>
      </c>
      <c r="H1660">
        <f>1-(1-Skills!J9/100)^Skills!K9</f>
        <v/>
      </c>
      <c r="I1660" t="inlineStr">
        <is>
          <t>1</t>
        </is>
      </c>
      <c r="J1660">
        <f>((Inputs!$B$6*(1+Inputs!$B$7/100))+(((Inputs!$B$12*(1+Inputs!$B$13/100))-(Inputs!$B$12*(1+Inputs!$B$13/100)))+0.25*(Inputs!$B$14-Inputs!$B$14))*(1+Inputs!$B$7/100))*(F1660/100)</f>
        <v/>
      </c>
      <c r="K1660">
        <f>J1660*(1+((Inputs!$B$12*(1+Inputs!$B$13/100))*0.01+Inputs!$B$14*0.0025)/100)*(1+Inputs!$B$15/100)*(1+Inputs!$B$16/100)*(5000/(6000+Inputs!$B$43*(1-(100*(1-(1-Inputs!$B$19/100)*(1-CHOOSE(ArtifactsInput!$N$40+1,5,6,7,8,9,10)/100)^(ArtifactsInput!$M$40-ArtifactsInput!$M$40)))/100)))*(1+(Inputs!$B$24+((C1682=TRUE)*(F1682-Calc!F31))+((C1669=TRUE)*(F1669-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+3.3333333333333335*IF(C1670=TRUE,F1670,0)/100)*(1+(IF(Skills!A9="CRUEL_STAB",Inputs!$B$17+((C1679=TRUE)*(F1679-Calc!F28))+((IF(AND(Inputs!$B$39&lt;&gt;"pvp",Inputs!$B$44=0),1,IF(IF(Inputs!$B$39="pvp",15,Inputs!$B$44)-(B1696)&lt;=0,1,MAX(0,IF(Inputs!$B$39="pvp",15,Inputs!$B$44)-MAX(5,B1696))/(IF(Inputs!$B$39="pvp",15,Inputs!$B$44)-(B1696))))*(IF(AND(ArtifactsInput!$M$42,((Inputs!$B$9+((C1677=TRUE)*(F1677-Calc!F26))+B1685+(ArtifactsInput!$M$24-ArtifactsInput!$M$24)*CHOOSE(ArtifactsInput!$N$24+1,10,12,14,16,18,20)+IF(IF(ArtifactsInput!$M$10,FALSE,TRUE),CHOOSE(ArtifactsInput!$N$10+1,15,18,21,24,27,30)*(IF(Inputs!$B$39="pvp",MIN(15,15)/15,IF(AND(Inputs!$B$39&lt;&gt;"pvp",Inputs!$B$44&gt;0),MIN(15,Inputs!$B$44)/(Inputs!$B$44),0))),0)))&gt;=100),MIN(100,((Inputs!$B$9+((C1677=TRUE)*(F1677-Calc!F26))+B1685+(ArtifactsInput!$M$24-ArtifactsInput!$M$24)*CHOOSE(ArtifactsInput!$N$24+1,10,12,14,16,18,20)+IF(IF(ArtifactsInput!$M$10,FALSE,TRUE),CHOOSE(ArtifactsInput!$N$10+1,15,18,21,24,27,30)*(IF(Inputs!$B$39="pvp",MIN(15,15)/15,IF(AND(Inputs!$B$39&lt;&gt;"pvp",Inputs!$B$44&gt;0),MIN(15,Inputs!$B$44)/(Inputs!$B$44),0))),0)))-100),0))*CHOOSE(ArtifactsInput!$N$42+1,0.6,0.72,0.84,0.96,1.08,1.2))),Inputs!$B$18+((C1680=TRUE)*(F1680-Calc!F29))+(IF(AND(Inputs!$B$39&lt;&gt;"pvp",Inputs!$B$44=0),1,IF(IF(Inputs!$B$39="pvp",15,Inputs!$B$44)-(B1696)&lt;=0,1,MAX(0,IF(Inputs!$B$39="pvp",15,Inputs!$B$44)-MAX(5,B1696))/(IF(Inputs!$B$39="pvp",15,Inputs!$B$44)-(B1696))))*IF(AND(ArtifactsInput!$M$42,((Inputs!$B$9+((C1677=TRUE)*(F1677-Calc!F26))+B1685+(ArtifactsInput!$M$24-ArtifactsInput!$M$24)*CHOOSE(ArtifactsInput!$N$24+1,10,12,14,16,18,20)+IF(IF(ArtifactsInput!$M$10,FALSE,TRUE),CHOOSE(ArtifactsInput!$N$10+1,15,18,21,24,27,30)*(IF(Inputs!$B$39="pvp",MIN(15,15)/15,IF(AND(Inputs!$B$39&lt;&gt;"pvp",Inputs!$B$44&gt;0),MIN(15,Inputs!$B$44)/(Inputs!$B$44),0))),0)))&gt;=100),CHOOSE(ArtifactsInput!$N$42+1,40,48,56,64,72,80),0))))/100)*(((1+(((C1673=TRUE)*F1673*IF(AND(Inputs!$B$39&lt;&gt;"pvp",Inputs!$B$44&gt;0),(((R1673-1)*MIN((Skills!Y22*(1+Inputs!$B$34/100)),(1/Q1673))+MIN((Skills!Y22*(1+Inputs!$B$34/100)),MAX(0,Inputs!$B$44-((R1673-1)*(1/Q1673)))))/Inputs!$B$44),IF(Inputs!$B$39="pvp",MIN((Skills!Y22*(1+Inputs!$B$34/100)),15)/15,MIN(1,(Skills!Y22*(1+Inputs!$B$34/100))/(1/Q1673)))))+((C1654=TRUE)*F1654*3)+((C1656=TRUE)*F1656*(1-EXP(-0.75*B1689*5)))+((C1675=TRUE)*(F1675-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1662=TRUE)*F1662*IF(AND(Inputs!$B$39&lt;&gt;"pvp",Inputs!$B$44&gt;0),(((R1662-1)*MIN((Skills!Y11*(1+Inputs!$B$34/100)),(1/Q1662))+MIN((Skills!Y11*(1+Inputs!$B$34/100)),MAX(0,Inputs!$B$44-((R1662-1)*(1/Q1662)))))/Inputs!$B$44),IF(Inputs!$B$39="pvp",MIN((Skills!Y11*(1+Inputs!$B$34/100)),15)/15,MIN(1,(Skills!Y11*(1+Inputs!$B$34/100))/(1/Q1662)))))/100)*(1+((C1667=TRUE)*F1667*IF(AND(Inputs!$B$39&lt;&gt;"pvp",Inputs!$B$44&gt;0),(((R1667-1)*MIN((Skills!Y16*(1+Inputs!$B$34/100)),(1/Q1667))+MIN((Skills!Y16*(1+Inputs!$B$34/100)),MAX(0,Inputs!$B$44-((R1667-1)*(1/Q1667)))))/Inputs!$B$44),IF(Inputs!$B$39="pvp",MIN((Skills!Y16*(1+Inputs!$B$34/100)),15)/15,MIN(1,(Skills!Y16*(1+Inputs!$B$34/100))/(1/Q1667)))))/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1687*I1660)</f>
        <v/>
      </c>
      <c r="L1660">
        <f>K1660*(MIN(Inputs!$B$22+((C1676=TRUE)*(F1676-Calc!F25)),(Inputs!$B$23+((C1681=TRUE)*(F1681-Calc!F30))+IF(ArtifactsInput!$M$15,CHOOSE(ArtifactsInput!$N$15+1,25,30,35,40,45,50)/100*(Inputs!$B$11-Inputs!$B$11),0)))/100+(Inputs!$B$23+((C1681=TRUE)*(F1681-Calc!F30))+IF(ArtifactsInput!$M$15,CHOOSE(ArtifactsInput!$N$15+1,25,30,35,40,45,50)/100*(Inputs!$B$11-Inputs!$B$11),0))/100)/2</f>
        <v/>
      </c>
      <c r="M1660">
        <f>L1660*(1+(Inputs!$B$10+((C1678=TRUE)*(F1678-Calc!F27))+B1692+(IF(ArtifactsInput!$M$24,CHOOSE(ArtifactsInput!$N$24+1,30,36,42,48,54,60)/100*(Inputs!$B$9-Inputs!$B$9),0)+IF(IF(ArtifactsInput!$M$10,FALSE,TRUE),CHOOSE(ArtifactsInput!$N$10+1,20,24,28,32,36,40)*(IF(Inputs!$B$39="pvp",MIN(15,15)/15,IF(AND(Inputs!$B$39&lt;&gt;"pvp",Inputs!$B$44&gt;0),MIN(15,Inputs!$B$44)/(Inputs!$B$44),0))),0)+IF(ArtifactsInput!$M$31,1.5*CHOOSE(ArtifactsInput!$N$31+1,20,24,28,32,36,40),0)))/100)</f>
        <v/>
      </c>
      <c r="N1660">
        <f>L1660*(1-MIN((Inputs!$B$9+((C1677=TRUE)*(F1677-Calc!F26))+B1685+(ArtifactsInput!$M$24-ArtifactsInput!$M$24)*CHOOSE(ArtifactsInput!$N$24+1,10,12,14,16,18,20)+(IF(AND(Inputs!$B$39&lt;&gt;"pvp",Inputs!$B$44=0),1,IF(IF(Inputs!$B$39="pvp",15,Inputs!$B$44)-(B1696)&lt;=0,1,MAX(0,IF(Inputs!$B$39="pvp",15,Inputs!$B$44)-MAX(5,B1696))/(IF(Inputs!$B$39="pvp",15,Inputs!$B$44)-(B1696))))*IF(AND(ArtifactsInput!$M$42,((Inputs!$B$9+((C1677=TRUE)*(F1677-Calc!F26))+B1685+(ArtifactsInput!$M$24-ArtifactsInput!$M$24)*CHOOSE(ArtifactsInput!$N$24+1,10,12,14,16,18,20)+IF(IF(ArtifactsInput!$M$10,FALSE,TRUE),CHOOSE(ArtifactsInput!$N$10+1,15,18,21,24,27,30)*(IF(Inputs!$B$39="pvp",MIN(15,15)/15,IF(AND(Inputs!$B$39&lt;&gt;"pvp",Inputs!$B$44&gt;0),MIN(15,Inputs!$B$44)/(Inputs!$B$44),0))),0)))&lt;100),CHOOSE(ArtifactsInput!$N$42+1,30,36,42,48,54,60),0)+IF(IF(ArtifactsInput!$M$10,FALSE,TRUE),CHOOSE(ArtifactsInput!$N$10+1,15,18,21,24,27,30)*(IF(Inputs!$B$39="pvp",MIN(15,15)/15,IF(AND(Inputs!$B$39&lt;&gt;"pvp",Inputs!$B$44&gt;0),MIN(15,Inputs!$B$44)/(Inputs!$B$44),0))),0))),100)/100)+M1660*(MIN((Inputs!$B$9+((C1677=TRUE)*(F1677-Calc!F26))+B1685+(ArtifactsInput!$M$24-ArtifactsInput!$M$24)*CHOOSE(ArtifactsInput!$N$24+1,10,12,14,16,18,20)+(IF(AND(Inputs!$B$39&lt;&gt;"pvp",Inputs!$B$44=0),1,IF(IF(Inputs!$B$39="pvp",15,Inputs!$B$44)-(B1696)&lt;=0,1,MAX(0,IF(Inputs!$B$39="pvp",15,Inputs!$B$44)-MAX(5,B1696))/(IF(Inputs!$B$39="pvp",15,Inputs!$B$44)-(B1696))))*IF(AND(ArtifactsInput!$M$42,((Inputs!$B$9+((C1677=TRUE)*(F1677-Calc!F26))+B1685+(ArtifactsInput!$M$24-ArtifactsInput!$M$24)*CHOOSE(ArtifactsInput!$N$24+1,10,12,14,16,18,20)+IF(IF(ArtifactsInput!$M$10,FALSE,TRUE),CHOOSE(ArtifactsInput!$N$10+1,15,18,21,24,27,30)*(IF(Inputs!$B$39="pvp",MIN(15,15)/15,IF(AND(Inputs!$B$39&lt;&gt;"pvp",Inputs!$B$44&gt;0),MIN(15,Inputs!$B$44)/(Inputs!$B$44),0))),0)))&lt;100),CHOOSE(ArtifactsInput!$N$42+1,30,36,42,48,54,60),0)+IF(IF(ArtifactsInput!$M$10,FALSE,TRUE),CHOOSE(ArtifactsInput!$N$10+1,15,18,21,24,27,30)*(IF(Inputs!$B$39="pvp",MIN(15,15)/15,IF(AND(Inputs!$B$39&lt;&gt;"pvp",Inputs!$B$44&gt;0),MIN(15,Inputs!$B$44)/(Inputs!$B$44),0))),0))),100)/100)</f>
        <v/>
      </c>
      <c r="O1660">
        <f>(1-Summary!$B$11)*T1660+Summary!$B$11*V1660</f>
        <v/>
      </c>
      <c r="P1660">
        <f>IF(B1697=0,0,O1660/B1697)</f>
        <v/>
      </c>
      <c r="Q1660">
        <f>IFERROR(1/IF(Inputs!$B$39="pvp",15,MAX(0.1,Skills!D9-IF(FALSE=TRUE,Inputs!$B$32,0))),0)</f>
        <v/>
      </c>
      <c r="R1660">
        <f>IF(AND(Inputs!$B$39&lt;&gt;"pvp",Inputs!$B$44&gt;0),IF(MAX(0,Inputs!$B$44-B1696)&lt;=0,0,(INT(MAX(0,Inputs!$B$44-B1696)/IF(Inputs!$B$39="pvp",15,MAX(0.1,Skills!D9-IF(FALSE=TRUE,Inputs!$B$32,0))))+1)),0)</f>
        <v/>
      </c>
      <c r="S1660">
        <f>IFERROR(O1660/N1660,0)</f>
        <v/>
      </c>
      <c r="T1660">
        <f>IF(C1660,(H1660*N1660*IF(AND(Inputs!$B$39&lt;&gt;"pvp",Inputs!$B$44&gt;0),((Skills!G9*((R1660-1)*IF(Skills!H9&gt;0,Skills!I9/Skills!H9,1)+IF(Skills!H9&gt;0,MIN(Skills!I9,MAX(0,MAX(0,Inputs!$B$44-B1696)-((R1660-1)*IF(Inputs!$B$39="pvp",15,MAX(0.1,Skills!D9-IF(FALSE=TRUE,Inputs!$B$32,0))))))/Skills!H9,1)))/Inputs!$B$44),G1660*Q1660))*IF(Inputs!$B$39="pvp",1,1+(Inputs!$B$20+0+Skills!P9+B1686+(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Hunt"),CHOOSE(ArtifactsInput!$N$35+1,15,18,21,24,27,30)*(1-EXP(-(0.2*B1689)*5)),0)+IF(AND(ArtifactsInput!$M$22,Inputs!$B$4&lt;&gt;"Chapter Hunt"),CHOOSE(ArtifactsInput!$N$22+1,10,12,14,16,18,20)*((0*(((0.15*B1689*5))^0/1)+1*(((0.15*B1689*5))^1/1)+2*(((0.15*B1689*5))^2/2)+3*(((0.15*B1689*5))^3/6)+4*(((0.15*B1689*5))^4/24)+5*(((0.15*B1689*5))^5/120))/((((0.15*B1689*5))^0/1)+(((0.15*B1689*5))^1/1)+(((0.15*B1689*5))^2/2)+(((0.15*B1689*5))^3/6)+(((0.15*B1689*5))^4/24)+(((0.15*B1689*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1660*(1-MIN(100,(Inputs!$B$9+((C1677=TRUE)*(F1677-Calc!F26))+B1685+(ArtifactsInput!$M$24-ArtifactsInput!$M$24)*CHOOSE(ArtifactsInput!$N$24+1,10,12,14,16,18,20)+(IF(AND(Inputs!$B$39&lt;&gt;"pvp",Inputs!$B$44=0),1,IF(IF(Inputs!$B$39="pvp",15,Inputs!$B$44)-(B1696)&lt;=0,1,MAX(0,IF(Inputs!$B$39="pvp",15,Inputs!$B$44)-MAX(5,B1696))/(IF(Inputs!$B$39="pvp",15,Inputs!$B$44)-(B1696))))*IF(AND(ArtifactsInput!$M$42,((Inputs!$B$9+((C1677=TRUE)*(F1677-Calc!F26))+B1685+(ArtifactsInput!$M$24-ArtifactsInput!$M$24)*CHOOSE(ArtifactsInput!$N$24+1,10,12,14,16,18,20)+IF(IF(ArtifactsInput!$M$10,FALSE,TRUE),CHOOSE(ArtifactsInput!$N$10+1,15,18,21,24,27,30)*(IF(Inputs!$B$39="pvp",MIN(15,15)/15,IF(AND(Inputs!$B$39&lt;&gt;"pvp",Inputs!$B$44&gt;0),MIN(15,Inputs!$B$44)/(Inputs!$B$44),0))),0)))&lt;100),CHOOSE(ArtifactsInput!$N$42+1,30,36,42,48,54,60),0)+IF(IF(ArtifactsInput!$M$10,FALSE,TRUE),CHOOSE(ArtifactsInput!$N$10+1,15,18,21,24,27,30)*(IF(Inputs!$B$39="pvp",MIN(15,15)/15,IF(AND(Inputs!$B$39&lt;&gt;"pvp",Inputs!$B$44&gt;0),MIN(15,Inputs!$B$44)/(Inputs!$B$44),0))),0)))+IF(AND(ArtifactsInput!$M$8,Inputs!$B$39&lt;&gt;"pvp"),CHOOSE(ArtifactsInput!$N$8+1,8,9.6,11.2,12.8,14.4,16),0))/100)+M1660*(MIN(100,(Inputs!$B$9+((C1677=TRUE)*(F1677-Calc!F26))+B1685+(ArtifactsInput!$M$24-ArtifactsInput!$M$24)*CHOOSE(ArtifactsInput!$N$24+1,10,12,14,16,18,20)+(IF(AND(Inputs!$B$39&lt;&gt;"pvp",Inputs!$B$44=0),1,IF(IF(Inputs!$B$39="pvp",15,Inputs!$B$44)-(B1696)&lt;=0,1,MAX(0,IF(Inputs!$B$39="pvp",15,Inputs!$B$44)-MAX(5,B1696))/(IF(Inputs!$B$39="pvp",15,Inputs!$B$44)-(B1696))))*IF(AND(ArtifactsInput!$M$42,((Inputs!$B$9+((C1677=TRUE)*(F1677-Calc!F26))+B1685+(ArtifactsInput!$M$24-ArtifactsInput!$M$24)*CHOOSE(ArtifactsInput!$N$24+1,10,12,14,16,18,20)+IF(IF(ArtifactsInput!$M$10,FALSE,TRUE),CHOOSE(ArtifactsInput!$N$10+1,15,18,21,24,27,30)*(IF(Inputs!$B$39="pvp",MIN(15,15)/15,IF(AND(Inputs!$B$39&lt;&gt;"pvp",Inputs!$B$44&gt;0),MIN(15,Inputs!$B$44)/(Inputs!$B$44),0))),0)))&lt;100),CHOOSE(ArtifactsInput!$N$42+1,30,36,42,48,54,60),0)+IF(IF(ArtifactsInput!$M$10,FALSE,TRUE),CHOOSE(ArtifactsInput!$N$10+1,15,18,21,24,27,30)*(IF(Inputs!$B$39="pvp",MIN(15,15)/15,IF(AND(Inputs!$B$39&lt;&gt;"pvp",Inputs!$B$44&gt;0),MIN(15,Inputs!$B$44)/(Inputs!$B$44),0))),0)))+IF(AND(ArtifactsInput!$M$8,Inputs!$B$39&lt;&gt;"pvp"),CHOOSE(ArtifactsInput!$N$8+1,8,9.6,11.2,12.8,14.4,16),0))/100))/(L1660*(1-MIN(100,(Inputs!$B$9+((C1677=TRUE)*(F1677-Calc!F26))+B1685+(ArtifactsInput!$M$24-ArtifactsInput!$M$24)*CHOOSE(ArtifactsInput!$N$24+1,10,12,14,16,18,20)+(IF(AND(Inputs!$B$39&lt;&gt;"pvp",Inputs!$B$44=0),1,IF(IF(Inputs!$B$39="pvp",15,Inputs!$B$44)-(B1696)&lt;=0,1,MAX(0,IF(Inputs!$B$39="pvp",15,Inputs!$B$44)-MAX(5,B1696))/(IF(Inputs!$B$39="pvp",15,Inputs!$B$44)-(B1696))))*IF(AND(ArtifactsInput!$M$42,((Inputs!$B$9+((C1677=TRUE)*(F1677-Calc!F26))+B1685+(ArtifactsInput!$M$24-ArtifactsInput!$M$24)*CHOOSE(ArtifactsInput!$N$24+1,10,12,14,16,18,20)+IF(IF(ArtifactsInput!$M$10,FALSE,TRUE),CHOOSE(ArtifactsInput!$N$10+1,15,18,21,24,27,30)*(IF(Inputs!$B$39="pvp",MIN(15,15)/15,IF(AND(Inputs!$B$39&lt;&gt;"pvp",Inputs!$B$44&gt;0),MIN(15,Inputs!$B$44)/(Inputs!$B$44),0))),0)))&lt;100),CHOOSE(ArtifactsInput!$N$42+1,30,36,42,48,54,60),0)+IF(IF(ArtifactsInput!$M$10,FALSE,TRUE),CHOOSE(ArtifactsInput!$N$10+1,15,18,21,24,27,30)*(IF(Inputs!$B$39="pvp",MIN(15,15)/15,IF(AND(Inputs!$B$39&lt;&gt;"pvp",Inputs!$B$44&gt;0),MIN(15,Inputs!$B$44)/(Inputs!$B$44),0))),0))))/100)+M1660*(MIN(100,(Inputs!$B$9+((C1677=TRUE)*(F1677-Calc!F26))+B1685+(ArtifactsInput!$M$24-ArtifactsInput!$M$24)*CHOOSE(ArtifactsInput!$N$24+1,10,12,14,16,18,20)+(IF(AND(Inputs!$B$39&lt;&gt;"pvp",Inputs!$B$44=0),1,IF(IF(Inputs!$B$39="pvp",15,Inputs!$B$44)-(B1696)&lt;=0,1,MAX(0,IF(Inputs!$B$39="pvp",15,Inputs!$B$44)-MAX(5,B1696))/(IF(Inputs!$B$39="pvp",15,Inputs!$B$44)-(B1696))))*IF(AND(ArtifactsInput!$M$42,((Inputs!$B$9+((C1677=TRUE)*(F1677-Calc!F26))+B1685+(ArtifactsInput!$M$24-ArtifactsInput!$M$24)*CHOOSE(ArtifactsInput!$N$24+1,10,12,14,16,18,20)+IF(IF(ArtifactsInput!$M$10,FALSE,TRUE),CHOOSE(ArtifactsInput!$N$10+1,15,18,21,24,27,30)*(IF(Inputs!$B$39="pvp",MIN(15,15)/15,IF(AND(Inputs!$B$39&lt;&gt;"pvp",Inputs!$B$44&gt;0),MIN(15,Inputs!$B$44)/(Inputs!$B$44),0))),0)))&lt;100),CHOOSE(ArtifactsInput!$N$42+1,30,36,42,48,54,60),0)+IF(IF(ArtifactsInput!$M$10,FALSE,TRUE),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1660">
        <f>IF(C1660,(H1660*N1660*IF(AND(Inputs!$B$39&lt;&gt;"pvp",Inputs!$B$44&gt;0),((Skills!G9*((R1660-1)*IF(Skills!H9&gt;0,Skills!I9/Skills!H9,1)+IF(Skills!H9&gt;0,MIN(Skills!I9,MAX(0,MAX(0,Inputs!$B$44-B1696)-((R1660-1)*IF(Inputs!$B$39="pvp",15,MAX(0.1,Skills!D9-IF(FALSE=TRUE,Inputs!$B$32,0))))))/Skills!H9,1)))/Inputs!$B$44),G1660*Q1660))*IF(Inputs!$B$39="pvp",1,(1+(Inputs!$B$21+Skills!Q9+B1686+(IF(ArtifactsInput!$M$33,CHOOSE(ArtifactsInput!$N$33+1,30,36,42,48,54,60),0))+(IF(AND(ArtifactsInput!$M$35,Inputs!$B$4&lt;&gt;"Chapter Hunt"),CHOOSE(ArtifactsInput!$N$35+1,15,18,21,24,27,30)*(1-EXP(-(0.2*B1689)*5)),0)+IF(AND(ArtifactsInput!$M$22,Inputs!$B$4&lt;&gt;"Chapter Hunt"),CHOOSE(ArtifactsInput!$N$22+1,10,12,14,16,18,20)*((0*(((0.15*B1689*5))^0/1)+1*(((0.15*B1689*5))^1/1)+2*(((0.15*B1689*5))^2/2)+3*(((0.15*B1689*5))^3/6)+4*(((0.15*B1689*5))^4/24)+5*(((0.15*B1689*5))^5/120))/((((0.15*B1689*5))^0/1)+(((0.15*B1689*5))^1/1)+(((0.15*B1689*5))^2/2)+(((0.15*B1689*5))^3/6)+(((0.15*B1689*5))^4/24)+(((0.15*B1689*5))^5/120))),0)))/100)*(MIN(Skills!W9,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661">
      <c r="A1661">
        <f>Skills!A10</f>
        <v/>
      </c>
      <c r="B1661">
        <f>Skills!B10</f>
        <v/>
      </c>
      <c r="C1661">
        <f>Inputs!$B$3&gt;=117</f>
        <v/>
      </c>
      <c r="D1661">
        <f>IF(Skills!C10=1,60+Inputs!$B$25+Inputs!$B$29,IF(Skills!C10=2,90+Inputs!$B$26+Inputs!$B$29,IF(Skills!C10=3,120+Inputs!$B$27+Inputs!$B$29,MAX(0,(Inputs!$B$3-100)*3)+Inputs!$B$28+Inputs!$B$29)))</f>
        <v/>
      </c>
      <c r="E1661">
        <f>INDEX(FactorTable!$B$2:$Y$301, MATCH(ROUND(MIN(300,MAX(1,D1661)),0), FactorTable!$A$2:$A$301,0), Skills!M10+1)</f>
        <v/>
      </c>
      <c r="F1661">
        <f>IF(Skills!N10=TRUE,(Skills!L10/10)*(E1661/1000),Skills!L10/10)+Skills!O10</f>
        <v/>
      </c>
      <c r="G1661">
        <f>Skills!G10*IF(Skills!H10&gt;0,IF(Inputs!$B$39="pvp",MIN(Skills!I10,15),Skills!I10)/Skills!H10,1)</f>
        <v/>
      </c>
      <c r="H1661">
        <f>1-(1-Skills!J10/100)^Skills!K10</f>
        <v/>
      </c>
      <c r="I1661" t="inlineStr">
        <is>
          <t>1</t>
        </is>
      </c>
      <c r="J1661">
        <f>((Inputs!$B$6*(1+Inputs!$B$7/100))+(((Inputs!$B$12*(1+Inputs!$B$13/100))-(Inputs!$B$12*(1+Inputs!$B$13/100)))+0.25*(Inputs!$B$14-Inputs!$B$14))*(1+Inputs!$B$7/100))*(F1661/100)</f>
        <v/>
      </c>
      <c r="K1661">
        <f>J1661*(1+((Inputs!$B$12*(1+Inputs!$B$13/100))*0.01+Inputs!$B$14*0.0025)/100)*(1+Inputs!$B$15/100)*(1+Inputs!$B$16/100)*(5000/(6000+Inputs!$B$43*(1-(100*(1-(1-Inputs!$B$19/100)*(1-CHOOSE(ArtifactsInput!$N$40+1,5,6,7,8,9,10)/100)^(ArtifactsInput!$M$40-ArtifactsInput!$M$40)))/100)))*(1+(Inputs!$B$24+((C1682=TRUE)*(F1682-Calc!F31))+((C1669=TRUE)*(F1669-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10="CRUEL_STAB",Inputs!$B$17+((C1679=TRUE)*(F1679-Calc!F28))+((IF(AND(Inputs!$B$39&lt;&gt;"pvp",Inputs!$B$44=0),1,IF(IF(Inputs!$B$39="pvp",15,Inputs!$B$44)-(B1696)&lt;=0,1,MAX(0,IF(Inputs!$B$39="pvp",15,Inputs!$B$44)-MAX(5,B1696))/(IF(Inputs!$B$39="pvp",15,Inputs!$B$44)-(B1696))))*(IF(AND(ArtifactsInput!$M$42,((Inputs!$B$9+((C1677=TRUE)*(F1677-Calc!F26))+B1685+(ArtifactsInput!$M$24-ArtifactsInput!$M$24)*CHOOSE(ArtifactsInput!$N$24+1,10,12,14,16,18,20)+IF(IF(ArtifactsInput!$M$10,FALSE,TRUE),CHOOSE(ArtifactsInput!$N$10+1,15,18,21,24,27,30)*(IF(Inputs!$B$39="pvp",MIN(15,15)/15,IF(AND(Inputs!$B$39&lt;&gt;"pvp",Inputs!$B$44&gt;0),MIN(15,Inputs!$B$44)/(Inputs!$B$44),0))),0)))&gt;=100),MIN(100,((Inputs!$B$9+((C1677=TRUE)*(F1677-Calc!F26))+B1685+(ArtifactsInput!$M$24-ArtifactsInput!$M$24)*CHOOSE(ArtifactsInput!$N$24+1,10,12,14,16,18,20)+IF(IF(ArtifactsInput!$M$10,FALSE,TRUE),CHOOSE(ArtifactsInput!$N$10+1,15,18,21,24,27,30)*(IF(Inputs!$B$39="pvp",MIN(15,15)/15,IF(AND(Inputs!$B$39&lt;&gt;"pvp",Inputs!$B$44&gt;0),MIN(15,Inputs!$B$44)/(Inputs!$B$44),0))),0)))-100),0))*CHOOSE(ArtifactsInput!$N$42+1,0.6,0.72,0.84,0.96,1.08,1.2))),Inputs!$B$18+((C1680=TRUE)*(F1680-Calc!F29))+(IF(AND(Inputs!$B$39&lt;&gt;"pvp",Inputs!$B$44=0),1,IF(IF(Inputs!$B$39="pvp",15,Inputs!$B$44)-(B1696)&lt;=0,1,MAX(0,IF(Inputs!$B$39="pvp",15,Inputs!$B$44)-MAX(5,B1696))/(IF(Inputs!$B$39="pvp",15,Inputs!$B$44)-(B1696))))*IF(AND(ArtifactsInput!$M$42,((Inputs!$B$9+((C1677=TRUE)*(F1677-Calc!F26))+B1685+(ArtifactsInput!$M$24-ArtifactsInput!$M$24)*CHOOSE(ArtifactsInput!$N$24+1,10,12,14,16,18,20)+IF(IF(ArtifactsInput!$M$10,FALSE,TRUE),CHOOSE(ArtifactsInput!$N$10+1,15,18,21,24,27,30)*(IF(Inputs!$B$39="pvp",MIN(15,15)/15,IF(AND(Inputs!$B$39&lt;&gt;"pvp",Inputs!$B$44&gt;0),MIN(15,Inputs!$B$44)/(Inputs!$B$44),0))),0)))&gt;=100),CHOOSE(ArtifactsInput!$N$42+1,40,48,56,64,72,80),0))))/100)*(((1+(((C1673=TRUE)*F1673*IF(AND(Inputs!$B$39&lt;&gt;"pvp",Inputs!$B$44&gt;0),(((R1673-1)*MIN((Skills!Y22*(1+Inputs!$B$34/100)),(1/Q1673))+MIN((Skills!Y22*(1+Inputs!$B$34/100)),MAX(0,Inputs!$B$44-((R1673-1)*(1/Q1673)))))/Inputs!$B$44),IF(Inputs!$B$39="pvp",MIN((Skills!Y22*(1+Inputs!$B$34/100)),15)/15,MIN(1,(Skills!Y22*(1+Inputs!$B$34/100))/(1/Q1673)))))+((C1654=TRUE)*F1654*3)+((C1656=TRUE)*F1656*(1-EXP(-0.75*B1689*5)))+((C1675=TRUE)*(F1675-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1662=TRUE)*F1662*IF(AND(Inputs!$B$39&lt;&gt;"pvp",Inputs!$B$44&gt;0),(((R1662-1)*MIN((Skills!Y11*(1+Inputs!$B$34/100)),(1/Q1662))+MIN((Skills!Y11*(1+Inputs!$B$34/100)),MAX(0,Inputs!$B$44-((R1662-1)*(1/Q1662)))))/Inputs!$B$44),IF(Inputs!$B$39="pvp",MIN((Skills!Y11*(1+Inputs!$B$34/100)),15)/15,MIN(1,(Skills!Y11*(1+Inputs!$B$34/100))/(1/Q1662)))))/100)*(1+((C1667=TRUE)*F1667*IF(AND(Inputs!$B$39&lt;&gt;"pvp",Inputs!$B$44&gt;0),(((R1667-1)*MIN((Skills!Y16*(1+Inputs!$B$34/100)),(1/Q1667))+MIN((Skills!Y16*(1+Inputs!$B$34/100)),MAX(0,Inputs!$B$44-((R1667-1)*(1/Q1667)))))/Inputs!$B$44),IF(Inputs!$B$39="pvp",MIN((Skills!Y16*(1+Inputs!$B$34/100)),15)/15,MIN(1,(Skills!Y16*(1+Inputs!$B$34/100))/(1/Q1667)))))/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1687*I1661)</f>
        <v/>
      </c>
      <c r="L1661">
        <f>K1661*(MIN(Inputs!$B$22+((C1676=TRUE)*(F1676-Calc!F25)),(Inputs!$B$23+((C1681=TRUE)*(F1681-Calc!F30))+IF(ArtifactsInput!$M$15,CHOOSE(ArtifactsInput!$N$15+1,25,30,35,40,45,50)/100*(Inputs!$B$11-Inputs!$B$11),0)))/100+(Inputs!$B$23+((C1681=TRUE)*(F1681-Calc!F30))+IF(ArtifactsInput!$M$15,CHOOSE(ArtifactsInput!$N$15+1,25,30,35,40,45,50)/100*(Inputs!$B$11-Inputs!$B$11),0))/100)/2</f>
        <v/>
      </c>
      <c r="M1661">
        <f>L1661*(1+(Inputs!$B$10+((C1678=TRUE)*(F1678-Calc!F27))+B1692+(IF(ArtifactsInput!$M$24,CHOOSE(ArtifactsInput!$N$24+1,30,36,42,48,54,60)/100*(Inputs!$B$9-Inputs!$B$9),0)+IF(IF(ArtifactsInput!$M$10,FALSE,TRUE),CHOOSE(ArtifactsInput!$N$10+1,20,24,28,32,36,40)*(IF(Inputs!$B$39="pvp",MIN(15,15)/15,IF(AND(Inputs!$B$39&lt;&gt;"pvp",Inputs!$B$44&gt;0),MIN(15,Inputs!$B$44)/(Inputs!$B$44),0))),0)+IF(ArtifactsInput!$M$31,1.5*CHOOSE(ArtifactsInput!$N$31+1,20,24,28,32,36,40),0)))/100)</f>
        <v/>
      </c>
      <c r="N1661">
        <f>L1661*(1-MIN((Inputs!$B$9+((C1677=TRUE)*(F1677-Calc!F26))+B1685+(ArtifactsInput!$M$24-ArtifactsInput!$M$24)*CHOOSE(ArtifactsInput!$N$24+1,10,12,14,16,18,20)+(IF(AND(Inputs!$B$39&lt;&gt;"pvp",Inputs!$B$44=0),1,IF(IF(Inputs!$B$39="pvp",15,Inputs!$B$44)-(B1696)&lt;=0,1,MAX(0,IF(Inputs!$B$39="pvp",15,Inputs!$B$44)-MAX(5,B1696))/(IF(Inputs!$B$39="pvp",15,Inputs!$B$44)-(B1696))))*IF(AND(ArtifactsInput!$M$42,((Inputs!$B$9+((C1677=TRUE)*(F1677-Calc!F26))+B1685+(ArtifactsInput!$M$24-ArtifactsInput!$M$24)*CHOOSE(ArtifactsInput!$N$24+1,10,12,14,16,18,20)+IF(IF(ArtifactsInput!$M$10,FALSE,TRUE),CHOOSE(ArtifactsInput!$N$10+1,15,18,21,24,27,30)*(IF(Inputs!$B$39="pvp",MIN(15,15)/15,IF(AND(Inputs!$B$39&lt;&gt;"pvp",Inputs!$B$44&gt;0),MIN(15,Inputs!$B$44)/(Inputs!$B$44),0))),0)))&lt;100),CHOOSE(ArtifactsInput!$N$42+1,30,36,42,48,54,60),0)+IF(IF(ArtifactsInput!$M$10,FALSE,TRUE),CHOOSE(ArtifactsInput!$N$10+1,15,18,21,24,27,30)*(IF(Inputs!$B$39="pvp",MIN(15,15)/15,IF(AND(Inputs!$B$39&lt;&gt;"pvp",Inputs!$B$44&gt;0),MIN(15,Inputs!$B$44)/(Inputs!$B$44),0))),0))),100)/100)+M1661*(MIN((Inputs!$B$9+((C1677=TRUE)*(F1677-Calc!F26))+B1685+(ArtifactsInput!$M$24-ArtifactsInput!$M$24)*CHOOSE(ArtifactsInput!$N$24+1,10,12,14,16,18,20)+(IF(AND(Inputs!$B$39&lt;&gt;"pvp",Inputs!$B$44=0),1,IF(IF(Inputs!$B$39="pvp",15,Inputs!$B$44)-(B1696)&lt;=0,1,MAX(0,IF(Inputs!$B$39="pvp",15,Inputs!$B$44)-MAX(5,B1696))/(IF(Inputs!$B$39="pvp",15,Inputs!$B$44)-(B1696))))*IF(AND(ArtifactsInput!$M$42,((Inputs!$B$9+((C1677=TRUE)*(F1677-Calc!F26))+B1685+(ArtifactsInput!$M$24-ArtifactsInput!$M$24)*CHOOSE(ArtifactsInput!$N$24+1,10,12,14,16,18,20)+IF(IF(ArtifactsInput!$M$10,FALSE,TRUE),CHOOSE(ArtifactsInput!$N$10+1,15,18,21,24,27,30)*(IF(Inputs!$B$39="pvp",MIN(15,15)/15,IF(AND(Inputs!$B$39&lt;&gt;"pvp",Inputs!$B$44&gt;0),MIN(15,Inputs!$B$44)/(Inputs!$B$44),0))),0)))&lt;100),CHOOSE(ArtifactsInput!$N$42+1,30,36,42,48,54,60),0)+IF(IF(ArtifactsInput!$M$10,FALSE,TRUE),CHOOSE(ArtifactsInput!$N$10+1,15,18,21,24,27,30)*(IF(Inputs!$B$39="pvp",MIN(15,15)/15,IF(AND(Inputs!$B$39&lt;&gt;"pvp",Inputs!$B$44&gt;0),MIN(15,Inputs!$B$44)/(Inputs!$B$44),0))),0))),100)/100)</f>
        <v/>
      </c>
      <c r="O1661">
        <f>(1-Summary!$B$11)*T1661+Summary!$B$11*V1661</f>
        <v/>
      </c>
      <c r="P1661">
        <f>IF(B1697=0,0,O1661/B1697)</f>
        <v/>
      </c>
      <c r="Q1661" t="n">
        <v>0</v>
      </c>
      <c r="R1661" t="n">
        <v>0</v>
      </c>
      <c r="S1661" t="n">
        <v>0</v>
      </c>
      <c r="T1661">
        <f>IF(C1661,(0.2*SUMPRODUCT((Skills!Z2:Z31=TRUE)*(C1653:C1682=TRUE)*S1653:S1682)*N1661)*IF(Inputs!$B$39="pvp",1,1+(Inputs!$B$20+0+Skills!P10+B1686+(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Hunt"),CHOOSE(ArtifactsInput!$N$35+1,15,18,21,24,27,30)*(1-EXP(-(0.2*B1689)*5)),0)+IF(AND(ArtifactsInput!$M$22,Inputs!$B$4&lt;&gt;"Chapter Hunt"),CHOOSE(ArtifactsInput!$N$22+1,10,12,14,16,18,20)*((0*(((0.15*B1689*5))^0/1)+1*(((0.15*B1689*5))^1/1)+2*(((0.15*B1689*5))^2/2)+3*(((0.15*B1689*5))^3/6)+4*(((0.15*B1689*5))^4/24)+5*(((0.15*B1689*5))^5/120))/((((0.15*B1689*5))^0/1)+(((0.15*B1689*5))^1/1)+(((0.15*B1689*5))^2/2)+(((0.15*B1689*5))^3/6)+(((0.15*B1689*5))^4/24)+(((0.15*B1689*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1661*(1-MIN(100,(Inputs!$B$9+((C1677=TRUE)*(F1677-Calc!F26))+B1685+(ArtifactsInput!$M$24-ArtifactsInput!$M$24)*CHOOSE(ArtifactsInput!$N$24+1,10,12,14,16,18,20)+(IF(AND(Inputs!$B$39&lt;&gt;"pvp",Inputs!$B$44=0),1,IF(IF(Inputs!$B$39="pvp",15,Inputs!$B$44)-(B1696)&lt;=0,1,MAX(0,IF(Inputs!$B$39="pvp",15,Inputs!$B$44)-MAX(5,B1696))/(IF(Inputs!$B$39="pvp",15,Inputs!$B$44)-(B1696))))*IF(AND(ArtifactsInput!$M$42,((Inputs!$B$9+((C1677=TRUE)*(F1677-Calc!F26))+B1685+(ArtifactsInput!$M$24-ArtifactsInput!$M$24)*CHOOSE(ArtifactsInput!$N$24+1,10,12,14,16,18,20)+IF(IF(ArtifactsInput!$M$10,FALSE,TRUE),CHOOSE(ArtifactsInput!$N$10+1,15,18,21,24,27,30)*(IF(Inputs!$B$39="pvp",MIN(15,15)/15,IF(AND(Inputs!$B$39&lt;&gt;"pvp",Inputs!$B$44&gt;0),MIN(15,Inputs!$B$44)/(Inputs!$B$44),0))),0)))&lt;100),CHOOSE(ArtifactsInput!$N$42+1,30,36,42,48,54,60),0)+IF(IF(ArtifactsInput!$M$10,FALSE,TRUE),CHOOSE(ArtifactsInput!$N$10+1,15,18,21,24,27,30)*(IF(Inputs!$B$39="pvp",MIN(15,15)/15,IF(AND(Inputs!$B$39&lt;&gt;"pvp",Inputs!$B$44&gt;0),MIN(15,Inputs!$B$44)/(Inputs!$B$44),0))),0)))+IF(AND(ArtifactsInput!$M$8,Inputs!$B$39&lt;&gt;"pvp"),CHOOSE(ArtifactsInput!$N$8+1,8,9.6,11.2,12.8,14.4,16),0))/100)+M1661*(MIN(100,(Inputs!$B$9+((C1677=TRUE)*(F1677-Calc!F26))+B1685+(ArtifactsInput!$M$24-ArtifactsInput!$M$24)*CHOOSE(ArtifactsInput!$N$24+1,10,12,14,16,18,20)+(IF(AND(Inputs!$B$39&lt;&gt;"pvp",Inputs!$B$44=0),1,IF(IF(Inputs!$B$39="pvp",15,Inputs!$B$44)-(B1696)&lt;=0,1,MAX(0,IF(Inputs!$B$39="pvp",15,Inputs!$B$44)-MAX(5,B1696))/(IF(Inputs!$B$39="pvp",15,Inputs!$B$44)-(B1696))))*IF(AND(ArtifactsInput!$M$42,((Inputs!$B$9+((C1677=TRUE)*(F1677-Calc!F26))+B1685+(ArtifactsInput!$M$24-ArtifactsInput!$M$24)*CHOOSE(ArtifactsInput!$N$24+1,10,12,14,16,18,20)+IF(IF(ArtifactsInput!$M$10,FALSE,TRUE),CHOOSE(ArtifactsInput!$N$10+1,15,18,21,24,27,30)*(IF(Inputs!$B$39="pvp",MIN(15,15)/15,IF(AND(Inputs!$B$39&lt;&gt;"pvp",Inputs!$B$44&gt;0),MIN(15,Inputs!$B$44)/(Inputs!$B$44),0))),0)))&lt;100),CHOOSE(ArtifactsInput!$N$42+1,30,36,42,48,54,60),0)+IF(IF(ArtifactsInput!$M$10,FALSE,TRUE),CHOOSE(ArtifactsInput!$N$10+1,15,18,21,24,27,30)*(IF(Inputs!$B$39="pvp",MIN(15,15)/15,IF(AND(Inputs!$B$39&lt;&gt;"pvp",Inputs!$B$44&gt;0),MIN(15,Inputs!$B$44)/(Inputs!$B$44),0))),0)))+IF(AND(ArtifactsInput!$M$8,Inputs!$B$39&lt;&gt;"pvp"),CHOOSE(ArtifactsInput!$N$8+1,8,9.6,11.2,12.8,14.4,16),0))/100))/(L1661*(1-MIN(100,(Inputs!$B$9+((C1677=TRUE)*(F1677-Calc!F26))+B1685+(ArtifactsInput!$M$24-ArtifactsInput!$M$24)*CHOOSE(ArtifactsInput!$N$24+1,10,12,14,16,18,20)+(IF(AND(Inputs!$B$39&lt;&gt;"pvp",Inputs!$B$44=0),1,IF(IF(Inputs!$B$39="pvp",15,Inputs!$B$44)-(B1696)&lt;=0,1,MAX(0,IF(Inputs!$B$39="pvp",15,Inputs!$B$44)-MAX(5,B1696))/(IF(Inputs!$B$39="pvp",15,Inputs!$B$44)-(B1696))))*IF(AND(ArtifactsInput!$M$42,((Inputs!$B$9+((C1677=TRUE)*(F1677-Calc!F26))+B1685+(ArtifactsInput!$M$24-ArtifactsInput!$M$24)*CHOOSE(ArtifactsInput!$N$24+1,10,12,14,16,18,20)+IF(IF(ArtifactsInput!$M$10,FALSE,TRUE),CHOOSE(ArtifactsInput!$N$10+1,15,18,21,24,27,30)*(IF(Inputs!$B$39="pvp",MIN(15,15)/15,IF(AND(Inputs!$B$39&lt;&gt;"pvp",Inputs!$B$44&gt;0),MIN(15,Inputs!$B$44)/(Inputs!$B$44),0))),0)))&lt;100),CHOOSE(ArtifactsInput!$N$42+1,30,36,42,48,54,60),0)+IF(IF(ArtifactsInput!$M$10,FALSE,TRUE),CHOOSE(ArtifactsInput!$N$10+1,15,18,21,24,27,30)*(IF(Inputs!$B$39="pvp",MIN(15,15)/15,IF(AND(Inputs!$B$39&lt;&gt;"pvp",Inputs!$B$44&gt;0),MIN(15,Inputs!$B$44)/(Inputs!$B$44),0))),0))))/100)+M1661*(MIN(100,(Inputs!$B$9+((C1677=TRUE)*(F1677-Calc!F26))+B1685+(ArtifactsInput!$M$24-ArtifactsInput!$M$24)*CHOOSE(ArtifactsInput!$N$24+1,10,12,14,16,18,20)+(IF(AND(Inputs!$B$39&lt;&gt;"pvp",Inputs!$B$44=0),1,IF(IF(Inputs!$B$39="pvp",15,Inputs!$B$44)-(B1696)&lt;=0,1,MAX(0,IF(Inputs!$B$39="pvp",15,Inputs!$B$44)-MAX(5,B1696))/(IF(Inputs!$B$39="pvp",15,Inputs!$B$44)-(B1696))))*IF(AND(ArtifactsInput!$M$42,((Inputs!$B$9+((C1677=TRUE)*(F1677-Calc!F26))+B1685+(ArtifactsInput!$M$24-ArtifactsInput!$M$24)*CHOOSE(ArtifactsInput!$N$24+1,10,12,14,16,18,20)+IF(IF(ArtifactsInput!$M$10,FALSE,TRUE),CHOOSE(ArtifactsInput!$N$10+1,15,18,21,24,27,30)*(IF(Inputs!$B$39="pvp",MIN(15,15)/15,IF(AND(Inputs!$B$39&lt;&gt;"pvp",Inputs!$B$44&gt;0),MIN(15,Inputs!$B$44)/(Inputs!$B$44),0))),0)))&lt;100),CHOOSE(ArtifactsInput!$N$42+1,30,36,42,48,54,60),0)+IF(IF(ArtifactsInput!$M$10,FALSE,TRUE),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1661">
        <f>IF(C1661,(0.2*SUMPRODUCT((Skills!Z2:Z31=TRUE)*(C1653:C1682=TRUE)*S1653:S1682)*N1661)*IF(Inputs!$B$39="pvp",1,(1+(Inputs!$B$21+Skills!Q10+B1686+(IF(ArtifactsInput!$M$33,CHOOSE(ArtifactsInput!$N$33+1,30,36,42,48,54,60),0))+(IF(AND(ArtifactsInput!$M$35,Inputs!$B$4&lt;&gt;"Chapter Hunt"),CHOOSE(ArtifactsInput!$N$35+1,15,18,21,24,27,30)*(1-EXP(-(0.2*B1689)*5)),0)+IF(AND(ArtifactsInput!$M$22,Inputs!$B$4&lt;&gt;"Chapter Hunt"),CHOOSE(ArtifactsInput!$N$22+1,10,12,14,16,18,20)*((0*(((0.15*B1689*5))^0/1)+1*(((0.15*B1689*5))^1/1)+2*(((0.15*B1689*5))^2/2)+3*(((0.15*B1689*5))^3/6)+4*(((0.15*B1689*5))^4/24)+5*(((0.15*B1689*5))^5/120))/((((0.15*B1689*5))^0/1)+(((0.15*B1689*5))^1/1)+(((0.15*B1689*5))^2/2)+(((0.15*B1689*5))^3/6)+(((0.15*B1689*5))^4/24)+(((0.15*B1689*5))^5/120))),0)))/100)*(MIN(Skills!W10,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662">
      <c r="A1662">
        <f>Skills!A11</f>
        <v/>
      </c>
      <c r="B1662">
        <f>Skills!B11</f>
        <v/>
      </c>
      <c r="C1662">
        <f>Inputs!$B$3&gt;=74</f>
        <v/>
      </c>
      <c r="D1662">
        <f>IF(Skills!C11=1,60+Inputs!$B$25+Inputs!$B$29,IF(Skills!C11=2,90+Inputs!$B$26+Inputs!$B$29,IF(Skills!C11=3,120+Inputs!$B$27+Inputs!$B$29,MAX(0,(Inputs!$B$3-100)*3)+Inputs!$B$28+Inputs!$B$29)))</f>
        <v/>
      </c>
      <c r="E1662">
        <f>INDEX(FactorTable!$B$2:$Y$301, MATCH(ROUND(MIN(300,MAX(1,D1662)),0), FactorTable!$A$2:$A$301,0), Skills!M11+1)</f>
        <v/>
      </c>
      <c r="F1662">
        <f>IF(Skills!N11=TRUE,(Skills!L11/10)*(E1662/1000),Skills!L11/10)+Skills!O11</f>
        <v/>
      </c>
      <c r="G1662">
        <f>Skills!G11*IF(Skills!H11&gt;0,IF(Inputs!$B$39="pvp",MIN(Skills!I11,15),Skills!I11)/Skills!H11,1)</f>
        <v/>
      </c>
      <c r="H1662">
        <f>1-(1-Skills!J11/100)^Skills!K11</f>
        <v/>
      </c>
      <c r="I1662" t="inlineStr">
        <is>
          <t>1</t>
        </is>
      </c>
      <c r="J1662" t="inlineStr"/>
      <c r="K1662" t="inlineStr"/>
      <c r="L1662" t="inlineStr"/>
      <c r="M1662" t="inlineStr"/>
      <c r="N1662" t="inlineStr"/>
      <c r="O1662">
        <f>(1-Summary!$B$11)*T1662+Summary!$B$11*V1662</f>
        <v/>
      </c>
      <c r="P1662">
        <f>IF(B1697=0,0,O1662/B1697)</f>
        <v/>
      </c>
      <c r="Q1662">
        <f>IFERROR(1/IF(Inputs!$B$39="pvp",15,MAX(0.1,Skills!D11-IF(TRUE=TRUE,Inputs!$B$32,0))),0)</f>
        <v/>
      </c>
      <c r="R1662">
        <f>IF(AND(Inputs!$B$39&lt;&gt;"pvp",Inputs!$B$44&gt;0),IF(Inputs!$B$44&lt;=0,0,(INT(Inputs!$B$44/IF(Inputs!$B$39="pvp",15,MAX(0.1,Skills!D11-IF(TRUE=TRUE,Inputs!$B$32,0))))+1)),0)</f>
        <v/>
      </c>
      <c r="S1662">
        <f>IFERROR(O1662/N1662,0)</f>
        <v/>
      </c>
      <c r="T1662" t="n">
        <v>0</v>
      </c>
      <c r="V1662" t="n">
        <v>0</v>
      </c>
    </row>
    <row r="1663">
      <c r="A1663">
        <f>Skills!A12</f>
        <v/>
      </c>
      <c r="B1663">
        <f>Skills!B12</f>
        <v/>
      </c>
      <c r="C1663">
        <f>Inputs!$B$3&gt;=103</f>
        <v/>
      </c>
      <c r="D1663">
        <f>IF(Skills!C12=1,60+Inputs!$B$25+Inputs!$B$29,IF(Skills!C12=2,90+Inputs!$B$26+Inputs!$B$29,IF(Skills!C12=3,120+Inputs!$B$27+Inputs!$B$29,MAX(0,(Inputs!$B$3-100)*3)+Inputs!$B$28+Inputs!$B$29)))</f>
        <v/>
      </c>
      <c r="E1663">
        <f>INDEX(FactorTable!$B$2:$Y$301, MATCH(ROUND(MIN(300,MAX(1,D1663)),0), FactorTable!$A$2:$A$301,0), Skills!M12+1)</f>
        <v/>
      </c>
      <c r="F1663">
        <f>(Skills!L12/10)*(E1663/1000)+IF(Inputs!$B$3&gt;=134,50,0)+0.5*(30000/10)*(INDEX(FactorTable!$B$2:$Y$301, MATCH(ROUND(MIN(300,MAX(1,D1663)),0), FactorTable!$A$2:$A$301,0), 13)/1000)*B1695</f>
        <v/>
      </c>
      <c r="G1663">
        <f>Skills!G12*IF(Skills!H12&gt;0,IF(Inputs!$B$39="pvp",MIN(Skills!I12,15),Skills!I12)/Skills!H12,1)</f>
        <v/>
      </c>
      <c r="H1663">
        <f>1-(1-Skills!J12/100)^Skills!K12</f>
        <v/>
      </c>
      <c r="I1663" t="inlineStr">
        <is>
          <t>1</t>
        </is>
      </c>
      <c r="J1663">
        <f>((Inputs!$B$6*(1+Inputs!$B$7/100))+(((Inputs!$B$12*(1+Inputs!$B$13/100))-(Inputs!$B$12*(1+Inputs!$B$13/100)))+0.25*(Inputs!$B$14-Inputs!$B$14))*(1+Inputs!$B$7/100))*(F1663/100)</f>
        <v/>
      </c>
      <c r="K1663">
        <f>J1663*(1+((Inputs!$B$12*(1+Inputs!$B$13/100))*0.01+Inputs!$B$14*0.0025)/100)*(1+Inputs!$B$15/100)*(1+Inputs!$B$16/100)*(5000/(6000+Inputs!$B$43*(1-(100*(1-(1-Inputs!$B$19/100)*(1-CHOOSE(ArtifactsInput!$N$40+1,5,6,7,8,9,10)/100)^(ArtifactsInput!$M$40-ArtifactsInput!$M$40)))/100)))*(1+(Inputs!$B$24+((C1682=TRUE)*(F1682-Calc!F31))+((C1669=TRUE)*(F1669-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12="CRUEL_STAB",Inputs!$B$17+((C1679=TRUE)*(F1679-Calc!F28))+((IF(AND(Inputs!$B$39&lt;&gt;"pvp",Inputs!$B$44=0),1,IF(IF(Inputs!$B$39="pvp",15,Inputs!$B$44)-(B1696)&lt;=0,1,MAX(0,IF(Inputs!$B$39="pvp",15,Inputs!$B$44)-MAX(5,B1696))/(IF(Inputs!$B$39="pvp",15,Inputs!$B$44)-(B1696))))*(IF(AND(ArtifactsInput!$M$42,((Inputs!$B$9+((C1677=TRUE)*(F1677-Calc!F26))+B1685+(ArtifactsInput!$M$24-ArtifactsInput!$M$24)*CHOOSE(ArtifactsInput!$N$24+1,10,12,14,16,18,20)+IF(IF(ArtifactsInput!$M$10,FALSE,TRUE),CHOOSE(ArtifactsInput!$N$10+1,15,18,21,24,27,30)*(IF(Inputs!$B$39="pvp",MIN(15,15)/15,IF(AND(Inputs!$B$39&lt;&gt;"pvp",Inputs!$B$44&gt;0),MIN(15,Inputs!$B$44)/(Inputs!$B$44),0))),0)))&gt;=100),MIN(100,((Inputs!$B$9+((C1677=TRUE)*(F1677-Calc!F26))+B1685+(ArtifactsInput!$M$24-ArtifactsInput!$M$24)*CHOOSE(ArtifactsInput!$N$24+1,10,12,14,16,18,20)+IF(IF(ArtifactsInput!$M$10,FALSE,TRUE),CHOOSE(ArtifactsInput!$N$10+1,15,18,21,24,27,30)*(IF(Inputs!$B$39="pvp",MIN(15,15)/15,IF(AND(Inputs!$B$39&lt;&gt;"pvp",Inputs!$B$44&gt;0),MIN(15,Inputs!$B$44)/(Inputs!$B$44),0))),0)))-100),0))*CHOOSE(ArtifactsInput!$N$42+1,0.6,0.72,0.84,0.96,1.08,1.2))),Inputs!$B$18+((C1680=TRUE)*(F1680-Calc!F29))+(IF(AND(Inputs!$B$39&lt;&gt;"pvp",Inputs!$B$44=0),1,IF(IF(Inputs!$B$39="pvp",15,Inputs!$B$44)-(B1696)&lt;=0,1,MAX(0,IF(Inputs!$B$39="pvp",15,Inputs!$B$44)-MAX(5,B1696))/(IF(Inputs!$B$39="pvp",15,Inputs!$B$44)-(B1696))))*IF(AND(ArtifactsInput!$M$42,((Inputs!$B$9+((C1677=TRUE)*(F1677-Calc!F26))+B1685+(ArtifactsInput!$M$24-ArtifactsInput!$M$24)*CHOOSE(ArtifactsInput!$N$24+1,10,12,14,16,18,20)+IF(IF(ArtifactsInput!$M$10,FALSE,TRUE),CHOOSE(ArtifactsInput!$N$10+1,15,18,21,24,27,30)*(IF(Inputs!$B$39="pvp",MIN(15,15)/15,IF(AND(Inputs!$B$39&lt;&gt;"pvp",Inputs!$B$44&gt;0),MIN(15,Inputs!$B$44)/(Inputs!$B$44),0))),0)))&gt;=100),CHOOSE(ArtifactsInput!$N$42+1,40,48,56,64,72,80),0))))/100)*(((1+(((C1673=TRUE)*F1673*IF(AND(Inputs!$B$39&lt;&gt;"pvp",Inputs!$B$44&gt;0),(((R1673-1)*MIN((Skills!Y22*(1+Inputs!$B$34/100)),(1/Q1673))+MIN((Skills!Y22*(1+Inputs!$B$34/100)),MAX(0,Inputs!$B$44-((R1673-1)*(1/Q1673)))))/Inputs!$B$44),IF(Inputs!$B$39="pvp",MIN((Skills!Y22*(1+Inputs!$B$34/100)),15)/15,MIN(1,(Skills!Y22*(1+Inputs!$B$34/100))/(1/Q1673)))))+((C1654=TRUE)*F1654*3)+((C1656=TRUE)*F1656*(1-EXP(-0.75*B1689*5)))+((C1675=TRUE)*(F1675-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1662=TRUE)*F1662*IF(AND(Inputs!$B$39&lt;&gt;"pvp",Inputs!$B$44&gt;0),(((R1662-1)*MIN((Skills!Y11*(1+Inputs!$B$34/100)),(1/Q1662))+MIN((Skills!Y11*(1+Inputs!$B$34/100)),MAX(0,Inputs!$B$44-((R1662-1)*(1/Q1662)))))/Inputs!$B$44),IF(Inputs!$B$39="pvp",MIN((Skills!Y11*(1+Inputs!$B$34/100)),15)/15,MIN(1,(Skills!Y11*(1+Inputs!$B$34/100))/(1/Q1662)))))/100)*(1+((C1667=TRUE)*F1667*IF(AND(Inputs!$B$39&lt;&gt;"pvp",Inputs!$B$44&gt;0),(((R1667-1)*MIN((Skills!Y16*(1+Inputs!$B$34/100)),(1/Q1667))+MIN((Skills!Y16*(1+Inputs!$B$34/100)),MAX(0,Inputs!$B$44-((R1667-1)*(1/Q1667)))))/Inputs!$B$44),IF(Inputs!$B$39="pvp",MIN((Skills!Y16*(1+Inputs!$B$34/100)),15)/15,MIN(1,(Skills!Y16*(1+Inputs!$B$34/100))/(1/Q1667)))))/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1687*I1663)</f>
        <v/>
      </c>
      <c r="L1663">
        <f>K1663*(MIN(Inputs!$B$22+((C1676=TRUE)*(F1676-Calc!F25)),(Inputs!$B$23+((C1681=TRUE)*(F1681-Calc!F30))+IF(ArtifactsInput!$M$15,CHOOSE(ArtifactsInput!$N$15+1,25,30,35,40,45,50)/100*(Inputs!$B$11-Inputs!$B$11),0)))/100+(Inputs!$B$23+((C1681=TRUE)*(F1681-Calc!F30))+IF(ArtifactsInput!$M$15,CHOOSE(ArtifactsInput!$N$15+1,25,30,35,40,45,50)/100*(Inputs!$B$11-Inputs!$B$11),0))/100)/2</f>
        <v/>
      </c>
      <c r="M1663">
        <f>L1663*(1+(Inputs!$B$10+((C1678=TRUE)*(F1678-Calc!F27))+B1692+(IF(ArtifactsInput!$M$24,CHOOSE(ArtifactsInput!$N$24+1,30,36,42,48,54,60)/100*(Inputs!$B$9-Inputs!$B$9),0)+IF(IF(ArtifactsInput!$M$10,FALSE,TRUE),CHOOSE(ArtifactsInput!$N$10+1,20,24,28,32,36,40)*(IF(Inputs!$B$39="pvp",MIN(15,15)/15,IF(AND(Inputs!$B$39&lt;&gt;"pvp",Inputs!$B$44&gt;0),MIN(15,Inputs!$B$44)/(Inputs!$B$44),0))),0)+IF(ArtifactsInput!$M$31,1.5*CHOOSE(ArtifactsInput!$N$31+1,20,24,28,32,36,40),0)))/100)</f>
        <v/>
      </c>
      <c r="N1663">
        <f>L1663*(1-MIN((Inputs!$B$9+((C1677=TRUE)*(F1677-Calc!F26))+B1685+(ArtifactsInput!$M$24-ArtifactsInput!$M$24)*CHOOSE(ArtifactsInput!$N$24+1,10,12,14,16,18,20)+(IF(AND(Inputs!$B$39&lt;&gt;"pvp",Inputs!$B$44=0),1,IF(IF(Inputs!$B$39="pvp",15,Inputs!$B$44)-(B1696)&lt;=0,1,MAX(0,IF(Inputs!$B$39="pvp",15,Inputs!$B$44)-MAX(5,B1696))/(IF(Inputs!$B$39="pvp",15,Inputs!$B$44)-(B1696))))*IF(AND(ArtifactsInput!$M$42,((Inputs!$B$9+((C1677=TRUE)*(F1677-Calc!F26))+B1685+(ArtifactsInput!$M$24-ArtifactsInput!$M$24)*CHOOSE(ArtifactsInput!$N$24+1,10,12,14,16,18,20)+IF(IF(ArtifactsInput!$M$10,FALSE,TRUE),CHOOSE(ArtifactsInput!$N$10+1,15,18,21,24,27,30)*(IF(Inputs!$B$39="pvp",MIN(15,15)/15,IF(AND(Inputs!$B$39&lt;&gt;"pvp",Inputs!$B$44&gt;0),MIN(15,Inputs!$B$44)/(Inputs!$B$44),0))),0)))&lt;100),CHOOSE(ArtifactsInput!$N$42+1,30,36,42,48,54,60),0)+IF(IF(ArtifactsInput!$M$10,FALSE,TRUE),CHOOSE(ArtifactsInput!$N$10+1,15,18,21,24,27,30)*(IF(Inputs!$B$39="pvp",MIN(15,15)/15,IF(AND(Inputs!$B$39&lt;&gt;"pvp",Inputs!$B$44&gt;0),MIN(15,Inputs!$B$44)/(Inputs!$B$44),0))),0))),100)/100)+M1663*(MIN((Inputs!$B$9+((C1677=TRUE)*(F1677-Calc!F26))+B1685+(ArtifactsInput!$M$24-ArtifactsInput!$M$24)*CHOOSE(ArtifactsInput!$N$24+1,10,12,14,16,18,20)+(IF(AND(Inputs!$B$39&lt;&gt;"pvp",Inputs!$B$44=0),1,IF(IF(Inputs!$B$39="pvp",15,Inputs!$B$44)-(B1696)&lt;=0,1,MAX(0,IF(Inputs!$B$39="pvp",15,Inputs!$B$44)-MAX(5,B1696))/(IF(Inputs!$B$39="pvp",15,Inputs!$B$44)-(B1696))))*IF(AND(ArtifactsInput!$M$42,((Inputs!$B$9+((C1677=TRUE)*(F1677-Calc!F26))+B1685+(ArtifactsInput!$M$24-ArtifactsInput!$M$24)*CHOOSE(ArtifactsInput!$N$24+1,10,12,14,16,18,20)+IF(IF(ArtifactsInput!$M$10,FALSE,TRUE),CHOOSE(ArtifactsInput!$N$10+1,15,18,21,24,27,30)*(IF(Inputs!$B$39="pvp",MIN(15,15)/15,IF(AND(Inputs!$B$39&lt;&gt;"pvp",Inputs!$B$44&gt;0),MIN(15,Inputs!$B$44)/(Inputs!$B$44),0))),0)))&lt;100),CHOOSE(ArtifactsInput!$N$42+1,30,36,42,48,54,60),0)+IF(IF(ArtifactsInput!$M$10,FALSE,TRUE),CHOOSE(ArtifactsInput!$N$10+1,15,18,21,24,27,30)*(IF(Inputs!$B$39="pvp",MIN(15,15)/15,IF(AND(Inputs!$B$39&lt;&gt;"pvp",Inputs!$B$44&gt;0),MIN(15,Inputs!$B$44)/(Inputs!$B$44),0))),0))),100)/100)</f>
        <v/>
      </c>
      <c r="O1663">
        <f>(1-Summary!$B$11)*T1663+Summary!$B$11*V1663</f>
        <v/>
      </c>
      <c r="P1663">
        <f>IF(B1697=0,0,O1663/B1697)</f>
        <v/>
      </c>
      <c r="Q1663">
        <f>IFERROR(1/IF(Inputs!$B$39="pvp",15,MAX(0.1,Skills!D12-IF(TRUE=TRUE,Inputs!$B$32,0))),0)</f>
        <v/>
      </c>
      <c r="R1663">
        <f>IF(AND(Inputs!$B$39&lt;&gt;"pvp",Inputs!$B$44&gt;0),IF(MAX(0,Inputs!$B$44-B1696)&lt;=0,0,(INT(MAX(0,Inputs!$B$44-B1696)/IF(Inputs!$B$39="pvp",15,MAX(0.1,Skills!D12-IF(TRUE=TRUE,Inputs!$B$32,0))))+1)),0)</f>
        <v/>
      </c>
      <c r="S1663">
        <f>IFERROR(O1663/N1663,0)</f>
        <v/>
      </c>
      <c r="T1663">
        <f>IF(C1663,(H1663*N1663*IF(AND(Inputs!$B$39&lt;&gt;"pvp",Inputs!$B$44&gt;0),((Skills!G12*((R1663-1)*IF(Skills!H12&gt;0,Skills!I12/Skills!H12,1)+IF(Skills!H12&gt;0,MIN(Skills!I12,MAX(0,MAX(0,Inputs!$B$44-B1696)-((R1663-1)*IF(Inputs!$B$39="pvp",15,MAX(0.1,Skills!D12-IF(TRUE=TRUE,Inputs!$B$32,0))))))/Skills!H12,1)))/Inputs!$B$44),G1663*Q1663))*IF(Inputs!$B$39="pvp",1,1+(Inputs!$B$20+0+Skills!P12+B1686+(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Hunt"),CHOOSE(ArtifactsInput!$N$35+1,15,18,21,24,27,30)*(1-EXP(-(0.2*B1689)*5)),0)+IF(AND(ArtifactsInput!$M$22,Inputs!$B$4&lt;&gt;"Chapter Hunt"),CHOOSE(ArtifactsInput!$N$22+1,10,12,14,16,18,20)*((0*(((0.15*B1689*5))^0/1)+1*(((0.15*B1689*5))^1/1)+2*(((0.15*B1689*5))^2/2)+3*(((0.15*B1689*5))^3/6)+4*(((0.15*B1689*5))^4/24)+5*(((0.15*B1689*5))^5/120))/((((0.15*B1689*5))^0/1)+(((0.15*B1689*5))^1/1)+(((0.15*B1689*5))^2/2)+(((0.15*B1689*5))^3/6)+(((0.15*B1689*5))^4/24)+(((0.15*B1689*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1663*(1-MIN(100,(Inputs!$B$9+((C1677=TRUE)*(F1677-Calc!F26))+B1685+(ArtifactsInput!$M$24-ArtifactsInput!$M$24)*CHOOSE(ArtifactsInput!$N$24+1,10,12,14,16,18,20)+(IF(AND(Inputs!$B$39&lt;&gt;"pvp",Inputs!$B$44=0),1,IF(IF(Inputs!$B$39="pvp",15,Inputs!$B$44)-(B1696)&lt;=0,1,MAX(0,IF(Inputs!$B$39="pvp",15,Inputs!$B$44)-MAX(5,B1696))/(IF(Inputs!$B$39="pvp",15,Inputs!$B$44)-(B1696))))*IF(AND(ArtifactsInput!$M$42,((Inputs!$B$9+((C1677=TRUE)*(F1677-Calc!F26))+B1685+(ArtifactsInput!$M$24-ArtifactsInput!$M$24)*CHOOSE(ArtifactsInput!$N$24+1,10,12,14,16,18,20)+IF(IF(ArtifactsInput!$M$10,FALSE,TRUE),CHOOSE(ArtifactsInput!$N$10+1,15,18,21,24,27,30)*(IF(Inputs!$B$39="pvp",MIN(15,15)/15,IF(AND(Inputs!$B$39&lt;&gt;"pvp",Inputs!$B$44&gt;0),MIN(15,Inputs!$B$44)/(Inputs!$B$44),0))),0)))&lt;100),CHOOSE(ArtifactsInput!$N$42+1,30,36,42,48,54,60),0)+IF(IF(ArtifactsInput!$M$10,FALSE,TRUE),CHOOSE(ArtifactsInput!$N$10+1,15,18,21,24,27,30)*(IF(Inputs!$B$39="pvp",MIN(15,15)/15,IF(AND(Inputs!$B$39&lt;&gt;"pvp",Inputs!$B$44&gt;0),MIN(15,Inputs!$B$44)/(Inputs!$B$44),0))),0)))+IF(AND(ArtifactsInput!$M$8,Inputs!$B$39&lt;&gt;"pvp"),CHOOSE(ArtifactsInput!$N$8+1,8,9.6,11.2,12.8,14.4,16),0))/100)+M1663*(MIN(100,(Inputs!$B$9+((C1677=TRUE)*(F1677-Calc!F26))+B1685+(ArtifactsInput!$M$24-ArtifactsInput!$M$24)*CHOOSE(ArtifactsInput!$N$24+1,10,12,14,16,18,20)+(IF(AND(Inputs!$B$39&lt;&gt;"pvp",Inputs!$B$44=0),1,IF(IF(Inputs!$B$39="pvp",15,Inputs!$B$44)-(B1696)&lt;=0,1,MAX(0,IF(Inputs!$B$39="pvp",15,Inputs!$B$44)-MAX(5,B1696))/(IF(Inputs!$B$39="pvp",15,Inputs!$B$44)-(B1696))))*IF(AND(ArtifactsInput!$M$42,((Inputs!$B$9+((C1677=TRUE)*(F1677-Calc!F26))+B1685+(ArtifactsInput!$M$24-ArtifactsInput!$M$24)*CHOOSE(ArtifactsInput!$N$24+1,10,12,14,16,18,20)+IF(IF(ArtifactsInput!$M$10,FALSE,TRUE),CHOOSE(ArtifactsInput!$N$10+1,15,18,21,24,27,30)*(IF(Inputs!$B$39="pvp",MIN(15,15)/15,IF(AND(Inputs!$B$39&lt;&gt;"pvp",Inputs!$B$44&gt;0),MIN(15,Inputs!$B$44)/(Inputs!$B$44),0))),0)))&lt;100),CHOOSE(ArtifactsInput!$N$42+1,30,36,42,48,54,60),0)+IF(IF(ArtifactsInput!$M$10,FALSE,TRUE),CHOOSE(ArtifactsInput!$N$10+1,15,18,21,24,27,30)*(IF(Inputs!$B$39="pvp",MIN(15,15)/15,IF(AND(Inputs!$B$39&lt;&gt;"pvp",Inputs!$B$44&gt;0),MIN(15,Inputs!$B$44)/(Inputs!$B$44),0))),0)))+IF(AND(ArtifactsInput!$M$8,Inputs!$B$39&lt;&gt;"pvp"),CHOOSE(ArtifactsInput!$N$8+1,8,9.6,11.2,12.8,14.4,16),0))/100))/(L1663*(1-MIN(100,(Inputs!$B$9+((C1677=TRUE)*(F1677-Calc!F26))+B1685+(ArtifactsInput!$M$24-ArtifactsInput!$M$24)*CHOOSE(ArtifactsInput!$N$24+1,10,12,14,16,18,20)+(IF(AND(Inputs!$B$39&lt;&gt;"pvp",Inputs!$B$44=0),1,IF(IF(Inputs!$B$39="pvp",15,Inputs!$B$44)-(B1696)&lt;=0,1,MAX(0,IF(Inputs!$B$39="pvp",15,Inputs!$B$44)-MAX(5,B1696))/(IF(Inputs!$B$39="pvp",15,Inputs!$B$44)-(B1696))))*IF(AND(ArtifactsInput!$M$42,((Inputs!$B$9+((C1677=TRUE)*(F1677-Calc!F26))+B1685+(ArtifactsInput!$M$24-ArtifactsInput!$M$24)*CHOOSE(ArtifactsInput!$N$24+1,10,12,14,16,18,20)+IF(IF(ArtifactsInput!$M$10,FALSE,TRUE),CHOOSE(ArtifactsInput!$N$10+1,15,18,21,24,27,30)*(IF(Inputs!$B$39="pvp",MIN(15,15)/15,IF(AND(Inputs!$B$39&lt;&gt;"pvp",Inputs!$B$44&gt;0),MIN(15,Inputs!$B$44)/(Inputs!$B$44),0))),0)))&lt;100),CHOOSE(ArtifactsInput!$N$42+1,30,36,42,48,54,60),0)+IF(IF(ArtifactsInput!$M$10,FALSE,TRUE),CHOOSE(ArtifactsInput!$N$10+1,15,18,21,24,27,30)*(IF(Inputs!$B$39="pvp",MIN(15,15)/15,IF(AND(Inputs!$B$39&lt;&gt;"pvp",Inputs!$B$44&gt;0),MIN(15,Inputs!$B$44)/(Inputs!$B$44),0))),0))))/100)+M1663*(MIN(100,(Inputs!$B$9+((C1677=TRUE)*(F1677-Calc!F26))+B1685+(ArtifactsInput!$M$24-ArtifactsInput!$M$24)*CHOOSE(ArtifactsInput!$N$24+1,10,12,14,16,18,20)+(IF(AND(Inputs!$B$39&lt;&gt;"pvp",Inputs!$B$44=0),1,IF(IF(Inputs!$B$39="pvp",15,Inputs!$B$44)-(B1696)&lt;=0,1,MAX(0,IF(Inputs!$B$39="pvp",15,Inputs!$B$44)-MAX(5,B1696))/(IF(Inputs!$B$39="pvp",15,Inputs!$B$44)-(B1696))))*IF(AND(ArtifactsInput!$M$42,((Inputs!$B$9+((C1677=TRUE)*(F1677-Calc!F26))+B1685+(ArtifactsInput!$M$24-ArtifactsInput!$M$24)*CHOOSE(ArtifactsInput!$N$24+1,10,12,14,16,18,20)+IF(IF(ArtifactsInput!$M$10,FALSE,TRUE),CHOOSE(ArtifactsInput!$N$10+1,15,18,21,24,27,30)*(IF(Inputs!$B$39="pvp",MIN(15,15)/15,IF(AND(Inputs!$B$39&lt;&gt;"pvp",Inputs!$B$44&gt;0),MIN(15,Inputs!$B$44)/(Inputs!$B$44),0))),0)))&lt;100),CHOOSE(ArtifactsInput!$N$42+1,30,36,42,48,54,60),0)+IF(IF(ArtifactsInput!$M$10,FALSE,TRUE),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1663">
        <f>IF(C1663,(H1663*N1663*IF(AND(Inputs!$B$39&lt;&gt;"pvp",Inputs!$B$44&gt;0),((Skills!G12*((R1663-1)*IF(Skills!H12&gt;0,Skills!I12/Skills!H12,1)+IF(Skills!H12&gt;0,MIN(Skills!I12,MAX(0,MAX(0,Inputs!$B$44-B1696)-((R1663-1)*IF(Inputs!$B$39="pvp",15,MAX(0.1,Skills!D12-IF(TRUE=TRUE,Inputs!$B$32,0))))))/Skills!H12,1)))/Inputs!$B$44),G1663*Q1663))*IF(Inputs!$B$39="pvp",1,(1+(Inputs!$B$21+Skills!Q12+B1686+(IF(ArtifactsInput!$M$33,CHOOSE(ArtifactsInput!$N$33+1,30,36,42,48,54,60),0))+(IF(AND(ArtifactsInput!$M$35,Inputs!$B$4&lt;&gt;"Chapter Hunt"),CHOOSE(ArtifactsInput!$N$35+1,15,18,21,24,27,30)*(1-EXP(-(0.2*B1689)*5)),0)+IF(AND(ArtifactsInput!$M$22,Inputs!$B$4&lt;&gt;"Chapter Hunt"),CHOOSE(ArtifactsInput!$N$22+1,10,12,14,16,18,20)*((0*(((0.15*B1689*5))^0/1)+1*(((0.15*B1689*5))^1/1)+2*(((0.15*B1689*5))^2/2)+3*(((0.15*B1689*5))^3/6)+4*(((0.15*B1689*5))^4/24)+5*(((0.15*B1689*5))^5/120))/((((0.15*B1689*5))^0/1)+(((0.15*B1689*5))^1/1)+(((0.15*B1689*5))^2/2)+(((0.15*B1689*5))^3/6)+(((0.15*B1689*5))^4/24)+(((0.15*B1689*5))^5/120))),0)))/100)*(MIN(Skills!W12,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664">
      <c r="A1664">
        <f>Skills!A13</f>
        <v/>
      </c>
      <c r="B1664">
        <f>Skills!B13</f>
        <v/>
      </c>
      <c r="C1664">
        <f>Inputs!$B$3&gt;=105</f>
        <v/>
      </c>
      <c r="D1664">
        <f>IF(Skills!C13=1,60+Inputs!$B$25+Inputs!$B$29,IF(Skills!C13=2,90+Inputs!$B$26+Inputs!$B$29,IF(Skills!C13=3,120+Inputs!$B$27+Inputs!$B$29,MAX(0,(Inputs!$B$3-100)*3)+Inputs!$B$28+Inputs!$B$29)))</f>
        <v/>
      </c>
      <c r="E1664">
        <f>INDEX(FactorTable!$B$2:$Y$301, MATCH(ROUND(MIN(300,MAX(1,D1664)),0), FactorTable!$A$2:$A$301,0), Skills!M13+1)</f>
        <v/>
      </c>
      <c r="F1664">
        <f>IF(Skills!N13=TRUE,(Skills!L13/10)*(E1664/1000),Skills!L13/10)+Skills!O13</f>
        <v/>
      </c>
      <c r="G1664">
        <f>Skills!G13*IF(Skills!H13&gt;0,IF(Inputs!$B$39="pvp",MIN(Skills!I13,15),Skills!I13)/Skills!H13,1)</f>
        <v/>
      </c>
      <c r="H1664">
        <f>1-(1-Skills!J13/100)^Skills!K13</f>
        <v/>
      </c>
      <c r="I1664" t="inlineStr">
        <is>
          <t>1</t>
        </is>
      </c>
      <c r="J1664">
        <f>((Inputs!$B$6*(1+Inputs!$B$7/100))+(((Inputs!$B$12*(1+Inputs!$B$13/100))-(Inputs!$B$12*(1+Inputs!$B$13/100)))+0.25*(Inputs!$B$14-Inputs!$B$14))*(1+Inputs!$B$7/100))*(F1664/100)</f>
        <v/>
      </c>
      <c r="K1664">
        <f>J1664*(1+((Inputs!$B$12*(1+Inputs!$B$13/100))*0.01+Inputs!$B$14*0.0025)/100)*(1+Inputs!$B$15/100)*(1+Inputs!$B$16/100)*(5000/(6000+Inputs!$B$43*(1-(100*(1-(1-Inputs!$B$19/100)*(1-CHOOSE(ArtifactsInput!$N$40+1,5,6,7,8,9,10)/100)^(ArtifactsInput!$M$40-ArtifactsInput!$M$40)))/100)))*(1+(Inputs!$B$24+((C1682=TRUE)*(F1682-Calc!F31))+((C1669=TRUE)*(F1669-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13="CRUEL_STAB",Inputs!$B$17+((C1679=TRUE)*(F1679-Calc!F28))+((IF(AND(Inputs!$B$39&lt;&gt;"pvp",Inputs!$B$44=0),1,IF(IF(Inputs!$B$39="pvp",15,Inputs!$B$44)-(B1696)&lt;=0,1,MAX(0,IF(Inputs!$B$39="pvp",15,Inputs!$B$44)-MAX(5,B1696))/(IF(Inputs!$B$39="pvp",15,Inputs!$B$44)-(B1696))))*(IF(AND(ArtifactsInput!$M$42,((Inputs!$B$9+((C1677=TRUE)*(F1677-Calc!F26))+B1685+(ArtifactsInput!$M$24-ArtifactsInput!$M$24)*CHOOSE(ArtifactsInput!$N$24+1,10,12,14,16,18,20)+IF(IF(ArtifactsInput!$M$10,FALSE,TRUE),CHOOSE(ArtifactsInput!$N$10+1,15,18,21,24,27,30)*(IF(Inputs!$B$39="pvp",MIN(15,15)/15,IF(AND(Inputs!$B$39&lt;&gt;"pvp",Inputs!$B$44&gt;0),MIN(15,Inputs!$B$44)/(Inputs!$B$44),0))),0)))&gt;=100),MIN(100,((Inputs!$B$9+((C1677=TRUE)*(F1677-Calc!F26))+B1685+(ArtifactsInput!$M$24-ArtifactsInput!$M$24)*CHOOSE(ArtifactsInput!$N$24+1,10,12,14,16,18,20)+IF(IF(ArtifactsInput!$M$10,FALSE,TRUE),CHOOSE(ArtifactsInput!$N$10+1,15,18,21,24,27,30)*(IF(Inputs!$B$39="pvp",MIN(15,15)/15,IF(AND(Inputs!$B$39&lt;&gt;"pvp",Inputs!$B$44&gt;0),MIN(15,Inputs!$B$44)/(Inputs!$B$44),0))),0)))-100),0))*CHOOSE(ArtifactsInput!$N$42+1,0.6,0.72,0.84,0.96,1.08,1.2))),Inputs!$B$18+((C1680=TRUE)*(F1680-Calc!F29))+(IF(AND(Inputs!$B$39&lt;&gt;"pvp",Inputs!$B$44=0),1,IF(IF(Inputs!$B$39="pvp",15,Inputs!$B$44)-(B1696)&lt;=0,1,MAX(0,IF(Inputs!$B$39="pvp",15,Inputs!$B$44)-MAX(5,B1696))/(IF(Inputs!$B$39="pvp",15,Inputs!$B$44)-(B1696))))*IF(AND(ArtifactsInput!$M$42,((Inputs!$B$9+((C1677=TRUE)*(F1677-Calc!F26))+B1685+(ArtifactsInput!$M$24-ArtifactsInput!$M$24)*CHOOSE(ArtifactsInput!$N$24+1,10,12,14,16,18,20)+IF(IF(ArtifactsInput!$M$10,FALSE,TRUE),CHOOSE(ArtifactsInput!$N$10+1,15,18,21,24,27,30)*(IF(Inputs!$B$39="pvp",MIN(15,15)/15,IF(AND(Inputs!$B$39&lt;&gt;"pvp",Inputs!$B$44&gt;0),MIN(15,Inputs!$B$44)/(Inputs!$B$44),0))),0)))&gt;=100),CHOOSE(ArtifactsInput!$N$42+1,40,48,56,64,72,80),0))))/100)*(((1+(((C1673=TRUE)*F1673*IF(AND(Inputs!$B$39&lt;&gt;"pvp",Inputs!$B$44&gt;0),(((R1673-1)*MIN((Skills!Y22*(1+Inputs!$B$34/100)),(1/Q1673))+MIN((Skills!Y22*(1+Inputs!$B$34/100)),MAX(0,Inputs!$B$44-((R1673-1)*(1/Q1673)))))/Inputs!$B$44),IF(Inputs!$B$39="pvp",MIN((Skills!Y22*(1+Inputs!$B$34/100)),15)/15,MIN(1,(Skills!Y22*(1+Inputs!$B$34/100))/(1/Q1673)))))+((C1654=TRUE)*F1654*3)+((C1656=TRUE)*F1656*(1-EXP(-0.75*B1689*5)))+((C1675=TRUE)*(F1675-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1662=TRUE)*F1662*IF(AND(Inputs!$B$39&lt;&gt;"pvp",Inputs!$B$44&gt;0),(((R1662-1)*MIN((Skills!Y11*(1+Inputs!$B$34/100)),(1/Q1662))+MIN((Skills!Y11*(1+Inputs!$B$34/100)),MAX(0,Inputs!$B$44-((R1662-1)*(1/Q1662)))))/Inputs!$B$44),IF(Inputs!$B$39="pvp",MIN((Skills!Y11*(1+Inputs!$B$34/100)),15)/15,MIN(1,(Skills!Y11*(1+Inputs!$B$34/100))/(1/Q1662)))))/100)*(1+((C1667=TRUE)*F1667*IF(AND(Inputs!$B$39&lt;&gt;"pvp",Inputs!$B$44&gt;0),(((R1667-1)*MIN((Skills!Y16*(1+Inputs!$B$34/100)),(1/Q1667))+MIN((Skills!Y16*(1+Inputs!$B$34/100)),MAX(0,Inputs!$B$44-((R1667-1)*(1/Q1667)))))/Inputs!$B$44),IF(Inputs!$B$39="pvp",MIN((Skills!Y16*(1+Inputs!$B$34/100)),15)/15,MIN(1,(Skills!Y16*(1+Inputs!$B$34/100))/(1/Q1667)))))/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1687*I1664)</f>
        <v/>
      </c>
      <c r="L1664">
        <f>K1664*(MIN(Inputs!$B$22+((C1676=TRUE)*(F1676-Calc!F25)),(Inputs!$B$23+((C1681=TRUE)*(F1681-Calc!F30))+IF(ArtifactsInput!$M$15,CHOOSE(ArtifactsInput!$N$15+1,25,30,35,40,45,50)/100*(Inputs!$B$11-Inputs!$B$11),0)))/100+(Inputs!$B$23+((C1681=TRUE)*(F1681-Calc!F30))+IF(ArtifactsInput!$M$15,CHOOSE(ArtifactsInput!$N$15+1,25,30,35,40,45,50)/100*(Inputs!$B$11-Inputs!$B$11),0))/100)/2</f>
        <v/>
      </c>
      <c r="M1664">
        <f>L1664*(1+(Inputs!$B$10+((C1678=TRUE)*(F1678-Calc!F27))+B1692+(IF(ArtifactsInput!$M$24,CHOOSE(ArtifactsInput!$N$24+1,30,36,42,48,54,60)/100*(Inputs!$B$9-Inputs!$B$9),0)+IF(IF(ArtifactsInput!$M$10,FALSE,TRUE),CHOOSE(ArtifactsInput!$N$10+1,20,24,28,32,36,40)*(IF(Inputs!$B$39="pvp",MIN(15,15)/15,IF(AND(Inputs!$B$39&lt;&gt;"pvp",Inputs!$B$44&gt;0),MIN(15,Inputs!$B$44)/(Inputs!$B$44),0))),0)+IF(ArtifactsInput!$M$31,1.5*CHOOSE(ArtifactsInput!$N$31+1,20,24,28,32,36,40),0)))/100)</f>
        <v/>
      </c>
      <c r="N1664">
        <f>L1664*(1-MIN((Inputs!$B$9+((C1677=TRUE)*(F1677-Calc!F26))+B1685+(ArtifactsInput!$M$24-ArtifactsInput!$M$24)*CHOOSE(ArtifactsInput!$N$24+1,10,12,14,16,18,20)+(IF(AND(Inputs!$B$39&lt;&gt;"pvp",Inputs!$B$44=0),1,IF(IF(Inputs!$B$39="pvp",15,Inputs!$B$44)-(B1696)&lt;=0,1,MAX(0,IF(Inputs!$B$39="pvp",15,Inputs!$B$44)-MAX(5,B1696))/(IF(Inputs!$B$39="pvp",15,Inputs!$B$44)-(B1696))))*IF(AND(ArtifactsInput!$M$42,((Inputs!$B$9+((C1677=TRUE)*(F1677-Calc!F26))+B1685+(ArtifactsInput!$M$24-ArtifactsInput!$M$24)*CHOOSE(ArtifactsInput!$N$24+1,10,12,14,16,18,20)+IF(IF(ArtifactsInput!$M$10,FALSE,TRUE),CHOOSE(ArtifactsInput!$N$10+1,15,18,21,24,27,30)*(IF(Inputs!$B$39="pvp",MIN(15,15)/15,IF(AND(Inputs!$B$39&lt;&gt;"pvp",Inputs!$B$44&gt;0),MIN(15,Inputs!$B$44)/(Inputs!$B$44),0))),0)))&lt;100),CHOOSE(ArtifactsInput!$N$42+1,30,36,42,48,54,60),0)+IF(IF(ArtifactsInput!$M$10,FALSE,TRUE),CHOOSE(ArtifactsInput!$N$10+1,15,18,21,24,27,30)*(IF(Inputs!$B$39="pvp",MIN(15,15)/15,IF(AND(Inputs!$B$39&lt;&gt;"pvp",Inputs!$B$44&gt;0),MIN(15,Inputs!$B$44)/(Inputs!$B$44),0))),0))),100)/100)+M1664*(MIN((Inputs!$B$9+((C1677=TRUE)*(F1677-Calc!F26))+B1685+(ArtifactsInput!$M$24-ArtifactsInput!$M$24)*CHOOSE(ArtifactsInput!$N$24+1,10,12,14,16,18,20)+(IF(AND(Inputs!$B$39&lt;&gt;"pvp",Inputs!$B$44=0),1,IF(IF(Inputs!$B$39="pvp",15,Inputs!$B$44)-(B1696)&lt;=0,1,MAX(0,IF(Inputs!$B$39="pvp",15,Inputs!$B$44)-MAX(5,B1696))/(IF(Inputs!$B$39="pvp",15,Inputs!$B$44)-(B1696))))*IF(AND(ArtifactsInput!$M$42,((Inputs!$B$9+((C1677=TRUE)*(F1677-Calc!F26))+B1685+(ArtifactsInput!$M$24-ArtifactsInput!$M$24)*CHOOSE(ArtifactsInput!$N$24+1,10,12,14,16,18,20)+IF(IF(ArtifactsInput!$M$10,FALSE,TRUE),CHOOSE(ArtifactsInput!$N$10+1,15,18,21,24,27,30)*(IF(Inputs!$B$39="pvp",MIN(15,15)/15,IF(AND(Inputs!$B$39&lt;&gt;"pvp",Inputs!$B$44&gt;0),MIN(15,Inputs!$B$44)/(Inputs!$B$44),0))),0)))&lt;100),CHOOSE(ArtifactsInput!$N$42+1,30,36,42,48,54,60),0)+IF(IF(ArtifactsInput!$M$10,FALSE,TRUE),CHOOSE(ArtifactsInput!$N$10+1,15,18,21,24,27,30)*(IF(Inputs!$B$39="pvp",MIN(15,15)/15,IF(AND(Inputs!$B$39&lt;&gt;"pvp",Inputs!$B$44&gt;0),MIN(15,Inputs!$B$44)/(Inputs!$B$44),0))),0))),100)/100)</f>
        <v/>
      </c>
      <c r="O1664">
        <f>(1-Summary!$B$11)*T1664+Summary!$B$11*V1664</f>
        <v/>
      </c>
      <c r="P1664">
        <f>IF(B1697=0,0,O1664/B1697)</f>
        <v/>
      </c>
      <c r="Q1664">
        <f>IFERROR(1/IF(Inputs!$B$39="pvp",15,MAX(0.1,Skills!D13-IF(TRUE=TRUE,Inputs!$B$32,0))),0)</f>
        <v/>
      </c>
      <c r="R1664">
        <f>IF(AND(Inputs!$B$39&lt;&gt;"pvp",Inputs!$B$44&gt;0),IF(MAX(0,Inputs!$B$44-B1696)&lt;=0,0,(INT(MAX(0,Inputs!$B$44-B1696)/IF(Inputs!$B$39="pvp",15,MAX(0.1,Skills!D13-IF(TRUE=TRUE,Inputs!$B$32,0))))+1)),0)</f>
        <v/>
      </c>
      <c r="S1664">
        <f>IFERROR(O1664/N1664,0)</f>
        <v/>
      </c>
      <c r="T1664">
        <f>IF(C1664,(H1664*N1664*IF(AND(Inputs!$B$39&lt;&gt;"pvp",Inputs!$B$44&gt;0),((Skills!G13*((R1664-1)*IF(Skills!H13&gt;0,Skills!I13/Skills!H13,1)+IF(Skills!H13&gt;0,MIN(Skills!I13,MAX(0,MAX(0,Inputs!$B$44-B1696)-((R1664-1)*IF(Inputs!$B$39="pvp",15,MAX(0.1,Skills!D13-IF(TRUE=TRUE,Inputs!$B$32,0))))))/Skills!H13,1)))/Inputs!$B$44),G1664*Q1664))*IF(Inputs!$B$39="pvp",1,1+(Inputs!$B$20+0+Skills!P13+B1686+(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Hunt"),CHOOSE(ArtifactsInput!$N$35+1,15,18,21,24,27,30)*(1-EXP(-(0.2*B1689)*5)),0)+IF(AND(ArtifactsInput!$M$22,Inputs!$B$4&lt;&gt;"Chapter Hunt"),CHOOSE(ArtifactsInput!$N$22+1,10,12,14,16,18,20)*((0*(((0.15*B1689*5))^0/1)+1*(((0.15*B1689*5))^1/1)+2*(((0.15*B1689*5))^2/2)+3*(((0.15*B1689*5))^3/6)+4*(((0.15*B1689*5))^4/24)+5*(((0.15*B1689*5))^5/120))/((((0.15*B1689*5))^0/1)+(((0.15*B1689*5))^1/1)+(((0.15*B1689*5))^2/2)+(((0.15*B1689*5))^3/6)+(((0.15*B1689*5))^4/24)+(((0.15*B1689*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1664*(1-MIN(100,(Inputs!$B$9+((C1677=TRUE)*(F1677-Calc!F26))+B1685+(ArtifactsInput!$M$24-ArtifactsInput!$M$24)*CHOOSE(ArtifactsInput!$N$24+1,10,12,14,16,18,20)+(IF(AND(Inputs!$B$39&lt;&gt;"pvp",Inputs!$B$44=0),1,IF(IF(Inputs!$B$39="pvp",15,Inputs!$B$44)-(B1696)&lt;=0,1,MAX(0,IF(Inputs!$B$39="pvp",15,Inputs!$B$44)-MAX(5,B1696))/(IF(Inputs!$B$39="pvp",15,Inputs!$B$44)-(B1696))))*IF(AND(ArtifactsInput!$M$42,((Inputs!$B$9+((C1677=TRUE)*(F1677-Calc!F26))+B1685+(ArtifactsInput!$M$24-ArtifactsInput!$M$24)*CHOOSE(ArtifactsInput!$N$24+1,10,12,14,16,18,20)+IF(IF(ArtifactsInput!$M$10,FALSE,TRUE),CHOOSE(ArtifactsInput!$N$10+1,15,18,21,24,27,30)*(IF(Inputs!$B$39="pvp",MIN(15,15)/15,IF(AND(Inputs!$B$39&lt;&gt;"pvp",Inputs!$B$44&gt;0),MIN(15,Inputs!$B$44)/(Inputs!$B$44),0))),0)))&lt;100),CHOOSE(ArtifactsInput!$N$42+1,30,36,42,48,54,60),0)+IF(IF(ArtifactsInput!$M$10,FALSE,TRUE),CHOOSE(ArtifactsInput!$N$10+1,15,18,21,24,27,30)*(IF(Inputs!$B$39="pvp",MIN(15,15)/15,IF(AND(Inputs!$B$39&lt;&gt;"pvp",Inputs!$B$44&gt;0),MIN(15,Inputs!$B$44)/(Inputs!$B$44),0))),0)))+IF(AND(ArtifactsInput!$M$8,Inputs!$B$39&lt;&gt;"pvp"),CHOOSE(ArtifactsInput!$N$8+1,8,9.6,11.2,12.8,14.4,16),0))/100)+M1664*(MIN(100,(Inputs!$B$9+((C1677=TRUE)*(F1677-Calc!F26))+B1685+(ArtifactsInput!$M$24-ArtifactsInput!$M$24)*CHOOSE(ArtifactsInput!$N$24+1,10,12,14,16,18,20)+(IF(AND(Inputs!$B$39&lt;&gt;"pvp",Inputs!$B$44=0),1,IF(IF(Inputs!$B$39="pvp",15,Inputs!$B$44)-(B1696)&lt;=0,1,MAX(0,IF(Inputs!$B$39="pvp",15,Inputs!$B$44)-MAX(5,B1696))/(IF(Inputs!$B$39="pvp",15,Inputs!$B$44)-(B1696))))*IF(AND(ArtifactsInput!$M$42,((Inputs!$B$9+((C1677=TRUE)*(F1677-Calc!F26))+B1685+(ArtifactsInput!$M$24-ArtifactsInput!$M$24)*CHOOSE(ArtifactsInput!$N$24+1,10,12,14,16,18,20)+IF(IF(ArtifactsInput!$M$10,FALSE,TRUE),CHOOSE(ArtifactsInput!$N$10+1,15,18,21,24,27,30)*(IF(Inputs!$B$39="pvp",MIN(15,15)/15,IF(AND(Inputs!$B$39&lt;&gt;"pvp",Inputs!$B$44&gt;0),MIN(15,Inputs!$B$44)/(Inputs!$B$44),0))),0)))&lt;100),CHOOSE(ArtifactsInput!$N$42+1,30,36,42,48,54,60),0)+IF(IF(ArtifactsInput!$M$10,FALSE,TRUE),CHOOSE(ArtifactsInput!$N$10+1,15,18,21,24,27,30)*(IF(Inputs!$B$39="pvp",MIN(15,15)/15,IF(AND(Inputs!$B$39&lt;&gt;"pvp",Inputs!$B$44&gt;0),MIN(15,Inputs!$B$44)/(Inputs!$B$44),0))),0)))+IF(AND(ArtifactsInput!$M$8,Inputs!$B$39&lt;&gt;"pvp"),CHOOSE(ArtifactsInput!$N$8+1,8,9.6,11.2,12.8,14.4,16),0))/100))/(L1664*(1-MIN(100,(Inputs!$B$9+((C1677=TRUE)*(F1677-Calc!F26))+B1685+(ArtifactsInput!$M$24-ArtifactsInput!$M$24)*CHOOSE(ArtifactsInput!$N$24+1,10,12,14,16,18,20)+(IF(AND(Inputs!$B$39&lt;&gt;"pvp",Inputs!$B$44=0),1,IF(IF(Inputs!$B$39="pvp",15,Inputs!$B$44)-(B1696)&lt;=0,1,MAX(0,IF(Inputs!$B$39="pvp",15,Inputs!$B$44)-MAX(5,B1696))/(IF(Inputs!$B$39="pvp",15,Inputs!$B$44)-(B1696))))*IF(AND(ArtifactsInput!$M$42,((Inputs!$B$9+((C1677=TRUE)*(F1677-Calc!F26))+B1685+(ArtifactsInput!$M$24-ArtifactsInput!$M$24)*CHOOSE(ArtifactsInput!$N$24+1,10,12,14,16,18,20)+IF(IF(ArtifactsInput!$M$10,FALSE,TRUE),CHOOSE(ArtifactsInput!$N$10+1,15,18,21,24,27,30)*(IF(Inputs!$B$39="pvp",MIN(15,15)/15,IF(AND(Inputs!$B$39&lt;&gt;"pvp",Inputs!$B$44&gt;0),MIN(15,Inputs!$B$44)/(Inputs!$B$44),0))),0)))&lt;100),CHOOSE(ArtifactsInput!$N$42+1,30,36,42,48,54,60),0)+IF(IF(ArtifactsInput!$M$10,FALSE,TRUE),CHOOSE(ArtifactsInput!$N$10+1,15,18,21,24,27,30)*(IF(Inputs!$B$39="pvp",MIN(15,15)/15,IF(AND(Inputs!$B$39&lt;&gt;"pvp",Inputs!$B$44&gt;0),MIN(15,Inputs!$B$44)/(Inputs!$B$44),0))),0))))/100)+M1664*(MIN(100,(Inputs!$B$9+((C1677=TRUE)*(F1677-Calc!F26))+B1685+(ArtifactsInput!$M$24-ArtifactsInput!$M$24)*CHOOSE(ArtifactsInput!$N$24+1,10,12,14,16,18,20)+(IF(AND(Inputs!$B$39&lt;&gt;"pvp",Inputs!$B$44=0),1,IF(IF(Inputs!$B$39="pvp",15,Inputs!$B$44)-(B1696)&lt;=0,1,MAX(0,IF(Inputs!$B$39="pvp",15,Inputs!$B$44)-MAX(5,B1696))/(IF(Inputs!$B$39="pvp",15,Inputs!$B$44)-(B1696))))*IF(AND(ArtifactsInput!$M$42,((Inputs!$B$9+((C1677=TRUE)*(F1677-Calc!F26))+B1685+(ArtifactsInput!$M$24-ArtifactsInput!$M$24)*CHOOSE(ArtifactsInput!$N$24+1,10,12,14,16,18,20)+IF(IF(ArtifactsInput!$M$10,FALSE,TRUE),CHOOSE(ArtifactsInput!$N$10+1,15,18,21,24,27,30)*(IF(Inputs!$B$39="pvp",MIN(15,15)/15,IF(AND(Inputs!$B$39&lt;&gt;"pvp",Inputs!$B$44&gt;0),MIN(15,Inputs!$B$44)/(Inputs!$B$44),0))),0)))&lt;100),CHOOSE(ArtifactsInput!$N$42+1,30,36,42,48,54,60),0)+IF(IF(ArtifactsInput!$M$10,FALSE,TRUE),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1664">
        <f>IF(C1664,(H1664*N1664*IF(AND(Inputs!$B$39&lt;&gt;"pvp",Inputs!$B$44&gt;0),((Skills!G13*((R1664-1)*IF(Skills!H13&gt;0,Skills!I13/Skills!H13,1)+IF(Skills!H13&gt;0,MIN(Skills!I13,MAX(0,MAX(0,Inputs!$B$44-B1696)-((R1664-1)*IF(Inputs!$B$39="pvp",15,MAX(0.1,Skills!D13-IF(TRUE=TRUE,Inputs!$B$32,0))))))/Skills!H13,1)))/Inputs!$B$44),G1664*Q1664))*IF(Inputs!$B$39="pvp",1,(1+(Inputs!$B$21+Skills!Q13+B1686+(IF(ArtifactsInput!$M$33,CHOOSE(ArtifactsInput!$N$33+1,30,36,42,48,54,60),0))+(IF(AND(ArtifactsInput!$M$35,Inputs!$B$4&lt;&gt;"Chapter Hunt"),CHOOSE(ArtifactsInput!$N$35+1,15,18,21,24,27,30)*(1-EXP(-(0.2*B1689)*5)),0)+IF(AND(ArtifactsInput!$M$22,Inputs!$B$4&lt;&gt;"Chapter Hunt"),CHOOSE(ArtifactsInput!$N$22+1,10,12,14,16,18,20)*((0*(((0.15*B1689*5))^0/1)+1*(((0.15*B1689*5))^1/1)+2*(((0.15*B1689*5))^2/2)+3*(((0.15*B1689*5))^3/6)+4*(((0.15*B1689*5))^4/24)+5*(((0.15*B1689*5))^5/120))/((((0.15*B1689*5))^0/1)+(((0.15*B1689*5))^1/1)+(((0.15*B1689*5))^2/2)+(((0.15*B1689*5))^3/6)+(((0.15*B1689*5))^4/24)+(((0.15*B1689*5))^5/120))),0)))/100)*(MIN(Skills!W13,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665">
      <c r="A1665">
        <f>Skills!A14</f>
        <v/>
      </c>
      <c r="B1665">
        <f>Skills!B14</f>
        <v/>
      </c>
      <c r="C1665">
        <f>Inputs!$B$3&gt;=105</f>
        <v/>
      </c>
      <c r="D1665">
        <f>IF(Skills!C14=1,60+Inputs!$B$25+Inputs!$B$29,IF(Skills!C14=2,90+Inputs!$B$26+Inputs!$B$29,IF(Skills!C14=3,120+Inputs!$B$27+Inputs!$B$29,MAX(0,(Inputs!$B$3-100)*3)+Inputs!$B$28+Inputs!$B$29)))</f>
        <v/>
      </c>
      <c r="E1665">
        <f>INDEX(FactorTable!$B$2:$Y$301, MATCH(ROUND(MIN(300,MAX(1,D1665)),0), FactorTable!$A$2:$A$301,0), Skills!M14+1)</f>
        <v/>
      </c>
      <c r="F1665">
        <f>IF(Skills!N14=TRUE,(Skills!L14/10)*(E1665/1000),Skills!L14/10)+Skills!O14</f>
        <v/>
      </c>
      <c r="G1665">
        <f>Skills!G14*IF(Skills!H14&gt;0,IF(Inputs!$B$39="pvp",MIN(Skills!I14,15),Skills!I14)/Skills!H14,1)</f>
        <v/>
      </c>
      <c r="H1665">
        <f>1-(1-Skills!J14/100)^Skills!K14</f>
        <v/>
      </c>
      <c r="I1665" t="inlineStr">
        <is>
          <t>1</t>
        </is>
      </c>
      <c r="J1665">
        <f>((Inputs!$B$6*(1+Inputs!$B$7/100))+(((Inputs!$B$12*(1+Inputs!$B$13/100))-(Inputs!$B$12*(1+Inputs!$B$13/100)))+0.25*(Inputs!$B$14-Inputs!$B$14))*(1+Inputs!$B$7/100))*(F1665/100)</f>
        <v/>
      </c>
      <c r="K1665">
        <f>J1665*(1+((Inputs!$B$12*(1+Inputs!$B$13/100))*0.01+Inputs!$B$14*0.0025)/100)*(1+Inputs!$B$15/100)*(1+Inputs!$B$16/100)*(5000/(6000+Inputs!$B$43*(1-(100*(1-(1-Inputs!$B$19/100)*(1-CHOOSE(ArtifactsInput!$N$40+1,5,6,7,8,9,10)/100)^(ArtifactsInput!$M$40-ArtifactsInput!$M$40)))/100)))*(1+(Inputs!$B$24+((C1682=TRUE)*(F1682-Calc!F31))+((C1669=TRUE)*(F1669-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14="CRUEL_STAB",Inputs!$B$17+((C1679=TRUE)*(F1679-Calc!F28))+((IF(AND(Inputs!$B$39&lt;&gt;"pvp",Inputs!$B$44=0),1,IF(IF(Inputs!$B$39="pvp",15,Inputs!$B$44)-(B1696)&lt;=0,1,MAX(0,IF(Inputs!$B$39="pvp",15,Inputs!$B$44)-MAX(5,B1696))/(IF(Inputs!$B$39="pvp",15,Inputs!$B$44)-(B1696))))*(IF(AND(ArtifactsInput!$M$42,((Inputs!$B$9+((C1677=TRUE)*(F1677-Calc!F26))+B1685+(ArtifactsInput!$M$24-ArtifactsInput!$M$24)*CHOOSE(ArtifactsInput!$N$24+1,10,12,14,16,18,20)+IF(IF(ArtifactsInput!$M$10,FALSE,TRUE),CHOOSE(ArtifactsInput!$N$10+1,15,18,21,24,27,30)*(IF(Inputs!$B$39="pvp",MIN(15,15)/15,IF(AND(Inputs!$B$39&lt;&gt;"pvp",Inputs!$B$44&gt;0),MIN(15,Inputs!$B$44)/(Inputs!$B$44),0))),0)))&gt;=100),MIN(100,((Inputs!$B$9+((C1677=TRUE)*(F1677-Calc!F26))+B1685+(ArtifactsInput!$M$24-ArtifactsInput!$M$24)*CHOOSE(ArtifactsInput!$N$24+1,10,12,14,16,18,20)+IF(IF(ArtifactsInput!$M$10,FALSE,TRUE),CHOOSE(ArtifactsInput!$N$10+1,15,18,21,24,27,30)*(IF(Inputs!$B$39="pvp",MIN(15,15)/15,IF(AND(Inputs!$B$39&lt;&gt;"pvp",Inputs!$B$44&gt;0),MIN(15,Inputs!$B$44)/(Inputs!$B$44),0))),0)))-100),0))*CHOOSE(ArtifactsInput!$N$42+1,0.6,0.72,0.84,0.96,1.08,1.2))),Inputs!$B$18+((C1680=TRUE)*(F1680-Calc!F29))+(IF(AND(Inputs!$B$39&lt;&gt;"pvp",Inputs!$B$44=0),1,IF(IF(Inputs!$B$39="pvp",15,Inputs!$B$44)-(B1696)&lt;=0,1,MAX(0,IF(Inputs!$B$39="pvp",15,Inputs!$B$44)-MAX(5,B1696))/(IF(Inputs!$B$39="pvp",15,Inputs!$B$44)-(B1696))))*IF(AND(ArtifactsInput!$M$42,((Inputs!$B$9+((C1677=TRUE)*(F1677-Calc!F26))+B1685+(ArtifactsInput!$M$24-ArtifactsInput!$M$24)*CHOOSE(ArtifactsInput!$N$24+1,10,12,14,16,18,20)+IF(IF(ArtifactsInput!$M$10,FALSE,TRUE),CHOOSE(ArtifactsInput!$N$10+1,15,18,21,24,27,30)*(IF(Inputs!$B$39="pvp",MIN(15,15)/15,IF(AND(Inputs!$B$39&lt;&gt;"pvp",Inputs!$B$44&gt;0),MIN(15,Inputs!$B$44)/(Inputs!$B$44),0))),0)))&gt;=100),CHOOSE(ArtifactsInput!$N$42+1,40,48,56,64,72,80),0))))/100)*(((1+(((C1673=TRUE)*F1673*IF(AND(Inputs!$B$39&lt;&gt;"pvp",Inputs!$B$44&gt;0),(((R1673-1)*MIN((Skills!Y22*(1+Inputs!$B$34/100)),(1/Q1673))+MIN((Skills!Y22*(1+Inputs!$B$34/100)),MAX(0,Inputs!$B$44-((R1673-1)*(1/Q1673)))))/Inputs!$B$44),IF(Inputs!$B$39="pvp",MIN((Skills!Y22*(1+Inputs!$B$34/100)),15)/15,MIN(1,(Skills!Y22*(1+Inputs!$B$34/100))/(1/Q1673)))))+((C1654=TRUE)*F1654*3)+((C1656=TRUE)*F1656*(1-EXP(-0.75*B1689*5)))+((C1675=TRUE)*(F1675-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1662=TRUE)*F1662*IF(AND(Inputs!$B$39&lt;&gt;"pvp",Inputs!$B$44&gt;0),(((R1662-1)*MIN((Skills!Y11*(1+Inputs!$B$34/100)),(1/Q1662))+MIN((Skills!Y11*(1+Inputs!$B$34/100)),MAX(0,Inputs!$B$44-((R1662-1)*(1/Q1662)))))/Inputs!$B$44),IF(Inputs!$B$39="pvp",MIN((Skills!Y11*(1+Inputs!$B$34/100)),15)/15,MIN(1,(Skills!Y11*(1+Inputs!$B$34/100))/(1/Q1662)))))/100)*(1+((C1667=TRUE)*F1667*IF(AND(Inputs!$B$39&lt;&gt;"pvp",Inputs!$B$44&gt;0),(((R1667-1)*MIN((Skills!Y16*(1+Inputs!$B$34/100)),(1/Q1667))+MIN((Skills!Y16*(1+Inputs!$B$34/100)),MAX(0,Inputs!$B$44-((R1667-1)*(1/Q1667)))))/Inputs!$B$44),IF(Inputs!$B$39="pvp",MIN((Skills!Y16*(1+Inputs!$B$34/100)),15)/15,MIN(1,(Skills!Y16*(1+Inputs!$B$34/100))/(1/Q1667)))))/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1687*I1665)</f>
        <v/>
      </c>
      <c r="L1665">
        <f>K1665*(MIN(Inputs!$B$22+((C1676=TRUE)*(F1676-Calc!F25)),(Inputs!$B$23+((C1681=TRUE)*(F1681-Calc!F30))+IF(ArtifactsInput!$M$15,CHOOSE(ArtifactsInput!$N$15+1,25,30,35,40,45,50)/100*(Inputs!$B$11-Inputs!$B$11),0)))/100+(Inputs!$B$23+((C1681=TRUE)*(F1681-Calc!F30))+IF(ArtifactsInput!$M$15,CHOOSE(ArtifactsInput!$N$15+1,25,30,35,40,45,50)/100*(Inputs!$B$11-Inputs!$B$11),0))/100)/2</f>
        <v/>
      </c>
      <c r="M1665">
        <f>L1665*(1+(Inputs!$B$10+((C1678=TRUE)*(F1678-Calc!F27))+B1692+(IF(ArtifactsInput!$M$24,CHOOSE(ArtifactsInput!$N$24+1,30,36,42,48,54,60)/100*(Inputs!$B$9-Inputs!$B$9),0)+IF(IF(ArtifactsInput!$M$10,FALSE,TRUE),CHOOSE(ArtifactsInput!$N$10+1,20,24,28,32,36,40)*(IF(Inputs!$B$39="pvp",MIN(15,15)/15,IF(AND(Inputs!$B$39&lt;&gt;"pvp",Inputs!$B$44&gt;0),MIN(15,Inputs!$B$44)/(Inputs!$B$44),0))),0)+IF(ArtifactsInput!$M$31,1.5*CHOOSE(ArtifactsInput!$N$31+1,20,24,28,32,36,40),0)))/100)</f>
        <v/>
      </c>
      <c r="N1665">
        <f>L1665*(1-MIN((Inputs!$B$9+((C1677=TRUE)*(F1677-Calc!F26))+B1685+(ArtifactsInput!$M$24-ArtifactsInput!$M$24)*CHOOSE(ArtifactsInput!$N$24+1,10,12,14,16,18,20)+(IF(AND(Inputs!$B$39&lt;&gt;"pvp",Inputs!$B$44=0),1,IF(IF(Inputs!$B$39="pvp",15,Inputs!$B$44)-(B1696)&lt;=0,1,MAX(0,IF(Inputs!$B$39="pvp",15,Inputs!$B$44)-MAX(5,B1696))/(IF(Inputs!$B$39="pvp",15,Inputs!$B$44)-(B1696))))*IF(AND(ArtifactsInput!$M$42,((Inputs!$B$9+((C1677=TRUE)*(F1677-Calc!F26))+B1685+(ArtifactsInput!$M$24-ArtifactsInput!$M$24)*CHOOSE(ArtifactsInput!$N$24+1,10,12,14,16,18,20)+IF(IF(ArtifactsInput!$M$10,FALSE,TRUE),CHOOSE(ArtifactsInput!$N$10+1,15,18,21,24,27,30)*(IF(Inputs!$B$39="pvp",MIN(15,15)/15,IF(AND(Inputs!$B$39&lt;&gt;"pvp",Inputs!$B$44&gt;0),MIN(15,Inputs!$B$44)/(Inputs!$B$44),0))),0)))&lt;100),CHOOSE(ArtifactsInput!$N$42+1,30,36,42,48,54,60),0)+IF(IF(ArtifactsInput!$M$10,FALSE,TRUE),CHOOSE(ArtifactsInput!$N$10+1,15,18,21,24,27,30)*(IF(Inputs!$B$39="pvp",MIN(15,15)/15,IF(AND(Inputs!$B$39&lt;&gt;"pvp",Inputs!$B$44&gt;0),MIN(15,Inputs!$B$44)/(Inputs!$B$44),0))),0))),100)/100)+M1665*(MIN((Inputs!$B$9+((C1677=TRUE)*(F1677-Calc!F26))+B1685+(ArtifactsInput!$M$24-ArtifactsInput!$M$24)*CHOOSE(ArtifactsInput!$N$24+1,10,12,14,16,18,20)+(IF(AND(Inputs!$B$39&lt;&gt;"pvp",Inputs!$B$44=0),1,IF(IF(Inputs!$B$39="pvp",15,Inputs!$B$44)-(B1696)&lt;=0,1,MAX(0,IF(Inputs!$B$39="pvp",15,Inputs!$B$44)-MAX(5,B1696))/(IF(Inputs!$B$39="pvp",15,Inputs!$B$44)-(B1696))))*IF(AND(ArtifactsInput!$M$42,((Inputs!$B$9+((C1677=TRUE)*(F1677-Calc!F26))+B1685+(ArtifactsInput!$M$24-ArtifactsInput!$M$24)*CHOOSE(ArtifactsInput!$N$24+1,10,12,14,16,18,20)+IF(IF(ArtifactsInput!$M$10,FALSE,TRUE),CHOOSE(ArtifactsInput!$N$10+1,15,18,21,24,27,30)*(IF(Inputs!$B$39="pvp",MIN(15,15)/15,IF(AND(Inputs!$B$39&lt;&gt;"pvp",Inputs!$B$44&gt;0),MIN(15,Inputs!$B$44)/(Inputs!$B$44),0))),0)))&lt;100),CHOOSE(ArtifactsInput!$N$42+1,30,36,42,48,54,60),0)+IF(IF(ArtifactsInput!$M$10,FALSE,TRUE),CHOOSE(ArtifactsInput!$N$10+1,15,18,21,24,27,30)*(IF(Inputs!$B$39="pvp",MIN(15,15)/15,IF(AND(Inputs!$B$39&lt;&gt;"pvp",Inputs!$B$44&gt;0),MIN(15,Inputs!$B$44)/(Inputs!$B$44),0))),0))),100)/100)</f>
        <v/>
      </c>
      <c r="O1665">
        <f>(1-Summary!$B$11)*T1665+Summary!$B$11*V1665</f>
        <v/>
      </c>
      <c r="P1665">
        <f>IF(B1697=0,0,O1665/B1697)</f>
        <v/>
      </c>
      <c r="Q1665">
        <f>IFERROR(1/IF(Inputs!$B$39="pvp",15,MAX(0.1,Skills!D14-IF(TRUE=TRUE,Inputs!$B$32,0))),0)</f>
        <v/>
      </c>
      <c r="R1665">
        <f>IF(AND(Inputs!$B$39&lt;&gt;"pvp",Inputs!$B$44&gt;0),IF(MAX(0,Inputs!$B$44-B1696)&lt;=0,0,(INT(MAX(0,Inputs!$B$44-B1696)/IF(Inputs!$B$39="pvp",15,MAX(0.1,Skills!D14-IF(TRUE=TRUE,Inputs!$B$32,0))))+1)),0)</f>
        <v/>
      </c>
      <c r="S1665">
        <f>IFERROR(O1665/N1665,0)</f>
        <v/>
      </c>
      <c r="T1665">
        <f>IF(C1665,(H1665*N1665*IF(AND(Inputs!$B$39&lt;&gt;"pvp",Inputs!$B$44&gt;0),((Skills!G14*((R1665-1)*IF(Skills!H14&gt;0,Skills!I14/Skills!H14,1)+IF(Skills!H14&gt;0,MIN(Skills!I14,MAX(0,MAX(0,Inputs!$B$44-B1696)-((R1665-1)*IF(Inputs!$B$39="pvp",15,MAX(0.1,Skills!D14-IF(TRUE=TRUE,Inputs!$B$32,0))))))/Skills!H14,1)))/Inputs!$B$44),G1665*Q1665))*IF(Inputs!$B$39="pvp",1,1+(Inputs!$B$20+0+Skills!P14+B1686+(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Hunt"),CHOOSE(ArtifactsInput!$N$35+1,15,18,21,24,27,30)*(1-EXP(-(0.2*B1689)*5)),0)+IF(AND(ArtifactsInput!$M$22,Inputs!$B$4&lt;&gt;"Chapter Hunt"),CHOOSE(ArtifactsInput!$N$22+1,10,12,14,16,18,20)*((0*(((0.15*B1689*5))^0/1)+1*(((0.15*B1689*5))^1/1)+2*(((0.15*B1689*5))^2/2)+3*(((0.15*B1689*5))^3/6)+4*(((0.15*B1689*5))^4/24)+5*(((0.15*B1689*5))^5/120))/((((0.15*B1689*5))^0/1)+(((0.15*B1689*5))^1/1)+(((0.15*B1689*5))^2/2)+(((0.15*B1689*5))^3/6)+(((0.15*B1689*5))^4/24)+(((0.15*B1689*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1665*(1-MIN(100,(Inputs!$B$9+((C1677=TRUE)*(F1677-Calc!F26))+B1685+(ArtifactsInput!$M$24-ArtifactsInput!$M$24)*CHOOSE(ArtifactsInput!$N$24+1,10,12,14,16,18,20)+(IF(AND(Inputs!$B$39&lt;&gt;"pvp",Inputs!$B$44=0),1,IF(IF(Inputs!$B$39="pvp",15,Inputs!$B$44)-(B1696)&lt;=0,1,MAX(0,IF(Inputs!$B$39="pvp",15,Inputs!$B$44)-MAX(5,B1696))/(IF(Inputs!$B$39="pvp",15,Inputs!$B$44)-(B1696))))*IF(AND(ArtifactsInput!$M$42,((Inputs!$B$9+((C1677=TRUE)*(F1677-Calc!F26))+B1685+(ArtifactsInput!$M$24-ArtifactsInput!$M$24)*CHOOSE(ArtifactsInput!$N$24+1,10,12,14,16,18,20)+IF(IF(ArtifactsInput!$M$10,FALSE,TRUE),CHOOSE(ArtifactsInput!$N$10+1,15,18,21,24,27,30)*(IF(Inputs!$B$39="pvp",MIN(15,15)/15,IF(AND(Inputs!$B$39&lt;&gt;"pvp",Inputs!$B$44&gt;0),MIN(15,Inputs!$B$44)/(Inputs!$B$44),0))),0)))&lt;100),CHOOSE(ArtifactsInput!$N$42+1,30,36,42,48,54,60),0)+IF(IF(ArtifactsInput!$M$10,FALSE,TRUE),CHOOSE(ArtifactsInput!$N$10+1,15,18,21,24,27,30)*(IF(Inputs!$B$39="pvp",MIN(15,15)/15,IF(AND(Inputs!$B$39&lt;&gt;"pvp",Inputs!$B$44&gt;0),MIN(15,Inputs!$B$44)/(Inputs!$B$44),0))),0)))+IF(AND(ArtifactsInput!$M$8,Inputs!$B$39&lt;&gt;"pvp"),CHOOSE(ArtifactsInput!$N$8+1,8,9.6,11.2,12.8,14.4,16),0))/100)+M1665*(MIN(100,(Inputs!$B$9+((C1677=TRUE)*(F1677-Calc!F26))+B1685+(ArtifactsInput!$M$24-ArtifactsInput!$M$24)*CHOOSE(ArtifactsInput!$N$24+1,10,12,14,16,18,20)+(IF(AND(Inputs!$B$39&lt;&gt;"pvp",Inputs!$B$44=0),1,IF(IF(Inputs!$B$39="pvp",15,Inputs!$B$44)-(B1696)&lt;=0,1,MAX(0,IF(Inputs!$B$39="pvp",15,Inputs!$B$44)-MAX(5,B1696))/(IF(Inputs!$B$39="pvp",15,Inputs!$B$44)-(B1696))))*IF(AND(ArtifactsInput!$M$42,((Inputs!$B$9+((C1677=TRUE)*(F1677-Calc!F26))+B1685+(ArtifactsInput!$M$24-ArtifactsInput!$M$24)*CHOOSE(ArtifactsInput!$N$24+1,10,12,14,16,18,20)+IF(IF(ArtifactsInput!$M$10,FALSE,TRUE),CHOOSE(ArtifactsInput!$N$10+1,15,18,21,24,27,30)*(IF(Inputs!$B$39="pvp",MIN(15,15)/15,IF(AND(Inputs!$B$39&lt;&gt;"pvp",Inputs!$B$44&gt;0),MIN(15,Inputs!$B$44)/(Inputs!$B$44),0))),0)))&lt;100),CHOOSE(ArtifactsInput!$N$42+1,30,36,42,48,54,60),0)+IF(IF(ArtifactsInput!$M$10,FALSE,TRUE),CHOOSE(ArtifactsInput!$N$10+1,15,18,21,24,27,30)*(IF(Inputs!$B$39="pvp",MIN(15,15)/15,IF(AND(Inputs!$B$39&lt;&gt;"pvp",Inputs!$B$44&gt;0),MIN(15,Inputs!$B$44)/(Inputs!$B$44),0))),0)))+IF(AND(ArtifactsInput!$M$8,Inputs!$B$39&lt;&gt;"pvp"),CHOOSE(ArtifactsInput!$N$8+1,8,9.6,11.2,12.8,14.4,16),0))/100))/(L1665*(1-MIN(100,(Inputs!$B$9+((C1677=TRUE)*(F1677-Calc!F26))+B1685+(ArtifactsInput!$M$24-ArtifactsInput!$M$24)*CHOOSE(ArtifactsInput!$N$24+1,10,12,14,16,18,20)+(IF(AND(Inputs!$B$39&lt;&gt;"pvp",Inputs!$B$44=0),1,IF(IF(Inputs!$B$39="pvp",15,Inputs!$B$44)-(B1696)&lt;=0,1,MAX(0,IF(Inputs!$B$39="pvp",15,Inputs!$B$44)-MAX(5,B1696))/(IF(Inputs!$B$39="pvp",15,Inputs!$B$44)-(B1696))))*IF(AND(ArtifactsInput!$M$42,((Inputs!$B$9+((C1677=TRUE)*(F1677-Calc!F26))+B1685+(ArtifactsInput!$M$24-ArtifactsInput!$M$24)*CHOOSE(ArtifactsInput!$N$24+1,10,12,14,16,18,20)+IF(IF(ArtifactsInput!$M$10,FALSE,TRUE),CHOOSE(ArtifactsInput!$N$10+1,15,18,21,24,27,30)*(IF(Inputs!$B$39="pvp",MIN(15,15)/15,IF(AND(Inputs!$B$39&lt;&gt;"pvp",Inputs!$B$44&gt;0),MIN(15,Inputs!$B$44)/(Inputs!$B$44),0))),0)))&lt;100),CHOOSE(ArtifactsInput!$N$42+1,30,36,42,48,54,60),0)+IF(IF(ArtifactsInput!$M$10,FALSE,TRUE),CHOOSE(ArtifactsInput!$N$10+1,15,18,21,24,27,30)*(IF(Inputs!$B$39="pvp",MIN(15,15)/15,IF(AND(Inputs!$B$39&lt;&gt;"pvp",Inputs!$B$44&gt;0),MIN(15,Inputs!$B$44)/(Inputs!$B$44),0))),0))))/100)+M1665*(MIN(100,(Inputs!$B$9+((C1677=TRUE)*(F1677-Calc!F26))+B1685+(ArtifactsInput!$M$24-ArtifactsInput!$M$24)*CHOOSE(ArtifactsInput!$N$24+1,10,12,14,16,18,20)+(IF(AND(Inputs!$B$39&lt;&gt;"pvp",Inputs!$B$44=0),1,IF(IF(Inputs!$B$39="pvp",15,Inputs!$B$44)-(B1696)&lt;=0,1,MAX(0,IF(Inputs!$B$39="pvp",15,Inputs!$B$44)-MAX(5,B1696))/(IF(Inputs!$B$39="pvp",15,Inputs!$B$44)-(B1696))))*IF(AND(ArtifactsInput!$M$42,((Inputs!$B$9+((C1677=TRUE)*(F1677-Calc!F26))+B1685+(ArtifactsInput!$M$24-ArtifactsInput!$M$24)*CHOOSE(ArtifactsInput!$N$24+1,10,12,14,16,18,20)+IF(IF(ArtifactsInput!$M$10,FALSE,TRUE),CHOOSE(ArtifactsInput!$N$10+1,15,18,21,24,27,30)*(IF(Inputs!$B$39="pvp",MIN(15,15)/15,IF(AND(Inputs!$B$39&lt;&gt;"pvp",Inputs!$B$44&gt;0),MIN(15,Inputs!$B$44)/(Inputs!$B$44),0))),0)))&lt;100),CHOOSE(ArtifactsInput!$N$42+1,30,36,42,48,54,60),0)+IF(IF(ArtifactsInput!$M$10,FALSE,TRUE),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1665">
        <f>IF(C1665,(H1665*N1665*IF(AND(Inputs!$B$39&lt;&gt;"pvp",Inputs!$B$44&gt;0),((Skills!G14*((R1665-1)*IF(Skills!H14&gt;0,Skills!I14/Skills!H14,1)+IF(Skills!H14&gt;0,MIN(Skills!I14,MAX(0,MAX(0,Inputs!$B$44-B1696)-((R1665-1)*IF(Inputs!$B$39="pvp",15,MAX(0.1,Skills!D14-IF(TRUE=TRUE,Inputs!$B$32,0))))))/Skills!H14,1)))/Inputs!$B$44),G1665*Q1665))*IF(Inputs!$B$39="pvp",1,(1+(Inputs!$B$21+Skills!Q14+B1686+(IF(ArtifactsInput!$M$33,CHOOSE(ArtifactsInput!$N$33+1,30,36,42,48,54,60),0))+(IF(AND(ArtifactsInput!$M$35,Inputs!$B$4&lt;&gt;"Chapter Hunt"),CHOOSE(ArtifactsInput!$N$35+1,15,18,21,24,27,30)*(1-EXP(-(0.2*B1689)*5)),0)+IF(AND(ArtifactsInput!$M$22,Inputs!$B$4&lt;&gt;"Chapter Hunt"),CHOOSE(ArtifactsInput!$N$22+1,10,12,14,16,18,20)*((0*(((0.15*B1689*5))^0/1)+1*(((0.15*B1689*5))^1/1)+2*(((0.15*B1689*5))^2/2)+3*(((0.15*B1689*5))^3/6)+4*(((0.15*B1689*5))^4/24)+5*(((0.15*B1689*5))^5/120))/((((0.15*B1689*5))^0/1)+(((0.15*B1689*5))^1/1)+(((0.15*B1689*5))^2/2)+(((0.15*B1689*5))^3/6)+(((0.15*B1689*5))^4/24)+(((0.15*B1689*5))^5/120))),0)))/100)*(MIN(Skills!W14,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666">
      <c r="A1666">
        <f>Skills!A15</f>
        <v/>
      </c>
      <c r="B1666">
        <f>Skills!B15</f>
        <v/>
      </c>
      <c r="C1666">
        <f>Inputs!$B$3&gt;=107</f>
        <v/>
      </c>
      <c r="D1666">
        <f>IF(Skills!C15=1,60+Inputs!$B$25+Inputs!$B$29,IF(Skills!C15=2,90+Inputs!$B$26+Inputs!$B$29,IF(Skills!C15=3,120+Inputs!$B$27+Inputs!$B$29,MAX(0,(Inputs!$B$3-100)*3)+Inputs!$B$28+Inputs!$B$29)))</f>
        <v/>
      </c>
      <c r="E1666">
        <f>INDEX(FactorTable!$B$2:$Y$301, MATCH(ROUND(MIN(300,MAX(1,D1666)),0), FactorTable!$A$2:$A$301,0), Skills!M15+1)</f>
        <v/>
      </c>
      <c r="F1666">
        <f>IF(Skills!N15=TRUE,(Skills!L15/10)*(E1666/1000),Skills!L15/10)+Skills!O15</f>
        <v/>
      </c>
      <c r="G1666">
        <f>Skills!G15*IF(Skills!H15&gt;0,IF(Inputs!$B$39="pvp",MIN(Skills!I15,15),Skills!I15)/Skills!H15,1)</f>
        <v/>
      </c>
      <c r="H1666">
        <f>1-(1-Skills!J15/100)^Skills!K15</f>
        <v/>
      </c>
      <c r="I1666" t="inlineStr">
        <is>
          <t>1</t>
        </is>
      </c>
      <c r="J1666">
        <f>((Inputs!$B$6*(1+Inputs!$B$7/100))+(((Inputs!$B$12*(1+Inputs!$B$13/100))-(Inputs!$B$12*(1+Inputs!$B$13/100)))+0.25*(Inputs!$B$14-Inputs!$B$14))*(1+Inputs!$B$7/100))*(F1666/100)</f>
        <v/>
      </c>
      <c r="K1666">
        <f>J1666*(1+((Inputs!$B$12*(1+Inputs!$B$13/100))*0.01+Inputs!$B$14*0.0025)/100)*(1+Inputs!$B$15/100)*(1+Inputs!$B$16/100)*(5000/(6000+Inputs!$B$43*(1-(100*(1-(1-Inputs!$B$19/100)*(1-CHOOSE(ArtifactsInput!$N$40+1,5,6,7,8,9,10)/100)^(ArtifactsInput!$M$40-ArtifactsInput!$M$40)))/100)))*(1+(Inputs!$B$24+((C1682=TRUE)*(F1682-Calc!F31))+((C1669=TRUE)*(F1669-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15="CRUEL_STAB",Inputs!$B$17+((C1679=TRUE)*(F1679-Calc!F28))+((IF(AND(Inputs!$B$39&lt;&gt;"pvp",Inputs!$B$44=0),1,IF(IF(Inputs!$B$39="pvp",15,Inputs!$B$44)-(B1696)&lt;=0,1,MAX(0,IF(Inputs!$B$39="pvp",15,Inputs!$B$44)-MAX(5,B1696))/(IF(Inputs!$B$39="pvp",15,Inputs!$B$44)-(B1696))))*(IF(AND(ArtifactsInput!$M$42,((Inputs!$B$9+((C1677=TRUE)*(F1677-Calc!F26))+B1685+(ArtifactsInput!$M$24-ArtifactsInput!$M$24)*CHOOSE(ArtifactsInput!$N$24+1,10,12,14,16,18,20)+IF(IF(ArtifactsInput!$M$10,FALSE,TRUE),CHOOSE(ArtifactsInput!$N$10+1,15,18,21,24,27,30)*(IF(Inputs!$B$39="pvp",MIN(15,15)/15,IF(AND(Inputs!$B$39&lt;&gt;"pvp",Inputs!$B$44&gt;0),MIN(15,Inputs!$B$44)/(Inputs!$B$44),0))),0)))&gt;=100),MIN(100,((Inputs!$B$9+((C1677=TRUE)*(F1677-Calc!F26))+B1685+(ArtifactsInput!$M$24-ArtifactsInput!$M$24)*CHOOSE(ArtifactsInput!$N$24+1,10,12,14,16,18,20)+IF(IF(ArtifactsInput!$M$10,FALSE,TRUE),CHOOSE(ArtifactsInput!$N$10+1,15,18,21,24,27,30)*(IF(Inputs!$B$39="pvp",MIN(15,15)/15,IF(AND(Inputs!$B$39&lt;&gt;"pvp",Inputs!$B$44&gt;0),MIN(15,Inputs!$B$44)/(Inputs!$B$44),0))),0)))-100),0))*CHOOSE(ArtifactsInput!$N$42+1,0.6,0.72,0.84,0.96,1.08,1.2))),Inputs!$B$18+((C1680=TRUE)*(F1680-Calc!F29))+(IF(AND(Inputs!$B$39&lt;&gt;"pvp",Inputs!$B$44=0),1,IF(IF(Inputs!$B$39="pvp",15,Inputs!$B$44)-(B1696)&lt;=0,1,MAX(0,IF(Inputs!$B$39="pvp",15,Inputs!$B$44)-MAX(5,B1696))/(IF(Inputs!$B$39="pvp",15,Inputs!$B$44)-(B1696))))*IF(AND(ArtifactsInput!$M$42,((Inputs!$B$9+((C1677=TRUE)*(F1677-Calc!F26))+B1685+(ArtifactsInput!$M$24-ArtifactsInput!$M$24)*CHOOSE(ArtifactsInput!$N$24+1,10,12,14,16,18,20)+IF(IF(ArtifactsInput!$M$10,FALSE,TRUE),CHOOSE(ArtifactsInput!$N$10+1,15,18,21,24,27,30)*(IF(Inputs!$B$39="pvp",MIN(15,15)/15,IF(AND(Inputs!$B$39&lt;&gt;"pvp",Inputs!$B$44&gt;0),MIN(15,Inputs!$B$44)/(Inputs!$B$44),0))),0)))&gt;=100),CHOOSE(ArtifactsInput!$N$42+1,40,48,56,64,72,80),0))))/100)*(((1+(((C1673=TRUE)*F1673*IF(AND(Inputs!$B$39&lt;&gt;"pvp",Inputs!$B$44&gt;0),(((R1673-1)*MIN((Skills!Y22*(1+Inputs!$B$34/100)),(1/Q1673))+MIN((Skills!Y22*(1+Inputs!$B$34/100)),MAX(0,Inputs!$B$44-((R1673-1)*(1/Q1673)))))/Inputs!$B$44),IF(Inputs!$B$39="pvp",MIN((Skills!Y22*(1+Inputs!$B$34/100)),15)/15,MIN(1,(Skills!Y22*(1+Inputs!$B$34/100))/(1/Q1673)))))+((C1654=TRUE)*F1654*3)+((C1656=TRUE)*F1656*(1-EXP(-0.75*B1689*5)))+((C1675=TRUE)*(F1675-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1662=TRUE)*F1662*IF(AND(Inputs!$B$39&lt;&gt;"pvp",Inputs!$B$44&gt;0),(((R1662-1)*MIN((Skills!Y11*(1+Inputs!$B$34/100)),(1/Q1662))+MIN((Skills!Y11*(1+Inputs!$B$34/100)),MAX(0,Inputs!$B$44-((R1662-1)*(1/Q1662)))))/Inputs!$B$44),IF(Inputs!$B$39="pvp",MIN((Skills!Y11*(1+Inputs!$B$34/100)),15)/15,MIN(1,(Skills!Y11*(1+Inputs!$B$34/100))/(1/Q1662)))))/100)*(1+((C1667=TRUE)*F1667*IF(AND(Inputs!$B$39&lt;&gt;"pvp",Inputs!$B$44&gt;0),(((R1667-1)*MIN((Skills!Y16*(1+Inputs!$B$34/100)),(1/Q1667))+MIN((Skills!Y16*(1+Inputs!$B$34/100)),MAX(0,Inputs!$B$44-((R1667-1)*(1/Q1667)))))/Inputs!$B$44),IF(Inputs!$B$39="pvp",MIN((Skills!Y16*(1+Inputs!$B$34/100)),15)/15,MIN(1,(Skills!Y16*(1+Inputs!$B$34/100))/(1/Q1667)))))/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1687*I1666)</f>
        <v/>
      </c>
      <c r="L1666">
        <f>K1666*(MIN(Inputs!$B$22+((C1676=TRUE)*(F1676-Calc!F25)),(Inputs!$B$23+((C1681=TRUE)*(F1681-Calc!F30))+IF(ArtifactsInput!$M$15,CHOOSE(ArtifactsInput!$N$15+1,25,30,35,40,45,50)/100*(Inputs!$B$11-Inputs!$B$11),0)))/100+(Inputs!$B$23+((C1681=TRUE)*(F1681-Calc!F30))+IF(ArtifactsInput!$M$15,CHOOSE(ArtifactsInput!$N$15+1,25,30,35,40,45,50)/100*(Inputs!$B$11-Inputs!$B$11),0))/100)/2</f>
        <v/>
      </c>
      <c r="M1666">
        <f>L1666*(1+(Inputs!$B$10+((C1678=TRUE)*(F1678-Calc!F27))+B1692+(IF(ArtifactsInput!$M$24,CHOOSE(ArtifactsInput!$N$24+1,30,36,42,48,54,60)/100*(Inputs!$B$9-Inputs!$B$9),0)+IF(IF(ArtifactsInput!$M$10,FALSE,TRUE),CHOOSE(ArtifactsInput!$N$10+1,20,24,28,32,36,40)*(IF(Inputs!$B$39="pvp",MIN(15,15)/15,IF(AND(Inputs!$B$39&lt;&gt;"pvp",Inputs!$B$44&gt;0),MIN(15,Inputs!$B$44)/(Inputs!$B$44),0))),0)+IF(ArtifactsInput!$M$31,1.5*CHOOSE(ArtifactsInput!$N$31+1,20,24,28,32,36,40),0)))/100)</f>
        <v/>
      </c>
      <c r="N1666">
        <f>L1666*(1-MIN((Inputs!$B$9+((C1677=TRUE)*(F1677-Calc!F26))+B1685+(ArtifactsInput!$M$24-ArtifactsInput!$M$24)*CHOOSE(ArtifactsInput!$N$24+1,10,12,14,16,18,20)+(IF(AND(Inputs!$B$39&lt;&gt;"pvp",Inputs!$B$44=0),1,IF(IF(Inputs!$B$39="pvp",15,Inputs!$B$44)-(B1696)&lt;=0,1,MAX(0,IF(Inputs!$B$39="pvp",15,Inputs!$B$44)-MAX(5,B1696))/(IF(Inputs!$B$39="pvp",15,Inputs!$B$44)-(B1696))))*IF(AND(ArtifactsInput!$M$42,((Inputs!$B$9+((C1677=TRUE)*(F1677-Calc!F26))+B1685+(ArtifactsInput!$M$24-ArtifactsInput!$M$24)*CHOOSE(ArtifactsInput!$N$24+1,10,12,14,16,18,20)+IF(IF(ArtifactsInput!$M$10,FALSE,TRUE),CHOOSE(ArtifactsInput!$N$10+1,15,18,21,24,27,30)*(IF(Inputs!$B$39="pvp",MIN(15,15)/15,IF(AND(Inputs!$B$39&lt;&gt;"pvp",Inputs!$B$44&gt;0),MIN(15,Inputs!$B$44)/(Inputs!$B$44),0))),0)))&lt;100),CHOOSE(ArtifactsInput!$N$42+1,30,36,42,48,54,60),0)+IF(IF(ArtifactsInput!$M$10,FALSE,TRUE),CHOOSE(ArtifactsInput!$N$10+1,15,18,21,24,27,30)*(IF(Inputs!$B$39="pvp",MIN(15,15)/15,IF(AND(Inputs!$B$39&lt;&gt;"pvp",Inputs!$B$44&gt;0),MIN(15,Inputs!$B$44)/(Inputs!$B$44),0))),0))),100)/100)+M1666*(MIN((Inputs!$B$9+((C1677=TRUE)*(F1677-Calc!F26))+B1685+(ArtifactsInput!$M$24-ArtifactsInput!$M$24)*CHOOSE(ArtifactsInput!$N$24+1,10,12,14,16,18,20)+(IF(AND(Inputs!$B$39&lt;&gt;"pvp",Inputs!$B$44=0),1,IF(IF(Inputs!$B$39="pvp",15,Inputs!$B$44)-(B1696)&lt;=0,1,MAX(0,IF(Inputs!$B$39="pvp",15,Inputs!$B$44)-MAX(5,B1696))/(IF(Inputs!$B$39="pvp",15,Inputs!$B$44)-(B1696))))*IF(AND(ArtifactsInput!$M$42,((Inputs!$B$9+((C1677=TRUE)*(F1677-Calc!F26))+B1685+(ArtifactsInput!$M$24-ArtifactsInput!$M$24)*CHOOSE(ArtifactsInput!$N$24+1,10,12,14,16,18,20)+IF(IF(ArtifactsInput!$M$10,FALSE,TRUE),CHOOSE(ArtifactsInput!$N$10+1,15,18,21,24,27,30)*(IF(Inputs!$B$39="pvp",MIN(15,15)/15,IF(AND(Inputs!$B$39&lt;&gt;"pvp",Inputs!$B$44&gt;0),MIN(15,Inputs!$B$44)/(Inputs!$B$44),0))),0)))&lt;100),CHOOSE(ArtifactsInput!$N$42+1,30,36,42,48,54,60),0)+IF(IF(ArtifactsInput!$M$10,FALSE,TRUE),CHOOSE(ArtifactsInput!$N$10+1,15,18,21,24,27,30)*(IF(Inputs!$B$39="pvp",MIN(15,15)/15,IF(AND(Inputs!$B$39&lt;&gt;"pvp",Inputs!$B$44&gt;0),MIN(15,Inputs!$B$44)/(Inputs!$B$44),0))),0))),100)/100)</f>
        <v/>
      </c>
      <c r="O1666">
        <f>(1-Summary!$B$11)*T1666+Summary!$B$11*V1666</f>
        <v/>
      </c>
      <c r="P1666">
        <f>IF(B1697=0,0,O1666/B1697)</f>
        <v/>
      </c>
      <c r="Q1666">
        <f>IFERROR(1/IF(Inputs!$B$39="pvp",15,MAX(0.1,Skills!D15-IF(TRUE=TRUE,Inputs!$B$32,0))),0)</f>
        <v/>
      </c>
      <c r="R1666">
        <f>IF(AND(Inputs!$B$39&lt;&gt;"pvp",Inputs!$B$44&gt;0),IF(MAX(0,Inputs!$B$44-B1696)&lt;=0,0,(INT(MAX(0,Inputs!$B$44-B1696)/IF(Inputs!$B$39="pvp",15,MAX(0.1,Skills!D15-IF(TRUE=TRUE,Inputs!$B$32,0))))+1)),0)</f>
        <v/>
      </c>
      <c r="S1666">
        <f>IFERROR(O1666/N1666,0)</f>
        <v/>
      </c>
      <c r="T1666">
        <f>IF(C1666,(H1666*N1666*IF(AND(Inputs!$B$39&lt;&gt;"pvp",Inputs!$B$44&gt;0),((Skills!G15*((R1666-1)*IF(Skills!H15&gt;0,Skills!I15/Skills!H15,1)+IF(Skills!H15&gt;0,MIN(Skills!I15,MAX(0,MAX(0,Inputs!$B$44-B1696)-((R1666-1)*IF(Inputs!$B$39="pvp",15,MAX(0.1,Skills!D15-IF(TRUE=TRUE,Inputs!$B$32,0))))))/Skills!H15,1)))/Inputs!$B$44),G1666*Q1666))*IF(Inputs!$B$39="pvp",1,1+(Inputs!$B$20+0+Skills!P15+B1686+(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Hunt"),CHOOSE(ArtifactsInput!$N$35+1,15,18,21,24,27,30)*(1-EXP(-(0.2*B1689)*5)),0)+IF(AND(ArtifactsInput!$M$22,Inputs!$B$4&lt;&gt;"Chapter Hunt"),CHOOSE(ArtifactsInput!$N$22+1,10,12,14,16,18,20)*((0*(((0.15*B1689*5))^0/1)+1*(((0.15*B1689*5))^1/1)+2*(((0.15*B1689*5))^2/2)+3*(((0.15*B1689*5))^3/6)+4*(((0.15*B1689*5))^4/24)+5*(((0.15*B1689*5))^5/120))/((((0.15*B1689*5))^0/1)+(((0.15*B1689*5))^1/1)+(((0.15*B1689*5))^2/2)+(((0.15*B1689*5))^3/6)+(((0.15*B1689*5))^4/24)+(((0.15*B1689*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1666*(1-MIN(100,(Inputs!$B$9+((C1677=TRUE)*(F1677-Calc!F26))+B1685+(ArtifactsInput!$M$24-ArtifactsInput!$M$24)*CHOOSE(ArtifactsInput!$N$24+1,10,12,14,16,18,20)+(IF(AND(Inputs!$B$39&lt;&gt;"pvp",Inputs!$B$44=0),1,IF(IF(Inputs!$B$39="pvp",15,Inputs!$B$44)-(B1696)&lt;=0,1,MAX(0,IF(Inputs!$B$39="pvp",15,Inputs!$B$44)-MAX(5,B1696))/(IF(Inputs!$B$39="pvp",15,Inputs!$B$44)-(B1696))))*IF(AND(ArtifactsInput!$M$42,((Inputs!$B$9+((C1677=TRUE)*(F1677-Calc!F26))+B1685+(ArtifactsInput!$M$24-ArtifactsInput!$M$24)*CHOOSE(ArtifactsInput!$N$24+1,10,12,14,16,18,20)+IF(IF(ArtifactsInput!$M$10,FALSE,TRUE),CHOOSE(ArtifactsInput!$N$10+1,15,18,21,24,27,30)*(IF(Inputs!$B$39="pvp",MIN(15,15)/15,IF(AND(Inputs!$B$39&lt;&gt;"pvp",Inputs!$B$44&gt;0),MIN(15,Inputs!$B$44)/(Inputs!$B$44),0))),0)))&lt;100),CHOOSE(ArtifactsInput!$N$42+1,30,36,42,48,54,60),0)+IF(IF(ArtifactsInput!$M$10,FALSE,TRUE),CHOOSE(ArtifactsInput!$N$10+1,15,18,21,24,27,30)*(IF(Inputs!$B$39="pvp",MIN(15,15)/15,IF(AND(Inputs!$B$39&lt;&gt;"pvp",Inputs!$B$44&gt;0),MIN(15,Inputs!$B$44)/(Inputs!$B$44),0))),0)))+IF(AND(ArtifactsInput!$M$8,Inputs!$B$39&lt;&gt;"pvp"),CHOOSE(ArtifactsInput!$N$8+1,8,9.6,11.2,12.8,14.4,16),0))/100)+M1666*(MIN(100,(Inputs!$B$9+((C1677=TRUE)*(F1677-Calc!F26))+B1685+(ArtifactsInput!$M$24-ArtifactsInput!$M$24)*CHOOSE(ArtifactsInput!$N$24+1,10,12,14,16,18,20)+(IF(AND(Inputs!$B$39&lt;&gt;"pvp",Inputs!$B$44=0),1,IF(IF(Inputs!$B$39="pvp",15,Inputs!$B$44)-(B1696)&lt;=0,1,MAX(0,IF(Inputs!$B$39="pvp",15,Inputs!$B$44)-MAX(5,B1696))/(IF(Inputs!$B$39="pvp",15,Inputs!$B$44)-(B1696))))*IF(AND(ArtifactsInput!$M$42,((Inputs!$B$9+((C1677=TRUE)*(F1677-Calc!F26))+B1685+(ArtifactsInput!$M$24-ArtifactsInput!$M$24)*CHOOSE(ArtifactsInput!$N$24+1,10,12,14,16,18,20)+IF(IF(ArtifactsInput!$M$10,FALSE,TRUE),CHOOSE(ArtifactsInput!$N$10+1,15,18,21,24,27,30)*(IF(Inputs!$B$39="pvp",MIN(15,15)/15,IF(AND(Inputs!$B$39&lt;&gt;"pvp",Inputs!$B$44&gt;0),MIN(15,Inputs!$B$44)/(Inputs!$B$44),0))),0)))&lt;100),CHOOSE(ArtifactsInput!$N$42+1,30,36,42,48,54,60),0)+IF(IF(ArtifactsInput!$M$10,FALSE,TRUE),CHOOSE(ArtifactsInput!$N$10+1,15,18,21,24,27,30)*(IF(Inputs!$B$39="pvp",MIN(15,15)/15,IF(AND(Inputs!$B$39&lt;&gt;"pvp",Inputs!$B$44&gt;0),MIN(15,Inputs!$B$44)/(Inputs!$B$44),0))),0)))+IF(AND(ArtifactsInput!$M$8,Inputs!$B$39&lt;&gt;"pvp"),CHOOSE(ArtifactsInput!$N$8+1,8,9.6,11.2,12.8,14.4,16),0))/100))/(L1666*(1-MIN(100,(Inputs!$B$9+((C1677=TRUE)*(F1677-Calc!F26))+B1685+(ArtifactsInput!$M$24-ArtifactsInput!$M$24)*CHOOSE(ArtifactsInput!$N$24+1,10,12,14,16,18,20)+(IF(AND(Inputs!$B$39&lt;&gt;"pvp",Inputs!$B$44=0),1,IF(IF(Inputs!$B$39="pvp",15,Inputs!$B$44)-(B1696)&lt;=0,1,MAX(0,IF(Inputs!$B$39="pvp",15,Inputs!$B$44)-MAX(5,B1696))/(IF(Inputs!$B$39="pvp",15,Inputs!$B$44)-(B1696))))*IF(AND(ArtifactsInput!$M$42,((Inputs!$B$9+((C1677=TRUE)*(F1677-Calc!F26))+B1685+(ArtifactsInput!$M$24-ArtifactsInput!$M$24)*CHOOSE(ArtifactsInput!$N$24+1,10,12,14,16,18,20)+IF(IF(ArtifactsInput!$M$10,FALSE,TRUE),CHOOSE(ArtifactsInput!$N$10+1,15,18,21,24,27,30)*(IF(Inputs!$B$39="pvp",MIN(15,15)/15,IF(AND(Inputs!$B$39&lt;&gt;"pvp",Inputs!$B$44&gt;0),MIN(15,Inputs!$B$44)/(Inputs!$B$44),0))),0)))&lt;100),CHOOSE(ArtifactsInput!$N$42+1,30,36,42,48,54,60),0)+IF(IF(ArtifactsInput!$M$10,FALSE,TRUE),CHOOSE(ArtifactsInput!$N$10+1,15,18,21,24,27,30)*(IF(Inputs!$B$39="pvp",MIN(15,15)/15,IF(AND(Inputs!$B$39&lt;&gt;"pvp",Inputs!$B$44&gt;0),MIN(15,Inputs!$B$44)/(Inputs!$B$44),0))),0))))/100)+M1666*(MIN(100,(Inputs!$B$9+((C1677=TRUE)*(F1677-Calc!F26))+B1685+(ArtifactsInput!$M$24-ArtifactsInput!$M$24)*CHOOSE(ArtifactsInput!$N$24+1,10,12,14,16,18,20)+(IF(AND(Inputs!$B$39&lt;&gt;"pvp",Inputs!$B$44=0),1,IF(IF(Inputs!$B$39="pvp",15,Inputs!$B$44)-(B1696)&lt;=0,1,MAX(0,IF(Inputs!$B$39="pvp",15,Inputs!$B$44)-MAX(5,B1696))/(IF(Inputs!$B$39="pvp",15,Inputs!$B$44)-(B1696))))*IF(AND(ArtifactsInput!$M$42,((Inputs!$B$9+((C1677=TRUE)*(F1677-Calc!F26))+B1685+(ArtifactsInput!$M$24-ArtifactsInput!$M$24)*CHOOSE(ArtifactsInput!$N$24+1,10,12,14,16,18,20)+IF(IF(ArtifactsInput!$M$10,FALSE,TRUE),CHOOSE(ArtifactsInput!$N$10+1,15,18,21,24,27,30)*(IF(Inputs!$B$39="pvp",MIN(15,15)/15,IF(AND(Inputs!$B$39&lt;&gt;"pvp",Inputs!$B$44&gt;0),MIN(15,Inputs!$B$44)/(Inputs!$B$44),0))),0)))&lt;100),CHOOSE(ArtifactsInput!$N$42+1,30,36,42,48,54,60),0)+IF(IF(ArtifactsInput!$M$10,FALSE,TRUE),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1666">
        <f>IF(C1666,(H1666*N1666*IF(AND(Inputs!$B$39&lt;&gt;"pvp",Inputs!$B$44&gt;0),((Skills!G15*((R1666-1)*IF(Skills!H15&gt;0,Skills!I15/Skills!H15,1)+IF(Skills!H15&gt;0,MIN(Skills!I15,MAX(0,MAX(0,Inputs!$B$44-B1696)-((R1666-1)*IF(Inputs!$B$39="pvp",15,MAX(0.1,Skills!D15-IF(TRUE=TRUE,Inputs!$B$32,0))))))/Skills!H15,1)))/Inputs!$B$44),G1666*Q1666))*IF(Inputs!$B$39="pvp",1,(1+(Inputs!$B$21+Skills!Q15+B1686+(IF(ArtifactsInput!$M$33,CHOOSE(ArtifactsInput!$N$33+1,30,36,42,48,54,60),0))+(IF(AND(ArtifactsInput!$M$35,Inputs!$B$4&lt;&gt;"Chapter Hunt"),CHOOSE(ArtifactsInput!$N$35+1,15,18,21,24,27,30)*(1-EXP(-(0.2*B1689)*5)),0)+IF(AND(ArtifactsInput!$M$22,Inputs!$B$4&lt;&gt;"Chapter Hunt"),CHOOSE(ArtifactsInput!$N$22+1,10,12,14,16,18,20)*((0*(((0.15*B1689*5))^0/1)+1*(((0.15*B1689*5))^1/1)+2*(((0.15*B1689*5))^2/2)+3*(((0.15*B1689*5))^3/6)+4*(((0.15*B1689*5))^4/24)+5*(((0.15*B1689*5))^5/120))/((((0.15*B1689*5))^0/1)+(((0.15*B1689*5))^1/1)+(((0.15*B1689*5))^2/2)+(((0.15*B1689*5))^3/6)+(((0.15*B1689*5))^4/24)+(((0.15*B1689*5))^5/120))),0)))/100)*(MIN(MIN(5,0.5*IF(Inputs!$B$3&gt;=75,0.75,0.5)*B1689*(1/Q1655))*Skills!V15,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667">
      <c r="A1667">
        <f>Skills!A16</f>
        <v/>
      </c>
      <c r="B1667">
        <f>Skills!B16</f>
        <v/>
      </c>
      <c r="C1667">
        <f>Inputs!$B$3&gt;=110</f>
        <v/>
      </c>
      <c r="D1667">
        <f>IF(Skills!C16=1,60+Inputs!$B$25+Inputs!$B$29,IF(Skills!C16=2,90+Inputs!$B$26+Inputs!$B$29,IF(Skills!C16=3,120+Inputs!$B$27+Inputs!$B$29,MAX(0,(Inputs!$B$3-100)*3)+Inputs!$B$28+Inputs!$B$29)))</f>
        <v/>
      </c>
      <c r="E1667">
        <f>INDEX(FactorTable!$B$2:$Y$301, MATCH(ROUND(MIN(300,MAX(1,D1667)),0), FactorTable!$A$2:$A$301,0), Skills!M16+1)</f>
        <v/>
      </c>
      <c r="F1667">
        <f>IF(Skills!N16=TRUE,(Skills!L16/10)*(E1667/1000),Skills!L16/10)+Skills!O16</f>
        <v/>
      </c>
      <c r="G1667">
        <f>Skills!G16*IF(Skills!H16&gt;0,IF(Inputs!$B$39="pvp",MIN(Skills!I16,15),Skills!I16)/Skills!H16,1)</f>
        <v/>
      </c>
      <c r="H1667">
        <f>1-(1-Skills!J16/100)^Skills!K16</f>
        <v/>
      </c>
      <c r="I1667" t="inlineStr">
        <is>
          <t>1</t>
        </is>
      </c>
      <c r="J1667" t="inlineStr"/>
      <c r="K1667" t="inlineStr"/>
      <c r="L1667" t="inlineStr"/>
      <c r="M1667" t="inlineStr"/>
      <c r="N1667" t="inlineStr"/>
      <c r="O1667">
        <f>(1-Summary!$B$11)*T1667+Summary!$B$11*V1667</f>
        <v/>
      </c>
      <c r="P1667">
        <f>IF(B1697=0,0,O1667/B1697)</f>
        <v/>
      </c>
      <c r="Q1667">
        <f>IFERROR(1/IF(Inputs!$B$39="pvp",15,MAX(0.1,Skills!D16-IF(TRUE=TRUE,Inputs!$B$32,0))),0)</f>
        <v/>
      </c>
      <c r="R1667">
        <f>IF(AND(Inputs!$B$39&lt;&gt;"pvp",Inputs!$B$44&gt;0),IF(Inputs!$B$44&lt;=0,0,(INT(Inputs!$B$44/IF(Inputs!$B$39="pvp",15,MAX(0.1,Skills!D16-IF(TRUE=TRUE,Inputs!$B$32,0))))+1)),0)</f>
        <v/>
      </c>
      <c r="S1667">
        <f>IFERROR(O1667/N1667,0)</f>
        <v/>
      </c>
      <c r="T1667" t="n">
        <v>0</v>
      </c>
      <c r="V1667" t="n">
        <v>0</v>
      </c>
    </row>
    <row r="1668">
      <c r="A1668">
        <f>Skills!A17</f>
        <v/>
      </c>
      <c r="B1668">
        <f>Skills!B17</f>
        <v/>
      </c>
      <c r="C1668">
        <f>Inputs!$B$3&gt;=115</f>
        <v/>
      </c>
      <c r="D1668">
        <f>IF(Skills!C17=1,60+Inputs!$B$25+Inputs!$B$29,IF(Skills!C17=2,90+Inputs!$B$26+Inputs!$B$29,IF(Skills!C17=3,120+Inputs!$B$27+Inputs!$B$29,MAX(0,(Inputs!$B$3-100)*3)+Inputs!$B$28+Inputs!$B$29)))</f>
        <v/>
      </c>
      <c r="E1668">
        <f>INDEX(FactorTable!$B$2:$Y$301, MATCH(ROUND(MIN(300,MAX(1,D1668)),0), FactorTable!$A$2:$A$301,0), Skills!M17+1)</f>
        <v/>
      </c>
      <c r="F1668">
        <f>IF(Skills!N17=TRUE,(Skills!L17/10)*(E1668/1000),Skills!L17/10)+Skills!O17</f>
        <v/>
      </c>
      <c r="G1668">
        <f>Skills!G17*IF(Skills!H17&gt;0,IF(Inputs!$B$39="pvp",MIN(Skills!I17,15),Skills!I17)/Skills!H17,1)</f>
        <v/>
      </c>
      <c r="H1668">
        <f>1-(1-Skills!J17/100)^Skills!K17</f>
        <v/>
      </c>
      <c r="I1668" t="inlineStr">
        <is>
          <t>1</t>
        </is>
      </c>
      <c r="J1668">
        <f>((Inputs!$B$6*(1+Inputs!$B$7/100))+(((Inputs!$B$12*(1+Inputs!$B$13/100))-(Inputs!$B$12*(1+Inputs!$B$13/100)))+0.25*(Inputs!$B$14-Inputs!$B$14))*(1+Inputs!$B$7/100))*(F1668/100)</f>
        <v/>
      </c>
      <c r="K1668">
        <f>J1668*(1+((Inputs!$B$12*(1+Inputs!$B$13/100))*0.01+Inputs!$B$14*0.0025)/100)*(1+Inputs!$B$15/100)*(1+Inputs!$B$16/100)*(5000/(6000+Inputs!$B$43*(1-(100*(1-(1-Inputs!$B$19/100)*(1-CHOOSE(ArtifactsInput!$N$40+1,5,6,7,8,9,10)/100)^(ArtifactsInput!$M$40-ArtifactsInput!$M$40)))/100)))*(1+(Inputs!$B$24+((C1682=TRUE)*(F1682-Calc!F31))+((C1669=TRUE)*(F1669-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17="CRUEL_STAB",Inputs!$B$17+((C1679=TRUE)*(F1679-Calc!F28))+((IF(AND(Inputs!$B$39&lt;&gt;"pvp",Inputs!$B$44=0),1,IF(IF(Inputs!$B$39="pvp",15,Inputs!$B$44)-(B1696)&lt;=0,1,MAX(0,IF(Inputs!$B$39="pvp",15,Inputs!$B$44)-MAX(5,B1696))/(IF(Inputs!$B$39="pvp",15,Inputs!$B$44)-(B1696))))*(IF(AND(ArtifactsInput!$M$42,((Inputs!$B$9+((C1677=TRUE)*(F1677-Calc!F26))+B1685+(ArtifactsInput!$M$24-ArtifactsInput!$M$24)*CHOOSE(ArtifactsInput!$N$24+1,10,12,14,16,18,20)+IF(IF(ArtifactsInput!$M$10,FALSE,TRUE),CHOOSE(ArtifactsInput!$N$10+1,15,18,21,24,27,30)*(IF(Inputs!$B$39="pvp",MIN(15,15)/15,IF(AND(Inputs!$B$39&lt;&gt;"pvp",Inputs!$B$44&gt;0),MIN(15,Inputs!$B$44)/(Inputs!$B$44),0))),0)))&gt;=100),MIN(100,((Inputs!$B$9+((C1677=TRUE)*(F1677-Calc!F26))+B1685+(ArtifactsInput!$M$24-ArtifactsInput!$M$24)*CHOOSE(ArtifactsInput!$N$24+1,10,12,14,16,18,20)+IF(IF(ArtifactsInput!$M$10,FALSE,TRUE),CHOOSE(ArtifactsInput!$N$10+1,15,18,21,24,27,30)*(IF(Inputs!$B$39="pvp",MIN(15,15)/15,IF(AND(Inputs!$B$39&lt;&gt;"pvp",Inputs!$B$44&gt;0),MIN(15,Inputs!$B$44)/(Inputs!$B$44),0))),0)))-100),0))*CHOOSE(ArtifactsInput!$N$42+1,0.6,0.72,0.84,0.96,1.08,1.2))),Inputs!$B$18+((C1680=TRUE)*(F1680-Calc!F29))+(IF(AND(Inputs!$B$39&lt;&gt;"pvp",Inputs!$B$44=0),1,IF(IF(Inputs!$B$39="pvp",15,Inputs!$B$44)-(B1696)&lt;=0,1,MAX(0,IF(Inputs!$B$39="pvp",15,Inputs!$B$44)-MAX(5,B1696))/(IF(Inputs!$B$39="pvp",15,Inputs!$B$44)-(B1696))))*IF(AND(ArtifactsInput!$M$42,((Inputs!$B$9+((C1677=TRUE)*(F1677-Calc!F26))+B1685+(ArtifactsInput!$M$24-ArtifactsInput!$M$24)*CHOOSE(ArtifactsInput!$N$24+1,10,12,14,16,18,20)+IF(IF(ArtifactsInput!$M$10,FALSE,TRUE),CHOOSE(ArtifactsInput!$N$10+1,15,18,21,24,27,30)*(IF(Inputs!$B$39="pvp",MIN(15,15)/15,IF(AND(Inputs!$B$39&lt;&gt;"pvp",Inputs!$B$44&gt;0),MIN(15,Inputs!$B$44)/(Inputs!$B$44),0))),0)))&gt;=100),CHOOSE(ArtifactsInput!$N$42+1,40,48,56,64,72,80),0))))/100)*(((1+(((C1673=TRUE)*F1673*IF(AND(Inputs!$B$39&lt;&gt;"pvp",Inputs!$B$44&gt;0),(((R1673-1)*MIN((Skills!Y22*(1+Inputs!$B$34/100)),(1/Q1673))+MIN((Skills!Y22*(1+Inputs!$B$34/100)),MAX(0,Inputs!$B$44-((R1673-1)*(1/Q1673)))))/Inputs!$B$44),IF(Inputs!$B$39="pvp",MIN((Skills!Y22*(1+Inputs!$B$34/100)),15)/15,MIN(1,(Skills!Y22*(1+Inputs!$B$34/100))/(1/Q1673)))))+((C1654=TRUE)*F1654*3)+((C1656=TRUE)*F1656*(1-EXP(-0.75*B1689*5)))+((C1675=TRUE)*(F1675-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1662=TRUE)*F1662*IF(AND(Inputs!$B$39&lt;&gt;"pvp",Inputs!$B$44&gt;0),(((R1662-1)*MIN((Skills!Y11*(1+Inputs!$B$34/100)),(1/Q1662))+MIN((Skills!Y11*(1+Inputs!$B$34/100)),MAX(0,Inputs!$B$44-((R1662-1)*(1/Q1662)))))/Inputs!$B$44),IF(Inputs!$B$39="pvp",MIN((Skills!Y11*(1+Inputs!$B$34/100)),15)/15,MIN(1,(Skills!Y11*(1+Inputs!$B$34/100))/(1/Q1662)))))/100)*(1+((C1667=TRUE)*F1667*IF(AND(Inputs!$B$39&lt;&gt;"pvp",Inputs!$B$44&gt;0),(((R1667-1)*MIN((Skills!Y16*(1+Inputs!$B$34/100)),(1/Q1667))+MIN((Skills!Y16*(1+Inputs!$B$34/100)),MAX(0,Inputs!$B$44-((R1667-1)*(1/Q1667)))))/Inputs!$B$44),IF(Inputs!$B$39="pvp",MIN((Skills!Y16*(1+Inputs!$B$34/100)),15)/15,MIN(1,(Skills!Y16*(1+Inputs!$B$34/100))/(1/Q1667)))))/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1687*I1668)</f>
        <v/>
      </c>
      <c r="L1668">
        <f>K1668*(MIN(Inputs!$B$22+((C1676=TRUE)*(F1676-Calc!F25)),(Inputs!$B$23+((C1681=TRUE)*(F1681-Calc!F30))+IF(ArtifactsInput!$M$15,CHOOSE(ArtifactsInput!$N$15+1,25,30,35,40,45,50)/100*(Inputs!$B$11-Inputs!$B$11),0)))/100+(Inputs!$B$23+((C1681=TRUE)*(F1681-Calc!F30))+IF(ArtifactsInput!$M$15,CHOOSE(ArtifactsInput!$N$15+1,25,30,35,40,45,50)/100*(Inputs!$B$11-Inputs!$B$11),0))/100)/2</f>
        <v/>
      </c>
      <c r="M1668">
        <f>L1668*(1+(Inputs!$B$10+((C1678=TRUE)*(F1678-Calc!F27))+B1692+(IF(ArtifactsInput!$M$24,CHOOSE(ArtifactsInput!$N$24+1,30,36,42,48,54,60)/100*(Inputs!$B$9-Inputs!$B$9),0)+IF(IF(ArtifactsInput!$M$10,FALSE,TRUE),CHOOSE(ArtifactsInput!$N$10+1,20,24,28,32,36,40)*(IF(Inputs!$B$39="pvp",MIN(15,15)/15,IF(AND(Inputs!$B$39&lt;&gt;"pvp",Inputs!$B$44&gt;0),MIN(15,Inputs!$B$44)/(Inputs!$B$44),0))),0)+IF(ArtifactsInput!$M$31,1.5*CHOOSE(ArtifactsInput!$N$31+1,20,24,28,32,36,40),0)))/100)</f>
        <v/>
      </c>
      <c r="N1668">
        <f>L1668*(1-MIN((Inputs!$B$9+((C1677=TRUE)*(F1677-Calc!F26))+B1685+(ArtifactsInput!$M$24-ArtifactsInput!$M$24)*CHOOSE(ArtifactsInput!$N$24+1,10,12,14,16,18,20)+(IF(AND(Inputs!$B$39&lt;&gt;"pvp",Inputs!$B$44=0),1,IF(IF(Inputs!$B$39="pvp",15,Inputs!$B$44)-(B1696)&lt;=0,1,MAX(0,IF(Inputs!$B$39="pvp",15,Inputs!$B$44)-MAX(5,B1696))/(IF(Inputs!$B$39="pvp",15,Inputs!$B$44)-(B1696))))*IF(AND(ArtifactsInput!$M$42,((Inputs!$B$9+((C1677=TRUE)*(F1677-Calc!F26))+B1685+(ArtifactsInput!$M$24-ArtifactsInput!$M$24)*CHOOSE(ArtifactsInput!$N$24+1,10,12,14,16,18,20)+IF(IF(ArtifactsInput!$M$10,FALSE,TRUE),CHOOSE(ArtifactsInput!$N$10+1,15,18,21,24,27,30)*(IF(Inputs!$B$39="pvp",MIN(15,15)/15,IF(AND(Inputs!$B$39&lt;&gt;"pvp",Inputs!$B$44&gt;0),MIN(15,Inputs!$B$44)/(Inputs!$B$44),0))),0)))&lt;100),CHOOSE(ArtifactsInput!$N$42+1,30,36,42,48,54,60),0)+IF(IF(ArtifactsInput!$M$10,FALSE,TRUE),CHOOSE(ArtifactsInput!$N$10+1,15,18,21,24,27,30)*(IF(Inputs!$B$39="pvp",MIN(15,15)/15,IF(AND(Inputs!$B$39&lt;&gt;"pvp",Inputs!$B$44&gt;0),MIN(15,Inputs!$B$44)/(Inputs!$B$44),0))),0))),100)/100)+M1668*(MIN((Inputs!$B$9+((C1677=TRUE)*(F1677-Calc!F26))+B1685+(ArtifactsInput!$M$24-ArtifactsInput!$M$24)*CHOOSE(ArtifactsInput!$N$24+1,10,12,14,16,18,20)+(IF(AND(Inputs!$B$39&lt;&gt;"pvp",Inputs!$B$44=0),1,IF(IF(Inputs!$B$39="pvp",15,Inputs!$B$44)-(B1696)&lt;=0,1,MAX(0,IF(Inputs!$B$39="pvp",15,Inputs!$B$44)-MAX(5,B1696))/(IF(Inputs!$B$39="pvp",15,Inputs!$B$44)-(B1696))))*IF(AND(ArtifactsInput!$M$42,((Inputs!$B$9+((C1677=TRUE)*(F1677-Calc!F26))+B1685+(ArtifactsInput!$M$24-ArtifactsInput!$M$24)*CHOOSE(ArtifactsInput!$N$24+1,10,12,14,16,18,20)+IF(IF(ArtifactsInput!$M$10,FALSE,TRUE),CHOOSE(ArtifactsInput!$N$10+1,15,18,21,24,27,30)*(IF(Inputs!$B$39="pvp",MIN(15,15)/15,IF(AND(Inputs!$B$39&lt;&gt;"pvp",Inputs!$B$44&gt;0),MIN(15,Inputs!$B$44)/(Inputs!$B$44),0))),0)))&lt;100),CHOOSE(ArtifactsInput!$N$42+1,30,36,42,48,54,60),0)+IF(IF(ArtifactsInput!$M$10,FALSE,TRUE),CHOOSE(ArtifactsInput!$N$10+1,15,18,21,24,27,30)*(IF(Inputs!$B$39="pvp",MIN(15,15)/15,IF(AND(Inputs!$B$39&lt;&gt;"pvp",Inputs!$B$44&gt;0),MIN(15,Inputs!$B$44)/(Inputs!$B$44),0))),0))),100)/100)</f>
        <v/>
      </c>
      <c r="O1668">
        <f>(1-Summary!$B$11)*T1668+Summary!$B$11*V1668</f>
        <v/>
      </c>
      <c r="P1668">
        <f>IF(B1697=0,0,O1668/B1697)</f>
        <v/>
      </c>
      <c r="Q1668" t="n">
        <v>0</v>
      </c>
      <c r="R1668" t="n">
        <v>0</v>
      </c>
      <c r="S1668">
        <f>IFERROR(O1668/N1668,0)</f>
        <v/>
      </c>
      <c r="T1668">
        <f>IF(C1668,(Inputs!$B$38*0.2*N1668)*IF(Inputs!$B$39="pvp",1,1+(Inputs!$B$20+0+Skills!P17+B1686+(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Hunt"),CHOOSE(ArtifactsInput!$N$35+1,15,18,21,24,27,30)*(1-EXP(-(0.2*B1689)*5)),0)+IF(AND(ArtifactsInput!$M$22,Inputs!$B$4&lt;&gt;"Chapter Hunt"),CHOOSE(ArtifactsInput!$N$22+1,10,12,14,16,18,20)*((0*(((0.15*B1689*5))^0/1)+1*(((0.15*B1689*5))^1/1)+2*(((0.15*B1689*5))^2/2)+3*(((0.15*B1689*5))^3/6)+4*(((0.15*B1689*5))^4/24)+5*(((0.15*B1689*5))^5/120))/((((0.15*B1689*5))^0/1)+(((0.15*B1689*5))^1/1)+(((0.15*B1689*5))^2/2)+(((0.15*B1689*5))^3/6)+(((0.15*B1689*5))^4/24)+(((0.15*B1689*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1668*(1-MIN(100,(Inputs!$B$9+((C1677=TRUE)*(F1677-Calc!F26))+B1685+(ArtifactsInput!$M$24-ArtifactsInput!$M$24)*CHOOSE(ArtifactsInput!$N$24+1,10,12,14,16,18,20)+(IF(AND(Inputs!$B$39&lt;&gt;"pvp",Inputs!$B$44=0),1,IF(IF(Inputs!$B$39="pvp",15,Inputs!$B$44)-(B1696)&lt;=0,1,MAX(0,IF(Inputs!$B$39="pvp",15,Inputs!$B$44)-MAX(5,B1696))/(IF(Inputs!$B$39="pvp",15,Inputs!$B$44)-(B1696))))*IF(AND(ArtifactsInput!$M$42,((Inputs!$B$9+((C1677=TRUE)*(F1677-Calc!F26))+B1685+(ArtifactsInput!$M$24-ArtifactsInput!$M$24)*CHOOSE(ArtifactsInput!$N$24+1,10,12,14,16,18,20)+IF(IF(ArtifactsInput!$M$10,FALSE,TRUE),CHOOSE(ArtifactsInput!$N$10+1,15,18,21,24,27,30)*(IF(Inputs!$B$39="pvp",MIN(15,15)/15,IF(AND(Inputs!$B$39&lt;&gt;"pvp",Inputs!$B$44&gt;0),MIN(15,Inputs!$B$44)/(Inputs!$B$44),0))),0)))&lt;100),CHOOSE(ArtifactsInput!$N$42+1,30,36,42,48,54,60),0)+IF(IF(ArtifactsInput!$M$10,FALSE,TRUE),CHOOSE(ArtifactsInput!$N$10+1,15,18,21,24,27,30)*(IF(Inputs!$B$39="pvp",MIN(15,15)/15,IF(AND(Inputs!$B$39&lt;&gt;"pvp",Inputs!$B$44&gt;0),MIN(15,Inputs!$B$44)/(Inputs!$B$44),0))),0)))+IF(AND(ArtifactsInput!$M$8,Inputs!$B$39&lt;&gt;"pvp"),CHOOSE(ArtifactsInput!$N$8+1,8,9.6,11.2,12.8,14.4,16),0))/100)+M1668*(MIN(100,(Inputs!$B$9+((C1677=TRUE)*(F1677-Calc!F26))+B1685+(ArtifactsInput!$M$24-ArtifactsInput!$M$24)*CHOOSE(ArtifactsInput!$N$24+1,10,12,14,16,18,20)+(IF(AND(Inputs!$B$39&lt;&gt;"pvp",Inputs!$B$44=0),1,IF(IF(Inputs!$B$39="pvp",15,Inputs!$B$44)-(B1696)&lt;=0,1,MAX(0,IF(Inputs!$B$39="pvp",15,Inputs!$B$44)-MAX(5,B1696))/(IF(Inputs!$B$39="pvp",15,Inputs!$B$44)-(B1696))))*IF(AND(ArtifactsInput!$M$42,((Inputs!$B$9+((C1677=TRUE)*(F1677-Calc!F26))+B1685+(ArtifactsInput!$M$24-ArtifactsInput!$M$24)*CHOOSE(ArtifactsInput!$N$24+1,10,12,14,16,18,20)+IF(IF(ArtifactsInput!$M$10,FALSE,TRUE),CHOOSE(ArtifactsInput!$N$10+1,15,18,21,24,27,30)*(IF(Inputs!$B$39="pvp",MIN(15,15)/15,IF(AND(Inputs!$B$39&lt;&gt;"pvp",Inputs!$B$44&gt;0),MIN(15,Inputs!$B$44)/(Inputs!$B$44),0))),0)))&lt;100),CHOOSE(ArtifactsInput!$N$42+1,30,36,42,48,54,60),0)+IF(IF(ArtifactsInput!$M$10,FALSE,TRUE),CHOOSE(ArtifactsInput!$N$10+1,15,18,21,24,27,30)*(IF(Inputs!$B$39="pvp",MIN(15,15)/15,IF(AND(Inputs!$B$39&lt;&gt;"pvp",Inputs!$B$44&gt;0),MIN(15,Inputs!$B$44)/(Inputs!$B$44),0))),0)))+IF(AND(ArtifactsInput!$M$8,Inputs!$B$39&lt;&gt;"pvp"),CHOOSE(ArtifactsInput!$N$8+1,8,9.6,11.2,12.8,14.4,16),0))/100))/(L1668*(1-MIN(100,(Inputs!$B$9+((C1677=TRUE)*(F1677-Calc!F26))+B1685+(ArtifactsInput!$M$24-ArtifactsInput!$M$24)*CHOOSE(ArtifactsInput!$N$24+1,10,12,14,16,18,20)+(IF(AND(Inputs!$B$39&lt;&gt;"pvp",Inputs!$B$44=0),1,IF(IF(Inputs!$B$39="pvp",15,Inputs!$B$44)-(B1696)&lt;=0,1,MAX(0,IF(Inputs!$B$39="pvp",15,Inputs!$B$44)-MAX(5,B1696))/(IF(Inputs!$B$39="pvp",15,Inputs!$B$44)-(B1696))))*IF(AND(ArtifactsInput!$M$42,((Inputs!$B$9+((C1677=TRUE)*(F1677-Calc!F26))+B1685+(ArtifactsInput!$M$24-ArtifactsInput!$M$24)*CHOOSE(ArtifactsInput!$N$24+1,10,12,14,16,18,20)+IF(IF(ArtifactsInput!$M$10,FALSE,TRUE),CHOOSE(ArtifactsInput!$N$10+1,15,18,21,24,27,30)*(IF(Inputs!$B$39="pvp",MIN(15,15)/15,IF(AND(Inputs!$B$39&lt;&gt;"pvp",Inputs!$B$44&gt;0),MIN(15,Inputs!$B$44)/(Inputs!$B$44),0))),0)))&lt;100),CHOOSE(ArtifactsInput!$N$42+1,30,36,42,48,54,60),0)+IF(IF(ArtifactsInput!$M$10,FALSE,TRUE),CHOOSE(ArtifactsInput!$N$10+1,15,18,21,24,27,30)*(IF(Inputs!$B$39="pvp",MIN(15,15)/15,IF(AND(Inputs!$B$39&lt;&gt;"pvp",Inputs!$B$44&gt;0),MIN(15,Inputs!$B$44)/(Inputs!$B$44),0))),0))))/100)+M1668*(MIN(100,(Inputs!$B$9+((C1677=TRUE)*(F1677-Calc!F26))+B1685+(ArtifactsInput!$M$24-ArtifactsInput!$M$24)*CHOOSE(ArtifactsInput!$N$24+1,10,12,14,16,18,20)+(IF(AND(Inputs!$B$39&lt;&gt;"pvp",Inputs!$B$44=0),1,IF(IF(Inputs!$B$39="pvp",15,Inputs!$B$44)-(B1696)&lt;=0,1,MAX(0,IF(Inputs!$B$39="pvp",15,Inputs!$B$44)-MAX(5,B1696))/(IF(Inputs!$B$39="pvp",15,Inputs!$B$44)-(B1696))))*IF(AND(ArtifactsInput!$M$42,((Inputs!$B$9+((C1677=TRUE)*(F1677-Calc!F26))+B1685+(ArtifactsInput!$M$24-ArtifactsInput!$M$24)*CHOOSE(ArtifactsInput!$N$24+1,10,12,14,16,18,20)+IF(IF(ArtifactsInput!$M$10,FALSE,TRUE),CHOOSE(ArtifactsInput!$N$10+1,15,18,21,24,27,30)*(IF(Inputs!$B$39="pvp",MIN(15,15)/15,IF(AND(Inputs!$B$39&lt;&gt;"pvp",Inputs!$B$44&gt;0),MIN(15,Inputs!$B$44)/(Inputs!$B$44),0))),0)))&lt;100),CHOOSE(ArtifactsInput!$N$42+1,30,36,42,48,54,60),0)+IF(IF(ArtifactsInput!$M$10,FALSE,TRUE),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1668">
        <f>IF(C1668,(Inputs!$B$38*0.2*N1668)*IF(Inputs!$B$39="pvp",1,(1+(Inputs!$B$21+Skills!Q17+B1686+(IF(ArtifactsInput!$M$33,CHOOSE(ArtifactsInput!$N$33+1,30,36,42,48,54,60),0))+(IF(AND(ArtifactsInput!$M$35,Inputs!$B$4&lt;&gt;"Chapter Hunt"),CHOOSE(ArtifactsInput!$N$35+1,15,18,21,24,27,30)*(1-EXP(-(0.2*B1689)*5)),0)+IF(AND(ArtifactsInput!$M$22,Inputs!$B$4&lt;&gt;"Chapter Hunt"),CHOOSE(ArtifactsInput!$N$22+1,10,12,14,16,18,20)*((0*(((0.15*B1689*5))^0/1)+1*(((0.15*B1689*5))^1/1)+2*(((0.15*B1689*5))^2/2)+3*(((0.15*B1689*5))^3/6)+4*(((0.15*B1689*5))^4/24)+5*(((0.15*B1689*5))^5/120))/((((0.15*B1689*5))^0/1)+(((0.15*B1689*5))^1/1)+(((0.15*B1689*5))^2/2)+(((0.15*B1689*5))^3/6)+(((0.15*B1689*5))^4/24)+(((0.15*B1689*5))^5/120))),0)))/100)*(MIN(Skills!W17,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669">
      <c r="A1669">
        <f>Skills!A18</f>
        <v/>
      </c>
      <c r="B1669">
        <f>Skills!B18</f>
        <v/>
      </c>
      <c r="C1669">
        <f>Inputs!$B$3&gt;=115</f>
        <v/>
      </c>
      <c r="D1669">
        <f>IF(Skills!C18=1,60+Inputs!$B$25+Inputs!$B$29,IF(Skills!C18=2,90+Inputs!$B$26+Inputs!$B$29,IF(Skills!C18=3,120+Inputs!$B$27+Inputs!$B$29,MAX(0,(Inputs!$B$3-100)*3)+Inputs!$B$28+Inputs!$B$29)))</f>
        <v/>
      </c>
      <c r="E1669">
        <f>INDEX(FactorTable!$B$2:$Y$301, MATCH(ROUND(MIN(300,MAX(1,D1669)),0), FactorTable!$A$2:$A$301,0), Skills!M18+1)</f>
        <v/>
      </c>
      <c r="F1669">
        <f>IF(Skills!N18=TRUE,(Skills!L18/10)*(E1669/1000),Skills!L18/10)+Skills!O18</f>
        <v/>
      </c>
      <c r="G1669">
        <f>Skills!G18*IF(Skills!H18&gt;0,IF(Inputs!$B$39="pvp",MIN(Skills!I18,15),Skills!I18)/Skills!H18,1)</f>
        <v/>
      </c>
      <c r="H1669">
        <f>1-(1-Skills!J18/100)^Skills!K18</f>
        <v/>
      </c>
      <c r="I1669" t="inlineStr">
        <is>
          <t>1</t>
        </is>
      </c>
      <c r="J1669" t="inlineStr"/>
      <c r="K1669" t="inlineStr"/>
      <c r="L1669" t="inlineStr"/>
      <c r="M1669" t="inlineStr"/>
      <c r="N1669" t="inlineStr"/>
      <c r="O1669">
        <f>(1-Summary!$B$11)*T1669+Summary!$B$11*V1669</f>
        <v/>
      </c>
      <c r="P1669">
        <f>IF(B1697=0,0,O1669/B1697)</f>
        <v/>
      </c>
      <c r="Q1669" t="n">
        <v>0</v>
      </c>
      <c r="R1669" t="n">
        <v>0</v>
      </c>
      <c r="S1669">
        <f>IFERROR(O1669/N1669,0)</f>
        <v/>
      </c>
      <c r="T1669" t="n">
        <v>0</v>
      </c>
      <c r="V1669" t="n">
        <v>0</v>
      </c>
    </row>
    <row r="1670">
      <c r="A1670">
        <f>Skills!A19</f>
        <v/>
      </c>
      <c r="B1670">
        <f>Skills!B19</f>
        <v/>
      </c>
      <c r="C1670">
        <f>Inputs!$B$3&gt;=100</f>
        <v/>
      </c>
      <c r="D1670">
        <f>IF(Skills!C19=1,60+Inputs!$B$25+Inputs!$B$29,IF(Skills!C19=2,90+Inputs!$B$26+Inputs!$B$29,IF(Skills!C19=3,120+Inputs!$B$27+Inputs!$B$29,MAX(0,(Inputs!$B$3-100)*3)+Inputs!$B$28+Inputs!$B$29)))</f>
        <v/>
      </c>
      <c r="E1670">
        <f>INDEX(FactorTable!$B$2:$Y$301, MATCH(ROUND(MIN(300,MAX(1,D1670)),0), FactorTable!$A$2:$A$301,0), Skills!M19+1)</f>
        <v/>
      </c>
      <c r="F1670">
        <f>IF(Skills!N19=TRUE,(Skills!L19/10)*(E1670/1000),Skills!L19/10)+Skills!O19</f>
        <v/>
      </c>
      <c r="G1670">
        <f>Skills!G19*IF(Skills!H19&gt;0,IF(Inputs!$B$39="pvp",MIN(Skills!I19,15),Skills!I19)/Skills!H19,1)</f>
        <v/>
      </c>
      <c r="H1670">
        <f>1-(1-Skills!J19/100)^Skills!K19</f>
        <v/>
      </c>
      <c r="I1670" t="inlineStr">
        <is>
          <t>1</t>
        </is>
      </c>
      <c r="J1670" t="inlineStr"/>
      <c r="K1670" t="inlineStr"/>
      <c r="L1670" t="inlineStr"/>
      <c r="M1670" t="inlineStr"/>
      <c r="N1670" t="inlineStr"/>
      <c r="O1670">
        <f>(1-Summary!$B$11)*T1670+Summary!$B$11*V1670</f>
        <v/>
      </c>
      <c r="P1670">
        <f>IF(B1697=0,0,O1670/B1697)</f>
        <v/>
      </c>
      <c r="Q1670" t="n">
        <v>0</v>
      </c>
      <c r="R1670" t="n">
        <v>0</v>
      </c>
      <c r="S1670">
        <f>IFERROR(O1670/N1670,0)</f>
        <v/>
      </c>
      <c r="T1670" t="n">
        <v>0</v>
      </c>
      <c r="V1670" t="n">
        <v>0</v>
      </c>
    </row>
    <row r="1671">
      <c r="A1671">
        <f>Skills!A20</f>
        <v/>
      </c>
      <c r="B1671">
        <f>Skills!B20</f>
        <v/>
      </c>
      <c r="C1671">
        <f>TRUE</f>
        <v/>
      </c>
      <c r="D1671">
        <f>IF(Skills!C20=1,60+Inputs!$B$25+Inputs!$B$29,IF(Skills!C20=2,90+Inputs!$B$26+Inputs!$B$29,IF(Skills!C20=3,120+Inputs!$B$27+Inputs!$B$29,MAX(0,(Inputs!$B$3-100)*3)+Inputs!$B$28+Inputs!$B$29)))</f>
        <v/>
      </c>
      <c r="E1671">
        <f>INDEX(FactorTable!$B$2:$Y$301, MATCH(ROUND(MIN(300,MAX(1,D1671)),0), FactorTable!$A$2:$A$301,0), Skills!M20+1)</f>
        <v/>
      </c>
      <c r="F1671">
        <f>IF(Skills!N20=TRUE,(Skills!L20/10)*(E1671/1000),Skills!L20/10)+Skills!O20</f>
        <v/>
      </c>
      <c r="G1671">
        <f>Skills!G20*IF(Skills!H20&gt;0,IF(Inputs!$B$39="pvp",MIN(Skills!I20,15),Skills!I20)/Skills!H20,1)</f>
        <v/>
      </c>
      <c r="H1671">
        <f>1-(1-Skills!J20/100)^Skills!K20</f>
        <v/>
      </c>
      <c r="I1671" t="inlineStr">
        <is>
          <t>1</t>
        </is>
      </c>
      <c r="J1671" t="inlineStr"/>
      <c r="K1671" t="inlineStr"/>
      <c r="L1671" t="inlineStr"/>
      <c r="M1671" t="inlineStr"/>
      <c r="N1671" t="inlineStr"/>
      <c r="O1671">
        <f>(1-Summary!$B$11)*T1671+Summary!$B$11*V1671</f>
        <v/>
      </c>
      <c r="P1671">
        <f>IF(B1697=0,0,O1671/B1697)</f>
        <v/>
      </c>
      <c r="Q1671">
        <f>IFERROR(1/IF(Inputs!$B$39="pvp",15,MAX(0.1,Skills!D20-IF(TRUE=TRUE,Inputs!$B$32,0))),0)</f>
        <v/>
      </c>
      <c r="R1671">
        <f>IF(AND(Inputs!$B$39&lt;&gt;"pvp",Inputs!$B$44&gt;0),IF(Inputs!$B$44&lt;=0,0,(INT(Inputs!$B$44/IF(Inputs!$B$39="pvp",15,MAX(0.1,Skills!D20-IF(TRUE=TRUE,Inputs!$B$32,0))))+1)),0)</f>
        <v/>
      </c>
      <c r="S1671">
        <f>IFERROR(O1671/N1671,0)</f>
        <v/>
      </c>
      <c r="T1671" t="n">
        <v>0</v>
      </c>
      <c r="V1671" t="n">
        <v>0</v>
      </c>
    </row>
    <row r="1672">
      <c r="A1672">
        <f>Skills!A21</f>
        <v/>
      </c>
      <c r="B1672">
        <f>Skills!B21</f>
        <v/>
      </c>
      <c r="C1672">
        <f>Inputs!$B$3&gt;=15</f>
        <v/>
      </c>
      <c r="D1672">
        <f>IF(Skills!C21=1,60+Inputs!$B$25+Inputs!$B$29,IF(Skills!C21=2,90+Inputs!$B$26+Inputs!$B$29,IF(Skills!C21=3,120+Inputs!$B$27+Inputs!$B$29,MAX(0,(Inputs!$B$3-100)*3)+Inputs!$B$28+Inputs!$B$29)))</f>
        <v/>
      </c>
      <c r="E1672">
        <f>INDEX(FactorTable!$B$2:$Y$301, MATCH(ROUND(MIN(300,MAX(1,D1672)),0), FactorTable!$A$2:$A$301,0), Skills!M21+1)</f>
        <v/>
      </c>
      <c r="F1672">
        <f>IF(Skills!N21=TRUE,(Skills!L21/10)*(E1672/1000),Skills!L21/10)+Skills!O21</f>
        <v/>
      </c>
      <c r="G1672">
        <f>Skills!G21*IF(Skills!H21&gt;0,IF(Inputs!$B$39="pvp",MIN(Skills!I21,15),Skills!I21)/Skills!H21,1)</f>
        <v/>
      </c>
      <c r="H1672">
        <f>1-(1-Skills!J21/100)^Skills!K21</f>
        <v/>
      </c>
      <c r="I1672" t="inlineStr">
        <is>
          <t>1</t>
        </is>
      </c>
      <c r="J1672" t="inlineStr"/>
      <c r="K1672" t="inlineStr"/>
      <c r="L1672" t="inlineStr"/>
      <c r="M1672" t="inlineStr"/>
      <c r="N1672" t="inlineStr"/>
      <c r="O1672">
        <f>(1-Summary!$B$11)*T1672+Summary!$B$11*V1672</f>
        <v/>
      </c>
      <c r="P1672">
        <f>IF(B1697=0,0,O1672/B1697)</f>
        <v/>
      </c>
      <c r="Q1672">
        <f>IFERROR(1/IF(Inputs!$B$39="pvp",15,MAX(0.1,Skills!D21-IF(TRUE=TRUE,Inputs!$B$32,0))),0)</f>
        <v/>
      </c>
      <c r="R1672">
        <f>IF(AND(Inputs!$B$39&lt;&gt;"pvp",Inputs!$B$44&gt;0),IF(Inputs!$B$44&lt;=0,0,(INT(Inputs!$B$44/IF(Inputs!$B$39="pvp",15,MAX(0.1,Skills!D21-IF(TRUE=TRUE,Inputs!$B$32,0))))+1)),0)</f>
        <v/>
      </c>
      <c r="S1672">
        <f>IFERROR(O1672/N1672,0)</f>
        <v/>
      </c>
      <c r="T1672" t="n">
        <v>0</v>
      </c>
      <c r="V1672" t="n">
        <v>0</v>
      </c>
    </row>
    <row r="1673">
      <c r="A1673">
        <f>Skills!A22</f>
        <v/>
      </c>
      <c r="B1673">
        <f>Skills!B22</f>
        <v/>
      </c>
      <c r="C1673">
        <f>Inputs!$B$3&gt;=15</f>
        <v/>
      </c>
      <c r="D1673">
        <f>IF(Skills!C22=1,60+Inputs!$B$25+Inputs!$B$29,IF(Skills!C22=2,90+Inputs!$B$26+Inputs!$B$29,IF(Skills!C22=3,120+Inputs!$B$27+Inputs!$B$29,MAX(0,(Inputs!$B$3-100)*3)+Inputs!$B$28+Inputs!$B$29)))</f>
        <v/>
      </c>
      <c r="E1673">
        <f>INDEX(FactorTable!$B$2:$Y$301, MATCH(ROUND(MIN(300,MAX(1,D1673)),0), FactorTable!$A$2:$A$301,0), Skills!M22+1)</f>
        <v/>
      </c>
      <c r="F1673">
        <f>IF(Skills!N22=TRUE,(Skills!L22/10)*(E1673/1000),Skills!L22/10)+Skills!O22</f>
        <v/>
      </c>
      <c r="G1673">
        <f>Skills!G22*IF(Skills!H22&gt;0,IF(Inputs!$B$39="pvp",MIN(Skills!I22,15),Skills!I22)/Skills!H22,1)</f>
        <v/>
      </c>
      <c r="H1673">
        <f>1-(1-Skills!J22/100)^Skills!K22</f>
        <v/>
      </c>
      <c r="I1673" t="inlineStr">
        <is>
          <t>1</t>
        </is>
      </c>
      <c r="J1673" t="inlineStr"/>
      <c r="K1673" t="inlineStr"/>
      <c r="L1673" t="inlineStr"/>
      <c r="M1673" t="inlineStr"/>
      <c r="N1673" t="inlineStr"/>
      <c r="O1673">
        <f>(1-Summary!$B$11)*T1673+Summary!$B$11*V1673</f>
        <v/>
      </c>
      <c r="P1673">
        <f>IF(B1697=0,0,O1673/B1697)</f>
        <v/>
      </c>
      <c r="Q1673">
        <f>IFERROR(1/IF(Inputs!$B$39="pvp",15,MAX(0.1,Skills!D22-IF(TRUE=TRUE,Inputs!$B$32,0))),0)</f>
        <v/>
      </c>
      <c r="R1673">
        <f>IF(AND(Inputs!$B$39&lt;&gt;"pvp",Inputs!$B$44&gt;0),IF(Inputs!$B$44&lt;=0,0,(INT(Inputs!$B$44/IF(Inputs!$B$39="pvp",15,MAX(0.1,Skills!D22-IF(TRUE=TRUE,Inputs!$B$32,0))))+1)),0)</f>
        <v/>
      </c>
      <c r="S1673">
        <f>IFERROR(O1673/N1673,0)</f>
        <v/>
      </c>
      <c r="T1673" t="n">
        <v>0</v>
      </c>
      <c r="V1673" t="n">
        <v>0</v>
      </c>
    </row>
    <row r="1674">
      <c r="A1674">
        <f>Skills!A23</f>
        <v/>
      </c>
      <c r="B1674">
        <f>Skills!B23</f>
        <v/>
      </c>
      <c r="C1674">
        <f>Inputs!$B$3&gt;=33</f>
        <v/>
      </c>
      <c r="D1674">
        <f>IF(Skills!C23=1,60+Inputs!$B$25+Inputs!$B$29,IF(Skills!C23=2,90+Inputs!$B$26+Inputs!$B$29,IF(Skills!C23=3,120+Inputs!$B$27+Inputs!$B$29,MAX(0,(Inputs!$B$3-100)*3)+Inputs!$B$28+Inputs!$B$29)))</f>
        <v/>
      </c>
      <c r="E1674">
        <f>INDEX(FactorTable!$B$2:$Y$301, MATCH(ROUND(MIN(300,MAX(1,D1674)),0), FactorTable!$A$2:$A$301,0), Skills!M23+1)</f>
        <v/>
      </c>
      <c r="F1674">
        <f>IF(Skills!N23=TRUE,(Skills!L23/10)*(E1674/1000),Skills!L23/10)+Skills!O23</f>
        <v/>
      </c>
      <c r="G1674">
        <f>Skills!G23*IF(Skills!H23&gt;0,IF(Inputs!$B$39="pvp",MIN(Skills!I23,15),Skills!I23)/Skills!H23,1)</f>
        <v/>
      </c>
      <c r="H1674">
        <f>1-(1-Skills!J23/100)^Skills!K23</f>
        <v/>
      </c>
      <c r="I1674" t="inlineStr">
        <is>
          <t>1</t>
        </is>
      </c>
      <c r="J1674" t="inlineStr"/>
      <c r="K1674" t="inlineStr"/>
      <c r="L1674" t="inlineStr"/>
      <c r="M1674" t="inlineStr"/>
      <c r="N1674" t="inlineStr"/>
      <c r="O1674">
        <f>(1-Summary!$B$11)*T1674+Summary!$B$11*V1674</f>
        <v/>
      </c>
      <c r="P1674">
        <f>IF(B1697=0,0,O1674/B1697)</f>
        <v/>
      </c>
      <c r="Q1674" t="n">
        <v>0</v>
      </c>
      <c r="R1674" t="n">
        <v>0</v>
      </c>
      <c r="S1674">
        <f>IFERROR(O1674/N1674,0)</f>
        <v/>
      </c>
      <c r="T1674" t="n">
        <v>0</v>
      </c>
      <c r="V1674" t="n">
        <v>0</v>
      </c>
    </row>
    <row r="1675">
      <c r="A1675">
        <f>Skills!A24</f>
        <v/>
      </c>
      <c r="B1675">
        <f>Skills!B24</f>
        <v/>
      </c>
      <c r="C1675">
        <f>Inputs!$B$3&gt;=40</f>
        <v/>
      </c>
      <c r="D1675">
        <f>IF(Skills!C24=1,60+Inputs!$B$25+Inputs!$B$29,IF(Skills!C24=2,90+Inputs!$B$26+Inputs!$B$29,IF(Skills!C24=3,120+Inputs!$B$27+Inputs!$B$29,MAX(0,(Inputs!$B$3-100)*3)+Inputs!$B$28+Inputs!$B$29)))</f>
        <v/>
      </c>
      <c r="E1675">
        <f>INDEX(FactorTable!$B$2:$Y$301, MATCH(ROUND(MIN(300,MAX(1,D1675)),0), FactorTable!$A$2:$A$301,0), Skills!M24+1)</f>
        <v/>
      </c>
      <c r="F1675">
        <f>IF(Skills!N24=TRUE,(Skills!L24/10)*(E1675/1000),Skills!L24/10)+Skills!O24</f>
        <v/>
      </c>
      <c r="G1675">
        <f>Skills!G24*IF(Skills!H24&gt;0,IF(Inputs!$B$39="pvp",MIN(Skills!I24,15),Skills!I24)/Skills!H24,1)</f>
        <v/>
      </c>
      <c r="H1675">
        <f>1-(1-Skills!J24/100)^Skills!K24</f>
        <v/>
      </c>
      <c r="I1675" t="inlineStr">
        <is>
          <t>1</t>
        </is>
      </c>
      <c r="J1675" t="inlineStr"/>
      <c r="K1675" t="inlineStr"/>
      <c r="L1675" t="inlineStr"/>
      <c r="M1675" t="inlineStr"/>
      <c r="N1675" t="inlineStr"/>
      <c r="O1675">
        <f>(1-Summary!$B$11)*T1675+Summary!$B$11*V1675</f>
        <v/>
      </c>
      <c r="P1675">
        <f>IF(B1697=0,0,O1675/B1697)</f>
        <v/>
      </c>
      <c r="Q1675" t="n">
        <v>0</v>
      </c>
      <c r="R1675" t="n">
        <v>0</v>
      </c>
      <c r="S1675">
        <f>IFERROR(O1675/N1675,0)</f>
        <v/>
      </c>
      <c r="T1675" t="n">
        <v>0</v>
      </c>
      <c r="V1675" t="n">
        <v>0</v>
      </c>
    </row>
    <row r="1676">
      <c r="A1676">
        <f>Skills!A25</f>
        <v/>
      </c>
      <c r="B1676">
        <f>Skills!B25</f>
        <v/>
      </c>
      <c r="C1676">
        <f>Inputs!$B$3&gt;=43</f>
        <v/>
      </c>
      <c r="D1676">
        <f>IF(Skills!C25=1,60+Inputs!$B$25+Inputs!$B$29,IF(Skills!C25=2,90+Inputs!$B$26+Inputs!$B$29,IF(Skills!C25=3,120+Inputs!$B$27+Inputs!$B$29,MAX(0,(Inputs!$B$3-100)*3)+Inputs!$B$28+Inputs!$B$29)))</f>
        <v/>
      </c>
      <c r="E1676">
        <f>INDEX(FactorTable!$B$2:$Y$301, MATCH(ROUND(MIN(300,MAX(1,D1676)),0), FactorTable!$A$2:$A$301,0), Skills!M25+1)</f>
        <v/>
      </c>
      <c r="F1676">
        <f>IF(Skills!N25=TRUE,(Skills!L25/10)*(E1676/1000),Skills!L25/10)+Skills!O25</f>
        <v/>
      </c>
      <c r="G1676">
        <f>Skills!G25*IF(Skills!H25&gt;0,IF(Inputs!$B$39="pvp",MIN(Skills!I25,15),Skills!I25)/Skills!H25,1)</f>
        <v/>
      </c>
      <c r="H1676">
        <f>1-(1-Skills!J25/100)^Skills!K25</f>
        <v/>
      </c>
      <c r="I1676" t="inlineStr">
        <is>
          <t>1</t>
        </is>
      </c>
      <c r="J1676" t="inlineStr"/>
      <c r="K1676" t="inlineStr"/>
      <c r="L1676" t="inlineStr"/>
      <c r="M1676" t="inlineStr"/>
      <c r="N1676" t="inlineStr"/>
      <c r="O1676">
        <f>(1-Summary!$B$11)*T1676+Summary!$B$11*V1676</f>
        <v/>
      </c>
      <c r="P1676">
        <f>IF(B1697=0,0,O1676/B1697)</f>
        <v/>
      </c>
      <c r="Q1676" t="n">
        <v>0</v>
      </c>
      <c r="R1676" t="n">
        <v>0</v>
      </c>
      <c r="S1676">
        <f>IFERROR(O1676/N1676,0)</f>
        <v/>
      </c>
      <c r="T1676" t="n">
        <v>0</v>
      </c>
      <c r="V1676" t="n">
        <v>0</v>
      </c>
    </row>
    <row r="1677">
      <c r="A1677">
        <f>Skills!A26</f>
        <v/>
      </c>
      <c r="B1677">
        <f>Skills!B26</f>
        <v/>
      </c>
      <c r="C1677">
        <f>Inputs!$B$3&gt;=50</f>
        <v/>
      </c>
      <c r="D1677">
        <f>IF(Skills!C26=1,60+Inputs!$B$25+Inputs!$B$29,IF(Skills!C26=2,90+Inputs!$B$26+Inputs!$B$29,IF(Skills!C26=3,120+Inputs!$B$27+Inputs!$B$29,MAX(0,(Inputs!$B$3-100)*3)+Inputs!$B$28+Inputs!$B$29)))</f>
        <v/>
      </c>
      <c r="E1677">
        <f>INDEX(FactorTable!$B$2:$Y$301, MATCH(ROUND(MIN(300,MAX(1,D1677)),0), FactorTable!$A$2:$A$301,0), Skills!M26+1)</f>
        <v/>
      </c>
      <c r="F1677">
        <f>IF(Skills!N26=TRUE,(Skills!L26/10)*(E1677/1000),Skills!L26/10)+Skills!O26</f>
        <v/>
      </c>
      <c r="G1677">
        <f>Skills!G26*IF(Skills!H26&gt;0,IF(Inputs!$B$39="pvp",MIN(Skills!I26,15),Skills!I26)/Skills!H26,1)</f>
        <v/>
      </c>
      <c r="H1677">
        <f>1-(1-Skills!J26/100)^Skills!K26</f>
        <v/>
      </c>
      <c r="I1677" t="inlineStr">
        <is>
          <t>1</t>
        </is>
      </c>
      <c r="J1677" t="inlineStr"/>
      <c r="K1677" t="inlineStr"/>
      <c r="L1677" t="inlineStr"/>
      <c r="M1677" t="inlineStr"/>
      <c r="N1677" t="inlineStr"/>
      <c r="O1677">
        <f>(1-Summary!$B$11)*T1677+Summary!$B$11*V1677</f>
        <v/>
      </c>
      <c r="P1677">
        <f>IF(B1697=0,0,O1677/B1697)</f>
        <v/>
      </c>
      <c r="Q1677" t="n">
        <v>0</v>
      </c>
      <c r="R1677" t="n">
        <v>0</v>
      </c>
      <c r="S1677">
        <f>IFERROR(O1677/N1677,0)</f>
        <v/>
      </c>
      <c r="T1677" t="n">
        <v>0</v>
      </c>
      <c r="V1677" t="n">
        <v>0</v>
      </c>
    </row>
    <row r="1678">
      <c r="A1678">
        <f>Skills!A27</f>
        <v/>
      </c>
      <c r="B1678">
        <f>Skills!B27</f>
        <v/>
      </c>
      <c r="C1678">
        <f>Inputs!$B$3&gt;=50</f>
        <v/>
      </c>
      <c r="D1678">
        <f>IF(Skills!C27=1,60+Inputs!$B$25+Inputs!$B$29,IF(Skills!C27=2,90+Inputs!$B$26+Inputs!$B$29,IF(Skills!C27=3,120+Inputs!$B$27+Inputs!$B$29,MAX(0,(Inputs!$B$3-100)*3)+Inputs!$B$28+Inputs!$B$29)))</f>
        <v/>
      </c>
      <c r="E1678">
        <f>INDEX(FactorTable!$B$2:$Y$301, MATCH(ROUND(MIN(300,MAX(1,D1678)),0), FactorTable!$A$2:$A$301,0), Skills!M27+1)</f>
        <v/>
      </c>
      <c r="F1678">
        <f>IF(Skills!N27=TRUE,(Skills!L27/10)*(E1678/1000),Skills!L27/10)+Skills!O27</f>
        <v/>
      </c>
      <c r="G1678">
        <f>Skills!G27*IF(Skills!H27&gt;0,IF(Inputs!$B$39="pvp",MIN(Skills!I27,15),Skills!I27)/Skills!H27,1)</f>
        <v/>
      </c>
      <c r="H1678">
        <f>1-(1-Skills!J27/100)^Skills!K27</f>
        <v/>
      </c>
      <c r="I1678" t="inlineStr">
        <is>
          <t>1</t>
        </is>
      </c>
      <c r="J1678" t="inlineStr"/>
      <c r="K1678" t="inlineStr"/>
      <c r="L1678" t="inlineStr"/>
      <c r="M1678" t="inlineStr"/>
      <c r="N1678" t="inlineStr"/>
      <c r="O1678">
        <f>(1-Summary!$B$11)*T1678+Summary!$B$11*V1678</f>
        <v/>
      </c>
      <c r="P1678">
        <f>IF(B1697=0,0,O1678/B1697)</f>
        <v/>
      </c>
      <c r="Q1678" t="n">
        <v>0</v>
      </c>
      <c r="R1678" t="n">
        <v>0</v>
      </c>
      <c r="S1678">
        <f>IFERROR(O1678/N1678,0)</f>
        <v/>
      </c>
      <c r="T1678" t="n">
        <v>0</v>
      </c>
      <c r="V1678" t="n">
        <v>0</v>
      </c>
    </row>
    <row r="1679">
      <c r="A1679">
        <f>Skills!A28</f>
        <v/>
      </c>
      <c r="B1679">
        <f>Skills!B28</f>
        <v/>
      </c>
      <c r="C1679">
        <f>Inputs!$B$3&gt;=38</f>
        <v/>
      </c>
      <c r="D1679">
        <f>IF(Skills!C28=1,60+Inputs!$B$25+Inputs!$B$29,IF(Skills!C28=2,90+Inputs!$B$26+Inputs!$B$29,IF(Skills!C28=3,120+Inputs!$B$27+Inputs!$B$29,MAX(0,(Inputs!$B$3-100)*3)+Inputs!$B$28+Inputs!$B$29)))</f>
        <v/>
      </c>
      <c r="E1679">
        <f>INDEX(FactorTable!$B$2:$Y$301, MATCH(ROUND(MIN(300,MAX(1,D1679)),0), FactorTable!$A$2:$A$301,0), Skills!M28+1)</f>
        <v/>
      </c>
      <c r="F1679">
        <f>IF(Skills!N28=TRUE,(Skills!L28/10)*(E1679/1000),Skills!L28/10)+Skills!O28</f>
        <v/>
      </c>
      <c r="G1679">
        <f>Skills!G28*IF(Skills!H28&gt;0,IF(Inputs!$B$39="pvp",MIN(Skills!I28,15),Skills!I28)/Skills!H28,1)</f>
        <v/>
      </c>
      <c r="H1679">
        <f>1-(1-Skills!J28/100)^Skills!K28</f>
        <v/>
      </c>
      <c r="I1679" t="inlineStr">
        <is>
          <t>1</t>
        </is>
      </c>
      <c r="J1679" t="inlineStr"/>
      <c r="K1679" t="inlineStr"/>
      <c r="L1679" t="inlineStr"/>
      <c r="M1679" t="inlineStr"/>
      <c r="N1679" t="inlineStr"/>
      <c r="O1679">
        <f>(1-Summary!$B$11)*T1679+Summary!$B$11*V1679</f>
        <v/>
      </c>
      <c r="P1679">
        <f>IF(B1697=0,0,O1679/B1697)</f>
        <v/>
      </c>
      <c r="Q1679" t="n">
        <v>0</v>
      </c>
      <c r="R1679" t="n">
        <v>0</v>
      </c>
      <c r="S1679">
        <f>IFERROR(O1679/N1679,0)</f>
        <v/>
      </c>
      <c r="T1679" t="n">
        <v>0</v>
      </c>
      <c r="V1679" t="n">
        <v>0</v>
      </c>
    </row>
    <row r="1680">
      <c r="A1680">
        <f>Skills!A29</f>
        <v/>
      </c>
      <c r="B1680">
        <f>Skills!B29</f>
        <v/>
      </c>
      <c r="C1680">
        <f>Inputs!$B$3&gt;=120</f>
        <v/>
      </c>
      <c r="D1680">
        <f>IF(Skills!C29=1,60+Inputs!$B$25+Inputs!$B$29,IF(Skills!C29=2,90+Inputs!$B$26+Inputs!$B$29,IF(Skills!C29=3,120+Inputs!$B$27+Inputs!$B$29,MAX(0,(Inputs!$B$3-100)*3)+Inputs!$B$28+Inputs!$B$29)))</f>
        <v/>
      </c>
      <c r="E1680">
        <f>INDEX(FactorTable!$B$2:$Y$301, MATCH(ROUND(MIN(300,MAX(1,D1680)),0), FactorTable!$A$2:$A$301,0), Skills!M29+1)</f>
        <v/>
      </c>
      <c r="F1680">
        <f>IF(Skills!N29=TRUE,(Skills!L29/10)*(E1680/1000),Skills!L29/10)+Skills!O29</f>
        <v/>
      </c>
      <c r="G1680">
        <f>Skills!G29*IF(Skills!H29&gt;0,IF(Inputs!$B$39="pvp",MIN(Skills!I29,15),Skills!I29)/Skills!H29,1)</f>
        <v/>
      </c>
      <c r="H1680">
        <f>1-(1-Skills!J29/100)^Skills!K29</f>
        <v/>
      </c>
      <c r="I1680" t="inlineStr">
        <is>
          <t>1</t>
        </is>
      </c>
      <c r="J1680" t="inlineStr"/>
      <c r="K1680" t="inlineStr"/>
      <c r="L1680" t="inlineStr"/>
      <c r="M1680" t="inlineStr"/>
      <c r="N1680" t="inlineStr"/>
      <c r="O1680">
        <f>(1-Summary!$B$11)*T1680+Summary!$B$11*V1680</f>
        <v/>
      </c>
      <c r="P1680">
        <f>IF(B1697=0,0,O1680/B1697)</f>
        <v/>
      </c>
      <c r="Q1680" t="n">
        <v>0</v>
      </c>
      <c r="R1680" t="n">
        <v>0</v>
      </c>
      <c r="S1680">
        <f>IFERROR(O1680/N1680,0)</f>
        <v/>
      </c>
      <c r="T1680" t="n">
        <v>0</v>
      </c>
      <c r="V1680" t="n">
        <v>0</v>
      </c>
    </row>
    <row r="1681">
      <c r="A1681">
        <f>Skills!A30</f>
        <v/>
      </c>
      <c r="B1681">
        <f>Skills!B30</f>
        <v/>
      </c>
      <c r="C1681">
        <f>Inputs!$B$3&gt;=120</f>
        <v/>
      </c>
      <c r="D1681">
        <f>IF(Skills!C30=1,60+Inputs!$B$25+Inputs!$B$29,IF(Skills!C30=2,90+Inputs!$B$26+Inputs!$B$29,IF(Skills!C30=3,120+Inputs!$B$27+Inputs!$B$29,MAX(0,(Inputs!$B$3-100)*3)+Inputs!$B$28+Inputs!$B$29)))</f>
        <v/>
      </c>
      <c r="E1681">
        <f>INDEX(FactorTable!$B$2:$Y$301, MATCH(ROUND(MIN(300,MAX(1,D1681)),0), FactorTable!$A$2:$A$301,0), Skills!M30+1)</f>
        <v/>
      </c>
      <c r="F1681">
        <f>IF(Skills!N30=TRUE,(Skills!L30/10)*(E1681/1000),Skills!L30/10)+Skills!O30</f>
        <v/>
      </c>
      <c r="G1681">
        <f>Skills!G30*IF(Skills!H30&gt;0,IF(Inputs!$B$39="pvp",MIN(Skills!I30,15),Skills!I30)/Skills!H30,1)</f>
        <v/>
      </c>
      <c r="H1681">
        <f>1-(1-Skills!J30/100)^Skills!K30</f>
        <v/>
      </c>
      <c r="I1681" t="inlineStr">
        <is>
          <t>1</t>
        </is>
      </c>
      <c r="J1681" t="inlineStr"/>
      <c r="K1681" t="inlineStr"/>
      <c r="L1681" t="inlineStr"/>
      <c r="M1681" t="inlineStr"/>
      <c r="N1681" t="inlineStr"/>
      <c r="O1681">
        <f>(1-Summary!$B$11)*T1681+Summary!$B$11*V1681</f>
        <v/>
      </c>
      <c r="P1681">
        <f>IF(B1697=0,0,O1681/B1697)</f>
        <v/>
      </c>
      <c r="Q1681" t="n">
        <v>0</v>
      </c>
      <c r="R1681" t="n">
        <v>0</v>
      </c>
      <c r="S1681">
        <f>IFERROR(O1681/N1681,0)</f>
        <v/>
      </c>
      <c r="T1681" t="n">
        <v>0</v>
      </c>
      <c r="V1681" t="n">
        <v>0</v>
      </c>
    </row>
    <row r="1682">
      <c r="A1682">
        <f>Skills!A31</f>
        <v/>
      </c>
      <c r="B1682">
        <f>Skills!B31</f>
        <v/>
      </c>
      <c r="C1682">
        <f>Inputs!$B$3&gt;=125</f>
        <v/>
      </c>
      <c r="D1682">
        <f>IF(Skills!C31=1,60+Inputs!$B$25+Inputs!$B$29,IF(Skills!C31=2,90+Inputs!$B$26+Inputs!$B$29,IF(Skills!C31=3,120+Inputs!$B$27+Inputs!$B$29,MAX(0,(Inputs!$B$3-100)*3)+Inputs!$B$28+Inputs!$B$29)))</f>
        <v/>
      </c>
      <c r="E1682">
        <f>INDEX(FactorTable!$B$2:$Y$301, MATCH(ROUND(MIN(300,MAX(1,D1682)),0), FactorTable!$A$2:$A$301,0), Skills!M31+1)</f>
        <v/>
      </c>
      <c r="F1682">
        <f>IF(Skills!N31=TRUE,(Skills!L31/10)*(E1682/1000),Skills!L31/10)+Skills!O31</f>
        <v/>
      </c>
      <c r="G1682">
        <f>Skills!G31*IF(Skills!H31&gt;0,IF(Inputs!$B$39="pvp",MIN(Skills!I31,15),Skills!I31)/Skills!H31,1)</f>
        <v/>
      </c>
      <c r="H1682">
        <f>1-(1-Skills!J31/100)^Skills!K31</f>
        <v/>
      </c>
      <c r="I1682" t="inlineStr">
        <is>
          <t>1</t>
        </is>
      </c>
      <c r="J1682" t="inlineStr"/>
      <c r="K1682" t="inlineStr"/>
      <c r="L1682" t="inlineStr"/>
      <c r="M1682" t="inlineStr"/>
      <c r="N1682" t="inlineStr"/>
      <c r="O1682">
        <f>(1-Summary!$B$11)*T1682+Summary!$B$11*V1682</f>
        <v/>
      </c>
      <c r="P1682">
        <f>IF(B1697=0,0,O1682/B1697)</f>
        <v/>
      </c>
      <c r="Q1682" t="n">
        <v>0</v>
      </c>
      <c r="R1682" t="n">
        <v>0</v>
      </c>
      <c r="S1682">
        <f>IFERROR(O1682/N1682,0)</f>
        <v/>
      </c>
      <c r="T1682" t="n">
        <v>0</v>
      </c>
      <c r="V1682" t="n">
        <v>0</v>
      </c>
    </row>
    <row r="1684">
      <c r="A1684" t="inlineStr">
        <is>
          <t>Average Buff Multiplier</t>
        </is>
      </c>
      <c r="B1684">
        <f>(1+(((C1673=TRUE)*F1673*IF(AND(Inputs!$B$39&lt;&gt;"pvp",Inputs!$B$44&gt;0),(((R1673-1)*MIN((Skills!Y22*(1+Inputs!$B$34/100)),(1/Q1673))+MIN((Skills!Y22*(1+Inputs!$B$34/100)),MAX(0,Inputs!$B$44-((R1673-1)*(1/Q1673)))))/Inputs!$B$44),IF(Inputs!$B$39="pvp",MIN((Skills!Y22*(1+Inputs!$B$34/100)),15)/15,MIN(1,(Skills!Y22*(1+Inputs!$B$34/100))/(1/Q1673)))))+((C1654=TRUE)*F1654*3)+((C1656=TRUE)*F1656*(1-EXP(-0.75*B1689*5)))+((C1675=TRUE)*(F1675-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1662=TRUE)*F1662*IF(AND(Inputs!$B$39&lt;&gt;"pvp",Inputs!$B$44&gt;0),(((R1662-1)*MIN((Skills!Y11*(1+Inputs!$B$34/100)),(1/Q1662))+MIN((Skills!Y11*(1+Inputs!$B$34/100)),MAX(0,Inputs!$B$44-((R1662-1)*(1/Q1662)))))/Inputs!$B$44),IF(Inputs!$B$39="pvp",MIN((Skills!Y11*(1+Inputs!$B$34/100)),15)/15,MIN(1,(Skills!Y11*(1+Inputs!$B$34/100))/(1/Q1662)))))/100)*(1+((C1667=TRUE)*F1667*IF(AND(Inputs!$B$39&lt;&gt;"pvp",Inputs!$B$44&gt;0),(((R1667-1)*MIN((Skills!Y16*(1+Inputs!$B$34/100)),(1/Q1667))+MIN((Skills!Y16*(1+Inputs!$B$34/100)),MAX(0,Inputs!$B$44-((R1667-1)*(1/Q1667)))))/Inputs!$B$44),IF(Inputs!$B$39="pvp",MIN((Skills!Y16*(1+Inputs!$B$34/100)),15)/15,MIN(1,(Skills!Y16*(1+Inputs!$B$34/100))/(1/Q1667)))))/100)</f>
        <v/>
      </c>
    </row>
    <row r="1685">
      <c r="A1685" t="inlineStr">
        <is>
          <t>Global Crit Rate Bonus %</t>
        </is>
      </c>
      <c r="B1685">
        <f>((C1672=TRUE)*F1672*IF(AND(Inputs!$B$39&lt;&gt;"pvp",Inputs!$B$44&gt;0),(((R1672-1)*MIN((Skills!Y21*(1+Inputs!$B$34/100)),(1/Q1672))+MIN((Skills!Y21*(1+Inputs!$B$34/100)),MAX(0,Inputs!$B$44-((R1672-1)*(1/Q1672)))))/Inputs!$B$44),IF(Inputs!$B$39="pvp",MIN((Skills!Y21*(1+Inputs!$B$34/100)),15)/15,MIN(1,(Skills!Y21*(1+Inputs!$B$34/100))/(1/Q1672)))))</f>
        <v/>
      </c>
    </row>
    <row r="1686">
      <c r="A1686" t="inlineStr">
        <is>
          <t>Global Monster Damage-Taken Bonus %</t>
        </is>
      </c>
      <c r="B1686">
        <f>IF(Inputs!$B$3&gt;=82,15,0)</f>
        <v/>
      </c>
    </row>
    <row r="1687">
      <c r="A1687" t="inlineStr">
        <is>
          <t>Shadow Partner Average Multiplier</t>
        </is>
      </c>
      <c r="B1687">
        <f>1+((C1659=TRUE)*F1659*(1+3.3333333333333335*IF(C1670=TRUE,F1670,0)/100)*I1659*Skills!J8/100)/100</f>
        <v/>
      </c>
    </row>
    <row r="1688">
      <c r="A1688" t="inlineStr">
        <is>
          <t>Attack Speed Buff Bonus %</t>
        </is>
      </c>
      <c r="B1688">
        <f>((C1671=TRUE)*F1671*IF(AND(Inputs!$B$39&lt;&gt;"pvp",Inputs!$B$44&gt;0),(((R1671-1)*MIN((Skills!Y20*(1+Inputs!$B$34/100)),(1/Q1671))+MIN((Skills!Y20*(1+Inputs!$B$34/100)),MAX(0,Inputs!$B$44-((R1671-1)*(1/Q1671)))))/Inputs!$B$44),IF(Inputs!$B$39="pvp",MIN((Skills!Y20*(1+Inputs!$B$34/100)),15)/15,MIN(1,(Skills!Y20*(1+Inputs!$B$34/100))/(1/Q1671)))))</f>
        <v/>
      </c>
    </row>
    <row r="1689">
      <c r="A1689" t="inlineStr">
        <is>
          <t>Actions Per Second</t>
        </is>
      </c>
      <c r="B1689">
        <f>1+MIN(150,150*(1-(1-(Inputs!$B$11+((C1674=TRUE)*(F1674-Calc!F23)))/150)*(1-B1688/150)))/100</f>
        <v/>
      </c>
    </row>
    <row r="1690">
      <c r="A1690" t="inlineStr">
        <is>
          <t>Skill + Buff Cast Rate</t>
        </is>
      </c>
      <c r="B1690">
        <f>IF(AND(Inputs!$B$39&lt;&gt;"pvp",Inputs!$B$44&gt;0),SUMPRODUCT((Skills!E2:E31=TRUE)*(C1653:C1682=TRUE)*R1653:R1682*Skills!F2:F31)/Inputs!$B$44,SUMPRODUCT((Skills!E2:E31=TRUE)*(C1653:C1682=TRUE)*Q1653:Q1682*Skills!F2:F31))</f>
        <v/>
      </c>
    </row>
    <row r="1691">
      <c r="A1691" t="inlineStr">
        <is>
          <t>Cruel Stab Casts Per Second</t>
        </is>
      </c>
      <c r="B1691">
        <f>MAX(0,B1689-B1690)</f>
        <v/>
      </c>
    </row>
    <row r="1692">
      <c r="A1692" t="inlineStr">
        <is>
          <t>Global Critical Damage Bonus % (Smokescreen Mastery Lv.113)</t>
        </is>
      </c>
      <c r="B1692">
        <f>IF(Inputs!$B$3&gt;=113,30,0)*IF(AND(Inputs!$B$39&lt;&gt;"pvp",Inputs!$B$44&gt;0),(((R1667-1)*MIN((Skills!Y16*(1+Inputs!$B$34/100)),(1/Q1667))+MIN((Skills!Y16*(1+Inputs!$B$34/100)),MAX(0,Inputs!$B$44-((R1667-1)*(1/Q1667)))))/Inputs!$B$44),IF(Inputs!$B$39="pvp",MIN((Skills!Y16*(1+Inputs!$B$34/100)),15)/15,MIN(1,(Skills!Y16*(1+Inputs!$B$34/100))/(1/Q1667))))</f>
        <v/>
      </c>
    </row>
    <row r="1693">
      <c r="A1693" t="inlineStr">
        <is>
          <t>Meso Explosion average stack count</t>
        </is>
      </c>
      <c r="B1693">
        <f>MIN(10,IF(Inputs!$B$3&gt;=75,0.75,0.5)*B1689*(1/Q1655))</f>
        <v/>
      </c>
    </row>
    <row r="1694">
      <c r="A1694" t="inlineStr">
        <is>
          <t>Blood Money average stack count</t>
        </is>
      </c>
      <c r="B1694">
        <f>MIN(5,0.5*IF(Inputs!$B$3&gt;=75,0.75,0.5)*B1689*(1/Q1655))</f>
        <v/>
      </c>
    </row>
    <row r="1695">
      <c r="A1695" t="inlineStr">
        <is>
          <t>Assassinate Murderous Intent Multiplier</t>
        </is>
      </c>
      <c r="B1695">
        <f>1+IFERROR(MIN(1,Q1666*2/Q1663),0)</f>
        <v/>
      </c>
    </row>
    <row r="1696">
      <c r="A1696" t="inlineStr">
        <is>
          <t>Buff-Casting Startup Delay (s, fixed-duration only)</t>
        </is>
      </c>
      <c r="B1696">
        <f>IF(AND(Inputs!$B$39&lt;&gt;"pvp",Inputs!$B$44&gt;0),SUMPRODUCT((Skills!Y2:Y31&gt;0)*(Skills!E2:E31=TRUE)*(C1653:C1682=TRUE))/B1689,0)</f>
        <v/>
      </c>
    </row>
    <row r="1697">
      <c r="A1697" s="6" t="inlineStr">
        <is>
          <t>TOTAL DPS</t>
        </is>
      </c>
      <c r="B1697" s="6">
        <f>SUM(O1653:O1682)</f>
        <v/>
      </c>
    </row>
    <row r="1698">
      <c r="A1698" t="inlineStr">
        <is>
          <t>Boss-Only Total DPS (this block's swept value)</t>
        </is>
      </c>
      <c r="B1698">
        <f>SUM(T1653:T1682)</f>
        <v/>
      </c>
    </row>
    <row r="1699">
      <c r="A1699" t="inlineStr">
        <is>
          <t>Normal-Only Total DPS (this block's swept value)</t>
        </is>
      </c>
      <c r="B1699">
        <f>SUM(V1653:V1682)</f>
        <v/>
      </c>
    </row>
    <row r="1702">
      <c r="A1702" s="6" t="inlineStr">
        <is>
          <t>Stat: Hexagon Necklace (Equip)</t>
        </is>
      </c>
    </row>
    <row r="1703">
      <c r="A1703" s="5" t="inlineStr">
        <is>
          <t>Key</t>
        </is>
      </c>
      <c r="B1703" s="5" t="inlineStr">
        <is>
          <t>Name</t>
        </is>
      </c>
      <c r="C1703" s="5" t="inlineStr">
        <is>
          <t>Unlocked</t>
        </is>
      </c>
      <c r="D1703" s="5" t="inlineStr">
        <is>
          <t>InputLevel</t>
        </is>
      </c>
      <c r="E1703" s="5" t="inlineStr">
        <is>
          <t>Factor</t>
        </is>
      </c>
      <c r="F1703" s="5" t="inlineStr">
        <is>
          <t>CoefficientPercent</t>
        </is>
      </c>
      <c r="G1703" s="5" t="inlineStr">
        <is>
          <t>EffectiveHits</t>
        </is>
      </c>
      <c r="H1703" s="5" t="inlineStr">
        <is>
          <t>ProcProbability</t>
        </is>
      </c>
      <c r="I1703" s="5" t="inlineStr">
        <is>
          <t>MapleHeroMultiplier</t>
        </is>
      </c>
      <c r="J1703" s="5" t="inlineStr">
        <is>
          <t>BaseDamage</t>
        </is>
      </c>
      <c r="K1703" s="5" t="inlineStr">
        <is>
          <t>BaseHitDamage</t>
        </is>
      </c>
      <c r="L1703" s="5" t="inlineStr">
        <is>
          <t>NonCritAvg</t>
        </is>
      </c>
      <c r="M1703" s="5" t="inlineStr">
        <is>
          <t>CritAvg</t>
        </is>
      </c>
      <c r="N1703" s="5" t="inlineStr">
        <is>
          <t>ExpectedDamage(perHit)</t>
        </is>
      </c>
      <c r="O1703" s="5" t="inlineStr">
        <is>
          <t>DPS</t>
        </is>
      </c>
      <c r="P1703" s="5" t="inlineStr">
        <is>
          <t>% of Total</t>
        </is>
      </c>
      <c r="Q1703" s="5" t="inlineStr">
        <is>
          <t>InvCooldown</t>
        </is>
      </c>
      <c r="R1703" s="5" t="inlineStr">
        <is>
          <t>CastsInFight</t>
        </is>
      </c>
      <c r="S1703" s="5" t="inlineStr">
        <is>
          <t>HitRate(perSec)</t>
        </is>
      </c>
      <c r="U1703" t="inlineStr">
        <is>
          <t>helpers</t>
        </is>
      </c>
    </row>
    <row r="1704">
      <c r="A1704">
        <f>Skills!A2</f>
        <v/>
      </c>
      <c r="B1704">
        <f>Skills!B2</f>
        <v/>
      </c>
      <c r="C1704">
        <f>Inputs!$B$3&gt;=100</f>
        <v/>
      </c>
      <c r="D1704" t="inlineStr"/>
      <c r="E1704" t="inlineStr"/>
      <c r="F1704">
        <f>U1706+Skills!O2</f>
        <v/>
      </c>
      <c r="G1704">
        <f>Skills!G2*IF(Skills!H2&gt;0,IF(Inputs!$B$39="pvp",MIN(Skills!I2,15),Skills!I2)/Skills!H2,1)</f>
        <v/>
      </c>
      <c r="H1704">
        <f>1-(1-Skills!J2/100)^Skills!K2</f>
        <v/>
      </c>
      <c r="I1704" t="inlineStr">
        <is>
          <t>1</t>
        </is>
      </c>
      <c r="J1704">
        <f>((Inputs!$B$6*(1+Inputs!$B$7/100))+(((Inputs!$B$12*(1+Inputs!$B$13/100))-(Inputs!$B$12*(1+Inputs!$B$13/100)))+0.25*(Inputs!$B$14-Inputs!$B$14))*(1+Inputs!$B$7/100))*(F1704/100)</f>
        <v/>
      </c>
      <c r="K1704">
        <f>J1704*(1+((Inputs!$B$12*(1+Inputs!$B$13/100))*0.01+Inputs!$B$14*0.0025)/100)*(1+Inputs!$B$15/100)*(1+Inputs!$B$16/100)*(5000/(6000+Inputs!$B$43*(1-(100*(1-(1-Inputs!$B$19/100)*(1-CHOOSE(ArtifactsInput!$N$40+1,5,6,7,8,9,10)/100)^(ArtifactsInput!$M$40-ArtifactsInput!$M$40)))/100)))*(1+(Inputs!$B$24+((C1733=TRUE)*(F1733-Calc!F31))+((C1720=TRUE)*(F1720-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CRUEL_STAB",Inputs!$B$17+((C1730=TRUE)*(F1730-Calc!F28))+((IF(AND(Inputs!$B$39&lt;&gt;"pvp",Inputs!$B$44=0),1,IF(IF(Inputs!$B$39="pvp",15,Inputs!$B$44)-(B1747)&lt;=0,1,MAX(0,IF(Inputs!$B$39="pvp",15,Inputs!$B$44)-MAX(5,B1747))/(IF(Inputs!$B$39="pvp",15,Inputs!$B$44)-(B1747))))*(IF(AND(ArtifactsInput!$M$42,((Inputs!$B$9+((C1728=TRUE)*(F1728-Calc!F26))+B1736+(ArtifactsInput!$M$24-ArtifactsInput!$M$24)*CHOOSE(ArtifactsInput!$N$24+1,10,12,14,16,18,20)+IF(ArtifactsInput!$M$10,CHOOSE(ArtifactsInput!$N$10+1,15,18,21,24,27,30)*(IF(Inputs!$B$39="pvp",MIN(15,15)/15,IF(AND(Inputs!$B$39&lt;&gt;"pvp",Inputs!$B$44&gt;0),MIN(15,Inputs!$B$44)/(Inputs!$B$44),0))),0)))&gt;=100),MIN(100,((Inputs!$B$9+((C1728=TRUE)*(F1728-Calc!F26))+B1736+(ArtifactsInput!$M$24-ArtifactsInput!$M$24)*CHOOSE(ArtifactsInput!$N$24+1,10,12,14,16,18,20)+IF(ArtifactsInput!$M$10,CHOOSE(ArtifactsInput!$N$10+1,15,18,21,24,27,30)*(IF(Inputs!$B$39="pvp",MIN(15,15)/15,IF(AND(Inputs!$B$39&lt;&gt;"pvp",Inputs!$B$44&gt;0),MIN(15,Inputs!$B$44)/(Inputs!$B$44),0))),0)))-100),0))*CHOOSE(ArtifactsInput!$N$42+1,0.6,0.72,0.84,0.96,1.08,1.2))),Inputs!$B$18+((C1731=TRUE)*(F1731-Calc!F29))+(IF(AND(Inputs!$B$39&lt;&gt;"pvp",Inputs!$B$44=0),1,IF(IF(Inputs!$B$39="pvp",15,Inputs!$B$44)-(B1747)&lt;=0,1,MAX(0,IF(Inputs!$B$39="pvp",15,Inputs!$B$44)-MAX(5,B1747))/(IF(Inputs!$B$39="pvp",15,Inputs!$B$44)-(B1747))))*IF(AND(ArtifactsInput!$M$42,((Inputs!$B$9+((C1728=TRUE)*(F1728-Calc!F26))+B1736+(ArtifactsInput!$M$24-ArtifactsInput!$M$24)*CHOOSE(ArtifactsInput!$N$24+1,10,12,14,16,18,20)+IF(ArtifactsInput!$M$10,CHOOSE(ArtifactsInput!$N$10+1,15,18,21,24,27,30)*(IF(Inputs!$B$39="pvp",MIN(15,15)/15,IF(AND(Inputs!$B$39&lt;&gt;"pvp",Inputs!$B$44&gt;0),MIN(15,Inputs!$B$44)/(Inputs!$B$44),0))),0)))&gt;=100),CHOOSE(ArtifactsInput!$N$42+1,40,48,56,64,72,80),0))))/100)*(((1+(((C1724=TRUE)*F1724*IF(AND(Inputs!$B$39&lt;&gt;"pvp",Inputs!$B$44&gt;0),(((R1724-1)*MIN((Skills!Y22*(1+Inputs!$B$34/100)),(1/Q1724))+MIN((Skills!Y22*(1+Inputs!$B$34/100)),MAX(0,Inputs!$B$44-((R1724-1)*(1/Q1724)))))/Inputs!$B$44),IF(Inputs!$B$39="pvp",MIN((Skills!Y22*(1+Inputs!$B$34/100)),15)/15,MIN(1,(Skills!Y22*(1+Inputs!$B$34/100))/(1/Q1724)))))+((C1705=TRUE)*F1705*3)+((C1707=TRUE)*F1707*(1-EXP(-0.75*B1740*5)))+((C1726=TRUE)*(F1726-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1713=TRUE)*F1713*IF(AND(Inputs!$B$39&lt;&gt;"pvp",Inputs!$B$44&gt;0),(((R1713-1)*MIN((Skills!Y11*(1+Inputs!$B$34/100)),(1/Q1713))+MIN((Skills!Y11*(1+Inputs!$B$34/100)),MAX(0,Inputs!$B$44-((R1713-1)*(1/Q1713)))))/Inputs!$B$44),IF(Inputs!$B$39="pvp",MIN((Skills!Y11*(1+Inputs!$B$34/100)),15)/15,MIN(1,(Skills!Y11*(1+Inputs!$B$34/100))/(1/Q1713)))))/100)*(1+((C1718=TRUE)*F1718*IF(AND(Inputs!$B$39&lt;&gt;"pvp",Inputs!$B$44&gt;0),(((R1718-1)*MIN((Skills!Y16*(1+Inputs!$B$34/100)),(1/Q1718))+MIN((Skills!Y16*(1+Inputs!$B$34/100)),MAX(0,Inputs!$B$44-((R1718-1)*(1/Q1718)))))/Inputs!$B$44),IF(Inputs!$B$39="pvp",MIN((Skills!Y16*(1+Inputs!$B$34/100)),15)/15,MIN(1,(Skills!Y16*(1+Inputs!$B$34/100))/(1/Q1718)))))/100))*(1+(IF(IF(ArtifactsInput!$M$11,FALSE,TRUE),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1738*I1704)</f>
        <v/>
      </c>
      <c r="L1704">
        <f>K1704*(MIN(Inputs!$B$22+((C1727=TRUE)*(F1727-Calc!F25)),(Inputs!$B$23+((C1732=TRUE)*(F1732-Calc!F30))+IF(ArtifactsInput!$M$15,CHOOSE(ArtifactsInput!$N$15+1,25,30,35,40,45,50)/100*(Inputs!$B$11-Inputs!$B$11),0)))/100+(Inputs!$B$23+((C1732=TRUE)*(F1732-Calc!F30))+IF(ArtifactsInput!$M$15,CHOOSE(ArtifactsInput!$N$15+1,25,30,35,40,45,50)/100*(Inputs!$B$11-Inputs!$B$11),0))/100)/2</f>
        <v/>
      </c>
      <c r="M1704">
        <f>L1704*(1+(Inputs!$B$10+((C1729=TRUE)*(F1729-Calc!F27))+B1743+(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1704">
        <f>L1704*(1-MIN((Inputs!$B$9+((C1728=TRUE)*(F1728-Calc!F26))+B1736+(ArtifactsInput!$M$24-ArtifactsInput!$M$24)*CHOOSE(ArtifactsInput!$N$24+1,10,12,14,16,18,20)+(IF(AND(Inputs!$B$39&lt;&gt;"pvp",Inputs!$B$44=0),1,IF(IF(Inputs!$B$39="pvp",15,Inputs!$B$44)-(B1747)&lt;=0,1,MAX(0,IF(Inputs!$B$39="pvp",15,Inputs!$B$44)-MAX(5,B1747))/(IF(Inputs!$B$39="pvp",15,Inputs!$B$44)-(B1747))))*IF(AND(ArtifactsInput!$M$42,((Inputs!$B$9+((C1728=TRUE)*(F1728-Calc!F26))+B1736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1704*(MIN((Inputs!$B$9+((C1728=TRUE)*(F1728-Calc!F26))+B1736+(ArtifactsInput!$M$24-ArtifactsInput!$M$24)*CHOOSE(ArtifactsInput!$N$24+1,10,12,14,16,18,20)+(IF(AND(Inputs!$B$39&lt;&gt;"pvp",Inputs!$B$44=0),1,IF(IF(Inputs!$B$39="pvp",15,Inputs!$B$44)-(B1747)&lt;=0,1,MAX(0,IF(Inputs!$B$39="pvp",15,Inputs!$B$44)-MAX(5,B1747))/(IF(Inputs!$B$39="pvp",15,Inputs!$B$44)-(B1747))))*IF(AND(ArtifactsInput!$M$42,((Inputs!$B$9+((C1728=TRUE)*(F1728-Calc!F26))+B1736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704">
        <f>(1-Summary!$B$11)*T1704+Summary!$B$11*V1704</f>
        <v/>
      </c>
      <c r="P1704">
        <f>IF(B1748=0,0,O1704/B1748)</f>
        <v/>
      </c>
      <c r="Q1704" t="n">
        <v>0</v>
      </c>
      <c r="R1704" t="n">
        <v>0</v>
      </c>
      <c r="S1704">
        <f>IFERROR(O1704/N1704,0)</f>
        <v/>
      </c>
      <c r="T1704">
        <f>IF(C1704,(Skills!G2*N1704*B1742)*IF(Inputs!$B$39="pvp",1,1+(Inputs!$B$20+0+Skills!P2+B1737+(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Hunt"),CHOOSE(ArtifactsInput!$N$35+1,15,18,21,24,27,30)*(1-EXP(-(0.2*B1740)*5)),0)+IF(AND(ArtifactsInput!$M$22,Inputs!$B$4&lt;&gt;"Chapter Hunt"),CHOOSE(ArtifactsInput!$N$22+1,10,12,14,16,18,20)*((0*(((0.15*B1740*5))^0/1)+1*(((0.15*B1740*5))^1/1)+2*(((0.15*B1740*5))^2/2)+3*(((0.15*B1740*5))^3/6)+4*(((0.15*B1740*5))^4/24)+5*(((0.15*B1740*5))^5/120))/((((0.15*B1740*5))^0/1)+(((0.15*B1740*5))^1/1)+(((0.15*B1740*5))^2/2)+(((0.15*B1740*5))^3/6)+(((0.15*B1740*5))^4/24)+(((0.15*B1740*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1704*(1-MIN(100,(Inputs!$B$9+((C1728=TRUE)*(F1728-Calc!F26))+B1736+(ArtifactsInput!$M$24-ArtifactsInput!$M$24)*CHOOSE(ArtifactsInput!$N$24+1,10,12,14,16,18,20)+(IF(AND(Inputs!$B$39&lt;&gt;"pvp",Inputs!$B$44=0),1,IF(IF(Inputs!$B$39="pvp",15,Inputs!$B$44)-(B1747)&lt;=0,1,MAX(0,IF(Inputs!$B$39="pvp",15,Inputs!$B$44)-MAX(5,B1747))/(IF(Inputs!$B$39="pvp",15,Inputs!$B$44)-(B1747))))*IF(AND(ArtifactsInput!$M$42,((Inputs!$B$9+((C1728=TRUE)*(F1728-Calc!F26))+B1736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1704*(MIN(100,(Inputs!$B$9+((C1728=TRUE)*(F1728-Calc!F26))+B1736+(ArtifactsInput!$M$24-ArtifactsInput!$M$24)*CHOOSE(ArtifactsInput!$N$24+1,10,12,14,16,18,20)+(IF(AND(Inputs!$B$39&lt;&gt;"pvp",Inputs!$B$44=0),1,IF(IF(Inputs!$B$39="pvp",15,Inputs!$B$44)-(B1747)&lt;=0,1,MAX(0,IF(Inputs!$B$39="pvp",15,Inputs!$B$44)-MAX(5,B1747))/(IF(Inputs!$B$39="pvp",15,Inputs!$B$44)-(B1747))))*IF(AND(ArtifactsInput!$M$42,((Inputs!$B$9+((C1728=TRUE)*(F1728-Calc!F26))+B1736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1704*(1-MIN(100,(Inputs!$B$9+((C1728=TRUE)*(F1728-Calc!F26))+B1736+(ArtifactsInput!$M$24-ArtifactsInput!$M$24)*CHOOSE(ArtifactsInput!$N$24+1,10,12,14,16,18,20)+(IF(AND(Inputs!$B$39&lt;&gt;"pvp",Inputs!$B$44=0),1,IF(IF(Inputs!$B$39="pvp",15,Inputs!$B$44)-(B1747)&lt;=0,1,MAX(0,IF(Inputs!$B$39="pvp",15,Inputs!$B$44)-MAX(5,B1747))/(IF(Inputs!$B$39="pvp",15,Inputs!$B$44)-(B1747))))*IF(AND(ArtifactsInput!$M$42,((Inputs!$B$9+((C1728=TRUE)*(F1728-Calc!F26))+B1736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1704*(MIN(100,(Inputs!$B$9+((C1728=TRUE)*(F1728-Calc!F26))+B1736+(ArtifactsInput!$M$24-ArtifactsInput!$M$24)*CHOOSE(ArtifactsInput!$N$24+1,10,12,14,16,18,20)+(IF(AND(Inputs!$B$39&lt;&gt;"pvp",Inputs!$B$44=0),1,IF(IF(Inputs!$B$39="pvp",15,Inputs!$B$44)-(B1747)&lt;=0,1,MAX(0,IF(Inputs!$B$39="pvp",15,Inputs!$B$44)-MAX(5,B1747))/(IF(Inputs!$B$39="pvp",15,Inputs!$B$44)-(B1747))))*IF(AND(ArtifactsInput!$M$42,((Inputs!$B$9+((C1728=TRUE)*(F1728-Calc!F26))+B1736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1704">
        <f>MAX(0,(Inputs!$B$3-100)*3)+Inputs!$B$28+Inputs!$B$29</f>
        <v/>
      </c>
      <c r="V1704">
        <f>IF(C1704,(Skills!G2*N1704*B1742)*IF(Inputs!$B$39="pvp",1,(1+(Inputs!$B$21+Skills!Q2+B1737+(IF(ArtifactsInput!$M$33,CHOOSE(ArtifactsInput!$N$33+1,30,36,42,48,54,60),0))+(IF(AND(ArtifactsInput!$M$35,Inputs!$B$4&lt;&gt;"Chapter Hunt"),CHOOSE(ArtifactsInput!$N$35+1,15,18,21,24,27,30)*(1-EXP(-(0.2*B1740)*5)),0)+IF(AND(ArtifactsInput!$M$22,Inputs!$B$4&lt;&gt;"Chapter Hunt"),CHOOSE(ArtifactsInput!$N$22+1,10,12,14,16,18,20)*((0*(((0.15*B1740*5))^0/1)+1*(((0.15*B1740*5))^1/1)+2*(((0.15*B1740*5))^2/2)+3*(((0.15*B1740*5))^3/6)+4*(((0.15*B1740*5))^4/24)+5*(((0.15*B1740*5))^5/120))/((((0.15*B1740*5))^0/1)+(((0.15*B1740*5))^1/1)+(((0.15*B1740*5))^2/2)+(((0.15*B1740*5))^3/6)+(((0.15*B1740*5))^4/24)+(((0.15*B1740*5))^5/120))),0)))/100)*(MIN((6+Inputs!$B$33),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705">
      <c r="A1705">
        <f>Skills!A3</f>
        <v/>
      </c>
      <c r="B1705">
        <f>Skills!B3</f>
        <v/>
      </c>
      <c r="C1705">
        <f>Inputs!$B$3&gt;=35</f>
        <v/>
      </c>
      <c r="D1705">
        <f>IF(Skills!C3=1,60+Inputs!$B$25+Inputs!$B$29,IF(Skills!C3=2,90+Inputs!$B$26+Inputs!$B$29,IF(Skills!C3=3,120+Inputs!$B$27+Inputs!$B$29,MAX(0,(Inputs!$B$3-100)*3)+Inputs!$B$28+Inputs!$B$29)))</f>
        <v/>
      </c>
      <c r="E1705">
        <f>INDEX(FactorTable!$B$2:$Y$301, MATCH(ROUND(MIN(300,MAX(1,D1705)),0), FactorTable!$A$2:$A$301,0), Skills!M3+1)</f>
        <v/>
      </c>
      <c r="F1705">
        <f>IF(Skills!N3=TRUE,(Skills!L3/10)*(E1705/1000),Skills!L3/10)+Skills!O3</f>
        <v/>
      </c>
      <c r="G1705">
        <f>Skills!G3*IF(Skills!H3&gt;0,IF(Inputs!$B$39="pvp",MIN(Skills!I3,15),Skills!I3)/Skills!H3,1)</f>
        <v/>
      </c>
      <c r="H1705">
        <f>1-(1-Skills!J3/100)^Skills!K3</f>
        <v/>
      </c>
      <c r="I1705" t="inlineStr">
        <is>
          <t>1</t>
        </is>
      </c>
      <c r="J1705" t="inlineStr"/>
      <c r="K1705" t="inlineStr"/>
      <c r="L1705" t="inlineStr"/>
      <c r="M1705" t="inlineStr"/>
      <c r="N1705" t="inlineStr"/>
      <c r="O1705">
        <f>(1-Summary!$B$11)*T1705+Summary!$B$11*V1705</f>
        <v/>
      </c>
      <c r="P1705">
        <f>IF(B1748=0,0,O1705/B1748)</f>
        <v/>
      </c>
      <c r="Q1705" t="n">
        <v>0</v>
      </c>
      <c r="R1705" t="n">
        <v>0</v>
      </c>
      <c r="S1705">
        <f>IFERROR(O1705/N1705,0)</f>
        <v/>
      </c>
      <c r="T1705" t="n">
        <v>0</v>
      </c>
      <c r="U1705">
        <f>INDEX(FactorTable!$B$2:$Y$301, MATCH(ROUND(MIN(300,MAX(1,U1704)),0), FactorTable!$A$2:$A$301,0), 22)</f>
        <v/>
      </c>
      <c r="V1705" t="n">
        <v>0</v>
      </c>
    </row>
    <row r="1706">
      <c r="A1706">
        <f>Skills!A4</f>
        <v/>
      </c>
      <c r="B1706">
        <f>Skills!B4</f>
        <v/>
      </c>
      <c r="C1706">
        <f>Inputs!$B$3&gt;=66</f>
        <v/>
      </c>
      <c r="D1706">
        <f>IF(Skills!C4=1,60+Inputs!$B$25+Inputs!$B$29,IF(Skills!C4=2,90+Inputs!$B$26+Inputs!$B$29,IF(Skills!C4=3,120+Inputs!$B$27+Inputs!$B$29,MAX(0,(Inputs!$B$3-100)*3)+Inputs!$B$28+Inputs!$B$29)))</f>
        <v/>
      </c>
      <c r="E1706">
        <f>INDEX(FactorTable!$B$2:$Y$301, MATCH(ROUND(MIN(300,MAX(1,D1706)),0), FactorTable!$A$2:$A$301,0), Skills!M4+1)</f>
        <v/>
      </c>
      <c r="F1706">
        <f>IF(Skills!N4=TRUE,(Skills!L4/10)*(E1706/1000),Skills!L4/10)+Skills!O4</f>
        <v/>
      </c>
      <c r="G1706">
        <f>Skills!G4*IF(Skills!H4&gt;0,IF(Inputs!$B$39="pvp",MIN(Skills!I4,15),Skills!I4)/Skills!H4,1)</f>
        <v/>
      </c>
      <c r="H1706">
        <f>1-(1-Skills!J4/100)^Skills!K4</f>
        <v/>
      </c>
      <c r="I1706" t="inlineStr">
        <is>
          <t>1</t>
        </is>
      </c>
      <c r="J1706">
        <f>((Inputs!$B$6*(1+Inputs!$B$7/100))+(((Inputs!$B$12*(1+Inputs!$B$13/100))-(Inputs!$B$12*(1+Inputs!$B$13/100)))+0.25*(Inputs!$B$14-Inputs!$B$14))*(1+Inputs!$B$7/100))*(F1706/100)</f>
        <v/>
      </c>
      <c r="K1706">
        <f>J1706*(1+((Inputs!$B$12*(1+Inputs!$B$13/100))*0.01+Inputs!$B$14*0.0025)/100)*(1+Inputs!$B$15/100)*(1+Inputs!$B$16/100)*(5000/(6000+Inputs!$B$43*(1-(100*(1-(1-Inputs!$B$19/100)*(1-CHOOSE(ArtifactsInput!$N$40+1,5,6,7,8,9,10)/100)^(ArtifactsInput!$M$40-ArtifactsInput!$M$40)))/100)))*(1+(Inputs!$B$24+((C1733=TRUE)*(F1733-Calc!F31))+((C1720=TRUE)*(F1720-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4="CRUEL_STAB",Inputs!$B$17+((C1730=TRUE)*(F1730-Calc!F28))+((IF(AND(Inputs!$B$39&lt;&gt;"pvp",Inputs!$B$44=0),1,IF(IF(Inputs!$B$39="pvp",15,Inputs!$B$44)-(B1747)&lt;=0,1,MAX(0,IF(Inputs!$B$39="pvp",15,Inputs!$B$44)-MAX(5,B1747))/(IF(Inputs!$B$39="pvp",15,Inputs!$B$44)-(B1747))))*(IF(AND(ArtifactsInput!$M$42,((Inputs!$B$9+((C1728=TRUE)*(F1728-Calc!F26))+B1736+(ArtifactsInput!$M$24-ArtifactsInput!$M$24)*CHOOSE(ArtifactsInput!$N$24+1,10,12,14,16,18,20)+IF(ArtifactsInput!$M$10,CHOOSE(ArtifactsInput!$N$10+1,15,18,21,24,27,30)*(IF(Inputs!$B$39="pvp",MIN(15,15)/15,IF(AND(Inputs!$B$39&lt;&gt;"pvp",Inputs!$B$44&gt;0),MIN(15,Inputs!$B$44)/(Inputs!$B$44),0))),0)))&gt;=100),MIN(100,((Inputs!$B$9+((C1728=TRUE)*(F1728-Calc!F26))+B1736+(ArtifactsInput!$M$24-ArtifactsInput!$M$24)*CHOOSE(ArtifactsInput!$N$24+1,10,12,14,16,18,20)+IF(ArtifactsInput!$M$10,CHOOSE(ArtifactsInput!$N$10+1,15,18,21,24,27,30)*(IF(Inputs!$B$39="pvp",MIN(15,15)/15,IF(AND(Inputs!$B$39&lt;&gt;"pvp",Inputs!$B$44&gt;0),MIN(15,Inputs!$B$44)/(Inputs!$B$44),0))),0)))-100),0))*CHOOSE(ArtifactsInput!$N$42+1,0.6,0.72,0.84,0.96,1.08,1.2))),Inputs!$B$18+((C1731=TRUE)*(F1731-Calc!F29))+(IF(AND(Inputs!$B$39&lt;&gt;"pvp",Inputs!$B$44=0),1,IF(IF(Inputs!$B$39="pvp",15,Inputs!$B$44)-(B1747)&lt;=0,1,MAX(0,IF(Inputs!$B$39="pvp",15,Inputs!$B$44)-MAX(5,B1747))/(IF(Inputs!$B$39="pvp",15,Inputs!$B$44)-(B1747))))*IF(AND(ArtifactsInput!$M$42,((Inputs!$B$9+((C1728=TRUE)*(F1728-Calc!F26))+B1736+(ArtifactsInput!$M$24-ArtifactsInput!$M$24)*CHOOSE(ArtifactsInput!$N$24+1,10,12,14,16,18,20)+IF(ArtifactsInput!$M$10,CHOOSE(ArtifactsInput!$N$10+1,15,18,21,24,27,30)*(IF(Inputs!$B$39="pvp",MIN(15,15)/15,IF(AND(Inputs!$B$39&lt;&gt;"pvp",Inputs!$B$44&gt;0),MIN(15,Inputs!$B$44)/(Inputs!$B$44),0))),0)))&gt;=100),CHOOSE(ArtifactsInput!$N$42+1,40,48,56,64,72,80),0))))/100)*(((1+(((C1724=TRUE)*F1724*IF(AND(Inputs!$B$39&lt;&gt;"pvp",Inputs!$B$44&gt;0),(((R1724-1)*MIN((Skills!Y22*(1+Inputs!$B$34/100)),(1/Q1724))+MIN((Skills!Y22*(1+Inputs!$B$34/100)),MAX(0,Inputs!$B$44-((R1724-1)*(1/Q1724)))))/Inputs!$B$44),IF(Inputs!$B$39="pvp",MIN((Skills!Y22*(1+Inputs!$B$34/100)),15)/15,MIN(1,(Skills!Y22*(1+Inputs!$B$34/100))/(1/Q1724)))))+((C1705=TRUE)*F1705*3)+((C1707=TRUE)*F1707*(1-EXP(-0.75*B1740*5)))+((C1726=TRUE)*(F1726-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1713=TRUE)*F1713*IF(AND(Inputs!$B$39&lt;&gt;"pvp",Inputs!$B$44&gt;0),(((R1713-1)*MIN((Skills!Y11*(1+Inputs!$B$34/100)),(1/Q1713))+MIN((Skills!Y11*(1+Inputs!$B$34/100)),MAX(0,Inputs!$B$44-((R1713-1)*(1/Q1713)))))/Inputs!$B$44),IF(Inputs!$B$39="pvp",MIN((Skills!Y11*(1+Inputs!$B$34/100)),15)/15,MIN(1,(Skills!Y11*(1+Inputs!$B$34/100))/(1/Q1713)))))/100)*(1+((C1718=TRUE)*F1718*IF(AND(Inputs!$B$39&lt;&gt;"pvp",Inputs!$B$44&gt;0),(((R1718-1)*MIN((Skills!Y16*(1+Inputs!$B$34/100)),(1/Q1718))+MIN((Skills!Y16*(1+Inputs!$B$34/100)),MAX(0,Inputs!$B$44-((R1718-1)*(1/Q1718)))))/Inputs!$B$44),IF(Inputs!$B$39="pvp",MIN((Skills!Y16*(1+Inputs!$B$34/100)),15)/15,MIN(1,(Skills!Y16*(1+Inputs!$B$34/100))/(1/Q1718)))))/100))*(1+(IF(IF(ArtifactsInput!$M$11,FALSE,TRUE),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1738*I1706)</f>
        <v/>
      </c>
      <c r="L1706">
        <f>K1706*(MIN(Inputs!$B$22+((C1727=TRUE)*(F1727-Calc!F25)),(Inputs!$B$23+((C1732=TRUE)*(F1732-Calc!F30))+IF(ArtifactsInput!$M$15,CHOOSE(ArtifactsInput!$N$15+1,25,30,35,40,45,50)/100*(Inputs!$B$11-Inputs!$B$11),0)))/100+(Inputs!$B$23+((C1732=TRUE)*(F1732-Calc!F30))+IF(ArtifactsInput!$M$15,CHOOSE(ArtifactsInput!$N$15+1,25,30,35,40,45,50)/100*(Inputs!$B$11-Inputs!$B$11),0))/100)/2</f>
        <v/>
      </c>
      <c r="M1706">
        <f>L1706*(1+(Inputs!$B$10+((C1729=TRUE)*(F1729-Calc!F27))+B1743+(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1706">
        <f>L1706*(1-MIN((Inputs!$B$9+((C1728=TRUE)*(F1728-Calc!F26))+B1736+(ArtifactsInput!$M$24-ArtifactsInput!$M$24)*CHOOSE(ArtifactsInput!$N$24+1,10,12,14,16,18,20)+(IF(AND(Inputs!$B$39&lt;&gt;"pvp",Inputs!$B$44=0),1,IF(IF(Inputs!$B$39="pvp",15,Inputs!$B$44)-(B1747)&lt;=0,1,MAX(0,IF(Inputs!$B$39="pvp",15,Inputs!$B$44)-MAX(5,B1747))/(IF(Inputs!$B$39="pvp",15,Inputs!$B$44)-(B1747))))*IF(AND(ArtifactsInput!$M$42,((Inputs!$B$9+((C1728=TRUE)*(F1728-Calc!F26))+B1736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1706*(MIN((Inputs!$B$9+((C1728=TRUE)*(F1728-Calc!F26))+B1736+(ArtifactsInput!$M$24-ArtifactsInput!$M$24)*CHOOSE(ArtifactsInput!$N$24+1,10,12,14,16,18,20)+(IF(AND(Inputs!$B$39&lt;&gt;"pvp",Inputs!$B$44=0),1,IF(IF(Inputs!$B$39="pvp",15,Inputs!$B$44)-(B1747)&lt;=0,1,MAX(0,IF(Inputs!$B$39="pvp",15,Inputs!$B$44)-MAX(5,B1747))/(IF(Inputs!$B$39="pvp",15,Inputs!$B$44)-(B1747))))*IF(AND(ArtifactsInput!$M$42,((Inputs!$B$9+((C1728=TRUE)*(F1728-Calc!F26))+B1736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706">
        <f>(1-Summary!$B$11)*T1706+Summary!$B$11*V1706</f>
        <v/>
      </c>
      <c r="P1706">
        <f>IF(B1748=0,0,O1706/B1748)</f>
        <v/>
      </c>
      <c r="Q1706">
        <f>IFERROR(1/IF(Inputs!$B$39="pvp",15,MAX(0.1,Skills!D4-IF(TRUE=TRUE,Inputs!$B$32,0))),0)</f>
        <v/>
      </c>
      <c r="R1706">
        <f>IF(AND(Inputs!$B$39&lt;&gt;"pvp",Inputs!$B$44&gt;0),IF(MAX(0,Inputs!$B$44-B1747)&lt;=0,0,(INT(MAX(0,Inputs!$B$44-B1747)/IF(Inputs!$B$39="pvp",15,MAX(0.1,Skills!D4-IF(TRUE=TRUE,Inputs!$B$32,0))))+1)),0)</f>
        <v/>
      </c>
      <c r="S1706">
        <f>IFERROR(O1706/N1706,0)</f>
        <v/>
      </c>
      <c r="T1706">
        <f>IF(C1706,(H1706*N1706*IF(AND(Inputs!$B$39&lt;&gt;"pvp",Inputs!$B$44&gt;0),((Skills!G4*((R1706-1)*IF(Skills!H4&gt;0,Skills!I4/Skills!H4,1)+IF(Skills!H4&gt;0,MIN(Skills!I4,MAX(0,MAX(0,Inputs!$B$44-B1747)-((R1706-1)*IF(Inputs!$B$39="pvp",15,MAX(0.1,Skills!D4-IF(TRUE=TRUE,Inputs!$B$32,0))))))/Skills!H4,1)))/Inputs!$B$44),G1706*Q1706))*IF(Inputs!$B$39="pvp",1,1+(Inputs!$B$20+0+Skills!P4+B1737+(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Hunt"),CHOOSE(ArtifactsInput!$N$35+1,15,18,21,24,27,30)*(1-EXP(-(0.2*B1740)*5)),0)+IF(AND(ArtifactsInput!$M$22,Inputs!$B$4&lt;&gt;"Chapter Hunt"),CHOOSE(ArtifactsInput!$N$22+1,10,12,14,16,18,20)*((0*(((0.15*B1740*5))^0/1)+1*(((0.15*B1740*5))^1/1)+2*(((0.15*B1740*5))^2/2)+3*(((0.15*B1740*5))^3/6)+4*(((0.15*B1740*5))^4/24)+5*(((0.15*B1740*5))^5/120))/((((0.15*B1740*5))^0/1)+(((0.15*B1740*5))^1/1)+(((0.15*B1740*5))^2/2)+(((0.15*B1740*5))^3/6)+(((0.15*B1740*5))^4/24)+(((0.15*B1740*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1706*(1-MIN(100,(Inputs!$B$9+((C1728=TRUE)*(F1728-Calc!F26))+B1736+(ArtifactsInput!$M$24-ArtifactsInput!$M$24)*CHOOSE(ArtifactsInput!$N$24+1,10,12,14,16,18,20)+(IF(AND(Inputs!$B$39&lt;&gt;"pvp",Inputs!$B$44=0),1,IF(IF(Inputs!$B$39="pvp",15,Inputs!$B$44)-(B1747)&lt;=0,1,MAX(0,IF(Inputs!$B$39="pvp",15,Inputs!$B$44)-MAX(5,B1747))/(IF(Inputs!$B$39="pvp",15,Inputs!$B$44)-(B1747))))*IF(AND(ArtifactsInput!$M$42,((Inputs!$B$9+((C1728=TRUE)*(F1728-Calc!F26))+B1736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1706*(MIN(100,(Inputs!$B$9+((C1728=TRUE)*(F1728-Calc!F26))+B1736+(ArtifactsInput!$M$24-ArtifactsInput!$M$24)*CHOOSE(ArtifactsInput!$N$24+1,10,12,14,16,18,20)+(IF(AND(Inputs!$B$39&lt;&gt;"pvp",Inputs!$B$44=0),1,IF(IF(Inputs!$B$39="pvp",15,Inputs!$B$44)-(B1747)&lt;=0,1,MAX(0,IF(Inputs!$B$39="pvp",15,Inputs!$B$44)-MAX(5,B1747))/(IF(Inputs!$B$39="pvp",15,Inputs!$B$44)-(B1747))))*IF(AND(ArtifactsInput!$M$42,((Inputs!$B$9+((C1728=TRUE)*(F1728-Calc!F26))+B1736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1706*(1-MIN(100,(Inputs!$B$9+((C1728=TRUE)*(F1728-Calc!F26))+B1736+(ArtifactsInput!$M$24-ArtifactsInput!$M$24)*CHOOSE(ArtifactsInput!$N$24+1,10,12,14,16,18,20)+(IF(AND(Inputs!$B$39&lt;&gt;"pvp",Inputs!$B$44=0),1,IF(IF(Inputs!$B$39="pvp",15,Inputs!$B$44)-(B1747)&lt;=0,1,MAX(0,IF(Inputs!$B$39="pvp",15,Inputs!$B$44)-MAX(5,B1747))/(IF(Inputs!$B$39="pvp",15,Inputs!$B$44)-(B1747))))*IF(AND(ArtifactsInput!$M$42,((Inputs!$B$9+((C1728=TRUE)*(F1728-Calc!F26))+B1736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1706*(MIN(100,(Inputs!$B$9+((C1728=TRUE)*(F1728-Calc!F26))+B1736+(ArtifactsInput!$M$24-ArtifactsInput!$M$24)*CHOOSE(ArtifactsInput!$N$24+1,10,12,14,16,18,20)+(IF(AND(Inputs!$B$39&lt;&gt;"pvp",Inputs!$B$44=0),1,IF(IF(Inputs!$B$39="pvp",15,Inputs!$B$44)-(B1747)&lt;=0,1,MAX(0,IF(Inputs!$B$39="pvp",15,Inputs!$B$44)-MAX(5,B1747))/(IF(Inputs!$B$39="pvp",15,Inputs!$B$44)-(B1747))))*IF(AND(ArtifactsInput!$M$42,((Inputs!$B$9+((C1728=TRUE)*(F1728-Calc!F26))+B1736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1706">
        <f>290*U1705/1000</f>
        <v/>
      </c>
      <c r="V1706">
        <f>IF(C1706,(H1706*N1706*IF(AND(Inputs!$B$39&lt;&gt;"pvp",Inputs!$B$44&gt;0),((Skills!G4*((R1706-1)*IF(Skills!H4&gt;0,Skills!I4/Skills!H4,1)+IF(Skills!H4&gt;0,MIN(Skills!I4,MAX(0,MAX(0,Inputs!$B$44-B1747)-((R1706-1)*IF(Inputs!$B$39="pvp",15,MAX(0.1,Skills!D4-IF(TRUE=TRUE,Inputs!$B$32,0))))))/Skills!H4,1)))/Inputs!$B$44),G1706*Q1706))*IF(Inputs!$B$39="pvp",1,(1+(Inputs!$B$21+Skills!Q4+B1737+(IF(ArtifactsInput!$M$33,CHOOSE(ArtifactsInput!$N$33+1,30,36,42,48,54,60),0))+(IF(AND(ArtifactsInput!$M$35,Inputs!$B$4&lt;&gt;"Chapter Hunt"),CHOOSE(ArtifactsInput!$N$35+1,15,18,21,24,27,30)*(1-EXP(-(0.2*B1740)*5)),0)+IF(AND(ArtifactsInput!$M$22,Inputs!$B$4&lt;&gt;"Chapter Hunt"),CHOOSE(ArtifactsInput!$N$22+1,10,12,14,16,18,20)*((0*(((0.15*B1740*5))^0/1)+1*(((0.15*B1740*5))^1/1)+2*(((0.15*B1740*5))^2/2)+3*(((0.15*B1740*5))^3/6)+4*(((0.15*B1740*5))^4/24)+5*(((0.15*B1740*5))^5/120))/((((0.15*B1740*5))^0/1)+(((0.15*B1740*5))^1/1)+(((0.15*B1740*5))^2/2)+(((0.15*B1740*5))^3/6)+(((0.15*B1740*5))^4/24)+(((0.15*B1740*5))^5/120))),0)))/100)*(MIN(MIN(10,IF(Inputs!$B$3&gt;=75,0.75,0.5)*B1740*(1/Q1706)),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707">
      <c r="A1707">
        <f>Skills!A5</f>
        <v/>
      </c>
      <c r="B1707">
        <f>Skills!B5</f>
        <v/>
      </c>
      <c r="C1707">
        <f>Inputs!$B$3&gt;=75</f>
        <v/>
      </c>
      <c r="D1707">
        <f>IF(Skills!C5=1,60+Inputs!$B$25+Inputs!$B$29,IF(Skills!C5=2,90+Inputs!$B$26+Inputs!$B$29,IF(Skills!C5=3,120+Inputs!$B$27+Inputs!$B$29,MAX(0,(Inputs!$B$3-100)*3)+Inputs!$B$28+Inputs!$B$29)))</f>
        <v/>
      </c>
      <c r="E1707">
        <f>INDEX(FactorTable!$B$2:$Y$301, MATCH(ROUND(MIN(300,MAX(1,D1707)),0), FactorTable!$A$2:$A$301,0), Skills!M5+1)</f>
        <v/>
      </c>
      <c r="F1707">
        <f>IF(Skills!N5=TRUE,(Skills!L5/10)*(E1707/1000),Skills!L5/10)+Skills!O5</f>
        <v/>
      </c>
      <c r="G1707">
        <f>Skills!G5*IF(Skills!H5&gt;0,IF(Inputs!$B$39="pvp",MIN(Skills!I5,15),Skills!I5)/Skills!H5,1)</f>
        <v/>
      </c>
      <c r="H1707">
        <f>1-(1-Skills!J5/100)^Skills!K5</f>
        <v/>
      </c>
      <c r="I1707" t="inlineStr">
        <is>
          <t>1</t>
        </is>
      </c>
      <c r="J1707" t="inlineStr"/>
      <c r="K1707" t="inlineStr"/>
      <c r="L1707" t="inlineStr"/>
      <c r="M1707" t="inlineStr"/>
      <c r="N1707" t="inlineStr"/>
      <c r="O1707">
        <f>(1-Summary!$B$11)*T1707+Summary!$B$11*V1707</f>
        <v/>
      </c>
      <c r="P1707">
        <f>IF(B1748=0,0,O1707/B1748)</f>
        <v/>
      </c>
      <c r="Q1707" t="n">
        <v>0</v>
      </c>
      <c r="R1707" t="n">
        <v>0</v>
      </c>
      <c r="S1707">
        <f>IFERROR(O1707/N1707,0)</f>
        <v/>
      </c>
      <c r="T1707" t="n">
        <v>0</v>
      </c>
      <c r="V1707" t="n">
        <v>0</v>
      </c>
    </row>
    <row r="1708">
      <c r="A1708">
        <f>Skills!A6</f>
        <v/>
      </c>
      <c r="B1708">
        <f>Skills!B6</f>
        <v/>
      </c>
      <c r="C1708">
        <f>Inputs!$B$3&gt;=63</f>
        <v/>
      </c>
      <c r="D1708">
        <f>IF(Skills!C6=1,60+Inputs!$B$25+Inputs!$B$29,IF(Skills!C6=2,90+Inputs!$B$26+Inputs!$B$29,IF(Skills!C6=3,120+Inputs!$B$27+Inputs!$B$29,MAX(0,(Inputs!$B$3-100)*3)+Inputs!$B$28+Inputs!$B$29)))</f>
        <v/>
      </c>
      <c r="E1708">
        <f>INDEX(FactorTable!$B$2:$Y$301, MATCH(ROUND(MIN(300,MAX(1,D1708)),0), FactorTable!$A$2:$A$301,0), Skills!M6+1)</f>
        <v/>
      </c>
      <c r="F1708">
        <f>IF(Skills!N6=TRUE,(Skills!L6/10)*(E1708/1000),Skills!L6/10)+Skills!O6</f>
        <v/>
      </c>
      <c r="G1708">
        <f>Skills!G6*IF(Skills!H6&gt;0,IF(Inputs!$B$39="pvp",MIN(Skills!I6,15),Skills!I6)/Skills!H6,1)</f>
        <v/>
      </c>
      <c r="H1708">
        <f>1-(1-Skills!J6/100)^Skills!K6</f>
        <v/>
      </c>
      <c r="I1708" t="inlineStr">
        <is>
          <t>1</t>
        </is>
      </c>
      <c r="J1708">
        <f>((Inputs!$B$6*(1+Inputs!$B$7/100))+(((Inputs!$B$12*(1+Inputs!$B$13/100))-(Inputs!$B$12*(1+Inputs!$B$13/100)))+0.25*(Inputs!$B$14-Inputs!$B$14))*(1+Inputs!$B$7/100))*(F1708/100)</f>
        <v/>
      </c>
      <c r="K1708">
        <f>J1708*(1+((Inputs!$B$12*(1+Inputs!$B$13/100))*0.01+Inputs!$B$14*0.0025)/100)*(1+Inputs!$B$15/100)*(1+Inputs!$B$16/100)*(5000/(6000+Inputs!$B$43*(1-(100*(1-(1-Inputs!$B$19/100)*(1-CHOOSE(ArtifactsInput!$N$40+1,5,6,7,8,9,10)/100)^(ArtifactsInput!$M$40-ArtifactsInput!$M$40)))/100)))*(1+(Inputs!$B$24+((C1733=TRUE)*(F1733-Calc!F31))+((C1720=TRUE)*(F1720-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+2.6666666666666665*IF(C1721=TRUE,F1721,0)/100)*(1+(IF(Skills!A6="CRUEL_STAB",Inputs!$B$17+((C1730=TRUE)*(F1730-Calc!F28))+((IF(AND(Inputs!$B$39&lt;&gt;"pvp",Inputs!$B$44=0),1,IF(IF(Inputs!$B$39="pvp",15,Inputs!$B$44)-(B1747)&lt;=0,1,MAX(0,IF(Inputs!$B$39="pvp",15,Inputs!$B$44)-MAX(5,B1747))/(IF(Inputs!$B$39="pvp",15,Inputs!$B$44)-(B1747))))*(IF(AND(ArtifactsInput!$M$42,((Inputs!$B$9+((C1728=TRUE)*(F1728-Calc!F26))+B1736+(ArtifactsInput!$M$24-ArtifactsInput!$M$24)*CHOOSE(ArtifactsInput!$N$24+1,10,12,14,16,18,20)+IF(ArtifactsInput!$M$10,CHOOSE(ArtifactsInput!$N$10+1,15,18,21,24,27,30)*(IF(Inputs!$B$39="pvp",MIN(15,15)/15,IF(AND(Inputs!$B$39&lt;&gt;"pvp",Inputs!$B$44&gt;0),MIN(15,Inputs!$B$44)/(Inputs!$B$44),0))),0)))&gt;=100),MIN(100,((Inputs!$B$9+((C1728=TRUE)*(F1728-Calc!F26))+B1736+(ArtifactsInput!$M$24-ArtifactsInput!$M$24)*CHOOSE(ArtifactsInput!$N$24+1,10,12,14,16,18,20)+IF(ArtifactsInput!$M$10,CHOOSE(ArtifactsInput!$N$10+1,15,18,21,24,27,30)*(IF(Inputs!$B$39="pvp",MIN(15,15)/15,IF(AND(Inputs!$B$39&lt;&gt;"pvp",Inputs!$B$44&gt;0),MIN(15,Inputs!$B$44)/(Inputs!$B$44),0))),0)))-100),0))*CHOOSE(ArtifactsInput!$N$42+1,0.6,0.72,0.84,0.96,1.08,1.2))),Inputs!$B$18+((C1731=TRUE)*(F1731-Calc!F29))+(IF(AND(Inputs!$B$39&lt;&gt;"pvp",Inputs!$B$44=0),1,IF(IF(Inputs!$B$39="pvp",15,Inputs!$B$44)-(B1747)&lt;=0,1,MAX(0,IF(Inputs!$B$39="pvp",15,Inputs!$B$44)-MAX(5,B1747))/(IF(Inputs!$B$39="pvp",15,Inputs!$B$44)-(B1747))))*IF(AND(ArtifactsInput!$M$42,((Inputs!$B$9+((C1728=TRUE)*(F1728-Calc!F26))+B1736+(ArtifactsInput!$M$24-ArtifactsInput!$M$24)*CHOOSE(ArtifactsInput!$N$24+1,10,12,14,16,18,20)+IF(ArtifactsInput!$M$10,CHOOSE(ArtifactsInput!$N$10+1,15,18,21,24,27,30)*(IF(Inputs!$B$39="pvp",MIN(15,15)/15,IF(AND(Inputs!$B$39&lt;&gt;"pvp",Inputs!$B$44&gt;0),MIN(15,Inputs!$B$44)/(Inputs!$B$44),0))),0)))&gt;=100),CHOOSE(ArtifactsInput!$N$42+1,40,48,56,64,72,80),0))))/100)*(((1+(((C1724=TRUE)*F1724*IF(AND(Inputs!$B$39&lt;&gt;"pvp",Inputs!$B$44&gt;0),(((R1724-1)*MIN((Skills!Y22*(1+Inputs!$B$34/100)),(1/Q1724))+MIN((Skills!Y22*(1+Inputs!$B$34/100)),MAX(0,Inputs!$B$44-((R1724-1)*(1/Q1724)))))/Inputs!$B$44),IF(Inputs!$B$39="pvp",MIN((Skills!Y22*(1+Inputs!$B$34/100)),15)/15,MIN(1,(Skills!Y22*(1+Inputs!$B$34/100))/(1/Q1724)))))+((C1705=TRUE)*F1705*3)+((C1707=TRUE)*F1707*(1-EXP(-0.75*B1740*5)))+((C1726=TRUE)*(F1726-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1713=TRUE)*F1713*IF(AND(Inputs!$B$39&lt;&gt;"pvp",Inputs!$B$44&gt;0),(((R1713-1)*MIN((Skills!Y11*(1+Inputs!$B$34/100)),(1/Q1713))+MIN((Skills!Y11*(1+Inputs!$B$34/100)),MAX(0,Inputs!$B$44-((R1713-1)*(1/Q1713)))))/Inputs!$B$44),IF(Inputs!$B$39="pvp",MIN((Skills!Y11*(1+Inputs!$B$34/100)),15)/15,MIN(1,(Skills!Y11*(1+Inputs!$B$34/100))/(1/Q1713)))))/100)*(1+((C1718=TRUE)*F1718*IF(AND(Inputs!$B$39&lt;&gt;"pvp",Inputs!$B$44&gt;0),(((R1718-1)*MIN((Skills!Y16*(1+Inputs!$B$34/100)),(1/Q1718))+MIN((Skills!Y16*(1+Inputs!$B$34/100)),MAX(0,Inputs!$B$44-((R1718-1)*(1/Q1718)))))/Inputs!$B$44),IF(Inputs!$B$39="pvp",MIN((Skills!Y16*(1+Inputs!$B$34/100)),15)/15,MIN(1,(Skills!Y16*(1+Inputs!$B$34/100))/(1/Q1718)))))/100))*(1+(IF(IF(ArtifactsInput!$M$11,FALSE,TRUE),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1738*I1708)</f>
        <v/>
      </c>
      <c r="L1708">
        <f>K1708*(MIN(Inputs!$B$22+((C1727=TRUE)*(F1727-Calc!F25)),(Inputs!$B$23+((C1732=TRUE)*(F1732-Calc!F30))+IF(ArtifactsInput!$M$15,CHOOSE(ArtifactsInput!$N$15+1,25,30,35,40,45,50)/100*(Inputs!$B$11-Inputs!$B$11),0)))/100+(Inputs!$B$23+((C1732=TRUE)*(F1732-Calc!F30))+IF(ArtifactsInput!$M$15,CHOOSE(ArtifactsInput!$N$15+1,25,30,35,40,45,50)/100*(Inputs!$B$11-Inputs!$B$11),0))/100)/2</f>
        <v/>
      </c>
      <c r="M1708">
        <f>L1708*(1+(Inputs!$B$10+((C1729=TRUE)*(F1729-Calc!F27))+B1743+(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1708">
        <f>L1708*(1-MIN((Inputs!$B$9+((C1728=TRUE)*(F1728-Calc!F26))+B1736+(ArtifactsInput!$M$24-ArtifactsInput!$M$24)*CHOOSE(ArtifactsInput!$N$24+1,10,12,14,16,18,20)+(IF(AND(Inputs!$B$39&lt;&gt;"pvp",Inputs!$B$44=0),1,IF(IF(Inputs!$B$39="pvp",15,Inputs!$B$44)-(B1747)&lt;=0,1,MAX(0,IF(Inputs!$B$39="pvp",15,Inputs!$B$44)-MAX(5,B1747))/(IF(Inputs!$B$39="pvp",15,Inputs!$B$44)-(B1747))))*IF(AND(ArtifactsInput!$M$42,((Inputs!$B$9+((C1728=TRUE)*(F1728-Calc!F26))+B1736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1708*(MIN((Inputs!$B$9+((C1728=TRUE)*(F1728-Calc!F26))+B1736+(ArtifactsInput!$M$24-ArtifactsInput!$M$24)*CHOOSE(ArtifactsInput!$N$24+1,10,12,14,16,18,20)+(IF(AND(Inputs!$B$39&lt;&gt;"pvp",Inputs!$B$44=0),1,IF(IF(Inputs!$B$39="pvp",15,Inputs!$B$44)-(B1747)&lt;=0,1,MAX(0,IF(Inputs!$B$39="pvp",15,Inputs!$B$44)-MAX(5,B1747))/(IF(Inputs!$B$39="pvp",15,Inputs!$B$44)-(B1747))))*IF(AND(ArtifactsInput!$M$42,((Inputs!$B$9+((C1728=TRUE)*(F1728-Calc!F26))+B1736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708">
        <f>(1-Summary!$B$11)*T1708+Summary!$B$11*V1708</f>
        <v/>
      </c>
      <c r="P1708">
        <f>IF(B1748=0,0,O1708/B1748)</f>
        <v/>
      </c>
      <c r="Q1708">
        <f>IFERROR(1/IF(Inputs!$B$39="pvp",15,MAX(0.1,Skills!D6-IF(TRUE=TRUE,Inputs!$B$32,0))),0)</f>
        <v/>
      </c>
      <c r="R1708">
        <f>IF(AND(Inputs!$B$39&lt;&gt;"pvp",Inputs!$B$44&gt;0),IF(MAX(0,Inputs!$B$44-B1747)&lt;=0,0,(INT(MAX(0,Inputs!$B$44-B1747)/IF(Inputs!$B$39="pvp",15,MAX(0.1,Skills!D6-IF(TRUE=TRUE,Inputs!$B$32,0))))+1)),0)</f>
        <v/>
      </c>
      <c r="S1708">
        <f>IFERROR(O1708/N1708,0)</f>
        <v/>
      </c>
      <c r="T1708">
        <f>IF(C1708,(H1708*N1708*IF(AND(Inputs!$B$39&lt;&gt;"pvp",Inputs!$B$44&gt;0),((Skills!G6*((R1708-1)*IF(Skills!H6&gt;0,Skills!I6/Skills!H6,1)+IF(Skills!H6&gt;0,MIN(Skills!I6,MAX(0,MAX(0,Inputs!$B$44-B1747)-((R1708-1)*IF(Inputs!$B$39="pvp",15,MAX(0.1,Skills!D6-IF(TRUE=TRUE,Inputs!$B$32,0))))))/Skills!H6,1)))/Inputs!$B$44),G1708*Q1708))*IF(Inputs!$B$39="pvp",1,1+(Inputs!$B$20+0+Skills!P6+B1737+(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Hunt"),CHOOSE(ArtifactsInput!$N$35+1,15,18,21,24,27,30)*(1-EXP(-(0.2*B1740)*5)),0)+IF(AND(ArtifactsInput!$M$22,Inputs!$B$4&lt;&gt;"Chapter Hunt"),CHOOSE(ArtifactsInput!$N$22+1,10,12,14,16,18,20)*((0*(((0.15*B1740*5))^0/1)+1*(((0.15*B1740*5))^1/1)+2*(((0.15*B1740*5))^2/2)+3*(((0.15*B1740*5))^3/6)+4*(((0.15*B1740*5))^4/24)+5*(((0.15*B1740*5))^5/120))/((((0.15*B1740*5))^0/1)+(((0.15*B1740*5))^1/1)+(((0.15*B1740*5))^2/2)+(((0.15*B1740*5))^3/6)+(((0.15*B1740*5))^4/24)+(((0.15*B1740*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1708*(1-MIN(100,(Inputs!$B$9+((C1728=TRUE)*(F1728-Calc!F26))+B1736+(ArtifactsInput!$M$24-ArtifactsInput!$M$24)*CHOOSE(ArtifactsInput!$N$24+1,10,12,14,16,18,20)+(IF(AND(Inputs!$B$39&lt;&gt;"pvp",Inputs!$B$44=0),1,IF(IF(Inputs!$B$39="pvp",15,Inputs!$B$44)-(B1747)&lt;=0,1,MAX(0,IF(Inputs!$B$39="pvp",15,Inputs!$B$44)-MAX(5,B1747))/(IF(Inputs!$B$39="pvp",15,Inputs!$B$44)-(B1747))))*IF(AND(ArtifactsInput!$M$42,((Inputs!$B$9+((C1728=TRUE)*(F1728-Calc!F26))+B1736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1708*(MIN(100,(Inputs!$B$9+((C1728=TRUE)*(F1728-Calc!F26))+B1736+(ArtifactsInput!$M$24-ArtifactsInput!$M$24)*CHOOSE(ArtifactsInput!$N$24+1,10,12,14,16,18,20)+(IF(AND(Inputs!$B$39&lt;&gt;"pvp",Inputs!$B$44=0),1,IF(IF(Inputs!$B$39="pvp",15,Inputs!$B$44)-(B1747)&lt;=0,1,MAX(0,IF(Inputs!$B$39="pvp",15,Inputs!$B$44)-MAX(5,B1747))/(IF(Inputs!$B$39="pvp",15,Inputs!$B$44)-(B1747))))*IF(AND(ArtifactsInput!$M$42,((Inputs!$B$9+((C1728=TRUE)*(F1728-Calc!F26))+B1736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1708*(1-MIN(100,(Inputs!$B$9+((C1728=TRUE)*(F1728-Calc!F26))+B1736+(ArtifactsInput!$M$24-ArtifactsInput!$M$24)*CHOOSE(ArtifactsInput!$N$24+1,10,12,14,16,18,20)+(IF(AND(Inputs!$B$39&lt;&gt;"pvp",Inputs!$B$44=0),1,IF(IF(Inputs!$B$39="pvp",15,Inputs!$B$44)-(B1747)&lt;=0,1,MAX(0,IF(Inputs!$B$39="pvp",15,Inputs!$B$44)-MAX(5,B1747))/(IF(Inputs!$B$39="pvp",15,Inputs!$B$44)-(B1747))))*IF(AND(ArtifactsInput!$M$42,((Inputs!$B$9+((C1728=TRUE)*(F1728-Calc!F26))+B1736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1708*(MIN(100,(Inputs!$B$9+((C1728=TRUE)*(F1728-Calc!F26))+B1736+(ArtifactsInput!$M$24-ArtifactsInput!$M$24)*CHOOSE(ArtifactsInput!$N$24+1,10,12,14,16,18,20)+(IF(AND(Inputs!$B$39&lt;&gt;"pvp",Inputs!$B$44=0),1,IF(IF(Inputs!$B$39="pvp",15,Inputs!$B$44)-(B1747)&lt;=0,1,MAX(0,IF(Inputs!$B$39="pvp",15,Inputs!$B$44)-MAX(5,B1747))/(IF(Inputs!$B$39="pvp",15,Inputs!$B$44)-(B1747))))*IF(AND(ArtifactsInput!$M$42,((Inputs!$B$9+((C1728=TRUE)*(F1728-Calc!F26))+B1736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1708">
        <f>IF(C1708,(H1708*N1708*IF(AND(Inputs!$B$39&lt;&gt;"pvp",Inputs!$B$44&gt;0),((Skills!G6*((R1708-1)*IF(Skills!H6&gt;0,Skills!I6/Skills!H6,1)+IF(Skills!H6&gt;0,MIN(Skills!I6,MAX(0,MAX(0,Inputs!$B$44-B1747)-((R1708-1)*IF(Inputs!$B$39="pvp",15,MAX(0.1,Skills!D6-IF(TRUE=TRUE,Inputs!$B$32,0))))))/Skills!H6,1)))/Inputs!$B$44),G1708*Q1708))*IF(Inputs!$B$39="pvp",1,(1+(Inputs!$B$21+Skills!Q6+B1737+(IF(ArtifactsInput!$M$33,CHOOSE(ArtifactsInput!$N$33+1,30,36,42,48,54,60),0))+(IF(AND(ArtifactsInput!$M$35,Inputs!$B$4&lt;&gt;"Chapter Hunt"),CHOOSE(ArtifactsInput!$N$35+1,15,18,21,24,27,30)*(1-EXP(-(0.2*B1740)*5)),0)+IF(AND(ArtifactsInput!$M$22,Inputs!$B$4&lt;&gt;"Chapter Hunt"),CHOOSE(ArtifactsInput!$N$22+1,10,12,14,16,18,20)*((0*(((0.15*B1740*5))^0/1)+1*(((0.15*B1740*5))^1/1)+2*(((0.15*B1740*5))^2/2)+3*(((0.15*B1740*5))^3/6)+4*(((0.15*B1740*5))^4/24)+5*(((0.15*B1740*5))^5/120))/((((0.15*B1740*5))^0/1)+(((0.15*B1740*5))^1/1)+(((0.15*B1740*5))^2/2)+(((0.15*B1740*5))^3/6)+(((0.15*B1740*5))^4/24)+(((0.15*B1740*5))^5/120))),0)))/100)*(MIN(Skills!W6,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709">
      <c r="A1709">
        <f>Skills!A7</f>
        <v/>
      </c>
      <c r="B1709">
        <f>Skills!B7</f>
        <v/>
      </c>
      <c r="C1709">
        <f>Inputs!$B$3&gt;=69</f>
        <v/>
      </c>
      <c r="D1709">
        <f>IF(Skills!C7=1,60+Inputs!$B$25+Inputs!$B$29,IF(Skills!C7=2,90+Inputs!$B$26+Inputs!$B$29,IF(Skills!C7=3,120+Inputs!$B$27+Inputs!$B$29,MAX(0,(Inputs!$B$3-100)*3)+Inputs!$B$28+Inputs!$B$29)))</f>
        <v/>
      </c>
      <c r="E1709">
        <f>INDEX(FactorTable!$B$2:$Y$301, MATCH(ROUND(MIN(300,MAX(1,D1709)),0), FactorTable!$A$2:$A$301,0), Skills!M7+1)</f>
        <v/>
      </c>
      <c r="F1709">
        <f>IF(Skills!N7=TRUE,(Skills!L7/10)*(E1709/1000),Skills!L7/10)+Skills!O7</f>
        <v/>
      </c>
      <c r="G1709">
        <f>Skills!G7*IF(Skills!H7&gt;0,IF(Inputs!$B$39="pvp",MIN(Skills!I7,15),Skills!I7)/Skills!H7,1)</f>
        <v/>
      </c>
      <c r="H1709">
        <f>1-(1-Skills!J7/100)^Skills!K7</f>
        <v/>
      </c>
      <c r="I1709" t="inlineStr">
        <is>
          <t>1</t>
        </is>
      </c>
      <c r="J1709">
        <f>((Inputs!$B$6*(1+Inputs!$B$7/100))+(((Inputs!$B$12*(1+Inputs!$B$13/100))-(Inputs!$B$12*(1+Inputs!$B$13/100)))+0.25*(Inputs!$B$14-Inputs!$B$14))*(1+Inputs!$B$7/100))*(F1709/100)</f>
        <v/>
      </c>
      <c r="K1709">
        <f>J1709*(1+((Inputs!$B$12*(1+Inputs!$B$13/100))*0.01+Inputs!$B$14*0.0025)/100)*(1+Inputs!$B$15/100)*(1+Inputs!$B$16/100)*(5000/(6000+Inputs!$B$43*(1-(100*(1-(1-Inputs!$B$19/100)*(1-CHOOSE(ArtifactsInput!$N$40+1,5,6,7,8,9,10)/100)^(ArtifactsInput!$M$40-ArtifactsInput!$M$40)))/100)))*(1+(Inputs!$B$24+((C1733=TRUE)*(F1733-Calc!F31))+((C1720=TRUE)*(F1720-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1721=TRUE,F1721,0)/100)*(1+(IF(Skills!A7="CRUEL_STAB",Inputs!$B$17+((C1730=TRUE)*(F1730-Calc!F28))+((IF(AND(Inputs!$B$39&lt;&gt;"pvp",Inputs!$B$44=0),1,IF(IF(Inputs!$B$39="pvp",15,Inputs!$B$44)-(B1747)&lt;=0,1,MAX(0,IF(Inputs!$B$39="pvp",15,Inputs!$B$44)-MAX(5,B1747))/(IF(Inputs!$B$39="pvp",15,Inputs!$B$44)-(B1747))))*(IF(AND(ArtifactsInput!$M$42,((Inputs!$B$9+((C1728=TRUE)*(F1728-Calc!F26))+B1736+(ArtifactsInput!$M$24-ArtifactsInput!$M$24)*CHOOSE(ArtifactsInput!$N$24+1,10,12,14,16,18,20)+IF(ArtifactsInput!$M$10,CHOOSE(ArtifactsInput!$N$10+1,15,18,21,24,27,30)*(IF(Inputs!$B$39="pvp",MIN(15,15)/15,IF(AND(Inputs!$B$39&lt;&gt;"pvp",Inputs!$B$44&gt;0),MIN(15,Inputs!$B$44)/(Inputs!$B$44),0))),0)))&gt;=100),MIN(100,((Inputs!$B$9+((C1728=TRUE)*(F1728-Calc!F26))+B1736+(ArtifactsInput!$M$24-ArtifactsInput!$M$24)*CHOOSE(ArtifactsInput!$N$24+1,10,12,14,16,18,20)+IF(ArtifactsInput!$M$10,CHOOSE(ArtifactsInput!$N$10+1,15,18,21,24,27,30)*(IF(Inputs!$B$39="pvp",MIN(15,15)/15,IF(AND(Inputs!$B$39&lt;&gt;"pvp",Inputs!$B$44&gt;0),MIN(15,Inputs!$B$44)/(Inputs!$B$44),0))),0)))-100),0))*CHOOSE(ArtifactsInput!$N$42+1,0.6,0.72,0.84,0.96,1.08,1.2))),Inputs!$B$18+((C1731=TRUE)*(F1731-Calc!F29))+(IF(AND(Inputs!$B$39&lt;&gt;"pvp",Inputs!$B$44=0),1,IF(IF(Inputs!$B$39="pvp",15,Inputs!$B$44)-(B1747)&lt;=0,1,MAX(0,IF(Inputs!$B$39="pvp",15,Inputs!$B$44)-MAX(5,B1747))/(IF(Inputs!$B$39="pvp",15,Inputs!$B$44)-(B1747))))*IF(AND(ArtifactsInput!$M$42,((Inputs!$B$9+((C1728=TRUE)*(F1728-Calc!F26))+B1736+(ArtifactsInput!$M$24-ArtifactsInput!$M$24)*CHOOSE(ArtifactsInput!$N$24+1,10,12,14,16,18,20)+IF(ArtifactsInput!$M$10,CHOOSE(ArtifactsInput!$N$10+1,15,18,21,24,27,30)*(IF(Inputs!$B$39="pvp",MIN(15,15)/15,IF(AND(Inputs!$B$39&lt;&gt;"pvp",Inputs!$B$44&gt;0),MIN(15,Inputs!$B$44)/(Inputs!$B$44),0))),0)))&gt;=100),CHOOSE(ArtifactsInput!$N$42+1,40,48,56,64,72,80),0))))/100)*(((1+(((C1724=TRUE)*F1724*IF(AND(Inputs!$B$39&lt;&gt;"pvp",Inputs!$B$44&gt;0),(((R1724-1)*MIN((Skills!Y22*(1+Inputs!$B$34/100)),(1/Q1724))+MIN((Skills!Y22*(1+Inputs!$B$34/100)),MAX(0,Inputs!$B$44-((R1724-1)*(1/Q1724)))))/Inputs!$B$44),IF(Inputs!$B$39="pvp",MIN((Skills!Y22*(1+Inputs!$B$34/100)),15)/15,MIN(1,(Skills!Y22*(1+Inputs!$B$34/100))/(1/Q1724)))))+((C1705=TRUE)*F1705*3)+((C1707=TRUE)*F1707*(1-EXP(-0.75*B1740*5)))+((C1726=TRUE)*(F1726-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1713=TRUE)*F1713*IF(AND(Inputs!$B$39&lt;&gt;"pvp",Inputs!$B$44&gt;0),(((R1713-1)*MIN((Skills!Y11*(1+Inputs!$B$34/100)),(1/Q1713))+MIN((Skills!Y11*(1+Inputs!$B$34/100)),MAX(0,Inputs!$B$44-((R1713-1)*(1/Q1713)))))/Inputs!$B$44),IF(Inputs!$B$39="pvp",MIN((Skills!Y11*(1+Inputs!$B$34/100)),15)/15,MIN(1,(Skills!Y11*(1+Inputs!$B$34/100))/(1/Q1713)))))/100)*(1+((C1718=TRUE)*F1718*IF(AND(Inputs!$B$39&lt;&gt;"pvp",Inputs!$B$44&gt;0),(((R1718-1)*MIN((Skills!Y16*(1+Inputs!$B$34/100)),(1/Q1718))+MIN((Skills!Y16*(1+Inputs!$B$34/100)),MAX(0,Inputs!$B$44-((R1718-1)*(1/Q1718)))))/Inputs!$B$44),IF(Inputs!$B$39="pvp",MIN((Skills!Y16*(1+Inputs!$B$34/100)),15)/15,MIN(1,(Skills!Y16*(1+Inputs!$B$34/100))/(1/Q1718)))))/100))*(1+(IF(IF(ArtifactsInput!$M$11,FALSE,TRUE),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1738*I1709)</f>
        <v/>
      </c>
      <c r="L1709">
        <f>K1709*(MIN(Inputs!$B$22+((C1727=TRUE)*(F1727-Calc!F25)),(Inputs!$B$23+((C1732=TRUE)*(F1732-Calc!F30))+IF(ArtifactsInput!$M$15,CHOOSE(ArtifactsInput!$N$15+1,25,30,35,40,45,50)/100*(Inputs!$B$11-Inputs!$B$11),0)))/100+(Inputs!$B$23+((C1732=TRUE)*(F1732-Calc!F30))+IF(ArtifactsInput!$M$15,CHOOSE(ArtifactsInput!$N$15+1,25,30,35,40,45,50)/100*(Inputs!$B$11-Inputs!$B$11),0))/100)/2</f>
        <v/>
      </c>
      <c r="M1709">
        <f>L1709*(1+(Inputs!$B$10+((C1729=TRUE)*(F1729-Calc!F27))+B1743+(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1709">
        <f>L1709*(1-MIN((Inputs!$B$9+((C1728=TRUE)*(F1728-Calc!F26))+B1736+(ArtifactsInput!$M$24-ArtifactsInput!$M$24)*CHOOSE(ArtifactsInput!$N$24+1,10,12,14,16,18,20)+(IF(AND(Inputs!$B$39&lt;&gt;"pvp",Inputs!$B$44=0),1,IF(IF(Inputs!$B$39="pvp",15,Inputs!$B$44)-(B1747)&lt;=0,1,MAX(0,IF(Inputs!$B$39="pvp",15,Inputs!$B$44)-MAX(5,B1747))/(IF(Inputs!$B$39="pvp",15,Inputs!$B$44)-(B1747))))*IF(AND(ArtifactsInput!$M$42,((Inputs!$B$9+((C1728=TRUE)*(F1728-Calc!F26))+B1736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1709*(MIN((Inputs!$B$9+((C1728=TRUE)*(F1728-Calc!F26))+B1736+(ArtifactsInput!$M$24-ArtifactsInput!$M$24)*CHOOSE(ArtifactsInput!$N$24+1,10,12,14,16,18,20)+(IF(AND(Inputs!$B$39&lt;&gt;"pvp",Inputs!$B$44=0),1,IF(IF(Inputs!$B$39="pvp",15,Inputs!$B$44)-(B1747)&lt;=0,1,MAX(0,IF(Inputs!$B$39="pvp",15,Inputs!$B$44)-MAX(5,B1747))/(IF(Inputs!$B$39="pvp",15,Inputs!$B$44)-(B1747))))*IF(AND(ArtifactsInput!$M$42,((Inputs!$B$9+((C1728=TRUE)*(F1728-Calc!F26))+B1736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709">
        <f>(1-Summary!$B$11)*T1709+Summary!$B$11*V1709</f>
        <v/>
      </c>
      <c r="P1709">
        <f>IF(B1748=0,0,O1709/B1748)</f>
        <v/>
      </c>
      <c r="Q1709">
        <f>IFERROR(1/IF(Inputs!$B$39="pvp",15,MAX(0.1,Skills!D7-IF(TRUE=TRUE,Inputs!$B$32,0))),0)</f>
        <v/>
      </c>
      <c r="R1709">
        <f>IF(AND(Inputs!$B$39&lt;&gt;"pvp",Inputs!$B$44&gt;0),IF(MAX(0,Inputs!$B$44-B1747)&lt;=0,0,(INT(MAX(0,Inputs!$B$44-B1747)/IF(Inputs!$B$39="pvp",15,MAX(0.1,Skills!D7-IF(TRUE=TRUE,Inputs!$B$32,0))))+1)),0)</f>
        <v/>
      </c>
      <c r="S1709">
        <f>IFERROR(O1709/N1709,0)</f>
        <v/>
      </c>
      <c r="T1709">
        <f>IF(C1709,(H1709*N1709*IF(AND(Inputs!$B$39&lt;&gt;"pvp",Inputs!$B$44&gt;0),((Skills!G7*((R1709-1)*IF(Skills!H7&gt;0,Skills!I7/Skills!H7,1)+IF(Skills!H7&gt;0,MIN(Skills!I7,MAX(0,MAX(0,Inputs!$B$44-B1747)-((R1709-1)*IF(Inputs!$B$39="pvp",15,MAX(0.1,Skills!D7-IF(TRUE=TRUE,Inputs!$B$32,0))))))/Skills!H7,1)))/Inputs!$B$44),G1709*Q1709))*IF(Inputs!$B$39="pvp",1,1+(Inputs!$B$20+0+Skills!P7+B1737+(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Hunt"),CHOOSE(ArtifactsInput!$N$35+1,15,18,21,24,27,30)*(1-EXP(-(0.2*B1740)*5)),0)+IF(AND(ArtifactsInput!$M$22,Inputs!$B$4&lt;&gt;"Chapter Hunt"),CHOOSE(ArtifactsInput!$N$22+1,10,12,14,16,18,20)*((0*(((0.15*B1740*5))^0/1)+1*(((0.15*B1740*5))^1/1)+2*(((0.15*B1740*5))^2/2)+3*(((0.15*B1740*5))^3/6)+4*(((0.15*B1740*5))^4/24)+5*(((0.15*B1740*5))^5/120))/((((0.15*B1740*5))^0/1)+(((0.15*B1740*5))^1/1)+(((0.15*B1740*5))^2/2)+(((0.15*B1740*5))^3/6)+(((0.15*B1740*5))^4/24)+(((0.15*B1740*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1709*(1-MIN(100,(Inputs!$B$9+((C1728=TRUE)*(F1728-Calc!F26))+B1736+(ArtifactsInput!$M$24-ArtifactsInput!$M$24)*CHOOSE(ArtifactsInput!$N$24+1,10,12,14,16,18,20)+(IF(AND(Inputs!$B$39&lt;&gt;"pvp",Inputs!$B$44=0),1,IF(IF(Inputs!$B$39="pvp",15,Inputs!$B$44)-(B1747)&lt;=0,1,MAX(0,IF(Inputs!$B$39="pvp",15,Inputs!$B$44)-MAX(5,B1747))/(IF(Inputs!$B$39="pvp",15,Inputs!$B$44)-(B1747))))*IF(AND(ArtifactsInput!$M$42,((Inputs!$B$9+((C1728=TRUE)*(F1728-Calc!F26))+B1736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1709*(MIN(100,(Inputs!$B$9+((C1728=TRUE)*(F1728-Calc!F26))+B1736+(ArtifactsInput!$M$24-ArtifactsInput!$M$24)*CHOOSE(ArtifactsInput!$N$24+1,10,12,14,16,18,20)+(IF(AND(Inputs!$B$39&lt;&gt;"pvp",Inputs!$B$44=0),1,IF(IF(Inputs!$B$39="pvp",15,Inputs!$B$44)-(B1747)&lt;=0,1,MAX(0,IF(Inputs!$B$39="pvp",15,Inputs!$B$44)-MAX(5,B1747))/(IF(Inputs!$B$39="pvp",15,Inputs!$B$44)-(B1747))))*IF(AND(ArtifactsInput!$M$42,((Inputs!$B$9+((C1728=TRUE)*(F1728-Calc!F26))+B1736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1709*(1-MIN(100,(Inputs!$B$9+((C1728=TRUE)*(F1728-Calc!F26))+B1736+(ArtifactsInput!$M$24-ArtifactsInput!$M$24)*CHOOSE(ArtifactsInput!$N$24+1,10,12,14,16,18,20)+(IF(AND(Inputs!$B$39&lt;&gt;"pvp",Inputs!$B$44=0),1,IF(IF(Inputs!$B$39="pvp",15,Inputs!$B$44)-(B1747)&lt;=0,1,MAX(0,IF(Inputs!$B$39="pvp",15,Inputs!$B$44)-MAX(5,B1747))/(IF(Inputs!$B$39="pvp",15,Inputs!$B$44)-(B1747))))*IF(AND(ArtifactsInput!$M$42,((Inputs!$B$9+((C1728=TRUE)*(F1728-Calc!F26))+B1736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1709*(MIN(100,(Inputs!$B$9+((C1728=TRUE)*(F1728-Calc!F26))+B1736+(ArtifactsInput!$M$24-ArtifactsInput!$M$24)*CHOOSE(ArtifactsInput!$N$24+1,10,12,14,16,18,20)+(IF(AND(Inputs!$B$39&lt;&gt;"pvp",Inputs!$B$44=0),1,IF(IF(Inputs!$B$39="pvp",15,Inputs!$B$44)-(B1747)&lt;=0,1,MAX(0,IF(Inputs!$B$39="pvp",15,Inputs!$B$44)-MAX(5,B1747))/(IF(Inputs!$B$39="pvp",15,Inputs!$B$44)-(B1747))))*IF(AND(ArtifactsInput!$M$42,((Inputs!$B$9+((C1728=TRUE)*(F1728-Calc!F26))+B1736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1709">
        <f>IF(C1709,(H1709*N1709*IF(AND(Inputs!$B$39&lt;&gt;"pvp",Inputs!$B$44&gt;0),((Skills!G7*((R1709-1)*IF(Skills!H7&gt;0,Skills!I7/Skills!H7,1)+IF(Skills!H7&gt;0,MIN(Skills!I7,MAX(0,MAX(0,Inputs!$B$44-B1747)-((R1709-1)*IF(Inputs!$B$39="pvp",15,MAX(0.1,Skills!D7-IF(TRUE=TRUE,Inputs!$B$32,0))))))/Skills!H7,1)))/Inputs!$B$44),G1709*Q1709))*IF(Inputs!$B$39="pvp",1,(1+(Inputs!$B$21+Skills!Q7+B1737+(IF(ArtifactsInput!$M$33,CHOOSE(ArtifactsInput!$N$33+1,30,36,42,48,54,60),0))+(IF(AND(ArtifactsInput!$M$35,Inputs!$B$4&lt;&gt;"Chapter Hunt"),CHOOSE(ArtifactsInput!$N$35+1,15,18,21,24,27,30)*(1-EXP(-(0.2*B1740)*5)),0)+IF(AND(ArtifactsInput!$M$22,Inputs!$B$4&lt;&gt;"Chapter Hunt"),CHOOSE(ArtifactsInput!$N$22+1,10,12,14,16,18,20)*((0*(((0.15*B1740*5))^0/1)+1*(((0.15*B1740*5))^1/1)+2*(((0.15*B1740*5))^2/2)+3*(((0.15*B1740*5))^3/6)+4*(((0.15*B1740*5))^4/24)+5*(((0.15*B1740*5))^5/120))/((((0.15*B1740*5))^0/1)+(((0.15*B1740*5))^1/1)+(((0.15*B1740*5))^2/2)+(((0.15*B1740*5))^3/6)+(((0.15*B1740*5))^4/24)+(((0.15*B1740*5))^5/120))),0)))/100)*(MIN(Skills!W7,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710">
      <c r="A1710">
        <f>Skills!A8</f>
        <v/>
      </c>
      <c r="B1710">
        <f>Skills!B8</f>
        <v/>
      </c>
      <c r="C1710">
        <f>Inputs!$B$3&gt;=60</f>
        <v/>
      </c>
      <c r="D1710">
        <f>IF(Skills!C8=1,60+Inputs!$B$25+Inputs!$B$29,IF(Skills!C8=2,90+Inputs!$B$26+Inputs!$B$29,IF(Skills!C8=3,120+Inputs!$B$27+Inputs!$B$29,MAX(0,(Inputs!$B$3-100)*3)+Inputs!$B$28+Inputs!$B$29)))</f>
        <v/>
      </c>
      <c r="E1710">
        <f>INDEX(FactorTable!$B$2:$Y$301, MATCH(ROUND(MIN(300,MAX(1,D1710)),0), FactorTable!$A$2:$A$301,0), Skills!M8+1)</f>
        <v/>
      </c>
      <c r="F1710">
        <f>IF(Skills!N8=TRUE,(Skills!L8/10)*(E1710/1000),Skills!L8/10)+Skills!O8</f>
        <v/>
      </c>
      <c r="G1710">
        <f>Skills!G8*IF(Skills!H8&gt;0,IF(Inputs!$B$39="pvp",MIN(Skills!I8,15),Skills!I8)/Skills!H8,1)</f>
        <v/>
      </c>
      <c r="H1710">
        <f>1-(1-Skills!J8/100)^Skills!K8</f>
        <v/>
      </c>
      <c r="I1710" t="inlineStr">
        <is>
          <t>1</t>
        </is>
      </c>
      <c r="J1710" t="inlineStr"/>
      <c r="K1710" t="inlineStr"/>
      <c r="L1710" t="inlineStr"/>
      <c r="M1710" t="inlineStr"/>
      <c r="N1710" t="inlineStr"/>
      <c r="O1710">
        <f>(1-Summary!$B$11)*T1710+Summary!$B$11*V1710</f>
        <v/>
      </c>
      <c r="P1710">
        <f>IF(B1748=0,0,O1710/B1748)</f>
        <v/>
      </c>
      <c r="Q1710" t="n">
        <v>0</v>
      </c>
      <c r="R1710" t="n">
        <v>0</v>
      </c>
      <c r="S1710">
        <f>IFERROR(O1710/N1710,0)</f>
        <v/>
      </c>
      <c r="T1710" t="n">
        <v>0</v>
      </c>
      <c r="V1710" t="n">
        <v>0</v>
      </c>
    </row>
    <row r="1711">
      <c r="A1711">
        <f>Skills!A9</f>
        <v/>
      </c>
      <c r="B1711">
        <f>Skills!B9</f>
        <v/>
      </c>
      <c r="C1711">
        <f>Inputs!$B$3&gt;=72</f>
        <v/>
      </c>
      <c r="D1711">
        <f>IF(Skills!C9=1,60+Inputs!$B$25+Inputs!$B$29,IF(Skills!C9=2,90+Inputs!$B$26+Inputs!$B$29,IF(Skills!C9=3,120+Inputs!$B$27+Inputs!$B$29,MAX(0,(Inputs!$B$3-100)*3)+Inputs!$B$28+Inputs!$B$29)))</f>
        <v/>
      </c>
      <c r="E1711">
        <f>INDEX(FactorTable!$B$2:$Y$301, MATCH(ROUND(MIN(300,MAX(1,D1711)),0), FactorTable!$A$2:$A$301,0), Skills!M9+1)</f>
        <v/>
      </c>
      <c r="F1711">
        <f>IF(Skills!N9=TRUE,(Skills!L9/10)*(E1711/1000),Skills!L9/10)+Skills!O9</f>
        <v/>
      </c>
      <c r="G1711">
        <f>Skills!G9*IF(Skills!H9&gt;0,IF(Inputs!$B$39="pvp",MIN(Skills!I9,15),Skills!I9)/Skills!H9,1)</f>
        <v/>
      </c>
      <c r="H1711">
        <f>1-(1-Skills!J9/100)^Skills!K9</f>
        <v/>
      </c>
      <c r="I1711" t="inlineStr">
        <is>
          <t>1</t>
        </is>
      </c>
      <c r="J1711">
        <f>((Inputs!$B$6*(1+Inputs!$B$7/100))+(((Inputs!$B$12*(1+Inputs!$B$13/100))-(Inputs!$B$12*(1+Inputs!$B$13/100)))+0.25*(Inputs!$B$14-Inputs!$B$14))*(1+Inputs!$B$7/100))*(F1711/100)</f>
        <v/>
      </c>
      <c r="K1711">
        <f>J1711*(1+((Inputs!$B$12*(1+Inputs!$B$13/100))*0.01+Inputs!$B$14*0.0025)/100)*(1+Inputs!$B$15/100)*(1+Inputs!$B$16/100)*(5000/(6000+Inputs!$B$43*(1-(100*(1-(1-Inputs!$B$19/100)*(1-CHOOSE(ArtifactsInput!$N$40+1,5,6,7,8,9,10)/100)^(ArtifactsInput!$M$40-ArtifactsInput!$M$40)))/100)))*(1+(Inputs!$B$24+((C1733=TRUE)*(F1733-Calc!F31))+((C1720=TRUE)*(F1720-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+3.3333333333333335*IF(C1721=TRUE,F1721,0)/100)*(1+(IF(Skills!A9="CRUEL_STAB",Inputs!$B$17+((C1730=TRUE)*(F1730-Calc!F28))+((IF(AND(Inputs!$B$39&lt;&gt;"pvp",Inputs!$B$44=0),1,IF(IF(Inputs!$B$39="pvp",15,Inputs!$B$44)-(B1747)&lt;=0,1,MAX(0,IF(Inputs!$B$39="pvp",15,Inputs!$B$44)-MAX(5,B1747))/(IF(Inputs!$B$39="pvp",15,Inputs!$B$44)-(B1747))))*(IF(AND(ArtifactsInput!$M$42,((Inputs!$B$9+((C1728=TRUE)*(F1728-Calc!F26))+B1736+(ArtifactsInput!$M$24-ArtifactsInput!$M$24)*CHOOSE(ArtifactsInput!$N$24+1,10,12,14,16,18,20)+IF(ArtifactsInput!$M$10,CHOOSE(ArtifactsInput!$N$10+1,15,18,21,24,27,30)*(IF(Inputs!$B$39="pvp",MIN(15,15)/15,IF(AND(Inputs!$B$39&lt;&gt;"pvp",Inputs!$B$44&gt;0),MIN(15,Inputs!$B$44)/(Inputs!$B$44),0))),0)))&gt;=100),MIN(100,((Inputs!$B$9+((C1728=TRUE)*(F1728-Calc!F26))+B1736+(ArtifactsInput!$M$24-ArtifactsInput!$M$24)*CHOOSE(ArtifactsInput!$N$24+1,10,12,14,16,18,20)+IF(ArtifactsInput!$M$10,CHOOSE(ArtifactsInput!$N$10+1,15,18,21,24,27,30)*(IF(Inputs!$B$39="pvp",MIN(15,15)/15,IF(AND(Inputs!$B$39&lt;&gt;"pvp",Inputs!$B$44&gt;0),MIN(15,Inputs!$B$44)/(Inputs!$B$44),0))),0)))-100),0))*CHOOSE(ArtifactsInput!$N$42+1,0.6,0.72,0.84,0.96,1.08,1.2))),Inputs!$B$18+((C1731=TRUE)*(F1731-Calc!F29))+(IF(AND(Inputs!$B$39&lt;&gt;"pvp",Inputs!$B$44=0),1,IF(IF(Inputs!$B$39="pvp",15,Inputs!$B$44)-(B1747)&lt;=0,1,MAX(0,IF(Inputs!$B$39="pvp",15,Inputs!$B$44)-MAX(5,B1747))/(IF(Inputs!$B$39="pvp",15,Inputs!$B$44)-(B1747))))*IF(AND(ArtifactsInput!$M$42,((Inputs!$B$9+((C1728=TRUE)*(F1728-Calc!F26))+B1736+(ArtifactsInput!$M$24-ArtifactsInput!$M$24)*CHOOSE(ArtifactsInput!$N$24+1,10,12,14,16,18,20)+IF(ArtifactsInput!$M$10,CHOOSE(ArtifactsInput!$N$10+1,15,18,21,24,27,30)*(IF(Inputs!$B$39="pvp",MIN(15,15)/15,IF(AND(Inputs!$B$39&lt;&gt;"pvp",Inputs!$B$44&gt;0),MIN(15,Inputs!$B$44)/(Inputs!$B$44),0))),0)))&gt;=100),CHOOSE(ArtifactsInput!$N$42+1,40,48,56,64,72,80),0))))/100)*(((1+(((C1724=TRUE)*F1724*IF(AND(Inputs!$B$39&lt;&gt;"pvp",Inputs!$B$44&gt;0),(((R1724-1)*MIN((Skills!Y22*(1+Inputs!$B$34/100)),(1/Q1724))+MIN((Skills!Y22*(1+Inputs!$B$34/100)),MAX(0,Inputs!$B$44-((R1724-1)*(1/Q1724)))))/Inputs!$B$44),IF(Inputs!$B$39="pvp",MIN((Skills!Y22*(1+Inputs!$B$34/100)),15)/15,MIN(1,(Skills!Y22*(1+Inputs!$B$34/100))/(1/Q1724)))))+((C1705=TRUE)*F1705*3)+((C1707=TRUE)*F1707*(1-EXP(-0.75*B1740*5)))+((C1726=TRUE)*(F1726-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1713=TRUE)*F1713*IF(AND(Inputs!$B$39&lt;&gt;"pvp",Inputs!$B$44&gt;0),(((R1713-1)*MIN((Skills!Y11*(1+Inputs!$B$34/100)),(1/Q1713))+MIN((Skills!Y11*(1+Inputs!$B$34/100)),MAX(0,Inputs!$B$44-((R1713-1)*(1/Q1713)))))/Inputs!$B$44),IF(Inputs!$B$39="pvp",MIN((Skills!Y11*(1+Inputs!$B$34/100)),15)/15,MIN(1,(Skills!Y11*(1+Inputs!$B$34/100))/(1/Q1713)))))/100)*(1+((C1718=TRUE)*F1718*IF(AND(Inputs!$B$39&lt;&gt;"pvp",Inputs!$B$44&gt;0),(((R1718-1)*MIN((Skills!Y16*(1+Inputs!$B$34/100)),(1/Q1718))+MIN((Skills!Y16*(1+Inputs!$B$34/100)),MAX(0,Inputs!$B$44-((R1718-1)*(1/Q1718)))))/Inputs!$B$44),IF(Inputs!$B$39="pvp",MIN((Skills!Y16*(1+Inputs!$B$34/100)),15)/15,MIN(1,(Skills!Y16*(1+Inputs!$B$34/100))/(1/Q1718)))))/100))*(1+(IF(IF(ArtifactsInput!$M$11,FALSE,TRUE),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1738*I1711)</f>
        <v/>
      </c>
      <c r="L1711">
        <f>K1711*(MIN(Inputs!$B$22+((C1727=TRUE)*(F1727-Calc!F25)),(Inputs!$B$23+((C1732=TRUE)*(F1732-Calc!F30))+IF(ArtifactsInput!$M$15,CHOOSE(ArtifactsInput!$N$15+1,25,30,35,40,45,50)/100*(Inputs!$B$11-Inputs!$B$11),0)))/100+(Inputs!$B$23+((C1732=TRUE)*(F1732-Calc!F30))+IF(ArtifactsInput!$M$15,CHOOSE(ArtifactsInput!$N$15+1,25,30,35,40,45,50)/100*(Inputs!$B$11-Inputs!$B$11),0))/100)/2</f>
        <v/>
      </c>
      <c r="M1711">
        <f>L1711*(1+(Inputs!$B$10+((C1729=TRUE)*(F1729-Calc!F27))+B1743+(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1711">
        <f>L1711*(1-MIN((Inputs!$B$9+((C1728=TRUE)*(F1728-Calc!F26))+B1736+(ArtifactsInput!$M$24-ArtifactsInput!$M$24)*CHOOSE(ArtifactsInput!$N$24+1,10,12,14,16,18,20)+(IF(AND(Inputs!$B$39&lt;&gt;"pvp",Inputs!$B$44=0),1,IF(IF(Inputs!$B$39="pvp",15,Inputs!$B$44)-(B1747)&lt;=0,1,MAX(0,IF(Inputs!$B$39="pvp",15,Inputs!$B$44)-MAX(5,B1747))/(IF(Inputs!$B$39="pvp",15,Inputs!$B$44)-(B1747))))*IF(AND(ArtifactsInput!$M$42,((Inputs!$B$9+((C1728=TRUE)*(F1728-Calc!F26))+B1736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1711*(MIN((Inputs!$B$9+((C1728=TRUE)*(F1728-Calc!F26))+B1736+(ArtifactsInput!$M$24-ArtifactsInput!$M$24)*CHOOSE(ArtifactsInput!$N$24+1,10,12,14,16,18,20)+(IF(AND(Inputs!$B$39&lt;&gt;"pvp",Inputs!$B$44=0),1,IF(IF(Inputs!$B$39="pvp",15,Inputs!$B$44)-(B1747)&lt;=0,1,MAX(0,IF(Inputs!$B$39="pvp",15,Inputs!$B$44)-MAX(5,B1747))/(IF(Inputs!$B$39="pvp",15,Inputs!$B$44)-(B1747))))*IF(AND(ArtifactsInput!$M$42,((Inputs!$B$9+((C1728=TRUE)*(F1728-Calc!F26))+B1736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711">
        <f>(1-Summary!$B$11)*T1711+Summary!$B$11*V1711</f>
        <v/>
      </c>
      <c r="P1711">
        <f>IF(B1748=0,0,O1711/B1748)</f>
        <v/>
      </c>
      <c r="Q1711">
        <f>IFERROR(1/IF(Inputs!$B$39="pvp",15,MAX(0.1,Skills!D9-IF(FALSE=TRUE,Inputs!$B$32,0))),0)</f>
        <v/>
      </c>
      <c r="R1711">
        <f>IF(AND(Inputs!$B$39&lt;&gt;"pvp",Inputs!$B$44&gt;0),IF(MAX(0,Inputs!$B$44-B1747)&lt;=0,0,(INT(MAX(0,Inputs!$B$44-B1747)/IF(Inputs!$B$39="pvp",15,MAX(0.1,Skills!D9-IF(FALSE=TRUE,Inputs!$B$32,0))))+1)),0)</f>
        <v/>
      </c>
      <c r="S1711">
        <f>IFERROR(O1711/N1711,0)</f>
        <v/>
      </c>
      <c r="T1711">
        <f>IF(C1711,(H1711*N1711*IF(AND(Inputs!$B$39&lt;&gt;"pvp",Inputs!$B$44&gt;0),((Skills!G9*((R1711-1)*IF(Skills!H9&gt;0,Skills!I9/Skills!H9,1)+IF(Skills!H9&gt;0,MIN(Skills!I9,MAX(0,MAX(0,Inputs!$B$44-B1747)-((R1711-1)*IF(Inputs!$B$39="pvp",15,MAX(0.1,Skills!D9-IF(FALSE=TRUE,Inputs!$B$32,0))))))/Skills!H9,1)))/Inputs!$B$44),G1711*Q1711))*IF(Inputs!$B$39="pvp",1,1+(Inputs!$B$20+0+Skills!P9+B1737+(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Hunt"),CHOOSE(ArtifactsInput!$N$35+1,15,18,21,24,27,30)*(1-EXP(-(0.2*B1740)*5)),0)+IF(AND(ArtifactsInput!$M$22,Inputs!$B$4&lt;&gt;"Chapter Hunt"),CHOOSE(ArtifactsInput!$N$22+1,10,12,14,16,18,20)*((0*(((0.15*B1740*5))^0/1)+1*(((0.15*B1740*5))^1/1)+2*(((0.15*B1740*5))^2/2)+3*(((0.15*B1740*5))^3/6)+4*(((0.15*B1740*5))^4/24)+5*(((0.15*B1740*5))^5/120))/((((0.15*B1740*5))^0/1)+(((0.15*B1740*5))^1/1)+(((0.15*B1740*5))^2/2)+(((0.15*B1740*5))^3/6)+(((0.15*B1740*5))^4/24)+(((0.15*B1740*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1711*(1-MIN(100,(Inputs!$B$9+((C1728=TRUE)*(F1728-Calc!F26))+B1736+(ArtifactsInput!$M$24-ArtifactsInput!$M$24)*CHOOSE(ArtifactsInput!$N$24+1,10,12,14,16,18,20)+(IF(AND(Inputs!$B$39&lt;&gt;"pvp",Inputs!$B$44=0),1,IF(IF(Inputs!$B$39="pvp",15,Inputs!$B$44)-(B1747)&lt;=0,1,MAX(0,IF(Inputs!$B$39="pvp",15,Inputs!$B$44)-MAX(5,B1747))/(IF(Inputs!$B$39="pvp",15,Inputs!$B$44)-(B1747))))*IF(AND(ArtifactsInput!$M$42,((Inputs!$B$9+((C1728=TRUE)*(F1728-Calc!F26))+B1736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1711*(MIN(100,(Inputs!$B$9+((C1728=TRUE)*(F1728-Calc!F26))+B1736+(ArtifactsInput!$M$24-ArtifactsInput!$M$24)*CHOOSE(ArtifactsInput!$N$24+1,10,12,14,16,18,20)+(IF(AND(Inputs!$B$39&lt;&gt;"pvp",Inputs!$B$44=0),1,IF(IF(Inputs!$B$39="pvp",15,Inputs!$B$44)-(B1747)&lt;=0,1,MAX(0,IF(Inputs!$B$39="pvp",15,Inputs!$B$44)-MAX(5,B1747))/(IF(Inputs!$B$39="pvp",15,Inputs!$B$44)-(B1747))))*IF(AND(ArtifactsInput!$M$42,((Inputs!$B$9+((C1728=TRUE)*(F1728-Calc!F26))+B1736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1711*(1-MIN(100,(Inputs!$B$9+((C1728=TRUE)*(F1728-Calc!F26))+B1736+(ArtifactsInput!$M$24-ArtifactsInput!$M$24)*CHOOSE(ArtifactsInput!$N$24+1,10,12,14,16,18,20)+(IF(AND(Inputs!$B$39&lt;&gt;"pvp",Inputs!$B$44=0),1,IF(IF(Inputs!$B$39="pvp",15,Inputs!$B$44)-(B1747)&lt;=0,1,MAX(0,IF(Inputs!$B$39="pvp",15,Inputs!$B$44)-MAX(5,B1747))/(IF(Inputs!$B$39="pvp",15,Inputs!$B$44)-(B1747))))*IF(AND(ArtifactsInput!$M$42,((Inputs!$B$9+((C1728=TRUE)*(F1728-Calc!F26))+B1736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1711*(MIN(100,(Inputs!$B$9+((C1728=TRUE)*(F1728-Calc!F26))+B1736+(ArtifactsInput!$M$24-ArtifactsInput!$M$24)*CHOOSE(ArtifactsInput!$N$24+1,10,12,14,16,18,20)+(IF(AND(Inputs!$B$39&lt;&gt;"pvp",Inputs!$B$44=0),1,IF(IF(Inputs!$B$39="pvp",15,Inputs!$B$44)-(B1747)&lt;=0,1,MAX(0,IF(Inputs!$B$39="pvp",15,Inputs!$B$44)-MAX(5,B1747))/(IF(Inputs!$B$39="pvp",15,Inputs!$B$44)-(B1747))))*IF(AND(ArtifactsInput!$M$42,((Inputs!$B$9+((C1728=TRUE)*(F1728-Calc!F26))+B1736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1711">
        <f>IF(C1711,(H1711*N1711*IF(AND(Inputs!$B$39&lt;&gt;"pvp",Inputs!$B$44&gt;0),((Skills!G9*((R1711-1)*IF(Skills!H9&gt;0,Skills!I9/Skills!H9,1)+IF(Skills!H9&gt;0,MIN(Skills!I9,MAX(0,MAX(0,Inputs!$B$44-B1747)-((R1711-1)*IF(Inputs!$B$39="pvp",15,MAX(0.1,Skills!D9-IF(FALSE=TRUE,Inputs!$B$32,0))))))/Skills!H9,1)))/Inputs!$B$44),G1711*Q1711))*IF(Inputs!$B$39="pvp",1,(1+(Inputs!$B$21+Skills!Q9+B1737+(IF(ArtifactsInput!$M$33,CHOOSE(ArtifactsInput!$N$33+1,30,36,42,48,54,60),0))+(IF(AND(ArtifactsInput!$M$35,Inputs!$B$4&lt;&gt;"Chapter Hunt"),CHOOSE(ArtifactsInput!$N$35+1,15,18,21,24,27,30)*(1-EXP(-(0.2*B1740)*5)),0)+IF(AND(ArtifactsInput!$M$22,Inputs!$B$4&lt;&gt;"Chapter Hunt"),CHOOSE(ArtifactsInput!$N$22+1,10,12,14,16,18,20)*((0*(((0.15*B1740*5))^0/1)+1*(((0.15*B1740*5))^1/1)+2*(((0.15*B1740*5))^2/2)+3*(((0.15*B1740*5))^3/6)+4*(((0.15*B1740*5))^4/24)+5*(((0.15*B1740*5))^5/120))/((((0.15*B1740*5))^0/1)+(((0.15*B1740*5))^1/1)+(((0.15*B1740*5))^2/2)+(((0.15*B1740*5))^3/6)+(((0.15*B1740*5))^4/24)+(((0.15*B1740*5))^5/120))),0)))/100)*(MIN(Skills!W9,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712">
      <c r="A1712">
        <f>Skills!A10</f>
        <v/>
      </c>
      <c r="B1712">
        <f>Skills!B10</f>
        <v/>
      </c>
      <c r="C1712">
        <f>Inputs!$B$3&gt;=117</f>
        <v/>
      </c>
      <c r="D1712">
        <f>IF(Skills!C10=1,60+Inputs!$B$25+Inputs!$B$29,IF(Skills!C10=2,90+Inputs!$B$26+Inputs!$B$29,IF(Skills!C10=3,120+Inputs!$B$27+Inputs!$B$29,MAX(0,(Inputs!$B$3-100)*3)+Inputs!$B$28+Inputs!$B$29)))</f>
        <v/>
      </c>
      <c r="E1712">
        <f>INDEX(FactorTable!$B$2:$Y$301, MATCH(ROUND(MIN(300,MAX(1,D1712)),0), FactorTable!$A$2:$A$301,0), Skills!M10+1)</f>
        <v/>
      </c>
      <c r="F1712">
        <f>IF(Skills!N10=TRUE,(Skills!L10/10)*(E1712/1000),Skills!L10/10)+Skills!O10</f>
        <v/>
      </c>
      <c r="G1712">
        <f>Skills!G10*IF(Skills!H10&gt;0,IF(Inputs!$B$39="pvp",MIN(Skills!I10,15),Skills!I10)/Skills!H10,1)</f>
        <v/>
      </c>
      <c r="H1712">
        <f>1-(1-Skills!J10/100)^Skills!K10</f>
        <v/>
      </c>
      <c r="I1712" t="inlineStr">
        <is>
          <t>1</t>
        </is>
      </c>
      <c r="J1712">
        <f>((Inputs!$B$6*(1+Inputs!$B$7/100))+(((Inputs!$B$12*(1+Inputs!$B$13/100))-(Inputs!$B$12*(1+Inputs!$B$13/100)))+0.25*(Inputs!$B$14-Inputs!$B$14))*(1+Inputs!$B$7/100))*(F1712/100)</f>
        <v/>
      </c>
      <c r="K1712">
        <f>J1712*(1+((Inputs!$B$12*(1+Inputs!$B$13/100))*0.01+Inputs!$B$14*0.0025)/100)*(1+Inputs!$B$15/100)*(1+Inputs!$B$16/100)*(5000/(6000+Inputs!$B$43*(1-(100*(1-(1-Inputs!$B$19/100)*(1-CHOOSE(ArtifactsInput!$N$40+1,5,6,7,8,9,10)/100)^(ArtifactsInput!$M$40-ArtifactsInput!$M$40)))/100)))*(1+(Inputs!$B$24+((C1733=TRUE)*(F1733-Calc!F31))+((C1720=TRUE)*(F1720-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10="CRUEL_STAB",Inputs!$B$17+((C1730=TRUE)*(F1730-Calc!F28))+((IF(AND(Inputs!$B$39&lt;&gt;"pvp",Inputs!$B$44=0),1,IF(IF(Inputs!$B$39="pvp",15,Inputs!$B$44)-(B1747)&lt;=0,1,MAX(0,IF(Inputs!$B$39="pvp",15,Inputs!$B$44)-MAX(5,B1747))/(IF(Inputs!$B$39="pvp",15,Inputs!$B$44)-(B1747))))*(IF(AND(ArtifactsInput!$M$42,((Inputs!$B$9+((C1728=TRUE)*(F1728-Calc!F26))+B1736+(ArtifactsInput!$M$24-ArtifactsInput!$M$24)*CHOOSE(ArtifactsInput!$N$24+1,10,12,14,16,18,20)+IF(ArtifactsInput!$M$10,CHOOSE(ArtifactsInput!$N$10+1,15,18,21,24,27,30)*(IF(Inputs!$B$39="pvp",MIN(15,15)/15,IF(AND(Inputs!$B$39&lt;&gt;"pvp",Inputs!$B$44&gt;0),MIN(15,Inputs!$B$44)/(Inputs!$B$44),0))),0)))&gt;=100),MIN(100,((Inputs!$B$9+((C1728=TRUE)*(F1728-Calc!F26))+B1736+(ArtifactsInput!$M$24-ArtifactsInput!$M$24)*CHOOSE(ArtifactsInput!$N$24+1,10,12,14,16,18,20)+IF(ArtifactsInput!$M$10,CHOOSE(ArtifactsInput!$N$10+1,15,18,21,24,27,30)*(IF(Inputs!$B$39="pvp",MIN(15,15)/15,IF(AND(Inputs!$B$39&lt;&gt;"pvp",Inputs!$B$44&gt;0),MIN(15,Inputs!$B$44)/(Inputs!$B$44),0))),0)))-100),0))*CHOOSE(ArtifactsInput!$N$42+1,0.6,0.72,0.84,0.96,1.08,1.2))),Inputs!$B$18+((C1731=TRUE)*(F1731-Calc!F29))+(IF(AND(Inputs!$B$39&lt;&gt;"pvp",Inputs!$B$44=0),1,IF(IF(Inputs!$B$39="pvp",15,Inputs!$B$44)-(B1747)&lt;=0,1,MAX(0,IF(Inputs!$B$39="pvp",15,Inputs!$B$44)-MAX(5,B1747))/(IF(Inputs!$B$39="pvp",15,Inputs!$B$44)-(B1747))))*IF(AND(ArtifactsInput!$M$42,((Inputs!$B$9+((C1728=TRUE)*(F1728-Calc!F26))+B1736+(ArtifactsInput!$M$24-ArtifactsInput!$M$24)*CHOOSE(ArtifactsInput!$N$24+1,10,12,14,16,18,20)+IF(ArtifactsInput!$M$10,CHOOSE(ArtifactsInput!$N$10+1,15,18,21,24,27,30)*(IF(Inputs!$B$39="pvp",MIN(15,15)/15,IF(AND(Inputs!$B$39&lt;&gt;"pvp",Inputs!$B$44&gt;0),MIN(15,Inputs!$B$44)/(Inputs!$B$44),0))),0)))&gt;=100),CHOOSE(ArtifactsInput!$N$42+1,40,48,56,64,72,80),0))))/100)*(((1+(((C1724=TRUE)*F1724*IF(AND(Inputs!$B$39&lt;&gt;"pvp",Inputs!$B$44&gt;0),(((R1724-1)*MIN((Skills!Y22*(1+Inputs!$B$34/100)),(1/Q1724))+MIN((Skills!Y22*(1+Inputs!$B$34/100)),MAX(0,Inputs!$B$44-((R1724-1)*(1/Q1724)))))/Inputs!$B$44),IF(Inputs!$B$39="pvp",MIN((Skills!Y22*(1+Inputs!$B$34/100)),15)/15,MIN(1,(Skills!Y22*(1+Inputs!$B$34/100))/(1/Q1724)))))+((C1705=TRUE)*F1705*3)+((C1707=TRUE)*F1707*(1-EXP(-0.75*B1740*5)))+((C1726=TRUE)*(F1726-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1713=TRUE)*F1713*IF(AND(Inputs!$B$39&lt;&gt;"pvp",Inputs!$B$44&gt;0),(((R1713-1)*MIN((Skills!Y11*(1+Inputs!$B$34/100)),(1/Q1713))+MIN((Skills!Y11*(1+Inputs!$B$34/100)),MAX(0,Inputs!$B$44-((R1713-1)*(1/Q1713)))))/Inputs!$B$44),IF(Inputs!$B$39="pvp",MIN((Skills!Y11*(1+Inputs!$B$34/100)),15)/15,MIN(1,(Skills!Y11*(1+Inputs!$B$34/100))/(1/Q1713)))))/100)*(1+((C1718=TRUE)*F1718*IF(AND(Inputs!$B$39&lt;&gt;"pvp",Inputs!$B$44&gt;0),(((R1718-1)*MIN((Skills!Y16*(1+Inputs!$B$34/100)),(1/Q1718))+MIN((Skills!Y16*(1+Inputs!$B$34/100)),MAX(0,Inputs!$B$44-((R1718-1)*(1/Q1718)))))/Inputs!$B$44),IF(Inputs!$B$39="pvp",MIN((Skills!Y16*(1+Inputs!$B$34/100)),15)/15,MIN(1,(Skills!Y16*(1+Inputs!$B$34/100))/(1/Q1718)))))/100))*(1+(IF(IF(ArtifactsInput!$M$11,FALSE,TRUE),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1738*I1712)</f>
        <v/>
      </c>
      <c r="L1712">
        <f>K1712*(MIN(Inputs!$B$22+((C1727=TRUE)*(F1727-Calc!F25)),(Inputs!$B$23+((C1732=TRUE)*(F1732-Calc!F30))+IF(ArtifactsInput!$M$15,CHOOSE(ArtifactsInput!$N$15+1,25,30,35,40,45,50)/100*(Inputs!$B$11-Inputs!$B$11),0)))/100+(Inputs!$B$23+((C1732=TRUE)*(F1732-Calc!F30))+IF(ArtifactsInput!$M$15,CHOOSE(ArtifactsInput!$N$15+1,25,30,35,40,45,50)/100*(Inputs!$B$11-Inputs!$B$11),0))/100)/2</f>
        <v/>
      </c>
      <c r="M1712">
        <f>L1712*(1+(Inputs!$B$10+((C1729=TRUE)*(F1729-Calc!F27))+B1743+(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1712">
        <f>L1712*(1-MIN((Inputs!$B$9+((C1728=TRUE)*(F1728-Calc!F26))+B1736+(ArtifactsInput!$M$24-ArtifactsInput!$M$24)*CHOOSE(ArtifactsInput!$N$24+1,10,12,14,16,18,20)+(IF(AND(Inputs!$B$39&lt;&gt;"pvp",Inputs!$B$44=0),1,IF(IF(Inputs!$B$39="pvp",15,Inputs!$B$44)-(B1747)&lt;=0,1,MAX(0,IF(Inputs!$B$39="pvp",15,Inputs!$B$44)-MAX(5,B1747))/(IF(Inputs!$B$39="pvp",15,Inputs!$B$44)-(B1747))))*IF(AND(ArtifactsInput!$M$42,((Inputs!$B$9+((C1728=TRUE)*(F1728-Calc!F26))+B1736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1712*(MIN((Inputs!$B$9+((C1728=TRUE)*(F1728-Calc!F26))+B1736+(ArtifactsInput!$M$24-ArtifactsInput!$M$24)*CHOOSE(ArtifactsInput!$N$24+1,10,12,14,16,18,20)+(IF(AND(Inputs!$B$39&lt;&gt;"pvp",Inputs!$B$44=0),1,IF(IF(Inputs!$B$39="pvp",15,Inputs!$B$44)-(B1747)&lt;=0,1,MAX(0,IF(Inputs!$B$39="pvp",15,Inputs!$B$44)-MAX(5,B1747))/(IF(Inputs!$B$39="pvp",15,Inputs!$B$44)-(B1747))))*IF(AND(ArtifactsInput!$M$42,((Inputs!$B$9+((C1728=TRUE)*(F1728-Calc!F26))+B1736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712">
        <f>(1-Summary!$B$11)*T1712+Summary!$B$11*V1712</f>
        <v/>
      </c>
      <c r="P1712">
        <f>IF(B1748=0,0,O1712/B1748)</f>
        <v/>
      </c>
      <c r="Q1712" t="n">
        <v>0</v>
      </c>
      <c r="R1712" t="n">
        <v>0</v>
      </c>
      <c r="S1712" t="n">
        <v>0</v>
      </c>
      <c r="T1712">
        <f>IF(C1712,(0.2*SUMPRODUCT((Skills!Z2:Z31=TRUE)*(C1704:C1733=TRUE)*S1704:S1733)*N1712)*IF(Inputs!$B$39="pvp",1,1+(Inputs!$B$20+0+Skills!P10+B1737+(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Hunt"),CHOOSE(ArtifactsInput!$N$35+1,15,18,21,24,27,30)*(1-EXP(-(0.2*B1740)*5)),0)+IF(AND(ArtifactsInput!$M$22,Inputs!$B$4&lt;&gt;"Chapter Hunt"),CHOOSE(ArtifactsInput!$N$22+1,10,12,14,16,18,20)*((0*(((0.15*B1740*5))^0/1)+1*(((0.15*B1740*5))^1/1)+2*(((0.15*B1740*5))^2/2)+3*(((0.15*B1740*5))^3/6)+4*(((0.15*B1740*5))^4/24)+5*(((0.15*B1740*5))^5/120))/((((0.15*B1740*5))^0/1)+(((0.15*B1740*5))^1/1)+(((0.15*B1740*5))^2/2)+(((0.15*B1740*5))^3/6)+(((0.15*B1740*5))^4/24)+(((0.15*B1740*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1712*(1-MIN(100,(Inputs!$B$9+((C1728=TRUE)*(F1728-Calc!F26))+B1736+(ArtifactsInput!$M$24-ArtifactsInput!$M$24)*CHOOSE(ArtifactsInput!$N$24+1,10,12,14,16,18,20)+(IF(AND(Inputs!$B$39&lt;&gt;"pvp",Inputs!$B$44=0),1,IF(IF(Inputs!$B$39="pvp",15,Inputs!$B$44)-(B1747)&lt;=0,1,MAX(0,IF(Inputs!$B$39="pvp",15,Inputs!$B$44)-MAX(5,B1747))/(IF(Inputs!$B$39="pvp",15,Inputs!$B$44)-(B1747))))*IF(AND(ArtifactsInput!$M$42,((Inputs!$B$9+((C1728=TRUE)*(F1728-Calc!F26))+B1736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1712*(MIN(100,(Inputs!$B$9+((C1728=TRUE)*(F1728-Calc!F26))+B1736+(ArtifactsInput!$M$24-ArtifactsInput!$M$24)*CHOOSE(ArtifactsInput!$N$24+1,10,12,14,16,18,20)+(IF(AND(Inputs!$B$39&lt;&gt;"pvp",Inputs!$B$44=0),1,IF(IF(Inputs!$B$39="pvp",15,Inputs!$B$44)-(B1747)&lt;=0,1,MAX(0,IF(Inputs!$B$39="pvp",15,Inputs!$B$44)-MAX(5,B1747))/(IF(Inputs!$B$39="pvp",15,Inputs!$B$44)-(B1747))))*IF(AND(ArtifactsInput!$M$42,((Inputs!$B$9+((C1728=TRUE)*(F1728-Calc!F26))+B1736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1712*(1-MIN(100,(Inputs!$B$9+((C1728=TRUE)*(F1728-Calc!F26))+B1736+(ArtifactsInput!$M$24-ArtifactsInput!$M$24)*CHOOSE(ArtifactsInput!$N$24+1,10,12,14,16,18,20)+(IF(AND(Inputs!$B$39&lt;&gt;"pvp",Inputs!$B$44=0),1,IF(IF(Inputs!$B$39="pvp",15,Inputs!$B$44)-(B1747)&lt;=0,1,MAX(0,IF(Inputs!$B$39="pvp",15,Inputs!$B$44)-MAX(5,B1747))/(IF(Inputs!$B$39="pvp",15,Inputs!$B$44)-(B1747))))*IF(AND(ArtifactsInput!$M$42,((Inputs!$B$9+((C1728=TRUE)*(F1728-Calc!F26))+B1736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1712*(MIN(100,(Inputs!$B$9+((C1728=TRUE)*(F1728-Calc!F26))+B1736+(ArtifactsInput!$M$24-ArtifactsInput!$M$24)*CHOOSE(ArtifactsInput!$N$24+1,10,12,14,16,18,20)+(IF(AND(Inputs!$B$39&lt;&gt;"pvp",Inputs!$B$44=0),1,IF(IF(Inputs!$B$39="pvp",15,Inputs!$B$44)-(B1747)&lt;=0,1,MAX(0,IF(Inputs!$B$39="pvp",15,Inputs!$B$44)-MAX(5,B1747))/(IF(Inputs!$B$39="pvp",15,Inputs!$B$44)-(B1747))))*IF(AND(ArtifactsInput!$M$42,((Inputs!$B$9+((C1728=TRUE)*(F1728-Calc!F26))+B1736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1712">
        <f>IF(C1712,(0.2*SUMPRODUCT((Skills!Z2:Z31=TRUE)*(C1704:C1733=TRUE)*S1704:S1733)*N1712)*IF(Inputs!$B$39="pvp",1,(1+(Inputs!$B$21+Skills!Q10+B1737+(IF(ArtifactsInput!$M$33,CHOOSE(ArtifactsInput!$N$33+1,30,36,42,48,54,60),0))+(IF(AND(ArtifactsInput!$M$35,Inputs!$B$4&lt;&gt;"Chapter Hunt"),CHOOSE(ArtifactsInput!$N$35+1,15,18,21,24,27,30)*(1-EXP(-(0.2*B1740)*5)),0)+IF(AND(ArtifactsInput!$M$22,Inputs!$B$4&lt;&gt;"Chapter Hunt"),CHOOSE(ArtifactsInput!$N$22+1,10,12,14,16,18,20)*((0*(((0.15*B1740*5))^0/1)+1*(((0.15*B1740*5))^1/1)+2*(((0.15*B1740*5))^2/2)+3*(((0.15*B1740*5))^3/6)+4*(((0.15*B1740*5))^4/24)+5*(((0.15*B1740*5))^5/120))/((((0.15*B1740*5))^0/1)+(((0.15*B1740*5))^1/1)+(((0.15*B1740*5))^2/2)+(((0.15*B1740*5))^3/6)+(((0.15*B1740*5))^4/24)+(((0.15*B1740*5))^5/120))),0)))/100)*(MIN(Skills!W10,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713">
      <c r="A1713">
        <f>Skills!A11</f>
        <v/>
      </c>
      <c r="B1713">
        <f>Skills!B11</f>
        <v/>
      </c>
      <c r="C1713">
        <f>Inputs!$B$3&gt;=74</f>
        <v/>
      </c>
      <c r="D1713">
        <f>IF(Skills!C11=1,60+Inputs!$B$25+Inputs!$B$29,IF(Skills!C11=2,90+Inputs!$B$26+Inputs!$B$29,IF(Skills!C11=3,120+Inputs!$B$27+Inputs!$B$29,MAX(0,(Inputs!$B$3-100)*3)+Inputs!$B$28+Inputs!$B$29)))</f>
        <v/>
      </c>
      <c r="E1713">
        <f>INDEX(FactorTable!$B$2:$Y$301, MATCH(ROUND(MIN(300,MAX(1,D1713)),0), FactorTable!$A$2:$A$301,0), Skills!M11+1)</f>
        <v/>
      </c>
      <c r="F1713">
        <f>IF(Skills!N11=TRUE,(Skills!L11/10)*(E1713/1000),Skills!L11/10)+Skills!O11</f>
        <v/>
      </c>
      <c r="G1713">
        <f>Skills!G11*IF(Skills!H11&gt;0,IF(Inputs!$B$39="pvp",MIN(Skills!I11,15),Skills!I11)/Skills!H11,1)</f>
        <v/>
      </c>
      <c r="H1713">
        <f>1-(1-Skills!J11/100)^Skills!K11</f>
        <v/>
      </c>
      <c r="I1713" t="inlineStr">
        <is>
          <t>1</t>
        </is>
      </c>
      <c r="J1713" t="inlineStr"/>
      <c r="K1713" t="inlineStr"/>
      <c r="L1713" t="inlineStr"/>
      <c r="M1713" t="inlineStr"/>
      <c r="N1713" t="inlineStr"/>
      <c r="O1713">
        <f>(1-Summary!$B$11)*T1713+Summary!$B$11*V1713</f>
        <v/>
      </c>
      <c r="P1713">
        <f>IF(B1748=0,0,O1713/B1748)</f>
        <v/>
      </c>
      <c r="Q1713">
        <f>IFERROR(1/IF(Inputs!$B$39="pvp",15,MAX(0.1,Skills!D11-IF(TRUE=TRUE,Inputs!$B$32,0))),0)</f>
        <v/>
      </c>
      <c r="R1713">
        <f>IF(AND(Inputs!$B$39&lt;&gt;"pvp",Inputs!$B$44&gt;0),IF(Inputs!$B$44&lt;=0,0,(INT(Inputs!$B$44/IF(Inputs!$B$39="pvp",15,MAX(0.1,Skills!D11-IF(TRUE=TRUE,Inputs!$B$32,0))))+1)),0)</f>
        <v/>
      </c>
      <c r="S1713">
        <f>IFERROR(O1713/N1713,0)</f>
        <v/>
      </c>
      <c r="T1713" t="n">
        <v>0</v>
      </c>
      <c r="V1713" t="n">
        <v>0</v>
      </c>
    </row>
    <row r="1714">
      <c r="A1714">
        <f>Skills!A12</f>
        <v/>
      </c>
      <c r="B1714">
        <f>Skills!B12</f>
        <v/>
      </c>
      <c r="C1714">
        <f>Inputs!$B$3&gt;=103</f>
        <v/>
      </c>
      <c r="D1714">
        <f>IF(Skills!C12=1,60+Inputs!$B$25+Inputs!$B$29,IF(Skills!C12=2,90+Inputs!$B$26+Inputs!$B$29,IF(Skills!C12=3,120+Inputs!$B$27+Inputs!$B$29,MAX(0,(Inputs!$B$3-100)*3)+Inputs!$B$28+Inputs!$B$29)))</f>
        <v/>
      </c>
      <c r="E1714">
        <f>INDEX(FactorTable!$B$2:$Y$301, MATCH(ROUND(MIN(300,MAX(1,D1714)),0), FactorTable!$A$2:$A$301,0), Skills!M12+1)</f>
        <v/>
      </c>
      <c r="F1714">
        <f>(Skills!L12/10)*(E1714/1000)+IF(Inputs!$B$3&gt;=134,50,0)+0.5*(30000/10)*(INDEX(FactorTable!$B$2:$Y$301, MATCH(ROUND(MIN(300,MAX(1,D1714)),0), FactorTable!$A$2:$A$301,0), 13)/1000)*B1746</f>
        <v/>
      </c>
      <c r="G1714">
        <f>Skills!G12*IF(Skills!H12&gt;0,IF(Inputs!$B$39="pvp",MIN(Skills!I12,15),Skills!I12)/Skills!H12,1)</f>
        <v/>
      </c>
      <c r="H1714">
        <f>1-(1-Skills!J12/100)^Skills!K12</f>
        <v/>
      </c>
      <c r="I1714" t="inlineStr">
        <is>
          <t>1</t>
        </is>
      </c>
      <c r="J1714">
        <f>((Inputs!$B$6*(1+Inputs!$B$7/100))+(((Inputs!$B$12*(1+Inputs!$B$13/100))-(Inputs!$B$12*(1+Inputs!$B$13/100)))+0.25*(Inputs!$B$14-Inputs!$B$14))*(1+Inputs!$B$7/100))*(F1714/100)</f>
        <v/>
      </c>
      <c r="K1714">
        <f>J1714*(1+((Inputs!$B$12*(1+Inputs!$B$13/100))*0.01+Inputs!$B$14*0.0025)/100)*(1+Inputs!$B$15/100)*(1+Inputs!$B$16/100)*(5000/(6000+Inputs!$B$43*(1-(100*(1-(1-Inputs!$B$19/100)*(1-CHOOSE(ArtifactsInput!$N$40+1,5,6,7,8,9,10)/100)^(ArtifactsInput!$M$40-ArtifactsInput!$M$40)))/100)))*(1+(Inputs!$B$24+((C1733=TRUE)*(F1733-Calc!F31))+((C1720=TRUE)*(F1720-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12="CRUEL_STAB",Inputs!$B$17+((C1730=TRUE)*(F1730-Calc!F28))+((IF(AND(Inputs!$B$39&lt;&gt;"pvp",Inputs!$B$44=0),1,IF(IF(Inputs!$B$39="pvp",15,Inputs!$B$44)-(B1747)&lt;=0,1,MAX(0,IF(Inputs!$B$39="pvp",15,Inputs!$B$44)-MAX(5,B1747))/(IF(Inputs!$B$39="pvp",15,Inputs!$B$44)-(B1747))))*(IF(AND(ArtifactsInput!$M$42,((Inputs!$B$9+((C1728=TRUE)*(F1728-Calc!F26))+B1736+(ArtifactsInput!$M$24-ArtifactsInput!$M$24)*CHOOSE(ArtifactsInput!$N$24+1,10,12,14,16,18,20)+IF(ArtifactsInput!$M$10,CHOOSE(ArtifactsInput!$N$10+1,15,18,21,24,27,30)*(IF(Inputs!$B$39="pvp",MIN(15,15)/15,IF(AND(Inputs!$B$39&lt;&gt;"pvp",Inputs!$B$44&gt;0),MIN(15,Inputs!$B$44)/(Inputs!$B$44),0))),0)))&gt;=100),MIN(100,((Inputs!$B$9+((C1728=TRUE)*(F1728-Calc!F26))+B1736+(ArtifactsInput!$M$24-ArtifactsInput!$M$24)*CHOOSE(ArtifactsInput!$N$24+1,10,12,14,16,18,20)+IF(ArtifactsInput!$M$10,CHOOSE(ArtifactsInput!$N$10+1,15,18,21,24,27,30)*(IF(Inputs!$B$39="pvp",MIN(15,15)/15,IF(AND(Inputs!$B$39&lt;&gt;"pvp",Inputs!$B$44&gt;0),MIN(15,Inputs!$B$44)/(Inputs!$B$44),0))),0)))-100),0))*CHOOSE(ArtifactsInput!$N$42+1,0.6,0.72,0.84,0.96,1.08,1.2))),Inputs!$B$18+((C1731=TRUE)*(F1731-Calc!F29))+(IF(AND(Inputs!$B$39&lt;&gt;"pvp",Inputs!$B$44=0),1,IF(IF(Inputs!$B$39="pvp",15,Inputs!$B$44)-(B1747)&lt;=0,1,MAX(0,IF(Inputs!$B$39="pvp",15,Inputs!$B$44)-MAX(5,B1747))/(IF(Inputs!$B$39="pvp",15,Inputs!$B$44)-(B1747))))*IF(AND(ArtifactsInput!$M$42,((Inputs!$B$9+((C1728=TRUE)*(F1728-Calc!F26))+B1736+(ArtifactsInput!$M$24-ArtifactsInput!$M$24)*CHOOSE(ArtifactsInput!$N$24+1,10,12,14,16,18,20)+IF(ArtifactsInput!$M$10,CHOOSE(ArtifactsInput!$N$10+1,15,18,21,24,27,30)*(IF(Inputs!$B$39="pvp",MIN(15,15)/15,IF(AND(Inputs!$B$39&lt;&gt;"pvp",Inputs!$B$44&gt;0),MIN(15,Inputs!$B$44)/(Inputs!$B$44),0))),0)))&gt;=100),CHOOSE(ArtifactsInput!$N$42+1,40,48,56,64,72,80),0))))/100)*(((1+(((C1724=TRUE)*F1724*IF(AND(Inputs!$B$39&lt;&gt;"pvp",Inputs!$B$44&gt;0),(((R1724-1)*MIN((Skills!Y22*(1+Inputs!$B$34/100)),(1/Q1724))+MIN((Skills!Y22*(1+Inputs!$B$34/100)),MAX(0,Inputs!$B$44-((R1724-1)*(1/Q1724)))))/Inputs!$B$44),IF(Inputs!$B$39="pvp",MIN((Skills!Y22*(1+Inputs!$B$34/100)),15)/15,MIN(1,(Skills!Y22*(1+Inputs!$B$34/100))/(1/Q1724)))))+((C1705=TRUE)*F1705*3)+((C1707=TRUE)*F1707*(1-EXP(-0.75*B1740*5)))+((C1726=TRUE)*(F1726-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1713=TRUE)*F1713*IF(AND(Inputs!$B$39&lt;&gt;"pvp",Inputs!$B$44&gt;0),(((R1713-1)*MIN((Skills!Y11*(1+Inputs!$B$34/100)),(1/Q1713))+MIN((Skills!Y11*(1+Inputs!$B$34/100)),MAX(0,Inputs!$B$44-((R1713-1)*(1/Q1713)))))/Inputs!$B$44),IF(Inputs!$B$39="pvp",MIN((Skills!Y11*(1+Inputs!$B$34/100)),15)/15,MIN(1,(Skills!Y11*(1+Inputs!$B$34/100))/(1/Q1713)))))/100)*(1+((C1718=TRUE)*F1718*IF(AND(Inputs!$B$39&lt;&gt;"pvp",Inputs!$B$44&gt;0),(((R1718-1)*MIN((Skills!Y16*(1+Inputs!$B$34/100)),(1/Q1718))+MIN((Skills!Y16*(1+Inputs!$B$34/100)),MAX(0,Inputs!$B$44-((R1718-1)*(1/Q1718)))))/Inputs!$B$44),IF(Inputs!$B$39="pvp",MIN((Skills!Y16*(1+Inputs!$B$34/100)),15)/15,MIN(1,(Skills!Y16*(1+Inputs!$B$34/100))/(1/Q1718)))))/100))*(1+(IF(IF(ArtifactsInput!$M$11,FALSE,TRUE),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1738*I1714)</f>
        <v/>
      </c>
      <c r="L1714">
        <f>K1714*(MIN(Inputs!$B$22+((C1727=TRUE)*(F1727-Calc!F25)),(Inputs!$B$23+((C1732=TRUE)*(F1732-Calc!F30))+IF(ArtifactsInput!$M$15,CHOOSE(ArtifactsInput!$N$15+1,25,30,35,40,45,50)/100*(Inputs!$B$11-Inputs!$B$11),0)))/100+(Inputs!$B$23+((C1732=TRUE)*(F1732-Calc!F30))+IF(ArtifactsInput!$M$15,CHOOSE(ArtifactsInput!$N$15+1,25,30,35,40,45,50)/100*(Inputs!$B$11-Inputs!$B$11),0))/100)/2</f>
        <v/>
      </c>
      <c r="M1714">
        <f>L1714*(1+(Inputs!$B$10+((C1729=TRUE)*(F1729-Calc!F27))+B1743+(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1714">
        <f>L1714*(1-MIN((Inputs!$B$9+((C1728=TRUE)*(F1728-Calc!F26))+B1736+(ArtifactsInput!$M$24-ArtifactsInput!$M$24)*CHOOSE(ArtifactsInput!$N$24+1,10,12,14,16,18,20)+(IF(AND(Inputs!$B$39&lt;&gt;"pvp",Inputs!$B$44=0),1,IF(IF(Inputs!$B$39="pvp",15,Inputs!$B$44)-(B1747)&lt;=0,1,MAX(0,IF(Inputs!$B$39="pvp",15,Inputs!$B$44)-MAX(5,B1747))/(IF(Inputs!$B$39="pvp",15,Inputs!$B$44)-(B1747))))*IF(AND(ArtifactsInput!$M$42,((Inputs!$B$9+((C1728=TRUE)*(F1728-Calc!F26))+B1736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1714*(MIN((Inputs!$B$9+((C1728=TRUE)*(F1728-Calc!F26))+B1736+(ArtifactsInput!$M$24-ArtifactsInput!$M$24)*CHOOSE(ArtifactsInput!$N$24+1,10,12,14,16,18,20)+(IF(AND(Inputs!$B$39&lt;&gt;"pvp",Inputs!$B$44=0),1,IF(IF(Inputs!$B$39="pvp",15,Inputs!$B$44)-(B1747)&lt;=0,1,MAX(0,IF(Inputs!$B$39="pvp",15,Inputs!$B$44)-MAX(5,B1747))/(IF(Inputs!$B$39="pvp",15,Inputs!$B$44)-(B1747))))*IF(AND(ArtifactsInput!$M$42,((Inputs!$B$9+((C1728=TRUE)*(F1728-Calc!F26))+B1736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714">
        <f>(1-Summary!$B$11)*T1714+Summary!$B$11*V1714</f>
        <v/>
      </c>
      <c r="P1714">
        <f>IF(B1748=0,0,O1714/B1748)</f>
        <v/>
      </c>
      <c r="Q1714">
        <f>IFERROR(1/IF(Inputs!$B$39="pvp",15,MAX(0.1,Skills!D12-IF(TRUE=TRUE,Inputs!$B$32,0))),0)</f>
        <v/>
      </c>
      <c r="R1714">
        <f>IF(AND(Inputs!$B$39&lt;&gt;"pvp",Inputs!$B$44&gt;0),IF(MAX(0,Inputs!$B$44-B1747)&lt;=0,0,(INT(MAX(0,Inputs!$B$44-B1747)/IF(Inputs!$B$39="pvp",15,MAX(0.1,Skills!D12-IF(TRUE=TRUE,Inputs!$B$32,0))))+1)),0)</f>
        <v/>
      </c>
      <c r="S1714">
        <f>IFERROR(O1714/N1714,0)</f>
        <v/>
      </c>
      <c r="T1714">
        <f>IF(C1714,(H1714*N1714*IF(AND(Inputs!$B$39&lt;&gt;"pvp",Inputs!$B$44&gt;0),((Skills!G12*((R1714-1)*IF(Skills!H12&gt;0,Skills!I12/Skills!H12,1)+IF(Skills!H12&gt;0,MIN(Skills!I12,MAX(0,MAX(0,Inputs!$B$44-B1747)-((R1714-1)*IF(Inputs!$B$39="pvp",15,MAX(0.1,Skills!D12-IF(TRUE=TRUE,Inputs!$B$32,0))))))/Skills!H12,1)))/Inputs!$B$44),G1714*Q1714))*IF(Inputs!$B$39="pvp",1,1+(Inputs!$B$20+0+Skills!P12+B1737+(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Hunt"),CHOOSE(ArtifactsInput!$N$35+1,15,18,21,24,27,30)*(1-EXP(-(0.2*B1740)*5)),0)+IF(AND(ArtifactsInput!$M$22,Inputs!$B$4&lt;&gt;"Chapter Hunt"),CHOOSE(ArtifactsInput!$N$22+1,10,12,14,16,18,20)*((0*(((0.15*B1740*5))^0/1)+1*(((0.15*B1740*5))^1/1)+2*(((0.15*B1740*5))^2/2)+3*(((0.15*B1740*5))^3/6)+4*(((0.15*B1740*5))^4/24)+5*(((0.15*B1740*5))^5/120))/((((0.15*B1740*5))^0/1)+(((0.15*B1740*5))^1/1)+(((0.15*B1740*5))^2/2)+(((0.15*B1740*5))^3/6)+(((0.15*B1740*5))^4/24)+(((0.15*B1740*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1714*(1-MIN(100,(Inputs!$B$9+((C1728=TRUE)*(F1728-Calc!F26))+B1736+(ArtifactsInput!$M$24-ArtifactsInput!$M$24)*CHOOSE(ArtifactsInput!$N$24+1,10,12,14,16,18,20)+(IF(AND(Inputs!$B$39&lt;&gt;"pvp",Inputs!$B$44=0),1,IF(IF(Inputs!$B$39="pvp",15,Inputs!$B$44)-(B1747)&lt;=0,1,MAX(0,IF(Inputs!$B$39="pvp",15,Inputs!$B$44)-MAX(5,B1747))/(IF(Inputs!$B$39="pvp",15,Inputs!$B$44)-(B1747))))*IF(AND(ArtifactsInput!$M$42,((Inputs!$B$9+((C1728=TRUE)*(F1728-Calc!F26))+B1736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1714*(MIN(100,(Inputs!$B$9+((C1728=TRUE)*(F1728-Calc!F26))+B1736+(ArtifactsInput!$M$24-ArtifactsInput!$M$24)*CHOOSE(ArtifactsInput!$N$24+1,10,12,14,16,18,20)+(IF(AND(Inputs!$B$39&lt;&gt;"pvp",Inputs!$B$44=0),1,IF(IF(Inputs!$B$39="pvp",15,Inputs!$B$44)-(B1747)&lt;=0,1,MAX(0,IF(Inputs!$B$39="pvp",15,Inputs!$B$44)-MAX(5,B1747))/(IF(Inputs!$B$39="pvp",15,Inputs!$B$44)-(B1747))))*IF(AND(ArtifactsInput!$M$42,((Inputs!$B$9+((C1728=TRUE)*(F1728-Calc!F26))+B1736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1714*(1-MIN(100,(Inputs!$B$9+((C1728=TRUE)*(F1728-Calc!F26))+B1736+(ArtifactsInput!$M$24-ArtifactsInput!$M$24)*CHOOSE(ArtifactsInput!$N$24+1,10,12,14,16,18,20)+(IF(AND(Inputs!$B$39&lt;&gt;"pvp",Inputs!$B$44=0),1,IF(IF(Inputs!$B$39="pvp",15,Inputs!$B$44)-(B1747)&lt;=0,1,MAX(0,IF(Inputs!$B$39="pvp",15,Inputs!$B$44)-MAX(5,B1747))/(IF(Inputs!$B$39="pvp",15,Inputs!$B$44)-(B1747))))*IF(AND(ArtifactsInput!$M$42,((Inputs!$B$9+((C1728=TRUE)*(F1728-Calc!F26))+B1736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1714*(MIN(100,(Inputs!$B$9+((C1728=TRUE)*(F1728-Calc!F26))+B1736+(ArtifactsInput!$M$24-ArtifactsInput!$M$24)*CHOOSE(ArtifactsInput!$N$24+1,10,12,14,16,18,20)+(IF(AND(Inputs!$B$39&lt;&gt;"pvp",Inputs!$B$44=0),1,IF(IF(Inputs!$B$39="pvp",15,Inputs!$B$44)-(B1747)&lt;=0,1,MAX(0,IF(Inputs!$B$39="pvp",15,Inputs!$B$44)-MAX(5,B1747))/(IF(Inputs!$B$39="pvp",15,Inputs!$B$44)-(B1747))))*IF(AND(ArtifactsInput!$M$42,((Inputs!$B$9+((C1728=TRUE)*(F1728-Calc!F26))+B1736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1714">
        <f>IF(C1714,(H1714*N1714*IF(AND(Inputs!$B$39&lt;&gt;"pvp",Inputs!$B$44&gt;0),((Skills!G12*((R1714-1)*IF(Skills!H12&gt;0,Skills!I12/Skills!H12,1)+IF(Skills!H12&gt;0,MIN(Skills!I12,MAX(0,MAX(0,Inputs!$B$44-B1747)-((R1714-1)*IF(Inputs!$B$39="pvp",15,MAX(0.1,Skills!D12-IF(TRUE=TRUE,Inputs!$B$32,0))))))/Skills!H12,1)))/Inputs!$B$44),G1714*Q1714))*IF(Inputs!$B$39="pvp",1,(1+(Inputs!$B$21+Skills!Q12+B1737+(IF(ArtifactsInput!$M$33,CHOOSE(ArtifactsInput!$N$33+1,30,36,42,48,54,60),0))+(IF(AND(ArtifactsInput!$M$35,Inputs!$B$4&lt;&gt;"Chapter Hunt"),CHOOSE(ArtifactsInput!$N$35+1,15,18,21,24,27,30)*(1-EXP(-(0.2*B1740)*5)),0)+IF(AND(ArtifactsInput!$M$22,Inputs!$B$4&lt;&gt;"Chapter Hunt"),CHOOSE(ArtifactsInput!$N$22+1,10,12,14,16,18,20)*((0*(((0.15*B1740*5))^0/1)+1*(((0.15*B1740*5))^1/1)+2*(((0.15*B1740*5))^2/2)+3*(((0.15*B1740*5))^3/6)+4*(((0.15*B1740*5))^4/24)+5*(((0.15*B1740*5))^5/120))/((((0.15*B1740*5))^0/1)+(((0.15*B1740*5))^1/1)+(((0.15*B1740*5))^2/2)+(((0.15*B1740*5))^3/6)+(((0.15*B1740*5))^4/24)+(((0.15*B1740*5))^5/120))),0)))/100)*(MIN(Skills!W12,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715">
      <c r="A1715">
        <f>Skills!A13</f>
        <v/>
      </c>
      <c r="B1715">
        <f>Skills!B13</f>
        <v/>
      </c>
      <c r="C1715">
        <f>Inputs!$B$3&gt;=105</f>
        <v/>
      </c>
      <c r="D1715">
        <f>IF(Skills!C13=1,60+Inputs!$B$25+Inputs!$B$29,IF(Skills!C13=2,90+Inputs!$B$26+Inputs!$B$29,IF(Skills!C13=3,120+Inputs!$B$27+Inputs!$B$29,MAX(0,(Inputs!$B$3-100)*3)+Inputs!$B$28+Inputs!$B$29)))</f>
        <v/>
      </c>
      <c r="E1715">
        <f>INDEX(FactorTable!$B$2:$Y$301, MATCH(ROUND(MIN(300,MAX(1,D1715)),0), FactorTable!$A$2:$A$301,0), Skills!M13+1)</f>
        <v/>
      </c>
      <c r="F1715">
        <f>IF(Skills!N13=TRUE,(Skills!L13/10)*(E1715/1000),Skills!L13/10)+Skills!O13</f>
        <v/>
      </c>
      <c r="G1715">
        <f>Skills!G13*IF(Skills!H13&gt;0,IF(Inputs!$B$39="pvp",MIN(Skills!I13,15),Skills!I13)/Skills!H13,1)</f>
        <v/>
      </c>
      <c r="H1715">
        <f>1-(1-Skills!J13/100)^Skills!K13</f>
        <v/>
      </c>
      <c r="I1715" t="inlineStr">
        <is>
          <t>1</t>
        </is>
      </c>
      <c r="J1715">
        <f>((Inputs!$B$6*(1+Inputs!$B$7/100))+(((Inputs!$B$12*(1+Inputs!$B$13/100))-(Inputs!$B$12*(1+Inputs!$B$13/100)))+0.25*(Inputs!$B$14-Inputs!$B$14))*(1+Inputs!$B$7/100))*(F1715/100)</f>
        <v/>
      </c>
      <c r="K1715">
        <f>J1715*(1+((Inputs!$B$12*(1+Inputs!$B$13/100))*0.01+Inputs!$B$14*0.0025)/100)*(1+Inputs!$B$15/100)*(1+Inputs!$B$16/100)*(5000/(6000+Inputs!$B$43*(1-(100*(1-(1-Inputs!$B$19/100)*(1-CHOOSE(ArtifactsInput!$N$40+1,5,6,7,8,9,10)/100)^(ArtifactsInput!$M$40-ArtifactsInput!$M$40)))/100)))*(1+(Inputs!$B$24+((C1733=TRUE)*(F1733-Calc!F31))+((C1720=TRUE)*(F1720-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13="CRUEL_STAB",Inputs!$B$17+((C1730=TRUE)*(F1730-Calc!F28))+((IF(AND(Inputs!$B$39&lt;&gt;"pvp",Inputs!$B$44=0),1,IF(IF(Inputs!$B$39="pvp",15,Inputs!$B$44)-(B1747)&lt;=0,1,MAX(0,IF(Inputs!$B$39="pvp",15,Inputs!$B$44)-MAX(5,B1747))/(IF(Inputs!$B$39="pvp",15,Inputs!$B$44)-(B1747))))*(IF(AND(ArtifactsInput!$M$42,((Inputs!$B$9+((C1728=TRUE)*(F1728-Calc!F26))+B1736+(ArtifactsInput!$M$24-ArtifactsInput!$M$24)*CHOOSE(ArtifactsInput!$N$24+1,10,12,14,16,18,20)+IF(ArtifactsInput!$M$10,CHOOSE(ArtifactsInput!$N$10+1,15,18,21,24,27,30)*(IF(Inputs!$B$39="pvp",MIN(15,15)/15,IF(AND(Inputs!$B$39&lt;&gt;"pvp",Inputs!$B$44&gt;0),MIN(15,Inputs!$B$44)/(Inputs!$B$44),0))),0)))&gt;=100),MIN(100,((Inputs!$B$9+((C1728=TRUE)*(F1728-Calc!F26))+B1736+(ArtifactsInput!$M$24-ArtifactsInput!$M$24)*CHOOSE(ArtifactsInput!$N$24+1,10,12,14,16,18,20)+IF(ArtifactsInput!$M$10,CHOOSE(ArtifactsInput!$N$10+1,15,18,21,24,27,30)*(IF(Inputs!$B$39="pvp",MIN(15,15)/15,IF(AND(Inputs!$B$39&lt;&gt;"pvp",Inputs!$B$44&gt;0),MIN(15,Inputs!$B$44)/(Inputs!$B$44),0))),0)))-100),0))*CHOOSE(ArtifactsInput!$N$42+1,0.6,0.72,0.84,0.96,1.08,1.2))),Inputs!$B$18+((C1731=TRUE)*(F1731-Calc!F29))+(IF(AND(Inputs!$B$39&lt;&gt;"pvp",Inputs!$B$44=0),1,IF(IF(Inputs!$B$39="pvp",15,Inputs!$B$44)-(B1747)&lt;=0,1,MAX(0,IF(Inputs!$B$39="pvp",15,Inputs!$B$44)-MAX(5,B1747))/(IF(Inputs!$B$39="pvp",15,Inputs!$B$44)-(B1747))))*IF(AND(ArtifactsInput!$M$42,((Inputs!$B$9+((C1728=TRUE)*(F1728-Calc!F26))+B1736+(ArtifactsInput!$M$24-ArtifactsInput!$M$24)*CHOOSE(ArtifactsInput!$N$24+1,10,12,14,16,18,20)+IF(ArtifactsInput!$M$10,CHOOSE(ArtifactsInput!$N$10+1,15,18,21,24,27,30)*(IF(Inputs!$B$39="pvp",MIN(15,15)/15,IF(AND(Inputs!$B$39&lt;&gt;"pvp",Inputs!$B$44&gt;0),MIN(15,Inputs!$B$44)/(Inputs!$B$44),0))),0)))&gt;=100),CHOOSE(ArtifactsInput!$N$42+1,40,48,56,64,72,80),0))))/100)*(((1+(((C1724=TRUE)*F1724*IF(AND(Inputs!$B$39&lt;&gt;"pvp",Inputs!$B$44&gt;0),(((R1724-1)*MIN((Skills!Y22*(1+Inputs!$B$34/100)),(1/Q1724))+MIN((Skills!Y22*(1+Inputs!$B$34/100)),MAX(0,Inputs!$B$44-((R1724-1)*(1/Q1724)))))/Inputs!$B$44),IF(Inputs!$B$39="pvp",MIN((Skills!Y22*(1+Inputs!$B$34/100)),15)/15,MIN(1,(Skills!Y22*(1+Inputs!$B$34/100))/(1/Q1724)))))+((C1705=TRUE)*F1705*3)+((C1707=TRUE)*F1707*(1-EXP(-0.75*B1740*5)))+((C1726=TRUE)*(F1726-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1713=TRUE)*F1713*IF(AND(Inputs!$B$39&lt;&gt;"pvp",Inputs!$B$44&gt;0),(((R1713-1)*MIN((Skills!Y11*(1+Inputs!$B$34/100)),(1/Q1713))+MIN((Skills!Y11*(1+Inputs!$B$34/100)),MAX(0,Inputs!$B$44-((R1713-1)*(1/Q1713)))))/Inputs!$B$44),IF(Inputs!$B$39="pvp",MIN((Skills!Y11*(1+Inputs!$B$34/100)),15)/15,MIN(1,(Skills!Y11*(1+Inputs!$B$34/100))/(1/Q1713)))))/100)*(1+((C1718=TRUE)*F1718*IF(AND(Inputs!$B$39&lt;&gt;"pvp",Inputs!$B$44&gt;0),(((R1718-1)*MIN((Skills!Y16*(1+Inputs!$B$34/100)),(1/Q1718))+MIN((Skills!Y16*(1+Inputs!$B$34/100)),MAX(0,Inputs!$B$44-((R1718-1)*(1/Q1718)))))/Inputs!$B$44),IF(Inputs!$B$39="pvp",MIN((Skills!Y16*(1+Inputs!$B$34/100)),15)/15,MIN(1,(Skills!Y16*(1+Inputs!$B$34/100))/(1/Q1718)))))/100))*(1+(IF(IF(ArtifactsInput!$M$11,FALSE,TRUE),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1738*I1715)</f>
        <v/>
      </c>
      <c r="L1715">
        <f>K1715*(MIN(Inputs!$B$22+((C1727=TRUE)*(F1727-Calc!F25)),(Inputs!$B$23+((C1732=TRUE)*(F1732-Calc!F30))+IF(ArtifactsInput!$M$15,CHOOSE(ArtifactsInput!$N$15+1,25,30,35,40,45,50)/100*(Inputs!$B$11-Inputs!$B$11),0)))/100+(Inputs!$B$23+((C1732=TRUE)*(F1732-Calc!F30))+IF(ArtifactsInput!$M$15,CHOOSE(ArtifactsInput!$N$15+1,25,30,35,40,45,50)/100*(Inputs!$B$11-Inputs!$B$11),0))/100)/2</f>
        <v/>
      </c>
      <c r="M1715">
        <f>L1715*(1+(Inputs!$B$10+((C1729=TRUE)*(F1729-Calc!F27))+B1743+(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1715">
        <f>L1715*(1-MIN((Inputs!$B$9+((C1728=TRUE)*(F1728-Calc!F26))+B1736+(ArtifactsInput!$M$24-ArtifactsInput!$M$24)*CHOOSE(ArtifactsInput!$N$24+1,10,12,14,16,18,20)+(IF(AND(Inputs!$B$39&lt;&gt;"pvp",Inputs!$B$44=0),1,IF(IF(Inputs!$B$39="pvp",15,Inputs!$B$44)-(B1747)&lt;=0,1,MAX(0,IF(Inputs!$B$39="pvp",15,Inputs!$B$44)-MAX(5,B1747))/(IF(Inputs!$B$39="pvp",15,Inputs!$B$44)-(B1747))))*IF(AND(ArtifactsInput!$M$42,((Inputs!$B$9+((C1728=TRUE)*(F1728-Calc!F26))+B1736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1715*(MIN((Inputs!$B$9+((C1728=TRUE)*(F1728-Calc!F26))+B1736+(ArtifactsInput!$M$24-ArtifactsInput!$M$24)*CHOOSE(ArtifactsInput!$N$24+1,10,12,14,16,18,20)+(IF(AND(Inputs!$B$39&lt;&gt;"pvp",Inputs!$B$44=0),1,IF(IF(Inputs!$B$39="pvp",15,Inputs!$B$44)-(B1747)&lt;=0,1,MAX(0,IF(Inputs!$B$39="pvp",15,Inputs!$B$44)-MAX(5,B1747))/(IF(Inputs!$B$39="pvp",15,Inputs!$B$44)-(B1747))))*IF(AND(ArtifactsInput!$M$42,((Inputs!$B$9+((C1728=TRUE)*(F1728-Calc!F26))+B1736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715">
        <f>(1-Summary!$B$11)*T1715+Summary!$B$11*V1715</f>
        <v/>
      </c>
      <c r="P1715">
        <f>IF(B1748=0,0,O1715/B1748)</f>
        <v/>
      </c>
      <c r="Q1715">
        <f>IFERROR(1/IF(Inputs!$B$39="pvp",15,MAX(0.1,Skills!D13-IF(TRUE=TRUE,Inputs!$B$32,0))),0)</f>
        <v/>
      </c>
      <c r="R1715">
        <f>IF(AND(Inputs!$B$39&lt;&gt;"pvp",Inputs!$B$44&gt;0),IF(MAX(0,Inputs!$B$44-B1747)&lt;=0,0,(INT(MAX(0,Inputs!$B$44-B1747)/IF(Inputs!$B$39="pvp",15,MAX(0.1,Skills!D13-IF(TRUE=TRUE,Inputs!$B$32,0))))+1)),0)</f>
        <v/>
      </c>
      <c r="S1715">
        <f>IFERROR(O1715/N1715,0)</f>
        <v/>
      </c>
      <c r="T1715">
        <f>IF(C1715,(H1715*N1715*IF(AND(Inputs!$B$39&lt;&gt;"pvp",Inputs!$B$44&gt;0),((Skills!G13*((R1715-1)*IF(Skills!H13&gt;0,Skills!I13/Skills!H13,1)+IF(Skills!H13&gt;0,MIN(Skills!I13,MAX(0,MAX(0,Inputs!$B$44-B1747)-((R1715-1)*IF(Inputs!$B$39="pvp",15,MAX(0.1,Skills!D13-IF(TRUE=TRUE,Inputs!$B$32,0))))))/Skills!H13,1)))/Inputs!$B$44),G1715*Q1715))*IF(Inputs!$B$39="pvp",1,1+(Inputs!$B$20+0+Skills!P13+B1737+(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Hunt"),CHOOSE(ArtifactsInput!$N$35+1,15,18,21,24,27,30)*(1-EXP(-(0.2*B1740)*5)),0)+IF(AND(ArtifactsInput!$M$22,Inputs!$B$4&lt;&gt;"Chapter Hunt"),CHOOSE(ArtifactsInput!$N$22+1,10,12,14,16,18,20)*((0*(((0.15*B1740*5))^0/1)+1*(((0.15*B1740*5))^1/1)+2*(((0.15*B1740*5))^2/2)+3*(((0.15*B1740*5))^3/6)+4*(((0.15*B1740*5))^4/24)+5*(((0.15*B1740*5))^5/120))/((((0.15*B1740*5))^0/1)+(((0.15*B1740*5))^1/1)+(((0.15*B1740*5))^2/2)+(((0.15*B1740*5))^3/6)+(((0.15*B1740*5))^4/24)+(((0.15*B1740*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1715*(1-MIN(100,(Inputs!$B$9+((C1728=TRUE)*(F1728-Calc!F26))+B1736+(ArtifactsInput!$M$24-ArtifactsInput!$M$24)*CHOOSE(ArtifactsInput!$N$24+1,10,12,14,16,18,20)+(IF(AND(Inputs!$B$39&lt;&gt;"pvp",Inputs!$B$44=0),1,IF(IF(Inputs!$B$39="pvp",15,Inputs!$B$44)-(B1747)&lt;=0,1,MAX(0,IF(Inputs!$B$39="pvp",15,Inputs!$B$44)-MAX(5,B1747))/(IF(Inputs!$B$39="pvp",15,Inputs!$B$44)-(B1747))))*IF(AND(ArtifactsInput!$M$42,((Inputs!$B$9+((C1728=TRUE)*(F1728-Calc!F26))+B1736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1715*(MIN(100,(Inputs!$B$9+((C1728=TRUE)*(F1728-Calc!F26))+B1736+(ArtifactsInput!$M$24-ArtifactsInput!$M$24)*CHOOSE(ArtifactsInput!$N$24+1,10,12,14,16,18,20)+(IF(AND(Inputs!$B$39&lt;&gt;"pvp",Inputs!$B$44=0),1,IF(IF(Inputs!$B$39="pvp",15,Inputs!$B$44)-(B1747)&lt;=0,1,MAX(0,IF(Inputs!$B$39="pvp",15,Inputs!$B$44)-MAX(5,B1747))/(IF(Inputs!$B$39="pvp",15,Inputs!$B$44)-(B1747))))*IF(AND(ArtifactsInput!$M$42,((Inputs!$B$9+((C1728=TRUE)*(F1728-Calc!F26))+B1736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1715*(1-MIN(100,(Inputs!$B$9+((C1728=TRUE)*(F1728-Calc!F26))+B1736+(ArtifactsInput!$M$24-ArtifactsInput!$M$24)*CHOOSE(ArtifactsInput!$N$24+1,10,12,14,16,18,20)+(IF(AND(Inputs!$B$39&lt;&gt;"pvp",Inputs!$B$44=0),1,IF(IF(Inputs!$B$39="pvp",15,Inputs!$B$44)-(B1747)&lt;=0,1,MAX(0,IF(Inputs!$B$39="pvp",15,Inputs!$B$44)-MAX(5,B1747))/(IF(Inputs!$B$39="pvp",15,Inputs!$B$44)-(B1747))))*IF(AND(ArtifactsInput!$M$42,((Inputs!$B$9+((C1728=TRUE)*(F1728-Calc!F26))+B1736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1715*(MIN(100,(Inputs!$B$9+((C1728=TRUE)*(F1728-Calc!F26))+B1736+(ArtifactsInput!$M$24-ArtifactsInput!$M$24)*CHOOSE(ArtifactsInput!$N$24+1,10,12,14,16,18,20)+(IF(AND(Inputs!$B$39&lt;&gt;"pvp",Inputs!$B$44=0),1,IF(IF(Inputs!$B$39="pvp",15,Inputs!$B$44)-(B1747)&lt;=0,1,MAX(0,IF(Inputs!$B$39="pvp",15,Inputs!$B$44)-MAX(5,B1747))/(IF(Inputs!$B$39="pvp",15,Inputs!$B$44)-(B1747))))*IF(AND(ArtifactsInput!$M$42,((Inputs!$B$9+((C1728=TRUE)*(F1728-Calc!F26))+B1736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1715">
        <f>IF(C1715,(H1715*N1715*IF(AND(Inputs!$B$39&lt;&gt;"pvp",Inputs!$B$44&gt;0),((Skills!G13*((R1715-1)*IF(Skills!H13&gt;0,Skills!I13/Skills!H13,1)+IF(Skills!H13&gt;0,MIN(Skills!I13,MAX(0,MAX(0,Inputs!$B$44-B1747)-((R1715-1)*IF(Inputs!$B$39="pvp",15,MAX(0.1,Skills!D13-IF(TRUE=TRUE,Inputs!$B$32,0))))))/Skills!H13,1)))/Inputs!$B$44),G1715*Q1715))*IF(Inputs!$B$39="pvp",1,(1+(Inputs!$B$21+Skills!Q13+B1737+(IF(ArtifactsInput!$M$33,CHOOSE(ArtifactsInput!$N$33+1,30,36,42,48,54,60),0))+(IF(AND(ArtifactsInput!$M$35,Inputs!$B$4&lt;&gt;"Chapter Hunt"),CHOOSE(ArtifactsInput!$N$35+1,15,18,21,24,27,30)*(1-EXP(-(0.2*B1740)*5)),0)+IF(AND(ArtifactsInput!$M$22,Inputs!$B$4&lt;&gt;"Chapter Hunt"),CHOOSE(ArtifactsInput!$N$22+1,10,12,14,16,18,20)*((0*(((0.15*B1740*5))^0/1)+1*(((0.15*B1740*5))^1/1)+2*(((0.15*B1740*5))^2/2)+3*(((0.15*B1740*5))^3/6)+4*(((0.15*B1740*5))^4/24)+5*(((0.15*B1740*5))^5/120))/((((0.15*B1740*5))^0/1)+(((0.15*B1740*5))^1/1)+(((0.15*B1740*5))^2/2)+(((0.15*B1740*5))^3/6)+(((0.15*B1740*5))^4/24)+(((0.15*B1740*5))^5/120))),0)))/100)*(MIN(Skills!W13,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716">
      <c r="A1716">
        <f>Skills!A14</f>
        <v/>
      </c>
      <c r="B1716">
        <f>Skills!B14</f>
        <v/>
      </c>
      <c r="C1716">
        <f>Inputs!$B$3&gt;=105</f>
        <v/>
      </c>
      <c r="D1716">
        <f>IF(Skills!C14=1,60+Inputs!$B$25+Inputs!$B$29,IF(Skills!C14=2,90+Inputs!$B$26+Inputs!$B$29,IF(Skills!C14=3,120+Inputs!$B$27+Inputs!$B$29,MAX(0,(Inputs!$B$3-100)*3)+Inputs!$B$28+Inputs!$B$29)))</f>
        <v/>
      </c>
      <c r="E1716">
        <f>INDEX(FactorTable!$B$2:$Y$301, MATCH(ROUND(MIN(300,MAX(1,D1716)),0), FactorTable!$A$2:$A$301,0), Skills!M14+1)</f>
        <v/>
      </c>
      <c r="F1716">
        <f>IF(Skills!N14=TRUE,(Skills!L14/10)*(E1716/1000),Skills!L14/10)+Skills!O14</f>
        <v/>
      </c>
      <c r="G1716">
        <f>Skills!G14*IF(Skills!H14&gt;0,IF(Inputs!$B$39="pvp",MIN(Skills!I14,15),Skills!I14)/Skills!H14,1)</f>
        <v/>
      </c>
      <c r="H1716">
        <f>1-(1-Skills!J14/100)^Skills!K14</f>
        <v/>
      </c>
      <c r="I1716" t="inlineStr">
        <is>
          <t>1</t>
        </is>
      </c>
      <c r="J1716">
        <f>((Inputs!$B$6*(1+Inputs!$B$7/100))+(((Inputs!$B$12*(1+Inputs!$B$13/100))-(Inputs!$B$12*(1+Inputs!$B$13/100)))+0.25*(Inputs!$B$14-Inputs!$B$14))*(1+Inputs!$B$7/100))*(F1716/100)</f>
        <v/>
      </c>
      <c r="K1716">
        <f>J1716*(1+((Inputs!$B$12*(1+Inputs!$B$13/100))*0.01+Inputs!$B$14*0.0025)/100)*(1+Inputs!$B$15/100)*(1+Inputs!$B$16/100)*(5000/(6000+Inputs!$B$43*(1-(100*(1-(1-Inputs!$B$19/100)*(1-CHOOSE(ArtifactsInput!$N$40+1,5,6,7,8,9,10)/100)^(ArtifactsInput!$M$40-ArtifactsInput!$M$40)))/100)))*(1+(Inputs!$B$24+((C1733=TRUE)*(F1733-Calc!F31))+((C1720=TRUE)*(F1720-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14="CRUEL_STAB",Inputs!$B$17+((C1730=TRUE)*(F1730-Calc!F28))+((IF(AND(Inputs!$B$39&lt;&gt;"pvp",Inputs!$B$44=0),1,IF(IF(Inputs!$B$39="pvp",15,Inputs!$B$44)-(B1747)&lt;=0,1,MAX(0,IF(Inputs!$B$39="pvp",15,Inputs!$B$44)-MAX(5,B1747))/(IF(Inputs!$B$39="pvp",15,Inputs!$B$44)-(B1747))))*(IF(AND(ArtifactsInput!$M$42,((Inputs!$B$9+((C1728=TRUE)*(F1728-Calc!F26))+B1736+(ArtifactsInput!$M$24-ArtifactsInput!$M$24)*CHOOSE(ArtifactsInput!$N$24+1,10,12,14,16,18,20)+IF(ArtifactsInput!$M$10,CHOOSE(ArtifactsInput!$N$10+1,15,18,21,24,27,30)*(IF(Inputs!$B$39="pvp",MIN(15,15)/15,IF(AND(Inputs!$B$39&lt;&gt;"pvp",Inputs!$B$44&gt;0),MIN(15,Inputs!$B$44)/(Inputs!$B$44),0))),0)))&gt;=100),MIN(100,((Inputs!$B$9+((C1728=TRUE)*(F1728-Calc!F26))+B1736+(ArtifactsInput!$M$24-ArtifactsInput!$M$24)*CHOOSE(ArtifactsInput!$N$24+1,10,12,14,16,18,20)+IF(ArtifactsInput!$M$10,CHOOSE(ArtifactsInput!$N$10+1,15,18,21,24,27,30)*(IF(Inputs!$B$39="pvp",MIN(15,15)/15,IF(AND(Inputs!$B$39&lt;&gt;"pvp",Inputs!$B$44&gt;0),MIN(15,Inputs!$B$44)/(Inputs!$B$44),0))),0)))-100),0))*CHOOSE(ArtifactsInput!$N$42+1,0.6,0.72,0.84,0.96,1.08,1.2))),Inputs!$B$18+((C1731=TRUE)*(F1731-Calc!F29))+(IF(AND(Inputs!$B$39&lt;&gt;"pvp",Inputs!$B$44=0),1,IF(IF(Inputs!$B$39="pvp",15,Inputs!$B$44)-(B1747)&lt;=0,1,MAX(0,IF(Inputs!$B$39="pvp",15,Inputs!$B$44)-MAX(5,B1747))/(IF(Inputs!$B$39="pvp",15,Inputs!$B$44)-(B1747))))*IF(AND(ArtifactsInput!$M$42,((Inputs!$B$9+((C1728=TRUE)*(F1728-Calc!F26))+B1736+(ArtifactsInput!$M$24-ArtifactsInput!$M$24)*CHOOSE(ArtifactsInput!$N$24+1,10,12,14,16,18,20)+IF(ArtifactsInput!$M$10,CHOOSE(ArtifactsInput!$N$10+1,15,18,21,24,27,30)*(IF(Inputs!$B$39="pvp",MIN(15,15)/15,IF(AND(Inputs!$B$39&lt;&gt;"pvp",Inputs!$B$44&gt;0),MIN(15,Inputs!$B$44)/(Inputs!$B$44),0))),0)))&gt;=100),CHOOSE(ArtifactsInput!$N$42+1,40,48,56,64,72,80),0))))/100)*(((1+(((C1724=TRUE)*F1724*IF(AND(Inputs!$B$39&lt;&gt;"pvp",Inputs!$B$44&gt;0),(((R1724-1)*MIN((Skills!Y22*(1+Inputs!$B$34/100)),(1/Q1724))+MIN((Skills!Y22*(1+Inputs!$B$34/100)),MAX(0,Inputs!$B$44-((R1724-1)*(1/Q1724)))))/Inputs!$B$44),IF(Inputs!$B$39="pvp",MIN((Skills!Y22*(1+Inputs!$B$34/100)),15)/15,MIN(1,(Skills!Y22*(1+Inputs!$B$34/100))/(1/Q1724)))))+((C1705=TRUE)*F1705*3)+((C1707=TRUE)*F1707*(1-EXP(-0.75*B1740*5)))+((C1726=TRUE)*(F1726-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1713=TRUE)*F1713*IF(AND(Inputs!$B$39&lt;&gt;"pvp",Inputs!$B$44&gt;0),(((R1713-1)*MIN((Skills!Y11*(1+Inputs!$B$34/100)),(1/Q1713))+MIN((Skills!Y11*(1+Inputs!$B$34/100)),MAX(0,Inputs!$B$44-((R1713-1)*(1/Q1713)))))/Inputs!$B$44),IF(Inputs!$B$39="pvp",MIN((Skills!Y11*(1+Inputs!$B$34/100)),15)/15,MIN(1,(Skills!Y11*(1+Inputs!$B$34/100))/(1/Q1713)))))/100)*(1+((C1718=TRUE)*F1718*IF(AND(Inputs!$B$39&lt;&gt;"pvp",Inputs!$B$44&gt;0),(((R1718-1)*MIN((Skills!Y16*(1+Inputs!$B$34/100)),(1/Q1718))+MIN((Skills!Y16*(1+Inputs!$B$34/100)),MAX(0,Inputs!$B$44-((R1718-1)*(1/Q1718)))))/Inputs!$B$44),IF(Inputs!$B$39="pvp",MIN((Skills!Y16*(1+Inputs!$B$34/100)),15)/15,MIN(1,(Skills!Y16*(1+Inputs!$B$34/100))/(1/Q1718)))))/100))*(1+(IF(IF(ArtifactsInput!$M$11,FALSE,TRUE),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1738*I1716)</f>
        <v/>
      </c>
      <c r="L1716">
        <f>K1716*(MIN(Inputs!$B$22+((C1727=TRUE)*(F1727-Calc!F25)),(Inputs!$B$23+((C1732=TRUE)*(F1732-Calc!F30))+IF(ArtifactsInput!$M$15,CHOOSE(ArtifactsInput!$N$15+1,25,30,35,40,45,50)/100*(Inputs!$B$11-Inputs!$B$11),0)))/100+(Inputs!$B$23+((C1732=TRUE)*(F1732-Calc!F30))+IF(ArtifactsInput!$M$15,CHOOSE(ArtifactsInput!$N$15+1,25,30,35,40,45,50)/100*(Inputs!$B$11-Inputs!$B$11),0))/100)/2</f>
        <v/>
      </c>
      <c r="M1716">
        <f>L1716*(1+(Inputs!$B$10+((C1729=TRUE)*(F1729-Calc!F27))+B1743+(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1716">
        <f>L1716*(1-MIN((Inputs!$B$9+((C1728=TRUE)*(F1728-Calc!F26))+B1736+(ArtifactsInput!$M$24-ArtifactsInput!$M$24)*CHOOSE(ArtifactsInput!$N$24+1,10,12,14,16,18,20)+(IF(AND(Inputs!$B$39&lt;&gt;"pvp",Inputs!$B$44=0),1,IF(IF(Inputs!$B$39="pvp",15,Inputs!$B$44)-(B1747)&lt;=0,1,MAX(0,IF(Inputs!$B$39="pvp",15,Inputs!$B$44)-MAX(5,B1747))/(IF(Inputs!$B$39="pvp",15,Inputs!$B$44)-(B1747))))*IF(AND(ArtifactsInput!$M$42,((Inputs!$B$9+((C1728=TRUE)*(F1728-Calc!F26))+B1736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1716*(MIN((Inputs!$B$9+((C1728=TRUE)*(F1728-Calc!F26))+B1736+(ArtifactsInput!$M$24-ArtifactsInput!$M$24)*CHOOSE(ArtifactsInput!$N$24+1,10,12,14,16,18,20)+(IF(AND(Inputs!$B$39&lt;&gt;"pvp",Inputs!$B$44=0),1,IF(IF(Inputs!$B$39="pvp",15,Inputs!$B$44)-(B1747)&lt;=0,1,MAX(0,IF(Inputs!$B$39="pvp",15,Inputs!$B$44)-MAX(5,B1747))/(IF(Inputs!$B$39="pvp",15,Inputs!$B$44)-(B1747))))*IF(AND(ArtifactsInput!$M$42,((Inputs!$B$9+((C1728=TRUE)*(F1728-Calc!F26))+B1736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716">
        <f>(1-Summary!$B$11)*T1716+Summary!$B$11*V1716</f>
        <v/>
      </c>
      <c r="P1716">
        <f>IF(B1748=0,0,O1716/B1748)</f>
        <v/>
      </c>
      <c r="Q1716">
        <f>IFERROR(1/IF(Inputs!$B$39="pvp",15,MAX(0.1,Skills!D14-IF(TRUE=TRUE,Inputs!$B$32,0))),0)</f>
        <v/>
      </c>
      <c r="R1716">
        <f>IF(AND(Inputs!$B$39&lt;&gt;"pvp",Inputs!$B$44&gt;0),IF(MAX(0,Inputs!$B$44-B1747)&lt;=0,0,(INT(MAX(0,Inputs!$B$44-B1747)/IF(Inputs!$B$39="pvp",15,MAX(0.1,Skills!D14-IF(TRUE=TRUE,Inputs!$B$32,0))))+1)),0)</f>
        <v/>
      </c>
      <c r="S1716">
        <f>IFERROR(O1716/N1716,0)</f>
        <v/>
      </c>
      <c r="T1716">
        <f>IF(C1716,(H1716*N1716*IF(AND(Inputs!$B$39&lt;&gt;"pvp",Inputs!$B$44&gt;0),((Skills!G14*((R1716-1)*IF(Skills!H14&gt;0,Skills!I14/Skills!H14,1)+IF(Skills!H14&gt;0,MIN(Skills!I14,MAX(0,MAX(0,Inputs!$B$44-B1747)-((R1716-1)*IF(Inputs!$B$39="pvp",15,MAX(0.1,Skills!D14-IF(TRUE=TRUE,Inputs!$B$32,0))))))/Skills!H14,1)))/Inputs!$B$44),G1716*Q1716))*IF(Inputs!$B$39="pvp",1,1+(Inputs!$B$20+0+Skills!P14+B1737+(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Hunt"),CHOOSE(ArtifactsInput!$N$35+1,15,18,21,24,27,30)*(1-EXP(-(0.2*B1740)*5)),0)+IF(AND(ArtifactsInput!$M$22,Inputs!$B$4&lt;&gt;"Chapter Hunt"),CHOOSE(ArtifactsInput!$N$22+1,10,12,14,16,18,20)*((0*(((0.15*B1740*5))^0/1)+1*(((0.15*B1740*5))^1/1)+2*(((0.15*B1740*5))^2/2)+3*(((0.15*B1740*5))^3/6)+4*(((0.15*B1740*5))^4/24)+5*(((0.15*B1740*5))^5/120))/((((0.15*B1740*5))^0/1)+(((0.15*B1740*5))^1/1)+(((0.15*B1740*5))^2/2)+(((0.15*B1740*5))^3/6)+(((0.15*B1740*5))^4/24)+(((0.15*B1740*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1716*(1-MIN(100,(Inputs!$B$9+((C1728=TRUE)*(F1728-Calc!F26))+B1736+(ArtifactsInput!$M$24-ArtifactsInput!$M$24)*CHOOSE(ArtifactsInput!$N$24+1,10,12,14,16,18,20)+(IF(AND(Inputs!$B$39&lt;&gt;"pvp",Inputs!$B$44=0),1,IF(IF(Inputs!$B$39="pvp",15,Inputs!$B$44)-(B1747)&lt;=0,1,MAX(0,IF(Inputs!$B$39="pvp",15,Inputs!$B$44)-MAX(5,B1747))/(IF(Inputs!$B$39="pvp",15,Inputs!$B$44)-(B1747))))*IF(AND(ArtifactsInput!$M$42,((Inputs!$B$9+((C1728=TRUE)*(F1728-Calc!F26))+B1736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1716*(MIN(100,(Inputs!$B$9+((C1728=TRUE)*(F1728-Calc!F26))+B1736+(ArtifactsInput!$M$24-ArtifactsInput!$M$24)*CHOOSE(ArtifactsInput!$N$24+1,10,12,14,16,18,20)+(IF(AND(Inputs!$B$39&lt;&gt;"pvp",Inputs!$B$44=0),1,IF(IF(Inputs!$B$39="pvp",15,Inputs!$B$44)-(B1747)&lt;=0,1,MAX(0,IF(Inputs!$B$39="pvp",15,Inputs!$B$44)-MAX(5,B1747))/(IF(Inputs!$B$39="pvp",15,Inputs!$B$44)-(B1747))))*IF(AND(ArtifactsInput!$M$42,((Inputs!$B$9+((C1728=TRUE)*(F1728-Calc!F26))+B1736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1716*(1-MIN(100,(Inputs!$B$9+((C1728=TRUE)*(F1728-Calc!F26))+B1736+(ArtifactsInput!$M$24-ArtifactsInput!$M$24)*CHOOSE(ArtifactsInput!$N$24+1,10,12,14,16,18,20)+(IF(AND(Inputs!$B$39&lt;&gt;"pvp",Inputs!$B$44=0),1,IF(IF(Inputs!$B$39="pvp",15,Inputs!$B$44)-(B1747)&lt;=0,1,MAX(0,IF(Inputs!$B$39="pvp",15,Inputs!$B$44)-MAX(5,B1747))/(IF(Inputs!$B$39="pvp",15,Inputs!$B$44)-(B1747))))*IF(AND(ArtifactsInput!$M$42,((Inputs!$B$9+((C1728=TRUE)*(F1728-Calc!F26))+B1736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1716*(MIN(100,(Inputs!$B$9+((C1728=TRUE)*(F1728-Calc!F26))+B1736+(ArtifactsInput!$M$24-ArtifactsInput!$M$24)*CHOOSE(ArtifactsInput!$N$24+1,10,12,14,16,18,20)+(IF(AND(Inputs!$B$39&lt;&gt;"pvp",Inputs!$B$44=0),1,IF(IF(Inputs!$B$39="pvp",15,Inputs!$B$44)-(B1747)&lt;=0,1,MAX(0,IF(Inputs!$B$39="pvp",15,Inputs!$B$44)-MAX(5,B1747))/(IF(Inputs!$B$39="pvp",15,Inputs!$B$44)-(B1747))))*IF(AND(ArtifactsInput!$M$42,((Inputs!$B$9+((C1728=TRUE)*(F1728-Calc!F26))+B1736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1716">
        <f>IF(C1716,(H1716*N1716*IF(AND(Inputs!$B$39&lt;&gt;"pvp",Inputs!$B$44&gt;0),((Skills!G14*((R1716-1)*IF(Skills!H14&gt;0,Skills!I14/Skills!H14,1)+IF(Skills!H14&gt;0,MIN(Skills!I14,MAX(0,MAX(0,Inputs!$B$44-B1747)-((R1716-1)*IF(Inputs!$B$39="pvp",15,MAX(0.1,Skills!D14-IF(TRUE=TRUE,Inputs!$B$32,0))))))/Skills!H14,1)))/Inputs!$B$44),G1716*Q1716))*IF(Inputs!$B$39="pvp",1,(1+(Inputs!$B$21+Skills!Q14+B1737+(IF(ArtifactsInput!$M$33,CHOOSE(ArtifactsInput!$N$33+1,30,36,42,48,54,60),0))+(IF(AND(ArtifactsInput!$M$35,Inputs!$B$4&lt;&gt;"Chapter Hunt"),CHOOSE(ArtifactsInput!$N$35+1,15,18,21,24,27,30)*(1-EXP(-(0.2*B1740)*5)),0)+IF(AND(ArtifactsInput!$M$22,Inputs!$B$4&lt;&gt;"Chapter Hunt"),CHOOSE(ArtifactsInput!$N$22+1,10,12,14,16,18,20)*((0*(((0.15*B1740*5))^0/1)+1*(((0.15*B1740*5))^1/1)+2*(((0.15*B1740*5))^2/2)+3*(((0.15*B1740*5))^3/6)+4*(((0.15*B1740*5))^4/24)+5*(((0.15*B1740*5))^5/120))/((((0.15*B1740*5))^0/1)+(((0.15*B1740*5))^1/1)+(((0.15*B1740*5))^2/2)+(((0.15*B1740*5))^3/6)+(((0.15*B1740*5))^4/24)+(((0.15*B1740*5))^5/120))),0)))/100)*(MIN(Skills!W14,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717">
      <c r="A1717">
        <f>Skills!A15</f>
        <v/>
      </c>
      <c r="B1717">
        <f>Skills!B15</f>
        <v/>
      </c>
      <c r="C1717">
        <f>Inputs!$B$3&gt;=107</f>
        <v/>
      </c>
      <c r="D1717">
        <f>IF(Skills!C15=1,60+Inputs!$B$25+Inputs!$B$29,IF(Skills!C15=2,90+Inputs!$B$26+Inputs!$B$29,IF(Skills!C15=3,120+Inputs!$B$27+Inputs!$B$29,MAX(0,(Inputs!$B$3-100)*3)+Inputs!$B$28+Inputs!$B$29)))</f>
        <v/>
      </c>
      <c r="E1717">
        <f>INDEX(FactorTable!$B$2:$Y$301, MATCH(ROUND(MIN(300,MAX(1,D1717)),0), FactorTable!$A$2:$A$301,0), Skills!M15+1)</f>
        <v/>
      </c>
      <c r="F1717">
        <f>IF(Skills!N15=TRUE,(Skills!L15/10)*(E1717/1000),Skills!L15/10)+Skills!O15</f>
        <v/>
      </c>
      <c r="G1717">
        <f>Skills!G15*IF(Skills!H15&gt;0,IF(Inputs!$B$39="pvp",MIN(Skills!I15,15),Skills!I15)/Skills!H15,1)</f>
        <v/>
      </c>
      <c r="H1717">
        <f>1-(1-Skills!J15/100)^Skills!K15</f>
        <v/>
      </c>
      <c r="I1717" t="inlineStr">
        <is>
          <t>1</t>
        </is>
      </c>
      <c r="J1717">
        <f>((Inputs!$B$6*(1+Inputs!$B$7/100))+(((Inputs!$B$12*(1+Inputs!$B$13/100))-(Inputs!$B$12*(1+Inputs!$B$13/100)))+0.25*(Inputs!$B$14-Inputs!$B$14))*(1+Inputs!$B$7/100))*(F1717/100)</f>
        <v/>
      </c>
      <c r="K1717">
        <f>J1717*(1+((Inputs!$B$12*(1+Inputs!$B$13/100))*0.01+Inputs!$B$14*0.0025)/100)*(1+Inputs!$B$15/100)*(1+Inputs!$B$16/100)*(5000/(6000+Inputs!$B$43*(1-(100*(1-(1-Inputs!$B$19/100)*(1-CHOOSE(ArtifactsInput!$N$40+1,5,6,7,8,9,10)/100)^(ArtifactsInput!$M$40-ArtifactsInput!$M$40)))/100)))*(1+(Inputs!$B$24+((C1733=TRUE)*(F1733-Calc!F31))+((C1720=TRUE)*(F1720-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15="CRUEL_STAB",Inputs!$B$17+((C1730=TRUE)*(F1730-Calc!F28))+((IF(AND(Inputs!$B$39&lt;&gt;"pvp",Inputs!$B$44=0),1,IF(IF(Inputs!$B$39="pvp",15,Inputs!$B$44)-(B1747)&lt;=0,1,MAX(0,IF(Inputs!$B$39="pvp",15,Inputs!$B$44)-MAX(5,B1747))/(IF(Inputs!$B$39="pvp",15,Inputs!$B$44)-(B1747))))*(IF(AND(ArtifactsInput!$M$42,((Inputs!$B$9+((C1728=TRUE)*(F1728-Calc!F26))+B1736+(ArtifactsInput!$M$24-ArtifactsInput!$M$24)*CHOOSE(ArtifactsInput!$N$24+1,10,12,14,16,18,20)+IF(ArtifactsInput!$M$10,CHOOSE(ArtifactsInput!$N$10+1,15,18,21,24,27,30)*(IF(Inputs!$B$39="pvp",MIN(15,15)/15,IF(AND(Inputs!$B$39&lt;&gt;"pvp",Inputs!$B$44&gt;0),MIN(15,Inputs!$B$44)/(Inputs!$B$44),0))),0)))&gt;=100),MIN(100,((Inputs!$B$9+((C1728=TRUE)*(F1728-Calc!F26))+B1736+(ArtifactsInput!$M$24-ArtifactsInput!$M$24)*CHOOSE(ArtifactsInput!$N$24+1,10,12,14,16,18,20)+IF(ArtifactsInput!$M$10,CHOOSE(ArtifactsInput!$N$10+1,15,18,21,24,27,30)*(IF(Inputs!$B$39="pvp",MIN(15,15)/15,IF(AND(Inputs!$B$39&lt;&gt;"pvp",Inputs!$B$44&gt;0),MIN(15,Inputs!$B$44)/(Inputs!$B$44),0))),0)))-100),0))*CHOOSE(ArtifactsInput!$N$42+1,0.6,0.72,0.84,0.96,1.08,1.2))),Inputs!$B$18+((C1731=TRUE)*(F1731-Calc!F29))+(IF(AND(Inputs!$B$39&lt;&gt;"pvp",Inputs!$B$44=0),1,IF(IF(Inputs!$B$39="pvp",15,Inputs!$B$44)-(B1747)&lt;=0,1,MAX(0,IF(Inputs!$B$39="pvp",15,Inputs!$B$44)-MAX(5,B1747))/(IF(Inputs!$B$39="pvp",15,Inputs!$B$44)-(B1747))))*IF(AND(ArtifactsInput!$M$42,((Inputs!$B$9+((C1728=TRUE)*(F1728-Calc!F26))+B1736+(ArtifactsInput!$M$24-ArtifactsInput!$M$24)*CHOOSE(ArtifactsInput!$N$24+1,10,12,14,16,18,20)+IF(ArtifactsInput!$M$10,CHOOSE(ArtifactsInput!$N$10+1,15,18,21,24,27,30)*(IF(Inputs!$B$39="pvp",MIN(15,15)/15,IF(AND(Inputs!$B$39&lt;&gt;"pvp",Inputs!$B$44&gt;0),MIN(15,Inputs!$B$44)/(Inputs!$B$44),0))),0)))&gt;=100),CHOOSE(ArtifactsInput!$N$42+1,40,48,56,64,72,80),0))))/100)*(((1+(((C1724=TRUE)*F1724*IF(AND(Inputs!$B$39&lt;&gt;"pvp",Inputs!$B$44&gt;0),(((R1724-1)*MIN((Skills!Y22*(1+Inputs!$B$34/100)),(1/Q1724))+MIN((Skills!Y22*(1+Inputs!$B$34/100)),MAX(0,Inputs!$B$44-((R1724-1)*(1/Q1724)))))/Inputs!$B$44),IF(Inputs!$B$39="pvp",MIN((Skills!Y22*(1+Inputs!$B$34/100)),15)/15,MIN(1,(Skills!Y22*(1+Inputs!$B$34/100))/(1/Q1724)))))+((C1705=TRUE)*F1705*3)+((C1707=TRUE)*F1707*(1-EXP(-0.75*B1740*5)))+((C1726=TRUE)*(F1726-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1713=TRUE)*F1713*IF(AND(Inputs!$B$39&lt;&gt;"pvp",Inputs!$B$44&gt;0),(((R1713-1)*MIN((Skills!Y11*(1+Inputs!$B$34/100)),(1/Q1713))+MIN((Skills!Y11*(1+Inputs!$B$34/100)),MAX(0,Inputs!$B$44-((R1713-1)*(1/Q1713)))))/Inputs!$B$44),IF(Inputs!$B$39="pvp",MIN((Skills!Y11*(1+Inputs!$B$34/100)),15)/15,MIN(1,(Skills!Y11*(1+Inputs!$B$34/100))/(1/Q1713)))))/100)*(1+((C1718=TRUE)*F1718*IF(AND(Inputs!$B$39&lt;&gt;"pvp",Inputs!$B$44&gt;0),(((R1718-1)*MIN((Skills!Y16*(1+Inputs!$B$34/100)),(1/Q1718))+MIN((Skills!Y16*(1+Inputs!$B$34/100)),MAX(0,Inputs!$B$44-((R1718-1)*(1/Q1718)))))/Inputs!$B$44),IF(Inputs!$B$39="pvp",MIN((Skills!Y16*(1+Inputs!$B$34/100)),15)/15,MIN(1,(Skills!Y16*(1+Inputs!$B$34/100))/(1/Q1718)))))/100))*(1+(IF(IF(ArtifactsInput!$M$11,FALSE,TRUE),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1738*I1717)</f>
        <v/>
      </c>
      <c r="L1717">
        <f>K1717*(MIN(Inputs!$B$22+((C1727=TRUE)*(F1727-Calc!F25)),(Inputs!$B$23+((C1732=TRUE)*(F1732-Calc!F30))+IF(ArtifactsInput!$M$15,CHOOSE(ArtifactsInput!$N$15+1,25,30,35,40,45,50)/100*(Inputs!$B$11-Inputs!$B$11),0)))/100+(Inputs!$B$23+((C1732=TRUE)*(F1732-Calc!F30))+IF(ArtifactsInput!$M$15,CHOOSE(ArtifactsInput!$N$15+1,25,30,35,40,45,50)/100*(Inputs!$B$11-Inputs!$B$11),0))/100)/2</f>
        <v/>
      </c>
      <c r="M1717">
        <f>L1717*(1+(Inputs!$B$10+((C1729=TRUE)*(F1729-Calc!F27))+B1743+(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1717">
        <f>L1717*(1-MIN((Inputs!$B$9+((C1728=TRUE)*(F1728-Calc!F26))+B1736+(ArtifactsInput!$M$24-ArtifactsInput!$M$24)*CHOOSE(ArtifactsInput!$N$24+1,10,12,14,16,18,20)+(IF(AND(Inputs!$B$39&lt;&gt;"pvp",Inputs!$B$44=0),1,IF(IF(Inputs!$B$39="pvp",15,Inputs!$B$44)-(B1747)&lt;=0,1,MAX(0,IF(Inputs!$B$39="pvp",15,Inputs!$B$44)-MAX(5,B1747))/(IF(Inputs!$B$39="pvp",15,Inputs!$B$44)-(B1747))))*IF(AND(ArtifactsInput!$M$42,((Inputs!$B$9+((C1728=TRUE)*(F1728-Calc!F26))+B1736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1717*(MIN((Inputs!$B$9+((C1728=TRUE)*(F1728-Calc!F26))+B1736+(ArtifactsInput!$M$24-ArtifactsInput!$M$24)*CHOOSE(ArtifactsInput!$N$24+1,10,12,14,16,18,20)+(IF(AND(Inputs!$B$39&lt;&gt;"pvp",Inputs!$B$44=0),1,IF(IF(Inputs!$B$39="pvp",15,Inputs!$B$44)-(B1747)&lt;=0,1,MAX(0,IF(Inputs!$B$39="pvp",15,Inputs!$B$44)-MAX(5,B1747))/(IF(Inputs!$B$39="pvp",15,Inputs!$B$44)-(B1747))))*IF(AND(ArtifactsInput!$M$42,((Inputs!$B$9+((C1728=TRUE)*(F1728-Calc!F26))+B1736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717">
        <f>(1-Summary!$B$11)*T1717+Summary!$B$11*V1717</f>
        <v/>
      </c>
      <c r="P1717">
        <f>IF(B1748=0,0,O1717/B1748)</f>
        <v/>
      </c>
      <c r="Q1717">
        <f>IFERROR(1/IF(Inputs!$B$39="pvp",15,MAX(0.1,Skills!D15-IF(TRUE=TRUE,Inputs!$B$32,0))),0)</f>
        <v/>
      </c>
      <c r="R1717">
        <f>IF(AND(Inputs!$B$39&lt;&gt;"pvp",Inputs!$B$44&gt;0),IF(MAX(0,Inputs!$B$44-B1747)&lt;=0,0,(INT(MAX(0,Inputs!$B$44-B1747)/IF(Inputs!$B$39="pvp",15,MAX(0.1,Skills!D15-IF(TRUE=TRUE,Inputs!$B$32,0))))+1)),0)</f>
        <v/>
      </c>
      <c r="S1717">
        <f>IFERROR(O1717/N1717,0)</f>
        <v/>
      </c>
      <c r="T1717">
        <f>IF(C1717,(H1717*N1717*IF(AND(Inputs!$B$39&lt;&gt;"pvp",Inputs!$B$44&gt;0),((Skills!G15*((R1717-1)*IF(Skills!H15&gt;0,Skills!I15/Skills!H15,1)+IF(Skills!H15&gt;0,MIN(Skills!I15,MAX(0,MAX(0,Inputs!$B$44-B1747)-((R1717-1)*IF(Inputs!$B$39="pvp",15,MAX(0.1,Skills!D15-IF(TRUE=TRUE,Inputs!$B$32,0))))))/Skills!H15,1)))/Inputs!$B$44),G1717*Q1717))*IF(Inputs!$B$39="pvp",1,1+(Inputs!$B$20+0+Skills!P15+B1737+(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Hunt"),CHOOSE(ArtifactsInput!$N$35+1,15,18,21,24,27,30)*(1-EXP(-(0.2*B1740)*5)),0)+IF(AND(ArtifactsInput!$M$22,Inputs!$B$4&lt;&gt;"Chapter Hunt"),CHOOSE(ArtifactsInput!$N$22+1,10,12,14,16,18,20)*((0*(((0.15*B1740*5))^0/1)+1*(((0.15*B1740*5))^1/1)+2*(((0.15*B1740*5))^2/2)+3*(((0.15*B1740*5))^3/6)+4*(((0.15*B1740*5))^4/24)+5*(((0.15*B1740*5))^5/120))/((((0.15*B1740*5))^0/1)+(((0.15*B1740*5))^1/1)+(((0.15*B1740*5))^2/2)+(((0.15*B1740*5))^3/6)+(((0.15*B1740*5))^4/24)+(((0.15*B1740*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1717*(1-MIN(100,(Inputs!$B$9+((C1728=TRUE)*(F1728-Calc!F26))+B1736+(ArtifactsInput!$M$24-ArtifactsInput!$M$24)*CHOOSE(ArtifactsInput!$N$24+1,10,12,14,16,18,20)+(IF(AND(Inputs!$B$39&lt;&gt;"pvp",Inputs!$B$44=0),1,IF(IF(Inputs!$B$39="pvp",15,Inputs!$B$44)-(B1747)&lt;=0,1,MAX(0,IF(Inputs!$B$39="pvp",15,Inputs!$B$44)-MAX(5,B1747))/(IF(Inputs!$B$39="pvp",15,Inputs!$B$44)-(B1747))))*IF(AND(ArtifactsInput!$M$42,((Inputs!$B$9+((C1728=TRUE)*(F1728-Calc!F26))+B1736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1717*(MIN(100,(Inputs!$B$9+((C1728=TRUE)*(F1728-Calc!F26))+B1736+(ArtifactsInput!$M$24-ArtifactsInput!$M$24)*CHOOSE(ArtifactsInput!$N$24+1,10,12,14,16,18,20)+(IF(AND(Inputs!$B$39&lt;&gt;"pvp",Inputs!$B$44=0),1,IF(IF(Inputs!$B$39="pvp",15,Inputs!$B$44)-(B1747)&lt;=0,1,MAX(0,IF(Inputs!$B$39="pvp",15,Inputs!$B$44)-MAX(5,B1747))/(IF(Inputs!$B$39="pvp",15,Inputs!$B$44)-(B1747))))*IF(AND(ArtifactsInput!$M$42,((Inputs!$B$9+((C1728=TRUE)*(F1728-Calc!F26))+B1736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1717*(1-MIN(100,(Inputs!$B$9+((C1728=TRUE)*(F1728-Calc!F26))+B1736+(ArtifactsInput!$M$24-ArtifactsInput!$M$24)*CHOOSE(ArtifactsInput!$N$24+1,10,12,14,16,18,20)+(IF(AND(Inputs!$B$39&lt;&gt;"pvp",Inputs!$B$44=0),1,IF(IF(Inputs!$B$39="pvp",15,Inputs!$B$44)-(B1747)&lt;=0,1,MAX(0,IF(Inputs!$B$39="pvp",15,Inputs!$B$44)-MAX(5,B1747))/(IF(Inputs!$B$39="pvp",15,Inputs!$B$44)-(B1747))))*IF(AND(ArtifactsInput!$M$42,((Inputs!$B$9+((C1728=TRUE)*(F1728-Calc!F26))+B1736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1717*(MIN(100,(Inputs!$B$9+((C1728=TRUE)*(F1728-Calc!F26))+B1736+(ArtifactsInput!$M$24-ArtifactsInput!$M$24)*CHOOSE(ArtifactsInput!$N$24+1,10,12,14,16,18,20)+(IF(AND(Inputs!$B$39&lt;&gt;"pvp",Inputs!$B$44=0),1,IF(IF(Inputs!$B$39="pvp",15,Inputs!$B$44)-(B1747)&lt;=0,1,MAX(0,IF(Inputs!$B$39="pvp",15,Inputs!$B$44)-MAX(5,B1747))/(IF(Inputs!$B$39="pvp",15,Inputs!$B$44)-(B1747))))*IF(AND(ArtifactsInput!$M$42,((Inputs!$B$9+((C1728=TRUE)*(F1728-Calc!F26))+B1736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1717">
        <f>IF(C1717,(H1717*N1717*IF(AND(Inputs!$B$39&lt;&gt;"pvp",Inputs!$B$44&gt;0),((Skills!G15*((R1717-1)*IF(Skills!H15&gt;0,Skills!I15/Skills!H15,1)+IF(Skills!H15&gt;0,MIN(Skills!I15,MAX(0,MAX(0,Inputs!$B$44-B1747)-((R1717-1)*IF(Inputs!$B$39="pvp",15,MAX(0.1,Skills!D15-IF(TRUE=TRUE,Inputs!$B$32,0))))))/Skills!H15,1)))/Inputs!$B$44),G1717*Q1717))*IF(Inputs!$B$39="pvp",1,(1+(Inputs!$B$21+Skills!Q15+B1737+(IF(ArtifactsInput!$M$33,CHOOSE(ArtifactsInput!$N$33+1,30,36,42,48,54,60),0))+(IF(AND(ArtifactsInput!$M$35,Inputs!$B$4&lt;&gt;"Chapter Hunt"),CHOOSE(ArtifactsInput!$N$35+1,15,18,21,24,27,30)*(1-EXP(-(0.2*B1740)*5)),0)+IF(AND(ArtifactsInput!$M$22,Inputs!$B$4&lt;&gt;"Chapter Hunt"),CHOOSE(ArtifactsInput!$N$22+1,10,12,14,16,18,20)*((0*(((0.15*B1740*5))^0/1)+1*(((0.15*B1740*5))^1/1)+2*(((0.15*B1740*5))^2/2)+3*(((0.15*B1740*5))^3/6)+4*(((0.15*B1740*5))^4/24)+5*(((0.15*B1740*5))^5/120))/((((0.15*B1740*5))^0/1)+(((0.15*B1740*5))^1/1)+(((0.15*B1740*5))^2/2)+(((0.15*B1740*5))^3/6)+(((0.15*B1740*5))^4/24)+(((0.15*B1740*5))^5/120))),0)))/100)*(MIN(MIN(5,0.5*IF(Inputs!$B$3&gt;=75,0.75,0.5)*B1740*(1/Q1706))*Skills!V15,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718">
      <c r="A1718">
        <f>Skills!A16</f>
        <v/>
      </c>
      <c r="B1718">
        <f>Skills!B16</f>
        <v/>
      </c>
      <c r="C1718">
        <f>Inputs!$B$3&gt;=110</f>
        <v/>
      </c>
      <c r="D1718">
        <f>IF(Skills!C16=1,60+Inputs!$B$25+Inputs!$B$29,IF(Skills!C16=2,90+Inputs!$B$26+Inputs!$B$29,IF(Skills!C16=3,120+Inputs!$B$27+Inputs!$B$29,MAX(0,(Inputs!$B$3-100)*3)+Inputs!$B$28+Inputs!$B$29)))</f>
        <v/>
      </c>
      <c r="E1718">
        <f>INDEX(FactorTable!$B$2:$Y$301, MATCH(ROUND(MIN(300,MAX(1,D1718)),0), FactorTable!$A$2:$A$301,0), Skills!M16+1)</f>
        <v/>
      </c>
      <c r="F1718">
        <f>IF(Skills!N16=TRUE,(Skills!L16/10)*(E1718/1000),Skills!L16/10)+Skills!O16</f>
        <v/>
      </c>
      <c r="G1718">
        <f>Skills!G16*IF(Skills!H16&gt;0,IF(Inputs!$B$39="pvp",MIN(Skills!I16,15),Skills!I16)/Skills!H16,1)</f>
        <v/>
      </c>
      <c r="H1718">
        <f>1-(1-Skills!J16/100)^Skills!K16</f>
        <v/>
      </c>
      <c r="I1718" t="inlineStr">
        <is>
          <t>1</t>
        </is>
      </c>
      <c r="J1718" t="inlineStr"/>
      <c r="K1718" t="inlineStr"/>
      <c r="L1718" t="inlineStr"/>
      <c r="M1718" t="inlineStr"/>
      <c r="N1718" t="inlineStr"/>
      <c r="O1718">
        <f>(1-Summary!$B$11)*T1718+Summary!$B$11*V1718</f>
        <v/>
      </c>
      <c r="P1718">
        <f>IF(B1748=0,0,O1718/B1748)</f>
        <v/>
      </c>
      <c r="Q1718">
        <f>IFERROR(1/IF(Inputs!$B$39="pvp",15,MAX(0.1,Skills!D16-IF(TRUE=TRUE,Inputs!$B$32,0))),0)</f>
        <v/>
      </c>
      <c r="R1718">
        <f>IF(AND(Inputs!$B$39&lt;&gt;"pvp",Inputs!$B$44&gt;0),IF(Inputs!$B$44&lt;=0,0,(INT(Inputs!$B$44/IF(Inputs!$B$39="pvp",15,MAX(0.1,Skills!D16-IF(TRUE=TRUE,Inputs!$B$32,0))))+1)),0)</f>
        <v/>
      </c>
      <c r="S1718">
        <f>IFERROR(O1718/N1718,0)</f>
        <v/>
      </c>
      <c r="T1718" t="n">
        <v>0</v>
      </c>
      <c r="V1718" t="n">
        <v>0</v>
      </c>
    </row>
    <row r="1719">
      <c r="A1719">
        <f>Skills!A17</f>
        <v/>
      </c>
      <c r="B1719">
        <f>Skills!B17</f>
        <v/>
      </c>
      <c r="C1719">
        <f>Inputs!$B$3&gt;=115</f>
        <v/>
      </c>
      <c r="D1719">
        <f>IF(Skills!C17=1,60+Inputs!$B$25+Inputs!$B$29,IF(Skills!C17=2,90+Inputs!$B$26+Inputs!$B$29,IF(Skills!C17=3,120+Inputs!$B$27+Inputs!$B$29,MAX(0,(Inputs!$B$3-100)*3)+Inputs!$B$28+Inputs!$B$29)))</f>
        <v/>
      </c>
      <c r="E1719">
        <f>INDEX(FactorTable!$B$2:$Y$301, MATCH(ROUND(MIN(300,MAX(1,D1719)),0), FactorTable!$A$2:$A$301,0), Skills!M17+1)</f>
        <v/>
      </c>
      <c r="F1719">
        <f>IF(Skills!N17=TRUE,(Skills!L17/10)*(E1719/1000),Skills!L17/10)+Skills!O17</f>
        <v/>
      </c>
      <c r="G1719">
        <f>Skills!G17*IF(Skills!H17&gt;0,IF(Inputs!$B$39="pvp",MIN(Skills!I17,15),Skills!I17)/Skills!H17,1)</f>
        <v/>
      </c>
      <c r="H1719">
        <f>1-(1-Skills!J17/100)^Skills!K17</f>
        <v/>
      </c>
      <c r="I1719" t="inlineStr">
        <is>
          <t>1</t>
        </is>
      </c>
      <c r="J1719">
        <f>((Inputs!$B$6*(1+Inputs!$B$7/100))+(((Inputs!$B$12*(1+Inputs!$B$13/100))-(Inputs!$B$12*(1+Inputs!$B$13/100)))+0.25*(Inputs!$B$14-Inputs!$B$14))*(1+Inputs!$B$7/100))*(F1719/100)</f>
        <v/>
      </c>
      <c r="K1719">
        <f>J1719*(1+((Inputs!$B$12*(1+Inputs!$B$13/100))*0.01+Inputs!$B$14*0.0025)/100)*(1+Inputs!$B$15/100)*(1+Inputs!$B$16/100)*(5000/(6000+Inputs!$B$43*(1-(100*(1-(1-Inputs!$B$19/100)*(1-CHOOSE(ArtifactsInput!$N$40+1,5,6,7,8,9,10)/100)^(ArtifactsInput!$M$40-ArtifactsInput!$M$40)))/100)))*(1+(Inputs!$B$24+((C1733=TRUE)*(F1733-Calc!F31))+((C1720=TRUE)*(F1720-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17="CRUEL_STAB",Inputs!$B$17+((C1730=TRUE)*(F1730-Calc!F28))+((IF(AND(Inputs!$B$39&lt;&gt;"pvp",Inputs!$B$44=0),1,IF(IF(Inputs!$B$39="pvp",15,Inputs!$B$44)-(B1747)&lt;=0,1,MAX(0,IF(Inputs!$B$39="pvp",15,Inputs!$B$44)-MAX(5,B1747))/(IF(Inputs!$B$39="pvp",15,Inputs!$B$44)-(B1747))))*(IF(AND(ArtifactsInput!$M$42,((Inputs!$B$9+((C1728=TRUE)*(F1728-Calc!F26))+B1736+(ArtifactsInput!$M$24-ArtifactsInput!$M$24)*CHOOSE(ArtifactsInput!$N$24+1,10,12,14,16,18,20)+IF(ArtifactsInput!$M$10,CHOOSE(ArtifactsInput!$N$10+1,15,18,21,24,27,30)*(IF(Inputs!$B$39="pvp",MIN(15,15)/15,IF(AND(Inputs!$B$39&lt;&gt;"pvp",Inputs!$B$44&gt;0),MIN(15,Inputs!$B$44)/(Inputs!$B$44),0))),0)))&gt;=100),MIN(100,((Inputs!$B$9+((C1728=TRUE)*(F1728-Calc!F26))+B1736+(ArtifactsInput!$M$24-ArtifactsInput!$M$24)*CHOOSE(ArtifactsInput!$N$24+1,10,12,14,16,18,20)+IF(ArtifactsInput!$M$10,CHOOSE(ArtifactsInput!$N$10+1,15,18,21,24,27,30)*(IF(Inputs!$B$39="pvp",MIN(15,15)/15,IF(AND(Inputs!$B$39&lt;&gt;"pvp",Inputs!$B$44&gt;0),MIN(15,Inputs!$B$44)/(Inputs!$B$44),0))),0)))-100),0))*CHOOSE(ArtifactsInput!$N$42+1,0.6,0.72,0.84,0.96,1.08,1.2))),Inputs!$B$18+((C1731=TRUE)*(F1731-Calc!F29))+(IF(AND(Inputs!$B$39&lt;&gt;"pvp",Inputs!$B$44=0),1,IF(IF(Inputs!$B$39="pvp",15,Inputs!$B$44)-(B1747)&lt;=0,1,MAX(0,IF(Inputs!$B$39="pvp",15,Inputs!$B$44)-MAX(5,B1747))/(IF(Inputs!$B$39="pvp",15,Inputs!$B$44)-(B1747))))*IF(AND(ArtifactsInput!$M$42,((Inputs!$B$9+((C1728=TRUE)*(F1728-Calc!F26))+B1736+(ArtifactsInput!$M$24-ArtifactsInput!$M$24)*CHOOSE(ArtifactsInput!$N$24+1,10,12,14,16,18,20)+IF(ArtifactsInput!$M$10,CHOOSE(ArtifactsInput!$N$10+1,15,18,21,24,27,30)*(IF(Inputs!$B$39="pvp",MIN(15,15)/15,IF(AND(Inputs!$B$39&lt;&gt;"pvp",Inputs!$B$44&gt;0),MIN(15,Inputs!$B$44)/(Inputs!$B$44),0))),0)))&gt;=100),CHOOSE(ArtifactsInput!$N$42+1,40,48,56,64,72,80),0))))/100)*(((1+(((C1724=TRUE)*F1724*IF(AND(Inputs!$B$39&lt;&gt;"pvp",Inputs!$B$44&gt;0),(((R1724-1)*MIN((Skills!Y22*(1+Inputs!$B$34/100)),(1/Q1724))+MIN((Skills!Y22*(1+Inputs!$B$34/100)),MAX(0,Inputs!$B$44-((R1724-1)*(1/Q1724)))))/Inputs!$B$44),IF(Inputs!$B$39="pvp",MIN((Skills!Y22*(1+Inputs!$B$34/100)),15)/15,MIN(1,(Skills!Y22*(1+Inputs!$B$34/100))/(1/Q1724)))))+((C1705=TRUE)*F1705*3)+((C1707=TRUE)*F1707*(1-EXP(-0.75*B1740*5)))+((C1726=TRUE)*(F1726-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1713=TRUE)*F1713*IF(AND(Inputs!$B$39&lt;&gt;"pvp",Inputs!$B$44&gt;0),(((R1713-1)*MIN((Skills!Y11*(1+Inputs!$B$34/100)),(1/Q1713))+MIN((Skills!Y11*(1+Inputs!$B$34/100)),MAX(0,Inputs!$B$44-((R1713-1)*(1/Q1713)))))/Inputs!$B$44),IF(Inputs!$B$39="pvp",MIN((Skills!Y11*(1+Inputs!$B$34/100)),15)/15,MIN(1,(Skills!Y11*(1+Inputs!$B$34/100))/(1/Q1713)))))/100)*(1+((C1718=TRUE)*F1718*IF(AND(Inputs!$B$39&lt;&gt;"pvp",Inputs!$B$44&gt;0),(((R1718-1)*MIN((Skills!Y16*(1+Inputs!$B$34/100)),(1/Q1718))+MIN((Skills!Y16*(1+Inputs!$B$34/100)),MAX(0,Inputs!$B$44-((R1718-1)*(1/Q1718)))))/Inputs!$B$44),IF(Inputs!$B$39="pvp",MIN((Skills!Y16*(1+Inputs!$B$34/100)),15)/15,MIN(1,(Skills!Y16*(1+Inputs!$B$34/100))/(1/Q1718)))))/100))*(1+(IF(IF(ArtifactsInput!$M$11,FALSE,TRUE),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1738*I1719)</f>
        <v/>
      </c>
      <c r="L1719">
        <f>K1719*(MIN(Inputs!$B$22+((C1727=TRUE)*(F1727-Calc!F25)),(Inputs!$B$23+((C1732=TRUE)*(F1732-Calc!F30))+IF(ArtifactsInput!$M$15,CHOOSE(ArtifactsInput!$N$15+1,25,30,35,40,45,50)/100*(Inputs!$B$11-Inputs!$B$11),0)))/100+(Inputs!$B$23+((C1732=TRUE)*(F1732-Calc!F30))+IF(ArtifactsInput!$M$15,CHOOSE(ArtifactsInput!$N$15+1,25,30,35,40,45,50)/100*(Inputs!$B$11-Inputs!$B$11),0))/100)/2</f>
        <v/>
      </c>
      <c r="M1719">
        <f>L1719*(1+(Inputs!$B$10+((C1729=TRUE)*(F1729-Calc!F27))+B1743+(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1719">
        <f>L1719*(1-MIN((Inputs!$B$9+((C1728=TRUE)*(F1728-Calc!F26))+B1736+(ArtifactsInput!$M$24-ArtifactsInput!$M$24)*CHOOSE(ArtifactsInput!$N$24+1,10,12,14,16,18,20)+(IF(AND(Inputs!$B$39&lt;&gt;"pvp",Inputs!$B$44=0),1,IF(IF(Inputs!$B$39="pvp",15,Inputs!$B$44)-(B1747)&lt;=0,1,MAX(0,IF(Inputs!$B$39="pvp",15,Inputs!$B$44)-MAX(5,B1747))/(IF(Inputs!$B$39="pvp",15,Inputs!$B$44)-(B1747))))*IF(AND(ArtifactsInput!$M$42,((Inputs!$B$9+((C1728=TRUE)*(F1728-Calc!F26))+B1736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1719*(MIN((Inputs!$B$9+((C1728=TRUE)*(F1728-Calc!F26))+B1736+(ArtifactsInput!$M$24-ArtifactsInput!$M$24)*CHOOSE(ArtifactsInput!$N$24+1,10,12,14,16,18,20)+(IF(AND(Inputs!$B$39&lt;&gt;"pvp",Inputs!$B$44=0),1,IF(IF(Inputs!$B$39="pvp",15,Inputs!$B$44)-(B1747)&lt;=0,1,MAX(0,IF(Inputs!$B$39="pvp",15,Inputs!$B$44)-MAX(5,B1747))/(IF(Inputs!$B$39="pvp",15,Inputs!$B$44)-(B1747))))*IF(AND(ArtifactsInput!$M$42,((Inputs!$B$9+((C1728=TRUE)*(F1728-Calc!F26))+B1736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719">
        <f>(1-Summary!$B$11)*T1719+Summary!$B$11*V1719</f>
        <v/>
      </c>
      <c r="P1719">
        <f>IF(B1748=0,0,O1719/B1748)</f>
        <v/>
      </c>
      <c r="Q1719" t="n">
        <v>0</v>
      </c>
      <c r="R1719" t="n">
        <v>0</v>
      </c>
      <c r="S1719">
        <f>IFERROR(O1719/N1719,0)</f>
        <v/>
      </c>
      <c r="T1719">
        <f>IF(C1719,(Inputs!$B$38*0.2*N1719)*IF(Inputs!$B$39="pvp",1,1+(Inputs!$B$20+0+Skills!P17+B1737+(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Hunt"),CHOOSE(ArtifactsInput!$N$35+1,15,18,21,24,27,30)*(1-EXP(-(0.2*B1740)*5)),0)+IF(AND(ArtifactsInput!$M$22,Inputs!$B$4&lt;&gt;"Chapter Hunt"),CHOOSE(ArtifactsInput!$N$22+1,10,12,14,16,18,20)*((0*(((0.15*B1740*5))^0/1)+1*(((0.15*B1740*5))^1/1)+2*(((0.15*B1740*5))^2/2)+3*(((0.15*B1740*5))^3/6)+4*(((0.15*B1740*5))^4/24)+5*(((0.15*B1740*5))^5/120))/((((0.15*B1740*5))^0/1)+(((0.15*B1740*5))^1/1)+(((0.15*B1740*5))^2/2)+(((0.15*B1740*5))^3/6)+(((0.15*B1740*5))^4/24)+(((0.15*B1740*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1719*(1-MIN(100,(Inputs!$B$9+((C1728=TRUE)*(F1728-Calc!F26))+B1736+(ArtifactsInput!$M$24-ArtifactsInput!$M$24)*CHOOSE(ArtifactsInput!$N$24+1,10,12,14,16,18,20)+(IF(AND(Inputs!$B$39&lt;&gt;"pvp",Inputs!$B$44=0),1,IF(IF(Inputs!$B$39="pvp",15,Inputs!$B$44)-(B1747)&lt;=0,1,MAX(0,IF(Inputs!$B$39="pvp",15,Inputs!$B$44)-MAX(5,B1747))/(IF(Inputs!$B$39="pvp",15,Inputs!$B$44)-(B1747))))*IF(AND(ArtifactsInput!$M$42,((Inputs!$B$9+((C1728=TRUE)*(F1728-Calc!F26))+B1736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1719*(MIN(100,(Inputs!$B$9+((C1728=TRUE)*(F1728-Calc!F26))+B1736+(ArtifactsInput!$M$24-ArtifactsInput!$M$24)*CHOOSE(ArtifactsInput!$N$24+1,10,12,14,16,18,20)+(IF(AND(Inputs!$B$39&lt;&gt;"pvp",Inputs!$B$44=0),1,IF(IF(Inputs!$B$39="pvp",15,Inputs!$B$44)-(B1747)&lt;=0,1,MAX(0,IF(Inputs!$B$39="pvp",15,Inputs!$B$44)-MAX(5,B1747))/(IF(Inputs!$B$39="pvp",15,Inputs!$B$44)-(B1747))))*IF(AND(ArtifactsInput!$M$42,((Inputs!$B$9+((C1728=TRUE)*(F1728-Calc!F26))+B1736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1719*(1-MIN(100,(Inputs!$B$9+((C1728=TRUE)*(F1728-Calc!F26))+B1736+(ArtifactsInput!$M$24-ArtifactsInput!$M$24)*CHOOSE(ArtifactsInput!$N$24+1,10,12,14,16,18,20)+(IF(AND(Inputs!$B$39&lt;&gt;"pvp",Inputs!$B$44=0),1,IF(IF(Inputs!$B$39="pvp",15,Inputs!$B$44)-(B1747)&lt;=0,1,MAX(0,IF(Inputs!$B$39="pvp",15,Inputs!$B$44)-MAX(5,B1747))/(IF(Inputs!$B$39="pvp",15,Inputs!$B$44)-(B1747))))*IF(AND(ArtifactsInput!$M$42,((Inputs!$B$9+((C1728=TRUE)*(F1728-Calc!F26))+B1736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1719*(MIN(100,(Inputs!$B$9+((C1728=TRUE)*(F1728-Calc!F26))+B1736+(ArtifactsInput!$M$24-ArtifactsInput!$M$24)*CHOOSE(ArtifactsInput!$N$24+1,10,12,14,16,18,20)+(IF(AND(Inputs!$B$39&lt;&gt;"pvp",Inputs!$B$44=0),1,IF(IF(Inputs!$B$39="pvp",15,Inputs!$B$44)-(B1747)&lt;=0,1,MAX(0,IF(Inputs!$B$39="pvp",15,Inputs!$B$44)-MAX(5,B1747))/(IF(Inputs!$B$39="pvp",15,Inputs!$B$44)-(B1747))))*IF(AND(ArtifactsInput!$M$42,((Inputs!$B$9+((C1728=TRUE)*(F1728-Calc!F26))+B1736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1719">
        <f>IF(C1719,(Inputs!$B$38*0.2*N1719)*IF(Inputs!$B$39="pvp",1,(1+(Inputs!$B$21+Skills!Q17+B1737+(IF(ArtifactsInput!$M$33,CHOOSE(ArtifactsInput!$N$33+1,30,36,42,48,54,60),0))+(IF(AND(ArtifactsInput!$M$35,Inputs!$B$4&lt;&gt;"Chapter Hunt"),CHOOSE(ArtifactsInput!$N$35+1,15,18,21,24,27,30)*(1-EXP(-(0.2*B1740)*5)),0)+IF(AND(ArtifactsInput!$M$22,Inputs!$B$4&lt;&gt;"Chapter Hunt"),CHOOSE(ArtifactsInput!$N$22+1,10,12,14,16,18,20)*((0*(((0.15*B1740*5))^0/1)+1*(((0.15*B1740*5))^1/1)+2*(((0.15*B1740*5))^2/2)+3*(((0.15*B1740*5))^3/6)+4*(((0.15*B1740*5))^4/24)+5*(((0.15*B1740*5))^5/120))/((((0.15*B1740*5))^0/1)+(((0.15*B1740*5))^1/1)+(((0.15*B1740*5))^2/2)+(((0.15*B1740*5))^3/6)+(((0.15*B1740*5))^4/24)+(((0.15*B1740*5))^5/120))),0)))/100)*(MIN(Skills!W17,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720">
      <c r="A1720">
        <f>Skills!A18</f>
        <v/>
      </c>
      <c r="B1720">
        <f>Skills!B18</f>
        <v/>
      </c>
      <c r="C1720">
        <f>Inputs!$B$3&gt;=115</f>
        <v/>
      </c>
      <c r="D1720">
        <f>IF(Skills!C18=1,60+Inputs!$B$25+Inputs!$B$29,IF(Skills!C18=2,90+Inputs!$B$26+Inputs!$B$29,IF(Skills!C18=3,120+Inputs!$B$27+Inputs!$B$29,MAX(0,(Inputs!$B$3-100)*3)+Inputs!$B$28+Inputs!$B$29)))</f>
        <v/>
      </c>
      <c r="E1720">
        <f>INDEX(FactorTable!$B$2:$Y$301, MATCH(ROUND(MIN(300,MAX(1,D1720)),0), FactorTable!$A$2:$A$301,0), Skills!M18+1)</f>
        <v/>
      </c>
      <c r="F1720">
        <f>IF(Skills!N18=TRUE,(Skills!L18/10)*(E1720/1000),Skills!L18/10)+Skills!O18</f>
        <v/>
      </c>
      <c r="G1720">
        <f>Skills!G18*IF(Skills!H18&gt;0,IF(Inputs!$B$39="pvp",MIN(Skills!I18,15),Skills!I18)/Skills!H18,1)</f>
        <v/>
      </c>
      <c r="H1720">
        <f>1-(1-Skills!J18/100)^Skills!K18</f>
        <v/>
      </c>
      <c r="I1720" t="inlineStr">
        <is>
          <t>1</t>
        </is>
      </c>
      <c r="J1720" t="inlineStr"/>
      <c r="K1720" t="inlineStr"/>
      <c r="L1720" t="inlineStr"/>
      <c r="M1720" t="inlineStr"/>
      <c r="N1720" t="inlineStr"/>
      <c r="O1720">
        <f>(1-Summary!$B$11)*T1720+Summary!$B$11*V1720</f>
        <v/>
      </c>
      <c r="P1720">
        <f>IF(B1748=0,0,O1720/B1748)</f>
        <v/>
      </c>
      <c r="Q1720" t="n">
        <v>0</v>
      </c>
      <c r="R1720" t="n">
        <v>0</v>
      </c>
      <c r="S1720">
        <f>IFERROR(O1720/N1720,0)</f>
        <v/>
      </c>
      <c r="T1720" t="n">
        <v>0</v>
      </c>
      <c r="V1720" t="n">
        <v>0</v>
      </c>
    </row>
    <row r="1721">
      <c r="A1721">
        <f>Skills!A19</f>
        <v/>
      </c>
      <c r="B1721">
        <f>Skills!B19</f>
        <v/>
      </c>
      <c r="C1721">
        <f>Inputs!$B$3&gt;=100</f>
        <v/>
      </c>
      <c r="D1721">
        <f>IF(Skills!C19=1,60+Inputs!$B$25+Inputs!$B$29,IF(Skills!C19=2,90+Inputs!$B$26+Inputs!$B$29,IF(Skills!C19=3,120+Inputs!$B$27+Inputs!$B$29,MAX(0,(Inputs!$B$3-100)*3)+Inputs!$B$28+Inputs!$B$29)))</f>
        <v/>
      </c>
      <c r="E1721">
        <f>INDEX(FactorTable!$B$2:$Y$301, MATCH(ROUND(MIN(300,MAX(1,D1721)),0), FactorTable!$A$2:$A$301,0), Skills!M19+1)</f>
        <v/>
      </c>
      <c r="F1721">
        <f>IF(Skills!N19=TRUE,(Skills!L19/10)*(E1721/1000),Skills!L19/10)+Skills!O19</f>
        <v/>
      </c>
      <c r="G1721">
        <f>Skills!G19*IF(Skills!H19&gt;0,IF(Inputs!$B$39="pvp",MIN(Skills!I19,15),Skills!I19)/Skills!H19,1)</f>
        <v/>
      </c>
      <c r="H1721">
        <f>1-(1-Skills!J19/100)^Skills!K19</f>
        <v/>
      </c>
      <c r="I1721" t="inlineStr">
        <is>
          <t>1</t>
        </is>
      </c>
      <c r="J1721" t="inlineStr"/>
      <c r="K1721" t="inlineStr"/>
      <c r="L1721" t="inlineStr"/>
      <c r="M1721" t="inlineStr"/>
      <c r="N1721" t="inlineStr"/>
      <c r="O1721">
        <f>(1-Summary!$B$11)*T1721+Summary!$B$11*V1721</f>
        <v/>
      </c>
      <c r="P1721">
        <f>IF(B1748=0,0,O1721/B1748)</f>
        <v/>
      </c>
      <c r="Q1721" t="n">
        <v>0</v>
      </c>
      <c r="R1721" t="n">
        <v>0</v>
      </c>
      <c r="S1721">
        <f>IFERROR(O1721/N1721,0)</f>
        <v/>
      </c>
      <c r="T1721" t="n">
        <v>0</v>
      </c>
      <c r="V1721" t="n">
        <v>0</v>
      </c>
    </row>
    <row r="1722">
      <c r="A1722">
        <f>Skills!A20</f>
        <v/>
      </c>
      <c r="B1722">
        <f>Skills!B20</f>
        <v/>
      </c>
      <c r="C1722">
        <f>TRUE</f>
        <v/>
      </c>
      <c r="D1722">
        <f>IF(Skills!C20=1,60+Inputs!$B$25+Inputs!$B$29,IF(Skills!C20=2,90+Inputs!$B$26+Inputs!$B$29,IF(Skills!C20=3,120+Inputs!$B$27+Inputs!$B$29,MAX(0,(Inputs!$B$3-100)*3)+Inputs!$B$28+Inputs!$B$29)))</f>
        <v/>
      </c>
      <c r="E1722">
        <f>INDEX(FactorTable!$B$2:$Y$301, MATCH(ROUND(MIN(300,MAX(1,D1722)),0), FactorTable!$A$2:$A$301,0), Skills!M20+1)</f>
        <v/>
      </c>
      <c r="F1722">
        <f>IF(Skills!N20=TRUE,(Skills!L20/10)*(E1722/1000),Skills!L20/10)+Skills!O20</f>
        <v/>
      </c>
      <c r="G1722">
        <f>Skills!G20*IF(Skills!H20&gt;0,IF(Inputs!$B$39="pvp",MIN(Skills!I20,15),Skills!I20)/Skills!H20,1)</f>
        <v/>
      </c>
      <c r="H1722">
        <f>1-(1-Skills!J20/100)^Skills!K20</f>
        <v/>
      </c>
      <c r="I1722" t="inlineStr">
        <is>
          <t>1</t>
        </is>
      </c>
      <c r="J1722" t="inlineStr"/>
      <c r="K1722" t="inlineStr"/>
      <c r="L1722" t="inlineStr"/>
      <c r="M1722" t="inlineStr"/>
      <c r="N1722" t="inlineStr"/>
      <c r="O1722">
        <f>(1-Summary!$B$11)*T1722+Summary!$B$11*V1722</f>
        <v/>
      </c>
      <c r="P1722">
        <f>IF(B1748=0,0,O1722/B1748)</f>
        <v/>
      </c>
      <c r="Q1722">
        <f>IFERROR(1/IF(Inputs!$B$39="pvp",15,MAX(0.1,Skills!D20-IF(TRUE=TRUE,Inputs!$B$32,0))),0)</f>
        <v/>
      </c>
      <c r="R1722">
        <f>IF(AND(Inputs!$B$39&lt;&gt;"pvp",Inputs!$B$44&gt;0),IF(Inputs!$B$44&lt;=0,0,(INT(Inputs!$B$44/IF(Inputs!$B$39="pvp",15,MAX(0.1,Skills!D20-IF(TRUE=TRUE,Inputs!$B$32,0))))+1)),0)</f>
        <v/>
      </c>
      <c r="S1722">
        <f>IFERROR(O1722/N1722,0)</f>
        <v/>
      </c>
      <c r="T1722" t="n">
        <v>0</v>
      </c>
      <c r="V1722" t="n">
        <v>0</v>
      </c>
    </row>
    <row r="1723">
      <c r="A1723">
        <f>Skills!A21</f>
        <v/>
      </c>
      <c r="B1723">
        <f>Skills!B21</f>
        <v/>
      </c>
      <c r="C1723">
        <f>Inputs!$B$3&gt;=15</f>
        <v/>
      </c>
      <c r="D1723">
        <f>IF(Skills!C21=1,60+Inputs!$B$25+Inputs!$B$29,IF(Skills!C21=2,90+Inputs!$B$26+Inputs!$B$29,IF(Skills!C21=3,120+Inputs!$B$27+Inputs!$B$29,MAX(0,(Inputs!$B$3-100)*3)+Inputs!$B$28+Inputs!$B$29)))</f>
        <v/>
      </c>
      <c r="E1723">
        <f>INDEX(FactorTable!$B$2:$Y$301, MATCH(ROUND(MIN(300,MAX(1,D1723)),0), FactorTable!$A$2:$A$301,0), Skills!M21+1)</f>
        <v/>
      </c>
      <c r="F1723">
        <f>IF(Skills!N21=TRUE,(Skills!L21/10)*(E1723/1000),Skills!L21/10)+Skills!O21</f>
        <v/>
      </c>
      <c r="G1723">
        <f>Skills!G21*IF(Skills!H21&gt;0,IF(Inputs!$B$39="pvp",MIN(Skills!I21,15),Skills!I21)/Skills!H21,1)</f>
        <v/>
      </c>
      <c r="H1723">
        <f>1-(1-Skills!J21/100)^Skills!K21</f>
        <v/>
      </c>
      <c r="I1723" t="inlineStr">
        <is>
          <t>1</t>
        </is>
      </c>
      <c r="J1723" t="inlineStr"/>
      <c r="K1723" t="inlineStr"/>
      <c r="L1723" t="inlineStr"/>
      <c r="M1723" t="inlineStr"/>
      <c r="N1723" t="inlineStr"/>
      <c r="O1723">
        <f>(1-Summary!$B$11)*T1723+Summary!$B$11*V1723</f>
        <v/>
      </c>
      <c r="P1723">
        <f>IF(B1748=0,0,O1723/B1748)</f>
        <v/>
      </c>
      <c r="Q1723">
        <f>IFERROR(1/IF(Inputs!$B$39="pvp",15,MAX(0.1,Skills!D21-IF(TRUE=TRUE,Inputs!$B$32,0))),0)</f>
        <v/>
      </c>
      <c r="R1723">
        <f>IF(AND(Inputs!$B$39&lt;&gt;"pvp",Inputs!$B$44&gt;0),IF(Inputs!$B$44&lt;=0,0,(INT(Inputs!$B$44/IF(Inputs!$B$39="pvp",15,MAX(0.1,Skills!D21-IF(TRUE=TRUE,Inputs!$B$32,0))))+1)),0)</f>
        <v/>
      </c>
      <c r="S1723">
        <f>IFERROR(O1723/N1723,0)</f>
        <v/>
      </c>
      <c r="T1723" t="n">
        <v>0</v>
      </c>
      <c r="V1723" t="n">
        <v>0</v>
      </c>
    </row>
    <row r="1724">
      <c r="A1724">
        <f>Skills!A22</f>
        <v/>
      </c>
      <c r="B1724">
        <f>Skills!B22</f>
        <v/>
      </c>
      <c r="C1724">
        <f>Inputs!$B$3&gt;=15</f>
        <v/>
      </c>
      <c r="D1724">
        <f>IF(Skills!C22=1,60+Inputs!$B$25+Inputs!$B$29,IF(Skills!C22=2,90+Inputs!$B$26+Inputs!$B$29,IF(Skills!C22=3,120+Inputs!$B$27+Inputs!$B$29,MAX(0,(Inputs!$B$3-100)*3)+Inputs!$B$28+Inputs!$B$29)))</f>
        <v/>
      </c>
      <c r="E1724">
        <f>INDEX(FactorTable!$B$2:$Y$301, MATCH(ROUND(MIN(300,MAX(1,D1724)),0), FactorTable!$A$2:$A$301,0), Skills!M22+1)</f>
        <v/>
      </c>
      <c r="F1724">
        <f>IF(Skills!N22=TRUE,(Skills!L22/10)*(E1724/1000),Skills!L22/10)+Skills!O22</f>
        <v/>
      </c>
      <c r="G1724">
        <f>Skills!G22*IF(Skills!H22&gt;0,IF(Inputs!$B$39="pvp",MIN(Skills!I22,15),Skills!I22)/Skills!H22,1)</f>
        <v/>
      </c>
      <c r="H1724">
        <f>1-(1-Skills!J22/100)^Skills!K22</f>
        <v/>
      </c>
      <c r="I1724" t="inlineStr">
        <is>
          <t>1</t>
        </is>
      </c>
      <c r="J1724" t="inlineStr"/>
      <c r="K1724" t="inlineStr"/>
      <c r="L1724" t="inlineStr"/>
      <c r="M1724" t="inlineStr"/>
      <c r="N1724" t="inlineStr"/>
      <c r="O1724">
        <f>(1-Summary!$B$11)*T1724+Summary!$B$11*V1724</f>
        <v/>
      </c>
      <c r="P1724">
        <f>IF(B1748=0,0,O1724/B1748)</f>
        <v/>
      </c>
      <c r="Q1724">
        <f>IFERROR(1/IF(Inputs!$B$39="pvp",15,MAX(0.1,Skills!D22-IF(TRUE=TRUE,Inputs!$B$32,0))),0)</f>
        <v/>
      </c>
      <c r="R1724">
        <f>IF(AND(Inputs!$B$39&lt;&gt;"pvp",Inputs!$B$44&gt;0),IF(Inputs!$B$44&lt;=0,0,(INT(Inputs!$B$44/IF(Inputs!$B$39="pvp",15,MAX(0.1,Skills!D22-IF(TRUE=TRUE,Inputs!$B$32,0))))+1)),0)</f>
        <v/>
      </c>
      <c r="S1724">
        <f>IFERROR(O1724/N1724,0)</f>
        <v/>
      </c>
      <c r="T1724" t="n">
        <v>0</v>
      </c>
      <c r="V1724" t="n">
        <v>0</v>
      </c>
    </row>
    <row r="1725">
      <c r="A1725">
        <f>Skills!A23</f>
        <v/>
      </c>
      <c r="B1725">
        <f>Skills!B23</f>
        <v/>
      </c>
      <c r="C1725">
        <f>Inputs!$B$3&gt;=33</f>
        <v/>
      </c>
      <c r="D1725">
        <f>IF(Skills!C23=1,60+Inputs!$B$25+Inputs!$B$29,IF(Skills!C23=2,90+Inputs!$B$26+Inputs!$B$29,IF(Skills!C23=3,120+Inputs!$B$27+Inputs!$B$29,MAX(0,(Inputs!$B$3-100)*3)+Inputs!$B$28+Inputs!$B$29)))</f>
        <v/>
      </c>
      <c r="E1725">
        <f>INDEX(FactorTable!$B$2:$Y$301, MATCH(ROUND(MIN(300,MAX(1,D1725)),0), FactorTable!$A$2:$A$301,0), Skills!M23+1)</f>
        <v/>
      </c>
      <c r="F1725">
        <f>IF(Skills!N23=TRUE,(Skills!L23/10)*(E1725/1000),Skills!L23/10)+Skills!O23</f>
        <v/>
      </c>
      <c r="G1725">
        <f>Skills!G23*IF(Skills!H23&gt;0,IF(Inputs!$B$39="pvp",MIN(Skills!I23,15),Skills!I23)/Skills!H23,1)</f>
        <v/>
      </c>
      <c r="H1725">
        <f>1-(1-Skills!J23/100)^Skills!K23</f>
        <v/>
      </c>
      <c r="I1725" t="inlineStr">
        <is>
          <t>1</t>
        </is>
      </c>
      <c r="J1725" t="inlineStr"/>
      <c r="K1725" t="inlineStr"/>
      <c r="L1725" t="inlineStr"/>
      <c r="M1725" t="inlineStr"/>
      <c r="N1725" t="inlineStr"/>
      <c r="O1725">
        <f>(1-Summary!$B$11)*T1725+Summary!$B$11*V1725</f>
        <v/>
      </c>
      <c r="P1725">
        <f>IF(B1748=0,0,O1725/B1748)</f>
        <v/>
      </c>
      <c r="Q1725" t="n">
        <v>0</v>
      </c>
      <c r="R1725" t="n">
        <v>0</v>
      </c>
      <c r="S1725">
        <f>IFERROR(O1725/N1725,0)</f>
        <v/>
      </c>
      <c r="T1725" t="n">
        <v>0</v>
      </c>
      <c r="V1725" t="n">
        <v>0</v>
      </c>
    </row>
    <row r="1726">
      <c r="A1726">
        <f>Skills!A24</f>
        <v/>
      </c>
      <c r="B1726">
        <f>Skills!B24</f>
        <v/>
      </c>
      <c r="C1726">
        <f>Inputs!$B$3&gt;=40</f>
        <v/>
      </c>
      <c r="D1726">
        <f>IF(Skills!C24=1,60+Inputs!$B$25+Inputs!$B$29,IF(Skills!C24=2,90+Inputs!$B$26+Inputs!$B$29,IF(Skills!C24=3,120+Inputs!$B$27+Inputs!$B$29,MAX(0,(Inputs!$B$3-100)*3)+Inputs!$B$28+Inputs!$B$29)))</f>
        <v/>
      </c>
      <c r="E1726">
        <f>INDEX(FactorTable!$B$2:$Y$301, MATCH(ROUND(MIN(300,MAX(1,D1726)),0), FactorTable!$A$2:$A$301,0), Skills!M24+1)</f>
        <v/>
      </c>
      <c r="F1726">
        <f>IF(Skills!N24=TRUE,(Skills!L24/10)*(E1726/1000),Skills!L24/10)+Skills!O24</f>
        <v/>
      </c>
      <c r="G1726">
        <f>Skills!G24*IF(Skills!H24&gt;0,IF(Inputs!$B$39="pvp",MIN(Skills!I24,15),Skills!I24)/Skills!H24,1)</f>
        <v/>
      </c>
      <c r="H1726">
        <f>1-(1-Skills!J24/100)^Skills!K24</f>
        <v/>
      </c>
      <c r="I1726" t="inlineStr">
        <is>
          <t>1</t>
        </is>
      </c>
      <c r="J1726" t="inlineStr"/>
      <c r="K1726" t="inlineStr"/>
      <c r="L1726" t="inlineStr"/>
      <c r="M1726" t="inlineStr"/>
      <c r="N1726" t="inlineStr"/>
      <c r="O1726">
        <f>(1-Summary!$B$11)*T1726+Summary!$B$11*V1726</f>
        <v/>
      </c>
      <c r="P1726">
        <f>IF(B1748=0,0,O1726/B1748)</f>
        <v/>
      </c>
      <c r="Q1726" t="n">
        <v>0</v>
      </c>
      <c r="R1726" t="n">
        <v>0</v>
      </c>
      <c r="S1726">
        <f>IFERROR(O1726/N1726,0)</f>
        <v/>
      </c>
      <c r="T1726" t="n">
        <v>0</v>
      </c>
      <c r="V1726" t="n">
        <v>0</v>
      </c>
    </row>
    <row r="1727">
      <c r="A1727">
        <f>Skills!A25</f>
        <v/>
      </c>
      <c r="B1727">
        <f>Skills!B25</f>
        <v/>
      </c>
      <c r="C1727">
        <f>Inputs!$B$3&gt;=43</f>
        <v/>
      </c>
      <c r="D1727">
        <f>IF(Skills!C25=1,60+Inputs!$B$25+Inputs!$B$29,IF(Skills!C25=2,90+Inputs!$B$26+Inputs!$B$29,IF(Skills!C25=3,120+Inputs!$B$27+Inputs!$B$29,MAX(0,(Inputs!$B$3-100)*3)+Inputs!$B$28+Inputs!$B$29)))</f>
        <v/>
      </c>
      <c r="E1727">
        <f>INDEX(FactorTable!$B$2:$Y$301, MATCH(ROUND(MIN(300,MAX(1,D1727)),0), FactorTable!$A$2:$A$301,0), Skills!M25+1)</f>
        <v/>
      </c>
      <c r="F1727">
        <f>IF(Skills!N25=TRUE,(Skills!L25/10)*(E1727/1000),Skills!L25/10)+Skills!O25</f>
        <v/>
      </c>
      <c r="G1727">
        <f>Skills!G25*IF(Skills!H25&gt;0,IF(Inputs!$B$39="pvp",MIN(Skills!I25,15),Skills!I25)/Skills!H25,1)</f>
        <v/>
      </c>
      <c r="H1727">
        <f>1-(1-Skills!J25/100)^Skills!K25</f>
        <v/>
      </c>
      <c r="I1727" t="inlineStr">
        <is>
          <t>1</t>
        </is>
      </c>
      <c r="J1727" t="inlineStr"/>
      <c r="K1727" t="inlineStr"/>
      <c r="L1727" t="inlineStr"/>
      <c r="M1727" t="inlineStr"/>
      <c r="N1727" t="inlineStr"/>
      <c r="O1727">
        <f>(1-Summary!$B$11)*T1727+Summary!$B$11*V1727</f>
        <v/>
      </c>
      <c r="P1727">
        <f>IF(B1748=0,0,O1727/B1748)</f>
        <v/>
      </c>
      <c r="Q1727" t="n">
        <v>0</v>
      </c>
      <c r="R1727" t="n">
        <v>0</v>
      </c>
      <c r="S1727">
        <f>IFERROR(O1727/N1727,0)</f>
        <v/>
      </c>
      <c r="T1727" t="n">
        <v>0</v>
      </c>
      <c r="V1727" t="n">
        <v>0</v>
      </c>
    </row>
    <row r="1728">
      <c r="A1728">
        <f>Skills!A26</f>
        <v/>
      </c>
      <c r="B1728">
        <f>Skills!B26</f>
        <v/>
      </c>
      <c r="C1728">
        <f>Inputs!$B$3&gt;=50</f>
        <v/>
      </c>
      <c r="D1728">
        <f>IF(Skills!C26=1,60+Inputs!$B$25+Inputs!$B$29,IF(Skills!C26=2,90+Inputs!$B$26+Inputs!$B$29,IF(Skills!C26=3,120+Inputs!$B$27+Inputs!$B$29,MAX(0,(Inputs!$B$3-100)*3)+Inputs!$B$28+Inputs!$B$29)))</f>
        <v/>
      </c>
      <c r="E1728">
        <f>INDEX(FactorTable!$B$2:$Y$301, MATCH(ROUND(MIN(300,MAX(1,D1728)),0), FactorTable!$A$2:$A$301,0), Skills!M26+1)</f>
        <v/>
      </c>
      <c r="F1728">
        <f>IF(Skills!N26=TRUE,(Skills!L26/10)*(E1728/1000),Skills!L26/10)+Skills!O26</f>
        <v/>
      </c>
      <c r="G1728">
        <f>Skills!G26*IF(Skills!H26&gt;0,IF(Inputs!$B$39="pvp",MIN(Skills!I26,15),Skills!I26)/Skills!H26,1)</f>
        <v/>
      </c>
      <c r="H1728">
        <f>1-(1-Skills!J26/100)^Skills!K26</f>
        <v/>
      </c>
      <c r="I1728" t="inlineStr">
        <is>
          <t>1</t>
        </is>
      </c>
      <c r="J1728" t="inlineStr"/>
      <c r="K1728" t="inlineStr"/>
      <c r="L1728" t="inlineStr"/>
      <c r="M1728" t="inlineStr"/>
      <c r="N1728" t="inlineStr"/>
      <c r="O1728">
        <f>(1-Summary!$B$11)*T1728+Summary!$B$11*V1728</f>
        <v/>
      </c>
      <c r="P1728">
        <f>IF(B1748=0,0,O1728/B1748)</f>
        <v/>
      </c>
      <c r="Q1728" t="n">
        <v>0</v>
      </c>
      <c r="R1728" t="n">
        <v>0</v>
      </c>
      <c r="S1728">
        <f>IFERROR(O1728/N1728,0)</f>
        <v/>
      </c>
      <c r="T1728" t="n">
        <v>0</v>
      </c>
      <c r="V1728" t="n">
        <v>0</v>
      </c>
    </row>
    <row r="1729">
      <c r="A1729">
        <f>Skills!A27</f>
        <v/>
      </c>
      <c r="B1729">
        <f>Skills!B27</f>
        <v/>
      </c>
      <c r="C1729">
        <f>Inputs!$B$3&gt;=50</f>
        <v/>
      </c>
      <c r="D1729">
        <f>IF(Skills!C27=1,60+Inputs!$B$25+Inputs!$B$29,IF(Skills!C27=2,90+Inputs!$B$26+Inputs!$B$29,IF(Skills!C27=3,120+Inputs!$B$27+Inputs!$B$29,MAX(0,(Inputs!$B$3-100)*3)+Inputs!$B$28+Inputs!$B$29)))</f>
        <v/>
      </c>
      <c r="E1729">
        <f>INDEX(FactorTable!$B$2:$Y$301, MATCH(ROUND(MIN(300,MAX(1,D1729)),0), FactorTable!$A$2:$A$301,0), Skills!M27+1)</f>
        <v/>
      </c>
      <c r="F1729">
        <f>IF(Skills!N27=TRUE,(Skills!L27/10)*(E1729/1000),Skills!L27/10)+Skills!O27</f>
        <v/>
      </c>
      <c r="G1729">
        <f>Skills!G27*IF(Skills!H27&gt;0,IF(Inputs!$B$39="pvp",MIN(Skills!I27,15),Skills!I27)/Skills!H27,1)</f>
        <v/>
      </c>
      <c r="H1729">
        <f>1-(1-Skills!J27/100)^Skills!K27</f>
        <v/>
      </c>
      <c r="I1729" t="inlineStr">
        <is>
          <t>1</t>
        </is>
      </c>
      <c r="J1729" t="inlineStr"/>
      <c r="K1729" t="inlineStr"/>
      <c r="L1729" t="inlineStr"/>
      <c r="M1729" t="inlineStr"/>
      <c r="N1729" t="inlineStr"/>
      <c r="O1729">
        <f>(1-Summary!$B$11)*T1729+Summary!$B$11*V1729</f>
        <v/>
      </c>
      <c r="P1729">
        <f>IF(B1748=0,0,O1729/B1748)</f>
        <v/>
      </c>
      <c r="Q1729" t="n">
        <v>0</v>
      </c>
      <c r="R1729" t="n">
        <v>0</v>
      </c>
      <c r="S1729">
        <f>IFERROR(O1729/N1729,0)</f>
        <v/>
      </c>
      <c r="T1729" t="n">
        <v>0</v>
      </c>
      <c r="V1729" t="n">
        <v>0</v>
      </c>
    </row>
    <row r="1730">
      <c r="A1730">
        <f>Skills!A28</f>
        <v/>
      </c>
      <c r="B1730">
        <f>Skills!B28</f>
        <v/>
      </c>
      <c r="C1730">
        <f>Inputs!$B$3&gt;=38</f>
        <v/>
      </c>
      <c r="D1730">
        <f>IF(Skills!C28=1,60+Inputs!$B$25+Inputs!$B$29,IF(Skills!C28=2,90+Inputs!$B$26+Inputs!$B$29,IF(Skills!C28=3,120+Inputs!$B$27+Inputs!$B$29,MAX(0,(Inputs!$B$3-100)*3)+Inputs!$B$28+Inputs!$B$29)))</f>
        <v/>
      </c>
      <c r="E1730">
        <f>INDEX(FactorTable!$B$2:$Y$301, MATCH(ROUND(MIN(300,MAX(1,D1730)),0), FactorTable!$A$2:$A$301,0), Skills!M28+1)</f>
        <v/>
      </c>
      <c r="F1730">
        <f>IF(Skills!N28=TRUE,(Skills!L28/10)*(E1730/1000),Skills!L28/10)+Skills!O28</f>
        <v/>
      </c>
      <c r="G1730">
        <f>Skills!G28*IF(Skills!H28&gt;0,IF(Inputs!$B$39="pvp",MIN(Skills!I28,15),Skills!I28)/Skills!H28,1)</f>
        <v/>
      </c>
      <c r="H1730">
        <f>1-(1-Skills!J28/100)^Skills!K28</f>
        <v/>
      </c>
      <c r="I1730" t="inlineStr">
        <is>
          <t>1</t>
        </is>
      </c>
      <c r="J1730" t="inlineStr"/>
      <c r="K1730" t="inlineStr"/>
      <c r="L1730" t="inlineStr"/>
      <c r="M1730" t="inlineStr"/>
      <c r="N1730" t="inlineStr"/>
      <c r="O1730">
        <f>(1-Summary!$B$11)*T1730+Summary!$B$11*V1730</f>
        <v/>
      </c>
      <c r="P1730">
        <f>IF(B1748=0,0,O1730/B1748)</f>
        <v/>
      </c>
      <c r="Q1730" t="n">
        <v>0</v>
      </c>
      <c r="R1730" t="n">
        <v>0</v>
      </c>
      <c r="S1730">
        <f>IFERROR(O1730/N1730,0)</f>
        <v/>
      </c>
      <c r="T1730" t="n">
        <v>0</v>
      </c>
      <c r="V1730" t="n">
        <v>0</v>
      </c>
    </row>
    <row r="1731">
      <c r="A1731">
        <f>Skills!A29</f>
        <v/>
      </c>
      <c r="B1731">
        <f>Skills!B29</f>
        <v/>
      </c>
      <c r="C1731">
        <f>Inputs!$B$3&gt;=120</f>
        <v/>
      </c>
      <c r="D1731">
        <f>IF(Skills!C29=1,60+Inputs!$B$25+Inputs!$B$29,IF(Skills!C29=2,90+Inputs!$B$26+Inputs!$B$29,IF(Skills!C29=3,120+Inputs!$B$27+Inputs!$B$29,MAX(0,(Inputs!$B$3-100)*3)+Inputs!$B$28+Inputs!$B$29)))</f>
        <v/>
      </c>
      <c r="E1731">
        <f>INDEX(FactorTable!$B$2:$Y$301, MATCH(ROUND(MIN(300,MAX(1,D1731)),0), FactorTable!$A$2:$A$301,0), Skills!M29+1)</f>
        <v/>
      </c>
      <c r="F1731">
        <f>IF(Skills!N29=TRUE,(Skills!L29/10)*(E1731/1000),Skills!L29/10)+Skills!O29</f>
        <v/>
      </c>
      <c r="G1731">
        <f>Skills!G29*IF(Skills!H29&gt;0,IF(Inputs!$B$39="pvp",MIN(Skills!I29,15),Skills!I29)/Skills!H29,1)</f>
        <v/>
      </c>
      <c r="H1731">
        <f>1-(1-Skills!J29/100)^Skills!K29</f>
        <v/>
      </c>
      <c r="I1731" t="inlineStr">
        <is>
          <t>1</t>
        </is>
      </c>
      <c r="J1731" t="inlineStr"/>
      <c r="K1731" t="inlineStr"/>
      <c r="L1731" t="inlineStr"/>
      <c r="M1731" t="inlineStr"/>
      <c r="N1731" t="inlineStr"/>
      <c r="O1731">
        <f>(1-Summary!$B$11)*T1731+Summary!$B$11*V1731</f>
        <v/>
      </c>
      <c r="P1731">
        <f>IF(B1748=0,0,O1731/B1748)</f>
        <v/>
      </c>
      <c r="Q1731" t="n">
        <v>0</v>
      </c>
      <c r="R1731" t="n">
        <v>0</v>
      </c>
      <c r="S1731">
        <f>IFERROR(O1731/N1731,0)</f>
        <v/>
      </c>
      <c r="T1731" t="n">
        <v>0</v>
      </c>
      <c r="V1731" t="n">
        <v>0</v>
      </c>
    </row>
    <row r="1732">
      <c r="A1732">
        <f>Skills!A30</f>
        <v/>
      </c>
      <c r="B1732">
        <f>Skills!B30</f>
        <v/>
      </c>
      <c r="C1732">
        <f>Inputs!$B$3&gt;=120</f>
        <v/>
      </c>
      <c r="D1732">
        <f>IF(Skills!C30=1,60+Inputs!$B$25+Inputs!$B$29,IF(Skills!C30=2,90+Inputs!$B$26+Inputs!$B$29,IF(Skills!C30=3,120+Inputs!$B$27+Inputs!$B$29,MAX(0,(Inputs!$B$3-100)*3)+Inputs!$B$28+Inputs!$B$29)))</f>
        <v/>
      </c>
      <c r="E1732">
        <f>INDEX(FactorTable!$B$2:$Y$301, MATCH(ROUND(MIN(300,MAX(1,D1732)),0), FactorTable!$A$2:$A$301,0), Skills!M30+1)</f>
        <v/>
      </c>
      <c r="F1732">
        <f>IF(Skills!N30=TRUE,(Skills!L30/10)*(E1732/1000),Skills!L30/10)+Skills!O30</f>
        <v/>
      </c>
      <c r="G1732">
        <f>Skills!G30*IF(Skills!H30&gt;0,IF(Inputs!$B$39="pvp",MIN(Skills!I30,15),Skills!I30)/Skills!H30,1)</f>
        <v/>
      </c>
      <c r="H1732">
        <f>1-(1-Skills!J30/100)^Skills!K30</f>
        <v/>
      </c>
      <c r="I1732" t="inlineStr">
        <is>
          <t>1</t>
        </is>
      </c>
      <c r="J1732" t="inlineStr"/>
      <c r="K1732" t="inlineStr"/>
      <c r="L1732" t="inlineStr"/>
      <c r="M1732" t="inlineStr"/>
      <c r="N1732" t="inlineStr"/>
      <c r="O1732">
        <f>(1-Summary!$B$11)*T1732+Summary!$B$11*V1732</f>
        <v/>
      </c>
      <c r="P1732">
        <f>IF(B1748=0,0,O1732/B1748)</f>
        <v/>
      </c>
      <c r="Q1732" t="n">
        <v>0</v>
      </c>
      <c r="R1732" t="n">
        <v>0</v>
      </c>
      <c r="S1732">
        <f>IFERROR(O1732/N1732,0)</f>
        <v/>
      </c>
      <c r="T1732" t="n">
        <v>0</v>
      </c>
      <c r="V1732" t="n">
        <v>0</v>
      </c>
    </row>
    <row r="1733">
      <c r="A1733">
        <f>Skills!A31</f>
        <v/>
      </c>
      <c r="B1733">
        <f>Skills!B31</f>
        <v/>
      </c>
      <c r="C1733">
        <f>Inputs!$B$3&gt;=125</f>
        <v/>
      </c>
      <c r="D1733">
        <f>IF(Skills!C31=1,60+Inputs!$B$25+Inputs!$B$29,IF(Skills!C31=2,90+Inputs!$B$26+Inputs!$B$29,IF(Skills!C31=3,120+Inputs!$B$27+Inputs!$B$29,MAX(0,(Inputs!$B$3-100)*3)+Inputs!$B$28+Inputs!$B$29)))</f>
        <v/>
      </c>
      <c r="E1733">
        <f>INDEX(FactorTable!$B$2:$Y$301, MATCH(ROUND(MIN(300,MAX(1,D1733)),0), FactorTable!$A$2:$A$301,0), Skills!M31+1)</f>
        <v/>
      </c>
      <c r="F1733">
        <f>IF(Skills!N31=TRUE,(Skills!L31/10)*(E1733/1000),Skills!L31/10)+Skills!O31</f>
        <v/>
      </c>
      <c r="G1733">
        <f>Skills!G31*IF(Skills!H31&gt;0,IF(Inputs!$B$39="pvp",MIN(Skills!I31,15),Skills!I31)/Skills!H31,1)</f>
        <v/>
      </c>
      <c r="H1733">
        <f>1-(1-Skills!J31/100)^Skills!K31</f>
        <v/>
      </c>
      <c r="I1733" t="inlineStr">
        <is>
          <t>1</t>
        </is>
      </c>
      <c r="J1733" t="inlineStr"/>
      <c r="K1733" t="inlineStr"/>
      <c r="L1733" t="inlineStr"/>
      <c r="M1733" t="inlineStr"/>
      <c r="N1733" t="inlineStr"/>
      <c r="O1733">
        <f>(1-Summary!$B$11)*T1733+Summary!$B$11*V1733</f>
        <v/>
      </c>
      <c r="P1733">
        <f>IF(B1748=0,0,O1733/B1748)</f>
        <v/>
      </c>
      <c r="Q1733" t="n">
        <v>0</v>
      </c>
      <c r="R1733" t="n">
        <v>0</v>
      </c>
      <c r="S1733">
        <f>IFERROR(O1733/N1733,0)</f>
        <v/>
      </c>
      <c r="T1733" t="n">
        <v>0</v>
      </c>
      <c r="V1733" t="n">
        <v>0</v>
      </c>
    </row>
    <row r="1735">
      <c r="A1735" t="inlineStr">
        <is>
          <t>Average Buff Multiplier</t>
        </is>
      </c>
      <c r="B1735">
        <f>(1+(((C1724=TRUE)*F1724*IF(AND(Inputs!$B$39&lt;&gt;"pvp",Inputs!$B$44&gt;0),(((R1724-1)*MIN((Skills!Y22*(1+Inputs!$B$34/100)),(1/Q1724))+MIN((Skills!Y22*(1+Inputs!$B$34/100)),MAX(0,Inputs!$B$44-((R1724-1)*(1/Q1724)))))/Inputs!$B$44),IF(Inputs!$B$39="pvp",MIN((Skills!Y22*(1+Inputs!$B$34/100)),15)/15,MIN(1,(Skills!Y22*(1+Inputs!$B$34/100))/(1/Q1724)))))+((C1705=TRUE)*F1705*3)+((C1707=TRUE)*F1707*(1-EXP(-0.75*B1740*5)))+((C1726=TRUE)*(F1726-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1713=TRUE)*F1713*IF(AND(Inputs!$B$39&lt;&gt;"pvp",Inputs!$B$44&gt;0),(((R1713-1)*MIN((Skills!Y11*(1+Inputs!$B$34/100)),(1/Q1713))+MIN((Skills!Y11*(1+Inputs!$B$34/100)),MAX(0,Inputs!$B$44-((R1713-1)*(1/Q1713)))))/Inputs!$B$44),IF(Inputs!$B$39="pvp",MIN((Skills!Y11*(1+Inputs!$B$34/100)),15)/15,MIN(1,(Skills!Y11*(1+Inputs!$B$34/100))/(1/Q1713)))))/100)*(1+((C1718=TRUE)*F1718*IF(AND(Inputs!$B$39&lt;&gt;"pvp",Inputs!$B$44&gt;0),(((R1718-1)*MIN((Skills!Y16*(1+Inputs!$B$34/100)),(1/Q1718))+MIN((Skills!Y16*(1+Inputs!$B$34/100)),MAX(0,Inputs!$B$44-((R1718-1)*(1/Q1718)))))/Inputs!$B$44),IF(Inputs!$B$39="pvp",MIN((Skills!Y16*(1+Inputs!$B$34/100)),15)/15,MIN(1,(Skills!Y16*(1+Inputs!$B$34/100))/(1/Q1718)))))/100)</f>
        <v/>
      </c>
    </row>
    <row r="1736">
      <c r="A1736" t="inlineStr">
        <is>
          <t>Global Crit Rate Bonus %</t>
        </is>
      </c>
      <c r="B1736">
        <f>((C1723=TRUE)*F1723*IF(AND(Inputs!$B$39&lt;&gt;"pvp",Inputs!$B$44&gt;0),(((R1723-1)*MIN((Skills!Y21*(1+Inputs!$B$34/100)),(1/Q1723))+MIN((Skills!Y21*(1+Inputs!$B$34/100)),MAX(0,Inputs!$B$44-((R1723-1)*(1/Q1723)))))/Inputs!$B$44),IF(Inputs!$B$39="pvp",MIN((Skills!Y21*(1+Inputs!$B$34/100)),15)/15,MIN(1,(Skills!Y21*(1+Inputs!$B$34/100))/(1/Q1723)))))</f>
        <v/>
      </c>
    </row>
    <row r="1737">
      <c r="A1737" t="inlineStr">
        <is>
          <t>Global Monster Damage-Taken Bonus %</t>
        </is>
      </c>
      <c r="B1737">
        <f>IF(Inputs!$B$3&gt;=82,15,0)</f>
        <v/>
      </c>
    </row>
    <row r="1738">
      <c r="A1738" t="inlineStr">
        <is>
          <t>Shadow Partner Average Multiplier</t>
        </is>
      </c>
      <c r="B1738">
        <f>1+((C1710=TRUE)*F1710*(1+3.3333333333333335*IF(C1721=TRUE,F1721,0)/100)*I1710*Skills!J8/100)/100</f>
        <v/>
      </c>
    </row>
    <row r="1739">
      <c r="A1739" t="inlineStr">
        <is>
          <t>Attack Speed Buff Bonus %</t>
        </is>
      </c>
      <c r="B1739">
        <f>((C1722=TRUE)*F1722*IF(AND(Inputs!$B$39&lt;&gt;"pvp",Inputs!$B$44&gt;0),(((R1722-1)*MIN((Skills!Y20*(1+Inputs!$B$34/100)),(1/Q1722))+MIN((Skills!Y20*(1+Inputs!$B$34/100)),MAX(0,Inputs!$B$44-((R1722-1)*(1/Q1722)))))/Inputs!$B$44),IF(Inputs!$B$39="pvp",MIN((Skills!Y20*(1+Inputs!$B$34/100)),15)/15,MIN(1,(Skills!Y20*(1+Inputs!$B$34/100))/(1/Q1722)))))</f>
        <v/>
      </c>
    </row>
    <row r="1740">
      <c r="A1740" t="inlineStr">
        <is>
          <t>Actions Per Second</t>
        </is>
      </c>
      <c r="B1740">
        <f>1+MIN(150,150*(1-(1-(Inputs!$B$11+((C1725=TRUE)*(F1725-Calc!F23)))/150)*(1-B1739/150)))/100</f>
        <v/>
      </c>
    </row>
    <row r="1741">
      <c r="A1741" t="inlineStr">
        <is>
          <t>Skill + Buff Cast Rate</t>
        </is>
      </c>
      <c r="B1741">
        <f>IF(AND(Inputs!$B$39&lt;&gt;"pvp",Inputs!$B$44&gt;0),SUMPRODUCT((Skills!E2:E31=TRUE)*(C1704:C1733=TRUE)*R1704:R1733*Skills!F2:F31)/Inputs!$B$44,SUMPRODUCT((Skills!E2:E31=TRUE)*(C1704:C1733=TRUE)*Q1704:Q1733*Skills!F2:F31))</f>
        <v/>
      </c>
    </row>
    <row r="1742">
      <c r="A1742" t="inlineStr">
        <is>
          <t>Cruel Stab Casts Per Second</t>
        </is>
      </c>
      <c r="B1742">
        <f>MAX(0,B1740-B1741)</f>
        <v/>
      </c>
    </row>
    <row r="1743">
      <c r="A1743" t="inlineStr">
        <is>
          <t>Global Critical Damage Bonus % (Smokescreen Mastery Lv.113)</t>
        </is>
      </c>
      <c r="B1743">
        <f>IF(Inputs!$B$3&gt;=113,30,0)*IF(AND(Inputs!$B$39&lt;&gt;"pvp",Inputs!$B$44&gt;0),(((R1718-1)*MIN((Skills!Y16*(1+Inputs!$B$34/100)),(1/Q1718))+MIN((Skills!Y16*(1+Inputs!$B$34/100)),MAX(0,Inputs!$B$44-((R1718-1)*(1/Q1718)))))/Inputs!$B$44),IF(Inputs!$B$39="pvp",MIN((Skills!Y16*(1+Inputs!$B$34/100)),15)/15,MIN(1,(Skills!Y16*(1+Inputs!$B$34/100))/(1/Q1718))))</f>
        <v/>
      </c>
    </row>
    <row r="1744">
      <c r="A1744" t="inlineStr">
        <is>
          <t>Meso Explosion average stack count</t>
        </is>
      </c>
      <c r="B1744">
        <f>MIN(10,IF(Inputs!$B$3&gt;=75,0.75,0.5)*B1740*(1/Q1706))</f>
        <v/>
      </c>
    </row>
    <row r="1745">
      <c r="A1745" t="inlineStr">
        <is>
          <t>Blood Money average stack count</t>
        </is>
      </c>
      <c r="B1745">
        <f>MIN(5,0.5*IF(Inputs!$B$3&gt;=75,0.75,0.5)*B1740*(1/Q1706))</f>
        <v/>
      </c>
    </row>
    <row r="1746">
      <c r="A1746" t="inlineStr">
        <is>
          <t>Assassinate Murderous Intent Multiplier</t>
        </is>
      </c>
      <c r="B1746">
        <f>1+IFERROR(MIN(1,Q1717*2/Q1714),0)</f>
        <v/>
      </c>
    </row>
    <row r="1747">
      <c r="A1747" t="inlineStr">
        <is>
          <t>Buff-Casting Startup Delay (s, fixed-duration only)</t>
        </is>
      </c>
      <c r="B1747">
        <f>IF(AND(Inputs!$B$39&lt;&gt;"pvp",Inputs!$B$44&gt;0),SUMPRODUCT((Skills!Y2:Y31&gt;0)*(Skills!E2:E31=TRUE)*(C1704:C1733=TRUE))/B1740,0)</f>
        <v/>
      </c>
    </row>
    <row r="1748">
      <c r="A1748" s="6" t="inlineStr">
        <is>
          <t>TOTAL DPS</t>
        </is>
      </c>
      <c r="B1748" s="6">
        <f>SUM(O1704:O1733)</f>
        <v/>
      </c>
    </row>
    <row r="1749">
      <c r="A1749" t="inlineStr">
        <is>
          <t>Boss-Only Total DPS (this block's swept value)</t>
        </is>
      </c>
      <c r="B1749">
        <f>SUM(T1704:T1733)</f>
        <v/>
      </c>
    </row>
    <row r="1750">
      <c r="A1750" t="inlineStr">
        <is>
          <t>Normal-Only Total DPS (this block's swept value)</t>
        </is>
      </c>
      <c r="B1750">
        <f>SUM(V1704:V1733)</f>
        <v/>
      </c>
    </row>
    <row r="1753">
      <c r="A1753" s="6" t="inlineStr">
        <is>
          <t>Stat: Arwen's Glass Shoes (Equip)</t>
        </is>
      </c>
    </row>
    <row r="1754">
      <c r="A1754" s="5" t="inlineStr">
        <is>
          <t>Key</t>
        </is>
      </c>
      <c r="B1754" s="5" t="inlineStr">
        <is>
          <t>Name</t>
        </is>
      </c>
      <c r="C1754" s="5" t="inlineStr">
        <is>
          <t>Unlocked</t>
        </is>
      </c>
      <c r="D1754" s="5" t="inlineStr">
        <is>
          <t>InputLevel</t>
        </is>
      </c>
      <c r="E1754" s="5" t="inlineStr">
        <is>
          <t>Factor</t>
        </is>
      </c>
      <c r="F1754" s="5" t="inlineStr">
        <is>
          <t>CoefficientPercent</t>
        </is>
      </c>
      <c r="G1754" s="5" t="inlineStr">
        <is>
          <t>EffectiveHits</t>
        </is>
      </c>
      <c r="H1754" s="5" t="inlineStr">
        <is>
          <t>ProcProbability</t>
        </is>
      </c>
      <c r="I1754" s="5" t="inlineStr">
        <is>
          <t>MapleHeroMultiplier</t>
        </is>
      </c>
      <c r="J1754" s="5" t="inlineStr">
        <is>
          <t>BaseDamage</t>
        </is>
      </c>
      <c r="K1754" s="5" t="inlineStr">
        <is>
          <t>BaseHitDamage</t>
        </is>
      </c>
      <c r="L1754" s="5" t="inlineStr">
        <is>
          <t>NonCritAvg</t>
        </is>
      </c>
      <c r="M1754" s="5" t="inlineStr">
        <is>
          <t>CritAvg</t>
        </is>
      </c>
      <c r="N1754" s="5" t="inlineStr">
        <is>
          <t>ExpectedDamage(perHit)</t>
        </is>
      </c>
      <c r="O1754" s="5" t="inlineStr">
        <is>
          <t>DPS</t>
        </is>
      </c>
      <c r="P1754" s="5" t="inlineStr">
        <is>
          <t>% of Total</t>
        </is>
      </c>
      <c r="Q1754" s="5" t="inlineStr">
        <is>
          <t>InvCooldown</t>
        </is>
      </c>
      <c r="R1754" s="5" t="inlineStr">
        <is>
          <t>CastsInFight</t>
        </is>
      </c>
      <c r="S1754" s="5" t="inlineStr">
        <is>
          <t>HitRate(perSec)</t>
        </is>
      </c>
      <c r="U1754" t="inlineStr">
        <is>
          <t>helpers</t>
        </is>
      </c>
    </row>
    <row r="1755">
      <c r="A1755">
        <f>Skills!A2</f>
        <v/>
      </c>
      <c r="B1755">
        <f>Skills!B2</f>
        <v/>
      </c>
      <c r="C1755">
        <f>Inputs!$B$3&gt;=100</f>
        <v/>
      </c>
      <c r="D1755" t="inlineStr"/>
      <c r="E1755" t="inlineStr"/>
      <c r="F1755">
        <f>U1757+Skills!O2</f>
        <v/>
      </c>
      <c r="G1755">
        <f>Skills!G2*IF(Skills!H2&gt;0,IF(Inputs!$B$39="pvp",MIN(Skills!I2,15),Skills!I2)/Skills!H2,1)</f>
        <v/>
      </c>
      <c r="H1755">
        <f>1-(1-Skills!J2/100)^Skills!K2</f>
        <v/>
      </c>
      <c r="I1755" t="inlineStr">
        <is>
          <t>1</t>
        </is>
      </c>
      <c r="J1755">
        <f>((Inputs!$B$6*(1+Inputs!$B$7/100))+(((Inputs!$B$12*(1+Inputs!$B$13/100))-(Inputs!$B$12*(1+Inputs!$B$13/100)))+0.25*(Inputs!$B$14-Inputs!$B$14))*(1+Inputs!$B$7/100))*(F1755/100)</f>
        <v/>
      </c>
      <c r="K1755">
        <f>J1755*(1+((Inputs!$B$12*(1+Inputs!$B$13/100))*0.01+Inputs!$B$14*0.0025)/100)*(1+Inputs!$B$15/100)*(1+Inputs!$B$16/100)*(5000/(6000+Inputs!$B$43*(1-(100*(1-(1-Inputs!$B$19/100)*(1-CHOOSE(ArtifactsInput!$N$40+1,5,6,7,8,9,10)/100)^(ArtifactsInput!$M$40-ArtifactsInput!$M$40)))/100)))*(1+(Inputs!$B$24+((C1784=TRUE)*(F1784-Calc!F31))+((C1771=TRUE)*(F1771-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CRUEL_STAB",Inputs!$B$17+((C1781=TRUE)*(F1781-Calc!F28))+((IF(AND(Inputs!$B$39&lt;&gt;"pvp",Inputs!$B$44=0),1,IF(IF(Inputs!$B$39="pvp",15,Inputs!$B$44)-(B1798)&lt;=0,1,MAX(0,IF(Inputs!$B$39="pvp",15,Inputs!$B$44)-MAX(5,B1798))/(IF(Inputs!$B$39="pvp",15,Inputs!$B$44)-(B1798))))*(IF(AND(ArtifactsInput!$M$42,((Inputs!$B$9+((C1779=TRUE)*(F1779-Calc!F26))+B1787+(ArtifactsInput!$M$24-ArtifactsInput!$M$24)*CHOOSE(ArtifactsInput!$N$24+1,10,12,14,16,18,20)+IF(ArtifactsInput!$M$10,CHOOSE(ArtifactsInput!$N$10+1,15,18,21,24,27,30)*(IF(Inputs!$B$39="pvp",MIN(15,15)/15,IF(AND(Inputs!$B$39&lt;&gt;"pvp",Inputs!$B$44&gt;0),MIN(15,Inputs!$B$44)/(Inputs!$B$44),0))),0)))&gt;=100),MIN(100,((Inputs!$B$9+((C1779=TRUE)*(F1779-Calc!F26))+B1787+(ArtifactsInput!$M$24-ArtifactsInput!$M$24)*CHOOSE(ArtifactsInput!$N$24+1,10,12,14,16,18,20)+IF(ArtifactsInput!$M$10,CHOOSE(ArtifactsInput!$N$10+1,15,18,21,24,27,30)*(IF(Inputs!$B$39="pvp",MIN(15,15)/15,IF(AND(Inputs!$B$39&lt;&gt;"pvp",Inputs!$B$44&gt;0),MIN(15,Inputs!$B$44)/(Inputs!$B$44),0))),0)))-100),0))*CHOOSE(ArtifactsInput!$N$42+1,0.6,0.72,0.84,0.96,1.08,1.2))),Inputs!$B$18+((C1782=TRUE)*(F1782-Calc!F29))+(IF(AND(Inputs!$B$39&lt;&gt;"pvp",Inputs!$B$44=0),1,IF(IF(Inputs!$B$39="pvp",15,Inputs!$B$44)-(B1798)&lt;=0,1,MAX(0,IF(Inputs!$B$39="pvp",15,Inputs!$B$44)-MAX(5,B1798))/(IF(Inputs!$B$39="pvp",15,Inputs!$B$44)-(B1798))))*IF(AND(ArtifactsInput!$M$42,((Inputs!$B$9+((C1779=TRUE)*(F1779-Calc!F26))+B1787+(ArtifactsInput!$M$24-ArtifactsInput!$M$24)*CHOOSE(ArtifactsInput!$N$24+1,10,12,14,16,18,20)+IF(ArtifactsInput!$M$10,CHOOSE(ArtifactsInput!$N$10+1,15,18,21,24,27,30)*(IF(Inputs!$B$39="pvp",MIN(15,15)/15,IF(AND(Inputs!$B$39&lt;&gt;"pvp",Inputs!$B$44&gt;0),MIN(15,Inputs!$B$44)/(Inputs!$B$44),0))),0)))&gt;=100),CHOOSE(ArtifactsInput!$N$42+1,40,48,56,64,72,80),0))))/100)*(((1+(((C1775=TRUE)*F1775*IF(AND(Inputs!$B$39&lt;&gt;"pvp",Inputs!$B$44&gt;0),(((R1775-1)*MIN((Skills!Y22*(1+Inputs!$B$34/100)),(1/Q1775))+MIN((Skills!Y22*(1+Inputs!$B$34/100)),MAX(0,Inputs!$B$44-((R1775-1)*(1/Q1775)))))/Inputs!$B$44),IF(Inputs!$B$39="pvp",MIN((Skills!Y22*(1+Inputs!$B$34/100)),15)/15,MIN(1,(Skills!Y22*(1+Inputs!$B$34/100))/(1/Q1775)))))+((C1756=TRUE)*F1756*3)+((C1758=TRUE)*F1758*(1-EXP(-0.75*B1791*5)))+((C1777=TRUE)*(F1777-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1764=TRUE)*F1764*IF(AND(Inputs!$B$39&lt;&gt;"pvp",Inputs!$B$44&gt;0),(((R1764-1)*MIN((Skills!Y11*(1+Inputs!$B$34/100)),(1/Q1764))+MIN((Skills!Y11*(1+Inputs!$B$34/100)),MAX(0,Inputs!$B$44-((R1764-1)*(1/Q1764)))))/Inputs!$B$44),IF(Inputs!$B$39="pvp",MIN((Skills!Y11*(1+Inputs!$B$34/100)),15)/15,MIN(1,(Skills!Y11*(1+Inputs!$B$34/100))/(1/Q1764)))))/100)*(1+((C1769=TRUE)*F1769*IF(AND(Inputs!$B$39&lt;&gt;"pvp",Inputs!$B$44&gt;0),(((R1769-1)*MIN((Skills!Y16*(1+Inputs!$B$34/100)),(1/Q1769))+MIN((Skills!Y16*(1+Inputs!$B$34/100)),MAX(0,Inputs!$B$44-((R1769-1)*(1/Q1769)))))/Inputs!$B$44),IF(Inputs!$B$39="pvp",MIN((Skills!Y16*(1+Inputs!$B$34/100)),15)/15,MIN(1,(Skills!Y16*(1+Inputs!$B$34/100))/(1/Q1769)))))/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1789*I1755)</f>
        <v/>
      </c>
      <c r="L1755">
        <f>K1755*(MIN(Inputs!$B$22+((C1778=TRUE)*(F1778-Calc!F25)),(Inputs!$B$23+((C1783=TRUE)*(F1783-Calc!F30))+IF(ArtifactsInput!$M$15,CHOOSE(ArtifactsInput!$N$15+1,25,30,35,40,45,50)/100*(Inputs!$B$11-Inputs!$B$11),0)))/100+(Inputs!$B$23+((C1783=TRUE)*(F1783-Calc!F30))+IF(ArtifactsInput!$M$15,CHOOSE(ArtifactsInput!$N$15+1,25,30,35,40,45,50)/100*(Inputs!$B$11-Inputs!$B$11),0))/100)/2</f>
        <v/>
      </c>
      <c r="M1755">
        <f>L1755*(1+(Inputs!$B$10+((C1780=TRUE)*(F1780-Calc!F27))+B1794+(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1755">
        <f>L1755*(1-MIN((Inputs!$B$9+((C1779=TRUE)*(F1779-Calc!F26))+B1787+(ArtifactsInput!$M$24-ArtifactsInput!$M$24)*CHOOSE(ArtifactsInput!$N$24+1,10,12,14,16,18,20)+(IF(AND(Inputs!$B$39&lt;&gt;"pvp",Inputs!$B$44=0),1,IF(IF(Inputs!$B$39="pvp",15,Inputs!$B$44)-(B1798)&lt;=0,1,MAX(0,IF(Inputs!$B$39="pvp",15,Inputs!$B$44)-MAX(5,B1798))/(IF(Inputs!$B$39="pvp",15,Inputs!$B$44)-(B1798))))*IF(AND(ArtifactsInput!$M$42,((Inputs!$B$9+((C1779=TRUE)*(F1779-Calc!F26))+B1787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1755*(MIN((Inputs!$B$9+((C1779=TRUE)*(F1779-Calc!F26))+B1787+(ArtifactsInput!$M$24-ArtifactsInput!$M$24)*CHOOSE(ArtifactsInput!$N$24+1,10,12,14,16,18,20)+(IF(AND(Inputs!$B$39&lt;&gt;"pvp",Inputs!$B$44=0),1,IF(IF(Inputs!$B$39="pvp",15,Inputs!$B$44)-(B1798)&lt;=0,1,MAX(0,IF(Inputs!$B$39="pvp",15,Inputs!$B$44)-MAX(5,B1798))/(IF(Inputs!$B$39="pvp",15,Inputs!$B$44)-(B1798))))*IF(AND(ArtifactsInput!$M$42,((Inputs!$B$9+((C1779=TRUE)*(F1779-Calc!F26))+B1787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755">
        <f>(1-Summary!$B$11)*T1755+Summary!$B$11*V1755</f>
        <v/>
      </c>
      <c r="P1755">
        <f>IF(B1799=0,0,O1755/B1799)</f>
        <v/>
      </c>
      <c r="Q1755" t="n">
        <v>0</v>
      </c>
      <c r="R1755" t="n">
        <v>0</v>
      </c>
      <c r="S1755">
        <f>IFERROR(O1755/N1755,0)</f>
        <v/>
      </c>
      <c r="T1755">
        <f>IF(C1755,(Skills!G2*N1755*B1793)*IF(Inputs!$B$39="pvp",1,1+(Inputs!$B$20+0+Skills!P2+B1788+(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Hunt"),CHOOSE(ArtifactsInput!$N$35+1,15,18,21,24,27,30)*(1-EXP(-(0.2*B1791)*5)),0)+IF(AND(ArtifactsInput!$M$22,Inputs!$B$4&lt;&gt;"Chapter Hunt"),CHOOSE(ArtifactsInput!$N$22+1,10,12,14,16,18,20)*((0*(((0.15*B1791*5))^0/1)+1*(((0.15*B1791*5))^1/1)+2*(((0.15*B1791*5))^2/2)+3*(((0.15*B1791*5))^3/6)+4*(((0.15*B1791*5))^4/24)+5*(((0.15*B1791*5))^5/120))/((((0.15*B1791*5))^0/1)+(((0.15*B1791*5))^1/1)+(((0.15*B1791*5))^2/2)+(((0.15*B1791*5))^3/6)+(((0.15*B1791*5))^4/24)+(((0.15*B1791*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1755*(1-MIN(100,(Inputs!$B$9+((C1779=TRUE)*(F1779-Calc!F26))+B1787+(ArtifactsInput!$M$24-ArtifactsInput!$M$24)*CHOOSE(ArtifactsInput!$N$24+1,10,12,14,16,18,20)+(IF(AND(Inputs!$B$39&lt;&gt;"pvp",Inputs!$B$44=0),1,IF(IF(Inputs!$B$39="pvp",15,Inputs!$B$44)-(B1798)&lt;=0,1,MAX(0,IF(Inputs!$B$39="pvp",15,Inputs!$B$44)-MAX(5,B1798))/(IF(Inputs!$B$39="pvp",15,Inputs!$B$44)-(B1798))))*IF(AND(ArtifactsInput!$M$42,((Inputs!$B$9+((C1779=TRUE)*(F1779-Calc!F26))+B1787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1755*(MIN(100,(Inputs!$B$9+((C1779=TRUE)*(F1779-Calc!F26))+B1787+(ArtifactsInput!$M$24-ArtifactsInput!$M$24)*CHOOSE(ArtifactsInput!$N$24+1,10,12,14,16,18,20)+(IF(AND(Inputs!$B$39&lt;&gt;"pvp",Inputs!$B$44=0),1,IF(IF(Inputs!$B$39="pvp",15,Inputs!$B$44)-(B1798)&lt;=0,1,MAX(0,IF(Inputs!$B$39="pvp",15,Inputs!$B$44)-MAX(5,B1798))/(IF(Inputs!$B$39="pvp",15,Inputs!$B$44)-(B1798))))*IF(AND(ArtifactsInput!$M$42,((Inputs!$B$9+((C1779=TRUE)*(F1779-Calc!F26))+B1787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1755*(1-MIN(100,(Inputs!$B$9+((C1779=TRUE)*(F1779-Calc!F26))+B1787+(ArtifactsInput!$M$24-ArtifactsInput!$M$24)*CHOOSE(ArtifactsInput!$N$24+1,10,12,14,16,18,20)+(IF(AND(Inputs!$B$39&lt;&gt;"pvp",Inputs!$B$44=0),1,IF(IF(Inputs!$B$39="pvp",15,Inputs!$B$44)-(B1798)&lt;=0,1,MAX(0,IF(Inputs!$B$39="pvp",15,Inputs!$B$44)-MAX(5,B1798))/(IF(Inputs!$B$39="pvp",15,Inputs!$B$44)-(B1798))))*IF(AND(ArtifactsInput!$M$42,((Inputs!$B$9+((C1779=TRUE)*(F1779-Calc!F26))+B1787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1755*(MIN(100,(Inputs!$B$9+((C1779=TRUE)*(F1779-Calc!F26))+B1787+(ArtifactsInput!$M$24-ArtifactsInput!$M$24)*CHOOSE(ArtifactsInput!$N$24+1,10,12,14,16,18,20)+(IF(AND(Inputs!$B$39&lt;&gt;"pvp",Inputs!$B$44=0),1,IF(IF(Inputs!$B$39="pvp",15,Inputs!$B$44)-(B1798)&lt;=0,1,MAX(0,IF(Inputs!$B$39="pvp",15,Inputs!$B$44)-MAX(5,B1798))/(IF(Inputs!$B$39="pvp",15,Inputs!$B$44)-(B1798))))*IF(AND(ArtifactsInput!$M$42,((Inputs!$B$9+((C1779=TRUE)*(F1779-Calc!F26))+B1787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1755">
        <f>MAX(0,(Inputs!$B$3-100)*3)+Inputs!$B$28+Inputs!$B$29</f>
        <v/>
      </c>
      <c r="V1755">
        <f>IF(C1755,(Skills!G2*N1755*B1793)*IF(Inputs!$B$39="pvp",1,(1+(Inputs!$B$21+Skills!Q2+B1788+(IF(ArtifactsInput!$M$33,CHOOSE(ArtifactsInput!$N$33+1,30,36,42,48,54,60),0))+(IF(AND(ArtifactsInput!$M$35,Inputs!$B$4&lt;&gt;"Chapter Hunt"),CHOOSE(ArtifactsInput!$N$35+1,15,18,21,24,27,30)*(1-EXP(-(0.2*B1791)*5)),0)+IF(AND(ArtifactsInput!$M$22,Inputs!$B$4&lt;&gt;"Chapter Hunt"),CHOOSE(ArtifactsInput!$N$22+1,10,12,14,16,18,20)*((0*(((0.15*B1791*5))^0/1)+1*(((0.15*B1791*5))^1/1)+2*(((0.15*B1791*5))^2/2)+3*(((0.15*B1791*5))^3/6)+4*(((0.15*B1791*5))^4/24)+5*(((0.15*B1791*5))^5/120))/((((0.15*B1791*5))^0/1)+(((0.15*B1791*5))^1/1)+(((0.15*B1791*5))^2/2)+(((0.15*B1791*5))^3/6)+(((0.15*B1791*5))^4/24)+(((0.15*B1791*5))^5/120))),0)))/100)*(MIN((6+Inputs!$B$33),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756">
      <c r="A1756">
        <f>Skills!A3</f>
        <v/>
      </c>
      <c r="B1756">
        <f>Skills!B3</f>
        <v/>
      </c>
      <c r="C1756">
        <f>Inputs!$B$3&gt;=35</f>
        <v/>
      </c>
      <c r="D1756">
        <f>IF(Skills!C3=1,60+Inputs!$B$25+Inputs!$B$29,IF(Skills!C3=2,90+Inputs!$B$26+Inputs!$B$29,IF(Skills!C3=3,120+Inputs!$B$27+Inputs!$B$29,MAX(0,(Inputs!$B$3-100)*3)+Inputs!$B$28+Inputs!$B$29)))</f>
        <v/>
      </c>
      <c r="E1756">
        <f>INDEX(FactorTable!$B$2:$Y$301, MATCH(ROUND(MIN(300,MAX(1,D1756)),0), FactorTable!$A$2:$A$301,0), Skills!M3+1)</f>
        <v/>
      </c>
      <c r="F1756">
        <f>IF(Skills!N3=TRUE,(Skills!L3/10)*(E1756/1000),Skills!L3/10)+Skills!O3</f>
        <v/>
      </c>
      <c r="G1756">
        <f>Skills!G3*IF(Skills!H3&gt;0,IF(Inputs!$B$39="pvp",MIN(Skills!I3,15),Skills!I3)/Skills!H3,1)</f>
        <v/>
      </c>
      <c r="H1756">
        <f>1-(1-Skills!J3/100)^Skills!K3</f>
        <v/>
      </c>
      <c r="I1756" t="inlineStr">
        <is>
          <t>1</t>
        </is>
      </c>
      <c r="J1756" t="inlineStr"/>
      <c r="K1756" t="inlineStr"/>
      <c r="L1756" t="inlineStr"/>
      <c r="M1756" t="inlineStr"/>
      <c r="N1756" t="inlineStr"/>
      <c r="O1756">
        <f>(1-Summary!$B$11)*T1756+Summary!$B$11*V1756</f>
        <v/>
      </c>
      <c r="P1756">
        <f>IF(B1799=0,0,O1756/B1799)</f>
        <v/>
      </c>
      <c r="Q1756" t="n">
        <v>0</v>
      </c>
      <c r="R1756" t="n">
        <v>0</v>
      </c>
      <c r="S1756">
        <f>IFERROR(O1756/N1756,0)</f>
        <v/>
      </c>
      <c r="T1756" t="n">
        <v>0</v>
      </c>
      <c r="U1756">
        <f>INDEX(FactorTable!$B$2:$Y$301, MATCH(ROUND(MIN(300,MAX(1,U1755)),0), FactorTable!$A$2:$A$301,0), 22)</f>
        <v/>
      </c>
      <c r="V1756" t="n">
        <v>0</v>
      </c>
    </row>
    <row r="1757">
      <c r="A1757">
        <f>Skills!A4</f>
        <v/>
      </c>
      <c r="B1757">
        <f>Skills!B4</f>
        <v/>
      </c>
      <c r="C1757">
        <f>Inputs!$B$3&gt;=66</f>
        <v/>
      </c>
      <c r="D1757">
        <f>IF(Skills!C4=1,60+Inputs!$B$25+Inputs!$B$29,IF(Skills!C4=2,90+Inputs!$B$26+Inputs!$B$29,IF(Skills!C4=3,120+Inputs!$B$27+Inputs!$B$29,MAX(0,(Inputs!$B$3-100)*3)+Inputs!$B$28+Inputs!$B$29)))</f>
        <v/>
      </c>
      <c r="E1757">
        <f>INDEX(FactorTable!$B$2:$Y$301, MATCH(ROUND(MIN(300,MAX(1,D1757)),0), FactorTable!$A$2:$A$301,0), Skills!M4+1)</f>
        <v/>
      </c>
      <c r="F1757">
        <f>IF(Skills!N4=TRUE,(Skills!L4/10)*(E1757/1000),Skills!L4/10)+Skills!O4</f>
        <v/>
      </c>
      <c r="G1757">
        <f>Skills!G4*IF(Skills!H4&gt;0,IF(Inputs!$B$39="pvp",MIN(Skills!I4,15),Skills!I4)/Skills!H4,1)</f>
        <v/>
      </c>
      <c r="H1757">
        <f>1-(1-Skills!J4/100)^Skills!K4</f>
        <v/>
      </c>
      <c r="I1757" t="inlineStr">
        <is>
          <t>1</t>
        </is>
      </c>
      <c r="J1757">
        <f>((Inputs!$B$6*(1+Inputs!$B$7/100))+(((Inputs!$B$12*(1+Inputs!$B$13/100))-(Inputs!$B$12*(1+Inputs!$B$13/100)))+0.25*(Inputs!$B$14-Inputs!$B$14))*(1+Inputs!$B$7/100))*(F1757/100)</f>
        <v/>
      </c>
      <c r="K1757">
        <f>J1757*(1+((Inputs!$B$12*(1+Inputs!$B$13/100))*0.01+Inputs!$B$14*0.0025)/100)*(1+Inputs!$B$15/100)*(1+Inputs!$B$16/100)*(5000/(6000+Inputs!$B$43*(1-(100*(1-(1-Inputs!$B$19/100)*(1-CHOOSE(ArtifactsInput!$N$40+1,5,6,7,8,9,10)/100)^(ArtifactsInput!$M$40-ArtifactsInput!$M$40)))/100)))*(1+(Inputs!$B$24+((C1784=TRUE)*(F1784-Calc!F31))+((C1771=TRUE)*(F1771-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4="CRUEL_STAB",Inputs!$B$17+((C1781=TRUE)*(F1781-Calc!F28))+((IF(AND(Inputs!$B$39&lt;&gt;"pvp",Inputs!$B$44=0),1,IF(IF(Inputs!$B$39="pvp",15,Inputs!$B$44)-(B1798)&lt;=0,1,MAX(0,IF(Inputs!$B$39="pvp",15,Inputs!$B$44)-MAX(5,B1798))/(IF(Inputs!$B$39="pvp",15,Inputs!$B$44)-(B1798))))*(IF(AND(ArtifactsInput!$M$42,((Inputs!$B$9+((C1779=TRUE)*(F1779-Calc!F26))+B1787+(ArtifactsInput!$M$24-ArtifactsInput!$M$24)*CHOOSE(ArtifactsInput!$N$24+1,10,12,14,16,18,20)+IF(ArtifactsInput!$M$10,CHOOSE(ArtifactsInput!$N$10+1,15,18,21,24,27,30)*(IF(Inputs!$B$39="pvp",MIN(15,15)/15,IF(AND(Inputs!$B$39&lt;&gt;"pvp",Inputs!$B$44&gt;0),MIN(15,Inputs!$B$44)/(Inputs!$B$44),0))),0)))&gt;=100),MIN(100,((Inputs!$B$9+((C1779=TRUE)*(F1779-Calc!F26))+B1787+(ArtifactsInput!$M$24-ArtifactsInput!$M$24)*CHOOSE(ArtifactsInput!$N$24+1,10,12,14,16,18,20)+IF(ArtifactsInput!$M$10,CHOOSE(ArtifactsInput!$N$10+1,15,18,21,24,27,30)*(IF(Inputs!$B$39="pvp",MIN(15,15)/15,IF(AND(Inputs!$B$39&lt;&gt;"pvp",Inputs!$B$44&gt;0),MIN(15,Inputs!$B$44)/(Inputs!$B$44),0))),0)))-100),0))*CHOOSE(ArtifactsInput!$N$42+1,0.6,0.72,0.84,0.96,1.08,1.2))),Inputs!$B$18+((C1782=TRUE)*(F1782-Calc!F29))+(IF(AND(Inputs!$B$39&lt;&gt;"pvp",Inputs!$B$44=0),1,IF(IF(Inputs!$B$39="pvp",15,Inputs!$B$44)-(B1798)&lt;=0,1,MAX(0,IF(Inputs!$B$39="pvp",15,Inputs!$B$44)-MAX(5,B1798))/(IF(Inputs!$B$39="pvp",15,Inputs!$B$44)-(B1798))))*IF(AND(ArtifactsInput!$M$42,((Inputs!$B$9+((C1779=TRUE)*(F1779-Calc!F26))+B1787+(ArtifactsInput!$M$24-ArtifactsInput!$M$24)*CHOOSE(ArtifactsInput!$N$24+1,10,12,14,16,18,20)+IF(ArtifactsInput!$M$10,CHOOSE(ArtifactsInput!$N$10+1,15,18,21,24,27,30)*(IF(Inputs!$B$39="pvp",MIN(15,15)/15,IF(AND(Inputs!$B$39&lt;&gt;"pvp",Inputs!$B$44&gt;0),MIN(15,Inputs!$B$44)/(Inputs!$B$44),0))),0)))&gt;=100),CHOOSE(ArtifactsInput!$N$42+1,40,48,56,64,72,80),0))))/100)*(((1+(((C1775=TRUE)*F1775*IF(AND(Inputs!$B$39&lt;&gt;"pvp",Inputs!$B$44&gt;0),(((R1775-1)*MIN((Skills!Y22*(1+Inputs!$B$34/100)),(1/Q1775))+MIN((Skills!Y22*(1+Inputs!$B$34/100)),MAX(0,Inputs!$B$44-((R1775-1)*(1/Q1775)))))/Inputs!$B$44),IF(Inputs!$B$39="pvp",MIN((Skills!Y22*(1+Inputs!$B$34/100)),15)/15,MIN(1,(Skills!Y22*(1+Inputs!$B$34/100))/(1/Q1775)))))+((C1756=TRUE)*F1756*3)+((C1758=TRUE)*F1758*(1-EXP(-0.75*B1791*5)))+((C1777=TRUE)*(F1777-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1764=TRUE)*F1764*IF(AND(Inputs!$B$39&lt;&gt;"pvp",Inputs!$B$44&gt;0),(((R1764-1)*MIN((Skills!Y11*(1+Inputs!$B$34/100)),(1/Q1764))+MIN((Skills!Y11*(1+Inputs!$B$34/100)),MAX(0,Inputs!$B$44-((R1764-1)*(1/Q1764)))))/Inputs!$B$44),IF(Inputs!$B$39="pvp",MIN((Skills!Y11*(1+Inputs!$B$34/100)),15)/15,MIN(1,(Skills!Y11*(1+Inputs!$B$34/100))/(1/Q1764)))))/100)*(1+((C1769=TRUE)*F1769*IF(AND(Inputs!$B$39&lt;&gt;"pvp",Inputs!$B$44&gt;0),(((R1769-1)*MIN((Skills!Y16*(1+Inputs!$B$34/100)),(1/Q1769))+MIN((Skills!Y16*(1+Inputs!$B$34/100)),MAX(0,Inputs!$B$44-((R1769-1)*(1/Q1769)))))/Inputs!$B$44),IF(Inputs!$B$39="pvp",MIN((Skills!Y16*(1+Inputs!$B$34/100)),15)/15,MIN(1,(Skills!Y16*(1+Inputs!$B$34/100))/(1/Q1769)))))/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1789*I1757)</f>
        <v/>
      </c>
      <c r="L1757">
        <f>K1757*(MIN(Inputs!$B$22+((C1778=TRUE)*(F1778-Calc!F25)),(Inputs!$B$23+((C1783=TRUE)*(F1783-Calc!F30))+IF(ArtifactsInput!$M$15,CHOOSE(ArtifactsInput!$N$15+1,25,30,35,40,45,50)/100*(Inputs!$B$11-Inputs!$B$11),0)))/100+(Inputs!$B$23+((C1783=TRUE)*(F1783-Calc!F30))+IF(ArtifactsInput!$M$15,CHOOSE(ArtifactsInput!$N$15+1,25,30,35,40,45,50)/100*(Inputs!$B$11-Inputs!$B$11),0))/100)/2</f>
        <v/>
      </c>
      <c r="M1757">
        <f>L1757*(1+(Inputs!$B$10+((C1780=TRUE)*(F1780-Calc!F27))+B1794+(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1757">
        <f>L1757*(1-MIN((Inputs!$B$9+((C1779=TRUE)*(F1779-Calc!F26))+B1787+(ArtifactsInput!$M$24-ArtifactsInput!$M$24)*CHOOSE(ArtifactsInput!$N$24+1,10,12,14,16,18,20)+(IF(AND(Inputs!$B$39&lt;&gt;"pvp",Inputs!$B$44=0),1,IF(IF(Inputs!$B$39="pvp",15,Inputs!$B$44)-(B1798)&lt;=0,1,MAX(0,IF(Inputs!$B$39="pvp",15,Inputs!$B$44)-MAX(5,B1798))/(IF(Inputs!$B$39="pvp",15,Inputs!$B$44)-(B1798))))*IF(AND(ArtifactsInput!$M$42,((Inputs!$B$9+((C1779=TRUE)*(F1779-Calc!F26))+B1787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1757*(MIN((Inputs!$B$9+((C1779=TRUE)*(F1779-Calc!F26))+B1787+(ArtifactsInput!$M$24-ArtifactsInput!$M$24)*CHOOSE(ArtifactsInput!$N$24+1,10,12,14,16,18,20)+(IF(AND(Inputs!$B$39&lt;&gt;"pvp",Inputs!$B$44=0),1,IF(IF(Inputs!$B$39="pvp",15,Inputs!$B$44)-(B1798)&lt;=0,1,MAX(0,IF(Inputs!$B$39="pvp",15,Inputs!$B$44)-MAX(5,B1798))/(IF(Inputs!$B$39="pvp",15,Inputs!$B$44)-(B1798))))*IF(AND(ArtifactsInput!$M$42,((Inputs!$B$9+((C1779=TRUE)*(F1779-Calc!F26))+B1787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757">
        <f>(1-Summary!$B$11)*T1757+Summary!$B$11*V1757</f>
        <v/>
      </c>
      <c r="P1757">
        <f>IF(B1799=0,0,O1757/B1799)</f>
        <v/>
      </c>
      <c r="Q1757">
        <f>IFERROR(1/IF(Inputs!$B$39="pvp",15,MAX(0.1,Skills!D4-IF(TRUE=TRUE,Inputs!$B$32,0))),0)</f>
        <v/>
      </c>
      <c r="R1757">
        <f>IF(AND(Inputs!$B$39&lt;&gt;"pvp",Inputs!$B$44&gt;0),IF(MAX(0,Inputs!$B$44-B1798)&lt;=0,0,(INT(MAX(0,Inputs!$B$44-B1798)/IF(Inputs!$B$39="pvp",15,MAX(0.1,Skills!D4-IF(TRUE=TRUE,Inputs!$B$32,0))))+1)),0)</f>
        <v/>
      </c>
      <c r="S1757">
        <f>IFERROR(O1757/N1757,0)</f>
        <v/>
      </c>
      <c r="T1757">
        <f>IF(C1757,(H1757*N1757*IF(AND(Inputs!$B$39&lt;&gt;"pvp",Inputs!$B$44&gt;0),((Skills!G4*((R1757-1)*IF(Skills!H4&gt;0,Skills!I4/Skills!H4,1)+IF(Skills!H4&gt;0,MIN(Skills!I4,MAX(0,MAX(0,Inputs!$B$44-B1798)-((R1757-1)*IF(Inputs!$B$39="pvp",15,MAX(0.1,Skills!D4-IF(TRUE=TRUE,Inputs!$B$32,0))))))/Skills!H4,1)))/Inputs!$B$44),G1757*Q1757))*IF(Inputs!$B$39="pvp",1,1+(Inputs!$B$20+0+Skills!P4+B1788+(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Hunt"),CHOOSE(ArtifactsInput!$N$35+1,15,18,21,24,27,30)*(1-EXP(-(0.2*B1791)*5)),0)+IF(AND(ArtifactsInput!$M$22,Inputs!$B$4&lt;&gt;"Chapter Hunt"),CHOOSE(ArtifactsInput!$N$22+1,10,12,14,16,18,20)*((0*(((0.15*B1791*5))^0/1)+1*(((0.15*B1791*5))^1/1)+2*(((0.15*B1791*5))^2/2)+3*(((0.15*B1791*5))^3/6)+4*(((0.15*B1791*5))^4/24)+5*(((0.15*B1791*5))^5/120))/((((0.15*B1791*5))^0/1)+(((0.15*B1791*5))^1/1)+(((0.15*B1791*5))^2/2)+(((0.15*B1791*5))^3/6)+(((0.15*B1791*5))^4/24)+(((0.15*B1791*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1757*(1-MIN(100,(Inputs!$B$9+((C1779=TRUE)*(F1779-Calc!F26))+B1787+(ArtifactsInput!$M$24-ArtifactsInput!$M$24)*CHOOSE(ArtifactsInput!$N$24+1,10,12,14,16,18,20)+(IF(AND(Inputs!$B$39&lt;&gt;"pvp",Inputs!$B$44=0),1,IF(IF(Inputs!$B$39="pvp",15,Inputs!$B$44)-(B1798)&lt;=0,1,MAX(0,IF(Inputs!$B$39="pvp",15,Inputs!$B$44)-MAX(5,B1798))/(IF(Inputs!$B$39="pvp",15,Inputs!$B$44)-(B1798))))*IF(AND(ArtifactsInput!$M$42,((Inputs!$B$9+((C1779=TRUE)*(F1779-Calc!F26))+B1787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1757*(MIN(100,(Inputs!$B$9+((C1779=TRUE)*(F1779-Calc!F26))+B1787+(ArtifactsInput!$M$24-ArtifactsInput!$M$24)*CHOOSE(ArtifactsInput!$N$24+1,10,12,14,16,18,20)+(IF(AND(Inputs!$B$39&lt;&gt;"pvp",Inputs!$B$44=0),1,IF(IF(Inputs!$B$39="pvp",15,Inputs!$B$44)-(B1798)&lt;=0,1,MAX(0,IF(Inputs!$B$39="pvp",15,Inputs!$B$44)-MAX(5,B1798))/(IF(Inputs!$B$39="pvp",15,Inputs!$B$44)-(B1798))))*IF(AND(ArtifactsInput!$M$42,((Inputs!$B$9+((C1779=TRUE)*(F1779-Calc!F26))+B1787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1757*(1-MIN(100,(Inputs!$B$9+((C1779=TRUE)*(F1779-Calc!F26))+B1787+(ArtifactsInput!$M$24-ArtifactsInput!$M$24)*CHOOSE(ArtifactsInput!$N$24+1,10,12,14,16,18,20)+(IF(AND(Inputs!$B$39&lt;&gt;"pvp",Inputs!$B$44=0),1,IF(IF(Inputs!$B$39="pvp",15,Inputs!$B$44)-(B1798)&lt;=0,1,MAX(0,IF(Inputs!$B$39="pvp",15,Inputs!$B$44)-MAX(5,B1798))/(IF(Inputs!$B$39="pvp",15,Inputs!$B$44)-(B1798))))*IF(AND(ArtifactsInput!$M$42,((Inputs!$B$9+((C1779=TRUE)*(F1779-Calc!F26))+B1787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1757*(MIN(100,(Inputs!$B$9+((C1779=TRUE)*(F1779-Calc!F26))+B1787+(ArtifactsInput!$M$24-ArtifactsInput!$M$24)*CHOOSE(ArtifactsInput!$N$24+1,10,12,14,16,18,20)+(IF(AND(Inputs!$B$39&lt;&gt;"pvp",Inputs!$B$44=0),1,IF(IF(Inputs!$B$39="pvp",15,Inputs!$B$44)-(B1798)&lt;=0,1,MAX(0,IF(Inputs!$B$39="pvp",15,Inputs!$B$44)-MAX(5,B1798))/(IF(Inputs!$B$39="pvp",15,Inputs!$B$44)-(B1798))))*IF(AND(ArtifactsInput!$M$42,((Inputs!$B$9+((C1779=TRUE)*(F1779-Calc!F26))+B1787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1757">
        <f>290*U1756/1000</f>
        <v/>
      </c>
      <c r="V1757">
        <f>IF(C1757,(H1757*N1757*IF(AND(Inputs!$B$39&lt;&gt;"pvp",Inputs!$B$44&gt;0),((Skills!G4*((R1757-1)*IF(Skills!H4&gt;0,Skills!I4/Skills!H4,1)+IF(Skills!H4&gt;0,MIN(Skills!I4,MAX(0,MAX(0,Inputs!$B$44-B1798)-((R1757-1)*IF(Inputs!$B$39="pvp",15,MAX(0.1,Skills!D4-IF(TRUE=TRUE,Inputs!$B$32,0))))))/Skills!H4,1)))/Inputs!$B$44),G1757*Q1757))*IF(Inputs!$B$39="pvp",1,(1+(Inputs!$B$21+Skills!Q4+B1788+(IF(ArtifactsInput!$M$33,CHOOSE(ArtifactsInput!$N$33+1,30,36,42,48,54,60),0))+(IF(AND(ArtifactsInput!$M$35,Inputs!$B$4&lt;&gt;"Chapter Hunt"),CHOOSE(ArtifactsInput!$N$35+1,15,18,21,24,27,30)*(1-EXP(-(0.2*B1791)*5)),0)+IF(AND(ArtifactsInput!$M$22,Inputs!$B$4&lt;&gt;"Chapter Hunt"),CHOOSE(ArtifactsInput!$N$22+1,10,12,14,16,18,20)*((0*(((0.15*B1791*5))^0/1)+1*(((0.15*B1791*5))^1/1)+2*(((0.15*B1791*5))^2/2)+3*(((0.15*B1791*5))^3/6)+4*(((0.15*B1791*5))^4/24)+5*(((0.15*B1791*5))^5/120))/((((0.15*B1791*5))^0/1)+(((0.15*B1791*5))^1/1)+(((0.15*B1791*5))^2/2)+(((0.15*B1791*5))^3/6)+(((0.15*B1791*5))^4/24)+(((0.15*B1791*5))^5/120))),0)))/100)*(MIN(MIN(10,IF(Inputs!$B$3&gt;=75,0.75,0.5)*B1791*(1/Q1757)),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758">
      <c r="A1758">
        <f>Skills!A5</f>
        <v/>
      </c>
      <c r="B1758">
        <f>Skills!B5</f>
        <v/>
      </c>
      <c r="C1758">
        <f>Inputs!$B$3&gt;=75</f>
        <v/>
      </c>
      <c r="D1758">
        <f>IF(Skills!C5=1,60+Inputs!$B$25+Inputs!$B$29,IF(Skills!C5=2,90+Inputs!$B$26+Inputs!$B$29,IF(Skills!C5=3,120+Inputs!$B$27+Inputs!$B$29,MAX(0,(Inputs!$B$3-100)*3)+Inputs!$B$28+Inputs!$B$29)))</f>
        <v/>
      </c>
      <c r="E1758">
        <f>INDEX(FactorTable!$B$2:$Y$301, MATCH(ROUND(MIN(300,MAX(1,D1758)),0), FactorTable!$A$2:$A$301,0), Skills!M5+1)</f>
        <v/>
      </c>
      <c r="F1758">
        <f>IF(Skills!N5=TRUE,(Skills!L5/10)*(E1758/1000),Skills!L5/10)+Skills!O5</f>
        <v/>
      </c>
      <c r="G1758">
        <f>Skills!G5*IF(Skills!H5&gt;0,IF(Inputs!$B$39="pvp",MIN(Skills!I5,15),Skills!I5)/Skills!H5,1)</f>
        <v/>
      </c>
      <c r="H1758">
        <f>1-(1-Skills!J5/100)^Skills!K5</f>
        <v/>
      </c>
      <c r="I1758" t="inlineStr">
        <is>
          <t>1</t>
        </is>
      </c>
      <c r="J1758" t="inlineStr"/>
      <c r="K1758" t="inlineStr"/>
      <c r="L1758" t="inlineStr"/>
      <c r="M1758" t="inlineStr"/>
      <c r="N1758" t="inlineStr"/>
      <c r="O1758">
        <f>(1-Summary!$B$11)*T1758+Summary!$B$11*V1758</f>
        <v/>
      </c>
      <c r="P1758">
        <f>IF(B1799=0,0,O1758/B1799)</f>
        <v/>
      </c>
      <c r="Q1758" t="n">
        <v>0</v>
      </c>
      <c r="R1758" t="n">
        <v>0</v>
      </c>
      <c r="S1758">
        <f>IFERROR(O1758/N1758,0)</f>
        <v/>
      </c>
      <c r="T1758" t="n">
        <v>0</v>
      </c>
      <c r="V1758" t="n">
        <v>0</v>
      </c>
    </row>
    <row r="1759">
      <c r="A1759">
        <f>Skills!A6</f>
        <v/>
      </c>
      <c r="B1759">
        <f>Skills!B6</f>
        <v/>
      </c>
      <c r="C1759">
        <f>Inputs!$B$3&gt;=63</f>
        <v/>
      </c>
      <c r="D1759">
        <f>IF(Skills!C6=1,60+Inputs!$B$25+Inputs!$B$29,IF(Skills!C6=2,90+Inputs!$B$26+Inputs!$B$29,IF(Skills!C6=3,120+Inputs!$B$27+Inputs!$B$29,MAX(0,(Inputs!$B$3-100)*3)+Inputs!$B$28+Inputs!$B$29)))</f>
        <v/>
      </c>
      <c r="E1759">
        <f>INDEX(FactorTable!$B$2:$Y$301, MATCH(ROUND(MIN(300,MAX(1,D1759)),0), FactorTable!$A$2:$A$301,0), Skills!M6+1)</f>
        <v/>
      </c>
      <c r="F1759">
        <f>IF(Skills!N6=TRUE,(Skills!L6/10)*(E1759/1000),Skills!L6/10)+Skills!O6</f>
        <v/>
      </c>
      <c r="G1759">
        <f>Skills!G6*IF(Skills!H6&gt;0,IF(Inputs!$B$39="pvp",MIN(Skills!I6,15),Skills!I6)/Skills!H6,1)</f>
        <v/>
      </c>
      <c r="H1759">
        <f>1-(1-Skills!J6/100)^Skills!K6</f>
        <v/>
      </c>
      <c r="I1759" t="inlineStr">
        <is>
          <t>1</t>
        </is>
      </c>
      <c r="J1759">
        <f>((Inputs!$B$6*(1+Inputs!$B$7/100))+(((Inputs!$B$12*(1+Inputs!$B$13/100))-(Inputs!$B$12*(1+Inputs!$B$13/100)))+0.25*(Inputs!$B$14-Inputs!$B$14))*(1+Inputs!$B$7/100))*(F1759/100)</f>
        <v/>
      </c>
      <c r="K1759">
        <f>J1759*(1+((Inputs!$B$12*(1+Inputs!$B$13/100))*0.01+Inputs!$B$14*0.0025)/100)*(1+Inputs!$B$15/100)*(1+Inputs!$B$16/100)*(5000/(6000+Inputs!$B$43*(1-(100*(1-(1-Inputs!$B$19/100)*(1-CHOOSE(ArtifactsInput!$N$40+1,5,6,7,8,9,10)/100)^(ArtifactsInput!$M$40-ArtifactsInput!$M$40)))/100)))*(1+(Inputs!$B$24+((C1784=TRUE)*(F1784-Calc!F31))+((C1771=TRUE)*(F1771-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+2.6666666666666665*IF(C1772=TRUE,F1772,0)/100)*(1+(IF(Skills!A6="CRUEL_STAB",Inputs!$B$17+((C1781=TRUE)*(F1781-Calc!F28))+((IF(AND(Inputs!$B$39&lt;&gt;"pvp",Inputs!$B$44=0),1,IF(IF(Inputs!$B$39="pvp",15,Inputs!$B$44)-(B1798)&lt;=0,1,MAX(0,IF(Inputs!$B$39="pvp",15,Inputs!$B$44)-MAX(5,B1798))/(IF(Inputs!$B$39="pvp",15,Inputs!$B$44)-(B1798))))*(IF(AND(ArtifactsInput!$M$42,((Inputs!$B$9+((C1779=TRUE)*(F1779-Calc!F26))+B1787+(ArtifactsInput!$M$24-ArtifactsInput!$M$24)*CHOOSE(ArtifactsInput!$N$24+1,10,12,14,16,18,20)+IF(ArtifactsInput!$M$10,CHOOSE(ArtifactsInput!$N$10+1,15,18,21,24,27,30)*(IF(Inputs!$B$39="pvp",MIN(15,15)/15,IF(AND(Inputs!$B$39&lt;&gt;"pvp",Inputs!$B$44&gt;0),MIN(15,Inputs!$B$44)/(Inputs!$B$44),0))),0)))&gt;=100),MIN(100,((Inputs!$B$9+((C1779=TRUE)*(F1779-Calc!F26))+B1787+(ArtifactsInput!$M$24-ArtifactsInput!$M$24)*CHOOSE(ArtifactsInput!$N$24+1,10,12,14,16,18,20)+IF(ArtifactsInput!$M$10,CHOOSE(ArtifactsInput!$N$10+1,15,18,21,24,27,30)*(IF(Inputs!$B$39="pvp",MIN(15,15)/15,IF(AND(Inputs!$B$39&lt;&gt;"pvp",Inputs!$B$44&gt;0),MIN(15,Inputs!$B$44)/(Inputs!$B$44),0))),0)))-100),0))*CHOOSE(ArtifactsInput!$N$42+1,0.6,0.72,0.84,0.96,1.08,1.2))),Inputs!$B$18+((C1782=TRUE)*(F1782-Calc!F29))+(IF(AND(Inputs!$B$39&lt;&gt;"pvp",Inputs!$B$44=0),1,IF(IF(Inputs!$B$39="pvp",15,Inputs!$B$44)-(B1798)&lt;=0,1,MAX(0,IF(Inputs!$B$39="pvp",15,Inputs!$B$44)-MAX(5,B1798))/(IF(Inputs!$B$39="pvp",15,Inputs!$B$44)-(B1798))))*IF(AND(ArtifactsInput!$M$42,((Inputs!$B$9+((C1779=TRUE)*(F1779-Calc!F26))+B1787+(ArtifactsInput!$M$24-ArtifactsInput!$M$24)*CHOOSE(ArtifactsInput!$N$24+1,10,12,14,16,18,20)+IF(ArtifactsInput!$M$10,CHOOSE(ArtifactsInput!$N$10+1,15,18,21,24,27,30)*(IF(Inputs!$B$39="pvp",MIN(15,15)/15,IF(AND(Inputs!$B$39&lt;&gt;"pvp",Inputs!$B$44&gt;0),MIN(15,Inputs!$B$44)/(Inputs!$B$44),0))),0)))&gt;=100),CHOOSE(ArtifactsInput!$N$42+1,40,48,56,64,72,80),0))))/100)*(((1+(((C1775=TRUE)*F1775*IF(AND(Inputs!$B$39&lt;&gt;"pvp",Inputs!$B$44&gt;0),(((R1775-1)*MIN((Skills!Y22*(1+Inputs!$B$34/100)),(1/Q1775))+MIN((Skills!Y22*(1+Inputs!$B$34/100)),MAX(0,Inputs!$B$44-((R1775-1)*(1/Q1775)))))/Inputs!$B$44),IF(Inputs!$B$39="pvp",MIN((Skills!Y22*(1+Inputs!$B$34/100)),15)/15,MIN(1,(Skills!Y22*(1+Inputs!$B$34/100))/(1/Q1775)))))+((C1756=TRUE)*F1756*3)+((C1758=TRUE)*F1758*(1-EXP(-0.75*B1791*5)))+((C1777=TRUE)*(F1777-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1764=TRUE)*F1764*IF(AND(Inputs!$B$39&lt;&gt;"pvp",Inputs!$B$44&gt;0),(((R1764-1)*MIN((Skills!Y11*(1+Inputs!$B$34/100)),(1/Q1764))+MIN((Skills!Y11*(1+Inputs!$B$34/100)),MAX(0,Inputs!$B$44-((R1764-1)*(1/Q1764)))))/Inputs!$B$44),IF(Inputs!$B$39="pvp",MIN((Skills!Y11*(1+Inputs!$B$34/100)),15)/15,MIN(1,(Skills!Y11*(1+Inputs!$B$34/100))/(1/Q1764)))))/100)*(1+((C1769=TRUE)*F1769*IF(AND(Inputs!$B$39&lt;&gt;"pvp",Inputs!$B$44&gt;0),(((R1769-1)*MIN((Skills!Y16*(1+Inputs!$B$34/100)),(1/Q1769))+MIN((Skills!Y16*(1+Inputs!$B$34/100)),MAX(0,Inputs!$B$44-((R1769-1)*(1/Q1769)))))/Inputs!$B$44),IF(Inputs!$B$39="pvp",MIN((Skills!Y16*(1+Inputs!$B$34/100)),15)/15,MIN(1,(Skills!Y16*(1+Inputs!$B$34/100))/(1/Q1769)))))/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1789*I1759)</f>
        <v/>
      </c>
      <c r="L1759">
        <f>K1759*(MIN(Inputs!$B$22+((C1778=TRUE)*(F1778-Calc!F25)),(Inputs!$B$23+((C1783=TRUE)*(F1783-Calc!F30))+IF(ArtifactsInput!$M$15,CHOOSE(ArtifactsInput!$N$15+1,25,30,35,40,45,50)/100*(Inputs!$B$11-Inputs!$B$11),0)))/100+(Inputs!$B$23+((C1783=TRUE)*(F1783-Calc!F30))+IF(ArtifactsInput!$M$15,CHOOSE(ArtifactsInput!$N$15+1,25,30,35,40,45,50)/100*(Inputs!$B$11-Inputs!$B$11),0))/100)/2</f>
        <v/>
      </c>
      <c r="M1759">
        <f>L1759*(1+(Inputs!$B$10+((C1780=TRUE)*(F1780-Calc!F27))+B1794+(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1759">
        <f>L1759*(1-MIN((Inputs!$B$9+((C1779=TRUE)*(F1779-Calc!F26))+B1787+(ArtifactsInput!$M$24-ArtifactsInput!$M$24)*CHOOSE(ArtifactsInput!$N$24+1,10,12,14,16,18,20)+(IF(AND(Inputs!$B$39&lt;&gt;"pvp",Inputs!$B$44=0),1,IF(IF(Inputs!$B$39="pvp",15,Inputs!$B$44)-(B1798)&lt;=0,1,MAX(0,IF(Inputs!$B$39="pvp",15,Inputs!$B$44)-MAX(5,B1798))/(IF(Inputs!$B$39="pvp",15,Inputs!$B$44)-(B1798))))*IF(AND(ArtifactsInput!$M$42,((Inputs!$B$9+((C1779=TRUE)*(F1779-Calc!F26))+B1787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1759*(MIN((Inputs!$B$9+((C1779=TRUE)*(F1779-Calc!F26))+B1787+(ArtifactsInput!$M$24-ArtifactsInput!$M$24)*CHOOSE(ArtifactsInput!$N$24+1,10,12,14,16,18,20)+(IF(AND(Inputs!$B$39&lt;&gt;"pvp",Inputs!$B$44=0),1,IF(IF(Inputs!$B$39="pvp",15,Inputs!$B$44)-(B1798)&lt;=0,1,MAX(0,IF(Inputs!$B$39="pvp",15,Inputs!$B$44)-MAX(5,B1798))/(IF(Inputs!$B$39="pvp",15,Inputs!$B$44)-(B1798))))*IF(AND(ArtifactsInput!$M$42,((Inputs!$B$9+((C1779=TRUE)*(F1779-Calc!F26))+B1787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759">
        <f>(1-Summary!$B$11)*T1759+Summary!$B$11*V1759</f>
        <v/>
      </c>
      <c r="P1759">
        <f>IF(B1799=0,0,O1759/B1799)</f>
        <v/>
      </c>
      <c r="Q1759">
        <f>IFERROR(1/IF(Inputs!$B$39="pvp",15,MAX(0.1,Skills!D6-IF(TRUE=TRUE,Inputs!$B$32,0))),0)</f>
        <v/>
      </c>
      <c r="R1759">
        <f>IF(AND(Inputs!$B$39&lt;&gt;"pvp",Inputs!$B$44&gt;0),IF(MAX(0,Inputs!$B$44-B1798)&lt;=0,0,(INT(MAX(0,Inputs!$B$44-B1798)/IF(Inputs!$B$39="pvp",15,MAX(0.1,Skills!D6-IF(TRUE=TRUE,Inputs!$B$32,0))))+1)),0)</f>
        <v/>
      </c>
      <c r="S1759">
        <f>IFERROR(O1759/N1759,0)</f>
        <v/>
      </c>
      <c r="T1759">
        <f>IF(C1759,(H1759*N1759*IF(AND(Inputs!$B$39&lt;&gt;"pvp",Inputs!$B$44&gt;0),((Skills!G6*((R1759-1)*IF(Skills!H6&gt;0,Skills!I6/Skills!H6,1)+IF(Skills!H6&gt;0,MIN(Skills!I6,MAX(0,MAX(0,Inputs!$B$44-B1798)-((R1759-1)*IF(Inputs!$B$39="pvp",15,MAX(0.1,Skills!D6-IF(TRUE=TRUE,Inputs!$B$32,0))))))/Skills!H6,1)))/Inputs!$B$44),G1759*Q1759))*IF(Inputs!$B$39="pvp",1,1+(Inputs!$B$20+0+Skills!P6+B1788+(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Hunt"),CHOOSE(ArtifactsInput!$N$35+1,15,18,21,24,27,30)*(1-EXP(-(0.2*B1791)*5)),0)+IF(AND(ArtifactsInput!$M$22,Inputs!$B$4&lt;&gt;"Chapter Hunt"),CHOOSE(ArtifactsInput!$N$22+1,10,12,14,16,18,20)*((0*(((0.15*B1791*5))^0/1)+1*(((0.15*B1791*5))^1/1)+2*(((0.15*B1791*5))^2/2)+3*(((0.15*B1791*5))^3/6)+4*(((0.15*B1791*5))^4/24)+5*(((0.15*B1791*5))^5/120))/((((0.15*B1791*5))^0/1)+(((0.15*B1791*5))^1/1)+(((0.15*B1791*5))^2/2)+(((0.15*B1791*5))^3/6)+(((0.15*B1791*5))^4/24)+(((0.15*B1791*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1759*(1-MIN(100,(Inputs!$B$9+((C1779=TRUE)*(F1779-Calc!F26))+B1787+(ArtifactsInput!$M$24-ArtifactsInput!$M$24)*CHOOSE(ArtifactsInput!$N$24+1,10,12,14,16,18,20)+(IF(AND(Inputs!$B$39&lt;&gt;"pvp",Inputs!$B$44=0),1,IF(IF(Inputs!$B$39="pvp",15,Inputs!$B$44)-(B1798)&lt;=0,1,MAX(0,IF(Inputs!$B$39="pvp",15,Inputs!$B$44)-MAX(5,B1798))/(IF(Inputs!$B$39="pvp",15,Inputs!$B$44)-(B1798))))*IF(AND(ArtifactsInput!$M$42,((Inputs!$B$9+((C1779=TRUE)*(F1779-Calc!F26))+B1787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1759*(MIN(100,(Inputs!$B$9+((C1779=TRUE)*(F1779-Calc!F26))+B1787+(ArtifactsInput!$M$24-ArtifactsInput!$M$24)*CHOOSE(ArtifactsInput!$N$24+1,10,12,14,16,18,20)+(IF(AND(Inputs!$B$39&lt;&gt;"pvp",Inputs!$B$44=0),1,IF(IF(Inputs!$B$39="pvp",15,Inputs!$B$44)-(B1798)&lt;=0,1,MAX(0,IF(Inputs!$B$39="pvp",15,Inputs!$B$44)-MAX(5,B1798))/(IF(Inputs!$B$39="pvp",15,Inputs!$B$44)-(B1798))))*IF(AND(ArtifactsInput!$M$42,((Inputs!$B$9+((C1779=TRUE)*(F1779-Calc!F26))+B1787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1759*(1-MIN(100,(Inputs!$B$9+((C1779=TRUE)*(F1779-Calc!F26))+B1787+(ArtifactsInput!$M$24-ArtifactsInput!$M$24)*CHOOSE(ArtifactsInput!$N$24+1,10,12,14,16,18,20)+(IF(AND(Inputs!$B$39&lt;&gt;"pvp",Inputs!$B$44=0),1,IF(IF(Inputs!$B$39="pvp",15,Inputs!$B$44)-(B1798)&lt;=0,1,MAX(0,IF(Inputs!$B$39="pvp",15,Inputs!$B$44)-MAX(5,B1798))/(IF(Inputs!$B$39="pvp",15,Inputs!$B$44)-(B1798))))*IF(AND(ArtifactsInput!$M$42,((Inputs!$B$9+((C1779=TRUE)*(F1779-Calc!F26))+B1787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1759*(MIN(100,(Inputs!$B$9+((C1779=TRUE)*(F1779-Calc!F26))+B1787+(ArtifactsInput!$M$24-ArtifactsInput!$M$24)*CHOOSE(ArtifactsInput!$N$24+1,10,12,14,16,18,20)+(IF(AND(Inputs!$B$39&lt;&gt;"pvp",Inputs!$B$44=0),1,IF(IF(Inputs!$B$39="pvp",15,Inputs!$B$44)-(B1798)&lt;=0,1,MAX(0,IF(Inputs!$B$39="pvp",15,Inputs!$B$44)-MAX(5,B1798))/(IF(Inputs!$B$39="pvp",15,Inputs!$B$44)-(B1798))))*IF(AND(ArtifactsInput!$M$42,((Inputs!$B$9+((C1779=TRUE)*(F1779-Calc!F26))+B1787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1759">
        <f>IF(C1759,(H1759*N1759*IF(AND(Inputs!$B$39&lt;&gt;"pvp",Inputs!$B$44&gt;0),((Skills!G6*((R1759-1)*IF(Skills!H6&gt;0,Skills!I6/Skills!H6,1)+IF(Skills!H6&gt;0,MIN(Skills!I6,MAX(0,MAX(0,Inputs!$B$44-B1798)-((R1759-1)*IF(Inputs!$B$39="pvp",15,MAX(0.1,Skills!D6-IF(TRUE=TRUE,Inputs!$B$32,0))))))/Skills!H6,1)))/Inputs!$B$44),G1759*Q1759))*IF(Inputs!$B$39="pvp",1,(1+(Inputs!$B$21+Skills!Q6+B1788+(IF(ArtifactsInput!$M$33,CHOOSE(ArtifactsInput!$N$33+1,30,36,42,48,54,60),0))+(IF(AND(ArtifactsInput!$M$35,Inputs!$B$4&lt;&gt;"Chapter Hunt"),CHOOSE(ArtifactsInput!$N$35+1,15,18,21,24,27,30)*(1-EXP(-(0.2*B1791)*5)),0)+IF(AND(ArtifactsInput!$M$22,Inputs!$B$4&lt;&gt;"Chapter Hunt"),CHOOSE(ArtifactsInput!$N$22+1,10,12,14,16,18,20)*((0*(((0.15*B1791*5))^0/1)+1*(((0.15*B1791*5))^1/1)+2*(((0.15*B1791*5))^2/2)+3*(((0.15*B1791*5))^3/6)+4*(((0.15*B1791*5))^4/24)+5*(((0.15*B1791*5))^5/120))/((((0.15*B1791*5))^0/1)+(((0.15*B1791*5))^1/1)+(((0.15*B1791*5))^2/2)+(((0.15*B1791*5))^3/6)+(((0.15*B1791*5))^4/24)+(((0.15*B1791*5))^5/120))),0)))/100)*(MIN(Skills!W6,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760">
      <c r="A1760">
        <f>Skills!A7</f>
        <v/>
      </c>
      <c r="B1760">
        <f>Skills!B7</f>
        <v/>
      </c>
      <c r="C1760">
        <f>Inputs!$B$3&gt;=69</f>
        <v/>
      </c>
      <c r="D1760">
        <f>IF(Skills!C7=1,60+Inputs!$B$25+Inputs!$B$29,IF(Skills!C7=2,90+Inputs!$B$26+Inputs!$B$29,IF(Skills!C7=3,120+Inputs!$B$27+Inputs!$B$29,MAX(0,(Inputs!$B$3-100)*3)+Inputs!$B$28+Inputs!$B$29)))</f>
        <v/>
      </c>
      <c r="E1760">
        <f>INDEX(FactorTable!$B$2:$Y$301, MATCH(ROUND(MIN(300,MAX(1,D1760)),0), FactorTable!$A$2:$A$301,0), Skills!M7+1)</f>
        <v/>
      </c>
      <c r="F1760">
        <f>IF(Skills!N7=TRUE,(Skills!L7/10)*(E1760/1000),Skills!L7/10)+Skills!O7</f>
        <v/>
      </c>
      <c r="G1760">
        <f>Skills!G7*IF(Skills!H7&gt;0,IF(Inputs!$B$39="pvp",MIN(Skills!I7,15),Skills!I7)/Skills!H7,1)</f>
        <v/>
      </c>
      <c r="H1760">
        <f>1-(1-Skills!J7/100)^Skills!K7</f>
        <v/>
      </c>
      <c r="I1760" t="inlineStr">
        <is>
          <t>1</t>
        </is>
      </c>
      <c r="J1760">
        <f>((Inputs!$B$6*(1+Inputs!$B$7/100))+(((Inputs!$B$12*(1+Inputs!$B$13/100))-(Inputs!$B$12*(1+Inputs!$B$13/100)))+0.25*(Inputs!$B$14-Inputs!$B$14))*(1+Inputs!$B$7/100))*(F1760/100)</f>
        <v/>
      </c>
      <c r="K1760">
        <f>J1760*(1+((Inputs!$B$12*(1+Inputs!$B$13/100))*0.01+Inputs!$B$14*0.0025)/100)*(1+Inputs!$B$15/100)*(1+Inputs!$B$16/100)*(5000/(6000+Inputs!$B$43*(1-(100*(1-(1-Inputs!$B$19/100)*(1-CHOOSE(ArtifactsInput!$N$40+1,5,6,7,8,9,10)/100)^(ArtifactsInput!$M$40-ArtifactsInput!$M$40)))/100)))*(1+(Inputs!$B$24+((C1784=TRUE)*(F1784-Calc!F31))+((C1771=TRUE)*(F1771-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1772=TRUE,F1772,0)/100)*(1+(IF(Skills!A7="CRUEL_STAB",Inputs!$B$17+((C1781=TRUE)*(F1781-Calc!F28))+((IF(AND(Inputs!$B$39&lt;&gt;"pvp",Inputs!$B$44=0),1,IF(IF(Inputs!$B$39="pvp",15,Inputs!$B$44)-(B1798)&lt;=0,1,MAX(0,IF(Inputs!$B$39="pvp",15,Inputs!$B$44)-MAX(5,B1798))/(IF(Inputs!$B$39="pvp",15,Inputs!$B$44)-(B1798))))*(IF(AND(ArtifactsInput!$M$42,((Inputs!$B$9+((C1779=TRUE)*(F1779-Calc!F26))+B1787+(ArtifactsInput!$M$24-ArtifactsInput!$M$24)*CHOOSE(ArtifactsInput!$N$24+1,10,12,14,16,18,20)+IF(ArtifactsInput!$M$10,CHOOSE(ArtifactsInput!$N$10+1,15,18,21,24,27,30)*(IF(Inputs!$B$39="pvp",MIN(15,15)/15,IF(AND(Inputs!$B$39&lt;&gt;"pvp",Inputs!$B$44&gt;0),MIN(15,Inputs!$B$44)/(Inputs!$B$44),0))),0)))&gt;=100),MIN(100,((Inputs!$B$9+((C1779=TRUE)*(F1779-Calc!F26))+B1787+(ArtifactsInput!$M$24-ArtifactsInput!$M$24)*CHOOSE(ArtifactsInput!$N$24+1,10,12,14,16,18,20)+IF(ArtifactsInput!$M$10,CHOOSE(ArtifactsInput!$N$10+1,15,18,21,24,27,30)*(IF(Inputs!$B$39="pvp",MIN(15,15)/15,IF(AND(Inputs!$B$39&lt;&gt;"pvp",Inputs!$B$44&gt;0),MIN(15,Inputs!$B$44)/(Inputs!$B$44),0))),0)))-100),0))*CHOOSE(ArtifactsInput!$N$42+1,0.6,0.72,0.84,0.96,1.08,1.2))),Inputs!$B$18+((C1782=TRUE)*(F1782-Calc!F29))+(IF(AND(Inputs!$B$39&lt;&gt;"pvp",Inputs!$B$44=0),1,IF(IF(Inputs!$B$39="pvp",15,Inputs!$B$44)-(B1798)&lt;=0,1,MAX(0,IF(Inputs!$B$39="pvp",15,Inputs!$B$44)-MAX(5,B1798))/(IF(Inputs!$B$39="pvp",15,Inputs!$B$44)-(B1798))))*IF(AND(ArtifactsInput!$M$42,((Inputs!$B$9+((C1779=TRUE)*(F1779-Calc!F26))+B1787+(ArtifactsInput!$M$24-ArtifactsInput!$M$24)*CHOOSE(ArtifactsInput!$N$24+1,10,12,14,16,18,20)+IF(ArtifactsInput!$M$10,CHOOSE(ArtifactsInput!$N$10+1,15,18,21,24,27,30)*(IF(Inputs!$B$39="pvp",MIN(15,15)/15,IF(AND(Inputs!$B$39&lt;&gt;"pvp",Inputs!$B$44&gt;0),MIN(15,Inputs!$B$44)/(Inputs!$B$44),0))),0)))&gt;=100),CHOOSE(ArtifactsInput!$N$42+1,40,48,56,64,72,80),0))))/100)*(((1+(((C1775=TRUE)*F1775*IF(AND(Inputs!$B$39&lt;&gt;"pvp",Inputs!$B$44&gt;0),(((R1775-1)*MIN((Skills!Y22*(1+Inputs!$B$34/100)),(1/Q1775))+MIN((Skills!Y22*(1+Inputs!$B$34/100)),MAX(0,Inputs!$B$44-((R1775-1)*(1/Q1775)))))/Inputs!$B$44),IF(Inputs!$B$39="pvp",MIN((Skills!Y22*(1+Inputs!$B$34/100)),15)/15,MIN(1,(Skills!Y22*(1+Inputs!$B$34/100))/(1/Q1775)))))+((C1756=TRUE)*F1756*3)+((C1758=TRUE)*F1758*(1-EXP(-0.75*B1791*5)))+((C1777=TRUE)*(F1777-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1764=TRUE)*F1764*IF(AND(Inputs!$B$39&lt;&gt;"pvp",Inputs!$B$44&gt;0),(((R1764-1)*MIN((Skills!Y11*(1+Inputs!$B$34/100)),(1/Q1764))+MIN((Skills!Y11*(1+Inputs!$B$34/100)),MAX(0,Inputs!$B$44-((R1764-1)*(1/Q1764)))))/Inputs!$B$44),IF(Inputs!$B$39="pvp",MIN((Skills!Y11*(1+Inputs!$B$34/100)),15)/15,MIN(1,(Skills!Y11*(1+Inputs!$B$34/100))/(1/Q1764)))))/100)*(1+((C1769=TRUE)*F1769*IF(AND(Inputs!$B$39&lt;&gt;"pvp",Inputs!$B$44&gt;0),(((R1769-1)*MIN((Skills!Y16*(1+Inputs!$B$34/100)),(1/Q1769))+MIN((Skills!Y16*(1+Inputs!$B$34/100)),MAX(0,Inputs!$B$44-((R1769-1)*(1/Q1769)))))/Inputs!$B$44),IF(Inputs!$B$39="pvp",MIN((Skills!Y16*(1+Inputs!$B$34/100)),15)/15,MIN(1,(Skills!Y16*(1+Inputs!$B$34/100))/(1/Q1769)))))/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1789*I1760)</f>
        <v/>
      </c>
      <c r="L1760">
        <f>K1760*(MIN(Inputs!$B$22+((C1778=TRUE)*(F1778-Calc!F25)),(Inputs!$B$23+((C1783=TRUE)*(F1783-Calc!F30))+IF(ArtifactsInput!$M$15,CHOOSE(ArtifactsInput!$N$15+1,25,30,35,40,45,50)/100*(Inputs!$B$11-Inputs!$B$11),0)))/100+(Inputs!$B$23+((C1783=TRUE)*(F1783-Calc!F30))+IF(ArtifactsInput!$M$15,CHOOSE(ArtifactsInput!$N$15+1,25,30,35,40,45,50)/100*(Inputs!$B$11-Inputs!$B$11),0))/100)/2</f>
        <v/>
      </c>
      <c r="M1760">
        <f>L1760*(1+(Inputs!$B$10+((C1780=TRUE)*(F1780-Calc!F27))+B1794+(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1760">
        <f>L1760*(1-MIN((Inputs!$B$9+((C1779=TRUE)*(F1779-Calc!F26))+B1787+(ArtifactsInput!$M$24-ArtifactsInput!$M$24)*CHOOSE(ArtifactsInput!$N$24+1,10,12,14,16,18,20)+(IF(AND(Inputs!$B$39&lt;&gt;"pvp",Inputs!$B$44=0),1,IF(IF(Inputs!$B$39="pvp",15,Inputs!$B$44)-(B1798)&lt;=0,1,MAX(0,IF(Inputs!$B$39="pvp",15,Inputs!$B$44)-MAX(5,B1798))/(IF(Inputs!$B$39="pvp",15,Inputs!$B$44)-(B1798))))*IF(AND(ArtifactsInput!$M$42,((Inputs!$B$9+((C1779=TRUE)*(F1779-Calc!F26))+B1787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1760*(MIN((Inputs!$B$9+((C1779=TRUE)*(F1779-Calc!F26))+B1787+(ArtifactsInput!$M$24-ArtifactsInput!$M$24)*CHOOSE(ArtifactsInput!$N$24+1,10,12,14,16,18,20)+(IF(AND(Inputs!$B$39&lt;&gt;"pvp",Inputs!$B$44=0),1,IF(IF(Inputs!$B$39="pvp",15,Inputs!$B$44)-(B1798)&lt;=0,1,MAX(0,IF(Inputs!$B$39="pvp",15,Inputs!$B$44)-MAX(5,B1798))/(IF(Inputs!$B$39="pvp",15,Inputs!$B$44)-(B1798))))*IF(AND(ArtifactsInput!$M$42,((Inputs!$B$9+((C1779=TRUE)*(F1779-Calc!F26))+B1787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760">
        <f>(1-Summary!$B$11)*T1760+Summary!$B$11*V1760</f>
        <v/>
      </c>
      <c r="P1760">
        <f>IF(B1799=0,0,O1760/B1799)</f>
        <v/>
      </c>
      <c r="Q1760">
        <f>IFERROR(1/IF(Inputs!$B$39="pvp",15,MAX(0.1,Skills!D7-IF(TRUE=TRUE,Inputs!$B$32,0))),0)</f>
        <v/>
      </c>
      <c r="R1760">
        <f>IF(AND(Inputs!$B$39&lt;&gt;"pvp",Inputs!$B$44&gt;0),IF(MAX(0,Inputs!$B$44-B1798)&lt;=0,0,(INT(MAX(0,Inputs!$B$44-B1798)/IF(Inputs!$B$39="pvp",15,MAX(0.1,Skills!D7-IF(TRUE=TRUE,Inputs!$B$32,0))))+1)),0)</f>
        <v/>
      </c>
      <c r="S1760">
        <f>IFERROR(O1760/N1760,0)</f>
        <v/>
      </c>
      <c r="T1760">
        <f>IF(C1760,(H1760*N1760*IF(AND(Inputs!$B$39&lt;&gt;"pvp",Inputs!$B$44&gt;0),((Skills!G7*((R1760-1)*IF(Skills!H7&gt;0,Skills!I7/Skills!H7,1)+IF(Skills!H7&gt;0,MIN(Skills!I7,MAX(0,MAX(0,Inputs!$B$44-B1798)-((R1760-1)*IF(Inputs!$B$39="pvp",15,MAX(0.1,Skills!D7-IF(TRUE=TRUE,Inputs!$B$32,0))))))/Skills!H7,1)))/Inputs!$B$44),G1760*Q1760))*IF(Inputs!$B$39="pvp",1,1+(Inputs!$B$20+0+Skills!P7+B1788+(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Hunt"),CHOOSE(ArtifactsInput!$N$35+1,15,18,21,24,27,30)*(1-EXP(-(0.2*B1791)*5)),0)+IF(AND(ArtifactsInput!$M$22,Inputs!$B$4&lt;&gt;"Chapter Hunt"),CHOOSE(ArtifactsInput!$N$22+1,10,12,14,16,18,20)*((0*(((0.15*B1791*5))^0/1)+1*(((0.15*B1791*5))^1/1)+2*(((0.15*B1791*5))^2/2)+3*(((0.15*B1791*5))^3/6)+4*(((0.15*B1791*5))^4/24)+5*(((0.15*B1791*5))^5/120))/((((0.15*B1791*5))^0/1)+(((0.15*B1791*5))^1/1)+(((0.15*B1791*5))^2/2)+(((0.15*B1791*5))^3/6)+(((0.15*B1791*5))^4/24)+(((0.15*B1791*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1760*(1-MIN(100,(Inputs!$B$9+((C1779=TRUE)*(F1779-Calc!F26))+B1787+(ArtifactsInput!$M$24-ArtifactsInput!$M$24)*CHOOSE(ArtifactsInput!$N$24+1,10,12,14,16,18,20)+(IF(AND(Inputs!$B$39&lt;&gt;"pvp",Inputs!$B$44=0),1,IF(IF(Inputs!$B$39="pvp",15,Inputs!$B$44)-(B1798)&lt;=0,1,MAX(0,IF(Inputs!$B$39="pvp",15,Inputs!$B$44)-MAX(5,B1798))/(IF(Inputs!$B$39="pvp",15,Inputs!$B$44)-(B1798))))*IF(AND(ArtifactsInput!$M$42,((Inputs!$B$9+((C1779=TRUE)*(F1779-Calc!F26))+B1787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1760*(MIN(100,(Inputs!$B$9+((C1779=TRUE)*(F1779-Calc!F26))+B1787+(ArtifactsInput!$M$24-ArtifactsInput!$M$24)*CHOOSE(ArtifactsInput!$N$24+1,10,12,14,16,18,20)+(IF(AND(Inputs!$B$39&lt;&gt;"pvp",Inputs!$B$44=0),1,IF(IF(Inputs!$B$39="pvp",15,Inputs!$B$44)-(B1798)&lt;=0,1,MAX(0,IF(Inputs!$B$39="pvp",15,Inputs!$B$44)-MAX(5,B1798))/(IF(Inputs!$B$39="pvp",15,Inputs!$B$44)-(B1798))))*IF(AND(ArtifactsInput!$M$42,((Inputs!$B$9+((C1779=TRUE)*(F1779-Calc!F26))+B1787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1760*(1-MIN(100,(Inputs!$B$9+((C1779=TRUE)*(F1779-Calc!F26))+B1787+(ArtifactsInput!$M$24-ArtifactsInput!$M$24)*CHOOSE(ArtifactsInput!$N$24+1,10,12,14,16,18,20)+(IF(AND(Inputs!$B$39&lt;&gt;"pvp",Inputs!$B$44=0),1,IF(IF(Inputs!$B$39="pvp",15,Inputs!$B$44)-(B1798)&lt;=0,1,MAX(0,IF(Inputs!$B$39="pvp",15,Inputs!$B$44)-MAX(5,B1798))/(IF(Inputs!$B$39="pvp",15,Inputs!$B$44)-(B1798))))*IF(AND(ArtifactsInput!$M$42,((Inputs!$B$9+((C1779=TRUE)*(F1779-Calc!F26))+B1787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1760*(MIN(100,(Inputs!$B$9+((C1779=TRUE)*(F1779-Calc!F26))+B1787+(ArtifactsInput!$M$24-ArtifactsInput!$M$24)*CHOOSE(ArtifactsInput!$N$24+1,10,12,14,16,18,20)+(IF(AND(Inputs!$B$39&lt;&gt;"pvp",Inputs!$B$44=0),1,IF(IF(Inputs!$B$39="pvp",15,Inputs!$B$44)-(B1798)&lt;=0,1,MAX(0,IF(Inputs!$B$39="pvp",15,Inputs!$B$44)-MAX(5,B1798))/(IF(Inputs!$B$39="pvp",15,Inputs!$B$44)-(B1798))))*IF(AND(ArtifactsInput!$M$42,((Inputs!$B$9+((C1779=TRUE)*(F1779-Calc!F26))+B1787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1760">
        <f>IF(C1760,(H1760*N1760*IF(AND(Inputs!$B$39&lt;&gt;"pvp",Inputs!$B$44&gt;0),((Skills!G7*((R1760-1)*IF(Skills!H7&gt;0,Skills!I7/Skills!H7,1)+IF(Skills!H7&gt;0,MIN(Skills!I7,MAX(0,MAX(0,Inputs!$B$44-B1798)-((R1760-1)*IF(Inputs!$B$39="pvp",15,MAX(0.1,Skills!D7-IF(TRUE=TRUE,Inputs!$B$32,0))))))/Skills!H7,1)))/Inputs!$B$44),G1760*Q1760))*IF(Inputs!$B$39="pvp",1,(1+(Inputs!$B$21+Skills!Q7+B1788+(IF(ArtifactsInput!$M$33,CHOOSE(ArtifactsInput!$N$33+1,30,36,42,48,54,60),0))+(IF(AND(ArtifactsInput!$M$35,Inputs!$B$4&lt;&gt;"Chapter Hunt"),CHOOSE(ArtifactsInput!$N$35+1,15,18,21,24,27,30)*(1-EXP(-(0.2*B1791)*5)),0)+IF(AND(ArtifactsInput!$M$22,Inputs!$B$4&lt;&gt;"Chapter Hunt"),CHOOSE(ArtifactsInput!$N$22+1,10,12,14,16,18,20)*((0*(((0.15*B1791*5))^0/1)+1*(((0.15*B1791*5))^1/1)+2*(((0.15*B1791*5))^2/2)+3*(((0.15*B1791*5))^3/6)+4*(((0.15*B1791*5))^4/24)+5*(((0.15*B1791*5))^5/120))/((((0.15*B1791*5))^0/1)+(((0.15*B1791*5))^1/1)+(((0.15*B1791*5))^2/2)+(((0.15*B1791*5))^3/6)+(((0.15*B1791*5))^4/24)+(((0.15*B1791*5))^5/120))),0)))/100)*(MIN(Skills!W7,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761">
      <c r="A1761">
        <f>Skills!A8</f>
        <v/>
      </c>
      <c r="B1761">
        <f>Skills!B8</f>
        <v/>
      </c>
      <c r="C1761">
        <f>Inputs!$B$3&gt;=60</f>
        <v/>
      </c>
      <c r="D1761">
        <f>IF(Skills!C8=1,60+Inputs!$B$25+Inputs!$B$29,IF(Skills!C8=2,90+Inputs!$B$26+Inputs!$B$29,IF(Skills!C8=3,120+Inputs!$B$27+Inputs!$B$29,MAX(0,(Inputs!$B$3-100)*3)+Inputs!$B$28+Inputs!$B$29)))</f>
        <v/>
      </c>
      <c r="E1761">
        <f>INDEX(FactorTable!$B$2:$Y$301, MATCH(ROUND(MIN(300,MAX(1,D1761)),0), FactorTable!$A$2:$A$301,0), Skills!M8+1)</f>
        <v/>
      </c>
      <c r="F1761">
        <f>IF(Skills!N8=TRUE,(Skills!L8/10)*(E1761/1000),Skills!L8/10)+Skills!O8</f>
        <v/>
      </c>
      <c r="G1761">
        <f>Skills!G8*IF(Skills!H8&gt;0,IF(Inputs!$B$39="pvp",MIN(Skills!I8,15),Skills!I8)/Skills!H8,1)</f>
        <v/>
      </c>
      <c r="H1761">
        <f>1-(1-Skills!J8/100)^Skills!K8</f>
        <v/>
      </c>
      <c r="I1761" t="inlineStr">
        <is>
          <t>1</t>
        </is>
      </c>
      <c r="J1761" t="inlineStr"/>
      <c r="K1761" t="inlineStr"/>
      <c r="L1761" t="inlineStr"/>
      <c r="M1761" t="inlineStr"/>
      <c r="N1761" t="inlineStr"/>
      <c r="O1761">
        <f>(1-Summary!$B$11)*T1761+Summary!$B$11*V1761</f>
        <v/>
      </c>
      <c r="P1761">
        <f>IF(B1799=0,0,O1761/B1799)</f>
        <v/>
      </c>
      <c r="Q1761" t="n">
        <v>0</v>
      </c>
      <c r="R1761" t="n">
        <v>0</v>
      </c>
      <c r="S1761">
        <f>IFERROR(O1761/N1761,0)</f>
        <v/>
      </c>
      <c r="T1761" t="n">
        <v>0</v>
      </c>
      <c r="V1761" t="n">
        <v>0</v>
      </c>
    </row>
    <row r="1762">
      <c r="A1762">
        <f>Skills!A9</f>
        <v/>
      </c>
      <c r="B1762">
        <f>Skills!B9</f>
        <v/>
      </c>
      <c r="C1762">
        <f>Inputs!$B$3&gt;=72</f>
        <v/>
      </c>
      <c r="D1762">
        <f>IF(Skills!C9=1,60+Inputs!$B$25+Inputs!$B$29,IF(Skills!C9=2,90+Inputs!$B$26+Inputs!$B$29,IF(Skills!C9=3,120+Inputs!$B$27+Inputs!$B$29,MAX(0,(Inputs!$B$3-100)*3)+Inputs!$B$28+Inputs!$B$29)))</f>
        <v/>
      </c>
      <c r="E1762">
        <f>INDEX(FactorTable!$B$2:$Y$301, MATCH(ROUND(MIN(300,MAX(1,D1762)),0), FactorTable!$A$2:$A$301,0), Skills!M9+1)</f>
        <v/>
      </c>
      <c r="F1762">
        <f>IF(Skills!N9=TRUE,(Skills!L9/10)*(E1762/1000),Skills!L9/10)+Skills!O9</f>
        <v/>
      </c>
      <c r="G1762">
        <f>Skills!G9*IF(Skills!H9&gt;0,IF(Inputs!$B$39="pvp",MIN(Skills!I9,15),Skills!I9)/Skills!H9,1)</f>
        <v/>
      </c>
      <c r="H1762">
        <f>1-(1-Skills!J9/100)^Skills!K9</f>
        <v/>
      </c>
      <c r="I1762" t="inlineStr">
        <is>
          <t>1</t>
        </is>
      </c>
      <c r="J1762">
        <f>((Inputs!$B$6*(1+Inputs!$B$7/100))+(((Inputs!$B$12*(1+Inputs!$B$13/100))-(Inputs!$B$12*(1+Inputs!$B$13/100)))+0.25*(Inputs!$B$14-Inputs!$B$14))*(1+Inputs!$B$7/100))*(F1762/100)</f>
        <v/>
      </c>
      <c r="K1762">
        <f>J1762*(1+((Inputs!$B$12*(1+Inputs!$B$13/100))*0.01+Inputs!$B$14*0.0025)/100)*(1+Inputs!$B$15/100)*(1+Inputs!$B$16/100)*(5000/(6000+Inputs!$B$43*(1-(100*(1-(1-Inputs!$B$19/100)*(1-CHOOSE(ArtifactsInput!$N$40+1,5,6,7,8,9,10)/100)^(ArtifactsInput!$M$40-ArtifactsInput!$M$40)))/100)))*(1+(Inputs!$B$24+((C1784=TRUE)*(F1784-Calc!F31))+((C1771=TRUE)*(F1771-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+3.3333333333333335*IF(C1772=TRUE,F1772,0)/100)*(1+(IF(Skills!A9="CRUEL_STAB",Inputs!$B$17+((C1781=TRUE)*(F1781-Calc!F28))+((IF(AND(Inputs!$B$39&lt;&gt;"pvp",Inputs!$B$44=0),1,IF(IF(Inputs!$B$39="pvp",15,Inputs!$B$44)-(B1798)&lt;=0,1,MAX(0,IF(Inputs!$B$39="pvp",15,Inputs!$B$44)-MAX(5,B1798))/(IF(Inputs!$B$39="pvp",15,Inputs!$B$44)-(B1798))))*(IF(AND(ArtifactsInput!$M$42,((Inputs!$B$9+((C1779=TRUE)*(F1779-Calc!F26))+B1787+(ArtifactsInput!$M$24-ArtifactsInput!$M$24)*CHOOSE(ArtifactsInput!$N$24+1,10,12,14,16,18,20)+IF(ArtifactsInput!$M$10,CHOOSE(ArtifactsInput!$N$10+1,15,18,21,24,27,30)*(IF(Inputs!$B$39="pvp",MIN(15,15)/15,IF(AND(Inputs!$B$39&lt;&gt;"pvp",Inputs!$B$44&gt;0),MIN(15,Inputs!$B$44)/(Inputs!$B$44),0))),0)))&gt;=100),MIN(100,((Inputs!$B$9+((C1779=TRUE)*(F1779-Calc!F26))+B1787+(ArtifactsInput!$M$24-ArtifactsInput!$M$24)*CHOOSE(ArtifactsInput!$N$24+1,10,12,14,16,18,20)+IF(ArtifactsInput!$M$10,CHOOSE(ArtifactsInput!$N$10+1,15,18,21,24,27,30)*(IF(Inputs!$B$39="pvp",MIN(15,15)/15,IF(AND(Inputs!$B$39&lt;&gt;"pvp",Inputs!$B$44&gt;0),MIN(15,Inputs!$B$44)/(Inputs!$B$44),0))),0)))-100),0))*CHOOSE(ArtifactsInput!$N$42+1,0.6,0.72,0.84,0.96,1.08,1.2))),Inputs!$B$18+((C1782=TRUE)*(F1782-Calc!F29))+(IF(AND(Inputs!$B$39&lt;&gt;"pvp",Inputs!$B$44=0),1,IF(IF(Inputs!$B$39="pvp",15,Inputs!$B$44)-(B1798)&lt;=0,1,MAX(0,IF(Inputs!$B$39="pvp",15,Inputs!$B$44)-MAX(5,B1798))/(IF(Inputs!$B$39="pvp",15,Inputs!$B$44)-(B1798))))*IF(AND(ArtifactsInput!$M$42,((Inputs!$B$9+((C1779=TRUE)*(F1779-Calc!F26))+B1787+(ArtifactsInput!$M$24-ArtifactsInput!$M$24)*CHOOSE(ArtifactsInput!$N$24+1,10,12,14,16,18,20)+IF(ArtifactsInput!$M$10,CHOOSE(ArtifactsInput!$N$10+1,15,18,21,24,27,30)*(IF(Inputs!$B$39="pvp",MIN(15,15)/15,IF(AND(Inputs!$B$39&lt;&gt;"pvp",Inputs!$B$44&gt;0),MIN(15,Inputs!$B$44)/(Inputs!$B$44),0))),0)))&gt;=100),CHOOSE(ArtifactsInput!$N$42+1,40,48,56,64,72,80),0))))/100)*(((1+(((C1775=TRUE)*F1775*IF(AND(Inputs!$B$39&lt;&gt;"pvp",Inputs!$B$44&gt;0),(((R1775-1)*MIN((Skills!Y22*(1+Inputs!$B$34/100)),(1/Q1775))+MIN((Skills!Y22*(1+Inputs!$B$34/100)),MAX(0,Inputs!$B$44-((R1775-1)*(1/Q1775)))))/Inputs!$B$44),IF(Inputs!$B$39="pvp",MIN((Skills!Y22*(1+Inputs!$B$34/100)),15)/15,MIN(1,(Skills!Y22*(1+Inputs!$B$34/100))/(1/Q1775)))))+((C1756=TRUE)*F1756*3)+((C1758=TRUE)*F1758*(1-EXP(-0.75*B1791*5)))+((C1777=TRUE)*(F1777-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1764=TRUE)*F1764*IF(AND(Inputs!$B$39&lt;&gt;"pvp",Inputs!$B$44&gt;0),(((R1764-1)*MIN((Skills!Y11*(1+Inputs!$B$34/100)),(1/Q1764))+MIN((Skills!Y11*(1+Inputs!$B$34/100)),MAX(0,Inputs!$B$44-((R1764-1)*(1/Q1764)))))/Inputs!$B$44),IF(Inputs!$B$39="pvp",MIN((Skills!Y11*(1+Inputs!$B$34/100)),15)/15,MIN(1,(Skills!Y11*(1+Inputs!$B$34/100))/(1/Q1764)))))/100)*(1+((C1769=TRUE)*F1769*IF(AND(Inputs!$B$39&lt;&gt;"pvp",Inputs!$B$44&gt;0),(((R1769-1)*MIN((Skills!Y16*(1+Inputs!$B$34/100)),(1/Q1769))+MIN((Skills!Y16*(1+Inputs!$B$34/100)),MAX(0,Inputs!$B$44-((R1769-1)*(1/Q1769)))))/Inputs!$B$44),IF(Inputs!$B$39="pvp",MIN((Skills!Y16*(1+Inputs!$B$34/100)),15)/15,MIN(1,(Skills!Y16*(1+Inputs!$B$34/100))/(1/Q1769)))))/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1789*I1762)</f>
        <v/>
      </c>
      <c r="L1762">
        <f>K1762*(MIN(Inputs!$B$22+((C1778=TRUE)*(F1778-Calc!F25)),(Inputs!$B$23+((C1783=TRUE)*(F1783-Calc!F30))+IF(ArtifactsInput!$M$15,CHOOSE(ArtifactsInput!$N$15+1,25,30,35,40,45,50)/100*(Inputs!$B$11-Inputs!$B$11),0)))/100+(Inputs!$B$23+((C1783=TRUE)*(F1783-Calc!F30))+IF(ArtifactsInput!$M$15,CHOOSE(ArtifactsInput!$N$15+1,25,30,35,40,45,50)/100*(Inputs!$B$11-Inputs!$B$11),0))/100)/2</f>
        <v/>
      </c>
      <c r="M1762">
        <f>L1762*(1+(Inputs!$B$10+((C1780=TRUE)*(F1780-Calc!F27))+B1794+(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1762">
        <f>L1762*(1-MIN((Inputs!$B$9+((C1779=TRUE)*(F1779-Calc!F26))+B1787+(ArtifactsInput!$M$24-ArtifactsInput!$M$24)*CHOOSE(ArtifactsInput!$N$24+1,10,12,14,16,18,20)+(IF(AND(Inputs!$B$39&lt;&gt;"pvp",Inputs!$B$44=0),1,IF(IF(Inputs!$B$39="pvp",15,Inputs!$B$44)-(B1798)&lt;=0,1,MAX(0,IF(Inputs!$B$39="pvp",15,Inputs!$B$44)-MAX(5,B1798))/(IF(Inputs!$B$39="pvp",15,Inputs!$B$44)-(B1798))))*IF(AND(ArtifactsInput!$M$42,((Inputs!$B$9+((C1779=TRUE)*(F1779-Calc!F26))+B1787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1762*(MIN((Inputs!$B$9+((C1779=TRUE)*(F1779-Calc!F26))+B1787+(ArtifactsInput!$M$24-ArtifactsInput!$M$24)*CHOOSE(ArtifactsInput!$N$24+1,10,12,14,16,18,20)+(IF(AND(Inputs!$B$39&lt;&gt;"pvp",Inputs!$B$44=0),1,IF(IF(Inputs!$B$39="pvp",15,Inputs!$B$44)-(B1798)&lt;=0,1,MAX(0,IF(Inputs!$B$39="pvp",15,Inputs!$B$44)-MAX(5,B1798))/(IF(Inputs!$B$39="pvp",15,Inputs!$B$44)-(B1798))))*IF(AND(ArtifactsInput!$M$42,((Inputs!$B$9+((C1779=TRUE)*(F1779-Calc!F26))+B1787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762">
        <f>(1-Summary!$B$11)*T1762+Summary!$B$11*V1762</f>
        <v/>
      </c>
      <c r="P1762">
        <f>IF(B1799=0,0,O1762/B1799)</f>
        <v/>
      </c>
      <c r="Q1762">
        <f>IFERROR(1/IF(Inputs!$B$39="pvp",15,MAX(0.1,Skills!D9-IF(FALSE=TRUE,Inputs!$B$32,0))),0)</f>
        <v/>
      </c>
      <c r="R1762">
        <f>IF(AND(Inputs!$B$39&lt;&gt;"pvp",Inputs!$B$44&gt;0),IF(MAX(0,Inputs!$B$44-B1798)&lt;=0,0,(INT(MAX(0,Inputs!$B$44-B1798)/IF(Inputs!$B$39="pvp",15,MAX(0.1,Skills!D9-IF(FALSE=TRUE,Inputs!$B$32,0))))+1)),0)</f>
        <v/>
      </c>
      <c r="S1762">
        <f>IFERROR(O1762/N1762,0)</f>
        <v/>
      </c>
      <c r="T1762">
        <f>IF(C1762,(H1762*N1762*IF(AND(Inputs!$B$39&lt;&gt;"pvp",Inputs!$B$44&gt;0),((Skills!G9*((R1762-1)*IF(Skills!H9&gt;0,Skills!I9/Skills!H9,1)+IF(Skills!H9&gt;0,MIN(Skills!I9,MAX(0,MAX(0,Inputs!$B$44-B1798)-((R1762-1)*IF(Inputs!$B$39="pvp",15,MAX(0.1,Skills!D9-IF(FALSE=TRUE,Inputs!$B$32,0))))))/Skills!H9,1)))/Inputs!$B$44),G1762*Q1762))*IF(Inputs!$B$39="pvp",1,1+(Inputs!$B$20+0+Skills!P9+B1788+(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Hunt"),CHOOSE(ArtifactsInput!$N$35+1,15,18,21,24,27,30)*(1-EXP(-(0.2*B1791)*5)),0)+IF(AND(ArtifactsInput!$M$22,Inputs!$B$4&lt;&gt;"Chapter Hunt"),CHOOSE(ArtifactsInput!$N$22+1,10,12,14,16,18,20)*((0*(((0.15*B1791*5))^0/1)+1*(((0.15*B1791*5))^1/1)+2*(((0.15*B1791*5))^2/2)+3*(((0.15*B1791*5))^3/6)+4*(((0.15*B1791*5))^4/24)+5*(((0.15*B1791*5))^5/120))/((((0.15*B1791*5))^0/1)+(((0.15*B1791*5))^1/1)+(((0.15*B1791*5))^2/2)+(((0.15*B1791*5))^3/6)+(((0.15*B1791*5))^4/24)+(((0.15*B1791*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1762*(1-MIN(100,(Inputs!$B$9+((C1779=TRUE)*(F1779-Calc!F26))+B1787+(ArtifactsInput!$M$24-ArtifactsInput!$M$24)*CHOOSE(ArtifactsInput!$N$24+1,10,12,14,16,18,20)+(IF(AND(Inputs!$B$39&lt;&gt;"pvp",Inputs!$B$44=0),1,IF(IF(Inputs!$B$39="pvp",15,Inputs!$B$44)-(B1798)&lt;=0,1,MAX(0,IF(Inputs!$B$39="pvp",15,Inputs!$B$44)-MAX(5,B1798))/(IF(Inputs!$B$39="pvp",15,Inputs!$B$44)-(B1798))))*IF(AND(ArtifactsInput!$M$42,((Inputs!$B$9+((C1779=TRUE)*(F1779-Calc!F26))+B1787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1762*(MIN(100,(Inputs!$B$9+((C1779=TRUE)*(F1779-Calc!F26))+B1787+(ArtifactsInput!$M$24-ArtifactsInput!$M$24)*CHOOSE(ArtifactsInput!$N$24+1,10,12,14,16,18,20)+(IF(AND(Inputs!$B$39&lt;&gt;"pvp",Inputs!$B$44=0),1,IF(IF(Inputs!$B$39="pvp",15,Inputs!$B$44)-(B1798)&lt;=0,1,MAX(0,IF(Inputs!$B$39="pvp",15,Inputs!$B$44)-MAX(5,B1798))/(IF(Inputs!$B$39="pvp",15,Inputs!$B$44)-(B1798))))*IF(AND(ArtifactsInput!$M$42,((Inputs!$B$9+((C1779=TRUE)*(F1779-Calc!F26))+B1787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1762*(1-MIN(100,(Inputs!$B$9+((C1779=TRUE)*(F1779-Calc!F26))+B1787+(ArtifactsInput!$M$24-ArtifactsInput!$M$24)*CHOOSE(ArtifactsInput!$N$24+1,10,12,14,16,18,20)+(IF(AND(Inputs!$B$39&lt;&gt;"pvp",Inputs!$B$44=0),1,IF(IF(Inputs!$B$39="pvp",15,Inputs!$B$44)-(B1798)&lt;=0,1,MAX(0,IF(Inputs!$B$39="pvp",15,Inputs!$B$44)-MAX(5,B1798))/(IF(Inputs!$B$39="pvp",15,Inputs!$B$44)-(B1798))))*IF(AND(ArtifactsInput!$M$42,((Inputs!$B$9+((C1779=TRUE)*(F1779-Calc!F26))+B1787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1762*(MIN(100,(Inputs!$B$9+((C1779=TRUE)*(F1779-Calc!F26))+B1787+(ArtifactsInput!$M$24-ArtifactsInput!$M$24)*CHOOSE(ArtifactsInput!$N$24+1,10,12,14,16,18,20)+(IF(AND(Inputs!$B$39&lt;&gt;"pvp",Inputs!$B$44=0),1,IF(IF(Inputs!$B$39="pvp",15,Inputs!$B$44)-(B1798)&lt;=0,1,MAX(0,IF(Inputs!$B$39="pvp",15,Inputs!$B$44)-MAX(5,B1798))/(IF(Inputs!$B$39="pvp",15,Inputs!$B$44)-(B1798))))*IF(AND(ArtifactsInput!$M$42,((Inputs!$B$9+((C1779=TRUE)*(F1779-Calc!F26))+B1787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1762">
        <f>IF(C1762,(H1762*N1762*IF(AND(Inputs!$B$39&lt;&gt;"pvp",Inputs!$B$44&gt;0),((Skills!G9*((R1762-1)*IF(Skills!H9&gt;0,Skills!I9/Skills!H9,1)+IF(Skills!H9&gt;0,MIN(Skills!I9,MAX(0,MAX(0,Inputs!$B$44-B1798)-((R1762-1)*IF(Inputs!$B$39="pvp",15,MAX(0.1,Skills!D9-IF(FALSE=TRUE,Inputs!$B$32,0))))))/Skills!H9,1)))/Inputs!$B$44),G1762*Q1762))*IF(Inputs!$B$39="pvp",1,(1+(Inputs!$B$21+Skills!Q9+B1788+(IF(ArtifactsInput!$M$33,CHOOSE(ArtifactsInput!$N$33+1,30,36,42,48,54,60),0))+(IF(AND(ArtifactsInput!$M$35,Inputs!$B$4&lt;&gt;"Chapter Hunt"),CHOOSE(ArtifactsInput!$N$35+1,15,18,21,24,27,30)*(1-EXP(-(0.2*B1791)*5)),0)+IF(AND(ArtifactsInput!$M$22,Inputs!$B$4&lt;&gt;"Chapter Hunt"),CHOOSE(ArtifactsInput!$N$22+1,10,12,14,16,18,20)*((0*(((0.15*B1791*5))^0/1)+1*(((0.15*B1791*5))^1/1)+2*(((0.15*B1791*5))^2/2)+3*(((0.15*B1791*5))^3/6)+4*(((0.15*B1791*5))^4/24)+5*(((0.15*B1791*5))^5/120))/((((0.15*B1791*5))^0/1)+(((0.15*B1791*5))^1/1)+(((0.15*B1791*5))^2/2)+(((0.15*B1791*5))^3/6)+(((0.15*B1791*5))^4/24)+(((0.15*B1791*5))^5/120))),0)))/100)*(MIN(Skills!W9,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763">
      <c r="A1763">
        <f>Skills!A10</f>
        <v/>
      </c>
      <c r="B1763">
        <f>Skills!B10</f>
        <v/>
      </c>
      <c r="C1763">
        <f>Inputs!$B$3&gt;=117</f>
        <v/>
      </c>
      <c r="D1763">
        <f>IF(Skills!C10=1,60+Inputs!$B$25+Inputs!$B$29,IF(Skills!C10=2,90+Inputs!$B$26+Inputs!$B$29,IF(Skills!C10=3,120+Inputs!$B$27+Inputs!$B$29,MAX(0,(Inputs!$B$3-100)*3)+Inputs!$B$28+Inputs!$B$29)))</f>
        <v/>
      </c>
      <c r="E1763">
        <f>INDEX(FactorTable!$B$2:$Y$301, MATCH(ROUND(MIN(300,MAX(1,D1763)),0), FactorTable!$A$2:$A$301,0), Skills!M10+1)</f>
        <v/>
      </c>
      <c r="F1763">
        <f>IF(Skills!N10=TRUE,(Skills!L10/10)*(E1763/1000),Skills!L10/10)+Skills!O10</f>
        <v/>
      </c>
      <c r="G1763">
        <f>Skills!G10*IF(Skills!H10&gt;0,IF(Inputs!$B$39="pvp",MIN(Skills!I10,15),Skills!I10)/Skills!H10,1)</f>
        <v/>
      </c>
      <c r="H1763">
        <f>1-(1-Skills!J10/100)^Skills!K10</f>
        <v/>
      </c>
      <c r="I1763" t="inlineStr">
        <is>
          <t>1</t>
        </is>
      </c>
      <c r="J1763">
        <f>((Inputs!$B$6*(1+Inputs!$B$7/100))+(((Inputs!$B$12*(1+Inputs!$B$13/100))-(Inputs!$B$12*(1+Inputs!$B$13/100)))+0.25*(Inputs!$B$14-Inputs!$B$14))*(1+Inputs!$B$7/100))*(F1763/100)</f>
        <v/>
      </c>
      <c r="K1763">
        <f>J1763*(1+((Inputs!$B$12*(1+Inputs!$B$13/100))*0.01+Inputs!$B$14*0.0025)/100)*(1+Inputs!$B$15/100)*(1+Inputs!$B$16/100)*(5000/(6000+Inputs!$B$43*(1-(100*(1-(1-Inputs!$B$19/100)*(1-CHOOSE(ArtifactsInput!$N$40+1,5,6,7,8,9,10)/100)^(ArtifactsInput!$M$40-ArtifactsInput!$M$40)))/100)))*(1+(Inputs!$B$24+((C1784=TRUE)*(F1784-Calc!F31))+((C1771=TRUE)*(F1771-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10="CRUEL_STAB",Inputs!$B$17+((C1781=TRUE)*(F1781-Calc!F28))+((IF(AND(Inputs!$B$39&lt;&gt;"pvp",Inputs!$B$44=0),1,IF(IF(Inputs!$B$39="pvp",15,Inputs!$B$44)-(B1798)&lt;=0,1,MAX(0,IF(Inputs!$B$39="pvp",15,Inputs!$B$44)-MAX(5,B1798))/(IF(Inputs!$B$39="pvp",15,Inputs!$B$44)-(B1798))))*(IF(AND(ArtifactsInput!$M$42,((Inputs!$B$9+((C1779=TRUE)*(F1779-Calc!F26))+B1787+(ArtifactsInput!$M$24-ArtifactsInput!$M$24)*CHOOSE(ArtifactsInput!$N$24+1,10,12,14,16,18,20)+IF(ArtifactsInput!$M$10,CHOOSE(ArtifactsInput!$N$10+1,15,18,21,24,27,30)*(IF(Inputs!$B$39="pvp",MIN(15,15)/15,IF(AND(Inputs!$B$39&lt;&gt;"pvp",Inputs!$B$44&gt;0),MIN(15,Inputs!$B$44)/(Inputs!$B$44),0))),0)))&gt;=100),MIN(100,((Inputs!$B$9+((C1779=TRUE)*(F1779-Calc!F26))+B1787+(ArtifactsInput!$M$24-ArtifactsInput!$M$24)*CHOOSE(ArtifactsInput!$N$24+1,10,12,14,16,18,20)+IF(ArtifactsInput!$M$10,CHOOSE(ArtifactsInput!$N$10+1,15,18,21,24,27,30)*(IF(Inputs!$B$39="pvp",MIN(15,15)/15,IF(AND(Inputs!$B$39&lt;&gt;"pvp",Inputs!$B$44&gt;0),MIN(15,Inputs!$B$44)/(Inputs!$B$44),0))),0)))-100),0))*CHOOSE(ArtifactsInput!$N$42+1,0.6,0.72,0.84,0.96,1.08,1.2))),Inputs!$B$18+((C1782=TRUE)*(F1782-Calc!F29))+(IF(AND(Inputs!$B$39&lt;&gt;"pvp",Inputs!$B$44=0),1,IF(IF(Inputs!$B$39="pvp",15,Inputs!$B$44)-(B1798)&lt;=0,1,MAX(0,IF(Inputs!$B$39="pvp",15,Inputs!$B$44)-MAX(5,B1798))/(IF(Inputs!$B$39="pvp",15,Inputs!$B$44)-(B1798))))*IF(AND(ArtifactsInput!$M$42,((Inputs!$B$9+((C1779=TRUE)*(F1779-Calc!F26))+B1787+(ArtifactsInput!$M$24-ArtifactsInput!$M$24)*CHOOSE(ArtifactsInput!$N$24+1,10,12,14,16,18,20)+IF(ArtifactsInput!$M$10,CHOOSE(ArtifactsInput!$N$10+1,15,18,21,24,27,30)*(IF(Inputs!$B$39="pvp",MIN(15,15)/15,IF(AND(Inputs!$B$39&lt;&gt;"pvp",Inputs!$B$44&gt;0),MIN(15,Inputs!$B$44)/(Inputs!$B$44),0))),0)))&gt;=100),CHOOSE(ArtifactsInput!$N$42+1,40,48,56,64,72,80),0))))/100)*(((1+(((C1775=TRUE)*F1775*IF(AND(Inputs!$B$39&lt;&gt;"pvp",Inputs!$B$44&gt;0),(((R1775-1)*MIN((Skills!Y22*(1+Inputs!$B$34/100)),(1/Q1775))+MIN((Skills!Y22*(1+Inputs!$B$34/100)),MAX(0,Inputs!$B$44-((R1775-1)*(1/Q1775)))))/Inputs!$B$44),IF(Inputs!$B$39="pvp",MIN((Skills!Y22*(1+Inputs!$B$34/100)),15)/15,MIN(1,(Skills!Y22*(1+Inputs!$B$34/100))/(1/Q1775)))))+((C1756=TRUE)*F1756*3)+((C1758=TRUE)*F1758*(1-EXP(-0.75*B1791*5)))+((C1777=TRUE)*(F1777-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1764=TRUE)*F1764*IF(AND(Inputs!$B$39&lt;&gt;"pvp",Inputs!$B$44&gt;0),(((R1764-1)*MIN((Skills!Y11*(1+Inputs!$B$34/100)),(1/Q1764))+MIN((Skills!Y11*(1+Inputs!$B$34/100)),MAX(0,Inputs!$B$44-((R1764-1)*(1/Q1764)))))/Inputs!$B$44),IF(Inputs!$B$39="pvp",MIN((Skills!Y11*(1+Inputs!$B$34/100)),15)/15,MIN(1,(Skills!Y11*(1+Inputs!$B$34/100))/(1/Q1764)))))/100)*(1+((C1769=TRUE)*F1769*IF(AND(Inputs!$B$39&lt;&gt;"pvp",Inputs!$B$44&gt;0),(((R1769-1)*MIN((Skills!Y16*(1+Inputs!$B$34/100)),(1/Q1769))+MIN((Skills!Y16*(1+Inputs!$B$34/100)),MAX(0,Inputs!$B$44-((R1769-1)*(1/Q1769)))))/Inputs!$B$44),IF(Inputs!$B$39="pvp",MIN((Skills!Y16*(1+Inputs!$B$34/100)),15)/15,MIN(1,(Skills!Y16*(1+Inputs!$B$34/100))/(1/Q1769)))))/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1789*I1763)</f>
        <v/>
      </c>
      <c r="L1763">
        <f>K1763*(MIN(Inputs!$B$22+((C1778=TRUE)*(F1778-Calc!F25)),(Inputs!$B$23+((C1783=TRUE)*(F1783-Calc!F30))+IF(ArtifactsInput!$M$15,CHOOSE(ArtifactsInput!$N$15+1,25,30,35,40,45,50)/100*(Inputs!$B$11-Inputs!$B$11),0)))/100+(Inputs!$B$23+((C1783=TRUE)*(F1783-Calc!F30))+IF(ArtifactsInput!$M$15,CHOOSE(ArtifactsInput!$N$15+1,25,30,35,40,45,50)/100*(Inputs!$B$11-Inputs!$B$11),0))/100)/2</f>
        <v/>
      </c>
      <c r="M1763">
        <f>L1763*(1+(Inputs!$B$10+((C1780=TRUE)*(F1780-Calc!F27))+B1794+(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1763">
        <f>L1763*(1-MIN((Inputs!$B$9+((C1779=TRUE)*(F1779-Calc!F26))+B1787+(ArtifactsInput!$M$24-ArtifactsInput!$M$24)*CHOOSE(ArtifactsInput!$N$24+1,10,12,14,16,18,20)+(IF(AND(Inputs!$B$39&lt;&gt;"pvp",Inputs!$B$44=0),1,IF(IF(Inputs!$B$39="pvp",15,Inputs!$B$44)-(B1798)&lt;=0,1,MAX(0,IF(Inputs!$B$39="pvp",15,Inputs!$B$44)-MAX(5,B1798))/(IF(Inputs!$B$39="pvp",15,Inputs!$B$44)-(B1798))))*IF(AND(ArtifactsInput!$M$42,((Inputs!$B$9+((C1779=TRUE)*(F1779-Calc!F26))+B1787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1763*(MIN((Inputs!$B$9+((C1779=TRUE)*(F1779-Calc!F26))+B1787+(ArtifactsInput!$M$24-ArtifactsInput!$M$24)*CHOOSE(ArtifactsInput!$N$24+1,10,12,14,16,18,20)+(IF(AND(Inputs!$B$39&lt;&gt;"pvp",Inputs!$B$44=0),1,IF(IF(Inputs!$B$39="pvp",15,Inputs!$B$44)-(B1798)&lt;=0,1,MAX(0,IF(Inputs!$B$39="pvp",15,Inputs!$B$44)-MAX(5,B1798))/(IF(Inputs!$B$39="pvp",15,Inputs!$B$44)-(B1798))))*IF(AND(ArtifactsInput!$M$42,((Inputs!$B$9+((C1779=TRUE)*(F1779-Calc!F26))+B1787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763">
        <f>(1-Summary!$B$11)*T1763+Summary!$B$11*V1763</f>
        <v/>
      </c>
      <c r="P1763">
        <f>IF(B1799=0,0,O1763/B1799)</f>
        <v/>
      </c>
      <c r="Q1763" t="n">
        <v>0</v>
      </c>
      <c r="R1763" t="n">
        <v>0</v>
      </c>
      <c r="S1763" t="n">
        <v>0</v>
      </c>
      <c r="T1763">
        <f>IF(C1763,(0.2*SUMPRODUCT((Skills!Z2:Z31=TRUE)*(C1755:C1784=TRUE)*S1755:S1784)*N1763)*IF(Inputs!$B$39="pvp",1,1+(Inputs!$B$20+0+Skills!P10+B1788+(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Hunt"),CHOOSE(ArtifactsInput!$N$35+1,15,18,21,24,27,30)*(1-EXP(-(0.2*B1791)*5)),0)+IF(AND(ArtifactsInput!$M$22,Inputs!$B$4&lt;&gt;"Chapter Hunt"),CHOOSE(ArtifactsInput!$N$22+1,10,12,14,16,18,20)*((0*(((0.15*B1791*5))^0/1)+1*(((0.15*B1791*5))^1/1)+2*(((0.15*B1791*5))^2/2)+3*(((0.15*B1791*5))^3/6)+4*(((0.15*B1791*5))^4/24)+5*(((0.15*B1791*5))^5/120))/((((0.15*B1791*5))^0/1)+(((0.15*B1791*5))^1/1)+(((0.15*B1791*5))^2/2)+(((0.15*B1791*5))^3/6)+(((0.15*B1791*5))^4/24)+(((0.15*B1791*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1763*(1-MIN(100,(Inputs!$B$9+((C1779=TRUE)*(F1779-Calc!F26))+B1787+(ArtifactsInput!$M$24-ArtifactsInput!$M$24)*CHOOSE(ArtifactsInput!$N$24+1,10,12,14,16,18,20)+(IF(AND(Inputs!$B$39&lt;&gt;"pvp",Inputs!$B$44=0),1,IF(IF(Inputs!$B$39="pvp",15,Inputs!$B$44)-(B1798)&lt;=0,1,MAX(0,IF(Inputs!$B$39="pvp",15,Inputs!$B$44)-MAX(5,B1798))/(IF(Inputs!$B$39="pvp",15,Inputs!$B$44)-(B1798))))*IF(AND(ArtifactsInput!$M$42,((Inputs!$B$9+((C1779=TRUE)*(F1779-Calc!F26))+B1787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1763*(MIN(100,(Inputs!$B$9+((C1779=TRUE)*(F1779-Calc!F26))+B1787+(ArtifactsInput!$M$24-ArtifactsInput!$M$24)*CHOOSE(ArtifactsInput!$N$24+1,10,12,14,16,18,20)+(IF(AND(Inputs!$B$39&lt;&gt;"pvp",Inputs!$B$44=0),1,IF(IF(Inputs!$B$39="pvp",15,Inputs!$B$44)-(B1798)&lt;=0,1,MAX(0,IF(Inputs!$B$39="pvp",15,Inputs!$B$44)-MAX(5,B1798))/(IF(Inputs!$B$39="pvp",15,Inputs!$B$44)-(B1798))))*IF(AND(ArtifactsInput!$M$42,((Inputs!$B$9+((C1779=TRUE)*(F1779-Calc!F26))+B1787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1763*(1-MIN(100,(Inputs!$B$9+((C1779=TRUE)*(F1779-Calc!F26))+B1787+(ArtifactsInput!$M$24-ArtifactsInput!$M$24)*CHOOSE(ArtifactsInput!$N$24+1,10,12,14,16,18,20)+(IF(AND(Inputs!$B$39&lt;&gt;"pvp",Inputs!$B$44=0),1,IF(IF(Inputs!$B$39="pvp",15,Inputs!$B$44)-(B1798)&lt;=0,1,MAX(0,IF(Inputs!$B$39="pvp",15,Inputs!$B$44)-MAX(5,B1798))/(IF(Inputs!$B$39="pvp",15,Inputs!$B$44)-(B1798))))*IF(AND(ArtifactsInput!$M$42,((Inputs!$B$9+((C1779=TRUE)*(F1779-Calc!F26))+B1787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1763*(MIN(100,(Inputs!$B$9+((C1779=TRUE)*(F1779-Calc!F26))+B1787+(ArtifactsInput!$M$24-ArtifactsInput!$M$24)*CHOOSE(ArtifactsInput!$N$24+1,10,12,14,16,18,20)+(IF(AND(Inputs!$B$39&lt;&gt;"pvp",Inputs!$B$44=0),1,IF(IF(Inputs!$B$39="pvp",15,Inputs!$B$44)-(B1798)&lt;=0,1,MAX(0,IF(Inputs!$B$39="pvp",15,Inputs!$B$44)-MAX(5,B1798))/(IF(Inputs!$B$39="pvp",15,Inputs!$B$44)-(B1798))))*IF(AND(ArtifactsInput!$M$42,((Inputs!$B$9+((C1779=TRUE)*(F1779-Calc!F26))+B1787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1763">
        <f>IF(C1763,(0.2*SUMPRODUCT((Skills!Z2:Z31=TRUE)*(C1755:C1784=TRUE)*S1755:S1784)*N1763)*IF(Inputs!$B$39="pvp",1,(1+(Inputs!$B$21+Skills!Q10+B1788+(IF(ArtifactsInput!$M$33,CHOOSE(ArtifactsInput!$N$33+1,30,36,42,48,54,60),0))+(IF(AND(ArtifactsInput!$M$35,Inputs!$B$4&lt;&gt;"Chapter Hunt"),CHOOSE(ArtifactsInput!$N$35+1,15,18,21,24,27,30)*(1-EXP(-(0.2*B1791)*5)),0)+IF(AND(ArtifactsInput!$M$22,Inputs!$B$4&lt;&gt;"Chapter Hunt"),CHOOSE(ArtifactsInput!$N$22+1,10,12,14,16,18,20)*((0*(((0.15*B1791*5))^0/1)+1*(((0.15*B1791*5))^1/1)+2*(((0.15*B1791*5))^2/2)+3*(((0.15*B1791*5))^3/6)+4*(((0.15*B1791*5))^4/24)+5*(((0.15*B1791*5))^5/120))/((((0.15*B1791*5))^0/1)+(((0.15*B1791*5))^1/1)+(((0.15*B1791*5))^2/2)+(((0.15*B1791*5))^3/6)+(((0.15*B1791*5))^4/24)+(((0.15*B1791*5))^5/120))),0)))/100)*(MIN(Skills!W10,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764">
      <c r="A1764">
        <f>Skills!A11</f>
        <v/>
      </c>
      <c r="B1764">
        <f>Skills!B11</f>
        <v/>
      </c>
      <c r="C1764">
        <f>Inputs!$B$3&gt;=74</f>
        <v/>
      </c>
      <c r="D1764">
        <f>IF(Skills!C11=1,60+Inputs!$B$25+Inputs!$B$29,IF(Skills!C11=2,90+Inputs!$B$26+Inputs!$B$29,IF(Skills!C11=3,120+Inputs!$B$27+Inputs!$B$29,MAX(0,(Inputs!$B$3-100)*3)+Inputs!$B$28+Inputs!$B$29)))</f>
        <v/>
      </c>
      <c r="E1764">
        <f>INDEX(FactorTable!$B$2:$Y$301, MATCH(ROUND(MIN(300,MAX(1,D1764)),0), FactorTable!$A$2:$A$301,0), Skills!M11+1)</f>
        <v/>
      </c>
      <c r="F1764">
        <f>IF(Skills!N11=TRUE,(Skills!L11/10)*(E1764/1000),Skills!L11/10)+Skills!O11</f>
        <v/>
      </c>
      <c r="G1764">
        <f>Skills!G11*IF(Skills!H11&gt;0,IF(Inputs!$B$39="pvp",MIN(Skills!I11,15),Skills!I11)/Skills!H11,1)</f>
        <v/>
      </c>
      <c r="H1764">
        <f>1-(1-Skills!J11/100)^Skills!K11</f>
        <v/>
      </c>
      <c r="I1764" t="inlineStr">
        <is>
          <t>1</t>
        </is>
      </c>
      <c r="J1764" t="inlineStr"/>
      <c r="K1764" t="inlineStr"/>
      <c r="L1764" t="inlineStr"/>
      <c r="M1764" t="inlineStr"/>
      <c r="N1764" t="inlineStr"/>
      <c r="O1764">
        <f>(1-Summary!$B$11)*T1764+Summary!$B$11*V1764</f>
        <v/>
      </c>
      <c r="P1764">
        <f>IF(B1799=0,0,O1764/B1799)</f>
        <v/>
      </c>
      <c r="Q1764">
        <f>IFERROR(1/IF(Inputs!$B$39="pvp",15,MAX(0.1,Skills!D11-IF(TRUE=TRUE,Inputs!$B$32,0))),0)</f>
        <v/>
      </c>
      <c r="R1764">
        <f>IF(AND(Inputs!$B$39&lt;&gt;"pvp",Inputs!$B$44&gt;0),IF(Inputs!$B$44&lt;=0,0,(INT(Inputs!$B$44/IF(Inputs!$B$39="pvp",15,MAX(0.1,Skills!D11-IF(TRUE=TRUE,Inputs!$B$32,0))))+1)),0)</f>
        <v/>
      </c>
      <c r="S1764">
        <f>IFERROR(O1764/N1764,0)</f>
        <v/>
      </c>
      <c r="T1764" t="n">
        <v>0</v>
      </c>
      <c r="V1764" t="n">
        <v>0</v>
      </c>
    </row>
    <row r="1765">
      <c r="A1765">
        <f>Skills!A12</f>
        <v/>
      </c>
      <c r="B1765">
        <f>Skills!B12</f>
        <v/>
      </c>
      <c r="C1765">
        <f>Inputs!$B$3&gt;=103</f>
        <v/>
      </c>
      <c r="D1765">
        <f>IF(Skills!C12=1,60+Inputs!$B$25+Inputs!$B$29,IF(Skills!C12=2,90+Inputs!$B$26+Inputs!$B$29,IF(Skills!C12=3,120+Inputs!$B$27+Inputs!$B$29,MAX(0,(Inputs!$B$3-100)*3)+Inputs!$B$28+Inputs!$B$29)))</f>
        <v/>
      </c>
      <c r="E1765">
        <f>INDEX(FactorTable!$B$2:$Y$301, MATCH(ROUND(MIN(300,MAX(1,D1765)),0), FactorTable!$A$2:$A$301,0), Skills!M12+1)</f>
        <v/>
      </c>
      <c r="F1765">
        <f>(Skills!L12/10)*(E1765/1000)+IF(Inputs!$B$3&gt;=134,50,0)+0.5*(30000/10)*(INDEX(FactorTable!$B$2:$Y$301, MATCH(ROUND(MIN(300,MAX(1,D1765)),0), FactorTable!$A$2:$A$301,0), 13)/1000)*B1797</f>
        <v/>
      </c>
      <c r="G1765">
        <f>Skills!G12*IF(Skills!H12&gt;0,IF(Inputs!$B$39="pvp",MIN(Skills!I12,15),Skills!I12)/Skills!H12,1)</f>
        <v/>
      </c>
      <c r="H1765">
        <f>1-(1-Skills!J12/100)^Skills!K12</f>
        <v/>
      </c>
      <c r="I1765" t="inlineStr">
        <is>
          <t>1</t>
        </is>
      </c>
      <c r="J1765">
        <f>((Inputs!$B$6*(1+Inputs!$B$7/100))+(((Inputs!$B$12*(1+Inputs!$B$13/100))-(Inputs!$B$12*(1+Inputs!$B$13/100)))+0.25*(Inputs!$B$14-Inputs!$B$14))*(1+Inputs!$B$7/100))*(F1765/100)</f>
        <v/>
      </c>
      <c r="K1765">
        <f>J1765*(1+((Inputs!$B$12*(1+Inputs!$B$13/100))*0.01+Inputs!$B$14*0.0025)/100)*(1+Inputs!$B$15/100)*(1+Inputs!$B$16/100)*(5000/(6000+Inputs!$B$43*(1-(100*(1-(1-Inputs!$B$19/100)*(1-CHOOSE(ArtifactsInput!$N$40+1,5,6,7,8,9,10)/100)^(ArtifactsInput!$M$40-ArtifactsInput!$M$40)))/100)))*(1+(Inputs!$B$24+((C1784=TRUE)*(F1784-Calc!F31))+((C1771=TRUE)*(F1771-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12="CRUEL_STAB",Inputs!$B$17+((C1781=TRUE)*(F1781-Calc!F28))+((IF(AND(Inputs!$B$39&lt;&gt;"pvp",Inputs!$B$44=0),1,IF(IF(Inputs!$B$39="pvp",15,Inputs!$B$44)-(B1798)&lt;=0,1,MAX(0,IF(Inputs!$B$39="pvp",15,Inputs!$B$44)-MAX(5,B1798))/(IF(Inputs!$B$39="pvp",15,Inputs!$B$44)-(B1798))))*(IF(AND(ArtifactsInput!$M$42,((Inputs!$B$9+((C1779=TRUE)*(F1779-Calc!F26))+B1787+(ArtifactsInput!$M$24-ArtifactsInput!$M$24)*CHOOSE(ArtifactsInput!$N$24+1,10,12,14,16,18,20)+IF(ArtifactsInput!$M$10,CHOOSE(ArtifactsInput!$N$10+1,15,18,21,24,27,30)*(IF(Inputs!$B$39="pvp",MIN(15,15)/15,IF(AND(Inputs!$B$39&lt;&gt;"pvp",Inputs!$B$44&gt;0),MIN(15,Inputs!$B$44)/(Inputs!$B$44),0))),0)))&gt;=100),MIN(100,((Inputs!$B$9+((C1779=TRUE)*(F1779-Calc!F26))+B1787+(ArtifactsInput!$M$24-ArtifactsInput!$M$24)*CHOOSE(ArtifactsInput!$N$24+1,10,12,14,16,18,20)+IF(ArtifactsInput!$M$10,CHOOSE(ArtifactsInput!$N$10+1,15,18,21,24,27,30)*(IF(Inputs!$B$39="pvp",MIN(15,15)/15,IF(AND(Inputs!$B$39&lt;&gt;"pvp",Inputs!$B$44&gt;0),MIN(15,Inputs!$B$44)/(Inputs!$B$44),0))),0)))-100),0))*CHOOSE(ArtifactsInput!$N$42+1,0.6,0.72,0.84,0.96,1.08,1.2))),Inputs!$B$18+((C1782=TRUE)*(F1782-Calc!F29))+(IF(AND(Inputs!$B$39&lt;&gt;"pvp",Inputs!$B$44=0),1,IF(IF(Inputs!$B$39="pvp",15,Inputs!$B$44)-(B1798)&lt;=0,1,MAX(0,IF(Inputs!$B$39="pvp",15,Inputs!$B$44)-MAX(5,B1798))/(IF(Inputs!$B$39="pvp",15,Inputs!$B$44)-(B1798))))*IF(AND(ArtifactsInput!$M$42,((Inputs!$B$9+((C1779=TRUE)*(F1779-Calc!F26))+B1787+(ArtifactsInput!$M$24-ArtifactsInput!$M$24)*CHOOSE(ArtifactsInput!$N$24+1,10,12,14,16,18,20)+IF(ArtifactsInput!$M$10,CHOOSE(ArtifactsInput!$N$10+1,15,18,21,24,27,30)*(IF(Inputs!$B$39="pvp",MIN(15,15)/15,IF(AND(Inputs!$B$39&lt;&gt;"pvp",Inputs!$B$44&gt;0),MIN(15,Inputs!$B$44)/(Inputs!$B$44),0))),0)))&gt;=100),CHOOSE(ArtifactsInput!$N$42+1,40,48,56,64,72,80),0))))/100)*(((1+(((C1775=TRUE)*F1775*IF(AND(Inputs!$B$39&lt;&gt;"pvp",Inputs!$B$44&gt;0),(((R1775-1)*MIN((Skills!Y22*(1+Inputs!$B$34/100)),(1/Q1775))+MIN((Skills!Y22*(1+Inputs!$B$34/100)),MAX(0,Inputs!$B$44-((R1775-1)*(1/Q1775)))))/Inputs!$B$44),IF(Inputs!$B$39="pvp",MIN((Skills!Y22*(1+Inputs!$B$34/100)),15)/15,MIN(1,(Skills!Y22*(1+Inputs!$B$34/100))/(1/Q1775)))))+((C1756=TRUE)*F1756*3)+((C1758=TRUE)*F1758*(1-EXP(-0.75*B1791*5)))+((C1777=TRUE)*(F1777-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1764=TRUE)*F1764*IF(AND(Inputs!$B$39&lt;&gt;"pvp",Inputs!$B$44&gt;0),(((R1764-1)*MIN((Skills!Y11*(1+Inputs!$B$34/100)),(1/Q1764))+MIN((Skills!Y11*(1+Inputs!$B$34/100)),MAX(0,Inputs!$B$44-((R1764-1)*(1/Q1764)))))/Inputs!$B$44),IF(Inputs!$B$39="pvp",MIN((Skills!Y11*(1+Inputs!$B$34/100)),15)/15,MIN(1,(Skills!Y11*(1+Inputs!$B$34/100))/(1/Q1764)))))/100)*(1+((C1769=TRUE)*F1769*IF(AND(Inputs!$B$39&lt;&gt;"pvp",Inputs!$B$44&gt;0),(((R1769-1)*MIN((Skills!Y16*(1+Inputs!$B$34/100)),(1/Q1769))+MIN((Skills!Y16*(1+Inputs!$B$34/100)),MAX(0,Inputs!$B$44-((R1769-1)*(1/Q1769)))))/Inputs!$B$44),IF(Inputs!$B$39="pvp",MIN((Skills!Y16*(1+Inputs!$B$34/100)),15)/15,MIN(1,(Skills!Y16*(1+Inputs!$B$34/100))/(1/Q1769)))))/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1789*I1765)</f>
        <v/>
      </c>
      <c r="L1765">
        <f>K1765*(MIN(Inputs!$B$22+((C1778=TRUE)*(F1778-Calc!F25)),(Inputs!$B$23+((C1783=TRUE)*(F1783-Calc!F30))+IF(ArtifactsInput!$M$15,CHOOSE(ArtifactsInput!$N$15+1,25,30,35,40,45,50)/100*(Inputs!$B$11-Inputs!$B$11),0)))/100+(Inputs!$B$23+((C1783=TRUE)*(F1783-Calc!F30))+IF(ArtifactsInput!$M$15,CHOOSE(ArtifactsInput!$N$15+1,25,30,35,40,45,50)/100*(Inputs!$B$11-Inputs!$B$11),0))/100)/2</f>
        <v/>
      </c>
      <c r="M1765">
        <f>L1765*(1+(Inputs!$B$10+((C1780=TRUE)*(F1780-Calc!F27))+B1794+(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1765">
        <f>L1765*(1-MIN((Inputs!$B$9+((C1779=TRUE)*(F1779-Calc!F26))+B1787+(ArtifactsInput!$M$24-ArtifactsInput!$M$24)*CHOOSE(ArtifactsInput!$N$24+1,10,12,14,16,18,20)+(IF(AND(Inputs!$B$39&lt;&gt;"pvp",Inputs!$B$44=0),1,IF(IF(Inputs!$B$39="pvp",15,Inputs!$B$44)-(B1798)&lt;=0,1,MAX(0,IF(Inputs!$B$39="pvp",15,Inputs!$B$44)-MAX(5,B1798))/(IF(Inputs!$B$39="pvp",15,Inputs!$B$44)-(B1798))))*IF(AND(ArtifactsInput!$M$42,((Inputs!$B$9+((C1779=TRUE)*(F1779-Calc!F26))+B1787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1765*(MIN((Inputs!$B$9+((C1779=TRUE)*(F1779-Calc!F26))+B1787+(ArtifactsInput!$M$24-ArtifactsInput!$M$24)*CHOOSE(ArtifactsInput!$N$24+1,10,12,14,16,18,20)+(IF(AND(Inputs!$B$39&lt;&gt;"pvp",Inputs!$B$44=0),1,IF(IF(Inputs!$B$39="pvp",15,Inputs!$B$44)-(B1798)&lt;=0,1,MAX(0,IF(Inputs!$B$39="pvp",15,Inputs!$B$44)-MAX(5,B1798))/(IF(Inputs!$B$39="pvp",15,Inputs!$B$44)-(B1798))))*IF(AND(ArtifactsInput!$M$42,((Inputs!$B$9+((C1779=TRUE)*(F1779-Calc!F26))+B1787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765">
        <f>(1-Summary!$B$11)*T1765+Summary!$B$11*V1765</f>
        <v/>
      </c>
      <c r="P1765">
        <f>IF(B1799=0,0,O1765/B1799)</f>
        <v/>
      </c>
      <c r="Q1765">
        <f>IFERROR(1/IF(Inputs!$B$39="pvp",15,MAX(0.1,Skills!D12-IF(TRUE=TRUE,Inputs!$B$32,0))),0)</f>
        <v/>
      </c>
      <c r="R1765">
        <f>IF(AND(Inputs!$B$39&lt;&gt;"pvp",Inputs!$B$44&gt;0),IF(MAX(0,Inputs!$B$44-B1798)&lt;=0,0,(INT(MAX(0,Inputs!$B$44-B1798)/IF(Inputs!$B$39="pvp",15,MAX(0.1,Skills!D12-IF(TRUE=TRUE,Inputs!$B$32,0))))+1)),0)</f>
        <v/>
      </c>
      <c r="S1765">
        <f>IFERROR(O1765/N1765,0)</f>
        <v/>
      </c>
      <c r="T1765">
        <f>IF(C1765,(H1765*N1765*IF(AND(Inputs!$B$39&lt;&gt;"pvp",Inputs!$B$44&gt;0),((Skills!G12*((R1765-1)*IF(Skills!H12&gt;0,Skills!I12/Skills!H12,1)+IF(Skills!H12&gt;0,MIN(Skills!I12,MAX(0,MAX(0,Inputs!$B$44-B1798)-((R1765-1)*IF(Inputs!$B$39="pvp",15,MAX(0.1,Skills!D12-IF(TRUE=TRUE,Inputs!$B$32,0))))))/Skills!H12,1)))/Inputs!$B$44),G1765*Q1765))*IF(Inputs!$B$39="pvp",1,1+(Inputs!$B$20+0+Skills!P12+B1788+(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Hunt"),CHOOSE(ArtifactsInput!$N$35+1,15,18,21,24,27,30)*(1-EXP(-(0.2*B1791)*5)),0)+IF(AND(ArtifactsInput!$M$22,Inputs!$B$4&lt;&gt;"Chapter Hunt"),CHOOSE(ArtifactsInput!$N$22+1,10,12,14,16,18,20)*((0*(((0.15*B1791*5))^0/1)+1*(((0.15*B1791*5))^1/1)+2*(((0.15*B1791*5))^2/2)+3*(((0.15*B1791*5))^3/6)+4*(((0.15*B1791*5))^4/24)+5*(((0.15*B1791*5))^5/120))/((((0.15*B1791*5))^0/1)+(((0.15*B1791*5))^1/1)+(((0.15*B1791*5))^2/2)+(((0.15*B1791*5))^3/6)+(((0.15*B1791*5))^4/24)+(((0.15*B1791*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1765*(1-MIN(100,(Inputs!$B$9+((C1779=TRUE)*(F1779-Calc!F26))+B1787+(ArtifactsInput!$M$24-ArtifactsInput!$M$24)*CHOOSE(ArtifactsInput!$N$24+1,10,12,14,16,18,20)+(IF(AND(Inputs!$B$39&lt;&gt;"pvp",Inputs!$B$44=0),1,IF(IF(Inputs!$B$39="pvp",15,Inputs!$B$44)-(B1798)&lt;=0,1,MAX(0,IF(Inputs!$B$39="pvp",15,Inputs!$B$44)-MAX(5,B1798))/(IF(Inputs!$B$39="pvp",15,Inputs!$B$44)-(B1798))))*IF(AND(ArtifactsInput!$M$42,((Inputs!$B$9+((C1779=TRUE)*(F1779-Calc!F26))+B1787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1765*(MIN(100,(Inputs!$B$9+((C1779=TRUE)*(F1779-Calc!F26))+B1787+(ArtifactsInput!$M$24-ArtifactsInput!$M$24)*CHOOSE(ArtifactsInput!$N$24+1,10,12,14,16,18,20)+(IF(AND(Inputs!$B$39&lt;&gt;"pvp",Inputs!$B$44=0),1,IF(IF(Inputs!$B$39="pvp",15,Inputs!$B$44)-(B1798)&lt;=0,1,MAX(0,IF(Inputs!$B$39="pvp",15,Inputs!$B$44)-MAX(5,B1798))/(IF(Inputs!$B$39="pvp",15,Inputs!$B$44)-(B1798))))*IF(AND(ArtifactsInput!$M$42,((Inputs!$B$9+((C1779=TRUE)*(F1779-Calc!F26))+B1787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1765*(1-MIN(100,(Inputs!$B$9+((C1779=TRUE)*(F1779-Calc!F26))+B1787+(ArtifactsInput!$M$24-ArtifactsInput!$M$24)*CHOOSE(ArtifactsInput!$N$24+1,10,12,14,16,18,20)+(IF(AND(Inputs!$B$39&lt;&gt;"pvp",Inputs!$B$44=0),1,IF(IF(Inputs!$B$39="pvp",15,Inputs!$B$44)-(B1798)&lt;=0,1,MAX(0,IF(Inputs!$B$39="pvp",15,Inputs!$B$44)-MAX(5,B1798))/(IF(Inputs!$B$39="pvp",15,Inputs!$B$44)-(B1798))))*IF(AND(ArtifactsInput!$M$42,((Inputs!$B$9+((C1779=TRUE)*(F1779-Calc!F26))+B1787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1765*(MIN(100,(Inputs!$B$9+((C1779=TRUE)*(F1779-Calc!F26))+B1787+(ArtifactsInput!$M$24-ArtifactsInput!$M$24)*CHOOSE(ArtifactsInput!$N$24+1,10,12,14,16,18,20)+(IF(AND(Inputs!$B$39&lt;&gt;"pvp",Inputs!$B$44=0),1,IF(IF(Inputs!$B$39="pvp",15,Inputs!$B$44)-(B1798)&lt;=0,1,MAX(0,IF(Inputs!$B$39="pvp",15,Inputs!$B$44)-MAX(5,B1798))/(IF(Inputs!$B$39="pvp",15,Inputs!$B$44)-(B1798))))*IF(AND(ArtifactsInput!$M$42,((Inputs!$B$9+((C1779=TRUE)*(F1779-Calc!F26))+B1787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1765">
        <f>IF(C1765,(H1765*N1765*IF(AND(Inputs!$B$39&lt;&gt;"pvp",Inputs!$B$44&gt;0),((Skills!G12*((R1765-1)*IF(Skills!H12&gt;0,Skills!I12/Skills!H12,1)+IF(Skills!H12&gt;0,MIN(Skills!I12,MAX(0,MAX(0,Inputs!$B$44-B1798)-((R1765-1)*IF(Inputs!$B$39="pvp",15,MAX(0.1,Skills!D12-IF(TRUE=TRUE,Inputs!$B$32,0))))))/Skills!H12,1)))/Inputs!$B$44),G1765*Q1765))*IF(Inputs!$B$39="pvp",1,(1+(Inputs!$B$21+Skills!Q12+B1788+(IF(ArtifactsInput!$M$33,CHOOSE(ArtifactsInput!$N$33+1,30,36,42,48,54,60),0))+(IF(AND(ArtifactsInput!$M$35,Inputs!$B$4&lt;&gt;"Chapter Hunt"),CHOOSE(ArtifactsInput!$N$35+1,15,18,21,24,27,30)*(1-EXP(-(0.2*B1791)*5)),0)+IF(AND(ArtifactsInput!$M$22,Inputs!$B$4&lt;&gt;"Chapter Hunt"),CHOOSE(ArtifactsInput!$N$22+1,10,12,14,16,18,20)*((0*(((0.15*B1791*5))^0/1)+1*(((0.15*B1791*5))^1/1)+2*(((0.15*B1791*5))^2/2)+3*(((0.15*B1791*5))^3/6)+4*(((0.15*B1791*5))^4/24)+5*(((0.15*B1791*5))^5/120))/((((0.15*B1791*5))^0/1)+(((0.15*B1791*5))^1/1)+(((0.15*B1791*5))^2/2)+(((0.15*B1791*5))^3/6)+(((0.15*B1791*5))^4/24)+(((0.15*B1791*5))^5/120))),0)))/100)*(MIN(Skills!W12,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766">
      <c r="A1766">
        <f>Skills!A13</f>
        <v/>
      </c>
      <c r="B1766">
        <f>Skills!B13</f>
        <v/>
      </c>
      <c r="C1766">
        <f>Inputs!$B$3&gt;=105</f>
        <v/>
      </c>
      <c r="D1766">
        <f>IF(Skills!C13=1,60+Inputs!$B$25+Inputs!$B$29,IF(Skills!C13=2,90+Inputs!$B$26+Inputs!$B$29,IF(Skills!C13=3,120+Inputs!$B$27+Inputs!$B$29,MAX(0,(Inputs!$B$3-100)*3)+Inputs!$B$28+Inputs!$B$29)))</f>
        <v/>
      </c>
      <c r="E1766">
        <f>INDEX(FactorTable!$B$2:$Y$301, MATCH(ROUND(MIN(300,MAX(1,D1766)),0), FactorTable!$A$2:$A$301,0), Skills!M13+1)</f>
        <v/>
      </c>
      <c r="F1766">
        <f>IF(Skills!N13=TRUE,(Skills!L13/10)*(E1766/1000),Skills!L13/10)+Skills!O13</f>
        <v/>
      </c>
      <c r="G1766">
        <f>Skills!G13*IF(Skills!H13&gt;0,IF(Inputs!$B$39="pvp",MIN(Skills!I13,15),Skills!I13)/Skills!H13,1)</f>
        <v/>
      </c>
      <c r="H1766">
        <f>1-(1-Skills!J13/100)^Skills!K13</f>
        <v/>
      </c>
      <c r="I1766" t="inlineStr">
        <is>
          <t>1</t>
        </is>
      </c>
      <c r="J1766">
        <f>((Inputs!$B$6*(1+Inputs!$B$7/100))+(((Inputs!$B$12*(1+Inputs!$B$13/100))-(Inputs!$B$12*(1+Inputs!$B$13/100)))+0.25*(Inputs!$B$14-Inputs!$B$14))*(1+Inputs!$B$7/100))*(F1766/100)</f>
        <v/>
      </c>
      <c r="K1766">
        <f>J1766*(1+((Inputs!$B$12*(1+Inputs!$B$13/100))*0.01+Inputs!$B$14*0.0025)/100)*(1+Inputs!$B$15/100)*(1+Inputs!$B$16/100)*(5000/(6000+Inputs!$B$43*(1-(100*(1-(1-Inputs!$B$19/100)*(1-CHOOSE(ArtifactsInput!$N$40+1,5,6,7,8,9,10)/100)^(ArtifactsInput!$M$40-ArtifactsInput!$M$40)))/100)))*(1+(Inputs!$B$24+((C1784=TRUE)*(F1784-Calc!F31))+((C1771=TRUE)*(F1771-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13="CRUEL_STAB",Inputs!$B$17+((C1781=TRUE)*(F1781-Calc!F28))+((IF(AND(Inputs!$B$39&lt;&gt;"pvp",Inputs!$B$44=0),1,IF(IF(Inputs!$B$39="pvp",15,Inputs!$B$44)-(B1798)&lt;=0,1,MAX(0,IF(Inputs!$B$39="pvp",15,Inputs!$B$44)-MAX(5,B1798))/(IF(Inputs!$B$39="pvp",15,Inputs!$B$44)-(B1798))))*(IF(AND(ArtifactsInput!$M$42,((Inputs!$B$9+((C1779=TRUE)*(F1779-Calc!F26))+B1787+(ArtifactsInput!$M$24-ArtifactsInput!$M$24)*CHOOSE(ArtifactsInput!$N$24+1,10,12,14,16,18,20)+IF(ArtifactsInput!$M$10,CHOOSE(ArtifactsInput!$N$10+1,15,18,21,24,27,30)*(IF(Inputs!$B$39="pvp",MIN(15,15)/15,IF(AND(Inputs!$B$39&lt;&gt;"pvp",Inputs!$B$44&gt;0),MIN(15,Inputs!$B$44)/(Inputs!$B$44),0))),0)))&gt;=100),MIN(100,((Inputs!$B$9+((C1779=TRUE)*(F1779-Calc!F26))+B1787+(ArtifactsInput!$M$24-ArtifactsInput!$M$24)*CHOOSE(ArtifactsInput!$N$24+1,10,12,14,16,18,20)+IF(ArtifactsInput!$M$10,CHOOSE(ArtifactsInput!$N$10+1,15,18,21,24,27,30)*(IF(Inputs!$B$39="pvp",MIN(15,15)/15,IF(AND(Inputs!$B$39&lt;&gt;"pvp",Inputs!$B$44&gt;0),MIN(15,Inputs!$B$44)/(Inputs!$B$44),0))),0)))-100),0))*CHOOSE(ArtifactsInput!$N$42+1,0.6,0.72,0.84,0.96,1.08,1.2))),Inputs!$B$18+((C1782=TRUE)*(F1782-Calc!F29))+(IF(AND(Inputs!$B$39&lt;&gt;"pvp",Inputs!$B$44=0),1,IF(IF(Inputs!$B$39="pvp",15,Inputs!$B$44)-(B1798)&lt;=0,1,MAX(0,IF(Inputs!$B$39="pvp",15,Inputs!$B$44)-MAX(5,B1798))/(IF(Inputs!$B$39="pvp",15,Inputs!$B$44)-(B1798))))*IF(AND(ArtifactsInput!$M$42,((Inputs!$B$9+((C1779=TRUE)*(F1779-Calc!F26))+B1787+(ArtifactsInput!$M$24-ArtifactsInput!$M$24)*CHOOSE(ArtifactsInput!$N$24+1,10,12,14,16,18,20)+IF(ArtifactsInput!$M$10,CHOOSE(ArtifactsInput!$N$10+1,15,18,21,24,27,30)*(IF(Inputs!$B$39="pvp",MIN(15,15)/15,IF(AND(Inputs!$B$39&lt;&gt;"pvp",Inputs!$B$44&gt;0),MIN(15,Inputs!$B$44)/(Inputs!$B$44),0))),0)))&gt;=100),CHOOSE(ArtifactsInput!$N$42+1,40,48,56,64,72,80),0))))/100)*(((1+(((C1775=TRUE)*F1775*IF(AND(Inputs!$B$39&lt;&gt;"pvp",Inputs!$B$44&gt;0),(((R1775-1)*MIN((Skills!Y22*(1+Inputs!$B$34/100)),(1/Q1775))+MIN((Skills!Y22*(1+Inputs!$B$34/100)),MAX(0,Inputs!$B$44-((R1775-1)*(1/Q1775)))))/Inputs!$B$44),IF(Inputs!$B$39="pvp",MIN((Skills!Y22*(1+Inputs!$B$34/100)),15)/15,MIN(1,(Skills!Y22*(1+Inputs!$B$34/100))/(1/Q1775)))))+((C1756=TRUE)*F1756*3)+((C1758=TRUE)*F1758*(1-EXP(-0.75*B1791*5)))+((C1777=TRUE)*(F1777-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1764=TRUE)*F1764*IF(AND(Inputs!$B$39&lt;&gt;"pvp",Inputs!$B$44&gt;0),(((R1764-1)*MIN((Skills!Y11*(1+Inputs!$B$34/100)),(1/Q1764))+MIN((Skills!Y11*(1+Inputs!$B$34/100)),MAX(0,Inputs!$B$44-((R1764-1)*(1/Q1764)))))/Inputs!$B$44),IF(Inputs!$B$39="pvp",MIN((Skills!Y11*(1+Inputs!$B$34/100)),15)/15,MIN(1,(Skills!Y11*(1+Inputs!$B$34/100))/(1/Q1764)))))/100)*(1+((C1769=TRUE)*F1769*IF(AND(Inputs!$B$39&lt;&gt;"pvp",Inputs!$B$44&gt;0),(((R1769-1)*MIN((Skills!Y16*(1+Inputs!$B$34/100)),(1/Q1769))+MIN((Skills!Y16*(1+Inputs!$B$34/100)),MAX(0,Inputs!$B$44-((R1769-1)*(1/Q1769)))))/Inputs!$B$44),IF(Inputs!$B$39="pvp",MIN((Skills!Y16*(1+Inputs!$B$34/100)),15)/15,MIN(1,(Skills!Y16*(1+Inputs!$B$34/100))/(1/Q1769)))))/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1789*I1766)</f>
        <v/>
      </c>
      <c r="L1766">
        <f>K1766*(MIN(Inputs!$B$22+((C1778=TRUE)*(F1778-Calc!F25)),(Inputs!$B$23+((C1783=TRUE)*(F1783-Calc!F30))+IF(ArtifactsInput!$M$15,CHOOSE(ArtifactsInput!$N$15+1,25,30,35,40,45,50)/100*(Inputs!$B$11-Inputs!$B$11),0)))/100+(Inputs!$B$23+((C1783=TRUE)*(F1783-Calc!F30))+IF(ArtifactsInput!$M$15,CHOOSE(ArtifactsInput!$N$15+1,25,30,35,40,45,50)/100*(Inputs!$B$11-Inputs!$B$11),0))/100)/2</f>
        <v/>
      </c>
      <c r="M1766">
        <f>L1766*(1+(Inputs!$B$10+((C1780=TRUE)*(F1780-Calc!F27))+B1794+(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1766">
        <f>L1766*(1-MIN((Inputs!$B$9+((C1779=TRUE)*(F1779-Calc!F26))+B1787+(ArtifactsInput!$M$24-ArtifactsInput!$M$24)*CHOOSE(ArtifactsInput!$N$24+1,10,12,14,16,18,20)+(IF(AND(Inputs!$B$39&lt;&gt;"pvp",Inputs!$B$44=0),1,IF(IF(Inputs!$B$39="pvp",15,Inputs!$B$44)-(B1798)&lt;=0,1,MAX(0,IF(Inputs!$B$39="pvp",15,Inputs!$B$44)-MAX(5,B1798))/(IF(Inputs!$B$39="pvp",15,Inputs!$B$44)-(B1798))))*IF(AND(ArtifactsInput!$M$42,((Inputs!$B$9+((C1779=TRUE)*(F1779-Calc!F26))+B1787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1766*(MIN((Inputs!$B$9+((C1779=TRUE)*(F1779-Calc!F26))+B1787+(ArtifactsInput!$M$24-ArtifactsInput!$M$24)*CHOOSE(ArtifactsInput!$N$24+1,10,12,14,16,18,20)+(IF(AND(Inputs!$B$39&lt;&gt;"pvp",Inputs!$B$44=0),1,IF(IF(Inputs!$B$39="pvp",15,Inputs!$B$44)-(B1798)&lt;=0,1,MAX(0,IF(Inputs!$B$39="pvp",15,Inputs!$B$44)-MAX(5,B1798))/(IF(Inputs!$B$39="pvp",15,Inputs!$B$44)-(B1798))))*IF(AND(ArtifactsInput!$M$42,((Inputs!$B$9+((C1779=TRUE)*(F1779-Calc!F26))+B1787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766">
        <f>(1-Summary!$B$11)*T1766+Summary!$B$11*V1766</f>
        <v/>
      </c>
      <c r="P1766">
        <f>IF(B1799=0,0,O1766/B1799)</f>
        <v/>
      </c>
      <c r="Q1766">
        <f>IFERROR(1/IF(Inputs!$B$39="pvp",15,MAX(0.1,Skills!D13-IF(TRUE=TRUE,Inputs!$B$32,0))),0)</f>
        <v/>
      </c>
      <c r="R1766">
        <f>IF(AND(Inputs!$B$39&lt;&gt;"pvp",Inputs!$B$44&gt;0),IF(MAX(0,Inputs!$B$44-B1798)&lt;=0,0,(INT(MAX(0,Inputs!$B$44-B1798)/IF(Inputs!$B$39="pvp",15,MAX(0.1,Skills!D13-IF(TRUE=TRUE,Inputs!$B$32,0))))+1)),0)</f>
        <v/>
      </c>
      <c r="S1766">
        <f>IFERROR(O1766/N1766,0)</f>
        <v/>
      </c>
      <c r="T1766">
        <f>IF(C1766,(H1766*N1766*IF(AND(Inputs!$B$39&lt;&gt;"pvp",Inputs!$B$44&gt;0),((Skills!G13*((R1766-1)*IF(Skills!H13&gt;0,Skills!I13/Skills!H13,1)+IF(Skills!H13&gt;0,MIN(Skills!I13,MAX(0,MAX(0,Inputs!$B$44-B1798)-((R1766-1)*IF(Inputs!$B$39="pvp",15,MAX(0.1,Skills!D13-IF(TRUE=TRUE,Inputs!$B$32,0))))))/Skills!H13,1)))/Inputs!$B$44),G1766*Q1766))*IF(Inputs!$B$39="pvp",1,1+(Inputs!$B$20+0+Skills!P13+B1788+(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Hunt"),CHOOSE(ArtifactsInput!$N$35+1,15,18,21,24,27,30)*(1-EXP(-(0.2*B1791)*5)),0)+IF(AND(ArtifactsInput!$M$22,Inputs!$B$4&lt;&gt;"Chapter Hunt"),CHOOSE(ArtifactsInput!$N$22+1,10,12,14,16,18,20)*((0*(((0.15*B1791*5))^0/1)+1*(((0.15*B1791*5))^1/1)+2*(((0.15*B1791*5))^2/2)+3*(((0.15*B1791*5))^3/6)+4*(((0.15*B1791*5))^4/24)+5*(((0.15*B1791*5))^5/120))/((((0.15*B1791*5))^0/1)+(((0.15*B1791*5))^1/1)+(((0.15*B1791*5))^2/2)+(((0.15*B1791*5))^3/6)+(((0.15*B1791*5))^4/24)+(((0.15*B1791*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1766*(1-MIN(100,(Inputs!$B$9+((C1779=TRUE)*(F1779-Calc!F26))+B1787+(ArtifactsInput!$M$24-ArtifactsInput!$M$24)*CHOOSE(ArtifactsInput!$N$24+1,10,12,14,16,18,20)+(IF(AND(Inputs!$B$39&lt;&gt;"pvp",Inputs!$B$44=0),1,IF(IF(Inputs!$B$39="pvp",15,Inputs!$B$44)-(B1798)&lt;=0,1,MAX(0,IF(Inputs!$B$39="pvp",15,Inputs!$B$44)-MAX(5,B1798))/(IF(Inputs!$B$39="pvp",15,Inputs!$B$44)-(B1798))))*IF(AND(ArtifactsInput!$M$42,((Inputs!$B$9+((C1779=TRUE)*(F1779-Calc!F26))+B1787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1766*(MIN(100,(Inputs!$B$9+((C1779=TRUE)*(F1779-Calc!F26))+B1787+(ArtifactsInput!$M$24-ArtifactsInput!$M$24)*CHOOSE(ArtifactsInput!$N$24+1,10,12,14,16,18,20)+(IF(AND(Inputs!$B$39&lt;&gt;"pvp",Inputs!$B$44=0),1,IF(IF(Inputs!$B$39="pvp",15,Inputs!$B$44)-(B1798)&lt;=0,1,MAX(0,IF(Inputs!$B$39="pvp",15,Inputs!$B$44)-MAX(5,B1798))/(IF(Inputs!$B$39="pvp",15,Inputs!$B$44)-(B1798))))*IF(AND(ArtifactsInput!$M$42,((Inputs!$B$9+((C1779=TRUE)*(F1779-Calc!F26))+B1787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1766*(1-MIN(100,(Inputs!$B$9+((C1779=TRUE)*(F1779-Calc!F26))+B1787+(ArtifactsInput!$M$24-ArtifactsInput!$M$24)*CHOOSE(ArtifactsInput!$N$24+1,10,12,14,16,18,20)+(IF(AND(Inputs!$B$39&lt;&gt;"pvp",Inputs!$B$44=0),1,IF(IF(Inputs!$B$39="pvp",15,Inputs!$B$44)-(B1798)&lt;=0,1,MAX(0,IF(Inputs!$B$39="pvp",15,Inputs!$B$44)-MAX(5,B1798))/(IF(Inputs!$B$39="pvp",15,Inputs!$B$44)-(B1798))))*IF(AND(ArtifactsInput!$M$42,((Inputs!$B$9+((C1779=TRUE)*(F1779-Calc!F26))+B1787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1766*(MIN(100,(Inputs!$B$9+((C1779=TRUE)*(F1779-Calc!F26))+B1787+(ArtifactsInput!$M$24-ArtifactsInput!$M$24)*CHOOSE(ArtifactsInput!$N$24+1,10,12,14,16,18,20)+(IF(AND(Inputs!$B$39&lt;&gt;"pvp",Inputs!$B$44=0),1,IF(IF(Inputs!$B$39="pvp",15,Inputs!$B$44)-(B1798)&lt;=0,1,MAX(0,IF(Inputs!$B$39="pvp",15,Inputs!$B$44)-MAX(5,B1798))/(IF(Inputs!$B$39="pvp",15,Inputs!$B$44)-(B1798))))*IF(AND(ArtifactsInput!$M$42,((Inputs!$B$9+((C1779=TRUE)*(F1779-Calc!F26))+B1787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1766">
        <f>IF(C1766,(H1766*N1766*IF(AND(Inputs!$B$39&lt;&gt;"pvp",Inputs!$B$44&gt;0),((Skills!G13*((R1766-1)*IF(Skills!H13&gt;0,Skills!I13/Skills!H13,1)+IF(Skills!H13&gt;0,MIN(Skills!I13,MAX(0,MAX(0,Inputs!$B$44-B1798)-((R1766-1)*IF(Inputs!$B$39="pvp",15,MAX(0.1,Skills!D13-IF(TRUE=TRUE,Inputs!$B$32,0))))))/Skills!H13,1)))/Inputs!$B$44),G1766*Q1766))*IF(Inputs!$B$39="pvp",1,(1+(Inputs!$B$21+Skills!Q13+B1788+(IF(ArtifactsInput!$M$33,CHOOSE(ArtifactsInput!$N$33+1,30,36,42,48,54,60),0))+(IF(AND(ArtifactsInput!$M$35,Inputs!$B$4&lt;&gt;"Chapter Hunt"),CHOOSE(ArtifactsInput!$N$35+1,15,18,21,24,27,30)*(1-EXP(-(0.2*B1791)*5)),0)+IF(AND(ArtifactsInput!$M$22,Inputs!$B$4&lt;&gt;"Chapter Hunt"),CHOOSE(ArtifactsInput!$N$22+1,10,12,14,16,18,20)*((0*(((0.15*B1791*5))^0/1)+1*(((0.15*B1791*5))^1/1)+2*(((0.15*B1791*5))^2/2)+3*(((0.15*B1791*5))^3/6)+4*(((0.15*B1791*5))^4/24)+5*(((0.15*B1791*5))^5/120))/((((0.15*B1791*5))^0/1)+(((0.15*B1791*5))^1/1)+(((0.15*B1791*5))^2/2)+(((0.15*B1791*5))^3/6)+(((0.15*B1791*5))^4/24)+(((0.15*B1791*5))^5/120))),0)))/100)*(MIN(Skills!W13,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767">
      <c r="A1767">
        <f>Skills!A14</f>
        <v/>
      </c>
      <c r="B1767">
        <f>Skills!B14</f>
        <v/>
      </c>
      <c r="C1767">
        <f>Inputs!$B$3&gt;=105</f>
        <v/>
      </c>
      <c r="D1767">
        <f>IF(Skills!C14=1,60+Inputs!$B$25+Inputs!$B$29,IF(Skills!C14=2,90+Inputs!$B$26+Inputs!$B$29,IF(Skills!C14=3,120+Inputs!$B$27+Inputs!$B$29,MAX(0,(Inputs!$B$3-100)*3)+Inputs!$B$28+Inputs!$B$29)))</f>
        <v/>
      </c>
      <c r="E1767">
        <f>INDEX(FactorTable!$B$2:$Y$301, MATCH(ROUND(MIN(300,MAX(1,D1767)),0), FactorTable!$A$2:$A$301,0), Skills!M14+1)</f>
        <v/>
      </c>
      <c r="F1767">
        <f>IF(Skills!N14=TRUE,(Skills!L14/10)*(E1767/1000),Skills!L14/10)+Skills!O14</f>
        <v/>
      </c>
      <c r="G1767">
        <f>Skills!G14*IF(Skills!H14&gt;0,IF(Inputs!$B$39="pvp",MIN(Skills!I14,15),Skills!I14)/Skills!H14,1)</f>
        <v/>
      </c>
      <c r="H1767">
        <f>1-(1-Skills!J14/100)^Skills!K14</f>
        <v/>
      </c>
      <c r="I1767" t="inlineStr">
        <is>
          <t>1</t>
        </is>
      </c>
      <c r="J1767">
        <f>((Inputs!$B$6*(1+Inputs!$B$7/100))+(((Inputs!$B$12*(1+Inputs!$B$13/100))-(Inputs!$B$12*(1+Inputs!$B$13/100)))+0.25*(Inputs!$B$14-Inputs!$B$14))*(1+Inputs!$B$7/100))*(F1767/100)</f>
        <v/>
      </c>
      <c r="K1767">
        <f>J1767*(1+((Inputs!$B$12*(1+Inputs!$B$13/100))*0.01+Inputs!$B$14*0.0025)/100)*(1+Inputs!$B$15/100)*(1+Inputs!$B$16/100)*(5000/(6000+Inputs!$B$43*(1-(100*(1-(1-Inputs!$B$19/100)*(1-CHOOSE(ArtifactsInput!$N$40+1,5,6,7,8,9,10)/100)^(ArtifactsInput!$M$40-ArtifactsInput!$M$40)))/100)))*(1+(Inputs!$B$24+((C1784=TRUE)*(F1784-Calc!F31))+((C1771=TRUE)*(F1771-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14="CRUEL_STAB",Inputs!$B$17+((C1781=TRUE)*(F1781-Calc!F28))+((IF(AND(Inputs!$B$39&lt;&gt;"pvp",Inputs!$B$44=0),1,IF(IF(Inputs!$B$39="pvp",15,Inputs!$B$44)-(B1798)&lt;=0,1,MAX(0,IF(Inputs!$B$39="pvp",15,Inputs!$B$44)-MAX(5,B1798))/(IF(Inputs!$B$39="pvp",15,Inputs!$B$44)-(B1798))))*(IF(AND(ArtifactsInput!$M$42,((Inputs!$B$9+((C1779=TRUE)*(F1779-Calc!F26))+B1787+(ArtifactsInput!$M$24-ArtifactsInput!$M$24)*CHOOSE(ArtifactsInput!$N$24+1,10,12,14,16,18,20)+IF(ArtifactsInput!$M$10,CHOOSE(ArtifactsInput!$N$10+1,15,18,21,24,27,30)*(IF(Inputs!$B$39="pvp",MIN(15,15)/15,IF(AND(Inputs!$B$39&lt;&gt;"pvp",Inputs!$B$44&gt;0),MIN(15,Inputs!$B$44)/(Inputs!$B$44),0))),0)))&gt;=100),MIN(100,((Inputs!$B$9+((C1779=TRUE)*(F1779-Calc!F26))+B1787+(ArtifactsInput!$M$24-ArtifactsInput!$M$24)*CHOOSE(ArtifactsInput!$N$24+1,10,12,14,16,18,20)+IF(ArtifactsInput!$M$10,CHOOSE(ArtifactsInput!$N$10+1,15,18,21,24,27,30)*(IF(Inputs!$B$39="pvp",MIN(15,15)/15,IF(AND(Inputs!$B$39&lt;&gt;"pvp",Inputs!$B$44&gt;0),MIN(15,Inputs!$B$44)/(Inputs!$B$44),0))),0)))-100),0))*CHOOSE(ArtifactsInput!$N$42+1,0.6,0.72,0.84,0.96,1.08,1.2))),Inputs!$B$18+((C1782=TRUE)*(F1782-Calc!F29))+(IF(AND(Inputs!$B$39&lt;&gt;"pvp",Inputs!$B$44=0),1,IF(IF(Inputs!$B$39="pvp",15,Inputs!$B$44)-(B1798)&lt;=0,1,MAX(0,IF(Inputs!$B$39="pvp",15,Inputs!$B$44)-MAX(5,B1798))/(IF(Inputs!$B$39="pvp",15,Inputs!$B$44)-(B1798))))*IF(AND(ArtifactsInput!$M$42,((Inputs!$B$9+((C1779=TRUE)*(F1779-Calc!F26))+B1787+(ArtifactsInput!$M$24-ArtifactsInput!$M$24)*CHOOSE(ArtifactsInput!$N$24+1,10,12,14,16,18,20)+IF(ArtifactsInput!$M$10,CHOOSE(ArtifactsInput!$N$10+1,15,18,21,24,27,30)*(IF(Inputs!$B$39="pvp",MIN(15,15)/15,IF(AND(Inputs!$B$39&lt;&gt;"pvp",Inputs!$B$44&gt;0),MIN(15,Inputs!$B$44)/(Inputs!$B$44),0))),0)))&gt;=100),CHOOSE(ArtifactsInput!$N$42+1,40,48,56,64,72,80),0))))/100)*(((1+(((C1775=TRUE)*F1775*IF(AND(Inputs!$B$39&lt;&gt;"pvp",Inputs!$B$44&gt;0),(((R1775-1)*MIN((Skills!Y22*(1+Inputs!$B$34/100)),(1/Q1775))+MIN((Skills!Y22*(1+Inputs!$B$34/100)),MAX(0,Inputs!$B$44-((R1775-1)*(1/Q1775)))))/Inputs!$B$44),IF(Inputs!$B$39="pvp",MIN((Skills!Y22*(1+Inputs!$B$34/100)),15)/15,MIN(1,(Skills!Y22*(1+Inputs!$B$34/100))/(1/Q1775)))))+((C1756=TRUE)*F1756*3)+((C1758=TRUE)*F1758*(1-EXP(-0.75*B1791*5)))+((C1777=TRUE)*(F1777-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1764=TRUE)*F1764*IF(AND(Inputs!$B$39&lt;&gt;"pvp",Inputs!$B$44&gt;0),(((R1764-1)*MIN((Skills!Y11*(1+Inputs!$B$34/100)),(1/Q1764))+MIN((Skills!Y11*(1+Inputs!$B$34/100)),MAX(0,Inputs!$B$44-((R1764-1)*(1/Q1764)))))/Inputs!$B$44),IF(Inputs!$B$39="pvp",MIN((Skills!Y11*(1+Inputs!$B$34/100)),15)/15,MIN(1,(Skills!Y11*(1+Inputs!$B$34/100))/(1/Q1764)))))/100)*(1+((C1769=TRUE)*F1769*IF(AND(Inputs!$B$39&lt;&gt;"pvp",Inputs!$B$44&gt;0),(((R1769-1)*MIN((Skills!Y16*(1+Inputs!$B$34/100)),(1/Q1769))+MIN((Skills!Y16*(1+Inputs!$B$34/100)),MAX(0,Inputs!$B$44-((R1769-1)*(1/Q1769)))))/Inputs!$B$44),IF(Inputs!$B$39="pvp",MIN((Skills!Y16*(1+Inputs!$B$34/100)),15)/15,MIN(1,(Skills!Y16*(1+Inputs!$B$34/100))/(1/Q1769)))))/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1789*I1767)</f>
        <v/>
      </c>
      <c r="L1767">
        <f>K1767*(MIN(Inputs!$B$22+((C1778=TRUE)*(F1778-Calc!F25)),(Inputs!$B$23+((C1783=TRUE)*(F1783-Calc!F30))+IF(ArtifactsInput!$M$15,CHOOSE(ArtifactsInput!$N$15+1,25,30,35,40,45,50)/100*(Inputs!$B$11-Inputs!$B$11),0)))/100+(Inputs!$B$23+((C1783=TRUE)*(F1783-Calc!F30))+IF(ArtifactsInput!$M$15,CHOOSE(ArtifactsInput!$N$15+1,25,30,35,40,45,50)/100*(Inputs!$B$11-Inputs!$B$11),0))/100)/2</f>
        <v/>
      </c>
      <c r="M1767">
        <f>L1767*(1+(Inputs!$B$10+((C1780=TRUE)*(F1780-Calc!F27))+B1794+(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1767">
        <f>L1767*(1-MIN((Inputs!$B$9+((C1779=TRUE)*(F1779-Calc!F26))+B1787+(ArtifactsInput!$M$24-ArtifactsInput!$M$24)*CHOOSE(ArtifactsInput!$N$24+1,10,12,14,16,18,20)+(IF(AND(Inputs!$B$39&lt;&gt;"pvp",Inputs!$B$44=0),1,IF(IF(Inputs!$B$39="pvp",15,Inputs!$B$44)-(B1798)&lt;=0,1,MAX(0,IF(Inputs!$B$39="pvp",15,Inputs!$B$44)-MAX(5,B1798))/(IF(Inputs!$B$39="pvp",15,Inputs!$B$44)-(B1798))))*IF(AND(ArtifactsInput!$M$42,((Inputs!$B$9+((C1779=TRUE)*(F1779-Calc!F26))+B1787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1767*(MIN((Inputs!$B$9+((C1779=TRUE)*(F1779-Calc!F26))+B1787+(ArtifactsInput!$M$24-ArtifactsInput!$M$24)*CHOOSE(ArtifactsInput!$N$24+1,10,12,14,16,18,20)+(IF(AND(Inputs!$B$39&lt;&gt;"pvp",Inputs!$B$44=0),1,IF(IF(Inputs!$B$39="pvp",15,Inputs!$B$44)-(B1798)&lt;=0,1,MAX(0,IF(Inputs!$B$39="pvp",15,Inputs!$B$44)-MAX(5,B1798))/(IF(Inputs!$B$39="pvp",15,Inputs!$B$44)-(B1798))))*IF(AND(ArtifactsInput!$M$42,((Inputs!$B$9+((C1779=TRUE)*(F1779-Calc!F26))+B1787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767">
        <f>(1-Summary!$B$11)*T1767+Summary!$B$11*V1767</f>
        <v/>
      </c>
      <c r="P1767">
        <f>IF(B1799=0,0,O1767/B1799)</f>
        <v/>
      </c>
      <c r="Q1767">
        <f>IFERROR(1/IF(Inputs!$B$39="pvp",15,MAX(0.1,Skills!D14-IF(TRUE=TRUE,Inputs!$B$32,0))),0)</f>
        <v/>
      </c>
      <c r="R1767">
        <f>IF(AND(Inputs!$B$39&lt;&gt;"pvp",Inputs!$B$44&gt;0),IF(MAX(0,Inputs!$B$44-B1798)&lt;=0,0,(INT(MAX(0,Inputs!$B$44-B1798)/IF(Inputs!$B$39="pvp",15,MAX(0.1,Skills!D14-IF(TRUE=TRUE,Inputs!$B$32,0))))+1)),0)</f>
        <v/>
      </c>
      <c r="S1767">
        <f>IFERROR(O1767/N1767,0)</f>
        <v/>
      </c>
      <c r="T1767">
        <f>IF(C1767,(H1767*N1767*IF(AND(Inputs!$B$39&lt;&gt;"pvp",Inputs!$B$44&gt;0),((Skills!G14*((R1767-1)*IF(Skills!H14&gt;0,Skills!I14/Skills!H14,1)+IF(Skills!H14&gt;0,MIN(Skills!I14,MAX(0,MAX(0,Inputs!$B$44-B1798)-((R1767-1)*IF(Inputs!$B$39="pvp",15,MAX(0.1,Skills!D14-IF(TRUE=TRUE,Inputs!$B$32,0))))))/Skills!H14,1)))/Inputs!$B$44),G1767*Q1767))*IF(Inputs!$B$39="pvp",1,1+(Inputs!$B$20+0+Skills!P14+B1788+(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Hunt"),CHOOSE(ArtifactsInput!$N$35+1,15,18,21,24,27,30)*(1-EXP(-(0.2*B1791)*5)),0)+IF(AND(ArtifactsInput!$M$22,Inputs!$B$4&lt;&gt;"Chapter Hunt"),CHOOSE(ArtifactsInput!$N$22+1,10,12,14,16,18,20)*((0*(((0.15*B1791*5))^0/1)+1*(((0.15*B1791*5))^1/1)+2*(((0.15*B1791*5))^2/2)+3*(((0.15*B1791*5))^3/6)+4*(((0.15*B1791*5))^4/24)+5*(((0.15*B1791*5))^5/120))/((((0.15*B1791*5))^0/1)+(((0.15*B1791*5))^1/1)+(((0.15*B1791*5))^2/2)+(((0.15*B1791*5))^3/6)+(((0.15*B1791*5))^4/24)+(((0.15*B1791*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1767*(1-MIN(100,(Inputs!$B$9+((C1779=TRUE)*(F1779-Calc!F26))+B1787+(ArtifactsInput!$M$24-ArtifactsInput!$M$24)*CHOOSE(ArtifactsInput!$N$24+1,10,12,14,16,18,20)+(IF(AND(Inputs!$B$39&lt;&gt;"pvp",Inputs!$B$44=0),1,IF(IF(Inputs!$B$39="pvp",15,Inputs!$B$44)-(B1798)&lt;=0,1,MAX(0,IF(Inputs!$B$39="pvp",15,Inputs!$B$44)-MAX(5,B1798))/(IF(Inputs!$B$39="pvp",15,Inputs!$B$44)-(B1798))))*IF(AND(ArtifactsInput!$M$42,((Inputs!$B$9+((C1779=TRUE)*(F1779-Calc!F26))+B1787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1767*(MIN(100,(Inputs!$B$9+((C1779=TRUE)*(F1779-Calc!F26))+B1787+(ArtifactsInput!$M$24-ArtifactsInput!$M$24)*CHOOSE(ArtifactsInput!$N$24+1,10,12,14,16,18,20)+(IF(AND(Inputs!$B$39&lt;&gt;"pvp",Inputs!$B$44=0),1,IF(IF(Inputs!$B$39="pvp",15,Inputs!$B$44)-(B1798)&lt;=0,1,MAX(0,IF(Inputs!$B$39="pvp",15,Inputs!$B$44)-MAX(5,B1798))/(IF(Inputs!$B$39="pvp",15,Inputs!$B$44)-(B1798))))*IF(AND(ArtifactsInput!$M$42,((Inputs!$B$9+((C1779=TRUE)*(F1779-Calc!F26))+B1787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1767*(1-MIN(100,(Inputs!$B$9+((C1779=TRUE)*(F1779-Calc!F26))+B1787+(ArtifactsInput!$M$24-ArtifactsInput!$M$24)*CHOOSE(ArtifactsInput!$N$24+1,10,12,14,16,18,20)+(IF(AND(Inputs!$B$39&lt;&gt;"pvp",Inputs!$B$44=0),1,IF(IF(Inputs!$B$39="pvp",15,Inputs!$B$44)-(B1798)&lt;=0,1,MAX(0,IF(Inputs!$B$39="pvp",15,Inputs!$B$44)-MAX(5,B1798))/(IF(Inputs!$B$39="pvp",15,Inputs!$B$44)-(B1798))))*IF(AND(ArtifactsInput!$M$42,((Inputs!$B$9+((C1779=TRUE)*(F1779-Calc!F26))+B1787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1767*(MIN(100,(Inputs!$B$9+((C1779=TRUE)*(F1779-Calc!F26))+B1787+(ArtifactsInput!$M$24-ArtifactsInput!$M$24)*CHOOSE(ArtifactsInput!$N$24+1,10,12,14,16,18,20)+(IF(AND(Inputs!$B$39&lt;&gt;"pvp",Inputs!$B$44=0),1,IF(IF(Inputs!$B$39="pvp",15,Inputs!$B$44)-(B1798)&lt;=0,1,MAX(0,IF(Inputs!$B$39="pvp",15,Inputs!$B$44)-MAX(5,B1798))/(IF(Inputs!$B$39="pvp",15,Inputs!$B$44)-(B1798))))*IF(AND(ArtifactsInput!$M$42,((Inputs!$B$9+((C1779=TRUE)*(F1779-Calc!F26))+B1787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1767">
        <f>IF(C1767,(H1767*N1767*IF(AND(Inputs!$B$39&lt;&gt;"pvp",Inputs!$B$44&gt;0),((Skills!G14*((R1767-1)*IF(Skills!H14&gt;0,Skills!I14/Skills!H14,1)+IF(Skills!H14&gt;0,MIN(Skills!I14,MAX(0,MAX(0,Inputs!$B$44-B1798)-((R1767-1)*IF(Inputs!$B$39="pvp",15,MAX(0.1,Skills!D14-IF(TRUE=TRUE,Inputs!$B$32,0))))))/Skills!H14,1)))/Inputs!$B$44),G1767*Q1767))*IF(Inputs!$B$39="pvp",1,(1+(Inputs!$B$21+Skills!Q14+B1788+(IF(ArtifactsInput!$M$33,CHOOSE(ArtifactsInput!$N$33+1,30,36,42,48,54,60),0))+(IF(AND(ArtifactsInput!$M$35,Inputs!$B$4&lt;&gt;"Chapter Hunt"),CHOOSE(ArtifactsInput!$N$35+1,15,18,21,24,27,30)*(1-EXP(-(0.2*B1791)*5)),0)+IF(AND(ArtifactsInput!$M$22,Inputs!$B$4&lt;&gt;"Chapter Hunt"),CHOOSE(ArtifactsInput!$N$22+1,10,12,14,16,18,20)*((0*(((0.15*B1791*5))^0/1)+1*(((0.15*B1791*5))^1/1)+2*(((0.15*B1791*5))^2/2)+3*(((0.15*B1791*5))^3/6)+4*(((0.15*B1791*5))^4/24)+5*(((0.15*B1791*5))^5/120))/((((0.15*B1791*5))^0/1)+(((0.15*B1791*5))^1/1)+(((0.15*B1791*5))^2/2)+(((0.15*B1791*5))^3/6)+(((0.15*B1791*5))^4/24)+(((0.15*B1791*5))^5/120))),0)))/100)*(MIN(Skills!W14,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768">
      <c r="A1768">
        <f>Skills!A15</f>
        <v/>
      </c>
      <c r="B1768">
        <f>Skills!B15</f>
        <v/>
      </c>
      <c r="C1768">
        <f>Inputs!$B$3&gt;=107</f>
        <v/>
      </c>
      <c r="D1768">
        <f>IF(Skills!C15=1,60+Inputs!$B$25+Inputs!$B$29,IF(Skills!C15=2,90+Inputs!$B$26+Inputs!$B$29,IF(Skills!C15=3,120+Inputs!$B$27+Inputs!$B$29,MAX(0,(Inputs!$B$3-100)*3)+Inputs!$B$28+Inputs!$B$29)))</f>
        <v/>
      </c>
      <c r="E1768">
        <f>INDEX(FactorTable!$B$2:$Y$301, MATCH(ROUND(MIN(300,MAX(1,D1768)),0), FactorTable!$A$2:$A$301,0), Skills!M15+1)</f>
        <v/>
      </c>
      <c r="F1768">
        <f>IF(Skills!N15=TRUE,(Skills!L15/10)*(E1768/1000),Skills!L15/10)+Skills!O15</f>
        <v/>
      </c>
      <c r="G1768">
        <f>Skills!G15*IF(Skills!H15&gt;0,IF(Inputs!$B$39="pvp",MIN(Skills!I15,15),Skills!I15)/Skills!H15,1)</f>
        <v/>
      </c>
      <c r="H1768">
        <f>1-(1-Skills!J15/100)^Skills!K15</f>
        <v/>
      </c>
      <c r="I1768" t="inlineStr">
        <is>
          <t>1</t>
        </is>
      </c>
      <c r="J1768">
        <f>((Inputs!$B$6*(1+Inputs!$B$7/100))+(((Inputs!$B$12*(1+Inputs!$B$13/100))-(Inputs!$B$12*(1+Inputs!$B$13/100)))+0.25*(Inputs!$B$14-Inputs!$B$14))*(1+Inputs!$B$7/100))*(F1768/100)</f>
        <v/>
      </c>
      <c r="K1768">
        <f>J1768*(1+((Inputs!$B$12*(1+Inputs!$B$13/100))*0.01+Inputs!$B$14*0.0025)/100)*(1+Inputs!$B$15/100)*(1+Inputs!$B$16/100)*(5000/(6000+Inputs!$B$43*(1-(100*(1-(1-Inputs!$B$19/100)*(1-CHOOSE(ArtifactsInput!$N$40+1,5,6,7,8,9,10)/100)^(ArtifactsInput!$M$40-ArtifactsInput!$M$40)))/100)))*(1+(Inputs!$B$24+((C1784=TRUE)*(F1784-Calc!F31))+((C1771=TRUE)*(F1771-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15="CRUEL_STAB",Inputs!$B$17+((C1781=TRUE)*(F1781-Calc!F28))+((IF(AND(Inputs!$B$39&lt;&gt;"pvp",Inputs!$B$44=0),1,IF(IF(Inputs!$B$39="pvp",15,Inputs!$B$44)-(B1798)&lt;=0,1,MAX(0,IF(Inputs!$B$39="pvp",15,Inputs!$B$44)-MAX(5,B1798))/(IF(Inputs!$B$39="pvp",15,Inputs!$B$44)-(B1798))))*(IF(AND(ArtifactsInput!$M$42,((Inputs!$B$9+((C1779=TRUE)*(F1779-Calc!F26))+B1787+(ArtifactsInput!$M$24-ArtifactsInput!$M$24)*CHOOSE(ArtifactsInput!$N$24+1,10,12,14,16,18,20)+IF(ArtifactsInput!$M$10,CHOOSE(ArtifactsInput!$N$10+1,15,18,21,24,27,30)*(IF(Inputs!$B$39="pvp",MIN(15,15)/15,IF(AND(Inputs!$B$39&lt;&gt;"pvp",Inputs!$B$44&gt;0),MIN(15,Inputs!$B$44)/(Inputs!$B$44),0))),0)))&gt;=100),MIN(100,((Inputs!$B$9+((C1779=TRUE)*(F1779-Calc!F26))+B1787+(ArtifactsInput!$M$24-ArtifactsInput!$M$24)*CHOOSE(ArtifactsInput!$N$24+1,10,12,14,16,18,20)+IF(ArtifactsInput!$M$10,CHOOSE(ArtifactsInput!$N$10+1,15,18,21,24,27,30)*(IF(Inputs!$B$39="pvp",MIN(15,15)/15,IF(AND(Inputs!$B$39&lt;&gt;"pvp",Inputs!$B$44&gt;0),MIN(15,Inputs!$B$44)/(Inputs!$B$44),0))),0)))-100),0))*CHOOSE(ArtifactsInput!$N$42+1,0.6,0.72,0.84,0.96,1.08,1.2))),Inputs!$B$18+((C1782=TRUE)*(F1782-Calc!F29))+(IF(AND(Inputs!$B$39&lt;&gt;"pvp",Inputs!$B$44=0),1,IF(IF(Inputs!$B$39="pvp",15,Inputs!$B$44)-(B1798)&lt;=0,1,MAX(0,IF(Inputs!$B$39="pvp",15,Inputs!$B$44)-MAX(5,B1798))/(IF(Inputs!$B$39="pvp",15,Inputs!$B$44)-(B1798))))*IF(AND(ArtifactsInput!$M$42,((Inputs!$B$9+((C1779=TRUE)*(F1779-Calc!F26))+B1787+(ArtifactsInput!$M$24-ArtifactsInput!$M$24)*CHOOSE(ArtifactsInput!$N$24+1,10,12,14,16,18,20)+IF(ArtifactsInput!$M$10,CHOOSE(ArtifactsInput!$N$10+1,15,18,21,24,27,30)*(IF(Inputs!$B$39="pvp",MIN(15,15)/15,IF(AND(Inputs!$B$39&lt;&gt;"pvp",Inputs!$B$44&gt;0),MIN(15,Inputs!$B$44)/(Inputs!$B$44),0))),0)))&gt;=100),CHOOSE(ArtifactsInput!$N$42+1,40,48,56,64,72,80),0))))/100)*(((1+(((C1775=TRUE)*F1775*IF(AND(Inputs!$B$39&lt;&gt;"pvp",Inputs!$B$44&gt;0),(((R1775-1)*MIN((Skills!Y22*(1+Inputs!$B$34/100)),(1/Q1775))+MIN((Skills!Y22*(1+Inputs!$B$34/100)),MAX(0,Inputs!$B$44-((R1775-1)*(1/Q1775)))))/Inputs!$B$44),IF(Inputs!$B$39="pvp",MIN((Skills!Y22*(1+Inputs!$B$34/100)),15)/15,MIN(1,(Skills!Y22*(1+Inputs!$B$34/100))/(1/Q1775)))))+((C1756=TRUE)*F1756*3)+((C1758=TRUE)*F1758*(1-EXP(-0.75*B1791*5)))+((C1777=TRUE)*(F1777-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1764=TRUE)*F1764*IF(AND(Inputs!$B$39&lt;&gt;"pvp",Inputs!$B$44&gt;0),(((R1764-1)*MIN((Skills!Y11*(1+Inputs!$B$34/100)),(1/Q1764))+MIN((Skills!Y11*(1+Inputs!$B$34/100)),MAX(0,Inputs!$B$44-((R1764-1)*(1/Q1764)))))/Inputs!$B$44),IF(Inputs!$B$39="pvp",MIN((Skills!Y11*(1+Inputs!$B$34/100)),15)/15,MIN(1,(Skills!Y11*(1+Inputs!$B$34/100))/(1/Q1764)))))/100)*(1+((C1769=TRUE)*F1769*IF(AND(Inputs!$B$39&lt;&gt;"pvp",Inputs!$B$44&gt;0),(((R1769-1)*MIN((Skills!Y16*(1+Inputs!$B$34/100)),(1/Q1769))+MIN((Skills!Y16*(1+Inputs!$B$34/100)),MAX(0,Inputs!$B$44-((R1769-1)*(1/Q1769)))))/Inputs!$B$44),IF(Inputs!$B$39="pvp",MIN((Skills!Y16*(1+Inputs!$B$34/100)),15)/15,MIN(1,(Skills!Y16*(1+Inputs!$B$34/100))/(1/Q1769)))))/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1789*I1768)</f>
        <v/>
      </c>
      <c r="L1768">
        <f>K1768*(MIN(Inputs!$B$22+((C1778=TRUE)*(F1778-Calc!F25)),(Inputs!$B$23+((C1783=TRUE)*(F1783-Calc!F30))+IF(ArtifactsInput!$M$15,CHOOSE(ArtifactsInput!$N$15+1,25,30,35,40,45,50)/100*(Inputs!$B$11-Inputs!$B$11),0)))/100+(Inputs!$B$23+((C1783=TRUE)*(F1783-Calc!F30))+IF(ArtifactsInput!$M$15,CHOOSE(ArtifactsInput!$N$15+1,25,30,35,40,45,50)/100*(Inputs!$B$11-Inputs!$B$11),0))/100)/2</f>
        <v/>
      </c>
      <c r="M1768">
        <f>L1768*(1+(Inputs!$B$10+((C1780=TRUE)*(F1780-Calc!F27))+B1794+(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1768">
        <f>L1768*(1-MIN((Inputs!$B$9+((C1779=TRUE)*(F1779-Calc!F26))+B1787+(ArtifactsInput!$M$24-ArtifactsInput!$M$24)*CHOOSE(ArtifactsInput!$N$24+1,10,12,14,16,18,20)+(IF(AND(Inputs!$B$39&lt;&gt;"pvp",Inputs!$B$44=0),1,IF(IF(Inputs!$B$39="pvp",15,Inputs!$B$44)-(B1798)&lt;=0,1,MAX(0,IF(Inputs!$B$39="pvp",15,Inputs!$B$44)-MAX(5,B1798))/(IF(Inputs!$B$39="pvp",15,Inputs!$B$44)-(B1798))))*IF(AND(ArtifactsInput!$M$42,((Inputs!$B$9+((C1779=TRUE)*(F1779-Calc!F26))+B1787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1768*(MIN((Inputs!$B$9+((C1779=TRUE)*(F1779-Calc!F26))+B1787+(ArtifactsInput!$M$24-ArtifactsInput!$M$24)*CHOOSE(ArtifactsInput!$N$24+1,10,12,14,16,18,20)+(IF(AND(Inputs!$B$39&lt;&gt;"pvp",Inputs!$B$44=0),1,IF(IF(Inputs!$B$39="pvp",15,Inputs!$B$44)-(B1798)&lt;=0,1,MAX(0,IF(Inputs!$B$39="pvp",15,Inputs!$B$44)-MAX(5,B1798))/(IF(Inputs!$B$39="pvp",15,Inputs!$B$44)-(B1798))))*IF(AND(ArtifactsInput!$M$42,((Inputs!$B$9+((C1779=TRUE)*(F1779-Calc!F26))+B1787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768">
        <f>(1-Summary!$B$11)*T1768+Summary!$B$11*V1768</f>
        <v/>
      </c>
      <c r="P1768">
        <f>IF(B1799=0,0,O1768/B1799)</f>
        <v/>
      </c>
      <c r="Q1768">
        <f>IFERROR(1/IF(Inputs!$B$39="pvp",15,MAX(0.1,Skills!D15-IF(TRUE=TRUE,Inputs!$B$32,0))),0)</f>
        <v/>
      </c>
      <c r="R1768">
        <f>IF(AND(Inputs!$B$39&lt;&gt;"pvp",Inputs!$B$44&gt;0),IF(MAX(0,Inputs!$B$44-B1798)&lt;=0,0,(INT(MAX(0,Inputs!$B$44-B1798)/IF(Inputs!$B$39="pvp",15,MAX(0.1,Skills!D15-IF(TRUE=TRUE,Inputs!$B$32,0))))+1)),0)</f>
        <v/>
      </c>
      <c r="S1768">
        <f>IFERROR(O1768/N1768,0)</f>
        <v/>
      </c>
      <c r="T1768">
        <f>IF(C1768,(H1768*N1768*IF(AND(Inputs!$B$39&lt;&gt;"pvp",Inputs!$B$44&gt;0),((Skills!G15*((R1768-1)*IF(Skills!H15&gt;0,Skills!I15/Skills!H15,1)+IF(Skills!H15&gt;0,MIN(Skills!I15,MAX(0,MAX(0,Inputs!$B$44-B1798)-((R1768-1)*IF(Inputs!$B$39="pvp",15,MAX(0.1,Skills!D15-IF(TRUE=TRUE,Inputs!$B$32,0))))))/Skills!H15,1)))/Inputs!$B$44),G1768*Q1768))*IF(Inputs!$B$39="pvp",1,1+(Inputs!$B$20+0+Skills!P15+B1788+(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Hunt"),CHOOSE(ArtifactsInput!$N$35+1,15,18,21,24,27,30)*(1-EXP(-(0.2*B1791)*5)),0)+IF(AND(ArtifactsInput!$M$22,Inputs!$B$4&lt;&gt;"Chapter Hunt"),CHOOSE(ArtifactsInput!$N$22+1,10,12,14,16,18,20)*((0*(((0.15*B1791*5))^0/1)+1*(((0.15*B1791*5))^1/1)+2*(((0.15*B1791*5))^2/2)+3*(((0.15*B1791*5))^3/6)+4*(((0.15*B1791*5))^4/24)+5*(((0.15*B1791*5))^5/120))/((((0.15*B1791*5))^0/1)+(((0.15*B1791*5))^1/1)+(((0.15*B1791*5))^2/2)+(((0.15*B1791*5))^3/6)+(((0.15*B1791*5))^4/24)+(((0.15*B1791*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1768*(1-MIN(100,(Inputs!$B$9+((C1779=TRUE)*(F1779-Calc!F26))+B1787+(ArtifactsInput!$M$24-ArtifactsInput!$M$24)*CHOOSE(ArtifactsInput!$N$24+1,10,12,14,16,18,20)+(IF(AND(Inputs!$B$39&lt;&gt;"pvp",Inputs!$B$44=0),1,IF(IF(Inputs!$B$39="pvp",15,Inputs!$B$44)-(B1798)&lt;=0,1,MAX(0,IF(Inputs!$B$39="pvp",15,Inputs!$B$44)-MAX(5,B1798))/(IF(Inputs!$B$39="pvp",15,Inputs!$B$44)-(B1798))))*IF(AND(ArtifactsInput!$M$42,((Inputs!$B$9+((C1779=TRUE)*(F1779-Calc!F26))+B1787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1768*(MIN(100,(Inputs!$B$9+((C1779=TRUE)*(F1779-Calc!F26))+B1787+(ArtifactsInput!$M$24-ArtifactsInput!$M$24)*CHOOSE(ArtifactsInput!$N$24+1,10,12,14,16,18,20)+(IF(AND(Inputs!$B$39&lt;&gt;"pvp",Inputs!$B$44=0),1,IF(IF(Inputs!$B$39="pvp",15,Inputs!$B$44)-(B1798)&lt;=0,1,MAX(0,IF(Inputs!$B$39="pvp",15,Inputs!$B$44)-MAX(5,B1798))/(IF(Inputs!$B$39="pvp",15,Inputs!$B$44)-(B1798))))*IF(AND(ArtifactsInput!$M$42,((Inputs!$B$9+((C1779=TRUE)*(F1779-Calc!F26))+B1787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1768*(1-MIN(100,(Inputs!$B$9+((C1779=TRUE)*(F1779-Calc!F26))+B1787+(ArtifactsInput!$M$24-ArtifactsInput!$M$24)*CHOOSE(ArtifactsInput!$N$24+1,10,12,14,16,18,20)+(IF(AND(Inputs!$B$39&lt;&gt;"pvp",Inputs!$B$44=0),1,IF(IF(Inputs!$B$39="pvp",15,Inputs!$B$44)-(B1798)&lt;=0,1,MAX(0,IF(Inputs!$B$39="pvp",15,Inputs!$B$44)-MAX(5,B1798))/(IF(Inputs!$B$39="pvp",15,Inputs!$B$44)-(B1798))))*IF(AND(ArtifactsInput!$M$42,((Inputs!$B$9+((C1779=TRUE)*(F1779-Calc!F26))+B1787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1768*(MIN(100,(Inputs!$B$9+((C1779=TRUE)*(F1779-Calc!F26))+B1787+(ArtifactsInput!$M$24-ArtifactsInput!$M$24)*CHOOSE(ArtifactsInput!$N$24+1,10,12,14,16,18,20)+(IF(AND(Inputs!$B$39&lt;&gt;"pvp",Inputs!$B$44=0),1,IF(IF(Inputs!$B$39="pvp",15,Inputs!$B$44)-(B1798)&lt;=0,1,MAX(0,IF(Inputs!$B$39="pvp",15,Inputs!$B$44)-MAX(5,B1798))/(IF(Inputs!$B$39="pvp",15,Inputs!$B$44)-(B1798))))*IF(AND(ArtifactsInput!$M$42,((Inputs!$B$9+((C1779=TRUE)*(F1779-Calc!F26))+B1787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1768">
        <f>IF(C1768,(H1768*N1768*IF(AND(Inputs!$B$39&lt;&gt;"pvp",Inputs!$B$44&gt;0),((Skills!G15*((R1768-1)*IF(Skills!H15&gt;0,Skills!I15/Skills!H15,1)+IF(Skills!H15&gt;0,MIN(Skills!I15,MAX(0,MAX(0,Inputs!$B$44-B1798)-((R1768-1)*IF(Inputs!$B$39="pvp",15,MAX(0.1,Skills!D15-IF(TRUE=TRUE,Inputs!$B$32,0))))))/Skills!H15,1)))/Inputs!$B$44),G1768*Q1768))*IF(Inputs!$B$39="pvp",1,(1+(Inputs!$B$21+Skills!Q15+B1788+(IF(ArtifactsInput!$M$33,CHOOSE(ArtifactsInput!$N$33+1,30,36,42,48,54,60),0))+(IF(AND(ArtifactsInput!$M$35,Inputs!$B$4&lt;&gt;"Chapter Hunt"),CHOOSE(ArtifactsInput!$N$35+1,15,18,21,24,27,30)*(1-EXP(-(0.2*B1791)*5)),0)+IF(AND(ArtifactsInput!$M$22,Inputs!$B$4&lt;&gt;"Chapter Hunt"),CHOOSE(ArtifactsInput!$N$22+1,10,12,14,16,18,20)*((0*(((0.15*B1791*5))^0/1)+1*(((0.15*B1791*5))^1/1)+2*(((0.15*B1791*5))^2/2)+3*(((0.15*B1791*5))^3/6)+4*(((0.15*B1791*5))^4/24)+5*(((0.15*B1791*5))^5/120))/((((0.15*B1791*5))^0/1)+(((0.15*B1791*5))^1/1)+(((0.15*B1791*5))^2/2)+(((0.15*B1791*5))^3/6)+(((0.15*B1791*5))^4/24)+(((0.15*B1791*5))^5/120))),0)))/100)*(MIN(MIN(5,0.5*IF(Inputs!$B$3&gt;=75,0.75,0.5)*B1791*(1/Q1757))*Skills!V15,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769">
      <c r="A1769">
        <f>Skills!A16</f>
        <v/>
      </c>
      <c r="B1769">
        <f>Skills!B16</f>
        <v/>
      </c>
      <c r="C1769">
        <f>Inputs!$B$3&gt;=110</f>
        <v/>
      </c>
      <c r="D1769">
        <f>IF(Skills!C16=1,60+Inputs!$B$25+Inputs!$B$29,IF(Skills!C16=2,90+Inputs!$B$26+Inputs!$B$29,IF(Skills!C16=3,120+Inputs!$B$27+Inputs!$B$29,MAX(0,(Inputs!$B$3-100)*3)+Inputs!$B$28+Inputs!$B$29)))</f>
        <v/>
      </c>
      <c r="E1769">
        <f>INDEX(FactorTable!$B$2:$Y$301, MATCH(ROUND(MIN(300,MAX(1,D1769)),0), FactorTable!$A$2:$A$301,0), Skills!M16+1)</f>
        <v/>
      </c>
      <c r="F1769">
        <f>IF(Skills!N16=TRUE,(Skills!L16/10)*(E1769/1000),Skills!L16/10)+Skills!O16</f>
        <v/>
      </c>
      <c r="G1769">
        <f>Skills!G16*IF(Skills!H16&gt;0,IF(Inputs!$B$39="pvp",MIN(Skills!I16,15),Skills!I16)/Skills!H16,1)</f>
        <v/>
      </c>
      <c r="H1769">
        <f>1-(1-Skills!J16/100)^Skills!K16</f>
        <v/>
      </c>
      <c r="I1769" t="inlineStr">
        <is>
          <t>1</t>
        </is>
      </c>
      <c r="J1769" t="inlineStr"/>
      <c r="K1769" t="inlineStr"/>
      <c r="L1769" t="inlineStr"/>
      <c r="M1769" t="inlineStr"/>
      <c r="N1769" t="inlineStr"/>
      <c r="O1769">
        <f>(1-Summary!$B$11)*T1769+Summary!$B$11*V1769</f>
        <v/>
      </c>
      <c r="P1769">
        <f>IF(B1799=0,0,O1769/B1799)</f>
        <v/>
      </c>
      <c r="Q1769">
        <f>IFERROR(1/IF(Inputs!$B$39="pvp",15,MAX(0.1,Skills!D16-IF(TRUE=TRUE,Inputs!$B$32,0))),0)</f>
        <v/>
      </c>
      <c r="R1769">
        <f>IF(AND(Inputs!$B$39&lt;&gt;"pvp",Inputs!$B$44&gt;0),IF(Inputs!$B$44&lt;=0,0,(INT(Inputs!$B$44/IF(Inputs!$B$39="pvp",15,MAX(0.1,Skills!D16-IF(TRUE=TRUE,Inputs!$B$32,0))))+1)),0)</f>
        <v/>
      </c>
      <c r="S1769">
        <f>IFERROR(O1769/N1769,0)</f>
        <v/>
      </c>
      <c r="T1769" t="n">
        <v>0</v>
      </c>
      <c r="V1769" t="n">
        <v>0</v>
      </c>
    </row>
    <row r="1770">
      <c r="A1770">
        <f>Skills!A17</f>
        <v/>
      </c>
      <c r="B1770">
        <f>Skills!B17</f>
        <v/>
      </c>
      <c r="C1770">
        <f>Inputs!$B$3&gt;=115</f>
        <v/>
      </c>
      <c r="D1770">
        <f>IF(Skills!C17=1,60+Inputs!$B$25+Inputs!$B$29,IF(Skills!C17=2,90+Inputs!$B$26+Inputs!$B$29,IF(Skills!C17=3,120+Inputs!$B$27+Inputs!$B$29,MAX(0,(Inputs!$B$3-100)*3)+Inputs!$B$28+Inputs!$B$29)))</f>
        <v/>
      </c>
      <c r="E1770">
        <f>INDEX(FactorTable!$B$2:$Y$301, MATCH(ROUND(MIN(300,MAX(1,D1770)),0), FactorTable!$A$2:$A$301,0), Skills!M17+1)</f>
        <v/>
      </c>
      <c r="F1770">
        <f>IF(Skills!N17=TRUE,(Skills!L17/10)*(E1770/1000),Skills!L17/10)+Skills!O17</f>
        <v/>
      </c>
      <c r="G1770">
        <f>Skills!G17*IF(Skills!H17&gt;0,IF(Inputs!$B$39="pvp",MIN(Skills!I17,15),Skills!I17)/Skills!H17,1)</f>
        <v/>
      </c>
      <c r="H1770">
        <f>1-(1-Skills!J17/100)^Skills!K17</f>
        <v/>
      </c>
      <c r="I1770" t="inlineStr">
        <is>
          <t>1</t>
        </is>
      </c>
      <c r="J1770">
        <f>((Inputs!$B$6*(1+Inputs!$B$7/100))+(((Inputs!$B$12*(1+Inputs!$B$13/100))-(Inputs!$B$12*(1+Inputs!$B$13/100)))+0.25*(Inputs!$B$14-Inputs!$B$14))*(1+Inputs!$B$7/100))*(F1770/100)</f>
        <v/>
      </c>
      <c r="K1770">
        <f>J1770*(1+((Inputs!$B$12*(1+Inputs!$B$13/100))*0.01+Inputs!$B$14*0.0025)/100)*(1+Inputs!$B$15/100)*(1+Inputs!$B$16/100)*(5000/(6000+Inputs!$B$43*(1-(100*(1-(1-Inputs!$B$19/100)*(1-CHOOSE(ArtifactsInput!$N$40+1,5,6,7,8,9,10)/100)^(ArtifactsInput!$M$40-ArtifactsInput!$M$40)))/100)))*(1+(Inputs!$B$24+((C1784=TRUE)*(F1784-Calc!F31))+((C1771=TRUE)*(F1771-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17="CRUEL_STAB",Inputs!$B$17+((C1781=TRUE)*(F1781-Calc!F28))+((IF(AND(Inputs!$B$39&lt;&gt;"pvp",Inputs!$B$44=0),1,IF(IF(Inputs!$B$39="pvp",15,Inputs!$B$44)-(B1798)&lt;=0,1,MAX(0,IF(Inputs!$B$39="pvp",15,Inputs!$B$44)-MAX(5,B1798))/(IF(Inputs!$B$39="pvp",15,Inputs!$B$44)-(B1798))))*(IF(AND(ArtifactsInput!$M$42,((Inputs!$B$9+((C1779=TRUE)*(F1779-Calc!F26))+B1787+(ArtifactsInput!$M$24-ArtifactsInput!$M$24)*CHOOSE(ArtifactsInput!$N$24+1,10,12,14,16,18,20)+IF(ArtifactsInput!$M$10,CHOOSE(ArtifactsInput!$N$10+1,15,18,21,24,27,30)*(IF(Inputs!$B$39="pvp",MIN(15,15)/15,IF(AND(Inputs!$B$39&lt;&gt;"pvp",Inputs!$B$44&gt;0),MIN(15,Inputs!$B$44)/(Inputs!$B$44),0))),0)))&gt;=100),MIN(100,((Inputs!$B$9+((C1779=TRUE)*(F1779-Calc!F26))+B1787+(ArtifactsInput!$M$24-ArtifactsInput!$M$24)*CHOOSE(ArtifactsInput!$N$24+1,10,12,14,16,18,20)+IF(ArtifactsInput!$M$10,CHOOSE(ArtifactsInput!$N$10+1,15,18,21,24,27,30)*(IF(Inputs!$B$39="pvp",MIN(15,15)/15,IF(AND(Inputs!$B$39&lt;&gt;"pvp",Inputs!$B$44&gt;0),MIN(15,Inputs!$B$44)/(Inputs!$B$44),0))),0)))-100),0))*CHOOSE(ArtifactsInput!$N$42+1,0.6,0.72,0.84,0.96,1.08,1.2))),Inputs!$B$18+((C1782=TRUE)*(F1782-Calc!F29))+(IF(AND(Inputs!$B$39&lt;&gt;"pvp",Inputs!$B$44=0),1,IF(IF(Inputs!$B$39="pvp",15,Inputs!$B$44)-(B1798)&lt;=0,1,MAX(0,IF(Inputs!$B$39="pvp",15,Inputs!$B$44)-MAX(5,B1798))/(IF(Inputs!$B$39="pvp",15,Inputs!$B$44)-(B1798))))*IF(AND(ArtifactsInput!$M$42,((Inputs!$B$9+((C1779=TRUE)*(F1779-Calc!F26))+B1787+(ArtifactsInput!$M$24-ArtifactsInput!$M$24)*CHOOSE(ArtifactsInput!$N$24+1,10,12,14,16,18,20)+IF(ArtifactsInput!$M$10,CHOOSE(ArtifactsInput!$N$10+1,15,18,21,24,27,30)*(IF(Inputs!$B$39="pvp",MIN(15,15)/15,IF(AND(Inputs!$B$39&lt;&gt;"pvp",Inputs!$B$44&gt;0),MIN(15,Inputs!$B$44)/(Inputs!$B$44),0))),0)))&gt;=100),CHOOSE(ArtifactsInput!$N$42+1,40,48,56,64,72,80),0))))/100)*(((1+(((C1775=TRUE)*F1775*IF(AND(Inputs!$B$39&lt;&gt;"pvp",Inputs!$B$44&gt;0),(((R1775-1)*MIN((Skills!Y22*(1+Inputs!$B$34/100)),(1/Q1775))+MIN((Skills!Y22*(1+Inputs!$B$34/100)),MAX(0,Inputs!$B$44-((R1775-1)*(1/Q1775)))))/Inputs!$B$44),IF(Inputs!$B$39="pvp",MIN((Skills!Y22*(1+Inputs!$B$34/100)),15)/15,MIN(1,(Skills!Y22*(1+Inputs!$B$34/100))/(1/Q1775)))))+((C1756=TRUE)*F1756*3)+((C1758=TRUE)*F1758*(1-EXP(-0.75*B1791*5)))+((C1777=TRUE)*(F1777-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1764=TRUE)*F1764*IF(AND(Inputs!$B$39&lt;&gt;"pvp",Inputs!$B$44&gt;0),(((R1764-1)*MIN((Skills!Y11*(1+Inputs!$B$34/100)),(1/Q1764))+MIN((Skills!Y11*(1+Inputs!$B$34/100)),MAX(0,Inputs!$B$44-((R1764-1)*(1/Q1764)))))/Inputs!$B$44),IF(Inputs!$B$39="pvp",MIN((Skills!Y11*(1+Inputs!$B$34/100)),15)/15,MIN(1,(Skills!Y11*(1+Inputs!$B$34/100))/(1/Q1764)))))/100)*(1+((C1769=TRUE)*F1769*IF(AND(Inputs!$B$39&lt;&gt;"pvp",Inputs!$B$44&gt;0),(((R1769-1)*MIN((Skills!Y16*(1+Inputs!$B$34/100)),(1/Q1769))+MIN((Skills!Y16*(1+Inputs!$B$34/100)),MAX(0,Inputs!$B$44-((R1769-1)*(1/Q1769)))))/Inputs!$B$44),IF(Inputs!$B$39="pvp",MIN((Skills!Y16*(1+Inputs!$B$34/100)),15)/15,MIN(1,(Skills!Y16*(1+Inputs!$B$34/100))/(1/Q1769)))))/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1789*I1770)</f>
        <v/>
      </c>
      <c r="L1770">
        <f>K1770*(MIN(Inputs!$B$22+((C1778=TRUE)*(F1778-Calc!F25)),(Inputs!$B$23+((C1783=TRUE)*(F1783-Calc!F30))+IF(ArtifactsInput!$M$15,CHOOSE(ArtifactsInput!$N$15+1,25,30,35,40,45,50)/100*(Inputs!$B$11-Inputs!$B$11),0)))/100+(Inputs!$B$23+((C1783=TRUE)*(F1783-Calc!F30))+IF(ArtifactsInput!$M$15,CHOOSE(ArtifactsInput!$N$15+1,25,30,35,40,45,50)/100*(Inputs!$B$11-Inputs!$B$11),0))/100)/2</f>
        <v/>
      </c>
      <c r="M1770">
        <f>L1770*(1+(Inputs!$B$10+((C1780=TRUE)*(F1780-Calc!F27))+B1794+(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1770">
        <f>L1770*(1-MIN((Inputs!$B$9+((C1779=TRUE)*(F1779-Calc!F26))+B1787+(ArtifactsInput!$M$24-ArtifactsInput!$M$24)*CHOOSE(ArtifactsInput!$N$24+1,10,12,14,16,18,20)+(IF(AND(Inputs!$B$39&lt;&gt;"pvp",Inputs!$B$44=0),1,IF(IF(Inputs!$B$39="pvp",15,Inputs!$B$44)-(B1798)&lt;=0,1,MAX(0,IF(Inputs!$B$39="pvp",15,Inputs!$B$44)-MAX(5,B1798))/(IF(Inputs!$B$39="pvp",15,Inputs!$B$44)-(B1798))))*IF(AND(ArtifactsInput!$M$42,((Inputs!$B$9+((C1779=TRUE)*(F1779-Calc!F26))+B1787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1770*(MIN((Inputs!$B$9+((C1779=TRUE)*(F1779-Calc!F26))+B1787+(ArtifactsInput!$M$24-ArtifactsInput!$M$24)*CHOOSE(ArtifactsInput!$N$24+1,10,12,14,16,18,20)+(IF(AND(Inputs!$B$39&lt;&gt;"pvp",Inputs!$B$44=0),1,IF(IF(Inputs!$B$39="pvp",15,Inputs!$B$44)-(B1798)&lt;=0,1,MAX(0,IF(Inputs!$B$39="pvp",15,Inputs!$B$44)-MAX(5,B1798))/(IF(Inputs!$B$39="pvp",15,Inputs!$B$44)-(B1798))))*IF(AND(ArtifactsInput!$M$42,((Inputs!$B$9+((C1779=TRUE)*(F1779-Calc!F26))+B1787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770">
        <f>(1-Summary!$B$11)*T1770+Summary!$B$11*V1770</f>
        <v/>
      </c>
      <c r="P1770">
        <f>IF(B1799=0,0,O1770/B1799)</f>
        <v/>
      </c>
      <c r="Q1770" t="n">
        <v>0</v>
      </c>
      <c r="R1770" t="n">
        <v>0</v>
      </c>
      <c r="S1770">
        <f>IFERROR(O1770/N1770,0)</f>
        <v/>
      </c>
      <c r="T1770">
        <f>IF(C1770,(Inputs!$B$38*0.2*N1770)*IF(Inputs!$B$39="pvp",1,1+(Inputs!$B$20+0+Skills!P17+B1788+(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Hunt"),CHOOSE(ArtifactsInput!$N$35+1,15,18,21,24,27,30)*(1-EXP(-(0.2*B1791)*5)),0)+IF(AND(ArtifactsInput!$M$22,Inputs!$B$4&lt;&gt;"Chapter Hunt"),CHOOSE(ArtifactsInput!$N$22+1,10,12,14,16,18,20)*((0*(((0.15*B1791*5))^0/1)+1*(((0.15*B1791*5))^1/1)+2*(((0.15*B1791*5))^2/2)+3*(((0.15*B1791*5))^3/6)+4*(((0.15*B1791*5))^4/24)+5*(((0.15*B1791*5))^5/120))/((((0.15*B1791*5))^0/1)+(((0.15*B1791*5))^1/1)+(((0.15*B1791*5))^2/2)+(((0.15*B1791*5))^3/6)+(((0.15*B1791*5))^4/24)+(((0.15*B1791*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1770*(1-MIN(100,(Inputs!$B$9+((C1779=TRUE)*(F1779-Calc!F26))+B1787+(ArtifactsInput!$M$24-ArtifactsInput!$M$24)*CHOOSE(ArtifactsInput!$N$24+1,10,12,14,16,18,20)+(IF(AND(Inputs!$B$39&lt;&gt;"pvp",Inputs!$B$44=0),1,IF(IF(Inputs!$B$39="pvp",15,Inputs!$B$44)-(B1798)&lt;=0,1,MAX(0,IF(Inputs!$B$39="pvp",15,Inputs!$B$44)-MAX(5,B1798))/(IF(Inputs!$B$39="pvp",15,Inputs!$B$44)-(B1798))))*IF(AND(ArtifactsInput!$M$42,((Inputs!$B$9+((C1779=TRUE)*(F1779-Calc!F26))+B1787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1770*(MIN(100,(Inputs!$B$9+((C1779=TRUE)*(F1779-Calc!F26))+B1787+(ArtifactsInput!$M$24-ArtifactsInput!$M$24)*CHOOSE(ArtifactsInput!$N$24+1,10,12,14,16,18,20)+(IF(AND(Inputs!$B$39&lt;&gt;"pvp",Inputs!$B$44=0),1,IF(IF(Inputs!$B$39="pvp",15,Inputs!$B$44)-(B1798)&lt;=0,1,MAX(0,IF(Inputs!$B$39="pvp",15,Inputs!$B$44)-MAX(5,B1798))/(IF(Inputs!$B$39="pvp",15,Inputs!$B$44)-(B1798))))*IF(AND(ArtifactsInput!$M$42,((Inputs!$B$9+((C1779=TRUE)*(F1779-Calc!F26))+B1787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1770*(1-MIN(100,(Inputs!$B$9+((C1779=TRUE)*(F1779-Calc!F26))+B1787+(ArtifactsInput!$M$24-ArtifactsInput!$M$24)*CHOOSE(ArtifactsInput!$N$24+1,10,12,14,16,18,20)+(IF(AND(Inputs!$B$39&lt;&gt;"pvp",Inputs!$B$44=0),1,IF(IF(Inputs!$B$39="pvp",15,Inputs!$B$44)-(B1798)&lt;=0,1,MAX(0,IF(Inputs!$B$39="pvp",15,Inputs!$B$44)-MAX(5,B1798))/(IF(Inputs!$B$39="pvp",15,Inputs!$B$44)-(B1798))))*IF(AND(ArtifactsInput!$M$42,((Inputs!$B$9+((C1779=TRUE)*(F1779-Calc!F26))+B1787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1770*(MIN(100,(Inputs!$B$9+((C1779=TRUE)*(F1779-Calc!F26))+B1787+(ArtifactsInput!$M$24-ArtifactsInput!$M$24)*CHOOSE(ArtifactsInput!$N$24+1,10,12,14,16,18,20)+(IF(AND(Inputs!$B$39&lt;&gt;"pvp",Inputs!$B$44=0),1,IF(IF(Inputs!$B$39="pvp",15,Inputs!$B$44)-(B1798)&lt;=0,1,MAX(0,IF(Inputs!$B$39="pvp",15,Inputs!$B$44)-MAX(5,B1798))/(IF(Inputs!$B$39="pvp",15,Inputs!$B$44)-(B1798))))*IF(AND(ArtifactsInput!$M$42,((Inputs!$B$9+((C1779=TRUE)*(F1779-Calc!F26))+B1787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1770">
        <f>IF(C1770,(Inputs!$B$38*0.2*N1770)*IF(Inputs!$B$39="pvp",1,(1+(Inputs!$B$21+Skills!Q17+B1788+(IF(ArtifactsInput!$M$33,CHOOSE(ArtifactsInput!$N$33+1,30,36,42,48,54,60),0))+(IF(AND(ArtifactsInput!$M$35,Inputs!$B$4&lt;&gt;"Chapter Hunt"),CHOOSE(ArtifactsInput!$N$35+1,15,18,21,24,27,30)*(1-EXP(-(0.2*B1791)*5)),0)+IF(AND(ArtifactsInput!$M$22,Inputs!$B$4&lt;&gt;"Chapter Hunt"),CHOOSE(ArtifactsInput!$N$22+1,10,12,14,16,18,20)*((0*(((0.15*B1791*5))^0/1)+1*(((0.15*B1791*5))^1/1)+2*(((0.15*B1791*5))^2/2)+3*(((0.15*B1791*5))^3/6)+4*(((0.15*B1791*5))^4/24)+5*(((0.15*B1791*5))^5/120))/((((0.15*B1791*5))^0/1)+(((0.15*B1791*5))^1/1)+(((0.15*B1791*5))^2/2)+(((0.15*B1791*5))^3/6)+(((0.15*B1791*5))^4/24)+(((0.15*B1791*5))^5/120))),0)))/100)*(MIN(Skills!W17,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771">
      <c r="A1771">
        <f>Skills!A18</f>
        <v/>
      </c>
      <c r="B1771">
        <f>Skills!B18</f>
        <v/>
      </c>
      <c r="C1771">
        <f>Inputs!$B$3&gt;=115</f>
        <v/>
      </c>
      <c r="D1771">
        <f>IF(Skills!C18=1,60+Inputs!$B$25+Inputs!$B$29,IF(Skills!C18=2,90+Inputs!$B$26+Inputs!$B$29,IF(Skills!C18=3,120+Inputs!$B$27+Inputs!$B$29,MAX(0,(Inputs!$B$3-100)*3)+Inputs!$B$28+Inputs!$B$29)))</f>
        <v/>
      </c>
      <c r="E1771">
        <f>INDEX(FactorTable!$B$2:$Y$301, MATCH(ROUND(MIN(300,MAX(1,D1771)),0), FactorTable!$A$2:$A$301,0), Skills!M18+1)</f>
        <v/>
      </c>
      <c r="F1771">
        <f>IF(Skills!N18=TRUE,(Skills!L18/10)*(E1771/1000),Skills!L18/10)+Skills!O18</f>
        <v/>
      </c>
      <c r="G1771">
        <f>Skills!G18*IF(Skills!H18&gt;0,IF(Inputs!$B$39="pvp",MIN(Skills!I18,15),Skills!I18)/Skills!H18,1)</f>
        <v/>
      </c>
      <c r="H1771">
        <f>1-(1-Skills!J18/100)^Skills!K18</f>
        <v/>
      </c>
      <c r="I1771" t="inlineStr">
        <is>
          <t>1</t>
        </is>
      </c>
      <c r="J1771" t="inlineStr"/>
      <c r="K1771" t="inlineStr"/>
      <c r="L1771" t="inlineStr"/>
      <c r="M1771" t="inlineStr"/>
      <c r="N1771" t="inlineStr"/>
      <c r="O1771">
        <f>(1-Summary!$B$11)*T1771+Summary!$B$11*V1771</f>
        <v/>
      </c>
      <c r="P1771">
        <f>IF(B1799=0,0,O1771/B1799)</f>
        <v/>
      </c>
      <c r="Q1771" t="n">
        <v>0</v>
      </c>
      <c r="R1771" t="n">
        <v>0</v>
      </c>
      <c r="S1771">
        <f>IFERROR(O1771/N1771,0)</f>
        <v/>
      </c>
      <c r="T1771" t="n">
        <v>0</v>
      </c>
      <c r="V1771" t="n">
        <v>0</v>
      </c>
    </row>
    <row r="1772">
      <c r="A1772">
        <f>Skills!A19</f>
        <v/>
      </c>
      <c r="B1772">
        <f>Skills!B19</f>
        <v/>
      </c>
      <c r="C1772">
        <f>Inputs!$B$3&gt;=100</f>
        <v/>
      </c>
      <c r="D1772">
        <f>IF(Skills!C19=1,60+Inputs!$B$25+Inputs!$B$29,IF(Skills!C19=2,90+Inputs!$B$26+Inputs!$B$29,IF(Skills!C19=3,120+Inputs!$B$27+Inputs!$B$29,MAX(0,(Inputs!$B$3-100)*3)+Inputs!$B$28+Inputs!$B$29)))</f>
        <v/>
      </c>
      <c r="E1772">
        <f>INDEX(FactorTable!$B$2:$Y$301, MATCH(ROUND(MIN(300,MAX(1,D1772)),0), FactorTable!$A$2:$A$301,0), Skills!M19+1)</f>
        <v/>
      </c>
      <c r="F1772">
        <f>IF(Skills!N19=TRUE,(Skills!L19/10)*(E1772/1000),Skills!L19/10)+Skills!O19</f>
        <v/>
      </c>
      <c r="G1772">
        <f>Skills!G19*IF(Skills!H19&gt;0,IF(Inputs!$B$39="pvp",MIN(Skills!I19,15),Skills!I19)/Skills!H19,1)</f>
        <v/>
      </c>
      <c r="H1772">
        <f>1-(1-Skills!J19/100)^Skills!K19</f>
        <v/>
      </c>
      <c r="I1772" t="inlineStr">
        <is>
          <t>1</t>
        </is>
      </c>
      <c r="J1772" t="inlineStr"/>
      <c r="K1772" t="inlineStr"/>
      <c r="L1772" t="inlineStr"/>
      <c r="M1772" t="inlineStr"/>
      <c r="N1772" t="inlineStr"/>
      <c r="O1772">
        <f>(1-Summary!$B$11)*T1772+Summary!$B$11*V1772</f>
        <v/>
      </c>
      <c r="P1772">
        <f>IF(B1799=0,0,O1772/B1799)</f>
        <v/>
      </c>
      <c r="Q1772" t="n">
        <v>0</v>
      </c>
      <c r="R1772" t="n">
        <v>0</v>
      </c>
      <c r="S1772">
        <f>IFERROR(O1772/N1772,0)</f>
        <v/>
      </c>
      <c r="T1772" t="n">
        <v>0</v>
      </c>
      <c r="V1772" t="n">
        <v>0</v>
      </c>
    </row>
    <row r="1773">
      <c r="A1773">
        <f>Skills!A20</f>
        <v/>
      </c>
      <c r="B1773">
        <f>Skills!B20</f>
        <v/>
      </c>
      <c r="C1773">
        <f>TRUE</f>
        <v/>
      </c>
      <c r="D1773">
        <f>IF(Skills!C20=1,60+Inputs!$B$25+Inputs!$B$29,IF(Skills!C20=2,90+Inputs!$B$26+Inputs!$B$29,IF(Skills!C20=3,120+Inputs!$B$27+Inputs!$B$29,MAX(0,(Inputs!$B$3-100)*3)+Inputs!$B$28+Inputs!$B$29)))</f>
        <v/>
      </c>
      <c r="E1773">
        <f>INDEX(FactorTable!$B$2:$Y$301, MATCH(ROUND(MIN(300,MAX(1,D1773)),0), FactorTable!$A$2:$A$301,0), Skills!M20+1)</f>
        <v/>
      </c>
      <c r="F1773">
        <f>IF(Skills!N20=TRUE,(Skills!L20/10)*(E1773/1000),Skills!L20/10)+Skills!O20</f>
        <v/>
      </c>
      <c r="G1773">
        <f>Skills!G20*IF(Skills!H20&gt;0,IF(Inputs!$B$39="pvp",MIN(Skills!I20,15),Skills!I20)/Skills!H20,1)</f>
        <v/>
      </c>
      <c r="H1773">
        <f>1-(1-Skills!J20/100)^Skills!K20</f>
        <v/>
      </c>
      <c r="I1773" t="inlineStr">
        <is>
          <t>1</t>
        </is>
      </c>
      <c r="J1773" t="inlineStr"/>
      <c r="K1773" t="inlineStr"/>
      <c r="L1773" t="inlineStr"/>
      <c r="M1773" t="inlineStr"/>
      <c r="N1773" t="inlineStr"/>
      <c r="O1773">
        <f>(1-Summary!$B$11)*T1773+Summary!$B$11*V1773</f>
        <v/>
      </c>
      <c r="P1773">
        <f>IF(B1799=0,0,O1773/B1799)</f>
        <v/>
      </c>
      <c r="Q1773">
        <f>IFERROR(1/IF(Inputs!$B$39="pvp",15,MAX(0.1,Skills!D20-IF(TRUE=TRUE,Inputs!$B$32,0))),0)</f>
        <v/>
      </c>
      <c r="R1773">
        <f>IF(AND(Inputs!$B$39&lt;&gt;"pvp",Inputs!$B$44&gt;0),IF(Inputs!$B$44&lt;=0,0,(INT(Inputs!$B$44/IF(Inputs!$B$39="pvp",15,MAX(0.1,Skills!D20-IF(TRUE=TRUE,Inputs!$B$32,0))))+1)),0)</f>
        <v/>
      </c>
      <c r="S1773">
        <f>IFERROR(O1773/N1773,0)</f>
        <v/>
      </c>
      <c r="T1773" t="n">
        <v>0</v>
      </c>
      <c r="V1773" t="n">
        <v>0</v>
      </c>
    </row>
    <row r="1774">
      <c r="A1774">
        <f>Skills!A21</f>
        <v/>
      </c>
      <c r="B1774">
        <f>Skills!B21</f>
        <v/>
      </c>
      <c r="C1774">
        <f>Inputs!$B$3&gt;=15</f>
        <v/>
      </c>
      <c r="D1774">
        <f>IF(Skills!C21=1,60+Inputs!$B$25+Inputs!$B$29,IF(Skills!C21=2,90+Inputs!$B$26+Inputs!$B$29,IF(Skills!C21=3,120+Inputs!$B$27+Inputs!$B$29,MAX(0,(Inputs!$B$3-100)*3)+Inputs!$B$28+Inputs!$B$29)))</f>
        <v/>
      </c>
      <c r="E1774">
        <f>INDEX(FactorTable!$B$2:$Y$301, MATCH(ROUND(MIN(300,MAX(1,D1774)),0), FactorTable!$A$2:$A$301,0), Skills!M21+1)</f>
        <v/>
      </c>
      <c r="F1774">
        <f>IF(Skills!N21=TRUE,(Skills!L21/10)*(E1774/1000),Skills!L21/10)+Skills!O21</f>
        <v/>
      </c>
      <c r="G1774">
        <f>Skills!G21*IF(Skills!H21&gt;0,IF(Inputs!$B$39="pvp",MIN(Skills!I21,15),Skills!I21)/Skills!H21,1)</f>
        <v/>
      </c>
      <c r="H1774">
        <f>1-(1-Skills!J21/100)^Skills!K21</f>
        <v/>
      </c>
      <c r="I1774" t="inlineStr">
        <is>
          <t>1</t>
        </is>
      </c>
      <c r="J1774" t="inlineStr"/>
      <c r="K1774" t="inlineStr"/>
      <c r="L1774" t="inlineStr"/>
      <c r="M1774" t="inlineStr"/>
      <c r="N1774" t="inlineStr"/>
      <c r="O1774">
        <f>(1-Summary!$B$11)*T1774+Summary!$B$11*V1774</f>
        <v/>
      </c>
      <c r="P1774">
        <f>IF(B1799=0,0,O1774/B1799)</f>
        <v/>
      </c>
      <c r="Q1774">
        <f>IFERROR(1/IF(Inputs!$B$39="pvp",15,MAX(0.1,Skills!D21-IF(TRUE=TRUE,Inputs!$B$32,0))),0)</f>
        <v/>
      </c>
      <c r="R1774">
        <f>IF(AND(Inputs!$B$39&lt;&gt;"pvp",Inputs!$B$44&gt;0),IF(Inputs!$B$44&lt;=0,0,(INT(Inputs!$B$44/IF(Inputs!$B$39="pvp",15,MAX(0.1,Skills!D21-IF(TRUE=TRUE,Inputs!$B$32,0))))+1)),0)</f>
        <v/>
      </c>
      <c r="S1774">
        <f>IFERROR(O1774/N1774,0)</f>
        <v/>
      </c>
      <c r="T1774" t="n">
        <v>0</v>
      </c>
      <c r="V1774" t="n">
        <v>0</v>
      </c>
    </row>
    <row r="1775">
      <c r="A1775">
        <f>Skills!A22</f>
        <v/>
      </c>
      <c r="B1775">
        <f>Skills!B22</f>
        <v/>
      </c>
      <c r="C1775">
        <f>Inputs!$B$3&gt;=15</f>
        <v/>
      </c>
      <c r="D1775">
        <f>IF(Skills!C22=1,60+Inputs!$B$25+Inputs!$B$29,IF(Skills!C22=2,90+Inputs!$B$26+Inputs!$B$29,IF(Skills!C22=3,120+Inputs!$B$27+Inputs!$B$29,MAX(0,(Inputs!$B$3-100)*3)+Inputs!$B$28+Inputs!$B$29)))</f>
        <v/>
      </c>
      <c r="E1775">
        <f>INDEX(FactorTable!$B$2:$Y$301, MATCH(ROUND(MIN(300,MAX(1,D1775)),0), FactorTable!$A$2:$A$301,0), Skills!M22+1)</f>
        <v/>
      </c>
      <c r="F1775">
        <f>IF(Skills!N22=TRUE,(Skills!L22/10)*(E1775/1000),Skills!L22/10)+Skills!O22</f>
        <v/>
      </c>
      <c r="G1775">
        <f>Skills!G22*IF(Skills!H22&gt;0,IF(Inputs!$B$39="pvp",MIN(Skills!I22,15),Skills!I22)/Skills!H22,1)</f>
        <v/>
      </c>
      <c r="H1775">
        <f>1-(1-Skills!J22/100)^Skills!K22</f>
        <v/>
      </c>
      <c r="I1775" t="inlineStr">
        <is>
          <t>1</t>
        </is>
      </c>
      <c r="J1775" t="inlineStr"/>
      <c r="K1775" t="inlineStr"/>
      <c r="L1775" t="inlineStr"/>
      <c r="M1775" t="inlineStr"/>
      <c r="N1775" t="inlineStr"/>
      <c r="O1775">
        <f>(1-Summary!$B$11)*T1775+Summary!$B$11*V1775</f>
        <v/>
      </c>
      <c r="P1775">
        <f>IF(B1799=0,0,O1775/B1799)</f>
        <v/>
      </c>
      <c r="Q1775">
        <f>IFERROR(1/IF(Inputs!$B$39="pvp",15,MAX(0.1,Skills!D22-IF(TRUE=TRUE,Inputs!$B$32,0))),0)</f>
        <v/>
      </c>
      <c r="R1775">
        <f>IF(AND(Inputs!$B$39&lt;&gt;"pvp",Inputs!$B$44&gt;0),IF(Inputs!$B$44&lt;=0,0,(INT(Inputs!$B$44/IF(Inputs!$B$39="pvp",15,MAX(0.1,Skills!D22-IF(TRUE=TRUE,Inputs!$B$32,0))))+1)),0)</f>
        <v/>
      </c>
      <c r="S1775">
        <f>IFERROR(O1775/N1775,0)</f>
        <v/>
      </c>
      <c r="T1775" t="n">
        <v>0</v>
      </c>
      <c r="V1775" t="n">
        <v>0</v>
      </c>
    </row>
    <row r="1776">
      <c r="A1776">
        <f>Skills!A23</f>
        <v/>
      </c>
      <c r="B1776">
        <f>Skills!B23</f>
        <v/>
      </c>
      <c r="C1776">
        <f>Inputs!$B$3&gt;=33</f>
        <v/>
      </c>
      <c r="D1776">
        <f>IF(Skills!C23=1,60+Inputs!$B$25+Inputs!$B$29,IF(Skills!C23=2,90+Inputs!$B$26+Inputs!$B$29,IF(Skills!C23=3,120+Inputs!$B$27+Inputs!$B$29,MAX(0,(Inputs!$B$3-100)*3)+Inputs!$B$28+Inputs!$B$29)))</f>
        <v/>
      </c>
      <c r="E1776">
        <f>INDEX(FactorTable!$B$2:$Y$301, MATCH(ROUND(MIN(300,MAX(1,D1776)),0), FactorTable!$A$2:$A$301,0), Skills!M23+1)</f>
        <v/>
      </c>
      <c r="F1776">
        <f>IF(Skills!N23=TRUE,(Skills!L23/10)*(E1776/1000),Skills!L23/10)+Skills!O23</f>
        <v/>
      </c>
      <c r="G1776">
        <f>Skills!G23*IF(Skills!H23&gt;0,IF(Inputs!$B$39="pvp",MIN(Skills!I23,15),Skills!I23)/Skills!H23,1)</f>
        <v/>
      </c>
      <c r="H1776">
        <f>1-(1-Skills!J23/100)^Skills!K23</f>
        <v/>
      </c>
      <c r="I1776" t="inlineStr">
        <is>
          <t>1</t>
        </is>
      </c>
      <c r="J1776" t="inlineStr"/>
      <c r="K1776" t="inlineStr"/>
      <c r="L1776" t="inlineStr"/>
      <c r="M1776" t="inlineStr"/>
      <c r="N1776" t="inlineStr"/>
      <c r="O1776">
        <f>(1-Summary!$B$11)*T1776+Summary!$B$11*V1776</f>
        <v/>
      </c>
      <c r="P1776">
        <f>IF(B1799=0,0,O1776/B1799)</f>
        <v/>
      </c>
      <c r="Q1776" t="n">
        <v>0</v>
      </c>
      <c r="R1776" t="n">
        <v>0</v>
      </c>
      <c r="S1776">
        <f>IFERROR(O1776/N1776,0)</f>
        <v/>
      </c>
      <c r="T1776" t="n">
        <v>0</v>
      </c>
      <c r="V1776" t="n">
        <v>0</v>
      </c>
    </row>
    <row r="1777">
      <c r="A1777">
        <f>Skills!A24</f>
        <v/>
      </c>
      <c r="B1777">
        <f>Skills!B24</f>
        <v/>
      </c>
      <c r="C1777">
        <f>Inputs!$B$3&gt;=40</f>
        <v/>
      </c>
      <c r="D1777">
        <f>IF(Skills!C24=1,60+Inputs!$B$25+Inputs!$B$29,IF(Skills!C24=2,90+Inputs!$B$26+Inputs!$B$29,IF(Skills!C24=3,120+Inputs!$B$27+Inputs!$B$29,MAX(0,(Inputs!$B$3-100)*3)+Inputs!$B$28+Inputs!$B$29)))</f>
        <v/>
      </c>
      <c r="E1777">
        <f>INDEX(FactorTable!$B$2:$Y$301, MATCH(ROUND(MIN(300,MAX(1,D1777)),0), FactorTable!$A$2:$A$301,0), Skills!M24+1)</f>
        <v/>
      </c>
      <c r="F1777">
        <f>IF(Skills!N24=TRUE,(Skills!L24/10)*(E1777/1000),Skills!L24/10)+Skills!O24</f>
        <v/>
      </c>
      <c r="G1777">
        <f>Skills!G24*IF(Skills!H24&gt;0,IF(Inputs!$B$39="pvp",MIN(Skills!I24,15),Skills!I24)/Skills!H24,1)</f>
        <v/>
      </c>
      <c r="H1777">
        <f>1-(1-Skills!J24/100)^Skills!K24</f>
        <v/>
      </c>
      <c r="I1777" t="inlineStr">
        <is>
          <t>1</t>
        </is>
      </c>
      <c r="J1777" t="inlineStr"/>
      <c r="K1777" t="inlineStr"/>
      <c r="L1777" t="inlineStr"/>
      <c r="M1777" t="inlineStr"/>
      <c r="N1777" t="inlineStr"/>
      <c r="O1777">
        <f>(1-Summary!$B$11)*T1777+Summary!$B$11*V1777</f>
        <v/>
      </c>
      <c r="P1777">
        <f>IF(B1799=0,0,O1777/B1799)</f>
        <v/>
      </c>
      <c r="Q1777" t="n">
        <v>0</v>
      </c>
      <c r="R1777" t="n">
        <v>0</v>
      </c>
      <c r="S1777">
        <f>IFERROR(O1777/N1777,0)</f>
        <v/>
      </c>
      <c r="T1777" t="n">
        <v>0</v>
      </c>
      <c r="V1777" t="n">
        <v>0</v>
      </c>
    </row>
    <row r="1778">
      <c r="A1778">
        <f>Skills!A25</f>
        <v/>
      </c>
      <c r="B1778">
        <f>Skills!B25</f>
        <v/>
      </c>
      <c r="C1778">
        <f>Inputs!$B$3&gt;=43</f>
        <v/>
      </c>
      <c r="D1778">
        <f>IF(Skills!C25=1,60+Inputs!$B$25+Inputs!$B$29,IF(Skills!C25=2,90+Inputs!$B$26+Inputs!$B$29,IF(Skills!C25=3,120+Inputs!$B$27+Inputs!$B$29,MAX(0,(Inputs!$B$3-100)*3)+Inputs!$B$28+Inputs!$B$29)))</f>
        <v/>
      </c>
      <c r="E1778">
        <f>INDEX(FactorTable!$B$2:$Y$301, MATCH(ROUND(MIN(300,MAX(1,D1778)),0), FactorTable!$A$2:$A$301,0), Skills!M25+1)</f>
        <v/>
      </c>
      <c r="F1778">
        <f>IF(Skills!N25=TRUE,(Skills!L25/10)*(E1778/1000),Skills!L25/10)+Skills!O25</f>
        <v/>
      </c>
      <c r="G1778">
        <f>Skills!G25*IF(Skills!H25&gt;0,IF(Inputs!$B$39="pvp",MIN(Skills!I25,15),Skills!I25)/Skills!H25,1)</f>
        <v/>
      </c>
      <c r="H1778">
        <f>1-(1-Skills!J25/100)^Skills!K25</f>
        <v/>
      </c>
      <c r="I1778" t="inlineStr">
        <is>
          <t>1</t>
        </is>
      </c>
      <c r="J1778" t="inlineStr"/>
      <c r="K1778" t="inlineStr"/>
      <c r="L1778" t="inlineStr"/>
      <c r="M1778" t="inlineStr"/>
      <c r="N1778" t="inlineStr"/>
      <c r="O1778">
        <f>(1-Summary!$B$11)*T1778+Summary!$B$11*V1778</f>
        <v/>
      </c>
      <c r="P1778">
        <f>IF(B1799=0,0,O1778/B1799)</f>
        <v/>
      </c>
      <c r="Q1778" t="n">
        <v>0</v>
      </c>
      <c r="R1778" t="n">
        <v>0</v>
      </c>
      <c r="S1778">
        <f>IFERROR(O1778/N1778,0)</f>
        <v/>
      </c>
      <c r="T1778" t="n">
        <v>0</v>
      </c>
      <c r="V1778" t="n">
        <v>0</v>
      </c>
    </row>
    <row r="1779">
      <c r="A1779">
        <f>Skills!A26</f>
        <v/>
      </c>
      <c r="B1779">
        <f>Skills!B26</f>
        <v/>
      </c>
      <c r="C1779">
        <f>Inputs!$B$3&gt;=50</f>
        <v/>
      </c>
      <c r="D1779">
        <f>IF(Skills!C26=1,60+Inputs!$B$25+Inputs!$B$29,IF(Skills!C26=2,90+Inputs!$B$26+Inputs!$B$29,IF(Skills!C26=3,120+Inputs!$B$27+Inputs!$B$29,MAX(0,(Inputs!$B$3-100)*3)+Inputs!$B$28+Inputs!$B$29)))</f>
        <v/>
      </c>
      <c r="E1779">
        <f>INDEX(FactorTable!$B$2:$Y$301, MATCH(ROUND(MIN(300,MAX(1,D1779)),0), FactorTable!$A$2:$A$301,0), Skills!M26+1)</f>
        <v/>
      </c>
      <c r="F1779">
        <f>IF(Skills!N26=TRUE,(Skills!L26/10)*(E1779/1000),Skills!L26/10)+Skills!O26</f>
        <v/>
      </c>
      <c r="G1779">
        <f>Skills!G26*IF(Skills!H26&gt;0,IF(Inputs!$B$39="pvp",MIN(Skills!I26,15),Skills!I26)/Skills!H26,1)</f>
        <v/>
      </c>
      <c r="H1779">
        <f>1-(1-Skills!J26/100)^Skills!K26</f>
        <v/>
      </c>
      <c r="I1779" t="inlineStr">
        <is>
          <t>1</t>
        </is>
      </c>
      <c r="J1779" t="inlineStr"/>
      <c r="K1779" t="inlineStr"/>
      <c r="L1779" t="inlineStr"/>
      <c r="M1779" t="inlineStr"/>
      <c r="N1779" t="inlineStr"/>
      <c r="O1779">
        <f>(1-Summary!$B$11)*T1779+Summary!$B$11*V1779</f>
        <v/>
      </c>
      <c r="P1779">
        <f>IF(B1799=0,0,O1779/B1799)</f>
        <v/>
      </c>
      <c r="Q1779" t="n">
        <v>0</v>
      </c>
      <c r="R1779" t="n">
        <v>0</v>
      </c>
      <c r="S1779">
        <f>IFERROR(O1779/N1779,0)</f>
        <v/>
      </c>
      <c r="T1779" t="n">
        <v>0</v>
      </c>
      <c r="V1779" t="n">
        <v>0</v>
      </c>
    </row>
    <row r="1780">
      <c r="A1780">
        <f>Skills!A27</f>
        <v/>
      </c>
      <c r="B1780">
        <f>Skills!B27</f>
        <v/>
      </c>
      <c r="C1780">
        <f>Inputs!$B$3&gt;=50</f>
        <v/>
      </c>
      <c r="D1780">
        <f>IF(Skills!C27=1,60+Inputs!$B$25+Inputs!$B$29,IF(Skills!C27=2,90+Inputs!$B$26+Inputs!$B$29,IF(Skills!C27=3,120+Inputs!$B$27+Inputs!$B$29,MAX(0,(Inputs!$B$3-100)*3)+Inputs!$B$28+Inputs!$B$29)))</f>
        <v/>
      </c>
      <c r="E1780">
        <f>INDEX(FactorTable!$B$2:$Y$301, MATCH(ROUND(MIN(300,MAX(1,D1780)),0), FactorTable!$A$2:$A$301,0), Skills!M27+1)</f>
        <v/>
      </c>
      <c r="F1780">
        <f>IF(Skills!N27=TRUE,(Skills!L27/10)*(E1780/1000),Skills!L27/10)+Skills!O27</f>
        <v/>
      </c>
      <c r="G1780">
        <f>Skills!G27*IF(Skills!H27&gt;0,IF(Inputs!$B$39="pvp",MIN(Skills!I27,15),Skills!I27)/Skills!H27,1)</f>
        <v/>
      </c>
      <c r="H1780">
        <f>1-(1-Skills!J27/100)^Skills!K27</f>
        <v/>
      </c>
      <c r="I1780" t="inlineStr">
        <is>
          <t>1</t>
        </is>
      </c>
      <c r="J1780" t="inlineStr"/>
      <c r="K1780" t="inlineStr"/>
      <c r="L1780" t="inlineStr"/>
      <c r="M1780" t="inlineStr"/>
      <c r="N1780" t="inlineStr"/>
      <c r="O1780">
        <f>(1-Summary!$B$11)*T1780+Summary!$B$11*V1780</f>
        <v/>
      </c>
      <c r="P1780">
        <f>IF(B1799=0,0,O1780/B1799)</f>
        <v/>
      </c>
      <c r="Q1780" t="n">
        <v>0</v>
      </c>
      <c r="R1780" t="n">
        <v>0</v>
      </c>
      <c r="S1780">
        <f>IFERROR(O1780/N1780,0)</f>
        <v/>
      </c>
      <c r="T1780" t="n">
        <v>0</v>
      </c>
      <c r="V1780" t="n">
        <v>0</v>
      </c>
    </row>
    <row r="1781">
      <c r="A1781">
        <f>Skills!A28</f>
        <v/>
      </c>
      <c r="B1781">
        <f>Skills!B28</f>
        <v/>
      </c>
      <c r="C1781">
        <f>Inputs!$B$3&gt;=38</f>
        <v/>
      </c>
      <c r="D1781">
        <f>IF(Skills!C28=1,60+Inputs!$B$25+Inputs!$B$29,IF(Skills!C28=2,90+Inputs!$B$26+Inputs!$B$29,IF(Skills!C28=3,120+Inputs!$B$27+Inputs!$B$29,MAX(0,(Inputs!$B$3-100)*3)+Inputs!$B$28+Inputs!$B$29)))</f>
        <v/>
      </c>
      <c r="E1781">
        <f>INDEX(FactorTable!$B$2:$Y$301, MATCH(ROUND(MIN(300,MAX(1,D1781)),0), FactorTable!$A$2:$A$301,0), Skills!M28+1)</f>
        <v/>
      </c>
      <c r="F1781">
        <f>IF(Skills!N28=TRUE,(Skills!L28/10)*(E1781/1000),Skills!L28/10)+Skills!O28</f>
        <v/>
      </c>
      <c r="G1781">
        <f>Skills!G28*IF(Skills!H28&gt;0,IF(Inputs!$B$39="pvp",MIN(Skills!I28,15),Skills!I28)/Skills!H28,1)</f>
        <v/>
      </c>
      <c r="H1781">
        <f>1-(1-Skills!J28/100)^Skills!K28</f>
        <v/>
      </c>
      <c r="I1781" t="inlineStr">
        <is>
          <t>1</t>
        </is>
      </c>
      <c r="J1781" t="inlineStr"/>
      <c r="K1781" t="inlineStr"/>
      <c r="L1781" t="inlineStr"/>
      <c r="M1781" t="inlineStr"/>
      <c r="N1781" t="inlineStr"/>
      <c r="O1781">
        <f>(1-Summary!$B$11)*T1781+Summary!$B$11*V1781</f>
        <v/>
      </c>
      <c r="P1781">
        <f>IF(B1799=0,0,O1781/B1799)</f>
        <v/>
      </c>
      <c r="Q1781" t="n">
        <v>0</v>
      </c>
      <c r="R1781" t="n">
        <v>0</v>
      </c>
      <c r="S1781">
        <f>IFERROR(O1781/N1781,0)</f>
        <v/>
      </c>
      <c r="T1781" t="n">
        <v>0</v>
      </c>
      <c r="V1781" t="n">
        <v>0</v>
      </c>
    </row>
    <row r="1782">
      <c r="A1782">
        <f>Skills!A29</f>
        <v/>
      </c>
      <c r="B1782">
        <f>Skills!B29</f>
        <v/>
      </c>
      <c r="C1782">
        <f>Inputs!$B$3&gt;=120</f>
        <v/>
      </c>
      <c r="D1782">
        <f>IF(Skills!C29=1,60+Inputs!$B$25+Inputs!$B$29,IF(Skills!C29=2,90+Inputs!$B$26+Inputs!$B$29,IF(Skills!C29=3,120+Inputs!$B$27+Inputs!$B$29,MAX(0,(Inputs!$B$3-100)*3)+Inputs!$B$28+Inputs!$B$29)))</f>
        <v/>
      </c>
      <c r="E1782">
        <f>INDEX(FactorTable!$B$2:$Y$301, MATCH(ROUND(MIN(300,MAX(1,D1782)),0), FactorTable!$A$2:$A$301,0), Skills!M29+1)</f>
        <v/>
      </c>
      <c r="F1782">
        <f>IF(Skills!N29=TRUE,(Skills!L29/10)*(E1782/1000),Skills!L29/10)+Skills!O29</f>
        <v/>
      </c>
      <c r="G1782">
        <f>Skills!G29*IF(Skills!H29&gt;0,IF(Inputs!$B$39="pvp",MIN(Skills!I29,15),Skills!I29)/Skills!H29,1)</f>
        <v/>
      </c>
      <c r="H1782">
        <f>1-(1-Skills!J29/100)^Skills!K29</f>
        <v/>
      </c>
      <c r="I1782" t="inlineStr">
        <is>
          <t>1</t>
        </is>
      </c>
      <c r="J1782" t="inlineStr"/>
      <c r="K1782" t="inlineStr"/>
      <c r="L1782" t="inlineStr"/>
      <c r="M1782" t="inlineStr"/>
      <c r="N1782" t="inlineStr"/>
      <c r="O1782">
        <f>(1-Summary!$B$11)*T1782+Summary!$B$11*V1782</f>
        <v/>
      </c>
      <c r="P1782">
        <f>IF(B1799=0,0,O1782/B1799)</f>
        <v/>
      </c>
      <c r="Q1782" t="n">
        <v>0</v>
      </c>
      <c r="R1782" t="n">
        <v>0</v>
      </c>
      <c r="S1782">
        <f>IFERROR(O1782/N1782,0)</f>
        <v/>
      </c>
      <c r="T1782" t="n">
        <v>0</v>
      </c>
      <c r="V1782" t="n">
        <v>0</v>
      </c>
    </row>
    <row r="1783">
      <c r="A1783">
        <f>Skills!A30</f>
        <v/>
      </c>
      <c r="B1783">
        <f>Skills!B30</f>
        <v/>
      </c>
      <c r="C1783">
        <f>Inputs!$B$3&gt;=120</f>
        <v/>
      </c>
      <c r="D1783">
        <f>IF(Skills!C30=1,60+Inputs!$B$25+Inputs!$B$29,IF(Skills!C30=2,90+Inputs!$B$26+Inputs!$B$29,IF(Skills!C30=3,120+Inputs!$B$27+Inputs!$B$29,MAX(0,(Inputs!$B$3-100)*3)+Inputs!$B$28+Inputs!$B$29)))</f>
        <v/>
      </c>
      <c r="E1783">
        <f>INDEX(FactorTable!$B$2:$Y$301, MATCH(ROUND(MIN(300,MAX(1,D1783)),0), FactorTable!$A$2:$A$301,0), Skills!M30+1)</f>
        <v/>
      </c>
      <c r="F1783">
        <f>IF(Skills!N30=TRUE,(Skills!L30/10)*(E1783/1000),Skills!L30/10)+Skills!O30</f>
        <v/>
      </c>
      <c r="G1783">
        <f>Skills!G30*IF(Skills!H30&gt;0,IF(Inputs!$B$39="pvp",MIN(Skills!I30,15),Skills!I30)/Skills!H30,1)</f>
        <v/>
      </c>
      <c r="H1783">
        <f>1-(1-Skills!J30/100)^Skills!K30</f>
        <v/>
      </c>
      <c r="I1783" t="inlineStr">
        <is>
          <t>1</t>
        </is>
      </c>
      <c r="J1783" t="inlineStr"/>
      <c r="K1783" t="inlineStr"/>
      <c r="L1783" t="inlineStr"/>
      <c r="M1783" t="inlineStr"/>
      <c r="N1783" t="inlineStr"/>
      <c r="O1783">
        <f>(1-Summary!$B$11)*T1783+Summary!$B$11*V1783</f>
        <v/>
      </c>
      <c r="P1783">
        <f>IF(B1799=0,0,O1783/B1799)</f>
        <v/>
      </c>
      <c r="Q1783" t="n">
        <v>0</v>
      </c>
      <c r="R1783" t="n">
        <v>0</v>
      </c>
      <c r="S1783">
        <f>IFERROR(O1783/N1783,0)</f>
        <v/>
      </c>
      <c r="T1783" t="n">
        <v>0</v>
      </c>
      <c r="V1783" t="n">
        <v>0</v>
      </c>
    </row>
    <row r="1784">
      <c r="A1784">
        <f>Skills!A31</f>
        <v/>
      </c>
      <c r="B1784">
        <f>Skills!B31</f>
        <v/>
      </c>
      <c r="C1784">
        <f>Inputs!$B$3&gt;=125</f>
        <v/>
      </c>
      <c r="D1784">
        <f>IF(Skills!C31=1,60+Inputs!$B$25+Inputs!$B$29,IF(Skills!C31=2,90+Inputs!$B$26+Inputs!$B$29,IF(Skills!C31=3,120+Inputs!$B$27+Inputs!$B$29,MAX(0,(Inputs!$B$3-100)*3)+Inputs!$B$28+Inputs!$B$29)))</f>
        <v/>
      </c>
      <c r="E1784">
        <f>INDEX(FactorTable!$B$2:$Y$301, MATCH(ROUND(MIN(300,MAX(1,D1784)),0), FactorTable!$A$2:$A$301,0), Skills!M31+1)</f>
        <v/>
      </c>
      <c r="F1784">
        <f>IF(Skills!N31=TRUE,(Skills!L31/10)*(E1784/1000),Skills!L31/10)+Skills!O31</f>
        <v/>
      </c>
      <c r="G1784">
        <f>Skills!G31*IF(Skills!H31&gt;0,IF(Inputs!$B$39="pvp",MIN(Skills!I31,15),Skills!I31)/Skills!H31,1)</f>
        <v/>
      </c>
      <c r="H1784">
        <f>1-(1-Skills!J31/100)^Skills!K31</f>
        <v/>
      </c>
      <c r="I1784" t="inlineStr">
        <is>
          <t>1</t>
        </is>
      </c>
      <c r="J1784" t="inlineStr"/>
      <c r="K1784" t="inlineStr"/>
      <c r="L1784" t="inlineStr"/>
      <c r="M1784" t="inlineStr"/>
      <c r="N1784" t="inlineStr"/>
      <c r="O1784">
        <f>(1-Summary!$B$11)*T1784+Summary!$B$11*V1784</f>
        <v/>
      </c>
      <c r="P1784">
        <f>IF(B1799=0,0,O1784/B1799)</f>
        <v/>
      </c>
      <c r="Q1784" t="n">
        <v>0</v>
      </c>
      <c r="R1784" t="n">
        <v>0</v>
      </c>
      <c r="S1784">
        <f>IFERROR(O1784/N1784,0)</f>
        <v/>
      </c>
      <c r="T1784" t="n">
        <v>0</v>
      </c>
      <c r="V1784" t="n">
        <v>0</v>
      </c>
    </row>
    <row r="1786">
      <c r="A1786" t="inlineStr">
        <is>
          <t>Average Buff Multiplier</t>
        </is>
      </c>
      <c r="B1786">
        <f>(1+(((C1775=TRUE)*F1775*IF(AND(Inputs!$B$39&lt;&gt;"pvp",Inputs!$B$44&gt;0),(((R1775-1)*MIN((Skills!Y22*(1+Inputs!$B$34/100)),(1/Q1775))+MIN((Skills!Y22*(1+Inputs!$B$34/100)),MAX(0,Inputs!$B$44-((R1775-1)*(1/Q1775)))))/Inputs!$B$44),IF(Inputs!$B$39="pvp",MIN((Skills!Y22*(1+Inputs!$B$34/100)),15)/15,MIN(1,(Skills!Y22*(1+Inputs!$B$34/100))/(1/Q1775)))))+((C1756=TRUE)*F1756*3)+((C1758=TRUE)*F1758*(1-EXP(-0.75*B1791*5)))+((C1777=TRUE)*(F1777-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1764=TRUE)*F1764*IF(AND(Inputs!$B$39&lt;&gt;"pvp",Inputs!$B$44&gt;0),(((R1764-1)*MIN((Skills!Y11*(1+Inputs!$B$34/100)),(1/Q1764))+MIN((Skills!Y11*(1+Inputs!$B$34/100)),MAX(0,Inputs!$B$44-((R1764-1)*(1/Q1764)))))/Inputs!$B$44),IF(Inputs!$B$39="pvp",MIN((Skills!Y11*(1+Inputs!$B$34/100)),15)/15,MIN(1,(Skills!Y11*(1+Inputs!$B$34/100))/(1/Q1764)))))/100)*(1+((C1769=TRUE)*F1769*IF(AND(Inputs!$B$39&lt;&gt;"pvp",Inputs!$B$44&gt;0),(((R1769-1)*MIN((Skills!Y16*(1+Inputs!$B$34/100)),(1/Q1769))+MIN((Skills!Y16*(1+Inputs!$B$34/100)),MAX(0,Inputs!$B$44-((R1769-1)*(1/Q1769)))))/Inputs!$B$44),IF(Inputs!$B$39="pvp",MIN((Skills!Y16*(1+Inputs!$B$34/100)),15)/15,MIN(1,(Skills!Y16*(1+Inputs!$B$34/100))/(1/Q1769)))))/100)</f>
        <v/>
      </c>
    </row>
    <row r="1787">
      <c r="A1787" t="inlineStr">
        <is>
          <t>Global Crit Rate Bonus %</t>
        </is>
      </c>
      <c r="B1787">
        <f>((C1774=TRUE)*F1774*IF(AND(Inputs!$B$39&lt;&gt;"pvp",Inputs!$B$44&gt;0),(((R1774-1)*MIN((Skills!Y21*(1+Inputs!$B$34/100)),(1/Q1774))+MIN((Skills!Y21*(1+Inputs!$B$34/100)),MAX(0,Inputs!$B$44-((R1774-1)*(1/Q1774)))))/Inputs!$B$44),IF(Inputs!$B$39="pvp",MIN((Skills!Y21*(1+Inputs!$B$34/100)),15)/15,MIN(1,(Skills!Y21*(1+Inputs!$B$34/100))/(1/Q1774)))))</f>
        <v/>
      </c>
    </row>
    <row r="1788">
      <c r="A1788" t="inlineStr">
        <is>
          <t>Global Monster Damage-Taken Bonus %</t>
        </is>
      </c>
      <c r="B1788">
        <f>IF(Inputs!$B$3&gt;=82,15,0)</f>
        <v/>
      </c>
    </row>
    <row r="1789">
      <c r="A1789" t="inlineStr">
        <is>
          <t>Shadow Partner Average Multiplier</t>
        </is>
      </c>
      <c r="B1789">
        <f>1+((C1761=TRUE)*F1761*(1+3.3333333333333335*IF(C1772=TRUE,F1772,0)/100)*I1761*Skills!J8/100)/100</f>
        <v/>
      </c>
    </row>
    <row r="1790">
      <c r="A1790" t="inlineStr">
        <is>
          <t>Attack Speed Buff Bonus %</t>
        </is>
      </c>
      <c r="B1790">
        <f>((C1773=TRUE)*F1773*IF(AND(Inputs!$B$39&lt;&gt;"pvp",Inputs!$B$44&gt;0),(((R1773-1)*MIN((Skills!Y20*(1+Inputs!$B$34/100)),(1/Q1773))+MIN((Skills!Y20*(1+Inputs!$B$34/100)),MAX(0,Inputs!$B$44-((R1773-1)*(1/Q1773)))))/Inputs!$B$44),IF(Inputs!$B$39="pvp",MIN((Skills!Y20*(1+Inputs!$B$34/100)),15)/15,MIN(1,(Skills!Y20*(1+Inputs!$B$34/100))/(1/Q1773)))))</f>
        <v/>
      </c>
    </row>
    <row r="1791">
      <c r="A1791" t="inlineStr">
        <is>
          <t>Actions Per Second</t>
        </is>
      </c>
      <c r="B1791">
        <f>1+MIN(150,150*(1-(1-(Inputs!$B$11+((C1776=TRUE)*(F1776-Calc!F23)))/150)*(1-B1790/150)))/100</f>
        <v/>
      </c>
    </row>
    <row r="1792">
      <c r="A1792" t="inlineStr">
        <is>
          <t>Skill + Buff Cast Rate</t>
        </is>
      </c>
      <c r="B1792">
        <f>IF(AND(Inputs!$B$39&lt;&gt;"pvp",Inputs!$B$44&gt;0),SUMPRODUCT((Skills!E2:E31=TRUE)*(C1755:C1784=TRUE)*R1755:R1784*Skills!F2:F31)/Inputs!$B$44,SUMPRODUCT((Skills!E2:E31=TRUE)*(C1755:C1784=TRUE)*Q1755:Q1784*Skills!F2:F31))</f>
        <v/>
      </c>
    </row>
    <row r="1793">
      <c r="A1793" t="inlineStr">
        <is>
          <t>Cruel Stab Casts Per Second</t>
        </is>
      </c>
      <c r="B1793">
        <f>MAX(0,B1791-B1792)</f>
        <v/>
      </c>
    </row>
    <row r="1794">
      <c r="A1794" t="inlineStr">
        <is>
          <t>Global Critical Damage Bonus % (Smokescreen Mastery Lv.113)</t>
        </is>
      </c>
      <c r="B1794">
        <f>IF(Inputs!$B$3&gt;=113,30,0)*IF(AND(Inputs!$B$39&lt;&gt;"pvp",Inputs!$B$44&gt;0),(((R1769-1)*MIN((Skills!Y16*(1+Inputs!$B$34/100)),(1/Q1769))+MIN((Skills!Y16*(1+Inputs!$B$34/100)),MAX(0,Inputs!$B$44-((R1769-1)*(1/Q1769)))))/Inputs!$B$44),IF(Inputs!$B$39="pvp",MIN((Skills!Y16*(1+Inputs!$B$34/100)),15)/15,MIN(1,(Skills!Y16*(1+Inputs!$B$34/100))/(1/Q1769))))</f>
        <v/>
      </c>
    </row>
    <row r="1795">
      <c r="A1795" t="inlineStr">
        <is>
          <t>Meso Explosion average stack count</t>
        </is>
      </c>
      <c r="B1795">
        <f>MIN(10,IF(Inputs!$B$3&gt;=75,0.75,0.5)*B1791*(1/Q1757))</f>
        <v/>
      </c>
    </row>
    <row r="1796">
      <c r="A1796" t="inlineStr">
        <is>
          <t>Blood Money average stack count</t>
        </is>
      </c>
      <c r="B1796">
        <f>MIN(5,0.5*IF(Inputs!$B$3&gt;=75,0.75,0.5)*B1791*(1/Q1757))</f>
        <v/>
      </c>
    </row>
    <row r="1797">
      <c r="A1797" t="inlineStr">
        <is>
          <t>Assassinate Murderous Intent Multiplier</t>
        </is>
      </c>
      <c r="B1797">
        <f>1+IFERROR(MIN(1,Q1768*2/Q1765),0)</f>
        <v/>
      </c>
    </row>
    <row r="1798">
      <c r="A1798" t="inlineStr">
        <is>
          <t>Buff-Casting Startup Delay (s, fixed-duration only)</t>
        </is>
      </c>
      <c r="B1798">
        <f>IF(AND(Inputs!$B$39&lt;&gt;"pvp",Inputs!$B$44&gt;0),SUMPRODUCT((Skills!Y2:Y31&gt;0)*(Skills!E2:E31=TRUE)*(C1755:C1784=TRUE))/B1791,0)</f>
        <v/>
      </c>
    </row>
    <row r="1799">
      <c r="A1799" s="6" t="inlineStr">
        <is>
          <t>TOTAL DPS</t>
        </is>
      </c>
      <c r="B1799" s="6">
        <f>SUM(O1755:O1784)</f>
        <v/>
      </c>
    </row>
    <row r="1800">
      <c r="A1800" t="inlineStr">
        <is>
          <t>Boss-Only Total DPS (this block's swept value)</t>
        </is>
      </c>
      <c r="B1800">
        <f>SUM(T1755:T1784)</f>
        <v/>
      </c>
    </row>
    <row r="1801">
      <c r="A1801" t="inlineStr">
        <is>
          <t>Normal-Only Total DPS (this block's swept value)</t>
        </is>
      </c>
      <c r="B1801">
        <f>SUM(V1755:V1784)</f>
        <v/>
      </c>
    </row>
    <row r="1804">
      <c r="A1804" s="6" t="inlineStr">
        <is>
          <t>Stat: Mushmom's Cap (Equip)</t>
        </is>
      </c>
    </row>
    <row r="1805">
      <c r="A1805" s="5" t="inlineStr">
        <is>
          <t>Key</t>
        </is>
      </c>
      <c r="B1805" s="5" t="inlineStr">
        <is>
          <t>Name</t>
        </is>
      </c>
      <c r="C1805" s="5" t="inlineStr">
        <is>
          <t>Unlocked</t>
        </is>
      </c>
      <c r="D1805" s="5" t="inlineStr">
        <is>
          <t>InputLevel</t>
        </is>
      </c>
      <c r="E1805" s="5" t="inlineStr">
        <is>
          <t>Factor</t>
        </is>
      </c>
      <c r="F1805" s="5" t="inlineStr">
        <is>
          <t>CoefficientPercent</t>
        </is>
      </c>
      <c r="G1805" s="5" t="inlineStr">
        <is>
          <t>EffectiveHits</t>
        </is>
      </c>
      <c r="H1805" s="5" t="inlineStr">
        <is>
          <t>ProcProbability</t>
        </is>
      </c>
      <c r="I1805" s="5" t="inlineStr">
        <is>
          <t>MapleHeroMultiplier</t>
        </is>
      </c>
      <c r="J1805" s="5" t="inlineStr">
        <is>
          <t>BaseDamage</t>
        </is>
      </c>
      <c r="K1805" s="5" t="inlineStr">
        <is>
          <t>BaseHitDamage</t>
        </is>
      </c>
      <c r="L1805" s="5" t="inlineStr">
        <is>
          <t>NonCritAvg</t>
        </is>
      </c>
      <c r="M1805" s="5" t="inlineStr">
        <is>
          <t>CritAvg</t>
        </is>
      </c>
      <c r="N1805" s="5" t="inlineStr">
        <is>
          <t>ExpectedDamage(perHit)</t>
        </is>
      </c>
      <c r="O1805" s="5" t="inlineStr">
        <is>
          <t>DPS</t>
        </is>
      </c>
      <c r="P1805" s="5" t="inlineStr">
        <is>
          <t>% of Total</t>
        </is>
      </c>
      <c r="Q1805" s="5" t="inlineStr">
        <is>
          <t>InvCooldown</t>
        </is>
      </c>
      <c r="R1805" s="5" t="inlineStr">
        <is>
          <t>CastsInFight</t>
        </is>
      </c>
      <c r="S1805" s="5" t="inlineStr">
        <is>
          <t>HitRate(perSec)</t>
        </is>
      </c>
      <c r="U1805" t="inlineStr">
        <is>
          <t>helpers</t>
        </is>
      </c>
    </row>
    <row r="1806">
      <c r="A1806">
        <f>Skills!A2</f>
        <v/>
      </c>
      <c r="B1806">
        <f>Skills!B2</f>
        <v/>
      </c>
      <c r="C1806">
        <f>Inputs!$B$3&gt;=100</f>
        <v/>
      </c>
      <c r="D1806" t="inlineStr"/>
      <c r="E1806" t="inlineStr"/>
      <c r="F1806">
        <f>U1808+Skills!O2</f>
        <v/>
      </c>
      <c r="G1806">
        <f>Skills!G2*IF(Skills!H2&gt;0,IF(Inputs!$B$39="pvp",MIN(Skills!I2,15),Skills!I2)/Skills!H2,1)</f>
        <v/>
      </c>
      <c r="H1806">
        <f>1-(1-Skills!J2/100)^Skills!K2</f>
        <v/>
      </c>
      <c r="I1806" t="inlineStr">
        <is>
          <t>1</t>
        </is>
      </c>
      <c r="J1806">
        <f>((Inputs!$B$6*(1+Inputs!$B$7/100))+(((Inputs!$B$12*(1+Inputs!$B$13/100))-(Inputs!$B$12*(1+Inputs!$B$13/100)))+0.25*(Inputs!$B$14-Inputs!$B$14))*(1+Inputs!$B$7/100))*(F1806/100)</f>
        <v/>
      </c>
      <c r="K1806">
        <f>J1806*(1+((Inputs!$B$12*(1+Inputs!$B$13/100))*0.01+Inputs!$B$14*0.0025)/100)*(1+Inputs!$B$15/100)*(1+Inputs!$B$16/100)*(5000/(6000+Inputs!$B$43*(1-(100*(1-(1-Inputs!$B$19/100)*(1-CHOOSE(ArtifactsInput!$N$40+1,5,6,7,8,9,10)/100)^(ArtifactsInput!$M$40-ArtifactsInput!$M$40)))/100)))*(1+(Inputs!$B$24+((C1835=TRUE)*(F1835-Calc!F31))+((C1822=TRUE)*(F1822-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CRUEL_STAB",Inputs!$B$17+((C1832=TRUE)*(F1832-Calc!F28))+((IF(AND(Inputs!$B$39&lt;&gt;"pvp",Inputs!$B$44=0),1,IF(IF(Inputs!$B$39="pvp",15,Inputs!$B$44)-(B1849)&lt;=0,1,MAX(0,IF(Inputs!$B$39="pvp",15,Inputs!$B$44)-MAX(5,B1849))/(IF(Inputs!$B$39="pvp",15,Inputs!$B$44)-(B1849))))*(IF(AND(ArtifactsInput!$M$42,((Inputs!$B$9+((C1830=TRUE)*(F1830-Calc!F26))+B1838+(ArtifactsInput!$M$24-ArtifactsInput!$M$24)*CHOOSE(ArtifactsInput!$N$24+1,10,12,14,16,18,20)+IF(ArtifactsInput!$M$10,CHOOSE(ArtifactsInput!$N$10+1,15,18,21,24,27,30)*(IF(Inputs!$B$39="pvp",MIN(15,15)/15,IF(AND(Inputs!$B$39&lt;&gt;"pvp",Inputs!$B$44&gt;0),MIN(15,Inputs!$B$44)/(Inputs!$B$44),0))),0)))&gt;=100),MIN(100,((Inputs!$B$9+((C1830=TRUE)*(F1830-Calc!F26))+B1838+(ArtifactsInput!$M$24-ArtifactsInput!$M$24)*CHOOSE(ArtifactsInput!$N$24+1,10,12,14,16,18,20)+IF(ArtifactsInput!$M$10,CHOOSE(ArtifactsInput!$N$10+1,15,18,21,24,27,30)*(IF(Inputs!$B$39="pvp",MIN(15,15)/15,IF(AND(Inputs!$B$39&lt;&gt;"pvp",Inputs!$B$44&gt;0),MIN(15,Inputs!$B$44)/(Inputs!$B$44),0))),0)))-100),0))*CHOOSE(ArtifactsInput!$N$42+1,0.6,0.72,0.84,0.96,1.08,1.2))),Inputs!$B$18+((C1833=TRUE)*(F1833-Calc!F29))+(IF(AND(Inputs!$B$39&lt;&gt;"pvp",Inputs!$B$44=0),1,IF(IF(Inputs!$B$39="pvp",15,Inputs!$B$44)-(B1849)&lt;=0,1,MAX(0,IF(Inputs!$B$39="pvp",15,Inputs!$B$44)-MAX(5,B1849))/(IF(Inputs!$B$39="pvp",15,Inputs!$B$44)-(B1849))))*IF(AND(ArtifactsInput!$M$42,((Inputs!$B$9+((C1830=TRUE)*(F1830-Calc!F26))+B1838+(ArtifactsInput!$M$24-ArtifactsInput!$M$24)*CHOOSE(ArtifactsInput!$N$24+1,10,12,14,16,18,20)+IF(ArtifactsInput!$M$10,CHOOSE(ArtifactsInput!$N$10+1,15,18,21,24,27,30)*(IF(Inputs!$B$39="pvp",MIN(15,15)/15,IF(AND(Inputs!$B$39&lt;&gt;"pvp",Inputs!$B$44&gt;0),MIN(15,Inputs!$B$44)/(Inputs!$B$44),0))),0)))&gt;=100),CHOOSE(ArtifactsInput!$N$42+1,40,48,56,64,72,80),0))))/100)*(((1+(((C1826=TRUE)*F1826*IF(AND(Inputs!$B$39&lt;&gt;"pvp",Inputs!$B$44&gt;0),(((R1826-1)*MIN((Skills!Y22*(1+Inputs!$B$34/100)),(1/Q1826))+MIN((Skills!Y22*(1+Inputs!$B$34/100)),MAX(0,Inputs!$B$44-((R1826-1)*(1/Q1826)))))/Inputs!$B$44),IF(Inputs!$B$39="pvp",MIN((Skills!Y22*(1+Inputs!$B$34/100)),15)/15,MIN(1,(Skills!Y22*(1+Inputs!$B$34/100))/(1/Q1826)))))+((C1807=TRUE)*F1807*3)+((C1809=TRUE)*F1809*(1-EXP(-0.75*B1842*5)))+((C1828=TRUE)*(F1828-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1815=TRUE)*F1815*IF(AND(Inputs!$B$39&lt;&gt;"pvp",Inputs!$B$44&gt;0),(((R1815-1)*MIN((Skills!Y11*(1+Inputs!$B$34/100)),(1/Q1815))+MIN((Skills!Y11*(1+Inputs!$B$34/100)),MAX(0,Inputs!$B$44-((R1815-1)*(1/Q1815)))))/Inputs!$B$44),IF(Inputs!$B$39="pvp",MIN((Skills!Y11*(1+Inputs!$B$34/100)),15)/15,MIN(1,(Skills!Y11*(1+Inputs!$B$34/100))/(1/Q1815)))))/100)*(1+((C1820=TRUE)*F1820*IF(AND(Inputs!$B$39&lt;&gt;"pvp",Inputs!$B$44&gt;0),(((R1820-1)*MIN((Skills!Y16*(1+Inputs!$B$34/100)),(1/Q1820))+MIN((Skills!Y16*(1+Inputs!$B$34/100)),MAX(0,Inputs!$B$44-((R1820-1)*(1/Q1820)))))/Inputs!$B$44),IF(Inputs!$B$39="pvp",MIN((Skills!Y16*(1+Inputs!$B$34/100)),15)/15,MIN(1,(Skills!Y16*(1+Inputs!$B$34/100))/(1/Q1820)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1840*I1806)</f>
        <v/>
      </c>
      <c r="L1806">
        <f>K1806*(MIN(Inputs!$B$22+((C1829=TRUE)*(F1829-Calc!F25)),(Inputs!$B$23+((C1834=TRUE)*(F1834-Calc!F30))+IF(ArtifactsInput!$M$15,CHOOSE(ArtifactsInput!$N$15+1,25,30,35,40,45,50)/100*(Inputs!$B$11-Inputs!$B$11),0)))/100+(Inputs!$B$23+((C1834=TRUE)*(F1834-Calc!F30))+IF(ArtifactsInput!$M$15,CHOOSE(ArtifactsInput!$N$15+1,25,30,35,40,45,50)/100*(Inputs!$B$11-Inputs!$B$11),0))/100)/2</f>
        <v/>
      </c>
      <c r="M1806">
        <f>L1806*(1+(Inputs!$B$10+((C1831=TRUE)*(F1831-Calc!F27))+B1845+(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1806">
        <f>L1806*(1-MIN((Inputs!$B$9+((C1830=TRUE)*(F1830-Calc!F26))+B1838+(ArtifactsInput!$M$24-ArtifactsInput!$M$24)*CHOOSE(ArtifactsInput!$N$24+1,10,12,14,16,18,20)+(IF(AND(Inputs!$B$39&lt;&gt;"pvp",Inputs!$B$44=0),1,IF(IF(Inputs!$B$39="pvp",15,Inputs!$B$44)-(B1849)&lt;=0,1,MAX(0,IF(Inputs!$B$39="pvp",15,Inputs!$B$44)-MAX(5,B1849))/(IF(Inputs!$B$39="pvp",15,Inputs!$B$44)-(B1849))))*IF(AND(ArtifactsInput!$M$42,((Inputs!$B$9+((C1830=TRUE)*(F1830-Calc!F26))+B1838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1806*(MIN((Inputs!$B$9+((C1830=TRUE)*(F1830-Calc!F26))+B1838+(ArtifactsInput!$M$24-ArtifactsInput!$M$24)*CHOOSE(ArtifactsInput!$N$24+1,10,12,14,16,18,20)+(IF(AND(Inputs!$B$39&lt;&gt;"pvp",Inputs!$B$44=0),1,IF(IF(Inputs!$B$39="pvp",15,Inputs!$B$44)-(B1849)&lt;=0,1,MAX(0,IF(Inputs!$B$39="pvp",15,Inputs!$B$44)-MAX(5,B1849))/(IF(Inputs!$B$39="pvp",15,Inputs!$B$44)-(B1849))))*IF(AND(ArtifactsInput!$M$42,((Inputs!$B$9+((C1830=TRUE)*(F1830-Calc!F26))+B1838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806">
        <f>(1-Summary!$B$11)*T1806+Summary!$B$11*V1806</f>
        <v/>
      </c>
      <c r="P1806">
        <f>IF(B1850=0,0,O1806/B1850)</f>
        <v/>
      </c>
      <c r="Q1806" t="n">
        <v>0</v>
      </c>
      <c r="R1806" t="n">
        <v>0</v>
      </c>
      <c r="S1806">
        <f>IFERROR(O1806/N1806,0)</f>
        <v/>
      </c>
      <c r="T1806">
        <f>IF(C1806,(Skills!G2*N1806*B1844)*IF(Inputs!$B$39="pvp",1,1+(Inputs!$B$20+0+Skills!P2+B1839+(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Hunt"),CHOOSE(ArtifactsInput!$N$35+1,15,18,21,24,27,30)*(1-EXP(-(0.2*B1842)*5)),0)+IF(AND(ArtifactsInput!$M$22,Inputs!$B$4&lt;&gt;"Chapter Hunt"),CHOOSE(ArtifactsInput!$N$22+1,10,12,14,16,18,20)*((0*(((0.15*B1842*5))^0/1)+1*(((0.15*B1842*5))^1/1)+2*(((0.15*B1842*5))^2/2)+3*(((0.15*B1842*5))^3/6)+4*(((0.15*B1842*5))^4/24)+5*(((0.15*B1842*5))^5/120))/((((0.15*B1842*5))^0/1)+(((0.15*B1842*5))^1/1)+(((0.15*B1842*5))^2/2)+(((0.15*B1842*5))^3/6)+(((0.15*B1842*5))^4/24)+(((0.15*B1842*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1806*(1-MIN(100,(Inputs!$B$9+((C1830=TRUE)*(F1830-Calc!F26))+B1838+(ArtifactsInput!$M$24-ArtifactsInput!$M$24)*CHOOSE(ArtifactsInput!$N$24+1,10,12,14,16,18,20)+(IF(AND(Inputs!$B$39&lt;&gt;"pvp",Inputs!$B$44=0),1,IF(IF(Inputs!$B$39="pvp",15,Inputs!$B$44)-(B1849)&lt;=0,1,MAX(0,IF(Inputs!$B$39="pvp",15,Inputs!$B$44)-MAX(5,B1849))/(IF(Inputs!$B$39="pvp",15,Inputs!$B$44)-(B1849))))*IF(AND(ArtifactsInput!$M$42,((Inputs!$B$9+((C1830=TRUE)*(F1830-Calc!F26))+B1838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1806*(MIN(100,(Inputs!$B$9+((C1830=TRUE)*(F1830-Calc!F26))+B1838+(ArtifactsInput!$M$24-ArtifactsInput!$M$24)*CHOOSE(ArtifactsInput!$N$24+1,10,12,14,16,18,20)+(IF(AND(Inputs!$B$39&lt;&gt;"pvp",Inputs!$B$44=0),1,IF(IF(Inputs!$B$39="pvp",15,Inputs!$B$44)-(B1849)&lt;=0,1,MAX(0,IF(Inputs!$B$39="pvp",15,Inputs!$B$44)-MAX(5,B1849))/(IF(Inputs!$B$39="pvp",15,Inputs!$B$44)-(B1849))))*IF(AND(ArtifactsInput!$M$42,((Inputs!$B$9+((C1830=TRUE)*(F1830-Calc!F26))+B1838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1806*(1-MIN(100,(Inputs!$B$9+((C1830=TRUE)*(F1830-Calc!F26))+B1838+(ArtifactsInput!$M$24-ArtifactsInput!$M$24)*CHOOSE(ArtifactsInput!$N$24+1,10,12,14,16,18,20)+(IF(AND(Inputs!$B$39&lt;&gt;"pvp",Inputs!$B$44=0),1,IF(IF(Inputs!$B$39="pvp",15,Inputs!$B$44)-(B1849)&lt;=0,1,MAX(0,IF(Inputs!$B$39="pvp",15,Inputs!$B$44)-MAX(5,B1849))/(IF(Inputs!$B$39="pvp",15,Inputs!$B$44)-(B1849))))*IF(AND(ArtifactsInput!$M$42,((Inputs!$B$9+((C1830=TRUE)*(F1830-Calc!F26))+B1838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1806*(MIN(100,(Inputs!$B$9+((C1830=TRUE)*(F1830-Calc!F26))+B1838+(ArtifactsInput!$M$24-ArtifactsInput!$M$24)*CHOOSE(ArtifactsInput!$N$24+1,10,12,14,16,18,20)+(IF(AND(Inputs!$B$39&lt;&gt;"pvp",Inputs!$B$44=0),1,IF(IF(Inputs!$B$39="pvp",15,Inputs!$B$44)-(B1849)&lt;=0,1,MAX(0,IF(Inputs!$B$39="pvp",15,Inputs!$B$44)-MAX(5,B1849))/(IF(Inputs!$B$39="pvp",15,Inputs!$B$44)-(B1849))))*IF(AND(ArtifactsInput!$M$42,((Inputs!$B$9+((C1830=TRUE)*(F1830-Calc!F26))+B1838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1806">
        <f>MAX(0,(Inputs!$B$3-100)*3)+Inputs!$B$28+Inputs!$B$29</f>
        <v/>
      </c>
      <c r="V1806">
        <f>IF(C1806,(Skills!G2*N1806*B1844)*IF(Inputs!$B$39="pvp",1,(1+(Inputs!$B$21+Skills!Q2+B1839+(IF(ArtifactsInput!$M$33,CHOOSE(ArtifactsInput!$N$33+1,30,36,42,48,54,60),0))+(IF(AND(ArtifactsInput!$M$35,Inputs!$B$4&lt;&gt;"Chapter Hunt"),CHOOSE(ArtifactsInput!$N$35+1,15,18,21,24,27,30)*(1-EXP(-(0.2*B1842)*5)),0)+IF(AND(ArtifactsInput!$M$22,Inputs!$B$4&lt;&gt;"Chapter Hunt"),CHOOSE(ArtifactsInput!$N$22+1,10,12,14,16,18,20)*((0*(((0.15*B1842*5))^0/1)+1*(((0.15*B1842*5))^1/1)+2*(((0.15*B1842*5))^2/2)+3*(((0.15*B1842*5))^3/6)+4*(((0.15*B1842*5))^4/24)+5*(((0.15*B1842*5))^5/120))/((((0.15*B1842*5))^0/1)+(((0.15*B1842*5))^1/1)+(((0.15*B1842*5))^2/2)+(((0.15*B1842*5))^3/6)+(((0.15*B1842*5))^4/24)+(((0.15*B1842*5))^5/120))),0)))/100)*(MIN((6+Inputs!$B$33),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807">
      <c r="A1807">
        <f>Skills!A3</f>
        <v/>
      </c>
      <c r="B1807">
        <f>Skills!B3</f>
        <v/>
      </c>
      <c r="C1807">
        <f>Inputs!$B$3&gt;=35</f>
        <v/>
      </c>
      <c r="D1807">
        <f>IF(Skills!C3=1,60+Inputs!$B$25+Inputs!$B$29,IF(Skills!C3=2,90+Inputs!$B$26+Inputs!$B$29,IF(Skills!C3=3,120+Inputs!$B$27+Inputs!$B$29,MAX(0,(Inputs!$B$3-100)*3)+Inputs!$B$28+Inputs!$B$29)))</f>
        <v/>
      </c>
      <c r="E1807">
        <f>INDEX(FactorTable!$B$2:$Y$301, MATCH(ROUND(MIN(300,MAX(1,D1807)),0), FactorTable!$A$2:$A$301,0), Skills!M3+1)</f>
        <v/>
      </c>
      <c r="F1807">
        <f>IF(Skills!N3=TRUE,(Skills!L3/10)*(E1807/1000),Skills!L3/10)+Skills!O3</f>
        <v/>
      </c>
      <c r="G1807">
        <f>Skills!G3*IF(Skills!H3&gt;0,IF(Inputs!$B$39="pvp",MIN(Skills!I3,15),Skills!I3)/Skills!H3,1)</f>
        <v/>
      </c>
      <c r="H1807">
        <f>1-(1-Skills!J3/100)^Skills!K3</f>
        <v/>
      </c>
      <c r="I1807" t="inlineStr">
        <is>
          <t>1</t>
        </is>
      </c>
      <c r="J1807" t="inlineStr"/>
      <c r="K1807" t="inlineStr"/>
      <c r="L1807" t="inlineStr"/>
      <c r="M1807" t="inlineStr"/>
      <c r="N1807" t="inlineStr"/>
      <c r="O1807">
        <f>(1-Summary!$B$11)*T1807+Summary!$B$11*V1807</f>
        <v/>
      </c>
      <c r="P1807">
        <f>IF(B1850=0,0,O1807/B1850)</f>
        <v/>
      </c>
      <c r="Q1807" t="n">
        <v>0</v>
      </c>
      <c r="R1807" t="n">
        <v>0</v>
      </c>
      <c r="S1807">
        <f>IFERROR(O1807/N1807,0)</f>
        <v/>
      </c>
      <c r="T1807" t="n">
        <v>0</v>
      </c>
      <c r="U1807">
        <f>INDEX(FactorTable!$B$2:$Y$301, MATCH(ROUND(MIN(300,MAX(1,U1806)),0), FactorTable!$A$2:$A$301,0), 22)</f>
        <v/>
      </c>
      <c r="V1807" t="n">
        <v>0</v>
      </c>
    </row>
    <row r="1808">
      <c r="A1808">
        <f>Skills!A4</f>
        <v/>
      </c>
      <c r="B1808">
        <f>Skills!B4</f>
        <v/>
      </c>
      <c r="C1808">
        <f>Inputs!$B$3&gt;=66</f>
        <v/>
      </c>
      <c r="D1808">
        <f>IF(Skills!C4=1,60+Inputs!$B$25+Inputs!$B$29,IF(Skills!C4=2,90+Inputs!$B$26+Inputs!$B$29,IF(Skills!C4=3,120+Inputs!$B$27+Inputs!$B$29,MAX(0,(Inputs!$B$3-100)*3)+Inputs!$B$28+Inputs!$B$29)))</f>
        <v/>
      </c>
      <c r="E1808">
        <f>INDEX(FactorTable!$B$2:$Y$301, MATCH(ROUND(MIN(300,MAX(1,D1808)),0), FactorTable!$A$2:$A$301,0), Skills!M4+1)</f>
        <v/>
      </c>
      <c r="F1808">
        <f>IF(Skills!N4=TRUE,(Skills!L4/10)*(E1808/1000),Skills!L4/10)+Skills!O4</f>
        <v/>
      </c>
      <c r="G1808">
        <f>Skills!G4*IF(Skills!H4&gt;0,IF(Inputs!$B$39="pvp",MIN(Skills!I4,15),Skills!I4)/Skills!H4,1)</f>
        <v/>
      </c>
      <c r="H1808">
        <f>1-(1-Skills!J4/100)^Skills!K4</f>
        <v/>
      </c>
      <c r="I1808" t="inlineStr">
        <is>
          <t>1</t>
        </is>
      </c>
      <c r="J1808">
        <f>((Inputs!$B$6*(1+Inputs!$B$7/100))+(((Inputs!$B$12*(1+Inputs!$B$13/100))-(Inputs!$B$12*(1+Inputs!$B$13/100)))+0.25*(Inputs!$B$14-Inputs!$B$14))*(1+Inputs!$B$7/100))*(F1808/100)</f>
        <v/>
      </c>
      <c r="K1808">
        <f>J1808*(1+((Inputs!$B$12*(1+Inputs!$B$13/100))*0.01+Inputs!$B$14*0.0025)/100)*(1+Inputs!$B$15/100)*(1+Inputs!$B$16/100)*(5000/(6000+Inputs!$B$43*(1-(100*(1-(1-Inputs!$B$19/100)*(1-CHOOSE(ArtifactsInput!$N$40+1,5,6,7,8,9,10)/100)^(ArtifactsInput!$M$40-ArtifactsInput!$M$40)))/100)))*(1+(Inputs!$B$24+((C1835=TRUE)*(F1835-Calc!F31))+((C1822=TRUE)*(F1822-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4="CRUEL_STAB",Inputs!$B$17+((C1832=TRUE)*(F1832-Calc!F28))+((IF(AND(Inputs!$B$39&lt;&gt;"pvp",Inputs!$B$44=0),1,IF(IF(Inputs!$B$39="pvp",15,Inputs!$B$44)-(B1849)&lt;=0,1,MAX(0,IF(Inputs!$B$39="pvp",15,Inputs!$B$44)-MAX(5,B1849))/(IF(Inputs!$B$39="pvp",15,Inputs!$B$44)-(B1849))))*(IF(AND(ArtifactsInput!$M$42,((Inputs!$B$9+((C1830=TRUE)*(F1830-Calc!F26))+B1838+(ArtifactsInput!$M$24-ArtifactsInput!$M$24)*CHOOSE(ArtifactsInput!$N$24+1,10,12,14,16,18,20)+IF(ArtifactsInput!$M$10,CHOOSE(ArtifactsInput!$N$10+1,15,18,21,24,27,30)*(IF(Inputs!$B$39="pvp",MIN(15,15)/15,IF(AND(Inputs!$B$39&lt;&gt;"pvp",Inputs!$B$44&gt;0),MIN(15,Inputs!$B$44)/(Inputs!$B$44),0))),0)))&gt;=100),MIN(100,((Inputs!$B$9+((C1830=TRUE)*(F1830-Calc!F26))+B1838+(ArtifactsInput!$M$24-ArtifactsInput!$M$24)*CHOOSE(ArtifactsInput!$N$24+1,10,12,14,16,18,20)+IF(ArtifactsInput!$M$10,CHOOSE(ArtifactsInput!$N$10+1,15,18,21,24,27,30)*(IF(Inputs!$B$39="pvp",MIN(15,15)/15,IF(AND(Inputs!$B$39&lt;&gt;"pvp",Inputs!$B$44&gt;0),MIN(15,Inputs!$B$44)/(Inputs!$B$44),0))),0)))-100),0))*CHOOSE(ArtifactsInput!$N$42+1,0.6,0.72,0.84,0.96,1.08,1.2))),Inputs!$B$18+((C1833=TRUE)*(F1833-Calc!F29))+(IF(AND(Inputs!$B$39&lt;&gt;"pvp",Inputs!$B$44=0),1,IF(IF(Inputs!$B$39="pvp",15,Inputs!$B$44)-(B1849)&lt;=0,1,MAX(0,IF(Inputs!$B$39="pvp",15,Inputs!$B$44)-MAX(5,B1849))/(IF(Inputs!$B$39="pvp",15,Inputs!$B$44)-(B1849))))*IF(AND(ArtifactsInput!$M$42,((Inputs!$B$9+((C1830=TRUE)*(F1830-Calc!F26))+B1838+(ArtifactsInput!$M$24-ArtifactsInput!$M$24)*CHOOSE(ArtifactsInput!$N$24+1,10,12,14,16,18,20)+IF(ArtifactsInput!$M$10,CHOOSE(ArtifactsInput!$N$10+1,15,18,21,24,27,30)*(IF(Inputs!$B$39="pvp",MIN(15,15)/15,IF(AND(Inputs!$B$39&lt;&gt;"pvp",Inputs!$B$44&gt;0),MIN(15,Inputs!$B$44)/(Inputs!$B$44),0))),0)))&gt;=100),CHOOSE(ArtifactsInput!$N$42+1,40,48,56,64,72,80),0))))/100)*(((1+(((C1826=TRUE)*F1826*IF(AND(Inputs!$B$39&lt;&gt;"pvp",Inputs!$B$44&gt;0),(((R1826-1)*MIN((Skills!Y22*(1+Inputs!$B$34/100)),(1/Q1826))+MIN((Skills!Y22*(1+Inputs!$B$34/100)),MAX(0,Inputs!$B$44-((R1826-1)*(1/Q1826)))))/Inputs!$B$44),IF(Inputs!$B$39="pvp",MIN((Skills!Y22*(1+Inputs!$B$34/100)),15)/15,MIN(1,(Skills!Y22*(1+Inputs!$B$34/100))/(1/Q1826)))))+((C1807=TRUE)*F1807*3)+((C1809=TRUE)*F1809*(1-EXP(-0.75*B1842*5)))+((C1828=TRUE)*(F1828-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1815=TRUE)*F1815*IF(AND(Inputs!$B$39&lt;&gt;"pvp",Inputs!$B$44&gt;0),(((R1815-1)*MIN((Skills!Y11*(1+Inputs!$B$34/100)),(1/Q1815))+MIN((Skills!Y11*(1+Inputs!$B$34/100)),MAX(0,Inputs!$B$44-((R1815-1)*(1/Q1815)))))/Inputs!$B$44),IF(Inputs!$B$39="pvp",MIN((Skills!Y11*(1+Inputs!$B$34/100)),15)/15,MIN(1,(Skills!Y11*(1+Inputs!$B$34/100))/(1/Q1815)))))/100)*(1+((C1820=TRUE)*F1820*IF(AND(Inputs!$B$39&lt;&gt;"pvp",Inputs!$B$44&gt;0),(((R1820-1)*MIN((Skills!Y16*(1+Inputs!$B$34/100)),(1/Q1820))+MIN((Skills!Y16*(1+Inputs!$B$34/100)),MAX(0,Inputs!$B$44-((R1820-1)*(1/Q1820)))))/Inputs!$B$44),IF(Inputs!$B$39="pvp",MIN((Skills!Y16*(1+Inputs!$B$34/100)),15)/15,MIN(1,(Skills!Y16*(1+Inputs!$B$34/100))/(1/Q1820)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1840*I1808)</f>
        <v/>
      </c>
      <c r="L1808">
        <f>K1808*(MIN(Inputs!$B$22+((C1829=TRUE)*(F1829-Calc!F25)),(Inputs!$B$23+((C1834=TRUE)*(F1834-Calc!F30))+IF(ArtifactsInput!$M$15,CHOOSE(ArtifactsInput!$N$15+1,25,30,35,40,45,50)/100*(Inputs!$B$11-Inputs!$B$11),0)))/100+(Inputs!$B$23+((C1834=TRUE)*(F1834-Calc!F30))+IF(ArtifactsInput!$M$15,CHOOSE(ArtifactsInput!$N$15+1,25,30,35,40,45,50)/100*(Inputs!$B$11-Inputs!$B$11),0))/100)/2</f>
        <v/>
      </c>
      <c r="M1808">
        <f>L1808*(1+(Inputs!$B$10+((C1831=TRUE)*(F1831-Calc!F27))+B1845+(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1808">
        <f>L1808*(1-MIN((Inputs!$B$9+((C1830=TRUE)*(F1830-Calc!F26))+B1838+(ArtifactsInput!$M$24-ArtifactsInput!$M$24)*CHOOSE(ArtifactsInput!$N$24+1,10,12,14,16,18,20)+(IF(AND(Inputs!$B$39&lt;&gt;"pvp",Inputs!$B$44=0),1,IF(IF(Inputs!$B$39="pvp",15,Inputs!$B$44)-(B1849)&lt;=0,1,MAX(0,IF(Inputs!$B$39="pvp",15,Inputs!$B$44)-MAX(5,B1849))/(IF(Inputs!$B$39="pvp",15,Inputs!$B$44)-(B1849))))*IF(AND(ArtifactsInput!$M$42,((Inputs!$B$9+((C1830=TRUE)*(F1830-Calc!F26))+B1838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1808*(MIN((Inputs!$B$9+((C1830=TRUE)*(F1830-Calc!F26))+B1838+(ArtifactsInput!$M$24-ArtifactsInput!$M$24)*CHOOSE(ArtifactsInput!$N$24+1,10,12,14,16,18,20)+(IF(AND(Inputs!$B$39&lt;&gt;"pvp",Inputs!$B$44=0),1,IF(IF(Inputs!$B$39="pvp",15,Inputs!$B$44)-(B1849)&lt;=0,1,MAX(0,IF(Inputs!$B$39="pvp",15,Inputs!$B$44)-MAX(5,B1849))/(IF(Inputs!$B$39="pvp",15,Inputs!$B$44)-(B1849))))*IF(AND(ArtifactsInput!$M$42,((Inputs!$B$9+((C1830=TRUE)*(F1830-Calc!F26))+B1838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808">
        <f>(1-Summary!$B$11)*T1808+Summary!$B$11*V1808</f>
        <v/>
      </c>
      <c r="P1808">
        <f>IF(B1850=0,0,O1808/B1850)</f>
        <v/>
      </c>
      <c r="Q1808">
        <f>IFERROR(1/IF(Inputs!$B$39="pvp",15,MAX(0.1,Skills!D4-IF(TRUE=TRUE,Inputs!$B$32,0))),0)</f>
        <v/>
      </c>
      <c r="R1808">
        <f>IF(AND(Inputs!$B$39&lt;&gt;"pvp",Inputs!$B$44&gt;0),IF(MAX(0,Inputs!$B$44-B1849)&lt;=0,0,(INT(MAX(0,Inputs!$B$44-B1849)/IF(Inputs!$B$39="pvp",15,MAX(0.1,Skills!D4-IF(TRUE=TRUE,Inputs!$B$32,0))))+1)),0)</f>
        <v/>
      </c>
      <c r="S1808">
        <f>IFERROR(O1808/N1808,0)</f>
        <v/>
      </c>
      <c r="T1808">
        <f>IF(C1808,(H1808*N1808*IF(AND(Inputs!$B$39&lt;&gt;"pvp",Inputs!$B$44&gt;0),((Skills!G4*((R1808-1)*IF(Skills!H4&gt;0,Skills!I4/Skills!H4,1)+IF(Skills!H4&gt;0,MIN(Skills!I4,MAX(0,MAX(0,Inputs!$B$44-B1849)-((R1808-1)*IF(Inputs!$B$39="pvp",15,MAX(0.1,Skills!D4-IF(TRUE=TRUE,Inputs!$B$32,0))))))/Skills!H4,1)))/Inputs!$B$44),G1808*Q1808))*IF(Inputs!$B$39="pvp",1,1+(Inputs!$B$20+0+Skills!P4+B1839+(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Hunt"),CHOOSE(ArtifactsInput!$N$35+1,15,18,21,24,27,30)*(1-EXP(-(0.2*B1842)*5)),0)+IF(AND(ArtifactsInput!$M$22,Inputs!$B$4&lt;&gt;"Chapter Hunt"),CHOOSE(ArtifactsInput!$N$22+1,10,12,14,16,18,20)*((0*(((0.15*B1842*5))^0/1)+1*(((0.15*B1842*5))^1/1)+2*(((0.15*B1842*5))^2/2)+3*(((0.15*B1842*5))^3/6)+4*(((0.15*B1842*5))^4/24)+5*(((0.15*B1842*5))^5/120))/((((0.15*B1842*5))^0/1)+(((0.15*B1842*5))^1/1)+(((0.15*B1842*5))^2/2)+(((0.15*B1842*5))^3/6)+(((0.15*B1842*5))^4/24)+(((0.15*B1842*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1808*(1-MIN(100,(Inputs!$B$9+((C1830=TRUE)*(F1830-Calc!F26))+B1838+(ArtifactsInput!$M$24-ArtifactsInput!$M$24)*CHOOSE(ArtifactsInput!$N$24+1,10,12,14,16,18,20)+(IF(AND(Inputs!$B$39&lt;&gt;"pvp",Inputs!$B$44=0),1,IF(IF(Inputs!$B$39="pvp",15,Inputs!$B$44)-(B1849)&lt;=0,1,MAX(0,IF(Inputs!$B$39="pvp",15,Inputs!$B$44)-MAX(5,B1849))/(IF(Inputs!$B$39="pvp",15,Inputs!$B$44)-(B1849))))*IF(AND(ArtifactsInput!$M$42,((Inputs!$B$9+((C1830=TRUE)*(F1830-Calc!F26))+B1838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1808*(MIN(100,(Inputs!$B$9+((C1830=TRUE)*(F1830-Calc!F26))+B1838+(ArtifactsInput!$M$24-ArtifactsInput!$M$24)*CHOOSE(ArtifactsInput!$N$24+1,10,12,14,16,18,20)+(IF(AND(Inputs!$B$39&lt;&gt;"pvp",Inputs!$B$44=0),1,IF(IF(Inputs!$B$39="pvp",15,Inputs!$B$44)-(B1849)&lt;=0,1,MAX(0,IF(Inputs!$B$39="pvp",15,Inputs!$B$44)-MAX(5,B1849))/(IF(Inputs!$B$39="pvp",15,Inputs!$B$44)-(B1849))))*IF(AND(ArtifactsInput!$M$42,((Inputs!$B$9+((C1830=TRUE)*(F1830-Calc!F26))+B1838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1808*(1-MIN(100,(Inputs!$B$9+((C1830=TRUE)*(F1830-Calc!F26))+B1838+(ArtifactsInput!$M$24-ArtifactsInput!$M$24)*CHOOSE(ArtifactsInput!$N$24+1,10,12,14,16,18,20)+(IF(AND(Inputs!$B$39&lt;&gt;"pvp",Inputs!$B$44=0),1,IF(IF(Inputs!$B$39="pvp",15,Inputs!$B$44)-(B1849)&lt;=0,1,MAX(0,IF(Inputs!$B$39="pvp",15,Inputs!$B$44)-MAX(5,B1849))/(IF(Inputs!$B$39="pvp",15,Inputs!$B$44)-(B1849))))*IF(AND(ArtifactsInput!$M$42,((Inputs!$B$9+((C1830=TRUE)*(F1830-Calc!F26))+B1838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1808*(MIN(100,(Inputs!$B$9+((C1830=TRUE)*(F1830-Calc!F26))+B1838+(ArtifactsInput!$M$24-ArtifactsInput!$M$24)*CHOOSE(ArtifactsInput!$N$24+1,10,12,14,16,18,20)+(IF(AND(Inputs!$B$39&lt;&gt;"pvp",Inputs!$B$44=0),1,IF(IF(Inputs!$B$39="pvp",15,Inputs!$B$44)-(B1849)&lt;=0,1,MAX(0,IF(Inputs!$B$39="pvp",15,Inputs!$B$44)-MAX(5,B1849))/(IF(Inputs!$B$39="pvp",15,Inputs!$B$44)-(B1849))))*IF(AND(ArtifactsInput!$M$42,((Inputs!$B$9+((C1830=TRUE)*(F1830-Calc!F26))+B1838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1808">
        <f>290*U1807/1000</f>
        <v/>
      </c>
      <c r="V1808">
        <f>IF(C1808,(H1808*N1808*IF(AND(Inputs!$B$39&lt;&gt;"pvp",Inputs!$B$44&gt;0),((Skills!G4*((R1808-1)*IF(Skills!H4&gt;0,Skills!I4/Skills!H4,1)+IF(Skills!H4&gt;0,MIN(Skills!I4,MAX(0,MAX(0,Inputs!$B$44-B1849)-((R1808-1)*IF(Inputs!$B$39="pvp",15,MAX(0.1,Skills!D4-IF(TRUE=TRUE,Inputs!$B$32,0))))))/Skills!H4,1)))/Inputs!$B$44),G1808*Q1808))*IF(Inputs!$B$39="pvp",1,(1+(Inputs!$B$21+Skills!Q4+B1839+(IF(ArtifactsInput!$M$33,CHOOSE(ArtifactsInput!$N$33+1,30,36,42,48,54,60),0))+(IF(AND(ArtifactsInput!$M$35,Inputs!$B$4&lt;&gt;"Chapter Hunt"),CHOOSE(ArtifactsInput!$N$35+1,15,18,21,24,27,30)*(1-EXP(-(0.2*B1842)*5)),0)+IF(AND(ArtifactsInput!$M$22,Inputs!$B$4&lt;&gt;"Chapter Hunt"),CHOOSE(ArtifactsInput!$N$22+1,10,12,14,16,18,20)*((0*(((0.15*B1842*5))^0/1)+1*(((0.15*B1842*5))^1/1)+2*(((0.15*B1842*5))^2/2)+3*(((0.15*B1842*5))^3/6)+4*(((0.15*B1842*5))^4/24)+5*(((0.15*B1842*5))^5/120))/((((0.15*B1842*5))^0/1)+(((0.15*B1842*5))^1/1)+(((0.15*B1842*5))^2/2)+(((0.15*B1842*5))^3/6)+(((0.15*B1842*5))^4/24)+(((0.15*B1842*5))^5/120))),0)))/100)*(MIN(MIN(10,IF(Inputs!$B$3&gt;=75,0.75,0.5)*B1842*(1/Q1808)),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809">
      <c r="A1809">
        <f>Skills!A5</f>
        <v/>
      </c>
      <c r="B1809">
        <f>Skills!B5</f>
        <v/>
      </c>
      <c r="C1809">
        <f>Inputs!$B$3&gt;=75</f>
        <v/>
      </c>
      <c r="D1809">
        <f>IF(Skills!C5=1,60+Inputs!$B$25+Inputs!$B$29,IF(Skills!C5=2,90+Inputs!$B$26+Inputs!$B$29,IF(Skills!C5=3,120+Inputs!$B$27+Inputs!$B$29,MAX(0,(Inputs!$B$3-100)*3)+Inputs!$B$28+Inputs!$B$29)))</f>
        <v/>
      </c>
      <c r="E1809">
        <f>INDEX(FactorTable!$B$2:$Y$301, MATCH(ROUND(MIN(300,MAX(1,D1809)),0), FactorTable!$A$2:$A$301,0), Skills!M5+1)</f>
        <v/>
      </c>
      <c r="F1809">
        <f>IF(Skills!N5=TRUE,(Skills!L5/10)*(E1809/1000),Skills!L5/10)+Skills!O5</f>
        <v/>
      </c>
      <c r="G1809">
        <f>Skills!G5*IF(Skills!H5&gt;0,IF(Inputs!$B$39="pvp",MIN(Skills!I5,15),Skills!I5)/Skills!H5,1)</f>
        <v/>
      </c>
      <c r="H1809">
        <f>1-(1-Skills!J5/100)^Skills!K5</f>
        <v/>
      </c>
      <c r="I1809" t="inlineStr">
        <is>
          <t>1</t>
        </is>
      </c>
      <c r="J1809" t="inlineStr"/>
      <c r="K1809" t="inlineStr"/>
      <c r="L1809" t="inlineStr"/>
      <c r="M1809" t="inlineStr"/>
      <c r="N1809" t="inlineStr"/>
      <c r="O1809">
        <f>(1-Summary!$B$11)*T1809+Summary!$B$11*V1809</f>
        <v/>
      </c>
      <c r="P1809">
        <f>IF(B1850=0,0,O1809/B1850)</f>
        <v/>
      </c>
      <c r="Q1809" t="n">
        <v>0</v>
      </c>
      <c r="R1809" t="n">
        <v>0</v>
      </c>
      <c r="S1809">
        <f>IFERROR(O1809/N1809,0)</f>
        <v/>
      </c>
      <c r="T1809" t="n">
        <v>0</v>
      </c>
      <c r="V1809" t="n">
        <v>0</v>
      </c>
    </row>
    <row r="1810">
      <c r="A1810">
        <f>Skills!A6</f>
        <v/>
      </c>
      <c r="B1810">
        <f>Skills!B6</f>
        <v/>
      </c>
      <c r="C1810">
        <f>Inputs!$B$3&gt;=63</f>
        <v/>
      </c>
      <c r="D1810">
        <f>IF(Skills!C6=1,60+Inputs!$B$25+Inputs!$B$29,IF(Skills!C6=2,90+Inputs!$B$26+Inputs!$B$29,IF(Skills!C6=3,120+Inputs!$B$27+Inputs!$B$29,MAX(0,(Inputs!$B$3-100)*3)+Inputs!$B$28+Inputs!$B$29)))</f>
        <v/>
      </c>
      <c r="E1810">
        <f>INDEX(FactorTable!$B$2:$Y$301, MATCH(ROUND(MIN(300,MAX(1,D1810)),0), FactorTable!$A$2:$A$301,0), Skills!M6+1)</f>
        <v/>
      </c>
      <c r="F1810">
        <f>IF(Skills!N6=TRUE,(Skills!L6/10)*(E1810/1000),Skills!L6/10)+Skills!O6</f>
        <v/>
      </c>
      <c r="G1810">
        <f>Skills!G6*IF(Skills!H6&gt;0,IF(Inputs!$B$39="pvp",MIN(Skills!I6,15),Skills!I6)/Skills!H6,1)</f>
        <v/>
      </c>
      <c r="H1810">
        <f>1-(1-Skills!J6/100)^Skills!K6</f>
        <v/>
      </c>
      <c r="I1810" t="inlineStr">
        <is>
          <t>1</t>
        </is>
      </c>
      <c r="J1810">
        <f>((Inputs!$B$6*(1+Inputs!$B$7/100))+(((Inputs!$B$12*(1+Inputs!$B$13/100))-(Inputs!$B$12*(1+Inputs!$B$13/100)))+0.25*(Inputs!$B$14-Inputs!$B$14))*(1+Inputs!$B$7/100))*(F1810/100)</f>
        <v/>
      </c>
      <c r="K1810">
        <f>J1810*(1+((Inputs!$B$12*(1+Inputs!$B$13/100))*0.01+Inputs!$B$14*0.0025)/100)*(1+Inputs!$B$15/100)*(1+Inputs!$B$16/100)*(5000/(6000+Inputs!$B$43*(1-(100*(1-(1-Inputs!$B$19/100)*(1-CHOOSE(ArtifactsInput!$N$40+1,5,6,7,8,9,10)/100)^(ArtifactsInput!$M$40-ArtifactsInput!$M$40)))/100)))*(1+(Inputs!$B$24+((C1835=TRUE)*(F1835-Calc!F31))+((C1822=TRUE)*(F1822-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+2.6666666666666665*IF(C1823=TRUE,F1823,0)/100)*(1+(IF(Skills!A6="CRUEL_STAB",Inputs!$B$17+((C1832=TRUE)*(F1832-Calc!F28))+((IF(AND(Inputs!$B$39&lt;&gt;"pvp",Inputs!$B$44=0),1,IF(IF(Inputs!$B$39="pvp",15,Inputs!$B$44)-(B1849)&lt;=0,1,MAX(0,IF(Inputs!$B$39="pvp",15,Inputs!$B$44)-MAX(5,B1849))/(IF(Inputs!$B$39="pvp",15,Inputs!$B$44)-(B1849))))*(IF(AND(ArtifactsInput!$M$42,((Inputs!$B$9+((C1830=TRUE)*(F1830-Calc!F26))+B1838+(ArtifactsInput!$M$24-ArtifactsInput!$M$24)*CHOOSE(ArtifactsInput!$N$24+1,10,12,14,16,18,20)+IF(ArtifactsInput!$M$10,CHOOSE(ArtifactsInput!$N$10+1,15,18,21,24,27,30)*(IF(Inputs!$B$39="pvp",MIN(15,15)/15,IF(AND(Inputs!$B$39&lt;&gt;"pvp",Inputs!$B$44&gt;0),MIN(15,Inputs!$B$44)/(Inputs!$B$44),0))),0)))&gt;=100),MIN(100,((Inputs!$B$9+((C1830=TRUE)*(F1830-Calc!F26))+B1838+(ArtifactsInput!$M$24-ArtifactsInput!$M$24)*CHOOSE(ArtifactsInput!$N$24+1,10,12,14,16,18,20)+IF(ArtifactsInput!$M$10,CHOOSE(ArtifactsInput!$N$10+1,15,18,21,24,27,30)*(IF(Inputs!$B$39="pvp",MIN(15,15)/15,IF(AND(Inputs!$B$39&lt;&gt;"pvp",Inputs!$B$44&gt;0),MIN(15,Inputs!$B$44)/(Inputs!$B$44),0))),0)))-100),0))*CHOOSE(ArtifactsInput!$N$42+1,0.6,0.72,0.84,0.96,1.08,1.2))),Inputs!$B$18+((C1833=TRUE)*(F1833-Calc!F29))+(IF(AND(Inputs!$B$39&lt;&gt;"pvp",Inputs!$B$44=0),1,IF(IF(Inputs!$B$39="pvp",15,Inputs!$B$44)-(B1849)&lt;=0,1,MAX(0,IF(Inputs!$B$39="pvp",15,Inputs!$B$44)-MAX(5,B1849))/(IF(Inputs!$B$39="pvp",15,Inputs!$B$44)-(B1849))))*IF(AND(ArtifactsInput!$M$42,((Inputs!$B$9+((C1830=TRUE)*(F1830-Calc!F26))+B1838+(ArtifactsInput!$M$24-ArtifactsInput!$M$24)*CHOOSE(ArtifactsInput!$N$24+1,10,12,14,16,18,20)+IF(ArtifactsInput!$M$10,CHOOSE(ArtifactsInput!$N$10+1,15,18,21,24,27,30)*(IF(Inputs!$B$39="pvp",MIN(15,15)/15,IF(AND(Inputs!$B$39&lt;&gt;"pvp",Inputs!$B$44&gt;0),MIN(15,Inputs!$B$44)/(Inputs!$B$44),0))),0)))&gt;=100),CHOOSE(ArtifactsInput!$N$42+1,40,48,56,64,72,80),0))))/100)*(((1+(((C1826=TRUE)*F1826*IF(AND(Inputs!$B$39&lt;&gt;"pvp",Inputs!$B$44&gt;0),(((R1826-1)*MIN((Skills!Y22*(1+Inputs!$B$34/100)),(1/Q1826))+MIN((Skills!Y22*(1+Inputs!$B$34/100)),MAX(0,Inputs!$B$44-((R1826-1)*(1/Q1826)))))/Inputs!$B$44),IF(Inputs!$B$39="pvp",MIN((Skills!Y22*(1+Inputs!$B$34/100)),15)/15,MIN(1,(Skills!Y22*(1+Inputs!$B$34/100))/(1/Q1826)))))+((C1807=TRUE)*F1807*3)+((C1809=TRUE)*F1809*(1-EXP(-0.75*B1842*5)))+((C1828=TRUE)*(F1828-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1815=TRUE)*F1815*IF(AND(Inputs!$B$39&lt;&gt;"pvp",Inputs!$B$44&gt;0),(((R1815-1)*MIN((Skills!Y11*(1+Inputs!$B$34/100)),(1/Q1815))+MIN((Skills!Y11*(1+Inputs!$B$34/100)),MAX(0,Inputs!$B$44-((R1815-1)*(1/Q1815)))))/Inputs!$B$44),IF(Inputs!$B$39="pvp",MIN((Skills!Y11*(1+Inputs!$B$34/100)),15)/15,MIN(1,(Skills!Y11*(1+Inputs!$B$34/100))/(1/Q1815)))))/100)*(1+((C1820=TRUE)*F1820*IF(AND(Inputs!$B$39&lt;&gt;"pvp",Inputs!$B$44&gt;0),(((R1820-1)*MIN((Skills!Y16*(1+Inputs!$B$34/100)),(1/Q1820))+MIN((Skills!Y16*(1+Inputs!$B$34/100)),MAX(0,Inputs!$B$44-((R1820-1)*(1/Q1820)))))/Inputs!$B$44),IF(Inputs!$B$39="pvp",MIN((Skills!Y16*(1+Inputs!$B$34/100)),15)/15,MIN(1,(Skills!Y16*(1+Inputs!$B$34/100))/(1/Q1820)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1840*I1810)</f>
        <v/>
      </c>
      <c r="L1810">
        <f>K1810*(MIN(Inputs!$B$22+((C1829=TRUE)*(F1829-Calc!F25)),(Inputs!$B$23+((C1834=TRUE)*(F1834-Calc!F30))+IF(ArtifactsInput!$M$15,CHOOSE(ArtifactsInput!$N$15+1,25,30,35,40,45,50)/100*(Inputs!$B$11-Inputs!$B$11),0)))/100+(Inputs!$B$23+((C1834=TRUE)*(F1834-Calc!F30))+IF(ArtifactsInput!$M$15,CHOOSE(ArtifactsInput!$N$15+1,25,30,35,40,45,50)/100*(Inputs!$B$11-Inputs!$B$11),0))/100)/2</f>
        <v/>
      </c>
      <c r="M1810">
        <f>L1810*(1+(Inputs!$B$10+((C1831=TRUE)*(F1831-Calc!F27))+B1845+(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1810">
        <f>L1810*(1-MIN((Inputs!$B$9+((C1830=TRUE)*(F1830-Calc!F26))+B1838+(ArtifactsInput!$M$24-ArtifactsInput!$M$24)*CHOOSE(ArtifactsInput!$N$24+1,10,12,14,16,18,20)+(IF(AND(Inputs!$B$39&lt;&gt;"pvp",Inputs!$B$44=0),1,IF(IF(Inputs!$B$39="pvp",15,Inputs!$B$44)-(B1849)&lt;=0,1,MAX(0,IF(Inputs!$B$39="pvp",15,Inputs!$B$44)-MAX(5,B1849))/(IF(Inputs!$B$39="pvp",15,Inputs!$B$44)-(B1849))))*IF(AND(ArtifactsInput!$M$42,((Inputs!$B$9+((C1830=TRUE)*(F1830-Calc!F26))+B1838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1810*(MIN((Inputs!$B$9+((C1830=TRUE)*(F1830-Calc!F26))+B1838+(ArtifactsInput!$M$24-ArtifactsInput!$M$24)*CHOOSE(ArtifactsInput!$N$24+1,10,12,14,16,18,20)+(IF(AND(Inputs!$B$39&lt;&gt;"pvp",Inputs!$B$44=0),1,IF(IF(Inputs!$B$39="pvp",15,Inputs!$B$44)-(B1849)&lt;=0,1,MAX(0,IF(Inputs!$B$39="pvp",15,Inputs!$B$44)-MAX(5,B1849))/(IF(Inputs!$B$39="pvp",15,Inputs!$B$44)-(B1849))))*IF(AND(ArtifactsInput!$M$42,((Inputs!$B$9+((C1830=TRUE)*(F1830-Calc!F26))+B1838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810">
        <f>(1-Summary!$B$11)*T1810+Summary!$B$11*V1810</f>
        <v/>
      </c>
      <c r="P1810">
        <f>IF(B1850=0,0,O1810/B1850)</f>
        <v/>
      </c>
      <c r="Q1810">
        <f>IFERROR(1/IF(Inputs!$B$39="pvp",15,MAX(0.1,Skills!D6-IF(TRUE=TRUE,Inputs!$B$32,0))),0)</f>
        <v/>
      </c>
      <c r="R1810">
        <f>IF(AND(Inputs!$B$39&lt;&gt;"pvp",Inputs!$B$44&gt;0),IF(MAX(0,Inputs!$B$44-B1849)&lt;=0,0,(INT(MAX(0,Inputs!$B$44-B1849)/IF(Inputs!$B$39="pvp",15,MAX(0.1,Skills!D6-IF(TRUE=TRUE,Inputs!$B$32,0))))+1)),0)</f>
        <v/>
      </c>
      <c r="S1810">
        <f>IFERROR(O1810/N1810,0)</f>
        <v/>
      </c>
      <c r="T1810">
        <f>IF(C1810,(H1810*N1810*IF(AND(Inputs!$B$39&lt;&gt;"pvp",Inputs!$B$44&gt;0),((Skills!G6*((R1810-1)*IF(Skills!H6&gt;0,Skills!I6/Skills!H6,1)+IF(Skills!H6&gt;0,MIN(Skills!I6,MAX(0,MAX(0,Inputs!$B$44-B1849)-((R1810-1)*IF(Inputs!$B$39="pvp",15,MAX(0.1,Skills!D6-IF(TRUE=TRUE,Inputs!$B$32,0))))))/Skills!H6,1)))/Inputs!$B$44),G1810*Q1810))*IF(Inputs!$B$39="pvp",1,1+(Inputs!$B$20+0+Skills!P6+B1839+(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Hunt"),CHOOSE(ArtifactsInput!$N$35+1,15,18,21,24,27,30)*(1-EXP(-(0.2*B1842)*5)),0)+IF(AND(ArtifactsInput!$M$22,Inputs!$B$4&lt;&gt;"Chapter Hunt"),CHOOSE(ArtifactsInput!$N$22+1,10,12,14,16,18,20)*((0*(((0.15*B1842*5))^0/1)+1*(((0.15*B1842*5))^1/1)+2*(((0.15*B1842*5))^2/2)+3*(((0.15*B1842*5))^3/6)+4*(((0.15*B1842*5))^4/24)+5*(((0.15*B1842*5))^5/120))/((((0.15*B1842*5))^0/1)+(((0.15*B1842*5))^1/1)+(((0.15*B1842*5))^2/2)+(((0.15*B1842*5))^3/6)+(((0.15*B1842*5))^4/24)+(((0.15*B1842*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1810*(1-MIN(100,(Inputs!$B$9+((C1830=TRUE)*(F1830-Calc!F26))+B1838+(ArtifactsInput!$M$24-ArtifactsInput!$M$24)*CHOOSE(ArtifactsInput!$N$24+1,10,12,14,16,18,20)+(IF(AND(Inputs!$B$39&lt;&gt;"pvp",Inputs!$B$44=0),1,IF(IF(Inputs!$B$39="pvp",15,Inputs!$B$44)-(B1849)&lt;=0,1,MAX(0,IF(Inputs!$B$39="pvp",15,Inputs!$B$44)-MAX(5,B1849))/(IF(Inputs!$B$39="pvp",15,Inputs!$B$44)-(B1849))))*IF(AND(ArtifactsInput!$M$42,((Inputs!$B$9+((C1830=TRUE)*(F1830-Calc!F26))+B1838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1810*(MIN(100,(Inputs!$B$9+((C1830=TRUE)*(F1830-Calc!F26))+B1838+(ArtifactsInput!$M$24-ArtifactsInput!$M$24)*CHOOSE(ArtifactsInput!$N$24+1,10,12,14,16,18,20)+(IF(AND(Inputs!$B$39&lt;&gt;"pvp",Inputs!$B$44=0),1,IF(IF(Inputs!$B$39="pvp",15,Inputs!$B$44)-(B1849)&lt;=0,1,MAX(0,IF(Inputs!$B$39="pvp",15,Inputs!$B$44)-MAX(5,B1849))/(IF(Inputs!$B$39="pvp",15,Inputs!$B$44)-(B1849))))*IF(AND(ArtifactsInput!$M$42,((Inputs!$B$9+((C1830=TRUE)*(F1830-Calc!F26))+B1838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1810*(1-MIN(100,(Inputs!$B$9+((C1830=TRUE)*(F1830-Calc!F26))+B1838+(ArtifactsInput!$M$24-ArtifactsInput!$M$24)*CHOOSE(ArtifactsInput!$N$24+1,10,12,14,16,18,20)+(IF(AND(Inputs!$B$39&lt;&gt;"pvp",Inputs!$B$44=0),1,IF(IF(Inputs!$B$39="pvp",15,Inputs!$B$44)-(B1849)&lt;=0,1,MAX(0,IF(Inputs!$B$39="pvp",15,Inputs!$B$44)-MAX(5,B1849))/(IF(Inputs!$B$39="pvp",15,Inputs!$B$44)-(B1849))))*IF(AND(ArtifactsInput!$M$42,((Inputs!$B$9+((C1830=TRUE)*(F1830-Calc!F26))+B1838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1810*(MIN(100,(Inputs!$B$9+((C1830=TRUE)*(F1830-Calc!F26))+B1838+(ArtifactsInput!$M$24-ArtifactsInput!$M$24)*CHOOSE(ArtifactsInput!$N$24+1,10,12,14,16,18,20)+(IF(AND(Inputs!$B$39&lt;&gt;"pvp",Inputs!$B$44=0),1,IF(IF(Inputs!$B$39="pvp",15,Inputs!$B$44)-(B1849)&lt;=0,1,MAX(0,IF(Inputs!$B$39="pvp",15,Inputs!$B$44)-MAX(5,B1849))/(IF(Inputs!$B$39="pvp",15,Inputs!$B$44)-(B1849))))*IF(AND(ArtifactsInput!$M$42,((Inputs!$B$9+((C1830=TRUE)*(F1830-Calc!F26))+B1838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1810">
        <f>IF(C1810,(H1810*N1810*IF(AND(Inputs!$B$39&lt;&gt;"pvp",Inputs!$B$44&gt;0),((Skills!G6*((R1810-1)*IF(Skills!H6&gt;0,Skills!I6/Skills!H6,1)+IF(Skills!H6&gt;0,MIN(Skills!I6,MAX(0,MAX(0,Inputs!$B$44-B1849)-((R1810-1)*IF(Inputs!$B$39="pvp",15,MAX(0.1,Skills!D6-IF(TRUE=TRUE,Inputs!$B$32,0))))))/Skills!H6,1)))/Inputs!$B$44),G1810*Q1810))*IF(Inputs!$B$39="pvp",1,(1+(Inputs!$B$21+Skills!Q6+B1839+(IF(ArtifactsInput!$M$33,CHOOSE(ArtifactsInput!$N$33+1,30,36,42,48,54,60),0))+(IF(AND(ArtifactsInput!$M$35,Inputs!$B$4&lt;&gt;"Chapter Hunt"),CHOOSE(ArtifactsInput!$N$35+1,15,18,21,24,27,30)*(1-EXP(-(0.2*B1842)*5)),0)+IF(AND(ArtifactsInput!$M$22,Inputs!$B$4&lt;&gt;"Chapter Hunt"),CHOOSE(ArtifactsInput!$N$22+1,10,12,14,16,18,20)*((0*(((0.15*B1842*5))^0/1)+1*(((0.15*B1842*5))^1/1)+2*(((0.15*B1842*5))^2/2)+3*(((0.15*B1842*5))^3/6)+4*(((0.15*B1842*5))^4/24)+5*(((0.15*B1842*5))^5/120))/((((0.15*B1842*5))^0/1)+(((0.15*B1842*5))^1/1)+(((0.15*B1842*5))^2/2)+(((0.15*B1842*5))^3/6)+(((0.15*B1842*5))^4/24)+(((0.15*B1842*5))^5/120))),0)))/100)*(MIN(Skills!W6,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811">
      <c r="A1811">
        <f>Skills!A7</f>
        <v/>
      </c>
      <c r="B1811">
        <f>Skills!B7</f>
        <v/>
      </c>
      <c r="C1811">
        <f>Inputs!$B$3&gt;=69</f>
        <v/>
      </c>
      <c r="D1811">
        <f>IF(Skills!C7=1,60+Inputs!$B$25+Inputs!$B$29,IF(Skills!C7=2,90+Inputs!$B$26+Inputs!$B$29,IF(Skills!C7=3,120+Inputs!$B$27+Inputs!$B$29,MAX(0,(Inputs!$B$3-100)*3)+Inputs!$B$28+Inputs!$B$29)))</f>
        <v/>
      </c>
      <c r="E1811">
        <f>INDEX(FactorTable!$B$2:$Y$301, MATCH(ROUND(MIN(300,MAX(1,D1811)),0), FactorTable!$A$2:$A$301,0), Skills!M7+1)</f>
        <v/>
      </c>
      <c r="F1811">
        <f>IF(Skills!N7=TRUE,(Skills!L7/10)*(E1811/1000),Skills!L7/10)+Skills!O7</f>
        <v/>
      </c>
      <c r="G1811">
        <f>Skills!G7*IF(Skills!H7&gt;0,IF(Inputs!$B$39="pvp",MIN(Skills!I7,15),Skills!I7)/Skills!H7,1)</f>
        <v/>
      </c>
      <c r="H1811">
        <f>1-(1-Skills!J7/100)^Skills!K7</f>
        <v/>
      </c>
      <c r="I1811" t="inlineStr">
        <is>
          <t>1</t>
        </is>
      </c>
      <c r="J1811">
        <f>((Inputs!$B$6*(1+Inputs!$B$7/100))+(((Inputs!$B$12*(1+Inputs!$B$13/100))-(Inputs!$B$12*(1+Inputs!$B$13/100)))+0.25*(Inputs!$B$14-Inputs!$B$14))*(1+Inputs!$B$7/100))*(F1811/100)</f>
        <v/>
      </c>
      <c r="K1811">
        <f>J1811*(1+((Inputs!$B$12*(1+Inputs!$B$13/100))*0.01+Inputs!$B$14*0.0025)/100)*(1+Inputs!$B$15/100)*(1+Inputs!$B$16/100)*(5000/(6000+Inputs!$B$43*(1-(100*(1-(1-Inputs!$B$19/100)*(1-CHOOSE(ArtifactsInput!$N$40+1,5,6,7,8,9,10)/100)^(ArtifactsInput!$M$40-ArtifactsInput!$M$40)))/100)))*(1+(Inputs!$B$24+((C1835=TRUE)*(F1835-Calc!F31))+((C1822=TRUE)*(F1822-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1823=TRUE,F1823,0)/100)*(1+(IF(Skills!A7="CRUEL_STAB",Inputs!$B$17+((C1832=TRUE)*(F1832-Calc!F28))+((IF(AND(Inputs!$B$39&lt;&gt;"pvp",Inputs!$B$44=0),1,IF(IF(Inputs!$B$39="pvp",15,Inputs!$B$44)-(B1849)&lt;=0,1,MAX(0,IF(Inputs!$B$39="pvp",15,Inputs!$B$44)-MAX(5,B1849))/(IF(Inputs!$B$39="pvp",15,Inputs!$B$44)-(B1849))))*(IF(AND(ArtifactsInput!$M$42,((Inputs!$B$9+((C1830=TRUE)*(F1830-Calc!F26))+B1838+(ArtifactsInput!$M$24-ArtifactsInput!$M$24)*CHOOSE(ArtifactsInput!$N$24+1,10,12,14,16,18,20)+IF(ArtifactsInput!$M$10,CHOOSE(ArtifactsInput!$N$10+1,15,18,21,24,27,30)*(IF(Inputs!$B$39="pvp",MIN(15,15)/15,IF(AND(Inputs!$B$39&lt;&gt;"pvp",Inputs!$B$44&gt;0),MIN(15,Inputs!$B$44)/(Inputs!$B$44),0))),0)))&gt;=100),MIN(100,((Inputs!$B$9+((C1830=TRUE)*(F1830-Calc!F26))+B1838+(ArtifactsInput!$M$24-ArtifactsInput!$M$24)*CHOOSE(ArtifactsInput!$N$24+1,10,12,14,16,18,20)+IF(ArtifactsInput!$M$10,CHOOSE(ArtifactsInput!$N$10+1,15,18,21,24,27,30)*(IF(Inputs!$B$39="pvp",MIN(15,15)/15,IF(AND(Inputs!$B$39&lt;&gt;"pvp",Inputs!$B$44&gt;0),MIN(15,Inputs!$B$44)/(Inputs!$B$44),0))),0)))-100),0))*CHOOSE(ArtifactsInput!$N$42+1,0.6,0.72,0.84,0.96,1.08,1.2))),Inputs!$B$18+((C1833=TRUE)*(F1833-Calc!F29))+(IF(AND(Inputs!$B$39&lt;&gt;"pvp",Inputs!$B$44=0),1,IF(IF(Inputs!$B$39="pvp",15,Inputs!$B$44)-(B1849)&lt;=0,1,MAX(0,IF(Inputs!$B$39="pvp",15,Inputs!$B$44)-MAX(5,B1849))/(IF(Inputs!$B$39="pvp",15,Inputs!$B$44)-(B1849))))*IF(AND(ArtifactsInput!$M$42,((Inputs!$B$9+((C1830=TRUE)*(F1830-Calc!F26))+B1838+(ArtifactsInput!$M$24-ArtifactsInput!$M$24)*CHOOSE(ArtifactsInput!$N$24+1,10,12,14,16,18,20)+IF(ArtifactsInput!$M$10,CHOOSE(ArtifactsInput!$N$10+1,15,18,21,24,27,30)*(IF(Inputs!$B$39="pvp",MIN(15,15)/15,IF(AND(Inputs!$B$39&lt;&gt;"pvp",Inputs!$B$44&gt;0),MIN(15,Inputs!$B$44)/(Inputs!$B$44),0))),0)))&gt;=100),CHOOSE(ArtifactsInput!$N$42+1,40,48,56,64,72,80),0))))/100)*(((1+(((C1826=TRUE)*F1826*IF(AND(Inputs!$B$39&lt;&gt;"pvp",Inputs!$B$44&gt;0),(((R1826-1)*MIN((Skills!Y22*(1+Inputs!$B$34/100)),(1/Q1826))+MIN((Skills!Y22*(1+Inputs!$B$34/100)),MAX(0,Inputs!$B$44-((R1826-1)*(1/Q1826)))))/Inputs!$B$44),IF(Inputs!$B$39="pvp",MIN((Skills!Y22*(1+Inputs!$B$34/100)),15)/15,MIN(1,(Skills!Y22*(1+Inputs!$B$34/100))/(1/Q1826)))))+((C1807=TRUE)*F1807*3)+((C1809=TRUE)*F1809*(1-EXP(-0.75*B1842*5)))+((C1828=TRUE)*(F1828-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1815=TRUE)*F1815*IF(AND(Inputs!$B$39&lt;&gt;"pvp",Inputs!$B$44&gt;0),(((R1815-1)*MIN((Skills!Y11*(1+Inputs!$B$34/100)),(1/Q1815))+MIN((Skills!Y11*(1+Inputs!$B$34/100)),MAX(0,Inputs!$B$44-((R1815-1)*(1/Q1815)))))/Inputs!$B$44),IF(Inputs!$B$39="pvp",MIN((Skills!Y11*(1+Inputs!$B$34/100)),15)/15,MIN(1,(Skills!Y11*(1+Inputs!$B$34/100))/(1/Q1815)))))/100)*(1+((C1820=TRUE)*F1820*IF(AND(Inputs!$B$39&lt;&gt;"pvp",Inputs!$B$44&gt;0),(((R1820-1)*MIN((Skills!Y16*(1+Inputs!$B$34/100)),(1/Q1820))+MIN((Skills!Y16*(1+Inputs!$B$34/100)),MAX(0,Inputs!$B$44-((R1820-1)*(1/Q1820)))))/Inputs!$B$44),IF(Inputs!$B$39="pvp",MIN((Skills!Y16*(1+Inputs!$B$34/100)),15)/15,MIN(1,(Skills!Y16*(1+Inputs!$B$34/100))/(1/Q1820)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1840*I1811)</f>
        <v/>
      </c>
      <c r="L1811">
        <f>K1811*(MIN(Inputs!$B$22+((C1829=TRUE)*(F1829-Calc!F25)),(Inputs!$B$23+((C1834=TRUE)*(F1834-Calc!F30))+IF(ArtifactsInput!$M$15,CHOOSE(ArtifactsInput!$N$15+1,25,30,35,40,45,50)/100*(Inputs!$B$11-Inputs!$B$11),0)))/100+(Inputs!$B$23+((C1834=TRUE)*(F1834-Calc!F30))+IF(ArtifactsInput!$M$15,CHOOSE(ArtifactsInput!$N$15+1,25,30,35,40,45,50)/100*(Inputs!$B$11-Inputs!$B$11),0))/100)/2</f>
        <v/>
      </c>
      <c r="M1811">
        <f>L1811*(1+(Inputs!$B$10+((C1831=TRUE)*(F1831-Calc!F27))+B1845+(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1811">
        <f>L1811*(1-MIN((Inputs!$B$9+((C1830=TRUE)*(F1830-Calc!F26))+B1838+(ArtifactsInput!$M$24-ArtifactsInput!$M$24)*CHOOSE(ArtifactsInput!$N$24+1,10,12,14,16,18,20)+(IF(AND(Inputs!$B$39&lt;&gt;"pvp",Inputs!$B$44=0),1,IF(IF(Inputs!$B$39="pvp",15,Inputs!$B$44)-(B1849)&lt;=0,1,MAX(0,IF(Inputs!$B$39="pvp",15,Inputs!$B$44)-MAX(5,B1849))/(IF(Inputs!$B$39="pvp",15,Inputs!$B$44)-(B1849))))*IF(AND(ArtifactsInput!$M$42,((Inputs!$B$9+((C1830=TRUE)*(F1830-Calc!F26))+B1838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1811*(MIN((Inputs!$B$9+((C1830=TRUE)*(F1830-Calc!F26))+B1838+(ArtifactsInput!$M$24-ArtifactsInput!$M$24)*CHOOSE(ArtifactsInput!$N$24+1,10,12,14,16,18,20)+(IF(AND(Inputs!$B$39&lt;&gt;"pvp",Inputs!$B$44=0),1,IF(IF(Inputs!$B$39="pvp",15,Inputs!$B$44)-(B1849)&lt;=0,1,MAX(0,IF(Inputs!$B$39="pvp",15,Inputs!$B$44)-MAX(5,B1849))/(IF(Inputs!$B$39="pvp",15,Inputs!$B$44)-(B1849))))*IF(AND(ArtifactsInput!$M$42,((Inputs!$B$9+((C1830=TRUE)*(F1830-Calc!F26))+B1838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811">
        <f>(1-Summary!$B$11)*T1811+Summary!$B$11*V1811</f>
        <v/>
      </c>
      <c r="P1811">
        <f>IF(B1850=0,0,O1811/B1850)</f>
        <v/>
      </c>
      <c r="Q1811">
        <f>IFERROR(1/IF(Inputs!$B$39="pvp",15,MAX(0.1,Skills!D7-IF(TRUE=TRUE,Inputs!$B$32,0))),0)</f>
        <v/>
      </c>
      <c r="R1811">
        <f>IF(AND(Inputs!$B$39&lt;&gt;"pvp",Inputs!$B$44&gt;0),IF(MAX(0,Inputs!$B$44-B1849)&lt;=0,0,(INT(MAX(0,Inputs!$B$44-B1849)/IF(Inputs!$B$39="pvp",15,MAX(0.1,Skills!D7-IF(TRUE=TRUE,Inputs!$B$32,0))))+1)),0)</f>
        <v/>
      </c>
      <c r="S1811">
        <f>IFERROR(O1811/N1811,0)</f>
        <v/>
      </c>
      <c r="T1811">
        <f>IF(C1811,(H1811*N1811*IF(AND(Inputs!$B$39&lt;&gt;"pvp",Inputs!$B$44&gt;0),((Skills!G7*((R1811-1)*IF(Skills!H7&gt;0,Skills!I7/Skills!H7,1)+IF(Skills!H7&gt;0,MIN(Skills!I7,MAX(0,MAX(0,Inputs!$B$44-B1849)-((R1811-1)*IF(Inputs!$B$39="pvp",15,MAX(0.1,Skills!D7-IF(TRUE=TRUE,Inputs!$B$32,0))))))/Skills!H7,1)))/Inputs!$B$44),G1811*Q1811))*IF(Inputs!$B$39="pvp",1,1+(Inputs!$B$20+0+Skills!P7+B1839+(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Hunt"),CHOOSE(ArtifactsInput!$N$35+1,15,18,21,24,27,30)*(1-EXP(-(0.2*B1842)*5)),0)+IF(AND(ArtifactsInput!$M$22,Inputs!$B$4&lt;&gt;"Chapter Hunt"),CHOOSE(ArtifactsInput!$N$22+1,10,12,14,16,18,20)*((0*(((0.15*B1842*5))^0/1)+1*(((0.15*B1842*5))^1/1)+2*(((0.15*B1842*5))^2/2)+3*(((0.15*B1842*5))^3/6)+4*(((0.15*B1842*5))^4/24)+5*(((0.15*B1842*5))^5/120))/((((0.15*B1842*5))^0/1)+(((0.15*B1842*5))^1/1)+(((0.15*B1842*5))^2/2)+(((0.15*B1842*5))^3/6)+(((0.15*B1842*5))^4/24)+(((0.15*B1842*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1811*(1-MIN(100,(Inputs!$B$9+((C1830=TRUE)*(F1830-Calc!F26))+B1838+(ArtifactsInput!$M$24-ArtifactsInput!$M$24)*CHOOSE(ArtifactsInput!$N$24+1,10,12,14,16,18,20)+(IF(AND(Inputs!$B$39&lt;&gt;"pvp",Inputs!$B$44=0),1,IF(IF(Inputs!$B$39="pvp",15,Inputs!$B$44)-(B1849)&lt;=0,1,MAX(0,IF(Inputs!$B$39="pvp",15,Inputs!$B$44)-MAX(5,B1849))/(IF(Inputs!$B$39="pvp",15,Inputs!$B$44)-(B1849))))*IF(AND(ArtifactsInput!$M$42,((Inputs!$B$9+((C1830=TRUE)*(F1830-Calc!F26))+B1838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1811*(MIN(100,(Inputs!$B$9+((C1830=TRUE)*(F1830-Calc!F26))+B1838+(ArtifactsInput!$M$24-ArtifactsInput!$M$24)*CHOOSE(ArtifactsInput!$N$24+1,10,12,14,16,18,20)+(IF(AND(Inputs!$B$39&lt;&gt;"pvp",Inputs!$B$44=0),1,IF(IF(Inputs!$B$39="pvp",15,Inputs!$B$44)-(B1849)&lt;=0,1,MAX(0,IF(Inputs!$B$39="pvp",15,Inputs!$B$44)-MAX(5,B1849))/(IF(Inputs!$B$39="pvp",15,Inputs!$B$44)-(B1849))))*IF(AND(ArtifactsInput!$M$42,((Inputs!$B$9+((C1830=TRUE)*(F1830-Calc!F26))+B1838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1811*(1-MIN(100,(Inputs!$B$9+((C1830=TRUE)*(F1830-Calc!F26))+B1838+(ArtifactsInput!$M$24-ArtifactsInput!$M$24)*CHOOSE(ArtifactsInput!$N$24+1,10,12,14,16,18,20)+(IF(AND(Inputs!$B$39&lt;&gt;"pvp",Inputs!$B$44=0),1,IF(IF(Inputs!$B$39="pvp",15,Inputs!$B$44)-(B1849)&lt;=0,1,MAX(0,IF(Inputs!$B$39="pvp",15,Inputs!$B$44)-MAX(5,B1849))/(IF(Inputs!$B$39="pvp",15,Inputs!$B$44)-(B1849))))*IF(AND(ArtifactsInput!$M$42,((Inputs!$B$9+((C1830=TRUE)*(F1830-Calc!F26))+B1838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1811*(MIN(100,(Inputs!$B$9+((C1830=TRUE)*(F1830-Calc!F26))+B1838+(ArtifactsInput!$M$24-ArtifactsInput!$M$24)*CHOOSE(ArtifactsInput!$N$24+1,10,12,14,16,18,20)+(IF(AND(Inputs!$B$39&lt;&gt;"pvp",Inputs!$B$44=0),1,IF(IF(Inputs!$B$39="pvp",15,Inputs!$B$44)-(B1849)&lt;=0,1,MAX(0,IF(Inputs!$B$39="pvp",15,Inputs!$B$44)-MAX(5,B1849))/(IF(Inputs!$B$39="pvp",15,Inputs!$B$44)-(B1849))))*IF(AND(ArtifactsInput!$M$42,((Inputs!$B$9+((C1830=TRUE)*(F1830-Calc!F26))+B1838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1811">
        <f>IF(C1811,(H1811*N1811*IF(AND(Inputs!$B$39&lt;&gt;"pvp",Inputs!$B$44&gt;0),((Skills!G7*((R1811-1)*IF(Skills!H7&gt;0,Skills!I7/Skills!H7,1)+IF(Skills!H7&gt;0,MIN(Skills!I7,MAX(0,MAX(0,Inputs!$B$44-B1849)-((R1811-1)*IF(Inputs!$B$39="pvp",15,MAX(0.1,Skills!D7-IF(TRUE=TRUE,Inputs!$B$32,0))))))/Skills!H7,1)))/Inputs!$B$44),G1811*Q1811))*IF(Inputs!$B$39="pvp",1,(1+(Inputs!$B$21+Skills!Q7+B1839+(IF(ArtifactsInput!$M$33,CHOOSE(ArtifactsInput!$N$33+1,30,36,42,48,54,60),0))+(IF(AND(ArtifactsInput!$M$35,Inputs!$B$4&lt;&gt;"Chapter Hunt"),CHOOSE(ArtifactsInput!$N$35+1,15,18,21,24,27,30)*(1-EXP(-(0.2*B1842)*5)),0)+IF(AND(ArtifactsInput!$M$22,Inputs!$B$4&lt;&gt;"Chapter Hunt"),CHOOSE(ArtifactsInput!$N$22+1,10,12,14,16,18,20)*((0*(((0.15*B1842*5))^0/1)+1*(((0.15*B1842*5))^1/1)+2*(((0.15*B1842*5))^2/2)+3*(((0.15*B1842*5))^3/6)+4*(((0.15*B1842*5))^4/24)+5*(((0.15*B1842*5))^5/120))/((((0.15*B1842*5))^0/1)+(((0.15*B1842*5))^1/1)+(((0.15*B1842*5))^2/2)+(((0.15*B1842*5))^3/6)+(((0.15*B1842*5))^4/24)+(((0.15*B1842*5))^5/120))),0)))/100)*(MIN(Skills!W7,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812">
      <c r="A1812">
        <f>Skills!A8</f>
        <v/>
      </c>
      <c r="B1812">
        <f>Skills!B8</f>
        <v/>
      </c>
      <c r="C1812">
        <f>Inputs!$B$3&gt;=60</f>
        <v/>
      </c>
      <c r="D1812">
        <f>IF(Skills!C8=1,60+Inputs!$B$25+Inputs!$B$29,IF(Skills!C8=2,90+Inputs!$B$26+Inputs!$B$29,IF(Skills!C8=3,120+Inputs!$B$27+Inputs!$B$29,MAX(0,(Inputs!$B$3-100)*3)+Inputs!$B$28+Inputs!$B$29)))</f>
        <v/>
      </c>
      <c r="E1812">
        <f>INDEX(FactorTable!$B$2:$Y$301, MATCH(ROUND(MIN(300,MAX(1,D1812)),0), FactorTable!$A$2:$A$301,0), Skills!M8+1)</f>
        <v/>
      </c>
      <c r="F1812">
        <f>IF(Skills!N8=TRUE,(Skills!L8/10)*(E1812/1000),Skills!L8/10)+Skills!O8</f>
        <v/>
      </c>
      <c r="G1812">
        <f>Skills!G8*IF(Skills!H8&gt;0,IF(Inputs!$B$39="pvp",MIN(Skills!I8,15),Skills!I8)/Skills!H8,1)</f>
        <v/>
      </c>
      <c r="H1812">
        <f>1-(1-Skills!J8/100)^Skills!K8</f>
        <v/>
      </c>
      <c r="I1812" t="inlineStr">
        <is>
          <t>1</t>
        </is>
      </c>
      <c r="J1812" t="inlineStr"/>
      <c r="K1812" t="inlineStr"/>
      <c r="L1812" t="inlineStr"/>
      <c r="M1812" t="inlineStr"/>
      <c r="N1812" t="inlineStr"/>
      <c r="O1812">
        <f>(1-Summary!$B$11)*T1812+Summary!$B$11*V1812</f>
        <v/>
      </c>
      <c r="P1812">
        <f>IF(B1850=0,0,O1812/B1850)</f>
        <v/>
      </c>
      <c r="Q1812" t="n">
        <v>0</v>
      </c>
      <c r="R1812" t="n">
        <v>0</v>
      </c>
      <c r="S1812">
        <f>IFERROR(O1812/N1812,0)</f>
        <v/>
      </c>
      <c r="T1812" t="n">
        <v>0</v>
      </c>
      <c r="V1812" t="n">
        <v>0</v>
      </c>
    </row>
    <row r="1813">
      <c r="A1813">
        <f>Skills!A9</f>
        <v/>
      </c>
      <c r="B1813">
        <f>Skills!B9</f>
        <v/>
      </c>
      <c r="C1813">
        <f>Inputs!$B$3&gt;=72</f>
        <v/>
      </c>
      <c r="D1813">
        <f>IF(Skills!C9=1,60+Inputs!$B$25+Inputs!$B$29,IF(Skills!C9=2,90+Inputs!$B$26+Inputs!$B$29,IF(Skills!C9=3,120+Inputs!$B$27+Inputs!$B$29,MAX(0,(Inputs!$B$3-100)*3)+Inputs!$B$28+Inputs!$B$29)))</f>
        <v/>
      </c>
      <c r="E1813">
        <f>INDEX(FactorTable!$B$2:$Y$301, MATCH(ROUND(MIN(300,MAX(1,D1813)),0), FactorTable!$A$2:$A$301,0), Skills!M9+1)</f>
        <v/>
      </c>
      <c r="F1813">
        <f>IF(Skills!N9=TRUE,(Skills!L9/10)*(E1813/1000),Skills!L9/10)+Skills!O9</f>
        <v/>
      </c>
      <c r="G1813">
        <f>Skills!G9*IF(Skills!H9&gt;0,IF(Inputs!$B$39="pvp",MIN(Skills!I9,15),Skills!I9)/Skills!H9,1)</f>
        <v/>
      </c>
      <c r="H1813">
        <f>1-(1-Skills!J9/100)^Skills!K9</f>
        <v/>
      </c>
      <c r="I1813" t="inlineStr">
        <is>
          <t>1</t>
        </is>
      </c>
      <c r="J1813">
        <f>((Inputs!$B$6*(1+Inputs!$B$7/100))+(((Inputs!$B$12*(1+Inputs!$B$13/100))-(Inputs!$B$12*(1+Inputs!$B$13/100)))+0.25*(Inputs!$B$14-Inputs!$B$14))*(1+Inputs!$B$7/100))*(F1813/100)</f>
        <v/>
      </c>
      <c r="K1813">
        <f>J1813*(1+((Inputs!$B$12*(1+Inputs!$B$13/100))*0.01+Inputs!$B$14*0.0025)/100)*(1+Inputs!$B$15/100)*(1+Inputs!$B$16/100)*(5000/(6000+Inputs!$B$43*(1-(100*(1-(1-Inputs!$B$19/100)*(1-CHOOSE(ArtifactsInput!$N$40+1,5,6,7,8,9,10)/100)^(ArtifactsInput!$M$40-ArtifactsInput!$M$40)))/100)))*(1+(Inputs!$B$24+((C1835=TRUE)*(F1835-Calc!F31))+((C1822=TRUE)*(F1822-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+3.3333333333333335*IF(C1823=TRUE,F1823,0)/100)*(1+(IF(Skills!A9="CRUEL_STAB",Inputs!$B$17+((C1832=TRUE)*(F1832-Calc!F28))+((IF(AND(Inputs!$B$39&lt;&gt;"pvp",Inputs!$B$44=0),1,IF(IF(Inputs!$B$39="pvp",15,Inputs!$B$44)-(B1849)&lt;=0,1,MAX(0,IF(Inputs!$B$39="pvp",15,Inputs!$B$44)-MAX(5,B1849))/(IF(Inputs!$B$39="pvp",15,Inputs!$B$44)-(B1849))))*(IF(AND(ArtifactsInput!$M$42,((Inputs!$B$9+((C1830=TRUE)*(F1830-Calc!F26))+B1838+(ArtifactsInput!$M$24-ArtifactsInput!$M$24)*CHOOSE(ArtifactsInput!$N$24+1,10,12,14,16,18,20)+IF(ArtifactsInput!$M$10,CHOOSE(ArtifactsInput!$N$10+1,15,18,21,24,27,30)*(IF(Inputs!$B$39="pvp",MIN(15,15)/15,IF(AND(Inputs!$B$39&lt;&gt;"pvp",Inputs!$B$44&gt;0),MIN(15,Inputs!$B$44)/(Inputs!$B$44),0))),0)))&gt;=100),MIN(100,((Inputs!$B$9+((C1830=TRUE)*(F1830-Calc!F26))+B1838+(ArtifactsInput!$M$24-ArtifactsInput!$M$24)*CHOOSE(ArtifactsInput!$N$24+1,10,12,14,16,18,20)+IF(ArtifactsInput!$M$10,CHOOSE(ArtifactsInput!$N$10+1,15,18,21,24,27,30)*(IF(Inputs!$B$39="pvp",MIN(15,15)/15,IF(AND(Inputs!$B$39&lt;&gt;"pvp",Inputs!$B$44&gt;0),MIN(15,Inputs!$B$44)/(Inputs!$B$44),0))),0)))-100),0))*CHOOSE(ArtifactsInput!$N$42+1,0.6,0.72,0.84,0.96,1.08,1.2))),Inputs!$B$18+((C1833=TRUE)*(F1833-Calc!F29))+(IF(AND(Inputs!$B$39&lt;&gt;"pvp",Inputs!$B$44=0),1,IF(IF(Inputs!$B$39="pvp",15,Inputs!$B$44)-(B1849)&lt;=0,1,MAX(0,IF(Inputs!$B$39="pvp",15,Inputs!$B$44)-MAX(5,B1849))/(IF(Inputs!$B$39="pvp",15,Inputs!$B$44)-(B1849))))*IF(AND(ArtifactsInput!$M$42,((Inputs!$B$9+((C1830=TRUE)*(F1830-Calc!F26))+B1838+(ArtifactsInput!$M$24-ArtifactsInput!$M$24)*CHOOSE(ArtifactsInput!$N$24+1,10,12,14,16,18,20)+IF(ArtifactsInput!$M$10,CHOOSE(ArtifactsInput!$N$10+1,15,18,21,24,27,30)*(IF(Inputs!$B$39="pvp",MIN(15,15)/15,IF(AND(Inputs!$B$39&lt;&gt;"pvp",Inputs!$B$44&gt;0),MIN(15,Inputs!$B$44)/(Inputs!$B$44),0))),0)))&gt;=100),CHOOSE(ArtifactsInput!$N$42+1,40,48,56,64,72,80),0))))/100)*(((1+(((C1826=TRUE)*F1826*IF(AND(Inputs!$B$39&lt;&gt;"pvp",Inputs!$B$44&gt;0),(((R1826-1)*MIN((Skills!Y22*(1+Inputs!$B$34/100)),(1/Q1826))+MIN((Skills!Y22*(1+Inputs!$B$34/100)),MAX(0,Inputs!$B$44-((R1826-1)*(1/Q1826)))))/Inputs!$B$44),IF(Inputs!$B$39="pvp",MIN((Skills!Y22*(1+Inputs!$B$34/100)),15)/15,MIN(1,(Skills!Y22*(1+Inputs!$B$34/100))/(1/Q1826)))))+((C1807=TRUE)*F1807*3)+((C1809=TRUE)*F1809*(1-EXP(-0.75*B1842*5)))+((C1828=TRUE)*(F1828-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1815=TRUE)*F1815*IF(AND(Inputs!$B$39&lt;&gt;"pvp",Inputs!$B$44&gt;0),(((R1815-1)*MIN((Skills!Y11*(1+Inputs!$B$34/100)),(1/Q1815))+MIN((Skills!Y11*(1+Inputs!$B$34/100)),MAX(0,Inputs!$B$44-((R1815-1)*(1/Q1815)))))/Inputs!$B$44),IF(Inputs!$B$39="pvp",MIN((Skills!Y11*(1+Inputs!$B$34/100)),15)/15,MIN(1,(Skills!Y11*(1+Inputs!$B$34/100))/(1/Q1815)))))/100)*(1+((C1820=TRUE)*F1820*IF(AND(Inputs!$B$39&lt;&gt;"pvp",Inputs!$B$44&gt;0),(((R1820-1)*MIN((Skills!Y16*(1+Inputs!$B$34/100)),(1/Q1820))+MIN((Skills!Y16*(1+Inputs!$B$34/100)),MAX(0,Inputs!$B$44-((R1820-1)*(1/Q1820)))))/Inputs!$B$44),IF(Inputs!$B$39="pvp",MIN((Skills!Y16*(1+Inputs!$B$34/100)),15)/15,MIN(1,(Skills!Y16*(1+Inputs!$B$34/100))/(1/Q1820)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1840*I1813)</f>
        <v/>
      </c>
      <c r="L1813">
        <f>K1813*(MIN(Inputs!$B$22+((C1829=TRUE)*(F1829-Calc!F25)),(Inputs!$B$23+((C1834=TRUE)*(F1834-Calc!F30))+IF(ArtifactsInput!$M$15,CHOOSE(ArtifactsInput!$N$15+1,25,30,35,40,45,50)/100*(Inputs!$B$11-Inputs!$B$11),0)))/100+(Inputs!$B$23+((C1834=TRUE)*(F1834-Calc!F30))+IF(ArtifactsInput!$M$15,CHOOSE(ArtifactsInput!$N$15+1,25,30,35,40,45,50)/100*(Inputs!$B$11-Inputs!$B$11),0))/100)/2</f>
        <v/>
      </c>
      <c r="M1813">
        <f>L1813*(1+(Inputs!$B$10+((C1831=TRUE)*(F1831-Calc!F27))+B1845+(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1813">
        <f>L1813*(1-MIN((Inputs!$B$9+((C1830=TRUE)*(F1830-Calc!F26))+B1838+(ArtifactsInput!$M$24-ArtifactsInput!$M$24)*CHOOSE(ArtifactsInput!$N$24+1,10,12,14,16,18,20)+(IF(AND(Inputs!$B$39&lt;&gt;"pvp",Inputs!$B$44=0),1,IF(IF(Inputs!$B$39="pvp",15,Inputs!$B$44)-(B1849)&lt;=0,1,MAX(0,IF(Inputs!$B$39="pvp",15,Inputs!$B$44)-MAX(5,B1849))/(IF(Inputs!$B$39="pvp",15,Inputs!$B$44)-(B1849))))*IF(AND(ArtifactsInput!$M$42,((Inputs!$B$9+((C1830=TRUE)*(F1830-Calc!F26))+B1838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1813*(MIN((Inputs!$B$9+((C1830=TRUE)*(F1830-Calc!F26))+B1838+(ArtifactsInput!$M$24-ArtifactsInput!$M$24)*CHOOSE(ArtifactsInput!$N$24+1,10,12,14,16,18,20)+(IF(AND(Inputs!$B$39&lt;&gt;"pvp",Inputs!$B$44=0),1,IF(IF(Inputs!$B$39="pvp",15,Inputs!$B$44)-(B1849)&lt;=0,1,MAX(0,IF(Inputs!$B$39="pvp",15,Inputs!$B$44)-MAX(5,B1849))/(IF(Inputs!$B$39="pvp",15,Inputs!$B$44)-(B1849))))*IF(AND(ArtifactsInput!$M$42,((Inputs!$B$9+((C1830=TRUE)*(F1830-Calc!F26))+B1838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813">
        <f>(1-Summary!$B$11)*T1813+Summary!$B$11*V1813</f>
        <v/>
      </c>
      <c r="P1813">
        <f>IF(B1850=0,0,O1813/B1850)</f>
        <v/>
      </c>
      <c r="Q1813">
        <f>IFERROR(1/IF(Inputs!$B$39="pvp",15,MAX(0.1,Skills!D9-IF(FALSE=TRUE,Inputs!$B$32,0))),0)</f>
        <v/>
      </c>
      <c r="R1813">
        <f>IF(AND(Inputs!$B$39&lt;&gt;"pvp",Inputs!$B$44&gt;0),IF(MAX(0,Inputs!$B$44-B1849)&lt;=0,0,(INT(MAX(0,Inputs!$B$44-B1849)/IF(Inputs!$B$39="pvp",15,MAX(0.1,Skills!D9-IF(FALSE=TRUE,Inputs!$B$32,0))))+1)),0)</f>
        <v/>
      </c>
      <c r="S1813">
        <f>IFERROR(O1813/N1813,0)</f>
        <v/>
      </c>
      <c r="T1813">
        <f>IF(C1813,(H1813*N1813*IF(AND(Inputs!$B$39&lt;&gt;"pvp",Inputs!$B$44&gt;0),((Skills!G9*((R1813-1)*IF(Skills!H9&gt;0,Skills!I9/Skills!H9,1)+IF(Skills!H9&gt;0,MIN(Skills!I9,MAX(0,MAX(0,Inputs!$B$44-B1849)-((R1813-1)*IF(Inputs!$B$39="pvp",15,MAX(0.1,Skills!D9-IF(FALSE=TRUE,Inputs!$B$32,0))))))/Skills!H9,1)))/Inputs!$B$44),G1813*Q1813))*IF(Inputs!$B$39="pvp",1,1+(Inputs!$B$20+0+Skills!P9+B1839+(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Hunt"),CHOOSE(ArtifactsInput!$N$35+1,15,18,21,24,27,30)*(1-EXP(-(0.2*B1842)*5)),0)+IF(AND(ArtifactsInput!$M$22,Inputs!$B$4&lt;&gt;"Chapter Hunt"),CHOOSE(ArtifactsInput!$N$22+1,10,12,14,16,18,20)*((0*(((0.15*B1842*5))^0/1)+1*(((0.15*B1842*5))^1/1)+2*(((0.15*B1842*5))^2/2)+3*(((0.15*B1842*5))^3/6)+4*(((0.15*B1842*5))^4/24)+5*(((0.15*B1842*5))^5/120))/((((0.15*B1842*5))^0/1)+(((0.15*B1842*5))^1/1)+(((0.15*B1842*5))^2/2)+(((0.15*B1842*5))^3/6)+(((0.15*B1842*5))^4/24)+(((0.15*B1842*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1813*(1-MIN(100,(Inputs!$B$9+((C1830=TRUE)*(F1830-Calc!F26))+B1838+(ArtifactsInput!$M$24-ArtifactsInput!$M$24)*CHOOSE(ArtifactsInput!$N$24+1,10,12,14,16,18,20)+(IF(AND(Inputs!$B$39&lt;&gt;"pvp",Inputs!$B$44=0),1,IF(IF(Inputs!$B$39="pvp",15,Inputs!$B$44)-(B1849)&lt;=0,1,MAX(0,IF(Inputs!$B$39="pvp",15,Inputs!$B$44)-MAX(5,B1849))/(IF(Inputs!$B$39="pvp",15,Inputs!$B$44)-(B1849))))*IF(AND(ArtifactsInput!$M$42,((Inputs!$B$9+((C1830=TRUE)*(F1830-Calc!F26))+B1838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1813*(MIN(100,(Inputs!$B$9+((C1830=TRUE)*(F1830-Calc!F26))+B1838+(ArtifactsInput!$M$24-ArtifactsInput!$M$24)*CHOOSE(ArtifactsInput!$N$24+1,10,12,14,16,18,20)+(IF(AND(Inputs!$B$39&lt;&gt;"pvp",Inputs!$B$44=0),1,IF(IF(Inputs!$B$39="pvp",15,Inputs!$B$44)-(B1849)&lt;=0,1,MAX(0,IF(Inputs!$B$39="pvp",15,Inputs!$B$44)-MAX(5,B1849))/(IF(Inputs!$B$39="pvp",15,Inputs!$B$44)-(B1849))))*IF(AND(ArtifactsInput!$M$42,((Inputs!$B$9+((C1830=TRUE)*(F1830-Calc!F26))+B1838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1813*(1-MIN(100,(Inputs!$B$9+((C1830=TRUE)*(F1830-Calc!F26))+B1838+(ArtifactsInput!$M$24-ArtifactsInput!$M$24)*CHOOSE(ArtifactsInput!$N$24+1,10,12,14,16,18,20)+(IF(AND(Inputs!$B$39&lt;&gt;"pvp",Inputs!$B$44=0),1,IF(IF(Inputs!$B$39="pvp",15,Inputs!$B$44)-(B1849)&lt;=0,1,MAX(0,IF(Inputs!$B$39="pvp",15,Inputs!$B$44)-MAX(5,B1849))/(IF(Inputs!$B$39="pvp",15,Inputs!$B$44)-(B1849))))*IF(AND(ArtifactsInput!$M$42,((Inputs!$B$9+((C1830=TRUE)*(F1830-Calc!F26))+B1838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1813*(MIN(100,(Inputs!$B$9+((C1830=TRUE)*(F1830-Calc!F26))+B1838+(ArtifactsInput!$M$24-ArtifactsInput!$M$24)*CHOOSE(ArtifactsInput!$N$24+1,10,12,14,16,18,20)+(IF(AND(Inputs!$B$39&lt;&gt;"pvp",Inputs!$B$44=0),1,IF(IF(Inputs!$B$39="pvp",15,Inputs!$B$44)-(B1849)&lt;=0,1,MAX(0,IF(Inputs!$B$39="pvp",15,Inputs!$B$44)-MAX(5,B1849))/(IF(Inputs!$B$39="pvp",15,Inputs!$B$44)-(B1849))))*IF(AND(ArtifactsInput!$M$42,((Inputs!$B$9+((C1830=TRUE)*(F1830-Calc!F26))+B1838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1813">
        <f>IF(C1813,(H1813*N1813*IF(AND(Inputs!$B$39&lt;&gt;"pvp",Inputs!$B$44&gt;0),((Skills!G9*((R1813-1)*IF(Skills!H9&gt;0,Skills!I9/Skills!H9,1)+IF(Skills!H9&gt;0,MIN(Skills!I9,MAX(0,MAX(0,Inputs!$B$44-B1849)-((R1813-1)*IF(Inputs!$B$39="pvp",15,MAX(0.1,Skills!D9-IF(FALSE=TRUE,Inputs!$B$32,0))))))/Skills!H9,1)))/Inputs!$B$44),G1813*Q1813))*IF(Inputs!$B$39="pvp",1,(1+(Inputs!$B$21+Skills!Q9+B1839+(IF(ArtifactsInput!$M$33,CHOOSE(ArtifactsInput!$N$33+1,30,36,42,48,54,60),0))+(IF(AND(ArtifactsInput!$M$35,Inputs!$B$4&lt;&gt;"Chapter Hunt"),CHOOSE(ArtifactsInput!$N$35+1,15,18,21,24,27,30)*(1-EXP(-(0.2*B1842)*5)),0)+IF(AND(ArtifactsInput!$M$22,Inputs!$B$4&lt;&gt;"Chapter Hunt"),CHOOSE(ArtifactsInput!$N$22+1,10,12,14,16,18,20)*((0*(((0.15*B1842*5))^0/1)+1*(((0.15*B1842*5))^1/1)+2*(((0.15*B1842*5))^2/2)+3*(((0.15*B1842*5))^3/6)+4*(((0.15*B1842*5))^4/24)+5*(((0.15*B1842*5))^5/120))/((((0.15*B1842*5))^0/1)+(((0.15*B1842*5))^1/1)+(((0.15*B1842*5))^2/2)+(((0.15*B1842*5))^3/6)+(((0.15*B1842*5))^4/24)+(((0.15*B1842*5))^5/120))),0)))/100)*(MIN(Skills!W9,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814">
      <c r="A1814">
        <f>Skills!A10</f>
        <v/>
      </c>
      <c r="B1814">
        <f>Skills!B10</f>
        <v/>
      </c>
      <c r="C1814">
        <f>Inputs!$B$3&gt;=117</f>
        <v/>
      </c>
      <c r="D1814">
        <f>IF(Skills!C10=1,60+Inputs!$B$25+Inputs!$B$29,IF(Skills!C10=2,90+Inputs!$B$26+Inputs!$B$29,IF(Skills!C10=3,120+Inputs!$B$27+Inputs!$B$29,MAX(0,(Inputs!$B$3-100)*3)+Inputs!$B$28+Inputs!$B$29)))</f>
        <v/>
      </c>
      <c r="E1814">
        <f>INDEX(FactorTable!$B$2:$Y$301, MATCH(ROUND(MIN(300,MAX(1,D1814)),0), FactorTable!$A$2:$A$301,0), Skills!M10+1)</f>
        <v/>
      </c>
      <c r="F1814">
        <f>IF(Skills!N10=TRUE,(Skills!L10/10)*(E1814/1000),Skills!L10/10)+Skills!O10</f>
        <v/>
      </c>
      <c r="G1814">
        <f>Skills!G10*IF(Skills!H10&gt;0,IF(Inputs!$B$39="pvp",MIN(Skills!I10,15),Skills!I10)/Skills!H10,1)</f>
        <v/>
      </c>
      <c r="H1814">
        <f>1-(1-Skills!J10/100)^Skills!K10</f>
        <v/>
      </c>
      <c r="I1814" t="inlineStr">
        <is>
          <t>1</t>
        </is>
      </c>
      <c r="J1814">
        <f>((Inputs!$B$6*(1+Inputs!$B$7/100))+(((Inputs!$B$12*(1+Inputs!$B$13/100))-(Inputs!$B$12*(1+Inputs!$B$13/100)))+0.25*(Inputs!$B$14-Inputs!$B$14))*(1+Inputs!$B$7/100))*(F1814/100)</f>
        <v/>
      </c>
      <c r="K1814">
        <f>J1814*(1+((Inputs!$B$12*(1+Inputs!$B$13/100))*0.01+Inputs!$B$14*0.0025)/100)*(1+Inputs!$B$15/100)*(1+Inputs!$B$16/100)*(5000/(6000+Inputs!$B$43*(1-(100*(1-(1-Inputs!$B$19/100)*(1-CHOOSE(ArtifactsInput!$N$40+1,5,6,7,8,9,10)/100)^(ArtifactsInput!$M$40-ArtifactsInput!$M$40)))/100)))*(1+(Inputs!$B$24+((C1835=TRUE)*(F1835-Calc!F31))+((C1822=TRUE)*(F1822-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10="CRUEL_STAB",Inputs!$B$17+((C1832=TRUE)*(F1832-Calc!F28))+((IF(AND(Inputs!$B$39&lt;&gt;"pvp",Inputs!$B$44=0),1,IF(IF(Inputs!$B$39="pvp",15,Inputs!$B$44)-(B1849)&lt;=0,1,MAX(0,IF(Inputs!$B$39="pvp",15,Inputs!$B$44)-MAX(5,B1849))/(IF(Inputs!$B$39="pvp",15,Inputs!$B$44)-(B1849))))*(IF(AND(ArtifactsInput!$M$42,((Inputs!$B$9+((C1830=TRUE)*(F1830-Calc!F26))+B1838+(ArtifactsInput!$M$24-ArtifactsInput!$M$24)*CHOOSE(ArtifactsInput!$N$24+1,10,12,14,16,18,20)+IF(ArtifactsInput!$M$10,CHOOSE(ArtifactsInput!$N$10+1,15,18,21,24,27,30)*(IF(Inputs!$B$39="pvp",MIN(15,15)/15,IF(AND(Inputs!$B$39&lt;&gt;"pvp",Inputs!$B$44&gt;0),MIN(15,Inputs!$B$44)/(Inputs!$B$44),0))),0)))&gt;=100),MIN(100,((Inputs!$B$9+((C1830=TRUE)*(F1830-Calc!F26))+B1838+(ArtifactsInput!$M$24-ArtifactsInput!$M$24)*CHOOSE(ArtifactsInput!$N$24+1,10,12,14,16,18,20)+IF(ArtifactsInput!$M$10,CHOOSE(ArtifactsInput!$N$10+1,15,18,21,24,27,30)*(IF(Inputs!$B$39="pvp",MIN(15,15)/15,IF(AND(Inputs!$B$39&lt;&gt;"pvp",Inputs!$B$44&gt;0),MIN(15,Inputs!$B$44)/(Inputs!$B$44),0))),0)))-100),0))*CHOOSE(ArtifactsInput!$N$42+1,0.6,0.72,0.84,0.96,1.08,1.2))),Inputs!$B$18+((C1833=TRUE)*(F1833-Calc!F29))+(IF(AND(Inputs!$B$39&lt;&gt;"pvp",Inputs!$B$44=0),1,IF(IF(Inputs!$B$39="pvp",15,Inputs!$B$44)-(B1849)&lt;=0,1,MAX(0,IF(Inputs!$B$39="pvp",15,Inputs!$B$44)-MAX(5,B1849))/(IF(Inputs!$B$39="pvp",15,Inputs!$B$44)-(B1849))))*IF(AND(ArtifactsInput!$M$42,((Inputs!$B$9+((C1830=TRUE)*(F1830-Calc!F26))+B1838+(ArtifactsInput!$M$24-ArtifactsInput!$M$24)*CHOOSE(ArtifactsInput!$N$24+1,10,12,14,16,18,20)+IF(ArtifactsInput!$M$10,CHOOSE(ArtifactsInput!$N$10+1,15,18,21,24,27,30)*(IF(Inputs!$B$39="pvp",MIN(15,15)/15,IF(AND(Inputs!$B$39&lt;&gt;"pvp",Inputs!$B$44&gt;0),MIN(15,Inputs!$B$44)/(Inputs!$B$44),0))),0)))&gt;=100),CHOOSE(ArtifactsInput!$N$42+1,40,48,56,64,72,80),0))))/100)*(((1+(((C1826=TRUE)*F1826*IF(AND(Inputs!$B$39&lt;&gt;"pvp",Inputs!$B$44&gt;0),(((R1826-1)*MIN((Skills!Y22*(1+Inputs!$B$34/100)),(1/Q1826))+MIN((Skills!Y22*(1+Inputs!$B$34/100)),MAX(0,Inputs!$B$44-((R1826-1)*(1/Q1826)))))/Inputs!$B$44),IF(Inputs!$B$39="pvp",MIN((Skills!Y22*(1+Inputs!$B$34/100)),15)/15,MIN(1,(Skills!Y22*(1+Inputs!$B$34/100))/(1/Q1826)))))+((C1807=TRUE)*F1807*3)+((C1809=TRUE)*F1809*(1-EXP(-0.75*B1842*5)))+((C1828=TRUE)*(F1828-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1815=TRUE)*F1815*IF(AND(Inputs!$B$39&lt;&gt;"pvp",Inputs!$B$44&gt;0),(((R1815-1)*MIN((Skills!Y11*(1+Inputs!$B$34/100)),(1/Q1815))+MIN((Skills!Y11*(1+Inputs!$B$34/100)),MAX(0,Inputs!$B$44-((R1815-1)*(1/Q1815)))))/Inputs!$B$44),IF(Inputs!$B$39="pvp",MIN((Skills!Y11*(1+Inputs!$B$34/100)),15)/15,MIN(1,(Skills!Y11*(1+Inputs!$B$34/100))/(1/Q1815)))))/100)*(1+((C1820=TRUE)*F1820*IF(AND(Inputs!$B$39&lt;&gt;"pvp",Inputs!$B$44&gt;0),(((R1820-1)*MIN((Skills!Y16*(1+Inputs!$B$34/100)),(1/Q1820))+MIN((Skills!Y16*(1+Inputs!$B$34/100)),MAX(0,Inputs!$B$44-((R1820-1)*(1/Q1820)))))/Inputs!$B$44),IF(Inputs!$B$39="pvp",MIN((Skills!Y16*(1+Inputs!$B$34/100)),15)/15,MIN(1,(Skills!Y16*(1+Inputs!$B$34/100))/(1/Q1820)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1840*I1814)</f>
        <v/>
      </c>
      <c r="L1814">
        <f>K1814*(MIN(Inputs!$B$22+((C1829=TRUE)*(F1829-Calc!F25)),(Inputs!$B$23+((C1834=TRUE)*(F1834-Calc!F30))+IF(ArtifactsInput!$M$15,CHOOSE(ArtifactsInput!$N$15+1,25,30,35,40,45,50)/100*(Inputs!$B$11-Inputs!$B$11),0)))/100+(Inputs!$B$23+((C1834=TRUE)*(F1834-Calc!F30))+IF(ArtifactsInput!$M$15,CHOOSE(ArtifactsInput!$N$15+1,25,30,35,40,45,50)/100*(Inputs!$B$11-Inputs!$B$11),0))/100)/2</f>
        <v/>
      </c>
      <c r="M1814">
        <f>L1814*(1+(Inputs!$B$10+((C1831=TRUE)*(F1831-Calc!F27))+B1845+(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1814">
        <f>L1814*(1-MIN((Inputs!$B$9+((C1830=TRUE)*(F1830-Calc!F26))+B1838+(ArtifactsInput!$M$24-ArtifactsInput!$M$24)*CHOOSE(ArtifactsInput!$N$24+1,10,12,14,16,18,20)+(IF(AND(Inputs!$B$39&lt;&gt;"pvp",Inputs!$B$44=0),1,IF(IF(Inputs!$B$39="pvp",15,Inputs!$B$44)-(B1849)&lt;=0,1,MAX(0,IF(Inputs!$B$39="pvp",15,Inputs!$B$44)-MAX(5,B1849))/(IF(Inputs!$B$39="pvp",15,Inputs!$B$44)-(B1849))))*IF(AND(ArtifactsInput!$M$42,((Inputs!$B$9+((C1830=TRUE)*(F1830-Calc!F26))+B1838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1814*(MIN((Inputs!$B$9+((C1830=TRUE)*(F1830-Calc!F26))+B1838+(ArtifactsInput!$M$24-ArtifactsInput!$M$24)*CHOOSE(ArtifactsInput!$N$24+1,10,12,14,16,18,20)+(IF(AND(Inputs!$B$39&lt;&gt;"pvp",Inputs!$B$44=0),1,IF(IF(Inputs!$B$39="pvp",15,Inputs!$B$44)-(B1849)&lt;=0,1,MAX(0,IF(Inputs!$B$39="pvp",15,Inputs!$B$44)-MAX(5,B1849))/(IF(Inputs!$B$39="pvp",15,Inputs!$B$44)-(B1849))))*IF(AND(ArtifactsInput!$M$42,((Inputs!$B$9+((C1830=TRUE)*(F1830-Calc!F26))+B1838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814">
        <f>(1-Summary!$B$11)*T1814+Summary!$B$11*V1814</f>
        <v/>
      </c>
      <c r="P1814">
        <f>IF(B1850=0,0,O1814/B1850)</f>
        <v/>
      </c>
      <c r="Q1814" t="n">
        <v>0</v>
      </c>
      <c r="R1814" t="n">
        <v>0</v>
      </c>
      <c r="S1814" t="n">
        <v>0</v>
      </c>
      <c r="T1814">
        <f>IF(C1814,(0.2*SUMPRODUCT((Skills!Z2:Z31=TRUE)*(C1806:C1835=TRUE)*S1806:S1835)*N1814)*IF(Inputs!$B$39="pvp",1,1+(Inputs!$B$20+0+Skills!P10+B1839+(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Hunt"),CHOOSE(ArtifactsInput!$N$35+1,15,18,21,24,27,30)*(1-EXP(-(0.2*B1842)*5)),0)+IF(AND(ArtifactsInput!$M$22,Inputs!$B$4&lt;&gt;"Chapter Hunt"),CHOOSE(ArtifactsInput!$N$22+1,10,12,14,16,18,20)*((0*(((0.15*B1842*5))^0/1)+1*(((0.15*B1842*5))^1/1)+2*(((0.15*B1842*5))^2/2)+3*(((0.15*B1842*5))^3/6)+4*(((0.15*B1842*5))^4/24)+5*(((0.15*B1842*5))^5/120))/((((0.15*B1842*5))^0/1)+(((0.15*B1842*5))^1/1)+(((0.15*B1842*5))^2/2)+(((0.15*B1842*5))^3/6)+(((0.15*B1842*5))^4/24)+(((0.15*B1842*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1814*(1-MIN(100,(Inputs!$B$9+((C1830=TRUE)*(F1830-Calc!F26))+B1838+(ArtifactsInput!$M$24-ArtifactsInput!$M$24)*CHOOSE(ArtifactsInput!$N$24+1,10,12,14,16,18,20)+(IF(AND(Inputs!$B$39&lt;&gt;"pvp",Inputs!$B$44=0),1,IF(IF(Inputs!$B$39="pvp",15,Inputs!$B$44)-(B1849)&lt;=0,1,MAX(0,IF(Inputs!$B$39="pvp",15,Inputs!$B$44)-MAX(5,B1849))/(IF(Inputs!$B$39="pvp",15,Inputs!$B$44)-(B1849))))*IF(AND(ArtifactsInput!$M$42,((Inputs!$B$9+((C1830=TRUE)*(F1830-Calc!F26))+B1838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1814*(MIN(100,(Inputs!$B$9+((C1830=TRUE)*(F1830-Calc!F26))+B1838+(ArtifactsInput!$M$24-ArtifactsInput!$M$24)*CHOOSE(ArtifactsInput!$N$24+1,10,12,14,16,18,20)+(IF(AND(Inputs!$B$39&lt;&gt;"pvp",Inputs!$B$44=0),1,IF(IF(Inputs!$B$39="pvp",15,Inputs!$B$44)-(B1849)&lt;=0,1,MAX(0,IF(Inputs!$B$39="pvp",15,Inputs!$B$44)-MAX(5,B1849))/(IF(Inputs!$B$39="pvp",15,Inputs!$B$44)-(B1849))))*IF(AND(ArtifactsInput!$M$42,((Inputs!$B$9+((C1830=TRUE)*(F1830-Calc!F26))+B1838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1814*(1-MIN(100,(Inputs!$B$9+((C1830=TRUE)*(F1830-Calc!F26))+B1838+(ArtifactsInput!$M$24-ArtifactsInput!$M$24)*CHOOSE(ArtifactsInput!$N$24+1,10,12,14,16,18,20)+(IF(AND(Inputs!$B$39&lt;&gt;"pvp",Inputs!$B$44=0),1,IF(IF(Inputs!$B$39="pvp",15,Inputs!$B$44)-(B1849)&lt;=0,1,MAX(0,IF(Inputs!$B$39="pvp",15,Inputs!$B$44)-MAX(5,B1849))/(IF(Inputs!$B$39="pvp",15,Inputs!$B$44)-(B1849))))*IF(AND(ArtifactsInput!$M$42,((Inputs!$B$9+((C1830=TRUE)*(F1830-Calc!F26))+B1838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1814*(MIN(100,(Inputs!$B$9+((C1830=TRUE)*(F1830-Calc!F26))+B1838+(ArtifactsInput!$M$24-ArtifactsInput!$M$24)*CHOOSE(ArtifactsInput!$N$24+1,10,12,14,16,18,20)+(IF(AND(Inputs!$B$39&lt;&gt;"pvp",Inputs!$B$44=0),1,IF(IF(Inputs!$B$39="pvp",15,Inputs!$B$44)-(B1849)&lt;=0,1,MAX(0,IF(Inputs!$B$39="pvp",15,Inputs!$B$44)-MAX(5,B1849))/(IF(Inputs!$B$39="pvp",15,Inputs!$B$44)-(B1849))))*IF(AND(ArtifactsInput!$M$42,((Inputs!$B$9+((C1830=TRUE)*(F1830-Calc!F26))+B1838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1814">
        <f>IF(C1814,(0.2*SUMPRODUCT((Skills!Z2:Z31=TRUE)*(C1806:C1835=TRUE)*S1806:S1835)*N1814)*IF(Inputs!$B$39="pvp",1,(1+(Inputs!$B$21+Skills!Q10+B1839+(IF(ArtifactsInput!$M$33,CHOOSE(ArtifactsInput!$N$33+1,30,36,42,48,54,60),0))+(IF(AND(ArtifactsInput!$M$35,Inputs!$B$4&lt;&gt;"Chapter Hunt"),CHOOSE(ArtifactsInput!$N$35+1,15,18,21,24,27,30)*(1-EXP(-(0.2*B1842)*5)),0)+IF(AND(ArtifactsInput!$M$22,Inputs!$B$4&lt;&gt;"Chapter Hunt"),CHOOSE(ArtifactsInput!$N$22+1,10,12,14,16,18,20)*((0*(((0.15*B1842*5))^0/1)+1*(((0.15*B1842*5))^1/1)+2*(((0.15*B1842*5))^2/2)+3*(((0.15*B1842*5))^3/6)+4*(((0.15*B1842*5))^4/24)+5*(((0.15*B1842*5))^5/120))/((((0.15*B1842*5))^0/1)+(((0.15*B1842*5))^1/1)+(((0.15*B1842*5))^2/2)+(((0.15*B1842*5))^3/6)+(((0.15*B1842*5))^4/24)+(((0.15*B1842*5))^5/120))),0)))/100)*(MIN(Skills!W10,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815">
      <c r="A1815">
        <f>Skills!A11</f>
        <v/>
      </c>
      <c r="B1815">
        <f>Skills!B11</f>
        <v/>
      </c>
      <c r="C1815">
        <f>Inputs!$B$3&gt;=74</f>
        <v/>
      </c>
      <c r="D1815">
        <f>IF(Skills!C11=1,60+Inputs!$B$25+Inputs!$B$29,IF(Skills!C11=2,90+Inputs!$B$26+Inputs!$B$29,IF(Skills!C11=3,120+Inputs!$B$27+Inputs!$B$29,MAX(0,(Inputs!$B$3-100)*3)+Inputs!$B$28+Inputs!$B$29)))</f>
        <v/>
      </c>
      <c r="E1815">
        <f>INDEX(FactorTable!$B$2:$Y$301, MATCH(ROUND(MIN(300,MAX(1,D1815)),0), FactorTable!$A$2:$A$301,0), Skills!M11+1)</f>
        <v/>
      </c>
      <c r="F1815">
        <f>IF(Skills!N11=TRUE,(Skills!L11/10)*(E1815/1000),Skills!L11/10)+Skills!O11</f>
        <v/>
      </c>
      <c r="G1815">
        <f>Skills!G11*IF(Skills!H11&gt;0,IF(Inputs!$B$39="pvp",MIN(Skills!I11,15),Skills!I11)/Skills!H11,1)</f>
        <v/>
      </c>
      <c r="H1815">
        <f>1-(1-Skills!J11/100)^Skills!K11</f>
        <v/>
      </c>
      <c r="I1815" t="inlineStr">
        <is>
          <t>1</t>
        </is>
      </c>
      <c r="J1815" t="inlineStr"/>
      <c r="K1815" t="inlineStr"/>
      <c r="L1815" t="inlineStr"/>
      <c r="M1815" t="inlineStr"/>
      <c r="N1815" t="inlineStr"/>
      <c r="O1815">
        <f>(1-Summary!$B$11)*T1815+Summary!$B$11*V1815</f>
        <v/>
      </c>
      <c r="P1815">
        <f>IF(B1850=0,0,O1815/B1850)</f>
        <v/>
      </c>
      <c r="Q1815">
        <f>IFERROR(1/IF(Inputs!$B$39="pvp",15,MAX(0.1,Skills!D11-IF(TRUE=TRUE,Inputs!$B$32,0))),0)</f>
        <v/>
      </c>
      <c r="R1815">
        <f>IF(AND(Inputs!$B$39&lt;&gt;"pvp",Inputs!$B$44&gt;0),IF(Inputs!$B$44&lt;=0,0,(INT(Inputs!$B$44/IF(Inputs!$B$39="pvp",15,MAX(0.1,Skills!D11-IF(TRUE=TRUE,Inputs!$B$32,0))))+1)),0)</f>
        <v/>
      </c>
      <c r="S1815">
        <f>IFERROR(O1815/N1815,0)</f>
        <v/>
      </c>
      <c r="T1815" t="n">
        <v>0</v>
      </c>
      <c r="V1815" t="n">
        <v>0</v>
      </c>
    </row>
    <row r="1816">
      <c r="A1816">
        <f>Skills!A12</f>
        <v/>
      </c>
      <c r="B1816">
        <f>Skills!B12</f>
        <v/>
      </c>
      <c r="C1816">
        <f>Inputs!$B$3&gt;=103</f>
        <v/>
      </c>
      <c r="D1816">
        <f>IF(Skills!C12=1,60+Inputs!$B$25+Inputs!$B$29,IF(Skills!C12=2,90+Inputs!$B$26+Inputs!$B$29,IF(Skills!C12=3,120+Inputs!$B$27+Inputs!$B$29,MAX(0,(Inputs!$B$3-100)*3)+Inputs!$B$28+Inputs!$B$29)))</f>
        <v/>
      </c>
      <c r="E1816">
        <f>INDEX(FactorTable!$B$2:$Y$301, MATCH(ROUND(MIN(300,MAX(1,D1816)),0), FactorTable!$A$2:$A$301,0), Skills!M12+1)</f>
        <v/>
      </c>
      <c r="F1816">
        <f>(Skills!L12/10)*(E1816/1000)+IF(Inputs!$B$3&gt;=134,50,0)+0.5*(30000/10)*(INDEX(FactorTable!$B$2:$Y$301, MATCH(ROUND(MIN(300,MAX(1,D1816)),0), FactorTable!$A$2:$A$301,0), 13)/1000)*B1848</f>
        <v/>
      </c>
      <c r="G1816">
        <f>Skills!G12*IF(Skills!H12&gt;0,IF(Inputs!$B$39="pvp",MIN(Skills!I12,15),Skills!I12)/Skills!H12,1)</f>
        <v/>
      </c>
      <c r="H1816">
        <f>1-(1-Skills!J12/100)^Skills!K12</f>
        <v/>
      </c>
      <c r="I1816" t="inlineStr">
        <is>
          <t>1</t>
        </is>
      </c>
      <c r="J1816">
        <f>((Inputs!$B$6*(1+Inputs!$B$7/100))+(((Inputs!$B$12*(1+Inputs!$B$13/100))-(Inputs!$B$12*(1+Inputs!$B$13/100)))+0.25*(Inputs!$B$14-Inputs!$B$14))*(1+Inputs!$B$7/100))*(F1816/100)</f>
        <v/>
      </c>
      <c r="K1816">
        <f>J1816*(1+((Inputs!$B$12*(1+Inputs!$B$13/100))*0.01+Inputs!$B$14*0.0025)/100)*(1+Inputs!$B$15/100)*(1+Inputs!$B$16/100)*(5000/(6000+Inputs!$B$43*(1-(100*(1-(1-Inputs!$B$19/100)*(1-CHOOSE(ArtifactsInput!$N$40+1,5,6,7,8,9,10)/100)^(ArtifactsInput!$M$40-ArtifactsInput!$M$40)))/100)))*(1+(Inputs!$B$24+((C1835=TRUE)*(F1835-Calc!F31))+((C1822=TRUE)*(F1822-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12="CRUEL_STAB",Inputs!$B$17+((C1832=TRUE)*(F1832-Calc!F28))+((IF(AND(Inputs!$B$39&lt;&gt;"pvp",Inputs!$B$44=0),1,IF(IF(Inputs!$B$39="pvp",15,Inputs!$B$44)-(B1849)&lt;=0,1,MAX(0,IF(Inputs!$B$39="pvp",15,Inputs!$B$44)-MAX(5,B1849))/(IF(Inputs!$B$39="pvp",15,Inputs!$B$44)-(B1849))))*(IF(AND(ArtifactsInput!$M$42,((Inputs!$B$9+((C1830=TRUE)*(F1830-Calc!F26))+B1838+(ArtifactsInput!$M$24-ArtifactsInput!$M$24)*CHOOSE(ArtifactsInput!$N$24+1,10,12,14,16,18,20)+IF(ArtifactsInput!$M$10,CHOOSE(ArtifactsInput!$N$10+1,15,18,21,24,27,30)*(IF(Inputs!$B$39="pvp",MIN(15,15)/15,IF(AND(Inputs!$B$39&lt;&gt;"pvp",Inputs!$B$44&gt;0),MIN(15,Inputs!$B$44)/(Inputs!$B$44),0))),0)))&gt;=100),MIN(100,((Inputs!$B$9+((C1830=TRUE)*(F1830-Calc!F26))+B1838+(ArtifactsInput!$M$24-ArtifactsInput!$M$24)*CHOOSE(ArtifactsInput!$N$24+1,10,12,14,16,18,20)+IF(ArtifactsInput!$M$10,CHOOSE(ArtifactsInput!$N$10+1,15,18,21,24,27,30)*(IF(Inputs!$B$39="pvp",MIN(15,15)/15,IF(AND(Inputs!$B$39&lt;&gt;"pvp",Inputs!$B$44&gt;0),MIN(15,Inputs!$B$44)/(Inputs!$B$44),0))),0)))-100),0))*CHOOSE(ArtifactsInput!$N$42+1,0.6,0.72,0.84,0.96,1.08,1.2))),Inputs!$B$18+((C1833=TRUE)*(F1833-Calc!F29))+(IF(AND(Inputs!$B$39&lt;&gt;"pvp",Inputs!$B$44=0),1,IF(IF(Inputs!$B$39="pvp",15,Inputs!$B$44)-(B1849)&lt;=0,1,MAX(0,IF(Inputs!$B$39="pvp",15,Inputs!$B$44)-MAX(5,B1849))/(IF(Inputs!$B$39="pvp",15,Inputs!$B$44)-(B1849))))*IF(AND(ArtifactsInput!$M$42,((Inputs!$B$9+((C1830=TRUE)*(F1830-Calc!F26))+B1838+(ArtifactsInput!$M$24-ArtifactsInput!$M$24)*CHOOSE(ArtifactsInput!$N$24+1,10,12,14,16,18,20)+IF(ArtifactsInput!$M$10,CHOOSE(ArtifactsInput!$N$10+1,15,18,21,24,27,30)*(IF(Inputs!$B$39="pvp",MIN(15,15)/15,IF(AND(Inputs!$B$39&lt;&gt;"pvp",Inputs!$B$44&gt;0),MIN(15,Inputs!$B$44)/(Inputs!$B$44),0))),0)))&gt;=100),CHOOSE(ArtifactsInput!$N$42+1,40,48,56,64,72,80),0))))/100)*(((1+(((C1826=TRUE)*F1826*IF(AND(Inputs!$B$39&lt;&gt;"pvp",Inputs!$B$44&gt;0),(((R1826-1)*MIN((Skills!Y22*(1+Inputs!$B$34/100)),(1/Q1826))+MIN((Skills!Y22*(1+Inputs!$B$34/100)),MAX(0,Inputs!$B$44-((R1826-1)*(1/Q1826)))))/Inputs!$B$44),IF(Inputs!$B$39="pvp",MIN((Skills!Y22*(1+Inputs!$B$34/100)),15)/15,MIN(1,(Skills!Y22*(1+Inputs!$B$34/100))/(1/Q1826)))))+((C1807=TRUE)*F1807*3)+((C1809=TRUE)*F1809*(1-EXP(-0.75*B1842*5)))+((C1828=TRUE)*(F1828-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1815=TRUE)*F1815*IF(AND(Inputs!$B$39&lt;&gt;"pvp",Inputs!$B$44&gt;0),(((R1815-1)*MIN((Skills!Y11*(1+Inputs!$B$34/100)),(1/Q1815))+MIN((Skills!Y11*(1+Inputs!$B$34/100)),MAX(0,Inputs!$B$44-((R1815-1)*(1/Q1815)))))/Inputs!$B$44),IF(Inputs!$B$39="pvp",MIN((Skills!Y11*(1+Inputs!$B$34/100)),15)/15,MIN(1,(Skills!Y11*(1+Inputs!$B$34/100))/(1/Q1815)))))/100)*(1+((C1820=TRUE)*F1820*IF(AND(Inputs!$B$39&lt;&gt;"pvp",Inputs!$B$44&gt;0),(((R1820-1)*MIN((Skills!Y16*(1+Inputs!$B$34/100)),(1/Q1820))+MIN((Skills!Y16*(1+Inputs!$B$34/100)),MAX(0,Inputs!$B$44-((R1820-1)*(1/Q1820)))))/Inputs!$B$44),IF(Inputs!$B$39="pvp",MIN((Skills!Y16*(1+Inputs!$B$34/100)),15)/15,MIN(1,(Skills!Y16*(1+Inputs!$B$34/100))/(1/Q1820)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1840*I1816)</f>
        <v/>
      </c>
      <c r="L1816">
        <f>K1816*(MIN(Inputs!$B$22+((C1829=TRUE)*(F1829-Calc!F25)),(Inputs!$B$23+((C1834=TRUE)*(F1834-Calc!F30))+IF(ArtifactsInput!$M$15,CHOOSE(ArtifactsInput!$N$15+1,25,30,35,40,45,50)/100*(Inputs!$B$11-Inputs!$B$11),0)))/100+(Inputs!$B$23+((C1834=TRUE)*(F1834-Calc!F30))+IF(ArtifactsInput!$M$15,CHOOSE(ArtifactsInput!$N$15+1,25,30,35,40,45,50)/100*(Inputs!$B$11-Inputs!$B$11),0))/100)/2</f>
        <v/>
      </c>
      <c r="M1816">
        <f>L1816*(1+(Inputs!$B$10+((C1831=TRUE)*(F1831-Calc!F27))+B1845+(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1816">
        <f>L1816*(1-MIN((Inputs!$B$9+((C1830=TRUE)*(F1830-Calc!F26))+B1838+(ArtifactsInput!$M$24-ArtifactsInput!$M$24)*CHOOSE(ArtifactsInput!$N$24+1,10,12,14,16,18,20)+(IF(AND(Inputs!$B$39&lt;&gt;"pvp",Inputs!$B$44=0),1,IF(IF(Inputs!$B$39="pvp",15,Inputs!$B$44)-(B1849)&lt;=0,1,MAX(0,IF(Inputs!$B$39="pvp",15,Inputs!$B$44)-MAX(5,B1849))/(IF(Inputs!$B$39="pvp",15,Inputs!$B$44)-(B1849))))*IF(AND(ArtifactsInput!$M$42,((Inputs!$B$9+((C1830=TRUE)*(F1830-Calc!F26))+B1838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1816*(MIN((Inputs!$B$9+((C1830=TRUE)*(F1830-Calc!F26))+B1838+(ArtifactsInput!$M$24-ArtifactsInput!$M$24)*CHOOSE(ArtifactsInput!$N$24+1,10,12,14,16,18,20)+(IF(AND(Inputs!$B$39&lt;&gt;"pvp",Inputs!$B$44=0),1,IF(IF(Inputs!$B$39="pvp",15,Inputs!$B$44)-(B1849)&lt;=0,1,MAX(0,IF(Inputs!$B$39="pvp",15,Inputs!$B$44)-MAX(5,B1849))/(IF(Inputs!$B$39="pvp",15,Inputs!$B$44)-(B1849))))*IF(AND(ArtifactsInput!$M$42,((Inputs!$B$9+((C1830=TRUE)*(F1830-Calc!F26))+B1838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816">
        <f>(1-Summary!$B$11)*T1816+Summary!$B$11*V1816</f>
        <v/>
      </c>
      <c r="P1816">
        <f>IF(B1850=0,0,O1816/B1850)</f>
        <v/>
      </c>
      <c r="Q1816">
        <f>IFERROR(1/IF(Inputs!$B$39="pvp",15,MAX(0.1,Skills!D12-IF(TRUE=TRUE,Inputs!$B$32,0))),0)</f>
        <v/>
      </c>
      <c r="R1816">
        <f>IF(AND(Inputs!$B$39&lt;&gt;"pvp",Inputs!$B$44&gt;0),IF(MAX(0,Inputs!$B$44-B1849)&lt;=0,0,(INT(MAX(0,Inputs!$B$44-B1849)/IF(Inputs!$B$39="pvp",15,MAX(0.1,Skills!D12-IF(TRUE=TRUE,Inputs!$B$32,0))))+1)),0)</f>
        <v/>
      </c>
      <c r="S1816">
        <f>IFERROR(O1816/N1816,0)</f>
        <v/>
      </c>
      <c r="T1816">
        <f>IF(C1816,(H1816*N1816*IF(AND(Inputs!$B$39&lt;&gt;"pvp",Inputs!$B$44&gt;0),((Skills!G12*((R1816-1)*IF(Skills!H12&gt;0,Skills!I12/Skills!H12,1)+IF(Skills!H12&gt;0,MIN(Skills!I12,MAX(0,MAX(0,Inputs!$B$44-B1849)-((R1816-1)*IF(Inputs!$B$39="pvp",15,MAX(0.1,Skills!D12-IF(TRUE=TRUE,Inputs!$B$32,0))))))/Skills!H12,1)))/Inputs!$B$44),G1816*Q1816))*IF(Inputs!$B$39="pvp",1,1+(Inputs!$B$20+0+Skills!P12+B1839+(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Hunt"),CHOOSE(ArtifactsInput!$N$35+1,15,18,21,24,27,30)*(1-EXP(-(0.2*B1842)*5)),0)+IF(AND(ArtifactsInput!$M$22,Inputs!$B$4&lt;&gt;"Chapter Hunt"),CHOOSE(ArtifactsInput!$N$22+1,10,12,14,16,18,20)*((0*(((0.15*B1842*5))^0/1)+1*(((0.15*B1842*5))^1/1)+2*(((0.15*B1842*5))^2/2)+3*(((0.15*B1842*5))^3/6)+4*(((0.15*B1842*5))^4/24)+5*(((0.15*B1842*5))^5/120))/((((0.15*B1842*5))^0/1)+(((0.15*B1842*5))^1/1)+(((0.15*B1842*5))^2/2)+(((0.15*B1842*5))^3/6)+(((0.15*B1842*5))^4/24)+(((0.15*B1842*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1816*(1-MIN(100,(Inputs!$B$9+((C1830=TRUE)*(F1830-Calc!F26))+B1838+(ArtifactsInput!$M$24-ArtifactsInput!$M$24)*CHOOSE(ArtifactsInput!$N$24+1,10,12,14,16,18,20)+(IF(AND(Inputs!$B$39&lt;&gt;"pvp",Inputs!$B$44=0),1,IF(IF(Inputs!$B$39="pvp",15,Inputs!$B$44)-(B1849)&lt;=0,1,MAX(0,IF(Inputs!$B$39="pvp",15,Inputs!$B$44)-MAX(5,B1849))/(IF(Inputs!$B$39="pvp",15,Inputs!$B$44)-(B1849))))*IF(AND(ArtifactsInput!$M$42,((Inputs!$B$9+((C1830=TRUE)*(F1830-Calc!F26))+B1838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1816*(MIN(100,(Inputs!$B$9+((C1830=TRUE)*(F1830-Calc!F26))+B1838+(ArtifactsInput!$M$24-ArtifactsInput!$M$24)*CHOOSE(ArtifactsInput!$N$24+1,10,12,14,16,18,20)+(IF(AND(Inputs!$B$39&lt;&gt;"pvp",Inputs!$B$44=0),1,IF(IF(Inputs!$B$39="pvp",15,Inputs!$B$44)-(B1849)&lt;=0,1,MAX(0,IF(Inputs!$B$39="pvp",15,Inputs!$B$44)-MAX(5,B1849))/(IF(Inputs!$B$39="pvp",15,Inputs!$B$44)-(B1849))))*IF(AND(ArtifactsInput!$M$42,((Inputs!$B$9+((C1830=TRUE)*(F1830-Calc!F26))+B1838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1816*(1-MIN(100,(Inputs!$B$9+((C1830=TRUE)*(F1830-Calc!F26))+B1838+(ArtifactsInput!$M$24-ArtifactsInput!$M$24)*CHOOSE(ArtifactsInput!$N$24+1,10,12,14,16,18,20)+(IF(AND(Inputs!$B$39&lt;&gt;"pvp",Inputs!$B$44=0),1,IF(IF(Inputs!$B$39="pvp",15,Inputs!$B$44)-(B1849)&lt;=0,1,MAX(0,IF(Inputs!$B$39="pvp",15,Inputs!$B$44)-MAX(5,B1849))/(IF(Inputs!$B$39="pvp",15,Inputs!$B$44)-(B1849))))*IF(AND(ArtifactsInput!$M$42,((Inputs!$B$9+((C1830=TRUE)*(F1830-Calc!F26))+B1838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1816*(MIN(100,(Inputs!$B$9+((C1830=TRUE)*(F1830-Calc!F26))+B1838+(ArtifactsInput!$M$24-ArtifactsInput!$M$24)*CHOOSE(ArtifactsInput!$N$24+1,10,12,14,16,18,20)+(IF(AND(Inputs!$B$39&lt;&gt;"pvp",Inputs!$B$44=0),1,IF(IF(Inputs!$B$39="pvp",15,Inputs!$B$44)-(B1849)&lt;=0,1,MAX(0,IF(Inputs!$B$39="pvp",15,Inputs!$B$44)-MAX(5,B1849))/(IF(Inputs!$B$39="pvp",15,Inputs!$B$44)-(B1849))))*IF(AND(ArtifactsInput!$M$42,((Inputs!$B$9+((C1830=TRUE)*(F1830-Calc!F26))+B1838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1816">
        <f>IF(C1816,(H1816*N1816*IF(AND(Inputs!$B$39&lt;&gt;"pvp",Inputs!$B$44&gt;0),((Skills!G12*((R1816-1)*IF(Skills!H12&gt;0,Skills!I12/Skills!H12,1)+IF(Skills!H12&gt;0,MIN(Skills!I12,MAX(0,MAX(0,Inputs!$B$44-B1849)-((R1816-1)*IF(Inputs!$B$39="pvp",15,MAX(0.1,Skills!D12-IF(TRUE=TRUE,Inputs!$B$32,0))))))/Skills!H12,1)))/Inputs!$B$44),G1816*Q1816))*IF(Inputs!$B$39="pvp",1,(1+(Inputs!$B$21+Skills!Q12+B1839+(IF(ArtifactsInput!$M$33,CHOOSE(ArtifactsInput!$N$33+1,30,36,42,48,54,60),0))+(IF(AND(ArtifactsInput!$M$35,Inputs!$B$4&lt;&gt;"Chapter Hunt"),CHOOSE(ArtifactsInput!$N$35+1,15,18,21,24,27,30)*(1-EXP(-(0.2*B1842)*5)),0)+IF(AND(ArtifactsInput!$M$22,Inputs!$B$4&lt;&gt;"Chapter Hunt"),CHOOSE(ArtifactsInput!$N$22+1,10,12,14,16,18,20)*((0*(((0.15*B1842*5))^0/1)+1*(((0.15*B1842*5))^1/1)+2*(((0.15*B1842*5))^2/2)+3*(((0.15*B1842*5))^3/6)+4*(((0.15*B1842*5))^4/24)+5*(((0.15*B1842*5))^5/120))/((((0.15*B1842*5))^0/1)+(((0.15*B1842*5))^1/1)+(((0.15*B1842*5))^2/2)+(((0.15*B1842*5))^3/6)+(((0.15*B1842*5))^4/24)+(((0.15*B1842*5))^5/120))),0)))/100)*(MIN(Skills!W12,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817">
      <c r="A1817">
        <f>Skills!A13</f>
        <v/>
      </c>
      <c r="B1817">
        <f>Skills!B13</f>
        <v/>
      </c>
      <c r="C1817">
        <f>Inputs!$B$3&gt;=105</f>
        <v/>
      </c>
      <c r="D1817">
        <f>IF(Skills!C13=1,60+Inputs!$B$25+Inputs!$B$29,IF(Skills!C13=2,90+Inputs!$B$26+Inputs!$B$29,IF(Skills!C13=3,120+Inputs!$B$27+Inputs!$B$29,MAX(0,(Inputs!$B$3-100)*3)+Inputs!$B$28+Inputs!$B$29)))</f>
        <v/>
      </c>
      <c r="E1817">
        <f>INDEX(FactorTable!$B$2:$Y$301, MATCH(ROUND(MIN(300,MAX(1,D1817)),0), FactorTable!$A$2:$A$301,0), Skills!M13+1)</f>
        <v/>
      </c>
      <c r="F1817">
        <f>IF(Skills!N13=TRUE,(Skills!L13/10)*(E1817/1000),Skills!L13/10)+Skills!O13</f>
        <v/>
      </c>
      <c r="G1817">
        <f>Skills!G13*IF(Skills!H13&gt;0,IF(Inputs!$B$39="pvp",MIN(Skills!I13,15),Skills!I13)/Skills!H13,1)</f>
        <v/>
      </c>
      <c r="H1817">
        <f>1-(1-Skills!J13/100)^Skills!K13</f>
        <v/>
      </c>
      <c r="I1817" t="inlineStr">
        <is>
          <t>1</t>
        </is>
      </c>
      <c r="J1817">
        <f>((Inputs!$B$6*(1+Inputs!$B$7/100))+(((Inputs!$B$12*(1+Inputs!$B$13/100))-(Inputs!$B$12*(1+Inputs!$B$13/100)))+0.25*(Inputs!$B$14-Inputs!$B$14))*(1+Inputs!$B$7/100))*(F1817/100)</f>
        <v/>
      </c>
      <c r="K1817">
        <f>J1817*(1+((Inputs!$B$12*(1+Inputs!$B$13/100))*0.01+Inputs!$B$14*0.0025)/100)*(1+Inputs!$B$15/100)*(1+Inputs!$B$16/100)*(5000/(6000+Inputs!$B$43*(1-(100*(1-(1-Inputs!$B$19/100)*(1-CHOOSE(ArtifactsInput!$N$40+1,5,6,7,8,9,10)/100)^(ArtifactsInput!$M$40-ArtifactsInput!$M$40)))/100)))*(1+(Inputs!$B$24+((C1835=TRUE)*(F1835-Calc!F31))+((C1822=TRUE)*(F1822-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13="CRUEL_STAB",Inputs!$B$17+((C1832=TRUE)*(F1832-Calc!F28))+((IF(AND(Inputs!$B$39&lt;&gt;"pvp",Inputs!$B$44=0),1,IF(IF(Inputs!$B$39="pvp",15,Inputs!$B$44)-(B1849)&lt;=0,1,MAX(0,IF(Inputs!$B$39="pvp",15,Inputs!$B$44)-MAX(5,B1849))/(IF(Inputs!$B$39="pvp",15,Inputs!$B$44)-(B1849))))*(IF(AND(ArtifactsInput!$M$42,((Inputs!$B$9+((C1830=TRUE)*(F1830-Calc!F26))+B1838+(ArtifactsInput!$M$24-ArtifactsInput!$M$24)*CHOOSE(ArtifactsInput!$N$24+1,10,12,14,16,18,20)+IF(ArtifactsInput!$M$10,CHOOSE(ArtifactsInput!$N$10+1,15,18,21,24,27,30)*(IF(Inputs!$B$39="pvp",MIN(15,15)/15,IF(AND(Inputs!$B$39&lt;&gt;"pvp",Inputs!$B$44&gt;0),MIN(15,Inputs!$B$44)/(Inputs!$B$44),0))),0)))&gt;=100),MIN(100,((Inputs!$B$9+((C1830=TRUE)*(F1830-Calc!F26))+B1838+(ArtifactsInput!$M$24-ArtifactsInput!$M$24)*CHOOSE(ArtifactsInput!$N$24+1,10,12,14,16,18,20)+IF(ArtifactsInput!$M$10,CHOOSE(ArtifactsInput!$N$10+1,15,18,21,24,27,30)*(IF(Inputs!$B$39="pvp",MIN(15,15)/15,IF(AND(Inputs!$B$39&lt;&gt;"pvp",Inputs!$B$44&gt;0),MIN(15,Inputs!$B$44)/(Inputs!$B$44),0))),0)))-100),0))*CHOOSE(ArtifactsInput!$N$42+1,0.6,0.72,0.84,0.96,1.08,1.2))),Inputs!$B$18+((C1833=TRUE)*(F1833-Calc!F29))+(IF(AND(Inputs!$B$39&lt;&gt;"pvp",Inputs!$B$44=0),1,IF(IF(Inputs!$B$39="pvp",15,Inputs!$B$44)-(B1849)&lt;=0,1,MAX(0,IF(Inputs!$B$39="pvp",15,Inputs!$B$44)-MAX(5,B1849))/(IF(Inputs!$B$39="pvp",15,Inputs!$B$44)-(B1849))))*IF(AND(ArtifactsInput!$M$42,((Inputs!$B$9+((C1830=TRUE)*(F1830-Calc!F26))+B1838+(ArtifactsInput!$M$24-ArtifactsInput!$M$24)*CHOOSE(ArtifactsInput!$N$24+1,10,12,14,16,18,20)+IF(ArtifactsInput!$M$10,CHOOSE(ArtifactsInput!$N$10+1,15,18,21,24,27,30)*(IF(Inputs!$B$39="pvp",MIN(15,15)/15,IF(AND(Inputs!$B$39&lt;&gt;"pvp",Inputs!$B$44&gt;0),MIN(15,Inputs!$B$44)/(Inputs!$B$44),0))),0)))&gt;=100),CHOOSE(ArtifactsInput!$N$42+1,40,48,56,64,72,80),0))))/100)*(((1+(((C1826=TRUE)*F1826*IF(AND(Inputs!$B$39&lt;&gt;"pvp",Inputs!$B$44&gt;0),(((R1826-1)*MIN((Skills!Y22*(1+Inputs!$B$34/100)),(1/Q1826))+MIN((Skills!Y22*(1+Inputs!$B$34/100)),MAX(0,Inputs!$B$44-((R1826-1)*(1/Q1826)))))/Inputs!$B$44),IF(Inputs!$B$39="pvp",MIN((Skills!Y22*(1+Inputs!$B$34/100)),15)/15,MIN(1,(Skills!Y22*(1+Inputs!$B$34/100))/(1/Q1826)))))+((C1807=TRUE)*F1807*3)+((C1809=TRUE)*F1809*(1-EXP(-0.75*B1842*5)))+((C1828=TRUE)*(F1828-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1815=TRUE)*F1815*IF(AND(Inputs!$B$39&lt;&gt;"pvp",Inputs!$B$44&gt;0),(((R1815-1)*MIN((Skills!Y11*(1+Inputs!$B$34/100)),(1/Q1815))+MIN((Skills!Y11*(1+Inputs!$B$34/100)),MAX(0,Inputs!$B$44-((R1815-1)*(1/Q1815)))))/Inputs!$B$44),IF(Inputs!$B$39="pvp",MIN((Skills!Y11*(1+Inputs!$B$34/100)),15)/15,MIN(1,(Skills!Y11*(1+Inputs!$B$34/100))/(1/Q1815)))))/100)*(1+((C1820=TRUE)*F1820*IF(AND(Inputs!$B$39&lt;&gt;"pvp",Inputs!$B$44&gt;0),(((R1820-1)*MIN((Skills!Y16*(1+Inputs!$B$34/100)),(1/Q1820))+MIN((Skills!Y16*(1+Inputs!$B$34/100)),MAX(0,Inputs!$B$44-((R1820-1)*(1/Q1820)))))/Inputs!$B$44),IF(Inputs!$B$39="pvp",MIN((Skills!Y16*(1+Inputs!$B$34/100)),15)/15,MIN(1,(Skills!Y16*(1+Inputs!$B$34/100))/(1/Q1820)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1840*I1817)</f>
        <v/>
      </c>
      <c r="L1817">
        <f>K1817*(MIN(Inputs!$B$22+((C1829=TRUE)*(F1829-Calc!F25)),(Inputs!$B$23+((C1834=TRUE)*(F1834-Calc!F30))+IF(ArtifactsInput!$M$15,CHOOSE(ArtifactsInput!$N$15+1,25,30,35,40,45,50)/100*(Inputs!$B$11-Inputs!$B$11),0)))/100+(Inputs!$B$23+((C1834=TRUE)*(F1834-Calc!F30))+IF(ArtifactsInput!$M$15,CHOOSE(ArtifactsInput!$N$15+1,25,30,35,40,45,50)/100*(Inputs!$B$11-Inputs!$B$11),0))/100)/2</f>
        <v/>
      </c>
      <c r="M1817">
        <f>L1817*(1+(Inputs!$B$10+((C1831=TRUE)*(F1831-Calc!F27))+B1845+(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1817">
        <f>L1817*(1-MIN((Inputs!$B$9+((C1830=TRUE)*(F1830-Calc!F26))+B1838+(ArtifactsInput!$M$24-ArtifactsInput!$M$24)*CHOOSE(ArtifactsInput!$N$24+1,10,12,14,16,18,20)+(IF(AND(Inputs!$B$39&lt;&gt;"pvp",Inputs!$B$44=0),1,IF(IF(Inputs!$B$39="pvp",15,Inputs!$B$44)-(B1849)&lt;=0,1,MAX(0,IF(Inputs!$B$39="pvp",15,Inputs!$B$44)-MAX(5,B1849))/(IF(Inputs!$B$39="pvp",15,Inputs!$B$44)-(B1849))))*IF(AND(ArtifactsInput!$M$42,((Inputs!$B$9+((C1830=TRUE)*(F1830-Calc!F26))+B1838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1817*(MIN((Inputs!$B$9+((C1830=TRUE)*(F1830-Calc!F26))+B1838+(ArtifactsInput!$M$24-ArtifactsInput!$M$24)*CHOOSE(ArtifactsInput!$N$24+1,10,12,14,16,18,20)+(IF(AND(Inputs!$B$39&lt;&gt;"pvp",Inputs!$B$44=0),1,IF(IF(Inputs!$B$39="pvp",15,Inputs!$B$44)-(B1849)&lt;=0,1,MAX(0,IF(Inputs!$B$39="pvp",15,Inputs!$B$44)-MAX(5,B1849))/(IF(Inputs!$B$39="pvp",15,Inputs!$B$44)-(B1849))))*IF(AND(ArtifactsInput!$M$42,((Inputs!$B$9+((C1830=TRUE)*(F1830-Calc!F26))+B1838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817">
        <f>(1-Summary!$B$11)*T1817+Summary!$B$11*V1817</f>
        <v/>
      </c>
      <c r="P1817">
        <f>IF(B1850=0,0,O1817/B1850)</f>
        <v/>
      </c>
      <c r="Q1817">
        <f>IFERROR(1/IF(Inputs!$B$39="pvp",15,MAX(0.1,Skills!D13-IF(TRUE=TRUE,Inputs!$B$32,0))),0)</f>
        <v/>
      </c>
      <c r="R1817">
        <f>IF(AND(Inputs!$B$39&lt;&gt;"pvp",Inputs!$B$44&gt;0),IF(MAX(0,Inputs!$B$44-B1849)&lt;=0,0,(INT(MAX(0,Inputs!$B$44-B1849)/IF(Inputs!$B$39="pvp",15,MAX(0.1,Skills!D13-IF(TRUE=TRUE,Inputs!$B$32,0))))+1)),0)</f>
        <v/>
      </c>
      <c r="S1817">
        <f>IFERROR(O1817/N1817,0)</f>
        <v/>
      </c>
      <c r="T1817">
        <f>IF(C1817,(H1817*N1817*IF(AND(Inputs!$B$39&lt;&gt;"pvp",Inputs!$B$44&gt;0),((Skills!G13*((R1817-1)*IF(Skills!H13&gt;0,Skills!I13/Skills!H13,1)+IF(Skills!H13&gt;0,MIN(Skills!I13,MAX(0,MAX(0,Inputs!$B$44-B1849)-((R1817-1)*IF(Inputs!$B$39="pvp",15,MAX(0.1,Skills!D13-IF(TRUE=TRUE,Inputs!$B$32,0))))))/Skills!H13,1)))/Inputs!$B$44),G1817*Q1817))*IF(Inputs!$B$39="pvp",1,1+(Inputs!$B$20+0+Skills!P13+B1839+(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Hunt"),CHOOSE(ArtifactsInput!$N$35+1,15,18,21,24,27,30)*(1-EXP(-(0.2*B1842)*5)),0)+IF(AND(ArtifactsInput!$M$22,Inputs!$B$4&lt;&gt;"Chapter Hunt"),CHOOSE(ArtifactsInput!$N$22+1,10,12,14,16,18,20)*((0*(((0.15*B1842*5))^0/1)+1*(((0.15*B1842*5))^1/1)+2*(((0.15*B1842*5))^2/2)+3*(((0.15*B1842*5))^3/6)+4*(((0.15*B1842*5))^4/24)+5*(((0.15*B1842*5))^5/120))/((((0.15*B1842*5))^0/1)+(((0.15*B1842*5))^1/1)+(((0.15*B1842*5))^2/2)+(((0.15*B1842*5))^3/6)+(((0.15*B1842*5))^4/24)+(((0.15*B1842*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1817*(1-MIN(100,(Inputs!$B$9+((C1830=TRUE)*(F1830-Calc!F26))+B1838+(ArtifactsInput!$M$24-ArtifactsInput!$M$24)*CHOOSE(ArtifactsInput!$N$24+1,10,12,14,16,18,20)+(IF(AND(Inputs!$B$39&lt;&gt;"pvp",Inputs!$B$44=0),1,IF(IF(Inputs!$B$39="pvp",15,Inputs!$B$44)-(B1849)&lt;=0,1,MAX(0,IF(Inputs!$B$39="pvp",15,Inputs!$B$44)-MAX(5,B1849))/(IF(Inputs!$B$39="pvp",15,Inputs!$B$44)-(B1849))))*IF(AND(ArtifactsInput!$M$42,((Inputs!$B$9+((C1830=TRUE)*(F1830-Calc!F26))+B1838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1817*(MIN(100,(Inputs!$B$9+((C1830=TRUE)*(F1830-Calc!F26))+B1838+(ArtifactsInput!$M$24-ArtifactsInput!$M$24)*CHOOSE(ArtifactsInput!$N$24+1,10,12,14,16,18,20)+(IF(AND(Inputs!$B$39&lt;&gt;"pvp",Inputs!$B$44=0),1,IF(IF(Inputs!$B$39="pvp",15,Inputs!$B$44)-(B1849)&lt;=0,1,MAX(0,IF(Inputs!$B$39="pvp",15,Inputs!$B$44)-MAX(5,B1849))/(IF(Inputs!$B$39="pvp",15,Inputs!$B$44)-(B1849))))*IF(AND(ArtifactsInput!$M$42,((Inputs!$B$9+((C1830=TRUE)*(F1830-Calc!F26))+B1838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1817*(1-MIN(100,(Inputs!$B$9+((C1830=TRUE)*(F1830-Calc!F26))+B1838+(ArtifactsInput!$M$24-ArtifactsInput!$M$24)*CHOOSE(ArtifactsInput!$N$24+1,10,12,14,16,18,20)+(IF(AND(Inputs!$B$39&lt;&gt;"pvp",Inputs!$B$44=0),1,IF(IF(Inputs!$B$39="pvp",15,Inputs!$B$44)-(B1849)&lt;=0,1,MAX(0,IF(Inputs!$B$39="pvp",15,Inputs!$B$44)-MAX(5,B1849))/(IF(Inputs!$B$39="pvp",15,Inputs!$B$44)-(B1849))))*IF(AND(ArtifactsInput!$M$42,((Inputs!$B$9+((C1830=TRUE)*(F1830-Calc!F26))+B1838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1817*(MIN(100,(Inputs!$B$9+((C1830=TRUE)*(F1830-Calc!F26))+B1838+(ArtifactsInput!$M$24-ArtifactsInput!$M$24)*CHOOSE(ArtifactsInput!$N$24+1,10,12,14,16,18,20)+(IF(AND(Inputs!$B$39&lt;&gt;"pvp",Inputs!$B$44=0),1,IF(IF(Inputs!$B$39="pvp",15,Inputs!$B$44)-(B1849)&lt;=0,1,MAX(0,IF(Inputs!$B$39="pvp",15,Inputs!$B$44)-MAX(5,B1849))/(IF(Inputs!$B$39="pvp",15,Inputs!$B$44)-(B1849))))*IF(AND(ArtifactsInput!$M$42,((Inputs!$B$9+((C1830=TRUE)*(F1830-Calc!F26))+B1838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1817">
        <f>IF(C1817,(H1817*N1817*IF(AND(Inputs!$B$39&lt;&gt;"pvp",Inputs!$B$44&gt;0),((Skills!G13*((R1817-1)*IF(Skills!H13&gt;0,Skills!I13/Skills!H13,1)+IF(Skills!H13&gt;0,MIN(Skills!I13,MAX(0,MAX(0,Inputs!$B$44-B1849)-((R1817-1)*IF(Inputs!$B$39="pvp",15,MAX(0.1,Skills!D13-IF(TRUE=TRUE,Inputs!$B$32,0))))))/Skills!H13,1)))/Inputs!$B$44),G1817*Q1817))*IF(Inputs!$B$39="pvp",1,(1+(Inputs!$B$21+Skills!Q13+B1839+(IF(ArtifactsInput!$M$33,CHOOSE(ArtifactsInput!$N$33+1,30,36,42,48,54,60),0))+(IF(AND(ArtifactsInput!$M$35,Inputs!$B$4&lt;&gt;"Chapter Hunt"),CHOOSE(ArtifactsInput!$N$35+1,15,18,21,24,27,30)*(1-EXP(-(0.2*B1842)*5)),0)+IF(AND(ArtifactsInput!$M$22,Inputs!$B$4&lt;&gt;"Chapter Hunt"),CHOOSE(ArtifactsInput!$N$22+1,10,12,14,16,18,20)*((0*(((0.15*B1842*5))^0/1)+1*(((0.15*B1842*5))^1/1)+2*(((0.15*B1842*5))^2/2)+3*(((0.15*B1842*5))^3/6)+4*(((0.15*B1842*5))^4/24)+5*(((0.15*B1842*5))^5/120))/((((0.15*B1842*5))^0/1)+(((0.15*B1842*5))^1/1)+(((0.15*B1842*5))^2/2)+(((0.15*B1842*5))^3/6)+(((0.15*B1842*5))^4/24)+(((0.15*B1842*5))^5/120))),0)))/100)*(MIN(Skills!W13,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818">
      <c r="A1818">
        <f>Skills!A14</f>
        <v/>
      </c>
      <c r="B1818">
        <f>Skills!B14</f>
        <v/>
      </c>
      <c r="C1818">
        <f>Inputs!$B$3&gt;=105</f>
        <v/>
      </c>
      <c r="D1818">
        <f>IF(Skills!C14=1,60+Inputs!$B$25+Inputs!$B$29,IF(Skills!C14=2,90+Inputs!$B$26+Inputs!$B$29,IF(Skills!C14=3,120+Inputs!$B$27+Inputs!$B$29,MAX(0,(Inputs!$B$3-100)*3)+Inputs!$B$28+Inputs!$B$29)))</f>
        <v/>
      </c>
      <c r="E1818">
        <f>INDEX(FactorTable!$B$2:$Y$301, MATCH(ROUND(MIN(300,MAX(1,D1818)),0), FactorTable!$A$2:$A$301,0), Skills!M14+1)</f>
        <v/>
      </c>
      <c r="F1818">
        <f>IF(Skills!N14=TRUE,(Skills!L14/10)*(E1818/1000),Skills!L14/10)+Skills!O14</f>
        <v/>
      </c>
      <c r="G1818">
        <f>Skills!G14*IF(Skills!H14&gt;0,IF(Inputs!$B$39="pvp",MIN(Skills!I14,15),Skills!I14)/Skills!H14,1)</f>
        <v/>
      </c>
      <c r="H1818">
        <f>1-(1-Skills!J14/100)^Skills!K14</f>
        <v/>
      </c>
      <c r="I1818" t="inlineStr">
        <is>
          <t>1</t>
        </is>
      </c>
      <c r="J1818">
        <f>((Inputs!$B$6*(1+Inputs!$B$7/100))+(((Inputs!$B$12*(1+Inputs!$B$13/100))-(Inputs!$B$12*(1+Inputs!$B$13/100)))+0.25*(Inputs!$B$14-Inputs!$B$14))*(1+Inputs!$B$7/100))*(F1818/100)</f>
        <v/>
      </c>
      <c r="K1818">
        <f>J1818*(1+((Inputs!$B$12*(1+Inputs!$B$13/100))*0.01+Inputs!$B$14*0.0025)/100)*(1+Inputs!$B$15/100)*(1+Inputs!$B$16/100)*(5000/(6000+Inputs!$B$43*(1-(100*(1-(1-Inputs!$B$19/100)*(1-CHOOSE(ArtifactsInput!$N$40+1,5,6,7,8,9,10)/100)^(ArtifactsInput!$M$40-ArtifactsInput!$M$40)))/100)))*(1+(Inputs!$B$24+((C1835=TRUE)*(F1835-Calc!F31))+((C1822=TRUE)*(F1822-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14="CRUEL_STAB",Inputs!$B$17+((C1832=TRUE)*(F1832-Calc!F28))+((IF(AND(Inputs!$B$39&lt;&gt;"pvp",Inputs!$B$44=0),1,IF(IF(Inputs!$B$39="pvp",15,Inputs!$B$44)-(B1849)&lt;=0,1,MAX(0,IF(Inputs!$B$39="pvp",15,Inputs!$B$44)-MAX(5,B1849))/(IF(Inputs!$B$39="pvp",15,Inputs!$B$44)-(B1849))))*(IF(AND(ArtifactsInput!$M$42,((Inputs!$B$9+((C1830=TRUE)*(F1830-Calc!F26))+B1838+(ArtifactsInput!$M$24-ArtifactsInput!$M$24)*CHOOSE(ArtifactsInput!$N$24+1,10,12,14,16,18,20)+IF(ArtifactsInput!$M$10,CHOOSE(ArtifactsInput!$N$10+1,15,18,21,24,27,30)*(IF(Inputs!$B$39="pvp",MIN(15,15)/15,IF(AND(Inputs!$B$39&lt;&gt;"pvp",Inputs!$B$44&gt;0),MIN(15,Inputs!$B$44)/(Inputs!$B$44),0))),0)))&gt;=100),MIN(100,((Inputs!$B$9+((C1830=TRUE)*(F1830-Calc!F26))+B1838+(ArtifactsInput!$M$24-ArtifactsInput!$M$24)*CHOOSE(ArtifactsInput!$N$24+1,10,12,14,16,18,20)+IF(ArtifactsInput!$M$10,CHOOSE(ArtifactsInput!$N$10+1,15,18,21,24,27,30)*(IF(Inputs!$B$39="pvp",MIN(15,15)/15,IF(AND(Inputs!$B$39&lt;&gt;"pvp",Inputs!$B$44&gt;0),MIN(15,Inputs!$B$44)/(Inputs!$B$44),0))),0)))-100),0))*CHOOSE(ArtifactsInput!$N$42+1,0.6,0.72,0.84,0.96,1.08,1.2))),Inputs!$B$18+((C1833=TRUE)*(F1833-Calc!F29))+(IF(AND(Inputs!$B$39&lt;&gt;"pvp",Inputs!$B$44=0),1,IF(IF(Inputs!$B$39="pvp",15,Inputs!$B$44)-(B1849)&lt;=0,1,MAX(0,IF(Inputs!$B$39="pvp",15,Inputs!$B$44)-MAX(5,B1849))/(IF(Inputs!$B$39="pvp",15,Inputs!$B$44)-(B1849))))*IF(AND(ArtifactsInput!$M$42,((Inputs!$B$9+((C1830=TRUE)*(F1830-Calc!F26))+B1838+(ArtifactsInput!$M$24-ArtifactsInput!$M$24)*CHOOSE(ArtifactsInput!$N$24+1,10,12,14,16,18,20)+IF(ArtifactsInput!$M$10,CHOOSE(ArtifactsInput!$N$10+1,15,18,21,24,27,30)*(IF(Inputs!$B$39="pvp",MIN(15,15)/15,IF(AND(Inputs!$B$39&lt;&gt;"pvp",Inputs!$B$44&gt;0),MIN(15,Inputs!$B$44)/(Inputs!$B$44),0))),0)))&gt;=100),CHOOSE(ArtifactsInput!$N$42+1,40,48,56,64,72,80),0))))/100)*(((1+(((C1826=TRUE)*F1826*IF(AND(Inputs!$B$39&lt;&gt;"pvp",Inputs!$B$44&gt;0),(((R1826-1)*MIN((Skills!Y22*(1+Inputs!$B$34/100)),(1/Q1826))+MIN((Skills!Y22*(1+Inputs!$B$34/100)),MAX(0,Inputs!$B$44-((R1826-1)*(1/Q1826)))))/Inputs!$B$44),IF(Inputs!$B$39="pvp",MIN((Skills!Y22*(1+Inputs!$B$34/100)),15)/15,MIN(1,(Skills!Y22*(1+Inputs!$B$34/100))/(1/Q1826)))))+((C1807=TRUE)*F1807*3)+((C1809=TRUE)*F1809*(1-EXP(-0.75*B1842*5)))+((C1828=TRUE)*(F1828-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1815=TRUE)*F1815*IF(AND(Inputs!$B$39&lt;&gt;"pvp",Inputs!$B$44&gt;0),(((R1815-1)*MIN((Skills!Y11*(1+Inputs!$B$34/100)),(1/Q1815))+MIN((Skills!Y11*(1+Inputs!$B$34/100)),MAX(0,Inputs!$B$44-((R1815-1)*(1/Q1815)))))/Inputs!$B$44),IF(Inputs!$B$39="pvp",MIN((Skills!Y11*(1+Inputs!$B$34/100)),15)/15,MIN(1,(Skills!Y11*(1+Inputs!$B$34/100))/(1/Q1815)))))/100)*(1+((C1820=TRUE)*F1820*IF(AND(Inputs!$B$39&lt;&gt;"pvp",Inputs!$B$44&gt;0),(((R1820-1)*MIN((Skills!Y16*(1+Inputs!$B$34/100)),(1/Q1820))+MIN((Skills!Y16*(1+Inputs!$B$34/100)),MAX(0,Inputs!$B$44-((R1820-1)*(1/Q1820)))))/Inputs!$B$44),IF(Inputs!$B$39="pvp",MIN((Skills!Y16*(1+Inputs!$B$34/100)),15)/15,MIN(1,(Skills!Y16*(1+Inputs!$B$34/100))/(1/Q1820)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1840*I1818)</f>
        <v/>
      </c>
      <c r="L1818">
        <f>K1818*(MIN(Inputs!$B$22+((C1829=TRUE)*(F1829-Calc!F25)),(Inputs!$B$23+((C1834=TRUE)*(F1834-Calc!F30))+IF(ArtifactsInput!$M$15,CHOOSE(ArtifactsInput!$N$15+1,25,30,35,40,45,50)/100*(Inputs!$B$11-Inputs!$B$11),0)))/100+(Inputs!$B$23+((C1834=TRUE)*(F1834-Calc!F30))+IF(ArtifactsInput!$M$15,CHOOSE(ArtifactsInput!$N$15+1,25,30,35,40,45,50)/100*(Inputs!$B$11-Inputs!$B$11),0))/100)/2</f>
        <v/>
      </c>
      <c r="M1818">
        <f>L1818*(1+(Inputs!$B$10+((C1831=TRUE)*(F1831-Calc!F27))+B1845+(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1818">
        <f>L1818*(1-MIN((Inputs!$B$9+((C1830=TRUE)*(F1830-Calc!F26))+B1838+(ArtifactsInput!$M$24-ArtifactsInput!$M$24)*CHOOSE(ArtifactsInput!$N$24+1,10,12,14,16,18,20)+(IF(AND(Inputs!$B$39&lt;&gt;"pvp",Inputs!$B$44=0),1,IF(IF(Inputs!$B$39="pvp",15,Inputs!$B$44)-(B1849)&lt;=0,1,MAX(0,IF(Inputs!$B$39="pvp",15,Inputs!$B$44)-MAX(5,B1849))/(IF(Inputs!$B$39="pvp",15,Inputs!$B$44)-(B1849))))*IF(AND(ArtifactsInput!$M$42,((Inputs!$B$9+((C1830=TRUE)*(F1830-Calc!F26))+B1838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1818*(MIN((Inputs!$B$9+((C1830=TRUE)*(F1830-Calc!F26))+B1838+(ArtifactsInput!$M$24-ArtifactsInput!$M$24)*CHOOSE(ArtifactsInput!$N$24+1,10,12,14,16,18,20)+(IF(AND(Inputs!$B$39&lt;&gt;"pvp",Inputs!$B$44=0),1,IF(IF(Inputs!$B$39="pvp",15,Inputs!$B$44)-(B1849)&lt;=0,1,MAX(0,IF(Inputs!$B$39="pvp",15,Inputs!$B$44)-MAX(5,B1849))/(IF(Inputs!$B$39="pvp",15,Inputs!$B$44)-(B1849))))*IF(AND(ArtifactsInput!$M$42,((Inputs!$B$9+((C1830=TRUE)*(F1830-Calc!F26))+B1838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818">
        <f>(1-Summary!$B$11)*T1818+Summary!$B$11*V1818</f>
        <v/>
      </c>
      <c r="P1818">
        <f>IF(B1850=0,0,O1818/B1850)</f>
        <v/>
      </c>
      <c r="Q1818">
        <f>IFERROR(1/IF(Inputs!$B$39="pvp",15,MAX(0.1,Skills!D14-IF(TRUE=TRUE,Inputs!$B$32,0))),0)</f>
        <v/>
      </c>
      <c r="R1818">
        <f>IF(AND(Inputs!$B$39&lt;&gt;"pvp",Inputs!$B$44&gt;0),IF(MAX(0,Inputs!$B$44-B1849)&lt;=0,0,(INT(MAX(0,Inputs!$B$44-B1849)/IF(Inputs!$B$39="pvp",15,MAX(0.1,Skills!D14-IF(TRUE=TRUE,Inputs!$B$32,0))))+1)),0)</f>
        <v/>
      </c>
      <c r="S1818">
        <f>IFERROR(O1818/N1818,0)</f>
        <v/>
      </c>
      <c r="T1818">
        <f>IF(C1818,(H1818*N1818*IF(AND(Inputs!$B$39&lt;&gt;"pvp",Inputs!$B$44&gt;0),((Skills!G14*((R1818-1)*IF(Skills!H14&gt;0,Skills!I14/Skills!H14,1)+IF(Skills!H14&gt;0,MIN(Skills!I14,MAX(0,MAX(0,Inputs!$B$44-B1849)-((R1818-1)*IF(Inputs!$B$39="pvp",15,MAX(0.1,Skills!D14-IF(TRUE=TRUE,Inputs!$B$32,0))))))/Skills!H14,1)))/Inputs!$B$44),G1818*Q1818))*IF(Inputs!$B$39="pvp",1,1+(Inputs!$B$20+0+Skills!P14+B1839+(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Hunt"),CHOOSE(ArtifactsInput!$N$35+1,15,18,21,24,27,30)*(1-EXP(-(0.2*B1842)*5)),0)+IF(AND(ArtifactsInput!$M$22,Inputs!$B$4&lt;&gt;"Chapter Hunt"),CHOOSE(ArtifactsInput!$N$22+1,10,12,14,16,18,20)*((0*(((0.15*B1842*5))^0/1)+1*(((0.15*B1842*5))^1/1)+2*(((0.15*B1842*5))^2/2)+3*(((0.15*B1842*5))^3/6)+4*(((0.15*B1842*5))^4/24)+5*(((0.15*B1842*5))^5/120))/((((0.15*B1842*5))^0/1)+(((0.15*B1842*5))^1/1)+(((0.15*B1842*5))^2/2)+(((0.15*B1842*5))^3/6)+(((0.15*B1842*5))^4/24)+(((0.15*B1842*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1818*(1-MIN(100,(Inputs!$B$9+((C1830=TRUE)*(F1830-Calc!F26))+B1838+(ArtifactsInput!$M$24-ArtifactsInput!$M$24)*CHOOSE(ArtifactsInput!$N$24+1,10,12,14,16,18,20)+(IF(AND(Inputs!$B$39&lt;&gt;"pvp",Inputs!$B$44=0),1,IF(IF(Inputs!$B$39="pvp",15,Inputs!$B$44)-(B1849)&lt;=0,1,MAX(0,IF(Inputs!$B$39="pvp",15,Inputs!$B$44)-MAX(5,B1849))/(IF(Inputs!$B$39="pvp",15,Inputs!$B$44)-(B1849))))*IF(AND(ArtifactsInput!$M$42,((Inputs!$B$9+((C1830=TRUE)*(F1830-Calc!F26))+B1838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1818*(MIN(100,(Inputs!$B$9+((C1830=TRUE)*(F1830-Calc!F26))+B1838+(ArtifactsInput!$M$24-ArtifactsInput!$M$24)*CHOOSE(ArtifactsInput!$N$24+1,10,12,14,16,18,20)+(IF(AND(Inputs!$B$39&lt;&gt;"pvp",Inputs!$B$44=0),1,IF(IF(Inputs!$B$39="pvp",15,Inputs!$B$44)-(B1849)&lt;=0,1,MAX(0,IF(Inputs!$B$39="pvp",15,Inputs!$B$44)-MAX(5,B1849))/(IF(Inputs!$B$39="pvp",15,Inputs!$B$44)-(B1849))))*IF(AND(ArtifactsInput!$M$42,((Inputs!$B$9+((C1830=TRUE)*(F1830-Calc!F26))+B1838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1818*(1-MIN(100,(Inputs!$B$9+((C1830=TRUE)*(F1830-Calc!F26))+B1838+(ArtifactsInput!$M$24-ArtifactsInput!$M$24)*CHOOSE(ArtifactsInput!$N$24+1,10,12,14,16,18,20)+(IF(AND(Inputs!$B$39&lt;&gt;"pvp",Inputs!$B$44=0),1,IF(IF(Inputs!$B$39="pvp",15,Inputs!$B$44)-(B1849)&lt;=0,1,MAX(0,IF(Inputs!$B$39="pvp",15,Inputs!$B$44)-MAX(5,B1849))/(IF(Inputs!$B$39="pvp",15,Inputs!$B$44)-(B1849))))*IF(AND(ArtifactsInput!$M$42,((Inputs!$B$9+((C1830=TRUE)*(F1830-Calc!F26))+B1838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1818*(MIN(100,(Inputs!$B$9+((C1830=TRUE)*(F1830-Calc!F26))+B1838+(ArtifactsInput!$M$24-ArtifactsInput!$M$24)*CHOOSE(ArtifactsInput!$N$24+1,10,12,14,16,18,20)+(IF(AND(Inputs!$B$39&lt;&gt;"pvp",Inputs!$B$44=0),1,IF(IF(Inputs!$B$39="pvp",15,Inputs!$B$44)-(B1849)&lt;=0,1,MAX(0,IF(Inputs!$B$39="pvp",15,Inputs!$B$44)-MAX(5,B1849))/(IF(Inputs!$B$39="pvp",15,Inputs!$B$44)-(B1849))))*IF(AND(ArtifactsInput!$M$42,((Inputs!$B$9+((C1830=TRUE)*(F1830-Calc!F26))+B1838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1818">
        <f>IF(C1818,(H1818*N1818*IF(AND(Inputs!$B$39&lt;&gt;"pvp",Inputs!$B$44&gt;0),((Skills!G14*((R1818-1)*IF(Skills!H14&gt;0,Skills!I14/Skills!H14,1)+IF(Skills!H14&gt;0,MIN(Skills!I14,MAX(0,MAX(0,Inputs!$B$44-B1849)-((R1818-1)*IF(Inputs!$B$39="pvp",15,MAX(0.1,Skills!D14-IF(TRUE=TRUE,Inputs!$B$32,0))))))/Skills!H14,1)))/Inputs!$B$44),G1818*Q1818))*IF(Inputs!$B$39="pvp",1,(1+(Inputs!$B$21+Skills!Q14+B1839+(IF(ArtifactsInput!$M$33,CHOOSE(ArtifactsInput!$N$33+1,30,36,42,48,54,60),0))+(IF(AND(ArtifactsInput!$M$35,Inputs!$B$4&lt;&gt;"Chapter Hunt"),CHOOSE(ArtifactsInput!$N$35+1,15,18,21,24,27,30)*(1-EXP(-(0.2*B1842)*5)),0)+IF(AND(ArtifactsInput!$M$22,Inputs!$B$4&lt;&gt;"Chapter Hunt"),CHOOSE(ArtifactsInput!$N$22+1,10,12,14,16,18,20)*((0*(((0.15*B1842*5))^0/1)+1*(((0.15*B1842*5))^1/1)+2*(((0.15*B1842*5))^2/2)+3*(((0.15*B1842*5))^3/6)+4*(((0.15*B1842*5))^4/24)+5*(((0.15*B1842*5))^5/120))/((((0.15*B1842*5))^0/1)+(((0.15*B1842*5))^1/1)+(((0.15*B1842*5))^2/2)+(((0.15*B1842*5))^3/6)+(((0.15*B1842*5))^4/24)+(((0.15*B1842*5))^5/120))),0)))/100)*(MIN(Skills!W14,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819">
      <c r="A1819">
        <f>Skills!A15</f>
        <v/>
      </c>
      <c r="B1819">
        <f>Skills!B15</f>
        <v/>
      </c>
      <c r="C1819">
        <f>Inputs!$B$3&gt;=107</f>
        <v/>
      </c>
      <c r="D1819">
        <f>IF(Skills!C15=1,60+Inputs!$B$25+Inputs!$B$29,IF(Skills!C15=2,90+Inputs!$B$26+Inputs!$B$29,IF(Skills!C15=3,120+Inputs!$B$27+Inputs!$B$29,MAX(0,(Inputs!$B$3-100)*3)+Inputs!$B$28+Inputs!$B$29)))</f>
        <v/>
      </c>
      <c r="E1819">
        <f>INDEX(FactorTable!$B$2:$Y$301, MATCH(ROUND(MIN(300,MAX(1,D1819)),0), FactorTable!$A$2:$A$301,0), Skills!M15+1)</f>
        <v/>
      </c>
      <c r="F1819">
        <f>IF(Skills!N15=TRUE,(Skills!L15/10)*(E1819/1000),Skills!L15/10)+Skills!O15</f>
        <v/>
      </c>
      <c r="G1819">
        <f>Skills!G15*IF(Skills!H15&gt;0,IF(Inputs!$B$39="pvp",MIN(Skills!I15,15),Skills!I15)/Skills!H15,1)</f>
        <v/>
      </c>
      <c r="H1819">
        <f>1-(1-Skills!J15/100)^Skills!K15</f>
        <v/>
      </c>
      <c r="I1819" t="inlineStr">
        <is>
          <t>1</t>
        </is>
      </c>
      <c r="J1819">
        <f>((Inputs!$B$6*(1+Inputs!$B$7/100))+(((Inputs!$B$12*(1+Inputs!$B$13/100))-(Inputs!$B$12*(1+Inputs!$B$13/100)))+0.25*(Inputs!$B$14-Inputs!$B$14))*(1+Inputs!$B$7/100))*(F1819/100)</f>
        <v/>
      </c>
      <c r="K1819">
        <f>J1819*(1+((Inputs!$B$12*(1+Inputs!$B$13/100))*0.01+Inputs!$B$14*0.0025)/100)*(1+Inputs!$B$15/100)*(1+Inputs!$B$16/100)*(5000/(6000+Inputs!$B$43*(1-(100*(1-(1-Inputs!$B$19/100)*(1-CHOOSE(ArtifactsInput!$N$40+1,5,6,7,8,9,10)/100)^(ArtifactsInput!$M$40-ArtifactsInput!$M$40)))/100)))*(1+(Inputs!$B$24+((C1835=TRUE)*(F1835-Calc!F31))+((C1822=TRUE)*(F1822-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15="CRUEL_STAB",Inputs!$B$17+((C1832=TRUE)*(F1832-Calc!F28))+((IF(AND(Inputs!$B$39&lt;&gt;"pvp",Inputs!$B$44=0),1,IF(IF(Inputs!$B$39="pvp",15,Inputs!$B$44)-(B1849)&lt;=0,1,MAX(0,IF(Inputs!$B$39="pvp",15,Inputs!$B$44)-MAX(5,B1849))/(IF(Inputs!$B$39="pvp",15,Inputs!$B$44)-(B1849))))*(IF(AND(ArtifactsInput!$M$42,((Inputs!$B$9+((C1830=TRUE)*(F1830-Calc!F26))+B1838+(ArtifactsInput!$M$24-ArtifactsInput!$M$24)*CHOOSE(ArtifactsInput!$N$24+1,10,12,14,16,18,20)+IF(ArtifactsInput!$M$10,CHOOSE(ArtifactsInput!$N$10+1,15,18,21,24,27,30)*(IF(Inputs!$B$39="pvp",MIN(15,15)/15,IF(AND(Inputs!$B$39&lt;&gt;"pvp",Inputs!$B$44&gt;0),MIN(15,Inputs!$B$44)/(Inputs!$B$44),0))),0)))&gt;=100),MIN(100,((Inputs!$B$9+((C1830=TRUE)*(F1830-Calc!F26))+B1838+(ArtifactsInput!$M$24-ArtifactsInput!$M$24)*CHOOSE(ArtifactsInput!$N$24+1,10,12,14,16,18,20)+IF(ArtifactsInput!$M$10,CHOOSE(ArtifactsInput!$N$10+1,15,18,21,24,27,30)*(IF(Inputs!$B$39="pvp",MIN(15,15)/15,IF(AND(Inputs!$B$39&lt;&gt;"pvp",Inputs!$B$44&gt;0),MIN(15,Inputs!$B$44)/(Inputs!$B$44),0))),0)))-100),0))*CHOOSE(ArtifactsInput!$N$42+1,0.6,0.72,0.84,0.96,1.08,1.2))),Inputs!$B$18+((C1833=TRUE)*(F1833-Calc!F29))+(IF(AND(Inputs!$B$39&lt;&gt;"pvp",Inputs!$B$44=0),1,IF(IF(Inputs!$B$39="pvp",15,Inputs!$B$44)-(B1849)&lt;=0,1,MAX(0,IF(Inputs!$B$39="pvp",15,Inputs!$B$44)-MAX(5,B1849))/(IF(Inputs!$B$39="pvp",15,Inputs!$B$44)-(B1849))))*IF(AND(ArtifactsInput!$M$42,((Inputs!$B$9+((C1830=TRUE)*(F1830-Calc!F26))+B1838+(ArtifactsInput!$M$24-ArtifactsInput!$M$24)*CHOOSE(ArtifactsInput!$N$24+1,10,12,14,16,18,20)+IF(ArtifactsInput!$M$10,CHOOSE(ArtifactsInput!$N$10+1,15,18,21,24,27,30)*(IF(Inputs!$B$39="pvp",MIN(15,15)/15,IF(AND(Inputs!$B$39&lt;&gt;"pvp",Inputs!$B$44&gt;0),MIN(15,Inputs!$B$44)/(Inputs!$B$44),0))),0)))&gt;=100),CHOOSE(ArtifactsInput!$N$42+1,40,48,56,64,72,80),0))))/100)*(((1+(((C1826=TRUE)*F1826*IF(AND(Inputs!$B$39&lt;&gt;"pvp",Inputs!$B$44&gt;0),(((R1826-1)*MIN((Skills!Y22*(1+Inputs!$B$34/100)),(1/Q1826))+MIN((Skills!Y22*(1+Inputs!$B$34/100)),MAX(0,Inputs!$B$44-((R1826-1)*(1/Q1826)))))/Inputs!$B$44),IF(Inputs!$B$39="pvp",MIN((Skills!Y22*(1+Inputs!$B$34/100)),15)/15,MIN(1,(Skills!Y22*(1+Inputs!$B$34/100))/(1/Q1826)))))+((C1807=TRUE)*F1807*3)+((C1809=TRUE)*F1809*(1-EXP(-0.75*B1842*5)))+((C1828=TRUE)*(F1828-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1815=TRUE)*F1815*IF(AND(Inputs!$B$39&lt;&gt;"pvp",Inputs!$B$44&gt;0),(((R1815-1)*MIN((Skills!Y11*(1+Inputs!$B$34/100)),(1/Q1815))+MIN((Skills!Y11*(1+Inputs!$B$34/100)),MAX(0,Inputs!$B$44-((R1815-1)*(1/Q1815)))))/Inputs!$B$44),IF(Inputs!$B$39="pvp",MIN((Skills!Y11*(1+Inputs!$B$34/100)),15)/15,MIN(1,(Skills!Y11*(1+Inputs!$B$34/100))/(1/Q1815)))))/100)*(1+((C1820=TRUE)*F1820*IF(AND(Inputs!$B$39&lt;&gt;"pvp",Inputs!$B$44&gt;0),(((R1820-1)*MIN((Skills!Y16*(1+Inputs!$B$34/100)),(1/Q1820))+MIN((Skills!Y16*(1+Inputs!$B$34/100)),MAX(0,Inputs!$B$44-((R1820-1)*(1/Q1820)))))/Inputs!$B$44),IF(Inputs!$B$39="pvp",MIN((Skills!Y16*(1+Inputs!$B$34/100)),15)/15,MIN(1,(Skills!Y16*(1+Inputs!$B$34/100))/(1/Q1820)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1840*I1819)</f>
        <v/>
      </c>
      <c r="L1819">
        <f>K1819*(MIN(Inputs!$B$22+((C1829=TRUE)*(F1829-Calc!F25)),(Inputs!$B$23+((C1834=TRUE)*(F1834-Calc!F30))+IF(ArtifactsInput!$M$15,CHOOSE(ArtifactsInput!$N$15+1,25,30,35,40,45,50)/100*(Inputs!$B$11-Inputs!$B$11),0)))/100+(Inputs!$B$23+((C1834=TRUE)*(F1834-Calc!F30))+IF(ArtifactsInput!$M$15,CHOOSE(ArtifactsInput!$N$15+1,25,30,35,40,45,50)/100*(Inputs!$B$11-Inputs!$B$11),0))/100)/2</f>
        <v/>
      </c>
      <c r="M1819">
        <f>L1819*(1+(Inputs!$B$10+((C1831=TRUE)*(F1831-Calc!F27))+B1845+(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1819">
        <f>L1819*(1-MIN((Inputs!$B$9+((C1830=TRUE)*(F1830-Calc!F26))+B1838+(ArtifactsInput!$M$24-ArtifactsInput!$M$24)*CHOOSE(ArtifactsInput!$N$24+1,10,12,14,16,18,20)+(IF(AND(Inputs!$B$39&lt;&gt;"pvp",Inputs!$B$44=0),1,IF(IF(Inputs!$B$39="pvp",15,Inputs!$B$44)-(B1849)&lt;=0,1,MAX(0,IF(Inputs!$B$39="pvp",15,Inputs!$B$44)-MAX(5,B1849))/(IF(Inputs!$B$39="pvp",15,Inputs!$B$44)-(B1849))))*IF(AND(ArtifactsInput!$M$42,((Inputs!$B$9+((C1830=TRUE)*(F1830-Calc!F26))+B1838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1819*(MIN((Inputs!$B$9+((C1830=TRUE)*(F1830-Calc!F26))+B1838+(ArtifactsInput!$M$24-ArtifactsInput!$M$24)*CHOOSE(ArtifactsInput!$N$24+1,10,12,14,16,18,20)+(IF(AND(Inputs!$B$39&lt;&gt;"pvp",Inputs!$B$44=0),1,IF(IF(Inputs!$B$39="pvp",15,Inputs!$B$44)-(B1849)&lt;=0,1,MAX(0,IF(Inputs!$B$39="pvp",15,Inputs!$B$44)-MAX(5,B1849))/(IF(Inputs!$B$39="pvp",15,Inputs!$B$44)-(B1849))))*IF(AND(ArtifactsInput!$M$42,((Inputs!$B$9+((C1830=TRUE)*(F1830-Calc!F26))+B1838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819">
        <f>(1-Summary!$B$11)*T1819+Summary!$B$11*V1819</f>
        <v/>
      </c>
      <c r="P1819">
        <f>IF(B1850=0,0,O1819/B1850)</f>
        <v/>
      </c>
      <c r="Q1819">
        <f>IFERROR(1/IF(Inputs!$B$39="pvp",15,MAX(0.1,Skills!D15-IF(TRUE=TRUE,Inputs!$B$32,0))),0)</f>
        <v/>
      </c>
      <c r="R1819">
        <f>IF(AND(Inputs!$B$39&lt;&gt;"pvp",Inputs!$B$44&gt;0),IF(MAX(0,Inputs!$B$44-B1849)&lt;=0,0,(INT(MAX(0,Inputs!$B$44-B1849)/IF(Inputs!$B$39="pvp",15,MAX(0.1,Skills!D15-IF(TRUE=TRUE,Inputs!$B$32,0))))+1)),0)</f>
        <v/>
      </c>
      <c r="S1819">
        <f>IFERROR(O1819/N1819,0)</f>
        <v/>
      </c>
      <c r="T1819">
        <f>IF(C1819,(H1819*N1819*IF(AND(Inputs!$B$39&lt;&gt;"pvp",Inputs!$B$44&gt;0),((Skills!G15*((R1819-1)*IF(Skills!H15&gt;0,Skills!I15/Skills!H15,1)+IF(Skills!H15&gt;0,MIN(Skills!I15,MAX(0,MAX(0,Inputs!$B$44-B1849)-((R1819-1)*IF(Inputs!$B$39="pvp",15,MAX(0.1,Skills!D15-IF(TRUE=TRUE,Inputs!$B$32,0))))))/Skills!H15,1)))/Inputs!$B$44),G1819*Q1819))*IF(Inputs!$B$39="pvp",1,1+(Inputs!$B$20+0+Skills!P15+B1839+(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Hunt"),CHOOSE(ArtifactsInput!$N$35+1,15,18,21,24,27,30)*(1-EXP(-(0.2*B1842)*5)),0)+IF(AND(ArtifactsInput!$M$22,Inputs!$B$4&lt;&gt;"Chapter Hunt"),CHOOSE(ArtifactsInput!$N$22+1,10,12,14,16,18,20)*((0*(((0.15*B1842*5))^0/1)+1*(((0.15*B1842*5))^1/1)+2*(((0.15*B1842*5))^2/2)+3*(((0.15*B1842*5))^3/6)+4*(((0.15*B1842*5))^4/24)+5*(((0.15*B1842*5))^5/120))/((((0.15*B1842*5))^0/1)+(((0.15*B1842*5))^1/1)+(((0.15*B1842*5))^2/2)+(((0.15*B1842*5))^3/6)+(((0.15*B1842*5))^4/24)+(((0.15*B1842*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1819*(1-MIN(100,(Inputs!$B$9+((C1830=TRUE)*(F1830-Calc!F26))+B1838+(ArtifactsInput!$M$24-ArtifactsInput!$M$24)*CHOOSE(ArtifactsInput!$N$24+1,10,12,14,16,18,20)+(IF(AND(Inputs!$B$39&lt;&gt;"pvp",Inputs!$B$44=0),1,IF(IF(Inputs!$B$39="pvp",15,Inputs!$B$44)-(B1849)&lt;=0,1,MAX(0,IF(Inputs!$B$39="pvp",15,Inputs!$B$44)-MAX(5,B1849))/(IF(Inputs!$B$39="pvp",15,Inputs!$B$44)-(B1849))))*IF(AND(ArtifactsInput!$M$42,((Inputs!$B$9+((C1830=TRUE)*(F1830-Calc!F26))+B1838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1819*(MIN(100,(Inputs!$B$9+((C1830=TRUE)*(F1830-Calc!F26))+B1838+(ArtifactsInput!$M$24-ArtifactsInput!$M$24)*CHOOSE(ArtifactsInput!$N$24+1,10,12,14,16,18,20)+(IF(AND(Inputs!$B$39&lt;&gt;"pvp",Inputs!$B$44=0),1,IF(IF(Inputs!$B$39="pvp",15,Inputs!$B$44)-(B1849)&lt;=0,1,MAX(0,IF(Inputs!$B$39="pvp",15,Inputs!$B$44)-MAX(5,B1849))/(IF(Inputs!$B$39="pvp",15,Inputs!$B$44)-(B1849))))*IF(AND(ArtifactsInput!$M$42,((Inputs!$B$9+((C1830=TRUE)*(F1830-Calc!F26))+B1838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1819*(1-MIN(100,(Inputs!$B$9+((C1830=TRUE)*(F1830-Calc!F26))+B1838+(ArtifactsInput!$M$24-ArtifactsInput!$M$24)*CHOOSE(ArtifactsInput!$N$24+1,10,12,14,16,18,20)+(IF(AND(Inputs!$B$39&lt;&gt;"pvp",Inputs!$B$44=0),1,IF(IF(Inputs!$B$39="pvp",15,Inputs!$B$44)-(B1849)&lt;=0,1,MAX(0,IF(Inputs!$B$39="pvp",15,Inputs!$B$44)-MAX(5,B1849))/(IF(Inputs!$B$39="pvp",15,Inputs!$B$44)-(B1849))))*IF(AND(ArtifactsInput!$M$42,((Inputs!$B$9+((C1830=TRUE)*(F1830-Calc!F26))+B1838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1819*(MIN(100,(Inputs!$B$9+((C1830=TRUE)*(F1830-Calc!F26))+B1838+(ArtifactsInput!$M$24-ArtifactsInput!$M$24)*CHOOSE(ArtifactsInput!$N$24+1,10,12,14,16,18,20)+(IF(AND(Inputs!$B$39&lt;&gt;"pvp",Inputs!$B$44=0),1,IF(IF(Inputs!$B$39="pvp",15,Inputs!$B$44)-(B1849)&lt;=0,1,MAX(0,IF(Inputs!$B$39="pvp",15,Inputs!$B$44)-MAX(5,B1849))/(IF(Inputs!$B$39="pvp",15,Inputs!$B$44)-(B1849))))*IF(AND(ArtifactsInput!$M$42,((Inputs!$B$9+((C1830=TRUE)*(F1830-Calc!F26))+B1838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1819">
        <f>IF(C1819,(H1819*N1819*IF(AND(Inputs!$B$39&lt;&gt;"pvp",Inputs!$B$44&gt;0),((Skills!G15*((R1819-1)*IF(Skills!H15&gt;0,Skills!I15/Skills!H15,1)+IF(Skills!H15&gt;0,MIN(Skills!I15,MAX(0,MAX(0,Inputs!$B$44-B1849)-((R1819-1)*IF(Inputs!$B$39="pvp",15,MAX(0.1,Skills!D15-IF(TRUE=TRUE,Inputs!$B$32,0))))))/Skills!H15,1)))/Inputs!$B$44),G1819*Q1819))*IF(Inputs!$B$39="pvp",1,(1+(Inputs!$B$21+Skills!Q15+B1839+(IF(ArtifactsInput!$M$33,CHOOSE(ArtifactsInput!$N$33+1,30,36,42,48,54,60),0))+(IF(AND(ArtifactsInput!$M$35,Inputs!$B$4&lt;&gt;"Chapter Hunt"),CHOOSE(ArtifactsInput!$N$35+1,15,18,21,24,27,30)*(1-EXP(-(0.2*B1842)*5)),0)+IF(AND(ArtifactsInput!$M$22,Inputs!$B$4&lt;&gt;"Chapter Hunt"),CHOOSE(ArtifactsInput!$N$22+1,10,12,14,16,18,20)*((0*(((0.15*B1842*5))^0/1)+1*(((0.15*B1842*5))^1/1)+2*(((0.15*B1842*5))^2/2)+3*(((0.15*B1842*5))^3/6)+4*(((0.15*B1842*5))^4/24)+5*(((0.15*B1842*5))^5/120))/((((0.15*B1842*5))^0/1)+(((0.15*B1842*5))^1/1)+(((0.15*B1842*5))^2/2)+(((0.15*B1842*5))^3/6)+(((0.15*B1842*5))^4/24)+(((0.15*B1842*5))^5/120))),0)))/100)*(MIN(MIN(5,0.5*IF(Inputs!$B$3&gt;=75,0.75,0.5)*B1842*(1/Q1808))*Skills!V15,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820">
      <c r="A1820">
        <f>Skills!A16</f>
        <v/>
      </c>
      <c r="B1820">
        <f>Skills!B16</f>
        <v/>
      </c>
      <c r="C1820">
        <f>Inputs!$B$3&gt;=110</f>
        <v/>
      </c>
      <c r="D1820">
        <f>IF(Skills!C16=1,60+Inputs!$B$25+Inputs!$B$29,IF(Skills!C16=2,90+Inputs!$B$26+Inputs!$B$29,IF(Skills!C16=3,120+Inputs!$B$27+Inputs!$B$29,MAX(0,(Inputs!$B$3-100)*3)+Inputs!$B$28+Inputs!$B$29)))</f>
        <v/>
      </c>
      <c r="E1820">
        <f>INDEX(FactorTable!$B$2:$Y$301, MATCH(ROUND(MIN(300,MAX(1,D1820)),0), FactorTable!$A$2:$A$301,0), Skills!M16+1)</f>
        <v/>
      </c>
      <c r="F1820">
        <f>IF(Skills!N16=TRUE,(Skills!L16/10)*(E1820/1000),Skills!L16/10)+Skills!O16</f>
        <v/>
      </c>
      <c r="G1820">
        <f>Skills!G16*IF(Skills!H16&gt;0,IF(Inputs!$B$39="pvp",MIN(Skills!I16,15),Skills!I16)/Skills!H16,1)</f>
        <v/>
      </c>
      <c r="H1820">
        <f>1-(1-Skills!J16/100)^Skills!K16</f>
        <v/>
      </c>
      <c r="I1820" t="inlineStr">
        <is>
          <t>1</t>
        </is>
      </c>
      <c r="J1820" t="inlineStr"/>
      <c r="K1820" t="inlineStr"/>
      <c r="L1820" t="inlineStr"/>
      <c r="M1820" t="inlineStr"/>
      <c r="N1820" t="inlineStr"/>
      <c r="O1820">
        <f>(1-Summary!$B$11)*T1820+Summary!$B$11*V1820</f>
        <v/>
      </c>
      <c r="P1820">
        <f>IF(B1850=0,0,O1820/B1850)</f>
        <v/>
      </c>
      <c r="Q1820">
        <f>IFERROR(1/IF(Inputs!$B$39="pvp",15,MAX(0.1,Skills!D16-IF(TRUE=TRUE,Inputs!$B$32,0))),0)</f>
        <v/>
      </c>
      <c r="R1820">
        <f>IF(AND(Inputs!$B$39&lt;&gt;"pvp",Inputs!$B$44&gt;0),IF(Inputs!$B$44&lt;=0,0,(INT(Inputs!$B$44/IF(Inputs!$B$39="pvp",15,MAX(0.1,Skills!D16-IF(TRUE=TRUE,Inputs!$B$32,0))))+1)),0)</f>
        <v/>
      </c>
      <c r="S1820">
        <f>IFERROR(O1820/N1820,0)</f>
        <v/>
      </c>
      <c r="T1820" t="n">
        <v>0</v>
      </c>
      <c r="V1820" t="n">
        <v>0</v>
      </c>
    </row>
    <row r="1821">
      <c r="A1821">
        <f>Skills!A17</f>
        <v/>
      </c>
      <c r="B1821">
        <f>Skills!B17</f>
        <v/>
      </c>
      <c r="C1821">
        <f>Inputs!$B$3&gt;=115</f>
        <v/>
      </c>
      <c r="D1821">
        <f>IF(Skills!C17=1,60+Inputs!$B$25+Inputs!$B$29,IF(Skills!C17=2,90+Inputs!$B$26+Inputs!$B$29,IF(Skills!C17=3,120+Inputs!$B$27+Inputs!$B$29,MAX(0,(Inputs!$B$3-100)*3)+Inputs!$B$28+Inputs!$B$29)))</f>
        <v/>
      </c>
      <c r="E1821">
        <f>INDEX(FactorTable!$B$2:$Y$301, MATCH(ROUND(MIN(300,MAX(1,D1821)),0), FactorTable!$A$2:$A$301,0), Skills!M17+1)</f>
        <v/>
      </c>
      <c r="F1821">
        <f>IF(Skills!N17=TRUE,(Skills!L17/10)*(E1821/1000),Skills!L17/10)+Skills!O17</f>
        <v/>
      </c>
      <c r="G1821">
        <f>Skills!G17*IF(Skills!H17&gt;0,IF(Inputs!$B$39="pvp",MIN(Skills!I17,15),Skills!I17)/Skills!H17,1)</f>
        <v/>
      </c>
      <c r="H1821">
        <f>1-(1-Skills!J17/100)^Skills!K17</f>
        <v/>
      </c>
      <c r="I1821" t="inlineStr">
        <is>
          <t>1</t>
        </is>
      </c>
      <c r="J1821">
        <f>((Inputs!$B$6*(1+Inputs!$B$7/100))+(((Inputs!$B$12*(1+Inputs!$B$13/100))-(Inputs!$B$12*(1+Inputs!$B$13/100)))+0.25*(Inputs!$B$14-Inputs!$B$14))*(1+Inputs!$B$7/100))*(F1821/100)</f>
        <v/>
      </c>
      <c r="K1821">
        <f>J1821*(1+((Inputs!$B$12*(1+Inputs!$B$13/100))*0.01+Inputs!$B$14*0.0025)/100)*(1+Inputs!$B$15/100)*(1+Inputs!$B$16/100)*(5000/(6000+Inputs!$B$43*(1-(100*(1-(1-Inputs!$B$19/100)*(1-CHOOSE(ArtifactsInput!$N$40+1,5,6,7,8,9,10)/100)^(ArtifactsInput!$M$40-ArtifactsInput!$M$40)))/100)))*(1+(Inputs!$B$24+((C1835=TRUE)*(F1835-Calc!F31))+((C1822=TRUE)*(F1822-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17="CRUEL_STAB",Inputs!$B$17+((C1832=TRUE)*(F1832-Calc!F28))+((IF(AND(Inputs!$B$39&lt;&gt;"pvp",Inputs!$B$44=0),1,IF(IF(Inputs!$B$39="pvp",15,Inputs!$B$44)-(B1849)&lt;=0,1,MAX(0,IF(Inputs!$B$39="pvp",15,Inputs!$B$44)-MAX(5,B1849))/(IF(Inputs!$B$39="pvp",15,Inputs!$B$44)-(B1849))))*(IF(AND(ArtifactsInput!$M$42,((Inputs!$B$9+((C1830=TRUE)*(F1830-Calc!F26))+B1838+(ArtifactsInput!$M$24-ArtifactsInput!$M$24)*CHOOSE(ArtifactsInput!$N$24+1,10,12,14,16,18,20)+IF(ArtifactsInput!$M$10,CHOOSE(ArtifactsInput!$N$10+1,15,18,21,24,27,30)*(IF(Inputs!$B$39="pvp",MIN(15,15)/15,IF(AND(Inputs!$B$39&lt;&gt;"pvp",Inputs!$B$44&gt;0),MIN(15,Inputs!$B$44)/(Inputs!$B$44),0))),0)))&gt;=100),MIN(100,((Inputs!$B$9+((C1830=TRUE)*(F1830-Calc!F26))+B1838+(ArtifactsInput!$M$24-ArtifactsInput!$M$24)*CHOOSE(ArtifactsInput!$N$24+1,10,12,14,16,18,20)+IF(ArtifactsInput!$M$10,CHOOSE(ArtifactsInput!$N$10+1,15,18,21,24,27,30)*(IF(Inputs!$B$39="pvp",MIN(15,15)/15,IF(AND(Inputs!$B$39&lt;&gt;"pvp",Inputs!$B$44&gt;0),MIN(15,Inputs!$B$44)/(Inputs!$B$44),0))),0)))-100),0))*CHOOSE(ArtifactsInput!$N$42+1,0.6,0.72,0.84,0.96,1.08,1.2))),Inputs!$B$18+((C1833=TRUE)*(F1833-Calc!F29))+(IF(AND(Inputs!$B$39&lt;&gt;"pvp",Inputs!$B$44=0),1,IF(IF(Inputs!$B$39="pvp",15,Inputs!$B$44)-(B1849)&lt;=0,1,MAX(0,IF(Inputs!$B$39="pvp",15,Inputs!$B$44)-MAX(5,B1849))/(IF(Inputs!$B$39="pvp",15,Inputs!$B$44)-(B1849))))*IF(AND(ArtifactsInput!$M$42,((Inputs!$B$9+((C1830=TRUE)*(F1830-Calc!F26))+B1838+(ArtifactsInput!$M$24-ArtifactsInput!$M$24)*CHOOSE(ArtifactsInput!$N$24+1,10,12,14,16,18,20)+IF(ArtifactsInput!$M$10,CHOOSE(ArtifactsInput!$N$10+1,15,18,21,24,27,30)*(IF(Inputs!$B$39="pvp",MIN(15,15)/15,IF(AND(Inputs!$B$39&lt;&gt;"pvp",Inputs!$B$44&gt;0),MIN(15,Inputs!$B$44)/(Inputs!$B$44),0))),0)))&gt;=100),CHOOSE(ArtifactsInput!$N$42+1,40,48,56,64,72,80),0))))/100)*(((1+(((C1826=TRUE)*F1826*IF(AND(Inputs!$B$39&lt;&gt;"pvp",Inputs!$B$44&gt;0),(((R1826-1)*MIN((Skills!Y22*(1+Inputs!$B$34/100)),(1/Q1826))+MIN((Skills!Y22*(1+Inputs!$B$34/100)),MAX(0,Inputs!$B$44-((R1826-1)*(1/Q1826)))))/Inputs!$B$44),IF(Inputs!$B$39="pvp",MIN((Skills!Y22*(1+Inputs!$B$34/100)),15)/15,MIN(1,(Skills!Y22*(1+Inputs!$B$34/100))/(1/Q1826)))))+((C1807=TRUE)*F1807*3)+((C1809=TRUE)*F1809*(1-EXP(-0.75*B1842*5)))+((C1828=TRUE)*(F1828-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1815=TRUE)*F1815*IF(AND(Inputs!$B$39&lt;&gt;"pvp",Inputs!$B$44&gt;0),(((R1815-1)*MIN((Skills!Y11*(1+Inputs!$B$34/100)),(1/Q1815))+MIN((Skills!Y11*(1+Inputs!$B$34/100)),MAX(0,Inputs!$B$44-((R1815-1)*(1/Q1815)))))/Inputs!$B$44),IF(Inputs!$B$39="pvp",MIN((Skills!Y11*(1+Inputs!$B$34/100)),15)/15,MIN(1,(Skills!Y11*(1+Inputs!$B$34/100))/(1/Q1815)))))/100)*(1+((C1820=TRUE)*F1820*IF(AND(Inputs!$B$39&lt;&gt;"pvp",Inputs!$B$44&gt;0),(((R1820-1)*MIN((Skills!Y16*(1+Inputs!$B$34/100)),(1/Q1820))+MIN((Skills!Y16*(1+Inputs!$B$34/100)),MAX(0,Inputs!$B$44-((R1820-1)*(1/Q1820)))))/Inputs!$B$44),IF(Inputs!$B$39="pvp",MIN((Skills!Y16*(1+Inputs!$B$34/100)),15)/15,MIN(1,(Skills!Y16*(1+Inputs!$B$34/100))/(1/Q1820)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1840*I1821)</f>
        <v/>
      </c>
      <c r="L1821">
        <f>K1821*(MIN(Inputs!$B$22+((C1829=TRUE)*(F1829-Calc!F25)),(Inputs!$B$23+((C1834=TRUE)*(F1834-Calc!F30))+IF(ArtifactsInput!$M$15,CHOOSE(ArtifactsInput!$N$15+1,25,30,35,40,45,50)/100*(Inputs!$B$11-Inputs!$B$11),0)))/100+(Inputs!$B$23+((C1834=TRUE)*(F1834-Calc!F30))+IF(ArtifactsInput!$M$15,CHOOSE(ArtifactsInput!$N$15+1,25,30,35,40,45,50)/100*(Inputs!$B$11-Inputs!$B$11),0))/100)/2</f>
        <v/>
      </c>
      <c r="M1821">
        <f>L1821*(1+(Inputs!$B$10+((C1831=TRUE)*(F1831-Calc!F27))+B1845+(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1821">
        <f>L1821*(1-MIN((Inputs!$B$9+((C1830=TRUE)*(F1830-Calc!F26))+B1838+(ArtifactsInput!$M$24-ArtifactsInput!$M$24)*CHOOSE(ArtifactsInput!$N$24+1,10,12,14,16,18,20)+(IF(AND(Inputs!$B$39&lt;&gt;"pvp",Inputs!$B$44=0),1,IF(IF(Inputs!$B$39="pvp",15,Inputs!$B$44)-(B1849)&lt;=0,1,MAX(0,IF(Inputs!$B$39="pvp",15,Inputs!$B$44)-MAX(5,B1849))/(IF(Inputs!$B$39="pvp",15,Inputs!$B$44)-(B1849))))*IF(AND(ArtifactsInput!$M$42,((Inputs!$B$9+((C1830=TRUE)*(F1830-Calc!F26))+B1838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1821*(MIN((Inputs!$B$9+((C1830=TRUE)*(F1830-Calc!F26))+B1838+(ArtifactsInput!$M$24-ArtifactsInput!$M$24)*CHOOSE(ArtifactsInput!$N$24+1,10,12,14,16,18,20)+(IF(AND(Inputs!$B$39&lt;&gt;"pvp",Inputs!$B$44=0),1,IF(IF(Inputs!$B$39="pvp",15,Inputs!$B$44)-(B1849)&lt;=0,1,MAX(0,IF(Inputs!$B$39="pvp",15,Inputs!$B$44)-MAX(5,B1849))/(IF(Inputs!$B$39="pvp",15,Inputs!$B$44)-(B1849))))*IF(AND(ArtifactsInput!$M$42,((Inputs!$B$9+((C1830=TRUE)*(F1830-Calc!F26))+B1838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821">
        <f>(1-Summary!$B$11)*T1821+Summary!$B$11*V1821</f>
        <v/>
      </c>
      <c r="P1821">
        <f>IF(B1850=0,0,O1821/B1850)</f>
        <v/>
      </c>
      <c r="Q1821" t="n">
        <v>0</v>
      </c>
      <c r="R1821" t="n">
        <v>0</v>
      </c>
      <c r="S1821">
        <f>IFERROR(O1821/N1821,0)</f>
        <v/>
      </c>
      <c r="T1821">
        <f>IF(C1821,(Inputs!$B$38*0.2*N1821)*IF(Inputs!$B$39="pvp",1,1+(Inputs!$B$20+0+Skills!P17+B1839+(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Hunt"),CHOOSE(ArtifactsInput!$N$35+1,15,18,21,24,27,30)*(1-EXP(-(0.2*B1842)*5)),0)+IF(AND(ArtifactsInput!$M$22,Inputs!$B$4&lt;&gt;"Chapter Hunt"),CHOOSE(ArtifactsInput!$N$22+1,10,12,14,16,18,20)*((0*(((0.15*B1842*5))^0/1)+1*(((0.15*B1842*5))^1/1)+2*(((0.15*B1842*5))^2/2)+3*(((0.15*B1842*5))^3/6)+4*(((0.15*B1842*5))^4/24)+5*(((0.15*B1842*5))^5/120))/((((0.15*B1842*5))^0/1)+(((0.15*B1842*5))^1/1)+(((0.15*B1842*5))^2/2)+(((0.15*B1842*5))^3/6)+(((0.15*B1842*5))^4/24)+(((0.15*B1842*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1821*(1-MIN(100,(Inputs!$B$9+((C1830=TRUE)*(F1830-Calc!F26))+B1838+(ArtifactsInput!$M$24-ArtifactsInput!$M$24)*CHOOSE(ArtifactsInput!$N$24+1,10,12,14,16,18,20)+(IF(AND(Inputs!$B$39&lt;&gt;"pvp",Inputs!$B$44=0),1,IF(IF(Inputs!$B$39="pvp",15,Inputs!$B$44)-(B1849)&lt;=0,1,MAX(0,IF(Inputs!$B$39="pvp",15,Inputs!$B$44)-MAX(5,B1849))/(IF(Inputs!$B$39="pvp",15,Inputs!$B$44)-(B1849))))*IF(AND(ArtifactsInput!$M$42,((Inputs!$B$9+((C1830=TRUE)*(F1830-Calc!F26))+B1838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1821*(MIN(100,(Inputs!$B$9+((C1830=TRUE)*(F1830-Calc!F26))+B1838+(ArtifactsInput!$M$24-ArtifactsInput!$M$24)*CHOOSE(ArtifactsInput!$N$24+1,10,12,14,16,18,20)+(IF(AND(Inputs!$B$39&lt;&gt;"pvp",Inputs!$B$44=0),1,IF(IF(Inputs!$B$39="pvp",15,Inputs!$B$44)-(B1849)&lt;=0,1,MAX(0,IF(Inputs!$B$39="pvp",15,Inputs!$B$44)-MAX(5,B1849))/(IF(Inputs!$B$39="pvp",15,Inputs!$B$44)-(B1849))))*IF(AND(ArtifactsInput!$M$42,((Inputs!$B$9+((C1830=TRUE)*(F1830-Calc!F26))+B1838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1821*(1-MIN(100,(Inputs!$B$9+((C1830=TRUE)*(F1830-Calc!F26))+B1838+(ArtifactsInput!$M$24-ArtifactsInput!$M$24)*CHOOSE(ArtifactsInput!$N$24+1,10,12,14,16,18,20)+(IF(AND(Inputs!$B$39&lt;&gt;"pvp",Inputs!$B$44=0),1,IF(IF(Inputs!$B$39="pvp",15,Inputs!$B$44)-(B1849)&lt;=0,1,MAX(0,IF(Inputs!$B$39="pvp",15,Inputs!$B$44)-MAX(5,B1849))/(IF(Inputs!$B$39="pvp",15,Inputs!$B$44)-(B1849))))*IF(AND(ArtifactsInput!$M$42,((Inputs!$B$9+((C1830=TRUE)*(F1830-Calc!F26))+B1838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1821*(MIN(100,(Inputs!$B$9+((C1830=TRUE)*(F1830-Calc!F26))+B1838+(ArtifactsInput!$M$24-ArtifactsInput!$M$24)*CHOOSE(ArtifactsInput!$N$24+1,10,12,14,16,18,20)+(IF(AND(Inputs!$B$39&lt;&gt;"pvp",Inputs!$B$44=0),1,IF(IF(Inputs!$B$39="pvp",15,Inputs!$B$44)-(B1849)&lt;=0,1,MAX(0,IF(Inputs!$B$39="pvp",15,Inputs!$B$44)-MAX(5,B1849))/(IF(Inputs!$B$39="pvp",15,Inputs!$B$44)-(B1849))))*IF(AND(ArtifactsInput!$M$42,((Inputs!$B$9+((C1830=TRUE)*(F1830-Calc!F26))+B1838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1821">
        <f>IF(C1821,(Inputs!$B$38*0.2*N1821)*IF(Inputs!$B$39="pvp",1,(1+(Inputs!$B$21+Skills!Q17+B1839+(IF(ArtifactsInput!$M$33,CHOOSE(ArtifactsInput!$N$33+1,30,36,42,48,54,60),0))+(IF(AND(ArtifactsInput!$M$35,Inputs!$B$4&lt;&gt;"Chapter Hunt"),CHOOSE(ArtifactsInput!$N$35+1,15,18,21,24,27,30)*(1-EXP(-(0.2*B1842)*5)),0)+IF(AND(ArtifactsInput!$M$22,Inputs!$B$4&lt;&gt;"Chapter Hunt"),CHOOSE(ArtifactsInput!$N$22+1,10,12,14,16,18,20)*((0*(((0.15*B1842*5))^0/1)+1*(((0.15*B1842*5))^1/1)+2*(((0.15*B1842*5))^2/2)+3*(((0.15*B1842*5))^3/6)+4*(((0.15*B1842*5))^4/24)+5*(((0.15*B1842*5))^5/120))/((((0.15*B1842*5))^0/1)+(((0.15*B1842*5))^1/1)+(((0.15*B1842*5))^2/2)+(((0.15*B1842*5))^3/6)+(((0.15*B1842*5))^4/24)+(((0.15*B1842*5))^5/120))),0)))/100)*(MIN(Skills!W17,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822">
      <c r="A1822">
        <f>Skills!A18</f>
        <v/>
      </c>
      <c r="B1822">
        <f>Skills!B18</f>
        <v/>
      </c>
      <c r="C1822">
        <f>Inputs!$B$3&gt;=115</f>
        <v/>
      </c>
      <c r="D1822">
        <f>IF(Skills!C18=1,60+Inputs!$B$25+Inputs!$B$29,IF(Skills!C18=2,90+Inputs!$B$26+Inputs!$B$29,IF(Skills!C18=3,120+Inputs!$B$27+Inputs!$B$29,MAX(0,(Inputs!$B$3-100)*3)+Inputs!$B$28+Inputs!$B$29)))</f>
        <v/>
      </c>
      <c r="E1822">
        <f>INDEX(FactorTable!$B$2:$Y$301, MATCH(ROUND(MIN(300,MAX(1,D1822)),0), FactorTable!$A$2:$A$301,0), Skills!M18+1)</f>
        <v/>
      </c>
      <c r="F1822">
        <f>IF(Skills!N18=TRUE,(Skills!L18/10)*(E1822/1000),Skills!L18/10)+Skills!O18</f>
        <v/>
      </c>
      <c r="G1822">
        <f>Skills!G18*IF(Skills!H18&gt;0,IF(Inputs!$B$39="pvp",MIN(Skills!I18,15),Skills!I18)/Skills!H18,1)</f>
        <v/>
      </c>
      <c r="H1822">
        <f>1-(1-Skills!J18/100)^Skills!K18</f>
        <v/>
      </c>
      <c r="I1822" t="inlineStr">
        <is>
          <t>1</t>
        </is>
      </c>
      <c r="J1822" t="inlineStr"/>
      <c r="K1822" t="inlineStr"/>
      <c r="L1822" t="inlineStr"/>
      <c r="M1822" t="inlineStr"/>
      <c r="N1822" t="inlineStr"/>
      <c r="O1822">
        <f>(1-Summary!$B$11)*T1822+Summary!$B$11*V1822</f>
        <v/>
      </c>
      <c r="P1822">
        <f>IF(B1850=0,0,O1822/B1850)</f>
        <v/>
      </c>
      <c r="Q1822" t="n">
        <v>0</v>
      </c>
      <c r="R1822" t="n">
        <v>0</v>
      </c>
      <c r="S1822">
        <f>IFERROR(O1822/N1822,0)</f>
        <v/>
      </c>
      <c r="T1822" t="n">
        <v>0</v>
      </c>
      <c r="V1822" t="n">
        <v>0</v>
      </c>
    </row>
    <row r="1823">
      <c r="A1823">
        <f>Skills!A19</f>
        <v/>
      </c>
      <c r="B1823">
        <f>Skills!B19</f>
        <v/>
      </c>
      <c r="C1823">
        <f>Inputs!$B$3&gt;=100</f>
        <v/>
      </c>
      <c r="D1823">
        <f>IF(Skills!C19=1,60+Inputs!$B$25+Inputs!$B$29,IF(Skills!C19=2,90+Inputs!$B$26+Inputs!$B$29,IF(Skills!C19=3,120+Inputs!$B$27+Inputs!$B$29,MAX(0,(Inputs!$B$3-100)*3)+Inputs!$B$28+Inputs!$B$29)))</f>
        <v/>
      </c>
      <c r="E1823">
        <f>INDEX(FactorTable!$B$2:$Y$301, MATCH(ROUND(MIN(300,MAX(1,D1823)),0), FactorTable!$A$2:$A$301,0), Skills!M19+1)</f>
        <v/>
      </c>
      <c r="F1823">
        <f>IF(Skills!N19=TRUE,(Skills!L19/10)*(E1823/1000),Skills!L19/10)+Skills!O19</f>
        <v/>
      </c>
      <c r="G1823">
        <f>Skills!G19*IF(Skills!H19&gt;0,IF(Inputs!$B$39="pvp",MIN(Skills!I19,15),Skills!I19)/Skills!H19,1)</f>
        <v/>
      </c>
      <c r="H1823">
        <f>1-(1-Skills!J19/100)^Skills!K19</f>
        <v/>
      </c>
      <c r="I1823" t="inlineStr">
        <is>
          <t>1</t>
        </is>
      </c>
      <c r="J1823" t="inlineStr"/>
      <c r="K1823" t="inlineStr"/>
      <c r="L1823" t="inlineStr"/>
      <c r="M1823" t="inlineStr"/>
      <c r="N1823" t="inlineStr"/>
      <c r="O1823">
        <f>(1-Summary!$B$11)*T1823+Summary!$B$11*V1823</f>
        <v/>
      </c>
      <c r="P1823">
        <f>IF(B1850=0,0,O1823/B1850)</f>
        <v/>
      </c>
      <c r="Q1823" t="n">
        <v>0</v>
      </c>
      <c r="R1823" t="n">
        <v>0</v>
      </c>
      <c r="S1823">
        <f>IFERROR(O1823/N1823,0)</f>
        <v/>
      </c>
      <c r="T1823" t="n">
        <v>0</v>
      </c>
      <c r="V1823" t="n">
        <v>0</v>
      </c>
    </row>
    <row r="1824">
      <c r="A1824">
        <f>Skills!A20</f>
        <v/>
      </c>
      <c r="B1824">
        <f>Skills!B20</f>
        <v/>
      </c>
      <c r="C1824">
        <f>TRUE</f>
        <v/>
      </c>
      <c r="D1824">
        <f>IF(Skills!C20=1,60+Inputs!$B$25+Inputs!$B$29,IF(Skills!C20=2,90+Inputs!$B$26+Inputs!$B$29,IF(Skills!C20=3,120+Inputs!$B$27+Inputs!$B$29,MAX(0,(Inputs!$B$3-100)*3)+Inputs!$B$28+Inputs!$B$29)))</f>
        <v/>
      </c>
      <c r="E1824">
        <f>INDEX(FactorTable!$B$2:$Y$301, MATCH(ROUND(MIN(300,MAX(1,D1824)),0), FactorTable!$A$2:$A$301,0), Skills!M20+1)</f>
        <v/>
      </c>
      <c r="F1824">
        <f>IF(Skills!N20=TRUE,(Skills!L20/10)*(E1824/1000),Skills!L20/10)+Skills!O20</f>
        <v/>
      </c>
      <c r="G1824">
        <f>Skills!G20*IF(Skills!H20&gt;0,IF(Inputs!$B$39="pvp",MIN(Skills!I20,15),Skills!I20)/Skills!H20,1)</f>
        <v/>
      </c>
      <c r="H1824">
        <f>1-(1-Skills!J20/100)^Skills!K20</f>
        <v/>
      </c>
      <c r="I1824" t="inlineStr">
        <is>
          <t>1</t>
        </is>
      </c>
      <c r="J1824" t="inlineStr"/>
      <c r="K1824" t="inlineStr"/>
      <c r="L1824" t="inlineStr"/>
      <c r="M1824" t="inlineStr"/>
      <c r="N1824" t="inlineStr"/>
      <c r="O1824">
        <f>(1-Summary!$B$11)*T1824+Summary!$B$11*V1824</f>
        <v/>
      </c>
      <c r="P1824">
        <f>IF(B1850=0,0,O1824/B1850)</f>
        <v/>
      </c>
      <c r="Q1824">
        <f>IFERROR(1/IF(Inputs!$B$39="pvp",15,MAX(0.1,Skills!D20-IF(TRUE=TRUE,Inputs!$B$32,0))),0)</f>
        <v/>
      </c>
      <c r="R1824">
        <f>IF(AND(Inputs!$B$39&lt;&gt;"pvp",Inputs!$B$44&gt;0),IF(Inputs!$B$44&lt;=0,0,(INT(Inputs!$B$44/IF(Inputs!$B$39="pvp",15,MAX(0.1,Skills!D20-IF(TRUE=TRUE,Inputs!$B$32,0))))+1)),0)</f>
        <v/>
      </c>
      <c r="S1824">
        <f>IFERROR(O1824/N1824,0)</f>
        <v/>
      </c>
      <c r="T1824" t="n">
        <v>0</v>
      </c>
      <c r="V1824" t="n">
        <v>0</v>
      </c>
    </row>
    <row r="1825">
      <c r="A1825">
        <f>Skills!A21</f>
        <v/>
      </c>
      <c r="B1825">
        <f>Skills!B21</f>
        <v/>
      </c>
      <c r="C1825">
        <f>Inputs!$B$3&gt;=15</f>
        <v/>
      </c>
      <c r="D1825">
        <f>IF(Skills!C21=1,60+Inputs!$B$25+Inputs!$B$29,IF(Skills!C21=2,90+Inputs!$B$26+Inputs!$B$29,IF(Skills!C21=3,120+Inputs!$B$27+Inputs!$B$29,MAX(0,(Inputs!$B$3-100)*3)+Inputs!$B$28+Inputs!$B$29)))</f>
        <v/>
      </c>
      <c r="E1825">
        <f>INDEX(FactorTable!$B$2:$Y$301, MATCH(ROUND(MIN(300,MAX(1,D1825)),0), FactorTable!$A$2:$A$301,0), Skills!M21+1)</f>
        <v/>
      </c>
      <c r="F1825">
        <f>IF(Skills!N21=TRUE,(Skills!L21/10)*(E1825/1000),Skills!L21/10)+Skills!O21</f>
        <v/>
      </c>
      <c r="G1825">
        <f>Skills!G21*IF(Skills!H21&gt;0,IF(Inputs!$B$39="pvp",MIN(Skills!I21,15),Skills!I21)/Skills!H21,1)</f>
        <v/>
      </c>
      <c r="H1825">
        <f>1-(1-Skills!J21/100)^Skills!K21</f>
        <v/>
      </c>
      <c r="I1825" t="inlineStr">
        <is>
          <t>1</t>
        </is>
      </c>
      <c r="J1825" t="inlineStr"/>
      <c r="K1825" t="inlineStr"/>
      <c r="L1825" t="inlineStr"/>
      <c r="M1825" t="inlineStr"/>
      <c r="N1825" t="inlineStr"/>
      <c r="O1825">
        <f>(1-Summary!$B$11)*T1825+Summary!$B$11*V1825</f>
        <v/>
      </c>
      <c r="P1825">
        <f>IF(B1850=0,0,O1825/B1850)</f>
        <v/>
      </c>
      <c r="Q1825">
        <f>IFERROR(1/IF(Inputs!$B$39="pvp",15,MAX(0.1,Skills!D21-IF(TRUE=TRUE,Inputs!$B$32,0))),0)</f>
        <v/>
      </c>
      <c r="R1825">
        <f>IF(AND(Inputs!$B$39&lt;&gt;"pvp",Inputs!$B$44&gt;0),IF(Inputs!$B$44&lt;=0,0,(INT(Inputs!$B$44/IF(Inputs!$B$39="pvp",15,MAX(0.1,Skills!D21-IF(TRUE=TRUE,Inputs!$B$32,0))))+1)),0)</f>
        <v/>
      </c>
      <c r="S1825">
        <f>IFERROR(O1825/N1825,0)</f>
        <v/>
      </c>
      <c r="T1825" t="n">
        <v>0</v>
      </c>
      <c r="V1825" t="n">
        <v>0</v>
      </c>
    </row>
    <row r="1826">
      <c r="A1826">
        <f>Skills!A22</f>
        <v/>
      </c>
      <c r="B1826">
        <f>Skills!B22</f>
        <v/>
      </c>
      <c r="C1826">
        <f>Inputs!$B$3&gt;=15</f>
        <v/>
      </c>
      <c r="D1826">
        <f>IF(Skills!C22=1,60+Inputs!$B$25+Inputs!$B$29,IF(Skills!C22=2,90+Inputs!$B$26+Inputs!$B$29,IF(Skills!C22=3,120+Inputs!$B$27+Inputs!$B$29,MAX(0,(Inputs!$B$3-100)*3)+Inputs!$B$28+Inputs!$B$29)))</f>
        <v/>
      </c>
      <c r="E1826">
        <f>INDEX(FactorTable!$B$2:$Y$301, MATCH(ROUND(MIN(300,MAX(1,D1826)),0), FactorTable!$A$2:$A$301,0), Skills!M22+1)</f>
        <v/>
      </c>
      <c r="F1826">
        <f>IF(Skills!N22=TRUE,(Skills!L22/10)*(E1826/1000),Skills!L22/10)+Skills!O22</f>
        <v/>
      </c>
      <c r="G1826">
        <f>Skills!G22*IF(Skills!H22&gt;0,IF(Inputs!$B$39="pvp",MIN(Skills!I22,15),Skills!I22)/Skills!H22,1)</f>
        <v/>
      </c>
      <c r="H1826">
        <f>1-(1-Skills!J22/100)^Skills!K22</f>
        <v/>
      </c>
      <c r="I1826" t="inlineStr">
        <is>
          <t>1</t>
        </is>
      </c>
      <c r="J1826" t="inlineStr"/>
      <c r="K1826" t="inlineStr"/>
      <c r="L1826" t="inlineStr"/>
      <c r="M1826" t="inlineStr"/>
      <c r="N1826" t="inlineStr"/>
      <c r="O1826">
        <f>(1-Summary!$B$11)*T1826+Summary!$B$11*V1826</f>
        <v/>
      </c>
      <c r="P1826">
        <f>IF(B1850=0,0,O1826/B1850)</f>
        <v/>
      </c>
      <c r="Q1826">
        <f>IFERROR(1/IF(Inputs!$B$39="pvp",15,MAX(0.1,Skills!D22-IF(TRUE=TRUE,Inputs!$B$32,0))),0)</f>
        <v/>
      </c>
      <c r="R1826">
        <f>IF(AND(Inputs!$B$39&lt;&gt;"pvp",Inputs!$B$44&gt;0),IF(Inputs!$B$44&lt;=0,0,(INT(Inputs!$B$44/IF(Inputs!$B$39="pvp",15,MAX(0.1,Skills!D22-IF(TRUE=TRUE,Inputs!$B$32,0))))+1)),0)</f>
        <v/>
      </c>
      <c r="S1826">
        <f>IFERROR(O1826/N1826,0)</f>
        <v/>
      </c>
      <c r="T1826" t="n">
        <v>0</v>
      </c>
      <c r="V1826" t="n">
        <v>0</v>
      </c>
    </row>
    <row r="1827">
      <c r="A1827">
        <f>Skills!A23</f>
        <v/>
      </c>
      <c r="B1827">
        <f>Skills!B23</f>
        <v/>
      </c>
      <c r="C1827">
        <f>Inputs!$B$3&gt;=33</f>
        <v/>
      </c>
      <c r="D1827">
        <f>IF(Skills!C23=1,60+Inputs!$B$25+Inputs!$B$29,IF(Skills!C23=2,90+Inputs!$B$26+Inputs!$B$29,IF(Skills!C23=3,120+Inputs!$B$27+Inputs!$B$29,MAX(0,(Inputs!$B$3-100)*3)+Inputs!$B$28+Inputs!$B$29)))</f>
        <v/>
      </c>
      <c r="E1827">
        <f>INDEX(FactorTable!$B$2:$Y$301, MATCH(ROUND(MIN(300,MAX(1,D1827)),0), FactorTable!$A$2:$A$301,0), Skills!M23+1)</f>
        <v/>
      </c>
      <c r="F1827">
        <f>IF(Skills!N23=TRUE,(Skills!L23/10)*(E1827/1000),Skills!L23/10)+Skills!O23</f>
        <v/>
      </c>
      <c r="G1827">
        <f>Skills!G23*IF(Skills!H23&gt;0,IF(Inputs!$B$39="pvp",MIN(Skills!I23,15),Skills!I23)/Skills!H23,1)</f>
        <v/>
      </c>
      <c r="H1827">
        <f>1-(1-Skills!J23/100)^Skills!K23</f>
        <v/>
      </c>
      <c r="I1827" t="inlineStr">
        <is>
          <t>1</t>
        </is>
      </c>
      <c r="J1827" t="inlineStr"/>
      <c r="K1827" t="inlineStr"/>
      <c r="L1827" t="inlineStr"/>
      <c r="M1827" t="inlineStr"/>
      <c r="N1827" t="inlineStr"/>
      <c r="O1827">
        <f>(1-Summary!$B$11)*T1827+Summary!$B$11*V1827</f>
        <v/>
      </c>
      <c r="P1827">
        <f>IF(B1850=0,0,O1827/B1850)</f>
        <v/>
      </c>
      <c r="Q1827" t="n">
        <v>0</v>
      </c>
      <c r="R1827" t="n">
        <v>0</v>
      </c>
      <c r="S1827">
        <f>IFERROR(O1827/N1827,0)</f>
        <v/>
      </c>
      <c r="T1827" t="n">
        <v>0</v>
      </c>
      <c r="V1827" t="n">
        <v>0</v>
      </c>
    </row>
    <row r="1828">
      <c r="A1828">
        <f>Skills!A24</f>
        <v/>
      </c>
      <c r="B1828">
        <f>Skills!B24</f>
        <v/>
      </c>
      <c r="C1828">
        <f>Inputs!$B$3&gt;=40</f>
        <v/>
      </c>
      <c r="D1828">
        <f>IF(Skills!C24=1,60+Inputs!$B$25+Inputs!$B$29,IF(Skills!C24=2,90+Inputs!$B$26+Inputs!$B$29,IF(Skills!C24=3,120+Inputs!$B$27+Inputs!$B$29,MAX(0,(Inputs!$B$3-100)*3)+Inputs!$B$28+Inputs!$B$29)))</f>
        <v/>
      </c>
      <c r="E1828">
        <f>INDEX(FactorTable!$B$2:$Y$301, MATCH(ROUND(MIN(300,MAX(1,D1828)),0), FactorTable!$A$2:$A$301,0), Skills!M24+1)</f>
        <v/>
      </c>
      <c r="F1828">
        <f>IF(Skills!N24=TRUE,(Skills!L24/10)*(E1828/1000),Skills!L24/10)+Skills!O24</f>
        <v/>
      </c>
      <c r="G1828">
        <f>Skills!G24*IF(Skills!H24&gt;0,IF(Inputs!$B$39="pvp",MIN(Skills!I24,15),Skills!I24)/Skills!H24,1)</f>
        <v/>
      </c>
      <c r="H1828">
        <f>1-(1-Skills!J24/100)^Skills!K24</f>
        <v/>
      </c>
      <c r="I1828" t="inlineStr">
        <is>
          <t>1</t>
        </is>
      </c>
      <c r="J1828" t="inlineStr"/>
      <c r="K1828" t="inlineStr"/>
      <c r="L1828" t="inlineStr"/>
      <c r="M1828" t="inlineStr"/>
      <c r="N1828" t="inlineStr"/>
      <c r="O1828">
        <f>(1-Summary!$B$11)*T1828+Summary!$B$11*V1828</f>
        <v/>
      </c>
      <c r="P1828">
        <f>IF(B1850=0,0,O1828/B1850)</f>
        <v/>
      </c>
      <c r="Q1828" t="n">
        <v>0</v>
      </c>
      <c r="R1828" t="n">
        <v>0</v>
      </c>
      <c r="S1828">
        <f>IFERROR(O1828/N1828,0)</f>
        <v/>
      </c>
      <c r="T1828" t="n">
        <v>0</v>
      </c>
      <c r="V1828" t="n">
        <v>0</v>
      </c>
    </row>
    <row r="1829">
      <c r="A1829">
        <f>Skills!A25</f>
        <v/>
      </c>
      <c r="B1829">
        <f>Skills!B25</f>
        <v/>
      </c>
      <c r="C1829">
        <f>Inputs!$B$3&gt;=43</f>
        <v/>
      </c>
      <c r="D1829">
        <f>IF(Skills!C25=1,60+Inputs!$B$25+Inputs!$B$29,IF(Skills!C25=2,90+Inputs!$B$26+Inputs!$B$29,IF(Skills!C25=3,120+Inputs!$B$27+Inputs!$B$29,MAX(0,(Inputs!$B$3-100)*3)+Inputs!$B$28+Inputs!$B$29)))</f>
        <v/>
      </c>
      <c r="E1829">
        <f>INDEX(FactorTable!$B$2:$Y$301, MATCH(ROUND(MIN(300,MAX(1,D1829)),0), FactorTable!$A$2:$A$301,0), Skills!M25+1)</f>
        <v/>
      </c>
      <c r="F1829">
        <f>IF(Skills!N25=TRUE,(Skills!L25/10)*(E1829/1000),Skills!L25/10)+Skills!O25</f>
        <v/>
      </c>
      <c r="G1829">
        <f>Skills!G25*IF(Skills!H25&gt;0,IF(Inputs!$B$39="pvp",MIN(Skills!I25,15),Skills!I25)/Skills!H25,1)</f>
        <v/>
      </c>
      <c r="H1829">
        <f>1-(1-Skills!J25/100)^Skills!K25</f>
        <v/>
      </c>
      <c r="I1829" t="inlineStr">
        <is>
          <t>1</t>
        </is>
      </c>
      <c r="J1829" t="inlineStr"/>
      <c r="K1829" t="inlineStr"/>
      <c r="L1829" t="inlineStr"/>
      <c r="M1829" t="inlineStr"/>
      <c r="N1829" t="inlineStr"/>
      <c r="O1829">
        <f>(1-Summary!$B$11)*T1829+Summary!$B$11*V1829</f>
        <v/>
      </c>
      <c r="P1829">
        <f>IF(B1850=0,0,O1829/B1850)</f>
        <v/>
      </c>
      <c r="Q1829" t="n">
        <v>0</v>
      </c>
      <c r="R1829" t="n">
        <v>0</v>
      </c>
      <c r="S1829">
        <f>IFERROR(O1829/N1829,0)</f>
        <v/>
      </c>
      <c r="T1829" t="n">
        <v>0</v>
      </c>
      <c r="V1829" t="n">
        <v>0</v>
      </c>
    </row>
    <row r="1830">
      <c r="A1830">
        <f>Skills!A26</f>
        <v/>
      </c>
      <c r="B1830">
        <f>Skills!B26</f>
        <v/>
      </c>
      <c r="C1830">
        <f>Inputs!$B$3&gt;=50</f>
        <v/>
      </c>
      <c r="D1830">
        <f>IF(Skills!C26=1,60+Inputs!$B$25+Inputs!$B$29,IF(Skills!C26=2,90+Inputs!$B$26+Inputs!$B$29,IF(Skills!C26=3,120+Inputs!$B$27+Inputs!$B$29,MAX(0,(Inputs!$B$3-100)*3)+Inputs!$B$28+Inputs!$B$29)))</f>
        <v/>
      </c>
      <c r="E1830">
        <f>INDEX(FactorTable!$B$2:$Y$301, MATCH(ROUND(MIN(300,MAX(1,D1830)),0), FactorTable!$A$2:$A$301,0), Skills!M26+1)</f>
        <v/>
      </c>
      <c r="F1830">
        <f>IF(Skills!N26=TRUE,(Skills!L26/10)*(E1830/1000),Skills!L26/10)+Skills!O26</f>
        <v/>
      </c>
      <c r="G1830">
        <f>Skills!G26*IF(Skills!H26&gt;0,IF(Inputs!$B$39="pvp",MIN(Skills!I26,15),Skills!I26)/Skills!H26,1)</f>
        <v/>
      </c>
      <c r="H1830">
        <f>1-(1-Skills!J26/100)^Skills!K26</f>
        <v/>
      </c>
      <c r="I1830" t="inlineStr">
        <is>
          <t>1</t>
        </is>
      </c>
      <c r="J1830" t="inlineStr"/>
      <c r="K1830" t="inlineStr"/>
      <c r="L1830" t="inlineStr"/>
      <c r="M1830" t="inlineStr"/>
      <c r="N1830" t="inlineStr"/>
      <c r="O1830">
        <f>(1-Summary!$B$11)*T1830+Summary!$B$11*V1830</f>
        <v/>
      </c>
      <c r="P1830">
        <f>IF(B1850=0,0,O1830/B1850)</f>
        <v/>
      </c>
      <c r="Q1830" t="n">
        <v>0</v>
      </c>
      <c r="R1830" t="n">
        <v>0</v>
      </c>
      <c r="S1830">
        <f>IFERROR(O1830/N1830,0)</f>
        <v/>
      </c>
      <c r="T1830" t="n">
        <v>0</v>
      </c>
      <c r="V1830" t="n">
        <v>0</v>
      </c>
    </row>
    <row r="1831">
      <c r="A1831">
        <f>Skills!A27</f>
        <v/>
      </c>
      <c r="B1831">
        <f>Skills!B27</f>
        <v/>
      </c>
      <c r="C1831">
        <f>Inputs!$B$3&gt;=50</f>
        <v/>
      </c>
      <c r="D1831">
        <f>IF(Skills!C27=1,60+Inputs!$B$25+Inputs!$B$29,IF(Skills!C27=2,90+Inputs!$B$26+Inputs!$B$29,IF(Skills!C27=3,120+Inputs!$B$27+Inputs!$B$29,MAX(0,(Inputs!$B$3-100)*3)+Inputs!$B$28+Inputs!$B$29)))</f>
        <v/>
      </c>
      <c r="E1831">
        <f>INDEX(FactorTable!$B$2:$Y$301, MATCH(ROUND(MIN(300,MAX(1,D1831)),0), FactorTable!$A$2:$A$301,0), Skills!M27+1)</f>
        <v/>
      </c>
      <c r="F1831">
        <f>IF(Skills!N27=TRUE,(Skills!L27/10)*(E1831/1000),Skills!L27/10)+Skills!O27</f>
        <v/>
      </c>
      <c r="G1831">
        <f>Skills!G27*IF(Skills!H27&gt;0,IF(Inputs!$B$39="pvp",MIN(Skills!I27,15),Skills!I27)/Skills!H27,1)</f>
        <v/>
      </c>
      <c r="H1831">
        <f>1-(1-Skills!J27/100)^Skills!K27</f>
        <v/>
      </c>
      <c r="I1831" t="inlineStr">
        <is>
          <t>1</t>
        </is>
      </c>
      <c r="J1831" t="inlineStr"/>
      <c r="K1831" t="inlineStr"/>
      <c r="L1831" t="inlineStr"/>
      <c r="M1831" t="inlineStr"/>
      <c r="N1831" t="inlineStr"/>
      <c r="O1831">
        <f>(1-Summary!$B$11)*T1831+Summary!$B$11*V1831</f>
        <v/>
      </c>
      <c r="P1831">
        <f>IF(B1850=0,0,O1831/B1850)</f>
        <v/>
      </c>
      <c r="Q1831" t="n">
        <v>0</v>
      </c>
      <c r="R1831" t="n">
        <v>0</v>
      </c>
      <c r="S1831">
        <f>IFERROR(O1831/N1831,0)</f>
        <v/>
      </c>
      <c r="T1831" t="n">
        <v>0</v>
      </c>
      <c r="V1831" t="n">
        <v>0</v>
      </c>
    </row>
    <row r="1832">
      <c r="A1832">
        <f>Skills!A28</f>
        <v/>
      </c>
      <c r="B1832">
        <f>Skills!B28</f>
        <v/>
      </c>
      <c r="C1832">
        <f>Inputs!$B$3&gt;=38</f>
        <v/>
      </c>
      <c r="D1832">
        <f>IF(Skills!C28=1,60+Inputs!$B$25+Inputs!$B$29,IF(Skills!C28=2,90+Inputs!$B$26+Inputs!$B$29,IF(Skills!C28=3,120+Inputs!$B$27+Inputs!$B$29,MAX(0,(Inputs!$B$3-100)*3)+Inputs!$B$28+Inputs!$B$29)))</f>
        <v/>
      </c>
      <c r="E1832">
        <f>INDEX(FactorTable!$B$2:$Y$301, MATCH(ROUND(MIN(300,MAX(1,D1832)),0), FactorTable!$A$2:$A$301,0), Skills!M28+1)</f>
        <v/>
      </c>
      <c r="F1832">
        <f>IF(Skills!N28=TRUE,(Skills!L28/10)*(E1832/1000),Skills!L28/10)+Skills!O28</f>
        <v/>
      </c>
      <c r="G1832">
        <f>Skills!G28*IF(Skills!H28&gt;0,IF(Inputs!$B$39="pvp",MIN(Skills!I28,15),Skills!I28)/Skills!H28,1)</f>
        <v/>
      </c>
      <c r="H1832">
        <f>1-(1-Skills!J28/100)^Skills!K28</f>
        <v/>
      </c>
      <c r="I1832" t="inlineStr">
        <is>
          <t>1</t>
        </is>
      </c>
      <c r="J1832" t="inlineStr"/>
      <c r="K1832" t="inlineStr"/>
      <c r="L1832" t="inlineStr"/>
      <c r="M1832" t="inlineStr"/>
      <c r="N1832" t="inlineStr"/>
      <c r="O1832">
        <f>(1-Summary!$B$11)*T1832+Summary!$B$11*V1832</f>
        <v/>
      </c>
      <c r="P1832">
        <f>IF(B1850=0,0,O1832/B1850)</f>
        <v/>
      </c>
      <c r="Q1832" t="n">
        <v>0</v>
      </c>
      <c r="R1832" t="n">
        <v>0</v>
      </c>
      <c r="S1832">
        <f>IFERROR(O1832/N1832,0)</f>
        <v/>
      </c>
      <c r="T1832" t="n">
        <v>0</v>
      </c>
      <c r="V1832" t="n">
        <v>0</v>
      </c>
    </row>
    <row r="1833">
      <c r="A1833">
        <f>Skills!A29</f>
        <v/>
      </c>
      <c r="B1833">
        <f>Skills!B29</f>
        <v/>
      </c>
      <c r="C1833">
        <f>Inputs!$B$3&gt;=120</f>
        <v/>
      </c>
      <c r="D1833">
        <f>IF(Skills!C29=1,60+Inputs!$B$25+Inputs!$B$29,IF(Skills!C29=2,90+Inputs!$B$26+Inputs!$B$29,IF(Skills!C29=3,120+Inputs!$B$27+Inputs!$B$29,MAX(0,(Inputs!$B$3-100)*3)+Inputs!$B$28+Inputs!$B$29)))</f>
        <v/>
      </c>
      <c r="E1833">
        <f>INDEX(FactorTable!$B$2:$Y$301, MATCH(ROUND(MIN(300,MAX(1,D1833)),0), FactorTable!$A$2:$A$301,0), Skills!M29+1)</f>
        <v/>
      </c>
      <c r="F1833">
        <f>IF(Skills!N29=TRUE,(Skills!L29/10)*(E1833/1000),Skills!L29/10)+Skills!O29</f>
        <v/>
      </c>
      <c r="G1833">
        <f>Skills!G29*IF(Skills!H29&gt;0,IF(Inputs!$B$39="pvp",MIN(Skills!I29,15),Skills!I29)/Skills!H29,1)</f>
        <v/>
      </c>
      <c r="H1833">
        <f>1-(1-Skills!J29/100)^Skills!K29</f>
        <v/>
      </c>
      <c r="I1833" t="inlineStr">
        <is>
          <t>1</t>
        </is>
      </c>
      <c r="J1833" t="inlineStr"/>
      <c r="K1833" t="inlineStr"/>
      <c r="L1833" t="inlineStr"/>
      <c r="M1833" t="inlineStr"/>
      <c r="N1833" t="inlineStr"/>
      <c r="O1833">
        <f>(1-Summary!$B$11)*T1833+Summary!$B$11*V1833</f>
        <v/>
      </c>
      <c r="P1833">
        <f>IF(B1850=0,0,O1833/B1850)</f>
        <v/>
      </c>
      <c r="Q1833" t="n">
        <v>0</v>
      </c>
      <c r="R1833" t="n">
        <v>0</v>
      </c>
      <c r="S1833">
        <f>IFERROR(O1833/N1833,0)</f>
        <v/>
      </c>
      <c r="T1833" t="n">
        <v>0</v>
      </c>
      <c r="V1833" t="n">
        <v>0</v>
      </c>
    </row>
    <row r="1834">
      <c r="A1834">
        <f>Skills!A30</f>
        <v/>
      </c>
      <c r="B1834">
        <f>Skills!B30</f>
        <v/>
      </c>
      <c r="C1834">
        <f>Inputs!$B$3&gt;=120</f>
        <v/>
      </c>
      <c r="D1834">
        <f>IF(Skills!C30=1,60+Inputs!$B$25+Inputs!$B$29,IF(Skills!C30=2,90+Inputs!$B$26+Inputs!$B$29,IF(Skills!C30=3,120+Inputs!$B$27+Inputs!$B$29,MAX(0,(Inputs!$B$3-100)*3)+Inputs!$B$28+Inputs!$B$29)))</f>
        <v/>
      </c>
      <c r="E1834">
        <f>INDEX(FactorTable!$B$2:$Y$301, MATCH(ROUND(MIN(300,MAX(1,D1834)),0), FactorTable!$A$2:$A$301,0), Skills!M30+1)</f>
        <v/>
      </c>
      <c r="F1834">
        <f>IF(Skills!N30=TRUE,(Skills!L30/10)*(E1834/1000),Skills!L30/10)+Skills!O30</f>
        <v/>
      </c>
      <c r="G1834">
        <f>Skills!G30*IF(Skills!H30&gt;0,IF(Inputs!$B$39="pvp",MIN(Skills!I30,15),Skills!I30)/Skills!H30,1)</f>
        <v/>
      </c>
      <c r="H1834">
        <f>1-(1-Skills!J30/100)^Skills!K30</f>
        <v/>
      </c>
      <c r="I1834" t="inlineStr">
        <is>
          <t>1</t>
        </is>
      </c>
      <c r="J1834" t="inlineStr"/>
      <c r="K1834" t="inlineStr"/>
      <c r="L1834" t="inlineStr"/>
      <c r="M1834" t="inlineStr"/>
      <c r="N1834" t="inlineStr"/>
      <c r="O1834">
        <f>(1-Summary!$B$11)*T1834+Summary!$B$11*V1834</f>
        <v/>
      </c>
      <c r="P1834">
        <f>IF(B1850=0,0,O1834/B1850)</f>
        <v/>
      </c>
      <c r="Q1834" t="n">
        <v>0</v>
      </c>
      <c r="R1834" t="n">
        <v>0</v>
      </c>
      <c r="S1834">
        <f>IFERROR(O1834/N1834,0)</f>
        <v/>
      </c>
      <c r="T1834" t="n">
        <v>0</v>
      </c>
      <c r="V1834" t="n">
        <v>0</v>
      </c>
    </row>
    <row r="1835">
      <c r="A1835">
        <f>Skills!A31</f>
        <v/>
      </c>
      <c r="B1835">
        <f>Skills!B31</f>
        <v/>
      </c>
      <c r="C1835">
        <f>Inputs!$B$3&gt;=125</f>
        <v/>
      </c>
      <c r="D1835">
        <f>IF(Skills!C31=1,60+Inputs!$B$25+Inputs!$B$29,IF(Skills!C31=2,90+Inputs!$B$26+Inputs!$B$29,IF(Skills!C31=3,120+Inputs!$B$27+Inputs!$B$29,MAX(0,(Inputs!$B$3-100)*3)+Inputs!$B$28+Inputs!$B$29)))</f>
        <v/>
      </c>
      <c r="E1835">
        <f>INDEX(FactorTable!$B$2:$Y$301, MATCH(ROUND(MIN(300,MAX(1,D1835)),0), FactorTable!$A$2:$A$301,0), Skills!M31+1)</f>
        <v/>
      </c>
      <c r="F1835">
        <f>IF(Skills!N31=TRUE,(Skills!L31/10)*(E1835/1000),Skills!L31/10)+Skills!O31</f>
        <v/>
      </c>
      <c r="G1835">
        <f>Skills!G31*IF(Skills!H31&gt;0,IF(Inputs!$B$39="pvp",MIN(Skills!I31,15),Skills!I31)/Skills!H31,1)</f>
        <v/>
      </c>
      <c r="H1835">
        <f>1-(1-Skills!J31/100)^Skills!K31</f>
        <v/>
      </c>
      <c r="I1835" t="inlineStr">
        <is>
          <t>1</t>
        </is>
      </c>
      <c r="J1835" t="inlineStr"/>
      <c r="K1835" t="inlineStr"/>
      <c r="L1835" t="inlineStr"/>
      <c r="M1835" t="inlineStr"/>
      <c r="N1835" t="inlineStr"/>
      <c r="O1835">
        <f>(1-Summary!$B$11)*T1835+Summary!$B$11*V1835</f>
        <v/>
      </c>
      <c r="P1835">
        <f>IF(B1850=0,0,O1835/B1850)</f>
        <v/>
      </c>
      <c r="Q1835" t="n">
        <v>0</v>
      </c>
      <c r="R1835" t="n">
        <v>0</v>
      </c>
      <c r="S1835">
        <f>IFERROR(O1835/N1835,0)</f>
        <v/>
      </c>
      <c r="T1835" t="n">
        <v>0</v>
      </c>
      <c r="V1835" t="n">
        <v>0</v>
      </c>
    </row>
    <row r="1837">
      <c r="A1837" t="inlineStr">
        <is>
          <t>Average Buff Multiplier</t>
        </is>
      </c>
      <c r="B1837">
        <f>(1+(((C1826=TRUE)*F1826*IF(AND(Inputs!$B$39&lt;&gt;"pvp",Inputs!$B$44&gt;0),(((R1826-1)*MIN((Skills!Y22*(1+Inputs!$B$34/100)),(1/Q1826))+MIN((Skills!Y22*(1+Inputs!$B$34/100)),MAX(0,Inputs!$B$44-((R1826-1)*(1/Q1826)))))/Inputs!$B$44),IF(Inputs!$B$39="pvp",MIN((Skills!Y22*(1+Inputs!$B$34/100)),15)/15,MIN(1,(Skills!Y22*(1+Inputs!$B$34/100))/(1/Q1826)))))+((C1807=TRUE)*F1807*3)+((C1809=TRUE)*F1809*(1-EXP(-0.75*B1842*5)))+((C1828=TRUE)*(F1828-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1815=TRUE)*F1815*IF(AND(Inputs!$B$39&lt;&gt;"pvp",Inputs!$B$44&gt;0),(((R1815-1)*MIN((Skills!Y11*(1+Inputs!$B$34/100)),(1/Q1815))+MIN((Skills!Y11*(1+Inputs!$B$34/100)),MAX(0,Inputs!$B$44-((R1815-1)*(1/Q1815)))))/Inputs!$B$44),IF(Inputs!$B$39="pvp",MIN((Skills!Y11*(1+Inputs!$B$34/100)),15)/15,MIN(1,(Skills!Y11*(1+Inputs!$B$34/100))/(1/Q1815)))))/100)*(1+((C1820=TRUE)*F1820*IF(AND(Inputs!$B$39&lt;&gt;"pvp",Inputs!$B$44&gt;0),(((R1820-1)*MIN((Skills!Y16*(1+Inputs!$B$34/100)),(1/Q1820))+MIN((Skills!Y16*(1+Inputs!$B$34/100)),MAX(0,Inputs!$B$44-((R1820-1)*(1/Q1820)))))/Inputs!$B$44),IF(Inputs!$B$39="pvp",MIN((Skills!Y16*(1+Inputs!$B$34/100)),15)/15,MIN(1,(Skills!Y16*(1+Inputs!$B$34/100))/(1/Q1820)))))/100)</f>
        <v/>
      </c>
    </row>
    <row r="1838">
      <c r="A1838" t="inlineStr">
        <is>
          <t>Global Crit Rate Bonus %</t>
        </is>
      </c>
      <c r="B1838">
        <f>((C1825=TRUE)*F1825*IF(AND(Inputs!$B$39&lt;&gt;"pvp",Inputs!$B$44&gt;0),(((R1825-1)*MIN((Skills!Y21*(1+Inputs!$B$34/100)),(1/Q1825))+MIN((Skills!Y21*(1+Inputs!$B$34/100)),MAX(0,Inputs!$B$44-((R1825-1)*(1/Q1825)))))/Inputs!$B$44),IF(Inputs!$B$39="pvp",MIN((Skills!Y21*(1+Inputs!$B$34/100)),15)/15,MIN(1,(Skills!Y21*(1+Inputs!$B$34/100))/(1/Q1825)))))</f>
        <v/>
      </c>
    </row>
    <row r="1839">
      <c r="A1839" t="inlineStr">
        <is>
          <t>Global Monster Damage-Taken Bonus %</t>
        </is>
      </c>
      <c r="B1839">
        <f>IF(Inputs!$B$3&gt;=82,15,0)</f>
        <v/>
      </c>
    </row>
    <row r="1840">
      <c r="A1840" t="inlineStr">
        <is>
          <t>Shadow Partner Average Multiplier</t>
        </is>
      </c>
      <c r="B1840">
        <f>1+((C1812=TRUE)*F1812*(1+3.3333333333333335*IF(C1823=TRUE,F1823,0)/100)*I1812*Skills!J8/100)/100</f>
        <v/>
      </c>
    </row>
    <row r="1841">
      <c r="A1841" t="inlineStr">
        <is>
          <t>Attack Speed Buff Bonus %</t>
        </is>
      </c>
      <c r="B1841">
        <f>((C1824=TRUE)*F1824*IF(AND(Inputs!$B$39&lt;&gt;"pvp",Inputs!$B$44&gt;0),(((R1824-1)*MIN((Skills!Y20*(1+Inputs!$B$34/100)),(1/Q1824))+MIN((Skills!Y20*(1+Inputs!$B$34/100)),MAX(0,Inputs!$B$44-((R1824-1)*(1/Q1824)))))/Inputs!$B$44),IF(Inputs!$B$39="pvp",MIN((Skills!Y20*(1+Inputs!$B$34/100)),15)/15,MIN(1,(Skills!Y20*(1+Inputs!$B$34/100))/(1/Q1824)))))</f>
        <v/>
      </c>
    </row>
    <row r="1842">
      <c r="A1842" t="inlineStr">
        <is>
          <t>Actions Per Second</t>
        </is>
      </c>
      <c r="B1842">
        <f>1+MIN(150,150*(1-(1-(Inputs!$B$11+((C1827=TRUE)*(F1827-Calc!F23)))/150)*(1-B1841/150)))/100</f>
        <v/>
      </c>
    </row>
    <row r="1843">
      <c r="A1843" t="inlineStr">
        <is>
          <t>Skill + Buff Cast Rate</t>
        </is>
      </c>
      <c r="B1843">
        <f>IF(AND(Inputs!$B$39&lt;&gt;"pvp",Inputs!$B$44&gt;0),SUMPRODUCT((Skills!E2:E31=TRUE)*(C1806:C1835=TRUE)*R1806:R1835*Skills!F2:F31)/Inputs!$B$44,SUMPRODUCT((Skills!E2:E31=TRUE)*(C1806:C1835=TRUE)*Q1806:Q1835*Skills!F2:F31))</f>
        <v/>
      </c>
    </row>
    <row r="1844">
      <c r="A1844" t="inlineStr">
        <is>
          <t>Cruel Stab Casts Per Second</t>
        </is>
      </c>
      <c r="B1844">
        <f>MAX(0,B1842-B1843)</f>
        <v/>
      </c>
    </row>
    <row r="1845">
      <c r="A1845" t="inlineStr">
        <is>
          <t>Global Critical Damage Bonus % (Smokescreen Mastery Lv.113)</t>
        </is>
      </c>
      <c r="B1845">
        <f>IF(Inputs!$B$3&gt;=113,30,0)*IF(AND(Inputs!$B$39&lt;&gt;"pvp",Inputs!$B$44&gt;0),(((R1820-1)*MIN((Skills!Y16*(1+Inputs!$B$34/100)),(1/Q1820))+MIN((Skills!Y16*(1+Inputs!$B$34/100)),MAX(0,Inputs!$B$44-((R1820-1)*(1/Q1820)))))/Inputs!$B$44),IF(Inputs!$B$39="pvp",MIN((Skills!Y16*(1+Inputs!$B$34/100)),15)/15,MIN(1,(Skills!Y16*(1+Inputs!$B$34/100))/(1/Q1820))))</f>
        <v/>
      </c>
    </row>
    <row r="1846">
      <c r="A1846" t="inlineStr">
        <is>
          <t>Meso Explosion average stack count</t>
        </is>
      </c>
      <c r="B1846">
        <f>MIN(10,IF(Inputs!$B$3&gt;=75,0.75,0.5)*B1842*(1/Q1808))</f>
        <v/>
      </c>
    </row>
    <row r="1847">
      <c r="A1847" t="inlineStr">
        <is>
          <t>Blood Money average stack count</t>
        </is>
      </c>
      <c r="B1847">
        <f>MIN(5,0.5*IF(Inputs!$B$3&gt;=75,0.75,0.5)*B1842*(1/Q1808))</f>
        <v/>
      </c>
    </row>
    <row r="1848">
      <c r="A1848" t="inlineStr">
        <is>
          <t>Assassinate Murderous Intent Multiplier</t>
        </is>
      </c>
      <c r="B1848">
        <f>1+IFERROR(MIN(1,Q1819*2/Q1816),0)</f>
        <v/>
      </c>
    </row>
    <row r="1849">
      <c r="A1849" t="inlineStr">
        <is>
          <t>Buff-Casting Startup Delay (s, fixed-duration only)</t>
        </is>
      </c>
      <c r="B1849">
        <f>IF(AND(Inputs!$B$39&lt;&gt;"pvp",Inputs!$B$44&gt;0),SUMPRODUCT((Skills!Y2:Y31&gt;0)*(Skills!E2:E31=TRUE)*(C1806:C1835=TRUE))/B1842,0)</f>
        <v/>
      </c>
    </row>
    <row r="1850">
      <c r="A1850" s="6" t="inlineStr">
        <is>
          <t>TOTAL DPS</t>
        </is>
      </c>
      <c r="B1850" s="6">
        <f>SUM(O1806:O1835)</f>
        <v/>
      </c>
    </row>
    <row r="1851">
      <c r="A1851" t="inlineStr">
        <is>
          <t>Boss-Only Total DPS (this block's swept value)</t>
        </is>
      </c>
      <c r="B1851">
        <f>SUM(T1806:T1835)</f>
        <v/>
      </c>
    </row>
    <row r="1852">
      <c r="A1852" t="inlineStr">
        <is>
          <t>Normal-Only Total DPS (this block's swept value)</t>
        </is>
      </c>
      <c r="B1852">
        <f>SUM(V1806:V1835)</f>
        <v/>
      </c>
    </row>
    <row r="1855">
      <c r="A1855" s="6" t="inlineStr">
        <is>
          <t>Stat: Clear Spring Water (Equip)</t>
        </is>
      </c>
    </row>
    <row r="1856">
      <c r="A1856" s="5" t="inlineStr">
        <is>
          <t>Key</t>
        </is>
      </c>
      <c r="B1856" s="5" t="inlineStr">
        <is>
          <t>Name</t>
        </is>
      </c>
      <c r="C1856" s="5" t="inlineStr">
        <is>
          <t>Unlocked</t>
        </is>
      </c>
      <c r="D1856" s="5" t="inlineStr">
        <is>
          <t>InputLevel</t>
        </is>
      </c>
      <c r="E1856" s="5" t="inlineStr">
        <is>
          <t>Factor</t>
        </is>
      </c>
      <c r="F1856" s="5" t="inlineStr">
        <is>
          <t>CoefficientPercent</t>
        </is>
      </c>
      <c r="G1856" s="5" t="inlineStr">
        <is>
          <t>EffectiveHits</t>
        </is>
      </c>
      <c r="H1856" s="5" t="inlineStr">
        <is>
          <t>ProcProbability</t>
        </is>
      </c>
      <c r="I1856" s="5" t="inlineStr">
        <is>
          <t>MapleHeroMultiplier</t>
        </is>
      </c>
      <c r="J1856" s="5" t="inlineStr">
        <is>
          <t>BaseDamage</t>
        </is>
      </c>
      <c r="K1856" s="5" t="inlineStr">
        <is>
          <t>BaseHitDamage</t>
        </is>
      </c>
      <c r="L1856" s="5" t="inlineStr">
        <is>
          <t>NonCritAvg</t>
        </is>
      </c>
      <c r="M1856" s="5" t="inlineStr">
        <is>
          <t>CritAvg</t>
        </is>
      </c>
      <c r="N1856" s="5" t="inlineStr">
        <is>
          <t>ExpectedDamage(perHit)</t>
        </is>
      </c>
      <c r="O1856" s="5" t="inlineStr">
        <is>
          <t>DPS</t>
        </is>
      </c>
      <c r="P1856" s="5" t="inlineStr">
        <is>
          <t>% of Total</t>
        </is>
      </c>
      <c r="Q1856" s="5" t="inlineStr">
        <is>
          <t>InvCooldown</t>
        </is>
      </c>
      <c r="R1856" s="5" t="inlineStr">
        <is>
          <t>CastsInFight</t>
        </is>
      </c>
      <c r="S1856" s="5" t="inlineStr">
        <is>
          <t>HitRate(perSec)</t>
        </is>
      </c>
      <c r="U1856" t="inlineStr">
        <is>
          <t>helpers</t>
        </is>
      </c>
    </row>
    <row r="1857">
      <c r="A1857">
        <f>Skills!A2</f>
        <v/>
      </c>
      <c r="B1857">
        <f>Skills!B2</f>
        <v/>
      </c>
      <c r="C1857">
        <f>Inputs!$B$3&gt;=100</f>
        <v/>
      </c>
      <c r="D1857" t="inlineStr"/>
      <c r="E1857" t="inlineStr"/>
      <c r="F1857">
        <f>U1859+Skills!O2</f>
        <v/>
      </c>
      <c r="G1857">
        <f>Skills!G2*IF(Skills!H2&gt;0,IF(Inputs!$B$39="pvp",MIN(Skills!I2,15),Skills!I2)/Skills!H2,1)</f>
        <v/>
      </c>
      <c r="H1857">
        <f>1-(1-Skills!J2/100)^Skills!K2</f>
        <v/>
      </c>
      <c r="I1857" t="inlineStr">
        <is>
          <t>1</t>
        </is>
      </c>
      <c r="J1857">
        <f>((Inputs!$B$6*(1+Inputs!$B$7/100))+(((Inputs!$B$12*(1+Inputs!$B$13/100))-(Inputs!$B$12*(1+Inputs!$B$13/100)))+0.25*(Inputs!$B$14-Inputs!$B$14))*(1+Inputs!$B$7/100))*(F1857/100)</f>
        <v/>
      </c>
      <c r="K1857">
        <f>J1857*(1+((Inputs!$B$12*(1+Inputs!$B$13/100))*0.01+Inputs!$B$14*0.0025)/100)*(1+Inputs!$B$15/100)*(1+Inputs!$B$16/100)*(5000/(6000+Inputs!$B$43*(1-(100*(1-(1-Inputs!$B$19/100)*(1-CHOOSE(ArtifactsInput!$N$40+1,5,6,7,8,9,10)/100)^(ArtifactsInput!$M$40-ArtifactsInput!$M$40)))/100)))*(1+(Inputs!$B$24+((C1886=TRUE)*(F1886-Calc!F31))+((C1873=TRUE)*(F1873-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Boss",2,1),0)/100)-1)*100+(IF(ArtifactsInput!$M$14,FALSE,TRUE)-ArtifactsInput!$M$14)*IF(OR(Inputs!$B$4="Weapon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CRUEL_STAB",Inputs!$B$17+((C1883=TRUE)*(F1883-Calc!F28))+((IF(AND(Inputs!$B$39&lt;&gt;"pvp",Inputs!$B$44=0),1,IF(IF(Inputs!$B$39="pvp",15,Inputs!$B$44)-(B1900)&lt;=0,1,MAX(0,IF(Inputs!$B$39="pvp",15,Inputs!$B$44)-MAX(5,B1900))/(IF(Inputs!$B$39="pvp",15,Inputs!$B$44)-(B1900))))*(IF(AND(ArtifactsInput!$M$42,((Inputs!$B$9+((C1881=TRUE)*(F1881-Calc!F26))+B1889+(ArtifactsInput!$M$24-ArtifactsInput!$M$24)*CHOOSE(ArtifactsInput!$N$24+1,10,12,14,16,18,20)+IF(ArtifactsInput!$M$10,CHOOSE(ArtifactsInput!$N$10+1,15,18,21,24,27,30)*(IF(Inputs!$B$39="pvp",MIN(15,15)/15,IF(AND(Inputs!$B$39&lt;&gt;"pvp",Inputs!$B$44&gt;0),MIN(15,Inputs!$B$44)/(Inputs!$B$44),0))),0)))&gt;=100),MIN(100,((Inputs!$B$9+((C1881=TRUE)*(F1881-Calc!F26))+B1889+(ArtifactsInput!$M$24-ArtifactsInput!$M$24)*CHOOSE(ArtifactsInput!$N$24+1,10,12,14,16,18,20)+IF(ArtifactsInput!$M$10,CHOOSE(ArtifactsInput!$N$10+1,15,18,21,24,27,30)*(IF(Inputs!$B$39="pvp",MIN(15,15)/15,IF(AND(Inputs!$B$39&lt;&gt;"pvp",Inputs!$B$44&gt;0),MIN(15,Inputs!$B$44)/(Inputs!$B$44),0))),0)))-100),0))*CHOOSE(ArtifactsInput!$N$42+1,0.6,0.72,0.84,0.96,1.08,1.2))),Inputs!$B$18+((C1884=TRUE)*(F1884-Calc!F29))+(IF(AND(Inputs!$B$39&lt;&gt;"pvp",Inputs!$B$44=0),1,IF(IF(Inputs!$B$39="pvp",15,Inputs!$B$44)-(B1900)&lt;=0,1,MAX(0,IF(Inputs!$B$39="pvp",15,Inputs!$B$44)-MAX(5,B1900))/(IF(Inputs!$B$39="pvp",15,Inputs!$B$44)-(B1900))))*IF(AND(ArtifactsInput!$M$42,((Inputs!$B$9+((C1881=TRUE)*(F1881-Calc!F26))+B1889+(ArtifactsInput!$M$24-ArtifactsInput!$M$24)*CHOOSE(ArtifactsInput!$N$24+1,10,12,14,16,18,20)+IF(ArtifactsInput!$M$10,CHOOSE(ArtifactsInput!$N$10+1,15,18,21,24,27,30)*(IF(Inputs!$B$39="pvp",MIN(15,15)/15,IF(AND(Inputs!$B$39&lt;&gt;"pvp",Inputs!$B$44&gt;0),MIN(15,Inputs!$B$44)/(Inputs!$B$44),0))),0)))&gt;=100),CHOOSE(ArtifactsInput!$N$42+1,40,48,56,64,72,80),0))))/100)*(((1+(((C1877=TRUE)*F1877*IF(AND(Inputs!$B$39&lt;&gt;"pvp",Inputs!$B$44&gt;0),(((R1877-1)*MIN((Skills!Y22*(1+Inputs!$B$34/100)),(1/Q1877))+MIN((Skills!Y22*(1+Inputs!$B$34/100)),MAX(0,Inputs!$B$44-((R1877-1)*(1/Q1877)))))/Inputs!$B$44),IF(Inputs!$B$39="pvp",MIN((Skills!Y22*(1+Inputs!$B$34/100)),15)/15,MIN(1,(Skills!Y22*(1+Inputs!$B$34/100))/(1/Q1877)))))+((C1858=TRUE)*F1858*3)+((C1860=TRUE)*F1860*(1-EXP(-0.75*B1893*5)))+((C1879=TRUE)*(F1879-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1866=TRUE)*F1866*IF(AND(Inputs!$B$39&lt;&gt;"pvp",Inputs!$B$44&gt;0),(((R1866-1)*MIN((Skills!Y11*(1+Inputs!$B$34/100)),(1/Q1866))+MIN((Skills!Y11*(1+Inputs!$B$34/100)),MAX(0,Inputs!$B$44-((R1866-1)*(1/Q1866)))))/Inputs!$B$44),IF(Inputs!$B$39="pvp",MIN((Skills!Y11*(1+Inputs!$B$34/100)),15)/15,MIN(1,(Skills!Y11*(1+Inputs!$B$34/100))/(1/Q1866)))))/100)*(1+((C1871=TRUE)*F1871*IF(AND(Inputs!$B$39&lt;&gt;"pvp",Inputs!$B$44&gt;0),(((R1871-1)*MIN((Skills!Y16*(1+Inputs!$B$34/100)),(1/Q1871))+MIN((Skills!Y16*(1+Inputs!$B$34/100)),MAX(0,Inputs!$B$44-((R1871-1)*(1/Q1871)))))/Inputs!$B$44),IF(Inputs!$B$39="pvp",MIN((Skills!Y16*(1+Inputs!$B$34/100)),15)/15,MIN(1,(Skills!Y16*(1+Inputs!$B$34/100))/(1/Q1871)))))/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1891*I1857)</f>
        <v/>
      </c>
      <c r="L1857">
        <f>K1857*(MIN(Inputs!$B$22+((C1880=TRUE)*(F1880-Calc!F25)),(Inputs!$B$23+((C1885=TRUE)*(F1885-Calc!F30))+IF(ArtifactsInput!$M$15,CHOOSE(ArtifactsInput!$N$15+1,25,30,35,40,45,50)/100*(Inputs!$B$11-Inputs!$B$11),0)))/100+(Inputs!$B$23+((C1885=TRUE)*(F1885-Calc!F30))+IF(ArtifactsInput!$M$15,CHOOSE(ArtifactsInput!$N$15+1,25,30,35,40,45,50)/100*(Inputs!$B$11-Inputs!$B$11),0))/100)/2</f>
        <v/>
      </c>
      <c r="M1857">
        <f>L1857*(1+(Inputs!$B$10+((C1882=TRUE)*(F1882-Calc!F27))+B1896+(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1857">
        <f>L1857*(1-MIN((Inputs!$B$9+((C1881=TRUE)*(F1881-Calc!F26))+B1889+(ArtifactsInput!$M$24-ArtifactsInput!$M$24)*CHOOSE(ArtifactsInput!$N$24+1,10,12,14,16,18,20)+(IF(AND(Inputs!$B$39&lt;&gt;"pvp",Inputs!$B$44=0),1,IF(IF(Inputs!$B$39="pvp",15,Inputs!$B$44)-(B1900)&lt;=0,1,MAX(0,IF(Inputs!$B$39="pvp",15,Inputs!$B$44)-MAX(5,B1900))/(IF(Inputs!$B$39="pvp",15,Inputs!$B$44)-(B1900))))*IF(AND(ArtifactsInput!$M$42,((Inputs!$B$9+((C1881=TRUE)*(F1881-Calc!F26))+B1889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1857*(MIN((Inputs!$B$9+((C1881=TRUE)*(F1881-Calc!F26))+B1889+(ArtifactsInput!$M$24-ArtifactsInput!$M$24)*CHOOSE(ArtifactsInput!$N$24+1,10,12,14,16,18,20)+(IF(AND(Inputs!$B$39&lt;&gt;"pvp",Inputs!$B$44=0),1,IF(IF(Inputs!$B$39="pvp",15,Inputs!$B$44)-(B1900)&lt;=0,1,MAX(0,IF(Inputs!$B$39="pvp",15,Inputs!$B$44)-MAX(5,B1900))/(IF(Inputs!$B$39="pvp",15,Inputs!$B$44)-(B1900))))*IF(AND(ArtifactsInput!$M$42,((Inputs!$B$9+((C1881=TRUE)*(F1881-Calc!F26))+B1889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857">
        <f>(1-Summary!$B$11)*T1857+Summary!$B$11*V1857</f>
        <v/>
      </c>
      <c r="P1857">
        <f>IF(B1901=0,0,O1857/B1901)</f>
        <v/>
      </c>
      <c r="Q1857" t="n">
        <v>0</v>
      </c>
      <c r="R1857" t="n">
        <v>0</v>
      </c>
      <c r="S1857">
        <f>IFERROR(O1857/N1857,0)</f>
        <v/>
      </c>
      <c r="T1857">
        <f>IF(C1857,(Skills!G2*N1857*B1895)*IF(Inputs!$B$39="pvp",1,1+(Inputs!$B$20+0+Skills!P2+B1890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Hunt"),CHOOSE(ArtifactsInput!$N$35+1,15,18,21,24,27,30)*(1-EXP(-(0.2*B1893)*5)),0)+IF(AND(ArtifactsInput!$M$22,Inputs!$B$4&lt;&gt;"Chapter Hunt"),CHOOSE(ArtifactsInput!$N$22+1,10,12,14,16,18,20)*((0*(((0.15*B1893*5))^0/1)+1*(((0.15*B1893*5))^1/1)+2*(((0.15*B1893*5))^2/2)+3*(((0.15*B1893*5))^3/6)+4*(((0.15*B1893*5))^4/24)+5*(((0.15*B1893*5))^5/120))/((((0.15*B1893*5))^0/1)+(((0.15*B1893*5))^1/1)+(((0.15*B1893*5))^2/2)+(((0.15*B1893*5))^3/6)+(((0.15*B1893*5))^4/24)+(((0.15*B1893*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1857*(1-MIN(100,(Inputs!$B$9+((C1881=TRUE)*(F1881-Calc!F26))+B1889+(ArtifactsInput!$M$24-ArtifactsInput!$M$24)*CHOOSE(ArtifactsInput!$N$24+1,10,12,14,16,18,20)+(IF(AND(Inputs!$B$39&lt;&gt;"pvp",Inputs!$B$44=0),1,IF(IF(Inputs!$B$39="pvp",15,Inputs!$B$44)-(B1900)&lt;=0,1,MAX(0,IF(Inputs!$B$39="pvp",15,Inputs!$B$44)-MAX(5,B1900))/(IF(Inputs!$B$39="pvp",15,Inputs!$B$44)-(B1900))))*IF(AND(ArtifactsInput!$M$42,((Inputs!$B$9+((C1881=TRUE)*(F1881-Calc!F26))+B1889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1857*(MIN(100,(Inputs!$B$9+((C1881=TRUE)*(F1881-Calc!F26))+B1889+(ArtifactsInput!$M$24-ArtifactsInput!$M$24)*CHOOSE(ArtifactsInput!$N$24+1,10,12,14,16,18,20)+(IF(AND(Inputs!$B$39&lt;&gt;"pvp",Inputs!$B$44=0),1,IF(IF(Inputs!$B$39="pvp",15,Inputs!$B$44)-(B1900)&lt;=0,1,MAX(0,IF(Inputs!$B$39="pvp",15,Inputs!$B$44)-MAX(5,B1900))/(IF(Inputs!$B$39="pvp",15,Inputs!$B$44)-(B1900))))*IF(AND(ArtifactsInput!$M$42,((Inputs!$B$9+((C1881=TRUE)*(F1881-Calc!F26))+B1889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1857*(1-MIN(100,(Inputs!$B$9+((C1881=TRUE)*(F1881-Calc!F26))+B1889+(ArtifactsInput!$M$24-ArtifactsInput!$M$24)*CHOOSE(ArtifactsInput!$N$24+1,10,12,14,16,18,20)+(IF(AND(Inputs!$B$39&lt;&gt;"pvp",Inputs!$B$44=0),1,IF(IF(Inputs!$B$39="pvp",15,Inputs!$B$44)-(B1900)&lt;=0,1,MAX(0,IF(Inputs!$B$39="pvp",15,Inputs!$B$44)-MAX(5,B1900))/(IF(Inputs!$B$39="pvp",15,Inputs!$B$44)-(B1900))))*IF(AND(ArtifactsInput!$M$42,((Inputs!$B$9+((C1881=TRUE)*(F1881-Calc!F26))+B1889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1857*(MIN(100,(Inputs!$B$9+((C1881=TRUE)*(F1881-Calc!F26))+B1889+(ArtifactsInput!$M$24-ArtifactsInput!$M$24)*CHOOSE(ArtifactsInput!$N$24+1,10,12,14,16,18,20)+(IF(AND(Inputs!$B$39&lt;&gt;"pvp",Inputs!$B$44=0),1,IF(IF(Inputs!$B$39="pvp",15,Inputs!$B$44)-(B1900)&lt;=0,1,MAX(0,IF(Inputs!$B$39="pvp",15,Inputs!$B$44)-MAX(5,B1900))/(IF(Inputs!$B$39="pvp",15,Inputs!$B$44)-(B1900))))*IF(AND(ArtifactsInput!$M$42,((Inputs!$B$9+((C1881=TRUE)*(F1881-Calc!F26))+B1889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1857">
        <f>MAX(0,(Inputs!$B$3-100)*3)+Inputs!$B$28+Inputs!$B$29</f>
        <v/>
      </c>
      <c r="V1857">
        <f>IF(C1857,(Skills!G2*N1857*B1895)*IF(Inputs!$B$39="pvp",1,(1+(Inputs!$B$21+Skills!Q2+B1890+(IF(ArtifactsInput!$M$33,CHOOSE(ArtifactsInput!$N$33+1,30,36,42,48,54,60),0))+(IF(AND(ArtifactsInput!$M$35,Inputs!$B$4&lt;&gt;"Chapter Hunt"),CHOOSE(ArtifactsInput!$N$35+1,15,18,21,24,27,30)*(1-EXP(-(0.2*B1893)*5)),0)+IF(AND(ArtifactsInput!$M$22,Inputs!$B$4&lt;&gt;"Chapter Hunt"),CHOOSE(ArtifactsInput!$N$22+1,10,12,14,16,18,20)*((0*(((0.15*B1893*5))^0/1)+1*(((0.15*B1893*5))^1/1)+2*(((0.15*B1893*5))^2/2)+3*(((0.15*B1893*5))^3/6)+4*(((0.15*B1893*5))^4/24)+5*(((0.15*B1893*5))^5/120))/((((0.15*B1893*5))^0/1)+(((0.15*B1893*5))^1/1)+(((0.15*B1893*5))^2/2)+(((0.15*B1893*5))^3/6)+(((0.15*B1893*5))^4/24)+(((0.15*B1893*5))^5/120))),0)))/100)*(MIN((6+Inputs!$B$33),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858">
      <c r="A1858">
        <f>Skills!A3</f>
        <v/>
      </c>
      <c r="B1858">
        <f>Skills!B3</f>
        <v/>
      </c>
      <c r="C1858">
        <f>Inputs!$B$3&gt;=35</f>
        <v/>
      </c>
      <c r="D1858">
        <f>IF(Skills!C3=1,60+Inputs!$B$25+Inputs!$B$29,IF(Skills!C3=2,90+Inputs!$B$26+Inputs!$B$29,IF(Skills!C3=3,120+Inputs!$B$27+Inputs!$B$29,MAX(0,(Inputs!$B$3-100)*3)+Inputs!$B$28+Inputs!$B$29)))</f>
        <v/>
      </c>
      <c r="E1858">
        <f>INDEX(FactorTable!$B$2:$Y$301, MATCH(ROUND(MIN(300,MAX(1,D1858)),0), FactorTable!$A$2:$A$301,0), Skills!M3+1)</f>
        <v/>
      </c>
      <c r="F1858">
        <f>IF(Skills!N3=TRUE,(Skills!L3/10)*(E1858/1000),Skills!L3/10)+Skills!O3</f>
        <v/>
      </c>
      <c r="G1858">
        <f>Skills!G3*IF(Skills!H3&gt;0,IF(Inputs!$B$39="pvp",MIN(Skills!I3,15),Skills!I3)/Skills!H3,1)</f>
        <v/>
      </c>
      <c r="H1858">
        <f>1-(1-Skills!J3/100)^Skills!K3</f>
        <v/>
      </c>
      <c r="I1858" t="inlineStr">
        <is>
          <t>1</t>
        </is>
      </c>
      <c r="J1858" t="inlineStr"/>
      <c r="K1858" t="inlineStr"/>
      <c r="L1858" t="inlineStr"/>
      <c r="M1858" t="inlineStr"/>
      <c r="N1858" t="inlineStr"/>
      <c r="O1858">
        <f>(1-Summary!$B$11)*T1858+Summary!$B$11*V1858</f>
        <v/>
      </c>
      <c r="P1858">
        <f>IF(B1901=0,0,O1858/B1901)</f>
        <v/>
      </c>
      <c r="Q1858" t="n">
        <v>0</v>
      </c>
      <c r="R1858" t="n">
        <v>0</v>
      </c>
      <c r="S1858">
        <f>IFERROR(O1858/N1858,0)</f>
        <v/>
      </c>
      <c r="T1858" t="n">
        <v>0</v>
      </c>
      <c r="U1858">
        <f>INDEX(FactorTable!$B$2:$Y$301, MATCH(ROUND(MIN(300,MAX(1,U1857)),0), FactorTable!$A$2:$A$301,0), 22)</f>
        <v/>
      </c>
      <c r="V1858" t="n">
        <v>0</v>
      </c>
    </row>
    <row r="1859">
      <c r="A1859">
        <f>Skills!A4</f>
        <v/>
      </c>
      <c r="B1859">
        <f>Skills!B4</f>
        <v/>
      </c>
      <c r="C1859">
        <f>Inputs!$B$3&gt;=66</f>
        <v/>
      </c>
      <c r="D1859">
        <f>IF(Skills!C4=1,60+Inputs!$B$25+Inputs!$B$29,IF(Skills!C4=2,90+Inputs!$B$26+Inputs!$B$29,IF(Skills!C4=3,120+Inputs!$B$27+Inputs!$B$29,MAX(0,(Inputs!$B$3-100)*3)+Inputs!$B$28+Inputs!$B$29)))</f>
        <v/>
      </c>
      <c r="E1859">
        <f>INDEX(FactorTable!$B$2:$Y$301, MATCH(ROUND(MIN(300,MAX(1,D1859)),0), FactorTable!$A$2:$A$301,0), Skills!M4+1)</f>
        <v/>
      </c>
      <c r="F1859">
        <f>IF(Skills!N4=TRUE,(Skills!L4/10)*(E1859/1000),Skills!L4/10)+Skills!O4</f>
        <v/>
      </c>
      <c r="G1859">
        <f>Skills!G4*IF(Skills!H4&gt;0,IF(Inputs!$B$39="pvp",MIN(Skills!I4,15),Skills!I4)/Skills!H4,1)</f>
        <v/>
      </c>
      <c r="H1859">
        <f>1-(1-Skills!J4/100)^Skills!K4</f>
        <v/>
      </c>
      <c r="I1859" t="inlineStr">
        <is>
          <t>1</t>
        </is>
      </c>
      <c r="J1859">
        <f>((Inputs!$B$6*(1+Inputs!$B$7/100))+(((Inputs!$B$12*(1+Inputs!$B$13/100))-(Inputs!$B$12*(1+Inputs!$B$13/100)))+0.25*(Inputs!$B$14-Inputs!$B$14))*(1+Inputs!$B$7/100))*(F1859/100)</f>
        <v/>
      </c>
      <c r="K1859">
        <f>J1859*(1+((Inputs!$B$12*(1+Inputs!$B$13/100))*0.01+Inputs!$B$14*0.0025)/100)*(1+Inputs!$B$15/100)*(1+Inputs!$B$16/100)*(5000/(6000+Inputs!$B$43*(1-(100*(1-(1-Inputs!$B$19/100)*(1-CHOOSE(ArtifactsInput!$N$40+1,5,6,7,8,9,10)/100)^(ArtifactsInput!$M$40-ArtifactsInput!$M$40)))/100)))*(1+(Inputs!$B$24+((C1886=TRUE)*(F1886-Calc!F31))+((C1873=TRUE)*(F1873-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Boss",2,1),0)/100)-1)*100+(IF(ArtifactsInput!$M$14,FALSE,TRUE)-ArtifactsInput!$M$14)*IF(OR(Inputs!$B$4="Weapon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4="CRUEL_STAB",Inputs!$B$17+((C1883=TRUE)*(F1883-Calc!F28))+((IF(AND(Inputs!$B$39&lt;&gt;"pvp",Inputs!$B$44=0),1,IF(IF(Inputs!$B$39="pvp",15,Inputs!$B$44)-(B1900)&lt;=0,1,MAX(0,IF(Inputs!$B$39="pvp",15,Inputs!$B$44)-MAX(5,B1900))/(IF(Inputs!$B$39="pvp",15,Inputs!$B$44)-(B1900))))*(IF(AND(ArtifactsInput!$M$42,((Inputs!$B$9+((C1881=TRUE)*(F1881-Calc!F26))+B1889+(ArtifactsInput!$M$24-ArtifactsInput!$M$24)*CHOOSE(ArtifactsInput!$N$24+1,10,12,14,16,18,20)+IF(ArtifactsInput!$M$10,CHOOSE(ArtifactsInput!$N$10+1,15,18,21,24,27,30)*(IF(Inputs!$B$39="pvp",MIN(15,15)/15,IF(AND(Inputs!$B$39&lt;&gt;"pvp",Inputs!$B$44&gt;0),MIN(15,Inputs!$B$44)/(Inputs!$B$44),0))),0)))&gt;=100),MIN(100,((Inputs!$B$9+((C1881=TRUE)*(F1881-Calc!F26))+B1889+(ArtifactsInput!$M$24-ArtifactsInput!$M$24)*CHOOSE(ArtifactsInput!$N$24+1,10,12,14,16,18,20)+IF(ArtifactsInput!$M$10,CHOOSE(ArtifactsInput!$N$10+1,15,18,21,24,27,30)*(IF(Inputs!$B$39="pvp",MIN(15,15)/15,IF(AND(Inputs!$B$39&lt;&gt;"pvp",Inputs!$B$44&gt;0),MIN(15,Inputs!$B$44)/(Inputs!$B$44),0))),0)))-100),0))*CHOOSE(ArtifactsInput!$N$42+1,0.6,0.72,0.84,0.96,1.08,1.2))),Inputs!$B$18+((C1884=TRUE)*(F1884-Calc!F29))+(IF(AND(Inputs!$B$39&lt;&gt;"pvp",Inputs!$B$44=0),1,IF(IF(Inputs!$B$39="pvp",15,Inputs!$B$44)-(B1900)&lt;=0,1,MAX(0,IF(Inputs!$B$39="pvp",15,Inputs!$B$44)-MAX(5,B1900))/(IF(Inputs!$B$39="pvp",15,Inputs!$B$44)-(B1900))))*IF(AND(ArtifactsInput!$M$42,((Inputs!$B$9+((C1881=TRUE)*(F1881-Calc!F26))+B1889+(ArtifactsInput!$M$24-ArtifactsInput!$M$24)*CHOOSE(ArtifactsInput!$N$24+1,10,12,14,16,18,20)+IF(ArtifactsInput!$M$10,CHOOSE(ArtifactsInput!$N$10+1,15,18,21,24,27,30)*(IF(Inputs!$B$39="pvp",MIN(15,15)/15,IF(AND(Inputs!$B$39&lt;&gt;"pvp",Inputs!$B$44&gt;0),MIN(15,Inputs!$B$44)/(Inputs!$B$44),0))),0)))&gt;=100),CHOOSE(ArtifactsInput!$N$42+1,40,48,56,64,72,80),0))))/100)*(((1+(((C1877=TRUE)*F1877*IF(AND(Inputs!$B$39&lt;&gt;"pvp",Inputs!$B$44&gt;0),(((R1877-1)*MIN((Skills!Y22*(1+Inputs!$B$34/100)),(1/Q1877))+MIN((Skills!Y22*(1+Inputs!$B$34/100)),MAX(0,Inputs!$B$44-((R1877-1)*(1/Q1877)))))/Inputs!$B$44),IF(Inputs!$B$39="pvp",MIN((Skills!Y22*(1+Inputs!$B$34/100)),15)/15,MIN(1,(Skills!Y22*(1+Inputs!$B$34/100))/(1/Q1877)))))+((C1858=TRUE)*F1858*3)+((C1860=TRUE)*F1860*(1-EXP(-0.75*B1893*5)))+((C1879=TRUE)*(F1879-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1866=TRUE)*F1866*IF(AND(Inputs!$B$39&lt;&gt;"pvp",Inputs!$B$44&gt;0),(((R1866-1)*MIN((Skills!Y11*(1+Inputs!$B$34/100)),(1/Q1866))+MIN((Skills!Y11*(1+Inputs!$B$34/100)),MAX(0,Inputs!$B$44-((R1866-1)*(1/Q1866)))))/Inputs!$B$44),IF(Inputs!$B$39="pvp",MIN((Skills!Y11*(1+Inputs!$B$34/100)),15)/15,MIN(1,(Skills!Y11*(1+Inputs!$B$34/100))/(1/Q1866)))))/100)*(1+((C1871=TRUE)*F1871*IF(AND(Inputs!$B$39&lt;&gt;"pvp",Inputs!$B$44&gt;0),(((R1871-1)*MIN((Skills!Y16*(1+Inputs!$B$34/100)),(1/Q1871))+MIN((Skills!Y16*(1+Inputs!$B$34/100)),MAX(0,Inputs!$B$44-((R1871-1)*(1/Q1871)))))/Inputs!$B$44),IF(Inputs!$B$39="pvp",MIN((Skills!Y16*(1+Inputs!$B$34/100)),15)/15,MIN(1,(Skills!Y16*(1+Inputs!$B$34/100))/(1/Q1871)))))/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1891*I1859)</f>
        <v/>
      </c>
      <c r="L1859">
        <f>K1859*(MIN(Inputs!$B$22+((C1880=TRUE)*(F1880-Calc!F25)),(Inputs!$B$23+((C1885=TRUE)*(F1885-Calc!F30))+IF(ArtifactsInput!$M$15,CHOOSE(ArtifactsInput!$N$15+1,25,30,35,40,45,50)/100*(Inputs!$B$11-Inputs!$B$11),0)))/100+(Inputs!$B$23+((C1885=TRUE)*(F1885-Calc!F30))+IF(ArtifactsInput!$M$15,CHOOSE(ArtifactsInput!$N$15+1,25,30,35,40,45,50)/100*(Inputs!$B$11-Inputs!$B$11),0))/100)/2</f>
        <v/>
      </c>
      <c r="M1859">
        <f>L1859*(1+(Inputs!$B$10+((C1882=TRUE)*(F1882-Calc!F27))+B1896+(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1859">
        <f>L1859*(1-MIN((Inputs!$B$9+((C1881=TRUE)*(F1881-Calc!F26))+B1889+(ArtifactsInput!$M$24-ArtifactsInput!$M$24)*CHOOSE(ArtifactsInput!$N$24+1,10,12,14,16,18,20)+(IF(AND(Inputs!$B$39&lt;&gt;"pvp",Inputs!$B$44=0),1,IF(IF(Inputs!$B$39="pvp",15,Inputs!$B$44)-(B1900)&lt;=0,1,MAX(0,IF(Inputs!$B$39="pvp",15,Inputs!$B$44)-MAX(5,B1900))/(IF(Inputs!$B$39="pvp",15,Inputs!$B$44)-(B1900))))*IF(AND(ArtifactsInput!$M$42,((Inputs!$B$9+((C1881=TRUE)*(F1881-Calc!F26))+B1889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1859*(MIN((Inputs!$B$9+((C1881=TRUE)*(F1881-Calc!F26))+B1889+(ArtifactsInput!$M$24-ArtifactsInput!$M$24)*CHOOSE(ArtifactsInput!$N$24+1,10,12,14,16,18,20)+(IF(AND(Inputs!$B$39&lt;&gt;"pvp",Inputs!$B$44=0),1,IF(IF(Inputs!$B$39="pvp",15,Inputs!$B$44)-(B1900)&lt;=0,1,MAX(0,IF(Inputs!$B$39="pvp",15,Inputs!$B$44)-MAX(5,B1900))/(IF(Inputs!$B$39="pvp",15,Inputs!$B$44)-(B1900))))*IF(AND(ArtifactsInput!$M$42,((Inputs!$B$9+((C1881=TRUE)*(F1881-Calc!F26))+B1889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859">
        <f>(1-Summary!$B$11)*T1859+Summary!$B$11*V1859</f>
        <v/>
      </c>
      <c r="P1859">
        <f>IF(B1901=0,0,O1859/B1901)</f>
        <v/>
      </c>
      <c r="Q1859">
        <f>IFERROR(1/IF(Inputs!$B$39="pvp",15,MAX(0.1,Skills!D4-IF(TRUE=TRUE,Inputs!$B$32,0))),0)</f>
        <v/>
      </c>
      <c r="R1859">
        <f>IF(AND(Inputs!$B$39&lt;&gt;"pvp",Inputs!$B$44&gt;0),IF(MAX(0,Inputs!$B$44-B1900)&lt;=0,0,(INT(MAX(0,Inputs!$B$44-B1900)/IF(Inputs!$B$39="pvp",15,MAX(0.1,Skills!D4-IF(TRUE=TRUE,Inputs!$B$32,0))))+1)),0)</f>
        <v/>
      </c>
      <c r="S1859">
        <f>IFERROR(O1859/N1859,0)</f>
        <v/>
      </c>
      <c r="T1859">
        <f>IF(C1859,(H1859*N1859*IF(AND(Inputs!$B$39&lt;&gt;"pvp",Inputs!$B$44&gt;0),((Skills!G4*((R1859-1)*IF(Skills!H4&gt;0,Skills!I4/Skills!H4,1)+IF(Skills!H4&gt;0,MIN(Skills!I4,MAX(0,MAX(0,Inputs!$B$44-B1900)-((R1859-1)*IF(Inputs!$B$39="pvp",15,MAX(0.1,Skills!D4-IF(TRUE=TRUE,Inputs!$B$32,0))))))/Skills!H4,1)))/Inputs!$B$44),G1859*Q1859))*IF(Inputs!$B$39="pvp",1,1+(Inputs!$B$20+0+Skills!P4+B1890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Hunt"),CHOOSE(ArtifactsInput!$N$35+1,15,18,21,24,27,30)*(1-EXP(-(0.2*B1893)*5)),0)+IF(AND(ArtifactsInput!$M$22,Inputs!$B$4&lt;&gt;"Chapter Hunt"),CHOOSE(ArtifactsInput!$N$22+1,10,12,14,16,18,20)*((0*(((0.15*B1893*5))^0/1)+1*(((0.15*B1893*5))^1/1)+2*(((0.15*B1893*5))^2/2)+3*(((0.15*B1893*5))^3/6)+4*(((0.15*B1893*5))^4/24)+5*(((0.15*B1893*5))^5/120))/((((0.15*B1893*5))^0/1)+(((0.15*B1893*5))^1/1)+(((0.15*B1893*5))^2/2)+(((0.15*B1893*5))^3/6)+(((0.15*B1893*5))^4/24)+(((0.15*B1893*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1859*(1-MIN(100,(Inputs!$B$9+((C1881=TRUE)*(F1881-Calc!F26))+B1889+(ArtifactsInput!$M$24-ArtifactsInput!$M$24)*CHOOSE(ArtifactsInput!$N$24+1,10,12,14,16,18,20)+(IF(AND(Inputs!$B$39&lt;&gt;"pvp",Inputs!$B$44=0),1,IF(IF(Inputs!$B$39="pvp",15,Inputs!$B$44)-(B1900)&lt;=0,1,MAX(0,IF(Inputs!$B$39="pvp",15,Inputs!$B$44)-MAX(5,B1900))/(IF(Inputs!$B$39="pvp",15,Inputs!$B$44)-(B1900))))*IF(AND(ArtifactsInput!$M$42,((Inputs!$B$9+((C1881=TRUE)*(F1881-Calc!F26))+B1889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1859*(MIN(100,(Inputs!$B$9+((C1881=TRUE)*(F1881-Calc!F26))+B1889+(ArtifactsInput!$M$24-ArtifactsInput!$M$24)*CHOOSE(ArtifactsInput!$N$24+1,10,12,14,16,18,20)+(IF(AND(Inputs!$B$39&lt;&gt;"pvp",Inputs!$B$44=0),1,IF(IF(Inputs!$B$39="pvp",15,Inputs!$B$44)-(B1900)&lt;=0,1,MAX(0,IF(Inputs!$B$39="pvp",15,Inputs!$B$44)-MAX(5,B1900))/(IF(Inputs!$B$39="pvp",15,Inputs!$B$44)-(B1900))))*IF(AND(ArtifactsInput!$M$42,((Inputs!$B$9+((C1881=TRUE)*(F1881-Calc!F26))+B1889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1859*(1-MIN(100,(Inputs!$B$9+((C1881=TRUE)*(F1881-Calc!F26))+B1889+(ArtifactsInput!$M$24-ArtifactsInput!$M$24)*CHOOSE(ArtifactsInput!$N$24+1,10,12,14,16,18,20)+(IF(AND(Inputs!$B$39&lt;&gt;"pvp",Inputs!$B$44=0),1,IF(IF(Inputs!$B$39="pvp",15,Inputs!$B$44)-(B1900)&lt;=0,1,MAX(0,IF(Inputs!$B$39="pvp",15,Inputs!$B$44)-MAX(5,B1900))/(IF(Inputs!$B$39="pvp",15,Inputs!$B$44)-(B1900))))*IF(AND(ArtifactsInput!$M$42,((Inputs!$B$9+((C1881=TRUE)*(F1881-Calc!F26))+B1889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1859*(MIN(100,(Inputs!$B$9+((C1881=TRUE)*(F1881-Calc!F26))+B1889+(ArtifactsInput!$M$24-ArtifactsInput!$M$24)*CHOOSE(ArtifactsInput!$N$24+1,10,12,14,16,18,20)+(IF(AND(Inputs!$B$39&lt;&gt;"pvp",Inputs!$B$44=0),1,IF(IF(Inputs!$B$39="pvp",15,Inputs!$B$44)-(B1900)&lt;=0,1,MAX(0,IF(Inputs!$B$39="pvp",15,Inputs!$B$44)-MAX(5,B1900))/(IF(Inputs!$B$39="pvp",15,Inputs!$B$44)-(B1900))))*IF(AND(ArtifactsInput!$M$42,((Inputs!$B$9+((C1881=TRUE)*(F1881-Calc!F26))+B1889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1859">
        <f>290*U1858/1000</f>
        <v/>
      </c>
      <c r="V1859">
        <f>IF(C1859,(H1859*N1859*IF(AND(Inputs!$B$39&lt;&gt;"pvp",Inputs!$B$44&gt;0),((Skills!G4*((R1859-1)*IF(Skills!H4&gt;0,Skills!I4/Skills!H4,1)+IF(Skills!H4&gt;0,MIN(Skills!I4,MAX(0,MAX(0,Inputs!$B$44-B1900)-((R1859-1)*IF(Inputs!$B$39="pvp",15,MAX(0.1,Skills!D4-IF(TRUE=TRUE,Inputs!$B$32,0))))))/Skills!H4,1)))/Inputs!$B$44),G1859*Q1859))*IF(Inputs!$B$39="pvp",1,(1+(Inputs!$B$21+Skills!Q4+B1890+(IF(ArtifactsInput!$M$33,CHOOSE(ArtifactsInput!$N$33+1,30,36,42,48,54,60),0))+(IF(AND(ArtifactsInput!$M$35,Inputs!$B$4&lt;&gt;"Chapter Hunt"),CHOOSE(ArtifactsInput!$N$35+1,15,18,21,24,27,30)*(1-EXP(-(0.2*B1893)*5)),0)+IF(AND(ArtifactsInput!$M$22,Inputs!$B$4&lt;&gt;"Chapter Hunt"),CHOOSE(ArtifactsInput!$N$22+1,10,12,14,16,18,20)*((0*(((0.15*B1893*5))^0/1)+1*(((0.15*B1893*5))^1/1)+2*(((0.15*B1893*5))^2/2)+3*(((0.15*B1893*5))^3/6)+4*(((0.15*B1893*5))^4/24)+5*(((0.15*B1893*5))^5/120))/((((0.15*B1893*5))^0/1)+(((0.15*B1893*5))^1/1)+(((0.15*B1893*5))^2/2)+(((0.15*B1893*5))^3/6)+(((0.15*B1893*5))^4/24)+(((0.15*B1893*5))^5/120))),0)))/100)*(MIN(MIN(10,IF(Inputs!$B$3&gt;=75,0.75,0.5)*B1893*(1/Q1859)),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860">
      <c r="A1860">
        <f>Skills!A5</f>
        <v/>
      </c>
      <c r="B1860">
        <f>Skills!B5</f>
        <v/>
      </c>
      <c r="C1860">
        <f>Inputs!$B$3&gt;=75</f>
        <v/>
      </c>
      <c r="D1860">
        <f>IF(Skills!C5=1,60+Inputs!$B$25+Inputs!$B$29,IF(Skills!C5=2,90+Inputs!$B$26+Inputs!$B$29,IF(Skills!C5=3,120+Inputs!$B$27+Inputs!$B$29,MAX(0,(Inputs!$B$3-100)*3)+Inputs!$B$28+Inputs!$B$29)))</f>
        <v/>
      </c>
      <c r="E1860">
        <f>INDEX(FactorTable!$B$2:$Y$301, MATCH(ROUND(MIN(300,MAX(1,D1860)),0), FactorTable!$A$2:$A$301,0), Skills!M5+1)</f>
        <v/>
      </c>
      <c r="F1860">
        <f>IF(Skills!N5=TRUE,(Skills!L5/10)*(E1860/1000),Skills!L5/10)+Skills!O5</f>
        <v/>
      </c>
      <c r="G1860">
        <f>Skills!G5*IF(Skills!H5&gt;0,IF(Inputs!$B$39="pvp",MIN(Skills!I5,15),Skills!I5)/Skills!H5,1)</f>
        <v/>
      </c>
      <c r="H1860">
        <f>1-(1-Skills!J5/100)^Skills!K5</f>
        <v/>
      </c>
      <c r="I1860" t="inlineStr">
        <is>
          <t>1</t>
        </is>
      </c>
      <c r="J1860" t="inlineStr"/>
      <c r="K1860" t="inlineStr"/>
      <c r="L1860" t="inlineStr"/>
      <c r="M1860" t="inlineStr"/>
      <c r="N1860" t="inlineStr"/>
      <c r="O1860">
        <f>(1-Summary!$B$11)*T1860+Summary!$B$11*V1860</f>
        <v/>
      </c>
      <c r="P1860">
        <f>IF(B1901=0,0,O1860/B1901)</f>
        <v/>
      </c>
      <c r="Q1860" t="n">
        <v>0</v>
      </c>
      <c r="R1860" t="n">
        <v>0</v>
      </c>
      <c r="S1860">
        <f>IFERROR(O1860/N1860,0)</f>
        <v/>
      </c>
      <c r="T1860" t="n">
        <v>0</v>
      </c>
      <c r="V1860" t="n">
        <v>0</v>
      </c>
    </row>
    <row r="1861">
      <c r="A1861">
        <f>Skills!A6</f>
        <v/>
      </c>
      <c r="B1861">
        <f>Skills!B6</f>
        <v/>
      </c>
      <c r="C1861">
        <f>Inputs!$B$3&gt;=63</f>
        <v/>
      </c>
      <c r="D1861">
        <f>IF(Skills!C6=1,60+Inputs!$B$25+Inputs!$B$29,IF(Skills!C6=2,90+Inputs!$B$26+Inputs!$B$29,IF(Skills!C6=3,120+Inputs!$B$27+Inputs!$B$29,MAX(0,(Inputs!$B$3-100)*3)+Inputs!$B$28+Inputs!$B$29)))</f>
        <v/>
      </c>
      <c r="E1861">
        <f>INDEX(FactorTable!$B$2:$Y$301, MATCH(ROUND(MIN(300,MAX(1,D1861)),0), FactorTable!$A$2:$A$301,0), Skills!M6+1)</f>
        <v/>
      </c>
      <c r="F1861">
        <f>IF(Skills!N6=TRUE,(Skills!L6/10)*(E1861/1000),Skills!L6/10)+Skills!O6</f>
        <v/>
      </c>
      <c r="G1861">
        <f>Skills!G6*IF(Skills!H6&gt;0,IF(Inputs!$B$39="pvp",MIN(Skills!I6,15),Skills!I6)/Skills!H6,1)</f>
        <v/>
      </c>
      <c r="H1861">
        <f>1-(1-Skills!J6/100)^Skills!K6</f>
        <v/>
      </c>
      <c r="I1861" t="inlineStr">
        <is>
          <t>1</t>
        </is>
      </c>
      <c r="J1861">
        <f>((Inputs!$B$6*(1+Inputs!$B$7/100))+(((Inputs!$B$12*(1+Inputs!$B$13/100))-(Inputs!$B$12*(1+Inputs!$B$13/100)))+0.25*(Inputs!$B$14-Inputs!$B$14))*(1+Inputs!$B$7/100))*(F1861/100)</f>
        <v/>
      </c>
      <c r="K1861">
        <f>J1861*(1+((Inputs!$B$12*(1+Inputs!$B$13/100))*0.01+Inputs!$B$14*0.0025)/100)*(1+Inputs!$B$15/100)*(1+Inputs!$B$16/100)*(5000/(6000+Inputs!$B$43*(1-(100*(1-(1-Inputs!$B$19/100)*(1-CHOOSE(ArtifactsInput!$N$40+1,5,6,7,8,9,10)/100)^(ArtifactsInput!$M$40-ArtifactsInput!$M$40)))/100)))*(1+(Inputs!$B$24+((C1886=TRUE)*(F1886-Calc!F31))+((C1873=TRUE)*(F1873-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Boss",2,1),0)/100)-1)*100+(IF(ArtifactsInput!$M$14,FALSE,TRUE)-ArtifactsInput!$M$14)*IF(OR(Inputs!$B$4="Weapon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+2.6666666666666665*IF(C1874=TRUE,F1874,0)/100)*(1+(IF(Skills!A6="CRUEL_STAB",Inputs!$B$17+((C1883=TRUE)*(F1883-Calc!F28))+((IF(AND(Inputs!$B$39&lt;&gt;"pvp",Inputs!$B$44=0),1,IF(IF(Inputs!$B$39="pvp",15,Inputs!$B$44)-(B1900)&lt;=0,1,MAX(0,IF(Inputs!$B$39="pvp",15,Inputs!$B$44)-MAX(5,B1900))/(IF(Inputs!$B$39="pvp",15,Inputs!$B$44)-(B1900))))*(IF(AND(ArtifactsInput!$M$42,((Inputs!$B$9+((C1881=TRUE)*(F1881-Calc!F26))+B1889+(ArtifactsInput!$M$24-ArtifactsInput!$M$24)*CHOOSE(ArtifactsInput!$N$24+1,10,12,14,16,18,20)+IF(ArtifactsInput!$M$10,CHOOSE(ArtifactsInput!$N$10+1,15,18,21,24,27,30)*(IF(Inputs!$B$39="pvp",MIN(15,15)/15,IF(AND(Inputs!$B$39&lt;&gt;"pvp",Inputs!$B$44&gt;0),MIN(15,Inputs!$B$44)/(Inputs!$B$44),0))),0)))&gt;=100),MIN(100,((Inputs!$B$9+((C1881=TRUE)*(F1881-Calc!F26))+B1889+(ArtifactsInput!$M$24-ArtifactsInput!$M$24)*CHOOSE(ArtifactsInput!$N$24+1,10,12,14,16,18,20)+IF(ArtifactsInput!$M$10,CHOOSE(ArtifactsInput!$N$10+1,15,18,21,24,27,30)*(IF(Inputs!$B$39="pvp",MIN(15,15)/15,IF(AND(Inputs!$B$39&lt;&gt;"pvp",Inputs!$B$44&gt;0),MIN(15,Inputs!$B$44)/(Inputs!$B$44),0))),0)))-100),0))*CHOOSE(ArtifactsInput!$N$42+1,0.6,0.72,0.84,0.96,1.08,1.2))),Inputs!$B$18+((C1884=TRUE)*(F1884-Calc!F29))+(IF(AND(Inputs!$B$39&lt;&gt;"pvp",Inputs!$B$44=0),1,IF(IF(Inputs!$B$39="pvp",15,Inputs!$B$44)-(B1900)&lt;=0,1,MAX(0,IF(Inputs!$B$39="pvp",15,Inputs!$B$44)-MAX(5,B1900))/(IF(Inputs!$B$39="pvp",15,Inputs!$B$44)-(B1900))))*IF(AND(ArtifactsInput!$M$42,((Inputs!$B$9+((C1881=TRUE)*(F1881-Calc!F26))+B1889+(ArtifactsInput!$M$24-ArtifactsInput!$M$24)*CHOOSE(ArtifactsInput!$N$24+1,10,12,14,16,18,20)+IF(ArtifactsInput!$M$10,CHOOSE(ArtifactsInput!$N$10+1,15,18,21,24,27,30)*(IF(Inputs!$B$39="pvp",MIN(15,15)/15,IF(AND(Inputs!$B$39&lt;&gt;"pvp",Inputs!$B$44&gt;0),MIN(15,Inputs!$B$44)/(Inputs!$B$44),0))),0)))&gt;=100),CHOOSE(ArtifactsInput!$N$42+1,40,48,56,64,72,80),0))))/100)*(((1+(((C1877=TRUE)*F1877*IF(AND(Inputs!$B$39&lt;&gt;"pvp",Inputs!$B$44&gt;0),(((R1877-1)*MIN((Skills!Y22*(1+Inputs!$B$34/100)),(1/Q1877))+MIN((Skills!Y22*(1+Inputs!$B$34/100)),MAX(0,Inputs!$B$44-((R1877-1)*(1/Q1877)))))/Inputs!$B$44),IF(Inputs!$B$39="pvp",MIN((Skills!Y22*(1+Inputs!$B$34/100)),15)/15,MIN(1,(Skills!Y22*(1+Inputs!$B$34/100))/(1/Q1877)))))+((C1858=TRUE)*F1858*3)+((C1860=TRUE)*F1860*(1-EXP(-0.75*B1893*5)))+((C1879=TRUE)*(F1879-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1866=TRUE)*F1866*IF(AND(Inputs!$B$39&lt;&gt;"pvp",Inputs!$B$44&gt;0),(((R1866-1)*MIN((Skills!Y11*(1+Inputs!$B$34/100)),(1/Q1866))+MIN((Skills!Y11*(1+Inputs!$B$34/100)),MAX(0,Inputs!$B$44-((R1866-1)*(1/Q1866)))))/Inputs!$B$44),IF(Inputs!$B$39="pvp",MIN((Skills!Y11*(1+Inputs!$B$34/100)),15)/15,MIN(1,(Skills!Y11*(1+Inputs!$B$34/100))/(1/Q1866)))))/100)*(1+((C1871=TRUE)*F1871*IF(AND(Inputs!$B$39&lt;&gt;"pvp",Inputs!$B$44&gt;0),(((R1871-1)*MIN((Skills!Y16*(1+Inputs!$B$34/100)),(1/Q1871))+MIN((Skills!Y16*(1+Inputs!$B$34/100)),MAX(0,Inputs!$B$44-((R1871-1)*(1/Q1871)))))/Inputs!$B$44),IF(Inputs!$B$39="pvp",MIN((Skills!Y16*(1+Inputs!$B$34/100)),15)/15,MIN(1,(Skills!Y16*(1+Inputs!$B$34/100))/(1/Q1871)))))/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1891*I1861)</f>
        <v/>
      </c>
      <c r="L1861">
        <f>K1861*(MIN(Inputs!$B$22+((C1880=TRUE)*(F1880-Calc!F25)),(Inputs!$B$23+((C1885=TRUE)*(F1885-Calc!F30))+IF(ArtifactsInput!$M$15,CHOOSE(ArtifactsInput!$N$15+1,25,30,35,40,45,50)/100*(Inputs!$B$11-Inputs!$B$11),0)))/100+(Inputs!$B$23+((C1885=TRUE)*(F1885-Calc!F30))+IF(ArtifactsInput!$M$15,CHOOSE(ArtifactsInput!$N$15+1,25,30,35,40,45,50)/100*(Inputs!$B$11-Inputs!$B$11),0))/100)/2</f>
        <v/>
      </c>
      <c r="M1861">
        <f>L1861*(1+(Inputs!$B$10+((C1882=TRUE)*(F1882-Calc!F27))+B1896+(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1861">
        <f>L1861*(1-MIN((Inputs!$B$9+((C1881=TRUE)*(F1881-Calc!F26))+B1889+(ArtifactsInput!$M$24-ArtifactsInput!$M$24)*CHOOSE(ArtifactsInput!$N$24+1,10,12,14,16,18,20)+(IF(AND(Inputs!$B$39&lt;&gt;"pvp",Inputs!$B$44=0),1,IF(IF(Inputs!$B$39="pvp",15,Inputs!$B$44)-(B1900)&lt;=0,1,MAX(0,IF(Inputs!$B$39="pvp",15,Inputs!$B$44)-MAX(5,B1900))/(IF(Inputs!$B$39="pvp",15,Inputs!$B$44)-(B1900))))*IF(AND(ArtifactsInput!$M$42,((Inputs!$B$9+((C1881=TRUE)*(F1881-Calc!F26))+B1889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1861*(MIN((Inputs!$B$9+((C1881=TRUE)*(F1881-Calc!F26))+B1889+(ArtifactsInput!$M$24-ArtifactsInput!$M$24)*CHOOSE(ArtifactsInput!$N$24+1,10,12,14,16,18,20)+(IF(AND(Inputs!$B$39&lt;&gt;"pvp",Inputs!$B$44=0),1,IF(IF(Inputs!$B$39="pvp",15,Inputs!$B$44)-(B1900)&lt;=0,1,MAX(0,IF(Inputs!$B$39="pvp",15,Inputs!$B$44)-MAX(5,B1900))/(IF(Inputs!$B$39="pvp",15,Inputs!$B$44)-(B1900))))*IF(AND(ArtifactsInput!$M$42,((Inputs!$B$9+((C1881=TRUE)*(F1881-Calc!F26))+B1889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861">
        <f>(1-Summary!$B$11)*T1861+Summary!$B$11*V1861</f>
        <v/>
      </c>
      <c r="P1861">
        <f>IF(B1901=0,0,O1861/B1901)</f>
        <v/>
      </c>
      <c r="Q1861">
        <f>IFERROR(1/IF(Inputs!$B$39="pvp",15,MAX(0.1,Skills!D6-IF(TRUE=TRUE,Inputs!$B$32,0))),0)</f>
        <v/>
      </c>
      <c r="R1861">
        <f>IF(AND(Inputs!$B$39&lt;&gt;"pvp",Inputs!$B$44&gt;0),IF(MAX(0,Inputs!$B$44-B1900)&lt;=0,0,(INT(MAX(0,Inputs!$B$44-B1900)/IF(Inputs!$B$39="pvp",15,MAX(0.1,Skills!D6-IF(TRUE=TRUE,Inputs!$B$32,0))))+1)),0)</f>
        <v/>
      </c>
      <c r="S1861">
        <f>IFERROR(O1861/N1861,0)</f>
        <v/>
      </c>
      <c r="T1861">
        <f>IF(C1861,(H1861*N1861*IF(AND(Inputs!$B$39&lt;&gt;"pvp",Inputs!$B$44&gt;0),((Skills!G6*((R1861-1)*IF(Skills!H6&gt;0,Skills!I6/Skills!H6,1)+IF(Skills!H6&gt;0,MIN(Skills!I6,MAX(0,MAX(0,Inputs!$B$44-B1900)-((R1861-1)*IF(Inputs!$B$39="pvp",15,MAX(0.1,Skills!D6-IF(TRUE=TRUE,Inputs!$B$32,0))))))/Skills!H6,1)))/Inputs!$B$44),G1861*Q1861))*IF(Inputs!$B$39="pvp",1,1+(Inputs!$B$20+0+Skills!P6+B1890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Hunt"),CHOOSE(ArtifactsInput!$N$35+1,15,18,21,24,27,30)*(1-EXP(-(0.2*B1893)*5)),0)+IF(AND(ArtifactsInput!$M$22,Inputs!$B$4&lt;&gt;"Chapter Hunt"),CHOOSE(ArtifactsInput!$N$22+1,10,12,14,16,18,20)*((0*(((0.15*B1893*5))^0/1)+1*(((0.15*B1893*5))^1/1)+2*(((0.15*B1893*5))^2/2)+3*(((0.15*B1893*5))^3/6)+4*(((0.15*B1893*5))^4/24)+5*(((0.15*B1893*5))^5/120))/((((0.15*B1893*5))^0/1)+(((0.15*B1893*5))^1/1)+(((0.15*B1893*5))^2/2)+(((0.15*B1893*5))^3/6)+(((0.15*B1893*5))^4/24)+(((0.15*B1893*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1861*(1-MIN(100,(Inputs!$B$9+((C1881=TRUE)*(F1881-Calc!F26))+B1889+(ArtifactsInput!$M$24-ArtifactsInput!$M$24)*CHOOSE(ArtifactsInput!$N$24+1,10,12,14,16,18,20)+(IF(AND(Inputs!$B$39&lt;&gt;"pvp",Inputs!$B$44=0),1,IF(IF(Inputs!$B$39="pvp",15,Inputs!$B$44)-(B1900)&lt;=0,1,MAX(0,IF(Inputs!$B$39="pvp",15,Inputs!$B$44)-MAX(5,B1900))/(IF(Inputs!$B$39="pvp",15,Inputs!$B$44)-(B1900))))*IF(AND(ArtifactsInput!$M$42,((Inputs!$B$9+((C1881=TRUE)*(F1881-Calc!F26))+B1889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1861*(MIN(100,(Inputs!$B$9+((C1881=TRUE)*(F1881-Calc!F26))+B1889+(ArtifactsInput!$M$24-ArtifactsInput!$M$24)*CHOOSE(ArtifactsInput!$N$24+1,10,12,14,16,18,20)+(IF(AND(Inputs!$B$39&lt;&gt;"pvp",Inputs!$B$44=0),1,IF(IF(Inputs!$B$39="pvp",15,Inputs!$B$44)-(B1900)&lt;=0,1,MAX(0,IF(Inputs!$B$39="pvp",15,Inputs!$B$44)-MAX(5,B1900))/(IF(Inputs!$B$39="pvp",15,Inputs!$B$44)-(B1900))))*IF(AND(ArtifactsInput!$M$42,((Inputs!$B$9+((C1881=TRUE)*(F1881-Calc!F26))+B1889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1861*(1-MIN(100,(Inputs!$B$9+((C1881=TRUE)*(F1881-Calc!F26))+B1889+(ArtifactsInput!$M$24-ArtifactsInput!$M$24)*CHOOSE(ArtifactsInput!$N$24+1,10,12,14,16,18,20)+(IF(AND(Inputs!$B$39&lt;&gt;"pvp",Inputs!$B$44=0),1,IF(IF(Inputs!$B$39="pvp",15,Inputs!$B$44)-(B1900)&lt;=0,1,MAX(0,IF(Inputs!$B$39="pvp",15,Inputs!$B$44)-MAX(5,B1900))/(IF(Inputs!$B$39="pvp",15,Inputs!$B$44)-(B1900))))*IF(AND(ArtifactsInput!$M$42,((Inputs!$B$9+((C1881=TRUE)*(F1881-Calc!F26))+B1889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1861*(MIN(100,(Inputs!$B$9+((C1881=TRUE)*(F1881-Calc!F26))+B1889+(ArtifactsInput!$M$24-ArtifactsInput!$M$24)*CHOOSE(ArtifactsInput!$N$24+1,10,12,14,16,18,20)+(IF(AND(Inputs!$B$39&lt;&gt;"pvp",Inputs!$B$44=0),1,IF(IF(Inputs!$B$39="pvp",15,Inputs!$B$44)-(B1900)&lt;=0,1,MAX(0,IF(Inputs!$B$39="pvp",15,Inputs!$B$44)-MAX(5,B1900))/(IF(Inputs!$B$39="pvp",15,Inputs!$B$44)-(B1900))))*IF(AND(ArtifactsInput!$M$42,((Inputs!$B$9+((C1881=TRUE)*(F1881-Calc!F26))+B1889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1861">
        <f>IF(C1861,(H1861*N1861*IF(AND(Inputs!$B$39&lt;&gt;"pvp",Inputs!$B$44&gt;0),((Skills!G6*((R1861-1)*IF(Skills!H6&gt;0,Skills!I6/Skills!H6,1)+IF(Skills!H6&gt;0,MIN(Skills!I6,MAX(0,MAX(0,Inputs!$B$44-B1900)-((R1861-1)*IF(Inputs!$B$39="pvp",15,MAX(0.1,Skills!D6-IF(TRUE=TRUE,Inputs!$B$32,0))))))/Skills!H6,1)))/Inputs!$B$44),G1861*Q1861))*IF(Inputs!$B$39="pvp",1,(1+(Inputs!$B$21+Skills!Q6+B1890+(IF(ArtifactsInput!$M$33,CHOOSE(ArtifactsInput!$N$33+1,30,36,42,48,54,60),0))+(IF(AND(ArtifactsInput!$M$35,Inputs!$B$4&lt;&gt;"Chapter Hunt"),CHOOSE(ArtifactsInput!$N$35+1,15,18,21,24,27,30)*(1-EXP(-(0.2*B1893)*5)),0)+IF(AND(ArtifactsInput!$M$22,Inputs!$B$4&lt;&gt;"Chapter Hunt"),CHOOSE(ArtifactsInput!$N$22+1,10,12,14,16,18,20)*((0*(((0.15*B1893*5))^0/1)+1*(((0.15*B1893*5))^1/1)+2*(((0.15*B1893*5))^2/2)+3*(((0.15*B1893*5))^3/6)+4*(((0.15*B1893*5))^4/24)+5*(((0.15*B1893*5))^5/120))/((((0.15*B1893*5))^0/1)+(((0.15*B1893*5))^1/1)+(((0.15*B1893*5))^2/2)+(((0.15*B1893*5))^3/6)+(((0.15*B1893*5))^4/24)+(((0.15*B1893*5))^5/120))),0)))/100)*(MIN(Skills!W6,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862">
      <c r="A1862">
        <f>Skills!A7</f>
        <v/>
      </c>
      <c r="B1862">
        <f>Skills!B7</f>
        <v/>
      </c>
      <c r="C1862">
        <f>Inputs!$B$3&gt;=69</f>
        <v/>
      </c>
      <c r="D1862">
        <f>IF(Skills!C7=1,60+Inputs!$B$25+Inputs!$B$29,IF(Skills!C7=2,90+Inputs!$B$26+Inputs!$B$29,IF(Skills!C7=3,120+Inputs!$B$27+Inputs!$B$29,MAX(0,(Inputs!$B$3-100)*3)+Inputs!$B$28+Inputs!$B$29)))</f>
        <v/>
      </c>
      <c r="E1862">
        <f>INDEX(FactorTable!$B$2:$Y$301, MATCH(ROUND(MIN(300,MAX(1,D1862)),0), FactorTable!$A$2:$A$301,0), Skills!M7+1)</f>
        <v/>
      </c>
      <c r="F1862">
        <f>IF(Skills!N7=TRUE,(Skills!L7/10)*(E1862/1000),Skills!L7/10)+Skills!O7</f>
        <v/>
      </c>
      <c r="G1862">
        <f>Skills!G7*IF(Skills!H7&gt;0,IF(Inputs!$B$39="pvp",MIN(Skills!I7,15),Skills!I7)/Skills!H7,1)</f>
        <v/>
      </c>
      <c r="H1862">
        <f>1-(1-Skills!J7/100)^Skills!K7</f>
        <v/>
      </c>
      <c r="I1862" t="inlineStr">
        <is>
          <t>1</t>
        </is>
      </c>
      <c r="J1862">
        <f>((Inputs!$B$6*(1+Inputs!$B$7/100))+(((Inputs!$B$12*(1+Inputs!$B$13/100))-(Inputs!$B$12*(1+Inputs!$B$13/100)))+0.25*(Inputs!$B$14-Inputs!$B$14))*(1+Inputs!$B$7/100))*(F1862/100)</f>
        <v/>
      </c>
      <c r="K1862">
        <f>J1862*(1+((Inputs!$B$12*(1+Inputs!$B$13/100))*0.01+Inputs!$B$14*0.0025)/100)*(1+Inputs!$B$15/100)*(1+Inputs!$B$16/100)*(5000/(6000+Inputs!$B$43*(1-(100*(1-(1-Inputs!$B$19/100)*(1-CHOOSE(ArtifactsInput!$N$40+1,5,6,7,8,9,10)/100)^(ArtifactsInput!$M$40-ArtifactsInput!$M$40)))/100)))*(1+(Inputs!$B$24+((C1886=TRUE)*(F1886-Calc!F31))+((C1873=TRUE)*(F1873-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Boss",2,1),0)/100)-1)*100+(IF(ArtifactsInput!$M$14,FALSE,TRUE)-ArtifactsInput!$M$14)*IF(OR(Inputs!$B$4="Weapon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1874=TRUE,F1874,0)/100)*(1+(IF(Skills!A7="CRUEL_STAB",Inputs!$B$17+((C1883=TRUE)*(F1883-Calc!F28))+((IF(AND(Inputs!$B$39&lt;&gt;"pvp",Inputs!$B$44=0),1,IF(IF(Inputs!$B$39="pvp",15,Inputs!$B$44)-(B1900)&lt;=0,1,MAX(0,IF(Inputs!$B$39="pvp",15,Inputs!$B$44)-MAX(5,B1900))/(IF(Inputs!$B$39="pvp",15,Inputs!$B$44)-(B1900))))*(IF(AND(ArtifactsInput!$M$42,((Inputs!$B$9+((C1881=TRUE)*(F1881-Calc!F26))+B1889+(ArtifactsInput!$M$24-ArtifactsInput!$M$24)*CHOOSE(ArtifactsInput!$N$24+1,10,12,14,16,18,20)+IF(ArtifactsInput!$M$10,CHOOSE(ArtifactsInput!$N$10+1,15,18,21,24,27,30)*(IF(Inputs!$B$39="pvp",MIN(15,15)/15,IF(AND(Inputs!$B$39&lt;&gt;"pvp",Inputs!$B$44&gt;0),MIN(15,Inputs!$B$44)/(Inputs!$B$44),0))),0)))&gt;=100),MIN(100,((Inputs!$B$9+((C1881=TRUE)*(F1881-Calc!F26))+B1889+(ArtifactsInput!$M$24-ArtifactsInput!$M$24)*CHOOSE(ArtifactsInput!$N$24+1,10,12,14,16,18,20)+IF(ArtifactsInput!$M$10,CHOOSE(ArtifactsInput!$N$10+1,15,18,21,24,27,30)*(IF(Inputs!$B$39="pvp",MIN(15,15)/15,IF(AND(Inputs!$B$39&lt;&gt;"pvp",Inputs!$B$44&gt;0),MIN(15,Inputs!$B$44)/(Inputs!$B$44),0))),0)))-100),0))*CHOOSE(ArtifactsInput!$N$42+1,0.6,0.72,0.84,0.96,1.08,1.2))),Inputs!$B$18+((C1884=TRUE)*(F1884-Calc!F29))+(IF(AND(Inputs!$B$39&lt;&gt;"pvp",Inputs!$B$44=0),1,IF(IF(Inputs!$B$39="pvp",15,Inputs!$B$44)-(B1900)&lt;=0,1,MAX(0,IF(Inputs!$B$39="pvp",15,Inputs!$B$44)-MAX(5,B1900))/(IF(Inputs!$B$39="pvp",15,Inputs!$B$44)-(B1900))))*IF(AND(ArtifactsInput!$M$42,((Inputs!$B$9+((C1881=TRUE)*(F1881-Calc!F26))+B1889+(ArtifactsInput!$M$24-ArtifactsInput!$M$24)*CHOOSE(ArtifactsInput!$N$24+1,10,12,14,16,18,20)+IF(ArtifactsInput!$M$10,CHOOSE(ArtifactsInput!$N$10+1,15,18,21,24,27,30)*(IF(Inputs!$B$39="pvp",MIN(15,15)/15,IF(AND(Inputs!$B$39&lt;&gt;"pvp",Inputs!$B$44&gt;0),MIN(15,Inputs!$B$44)/(Inputs!$B$44),0))),0)))&gt;=100),CHOOSE(ArtifactsInput!$N$42+1,40,48,56,64,72,80),0))))/100)*(((1+(((C1877=TRUE)*F1877*IF(AND(Inputs!$B$39&lt;&gt;"pvp",Inputs!$B$44&gt;0),(((R1877-1)*MIN((Skills!Y22*(1+Inputs!$B$34/100)),(1/Q1877))+MIN((Skills!Y22*(1+Inputs!$B$34/100)),MAX(0,Inputs!$B$44-((R1877-1)*(1/Q1877)))))/Inputs!$B$44),IF(Inputs!$B$39="pvp",MIN((Skills!Y22*(1+Inputs!$B$34/100)),15)/15,MIN(1,(Skills!Y22*(1+Inputs!$B$34/100))/(1/Q1877)))))+((C1858=TRUE)*F1858*3)+((C1860=TRUE)*F1860*(1-EXP(-0.75*B1893*5)))+((C1879=TRUE)*(F1879-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1866=TRUE)*F1866*IF(AND(Inputs!$B$39&lt;&gt;"pvp",Inputs!$B$44&gt;0),(((R1866-1)*MIN((Skills!Y11*(1+Inputs!$B$34/100)),(1/Q1866))+MIN((Skills!Y11*(1+Inputs!$B$34/100)),MAX(0,Inputs!$B$44-((R1866-1)*(1/Q1866)))))/Inputs!$B$44),IF(Inputs!$B$39="pvp",MIN((Skills!Y11*(1+Inputs!$B$34/100)),15)/15,MIN(1,(Skills!Y11*(1+Inputs!$B$34/100))/(1/Q1866)))))/100)*(1+((C1871=TRUE)*F1871*IF(AND(Inputs!$B$39&lt;&gt;"pvp",Inputs!$B$44&gt;0),(((R1871-1)*MIN((Skills!Y16*(1+Inputs!$B$34/100)),(1/Q1871))+MIN((Skills!Y16*(1+Inputs!$B$34/100)),MAX(0,Inputs!$B$44-((R1871-1)*(1/Q1871)))))/Inputs!$B$44),IF(Inputs!$B$39="pvp",MIN((Skills!Y16*(1+Inputs!$B$34/100)),15)/15,MIN(1,(Skills!Y16*(1+Inputs!$B$34/100))/(1/Q1871)))))/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1891*I1862)</f>
        <v/>
      </c>
      <c r="L1862">
        <f>K1862*(MIN(Inputs!$B$22+((C1880=TRUE)*(F1880-Calc!F25)),(Inputs!$B$23+((C1885=TRUE)*(F1885-Calc!F30))+IF(ArtifactsInput!$M$15,CHOOSE(ArtifactsInput!$N$15+1,25,30,35,40,45,50)/100*(Inputs!$B$11-Inputs!$B$11),0)))/100+(Inputs!$B$23+((C1885=TRUE)*(F1885-Calc!F30))+IF(ArtifactsInput!$M$15,CHOOSE(ArtifactsInput!$N$15+1,25,30,35,40,45,50)/100*(Inputs!$B$11-Inputs!$B$11),0))/100)/2</f>
        <v/>
      </c>
      <c r="M1862">
        <f>L1862*(1+(Inputs!$B$10+((C1882=TRUE)*(F1882-Calc!F27))+B1896+(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1862">
        <f>L1862*(1-MIN((Inputs!$B$9+((C1881=TRUE)*(F1881-Calc!F26))+B1889+(ArtifactsInput!$M$24-ArtifactsInput!$M$24)*CHOOSE(ArtifactsInput!$N$24+1,10,12,14,16,18,20)+(IF(AND(Inputs!$B$39&lt;&gt;"pvp",Inputs!$B$44=0),1,IF(IF(Inputs!$B$39="pvp",15,Inputs!$B$44)-(B1900)&lt;=0,1,MAX(0,IF(Inputs!$B$39="pvp",15,Inputs!$B$44)-MAX(5,B1900))/(IF(Inputs!$B$39="pvp",15,Inputs!$B$44)-(B1900))))*IF(AND(ArtifactsInput!$M$42,((Inputs!$B$9+((C1881=TRUE)*(F1881-Calc!F26))+B1889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1862*(MIN((Inputs!$B$9+((C1881=TRUE)*(F1881-Calc!F26))+B1889+(ArtifactsInput!$M$24-ArtifactsInput!$M$24)*CHOOSE(ArtifactsInput!$N$24+1,10,12,14,16,18,20)+(IF(AND(Inputs!$B$39&lt;&gt;"pvp",Inputs!$B$44=0),1,IF(IF(Inputs!$B$39="pvp",15,Inputs!$B$44)-(B1900)&lt;=0,1,MAX(0,IF(Inputs!$B$39="pvp",15,Inputs!$B$44)-MAX(5,B1900))/(IF(Inputs!$B$39="pvp",15,Inputs!$B$44)-(B1900))))*IF(AND(ArtifactsInput!$M$42,((Inputs!$B$9+((C1881=TRUE)*(F1881-Calc!F26))+B1889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862">
        <f>(1-Summary!$B$11)*T1862+Summary!$B$11*V1862</f>
        <v/>
      </c>
      <c r="P1862">
        <f>IF(B1901=0,0,O1862/B1901)</f>
        <v/>
      </c>
      <c r="Q1862">
        <f>IFERROR(1/IF(Inputs!$B$39="pvp",15,MAX(0.1,Skills!D7-IF(TRUE=TRUE,Inputs!$B$32,0))),0)</f>
        <v/>
      </c>
      <c r="R1862">
        <f>IF(AND(Inputs!$B$39&lt;&gt;"pvp",Inputs!$B$44&gt;0),IF(MAX(0,Inputs!$B$44-B1900)&lt;=0,0,(INT(MAX(0,Inputs!$B$44-B1900)/IF(Inputs!$B$39="pvp",15,MAX(0.1,Skills!D7-IF(TRUE=TRUE,Inputs!$B$32,0))))+1)),0)</f>
        <v/>
      </c>
      <c r="S1862">
        <f>IFERROR(O1862/N1862,0)</f>
        <v/>
      </c>
      <c r="T1862">
        <f>IF(C1862,(H1862*N1862*IF(AND(Inputs!$B$39&lt;&gt;"pvp",Inputs!$B$44&gt;0),((Skills!G7*((R1862-1)*IF(Skills!H7&gt;0,Skills!I7/Skills!H7,1)+IF(Skills!H7&gt;0,MIN(Skills!I7,MAX(0,MAX(0,Inputs!$B$44-B1900)-((R1862-1)*IF(Inputs!$B$39="pvp",15,MAX(0.1,Skills!D7-IF(TRUE=TRUE,Inputs!$B$32,0))))))/Skills!H7,1)))/Inputs!$B$44),G1862*Q1862))*IF(Inputs!$B$39="pvp",1,1+(Inputs!$B$20+0+Skills!P7+B1890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Hunt"),CHOOSE(ArtifactsInput!$N$35+1,15,18,21,24,27,30)*(1-EXP(-(0.2*B1893)*5)),0)+IF(AND(ArtifactsInput!$M$22,Inputs!$B$4&lt;&gt;"Chapter Hunt"),CHOOSE(ArtifactsInput!$N$22+1,10,12,14,16,18,20)*((0*(((0.15*B1893*5))^0/1)+1*(((0.15*B1893*5))^1/1)+2*(((0.15*B1893*5))^2/2)+3*(((0.15*B1893*5))^3/6)+4*(((0.15*B1893*5))^4/24)+5*(((0.15*B1893*5))^5/120))/((((0.15*B1893*5))^0/1)+(((0.15*B1893*5))^1/1)+(((0.15*B1893*5))^2/2)+(((0.15*B1893*5))^3/6)+(((0.15*B1893*5))^4/24)+(((0.15*B1893*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1862*(1-MIN(100,(Inputs!$B$9+((C1881=TRUE)*(F1881-Calc!F26))+B1889+(ArtifactsInput!$M$24-ArtifactsInput!$M$24)*CHOOSE(ArtifactsInput!$N$24+1,10,12,14,16,18,20)+(IF(AND(Inputs!$B$39&lt;&gt;"pvp",Inputs!$B$44=0),1,IF(IF(Inputs!$B$39="pvp",15,Inputs!$B$44)-(B1900)&lt;=0,1,MAX(0,IF(Inputs!$B$39="pvp",15,Inputs!$B$44)-MAX(5,B1900))/(IF(Inputs!$B$39="pvp",15,Inputs!$B$44)-(B1900))))*IF(AND(ArtifactsInput!$M$42,((Inputs!$B$9+((C1881=TRUE)*(F1881-Calc!F26))+B1889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1862*(MIN(100,(Inputs!$B$9+((C1881=TRUE)*(F1881-Calc!F26))+B1889+(ArtifactsInput!$M$24-ArtifactsInput!$M$24)*CHOOSE(ArtifactsInput!$N$24+1,10,12,14,16,18,20)+(IF(AND(Inputs!$B$39&lt;&gt;"pvp",Inputs!$B$44=0),1,IF(IF(Inputs!$B$39="pvp",15,Inputs!$B$44)-(B1900)&lt;=0,1,MAX(0,IF(Inputs!$B$39="pvp",15,Inputs!$B$44)-MAX(5,B1900))/(IF(Inputs!$B$39="pvp",15,Inputs!$B$44)-(B1900))))*IF(AND(ArtifactsInput!$M$42,((Inputs!$B$9+((C1881=TRUE)*(F1881-Calc!F26))+B1889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1862*(1-MIN(100,(Inputs!$B$9+((C1881=TRUE)*(F1881-Calc!F26))+B1889+(ArtifactsInput!$M$24-ArtifactsInput!$M$24)*CHOOSE(ArtifactsInput!$N$24+1,10,12,14,16,18,20)+(IF(AND(Inputs!$B$39&lt;&gt;"pvp",Inputs!$B$44=0),1,IF(IF(Inputs!$B$39="pvp",15,Inputs!$B$44)-(B1900)&lt;=0,1,MAX(0,IF(Inputs!$B$39="pvp",15,Inputs!$B$44)-MAX(5,B1900))/(IF(Inputs!$B$39="pvp",15,Inputs!$B$44)-(B1900))))*IF(AND(ArtifactsInput!$M$42,((Inputs!$B$9+((C1881=TRUE)*(F1881-Calc!F26))+B1889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1862*(MIN(100,(Inputs!$B$9+((C1881=TRUE)*(F1881-Calc!F26))+B1889+(ArtifactsInput!$M$24-ArtifactsInput!$M$24)*CHOOSE(ArtifactsInput!$N$24+1,10,12,14,16,18,20)+(IF(AND(Inputs!$B$39&lt;&gt;"pvp",Inputs!$B$44=0),1,IF(IF(Inputs!$B$39="pvp",15,Inputs!$B$44)-(B1900)&lt;=0,1,MAX(0,IF(Inputs!$B$39="pvp",15,Inputs!$B$44)-MAX(5,B1900))/(IF(Inputs!$B$39="pvp",15,Inputs!$B$44)-(B1900))))*IF(AND(ArtifactsInput!$M$42,((Inputs!$B$9+((C1881=TRUE)*(F1881-Calc!F26))+B1889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1862">
        <f>IF(C1862,(H1862*N1862*IF(AND(Inputs!$B$39&lt;&gt;"pvp",Inputs!$B$44&gt;0),((Skills!G7*((R1862-1)*IF(Skills!H7&gt;0,Skills!I7/Skills!H7,1)+IF(Skills!H7&gt;0,MIN(Skills!I7,MAX(0,MAX(0,Inputs!$B$44-B1900)-((R1862-1)*IF(Inputs!$B$39="pvp",15,MAX(0.1,Skills!D7-IF(TRUE=TRUE,Inputs!$B$32,0))))))/Skills!H7,1)))/Inputs!$B$44),G1862*Q1862))*IF(Inputs!$B$39="pvp",1,(1+(Inputs!$B$21+Skills!Q7+B1890+(IF(ArtifactsInput!$M$33,CHOOSE(ArtifactsInput!$N$33+1,30,36,42,48,54,60),0))+(IF(AND(ArtifactsInput!$M$35,Inputs!$B$4&lt;&gt;"Chapter Hunt"),CHOOSE(ArtifactsInput!$N$35+1,15,18,21,24,27,30)*(1-EXP(-(0.2*B1893)*5)),0)+IF(AND(ArtifactsInput!$M$22,Inputs!$B$4&lt;&gt;"Chapter Hunt"),CHOOSE(ArtifactsInput!$N$22+1,10,12,14,16,18,20)*((0*(((0.15*B1893*5))^0/1)+1*(((0.15*B1893*5))^1/1)+2*(((0.15*B1893*5))^2/2)+3*(((0.15*B1893*5))^3/6)+4*(((0.15*B1893*5))^4/24)+5*(((0.15*B1893*5))^5/120))/((((0.15*B1893*5))^0/1)+(((0.15*B1893*5))^1/1)+(((0.15*B1893*5))^2/2)+(((0.15*B1893*5))^3/6)+(((0.15*B1893*5))^4/24)+(((0.15*B1893*5))^5/120))),0)))/100)*(MIN(Skills!W7,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863">
      <c r="A1863">
        <f>Skills!A8</f>
        <v/>
      </c>
      <c r="B1863">
        <f>Skills!B8</f>
        <v/>
      </c>
      <c r="C1863">
        <f>Inputs!$B$3&gt;=60</f>
        <v/>
      </c>
      <c r="D1863">
        <f>IF(Skills!C8=1,60+Inputs!$B$25+Inputs!$B$29,IF(Skills!C8=2,90+Inputs!$B$26+Inputs!$B$29,IF(Skills!C8=3,120+Inputs!$B$27+Inputs!$B$29,MAX(0,(Inputs!$B$3-100)*3)+Inputs!$B$28+Inputs!$B$29)))</f>
        <v/>
      </c>
      <c r="E1863">
        <f>INDEX(FactorTable!$B$2:$Y$301, MATCH(ROUND(MIN(300,MAX(1,D1863)),0), FactorTable!$A$2:$A$301,0), Skills!M8+1)</f>
        <v/>
      </c>
      <c r="F1863">
        <f>IF(Skills!N8=TRUE,(Skills!L8/10)*(E1863/1000),Skills!L8/10)+Skills!O8</f>
        <v/>
      </c>
      <c r="G1863">
        <f>Skills!G8*IF(Skills!H8&gt;0,IF(Inputs!$B$39="pvp",MIN(Skills!I8,15),Skills!I8)/Skills!H8,1)</f>
        <v/>
      </c>
      <c r="H1863">
        <f>1-(1-Skills!J8/100)^Skills!K8</f>
        <v/>
      </c>
      <c r="I1863" t="inlineStr">
        <is>
          <t>1</t>
        </is>
      </c>
      <c r="J1863" t="inlineStr"/>
      <c r="K1863" t="inlineStr"/>
      <c r="L1863" t="inlineStr"/>
      <c r="M1863" t="inlineStr"/>
      <c r="N1863" t="inlineStr"/>
      <c r="O1863">
        <f>(1-Summary!$B$11)*T1863+Summary!$B$11*V1863</f>
        <v/>
      </c>
      <c r="P1863">
        <f>IF(B1901=0,0,O1863/B1901)</f>
        <v/>
      </c>
      <c r="Q1863" t="n">
        <v>0</v>
      </c>
      <c r="R1863" t="n">
        <v>0</v>
      </c>
      <c r="S1863">
        <f>IFERROR(O1863/N1863,0)</f>
        <v/>
      </c>
      <c r="T1863" t="n">
        <v>0</v>
      </c>
      <c r="V1863" t="n">
        <v>0</v>
      </c>
    </row>
    <row r="1864">
      <c r="A1864">
        <f>Skills!A9</f>
        <v/>
      </c>
      <c r="B1864">
        <f>Skills!B9</f>
        <v/>
      </c>
      <c r="C1864">
        <f>Inputs!$B$3&gt;=72</f>
        <v/>
      </c>
      <c r="D1864">
        <f>IF(Skills!C9=1,60+Inputs!$B$25+Inputs!$B$29,IF(Skills!C9=2,90+Inputs!$B$26+Inputs!$B$29,IF(Skills!C9=3,120+Inputs!$B$27+Inputs!$B$29,MAX(0,(Inputs!$B$3-100)*3)+Inputs!$B$28+Inputs!$B$29)))</f>
        <v/>
      </c>
      <c r="E1864">
        <f>INDEX(FactorTable!$B$2:$Y$301, MATCH(ROUND(MIN(300,MAX(1,D1864)),0), FactorTable!$A$2:$A$301,0), Skills!M9+1)</f>
        <v/>
      </c>
      <c r="F1864">
        <f>IF(Skills!N9=TRUE,(Skills!L9/10)*(E1864/1000),Skills!L9/10)+Skills!O9</f>
        <v/>
      </c>
      <c r="G1864">
        <f>Skills!G9*IF(Skills!H9&gt;0,IF(Inputs!$B$39="pvp",MIN(Skills!I9,15),Skills!I9)/Skills!H9,1)</f>
        <v/>
      </c>
      <c r="H1864">
        <f>1-(1-Skills!J9/100)^Skills!K9</f>
        <v/>
      </c>
      <c r="I1864" t="inlineStr">
        <is>
          <t>1</t>
        </is>
      </c>
      <c r="J1864">
        <f>((Inputs!$B$6*(1+Inputs!$B$7/100))+(((Inputs!$B$12*(1+Inputs!$B$13/100))-(Inputs!$B$12*(1+Inputs!$B$13/100)))+0.25*(Inputs!$B$14-Inputs!$B$14))*(1+Inputs!$B$7/100))*(F1864/100)</f>
        <v/>
      </c>
      <c r="K1864">
        <f>J1864*(1+((Inputs!$B$12*(1+Inputs!$B$13/100))*0.01+Inputs!$B$14*0.0025)/100)*(1+Inputs!$B$15/100)*(1+Inputs!$B$16/100)*(5000/(6000+Inputs!$B$43*(1-(100*(1-(1-Inputs!$B$19/100)*(1-CHOOSE(ArtifactsInput!$N$40+1,5,6,7,8,9,10)/100)^(ArtifactsInput!$M$40-ArtifactsInput!$M$40)))/100)))*(1+(Inputs!$B$24+((C1886=TRUE)*(F1886-Calc!F31))+((C1873=TRUE)*(F1873-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Boss",2,1),0)/100)-1)*100+(IF(ArtifactsInput!$M$14,FALSE,TRUE)-ArtifactsInput!$M$14)*IF(OR(Inputs!$B$4="Weapon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+3.3333333333333335*IF(C1874=TRUE,F1874,0)/100)*(1+(IF(Skills!A9="CRUEL_STAB",Inputs!$B$17+((C1883=TRUE)*(F1883-Calc!F28))+((IF(AND(Inputs!$B$39&lt;&gt;"pvp",Inputs!$B$44=0),1,IF(IF(Inputs!$B$39="pvp",15,Inputs!$B$44)-(B1900)&lt;=0,1,MAX(0,IF(Inputs!$B$39="pvp",15,Inputs!$B$44)-MAX(5,B1900))/(IF(Inputs!$B$39="pvp",15,Inputs!$B$44)-(B1900))))*(IF(AND(ArtifactsInput!$M$42,((Inputs!$B$9+((C1881=TRUE)*(F1881-Calc!F26))+B1889+(ArtifactsInput!$M$24-ArtifactsInput!$M$24)*CHOOSE(ArtifactsInput!$N$24+1,10,12,14,16,18,20)+IF(ArtifactsInput!$M$10,CHOOSE(ArtifactsInput!$N$10+1,15,18,21,24,27,30)*(IF(Inputs!$B$39="pvp",MIN(15,15)/15,IF(AND(Inputs!$B$39&lt;&gt;"pvp",Inputs!$B$44&gt;0),MIN(15,Inputs!$B$44)/(Inputs!$B$44),0))),0)))&gt;=100),MIN(100,((Inputs!$B$9+((C1881=TRUE)*(F1881-Calc!F26))+B1889+(ArtifactsInput!$M$24-ArtifactsInput!$M$24)*CHOOSE(ArtifactsInput!$N$24+1,10,12,14,16,18,20)+IF(ArtifactsInput!$M$10,CHOOSE(ArtifactsInput!$N$10+1,15,18,21,24,27,30)*(IF(Inputs!$B$39="pvp",MIN(15,15)/15,IF(AND(Inputs!$B$39&lt;&gt;"pvp",Inputs!$B$44&gt;0),MIN(15,Inputs!$B$44)/(Inputs!$B$44),0))),0)))-100),0))*CHOOSE(ArtifactsInput!$N$42+1,0.6,0.72,0.84,0.96,1.08,1.2))),Inputs!$B$18+((C1884=TRUE)*(F1884-Calc!F29))+(IF(AND(Inputs!$B$39&lt;&gt;"pvp",Inputs!$B$44=0),1,IF(IF(Inputs!$B$39="pvp",15,Inputs!$B$44)-(B1900)&lt;=0,1,MAX(0,IF(Inputs!$B$39="pvp",15,Inputs!$B$44)-MAX(5,B1900))/(IF(Inputs!$B$39="pvp",15,Inputs!$B$44)-(B1900))))*IF(AND(ArtifactsInput!$M$42,((Inputs!$B$9+((C1881=TRUE)*(F1881-Calc!F26))+B1889+(ArtifactsInput!$M$24-ArtifactsInput!$M$24)*CHOOSE(ArtifactsInput!$N$24+1,10,12,14,16,18,20)+IF(ArtifactsInput!$M$10,CHOOSE(ArtifactsInput!$N$10+1,15,18,21,24,27,30)*(IF(Inputs!$B$39="pvp",MIN(15,15)/15,IF(AND(Inputs!$B$39&lt;&gt;"pvp",Inputs!$B$44&gt;0),MIN(15,Inputs!$B$44)/(Inputs!$B$44),0))),0)))&gt;=100),CHOOSE(ArtifactsInput!$N$42+1,40,48,56,64,72,80),0))))/100)*(((1+(((C1877=TRUE)*F1877*IF(AND(Inputs!$B$39&lt;&gt;"pvp",Inputs!$B$44&gt;0),(((R1877-1)*MIN((Skills!Y22*(1+Inputs!$B$34/100)),(1/Q1877))+MIN((Skills!Y22*(1+Inputs!$B$34/100)),MAX(0,Inputs!$B$44-((R1877-1)*(1/Q1877)))))/Inputs!$B$44),IF(Inputs!$B$39="pvp",MIN((Skills!Y22*(1+Inputs!$B$34/100)),15)/15,MIN(1,(Skills!Y22*(1+Inputs!$B$34/100))/(1/Q1877)))))+((C1858=TRUE)*F1858*3)+((C1860=TRUE)*F1860*(1-EXP(-0.75*B1893*5)))+((C1879=TRUE)*(F1879-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1866=TRUE)*F1866*IF(AND(Inputs!$B$39&lt;&gt;"pvp",Inputs!$B$44&gt;0),(((R1866-1)*MIN((Skills!Y11*(1+Inputs!$B$34/100)),(1/Q1866))+MIN((Skills!Y11*(1+Inputs!$B$34/100)),MAX(0,Inputs!$B$44-((R1866-1)*(1/Q1866)))))/Inputs!$B$44),IF(Inputs!$B$39="pvp",MIN((Skills!Y11*(1+Inputs!$B$34/100)),15)/15,MIN(1,(Skills!Y11*(1+Inputs!$B$34/100))/(1/Q1866)))))/100)*(1+((C1871=TRUE)*F1871*IF(AND(Inputs!$B$39&lt;&gt;"pvp",Inputs!$B$44&gt;0),(((R1871-1)*MIN((Skills!Y16*(1+Inputs!$B$34/100)),(1/Q1871))+MIN((Skills!Y16*(1+Inputs!$B$34/100)),MAX(0,Inputs!$B$44-((R1871-1)*(1/Q1871)))))/Inputs!$B$44),IF(Inputs!$B$39="pvp",MIN((Skills!Y16*(1+Inputs!$B$34/100)),15)/15,MIN(1,(Skills!Y16*(1+Inputs!$B$34/100))/(1/Q1871)))))/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1891*I1864)</f>
        <v/>
      </c>
      <c r="L1864">
        <f>K1864*(MIN(Inputs!$B$22+((C1880=TRUE)*(F1880-Calc!F25)),(Inputs!$B$23+((C1885=TRUE)*(F1885-Calc!F30))+IF(ArtifactsInput!$M$15,CHOOSE(ArtifactsInput!$N$15+1,25,30,35,40,45,50)/100*(Inputs!$B$11-Inputs!$B$11),0)))/100+(Inputs!$B$23+((C1885=TRUE)*(F1885-Calc!F30))+IF(ArtifactsInput!$M$15,CHOOSE(ArtifactsInput!$N$15+1,25,30,35,40,45,50)/100*(Inputs!$B$11-Inputs!$B$11),0))/100)/2</f>
        <v/>
      </c>
      <c r="M1864">
        <f>L1864*(1+(Inputs!$B$10+((C1882=TRUE)*(F1882-Calc!F27))+B1896+(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1864">
        <f>L1864*(1-MIN((Inputs!$B$9+((C1881=TRUE)*(F1881-Calc!F26))+B1889+(ArtifactsInput!$M$24-ArtifactsInput!$M$24)*CHOOSE(ArtifactsInput!$N$24+1,10,12,14,16,18,20)+(IF(AND(Inputs!$B$39&lt;&gt;"pvp",Inputs!$B$44=0),1,IF(IF(Inputs!$B$39="pvp",15,Inputs!$B$44)-(B1900)&lt;=0,1,MAX(0,IF(Inputs!$B$39="pvp",15,Inputs!$B$44)-MAX(5,B1900))/(IF(Inputs!$B$39="pvp",15,Inputs!$B$44)-(B1900))))*IF(AND(ArtifactsInput!$M$42,((Inputs!$B$9+((C1881=TRUE)*(F1881-Calc!F26))+B1889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1864*(MIN((Inputs!$B$9+((C1881=TRUE)*(F1881-Calc!F26))+B1889+(ArtifactsInput!$M$24-ArtifactsInput!$M$24)*CHOOSE(ArtifactsInput!$N$24+1,10,12,14,16,18,20)+(IF(AND(Inputs!$B$39&lt;&gt;"pvp",Inputs!$B$44=0),1,IF(IF(Inputs!$B$39="pvp",15,Inputs!$B$44)-(B1900)&lt;=0,1,MAX(0,IF(Inputs!$B$39="pvp",15,Inputs!$B$44)-MAX(5,B1900))/(IF(Inputs!$B$39="pvp",15,Inputs!$B$44)-(B1900))))*IF(AND(ArtifactsInput!$M$42,((Inputs!$B$9+((C1881=TRUE)*(F1881-Calc!F26))+B1889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864">
        <f>(1-Summary!$B$11)*T1864+Summary!$B$11*V1864</f>
        <v/>
      </c>
      <c r="P1864">
        <f>IF(B1901=0,0,O1864/B1901)</f>
        <v/>
      </c>
      <c r="Q1864">
        <f>IFERROR(1/IF(Inputs!$B$39="pvp",15,MAX(0.1,Skills!D9-IF(FALSE=TRUE,Inputs!$B$32,0))),0)</f>
        <v/>
      </c>
      <c r="R1864">
        <f>IF(AND(Inputs!$B$39&lt;&gt;"pvp",Inputs!$B$44&gt;0),IF(MAX(0,Inputs!$B$44-B1900)&lt;=0,0,(INT(MAX(0,Inputs!$B$44-B1900)/IF(Inputs!$B$39="pvp",15,MAX(0.1,Skills!D9-IF(FALSE=TRUE,Inputs!$B$32,0))))+1)),0)</f>
        <v/>
      </c>
      <c r="S1864">
        <f>IFERROR(O1864/N1864,0)</f>
        <v/>
      </c>
      <c r="T1864">
        <f>IF(C1864,(H1864*N1864*IF(AND(Inputs!$B$39&lt;&gt;"pvp",Inputs!$B$44&gt;0),((Skills!G9*((R1864-1)*IF(Skills!H9&gt;0,Skills!I9/Skills!H9,1)+IF(Skills!H9&gt;0,MIN(Skills!I9,MAX(0,MAX(0,Inputs!$B$44-B1900)-((R1864-1)*IF(Inputs!$B$39="pvp",15,MAX(0.1,Skills!D9-IF(FALSE=TRUE,Inputs!$B$32,0))))))/Skills!H9,1)))/Inputs!$B$44),G1864*Q1864))*IF(Inputs!$B$39="pvp",1,1+(Inputs!$B$20+0+Skills!P9+B1890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Hunt"),CHOOSE(ArtifactsInput!$N$35+1,15,18,21,24,27,30)*(1-EXP(-(0.2*B1893)*5)),0)+IF(AND(ArtifactsInput!$M$22,Inputs!$B$4&lt;&gt;"Chapter Hunt"),CHOOSE(ArtifactsInput!$N$22+1,10,12,14,16,18,20)*((0*(((0.15*B1893*5))^0/1)+1*(((0.15*B1893*5))^1/1)+2*(((0.15*B1893*5))^2/2)+3*(((0.15*B1893*5))^3/6)+4*(((0.15*B1893*5))^4/24)+5*(((0.15*B1893*5))^5/120))/((((0.15*B1893*5))^0/1)+(((0.15*B1893*5))^1/1)+(((0.15*B1893*5))^2/2)+(((0.15*B1893*5))^3/6)+(((0.15*B1893*5))^4/24)+(((0.15*B1893*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1864*(1-MIN(100,(Inputs!$B$9+((C1881=TRUE)*(F1881-Calc!F26))+B1889+(ArtifactsInput!$M$24-ArtifactsInput!$M$24)*CHOOSE(ArtifactsInput!$N$24+1,10,12,14,16,18,20)+(IF(AND(Inputs!$B$39&lt;&gt;"pvp",Inputs!$B$44=0),1,IF(IF(Inputs!$B$39="pvp",15,Inputs!$B$44)-(B1900)&lt;=0,1,MAX(0,IF(Inputs!$B$39="pvp",15,Inputs!$B$44)-MAX(5,B1900))/(IF(Inputs!$B$39="pvp",15,Inputs!$B$44)-(B1900))))*IF(AND(ArtifactsInput!$M$42,((Inputs!$B$9+((C1881=TRUE)*(F1881-Calc!F26))+B1889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1864*(MIN(100,(Inputs!$B$9+((C1881=TRUE)*(F1881-Calc!F26))+B1889+(ArtifactsInput!$M$24-ArtifactsInput!$M$24)*CHOOSE(ArtifactsInput!$N$24+1,10,12,14,16,18,20)+(IF(AND(Inputs!$B$39&lt;&gt;"pvp",Inputs!$B$44=0),1,IF(IF(Inputs!$B$39="pvp",15,Inputs!$B$44)-(B1900)&lt;=0,1,MAX(0,IF(Inputs!$B$39="pvp",15,Inputs!$B$44)-MAX(5,B1900))/(IF(Inputs!$B$39="pvp",15,Inputs!$B$44)-(B1900))))*IF(AND(ArtifactsInput!$M$42,((Inputs!$B$9+((C1881=TRUE)*(F1881-Calc!F26))+B1889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1864*(1-MIN(100,(Inputs!$B$9+((C1881=TRUE)*(F1881-Calc!F26))+B1889+(ArtifactsInput!$M$24-ArtifactsInput!$M$24)*CHOOSE(ArtifactsInput!$N$24+1,10,12,14,16,18,20)+(IF(AND(Inputs!$B$39&lt;&gt;"pvp",Inputs!$B$44=0),1,IF(IF(Inputs!$B$39="pvp",15,Inputs!$B$44)-(B1900)&lt;=0,1,MAX(0,IF(Inputs!$B$39="pvp",15,Inputs!$B$44)-MAX(5,B1900))/(IF(Inputs!$B$39="pvp",15,Inputs!$B$44)-(B1900))))*IF(AND(ArtifactsInput!$M$42,((Inputs!$B$9+((C1881=TRUE)*(F1881-Calc!F26))+B1889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1864*(MIN(100,(Inputs!$B$9+((C1881=TRUE)*(F1881-Calc!F26))+B1889+(ArtifactsInput!$M$24-ArtifactsInput!$M$24)*CHOOSE(ArtifactsInput!$N$24+1,10,12,14,16,18,20)+(IF(AND(Inputs!$B$39&lt;&gt;"pvp",Inputs!$B$44=0),1,IF(IF(Inputs!$B$39="pvp",15,Inputs!$B$44)-(B1900)&lt;=0,1,MAX(0,IF(Inputs!$B$39="pvp",15,Inputs!$B$44)-MAX(5,B1900))/(IF(Inputs!$B$39="pvp",15,Inputs!$B$44)-(B1900))))*IF(AND(ArtifactsInput!$M$42,((Inputs!$B$9+((C1881=TRUE)*(F1881-Calc!F26))+B1889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1864">
        <f>IF(C1864,(H1864*N1864*IF(AND(Inputs!$B$39&lt;&gt;"pvp",Inputs!$B$44&gt;0),((Skills!G9*((R1864-1)*IF(Skills!H9&gt;0,Skills!I9/Skills!H9,1)+IF(Skills!H9&gt;0,MIN(Skills!I9,MAX(0,MAX(0,Inputs!$B$44-B1900)-((R1864-1)*IF(Inputs!$B$39="pvp",15,MAX(0.1,Skills!D9-IF(FALSE=TRUE,Inputs!$B$32,0))))))/Skills!H9,1)))/Inputs!$B$44),G1864*Q1864))*IF(Inputs!$B$39="pvp",1,(1+(Inputs!$B$21+Skills!Q9+B1890+(IF(ArtifactsInput!$M$33,CHOOSE(ArtifactsInput!$N$33+1,30,36,42,48,54,60),0))+(IF(AND(ArtifactsInput!$M$35,Inputs!$B$4&lt;&gt;"Chapter Hunt"),CHOOSE(ArtifactsInput!$N$35+1,15,18,21,24,27,30)*(1-EXP(-(0.2*B1893)*5)),0)+IF(AND(ArtifactsInput!$M$22,Inputs!$B$4&lt;&gt;"Chapter Hunt"),CHOOSE(ArtifactsInput!$N$22+1,10,12,14,16,18,20)*((0*(((0.15*B1893*5))^0/1)+1*(((0.15*B1893*5))^1/1)+2*(((0.15*B1893*5))^2/2)+3*(((0.15*B1893*5))^3/6)+4*(((0.15*B1893*5))^4/24)+5*(((0.15*B1893*5))^5/120))/((((0.15*B1893*5))^0/1)+(((0.15*B1893*5))^1/1)+(((0.15*B1893*5))^2/2)+(((0.15*B1893*5))^3/6)+(((0.15*B1893*5))^4/24)+(((0.15*B1893*5))^5/120))),0)))/100)*(MIN(Skills!W9,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865">
      <c r="A1865">
        <f>Skills!A10</f>
        <v/>
      </c>
      <c r="B1865">
        <f>Skills!B10</f>
        <v/>
      </c>
      <c r="C1865">
        <f>Inputs!$B$3&gt;=117</f>
        <v/>
      </c>
      <c r="D1865">
        <f>IF(Skills!C10=1,60+Inputs!$B$25+Inputs!$B$29,IF(Skills!C10=2,90+Inputs!$B$26+Inputs!$B$29,IF(Skills!C10=3,120+Inputs!$B$27+Inputs!$B$29,MAX(0,(Inputs!$B$3-100)*3)+Inputs!$B$28+Inputs!$B$29)))</f>
        <v/>
      </c>
      <c r="E1865">
        <f>INDEX(FactorTable!$B$2:$Y$301, MATCH(ROUND(MIN(300,MAX(1,D1865)),0), FactorTable!$A$2:$A$301,0), Skills!M10+1)</f>
        <v/>
      </c>
      <c r="F1865">
        <f>IF(Skills!N10=TRUE,(Skills!L10/10)*(E1865/1000),Skills!L10/10)+Skills!O10</f>
        <v/>
      </c>
      <c r="G1865">
        <f>Skills!G10*IF(Skills!H10&gt;0,IF(Inputs!$B$39="pvp",MIN(Skills!I10,15),Skills!I10)/Skills!H10,1)</f>
        <v/>
      </c>
      <c r="H1865">
        <f>1-(1-Skills!J10/100)^Skills!K10</f>
        <v/>
      </c>
      <c r="I1865" t="inlineStr">
        <is>
          <t>1</t>
        </is>
      </c>
      <c r="J1865">
        <f>((Inputs!$B$6*(1+Inputs!$B$7/100))+(((Inputs!$B$12*(1+Inputs!$B$13/100))-(Inputs!$B$12*(1+Inputs!$B$13/100)))+0.25*(Inputs!$B$14-Inputs!$B$14))*(1+Inputs!$B$7/100))*(F1865/100)</f>
        <v/>
      </c>
      <c r="K1865">
        <f>J1865*(1+((Inputs!$B$12*(1+Inputs!$B$13/100))*0.01+Inputs!$B$14*0.0025)/100)*(1+Inputs!$B$15/100)*(1+Inputs!$B$16/100)*(5000/(6000+Inputs!$B$43*(1-(100*(1-(1-Inputs!$B$19/100)*(1-CHOOSE(ArtifactsInput!$N$40+1,5,6,7,8,9,10)/100)^(ArtifactsInput!$M$40-ArtifactsInput!$M$40)))/100)))*(1+(Inputs!$B$24+((C1886=TRUE)*(F1886-Calc!F31))+((C1873=TRUE)*(F1873-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Boss",2,1),0)/100)-1)*100+(IF(ArtifactsInput!$M$14,FALSE,TRUE)-ArtifactsInput!$M$14)*IF(OR(Inputs!$B$4="Weapon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10="CRUEL_STAB",Inputs!$B$17+((C1883=TRUE)*(F1883-Calc!F28))+((IF(AND(Inputs!$B$39&lt;&gt;"pvp",Inputs!$B$44=0),1,IF(IF(Inputs!$B$39="pvp",15,Inputs!$B$44)-(B1900)&lt;=0,1,MAX(0,IF(Inputs!$B$39="pvp",15,Inputs!$B$44)-MAX(5,B1900))/(IF(Inputs!$B$39="pvp",15,Inputs!$B$44)-(B1900))))*(IF(AND(ArtifactsInput!$M$42,((Inputs!$B$9+((C1881=TRUE)*(F1881-Calc!F26))+B1889+(ArtifactsInput!$M$24-ArtifactsInput!$M$24)*CHOOSE(ArtifactsInput!$N$24+1,10,12,14,16,18,20)+IF(ArtifactsInput!$M$10,CHOOSE(ArtifactsInput!$N$10+1,15,18,21,24,27,30)*(IF(Inputs!$B$39="pvp",MIN(15,15)/15,IF(AND(Inputs!$B$39&lt;&gt;"pvp",Inputs!$B$44&gt;0),MIN(15,Inputs!$B$44)/(Inputs!$B$44),0))),0)))&gt;=100),MIN(100,((Inputs!$B$9+((C1881=TRUE)*(F1881-Calc!F26))+B1889+(ArtifactsInput!$M$24-ArtifactsInput!$M$24)*CHOOSE(ArtifactsInput!$N$24+1,10,12,14,16,18,20)+IF(ArtifactsInput!$M$10,CHOOSE(ArtifactsInput!$N$10+1,15,18,21,24,27,30)*(IF(Inputs!$B$39="pvp",MIN(15,15)/15,IF(AND(Inputs!$B$39&lt;&gt;"pvp",Inputs!$B$44&gt;0),MIN(15,Inputs!$B$44)/(Inputs!$B$44),0))),0)))-100),0))*CHOOSE(ArtifactsInput!$N$42+1,0.6,0.72,0.84,0.96,1.08,1.2))),Inputs!$B$18+((C1884=TRUE)*(F1884-Calc!F29))+(IF(AND(Inputs!$B$39&lt;&gt;"pvp",Inputs!$B$44=0),1,IF(IF(Inputs!$B$39="pvp",15,Inputs!$B$44)-(B1900)&lt;=0,1,MAX(0,IF(Inputs!$B$39="pvp",15,Inputs!$B$44)-MAX(5,B1900))/(IF(Inputs!$B$39="pvp",15,Inputs!$B$44)-(B1900))))*IF(AND(ArtifactsInput!$M$42,((Inputs!$B$9+((C1881=TRUE)*(F1881-Calc!F26))+B1889+(ArtifactsInput!$M$24-ArtifactsInput!$M$24)*CHOOSE(ArtifactsInput!$N$24+1,10,12,14,16,18,20)+IF(ArtifactsInput!$M$10,CHOOSE(ArtifactsInput!$N$10+1,15,18,21,24,27,30)*(IF(Inputs!$B$39="pvp",MIN(15,15)/15,IF(AND(Inputs!$B$39&lt;&gt;"pvp",Inputs!$B$44&gt;0),MIN(15,Inputs!$B$44)/(Inputs!$B$44),0))),0)))&gt;=100),CHOOSE(ArtifactsInput!$N$42+1,40,48,56,64,72,80),0))))/100)*(((1+(((C1877=TRUE)*F1877*IF(AND(Inputs!$B$39&lt;&gt;"pvp",Inputs!$B$44&gt;0),(((R1877-1)*MIN((Skills!Y22*(1+Inputs!$B$34/100)),(1/Q1877))+MIN((Skills!Y22*(1+Inputs!$B$34/100)),MAX(0,Inputs!$B$44-((R1877-1)*(1/Q1877)))))/Inputs!$B$44),IF(Inputs!$B$39="pvp",MIN((Skills!Y22*(1+Inputs!$B$34/100)),15)/15,MIN(1,(Skills!Y22*(1+Inputs!$B$34/100))/(1/Q1877)))))+((C1858=TRUE)*F1858*3)+((C1860=TRUE)*F1860*(1-EXP(-0.75*B1893*5)))+((C1879=TRUE)*(F1879-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1866=TRUE)*F1866*IF(AND(Inputs!$B$39&lt;&gt;"pvp",Inputs!$B$44&gt;0),(((R1866-1)*MIN((Skills!Y11*(1+Inputs!$B$34/100)),(1/Q1866))+MIN((Skills!Y11*(1+Inputs!$B$34/100)),MAX(0,Inputs!$B$44-((R1866-1)*(1/Q1866)))))/Inputs!$B$44),IF(Inputs!$B$39="pvp",MIN((Skills!Y11*(1+Inputs!$B$34/100)),15)/15,MIN(1,(Skills!Y11*(1+Inputs!$B$34/100))/(1/Q1866)))))/100)*(1+((C1871=TRUE)*F1871*IF(AND(Inputs!$B$39&lt;&gt;"pvp",Inputs!$B$44&gt;0),(((R1871-1)*MIN((Skills!Y16*(1+Inputs!$B$34/100)),(1/Q1871))+MIN((Skills!Y16*(1+Inputs!$B$34/100)),MAX(0,Inputs!$B$44-((R1871-1)*(1/Q1871)))))/Inputs!$B$44),IF(Inputs!$B$39="pvp",MIN((Skills!Y16*(1+Inputs!$B$34/100)),15)/15,MIN(1,(Skills!Y16*(1+Inputs!$B$34/100))/(1/Q1871)))))/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1891*I1865)</f>
        <v/>
      </c>
      <c r="L1865">
        <f>K1865*(MIN(Inputs!$B$22+((C1880=TRUE)*(F1880-Calc!F25)),(Inputs!$B$23+((C1885=TRUE)*(F1885-Calc!F30))+IF(ArtifactsInput!$M$15,CHOOSE(ArtifactsInput!$N$15+1,25,30,35,40,45,50)/100*(Inputs!$B$11-Inputs!$B$11),0)))/100+(Inputs!$B$23+((C1885=TRUE)*(F1885-Calc!F30))+IF(ArtifactsInput!$M$15,CHOOSE(ArtifactsInput!$N$15+1,25,30,35,40,45,50)/100*(Inputs!$B$11-Inputs!$B$11),0))/100)/2</f>
        <v/>
      </c>
      <c r="M1865">
        <f>L1865*(1+(Inputs!$B$10+((C1882=TRUE)*(F1882-Calc!F27))+B1896+(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1865">
        <f>L1865*(1-MIN((Inputs!$B$9+((C1881=TRUE)*(F1881-Calc!F26))+B1889+(ArtifactsInput!$M$24-ArtifactsInput!$M$24)*CHOOSE(ArtifactsInput!$N$24+1,10,12,14,16,18,20)+(IF(AND(Inputs!$B$39&lt;&gt;"pvp",Inputs!$B$44=0),1,IF(IF(Inputs!$B$39="pvp",15,Inputs!$B$44)-(B1900)&lt;=0,1,MAX(0,IF(Inputs!$B$39="pvp",15,Inputs!$B$44)-MAX(5,B1900))/(IF(Inputs!$B$39="pvp",15,Inputs!$B$44)-(B1900))))*IF(AND(ArtifactsInput!$M$42,((Inputs!$B$9+((C1881=TRUE)*(F1881-Calc!F26))+B1889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1865*(MIN((Inputs!$B$9+((C1881=TRUE)*(F1881-Calc!F26))+B1889+(ArtifactsInput!$M$24-ArtifactsInput!$M$24)*CHOOSE(ArtifactsInput!$N$24+1,10,12,14,16,18,20)+(IF(AND(Inputs!$B$39&lt;&gt;"pvp",Inputs!$B$44=0),1,IF(IF(Inputs!$B$39="pvp",15,Inputs!$B$44)-(B1900)&lt;=0,1,MAX(0,IF(Inputs!$B$39="pvp",15,Inputs!$B$44)-MAX(5,B1900))/(IF(Inputs!$B$39="pvp",15,Inputs!$B$44)-(B1900))))*IF(AND(ArtifactsInput!$M$42,((Inputs!$B$9+((C1881=TRUE)*(F1881-Calc!F26))+B1889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865">
        <f>(1-Summary!$B$11)*T1865+Summary!$B$11*V1865</f>
        <v/>
      </c>
      <c r="P1865">
        <f>IF(B1901=0,0,O1865/B1901)</f>
        <v/>
      </c>
      <c r="Q1865" t="n">
        <v>0</v>
      </c>
      <c r="R1865" t="n">
        <v>0</v>
      </c>
      <c r="S1865" t="n">
        <v>0</v>
      </c>
      <c r="T1865">
        <f>IF(C1865,(0.2*SUMPRODUCT((Skills!Z2:Z31=TRUE)*(C1857:C1886=TRUE)*S1857:S1886)*N1865)*IF(Inputs!$B$39="pvp",1,1+(Inputs!$B$20+0+Skills!P10+B1890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Hunt"),CHOOSE(ArtifactsInput!$N$35+1,15,18,21,24,27,30)*(1-EXP(-(0.2*B1893)*5)),0)+IF(AND(ArtifactsInput!$M$22,Inputs!$B$4&lt;&gt;"Chapter Hunt"),CHOOSE(ArtifactsInput!$N$22+1,10,12,14,16,18,20)*((0*(((0.15*B1893*5))^0/1)+1*(((0.15*B1893*5))^1/1)+2*(((0.15*B1893*5))^2/2)+3*(((0.15*B1893*5))^3/6)+4*(((0.15*B1893*5))^4/24)+5*(((0.15*B1893*5))^5/120))/((((0.15*B1893*5))^0/1)+(((0.15*B1893*5))^1/1)+(((0.15*B1893*5))^2/2)+(((0.15*B1893*5))^3/6)+(((0.15*B1893*5))^4/24)+(((0.15*B1893*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1865*(1-MIN(100,(Inputs!$B$9+((C1881=TRUE)*(F1881-Calc!F26))+B1889+(ArtifactsInput!$M$24-ArtifactsInput!$M$24)*CHOOSE(ArtifactsInput!$N$24+1,10,12,14,16,18,20)+(IF(AND(Inputs!$B$39&lt;&gt;"pvp",Inputs!$B$44=0),1,IF(IF(Inputs!$B$39="pvp",15,Inputs!$B$44)-(B1900)&lt;=0,1,MAX(0,IF(Inputs!$B$39="pvp",15,Inputs!$B$44)-MAX(5,B1900))/(IF(Inputs!$B$39="pvp",15,Inputs!$B$44)-(B1900))))*IF(AND(ArtifactsInput!$M$42,((Inputs!$B$9+((C1881=TRUE)*(F1881-Calc!F26))+B1889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1865*(MIN(100,(Inputs!$B$9+((C1881=TRUE)*(F1881-Calc!F26))+B1889+(ArtifactsInput!$M$24-ArtifactsInput!$M$24)*CHOOSE(ArtifactsInput!$N$24+1,10,12,14,16,18,20)+(IF(AND(Inputs!$B$39&lt;&gt;"pvp",Inputs!$B$44=0),1,IF(IF(Inputs!$B$39="pvp",15,Inputs!$B$44)-(B1900)&lt;=0,1,MAX(0,IF(Inputs!$B$39="pvp",15,Inputs!$B$44)-MAX(5,B1900))/(IF(Inputs!$B$39="pvp",15,Inputs!$B$44)-(B1900))))*IF(AND(ArtifactsInput!$M$42,((Inputs!$B$9+((C1881=TRUE)*(F1881-Calc!F26))+B1889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1865*(1-MIN(100,(Inputs!$B$9+((C1881=TRUE)*(F1881-Calc!F26))+B1889+(ArtifactsInput!$M$24-ArtifactsInput!$M$24)*CHOOSE(ArtifactsInput!$N$24+1,10,12,14,16,18,20)+(IF(AND(Inputs!$B$39&lt;&gt;"pvp",Inputs!$B$44=0),1,IF(IF(Inputs!$B$39="pvp",15,Inputs!$B$44)-(B1900)&lt;=0,1,MAX(0,IF(Inputs!$B$39="pvp",15,Inputs!$B$44)-MAX(5,B1900))/(IF(Inputs!$B$39="pvp",15,Inputs!$B$44)-(B1900))))*IF(AND(ArtifactsInput!$M$42,((Inputs!$B$9+((C1881=TRUE)*(F1881-Calc!F26))+B1889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1865*(MIN(100,(Inputs!$B$9+((C1881=TRUE)*(F1881-Calc!F26))+B1889+(ArtifactsInput!$M$24-ArtifactsInput!$M$24)*CHOOSE(ArtifactsInput!$N$24+1,10,12,14,16,18,20)+(IF(AND(Inputs!$B$39&lt;&gt;"pvp",Inputs!$B$44=0),1,IF(IF(Inputs!$B$39="pvp",15,Inputs!$B$44)-(B1900)&lt;=0,1,MAX(0,IF(Inputs!$B$39="pvp",15,Inputs!$B$44)-MAX(5,B1900))/(IF(Inputs!$B$39="pvp",15,Inputs!$B$44)-(B1900))))*IF(AND(ArtifactsInput!$M$42,((Inputs!$B$9+((C1881=TRUE)*(F1881-Calc!F26))+B1889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1865">
        <f>IF(C1865,(0.2*SUMPRODUCT((Skills!Z2:Z31=TRUE)*(C1857:C1886=TRUE)*S1857:S1886)*N1865)*IF(Inputs!$B$39="pvp",1,(1+(Inputs!$B$21+Skills!Q10+B1890+(IF(ArtifactsInput!$M$33,CHOOSE(ArtifactsInput!$N$33+1,30,36,42,48,54,60),0))+(IF(AND(ArtifactsInput!$M$35,Inputs!$B$4&lt;&gt;"Chapter Hunt"),CHOOSE(ArtifactsInput!$N$35+1,15,18,21,24,27,30)*(1-EXP(-(0.2*B1893)*5)),0)+IF(AND(ArtifactsInput!$M$22,Inputs!$B$4&lt;&gt;"Chapter Hunt"),CHOOSE(ArtifactsInput!$N$22+1,10,12,14,16,18,20)*((0*(((0.15*B1893*5))^0/1)+1*(((0.15*B1893*5))^1/1)+2*(((0.15*B1893*5))^2/2)+3*(((0.15*B1893*5))^3/6)+4*(((0.15*B1893*5))^4/24)+5*(((0.15*B1893*5))^5/120))/((((0.15*B1893*5))^0/1)+(((0.15*B1893*5))^1/1)+(((0.15*B1893*5))^2/2)+(((0.15*B1893*5))^3/6)+(((0.15*B1893*5))^4/24)+(((0.15*B1893*5))^5/120))),0)))/100)*(MIN(Skills!W10,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866">
      <c r="A1866">
        <f>Skills!A11</f>
        <v/>
      </c>
      <c r="B1866">
        <f>Skills!B11</f>
        <v/>
      </c>
      <c r="C1866">
        <f>Inputs!$B$3&gt;=74</f>
        <v/>
      </c>
      <c r="D1866">
        <f>IF(Skills!C11=1,60+Inputs!$B$25+Inputs!$B$29,IF(Skills!C11=2,90+Inputs!$B$26+Inputs!$B$29,IF(Skills!C11=3,120+Inputs!$B$27+Inputs!$B$29,MAX(0,(Inputs!$B$3-100)*3)+Inputs!$B$28+Inputs!$B$29)))</f>
        <v/>
      </c>
      <c r="E1866">
        <f>INDEX(FactorTable!$B$2:$Y$301, MATCH(ROUND(MIN(300,MAX(1,D1866)),0), FactorTable!$A$2:$A$301,0), Skills!M11+1)</f>
        <v/>
      </c>
      <c r="F1866">
        <f>IF(Skills!N11=TRUE,(Skills!L11/10)*(E1866/1000),Skills!L11/10)+Skills!O11</f>
        <v/>
      </c>
      <c r="G1866">
        <f>Skills!G11*IF(Skills!H11&gt;0,IF(Inputs!$B$39="pvp",MIN(Skills!I11,15),Skills!I11)/Skills!H11,1)</f>
        <v/>
      </c>
      <c r="H1866">
        <f>1-(1-Skills!J11/100)^Skills!K11</f>
        <v/>
      </c>
      <c r="I1866" t="inlineStr">
        <is>
          <t>1</t>
        </is>
      </c>
      <c r="J1866" t="inlineStr"/>
      <c r="K1866" t="inlineStr"/>
      <c r="L1866" t="inlineStr"/>
      <c r="M1866" t="inlineStr"/>
      <c r="N1866" t="inlineStr"/>
      <c r="O1866">
        <f>(1-Summary!$B$11)*T1866+Summary!$B$11*V1866</f>
        <v/>
      </c>
      <c r="P1866">
        <f>IF(B1901=0,0,O1866/B1901)</f>
        <v/>
      </c>
      <c r="Q1866">
        <f>IFERROR(1/IF(Inputs!$B$39="pvp",15,MAX(0.1,Skills!D11-IF(TRUE=TRUE,Inputs!$B$32,0))),0)</f>
        <v/>
      </c>
      <c r="R1866">
        <f>IF(AND(Inputs!$B$39&lt;&gt;"pvp",Inputs!$B$44&gt;0),IF(Inputs!$B$44&lt;=0,0,(INT(Inputs!$B$44/IF(Inputs!$B$39="pvp",15,MAX(0.1,Skills!D11-IF(TRUE=TRUE,Inputs!$B$32,0))))+1)),0)</f>
        <v/>
      </c>
      <c r="S1866">
        <f>IFERROR(O1866/N1866,0)</f>
        <v/>
      </c>
      <c r="T1866" t="n">
        <v>0</v>
      </c>
      <c r="V1866" t="n">
        <v>0</v>
      </c>
    </row>
    <row r="1867">
      <c r="A1867">
        <f>Skills!A12</f>
        <v/>
      </c>
      <c r="B1867">
        <f>Skills!B12</f>
        <v/>
      </c>
      <c r="C1867">
        <f>Inputs!$B$3&gt;=103</f>
        <v/>
      </c>
      <c r="D1867">
        <f>IF(Skills!C12=1,60+Inputs!$B$25+Inputs!$B$29,IF(Skills!C12=2,90+Inputs!$B$26+Inputs!$B$29,IF(Skills!C12=3,120+Inputs!$B$27+Inputs!$B$29,MAX(0,(Inputs!$B$3-100)*3)+Inputs!$B$28+Inputs!$B$29)))</f>
        <v/>
      </c>
      <c r="E1867">
        <f>INDEX(FactorTable!$B$2:$Y$301, MATCH(ROUND(MIN(300,MAX(1,D1867)),0), FactorTable!$A$2:$A$301,0), Skills!M12+1)</f>
        <v/>
      </c>
      <c r="F1867">
        <f>(Skills!L12/10)*(E1867/1000)+IF(Inputs!$B$3&gt;=134,50,0)+0.5*(30000/10)*(INDEX(FactorTable!$B$2:$Y$301, MATCH(ROUND(MIN(300,MAX(1,D1867)),0), FactorTable!$A$2:$A$301,0), 13)/1000)*B1899</f>
        <v/>
      </c>
      <c r="G1867">
        <f>Skills!G12*IF(Skills!H12&gt;0,IF(Inputs!$B$39="pvp",MIN(Skills!I12,15),Skills!I12)/Skills!H12,1)</f>
        <v/>
      </c>
      <c r="H1867">
        <f>1-(1-Skills!J12/100)^Skills!K12</f>
        <v/>
      </c>
      <c r="I1867" t="inlineStr">
        <is>
          <t>1</t>
        </is>
      </c>
      <c r="J1867">
        <f>((Inputs!$B$6*(1+Inputs!$B$7/100))+(((Inputs!$B$12*(1+Inputs!$B$13/100))-(Inputs!$B$12*(1+Inputs!$B$13/100)))+0.25*(Inputs!$B$14-Inputs!$B$14))*(1+Inputs!$B$7/100))*(F1867/100)</f>
        <v/>
      </c>
      <c r="K1867">
        <f>J1867*(1+((Inputs!$B$12*(1+Inputs!$B$13/100))*0.01+Inputs!$B$14*0.0025)/100)*(1+Inputs!$B$15/100)*(1+Inputs!$B$16/100)*(5000/(6000+Inputs!$B$43*(1-(100*(1-(1-Inputs!$B$19/100)*(1-CHOOSE(ArtifactsInput!$N$40+1,5,6,7,8,9,10)/100)^(ArtifactsInput!$M$40-ArtifactsInput!$M$40)))/100)))*(1+(Inputs!$B$24+((C1886=TRUE)*(F1886-Calc!F31))+((C1873=TRUE)*(F1873-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Boss",2,1),0)/100)-1)*100+(IF(ArtifactsInput!$M$14,FALSE,TRUE)-ArtifactsInput!$M$14)*IF(OR(Inputs!$B$4="Weapon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12="CRUEL_STAB",Inputs!$B$17+((C1883=TRUE)*(F1883-Calc!F28))+((IF(AND(Inputs!$B$39&lt;&gt;"pvp",Inputs!$B$44=0),1,IF(IF(Inputs!$B$39="pvp",15,Inputs!$B$44)-(B1900)&lt;=0,1,MAX(0,IF(Inputs!$B$39="pvp",15,Inputs!$B$44)-MAX(5,B1900))/(IF(Inputs!$B$39="pvp",15,Inputs!$B$44)-(B1900))))*(IF(AND(ArtifactsInput!$M$42,((Inputs!$B$9+((C1881=TRUE)*(F1881-Calc!F26))+B1889+(ArtifactsInput!$M$24-ArtifactsInput!$M$24)*CHOOSE(ArtifactsInput!$N$24+1,10,12,14,16,18,20)+IF(ArtifactsInput!$M$10,CHOOSE(ArtifactsInput!$N$10+1,15,18,21,24,27,30)*(IF(Inputs!$B$39="pvp",MIN(15,15)/15,IF(AND(Inputs!$B$39&lt;&gt;"pvp",Inputs!$B$44&gt;0),MIN(15,Inputs!$B$44)/(Inputs!$B$44),0))),0)))&gt;=100),MIN(100,((Inputs!$B$9+((C1881=TRUE)*(F1881-Calc!F26))+B1889+(ArtifactsInput!$M$24-ArtifactsInput!$M$24)*CHOOSE(ArtifactsInput!$N$24+1,10,12,14,16,18,20)+IF(ArtifactsInput!$M$10,CHOOSE(ArtifactsInput!$N$10+1,15,18,21,24,27,30)*(IF(Inputs!$B$39="pvp",MIN(15,15)/15,IF(AND(Inputs!$B$39&lt;&gt;"pvp",Inputs!$B$44&gt;0),MIN(15,Inputs!$B$44)/(Inputs!$B$44),0))),0)))-100),0))*CHOOSE(ArtifactsInput!$N$42+1,0.6,0.72,0.84,0.96,1.08,1.2))),Inputs!$B$18+((C1884=TRUE)*(F1884-Calc!F29))+(IF(AND(Inputs!$B$39&lt;&gt;"pvp",Inputs!$B$44=0),1,IF(IF(Inputs!$B$39="pvp",15,Inputs!$B$44)-(B1900)&lt;=0,1,MAX(0,IF(Inputs!$B$39="pvp",15,Inputs!$B$44)-MAX(5,B1900))/(IF(Inputs!$B$39="pvp",15,Inputs!$B$44)-(B1900))))*IF(AND(ArtifactsInput!$M$42,((Inputs!$B$9+((C1881=TRUE)*(F1881-Calc!F26))+B1889+(ArtifactsInput!$M$24-ArtifactsInput!$M$24)*CHOOSE(ArtifactsInput!$N$24+1,10,12,14,16,18,20)+IF(ArtifactsInput!$M$10,CHOOSE(ArtifactsInput!$N$10+1,15,18,21,24,27,30)*(IF(Inputs!$B$39="pvp",MIN(15,15)/15,IF(AND(Inputs!$B$39&lt;&gt;"pvp",Inputs!$B$44&gt;0),MIN(15,Inputs!$B$44)/(Inputs!$B$44),0))),0)))&gt;=100),CHOOSE(ArtifactsInput!$N$42+1,40,48,56,64,72,80),0))))/100)*(((1+(((C1877=TRUE)*F1877*IF(AND(Inputs!$B$39&lt;&gt;"pvp",Inputs!$B$44&gt;0),(((R1877-1)*MIN((Skills!Y22*(1+Inputs!$B$34/100)),(1/Q1877))+MIN((Skills!Y22*(1+Inputs!$B$34/100)),MAX(0,Inputs!$B$44-((R1877-1)*(1/Q1877)))))/Inputs!$B$44),IF(Inputs!$B$39="pvp",MIN((Skills!Y22*(1+Inputs!$B$34/100)),15)/15,MIN(1,(Skills!Y22*(1+Inputs!$B$34/100))/(1/Q1877)))))+((C1858=TRUE)*F1858*3)+((C1860=TRUE)*F1860*(1-EXP(-0.75*B1893*5)))+((C1879=TRUE)*(F1879-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1866=TRUE)*F1866*IF(AND(Inputs!$B$39&lt;&gt;"pvp",Inputs!$B$44&gt;0),(((R1866-1)*MIN((Skills!Y11*(1+Inputs!$B$34/100)),(1/Q1866))+MIN((Skills!Y11*(1+Inputs!$B$34/100)),MAX(0,Inputs!$B$44-((R1866-1)*(1/Q1866)))))/Inputs!$B$44),IF(Inputs!$B$39="pvp",MIN((Skills!Y11*(1+Inputs!$B$34/100)),15)/15,MIN(1,(Skills!Y11*(1+Inputs!$B$34/100))/(1/Q1866)))))/100)*(1+((C1871=TRUE)*F1871*IF(AND(Inputs!$B$39&lt;&gt;"pvp",Inputs!$B$44&gt;0),(((R1871-1)*MIN((Skills!Y16*(1+Inputs!$B$34/100)),(1/Q1871))+MIN((Skills!Y16*(1+Inputs!$B$34/100)),MAX(0,Inputs!$B$44-((R1871-1)*(1/Q1871)))))/Inputs!$B$44),IF(Inputs!$B$39="pvp",MIN((Skills!Y16*(1+Inputs!$B$34/100)),15)/15,MIN(1,(Skills!Y16*(1+Inputs!$B$34/100))/(1/Q1871)))))/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1891*I1867)</f>
        <v/>
      </c>
      <c r="L1867">
        <f>K1867*(MIN(Inputs!$B$22+((C1880=TRUE)*(F1880-Calc!F25)),(Inputs!$B$23+((C1885=TRUE)*(F1885-Calc!F30))+IF(ArtifactsInput!$M$15,CHOOSE(ArtifactsInput!$N$15+1,25,30,35,40,45,50)/100*(Inputs!$B$11-Inputs!$B$11),0)))/100+(Inputs!$B$23+((C1885=TRUE)*(F1885-Calc!F30))+IF(ArtifactsInput!$M$15,CHOOSE(ArtifactsInput!$N$15+1,25,30,35,40,45,50)/100*(Inputs!$B$11-Inputs!$B$11),0))/100)/2</f>
        <v/>
      </c>
      <c r="M1867">
        <f>L1867*(1+(Inputs!$B$10+((C1882=TRUE)*(F1882-Calc!F27))+B1896+(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1867">
        <f>L1867*(1-MIN((Inputs!$B$9+((C1881=TRUE)*(F1881-Calc!F26))+B1889+(ArtifactsInput!$M$24-ArtifactsInput!$M$24)*CHOOSE(ArtifactsInput!$N$24+1,10,12,14,16,18,20)+(IF(AND(Inputs!$B$39&lt;&gt;"pvp",Inputs!$B$44=0),1,IF(IF(Inputs!$B$39="pvp",15,Inputs!$B$44)-(B1900)&lt;=0,1,MAX(0,IF(Inputs!$B$39="pvp",15,Inputs!$B$44)-MAX(5,B1900))/(IF(Inputs!$B$39="pvp",15,Inputs!$B$44)-(B1900))))*IF(AND(ArtifactsInput!$M$42,((Inputs!$B$9+((C1881=TRUE)*(F1881-Calc!F26))+B1889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1867*(MIN((Inputs!$B$9+((C1881=TRUE)*(F1881-Calc!F26))+B1889+(ArtifactsInput!$M$24-ArtifactsInput!$M$24)*CHOOSE(ArtifactsInput!$N$24+1,10,12,14,16,18,20)+(IF(AND(Inputs!$B$39&lt;&gt;"pvp",Inputs!$B$44=0),1,IF(IF(Inputs!$B$39="pvp",15,Inputs!$B$44)-(B1900)&lt;=0,1,MAX(0,IF(Inputs!$B$39="pvp",15,Inputs!$B$44)-MAX(5,B1900))/(IF(Inputs!$B$39="pvp",15,Inputs!$B$44)-(B1900))))*IF(AND(ArtifactsInput!$M$42,((Inputs!$B$9+((C1881=TRUE)*(F1881-Calc!F26))+B1889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867">
        <f>(1-Summary!$B$11)*T1867+Summary!$B$11*V1867</f>
        <v/>
      </c>
      <c r="P1867">
        <f>IF(B1901=0,0,O1867/B1901)</f>
        <v/>
      </c>
      <c r="Q1867">
        <f>IFERROR(1/IF(Inputs!$B$39="pvp",15,MAX(0.1,Skills!D12-IF(TRUE=TRUE,Inputs!$B$32,0))),0)</f>
        <v/>
      </c>
      <c r="R1867">
        <f>IF(AND(Inputs!$B$39&lt;&gt;"pvp",Inputs!$B$44&gt;0),IF(MAX(0,Inputs!$B$44-B1900)&lt;=0,0,(INT(MAX(0,Inputs!$B$44-B1900)/IF(Inputs!$B$39="pvp",15,MAX(0.1,Skills!D12-IF(TRUE=TRUE,Inputs!$B$32,0))))+1)),0)</f>
        <v/>
      </c>
      <c r="S1867">
        <f>IFERROR(O1867/N1867,0)</f>
        <v/>
      </c>
      <c r="T1867">
        <f>IF(C1867,(H1867*N1867*IF(AND(Inputs!$B$39&lt;&gt;"pvp",Inputs!$B$44&gt;0),((Skills!G12*((R1867-1)*IF(Skills!H12&gt;0,Skills!I12/Skills!H12,1)+IF(Skills!H12&gt;0,MIN(Skills!I12,MAX(0,MAX(0,Inputs!$B$44-B1900)-((R1867-1)*IF(Inputs!$B$39="pvp",15,MAX(0.1,Skills!D12-IF(TRUE=TRUE,Inputs!$B$32,0))))))/Skills!H12,1)))/Inputs!$B$44),G1867*Q1867))*IF(Inputs!$B$39="pvp",1,1+(Inputs!$B$20+0+Skills!P12+B1890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Hunt"),CHOOSE(ArtifactsInput!$N$35+1,15,18,21,24,27,30)*(1-EXP(-(0.2*B1893)*5)),0)+IF(AND(ArtifactsInput!$M$22,Inputs!$B$4&lt;&gt;"Chapter Hunt"),CHOOSE(ArtifactsInput!$N$22+1,10,12,14,16,18,20)*((0*(((0.15*B1893*5))^0/1)+1*(((0.15*B1893*5))^1/1)+2*(((0.15*B1893*5))^2/2)+3*(((0.15*B1893*5))^3/6)+4*(((0.15*B1893*5))^4/24)+5*(((0.15*B1893*5))^5/120))/((((0.15*B1893*5))^0/1)+(((0.15*B1893*5))^1/1)+(((0.15*B1893*5))^2/2)+(((0.15*B1893*5))^3/6)+(((0.15*B1893*5))^4/24)+(((0.15*B1893*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1867*(1-MIN(100,(Inputs!$B$9+((C1881=TRUE)*(F1881-Calc!F26))+B1889+(ArtifactsInput!$M$24-ArtifactsInput!$M$24)*CHOOSE(ArtifactsInput!$N$24+1,10,12,14,16,18,20)+(IF(AND(Inputs!$B$39&lt;&gt;"pvp",Inputs!$B$44=0),1,IF(IF(Inputs!$B$39="pvp",15,Inputs!$B$44)-(B1900)&lt;=0,1,MAX(0,IF(Inputs!$B$39="pvp",15,Inputs!$B$44)-MAX(5,B1900))/(IF(Inputs!$B$39="pvp",15,Inputs!$B$44)-(B1900))))*IF(AND(ArtifactsInput!$M$42,((Inputs!$B$9+((C1881=TRUE)*(F1881-Calc!F26))+B1889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1867*(MIN(100,(Inputs!$B$9+((C1881=TRUE)*(F1881-Calc!F26))+B1889+(ArtifactsInput!$M$24-ArtifactsInput!$M$24)*CHOOSE(ArtifactsInput!$N$24+1,10,12,14,16,18,20)+(IF(AND(Inputs!$B$39&lt;&gt;"pvp",Inputs!$B$44=0),1,IF(IF(Inputs!$B$39="pvp",15,Inputs!$B$44)-(B1900)&lt;=0,1,MAX(0,IF(Inputs!$B$39="pvp",15,Inputs!$B$44)-MAX(5,B1900))/(IF(Inputs!$B$39="pvp",15,Inputs!$B$44)-(B1900))))*IF(AND(ArtifactsInput!$M$42,((Inputs!$B$9+((C1881=TRUE)*(F1881-Calc!F26))+B1889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1867*(1-MIN(100,(Inputs!$B$9+((C1881=TRUE)*(F1881-Calc!F26))+B1889+(ArtifactsInput!$M$24-ArtifactsInput!$M$24)*CHOOSE(ArtifactsInput!$N$24+1,10,12,14,16,18,20)+(IF(AND(Inputs!$B$39&lt;&gt;"pvp",Inputs!$B$44=0),1,IF(IF(Inputs!$B$39="pvp",15,Inputs!$B$44)-(B1900)&lt;=0,1,MAX(0,IF(Inputs!$B$39="pvp",15,Inputs!$B$44)-MAX(5,B1900))/(IF(Inputs!$B$39="pvp",15,Inputs!$B$44)-(B1900))))*IF(AND(ArtifactsInput!$M$42,((Inputs!$B$9+((C1881=TRUE)*(F1881-Calc!F26))+B1889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1867*(MIN(100,(Inputs!$B$9+((C1881=TRUE)*(F1881-Calc!F26))+B1889+(ArtifactsInput!$M$24-ArtifactsInput!$M$24)*CHOOSE(ArtifactsInput!$N$24+1,10,12,14,16,18,20)+(IF(AND(Inputs!$B$39&lt;&gt;"pvp",Inputs!$B$44=0),1,IF(IF(Inputs!$B$39="pvp",15,Inputs!$B$44)-(B1900)&lt;=0,1,MAX(0,IF(Inputs!$B$39="pvp",15,Inputs!$B$44)-MAX(5,B1900))/(IF(Inputs!$B$39="pvp",15,Inputs!$B$44)-(B1900))))*IF(AND(ArtifactsInput!$M$42,((Inputs!$B$9+((C1881=TRUE)*(F1881-Calc!F26))+B1889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1867">
        <f>IF(C1867,(H1867*N1867*IF(AND(Inputs!$B$39&lt;&gt;"pvp",Inputs!$B$44&gt;0),((Skills!G12*((R1867-1)*IF(Skills!H12&gt;0,Skills!I12/Skills!H12,1)+IF(Skills!H12&gt;0,MIN(Skills!I12,MAX(0,MAX(0,Inputs!$B$44-B1900)-((R1867-1)*IF(Inputs!$B$39="pvp",15,MAX(0.1,Skills!D12-IF(TRUE=TRUE,Inputs!$B$32,0))))))/Skills!H12,1)))/Inputs!$B$44),G1867*Q1867))*IF(Inputs!$B$39="pvp",1,(1+(Inputs!$B$21+Skills!Q12+B1890+(IF(ArtifactsInput!$M$33,CHOOSE(ArtifactsInput!$N$33+1,30,36,42,48,54,60),0))+(IF(AND(ArtifactsInput!$M$35,Inputs!$B$4&lt;&gt;"Chapter Hunt"),CHOOSE(ArtifactsInput!$N$35+1,15,18,21,24,27,30)*(1-EXP(-(0.2*B1893)*5)),0)+IF(AND(ArtifactsInput!$M$22,Inputs!$B$4&lt;&gt;"Chapter Hunt"),CHOOSE(ArtifactsInput!$N$22+1,10,12,14,16,18,20)*((0*(((0.15*B1893*5))^0/1)+1*(((0.15*B1893*5))^1/1)+2*(((0.15*B1893*5))^2/2)+3*(((0.15*B1893*5))^3/6)+4*(((0.15*B1893*5))^4/24)+5*(((0.15*B1893*5))^5/120))/((((0.15*B1893*5))^0/1)+(((0.15*B1893*5))^1/1)+(((0.15*B1893*5))^2/2)+(((0.15*B1893*5))^3/6)+(((0.15*B1893*5))^4/24)+(((0.15*B1893*5))^5/120))),0)))/100)*(MIN(Skills!W12,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868">
      <c r="A1868">
        <f>Skills!A13</f>
        <v/>
      </c>
      <c r="B1868">
        <f>Skills!B13</f>
        <v/>
      </c>
      <c r="C1868">
        <f>Inputs!$B$3&gt;=105</f>
        <v/>
      </c>
      <c r="D1868">
        <f>IF(Skills!C13=1,60+Inputs!$B$25+Inputs!$B$29,IF(Skills!C13=2,90+Inputs!$B$26+Inputs!$B$29,IF(Skills!C13=3,120+Inputs!$B$27+Inputs!$B$29,MAX(0,(Inputs!$B$3-100)*3)+Inputs!$B$28+Inputs!$B$29)))</f>
        <v/>
      </c>
      <c r="E1868">
        <f>INDEX(FactorTable!$B$2:$Y$301, MATCH(ROUND(MIN(300,MAX(1,D1868)),0), FactorTable!$A$2:$A$301,0), Skills!M13+1)</f>
        <v/>
      </c>
      <c r="F1868">
        <f>IF(Skills!N13=TRUE,(Skills!L13/10)*(E1868/1000),Skills!L13/10)+Skills!O13</f>
        <v/>
      </c>
      <c r="G1868">
        <f>Skills!G13*IF(Skills!H13&gt;0,IF(Inputs!$B$39="pvp",MIN(Skills!I13,15),Skills!I13)/Skills!H13,1)</f>
        <v/>
      </c>
      <c r="H1868">
        <f>1-(1-Skills!J13/100)^Skills!K13</f>
        <v/>
      </c>
      <c r="I1868" t="inlineStr">
        <is>
          <t>1</t>
        </is>
      </c>
      <c r="J1868">
        <f>((Inputs!$B$6*(1+Inputs!$B$7/100))+(((Inputs!$B$12*(1+Inputs!$B$13/100))-(Inputs!$B$12*(1+Inputs!$B$13/100)))+0.25*(Inputs!$B$14-Inputs!$B$14))*(1+Inputs!$B$7/100))*(F1868/100)</f>
        <v/>
      </c>
      <c r="K1868">
        <f>J1868*(1+((Inputs!$B$12*(1+Inputs!$B$13/100))*0.01+Inputs!$B$14*0.0025)/100)*(1+Inputs!$B$15/100)*(1+Inputs!$B$16/100)*(5000/(6000+Inputs!$B$43*(1-(100*(1-(1-Inputs!$B$19/100)*(1-CHOOSE(ArtifactsInput!$N$40+1,5,6,7,8,9,10)/100)^(ArtifactsInput!$M$40-ArtifactsInput!$M$40)))/100)))*(1+(Inputs!$B$24+((C1886=TRUE)*(F1886-Calc!F31))+((C1873=TRUE)*(F1873-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Boss",2,1),0)/100)-1)*100+(IF(ArtifactsInput!$M$14,FALSE,TRUE)-ArtifactsInput!$M$14)*IF(OR(Inputs!$B$4="Weapon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13="CRUEL_STAB",Inputs!$B$17+((C1883=TRUE)*(F1883-Calc!F28))+((IF(AND(Inputs!$B$39&lt;&gt;"pvp",Inputs!$B$44=0),1,IF(IF(Inputs!$B$39="pvp",15,Inputs!$B$44)-(B1900)&lt;=0,1,MAX(0,IF(Inputs!$B$39="pvp",15,Inputs!$B$44)-MAX(5,B1900))/(IF(Inputs!$B$39="pvp",15,Inputs!$B$44)-(B1900))))*(IF(AND(ArtifactsInput!$M$42,((Inputs!$B$9+((C1881=TRUE)*(F1881-Calc!F26))+B1889+(ArtifactsInput!$M$24-ArtifactsInput!$M$24)*CHOOSE(ArtifactsInput!$N$24+1,10,12,14,16,18,20)+IF(ArtifactsInput!$M$10,CHOOSE(ArtifactsInput!$N$10+1,15,18,21,24,27,30)*(IF(Inputs!$B$39="pvp",MIN(15,15)/15,IF(AND(Inputs!$B$39&lt;&gt;"pvp",Inputs!$B$44&gt;0),MIN(15,Inputs!$B$44)/(Inputs!$B$44),0))),0)))&gt;=100),MIN(100,((Inputs!$B$9+((C1881=TRUE)*(F1881-Calc!F26))+B1889+(ArtifactsInput!$M$24-ArtifactsInput!$M$24)*CHOOSE(ArtifactsInput!$N$24+1,10,12,14,16,18,20)+IF(ArtifactsInput!$M$10,CHOOSE(ArtifactsInput!$N$10+1,15,18,21,24,27,30)*(IF(Inputs!$B$39="pvp",MIN(15,15)/15,IF(AND(Inputs!$B$39&lt;&gt;"pvp",Inputs!$B$44&gt;0),MIN(15,Inputs!$B$44)/(Inputs!$B$44),0))),0)))-100),0))*CHOOSE(ArtifactsInput!$N$42+1,0.6,0.72,0.84,0.96,1.08,1.2))),Inputs!$B$18+((C1884=TRUE)*(F1884-Calc!F29))+(IF(AND(Inputs!$B$39&lt;&gt;"pvp",Inputs!$B$44=0),1,IF(IF(Inputs!$B$39="pvp",15,Inputs!$B$44)-(B1900)&lt;=0,1,MAX(0,IF(Inputs!$B$39="pvp",15,Inputs!$B$44)-MAX(5,B1900))/(IF(Inputs!$B$39="pvp",15,Inputs!$B$44)-(B1900))))*IF(AND(ArtifactsInput!$M$42,((Inputs!$B$9+((C1881=TRUE)*(F1881-Calc!F26))+B1889+(ArtifactsInput!$M$24-ArtifactsInput!$M$24)*CHOOSE(ArtifactsInput!$N$24+1,10,12,14,16,18,20)+IF(ArtifactsInput!$M$10,CHOOSE(ArtifactsInput!$N$10+1,15,18,21,24,27,30)*(IF(Inputs!$B$39="pvp",MIN(15,15)/15,IF(AND(Inputs!$B$39&lt;&gt;"pvp",Inputs!$B$44&gt;0),MIN(15,Inputs!$B$44)/(Inputs!$B$44),0))),0)))&gt;=100),CHOOSE(ArtifactsInput!$N$42+1,40,48,56,64,72,80),0))))/100)*(((1+(((C1877=TRUE)*F1877*IF(AND(Inputs!$B$39&lt;&gt;"pvp",Inputs!$B$44&gt;0),(((R1877-1)*MIN((Skills!Y22*(1+Inputs!$B$34/100)),(1/Q1877))+MIN((Skills!Y22*(1+Inputs!$B$34/100)),MAX(0,Inputs!$B$44-((R1877-1)*(1/Q1877)))))/Inputs!$B$44),IF(Inputs!$B$39="pvp",MIN((Skills!Y22*(1+Inputs!$B$34/100)),15)/15,MIN(1,(Skills!Y22*(1+Inputs!$B$34/100))/(1/Q1877)))))+((C1858=TRUE)*F1858*3)+((C1860=TRUE)*F1860*(1-EXP(-0.75*B1893*5)))+((C1879=TRUE)*(F1879-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1866=TRUE)*F1866*IF(AND(Inputs!$B$39&lt;&gt;"pvp",Inputs!$B$44&gt;0),(((R1866-1)*MIN((Skills!Y11*(1+Inputs!$B$34/100)),(1/Q1866))+MIN((Skills!Y11*(1+Inputs!$B$34/100)),MAX(0,Inputs!$B$44-((R1866-1)*(1/Q1866)))))/Inputs!$B$44),IF(Inputs!$B$39="pvp",MIN((Skills!Y11*(1+Inputs!$B$34/100)),15)/15,MIN(1,(Skills!Y11*(1+Inputs!$B$34/100))/(1/Q1866)))))/100)*(1+((C1871=TRUE)*F1871*IF(AND(Inputs!$B$39&lt;&gt;"pvp",Inputs!$B$44&gt;0),(((R1871-1)*MIN((Skills!Y16*(1+Inputs!$B$34/100)),(1/Q1871))+MIN((Skills!Y16*(1+Inputs!$B$34/100)),MAX(0,Inputs!$B$44-((R1871-1)*(1/Q1871)))))/Inputs!$B$44),IF(Inputs!$B$39="pvp",MIN((Skills!Y16*(1+Inputs!$B$34/100)),15)/15,MIN(1,(Skills!Y16*(1+Inputs!$B$34/100))/(1/Q1871)))))/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1891*I1868)</f>
        <v/>
      </c>
      <c r="L1868">
        <f>K1868*(MIN(Inputs!$B$22+((C1880=TRUE)*(F1880-Calc!F25)),(Inputs!$B$23+((C1885=TRUE)*(F1885-Calc!F30))+IF(ArtifactsInput!$M$15,CHOOSE(ArtifactsInput!$N$15+1,25,30,35,40,45,50)/100*(Inputs!$B$11-Inputs!$B$11),0)))/100+(Inputs!$B$23+((C1885=TRUE)*(F1885-Calc!F30))+IF(ArtifactsInput!$M$15,CHOOSE(ArtifactsInput!$N$15+1,25,30,35,40,45,50)/100*(Inputs!$B$11-Inputs!$B$11),0))/100)/2</f>
        <v/>
      </c>
      <c r="M1868">
        <f>L1868*(1+(Inputs!$B$10+((C1882=TRUE)*(F1882-Calc!F27))+B1896+(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1868">
        <f>L1868*(1-MIN((Inputs!$B$9+((C1881=TRUE)*(F1881-Calc!F26))+B1889+(ArtifactsInput!$M$24-ArtifactsInput!$M$24)*CHOOSE(ArtifactsInput!$N$24+1,10,12,14,16,18,20)+(IF(AND(Inputs!$B$39&lt;&gt;"pvp",Inputs!$B$44=0),1,IF(IF(Inputs!$B$39="pvp",15,Inputs!$B$44)-(B1900)&lt;=0,1,MAX(0,IF(Inputs!$B$39="pvp",15,Inputs!$B$44)-MAX(5,B1900))/(IF(Inputs!$B$39="pvp",15,Inputs!$B$44)-(B1900))))*IF(AND(ArtifactsInput!$M$42,((Inputs!$B$9+((C1881=TRUE)*(F1881-Calc!F26))+B1889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1868*(MIN((Inputs!$B$9+((C1881=TRUE)*(F1881-Calc!F26))+B1889+(ArtifactsInput!$M$24-ArtifactsInput!$M$24)*CHOOSE(ArtifactsInput!$N$24+1,10,12,14,16,18,20)+(IF(AND(Inputs!$B$39&lt;&gt;"pvp",Inputs!$B$44=0),1,IF(IF(Inputs!$B$39="pvp",15,Inputs!$B$44)-(B1900)&lt;=0,1,MAX(0,IF(Inputs!$B$39="pvp",15,Inputs!$B$44)-MAX(5,B1900))/(IF(Inputs!$B$39="pvp",15,Inputs!$B$44)-(B1900))))*IF(AND(ArtifactsInput!$M$42,((Inputs!$B$9+((C1881=TRUE)*(F1881-Calc!F26))+B1889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868">
        <f>(1-Summary!$B$11)*T1868+Summary!$B$11*V1868</f>
        <v/>
      </c>
      <c r="P1868">
        <f>IF(B1901=0,0,O1868/B1901)</f>
        <v/>
      </c>
      <c r="Q1868">
        <f>IFERROR(1/IF(Inputs!$B$39="pvp",15,MAX(0.1,Skills!D13-IF(TRUE=TRUE,Inputs!$B$32,0))),0)</f>
        <v/>
      </c>
      <c r="R1868">
        <f>IF(AND(Inputs!$B$39&lt;&gt;"pvp",Inputs!$B$44&gt;0),IF(MAX(0,Inputs!$B$44-B1900)&lt;=0,0,(INT(MAX(0,Inputs!$B$44-B1900)/IF(Inputs!$B$39="pvp",15,MAX(0.1,Skills!D13-IF(TRUE=TRUE,Inputs!$B$32,0))))+1)),0)</f>
        <v/>
      </c>
      <c r="S1868">
        <f>IFERROR(O1868/N1868,0)</f>
        <v/>
      </c>
      <c r="T1868">
        <f>IF(C1868,(H1868*N1868*IF(AND(Inputs!$B$39&lt;&gt;"pvp",Inputs!$B$44&gt;0),((Skills!G13*((R1868-1)*IF(Skills!H13&gt;0,Skills!I13/Skills!H13,1)+IF(Skills!H13&gt;0,MIN(Skills!I13,MAX(0,MAX(0,Inputs!$B$44-B1900)-((R1868-1)*IF(Inputs!$B$39="pvp",15,MAX(0.1,Skills!D13-IF(TRUE=TRUE,Inputs!$B$32,0))))))/Skills!H13,1)))/Inputs!$B$44),G1868*Q1868))*IF(Inputs!$B$39="pvp",1,1+(Inputs!$B$20+0+Skills!P13+B1890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Hunt"),CHOOSE(ArtifactsInput!$N$35+1,15,18,21,24,27,30)*(1-EXP(-(0.2*B1893)*5)),0)+IF(AND(ArtifactsInput!$M$22,Inputs!$B$4&lt;&gt;"Chapter Hunt"),CHOOSE(ArtifactsInput!$N$22+1,10,12,14,16,18,20)*((0*(((0.15*B1893*5))^0/1)+1*(((0.15*B1893*5))^1/1)+2*(((0.15*B1893*5))^2/2)+3*(((0.15*B1893*5))^3/6)+4*(((0.15*B1893*5))^4/24)+5*(((0.15*B1893*5))^5/120))/((((0.15*B1893*5))^0/1)+(((0.15*B1893*5))^1/1)+(((0.15*B1893*5))^2/2)+(((0.15*B1893*5))^3/6)+(((0.15*B1893*5))^4/24)+(((0.15*B1893*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1868*(1-MIN(100,(Inputs!$B$9+((C1881=TRUE)*(F1881-Calc!F26))+B1889+(ArtifactsInput!$M$24-ArtifactsInput!$M$24)*CHOOSE(ArtifactsInput!$N$24+1,10,12,14,16,18,20)+(IF(AND(Inputs!$B$39&lt;&gt;"pvp",Inputs!$B$44=0),1,IF(IF(Inputs!$B$39="pvp",15,Inputs!$B$44)-(B1900)&lt;=0,1,MAX(0,IF(Inputs!$B$39="pvp",15,Inputs!$B$44)-MAX(5,B1900))/(IF(Inputs!$B$39="pvp",15,Inputs!$B$44)-(B1900))))*IF(AND(ArtifactsInput!$M$42,((Inputs!$B$9+((C1881=TRUE)*(F1881-Calc!F26))+B1889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1868*(MIN(100,(Inputs!$B$9+((C1881=TRUE)*(F1881-Calc!F26))+B1889+(ArtifactsInput!$M$24-ArtifactsInput!$M$24)*CHOOSE(ArtifactsInput!$N$24+1,10,12,14,16,18,20)+(IF(AND(Inputs!$B$39&lt;&gt;"pvp",Inputs!$B$44=0),1,IF(IF(Inputs!$B$39="pvp",15,Inputs!$B$44)-(B1900)&lt;=0,1,MAX(0,IF(Inputs!$B$39="pvp",15,Inputs!$B$44)-MAX(5,B1900))/(IF(Inputs!$B$39="pvp",15,Inputs!$B$44)-(B1900))))*IF(AND(ArtifactsInput!$M$42,((Inputs!$B$9+((C1881=TRUE)*(F1881-Calc!F26))+B1889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1868*(1-MIN(100,(Inputs!$B$9+((C1881=TRUE)*(F1881-Calc!F26))+B1889+(ArtifactsInput!$M$24-ArtifactsInput!$M$24)*CHOOSE(ArtifactsInput!$N$24+1,10,12,14,16,18,20)+(IF(AND(Inputs!$B$39&lt;&gt;"pvp",Inputs!$B$44=0),1,IF(IF(Inputs!$B$39="pvp",15,Inputs!$B$44)-(B1900)&lt;=0,1,MAX(0,IF(Inputs!$B$39="pvp",15,Inputs!$B$44)-MAX(5,B1900))/(IF(Inputs!$B$39="pvp",15,Inputs!$B$44)-(B1900))))*IF(AND(ArtifactsInput!$M$42,((Inputs!$B$9+((C1881=TRUE)*(F1881-Calc!F26))+B1889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1868*(MIN(100,(Inputs!$B$9+((C1881=TRUE)*(F1881-Calc!F26))+B1889+(ArtifactsInput!$M$24-ArtifactsInput!$M$24)*CHOOSE(ArtifactsInput!$N$24+1,10,12,14,16,18,20)+(IF(AND(Inputs!$B$39&lt;&gt;"pvp",Inputs!$B$44=0),1,IF(IF(Inputs!$B$39="pvp",15,Inputs!$B$44)-(B1900)&lt;=0,1,MAX(0,IF(Inputs!$B$39="pvp",15,Inputs!$B$44)-MAX(5,B1900))/(IF(Inputs!$B$39="pvp",15,Inputs!$B$44)-(B1900))))*IF(AND(ArtifactsInput!$M$42,((Inputs!$B$9+((C1881=TRUE)*(F1881-Calc!F26))+B1889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1868">
        <f>IF(C1868,(H1868*N1868*IF(AND(Inputs!$B$39&lt;&gt;"pvp",Inputs!$B$44&gt;0),((Skills!G13*((R1868-1)*IF(Skills!H13&gt;0,Skills!I13/Skills!H13,1)+IF(Skills!H13&gt;0,MIN(Skills!I13,MAX(0,MAX(0,Inputs!$B$44-B1900)-((R1868-1)*IF(Inputs!$B$39="pvp",15,MAX(0.1,Skills!D13-IF(TRUE=TRUE,Inputs!$B$32,0))))))/Skills!H13,1)))/Inputs!$B$44),G1868*Q1868))*IF(Inputs!$B$39="pvp",1,(1+(Inputs!$B$21+Skills!Q13+B1890+(IF(ArtifactsInput!$M$33,CHOOSE(ArtifactsInput!$N$33+1,30,36,42,48,54,60),0))+(IF(AND(ArtifactsInput!$M$35,Inputs!$B$4&lt;&gt;"Chapter Hunt"),CHOOSE(ArtifactsInput!$N$35+1,15,18,21,24,27,30)*(1-EXP(-(0.2*B1893)*5)),0)+IF(AND(ArtifactsInput!$M$22,Inputs!$B$4&lt;&gt;"Chapter Hunt"),CHOOSE(ArtifactsInput!$N$22+1,10,12,14,16,18,20)*((0*(((0.15*B1893*5))^0/1)+1*(((0.15*B1893*5))^1/1)+2*(((0.15*B1893*5))^2/2)+3*(((0.15*B1893*5))^3/6)+4*(((0.15*B1893*5))^4/24)+5*(((0.15*B1893*5))^5/120))/((((0.15*B1893*5))^0/1)+(((0.15*B1893*5))^1/1)+(((0.15*B1893*5))^2/2)+(((0.15*B1893*5))^3/6)+(((0.15*B1893*5))^4/24)+(((0.15*B1893*5))^5/120))),0)))/100)*(MIN(Skills!W13,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869">
      <c r="A1869">
        <f>Skills!A14</f>
        <v/>
      </c>
      <c r="B1869">
        <f>Skills!B14</f>
        <v/>
      </c>
      <c r="C1869">
        <f>Inputs!$B$3&gt;=105</f>
        <v/>
      </c>
      <c r="D1869">
        <f>IF(Skills!C14=1,60+Inputs!$B$25+Inputs!$B$29,IF(Skills!C14=2,90+Inputs!$B$26+Inputs!$B$29,IF(Skills!C14=3,120+Inputs!$B$27+Inputs!$B$29,MAX(0,(Inputs!$B$3-100)*3)+Inputs!$B$28+Inputs!$B$29)))</f>
        <v/>
      </c>
      <c r="E1869">
        <f>INDEX(FactorTable!$B$2:$Y$301, MATCH(ROUND(MIN(300,MAX(1,D1869)),0), FactorTable!$A$2:$A$301,0), Skills!M14+1)</f>
        <v/>
      </c>
      <c r="F1869">
        <f>IF(Skills!N14=TRUE,(Skills!L14/10)*(E1869/1000),Skills!L14/10)+Skills!O14</f>
        <v/>
      </c>
      <c r="G1869">
        <f>Skills!G14*IF(Skills!H14&gt;0,IF(Inputs!$B$39="pvp",MIN(Skills!I14,15),Skills!I14)/Skills!H14,1)</f>
        <v/>
      </c>
      <c r="H1869">
        <f>1-(1-Skills!J14/100)^Skills!K14</f>
        <v/>
      </c>
      <c r="I1869" t="inlineStr">
        <is>
          <t>1</t>
        </is>
      </c>
      <c r="J1869">
        <f>((Inputs!$B$6*(1+Inputs!$B$7/100))+(((Inputs!$B$12*(1+Inputs!$B$13/100))-(Inputs!$B$12*(1+Inputs!$B$13/100)))+0.25*(Inputs!$B$14-Inputs!$B$14))*(1+Inputs!$B$7/100))*(F1869/100)</f>
        <v/>
      </c>
      <c r="K1869">
        <f>J1869*(1+((Inputs!$B$12*(1+Inputs!$B$13/100))*0.01+Inputs!$B$14*0.0025)/100)*(1+Inputs!$B$15/100)*(1+Inputs!$B$16/100)*(5000/(6000+Inputs!$B$43*(1-(100*(1-(1-Inputs!$B$19/100)*(1-CHOOSE(ArtifactsInput!$N$40+1,5,6,7,8,9,10)/100)^(ArtifactsInput!$M$40-ArtifactsInput!$M$40)))/100)))*(1+(Inputs!$B$24+((C1886=TRUE)*(F1886-Calc!F31))+((C1873=TRUE)*(F1873-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Boss",2,1),0)/100)-1)*100+(IF(ArtifactsInput!$M$14,FALSE,TRUE)-ArtifactsInput!$M$14)*IF(OR(Inputs!$B$4="Weapon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14="CRUEL_STAB",Inputs!$B$17+((C1883=TRUE)*(F1883-Calc!F28))+((IF(AND(Inputs!$B$39&lt;&gt;"pvp",Inputs!$B$44=0),1,IF(IF(Inputs!$B$39="pvp",15,Inputs!$B$44)-(B1900)&lt;=0,1,MAX(0,IF(Inputs!$B$39="pvp",15,Inputs!$B$44)-MAX(5,B1900))/(IF(Inputs!$B$39="pvp",15,Inputs!$B$44)-(B1900))))*(IF(AND(ArtifactsInput!$M$42,((Inputs!$B$9+((C1881=TRUE)*(F1881-Calc!F26))+B1889+(ArtifactsInput!$M$24-ArtifactsInput!$M$24)*CHOOSE(ArtifactsInput!$N$24+1,10,12,14,16,18,20)+IF(ArtifactsInput!$M$10,CHOOSE(ArtifactsInput!$N$10+1,15,18,21,24,27,30)*(IF(Inputs!$B$39="pvp",MIN(15,15)/15,IF(AND(Inputs!$B$39&lt;&gt;"pvp",Inputs!$B$44&gt;0),MIN(15,Inputs!$B$44)/(Inputs!$B$44),0))),0)))&gt;=100),MIN(100,((Inputs!$B$9+((C1881=TRUE)*(F1881-Calc!F26))+B1889+(ArtifactsInput!$M$24-ArtifactsInput!$M$24)*CHOOSE(ArtifactsInput!$N$24+1,10,12,14,16,18,20)+IF(ArtifactsInput!$M$10,CHOOSE(ArtifactsInput!$N$10+1,15,18,21,24,27,30)*(IF(Inputs!$B$39="pvp",MIN(15,15)/15,IF(AND(Inputs!$B$39&lt;&gt;"pvp",Inputs!$B$44&gt;0),MIN(15,Inputs!$B$44)/(Inputs!$B$44),0))),0)))-100),0))*CHOOSE(ArtifactsInput!$N$42+1,0.6,0.72,0.84,0.96,1.08,1.2))),Inputs!$B$18+((C1884=TRUE)*(F1884-Calc!F29))+(IF(AND(Inputs!$B$39&lt;&gt;"pvp",Inputs!$B$44=0),1,IF(IF(Inputs!$B$39="pvp",15,Inputs!$B$44)-(B1900)&lt;=0,1,MAX(0,IF(Inputs!$B$39="pvp",15,Inputs!$B$44)-MAX(5,B1900))/(IF(Inputs!$B$39="pvp",15,Inputs!$B$44)-(B1900))))*IF(AND(ArtifactsInput!$M$42,((Inputs!$B$9+((C1881=TRUE)*(F1881-Calc!F26))+B1889+(ArtifactsInput!$M$24-ArtifactsInput!$M$24)*CHOOSE(ArtifactsInput!$N$24+1,10,12,14,16,18,20)+IF(ArtifactsInput!$M$10,CHOOSE(ArtifactsInput!$N$10+1,15,18,21,24,27,30)*(IF(Inputs!$B$39="pvp",MIN(15,15)/15,IF(AND(Inputs!$B$39&lt;&gt;"pvp",Inputs!$B$44&gt;0),MIN(15,Inputs!$B$44)/(Inputs!$B$44),0))),0)))&gt;=100),CHOOSE(ArtifactsInput!$N$42+1,40,48,56,64,72,80),0))))/100)*(((1+(((C1877=TRUE)*F1877*IF(AND(Inputs!$B$39&lt;&gt;"pvp",Inputs!$B$44&gt;0),(((R1877-1)*MIN((Skills!Y22*(1+Inputs!$B$34/100)),(1/Q1877))+MIN((Skills!Y22*(1+Inputs!$B$34/100)),MAX(0,Inputs!$B$44-((R1877-1)*(1/Q1877)))))/Inputs!$B$44),IF(Inputs!$B$39="pvp",MIN((Skills!Y22*(1+Inputs!$B$34/100)),15)/15,MIN(1,(Skills!Y22*(1+Inputs!$B$34/100))/(1/Q1877)))))+((C1858=TRUE)*F1858*3)+((C1860=TRUE)*F1860*(1-EXP(-0.75*B1893*5)))+((C1879=TRUE)*(F1879-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1866=TRUE)*F1866*IF(AND(Inputs!$B$39&lt;&gt;"pvp",Inputs!$B$44&gt;0),(((R1866-1)*MIN((Skills!Y11*(1+Inputs!$B$34/100)),(1/Q1866))+MIN((Skills!Y11*(1+Inputs!$B$34/100)),MAX(0,Inputs!$B$44-((R1866-1)*(1/Q1866)))))/Inputs!$B$44),IF(Inputs!$B$39="pvp",MIN((Skills!Y11*(1+Inputs!$B$34/100)),15)/15,MIN(1,(Skills!Y11*(1+Inputs!$B$34/100))/(1/Q1866)))))/100)*(1+((C1871=TRUE)*F1871*IF(AND(Inputs!$B$39&lt;&gt;"pvp",Inputs!$B$44&gt;0),(((R1871-1)*MIN((Skills!Y16*(1+Inputs!$B$34/100)),(1/Q1871))+MIN((Skills!Y16*(1+Inputs!$B$34/100)),MAX(0,Inputs!$B$44-((R1871-1)*(1/Q1871)))))/Inputs!$B$44),IF(Inputs!$B$39="pvp",MIN((Skills!Y16*(1+Inputs!$B$34/100)),15)/15,MIN(1,(Skills!Y16*(1+Inputs!$B$34/100))/(1/Q1871)))))/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1891*I1869)</f>
        <v/>
      </c>
      <c r="L1869">
        <f>K1869*(MIN(Inputs!$B$22+((C1880=TRUE)*(F1880-Calc!F25)),(Inputs!$B$23+((C1885=TRUE)*(F1885-Calc!F30))+IF(ArtifactsInput!$M$15,CHOOSE(ArtifactsInput!$N$15+1,25,30,35,40,45,50)/100*(Inputs!$B$11-Inputs!$B$11),0)))/100+(Inputs!$B$23+((C1885=TRUE)*(F1885-Calc!F30))+IF(ArtifactsInput!$M$15,CHOOSE(ArtifactsInput!$N$15+1,25,30,35,40,45,50)/100*(Inputs!$B$11-Inputs!$B$11),0))/100)/2</f>
        <v/>
      </c>
      <c r="M1869">
        <f>L1869*(1+(Inputs!$B$10+((C1882=TRUE)*(F1882-Calc!F27))+B1896+(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1869">
        <f>L1869*(1-MIN((Inputs!$B$9+((C1881=TRUE)*(F1881-Calc!F26))+B1889+(ArtifactsInput!$M$24-ArtifactsInput!$M$24)*CHOOSE(ArtifactsInput!$N$24+1,10,12,14,16,18,20)+(IF(AND(Inputs!$B$39&lt;&gt;"pvp",Inputs!$B$44=0),1,IF(IF(Inputs!$B$39="pvp",15,Inputs!$B$44)-(B1900)&lt;=0,1,MAX(0,IF(Inputs!$B$39="pvp",15,Inputs!$B$44)-MAX(5,B1900))/(IF(Inputs!$B$39="pvp",15,Inputs!$B$44)-(B1900))))*IF(AND(ArtifactsInput!$M$42,((Inputs!$B$9+((C1881=TRUE)*(F1881-Calc!F26))+B1889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1869*(MIN((Inputs!$B$9+((C1881=TRUE)*(F1881-Calc!F26))+B1889+(ArtifactsInput!$M$24-ArtifactsInput!$M$24)*CHOOSE(ArtifactsInput!$N$24+1,10,12,14,16,18,20)+(IF(AND(Inputs!$B$39&lt;&gt;"pvp",Inputs!$B$44=0),1,IF(IF(Inputs!$B$39="pvp",15,Inputs!$B$44)-(B1900)&lt;=0,1,MAX(0,IF(Inputs!$B$39="pvp",15,Inputs!$B$44)-MAX(5,B1900))/(IF(Inputs!$B$39="pvp",15,Inputs!$B$44)-(B1900))))*IF(AND(ArtifactsInput!$M$42,((Inputs!$B$9+((C1881=TRUE)*(F1881-Calc!F26))+B1889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869">
        <f>(1-Summary!$B$11)*T1869+Summary!$B$11*V1869</f>
        <v/>
      </c>
      <c r="P1869">
        <f>IF(B1901=0,0,O1869/B1901)</f>
        <v/>
      </c>
      <c r="Q1869">
        <f>IFERROR(1/IF(Inputs!$B$39="pvp",15,MAX(0.1,Skills!D14-IF(TRUE=TRUE,Inputs!$B$32,0))),0)</f>
        <v/>
      </c>
      <c r="R1869">
        <f>IF(AND(Inputs!$B$39&lt;&gt;"pvp",Inputs!$B$44&gt;0),IF(MAX(0,Inputs!$B$44-B1900)&lt;=0,0,(INT(MAX(0,Inputs!$B$44-B1900)/IF(Inputs!$B$39="pvp",15,MAX(0.1,Skills!D14-IF(TRUE=TRUE,Inputs!$B$32,0))))+1)),0)</f>
        <v/>
      </c>
      <c r="S1869">
        <f>IFERROR(O1869/N1869,0)</f>
        <v/>
      </c>
      <c r="T1869">
        <f>IF(C1869,(H1869*N1869*IF(AND(Inputs!$B$39&lt;&gt;"pvp",Inputs!$B$44&gt;0),((Skills!G14*((R1869-1)*IF(Skills!H14&gt;0,Skills!I14/Skills!H14,1)+IF(Skills!H14&gt;0,MIN(Skills!I14,MAX(0,MAX(0,Inputs!$B$44-B1900)-((R1869-1)*IF(Inputs!$B$39="pvp",15,MAX(0.1,Skills!D14-IF(TRUE=TRUE,Inputs!$B$32,0))))))/Skills!H14,1)))/Inputs!$B$44),G1869*Q1869))*IF(Inputs!$B$39="pvp",1,1+(Inputs!$B$20+0+Skills!P14+B1890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Hunt"),CHOOSE(ArtifactsInput!$N$35+1,15,18,21,24,27,30)*(1-EXP(-(0.2*B1893)*5)),0)+IF(AND(ArtifactsInput!$M$22,Inputs!$B$4&lt;&gt;"Chapter Hunt"),CHOOSE(ArtifactsInput!$N$22+1,10,12,14,16,18,20)*((0*(((0.15*B1893*5))^0/1)+1*(((0.15*B1893*5))^1/1)+2*(((0.15*B1893*5))^2/2)+3*(((0.15*B1893*5))^3/6)+4*(((0.15*B1893*5))^4/24)+5*(((0.15*B1893*5))^5/120))/((((0.15*B1893*5))^0/1)+(((0.15*B1893*5))^1/1)+(((0.15*B1893*5))^2/2)+(((0.15*B1893*5))^3/6)+(((0.15*B1893*5))^4/24)+(((0.15*B1893*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1869*(1-MIN(100,(Inputs!$B$9+((C1881=TRUE)*(F1881-Calc!F26))+B1889+(ArtifactsInput!$M$24-ArtifactsInput!$M$24)*CHOOSE(ArtifactsInput!$N$24+1,10,12,14,16,18,20)+(IF(AND(Inputs!$B$39&lt;&gt;"pvp",Inputs!$B$44=0),1,IF(IF(Inputs!$B$39="pvp",15,Inputs!$B$44)-(B1900)&lt;=0,1,MAX(0,IF(Inputs!$B$39="pvp",15,Inputs!$B$44)-MAX(5,B1900))/(IF(Inputs!$B$39="pvp",15,Inputs!$B$44)-(B1900))))*IF(AND(ArtifactsInput!$M$42,((Inputs!$B$9+((C1881=TRUE)*(F1881-Calc!F26))+B1889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1869*(MIN(100,(Inputs!$B$9+((C1881=TRUE)*(F1881-Calc!F26))+B1889+(ArtifactsInput!$M$24-ArtifactsInput!$M$24)*CHOOSE(ArtifactsInput!$N$24+1,10,12,14,16,18,20)+(IF(AND(Inputs!$B$39&lt;&gt;"pvp",Inputs!$B$44=0),1,IF(IF(Inputs!$B$39="pvp",15,Inputs!$B$44)-(B1900)&lt;=0,1,MAX(0,IF(Inputs!$B$39="pvp",15,Inputs!$B$44)-MAX(5,B1900))/(IF(Inputs!$B$39="pvp",15,Inputs!$B$44)-(B1900))))*IF(AND(ArtifactsInput!$M$42,((Inputs!$B$9+((C1881=TRUE)*(F1881-Calc!F26))+B1889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1869*(1-MIN(100,(Inputs!$B$9+((C1881=TRUE)*(F1881-Calc!F26))+B1889+(ArtifactsInput!$M$24-ArtifactsInput!$M$24)*CHOOSE(ArtifactsInput!$N$24+1,10,12,14,16,18,20)+(IF(AND(Inputs!$B$39&lt;&gt;"pvp",Inputs!$B$44=0),1,IF(IF(Inputs!$B$39="pvp",15,Inputs!$B$44)-(B1900)&lt;=0,1,MAX(0,IF(Inputs!$B$39="pvp",15,Inputs!$B$44)-MAX(5,B1900))/(IF(Inputs!$B$39="pvp",15,Inputs!$B$44)-(B1900))))*IF(AND(ArtifactsInput!$M$42,((Inputs!$B$9+((C1881=TRUE)*(F1881-Calc!F26))+B1889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1869*(MIN(100,(Inputs!$B$9+((C1881=TRUE)*(F1881-Calc!F26))+B1889+(ArtifactsInput!$M$24-ArtifactsInput!$M$24)*CHOOSE(ArtifactsInput!$N$24+1,10,12,14,16,18,20)+(IF(AND(Inputs!$B$39&lt;&gt;"pvp",Inputs!$B$44=0),1,IF(IF(Inputs!$B$39="pvp",15,Inputs!$B$44)-(B1900)&lt;=0,1,MAX(0,IF(Inputs!$B$39="pvp",15,Inputs!$B$44)-MAX(5,B1900))/(IF(Inputs!$B$39="pvp",15,Inputs!$B$44)-(B1900))))*IF(AND(ArtifactsInput!$M$42,((Inputs!$B$9+((C1881=TRUE)*(F1881-Calc!F26))+B1889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1869">
        <f>IF(C1869,(H1869*N1869*IF(AND(Inputs!$B$39&lt;&gt;"pvp",Inputs!$B$44&gt;0),((Skills!G14*((R1869-1)*IF(Skills!H14&gt;0,Skills!I14/Skills!H14,1)+IF(Skills!H14&gt;0,MIN(Skills!I14,MAX(0,MAX(0,Inputs!$B$44-B1900)-((R1869-1)*IF(Inputs!$B$39="pvp",15,MAX(0.1,Skills!D14-IF(TRUE=TRUE,Inputs!$B$32,0))))))/Skills!H14,1)))/Inputs!$B$44),G1869*Q1869))*IF(Inputs!$B$39="pvp",1,(1+(Inputs!$B$21+Skills!Q14+B1890+(IF(ArtifactsInput!$M$33,CHOOSE(ArtifactsInput!$N$33+1,30,36,42,48,54,60),0))+(IF(AND(ArtifactsInput!$M$35,Inputs!$B$4&lt;&gt;"Chapter Hunt"),CHOOSE(ArtifactsInput!$N$35+1,15,18,21,24,27,30)*(1-EXP(-(0.2*B1893)*5)),0)+IF(AND(ArtifactsInput!$M$22,Inputs!$B$4&lt;&gt;"Chapter Hunt"),CHOOSE(ArtifactsInput!$N$22+1,10,12,14,16,18,20)*((0*(((0.15*B1893*5))^0/1)+1*(((0.15*B1893*5))^1/1)+2*(((0.15*B1893*5))^2/2)+3*(((0.15*B1893*5))^3/6)+4*(((0.15*B1893*5))^4/24)+5*(((0.15*B1893*5))^5/120))/((((0.15*B1893*5))^0/1)+(((0.15*B1893*5))^1/1)+(((0.15*B1893*5))^2/2)+(((0.15*B1893*5))^3/6)+(((0.15*B1893*5))^4/24)+(((0.15*B1893*5))^5/120))),0)))/100)*(MIN(Skills!W14,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870">
      <c r="A1870">
        <f>Skills!A15</f>
        <v/>
      </c>
      <c r="B1870">
        <f>Skills!B15</f>
        <v/>
      </c>
      <c r="C1870">
        <f>Inputs!$B$3&gt;=107</f>
        <v/>
      </c>
      <c r="D1870">
        <f>IF(Skills!C15=1,60+Inputs!$B$25+Inputs!$B$29,IF(Skills!C15=2,90+Inputs!$B$26+Inputs!$B$29,IF(Skills!C15=3,120+Inputs!$B$27+Inputs!$B$29,MAX(0,(Inputs!$B$3-100)*3)+Inputs!$B$28+Inputs!$B$29)))</f>
        <v/>
      </c>
      <c r="E1870">
        <f>INDEX(FactorTable!$B$2:$Y$301, MATCH(ROUND(MIN(300,MAX(1,D1870)),0), FactorTable!$A$2:$A$301,0), Skills!M15+1)</f>
        <v/>
      </c>
      <c r="F1870">
        <f>IF(Skills!N15=TRUE,(Skills!L15/10)*(E1870/1000),Skills!L15/10)+Skills!O15</f>
        <v/>
      </c>
      <c r="G1870">
        <f>Skills!G15*IF(Skills!H15&gt;0,IF(Inputs!$B$39="pvp",MIN(Skills!I15,15),Skills!I15)/Skills!H15,1)</f>
        <v/>
      </c>
      <c r="H1870">
        <f>1-(1-Skills!J15/100)^Skills!K15</f>
        <v/>
      </c>
      <c r="I1870" t="inlineStr">
        <is>
          <t>1</t>
        </is>
      </c>
      <c r="J1870">
        <f>((Inputs!$B$6*(1+Inputs!$B$7/100))+(((Inputs!$B$12*(1+Inputs!$B$13/100))-(Inputs!$B$12*(1+Inputs!$B$13/100)))+0.25*(Inputs!$B$14-Inputs!$B$14))*(1+Inputs!$B$7/100))*(F1870/100)</f>
        <v/>
      </c>
      <c r="K1870">
        <f>J1870*(1+((Inputs!$B$12*(1+Inputs!$B$13/100))*0.01+Inputs!$B$14*0.0025)/100)*(1+Inputs!$B$15/100)*(1+Inputs!$B$16/100)*(5000/(6000+Inputs!$B$43*(1-(100*(1-(1-Inputs!$B$19/100)*(1-CHOOSE(ArtifactsInput!$N$40+1,5,6,7,8,9,10)/100)^(ArtifactsInput!$M$40-ArtifactsInput!$M$40)))/100)))*(1+(Inputs!$B$24+((C1886=TRUE)*(F1886-Calc!F31))+((C1873=TRUE)*(F1873-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Boss",2,1),0)/100)-1)*100+(IF(ArtifactsInput!$M$14,FALSE,TRUE)-ArtifactsInput!$M$14)*IF(OR(Inputs!$B$4="Weapon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15="CRUEL_STAB",Inputs!$B$17+((C1883=TRUE)*(F1883-Calc!F28))+((IF(AND(Inputs!$B$39&lt;&gt;"pvp",Inputs!$B$44=0),1,IF(IF(Inputs!$B$39="pvp",15,Inputs!$B$44)-(B1900)&lt;=0,1,MAX(0,IF(Inputs!$B$39="pvp",15,Inputs!$B$44)-MAX(5,B1900))/(IF(Inputs!$B$39="pvp",15,Inputs!$B$44)-(B1900))))*(IF(AND(ArtifactsInput!$M$42,((Inputs!$B$9+((C1881=TRUE)*(F1881-Calc!F26))+B1889+(ArtifactsInput!$M$24-ArtifactsInput!$M$24)*CHOOSE(ArtifactsInput!$N$24+1,10,12,14,16,18,20)+IF(ArtifactsInput!$M$10,CHOOSE(ArtifactsInput!$N$10+1,15,18,21,24,27,30)*(IF(Inputs!$B$39="pvp",MIN(15,15)/15,IF(AND(Inputs!$B$39&lt;&gt;"pvp",Inputs!$B$44&gt;0),MIN(15,Inputs!$B$44)/(Inputs!$B$44),0))),0)))&gt;=100),MIN(100,((Inputs!$B$9+((C1881=TRUE)*(F1881-Calc!F26))+B1889+(ArtifactsInput!$M$24-ArtifactsInput!$M$24)*CHOOSE(ArtifactsInput!$N$24+1,10,12,14,16,18,20)+IF(ArtifactsInput!$M$10,CHOOSE(ArtifactsInput!$N$10+1,15,18,21,24,27,30)*(IF(Inputs!$B$39="pvp",MIN(15,15)/15,IF(AND(Inputs!$B$39&lt;&gt;"pvp",Inputs!$B$44&gt;0),MIN(15,Inputs!$B$44)/(Inputs!$B$44),0))),0)))-100),0))*CHOOSE(ArtifactsInput!$N$42+1,0.6,0.72,0.84,0.96,1.08,1.2))),Inputs!$B$18+((C1884=TRUE)*(F1884-Calc!F29))+(IF(AND(Inputs!$B$39&lt;&gt;"pvp",Inputs!$B$44=0),1,IF(IF(Inputs!$B$39="pvp",15,Inputs!$B$44)-(B1900)&lt;=0,1,MAX(0,IF(Inputs!$B$39="pvp",15,Inputs!$B$44)-MAX(5,B1900))/(IF(Inputs!$B$39="pvp",15,Inputs!$B$44)-(B1900))))*IF(AND(ArtifactsInput!$M$42,((Inputs!$B$9+((C1881=TRUE)*(F1881-Calc!F26))+B1889+(ArtifactsInput!$M$24-ArtifactsInput!$M$24)*CHOOSE(ArtifactsInput!$N$24+1,10,12,14,16,18,20)+IF(ArtifactsInput!$M$10,CHOOSE(ArtifactsInput!$N$10+1,15,18,21,24,27,30)*(IF(Inputs!$B$39="pvp",MIN(15,15)/15,IF(AND(Inputs!$B$39&lt;&gt;"pvp",Inputs!$B$44&gt;0),MIN(15,Inputs!$B$44)/(Inputs!$B$44),0))),0)))&gt;=100),CHOOSE(ArtifactsInput!$N$42+1,40,48,56,64,72,80),0))))/100)*(((1+(((C1877=TRUE)*F1877*IF(AND(Inputs!$B$39&lt;&gt;"pvp",Inputs!$B$44&gt;0),(((R1877-1)*MIN((Skills!Y22*(1+Inputs!$B$34/100)),(1/Q1877))+MIN((Skills!Y22*(1+Inputs!$B$34/100)),MAX(0,Inputs!$B$44-((R1877-1)*(1/Q1877)))))/Inputs!$B$44),IF(Inputs!$B$39="pvp",MIN((Skills!Y22*(1+Inputs!$B$34/100)),15)/15,MIN(1,(Skills!Y22*(1+Inputs!$B$34/100))/(1/Q1877)))))+((C1858=TRUE)*F1858*3)+((C1860=TRUE)*F1860*(1-EXP(-0.75*B1893*5)))+((C1879=TRUE)*(F1879-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1866=TRUE)*F1866*IF(AND(Inputs!$B$39&lt;&gt;"pvp",Inputs!$B$44&gt;0),(((R1866-1)*MIN((Skills!Y11*(1+Inputs!$B$34/100)),(1/Q1866))+MIN((Skills!Y11*(1+Inputs!$B$34/100)),MAX(0,Inputs!$B$44-((R1866-1)*(1/Q1866)))))/Inputs!$B$44),IF(Inputs!$B$39="pvp",MIN((Skills!Y11*(1+Inputs!$B$34/100)),15)/15,MIN(1,(Skills!Y11*(1+Inputs!$B$34/100))/(1/Q1866)))))/100)*(1+((C1871=TRUE)*F1871*IF(AND(Inputs!$B$39&lt;&gt;"pvp",Inputs!$B$44&gt;0),(((R1871-1)*MIN((Skills!Y16*(1+Inputs!$B$34/100)),(1/Q1871))+MIN((Skills!Y16*(1+Inputs!$B$34/100)),MAX(0,Inputs!$B$44-((R1871-1)*(1/Q1871)))))/Inputs!$B$44),IF(Inputs!$B$39="pvp",MIN((Skills!Y16*(1+Inputs!$B$34/100)),15)/15,MIN(1,(Skills!Y16*(1+Inputs!$B$34/100))/(1/Q1871)))))/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1891*I1870)</f>
        <v/>
      </c>
      <c r="L1870">
        <f>K1870*(MIN(Inputs!$B$22+((C1880=TRUE)*(F1880-Calc!F25)),(Inputs!$B$23+((C1885=TRUE)*(F1885-Calc!F30))+IF(ArtifactsInput!$M$15,CHOOSE(ArtifactsInput!$N$15+1,25,30,35,40,45,50)/100*(Inputs!$B$11-Inputs!$B$11),0)))/100+(Inputs!$B$23+((C1885=TRUE)*(F1885-Calc!F30))+IF(ArtifactsInput!$M$15,CHOOSE(ArtifactsInput!$N$15+1,25,30,35,40,45,50)/100*(Inputs!$B$11-Inputs!$B$11),0))/100)/2</f>
        <v/>
      </c>
      <c r="M1870">
        <f>L1870*(1+(Inputs!$B$10+((C1882=TRUE)*(F1882-Calc!F27))+B1896+(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1870">
        <f>L1870*(1-MIN((Inputs!$B$9+((C1881=TRUE)*(F1881-Calc!F26))+B1889+(ArtifactsInput!$M$24-ArtifactsInput!$M$24)*CHOOSE(ArtifactsInput!$N$24+1,10,12,14,16,18,20)+(IF(AND(Inputs!$B$39&lt;&gt;"pvp",Inputs!$B$44=0),1,IF(IF(Inputs!$B$39="pvp",15,Inputs!$B$44)-(B1900)&lt;=0,1,MAX(0,IF(Inputs!$B$39="pvp",15,Inputs!$B$44)-MAX(5,B1900))/(IF(Inputs!$B$39="pvp",15,Inputs!$B$44)-(B1900))))*IF(AND(ArtifactsInput!$M$42,((Inputs!$B$9+((C1881=TRUE)*(F1881-Calc!F26))+B1889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1870*(MIN((Inputs!$B$9+((C1881=TRUE)*(F1881-Calc!F26))+B1889+(ArtifactsInput!$M$24-ArtifactsInput!$M$24)*CHOOSE(ArtifactsInput!$N$24+1,10,12,14,16,18,20)+(IF(AND(Inputs!$B$39&lt;&gt;"pvp",Inputs!$B$44=0),1,IF(IF(Inputs!$B$39="pvp",15,Inputs!$B$44)-(B1900)&lt;=0,1,MAX(0,IF(Inputs!$B$39="pvp",15,Inputs!$B$44)-MAX(5,B1900))/(IF(Inputs!$B$39="pvp",15,Inputs!$B$44)-(B1900))))*IF(AND(ArtifactsInput!$M$42,((Inputs!$B$9+((C1881=TRUE)*(F1881-Calc!F26))+B1889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870">
        <f>(1-Summary!$B$11)*T1870+Summary!$B$11*V1870</f>
        <v/>
      </c>
      <c r="P1870">
        <f>IF(B1901=0,0,O1870/B1901)</f>
        <v/>
      </c>
      <c r="Q1870">
        <f>IFERROR(1/IF(Inputs!$B$39="pvp",15,MAX(0.1,Skills!D15-IF(TRUE=TRUE,Inputs!$B$32,0))),0)</f>
        <v/>
      </c>
      <c r="R1870">
        <f>IF(AND(Inputs!$B$39&lt;&gt;"pvp",Inputs!$B$44&gt;0),IF(MAX(0,Inputs!$B$44-B1900)&lt;=0,0,(INT(MAX(0,Inputs!$B$44-B1900)/IF(Inputs!$B$39="pvp",15,MAX(0.1,Skills!D15-IF(TRUE=TRUE,Inputs!$B$32,0))))+1)),0)</f>
        <v/>
      </c>
      <c r="S1870">
        <f>IFERROR(O1870/N1870,0)</f>
        <v/>
      </c>
      <c r="T1870">
        <f>IF(C1870,(H1870*N1870*IF(AND(Inputs!$B$39&lt;&gt;"pvp",Inputs!$B$44&gt;0),((Skills!G15*((R1870-1)*IF(Skills!H15&gt;0,Skills!I15/Skills!H15,1)+IF(Skills!H15&gt;0,MIN(Skills!I15,MAX(0,MAX(0,Inputs!$B$44-B1900)-((R1870-1)*IF(Inputs!$B$39="pvp",15,MAX(0.1,Skills!D15-IF(TRUE=TRUE,Inputs!$B$32,0))))))/Skills!H15,1)))/Inputs!$B$44),G1870*Q1870))*IF(Inputs!$B$39="pvp",1,1+(Inputs!$B$20+0+Skills!P15+B1890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Hunt"),CHOOSE(ArtifactsInput!$N$35+1,15,18,21,24,27,30)*(1-EXP(-(0.2*B1893)*5)),0)+IF(AND(ArtifactsInput!$M$22,Inputs!$B$4&lt;&gt;"Chapter Hunt"),CHOOSE(ArtifactsInput!$N$22+1,10,12,14,16,18,20)*((0*(((0.15*B1893*5))^0/1)+1*(((0.15*B1893*5))^1/1)+2*(((0.15*B1893*5))^2/2)+3*(((0.15*B1893*5))^3/6)+4*(((0.15*B1893*5))^4/24)+5*(((0.15*B1893*5))^5/120))/((((0.15*B1893*5))^0/1)+(((0.15*B1893*5))^1/1)+(((0.15*B1893*5))^2/2)+(((0.15*B1893*5))^3/6)+(((0.15*B1893*5))^4/24)+(((0.15*B1893*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1870*(1-MIN(100,(Inputs!$B$9+((C1881=TRUE)*(F1881-Calc!F26))+B1889+(ArtifactsInput!$M$24-ArtifactsInput!$M$24)*CHOOSE(ArtifactsInput!$N$24+1,10,12,14,16,18,20)+(IF(AND(Inputs!$B$39&lt;&gt;"pvp",Inputs!$B$44=0),1,IF(IF(Inputs!$B$39="pvp",15,Inputs!$B$44)-(B1900)&lt;=0,1,MAX(0,IF(Inputs!$B$39="pvp",15,Inputs!$B$44)-MAX(5,B1900))/(IF(Inputs!$B$39="pvp",15,Inputs!$B$44)-(B1900))))*IF(AND(ArtifactsInput!$M$42,((Inputs!$B$9+((C1881=TRUE)*(F1881-Calc!F26))+B1889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1870*(MIN(100,(Inputs!$B$9+((C1881=TRUE)*(F1881-Calc!F26))+B1889+(ArtifactsInput!$M$24-ArtifactsInput!$M$24)*CHOOSE(ArtifactsInput!$N$24+1,10,12,14,16,18,20)+(IF(AND(Inputs!$B$39&lt;&gt;"pvp",Inputs!$B$44=0),1,IF(IF(Inputs!$B$39="pvp",15,Inputs!$B$44)-(B1900)&lt;=0,1,MAX(0,IF(Inputs!$B$39="pvp",15,Inputs!$B$44)-MAX(5,B1900))/(IF(Inputs!$B$39="pvp",15,Inputs!$B$44)-(B1900))))*IF(AND(ArtifactsInput!$M$42,((Inputs!$B$9+((C1881=TRUE)*(F1881-Calc!F26))+B1889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1870*(1-MIN(100,(Inputs!$B$9+((C1881=TRUE)*(F1881-Calc!F26))+B1889+(ArtifactsInput!$M$24-ArtifactsInput!$M$24)*CHOOSE(ArtifactsInput!$N$24+1,10,12,14,16,18,20)+(IF(AND(Inputs!$B$39&lt;&gt;"pvp",Inputs!$B$44=0),1,IF(IF(Inputs!$B$39="pvp",15,Inputs!$B$44)-(B1900)&lt;=0,1,MAX(0,IF(Inputs!$B$39="pvp",15,Inputs!$B$44)-MAX(5,B1900))/(IF(Inputs!$B$39="pvp",15,Inputs!$B$44)-(B1900))))*IF(AND(ArtifactsInput!$M$42,((Inputs!$B$9+((C1881=TRUE)*(F1881-Calc!F26))+B1889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1870*(MIN(100,(Inputs!$B$9+((C1881=TRUE)*(F1881-Calc!F26))+B1889+(ArtifactsInput!$M$24-ArtifactsInput!$M$24)*CHOOSE(ArtifactsInput!$N$24+1,10,12,14,16,18,20)+(IF(AND(Inputs!$B$39&lt;&gt;"pvp",Inputs!$B$44=0),1,IF(IF(Inputs!$B$39="pvp",15,Inputs!$B$44)-(B1900)&lt;=0,1,MAX(0,IF(Inputs!$B$39="pvp",15,Inputs!$B$44)-MAX(5,B1900))/(IF(Inputs!$B$39="pvp",15,Inputs!$B$44)-(B1900))))*IF(AND(ArtifactsInput!$M$42,((Inputs!$B$9+((C1881=TRUE)*(F1881-Calc!F26))+B1889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1870">
        <f>IF(C1870,(H1870*N1870*IF(AND(Inputs!$B$39&lt;&gt;"pvp",Inputs!$B$44&gt;0),((Skills!G15*((R1870-1)*IF(Skills!H15&gt;0,Skills!I15/Skills!H15,1)+IF(Skills!H15&gt;0,MIN(Skills!I15,MAX(0,MAX(0,Inputs!$B$44-B1900)-((R1870-1)*IF(Inputs!$B$39="pvp",15,MAX(0.1,Skills!D15-IF(TRUE=TRUE,Inputs!$B$32,0))))))/Skills!H15,1)))/Inputs!$B$44),G1870*Q1870))*IF(Inputs!$B$39="pvp",1,(1+(Inputs!$B$21+Skills!Q15+B1890+(IF(ArtifactsInput!$M$33,CHOOSE(ArtifactsInput!$N$33+1,30,36,42,48,54,60),0))+(IF(AND(ArtifactsInput!$M$35,Inputs!$B$4&lt;&gt;"Chapter Hunt"),CHOOSE(ArtifactsInput!$N$35+1,15,18,21,24,27,30)*(1-EXP(-(0.2*B1893)*5)),0)+IF(AND(ArtifactsInput!$M$22,Inputs!$B$4&lt;&gt;"Chapter Hunt"),CHOOSE(ArtifactsInput!$N$22+1,10,12,14,16,18,20)*((0*(((0.15*B1893*5))^0/1)+1*(((0.15*B1893*5))^1/1)+2*(((0.15*B1893*5))^2/2)+3*(((0.15*B1893*5))^3/6)+4*(((0.15*B1893*5))^4/24)+5*(((0.15*B1893*5))^5/120))/((((0.15*B1893*5))^0/1)+(((0.15*B1893*5))^1/1)+(((0.15*B1893*5))^2/2)+(((0.15*B1893*5))^3/6)+(((0.15*B1893*5))^4/24)+(((0.15*B1893*5))^5/120))),0)))/100)*(MIN(MIN(5,0.5*IF(Inputs!$B$3&gt;=75,0.75,0.5)*B1893*(1/Q1859))*Skills!V15,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871">
      <c r="A1871">
        <f>Skills!A16</f>
        <v/>
      </c>
      <c r="B1871">
        <f>Skills!B16</f>
        <v/>
      </c>
      <c r="C1871">
        <f>Inputs!$B$3&gt;=110</f>
        <v/>
      </c>
      <c r="D1871">
        <f>IF(Skills!C16=1,60+Inputs!$B$25+Inputs!$B$29,IF(Skills!C16=2,90+Inputs!$B$26+Inputs!$B$29,IF(Skills!C16=3,120+Inputs!$B$27+Inputs!$B$29,MAX(0,(Inputs!$B$3-100)*3)+Inputs!$B$28+Inputs!$B$29)))</f>
        <v/>
      </c>
      <c r="E1871">
        <f>INDEX(FactorTable!$B$2:$Y$301, MATCH(ROUND(MIN(300,MAX(1,D1871)),0), FactorTable!$A$2:$A$301,0), Skills!M16+1)</f>
        <v/>
      </c>
      <c r="F1871">
        <f>IF(Skills!N16=TRUE,(Skills!L16/10)*(E1871/1000),Skills!L16/10)+Skills!O16</f>
        <v/>
      </c>
      <c r="G1871">
        <f>Skills!G16*IF(Skills!H16&gt;0,IF(Inputs!$B$39="pvp",MIN(Skills!I16,15),Skills!I16)/Skills!H16,1)</f>
        <v/>
      </c>
      <c r="H1871">
        <f>1-(1-Skills!J16/100)^Skills!K16</f>
        <v/>
      </c>
      <c r="I1871" t="inlineStr">
        <is>
          <t>1</t>
        </is>
      </c>
      <c r="J1871" t="inlineStr"/>
      <c r="K1871" t="inlineStr"/>
      <c r="L1871" t="inlineStr"/>
      <c r="M1871" t="inlineStr"/>
      <c r="N1871" t="inlineStr"/>
      <c r="O1871">
        <f>(1-Summary!$B$11)*T1871+Summary!$B$11*V1871</f>
        <v/>
      </c>
      <c r="P1871">
        <f>IF(B1901=0,0,O1871/B1901)</f>
        <v/>
      </c>
      <c r="Q1871">
        <f>IFERROR(1/IF(Inputs!$B$39="pvp",15,MAX(0.1,Skills!D16-IF(TRUE=TRUE,Inputs!$B$32,0))),0)</f>
        <v/>
      </c>
      <c r="R1871">
        <f>IF(AND(Inputs!$B$39&lt;&gt;"pvp",Inputs!$B$44&gt;0),IF(Inputs!$B$44&lt;=0,0,(INT(Inputs!$B$44/IF(Inputs!$B$39="pvp",15,MAX(0.1,Skills!D16-IF(TRUE=TRUE,Inputs!$B$32,0))))+1)),0)</f>
        <v/>
      </c>
      <c r="S1871">
        <f>IFERROR(O1871/N1871,0)</f>
        <v/>
      </c>
      <c r="T1871" t="n">
        <v>0</v>
      </c>
      <c r="V1871" t="n">
        <v>0</v>
      </c>
    </row>
    <row r="1872">
      <c r="A1872">
        <f>Skills!A17</f>
        <v/>
      </c>
      <c r="B1872">
        <f>Skills!B17</f>
        <v/>
      </c>
      <c r="C1872">
        <f>Inputs!$B$3&gt;=115</f>
        <v/>
      </c>
      <c r="D1872">
        <f>IF(Skills!C17=1,60+Inputs!$B$25+Inputs!$B$29,IF(Skills!C17=2,90+Inputs!$B$26+Inputs!$B$29,IF(Skills!C17=3,120+Inputs!$B$27+Inputs!$B$29,MAX(0,(Inputs!$B$3-100)*3)+Inputs!$B$28+Inputs!$B$29)))</f>
        <v/>
      </c>
      <c r="E1872">
        <f>INDEX(FactorTable!$B$2:$Y$301, MATCH(ROUND(MIN(300,MAX(1,D1872)),0), FactorTable!$A$2:$A$301,0), Skills!M17+1)</f>
        <v/>
      </c>
      <c r="F1872">
        <f>IF(Skills!N17=TRUE,(Skills!L17/10)*(E1872/1000),Skills!L17/10)+Skills!O17</f>
        <v/>
      </c>
      <c r="G1872">
        <f>Skills!G17*IF(Skills!H17&gt;0,IF(Inputs!$B$39="pvp",MIN(Skills!I17,15),Skills!I17)/Skills!H17,1)</f>
        <v/>
      </c>
      <c r="H1872">
        <f>1-(1-Skills!J17/100)^Skills!K17</f>
        <v/>
      </c>
      <c r="I1872" t="inlineStr">
        <is>
          <t>1</t>
        </is>
      </c>
      <c r="J1872">
        <f>((Inputs!$B$6*(1+Inputs!$B$7/100))+(((Inputs!$B$12*(1+Inputs!$B$13/100))-(Inputs!$B$12*(1+Inputs!$B$13/100)))+0.25*(Inputs!$B$14-Inputs!$B$14))*(1+Inputs!$B$7/100))*(F1872/100)</f>
        <v/>
      </c>
      <c r="K1872">
        <f>J1872*(1+((Inputs!$B$12*(1+Inputs!$B$13/100))*0.01+Inputs!$B$14*0.0025)/100)*(1+Inputs!$B$15/100)*(1+Inputs!$B$16/100)*(5000/(6000+Inputs!$B$43*(1-(100*(1-(1-Inputs!$B$19/100)*(1-CHOOSE(ArtifactsInput!$N$40+1,5,6,7,8,9,10)/100)^(ArtifactsInput!$M$40-ArtifactsInput!$M$40)))/100)))*(1+(Inputs!$B$24+((C1886=TRUE)*(F1886-Calc!F31))+((C1873=TRUE)*(F1873-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Boss",2,1),0)/100)-1)*100+(IF(ArtifactsInput!$M$14,FALSE,TRUE)-ArtifactsInput!$M$14)*IF(OR(Inputs!$B$4="Weapon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17="CRUEL_STAB",Inputs!$B$17+((C1883=TRUE)*(F1883-Calc!F28))+((IF(AND(Inputs!$B$39&lt;&gt;"pvp",Inputs!$B$44=0),1,IF(IF(Inputs!$B$39="pvp",15,Inputs!$B$44)-(B1900)&lt;=0,1,MAX(0,IF(Inputs!$B$39="pvp",15,Inputs!$B$44)-MAX(5,B1900))/(IF(Inputs!$B$39="pvp",15,Inputs!$B$44)-(B1900))))*(IF(AND(ArtifactsInput!$M$42,((Inputs!$B$9+((C1881=TRUE)*(F1881-Calc!F26))+B1889+(ArtifactsInput!$M$24-ArtifactsInput!$M$24)*CHOOSE(ArtifactsInput!$N$24+1,10,12,14,16,18,20)+IF(ArtifactsInput!$M$10,CHOOSE(ArtifactsInput!$N$10+1,15,18,21,24,27,30)*(IF(Inputs!$B$39="pvp",MIN(15,15)/15,IF(AND(Inputs!$B$39&lt;&gt;"pvp",Inputs!$B$44&gt;0),MIN(15,Inputs!$B$44)/(Inputs!$B$44),0))),0)))&gt;=100),MIN(100,((Inputs!$B$9+((C1881=TRUE)*(F1881-Calc!F26))+B1889+(ArtifactsInput!$M$24-ArtifactsInput!$M$24)*CHOOSE(ArtifactsInput!$N$24+1,10,12,14,16,18,20)+IF(ArtifactsInput!$M$10,CHOOSE(ArtifactsInput!$N$10+1,15,18,21,24,27,30)*(IF(Inputs!$B$39="pvp",MIN(15,15)/15,IF(AND(Inputs!$B$39&lt;&gt;"pvp",Inputs!$B$44&gt;0),MIN(15,Inputs!$B$44)/(Inputs!$B$44),0))),0)))-100),0))*CHOOSE(ArtifactsInput!$N$42+1,0.6,0.72,0.84,0.96,1.08,1.2))),Inputs!$B$18+((C1884=TRUE)*(F1884-Calc!F29))+(IF(AND(Inputs!$B$39&lt;&gt;"pvp",Inputs!$B$44=0),1,IF(IF(Inputs!$B$39="pvp",15,Inputs!$B$44)-(B1900)&lt;=0,1,MAX(0,IF(Inputs!$B$39="pvp",15,Inputs!$B$44)-MAX(5,B1900))/(IF(Inputs!$B$39="pvp",15,Inputs!$B$44)-(B1900))))*IF(AND(ArtifactsInput!$M$42,((Inputs!$B$9+((C1881=TRUE)*(F1881-Calc!F26))+B1889+(ArtifactsInput!$M$24-ArtifactsInput!$M$24)*CHOOSE(ArtifactsInput!$N$24+1,10,12,14,16,18,20)+IF(ArtifactsInput!$M$10,CHOOSE(ArtifactsInput!$N$10+1,15,18,21,24,27,30)*(IF(Inputs!$B$39="pvp",MIN(15,15)/15,IF(AND(Inputs!$B$39&lt;&gt;"pvp",Inputs!$B$44&gt;0),MIN(15,Inputs!$B$44)/(Inputs!$B$44),0))),0)))&gt;=100),CHOOSE(ArtifactsInput!$N$42+1,40,48,56,64,72,80),0))))/100)*(((1+(((C1877=TRUE)*F1877*IF(AND(Inputs!$B$39&lt;&gt;"pvp",Inputs!$B$44&gt;0),(((R1877-1)*MIN((Skills!Y22*(1+Inputs!$B$34/100)),(1/Q1877))+MIN((Skills!Y22*(1+Inputs!$B$34/100)),MAX(0,Inputs!$B$44-((R1877-1)*(1/Q1877)))))/Inputs!$B$44),IF(Inputs!$B$39="pvp",MIN((Skills!Y22*(1+Inputs!$B$34/100)),15)/15,MIN(1,(Skills!Y22*(1+Inputs!$B$34/100))/(1/Q1877)))))+((C1858=TRUE)*F1858*3)+((C1860=TRUE)*F1860*(1-EXP(-0.75*B1893*5)))+((C1879=TRUE)*(F1879-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1866=TRUE)*F1866*IF(AND(Inputs!$B$39&lt;&gt;"pvp",Inputs!$B$44&gt;0),(((R1866-1)*MIN((Skills!Y11*(1+Inputs!$B$34/100)),(1/Q1866))+MIN((Skills!Y11*(1+Inputs!$B$34/100)),MAX(0,Inputs!$B$44-((R1866-1)*(1/Q1866)))))/Inputs!$B$44),IF(Inputs!$B$39="pvp",MIN((Skills!Y11*(1+Inputs!$B$34/100)),15)/15,MIN(1,(Skills!Y11*(1+Inputs!$B$34/100))/(1/Q1866)))))/100)*(1+((C1871=TRUE)*F1871*IF(AND(Inputs!$B$39&lt;&gt;"pvp",Inputs!$B$44&gt;0),(((R1871-1)*MIN((Skills!Y16*(1+Inputs!$B$34/100)),(1/Q1871))+MIN((Skills!Y16*(1+Inputs!$B$34/100)),MAX(0,Inputs!$B$44-((R1871-1)*(1/Q1871)))))/Inputs!$B$44),IF(Inputs!$B$39="pvp",MIN((Skills!Y16*(1+Inputs!$B$34/100)),15)/15,MIN(1,(Skills!Y16*(1+Inputs!$B$34/100))/(1/Q1871)))))/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1891*I1872)</f>
        <v/>
      </c>
      <c r="L1872">
        <f>K1872*(MIN(Inputs!$B$22+((C1880=TRUE)*(F1880-Calc!F25)),(Inputs!$B$23+((C1885=TRUE)*(F1885-Calc!F30))+IF(ArtifactsInput!$M$15,CHOOSE(ArtifactsInput!$N$15+1,25,30,35,40,45,50)/100*(Inputs!$B$11-Inputs!$B$11),0)))/100+(Inputs!$B$23+((C1885=TRUE)*(F1885-Calc!F30))+IF(ArtifactsInput!$M$15,CHOOSE(ArtifactsInput!$N$15+1,25,30,35,40,45,50)/100*(Inputs!$B$11-Inputs!$B$11),0))/100)/2</f>
        <v/>
      </c>
      <c r="M1872">
        <f>L1872*(1+(Inputs!$B$10+((C1882=TRUE)*(F1882-Calc!F27))+B1896+(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1872">
        <f>L1872*(1-MIN((Inputs!$B$9+((C1881=TRUE)*(F1881-Calc!F26))+B1889+(ArtifactsInput!$M$24-ArtifactsInput!$M$24)*CHOOSE(ArtifactsInput!$N$24+1,10,12,14,16,18,20)+(IF(AND(Inputs!$B$39&lt;&gt;"pvp",Inputs!$B$44=0),1,IF(IF(Inputs!$B$39="pvp",15,Inputs!$B$44)-(B1900)&lt;=0,1,MAX(0,IF(Inputs!$B$39="pvp",15,Inputs!$B$44)-MAX(5,B1900))/(IF(Inputs!$B$39="pvp",15,Inputs!$B$44)-(B1900))))*IF(AND(ArtifactsInput!$M$42,((Inputs!$B$9+((C1881=TRUE)*(F1881-Calc!F26))+B1889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1872*(MIN((Inputs!$B$9+((C1881=TRUE)*(F1881-Calc!F26))+B1889+(ArtifactsInput!$M$24-ArtifactsInput!$M$24)*CHOOSE(ArtifactsInput!$N$24+1,10,12,14,16,18,20)+(IF(AND(Inputs!$B$39&lt;&gt;"pvp",Inputs!$B$44=0),1,IF(IF(Inputs!$B$39="pvp",15,Inputs!$B$44)-(B1900)&lt;=0,1,MAX(0,IF(Inputs!$B$39="pvp",15,Inputs!$B$44)-MAX(5,B1900))/(IF(Inputs!$B$39="pvp",15,Inputs!$B$44)-(B1900))))*IF(AND(ArtifactsInput!$M$42,((Inputs!$B$9+((C1881=TRUE)*(F1881-Calc!F26))+B1889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872">
        <f>(1-Summary!$B$11)*T1872+Summary!$B$11*V1872</f>
        <v/>
      </c>
      <c r="P1872">
        <f>IF(B1901=0,0,O1872/B1901)</f>
        <v/>
      </c>
      <c r="Q1872" t="n">
        <v>0</v>
      </c>
      <c r="R1872" t="n">
        <v>0</v>
      </c>
      <c r="S1872">
        <f>IFERROR(O1872/N1872,0)</f>
        <v/>
      </c>
      <c r="T1872">
        <f>IF(C1872,(Inputs!$B$38*0.2*N1872)*IF(Inputs!$B$39="pvp",1,1+(Inputs!$B$20+0+Skills!P17+B1890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Hunt"),CHOOSE(ArtifactsInput!$N$35+1,15,18,21,24,27,30)*(1-EXP(-(0.2*B1893)*5)),0)+IF(AND(ArtifactsInput!$M$22,Inputs!$B$4&lt;&gt;"Chapter Hunt"),CHOOSE(ArtifactsInput!$N$22+1,10,12,14,16,18,20)*((0*(((0.15*B1893*5))^0/1)+1*(((0.15*B1893*5))^1/1)+2*(((0.15*B1893*5))^2/2)+3*(((0.15*B1893*5))^3/6)+4*(((0.15*B1893*5))^4/24)+5*(((0.15*B1893*5))^5/120))/((((0.15*B1893*5))^0/1)+(((0.15*B1893*5))^1/1)+(((0.15*B1893*5))^2/2)+(((0.15*B1893*5))^3/6)+(((0.15*B1893*5))^4/24)+(((0.15*B1893*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1872*(1-MIN(100,(Inputs!$B$9+((C1881=TRUE)*(F1881-Calc!F26))+B1889+(ArtifactsInput!$M$24-ArtifactsInput!$M$24)*CHOOSE(ArtifactsInput!$N$24+1,10,12,14,16,18,20)+(IF(AND(Inputs!$B$39&lt;&gt;"pvp",Inputs!$B$44=0),1,IF(IF(Inputs!$B$39="pvp",15,Inputs!$B$44)-(B1900)&lt;=0,1,MAX(0,IF(Inputs!$B$39="pvp",15,Inputs!$B$44)-MAX(5,B1900))/(IF(Inputs!$B$39="pvp",15,Inputs!$B$44)-(B1900))))*IF(AND(ArtifactsInput!$M$42,((Inputs!$B$9+((C1881=TRUE)*(F1881-Calc!F26))+B1889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1872*(MIN(100,(Inputs!$B$9+((C1881=TRUE)*(F1881-Calc!F26))+B1889+(ArtifactsInput!$M$24-ArtifactsInput!$M$24)*CHOOSE(ArtifactsInput!$N$24+1,10,12,14,16,18,20)+(IF(AND(Inputs!$B$39&lt;&gt;"pvp",Inputs!$B$44=0),1,IF(IF(Inputs!$B$39="pvp",15,Inputs!$B$44)-(B1900)&lt;=0,1,MAX(0,IF(Inputs!$B$39="pvp",15,Inputs!$B$44)-MAX(5,B1900))/(IF(Inputs!$B$39="pvp",15,Inputs!$B$44)-(B1900))))*IF(AND(ArtifactsInput!$M$42,((Inputs!$B$9+((C1881=TRUE)*(F1881-Calc!F26))+B1889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1872*(1-MIN(100,(Inputs!$B$9+((C1881=TRUE)*(F1881-Calc!F26))+B1889+(ArtifactsInput!$M$24-ArtifactsInput!$M$24)*CHOOSE(ArtifactsInput!$N$24+1,10,12,14,16,18,20)+(IF(AND(Inputs!$B$39&lt;&gt;"pvp",Inputs!$B$44=0),1,IF(IF(Inputs!$B$39="pvp",15,Inputs!$B$44)-(B1900)&lt;=0,1,MAX(0,IF(Inputs!$B$39="pvp",15,Inputs!$B$44)-MAX(5,B1900))/(IF(Inputs!$B$39="pvp",15,Inputs!$B$44)-(B1900))))*IF(AND(ArtifactsInput!$M$42,((Inputs!$B$9+((C1881=TRUE)*(F1881-Calc!F26))+B1889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1872*(MIN(100,(Inputs!$B$9+((C1881=TRUE)*(F1881-Calc!F26))+B1889+(ArtifactsInput!$M$24-ArtifactsInput!$M$24)*CHOOSE(ArtifactsInput!$N$24+1,10,12,14,16,18,20)+(IF(AND(Inputs!$B$39&lt;&gt;"pvp",Inputs!$B$44=0),1,IF(IF(Inputs!$B$39="pvp",15,Inputs!$B$44)-(B1900)&lt;=0,1,MAX(0,IF(Inputs!$B$39="pvp",15,Inputs!$B$44)-MAX(5,B1900))/(IF(Inputs!$B$39="pvp",15,Inputs!$B$44)-(B1900))))*IF(AND(ArtifactsInput!$M$42,((Inputs!$B$9+((C1881=TRUE)*(F1881-Calc!F26))+B1889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1872">
        <f>IF(C1872,(Inputs!$B$38*0.2*N1872)*IF(Inputs!$B$39="pvp",1,(1+(Inputs!$B$21+Skills!Q17+B1890+(IF(ArtifactsInput!$M$33,CHOOSE(ArtifactsInput!$N$33+1,30,36,42,48,54,60),0))+(IF(AND(ArtifactsInput!$M$35,Inputs!$B$4&lt;&gt;"Chapter Hunt"),CHOOSE(ArtifactsInput!$N$35+1,15,18,21,24,27,30)*(1-EXP(-(0.2*B1893)*5)),0)+IF(AND(ArtifactsInput!$M$22,Inputs!$B$4&lt;&gt;"Chapter Hunt"),CHOOSE(ArtifactsInput!$N$22+1,10,12,14,16,18,20)*((0*(((0.15*B1893*5))^0/1)+1*(((0.15*B1893*5))^1/1)+2*(((0.15*B1893*5))^2/2)+3*(((0.15*B1893*5))^3/6)+4*(((0.15*B1893*5))^4/24)+5*(((0.15*B1893*5))^5/120))/((((0.15*B1893*5))^0/1)+(((0.15*B1893*5))^1/1)+(((0.15*B1893*5))^2/2)+(((0.15*B1893*5))^3/6)+(((0.15*B1893*5))^4/24)+(((0.15*B1893*5))^5/120))),0)))/100)*(MIN(Skills!W17,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873">
      <c r="A1873">
        <f>Skills!A18</f>
        <v/>
      </c>
      <c r="B1873">
        <f>Skills!B18</f>
        <v/>
      </c>
      <c r="C1873">
        <f>Inputs!$B$3&gt;=115</f>
        <v/>
      </c>
      <c r="D1873">
        <f>IF(Skills!C18=1,60+Inputs!$B$25+Inputs!$B$29,IF(Skills!C18=2,90+Inputs!$B$26+Inputs!$B$29,IF(Skills!C18=3,120+Inputs!$B$27+Inputs!$B$29,MAX(0,(Inputs!$B$3-100)*3)+Inputs!$B$28+Inputs!$B$29)))</f>
        <v/>
      </c>
      <c r="E1873">
        <f>INDEX(FactorTable!$B$2:$Y$301, MATCH(ROUND(MIN(300,MAX(1,D1873)),0), FactorTable!$A$2:$A$301,0), Skills!M18+1)</f>
        <v/>
      </c>
      <c r="F1873">
        <f>IF(Skills!N18=TRUE,(Skills!L18/10)*(E1873/1000),Skills!L18/10)+Skills!O18</f>
        <v/>
      </c>
      <c r="G1873">
        <f>Skills!G18*IF(Skills!H18&gt;0,IF(Inputs!$B$39="pvp",MIN(Skills!I18,15),Skills!I18)/Skills!H18,1)</f>
        <v/>
      </c>
      <c r="H1873">
        <f>1-(1-Skills!J18/100)^Skills!K18</f>
        <v/>
      </c>
      <c r="I1873" t="inlineStr">
        <is>
          <t>1</t>
        </is>
      </c>
      <c r="J1873" t="inlineStr"/>
      <c r="K1873" t="inlineStr"/>
      <c r="L1873" t="inlineStr"/>
      <c r="M1873" t="inlineStr"/>
      <c r="N1873" t="inlineStr"/>
      <c r="O1873">
        <f>(1-Summary!$B$11)*T1873+Summary!$B$11*V1873</f>
        <v/>
      </c>
      <c r="P1873">
        <f>IF(B1901=0,0,O1873/B1901)</f>
        <v/>
      </c>
      <c r="Q1873" t="n">
        <v>0</v>
      </c>
      <c r="R1873" t="n">
        <v>0</v>
      </c>
      <c r="S1873">
        <f>IFERROR(O1873/N1873,0)</f>
        <v/>
      </c>
      <c r="T1873" t="n">
        <v>0</v>
      </c>
      <c r="V1873" t="n">
        <v>0</v>
      </c>
    </row>
    <row r="1874">
      <c r="A1874">
        <f>Skills!A19</f>
        <v/>
      </c>
      <c r="B1874">
        <f>Skills!B19</f>
        <v/>
      </c>
      <c r="C1874">
        <f>Inputs!$B$3&gt;=100</f>
        <v/>
      </c>
      <c r="D1874">
        <f>IF(Skills!C19=1,60+Inputs!$B$25+Inputs!$B$29,IF(Skills!C19=2,90+Inputs!$B$26+Inputs!$B$29,IF(Skills!C19=3,120+Inputs!$B$27+Inputs!$B$29,MAX(0,(Inputs!$B$3-100)*3)+Inputs!$B$28+Inputs!$B$29)))</f>
        <v/>
      </c>
      <c r="E1874">
        <f>INDEX(FactorTable!$B$2:$Y$301, MATCH(ROUND(MIN(300,MAX(1,D1874)),0), FactorTable!$A$2:$A$301,0), Skills!M19+1)</f>
        <v/>
      </c>
      <c r="F1874">
        <f>IF(Skills!N19=TRUE,(Skills!L19/10)*(E1874/1000),Skills!L19/10)+Skills!O19</f>
        <v/>
      </c>
      <c r="G1874">
        <f>Skills!G19*IF(Skills!H19&gt;0,IF(Inputs!$B$39="pvp",MIN(Skills!I19,15),Skills!I19)/Skills!H19,1)</f>
        <v/>
      </c>
      <c r="H1874">
        <f>1-(1-Skills!J19/100)^Skills!K19</f>
        <v/>
      </c>
      <c r="I1874" t="inlineStr">
        <is>
          <t>1</t>
        </is>
      </c>
      <c r="J1874" t="inlineStr"/>
      <c r="K1874" t="inlineStr"/>
      <c r="L1874" t="inlineStr"/>
      <c r="M1874" t="inlineStr"/>
      <c r="N1874" t="inlineStr"/>
      <c r="O1874">
        <f>(1-Summary!$B$11)*T1874+Summary!$B$11*V1874</f>
        <v/>
      </c>
      <c r="P1874">
        <f>IF(B1901=0,0,O1874/B1901)</f>
        <v/>
      </c>
      <c r="Q1874" t="n">
        <v>0</v>
      </c>
      <c r="R1874" t="n">
        <v>0</v>
      </c>
      <c r="S1874">
        <f>IFERROR(O1874/N1874,0)</f>
        <v/>
      </c>
      <c r="T1874" t="n">
        <v>0</v>
      </c>
      <c r="V1874" t="n">
        <v>0</v>
      </c>
    </row>
    <row r="1875">
      <c r="A1875">
        <f>Skills!A20</f>
        <v/>
      </c>
      <c r="B1875">
        <f>Skills!B20</f>
        <v/>
      </c>
      <c r="C1875">
        <f>TRUE</f>
        <v/>
      </c>
      <c r="D1875">
        <f>IF(Skills!C20=1,60+Inputs!$B$25+Inputs!$B$29,IF(Skills!C20=2,90+Inputs!$B$26+Inputs!$B$29,IF(Skills!C20=3,120+Inputs!$B$27+Inputs!$B$29,MAX(0,(Inputs!$B$3-100)*3)+Inputs!$B$28+Inputs!$B$29)))</f>
        <v/>
      </c>
      <c r="E1875">
        <f>INDEX(FactorTable!$B$2:$Y$301, MATCH(ROUND(MIN(300,MAX(1,D1875)),0), FactorTable!$A$2:$A$301,0), Skills!M20+1)</f>
        <v/>
      </c>
      <c r="F1875">
        <f>IF(Skills!N20=TRUE,(Skills!L20/10)*(E1875/1000),Skills!L20/10)+Skills!O20</f>
        <v/>
      </c>
      <c r="G1875">
        <f>Skills!G20*IF(Skills!H20&gt;0,IF(Inputs!$B$39="pvp",MIN(Skills!I20,15),Skills!I20)/Skills!H20,1)</f>
        <v/>
      </c>
      <c r="H1875">
        <f>1-(1-Skills!J20/100)^Skills!K20</f>
        <v/>
      </c>
      <c r="I1875" t="inlineStr">
        <is>
          <t>1</t>
        </is>
      </c>
      <c r="J1875" t="inlineStr"/>
      <c r="K1875" t="inlineStr"/>
      <c r="L1875" t="inlineStr"/>
      <c r="M1875" t="inlineStr"/>
      <c r="N1875" t="inlineStr"/>
      <c r="O1875">
        <f>(1-Summary!$B$11)*T1875+Summary!$B$11*V1875</f>
        <v/>
      </c>
      <c r="P1875">
        <f>IF(B1901=0,0,O1875/B1901)</f>
        <v/>
      </c>
      <c r="Q1875">
        <f>IFERROR(1/IF(Inputs!$B$39="pvp",15,MAX(0.1,Skills!D20-IF(TRUE=TRUE,Inputs!$B$32,0))),0)</f>
        <v/>
      </c>
      <c r="R1875">
        <f>IF(AND(Inputs!$B$39&lt;&gt;"pvp",Inputs!$B$44&gt;0),IF(Inputs!$B$44&lt;=0,0,(INT(Inputs!$B$44/IF(Inputs!$B$39="pvp",15,MAX(0.1,Skills!D20-IF(TRUE=TRUE,Inputs!$B$32,0))))+1)),0)</f>
        <v/>
      </c>
      <c r="S1875">
        <f>IFERROR(O1875/N1875,0)</f>
        <v/>
      </c>
      <c r="T1875" t="n">
        <v>0</v>
      </c>
      <c r="V1875" t="n">
        <v>0</v>
      </c>
    </row>
    <row r="1876">
      <c r="A1876">
        <f>Skills!A21</f>
        <v/>
      </c>
      <c r="B1876">
        <f>Skills!B21</f>
        <v/>
      </c>
      <c r="C1876">
        <f>Inputs!$B$3&gt;=15</f>
        <v/>
      </c>
      <c r="D1876">
        <f>IF(Skills!C21=1,60+Inputs!$B$25+Inputs!$B$29,IF(Skills!C21=2,90+Inputs!$B$26+Inputs!$B$29,IF(Skills!C21=3,120+Inputs!$B$27+Inputs!$B$29,MAX(0,(Inputs!$B$3-100)*3)+Inputs!$B$28+Inputs!$B$29)))</f>
        <v/>
      </c>
      <c r="E1876">
        <f>INDEX(FactorTable!$B$2:$Y$301, MATCH(ROUND(MIN(300,MAX(1,D1876)),0), FactorTable!$A$2:$A$301,0), Skills!M21+1)</f>
        <v/>
      </c>
      <c r="F1876">
        <f>IF(Skills!N21=TRUE,(Skills!L21/10)*(E1876/1000),Skills!L21/10)+Skills!O21</f>
        <v/>
      </c>
      <c r="G1876">
        <f>Skills!G21*IF(Skills!H21&gt;0,IF(Inputs!$B$39="pvp",MIN(Skills!I21,15),Skills!I21)/Skills!H21,1)</f>
        <v/>
      </c>
      <c r="H1876">
        <f>1-(1-Skills!J21/100)^Skills!K21</f>
        <v/>
      </c>
      <c r="I1876" t="inlineStr">
        <is>
          <t>1</t>
        </is>
      </c>
      <c r="J1876" t="inlineStr"/>
      <c r="K1876" t="inlineStr"/>
      <c r="L1876" t="inlineStr"/>
      <c r="M1876" t="inlineStr"/>
      <c r="N1876" t="inlineStr"/>
      <c r="O1876">
        <f>(1-Summary!$B$11)*T1876+Summary!$B$11*V1876</f>
        <v/>
      </c>
      <c r="P1876">
        <f>IF(B1901=0,0,O1876/B1901)</f>
        <v/>
      </c>
      <c r="Q1876">
        <f>IFERROR(1/IF(Inputs!$B$39="pvp",15,MAX(0.1,Skills!D21-IF(TRUE=TRUE,Inputs!$B$32,0))),0)</f>
        <v/>
      </c>
      <c r="R1876">
        <f>IF(AND(Inputs!$B$39&lt;&gt;"pvp",Inputs!$B$44&gt;0),IF(Inputs!$B$44&lt;=0,0,(INT(Inputs!$B$44/IF(Inputs!$B$39="pvp",15,MAX(0.1,Skills!D21-IF(TRUE=TRUE,Inputs!$B$32,0))))+1)),0)</f>
        <v/>
      </c>
      <c r="S1876">
        <f>IFERROR(O1876/N1876,0)</f>
        <v/>
      </c>
      <c r="T1876" t="n">
        <v>0</v>
      </c>
      <c r="V1876" t="n">
        <v>0</v>
      </c>
    </row>
    <row r="1877">
      <c r="A1877">
        <f>Skills!A22</f>
        <v/>
      </c>
      <c r="B1877">
        <f>Skills!B22</f>
        <v/>
      </c>
      <c r="C1877">
        <f>Inputs!$B$3&gt;=15</f>
        <v/>
      </c>
      <c r="D1877">
        <f>IF(Skills!C22=1,60+Inputs!$B$25+Inputs!$B$29,IF(Skills!C22=2,90+Inputs!$B$26+Inputs!$B$29,IF(Skills!C22=3,120+Inputs!$B$27+Inputs!$B$29,MAX(0,(Inputs!$B$3-100)*3)+Inputs!$B$28+Inputs!$B$29)))</f>
        <v/>
      </c>
      <c r="E1877">
        <f>INDEX(FactorTable!$B$2:$Y$301, MATCH(ROUND(MIN(300,MAX(1,D1877)),0), FactorTable!$A$2:$A$301,0), Skills!M22+1)</f>
        <v/>
      </c>
      <c r="F1877">
        <f>IF(Skills!N22=TRUE,(Skills!L22/10)*(E1877/1000),Skills!L22/10)+Skills!O22</f>
        <v/>
      </c>
      <c r="G1877">
        <f>Skills!G22*IF(Skills!H22&gt;0,IF(Inputs!$B$39="pvp",MIN(Skills!I22,15),Skills!I22)/Skills!H22,1)</f>
        <v/>
      </c>
      <c r="H1877">
        <f>1-(1-Skills!J22/100)^Skills!K22</f>
        <v/>
      </c>
      <c r="I1877" t="inlineStr">
        <is>
          <t>1</t>
        </is>
      </c>
      <c r="J1877" t="inlineStr"/>
      <c r="K1877" t="inlineStr"/>
      <c r="L1877" t="inlineStr"/>
      <c r="M1877" t="inlineStr"/>
      <c r="N1877" t="inlineStr"/>
      <c r="O1877">
        <f>(1-Summary!$B$11)*T1877+Summary!$B$11*V1877</f>
        <v/>
      </c>
      <c r="P1877">
        <f>IF(B1901=0,0,O1877/B1901)</f>
        <v/>
      </c>
      <c r="Q1877">
        <f>IFERROR(1/IF(Inputs!$B$39="pvp",15,MAX(0.1,Skills!D22-IF(TRUE=TRUE,Inputs!$B$32,0))),0)</f>
        <v/>
      </c>
      <c r="R1877">
        <f>IF(AND(Inputs!$B$39&lt;&gt;"pvp",Inputs!$B$44&gt;0),IF(Inputs!$B$44&lt;=0,0,(INT(Inputs!$B$44/IF(Inputs!$B$39="pvp",15,MAX(0.1,Skills!D22-IF(TRUE=TRUE,Inputs!$B$32,0))))+1)),0)</f>
        <v/>
      </c>
      <c r="S1877">
        <f>IFERROR(O1877/N1877,0)</f>
        <v/>
      </c>
      <c r="T1877" t="n">
        <v>0</v>
      </c>
      <c r="V1877" t="n">
        <v>0</v>
      </c>
    </row>
    <row r="1878">
      <c r="A1878">
        <f>Skills!A23</f>
        <v/>
      </c>
      <c r="B1878">
        <f>Skills!B23</f>
        <v/>
      </c>
      <c r="C1878">
        <f>Inputs!$B$3&gt;=33</f>
        <v/>
      </c>
      <c r="D1878">
        <f>IF(Skills!C23=1,60+Inputs!$B$25+Inputs!$B$29,IF(Skills!C23=2,90+Inputs!$B$26+Inputs!$B$29,IF(Skills!C23=3,120+Inputs!$B$27+Inputs!$B$29,MAX(0,(Inputs!$B$3-100)*3)+Inputs!$B$28+Inputs!$B$29)))</f>
        <v/>
      </c>
      <c r="E1878">
        <f>INDEX(FactorTable!$B$2:$Y$301, MATCH(ROUND(MIN(300,MAX(1,D1878)),0), FactorTable!$A$2:$A$301,0), Skills!M23+1)</f>
        <v/>
      </c>
      <c r="F1878">
        <f>IF(Skills!N23=TRUE,(Skills!L23/10)*(E1878/1000),Skills!L23/10)+Skills!O23</f>
        <v/>
      </c>
      <c r="G1878">
        <f>Skills!G23*IF(Skills!H23&gt;0,IF(Inputs!$B$39="pvp",MIN(Skills!I23,15),Skills!I23)/Skills!H23,1)</f>
        <v/>
      </c>
      <c r="H1878">
        <f>1-(1-Skills!J23/100)^Skills!K23</f>
        <v/>
      </c>
      <c r="I1878" t="inlineStr">
        <is>
          <t>1</t>
        </is>
      </c>
      <c r="J1878" t="inlineStr"/>
      <c r="K1878" t="inlineStr"/>
      <c r="L1878" t="inlineStr"/>
      <c r="M1878" t="inlineStr"/>
      <c r="N1878" t="inlineStr"/>
      <c r="O1878">
        <f>(1-Summary!$B$11)*T1878+Summary!$B$11*V1878</f>
        <v/>
      </c>
      <c r="P1878">
        <f>IF(B1901=0,0,O1878/B1901)</f>
        <v/>
      </c>
      <c r="Q1878" t="n">
        <v>0</v>
      </c>
      <c r="R1878" t="n">
        <v>0</v>
      </c>
      <c r="S1878">
        <f>IFERROR(O1878/N1878,0)</f>
        <v/>
      </c>
      <c r="T1878" t="n">
        <v>0</v>
      </c>
      <c r="V1878" t="n">
        <v>0</v>
      </c>
    </row>
    <row r="1879">
      <c r="A1879">
        <f>Skills!A24</f>
        <v/>
      </c>
      <c r="B1879">
        <f>Skills!B24</f>
        <v/>
      </c>
      <c r="C1879">
        <f>Inputs!$B$3&gt;=40</f>
        <v/>
      </c>
      <c r="D1879">
        <f>IF(Skills!C24=1,60+Inputs!$B$25+Inputs!$B$29,IF(Skills!C24=2,90+Inputs!$B$26+Inputs!$B$29,IF(Skills!C24=3,120+Inputs!$B$27+Inputs!$B$29,MAX(0,(Inputs!$B$3-100)*3)+Inputs!$B$28+Inputs!$B$29)))</f>
        <v/>
      </c>
      <c r="E1879">
        <f>INDEX(FactorTable!$B$2:$Y$301, MATCH(ROUND(MIN(300,MAX(1,D1879)),0), FactorTable!$A$2:$A$301,0), Skills!M24+1)</f>
        <v/>
      </c>
      <c r="F1879">
        <f>IF(Skills!N24=TRUE,(Skills!L24/10)*(E1879/1000),Skills!L24/10)+Skills!O24</f>
        <v/>
      </c>
      <c r="G1879">
        <f>Skills!G24*IF(Skills!H24&gt;0,IF(Inputs!$B$39="pvp",MIN(Skills!I24,15),Skills!I24)/Skills!H24,1)</f>
        <v/>
      </c>
      <c r="H1879">
        <f>1-(1-Skills!J24/100)^Skills!K24</f>
        <v/>
      </c>
      <c r="I1879" t="inlineStr">
        <is>
          <t>1</t>
        </is>
      </c>
      <c r="J1879" t="inlineStr"/>
      <c r="K1879" t="inlineStr"/>
      <c r="L1879" t="inlineStr"/>
      <c r="M1879" t="inlineStr"/>
      <c r="N1879" t="inlineStr"/>
      <c r="O1879">
        <f>(1-Summary!$B$11)*T1879+Summary!$B$11*V1879</f>
        <v/>
      </c>
      <c r="P1879">
        <f>IF(B1901=0,0,O1879/B1901)</f>
        <v/>
      </c>
      <c r="Q1879" t="n">
        <v>0</v>
      </c>
      <c r="R1879" t="n">
        <v>0</v>
      </c>
      <c r="S1879">
        <f>IFERROR(O1879/N1879,0)</f>
        <v/>
      </c>
      <c r="T1879" t="n">
        <v>0</v>
      </c>
      <c r="V1879" t="n">
        <v>0</v>
      </c>
    </row>
    <row r="1880">
      <c r="A1880">
        <f>Skills!A25</f>
        <v/>
      </c>
      <c r="B1880">
        <f>Skills!B25</f>
        <v/>
      </c>
      <c r="C1880">
        <f>Inputs!$B$3&gt;=43</f>
        <v/>
      </c>
      <c r="D1880">
        <f>IF(Skills!C25=1,60+Inputs!$B$25+Inputs!$B$29,IF(Skills!C25=2,90+Inputs!$B$26+Inputs!$B$29,IF(Skills!C25=3,120+Inputs!$B$27+Inputs!$B$29,MAX(0,(Inputs!$B$3-100)*3)+Inputs!$B$28+Inputs!$B$29)))</f>
        <v/>
      </c>
      <c r="E1880">
        <f>INDEX(FactorTable!$B$2:$Y$301, MATCH(ROUND(MIN(300,MAX(1,D1880)),0), FactorTable!$A$2:$A$301,0), Skills!M25+1)</f>
        <v/>
      </c>
      <c r="F1880">
        <f>IF(Skills!N25=TRUE,(Skills!L25/10)*(E1880/1000),Skills!L25/10)+Skills!O25</f>
        <v/>
      </c>
      <c r="G1880">
        <f>Skills!G25*IF(Skills!H25&gt;0,IF(Inputs!$B$39="pvp",MIN(Skills!I25,15),Skills!I25)/Skills!H25,1)</f>
        <v/>
      </c>
      <c r="H1880">
        <f>1-(1-Skills!J25/100)^Skills!K25</f>
        <v/>
      </c>
      <c r="I1880" t="inlineStr">
        <is>
          <t>1</t>
        </is>
      </c>
      <c r="J1880" t="inlineStr"/>
      <c r="K1880" t="inlineStr"/>
      <c r="L1880" t="inlineStr"/>
      <c r="M1880" t="inlineStr"/>
      <c r="N1880" t="inlineStr"/>
      <c r="O1880">
        <f>(1-Summary!$B$11)*T1880+Summary!$B$11*V1880</f>
        <v/>
      </c>
      <c r="P1880">
        <f>IF(B1901=0,0,O1880/B1901)</f>
        <v/>
      </c>
      <c r="Q1880" t="n">
        <v>0</v>
      </c>
      <c r="R1880" t="n">
        <v>0</v>
      </c>
      <c r="S1880">
        <f>IFERROR(O1880/N1880,0)</f>
        <v/>
      </c>
      <c r="T1880" t="n">
        <v>0</v>
      </c>
      <c r="V1880" t="n">
        <v>0</v>
      </c>
    </row>
    <row r="1881">
      <c r="A1881">
        <f>Skills!A26</f>
        <v/>
      </c>
      <c r="B1881">
        <f>Skills!B26</f>
        <v/>
      </c>
      <c r="C1881">
        <f>Inputs!$B$3&gt;=50</f>
        <v/>
      </c>
      <c r="D1881">
        <f>IF(Skills!C26=1,60+Inputs!$B$25+Inputs!$B$29,IF(Skills!C26=2,90+Inputs!$B$26+Inputs!$B$29,IF(Skills!C26=3,120+Inputs!$B$27+Inputs!$B$29,MAX(0,(Inputs!$B$3-100)*3)+Inputs!$B$28+Inputs!$B$29)))</f>
        <v/>
      </c>
      <c r="E1881">
        <f>INDEX(FactorTable!$B$2:$Y$301, MATCH(ROUND(MIN(300,MAX(1,D1881)),0), FactorTable!$A$2:$A$301,0), Skills!M26+1)</f>
        <v/>
      </c>
      <c r="F1881">
        <f>IF(Skills!N26=TRUE,(Skills!L26/10)*(E1881/1000),Skills!L26/10)+Skills!O26</f>
        <v/>
      </c>
      <c r="G1881">
        <f>Skills!G26*IF(Skills!H26&gt;0,IF(Inputs!$B$39="pvp",MIN(Skills!I26,15),Skills!I26)/Skills!H26,1)</f>
        <v/>
      </c>
      <c r="H1881">
        <f>1-(1-Skills!J26/100)^Skills!K26</f>
        <v/>
      </c>
      <c r="I1881" t="inlineStr">
        <is>
          <t>1</t>
        </is>
      </c>
      <c r="J1881" t="inlineStr"/>
      <c r="K1881" t="inlineStr"/>
      <c r="L1881" t="inlineStr"/>
      <c r="M1881" t="inlineStr"/>
      <c r="N1881" t="inlineStr"/>
      <c r="O1881">
        <f>(1-Summary!$B$11)*T1881+Summary!$B$11*V1881</f>
        <v/>
      </c>
      <c r="P1881">
        <f>IF(B1901=0,0,O1881/B1901)</f>
        <v/>
      </c>
      <c r="Q1881" t="n">
        <v>0</v>
      </c>
      <c r="R1881" t="n">
        <v>0</v>
      </c>
      <c r="S1881">
        <f>IFERROR(O1881/N1881,0)</f>
        <v/>
      </c>
      <c r="T1881" t="n">
        <v>0</v>
      </c>
      <c r="V1881" t="n">
        <v>0</v>
      </c>
    </row>
    <row r="1882">
      <c r="A1882">
        <f>Skills!A27</f>
        <v/>
      </c>
      <c r="B1882">
        <f>Skills!B27</f>
        <v/>
      </c>
      <c r="C1882">
        <f>Inputs!$B$3&gt;=50</f>
        <v/>
      </c>
      <c r="D1882">
        <f>IF(Skills!C27=1,60+Inputs!$B$25+Inputs!$B$29,IF(Skills!C27=2,90+Inputs!$B$26+Inputs!$B$29,IF(Skills!C27=3,120+Inputs!$B$27+Inputs!$B$29,MAX(0,(Inputs!$B$3-100)*3)+Inputs!$B$28+Inputs!$B$29)))</f>
        <v/>
      </c>
      <c r="E1882">
        <f>INDEX(FactorTable!$B$2:$Y$301, MATCH(ROUND(MIN(300,MAX(1,D1882)),0), FactorTable!$A$2:$A$301,0), Skills!M27+1)</f>
        <v/>
      </c>
      <c r="F1882">
        <f>IF(Skills!N27=TRUE,(Skills!L27/10)*(E1882/1000),Skills!L27/10)+Skills!O27</f>
        <v/>
      </c>
      <c r="G1882">
        <f>Skills!G27*IF(Skills!H27&gt;0,IF(Inputs!$B$39="pvp",MIN(Skills!I27,15),Skills!I27)/Skills!H27,1)</f>
        <v/>
      </c>
      <c r="H1882">
        <f>1-(1-Skills!J27/100)^Skills!K27</f>
        <v/>
      </c>
      <c r="I1882" t="inlineStr">
        <is>
          <t>1</t>
        </is>
      </c>
      <c r="J1882" t="inlineStr"/>
      <c r="K1882" t="inlineStr"/>
      <c r="L1882" t="inlineStr"/>
      <c r="M1882" t="inlineStr"/>
      <c r="N1882" t="inlineStr"/>
      <c r="O1882">
        <f>(1-Summary!$B$11)*T1882+Summary!$B$11*V1882</f>
        <v/>
      </c>
      <c r="P1882">
        <f>IF(B1901=0,0,O1882/B1901)</f>
        <v/>
      </c>
      <c r="Q1882" t="n">
        <v>0</v>
      </c>
      <c r="R1882" t="n">
        <v>0</v>
      </c>
      <c r="S1882">
        <f>IFERROR(O1882/N1882,0)</f>
        <v/>
      </c>
      <c r="T1882" t="n">
        <v>0</v>
      </c>
      <c r="V1882" t="n">
        <v>0</v>
      </c>
    </row>
    <row r="1883">
      <c r="A1883">
        <f>Skills!A28</f>
        <v/>
      </c>
      <c r="B1883">
        <f>Skills!B28</f>
        <v/>
      </c>
      <c r="C1883">
        <f>Inputs!$B$3&gt;=38</f>
        <v/>
      </c>
      <c r="D1883">
        <f>IF(Skills!C28=1,60+Inputs!$B$25+Inputs!$B$29,IF(Skills!C28=2,90+Inputs!$B$26+Inputs!$B$29,IF(Skills!C28=3,120+Inputs!$B$27+Inputs!$B$29,MAX(0,(Inputs!$B$3-100)*3)+Inputs!$B$28+Inputs!$B$29)))</f>
        <v/>
      </c>
      <c r="E1883">
        <f>INDEX(FactorTable!$B$2:$Y$301, MATCH(ROUND(MIN(300,MAX(1,D1883)),0), FactorTable!$A$2:$A$301,0), Skills!M28+1)</f>
        <v/>
      </c>
      <c r="F1883">
        <f>IF(Skills!N28=TRUE,(Skills!L28/10)*(E1883/1000),Skills!L28/10)+Skills!O28</f>
        <v/>
      </c>
      <c r="G1883">
        <f>Skills!G28*IF(Skills!H28&gt;0,IF(Inputs!$B$39="pvp",MIN(Skills!I28,15),Skills!I28)/Skills!H28,1)</f>
        <v/>
      </c>
      <c r="H1883">
        <f>1-(1-Skills!J28/100)^Skills!K28</f>
        <v/>
      </c>
      <c r="I1883" t="inlineStr">
        <is>
          <t>1</t>
        </is>
      </c>
      <c r="J1883" t="inlineStr"/>
      <c r="K1883" t="inlineStr"/>
      <c r="L1883" t="inlineStr"/>
      <c r="M1883" t="inlineStr"/>
      <c r="N1883" t="inlineStr"/>
      <c r="O1883">
        <f>(1-Summary!$B$11)*T1883+Summary!$B$11*V1883</f>
        <v/>
      </c>
      <c r="P1883">
        <f>IF(B1901=0,0,O1883/B1901)</f>
        <v/>
      </c>
      <c r="Q1883" t="n">
        <v>0</v>
      </c>
      <c r="R1883" t="n">
        <v>0</v>
      </c>
      <c r="S1883">
        <f>IFERROR(O1883/N1883,0)</f>
        <v/>
      </c>
      <c r="T1883" t="n">
        <v>0</v>
      </c>
      <c r="V1883" t="n">
        <v>0</v>
      </c>
    </row>
    <row r="1884">
      <c r="A1884">
        <f>Skills!A29</f>
        <v/>
      </c>
      <c r="B1884">
        <f>Skills!B29</f>
        <v/>
      </c>
      <c r="C1884">
        <f>Inputs!$B$3&gt;=120</f>
        <v/>
      </c>
      <c r="D1884">
        <f>IF(Skills!C29=1,60+Inputs!$B$25+Inputs!$B$29,IF(Skills!C29=2,90+Inputs!$B$26+Inputs!$B$29,IF(Skills!C29=3,120+Inputs!$B$27+Inputs!$B$29,MAX(0,(Inputs!$B$3-100)*3)+Inputs!$B$28+Inputs!$B$29)))</f>
        <v/>
      </c>
      <c r="E1884">
        <f>INDEX(FactorTable!$B$2:$Y$301, MATCH(ROUND(MIN(300,MAX(1,D1884)),0), FactorTable!$A$2:$A$301,0), Skills!M29+1)</f>
        <v/>
      </c>
      <c r="F1884">
        <f>IF(Skills!N29=TRUE,(Skills!L29/10)*(E1884/1000),Skills!L29/10)+Skills!O29</f>
        <v/>
      </c>
      <c r="G1884">
        <f>Skills!G29*IF(Skills!H29&gt;0,IF(Inputs!$B$39="pvp",MIN(Skills!I29,15),Skills!I29)/Skills!H29,1)</f>
        <v/>
      </c>
      <c r="H1884">
        <f>1-(1-Skills!J29/100)^Skills!K29</f>
        <v/>
      </c>
      <c r="I1884" t="inlineStr">
        <is>
          <t>1</t>
        </is>
      </c>
      <c r="J1884" t="inlineStr"/>
      <c r="K1884" t="inlineStr"/>
      <c r="L1884" t="inlineStr"/>
      <c r="M1884" t="inlineStr"/>
      <c r="N1884" t="inlineStr"/>
      <c r="O1884">
        <f>(1-Summary!$B$11)*T1884+Summary!$B$11*V1884</f>
        <v/>
      </c>
      <c r="P1884">
        <f>IF(B1901=0,0,O1884/B1901)</f>
        <v/>
      </c>
      <c r="Q1884" t="n">
        <v>0</v>
      </c>
      <c r="R1884" t="n">
        <v>0</v>
      </c>
      <c r="S1884">
        <f>IFERROR(O1884/N1884,0)</f>
        <v/>
      </c>
      <c r="T1884" t="n">
        <v>0</v>
      </c>
      <c r="V1884" t="n">
        <v>0</v>
      </c>
    </row>
    <row r="1885">
      <c r="A1885">
        <f>Skills!A30</f>
        <v/>
      </c>
      <c r="B1885">
        <f>Skills!B30</f>
        <v/>
      </c>
      <c r="C1885">
        <f>Inputs!$B$3&gt;=120</f>
        <v/>
      </c>
      <c r="D1885">
        <f>IF(Skills!C30=1,60+Inputs!$B$25+Inputs!$B$29,IF(Skills!C30=2,90+Inputs!$B$26+Inputs!$B$29,IF(Skills!C30=3,120+Inputs!$B$27+Inputs!$B$29,MAX(0,(Inputs!$B$3-100)*3)+Inputs!$B$28+Inputs!$B$29)))</f>
        <v/>
      </c>
      <c r="E1885">
        <f>INDEX(FactorTable!$B$2:$Y$301, MATCH(ROUND(MIN(300,MAX(1,D1885)),0), FactorTable!$A$2:$A$301,0), Skills!M30+1)</f>
        <v/>
      </c>
      <c r="F1885">
        <f>IF(Skills!N30=TRUE,(Skills!L30/10)*(E1885/1000),Skills!L30/10)+Skills!O30</f>
        <v/>
      </c>
      <c r="G1885">
        <f>Skills!G30*IF(Skills!H30&gt;0,IF(Inputs!$B$39="pvp",MIN(Skills!I30,15),Skills!I30)/Skills!H30,1)</f>
        <v/>
      </c>
      <c r="H1885">
        <f>1-(1-Skills!J30/100)^Skills!K30</f>
        <v/>
      </c>
      <c r="I1885" t="inlineStr">
        <is>
          <t>1</t>
        </is>
      </c>
      <c r="J1885" t="inlineStr"/>
      <c r="K1885" t="inlineStr"/>
      <c r="L1885" t="inlineStr"/>
      <c r="M1885" t="inlineStr"/>
      <c r="N1885" t="inlineStr"/>
      <c r="O1885">
        <f>(1-Summary!$B$11)*T1885+Summary!$B$11*V1885</f>
        <v/>
      </c>
      <c r="P1885">
        <f>IF(B1901=0,0,O1885/B1901)</f>
        <v/>
      </c>
      <c r="Q1885" t="n">
        <v>0</v>
      </c>
      <c r="R1885" t="n">
        <v>0</v>
      </c>
      <c r="S1885">
        <f>IFERROR(O1885/N1885,0)</f>
        <v/>
      </c>
      <c r="T1885" t="n">
        <v>0</v>
      </c>
      <c r="V1885" t="n">
        <v>0</v>
      </c>
    </row>
    <row r="1886">
      <c r="A1886">
        <f>Skills!A31</f>
        <v/>
      </c>
      <c r="B1886">
        <f>Skills!B31</f>
        <v/>
      </c>
      <c r="C1886">
        <f>Inputs!$B$3&gt;=125</f>
        <v/>
      </c>
      <c r="D1886">
        <f>IF(Skills!C31=1,60+Inputs!$B$25+Inputs!$B$29,IF(Skills!C31=2,90+Inputs!$B$26+Inputs!$B$29,IF(Skills!C31=3,120+Inputs!$B$27+Inputs!$B$29,MAX(0,(Inputs!$B$3-100)*3)+Inputs!$B$28+Inputs!$B$29)))</f>
        <v/>
      </c>
      <c r="E1886">
        <f>INDEX(FactorTable!$B$2:$Y$301, MATCH(ROUND(MIN(300,MAX(1,D1886)),0), FactorTable!$A$2:$A$301,0), Skills!M31+1)</f>
        <v/>
      </c>
      <c r="F1886">
        <f>IF(Skills!N31=TRUE,(Skills!L31/10)*(E1886/1000),Skills!L31/10)+Skills!O31</f>
        <v/>
      </c>
      <c r="G1886">
        <f>Skills!G31*IF(Skills!H31&gt;0,IF(Inputs!$B$39="pvp",MIN(Skills!I31,15),Skills!I31)/Skills!H31,1)</f>
        <v/>
      </c>
      <c r="H1886">
        <f>1-(1-Skills!J31/100)^Skills!K31</f>
        <v/>
      </c>
      <c r="I1886" t="inlineStr">
        <is>
          <t>1</t>
        </is>
      </c>
      <c r="J1886" t="inlineStr"/>
      <c r="K1886" t="inlineStr"/>
      <c r="L1886" t="inlineStr"/>
      <c r="M1886" t="inlineStr"/>
      <c r="N1886" t="inlineStr"/>
      <c r="O1886">
        <f>(1-Summary!$B$11)*T1886+Summary!$B$11*V1886</f>
        <v/>
      </c>
      <c r="P1886">
        <f>IF(B1901=0,0,O1886/B1901)</f>
        <v/>
      </c>
      <c r="Q1886" t="n">
        <v>0</v>
      </c>
      <c r="R1886" t="n">
        <v>0</v>
      </c>
      <c r="S1886">
        <f>IFERROR(O1886/N1886,0)</f>
        <v/>
      </c>
      <c r="T1886" t="n">
        <v>0</v>
      </c>
      <c r="V1886" t="n">
        <v>0</v>
      </c>
    </row>
    <row r="1888">
      <c r="A1888" t="inlineStr">
        <is>
          <t>Average Buff Multiplier</t>
        </is>
      </c>
      <c r="B1888">
        <f>(1+(((C1877=TRUE)*F1877*IF(AND(Inputs!$B$39&lt;&gt;"pvp",Inputs!$B$44&gt;0),(((R1877-1)*MIN((Skills!Y22*(1+Inputs!$B$34/100)),(1/Q1877))+MIN((Skills!Y22*(1+Inputs!$B$34/100)),MAX(0,Inputs!$B$44-((R1877-1)*(1/Q1877)))))/Inputs!$B$44),IF(Inputs!$B$39="pvp",MIN((Skills!Y22*(1+Inputs!$B$34/100)),15)/15,MIN(1,(Skills!Y22*(1+Inputs!$B$34/100))/(1/Q1877)))))+((C1858=TRUE)*F1858*3)+((C1860=TRUE)*F1860*(1-EXP(-0.75*B1893*5)))+((C1879=TRUE)*(F1879-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1866=TRUE)*F1866*IF(AND(Inputs!$B$39&lt;&gt;"pvp",Inputs!$B$44&gt;0),(((R1866-1)*MIN((Skills!Y11*(1+Inputs!$B$34/100)),(1/Q1866))+MIN((Skills!Y11*(1+Inputs!$B$34/100)),MAX(0,Inputs!$B$44-((R1866-1)*(1/Q1866)))))/Inputs!$B$44),IF(Inputs!$B$39="pvp",MIN((Skills!Y11*(1+Inputs!$B$34/100)),15)/15,MIN(1,(Skills!Y11*(1+Inputs!$B$34/100))/(1/Q1866)))))/100)*(1+((C1871=TRUE)*F1871*IF(AND(Inputs!$B$39&lt;&gt;"pvp",Inputs!$B$44&gt;0),(((R1871-1)*MIN((Skills!Y16*(1+Inputs!$B$34/100)),(1/Q1871))+MIN((Skills!Y16*(1+Inputs!$B$34/100)),MAX(0,Inputs!$B$44-((R1871-1)*(1/Q1871)))))/Inputs!$B$44),IF(Inputs!$B$39="pvp",MIN((Skills!Y16*(1+Inputs!$B$34/100)),15)/15,MIN(1,(Skills!Y16*(1+Inputs!$B$34/100))/(1/Q1871)))))/100)</f>
        <v/>
      </c>
    </row>
    <row r="1889">
      <c r="A1889" t="inlineStr">
        <is>
          <t>Global Crit Rate Bonus %</t>
        </is>
      </c>
      <c r="B1889">
        <f>((C1876=TRUE)*F1876*IF(AND(Inputs!$B$39&lt;&gt;"pvp",Inputs!$B$44&gt;0),(((R1876-1)*MIN((Skills!Y21*(1+Inputs!$B$34/100)),(1/Q1876))+MIN((Skills!Y21*(1+Inputs!$B$34/100)),MAX(0,Inputs!$B$44-((R1876-1)*(1/Q1876)))))/Inputs!$B$44),IF(Inputs!$B$39="pvp",MIN((Skills!Y21*(1+Inputs!$B$34/100)),15)/15,MIN(1,(Skills!Y21*(1+Inputs!$B$34/100))/(1/Q1876)))))</f>
        <v/>
      </c>
    </row>
    <row r="1890">
      <c r="A1890" t="inlineStr">
        <is>
          <t>Global Monster Damage-Taken Bonus %</t>
        </is>
      </c>
      <c r="B1890">
        <f>IF(Inputs!$B$3&gt;=82,15,0)</f>
        <v/>
      </c>
    </row>
    <row r="1891">
      <c r="A1891" t="inlineStr">
        <is>
          <t>Shadow Partner Average Multiplier</t>
        </is>
      </c>
      <c r="B1891">
        <f>1+((C1863=TRUE)*F1863*(1+3.3333333333333335*IF(C1874=TRUE,F1874,0)/100)*I1863*Skills!J8/100)/100</f>
        <v/>
      </c>
    </row>
    <row r="1892">
      <c r="A1892" t="inlineStr">
        <is>
          <t>Attack Speed Buff Bonus %</t>
        </is>
      </c>
      <c r="B1892">
        <f>((C1875=TRUE)*F1875*IF(AND(Inputs!$B$39&lt;&gt;"pvp",Inputs!$B$44&gt;0),(((R1875-1)*MIN((Skills!Y20*(1+Inputs!$B$34/100)),(1/Q1875))+MIN((Skills!Y20*(1+Inputs!$B$34/100)),MAX(0,Inputs!$B$44-((R1875-1)*(1/Q1875)))))/Inputs!$B$44),IF(Inputs!$B$39="pvp",MIN((Skills!Y20*(1+Inputs!$B$34/100)),15)/15,MIN(1,(Skills!Y20*(1+Inputs!$B$34/100))/(1/Q1875)))))</f>
        <v/>
      </c>
    </row>
    <row r="1893">
      <c r="A1893" t="inlineStr">
        <is>
          <t>Actions Per Second</t>
        </is>
      </c>
      <c r="B1893">
        <f>1+MIN(150,150*(1-(1-(Inputs!$B$11+((C1878=TRUE)*(F1878-Calc!F23)))/150)*(1-B1892/150)))/100</f>
        <v/>
      </c>
    </row>
    <row r="1894">
      <c r="A1894" t="inlineStr">
        <is>
          <t>Skill + Buff Cast Rate</t>
        </is>
      </c>
      <c r="B1894">
        <f>IF(AND(Inputs!$B$39&lt;&gt;"pvp",Inputs!$B$44&gt;0),SUMPRODUCT((Skills!E2:E31=TRUE)*(C1857:C1886=TRUE)*R1857:R1886*Skills!F2:F31)/Inputs!$B$44,SUMPRODUCT((Skills!E2:E31=TRUE)*(C1857:C1886=TRUE)*Q1857:Q1886*Skills!F2:F31))</f>
        <v/>
      </c>
    </row>
    <row r="1895">
      <c r="A1895" t="inlineStr">
        <is>
          <t>Cruel Stab Casts Per Second</t>
        </is>
      </c>
      <c r="B1895">
        <f>MAX(0,B1893-B1894)</f>
        <v/>
      </c>
    </row>
    <row r="1896">
      <c r="A1896" t="inlineStr">
        <is>
          <t>Global Critical Damage Bonus % (Smokescreen Mastery Lv.113)</t>
        </is>
      </c>
      <c r="B1896">
        <f>IF(Inputs!$B$3&gt;=113,30,0)*IF(AND(Inputs!$B$39&lt;&gt;"pvp",Inputs!$B$44&gt;0),(((R1871-1)*MIN((Skills!Y16*(1+Inputs!$B$34/100)),(1/Q1871))+MIN((Skills!Y16*(1+Inputs!$B$34/100)),MAX(0,Inputs!$B$44-((R1871-1)*(1/Q1871)))))/Inputs!$B$44),IF(Inputs!$B$39="pvp",MIN((Skills!Y16*(1+Inputs!$B$34/100)),15)/15,MIN(1,(Skills!Y16*(1+Inputs!$B$34/100))/(1/Q1871))))</f>
        <v/>
      </c>
    </row>
    <row r="1897">
      <c r="A1897" t="inlineStr">
        <is>
          <t>Meso Explosion average stack count</t>
        </is>
      </c>
      <c r="B1897">
        <f>MIN(10,IF(Inputs!$B$3&gt;=75,0.75,0.5)*B1893*(1/Q1859))</f>
        <v/>
      </c>
    </row>
    <row r="1898">
      <c r="A1898" t="inlineStr">
        <is>
          <t>Blood Money average stack count</t>
        </is>
      </c>
      <c r="B1898">
        <f>MIN(5,0.5*IF(Inputs!$B$3&gt;=75,0.75,0.5)*B1893*(1/Q1859))</f>
        <v/>
      </c>
    </row>
    <row r="1899">
      <c r="A1899" t="inlineStr">
        <is>
          <t>Assassinate Murderous Intent Multiplier</t>
        </is>
      </c>
      <c r="B1899">
        <f>1+IFERROR(MIN(1,Q1870*2/Q1867),0)</f>
        <v/>
      </c>
    </row>
    <row r="1900">
      <c r="A1900" t="inlineStr">
        <is>
          <t>Buff-Casting Startup Delay (s, fixed-duration only)</t>
        </is>
      </c>
      <c r="B1900">
        <f>IF(AND(Inputs!$B$39&lt;&gt;"pvp",Inputs!$B$44&gt;0),SUMPRODUCT((Skills!Y2:Y31&gt;0)*(Skills!E2:E31=TRUE)*(C1857:C1886=TRUE))/B1893,0)</f>
        <v/>
      </c>
    </row>
    <row r="1901">
      <c r="A1901" s="6" t="inlineStr">
        <is>
          <t>TOTAL DPS</t>
        </is>
      </c>
      <c r="B1901" s="6">
        <f>SUM(O1857:O1886)</f>
        <v/>
      </c>
    </row>
    <row r="1902">
      <c r="A1902" t="inlineStr">
        <is>
          <t>Boss-Only Total DPS (this block's swept value)</t>
        </is>
      </c>
      <c r="B1902">
        <f>SUM(T1857:T1886)</f>
        <v/>
      </c>
    </row>
    <row r="1903">
      <c r="A1903" t="inlineStr">
        <is>
          <t>Normal-Only Total DPS (this block's swept value)</t>
        </is>
      </c>
      <c r="B1903">
        <f>SUM(V1857:V1886)</f>
        <v/>
      </c>
    </row>
    <row r="1906">
      <c r="A1906" s="6" t="inlineStr">
        <is>
          <t>Stat: Athena Pierce's Old Gloves (Equip)</t>
        </is>
      </c>
    </row>
    <row r="1907">
      <c r="A1907" s="5" t="inlineStr">
        <is>
          <t>Key</t>
        </is>
      </c>
      <c r="B1907" s="5" t="inlineStr">
        <is>
          <t>Name</t>
        </is>
      </c>
      <c r="C1907" s="5" t="inlineStr">
        <is>
          <t>Unlocked</t>
        </is>
      </c>
      <c r="D1907" s="5" t="inlineStr">
        <is>
          <t>InputLevel</t>
        </is>
      </c>
      <c r="E1907" s="5" t="inlineStr">
        <is>
          <t>Factor</t>
        </is>
      </c>
      <c r="F1907" s="5" t="inlineStr">
        <is>
          <t>CoefficientPercent</t>
        </is>
      </c>
      <c r="G1907" s="5" t="inlineStr">
        <is>
          <t>EffectiveHits</t>
        </is>
      </c>
      <c r="H1907" s="5" t="inlineStr">
        <is>
          <t>ProcProbability</t>
        </is>
      </c>
      <c r="I1907" s="5" t="inlineStr">
        <is>
          <t>MapleHeroMultiplier</t>
        </is>
      </c>
      <c r="J1907" s="5" t="inlineStr">
        <is>
          <t>BaseDamage</t>
        </is>
      </c>
      <c r="K1907" s="5" t="inlineStr">
        <is>
          <t>BaseHitDamage</t>
        </is>
      </c>
      <c r="L1907" s="5" t="inlineStr">
        <is>
          <t>NonCritAvg</t>
        </is>
      </c>
      <c r="M1907" s="5" t="inlineStr">
        <is>
          <t>CritAvg</t>
        </is>
      </c>
      <c r="N1907" s="5" t="inlineStr">
        <is>
          <t>ExpectedDamage(perHit)</t>
        </is>
      </c>
      <c r="O1907" s="5" t="inlineStr">
        <is>
          <t>DPS</t>
        </is>
      </c>
      <c r="P1907" s="5" t="inlineStr">
        <is>
          <t>% of Total</t>
        </is>
      </c>
      <c r="Q1907" s="5" t="inlineStr">
        <is>
          <t>InvCooldown</t>
        </is>
      </c>
      <c r="R1907" s="5" t="inlineStr">
        <is>
          <t>CastsInFight</t>
        </is>
      </c>
      <c r="S1907" s="5" t="inlineStr">
        <is>
          <t>HitRate(perSec)</t>
        </is>
      </c>
      <c r="U1907" t="inlineStr">
        <is>
          <t>helpers</t>
        </is>
      </c>
    </row>
    <row r="1908">
      <c r="A1908">
        <f>Skills!A2</f>
        <v/>
      </c>
      <c r="B1908">
        <f>Skills!B2</f>
        <v/>
      </c>
      <c r="C1908">
        <f>Inputs!$B$3&gt;=100</f>
        <v/>
      </c>
      <c r="D1908" t="inlineStr"/>
      <c r="E1908" t="inlineStr"/>
      <c r="F1908">
        <f>U1910+Skills!O2</f>
        <v/>
      </c>
      <c r="G1908">
        <f>Skills!G2*IF(Skills!H2&gt;0,IF(Inputs!$B$39="pvp",MIN(Skills!I2,15),Skills!I2)/Skills!H2,1)</f>
        <v/>
      </c>
      <c r="H1908">
        <f>1-(1-Skills!J2/100)^Skills!K2</f>
        <v/>
      </c>
      <c r="I1908" t="inlineStr">
        <is>
          <t>1</t>
        </is>
      </c>
      <c r="J1908">
        <f>((Inputs!$B$6*(1+Inputs!$B$7/100))+(((Inputs!$B$12*(1+Inputs!$B$13/100))-(Inputs!$B$12*(1+Inputs!$B$13/100)))+0.25*(Inputs!$B$14-Inputs!$B$14))*(1+Inputs!$B$7/100))*(F1908/100)</f>
        <v/>
      </c>
      <c r="K1908">
        <f>J1908*(1+((Inputs!$B$12*(1+Inputs!$B$13/100))*0.01+Inputs!$B$14*0.0025)/100)*(1+Inputs!$B$15/100)*(1+Inputs!$B$16/100)*(5000/(6000+Inputs!$B$43*(1-(100*(1-(1-Inputs!$B$19/100)*(1-CHOOSE(ArtifactsInput!$N$40+1,5,6,7,8,9,10)/100)^(ArtifactsInput!$M$40-ArtifactsInput!$M$40)))/100)))*(1+(Inputs!$B$24+((C1937=TRUE)*(F1937-Calc!F31))+((C1924=TRUE)*(F1924-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CRUEL_STAB",Inputs!$B$17+((C1934=TRUE)*(F1934-Calc!F28))+((IF(AND(Inputs!$B$39&lt;&gt;"pvp",Inputs!$B$44=0),1,IF(IF(Inputs!$B$39="pvp",15,Inputs!$B$44)-(B1951)&lt;=0,1,MAX(0,IF(Inputs!$B$39="pvp",15,Inputs!$B$44)-MAX(5,B1951))/(IF(Inputs!$B$39="pvp",15,Inputs!$B$44)-(B1951))))*(IF(AND(ArtifactsInput!$M$42,((Inputs!$B$9+((C1932=TRUE)*(F1932-Calc!F26))+B1940+(ArtifactsInput!$M$24-ArtifactsInput!$M$24)*CHOOSE(ArtifactsInput!$N$24+1,10,12,14,16,18,20)+IF(ArtifactsInput!$M$10,CHOOSE(ArtifactsInput!$N$10+1,15,18,21,24,27,30)*(IF(Inputs!$B$39="pvp",MIN(15,15)/15,IF(AND(Inputs!$B$39&lt;&gt;"pvp",Inputs!$B$44&gt;0),MIN(15,Inputs!$B$44)/(Inputs!$B$44),0))),0)))&gt;=100),MIN(100,((Inputs!$B$9+((C1932=TRUE)*(F1932-Calc!F26))+B1940+(ArtifactsInput!$M$24-ArtifactsInput!$M$24)*CHOOSE(ArtifactsInput!$N$24+1,10,12,14,16,18,20)+IF(ArtifactsInput!$M$10,CHOOSE(ArtifactsInput!$N$10+1,15,18,21,24,27,30)*(IF(Inputs!$B$39="pvp",MIN(15,15)/15,IF(AND(Inputs!$B$39&lt;&gt;"pvp",Inputs!$B$44&gt;0),MIN(15,Inputs!$B$44)/(Inputs!$B$44),0))),0)))-100),0))*CHOOSE(ArtifactsInput!$N$42+1,0.6,0.72,0.84,0.96,1.08,1.2))),Inputs!$B$18+((C1935=TRUE)*(F1935-Calc!F29))+(IF(AND(Inputs!$B$39&lt;&gt;"pvp",Inputs!$B$44=0),1,IF(IF(Inputs!$B$39="pvp",15,Inputs!$B$44)-(B1951)&lt;=0,1,MAX(0,IF(Inputs!$B$39="pvp",15,Inputs!$B$44)-MAX(5,B1951))/(IF(Inputs!$B$39="pvp",15,Inputs!$B$44)-(B1951))))*IF(AND(ArtifactsInput!$M$42,((Inputs!$B$9+((C1932=TRUE)*(F1932-Calc!F26))+B1940+(ArtifactsInput!$M$24-ArtifactsInput!$M$24)*CHOOSE(ArtifactsInput!$N$24+1,10,12,14,16,18,20)+IF(ArtifactsInput!$M$10,CHOOSE(ArtifactsInput!$N$10+1,15,18,21,24,27,30)*(IF(Inputs!$B$39="pvp",MIN(15,15)/15,IF(AND(Inputs!$B$39&lt;&gt;"pvp",Inputs!$B$44&gt;0),MIN(15,Inputs!$B$44)/(Inputs!$B$44),0))),0)))&gt;=100),CHOOSE(ArtifactsInput!$N$42+1,40,48,56,64,72,80),0))))/100)*(((1+(((C1928=TRUE)*F1928*IF(AND(Inputs!$B$39&lt;&gt;"pvp",Inputs!$B$44&gt;0),(((R1928-1)*MIN((Skills!Y22*(1+Inputs!$B$34/100)),(1/Q1928))+MIN((Skills!Y22*(1+Inputs!$B$34/100)),MAX(0,Inputs!$B$44-((R1928-1)*(1/Q1928)))))/Inputs!$B$44),IF(Inputs!$B$39="pvp",MIN((Skills!Y22*(1+Inputs!$B$34/100)),15)/15,MIN(1,(Skills!Y22*(1+Inputs!$B$34/100))/(1/Q1928)))))+((C1909=TRUE)*F1909*3)+((C1911=TRUE)*F1911*(1-EXP(-0.75*B1944*5)))+((C1930=TRUE)*(F1930-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1917=TRUE)*F1917*IF(AND(Inputs!$B$39&lt;&gt;"pvp",Inputs!$B$44&gt;0),(((R1917-1)*MIN((Skills!Y11*(1+Inputs!$B$34/100)),(1/Q1917))+MIN((Skills!Y11*(1+Inputs!$B$34/100)),MAX(0,Inputs!$B$44-((R1917-1)*(1/Q1917)))))/Inputs!$B$44),IF(Inputs!$B$39="pvp",MIN((Skills!Y11*(1+Inputs!$B$34/100)),15)/15,MIN(1,(Skills!Y11*(1+Inputs!$B$34/100))/(1/Q1917)))))/100)*(1+((C1922=TRUE)*F1922*IF(AND(Inputs!$B$39&lt;&gt;"pvp",Inputs!$B$44&gt;0),(((R1922-1)*MIN((Skills!Y16*(1+Inputs!$B$34/100)),(1/Q1922))+MIN((Skills!Y16*(1+Inputs!$B$34/100)),MAX(0,Inputs!$B$44-((R1922-1)*(1/Q1922)))))/Inputs!$B$44),IF(Inputs!$B$39="pvp",MIN((Skills!Y16*(1+Inputs!$B$34/100)),15)/15,MIN(1,(Skills!Y16*(1+Inputs!$B$34/100))/(1/Q1922)))))/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1942*I1908)</f>
        <v/>
      </c>
      <c r="L1908">
        <f>K1908*(MIN(Inputs!$B$22+((C1931=TRUE)*(F1931-Calc!F25)),(Inputs!$B$23+((C1936=TRUE)*(F1936-Calc!F30))+(IF(IF(ArtifactsInput!$M$15,FALSE,TRUE),1,-1)*CHOOSE(ArtifactsInput!$N$15+1,25,30,35,40,45,50)/100*IF(IF(ArtifactsInput!$M$15,FALSE,TRUE),(Inputs!$B$11+((C1929=TRUE)*(F1929-Calc!F23))+(IF(ArtifactsInput!$M$15,FALSE,TRUE)-ArtifactsInput!$M$15)*CHOOSE(ArtifactsInput!$N$15+1,8,9.6,11.2,12.8,14.4,16)),Inputs!$B$11))))/100+(Inputs!$B$23+((C1936=TRUE)*(F1936-Calc!F30))+(IF(IF(ArtifactsInput!$M$15,FALSE,TRUE),1,-1)*CHOOSE(ArtifactsInput!$N$15+1,25,30,35,40,45,50)/100*IF(IF(ArtifactsInput!$M$15,FALSE,TRUE),(Inputs!$B$11+((C1929=TRUE)*(F1929-Calc!F23))+(IF(ArtifactsInput!$M$15,FALSE,TRUE)-ArtifactsInput!$M$15)*CHOOSE(ArtifactsInput!$N$15+1,8,9.6,11.2,12.8,14.4,16)),Inputs!$B$11)))/100)/2</f>
        <v/>
      </c>
      <c r="M1908">
        <f>L1908*(1+(Inputs!$B$10+((C1933=TRUE)*(F1933-Calc!F27))+B1947+(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1908">
        <f>L1908*(1-MIN((Inputs!$B$9+((C1932=TRUE)*(F1932-Calc!F26))+B1940+(ArtifactsInput!$M$24-ArtifactsInput!$M$24)*CHOOSE(ArtifactsInput!$N$24+1,10,12,14,16,18,20)+(IF(AND(Inputs!$B$39&lt;&gt;"pvp",Inputs!$B$44=0),1,IF(IF(Inputs!$B$39="pvp",15,Inputs!$B$44)-(B1951)&lt;=0,1,MAX(0,IF(Inputs!$B$39="pvp",15,Inputs!$B$44)-MAX(5,B1951))/(IF(Inputs!$B$39="pvp",15,Inputs!$B$44)-(B1951))))*IF(AND(ArtifactsInput!$M$42,((Inputs!$B$9+((C1932=TRUE)*(F1932-Calc!F26))+B1940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1908*(MIN((Inputs!$B$9+((C1932=TRUE)*(F1932-Calc!F26))+B1940+(ArtifactsInput!$M$24-ArtifactsInput!$M$24)*CHOOSE(ArtifactsInput!$N$24+1,10,12,14,16,18,20)+(IF(AND(Inputs!$B$39&lt;&gt;"pvp",Inputs!$B$44=0),1,IF(IF(Inputs!$B$39="pvp",15,Inputs!$B$44)-(B1951)&lt;=0,1,MAX(0,IF(Inputs!$B$39="pvp",15,Inputs!$B$44)-MAX(5,B1951))/(IF(Inputs!$B$39="pvp",15,Inputs!$B$44)-(B1951))))*IF(AND(ArtifactsInput!$M$42,((Inputs!$B$9+((C1932=TRUE)*(F1932-Calc!F26))+B1940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908">
        <f>(1-Summary!$B$11)*T1908+Summary!$B$11*V1908</f>
        <v/>
      </c>
      <c r="P1908">
        <f>IF(B1952=0,0,O1908/B1952)</f>
        <v/>
      </c>
      <c r="Q1908" t="n">
        <v>0</v>
      </c>
      <c r="R1908" t="n">
        <v>0</v>
      </c>
      <c r="S1908">
        <f>IFERROR(O1908/N1908,0)</f>
        <v/>
      </c>
      <c r="T1908">
        <f>IF(C1908,(Skills!G2*N1908*B1946)*IF(Inputs!$B$39="pvp",1,1+(Inputs!$B$20+0+Skills!P2+B1941+(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Hunt"),CHOOSE(ArtifactsInput!$N$35+1,15,18,21,24,27,30)*(1-EXP(-(0.2*B1944)*5)),0)+IF(AND(ArtifactsInput!$M$22,Inputs!$B$4&lt;&gt;"Chapter Hunt"),CHOOSE(ArtifactsInput!$N$22+1,10,12,14,16,18,20)*((0*(((0.15*B1944*5))^0/1)+1*(((0.15*B1944*5))^1/1)+2*(((0.15*B1944*5))^2/2)+3*(((0.15*B1944*5))^3/6)+4*(((0.15*B1944*5))^4/24)+5*(((0.15*B1944*5))^5/120))/((((0.15*B1944*5))^0/1)+(((0.15*B1944*5))^1/1)+(((0.15*B1944*5))^2/2)+(((0.15*B1944*5))^3/6)+(((0.15*B1944*5))^4/24)+(((0.15*B1944*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1908*(1-MIN(100,(Inputs!$B$9+((C1932=TRUE)*(F1932-Calc!F26))+B1940+(ArtifactsInput!$M$24-ArtifactsInput!$M$24)*CHOOSE(ArtifactsInput!$N$24+1,10,12,14,16,18,20)+(IF(AND(Inputs!$B$39&lt;&gt;"pvp",Inputs!$B$44=0),1,IF(IF(Inputs!$B$39="pvp",15,Inputs!$B$44)-(B1951)&lt;=0,1,MAX(0,IF(Inputs!$B$39="pvp",15,Inputs!$B$44)-MAX(5,B1951))/(IF(Inputs!$B$39="pvp",15,Inputs!$B$44)-(B1951))))*IF(AND(ArtifactsInput!$M$42,((Inputs!$B$9+((C1932=TRUE)*(F1932-Calc!F26))+B1940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1908*(MIN(100,(Inputs!$B$9+((C1932=TRUE)*(F1932-Calc!F26))+B1940+(ArtifactsInput!$M$24-ArtifactsInput!$M$24)*CHOOSE(ArtifactsInput!$N$24+1,10,12,14,16,18,20)+(IF(AND(Inputs!$B$39&lt;&gt;"pvp",Inputs!$B$44=0),1,IF(IF(Inputs!$B$39="pvp",15,Inputs!$B$44)-(B1951)&lt;=0,1,MAX(0,IF(Inputs!$B$39="pvp",15,Inputs!$B$44)-MAX(5,B1951))/(IF(Inputs!$B$39="pvp",15,Inputs!$B$44)-(B1951))))*IF(AND(ArtifactsInput!$M$42,((Inputs!$B$9+((C1932=TRUE)*(F1932-Calc!F26))+B1940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1908*(1-MIN(100,(Inputs!$B$9+((C1932=TRUE)*(F1932-Calc!F26))+B1940+(ArtifactsInput!$M$24-ArtifactsInput!$M$24)*CHOOSE(ArtifactsInput!$N$24+1,10,12,14,16,18,20)+(IF(AND(Inputs!$B$39&lt;&gt;"pvp",Inputs!$B$44=0),1,IF(IF(Inputs!$B$39="pvp",15,Inputs!$B$44)-(B1951)&lt;=0,1,MAX(0,IF(Inputs!$B$39="pvp",15,Inputs!$B$44)-MAX(5,B1951))/(IF(Inputs!$B$39="pvp",15,Inputs!$B$44)-(B1951))))*IF(AND(ArtifactsInput!$M$42,((Inputs!$B$9+((C1932=TRUE)*(F1932-Calc!F26))+B1940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1908*(MIN(100,(Inputs!$B$9+((C1932=TRUE)*(F1932-Calc!F26))+B1940+(ArtifactsInput!$M$24-ArtifactsInput!$M$24)*CHOOSE(ArtifactsInput!$N$24+1,10,12,14,16,18,20)+(IF(AND(Inputs!$B$39&lt;&gt;"pvp",Inputs!$B$44=0),1,IF(IF(Inputs!$B$39="pvp",15,Inputs!$B$44)-(B1951)&lt;=0,1,MAX(0,IF(Inputs!$B$39="pvp",15,Inputs!$B$44)-MAX(5,B1951))/(IF(Inputs!$B$39="pvp",15,Inputs!$B$44)-(B1951))))*IF(AND(ArtifactsInput!$M$42,((Inputs!$B$9+((C1932=TRUE)*(F1932-Calc!F26))+B1940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1908">
        <f>MAX(0,(Inputs!$B$3-100)*3)+Inputs!$B$28+Inputs!$B$29</f>
        <v/>
      </c>
      <c r="V1908">
        <f>IF(C1908,(Skills!G2*N1908*B1946)*IF(Inputs!$B$39="pvp",1,(1+(Inputs!$B$21+Skills!Q2+B1941+(IF(ArtifactsInput!$M$33,CHOOSE(ArtifactsInput!$N$33+1,30,36,42,48,54,60),0))+(IF(AND(ArtifactsInput!$M$35,Inputs!$B$4&lt;&gt;"Chapter Hunt"),CHOOSE(ArtifactsInput!$N$35+1,15,18,21,24,27,30)*(1-EXP(-(0.2*B1944)*5)),0)+IF(AND(ArtifactsInput!$M$22,Inputs!$B$4&lt;&gt;"Chapter Hunt"),CHOOSE(ArtifactsInput!$N$22+1,10,12,14,16,18,20)*((0*(((0.15*B1944*5))^0/1)+1*(((0.15*B1944*5))^1/1)+2*(((0.15*B1944*5))^2/2)+3*(((0.15*B1944*5))^3/6)+4*(((0.15*B1944*5))^4/24)+5*(((0.15*B1944*5))^5/120))/((((0.15*B1944*5))^0/1)+(((0.15*B1944*5))^1/1)+(((0.15*B1944*5))^2/2)+(((0.15*B1944*5))^3/6)+(((0.15*B1944*5))^4/24)+(((0.15*B1944*5))^5/120))),0)))/100)*(MIN((6+Inputs!$B$33),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909">
      <c r="A1909">
        <f>Skills!A3</f>
        <v/>
      </c>
      <c r="B1909">
        <f>Skills!B3</f>
        <v/>
      </c>
      <c r="C1909">
        <f>Inputs!$B$3&gt;=35</f>
        <v/>
      </c>
      <c r="D1909">
        <f>IF(Skills!C3=1,60+Inputs!$B$25+Inputs!$B$29,IF(Skills!C3=2,90+Inputs!$B$26+Inputs!$B$29,IF(Skills!C3=3,120+Inputs!$B$27+Inputs!$B$29,MAX(0,(Inputs!$B$3-100)*3)+Inputs!$B$28+Inputs!$B$29)))</f>
        <v/>
      </c>
      <c r="E1909">
        <f>INDEX(FactorTable!$B$2:$Y$301, MATCH(ROUND(MIN(300,MAX(1,D1909)),0), FactorTable!$A$2:$A$301,0), Skills!M3+1)</f>
        <v/>
      </c>
      <c r="F1909">
        <f>IF(Skills!N3=TRUE,(Skills!L3/10)*(E1909/1000),Skills!L3/10)+Skills!O3</f>
        <v/>
      </c>
      <c r="G1909">
        <f>Skills!G3*IF(Skills!H3&gt;0,IF(Inputs!$B$39="pvp",MIN(Skills!I3,15),Skills!I3)/Skills!H3,1)</f>
        <v/>
      </c>
      <c r="H1909">
        <f>1-(1-Skills!J3/100)^Skills!K3</f>
        <v/>
      </c>
      <c r="I1909" t="inlineStr">
        <is>
          <t>1</t>
        </is>
      </c>
      <c r="J1909" t="inlineStr"/>
      <c r="K1909" t="inlineStr"/>
      <c r="L1909" t="inlineStr"/>
      <c r="M1909" t="inlineStr"/>
      <c r="N1909" t="inlineStr"/>
      <c r="O1909">
        <f>(1-Summary!$B$11)*T1909+Summary!$B$11*V1909</f>
        <v/>
      </c>
      <c r="P1909">
        <f>IF(B1952=0,0,O1909/B1952)</f>
        <v/>
      </c>
      <c r="Q1909" t="n">
        <v>0</v>
      </c>
      <c r="R1909" t="n">
        <v>0</v>
      </c>
      <c r="S1909">
        <f>IFERROR(O1909/N1909,0)</f>
        <v/>
      </c>
      <c r="T1909" t="n">
        <v>0</v>
      </c>
      <c r="U1909">
        <f>INDEX(FactorTable!$B$2:$Y$301, MATCH(ROUND(MIN(300,MAX(1,U1908)),0), FactorTable!$A$2:$A$301,0), 22)</f>
        <v/>
      </c>
      <c r="V1909" t="n">
        <v>0</v>
      </c>
    </row>
    <row r="1910">
      <c r="A1910">
        <f>Skills!A4</f>
        <v/>
      </c>
      <c r="B1910">
        <f>Skills!B4</f>
        <v/>
      </c>
      <c r="C1910">
        <f>Inputs!$B$3&gt;=66</f>
        <v/>
      </c>
      <c r="D1910">
        <f>IF(Skills!C4=1,60+Inputs!$B$25+Inputs!$B$29,IF(Skills!C4=2,90+Inputs!$B$26+Inputs!$B$29,IF(Skills!C4=3,120+Inputs!$B$27+Inputs!$B$29,MAX(0,(Inputs!$B$3-100)*3)+Inputs!$B$28+Inputs!$B$29)))</f>
        <v/>
      </c>
      <c r="E1910">
        <f>INDEX(FactorTable!$B$2:$Y$301, MATCH(ROUND(MIN(300,MAX(1,D1910)),0), FactorTable!$A$2:$A$301,0), Skills!M4+1)</f>
        <v/>
      </c>
      <c r="F1910">
        <f>IF(Skills!N4=TRUE,(Skills!L4/10)*(E1910/1000),Skills!L4/10)+Skills!O4</f>
        <v/>
      </c>
      <c r="G1910">
        <f>Skills!G4*IF(Skills!H4&gt;0,IF(Inputs!$B$39="pvp",MIN(Skills!I4,15),Skills!I4)/Skills!H4,1)</f>
        <v/>
      </c>
      <c r="H1910">
        <f>1-(1-Skills!J4/100)^Skills!K4</f>
        <v/>
      </c>
      <c r="I1910" t="inlineStr">
        <is>
          <t>1</t>
        </is>
      </c>
      <c r="J1910">
        <f>((Inputs!$B$6*(1+Inputs!$B$7/100))+(((Inputs!$B$12*(1+Inputs!$B$13/100))-(Inputs!$B$12*(1+Inputs!$B$13/100)))+0.25*(Inputs!$B$14-Inputs!$B$14))*(1+Inputs!$B$7/100))*(F1910/100)</f>
        <v/>
      </c>
      <c r="K1910">
        <f>J1910*(1+((Inputs!$B$12*(1+Inputs!$B$13/100))*0.01+Inputs!$B$14*0.0025)/100)*(1+Inputs!$B$15/100)*(1+Inputs!$B$16/100)*(5000/(6000+Inputs!$B$43*(1-(100*(1-(1-Inputs!$B$19/100)*(1-CHOOSE(ArtifactsInput!$N$40+1,5,6,7,8,9,10)/100)^(ArtifactsInput!$M$40-ArtifactsInput!$M$40)))/100)))*(1+(Inputs!$B$24+((C1937=TRUE)*(F1937-Calc!F31))+((C1924=TRUE)*(F1924-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4="CRUEL_STAB",Inputs!$B$17+((C1934=TRUE)*(F1934-Calc!F28))+((IF(AND(Inputs!$B$39&lt;&gt;"pvp",Inputs!$B$44=0),1,IF(IF(Inputs!$B$39="pvp",15,Inputs!$B$44)-(B1951)&lt;=0,1,MAX(0,IF(Inputs!$B$39="pvp",15,Inputs!$B$44)-MAX(5,B1951))/(IF(Inputs!$B$39="pvp",15,Inputs!$B$44)-(B1951))))*(IF(AND(ArtifactsInput!$M$42,((Inputs!$B$9+((C1932=TRUE)*(F1932-Calc!F26))+B1940+(ArtifactsInput!$M$24-ArtifactsInput!$M$24)*CHOOSE(ArtifactsInput!$N$24+1,10,12,14,16,18,20)+IF(ArtifactsInput!$M$10,CHOOSE(ArtifactsInput!$N$10+1,15,18,21,24,27,30)*(IF(Inputs!$B$39="pvp",MIN(15,15)/15,IF(AND(Inputs!$B$39&lt;&gt;"pvp",Inputs!$B$44&gt;0),MIN(15,Inputs!$B$44)/(Inputs!$B$44),0))),0)))&gt;=100),MIN(100,((Inputs!$B$9+((C1932=TRUE)*(F1932-Calc!F26))+B1940+(ArtifactsInput!$M$24-ArtifactsInput!$M$24)*CHOOSE(ArtifactsInput!$N$24+1,10,12,14,16,18,20)+IF(ArtifactsInput!$M$10,CHOOSE(ArtifactsInput!$N$10+1,15,18,21,24,27,30)*(IF(Inputs!$B$39="pvp",MIN(15,15)/15,IF(AND(Inputs!$B$39&lt;&gt;"pvp",Inputs!$B$44&gt;0),MIN(15,Inputs!$B$44)/(Inputs!$B$44),0))),0)))-100),0))*CHOOSE(ArtifactsInput!$N$42+1,0.6,0.72,0.84,0.96,1.08,1.2))),Inputs!$B$18+((C1935=TRUE)*(F1935-Calc!F29))+(IF(AND(Inputs!$B$39&lt;&gt;"pvp",Inputs!$B$44=0),1,IF(IF(Inputs!$B$39="pvp",15,Inputs!$B$44)-(B1951)&lt;=0,1,MAX(0,IF(Inputs!$B$39="pvp",15,Inputs!$B$44)-MAX(5,B1951))/(IF(Inputs!$B$39="pvp",15,Inputs!$B$44)-(B1951))))*IF(AND(ArtifactsInput!$M$42,((Inputs!$B$9+((C1932=TRUE)*(F1932-Calc!F26))+B1940+(ArtifactsInput!$M$24-ArtifactsInput!$M$24)*CHOOSE(ArtifactsInput!$N$24+1,10,12,14,16,18,20)+IF(ArtifactsInput!$M$10,CHOOSE(ArtifactsInput!$N$10+1,15,18,21,24,27,30)*(IF(Inputs!$B$39="pvp",MIN(15,15)/15,IF(AND(Inputs!$B$39&lt;&gt;"pvp",Inputs!$B$44&gt;0),MIN(15,Inputs!$B$44)/(Inputs!$B$44),0))),0)))&gt;=100),CHOOSE(ArtifactsInput!$N$42+1,40,48,56,64,72,80),0))))/100)*(((1+(((C1928=TRUE)*F1928*IF(AND(Inputs!$B$39&lt;&gt;"pvp",Inputs!$B$44&gt;0),(((R1928-1)*MIN((Skills!Y22*(1+Inputs!$B$34/100)),(1/Q1928))+MIN((Skills!Y22*(1+Inputs!$B$34/100)),MAX(0,Inputs!$B$44-((R1928-1)*(1/Q1928)))))/Inputs!$B$44),IF(Inputs!$B$39="pvp",MIN((Skills!Y22*(1+Inputs!$B$34/100)),15)/15,MIN(1,(Skills!Y22*(1+Inputs!$B$34/100))/(1/Q1928)))))+((C1909=TRUE)*F1909*3)+((C1911=TRUE)*F1911*(1-EXP(-0.75*B1944*5)))+((C1930=TRUE)*(F1930-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1917=TRUE)*F1917*IF(AND(Inputs!$B$39&lt;&gt;"pvp",Inputs!$B$44&gt;0),(((R1917-1)*MIN((Skills!Y11*(1+Inputs!$B$34/100)),(1/Q1917))+MIN((Skills!Y11*(1+Inputs!$B$34/100)),MAX(0,Inputs!$B$44-((R1917-1)*(1/Q1917)))))/Inputs!$B$44),IF(Inputs!$B$39="pvp",MIN((Skills!Y11*(1+Inputs!$B$34/100)),15)/15,MIN(1,(Skills!Y11*(1+Inputs!$B$34/100))/(1/Q1917)))))/100)*(1+((C1922=TRUE)*F1922*IF(AND(Inputs!$B$39&lt;&gt;"pvp",Inputs!$B$44&gt;0),(((R1922-1)*MIN((Skills!Y16*(1+Inputs!$B$34/100)),(1/Q1922))+MIN((Skills!Y16*(1+Inputs!$B$34/100)),MAX(0,Inputs!$B$44-((R1922-1)*(1/Q1922)))))/Inputs!$B$44),IF(Inputs!$B$39="pvp",MIN((Skills!Y16*(1+Inputs!$B$34/100)),15)/15,MIN(1,(Skills!Y16*(1+Inputs!$B$34/100))/(1/Q1922)))))/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1942*I1910)</f>
        <v/>
      </c>
      <c r="L1910">
        <f>K1910*(MIN(Inputs!$B$22+((C1931=TRUE)*(F1931-Calc!F25)),(Inputs!$B$23+((C1936=TRUE)*(F1936-Calc!F30))+(IF(IF(ArtifactsInput!$M$15,FALSE,TRUE),1,-1)*CHOOSE(ArtifactsInput!$N$15+1,25,30,35,40,45,50)/100*IF(IF(ArtifactsInput!$M$15,FALSE,TRUE),(Inputs!$B$11+((C1929=TRUE)*(F1929-Calc!F23))+(IF(ArtifactsInput!$M$15,FALSE,TRUE)-ArtifactsInput!$M$15)*CHOOSE(ArtifactsInput!$N$15+1,8,9.6,11.2,12.8,14.4,16)),Inputs!$B$11))))/100+(Inputs!$B$23+((C1936=TRUE)*(F1936-Calc!F30))+(IF(IF(ArtifactsInput!$M$15,FALSE,TRUE),1,-1)*CHOOSE(ArtifactsInput!$N$15+1,25,30,35,40,45,50)/100*IF(IF(ArtifactsInput!$M$15,FALSE,TRUE),(Inputs!$B$11+((C1929=TRUE)*(F1929-Calc!F23))+(IF(ArtifactsInput!$M$15,FALSE,TRUE)-ArtifactsInput!$M$15)*CHOOSE(ArtifactsInput!$N$15+1,8,9.6,11.2,12.8,14.4,16)),Inputs!$B$11)))/100)/2</f>
        <v/>
      </c>
      <c r="M1910">
        <f>L1910*(1+(Inputs!$B$10+((C1933=TRUE)*(F1933-Calc!F27))+B1947+(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1910">
        <f>L1910*(1-MIN((Inputs!$B$9+((C1932=TRUE)*(F1932-Calc!F26))+B1940+(ArtifactsInput!$M$24-ArtifactsInput!$M$24)*CHOOSE(ArtifactsInput!$N$24+1,10,12,14,16,18,20)+(IF(AND(Inputs!$B$39&lt;&gt;"pvp",Inputs!$B$44=0),1,IF(IF(Inputs!$B$39="pvp",15,Inputs!$B$44)-(B1951)&lt;=0,1,MAX(0,IF(Inputs!$B$39="pvp",15,Inputs!$B$44)-MAX(5,B1951))/(IF(Inputs!$B$39="pvp",15,Inputs!$B$44)-(B1951))))*IF(AND(ArtifactsInput!$M$42,((Inputs!$B$9+((C1932=TRUE)*(F1932-Calc!F26))+B1940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1910*(MIN((Inputs!$B$9+((C1932=TRUE)*(F1932-Calc!F26))+B1940+(ArtifactsInput!$M$24-ArtifactsInput!$M$24)*CHOOSE(ArtifactsInput!$N$24+1,10,12,14,16,18,20)+(IF(AND(Inputs!$B$39&lt;&gt;"pvp",Inputs!$B$44=0),1,IF(IF(Inputs!$B$39="pvp",15,Inputs!$B$44)-(B1951)&lt;=0,1,MAX(0,IF(Inputs!$B$39="pvp",15,Inputs!$B$44)-MAX(5,B1951))/(IF(Inputs!$B$39="pvp",15,Inputs!$B$44)-(B1951))))*IF(AND(ArtifactsInput!$M$42,((Inputs!$B$9+((C1932=TRUE)*(F1932-Calc!F26))+B1940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910">
        <f>(1-Summary!$B$11)*T1910+Summary!$B$11*V1910</f>
        <v/>
      </c>
      <c r="P1910">
        <f>IF(B1952=0,0,O1910/B1952)</f>
        <v/>
      </c>
      <c r="Q1910">
        <f>IFERROR(1/IF(Inputs!$B$39="pvp",15,MAX(0.1,Skills!D4-IF(TRUE=TRUE,Inputs!$B$32,0))),0)</f>
        <v/>
      </c>
      <c r="R1910">
        <f>IF(AND(Inputs!$B$39&lt;&gt;"pvp",Inputs!$B$44&gt;0),IF(MAX(0,Inputs!$B$44-B1951)&lt;=0,0,(INT(MAX(0,Inputs!$B$44-B1951)/IF(Inputs!$B$39="pvp",15,MAX(0.1,Skills!D4-IF(TRUE=TRUE,Inputs!$B$32,0))))+1)),0)</f>
        <v/>
      </c>
      <c r="S1910">
        <f>IFERROR(O1910/N1910,0)</f>
        <v/>
      </c>
      <c r="T1910">
        <f>IF(C1910,(H1910*N1910*IF(AND(Inputs!$B$39&lt;&gt;"pvp",Inputs!$B$44&gt;0),((Skills!G4*((R1910-1)*IF(Skills!H4&gt;0,Skills!I4/Skills!H4,1)+IF(Skills!H4&gt;0,MIN(Skills!I4,MAX(0,MAX(0,Inputs!$B$44-B1951)-((R1910-1)*IF(Inputs!$B$39="pvp",15,MAX(0.1,Skills!D4-IF(TRUE=TRUE,Inputs!$B$32,0))))))/Skills!H4,1)))/Inputs!$B$44),G1910*Q1910))*IF(Inputs!$B$39="pvp",1,1+(Inputs!$B$20+0+Skills!P4+B1941+(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Hunt"),CHOOSE(ArtifactsInput!$N$35+1,15,18,21,24,27,30)*(1-EXP(-(0.2*B1944)*5)),0)+IF(AND(ArtifactsInput!$M$22,Inputs!$B$4&lt;&gt;"Chapter Hunt"),CHOOSE(ArtifactsInput!$N$22+1,10,12,14,16,18,20)*((0*(((0.15*B1944*5))^0/1)+1*(((0.15*B1944*5))^1/1)+2*(((0.15*B1944*5))^2/2)+3*(((0.15*B1944*5))^3/6)+4*(((0.15*B1944*5))^4/24)+5*(((0.15*B1944*5))^5/120))/((((0.15*B1944*5))^0/1)+(((0.15*B1944*5))^1/1)+(((0.15*B1944*5))^2/2)+(((0.15*B1944*5))^3/6)+(((0.15*B1944*5))^4/24)+(((0.15*B1944*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1910*(1-MIN(100,(Inputs!$B$9+((C1932=TRUE)*(F1932-Calc!F26))+B1940+(ArtifactsInput!$M$24-ArtifactsInput!$M$24)*CHOOSE(ArtifactsInput!$N$24+1,10,12,14,16,18,20)+(IF(AND(Inputs!$B$39&lt;&gt;"pvp",Inputs!$B$44=0),1,IF(IF(Inputs!$B$39="pvp",15,Inputs!$B$44)-(B1951)&lt;=0,1,MAX(0,IF(Inputs!$B$39="pvp",15,Inputs!$B$44)-MAX(5,B1951))/(IF(Inputs!$B$39="pvp",15,Inputs!$B$44)-(B1951))))*IF(AND(ArtifactsInput!$M$42,((Inputs!$B$9+((C1932=TRUE)*(F1932-Calc!F26))+B1940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1910*(MIN(100,(Inputs!$B$9+((C1932=TRUE)*(F1932-Calc!F26))+B1940+(ArtifactsInput!$M$24-ArtifactsInput!$M$24)*CHOOSE(ArtifactsInput!$N$24+1,10,12,14,16,18,20)+(IF(AND(Inputs!$B$39&lt;&gt;"pvp",Inputs!$B$44=0),1,IF(IF(Inputs!$B$39="pvp",15,Inputs!$B$44)-(B1951)&lt;=0,1,MAX(0,IF(Inputs!$B$39="pvp",15,Inputs!$B$44)-MAX(5,B1951))/(IF(Inputs!$B$39="pvp",15,Inputs!$B$44)-(B1951))))*IF(AND(ArtifactsInput!$M$42,((Inputs!$B$9+((C1932=TRUE)*(F1932-Calc!F26))+B1940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1910*(1-MIN(100,(Inputs!$B$9+((C1932=TRUE)*(F1932-Calc!F26))+B1940+(ArtifactsInput!$M$24-ArtifactsInput!$M$24)*CHOOSE(ArtifactsInput!$N$24+1,10,12,14,16,18,20)+(IF(AND(Inputs!$B$39&lt;&gt;"pvp",Inputs!$B$44=0),1,IF(IF(Inputs!$B$39="pvp",15,Inputs!$B$44)-(B1951)&lt;=0,1,MAX(0,IF(Inputs!$B$39="pvp",15,Inputs!$B$44)-MAX(5,B1951))/(IF(Inputs!$B$39="pvp",15,Inputs!$B$44)-(B1951))))*IF(AND(ArtifactsInput!$M$42,((Inputs!$B$9+((C1932=TRUE)*(F1932-Calc!F26))+B1940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1910*(MIN(100,(Inputs!$B$9+((C1932=TRUE)*(F1932-Calc!F26))+B1940+(ArtifactsInput!$M$24-ArtifactsInput!$M$24)*CHOOSE(ArtifactsInput!$N$24+1,10,12,14,16,18,20)+(IF(AND(Inputs!$B$39&lt;&gt;"pvp",Inputs!$B$44=0),1,IF(IF(Inputs!$B$39="pvp",15,Inputs!$B$44)-(B1951)&lt;=0,1,MAX(0,IF(Inputs!$B$39="pvp",15,Inputs!$B$44)-MAX(5,B1951))/(IF(Inputs!$B$39="pvp",15,Inputs!$B$44)-(B1951))))*IF(AND(ArtifactsInput!$M$42,((Inputs!$B$9+((C1932=TRUE)*(F1932-Calc!F26))+B1940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1910">
        <f>290*U1909/1000</f>
        <v/>
      </c>
      <c r="V1910">
        <f>IF(C1910,(H1910*N1910*IF(AND(Inputs!$B$39&lt;&gt;"pvp",Inputs!$B$44&gt;0),((Skills!G4*((R1910-1)*IF(Skills!H4&gt;0,Skills!I4/Skills!H4,1)+IF(Skills!H4&gt;0,MIN(Skills!I4,MAX(0,MAX(0,Inputs!$B$44-B1951)-((R1910-1)*IF(Inputs!$B$39="pvp",15,MAX(0.1,Skills!D4-IF(TRUE=TRUE,Inputs!$B$32,0))))))/Skills!H4,1)))/Inputs!$B$44),G1910*Q1910))*IF(Inputs!$B$39="pvp",1,(1+(Inputs!$B$21+Skills!Q4+B1941+(IF(ArtifactsInput!$M$33,CHOOSE(ArtifactsInput!$N$33+1,30,36,42,48,54,60),0))+(IF(AND(ArtifactsInput!$M$35,Inputs!$B$4&lt;&gt;"Chapter Hunt"),CHOOSE(ArtifactsInput!$N$35+1,15,18,21,24,27,30)*(1-EXP(-(0.2*B1944)*5)),0)+IF(AND(ArtifactsInput!$M$22,Inputs!$B$4&lt;&gt;"Chapter Hunt"),CHOOSE(ArtifactsInput!$N$22+1,10,12,14,16,18,20)*((0*(((0.15*B1944*5))^0/1)+1*(((0.15*B1944*5))^1/1)+2*(((0.15*B1944*5))^2/2)+3*(((0.15*B1944*5))^3/6)+4*(((0.15*B1944*5))^4/24)+5*(((0.15*B1944*5))^5/120))/((((0.15*B1944*5))^0/1)+(((0.15*B1944*5))^1/1)+(((0.15*B1944*5))^2/2)+(((0.15*B1944*5))^3/6)+(((0.15*B1944*5))^4/24)+(((0.15*B1944*5))^5/120))),0)))/100)*(MIN(MIN(10,IF(Inputs!$B$3&gt;=75,0.75,0.5)*B1944*(1/Q1910)),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911">
      <c r="A1911">
        <f>Skills!A5</f>
        <v/>
      </c>
      <c r="B1911">
        <f>Skills!B5</f>
        <v/>
      </c>
      <c r="C1911">
        <f>Inputs!$B$3&gt;=75</f>
        <v/>
      </c>
      <c r="D1911">
        <f>IF(Skills!C5=1,60+Inputs!$B$25+Inputs!$B$29,IF(Skills!C5=2,90+Inputs!$B$26+Inputs!$B$29,IF(Skills!C5=3,120+Inputs!$B$27+Inputs!$B$29,MAX(0,(Inputs!$B$3-100)*3)+Inputs!$B$28+Inputs!$B$29)))</f>
        <v/>
      </c>
      <c r="E1911">
        <f>INDEX(FactorTable!$B$2:$Y$301, MATCH(ROUND(MIN(300,MAX(1,D1911)),0), FactorTable!$A$2:$A$301,0), Skills!M5+1)</f>
        <v/>
      </c>
      <c r="F1911">
        <f>IF(Skills!N5=TRUE,(Skills!L5/10)*(E1911/1000),Skills!L5/10)+Skills!O5</f>
        <v/>
      </c>
      <c r="G1911">
        <f>Skills!G5*IF(Skills!H5&gt;0,IF(Inputs!$B$39="pvp",MIN(Skills!I5,15),Skills!I5)/Skills!H5,1)</f>
        <v/>
      </c>
      <c r="H1911">
        <f>1-(1-Skills!J5/100)^Skills!K5</f>
        <v/>
      </c>
      <c r="I1911" t="inlineStr">
        <is>
          <t>1</t>
        </is>
      </c>
      <c r="J1911" t="inlineStr"/>
      <c r="K1911" t="inlineStr"/>
      <c r="L1911" t="inlineStr"/>
      <c r="M1911" t="inlineStr"/>
      <c r="N1911" t="inlineStr"/>
      <c r="O1911">
        <f>(1-Summary!$B$11)*T1911+Summary!$B$11*V1911</f>
        <v/>
      </c>
      <c r="P1911">
        <f>IF(B1952=0,0,O1911/B1952)</f>
        <v/>
      </c>
      <c r="Q1911" t="n">
        <v>0</v>
      </c>
      <c r="R1911" t="n">
        <v>0</v>
      </c>
      <c r="S1911">
        <f>IFERROR(O1911/N1911,0)</f>
        <v/>
      </c>
      <c r="T1911" t="n">
        <v>0</v>
      </c>
      <c r="V1911" t="n">
        <v>0</v>
      </c>
    </row>
    <row r="1912">
      <c r="A1912">
        <f>Skills!A6</f>
        <v/>
      </c>
      <c r="B1912">
        <f>Skills!B6</f>
        <v/>
      </c>
      <c r="C1912">
        <f>Inputs!$B$3&gt;=63</f>
        <v/>
      </c>
      <c r="D1912">
        <f>IF(Skills!C6=1,60+Inputs!$B$25+Inputs!$B$29,IF(Skills!C6=2,90+Inputs!$B$26+Inputs!$B$29,IF(Skills!C6=3,120+Inputs!$B$27+Inputs!$B$29,MAX(0,(Inputs!$B$3-100)*3)+Inputs!$B$28+Inputs!$B$29)))</f>
        <v/>
      </c>
      <c r="E1912">
        <f>INDEX(FactorTable!$B$2:$Y$301, MATCH(ROUND(MIN(300,MAX(1,D1912)),0), FactorTable!$A$2:$A$301,0), Skills!M6+1)</f>
        <v/>
      </c>
      <c r="F1912">
        <f>IF(Skills!N6=TRUE,(Skills!L6/10)*(E1912/1000),Skills!L6/10)+Skills!O6</f>
        <v/>
      </c>
      <c r="G1912">
        <f>Skills!G6*IF(Skills!H6&gt;0,IF(Inputs!$B$39="pvp",MIN(Skills!I6,15),Skills!I6)/Skills!H6,1)</f>
        <v/>
      </c>
      <c r="H1912">
        <f>1-(1-Skills!J6/100)^Skills!K6</f>
        <v/>
      </c>
      <c r="I1912" t="inlineStr">
        <is>
          <t>1</t>
        </is>
      </c>
      <c r="J1912">
        <f>((Inputs!$B$6*(1+Inputs!$B$7/100))+(((Inputs!$B$12*(1+Inputs!$B$13/100))-(Inputs!$B$12*(1+Inputs!$B$13/100)))+0.25*(Inputs!$B$14-Inputs!$B$14))*(1+Inputs!$B$7/100))*(F1912/100)</f>
        <v/>
      </c>
      <c r="K1912">
        <f>J1912*(1+((Inputs!$B$12*(1+Inputs!$B$13/100))*0.01+Inputs!$B$14*0.0025)/100)*(1+Inputs!$B$15/100)*(1+Inputs!$B$16/100)*(5000/(6000+Inputs!$B$43*(1-(100*(1-(1-Inputs!$B$19/100)*(1-CHOOSE(ArtifactsInput!$N$40+1,5,6,7,8,9,10)/100)^(ArtifactsInput!$M$40-ArtifactsInput!$M$40)))/100)))*(1+(Inputs!$B$24+((C1937=TRUE)*(F1937-Calc!F31))+((C1924=TRUE)*(F1924-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+2.6666666666666665*IF(C1925=TRUE,F1925,0)/100)*(1+(IF(Skills!A6="CRUEL_STAB",Inputs!$B$17+((C1934=TRUE)*(F1934-Calc!F28))+((IF(AND(Inputs!$B$39&lt;&gt;"pvp",Inputs!$B$44=0),1,IF(IF(Inputs!$B$39="pvp",15,Inputs!$B$44)-(B1951)&lt;=0,1,MAX(0,IF(Inputs!$B$39="pvp",15,Inputs!$B$44)-MAX(5,B1951))/(IF(Inputs!$B$39="pvp",15,Inputs!$B$44)-(B1951))))*(IF(AND(ArtifactsInput!$M$42,((Inputs!$B$9+((C1932=TRUE)*(F1932-Calc!F26))+B1940+(ArtifactsInput!$M$24-ArtifactsInput!$M$24)*CHOOSE(ArtifactsInput!$N$24+1,10,12,14,16,18,20)+IF(ArtifactsInput!$M$10,CHOOSE(ArtifactsInput!$N$10+1,15,18,21,24,27,30)*(IF(Inputs!$B$39="pvp",MIN(15,15)/15,IF(AND(Inputs!$B$39&lt;&gt;"pvp",Inputs!$B$44&gt;0),MIN(15,Inputs!$B$44)/(Inputs!$B$44),0))),0)))&gt;=100),MIN(100,((Inputs!$B$9+((C1932=TRUE)*(F1932-Calc!F26))+B1940+(ArtifactsInput!$M$24-ArtifactsInput!$M$24)*CHOOSE(ArtifactsInput!$N$24+1,10,12,14,16,18,20)+IF(ArtifactsInput!$M$10,CHOOSE(ArtifactsInput!$N$10+1,15,18,21,24,27,30)*(IF(Inputs!$B$39="pvp",MIN(15,15)/15,IF(AND(Inputs!$B$39&lt;&gt;"pvp",Inputs!$B$44&gt;0),MIN(15,Inputs!$B$44)/(Inputs!$B$44),0))),0)))-100),0))*CHOOSE(ArtifactsInput!$N$42+1,0.6,0.72,0.84,0.96,1.08,1.2))),Inputs!$B$18+((C1935=TRUE)*(F1935-Calc!F29))+(IF(AND(Inputs!$B$39&lt;&gt;"pvp",Inputs!$B$44=0),1,IF(IF(Inputs!$B$39="pvp",15,Inputs!$B$44)-(B1951)&lt;=0,1,MAX(0,IF(Inputs!$B$39="pvp",15,Inputs!$B$44)-MAX(5,B1951))/(IF(Inputs!$B$39="pvp",15,Inputs!$B$44)-(B1951))))*IF(AND(ArtifactsInput!$M$42,((Inputs!$B$9+((C1932=TRUE)*(F1932-Calc!F26))+B1940+(ArtifactsInput!$M$24-ArtifactsInput!$M$24)*CHOOSE(ArtifactsInput!$N$24+1,10,12,14,16,18,20)+IF(ArtifactsInput!$M$10,CHOOSE(ArtifactsInput!$N$10+1,15,18,21,24,27,30)*(IF(Inputs!$B$39="pvp",MIN(15,15)/15,IF(AND(Inputs!$B$39&lt;&gt;"pvp",Inputs!$B$44&gt;0),MIN(15,Inputs!$B$44)/(Inputs!$B$44),0))),0)))&gt;=100),CHOOSE(ArtifactsInput!$N$42+1,40,48,56,64,72,80),0))))/100)*(((1+(((C1928=TRUE)*F1928*IF(AND(Inputs!$B$39&lt;&gt;"pvp",Inputs!$B$44&gt;0),(((R1928-1)*MIN((Skills!Y22*(1+Inputs!$B$34/100)),(1/Q1928))+MIN((Skills!Y22*(1+Inputs!$B$34/100)),MAX(0,Inputs!$B$44-((R1928-1)*(1/Q1928)))))/Inputs!$B$44),IF(Inputs!$B$39="pvp",MIN((Skills!Y22*(1+Inputs!$B$34/100)),15)/15,MIN(1,(Skills!Y22*(1+Inputs!$B$34/100))/(1/Q1928)))))+((C1909=TRUE)*F1909*3)+((C1911=TRUE)*F1911*(1-EXP(-0.75*B1944*5)))+((C1930=TRUE)*(F1930-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1917=TRUE)*F1917*IF(AND(Inputs!$B$39&lt;&gt;"pvp",Inputs!$B$44&gt;0),(((R1917-1)*MIN((Skills!Y11*(1+Inputs!$B$34/100)),(1/Q1917))+MIN((Skills!Y11*(1+Inputs!$B$34/100)),MAX(0,Inputs!$B$44-((R1917-1)*(1/Q1917)))))/Inputs!$B$44),IF(Inputs!$B$39="pvp",MIN((Skills!Y11*(1+Inputs!$B$34/100)),15)/15,MIN(1,(Skills!Y11*(1+Inputs!$B$34/100))/(1/Q1917)))))/100)*(1+((C1922=TRUE)*F1922*IF(AND(Inputs!$B$39&lt;&gt;"pvp",Inputs!$B$44&gt;0),(((R1922-1)*MIN((Skills!Y16*(1+Inputs!$B$34/100)),(1/Q1922))+MIN((Skills!Y16*(1+Inputs!$B$34/100)),MAX(0,Inputs!$B$44-((R1922-1)*(1/Q1922)))))/Inputs!$B$44),IF(Inputs!$B$39="pvp",MIN((Skills!Y16*(1+Inputs!$B$34/100)),15)/15,MIN(1,(Skills!Y16*(1+Inputs!$B$34/100))/(1/Q1922)))))/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1942*I1912)</f>
        <v/>
      </c>
      <c r="L1912">
        <f>K1912*(MIN(Inputs!$B$22+((C1931=TRUE)*(F1931-Calc!F25)),(Inputs!$B$23+((C1936=TRUE)*(F1936-Calc!F30))+(IF(IF(ArtifactsInput!$M$15,FALSE,TRUE),1,-1)*CHOOSE(ArtifactsInput!$N$15+1,25,30,35,40,45,50)/100*IF(IF(ArtifactsInput!$M$15,FALSE,TRUE),(Inputs!$B$11+((C1929=TRUE)*(F1929-Calc!F23))+(IF(ArtifactsInput!$M$15,FALSE,TRUE)-ArtifactsInput!$M$15)*CHOOSE(ArtifactsInput!$N$15+1,8,9.6,11.2,12.8,14.4,16)),Inputs!$B$11))))/100+(Inputs!$B$23+((C1936=TRUE)*(F1936-Calc!F30))+(IF(IF(ArtifactsInput!$M$15,FALSE,TRUE),1,-1)*CHOOSE(ArtifactsInput!$N$15+1,25,30,35,40,45,50)/100*IF(IF(ArtifactsInput!$M$15,FALSE,TRUE),(Inputs!$B$11+((C1929=TRUE)*(F1929-Calc!F23))+(IF(ArtifactsInput!$M$15,FALSE,TRUE)-ArtifactsInput!$M$15)*CHOOSE(ArtifactsInput!$N$15+1,8,9.6,11.2,12.8,14.4,16)),Inputs!$B$11)))/100)/2</f>
        <v/>
      </c>
      <c r="M1912">
        <f>L1912*(1+(Inputs!$B$10+((C1933=TRUE)*(F1933-Calc!F27))+B1947+(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1912">
        <f>L1912*(1-MIN((Inputs!$B$9+((C1932=TRUE)*(F1932-Calc!F26))+B1940+(ArtifactsInput!$M$24-ArtifactsInput!$M$24)*CHOOSE(ArtifactsInput!$N$24+1,10,12,14,16,18,20)+(IF(AND(Inputs!$B$39&lt;&gt;"pvp",Inputs!$B$44=0),1,IF(IF(Inputs!$B$39="pvp",15,Inputs!$B$44)-(B1951)&lt;=0,1,MAX(0,IF(Inputs!$B$39="pvp",15,Inputs!$B$44)-MAX(5,B1951))/(IF(Inputs!$B$39="pvp",15,Inputs!$B$44)-(B1951))))*IF(AND(ArtifactsInput!$M$42,((Inputs!$B$9+((C1932=TRUE)*(F1932-Calc!F26))+B1940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1912*(MIN((Inputs!$B$9+((C1932=TRUE)*(F1932-Calc!F26))+B1940+(ArtifactsInput!$M$24-ArtifactsInput!$M$24)*CHOOSE(ArtifactsInput!$N$24+1,10,12,14,16,18,20)+(IF(AND(Inputs!$B$39&lt;&gt;"pvp",Inputs!$B$44=0),1,IF(IF(Inputs!$B$39="pvp",15,Inputs!$B$44)-(B1951)&lt;=0,1,MAX(0,IF(Inputs!$B$39="pvp",15,Inputs!$B$44)-MAX(5,B1951))/(IF(Inputs!$B$39="pvp",15,Inputs!$B$44)-(B1951))))*IF(AND(ArtifactsInput!$M$42,((Inputs!$B$9+((C1932=TRUE)*(F1932-Calc!F26))+B1940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912">
        <f>(1-Summary!$B$11)*T1912+Summary!$B$11*V1912</f>
        <v/>
      </c>
      <c r="P1912">
        <f>IF(B1952=0,0,O1912/B1952)</f>
        <v/>
      </c>
      <c r="Q1912">
        <f>IFERROR(1/IF(Inputs!$B$39="pvp",15,MAX(0.1,Skills!D6-IF(TRUE=TRUE,Inputs!$B$32,0))),0)</f>
        <v/>
      </c>
      <c r="R1912">
        <f>IF(AND(Inputs!$B$39&lt;&gt;"pvp",Inputs!$B$44&gt;0),IF(MAX(0,Inputs!$B$44-B1951)&lt;=0,0,(INT(MAX(0,Inputs!$B$44-B1951)/IF(Inputs!$B$39="pvp",15,MAX(0.1,Skills!D6-IF(TRUE=TRUE,Inputs!$B$32,0))))+1)),0)</f>
        <v/>
      </c>
      <c r="S1912">
        <f>IFERROR(O1912/N1912,0)</f>
        <v/>
      </c>
      <c r="T1912">
        <f>IF(C1912,(H1912*N1912*IF(AND(Inputs!$B$39&lt;&gt;"pvp",Inputs!$B$44&gt;0),((Skills!G6*((R1912-1)*IF(Skills!H6&gt;0,Skills!I6/Skills!H6,1)+IF(Skills!H6&gt;0,MIN(Skills!I6,MAX(0,MAX(0,Inputs!$B$44-B1951)-((R1912-1)*IF(Inputs!$B$39="pvp",15,MAX(0.1,Skills!D6-IF(TRUE=TRUE,Inputs!$B$32,0))))))/Skills!H6,1)))/Inputs!$B$44),G1912*Q1912))*IF(Inputs!$B$39="pvp",1,1+(Inputs!$B$20+0+Skills!P6+B1941+(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Hunt"),CHOOSE(ArtifactsInput!$N$35+1,15,18,21,24,27,30)*(1-EXP(-(0.2*B1944)*5)),0)+IF(AND(ArtifactsInput!$M$22,Inputs!$B$4&lt;&gt;"Chapter Hunt"),CHOOSE(ArtifactsInput!$N$22+1,10,12,14,16,18,20)*((0*(((0.15*B1944*5))^0/1)+1*(((0.15*B1944*5))^1/1)+2*(((0.15*B1944*5))^2/2)+3*(((0.15*B1944*5))^3/6)+4*(((0.15*B1944*5))^4/24)+5*(((0.15*B1944*5))^5/120))/((((0.15*B1944*5))^0/1)+(((0.15*B1944*5))^1/1)+(((0.15*B1944*5))^2/2)+(((0.15*B1944*5))^3/6)+(((0.15*B1944*5))^4/24)+(((0.15*B1944*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1912*(1-MIN(100,(Inputs!$B$9+((C1932=TRUE)*(F1932-Calc!F26))+B1940+(ArtifactsInput!$M$24-ArtifactsInput!$M$24)*CHOOSE(ArtifactsInput!$N$24+1,10,12,14,16,18,20)+(IF(AND(Inputs!$B$39&lt;&gt;"pvp",Inputs!$B$44=0),1,IF(IF(Inputs!$B$39="pvp",15,Inputs!$B$44)-(B1951)&lt;=0,1,MAX(0,IF(Inputs!$B$39="pvp",15,Inputs!$B$44)-MAX(5,B1951))/(IF(Inputs!$B$39="pvp",15,Inputs!$B$44)-(B1951))))*IF(AND(ArtifactsInput!$M$42,((Inputs!$B$9+((C1932=TRUE)*(F1932-Calc!F26))+B1940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1912*(MIN(100,(Inputs!$B$9+((C1932=TRUE)*(F1932-Calc!F26))+B1940+(ArtifactsInput!$M$24-ArtifactsInput!$M$24)*CHOOSE(ArtifactsInput!$N$24+1,10,12,14,16,18,20)+(IF(AND(Inputs!$B$39&lt;&gt;"pvp",Inputs!$B$44=0),1,IF(IF(Inputs!$B$39="pvp",15,Inputs!$B$44)-(B1951)&lt;=0,1,MAX(0,IF(Inputs!$B$39="pvp",15,Inputs!$B$44)-MAX(5,B1951))/(IF(Inputs!$B$39="pvp",15,Inputs!$B$44)-(B1951))))*IF(AND(ArtifactsInput!$M$42,((Inputs!$B$9+((C1932=TRUE)*(F1932-Calc!F26))+B1940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1912*(1-MIN(100,(Inputs!$B$9+((C1932=TRUE)*(F1932-Calc!F26))+B1940+(ArtifactsInput!$M$24-ArtifactsInput!$M$24)*CHOOSE(ArtifactsInput!$N$24+1,10,12,14,16,18,20)+(IF(AND(Inputs!$B$39&lt;&gt;"pvp",Inputs!$B$44=0),1,IF(IF(Inputs!$B$39="pvp",15,Inputs!$B$44)-(B1951)&lt;=0,1,MAX(0,IF(Inputs!$B$39="pvp",15,Inputs!$B$44)-MAX(5,B1951))/(IF(Inputs!$B$39="pvp",15,Inputs!$B$44)-(B1951))))*IF(AND(ArtifactsInput!$M$42,((Inputs!$B$9+((C1932=TRUE)*(F1932-Calc!F26))+B1940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1912*(MIN(100,(Inputs!$B$9+((C1932=TRUE)*(F1932-Calc!F26))+B1940+(ArtifactsInput!$M$24-ArtifactsInput!$M$24)*CHOOSE(ArtifactsInput!$N$24+1,10,12,14,16,18,20)+(IF(AND(Inputs!$B$39&lt;&gt;"pvp",Inputs!$B$44=0),1,IF(IF(Inputs!$B$39="pvp",15,Inputs!$B$44)-(B1951)&lt;=0,1,MAX(0,IF(Inputs!$B$39="pvp",15,Inputs!$B$44)-MAX(5,B1951))/(IF(Inputs!$B$39="pvp",15,Inputs!$B$44)-(B1951))))*IF(AND(ArtifactsInput!$M$42,((Inputs!$B$9+((C1932=TRUE)*(F1932-Calc!F26))+B1940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1912">
        <f>IF(C1912,(H1912*N1912*IF(AND(Inputs!$B$39&lt;&gt;"pvp",Inputs!$B$44&gt;0),((Skills!G6*((R1912-1)*IF(Skills!H6&gt;0,Skills!I6/Skills!H6,1)+IF(Skills!H6&gt;0,MIN(Skills!I6,MAX(0,MAX(0,Inputs!$B$44-B1951)-((R1912-1)*IF(Inputs!$B$39="pvp",15,MAX(0.1,Skills!D6-IF(TRUE=TRUE,Inputs!$B$32,0))))))/Skills!H6,1)))/Inputs!$B$44),G1912*Q1912))*IF(Inputs!$B$39="pvp",1,(1+(Inputs!$B$21+Skills!Q6+B1941+(IF(ArtifactsInput!$M$33,CHOOSE(ArtifactsInput!$N$33+1,30,36,42,48,54,60),0))+(IF(AND(ArtifactsInput!$M$35,Inputs!$B$4&lt;&gt;"Chapter Hunt"),CHOOSE(ArtifactsInput!$N$35+1,15,18,21,24,27,30)*(1-EXP(-(0.2*B1944)*5)),0)+IF(AND(ArtifactsInput!$M$22,Inputs!$B$4&lt;&gt;"Chapter Hunt"),CHOOSE(ArtifactsInput!$N$22+1,10,12,14,16,18,20)*((0*(((0.15*B1944*5))^0/1)+1*(((0.15*B1944*5))^1/1)+2*(((0.15*B1944*5))^2/2)+3*(((0.15*B1944*5))^3/6)+4*(((0.15*B1944*5))^4/24)+5*(((0.15*B1944*5))^5/120))/((((0.15*B1944*5))^0/1)+(((0.15*B1944*5))^1/1)+(((0.15*B1944*5))^2/2)+(((0.15*B1944*5))^3/6)+(((0.15*B1944*5))^4/24)+(((0.15*B1944*5))^5/120))),0)))/100)*(MIN(Skills!W6,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913">
      <c r="A1913">
        <f>Skills!A7</f>
        <v/>
      </c>
      <c r="B1913">
        <f>Skills!B7</f>
        <v/>
      </c>
      <c r="C1913">
        <f>Inputs!$B$3&gt;=69</f>
        <v/>
      </c>
      <c r="D1913">
        <f>IF(Skills!C7=1,60+Inputs!$B$25+Inputs!$B$29,IF(Skills!C7=2,90+Inputs!$B$26+Inputs!$B$29,IF(Skills!C7=3,120+Inputs!$B$27+Inputs!$B$29,MAX(0,(Inputs!$B$3-100)*3)+Inputs!$B$28+Inputs!$B$29)))</f>
        <v/>
      </c>
      <c r="E1913">
        <f>INDEX(FactorTable!$B$2:$Y$301, MATCH(ROUND(MIN(300,MAX(1,D1913)),0), FactorTable!$A$2:$A$301,0), Skills!M7+1)</f>
        <v/>
      </c>
      <c r="F1913">
        <f>IF(Skills!N7=TRUE,(Skills!L7/10)*(E1913/1000),Skills!L7/10)+Skills!O7</f>
        <v/>
      </c>
      <c r="G1913">
        <f>Skills!G7*IF(Skills!H7&gt;0,IF(Inputs!$B$39="pvp",MIN(Skills!I7,15),Skills!I7)/Skills!H7,1)</f>
        <v/>
      </c>
      <c r="H1913">
        <f>1-(1-Skills!J7/100)^Skills!K7</f>
        <v/>
      </c>
      <c r="I1913" t="inlineStr">
        <is>
          <t>1</t>
        </is>
      </c>
      <c r="J1913">
        <f>((Inputs!$B$6*(1+Inputs!$B$7/100))+(((Inputs!$B$12*(1+Inputs!$B$13/100))-(Inputs!$B$12*(1+Inputs!$B$13/100)))+0.25*(Inputs!$B$14-Inputs!$B$14))*(1+Inputs!$B$7/100))*(F1913/100)</f>
        <v/>
      </c>
      <c r="K1913">
        <f>J1913*(1+((Inputs!$B$12*(1+Inputs!$B$13/100))*0.01+Inputs!$B$14*0.0025)/100)*(1+Inputs!$B$15/100)*(1+Inputs!$B$16/100)*(5000/(6000+Inputs!$B$43*(1-(100*(1-(1-Inputs!$B$19/100)*(1-CHOOSE(ArtifactsInput!$N$40+1,5,6,7,8,9,10)/100)^(ArtifactsInput!$M$40-ArtifactsInput!$M$40)))/100)))*(1+(Inputs!$B$24+((C1937=TRUE)*(F1937-Calc!F31))+((C1924=TRUE)*(F1924-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1925=TRUE,F1925,0)/100)*(1+(IF(Skills!A7="CRUEL_STAB",Inputs!$B$17+((C1934=TRUE)*(F1934-Calc!F28))+((IF(AND(Inputs!$B$39&lt;&gt;"pvp",Inputs!$B$44=0),1,IF(IF(Inputs!$B$39="pvp",15,Inputs!$B$44)-(B1951)&lt;=0,1,MAX(0,IF(Inputs!$B$39="pvp",15,Inputs!$B$44)-MAX(5,B1951))/(IF(Inputs!$B$39="pvp",15,Inputs!$B$44)-(B1951))))*(IF(AND(ArtifactsInput!$M$42,((Inputs!$B$9+((C1932=TRUE)*(F1932-Calc!F26))+B1940+(ArtifactsInput!$M$24-ArtifactsInput!$M$24)*CHOOSE(ArtifactsInput!$N$24+1,10,12,14,16,18,20)+IF(ArtifactsInput!$M$10,CHOOSE(ArtifactsInput!$N$10+1,15,18,21,24,27,30)*(IF(Inputs!$B$39="pvp",MIN(15,15)/15,IF(AND(Inputs!$B$39&lt;&gt;"pvp",Inputs!$B$44&gt;0),MIN(15,Inputs!$B$44)/(Inputs!$B$44),0))),0)))&gt;=100),MIN(100,((Inputs!$B$9+((C1932=TRUE)*(F1932-Calc!F26))+B1940+(ArtifactsInput!$M$24-ArtifactsInput!$M$24)*CHOOSE(ArtifactsInput!$N$24+1,10,12,14,16,18,20)+IF(ArtifactsInput!$M$10,CHOOSE(ArtifactsInput!$N$10+1,15,18,21,24,27,30)*(IF(Inputs!$B$39="pvp",MIN(15,15)/15,IF(AND(Inputs!$B$39&lt;&gt;"pvp",Inputs!$B$44&gt;0),MIN(15,Inputs!$B$44)/(Inputs!$B$44),0))),0)))-100),0))*CHOOSE(ArtifactsInput!$N$42+1,0.6,0.72,0.84,0.96,1.08,1.2))),Inputs!$B$18+((C1935=TRUE)*(F1935-Calc!F29))+(IF(AND(Inputs!$B$39&lt;&gt;"pvp",Inputs!$B$44=0),1,IF(IF(Inputs!$B$39="pvp",15,Inputs!$B$44)-(B1951)&lt;=0,1,MAX(0,IF(Inputs!$B$39="pvp",15,Inputs!$B$44)-MAX(5,B1951))/(IF(Inputs!$B$39="pvp",15,Inputs!$B$44)-(B1951))))*IF(AND(ArtifactsInput!$M$42,((Inputs!$B$9+((C1932=TRUE)*(F1932-Calc!F26))+B1940+(ArtifactsInput!$M$24-ArtifactsInput!$M$24)*CHOOSE(ArtifactsInput!$N$24+1,10,12,14,16,18,20)+IF(ArtifactsInput!$M$10,CHOOSE(ArtifactsInput!$N$10+1,15,18,21,24,27,30)*(IF(Inputs!$B$39="pvp",MIN(15,15)/15,IF(AND(Inputs!$B$39&lt;&gt;"pvp",Inputs!$B$44&gt;0),MIN(15,Inputs!$B$44)/(Inputs!$B$44),0))),0)))&gt;=100),CHOOSE(ArtifactsInput!$N$42+1,40,48,56,64,72,80),0))))/100)*(((1+(((C1928=TRUE)*F1928*IF(AND(Inputs!$B$39&lt;&gt;"pvp",Inputs!$B$44&gt;0),(((R1928-1)*MIN((Skills!Y22*(1+Inputs!$B$34/100)),(1/Q1928))+MIN((Skills!Y22*(1+Inputs!$B$34/100)),MAX(0,Inputs!$B$44-((R1928-1)*(1/Q1928)))))/Inputs!$B$44),IF(Inputs!$B$39="pvp",MIN((Skills!Y22*(1+Inputs!$B$34/100)),15)/15,MIN(1,(Skills!Y22*(1+Inputs!$B$34/100))/(1/Q1928)))))+((C1909=TRUE)*F1909*3)+((C1911=TRUE)*F1911*(1-EXP(-0.75*B1944*5)))+((C1930=TRUE)*(F1930-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1917=TRUE)*F1917*IF(AND(Inputs!$B$39&lt;&gt;"pvp",Inputs!$B$44&gt;0),(((R1917-1)*MIN((Skills!Y11*(1+Inputs!$B$34/100)),(1/Q1917))+MIN((Skills!Y11*(1+Inputs!$B$34/100)),MAX(0,Inputs!$B$44-((R1917-1)*(1/Q1917)))))/Inputs!$B$44),IF(Inputs!$B$39="pvp",MIN((Skills!Y11*(1+Inputs!$B$34/100)),15)/15,MIN(1,(Skills!Y11*(1+Inputs!$B$34/100))/(1/Q1917)))))/100)*(1+((C1922=TRUE)*F1922*IF(AND(Inputs!$B$39&lt;&gt;"pvp",Inputs!$B$44&gt;0),(((R1922-1)*MIN((Skills!Y16*(1+Inputs!$B$34/100)),(1/Q1922))+MIN((Skills!Y16*(1+Inputs!$B$34/100)),MAX(0,Inputs!$B$44-((R1922-1)*(1/Q1922)))))/Inputs!$B$44),IF(Inputs!$B$39="pvp",MIN((Skills!Y16*(1+Inputs!$B$34/100)),15)/15,MIN(1,(Skills!Y16*(1+Inputs!$B$34/100))/(1/Q1922)))))/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1942*I1913)</f>
        <v/>
      </c>
      <c r="L1913">
        <f>K1913*(MIN(Inputs!$B$22+((C1931=TRUE)*(F1931-Calc!F25)),(Inputs!$B$23+((C1936=TRUE)*(F1936-Calc!F30))+(IF(IF(ArtifactsInput!$M$15,FALSE,TRUE),1,-1)*CHOOSE(ArtifactsInput!$N$15+1,25,30,35,40,45,50)/100*IF(IF(ArtifactsInput!$M$15,FALSE,TRUE),(Inputs!$B$11+((C1929=TRUE)*(F1929-Calc!F23))+(IF(ArtifactsInput!$M$15,FALSE,TRUE)-ArtifactsInput!$M$15)*CHOOSE(ArtifactsInput!$N$15+1,8,9.6,11.2,12.8,14.4,16)),Inputs!$B$11))))/100+(Inputs!$B$23+((C1936=TRUE)*(F1936-Calc!F30))+(IF(IF(ArtifactsInput!$M$15,FALSE,TRUE),1,-1)*CHOOSE(ArtifactsInput!$N$15+1,25,30,35,40,45,50)/100*IF(IF(ArtifactsInput!$M$15,FALSE,TRUE),(Inputs!$B$11+((C1929=TRUE)*(F1929-Calc!F23))+(IF(ArtifactsInput!$M$15,FALSE,TRUE)-ArtifactsInput!$M$15)*CHOOSE(ArtifactsInput!$N$15+1,8,9.6,11.2,12.8,14.4,16)),Inputs!$B$11)))/100)/2</f>
        <v/>
      </c>
      <c r="M1913">
        <f>L1913*(1+(Inputs!$B$10+((C1933=TRUE)*(F1933-Calc!F27))+B1947+(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1913">
        <f>L1913*(1-MIN((Inputs!$B$9+((C1932=TRUE)*(F1932-Calc!F26))+B1940+(ArtifactsInput!$M$24-ArtifactsInput!$M$24)*CHOOSE(ArtifactsInput!$N$24+1,10,12,14,16,18,20)+(IF(AND(Inputs!$B$39&lt;&gt;"pvp",Inputs!$B$44=0),1,IF(IF(Inputs!$B$39="pvp",15,Inputs!$B$44)-(B1951)&lt;=0,1,MAX(0,IF(Inputs!$B$39="pvp",15,Inputs!$B$44)-MAX(5,B1951))/(IF(Inputs!$B$39="pvp",15,Inputs!$B$44)-(B1951))))*IF(AND(ArtifactsInput!$M$42,((Inputs!$B$9+((C1932=TRUE)*(F1932-Calc!F26))+B1940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1913*(MIN((Inputs!$B$9+((C1932=TRUE)*(F1932-Calc!F26))+B1940+(ArtifactsInput!$M$24-ArtifactsInput!$M$24)*CHOOSE(ArtifactsInput!$N$24+1,10,12,14,16,18,20)+(IF(AND(Inputs!$B$39&lt;&gt;"pvp",Inputs!$B$44=0),1,IF(IF(Inputs!$B$39="pvp",15,Inputs!$B$44)-(B1951)&lt;=0,1,MAX(0,IF(Inputs!$B$39="pvp",15,Inputs!$B$44)-MAX(5,B1951))/(IF(Inputs!$B$39="pvp",15,Inputs!$B$44)-(B1951))))*IF(AND(ArtifactsInput!$M$42,((Inputs!$B$9+((C1932=TRUE)*(F1932-Calc!F26))+B1940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913">
        <f>(1-Summary!$B$11)*T1913+Summary!$B$11*V1913</f>
        <v/>
      </c>
      <c r="P1913">
        <f>IF(B1952=0,0,O1913/B1952)</f>
        <v/>
      </c>
      <c r="Q1913">
        <f>IFERROR(1/IF(Inputs!$B$39="pvp",15,MAX(0.1,Skills!D7-IF(TRUE=TRUE,Inputs!$B$32,0))),0)</f>
        <v/>
      </c>
      <c r="R1913">
        <f>IF(AND(Inputs!$B$39&lt;&gt;"pvp",Inputs!$B$44&gt;0),IF(MAX(0,Inputs!$B$44-B1951)&lt;=0,0,(INT(MAX(0,Inputs!$B$44-B1951)/IF(Inputs!$B$39="pvp",15,MAX(0.1,Skills!D7-IF(TRUE=TRUE,Inputs!$B$32,0))))+1)),0)</f>
        <v/>
      </c>
      <c r="S1913">
        <f>IFERROR(O1913/N1913,0)</f>
        <v/>
      </c>
      <c r="T1913">
        <f>IF(C1913,(H1913*N1913*IF(AND(Inputs!$B$39&lt;&gt;"pvp",Inputs!$B$44&gt;0),((Skills!G7*((R1913-1)*IF(Skills!H7&gt;0,Skills!I7/Skills!H7,1)+IF(Skills!H7&gt;0,MIN(Skills!I7,MAX(0,MAX(0,Inputs!$B$44-B1951)-((R1913-1)*IF(Inputs!$B$39="pvp",15,MAX(0.1,Skills!D7-IF(TRUE=TRUE,Inputs!$B$32,0))))))/Skills!H7,1)))/Inputs!$B$44),G1913*Q1913))*IF(Inputs!$B$39="pvp",1,1+(Inputs!$B$20+0+Skills!P7+B1941+(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Hunt"),CHOOSE(ArtifactsInput!$N$35+1,15,18,21,24,27,30)*(1-EXP(-(0.2*B1944)*5)),0)+IF(AND(ArtifactsInput!$M$22,Inputs!$B$4&lt;&gt;"Chapter Hunt"),CHOOSE(ArtifactsInput!$N$22+1,10,12,14,16,18,20)*((0*(((0.15*B1944*5))^0/1)+1*(((0.15*B1944*5))^1/1)+2*(((0.15*B1944*5))^2/2)+3*(((0.15*B1944*5))^3/6)+4*(((0.15*B1944*5))^4/24)+5*(((0.15*B1944*5))^5/120))/((((0.15*B1944*5))^0/1)+(((0.15*B1944*5))^1/1)+(((0.15*B1944*5))^2/2)+(((0.15*B1944*5))^3/6)+(((0.15*B1944*5))^4/24)+(((0.15*B1944*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1913*(1-MIN(100,(Inputs!$B$9+((C1932=TRUE)*(F1932-Calc!F26))+B1940+(ArtifactsInput!$M$24-ArtifactsInput!$M$24)*CHOOSE(ArtifactsInput!$N$24+1,10,12,14,16,18,20)+(IF(AND(Inputs!$B$39&lt;&gt;"pvp",Inputs!$B$44=0),1,IF(IF(Inputs!$B$39="pvp",15,Inputs!$B$44)-(B1951)&lt;=0,1,MAX(0,IF(Inputs!$B$39="pvp",15,Inputs!$B$44)-MAX(5,B1951))/(IF(Inputs!$B$39="pvp",15,Inputs!$B$44)-(B1951))))*IF(AND(ArtifactsInput!$M$42,((Inputs!$B$9+((C1932=TRUE)*(F1932-Calc!F26))+B1940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1913*(MIN(100,(Inputs!$B$9+((C1932=TRUE)*(F1932-Calc!F26))+B1940+(ArtifactsInput!$M$24-ArtifactsInput!$M$24)*CHOOSE(ArtifactsInput!$N$24+1,10,12,14,16,18,20)+(IF(AND(Inputs!$B$39&lt;&gt;"pvp",Inputs!$B$44=0),1,IF(IF(Inputs!$B$39="pvp",15,Inputs!$B$44)-(B1951)&lt;=0,1,MAX(0,IF(Inputs!$B$39="pvp",15,Inputs!$B$44)-MAX(5,B1951))/(IF(Inputs!$B$39="pvp",15,Inputs!$B$44)-(B1951))))*IF(AND(ArtifactsInput!$M$42,((Inputs!$B$9+((C1932=TRUE)*(F1932-Calc!F26))+B1940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1913*(1-MIN(100,(Inputs!$B$9+((C1932=TRUE)*(F1932-Calc!F26))+B1940+(ArtifactsInput!$M$24-ArtifactsInput!$M$24)*CHOOSE(ArtifactsInput!$N$24+1,10,12,14,16,18,20)+(IF(AND(Inputs!$B$39&lt;&gt;"pvp",Inputs!$B$44=0),1,IF(IF(Inputs!$B$39="pvp",15,Inputs!$B$44)-(B1951)&lt;=0,1,MAX(0,IF(Inputs!$B$39="pvp",15,Inputs!$B$44)-MAX(5,B1951))/(IF(Inputs!$B$39="pvp",15,Inputs!$B$44)-(B1951))))*IF(AND(ArtifactsInput!$M$42,((Inputs!$B$9+((C1932=TRUE)*(F1932-Calc!F26))+B1940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1913*(MIN(100,(Inputs!$B$9+((C1932=TRUE)*(F1932-Calc!F26))+B1940+(ArtifactsInput!$M$24-ArtifactsInput!$M$24)*CHOOSE(ArtifactsInput!$N$24+1,10,12,14,16,18,20)+(IF(AND(Inputs!$B$39&lt;&gt;"pvp",Inputs!$B$44=0),1,IF(IF(Inputs!$B$39="pvp",15,Inputs!$B$44)-(B1951)&lt;=0,1,MAX(0,IF(Inputs!$B$39="pvp",15,Inputs!$B$44)-MAX(5,B1951))/(IF(Inputs!$B$39="pvp",15,Inputs!$B$44)-(B1951))))*IF(AND(ArtifactsInput!$M$42,((Inputs!$B$9+((C1932=TRUE)*(F1932-Calc!F26))+B1940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1913">
        <f>IF(C1913,(H1913*N1913*IF(AND(Inputs!$B$39&lt;&gt;"pvp",Inputs!$B$44&gt;0),((Skills!G7*((R1913-1)*IF(Skills!H7&gt;0,Skills!I7/Skills!H7,1)+IF(Skills!H7&gt;0,MIN(Skills!I7,MAX(0,MAX(0,Inputs!$B$44-B1951)-((R1913-1)*IF(Inputs!$B$39="pvp",15,MAX(0.1,Skills!D7-IF(TRUE=TRUE,Inputs!$B$32,0))))))/Skills!H7,1)))/Inputs!$B$44),G1913*Q1913))*IF(Inputs!$B$39="pvp",1,(1+(Inputs!$B$21+Skills!Q7+B1941+(IF(ArtifactsInput!$M$33,CHOOSE(ArtifactsInput!$N$33+1,30,36,42,48,54,60),0))+(IF(AND(ArtifactsInput!$M$35,Inputs!$B$4&lt;&gt;"Chapter Hunt"),CHOOSE(ArtifactsInput!$N$35+1,15,18,21,24,27,30)*(1-EXP(-(0.2*B1944)*5)),0)+IF(AND(ArtifactsInput!$M$22,Inputs!$B$4&lt;&gt;"Chapter Hunt"),CHOOSE(ArtifactsInput!$N$22+1,10,12,14,16,18,20)*((0*(((0.15*B1944*5))^0/1)+1*(((0.15*B1944*5))^1/1)+2*(((0.15*B1944*5))^2/2)+3*(((0.15*B1944*5))^3/6)+4*(((0.15*B1944*5))^4/24)+5*(((0.15*B1944*5))^5/120))/((((0.15*B1944*5))^0/1)+(((0.15*B1944*5))^1/1)+(((0.15*B1944*5))^2/2)+(((0.15*B1944*5))^3/6)+(((0.15*B1944*5))^4/24)+(((0.15*B1944*5))^5/120))),0)))/100)*(MIN(Skills!W7,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914">
      <c r="A1914">
        <f>Skills!A8</f>
        <v/>
      </c>
      <c r="B1914">
        <f>Skills!B8</f>
        <v/>
      </c>
      <c r="C1914">
        <f>Inputs!$B$3&gt;=60</f>
        <v/>
      </c>
      <c r="D1914">
        <f>IF(Skills!C8=1,60+Inputs!$B$25+Inputs!$B$29,IF(Skills!C8=2,90+Inputs!$B$26+Inputs!$B$29,IF(Skills!C8=3,120+Inputs!$B$27+Inputs!$B$29,MAX(0,(Inputs!$B$3-100)*3)+Inputs!$B$28+Inputs!$B$29)))</f>
        <v/>
      </c>
      <c r="E1914">
        <f>INDEX(FactorTable!$B$2:$Y$301, MATCH(ROUND(MIN(300,MAX(1,D1914)),0), FactorTable!$A$2:$A$301,0), Skills!M8+1)</f>
        <v/>
      </c>
      <c r="F1914">
        <f>IF(Skills!N8=TRUE,(Skills!L8/10)*(E1914/1000),Skills!L8/10)+Skills!O8</f>
        <v/>
      </c>
      <c r="G1914">
        <f>Skills!G8*IF(Skills!H8&gt;0,IF(Inputs!$B$39="pvp",MIN(Skills!I8,15),Skills!I8)/Skills!H8,1)</f>
        <v/>
      </c>
      <c r="H1914">
        <f>1-(1-Skills!J8/100)^Skills!K8</f>
        <v/>
      </c>
      <c r="I1914" t="inlineStr">
        <is>
          <t>1</t>
        </is>
      </c>
      <c r="J1914" t="inlineStr"/>
      <c r="K1914" t="inlineStr"/>
      <c r="L1914" t="inlineStr"/>
      <c r="M1914" t="inlineStr"/>
      <c r="N1914" t="inlineStr"/>
      <c r="O1914">
        <f>(1-Summary!$B$11)*T1914+Summary!$B$11*V1914</f>
        <v/>
      </c>
      <c r="P1914">
        <f>IF(B1952=0,0,O1914/B1952)</f>
        <v/>
      </c>
      <c r="Q1914" t="n">
        <v>0</v>
      </c>
      <c r="R1914" t="n">
        <v>0</v>
      </c>
      <c r="S1914">
        <f>IFERROR(O1914/N1914,0)</f>
        <v/>
      </c>
      <c r="T1914" t="n">
        <v>0</v>
      </c>
      <c r="V1914" t="n">
        <v>0</v>
      </c>
    </row>
    <row r="1915">
      <c r="A1915">
        <f>Skills!A9</f>
        <v/>
      </c>
      <c r="B1915">
        <f>Skills!B9</f>
        <v/>
      </c>
      <c r="C1915">
        <f>Inputs!$B$3&gt;=72</f>
        <v/>
      </c>
      <c r="D1915">
        <f>IF(Skills!C9=1,60+Inputs!$B$25+Inputs!$B$29,IF(Skills!C9=2,90+Inputs!$B$26+Inputs!$B$29,IF(Skills!C9=3,120+Inputs!$B$27+Inputs!$B$29,MAX(0,(Inputs!$B$3-100)*3)+Inputs!$B$28+Inputs!$B$29)))</f>
        <v/>
      </c>
      <c r="E1915">
        <f>INDEX(FactorTable!$B$2:$Y$301, MATCH(ROUND(MIN(300,MAX(1,D1915)),0), FactorTable!$A$2:$A$301,0), Skills!M9+1)</f>
        <v/>
      </c>
      <c r="F1915">
        <f>IF(Skills!N9=TRUE,(Skills!L9/10)*(E1915/1000),Skills!L9/10)+Skills!O9</f>
        <v/>
      </c>
      <c r="G1915">
        <f>Skills!G9*IF(Skills!H9&gt;0,IF(Inputs!$B$39="pvp",MIN(Skills!I9,15),Skills!I9)/Skills!H9,1)</f>
        <v/>
      </c>
      <c r="H1915">
        <f>1-(1-Skills!J9/100)^Skills!K9</f>
        <v/>
      </c>
      <c r="I1915" t="inlineStr">
        <is>
          <t>1</t>
        </is>
      </c>
      <c r="J1915">
        <f>((Inputs!$B$6*(1+Inputs!$B$7/100))+(((Inputs!$B$12*(1+Inputs!$B$13/100))-(Inputs!$B$12*(1+Inputs!$B$13/100)))+0.25*(Inputs!$B$14-Inputs!$B$14))*(1+Inputs!$B$7/100))*(F1915/100)</f>
        <v/>
      </c>
      <c r="K1915">
        <f>J1915*(1+((Inputs!$B$12*(1+Inputs!$B$13/100))*0.01+Inputs!$B$14*0.0025)/100)*(1+Inputs!$B$15/100)*(1+Inputs!$B$16/100)*(5000/(6000+Inputs!$B$43*(1-(100*(1-(1-Inputs!$B$19/100)*(1-CHOOSE(ArtifactsInput!$N$40+1,5,6,7,8,9,10)/100)^(ArtifactsInput!$M$40-ArtifactsInput!$M$40)))/100)))*(1+(Inputs!$B$24+((C1937=TRUE)*(F1937-Calc!F31))+((C1924=TRUE)*(F1924-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+3.3333333333333335*IF(C1925=TRUE,F1925,0)/100)*(1+(IF(Skills!A9="CRUEL_STAB",Inputs!$B$17+((C1934=TRUE)*(F1934-Calc!F28))+((IF(AND(Inputs!$B$39&lt;&gt;"pvp",Inputs!$B$44=0),1,IF(IF(Inputs!$B$39="pvp",15,Inputs!$B$44)-(B1951)&lt;=0,1,MAX(0,IF(Inputs!$B$39="pvp",15,Inputs!$B$44)-MAX(5,B1951))/(IF(Inputs!$B$39="pvp",15,Inputs!$B$44)-(B1951))))*(IF(AND(ArtifactsInput!$M$42,((Inputs!$B$9+((C1932=TRUE)*(F1932-Calc!F26))+B1940+(ArtifactsInput!$M$24-ArtifactsInput!$M$24)*CHOOSE(ArtifactsInput!$N$24+1,10,12,14,16,18,20)+IF(ArtifactsInput!$M$10,CHOOSE(ArtifactsInput!$N$10+1,15,18,21,24,27,30)*(IF(Inputs!$B$39="pvp",MIN(15,15)/15,IF(AND(Inputs!$B$39&lt;&gt;"pvp",Inputs!$B$44&gt;0),MIN(15,Inputs!$B$44)/(Inputs!$B$44),0))),0)))&gt;=100),MIN(100,((Inputs!$B$9+((C1932=TRUE)*(F1932-Calc!F26))+B1940+(ArtifactsInput!$M$24-ArtifactsInput!$M$24)*CHOOSE(ArtifactsInput!$N$24+1,10,12,14,16,18,20)+IF(ArtifactsInput!$M$10,CHOOSE(ArtifactsInput!$N$10+1,15,18,21,24,27,30)*(IF(Inputs!$B$39="pvp",MIN(15,15)/15,IF(AND(Inputs!$B$39&lt;&gt;"pvp",Inputs!$B$44&gt;0),MIN(15,Inputs!$B$44)/(Inputs!$B$44),0))),0)))-100),0))*CHOOSE(ArtifactsInput!$N$42+1,0.6,0.72,0.84,0.96,1.08,1.2))),Inputs!$B$18+((C1935=TRUE)*(F1935-Calc!F29))+(IF(AND(Inputs!$B$39&lt;&gt;"pvp",Inputs!$B$44=0),1,IF(IF(Inputs!$B$39="pvp",15,Inputs!$B$44)-(B1951)&lt;=0,1,MAX(0,IF(Inputs!$B$39="pvp",15,Inputs!$B$44)-MAX(5,B1951))/(IF(Inputs!$B$39="pvp",15,Inputs!$B$44)-(B1951))))*IF(AND(ArtifactsInput!$M$42,((Inputs!$B$9+((C1932=TRUE)*(F1932-Calc!F26))+B1940+(ArtifactsInput!$M$24-ArtifactsInput!$M$24)*CHOOSE(ArtifactsInput!$N$24+1,10,12,14,16,18,20)+IF(ArtifactsInput!$M$10,CHOOSE(ArtifactsInput!$N$10+1,15,18,21,24,27,30)*(IF(Inputs!$B$39="pvp",MIN(15,15)/15,IF(AND(Inputs!$B$39&lt;&gt;"pvp",Inputs!$B$44&gt;0),MIN(15,Inputs!$B$44)/(Inputs!$B$44),0))),0)))&gt;=100),CHOOSE(ArtifactsInput!$N$42+1,40,48,56,64,72,80),0))))/100)*(((1+(((C1928=TRUE)*F1928*IF(AND(Inputs!$B$39&lt;&gt;"pvp",Inputs!$B$44&gt;0),(((R1928-1)*MIN((Skills!Y22*(1+Inputs!$B$34/100)),(1/Q1928))+MIN((Skills!Y22*(1+Inputs!$B$34/100)),MAX(0,Inputs!$B$44-((R1928-1)*(1/Q1928)))))/Inputs!$B$44),IF(Inputs!$B$39="pvp",MIN((Skills!Y22*(1+Inputs!$B$34/100)),15)/15,MIN(1,(Skills!Y22*(1+Inputs!$B$34/100))/(1/Q1928)))))+((C1909=TRUE)*F1909*3)+((C1911=TRUE)*F1911*(1-EXP(-0.75*B1944*5)))+((C1930=TRUE)*(F1930-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1917=TRUE)*F1917*IF(AND(Inputs!$B$39&lt;&gt;"pvp",Inputs!$B$44&gt;0),(((R1917-1)*MIN((Skills!Y11*(1+Inputs!$B$34/100)),(1/Q1917))+MIN((Skills!Y11*(1+Inputs!$B$34/100)),MAX(0,Inputs!$B$44-((R1917-1)*(1/Q1917)))))/Inputs!$B$44),IF(Inputs!$B$39="pvp",MIN((Skills!Y11*(1+Inputs!$B$34/100)),15)/15,MIN(1,(Skills!Y11*(1+Inputs!$B$34/100))/(1/Q1917)))))/100)*(1+((C1922=TRUE)*F1922*IF(AND(Inputs!$B$39&lt;&gt;"pvp",Inputs!$B$44&gt;0),(((R1922-1)*MIN((Skills!Y16*(1+Inputs!$B$34/100)),(1/Q1922))+MIN((Skills!Y16*(1+Inputs!$B$34/100)),MAX(0,Inputs!$B$44-((R1922-1)*(1/Q1922)))))/Inputs!$B$44),IF(Inputs!$B$39="pvp",MIN((Skills!Y16*(1+Inputs!$B$34/100)),15)/15,MIN(1,(Skills!Y16*(1+Inputs!$B$34/100))/(1/Q1922)))))/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1942*I1915)</f>
        <v/>
      </c>
      <c r="L1915">
        <f>K1915*(MIN(Inputs!$B$22+((C1931=TRUE)*(F1931-Calc!F25)),(Inputs!$B$23+((C1936=TRUE)*(F1936-Calc!F30))+(IF(IF(ArtifactsInput!$M$15,FALSE,TRUE),1,-1)*CHOOSE(ArtifactsInput!$N$15+1,25,30,35,40,45,50)/100*IF(IF(ArtifactsInput!$M$15,FALSE,TRUE),(Inputs!$B$11+((C1929=TRUE)*(F1929-Calc!F23))+(IF(ArtifactsInput!$M$15,FALSE,TRUE)-ArtifactsInput!$M$15)*CHOOSE(ArtifactsInput!$N$15+1,8,9.6,11.2,12.8,14.4,16)),Inputs!$B$11))))/100+(Inputs!$B$23+((C1936=TRUE)*(F1936-Calc!F30))+(IF(IF(ArtifactsInput!$M$15,FALSE,TRUE),1,-1)*CHOOSE(ArtifactsInput!$N$15+1,25,30,35,40,45,50)/100*IF(IF(ArtifactsInput!$M$15,FALSE,TRUE),(Inputs!$B$11+((C1929=TRUE)*(F1929-Calc!F23))+(IF(ArtifactsInput!$M$15,FALSE,TRUE)-ArtifactsInput!$M$15)*CHOOSE(ArtifactsInput!$N$15+1,8,9.6,11.2,12.8,14.4,16)),Inputs!$B$11)))/100)/2</f>
        <v/>
      </c>
      <c r="M1915">
        <f>L1915*(1+(Inputs!$B$10+((C1933=TRUE)*(F1933-Calc!F27))+B1947+(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1915">
        <f>L1915*(1-MIN((Inputs!$B$9+((C1932=TRUE)*(F1932-Calc!F26))+B1940+(ArtifactsInput!$M$24-ArtifactsInput!$M$24)*CHOOSE(ArtifactsInput!$N$24+1,10,12,14,16,18,20)+(IF(AND(Inputs!$B$39&lt;&gt;"pvp",Inputs!$B$44=0),1,IF(IF(Inputs!$B$39="pvp",15,Inputs!$B$44)-(B1951)&lt;=0,1,MAX(0,IF(Inputs!$B$39="pvp",15,Inputs!$B$44)-MAX(5,B1951))/(IF(Inputs!$B$39="pvp",15,Inputs!$B$44)-(B1951))))*IF(AND(ArtifactsInput!$M$42,((Inputs!$B$9+((C1932=TRUE)*(F1932-Calc!F26))+B1940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1915*(MIN((Inputs!$B$9+((C1932=TRUE)*(F1932-Calc!F26))+B1940+(ArtifactsInput!$M$24-ArtifactsInput!$M$24)*CHOOSE(ArtifactsInput!$N$24+1,10,12,14,16,18,20)+(IF(AND(Inputs!$B$39&lt;&gt;"pvp",Inputs!$B$44=0),1,IF(IF(Inputs!$B$39="pvp",15,Inputs!$B$44)-(B1951)&lt;=0,1,MAX(0,IF(Inputs!$B$39="pvp",15,Inputs!$B$44)-MAX(5,B1951))/(IF(Inputs!$B$39="pvp",15,Inputs!$B$44)-(B1951))))*IF(AND(ArtifactsInput!$M$42,((Inputs!$B$9+((C1932=TRUE)*(F1932-Calc!F26))+B1940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915">
        <f>(1-Summary!$B$11)*T1915+Summary!$B$11*V1915</f>
        <v/>
      </c>
      <c r="P1915">
        <f>IF(B1952=0,0,O1915/B1952)</f>
        <v/>
      </c>
      <c r="Q1915">
        <f>IFERROR(1/IF(Inputs!$B$39="pvp",15,MAX(0.1,Skills!D9-IF(FALSE=TRUE,Inputs!$B$32,0))),0)</f>
        <v/>
      </c>
      <c r="R1915">
        <f>IF(AND(Inputs!$B$39&lt;&gt;"pvp",Inputs!$B$44&gt;0),IF(MAX(0,Inputs!$B$44-B1951)&lt;=0,0,(INT(MAX(0,Inputs!$B$44-B1951)/IF(Inputs!$B$39="pvp",15,MAX(0.1,Skills!D9-IF(FALSE=TRUE,Inputs!$B$32,0))))+1)),0)</f>
        <v/>
      </c>
      <c r="S1915">
        <f>IFERROR(O1915/N1915,0)</f>
        <v/>
      </c>
      <c r="T1915">
        <f>IF(C1915,(H1915*N1915*IF(AND(Inputs!$B$39&lt;&gt;"pvp",Inputs!$B$44&gt;0),((Skills!G9*((R1915-1)*IF(Skills!H9&gt;0,Skills!I9/Skills!H9,1)+IF(Skills!H9&gt;0,MIN(Skills!I9,MAX(0,MAX(0,Inputs!$B$44-B1951)-((R1915-1)*IF(Inputs!$B$39="pvp",15,MAX(0.1,Skills!D9-IF(FALSE=TRUE,Inputs!$B$32,0))))))/Skills!H9,1)))/Inputs!$B$44),G1915*Q1915))*IF(Inputs!$B$39="pvp",1,1+(Inputs!$B$20+0+Skills!P9+B1941+(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Hunt"),CHOOSE(ArtifactsInput!$N$35+1,15,18,21,24,27,30)*(1-EXP(-(0.2*B1944)*5)),0)+IF(AND(ArtifactsInput!$M$22,Inputs!$B$4&lt;&gt;"Chapter Hunt"),CHOOSE(ArtifactsInput!$N$22+1,10,12,14,16,18,20)*((0*(((0.15*B1944*5))^0/1)+1*(((0.15*B1944*5))^1/1)+2*(((0.15*B1944*5))^2/2)+3*(((0.15*B1944*5))^3/6)+4*(((0.15*B1944*5))^4/24)+5*(((0.15*B1944*5))^5/120))/((((0.15*B1944*5))^0/1)+(((0.15*B1944*5))^1/1)+(((0.15*B1944*5))^2/2)+(((0.15*B1944*5))^3/6)+(((0.15*B1944*5))^4/24)+(((0.15*B1944*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1915*(1-MIN(100,(Inputs!$B$9+((C1932=TRUE)*(F1932-Calc!F26))+B1940+(ArtifactsInput!$M$24-ArtifactsInput!$M$24)*CHOOSE(ArtifactsInput!$N$24+1,10,12,14,16,18,20)+(IF(AND(Inputs!$B$39&lt;&gt;"pvp",Inputs!$B$44=0),1,IF(IF(Inputs!$B$39="pvp",15,Inputs!$B$44)-(B1951)&lt;=0,1,MAX(0,IF(Inputs!$B$39="pvp",15,Inputs!$B$44)-MAX(5,B1951))/(IF(Inputs!$B$39="pvp",15,Inputs!$B$44)-(B1951))))*IF(AND(ArtifactsInput!$M$42,((Inputs!$B$9+((C1932=TRUE)*(F1932-Calc!F26))+B1940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1915*(MIN(100,(Inputs!$B$9+((C1932=TRUE)*(F1932-Calc!F26))+B1940+(ArtifactsInput!$M$24-ArtifactsInput!$M$24)*CHOOSE(ArtifactsInput!$N$24+1,10,12,14,16,18,20)+(IF(AND(Inputs!$B$39&lt;&gt;"pvp",Inputs!$B$44=0),1,IF(IF(Inputs!$B$39="pvp",15,Inputs!$B$44)-(B1951)&lt;=0,1,MAX(0,IF(Inputs!$B$39="pvp",15,Inputs!$B$44)-MAX(5,B1951))/(IF(Inputs!$B$39="pvp",15,Inputs!$B$44)-(B1951))))*IF(AND(ArtifactsInput!$M$42,((Inputs!$B$9+((C1932=TRUE)*(F1932-Calc!F26))+B1940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1915*(1-MIN(100,(Inputs!$B$9+((C1932=TRUE)*(F1932-Calc!F26))+B1940+(ArtifactsInput!$M$24-ArtifactsInput!$M$24)*CHOOSE(ArtifactsInput!$N$24+1,10,12,14,16,18,20)+(IF(AND(Inputs!$B$39&lt;&gt;"pvp",Inputs!$B$44=0),1,IF(IF(Inputs!$B$39="pvp",15,Inputs!$B$44)-(B1951)&lt;=0,1,MAX(0,IF(Inputs!$B$39="pvp",15,Inputs!$B$44)-MAX(5,B1951))/(IF(Inputs!$B$39="pvp",15,Inputs!$B$44)-(B1951))))*IF(AND(ArtifactsInput!$M$42,((Inputs!$B$9+((C1932=TRUE)*(F1932-Calc!F26))+B1940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1915*(MIN(100,(Inputs!$B$9+((C1932=TRUE)*(F1932-Calc!F26))+B1940+(ArtifactsInput!$M$24-ArtifactsInput!$M$24)*CHOOSE(ArtifactsInput!$N$24+1,10,12,14,16,18,20)+(IF(AND(Inputs!$B$39&lt;&gt;"pvp",Inputs!$B$44=0),1,IF(IF(Inputs!$B$39="pvp",15,Inputs!$B$44)-(B1951)&lt;=0,1,MAX(0,IF(Inputs!$B$39="pvp",15,Inputs!$B$44)-MAX(5,B1951))/(IF(Inputs!$B$39="pvp",15,Inputs!$B$44)-(B1951))))*IF(AND(ArtifactsInput!$M$42,((Inputs!$B$9+((C1932=TRUE)*(F1932-Calc!F26))+B1940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1915">
        <f>IF(C1915,(H1915*N1915*IF(AND(Inputs!$B$39&lt;&gt;"pvp",Inputs!$B$44&gt;0),((Skills!G9*((R1915-1)*IF(Skills!H9&gt;0,Skills!I9/Skills!H9,1)+IF(Skills!H9&gt;0,MIN(Skills!I9,MAX(0,MAX(0,Inputs!$B$44-B1951)-((R1915-1)*IF(Inputs!$B$39="pvp",15,MAX(0.1,Skills!D9-IF(FALSE=TRUE,Inputs!$B$32,0))))))/Skills!H9,1)))/Inputs!$B$44),G1915*Q1915))*IF(Inputs!$B$39="pvp",1,(1+(Inputs!$B$21+Skills!Q9+B1941+(IF(ArtifactsInput!$M$33,CHOOSE(ArtifactsInput!$N$33+1,30,36,42,48,54,60),0))+(IF(AND(ArtifactsInput!$M$35,Inputs!$B$4&lt;&gt;"Chapter Hunt"),CHOOSE(ArtifactsInput!$N$35+1,15,18,21,24,27,30)*(1-EXP(-(0.2*B1944)*5)),0)+IF(AND(ArtifactsInput!$M$22,Inputs!$B$4&lt;&gt;"Chapter Hunt"),CHOOSE(ArtifactsInput!$N$22+1,10,12,14,16,18,20)*((0*(((0.15*B1944*5))^0/1)+1*(((0.15*B1944*5))^1/1)+2*(((0.15*B1944*5))^2/2)+3*(((0.15*B1944*5))^3/6)+4*(((0.15*B1944*5))^4/24)+5*(((0.15*B1944*5))^5/120))/((((0.15*B1944*5))^0/1)+(((0.15*B1944*5))^1/1)+(((0.15*B1944*5))^2/2)+(((0.15*B1944*5))^3/6)+(((0.15*B1944*5))^4/24)+(((0.15*B1944*5))^5/120))),0)))/100)*(MIN(Skills!W9,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916">
      <c r="A1916">
        <f>Skills!A10</f>
        <v/>
      </c>
      <c r="B1916">
        <f>Skills!B10</f>
        <v/>
      </c>
      <c r="C1916">
        <f>Inputs!$B$3&gt;=117</f>
        <v/>
      </c>
      <c r="D1916">
        <f>IF(Skills!C10=1,60+Inputs!$B$25+Inputs!$B$29,IF(Skills!C10=2,90+Inputs!$B$26+Inputs!$B$29,IF(Skills!C10=3,120+Inputs!$B$27+Inputs!$B$29,MAX(0,(Inputs!$B$3-100)*3)+Inputs!$B$28+Inputs!$B$29)))</f>
        <v/>
      </c>
      <c r="E1916">
        <f>INDEX(FactorTable!$B$2:$Y$301, MATCH(ROUND(MIN(300,MAX(1,D1916)),0), FactorTable!$A$2:$A$301,0), Skills!M10+1)</f>
        <v/>
      </c>
      <c r="F1916">
        <f>IF(Skills!N10=TRUE,(Skills!L10/10)*(E1916/1000),Skills!L10/10)+Skills!O10</f>
        <v/>
      </c>
      <c r="G1916">
        <f>Skills!G10*IF(Skills!H10&gt;0,IF(Inputs!$B$39="pvp",MIN(Skills!I10,15),Skills!I10)/Skills!H10,1)</f>
        <v/>
      </c>
      <c r="H1916">
        <f>1-(1-Skills!J10/100)^Skills!K10</f>
        <v/>
      </c>
      <c r="I1916" t="inlineStr">
        <is>
          <t>1</t>
        </is>
      </c>
      <c r="J1916">
        <f>((Inputs!$B$6*(1+Inputs!$B$7/100))+(((Inputs!$B$12*(1+Inputs!$B$13/100))-(Inputs!$B$12*(1+Inputs!$B$13/100)))+0.25*(Inputs!$B$14-Inputs!$B$14))*(1+Inputs!$B$7/100))*(F1916/100)</f>
        <v/>
      </c>
      <c r="K1916">
        <f>J1916*(1+((Inputs!$B$12*(1+Inputs!$B$13/100))*0.01+Inputs!$B$14*0.0025)/100)*(1+Inputs!$B$15/100)*(1+Inputs!$B$16/100)*(5000/(6000+Inputs!$B$43*(1-(100*(1-(1-Inputs!$B$19/100)*(1-CHOOSE(ArtifactsInput!$N$40+1,5,6,7,8,9,10)/100)^(ArtifactsInput!$M$40-ArtifactsInput!$M$40)))/100)))*(1+(Inputs!$B$24+((C1937=TRUE)*(F1937-Calc!F31))+((C1924=TRUE)*(F1924-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10="CRUEL_STAB",Inputs!$B$17+((C1934=TRUE)*(F1934-Calc!F28))+((IF(AND(Inputs!$B$39&lt;&gt;"pvp",Inputs!$B$44=0),1,IF(IF(Inputs!$B$39="pvp",15,Inputs!$B$44)-(B1951)&lt;=0,1,MAX(0,IF(Inputs!$B$39="pvp",15,Inputs!$B$44)-MAX(5,B1951))/(IF(Inputs!$B$39="pvp",15,Inputs!$B$44)-(B1951))))*(IF(AND(ArtifactsInput!$M$42,((Inputs!$B$9+((C1932=TRUE)*(F1932-Calc!F26))+B1940+(ArtifactsInput!$M$24-ArtifactsInput!$M$24)*CHOOSE(ArtifactsInput!$N$24+1,10,12,14,16,18,20)+IF(ArtifactsInput!$M$10,CHOOSE(ArtifactsInput!$N$10+1,15,18,21,24,27,30)*(IF(Inputs!$B$39="pvp",MIN(15,15)/15,IF(AND(Inputs!$B$39&lt;&gt;"pvp",Inputs!$B$44&gt;0),MIN(15,Inputs!$B$44)/(Inputs!$B$44),0))),0)))&gt;=100),MIN(100,((Inputs!$B$9+((C1932=TRUE)*(F1932-Calc!F26))+B1940+(ArtifactsInput!$M$24-ArtifactsInput!$M$24)*CHOOSE(ArtifactsInput!$N$24+1,10,12,14,16,18,20)+IF(ArtifactsInput!$M$10,CHOOSE(ArtifactsInput!$N$10+1,15,18,21,24,27,30)*(IF(Inputs!$B$39="pvp",MIN(15,15)/15,IF(AND(Inputs!$B$39&lt;&gt;"pvp",Inputs!$B$44&gt;0),MIN(15,Inputs!$B$44)/(Inputs!$B$44),0))),0)))-100),0))*CHOOSE(ArtifactsInput!$N$42+1,0.6,0.72,0.84,0.96,1.08,1.2))),Inputs!$B$18+((C1935=TRUE)*(F1935-Calc!F29))+(IF(AND(Inputs!$B$39&lt;&gt;"pvp",Inputs!$B$44=0),1,IF(IF(Inputs!$B$39="pvp",15,Inputs!$B$44)-(B1951)&lt;=0,1,MAX(0,IF(Inputs!$B$39="pvp",15,Inputs!$B$44)-MAX(5,B1951))/(IF(Inputs!$B$39="pvp",15,Inputs!$B$44)-(B1951))))*IF(AND(ArtifactsInput!$M$42,((Inputs!$B$9+((C1932=TRUE)*(F1932-Calc!F26))+B1940+(ArtifactsInput!$M$24-ArtifactsInput!$M$24)*CHOOSE(ArtifactsInput!$N$24+1,10,12,14,16,18,20)+IF(ArtifactsInput!$M$10,CHOOSE(ArtifactsInput!$N$10+1,15,18,21,24,27,30)*(IF(Inputs!$B$39="pvp",MIN(15,15)/15,IF(AND(Inputs!$B$39&lt;&gt;"pvp",Inputs!$B$44&gt;0),MIN(15,Inputs!$B$44)/(Inputs!$B$44),0))),0)))&gt;=100),CHOOSE(ArtifactsInput!$N$42+1,40,48,56,64,72,80),0))))/100)*(((1+(((C1928=TRUE)*F1928*IF(AND(Inputs!$B$39&lt;&gt;"pvp",Inputs!$B$44&gt;0),(((R1928-1)*MIN((Skills!Y22*(1+Inputs!$B$34/100)),(1/Q1928))+MIN((Skills!Y22*(1+Inputs!$B$34/100)),MAX(0,Inputs!$B$44-((R1928-1)*(1/Q1928)))))/Inputs!$B$44),IF(Inputs!$B$39="pvp",MIN((Skills!Y22*(1+Inputs!$B$34/100)),15)/15,MIN(1,(Skills!Y22*(1+Inputs!$B$34/100))/(1/Q1928)))))+((C1909=TRUE)*F1909*3)+((C1911=TRUE)*F1911*(1-EXP(-0.75*B1944*5)))+((C1930=TRUE)*(F1930-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1917=TRUE)*F1917*IF(AND(Inputs!$B$39&lt;&gt;"pvp",Inputs!$B$44&gt;0),(((R1917-1)*MIN((Skills!Y11*(1+Inputs!$B$34/100)),(1/Q1917))+MIN((Skills!Y11*(1+Inputs!$B$34/100)),MAX(0,Inputs!$B$44-((R1917-1)*(1/Q1917)))))/Inputs!$B$44),IF(Inputs!$B$39="pvp",MIN((Skills!Y11*(1+Inputs!$B$34/100)),15)/15,MIN(1,(Skills!Y11*(1+Inputs!$B$34/100))/(1/Q1917)))))/100)*(1+((C1922=TRUE)*F1922*IF(AND(Inputs!$B$39&lt;&gt;"pvp",Inputs!$B$44&gt;0),(((R1922-1)*MIN((Skills!Y16*(1+Inputs!$B$34/100)),(1/Q1922))+MIN((Skills!Y16*(1+Inputs!$B$34/100)),MAX(0,Inputs!$B$44-((R1922-1)*(1/Q1922)))))/Inputs!$B$44),IF(Inputs!$B$39="pvp",MIN((Skills!Y16*(1+Inputs!$B$34/100)),15)/15,MIN(1,(Skills!Y16*(1+Inputs!$B$34/100))/(1/Q1922)))))/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1942*I1916)</f>
        <v/>
      </c>
      <c r="L1916">
        <f>K1916*(MIN(Inputs!$B$22+((C1931=TRUE)*(F1931-Calc!F25)),(Inputs!$B$23+((C1936=TRUE)*(F1936-Calc!F30))+(IF(IF(ArtifactsInput!$M$15,FALSE,TRUE),1,-1)*CHOOSE(ArtifactsInput!$N$15+1,25,30,35,40,45,50)/100*IF(IF(ArtifactsInput!$M$15,FALSE,TRUE),(Inputs!$B$11+((C1929=TRUE)*(F1929-Calc!F23))+(IF(ArtifactsInput!$M$15,FALSE,TRUE)-ArtifactsInput!$M$15)*CHOOSE(ArtifactsInput!$N$15+1,8,9.6,11.2,12.8,14.4,16)),Inputs!$B$11))))/100+(Inputs!$B$23+((C1936=TRUE)*(F1936-Calc!F30))+(IF(IF(ArtifactsInput!$M$15,FALSE,TRUE),1,-1)*CHOOSE(ArtifactsInput!$N$15+1,25,30,35,40,45,50)/100*IF(IF(ArtifactsInput!$M$15,FALSE,TRUE),(Inputs!$B$11+((C1929=TRUE)*(F1929-Calc!F23))+(IF(ArtifactsInput!$M$15,FALSE,TRUE)-ArtifactsInput!$M$15)*CHOOSE(ArtifactsInput!$N$15+1,8,9.6,11.2,12.8,14.4,16)),Inputs!$B$11)))/100)/2</f>
        <v/>
      </c>
      <c r="M1916">
        <f>L1916*(1+(Inputs!$B$10+((C1933=TRUE)*(F1933-Calc!F27))+B1947+(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1916">
        <f>L1916*(1-MIN((Inputs!$B$9+((C1932=TRUE)*(F1932-Calc!F26))+B1940+(ArtifactsInput!$M$24-ArtifactsInput!$M$24)*CHOOSE(ArtifactsInput!$N$24+1,10,12,14,16,18,20)+(IF(AND(Inputs!$B$39&lt;&gt;"pvp",Inputs!$B$44=0),1,IF(IF(Inputs!$B$39="pvp",15,Inputs!$B$44)-(B1951)&lt;=0,1,MAX(0,IF(Inputs!$B$39="pvp",15,Inputs!$B$44)-MAX(5,B1951))/(IF(Inputs!$B$39="pvp",15,Inputs!$B$44)-(B1951))))*IF(AND(ArtifactsInput!$M$42,((Inputs!$B$9+((C1932=TRUE)*(F1932-Calc!F26))+B1940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1916*(MIN((Inputs!$B$9+((C1932=TRUE)*(F1932-Calc!F26))+B1940+(ArtifactsInput!$M$24-ArtifactsInput!$M$24)*CHOOSE(ArtifactsInput!$N$24+1,10,12,14,16,18,20)+(IF(AND(Inputs!$B$39&lt;&gt;"pvp",Inputs!$B$44=0),1,IF(IF(Inputs!$B$39="pvp",15,Inputs!$B$44)-(B1951)&lt;=0,1,MAX(0,IF(Inputs!$B$39="pvp",15,Inputs!$B$44)-MAX(5,B1951))/(IF(Inputs!$B$39="pvp",15,Inputs!$B$44)-(B1951))))*IF(AND(ArtifactsInput!$M$42,((Inputs!$B$9+((C1932=TRUE)*(F1932-Calc!F26))+B1940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916">
        <f>(1-Summary!$B$11)*T1916+Summary!$B$11*V1916</f>
        <v/>
      </c>
      <c r="P1916">
        <f>IF(B1952=0,0,O1916/B1952)</f>
        <v/>
      </c>
      <c r="Q1916" t="n">
        <v>0</v>
      </c>
      <c r="R1916" t="n">
        <v>0</v>
      </c>
      <c r="S1916" t="n">
        <v>0</v>
      </c>
      <c r="T1916">
        <f>IF(C1916,(0.2*SUMPRODUCT((Skills!Z2:Z31=TRUE)*(C1908:C1937=TRUE)*S1908:S1937)*N1916)*IF(Inputs!$B$39="pvp",1,1+(Inputs!$B$20+0+Skills!P10+B1941+(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Hunt"),CHOOSE(ArtifactsInput!$N$35+1,15,18,21,24,27,30)*(1-EXP(-(0.2*B1944)*5)),0)+IF(AND(ArtifactsInput!$M$22,Inputs!$B$4&lt;&gt;"Chapter Hunt"),CHOOSE(ArtifactsInput!$N$22+1,10,12,14,16,18,20)*((0*(((0.15*B1944*5))^0/1)+1*(((0.15*B1944*5))^1/1)+2*(((0.15*B1944*5))^2/2)+3*(((0.15*B1944*5))^3/6)+4*(((0.15*B1944*5))^4/24)+5*(((0.15*B1944*5))^5/120))/((((0.15*B1944*5))^0/1)+(((0.15*B1944*5))^1/1)+(((0.15*B1944*5))^2/2)+(((0.15*B1944*5))^3/6)+(((0.15*B1944*5))^4/24)+(((0.15*B1944*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1916*(1-MIN(100,(Inputs!$B$9+((C1932=TRUE)*(F1932-Calc!F26))+B1940+(ArtifactsInput!$M$24-ArtifactsInput!$M$24)*CHOOSE(ArtifactsInput!$N$24+1,10,12,14,16,18,20)+(IF(AND(Inputs!$B$39&lt;&gt;"pvp",Inputs!$B$44=0),1,IF(IF(Inputs!$B$39="pvp",15,Inputs!$B$44)-(B1951)&lt;=0,1,MAX(0,IF(Inputs!$B$39="pvp",15,Inputs!$B$44)-MAX(5,B1951))/(IF(Inputs!$B$39="pvp",15,Inputs!$B$44)-(B1951))))*IF(AND(ArtifactsInput!$M$42,((Inputs!$B$9+((C1932=TRUE)*(F1932-Calc!F26))+B1940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1916*(MIN(100,(Inputs!$B$9+((C1932=TRUE)*(F1932-Calc!F26))+B1940+(ArtifactsInput!$M$24-ArtifactsInput!$M$24)*CHOOSE(ArtifactsInput!$N$24+1,10,12,14,16,18,20)+(IF(AND(Inputs!$B$39&lt;&gt;"pvp",Inputs!$B$44=0),1,IF(IF(Inputs!$B$39="pvp",15,Inputs!$B$44)-(B1951)&lt;=0,1,MAX(0,IF(Inputs!$B$39="pvp",15,Inputs!$B$44)-MAX(5,B1951))/(IF(Inputs!$B$39="pvp",15,Inputs!$B$44)-(B1951))))*IF(AND(ArtifactsInput!$M$42,((Inputs!$B$9+((C1932=TRUE)*(F1932-Calc!F26))+B1940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1916*(1-MIN(100,(Inputs!$B$9+((C1932=TRUE)*(F1932-Calc!F26))+B1940+(ArtifactsInput!$M$24-ArtifactsInput!$M$24)*CHOOSE(ArtifactsInput!$N$24+1,10,12,14,16,18,20)+(IF(AND(Inputs!$B$39&lt;&gt;"pvp",Inputs!$B$44=0),1,IF(IF(Inputs!$B$39="pvp",15,Inputs!$B$44)-(B1951)&lt;=0,1,MAX(0,IF(Inputs!$B$39="pvp",15,Inputs!$B$44)-MAX(5,B1951))/(IF(Inputs!$B$39="pvp",15,Inputs!$B$44)-(B1951))))*IF(AND(ArtifactsInput!$M$42,((Inputs!$B$9+((C1932=TRUE)*(F1932-Calc!F26))+B1940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1916*(MIN(100,(Inputs!$B$9+((C1932=TRUE)*(F1932-Calc!F26))+B1940+(ArtifactsInput!$M$24-ArtifactsInput!$M$24)*CHOOSE(ArtifactsInput!$N$24+1,10,12,14,16,18,20)+(IF(AND(Inputs!$B$39&lt;&gt;"pvp",Inputs!$B$44=0),1,IF(IF(Inputs!$B$39="pvp",15,Inputs!$B$44)-(B1951)&lt;=0,1,MAX(0,IF(Inputs!$B$39="pvp",15,Inputs!$B$44)-MAX(5,B1951))/(IF(Inputs!$B$39="pvp",15,Inputs!$B$44)-(B1951))))*IF(AND(ArtifactsInput!$M$42,((Inputs!$B$9+((C1932=TRUE)*(F1932-Calc!F26))+B1940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1916">
        <f>IF(C1916,(0.2*SUMPRODUCT((Skills!Z2:Z31=TRUE)*(C1908:C1937=TRUE)*S1908:S1937)*N1916)*IF(Inputs!$B$39="pvp",1,(1+(Inputs!$B$21+Skills!Q10+B1941+(IF(ArtifactsInput!$M$33,CHOOSE(ArtifactsInput!$N$33+1,30,36,42,48,54,60),0))+(IF(AND(ArtifactsInput!$M$35,Inputs!$B$4&lt;&gt;"Chapter Hunt"),CHOOSE(ArtifactsInput!$N$35+1,15,18,21,24,27,30)*(1-EXP(-(0.2*B1944)*5)),0)+IF(AND(ArtifactsInput!$M$22,Inputs!$B$4&lt;&gt;"Chapter Hunt"),CHOOSE(ArtifactsInput!$N$22+1,10,12,14,16,18,20)*((0*(((0.15*B1944*5))^0/1)+1*(((0.15*B1944*5))^1/1)+2*(((0.15*B1944*5))^2/2)+3*(((0.15*B1944*5))^3/6)+4*(((0.15*B1944*5))^4/24)+5*(((0.15*B1944*5))^5/120))/((((0.15*B1944*5))^0/1)+(((0.15*B1944*5))^1/1)+(((0.15*B1944*5))^2/2)+(((0.15*B1944*5))^3/6)+(((0.15*B1944*5))^4/24)+(((0.15*B1944*5))^5/120))),0)))/100)*(MIN(Skills!W10,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917">
      <c r="A1917">
        <f>Skills!A11</f>
        <v/>
      </c>
      <c r="B1917">
        <f>Skills!B11</f>
        <v/>
      </c>
      <c r="C1917">
        <f>Inputs!$B$3&gt;=74</f>
        <v/>
      </c>
      <c r="D1917">
        <f>IF(Skills!C11=1,60+Inputs!$B$25+Inputs!$B$29,IF(Skills!C11=2,90+Inputs!$B$26+Inputs!$B$29,IF(Skills!C11=3,120+Inputs!$B$27+Inputs!$B$29,MAX(0,(Inputs!$B$3-100)*3)+Inputs!$B$28+Inputs!$B$29)))</f>
        <v/>
      </c>
      <c r="E1917">
        <f>INDEX(FactorTable!$B$2:$Y$301, MATCH(ROUND(MIN(300,MAX(1,D1917)),0), FactorTable!$A$2:$A$301,0), Skills!M11+1)</f>
        <v/>
      </c>
      <c r="F1917">
        <f>IF(Skills!N11=TRUE,(Skills!L11/10)*(E1917/1000),Skills!L11/10)+Skills!O11</f>
        <v/>
      </c>
      <c r="G1917">
        <f>Skills!G11*IF(Skills!H11&gt;0,IF(Inputs!$B$39="pvp",MIN(Skills!I11,15),Skills!I11)/Skills!H11,1)</f>
        <v/>
      </c>
      <c r="H1917">
        <f>1-(1-Skills!J11/100)^Skills!K11</f>
        <v/>
      </c>
      <c r="I1917" t="inlineStr">
        <is>
          <t>1</t>
        </is>
      </c>
      <c r="J1917" t="inlineStr"/>
      <c r="K1917" t="inlineStr"/>
      <c r="L1917" t="inlineStr"/>
      <c r="M1917" t="inlineStr"/>
      <c r="N1917" t="inlineStr"/>
      <c r="O1917">
        <f>(1-Summary!$B$11)*T1917+Summary!$B$11*V1917</f>
        <v/>
      </c>
      <c r="P1917">
        <f>IF(B1952=0,0,O1917/B1952)</f>
        <v/>
      </c>
      <c r="Q1917">
        <f>IFERROR(1/IF(Inputs!$B$39="pvp",15,MAX(0.1,Skills!D11-IF(TRUE=TRUE,Inputs!$B$32,0))),0)</f>
        <v/>
      </c>
      <c r="R1917">
        <f>IF(AND(Inputs!$B$39&lt;&gt;"pvp",Inputs!$B$44&gt;0),IF(Inputs!$B$44&lt;=0,0,(INT(Inputs!$B$44/IF(Inputs!$B$39="pvp",15,MAX(0.1,Skills!D11-IF(TRUE=TRUE,Inputs!$B$32,0))))+1)),0)</f>
        <v/>
      </c>
      <c r="S1917">
        <f>IFERROR(O1917/N1917,0)</f>
        <v/>
      </c>
      <c r="T1917" t="n">
        <v>0</v>
      </c>
      <c r="V1917" t="n">
        <v>0</v>
      </c>
    </row>
    <row r="1918">
      <c r="A1918">
        <f>Skills!A12</f>
        <v/>
      </c>
      <c r="B1918">
        <f>Skills!B12</f>
        <v/>
      </c>
      <c r="C1918">
        <f>Inputs!$B$3&gt;=103</f>
        <v/>
      </c>
      <c r="D1918">
        <f>IF(Skills!C12=1,60+Inputs!$B$25+Inputs!$B$29,IF(Skills!C12=2,90+Inputs!$B$26+Inputs!$B$29,IF(Skills!C12=3,120+Inputs!$B$27+Inputs!$B$29,MAX(0,(Inputs!$B$3-100)*3)+Inputs!$B$28+Inputs!$B$29)))</f>
        <v/>
      </c>
      <c r="E1918">
        <f>INDEX(FactorTable!$B$2:$Y$301, MATCH(ROUND(MIN(300,MAX(1,D1918)),0), FactorTable!$A$2:$A$301,0), Skills!M12+1)</f>
        <v/>
      </c>
      <c r="F1918">
        <f>(Skills!L12/10)*(E1918/1000)+IF(Inputs!$B$3&gt;=134,50,0)+0.5*(30000/10)*(INDEX(FactorTable!$B$2:$Y$301, MATCH(ROUND(MIN(300,MAX(1,D1918)),0), FactorTable!$A$2:$A$301,0), 13)/1000)*B1950</f>
        <v/>
      </c>
      <c r="G1918">
        <f>Skills!G12*IF(Skills!H12&gt;0,IF(Inputs!$B$39="pvp",MIN(Skills!I12,15),Skills!I12)/Skills!H12,1)</f>
        <v/>
      </c>
      <c r="H1918">
        <f>1-(1-Skills!J12/100)^Skills!K12</f>
        <v/>
      </c>
      <c r="I1918" t="inlineStr">
        <is>
          <t>1</t>
        </is>
      </c>
      <c r="J1918">
        <f>((Inputs!$B$6*(1+Inputs!$B$7/100))+(((Inputs!$B$12*(1+Inputs!$B$13/100))-(Inputs!$B$12*(1+Inputs!$B$13/100)))+0.25*(Inputs!$B$14-Inputs!$B$14))*(1+Inputs!$B$7/100))*(F1918/100)</f>
        <v/>
      </c>
      <c r="K1918">
        <f>J1918*(1+((Inputs!$B$12*(1+Inputs!$B$13/100))*0.01+Inputs!$B$14*0.0025)/100)*(1+Inputs!$B$15/100)*(1+Inputs!$B$16/100)*(5000/(6000+Inputs!$B$43*(1-(100*(1-(1-Inputs!$B$19/100)*(1-CHOOSE(ArtifactsInput!$N$40+1,5,6,7,8,9,10)/100)^(ArtifactsInput!$M$40-ArtifactsInput!$M$40)))/100)))*(1+(Inputs!$B$24+((C1937=TRUE)*(F1937-Calc!F31))+((C1924=TRUE)*(F1924-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12="CRUEL_STAB",Inputs!$B$17+((C1934=TRUE)*(F1934-Calc!F28))+((IF(AND(Inputs!$B$39&lt;&gt;"pvp",Inputs!$B$44=0),1,IF(IF(Inputs!$B$39="pvp",15,Inputs!$B$44)-(B1951)&lt;=0,1,MAX(0,IF(Inputs!$B$39="pvp",15,Inputs!$B$44)-MAX(5,B1951))/(IF(Inputs!$B$39="pvp",15,Inputs!$B$44)-(B1951))))*(IF(AND(ArtifactsInput!$M$42,((Inputs!$B$9+((C1932=TRUE)*(F1932-Calc!F26))+B1940+(ArtifactsInput!$M$24-ArtifactsInput!$M$24)*CHOOSE(ArtifactsInput!$N$24+1,10,12,14,16,18,20)+IF(ArtifactsInput!$M$10,CHOOSE(ArtifactsInput!$N$10+1,15,18,21,24,27,30)*(IF(Inputs!$B$39="pvp",MIN(15,15)/15,IF(AND(Inputs!$B$39&lt;&gt;"pvp",Inputs!$B$44&gt;0),MIN(15,Inputs!$B$44)/(Inputs!$B$44),0))),0)))&gt;=100),MIN(100,((Inputs!$B$9+((C1932=TRUE)*(F1932-Calc!F26))+B1940+(ArtifactsInput!$M$24-ArtifactsInput!$M$24)*CHOOSE(ArtifactsInput!$N$24+1,10,12,14,16,18,20)+IF(ArtifactsInput!$M$10,CHOOSE(ArtifactsInput!$N$10+1,15,18,21,24,27,30)*(IF(Inputs!$B$39="pvp",MIN(15,15)/15,IF(AND(Inputs!$B$39&lt;&gt;"pvp",Inputs!$B$44&gt;0),MIN(15,Inputs!$B$44)/(Inputs!$B$44),0))),0)))-100),0))*CHOOSE(ArtifactsInput!$N$42+1,0.6,0.72,0.84,0.96,1.08,1.2))),Inputs!$B$18+((C1935=TRUE)*(F1935-Calc!F29))+(IF(AND(Inputs!$B$39&lt;&gt;"pvp",Inputs!$B$44=0),1,IF(IF(Inputs!$B$39="pvp",15,Inputs!$B$44)-(B1951)&lt;=0,1,MAX(0,IF(Inputs!$B$39="pvp",15,Inputs!$B$44)-MAX(5,B1951))/(IF(Inputs!$B$39="pvp",15,Inputs!$B$44)-(B1951))))*IF(AND(ArtifactsInput!$M$42,((Inputs!$B$9+((C1932=TRUE)*(F1932-Calc!F26))+B1940+(ArtifactsInput!$M$24-ArtifactsInput!$M$24)*CHOOSE(ArtifactsInput!$N$24+1,10,12,14,16,18,20)+IF(ArtifactsInput!$M$10,CHOOSE(ArtifactsInput!$N$10+1,15,18,21,24,27,30)*(IF(Inputs!$B$39="pvp",MIN(15,15)/15,IF(AND(Inputs!$B$39&lt;&gt;"pvp",Inputs!$B$44&gt;0),MIN(15,Inputs!$B$44)/(Inputs!$B$44),0))),0)))&gt;=100),CHOOSE(ArtifactsInput!$N$42+1,40,48,56,64,72,80),0))))/100)*(((1+(((C1928=TRUE)*F1928*IF(AND(Inputs!$B$39&lt;&gt;"pvp",Inputs!$B$44&gt;0),(((R1928-1)*MIN((Skills!Y22*(1+Inputs!$B$34/100)),(1/Q1928))+MIN((Skills!Y22*(1+Inputs!$B$34/100)),MAX(0,Inputs!$B$44-((R1928-1)*(1/Q1928)))))/Inputs!$B$44),IF(Inputs!$B$39="pvp",MIN((Skills!Y22*(1+Inputs!$B$34/100)),15)/15,MIN(1,(Skills!Y22*(1+Inputs!$B$34/100))/(1/Q1928)))))+((C1909=TRUE)*F1909*3)+((C1911=TRUE)*F1911*(1-EXP(-0.75*B1944*5)))+((C1930=TRUE)*(F1930-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1917=TRUE)*F1917*IF(AND(Inputs!$B$39&lt;&gt;"pvp",Inputs!$B$44&gt;0),(((R1917-1)*MIN((Skills!Y11*(1+Inputs!$B$34/100)),(1/Q1917))+MIN((Skills!Y11*(1+Inputs!$B$34/100)),MAX(0,Inputs!$B$44-((R1917-1)*(1/Q1917)))))/Inputs!$B$44),IF(Inputs!$B$39="pvp",MIN((Skills!Y11*(1+Inputs!$B$34/100)),15)/15,MIN(1,(Skills!Y11*(1+Inputs!$B$34/100))/(1/Q1917)))))/100)*(1+((C1922=TRUE)*F1922*IF(AND(Inputs!$B$39&lt;&gt;"pvp",Inputs!$B$44&gt;0),(((R1922-1)*MIN((Skills!Y16*(1+Inputs!$B$34/100)),(1/Q1922))+MIN((Skills!Y16*(1+Inputs!$B$34/100)),MAX(0,Inputs!$B$44-((R1922-1)*(1/Q1922)))))/Inputs!$B$44),IF(Inputs!$B$39="pvp",MIN((Skills!Y16*(1+Inputs!$B$34/100)),15)/15,MIN(1,(Skills!Y16*(1+Inputs!$B$34/100))/(1/Q1922)))))/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1942*I1918)</f>
        <v/>
      </c>
      <c r="L1918">
        <f>K1918*(MIN(Inputs!$B$22+((C1931=TRUE)*(F1931-Calc!F25)),(Inputs!$B$23+((C1936=TRUE)*(F1936-Calc!F30))+(IF(IF(ArtifactsInput!$M$15,FALSE,TRUE),1,-1)*CHOOSE(ArtifactsInput!$N$15+1,25,30,35,40,45,50)/100*IF(IF(ArtifactsInput!$M$15,FALSE,TRUE),(Inputs!$B$11+((C1929=TRUE)*(F1929-Calc!F23))+(IF(ArtifactsInput!$M$15,FALSE,TRUE)-ArtifactsInput!$M$15)*CHOOSE(ArtifactsInput!$N$15+1,8,9.6,11.2,12.8,14.4,16)),Inputs!$B$11))))/100+(Inputs!$B$23+((C1936=TRUE)*(F1936-Calc!F30))+(IF(IF(ArtifactsInput!$M$15,FALSE,TRUE),1,-1)*CHOOSE(ArtifactsInput!$N$15+1,25,30,35,40,45,50)/100*IF(IF(ArtifactsInput!$M$15,FALSE,TRUE),(Inputs!$B$11+((C1929=TRUE)*(F1929-Calc!F23))+(IF(ArtifactsInput!$M$15,FALSE,TRUE)-ArtifactsInput!$M$15)*CHOOSE(ArtifactsInput!$N$15+1,8,9.6,11.2,12.8,14.4,16)),Inputs!$B$11)))/100)/2</f>
        <v/>
      </c>
      <c r="M1918">
        <f>L1918*(1+(Inputs!$B$10+((C1933=TRUE)*(F1933-Calc!F27))+B1947+(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1918">
        <f>L1918*(1-MIN((Inputs!$B$9+((C1932=TRUE)*(F1932-Calc!F26))+B1940+(ArtifactsInput!$M$24-ArtifactsInput!$M$24)*CHOOSE(ArtifactsInput!$N$24+1,10,12,14,16,18,20)+(IF(AND(Inputs!$B$39&lt;&gt;"pvp",Inputs!$B$44=0),1,IF(IF(Inputs!$B$39="pvp",15,Inputs!$B$44)-(B1951)&lt;=0,1,MAX(0,IF(Inputs!$B$39="pvp",15,Inputs!$B$44)-MAX(5,B1951))/(IF(Inputs!$B$39="pvp",15,Inputs!$B$44)-(B1951))))*IF(AND(ArtifactsInput!$M$42,((Inputs!$B$9+((C1932=TRUE)*(F1932-Calc!F26))+B1940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1918*(MIN((Inputs!$B$9+((C1932=TRUE)*(F1932-Calc!F26))+B1940+(ArtifactsInput!$M$24-ArtifactsInput!$M$24)*CHOOSE(ArtifactsInput!$N$24+1,10,12,14,16,18,20)+(IF(AND(Inputs!$B$39&lt;&gt;"pvp",Inputs!$B$44=0),1,IF(IF(Inputs!$B$39="pvp",15,Inputs!$B$44)-(B1951)&lt;=0,1,MAX(0,IF(Inputs!$B$39="pvp",15,Inputs!$B$44)-MAX(5,B1951))/(IF(Inputs!$B$39="pvp",15,Inputs!$B$44)-(B1951))))*IF(AND(ArtifactsInput!$M$42,((Inputs!$B$9+((C1932=TRUE)*(F1932-Calc!F26))+B1940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918">
        <f>(1-Summary!$B$11)*T1918+Summary!$B$11*V1918</f>
        <v/>
      </c>
      <c r="P1918">
        <f>IF(B1952=0,0,O1918/B1952)</f>
        <v/>
      </c>
      <c r="Q1918">
        <f>IFERROR(1/IF(Inputs!$B$39="pvp",15,MAX(0.1,Skills!D12-IF(TRUE=TRUE,Inputs!$B$32,0))),0)</f>
        <v/>
      </c>
      <c r="R1918">
        <f>IF(AND(Inputs!$B$39&lt;&gt;"pvp",Inputs!$B$44&gt;0),IF(MAX(0,Inputs!$B$44-B1951)&lt;=0,0,(INT(MAX(0,Inputs!$B$44-B1951)/IF(Inputs!$B$39="pvp",15,MAX(0.1,Skills!D12-IF(TRUE=TRUE,Inputs!$B$32,0))))+1)),0)</f>
        <v/>
      </c>
      <c r="S1918">
        <f>IFERROR(O1918/N1918,0)</f>
        <v/>
      </c>
      <c r="T1918">
        <f>IF(C1918,(H1918*N1918*IF(AND(Inputs!$B$39&lt;&gt;"pvp",Inputs!$B$44&gt;0),((Skills!G12*((R1918-1)*IF(Skills!H12&gt;0,Skills!I12/Skills!H12,1)+IF(Skills!H12&gt;0,MIN(Skills!I12,MAX(0,MAX(0,Inputs!$B$44-B1951)-((R1918-1)*IF(Inputs!$B$39="pvp",15,MAX(0.1,Skills!D12-IF(TRUE=TRUE,Inputs!$B$32,0))))))/Skills!H12,1)))/Inputs!$B$44),G1918*Q1918))*IF(Inputs!$B$39="pvp",1,1+(Inputs!$B$20+0+Skills!P12+B1941+(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Hunt"),CHOOSE(ArtifactsInput!$N$35+1,15,18,21,24,27,30)*(1-EXP(-(0.2*B1944)*5)),0)+IF(AND(ArtifactsInput!$M$22,Inputs!$B$4&lt;&gt;"Chapter Hunt"),CHOOSE(ArtifactsInput!$N$22+1,10,12,14,16,18,20)*((0*(((0.15*B1944*5))^0/1)+1*(((0.15*B1944*5))^1/1)+2*(((0.15*B1944*5))^2/2)+3*(((0.15*B1944*5))^3/6)+4*(((0.15*B1944*5))^4/24)+5*(((0.15*B1944*5))^5/120))/((((0.15*B1944*5))^0/1)+(((0.15*B1944*5))^1/1)+(((0.15*B1944*5))^2/2)+(((0.15*B1944*5))^3/6)+(((0.15*B1944*5))^4/24)+(((0.15*B1944*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1918*(1-MIN(100,(Inputs!$B$9+((C1932=TRUE)*(F1932-Calc!F26))+B1940+(ArtifactsInput!$M$24-ArtifactsInput!$M$24)*CHOOSE(ArtifactsInput!$N$24+1,10,12,14,16,18,20)+(IF(AND(Inputs!$B$39&lt;&gt;"pvp",Inputs!$B$44=0),1,IF(IF(Inputs!$B$39="pvp",15,Inputs!$B$44)-(B1951)&lt;=0,1,MAX(0,IF(Inputs!$B$39="pvp",15,Inputs!$B$44)-MAX(5,B1951))/(IF(Inputs!$B$39="pvp",15,Inputs!$B$44)-(B1951))))*IF(AND(ArtifactsInput!$M$42,((Inputs!$B$9+((C1932=TRUE)*(F1932-Calc!F26))+B1940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1918*(MIN(100,(Inputs!$B$9+((C1932=TRUE)*(F1932-Calc!F26))+B1940+(ArtifactsInput!$M$24-ArtifactsInput!$M$24)*CHOOSE(ArtifactsInput!$N$24+1,10,12,14,16,18,20)+(IF(AND(Inputs!$B$39&lt;&gt;"pvp",Inputs!$B$44=0),1,IF(IF(Inputs!$B$39="pvp",15,Inputs!$B$44)-(B1951)&lt;=0,1,MAX(0,IF(Inputs!$B$39="pvp",15,Inputs!$B$44)-MAX(5,B1951))/(IF(Inputs!$B$39="pvp",15,Inputs!$B$44)-(B1951))))*IF(AND(ArtifactsInput!$M$42,((Inputs!$B$9+((C1932=TRUE)*(F1932-Calc!F26))+B1940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1918*(1-MIN(100,(Inputs!$B$9+((C1932=TRUE)*(F1932-Calc!F26))+B1940+(ArtifactsInput!$M$24-ArtifactsInput!$M$24)*CHOOSE(ArtifactsInput!$N$24+1,10,12,14,16,18,20)+(IF(AND(Inputs!$B$39&lt;&gt;"pvp",Inputs!$B$44=0),1,IF(IF(Inputs!$B$39="pvp",15,Inputs!$B$44)-(B1951)&lt;=0,1,MAX(0,IF(Inputs!$B$39="pvp",15,Inputs!$B$44)-MAX(5,B1951))/(IF(Inputs!$B$39="pvp",15,Inputs!$B$44)-(B1951))))*IF(AND(ArtifactsInput!$M$42,((Inputs!$B$9+((C1932=TRUE)*(F1932-Calc!F26))+B1940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1918*(MIN(100,(Inputs!$B$9+((C1932=TRUE)*(F1932-Calc!F26))+B1940+(ArtifactsInput!$M$24-ArtifactsInput!$M$24)*CHOOSE(ArtifactsInput!$N$24+1,10,12,14,16,18,20)+(IF(AND(Inputs!$B$39&lt;&gt;"pvp",Inputs!$B$44=0),1,IF(IF(Inputs!$B$39="pvp",15,Inputs!$B$44)-(B1951)&lt;=0,1,MAX(0,IF(Inputs!$B$39="pvp",15,Inputs!$B$44)-MAX(5,B1951))/(IF(Inputs!$B$39="pvp",15,Inputs!$B$44)-(B1951))))*IF(AND(ArtifactsInput!$M$42,((Inputs!$B$9+((C1932=TRUE)*(F1932-Calc!F26))+B1940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1918">
        <f>IF(C1918,(H1918*N1918*IF(AND(Inputs!$B$39&lt;&gt;"pvp",Inputs!$B$44&gt;0),((Skills!G12*((R1918-1)*IF(Skills!H12&gt;0,Skills!I12/Skills!H12,1)+IF(Skills!H12&gt;0,MIN(Skills!I12,MAX(0,MAX(0,Inputs!$B$44-B1951)-((R1918-1)*IF(Inputs!$B$39="pvp",15,MAX(0.1,Skills!D12-IF(TRUE=TRUE,Inputs!$B$32,0))))))/Skills!H12,1)))/Inputs!$B$44),G1918*Q1918))*IF(Inputs!$B$39="pvp",1,(1+(Inputs!$B$21+Skills!Q12+B1941+(IF(ArtifactsInput!$M$33,CHOOSE(ArtifactsInput!$N$33+1,30,36,42,48,54,60),0))+(IF(AND(ArtifactsInput!$M$35,Inputs!$B$4&lt;&gt;"Chapter Hunt"),CHOOSE(ArtifactsInput!$N$35+1,15,18,21,24,27,30)*(1-EXP(-(0.2*B1944)*5)),0)+IF(AND(ArtifactsInput!$M$22,Inputs!$B$4&lt;&gt;"Chapter Hunt"),CHOOSE(ArtifactsInput!$N$22+1,10,12,14,16,18,20)*((0*(((0.15*B1944*5))^0/1)+1*(((0.15*B1944*5))^1/1)+2*(((0.15*B1944*5))^2/2)+3*(((0.15*B1944*5))^3/6)+4*(((0.15*B1944*5))^4/24)+5*(((0.15*B1944*5))^5/120))/((((0.15*B1944*5))^0/1)+(((0.15*B1944*5))^1/1)+(((0.15*B1944*5))^2/2)+(((0.15*B1944*5))^3/6)+(((0.15*B1944*5))^4/24)+(((0.15*B1944*5))^5/120))),0)))/100)*(MIN(Skills!W12,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919">
      <c r="A1919">
        <f>Skills!A13</f>
        <v/>
      </c>
      <c r="B1919">
        <f>Skills!B13</f>
        <v/>
      </c>
      <c r="C1919">
        <f>Inputs!$B$3&gt;=105</f>
        <v/>
      </c>
      <c r="D1919">
        <f>IF(Skills!C13=1,60+Inputs!$B$25+Inputs!$B$29,IF(Skills!C13=2,90+Inputs!$B$26+Inputs!$B$29,IF(Skills!C13=3,120+Inputs!$B$27+Inputs!$B$29,MAX(0,(Inputs!$B$3-100)*3)+Inputs!$B$28+Inputs!$B$29)))</f>
        <v/>
      </c>
      <c r="E1919">
        <f>INDEX(FactorTable!$B$2:$Y$301, MATCH(ROUND(MIN(300,MAX(1,D1919)),0), FactorTable!$A$2:$A$301,0), Skills!M13+1)</f>
        <v/>
      </c>
      <c r="F1919">
        <f>IF(Skills!N13=TRUE,(Skills!L13/10)*(E1919/1000),Skills!L13/10)+Skills!O13</f>
        <v/>
      </c>
      <c r="G1919">
        <f>Skills!G13*IF(Skills!H13&gt;0,IF(Inputs!$B$39="pvp",MIN(Skills!I13,15),Skills!I13)/Skills!H13,1)</f>
        <v/>
      </c>
      <c r="H1919">
        <f>1-(1-Skills!J13/100)^Skills!K13</f>
        <v/>
      </c>
      <c r="I1919" t="inlineStr">
        <is>
          <t>1</t>
        </is>
      </c>
      <c r="J1919">
        <f>((Inputs!$B$6*(1+Inputs!$B$7/100))+(((Inputs!$B$12*(1+Inputs!$B$13/100))-(Inputs!$B$12*(1+Inputs!$B$13/100)))+0.25*(Inputs!$B$14-Inputs!$B$14))*(1+Inputs!$B$7/100))*(F1919/100)</f>
        <v/>
      </c>
      <c r="K1919">
        <f>J1919*(1+((Inputs!$B$12*(1+Inputs!$B$13/100))*0.01+Inputs!$B$14*0.0025)/100)*(1+Inputs!$B$15/100)*(1+Inputs!$B$16/100)*(5000/(6000+Inputs!$B$43*(1-(100*(1-(1-Inputs!$B$19/100)*(1-CHOOSE(ArtifactsInput!$N$40+1,5,6,7,8,9,10)/100)^(ArtifactsInput!$M$40-ArtifactsInput!$M$40)))/100)))*(1+(Inputs!$B$24+((C1937=TRUE)*(F1937-Calc!F31))+((C1924=TRUE)*(F1924-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13="CRUEL_STAB",Inputs!$B$17+((C1934=TRUE)*(F1934-Calc!F28))+((IF(AND(Inputs!$B$39&lt;&gt;"pvp",Inputs!$B$44=0),1,IF(IF(Inputs!$B$39="pvp",15,Inputs!$B$44)-(B1951)&lt;=0,1,MAX(0,IF(Inputs!$B$39="pvp",15,Inputs!$B$44)-MAX(5,B1951))/(IF(Inputs!$B$39="pvp",15,Inputs!$B$44)-(B1951))))*(IF(AND(ArtifactsInput!$M$42,((Inputs!$B$9+((C1932=TRUE)*(F1932-Calc!F26))+B1940+(ArtifactsInput!$M$24-ArtifactsInput!$M$24)*CHOOSE(ArtifactsInput!$N$24+1,10,12,14,16,18,20)+IF(ArtifactsInput!$M$10,CHOOSE(ArtifactsInput!$N$10+1,15,18,21,24,27,30)*(IF(Inputs!$B$39="pvp",MIN(15,15)/15,IF(AND(Inputs!$B$39&lt;&gt;"pvp",Inputs!$B$44&gt;0),MIN(15,Inputs!$B$44)/(Inputs!$B$44),0))),0)))&gt;=100),MIN(100,((Inputs!$B$9+((C1932=TRUE)*(F1932-Calc!F26))+B1940+(ArtifactsInput!$M$24-ArtifactsInput!$M$24)*CHOOSE(ArtifactsInput!$N$24+1,10,12,14,16,18,20)+IF(ArtifactsInput!$M$10,CHOOSE(ArtifactsInput!$N$10+1,15,18,21,24,27,30)*(IF(Inputs!$B$39="pvp",MIN(15,15)/15,IF(AND(Inputs!$B$39&lt;&gt;"pvp",Inputs!$B$44&gt;0),MIN(15,Inputs!$B$44)/(Inputs!$B$44),0))),0)))-100),0))*CHOOSE(ArtifactsInput!$N$42+1,0.6,0.72,0.84,0.96,1.08,1.2))),Inputs!$B$18+((C1935=TRUE)*(F1935-Calc!F29))+(IF(AND(Inputs!$B$39&lt;&gt;"pvp",Inputs!$B$44=0),1,IF(IF(Inputs!$B$39="pvp",15,Inputs!$B$44)-(B1951)&lt;=0,1,MAX(0,IF(Inputs!$B$39="pvp",15,Inputs!$B$44)-MAX(5,B1951))/(IF(Inputs!$B$39="pvp",15,Inputs!$B$44)-(B1951))))*IF(AND(ArtifactsInput!$M$42,((Inputs!$B$9+((C1932=TRUE)*(F1932-Calc!F26))+B1940+(ArtifactsInput!$M$24-ArtifactsInput!$M$24)*CHOOSE(ArtifactsInput!$N$24+1,10,12,14,16,18,20)+IF(ArtifactsInput!$M$10,CHOOSE(ArtifactsInput!$N$10+1,15,18,21,24,27,30)*(IF(Inputs!$B$39="pvp",MIN(15,15)/15,IF(AND(Inputs!$B$39&lt;&gt;"pvp",Inputs!$B$44&gt;0),MIN(15,Inputs!$B$44)/(Inputs!$B$44),0))),0)))&gt;=100),CHOOSE(ArtifactsInput!$N$42+1,40,48,56,64,72,80),0))))/100)*(((1+(((C1928=TRUE)*F1928*IF(AND(Inputs!$B$39&lt;&gt;"pvp",Inputs!$B$44&gt;0),(((R1928-1)*MIN((Skills!Y22*(1+Inputs!$B$34/100)),(1/Q1928))+MIN((Skills!Y22*(1+Inputs!$B$34/100)),MAX(0,Inputs!$B$44-((R1928-1)*(1/Q1928)))))/Inputs!$B$44),IF(Inputs!$B$39="pvp",MIN((Skills!Y22*(1+Inputs!$B$34/100)),15)/15,MIN(1,(Skills!Y22*(1+Inputs!$B$34/100))/(1/Q1928)))))+((C1909=TRUE)*F1909*3)+((C1911=TRUE)*F1911*(1-EXP(-0.75*B1944*5)))+((C1930=TRUE)*(F1930-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1917=TRUE)*F1917*IF(AND(Inputs!$B$39&lt;&gt;"pvp",Inputs!$B$44&gt;0),(((R1917-1)*MIN((Skills!Y11*(1+Inputs!$B$34/100)),(1/Q1917))+MIN((Skills!Y11*(1+Inputs!$B$34/100)),MAX(0,Inputs!$B$44-((R1917-1)*(1/Q1917)))))/Inputs!$B$44),IF(Inputs!$B$39="pvp",MIN((Skills!Y11*(1+Inputs!$B$34/100)),15)/15,MIN(1,(Skills!Y11*(1+Inputs!$B$34/100))/(1/Q1917)))))/100)*(1+((C1922=TRUE)*F1922*IF(AND(Inputs!$B$39&lt;&gt;"pvp",Inputs!$B$44&gt;0),(((R1922-1)*MIN((Skills!Y16*(1+Inputs!$B$34/100)),(1/Q1922))+MIN((Skills!Y16*(1+Inputs!$B$34/100)),MAX(0,Inputs!$B$44-((R1922-1)*(1/Q1922)))))/Inputs!$B$44),IF(Inputs!$B$39="pvp",MIN((Skills!Y16*(1+Inputs!$B$34/100)),15)/15,MIN(1,(Skills!Y16*(1+Inputs!$B$34/100))/(1/Q1922)))))/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1942*I1919)</f>
        <v/>
      </c>
      <c r="L1919">
        <f>K1919*(MIN(Inputs!$B$22+((C1931=TRUE)*(F1931-Calc!F25)),(Inputs!$B$23+((C1936=TRUE)*(F1936-Calc!F30))+(IF(IF(ArtifactsInput!$M$15,FALSE,TRUE),1,-1)*CHOOSE(ArtifactsInput!$N$15+1,25,30,35,40,45,50)/100*IF(IF(ArtifactsInput!$M$15,FALSE,TRUE),(Inputs!$B$11+((C1929=TRUE)*(F1929-Calc!F23))+(IF(ArtifactsInput!$M$15,FALSE,TRUE)-ArtifactsInput!$M$15)*CHOOSE(ArtifactsInput!$N$15+1,8,9.6,11.2,12.8,14.4,16)),Inputs!$B$11))))/100+(Inputs!$B$23+((C1936=TRUE)*(F1936-Calc!F30))+(IF(IF(ArtifactsInput!$M$15,FALSE,TRUE),1,-1)*CHOOSE(ArtifactsInput!$N$15+1,25,30,35,40,45,50)/100*IF(IF(ArtifactsInput!$M$15,FALSE,TRUE),(Inputs!$B$11+((C1929=TRUE)*(F1929-Calc!F23))+(IF(ArtifactsInput!$M$15,FALSE,TRUE)-ArtifactsInput!$M$15)*CHOOSE(ArtifactsInput!$N$15+1,8,9.6,11.2,12.8,14.4,16)),Inputs!$B$11)))/100)/2</f>
        <v/>
      </c>
      <c r="M1919">
        <f>L1919*(1+(Inputs!$B$10+((C1933=TRUE)*(F1933-Calc!F27))+B1947+(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1919">
        <f>L1919*(1-MIN((Inputs!$B$9+((C1932=TRUE)*(F1932-Calc!F26))+B1940+(ArtifactsInput!$M$24-ArtifactsInput!$M$24)*CHOOSE(ArtifactsInput!$N$24+1,10,12,14,16,18,20)+(IF(AND(Inputs!$B$39&lt;&gt;"pvp",Inputs!$B$44=0),1,IF(IF(Inputs!$B$39="pvp",15,Inputs!$B$44)-(B1951)&lt;=0,1,MAX(0,IF(Inputs!$B$39="pvp",15,Inputs!$B$44)-MAX(5,B1951))/(IF(Inputs!$B$39="pvp",15,Inputs!$B$44)-(B1951))))*IF(AND(ArtifactsInput!$M$42,((Inputs!$B$9+((C1932=TRUE)*(F1932-Calc!F26))+B1940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1919*(MIN((Inputs!$B$9+((C1932=TRUE)*(F1932-Calc!F26))+B1940+(ArtifactsInput!$M$24-ArtifactsInput!$M$24)*CHOOSE(ArtifactsInput!$N$24+1,10,12,14,16,18,20)+(IF(AND(Inputs!$B$39&lt;&gt;"pvp",Inputs!$B$44=0),1,IF(IF(Inputs!$B$39="pvp",15,Inputs!$B$44)-(B1951)&lt;=0,1,MAX(0,IF(Inputs!$B$39="pvp",15,Inputs!$B$44)-MAX(5,B1951))/(IF(Inputs!$B$39="pvp",15,Inputs!$B$44)-(B1951))))*IF(AND(ArtifactsInput!$M$42,((Inputs!$B$9+((C1932=TRUE)*(F1932-Calc!F26))+B1940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919">
        <f>(1-Summary!$B$11)*T1919+Summary!$B$11*V1919</f>
        <v/>
      </c>
      <c r="P1919">
        <f>IF(B1952=0,0,O1919/B1952)</f>
        <v/>
      </c>
      <c r="Q1919">
        <f>IFERROR(1/IF(Inputs!$B$39="pvp",15,MAX(0.1,Skills!D13-IF(TRUE=TRUE,Inputs!$B$32,0))),0)</f>
        <v/>
      </c>
      <c r="R1919">
        <f>IF(AND(Inputs!$B$39&lt;&gt;"pvp",Inputs!$B$44&gt;0),IF(MAX(0,Inputs!$B$44-B1951)&lt;=0,0,(INT(MAX(0,Inputs!$B$44-B1951)/IF(Inputs!$B$39="pvp",15,MAX(0.1,Skills!D13-IF(TRUE=TRUE,Inputs!$B$32,0))))+1)),0)</f>
        <v/>
      </c>
      <c r="S1919">
        <f>IFERROR(O1919/N1919,0)</f>
        <v/>
      </c>
      <c r="T1919">
        <f>IF(C1919,(H1919*N1919*IF(AND(Inputs!$B$39&lt;&gt;"pvp",Inputs!$B$44&gt;0),((Skills!G13*((R1919-1)*IF(Skills!H13&gt;0,Skills!I13/Skills!H13,1)+IF(Skills!H13&gt;0,MIN(Skills!I13,MAX(0,MAX(0,Inputs!$B$44-B1951)-((R1919-1)*IF(Inputs!$B$39="pvp",15,MAX(0.1,Skills!D13-IF(TRUE=TRUE,Inputs!$B$32,0))))))/Skills!H13,1)))/Inputs!$B$44),G1919*Q1919))*IF(Inputs!$B$39="pvp",1,1+(Inputs!$B$20+0+Skills!P13+B1941+(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Hunt"),CHOOSE(ArtifactsInput!$N$35+1,15,18,21,24,27,30)*(1-EXP(-(0.2*B1944)*5)),0)+IF(AND(ArtifactsInput!$M$22,Inputs!$B$4&lt;&gt;"Chapter Hunt"),CHOOSE(ArtifactsInput!$N$22+1,10,12,14,16,18,20)*((0*(((0.15*B1944*5))^0/1)+1*(((0.15*B1944*5))^1/1)+2*(((0.15*B1944*5))^2/2)+3*(((0.15*B1944*5))^3/6)+4*(((0.15*B1944*5))^4/24)+5*(((0.15*B1944*5))^5/120))/((((0.15*B1944*5))^0/1)+(((0.15*B1944*5))^1/1)+(((0.15*B1944*5))^2/2)+(((0.15*B1944*5))^3/6)+(((0.15*B1944*5))^4/24)+(((0.15*B1944*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1919*(1-MIN(100,(Inputs!$B$9+((C1932=TRUE)*(F1932-Calc!F26))+B1940+(ArtifactsInput!$M$24-ArtifactsInput!$M$24)*CHOOSE(ArtifactsInput!$N$24+1,10,12,14,16,18,20)+(IF(AND(Inputs!$B$39&lt;&gt;"pvp",Inputs!$B$44=0),1,IF(IF(Inputs!$B$39="pvp",15,Inputs!$B$44)-(B1951)&lt;=0,1,MAX(0,IF(Inputs!$B$39="pvp",15,Inputs!$B$44)-MAX(5,B1951))/(IF(Inputs!$B$39="pvp",15,Inputs!$B$44)-(B1951))))*IF(AND(ArtifactsInput!$M$42,((Inputs!$B$9+((C1932=TRUE)*(F1932-Calc!F26))+B1940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1919*(MIN(100,(Inputs!$B$9+((C1932=TRUE)*(F1932-Calc!F26))+B1940+(ArtifactsInput!$M$24-ArtifactsInput!$M$24)*CHOOSE(ArtifactsInput!$N$24+1,10,12,14,16,18,20)+(IF(AND(Inputs!$B$39&lt;&gt;"pvp",Inputs!$B$44=0),1,IF(IF(Inputs!$B$39="pvp",15,Inputs!$B$44)-(B1951)&lt;=0,1,MAX(0,IF(Inputs!$B$39="pvp",15,Inputs!$B$44)-MAX(5,B1951))/(IF(Inputs!$B$39="pvp",15,Inputs!$B$44)-(B1951))))*IF(AND(ArtifactsInput!$M$42,((Inputs!$B$9+((C1932=TRUE)*(F1932-Calc!F26))+B1940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1919*(1-MIN(100,(Inputs!$B$9+((C1932=TRUE)*(F1932-Calc!F26))+B1940+(ArtifactsInput!$M$24-ArtifactsInput!$M$24)*CHOOSE(ArtifactsInput!$N$24+1,10,12,14,16,18,20)+(IF(AND(Inputs!$B$39&lt;&gt;"pvp",Inputs!$B$44=0),1,IF(IF(Inputs!$B$39="pvp",15,Inputs!$B$44)-(B1951)&lt;=0,1,MAX(0,IF(Inputs!$B$39="pvp",15,Inputs!$B$44)-MAX(5,B1951))/(IF(Inputs!$B$39="pvp",15,Inputs!$B$44)-(B1951))))*IF(AND(ArtifactsInput!$M$42,((Inputs!$B$9+((C1932=TRUE)*(F1932-Calc!F26))+B1940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1919*(MIN(100,(Inputs!$B$9+((C1932=TRUE)*(F1932-Calc!F26))+B1940+(ArtifactsInput!$M$24-ArtifactsInput!$M$24)*CHOOSE(ArtifactsInput!$N$24+1,10,12,14,16,18,20)+(IF(AND(Inputs!$B$39&lt;&gt;"pvp",Inputs!$B$44=0),1,IF(IF(Inputs!$B$39="pvp",15,Inputs!$B$44)-(B1951)&lt;=0,1,MAX(0,IF(Inputs!$B$39="pvp",15,Inputs!$B$44)-MAX(5,B1951))/(IF(Inputs!$B$39="pvp",15,Inputs!$B$44)-(B1951))))*IF(AND(ArtifactsInput!$M$42,((Inputs!$B$9+((C1932=TRUE)*(F1932-Calc!F26))+B1940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1919">
        <f>IF(C1919,(H1919*N1919*IF(AND(Inputs!$B$39&lt;&gt;"pvp",Inputs!$B$44&gt;0),((Skills!G13*((R1919-1)*IF(Skills!H13&gt;0,Skills!I13/Skills!H13,1)+IF(Skills!H13&gt;0,MIN(Skills!I13,MAX(0,MAX(0,Inputs!$B$44-B1951)-((R1919-1)*IF(Inputs!$B$39="pvp",15,MAX(0.1,Skills!D13-IF(TRUE=TRUE,Inputs!$B$32,0))))))/Skills!H13,1)))/Inputs!$B$44),G1919*Q1919))*IF(Inputs!$B$39="pvp",1,(1+(Inputs!$B$21+Skills!Q13+B1941+(IF(ArtifactsInput!$M$33,CHOOSE(ArtifactsInput!$N$33+1,30,36,42,48,54,60),0))+(IF(AND(ArtifactsInput!$M$35,Inputs!$B$4&lt;&gt;"Chapter Hunt"),CHOOSE(ArtifactsInput!$N$35+1,15,18,21,24,27,30)*(1-EXP(-(0.2*B1944)*5)),0)+IF(AND(ArtifactsInput!$M$22,Inputs!$B$4&lt;&gt;"Chapter Hunt"),CHOOSE(ArtifactsInput!$N$22+1,10,12,14,16,18,20)*((0*(((0.15*B1944*5))^0/1)+1*(((0.15*B1944*5))^1/1)+2*(((0.15*B1944*5))^2/2)+3*(((0.15*B1944*5))^3/6)+4*(((0.15*B1944*5))^4/24)+5*(((0.15*B1944*5))^5/120))/((((0.15*B1944*5))^0/1)+(((0.15*B1944*5))^1/1)+(((0.15*B1944*5))^2/2)+(((0.15*B1944*5))^3/6)+(((0.15*B1944*5))^4/24)+(((0.15*B1944*5))^5/120))),0)))/100)*(MIN(Skills!W13,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920">
      <c r="A1920">
        <f>Skills!A14</f>
        <v/>
      </c>
      <c r="B1920">
        <f>Skills!B14</f>
        <v/>
      </c>
      <c r="C1920">
        <f>Inputs!$B$3&gt;=105</f>
        <v/>
      </c>
      <c r="D1920">
        <f>IF(Skills!C14=1,60+Inputs!$B$25+Inputs!$B$29,IF(Skills!C14=2,90+Inputs!$B$26+Inputs!$B$29,IF(Skills!C14=3,120+Inputs!$B$27+Inputs!$B$29,MAX(0,(Inputs!$B$3-100)*3)+Inputs!$B$28+Inputs!$B$29)))</f>
        <v/>
      </c>
      <c r="E1920">
        <f>INDEX(FactorTable!$B$2:$Y$301, MATCH(ROUND(MIN(300,MAX(1,D1920)),0), FactorTable!$A$2:$A$301,0), Skills!M14+1)</f>
        <v/>
      </c>
      <c r="F1920">
        <f>IF(Skills!N14=TRUE,(Skills!L14/10)*(E1920/1000),Skills!L14/10)+Skills!O14</f>
        <v/>
      </c>
      <c r="G1920">
        <f>Skills!G14*IF(Skills!H14&gt;0,IF(Inputs!$B$39="pvp",MIN(Skills!I14,15),Skills!I14)/Skills!H14,1)</f>
        <v/>
      </c>
      <c r="H1920">
        <f>1-(1-Skills!J14/100)^Skills!K14</f>
        <v/>
      </c>
      <c r="I1920" t="inlineStr">
        <is>
          <t>1</t>
        </is>
      </c>
      <c r="J1920">
        <f>((Inputs!$B$6*(1+Inputs!$B$7/100))+(((Inputs!$B$12*(1+Inputs!$B$13/100))-(Inputs!$B$12*(1+Inputs!$B$13/100)))+0.25*(Inputs!$B$14-Inputs!$B$14))*(1+Inputs!$B$7/100))*(F1920/100)</f>
        <v/>
      </c>
      <c r="K1920">
        <f>J1920*(1+((Inputs!$B$12*(1+Inputs!$B$13/100))*0.01+Inputs!$B$14*0.0025)/100)*(1+Inputs!$B$15/100)*(1+Inputs!$B$16/100)*(5000/(6000+Inputs!$B$43*(1-(100*(1-(1-Inputs!$B$19/100)*(1-CHOOSE(ArtifactsInput!$N$40+1,5,6,7,8,9,10)/100)^(ArtifactsInput!$M$40-ArtifactsInput!$M$40)))/100)))*(1+(Inputs!$B$24+((C1937=TRUE)*(F1937-Calc!F31))+((C1924=TRUE)*(F1924-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14="CRUEL_STAB",Inputs!$B$17+((C1934=TRUE)*(F1934-Calc!F28))+((IF(AND(Inputs!$B$39&lt;&gt;"pvp",Inputs!$B$44=0),1,IF(IF(Inputs!$B$39="pvp",15,Inputs!$B$44)-(B1951)&lt;=0,1,MAX(0,IF(Inputs!$B$39="pvp",15,Inputs!$B$44)-MAX(5,B1951))/(IF(Inputs!$B$39="pvp",15,Inputs!$B$44)-(B1951))))*(IF(AND(ArtifactsInput!$M$42,((Inputs!$B$9+((C1932=TRUE)*(F1932-Calc!F26))+B1940+(ArtifactsInput!$M$24-ArtifactsInput!$M$24)*CHOOSE(ArtifactsInput!$N$24+1,10,12,14,16,18,20)+IF(ArtifactsInput!$M$10,CHOOSE(ArtifactsInput!$N$10+1,15,18,21,24,27,30)*(IF(Inputs!$B$39="pvp",MIN(15,15)/15,IF(AND(Inputs!$B$39&lt;&gt;"pvp",Inputs!$B$44&gt;0),MIN(15,Inputs!$B$44)/(Inputs!$B$44),0))),0)))&gt;=100),MIN(100,((Inputs!$B$9+((C1932=TRUE)*(F1932-Calc!F26))+B1940+(ArtifactsInput!$M$24-ArtifactsInput!$M$24)*CHOOSE(ArtifactsInput!$N$24+1,10,12,14,16,18,20)+IF(ArtifactsInput!$M$10,CHOOSE(ArtifactsInput!$N$10+1,15,18,21,24,27,30)*(IF(Inputs!$B$39="pvp",MIN(15,15)/15,IF(AND(Inputs!$B$39&lt;&gt;"pvp",Inputs!$B$44&gt;0),MIN(15,Inputs!$B$44)/(Inputs!$B$44),0))),0)))-100),0))*CHOOSE(ArtifactsInput!$N$42+1,0.6,0.72,0.84,0.96,1.08,1.2))),Inputs!$B$18+((C1935=TRUE)*(F1935-Calc!F29))+(IF(AND(Inputs!$B$39&lt;&gt;"pvp",Inputs!$B$44=0),1,IF(IF(Inputs!$B$39="pvp",15,Inputs!$B$44)-(B1951)&lt;=0,1,MAX(0,IF(Inputs!$B$39="pvp",15,Inputs!$B$44)-MAX(5,B1951))/(IF(Inputs!$B$39="pvp",15,Inputs!$B$44)-(B1951))))*IF(AND(ArtifactsInput!$M$42,((Inputs!$B$9+((C1932=TRUE)*(F1932-Calc!F26))+B1940+(ArtifactsInput!$M$24-ArtifactsInput!$M$24)*CHOOSE(ArtifactsInput!$N$24+1,10,12,14,16,18,20)+IF(ArtifactsInput!$M$10,CHOOSE(ArtifactsInput!$N$10+1,15,18,21,24,27,30)*(IF(Inputs!$B$39="pvp",MIN(15,15)/15,IF(AND(Inputs!$B$39&lt;&gt;"pvp",Inputs!$B$44&gt;0),MIN(15,Inputs!$B$44)/(Inputs!$B$44),0))),0)))&gt;=100),CHOOSE(ArtifactsInput!$N$42+1,40,48,56,64,72,80),0))))/100)*(((1+(((C1928=TRUE)*F1928*IF(AND(Inputs!$B$39&lt;&gt;"pvp",Inputs!$B$44&gt;0),(((R1928-1)*MIN((Skills!Y22*(1+Inputs!$B$34/100)),(1/Q1928))+MIN((Skills!Y22*(1+Inputs!$B$34/100)),MAX(0,Inputs!$B$44-((R1928-1)*(1/Q1928)))))/Inputs!$B$44),IF(Inputs!$B$39="pvp",MIN((Skills!Y22*(1+Inputs!$B$34/100)),15)/15,MIN(1,(Skills!Y22*(1+Inputs!$B$34/100))/(1/Q1928)))))+((C1909=TRUE)*F1909*3)+((C1911=TRUE)*F1911*(1-EXP(-0.75*B1944*5)))+((C1930=TRUE)*(F1930-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1917=TRUE)*F1917*IF(AND(Inputs!$B$39&lt;&gt;"pvp",Inputs!$B$44&gt;0),(((R1917-1)*MIN((Skills!Y11*(1+Inputs!$B$34/100)),(1/Q1917))+MIN((Skills!Y11*(1+Inputs!$B$34/100)),MAX(0,Inputs!$B$44-((R1917-1)*(1/Q1917)))))/Inputs!$B$44),IF(Inputs!$B$39="pvp",MIN((Skills!Y11*(1+Inputs!$B$34/100)),15)/15,MIN(1,(Skills!Y11*(1+Inputs!$B$34/100))/(1/Q1917)))))/100)*(1+((C1922=TRUE)*F1922*IF(AND(Inputs!$B$39&lt;&gt;"pvp",Inputs!$B$44&gt;0),(((R1922-1)*MIN((Skills!Y16*(1+Inputs!$B$34/100)),(1/Q1922))+MIN((Skills!Y16*(1+Inputs!$B$34/100)),MAX(0,Inputs!$B$44-((R1922-1)*(1/Q1922)))))/Inputs!$B$44),IF(Inputs!$B$39="pvp",MIN((Skills!Y16*(1+Inputs!$B$34/100)),15)/15,MIN(1,(Skills!Y16*(1+Inputs!$B$34/100))/(1/Q1922)))))/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1942*I1920)</f>
        <v/>
      </c>
      <c r="L1920">
        <f>K1920*(MIN(Inputs!$B$22+((C1931=TRUE)*(F1931-Calc!F25)),(Inputs!$B$23+((C1936=TRUE)*(F1936-Calc!F30))+(IF(IF(ArtifactsInput!$M$15,FALSE,TRUE),1,-1)*CHOOSE(ArtifactsInput!$N$15+1,25,30,35,40,45,50)/100*IF(IF(ArtifactsInput!$M$15,FALSE,TRUE),(Inputs!$B$11+((C1929=TRUE)*(F1929-Calc!F23))+(IF(ArtifactsInput!$M$15,FALSE,TRUE)-ArtifactsInput!$M$15)*CHOOSE(ArtifactsInput!$N$15+1,8,9.6,11.2,12.8,14.4,16)),Inputs!$B$11))))/100+(Inputs!$B$23+((C1936=TRUE)*(F1936-Calc!F30))+(IF(IF(ArtifactsInput!$M$15,FALSE,TRUE),1,-1)*CHOOSE(ArtifactsInput!$N$15+1,25,30,35,40,45,50)/100*IF(IF(ArtifactsInput!$M$15,FALSE,TRUE),(Inputs!$B$11+((C1929=TRUE)*(F1929-Calc!F23))+(IF(ArtifactsInput!$M$15,FALSE,TRUE)-ArtifactsInput!$M$15)*CHOOSE(ArtifactsInput!$N$15+1,8,9.6,11.2,12.8,14.4,16)),Inputs!$B$11)))/100)/2</f>
        <v/>
      </c>
      <c r="M1920">
        <f>L1920*(1+(Inputs!$B$10+((C1933=TRUE)*(F1933-Calc!F27))+B1947+(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1920">
        <f>L1920*(1-MIN((Inputs!$B$9+((C1932=TRUE)*(F1932-Calc!F26))+B1940+(ArtifactsInput!$M$24-ArtifactsInput!$M$24)*CHOOSE(ArtifactsInput!$N$24+1,10,12,14,16,18,20)+(IF(AND(Inputs!$B$39&lt;&gt;"pvp",Inputs!$B$44=0),1,IF(IF(Inputs!$B$39="pvp",15,Inputs!$B$44)-(B1951)&lt;=0,1,MAX(0,IF(Inputs!$B$39="pvp",15,Inputs!$B$44)-MAX(5,B1951))/(IF(Inputs!$B$39="pvp",15,Inputs!$B$44)-(B1951))))*IF(AND(ArtifactsInput!$M$42,((Inputs!$B$9+((C1932=TRUE)*(F1932-Calc!F26))+B1940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1920*(MIN((Inputs!$B$9+((C1932=TRUE)*(F1932-Calc!F26))+B1940+(ArtifactsInput!$M$24-ArtifactsInput!$M$24)*CHOOSE(ArtifactsInput!$N$24+1,10,12,14,16,18,20)+(IF(AND(Inputs!$B$39&lt;&gt;"pvp",Inputs!$B$44=0),1,IF(IF(Inputs!$B$39="pvp",15,Inputs!$B$44)-(B1951)&lt;=0,1,MAX(0,IF(Inputs!$B$39="pvp",15,Inputs!$B$44)-MAX(5,B1951))/(IF(Inputs!$B$39="pvp",15,Inputs!$B$44)-(B1951))))*IF(AND(ArtifactsInput!$M$42,((Inputs!$B$9+((C1932=TRUE)*(F1932-Calc!F26))+B1940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920">
        <f>(1-Summary!$B$11)*T1920+Summary!$B$11*V1920</f>
        <v/>
      </c>
      <c r="P1920">
        <f>IF(B1952=0,0,O1920/B1952)</f>
        <v/>
      </c>
      <c r="Q1920">
        <f>IFERROR(1/IF(Inputs!$B$39="pvp",15,MAX(0.1,Skills!D14-IF(TRUE=TRUE,Inputs!$B$32,0))),0)</f>
        <v/>
      </c>
      <c r="R1920">
        <f>IF(AND(Inputs!$B$39&lt;&gt;"pvp",Inputs!$B$44&gt;0),IF(MAX(0,Inputs!$B$44-B1951)&lt;=0,0,(INT(MAX(0,Inputs!$B$44-B1951)/IF(Inputs!$B$39="pvp",15,MAX(0.1,Skills!D14-IF(TRUE=TRUE,Inputs!$B$32,0))))+1)),0)</f>
        <v/>
      </c>
      <c r="S1920">
        <f>IFERROR(O1920/N1920,0)</f>
        <v/>
      </c>
      <c r="T1920">
        <f>IF(C1920,(H1920*N1920*IF(AND(Inputs!$B$39&lt;&gt;"pvp",Inputs!$B$44&gt;0),((Skills!G14*((R1920-1)*IF(Skills!H14&gt;0,Skills!I14/Skills!H14,1)+IF(Skills!H14&gt;0,MIN(Skills!I14,MAX(0,MAX(0,Inputs!$B$44-B1951)-((R1920-1)*IF(Inputs!$B$39="pvp",15,MAX(0.1,Skills!D14-IF(TRUE=TRUE,Inputs!$B$32,0))))))/Skills!H14,1)))/Inputs!$B$44),G1920*Q1920))*IF(Inputs!$B$39="pvp",1,1+(Inputs!$B$20+0+Skills!P14+B1941+(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Hunt"),CHOOSE(ArtifactsInput!$N$35+1,15,18,21,24,27,30)*(1-EXP(-(0.2*B1944)*5)),0)+IF(AND(ArtifactsInput!$M$22,Inputs!$B$4&lt;&gt;"Chapter Hunt"),CHOOSE(ArtifactsInput!$N$22+1,10,12,14,16,18,20)*((0*(((0.15*B1944*5))^0/1)+1*(((0.15*B1944*5))^1/1)+2*(((0.15*B1944*5))^2/2)+3*(((0.15*B1944*5))^3/6)+4*(((0.15*B1944*5))^4/24)+5*(((0.15*B1944*5))^5/120))/((((0.15*B1944*5))^0/1)+(((0.15*B1944*5))^1/1)+(((0.15*B1944*5))^2/2)+(((0.15*B1944*5))^3/6)+(((0.15*B1944*5))^4/24)+(((0.15*B1944*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1920*(1-MIN(100,(Inputs!$B$9+((C1932=TRUE)*(F1932-Calc!F26))+B1940+(ArtifactsInput!$M$24-ArtifactsInput!$M$24)*CHOOSE(ArtifactsInput!$N$24+1,10,12,14,16,18,20)+(IF(AND(Inputs!$B$39&lt;&gt;"pvp",Inputs!$B$44=0),1,IF(IF(Inputs!$B$39="pvp",15,Inputs!$B$44)-(B1951)&lt;=0,1,MAX(0,IF(Inputs!$B$39="pvp",15,Inputs!$B$44)-MAX(5,B1951))/(IF(Inputs!$B$39="pvp",15,Inputs!$B$44)-(B1951))))*IF(AND(ArtifactsInput!$M$42,((Inputs!$B$9+((C1932=TRUE)*(F1932-Calc!F26))+B1940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1920*(MIN(100,(Inputs!$B$9+((C1932=TRUE)*(F1932-Calc!F26))+B1940+(ArtifactsInput!$M$24-ArtifactsInput!$M$24)*CHOOSE(ArtifactsInput!$N$24+1,10,12,14,16,18,20)+(IF(AND(Inputs!$B$39&lt;&gt;"pvp",Inputs!$B$44=0),1,IF(IF(Inputs!$B$39="pvp",15,Inputs!$B$44)-(B1951)&lt;=0,1,MAX(0,IF(Inputs!$B$39="pvp",15,Inputs!$B$44)-MAX(5,B1951))/(IF(Inputs!$B$39="pvp",15,Inputs!$B$44)-(B1951))))*IF(AND(ArtifactsInput!$M$42,((Inputs!$B$9+((C1932=TRUE)*(F1932-Calc!F26))+B1940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1920*(1-MIN(100,(Inputs!$B$9+((C1932=TRUE)*(F1932-Calc!F26))+B1940+(ArtifactsInput!$M$24-ArtifactsInput!$M$24)*CHOOSE(ArtifactsInput!$N$24+1,10,12,14,16,18,20)+(IF(AND(Inputs!$B$39&lt;&gt;"pvp",Inputs!$B$44=0),1,IF(IF(Inputs!$B$39="pvp",15,Inputs!$B$44)-(B1951)&lt;=0,1,MAX(0,IF(Inputs!$B$39="pvp",15,Inputs!$B$44)-MAX(5,B1951))/(IF(Inputs!$B$39="pvp",15,Inputs!$B$44)-(B1951))))*IF(AND(ArtifactsInput!$M$42,((Inputs!$B$9+((C1932=TRUE)*(F1932-Calc!F26))+B1940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1920*(MIN(100,(Inputs!$B$9+((C1932=TRUE)*(F1932-Calc!F26))+B1940+(ArtifactsInput!$M$24-ArtifactsInput!$M$24)*CHOOSE(ArtifactsInput!$N$24+1,10,12,14,16,18,20)+(IF(AND(Inputs!$B$39&lt;&gt;"pvp",Inputs!$B$44=0),1,IF(IF(Inputs!$B$39="pvp",15,Inputs!$B$44)-(B1951)&lt;=0,1,MAX(0,IF(Inputs!$B$39="pvp",15,Inputs!$B$44)-MAX(5,B1951))/(IF(Inputs!$B$39="pvp",15,Inputs!$B$44)-(B1951))))*IF(AND(ArtifactsInput!$M$42,((Inputs!$B$9+((C1932=TRUE)*(F1932-Calc!F26))+B1940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1920">
        <f>IF(C1920,(H1920*N1920*IF(AND(Inputs!$B$39&lt;&gt;"pvp",Inputs!$B$44&gt;0),((Skills!G14*((R1920-1)*IF(Skills!H14&gt;0,Skills!I14/Skills!H14,1)+IF(Skills!H14&gt;0,MIN(Skills!I14,MAX(0,MAX(0,Inputs!$B$44-B1951)-((R1920-1)*IF(Inputs!$B$39="pvp",15,MAX(0.1,Skills!D14-IF(TRUE=TRUE,Inputs!$B$32,0))))))/Skills!H14,1)))/Inputs!$B$44),G1920*Q1920))*IF(Inputs!$B$39="pvp",1,(1+(Inputs!$B$21+Skills!Q14+B1941+(IF(ArtifactsInput!$M$33,CHOOSE(ArtifactsInput!$N$33+1,30,36,42,48,54,60),0))+(IF(AND(ArtifactsInput!$M$35,Inputs!$B$4&lt;&gt;"Chapter Hunt"),CHOOSE(ArtifactsInput!$N$35+1,15,18,21,24,27,30)*(1-EXP(-(0.2*B1944)*5)),0)+IF(AND(ArtifactsInput!$M$22,Inputs!$B$4&lt;&gt;"Chapter Hunt"),CHOOSE(ArtifactsInput!$N$22+1,10,12,14,16,18,20)*((0*(((0.15*B1944*5))^0/1)+1*(((0.15*B1944*5))^1/1)+2*(((0.15*B1944*5))^2/2)+3*(((0.15*B1944*5))^3/6)+4*(((0.15*B1944*5))^4/24)+5*(((0.15*B1944*5))^5/120))/((((0.15*B1944*5))^0/1)+(((0.15*B1944*5))^1/1)+(((0.15*B1944*5))^2/2)+(((0.15*B1944*5))^3/6)+(((0.15*B1944*5))^4/24)+(((0.15*B1944*5))^5/120))),0)))/100)*(MIN(Skills!W14,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921">
      <c r="A1921">
        <f>Skills!A15</f>
        <v/>
      </c>
      <c r="B1921">
        <f>Skills!B15</f>
        <v/>
      </c>
      <c r="C1921">
        <f>Inputs!$B$3&gt;=107</f>
        <v/>
      </c>
      <c r="D1921">
        <f>IF(Skills!C15=1,60+Inputs!$B$25+Inputs!$B$29,IF(Skills!C15=2,90+Inputs!$B$26+Inputs!$B$29,IF(Skills!C15=3,120+Inputs!$B$27+Inputs!$B$29,MAX(0,(Inputs!$B$3-100)*3)+Inputs!$B$28+Inputs!$B$29)))</f>
        <v/>
      </c>
      <c r="E1921">
        <f>INDEX(FactorTable!$B$2:$Y$301, MATCH(ROUND(MIN(300,MAX(1,D1921)),0), FactorTable!$A$2:$A$301,0), Skills!M15+1)</f>
        <v/>
      </c>
      <c r="F1921">
        <f>IF(Skills!N15=TRUE,(Skills!L15/10)*(E1921/1000),Skills!L15/10)+Skills!O15</f>
        <v/>
      </c>
      <c r="G1921">
        <f>Skills!G15*IF(Skills!H15&gt;0,IF(Inputs!$B$39="pvp",MIN(Skills!I15,15),Skills!I15)/Skills!H15,1)</f>
        <v/>
      </c>
      <c r="H1921">
        <f>1-(1-Skills!J15/100)^Skills!K15</f>
        <v/>
      </c>
      <c r="I1921" t="inlineStr">
        <is>
          <t>1</t>
        </is>
      </c>
      <c r="J1921">
        <f>((Inputs!$B$6*(1+Inputs!$B$7/100))+(((Inputs!$B$12*(1+Inputs!$B$13/100))-(Inputs!$B$12*(1+Inputs!$B$13/100)))+0.25*(Inputs!$B$14-Inputs!$B$14))*(1+Inputs!$B$7/100))*(F1921/100)</f>
        <v/>
      </c>
      <c r="K1921">
        <f>J1921*(1+((Inputs!$B$12*(1+Inputs!$B$13/100))*0.01+Inputs!$B$14*0.0025)/100)*(1+Inputs!$B$15/100)*(1+Inputs!$B$16/100)*(5000/(6000+Inputs!$B$43*(1-(100*(1-(1-Inputs!$B$19/100)*(1-CHOOSE(ArtifactsInput!$N$40+1,5,6,7,8,9,10)/100)^(ArtifactsInput!$M$40-ArtifactsInput!$M$40)))/100)))*(1+(Inputs!$B$24+((C1937=TRUE)*(F1937-Calc!F31))+((C1924=TRUE)*(F1924-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15="CRUEL_STAB",Inputs!$B$17+((C1934=TRUE)*(F1934-Calc!F28))+((IF(AND(Inputs!$B$39&lt;&gt;"pvp",Inputs!$B$44=0),1,IF(IF(Inputs!$B$39="pvp",15,Inputs!$B$44)-(B1951)&lt;=0,1,MAX(0,IF(Inputs!$B$39="pvp",15,Inputs!$B$44)-MAX(5,B1951))/(IF(Inputs!$B$39="pvp",15,Inputs!$B$44)-(B1951))))*(IF(AND(ArtifactsInput!$M$42,((Inputs!$B$9+((C1932=TRUE)*(F1932-Calc!F26))+B1940+(ArtifactsInput!$M$24-ArtifactsInput!$M$24)*CHOOSE(ArtifactsInput!$N$24+1,10,12,14,16,18,20)+IF(ArtifactsInput!$M$10,CHOOSE(ArtifactsInput!$N$10+1,15,18,21,24,27,30)*(IF(Inputs!$B$39="pvp",MIN(15,15)/15,IF(AND(Inputs!$B$39&lt;&gt;"pvp",Inputs!$B$44&gt;0),MIN(15,Inputs!$B$44)/(Inputs!$B$44),0))),0)))&gt;=100),MIN(100,((Inputs!$B$9+((C1932=TRUE)*(F1932-Calc!F26))+B1940+(ArtifactsInput!$M$24-ArtifactsInput!$M$24)*CHOOSE(ArtifactsInput!$N$24+1,10,12,14,16,18,20)+IF(ArtifactsInput!$M$10,CHOOSE(ArtifactsInput!$N$10+1,15,18,21,24,27,30)*(IF(Inputs!$B$39="pvp",MIN(15,15)/15,IF(AND(Inputs!$B$39&lt;&gt;"pvp",Inputs!$B$44&gt;0),MIN(15,Inputs!$B$44)/(Inputs!$B$44),0))),0)))-100),0))*CHOOSE(ArtifactsInput!$N$42+1,0.6,0.72,0.84,0.96,1.08,1.2))),Inputs!$B$18+((C1935=TRUE)*(F1935-Calc!F29))+(IF(AND(Inputs!$B$39&lt;&gt;"pvp",Inputs!$B$44=0),1,IF(IF(Inputs!$B$39="pvp",15,Inputs!$B$44)-(B1951)&lt;=0,1,MAX(0,IF(Inputs!$B$39="pvp",15,Inputs!$B$44)-MAX(5,B1951))/(IF(Inputs!$B$39="pvp",15,Inputs!$B$44)-(B1951))))*IF(AND(ArtifactsInput!$M$42,((Inputs!$B$9+((C1932=TRUE)*(F1932-Calc!F26))+B1940+(ArtifactsInput!$M$24-ArtifactsInput!$M$24)*CHOOSE(ArtifactsInput!$N$24+1,10,12,14,16,18,20)+IF(ArtifactsInput!$M$10,CHOOSE(ArtifactsInput!$N$10+1,15,18,21,24,27,30)*(IF(Inputs!$B$39="pvp",MIN(15,15)/15,IF(AND(Inputs!$B$39&lt;&gt;"pvp",Inputs!$B$44&gt;0),MIN(15,Inputs!$B$44)/(Inputs!$B$44),0))),0)))&gt;=100),CHOOSE(ArtifactsInput!$N$42+1,40,48,56,64,72,80),0))))/100)*(((1+(((C1928=TRUE)*F1928*IF(AND(Inputs!$B$39&lt;&gt;"pvp",Inputs!$B$44&gt;0),(((R1928-1)*MIN((Skills!Y22*(1+Inputs!$B$34/100)),(1/Q1928))+MIN((Skills!Y22*(1+Inputs!$B$34/100)),MAX(0,Inputs!$B$44-((R1928-1)*(1/Q1928)))))/Inputs!$B$44),IF(Inputs!$B$39="pvp",MIN((Skills!Y22*(1+Inputs!$B$34/100)),15)/15,MIN(1,(Skills!Y22*(1+Inputs!$B$34/100))/(1/Q1928)))))+((C1909=TRUE)*F1909*3)+((C1911=TRUE)*F1911*(1-EXP(-0.75*B1944*5)))+((C1930=TRUE)*(F1930-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1917=TRUE)*F1917*IF(AND(Inputs!$B$39&lt;&gt;"pvp",Inputs!$B$44&gt;0),(((R1917-1)*MIN((Skills!Y11*(1+Inputs!$B$34/100)),(1/Q1917))+MIN((Skills!Y11*(1+Inputs!$B$34/100)),MAX(0,Inputs!$B$44-((R1917-1)*(1/Q1917)))))/Inputs!$B$44),IF(Inputs!$B$39="pvp",MIN((Skills!Y11*(1+Inputs!$B$34/100)),15)/15,MIN(1,(Skills!Y11*(1+Inputs!$B$34/100))/(1/Q1917)))))/100)*(1+((C1922=TRUE)*F1922*IF(AND(Inputs!$B$39&lt;&gt;"pvp",Inputs!$B$44&gt;0),(((R1922-1)*MIN((Skills!Y16*(1+Inputs!$B$34/100)),(1/Q1922))+MIN((Skills!Y16*(1+Inputs!$B$34/100)),MAX(0,Inputs!$B$44-((R1922-1)*(1/Q1922)))))/Inputs!$B$44),IF(Inputs!$B$39="pvp",MIN((Skills!Y16*(1+Inputs!$B$34/100)),15)/15,MIN(1,(Skills!Y16*(1+Inputs!$B$34/100))/(1/Q1922)))))/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1942*I1921)</f>
        <v/>
      </c>
      <c r="L1921">
        <f>K1921*(MIN(Inputs!$B$22+((C1931=TRUE)*(F1931-Calc!F25)),(Inputs!$B$23+((C1936=TRUE)*(F1936-Calc!F30))+(IF(IF(ArtifactsInput!$M$15,FALSE,TRUE),1,-1)*CHOOSE(ArtifactsInput!$N$15+1,25,30,35,40,45,50)/100*IF(IF(ArtifactsInput!$M$15,FALSE,TRUE),(Inputs!$B$11+((C1929=TRUE)*(F1929-Calc!F23))+(IF(ArtifactsInput!$M$15,FALSE,TRUE)-ArtifactsInput!$M$15)*CHOOSE(ArtifactsInput!$N$15+1,8,9.6,11.2,12.8,14.4,16)),Inputs!$B$11))))/100+(Inputs!$B$23+((C1936=TRUE)*(F1936-Calc!F30))+(IF(IF(ArtifactsInput!$M$15,FALSE,TRUE),1,-1)*CHOOSE(ArtifactsInput!$N$15+1,25,30,35,40,45,50)/100*IF(IF(ArtifactsInput!$M$15,FALSE,TRUE),(Inputs!$B$11+((C1929=TRUE)*(F1929-Calc!F23))+(IF(ArtifactsInput!$M$15,FALSE,TRUE)-ArtifactsInput!$M$15)*CHOOSE(ArtifactsInput!$N$15+1,8,9.6,11.2,12.8,14.4,16)),Inputs!$B$11)))/100)/2</f>
        <v/>
      </c>
      <c r="M1921">
        <f>L1921*(1+(Inputs!$B$10+((C1933=TRUE)*(F1933-Calc!F27))+B1947+(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1921">
        <f>L1921*(1-MIN((Inputs!$B$9+((C1932=TRUE)*(F1932-Calc!F26))+B1940+(ArtifactsInput!$M$24-ArtifactsInput!$M$24)*CHOOSE(ArtifactsInput!$N$24+1,10,12,14,16,18,20)+(IF(AND(Inputs!$B$39&lt;&gt;"pvp",Inputs!$B$44=0),1,IF(IF(Inputs!$B$39="pvp",15,Inputs!$B$44)-(B1951)&lt;=0,1,MAX(0,IF(Inputs!$B$39="pvp",15,Inputs!$B$44)-MAX(5,B1951))/(IF(Inputs!$B$39="pvp",15,Inputs!$B$44)-(B1951))))*IF(AND(ArtifactsInput!$M$42,((Inputs!$B$9+((C1932=TRUE)*(F1932-Calc!F26))+B1940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1921*(MIN((Inputs!$B$9+((C1932=TRUE)*(F1932-Calc!F26))+B1940+(ArtifactsInput!$M$24-ArtifactsInput!$M$24)*CHOOSE(ArtifactsInput!$N$24+1,10,12,14,16,18,20)+(IF(AND(Inputs!$B$39&lt;&gt;"pvp",Inputs!$B$44=0),1,IF(IF(Inputs!$B$39="pvp",15,Inputs!$B$44)-(B1951)&lt;=0,1,MAX(0,IF(Inputs!$B$39="pvp",15,Inputs!$B$44)-MAX(5,B1951))/(IF(Inputs!$B$39="pvp",15,Inputs!$B$44)-(B1951))))*IF(AND(ArtifactsInput!$M$42,((Inputs!$B$9+((C1932=TRUE)*(F1932-Calc!F26))+B1940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921">
        <f>(1-Summary!$B$11)*T1921+Summary!$B$11*V1921</f>
        <v/>
      </c>
      <c r="P1921">
        <f>IF(B1952=0,0,O1921/B1952)</f>
        <v/>
      </c>
      <c r="Q1921">
        <f>IFERROR(1/IF(Inputs!$B$39="pvp",15,MAX(0.1,Skills!D15-IF(TRUE=TRUE,Inputs!$B$32,0))),0)</f>
        <v/>
      </c>
      <c r="R1921">
        <f>IF(AND(Inputs!$B$39&lt;&gt;"pvp",Inputs!$B$44&gt;0),IF(MAX(0,Inputs!$B$44-B1951)&lt;=0,0,(INT(MAX(0,Inputs!$B$44-B1951)/IF(Inputs!$B$39="pvp",15,MAX(0.1,Skills!D15-IF(TRUE=TRUE,Inputs!$B$32,0))))+1)),0)</f>
        <v/>
      </c>
      <c r="S1921">
        <f>IFERROR(O1921/N1921,0)</f>
        <v/>
      </c>
      <c r="T1921">
        <f>IF(C1921,(H1921*N1921*IF(AND(Inputs!$B$39&lt;&gt;"pvp",Inputs!$B$44&gt;0),((Skills!G15*((R1921-1)*IF(Skills!H15&gt;0,Skills!I15/Skills!H15,1)+IF(Skills!H15&gt;0,MIN(Skills!I15,MAX(0,MAX(0,Inputs!$B$44-B1951)-((R1921-1)*IF(Inputs!$B$39="pvp",15,MAX(0.1,Skills!D15-IF(TRUE=TRUE,Inputs!$B$32,0))))))/Skills!H15,1)))/Inputs!$B$44),G1921*Q1921))*IF(Inputs!$B$39="pvp",1,1+(Inputs!$B$20+0+Skills!P15+B1941+(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Hunt"),CHOOSE(ArtifactsInput!$N$35+1,15,18,21,24,27,30)*(1-EXP(-(0.2*B1944)*5)),0)+IF(AND(ArtifactsInput!$M$22,Inputs!$B$4&lt;&gt;"Chapter Hunt"),CHOOSE(ArtifactsInput!$N$22+1,10,12,14,16,18,20)*((0*(((0.15*B1944*5))^0/1)+1*(((0.15*B1944*5))^1/1)+2*(((0.15*B1944*5))^2/2)+3*(((0.15*B1944*5))^3/6)+4*(((0.15*B1944*5))^4/24)+5*(((0.15*B1944*5))^5/120))/((((0.15*B1944*5))^0/1)+(((0.15*B1944*5))^1/1)+(((0.15*B1944*5))^2/2)+(((0.15*B1944*5))^3/6)+(((0.15*B1944*5))^4/24)+(((0.15*B1944*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1921*(1-MIN(100,(Inputs!$B$9+((C1932=TRUE)*(F1932-Calc!F26))+B1940+(ArtifactsInput!$M$24-ArtifactsInput!$M$24)*CHOOSE(ArtifactsInput!$N$24+1,10,12,14,16,18,20)+(IF(AND(Inputs!$B$39&lt;&gt;"pvp",Inputs!$B$44=0),1,IF(IF(Inputs!$B$39="pvp",15,Inputs!$B$44)-(B1951)&lt;=0,1,MAX(0,IF(Inputs!$B$39="pvp",15,Inputs!$B$44)-MAX(5,B1951))/(IF(Inputs!$B$39="pvp",15,Inputs!$B$44)-(B1951))))*IF(AND(ArtifactsInput!$M$42,((Inputs!$B$9+((C1932=TRUE)*(F1932-Calc!F26))+B1940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1921*(MIN(100,(Inputs!$B$9+((C1932=TRUE)*(F1932-Calc!F26))+B1940+(ArtifactsInput!$M$24-ArtifactsInput!$M$24)*CHOOSE(ArtifactsInput!$N$24+1,10,12,14,16,18,20)+(IF(AND(Inputs!$B$39&lt;&gt;"pvp",Inputs!$B$44=0),1,IF(IF(Inputs!$B$39="pvp",15,Inputs!$B$44)-(B1951)&lt;=0,1,MAX(0,IF(Inputs!$B$39="pvp",15,Inputs!$B$44)-MAX(5,B1951))/(IF(Inputs!$B$39="pvp",15,Inputs!$B$44)-(B1951))))*IF(AND(ArtifactsInput!$M$42,((Inputs!$B$9+((C1932=TRUE)*(F1932-Calc!F26))+B1940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1921*(1-MIN(100,(Inputs!$B$9+((C1932=TRUE)*(F1932-Calc!F26))+B1940+(ArtifactsInput!$M$24-ArtifactsInput!$M$24)*CHOOSE(ArtifactsInput!$N$24+1,10,12,14,16,18,20)+(IF(AND(Inputs!$B$39&lt;&gt;"pvp",Inputs!$B$44=0),1,IF(IF(Inputs!$B$39="pvp",15,Inputs!$B$44)-(B1951)&lt;=0,1,MAX(0,IF(Inputs!$B$39="pvp",15,Inputs!$B$44)-MAX(5,B1951))/(IF(Inputs!$B$39="pvp",15,Inputs!$B$44)-(B1951))))*IF(AND(ArtifactsInput!$M$42,((Inputs!$B$9+((C1932=TRUE)*(F1932-Calc!F26))+B1940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1921*(MIN(100,(Inputs!$B$9+((C1932=TRUE)*(F1932-Calc!F26))+B1940+(ArtifactsInput!$M$24-ArtifactsInput!$M$24)*CHOOSE(ArtifactsInput!$N$24+1,10,12,14,16,18,20)+(IF(AND(Inputs!$B$39&lt;&gt;"pvp",Inputs!$B$44=0),1,IF(IF(Inputs!$B$39="pvp",15,Inputs!$B$44)-(B1951)&lt;=0,1,MAX(0,IF(Inputs!$B$39="pvp",15,Inputs!$B$44)-MAX(5,B1951))/(IF(Inputs!$B$39="pvp",15,Inputs!$B$44)-(B1951))))*IF(AND(ArtifactsInput!$M$42,((Inputs!$B$9+((C1932=TRUE)*(F1932-Calc!F26))+B1940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1921">
        <f>IF(C1921,(H1921*N1921*IF(AND(Inputs!$B$39&lt;&gt;"pvp",Inputs!$B$44&gt;0),((Skills!G15*((R1921-1)*IF(Skills!H15&gt;0,Skills!I15/Skills!H15,1)+IF(Skills!H15&gt;0,MIN(Skills!I15,MAX(0,MAX(0,Inputs!$B$44-B1951)-((R1921-1)*IF(Inputs!$B$39="pvp",15,MAX(0.1,Skills!D15-IF(TRUE=TRUE,Inputs!$B$32,0))))))/Skills!H15,1)))/Inputs!$B$44),G1921*Q1921))*IF(Inputs!$B$39="pvp",1,(1+(Inputs!$B$21+Skills!Q15+B1941+(IF(ArtifactsInput!$M$33,CHOOSE(ArtifactsInput!$N$33+1,30,36,42,48,54,60),0))+(IF(AND(ArtifactsInput!$M$35,Inputs!$B$4&lt;&gt;"Chapter Hunt"),CHOOSE(ArtifactsInput!$N$35+1,15,18,21,24,27,30)*(1-EXP(-(0.2*B1944)*5)),0)+IF(AND(ArtifactsInput!$M$22,Inputs!$B$4&lt;&gt;"Chapter Hunt"),CHOOSE(ArtifactsInput!$N$22+1,10,12,14,16,18,20)*((0*(((0.15*B1944*5))^0/1)+1*(((0.15*B1944*5))^1/1)+2*(((0.15*B1944*5))^2/2)+3*(((0.15*B1944*5))^3/6)+4*(((0.15*B1944*5))^4/24)+5*(((0.15*B1944*5))^5/120))/((((0.15*B1944*5))^0/1)+(((0.15*B1944*5))^1/1)+(((0.15*B1944*5))^2/2)+(((0.15*B1944*5))^3/6)+(((0.15*B1944*5))^4/24)+(((0.15*B1944*5))^5/120))),0)))/100)*(MIN(MIN(5,0.5*IF(Inputs!$B$3&gt;=75,0.75,0.5)*B1944*(1/Q1910))*Skills!V15,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922">
      <c r="A1922">
        <f>Skills!A16</f>
        <v/>
      </c>
      <c r="B1922">
        <f>Skills!B16</f>
        <v/>
      </c>
      <c r="C1922">
        <f>Inputs!$B$3&gt;=110</f>
        <v/>
      </c>
      <c r="D1922">
        <f>IF(Skills!C16=1,60+Inputs!$B$25+Inputs!$B$29,IF(Skills!C16=2,90+Inputs!$B$26+Inputs!$B$29,IF(Skills!C16=3,120+Inputs!$B$27+Inputs!$B$29,MAX(0,(Inputs!$B$3-100)*3)+Inputs!$B$28+Inputs!$B$29)))</f>
        <v/>
      </c>
      <c r="E1922">
        <f>INDEX(FactorTable!$B$2:$Y$301, MATCH(ROUND(MIN(300,MAX(1,D1922)),0), FactorTable!$A$2:$A$301,0), Skills!M16+1)</f>
        <v/>
      </c>
      <c r="F1922">
        <f>IF(Skills!N16=TRUE,(Skills!L16/10)*(E1922/1000),Skills!L16/10)+Skills!O16</f>
        <v/>
      </c>
      <c r="G1922">
        <f>Skills!G16*IF(Skills!H16&gt;0,IF(Inputs!$B$39="pvp",MIN(Skills!I16,15),Skills!I16)/Skills!H16,1)</f>
        <v/>
      </c>
      <c r="H1922">
        <f>1-(1-Skills!J16/100)^Skills!K16</f>
        <v/>
      </c>
      <c r="I1922" t="inlineStr">
        <is>
          <t>1</t>
        </is>
      </c>
      <c r="J1922" t="inlineStr"/>
      <c r="K1922" t="inlineStr"/>
      <c r="L1922" t="inlineStr"/>
      <c r="M1922" t="inlineStr"/>
      <c r="N1922" t="inlineStr"/>
      <c r="O1922">
        <f>(1-Summary!$B$11)*T1922+Summary!$B$11*V1922</f>
        <v/>
      </c>
      <c r="P1922">
        <f>IF(B1952=0,0,O1922/B1952)</f>
        <v/>
      </c>
      <c r="Q1922">
        <f>IFERROR(1/IF(Inputs!$B$39="pvp",15,MAX(0.1,Skills!D16-IF(TRUE=TRUE,Inputs!$B$32,0))),0)</f>
        <v/>
      </c>
      <c r="R1922">
        <f>IF(AND(Inputs!$B$39&lt;&gt;"pvp",Inputs!$B$44&gt;0),IF(Inputs!$B$44&lt;=0,0,(INT(Inputs!$B$44/IF(Inputs!$B$39="pvp",15,MAX(0.1,Skills!D16-IF(TRUE=TRUE,Inputs!$B$32,0))))+1)),0)</f>
        <v/>
      </c>
      <c r="S1922">
        <f>IFERROR(O1922/N1922,0)</f>
        <v/>
      </c>
      <c r="T1922" t="n">
        <v>0</v>
      </c>
      <c r="V1922" t="n">
        <v>0</v>
      </c>
    </row>
    <row r="1923">
      <c r="A1923">
        <f>Skills!A17</f>
        <v/>
      </c>
      <c r="B1923">
        <f>Skills!B17</f>
        <v/>
      </c>
      <c r="C1923">
        <f>Inputs!$B$3&gt;=115</f>
        <v/>
      </c>
      <c r="D1923">
        <f>IF(Skills!C17=1,60+Inputs!$B$25+Inputs!$B$29,IF(Skills!C17=2,90+Inputs!$B$26+Inputs!$B$29,IF(Skills!C17=3,120+Inputs!$B$27+Inputs!$B$29,MAX(0,(Inputs!$B$3-100)*3)+Inputs!$B$28+Inputs!$B$29)))</f>
        <v/>
      </c>
      <c r="E1923">
        <f>INDEX(FactorTable!$B$2:$Y$301, MATCH(ROUND(MIN(300,MAX(1,D1923)),0), FactorTable!$A$2:$A$301,0), Skills!M17+1)</f>
        <v/>
      </c>
      <c r="F1923">
        <f>IF(Skills!N17=TRUE,(Skills!L17/10)*(E1923/1000),Skills!L17/10)+Skills!O17</f>
        <v/>
      </c>
      <c r="G1923">
        <f>Skills!G17*IF(Skills!H17&gt;0,IF(Inputs!$B$39="pvp",MIN(Skills!I17,15),Skills!I17)/Skills!H17,1)</f>
        <v/>
      </c>
      <c r="H1923">
        <f>1-(1-Skills!J17/100)^Skills!K17</f>
        <v/>
      </c>
      <c r="I1923" t="inlineStr">
        <is>
          <t>1</t>
        </is>
      </c>
      <c r="J1923">
        <f>((Inputs!$B$6*(1+Inputs!$B$7/100))+(((Inputs!$B$12*(1+Inputs!$B$13/100))-(Inputs!$B$12*(1+Inputs!$B$13/100)))+0.25*(Inputs!$B$14-Inputs!$B$14))*(1+Inputs!$B$7/100))*(F1923/100)</f>
        <v/>
      </c>
      <c r="K1923">
        <f>J1923*(1+((Inputs!$B$12*(1+Inputs!$B$13/100))*0.01+Inputs!$B$14*0.0025)/100)*(1+Inputs!$B$15/100)*(1+Inputs!$B$16/100)*(5000/(6000+Inputs!$B$43*(1-(100*(1-(1-Inputs!$B$19/100)*(1-CHOOSE(ArtifactsInput!$N$40+1,5,6,7,8,9,10)/100)^(ArtifactsInput!$M$40-ArtifactsInput!$M$40)))/100)))*(1+(Inputs!$B$24+((C1937=TRUE)*(F1937-Calc!F31))+((C1924=TRUE)*(F1924-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17="CRUEL_STAB",Inputs!$B$17+((C1934=TRUE)*(F1934-Calc!F28))+((IF(AND(Inputs!$B$39&lt;&gt;"pvp",Inputs!$B$44=0),1,IF(IF(Inputs!$B$39="pvp",15,Inputs!$B$44)-(B1951)&lt;=0,1,MAX(0,IF(Inputs!$B$39="pvp",15,Inputs!$B$44)-MAX(5,B1951))/(IF(Inputs!$B$39="pvp",15,Inputs!$B$44)-(B1951))))*(IF(AND(ArtifactsInput!$M$42,((Inputs!$B$9+((C1932=TRUE)*(F1932-Calc!F26))+B1940+(ArtifactsInput!$M$24-ArtifactsInput!$M$24)*CHOOSE(ArtifactsInput!$N$24+1,10,12,14,16,18,20)+IF(ArtifactsInput!$M$10,CHOOSE(ArtifactsInput!$N$10+1,15,18,21,24,27,30)*(IF(Inputs!$B$39="pvp",MIN(15,15)/15,IF(AND(Inputs!$B$39&lt;&gt;"pvp",Inputs!$B$44&gt;0),MIN(15,Inputs!$B$44)/(Inputs!$B$44),0))),0)))&gt;=100),MIN(100,((Inputs!$B$9+((C1932=TRUE)*(F1932-Calc!F26))+B1940+(ArtifactsInput!$M$24-ArtifactsInput!$M$24)*CHOOSE(ArtifactsInput!$N$24+1,10,12,14,16,18,20)+IF(ArtifactsInput!$M$10,CHOOSE(ArtifactsInput!$N$10+1,15,18,21,24,27,30)*(IF(Inputs!$B$39="pvp",MIN(15,15)/15,IF(AND(Inputs!$B$39&lt;&gt;"pvp",Inputs!$B$44&gt;0),MIN(15,Inputs!$B$44)/(Inputs!$B$44),0))),0)))-100),0))*CHOOSE(ArtifactsInput!$N$42+1,0.6,0.72,0.84,0.96,1.08,1.2))),Inputs!$B$18+((C1935=TRUE)*(F1935-Calc!F29))+(IF(AND(Inputs!$B$39&lt;&gt;"pvp",Inputs!$B$44=0),1,IF(IF(Inputs!$B$39="pvp",15,Inputs!$B$44)-(B1951)&lt;=0,1,MAX(0,IF(Inputs!$B$39="pvp",15,Inputs!$B$44)-MAX(5,B1951))/(IF(Inputs!$B$39="pvp",15,Inputs!$B$44)-(B1951))))*IF(AND(ArtifactsInput!$M$42,((Inputs!$B$9+((C1932=TRUE)*(F1932-Calc!F26))+B1940+(ArtifactsInput!$M$24-ArtifactsInput!$M$24)*CHOOSE(ArtifactsInput!$N$24+1,10,12,14,16,18,20)+IF(ArtifactsInput!$M$10,CHOOSE(ArtifactsInput!$N$10+1,15,18,21,24,27,30)*(IF(Inputs!$B$39="pvp",MIN(15,15)/15,IF(AND(Inputs!$B$39&lt;&gt;"pvp",Inputs!$B$44&gt;0),MIN(15,Inputs!$B$44)/(Inputs!$B$44),0))),0)))&gt;=100),CHOOSE(ArtifactsInput!$N$42+1,40,48,56,64,72,80),0))))/100)*(((1+(((C1928=TRUE)*F1928*IF(AND(Inputs!$B$39&lt;&gt;"pvp",Inputs!$B$44&gt;0),(((R1928-1)*MIN((Skills!Y22*(1+Inputs!$B$34/100)),(1/Q1928))+MIN((Skills!Y22*(1+Inputs!$B$34/100)),MAX(0,Inputs!$B$44-((R1928-1)*(1/Q1928)))))/Inputs!$B$44),IF(Inputs!$B$39="pvp",MIN((Skills!Y22*(1+Inputs!$B$34/100)),15)/15,MIN(1,(Skills!Y22*(1+Inputs!$B$34/100))/(1/Q1928)))))+((C1909=TRUE)*F1909*3)+((C1911=TRUE)*F1911*(1-EXP(-0.75*B1944*5)))+((C1930=TRUE)*(F1930-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1917=TRUE)*F1917*IF(AND(Inputs!$B$39&lt;&gt;"pvp",Inputs!$B$44&gt;0),(((R1917-1)*MIN((Skills!Y11*(1+Inputs!$B$34/100)),(1/Q1917))+MIN((Skills!Y11*(1+Inputs!$B$34/100)),MAX(0,Inputs!$B$44-((R1917-1)*(1/Q1917)))))/Inputs!$B$44),IF(Inputs!$B$39="pvp",MIN((Skills!Y11*(1+Inputs!$B$34/100)),15)/15,MIN(1,(Skills!Y11*(1+Inputs!$B$34/100))/(1/Q1917)))))/100)*(1+((C1922=TRUE)*F1922*IF(AND(Inputs!$B$39&lt;&gt;"pvp",Inputs!$B$44&gt;0),(((R1922-1)*MIN((Skills!Y16*(1+Inputs!$B$34/100)),(1/Q1922))+MIN((Skills!Y16*(1+Inputs!$B$34/100)),MAX(0,Inputs!$B$44-((R1922-1)*(1/Q1922)))))/Inputs!$B$44),IF(Inputs!$B$39="pvp",MIN((Skills!Y16*(1+Inputs!$B$34/100)),15)/15,MIN(1,(Skills!Y16*(1+Inputs!$B$34/100))/(1/Q1922)))))/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1942*I1923)</f>
        <v/>
      </c>
      <c r="L1923">
        <f>K1923*(MIN(Inputs!$B$22+((C1931=TRUE)*(F1931-Calc!F25)),(Inputs!$B$23+((C1936=TRUE)*(F1936-Calc!F30))+(IF(IF(ArtifactsInput!$M$15,FALSE,TRUE),1,-1)*CHOOSE(ArtifactsInput!$N$15+1,25,30,35,40,45,50)/100*IF(IF(ArtifactsInput!$M$15,FALSE,TRUE),(Inputs!$B$11+((C1929=TRUE)*(F1929-Calc!F23))+(IF(ArtifactsInput!$M$15,FALSE,TRUE)-ArtifactsInput!$M$15)*CHOOSE(ArtifactsInput!$N$15+1,8,9.6,11.2,12.8,14.4,16)),Inputs!$B$11))))/100+(Inputs!$B$23+((C1936=TRUE)*(F1936-Calc!F30))+(IF(IF(ArtifactsInput!$M$15,FALSE,TRUE),1,-1)*CHOOSE(ArtifactsInput!$N$15+1,25,30,35,40,45,50)/100*IF(IF(ArtifactsInput!$M$15,FALSE,TRUE),(Inputs!$B$11+((C1929=TRUE)*(F1929-Calc!F23))+(IF(ArtifactsInput!$M$15,FALSE,TRUE)-ArtifactsInput!$M$15)*CHOOSE(ArtifactsInput!$N$15+1,8,9.6,11.2,12.8,14.4,16)),Inputs!$B$11)))/100)/2</f>
        <v/>
      </c>
      <c r="M1923">
        <f>L1923*(1+(Inputs!$B$10+((C1933=TRUE)*(F1933-Calc!F27))+B1947+(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1923">
        <f>L1923*(1-MIN((Inputs!$B$9+((C1932=TRUE)*(F1932-Calc!F26))+B1940+(ArtifactsInput!$M$24-ArtifactsInput!$M$24)*CHOOSE(ArtifactsInput!$N$24+1,10,12,14,16,18,20)+(IF(AND(Inputs!$B$39&lt;&gt;"pvp",Inputs!$B$44=0),1,IF(IF(Inputs!$B$39="pvp",15,Inputs!$B$44)-(B1951)&lt;=0,1,MAX(0,IF(Inputs!$B$39="pvp",15,Inputs!$B$44)-MAX(5,B1951))/(IF(Inputs!$B$39="pvp",15,Inputs!$B$44)-(B1951))))*IF(AND(ArtifactsInput!$M$42,((Inputs!$B$9+((C1932=TRUE)*(F1932-Calc!F26))+B1940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1923*(MIN((Inputs!$B$9+((C1932=TRUE)*(F1932-Calc!F26))+B1940+(ArtifactsInput!$M$24-ArtifactsInput!$M$24)*CHOOSE(ArtifactsInput!$N$24+1,10,12,14,16,18,20)+(IF(AND(Inputs!$B$39&lt;&gt;"pvp",Inputs!$B$44=0),1,IF(IF(Inputs!$B$39="pvp",15,Inputs!$B$44)-(B1951)&lt;=0,1,MAX(0,IF(Inputs!$B$39="pvp",15,Inputs!$B$44)-MAX(5,B1951))/(IF(Inputs!$B$39="pvp",15,Inputs!$B$44)-(B1951))))*IF(AND(ArtifactsInput!$M$42,((Inputs!$B$9+((C1932=TRUE)*(F1932-Calc!F26))+B1940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923">
        <f>(1-Summary!$B$11)*T1923+Summary!$B$11*V1923</f>
        <v/>
      </c>
      <c r="P1923">
        <f>IF(B1952=0,0,O1923/B1952)</f>
        <v/>
      </c>
      <c r="Q1923" t="n">
        <v>0</v>
      </c>
      <c r="R1923" t="n">
        <v>0</v>
      </c>
      <c r="S1923">
        <f>IFERROR(O1923/N1923,0)</f>
        <v/>
      </c>
      <c r="T1923">
        <f>IF(C1923,(Inputs!$B$38*0.2*N1923)*IF(Inputs!$B$39="pvp",1,1+(Inputs!$B$20+0+Skills!P17+B1941+(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Hunt"),CHOOSE(ArtifactsInput!$N$35+1,15,18,21,24,27,30)*(1-EXP(-(0.2*B1944)*5)),0)+IF(AND(ArtifactsInput!$M$22,Inputs!$B$4&lt;&gt;"Chapter Hunt"),CHOOSE(ArtifactsInput!$N$22+1,10,12,14,16,18,20)*((0*(((0.15*B1944*5))^0/1)+1*(((0.15*B1944*5))^1/1)+2*(((0.15*B1944*5))^2/2)+3*(((0.15*B1944*5))^3/6)+4*(((0.15*B1944*5))^4/24)+5*(((0.15*B1944*5))^5/120))/((((0.15*B1944*5))^0/1)+(((0.15*B1944*5))^1/1)+(((0.15*B1944*5))^2/2)+(((0.15*B1944*5))^3/6)+(((0.15*B1944*5))^4/24)+(((0.15*B1944*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1923*(1-MIN(100,(Inputs!$B$9+((C1932=TRUE)*(F1932-Calc!F26))+B1940+(ArtifactsInput!$M$24-ArtifactsInput!$M$24)*CHOOSE(ArtifactsInput!$N$24+1,10,12,14,16,18,20)+(IF(AND(Inputs!$B$39&lt;&gt;"pvp",Inputs!$B$44=0),1,IF(IF(Inputs!$B$39="pvp",15,Inputs!$B$44)-(B1951)&lt;=0,1,MAX(0,IF(Inputs!$B$39="pvp",15,Inputs!$B$44)-MAX(5,B1951))/(IF(Inputs!$B$39="pvp",15,Inputs!$B$44)-(B1951))))*IF(AND(ArtifactsInput!$M$42,((Inputs!$B$9+((C1932=TRUE)*(F1932-Calc!F26))+B1940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1923*(MIN(100,(Inputs!$B$9+((C1932=TRUE)*(F1932-Calc!F26))+B1940+(ArtifactsInput!$M$24-ArtifactsInput!$M$24)*CHOOSE(ArtifactsInput!$N$24+1,10,12,14,16,18,20)+(IF(AND(Inputs!$B$39&lt;&gt;"pvp",Inputs!$B$44=0),1,IF(IF(Inputs!$B$39="pvp",15,Inputs!$B$44)-(B1951)&lt;=0,1,MAX(0,IF(Inputs!$B$39="pvp",15,Inputs!$B$44)-MAX(5,B1951))/(IF(Inputs!$B$39="pvp",15,Inputs!$B$44)-(B1951))))*IF(AND(ArtifactsInput!$M$42,((Inputs!$B$9+((C1932=TRUE)*(F1932-Calc!F26))+B1940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1923*(1-MIN(100,(Inputs!$B$9+((C1932=TRUE)*(F1932-Calc!F26))+B1940+(ArtifactsInput!$M$24-ArtifactsInput!$M$24)*CHOOSE(ArtifactsInput!$N$24+1,10,12,14,16,18,20)+(IF(AND(Inputs!$B$39&lt;&gt;"pvp",Inputs!$B$44=0),1,IF(IF(Inputs!$B$39="pvp",15,Inputs!$B$44)-(B1951)&lt;=0,1,MAX(0,IF(Inputs!$B$39="pvp",15,Inputs!$B$44)-MAX(5,B1951))/(IF(Inputs!$B$39="pvp",15,Inputs!$B$44)-(B1951))))*IF(AND(ArtifactsInput!$M$42,((Inputs!$B$9+((C1932=TRUE)*(F1932-Calc!F26))+B1940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1923*(MIN(100,(Inputs!$B$9+((C1932=TRUE)*(F1932-Calc!F26))+B1940+(ArtifactsInput!$M$24-ArtifactsInput!$M$24)*CHOOSE(ArtifactsInput!$N$24+1,10,12,14,16,18,20)+(IF(AND(Inputs!$B$39&lt;&gt;"pvp",Inputs!$B$44=0),1,IF(IF(Inputs!$B$39="pvp",15,Inputs!$B$44)-(B1951)&lt;=0,1,MAX(0,IF(Inputs!$B$39="pvp",15,Inputs!$B$44)-MAX(5,B1951))/(IF(Inputs!$B$39="pvp",15,Inputs!$B$44)-(B1951))))*IF(AND(ArtifactsInput!$M$42,((Inputs!$B$9+((C1932=TRUE)*(F1932-Calc!F26))+B1940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1923">
        <f>IF(C1923,(Inputs!$B$38*0.2*N1923)*IF(Inputs!$B$39="pvp",1,(1+(Inputs!$B$21+Skills!Q17+B1941+(IF(ArtifactsInput!$M$33,CHOOSE(ArtifactsInput!$N$33+1,30,36,42,48,54,60),0))+(IF(AND(ArtifactsInput!$M$35,Inputs!$B$4&lt;&gt;"Chapter Hunt"),CHOOSE(ArtifactsInput!$N$35+1,15,18,21,24,27,30)*(1-EXP(-(0.2*B1944)*5)),0)+IF(AND(ArtifactsInput!$M$22,Inputs!$B$4&lt;&gt;"Chapter Hunt"),CHOOSE(ArtifactsInput!$N$22+1,10,12,14,16,18,20)*((0*(((0.15*B1944*5))^0/1)+1*(((0.15*B1944*5))^1/1)+2*(((0.15*B1944*5))^2/2)+3*(((0.15*B1944*5))^3/6)+4*(((0.15*B1944*5))^4/24)+5*(((0.15*B1944*5))^5/120))/((((0.15*B1944*5))^0/1)+(((0.15*B1944*5))^1/1)+(((0.15*B1944*5))^2/2)+(((0.15*B1944*5))^3/6)+(((0.15*B1944*5))^4/24)+(((0.15*B1944*5))^5/120))),0)))/100)*(MIN(Skills!W17,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924">
      <c r="A1924">
        <f>Skills!A18</f>
        <v/>
      </c>
      <c r="B1924">
        <f>Skills!B18</f>
        <v/>
      </c>
      <c r="C1924">
        <f>Inputs!$B$3&gt;=115</f>
        <v/>
      </c>
      <c r="D1924">
        <f>IF(Skills!C18=1,60+Inputs!$B$25+Inputs!$B$29,IF(Skills!C18=2,90+Inputs!$B$26+Inputs!$B$29,IF(Skills!C18=3,120+Inputs!$B$27+Inputs!$B$29,MAX(0,(Inputs!$B$3-100)*3)+Inputs!$B$28+Inputs!$B$29)))</f>
        <v/>
      </c>
      <c r="E1924">
        <f>INDEX(FactorTable!$B$2:$Y$301, MATCH(ROUND(MIN(300,MAX(1,D1924)),0), FactorTable!$A$2:$A$301,0), Skills!M18+1)</f>
        <v/>
      </c>
      <c r="F1924">
        <f>IF(Skills!N18=TRUE,(Skills!L18/10)*(E1924/1000),Skills!L18/10)+Skills!O18</f>
        <v/>
      </c>
      <c r="G1924">
        <f>Skills!G18*IF(Skills!H18&gt;0,IF(Inputs!$B$39="pvp",MIN(Skills!I18,15),Skills!I18)/Skills!H18,1)</f>
        <v/>
      </c>
      <c r="H1924">
        <f>1-(1-Skills!J18/100)^Skills!K18</f>
        <v/>
      </c>
      <c r="I1924" t="inlineStr">
        <is>
          <t>1</t>
        </is>
      </c>
      <c r="J1924" t="inlineStr"/>
      <c r="K1924" t="inlineStr"/>
      <c r="L1924" t="inlineStr"/>
      <c r="M1924" t="inlineStr"/>
      <c r="N1924" t="inlineStr"/>
      <c r="O1924">
        <f>(1-Summary!$B$11)*T1924+Summary!$B$11*V1924</f>
        <v/>
      </c>
      <c r="P1924">
        <f>IF(B1952=0,0,O1924/B1952)</f>
        <v/>
      </c>
      <c r="Q1924" t="n">
        <v>0</v>
      </c>
      <c r="R1924" t="n">
        <v>0</v>
      </c>
      <c r="S1924">
        <f>IFERROR(O1924/N1924,0)</f>
        <v/>
      </c>
      <c r="T1924" t="n">
        <v>0</v>
      </c>
      <c r="V1924" t="n">
        <v>0</v>
      </c>
    </row>
    <row r="1925">
      <c r="A1925">
        <f>Skills!A19</f>
        <v/>
      </c>
      <c r="B1925">
        <f>Skills!B19</f>
        <v/>
      </c>
      <c r="C1925">
        <f>Inputs!$B$3&gt;=100</f>
        <v/>
      </c>
      <c r="D1925">
        <f>IF(Skills!C19=1,60+Inputs!$B$25+Inputs!$B$29,IF(Skills!C19=2,90+Inputs!$B$26+Inputs!$B$29,IF(Skills!C19=3,120+Inputs!$B$27+Inputs!$B$29,MAX(0,(Inputs!$B$3-100)*3)+Inputs!$B$28+Inputs!$B$29)))</f>
        <v/>
      </c>
      <c r="E1925">
        <f>INDEX(FactorTable!$B$2:$Y$301, MATCH(ROUND(MIN(300,MAX(1,D1925)),0), FactorTable!$A$2:$A$301,0), Skills!M19+1)</f>
        <v/>
      </c>
      <c r="F1925">
        <f>IF(Skills!N19=TRUE,(Skills!L19/10)*(E1925/1000),Skills!L19/10)+Skills!O19</f>
        <v/>
      </c>
      <c r="G1925">
        <f>Skills!G19*IF(Skills!H19&gt;0,IF(Inputs!$B$39="pvp",MIN(Skills!I19,15),Skills!I19)/Skills!H19,1)</f>
        <v/>
      </c>
      <c r="H1925">
        <f>1-(1-Skills!J19/100)^Skills!K19</f>
        <v/>
      </c>
      <c r="I1925" t="inlineStr">
        <is>
          <t>1</t>
        </is>
      </c>
      <c r="J1925" t="inlineStr"/>
      <c r="K1925" t="inlineStr"/>
      <c r="L1925" t="inlineStr"/>
      <c r="M1925" t="inlineStr"/>
      <c r="N1925" t="inlineStr"/>
      <c r="O1925">
        <f>(1-Summary!$B$11)*T1925+Summary!$B$11*V1925</f>
        <v/>
      </c>
      <c r="P1925">
        <f>IF(B1952=0,0,O1925/B1952)</f>
        <v/>
      </c>
      <c r="Q1925" t="n">
        <v>0</v>
      </c>
      <c r="R1925" t="n">
        <v>0</v>
      </c>
      <c r="S1925">
        <f>IFERROR(O1925/N1925,0)</f>
        <v/>
      </c>
      <c r="T1925" t="n">
        <v>0</v>
      </c>
      <c r="V1925" t="n">
        <v>0</v>
      </c>
    </row>
    <row r="1926">
      <c r="A1926">
        <f>Skills!A20</f>
        <v/>
      </c>
      <c r="B1926">
        <f>Skills!B20</f>
        <v/>
      </c>
      <c r="C1926">
        <f>TRUE</f>
        <v/>
      </c>
      <c r="D1926">
        <f>IF(Skills!C20=1,60+Inputs!$B$25+Inputs!$B$29,IF(Skills!C20=2,90+Inputs!$B$26+Inputs!$B$29,IF(Skills!C20=3,120+Inputs!$B$27+Inputs!$B$29,MAX(0,(Inputs!$B$3-100)*3)+Inputs!$B$28+Inputs!$B$29)))</f>
        <v/>
      </c>
      <c r="E1926">
        <f>INDEX(FactorTable!$B$2:$Y$301, MATCH(ROUND(MIN(300,MAX(1,D1926)),0), FactorTable!$A$2:$A$301,0), Skills!M20+1)</f>
        <v/>
      </c>
      <c r="F1926">
        <f>IF(Skills!N20=TRUE,(Skills!L20/10)*(E1926/1000),Skills!L20/10)+Skills!O20</f>
        <v/>
      </c>
      <c r="G1926">
        <f>Skills!G20*IF(Skills!H20&gt;0,IF(Inputs!$B$39="pvp",MIN(Skills!I20,15),Skills!I20)/Skills!H20,1)</f>
        <v/>
      </c>
      <c r="H1926">
        <f>1-(1-Skills!J20/100)^Skills!K20</f>
        <v/>
      </c>
      <c r="I1926" t="inlineStr">
        <is>
          <t>1</t>
        </is>
      </c>
      <c r="J1926" t="inlineStr"/>
      <c r="K1926" t="inlineStr"/>
      <c r="L1926" t="inlineStr"/>
      <c r="M1926" t="inlineStr"/>
      <c r="N1926" t="inlineStr"/>
      <c r="O1926">
        <f>(1-Summary!$B$11)*T1926+Summary!$B$11*V1926</f>
        <v/>
      </c>
      <c r="P1926">
        <f>IF(B1952=0,0,O1926/B1952)</f>
        <v/>
      </c>
      <c r="Q1926">
        <f>IFERROR(1/IF(Inputs!$B$39="pvp",15,MAX(0.1,Skills!D20-IF(TRUE=TRUE,Inputs!$B$32,0))),0)</f>
        <v/>
      </c>
      <c r="R1926">
        <f>IF(AND(Inputs!$B$39&lt;&gt;"pvp",Inputs!$B$44&gt;0),IF(Inputs!$B$44&lt;=0,0,(INT(Inputs!$B$44/IF(Inputs!$B$39="pvp",15,MAX(0.1,Skills!D20-IF(TRUE=TRUE,Inputs!$B$32,0))))+1)),0)</f>
        <v/>
      </c>
      <c r="S1926">
        <f>IFERROR(O1926/N1926,0)</f>
        <v/>
      </c>
      <c r="T1926" t="n">
        <v>0</v>
      </c>
      <c r="V1926" t="n">
        <v>0</v>
      </c>
    </row>
    <row r="1927">
      <c r="A1927">
        <f>Skills!A21</f>
        <v/>
      </c>
      <c r="B1927">
        <f>Skills!B21</f>
        <v/>
      </c>
      <c r="C1927">
        <f>Inputs!$B$3&gt;=15</f>
        <v/>
      </c>
      <c r="D1927">
        <f>IF(Skills!C21=1,60+Inputs!$B$25+Inputs!$B$29,IF(Skills!C21=2,90+Inputs!$B$26+Inputs!$B$29,IF(Skills!C21=3,120+Inputs!$B$27+Inputs!$B$29,MAX(0,(Inputs!$B$3-100)*3)+Inputs!$B$28+Inputs!$B$29)))</f>
        <v/>
      </c>
      <c r="E1927">
        <f>INDEX(FactorTable!$B$2:$Y$301, MATCH(ROUND(MIN(300,MAX(1,D1927)),0), FactorTable!$A$2:$A$301,0), Skills!M21+1)</f>
        <v/>
      </c>
      <c r="F1927">
        <f>IF(Skills!N21=TRUE,(Skills!L21/10)*(E1927/1000),Skills!L21/10)+Skills!O21</f>
        <v/>
      </c>
      <c r="G1927">
        <f>Skills!G21*IF(Skills!H21&gt;0,IF(Inputs!$B$39="pvp",MIN(Skills!I21,15),Skills!I21)/Skills!H21,1)</f>
        <v/>
      </c>
      <c r="H1927">
        <f>1-(1-Skills!J21/100)^Skills!K21</f>
        <v/>
      </c>
      <c r="I1927" t="inlineStr">
        <is>
          <t>1</t>
        </is>
      </c>
      <c r="J1927" t="inlineStr"/>
      <c r="K1927" t="inlineStr"/>
      <c r="L1927" t="inlineStr"/>
      <c r="M1927" t="inlineStr"/>
      <c r="N1927" t="inlineStr"/>
      <c r="O1927">
        <f>(1-Summary!$B$11)*T1927+Summary!$B$11*V1927</f>
        <v/>
      </c>
      <c r="P1927">
        <f>IF(B1952=0,0,O1927/B1952)</f>
        <v/>
      </c>
      <c r="Q1927">
        <f>IFERROR(1/IF(Inputs!$B$39="pvp",15,MAX(0.1,Skills!D21-IF(TRUE=TRUE,Inputs!$B$32,0))),0)</f>
        <v/>
      </c>
      <c r="R1927">
        <f>IF(AND(Inputs!$B$39&lt;&gt;"pvp",Inputs!$B$44&gt;0),IF(Inputs!$B$44&lt;=0,0,(INT(Inputs!$B$44/IF(Inputs!$B$39="pvp",15,MAX(0.1,Skills!D21-IF(TRUE=TRUE,Inputs!$B$32,0))))+1)),0)</f>
        <v/>
      </c>
      <c r="S1927">
        <f>IFERROR(O1927/N1927,0)</f>
        <v/>
      </c>
      <c r="T1927" t="n">
        <v>0</v>
      </c>
      <c r="V1927" t="n">
        <v>0</v>
      </c>
    </row>
    <row r="1928">
      <c r="A1928">
        <f>Skills!A22</f>
        <v/>
      </c>
      <c r="B1928">
        <f>Skills!B22</f>
        <v/>
      </c>
      <c r="C1928">
        <f>Inputs!$B$3&gt;=15</f>
        <v/>
      </c>
      <c r="D1928">
        <f>IF(Skills!C22=1,60+Inputs!$B$25+Inputs!$B$29,IF(Skills!C22=2,90+Inputs!$B$26+Inputs!$B$29,IF(Skills!C22=3,120+Inputs!$B$27+Inputs!$B$29,MAX(0,(Inputs!$B$3-100)*3)+Inputs!$B$28+Inputs!$B$29)))</f>
        <v/>
      </c>
      <c r="E1928">
        <f>INDEX(FactorTable!$B$2:$Y$301, MATCH(ROUND(MIN(300,MAX(1,D1928)),0), FactorTable!$A$2:$A$301,0), Skills!M22+1)</f>
        <v/>
      </c>
      <c r="F1928">
        <f>IF(Skills!N22=TRUE,(Skills!L22/10)*(E1928/1000),Skills!L22/10)+Skills!O22</f>
        <v/>
      </c>
      <c r="G1928">
        <f>Skills!G22*IF(Skills!H22&gt;0,IF(Inputs!$B$39="pvp",MIN(Skills!I22,15),Skills!I22)/Skills!H22,1)</f>
        <v/>
      </c>
      <c r="H1928">
        <f>1-(1-Skills!J22/100)^Skills!K22</f>
        <v/>
      </c>
      <c r="I1928" t="inlineStr">
        <is>
          <t>1</t>
        </is>
      </c>
      <c r="J1928" t="inlineStr"/>
      <c r="K1928" t="inlineStr"/>
      <c r="L1928" t="inlineStr"/>
      <c r="M1928" t="inlineStr"/>
      <c r="N1928" t="inlineStr"/>
      <c r="O1928">
        <f>(1-Summary!$B$11)*T1928+Summary!$B$11*V1928</f>
        <v/>
      </c>
      <c r="P1928">
        <f>IF(B1952=0,0,O1928/B1952)</f>
        <v/>
      </c>
      <c r="Q1928">
        <f>IFERROR(1/IF(Inputs!$B$39="pvp",15,MAX(0.1,Skills!D22-IF(TRUE=TRUE,Inputs!$B$32,0))),0)</f>
        <v/>
      </c>
      <c r="R1928">
        <f>IF(AND(Inputs!$B$39&lt;&gt;"pvp",Inputs!$B$44&gt;0),IF(Inputs!$B$44&lt;=0,0,(INT(Inputs!$B$44/IF(Inputs!$B$39="pvp",15,MAX(0.1,Skills!D22-IF(TRUE=TRUE,Inputs!$B$32,0))))+1)),0)</f>
        <v/>
      </c>
      <c r="S1928">
        <f>IFERROR(O1928/N1928,0)</f>
        <v/>
      </c>
      <c r="T1928" t="n">
        <v>0</v>
      </c>
      <c r="V1928" t="n">
        <v>0</v>
      </c>
    </row>
    <row r="1929">
      <c r="A1929">
        <f>Skills!A23</f>
        <v/>
      </c>
      <c r="B1929">
        <f>Skills!B23</f>
        <v/>
      </c>
      <c r="C1929">
        <f>Inputs!$B$3&gt;=33</f>
        <v/>
      </c>
      <c r="D1929">
        <f>IF(Skills!C23=1,60+Inputs!$B$25+Inputs!$B$29,IF(Skills!C23=2,90+Inputs!$B$26+Inputs!$B$29,IF(Skills!C23=3,120+Inputs!$B$27+Inputs!$B$29,MAX(0,(Inputs!$B$3-100)*3)+Inputs!$B$28+Inputs!$B$29)))</f>
        <v/>
      </c>
      <c r="E1929">
        <f>INDEX(FactorTable!$B$2:$Y$301, MATCH(ROUND(MIN(300,MAX(1,D1929)),0), FactorTable!$A$2:$A$301,0), Skills!M23+1)</f>
        <v/>
      </c>
      <c r="F1929">
        <f>IF(Skills!N23=TRUE,(Skills!L23/10)*(E1929/1000),Skills!L23/10)+Skills!O23</f>
        <v/>
      </c>
      <c r="G1929">
        <f>Skills!G23*IF(Skills!H23&gt;0,IF(Inputs!$B$39="pvp",MIN(Skills!I23,15),Skills!I23)/Skills!H23,1)</f>
        <v/>
      </c>
      <c r="H1929">
        <f>1-(1-Skills!J23/100)^Skills!K23</f>
        <v/>
      </c>
      <c r="I1929" t="inlineStr">
        <is>
          <t>1</t>
        </is>
      </c>
      <c r="J1929" t="inlineStr"/>
      <c r="K1929" t="inlineStr"/>
      <c r="L1929" t="inlineStr"/>
      <c r="M1929" t="inlineStr"/>
      <c r="N1929" t="inlineStr"/>
      <c r="O1929">
        <f>(1-Summary!$B$11)*T1929+Summary!$B$11*V1929</f>
        <v/>
      </c>
      <c r="P1929">
        <f>IF(B1952=0,0,O1929/B1952)</f>
        <v/>
      </c>
      <c r="Q1929" t="n">
        <v>0</v>
      </c>
      <c r="R1929" t="n">
        <v>0</v>
      </c>
      <c r="S1929">
        <f>IFERROR(O1929/N1929,0)</f>
        <v/>
      </c>
      <c r="T1929" t="n">
        <v>0</v>
      </c>
      <c r="V1929" t="n">
        <v>0</v>
      </c>
    </row>
    <row r="1930">
      <c r="A1930">
        <f>Skills!A24</f>
        <v/>
      </c>
      <c r="B1930">
        <f>Skills!B24</f>
        <v/>
      </c>
      <c r="C1930">
        <f>Inputs!$B$3&gt;=40</f>
        <v/>
      </c>
      <c r="D1930">
        <f>IF(Skills!C24=1,60+Inputs!$B$25+Inputs!$B$29,IF(Skills!C24=2,90+Inputs!$B$26+Inputs!$B$29,IF(Skills!C24=3,120+Inputs!$B$27+Inputs!$B$29,MAX(0,(Inputs!$B$3-100)*3)+Inputs!$B$28+Inputs!$B$29)))</f>
        <v/>
      </c>
      <c r="E1930">
        <f>INDEX(FactorTable!$B$2:$Y$301, MATCH(ROUND(MIN(300,MAX(1,D1930)),0), FactorTable!$A$2:$A$301,0), Skills!M24+1)</f>
        <v/>
      </c>
      <c r="F1930">
        <f>IF(Skills!N24=TRUE,(Skills!L24/10)*(E1930/1000),Skills!L24/10)+Skills!O24</f>
        <v/>
      </c>
      <c r="G1930">
        <f>Skills!G24*IF(Skills!H24&gt;0,IF(Inputs!$B$39="pvp",MIN(Skills!I24,15),Skills!I24)/Skills!H24,1)</f>
        <v/>
      </c>
      <c r="H1930">
        <f>1-(1-Skills!J24/100)^Skills!K24</f>
        <v/>
      </c>
      <c r="I1930" t="inlineStr">
        <is>
          <t>1</t>
        </is>
      </c>
      <c r="J1930" t="inlineStr"/>
      <c r="K1930" t="inlineStr"/>
      <c r="L1930" t="inlineStr"/>
      <c r="M1930" t="inlineStr"/>
      <c r="N1930" t="inlineStr"/>
      <c r="O1930">
        <f>(1-Summary!$B$11)*T1930+Summary!$B$11*V1930</f>
        <v/>
      </c>
      <c r="P1930">
        <f>IF(B1952=0,0,O1930/B1952)</f>
        <v/>
      </c>
      <c r="Q1930" t="n">
        <v>0</v>
      </c>
      <c r="R1930" t="n">
        <v>0</v>
      </c>
      <c r="S1930">
        <f>IFERROR(O1930/N1930,0)</f>
        <v/>
      </c>
      <c r="T1930" t="n">
        <v>0</v>
      </c>
      <c r="V1930" t="n">
        <v>0</v>
      </c>
    </row>
    <row r="1931">
      <c r="A1931">
        <f>Skills!A25</f>
        <v/>
      </c>
      <c r="B1931">
        <f>Skills!B25</f>
        <v/>
      </c>
      <c r="C1931">
        <f>Inputs!$B$3&gt;=43</f>
        <v/>
      </c>
      <c r="D1931">
        <f>IF(Skills!C25=1,60+Inputs!$B$25+Inputs!$B$29,IF(Skills!C25=2,90+Inputs!$B$26+Inputs!$B$29,IF(Skills!C25=3,120+Inputs!$B$27+Inputs!$B$29,MAX(0,(Inputs!$B$3-100)*3)+Inputs!$B$28+Inputs!$B$29)))</f>
        <v/>
      </c>
      <c r="E1931">
        <f>INDEX(FactorTable!$B$2:$Y$301, MATCH(ROUND(MIN(300,MAX(1,D1931)),0), FactorTable!$A$2:$A$301,0), Skills!M25+1)</f>
        <v/>
      </c>
      <c r="F1931">
        <f>IF(Skills!N25=TRUE,(Skills!L25/10)*(E1931/1000),Skills!L25/10)+Skills!O25</f>
        <v/>
      </c>
      <c r="G1931">
        <f>Skills!G25*IF(Skills!H25&gt;0,IF(Inputs!$B$39="pvp",MIN(Skills!I25,15),Skills!I25)/Skills!H25,1)</f>
        <v/>
      </c>
      <c r="H1931">
        <f>1-(1-Skills!J25/100)^Skills!K25</f>
        <v/>
      </c>
      <c r="I1931" t="inlineStr">
        <is>
          <t>1</t>
        </is>
      </c>
      <c r="J1931" t="inlineStr"/>
      <c r="K1931" t="inlineStr"/>
      <c r="L1931" t="inlineStr"/>
      <c r="M1931" t="inlineStr"/>
      <c r="N1931" t="inlineStr"/>
      <c r="O1931">
        <f>(1-Summary!$B$11)*T1931+Summary!$B$11*V1931</f>
        <v/>
      </c>
      <c r="P1931">
        <f>IF(B1952=0,0,O1931/B1952)</f>
        <v/>
      </c>
      <c r="Q1931" t="n">
        <v>0</v>
      </c>
      <c r="R1931" t="n">
        <v>0</v>
      </c>
      <c r="S1931">
        <f>IFERROR(O1931/N1931,0)</f>
        <v/>
      </c>
      <c r="T1931" t="n">
        <v>0</v>
      </c>
      <c r="V1931" t="n">
        <v>0</v>
      </c>
    </row>
    <row r="1932">
      <c r="A1932">
        <f>Skills!A26</f>
        <v/>
      </c>
      <c r="B1932">
        <f>Skills!B26</f>
        <v/>
      </c>
      <c r="C1932">
        <f>Inputs!$B$3&gt;=50</f>
        <v/>
      </c>
      <c r="D1932">
        <f>IF(Skills!C26=1,60+Inputs!$B$25+Inputs!$B$29,IF(Skills!C26=2,90+Inputs!$B$26+Inputs!$B$29,IF(Skills!C26=3,120+Inputs!$B$27+Inputs!$B$29,MAX(0,(Inputs!$B$3-100)*3)+Inputs!$B$28+Inputs!$B$29)))</f>
        <v/>
      </c>
      <c r="E1932">
        <f>INDEX(FactorTable!$B$2:$Y$301, MATCH(ROUND(MIN(300,MAX(1,D1932)),0), FactorTable!$A$2:$A$301,0), Skills!M26+1)</f>
        <v/>
      </c>
      <c r="F1932">
        <f>IF(Skills!N26=TRUE,(Skills!L26/10)*(E1932/1000),Skills!L26/10)+Skills!O26</f>
        <v/>
      </c>
      <c r="G1932">
        <f>Skills!G26*IF(Skills!H26&gt;0,IF(Inputs!$B$39="pvp",MIN(Skills!I26,15),Skills!I26)/Skills!H26,1)</f>
        <v/>
      </c>
      <c r="H1932">
        <f>1-(1-Skills!J26/100)^Skills!K26</f>
        <v/>
      </c>
      <c r="I1932" t="inlineStr">
        <is>
          <t>1</t>
        </is>
      </c>
      <c r="J1932" t="inlineStr"/>
      <c r="K1932" t="inlineStr"/>
      <c r="L1932" t="inlineStr"/>
      <c r="M1932" t="inlineStr"/>
      <c r="N1932" t="inlineStr"/>
      <c r="O1932">
        <f>(1-Summary!$B$11)*T1932+Summary!$B$11*V1932</f>
        <v/>
      </c>
      <c r="P1932">
        <f>IF(B1952=0,0,O1932/B1952)</f>
        <v/>
      </c>
      <c r="Q1932" t="n">
        <v>0</v>
      </c>
      <c r="R1932" t="n">
        <v>0</v>
      </c>
      <c r="S1932">
        <f>IFERROR(O1932/N1932,0)</f>
        <v/>
      </c>
      <c r="T1932" t="n">
        <v>0</v>
      </c>
      <c r="V1932" t="n">
        <v>0</v>
      </c>
    </row>
    <row r="1933">
      <c r="A1933">
        <f>Skills!A27</f>
        <v/>
      </c>
      <c r="B1933">
        <f>Skills!B27</f>
        <v/>
      </c>
      <c r="C1933">
        <f>Inputs!$B$3&gt;=50</f>
        <v/>
      </c>
      <c r="D1933">
        <f>IF(Skills!C27=1,60+Inputs!$B$25+Inputs!$B$29,IF(Skills!C27=2,90+Inputs!$B$26+Inputs!$B$29,IF(Skills!C27=3,120+Inputs!$B$27+Inputs!$B$29,MAX(0,(Inputs!$B$3-100)*3)+Inputs!$B$28+Inputs!$B$29)))</f>
        <v/>
      </c>
      <c r="E1933">
        <f>INDEX(FactorTable!$B$2:$Y$301, MATCH(ROUND(MIN(300,MAX(1,D1933)),0), FactorTable!$A$2:$A$301,0), Skills!M27+1)</f>
        <v/>
      </c>
      <c r="F1933">
        <f>IF(Skills!N27=TRUE,(Skills!L27/10)*(E1933/1000),Skills!L27/10)+Skills!O27</f>
        <v/>
      </c>
      <c r="G1933">
        <f>Skills!G27*IF(Skills!H27&gt;0,IF(Inputs!$B$39="pvp",MIN(Skills!I27,15),Skills!I27)/Skills!H27,1)</f>
        <v/>
      </c>
      <c r="H1933">
        <f>1-(1-Skills!J27/100)^Skills!K27</f>
        <v/>
      </c>
      <c r="I1933" t="inlineStr">
        <is>
          <t>1</t>
        </is>
      </c>
      <c r="J1933" t="inlineStr"/>
      <c r="K1933" t="inlineStr"/>
      <c r="L1933" t="inlineStr"/>
      <c r="M1933" t="inlineStr"/>
      <c r="N1933" t="inlineStr"/>
      <c r="O1933">
        <f>(1-Summary!$B$11)*T1933+Summary!$B$11*V1933</f>
        <v/>
      </c>
      <c r="P1933">
        <f>IF(B1952=0,0,O1933/B1952)</f>
        <v/>
      </c>
      <c r="Q1933" t="n">
        <v>0</v>
      </c>
      <c r="R1933" t="n">
        <v>0</v>
      </c>
      <c r="S1933">
        <f>IFERROR(O1933/N1933,0)</f>
        <v/>
      </c>
      <c r="T1933" t="n">
        <v>0</v>
      </c>
      <c r="V1933" t="n">
        <v>0</v>
      </c>
    </row>
    <row r="1934">
      <c r="A1934">
        <f>Skills!A28</f>
        <v/>
      </c>
      <c r="B1934">
        <f>Skills!B28</f>
        <v/>
      </c>
      <c r="C1934">
        <f>Inputs!$B$3&gt;=38</f>
        <v/>
      </c>
      <c r="D1934">
        <f>IF(Skills!C28=1,60+Inputs!$B$25+Inputs!$B$29,IF(Skills!C28=2,90+Inputs!$B$26+Inputs!$B$29,IF(Skills!C28=3,120+Inputs!$B$27+Inputs!$B$29,MAX(0,(Inputs!$B$3-100)*3)+Inputs!$B$28+Inputs!$B$29)))</f>
        <v/>
      </c>
      <c r="E1934">
        <f>INDEX(FactorTable!$B$2:$Y$301, MATCH(ROUND(MIN(300,MAX(1,D1934)),0), FactorTable!$A$2:$A$301,0), Skills!M28+1)</f>
        <v/>
      </c>
      <c r="F1934">
        <f>IF(Skills!N28=TRUE,(Skills!L28/10)*(E1934/1000),Skills!L28/10)+Skills!O28</f>
        <v/>
      </c>
      <c r="G1934">
        <f>Skills!G28*IF(Skills!H28&gt;0,IF(Inputs!$B$39="pvp",MIN(Skills!I28,15),Skills!I28)/Skills!H28,1)</f>
        <v/>
      </c>
      <c r="H1934">
        <f>1-(1-Skills!J28/100)^Skills!K28</f>
        <v/>
      </c>
      <c r="I1934" t="inlineStr">
        <is>
          <t>1</t>
        </is>
      </c>
      <c r="J1934" t="inlineStr"/>
      <c r="K1934" t="inlineStr"/>
      <c r="L1934" t="inlineStr"/>
      <c r="M1934" t="inlineStr"/>
      <c r="N1934" t="inlineStr"/>
      <c r="O1934">
        <f>(1-Summary!$B$11)*T1934+Summary!$B$11*V1934</f>
        <v/>
      </c>
      <c r="P1934">
        <f>IF(B1952=0,0,O1934/B1952)</f>
        <v/>
      </c>
      <c r="Q1934" t="n">
        <v>0</v>
      </c>
      <c r="R1934" t="n">
        <v>0</v>
      </c>
      <c r="S1934">
        <f>IFERROR(O1934/N1934,0)</f>
        <v/>
      </c>
      <c r="T1934" t="n">
        <v>0</v>
      </c>
      <c r="V1934" t="n">
        <v>0</v>
      </c>
    </row>
    <row r="1935">
      <c r="A1935">
        <f>Skills!A29</f>
        <v/>
      </c>
      <c r="B1935">
        <f>Skills!B29</f>
        <v/>
      </c>
      <c r="C1935">
        <f>Inputs!$B$3&gt;=120</f>
        <v/>
      </c>
      <c r="D1935">
        <f>IF(Skills!C29=1,60+Inputs!$B$25+Inputs!$B$29,IF(Skills!C29=2,90+Inputs!$B$26+Inputs!$B$29,IF(Skills!C29=3,120+Inputs!$B$27+Inputs!$B$29,MAX(0,(Inputs!$B$3-100)*3)+Inputs!$B$28+Inputs!$B$29)))</f>
        <v/>
      </c>
      <c r="E1935">
        <f>INDEX(FactorTable!$B$2:$Y$301, MATCH(ROUND(MIN(300,MAX(1,D1935)),0), FactorTable!$A$2:$A$301,0), Skills!M29+1)</f>
        <v/>
      </c>
      <c r="F1935">
        <f>IF(Skills!N29=TRUE,(Skills!L29/10)*(E1935/1000),Skills!L29/10)+Skills!O29</f>
        <v/>
      </c>
      <c r="G1935">
        <f>Skills!G29*IF(Skills!H29&gt;0,IF(Inputs!$B$39="pvp",MIN(Skills!I29,15),Skills!I29)/Skills!H29,1)</f>
        <v/>
      </c>
      <c r="H1935">
        <f>1-(1-Skills!J29/100)^Skills!K29</f>
        <v/>
      </c>
      <c r="I1935" t="inlineStr">
        <is>
          <t>1</t>
        </is>
      </c>
      <c r="J1935" t="inlineStr"/>
      <c r="K1935" t="inlineStr"/>
      <c r="L1935" t="inlineStr"/>
      <c r="M1935" t="inlineStr"/>
      <c r="N1935" t="inlineStr"/>
      <c r="O1935">
        <f>(1-Summary!$B$11)*T1935+Summary!$B$11*V1935</f>
        <v/>
      </c>
      <c r="P1935">
        <f>IF(B1952=0,0,O1935/B1952)</f>
        <v/>
      </c>
      <c r="Q1935" t="n">
        <v>0</v>
      </c>
      <c r="R1935" t="n">
        <v>0</v>
      </c>
      <c r="S1935">
        <f>IFERROR(O1935/N1935,0)</f>
        <v/>
      </c>
      <c r="T1935" t="n">
        <v>0</v>
      </c>
      <c r="V1935" t="n">
        <v>0</v>
      </c>
    </row>
    <row r="1936">
      <c r="A1936">
        <f>Skills!A30</f>
        <v/>
      </c>
      <c r="B1936">
        <f>Skills!B30</f>
        <v/>
      </c>
      <c r="C1936">
        <f>Inputs!$B$3&gt;=120</f>
        <v/>
      </c>
      <c r="D1936">
        <f>IF(Skills!C30=1,60+Inputs!$B$25+Inputs!$B$29,IF(Skills!C30=2,90+Inputs!$B$26+Inputs!$B$29,IF(Skills!C30=3,120+Inputs!$B$27+Inputs!$B$29,MAX(0,(Inputs!$B$3-100)*3)+Inputs!$B$28+Inputs!$B$29)))</f>
        <v/>
      </c>
      <c r="E1936">
        <f>INDEX(FactorTable!$B$2:$Y$301, MATCH(ROUND(MIN(300,MAX(1,D1936)),0), FactorTable!$A$2:$A$301,0), Skills!M30+1)</f>
        <v/>
      </c>
      <c r="F1936">
        <f>IF(Skills!N30=TRUE,(Skills!L30/10)*(E1936/1000),Skills!L30/10)+Skills!O30</f>
        <v/>
      </c>
      <c r="G1936">
        <f>Skills!G30*IF(Skills!H30&gt;0,IF(Inputs!$B$39="pvp",MIN(Skills!I30,15),Skills!I30)/Skills!H30,1)</f>
        <v/>
      </c>
      <c r="H1936">
        <f>1-(1-Skills!J30/100)^Skills!K30</f>
        <v/>
      </c>
      <c r="I1936" t="inlineStr">
        <is>
          <t>1</t>
        </is>
      </c>
      <c r="J1936" t="inlineStr"/>
      <c r="K1936" t="inlineStr"/>
      <c r="L1936" t="inlineStr"/>
      <c r="M1936" t="inlineStr"/>
      <c r="N1936" t="inlineStr"/>
      <c r="O1936">
        <f>(1-Summary!$B$11)*T1936+Summary!$B$11*V1936</f>
        <v/>
      </c>
      <c r="P1936">
        <f>IF(B1952=0,0,O1936/B1952)</f>
        <v/>
      </c>
      <c r="Q1936" t="n">
        <v>0</v>
      </c>
      <c r="R1936" t="n">
        <v>0</v>
      </c>
      <c r="S1936">
        <f>IFERROR(O1936/N1936,0)</f>
        <v/>
      </c>
      <c r="T1936" t="n">
        <v>0</v>
      </c>
      <c r="V1936" t="n">
        <v>0</v>
      </c>
    </row>
    <row r="1937">
      <c r="A1937">
        <f>Skills!A31</f>
        <v/>
      </c>
      <c r="B1937">
        <f>Skills!B31</f>
        <v/>
      </c>
      <c r="C1937">
        <f>Inputs!$B$3&gt;=125</f>
        <v/>
      </c>
      <c r="D1937">
        <f>IF(Skills!C31=1,60+Inputs!$B$25+Inputs!$B$29,IF(Skills!C31=2,90+Inputs!$B$26+Inputs!$B$29,IF(Skills!C31=3,120+Inputs!$B$27+Inputs!$B$29,MAX(0,(Inputs!$B$3-100)*3)+Inputs!$B$28+Inputs!$B$29)))</f>
        <v/>
      </c>
      <c r="E1937">
        <f>INDEX(FactorTable!$B$2:$Y$301, MATCH(ROUND(MIN(300,MAX(1,D1937)),0), FactorTable!$A$2:$A$301,0), Skills!M31+1)</f>
        <v/>
      </c>
      <c r="F1937">
        <f>IF(Skills!N31=TRUE,(Skills!L31/10)*(E1937/1000),Skills!L31/10)+Skills!O31</f>
        <v/>
      </c>
      <c r="G1937">
        <f>Skills!G31*IF(Skills!H31&gt;0,IF(Inputs!$B$39="pvp",MIN(Skills!I31,15),Skills!I31)/Skills!H31,1)</f>
        <v/>
      </c>
      <c r="H1937">
        <f>1-(1-Skills!J31/100)^Skills!K31</f>
        <v/>
      </c>
      <c r="I1937" t="inlineStr">
        <is>
          <t>1</t>
        </is>
      </c>
      <c r="J1937" t="inlineStr"/>
      <c r="K1937" t="inlineStr"/>
      <c r="L1937" t="inlineStr"/>
      <c r="M1937" t="inlineStr"/>
      <c r="N1937" t="inlineStr"/>
      <c r="O1937">
        <f>(1-Summary!$B$11)*T1937+Summary!$B$11*V1937</f>
        <v/>
      </c>
      <c r="P1937">
        <f>IF(B1952=0,0,O1937/B1952)</f>
        <v/>
      </c>
      <c r="Q1937" t="n">
        <v>0</v>
      </c>
      <c r="R1937" t="n">
        <v>0</v>
      </c>
      <c r="S1937">
        <f>IFERROR(O1937/N1937,0)</f>
        <v/>
      </c>
      <c r="T1937" t="n">
        <v>0</v>
      </c>
      <c r="V1937" t="n">
        <v>0</v>
      </c>
    </row>
    <row r="1939">
      <c r="A1939" t="inlineStr">
        <is>
          <t>Average Buff Multiplier</t>
        </is>
      </c>
      <c r="B1939">
        <f>(1+(((C1928=TRUE)*F1928*IF(AND(Inputs!$B$39&lt;&gt;"pvp",Inputs!$B$44&gt;0),(((R1928-1)*MIN((Skills!Y22*(1+Inputs!$B$34/100)),(1/Q1928))+MIN((Skills!Y22*(1+Inputs!$B$34/100)),MAX(0,Inputs!$B$44-((R1928-1)*(1/Q1928)))))/Inputs!$B$44),IF(Inputs!$B$39="pvp",MIN((Skills!Y22*(1+Inputs!$B$34/100)),15)/15,MIN(1,(Skills!Y22*(1+Inputs!$B$34/100))/(1/Q1928)))))+((C1909=TRUE)*F1909*3)+((C1911=TRUE)*F1911*(1-EXP(-0.75*B1944*5)))+((C1930=TRUE)*(F1930-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1917=TRUE)*F1917*IF(AND(Inputs!$B$39&lt;&gt;"pvp",Inputs!$B$44&gt;0),(((R1917-1)*MIN((Skills!Y11*(1+Inputs!$B$34/100)),(1/Q1917))+MIN((Skills!Y11*(1+Inputs!$B$34/100)),MAX(0,Inputs!$B$44-((R1917-1)*(1/Q1917)))))/Inputs!$B$44),IF(Inputs!$B$39="pvp",MIN((Skills!Y11*(1+Inputs!$B$34/100)),15)/15,MIN(1,(Skills!Y11*(1+Inputs!$B$34/100))/(1/Q1917)))))/100)*(1+((C1922=TRUE)*F1922*IF(AND(Inputs!$B$39&lt;&gt;"pvp",Inputs!$B$44&gt;0),(((R1922-1)*MIN((Skills!Y16*(1+Inputs!$B$34/100)),(1/Q1922))+MIN((Skills!Y16*(1+Inputs!$B$34/100)),MAX(0,Inputs!$B$44-((R1922-1)*(1/Q1922)))))/Inputs!$B$44),IF(Inputs!$B$39="pvp",MIN((Skills!Y16*(1+Inputs!$B$34/100)),15)/15,MIN(1,(Skills!Y16*(1+Inputs!$B$34/100))/(1/Q1922)))))/100)</f>
        <v/>
      </c>
    </row>
    <row r="1940">
      <c r="A1940" t="inlineStr">
        <is>
          <t>Global Crit Rate Bonus %</t>
        </is>
      </c>
      <c r="B1940">
        <f>((C1927=TRUE)*F1927*IF(AND(Inputs!$B$39&lt;&gt;"pvp",Inputs!$B$44&gt;0),(((R1927-1)*MIN((Skills!Y21*(1+Inputs!$B$34/100)),(1/Q1927))+MIN((Skills!Y21*(1+Inputs!$B$34/100)),MAX(0,Inputs!$B$44-((R1927-1)*(1/Q1927)))))/Inputs!$B$44),IF(Inputs!$B$39="pvp",MIN((Skills!Y21*(1+Inputs!$B$34/100)),15)/15,MIN(1,(Skills!Y21*(1+Inputs!$B$34/100))/(1/Q1927)))))</f>
        <v/>
      </c>
    </row>
    <row r="1941">
      <c r="A1941" t="inlineStr">
        <is>
          <t>Global Monster Damage-Taken Bonus %</t>
        </is>
      </c>
      <c r="B1941">
        <f>IF(Inputs!$B$3&gt;=82,15,0)</f>
        <v/>
      </c>
    </row>
    <row r="1942">
      <c r="A1942" t="inlineStr">
        <is>
          <t>Shadow Partner Average Multiplier</t>
        </is>
      </c>
      <c r="B1942">
        <f>1+((C1914=TRUE)*F1914*(1+3.3333333333333335*IF(C1925=TRUE,F1925,0)/100)*I1914*Skills!J8/100)/100</f>
        <v/>
      </c>
    </row>
    <row r="1943">
      <c r="A1943" t="inlineStr">
        <is>
          <t>Attack Speed Buff Bonus %</t>
        </is>
      </c>
      <c r="B1943">
        <f>((C1926=TRUE)*F1926*IF(AND(Inputs!$B$39&lt;&gt;"pvp",Inputs!$B$44&gt;0),(((R1926-1)*MIN((Skills!Y20*(1+Inputs!$B$34/100)),(1/Q1926))+MIN((Skills!Y20*(1+Inputs!$B$34/100)),MAX(0,Inputs!$B$44-((R1926-1)*(1/Q1926)))))/Inputs!$B$44),IF(Inputs!$B$39="pvp",MIN((Skills!Y20*(1+Inputs!$B$34/100)),15)/15,MIN(1,(Skills!Y20*(1+Inputs!$B$34/100))/(1/Q1926)))))</f>
        <v/>
      </c>
    </row>
    <row r="1944">
      <c r="A1944" t="inlineStr">
        <is>
          <t>Actions Per Second</t>
        </is>
      </c>
      <c r="B1944">
        <f>1+MIN(150,150*(1-(1-(Inputs!$B$11+((C1929=TRUE)*(F1929-Calc!F23)))/150)*(1-B1943/150)))/100</f>
        <v/>
      </c>
    </row>
    <row r="1945">
      <c r="A1945" t="inlineStr">
        <is>
          <t>Skill + Buff Cast Rate</t>
        </is>
      </c>
      <c r="B1945">
        <f>IF(AND(Inputs!$B$39&lt;&gt;"pvp",Inputs!$B$44&gt;0),SUMPRODUCT((Skills!E2:E31=TRUE)*(C1908:C1937=TRUE)*R1908:R1937*Skills!F2:F31)/Inputs!$B$44,SUMPRODUCT((Skills!E2:E31=TRUE)*(C1908:C1937=TRUE)*Q1908:Q1937*Skills!F2:F31))</f>
        <v/>
      </c>
    </row>
    <row r="1946">
      <c r="A1946" t="inlineStr">
        <is>
          <t>Cruel Stab Casts Per Second</t>
        </is>
      </c>
      <c r="B1946">
        <f>MAX(0,B1944-B1945)</f>
        <v/>
      </c>
    </row>
    <row r="1947">
      <c r="A1947" t="inlineStr">
        <is>
          <t>Global Critical Damage Bonus % (Smokescreen Mastery Lv.113)</t>
        </is>
      </c>
      <c r="B1947">
        <f>IF(Inputs!$B$3&gt;=113,30,0)*IF(AND(Inputs!$B$39&lt;&gt;"pvp",Inputs!$B$44&gt;0),(((R1922-1)*MIN((Skills!Y16*(1+Inputs!$B$34/100)),(1/Q1922))+MIN((Skills!Y16*(1+Inputs!$B$34/100)),MAX(0,Inputs!$B$44-((R1922-1)*(1/Q1922)))))/Inputs!$B$44),IF(Inputs!$B$39="pvp",MIN((Skills!Y16*(1+Inputs!$B$34/100)),15)/15,MIN(1,(Skills!Y16*(1+Inputs!$B$34/100))/(1/Q1922))))</f>
        <v/>
      </c>
    </row>
    <row r="1948">
      <c r="A1948" t="inlineStr">
        <is>
          <t>Meso Explosion average stack count</t>
        </is>
      </c>
      <c r="B1948">
        <f>MIN(10,IF(Inputs!$B$3&gt;=75,0.75,0.5)*B1944*(1/Q1910))</f>
        <v/>
      </c>
    </row>
    <row r="1949">
      <c r="A1949" t="inlineStr">
        <is>
          <t>Blood Money average stack count</t>
        </is>
      </c>
      <c r="B1949">
        <f>MIN(5,0.5*IF(Inputs!$B$3&gt;=75,0.75,0.5)*B1944*(1/Q1910))</f>
        <v/>
      </c>
    </row>
    <row r="1950">
      <c r="A1950" t="inlineStr">
        <is>
          <t>Assassinate Murderous Intent Multiplier</t>
        </is>
      </c>
      <c r="B1950">
        <f>1+IFERROR(MIN(1,Q1921*2/Q1918),0)</f>
        <v/>
      </c>
    </row>
    <row r="1951">
      <c r="A1951" t="inlineStr">
        <is>
          <t>Buff-Casting Startup Delay (s, fixed-duration only)</t>
        </is>
      </c>
      <c r="B1951">
        <f>IF(AND(Inputs!$B$39&lt;&gt;"pvp",Inputs!$B$44&gt;0),SUMPRODUCT((Skills!Y2:Y31&gt;0)*(Skills!E2:E31=TRUE)*(C1908:C1937=TRUE))/B1944,0)</f>
        <v/>
      </c>
    </row>
    <row r="1952">
      <c r="A1952" s="6" t="inlineStr">
        <is>
          <t>TOTAL DPS</t>
        </is>
      </c>
      <c r="B1952" s="6">
        <f>SUM(O1908:O1937)</f>
        <v/>
      </c>
    </row>
    <row r="1953">
      <c r="A1953" t="inlineStr">
        <is>
          <t>Boss-Only Total DPS (this block's swept value)</t>
        </is>
      </c>
      <c r="B1953">
        <f>SUM(T1908:T1937)</f>
        <v/>
      </c>
    </row>
    <row r="1954">
      <c r="A1954" t="inlineStr">
        <is>
          <t>Normal-Only Total DPS (this block's swept value)</t>
        </is>
      </c>
      <c r="B1954">
        <f>SUM(V1908:V1937)</f>
        <v/>
      </c>
    </row>
    <row r="1957">
      <c r="A1957" s="6" t="inlineStr">
        <is>
          <t>Stat: Zakum's Stone Piece (Equip)</t>
        </is>
      </c>
    </row>
    <row r="1958">
      <c r="A1958" s="5" t="inlineStr">
        <is>
          <t>Key</t>
        </is>
      </c>
      <c r="B1958" s="5" t="inlineStr">
        <is>
          <t>Name</t>
        </is>
      </c>
      <c r="C1958" s="5" t="inlineStr">
        <is>
          <t>Unlocked</t>
        </is>
      </c>
      <c r="D1958" s="5" t="inlineStr">
        <is>
          <t>InputLevel</t>
        </is>
      </c>
      <c r="E1958" s="5" t="inlineStr">
        <is>
          <t>Factor</t>
        </is>
      </c>
      <c r="F1958" s="5" t="inlineStr">
        <is>
          <t>CoefficientPercent</t>
        </is>
      </c>
      <c r="G1958" s="5" t="inlineStr">
        <is>
          <t>EffectiveHits</t>
        </is>
      </c>
      <c r="H1958" s="5" t="inlineStr">
        <is>
          <t>ProcProbability</t>
        </is>
      </c>
      <c r="I1958" s="5" t="inlineStr">
        <is>
          <t>MapleHeroMultiplier</t>
        </is>
      </c>
      <c r="J1958" s="5" t="inlineStr">
        <is>
          <t>BaseDamage</t>
        </is>
      </c>
      <c r="K1958" s="5" t="inlineStr">
        <is>
          <t>BaseHitDamage</t>
        </is>
      </c>
      <c r="L1958" s="5" t="inlineStr">
        <is>
          <t>NonCritAvg</t>
        </is>
      </c>
      <c r="M1958" s="5" t="inlineStr">
        <is>
          <t>CritAvg</t>
        </is>
      </c>
      <c r="N1958" s="5" t="inlineStr">
        <is>
          <t>ExpectedDamage(perHit)</t>
        </is>
      </c>
      <c r="O1958" s="5" t="inlineStr">
        <is>
          <t>DPS</t>
        </is>
      </c>
      <c r="P1958" s="5" t="inlineStr">
        <is>
          <t>% of Total</t>
        </is>
      </c>
      <c r="Q1958" s="5" t="inlineStr">
        <is>
          <t>InvCooldown</t>
        </is>
      </c>
      <c r="R1958" s="5" t="inlineStr">
        <is>
          <t>CastsInFight</t>
        </is>
      </c>
      <c r="S1958" s="5" t="inlineStr">
        <is>
          <t>HitRate(perSec)</t>
        </is>
      </c>
      <c r="U1958" t="inlineStr">
        <is>
          <t>helpers</t>
        </is>
      </c>
    </row>
    <row r="1959">
      <c r="A1959">
        <f>Skills!A2</f>
        <v/>
      </c>
      <c r="B1959">
        <f>Skills!B2</f>
        <v/>
      </c>
      <c r="C1959">
        <f>Inputs!$B$3&gt;=100</f>
        <v/>
      </c>
      <c r="D1959" t="inlineStr"/>
      <c r="E1959" t="inlineStr"/>
      <c r="F1959">
        <f>U1961+Skills!O2</f>
        <v/>
      </c>
      <c r="G1959">
        <f>Skills!G2*IF(Skills!H2&gt;0,IF(Inputs!$B$39="pvp",MIN(Skills!I2,15),Skills!I2)/Skills!H2,1)</f>
        <v/>
      </c>
      <c r="H1959">
        <f>1-(1-Skills!J2/100)^Skills!K2</f>
        <v/>
      </c>
      <c r="I1959" t="inlineStr">
        <is>
          <t>1</t>
        </is>
      </c>
      <c r="J1959">
        <f>((Inputs!$B$6*(1+Inputs!$B$7/100))+(((Inputs!$B$12*(1+Inputs!$B$13/100))-(Inputs!$B$12*(1+Inputs!$B$13/100)))+0.25*(Inputs!$B$14-Inputs!$B$14))*(1+Inputs!$B$7/100))*(F1959/100)</f>
        <v/>
      </c>
      <c r="K1959">
        <f>J1959*(1+((Inputs!$B$12*(1+Inputs!$B$13/100))*0.01+Inputs!$B$14*0.0025)/100)*(1+Inputs!$B$15/100)*(1+Inputs!$B$16/100)*(5000/(6000+Inputs!$B$43*(1-(100*(1-(1-Inputs!$B$19/100)*(1-CHOOSE(ArtifactsInput!$N$40+1,5,6,7,8,9,10)/100)^(ArtifactsInput!$M$40-ArtifactsInput!$M$40)))/100)))*(1+(Inputs!$B$24+((C1988=TRUE)*(F1988-Calc!F31))+((C1975=TRUE)*(F1975-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CRUEL_STAB",Inputs!$B$17+((C1985=TRUE)*(F1985-Calc!F28))+((IF(AND(Inputs!$B$39&lt;&gt;"pvp",Inputs!$B$44=0),1,IF(IF(Inputs!$B$39="pvp",15,Inputs!$B$44)-(B2002)&lt;=0,1,MAX(0,IF(Inputs!$B$39="pvp",15,Inputs!$B$44)-MAX(5,B2002))/(IF(Inputs!$B$39="pvp",15,Inputs!$B$44)-(B2002))))*(IF(AND(ArtifactsInput!$M$42,((Inputs!$B$9+((C1983=TRUE)*(F1983-Calc!F26))+B1991+(ArtifactsInput!$M$24-ArtifactsInput!$M$24)*CHOOSE(ArtifactsInput!$N$24+1,10,12,14,16,18,20)+IF(ArtifactsInput!$M$10,CHOOSE(ArtifactsInput!$N$10+1,15,18,21,24,27,30)*(IF(Inputs!$B$39="pvp",MIN(15,15)/15,IF(AND(Inputs!$B$39&lt;&gt;"pvp",Inputs!$B$44&gt;0),MIN(15,Inputs!$B$44)/(Inputs!$B$44),0))),0)))&gt;=100),MIN(100,((Inputs!$B$9+((C1983=TRUE)*(F1983-Calc!F26))+B1991+(ArtifactsInput!$M$24-ArtifactsInput!$M$24)*CHOOSE(ArtifactsInput!$N$24+1,10,12,14,16,18,20)+IF(ArtifactsInput!$M$10,CHOOSE(ArtifactsInput!$N$10+1,15,18,21,24,27,30)*(IF(Inputs!$B$39="pvp",MIN(15,15)/15,IF(AND(Inputs!$B$39&lt;&gt;"pvp",Inputs!$B$44&gt;0),MIN(15,Inputs!$B$44)/(Inputs!$B$44),0))),0)))-100),0))*CHOOSE(ArtifactsInput!$N$42+1,0.6,0.72,0.84,0.96,1.08,1.2))),Inputs!$B$18+((C1986=TRUE)*(F1986-Calc!F29))+(IF(AND(Inputs!$B$39&lt;&gt;"pvp",Inputs!$B$44=0),1,IF(IF(Inputs!$B$39="pvp",15,Inputs!$B$44)-(B2002)&lt;=0,1,MAX(0,IF(Inputs!$B$39="pvp",15,Inputs!$B$44)-MAX(5,B2002))/(IF(Inputs!$B$39="pvp",15,Inputs!$B$44)-(B2002))))*IF(AND(ArtifactsInput!$M$42,((Inputs!$B$9+((C1983=TRUE)*(F1983-Calc!F26))+B1991+(ArtifactsInput!$M$24-ArtifactsInput!$M$24)*CHOOSE(ArtifactsInput!$N$24+1,10,12,14,16,18,20)+IF(ArtifactsInput!$M$10,CHOOSE(ArtifactsInput!$N$10+1,15,18,21,24,27,30)*(IF(Inputs!$B$39="pvp",MIN(15,15)/15,IF(AND(Inputs!$B$39&lt;&gt;"pvp",Inputs!$B$44&gt;0),MIN(15,Inputs!$B$44)/(Inputs!$B$44),0))),0)))&gt;=100),CHOOSE(ArtifactsInput!$N$42+1,40,48,56,64,72,80),0))))/100)*(((1+(((C1979=TRUE)*F1979*IF(AND(Inputs!$B$39&lt;&gt;"pvp",Inputs!$B$44&gt;0),(((R1979-1)*MIN((Skills!Y22*(1+Inputs!$B$34/100)),(1/Q1979))+MIN((Skills!Y22*(1+Inputs!$B$34/100)),MAX(0,Inputs!$B$44-((R1979-1)*(1/Q1979)))))/Inputs!$B$44),IF(Inputs!$B$39="pvp",MIN((Skills!Y22*(1+Inputs!$B$34/100)),15)/15,MIN(1,(Skills!Y22*(1+Inputs!$B$34/100))/(1/Q1979)))))+((C1960=TRUE)*F1960*3)+((C1962=TRUE)*F1962*(1-EXP(-0.75*B1995*5)))+((C1981=TRUE)*(F1981-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1968=TRUE)*F1968*IF(AND(Inputs!$B$39&lt;&gt;"pvp",Inputs!$B$44&gt;0),(((R1968-1)*MIN((Skills!Y11*(1+Inputs!$B$34/100)),(1/Q1968))+MIN((Skills!Y11*(1+Inputs!$B$34/100)),MAX(0,Inputs!$B$44-((R1968-1)*(1/Q1968)))))/Inputs!$B$44),IF(Inputs!$B$39="pvp",MIN((Skills!Y11*(1+Inputs!$B$34/100)),15)/15,MIN(1,(Skills!Y11*(1+Inputs!$B$34/100))/(1/Q1968)))))/100)*(1+((C1973=TRUE)*F1973*IF(AND(Inputs!$B$39&lt;&gt;"pvp",Inputs!$B$44&gt;0),(((R1973-1)*MIN((Skills!Y16*(1+Inputs!$B$34/100)),(1/Q1973))+MIN((Skills!Y16*(1+Inputs!$B$34/100)),MAX(0,Inputs!$B$44-((R1973-1)*(1/Q1973)))))/Inputs!$B$44),IF(Inputs!$B$39="pvp",MIN((Skills!Y16*(1+Inputs!$B$34/100)),15)/15,MIN(1,(Skills!Y16*(1+Inputs!$B$34/100))/(1/Q1973)))))/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1993*I1959)</f>
        <v/>
      </c>
      <c r="L1959">
        <f>K1959*(MIN(Inputs!$B$22+((C1982=TRUE)*(F1982-Calc!F25)),(Inputs!$B$23+((C1987=TRUE)*(F1987-Calc!F30))+IF(ArtifactsInput!$M$15,CHOOSE(ArtifactsInput!$N$15+1,25,30,35,40,45,50)/100*(Inputs!$B$11-Inputs!$B$11),0)))/100+(Inputs!$B$23+((C1987=TRUE)*(F1987-Calc!F30))+IF(ArtifactsInput!$M$15,CHOOSE(ArtifactsInput!$N$15+1,25,30,35,40,45,50)/100*(Inputs!$B$11-Inputs!$B$11),0))/100)/2</f>
        <v/>
      </c>
      <c r="M1959">
        <f>L1959*(1+(Inputs!$B$10+((C1984=TRUE)*(F1984-Calc!F27))+B1998+(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1959">
        <f>L1959*(1-MIN((Inputs!$B$9+((C1983=TRUE)*(F1983-Calc!F26))+B1991+(ArtifactsInput!$M$24-ArtifactsInput!$M$24)*CHOOSE(ArtifactsInput!$N$24+1,10,12,14,16,18,20)+(IF(AND(Inputs!$B$39&lt;&gt;"pvp",Inputs!$B$44=0),1,IF(IF(Inputs!$B$39="pvp",15,Inputs!$B$44)-(B2002)&lt;=0,1,MAX(0,IF(Inputs!$B$39="pvp",15,Inputs!$B$44)-MAX(5,B2002))/(IF(Inputs!$B$39="pvp",15,Inputs!$B$44)-(B2002))))*IF(AND(ArtifactsInput!$M$42,((Inputs!$B$9+((C1983=TRUE)*(F1983-Calc!F26))+B1991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1959*(MIN((Inputs!$B$9+((C1983=TRUE)*(F1983-Calc!F26))+B1991+(ArtifactsInput!$M$24-ArtifactsInput!$M$24)*CHOOSE(ArtifactsInput!$N$24+1,10,12,14,16,18,20)+(IF(AND(Inputs!$B$39&lt;&gt;"pvp",Inputs!$B$44=0),1,IF(IF(Inputs!$B$39="pvp",15,Inputs!$B$44)-(B2002)&lt;=0,1,MAX(0,IF(Inputs!$B$39="pvp",15,Inputs!$B$44)-MAX(5,B2002))/(IF(Inputs!$B$39="pvp",15,Inputs!$B$44)-(B2002))))*IF(AND(ArtifactsInput!$M$42,((Inputs!$B$9+((C1983=TRUE)*(F1983-Calc!F26))+B1991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959">
        <f>(1-Summary!$B$11)*T1959+Summary!$B$11*V1959</f>
        <v/>
      </c>
      <c r="P1959">
        <f>IF(B2003=0,0,O1959/B2003)</f>
        <v/>
      </c>
      <c r="Q1959" t="n">
        <v>0</v>
      </c>
      <c r="R1959" t="n">
        <v>0</v>
      </c>
      <c r="S1959">
        <f>IFERROR(O1959/N1959,0)</f>
        <v/>
      </c>
      <c r="T1959">
        <f>IF(C1959,(Skills!G2*N1959*B1997)*IF(Inputs!$B$39="pvp",1,1+(Inputs!$B$20+0+Skills!P2+B1992+(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Hunt"),CHOOSE(ArtifactsInput!$N$35+1,15,18,21,24,27,30)*(1-EXP(-(0.2*B1995)*5)),0)+IF(AND(ArtifactsInput!$M$22,Inputs!$B$4&lt;&gt;"Chapter Hunt"),CHOOSE(ArtifactsInput!$N$22+1,10,12,14,16,18,20)*((0*(((0.15*B1995*5))^0/1)+1*(((0.15*B1995*5))^1/1)+2*(((0.15*B1995*5))^2/2)+3*(((0.15*B1995*5))^3/6)+4*(((0.15*B1995*5))^4/24)+5*(((0.15*B1995*5))^5/120))/((((0.15*B1995*5))^0/1)+(((0.15*B1995*5))^1/1)+(((0.15*B1995*5))^2/2)+(((0.15*B1995*5))^3/6)+(((0.15*B1995*5))^4/24)+(((0.15*B1995*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1959*(1-MIN(100,(Inputs!$B$9+((C1983=TRUE)*(F1983-Calc!F26))+B1991+(ArtifactsInput!$M$24-ArtifactsInput!$M$24)*CHOOSE(ArtifactsInput!$N$24+1,10,12,14,16,18,20)+(IF(AND(Inputs!$B$39&lt;&gt;"pvp",Inputs!$B$44=0),1,IF(IF(Inputs!$B$39="pvp",15,Inputs!$B$44)-(B2002)&lt;=0,1,MAX(0,IF(Inputs!$B$39="pvp",15,Inputs!$B$44)-MAX(5,B2002))/(IF(Inputs!$B$39="pvp",15,Inputs!$B$44)-(B2002))))*IF(AND(ArtifactsInput!$M$42,((Inputs!$B$9+((C1983=TRUE)*(F1983-Calc!F26))+B1991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1959*(MIN(100,(Inputs!$B$9+((C1983=TRUE)*(F1983-Calc!F26))+B1991+(ArtifactsInput!$M$24-ArtifactsInput!$M$24)*CHOOSE(ArtifactsInput!$N$24+1,10,12,14,16,18,20)+(IF(AND(Inputs!$B$39&lt;&gt;"pvp",Inputs!$B$44=0),1,IF(IF(Inputs!$B$39="pvp",15,Inputs!$B$44)-(B2002)&lt;=0,1,MAX(0,IF(Inputs!$B$39="pvp",15,Inputs!$B$44)-MAX(5,B2002))/(IF(Inputs!$B$39="pvp",15,Inputs!$B$44)-(B2002))))*IF(AND(ArtifactsInput!$M$42,((Inputs!$B$9+((C1983=TRUE)*(F1983-Calc!F26))+B1991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1959*(1-MIN(100,(Inputs!$B$9+((C1983=TRUE)*(F1983-Calc!F26))+B1991+(ArtifactsInput!$M$24-ArtifactsInput!$M$24)*CHOOSE(ArtifactsInput!$N$24+1,10,12,14,16,18,20)+(IF(AND(Inputs!$B$39&lt;&gt;"pvp",Inputs!$B$44=0),1,IF(IF(Inputs!$B$39="pvp",15,Inputs!$B$44)-(B2002)&lt;=0,1,MAX(0,IF(Inputs!$B$39="pvp",15,Inputs!$B$44)-MAX(5,B2002))/(IF(Inputs!$B$39="pvp",15,Inputs!$B$44)-(B2002))))*IF(AND(ArtifactsInput!$M$42,((Inputs!$B$9+((C1983=TRUE)*(F1983-Calc!F26))+B1991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1959*(MIN(100,(Inputs!$B$9+((C1983=TRUE)*(F1983-Calc!F26))+B1991+(ArtifactsInput!$M$24-ArtifactsInput!$M$24)*CHOOSE(ArtifactsInput!$N$24+1,10,12,14,16,18,20)+(IF(AND(Inputs!$B$39&lt;&gt;"pvp",Inputs!$B$44=0),1,IF(IF(Inputs!$B$39="pvp",15,Inputs!$B$44)-(B2002)&lt;=0,1,MAX(0,IF(Inputs!$B$39="pvp",15,Inputs!$B$44)-MAX(5,B2002))/(IF(Inputs!$B$39="pvp",15,Inputs!$B$44)-(B2002))))*IF(AND(ArtifactsInput!$M$42,((Inputs!$B$9+((C1983=TRUE)*(F1983-Calc!F26))+B1991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1959">
        <f>MAX(0,(Inputs!$B$3-100)*3)+Inputs!$B$28+Inputs!$B$29</f>
        <v/>
      </c>
      <c r="V1959">
        <f>IF(C1959,(Skills!G2*N1959*B1997)*IF(Inputs!$B$39="pvp",1,(1+(Inputs!$B$21+Skills!Q2+B1992+(IF(ArtifactsInput!$M$33,CHOOSE(ArtifactsInput!$N$33+1,30,36,42,48,54,60),0))+(IF(AND(ArtifactsInput!$M$35,Inputs!$B$4&lt;&gt;"Chapter Hunt"),CHOOSE(ArtifactsInput!$N$35+1,15,18,21,24,27,30)*(1-EXP(-(0.2*B1995)*5)),0)+IF(AND(ArtifactsInput!$M$22,Inputs!$B$4&lt;&gt;"Chapter Hunt"),CHOOSE(ArtifactsInput!$N$22+1,10,12,14,16,18,20)*((0*(((0.15*B1995*5))^0/1)+1*(((0.15*B1995*5))^1/1)+2*(((0.15*B1995*5))^2/2)+3*(((0.15*B1995*5))^3/6)+4*(((0.15*B1995*5))^4/24)+5*(((0.15*B1995*5))^5/120))/((((0.15*B1995*5))^0/1)+(((0.15*B1995*5))^1/1)+(((0.15*B1995*5))^2/2)+(((0.15*B1995*5))^3/6)+(((0.15*B1995*5))^4/24)+(((0.15*B1995*5))^5/120))),0)))/100)*(MIN((6+Inputs!$B$33),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960">
      <c r="A1960">
        <f>Skills!A3</f>
        <v/>
      </c>
      <c r="B1960">
        <f>Skills!B3</f>
        <v/>
      </c>
      <c r="C1960">
        <f>Inputs!$B$3&gt;=35</f>
        <v/>
      </c>
      <c r="D1960">
        <f>IF(Skills!C3=1,60+Inputs!$B$25+Inputs!$B$29,IF(Skills!C3=2,90+Inputs!$B$26+Inputs!$B$29,IF(Skills!C3=3,120+Inputs!$B$27+Inputs!$B$29,MAX(0,(Inputs!$B$3-100)*3)+Inputs!$B$28+Inputs!$B$29)))</f>
        <v/>
      </c>
      <c r="E1960">
        <f>INDEX(FactorTable!$B$2:$Y$301, MATCH(ROUND(MIN(300,MAX(1,D1960)),0), FactorTable!$A$2:$A$301,0), Skills!M3+1)</f>
        <v/>
      </c>
      <c r="F1960">
        <f>IF(Skills!N3=TRUE,(Skills!L3/10)*(E1960/1000),Skills!L3/10)+Skills!O3</f>
        <v/>
      </c>
      <c r="G1960">
        <f>Skills!G3*IF(Skills!H3&gt;0,IF(Inputs!$B$39="pvp",MIN(Skills!I3,15),Skills!I3)/Skills!H3,1)</f>
        <v/>
      </c>
      <c r="H1960">
        <f>1-(1-Skills!J3/100)^Skills!K3</f>
        <v/>
      </c>
      <c r="I1960" t="inlineStr">
        <is>
          <t>1</t>
        </is>
      </c>
      <c r="J1960" t="inlineStr"/>
      <c r="K1960" t="inlineStr"/>
      <c r="L1960" t="inlineStr"/>
      <c r="M1960" t="inlineStr"/>
      <c r="N1960" t="inlineStr"/>
      <c r="O1960">
        <f>(1-Summary!$B$11)*T1960+Summary!$B$11*V1960</f>
        <v/>
      </c>
      <c r="P1960">
        <f>IF(B2003=0,0,O1960/B2003)</f>
        <v/>
      </c>
      <c r="Q1960" t="n">
        <v>0</v>
      </c>
      <c r="R1960" t="n">
        <v>0</v>
      </c>
      <c r="S1960">
        <f>IFERROR(O1960/N1960,0)</f>
        <v/>
      </c>
      <c r="T1960" t="n">
        <v>0</v>
      </c>
      <c r="U1960">
        <f>INDEX(FactorTable!$B$2:$Y$301, MATCH(ROUND(MIN(300,MAX(1,U1959)),0), FactorTable!$A$2:$A$301,0), 22)</f>
        <v/>
      </c>
      <c r="V1960" t="n">
        <v>0</v>
      </c>
    </row>
    <row r="1961">
      <c r="A1961">
        <f>Skills!A4</f>
        <v/>
      </c>
      <c r="B1961">
        <f>Skills!B4</f>
        <v/>
      </c>
      <c r="C1961">
        <f>Inputs!$B$3&gt;=66</f>
        <v/>
      </c>
      <c r="D1961">
        <f>IF(Skills!C4=1,60+Inputs!$B$25+Inputs!$B$29,IF(Skills!C4=2,90+Inputs!$B$26+Inputs!$B$29,IF(Skills!C4=3,120+Inputs!$B$27+Inputs!$B$29,MAX(0,(Inputs!$B$3-100)*3)+Inputs!$B$28+Inputs!$B$29)))</f>
        <v/>
      </c>
      <c r="E1961">
        <f>INDEX(FactorTable!$B$2:$Y$301, MATCH(ROUND(MIN(300,MAX(1,D1961)),0), FactorTable!$A$2:$A$301,0), Skills!M4+1)</f>
        <v/>
      </c>
      <c r="F1961">
        <f>IF(Skills!N4=TRUE,(Skills!L4/10)*(E1961/1000),Skills!L4/10)+Skills!O4</f>
        <v/>
      </c>
      <c r="G1961">
        <f>Skills!G4*IF(Skills!H4&gt;0,IF(Inputs!$B$39="pvp",MIN(Skills!I4,15),Skills!I4)/Skills!H4,1)</f>
        <v/>
      </c>
      <c r="H1961">
        <f>1-(1-Skills!J4/100)^Skills!K4</f>
        <v/>
      </c>
      <c r="I1961" t="inlineStr">
        <is>
          <t>1</t>
        </is>
      </c>
      <c r="J1961">
        <f>((Inputs!$B$6*(1+Inputs!$B$7/100))+(((Inputs!$B$12*(1+Inputs!$B$13/100))-(Inputs!$B$12*(1+Inputs!$B$13/100)))+0.25*(Inputs!$B$14-Inputs!$B$14))*(1+Inputs!$B$7/100))*(F1961/100)</f>
        <v/>
      </c>
      <c r="K1961">
        <f>J1961*(1+((Inputs!$B$12*(1+Inputs!$B$13/100))*0.01+Inputs!$B$14*0.0025)/100)*(1+Inputs!$B$15/100)*(1+Inputs!$B$16/100)*(5000/(6000+Inputs!$B$43*(1-(100*(1-(1-Inputs!$B$19/100)*(1-CHOOSE(ArtifactsInput!$N$40+1,5,6,7,8,9,10)/100)^(ArtifactsInput!$M$40-ArtifactsInput!$M$40)))/100)))*(1+(Inputs!$B$24+((C1988=TRUE)*(F1988-Calc!F31))+((C1975=TRUE)*(F1975-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4="CRUEL_STAB",Inputs!$B$17+((C1985=TRUE)*(F1985-Calc!F28))+((IF(AND(Inputs!$B$39&lt;&gt;"pvp",Inputs!$B$44=0),1,IF(IF(Inputs!$B$39="pvp",15,Inputs!$B$44)-(B2002)&lt;=0,1,MAX(0,IF(Inputs!$B$39="pvp",15,Inputs!$B$44)-MAX(5,B2002))/(IF(Inputs!$B$39="pvp",15,Inputs!$B$44)-(B2002))))*(IF(AND(ArtifactsInput!$M$42,((Inputs!$B$9+((C1983=TRUE)*(F1983-Calc!F26))+B1991+(ArtifactsInput!$M$24-ArtifactsInput!$M$24)*CHOOSE(ArtifactsInput!$N$24+1,10,12,14,16,18,20)+IF(ArtifactsInput!$M$10,CHOOSE(ArtifactsInput!$N$10+1,15,18,21,24,27,30)*(IF(Inputs!$B$39="pvp",MIN(15,15)/15,IF(AND(Inputs!$B$39&lt;&gt;"pvp",Inputs!$B$44&gt;0),MIN(15,Inputs!$B$44)/(Inputs!$B$44),0))),0)))&gt;=100),MIN(100,((Inputs!$B$9+((C1983=TRUE)*(F1983-Calc!F26))+B1991+(ArtifactsInput!$M$24-ArtifactsInput!$M$24)*CHOOSE(ArtifactsInput!$N$24+1,10,12,14,16,18,20)+IF(ArtifactsInput!$M$10,CHOOSE(ArtifactsInput!$N$10+1,15,18,21,24,27,30)*(IF(Inputs!$B$39="pvp",MIN(15,15)/15,IF(AND(Inputs!$B$39&lt;&gt;"pvp",Inputs!$B$44&gt;0),MIN(15,Inputs!$B$44)/(Inputs!$B$44),0))),0)))-100),0))*CHOOSE(ArtifactsInput!$N$42+1,0.6,0.72,0.84,0.96,1.08,1.2))),Inputs!$B$18+((C1986=TRUE)*(F1986-Calc!F29))+(IF(AND(Inputs!$B$39&lt;&gt;"pvp",Inputs!$B$44=0),1,IF(IF(Inputs!$B$39="pvp",15,Inputs!$B$44)-(B2002)&lt;=0,1,MAX(0,IF(Inputs!$B$39="pvp",15,Inputs!$B$44)-MAX(5,B2002))/(IF(Inputs!$B$39="pvp",15,Inputs!$B$44)-(B2002))))*IF(AND(ArtifactsInput!$M$42,((Inputs!$B$9+((C1983=TRUE)*(F1983-Calc!F26))+B1991+(ArtifactsInput!$M$24-ArtifactsInput!$M$24)*CHOOSE(ArtifactsInput!$N$24+1,10,12,14,16,18,20)+IF(ArtifactsInput!$M$10,CHOOSE(ArtifactsInput!$N$10+1,15,18,21,24,27,30)*(IF(Inputs!$B$39="pvp",MIN(15,15)/15,IF(AND(Inputs!$B$39&lt;&gt;"pvp",Inputs!$B$44&gt;0),MIN(15,Inputs!$B$44)/(Inputs!$B$44),0))),0)))&gt;=100),CHOOSE(ArtifactsInput!$N$42+1,40,48,56,64,72,80),0))))/100)*(((1+(((C1979=TRUE)*F1979*IF(AND(Inputs!$B$39&lt;&gt;"pvp",Inputs!$B$44&gt;0),(((R1979-1)*MIN((Skills!Y22*(1+Inputs!$B$34/100)),(1/Q1979))+MIN((Skills!Y22*(1+Inputs!$B$34/100)),MAX(0,Inputs!$B$44-((R1979-1)*(1/Q1979)))))/Inputs!$B$44),IF(Inputs!$B$39="pvp",MIN((Skills!Y22*(1+Inputs!$B$34/100)),15)/15,MIN(1,(Skills!Y22*(1+Inputs!$B$34/100))/(1/Q1979)))))+((C1960=TRUE)*F1960*3)+((C1962=TRUE)*F1962*(1-EXP(-0.75*B1995*5)))+((C1981=TRUE)*(F1981-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1968=TRUE)*F1968*IF(AND(Inputs!$B$39&lt;&gt;"pvp",Inputs!$B$44&gt;0),(((R1968-1)*MIN((Skills!Y11*(1+Inputs!$B$34/100)),(1/Q1968))+MIN((Skills!Y11*(1+Inputs!$B$34/100)),MAX(0,Inputs!$B$44-((R1968-1)*(1/Q1968)))))/Inputs!$B$44),IF(Inputs!$B$39="pvp",MIN((Skills!Y11*(1+Inputs!$B$34/100)),15)/15,MIN(1,(Skills!Y11*(1+Inputs!$B$34/100))/(1/Q1968)))))/100)*(1+((C1973=TRUE)*F1973*IF(AND(Inputs!$B$39&lt;&gt;"pvp",Inputs!$B$44&gt;0),(((R1973-1)*MIN((Skills!Y16*(1+Inputs!$B$34/100)),(1/Q1973))+MIN((Skills!Y16*(1+Inputs!$B$34/100)),MAX(0,Inputs!$B$44-((R1973-1)*(1/Q1973)))))/Inputs!$B$44),IF(Inputs!$B$39="pvp",MIN((Skills!Y16*(1+Inputs!$B$34/100)),15)/15,MIN(1,(Skills!Y16*(1+Inputs!$B$34/100))/(1/Q1973)))))/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1993*I1961)</f>
        <v/>
      </c>
      <c r="L1961">
        <f>K1961*(MIN(Inputs!$B$22+((C1982=TRUE)*(F1982-Calc!F25)),(Inputs!$B$23+((C1987=TRUE)*(F1987-Calc!F30))+IF(ArtifactsInput!$M$15,CHOOSE(ArtifactsInput!$N$15+1,25,30,35,40,45,50)/100*(Inputs!$B$11-Inputs!$B$11),0)))/100+(Inputs!$B$23+((C1987=TRUE)*(F1987-Calc!F30))+IF(ArtifactsInput!$M$15,CHOOSE(ArtifactsInput!$N$15+1,25,30,35,40,45,50)/100*(Inputs!$B$11-Inputs!$B$11),0))/100)/2</f>
        <v/>
      </c>
      <c r="M1961">
        <f>L1961*(1+(Inputs!$B$10+((C1984=TRUE)*(F1984-Calc!F27))+B1998+(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1961">
        <f>L1961*(1-MIN((Inputs!$B$9+((C1983=TRUE)*(F1983-Calc!F26))+B1991+(ArtifactsInput!$M$24-ArtifactsInput!$M$24)*CHOOSE(ArtifactsInput!$N$24+1,10,12,14,16,18,20)+(IF(AND(Inputs!$B$39&lt;&gt;"pvp",Inputs!$B$44=0),1,IF(IF(Inputs!$B$39="pvp",15,Inputs!$B$44)-(B2002)&lt;=0,1,MAX(0,IF(Inputs!$B$39="pvp",15,Inputs!$B$44)-MAX(5,B2002))/(IF(Inputs!$B$39="pvp",15,Inputs!$B$44)-(B2002))))*IF(AND(ArtifactsInput!$M$42,((Inputs!$B$9+((C1983=TRUE)*(F1983-Calc!F26))+B1991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1961*(MIN((Inputs!$B$9+((C1983=TRUE)*(F1983-Calc!F26))+B1991+(ArtifactsInput!$M$24-ArtifactsInput!$M$24)*CHOOSE(ArtifactsInput!$N$24+1,10,12,14,16,18,20)+(IF(AND(Inputs!$B$39&lt;&gt;"pvp",Inputs!$B$44=0),1,IF(IF(Inputs!$B$39="pvp",15,Inputs!$B$44)-(B2002)&lt;=0,1,MAX(0,IF(Inputs!$B$39="pvp",15,Inputs!$B$44)-MAX(5,B2002))/(IF(Inputs!$B$39="pvp",15,Inputs!$B$44)-(B2002))))*IF(AND(ArtifactsInput!$M$42,((Inputs!$B$9+((C1983=TRUE)*(F1983-Calc!F26))+B1991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961">
        <f>(1-Summary!$B$11)*T1961+Summary!$B$11*V1961</f>
        <v/>
      </c>
      <c r="P1961">
        <f>IF(B2003=0,0,O1961/B2003)</f>
        <v/>
      </c>
      <c r="Q1961">
        <f>IFERROR(1/IF(Inputs!$B$39="pvp",15,MAX(0.1,Skills!D4-IF(TRUE=TRUE,Inputs!$B$32,0))),0)</f>
        <v/>
      </c>
      <c r="R1961">
        <f>IF(AND(Inputs!$B$39&lt;&gt;"pvp",Inputs!$B$44&gt;0),IF(MAX(0,Inputs!$B$44-B2002)&lt;=0,0,(INT(MAX(0,Inputs!$B$44-B2002)/IF(Inputs!$B$39="pvp",15,MAX(0.1,Skills!D4-IF(TRUE=TRUE,Inputs!$B$32,0))))+1)),0)</f>
        <v/>
      </c>
      <c r="S1961">
        <f>IFERROR(O1961/N1961,0)</f>
        <v/>
      </c>
      <c r="T1961">
        <f>IF(C1961,(H1961*N1961*IF(AND(Inputs!$B$39&lt;&gt;"pvp",Inputs!$B$44&gt;0),((Skills!G4*((R1961-1)*IF(Skills!H4&gt;0,Skills!I4/Skills!H4,1)+IF(Skills!H4&gt;0,MIN(Skills!I4,MAX(0,MAX(0,Inputs!$B$44-B2002)-((R1961-1)*IF(Inputs!$B$39="pvp",15,MAX(0.1,Skills!D4-IF(TRUE=TRUE,Inputs!$B$32,0))))))/Skills!H4,1)))/Inputs!$B$44),G1961*Q1961))*IF(Inputs!$B$39="pvp",1,1+(Inputs!$B$20+0+Skills!P4+B1992+(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Hunt"),CHOOSE(ArtifactsInput!$N$35+1,15,18,21,24,27,30)*(1-EXP(-(0.2*B1995)*5)),0)+IF(AND(ArtifactsInput!$M$22,Inputs!$B$4&lt;&gt;"Chapter Hunt"),CHOOSE(ArtifactsInput!$N$22+1,10,12,14,16,18,20)*((0*(((0.15*B1995*5))^0/1)+1*(((0.15*B1995*5))^1/1)+2*(((0.15*B1995*5))^2/2)+3*(((0.15*B1995*5))^3/6)+4*(((0.15*B1995*5))^4/24)+5*(((0.15*B1995*5))^5/120))/((((0.15*B1995*5))^0/1)+(((0.15*B1995*5))^1/1)+(((0.15*B1995*5))^2/2)+(((0.15*B1995*5))^3/6)+(((0.15*B1995*5))^4/24)+(((0.15*B1995*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1961*(1-MIN(100,(Inputs!$B$9+((C1983=TRUE)*(F1983-Calc!F26))+B1991+(ArtifactsInput!$M$24-ArtifactsInput!$M$24)*CHOOSE(ArtifactsInput!$N$24+1,10,12,14,16,18,20)+(IF(AND(Inputs!$B$39&lt;&gt;"pvp",Inputs!$B$44=0),1,IF(IF(Inputs!$B$39="pvp",15,Inputs!$B$44)-(B2002)&lt;=0,1,MAX(0,IF(Inputs!$B$39="pvp",15,Inputs!$B$44)-MAX(5,B2002))/(IF(Inputs!$B$39="pvp",15,Inputs!$B$44)-(B2002))))*IF(AND(ArtifactsInput!$M$42,((Inputs!$B$9+((C1983=TRUE)*(F1983-Calc!F26))+B1991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1961*(MIN(100,(Inputs!$B$9+((C1983=TRUE)*(F1983-Calc!F26))+B1991+(ArtifactsInput!$M$24-ArtifactsInput!$M$24)*CHOOSE(ArtifactsInput!$N$24+1,10,12,14,16,18,20)+(IF(AND(Inputs!$B$39&lt;&gt;"pvp",Inputs!$B$44=0),1,IF(IF(Inputs!$B$39="pvp",15,Inputs!$B$44)-(B2002)&lt;=0,1,MAX(0,IF(Inputs!$B$39="pvp",15,Inputs!$B$44)-MAX(5,B2002))/(IF(Inputs!$B$39="pvp",15,Inputs!$B$44)-(B2002))))*IF(AND(ArtifactsInput!$M$42,((Inputs!$B$9+((C1983=TRUE)*(F1983-Calc!F26))+B1991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1961*(1-MIN(100,(Inputs!$B$9+((C1983=TRUE)*(F1983-Calc!F26))+B1991+(ArtifactsInput!$M$24-ArtifactsInput!$M$24)*CHOOSE(ArtifactsInput!$N$24+1,10,12,14,16,18,20)+(IF(AND(Inputs!$B$39&lt;&gt;"pvp",Inputs!$B$44=0),1,IF(IF(Inputs!$B$39="pvp",15,Inputs!$B$44)-(B2002)&lt;=0,1,MAX(0,IF(Inputs!$B$39="pvp",15,Inputs!$B$44)-MAX(5,B2002))/(IF(Inputs!$B$39="pvp",15,Inputs!$B$44)-(B2002))))*IF(AND(ArtifactsInput!$M$42,((Inputs!$B$9+((C1983=TRUE)*(F1983-Calc!F26))+B1991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1961*(MIN(100,(Inputs!$B$9+((C1983=TRUE)*(F1983-Calc!F26))+B1991+(ArtifactsInput!$M$24-ArtifactsInput!$M$24)*CHOOSE(ArtifactsInput!$N$24+1,10,12,14,16,18,20)+(IF(AND(Inputs!$B$39&lt;&gt;"pvp",Inputs!$B$44=0),1,IF(IF(Inputs!$B$39="pvp",15,Inputs!$B$44)-(B2002)&lt;=0,1,MAX(0,IF(Inputs!$B$39="pvp",15,Inputs!$B$44)-MAX(5,B2002))/(IF(Inputs!$B$39="pvp",15,Inputs!$B$44)-(B2002))))*IF(AND(ArtifactsInput!$M$42,((Inputs!$B$9+((C1983=TRUE)*(F1983-Calc!F26))+B1991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1961">
        <f>290*U1960/1000</f>
        <v/>
      </c>
      <c r="V1961">
        <f>IF(C1961,(H1961*N1961*IF(AND(Inputs!$B$39&lt;&gt;"pvp",Inputs!$B$44&gt;0),((Skills!G4*((R1961-1)*IF(Skills!H4&gt;0,Skills!I4/Skills!H4,1)+IF(Skills!H4&gt;0,MIN(Skills!I4,MAX(0,MAX(0,Inputs!$B$44-B2002)-((R1961-1)*IF(Inputs!$B$39="pvp",15,MAX(0.1,Skills!D4-IF(TRUE=TRUE,Inputs!$B$32,0))))))/Skills!H4,1)))/Inputs!$B$44),G1961*Q1961))*IF(Inputs!$B$39="pvp",1,(1+(Inputs!$B$21+Skills!Q4+B1992+(IF(ArtifactsInput!$M$33,CHOOSE(ArtifactsInput!$N$33+1,30,36,42,48,54,60),0))+(IF(AND(ArtifactsInput!$M$35,Inputs!$B$4&lt;&gt;"Chapter Hunt"),CHOOSE(ArtifactsInput!$N$35+1,15,18,21,24,27,30)*(1-EXP(-(0.2*B1995)*5)),0)+IF(AND(ArtifactsInput!$M$22,Inputs!$B$4&lt;&gt;"Chapter Hunt"),CHOOSE(ArtifactsInput!$N$22+1,10,12,14,16,18,20)*((0*(((0.15*B1995*5))^0/1)+1*(((0.15*B1995*5))^1/1)+2*(((0.15*B1995*5))^2/2)+3*(((0.15*B1995*5))^3/6)+4*(((0.15*B1995*5))^4/24)+5*(((0.15*B1995*5))^5/120))/((((0.15*B1995*5))^0/1)+(((0.15*B1995*5))^1/1)+(((0.15*B1995*5))^2/2)+(((0.15*B1995*5))^3/6)+(((0.15*B1995*5))^4/24)+(((0.15*B1995*5))^5/120))),0)))/100)*(MIN(MIN(10,IF(Inputs!$B$3&gt;=75,0.75,0.5)*B1995*(1/Q1961)),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962">
      <c r="A1962">
        <f>Skills!A5</f>
        <v/>
      </c>
      <c r="B1962">
        <f>Skills!B5</f>
        <v/>
      </c>
      <c r="C1962">
        <f>Inputs!$B$3&gt;=75</f>
        <v/>
      </c>
      <c r="D1962">
        <f>IF(Skills!C5=1,60+Inputs!$B$25+Inputs!$B$29,IF(Skills!C5=2,90+Inputs!$B$26+Inputs!$B$29,IF(Skills!C5=3,120+Inputs!$B$27+Inputs!$B$29,MAX(0,(Inputs!$B$3-100)*3)+Inputs!$B$28+Inputs!$B$29)))</f>
        <v/>
      </c>
      <c r="E1962">
        <f>INDEX(FactorTable!$B$2:$Y$301, MATCH(ROUND(MIN(300,MAX(1,D1962)),0), FactorTable!$A$2:$A$301,0), Skills!M5+1)</f>
        <v/>
      </c>
      <c r="F1962">
        <f>IF(Skills!N5=TRUE,(Skills!L5/10)*(E1962/1000),Skills!L5/10)+Skills!O5</f>
        <v/>
      </c>
      <c r="G1962">
        <f>Skills!G5*IF(Skills!H5&gt;0,IF(Inputs!$B$39="pvp",MIN(Skills!I5,15),Skills!I5)/Skills!H5,1)</f>
        <v/>
      </c>
      <c r="H1962">
        <f>1-(1-Skills!J5/100)^Skills!K5</f>
        <v/>
      </c>
      <c r="I1962" t="inlineStr">
        <is>
          <t>1</t>
        </is>
      </c>
      <c r="J1962" t="inlineStr"/>
      <c r="K1962" t="inlineStr"/>
      <c r="L1962" t="inlineStr"/>
      <c r="M1962" t="inlineStr"/>
      <c r="N1962" t="inlineStr"/>
      <c r="O1962">
        <f>(1-Summary!$B$11)*T1962+Summary!$B$11*V1962</f>
        <v/>
      </c>
      <c r="P1962">
        <f>IF(B2003=0,0,O1962/B2003)</f>
        <v/>
      </c>
      <c r="Q1962" t="n">
        <v>0</v>
      </c>
      <c r="R1962" t="n">
        <v>0</v>
      </c>
      <c r="S1962">
        <f>IFERROR(O1962/N1962,0)</f>
        <v/>
      </c>
      <c r="T1962" t="n">
        <v>0</v>
      </c>
      <c r="V1962" t="n">
        <v>0</v>
      </c>
    </row>
    <row r="1963">
      <c r="A1963">
        <f>Skills!A6</f>
        <v/>
      </c>
      <c r="B1963">
        <f>Skills!B6</f>
        <v/>
      </c>
      <c r="C1963">
        <f>Inputs!$B$3&gt;=63</f>
        <v/>
      </c>
      <c r="D1963">
        <f>IF(Skills!C6=1,60+Inputs!$B$25+Inputs!$B$29,IF(Skills!C6=2,90+Inputs!$B$26+Inputs!$B$29,IF(Skills!C6=3,120+Inputs!$B$27+Inputs!$B$29,MAX(0,(Inputs!$B$3-100)*3)+Inputs!$B$28+Inputs!$B$29)))</f>
        <v/>
      </c>
      <c r="E1963">
        <f>INDEX(FactorTable!$B$2:$Y$301, MATCH(ROUND(MIN(300,MAX(1,D1963)),0), FactorTable!$A$2:$A$301,0), Skills!M6+1)</f>
        <v/>
      </c>
      <c r="F1963">
        <f>IF(Skills!N6=TRUE,(Skills!L6/10)*(E1963/1000),Skills!L6/10)+Skills!O6</f>
        <v/>
      </c>
      <c r="G1963">
        <f>Skills!G6*IF(Skills!H6&gt;0,IF(Inputs!$B$39="pvp",MIN(Skills!I6,15),Skills!I6)/Skills!H6,1)</f>
        <v/>
      </c>
      <c r="H1963">
        <f>1-(1-Skills!J6/100)^Skills!K6</f>
        <v/>
      </c>
      <c r="I1963" t="inlineStr">
        <is>
          <t>1</t>
        </is>
      </c>
      <c r="J1963">
        <f>((Inputs!$B$6*(1+Inputs!$B$7/100))+(((Inputs!$B$12*(1+Inputs!$B$13/100))-(Inputs!$B$12*(1+Inputs!$B$13/100)))+0.25*(Inputs!$B$14-Inputs!$B$14))*(1+Inputs!$B$7/100))*(F1963/100)</f>
        <v/>
      </c>
      <c r="K1963">
        <f>J1963*(1+((Inputs!$B$12*(1+Inputs!$B$13/100))*0.01+Inputs!$B$14*0.0025)/100)*(1+Inputs!$B$15/100)*(1+Inputs!$B$16/100)*(5000/(6000+Inputs!$B$43*(1-(100*(1-(1-Inputs!$B$19/100)*(1-CHOOSE(ArtifactsInput!$N$40+1,5,6,7,8,9,10)/100)^(ArtifactsInput!$M$40-ArtifactsInput!$M$40)))/100)))*(1+(Inputs!$B$24+((C1988=TRUE)*(F1988-Calc!F31))+((C1975=TRUE)*(F1975-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+2.6666666666666665*IF(C1976=TRUE,F1976,0)/100)*(1+(IF(Skills!A6="CRUEL_STAB",Inputs!$B$17+((C1985=TRUE)*(F1985-Calc!F28))+((IF(AND(Inputs!$B$39&lt;&gt;"pvp",Inputs!$B$44=0),1,IF(IF(Inputs!$B$39="pvp",15,Inputs!$B$44)-(B2002)&lt;=0,1,MAX(0,IF(Inputs!$B$39="pvp",15,Inputs!$B$44)-MAX(5,B2002))/(IF(Inputs!$B$39="pvp",15,Inputs!$B$44)-(B2002))))*(IF(AND(ArtifactsInput!$M$42,((Inputs!$B$9+((C1983=TRUE)*(F1983-Calc!F26))+B1991+(ArtifactsInput!$M$24-ArtifactsInput!$M$24)*CHOOSE(ArtifactsInput!$N$24+1,10,12,14,16,18,20)+IF(ArtifactsInput!$M$10,CHOOSE(ArtifactsInput!$N$10+1,15,18,21,24,27,30)*(IF(Inputs!$B$39="pvp",MIN(15,15)/15,IF(AND(Inputs!$B$39&lt;&gt;"pvp",Inputs!$B$44&gt;0),MIN(15,Inputs!$B$44)/(Inputs!$B$44),0))),0)))&gt;=100),MIN(100,((Inputs!$B$9+((C1983=TRUE)*(F1983-Calc!F26))+B1991+(ArtifactsInput!$M$24-ArtifactsInput!$M$24)*CHOOSE(ArtifactsInput!$N$24+1,10,12,14,16,18,20)+IF(ArtifactsInput!$M$10,CHOOSE(ArtifactsInput!$N$10+1,15,18,21,24,27,30)*(IF(Inputs!$B$39="pvp",MIN(15,15)/15,IF(AND(Inputs!$B$39&lt;&gt;"pvp",Inputs!$B$44&gt;0),MIN(15,Inputs!$B$44)/(Inputs!$B$44),0))),0)))-100),0))*CHOOSE(ArtifactsInput!$N$42+1,0.6,0.72,0.84,0.96,1.08,1.2))),Inputs!$B$18+((C1986=TRUE)*(F1986-Calc!F29))+(IF(AND(Inputs!$B$39&lt;&gt;"pvp",Inputs!$B$44=0),1,IF(IF(Inputs!$B$39="pvp",15,Inputs!$B$44)-(B2002)&lt;=0,1,MAX(0,IF(Inputs!$B$39="pvp",15,Inputs!$B$44)-MAX(5,B2002))/(IF(Inputs!$B$39="pvp",15,Inputs!$B$44)-(B2002))))*IF(AND(ArtifactsInput!$M$42,((Inputs!$B$9+((C1983=TRUE)*(F1983-Calc!F26))+B1991+(ArtifactsInput!$M$24-ArtifactsInput!$M$24)*CHOOSE(ArtifactsInput!$N$24+1,10,12,14,16,18,20)+IF(ArtifactsInput!$M$10,CHOOSE(ArtifactsInput!$N$10+1,15,18,21,24,27,30)*(IF(Inputs!$B$39="pvp",MIN(15,15)/15,IF(AND(Inputs!$B$39&lt;&gt;"pvp",Inputs!$B$44&gt;0),MIN(15,Inputs!$B$44)/(Inputs!$B$44),0))),0)))&gt;=100),CHOOSE(ArtifactsInput!$N$42+1,40,48,56,64,72,80),0))))/100)*(((1+(((C1979=TRUE)*F1979*IF(AND(Inputs!$B$39&lt;&gt;"pvp",Inputs!$B$44&gt;0),(((R1979-1)*MIN((Skills!Y22*(1+Inputs!$B$34/100)),(1/Q1979))+MIN((Skills!Y22*(1+Inputs!$B$34/100)),MAX(0,Inputs!$B$44-((R1979-1)*(1/Q1979)))))/Inputs!$B$44),IF(Inputs!$B$39="pvp",MIN((Skills!Y22*(1+Inputs!$B$34/100)),15)/15,MIN(1,(Skills!Y22*(1+Inputs!$B$34/100))/(1/Q1979)))))+((C1960=TRUE)*F1960*3)+((C1962=TRUE)*F1962*(1-EXP(-0.75*B1995*5)))+((C1981=TRUE)*(F1981-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1968=TRUE)*F1968*IF(AND(Inputs!$B$39&lt;&gt;"pvp",Inputs!$B$44&gt;0),(((R1968-1)*MIN((Skills!Y11*(1+Inputs!$B$34/100)),(1/Q1968))+MIN((Skills!Y11*(1+Inputs!$B$34/100)),MAX(0,Inputs!$B$44-((R1968-1)*(1/Q1968)))))/Inputs!$B$44),IF(Inputs!$B$39="pvp",MIN((Skills!Y11*(1+Inputs!$B$34/100)),15)/15,MIN(1,(Skills!Y11*(1+Inputs!$B$34/100))/(1/Q1968)))))/100)*(1+((C1973=TRUE)*F1973*IF(AND(Inputs!$B$39&lt;&gt;"pvp",Inputs!$B$44&gt;0),(((R1973-1)*MIN((Skills!Y16*(1+Inputs!$B$34/100)),(1/Q1973))+MIN((Skills!Y16*(1+Inputs!$B$34/100)),MAX(0,Inputs!$B$44-((R1973-1)*(1/Q1973)))))/Inputs!$B$44),IF(Inputs!$B$39="pvp",MIN((Skills!Y16*(1+Inputs!$B$34/100)),15)/15,MIN(1,(Skills!Y16*(1+Inputs!$B$34/100))/(1/Q1973)))))/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1993*I1963)</f>
        <v/>
      </c>
      <c r="L1963">
        <f>K1963*(MIN(Inputs!$B$22+((C1982=TRUE)*(F1982-Calc!F25)),(Inputs!$B$23+((C1987=TRUE)*(F1987-Calc!F30))+IF(ArtifactsInput!$M$15,CHOOSE(ArtifactsInput!$N$15+1,25,30,35,40,45,50)/100*(Inputs!$B$11-Inputs!$B$11),0)))/100+(Inputs!$B$23+((C1987=TRUE)*(F1987-Calc!F30))+IF(ArtifactsInput!$M$15,CHOOSE(ArtifactsInput!$N$15+1,25,30,35,40,45,50)/100*(Inputs!$B$11-Inputs!$B$11),0))/100)/2</f>
        <v/>
      </c>
      <c r="M1963">
        <f>L1963*(1+(Inputs!$B$10+((C1984=TRUE)*(F1984-Calc!F27))+B1998+(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1963">
        <f>L1963*(1-MIN((Inputs!$B$9+((C1983=TRUE)*(F1983-Calc!F26))+B1991+(ArtifactsInput!$M$24-ArtifactsInput!$M$24)*CHOOSE(ArtifactsInput!$N$24+1,10,12,14,16,18,20)+(IF(AND(Inputs!$B$39&lt;&gt;"pvp",Inputs!$B$44=0),1,IF(IF(Inputs!$B$39="pvp",15,Inputs!$B$44)-(B2002)&lt;=0,1,MAX(0,IF(Inputs!$B$39="pvp",15,Inputs!$B$44)-MAX(5,B2002))/(IF(Inputs!$B$39="pvp",15,Inputs!$B$44)-(B2002))))*IF(AND(ArtifactsInput!$M$42,((Inputs!$B$9+((C1983=TRUE)*(F1983-Calc!F26))+B1991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1963*(MIN((Inputs!$B$9+((C1983=TRUE)*(F1983-Calc!F26))+B1991+(ArtifactsInput!$M$24-ArtifactsInput!$M$24)*CHOOSE(ArtifactsInput!$N$24+1,10,12,14,16,18,20)+(IF(AND(Inputs!$B$39&lt;&gt;"pvp",Inputs!$B$44=0),1,IF(IF(Inputs!$B$39="pvp",15,Inputs!$B$44)-(B2002)&lt;=0,1,MAX(0,IF(Inputs!$B$39="pvp",15,Inputs!$B$44)-MAX(5,B2002))/(IF(Inputs!$B$39="pvp",15,Inputs!$B$44)-(B2002))))*IF(AND(ArtifactsInput!$M$42,((Inputs!$B$9+((C1983=TRUE)*(F1983-Calc!F26))+B1991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963">
        <f>(1-Summary!$B$11)*T1963+Summary!$B$11*V1963</f>
        <v/>
      </c>
      <c r="P1963">
        <f>IF(B2003=0,0,O1963/B2003)</f>
        <v/>
      </c>
      <c r="Q1963">
        <f>IFERROR(1/IF(Inputs!$B$39="pvp",15,MAX(0.1,Skills!D6-IF(TRUE=TRUE,Inputs!$B$32,0))),0)</f>
        <v/>
      </c>
      <c r="R1963">
        <f>IF(AND(Inputs!$B$39&lt;&gt;"pvp",Inputs!$B$44&gt;0),IF(MAX(0,Inputs!$B$44-B2002)&lt;=0,0,(INT(MAX(0,Inputs!$B$44-B2002)/IF(Inputs!$B$39="pvp",15,MAX(0.1,Skills!D6-IF(TRUE=TRUE,Inputs!$B$32,0))))+1)),0)</f>
        <v/>
      </c>
      <c r="S1963">
        <f>IFERROR(O1963/N1963,0)</f>
        <v/>
      </c>
      <c r="T1963">
        <f>IF(C1963,(H1963*N1963*IF(AND(Inputs!$B$39&lt;&gt;"pvp",Inputs!$B$44&gt;0),((Skills!G6*((R1963-1)*IF(Skills!H6&gt;0,Skills!I6/Skills!H6,1)+IF(Skills!H6&gt;0,MIN(Skills!I6,MAX(0,MAX(0,Inputs!$B$44-B2002)-((R1963-1)*IF(Inputs!$B$39="pvp",15,MAX(0.1,Skills!D6-IF(TRUE=TRUE,Inputs!$B$32,0))))))/Skills!H6,1)))/Inputs!$B$44),G1963*Q1963))*IF(Inputs!$B$39="pvp",1,1+(Inputs!$B$20+0+Skills!P6+B1992+(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Hunt"),CHOOSE(ArtifactsInput!$N$35+1,15,18,21,24,27,30)*(1-EXP(-(0.2*B1995)*5)),0)+IF(AND(ArtifactsInput!$M$22,Inputs!$B$4&lt;&gt;"Chapter Hunt"),CHOOSE(ArtifactsInput!$N$22+1,10,12,14,16,18,20)*((0*(((0.15*B1995*5))^0/1)+1*(((0.15*B1995*5))^1/1)+2*(((0.15*B1995*5))^2/2)+3*(((0.15*B1995*5))^3/6)+4*(((0.15*B1995*5))^4/24)+5*(((0.15*B1995*5))^5/120))/((((0.15*B1995*5))^0/1)+(((0.15*B1995*5))^1/1)+(((0.15*B1995*5))^2/2)+(((0.15*B1995*5))^3/6)+(((0.15*B1995*5))^4/24)+(((0.15*B1995*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1963*(1-MIN(100,(Inputs!$B$9+((C1983=TRUE)*(F1983-Calc!F26))+B1991+(ArtifactsInput!$M$24-ArtifactsInput!$M$24)*CHOOSE(ArtifactsInput!$N$24+1,10,12,14,16,18,20)+(IF(AND(Inputs!$B$39&lt;&gt;"pvp",Inputs!$B$44=0),1,IF(IF(Inputs!$B$39="pvp",15,Inputs!$B$44)-(B2002)&lt;=0,1,MAX(0,IF(Inputs!$B$39="pvp",15,Inputs!$B$44)-MAX(5,B2002))/(IF(Inputs!$B$39="pvp",15,Inputs!$B$44)-(B2002))))*IF(AND(ArtifactsInput!$M$42,((Inputs!$B$9+((C1983=TRUE)*(F1983-Calc!F26))+B1991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1963*(MIN(100,(Inputs!$B$9+((C1983=TRUE)*(F1983-Calc!F26))+B1991+(ArtifactsInput!$M$24-ArtifactsInput!$M$24)*CHOOSE(ArtifactsInput!$N$24+1,10,12,14,16,18,20)+(IF(AND(Inputs!$B$39&lt;&gt;"pvp",Inputs!$B$44=0),1,IF(IF(Inputs!$B$39="pvp",15,Inputs!$B$44)-(B2002)&lt;=0,1,MAX(0,IF(Inputs!$B$39="pvp",15,Inputs!$B$44)-MAX(5,B2002))/(IF(Inputs!$B$39="pvp",15,Inputs!$B$44)-(B2002))))*IF(AND(ArtifactsInput!$M$42,((Inputs!$B$9+((C1983=TRUE)*(F1983-Calc!F26))+B1991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1963*(1-MIN(100,(Inputs!$B$9+((C1983=TRUE)*(F1983-Calc!F26))+B1991+(ArtifactsInput!$M$24-ArtifactsInput!$M$24)*CHOOSE(ArtifactsInput!$N$24+1,10,12,14,16,18,20)+(IF(AND(Inputs!$B$39&lt;&gt;"pvp",Inputs!$B$44=0),1,IF(IF(Inputs!$B$39="pvp",15,Inputs!$B$44)-(B2002)&lt;=0,1,MAX(0,IF(Inputs!$B$39="pvp",15,Inputs!$B$44)-MAX(5,B2002))/(IF(Inputs!$B$39="pvp",15,Inputs!$B$44)-(B2002))))*IF(AND(ArtifactsInput!$M$42,((Inputs!$B$9+((C1983=TRUE)*(F1983-Calc!F26))+B1991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1963*(MIN(100,(Inputs!$B$9+((C1983=TRUE)*(F1983-Calc!F26))+B1991+(ArtifactsInput!$M$24-ArtifactsInput!$M$24)*CHOOSE(ArtifactsInput!$N$24+1,10,12,14,16,18,20)+(IF(AND(Inputs!$B$39&lt;&gt;"pvp",Inputs!$B$44=0),1,IF(IF(Inputs!$B$39="pvp",15,Inputs!$B$44)-(B2002)&lt;=0,1,MAX(0,IF(Inputs!$B$39="pvp",15,Inputs!$B$44)-MAX(5,B2002))/(IF(Inputs!$B$39="pvp",15,Inputs!$B$44)-(B2002))))*IF(AND(ArtifactsInput!$M$42,((Inputs!$B$9+((C1983=TRUE)*(F1983-Calc!F26))+B1991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1963">
        <f>IF(C1963,(H1963*N1963*IF(AND(Inputs!$B$39&lt;&gt;"pvp",Inputs!$B$44&gt;0),((Skills!G6*((R1963-1)*IF(Skills!H6&gt;0,Skills!I6/Skills!H6,1)+IF(Skills!H6&gt;0,MIN(Skills!I6,MAX(0,MAX(0,Inputs!$B$44-B2002)-((R1963-1)*IF(Inputs!$B$39="pvp",15,MAX(0.1,Skills!D6-IF(TRUE=TRUE,Inputs!$B$32,0))))))/Skills!H6,1)))/Inputs!$B$44),G1963*Q1963))*IF(Inputs!$B$39="pvp",1,(1+(Inputs!$B$21+Skills!Q6+B1992+(IF(ArtifactsInput!$M$33,CHOOSE(ArtifactsInput!$N$33+1,30,36,42,48,54,60),0))+(IF(AND(ArtifactsInput!$M$35,Inputs!$B$4&lt;&gt;"Chapter Hunt"),CHOOSE(ArtifactsInput!$N$35+1,15,18,21,24,27,30)*(1-EXP(-(0.2*B1995)*5)),0)+IF(AND(ArtifactsInput!$M$22,Inputs!$B$4&lt;&gt;"Chapter Hunt"),CHOOSE(ArtifactsInput!$N$22+1,10,12,14,16,18,20)*((0*(((0.15*B1995*5))^0/1)+1*(((0.15*B1995*5))^1/1)+2*(((0.15*B1995*5))^2/2)+3*(((0.15*B1995*5))^3/6)+4*(((0.15*B1995*5))^4/24)+5*(((0.15*B1995*5))^5/120))/((((0.15*B1995*5))^0/1)+(((0.15*B1995*5))^1/1)+(((0.15*B1995*5))^2/2)+(((0.15*B1995*5))^3/6)+(((0.15*B1995*5))^4/24)+(((0.15*B1995*5))^5/120))),0)))/100)*(MIN(Skills!W6,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964">
      <c r="A1964">
        <f>Skills!A7</f>
        <v/>
      </c>
      <c r="B1964">
        <f>Skills!B7</f>
        <v/>
      </c>
      <c r="C1964">
        <f>Inputs!$B$3&gt;=69</f>
        <v/>
      </c>
      <c r="D1964">
        <f>IF(Skills!C7=1,60+Inputs!$B$25+Inputs!$B$29,IF(Skills!C7=2,90+Inputs!$B$26+Inputs!$B$29,IF(Skills!C7=3,120+Inputs!$B$27+Inputs!$B$29,MAX(0,(Inputs!$B$3-100)*3)+Inputs!$B$28+Inputs!$B$29)))</f>
        <v/>
      </c>
      <c r="E1964">
        <f>INDEX(FactorTable!$B$2:$Y$301, MATCH(ROUND(MIN(300,MAX(1,D1964)),0), FactorTable!$A$2:$A$301,0), Skills!M7+1)</f>
        <v/>
      </c>
      <c r="F1964">
        <f>IF(Skills!N7=TRUE,(Skills!L7/10)*(E1964/1000),Skills!L7/10)+Skills!O7</f>
        <v/>
      </c>
      <c r="G1964">
        <f>Skills!G7*IF(Skills!H7&gt;0,IF(Inputs!$B$39="pvp",MIN(Skills!I7,15),Skills!I7)/Skills!H7,1)</f>
        <v/>
      </c>
      <c r="H1964">
        <f>1-(1-Skills!J7/100)^Skills!K7</f>
        <v/>
      </c>
      <c r="I1964" t="inlineStr">
        <is>
          <t>1</t>
        </is>
      </c>
      <c r="J1964">
        <f>((Inputs!$B$6*(1+Inputs!$B$7/100))+(((Inputs!$B$12*(1+Inputs!$B$13/100))-(Inputs!$B$12*(1+Inputs!$B$13/100)))+0.25*(Inputs!$B$14-Inputs!$B$14))*(1+Inputs!$B$7/100))*(F1964/100)</f>
        <v/>
      </c>
      <c r="K1964">
        <f>J1964*(1+((Inputs!$B$12*(1+Inputs!$B$13/100))*0.01+Inputs!$B$14*0.0025)/100)*(1+Inputs!$B$15/100)*(1+Inputs!$B$16/100)*(5000/(6000+Inputs!$B$43*(1-(100*(1-(1-Inputs!$B$19/100)*(1-CHOOSE(ArtifactsInput!$N$40+1,5,6,7,8,9,10)/100)^(ArtifactsInput!$M$40-ArtifactsInput!$M$40)))/100)))*(1+(Inputs!$B$24+((C1988=TRUE)*(F1988-Calc!F31))+((C1975=TRUE)*(F1975-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1976=TRUE,F1976,0)/100)*(1+(IF(Skills!A7="CRUEL_STAB",Inputs!$B$17+((C1985=TRUE)*(F1985-Calc!F28))+((IF(AND(Inputs!$B$39&lt;&gt;"pvp",Inputs!$B$44=0),1,IF(IF(Inputs!$B$39="pvp",15,Inputs!$B$44)-(B2002)&lt;=0,1,MAX(0,IF(Inputs!$B$39="pvp",15,Inputs!$B$44)-MAX(5,B2002))/(IF(Inputs!$B$39="pvp",15,Inputs!$B$44)-(B2002))))*(IF(AND(ArtifactsInput!$M$42,((Inputs!$B$9+((C1983=TRUE)*(F1983-Calc!F26))+B1991+(ArtifactsInput!$M$24-ArtifactsInput!$M$24)*CHOOSE(ArtifactsInput!$N$24+1,10,12,14,16,18,20)+IF(ArtifactsInput!$M$10,CHOOSE(ArtifactsInput!$N$10+1,15,18,21,24,27,30)*(IF(Inputs!$B$39="pvp",MIN(15,15)/15,IF(AND(Inputs!$B$39&lt;&gt;"pvp",Inputs!$B$44&gt;0),MIN(15,Inputs!$B$44)/(Inputs!$B$44),0))),0)))&gt;=100),MIN(100,((Inputs!$B$9+((C1983=TRUE)*(F1983-Calc!F26))+B1991+(ArtifactsInput!$M$24-ArtifactsInput!$M$24)*CHOOSE(ArtifactsInput!$N$24+1,10,12,14,16,18,20)+IF(ArtifactsInput!$M$10,CHOOSE(ArtifactsInput!$N$10+1,15,18,21,24,27,30)*(IF(Inputs!$B$39="pvp",MIN(15,15)/15,IF(AND(Inputs!$B$39&lt;&gt;"pvp",Inputs!$B$44&gt;0),MIN(15,Inputs!$B$44)/(Inputs!$B$44),0))),0)))-100),0))*CHOOSE(ArtifactsInput!$N$42+1,0.6,0.72,0.84,0.96,1.08,1.2))),Inputs!$B$18+((C1986=TRUE)*(F1986-Calc!F29))+(IF(AND(Inputs!$B$39&lt;&gt;"pvp",Inputs!$B$44=0),1,IF(IF(Inputs!$B$39="pvp",15,Inputs!$B$44)-(B2002)&lt;=0,1,MAX(0,IF(Inputs!$B$39="pvp",15,Inputs!$B$44)-MAX(5,B2002))/(IF(Inputs!$B$39="pvp",15,Inputs!$B$44)-(B2002))))*IF(AND(ArtifactsInput!$M$42,((Inputs!$B$9+((C1983=TRUE)*(F1983-Calc!F26))+B1991+(ArtifactsInput!$M$24-ArtifactsInput!$M$24)*CHOOSE(ArtifactsInput!$N$24+1,10,12,14,16,18,20)+IF(ArtifactsInput!$M$10,CHOOSE(ArtifactsInput!$N$10+1,15,18,21,24,27,30)*(IF(Inputs!$B$39="pvp",MIN(15,15)/15,IF(AND(Inputs!$B$39&lt;&gt;"pvp",Inputs!$B$44&gt;0),MIN(15,Inputs!$B$44)/(Inputs!$B$44),0))),0)))&gt;=100),CHOOSE(ArtifactsInput!$N$42+1,40,48,56,64,72,80),0))))/100)*(((1+(((C1979=TRUE)*F1979*IF(AND(Inputs!$B$39&lt;&gt;"pvp",Inputs!$B$44&gt;0),(((R1979-1)*MIN((Skills!Y22*(1+Inputs!$B$34/100)),(1/Q1979))+MIN((Skills!Y22*(1+Inputs!$B$34/100)),MAX(0,Inputs!$B$44-((R1979-1)*(1/Q1979)))))/Inputs!$B$44),IF(Inputs!$B$39="pvp",MIN((Skills!Y22*(1+Inputs!$B$34/100)),15)/15,MIN(1,(Skills!Y22*(1+Inputs!$B$34/100))/(1/Q1979)))))+((C1960=TRUE)*F1960*3)+((C1962=TRUE)*F1962*(1-EXP(-0.75*B1995*5)))+((C1981=TRUE)*(F1981-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1968=TRUE)*F1968*IF(AND(Inputs!$B$39&lt;&gt;"pvp",Inputs!$B$44&gt;0),(((R1968-1)*MIN((Skills!Y11*(1+Inputs!$B$34/100)),(1/Q1968))+MIN((Skills!Y11*(1+Inputs!$B$34/100)),MAX(0,Inputs!$B$44-((R1968-1)*(1/Q1968)))))/Inputs!$B$44),IF(Inputs!$B$39="pvp",MIN((Skills!Y11*(1+Inputs!$B$34/100)),15)/15,MIN(1,(Skills!Y11*(1+Inputs!$B$34/100))/(1/Q1968)))))/100)*(1+((C1973=TRUE)*F1973*IF(AND(Inputs!$B$39&lt;&gt;"pvp",Inputs!$B$44&gt;0),(((R1973-1)*MIN((Skills!Y16*(1+Inputs!$B$34/100)),(1/Q1973))+MIN((Skills!Y16*(1+Inputs!$B$34/100)),MAX(0,Inputs!$B$44-((R1973-1)*(1/Q1973)))))/Inputs!$B$44),IF(Inputs!$B$39="pvp",MIN((Skills!Y16*(1+Inputs!$B$34/100)),15)/15,MIN(1,(Skills!Y16*(1+Inputs!$B$34/100))/(1/Q1973)))))/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1993*I1964)</f>
        <v/>
      </c>
      <c r="L1964">
        <f>K1964*(MIN(Inputs!$B$22+((C1982=TRUE)*(F1982-Calc!F25)),(Inputs!$B$23+((C1987=TRUE)*(F1987-Calc!F30))+IF(ArtifactsInput!$M$15,CHOOSE(ArtifactsInput!$N$15+1,25,30,35,40,45,50)/100*(Inputs!$B$11-Inputs!$B$11),0)))/100+(Inputs!$B$23+((C1987=TRUE)*(F1987-Calc!F30))+IF(ArtifactsInput!$M$15,CHOOSE(ArtifactsInput!$N$15+1,25,30,35,40,45,50)/100*(Inputs!$B$11-Inputs!$B$11),0))/100)/2</f>
        <v/>
      </c>
      <c r="M1964">
        <f>L1964*(1+(Inputs!$B$10+((C1984=TRUE)*(F1984-Calc!F27))+B1998+(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1964">
        <f>L1964*(1-MIN((Inputs!$B$9+((C1983=TRUE)*(F1983-Calc!F26))+B1991+(ArtifactsInput!$M$24-ArtifactsInput!$M$24)*CHOOSE(ArtifactsInput!$N$24+1,10,12,14,16,18,20)+(IF(AND(Inputs!$B$39&lt;&gt;"pvp",Inputs!$B$44=0),1,IF(IF(Inputs!$B$39="pvp",15,Inputs!$B$44)-(B2002)&lt;=0,1,MAX(0,IF(Inputs!$B$39="pvp",15,Inputs!$B$44)-MAX(5,B2002))/(IF(Inputs!$B$39="pvp",15,Inputs!$B$44)-(B2002))))*IF(AND(ArtifactsInput!$M$42,((Inputs!$B$9+((C1983=TRUE)*(F1983-Calc!F26))+B1991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1964*(MIN((Inputs!$B$9+((C1983=TRUE)*(F1983-Calc!F26))+B1991+(ArtifactsInput!$M$24-ArtifactsInput!$M$24)*CHOOSE(ArtifactsInput!$N$24+1,10,12,14,16,18,20)+(IF(AND(Inputs!$B$39&lt;&gt;"pvp",Inputs!$B$44=0),1,IF(IF(Inputs!$B$39="pvp",15,Inputs!$B$44)-(B2002)&lt;=0,1,MAX(0,IF(Inputs!$B$39="pvp",15,Inputs!$B$44)-MAX(5,B2002))/(IF(Inputs!$B$39="pvp",15,Inputs!$B$44)-(B2002))))*IF(AND(ArtifactsInput!$M$42,((Inputs!$B$9+((C1983=TRUE)*(F1983-Calc!F26))+B1991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964">
        <f>(1-Summary!$B$11)*T1964+Summary!$B$11*V1964</f>
        <v/>
      </c>
      <c r="P1964">
        <f>IF(B2003=0,0,O1964/B2003)</f>
        <v/>
      </c>
      <c r="Q1964">
        <f>IFERROR(1/IF(Inputs!$B$39="pvp",15,MAX(0.1,Skills!D7-IF(TRUE=TRUE,Inputs!$B$32,0))),0)</f>
        <v/>
      </c>
      <c r="R1964">
        <f>IF(AND(Inputs!$B$39&lt;&gt;"pvp",Inputs!$B$44&gt;0),IF(MAX(0,Inputs!$B$44-B2002)&lt;=0,0,(INT(MAX(0,Inputs!$B$44-B2002)/IF(Inputs!$B$39="pvp",15,MAX(0.1,Skills!D7-IF(TRUE=TRUE,Inputs!$B$32,0))))+1)),0)</f>
        <v/>
      </c>
      <c r="S1964">
        <f>IFERROR(O1964/N1964,0)</f>
        <v/>
      </c>
      <c r="T1964">
        <f>IF(C1964,(H1964*N1964*IF(AND(Inputs!$B$39&lt;&gt;"pvp",Inputs!$B$44&gt;0),((Skills!G7*((R1964-1)*IF(Skills!H7&gt;0,Skills!I7/Skills!H7,1)+IF(Skills!H7&gt;0,MIN(Skills!I7,MAX(0,MAX(0,Inputs!$B$44-B2002)-((R1964-1)*IF(Inputs!$B$39="pvp",15,MAX(0.1,Skills!D7-IF(TRUE=TRUE,Inputs!$B$32,0))))))/Skills!H7,1)))/Inputs!$B$44),G1964*Q1964))*IF(Inputs!$B$39="pvp",1,1+(Inputs!$B$20+0+Skills!P7+B1992+(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Hunt"),CHOOSE(ArtifactsInput!$N$35+1,15,18,21,24,27,30)*(1-EXP(-(0.2*B1995)*5)),0)+IF(AND(ArtifactsInput!$M$22,Inputs!$B$4&lt;&gt;"Chapter Hunt"),CHOOSE(ArtifactsInput!$N$22+1,10,12,14,16,18,20)*((0*(((0.15*B1995*5))^0/1)+1*(((0.15*B1995*5))^1/1)+2*(((0.15*B1995*5))^2/2)+3*(((0.15*B1995*5))^3/6)+4*(((0.15*B1995*5))^4/24)+5*(((0.15*B1995*5))^5/120))/((((0.15*B1995*5))^0/1)+(((0.15*B1995*5))^1/1)+(((0.15*B1995*5))^2/2)+(((0.15*B1995*5))^3/6)+(((0.15*B1995*5))^4/24)+(((0.15*B1995*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1964*(1-MIN(100,(Inputs!$B$9+((C1983=TRUE)*(F1983-Calc!F26))+B1991+(ArtifactsInput!$M$24-ArtifactsInput!$M$24)*CHOOSE(ArtifactsInput!$N$24+1,10,12,14,16,18,20)+(IF(AND(Inputs!$B$39&lt;&gt;"pvp",Inputs!$B$44=0),1,IF(IF(Inputs!$B$39="pvp",15,Inputs!$B$44)-(B2002)&lt;=0,1,MAX(0,IF(Inputs!$B$39="pvp",15,Inputs!$B$44)-MAX(5,B2002))/(IF(Inputs!$B$39="pvp",15,Inputs!$B$44)-(B2002))))*IF(AND(ArtifactsInput!$M$42,((Inputs!$B$9+((C1983=TRUE)*(F1983-Calc!F26))+B1991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1964*(MIN(100,(Inputs!$B$9+((C1983=TRUE)*(F1983-Calc!F26))+B1991+(ArtifactsInput!$M$24-ArtifactsInput!$M$24)*CHOOSE(ArtifactsInput!$N$24+1,10,12,14,16,18,20)+(IF(AND(Inputs!$B$39&lt;&gt;"pvp",Inputs!$B$44=0),1,IF(IF(Inputs!$B$39="pvp",15,Inputs!$B$44)-(B2002)&lt;=0,1,MAX(0,IF(Inputs!$B$39="pvp",15,Inputs!$B$44)-MAX(5,B2002))/(IF(Inputs!$B$39="pvp",15,Inputs!$B$44)-(B2002))))*IF(AND(ArtifactsInput!$M$42,((Inputs!$B$9+((C1983=TRUE)*(F1983-Calc!F26))+B1991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1964*(1-MIN(100,(Inputs!$B$9+((C1983=TRUE)*(F1983-Calc!F26))+B1991+(ArtifactsInput!$M$24-ArtifactsInput!$M$24)*CHOOSE(ArtifactsInput!$N$24+1,10,12,14,16,18,20)+(IF(AND(Inputs!$B$39&lt;&gt;"pvp",Inputs!$B$44=0),1,IF(IF(Inputs!$B$39="pvp",15,Inputs!$B$44)-(B2002)&lt;=0,1,MAX(0,IF(Inputs!$B$39="pvp",15,Inputs!$B$44)-MAX(5,B2002))/(IF(Inputs!$B$39="pvp",15,Inputs!$B$44)-(B2002))))*IF(AND(ArtifactsInput!$M$42,((Inputs!$B$9+((C1983=TRUE)*(F1983-Calc!F26))+B1991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1964*(MIN(100,(Inputs!$B$9+((C1983=TRUE)*(F1983-Calc!F26))+B1991+(ArtifactsInput!$M$24-ArtifactsInput!$M$24)*CHOOSE(ArtifactsInput!$N$24+1,10,12,14,16,18,20)+(IF(AND(Inputs!$B$39&lt;&gt;"pvp",Inputs!$B$44=0),1,IF(IF(Inputs!$B$39="pvp",15,Inputs!$B$44)-(B2002)&lt;=0,1,MAX(0,IF(Inputs!$B$39="pvp",15,Inputs!$B$44)-MAX(5,B2002))/(IF(Inputs!$B$39="pvp",15,Inputs!$B$44)-(B2002))))*IF(AND(ArtifactsInput!$M$42,((Inputs!$B$9+((C1983=TRUE)*(F1983-Calc!F26))+B1991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1964">
        <f>IF(C1964,(H1964*N1964*IF(AND(Inputs!$B$39&lt;&gt;"pvp",Inputs!$B$44&gt;0),((Skills!G7*((R1964-1)*IF(Skills!H7&gt;0,Skills!I7/Skills!H7,1)+IF(Skills!H7&gt;0,MIN(Skills!I7,MAX(0,MAX(0,Inputs!$B$44-B2002)-((R1964-1)*IF(Inputs!$B$39="pvp",15,MAX(0.1,Skills!D7-IF(TRUE=TRUE,Inputs!$B$32,0))))))/Skills!H7,1)))/Inputs!$B$44),G1964*Q1964))*IF(Inputs!$B$39="pvp",1,(1+(Inputs!$B$21+Skills!Q7+B1992+(IF(ArtifactsInput!$M$33,CHOOSE(ArtifactsInput!$N$33+1,30,36,42,48,54,60),0))+(IF(AND(ArtifactsInput!$M$35,Inputs!$B$4&lt;&gt;"Chapter Hunt"),CHOOSE(ArtifactsInput!$N$35+1,15,18,21,24,27,30)*(1-EXP(-(0.2*B1995)*5)),0)+IF(AND(ArtifactsInput!$M$22,Inputs!$B$4&lt;&gt;"Chapter Hunt"),CHOOSE(ArtifactsInput!$N$22+1,10,12,14,16,18,20)*((0*(((0.15*B1995*5))^0/1)+1*(((0.15*B1995*5))^1/1)+2*(((0.15*B1995*5))^2/2)+3*(((0.15*B1995*5))^3/6)+4*(((0.15*B1995*5))^4/24)+5*(((0.15*B1995*5))^5/120))/((((0.15*B1995*5))^0/1)+(((0.15*B1995*5))^1/1)+(((0.15*B1995*5))^2/2)+(((0.15*B1995*5))^3/6)+(((0.15*B1995*5))^4/24)+(((0.15*B1995*5))^5/120))),0)))/100)*(MIN(Skills!W7,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965">
      <c r="A1965">
        <f>Skills!A8</f>
        <v/>
      </c>
      <c r="B1965">
        <f>Skills!B8</f>
        <v/>
      </c>
      <c r="C1965">
        <f>Inputs!$B$3&gt;=60</f>
        <v/>
      </c>
      <c r="D1965">
        <f>IF(Skills!C8=1,60+Inputs!$B$25+Inputs!$B$29,IF(Skills!C8=2,90+Inputs!$B$26+Inputs!$B$29,IF(Skills!C8=3,120+Inputs!$B$27+Inputs!$B$29,MAX(0,(Inputs!$B$3-100)*3)+Inputs!$B$28+Inputs!$B$29)))</f>
        <v/>
      </c>
      <c r="E1965">
        <f>INDEX(FactorTable!$B$2:$Y$301, MATCH(ROUND(MIN(300,MAX(1,D1965)),0), FactorTable!$A$2:$A$301,0), Skills!M8+1)</f>
        <v/>
      </c>
      <c r="F1965">
        <f>IF(Skills!N8=TRUE,(Skills!L8/10)*(E1965/1000),Skills!L8/10)+Skills!O8</f>
        <v/>
      </c>
      <c r="G1965">
        <f>Skills!G8*IF(Skills!H8&gt;0,IF(Inputs!$B$39="pvp",MIN(Skills!I8,15),Skills!I8)/Skills!H8,1)</f>
        <v/>
      </c>
      <c r="H1965">
        <f>1-(1-Skills!J8/100)^Skills!K8</f>
        <v/>
      </c>
      <c r="I1965" t="inlineStr">
        <is>
          <t>1</t>
        </is>
      </c>
      <c r="J1965" t="inlineStr"/>
      <c r="K1965" t="inlineStr"/>
      <c r="L1965" t="inlineStr"/>
      <c r="M1965" t="inlineStr"/>
      <c r="N1965" t="inlineStr"/>
      <c r="O1965">
        <f>(1-Summary!$B$11)*T1965+Summary!$B$11*V1965</f>
        <v/>
      </c>
      <c r="P1965">
        <f>IF(B2003=0,0,O1965/B2003)</f>
        <v/>
      </c>
      <c r="Q1965" t="n">
        <v>0</v>
      </c>
      <c r="R1965" t="n">
        <v>0</v>
      </c>
      <c r="S1965">
        <f>IFERROR(O1965/N1965,0)</f>
        <v/>
      </c>
      <c r="T1965" t="n">
        <v>0</v>
      </c>
      <c r="V1965" t="n">
        <v>0</v>
      </c>
    </row>
    <row r="1966">
      <c r="A1966">
        <f>Skills!A9</f>
        <v/>
      </c>
      <c r="B1966">
        <f>Skills!B9</f>
        <v/>
      </c>
      <c r="C1966">
        <f>Inputs!$B$3&gt;=72</f>
        <v/>
      </c>
      <c r="D1966">
        <f>IF(Skills!C9=1,60+Inputs!$B$25+Inputs!$B$29,IF(Skills!C9=2,90+Inputs!$B$26+Inputs!$B$29,IF(Skills!C9=3,120+Inputs!$B$27+Inputs!$B$29,MAX(0,(Inputs!$B$3-100)*3)+Inputs!$B$28+Inputs!$B$29)))</f>
        <v/>
      </c>
      <c r="E1966">
        <f>INDEX(FactorTable!$B$2:$Y$301, MATCH(ROUND(MIN(300,MAX(1,D1966)),0), FactorTable!$A$2:$A$301,0), Skills!M9+1)</f>
        <v/>
      </c>
      <c r="F1966">
        <f>IF(Skills!N9=TRUE,(Skills!L9/10)*(E1966/1000),Skills!L9/10)+Skills!O9</f>
        <v/>
      </c>
      <c r="G1966">
        <f>Skills!G9*IF(Skills!H9&gt;0,IF(Inputs!$B$39="pvp",MIN(Skills!I9,15),Skills!I9)/Skills!H9,1)</f>
        <v/>
      </c>
      <c r="H1966">
        <f>1-(1-Skills!J9/100)^Skills!K9</f>
        <v/>
      </c>
      <c r="I1966" t="inlineStr">
        <is>
          <t>1</t>
        </is>
      </c>
      <c r="J1966">
        <f>((Inputs!$B$6*(1+Inputs!$B$7/100))+(((Inputs!$B$12*(1+Inputs!$B$13/100))-(Inputs!$B$12*(1+Inputs!$B$13/100)))+0.25*(Inputs!$B$14-Inputs!$B$14))*(1+Inputs!$B$7/100))*(F1966/100)</f>
        <v/>
      </c>
      <c r="K1966">
        <f>J1966*(1+((Inputs!$B$12*(1+Inputs!$B$13/100))*0.01+Inputs!$B$14*0.0025)/100)*(1+Inputs!$B$15/100)*(1+Inputs!$B$16/100)*(5000/(6000+Inputs!$B$43*(1-(100*(1-(1-Inputs!$B$19/100)*(1-CHOOSE(ArtifactsInput!$N$40+1,5,6,7,8,9,10)/100)^(ArtifactsInput!$M$40-ArtifactsInput!$M$40)))/100)))*(1+(Inputs!$B$24+((C1988=TRUE)*(F1988-Calc!F31))+((C1975=TRUE)*(F1975-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+3.3333333333333335*IF(C1976=TRUE,F1976,0)/100)*(1+(IF(Skills!A9="CRUEL_STAB",Inputs!$B$17+((C1985=TRUE)*(F1985-Calc!F28))+((IF(AND(Inputs!$B$39&lt;&gt;"pvp",Inputs!$B$44=0),1,IF(IF(Inputs!$B$39="pvp",15,Inputs!$B$44)-(B2002)&lt;=0,1,MAX(0,IF(Inputs!$B$39="pvp",15,Inputs!$B$44)-MAX(5,B2002))/(IF(Inputs!$B$39="pvp",15,Inputs!$B$44)-(B2002))))*(IF(AND(ArtifactsInput!$M$42,((Inputs!$B$9+((C1983=TRUE)*(F1983-Calc!F26))+B1991+(ArtifactsInput!$M$24-ArtifactsInput!$M$24)*CHOOSE(ArtifactsInput!$N$24+1,10,12,14,16,18,20)+IF(ArtifactsInput!$M$10,CHOOSE(ArtifactsInput!$N$10+1,15,18,21,24,27,30)*(IF(Inputs!$B$39="pvp",MIN(15,15)/15,IF(AND(Inputs!$B$39&lt;&gt;"pvp",Inputs!$B$44&gt;0),MIN(15,Inputs!$B$44)/(Inputs!$B$44),0))),0)))&gt;=100),MIN(100,((Inputs!$B$9+((C1983=TRUE)*(F1983-Calc!F26))+B1991+(ArtifactsInput!$M$24-ArtifactsInput!$M$24)*CHOOSE(ArtifactsInput!$N$24+1,10,12,14,16,18,20)+IF(ArtifactsInput!$M$10,CHOOSE(ArtifactsInput!$N$10+1,15,18,21,24,27,30)*(IF(Inputs!$B$39="pvp",MIN(15,15)/15,IF(AND(Inputs!$B$39&lt;&gt;"pvp",Inputs!$B$44&gt;0),MIN(15,Inputs!$B$44)/(Inputs!$B$44),0))),0)))-100),0))*CHOOSE(ArtifactsInput!$N$42+1,0.6,0.72,0.84,0.96,1.08,1.2))),Inputs!$B$18+((C1986=TRUE)*(F1986-Calc!F29))+(IF(AND(Inputs!$B$39&lt;&gt;"pvp",Inputs!$B$44=0),1,IF(IF(Inputs!$B$39="pvp",15,Inputs!$B$44)-(B2002)&lt;=0,1,MAX(0,IF(Inputs!$B$39="pvp",15,Inputs!$B$44)-MAX(5,B2002))/(IF(Inputs!$B$39="pvp",15,Inputs!$B$44)-(B2002))))*IF(AND(ArtifactsInput!$M$42,((Inputs!$B$9+((C1983=TRUE)*(F1983-Calc!F26))+B1991+(ArtifactsInput!$M$24-ArtifactsInput!$M$24)*CHOOSE(ArtifactsInput!$N$24+1,10,12,14,16,18,20)+IF(ArtifactsInput!$M$10,CHOOSE(ArtifactsInput!$N$10+1,15,18,21,24,27,30)*(IF(Inputs!$B$39="pvp",MIN(15,15)/15,IF(AND(Inputs!$B$39&lt;&gt;"pvp",Inputs!$B$44&gt;0),MIN(15,Inputs!$B$44)/(Inputs!$B$44),0))),0)))&gt;=100),CHOOSE(ArtifactsInput!$N$42+1,40,48,56,64,72,80),0))))/100)*(((1+(((C1979=TRUE)*F1979*IF(AND(Inputs!$B$39&lt;&gt;"pvp",Inputs!$B$44&gt;0),(((R1979-1)*MIN((Skills!Y22*(1+Inputs!$B$34/100)),(1/Q1979))+MIN((Skills!Y22*(1+Inputs!$B$34/100)),MAX(0,Inputs!$B$44-((R1979-1)*(1/Q1979)))))/Inputs!$B$44),IF(Inputs!$B$39="pvp",MIN((Skills!Y22*(1+Inputs!$B$34/100)),15)/15,MIN(1,(Skills!Y22*(1+Inputs!$B$34/100))/(1/Q1979)))))+((C1960=TRUE)*F1960*3)+((C1962=TRUE)*F1962*(1-EXP(-0.75*B1995*5)))+((C1981=TRUE)*(F1981-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1968=TRUE)*F1968*IF(AND(Inputs!$B$39&lt;&gt;"pvp",Inputs!$B$44&gt;0),(((R1968-1)*MIN((Skills!Y11*(1+Inputs!$B$34/100)),(1/Q1968))+MIN((Skills!Y11*(1+Inputs!$B$34/100)),MAX(0,Inputs!$B$44-((R1968-1)*(1/Q1968)))))/Inputs!$B$44),IF(Inputs!$B$39="pvp",MIN((Skills!Y11*(1+Inputs!$B$34/100)),15)/15,MIN(1,(Skills!Y11*(1+Inputs!$B$34/100))/(1/Q1968)))))/100)*(1+((C1973=TRUE)*F1973*IF(AND(Inputs!$B$39&lt;&gt;"pvp",Inputs!$B$44&gt;0),(((R1973-1)*MIN((Skills!Y16*(1+Inputs!$B$34/100)),(1/Q1973))+MIN((Skills!Y16*(1+Inputs!$B$34/100)),MAX(0,Inputs!$B$44-((R1973-1)*(1/Q1973)))))/Inputs!$B$44),IF(Inputs!$B$39="pvp",MIN((Skills!Y16*(1+Inputs!$B$34/100)),15)/15,MIN(1,(Skills!Y16*(1+Inputs!$B$34/100))/(1/Q1973)))))/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1993*I1966)</f>
        <v/>
      </c>
      <c r="L1966">
        <f>K1966*(MIN(Inputs!$B$22+((C1982=TRUE)*(F1982-Calc!F25)),(Inputs!$B$23+((C1987=TRUE)*(F1987-Calc!F30))+IF(ArtifactsInput!$M$15,CHOOSE(ArtifactsInput!$N$15+1,25,30,35,40,45,50)/100*(Inputs!$B$11-Inputs!$B$11),0)))/100+(Inputs!$B$23+((C1987=TRUE)*(F1987-Calc!F30))+IF(ArtifactsInput!$M$15,CHOOSE(ArtifactsInput!$N$15+1,25,30,35,40,45,50)/100*(Inputs!$B$11-Inputs!$B$11),0))/100)/2</f>
        <v/>
      </c>
      <c r="M1966">
        <f>L1966*(1+(Inputs!$B$10+((C1984=TRUE)*(F1984-Calc!F27))+B1998+(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1966">
        <f>L1966*(1-MIN((Inputs!$B$9+((C1983=TRUE)*(F1983-Calc!F26))+B1991+(ArtifactsInput!$M$24-ArtifactsInput!$M$24)*CHOOSE(ArtifactsInput!$N$24+1,10,12,14,16,18,20)+(IF(AND(Inputs!$B$39&lt;&gt;"pvp",Inputs!$B$44=0),1,IF(IF(Inputs!$B$39="pvp",15,Inputs!$B$44)-(B2002)&lt;=0,1,MAX(0,IF(Inputs!$B$39="pvp",15,Inputs!$B$44)-MAX(5,B2002))/(IF(Inputs!$B$39="pvp",15,Inputs!$B$44)-(B2002))))*IF(AND(ArtifactsInput!$M$42,((Inputs!$B$9+((C1983=TRUE)*(F1983-Calc!F26))+B1991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1966*(MIN((Inputs!$B$9+((C1983=TRUE)*(F1983-Calc!F26))+B1991+(ArtifactsInput!$M$24-ArtifactsInput!$M$24)*CHOOSE(ArtifactsInput!$N$24+1,10,12,14,16,18,20)+(IF(AND(Inputs!$B$39&lt;&gt;"pvp",Inputs!$B$44=0),1,IF(IF(Inputs!$B$39="pvp",15,Inputs!$B$44)-(B2002)&lt;=0,1,MAX(0,IF(Inputs!$B$39="pvp",15,Inputs!$B$44)-MAX(5,B2002))/(IF(Inputs!$B$39="pvp",15,Inputs!$B$44)-(B2002))))*IF(AND(ArtifactsInput!$M$42,((Inputs!$B$9+((C1983=TRUE)*(F1983-Calc!F26))+B1991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966">
        <f>(1-Summary!$B$11)*T1966+Summary!$B$11*V1966</f>
        <v/>
      </c>
      <c r="P1966">
        <f>IF(B2003=0,0,O1966/B2003)</f>
        <v/>
      </c>
      <c r="Q1966">
        <f>IFERROR(1/IF(Inputs!$B$39="pvp",15,MAX(0.1,Skills!D9-IF(FALSE=TRUE,Inputs!$B$32,0))),0)</f>
        <v/>
      </c>
      <c r="R1966">
        <f>IF(AND(Inputs!$B$39&lt;&gt;"pvp",Inputs!$B$44&gt;0),IF(MAX(0,Inputs!$B$44-B2002)&lt;=0,0,(INT(MAX(0,Inputs!$B$44-B2002)/IF(Inputs!$B$39="pvp",15,MAX(0.1,Skills!D9-IF(FALSE=TRUE,Inputs!$B$32,0))))+1)),0)</f>
        <v/>
      </c>
      <c r="S1966">
        <f>IFERROR(O1966/N1966,0)</f>
        <v/>
      </c>
      <c r="T1966">
        <f>IF(C1966,(H1966*N1966*IF(AND(Inputs!$B$39&lt;&gt;"pvp",Inputs!$B$44&gt;0),((Skills!G9*((R1966-1)*IF(Skills!H9&gt;0,Skills!I9/Skills!H9,1)+IF(Skills!H9&gt;0,MIN(Skills!I9,MAX(0,MAX(0,Inputs!$B$44-B2002)-((R1966-1)*IF(Inputs!$B$39="pvp",15,MAX(0.1,Skills!D9-IF(FALSE=TRUE,Inputs!$B$32,0))))))/Skills!H9,1)))/Inputs!$B$44),G1966*Q1966))*IF(Inputs!$B$39="pvp",1,1+(Inputs!$B$20+0+Skills!P9+B1992+(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Hunt"),CHOOSE(ArtifactsInput!$N$35+1,15,18,21,24,27,30)*(1-EXP(-(0.2*B1995)*5)),0)+IF(AND(ArtifactsInput!$M$22,Inputs!$B$4&lt;&gt;"Chapter Hunt"),CHOOSE(ArtifactsInput!$N$22+1,10,12,14,16,18,20)*((0*(((0.15*B1995*5))^0/1)+1*(((0.15*B1995*5))^1/1)+2*(((0.15*B1995*5))^2/2)+3*(((0.15*B1995*5))^3/6)+4*(((0.15*B1995*5))^4/24)+5*(((0.15*B1995*5))^5/120))/((((0.15*B1995*5))^0/1)+(((0.15*B1995*5))^1/1)+(((0.15*B1995*5))^2/2)+(((0.15*B1995*5))^3/6)+(((0.15*B1995*5))^4/24)+(((0.15*B1995*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1966*(1-MIN(100,(Inputs!$B$9+((C1983=TRUE)*(F1983-Calc!F26))+B1991+(ArtifactsInput!$M$24-ArtifactsInput!$M$24)*CHOOSE(ArtifactsInput!$N$24+1,10,12,14,16,18,20)+(IF(AND(Inputs!$B$39&lt;&gt;"pvp",Inputs!$B$44=0),1,IF(IF(Inputs!$B$39="pvp",15,Inputs!$B$44)-(B2002)&lt;=0,1,MAX(0,IF(Inputs!$B$39="pvp",15,Inputs!$B$44)-MAX(5,B2002))/(IF(Inputs!$B$39="pvp",15,Inputs!$B$44)-(B2002))))*IF(AND(ArtifactsInput!$M$42,((Inputs!$B$9+((C1983=TRUE)*(F1983-Calc!F26))+B1991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1966*(MIN(100,(Inputs!$B$9+((C1983=TRUE)*(F1983-Calc!F26))+B1991+(ArtifactsInput!$M$24-ArtifactsInput!$M$24)*CHOOSE(ArtifactsInput!$N$24+1,10,12,14,16,18,20)+(IF(AND(Inputs!$B$39&lt;&gt;"pvp",Inputs!$B$44=0),1,IF(IF(Inputs!$B$39="pvp",15,Inputs!$B$44)-(B2002)&lt;=0,1,MAX(0,IF(Inputs!$B$39="pvp",15,Inputs!$B$44)-MAX(5,B2002))/(IF(Inputs!$B$39="pvp",15,Inputs!$B$44)-(B2002))))*IF(AND(ArtifactsInput!$M$42,((Inputs!$B$9+((C1983=TRUE)*(F1983-Calc!F26))+B1991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1966*(1-MIN(100,(Inputs!$B$9+((C1983=TRUE)*(F1983-Calc!F26))+B1991+(ArtifactsInput!$M$24-ArtifactsInput!$M$24)*CHOOSE(ArtifactsInput!$N$24+1,10,12,14,16,18,20)+(IF(AND(Inputs!$B$39&lt;&gt;"pvp",Inputs!$B$44=0),1,IF(IF(Inputs!$B$39="pvp",15,Inputs!$B$44)-(B2002)&lt;=0,1,MAX(0,IF(Inputs!$B$39="pvp",15,Inputs!$B$44)-MAX(5,B2002))/(IF(Inputs!$B$39="pvp",15,Inputs!$B$44)-(B2002))))*IF(AND(ArtifactsInput!$M$42,((Inputs!$B$9+((C1983=TRUE)*(F1983-Calc!F26))+B1991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1966*(MIN(100,(Inputs!$B$9+((C1983=TRUE)*(F1983-Calc!F26))+B1991+(ArtifactsInput!$M$24-ArtifactsInput!$M$24)*CHOOSE(ArtifactsInput!$N$24+1,10,12,14,16,18,20)+(IF(AND(Inputs!$B$39&lt;&gt;"pvp",Inputs!$B$44=0),1,IF(IF(Inputs!$B$39="pvp",15,Inputs!$B$44)-(B2002)&lt;=0,1,MAX(0,IF(Inputs!$B$39="pvp",15,Inputs!$B$44)-MAX(5,B2002))/(IF(Inputs!$B$39="pvp",15,Inputs!$B$44)-(B2002))))*IF(AND(ArtifactsInput!$M$42,((Inputs!$B$9+((C1983=TRUE)*(F1983-Calc!F26))+B1991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1966">
        <f>IF(C1966,(H1966*N1966*IF(AND(Inputs!$B$39&lt;&gt;"pvp",Inputs!$B$44&gt;0),((Skills!G9*((R1966-1)*IF(Skills!H9&gt;0,Skills!I9/Skills!H9,1)+IF(Skills!H9&gt;0,MIN(Skills!I9,MAX(0,MAX(0,Inputs!$B$44-B2002)-((R1966-1)*IF(Inputs!$B$39="pvp",15,MAX(0.1,Skills!D9-IF(FALSE=TRUE,Inputs!$B$32,0))))))/Skills!H9,1)))/Inputs!$B$44),G1966*Q1966))*IF(Inputs!$B$39="pvp",1,(1+(Inputs!$B$21+Skills!Q9+B1992+(IF(ArtifactsInput!$M$33,CHOOSE(ArtifactsInput!$N$33+1,30,36,42,48,54,60),0))+(IF(AND(ArtifactsInput!$M$35,Inputs!$B$4&lt;&gt;"Chapter Hunt"),CHOOSE(ArtifactsInput!$N$35+1,15,18,21,24,27,30)*(1-EXP(-(0.2*B1995)*5)),0)+IF(AND(ArtifactsInput!$M$22,Inputs!$B$4&lt;&gt;"Chapter Hunt"),CHOOSE(ArtifactsInput!$N$22+1,10,12,14,16,18,20)*((0*(((0.15*B1995*5))^0/1)+1*(((0.15*B1995*5))^1/1)+2*(((0.15*B1995*5))^2/2)+3*(((0.15*B1995*5))^3/6)+4*(((0.15*B1995*5))^4/24)+5*(((0.15*B1995*5))^5/120))/((((0.15*B1995*5))^0/1)+(((0.15*B1995*5))^1/1)+(((0.15*B1995*5))^2/2)+(((0.15*B1995*5))^3/6)+(((0.15*B1995*5))^4/24)+(((0.15*B1995*5))^5/120))),0)))/100)*(MIN(Skills!W9,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967">
      <c r="A1967">
        <f>Skills!A10</f>
        <v/>
      </c>
      <c r="B1967">
        <f>Skills!B10</f>
        <v/>
      </c>
      <c r="C1967">
        <f>Inputs!$B$3&gt;=117</f>
        <v/>
      </c>
      <c r="D1967">
        <f>IF(Skills!C10=1,60+Inputs!$B$25+Inputs!$B$29,IF(Skills!C10=2,90+Inputs!$B$26+Inputs!$B$29,IF(Skills!C10=3,120+Inputs!$B$27+Inputs!$B$29,MAX(0,(Inputs!$B$3-100)*3)+Inputs!$B$28+Inputs!$B$29)))</f>
        <v/>
      </c>
      <c r="E1967">
        <f>INDEX(FactorTable!$B$2:$Y$301, MATCH(ROUND(MIN(300,MAX(1,D1967)),0), FactorTable!$A$2:$A$301,0), Skills!M10+1)</f>
        <v/>
      </c>
      <c r="F1967">
        <f>IF(Skills!N10=TRUE,(Skills!L10/10)*(E1967/1000),Skills!L10/10)+Skills!O10</f>
        <v/>
      </c>
      <c r="G1967">
        <f>Skills!G10*IF(Skills!H10&gt;0,IF(Inputs!$B$39="pvp",MIN(Skills!I10,15),Skills!I10)/Skills!H10,1)</f>
        <v/>
      </c>
      <c r="H1967">
        <f>1-(1-Skills!J10/100)^Skills!K10</f>
        <v/>
      </c>
      <c r="I1967" t="inlineStr">
        <is>
          <t>1</t>
        </is>
      </c>
      <c r="J1967">
        <f>((Inputs!$B$6*(1+Inputs!$B$7/100))+(((Inputs!$B$12*(1+Inputs!$B$13/100))-(Inputs!$B$12*(1+Inputs!$B$13/100)))+0.25*(Inputs!$B$14-Inputs!$B$14))*(1+Inputs!$B$7/100))*(F1967/100)</f>
        <v/>
      </c>
      <c r="K1967">
        <f>J1967*(1+((Inputs!$B$12*(1+Inputs!$B$13/100))*0.01+Inputs!$B$14*0.0025)/100)*(1+Inputs!$B$15/100)*(1+Inputs!$B$16/100)*(5000/(6000+Inputs!$B$43*(1-(100*(1-(1-Inputs!$B$19/100)*(1-CHOOSE(ArtifactsInput!$N$40+1,5,6,7,8,9,10)/100)^(ArtifactsInput!$M$40-ArtifactsInput!$M$40)))/100)))*(1+(Inputs!$B$24+((C1988=TRUE)*(F1988-Calc!F31))+((C1975=TRUE)*(F1975-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10="CRUEL_STAB",Inputs!$B$17+((C1985=TRUE)*(F1985-Calc!F28))+((IF(AND(Inputs!$B$39&lt;&gt;"pvp",Inputs!$B$44=0),1,IF(IF(Inputs!$B$39="pvp",15,Inputs!$B$44)-(B2002)&lt;=0,1,MAX(0,IF(Inputs!$B$39="pvp",15,Inputs!$B$44)-MAX(5,B2002))/(IF(Inputs!$B$39="pvp",15,Inputs!$B$44)-(B2002))))*(IF(AND(ArtifactsInput!$M$42,((Inputs!$B$9+((C1983=TRUE)*(F1983-Calc!F26))+B1991+(ArtifactsInput!$M$24-ArtifactsInput!$M$24)*CHOOSE(ArtifactsInput!$N$24+1,10,12,14,16,18,20)+IF(ArtifactsInput!$M$10,CHOOSE(ArtifactsInput!$N$10+1,15,18,21,24,27,30)*(IF(Inputs!$B$39="pvp",MIN(15,15)/15,IF(AND(Inputs!$B$39&lt;&gt;"pvp",Inputs!$B$44&gt;0),MIN(15,Inputs!$B$44)/(Inputs!$B$44),0))),0)))&gt;=100),MIN(100,((Inputs!$B$9+((C1983=TRUE)*(F1983-Calc!F26))+B1991+(ArtifactsInput!$M$24-ArtifactsInput!$M$24)*CHOOSE(ArtifactsInput!$N$24+1,10,12,14,16,18,20)+IF(ArtifactsInput!$M$10,CHOOSE(ArtifactsInput!$N$10+1,15,18,21,24,27,30)*(IF(Inputs!$B$39="pvp",MIN(15,15)/15,IF(AND(Inputs!$B$39&lt;&gt;"pvp",Inputs!$B$44&gt;0),MIN(15,Inputs!$B$44)/(Inputs!$B$44),0))),0)))-100),0))*CHOOSE(ArtifactsInput!$N$42+1,0.6,0.72,0.84,0.96,1.08,1.2))),Inputs!$B$18+((C1986=TRUE)*(F1986-Calc!F29))+(IF(AND(Inputs!$B$39&lt;&gt;"pvp",Inputs!$B$44=0),1,IF(IF(Inputs!$B$39="pvp",15,Inputs!$B$44)-(B2002)&lt;=0,1,MAX(0,IF(Inputs!$B$39="pvp",15,Inputs!$B$44)-MAX(5,B2002))/(IF(Inputs!$B$39="pvp",15,Inputs!$B$44)-(B2002))))*IF(AND(ArtifactsInput!$M$42,((Inputs!$B$9+((C1983=TRUE)*(F1983-Calc!F26))+B1991+(ArtifactsInput!$M$24-ArtifactsInput!$M$24)*CHOOSE(ArtifactsInput!$N$24+1,10,12,14,16,18,20)+IF(ArtifactsInput!$M$10,CHOOSE(ArtifactsInput!$N$10+1,15,18,21,24,27,30)*(IF(Inputs!$B$39="pvp",MIN(15,15)/15,IF(AND(Inputs!$B$39&lt;&gt;"pvp",Inputs!$B$44&gt;0),MIN(15,Inputs!$B$44)/(Inputs!$B$44),0))),0)))&gt;=100),CHOOSE(ArtifactsInput!$N$42+1,40,48,56,64,72,80),0))))/100)*(((1+(((C1979=TRUE)*F1979*IF(AND(Inputs!$B$39&lt;&gt;"pvp",Inputs!$B$44&gt;0),(((R1979-1)*MIN((Skills!Y22*(1+Inputs!$B$34/100)),(1/Q1979))+MIN((Skills!Y22*(1+Inputs!$B$34/100)),MAX(0,Inputs!$B$44-((R1979-1)*(1/Q1979)))))/Inputs!$B$44),IF(Inputs!$B$39="pvp",MIN((Skills!Y22*(1+Inputs!$B$34/100)),15)/15,MIN(1,(Skills!Y22*(1+Inputs!$B$34/100))/(1/Q1979)))))+((C1960=TRUE)*F1960*3)+((C1962=TRUE)*F1962*(1-EXP(-0.75*B1995*5)))+((C1981=TRUE)*(F1981-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1968=TRUE)*F1968*IF(AND(Inputs!$B$39&lt;&gt;"pvp",Inputs!$B$44&gt;0),(((R1968-1)*MIN((Skills!Y11*(1+Inputs!$B$34/100)),(1/Q1968))+MIN((Skills!Y11*(1+Inputs!$B$34/100)),MAX(0,Inputs!$B$44-((R1968-1)*(1/Q1968)))))/Inputs!$B$44),IF(Inputs!$B$39="pvp",MIN((Skills!Y11*(1+Inputs!$B$34/100)),15)/15,MIN(1,(Skills!Y11*(1+Inputs!$B$34/100))/(1/Q1968)))))/100)*(1+((C1973=TRUE)*F1973*IF(AND(Inputs!$B$39&lt;&gt;"pvp",Inputs!$B$44&gt;0),(((R1973-1)*MIN((Skills!Y16*(1+Inputs!$B$34/100)),(1/Q1973))+MIN((Skills!Y16*(1+Inputs!$B$34/100)),MAX(0,Inputs!$B$44-((R1973-1)*(1/Q1973)))))/Inputs!$B$44),IF(Inputs!$B$39="pvp",MIN((Skills!Y16*(1+Inputs!$B$34/100)),15)/15,MIN(1,(Skills!Y16*(1+Inputs!$B$34/100))/(1/Q1973)))))/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1993*I1967)</f>
        <v/>
      </c>
      <c r="L1967">
        <f>K1967*(MIN(Inputs!$B$22+((C1982=TRUE)*(F1982-Calc!F25)),(Inputs!$B$23+((C1987=TRUE)*(F1987-Calc!F30))+IF(ArtifactsInput!$M$15,CHOOSE(ArtifactsInput!$N$15+1,25,30,35,40,45,50)/100*(Inputs!$B$11-Inputs!$B$11),0)))/100+(Inputs!$B$23+((C1987=TRUE)*(F1987-Calc!F30))+IF(ArtifactsInput!$M$15,CHOOSE(ArtifactsInput!$N$15+1,25,30,35,40,45,50)/100*(Inputs!$B$11-Inputs!$B$11),0))/100)/2</f>
        <v/>
      </c>
      <c r="M1967">
        <f>L1967*(1+(Inputs!$B$10+((C1984=TRUE)*(F1984-Calc!F27))+B1998+(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1967">
        <f>L1967*(1-MIN((Inputs!$B$9+((C1983=TRUE)*(F1983-Calc!F26))+B1991+(ArtifactsInput!$M$24-ArtifactsInput!$M$24)*CHOOSE(ArtifactsInput!$N$24+1,10,12,14,16,18,20)+(IF(AND(Inputs!$B$39&lt;&gt;"pvp",Inputs!$B$44=0),1,IF(IF(Inputs!$B$39="pvp",15,Inputs!$B$44)-(B2002)&lt;=0,1,MAX(0,IF(Inputs!$B$39="pvp",15,Inputs!$B$44)-MAX(5,B2002))/(IF(Inputs!$B$39="pvp",15,Inputs!$B$44)-(B2002))))*IF(AND(ArtifactsInput!$M$42,((Inputs!$B$9+((C1983=TRUE)*(F1983-Calc!F26))+B1991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1967*(MIN((Inputs!$B$9+((C1983=TRUE)*(F1983-Calc!F26))+B1991+(ArtifactsInput!$M$24-ArtifactsInput!$M$24)*CHOOSE(ArtifactsInput!$N$24+1,10,12,14,16,18,20)+(IF(AND(Inputs!$B$39&lt;&gt;"pvp",Inputs!$B$44=0),1,IF(IF(Inputs!$B$39="pvp",15,Inputs!$B$44)-(B2002)&lt;=0,1,MAX(0,IF(Inputs!$B$39="pvp",15,Inputs!$B$44)-MAX(5,B2002))/(IF(Inputs!$B$39="pvp",15,Inputs!$B$44)-(B2002))))*IF(AND(ArtifactsInput!$M$42,((Inputs!$B$9+((C1983=TRUE)*(F1983-Calc!F26))+B1991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967">
        <f>(1-Summary!$B$11)*T1967+Summary!$B$11*V1967</f>
        <v/>
      </c>
      <c r="P1967">
        <f>IF(B2003=0,0,O1967/B2003)</f>
        <v/>
      </c>
      <c r="Q1967" t="n">
        <v>0</v>
      </c>
      <c r="R1967" t="n">
        <v>0</v>
      </c>
      <c r="S1967" t="n">
        <v>0</v>
      </c>
      <c r="T1967">
        <f>IF(C1967,(0.2*SUMPRODUCT((Skills!Z2:Z31=TRUE)*(C1959:C1988=TRUE)*S1959:S1988)*N1967)*IF(Inputs!$B$39="pvp",1,1+(Inputs!$B$20+0+Skills!P10+B1992+(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Hunt"),CHOOSE(ArtifactsInput!$N$35+1,15,18,21,24,27,30)*(1-EXP(-(0.2*B1995)*5)),0)+IF(AND(ArtifactsInput!$M$22,Inputs!$B$4&lt;&gt;"Chapter Hunt"),CHOOSE(ArtifactsInput!$N$22+1,10,12,14,16,18,20)*((0*(((0.15*B1995*5))^0/1)+1*(((0.15*B1995*5))^1/1)+2*(((0.15*B1995*5))^2/2)+3*(((0.15*B1995*5))^3/6)+4*(((0.15*B1995*5))^4/24)+5*(((0.15*B1995*5))^5/120))/((((0.15*B1995*5))^0/1)+(((0.15*B1995*5))^1/1)+(((0.15*B1995*5))^2/2)+(((0.15*B1995*5))^3/6)+(((0.15*B1995*5))^4/24)+(((0.15*B1995*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1967*(1-MIN(100,(Inputs!$B$9+((C1983=TRUE)*(F1983-Calc!F26))+B1991+(ArtifactsInput!$M$24-ArtifactsInput!$M$24)*CHOOSE(ArtifactsInput!$N$24+1,10,12,14,16,18,20)+(IF(AND(Inputs!$B$39&lt;&gt;"pvp",Inputs!$B$44=0),1,IF(IF(Inputs!$B$39="pvp",15,Inputs!$B$44)-(B2002)&lt;=0,1,MAX(0,IF(Inputs!$B$39="pvp",15,Inputs!$B$44)-MAX(5,B2002))/(IF(Inputs!$B$39="pvp",15,Inputs!$B$44)-(B2002))))*IF(AND(ArtifactsInput!$M$42,((Inputs!$B$9+((C1983=TRUE)*(F1983-Calc!F26))+B1991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1967*(MIN(100,(Inputs!$B$9+((C1983=TRUE)*(F1983-Calc!F26))+B1991+(ArtifactsInput!$M$24-ArtifactsInput!$M$24)*CHOOSE(ArtifactsInput!$N$24+1,10,12,14,16,18,20)+(IF(AND(Inputs!$B$39&lt;&gt;"pvp",Inputs!$B$44=0),1,IF(IF(Inputs!$B$39="pvp",15,Inputs!$B$44)-(B2002)&lt;=0,1,MAX(0,IF(Inputs!$B$39="pvp",15,Inputs!$B$44)-MAX(5,B2002))/(IF(Inputs!$B$39="pvp",15,Inputs!$B$44)-(B2002))))*IF(AND(ArtifactsInput!$M$42,((Inputs!$B$9+((C1983=TRUE)*(F1983-Calc!F26))+B1991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1967*(1-MIN(100,(Inputs!$B$9+((C1983=TRUE)*(F1983-Calc!F26))+B1991+(ArtifactsInput!$M$24-ArtifactsInput!$M$24)*CHOOSE(ArtifactsInput!$N$24+1,10,12,14,16,18,20)+(IF(AND(Inputs!$B$39&lt;&gt;"pvp",Inputs!$B$44=0),1,IF(IF(Inputs!$B$39="pvp",15,Inputs!$B$44)-(B2002)&lt;=0,1,MAX(0,IF(Inputs!$B$39="pvp",15,Inputs!$B$44)-MAX(5,B2002))/(IF(Inputs!$B$39="pvp",15,Inputs!$B$44)-(B2002))))*IF(AND(ArtifactsInput!$M$42,((Inputs!$B$9+((C1983=TRUE)*(F1983-Calc!F26))+B1991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1967*(MIN(100,(Inputs!$B$9+((C1983=TRUE)*(F1983-Calc!F26))+B1991+(ArtifactsInput!$M$24-ArtifactsInput!$M$24)*CHOOSE(ArtifactsInput!$N$24+1,10,12,14,16,18,20)+(IF(AND(Inputs!$B$39&lt;&gt;"pvp",Inputs!$B$44=0),1,IF(IF(Inputs!$B$39="pvp",15,Inputs!$B$44)-(B2002)&lt;=0,1,MAX(0,IF(Inputs!$B$39="pvp",15,Inputs!$B$44)-MAX(5,B2002))/(IF(Inputs!$B$39="pvp",15,Inputs!$B$44)-(B2002))))*IF(AND(ArtifactsInput!$M$42,((Inputs!$B$9+((C1983=TRUE)*(F1983-Calc!F26))+B1991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1967">
        <f>IF(C1967,(0.2*SUMPRODUCT((Skills!Z2:Z31=TRUE)*(C1959:C1988=TRUE)*S1959:S1988)*N1967)*IF(Inputs!$B$39="pvp",1,(1+(Inputs!$B$21+Skills!Q10+B1992+(IF(ArtifactsInput!$M$33,CHOOSE(ArtifactsInput!$N$33+1,30,36,42,48,54,60),0))+(IF(AND(ArtifactsInput!$M$35,Inputs!$B$4&lt;&gt;"Chapter Hunt"),CHOOSE(ArtifactsInput!$N$35+1,15,18,21,24,27,30)*(1-EXP(-(0.2*B1995)*5)),0)+IF(AND(ArtifactsInput!$M$22,Inputs!$B$4&lt;&gt;"Chapter Hunt"),CHOOSE(ArtifactsInput!$N$22+1,10,12,14,16,18,20)*((0*(((0.15*B1995*5))^0/1)+1*(((0.15*B1995*5))^1/1)+2*(((0.15*B1995*5))^2/2)+3*(((0.15*B1995*5))^3/6)+4*(((0.15*B1995*5))^4/24)+5*(((0.15*B1995*5))^5/120))/((((0.15*B1995*5))^0/1)+(((0.15*B1995*5))^1/1)+(((0.15*B1995*5))^2/2)+(((0.15*B1995*5))^3/6)+(((0.15*B1995*5))^4/24)+(((0.15*B1995*5))^5/120))),0)))/100)*(MIN(Skills!W10,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968">
      <c r="A1968">
        <f>Skills!A11</f>
        <v/>
      </c>
      <c r="B1968">
        <f>Skills!B11</f>
        <v/>
      </c>
      <c r="C1968">
        <f>Inputs!$B$3&gt;=74</f>
        <v/>
      </c>
      <c r="D1968">
        <f>IF(Skills!C11=1,60+Inputs!$B$25+Inputs!$B$29,IF(Skills!C11=2,90+Inputs!$B$26+Inputs!$B$29,IF(Skills!C11=3,120+Inputs!$B$27+Inputs!$B$29,MAX(0,(Inputs!$B$3-100)*3)+Inputs!$B$28+Inputs!$B$29)))</f>
        <v/>
      </c>
      <c r="E1968">
        <f>INDEX(FactorTable!$B$2:$Y$301, MATCH(ROUND(MIN(300,MAX(1,D1968)),0), FactorTable!$A$2:$A$301,0), Skills!M11+1)</f>
        <v/>
      </c>
      <c r="F1968">
        <f>IF(Skills!N11=TRUE,(Skills!L11/10)*(E1968/1000),Skills!L11/10)+Skills!O11</f>
        <v/>
      </c>
      <c r="G1968">
        <f>Skills!G11*IF(Skills!H11&gt;0,IF(Inputs!$B$39="pvp",MIN(Skills!I11,15),Skills!I11)/Skills!H11,1)</f>
        <v/>
      </c>
      <c r="H1968">
        <f>1-(1-Skills!J11/100)^Skills!K11</f>
        <v/>
      </c>
      <c r="I1968" t="inlineStr">
        <is>
          <t>1</t>
        </is>
      </c>
      <c r="J1968" t="inlineStr"/>
      <c r="K1968" t="inlineStr"/>
      <c r="L1968" t="inlineStr"/>
      <c r="M1968" t="inlineStr"/>
      <c r="N1968" t="inlineStr"/>
      <c r="O1968">
        <f>(1-Summary!$B$11)*T1968+Summary!$B$11*V1968</f>
        <v/>
      </c>
      <c r="P1968">
        <f>IF(B2003=0,0,O1968/B2003)</f>
        <v/>
      </c>
      <c r="Q1968">
        <f>IFERROR(1/IF(Inputs!$B$39="pvp",15,MAX(0.1,Skills!D11-IF(TRUE=TRUE,Inputs!$B$32,0))),0)</f>
        <v/>
      </c>
      <c r="R1968">
        <f>IF(AND(Inputs!$B$39&lt;&gt;"pvp",Inputs!$B$44&gt;0),IF(Inputs!$B$44&lt;=0,0,(INT(Inputs!$B$44/IF(Inputs!$B$39="pvp",15,MAX(0.1,Skills!D11-IF(TRUE=TRUE,Inputs!$B$32,0))))+1)),0)</f>
        <v/>
      </c>
      <c r="S1968">
        <f>IFERROR(O1968/N1968,0)</f>
        <v/>
      </c>
      <c r="T1968" t="n">
        <v>0</v>
      </c>
      <c r="V1968" t="n">
        <v>0</v>
      </c>
    </row>
    <row r="1969">
      <c r="A1969">
        <f>Skills!A12</f>
        <v/>
      </c>
      <c r="B1969">
        <f>Skills!B12</f>
        <v/>
      </c>
      <c r="C1969">
        <f>Inputs!$B$3&gt;=103</f>
        <v/>
      </c>
      <c r="D1969">
        <f>IF(Skills!C12=1,60+Inputs!$B$25+Inputs!$B$29,IF(Skills!C12=2,90+Inputs!$B$26+Inputs!$B$29,IF(Skills!C12=3,120+Inputs!$B$27+Inputs!$B$29,MAX(0,(Inputs!$B$3-100)*3)+Inputs!$B$28+Inputs!$B$29)))</f>
        <v/>
      </c>
      <c r="E1969">
        <f>INDEX(FactorTable!$B$2:$Y$301, MATCH(ROUND(MIN(300,MAX(1,D1969)),0), FactorTable!$A$2:$A$301,0), Skills!M12+1)</f>
        <v/>
      </c>
      <c r="F1969">
        <f>(Skills!L12/10)*(E1969/1000)+IF(Inputs!$B$3&gt;=134,50,0)+0.5*(30000/10)*(INDEX(FactorTable!$B$2:$Y$301, MATCH(ROUND(MIN(300,MAX(1,D1969)),0), FactorTable!$A$2:$A$301,0), 13)/1000)*B2001</f>
        <v/>
      </c>
      <c r="G1969">
        <f>Skills!G12*IF(Skills!H12&gt;0,IF(Inputs!$B$39="pvp",MIN(Skills!I12,15),Skills!I12)/Skills!H12,1)</f>
        <v/>
      </c>
      <c r="H1969">
        <f>1-(1-Skills!J12/100)^Skills!K12</f>
        <v/>
      </c>
      <c r="I1969" t="inlineStr">
        <is>
          <t>1</t>
        </is>
      </c>
      <c r="J1969">
        <f>((Inputs!$B$6*(1+Inputs!$B$7/100))+(((Inputs!$B$12*(1+Inputs!$B$13/100))-(Inputs!$B$12*(1+Inputs!$B$13/100)))+0.25*(Inputs!$B$14-Inputs!$B$14))*(1+Inputs!$B$7/100))*(F1969/100)</f>
        <v/>
      </c>
      <c r="K1969">
        <f>J1969*(1+((Inputs!$B$12*(1+Inputs!$B$13/100))*0.01+Inputs!$B$14*0.0025)/100)*(1+Inputs!$B$15/100)*(1+Inputs!$B$16/100)*(5000/(6000+Inputs!$B$43*(1-(100*(1-(1-Inputs!$B$19/100)*(1-CHOOSE(ArtifactsInput!$N$40+1,5,6,7,8,9,10)/100)^(ArtifactsInput!$M$40-ArtifactsInput!$M$40)))/100)))*(1+(Inputs!$B$24+((C1988=TRUE)*(F1988-Calc!F31))+((C1975=TRUE)*(F1975-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12="CRUEL_STAB",Inputs!$B$17+((C1985=TRUE)*(F1985-Calc!F28))+((IF(AND(Inputs!$B$39&lt;&gt;"pvp",Inputs!$B$44=0),1,IF(IF(Inputs!$B$39="pvp",15,Inputs!$B$44)-(B2002)&lt;=0,1,MAX(0,IF(Inputs!$B$39="pvp",15,Inputs!$B$44)-MAX(5,B2002))/(IF(Inputs!$B$39="pvp",15,Inputs!$B$44)-(B2002))))*(IF(AND(ArtifactsInput!$M$42,((Inputs!$B$9+((C1983=TRUE)*(F1983-Calc!F26))+B1991+(ArtifactsInput!$M$24-ArtifactsInput!$M$24)*CHOOSE(ArtifactsInput!$N$24+1,10,12,14,16,18,20)+IF(ArtifactsInput!$M$10,CHOOSE(ArtifactsInput!$N$10+1,15,18,21,24,27,30)*(IF(Inputs!$B$39="pvp",MIN(15,15)/15,IF(AND(Inputs!$B$39&lt;&gt;"pvp",Inputs!$B$44&gt;0),MIN(15,Inputs!$B$44)/(Inputs!$B$44),0))),0)))&gt;=100),MIN(100,((Inputs!$B$9+((C1983=TRUE)*(F1983-Calc!F26))+B1991+(ArtifactsInput!$M$24-ArtifactsInput!$M$24)*CHOOSE(ArtifactsInput!$N$24+1,10,12,14,16,18,20)+IF(ArtifactsInput!$M$10,CHOOSE(ArtifactsInput!$N$10+1,15,18,21,24,27,30)*(IF(Inputs!$B$39="pvp",MIN(15,15)/15,IF(AND(Inputs!$B$39&lt;&gt;"pvp",Inputs!$B$44&gt;0),MIN(15,Inputs!$B$44)/(Inputs!$B$44),0))),0)))-100),0))*CHOOSE(ArtifactsInput!$N$42+1,0.6,0.72,0.84,0.96,1.08,1.2))),Inputs!$B$18+((C1986=TRUE)*(F1986-Calc!F29))+(IF(AND(Inputs!$B$39&lt;&gt;"pvp",Inputs!$B$44=0),1,IF(IF(Inputs!$B$39="pvp",15,Inputs!$B$44)-(B2002)&lt;=0,1,MAX(0,IF(Inputs!$B$39="pvp",15,Inputs!$B$44)-MAX(5,B2002))/(IF(Inputs!$B$39="pvp",15,Inputs!$B$44)-(B2002))))*IF(AND(ArtifactsInput!$M$42,((Inputs!$B$9+((C1983=TRUE)*(F1983-Calc!F26))+B1991+(ArtifactsInput!$M$24-ArtifactsInput!$M$24)*CHOOSE(ArtifactsInput!$N$24+1,10,12,14,16,18,20)+IF(ArtifactsInput!$M$10,CHOOSE(ArtifactsInput!$N$10+1,15,18,21,24,27,30)*(IF(Inputs!$B$39="pvp",MIN(15,15)/15,IF(AND(Inputs!$B$39&lt;&gt;"pvp",Inputs!$B$44&gt;0),MIN(15,Inputs!$B$44)/(Inputs!$B$44),0))),0)))&gt;=100),CHOOSE(ArtifactsInput!$N$42+1,40,48,56,64,72,80),0))))/100)*(((1+(((C1979=TRUE)*F1979*IF(AND(Inputs!$B$39&lt;&gt;"pvp",Inputs!$B$44&gt;0),(((R1979-1)*MIN((Skills!Y22*(1+Inputs!$B$34/100)),(1/Q1979))+MIN((Skills!Y22*(1+Inputs!$B$34/100)),MAX(0,Inputs!$B$44-((R1979-1)*(1/Q1979)))))/Inputs!$B$44),IF(Inputs!$B$39="pvp",MIN((Skills!Y22*(1+Inputs!$B$34/100)),15)/15,MIN(1,(Skills!Y22*(1+Inputs!$B$34/100))/(1/Q1979)))))+((C1960=TRUE)*F1960*3)+((C1962=TRUE)*F1962*(1-EXP(-0.75*B1995*5)))+((C1981=TRUE)*(F1981-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1968=TRUE)*F1968*IF(AND(Inputs!$B$39&lt;&gt;"pvp",Inputs!$B$44&gt;0),(((R1968-1)*MIN((Skills!Y11*(1+Inputs!$B$34/100)),(1/Q1968))+MIN((Skills!Y11*(1+Inputs!$B$34/100)),MAX(0,Inputs!$B$44-((R1968-1)*(1/Q1968)))))/Inputs!$B$44),IF(Inputs!$B$39="pvp",MIN((Skills!Y11*(1+Inputs!$B$34/100)),15)/15,MIN(1,(Skills!Y11*(1+Inputs!$B$34/100))/(1/Q1968)))))/100)*(1+((C1973=TRUE)*F1973*IF(AND(Inputs!$B$39&lt;&gt;"pvp",Inputs!$B$44&gt;0),(((R1973-1)*MIN((Skills!Y16*(1+Inputs!$B$34/100)),(1/Q1973))+MIN((Skills!Y16*(1+Inputs!$B$34/100)),MAX(0,Inputs!$B$44-((R1973-1)*(1/Q1973)))))/Inputs!$B$44),IF(Inputs!$B$39="pvp",MIN((Skills!Y16*(1+Inputs!$B$34/100)),15)/15,MIN(1,(Skills!Y16*(1+Inputs!$B$34/100))/(1/Q1973)))))/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1993*I1969)</f>
        <v/>
      </c>
      <c r="L1969">
        <f>K1969*(MIN(Inputs!$B$22+((C1982=TRUE)*(F1982-Calc!F25)),(Inputs!$B$23+((C1987=TRUE)*(F1987-Calc!F30))+IF(ArtifactsInput!$M$15,CHOOSE(ArtifactsInput!$N$15+1,25,30,35,40,45,50)/100*(Inputs!$B$11-Inputs!$B$11),0)))/100+(Inputs!$B$23+((C1987=TRUE)*(F1987-Calc!F30))+IF(ArtifactsInput!$M$15,CHOOSE(ArtifactsInput!$N$15+1,25,30,35,40,45,50)/100*(Inputs!$B$11-Inputs!$B$11),0))/100)/2</f>
        <v/>
      </c>
      <c r="M1969">
        <f>L1969*(1+(Inputs!$B$10+((C1984=TRUE)*(F1984-Calc!F27))+B1998+(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1969">
        <f>L1969*(1-MIN((Inputs!$B$9+((C1983=TRUE)*(F1983-Calc!F26))+B1991+(ArtifactsInput!$M$24-ArtifactsInput!$M$24)*CHOOSE(ArtifactsInput!$N$24+1,10,12,14,16,18,20)+(IF(AND(Inputs!$B$39&lt;&gt;"pvp",Inputs!$B$44=0),1,IF(IF(Inputs!$B$39="pvp",15,Inputs!$B$44)-(B2002)&lt;=0,1,MAX(0,IF(Inputs!$B$39="pvp",15,Inputs!$B$44)-MAX(5,B2002))/(IF(Inputs!$B$39="pvp",15,Inputs!$B$44)-(B2002))))*IF(AND(ArtifactsInput!$M$42,((Inputs!$B$9+((C1983=TRUE)*(F1983-Calc!F26))+B1991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1969*(MIN((Inputs!$B$9+((C1983=TRUE)*(F1983-Calc!F26))+B1991+(ArtifactsInput!$M$24-ArtifactsInput!$M$24)*CHOOSE(ArtifactsInput!$N$24+1,10,12,14,16,18,20)+(IF(AND(Inputs!$B$39&lt;&gt;"pvp",Inputs!$B$44=0),1,IF(IF(Inputs!$B$39="pvp",15,Inputs!$B$44)-(B2002)&lt;=0,1,MAX(0,IF(Inputs!$B$39="pvp",15,Inputs!$B$44)-MAX(5,B2002))/(IF(Inputs!$B$39="pvp",15,Inputs!$B$44)-(B2002))))*IF(AND(ArtifactsInput!$M$42,((Inputs!$B$9+((C1983=TRUE)*(F1983-Calc!F26))+B1991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969">
        <f>(1-Summary!$B$11)*T1969+Summary!$B$11*V1969</f>
        <v/>
      </c>
      <c r="P1969">
        <f>IF(B2003=0,0,O1969/B2003)</f>
        <v/>
      </c>
      <c r="Q1969">
        <f>IFERROR(1/IF(Inputs!$B$39="pvp",15,MAX(0.1,Skills!D12-IF(TRUE=TRUE,Inputs!$B$32,0))),0)</f>
        <v/>
      </c>
      <c r="R1969">
        <f>IF(AND(Inputs!$B$39&lt;&gt;"pvp",Inputs!$B$44&gt;0),IF(MAX(0,Inputs!$B$44-B2002)&lt;=0,0,(INT(MAX(0,Inputs!$B$44-B2002)/IF(Inputs!$B$39="pvp",15,MAX(0.1,Skills!D12-IF(TRUE=TRUE,Inputs!$B$32,0))))+1)),0)</f>
        <v/>
      </c>
      <c r="S1969">
        <f>IFERROR(O1969/N1969,0)</f>
        <v/>
      </c>
      <c r="T1969">
        <f>IF(C1969,(H1969*N1969*IF(AND(Inputs!$B$39&lt;&gt;"pvp",Inputs!$B$44&gt;0),((Skills!G12*((R1969-1)*IF(Skills!H12&gt;0,Skills!I12/Skills!H12,1)+IF(Skills!H12&gt;0,MIN(Skills!I12,MAX(0,MAX(0,Inputs!$B$44-B2002)-((R1969-1)*IF(Inputs!$B$39="pvp",15,MAX(0.1,Skills!D12-IF(TRUE=TRUE,Inputs!$B$32,0))))))/Skills!H12,1)))/Inputs!$B$44),G1969*Q1969))*IF(Inputs!$B$39="pvp",1,1+(Inputs!$B$20+0+Skills!P12+B1992+(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Hunt"),CHOOSE(ArtifactsInput!$N$35+1,15,18,21,24,27,30)*(1-EXP(-(0.2*B1995)*5)),0)+IF(AND(ArtifactsInput!$M$22,Inputs!$B$4&lt;&gt;"Chapter Hunt"),CHOOSE(ArtifactsInput!$N$22+1,10,12,14,16,18,20)*((0*(((0.15*B1995*5))^0/1)+1*(((0.15*B1995*5))^1/1)+2*(((0.15*B1995*5))^2/2)+3*(((0.15*B1995*5))^3/6)+4*(((0.15*B1995*5))^4/24)+5*(((0.15*B1995*5))^5/120))/((((0.15*B1995*5))^0/1)+(((0.15*B1995*5))^1/1)+(((0.15*B1995*5))^2/2)+(((0.15*B1995*5))^3/6)+(((0.15*B1995*5))^4/24)+(((0.15*B1995*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1969*(1-MIN(100,(Inputs!$B$9+((C1983=TRUE)*(F1983-Calc!F26))+B1991+(ArtifactsInput!$M$24-ArtifactsInput!$M$24)*CHOOSE(ArtifactsInput!$N$24+1,10,12,14,16,18,20)+(IF(AND(Inputs!$B$39&lt;&gt;"pvp",Inputs!$B$44=0),1,IF(IF(Inputs!$B$39="pvp",15,Inputs!$B$44)-(B2002)&lt;=0,1,MAX(0,IF(Inputs!$B$39="pvp",15,Inputs!$B$44)-MAX(5,B2002))/(IF(Inputs!$B$39="pvp",15,Inputs!$B$44)-(B2002))))*IF(AND(ArtifactsInput!$M$42,((Inputs!$B$9+((C1983=TRUE)*(F1983-Calc!F26))+B1991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1969*(MIN(100,(Inputs!$B$9+((C1983=TRUE)*(F1983-Calc!F26))+B1991+(ArtifactsInput!$M$24-ArtifactsInput!$M$24)*CHOOSE(ArtifactsInput!$N$24+1,10,12,14,16,18,20)+(IF(AND(Inputs!$B$39&lt;&gt;"pvp",Inputs!$B$44=0),1,IF(IF(Inputs!$B$39="pvp",15,Inputs!$B$44)-(B2002)&lt;=0,1,MAX(0,IF(Inputs!$B$39="pvp",15,Inputs!$B$44)-MAX(5,B2002))/(IF(Inputs!$B$39="pvp",15,Inputs!$B$44)-(B2002))))*IF(AND(ArtifactsInput!$M$42,((Inputs!$B$9+((C1983=TRUE)*(F1983-Calc!F26))+B1991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1969*(1-MIN(100,(Inputs!$B$9+((C1983=TRUE)*(F1983-Calc!F26))+B1991+(ArtifactsInput!$M$24-ArtifactsInput!$M$24)*CHOOSE(ArtifactsInput!$N$24+1,10,12,14,16,18,20)+(IF(AND(Inputs!$B$39&lt;&gt;"pvp",Inputs!$B$44=0),1,IF(IF(Inputs!$B$39="pvp",15,Inputs!$B$44)-(B2002)&lt;=0,1,MAX(0,IF(Inputs!$B$39="pvp",15,Inputs!$B$44)-MAX(5,B2002))/(IF(Inputs!$B$39="pvp",15,Inputs!$B$44)-(B2002))))*IF(AND(ArtifactsInput!$M$42,((Inputs!$B$9+((C1983=TRUE)*(F1983-Calc!F26))+B1991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1969*(MIN(100,(Inputs!$B$9+((C1983=TRUE)*(F1983-Calc!F26))+B1991+(ArtifactsInput!$M$24-ArtifactsInput!$M$24)*CHOOSE(ArtifactsInput!$N$24+1,10,12,14,16,18,20)+(IF(AND(Inputs!$B$39&lt;&gt;"pvp",Inputs!$B$44=0),1,IF(IF(Inputs!$B$39="pvp",15,Inputs!$B$44)-(B2002)&lt;=0,1,MAX(0,IF(Inputs!$B$39="pvp",15,Inputs!$B$44)-MAX(5,B2002))/(IF(Inputs!$B$39="pvp",15,Inputs!$B$44)-(B2002))))*IF(AND(ArtifactsInput!$M$42,((Inputs!$B$9+((C1983=TRUE)*(F1983-Calc!F26))+B1991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1969">
        <f>IF(C1969,(H1969*N1969*IF(AND(Inputs!$B$39&lt;&gt;"pvp",Inputs!$B$44&gt;0),((Skills!G12*((R1969-1)*IF(Skills!H12&gt;0,Skills!I12/Skills!H12,1)+IF(Skills!H12&gt;0,MIN(Skills!I12,MAX(0,MAX(0,Inputs!$B$44-B2002)-((R1969-1)*IF(Inputs!$B$39="pvp",15,MAX(0.1,Skills!D12-IF(TRUE=TRUE,Inputs!$B$32,0))))))/Skills!H12,1)))/Inputs!$B$44),G1969*Q1969))*IF(Inputs!$B$39="pvp",1,(1+(Inputs!$B$21+Skills!Q12+B1992+(IF(ArtifactsInput!$M$33,CHOOSE(ArtifactsInput!$N$33+1,30,36,42,48,54,60),0))+(IF(AND(ArtifactsInput!$M$35,Inputs!$B$4&lt;&gt;"Chapter Hunt"),CHOOSE(ArtifactsInput!$N$35+1,15,18,21,24,27,30)*(1-EXP(-(0.2*B1995)*5)),0)+IF(AND(ArtifactsInput!$M$22,Inputs!$B$4&lt;&gt;"Chapter Hunt"),CHOOSE(ArtifactsInput!$N$22+1,10,12,14,16,18,20)*((0*(((0.15*B1995*5))^0/1)+1*(((0.15*B1995*5))^1/1)+2*(((0.15*B1995*5))^2/2)+3*(((0.15*B1995*5))^3/6)+4*(((0.15*B1995*5))^4/24)+5*(((0.15*B1995*5))^5/120))/((((0.15*B1995*5))^0/1)+(((0.15*B1995*5))^1/1)+(((0.15*B1995*5))^2/2)+(((0.15*B1995*5))^3/6)+(((0.15*B1995*5))^4/24)+(((0.15*B1995*5))^5/120))),0)))/100)*(MIN(Skills!W12,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970">
      <c r="A1970">
        <f>Skills!A13</f>
        <v/>
      </c>
      <c r="B1970">
        <f>Skills!B13</f>
        <v/>
      </c>
      <c r="C1970">
        <f>Inputs!$B$3&gt;=105</f>
        <v/>
      </c>
      <c r="D1970">
        <f>IF(Skills!C13=1,60+Inputs!$B$25+Inputs!$B$29,IF(Skills!C13=2,90+Inputs!$B$26+Inputs!$B$29,IF(Skills!C13=3,120+Inputs!$B$27+Inputs!$B$29,MAX(0,(Inputs!$B$3-100)*3)+Inputs!$B$28+Inputs!$B$29)))</f>
        <v/>
      </c>
      <c r="E1970">
        <f>INDEX(FactorTable!$B$2:$Y$301, MATCH(ROUND(MIN(300,MAX(1,D1970)),0), FactorTable!$A$2:$A$301,0), Skills!M13+1)</f>
        <v/>
      </c>
      <c r="F1970">
        <f>IF(Skills!N13=TRUE,(Skills!L13/10)*(E1970/1000),Skills!L13/10)+Skills!O13</f>
        <v/>
      </c>
      <c r="G1970">
        <f>Skills!G13*IF(Skills!H13&gt;0,IF(Inputs!$B$39="pvp",MIN(Skills!I13,15),Skills!I13)/Skills!H13,1)</f>
        <v/>
      </c>
      <c r="H1970">
        <f>1-(1-Skills!J13/100)^Skills!K13</f>
        <v/>
      </c>
      <c r="I1970" t="inlineStr">
        <is>
          <t>1</t>
        </is>
      </c>
      <c r="J1970">
        <f>((Inputs!$B$6*(1+Inputs!$B$7/100))+(((Inputs!$B$12*(1+Inputs!$B$13/100))-(Inputs!$B$12*(1+Inputs!$B$13/100)))+0.25*(Inputs!$B$14-Inputs!$B$14))*(1+Inputs!$B$7/100))*(F1970/100)</f>
        <v/>
      </c>
      <c r="K1970">
        <f>J1970*(1+((Inputs!$B$12*(1+Inputs!$B$13/100))*0.01+Inputs!$B$14*0.0025)/100)*(1+Inputs!$B$15/100)*(1+Inputs!$B$16/100)*(5000/(6000+Inputs!$B$43*(1-(100*(1-(1-Inputs!$B$19/100)*(1-CHOOSE(ArtifactsInput!$N$40+1,5,6,7,8,9,10)/100)^(ArtifactsInput!$M$40-ArtifactsInput!$M$40)))/100)))*(1+(Inputs!$B$24+((C1988=TRUE)*(F1988-Calc!F31))+((C1975=TRUE)*(F1975-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13="CRUEL_STAB",Inputs!$B$17+((C1985=TRUE)*(F1985-Calc!F28))+((IF(AND(Inputs!$B$39&lt;&gt;"pvp",Inputs!$B$44=0),1,IF(IF(Inputs!$B$39="pvp",15,Inputs!$B$44)-(B2002)&lt;=0,1,MAX(0,IF(Inputs!$B$39="pvp",15,Inputs!$B$44)-MAX(5,B2002))/(IF(Inputs!$B$39="pvp",15,Inputs!$B$44)-(B2002))))*(IF(AND(ArtifactsInput!$M$42,((Inputs!$B$9+((C1983=TRUE)*(F1983-Calc!F26))+B1991+(ArtifactsInput!$M$24-ArtifactsInput!$M$24)*CHOOSE(ArtifactsInput!$N$24+1,10,12,14,16,18,20)+IF(ArtifactsInput!$M$10,CHOOSE(ArtifactsInput!$N$10+1,15,18,21,24,27,30)*(IF(Inputs!$B$39="pvp",MIN(15,15)/15,IF(AND(Inputs!$B$39&lt;&gt;"pvp",Inputs!$B$44&gt;0),MIN(15,Inputs!$B$44)/(Inputs!$B$44),0))),0)))&gt;=100),MIN(100,((Inputs!$B$9+((C1983=TRUE)*(F1983-Calc!F26))+B1991+(ArtifactsInput!$M$24-ArtifactsInput!$M$24)*CHOOSE(ArtifactsInput!$N$24+1,10,12,14,16,18,20)+IF(ArtifactsInput!$M$10,CHOOSE(ArtifactsInput!$N$10+1,15,18,21,24,27,30)*(IF(Inputs!$B$39="pvp",MIN(15,15)/15,IF(AND(Inputs!$B$39&lt;&gt;"pvp",Inputs!$B$44&gt;0),MIN(15,Inputs!$B$44)/(Inputs!$B$44),0))),0)))-100),0))*CHOOSE(ArtifactsInput!$N$42+1,0.6,0.72,0.84,0.96,1.08,1.2))),Inputs!$B$18+((C1986=TRUE)*(F1986-Calc!F29))+(IF(AND(Inputs!$B$39&lt;&gt;"pvp",Inputs!$B$44=0),1,IF(IF(Inputs!$B$39="pvp",15,Inputs!$B$44)-(B2002)&lt;=0,1,MAX(0,IF(Inputs!$B$39="pvp",15,Inputs!$B$44)-MAX(5,B2002))/(IF(Inputs!$B$39="pvp",15,Inputs!$B$44)-(B2002))))*IF(AND(ArtifactsInput!$M$42,((Inputs!$B$9+((C1983=TRUE)*(F1983-Calc!F26))+B1991+(ArtifactsInput!$M$24-ArtifactsInput!$M$24)*CHOOSE(ArtifactsInput!$N$24+1,10,12,14,16,18,20)+IF(ArtifactsInput!$M$10,CHOOSE(ArtifactsInput!$N$10+1,15,18,21,24,27,30)*(IF(Inputs!$B$39="pvp",MIN(15,15)/15,IF(AND(Inputs!$B$39&lt;&gt;"pvp",Inputs!$B$44&gt;0),MIN(15,Inputs!$B$44)/(Inputs!$B$44),0))),0)))&gt;=100),CHOOSE(ArtifactsInput!$N$42+1,40,48,56,64,72,80),0))))/100)*(((1+(((C1979=TRUE)*F1979*IF(AND(Inputs!$B$39&lt;&gt;"pvp",Inputs!$B$44&gt;0),(((R1979-1)*MIN((Skills!Y22*(1+Inputs!$B$34/100)),(1/Q1979))+MIN((Skills!Y22*(1+Inputs!$B$34/100)),MAX(0,Inputs!$B$44-((R1979-1)*(1/Q1979)))))/Inputs!$B$44),IF(Inputs!$B$39="pvp",MIN((Skills!Y22*(1+Inputs!$B$34/100)),15)/15,MIN(1,(Skills!Y22*(1+Inputs!$B$34/100))/(1/Q1979)))))+((C1960=TRUE)*F1960*3)+((C1962=TRUE)*F1962*(1-EXP(-0.75*B1995*5)))+((C1981=TRUE)*(F1981-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1968=TRUE)*F1968*IF(AND(Inputs!$B$39&lt;&gt;"pvp",Inputs!$B$44&gt;0),(((R1968-1)*MIN((Skills!Y11*(1+Inputs!$B$34/100)),(1/Q1968))+MIN((Skills!Y11*(1+Inputs!$B$34/100)),MAX(0,Inputs!$B$44-((R1968-1)*(1/Q1968)))))/Inputs!$B$44),IF(Inputs!$B$39="pvp",MIN((Skills!Y11*(1+Inputs!$B$34/100)),15)/15,MIN(1,(Skills!Y11*(1+Inputs!$B$34/100))/(1/Q1968)))))/100)*(1+((C1973=TRUE)*F1973*IF(AND(Inputs!$B$39&lt;&gt;"pvp",Inputs!$B$44&gt;0),(((R1973-1)*MIN((Skills!Y16*(1+Inputs!$B$34/100)),(1/Q1973))+MIN((Skills!Y16*(1+Inputs!$B$34/100)),MAX(0,Inputs!$B$44-((R1973-1)*(1/Q1973)))))/Inputs!$B$44),IF(Inputs!$B$39="pvp",MIN((Skills!Y16*(1+Inputs!$B$34/100)),15)/15,MIN(1,(Skills!Y16*(1+Inputs!$B$34/100))/(1/Q1973)))))/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1993*I1970)</f>
        <v/>
      </c>
      <c r="L1970">
        <f>K1970*(MIN(Inputs!$B$22+((C1982=TRUE)*(F1982-Calc!F25)),(Inputs!$B$23+((C1987=TRUE)*(F1987-Calc!F30))+IF(ArtifactsInput!$M$15,CHOOSE(ArtifactsInput!$N$15+1,25,30,35,40,45,50)/100*(Inputs!$B$11-Inputs!$B$11),0)))/100+(Inputs!$B$23+((C1987=TRUE)*(F1987-Calc!F30))+IF(ArtifactsInput!$M$15,CHOOSE(ArtifactsInput!$N$15+1,25,30,35,40,45,50)/100*(Inputs!$B$11-Inputs!$B$11),0))/100)/2</f>
        <v/>
      </c>
      <c r="M1970">
        <f>L1970*(1+(Inputs!$B$10+((C1984=TRUE)*(F1984-Calc!F27))+B1998+(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1970">
        <f>L1970*(1-MIN((Inputs!$B$9+((C1983=TRUE)*(F1983-Calc!F26))+B1991+(ArtifactsInput!$M$24-ArtifactsInput!$M$24)*CHOOSE(ArtifactsInput!$N$24+1,10,12,14,16,18,20)+(IF(AND(Inputs!$B$39&lt;&gt;"pvp",Inputs!$B$44=0),1,IF(IF(Inputs!$B$39="pvp",15,Inputs!$B$44)-(B2002)&lt;=0,1,MAX(0,IF(Inputs!$B$39="pvp",15,Inputs!$B$44)-MAX(5,B2002))/(IF(Inputs!$B$39="pvp",15,Inputs!$B$44)-(B2002))))*IF(AND(ArtifactsInput!$M$42,((Inputs!$B$9+((C1983=TRUE)*(F1983-Calc!F26))+B1991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1970*(MIN((Inputs!$B$9+((C1983=TRUE)*(F1983-Calc!F26))+B1991+(ArtifactsInput!$M$24-ArtifactsInput!$M$24)*CHOOSE(ArtifactsInput!$N$24+1,10,12,14,16,18,20)+(IF(AND(Inputs!$B$39&lt;&gt;"pvp",Inputs!$B$44=0),1,IF(IF(Inputs!$B$39="pvp",15,Inputs!$B$44)-(B2002)&lt;=0,1,MAX(0,IF(Inputs!$B$39="pvp",15,Inputs!$B$44)-MAX(5,B2002))/(IF(Inputs!$B$39="pvp",15,Inputs!$B$44)-(B2002))))*IF(AND(ArtifactsInput!$M$42,((Inputs!$B$9+((C1983=TRUE)*(F1983-Calc!F26))+B1991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970">
        <f>(1-Summary!$B$11)*T1970+Summary!$B$11*V1970</f>
        <v/>
      </c>
      <c r="P1970">
        <f>IF(B2003=0,0,O1970/B2003)</f>
        <v/>
      </c>
      <c r="Q1970">
        <f>IFERROR(1/IF(Inputs!$B$39="pvp",15,MAX(0.1,Skills!D13-IF(TRUE=TRUE,Inputs!$B$32,0))),0)</f>
        <v/>
      </c>
      <c r="R1970">
        <f>IF(AND(Inputs!$B$39&lt;&gt;"pvp",Inputs!$B$44&gt;0),IF(MAX(0,Inputs!$B$44-B2002)&lt;=0,0,(INT(MAX(0,Inputs!$B$44-B2002)/IF(Inputs!$B$39="pvp",15,MAX(0.1,Skills!D13-IF(TRUE=TRUE,Inputs!$B$32,0))))+1)),0)</f>
        <v/>
      </c>
      <c r="S1970">
        <f>IFERROR(O1970/N1970,0)</f>
        <v/>
      </c>
      <c r="T1970">
        <f>IF(C1970,(H1970*N1970*IF(AND(Inputs!$B$39&lt;&gt;"pvp",Inputs!$B$44&gt;0),((Skills!G13*((R1970-1)*IF(Skills!H13&gt;0,Skills!I13/Skills!H13,1)+IF(Skills!H13&gt;0,MIN(Skills!I13,MAX(0,MAX(0,Inputs!$B$44-B2002)-((R1970-1)*IF(Inputs!$B$39="pvp",15,MAX(0.1,Skills!D13-IF(TRUE=TRUE,Inputs!$B$32,0))))))/Skills!H13,1)))/Inputs!$B$44),G1970*Q1970))*IF(Inputs!$B$39="pvp",1,1+(Inputs!$B$20+0+Skills!P13+B1992+(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Hunt"),CHOOSE(ArtifactsInput!$N$35+1,15,18,21,24,27,30)*(1-EXP(-(0.2*B1995)*5)),0)+IF(AND(ArtifactsInput!$M$22,Inputs!$B$4&lt;&gt;"Chapter Hunt"),CHOOSE(ArtifactsInput!$N$22+1,10,12,14,16,18,20)*((0*(((0.15*B1995*5))^0/1)+1*(((0.15*B1995*5))^1/1)+2*(((0.15*B1995*5))^2/2)+3*(((0.15*B1995*5))^3/6)+4*(((0.15*B1995*5))^4/24)+5*(((0.15*B1995*5))^5/120))/((((0.15*B1995*5))^0/1)+(((0.15*B1995*5))^1/1)+(((0.15*B1995*5))^2/2)+(((0.15*B1995*5))^3/6)+(((0.15*B1995*5))^4/24)+(((0.15*B1995*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1970*(1-MIN(100,(Inputs!$B$9+((C1983=TRUE)*(F1983-Calc!F26))+B1991+(ArtifactsInput!$M$24-ArtifactsInput!$M$24)*CHOOSE(ArtifactsInput!$N$24+1,10,12,14,16,18,20)+(IF(AND(Inputs!$B$39&lt;&gt;"pvp",Inputs!$B$44=0),1,IF(IF(Inputs!$B$39="pvp",15,Inputs!$B$44)-(B2002)&lt;=0,1,MAX(0,IF(Inputs!$B$39="pvp",15,Inputs!$B$44)-MAX(5,B2002))/(IF(Inputs!$B$39="pvp",15,Inputs!$B$44)-(B2002))))*IF(AND(ArtifactsInput!$M$42,((Inputs!$B$9+((C1983=TRUE)*(F1983-Calc!F26))+B1991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1970*(MIN(100,(Inputs!$B$9+((C1983=TRUE)*(F1983-Calc!F26))+B1991+(ArtifactsInput!$M$24-ArtifactsInput!$M$24)*CHOOSE(ArtifactsInput!$N$24+1,10,12,14,16,18,20)+(IF(AND(Inputs!$B$39&lt;&gt;"pvp",Inputs!$B$44=0),1,IF(IF(Inputs!$B$39="pvp",15,Inputs!$B$44)-(B2002)&lt;=0,1,MAX(0,IF(Inputs!$B$39="pvp",15,Inputs!$B$44)-MAX(5,B2002))/(IF(Inputs!$B$39="pvp",15,Inputs!$B$44)-(B2002))))*IF(AND(ArtifactsInput!$M$42,((Inputs!$B$9+((C1983=TRUE)*(F1983-Calc!F26))+B1991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1970*(1-MIN(100,(Inputs!$B$9+((C1983=TRUE)*(F1983-Calc!F26))+B1991+(ArtifactsInput!$M$24-ArtifactsInput!$M$24)*CHOOSE(ArtifactsInput!$N$24+1,10,12,14,16,18,20)+(IF(AND(Inputs!$B$39&lt;&gt;"pvp",Inputs!$B$44=0),1,IF(IF(Inputs!$B$39="pvp",15,Inputs!$B$44)-(B2002)&lt;=0,1,MAX(0,IF(Inputs!$B$39="pvp",15,Inputs!$B$44)-MAX(5,B2002))/(IF(Inputs!$B$39="pvp",15,Inputs!$B$44)-(B2002))))*IF(AND(ArtifactsInput!$M$42,((Inputs!$B$9+((C1983=TRUE)*(F1983-Calc!F26))+B1991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1970*(MIN(100,(Inputs!$B$9+((C1983=TRUE)*(F1983-Calc!F26))+B1991+(ArtifactsInput!$M$24-ArtifactsInput!$M$24)*CHOOSE(ArtifactsInput!$N$24+1,10,12,14,16,18,20)+(IF(AND(Inputs!$B$39&lt;&gt;"pvp",Inputs!$B$44=0),1,IF(IF(Inputs!$B$39="pvp",15,Inputs!$B$44)-(B2002)&lt;=0,1,MAX(0,IF(Inputs!$B$39="pvp",15,Inputs!$B$44)-MAX(5,B2002))/(IF(Inputs!$B$39="pvp",15,Inputs!$B$44)-(B2002))))*IF(AND(ArtifactsInput!$M$42,((Inputs!$B$9+((C1983=TRUE)*(F1983-Calc!F26))+B1991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1970">
        <f>IF(C1970,(H1970*N1970*IF(AND(Inputs!$B$39&lt;&gt;"pvp",Inputs!$B$44&gt;0),((Skills!G13*((R1970-1)*IF(Skills!H13&gt;0,Skills!I13/Skills!H13,1)+IF(Skills!H13&gt;0,MIN(Skills!I13,MAX(0,MAX(0,Inputs!$B$44-B2002)-((R1970-1)*IF(Inputs!$B$39="pvp",15,MAX(0.1,Skills!D13-IF(TRUE=TRUE,Inputs!$B$32,0))))))/Skills!H13,1)))/Inputs!$B$44),G1970*Q1970))*IF(Inputs!$B$39="pvp",1,(1+(Inputs!$B$21+Skills!Q13+B1992+(IF(ArtifactsInput!$M$33,CHOOSE(ArtifactsInput!$N$33+1,30,36,42,48,54,60),0))+(IF(AND(ArtifactsInput!$M$35,Inputs!$B$4&lt;&gt;"Chapter Hunt"),CHOOSE(ArtifactsInput!$N$35+1,15,18,21,24,27,30)*(1-EXP(-(0.2*B1995)*5)),0)+IF(AND(ArtifactsInput!$M$22,Inputs!$B$4&lt;&gt;"Chapter Hunt"),CHOOSE(ArtifactsInput!$N$22+1,10,12,14,16,18,20)*((0*(((0.15*B1995*5))^0/1)+1*(((0.15*B1995*5))^1/1)+2*(((0.15*B1995*5))^2/2)+3*(((0.15*B1995*5))^3/6)+4*(((0.15*B1995*5))^4/24)+5*(((0.15*B1995*5))^5/120))/((((0.15*B1995*5))^0/1)+(((0.15*B1995*5))^1/1)+(((0.15*B1995*5))^2/2)+(((0.15*B1995*5))^3/6)+(((0.15*B1995*5))^4/24)+(((0.15*B1995*5))^5/120))),0)))/100)*(MIN(Skills!W13,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971">
      <c r="A1971">
        <f>Skills!A14</f>
        <v/>
      </c>
      <c r="B1971">
        <f>Skills!B14</f>
        <v/>
      </c>
      <c r="C1971">
        <f>Inputs!$B$3&gt;=105</f>
        <v/>
      </c>
      <c r="D1971">
        <f>IF(Skills!C14=1,60+Inputs!$B$25+Inputs!$B$29,IF(Skills!C14=2,90+Inputs!$B$26+Inputs!$B$29,IF(Skills!C14=3,120+Inputs!$B$27+Inputs!$B$29,MAX(0,(Inputs!$B$3-100)*3)+Inputs!$B$28+Inputs!$B$29)))</f>
        <v/>
      </c>
      <c r="E1971">
        <f>INDEX(FactorTable!$B$2:$Y$301, MATCH(ROUND(MIN(300,MAX(1,D1971)),0), FactorTable!$A$2:$A$301,0), Skills!M14+1)</f>
        <v/>
      </c>
      <c r="F1971">
        <f>IF(Skills!N14=TRUE,(Skills!L14/10)*(E1971/1000),Skills!L14/10)+Skills!O14</f>
        <v/>
      </c>
      <c r="G1971">
        <f>Skills!G14*IF(Skills!H14&gt;0,IF(Inputs!$B$39="pvp",MIN(Skills!I14,15),Skills!I14)/Skills!H14,1)</f>
        <v/>
      </c>
      <c r="H1971">
        <f>1-(1-Skills!J14/100)^Skills!K14</f>
        <v/>
      </c>
      <c r="I1971" t="inlineStr">
        <is>
          <t>1</t>
        </is>
      </c>
      <c r="J1971">
        <f>((Inputs!$B$6*(1+Inputs!$B$7/100))+(((Inputs!$B$12*(1+Inputs!$B$13/100))-(Inputs!$B$12*(1+Inputs!$B$13/100)))+0.25*(Inputs!$B$14-Inputs!$B$14))*(1+Inputs!$B$7/100))*(F1971/100)</f>
        <v/>
      </c>
      <c r="K1971">
        <f>J1971*(1+((Inputs!$B$12*(1+Inputs!$B$13/100))*0.01+Inputs!$B$14*0.0025)/100)*(1+Inputs!$B$15/100)*(1+Inputs!$B$16/100)*(5000/(6000+Inputs!$B$43*(1-(100*(1-(1-Inputs!$B$19/100)*(1-CHOOSE(ArtifactsInput!$N$40+1,5,6,7,8,9,10)/100)^(ArtifactsInput!$M$40-ArtifactsInput!$M$40)))/100)))*(1+(Inputs!$B$24+((C1988=TRUE)*(F1988-Calc!F31))+((C1975=TRUE)*(F1975-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14="CRUEL_STAB",Inputs!$B$17+((C1985=TRUE)*(F1985-Calc!F28))+((IF(AND(Inputs!$B$39&lt;&gt;"pvp",Inputs!$B$44=0),1,IF(IF(Inputs!$B$39="pvp",15,Inputs!$B$44)-(B2002)&lt;=0,1,MAX(0,IF(Inputs!$B$39="pvp",15,Inputs!$B$44)-MAX(5,B2002))/(IF(Inputs!$B$39="pvp",15,Inputs!$B$44)-(B2002))))*(IF(AND(ArtifactsInput!$M$42,((Inputs!$B$9+((C1983=TRUE)*(F1983-Calc!F26))+B1991+(ArtifactsInput!$M$24-ArtifactsInput!$M$24)*CHOOSE(ArtifactsInput!$N$24+1,10,12,14,16,18,20)+IF(ArtifactsInput!$M$10,CHOOSE(ArtifactsInput!$N$10+1,15,18,21,24,27,30)*(IF(Inputs!$B$39="pvp",MIN(15,15)/15,IF(AND(Inputs!$B$39&lt;&gt;"pvp",Inputs!$B$44&gt;0),MIN(15,Inputs!$B$44)/(Inputs!$B$44),0))),0)))&gt;=100),MIN(100,((Inputs!$B$9+((C1983=TRUE)*(F1983-Calc!F26))+B1991+(ArtifactsInput!$M$24-ArtifactsInput!$M$24)*CHOOSE(ArtifactsInput!$N$24+1,10,12,14,16,18,20)+IF(ArtifactsInput!$M$10,CHOOSE(ArtifactsInput!$N$10+1,15,18,21,24,27,30)*(IF(Inputs!$B$39="pvp",MIN(15,15)/15,IF(AND(Inputs!$B$39&lt;&gt;"pvp",Inputs!$B$44&gt;0),MIN(15,Inputs!$B$44)/(Inputs!$B$44),0))),0)))-100),0))*CHOOSE(ArtifactsInput!$N$42+1,0.6,0.72,0.84,0.96,1.08,1.2))),Inputs!$B$18+((C1986=TRUE)*(F1986-Calc!F29))+(IF(AND(Inputs!$B$39&lt;&gt;"pvp",Inputs!$B$44=0),1,IF(IF(Inputs!$B$39="pvp",15,Inputs!$B$44)-(B2002)&lt;=0,1,MAX(0,IF(Inputs!$B$39="pvp",15,Inputs!$B$44)-MAX(5,B2002))/(IF(Inputs!$B$39="pvp",15,Inputs!$B$44)-(B2002))))*IF(AND(ArtifactsInput!$M$42,((Inputs!$B$9+((C1983=TRUE)*(F1983-Calc!F26))+B1991+(ArtifactsInput!$M$24-ArtifactsInput!$M$24)*CHOOSE(ArtifactsInput!$N$24+1,10,12,14,16,18,20)+IF(ArtifactsInput!$M$10,CHOOSE(ArtifactsInput!$N$10+1,15,18,21,24,27,30)*(IF(Inputs!$B$39="pvp",MIN(15,15)/15,IF(AND(Inputs!$B$39&lt;&gt;"pvp",Inputs!$B$44&gt;0),MIN(15,Inputs!$B$44)/(Inputs!$B$44),0))),0)))&gt;=100),CHOOSE(ArtifactsInput!$N$42+1,40,48,56,64,72,80),0))))/100)*(((1+(((C1979=TRUE)*F1979*IF(AND(Inputs!$B$39&lt;&gt;"pvp",Inputs!$B$44&gt;0),(((R1979-1)*MIN((Skills!Y22*(1+Inputs!$B$34/100)),(1/Q1979))+MIN((Skills!Y22*(1+Inputs!$B$34/100)),MAX(0,Inputs!$B$44-((R1979-1)*(1/Q1979)))))/Inputs!$B$44),IF(Inputs!$B$39="pvp",MIN((Skills!Y22*(1+Inputs!$B$34/100)),15)/15,MIN(1,(Skills!Y22*(1+Inputs!$B$34/100))/(1/Q1979)))))+((C1960=TRUE)*F1960*3)+((C1962=TRUE)*F1962*(1-EXP(-0.75*B1995*5)))+((C1981=TRUE)*(F1981-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1968=TRUE)*F1968*IF(AND(Inputs!$B$39&lt;&gt;"pvp",Inputs!$B$44&gt;0),(((R1968-1)*MIN((Skills!Y11*(1+Inputs!$B$34/100)),(1/Q1968))+MIN((Skills!Y11*(1+Inputs!$B$34/100)),MAX(0,Inputs!$B$44-((R1968-1)*(1/Q1968)))))/Inputs!$B$44),IF(Inputs!$B$39="pvp",MIN((Skills!Y11*(1+Inputs!$B$34/100)),15)/15,MIN(1,(Skills!Y11*(1+Inputs!$B$34/100))/(1/Q1968)))))/100)*(1+((C1973=TRUE)*F1973*IF(AND(Inputs!$B$39&lt;&gt;"pvp",Inputs!$B$44&gt;0),(((R1973-1)*MIN((Skills!Y16*(1+Inputs!$B$34/100)),(1/Q1973))+MIN((Skills!Y16*(1+Inputs!$B$34/100)),MAX(0,Inputs!$B$44-((R1973-1)*(1/Q1973)))))/Inputs!$B$44),IF(Inputs!$B$39="pvp",MIN((Skills!Y16*(1+Inputs!$B$34/100)),15)/15,MIN(1,(Skills!Y16*(1+Inputs!$B$34/100))/(1/Q1973)))))/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1993*I1971)</f>
        <v/>
      </c>
      <c r="L1971">
        <f>K1971*(MIN(Inputs!$B$22+((C1982=TRUE)*(F1982-Calc!F25)),(Inputs!$B$23+((C1987=TRUE)*(F1987-Calc!F30))+IF(ArtifactsInput!$M$15,CHOOSE(ArtifactsInput!$N$15+1,25,30,35,40,45,50)/100*(Inputs!$B$11-Inputs!$B$11),0)))/100+(Inputs!$B$23+((C1987=TRUE)*(F1987-Calc!F30))+IF(ArtifactsInput!$M$15,CHOOSE(ArtifactsInput!$N$15+1,25,30,35,40,45,50)/100*(Inputs!$B$11-Inputs!$B$11),0))/100)/2</f>
        <v/>
      </c>
      <c r="M1971">
        <f>L1971*(1+(Inputs!$B$10+((C1984=TRUE)*(F1984-Calc!F27))+B1998+(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1971">
        <f>L1971*(1-MIN((Inputs!$B$9+((C1983=TRUE)*(F1983-Calc!F26))+B1991+(ArtifactsInput!$M$24-ArtifactsInput!$M$24)*CHOOSE(ArtifactsInput!$N$24+1,10,12,14,16,18,20)+(IF(AND(Inputs!$B$39&lt;&gt;"pvp",Inputs!$B$44=0),1,IF(IF(Inputs!$B$39="pvp",15,Inputs!$B$44)-(B2002)&lt;=0,1,MAX(0,IF(Inputs!$B$39="pvp",15,Inputs!$B$44)-MAX(5,B2002))/(IF(Inputs!$B$39="pvp",15,Inputs!$B$44)-(B2002))))*IF(AND(ArtifactsInput!$M$42,((Inputs!$B$9+((C1983=TRUE)*(F1983-Calc!F26))+B1991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1971*(MIN((Inputs!$B$9+((C1983=TRUE)*(F1983-Calc!F26))+B1991+(ArtifactsInput!$M$24-ArtifactsInput!$M$24)*CHOOSE(ArtifactsInput!$N$24+1,10,12,14,16,18,20)+(IF(AND(Inputs!$B$39&lt;&gt;"pvp",Inputs!$B$44=0),1,IF(IF(Inputs!$B$39="pvp",15,Inputs!$B$44)-(B2002)&lt;=0,1,MAX(0,IF(Inputs!$B$39="pvp",15,Inputs!$B$44)-MAX(5,B2002))/(IF(Inputs!$B$39="pvp",15,Inputs!$B$44)-(B2002))))*IF(AND(ArtifactsInput!$M$42,((Inputs!$B$9+((C1983=TRUE)*(F1983-Calc!F26))+B1991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971">
        <f>(1-Summary!$B$11)*T1971+Summary!$B$11*V1971</f>
        <v/>
      </c>
      <c r="P1971">
        <f>IF(B2003=0,0,O1971/B2003)</f>
        <v/>
      </c>
      <c r="Q1971">
        <f>IFERROR(1/IF(Inputs!$B$39="pvp",15,MAX(0.1,Skills!D14-IF(TRUE=TRUE,Inputs!$B$32,0))),0)</f>
        <v/>
      </c>
      <c r="R1971">
        <f>IF(AND(Inputs!$B$39&lt;&gt;"pvp",Inputs!$B$44&gt;0),IF(MAX(0,Inputs!$B$44-B2002)&lt;=0,0,(INT(MAX(0,Inputs!$B$44-B2002)/IF(Inputs!$B$39="pvp",15,MAX(0.1,Skills!D14-IF(TRUE=TRUE,Inputs!$B$32,0))))+1)),0)</f>
        <v/>
      </c>
      <c r="S1971">
        <f>IFERROR(O1971/N1971,0)</f>
        <v/>
      </c>
      <c r="T1971">
        <f>IF(C1971,(H1971*N1971*IF(AND(Inputs!$B$39&lt;&gt;"pvp",Inputs!$B$44&gt;0),((Skills!G14*((R1971-1)*IF(Skills!H14&gt;0,Skills!I14/Skills!H14,1)+IF(Skills!H14&gt;0,MIN(Skills!I14,MAX(0,MAX(0,Inputs!$B$44-B2002)-((R1971-1)*IF(Inputs!$B$39="pvp",15,MAX(0.1,Skills!D14-IF(TRUE=TRUE,Inputs!$B$32,0))))))/Skills!H14,1)))/Inputs!$B$44),G1971*Q1971))*IF(Inputs!$B$39="pvp",1,1+(Inputs!$B$20+0+Skills!P14+B1992+(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Hunt"),CHOOSE(ArtifactsInput!$N$35+1,15,18,21,24,27,30)*(1-EXP(-(0.2*B1995)*5)),0)+IF(AND(ArtifactsInput!$M$22,Inputs!$B$4&lt;&gt;"Chapter Hunt"),CHOOSE(ArtifactsInput!$N$22+1,10,12,14,16,18,20)*((0*(((0.15*B1995*5))^0/1)+1*(((0.15*B1995*5))^1/1)+2*(((0.15*B1995*5))^2/2)+3*(((0.15*B1995*5))^3/6)+4*(((0.15*B1995*5))^4/24)+5*(((0.15*B1995*5))^5/120))/((((0.15*B1995*5))^0/1)+(((0.15*B1995*5))^1/1)+(((0.15*B1995*5))^2/2)+(((0.15*B1995*5))^3/6)+(((0.15*B1995*5))^4/24)+(((0.15*B1995*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1971*(1-MIN(100,(Inputs!$B$9+((C1983=TRUE)*(F1983-Calc!F26))+B1991+(ArtifactsInput!$M$24-ArtifactsInput!$M$24)*CHOOSE(ArtifactsInput!$N$24+1,10,12,14,16,18,20)+(IF(AND(Inputs!$B$39&lt;&gt;"pvp",Inputs!$B$44=0),1,IF(IF(Inputs!$B$39="pvp",15,Inputs!$B$44)-(B2002)&lt;=0,1,MAX(0,IF(Inputs!$B$39="pvp",15,Inputs!$B$44)-MAX(5,B2002))/(IF(Inputs!$B$39="pvp",15,Inputs!$B$44)-(B2002))))*IF(AND(ArtifactsInput!$M$42,((Inputs!$B$9+((C1983=TRUE)*(F1983-Calc!F26))+B1991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1971*(MIN(100,(Inputs!$B$9+((C1983=TRUE)*(F1983-Calc!F26))+B1991+(ArtifactsInput!$M$24-ArtifactsInput!$M$24)*CHOOSE(ArtifactsInput!$N$24+1,10,12,14,16,18,20)+(IF(AND(Inputs!$B$39&lt;&gt;"pvp",Inputs!$B$44=0),1,IF(IF(Inputs!$B$39="pvp",15,Inputs!$B$44)-(B2002)&lt;=0,1,MAX(0,IF(Inputs!$B$39="pvp",15,Inputs!$B$44)-MAX(5,B2002))/(IF(Inputs!$B$39="pvp",15,Inputs!$B$44)-(B2002))))*IF(AND(ArtifactsInput!$M$42,((Inputs!$B$9+((C1983=TRUE)*(F1983-Calc!F26))+B1991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1971*(1-MIN(100,(Inputs!$B$9+((C1983=TRUE)*(F1983-Calc!F26))+B1991+(ArtifactsInput!$M$24-ArtifactsInput!$M$24)*CHOOSE(ArtifactsInput!$N$24+1,10,12,14,16,18,20)+(IF(AND(Inputs!$B$39&lt;&gt;"pvp",Inputs!$B$44=0),1,IF(IF(Inputs!$B$39="pvp",15,Inputs!$B$44)-(B2002)&lt;=0,1,MAX(0,IF(Inputs!$B$39="pvp",15,Inputs!$B$44)-MAX(5,B2002))/(IF(Inputs!$B$39="pvp",15,Inputs!$B$44)-(B2002))))*IF(AND(ArtifactsInput!$M$42,((Inputs!$B$9+((C1983=TRUE)*(F1983-Calc!F26))+B1991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1971*(MIN(100,(Inputs!$B$9+((C1983=TRUE)*(F1983-Calc!F26))+B1991+(ArtifactsInput!$M$24-ArtifactsInput!$M$24)*CHOOSE(ArtifactsInput!$N$24+1,10,12,14,16,18,20)+(IF(AND(Inputs!$B$39&lt;&gt;"pvp",Inputs!$B$44=0),1,IF(IF(Inputs!$B$39="pvp",15,Inputs!$B$44)-(B2002)&lt;=0,1,MAX(0,IF(Inputs!$B$39="pvp",15,Inputs!$B$44)-MAX(5,B2002))/(IF(Inputs!$B$39="pvp",15,Inputs!$B$44)-(B2002))))*IF(AND(ArtifactsInput!$M$42,((Inputs!$B$9+((C1983=TRUE)*(F1983-Calc!F26))+B1991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1971">
        <f>IF(C1971,(H1971*N1971*IF(AND(Inputs!$B$39&lt;&gt;"pvp",Inputs!$B$44&gt;0),((Skills!G14*((R1971-1)*IF(Skills!H14&gt;0,Skills!I14/Skills!H14,1)+IF(Skills!H14&gt;0,MIN(Skills!I14,MAX(0,MAX(0,Inputs!$B$44-B2002)-((R1971-1)*IF(Inputs!$B$39="pvp",15,MAX(0.1,Skills!D14-IF(TRUE=TRUE,Inputs!$B$32,0))))))/Skills!H14,1)))/Inputs!$B$44),G1971*Q1971))*IF(Inputs!$B$39="pvp",1,(1+(Inputs!$B$21+Skills!Q14+B1992+(IF(ArtifactsInput!$M$33,CHOOSE(ArtifactsInput!$N$33+1,30,36,42,48,54,60),0))+(IF(AND(ArtifactsInput!$M$35,Inputs!$B$4&lt;&gt;"Chapter Hunt"),CHOOSE(ArtifactsInput!$N$35+1,15,18,21,24,27,30)*(1-EXP(-(0.2*B1995)*5)),0)+IF(AND(ArtifactsInput!$M$22,Inputs!$B$4&lt;&gt;"Chapter Hunt"),CHOOSE(ArtifactsInput!$N$22+1,10,12,14,16,18,20)*((0*(((0.15*B1995*5))^0/1)+1*(((0.15*B1995*5))^1/1)+2*(((0.15*B1995*5))^2/2)+3*(((0.15*B1995*5))^3/6)+4*(((0.15*B1995*5))^4/24)+5*(((0.15*B1995*5))^5/120))/((((0.15*B1995*5))^0/1)+(((0.15*B1995*5))^1/1)+(((0.15*B1995*5))^2/2)+(((0.15*B1995*5))^3/6)+(((0.15*B1995*5))^4/24)+(((0.15*B1995*5))^5/120))),0)))/100)*(MIN(Skills!W14,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972">
      <c r="A1972">
        <f>Skills!A15</f>
        <v/>
      </c>
      <c r="B1972">
        <f>Skills!B15</f>
        <v/>
      </c>
      <c r="C1972">
        <f>Inputs!$B$3&gt;=107</f>
        <v/>
      </c>
      <c r="D1972">
        <f>IF(Skills!C15=1,60+Inputs!$B$25+Inputs!$B$29,IF(Skills!C15=2,90+Inputs!$B$26+Inputs!$B$29,IF(Skills!C15=3,120+Inputs!$B$27+Inputs!$B$29,MAX(0,(Inputs!$B$3-100)*3)+Inputs!$B$28+Inputs!$B$29)))</f>
        <v/>
      </c>
      <c r="E1972">
        <f>INDEX(FactorTable!$B$2:$Y$301, MATCH(ROUND(MIN(300,MAX(1,D1972)),0), FactorTable!$A$2:$A$301,0), Skills!M15+1)</f>
        <v/>
      </c>
      <c r="F1972">
        <f>IF(Skills!N15=TRUE,(Skills!L15/10)*(E1972/1000),Skills!L15/10)+Skills!O15</f>
        <v/>
      </c>
      <c r="G1972">
        <f>Skills!G15*IF(Skills!H15&gt;0,IF(Inputs!$B$39="pvp",MIN(Skills!I15,15),Skills!I15)/Skills!H15,1)</f>
        <v/>
      </c>
      <c r="H1972">
        <f>1-(1-Skills!J15/100)^Skills!K15</f>
        <v/>
      </c>
      <c r="I1972" t="inlineStr">
        <is>
          <t>1</t>
        </is>
      </c>
      <c r="J1972">
        <f>((Inputs!$B$6*(1+Inputs!$B$7/100))+(((Inputs!$B$12*(1+Inputs!$B$13/100))-(Inputs!$B$12*(1+Inputs!$B$13/100)))+0.25*(Inputs!$B$14-Inputs!$B$14))*(1+Inputs!$B$7/100))*(F1972/100)</f>
        <v/>
      </c>
      <c r="K1972">
        <f>J1972*(1+((Inputs!$B$12*(1+Inputs!$B$13/100))*0.01+Inputs!$B$14*0.0025)/100)*(1+Inputs!$B$15/100)*(1+Inputs!$B$16/100)*(5000/(6000+Inputs!$B$43*(1-(100*(1-(1-Inputs!$B$19/100)*(1-CHOOSE(ArtifactsInput!$N$40+1,5,6,7,8,9,10)/100)^(ArtifactsInput!$M$40-ArtifactsInput!$M$40)))/100)))*(1+(Inputs!$B$24+((C1988=TRUE)*(F1988-Calc!F31))+((C1975=TRUE)*(F1975-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15="CRUEL_STAB",Inputs!$B$17+((C1985=TRUE)*(F1985-Calc!F28))+((IF(AND(Inputs!$B$39&lt;&gt;"pvp",Inputs!$B$44=0),1,IF(IF(Inputs!$B$39="pvp",15,Inputs!$B$44)-(B2002)&lt;=0,1,MAX(0,IF(Inputs!$B$39="pvp",15,Inputs!$B$44)-MAX(5,B2002))/(IF(Inputs!$B$39="pvp",15,Inputs!$B$44)-(B2002))))*(IF(AND(ArtifactsInput!$M$42,((Inputs!$B$9+((C1983=TRUE)*(F1983-Calc!F26))+B1991+(ArtifactsInput!$M$24-ArtifactsInput!$M$24)*CHOOSE(ArtifactsInput!$N$24+1,10,12,14,16,18,20)+IF(ArtifactsInput!$M$10,CHOOSE(ArtifactsInput!$N$10+1,15,18,21,24,27,30)*(IF(Inputs!$B$39="pvp",MIN(15,15)/15,IF(AND(Inputs!$B$39&lt;&gt;"pvp",Inputs!$B$44&gt;0),MIN(15,Inputs!$B$44)/(Inputs!$B$44),0))),0)))&gt;=100),MIN(100,((Inputs!$B$9+((C1983=TRUE)*(F1983-Calc!F26))+B1991+(ArtifactsInput!$M$24-ArtifactsInput!$M$24)*CHOOSE(ArtifactsInput!$N$24+1,10,12,14,16,18,20)+IF(ArtifactsInput!$M$10,CHOOSE(ArtifactsInput!$N$10+1,15,18,21,24,27,30)*(IF(Inputs!$B$39="pvp",MIN(15,15)/15,IF(AND(Inputs!$B$39&lt;&gt;"pvp",Inputs!$B$44&gt;0),MIN(15,Inputs!$B$44)/(Inputs!$B$44),0))),0)))-100),0))*CHOOSE(ArtifactsInput!$N$42+1,0.6,0.72,0.84,0.96,1.08,1.2))),Inputs!$B$18+((C1986=TRUE)*(F1986-Calc!F29))+(IF(AND(Inputs!$B$39&lt;&gt;"pvp",Inputs!$B$44=0),1,IF(IF(Inputs!$B$39="pvp",15,Inputs!$B$44)-(B2002)&lt;=0,1,MAX(0,IF(Inputs!$B$39="pvp",15,Inputs!$B$44)-MAX(5,B2002))/(IF(Inputs!$B$39="pvp",15,Inputs!$B$44)-(B2002))))*IF(AND(ArtifactsInput!$M$42,((Inputs!$B$9+((C1983=TRUE)*(F1983-Calc!F26))+B1991+(ArtifactsInput!$M$24-ArtifactsInput!$M$24)*CHOOSE(ArtifactsInput!$N$24+1,10,12,14,16,18,20)+IF(ArtifactsInput!$M$10,CHOOSE(ArtifactsInput!$N$10+1,15,18,21,24,27,30)*(IF(Inputs!$B$39="pvp",MIN(15,15)/15,IF(AND(Inputs!$B$39&lt;&gt;"pvp",Inputs!$B$44&gt;0),MIN(15,Inputs!$B$44)/(Inputs!$B$44),0))),0)))&gt;=100),CHOOSE(ArtifactsInput!$N$42+1,40,48,56,64,72,80),0))))/100)*(((1+(((C1979=TRUE)*F1979*IF(AND(Inputs!$B$39&lt;&gt;"pvp",Inputs!$B$44&gt;0),(((R1979-1)*MIN((Skills!Y22*(1+Inputs!$B$34/100)),(1/Q1979))+MIN((Skills!Y22*(1+Inputs!$B$34/100)),MAX(0,Inputs!$B$44-((R1979-1)*(1/Q1979)))))/Inputs!$B$44),IF(Inputs!$B$39="pvp",MIN((Skills!Y22*(1+Inputs!$B$34/100)),15)/15,MIN(1,(Skills!Y22*(1+Inputs!$B$34/100))/(1/Q1979)))))+((C1960=TRUE)*F1960*3)+((C1962=TRUE)*F1962*(1-EXP(-0.75*B1995*5)))+((C1981=TRUE)*(F1981-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1968=TRUE)*F1968*IF(AND(Inputs!$B$39&lt;&gt;"pvp",Inputs!$B$44&gt;0),(((R1968-1)*MIN((Skills!Y11*(1+Inputs!$B$34/100)),(1/Q1968))+MIN((Skills!Y11*(1+Inputs!$B$34/100)),MAX(0,Inputs!$B$44-((R1968-1)*(1/Q1968)))))/Inputs!$B$44),IF(Inputs!$B$39="pvp",MIN((Skills!Y11*(1+Inputs!$B$34/100)),15)/15,MIN(1,(Skills!Y11*(1+Inputs!$B$34/100))/(1/Q1968)))))/100)*(1+((C1973=TRUE)*F1973*IF(AND(Inputs!$B$39&lt;&gt;"pvp",Inputs!$B$44&gt;0),(((R1973-1)*MIN((Skills!Y16*(1+Inputs!$B$34/100)),(1/Q1973))+MIN((Skills!Y16*(1+Inputs!$B$34/100)),MAX(0,Inputs!$B$44-((R1973-1)*(1/Q1973)))))/Inputs!$B$44),IF(Inputs!$B$39="pvp",MIN((Skills!Y16*(1+Inputs!$B$34/100)),15)/15,MIN(1,(Skills!Y16*(1+Inputs!$B$34/100))/(1/Q1973)))))/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1993*I1972)</f>
        <v/>
      </c>
      <c r="L1972">
        <f>K1972*(MIN(Inputs!$B$22+((C1982=TRUE)*(F1982-Calc!F25)),(Inputs!$B$23+((C1987=TRUE)*(F1987-Calc!F30))+IF(ArtifactsInput!$M$15,CHOOSE(ArtifactsInput!$N$15+1,25,30,35,40,45,50)/100*(Inputs!$B$11-Inputs!$B$11),0)))/100+(Inputs!$B$23+((C1987=TRUE)*(F1987-Calc!F30))+IF(ArtifactsInput!$M$15,CHOOSE(ArtifactsInput!$N$15+1,25,30,35,40,45,50)/100*(Inputs!$B$11-Inputs!$B$11),0))/100)/2</f>
        <v/>
      </c>
      <c r="M1972">
        <f>L1972*(1+(Inputs!$B$10+((C1984=TRUE)*(F1984-Calc!F27))+B1998+(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1972">
        <f>L1972*(1-MIN((Inputs!$B$9+((C1983=TRUE)*(F1983-Calc!F26))+B1991+(ArtifactsInput!$M$24-ArtifactsInput!$M$24)*CHOOSE(ArtifactsInput!$N$24+1,10,12,14,16,18,20)+(IF(AND(Inputs!$B$39&lt;&gt;"pvp",Inputs!$B$44=0),1,IF(IF(Inputs!$B$39="pvp",15,Inputs!$B$44)-(B2002)&lt;=0,1,MAX(0,IF(Inputs!$B$39="pvp",15,Inputs!$B$44)-MAX(5,B2002))/(IF(Inputs!$B$39="pvp",15,Inputs!$B$44)-(B2002))))*IF(AND(ArtifactsInput!$M$42,((Inputs!$B$9+((C1983=TRUE)*(F1983-Calc!F26))+B1991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1972*(MIN((Inputs!$B$9+((C1983=TRUE)*(F1983-Calc!F26))+B1991+(ArtifactsInput!$M$24-ArtifactsInput!$M$24)*CHOOSE(ArtifactsInput!$N$24+1,10,12,14,16,18,20)+(IF(AND(Inputs!$B$39&lt;&gt;"pvp",Inputs!$B$44=0),1,IF(IF(Inputs!$B$39="pvp",15,Inputs!$B$44)-(B2002)&lt;=0,1,MAX(0,IF(Inputs!$B$39="pvp",15,Inputs!$B$44)-MAX(5,B2002))/(IF(Inputs!$B$39="pvp",15,Inputs!$B$44)-(B2002))))*IF(AND(ArtifactsInput!$M$42,((Inputs!$B$9+((C1983=TRUE)*(F1983-Calc!F26))+B1991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972">
        <f>(1-Summary!$B$11)*T1972+Summary!$B$11*V1972</f>
        <v/>
      </c>
      <c r="P1972">
        <f>IF(B2003=0,0,O1972/B2003)</f>
        <v/>
      </c>
      <c r="Q1972">
        <f>IFERROR(1/IF(Inputs!$B$39="pvp",15,MAX(0.1,Skills!D15-IF(TRUE=TRUE,Inputs!$B$32,0))),0)</f>
        <v/>
      </c>
      <c r="R1972">
        <f>IF(AND(Inputs!$B$39&lt;&gt;"pvp",Inputs!$B$44&gt;0),IF(MAX(0,Inputs!$B$44-B2002)&lt;=0,0,(INT(MAX(0,Inputs!$B$44-B2002)/IF(Inputs!$B$39="pvp",15,MAX(0.1,Skills!D15-IF(TRUE=TRUE,Inputs!$B$32,0))))+1)),0)</f>
        <v/>
      </c>
      <c r="S1972">
        <f>IFERROR(O1972/N1972,0)</f>
        <v/>
      </c>
      <c r="T1972">
        <f>IF(C1972,(H1972*N1972*IF(AND(Inputs!$B$39&lt;&gt;"pvp",Inputs!$B$44&gt;0),((Skills!G15*((R1972-1)*IF(Skills!H15&gt;0,Skills!I15/Skills!H15,1)+IF(Skills!H15&gt;0,MIN(Skills!I15,MAX(0,MAX(0,Inputs!$B$44-B2002)-((R1972-1)*IF(Inputs!$B$39="pvp",15,MAX(0.1,Skills!D15-IF(TRUE=TRUE,Inputs!$B$32,0))))))/Skills!H15,1)))/Inputs!$B$44),G1972*Q1972))*IF(Inputs!$B$39="pvp",1,1+(Inputs!$B$20+0+Skills!P15+B1992+(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Hunt"),CHOOSE(ArtifactsInput!$N$35+1,15,18,21,24,27,30)*(1-EXP(-(0.2*B1995)*5)),0)+IF(AND(ArtifactsInput!$M$22,Inputs!$B$4&lt;&gt;"Chapter Hunt"),CHOOSE(ArtifactsInput!$N$22+1,10,12,14,16,18,20)*((0*(((0.15*B1995*5))^0/1)+1*(((0.15*B1995*5))^1/1)+2*(((0.15*B1995*5))^2/2)+3*(((0.15*B1995*5))^3/6)+4*(((0.15*B1995*5))^4/24)+5*(((0.15*B1995*5))^5/120))/((((0.15*B1995*5))^0/1)+(((0.15*B1995*5))^1/1)+(((0.15*B1995*5))^2/2)+(((0.15*B1995*5))^3/6)+(((0.15*B1995*5))^4/24)+(((0.15*B1995*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1972*(1-MIN(100,(Inputs!$B$9+((C1983=TRUE)*(F1983-Calc!F26))+B1991+(ArtifactsInput!$M$24-ArtifactsInput!$M$24)*CHOOSE(ArtifactsInput!$N$24+1,10,12,14,16,18,20)+(IF(AND(Inputs!$B$39&lt;&gt;"pvp",Inputs!$B$44=0),1,IF(IF(Inputs!$B$39="pvp",15,Inputs!$B$44)-(B2002)&lt;=0,1,MAX(0,IF(Inputs!$B$39="pvp",15,Inputs!$B$44)-MAX(5,B2002))/(IF(Inputs!$B$39="pvp",15,Inputs!$B$44)-(B2002))))*IF(AND(ArtifactsInput!$M$42,((Inputs!$B$9+((C1983=TRUE)*(F1983-Calc!F26))+B1991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1972*(MIN(100,(Inputs!$B$9+((C1983=TRUE)*(F1983-Calc!F26))+B1991+(ArtifactsInput!$M$24-ArtifactsInput!$M$24)*CHOOSE(ArtifactsInput!$N$24+1,10,12,14,16,18,20)+(IF(AND(Inputs!$B$39&lt;&gt;"pvp",Inputs!$B$44=0),1,IF(IF(Inputs!$B$39="pvp",15,Inputs!$B$44)-(B2002)&lt;=0,1,MAX(0,IF(Inputs!$B$39="pvp",15,Inputs!$B$44)-MAX(5,B2002))/(IF(Inputs!$B$39="pvp",15,Inputs!$B$44)-(B2002))))*IF(AND(ArtifactsInput!$M$42,((Inputs!$B$9+((C1983=TRUE)*(F1983-Calc!F26))+B1991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1972*(1-MIN(100,(Inputs!$B$9+((C1983=TRUE)*(F1983-Calc!F26))+B1991+(ArtifactsInput!$M$24-ArtifactsInput!$M$24)*CHOOSE(ArtifactsInput!$N$24+1,10,12,14,16,18,20)+(IF(AND(Inputs!$B$39&lt;&gt;"pvp",Inputs!$B$44=0),1,IF(IF(Inputs!$B$39="pvp",15,Inputs!$B$44)-(B2002)&lt;=0,1,MAX(0,IF(Inputs!$B$39="pvp",15,Inputs!$B$44)-MAX(5,B2002))/(IF(Inputs!$B$39="pvp",15,Inputs!$B$44)-(B2002))))*IF(AND(ArtifactsInput!$M$42,((Inputs!$B$9+((C1983=TRUE)*(F1983-Calc!F26))+B1991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1972*(MIN(100,(Inputs!$B$9+((C1983=TRUE)*(F1983-Calc!F26))+B1991+(ArtifactsInput!$M$24-ArtifactsInput!$M$24)*CHOOSE(ArtifactsInput!$N$24+1,10,12,14,16,18,20)+(IF(AND(Inputs!$B$39&lt;&gt;"pvp",Inputs!$B$44=0),1,IF(IF(Inputs!$B$39="pvp",15,Inputs!$B$44)-(B2002)&lt;=0,1,MAX(0,IF(Inputs!$B$39="pvp",15,Inputs!$B$44)-MAX(5,B2002))/(IF(Inputs!$B$39="pvp",15,Inputs!$B$44)-(B2002))))*IF(AND(ArtifactsInput!$M$42,((Inputs!$B$9+((C1983=TRUE)*(F1983-Calc!F26))+B1991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1972">
        <f>IF(C1972,(H1972*N1972*IF(AND(Inputs!$B$39&lt;&gt;"pvp",Inputs!$B$44&gt;0),((Skills!G15*((R1972-1)*IF(Skills!H15&gt;0,Skills!I15/Skills!H15,1)+IF(Skills!H15&gt;0,MIN(Skills!I15,MAX(0,MAX(0,Inputs!$B$44-B2002)-((R1972-1)*IF(Inputs!$B$39="pvp",15,MAX(0.1,Skills!D15-IF(TRUE=TRUE,Inputs!$B$32,0))))))/Skills!H15,1)))/Inputs!$B$44),G1972*Q1972))*IF(Inputs!$B$39="pvp",1,(1+(Inputs!$B$21+Skills!Q15+B1992+(IF(ArtifactsInput!$M$33,CHOOSE(ArtifactsInput!$N$33+1,30,36,42,48,54,60),0))+(IF(AND(ArtifactsInput!$M$35,Inputs!$B$4&lt;&gt;"Chapter Hunt"),CHOOSE(ArtifactsInput!$N$35+1,15,18,21,24,27,30)*(1-EXP(-(0.2*B1995)*5)),0)+IF(AND(ArtifactsInput!$M$22,Inputs!$B$4&lt;&gt;"Chapter Hunt"),CHOOSE(ArtifactsInput!$N$22+1,10,12,14,16,18,20)*((0*(((0.15*B1995*5))^0/1)+1*(((0.15*B1995*5))^1/1)+2*(((0.15*B1995*5))^2/2)+3*(((0.15*B1995*5))^3/6)+4*(((0.15*B1995*5))^4/24)+5*(((0.15*B1995*5))^5/120))/((((0.15*B1995*5))^0/1)+(((0.15*B1995*5))^1/1)+(((0.15*B1995*5))^2/2)+(((0.15*B1995*5))^3/6)+(((0.15*B1995*5))^4/24)+(((0.15*B1995*5))^5/120))),0)))/100)*(MIN(MIN(5,0.5*IF(Inputs!$B$3&gt;=75,0.75,0.5)*B1995*(1/Q1961))*Skills!V15,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973">
      <c r="A1973">
        <f>Skills!A16</f>
        <v/>
      </c>
      <c r="B1973">
        <f>Skills!B16</f>
        <v/>
      </c>
      <c r="C1973">
        <f>Inputs!$B$3&gt;=110</f>
        <v/>
      </c>
      <c r="D1973">
        <f>IF(Skills!C16=1,60+Inputs!$B$25+Inputs!$B$29,IF(Skills!C16=2,90+Inputs!$B$26+Inputs!$B$29,IF(Skills!C16=3,120+Inputs!$B$27+Inputs!$B$29,MAX(0,(Inputs!$B$3-100)*3)+Inputs!$B$28+Inputs!$B$29)))</f>
        <v/>
      </c>
      <c r="E1973">
        <f>INDEX(FactorTable!$B$2:$Y$301, MATCH(ROUND(MIN(300,MAX(1,D1973)),0), FactorTable!$A$2:$A$301,0), Skills!M16+1)</f>
        <v/>
      </c>
      <c r="F1973">
        <f>IF(Skills!N16=TRUE,(Skills!L16/10)*(E1973/1000),Skills!L16/10)+Skills!O16</f>
        <v/>
      </c>
      <c r="G1973">
        <f>Skills!G16*IF(Skills!H16&gt;0,IF(Inputs!$B$39="pvp",MIN(Skills!I16,15),Skills!I16)/Skills!H16,1)</f>
        <v/>
      </c>
      <c r="H1973">
        <f>1-(1-Skills!J16/100)^Skills!K16</f>
        <v/>
      </c>
      <c r="I1973" t="inlineStr">
        <is>
          <t>1</t>
        </is>
      </c>
      <c r="J1973" t="inlineStr"/>
      <c r="K1973" t="inlineStr"/>
      <c r="L1973" t="inlineStr"/>
      <c r="M1973" t="inlineStr"/>
      <c r="N1973" t="inlineStr"/>
      <c r="O1973">
        <f>(1-Summary!$B$11)*T1973+Summary!$B$11*V1973</f>
        <v/>
      </c>
      <c r="P1973">
        <f>IF(B2003=0,0,O1973/B2003)</f>
        <v/>
      </c>
      <c r="Q1973">
        <f>IFERROR(1/IF(Inputs!$B$39="pvp",15,MAX(0.1,Skills!D16-IF(TRUE=TRUE,Inputs!$B$32,0))),0)</f>
        <v/>
      </c>
      <c r="R1973">
        <f>IF(AND(Inputs!$B$39&lt;&gt;"pvp",Inputs!$B$44&gt;0),IF(Inputs!$B$44&lt;=0,0,(INT(Inputs!$B$44/IF(Inputs!$B$39="pvp",15,MAX(0.1,Skills!D16-IF(TRUE=TRUE,Inputs!$B$32,0))))+1)),0)</f>
        <v/>
      </c>
      <c r="S1973">
        <f>IFERROR(O1973/N1973,0)</f>
        <v/>
      </c>
      <c r="T1973" t="n">
        <v>0</v>
      </c>
      <c r="V1973" t="n">
        <v>0</v>
      </c>
    </row>
    <row r="1974">
      <c r="A1974">
        <f>Skills!A17</f>
        <v/>
      </c>
      <c r="B1974">
        <f>Skills!B17</f>
        <v/>
      </c>
      <c r="C1974">
        <f>Inputs!$B$3&gt;=115</f>
        <v/>
      </c>
      <c r="D1974">
        <f>IF(Skills!C17=1,60+Inputs!$B$25+Inputs!$B$29,IF(Skills!C17=2,90+Inputs!$B$26+Inputs!$B$29,IF(Skills!C17=3,120+Inputs!$B$27+Inputs!$B$29,MAX(0,(Inputs!$B$3-100)*3)+Inputs!$B$28+Inputs!$B$29)))</f>
        <v/>
      </c>
      <c r="E1974">
        <f>INDEX(FactorTable!$B$2:$Y$301, MATCH(ROUND(MIN(300,MAX(1,D1974)),0), FactorTable!$A$2:$A$301,0), Skills!M17+1)</f>
        <v/>
      </c>
      <c r="F1974">
        <f>IF(Skills!N17=TRUE,(Skills!L17/10)*(E1974/1000),Skills!L17/10)+Skills!O17</f>
        <v/>
      </c>
      <c r="G1974">
        <f>Skills!G17*IF(Skills!H17&gt;0,IF(Inputs!$B$39="pvp",MIN(Skills!I17,15),Skills!I17)/Skills!H17,1)</f>
        <v/>
      </c>
      <c r="H1974">
        <f>1-(1-Skills!J17/100)^Skills!K17</f>
        <v/>
      </c>
      <c r="I1974" t="inlineStr">
        <is>
          <t>1</t>
        </is>
      </c>
      <c r="J1974">
        <f>((Inputs!$B$6*(1+Inputs!$B$7/100))+(((Inputs!$B$12*(1+Inputs!$B$13/100))-(Inputs!$B$12*(1+Inputs!$B$13/100)))+0.25*(Inputs!$B$14-Inputs!$B$14))*(1+Inputs!$B$7/100))*(F1974/100)</f>
        <v/>
      </c>
      <c r="K1974">
        <f>J1974*(1+((Inputs!$B$12*(1+Inputs!$B$13/100))*0.01+Inputs!$B$14*0.0025)/100)*(1+Inputs!$B$15/100)*(1+Inputs!$B$16/100)*(5000/(6000+Inputs!$B$43*(1-(100*(1-(1-Inputs!$B$19/100)*(1-CHOOSE(ArtifactsInput!$N$40+1,5,6,7,8,9,10)/100)^(ArtifactsInput!$M$40-ArtifactsInput!$M$40)))/100)))*(1+(Inputs!$B$24+((C1988=TRUE)*(F1988-Calc!F31))+((C1975=TRUE)*(F1975-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17="CRUEL_STAB",Inputs!$B$17+((C1985=TRUE)*(F1985-Calc!F28))+((IF(AND(Inputs!$B$39&lt;&gt;"pvp",Inputs!$B$44=0),1,IF(IF(Inputs!$B$39="pvp",15,Inputs!$B$44)-(B2002)&lt;=0,1,MAX(0,IF(Inputs!$B$39="pvp",15,Inputs!$B$44)-MAX(5,B2002))/(IF(Inputs!$B$39="pvp",15,Inputs!$B$44)-(B2002))))*(IF(AND(ArtifactsInput!$M$42,((Inputs!$B$9+((C1983=TRUE)*(F1983-Calc!F26))+B1991+(ArtifactsInput!$M$24-ArtifactsInput!$M$24)*CHOOSE(ArtifactsInput!$N$24+1,10,12,14,16,18,20)+IF(ArtifactsInput!$M$10,CHOOSE(ArtifactsInput!$N$10+1,15,18,21,24,27,30)*(IF(Inputs!$B$39="pvp",MIN(15,15)/15,IF(AND(Inputs!$B$39&lt;&gt;"pvp",Inputs!$B$44&gt;0),MIN(15,Inputs!$B$44)/(Inputs!$B$44),0))),0)))&gt;=100),MIN(100,((Inputs!$B$9+((C1983=TRUE)*(F1983-Calc!F26))+B1991+(ArtifactsInput!$M$24-ArtifactsInput!$M$24)*CHOOSE(ArtifactsInput!$N$24+1,10,12,14,16,18,20)+IF(ArtifactsInput!$M$10,CHOOSE(ArtifactsInput!$N$10+1,15,18,21,24,27,30)*(IF(Inputs!$B$39="pvp",MIN(15,15)/15,IF(AND(Inputs!$B$39&lt;&gt;"pvp",Inputs!$B$44&gt;0),MIN(15,Inputs!$B$44)/(Inputs!$B$44),0))),0)))-100),0))*CHOOSE(ArtifactsInput!$N$42+1,0.6,0.72,0.84,0.96,1.08,1.2))),Inputs!$B$18+((C1986=TRUE)*(F1986-Calc!F29))+(IF(AND(Inputs!$B$39&lt;&gt;"pvp",Inputs!$B$44=0),1,IF(IF(Inputs!$B$39="pvp",15,Inputs!$B$44)-(B2002)&lt;=0,1,MAX(0,IF(Inputs!$B$39="pvp",15,Inputs!$B$44)-MAX(5,B2002))/(IF(Inputs!$B$39="pvp",15,Inputs!$B$44)-(B2002))))*IF(AND(ArtifactsInput!$M$42,((Inputs!$B$9+((C1983=TRUE)*(F1983-Calc!F26))+B1991+(ArtifactsInput!$M$24-ArtifactsInput!$M$24)*CHOOSE(ArtifactsInput!$N$24+1,10,12,14,16,18,20)+IF(ArtifactsInput!$M$10,CHOOSE(ArtifactsInput!$N$10+1,15,18,21,24,27,30)*(IF(Inputs!$B$39="pvp",MIN(15,15)/15,IF(AND(Inputs!$B$39&lt;&gt;"pvp",Inputs!$B$44&gt;0),MIN(15,Inputs!$B$44)/(Inputs!$B$44),0))),0)))&gt;=100),CHOOSE(ArtifactsInput!$N$42+1,40,48,56,64,72,80),0))))/100)*(((1+(((C1979=TRUE)*F1979*IF(AND(Inputs!$B$39&lt;&gt;"pvp",Inputs!$B$44&gt;0),(((R1979-1)*MIN((Skills!Y22*(1+Inputs!$B$34/100)),(1/Q1979))+MIN((Skills!Y22*(1+Inputs!$B$34/100)),MAX(0,Inputs!$B$44-((R1979-1)*(1/Q1979)))))/Inputs!$B$44),IF(Inputs!$B$39="pvp",MIN((Skills!Y22*(1+Inputs!$B$34/100)),15)/15,MIN(1,(Skills!Y22*(1+Inputs!$B$34/100))/(1/Q1979)))))+((C1960=TRUE)*F1960*3)+((C1962=TRUE)*F1962*(1-EXP(-0.75*B1995*5)))+((C1981=TRUE)*(F1981-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1968=TRUE)*F1968*IF(AND(Inputs!$B$39&lt;&gt;"pvp",Inputs!$B$44&gt;0),(((R1968-1)*MIN((Skills!Y11*(1+Inputs!$B$34/100)),(1/Q1968))+MIN((Skills!Y11*(1+Inputs!$B$34/100)),MAX(0,Inputs!$B$44-((R1968-1)*(1/Q1968)))))/Inputs!$B$44),IF(Inputs!$B$39="pvp",MIN((Skills!Y11*(1+Inputs!$B$34/100)),15)/15,MIN(1,(Skills!Y11*(1+Inputs!$B$34/100))/(1/Q1968)))))/100)*(1+((C1973=TRUE)*F1973*IF(AND(Inputs!$B$39&lt;&gt;"pvp",Inputs!$B$44&gt;0),(((R1973-1)*MIN((Skills!Y16*(1+Inputs!$B$34/100)),(1/Q1973))+MIN((Skills!Y16*(1+Inputs!$B$34/100)),MAX(0,Inputs!$B$44-((R1973-1)*(1/Q1973)))))/Inputs!$B$44),IF(Inputs!$B$39="pvp",MIN((Skills!Y16*(1+Inputs!$B$34/100)),15)/15,MIN(1,(Skills!Y16*(1+Inputs!$B$34/100))/(1/Q1973)))))/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1993*I1974)</f>
        <v/>
      </c>
      <c r="L1974">
        <f>K1974*(MIN(Inputs!$B$22+((C1982=TRUE)*(F1982-Calc!F25)),(Inputs!$B$23+((C1987=TRUE)*(F1987-Calc!F30))+IF(ArtifactsInput!$M$15,CHOOSE(ArtifactsInput!$N$15+1,25,30,35,40,45,50)/100*(Inputs!$B$11-Inputs!$B$11),0)))/100+(Inputs!$B$23+((C1987=TRUE)*(F1987-Calc!F30))+IF(ArtifactsInput!$M$15,CHOOSE(ArtifactsInput!$N$15+1,25,30,35,40,45,50)/100*(Inputs!$B$11-Inputs!$B$11),0))/100)/2</f>
        <v/>
      </c>
      <c r="M1974">
        <f>L1974*(1+(Inputs!$B$10+((C1984=TRUE)*(F1984-Calc!F27))+B1998+(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1974">
        <f>L1974*(1-MIN((Inputs!$B$9+((C1983=TRUE)*(F1983-Calc!F26))+B1991+(ArtifactsInput!$M$24-ArtifactsInput!$M$24)*CHOOSE(ArtifactsInput!$N$24+1,10,12,14,16,18,20)+(IF(AND(Inputs!$B$39&lt;&gt;"pvp",Inputs!$B$44=0),1,IF(IF(Inputs!$B$39="pvp",15,Inputs!$B$44)-(B2002)&lt;=0,1,MAX(0,IF(Inputs!$B$39="pvp",15,Inputs!$B$44)-MAX(5,B2002))/(IF(Inputs!$B$39="pvp",15,Inputs!$B$44)-(B2002))))*IF(AND(ArtifactsInput!$M$42,((Inputs!$B$9+((C1983=TRUE)*(F1983-Calc!F26))+B1991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1974*(MIN((Inputs!$B$9+((C1983=TRUE)*(F1983-Calc!F26))+B1991+(ArtifactsInput!$M$24-ArtifactsInput!$M$24)*CHOOSE(ArtifactsInput!$N$24+1,10,12,14,16,18,20)+(IF(AND(Inputs!$B$39&lt;&gt;"pvp",Inputs!$B$44=0),1,IF(IF(Inputs!$B$39="pvp",15,Inputs!$B$44)-(B2002)&lt;=0,1,MAX(0,IF(Inputs!$B$39="pvp",15,Inputs!$B$44)-MAX(5,B2002))/(IF(Inputs!$B$39="pvp",15,Inputs!$B$44)-(B2002))))*IF(AND(ArtifactsInput!$M$42,((Inputs!$B$9+((C1983=TRUE)*(F1983-Calc!F26))+B1991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974">
        <f>(1-Summary!$B$11)*T1974+Summary!$B$11*V1974</f>
        <v/>
      </c>
      <c r="P1974">
        <f>IF(B2003=0,0,O1974/B2003)</f>
        <v/>
      </c>
      <c r="Q1974" t="n">
        <v>0</v>
      </c>
      <c r="R1974" t="n">
        <v>0</v>
      </c>
      <c r="S1974">
        <f>IFERROR(O1974/N1974,0)</f>
        <v/>
      </c>
      <c r="T1974">
        <f>IF(C1974,(Inputs!$B$38*0.2*N1974)*IF(Inputs!$B$39="pvp",1,1+(Inputs!$B$20+0+Skills!P17+B1992+(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Hunt"),CHOOSE(ArtifactsInput!$N$35+1,15,18,21,24,27,30)*(1-EXP(-(0.2*B1995)*5)),0)+IF(AND(ArtifactsInput!$M$22,Inputs!$B$4&lt;&gt;"Chapter Hunt"),CHOOSE(ArtifactsInput!$N$22+1,10,12,14,16,18,20)*((0*(((0.15*B1995*5))^0/1)+1*(((0.15*B1995*5))^1/1)+2*(((0.15*B1995*5))^2/2)+3*(((0.15*B1995*5))^3/6)+4*(((0.15*B1995*5))^4/24)+5*(((0.15*B1995*5))^5/120))/((((0.15*B1995*5))^0/1)+(((0.15*B1995*5))^1/1)+(((0.15*B1995*5))^2/2)+(((0.15*B1995*5))^3/6)+(((0.15*B1995*5))^4/24)+(((0.15*B1995*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1974*(1-MIN(100,(Inputs!$B$9+((C1983=TRUE)*(F1983-Calc!F26))+B1991+(ArtifactsInput!$M$24-ArtifactsInput!$M$24)*CHOOSE(ArtifactsInput!$N$24+1,10,12,14,16,18,20)+(IF(AND(Inputs!$B$39&lt;&gt;"pvp",Inputs!$B$44=0),1,IF(IF(Inputs!$B$39="pvp",15,Inputs!$B$44)-(B2002)&lt;=0,1,MAX(0,IF(Inputs!$B$39="pvp",15,Inputs!$B$44)-MAX(5,B2002))/(IF(Inputs!$B$39="pvp",15,Inputs!$B$44)-(B2002))))*IF(AND(ArtifactsInput!$M$42,((Inputs!$B$9+((C1983=TRUE)*(F1983-Calc!F26))+B1991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1974*(MIN(100,(Inputs!$B$9+((C1983=TRUE)*(F1983-Calc!F26))+B1991+(ArtifactsInput!$M$24-ArtifactsInput!$M$24)*CHOOSE(ArtifactsInput!$N$24+1,10,12,14,16,18,20)+(IF(AND(Inputs!$B$39&lt;&gt;"pvp",Inputs!$B$44=0),1,IF(IF(Inputs!$B$39="pvp",15,Inputs!$B$44)-(B2002)&lt;=0,1,MAX(0,IF(Inputs!$B$39="pvp",15,Inputs!$B$44)-MAX(5,B2002))/(IF(Inputs!$B$39="pvp",15,Inputs!$B$44)-(B2002))))*IF(AND(ArtifactsInput!$M$42,((Inputs!$B$9+((C1983=TRUE)*(F1983-Calc!F26))+B1991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1974*(1-MIN(100,(Inputs!$B$9+((C1983=TRUE)*(F1983-Calc!F26))+B1991+(ArtifactsInput!$M$24-ArtifactsInput!$M$24)*CHOOSE(ArtifactsInput!$N$24+1,10,12,14,16,18,20)+(IF(AND(Inputs!$B$39&lt;&gt;"pvp",Inputs!$B$44=0),1,IF(IF(Inputs!$B$39="pvp",15,Inputs!$B$44)-(B2002)&lt;=0,1,MAX(0,IF(Inputs!$B$39="pvp",15,Inputs!$B$44)-MAX(5,B2002))/(IF(Inputs!$B$39="pvp",15,Inputs!$B$44)-(B2002))))*IF(AND(ArtifactsInput!$M$42,((Inputs!$B$9+((C1983=TRUE)*(F1983-Calc!F26))+B1991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1974*(MIN(100,(Inputs!$B$9+((C1983=TRUE)*(F1983-Calc!F26))+B1991+(ArtifactsInput!$M$24-ArtifactsInput!$M$24)*CHOOSE(ArtifactsInput!$N$24+1,10,12,14,16,18,20)+(IF(AND(Inputs!$B$39&lt;&gt;"pvp",Inputs!$B$44=0),1,IF(IF(Inputs!$B$39="pvp",15,Inputs!$B$44)-(B2002)&lt;=0,1,MAX(0,IF(Inputs!$B$39="pvp",15,Inputs!$B$44)-MAX(5,B2002))/(IF(Inputs!$B$39="pvp",15,Inputs!$B$44)-(B2002))))*IF(AND(ArtifactsInput!$M$42,((Inputs!$B$9+((C1983=TRUE)*(F1983-Calc!F26))+B1991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1974">
        <f>IF(C1974,(Inputs!$B$38*0.2*N1974)*IF(Inputs!$B$39="pvp",1,(1+(Inputs!$B$21+Skills!Q17+B1992+(IF(ArtifactsInput!$M$33,CHOOSE(ArtifactsInput!$N$33+1,30,36,42,48,54,60),0))+(IF(AND(ArtifactsInput!$M$35,Inputs!$B$4&lt;&gt;"Chapter Hunt"),CHOOSE(ArtifactsInput!$N$35+1,15,18,21,24,27,30)*(1-EXP(-(0.2*B1995)*5)),0)+IF(AND(ArtifactsInput!$M$22,Inputs!$B$4&lt;&gt;"Chapter Hunt"),CHOOSE(ArtifactsInput!$N$22+1,10,12,14,16,18,20)*((0*(((0.15*B1995*5))^0/1)+1*(((0.15*B1995*5))^1/1)+2*(((0.15*B1995*5))^2/2)+3*(((0.15*B1995*5))^3/6)+4*(((0.15*B1995*5))^4/24)+5*(((0.15*B1995*5))^5/120))/((((0.15*B1995*5))^0/1)+(((0.15*B1995*5))^1/1)+(((0.15*B1995*5))^2/2)+(((0.15*B1995*5))^3/6)+(((0.15*B1995*5))^4/24)+(((0.15*B1995*5))^5/120))),0)))/100)*(MIN(Skills!W17,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975">
      <c r="A1975">
        <f>Skills!A18</f>
        <v/>
      </c>
      <c r="B1975">
        <f>Skills!B18</f>
        <v/>
      </c>
      <c r="C1975">
        <f>Inputs!$B$3&gt;=115</f>
        <v/>
      </c>
      <c r="D1975">
        <f>IF(Skills!C18=1,60+Inputs!$B$25+Inputs!$B$29,IF(Skills!C18=2,90+Inputs!$B$26+Inputs!$B$29,IF(Skills!C18=3,120+Inputs!$B$27+Inputs!$B$29,MAX(0,(Inputs!$B$3-100)*3)+Inputs!$B$28+Inputs!$B$29)))</f>
        <v/>
      </c>
      <c r="E1975">
        <f>INDEX(FactorTable!$B$2:$Y$301, MATCH(ROUND(MIN(300,MAX(1,D1975)),0), FactorTable!$A$2:$A$301,0), Skills!M18+1)</f>
        <v/>
      </c>
      <c r="F1975">
        <f>IF(Skills!N18=TRUE,(Skills!L18/10)*(E1975/1000),Skills!L18/10)+Skills!O18</f>
        <v/>
      </c>
      <c r="G1975">
        <f>Skills!G18*IF(Skills!H18&gt;0,IF(Inputs!$B$39="pvp",MIN(Skills!I18,15),Skills!I18)/Skills!H18,1)</f>
        <v/>
      </c>
      <c r="H1975">
        <f>1-(1-Skills!J18/100)^Skills!K18</f>
        <v/>
      </c>
      <c r="I1975" t="inlineStr">
        <is>
          <t>1</t>
        </is>
      </c>
      <c r="J1975" t="inlineStr"/>
      <c r="K1975" t="inlineStr"/>
      <c r="L1975" t="inlineStr"/>
      <c r="M1975" t="inlineStr"/>
      <c r="N1975" t="inlineStr"/>
      <c r="O1975">
        <f>(1-Summary!$B$11)*T1975+Summary!$B$11*V1975</f>
        <v/>
      </c>
      <c r="P1975">
        <f>IF(B2003=0,0,O1975/B2003)</f>
        <v/>
      </c>
      <c r="Q1975" t="n">
        <v>0</v>
      </c>
      <c r="R1975" t="n">
        <v>0</v>
      </c>
      <c r="S1975">
        <f>IFERROR(O1975/N1975,0)</f>
        <v/>
      </c>
      <c r="T1975" t="n">
        <v>0</v>
      </c>
      <c r="V1975" t="n">
        <v>0</v>
      </c>
    </row>
    <row r="1976">
      <c r="A1976">
        <f>Skills!A19</f>
        <v/>
      </c>
      <c r="B1976">
        <f>Skills!B19</f>
        <v/>
      </c>
      <c r="C1976">
        <f>Inputs!$B$3&gt;=100</f>
        <v/>
      </c>
      <c r="D1976">
        <f>IF(Skills!C19=1,60+Inputs!$B$25+Inputs!$B$29,IF(Skills!C19=2,90+Inputs!$B$26+Inputs!$B$29,IF(Skills!C19=3,120+Inputs!$B$27+Inputs!$B$29,MAX(0,(Inputs!$B$3-100)*3)+Inputs!$B$28+Inputs!$B$29)))</f>
        <v/>
      </c>
      <c r="E1976">
        <f>INDEX(FactorTable!$B$2:$Y$301, MATCH(ROUND(MIN(300,MAX(1,D1976)),0), FactorTable!$A$2:$A$301,0), Skills!M19+1)</f>
        <v/>
      </c>
      <c r="F1976">
        <f>IF(Skills!N19=TRUE,(Skills!L19/10)*(E1976/1000),Skills!L19/10)+Skills!O19</f>
        <v/>
      </c>
      <c r="G1976">
        <f>Skills!G19*IF(Skills!H19&gt;0,IF(Inputs!$B$39="pvp",MIN(Skills!I19,15),Skills!I19)/Skills!H19,1)</f>
        <v/>
      </c>
      <c r="H1976">
        <f>1-(1-Skills!J19/100)^Skills!K19</f>
        <v/>
      </c>
      <c r="I1976" t="inlineStr">
        <is>
          <t>1</t>
        </is>
      </c>
      <c r="J1976" t="inlineStr"/>
      <c r="K1976" t="inlineStr"/>
      <c r="L1976" t="inlineStr"/>
      <c r="M1976" t="inlineStr"/>
      <c r="N1976" t="inlineStr"/>
      <c r="O1976">
        <f>(1-Summary!$B$11)*T1976+Summary!$B$11*V1976</f>
        <v/>
      </c>
      <c r="P1976">
        <f>IF(B2003=0,0,O1976/B2003)</f>
        <v/>
      </c>
      <c r="Q1976" t="n">
        <v>0</v>
      </c>
      <c r="R1976" t="n">
        <v>0</v>
      </c>
      <c r="S1976">
        <f>IFERROR(O1976/N1976,0)</f>
        <v/>
      </c>
      <c r="T1976" t="n">
        <v>0</v>
      </c>
      <c r="V1976" t="n">
        <v>0</v>
      </c>
    </row>
    <row r="1977">
      <c r="A1977">
        <f>Skills!A20</f>
        <v/>
      </c>
      <c r="B1977">
        <f>Skills!B20</f>
        <v/>
      </c>
      <c r="C1977">
        <f>TRUE</f>
        <v/>
      </c>
      <c r="D1977">
        <f>IF(Skills!C20=1,60+Inputs!$B$25+Inputs!$B$29,IF(Skills!C20=2,90+Inputs!$B$26+Inputs!$B$29,IF(Skills!C20=3,120+Inputs!$B$27+Inputs!$B$29,MAX(0,(Inputs!$B$3-100)*3)+Inputs!$B$28+Inputs!$B$29)))</f>
        <v/>
      </c>
      <c r="E1977">
        <f>INDEX(FactorTable!$B$2:$Y$301, MATCH(ROUND(MIN(300,MAX(1,D1977)),0), FactorTable!$A$2:$A$301,0), Skills!M20+1)</f>
        <v/>
      </c>
      <c r="F1977">
        <f>IF(Skills!N20=TRUE,(Skills!L20/10)*(E1977/1000),Skills!L20/10)+Skills!O20</f>
        <v/>
      </c>
      <c r="G1977">
        <f>Skills!G20*IF(Skills!H20&gt;0,IF(Inputs!$B$39="pvp",MIN(Skills!I20,15),Skills!I20)/Skills!H20,1)</f>
        <v/>
      </c>
      <c r="H1977">
        <f>1-(1-Skills!J20/100)^Skills!K20</f>
        <v/>
      </c>
      <c r="I1977" t="inlineStr">
        <is>
          <t>1</t>
        </is>
      </c>
      <c r="J1977" t="inlineStr"/>
      <c r="K1977" t="inlineStr"/>
      <c r="L1977" t="inlineStr"/>
      <c r="M1977" t="inlineStr"/>
      <c r="N1977" t="inlineStr"/>
      <c r="O1977">
        <f>(1-Summary!$B$11)*T1977+Summary!$B$11*V1977</f>
        <v/>
      </c>
      <c r="P1977">
        <f>IF(B2003=0,0,O1977/B2003)</f>
        <v/>
      </c>
      <c r="Q1977">
        <f>IFERROR(1/IF(Inputs!$B$39="pvp",15,MAX(0.1,Skills!D20-IF(TRUE=TRUE,Inputs!$B$32,0))),0)</f>
        <v/>
      </c>
      <c r="R1977">
        <f>IF(AND(Inputs!$B$39&lt;&gt;"pvp",Inputs!$B$44&gt;0),IF(Inputs!$B$44&lt;=0,0,(INT(Inputs!$B$44/IF(Inputs!$B$39="pvp",15,MAX(0.1,Skills!D20-IF(TRUE=TRUE,Inputs!$B$32,0))))+1)),0)</f>
        <v/>
      </c>
      <c r="S1977">
        <f>IFERROR(O1977/N1977,0)</f>
        <v/>
      </c>
      <c r="T1977" t="n">
        <v>0</v>
      </c>
      <c r="V1977" t="n">
        <v>0</v>
      </c>
    </row>
    <row r="1978">
      <c r="A1978">
        <f>Skills!A21</f>
        <v/>
      </c>
      <c r="B1978">
        <f>Skills!B21</f>
        <v/>
      </c>
      <c r="C1978">
        <f>Inputs!$B$3&gt;=15</f>
        <v/>
      </c>
      <c r="D1978">
        <f>IF(Skills!C21=1,60+Inputs!$B$25+Inputs!$B$29,IF(Skills!C21=2,90+Inputs!$B$26+Inputs!$B$29,IF(Skills!C21=3,120+Inputs!$B$27+Inputs!$B$29,MAX(0,(Inputs!$B$3-100)*3)+Inputs!$B$28+Inputs!$B$29)))</f>
        <v/>
      </c>
      <c r="E1978">
        <f>INDEX(FactorTable!$B$2:$Y$301, MATCH(ROUND(MIN(300,MAX(1,D1978)),0), FactorTable!$A$2:$A$301,0), Skills!M21+1)</f>
        <v/>
      </c>
      <c r="F1978">
        <f>IF(Skills!N21=TRUE,(Skills!L21/10)*(E1978/1000),Skills!L21/10)+Skills!O21</f>
        <v/>
      </c>
      <c r="G1978">
        <f>Skills!G21*IF(Skills!H21&gt;0,IF(Inputs!$B$39="pvp",MIN(Skills!I21,15),Skills!I21)/Skills!H21,1)</f>
        <v/>
      </c>
      <c r="H1978">
        <f>1-(1-Skills!J21/100)^Skills!K21</f>
        <v/>
      </c>
      <c r="I1978" t="inlineStr">
        <is>
          <t>1</t>
        </is>
      </c>
      <c r="J1978" t="inlineStr"/>
      <c r="K1978" t="inlineStr"/>
      <c r="L1978" t="inlineStr"/>
      <c r="M1978" t="inlineStr"/>
      <c r="N1978" t="inlineStr"/>
      <c r="O1978">
        <f>(1-Summary!$B$11)*T1978+Summary!$B$11*V1978</f>
        <v/>
      </c>
      <c r="P1978">
        <f>IF(B2003=0,0,O1978/B2003)</f>
        <v/>
      </c>
      <c r="Q1978">
        <f>IFERROR(1/IF(Inputs!$B$39="pvp",15,MAX(0.1,Skills!D21-IF(TRUE=TRUE,Inputs!$B$32,0))),0)</f>
        <v/>
      </c>
      <c r="R1978">
        <f>IF(AND(Inputs!$B$39&lt;&gt;"pvp",Inputs!$B$44&gt;0),IF(Inputs!$B$44&lt;=0,0,(INT(Inputs!$B$44/IF(Inputs!$B$39="pvp",15,MAX(0.1,Skills!D21-IF(TRUE=TRUE,Inputs!$B$32,0))))+1)),0)</f>
        <v/>
      </c>
      <c r="S1978">
        <f>IFERROR(O1978/N1978,0)</f>
        <v/>
      </c>
      <c r="T1978" t="n">
        <v>0</v>
      </c>
      <c r="V1978" t="n">
        <v>0</v>
      </c>
    </row>
    <row r="1979">
      <c r="A1979">
        <f>Skills!A22</f>
        <v/>
      </c>
      <c r="B1979">
        <f>Skills!B22</f>
        <v/>
      </c>
      <c r="C1979">
        <f>Inputs!$B$3&gt;=15</f>
        <v/>
      </c>
      <c r="D1979">
        <f>IF(Skills!C22=1,60+Inputs!$B$25+Inputs!$B$29,IF(Skills!C22=2,90+Inputs!$B$26+Inputs!$B$29,IF(Skills!C22=3,120+Inputs!$B$27+Inputs!$B$29,MAX(0,(Inputs!$B$3-100)*3)+Inputs!$B$28+Inputs!$B$29)))</f>
        <v/>
      </c>
      <c r="E1979">
        <f>INDEX(FactorTable!$B$2:$Y$301, MATCH(ROUND(MIN(300,MAX(1,D1979)),0), FactorTable!$A$2:$A$301,0), Skills!M22+1)</f>
        <v/>
      </c>
      <c r="F1979">
        <f>IF(Skills!N22=TRUE,(Skills!L22/10)*(E1979/1000),Skills!L22/10)+Skills!O22</f>
        <v/>
      </c>
      <c r="G1979">
        <f>Skills!G22*IF(Skills!H22&gt;0,IF(Inputs!$B$39="pvp",MIN(Skills!I22,15),Skills!I22)/Skills!H22,1)</f>
        <v/>
      </c>
      <c r="H1979">
        <f>1-(1-Skills!J22/100)^Skills!K22</f>
        <v/>
      </c>
      <c r="I1979" t="inlineStr">
        <is>
          <t>1</t>
        </is>
      </c>
      <c r="J1979" t="inlineStr"/>
      <c r="K1979" t="inlineStr"/>
      <c r="L1979" t="inlineStr"/>
      <c r="M1979" t="inlineStr"/>
      <c r="N1979" t="inlineStr"/>
      <c r="O1979">
        <f>(1-Summary!$B$11)*T1979+Summary!$B$11*V1979</f>
        <v/>
      </c>
      <c r="P1979">
        <f>IF(B2003=0,0,O1979/B2003)</f>
        <v/>
      </c>
      <c r="Q1979">
        <f>IFERROR(1/IF(Inputs!$B$39="pvp",15,MAX(0.1,Skills!D22-IF(TRUE=TRUE,Inputs!$B$32,0))),0)</f>
        <v/>
      </c>
      <c r="R1979">
        <f>IF(AND(Inputs!$B$39&lt;&gt;"pvp",Inputs!$B$44&gt;0),IF(Inputs!$B$44&lt;=0,0,(INT(Inputs!$B$44/IF(Inputs!$B$39="pvp",15,MAX(0.1,Skills!D22-IF(TRUE=TRUE,Inputs!$B$32,0))))+1)),0)</f>
        <v/>
      </c>
      <c r="S1979">
        <f>IFERROR(O1979/N1979,0)</f>
        <v/>
      </c>
      <c r="T1979" t="n">
        <v>0</v>
      </c>
      <c r="V1979" t="n">
        <v>0</v>
      </c>
    </row>
    <row r="1980">
      <c r="A1980">
        <f>Skills!A23</f>
        <v/>
      </c>
      <c r="B1980">
        <f>Skills!B23</f>
        <v/>
      </c>
      <c r="C1980">
        <f>Inputs!$B$3&gt;=33</f>
        <v/>
      </c>
      <c r="D1980">
        <f>IF(Skills!C23=1,60+Inputs!$B$25+Inputs!$B$29,IF(Skills!C23=2,90+Inputs!$B$26+Inputs!$B$29,IF(Skills!C23=3,120+Inputs!$B$27+Inputs!$B$29,MAX(0,(Inputs!$B$3-100)*3)+Inputs!$B$28+Inputs!$B$29)))</f>
        <v/>
      </c>
      <c r="E1980">
        <f>INDEX(FactorTable!$B$2:$Y$301, MATCH(ROUND(MIN(300,MAX(1,D1980)),0), FactorTable!$A$2:$A$301,0), Skills!M23+1)</f>
        <v/>
      </c>
      <c r="F1980">
        <f>IF(Skills!N23=TRUE,(Skills!L23/10)*(E1980/1000),Skills!L23/10)+Skills!O23</f>
        <v/>
      </c>
      <c r="G1980">
        <f>Skills!G23*IF(Skills!H23&gt;0,IF(Inputs!$B$39="pvp",MIN(Skills!I23,15),Skills!I23)/Skills!H23,1)</f>
        <v/>
      </c>
      <c r="H1980">
        <f>1-(1-Skills!J23/100)^Skills!K23</f>
        <v/>
      </c>
      <c r="I1980" t="inlineStr">
        <is>
          <t>1</t>
        </is>
      </c>
      <c r="J1980" t="inlineStr"/>
      <c r="K1980" t="inlineStr"/>
      <c r="L1980" t="inlineStr"/>
      <c r="M1980" t="inlineStr"/>
      <c r="N1980" t="inlineStr"/>
      <c r="O1980">
        <f>(1-Summary!$B$11)*T1980+Summary!$B$11*V1980</f>
        <v/>
      </c>
      <c r="P1980">
        <f>IF(B2003=0,0,O1980/B2003)</f>
        <v/>
      </c>
      <c r="Q1980" t="n">
        <v>0</v>
      </c>
      <c r="R1980" t="n">
        <v>0</v>
      </c>
      <c r="S1980">
        <f>IFERROR(O1980/N1980,0)</f>
        <v/>
      </c>
      <c r="T1980" t="n">
        <v>0</v>
      </c>
      <c r="V1980" t="n">
        <v>0</v>
      </c>
    </row>
    <row r="1981">
      <c r="A1981">
        <f>Skills!A24</f>
        <v/>
      </c>
      <c r="B1981">
        <f>Skills!B24</f>
        <v/>
      </c>
      <c r="C1981">
        <f>Inputs!$B$3&gt;=40</f>
        <v/>
      </c>
      <c r="D1981">
        <f>IF(Skills!C24=1,60+Inputs!$B$25+Inputs!$B$29,IF(Skills!C24=2,90+Inputs!$B$26+Inputs!$B$29,IF(Skills!C24=3,120+Inputs!$B$27+Inputs!$B$29,MAX(0,(Inputs!$B$3-100)*3)+Inputs!$B$28+Inputs!$B$29)))</f>
        <v/>
      </c>
      <c r="E1981">
        <f>INDEX(FactorTable!$B$2:$Y$301, MATCH(ROUND(MIN(300,MAX(1,D1981)),0), FactorTable!$A$2:$A$301,0), Skills!M24+1)</f>
        <v/>
      </c>
      <c r="F1981">
        <f>IF(Skills!N24=TRUE,(Skills!L24/10)*(E1981/1000),Skills!L24/10)+Skills!O24</f>
        <v/>
      </c>
      <c r="G1981">
        <f>Skills!G24*IF(Skills!H24&gt;0,IF(Inputs!$B$39="pvp",MIN(Skills!I24,15),Skills!I24)/Skills!H24,1)</f>
        <v/>
      </c>
      <c r="H1981">
        <f>1-(1-Skills!J24/100)^Skills!K24</f>
        <v/>
      </c>
      <c r="I1981" t="inlineStr">
        <is>
          <t>1</t>
        </is>
      </c>
      <c r="J1981" t="inlineStr"/>
      <c r="K1981" t="inlineStr"/>
      <c r="L1981" t="inlineStr"/>
      <c r="M1981" t="inlineStr"/>
      <c r="N1981" t="inlineStr"/>
      <c r="O1981">
        <f>(1-Summary!$B$11)*T1981+Summary!$B$11*V1981</f>
        <v/>
      </c>
      <c r="P1981">
        <f>IF(B2003=0,0,O1981/B2003)</f>
        <v/>
      </c>
      <c r="Q1981" t="n">
        <v>0</v>
      </c>
      <c r="R1981" t="n">
        <v>0</v>
      </c>
      <c r="S1981">
        <f>IFERROR(O1981/N1981,0)</f>
        <v/>
      </c>
      <c r="T1981" t="n">
        <v>0</v>
      </c>
      <c r="V1981" t="n">
        <v>0</v>
      </c>
    </row>
    <row r="1982">
      <c r="A1982">
        <f>Skills!A25</f>
        <v/>
      </c>
      <c r="B1982">
        <f>Skills!B25</f>
        <v/>
      </c>
      <c r="C1982">
        <f>Inputs!$B$3&gt;=43</f>
        <v/>
      </c>
      <c r="D1982">
        <f>IF(Skills!C25=1,60+Inputs!$B$25+Inputs!$B$29,IF(Skills!C25=2,90+Inputs!$B$26+Inputs!$B$29,IF(Skills!C25=3,120+Inputs!$B$27+Inputs!$B$29,MAX(0,(Inputs!$B$3-100)*3)+Inputs!$B$28+Inputs!$B$29)))</f>
        <v/>
      </c>
      <c r="E1982">
        <f>INDEX(FactorTable!$B$2:$Y$301, MATCH(ROUND(MIN(300,MAX(1,D1982)),0), FactorTable!$A$2:$A$301,0), Skills!M25+1)</f>
        <v/>
      </c>
      <c r="F1982">
        <f>IF(Skills!N25=TRUE,(Skills!L25/10)*(E1982/1000),Skills!L25/10)+Skills!O25</f>
        <v/>
      </c>
      <c r="G1982">
        <f>Skills!G25*IF(Skills!H25&gt;0,IF(Inputs!$B$39="pvp",MIN(Skills!I25,15),Skills!I25)/Skills!H25,1)</f>
        <v/>
      </c>
      <c r="H1982">
        <f>1-(1-Skills!J25/100)^Skills!K25</f>
        <v/>
      </c>
      <c r="I1982" t="inlineStr">
        <is>
          <t>1</t>
        </is>
      </c>
      <c r="J1982" t="inlineStr"/>
      <c r="K1982" t="inlineStr"/>
      <c r="L1982" t="inlineStr"/>
      <c r="M1982" t="inlineStr"/>
      <c r="N1982" t="inlineStr"/>
      <c r="O1982">
        <f>(1-Summary!$B$11)*T1982+Summary!$B$11*V1982</f>
        <v/>
      </c>
      <c r="P1982">
        <f>IF(B2003=0,0,O1982/B2003)</f>
        <v/>
      </c>
      <c r="Q1982" t="n">
        <v>0</v>
      </c>
      <c r="R1982" t="n">
        <v>0</v>
      </c>
      <c r="S1982">
        <f>IFERROR(O1982/N1982,0)</f>
        <v/>
      </c>
      <c r="T1982" t="n">
        <v>0</v>
      </c>
      <c r="V1982" t="n">
        <v>0</v>
      </c>
    </row>
    <row r="1983">
      <c r="A1983">
        <f>Skills!A26</f>
        <v/>
      </c>
      <c r="B1983">
        <f>Skills!B26</f>
        <v/>
      </c>
      <c r="C1983">
        <f>Inputs!$B$3&gt;=50</f>
        <v/>
      </c>
      <c r="D1983">
        <f>IF(Skills!C26=1,60+Inputs!$B$25+Inputs!$B$29,IF(Skills!C26=2,90+Inputs!$B$26+Inputs!$B$29,IF(Skills!C26=3,120+Inputs!$B$27+Inputs!$B$29,MAX(0,(Inputs!$B$3-100)*3)+Inputs!$B$28+Inputs!$B$29)))</f>
        <v/>
      </c>
      <c r="E1983">
        <f>INDEX(FactorTable!$B$2:$Y$301, MATCH(ROUND(MIN(300,MAX(1,D1983)),0), FactorTable!$A$2:$A$301,0), Skills!M26+1)</f>
        <v/>
      </c>
      <c r="F1983">
        <f>IF(Skills!N26=TRUE,(Skills!L26/10)*(E1983/1000),Skills!L26/10)+Skills!O26</f>
        <v/>
      </c>
      <c r="G1983">
        <f>Skills!G26*IF(Skills!H26&gt;0,IF(Inputs!$B$39="pvp",MIN(Skills!I26,15),Skills!I26)/Skills!H26,1)</f>
        <v/>
      </c>
      <c r="H1983">
        <f>1-(1-Skills!J26/100)^Skills!K26</f>
        <v/>
      </c>
      <c r="I1983" t="inlineStr">
        <is>
          <t>1</t>
        </is>
      </c>
      <c r="J1983" t="inlineStr"/>
      <c r="K1983" t="inlineStr"/>
      <c r="L1983" t="inlineStr"/>
      <c r="M1983" t="inlineStr"/>
      <c r="N1983" t="inlineStr"/>
      <c r="O1983">
        <f>(1-Summary!$B$11)*T1983+Summary!$B$11*V1983</f>
        <v/>
      </c>
      <c r="P1983">
        <f>IF(B2003=0,0,O1983/B2003)</f>
        <v/>
      </c>
      <c r="Q1983" t="n">
        <v>0</v>
      </c>
      <c r="R1983" t="n">
        <v>0</v>
      </c>
      <c r="S1983">
        <f>IFERROR(O1983/N1983,0)</f>
        <v/>
      </c>
      <c r="T1983" t="n">
        <v>0</v>
      </c>
      <c r="V1983" t="n">
        <v>0</v>
      </c>
    </row>
    <row r="1984">
      <c r="A1984">
        <f>Skills!A27</f>
        <v/>
      </c>
      <c r="B1984">
        <f>Skills!B27</f>
        <v/>
      </c>
      <c r="C1984">
        <f>Inputs!$B$3&gt;=50</f>
        <v/>
      </c>
      <c r="D1984">
        <f>IF(Skills!C27=1,60+Inputs!$B$25+Inputs!$B$29,IF(Skills!C27=2,90+Inputs!$B$26+Inputs!$B$29,IF(Skills!C27=3,120+Inputs!$B$27+Inputs!$B$29,MAX(0,(Inputs!$B$3-100)*3)+Inputs!$B$28+Inputs!$B$29)))</f>
        <v/>
      </c>
      <c r="E1984">
        <f>INDEX(FactorTable!$B$2:$Y$301, MATCH(ROUND(MIN(300,MAX(1,D1984)),0), FactorTable!$A$2:$A$301,0), Skills!M27+1)</f>
        <v/>
      </c>
      <c r="F1984">
        <f>IF(Skills!N27=TRUE,(Skills!L27/10)*(E1984/1000),Skills!L27/10)+Skills!O27</f>
        <v/>
      </c>
      <c r="G1984">
        <f>Skills!G27*IF(Skills!H27&gt;0,IF(Inputs!$B$39="pvp",MIN(Skills!I27,15),Skills!I27)/Skills!H27,1)</f>
        <v/>
      </c>
      <c r="H1984">
        <f>1-(1-Skills!J27/100)^Skills!K27</f>
        <v/>
      </c>
      <c r="I1984" t="inlineStr">
        <is>
          <t>1</t>
        </is>
      </c>
      <c r="J1984" t="inlineStr"/>
      <c r="K1984" t="inlineStr"/>
      <c r="L1984" t="inlineStr"/>
      <c r="M1984" t="inlineStr"/>
      <c r="N1984" t="inlineStr"/>
      <c r="O1984">
        <f>(1-Summary!$B$11)*T1984+Summary!$B$11*V1984</f>
        <v/>
      </c>
      <c r="P1984">
        <f>IF(B2003=0,0,O1984/B2003)</f>
        <v/>
      </c>
      <c r="Q1984" t="n">
        <v>0</v>
      </c>
      <c r="R1984" t="n">
        <v>0</v>
      </c>
      <c r="S1984">
        <f>IFERROR(O1984/N1984,0)</f>
        <v/>
      </c>
      <c r="T1984" t="n">
        <v>0</v>
      </c>
      <c r="V1984" t="n">
        <v>0</v>
      </c>
    </row>
    <row r="1985">
      <c r="A1985">
        <f>Skills!A28</f>
        <v/>
      </c>
      <c r="B1985">
        <f>Skills!B28</f>
        <v/>
      </c>
      <c r="C1985">
        <f>Inputs!$B$3&gt;=38</f>
        <v/>
      </c>
      <c r="D1985">
        <f>IF(Skills!C28=1,60+Inputs!$B$25+Inputs!$B$29,IF(Skills!C28=2,90+Inputs!$B$26+Inputs!$B$29,IF(Skills!C28=3,120+Inputs!$B$27+Inputs!$B$29,MAX(0,(Inputs!$B$3-100)*3)+Inputs!$B$28+Inputs!$B$29)))</f>
        <v/>
      </c>
      <c r="E1985">
        <f>INDEX(FactorTable!$B$2:$Y$301, MATCH(ROUND(MIN(300,MAX(1,D1985)),0), FactorTable!$A$2:$A$301,0), Skills!M28+1)</f>
        <v/>
      </c>
      <c r="F1985">
        <f>IF(Skills!N28=TRUE,(Skills!L28/10)*(E1985/1000),Skills!L28/10)+Skills!O28</f>
        <v/>
      </c>
      <c r="G1985">
        <f>Skills!G28*IF(Skills!H28&gt;0,IF(Inputs!$B$39="pvp",MIN(Skills!I28,15),Skills!I28)/Skills!H28,1)</f>
        <v/>
      </c>
      <c r="H1985">
        <f>1-(1-Skills!J28/100)^Skills!K28</f>
        <v/>
      </c>
      <c r="I1985" t="inlineStr">
        <is>
          <t>1</t>
        </is>
      </c>
      <c r="J1985" t="inlineStr"/>
      <c r="K1985" t="inlineStr"/>
      <c r="L1985" t="inlineStr"/>
      <c r="M1985" t="inlineStr"/>
      <c r="N1985" t="inlineStr"/>
      <c r="O1985">
        <f>(1-Summary!$B$11)*T1985+Summary!$B$11*V1985</f>
        <v/>
      </c>
      <c r="P1985">
        <f>IF(B2003=0,0,O1985/B2003)</f>
        <v/>
      </c>
      <c r="Q1985" t="n">
        <v>0</v>
      </c>
      <c r="R1985" t="n">
        <v>0</v>
      </c>
      <c r="S1985">
        <f>IFERROR(O1985/N1985,0)</f>
        <v/>
      </c>
      <c r="T1985" t="n">
        <v>0</v>
      </c>
      <c r="V1985" t="n">
        <v>0</v>
      </c>
    </row>
    <row r="1986">
      <c r="A1986">
        <f>Skills!A29</f>
        <v/>
      </c>
      <c r="B1986">
        <f>Skills!B29</f>
        <v/>
      </c>
      <c r="C1986">
        <f>Inputs!$B$3&gt;=120</f>
        <v/>
      </c>
      <c r="D1986">
        <f>IF(Skills!C29=1,60+Inputs!$B$25+Inputs!$B$29,IF(Skills!C29=2,90+Inputs!$B$26+Inputs!$B$29,IF(Skills!C29=3,120+Inputs!$B$27+Inputs!$B$29,MAX(0,(Inputs!$B$3-100)*3)+Inputs!$B$28+Inputs!$B$29)))</f>
        <v/>
      </c>
      <c r="E1986">
        <f>INDEX(FactorTable!$B$2:$Y$301, MATCH(ROUND(MIN(300,MAX(1,D1986)),0), FactorTable!$A$2:$A$301,0), Skills!M29+1)</f>
        <v/>
      </c>
      <c r="F1986">
        <f>IF(Skills!N29=TRUE,(Skills!L29/10)*(E1986/1000),Skills!L29/10)+Skills!O29</f>
        <v/>
      </c>
      <c r="G1986">
        <f>Skills!G29*IF(Skills!H29&gt;0,IF(Inputs!$B$39="pvp",MIN(Skills!I29,15),Skills!I29)/Skills!H29,1)</f>
        <v/>
      </c>
      <c r="H1986">
        <f>1-(1-Skills!J29/100)^Skills!K29</f>
        <v/>
      </c>
      <c r="I1986" t="inlineStr">
        <is>
          <t>1</t>
        </is>
      </c>
      <c r="J1986" t="inlineStr"/>
      <c r="K1986" t="inlineStr"/>
      <c r="L1986" t="inlineStr"/>
      <c r="M1986" t="inlineStr"/>
      <c r="N1986" t="inlineStr"/>
      <c r="O1986">
        <f>(1-Summary!$B$11)*T1986+Summary!$B$11*V1986</f>
        <v/>
      </c>
      <c r="P1986">
        <f>IF(B2003=0,0,O1986/B2003)</f>
        <v/>
      </c>
      <c r="Q1986" t="n">
        <v>0</v>
      </c>
      <c r="R1986" t="n">
        <v>0</v>
      </c>
      <c r="S1986">
        <f>IFERROR(O1986/N1986,0)</f>
        <v/>
      </c>
      <c r="T1986" t="n">
        <v>0</v>
      </c>
      <c r="V1986" t="n">
        <v>0</v>
      </c>
    </row>
    <row r="1987">
      <c r="A1987">
        <f>Skills!A30</f>
        <v/>
      </c>
      <c r="B1987">
        <f>Skills!B30</f>
        <v/>
      </c>
      <c r="C1987">
        <f>Inputs!$B$3&gt;=120</f>
        <v/>
      </c>
      <c r="D1987">
        <f>IF(Skills!C30=1,60+Inputs!$B$25+Inputs!$B$29,IF(Skills!C30=2,90+Inputs!$B$26+Inputs!$B$29,IF(Skills!C30=3,120+Inputs!$B$27+Inputs!$B$29,MAX(0,(Inputs!$B$3-100)*3)+Inputs!$B$28+Inputs!$B$29)))</f>
        <v/>
      </c>
      <c r="E1987">
        <f>INDEX(FactorTable!$B$2:$Y$301, MATCH(ROUND(MIN(300,MAX(1,D1987)),0), FactorTable!$A$2:$A$301,0), Skills!M30+1)</f>
        <v/>
      </c>
      <c r="F1987">
        <f>IF(Skills!N30=TRUE,(Skills!L30/10)*(E1987/1000),Skills!L30/10)+Skills!O30</f>
        <v/>
      </c>
      <c r="G1987">
        <f>Skills!G30*IF(Skills!H30&gt;0,IF(Inputs!$B$39="pvp",MIN(Skills!I30,15),Skills!I30)/Skills!H30,1)</f>
        <v/>
      </c>
      <c r="H1987">
        <f>1-(1-Skills!J30/100)^Skills!K30</f>
        <v/>
      </c>
      <c r="I1987" t="inlineStr">
        <is>
          <t>1</t>
        </is>
      </c>
      <c r="J1987" t="inlineStr"/>
      <c r="K1987" t="inlineStr"/>
      <c r="L1987" t="inlineStr"/>
      <c r="M1987" t="inlineStr"/>
      <c r="N1987" t="inlineStr"/>
      <c r="O1987">
        <f>(1-Summary!$B$11)*T1987+Summary!$B$11*V1987</f>
        <v/>
      </c>
      <c r="P1987">
        <f>IF(B2003=0,0,O1987/B2003)</f>
        <v/>
      </c>
      <c r="Q1987" t="n">
        <v>0</v>
      </c>
      <c r="R1987" t="n">
        <v>0</v>
      </c>
      <c r="S1987">
        <f>IFERROR(O1987/N1987,0)</f>
        <v/>
      </c>
      <c r="T1987" t="n">
        <v>0</v>
      </c>
      <c r="V1987" t="n">
        <v>0</v>
      </c>
    </row>
    <row r="1988">
      <c r="A1988">
        <f>Skills!A31</f>
        <v/>
      </c>
      <c r="B1988">
        <f>Skills!B31</f>
        <v/>
      </c>
      <c r="C1988">
        <f>Inputs!$B$3&gt;=125</f>
        <v/>
      </c>
      <c r="D1988">
        <f>IF(Skills!C31=1,60+Inputs!$B$25+Inputs!$B$29,IF(Skills!C31=2,90+Inputs!$B$26+Inputs!$B$29,IF(Skills!C31=3,120+Inputs!$B$27+Inputs!$B$29,MAX(0,(Inputs!$B$3-100)*3)+Inputs!$B$28+Inputs!$B$29)))</f>
        <v/>
      </c>
      <c r="E1988">
        <f>INDEX(FactorTable!$B$2:$Y$301, MATCH(ROUND(MIN(300,MAX(1,D1988)),0), FactorTable!$A$2:$A$301,0), Skills!M31+1)</f>
        <v/>
      </c>
      <c r="F1988">
        <f>IF(Skills!N31=TRUE,(Skills!L31/10)*(E1988/1000),Skills!L31/10)+Skills!O31</f>
        <v/>
      </c>
      <c r="G1988">
        <f>Skills!G31*IF(Skills!H31&gt;0,IF(Inputs!$B$39="pvp",MIN(Skills!I31,15),Skills!I31)/Skills!H31,1)</f>
        <v/>
      </c>
      <c r="H1988">
        <f>1-(1-Skills!J31/100)^Skills!K31</f>
        <v/>
      </c>
      <c r="I1988" t="inlineStr">
        <is>
          <t>1</t>
        </is>
      </c>
      <c r="J1988" t="inlineStr"/>
      <c r="K1988" t="inlineStr"/>
      <c r="L1988" t="inlineStr"/>
      <c r="M1988" t="inlineStr"/>
      <c r="N1988" t="inlineStr"/>
      <c r="O1988">
        <f>(1-Summary!$B$11)*T1988+Summary!$B$11*V1988</f>
        <v/>
      </c>
      <c r="P1988">
        <f>IF(B2003=0,0,O1988/B2003)</f>
        <v/>
      </c>
      <c r="Q1988" t="n">
        <v>0</v>
      </c>
      <c r="R1988" t="n">
        <v>0</v>
      </c>
      <c r="S1988">
        <f>IFERROR(O1988/N1988,0)</f>
        <v/>
      </c>
      <c r="T1988" t="n">
        <v>0</v>
      </c>
      <c r="V1988" t="n">
        <v>0</v>
      </c>
    </row>
    <row r="1990">
      <c r="A1990" t="inlineStr">
        <is>
          <t>Average Buff Multiplier</t>
        </is>
      </c>
      <c r="B1990">
        <f>(1+(((C1979=TRUE)*F1979*IF(AND(Inputs!$B$39&lt;&gt;"pvp",Inputs!$B$44&gt;0),(((R1979-1)*MIN((Skills!Y22*(1+Inputs!$B$34/100)),(1/Q1979))+MIN((Skills!Y22*(1+Inputs!$B$34/100)),MAX(0,Inputs!$B$44-((R1979-1)*(1/Q1979)))))/Inputs!$B$44),IF(Inputs!$B$39="pvp",MIN((Skills!Y22*(1+Inputs!$B$34/100)),15)/15,MIN(1,(Skills!Y22*(1+Inputs!$B$34/100))/(1/Q1979)))))+((C1960=TRUE)*F1960*3)+((C1962=TRUE)*F1962*(1-EXP(-0.75*B1995*5)))+((C1981=TRUE)*(F1981-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1968=TRUE)*F1968*IF(AND(Inputs!$B$39&lt;&gt;"pvp",Inputs!$B$44&gt;0),(((R1968-1)*MIN((Skills!Y11*(1+Inputs!$B$34/100)),(1/Q1968))+MIN((Skills!Y11*(1+Inputs!$B$34/100)),MAX(0,Inputs!$B$44-((R1968-1)*(1/Q1968)))))/Inputs!$B$44),IF(Inputs!$B$39="pvp",MIN((Skills!Y11*(1+Inputs!$B$34/100)),15)/15,MIN(1,(Skills!Y11*(1+Inputs!$B$34/100))/(1/Q1968)))))/100)*(1+((C1973=TRUE)*F1973*IF(AND(Inputs!$B$39&lt;&gt;"pvp",Inputs!$B$44&gt;0),(((R1973-1)*MIN((Skills!Y16*(1+Inputs!$B$34/100)),(1/Q1973))+MIN((Skills!Y16*(1+Inputs!$B$34/100)),MAX(0,Inputs!$B$44-((R1973-1)*(1/Q1973)))))/Inputs!$B$44),IF(Inputs!$B$39="pvp",MIN((Skills!Y16*(1+Inputs!$B$34/100)),15)/15,MIN(1,(Skills!Y16*(1+Inputs!$B$34/100))/(1/Q1973)))))/100)</f>
        <v/>
      </c>
    </row>
    <row r="1991">
      <c r="A1991" t="inlineStr">
        <is>
          <t>Global Crit Rate Bonus %</t>
        </is>
      </c>
      <c r="B1991">
        <f>((C1978=TRUE)*F1978*IF(AND(Inputs!$B$39&lt;&gt;"pvp",Inputs!$B$44&gt;0),(((R1978-1)*MIN((Skills!Y21*(1+Inputs!$B$34/100)),(1/Q1978))+MIN((Skills!Y21*(1+Inputs!$B$34/100)),MAX(0,Inputs!$B$44-((R1978-1)*(1/Q1978)))))/Inputs!$B$44),IF(Inputs!$B$39="pvp",MIN((Skills!Y21*(1+Inputs!$B$34/100)),15)/15,MIN(1,(Skills!Y21*(1+Inputs!$B$34/100))/(1/Q1978)))))</f>
        <v/>
      </c>
    </row>
    <row r="1992">
      <c r="A1992" t="inlineStr">
        <is>
          <t>Global Monster Damage-Taken Bonus %</t>
        </is>
      </c>
      <c r="B1992">
        <f>IF(Inputs!$B$3&gt;=82,15,0)</f>
        <v/>
      </c>
    </row>
    <row r="1993">
      <c r="A1993" t="inlineStr">
        <is>
          <t>Shadow Partner Average Multiplier</t>
        </is>
      </c>
      <c r="B1993">
        <f>1+((C1965=TRUE)*F1965*(1+3.3333333333333335*IF(C1976=TRUE,F1976,0)/100)*I1965*Skills!J8/100)/100</f>
        <v/>
      </c>
    </row>
    <row r="1994">
      <c r="A1994" t="inlineStr">
        <is>
          <t>Attack Speed Buff Bonus %</t>
        </is>
      </c>
      <c r="B1994">
        <f>((C1977=TRUE)*F1977*IF(AND(Inputs!$B$39&lt;&gt;"pvp",Inputs!$B$44&gt;0),(((R1977-1)*MIN((Skills!Y20*(1+Inputs!$B$34/100)),(1/Q1977))+MIN((Skills!Y20*(1+Inputs!$B$34/100)),MAX(0,Inputs!$B$44-((R1977-1)*(1/Q1977)))))/Inputs!$B$44),IF(Inputs!$B$39="pvp",MIN((Skills!Y20*(1+Inputs!$B$34/100)),15)/15,MIN(1,(Skills!Y20*(1+Inputs!$B$34/100))/(1/Q1977)))))</f>
        <v/>
      </c>
    </row>
    <row r="1995">
      <c r="A1995" t="inlineStr">
        <is>
          <t>Actions Per Second</t>
        </is>
      </c>
      <c r="B1995">
        <f>1+MIN(150,150*(1-(1-(Inputs!$B$11+((C1980=TRUE)*(F1980-Calc!F23)))/150)*(1-B1994/150)))/100</f>
        <v/>
      </c>
    </row>
    <row r="1996">
      <c r="A1996" t="inlineStr">
        <is>
          <t>Skill + Buff Cast Rate</t>
        </is>
      </c>
      <c r="B1996">
        <f>IF(AND(Inputs!$B$39&lt;&gt;"pvp",Inputs!$B$44&gt;0),SUMPRODUCT((Skills!E2:E31=TRUE)*(C1959:C1988=TRUE)*R1959:R1988*Skills!F2:F31)/Inputs!$B$44,SUMPRODUCT((Skills!E2:E31=TRUE)*(C1959:C1988=TRUE)*Q1959:Q1988*Skills!F2:F31))</f>
        <v/>
      </c>
    </row>
    <row r="1997">
      <c r="A1997" t="inlineStr">
        <is>
          <t>Cruel Stab Casts Per Second</t>
        </is>
      </c>
      <c r="B1997">
        <f>MAX(0,B1995-B1996)</f>
        <v/>
      </c>
    </row>
    <row r="1998">
      <c r="A1998" t="inlineStr">
        <is>
          <t>Global Critical Damage Bonus % (Smokescreen Mastery Lv.113)</t>
        </is>
      </c>
      <c r="B1998">
        <f>IF(Inputs!$B$3&gt;=113,30,0)*IF(AND(Inputs!$B$39&lt;&gt;"pvp",Inputs!$B$44&gt;0),(((R1973-1)*MIN((Skills!Y16*(1+Inputs!$B$34/100)),(1/Q1973))+MIN((Skills!Y16*(1+Inputs!$B$34/100)),MAX(0,Inputs!$B$44-((R1973-1)*(1/Q1973)))))/Inputs!$B$44),IF(Inputs!$B$39="pvp",MIN((Skills!Y16*(1+Inputs!$B$34/100)),15)/15,MIN(1,(Skills!Y16*(1+Inputs!$B$34/100))/(1/Q1973))))</f>
        <v/>
      </c>
    </row>
    <row r="1999">
      <c r="A1999" t="inlineStr">
        <is>
          <t>Meso Explosion average stack count</t>
        </is>
      </c>
      <c r="B1999">
        <f>MIN(10,IF(Inputs!$B$3&gt;=75,0.75,0.5)*B1995*(1/Q1961))</f>
        <v/>
      </c>
    </row>
    <row r="2000">
      <c r="A2000" t="inlineStr">
        <is>
          <t>Blood Money average stack count</t>
        </is>
      </c>
      <c r="B2000">
        <f>MIN(5,0.5*IF(Inputs!$B$3&gt;=75,0.75,0.5)*B1995*(1/Q1961))</f>
        <v/>
      </c>
    </row>
    <row r="2001">
      <c r="A2001" t="inlineStr">
        <is>
          <t>Assassinate Murderous Intent Multiplier</t>
        </is>
      </c>
      <c r="B2001">
        <f>1+IFERROR(MIN(1,Q1972*2/Q1969),0)</f>
        <v/>
      </c>
    </row>
    <row r="2002">
      <c r="A2002" t="inlineStr">
        <is>
          <t>Buff-Casting Startup Delay (s, fixed-duration only)</t>
        </is>
      </c>
      <c r="B2002">
        <f>IF(AND(Inputs!$B$39&lt;&gt;"pvp",Inputs!$B$44&gt;0),SUMPRODUCT((Skills!Y2:Y31&gt;0)*(Skills!E2:E31=TRUE)*(C1959:C1988=TRUE))/B1995,0)</f>
        <v/>
      </c>
    </row>
    <row r="2003">
      <c r="A2003" s="6" t="inlineStr">
        <is>
          <t>TOTAL DPS</t>
        </is>
      </c>
      <c r="B2003" s="6">
        <f>SUM(O1959:O1988)</f>
        <v/>
      </c>
    </row>
    <row r="2004">
      <c r="A2004" t="inlineStr">
        <is>
          <t>Boss-Only Total DPS (this block's swept value)</t>
        </is>
      </c>
      <c r="B2004">
        <f>SUM(T1959:T1988)</f>
        <v/>
      </c>
    </row>
    <row r="2005">
      <c r="A2005" t="inlineStr">
        <is>
          <t>Normal-Only Total DPS (this block's swept value)</t>
        </is>
      </c>
      <c r="B2005">
        <f>SUM(V1959:V1988)</f>
        <v/>
      </c>
    </row>
    <row r="2008">
      <c r="A2008" s="6" t="inlineStr">
        <is>
          <t>Stat: Horntail's Scale (Equip)</t>
        </is>
      </c>
    </row>
    <row r="2009">
      <c r="A2009" s="5" t="inlineStr">
        <is>
          <t>Key</t>
        </is>
      </c>
      <c r="B2009" s="5" t="inlineStr">
        <is>
          <t>Name</t>
        </is>
      </c>
      <c r="C2009" s="5" t="inlineStr">
        <is>
          <t>Unlocked</t>
        </is>
      </c>
      <c r="D2009" s="5" t="inlineStr">
        <is>
          <t>InputLevel</t>
        </is>
      </c>
      <c r="E2009" s="5" t="inlineStr">
        <is>
          <t>Factor</t>
        </is>
      </c>
      <c r="F2009" s="5" t="inlineStr">
        <is>
          <t>CoefficientPercent</t>
        </is>
      </c>
      <c r="G2009" s="5" t="inlineStr">
        <is>
          <t>EffectiveHits</t>
        </is>
      </c>
      <c r="H2009" s="5" t="inlineStr">
        <is>
          <t>ProcProbability</t>
        </is>
      </c>
      <c r="I2009" s="5" t="inlineStr">
        <is>
          <t>MapleHeroMultiplier</t>
        </is>
      </c>
      <c r="J2009" s="5" t="inlineStr">
        <is>
          <t>BaseDamage</t>
        </is>
      </c>
      <c r="K2009" s="5" t="inlineStr">
        <is>
          <t>BaseHitDamage</t>
        </is>
      </c>
      <c r="L2009" s="5" t="inlineStr">
        <is>
          <t>NonCritAvg</t>
        </is>
      </c>
      <c r="M2009" s="5" t="inlineStr">
        <is>
          <t>CritAvg</t>
        </is>
      </c>
      <c r="N2009" s="5" t="inlineStr">
        <is>
          <t>ExpectedDamage(perHit)</t>
        </is>
      </c>
      <c r="O2009" s="5" t="inlineStr">
        <is>
          <t>DPS</t>
        </is>
      </c>
      <c r="P2009" s="5" t="inlineStr">
        <is>
          <t>% of Total</t>
        </is>
      </c>
      <c r="Q2009" s="5" t="inlineStr">
        <is>
          <t>InvCooldown</t>
        </is>
      </c>
      <c r="R2009" s="5" t="inlineStr">
        <is>
          <t>CastsInFight</t>
        </is>
      </c>
      <c r="S2009" s="5" t="inlineStr">
        <is>
          <t>HitRate(perSec)</t>
        </is>
      </c>
      <c r="U2009" t="inlineStr">
        <is>
          <t>helpers</t>
        </is>
      </c>
    </row>
    <row r="2010">
      <c r="A2010">
        <f>Skills!A2</f>
        <v/>
      </c>
      <c r="B2010">
        <f>Skills!B2</f>
        <v/>
      </c>
      <c r="C2010">
        <f>Inputs!$B$3&gt;=100</f>
        <v/>
      </c>
      <c r="D2010" t="inlineStr"/>
      <c r="E2010" t="inlineStr"/>
      <c r="F2010">
        <f>U2012+Skills!O2</f>
        <v/>
      </c>
      <c r="G2010">
        <f>Skills!G2*IF(Skills!H2&gt;0,IF(Inputs!$B$39="pvp",MIN(Skills!I2,15),Skills!I2)/Skills!H2,1)</f>
        <v/>
      </c>
      <c r="H2010">
        <f>1-(1-Skills!J2/100)^Skills!K2</f>
        <v/>
      </c>
      <c r="I2010" t="inlineStr">
        <is>
          <t>1</t>
        </is>
      </c>
      <c r="J2010">
        <f>((Inputs!$B$6*(1+Inputs!$B$7/100))+(((Inputs!$B$12*(1+Inputs!$B$13/100))-(Inputs!$B$12*(1+Inputs!$B$13/100)))+0.25*(Inputs!$B$14-Inputs!$B$14))*(1+Inputs!$B$7/100))*(F2010/100)</f>
        <v/>
      </c>
      <c r="K2010">
        <f>J2010*(1+((Inputs!$B$12*(1+Inputs!$B$13/100))*0.01+Inputs!$B$14*0.0025)/100)*(1+Inputs!$B$15/100)*(1+Inputs!$B$16/100)*(5000/(6000+Inputs!$B$43*(1-(100*(1-(1-Inputs!$B$19/100)*(1-CHOOSE(ArtifactsInput!$N$40+1,5,6,7,8,9,10)/100)^(ArtifactsInput!$M$40-ArtifactsInput!$M$40)))/100)))*(1+(Inputs!$B$24+((C2039=TRUE)*(F2039-Calc!F31))+((C2026=TRUE)*(F2026-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CRUEL_STAB",Inputs!$B$17+((C2036=TRUE)*(F2036-Calc!F28))+((IF(AND(Inputs!$B$39&lt;&gt;"pvp",Inputs!$B$44=0),1,IF(IF(Inputs!$B$39="pvp",15,Inputs!$B$44)-(B2053)&lt;=0,1,MAX(0,IF(Inputs!$B$39="pvp",15,Inputs!$B$44)-MAX(5,B2053))/(IF(Inputs!$B$39="pvp",15,Inputs!$B$44)-(B2053))))*(IF(AND(ArtifactsInput!$M$42,((Inputs!$B$9+((C2034=TRUE)*(F2034-Calc!F26))+B2042+(ArtifactsInput!$M$24-ArtifactsInput!$M$24)*CHOOSE(ArtifactsInput!$N$24+1,10,12,14,16,18,20)+IF(ArtifactsInput!$M$10,CHOOSE(ArtifactsInput!$N$10+1,15,18,21,24,27,30)*(IF(Inputs!$B$39="pvp",MIN(15,15)/15,IF(AND(Inputs!$B$39&lt;&gt;"pvp",Inputs!$B$44&gt;0),MIN(15,Inputs!$B$44)/(Inputs!$B$44),0))),0)))&gt;=100),MIN(100,((Inputs!$B$9+((C2034=TRUE)*(F2034-Calc!F26))+B2042+(ArtifactsInput!$M$24-ArtifactsInput!$M$24)*CHOOSE(ArtifactsInput!$N$24+1,10,12,14,16,18,20)+IF(ArtifactsInput!$M$10,CHOOSE(ArtifactsInput!$N$10+1,15,18,21,24,27,30)*(IF(Inputs!$B$39="pvp",MIN(15,15)/15,IF(AND(Inputs!$B$39&lt;&gt;"pvp",Inputs!$B$44&gt;0),MIN(15,Inputs!$B$44)/(Inputs!$B$44),0))),0)))-100),0))*CHOOSE(ArtifactsInput!$N$42+1,0.6,0.72,0.84,0.96,1.08,1.2))),Inputs!$B$18+((C2037=TRUE)*(F2037-Calc!F29))+(IF(AND(Inputs!$B$39&lt;&gt;"pvp",Inputs!$B$44=0),1,IF(IF(Inputs!$B$39="pvp",15,Inputs!$B$44)-(B2053)&lt;=0,1,MAX(0,IF(Inputs!$B$39="pvp",15,Inputs!$B$44)-MAX(5,B2053))/(IF(Inputs!$B$39="pvp",15,Inputs!$B$44)-(B2053))))*IF(AND(ArtifactsInput!$M$42,((Inputs!$B$9+((C2034=TRUE)*(F2034-Calc!F26))+B2042+(ArtifactsInput!$M$24-ArtifactsInput!$M$24)*CHOOSE(ArtifactsInput!$N$24+1,10,12,14,16,18,20)+IF(ArtifactsInput!$M$10,CHOOSE(ArtifactsInput!$N$10+1,15,18,21,24,27,30)*(IF(Inputs!$B$39="pvp",MIN(15,15)/15,IF(AND(Inputs!$B$39&lt;&gt;"pvp",Inputs!$B$44&gt;0),MIN(15,Inputs!$B$44)/(Inputs!$B$44),0))),0)))&gt;=100),CHOOSE(ArtifactsInput!$N$42+1,40,48,56,64,72,80),0))))/100)*(((1+(((C2030=TRUE)*F2030*IF(AND(Inputs!$B$39&lt;&gt;"pvp",Inputs!$B$44&gt;0),(((R2030-1)*MIN((Skills!Y22*(1+Inputs!$B$34/100)),(1/Q2030))+MIN((Skills!Y22*(1+Inputs!$B$34/100)),MAX(0,Inputs!$B$44-((R2030-1)*(1/Q2030)))))/Inputs!$B$44),IF(Inputs!$B$39="pvp",MIN((Skills!Y22*(1+Inputs!$B$34/100)),15)/15,MIN(1,(Skills!Y22*(1+Inputs!$B$34/100))/(1/Q2030)))))+((C2011=TRUE)*F2011*3)+((C2013=TRUE)*F2013*(1-EXP(-0.75*B2046*5)))+((C2032=TRUE)*(F2032-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2019=TRUE)*F2019*IF(AND(Inputs!$B$39&lt;&gt;"pvp",Inputs!$B$44&gt;0),(((R2019-1)*MIN((Skills!Y11*(1+Inputs!$B$34/100)),(1/Q2019))+MIN((Skills!Y11*(1+Inputs!$B$34/100)),MAX(0,Inputs!$B$44-((R2019-1)*(1/Q2019)))))/Inputs!$B$44),IF(Inputs!$B$39="pvp",MIN((Skills!Y11*(1+Inputs!$B$34/100)),15)/15,MIN(1,(Skills!Y11*(1+Inputs!$B$34/100))/(1/Q2019)))))/100)*(1+((C2024=TRUE)*F2024*IF(AND(Inputs!$B$39&lt;&gt;"pvp",Inputs!$B$44&gt;0),(((R2024-1)*MIN((Skills!Y16*(1+Inputs!$B$34/100)),(1/Q2024))+MIN((Skills!Y16*(1+Inputs!$B$34/100)),MAX(0,Inputs!$B$44-((R2024-1)*(1/Q2024)))))/Inputs!$B$44),IF(Inputs!$B$39="pvp",MIN((Skills!Y16*(1+Inputs!$B$34/100)),15)/15,MIN(1,(Skills!Y16*(1+Inputs!$B$34/100))/(1/Q2024)))))/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2044*I2010)</f>
        <v/>
      </c>
      <c r="L2010">
        <f>K2010*(MIN(Inputs!$B$22+((C2033=TRUE)*(F2033-Calc!F25)),(Inputs!$B$23+((C2038=TRUE)*(F2038-Calc!F30))+IF(ArtifactsInput!$M$15,CHOOSE(ArtifactsInput!$N$15+1,25,30,35,40,45,50)/100*(Inputs!$B$11-Inputs!$B$11),0)))/100+(Inputs!$B$23+((C2038=TRUE)*(F2038-Calc!F30))+IF(ArtifactsInput!$M$15,CHOOSE(ArtifactsInput!$N$15+1,25,30,35,40,45,50)/100*(Inputs!$B$11-Inputs!$B$11),0))/100)/2</f>
        <v/>
      </c>
      <c r="M2010">
        <f>L2010*(1+(Inputs!$B$10+((C2035=TRUE)*(F2035-Calc!F27))+B2049+(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2010">
        <f>L2010*(1-MIN((Inputs!$B$9+((C2034=TRUE)*(F2034-Calc!F26))+B2042+(ArtifactsInput!$M$24-ArtifactsInput!$M$24)*CHOOSE(ArtifactsInput!$N$24+1,10,12,14,16,18,20)+(IF(AND(Inputs!$B$39&lt;&gt;"pvp",Inputs!$B$44=0),1,IF(IF(Inputs!$B$39="pvp",15,Inputs!$B$44)-(B2053)&lt;=0,1,MAX(0,IF(Inputs!$B$39="pvp",15,Inputs!$B$44)-MAX(5,B2053))/(IF(Inputs!$B$39="pvp",15,Inputs!$B$44)-(B2053))))*IF(AND(ArtifactsInput!$M$42,((Inputs!$B$9+((C2034=TRUE)*(F2034-Calc!F26))+B2042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2010*(MIN((Inputs!$B$9+((C2034=TRUE)*(F2034-Calc!F26))+B2042+(ArtifactsInput!$M$24-ArtifactsInput!$M$24)*CHOOSE(ArtifactsInput!$N$24+1,10,12,14,16,18,20)+(IF(AND(Inputs!$B$39&lt;&gt;"pvp",Inputs!$B$44=0),1,IF(IF(Inputs!$B$39="pvp",15,Inputs!$B$44)-(B2053)&lt;=0,1,MAX(0,IF(Inputs!$B$39="pvp",15,Inputs!$B$44)-MAX(5,B2053))/(IF(Inputs!$B$39="pvp",15,Inputs!$B$44)-(B2053))))*IF(AND(ArtifactsInput!$M$42,((Inputs!$B$9+((C2034=TRUE)*(F2034-Calc!F26))+B2042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010">
        <f>(1-Summary!$B$11)*T2010+Summary!$B$11*V2010</f>
        <v/>
      </c>
      <c r="P2010">
        <f>IF(B2054=0,0,O2010/B2054)</f>
        <v/>
      </c>
      <c r="Q2010" t="n">
        <v>0</v>
      </c>
      <c r="R2010" t="n">
        <v>0</v>
      </c>
      <c r="S2010">
        <f>IFERROR(O2010/N2010,0)</f>
        <v/>
      </c>
      <c r="T2010">
        <f>IF(C2010,(Skills!G2*N2010*B2048)*IF(Inputs!$B$39="pvp",1,1+(Inputs!$B$20+0+Skills!P2+B2043+(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Hunt"),CHOOSE(ArtifactsInput!$N$35+1,15,18,21,24,27,30)*(1-EXP(-(0.2*B2046)*5)),0)+IF(AND(ArtifactsInput!$M$22,Inputs!$B$4&lt;&gt;"Chapter Hunt"),CHOOSE(ArtifactsInput!$N$22+1,10,12,14,16,18,20)*((0*(((0.15*B2046*5))^0/1)+1*(((0.15*B2046*5))^1/1)+2*(((0.15*B2046*5))^2/2)+3*(((0.15*B2046*5))^3/6)+4*(((0.15*B2046*5))^4/24)+5*(((0.15*B2046*5))^5/120))/((((0.15*B2046*5))^0/1)+(((0.15*B2046*5))^1/1)+(((0.15*B2046*5))^2/2)+(((0.15*B2046*5))^3/6)+(((0.15*B2046*5))^4/24)+(((0.15*B2046*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2010*(1-MIN(100,(Inputs!$B$9+((C2034=TRUE)*(F2034-Calc!F26))+B2042+(ArtifactsInput!$M$24-ArtifactsInput!$M$24)*CHOOSE(ArtifactsInput!$N$24+1,10,12,14,16,18,20)+(IF(AND(Inputs!$B$39&lt;&gt;"pvp",Inputs!$B$44=0),1,IF(IF(Inputs!$B$39="pvp",15,Inputs!$B$44)-(B2053)&lt;=0,1,MAX(0,IF(Inputs!$B$39="pvp",15,Inputs!$B$44)-MAX(5,B2053))/(IF(Inputs!$B$39="pvp",15,Inputs!$B$44)-(B2053))))*IF(AND(ArtifactsInput!$M$42,((Inputs!$B$9+((C2034=TRUE)*(F2034-Calc!F26))+B2042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2010*(MIN(100,(Inputs!$B$9+((C2034=TRUE)*(F2034-Calc!F26))+B2042+(ArtifactsInput!$M$24-ArtifactsInput!$M$24)*CHOOSE(ArtifactsInput!$N$24+1,10,12,14,16,18,20)+(IF(AND(Inputs!$B$39&lt;&gt;"pvp",Inputs!$B$44=0),1,IF(IF(Inputs!$B$39="pvp",15,Inputs!$B$44)-(B2053)&lt;=0,1,MAX(0,IF(Inputs!$B$39="pvp",15,Inputs!$B$44)-MAX(5,B2053))/(IF(Inputs!$B$39="pvp",15,Inputs!$B$44)-(B2053))))*IF(AND(ArtifactsInput!$M$42,((Inputs!$B$9+((C2034=TRUE)*(F2034-Calc!F26))+B2042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2010*(1-MIN(100,(Inputs!$B$9+((C2034=TRUE)*(F2034-Calc!F26))+B2042+(ArtifactsInput!$M$24-ArtifactsInput!$M$24)*CHOOSE(ArtifactsInput!$N$24+1,10,12,14,16,18,20)+(IF(AND(Inputs!$B$39&lt;&gt;"pvp",Inputs!$B$44=0),1,IF(IF(Inputs!$B$39="pvp",15,Inputs!$B$44)-(B2053)&lt;=0,1,MAX(0,IF(Inputs!$B$39="pvp",15,Inputs!$B$44)-MAX(5,B2053))/(IF(Inputs!$B$39="pvp",15,Inputs!$B$44)-(B2053))))*IF(AND(ArtifactsInput!$M$42,((Inputs!$B$9+((C2034=TRUE)*(F2034-Calc!F26))+B2042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2010*(MIN(100,(Inputs!$B$9+((C2034=TRUE)*(F2034-Calc!F26))+B2042+(ArtifactsInput!$M$24-ArtifactsInput!$M$24)*CHOOSE(ArtifactsInput!$N$24+1,10,12,14,16,18,20)+(IF(AND(Inputs!$B$39&lt;&gt;"pvp",Inputs!$B$44=0),1,IF(IF(Inputs!$B$39="pvp",15,Inputs!$B$44)-(B2053)&lt;=0,1,MAX(0,IF(Inputs!$B$39="pvp",15,Inputs!$B$44)-MAX(5,B2053))/(IF(Inputs!$B$39="pvp",15,Inputs!$B$44)-(B2053))))*IF(AND(ArtifactsInput!$M$42,((Inputs!$B$9+((C2034=TRUE)*(F2034-Calc!F26))+B2042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2010">
        <f>MAX(0,(Inputs!$B$3-100)*3)+Inputs!$B$28+Inputs!$B$29</f>
        <v/>
      </c>
      <c r="V2010">
        <f>IF(C2010,(Skills!G2*N2010*B2048)*IF(Inputs!$B$39="pvp",1,(1+(Inputs!$B$21+Skills!Q2+B2043+(IF(ArtifactsInput!$M$33,CHOOSE(ArtifactsInput!$N$33+1,30,36,42,48,54,60),0))+(IF(AND(ArtifactsInput!$M$35,Inputs!$B$4&lt;&gt;"Chapter Hunt"),CHOOSE(ArtifactsInput!$N$35+1,15,18,21,24,27,30)*(1-EXP(-(0.2*B2046)*5)),0)+IF(AND(ArtifactsInput!$M$22,Inputs!$B$4&lt;&gt;"Chapter Hunt"),CHOOSE(ArtifactsInput!$N$22+1,10,12,14,16,18,20)*((0*(((0.15*B2046*5))^0/1)+1*(((0.15*B2046*5))^1/1)+2*(((0.15*B2046*5))^2/2)+3*(((0.15*B2046*5))^3/6)+4*(((0.15*B2046*5))^4/24)+5*(((0.15*B2046*5))^5/120))/((((0.15*B2046*5))^0/1)+(((0.15*B2046*5))^1/1)+(((0.15*B2046*5))^2/2)+(((0.15*B2046*5))^3/6)+(((0.15*B2046*5))^4/24)+(((0.15*B2046*5))^5/120))),0)))/100)*(MIN((6+Inputs!$B$33),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011">
      <c r="A2011">
        <f>Skills!A3</f>
        <v/>
      </c>
      <c r="B2011">
        <f>Skills!B3</f>
        <v/>
      </c>
      <c r="C2011">
        <f>Inputs!$B$3&gt;=35</f>
        <v/>
      </c>
      <c r="D2011">
        <f>IF(Skills!C3=1,60+Inputs!$B$25+Inputs!$B$29,IF(Skills!C3=2,90+Inputs!$B$26+Inputs!$B$29,IF(Skills!C3=3,120+Inputs!$B$27+Inputs!$B$29,MAX(0,(Inputs!$B$3-100)*3)+Inputs!$B$28+Inputs!$B$29)))</f>
        <v/>
      </c>
      <c r="E2011">
        <f>INDEX(FactorTable!$B$2:$Y$301, MATCH(ROUND(MIN(300,MAX(1,D2011)),0), FactorTable!$A$2:$A$301,0), Skills!M3+1)</f>
        <v/>
      </c>
      <c r="F2011">
        <f>IF(Skills!N3=TRUE,(Skills!L3/10)*(E2011/1000),Skills!L3/10)+Skills!O3</f>
        <v/>
      </c>
      <c r="G2011">
        <f>Skills!G3*IF(Skills!H3&gt;0,IF(Inputs!$B$39="pvp",MIN(Skills!I3,15),Skills!I3)/Skills!H3,1)</f>
        <v/>
      </c>
      <c r="H2011">
        <f>1-(1-Skills!J3/100)^Skills!K3</f>
        <v/>
      </c>
      <c r="I2011" t="inlineStr">
        <is>
          <t>1</t>
        </is>
      </c>
      <c r="J2011" t="inlineStr"/>
      <c r="K2011" t="inlineStr"/>
      <c r="L2011" t="inlineStr"/>
      <c r="M2011" t="inlineStr"/>
      <c r="N2011" t="inlineStr"/>
      <c r="O2011">
        <f>(1-Summary!$B$11)*T2011+Summary!$B$11*V2011</f>
        <v/>
      </c>
      <c r="P2011">
        <f>IF(B2054=0,0,O2011/B2054)</f>
        <v/>
      </c>
      <c r="Q2011" t="n">
        <v>0</v>
      </c>
      <c r="R2011" t="n">
        <v>0</v>
      </c>
      <c r="S2011">
        <f>IFERROR(O2011/N2011,0)</f>
        <v/>
      </c>
      <c r="T2011" t="n">
        <v>0</v>
      </c>
      <c r="U2011">
        <f>INDEX(FactorTable!$B$2:$Y$301, MATCH(ROUND(MIN(300,MAX(1,U2010)),0), FactorTable!$A$2:$A$301,0), 22)</f>
        <v/>
      </c>
      <c r="V2011" t="n">
        <v>0</v>
      </c>
    </row>
    <row r="2012">
      <c r="A2012">
        <f>Skills!A4</f>
        <v/>
      </c>
      <c r="B2012">
        <f>Skills!B4</f>
        <v/>
      </c>
      <c r="C2012">
        <f>Inputs!$B$3&gt;=66</f>
        <v/>
      </c>
      <c r="D2012">
        <f>IF(Skills!C4=1,60+Inputs!$B$25+Inputs!$B$29,IF(Skills!C4=2,90+Inputs!$B$26+Inputs!$B$29,IF(Skills!C4=3,120+Inputs!$B$27+Inputs!$B$29,MAX(0,(Inputs!$B$3-100)*3)+Inputs!$B$28+Inputs!$B$29)))</f>
        <v/>
      </c>
      <c r="E2012">
        <f>INDEX(FactorTable!$B$2:$Y$301, MATCH(ROUND(MIN(300,MAX(1,D2012)),0), FactorTable!$A$2:$A$301,0), Skills!M4+1)</f>
        <v/>
      </c>
      <c r="F2012">
        <f>IF(Skills!N4=TRUE,(Skills!L4/10)*(E2012/1000),Skills!L4/10)+Skills!O4</f>
        <v/>
      </c>
      <c r="G2012">
        <f>Skills!G4*IF(Skills!H4&gt;0,IF(Inputs!$B$39="pvp",MIN(Skills!I4,15),Skills!I4)/Skills!H4,1)</f>
        <v/>
      </c>
      <c r="H2012">
        <f>1-(1-Skills!J4/100)^Skills!K4</f>
        <v/>
      </c>
      <c r="I2012" t="inlineStr">
        <is>
          <t>1</t>
        </is>
      </c>
      <c r="J2012">
        <f>((Inputs!$B$6*(1+Inputs!$B$7/100))+(((Inputs!$B$12*(1+Inputs!$B$13/100))-(Inputs!$B$12*(1+Inputs!$B$13/100)))+0.25*(Inputs!$B$14-Inputs!$B$14))*(1+Inputs!$B$7/100))*(F2012/100)</f>
        <v/>
      </c>
      <c r="K2012">
        <f>J2012*(1+((Inputs!$B$12*(1+Inputs!$B$13/100))*0.01+Inputs!$B$14*0.0025)/100)*(1+Inputs!$B$15/100)*(1+Inputs!$B$16/100)*(5000/(6000+Inputs!$B$43*(1-(100*(1-(1-Inputs!$B$19/100)*(1-CHOOSE(ArtifactsInput!$N$40+1,5,6,7,8,9,10)/100)^(ArtifactsInput!$M$40-ArtifactsInput!$M$40)))/100)))*(1+(Inputs!$B$24+((C2039=TRUE)*(F2039-Calc!F31))+((C2026=TRUE)*(F2026-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4="CRUEL_STAB",Inputs!$B$17+((C2036=TRUE)*(F2036-Calc!F28))+((IF(AND(Inputs!$B$39&lt;&gt;"pvp",Inputs!$B$44=0),1,IF(IF(Inputs!$B$39="pvp",15,Inputs!$B$44)-(B2053)&lt;=0,1,MAX(0,IF(Inputs!$B$39="pvp",15,Inputs!$B$44)-MAX(5,B2053))/(IF(Inputs!$B$39="pvp",15,Inputs!$B$44)-(B2053))))*(IF(AND(ArtifactsInput!$M$42,((Inputs!$B$9+((C2034=TRUE)*(F2034-Calc!F26))+B2042+(ArtifactsInput!$M$24-ArtifactsInput!$M$24)*CHOOSE(ArtifactsInput!$N$24+1,10,12,14,16,18,20)+IF(ArtifactsInput!$M$10,CHOOSE(ArtifactsInput!$N$10+1,15,18,21,24,27,30)*(IF(Inputs!$B$39="pvp",MIN(15,15)/15,IF(AND(Inputs!$B$39&lt;&gt;"pvp",Inputs!$B$44&gt;0),MIN(15,Inputs!$B$44)/(Inputs!$B$44),0))),0)))&gt;=100),MIN(100,((Inputs!$B$9+((C2034=TRUE)*(F2034-Calc!F26))+B2042+(ArtifactsInput!$M$24-ArtifactsInput!$M$24)*CHOOSE(ArtifactsInput!$N$24+1,10,12,14,16,18,20)+IF(ArtifactsInput!$M$10,CHOOSE(ArtifactsInput!$N$10+1,15,18,21,24,27,30)*(IF(Inputs!$B$39="pvp",MIN(15,15)/15,IF(AND(Inputs!$B$39&lt;&gt;"pvp",Inputs!$B$44&gt;0),MIN(15,Inputs!$B$44)/(Inputs!$B$44),0))),0)))-100),0))*CHOOSE(ArtifactsInput!$N$42+1,0.6,0.72,0.84,0.96,1.08,1.2))),Inputs!$B$18+((C2037=TRUE)*(F2037-Calc!F29))+(IF(AND(Inputs!$B$39&lt;&gt;"pvp",Inputs!$B$44=0),1,IF(IF(Inputs!$B$39="pvp",15,Inputs!$B$44)-(B2053)&lt;=0,1,MAX(0,IF(Inputs!$B$39="pvp",15,Inputs!$B$44)-MAX(5,B2053))/(IF(Inputs!$B$39="pvp",15,Inputs!$B$44)-(B2053))))*IF(AND(ArtifactsInput!$M$42,((Inputs!$B$9+((C2034=TRUE)*(F2034-Calc!F26))+B2042+(ArtifactsInput!$M$24-ArtifactsInput!$M$24)*CHOOSE(ArtifactsInput!$N$24+1,10,12,14,16,18,20)+IF(ArtifactsInput!$M$10,CHOOSE(ArtifactsInput!$N$10+1,15,18,21,24,27,30)*(IF(Inputs!$B$39="pvp",MIN(15,15)/15,IF(AND(Inputs!$B$39&lt;&gt;"pvp",Inputs!$B$44&gt;0),MIN(15,Inputs!$B$44)/(Inputs!$B$44),0))),0)))&gt;=100),CHOOSE(ArtifactsInput!$N$42+1,40,48,56,64,72,80),0))))/100)*(((1+(((C2030=TRUE)*F2030*IF(AND(Inputs!$B$39&lt;&gt;"pvp",Inputs!$B$44&gt;0),(((R2030-1)*MIN((Skills!Y22*(1+Inputs!$B$34/100)),(1/Q2030))+MIN((Skills!Y22*(1+Inputs!$B$34/100)),MAX(0,Inputs!$B$44-((R2030-1)*(1/Q2030)))))/Inputs!$B$44),IF(Inputs!$B$39="pvp",MIN((Skills!Y22*(1+Inputs!$B$34/100)),15)/15,MIN(1,(Skills!Y22*(1+Inputs!$B$34/100))/(1/Q2030)))))+((C2011=TRUE)*F2011*3)+((C2013=TRUE)*F2013*(1-EXP(-0.75*B2046*5)))+((C2032=TRUE)*(F2032-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2019=TRUE)*F2019*IF(AND(Inputs!$B$39&lt;&gt;"pvp",Inputs!$B$44&gt;0),(((R2019-1)*MIN((Skills!Y11*(1+Inputs!$B$34/100)),(1/Q2019))+MIN((Skills!Y11*(1+Inputs!$B$34/100)),MAX(0,Inputs!$B$44-((R2019-1)*(1/Q2019)))))/Inputs!$B$44),IF(Inputs!$B$39="pvp",MIN((Skills!Y11*(1+Inputs!$B$34/100)),15)/15,MIN(1,(Skills!Y11*(1+Inputs!$B$34/100))/(1/Q2019)))))/100)*(1+((C2024=TRUE)*F2024*IF(AND(Inputs!$B$39&lt;&gt;"pvp",Inputs!$B$44&gt;0),(((R2024-1)*MIN((Skills!Y16*(1+Inputs!$B$34/100)),(1/Q2024))+MIN((Skills!Y16*(1+Inputs!$B$34/100)),MAX(0,Inputs!$B$44-((R2024-1)*(1/Q2024)))))/Inputs!$B$44),IF(Inputs!$B$39="pvp",MIN((Skills!Y16*(1+Inputs!$B$34/100)),15)/15,MIN(1,(Skills!Y16*(1+Inputs!$B$34/100))/(1/Q2024)))))/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2044*I2012)</f>
        <v/>
      </c>
      <c r="L2012">
        <f>K2012*(MIN(Inputs!$B$22+((C2033=TRUE)*(F2033-Calc!F25)),(Inputs!$B$23+((C2038=TRUE)*(F2038-Calc!F30))+IF(ArtifactsInput!$M$15,CHOOSE(ArtifactsInput!$N$15+1,25,30,35,40,45,50)/100*(Inputs!$B$11-Inputs!$B$11),0)))/100+(Inputs!$B$23+((C2038=TRUE)*(F2038-Calc!F30))+IF(ArtifactsInput!$M$15,CHOOSE(ArtifactsInput!$N$15+1,25,30,35,40,45,50)/100*(Inputs!$B$11-Inputs!$B$11),0))/100)/2</f>
        <v/>
      </c>
      <c r="M2012">
        <f>L2012*(1+(Inputs!$B$10+((C2035=TRUE)*(F2035-Calc!F27))+B2049+(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2012">
        <f>L2012*(1-MIN((Inputs!$B$9+((C2034=TRUE)*(F2034-Calc!F26))+B2042+(ArtifactsInput!$M$24-ArtifactsInput!$M$24)*CHOOSE(ArtifactsInput!$N$24+1,10,12,14,16,18,20)+(IF(AND(Inputs!$B$39&lt;&gt;"pvp",Inputs!$B$44=0),1,IF(IF(Inputs!$B$39="pvp",15,Inputs!$B$44)-(B2053)&lt;=0,1,MAX(0,IF(Inputs!$B$39="pvp",15,Inputs!$B$44)-MAX(5,B2053))/(IF(Inputs!$B$39="pvp",15,Inputs!$B$44)-(B2053))))*IF(AND(ArtifactsInput!$M$42,((Inputs!$B$9+((C2034=TRUE)*(F2034-Calc!F26))+B2042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2012*(MIN((Inputs!$B$9+((C2034=TRUE)*(F2034-Calc!F26))+B2042+(ArtifactsInput!$M$24-ArtifactsInput!$M$24)*CHOOSE(ArtifactsInput!$N$24+1,10,12,14,16,18,20)+(IF(AND(Inputs!$B$39&lt;&gt;"pvp",Inputs!$B$44=0),1,IF(IF(Inputs!$B$39="pvp",15,Inputs!$B$44)-(B2053)&lt;=0,1,MAX(0,IF(Inputs!$B$39="pvp",15,Inputs!$B$44)-MAX(5,B2053))/(IF(Inputs!$B$39="pvp",15,Inputs!$B$44)-(B2053))))*IF(AND(ArtifactsInput!$M$42,((Inputs!$B$9+((C2034=TRUE)*(F2034-Calc!F26))+B2042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012">
        <f>(1-Summary!$B$11)*T2012+Summary!$B$11*V2012</f>
        <v/>
      </c>
      <c r="P2012">
        <f>IF(B2054=0,0,O2012/B2054)</f>
        <v/>
      </c>
      <c r="Q2012">
        <f>IFERROR(1/IF(Inputs!$B$39="pvp",15,MAX(0.1,Skills!D4-IF(TRUE=TRUE,Inputs!$B$32,0))),0)</f>
        <v/>
      </c>
      <c r="R2012">
        <f>IF(AND(Inputs!$B$39&lt;&gt;"pvp",Inputs!$B$44&gt;0),IF(MAX(0,Inputs!$B$44-B2053)&lt;=0,0,(INT(MAX(0,Inputs!$B$44-B2053)/IF(Inputs!$B$39="pvp",15,MAX(0.1,Skills!D4-IF(TRUE=TRUE,Inputs!$B$32,0))))+1)),0)</f>
        <v/>
      </c>
      <c r="S2012">
        <f>IFERROR(O2012/N2012,0)</f>
        <v/>
      </c>
      <c r="T2012">
        <f>IF(C2012,(H2012*N2012*IF(AND(Inputs!$B$39&lt;&gt;"pvp",Inputs!$B$44&gt;0),((Skills!G4*((R2012-1)*IF(Skills!H4&gt;0,Skills!I4/Skills!H4,1)+IF(Skills!H4&gt;0,MIN(Skills!I4,MAX(0,MAX(0,Inputs!$B$44-B2053)-((R2012-1)*IF(Inputs!$B$39="pvp",15,MAX(0.1,Skills!D4-IF(TRUE=TRUE,Inputs!$B$32,0))))))/Skills!H4,1)))/Inputs!$B$44),G2012*Q2012))*IF(Inputs!$B$39="pvp",1,1+(Inputs!$B$20+0+Skills!P4+B2043+(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Hunt"),CHOOSE(ArtifactsInput!$N$35+1,15,18,21,24,27,30)*(1-EXP(-(0.2*B2046)*5)),0)+IF(AND(ArtifactsInput!$M$22,Inputs!$B$4&lt;&gt;"Chapter Hunt"),CHOOSE(ArtifactsInput!$N$22+1,10,12,14,16,18,20)*((0*(((0.15*B2046*5))^0/1)+1*(((0.15*B2046*5))^1/1)+2*(((0.15*B2046*5))^2/2)+3*(((0.15*B2046*5))^3/6)+4*(((0.15*B2046*5))^4/24)+5*(((0.15*B2046*5))^5/120))/((((0.15*B2046*5))^0/1)+(((0.15*B2046*5))^1/1)+(((0.15*B2046*5))^2/2)+(((0.15*B2046*5))^3/6)+(((0.15*B2046*5))^4/24)+(((0.15*B2046*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2012*(1-MIN(100,(Inputs!$B$9+((C2034=TRUE)*(F2034-Calc!F26))+B2042+(ArtifactsInput!$M$24-ArtifactsInput!$M$24)*CHOOSE(ArtifactsInput!$N$24+1,10,12,14,16,18,20)+(IF(AND(Inputs!$B$39&lt;&gt;"pvp",Inputs!$B$44=0),1,IF(IF(Inputs!$B$39="pvp",15,Inputs!$B$44)-(B2053)&lt;=0,1,MAX(0,IF(Inputs!$B$39="pvp",15,Inputs!$B$44)-MAX(5,B2053))/(IF(Inputs!$B$39="pvp",15,Inputs!$B$44)-(B2053))))*IF(AND(ArtifactsInput!$M$42,((Inputs!$B$9+((C2034=TRUE)*(F2034-Calc!F26))+B2042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2012*(MIN(100,(Inputs!$B$9+((C2034=TRUE)*(F2034-Calc!F26))+B2042+(ArtifactsInput!$M$24-ArtifactsInput!$M$24)*CHOOSE(ArtifactsInput!$N$24+1,10,12,14,16,18,20)+(IF(AND(Inputs!$B$39&lt;&gt;"pvp",Inputs!$B$44=0),1,IF(IF(Inputs!$B$39="pvp",15,Inputs!$B$44)-(B2053)&lt;=0,1,MAX(0,IF(Inputs!$B$39="pvp",15,Inputs!$B$44)-MAX(5,B2053))/(IF(Inputs!$B$39="pvp",15,Inputs!$B$44)-(B2053))))*IF(AND(ArtifactsInput!$M$42,((Inputs!$B$9+((C2034=TRUE)*(F2034-Calc!F26))+B2042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2012*(1-MIN(100,(Inputs!$B$9+((C2034=TRUE)*(F2034-Calc!F26))+B2042+(ArtifactsInput!$M$24-ArtifactsInput!$M$24)*CHOOSE(ArtifactsInput!$N$24+1,10,12,14,16,18,20)+(IF(AND(Inputs!$B$39&lt;&gt;"pvp",Inputs!$B$44=0),1,IF(IF(Inputs!$B$39="pvp",15,Inputs!$B$44)-(B2053)&lt;=0,1,MAX(0,IF(Inputs!$B$39="pvp",15,Inputs!$B$44)-MAX(5,B2053))/(IF(Inputs!$B$39="pvp",15,Inputs!$B$44)-(B2053))))*IF(AND(ArtifactsInput!$M$42,((Inputs!$B$9+((C2034=TRUE)*(F2034-Calc!F26))+B2042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2012*(MIN(100,(Inputs!$B$9+((C2034=TRUE)*(F2034-Calc!F26))+B2042+(ArtifactsInput!$M$24-ArtifactsInput!$M$24)*CHOOSE(ArtifactsInput!$N$24+1,10,12,14,16,18,20)+(IF(AND(Inputs!$B$39&lt;&gt;"pvp",Inputs!$B$44=0),1,IF(IF(Inputs!$B$39="pvp",15,Inputs!$B$44)-(B2053)&lt;=0,1,MAX(0,IF(Inputs!$B$39="pvp",15,Inputs!$B$44)-MAX(5,B2053))/(IF(Inputs!$B$39="pvp",15,Inputs!$B$44)-(B2053))))*IF(AND(ArtifactsInput!$M$42,((Inputs!$B$9+((C2034=TRUE)*(F2034-Calc!F26))+B2042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2012">
        <f>290*U2011/1000</f>
        <v/>
      </c>
      <c r="V2012">
        <f>IF(C2012,(H2012*N2012*IF(AND(Inputs!$B$39&lt;&gt;"pvp",Inputs!$B$44&gt;0),((Skills!G4*((R2012-1)*IF(Skills!H4&gt;0,Skills!I4/Skills!H4,1)+IF(Skills!H4&gt;0,MIN(Skills!I4,MAX(0,MAX(0,Inputs!$B$44-B2053)-((R2012-1)*IF(Inputs!$B$39="pvp",15,MAX(0.1,Skills!D4-IF(TRUE=TRUE,Inputs!$B$32,0))))))/Skills!H4,1)))/Inputs!$B$44),G2012*Q2012))*IF(Inputs!$B$39="pvp",1,(1+(Inputs!$B$21+Skills!Q4+B2043+(IF(ArtifactsInput!$M$33,CHOOSE(ArtifactsInput!$N$33+1,30,36,42,48,54,60),0))+(IF(AND(ArtifactsInput!$M$35,Inputs!$B$4&lt;&gt;"Chapter Hunt"),CHOOSE(ArtifactsInput!$N$35+1,15,18,21,24,27,30)*(1-EXP(-(0.2*B2046)*5)),0)+IF(AND(ArtifactsInput!$M$22,Inputs!$B$4&lt;&gt;"Chapter Hunt"),CHOOSE(ArtifactsInput!$N$22+1,10,12,14,16,18,20)*((0*(((0.15*B2046*5))^0/1)+1*(((0.15*B2046*5))^1/1)+2*(((0.15*B2046*5))^2/2)+3*(((0.15*B2046*5))^3/6)+4*(((0.15*B2046*5))^4/24)+5*(((0.15*B2046*5))^5/120))/((((0.15*B2046*5))^0/1)+(((0.15*B2046*5))^1/1)+(((0.15*B2046*5))^2/2)+(((0.15*B2046*5))^3/6)+(((0.15*B2046*5))^4/24)+(((0.15*B2046*5))^5/120))),0)))/100)*(MIN(MIN(10,IF(Inputs!$B$3&gt;=75,0.75,0.5)*B2046*(1/Q2012)),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013">
      <c r="A2013">
        <f>Skills!A5</f>
        <v/>
      </c>
      <c r="B2013">
        <f>Skills!B5</f>
        <v/>
      </c>
      <c r="C2013">
        <f>Inputs!$B$3&gt;=75</f>
        <v/>
      </c>
      <c r="D2013">
        <f>IF(Skills!C5=1,60+Inputs!$B$25+Inputs!$B$29,IF(Skills!C5=2,90+Inputs!$B$26+Inputs!$B$29,IF(Skills!C5=3,120+Inputs!$B$27+Inputs!$B$29,MAX(0,(Inputs!$B$3-100)*3)+Inputs!$B$28+Inputs!$B$29)))</f>
        <v/>
      </c>
      <c r="E2013">
        <f>INDEX(FactorTable!$B$2:$Y$301, MATCH(ROUND(MIN(300,MAX(1,D2013)),0), FactorTable!$A$2:$A$301,0), Skills!M5+1)</f>
        <v/>
      </c>
      <c r="F2013">
        <f>IF(Skills!N5=TRUE,(Skills!L5/10)*(E2013/1000),Skills!L5/10)+Skills!O5</f>
        <v/>
      </c>
      <c r="G2013">
        <f>Skills!G5*IF(Skills!H5&gt;0,IF(Inputs!$B$39="pvp",MIN(Skills!I5,15),Skills!I5)/Skills!H5,1)</f>
        <v/>
      </c>
      <c r="H2013">
        <f>1-(1-Skills!J5/100)^Skills!K5</f>
        <v/>
      </c>
      <c r="I2013" t="inlineStr">
        <is>
          <t>1</t>
        </is>
      </c>
      <c r="J2013" t="inlineStr"/>
      <c r="K2013" t="inlineStr"/>
      <c r="L2013" t="inlineStr"/>
      <c r="M2013" t="inlineStr"/>
      <c r="N2013" t="inlineStr"/>
      <c r="O2013">
        <f>(1-Summary!$B$11)*T2013+Summary!$B$11*V2013</f>
        <v/>
      </c>
      <c r="P2013">
        <f>IF(B2054=0,0,O2013/B2054)</f>
        <v/>
      </c>
      <c r="Q2013" t="n">
        <v>0</v>
      </c>
      <c r="R2013" t="n">
        <v>0</v>
      </c>
      <c r="S2013">
        <f>IFERROR(O2013/N2013,0)</f>
        <v/>
      </c>
      <c r="T2013" t="n">
        <v>0</v>
      </c>
      <c r="V2013" t="n">
        <v>0</v>
      </c>
    </row>
    <row r="2014">
      <c r="A2014">
        <f>Skills!A6</f>
        <v/>
      </c>
      <c r="B2014">
        <f>Skills!B6</f>
        <v/>
      </c>
      <c r="C2014">
        <f>Inputs!$B$3&gt;=63</f>
        <v/>
      </c>
      <c r="D2014">
        <f>IF(Skills!C6=1,60+Inputs!$B$25+Inputs!$B$29,IF(Skills!C6=2,90+Inputs!$B$26+Inputs!$B$29,IF(Skills!C6=3,120+Inputs!$B$27+Inputs!$B$29,MAX(0,(Inputs!$B$3-100)*3)+Inputs!$B$28+Inputs!$B$29)))</f>
        <v/>
      </c>
      <c r="E2014">
        <f>INDEX(FactorTable!$B$2:$Y$301, MATCH(ROUND(MIN(300,MAX(1,D2014)),0), FactorTable!$A$2:$A$301,0), Skills!M6+1)</f>
        <v/>
      </c>
      <c r="F2014">
        <f>IF(Skills!N6=TRUE,(Skills!L6/10)*(E2014/1000),Skills!L6/10)+Skills!O6</f>
        <v/>
      </c>
      <c r="G2014">
        <f>Skills!G6*IF(Skills!H6&gt;0,IF(Inputs!$B$39="pvp",MIN(Skills!I6,15),Skills!I6)/Skills!H6,1)</f>
        <v/>
      </c>
      <c r="H2014">
        <f>1-(1-Skills!J6/100)^Skills!K6</f>
        <v/>
      </c>
      <c r="I2014" t="inlineStr">
        <is>
          <t>1</t>
        </is>
      </c>
      <c r="J2014">
        <f>((Inputs!$B$6*(1+Inputs!$B$7/100))+(((Inputs!$B$12*(1+Inputs!$B$13/100))-(Inputs!$B$12*(1+Inputs!$B$13/100)))+0.25*(Inputs!$B$14-Inputs!$B$14))*(1+Inputs!$B$7/100))*(F2014/100)</f>
        <v/>
      </c>
      <c r="K2014">
        <f>J2014*(1+((Inputs!$B$12*(1+Inputs!$B$13/100))*0.01+Inputs!$B$14*0.0025)/100)*(1+Inputs!$B$15/100)*(1+Inputs!$B$16/100)*(5000/(6000+Inputs!$B$43*(1-(100*(1-(1-Inputs!$B$19/100)*(1-CHOOSE(ArtifactsInput!$N$40+1,5,6,7,8,9,10)/100)^(ArtifactsInput!$M$40-ArtifactsInput!$M$40)))/100)))*(1+(Inputs!$B$24+((C2039=TRUE)*(F2039-Calc!F31))+((C2026=TRUE)*(F2026-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+2.6666666666666665*IF(C2027=TRUE,F2027,0)/100)*(1+(IF(Skills!A6="CRUEL_STAB",Inputs!$B$17+((C2036=TRUE)*(F2036-Calc!F28))+((IF(AND(Inputs!$B$39&lt;&gt;"pvp",Inputs!$B$44=0),1,IF(IF(Inputs!$B$39="pvp",15,Inputs!$B$44)-(B2053)&lt;=0,1,MAX(0,IF(Inputs!$B$39="pvp",15,Inputs!$B$44)-MAX(5,B2053))/(IF(Inputs!$B$39="pvp",15,Inputs!$B$44)-(B2053))))*(IF(AND(ArtifactsInput!$M$42,((Inputs!$B$9+((C2034=TRUE)*(F2034-Calc!F26))+B2042+(ArtifactsInput!$M$24-ArtifactsInput!$M$24)*CHOOSE(ArtifactsInput!$N$24+1,10,12,14,16,18,20)+IF(ArtifactsInput!$M$10,CHOOSE(ArtifactsInput!$N$10+1,15,18,21,24,27,30)*(IF(Inputs!$B$39="pvp",MIN(15,15)/15,IF(AND(Inputs!$B$39&lt;&gt;"pvp",Inputs!$B$44&gt;0),MIN(15,Inputs!$B$44)/(Inputs!$B$44),0))),0)))&gt;=100),MIN(100,((Inputs!$B$9+((C2034=TRUE)*(F2034-Calc!F26))+B2042+(ArtifactsInput!$M$24-ArtifactsInput!$M$24)*CHOOSE(ArtifactsInput!$N$24+1,10,12,14,16,18,20)+IF(ArtifactsInput!$M$10,CHOOSE(ArtifactsInput!$N$10+1,15,18,21,24,27,30)*(IF(Inputs!$B$39="pvp",MIN(15,15)/15,IF(AND(Inputs!$B$39&lt;&gt;"pvp",Inputs!$B$44&gt;0),MIN(15,Inputs!$B$44)/(Inputs!$B$44),0))),0)))-100),0))*CHOOSE(ArtifactsInput!$N$42+1,0.6,0.72,0.84,0.96,1.08,1.2))),Inputs!$B$18+((C2037=TRUE)*(F2037-Calc!F29))+(IF(AND(Inputs!$B$39&lt;&gt;"pvp",Inputs!$B$44=0),1,IF(IF(Inputs!$B$39="pvp",15,Inputs!$B$44)-(B2053)&lt;=0,1,MAX(0,IF(Inputs!$B$39="pvp",15,Inputs!$B$44)-MAX(5,B2053))/(IF(Inputs!$B$39="pvp",15,Inputs!$B$44)-(B2053))))*IF(AND(ArtifactsInput!$M$42,((Inputs!$B$9+((C2034=TRUE)*(F2034-Calc!F26))+B2042+(ArtifactsInput!$M$24-ArtifactsInput!$M$24)*CHOOSE(ArtifactsInput!$N$24+1,10,12,14,16,18,20)+IF(ArtifactsInput!$M$10,CHOOSE(ArtifactsInput!$N$10+1,15,18,21,24,27,30)*(IF(Inputs!$B$39="pvp",MIN(15,15)/15,IF(AND(Inputs!$B$39&lt;&gt;"pvp",Inputs!$B$44&gt;0),MIN(15,Inputs!$B$44)/(Inputs!$B$44),0))),0)))&gt;=100),CHOOSE(ArtifactsInput!$N$42+1,40,48,56,64,72,80),0))))/100)*(((1+(((C2030=TRUE)*F2030*IF(AND(Inputs!$B$39&lt;&gt;"pvp",Inputs!$B$44&gt;0),(((R2030-1)*MIN((Skills!Y22*(1+Inputs!$B$34/100)),(1/Q2030))+MIN((Skills!Y22*(1+Inputs!$B$34/100)),MAX(0,Inputs!$B$44-((R2030-1)*(1/Q2030)))))/Inputs!$B$44),IF(Inputs!$B$39="pvp",MIN((Skills!Y22*(1+Inputs!$B$34/100)),15)/15,MIN(1,(Skills!Y22*(1+Inputs!$B$34/100))/(1/Q2030)))))+((C2011=TRUE)*F2011*3)+((C2013=TRUE)*F2013*(1-EXP(-0.75*B2046*5)))+((C2032=TRUE)*(F2032-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2019=TRUE)*F2019*IF(AND(Inputs!$B$39&lt;&gt;"pvp",Inputs!$B$44&gt;0),(((R2019-1)*MIN((Skills!Y11*(1+Inputs!$B$34/100)),(1/Q2019))+MIN((Skills!Y11*(1+Inputs!$B$34/100)),MAX(0,Inputs!$B$44-((R2019-1)*(1/Q2019)))))/Inputs!$B$44),IF(Inputs!$B$39="pvp",MIN((Skills!Y11*(1+Inputs!$B$34/100)),15)/15,MIN(1,(Skills!Y11*(1+Inputs!$B$34/100))/(1/Q2019)))))/100)*(1+((C2024=TRUE)*F2024*IF(AND(Inputs!$B$39&lt;&gt;"pvp",Inputs!$B$44&gt;0),(((R2024-1)*MIN((Skills!Y16*(1+Inputs!$B$34/100)),(1/Q2024))+MIN((Skills!Y16*(1+Inputs!$B$34/100)),MAX(0,Inputs!$B$44-((R2024-1)*(1/Q2024)))))/Inputs!$B$44),IF(Inputs!$B$39="pvp",MIN((Skills!Y16*(1+Inputs!$B$34/100)),15)/15,MIN(1,(Skills!Y16*(1+Inputs!$B$34/100))/(1/Q2024)))))/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2044*I2014)</f>
        <v/>
      </c>
      <c r="L2014">
        <f>K2014*(MIN(Inputs!$B$22+((C2033=TRUE)*(F2033-Calc!F25)),(Inputs!$B$23+((C2038=TRUE)*(F2038-Calc!F30))+IF(ArtifactsInput!$M$15,CHOOSE(ArtifactsInput!$N$15+1,25,30,35,40,45,50)/100*(Inputs!$B$11-Inputs!$B$11),0)))/100+(Inputs!$B$23+((C2038=TRUE)*(F2038-Calc!F30))+IF(ArtifactsInput!$M$15,CHOOSE(ArtifactsInput!$N$15+1,25,30,35,40,45,50)/100*(Inputs!$B$11-Inputs!$B$11),0))/100)/2</f>
        <v/>
      </c>
      <c r="M2014">
        <f>L2014*(1+(Inputs!$B$10+((C2035=TRUE)*(F2035-Calc!F27))+B2049+(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2014">
        <f>L2014*(1-MIN((Inputs!$B$9+((C2034=TRUE)*(F2034-Calc!F26))+B2042+(ArtifactsInput!$M$24-ArtifactsInput!$M$24)*CHOOSE(ArtifactsInput!$N$24+1,10,12,14,16,18,20)+(IF(AND(Inputs!$B$39&lt;&gt;"pvp",Inputs!$B$44=0),1,IF(IF(Inputs!$B$39="pvp",15,Inputs!$B$44)-(B2053)&lt;=0,1,MAX(0,IF(Inputs!$B$39="pvp",15,Inputs!$B$44)-MAX(5,B2053))/(IF(Inputs!$B$39="pvp",15,Inputs!$B$44)-(B2053))))*IF(AND(ArtifactsInput!$M$42,((Inputs!$B$9+((C2034=TRUE)*(F2034-Calc!F26))+B2042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2014*(MIN((Inputs!$B$9+((C2034=TRUE)*(F2034-Calc!F26))+B2042+(ArtifactsInput!$M$24-ArtifactsInput!$M$24)*CHOOSE(ArtifactsInput!$N$24+1,10,12,14,16,18,20)+(IF(AND(Inputs!$B$39&lt;&gt;"pvp",Inputs!$B$44=0),1,IF(IF(Inputs!$B$39="pvp",15,Inputs!$B$44)-(B2053)&lt;=0,1,MAX(0,IF(Inputs!$B$39="pvp",15,Inputs!$B$44)-MAX(5,B2053))/(IF(Inputs!$B$39="pvp",15,Inputs!$B$44)-(B2053))))*IF(AND(ArtifactsInput!$M$42,((Inputs!$B$9+((C2034=TRUE)*(F2034-Calc!F26))+B2042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014">
        <f>(1-Summary!$B$11)*T2014+Summary!$B$11*V2014</f>
        <v/>
      </c>
      <c r="P2014">
        <f>IF(B2054=0,0,O2014/B2054)</f>
        <v/>
      </c>
      <c r="Q2014">
        <f>IFERROR(1/IF(Inputs!$B$39="pvp",15,MAX(0.1,Skills!D6-IF(TRUE=TRUE,Inputs!$B$32,0))),0)</f>
        <v/>
      </c>
      <c r="R2014">
        <f>IF(AND(Inputs!$B$39&lt;&gt;"pvp",Inputs!$B$44&gt;0),IF(MAX(0,Inputs!$B$44-B2053)&lt;=0,0,(INT(MAX(0,Inputs!$B$44-B2053)/IF(Inputs!$B$39="pvp",15,MAX(0.1,Skills!D6-IF(TRUE=TRUE,Inputs!$B$32,0))))+1)),0)</f>
        <v/>
      </c>
      <c r="S2014">
        <f>IFERROR(O2014/N2014,0)</f>
        <v/>
      </c>
      <c r="T2014">
        <f>IF(C2014,(H2014*N2014*IF(AND(Inputs!$B$39&lt;&gt;"pvp",Inputs!$B$44&gt;0),((Skills!G6*((R2014-1)*IF(Skills!H6&gt;0,Skills!I6/Skills!H6,1)+IF(Skills!H6&gt;0,MIN(Skills!I6,MAX(0,MAX(0,Inputs!$B$44-B2053)-((R2014-1)*IF(Inputs!$B$39="pvp",15,MAX(0.1,Skills!D6-IF(TRUE=TRUE,Inputs!$B$32,0))))))/Skills!H6,1)))/Inputs!$B$44),G2014*Q2014))*IF(Inputs!$B$39="pvp",1,1+(Inputs!$B$20+0+Skills!P6+B2043+(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Hunt"),CHOOSE(ArtifactsInput!$N$35+1,15,18,21,24,27,30)*(1-EXP(-(0.2*B2046)*5)),0)+IF(AND(ArtifactsInput!$M$22,Inputs!$B$4&lt;&gt;"Chapter Hunt"),CHOOSE(ArtifactsInput!$N$22+1,10,12,14,16,18,20)*((0*(((0.15*B2046*5))^0/1)+1*(((0.15*B2046*5))^1/1)+2*(((0.15*B2046*5))^2/2)+3*(((0.15*B2046*5))^3/6)+4*(((0.15*B2046*5))^4/24)+5*(((0.15*B2046*5))^5/120))/((((0.15*B2046*5))^0/1)+(((0.15*B2046*5))^1/1)+(((0.15*B2046*5))^2/2)+(((0.15*B2046*5))^3/6)+(((0.15*B2046*5))^4/24)+(((0.15*B2046*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2014*(1-MIN(100,(Inputs!$B$9+((C2034=TRUE)*(F2034-Calc!F26))+B2042+(ArtifactsInput!$M$24-ArtifactsInput!$M$24)*CHOOSE(ArtifactsInput!$N$24+1,10,12,14,16,18,20)+(IF(AND(Inputs!$B$39&lt;&gt;"pvp",Inputs!$B$44=0),1,IF(IF(Inputs!$B$39="pvp",15,Inputs!$B$44)-(B2053)&lt;=0,1,MAX(0,IF(Inputs!$B$39="pvp",15,Inputs!$B$44)-MAX(5,B2053))/(IF(Inputs!$B$39="pvp",15,Inputs!$B$44)-(B2053))))*IF(AND(ArtifactsInput!$M$42,((Inputs!$B$9+((C2034=TRUE)*(F2034-Calc!F26))+B2042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2014*(MIN(100,(Inputs!$B$9+((C2034=TRUE)*(F2034-Calc!F26))+B2042+(ArtifactsInput!$M$24-ArtifactsInput!$M$24)*CHOOSE(ArtifactsInput!$N$24+1,10,12,14,16,18,20)+(IF(AND(Inputs!$B$39&lt;&gt;"pvp",Inputs!$B$44=0),1,IF(IF(Inputs!$B$39="pvp",15,Inputs!$B$44)-(B2053)&lt;=0,1,MAX(0,IF(Inputs!$B$39="pvp",15,Inputs!$B$44)-MAX(5,B2053))/(IF(Inputs!$B$39="pvp",15,Inputs!$B$44)-(B2053))))*IF(AND(ArtifactsInput!$M$42,((Inputs!$B$9+((C2034=TRUE)*(F2034-Calc!F26))+B2042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2014*(1-MIN(100,(Inputs!$B$9+((C2034=TRUE)*(F2034-Calc!F26))+B2042+(ArtifactsInput!$M$24-ArtifactsInput!$M$24)*CHOOSE(ArtifactsInput!$N$24+1,10,12,14,16,18,20)+(IF(AND(Inputs!$B$39&lt;&gt;"pvp",Inputs!$B$44=0),1,IF(IF(Inputs!$B$39="pvp",15,Inputs!$B$44)-(B2053)&lt;=0,1,MAX(0,IF(Inputs!$B$39="pvp",15,Inputs!$B$44)-MAX(5,B2053))/(IF(Inputs!$B$39="pvp",15,Inputs!$B$44)-(B2053))))*IF(AND(ArtifactsInput!$M$42,((Inputs!$B$9+((C2034=TRUE)*(F2034-Calc!F26))+B2042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2014*(MIN(100,(Inputs!$B$9+((C2034=TRUE)*(F2034-Calc!F26))+B2042+(ArtifactsInput!$M$24-ArtifactsInput!$M$24)*CHOOSE(ArtifactsInput!$N$24+1,10,12,14,16,18,20)+(IF(AND(Inputs!$B$39&lt;&gt;"pvp",Inputs!$B$44=0),1,IF(IF(Inputs!$B$39="pvp",15,Inputs!$B$44)-(B2053)&lt;=0,1,MAX(0,IF(Inputs!$B$39="pvp",15,Inputs!$B$44)-MAX(5,B2053))/(IF(Inputs!$B$39="pvp",15,Inputs!$B$44)-(B2053))))*IF(AND(ArtifactsInput!$M$42,((Inputs!$B$9+((C2034=TRUE)*(F2034-Calc!F26))+B2042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014">
        <f>IF(C2014,(H2014*N2014*IF(AND(Inputs!$B$39&lt;&gt;"pvp",Inputs!$B$44&gt;0),((Skills!G6*((R2014-1)*IF(Skills!H6&gt;0,Skills!I6/Skills!H6,1)+IF(Skills!H6&gt;0,MIN(Skills!I6,MAX(0,MAX(0,Inputs!$B$44-B2053)-((R2014-1)*IF(Inputs!$B$39="pvp",15,MAX(0.1,Skills!D6-IF(TRUE=TRUE,Inputs!$B$32,0))))))/Skills!H6,1)))/Inputs!$B$44),G2014*Q2014))*IF(Inputs!$B$39="pvp",1,(1+(Inputs!$B$21+Skills!Q6+B2043+(IF(ArtifactsInput!$M$33,CHOOSE(ArtifactsInput!$N$33+1,30,36,42,48,54,60),0))+(IF(AND(ArtifactsInput!$M$35,Inputs!$B$4&lt;&gt;"Chapter Hunt"),CHOOSE(ArtifactsInput!$N$35+1,15,18,21,24,27,30)*(1-EXP(-(0.2*B2046)*5)),0)+IF(AND(ArtifactsInput!$M$22,Inputs!$B$4&lt;&gt;"Chapter Hunt"),CHOOSE(ArtifactsInput!$N$22+1,10,12,14,16,18,20)*((0*(((0.15*B2046*5))^0/1)+1*(((0.15*B2046*5))^1/1)+2*(((0.15*B2046*5))^2/2)+3*(((0.15*B2046*5))^3/6)+4*(((0.15*B2046*5))^4/24)+5*(((0.15*B2046*5))^5/120))/((((0.15*B2046*5))^0/1)+(((0.15*B2046*5))^1/1)+(((0.15*B2046*5))^2/2)+(((0.15*B2046*5))^3/6)+(((0.15*B2046*5))^4/24)+(((0.15*B2046*5))^5/120))),0)))/100)*(MIN(Skills!W6,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015">
      <c r="A2015">
        <f>Skills!A7</f>
        <v/>
      </c>
      <c r="B2015">
        <f>Skills!B7</f>
        <v/>
      </c>
      <c r="C2015">
        <f>Inputs!$B$3&gt;=69</f>
        <v/>
      </c>
      <c r="D2015">
        <f>IF(Skills!C7=1,60+Inputs!$B$25+Inputs!$B$29,IF(Skills!C7=2,90+Inputs!$B$26+Inputs!$B$29,IF(Skills!C7=3,120+Inputs!$B$27+Inputs!$B$29,MAX(0,(Inputs!$B$3-100)*3)+Inputs!$B$28+Inputs!$B$29)))</f>
        <v/>
      </c>
      <c r="E2015">
        <f>INDEX(FactorTable!$B$2:$Y$301, MATCH(ROUND(MIN(300,MAX(1,D2015)),0), FactorTable!$A$2:$A$301,0), Skills!M7+1)</f>
        <v/>
      </c>
      <c r="F2015">
        <f>IF(Skills!N7=TRUE,(Skills!L7/10)*(E2015/1000),Skills!L7/10)+Skills!O7</f>
        <v/>
      </c>
      <c r="G2015">
        <f>Skills!G7*IF(Skills!H7&gt;0,IF(Inputs!$B$39="pvp",MIN(Skills!I7,15),Skills!I7)/Skills!H7,1)</f>
        <v/>
      </c>
      <c r="H2015">
        <f>1-(1-Skills!J7/100)^Skills!K7</f>
        <v/>
      </c>
      <c r="I2015" t="inlineStr">
        <is>
          <t>1</t>
        </is>
      </c>
      <c r="J2015">
        <f>((Inputs!$B$6*(1+Inputs!$B$7/100))+(((Inputs!$B$12*(1+Inputs!$B$13/100))-(Inputs!$B$12*(1+Inputs!$B$13/100)))+0.25*(Inputs!$B$14-Inputs!$B$14))*(1+Inputs!$B$7/100))*(F2015/100)</f>
        <v/>
      </c>
      <c r="K2015">
        <f>J2015*(1+((Inputs!$B$12*(1+Inputs!$B$13/100))*0.01+Inputs!$B$14*0.0025)/100)*(1+Inputs!$B$15/100)*(1+Inputs!$B$16/100)*(5000/(6000+Inputs!$B$43*(1-(100*(1-(1-Inputs!$B$19/100)*(1-CHOOSE(ArtifactsInput!$N$40+1,5,6,7,8,9,10)/100)^(ArtifactsInput!$M$40-ArtifactsInput!$M$40)))/100)))*(1+(Inputs!$B$24+((C2039=TRUE)*(F2039-Calc!F31))+((C2026=TRUE)*(F2026-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2027=TRUE,F2027,0)/100)*(1+(IF(Skills!A7="CRUEL_STAB",Inputs!$B$17+((C2036=TRUE)*(F2036-Calc!F28))+((IF(AND(Inputs!$B$39&lt;&gt;"pvp",Inputs!$B$44=0),1,IF(IF(Inputs!$B$39="pvp",15,Inputs!$B$44)-(B2053)&lt;=0,1,MAX(0,IF(Inputs!$B$39="pvp",15,Inputs!$B$44)-MAX(5,B2053))/(IF(Inputs!$B$39="pvp",15,Inputs!$B$44)-(B2053))))*(IF(AND(ArtifactsInput!$M$42,((Inputs!$B$9+((C2034=TRUE)*(F2034-Calc!F26))+B2042+(ArtifactsInput!$M$24-ArtifactsInput!$M$24)*CHOOSE(ArtifactsInput!$N$24+1,10,12,14,16,18,20)+IF(ArtifactsInput!$M$10,CHOOSE(ArtifactsInput!$N$10+1,15,18,21,24,27,30)*(IF(Inputs!$B$39="pvp",MIN(15,15)/15,IF(AND(Inputs!$B$39&lt;&gt;"pvp",Inputs!$B$44&gt;0),MIN(15,Inputs!$B$44)/(Inputs!$B$44),0))),0)))&gt;=100),MIN(100,((Inputs!$B$9+((C2034=TRUE)*(F2034-Calc!F26))+B2042+(ArtifactsInput!$M$24-ArtifactsInput!$M$24)*CHOOSE(ArtifactsInput!$N$24+1,10,12,14,16,18,20)+IF(ArtifactsInput!$M$10,CHOOSE(ArtifactsInput!$N$10+1,15,18,21,24,27,30)*(IF(Inputs!$B$39="pvp",MIN(15,15)/15,IF(AND(Inputs!$B$39&lt;&gt;"pvp",Inputs!$B$44&gt;0),MIN(15,Inputs!$B$44)/(Inputs!$B$44),0))),0)))-100),0))*CHOOSE(ArtifactsInput!$N$42+1,0.6,0.72,0.84,0.96,1.08,1.2))),Inputs!$B$18+((C2037=TRUE)*(F2037-Calc!F29))+(IF(AND(Inputs!$B$39&lt;&gt;"pvp",Inputs!$B$44=0),1,IF(IF(Inputs!$B$39="pvp",15,Inputs!$B$44)-(B2053)&lt;=0,1,MAX(0,IF(Inputs!$B$39="pvp",15,Inputs!$B$44)-MAX(5,B2053))/(IF(Inputs!$B$39="pvp",15,Inputs!$B$44)-(B2053))))*IF(AND(ArtifactsInput!$M$42,((Inputs!$B$9+((C2034=TRUE)*(F2034-Calc!F26))+B2042+(ArtifactsInput!$M$24-ArtifactsInput!$M$24)*CHOOSE(ArtifactsInput!$N$24+1,10,12,14,16,18,20)+IF(ArtifactsInput!$M$10,CHOOSE(ArtifactsInput!$N$10+1,15,18,21,24,27,30)*(IF(Inputs!$B$39="pvp",MIN(15,15)/15,IF(AND(Inputs!$B$39&lt;&gt;"pvp",Inputs!$B$44&gt;0),MIN(15,Inputs!$B$44)/(Inputs!$B$44),0))),0)))&gt;=100),CHOOSE(ArtifactsInput!$N$42+1,40,48,56,64,72,80),0))))/100)*(((1+(((C2030=TRUE)*F2030*IF(AND(Inputs!$B$39&lt;&gt;"pvp",Inputs!$B$44&gt;0),(((R2030-1)*MIN((Skills!Y22*(1+Inputs!$B$34/100)),(1/Q2030))+MIN((Skills!Y22*(1+Inputs!$B$34/100)),MAX(0,Inputs!$B$44-((R2030-1)*(1/Q2030)))))/Inputs!$B$44),IF(Inputs!$B$39="pvp",MIN((Skills!Y22*(1+Inputs!$B$34/100)),15)/15,MIN(1,(Skills!Y22*(1+Inputs!$B$34/100))/(1/Q2030)))))+((C2011=TRUE)*F2011*3)+((C2013=TRUE)*F2013*(1-EXP(-0.75*B2046*5)))+((C2032=TRUE)*(F2032-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2019=TRUE)*F2019*IF(AND(Inputs!$B$39&lt;&gt;"pvp",Inputs!$B$44&gt;0),(((R2019-1)*MIN((Skills!Y11*(1+Inputs!$B$34/100)),(1/Q2019))+MIN((Skills!Y11*(1+Inputs!$B$34/100)),MAX(0,Inputs!$B$44-((R2019-1)*(1/Q2019)))))/Inputs!$B$44),IF(Inputs!$B$39="pvp",MIN((Skills!Y11*(1+Inputs!$B$34/100)),15)/15,MIN(1,(Skills!Y11*(1+Inputs!$B$34/100))/(1/Q2019)))))/100)*(1+((C2024=TRUE)*F2024*IF(AND(Inputs!$B$39&lt;&gt;"pvp",Inputs!$B$44&gt;0),(((R2024-1)*MIN((Skills!Y16*(1+Inputs!$B$34/100)),(1/Q2024))+MIN((Skills!Y16*(1+Inputs!$B$34/100)),MAX(0,Inputs!$B$44-((R2024-1)*(1/Q2024)))))/Inputs!$B$44),IF(Inputs!$B$39="pvp",MIN((Skills!Y16*(1+Inputs!$B$34/100)),15)/15,MIN(1,(Skills!Y16*(1+Inputs!$B$34/100))/(1/Q2024)))))/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2044*I2015)</f>
        <v/>
      </c>
      <c r="L2015">
        <f>K2015*(MIN(Inputs!$B$22+((C2033=TRUE)*(F2033-Calc!F25)),(Inputs!$B$23+((C2038=TRUE)*(F2038-Calc!F30))+IF(ArtifactsInput!$M$15,CHOOSE(ArtifactsInput!$N$15+1,25,30,35,40,45,50)/100*(Inputs!$B$11-Inputs!$B$11),0)))/100+(Inputs!$B$23+((C2038=TRUE)*(F2038-Calc!F30))+IF(ArtifactsInput!$M$15,CHOOSE(ArtifactsInput!$N$15+1,25,30,35,40,45,50)/100*(Inputs!$B$11-Inputs!$B$11),0))/100)/2</f>
        <v/>
      </c>
      <c r="M2015">
        <f>L2015*(1+(Inputs!$B$10+((C2035=TRUE)*(F2035-Calc!F27))+B2049+(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2015">
        <f>L2015*(1-MIN((Inputs!$B$9+((C2034=TRUE)*(F2034-Calc!F26))+B2042+(ArtifactsInput!$M$24-ArtifactsInput!$M$24)*CHOOSE(ArtifactsInput!$N$24+1,10,12,14,16,18,20)+(IF(AND(Inputs!$B$39&lt;&gt;"pvp",Inputs!$B$44=0),1,IF(IF(Inputs!$B$39="pvp",15,Inputs!$B$44)-(B2053)&lt;=0,1,MAX(0,IF(Inputs!$B$39="pvp",15,Inputs!$B$44)-MAX(5,B2053))/(IF(Inputs!$B$39="pvp",15,Inputs!$B$44)-(B2053))))*IF(AND(ArtifactsInput!$M$42,((Inputs!$B$9+((C2034=TRUE)*(F2034-Calc!F26))+B2042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2015*(MIN((Inputs!$B$9+((C2034=TRUE)*(F2034-Calc!F26))+B2042+(ArtifactsInput!$M$24-ArtifactsInput!$M$24)*CHOOSE(ArtifactsInput!$N$24+1,10,12,14,16,18,20)+(IF(AND(Inputs!$B$39&lt;&gt;"pvp",Inputs!$B$44=0),1,IF(IF(Inputs!$B$39="pvp",15,Inputs!$B$44)-(B2053)&lt;=0,1,MAX(0,IF(Inputs!$B$39="pvp",15,Inputs!$B$44)-MAX(5,B2053))/(IF(Inputs!$B$39="pvp",15,Inputs!$B$44)-(B2053))))*IF(AND(ArtifactsInput!$M$42,((Inputs!$B$9+((C2034=TRUE)*(F2034-Calc!F26))+B2042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015">
        <f>(1-Summary!$B$11)*T2015+Summary!$B$11*V2015</f>
        <v/>
      </c>
      <c r="P2015">
        <f>IF(B2054=0,0,O2015/B2054)</f>
        <v/>
      </c>
      <c r="Q2015">
        <f>IFERROR(1/IF(Inputs!$B$39="pvp",15,MAX(0.1,Skills!D7-IF(TRUE=TRUE,Inputs!$B$32,0))),0)</f>
        <v/>
      </c>
      <c r="R2015">
        <f>IF(AND(Inputs!$B$39&lt;&gt;"pvp",Inputs!$B$44&gt;0),IF(MAX(0,Inputs!$B$44-B2053)&lt;=0,0,(INT(MAX(0,Inputs!$B$44-B2053)/IF(Inputs!$B$39="pvp",15,MAX(0.1,Skills!D7-IF(TRUE=TRUE,Inputs!$B$32,0))))+1)),0)</f>
        <v/>
      </c>
      <c r="S2015">
        <f>IFERROR(O2015/N2015,0)</f>
        <v/>
      </c>
      <c r="T2015">
        <f>IF(C2015,(H2015*N2015*IF(AND(Inputs!$B$39&lt;&gt;"pvp",Inputs!$B$44&gt;0),((Skills!G7*((R2015-1)*IF(Skills!H7&gt;0,Skills!I7/Skills!H7,1)+IF(Skills!H7&gt;0,MIN(Skills!I7,MAX(0,MAX(0,Inputs!$B$44-B2053)-((R2015-1)*IF(Inputs!$B$39="pvp",15,MAX(0.1,Skills!D7-IF(TRUE=TRUE,Inputs!$B$32,0))))))/Skills!H7,1)))/Inputs!$B$44),G2015*Q2015))*IF(Inputs!$B$39="pvp",1,1+(Inputs!$B$20+0+Skills!P7+B2043+(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Hunt"),CHOOSE(ArtifactsInput!$N$35+1,15,18,21,24,27,30)*(1-EXP(-(0.2*B2046)*5)),0)+IF(AND(ArtifactsInput!$M$22,Inputs!$B$4&lt;&gt;"Chapter Hunt"),CHOOSE(ArtifactsInput!$N$22+1,10,12,14,16,18,20)*((0*(((0.15*B2046*5))^0/1)+1*(((0.15*B2046*5))^1/1)+2*(((0.15*B2046*5))^2/2)+3*(((0.15*B2046*5))^3/6)+4*(((0.15*B2046*5))^4/24)+5*(((0.15*B2046*5))^5/120))/((((0.15*B2046*5))^0/1)+(((0.15*B2046*5))^1/1)+(((0.15*B2046*5))^2/2)+(((0.15*B2046*5))^3/6)+(((0.15*B2046*5))^4/24)+(((0.15*B2046*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2015*(1-MIN(100,(Inputs!$B$9+((C2034=TRUE)*(F2034-Calc!F26))+B2042+(ArtifactsInput!$M$24-ArtifactsInput!$M$24)*CHOOSE(ArtifactsInput!$N$24+1,10,12,14,16,18,20)+(IF(AND(Inputs!$B$39&lt;&gt;"pvp",Inputs!$B$44=0),1,IF(IF(Inputs!$B$39="pvp",15,Inputs!$B$44)-(B2053)&lt;=0,1,MAX(0,IF(Inputs!$B$39="pvp",15,Inputs!$B$44)-MAX(5,B2053))/(IF(Inputs!$B$39="pvp",15,Inputs!$B$44)-(B2053))))*IF(AND(ArtifactsInput!$M$42,((Inputs!$B$9+((C2034=TRUE)*(F2034-Calc!F26))+B2042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2015*(MIN(100,(Inputs!$B$9+((C2034=TRUE)*(F2034-Calc!F26))+B2042+(ArtifactsInput!$M$24-ArtifactsInput!$M$24)*CHOOSE(ArtifactsInput!$N$24+1,10,12,14,16,18,20)+(IF(AND(Inputs!$B$39&lt;&gt;"pvp",Inputs!$B$44=0),1,IF(IF(Inputs!$B$39="pvp",15,Inputs!$B$44)-(B2053)&lt;=0,1,MAX(0,IF(Inputs!$B$39="pvp",15,Inputs!$B$44)-MAX(5,B2053))/(IF(Inputs!$B$39="pvp",15,Inputs!$B$44)-(B2053))))*IF(AND(ArtifactsInput!$M$42,((Inputs!$B$9+((C2034=TRUE)*(F2034-Calc!F26))+B2042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2015*(1-MIN(100,(Inputs!$B$9+((C2034=TRUE)*(F2034-Calc!F26))+B2042+(ArtifactsInput!$M$24-ArtifactsInput!$M$24)*CHOOSE(ArtifactsInput!$N$24+1,10,12,14,16,18,20)+(IF(AND(Inputs!$B$39&lt;&gt;"pvp",Inputs!$B$44=0),1,IF(IF(Inputs!$B$39="pvp",15,Inputs!$B$44)-(B2053)&lt;=0,1,MAX(0,IF(Inputs!$B$39="pvp",15,Inputs!$B$44)-MAX(5,B2053))/(IF(Inputs!$B$39="pvp",15,Inputs!$B$44)-(B2053))))*IF(AND(ArtifactsInput!$M$42,((Inputs!$B$9+((C2034=TRUE)*(F2034-Calc!F26))+B2042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2015*(MIN(100,(Inputs!$B$9+((C2034=TRUE)*(F2034-Calc!F26))+B2042+(ArtifactsInput!$M$24-ArtifactsInput!$M$24)*CHOOSE(ArtifactsInput!$N$24+1,10,12,14,16,18,20)+(IF(AND(Inputs!$B$39&lt;&gt;"pvp",Inputs!$B$44=0),1,IF(IF(Inputs!$B$39="pvp",15,Inputs!$B$44)-(B2053)&lt;=0,1,MAX(0,IF(Inputs!$B$39="pvp",15,Inputs!$B$44)-MAX(5,B2053))/(IF(Inputs!$B$39="pvp",15,Inputs!$B$44)-(B2053))))*IF(AND(ArtifactsInput!$M$42,((Inputs!$B$9+((C2034=TRUE)*(F2034-Calc!F26))+B2042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015">
        <f>IF(C2015,(H2015*N2015*IF(AND(Inputs!$B$39&lt;&gt;"pvp",Inputs!$B$44&gt;0),((Skills!G7*((R2015-1)*IF(Skills!H7&gt;0,Skills!I7/Skills!H7,1)+IF(Skills!H7&gt;0,MIN(Skills!I7,MAX(0,MAX(0,Inputs!$B$44-B2053)-((R2015-1)*IF(Inputs!$B$39="pvp",15,MAX(0.1,Skills!D7-IF(TRUE=TRUE,Inputs!$B$32,0))))))/Skills!H7,1)))/Inputs!$B$44),G2015*Q2015))*IF(Inputs!$B$39="pvp",1,(1+(Inputs!$B$21+Skills!Q7+B2043+(IF(ArtifactsInput!$M$33,CHOOSE(ArtifactsInput!$N$33+1,30,36,42,48,54,60),0))+(IF(AND(ArtifactsInput!$M$35,Inputs!$B$4&lt;&gt;"Chapter Hunt"),CHOOSE(ArtifactsInput!$N$35+1,15,18,21,24,27,30)*(1-EXP(-(0.2*B2046)*5)),0)+IF(AND(ArtifactsInput!$M$22,Inputs!$B$4&lt;&gt;"Chapter Hunt"),CHOOSE(ArtifactsInput!$N$22+1,10,12,14,16,18,20)*((0*(((0.15*B2046*5))^0/1)+1*(((0.15*B2046*5))^1/1)+2*(((0.15*B2046*5))^2/2)+3*(((0.15*B2046*5))^3/6)+4*(((0.15*B2046*5))^4/24)+5*(((0.15*B2046*5))^5/120))/((((0.15*B2046*5))^0/1)+(((0.15*B2046*5))^1/1)+(((0.15*B2046*5))^2/2)+(((0.15*B2046*5))^3/6)+(((0.15*B2046*5))^4/24)+(((0.15*B2046*5))^5/120))),0)))/100)*(MIN(Skills!W7,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016">
      <c r="A2016">
        <f>Skills!A8</f>
        <v/>
      </c>
      <c r="B2016">
        <f>Skills!B8</f>
        <v/>
      </c>
      <c r="C2016">
        <f>Inputs!$B$3&gt;=60</f>
        <v/>
      </c>
      <c r="D2016">
        <f>IF(Skills!C8=1,60+Inputs!$B$25+Inputs!$B$29,IF(Skills!C8=2,90+Inputs!$B$26+Inputs!$B$29,IF(Skills!C8=3,120+Inputs!$B$27+Inputs!$B$29,MAX(0,(Inputs!$B$3-100)*3)+Inputs!$B$28+Inputs!$B$29)))</f>
        <v/>
      </c>
      <c r="E2016">
        <f>INDEX(FactorTable!$B$2:$Y$301, MATCH(ROUND(MIN(300,MAX(1,D2016)),0), FactorTable!$A$2:$A$301,0), Skills!M8+1)</f>
        <v/>
      </c>
      <c r="F2016">
        <f>IF(Skills!N8=TRUE,(Skills!L8/10)*(E2016/1000),Skills!L8/10)+Skills!O8</f>
        <v/>
      </c>
      <c r="G2016">
        <f>Skills!G8*IF(Skills!H8&gt;0,IF(Inputs!$B$39="pvp",MIN(Skills!I8,15),Skills!I8)/Skills!H8,1)</f>
        <v/>
      </c>
      <c r="H2016">
        <f>1-(1-Skills!J8/100)^Skills!K8</f>
        <v/>
      </c>
      <c r="I2016" t="inlineStr">
        <is>
          <t>1</t>
        </is>
      </c>
      <c r="J2016" t="inlineStr"/>
      <c r="K2016" t="inlineStr"/>
      <c r="L2016" t="inlineStr"/>
      <c r="M2016" t="inlineStr"/>
      <c r="N2016" t="inlineStr"/>
      <c r="O2016">
        <f>(1-Summary!$B$11)*T2016+Summary!$B$11*V2016</f>
        <v/>
      </c>
      <c r="P2016">
        <f>IF(B2054=0,0,O2016/B2054)</f>
        <v/>
      </c>
      <c r="Q2016" t="n">
        <v>0</v>
      </c>
      <c r="R2016" t="n">
        <v>0</v>
      </c>
      <c r="S2016">
        <f>IFERROR(O2016/N2016,0)</f>
        <v/>
      </c>
      <c r="T2016" t="n">
        <v>0</v>
      </c>
      <c r="V2016" t="n">
        <v>0</v>
      </c>
    </row>
    <row r="2017">
      <c r="A2017">
        <f>Skills!A9</f>
        <v/>
      </c>
      <c r="B2017">
        <f>Skills!B9</f>
        <v/>
      </c>
      <c r="C2017">
        <f>Inputs!$B$3&gt;=72</f>
        <v/>
      </c>
      <c r="D2017">
        <f>IF(Skills!C9=1,60+Inputs!$B$25+Inputs!$B$29,IF(Skills!C9=2,90+Inputs!$B$26+Inputs!$B$29,IF(Skills!C9=3,120+Inputs!$B$27+Inputs!$B$29,MAX(0,(Inputs!$B$3-100)*3)+Inputs!$B$28+Inputs!$B$29)))</f>
        <v/>
      </c>
      <c r="E2017">
        <f>INDEX(FactorTable!$B$2:$Y$301, MATCH(ROUND(MIN(300,MAX(1,D2017)),0), FactorTable!$A$2:$A$301,0), Skills!M9+1)</f>
        <v/>
      </c>
      <c r="F2017">
        <f>IF(Skills!N9=TRUE,(Skills!L9/10)*(E2017/1000),Skills!L9/10)+Skills!O9</f>
        <v/>
      </c>
      <c r="G2017">
        <f>Skills!G9*IF(Skills!H9&gt;0,IF(Inputs!$B$39="pvp",MIN(Skills!I9,15),Skills!I9)/Skills!H9,1)</f>
        <v/>
      </c>
      <c r="H2017">
        <f>1-(1-Skills!J9/100)^Skills!K9</f>
        <v/>
      </c>
      <c r="I2017" t="inlineStr">
        <is>
          <t>1</t>
        </is>
      </c>
      <c r="J2017">
        <f>((Inputs!$B$6*(1+Inputs!$B$7/100))+(((Inputs!$B$12*(1+Inputs!$B$13/100))-(Inputs!$B$12*(1+Inputs!$B$13/100)))+0.25*(Inputs!$B$14-Inputs!$B$14))*(1+Inputs!$B$7/100))*(F2017/100)</f>
        <v/>
      </c>
      <c r="K2017">
        <f>J2017*(1+((Inputs!$B$12*(1+Inputs!$B$13/100))*0.01+Inputs!$B$14*0.0025)/100)*(1+Inputs!$B$15/100)*(1+Inputs!$B$16/100)*(5000/(6000+Inputs!$B$43*(1-(100*(1-(1-Inputs!$B$19/100)*(1-CHOOSE(ArtifactsInput!$N$40+1,5,6,7,8,9,10)/100)^(ArtifactsInput!$M$40-ArtifactsInput!$M$40)))/100)))*(1+(Inputs!$B$24+((C2039=TRUE)*(F2039-Calc!F31))+((C2026=TRUE)*(F2026-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+3.3333333333333335*IF(C2027=TRUE,F2027,0)/100)*(1+(IF(Skills!A9="CRUEL_STAB",Inputs!$B$17+((C2036=TRUE)*(F2036-Calc!F28))+((IF(AND(Inputs!$B$39&lt;&gt;"pvp",Inputs!$B$44=0),1,IF(IF(Inputs!$B$39="pvp",15,Inputs!$B$44)-(B2053)&lt;=0,1,MAX(0,IF(Inputs!$B$39="pvp",15,Inputs!$B$44)-MAX(5,B2053))/(IF(Inputs!$B$39="pvp",15,Inputs!$B$44)-(B2053))))*(IF(AND(ArtifactsInput!$M$42,((Inputs!$B$9+((C2034=TRUE)*(F2034-Calc!F26))+B2042+(ArtifactsInput!$M$24-ArtifactsInput!$M$24)*CHOOSE(ArtifactsInput!$N$24+1,10,12,14,16,18,20)+IF(ArtifactsInput!$M$10,CHOOSE(ArtifactsInput!$N$10+1,15,18,21,24,27,30)*(IF(Inputs!$B$39="pvp",MIN(15,15)/15,IF(AND(Inputs!$B$39&lt;&gt;"pvp",Inputs!$B$44&gt;0),MIN(15,Inputs!$B$44)/(Inputs!$B$44),0))),0)))&gt;=100),MIN(100,((Inputs!$B$9+((C2034=TRUE)*(F2034-Calc!F26))+B2042+(ArtifactsInput!$M$24-ArtifactsInput!$M$24)*CHOOSE(ArtifactsInput!$N$24+1,10,12,14,16,18,20)+IF(ArtifactsInput!$M$10,CHOOSE(ArtifactsInput!$N$10+1,15,18,21,24,27,30)*(IF(Inputs!$B$39="pvp",MIN(15,15)/15,IF(AND(Inputs!$B$39&lt;&gt;"pvp",Inputs!$B$44&gt;0),MIN(15,Inputs!$B$44)/(Inputs!$B$44),0))),0)))-100),0))*CHOOSE(ArtifactsInput!$N$42+1,0.6,0.72,0.84,0.96,1.08,1.2))),Inputs!$B$18+((C2037=TRUE)*(F2037-Calc!F29))+(IF(AND(Inputs!$B$39&lt;&gt;"pvp",Inputs!$B$44=0),1,IF(IF(Inputs!$B$39="pvp",15,Inputs!$B$44)-(B2053)&lt;=0,1,MAX(0,IF(Inputs!$B$39="pvp",15,Inputs!$B$44)-MAX(5,B2053))/(IF(Inputs!$B$39="pvp",15,Inputs!$B$44)-(B2053))))*IF(AND(ArtifactsInput!$M$42,((Inputs!$B$9+((C2034=TRUE)*(F2034-Calc!F26))+B2042+(ArtifactsInput!$M$24-ArtifactsInput!$M$24)*CHOOSE(ArtifactsInput!$N$24+1,10,12,14,16,18,20)+IF(ArtifactsInput!$M$10,CHOOSE(ArtifactsInput!$N$10+1,15,18,21,24,27,30)*(IF(Inputs!$B$39="pvp",MIN(15,15)/15,IF(AND(Inputs!$B$39&lt;&gt;"pvp",Inputs!$B$44&gt;0),MIN(15,Inputs!$B$44)/(Inputs!$B$44),0))),0)))&gt;=100),CHOOSE(ArtifactsInput!$N$42+1,40,48,56,64,72,80),0))))/100)*(((1+(((C2030=TRUE)*F2030*IF(AND(Inputs!$B$39&lt;&gt;"pvp",Inputs!$B$44&gt;0),(((R2030-1)*MIN((Skills!Y22*(1+Inputs!$B$34/100)),(1/Q2030))+MIN((Skills!Y22*(1+Inputs!$B$34/100)),MAX(0,Inputs!$B$44-((R2030-1)*(1/Q2030)))))/Inputs!$B$44),IF(Inputs!$B$39="pvp",MIN((Skills!Y22*(1+Inputs!$B$34/100)),15)/15,MIN(1,(Skills!Y22*(1+Inputs!$B$34/100))/(1/Q2030)))))+((C2011=TRUE)*F2011*3)+((C2013=TRUE)*F2013*(1-EXP(-0.75*B2046*5)))+((C2032=TRUE)*(F2032-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2019=TRUE)*F2019*IF(AND(Inputs!$B$39&lt;&gt;"pvp",Inputs!$B$44&gt;0),(((R2019-1)*MIN((Skills!Y11*(1+Inputs!$B$34/100)),(1/Q2019))+MIN((Skills!Y11*(1+Inputs!$B$34/100)),MAX(0,Inputs!$B$44-((R2019-1)*(1/Q2019)))))/Inputs!$B$44),IF(Inputs!$B$39="pvp",MIN((Skills!Y11*(1+Inputs!$B$34/100)),15)/15,MIN(1,(Skills!Y11*(1+Inputs!$B$34/100))/(1/Q2019)))))/100)*(1+((C2024=TRUE)*F2024*IF(AND(Inputs!$B$39&lt;&gt;"pvp",Inputs!$B$44&gt;0),(((R2024-1)*MIN((Skills!Y16*(1+Inputs!$B$34/100)),(1/Q2024))+MIN((Skills!Y16*(1+Inputs!$B$34/100)),MAX(0,Inputs!$B$44-((R2024-1)*(1/Q2024)))))/Inputs!$B$44),IF(Inputs!$B$39="pvp",MIN((Skills!Y16*(1+Inputs!$B$34/100)),15)/15,MIN(1,(Skills!Y16*(1+Inputs!$B$34/100))/(1/Q2024)))))/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2044*I2017)</f>
        <v/>
      </c>
      <c r="L2017">
        <f>K2017*(MIN(Inputs!$B$22+((C2033=TRUE)*(F2033-Calc!F25)),(Inputs!$B$23+((C2038=TRUE)*(F2038-Calc!F30))+IF(ArtifactsInput!$M$15,CHOOSE(ArtifactsInput!$N$15+1,25,30,35,40,45,50)/100*(Inputs!$B$11-Inputs!$B$11),0)))/100+(Inputs!$B$23+((C2038=TRUE)*(F2038-Calc!F30))+IF(ArtifactsInput!$M$15,CHOOSE(ArtifactsInput!$N$15+1,25,30,35,40,45,50)/100*(Inputs!$B$11-Inputs!$B$11),0))/100)/2</f>
        <v/>
      </c>
      <c r="M2017">
        <f>L2017*(1+(Inputs!$B$10+((C2035=TRUE)*(F2035-Calc!F27))+B2049+(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2017">
        <f>L2017*(1-MIN((Inputs!$B$9+((C2034=TRUE)*(F2034-Calc!F26))+B2042+(ArtifactsInput!$M$24-ArtifactsInput!$M$24)*CHOOSE(ArtifactsInput!$N$24+1,10,12,14,16,18,20)+(IF(AND(Inputs!$B$39&lt;&gt;"pvp",Inputs!$B$44=0),1,IF(IF(Inputs!$B$39="pvp",15,Inputs!$B$44)-(B2053)&lt;=0,1,MAX(0,IF(Inputs!$B$39="pvp",15,Inputs!$B$44)-MAX(5,B2053))/(IF(Inputs!$B$39="pvp",15,Inputs!$B$44)-(B2053))))*IF(AND(ArtifactsInput!$M$42,((Inputs!$B$9+((C2034=TRUE)*(F2034-Calc!F26))+B2042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2017*(MIN((Inputs!$B$9+((C2034=TRUE)*(F2034-Calc!F26))+B2042+(ArtifactsInput!$M$24-ArtifactsInput!$M$24)*CHOOSE(ArtifactsInput!$N$24+1,10,12,14,16,18,20)+(IF(AND(Inputs!$B$39&lt;&gt;"pvp",Inputs!$B$44=0),1,IF(IF(Inputs!$B$39="pvp",15,Inputs!$B$44)-(B2053)&lt;=0,1,MAX(0,IF(Inputs!$B$39="pvp",15,Inputs!$B$44)-MAX(5,B2053))/(IF(Inputs!$B$39="pvp",15,Inputs!$B$44)-(B2053))))*IF(AND(ArtifactsInput!$M$42,((Inputs!$B$9+((C2034=TRUE)*(F2034-Calc!F26))+B2042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017">
        <f>(1-Summary!$B$11)*T2017+Summary!$B$11*V2017</f>
        <v/>
      </c>
      <c r="P2017">
        <f>IF(B2054=0,0,O2017/B2054)</f>
        <v/>
      </c>
      <c r="Q2017">
        <f>IFERROR(1/IF(Inputs!$B$39="pvp",15,MAX(0.1,Skills!D9-IF(FALSE=TRUE,Inputs!$B$32,0))),0)</f>
        <v/>
      </c>
      <c r="R2017">
        <f>IF(AND(Inputs!$B$39&lt;&gt;"pvp",Inputs!$B$44&gt;0),IF(MAX(0,Inputs!$B$44-B2053)&lt;=0,0,(INT(MAX(0,Inputs!$B$44-B2053)/IF(Inputs!$B$39="pvp",15,MAX(0.1,Skills!D9-IF(FALSE=TRUE,Inputs!$B$32,0))))+1)),0)</f>
        <v/>
      </c>
      <c r="S2017">
        <f>IFERROR(O2017/N2017,0)</f>
        <v/>
      </c>
      <c r="T2017">
        <f>IF(C2017,(H2017*N2017*IF(AND(Inputs!$B$39&lt;&gt;"pvp",Inputs!$B$44&gt;0),((Skills!G9*((R2017-1)*IF(Skills!H9&gt;0,Skills!I9/Skills!H9,1)+IF(Skills!H9&gt;0,MIN(Skills!I9,MAX(0,MAX(0,Inputs!$B$44-B2053)-((R2017-1)*IF(Inputs!$B$39="pvp",15,MAX(0.1,Skills!D9-IF(FALSE=TRUE,Inputs!$B$32,0))))))/Skills!H9,1)))/Inputs!$B$44),G2017*Q2017))*IF(Inputs!$B$39="pvp",1,1+(Inputs!$B$20+0+Skills!P9+B2043+(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Hunt"),CHOOSE(ArtifactsInput!$N$35+1,15,18,21,24,27,30)*(1-EXP(-(0.2*B2046)*5)),0)+IF(AND(ArtifactsInput!$M$22,Inputs!$B$4&lt;&gt;"Chapter Hunt"),CHOOSE(ArtifactsInput!$N$22+1,10,12,14,16,18,20)*((0*(((0.15*B2046*5))^0/1)+1*(((0.15*B2046*5))^1/1)+2*(((0.15*B2046*5))^2/2)+3*(((0.15*B2046*5))^3/6)+4*(((0.15*B2046*5))^4/24)+5*(((0.15*B2046*5))^5/120))/((((0.15*B2046*5))^0/1)+(((0.15*B2046*5))^1/1)+(((0.15*B2046*5))^2/2)+(((0.15*B2046*5))^3/6)+(((0.15*B2046*5))^4/24)+(((0.15*B2046*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2017*(1-MIN(100,(Inputs!$B$9+((C2034=TRUE)*(F2034-Calc!F26))+B2042+(ArtifactsInput!$M$24-ArtifactsInput!$M$24)*CHOOSE(ArtifactsInput!$N$24+1,10,12,14,16,18,20)+(IF(AND(Inputs!$B$39&lt;&gt;"pvp",Inputs!$B$44=0),1,IF(IF(Inputs!$B$39="pvp",15,Inputs!$B$44)-(B2053)&lt;=0,1,MAX(0,IF(Inputs!$B$39="pvp",15,Inputs!$B$44)-MAX(5,B2053))/(IF(Inputs!$B$39="pvp",15,Inputs!$B$44)-(B2053))))*IF(AND(ArtifactsInput!$M$42,((Inputs!$B$9+((C2034=TRUE)*(F2034-Calc!F26))+B2042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2017*(MIN(100,(Inputs!$B$9+((C2034=TRUE)*(F2034-Calc!F26))+B2042+(ArtifactsInput!$M$24-ArtifactsInput!$M$24)*CHOOSE(ArtifactsInput!$N$24+1,10,12,14,16,18,20)+(IF(AND(Inputs!$B$39&lt;&gt;"pvp",Inputs!$B$44=0),1,IF(IF(Inputs!$B$39="pvp",15,Inputs!$B$44)-(B2053)&lt;=0,1,MAX(0,IF(Inputs!$B$39="pvp",15,Inputs!$B$44)-MAX(5,B2053))/(IF(Inputs!$B$39="pvp",15,Inputs!$B$44)-(B2053))))*IF(AND(ArtifactsInput!$M$42,((Inputs!$B$9+((C2034=TRUE)*(F2034-Calc!F26))+B2042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2017*(1-MIN(100,(Inputs!$B$9+((C2034=TRUE)*(F2034-Calc!F26))+B2042+(ArtifactsInput!$M$24-ArtifactsInput!$M$24)*CHOOSE(ArtifactsInput!$N$24+1,10,12,14,16,18,20)+(IF(AND(Inputs!$B$39&lt;&gt;"pvp",Inputs!$B$44=0),1,IF(IF(Inputs!$B$39="pvp",15,Inputs!$B$44)-(B2053)&lt;=0,1,MAX(0,IF(Inputs!$B$39="pvp",15,Inputs!$B$44)-MAX(5,B2053))/(IF(Inputs!$B$39="pvp",15,Inputs!$B$44)-(B2053))))*IF(AND(ArtifactsInput!$M$42,((Inputs!$B$9+((C2034=TRUE)*(F2034-Calc!F26))+B2042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2017*(MIN(100,(Inputs!$B$9+((C2034=TRUE)*(F2034-Calc!F26))+B2042+(ArtifactsInput!$M$24-ArtifactsInput!$M$24)*CHOOSE(ArtifactsInput!$N$24+1,10,12,14,16,18,20)+(IF(AND(Inputs!$B$39&lt;&gt;"pvp",Inputs!$B$44=0),1,IF(IF(Inputs!$B$39="pvp",15,Inputs!$B$44)-(B2053)&lt;=0,1,MAX(0,IF(Inputs!$B$39="pvp",15,Inputs!$B$44)-MAX(5,B2053))/(IF(Inputs!$B$39="pvp",15,Inputs!$B$44)-(B2053))))*IF(AND(ArtifactsInput!$M$42,((Inputs!$B$9+((C2034=TRUE)*(F2034-Calc!F26))+B2042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017">
        <f>IF(C2017,(H2017*N2017*IF(AND(Inputs!$B$39&lt;&gt;"pvp",Inputs!$B$44&gt;0),((Skills!G9*((R2017-1)*IF(Skills!H9&gt;0,Skills!I9/Skills!H9,1)+IF(Skills!H9&gt;0,MIN(Skills!I9,MAX(0,MAX(0,Inputs!$B$44-B2053)-((R2017-1)*IF(Inputs!$B$39="pvp",15,MAX(0.1,Skills!D9-IF(FALSE=TRUE,Inputs!$B$32,0))))))/Skills!H9,1)))/Inputs!$B$44),G2017*Q2017))*IF(Inputs!$B$39="pvp",1,(1+(Inputs!$B$21+Skills!Q9+B2043+(IF(ArtifactsInput!$M$33,CHOOSE(ArtifactsInput!$N$33+1,30,36,42,48,54,60),0))+(IF(AND(ArtifactsInput!$M$35,Inputs!$B$4&lt;&gt;"Chapter Hunt"),CHOOSE(ArtifactsInput!$N$35+1,15,18,21,24,27,30)*(1-EXP(-(0.2*B2046)*5)),0)+IF(AND(ArtifactsInput!$M$22,Inputs!$B$4&lt;&gt;"Chapter Hunt"),CHOOSE(ArtifactsInput!$N$22+1,10,12,14,16,18,20)*((0*(((0.15*B2046*5))^0/1)+1*(((0.15*B2046*5))^1/1)+2*(((0.15*B2046*5))^2/2)+3*(((0.15*B2046*5))^3/6)+4*(((0.15*B2046*5))^4/24)+5*(((0.15*B2046*5))^5/120))/((((0.15*B2046*5))^0/1)+(((0.15*B2046*5))^1/1)+(((0.15*B2046*5))^2/2)+(((0.15*B2046*5))^3/6)+(((0.15*B2046*5))^4/24)+(((0.15*B2046*5))^5/120))),0)))/100)*(MIN(Skills!W9,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018">
      <c r="A2018">
        <f>Skills!A10</f>
        <v/>
      </c>
      <c r="B2018">
        <f>Skills!B10</f>
        <v/>
      </c>
      <c r="C2018">
        <f>Inputs!$B$3&gt;=117</f>
        <v/>
      </c>
      <c r="D2018">
        <f>IF(Skills!C10=1,60+Inputs!$B$25+Inputs!$B$29,IF(Skills!C10=2,90+Inputs!$B$26+Inputs!$B$29,IF(Skills!C10=3,120+Inputs!$B$27+Inputs!$B$29,MAX(0,(Inputs!$B$3-100)*3)+Inputs!$B$28+Inputs!$B$29)))</f>
        <v/>
      </c>
      <c r="E2018">
        <f>INDEX(FactorTable!$B$2:$Y$301, MATCH(ROUND(MIN(300,MAX(1,D2018)),0), FactorTable!$A$2:$A$301,0), Skills!M10+1)</f>
        <v/>
      </c>
      <c r="F2018">
        <f>IF(Skills!N10=TRUE,(Skills!L10/10)*(E2018/1000),Skills!L10/10)+Skills!O10</f>
        <v/>
      </c>
      <c r="G2018">
        <f>Skills!G10*IF(Skills!H10&gt;0,IF(Inputs!$B$39="pvp",MIN(Skills!I10,15),Skills!I10)/Skills!H10,1)</f>
        <v/>
      </c>
      <c r="H2018">
        <f>1-(1-Skills!J10/100)^Skills!K10</f>
        <v/>
      </c>
      <c r="I2018" t="inlineStr">
        <is>
          <t>1</t>
        </is>
      </c>
      <c r="J2018">
        <f>((Inputs!$B$6*(1+Inputs!$B$7/100))+(((Inputs!$B$12*(1+Inputs!$B$13/100))-(Inputs!$B$12*(1+Inputs!$B$13/100)))+0.25*(Inputs!$B$14-Inputs!$B$14))*(1+Inputs!$B$7/100))*(F2018/100)</f>
        <v/>
      </c>
      <c r="K2018">
        <f>J2018*(1+((Inputs!$B$12*(1+Inputs!$B$13/100))*0.01+Inputs!$B$14*0.0025)/100)*(1+Inputs!$B$15/100)*(1+Inputs!$B$16/100)*(5000/(6000+Inputs!$B$43*(1-(100*(1-(1-Inputs!$B$19/100)*(1-CHOOSE(ArtifactsInput!$N$40+1,5,6,7,8,9,10)/100)^(ArtifactsInput!$M$40-ArtifactsInput!$M$40)))/100)))*(1+(Inputs!$B$24+((C2039=TRUE)*(F2039-Calc!F31))+((C2026=TRUE)*(F2026-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10="CRUEL_STAB",Inputs!$B$17+((C2036=TRUE)*(F2036-Calc!F28))+((IF(AND(Inputs!$B$39&lt;&gt;"pvp",Inputs!$B$44=0),1,IF(IF(Inputs!$B$39="pvp",15,Inputs!$B$44)-(B2053)&lt;=0,1,MAX(0,IF(Inputs!$B$39="pvp",15,Inputs!$B$44)-MAX(5,B2053))/(IF(Inputs!$B$39="pvp",15,Inputs!$B$44)-(B2053))))*(IF(AND(ArtifactsInput!$M$42,((Inputs!$B$9+((C2034=TRUE)*(F2034-Calc!F26))+B2042+(ArtifactsInput!$M$24-ArtifactsInput!$M$24)*CHOOSE(ArtifactsInput!$N$24+1,10,12,14,16,18,20)+IF(ArtifactsInput!$M$10,CHOOSE(ArtifactsInput!$N$10+1,15,18,21,24,27,30)*(IF(Inputs!$B$39="pvp",MIN(15,15)/15,IF(AND(Inputs!$B$39&lt;&gt;"pvp",Inputs!$B$44&gt;0),MIN(15,Inputs!$B$44)/(Inputs!$B$44),0))),0)))&gt;=100),MIN(100,((Inputs!$B$9+((C2034=TRUE)*(F2034-Calc!F26))+B2042+(ArtifactsInput!$M$24-ArtifactsInput!$M$24)*CHOOSE(ArtifactsInput!$N$24+1,10,12,14,16,18,20)+IF(ArtifactsInput!$M$10,CHOOSE(ArtifactsInput!$N$10+1,15,18,21,24,27,30)*(IF(Inputs!$B$39="pvp",MIN(15,15)/15,IF(AND(Inputs!$B$39&lt;&gt;"pvp",Inputs!$B$44&gt;0),MIN(15,Inputs!$B$44)/(Inputs!$B$44),0))),0)))-100),0))*CHOOSE(ArtifactsInput!$N$42+1,0.6,0.72,0.84,0.96,1.08,1.2))),Inputs!$B$18+((C2037=TRUE)*(F2037-Calc!F29))+(IF(AND(Inputs!$B$39&lt;&gt;"pvp",Inputs!$B$44=0),1,IF(IF(Inputs!$B$39="pvp",15,Inputs!$B$44)-(B2053)&lt;=0,1,MAX(0,IF(Inputs!$B$39="pvp",15,Inputs!$B$44)-MAX(5,B2053))/(IF(Inputs!$B$39="pvp",15,Inputs!$B$44)-(B2053))))*IF(AND(ArtifactsInput!$M$42,((Inputs!$B$9+((C2034=TRUE)*(F2034-Calc!F26))+B2042+(ArtifactsInput!$M$24-ArtifactsInput!$M$24)*CHOOSE(ArtifactsInput!$N$24+1,10,12,14,16,18,20)+IF(ArtifactsInput!$M$10,CHOOSE(ArtifactsInput!$N$10+1,15,18,21,24,27,30)*(IF(Inputs!$B$39="pvp",MIN(15,15)/15,IF(AND(Inputs!$B$39&lt;&gt;"pvp",Inputs!$B$44&gt;0),MIN(15,Inputs!$B$44)/(Inputs!$B$44),0))),0)))&gt;=100),CHOOSE(ArtifactsInput!$N$42+1,40,48,56,64,72,80),0))))/100)*(((1+(((C2030=TRUE)*F2030*IF(AND(Inputs!$B$39&lt;&gt;"pvp",Inputs!$B$44&gt;0),(((R2030-1)*MIN((Skills!Y22*(1+Inputs!$B$34/100)),(1/Q2030))+MIN((Skills!Y22*(1+Inputs!$B$34/100)),MAX(0,Inputs!$B$44-((R2030-1)*(1/Q2030)))))/Inputs!$B$44),IF(Inputs!$B$39="pvp",MIN((Skills!Y22*(1+Inputs!$B$34/100)),15)/15,MIN(1,(Skills!Y22*(1+Inputs!$B$34/100))/(1/Q2030)))))+((C2011=TRUE)*F2011*3)+((C2013=TRUE)*F2013*(1-EXP(-0.75*B2046*5)))+((C2032=TRUE)*(F2032-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2019=TRUE)*F2019*IF(AND(Inputs!$B$39&lt;&gt;"pvp",Inputs!$B$44&gt;0),(((R2019-1)*MIN((Skills!Y11*(1+Inputs!$B$34/100)),(1/Q2019))+MIN((Skills!Y11*(1+Inputs!$B$34/100)),MAX(0,Inputs!$B$44-((R2019-1)*(1/Q2019)))))/Inputs!$B$44),IF(Inputs!$B$39="pvp",MIN((Skills!Y11*(1+Inputs!$B$34/100)),15)/15,MIN(1,(Skills!Y11*(1+Inputs!$B$34/100))/(1/Q2019)))))/100)*(1+((C2024=TRUE)*F2024*IF(AND(Inputs!$B$39&lt;&gt;"pvp",Inputs!$B$44&gt;0),(((R2024-1)*MIN((Skills!Y16*(1+Inputs!$B$34/100)),(1/Q2024))+MIN((Skills!Y16*(1+Inputs!$B$34/100)),MAX(0,Inputs!$B$44-((R2024-1)*(1/Q2024)))))/Inputs!$B$44),IF(Inputs!$B$39="pvp",MIN((Skills!Y16*(1+Inputs!$B$34/100)),15)/15,MIN(1,(Skills!Y16*(1+Inputs!$B$34/100))/(1/Q2024)))))/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2044*I2018)</f>
        <v/>
      </c>
      <c r="L2018">
        <f>K2018*(MIN(Inputs!$B$22+((C2033=TRUE)*(F2033-Calc!F25)),(Inputs!$B$23+((C2038=TRUE)*(F2038-Calc!F30))+IF(ArtifactsInput!$M$15,CHOOSE(ArtifactsInput!$N$15+1,25,30,35,40,45,50)/100*(Inputs!$B$11-Inputs!$B$11),0)))/100+(Inputs!$B$23+((C2038=TRUE)*(F2038-Calc!F30))+IF(ArtifactsInput!$M$15,CHOOSE(ArtifactsInput!$N$15+1,25,30,35,40,45,50)/100*(Inputs!$B$11-Inputs!$B$11),0))/100)/2</f>
        <v/>
      </c>
      <c r="M2018">
        <f>L2018*(1+(Inputs!$B$10+((C2035=TRUE)*(F2035-Calc!F27))+B2049+(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2018">
        <f>L2018*(1-MIN((Inputs!$B$9+((C2034=TRUE)*(F2034-Calc!F26))+B2042+(ArtifactsInput!$M$24-ArtifactsInput!$M$24)*CHOOSE(ArtifactsInput!$N$24+1,10,12,14,16,18,20)+(IF(AND(Inputs!$B$39&lt;&gt;"pvp",Inputs!$B$44=0),1,IF(IF(Inputs!$B$39="pvp",15,Inputs!$B$44)-(B2053)&lt;=0,1,MAX(0,IF(Inputs!$B$39="pvp",15,Inputs!$B$44)-MAX(5,B2053))/(IF(Inputs!$B$39="pvp",15,Inputs!$B$44)-(B2053))))*IF(AND(ArtifactsInput!$M$42,((Inputs!$B$9+((C2034=TRUE)*(F2034-Calc!F26))+B2042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2018*(MIN((Inputs!$B$9+((C2034=TRUE)*(F2034-Calc!F26))+B2042+(ArtifactsInput!$M$24-ArtifactsInput!$M$24)*CHOOSE(ArtifactsInput!$N$24+1,10,12,14,16,18,20)+(IF(AND(Inputs!$B$39&lt;&gt;"pvp",Inputs!$B$44=0),1,IF(IF(Inputs!$B$39="pvp",15,Inputs!$B$44)-(B2053)&lt;=0,1,MAX(0,IF(Inputs!$B$39="pvp",15,Inputs!$B$44)-MAX(5,B2053))/(IF(Inputs!$B$39="pvp",15,Inputs!$B$44)-(B2053))))*IF(AND(ArtifactsInput!$M$42,((Inputs!$B$9+((C2034=TRUE)*(F2034-Calc!F26))+B2042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018">
        <f>(1-Summary!$B$11)*T2018+Summary!$B$11*V2018</f>
        <v/>
      </c>
      <c r="P2018">
        <f>IF(B2054=0,0,O2018/B2054)</f>
        <v/>
      </c>
      <c r="Q2018" t="n">
        <v>0</v>
      </c>
      <c r="R2018" t="n">
        <v>0</v>
      </c>
      <c r="S2018" t="n">
        <v>0</v>
      </c>
      <c r="T2018">
        <f>IF(C2018,(0.2*SUMPRODUCT((Skills!Z2:Z31=TRUE)*(C2010:C2039=TRUE)*S2010:S2039)*N2018)*IF(Inputs!$B$39="pvp",1,1+(Inputs!$B$20+0+Skills!P10+B2043+(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Hunt"),CHOOSE(ArtifactsInput!$N$35+1,15,18,21,24,27,30)*(1-EXP(-(0.2*B2046)*5)),0)+IF(AND(ArtifactsInput!$M$22,Inputs!$B$4&lt;&gt;"Chapter Hunt"),CHOOSE(ArtifactsInput!$N$22+1,10,12,14,16,18,20)*((0*(((0.15*B2046*5))^0/1)+1*(((0.15*B2046*5))^1/1)+2*(((0.15*B2046*5))^2/2)+3*(((0.15*B2046*5))^3/6)+4*(((0.15*B2046*5))^4/24)+5*(((0.15*B2046*5))^5/120))/((((0.15*B2046*5))^0/1)+(((0.15*B2046*5))^1/1)+(((0.15*B2046*5))^2/2)+(((0.15*B2046*5))^3/6)+(((0.15*B2046*5))^4/24)+(((0.15*B2046*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2018*(1-MIN(100,(Inputs!$B$9+((C2034=TRUE)*(F2034-Calc!F26))+B2042+(ArtifactsInput!$M$24-ArtifactsInput!$M$24)*CHOOSE(ArtifactsInput!$N$24+1,10,12,14,16,18,20)+(IF(AND(Inputs!$B$39&lt;&gt;"pvp",Inputs!$B$44=0),1,IF(IF(Inputs!$B$39="pvp",15,Inputs!$B$44)-(B2053)&lt;=0,1,MAX(0,IF(Inputs!$B$39="pvp",15,Inputs!$B$44)-MAX(5,B2053))/(IF(Inputs!$B$39="pvp",15,Inputs!$B$44)-(B2053))))*IF(AND(ArtifactsInput!$M$42,((Inputs!$B$9+((C2034=TRUE)*(F2034-Calc!F26))+B2042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2018*(MIN(100,(Inputs!$B$9+((C2034=TRUE)*(F2034-Calc!F26))+B2042+(ArtifactsInput!$M$24-ArtifactsInput!$M$24)*CHOOSE(ArtifactsInput!$N$24+1,10,12,14,16,18,20)+(IF(AND(Inputs!$B$39&lt;&gt;"pvp",Inputs!$B$44=0),1,IF(IF(Inputs!$B$39="pvp",15,Inputs!$B$44)-(B2053)&lt;=0,1,MAX(0,IF(Inputs!$B$39="pvp",15,Inputs!$B$44)-MAX(5,B2053))/(IF(Inputs!$B$39="pvp",15,Inputs!$B$44)-(B2053))))*IF(AND(ArtifactsInput!$M$42,((Inputs!$B$9+((C2034=TRUE)*(F2034-Calc!F26))+B2042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2018*(1-MIN(100,(Inputs!$B$9+((C2034=TRUE)*(F2034-Calc!F26))+B2042+(ArtifactsInput!$M$24-ArtifactsInput!$M$24)*CHOOSE(ArtifactsInput!$N$24+1,10,12,14,16,18,20)+(IF(AND(Inputs!$B$39&lt;&gt;"pvp",Inputs!$B$44=0),1,IF(IF(Inputs!$B$39="pvp",15,Inputs!$B$44)-(B2053)&lt;=0,1,MAX(0,IF(Inputs!$B$39="pvp",15,Inputs!$B$44)-MAX(5,B2053))/(IF(Inputs!$B$39="pvp",15,Inputs!$B$44)-(B2053))))*IF(AND(ArtifactsInput!$M$42,((Inputs!$B$9+((C2034=TRUE)*(F2034-Calc!F26))+B2042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2018*(MIN(100,(Inputs!$B$9+((C2034=TRUE)*(F2034-Calc!F26))+B2042+(ArtifactsInput!$M$24-ArtifactsInput!$M$24)*CHOOSE(ArtifactsInput!$N$24+1,10,12,14,16,18,20)+(IF(AND(Inputs!$B$39&lt;&gt;"pvp",Inputs!$B$44=0),1,IF(IF(Inputs!$B$39="pvp",15,Inputs!$B$44)-(B2053)&lt;=0,1,MAX(0,IF(Inputs!$B$39="pvp",15,Inputs!$B$44)-MAX(5,B2053))/(IF(Inputs!$B$39="pvp",15,Inputs!$B$44)-(B2053))))*IF(AND(ArtifactsInput!$M$42,((Inputs!$B$9+((C2034=TRUE)*(F2034-Calc!F26))+B2042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018">
        <f>IF(C2018,(0.2*SUMPRODUCT((Skills!Z2:Z31=TRUE)*(C2010:C2039=TRUE)*S2010:S2039)*N2018)*IF(Inputs!$B$39="pvp",1,(1+(Inputs!$B$21+Skills!Q10+B2043+(IF(ArtifactsInput!$M$33,CHOOSE(ArtifactsInput!$N$33+1,30,36,42,48,54,60),0))+(IF(AND(ArtifactsInput!$M$35,Inputs!$B$4&lt;&gt;"Chapter Hunt"),CHOOSE(ArtifactsInput!$N$35+1,15,18,21,24,27,30)*(1-EXP(-(0.2*B2046)*5)),0)+IF(AND(ArtifactsInput!$M$22,Inputs!$B$4&lt;&gt;"Chapter Hunt"),CHOOSE(ArtifactsInput!$N$22+1,10,12,14,16,18,20)*((0*(((0.15*B2046*5))^0/1)+1*(((0.15*B2046*5))^1/1)+2*(((0.15*B2046*5))^2/2)+3*(((0.15*B2046*5))^3/6)+4*(((0.15*B2046*5))^4/24)+5*(((0.15*B2046*5))^5/120))/((((0.15*B2046*5))^0/1)+(((0.15*B2046*5))^1/1)+(((0.15*B2046*5))^2/2)+(((0.15*B2046*5))^3/6)+(((0.15*B2046*5))^4/24)+(((0.15*B2046*5))^5/120))),0)))/100)*(MIN(Skills!W10,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019">
      <c r="A2019">
        <f>Skills!A11</f>
        <v/>
      </c>
      <c r="B2019">
        <f>Skills!B11</f>
        <v/>
      </c>
      <c r="C2019">
        <f>Inputs!$B$3&gt;=74</f>
        <v/>
      </c>
      <c r="D2019">
        <f>IF(Skills!C11=1,60+Inputs!$B$25+Inputs!$B$29,IF(Skills!C11=2,90+Inputs!$B$26+Inputs!$B$29,IF(Skills!C11=3,120+Inputs!$B$27+Inputs!$B$29,MAX(0,(Inputs!$B$3-100)*3)+Inputs!$B$28+Inputs!$B$29)))</f>
        <v/>
      </c>
      <c r="E2019">
        <f>INDEX(FactorTable!$B$2:$Y$301, MATCH(ROUND(MIN(300,MAX(1,D2019)),0), FactorTable!$A$2:$A$301,0), Skills!M11+1)</f>
        <v/>
      </c>
      <c r="F2019">
        <f>IF(Skills!N11=TRUE,(Skills!L11/10)*(E2019/1000),Skills!L11/10)+Skills!O11</f>
        <v/>
      </c>
      <c r="G2019">
        <f>Skills!G11*IF(Skills!H11&gt;0,IF(Inputs!$B$39="pvp",MIN(Skills!I11,15),Skills!I11)/Skills!H11,1)</f>
        <v/>
      </c>
      <c r="H2019">
        <f>1-(1-Skills!J11/100)^Skills!K11</f>
        <v/>
      </c>
      <c r="I2019" t="inlineStr">
        <is>
          <t>1</t>
        </is>
      </c>
      <c r="J2019" t="inlineStr"/>
      <c r="K2019" t="inlineStr"/>
      <c r="L2019" t="inlineStr"/>
      <c r="M2019" t="inlineStr"/>
      <c r="N2019" t="inlineStr"/>
      <c r="O2019">
        <f>(1-Summary!$B$11)*T2019+Summary!$B$11*V2019</f>
        <v/>
      </c>
      <c r="P2019">
        <f>IF(B2054=0,0,O2019/B2054)</f>
        <v/>
      </c>
      <c r="Q2019">
        <f>IFERROR(1/IF(Inputs!$B$39="pvp",15,MAX(0.1,Skills!D11-IF(TRUE=TRUE,Inputs!$B$32,0))),0)</f>
        <v/>
      </c>
      <c r="R2019">
        <f>IF(AND(Inputs!$B$39&lt;&gt;"pvp",Inputs!$B$44&gt;0),IF(Inputs!$B$44&lt;=0,0,(INT(Inputs!$B$44/IF(Inputs!$B$39="pvp",15,MAX(0.1,Skills!D11-IF(TRUE=TRUE,Inputs!$B$32,0))))+1)),0)</f>
        <v/>
      </c>
      <c r="S2019">
        <f>IFERROR(O2019/N2019,0)</f>
        <v/>
      </c>
      <c r="T2019" t="n">
        <v>0</v>
      </c>
      <c r="V2019" t="n">
        <v>0</v>
      </c>
    </row>
    <row r="2020">
      <c r="A2020">
        <f>Skills!A12</f>
        <v/>
      </c>
      <c r="B2020">
        <f>Skills!B12</f>
        <v/>
      </c>
      <c r="C2020">
        <f>Inputs!$B$3&gt;=103</f>
        <v/>
      </c>
      <c r="D2020">
        <f>IF(Skills!C12=1,60+Inputs!$B$25+Inputs!$B$29,IF(Skills!C12=2,90+Inputs!$B$26+Inputs!$B$29,IF(Skills!C12=3,120+Inputs!$B$27+Inputs!$B$29,MAX(0,(Inputs!$B$3-100)*3)+Inputs!$B$28+Inputs!$B$29)))</f>
        <v/>
      </c>
      <c r="E2020">
        <f>INDEX(FactorTable!$B$2:$Y$301, MATCH(ROUND(MIN(300,MAX(1,D2020)),0), FactorTable!$A$2:$A$301,0), Skills!M12+1)</f>
        <v/>
      </c>
      <c r="F2020">
        <f>(Skills!L12/10)*(E2020/1000)+IF(Inputs!$B$3&gt;=134,50,0)+0.5*(30000/10)*(INDEX(FactorTable!$B$2:$Y$301, MATCH(ROUND(MIN(300,MAX(1,D2020)),0), FactorTable!$A$2:$A$301,0), 13)/1000)*B2052</f>
        <v/>
      </c>
      <c r="G2020">
        <f>Skills!G12*IF(Skills!H12&gt;0,IF(Inputs!$B$39="pvp",MIN(Skills!I12,15),Skills!I12)/Skills!H12,1)</f>
        <v/>
      </c>
      <c r="H2020">
        <f>1-(1-Skills!J12/100)^Skills!K12</f>
        <v/>
      </c>
      <c r="I2020" t="inlineStr">
        <is>
          <t>1</t>
        </is>
      </c>
      <c r="J2020">
        <f>((Inputs!$B$6*(1+Inputs!$B$7/100))+(((Inputs!$B$12*(1+Inputs!$B$13/100))-(Inputs!$B$12*(1+Inputs!$B$13/100)))+0.25*(Inputs!$B$14-Inputs!$B$14))*(1+Inputs!$B$7/100))*(F2020/100)</f>
        <v/>
      </c>
      <c r="K2020">
        <f>J2020*(1+((Inputs!$B$12*(1+Inputs!$B$13/100))*0.01+Inputs!$B$14*0.0025)/100)*(1+Inputs!$B$15/100)*(1+Inputs!$B$16/100)*(5000/(6000+Inputs!$B$43*(1-(100*(1-(1-Inputs!$B$19/100)*(1-CHOOSE(ArtifactsInput!$N$40+1,5,6,7,8,9,10)/100)^(ArtifactsInput!$M$40-ArtifactsInput!$M$40)))/100)))*(1+(Inputs!$B$24+((C2039=TRUE)*(F2039-Calc!F31))+((C2026=TRUE)*(F2026-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12="CRUEL_STAB",Inputs!$B$17+((C2036=TRUE)*(F2036-Calc!F28))+((IF(AND(Inputs!$B$39&lt;&gt;"pvp",Inputs!$B$44=0),1,IF(IF(Inputs!$B$39="pvp",15,Inputs!$B$44)-(B2053)&lt;=0,1,MAX(0,IF(Inputs!$B$39="pvp",15,Inputs!$B$44)-MAX(5,B2053))/(IF(Inputs!$B$39="pvp",15,Inputs!$B$44)-(B2053))))*(IF(AND(ArtifactsInput!$M$42,((Inputs!$B$9+((C2034=TRUE)*(F2034-Calc!F26))+B2042+(ArtifactsInput!$M$24-ArtifactsInput!$M$24)*CHOOSE(ArtifactsInput!$N$24+1,10,12,14,16,18,20)+IF(ArtifactsInput!$M$10,CHOOSE(ArtifactsInput!$N$10+1,15,18,21,24,27,30)*(IF(Inputs!$B$39="pvp",MIN(15,15)/15,IF(AND(Inputs!$B$39&lt;&gt;"pvp",Inputs!$B$44&gt;0),MIN(15,Inputs!$B$44)/(Inputs!$B$44),0))),0)))&gt;=100),MIN(100,((Inputs!$B$9+((C2034=TRUE)*(F2034-Calc!F26))+B2042+(ArtifactsInput!$M$24-ArtifactsInput!$M$24)*CHOOSE(ArtifactsInput!$N$24+1,10,12,14,16,18,20)+IF(ArtifactsInput!$M$10,CHOOSE(ArtifactsInput!$N$10+1,15,18,21,24,27,30)*(IF(Inputs!$B$39="pvp",MIN(15,15)/15,IF(AND(Inputs!$B$39&lt;&gt;"pvp",Inputs!$B$44&gt;0),MIN(15,Inputs!$B$44)/(Inputs!$B$44),0))),0)))-100),0))*CHOOSE(ArtifactsInput!$N$42+1,0.6,0.72,0.84,0.96,1.08,1.2))),Inputs!$B$18+((C2037=TRUE)*(F2037-Calc!F29))+(IF(AND(Inputs!$B$39&lt;&gt;"pvp",Inputs!$B$44=0),1,IF(IF(Inputs!$B$39="pvp",15,Inputs!$B$44)-(B2053)&lt;=0,1,MAX(0,IF(Inputs!$B$39="pvp",15,Inputs!$B$44)-MAX(5,B2053))/(IF(Inputs!$B$39="pvp",15,Inputs!$B$44)-(B2053))))*IF(AND(ArtifactsInput!$M$42,((Inputs!$B$9+((C2034=TRUE)*(F2034-Calc!F26))+B2042+(ArtifactsInput!$M$24-ArtifactsInput!$M$24)*CHOOSE(ArtifactsInput!$N$24+1,10,12,14,16,18,20)+IF(ArtifactsInput!$M$10,CHOOSE(ArtifactsInput!$N$10+1,15,18,21,24,27,30)*(IF(Inputs!$B$39="pvp",MIN(15,15)/15,IF(AND(Inputs!$B$39&lt;&gt;"pvp",Inputs!$B$44&gt;0),MIN(15,Inputs!$B$44)/(Inputs!$B$44),0))),0)))&gt;=100),CHOOSE(ArtifactsInput!$N$42+1,40,48,56,64,72,80),0))))/100)*(((1+(((C2030=TRUE)*F2030*IF(AND(Inputs!$B$39&lt;&gt;"pvp",Inputs!$B$44&gt;0),(((R2030-1)*MIN((Skills!Y22*(1+Inputs!$B$34/100)),(1/Q2030))+MIN((Skills!Y22*(1+Inputs!$B$34/100)),MAX(0,Inputs!$B$44-((R2030-1)*(1/Q2030)))))/Inputs!$B$44),IF(Inputs!$B$39="pvp",MIN((Skills!Y22*(1+Inputs!$B$34/100)),15)/15,MIN(1,(Skills!Y22*(1+Inputs!$B$34/100))/(1/Q2030)))))+((C2011=TRUE)*F2011*3)+((C2013=TRUE)*F2013*(1-EXP(-0.75*B2046*5)))+((C2032=TRUE)*(F2032-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2019=TRUE)*F2019*IF(AND(Inputs!$B$39&lt;&gt;"pvp",Inputs!$B$44&gt;0),(((R2019-1)*MIN((Skills!Y11*(1+Inputs!$B$34/100)),(1/Q2019))+MIN((Skills!Y11*(1+Inputs!$B$34/100)),MAX(0,Inputs!$B$44-((R2019-1)*(1/Q2019)))))/Inputs!$B$44),IF(Inputs!$B$39="pvp",MIN((Skills!Y11*(1+Inputs!$B$34/100)),15)/15,MIN(1,(Skills!Y11*(1+Inputs!$B$34/100))/(1/Q2019)))))/100)*(1+((C2024=TRUE)*F2024*IF(AND(Inputs!$B$39&lt;&gt;"pvp",Inputs!$B$44&gt;0),(((R2024-1)*MIN((Skills!Y16*(1+Inputs!$B$34/100)),(1/Q2024))+MIN((Skills!Y16*(1+Inputs!$B$34/100)),MAX(0,Inputs!$B$44-((R2024-1)*(1/Q2024)))))/Inputs!$B$44),IF(Inputs!$B$39="pvp",MIN((Skills!Y16*(1+Inputs!$B$34/100)),15)/15,MIN(1,(Skills!Y16*(1+Inputs!$B$34/100))/(1/Q2024)))))/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2044*I2020)</f>
        <v/>
      </c>
      <c r="L2020">
        <f>K2020*(MIN(Inputs!$B$22+((C2033=TRUE)*(F2033-Calc!F25)),(Inputs!$B$23+((C2038=TRUE)*(F2038-Calc!F30))+IF(ArtifactsInput!$M$15,CHOOSE(ArtifactsInput!$N$15+1,25,30,35,40,45,50)/100*(Inputs!$B$11-Inputs!$B$11),0)))/100+(Inputs!$B$23+((C2038=TRUE)*(F2038-Calc!F30))+IF(ArtifactsInput!$M$15,CHOOSE(ArtifactsInput!$N$15+1,25,30,35,40,45,50)/100*(Inputs!$B$11-Inputs!$B$11),0))/100)/2</f>
        <v/>
      </c>
      <c r="M2020">
        <f>L2020*(1+(Inputs!$B$10+((C2035=TRUE)*(F2035-Calc!F27))+B2049+(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2020">
        <f>L2020*(1-MIN((Inputs!$B$9+((C2034=TRUE)*(F2034-Calc!F26))+B2042+(ArtifactsInput!$M$24-ArtifactsInput!$M$24)*CHOOSE(ArtifactsInput!$N$24+1,10,12,14,16,18,20)+(IF(AND(Inputs!$B$39&lt;&gt;"pvp",Inputs!$B$44=0),1,IF(IF(Inputs!$B$39="pvp",15,Inputs!$B$44)-(B2053)&lt;=0,1,MAX(0,IF(Inputs!$B$39="pvp",15,Inputs!$B$44)-MAX(5,B2053))/(IF(Inputs!$B$39="pvp",15,Inputs!$B$44)-(B2053))))*IF(AND(ArtifactsInput!$M$42,((Inputs!$B$9+((C2034=TRUE)*(F2034-Calc!F26))+B2042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2020*(MIN((Inputs!$B$9+((C2034=TRUE)*(F2034-Calc!F26))+B2042+(ArtifactsInput!$M$24-ArtifactsInput!$M$24)*CHOOSE(ArtifactsInput!$N$24+1,10,12,14,16,18,20)+(IF(AND(Inputs!$B$39&lt;&gt;"pvp",Inputs!$B$44=0),1,IF(IF(Inputs!$B$39="pvp",15,Inputs!$B$44)-(B2053)&lt;=0,1,MAX(0,IF(Inputs!$B$39="pvp",15,Inputs!$B$44)-MAX(5,B2053))/(IF(Inputs!$B$39="pvp",15,Inputs!$B$44)-(B2053))))*IF(AND(ArtifactsInput!$M$42,((Inputs!$B$9+((C2034=TRUE)*(F2034-Calc!F26))+B2042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020">
        <f>(1-Summary!$B$11)*T2020+Summary!$B$11*V2020</f>
        <v/>
      </c>
      <c r="P2020">
        <f>IF(B2054=0,0,O2020/B2054)</f>
        <v/>
      </c>
      <c r="Q2020">
        <f>IFERROR(1/IF(Inputs!$B$39="pvp",15,MAX(0.1,Skills!D12-IF(TRUE=TRUE,Inputs!$B$32,0))),0)</f>
        <v/>
      </c>
      <c r="R2020">
        <f>IF(AND(Inputs!$B$39&lt;&gt;"pvp",Inputs!$B$44&gt;0),IF(MAX(0,Inputs!$B$44-B2053)&lt;=0,0,(INT(MAX(0,Inputs!$B$44-B2053)/IF(Inputs!$B$39="pvp",15,MAX(0.1,Skills!D12-IF(TRUE=TRUE,Inputs!$B$32,0))))+1)),0)</f>
        <v/>
      </c>
      <c r="S2020">
        <f>IFERROR(O2020/N2020,0)</f>
        <v/>
      </c>
      <c r="T2020">
        <f>IF(C2020,(H2020*N2020*IF(AND(Inputs!$B$39&lt;&gt;"pvp",Inputs!$B$44&gt;0),((Skills!G12*((R2020-1)*IF(Skills!H12&gt;0,Skills!I12/Skills!H12,1)+IF(Skills!H12&gt;0,MIN(Skills!I12,MAX(0,MAX(0,Inputs!$B$44-B2053)-((R2020-1)*IF(Inputs!$B$39="pvp",15,MAX(0.1,Skills!D12-IF(TRUE=TRUE,Inputs!$B$32,0))))))/Skills!H12,1)))/Inputs!$B$44),G2020*Q2020))*IF(Inputs!$B$39="pvp",1,1+(Inputs!$B$20+0+Skills!P12+B2043+(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Hunt"),CHOOSE(ArtifactsInput!$N$35+1,15,18,21,24,27,30)*(1-EXP(-(0.2*B2046)*5)),0)+IF(AND(ArtifactsInput!$M$22,Inputs!$B$4&lt;&gt;"Chapter Hunt"),CHOOSE(ArtifactsInput!$N$22+1,10,12,14,16,18,20)*((0*(((0.15*B2046*5))^0/1)+1*(((0.15*B2046*5))^1/1)+2*(((0.15*B2046*5))^2/2)+3*(((0.15*B2046*5))^3/6)+4*(((0.15*B2046*5))^4/24)+5*(((0.15*B2046*5))^5/120))/((((0.15*B2046*5))^0/1)+(((0.15*B2046*5))^1/1)+(((0.15*B2046*5))^2/2)+(((0.15*B2046*5))^3/6)+(((0.15*B2046*5))^4/24)+(((0.15*B2046*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2020*(1-MIN(100,(Inputs!$B$9+((C2034=TRUE)*(F2034-Calc!F26))+B2042+(ArtifactsInput!$M$24-ArtifactsInput!$M$24)*CHOOSE(ArtifactsInput!$N$24+1,10,12,14,16,18,20)+(IF(AND(Inputs!$B$39&lt;&gt;"pvp",Inputs!$B$44=0),1,IF(IF(Inputs!$B$39="pvp",15,Inputs!$B$44)-(B2053)&lt;=0,1,MAX(0,IF(Inputs!$B$39="pvp",15,Inputs!$B$44)-MAX(5,B2053))/(IF(Inputs!$B$39="pvp",15,Inputs!$B$44)-(B2053))))*IF(AND(ArtifactsInput!$M$42,((Inputs!$B$9+((C2034=TRUE)*(F2034-Calc!F26))+B2042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2020*(MIN(100,(Inputs!$B$9+((C2034=TRUE)*(F2034-Calc!F26))+B2042+(ArtifactsInput!$M$24-ArtifactsInput!$M$24)*CHOOSE(ArtifactsInput!$N$24+1,10,12,14,16,18,20)+(IF(AND(Inputs!$B$39&lt;&gt;"pvp",Inputs!$B$44=0),1,IF(IF(Inputs!$B$39="pvp",15,Inputs!$B$44)-(B2053)&lt;=0,1,MAX(0,IF(Inputs!$B$39="pvp",15,Inputs!$B$44)-MAX(5,B2053))/(IF(Inputs!$B$39="pvp",15,Inputs!$B$44)-(B2053))))*IF(AND(ArtifactsInput!$M$42,((Inputs!$B$9+((C2034=TRUE)*(F2034-Calc!F26))+B2042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2020*(1-MIN(100,(Inputs!$B$9+((C2034=TRUE)*(F2034-Calc!F26))+B2042+(ArtifactsInput!$M$24-ArtifactsInput!$M$24)*CHOOSE(ArtifactsInput!$N$24+1,10,12,14,16,18,20)+(IF(AND(Inputs!$B$39&lt;&gt;"pvp",Inputs!$B$44=0),1,IF(IF(Inputs!$B$39="pvp",15,Inputs!$B$44)-(B2053)&lt;=0,1,MAX(0,IF(Inputs!$B$39="pvp",15,Inputs!$B$44)-MAX(5,B2053))/(IF(Inputs!$B$39="pvp",15,Inputs!$B$44)-(B2053))))*IF(AND(ArtifactsInput!$M$42,((Inputs!$B$9+((C2034=TRUE)*(F2034-Calc!F26))+B2042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2020*(MIN(100,(Inputs!$B$9+((C2034=TRUE)*(F2034-Calc!F26))+B2042+(ArtifactsInput!$M$24-ArtifactsInput!$M$24)*CHOOSE(ArtifactsInput!$N$24+1,10,12,14,16,18,20)+(IF(AND(Inputs!$B$39&lt;&gt;"pvp",Inputs!$B$44=0),1,IF(IF(Inputs!$B$39="pvp",15,Inputs!$B$44)-(B2053)&lt;=0,1,MAX(0,IF(Inputs!$B$39="pvp",15,Inputs!$B$44)-MAX(5,B2053))/(IF(Inputs!$B$39="pvp",15,Inputs!$B$44)-(B2053))))*IF(AND(ArtifactsInput!$M$42,((Inputs!$B$9+((C2034=TRUE)*(F2034-Calc!F26))+B2042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020">
        <f>IF(C2020,(H2020*N2020*IF(AND(Inputs!$B$39&lt;&gt;"pvp",Inputs!$B$44&gt;0),((Skills!G12*((R2020-1)*IF(Skills!H12&gt;0,Skills!I12/Skills!H12,1)+IF(Skills!H12&gt;0,MIN(Skills!I12,MAX(0,MAX(0,Inputs!$B$44-B2053)-((R2020-1)*IF(Inputs!$B$39="pvp",15,MAX(0.1,Skills!D12-IF(TRUE=TRUE,Inputs!$B$32,0))))))/Skills!H12,1)))/Inputs!$B$44),G2020*Q2020))*IF(Inputs!$B$39="pvp",1,(1+(Inputs!$B$21+Skills!Q12+B2043+(IF(ArtifactsInput!$M$33,CHOOSE(ArtifactsInput!$N$33+1,30,36,42,48,54,60),0))+(IF(AND(ArtifactsInput!$M$35,Inputs!$B$4&lt;&gt;"Chapter Hunt"),CHOOSE(ArtifactsInput!$N$35+1,15,18,21,24,27,30)*(1-EXP(-(0.2*B2046)*5)),0)+IF(AND(ArtifactsInput!$M$22,Inputs!$B$4&lt;&gt;"Chapter Hunt"),CHOOSE(ArtifactsInput!$N$22+1,10,12,14,16,18,20)*((0*(((0.15*B2046*5))^0/1)+1*(((0.15*B2046*5))^1/1)+2*(((0.15*B2046*5))^2/2)+3*(((0.15*B2046*5))^3/6)+4*(((0.15*B2046*5))^4/24)+5*(((0.15*B2046*5))^5/120))/((((0.15*B2046*5))^0/1)+(((0.15*B2046*5))^1/1)+(((0.15*B2046*5))^2/2)+(((0.15*B2046*5))^3/6)+(((0.15*B2046*5))^4/24)+(((0.15*B2046*5))^5/120))),0)))/100)*(MIN(Skills!W12,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021">
      <c r="A2021">
        <f>Skills!A13</f>
        <v/>
      </c>
      <c r="B2021">
        <f>Skills!B13</f>
        <v/>
      </c>
      <c r="C2021">
        <f>Inputs!$B$3&gt;=105</f>
        <v/>
      </c>
      <c r="D2021">
        <f>IF(Skills!C13=1,60+Inputs!$B$25+Inputs!$B$29,IF(Skills!C13=2,90+Inputs!$B$26+Inputs!$B$29,IF(Skills!C13=3,120+Inputs!$B$27+Inputs!$B$29,MAX(0,(Inputs!$B$3-100)*3)+Inputs!$B$28+Inputs!$B$29)))</f>
        <v/>
      </c>
      <c r="E2021">
        <f>INDEX(FactorTable!$B$2:$Y$301, MATCH(ROUND(MIN(300,MAX(1,D2021)),0), FactorTable!$A$2:$A$301,0), Skills!M13+1)</f>
        <v/>
      </c>
      <c r="F2021">
        <f>IF(Skills!N13=TRUE,(Skills!L13/10)*(E2021/1000),Skills!L13/10)+Skills!O13</f>
        <v/>
      </c>
      <c r="G2021">
        <f>Skills!G13*IF(Skills!H13&gt;0,IF(Inputs!$B$39="pvp",MIN(Skills!I13,15),Skills!I13)/Skills!H13,1)</f>
        <v/>
      </c>
      <c r="H2021">
        <f>1-(1-Skills!J13/100)^Skills!K13</f>
        <v/>
      </c>
      <c r="I2021" t="inlineStr">
        <is>
          <t>1</t>
        </is>
      </c>
      <c r="J2021">
        <f>((Inputs!$B$6*(1+Inputs!$B$7/100))+(((Inputs!$B$12*(1+Inputs!$B$13/100))-(Inputs!$B$12*(1+Inputs!$B$13/100)))+0.25*(Inputs!$B$14-Inputs!$B$14))*(1+Inputs!$B$7/100))*(F2021/100)</f>
        <v/>
      </c>
      <c r="K2021">
        <f>J2021*(1+((Inputs!$B$12*(1+Inputs!$B$13/100))*0.01+Inputs!$B$14*0.0025)/100)*(1+Inputs!$B$15/100)*(1+Inputs!$B$16/100)*(5000/(6000+Inputs!$B$43*(1-(100*(1-(1-Inputs!$B$19/100)*(1-CHOOSE(ArtifactsInput!$N$40+1,5,6,7,8,9,10)/100)^(ArtifactsInput!$M$40-ArtifactsInput!$M$40)))/100)))*(1+(Inputs!$B$24+((C2039=TRUE)*(F2039-Calc!F31))+((C2026=TRUE)*(F2026-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13="CRUEL_STAB",Inputs!$B$17+((C2036=TRUE)*(F2036-Calc!F28))+((IF(AND(Inputs!$B$39&lt;&gt;"pvp",Inputs!$B$44=0),1,IF(IF(Inputs!$B$39="pvp",15,Inputs!$B$44)-(B2053)&lt;=0,1,MAX(0,IF(Inputs!$B$39="pvp",15,Inputs!$B$44)-MAX(5,B2053))/(IF(Inputs!$B$39="pvp",15,Inputs!$B$44)-(B2053))))*(IF(AND(ArtifactsInput!$M$42,((Inputs!$B$9+((C2034=TRUE)*(F2034-Calc!F26))+B2042+(ArtifactsInput!$M$24-ArtifactsInput!$M$24)*CHOOSE(ArtifactsInput!$N$24+1,10,12,14,16,18,20)+IF(ArtifactsInput!$M$10,CHOOSE(ArtifactsInput!$N$10+1,15,18,21,24,27,30)*(IF(Inputs!$B$39="pvp",MIN(15,15)/15,IF(AND(Inputs!$B$39&lt;&gt;"pvp",Inputs!$B$44&gt;0),MIN(15,Inputs!$B$44)/(Inputs!$B$44),0))),0)))&gt;=100),MIN(100,((Inputs!$B$9+((C2034=TRUE)*(F2034-Calc!F26))+B2042+(ArtifactsInput!$M$24-ArtifactsInput!$M$24)*CHOOSE(ArtifactsInput!$N$24+1,10,12,14,16,18,20)+IF(ArtifactsInput!$M$10,CHOOSE(ArtifactsInput!$N$10+1,15,18,21,24,27,30)*(IF(Inputs!$B$39="pvp",MIN(15,15)/15,IF(AND(Inputs!$B$39&lt;&gt;"pvp",Inputs!$B$44&gt;0),MIN(15,Inputs!$B$44)/(Inputs!$B$44),0))),0)))-100),0))*CHOOSE(ArtifactsInput!$N$42+1,0.6,0.72,0.84,0.96,1.08,1.2))),Inputs!$B$18+((C2037=TRUE)*(F2037-Calc!F29))+(IF(AND(Inputs!$B$39&lt;&gt;"pvp",Inputs!$B$44=0),1,IF(IF(Inputs!$B$39="pvp",15,Inputs!$B$44)-(B2053)&lt;=0,1,MAX(0,IF(Inputs!$B$39="pvp",15,Inputs!$B$44)-MAX(5,B2053))/(IF(Inputs!$B$39="pvp",15,Inputs!$B$44)-(B2053))))*IF(AND(ArtifactsInput!$M$42,((Inputs!$B$9+((C2034=TRUE)*(F2034-Calc!F26))+B2042+(ArtifactsInput!$M$24-ArtifactsInput!$M$24)*CHOOSE(ArtifactsInput!$N$24+1,10,12,14,16,18,20)+IF(ArtifactsInput!$M$10,CHOOSE(ArtifactsInput!$N$10+1,15,18,21,24,27,30)*(IF(Inputs!$B$39="pvp",MIN(15,15)/15,IF(AND(Inputs!$B$39&lt;&gt;"pvp",Inputs!$B$44&gt;0),MIN(15,Inputs!$B$44)/(Inputs!$B$44),0))),0)))&gt;=100),CHOOSE(ArtifactsInput!$N$42+1,40,48,56,64,72,80),0))))/100)*(((1+(((C2030=TRUE)*F2030*IF(AND(Inputs!$B$39&lt;&gt;"pvp",Inputs!$B$44&gt;0),(((R2030-1)*MIN((Skills!Y22*(1+Inputs!$B$34/100)),(1/Q2030))+MIN((Skills!Y22*(1+Inputs!$B$34/100)),MAX(0,Inputs!$B$44-((R2030-1)*(1/Q2030)))))/Inputs!$B$44),IF(Inputs!$B$39="pvp",MIN((Skills!Y22*(1+Inputs!$B$34/100)),15)/15,MIN(1,(Skills!Y22*(1+Inputs!$B$34/100))/(1/Q2030)))))+((C2011=TRUE)*F2011*3)+((C2013=TRUE)*F2013*(1-EXP(-0.75*B2046*5)))+((C2032=TRUE)*(F2032-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2019=TRUE)*F2019*IF(AND(Inputs!$B$39&lt;&gt;"pvp",Inputs!$B$44&gt;0),(((R2019-1)*MIN((Skills!Y11*(1+Inputs!$B$34/100)),(1/Q2019))+MIN((Skills!Y11*(1+Inputs!$B$34/100)),MAX(0,Inputs!$B$44-((R2019-1)*(1/Q2019)))))/Inputs!$B$44),IF(Inputs!$B$39="pvp",MIN((Skills!Y11*(1+Inputs!$B$34/100)),15)/15,MIN(1,(Skills!Y11*(1+Inputs!$B$34/100))/(1/Q2019)))))/100)*(1+((C2024=TRUE)*F2024*IF(AND(Inputs!$B$39&lt;&gt;"pvp",Inputs!$B$44&gt;0),(((R2024-1)*MIN((Skills!Y16*(1+Inputs!$B$34/100)),(1/Q2024))+MIN((Skills!Y16*(1+Inputs!$B$34/100)),MAX(0,Inputs!$B$44-((R2024-1)*(1/Q2024)))))/Inputs!$B$44),IF(Inputs!$B$39="pvp",MIN((Skills!Y16*(1+Inputs!$B$34/100)),15)/15,MIN(1,(Skills!Y16*(1+Inputs!$B$34/100))/(1/Q2024)))))/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2044*I2021)</f>
        <v/>
      </c>
      <c r="L2021">
        <f>K2021*(MIN(Inputs!$B$22+((C2033=TRUE)*(F2033-Calc!F25)),(Inputs!$B$23+((C2038=TRUE)*(F2038-Calc!F30))+IF(ArtifactsInput!$M$15,CHOOSE(ArtifactsInput!$N$15+1,25,30,35,40,45,50)/100*(Inputs!$B$11-Inputs!$B$11),0)))/100+(Inputs!$B$23+((C2038=TRUE)*(F2038-Calc!F30))+IF(ArtifactsInput!$M$15,CHOOSE(ArtifactsInput!$N$15+1,25,30,35,40,45,50)/100*(Inputs!$B$11-Inputs!$B$11),0))/100)/2</f>
        <v/>
      </c>
      <c r="M2021">
        <f>L2021*(1+(Inputs!$B$10+((C2035=TRUE)*(F2035-Calc!F27))+B2049+(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2021">
        <f>L2021*(1-MIN((Inputs!$B$9+((C2034=TRUE)*(F2034-Calc!F26))+B2042+(ArtifactsInput!$M$24-ArtifactsInput!$M$24)*CHOOSE(ArtifactsInput!$N$24+1,10,12,14,16,18,20)+(IF(AND(Inputs!$B$39&lt;&gt;"pvp",Inputs!$B$44=0),1,IF(IF(Inputs!$B$39="pvp",15,Inputs!$B$44)-(B2053)&lt;=0,1,MAX(0,IF(Inputs!$B$39="pvp",15,Inputs!$B$44)-MAX(5,B2053))/(IF(Inputs!$B$39="pvp",15,Inputs!$B$44)-(B2053))))*IF(AND(ArtifactsInput!$M$42,((Inputs!$B$9+((C2034=TRUE)*(F2034-Calc!F26))+B2042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2021*(MIN((Inputs!$B$9+((C2034=TRUE)*(F2034-Calc!F26))+B2042+(ArtifactsInput!$M$24-ArtifactsInput!$M$24)*CHOOSE(ArtifactsInput!$N$24+1,10,12,14,16,18,20)+(IF(AND(Inputs!$B$39&lt;&gt;"pvp",Inputs!$B$44=0),1,IF(IF(Inputs!$B$39="pvp",15,Inputs!$B$44)-(B2053)&lt;=0,1,MAX(0,IF(Inputs!$B$39="pvp",15,Inputs!$B$44)-MAX(5,B2053))/(IF(Inputs!$B$39="pvp",15,Inputs!$B$44)-(B2053))))*IF(AND(ArtifactsInput!$M$42,((Inputs!$B$9+((C2034=TRUE)*(F2034-Calc!F26))+B2042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021">
        <f>(1-Summary!$B$11)*T2021+Summary!$B$11*V2021</f>
        <v/>
      </c>
      <c r="P2021">
        <f>IF(B2054=0,0,O2021/B2054)</f>
        <v/>
      </c>
      <c r="Q2021">
        <f>IFERROR(1/IF(Inputs!$B$39="pvp",15,MAX(0.1,Skills!D13-IF(TRUE=TRUE,Inputs!$B$32,0))),0)</f>
        <v/>
      </c>
      <c r="R2021">
        <f>IF(AND(Inputs!$B$39&lt;&gt;"pvp",Inputs!$B$44&gt;0),IF(MAX(0,Inputs!$B$44-B2053)&lt;=0,0,(INT(MAX(0,Inputs!$B$44-B2053)/IF(Inputs!$B$39="pvp",15,MAX(0.1,Skills!D13-IF(TRUE=TRUE,Inputs!$B$32,0))))+1)),0)</f>
        <v/>
      </c>
      <c r="S2021">
        <f>IFERROR(O2021/N2021,0)</f>
        <v/>
      </c>
      <c r="T2021">
        <f>IF(C2021,(H2021*N2021*IF(AND(Inputs!$B$39&lt;&gt;"pvp",Inputs!$B$44&gt;0),((Skills!G13*((R2021-1)*IF(Skills!H13&gt;0,Skills!I13/Skills!H13,1)+IF(Skills!H13&gt;0,MIN(Skills!I13,MAX(0,MAX(0,Inputs!$B$44-B2053)-((R2021-1)*IF(Inputs!$B$39="pvp",15,MAX(0.1,Skills!D13-IF(TRUE=TRUE,Inputs!$B$32,0))))))/Skills!H13,1)))/Inputs!$B$44),G2021*Q2021))*IF(Inputs!$B$39="pvp",1,1+(Inputs!$B$20+0+Skills!P13+B2043+(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Hunt"),CHOOSE(ArtifactsInput!$N$35+1,15,18,21,24,27,30)*(1-EXP(-(0.2*B2046)*5)),0)+IF(AND(ArtifactsInput!$M$22,Inputs!$B$4&lt;&gt;"Chapter Hunt"),CHOOSE(ArtifactsInput!$N$22+1,10,12,14,16,18,20)*((0*(((0.15*B2046*5))^0/1)+1*(((0.15*B2046*5))^1/1)+2*(((0.15*B2046*5))^2/2)+3*(((0.15*B2046*5))^3/6)+4*(((0.15*B2046*5))^4/24)+5*(((0.15*B2046*5))^5/120))/((((0.15*B2046*5))^0/1)+(((0.15*B2046*5))^1/1)+(((0.15*B2046*5))^2/2)+(((0.15*B2046*5))^3/6)+(((0.15*B2046*5))^4/24)+(((0.15*B2046*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2021*(1-MIN(100,(Inputs!$B$9+((C2034=TRUE)*(F2034-Calc!F26))+B2042+(ArtifactsInput!$M$24-ArtifactsInput!$M$24)*CHOOSE(ArtifactsInput!$N$24+1,10,12,14,16,18,20)+(IF(AND(Inputs!$B$39&lt;&gt;"pvp",Inputs!$B$44=0),1,IF(IF(Inputs!$B$39="pvp",15,Inputs!$B$44)-(B2053)&lt;=0,1,MAX(0,IF(Inputs!$B$39="pvp",15,Inputs!$B$44)-MAX(5,B2053))/(IF(Inputs!$B$39="pvp",15,Inputs!$B$44)-(B2053))))*IF(AND(ArtifactsInput!$M$42,((Inputs!$B$9+((C2034=TRUE)*(F2034-Calc!F26))+B2042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2021*(MIN(100,(Inputs!$B$9+((C2034=TRUE)*(F2034-Calc!F26))+B2042+(ArtifactsInput!$M$24-ArtifactsInput!$M$24)*CHOOSE(ArtifactsInput!$N$24+1,10,12,14,16,18,20)+(IF(AND(Inputs!$B$39&lt;&gt;"pvp",Inputs!$B$44=0),1,IF(IF(Inputs!$B$39="pvp",15,Inputs!$B$44)-(B2053)&lt;=0,1,MAX(0,IF(Inputs!$B$39="pvp",15,Inputs!$B$44)-MAX(5,B2053))/(IF(Inputs!$B$39="pvp",15,Inputs!$B$44)-(B2053))))*IF(AND(ArtifactsInput!$M$42,((Inputs!$B$9+((C2034=TRUE)*(F2034-Calc!F26))+B2042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2021*(1-MIN(100,(Inputs!$B$9+((C2034=TRUE)*(F2034-Calc!F26))+B2042+(ArtifactsInput!$M$24-ArtifactsInput!$M$24)*CHOOSE(ArtifactsInput!$N$24+1,10,12,14,16,18,20)+(IF(AND(Inputs!$B$39&lt;&gt;"pvp",Inputs!$B$44=0),1,IF(IF(Inputs!$B$39="pvp",15,Inputs!$B$44)-(B2053)&lt;=0,1,MAX(0,IF(Inputs!$B$39="pvp",15,Inputs!$B$44)-MAX(5,B2053))/(IF(Inputs!$B$39="pvp",15,Inputs!$B$44)-(B2053))))*IF(AND(ArtifactsInput!$M$42,((Inputs!$B$9+((C2034=TRUE)*(F2034-Calc!F26))+B2042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2021*(MIN(100,(Inputs!$B$9+((C2034=TRUE)*(F2034-Calc!F26))+B2042+(ArtifactsInput!$M$24-ArtifactsInput!$M$24)*CHOOSE(ArtifactsInput!$N$24+1,10,12,14,16,18,20)+(IF(AND(Inputs!$B$39&lt;&gt;"pvp",Inputs!$B$44=0),1,IF(IF(Inputs!$B$39="pvp",15,Inputs!$B$44)-(B2053)&lt;=0,1,MAX(0,IF(Inputs!$B$39="pvp",15,Inputs!$B$44)-MAX(5,B2053))/(IF(Inputs!$B$39="pvp",15,Inputs!$B$44)-(B2053))))*IF(AND(ArtifactsInput!$M$42,((Inputs!$B$9+((C2034=TRUE)*(F2034-Calc!F26))+B2042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021">
        <f>IF(C2021,(H2021*N2021*IF(AND(Inputs!$B$39&lt;&gt;"pvp",Inputs!$B$44&gt;0),((Skills!G13*((R2021-1)*IF(Skills!H13&gt;0,Skills!I13/Skills!H13,1)+IF(Skills!H13&gt;0,MIN(Skills!I13,MAX(0,MAX(0,Inputs!$B$44-B2053)-((R2021-1)*IF(Inputs!$B$39="pvp",15,MAX(0.1,Skills!D13-IF(TRUE=TRUE,Inputs!$B$32,0))))))/Skills!H13,1)))/Inputs!$B$44),G2021*Q2021))*IF(Inputs!$B$39="pvp",1,(1+(Inputs!$B$21+Skills!Q13+B2043+(IF(ArtifactsInput!$M$33,CHOOSE(ArtifactsInput!$N$33+1,30,36,42,48,54,60),0))+(IF(AND(ArtifactsInput!$M$35,Inputs!$B$4&lt;&gt;"Chapter Hunt"),CHOOSE(ArtifactsInput!$N$35+1,15,18,21,24,27,30)*(1-EXP(-(0.2*B2046)*5)),0)+IF(AND(ArtifactsInput!$M$22,Inputs!$B$4&lt;&gt;"Chapter Hunt"),CHOOSE(ArtifactsInput!$N$22+1,10,12,14,16,18,20)*((0*(((0.15*B2046*5))^0/1)+1*(((0.15*B2046*5))^1/1)+2*(((0.15*B2046*5))^2/2)+3*(((0.15*B2046*5))^3/6)+4*(((0.15*B2046*5))^4/24)+5*(((0.15*B2046*5))^5/120))/((((0.15*B2046*5))^0/1)+(((0.15*B2046*5))^1/1)+(((0.15*B2046*5))^2/2)+(((0.15*B2046*5))^3/6)+(((0.15*B2046*5))^4/24)+(((0.15*B2046*5))^5/120))),0)))/100)*(MIN(Skills!W13,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022">
      <c r="A2022">
        <f>Skills!A14</f>
        <v/>
      </c>
      <c r="B2022">
        <f>Skills!B14</f>
        <v/>
      </c>
      <c r="C2022">
        <f>Inputs!$B$3&gt;=105</f>
        <v/>
      </c>
      <c r="D2022">
        <f>IF(Skills!C14=1,60+Inputs!$B$25+Inputs!$B$29,IF(Skills!C14=2,90+Inputs!$B$26+Inputs!$B$29,IF(Skills!C14=3,120+Inputs!$B$27+Inputs!$B$29,MAX(0,(Inputs!$B$3-100)*3)+Inputs!$B$28+Inputs!$B$29)))</f>
        <v/>
      </c>
      <c r="E2022">
        <f>INDEX(FactorTable!$B$2:$Y$301, MATCH(ROUND(MIN(300,MAX(1,D2022)),0), FactorTable!$A$2:$A$301,0), Skills!M14+1)</f>
        <v/>
      </c>
      <c r="F2022">
        <f>IF(Skills!N14=TRUE,(Skills!L14/10)*(E2022/1000),Skills!L14/10)+Skills!O14</f>
        <v/>
      </c>
      <c r="G2022">
        <f>Skills!G14*IF(Skills!H14&gt;0,IF(Inputs!$B$39="pvp",MIN(Skills!I14,15),Skills!I14)/Skills!H14,1)</f>
        <v/>
      </c>
      <c r="H2022">
        <f>1-(1-Skills!J14/100)^Skills!K14</f>
        <v/>
      </c>
      <c r="I2022" t="inlineStr">
        <is>
          <t>1</t>
        </is>
      </c>
      <c r="J2022">
        <f>((Inputs!$B$6*(1+Inputs!$B$7/100))+(((Inputs!$B$12*(1+Inputs!$B$13/100))-(Inputs!$B$12*(1+Inputs!$B$13/100)))+0.25*(Inputs!$B$14-Inputs!$B$14))*(1+Inputs!$B$7/100))*(F2022/100)</f>
        <v/>
      </c>
      <c r="K2022">
        <f>J2022*(1+((Inputs!$B$12*(1+Inputs!$B$13/100))*0.01+Inputs!$B$14*0.0025)/100)*(1+Inputs!$B$15/100)*(1+Inputs!$B$16/100)*(5000/(6000+Inputs!$B$43*(1-(100*(1-(1-Inputs!$B$19/100)*(1-CHOOSE(ArtifactsInput!$N$40+1,5,6,7,8,9,10)/100)^(ArtifactsInput!$M$40-ArtifactsInput!$M$40)))/100)))*(1+(Inputs!$B$24+((C2039=TRUE)*(F2039-Calc!F31))+((C2026=TRUE)*(F2026-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14="CRUEL_STAB",Inputs!$B$17+((C2036=TRUE)*(F2036-Calc!F28))+((IF(AND(Inputs!$B$39&lt;&gt;"pvp",Inputs!$B$44=0),1,IF(IF(Inputs!$B$39="pvp",15,Inputs!$B$44)-(B2053)&lt;=0,1,MAX(0,IF(Inputs!$B$39="pvp",15,Inputs!$B$44)-MAX(5,B2053))/(IF(Inputs!$B$39="pvp",15,Inputs!$B$44)-(B2053))))*(IF(AND(ArtifactsInput!$M$42,((Inputs!$B$9+((C2034=TRUE)*(F2034-Calc!F26))+B2042+(ArtifactsInput!$M$24-ArtifactsInput!$M$24)*CHOOSE(ArtifactsInput!$N$24+1,10,12,14,16,18,20)+IF(ArtifactsInput!$M$10,CHOOSE(ArtifactsInput!$N$10+1,15,18,21,24,27,30)*(IF(Inputs!$B$39="pvp",MIN(15,15)/15,IF(AND(Inputs!$B$39&lt;&gt;"pvp",Inputs!$B$44&gt;0),MIN(15,Inputs!$B$44)/(Inputs!$B$44),0))),0)))&gt;=100),MIN(100,((Inputs!$B$9+((C2034=TRUE)*(F2034-Calc!F26))+B2042+(ArtifactsInput!$M$24-ArtifactsInput!$M$24)*CHOOSE(ArtifactsInput!$N$24+1,10,12,14,16,18,20)+IF(ArtifactsInput!$M$10,CHOOSE(ArtifactsInput!$N$10+1,15,18,21,24,27,30)*(IF(Inputs!$B$39="pvp",MIN(15,15)/15,IF(AND(Inputs!$B$39&lt;&gt;"pvp",Inputs!$B$44&gt;0),MIN(15,Inputs!$B$44)/(Inputs!$B$44),0))),0)))-100),0))*CHOOSE(ArtifactsInput!$N$42+1,0.6,0.72,0.84,0.96,1.08,1.2))),Inputs!$B$18+((C2037=TRUE)*(F2037-Calc!F29))+(IF(AND(Inputs!$B$39&lt;&gt;"pvp",Inputs!$B$44=0),1,IF(IF(Inputs!$B$39="pvp",15,Inputs!$B$44)-(B2053)&lt;=0,1,MAX(0,IF(Inputs!$B$39="pvp",15,Inputs!$B$44)-MAX(5,B2053))/(IF(Inputs!$B$39="pvp",15,Inputs!$B$44)-(B2053))))*IF(AND(ArtifactsInput!$M$42,((Inputs!$B$9+((C2034=TRUE)*(F2034-Calc!F26))+B2042+(ArtifactsInput!$M$24-ArtifactsInput!$M$24)*CHOOSE(ArtifactsInput!$N$24+1,10,12,14,16,18,20)+IF(ArtifactsInput!$M$10,CHOOSE(ArtifactsInput!$N$10+1,15,18,21,24,27,30)*(IF(Inputs!$B$39="pvp",MIN(15,15)/15,IF(AND(Inputs!$B$39&lt;&gt;"pvp",Inputs!$B$44&gt;0),MIN(15,Inputs!$B$44)/(Inputs!$B$44),0))),0)))&gt;=100),CHOOSE(ArtifactsInput!$N$42+1,40,48,56,64,72,80),0))))/100)*(((1+(((C2030=TRUE)*F2030*IF(AND(Inputs!$B$39&lt;&gt;"pvp",Inputs!$B$44&gt;0),(((R2030-1)*MIN((Skills!Y22*(1+Inputs!$B$34/100)),(1/Q2030))+MIN((Skills!Y22*(1+Inputs!$B$34/100)),MAX(0,Inputs!$B$44-((R2030-1)*(1/Q2030)))))/Inputs!$B$44),IF(Inputs!$B$39="pvp",MIN((Skills!Y22*(1+Inputs!$B$34/100)),15)/15,MIN(1,(Skills!Y22*(1+Inputs!$B$34/100))/(1/Q2030)))))+((C2011=TRUE)*F2011*3)+((C2013=TRUE)*F2013*(1-EXP(-0.75*B2046*5)))+((C2032=TRUE)*(F2032-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2019=TRUE)*F2019*IF(AND(Inputs!$B$39&lt;&gt;"pvp",Inputs!$B$44&gt;0),(((R2019-1)*MIN((Skills!Y11*(1+Inputs!$B$34/100)),(1/Q2019))+MIN((Skills!Y11*(1+Inputs!$B$34/100)),MAX(0,Inputs!$B$44-((R2019-1)*(1/Q2019)))))/Inputs!$B$44),IF(Inputs!$B$39="pvp",MIN((Skills!Y11*(1+Inputs!$B$34/100)),15)/15,MIN(1,(Skills!Y11*(1+Inputs!$B$34/100))/(1/Q2019)))))/100)*(1+((C2024=TRUE)*F2024*IF(AND(Inputs!$B$39&lt;&gt;"pvp",Inputs!$B$44&gt;0),(((R2024-1)*MIN((Skills!Y16*(1+Inputs!$B$34/100)),(1/Q2024))+MIN((Skills!Y16*(1+Inputs!$B$34/100)),MAX(0,Inputs!$B$44-((R2024-1)*(1/Q2024)))))/Inputs!$B$44),IF(Inputs!$B$39="pvp",MIN((Skills!Y16*(1+Inputs!$B$34/100)),15)/15,MIN(1,(Skills!Y16*(1+Inputs!$B$34/100))/(1/Q2024)))))/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2044*I2022)</f>
        <v/>
      </c>
      <c r="L2022">
        <f>K2022*(MIN(Inputs!$B$22+((C2033=TRUE)*(F2033-Calc!F25)),(Inputs!$B$23+((C2038=TRUE)*(F2038-Calc!F30))+IF(ArtifactsInput!$M$15,CHOOSE(ArtifactsInput!$N$15+1,25,30,35,40,45,50)/100*(Inputs!$B$11-Inputs!$B$11),0)))/100+(Inputs!$B$23+((C2038=TRUE)*(F2038-Calc!F30))+IF(ArtifactsInput!$M$15,CHOOSE(ArtifactsInput!$N$15+1,25,30,35,40,45,50)/100*(Inputs!$B$11-Inputs!$B$11),0))/100)/2</f>
        <v/>
      </c>
      <c r="M2022">
        <f>L2022*(1+(Inputs!$B$10+((C2035=TRUE)*(F2035-Calc!F27))+B2049+(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2022">
        <f>L2022*(1-MIN((Inputs!$B$9+((C2034=TRUE)*(F2034-Calc!F26))+B2042+(ArtifactsInput!$M$24-ArtifactsInput!$M$24)*CHOOSE(ArtifactsInput!$N$24+1,10,12,14,16,18,20)+(IF(AND(Inputs!$B$39&lt;&gt;"pvp",Inputs!$B$44=0),1,IF(IF(Inputs!$B$39="pvp",15,Inputs!$B$44)-(B2053)&lt;=0,1,MAX(0,IF(Inputs!$B$39="pvp",15,Inputs!$B$44)-MAX(5,B2053))/(IF(Inputs!$B$39="pvp",15,Inputs!$B$44)-(B2053))))*IF(AND(ArtifactsInput!$M$42,((Inputs!$B$9+((C2034=TRUE)*(F2034-Calc!F26))+B2042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2022*(MIN((Inputs!$B$9+((C2034=TRUE)*(F2034-Calc!F26))+B2042+(ArtifactsInput!$M$24-ArtifactsInput!$M$24)*CHOOSE(ArtifactsInput!$N$24+1,10,12,14,16,18,20)+(IF(AND(Inputs!$B$39&lt;&gt;"pvp",Inputs!$B$44=0),1,IF(IF(Inputs!$B$39="pvp",15,Inputs!$B$44)-(B2053)&lt;=0,1,MAX(0,IF(Inputs!$B$39="pvp",15,Inputs!$B$44)-MAX(5,B2053))/(IF(Inputs!$B$39="pvp",15,Inputs!$B$44)-(B2053))))*IF(AND(ArtifactsInput!$M$42,((Inputs!$B$9+((C2034=TRUE)*(F2034-Calc!F26))+B2042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022">
        <f>(1-Summary!$B$11)*T2022+Summary!$B$11*V2022</f>
        <v/>
      </c>
      <c r="P2022">
        <f>IF(B2054=0,0,O2022/B2054)</f>
        <v/>
      </c>
      <c r="Q2022">
        <f>IFERROR(1/IF(Inputs!$B$39="pvp",15,MAX(0.1,Skills!D14-IF(TRUE=TRUE,Inputs!$B$32,0))),0)</f>
        <v/>
      </c>
      <c r="R2022">
        <f>IF(AND(Inputs!$B$39&lt;&gt;"pvp",Inputs!$B$44&gt;0),IF(MAX(0,Inputs!$B$44-B2053)&lt;=0,0,(INT(MAX(0,Inputs!$B$44-B2053)/IF(Inputs!$B$39="pvp",15,MAX(0.1,Skills!D14-IF(TRUE=TRUE,Inputs!$B$32,0))))+1)),0)</f>
        <v/>
      </c>
      <c r="S2022">
        <f>IFERROR(O2022/N2022,0)</f>
        <v/>
      </c>
      <c r="T2022">
        <f>IF(C2022,(H2022*N2022*IF(AND(Inputs!$B$39&lt;&gt;"pvp",Inputs!$B$44&gt;0),((Skills!G14*((R2022-1)*IF(Skills!H14&gt;0,Skills!I14/Skills!H14,1)+IF(Skills!H14&gt;0,MIN(Skills!I14,MAX(0,MAX(0,Inputs!$B$44-B2053)-((R2022-1)*IF(Inputs!$B$39="pvp",15,MAX(0.1,Skills!D14-IF(TRUE=TRUE,Inputs!$B$32,0))))))/Skills!H14,1)))/Inputs!$B$44),G2022*Q2022))*IF(Inputs!$B$39="pvp",1,1+(Inputs!$B$20+0+Skills!P14+B2043+(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Hunt"),CHOOSE(ArtifactsInput!$N$35+1,15,18,21,24,27,30)*(1-EXP(-(0.2*B2046)*5)),0)+IF(AND(ArtifactsInput!$M$22,Inputs!$B$4&lt;&gt;"Chapter Hunt"),CHOOSE(ArtifactsInput!$N$22+1,10,12,14,16,18,20)*((0*(((0.15*B2046*5))^0/1)+1*(((0.15*B2046*5))^1/1)+2*(((0.15*B2046*5))^2/2)+3*(((0.15*B2046*5))^3/6)+4*(((0.15*B2046*5))^4/24)+5*(((0.15*B2046*5))^5/120))/((((0.15*B2046*5))^0/1)+(((0.15*B2046*5))^1/1)+(((0.15*B2046*5))^2/2)+(((0.15*B2046*5))^3/6)+(((0.15*B2046*5))^4/24)+(((0.15*B2046*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2022*(1-MIN(100,(Inputs!$B$9+((C2034=TRUE)*(F2034-Calc!F26))+B2042+(ArtifactsInput!$M$24-ArtifactsInput!$M$24)*CHOOSE(ArtifactsInput!$N$24+1,10,12,14,16,18,20)+(IF(AND(Inputs!$B$39&lt;&gt;"pvp",Inputs!$B$44=0),1,IF(IF(Inputs!$B$39="pvp",15,Inputs!$B$44)-(B2053)&lt;=0,1,MAX(0,IF(Inputs!$B$39="pvp",15,Inputs!$B$44)-MAX(5,B2053))/(IF(Inputs!$B$39="pvp",15,Inputs!$B$44)-(B2053))))*IF(AND(ArtifactsInput!$M$42,((Inputs!$B$9+((C2034=TRUE)*(F2034-Calc!F26))+B2042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2022*(MIN(100,(Inputs!$B$9+((C2034=TRUE)*(F2034-Calc!F26))+B2042+(ArtifactsInput!$M$24-ArtifactsInput!$M$24)*CHOOSE(ArtifactsInput!$N$24+1,10,12,14,16,18,20)+(IF(AND(Inputs!$B$39&lt;&gt;"pvp",Inputs!$B$44=0),1,IF(IF(Inputs!$B$39="pvp",15,Inputs!$B$44)-(B2053)&lt;=0,1,MAX(0,IF(Inputs!$B$39="pvp",15,Inputs!$B$44)-MAX(5,B2053))/(IF(Inputs!$B$39="pvp",15,Inputs!$B$44)-(B2053))))*IF(AND(ArtifactsInput!$M$42,((Inputs!$B$9+((C2034=TRUE)*(F2034-Calc!F26))+B2042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2022*(1-MIN(100,(Inputs!$B$9+((C2034=TRUE)*(F2034-Calc!F26))+B2042+(ArtifactsInput!$M$24-ArtifactsInput!$M$24)*CHOOSE(ArtifactsInput!$N$24+1,10,12,14,16,18,20)+(IF(AND(Inputs!$B$39&lt;&gt;"pvp",Inputs!$B$44=0),1,IF(IF(Inputs!$B$39="pvp",15,Inputs!$B$44)-(B2053)&lt;=0,1,MAX(0,IF(Inputs!$B$39="pvp",15,Inputs!$B$44)-MAX(5,B2053))/(IF(Inputs!$B$39="pvp",15,Inputs!$B$44)-(B2053))))*IF(AND(ArtifactsInput!$M$42,((Inputs!$B$9+((C2034=TRUE)*(F2034-Calc!F26))+B2042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2022*(MIN(100,(Inputs!$B$9+((C2034=TRUE)*(F2034-Calc!F26))+B2042+(ArtifactsInput!$M$24-ArtifactsInput!$M$24)*CHOOSE(ArtifactsInput!$N$24+1,10,12,14,16,18,20)+(IF(AND(Inputs!$B$39&lt;&gt;"pvp",Inputs!$B$44=0),1,IF(IF(Inputs!$B$39="pvp",15,Inputs!$B$44)-(B2053)&lt;=0,1,MAX(0,IF(Inputs!$B$39="pvp",15,Inputs!$B$44)-MAX(5,B2053))/(IF(Inputs!$B$39="pvp",15,Inputs!$B$44)-(B2053))))*IF(AND(ArtifactsInput!$M$42,((Inputs!$B$9+((C2034=TRUE)*(F2034-Calc!F26))+B2042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022">
        <f>IF(C2022,(H2022*N2022*IF(AND(Inputs!$B$39&lt;&gt;"pvp",Inputs!$B$44&gt;0),((Skills!G14*((R2022-1)*IF(Skills!H14&gt;0,Skills!I14/Skills!H14,1)+IF(Skills!H14&gt;0,MIN(Skills!I14,MAX(0,MAX(0,Inputs!$B$44-B2053)-((R2022-1)*IF(Inputs!$B$39="pvp",15,MAX(0.1,Skills!D14-IF(TRUE=TRUE,Inputs!$B$32,0))))))/Skills!H14,1)))/Inputs!$B$44),G2022*Q2022))*IF(Inputs!$B$39="pvp",1,(1+(Inputs!$B$21+Skills!Q14+B2043+(IF(ArtifactsInput!$M$33,CHOOSE(ArtifactsInput!$N$33+1,30,36,42,48,54,60),0))+(IF(AND(ArtifactsInput!$M$35,Inputs!$B$4&lt;&gt;"Chapter Hunt"),CHOOSE(ArtifactsInput!$N$35+1,15,18,21,24,27,30)*(1-EXP(-(0.2*B2046)*5)),0)+IF(AND(ArtifactsInput!$M$22,Inputs!$B$4&lt;&gt;"Chapter Hunt"),CHOOSE(ArtifactsInput!$N$22+1,10,12,14,16,18,20)*((0*(((0.15*B2046*5))^0/1)+1*(((0.15*B2046*5))^1/1)+2*(((0.15*B2046*5))^2/2)+3*(((0.15*B2046*5))^3/6)+4*(((0.15*B2046*5))^4/24)+5*(((0.15*B2046*5))^5/120))/((((0.15*B2046*5))^0/1)+(((0.15*B2046*5))^1/1)+(((0.15*B2046*5))^2/2)+(((0.15*B2046*5))^3/6)+(((0.15*B2046*5))^4/24)+(((0.15*B2046*5))^5/120))),0)))/100)*(MIN(Skills!W14,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023">
      <c r="A2023">
        <f>Skills!A15</f>
        <v/>
      </c>
      <c r="B2023">
        <f>Skills!B15</f>
        <v/>
      </c>
      <c r="C2023">
        <f>Inputs!$B$3&gt;=107</f>
        <v/>
      </c>
      <c r="D2023">
        <f>IF(Skills!C15=1,60+Inputs!$B$25+Inputs!$B$29,IF(Skills!C15=2,90+Inputs!$B$26+Inputs!$B$29,IF(Skills!C15=3,120+Inputs!$B$27+Inputs!$B$29,MAX(0,(Inputs!$B$3-100)*3)+Inputs!$B$28+Inputs!$B$29)))</f>
        <v/>
      </c>
      <c r="E2023">
        <f>INDEX(FactorTable!$B$2:$Y$301, MATCH(ROUND(MIN(300,MAX(1,D2023)),0), FactorTable!$A$2:$A$301,0), Skills!M15+1)</f>
        <v/>
      </c>
      <c r="F2023">
        <f>IF(Skills!N15=TRUE,(Skills!L15/10)*(E2023/1000),Skills!L15/10)+Skills!O15</f>
        <v/>
      </c>
      <c r="G2023">
        <f>Skills!G15*IF(Skills!H15&gt;0,IF(Inputs!$B$39="pvp",MIN(Skills!I15,15),Skills!I15)/Skills!H15,1)</f>
        <v/>
      </c>
      <c r="H2023">
        <f>1-(1-Skills!J15/100)^Skills!K15</f>
        <v/>
      </c>
      <c r="I2023" t="inlineStr">
        <is>
          <t>1</t>
        </is>
      </c>
      <c r="J2023">
        <f>((Inputs!$B$6*(1+Inputs!$B$7/100))+(((Inputs!$B$12*(1+Inputs!$B$13/100))-(Inputs!$B$12*(1+Inputs!$B$13/100)))+0.25*(Inputs!$B$14-Inputs!$B$14))*(1+Inputs!$B$7/100))*(F2023/100)</f>
        <v/>
      </c>
      <c r="K2023">
        <f>J2023*(1+((Inputs!$B$12*(1+Inputs!$B$13/100))*0.01+Inputs!$B$14*0.0025)/100)*(1+Inputs!$B$15/100)*(1+Inputs!$B$16/100)*(5000/(6000+Inputs!$B$43*(1-(100*(1-(1-Inputs!$B$19/100)*(1-CHOOSE(ArtifactsInput!$N$40+1,5,6,7,8,9,10)/100)^(ArtifactsInput!$M$40-ArtifactsInput!$M$40)))/100)))*(1+(Inputs!$B$24+((C2039=TRUE)*(F2039-Calc!F31))+((C2026=TRUE)*(F2026-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15="CRUEL_STAB",Inputs!$B$17+((C2036=TRUE)*(F2036-Calc!F28))+((IF(AND(Inputs!$B$39&lt;&gt;"pvp",Inputs!$B$44=0),1,IF(IF(Inputs!$B$39="pvp",15,Inputs!$B$44)-(B2053)&lt;=0,1,MAX(0,IF(Inputs!$B$39="pvp",15,Inputs!$B$44)-MAX(5,B2053))/(IF(Inputs!$B$39="pvp",15,Inputs!$B$44)-(B2053))))*(IF(AND(ArtifactsInput!$M$42,((Inputs!$B$9+((C2034=TRUE)*(F2034-Calc!F26))+B2042+(ArtifactsInput!$M$24-ArtifactsInput!$M$24)*CHOOSE(ArtifactsInput!$N$24+1,10,12,14,16,18,20)+IF(ArtifactsInput!$M$10,CHOOSE(ArtifactsInput!$N$10+1,15,18,21,24,27,30)*(IF(Inputs!$B$39="pvp",MIN(15,15)/15,IF(AND(Inputs!$B$39&lt;&gt;"pvp",Inputs!$B$44&gt;0),MIN(15,Inputs!$B$44)/(Inputs!$B$44),0))),0)))&gt;=100),MIN(100,((Inputs!$B$9+((C2034=TRUE)*(F2034-Calc!F26))+B2042+(ArtifactsInput!$M$24-ArtifactsInput!$M$24)*CHOOSE(ArtifactsInput!$N$24+1,10,12,14,16,18,20)+IF(ArtifactsInput!$M$10,CHOOSE(ArtifactsInput!$N$10+1,15,18,21,24,27,30)*(IF(Inputs!$B$39="pvp",MIN(15,15)/15,IF(AND(Inputs!$B$39&lt;&gt;"pvp",Inputs!$B$44&gt;0),MIN(15,Inputs!$B$44)/(Inputs!$B$44),0))),0)))-100),0))*CHOOSE(ArtifactsInput!$N$42+1,0.6,0.72,0.84,0.96,1.08,1.2))),Inputs!$B$18+((C2037=TRUE)*(F2037-Calc!F29))+(IF(AND(Inputs!$B$39&lt;&gt;"pvp",Inputs!$B$44=0),1,IF(IF(Inputs!$B$39="pvp",15,Inputs!$B$44)-(B2053)&lt;=0,1,MAX(0,IF(Inputs!$B$39="pvp",15,Inputs!$B$44)-MAX(5,B2053))/(IF(Inputs!$B$39="pvp",15,Inputs!$B$44)-(B2053))))*IF(AND(ArtifactsInput!$M$42,((Inputs!$B$9+((C2034=TRUE)*(F2034-Calc!F26))+B2042+(ArtifactsInput!$M$24-ArtifactsInput!$M$24)*CHOOSE(ArtifactsInput!$N$24+1,10,12,14,16,18,20)+IF(ArtifactsInput!$M$10,CHOOSE(ArtifactsInput!$N$10+1,15,18,21,24,27,30)*(IF(Inputs!$B$39="pvp",MIN(15,15)/15,IF(AND(Inputs!$B$39&lt;&gt;"pvp",Inputs!$B$44&gt;0),MIN(15,Inputs!$B$44)/(Inputs!$B$44),0))),0)))&gt;=100),CHOOSE(ArtifactsInput!$N$42+1,40,48,56,64,72,80),0))))/100)*(((1+(((C2030=TRUE)*F2030*IF(AND(Inputs!$B$39&lt;&gt;"pvp",Inputs!$B$44&gt;0),(((R2030-1)*MIN((Skills!Y22*(1+Inputs!$B$34/100)),(1/Q2030))+MIN((Skills!Y22*(1+Inputs!$B$34/100)),MAX(0,Inputs!$B$44-((R2030-1)*(1/Q2030)))))/Inputs!$B$44),IF(Inputs!$B$39="pvp",MIN((Skills!Y22*(1+Inputs!$B$34/100)),15)/15,MIN(1,(Skills!Y22*(1+Inputs!$B$34/100))/(1/Q2030)))))+((C2011=TRUE)*F2011*3)+((C2013=TRUE)*F2013*(1-EXP(-0.75*B2046*5)))+((C2032=TRUE)*(F2032-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2019=TRUE)*F2019*IF(AND(Inputs!$B$39&lt;&gt;"pvp",Inputs!$B$44&gt;0),(((R2019-1)*MIN((Skills!Y11*(1+Inputs!$B$34/100)),(1/Q2019))+MIN((Skills!Y11*(1+Inputs!$B$34/100)),MAX(0,Inputs!$B$44-((R2019-1)*(1/Q2019)))))/Inputs!$B$44),IF(Inputs!$B$39="pvp",MIN((Skills!Y11*(1+Inputs!$B$34/100)),15)/15,MIN(1,(Skills!Y11*(1+Inputs!$B$34/100))/(1/Q2019)))))/100)*(1+((C2024=TRUE)*F2024*IF(AND(Inputs!$B$39&lt;&gt;"pvp",Inputs!$B$44&gt;0),(((R2024-1)*MIN((Skills!Y16*(1+Inputs!$B$34/100)),(1/Q2024))+MIN((Skills!Y16*(1+Inputs!$B$34/100)),MAX(0,Inputs!$B$44-((R2024-1)*(1/Q2024)))))/Inputs!$B$44),IF(Inputs!$B$39="pvp",MIN((Skills!Y16*(1+Inputs!$B$34/100)),15)/15,MIN(1,(Skills!Y16*(1+Inputs!$B$34/100))/(1/Q2024)))))/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2044*I2023)</f>
        <v/>
      </c>
      <c r="L2023">
        <f>K2023*(MIN(Inputs!$B$22+((C2033=TRUE)*(F2033-Calc!F25)),(Inputs!$B$23+((C2038=TRUE)*(F2038-Calc!F30))+IF(ArtifactsInput!$M$15,CHOOSE(ArtifactsInput!$N$15+1,25,30,35,40,45,50)/100*(Inputs!$B$11-Inputs!$B$11),0)))/100+(Inputs!$B$23+((C2038=TRUE)*(F2038-Calc!F30))+IF(ArtifactsInput!$M$15,CHOOSE(ArtifactsInput!$N$15+1,25,30,35,40,45,50)/100*(Inputs!$B$11-Inputs!$B$11),0))/100)/2</f>
        <v/>
      </c>
      <c r="M2023">
        <f>L2023*(1+(Inputs!$B$10+((C2035=TRUE)*(F2035-Calc!F27))+B2049+(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2023">
        <f>L2023*(1-MIN((Inputs!$B$9+((C2034=TRUE)*(F2034-Calc!F26))+B2042+(ArtifactsInput!$M$24-ArtifactsInput!$M$24)*CHOOSE(ArtifactsInput!$N$24+1,10,12,14,16,18,20)+(IF(AND(Inputs!$B$39&lt;&gt;"pvp",Inputs!$B$44=0),1,IF(IF(Inputs!$B$39="pvp",15,Inputs!$B$44)-(B2053)&lt;=0,1,MAX(0,IF(Inputs!$B$39="pvp",15,Inputs!$B$44)-MAX(5,B2053))/(IF(Inputs!$B$39="pvp",15,Inputs!$B$44)-(B2053))))*IF(AND(ArtifactsInput!$M$42,((Inputs!$B$9+((C2034=TRUE)*(F2034-Calc!F26))+B2042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2023*(MIN((Inputs!$B$9+((C2034=TRUE)*(F2034-Calc!F26))+B2042+(ArtifactsInput!$M$24-ArtifactsInput!$M$24)*CHOOSE(ArtifactsInput!$N$24+1,10,12,14,16,18,20)+(IF(AND(Inputs!$B$39&lt;&gt;"pvp",Inputs!$B$44=0),1,IF(IF(Inputs!$B$39="pvp",15,Inputs!$B$44)-(B2053)&lt;=0,1,MAX(0,IF(Inputs!$B$39="pvp",15,Inputs!$B$44)-MAX(5,B2053))/(IF(Inputs!$B$39="pvp",15,Inputs!$B$44)-(B2053))))*IF(AND(ArtifactsInput!$M$42,((Inputs!$B$9+((C2034=TRUE)*(F2034-Calc!F26))+B2042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023">
        <f>(1-Summary!$B$11)*T2023+Summary!$B$11*V2023</f>
        <v/>
      </c>
      <c r="P2023">
        <f>IF(B2054=0,0,O2023/B2054)</f>
        <v/>
      </c>
      <c r="Q2023">
        <f>IFERROR(1/IF(Inputs!$B$39="pvp",15,MAX(0.1,Skills!D15-IF(TRUE=TRUE,Inputs!$B$32,0))),0)</f>
        <v/>
      </c>
      <c r="R2023">
        <f>IF(AND(Inputs!$B$39&lt;&gt;"pvp",Inputs!$B$44&gt;0),IF(MAX(0,Inputs!$B$44-B2053)&lt;=0,0,(INT(MAX(0,Inputs!$B$44-B2053)/IF(Inputs!$B$39="pvp",15,MAX(0.1,Skills!D15-IF(TRUE=TRUE,Inputs!$B$32,0))))+1)),0)</f>
        <v/>
      </c>
      <c r="S2023">
        <f>IFERROR(O2023/N2023,0)</f>
        <v/>
      </c>
      <c r="T2023">
        <f>IF(C2023,(H2023*N2023*IF(AND(Inputs!$B$39&lt;&gt;"pvp",Inputs!$B$44&gt;0),((Skills!G15*((R2023-1)*IF(Skills!H15&gt;0,Skills!I15/Skills!H15,1)+IF(Skills!H15&gt;0,MIN(Skills!I15,MAX(0,MAX(0,Inputs!$B$44-B2053)-((R2023-1)*IF(Inputs!$B$39="pvp",15,MAX(0.1,Skills!D15-IF(TRUE=TRUE,Inputs!$B$32,0))))))/Skills!H15,1)))/Inputs!$B$44),G2023*Q2023))*IF(Inputs!$B$39="pvp",1,1+(Inputs!$B$20+0+Skills!P15+B2043+(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Hunt"),CHOOSE(ArtifactsInput!$N$35+1,15,18,21,24,27,30)*(1-EXP(-(0.2*B2046)*5)),0)+IF(AND(ArtifactsInput!$M$22,Inputs!$B$4&lt;&gt;"Chapter Hunt"),CHOOSE(ArtifactsInput!$N$22+1,10,12,14,16,18,20)*((0*(((0.15*B2046*5))^0/1)+1*(((0.15*B2046*5))^1/1)+2*(((0.15*B2046*5))^2/2)+3*(((0.15*B2046*5))^3/6)+4*(((0.15*B2046*5))^4/24)+5*(((0.15*B2046*5))^5/120))/((((0.15*B2046*5))^0/1)+(((0.15*B2046*5))^1/1)+(((0.15*B2046*5))^2/2)+(((0.15*B2046*5))^3/6)+(((0.15*B2046*5))^4/24)+(((0.15*B2046*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2023*(1-MIN(100,(Inputs!$B$9+((C2034=TRUE)*(F2034-Calc!F26))+B2042+(ArtifactsInput!$M$24-ArtifactsInput!$M$24)*CHOOSE(ArtifactsInput!$N$24+1,10,12,14,16,18,20)+(IF(AND(Inputs!$B$39&lt;&gt;"pvp",Inputs!$B$44=0),1,IF(IF(Inputs!$B$39="pvp",15,Inputs!$B$44)-(B2053)&lt;=0,1,MAX(0,IF(Inputs!$B$39="pvp",15,Inputs!$B$44)-MAX(5,B2053))/(IF(Inputs!$B$39="pvp",15,Inputs!$B$44)-(B2053))))*IF(AND(ArtifactsInput!$M$42,((Inputs!$B$9+((C2034=TRUE)*(F2034-Calc!F26))+B2042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2023*(MIN(100,(Inputs!$B$9+((C2034=TRUE)*(F2034-Calc!F26))+B2042+(ArtifactsInput!$M$24-ArtifactsInput!$M$24)*CHOOSE(ArtifactsInput!$N$24+1,10,12,14,16,18,20)+(IF(AND(Inputs!$B$39&lt;&gt;"pvp",Inputs!$B$44=0),1,IF(IF(Inputs!$B$39="pvp",15,Inputs!$B$44)-(B2053)&lt;=0,1,MAX(0,IF(Inputs!$B$39="pvp",15,Inputs!$B$44)-MAX(5,B2053))/(IF(Inputs!$B$39="pvp",15,Inputs!$B$44)-(B2053))))*IF(AND(ArtifactsInput!$M$42,((Inputs!$B$9+((C2034=TRUE)*(F2034-Calc!F26))+B2042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2023*(1-MIN(100,(Inputs!$B$9+((C2034=TRUE)*(F2034-Calc!F26))+B2042+(ArtifactsInput!$M$24-ArtifactsInput!$M$24)*CHOOSE(ArtifactsInput!$N$24+1,10,12,14,16,18,20)+(IF(AND(Inputs!$B$39&lt;&gt;"pvp",Inputs!$B$44=0),1,IF(IF(Inputs!$B$39="pvp",15,Inputs!$B$44)-(B2053)&lt;=0,1,MAX(0,IF(Inputs!$B$39="pvp",15,Inputs!$B$44)-MAX(5,B2053))/(IF(Inputs!$B$39="pvp",15,Inputs!$B$44)-(B2053))))*IF(AND(ArtifactsInput!$M$42,((Inputs!$B$9+((C2034=TRUE)*(F2034-Calc!F26))+B2042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2023*(MIN(100,(Inputs!$B$9+((C2034=TRUE)*(F2034-Calc!F26))+B2042+(ArtifactsInput!$M$24-ArtifactsInput!$M$24)*CHOOSE(ArtifactsInput!$N$24+1,10,12,14,16,18,20)+(IF(AND(Inputs!$B$39&lt;&gt;"pvp",Inputs!$B$44=0),1,IF(IF(Inputs!$B$39="pvp",15,Inputs!$B$44)-(B2053)&lt;=0,1,MAX(0,IF(Inputs!$B$39="pvp",15,Inputs!$B$44)-MAX(5,B2053))/(IF(Inputs!$B$39="pvp",15,Inputs!$B$44)-(B2053))))*IF(AND(ArtifactsInput!$M$42,((Inputs!$B$9+((C2034=TRUE)*(F2034-Calc!F26))+B2042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023">
        <f>IF(C2023,(H2023*N2023*IF(AND(Inputs!$B$39&lt;&gt;"pvp",Inputs!$B$44&gt;0),((Skills!G15*((R2023-1)*IF(Skills!H15&gt;0,Skills!I15/Skills!H15,1)+IF(Skills!H15&gt;0,MIN(Skills!I15,MAX(0,MAX(0,Inputs!$B$44-B2053)-((R2023-1)*IF(Inputs!$B$39="pvp",15,MAX(0.1,Skills!D15-IF(TRUE=TRUE,Inputs!$B$32,0))))))/Skills!H15,1)))/Inputs!$B$44),G2023*Q2023))*IF(Inputs!$B$39="pvp",1,(1+(Inputs!$B$21+Skills!Q15+B2043+(IF(ArtifactsInput!$M$33,CHOOSE(ArtifactsInput!$N$33+1,30,36,42,48,54,60),0))+(IF(AND(ArtifactsInput!$M$35,Inputs!$B$4&lt;&gt;"Chapter Hunt"),CHOOSE(ArtifactsInput!$N$35+1,15,18,21,24,27,30)*(1-EXP(-(0.2*B2046)*5)),0)+IF(AND(ArtifactsInput!$M$22,Inputs!$B$4&lt;&gt;"Chapter Hunt"),CHOOSE(ArtifactsInput!$N$22+1,10,12,14,16,18,20)*((0*(((0.15*B2046*5))^0/1)+1*(((0.15*B2046*5))^1/1)+2*(((0.15*B2046*5))^2/2)+3*(((0.15*B2046*5))^3/6)+4*(((0.15*B2046*5))^4/24)+5*(((0.15*B2046*5))^5/120))/((((0.15*B2046*5))^0/1)+(((0.15*B2046*5))^1/1)+(((0.15*B2046*5))^2/2)+(((0.15*B2046*5))^3/6)+(((0.15*B2046*5))^4/24)+(((0.15*B2046*5))^5/120))),0)))/100)*(MIN(MIN(5,0.5*IF(Inputs!$B$3&gt;=75,0.75,0.5)*B2046*(1/Q2012))*Skills!V15,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024">
      <c r="A2024">
        <f>Skills!A16</f>
        <v/>
      </c>
      <c r="B2024">
        <f>Skills!B16</f>
        <v/>
      </c>
      <c r="C2024">
        <f>Inputs!$B$3&gt;=110</f>
        <v/>
      </c>
      <c r="D2024">
        <f>IF(Skills!C16=1,60+Inputs!$B$25+Inputs!$B$29,IF(Skills!C16=2,90+Inputs!$B$26+Inputs!$B$29,IF(Skills!C16=3,120+Inputs!$B$27+Inputs!$B$29,MAX(0,(Inputs!$B$3-100)*3)+Inputs!$B$28+Inputs!$B$29)))</f>
        <v/>
      </c>
      <c r="E2024">
        <f>INDEX(FactorTable!$B$2:$Y$301, MATCH(ROUND(MIN(300,MAX(1,D2024)),0), FactorTable!$A$2:$A$301,0), Skills!M16+1)</f>
        <v/>
      </c>
      <c r="F2024">
        <f>IF(Skills!N16=TRUE,(Skills!L16/10)*(E2024/1000),Skills!L16/10)+Skills!O16</f>
        <v/>
      </c>
      <c r="G2024">
        <f>Skills!G16*IF(Skills!H16&gt;0,IF(Inputs!$B$39="pvp",MIN(Skills!I16,15),Skills!I16)/Skills!H16,1)</f>
        <v/>
      </c>
      <c r="H2024">
        <f>1-(1-Skills!J16/100)^Skills!K16</f>
        <v/>
      </c>
      <c r="I2024" t="inlineStr">
        <is>
          <t>1</t>
        </is>
      </c>
      <c r="J2024" t="inlineStr"/>
      <c r="K2024" t="inlineStr"/>
      <c r="L2024" t="inlineStr"/>
      <c r="M2024" t="inlineStr"/>
      <c r="N2024" t="inlineStr"/>
      <c r="O2024">
        <f>(1-Summary!$B$11)*T2024+Summary!$B$11*V2024</f>
        <v/>
      </c>
      <c r="P2024">
        <f>IF(B2054=0,0,O2024/B2054)</f>
        <v/>
      </c>
      <c r="Q2024">
        <f>IFERROR(1/IF(Inputs!$B$39="pvp",15,MAX(0.1,Skills!D16-IF(TRUE=TRUE,Inputs!$B$32,0))),0)</f>
        <v/>
      </c>
      <c r="R2024">
        <f>IF(AND(Inputs!$B$39&lt;&gt;"pvp",Inputs!$B$44&gt;0),IF(Inputs!$B$44&lt;=0,0,(INT(Inputs!$B$44/IF(Inputs!$B$39="pvp",15,MAX(0.1,Skills!D16-IF(TRUE=TRUE,Inputs!$B$32,0))))+1)),0)</f>
        <v/>
      </c>
      <c r="S2024">
        <f>IFERROR(O2024/N2024,0)</f>
        <v/>
      </c>
      <c r="T2024" t="n">
        <v>0</v>
      </c>
      <c r="V2024" t="n">
        <v>0</v>
      </c>
    </row>
    <row r="2025">
      <c r="A2025">
        <f>Skills!A17</f>
        <v/>
      </c>
      <c r="B2025">
        <f>Skills!B17</f>
        <v/>
      </c>
      <c r="C2025">
        <f>Inputs!$B$3&gt;=115</f>
        <v/>
      </c>
      <c r="D2025">
        <f>IF(Skills!C17=1,60+Inputs!$B$25+Inputs!$B$29,IF(Skills!C17=2,90+Inputs!$B$26+Inputs!$B$29,IF(Skills!C17=3,120+Inputs!$B$27+Inputs!$B$29,MAX(0,(Inputs!$B$3-100)*3)+Inputs!$B$28+Inputs!$B$29)))</f>
        <v/>
      </c>
      <c r="E2025">
        <f>INDEX(FactorTable!$B$2:$Y$301, MATCH(ROUND(MIN(300,MAX(1,D2025)),0), FactorTable!$A$2:$A$301,0), Skills!M17+1)</f>
        <v/>
      </c>
      <c r="F2025">
        <f>IF(Skills!N17=TRUE,(Skills!L17/10)*(E2025/1000),Skills!L17/10)+Skills!O17</f>
        <v/>
      </c>
      <c r="G2025">
        <f>Skills!G17*IF(Skills!H17&gt;0,IF(Inputs!$B$39="pvp",MIN(Skills!I17,15),Skills!I17)/Skills!H17,1)</f>
        <v/>
      </c>
      <c r="H2025">
        <f>1-(1-Skills!J17/100)^Skills!K17</f>
        <v/>
      </c>
      <c r="I2025" t="inlineStr">
        <is>
          <t>1</t>
        </is>
      </c>
      <c r="J2025">
        <f>((Inputs!$B$6*(1+Inputs!$B$7/100))+(((Inputs!$B$12*(1+Inputs!$B$13/100))-(Inputs!$B$12*(1+Inputs!$B$13/100)))+0.25*(Inputs!$B$14-Inputs!$B$14))*(1+Inputs!$B$7/100))*(F2025/100)</f>
        <v/>
      </c>
      <c r="K2025">
        <f>J2025*(1+((Inputs!$B$12*(1+Inputs!$B$13/100))*0.01+Inputs!$B$14*0.0025)/100)*(1+Inputs!$B$15/100)*(1+Inputs!$B$16/100)*(5000/(6000+Inputs!$B$43*(1-(100*(1-(1-Inputs!$B$19/100)*(1-CHOOSE(ArtifactsInput!$N$40+1,5,6,7,8,9,10)/100)^(ArtifactsInput!$M$40-ArtifactsInput!$M$40)))/100)))*(1+(Inputs!$B$24+((C2039=TRUE)*(F2039-Calc!F31))+((C2026=TRUE)*(F2026-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17="CRUEL_STAB",Inputs!$B$17+((C2036=TRUE)*(F2036-Calc!F28))+((IF(AND(Inputs!$B$39&lt;&gt;"pvp",Inputs!$B$44=0),1,IF(IF(Inputs!$B$39="pvp",15,Inputs!$B$44)-(B2053)&lt;=0,1,MAX(0,IF(Inputs!$B$39="pvp",15,Inputs!$B$44)-MAX(5,B2053))/(IF(Inputs!$B$39="pvp",15,Inputs!$B$44)-(B2053))))*(IF(AND(ArtifactsInput!$M$42,((Inputs!$B$9+((C2034=TRUE)*(F2034-Calc!F26))+B2042+(ArtifactsInput!$M$24-ArtifactsInput!$M$24)*CHOOSE(ArtifactsInput!$N$24+1,10,12,14,16,18,20)+IF(ArtifactsInput!$M$10,CHOOSE(ArtifactsInput!$N$10+1,15,18,21,24,27,30)*(IF(Inputs!$B$39="pvp",MIN(15,15)/15,IF(AND(Inputs!$B$39&lt;&gt;"pvp",Inputs!$B$44&gt;0),MIN(15,Inputs!$B$44)/(Inputs!$B$44),0))),0)))&gt;=100),MIN(100,((Inputs!$B$9+((C2034=TRUE)*(F2034-Calc!F26))+B2042+(ArtifactsInput!$M$24-ArtifactsInput!$M$24)*CHOOSE(ArtifactsInput!$N$24+1,10,12,14,16,18,20)+IF(ArtifactsInput!$M$10,CHOOSE(ArtifactsInput!$N$10+1,15,18,21,24,27,30)*(IF(Inputs!$B$39="pvp",MIN(15,15)/15,IF(AND(Inputs!$B$39&lt;&gt;"pvp",Inputs!$B$44&gt;0),MIN(15,Inputs!$B$44)/(Inputs!$B$44),0))),0)))-100),0))*CHOOSE(ArtifactsInput!$N$42+1,0.6,0.72,0.84,0.96,1.08,1.2))),Inputs!$B$18+((C2037=TRUE)*(F2037-Calc!F29))+(IF(AND(Inputs!$B$39&lt;&gt;"pvp",Inputs!$B$44=0),1,IF(IF(Inputs!$B$39="pvp",15,Inputs!$B$44)-(B2053)&lt;=0,1,MAX(0,IF(Inputs!$B$39="pvp",15,Inputs!$B$44)-MAX(5,B2053))/(IF(Inputs!$B$39="pvp",15,Inputs!$B$44)-(B2053))))*IF(AND(ArtifactsInput!$M$42,((Inputs!$B$9+((C2034=TRUE)*(F2034-Calc!F26))+B2042+(ArtifactsInput!$M$24-ArtifactsInput!$M$24)*CHOOSE(ArtifactsInput!$N$24+1,10,12,14,16,18,20)+IF(ArtifactsInput!$M$10,CHOOSE(ArtifactsInput!$N$10+1,15,18,21,24,27,30)*(IF(Inputs!$B$39="pvp",MIN(15,15)/15,IF(AND(Inputs!$B$39&lt;&gt;"pvp",Inputs!$B$44&gt;0),MIN(15,Inputs!$B$44)/(Inputs!$B$44),0))),0)))&gt;=100),CHOOSE(ArtifactsInput!$N$42+1,40,48,56,64,72,80),0))))/100)*(((1+(((C2030=TRUE)*F2030*IF(AND(Inputs!$B$39&lt;&gt;"pvp",Inputs!$B$44&gt;0),(((R2030-1)*MIN((Skills!Y22*(1+Inputs!$B$34/100)),(1/Q2030))+MIN((Skills!Y22*(1+Inputs!$B$34/100)),MAX(0,Inputs!$B$44-((R2030-1)*(1/Q2030)))))/Inputs!$B$44),IF(Inputs!$B$39="pvp",MIN((Skills!Y22*(1+Inputs!$B$34/100)),15)/15,MIN(1,(Skills!Y22*(1+Inputs!$B$34/100))/(1/Q2030)))))+((C2011=TRUE)*F2011*3)+((C2013=TRUE)*F2013*(1-EXP(-0.75*B2046*5)))+((C2032=TRUE)*(F2032-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2019=TRUE)*F2019*IF(AND(Inputs!$B$39&lt;&gt;"pvp",Inputs!$B$44&gt;0),(((R2019-1)*MIN((Skills!Y11*(1+Inputs!$B$34/100)),(1/Q2019))+MIN((Skills!Y11*(1+Inputs!$B$34/100)),MAX(0,Inputs!$B$44-((R2019-1)*(1/Q2019)))))/Inputs!$B$44),IF(Inputs!$B$39="pvp",MIN((Skills!Y11*(1+Inputs!$B$34/100)),15)/15,MIN(1,(Skills!Y11*(1+Inputs!$B$34/100))/(1/Q2019)))))/100)*(1+((C2024=TRUE)*F2024*IF(AND(Inputs!$B$39&lt;&gt;"pvp",Inputs!$B$44&gt;0),(((R2024-1)*MIN((Skills!Y16*(1+Inputs!$B$34/100)),(1/Q2024))+MIN((Skills!Y16*(1+Inputs!$B$34/100)),MAX(0,Inputs!$B$44-((R2024-1)*(1/Q2024)))))/Inputs!$B$44),IF(Inputs!$B$39="pvp",MIN((Skills!Y16*(1+Inputs!$B$34/100)),15)/15,MIN(1,(Skills!Y16*(1+Inputs!$B$34/100))/(1/Q2024)))))/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2044*I2025)</f>
        <v/>
      </c>
      <c r="L2025">
        <f>K2025*(MIN(Inputs!$B$22+((C2033=TRUE)*(F2033-Calc!F25)),(Inputs!$B$23+((C2038=TRUE)*(F2038-Calc!F30))+IF(ArtifactsInput!$M$15,CHOOSE(ArtifactsInput!$N$15+1,25,30,35,40,45,50)/100*(Inputs!$B$11-Inputs!$B$11),0)))/100+(Inputs!$B$23+((C2038=TRUE)*(F2038-Calc!F30))+IF(ArtifactsInput!$M$15,CHOOSE(ArtifactsInput!$N$15+1,25,30,35,40,45,50)/100*(Inputs!$B$11-Inputs!$B$11),0))/100)/2</f>
        <v/>
      </c>
      <c r="M2025">
        <f>L2025*(1+(Inputs!$B$10+((C2035=TRUE)*(F2035-Calc!F27))+B2049+(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2025">
        <f>L2025*(1-MIN((Inputs!$B$9+((C2034=TRUE)*(F2034-Calc!F26))+B2042+(ArtifactsInput!$M$24-ArtifactsInput!$M$24)*CHOOSE(ArtifactsInput!$N$24+1,10,12,14,16,18,20)+(IF(AND(Inputs!$B$39&lt;&gt;"pvp",Inputs!$B$44=0),1,IF(IF(Inputs!$B$39="pvp",15,Inputs!$B$44)-(B2053)&lt;=0,1,MAX(0,IF(Inputs!$B$39="pvp",15,Inputs!$B$44)-MAX(5,B2053))/(IF(Inputs!$B$39="pvp",15,Inputs!$B$44)-(B2053))))*IF(AND(ArtifactsInput!$M$42,((Inputs!$B$9+((C2034=TRUE)*(F2034-Calc!F26))+B2042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2025*(MIN((Inputs!$B$9+((C2034=TRUE)*(F2034-Calc!F26))+B2042+(ArtifactsInput!$M$24-ArtifactsInput!$M$24)*CHOOSE(ArtifactsInput!$N$24+1,10,12,14,16,18,20)+(IF(AND(Inputs!$B$39&lt;&gt;"pvp",Inputs!$B$44=0),1,IF(IF(Inputs!$B$39="pvp",15,Inputs!$B$44)-(B2053)&lt;=0,1,MAX(0,IF(Inputs!$B$39="pvp",15,Inputs!$B$44)-MAX(5,B2053))/(IF(Inputs!$B$39="pvp",15,Inputs!$B$44)-(B2053))))*IF(AND(ArtifactsInput!$M$42,((Inputs!$B$9+((C2034=TRUE)*(F2034-Calc!F26))+B2042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025">
        <f>(1-Summary!$B$11)*T2025+Summary!$B$11*V2025</f>
        <v/>
      </c>
      <c r="P2025">
        <f>IF(B2054=0,0,O2025/B2054)</f>
        <v/>
      </c>
      <c r="Q2025" t="n">
        <v>0</v>
      </c>
      <c r="R2025" t="n">
        <v>0</v>
      </c>
      <c r="S2025">
        <f>IFERROR(O2025/N2025,0)</f>
        <v/>
      </c>
      <c r="T2025">
        <f>IF(C2025,(Inputs!$B$38*0.2*N2025)*IF(Inputs!$B$39="pvp",1,1+(Inputs!$B$20+0+Skills!P17+B2043+(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Hunt"),CHOOSE(ArtifactsInput!$N$35+1,15,18,21,24,27,30)*(1-EXP(-(0.2*B2046)*5)),0)+IF(AND(ArtifactsInput!$M$22,Inputs!$B$4&lt;&gt;"Chapter Hunt"),CHOOSE(ArtifactsInput!$N$22+1,10,12,14,16,18,20)*((0*(((0.15*B2046*5))^0/1)+1*(((0.15*B2046*5))^1/1)+2*(((0.15*B2046*5))^2/2)+3*(((0.15*B2046*5))^3/6)+4*(((0.15*B2046*5))^4/24)+5*(((0.15*B2046*5))^5/120))/((((0.15*B2046*5))^0/1)+(((0.15*B2046*5))^1/1)+(((0.15*B2046*5))^2/2)+(((0.15*B2046*5))^3/6)+(((0.15*B2046*5))^4/24)+(((0.15*B2046*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2025*(1-MIN(100,(Inputs!$B$9+((C2034=TRUE)*(F2034-Calc!F26))+B2042+(ArtifactsInput!$M$24-ArtifactsInput!$M$24)*CHOOSE(ArtifactsInput!$N$24+1,10,12,14,16,18,20)+(IF(AND(Inputs!$B$39&lt;&gt;"pvp",Inputs!$B$44=0),1,IF(IF(Inputs!$B$39="pvp",15,Inputs!$B$44)-(B2053)&lt;=0,1,MAX(0,IF(Inputs!$B$39="pvp",15,Inputs!$B$44)-MAX(5,B2053))/(IF(Inputs!$B$39="pvp",15,Inputs!$B$44)-(B2053))))*IF(AND(ArtifactsInput!$M$42,((Inputs!$B$9+((C2034=TRUE)*(F2034-Calc!F26))+B2042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2025*(MIN(100,(Inputs!$B$9+((C2034=TRUE)*(F2034-Calc!F26))+B2042+(ArtifactsInput!$M$24-ArtifactsInput!$M$24)*CHOOSE(ArtifactsInput!$N$24+1,10,12,14,16,18,20)+(IF(AND(Inputs!$B$39&lt;&gt;"pvp",Inputs!$B$44=0),1,IF(IF(Inputs!$B$39="pvp",15,Inputs!$B$44)-(B2053)&lt;=0,1,MAX(0,IF(Inputs!$B$39="pvp",15,Inputs!$B$44)-MAX(5,B2053))/(IF(Inputs!$B$39="pvp",15,Inputs!$B$44)-(B2053))))*IF(AND(ArtifactsInput!$M$42,((Inputs!$B$9+((C2034=TRUE)*(F2034-Calc!F26))+B2042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2025*(1-MIN(100,(Inputs!$B$9+((C2034=TRUE)*(F2034-Calc!F26))+B2042+(ArtifactsInput!$M$24-ArtifactsInput!$M$24)*CHOOSE(ArtifactsInput!$N$24+1,10,12,14,16,18,20)+(IF(AND(Inputs!$B$39&lt;&gt;"pvp",Inputs!$B$44=0),1,IF(IF(Inputs!$B$39="pvp",15,Inputs!$B$44)-(B2053)&lt;=0,1,MAX(0,IF(Inputs!$B$39="pvp",15,Inputs!$B$44)-MAX(5,B2053))/(IF(Inputs!$B$39="pvp",15,Inputs!$B$44)-(B2053))))*IF(AND(ArtifactsInput!$M$42,((Inputs!$B$9+((C2034=TRUE)*(F2034-Calc!F26))+B2042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2025*(MIN(100,(Inputs!$B$9+((C2034=TRUE)*(F2034-Calc!F26))+B2042+(ArtifactsInput!$M$24-ArtifactsInput!$M$24)*CHOOSE(ArtifactsInput!$N$24+1,10,12,14,16,18,20)+(IF(AND(Inputs!$B$39&lt;&gt;"pvp",Inputs!$B$44=0),1,IF(IF(Inputs!$B$39="pvp",15,Inputs!$B$44)-(B2053)&lt;=0,1,MAX(0,IF(Inputs!$B$39="pvp",15,Inputs!$B$44)-MAX(5,B2053))/(IF(Inputs!$B$39="pvp",15,Inputs!$B$44)-(B2053))))*IF(AND(ArtifactsInput!$M$42,((Inputs!$B$9+((C2034=TRUE)*(F2034-Calc!F26))+B2042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025">
        <f>IF(C2025,(Inputs!$B$38*0.2*N2025)*IF(Inputs!$B$39="pvp",1,(1+(Inputs!$B$21+Skills!Q17+B2043+(IF(ArtifactsInput!$M$33,CHOOSE(ArtifactsInput!$N$33+1,30,36,42,48,54,60),0))+(IF(AND(ArtifactsInput!$M$35,Inputs!$B$4&lt;&gt;"Chapter Hunt"),CHOOSE(ArtifactsInput!$N$35+1,15,18,21,24,27,30)*(1-EXP(-(0.2*B2046)*5)),0)+IF(AND(ArtifactsInput!$M$22,Inputs!$B$4&lt;&gt;"Chapter Hunt"),CHOOSE(ArtifactsInput!$N$22+1,10,12,14,16,18,20)*((0*(((0.15*B2046*5))^0/1)+1*(((0.15*B2046*5))^1/1)+2*(((0.15*B2046*5))^2/2)+3*(((0.15*B2046*5))^3/6)+4*(((0.15*B2046*5))^4/24)+5*(((0.15*B2046*5))^5/120))/((((0.15*B2046*5))^0/1)+(((0.15*B2046*5))^1/1)+(((0.15*B2046*5))^2/2)+(((0.15*B2046*5))^3/6)+(((0.15*B2046*5))^4/24)+(((0.15*B2046*5))^5/120))),0)))/100)*(MIN(Skills!W17,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026">
      <c r="A2026">
        <f>Skills!A18</f>
        <v/>
      </c>
      <c r="B2026">
        <f>Skills!B18</f>
        <v/>
      </c>
      <c r="C2026">
        <f>Inputs!$B$3&gt;=115</f>
        <v/>
      </c>
      <c r="D2026">
        <f>IF(Skills!C18=1,60+Inputs!$B$25+Inputs!$B$29,IF(Skills!C18=2,90+Inputs!$B$26+Inputs!$B$29,IF(Skills!C18=3,120+Inputs!$B$27+Inputs!$B$29,MAX(0,(Inputs!$B$3-100)*3)+Inputs!$B$28+Inputs!$B$29)))</f>
        <v/>
      </c>
      <c r="E2026">
        <f>INDEX(FactorTable!$B$2:$Y$301, MATCH(ROUND(MIN(300,MAX(1,D2026)),0), FactorTable!$A$2:$A$301,0), Skills!M18+1)</f>
        <v/>
      </c>
      <c r="F2026">
        <f>IF(Skills!N18=TRUE,(Skills!L18/10)*(E2026/1000),Skills!L18/10)+Skills!O18</f>
        <v/>
      </c>
      <c r="G2026">
        <f>Skills!G18*IF(Skills!H18&gt;0,IF(Inputs!$B$39="pvp",MIN(Skills!I18,15),Skills!I18)/Skills!H18,1)</f>
        <v/>
      </c>
      <c r="H2026">
        <f>1-(1-Skills!J18/100)^Skills!K18</f>
        <v/>
      </c>
      <c r="I2026" t="inlineStr">
        <is>
          <t>1</t>
        </is>
      </c>
      <c r="J2026" t="inlineStr"/>
      <c r="K2026" t="inlineStr"/>
      <c r="L2026" t="inlineStr"/>
      <c r="M2026" t="inlineStr"/>
      <c r="N2026" t="inlineStr"/>
      <c r="O2026">
        <f>(1-Summary!$B$11)*T2026+Summary!$B$11*V2026</f>
        <v/>
      </c>
      <c r="P2026">
        <f>IF(B2054=0,0,O2026/B2054)</f>
        <v/>
      </c>
      <c r="Q2026" t="n">
        <v>0</v>
      </c>
      <c r="R2026" t="n">
        <v>0</v>
      </c>
      <c r="S2026">
        <f>IFERROR(O2026/N2026,0)</f>
        <v/>
      </c>
      <c r="T2026" t="n">
        <v>0</v>
      </c>
      <c r="V2026" t="n">
        <v>0</v>
      </c>
    </row>
    <row r="2027">
      <c r="A2027">
        <f>Skills!A19</f>
        <v/>
      </c>
      <c r="B2027">
        <f>Skills!B19</f>
        <v/>
      </c>
      <c r="C2027">
        <f>Inputs!$B$3&gt;=100</f>
        <v/>
      </c>
      <c r="D2027">
        <f>IF(Skills!C19=1,60+Inputs!$B$25+Inputs!$B$29,IF(Skills!C19=2,90+Inputs!$B$26+Inputs!$B$29,IF(Skills!C19=3,120+Inputs!$B$27+Inputs!$B$29,MAX(0,(Inputs!$B$3-100)*3)+Inputs!$B$28+Inputs!$B$29)))</f>
        <v/>
      </c>
      <c r="E2027">
        <f>INDEX(FactorTable!$B$2:$Y$301, MATCH(ROUND(MIN(300,MAX(1,D2027)),0), FactorTable!$A$2:$A$301,0), Skills!M19+1)</f>
        <v/>
      </c>
      <c r="F2027">
        <f>IF(Skills!N19=TRUE,(Skills!L19/10)*(E2027/1000),Skills!L19/10)+Skills!O19</f>
        <v/>
      </c>
      <c r="G2027">
        <f>Skills!G19*IF(Skills!H19&gt;0,IF(Inputs!$B$39="pvp",MIN(Skills!I19,15),Skills!I19)/Skills!H19,1)</f>
        <v/>
      </c>
      <c r="H2027">
        <f>1-(1-Skills!J19/100)^Skills!K19</f>
        <v/>
      </c>
      <c r="I2027" t="inlineStr">
        <is>
          <t>1</t>
        </is>
      </c>
      <c r="J2027" t="inlineStr"/>
      <c r="K2027" t="inlineStr"/>
      <c r="L2027" t="inlineStr"/>
      <c r="M2027" t="inlineStr"/>
      <c r="N2027" t="inlineStr"/>
      <c r="O2027">
        <f>(1-Summary!$B$11)*T2027+Summary!$B$11*V2027</f>
        <v/>
      </c>
      <c r="P2027">
        <f>IF(B2054=0,0,O2027/B2054)</f>
        <v/>
      </c>
      <c r="Q2027" t="n">
        <v>0</v>
      </c>
      <c r="R2027" t="n">
        <v>0</v>
      </c>
      <c r="S2027">
        <f>IFERROR(O2027/N2027,0)</f>
        <v/>
      </c>
      <c r="T2027" t="n">
        <v>0</v>
      </c>
      <c r="V2027" t="n">
        <v>0</v>
      </c>
    </row>
    <row r="2028">
      <c r="A2028">
        <f>Skills!A20</f>
        <v/>
      </c>
      <c r="B2028">
        <f>Skills!B20</f>
        <v/>
      </c>
      <c r="C2028">
        <f>TRUE</f>
        <v/>
      </c>
      <c r="D2028">
        <f>IF(Skills!C20=1,60+Inputs!$B$25+Inputs!$B$29,IF(Skills!C20=2,90+Inputs!$B$26+Inputs!$B$29,IF(Skills!C20=3,120+Inputs!$B$27+Inputs!$B$29,MAX(0,(Inputs!$B$3-100)*3)+Inputs!$B$28+Inputs!$B$29)))</f>
        <v/>
      </c>
      <c r="E2028">
        <f>INDEX(FactorTable!$B$2:$Y$301, MATCH(ROUND(MIN(300,MAX(1,D2028)),0), FactorTable!$A$2:$A$301,0), Skills!M20+1)</f>
        <v/>
      </c>
      <c r="F2028">
        <f>IF(Skills!N20=TRUE,(Skills!L20/10)*(E2028/1000),Skills!L20/10)+Skills!O20</f>
        <v/>
      </c>
      <c r="G2028">
        <f>Skills!G20*IF(Skills!H20&gt;0,IF(Inputs!$B$39="pvp",MIN(Skills!I20,15),Skills!I20)/Skills!H20,1)</f>
        <v/>
      </c>
      <c r="H2028">
        <f>1-(1-Skills!J20/100)^Skills!K20</f>
        <v/>
      </c>
      <c r="I2028" t="inlineStr">
        <is>
          <t>1</t>
        </is>
      </c>
      <c r="J2028" t="inlineStr"/>
      <c r="K2028" t="inlineStr"/>
      <c r="L2028" t="inlineStr"/>
      <c r="M2028" t="inlineStr"/>
      <c r="N2028" t="inlineStr"/>
      <c r="O2028">
        <f>(1-Summary!$B$11)*T2028+Summary!$B$11*V2028</f>
        <v/>
      </c>
      <c r="P2028">
        <f>IF(B2054=0,0,O2028/B2054)</f>
        <v/>
      </c>
      <c r="Q2028">
        <f>IFERROR(1/IF(Inputs!$B$39="pvp",15,MAX(0.1,Skills!D20-IF(TRUE=TRUE,Inputs!$B$32,0))),0)</f>
        <v/>
      </c>
      <c r="R2028">
        <f>IF(AND(Inputs!$B$39&lt;&gt;"pvp",Inputs!$B$44&gt;0),IF(Inputs!$B$44&lt;=0,0,(INT(Inputs!$B$44/IF(Inputs!$B$39="pvp",15,MAX(0.1,Skills!D20-IF(TRUE=TRUE,Inputs!$B$32,0))))+1)),0)</f>
        <v/>
      </c>
      <c r="S2028">
        <f>IFERROR(O2028/N2028,0)</f>
        <v/>
      </c>
      <c r="T2028" t="n">
        <v>0</v>
      </c>
      <c r="V2028" t="n">
        <v>0</v>
      </c>
    </row>
    <row r="2029">
      <c r="A2029">
        <f>Skills!A21</f>
        <v/>
      </c>
      <c r="B2029">
        <f>Skills!B21</f>
        <v/>
      </c>
      <c r="C2029">
        <f>Inputs!$B$3&gt;=15</f>
        <v/>
      </c>
      <c r="D2029">
        <f>IF(Skills!C21=1,60+Inputs!$B$25+Inputs!$B$29,IF(Skills!C21=2,90+Inputs!$B$26+Inputs!$B$29,IF(Skills!C21=3,120+Inputs!$B$27+Inputs!$B$29,MAX(0,(Inputs!$B$3-100)*3)+Inputs!$B$28+Inputs!$B$29)))</f>
        <v/>
      </c>
      <c r="E2029">
        <f>INDEX(FactorTable!$B$2:$Y$301, MATCH(ROUND(MIN(300,MAX(1,D2029)),0), FactorTable!$A$2:$A$301,0), Skills!M21+1)</f>
        <v/>
      </c>
      <c r="F2029">
        <f>IF(Skills!N21=TRUE,(Skills!L21/10)*(E2029/1000),Skills!L21/10)+Skills!O21</f>
        <v/>
      </c>
      <c r="G2029">
        <f>Skills!G21*IF(Skills!H21&gt;0,IF(Inputs!$B$39="pvp",MIN(Skills!I21,15),Skills!I21)/Skills!H21,1)</f>
        <v/>
      </c>
      <c r="H2029">
        <f>1-(1-Skills!J21/100)^Skills!K21</f>
        <v/>
      </c>
      <c r="I2029" t="inlineStr">
        <is>
          <t>1</t>
        </is>
      </c>
      <c r="J2029" t="inlineStr"/>
      <c r="K2029" t="inlineStr"/>
      <c r="L2029" t="inlineStr"/>
      <c r="M2029" t="inlineStr"/>
      <c r="N2029" t="inlineStr"/>
      <c r="O2029">
        <f>(1-Summary!$B$11)*T2029+Summary!$B$11*V2029</f>
        <v/>
      </c>
      <c r="P2029">
        <f>IF(B2054=0,0,O2029/B2054)</f>
        <v/>
      </c>
      <c r="Q2029">
        <f>IFERROR(1/IF(Inputs!$B$39="pvp",15,MAX(0.1,Skills!D21-IF(TRUE=TRUE,Inputs!$B$32,0))),0)</f>
        <v/>
      </c>
      <c r="R2029">
        <f>IF(AND(Inputs!$B$39&lt;&gt;"pvp",Inputs!$B$44&gt;0),IF(Inputs!$B$44&lt;=0,0,(INT(Inputs!$B$44/IF(Inputs!$B$39="pvp",15,MAX(0.1,Skills!D21-IF(TRUE=TRUE,Inputs!$B$32,0))))+1)),0)</f>
        <v/>
      </c>
      <c r="S2029">
        <f>IFERROR(O2029/N2029,0)</f>
        <v/>
      </c>
      <c r="T2029" t="n">
        <v>0</v>
      </c>
      <c r="V2029" t="n">
        <v>0</v>
      </c>
    </row>
    <row r="2030">
      <c r="A2030">
        <f>Skills!A22</f>
        <v/>
      </c>
      <c r="B2030">
        <f>Skills!B22</f>
        <v/>
      </c>
      <c r="C2030">
        <f>Inputs!$B$3&gt;=15</f>
        <v/>
      </c>
      <c r="D2030">
        <f>IF(Skills!C22=1,60+Inputs!$B$25+Inputs!$B$29,IF(Skills!C22=2,90+Inputs!$B$26+Inputs!$B$29,IF(Skills!C22=3,120+Inputs!$B$27+Inputs!$B$29,MAX(0,(Inputs!$B$3-100)*3)+Inputs!$B$28+Inputs!$B$29)))</f>
        <v/>
      </c>
      <c r="E2030">
        <f>INDEX(FactorTable!$B$2:$Y$301, MATCH(ROUND(MIN(300,MAX(1,D2030)),0), FactorTable!$A$2:$A$301,0), Skills!M22+1)</f>
        <v/>
      </c>
      <c r="F2030">
        <f>IF(Skills!N22=TRUE,(Skills!L22/10)*(E2030/1000),Skills!L22/10)+Skills!O22</f>
        <v/>
      </c>
      <c r="G2030">
        <f>Skills!G22*IF(Skills!H22&gt;0,IF(Inputs!$B$39="pvp",MIN(Skills!I22,15),Skills!I22)/Skills!H22,1)</f>
        <v/>
      </c>
      <c r="H2030">
        <f>1-(1-Skills!J22/100)^Skills!K22</f>
        <v/>
      </c>
      <c r="I2030" t="inlineStr">
        <is>
          <t>1</t>
        </is>
      </c>
      <c r="J2030" t="inlineStr"/>
      <c r="K2030" t="inlineStr"/>
      <c r="L2030" t="inlineStr"/>
      <c r="M2030" t="inlineStr"/>
      <c r="N2030" t="inlineStr"/>
      <c r="O2030">
        <f>(1-Summary!$B$11)*T2030+Summary!$B$11*V2030</f>
        <v/>
      </c>
      <c r="P2030">
        <f>IF(B2054=0,0,O2030/B2054)</f>
        <v/>
      </c>
      <c r="Q2030">
        <f>IFERROR(1/IF(Inputs!$B$39="pvp",15,MAX(0.1,Skills!D22-IF(TRUE=TRUE,Inputs!$B$32,0))),0)</f>
        <v/>
      </c>
      <c r="R2030">
        <f>IF(AND(Inputs!$B$39&lt;&gt;"pvp",Inputs!$B$44&gt;0),IF(Inputs!$B$44&lt;=0,0,(INT(Inputs!$B$44/IF(Inputs!$B$39="pvp",15,MAX(0.1,Skills!D22-IF(TRUE=TRUE,Inputs!$B$32,0))))+1)),0)</f>
        <v/>
      </c>
      <c r="S2030">
        <f>IFERROR(O2030/N2030,0)</f>
        <v/>
      </c>
      <c r="T2030" t="n">
        <v>0</v>
      </c>
      <c r="V2030" t="n">
        <v>0</v>
      </c>
    </row>
    <row r="2031">
      <c r="A2031">
        <f>Skills!A23</f>
        <v/>
      </c>
      <c r="B2031">
        <f>Skills!B23</f>
        <v/>
      </c>
      <c r="C2031">
        <f>Inputs!$B$3&gt;=33</f>
        <v/>
      </c>
      <c r="D2031">
        <f>IF(Skills!C23=1,60+Inputs!$B$25+Inputs!$B$29,IF(Skills!C23=2,90+Inputs!$B$26+Inputs!$B$29,IF(Skills!C23=3,120+Inputs!$B$27+Inputs!$B$29,MAX(0,(Inputs!$B$3-100)*3)+Inputs!$B$28+Inputs!$B$29)))</f>
        <v/>
      </c>
      <c r="E2031">
        <f>INDEX(FactorTable!$B$2:$Y$301, MATCH(ROUND(MIN(300,MAX(1,D2031)),0), FactorTable!$A$2:$A$301,0), Skills!M23+1)</f>
        <v/>
      </c>
      <c r="F2031">
        <f>IF(Skills!N23=TRUE,(Skills!L23/10)*(E2031/1000),Skills!L23/10)+Skills!O23</f>
        <v/>
      </c>
      <c r="G2031">
        <f>Skills!G23*IF(Skills!H23&gt;0,IF(Inputs!$B$39="pvp",MIN(Skills!I23,15),Skills!I23)/Skills!H23,1)</f>
        <v/>
      </c>
      <c r="H2031">
        <f>1-(1-Skills!J23/100)^Skills!K23</f>
        <v/>
      </c>
      <c r="I2031" t="inlineStr">
        <is>
          <t>1</t>
        </is>
      </c>
      <c r="J2031" t="inlineStr"/>
      <c r="K2031" t="inlineStr"/>
      <c r="L2031" t="inlineStr"/>
      <c r="M2031" t="inlineStr"/>
      <c r="N2031" t="inlineStr"/>
      <c r="O2031">
        <f>(1-Summary!$B$11)*T2031+Summary!$B$11*V2031</f>
        <v/>
      </c>
      <c r="P2031">
        <f>IF(B2054=0,0,O2031/B2054)</f>
        <v/>
      </c>
      <c r="Q2031" t="n">
        <v>0</v>
      </c>
      <c r="R2031" t="n">
        <v>0</v>
      </c>
      <c r="S2031">
        <f>IFERROR(O2031/N2031,0)</f>
        <v/>
      </c>
      <c r="T2031" t="n">
        <v>0</v>
      </c>
      <c r="V2031" t="n">
        <v>0</v>
      </c>
    </row>
    <row r="2032">
      <c r="A2032">
        <f>Skills!A24</f>
        <v/>
      </c>
      <c r="B2032">
        <f>Skills!B24</f>
        <v/>
      </c>
      <c r="C2032">
        <f>Inputs!$B$3&gt;=40</f>
        <v/>
      </c>
      <c r="D2032">
        <f>IF(Skills!C24=1,60+Inputs!$B$25+Inputs!$B$29,IF(Skills!C24=2,90+Inputs!$B$26+Inputs!$B$29,IF(Skills!C24=3,120+Inputs!$B$27+Inputs!$B$29,MAX(0,(Inputs!$B$3-100)*3)+Inputs!$B$28+Inputs!$B$29)))</f>
        <v/>
      </c>
      <c r="E2032">
        <f>INDEX(FactorTable!$B$2:$Y$301, MATCH(ROUND(MIN(300,MAX(1,D2032)),0), FactorTable!$A$2:$A$301,0), Skills!M24+1)</f>
        <v/>
      </c>
      <c r="F2032">
        <f>IF(Skills!N24=TRUE,(Skills!L24/10)*(E2032/1000),Skills!L24/10)+Skills!O24</f>
        <v/>
      </c>
      <c r="G2032">
        <f>Skills!G24*IF(Skills!H24&gt;0,IF(Inputs!$B$39="pvp",MIN(Skills!I24,15),Skills!I24)/Skills!H24,1)</f>
        <v/>
      </c>
      <c r="H2032">
        <f>1-(1-Skills!J24/100)^Skills!K24</f>
        <v/>
      </c>
      <c r="I2032" t="inlineStr">
        <is>
          <t>1</t>
        </is>
      </c>
      <c r="J2032" t="inlineStr"/>
      <c r="K2032" t="inlineStr"/>
      <c r="L2032" t="inlineStr"/>
      <c r="M2032" t="inlineStr"/>
      <c r="N2032" t="inlineStr"/>
      <c r="O2032">
        <f>(1-Summary!$B$11)*T2032+Summary!$B$11*V2032</f>
        <v/>
      </c>
      <c r="P2032">
        <f>IF(B2054=0,0,O2032/B2054)</f>
        <v/>
      </c>
      <c r="Q2032" t="n">
        <v>0</v>
      </c>
      <c r="R2032" t="n">
        <v>0</v>
      </c>
      <c r="S2032">
        <f>IFERROR(O2032/N2032,0)</f>
        <v/>
      </c>
      <c r="T2032" t="n">
        <v>0</v>
      </c>
      <c r="V2032" t="n">
        <v>0</v>
      </c>
    </row>
    <row r="2033">
      <c r="A2033">
        <f>Skills!A25</f>
        <v/>
      </c>
      <c r="B2033">
        <f>Skills!B25</f>
        <v/>
      </c>
      <c r="C2033">
        <f>Inputs!$B$3&gt;=43</f>
        <v/>
      </c>
      <c r="D2033">
        <f>IF(Skills!C25=1,60+Inputs!$B$25+Inputs!$B$29,IF(Skills!C25=2,90+Inputs!$B$26+Inputs!$B$29,IF(Skills!C25=3,120+Inputs!$B$27+Inputs!$B$29,MAX(0,(Inputs!$B$3-100)*3)+Inputs!$B$28+Inputs!$B$29)))</f>
        <v/>
      </c>
      <c r="E2033">
        <f>INDEX(FactorTable!$B$2:$Y$301, MATCH(ROUND(MIN(300,MAX(1,D2033)),0), FactorTable!$A$2:$A$301,0), Skills!M25+1)</f>
        <v/>
      </c>
      <c r="F2033">
        <f>IF(Skills!N25=TRUE,(Skills!L25/10)*(E2033/1000),Skills!L25/10)+Skills!O25</f>
        <v/>
      </c>
      <c r="G2033">
        <f>Skills!G25*IF(Skills!H25&gt;0,IF(Inputs!$B$39="pvp",MIN(Skills!I25,15),Skills!I25)/Skills!H25,1)</f>
        <v/>
      </c>
      <c r="H2033">
        <f>1-(1-Skills!J25/100)^Skills!K25</f>
        <v/>
      </c>
      <c r="I2033" t="inlineStr">
        <is>
          <t>1</t>
        </is>
      </c>
      <c r="J2033" t="inlineStr"/>
      <c r="K2033" t="inlineStr"/>
      <c r="L2033" t="inlineStr"/>
      <c r="M2033" t="inlineStr"/>
      <c r="N2033" t="inlineStr"/>
      <c r="O2033">
        <f>(1-Summary!$B$11)*T2033+Summary!$B$11*V2033</f>
        <v/>
      </c>
      <c r="P2033">
        <f>IF(B2054=0,0,O2033/B2054)</f>
        <v/>
      </c>
      <c r="Q2033" t="n">
        <v>0</v>
      </c>
      <c r="R2033" t="n">
        <v>0</v>
      </c>
      <c r="S2033">
        <f>IFERROR(O2033/N2033,0)</f>
        <v/>
      </c>
      <c r="T2033" t="n">
        <v>0</v>
      </c>
      <c r="V2033" t="n">
        <v>0</v>
      </c>
    </row>
    <row r="2034">
      <c r="A2034">
        <f>Skills!A26</f>
        <v/>
      </c>
      <c r="B2034">
        <f>Skills!B26</f>
        <v/>
      </c>
      <c r="C2034">
        <f>Inputs!$B$3&gt;=50</f>
        <v/>
      </c>
      <c r="D2034">
        <f>IF(Skills!C26=1,60+Inputs!$B$25+Inputs!$B$29,IF(Skills!C26=2,90+Inputs!$B$26+Inputs!$B$29,IF(Skills!C26=3,120+Inputs!$B$27+Inputs!$B$29,MAX(0,(Inputs!$B$3-100)*3)+Inputs!$B$28+Inputs!$B$29)))</f>
        <v/>
      </c>
      <c r="E2034">
        <f>INDEX(FactorTable!$B$2:$Y$301, MATCH(ROUND(MIN(300,MAX(1,D2034)),0), FactorTable!$A$2:$A$301,0), Skills!M26+1)</f>
        <v/>
      </c>
      <c r="F2034">
        <f>IF(Skills!N26=TRUE,(Skills!L26/10)*(E2034/1000),Skills!L26/10)+Skills!O26</f>
        <v/>
      </c>
      <c r="G2034">
        <f>Skills!G26*IF(Skills!H26&gt;0,IF(Inputs!$B$39="pvp",MIN(Skills!I26,15),Skills!I26)/Skills!H26,1)</f>
        <v/>
      </c>
      <c r="H2034">
        <f>1-(1-Skills!J26/100)^Skills!K26</f>
        <v/>
      </c>
      <c r="I2034" t="inlineStr">
        <is>
          <t>1</t>
        </is>
      </c>
      <c r="J2034" t="inlineStr"/>
      <c r="K2034" t="inlineStr"/>
      <c r="L2034" t="inlineStr"/>
      <c r="M2034" t="inlineStr"/>
      <c r="N2034" t="inlineStr"/>
      <c r="O2034">
        <f>(1-Summary!$B$11)*T2034+Summary!$B$11*V2034</f>
        <v/>
      </c>
      <c r="P2034">
        <f>IF(B2054=0,0,O2034/B2054)</f>
        <v/>
      </c>
      <c r="Q2034" t="n">
        <v>0</v>
      </c>
      <c r="R2034" t="n">
        <v>0</v>
      </c>
      <c r="S2034">
        <f>IFERROR(O2034/N2034,0)</f>
        <v/>
      </c>
      <c r="T2034" t="n">
        <v>0</v>
      </c>
      <c r="V2034" t="n">
        <v>0</v>
      </c>
    </row>
    <row r="2035">
      <c r="A2035">
        <f>Skills!A27</f>
        <v/>
      </c>
      <c r="B2035">
        <f>Skills!B27</f>
        <v/>
      </c>
      <c r="C2035">
        <f>Inputs!$B$3&gt;=50</f>
        <v/>
      </c>
      <c r="D2035">
        <f>IF(Skills!C27=1,60+Inputs!$B$25+Inputs!$B$29,IF(Skills!C27=2,90+Inputs!$B$26+Inputs!$B$29,IF(Skills!C27=3,120+Inputs!$B$27+Inputs!$B$29,MAX(0,(Inputs!$B$3-100)*3)+Inputs!$B$28+Inputs!$B$29)))</f>
        <v/>
      </c>
      <c r="E2035">
        <f>INDEX(FactorTable!$B$2:$Y$301, MATCH(ROUND(MIN(300,MAX(1,D2035)),0), FactorTable!$A$2:$A$301,0), Skills!M27+1)</f>
        <v/>
      </c>
      <c r="F2035">
        <f>IF(Skills!N27=TRUE,(Skills!L27/10)*(E2035/1000),Skills!L27/10)+Skills!O27</f>
        <v/>
      </c>
      <c r="G2035">
        <f>Skills!G27*IF(Skills!H27&gt;0,IF(Inputs!$B$39="pvp",MIN(Skills!I27,15),Skills!I27)/Skills!H27,1)</f>
        <v/>
      </c>
      <c r="H2035">
        <f>1-(1-Skills!J27/100)^Skills!K27</f>
        <v/>
      </c>
      <c r="I2035" t="inlineStr">
        <is>
          <t>1</t>
        </is>
      </c>
      <c r="J2035" t="inlineStr"/>
      <c r="K2035" t="inlineStr"/>
      <c r="L2035" t="inlineStr"/>
      <c r="M2035" t="inlineStr"/>
      <c r="N2035" t="inlineStr"/>
      <c r="O2035">
        <f>(1-Summary!$B$11)*T2035+Summary!$B$11*V2035</f>
        <v/>
      </c>
      <c r="P2035">
        <f>IF(B2054=0,0,O2035/B2054)</f>
        <v/>
      </c>
      <c r="Q2035" t="n">
        <v>0</v>
      </c>
      <c r="R2035" t="n">
        <v>0</v>
      </c>
      <c r="S2035">
        <f>IFERROR(O2035/N2035,0)</f>
        <v/>
      </c>
      <c r="T2035" t="n">
        <v>0</v>
      </c>
      <c r="V2035" t="n">
        <v>0</v>
      </c>
    </row>
    <row r="2036">
      <c r="A2036">
        <f>Skills!A28</f>
        <v/>
      </c>
      <c r="B2036">
        <f>Skills!B28</f>
        <v/>
      </c>
      <c r="C2036">
        <f>Inputs!$B$3&gt;=38</f>
        <v/>
      </c>
      <c r="D2036">
        <f>IF(Skills!C28=1,60+Inputs!$B$25+Inputs!$B$29,IF(Skills!C28=2,90+Inputs!$B$26+Inputs!$B$29,IF(Skills!C28=3,120+Inputs!$B$27+Inputs!$B$29,MAX(0,(Inputs!$B$3-100)*3)+Inputs!$B$28+Inputs!$B$29)))</f>
        <v/>
      </c>
      <c r="E2036">
        <f>INDEX(FactorTable!$B$2:$Y$301, MATCH(ROUND(MIN(300,MAX(1,D2036)),0), FactorTable!$A$2:$A$301,0), Skills!M28+1)</f>
        <v/>
      </c>
      <c r="F2036">
        <f>IF(Skills!N28=TRUE,(Skills!L28/10)*(E2036/1000),Skills!L28/10)+Skills!O28</f>
        <v/>
      </c>
      <c r="G2036">
        <f>Skills!G28*IF(Skills!H28&gt;0,IF(Inputs!$B$39="pvp",MIN(Skills!I28,15),Skills!I28)/Skills!H28,1)</f>
        <v/>
      </c>
      <c r="H2036">
        <f>1-(1-Skills!J28/100)^Skills!K28</f>
        <v/>
      </c>
      <c r="I2036" t="inlineStr">
        <is>
          <t>1</t>
        </is>
      </c>
      <c r="J2036" t="inlineStr"/>
      <c r="K2036" t="inlineStr"/>
      <c r="L2036" t="inlineStr"/>
      <c r="M2036" t="inlineStr"/>
      <c r="N2036" t="inlineStr"/>
      <c r="O2036">
        <f>(1-Summary!$B$11)*T2036+Summary!$B$11*V2036</f>
        <v/>
      </c>
      <c r="P2036">
        <f>IF(B2054=0,0,O2036/B2054)</f>
        <v/>
      </c>
      <c r="Q2036" t="n">
        <v>0</v>
      </c>
      <c r="R2036" t="n">
        <v>0</v>
      </c>
      <c r="S2036">
        <f>IFERROR(O2036/N2036,0)</f>
        <v/>
      </c>
      <c r="T2036" t="n">
        <v>0</v>
      </c>
      <c r="V2036" t="n">
        <v>0</v>
      </c>
    </row>
    <row r="2037">
      <c r="A2037">
        <f>Skills!A29</f>
        <v/>
      </c>
      <c r="B2037">
        <f>Skills!B29</f>
        <v/>
      </c>
      <c r="C2037">
        <f>Inputs!$B$3&gt;=120</f>
        <v/>
      </c>
      <c r="D2037">
        <f>IF(Skills!C29=1,60+Inputs!$B$25+Inputs!$B$29,IF(Skills!C29=2,90+Inputs!$B$26+Inputs!$B$29,IF(Skills!C29=3,120+Inputs!$B$27+Inputs!$B$29,MAX(0,(Inputs!$B$3-100)*3)+Inputs!$B$28+Inputs!$B$29)))</f>
        <v/>
      </c>
      <c r="E2037">
        <f>INDEX(FactorTable!$B$2:$Y$301, MATCH(ROUND(MIN(300,MAX(1,D2037)),0), FactorTable!$A$2:$A$301,0), Skills!M29+1)</f>
        <v/>
      </c>
      <c r="F2037">
        <f>IF(Skills!N29=TRUE,(Skills!L29/10)*(E2037/1000),Skills!L29/10)+Skills!O29</f>
        <v/>
      </c>
      <c r="G2037">
        <f>Skills!G29*IF(Skills!H29&gt;0,IF(Inputs!$B$39="pvp",MIN(Skills!I29,15),Skills!I29)/Skills!H29,1)</f>
        <v/>
      </c>
      <c r="H2037">
        <f>1-(1-Skills!J29/100)^Skills!K29</f>
        <v/>
      </c>
      <c r="I2037" t="inlineStr">
        <is>
          <t>1</t>
        </is>
      </c>
      <c r="J2037" t="inlineStr"/>
      <c r="K2037" t="inlineStr"/>
      <c r="L2037" t="inlineStr"/>
      <c r="M2037" t="inlineStr"/>
      <c r="N2037" t="inlineStr"/>
      <c r="O2037">
        <f>(1-Summary!$B$11)*T2037+Summary!$B$11*V2037</f>
        <v/>
      </c>
      <c r="P2037">
        <f>IF(B2054=0,0,O2037/B2054)</f>
        <v/>
      </c>
      <c r="Q2037" t="n">
        <v>0</v>
      </c>
      <c r="R2037" t="n">
        <v>0</v>
      </c>
      <c r="S2037">
        <f>IFERROR(O2037/N2037,0)</f>
        <v/>
      </c>
      <c r="T2037" t="n">
        <v>0</v>
      </c>
      <c r="V2037" t="n">
        <v>0</v>
      </c>
    </row>
    <row r="2038">
      <c r="A2038">
        <f>Skills!A30</f>
        <v/>
      </c>
      <c r="B2038">
        <f>Skills!B30</f>
        <v/>
      </c>
      <c r="C2038">
        <f>Inputs!$B$3&gt;=120</f>
        <v/>
      </c>
      <c r="D2038">
        <f>IF(Skills!C30=1,60+Inputs!$B$25+Inputs!$B$29,IF(Skills!C30=2,90+Inputs!$B$26+Inputs!$B$29,IF(Skills!C30=3,120+Inputs!$B$27+Inputs!$B$29,MAX(0,(Inputs!$B$3-100)*3)+Inputs!$B$28+Inputs!$B$29)))</f>
        <v/>
      </c>
      <c r="E2038">
        <f>INDEX(FactorTable!$B$2:$Y$301, MATCH(ROUND(MIN(300,MAX(1,D2038)),0), FactorTable!$A$2:$A$301,0), Skills!M30+1)</f>
        <v/>
      </c>
      <c r="F2038">
        <f>IF(Skills!N30=TRUE,(Skills!L30/10)*(E2038/1000),Skills!L30/10)+Skills!O30</f>
        <v/>
      </c>
      <c r="G2038">
        <f>Skills!G30*IF(Skills!H30&gt;0,IF(Inputs!$B$39="pvp",MIN(Skills!I30,15),Skills!I30)/Skills!H30,1)</f>
        <v/>
      </c>
      <c r="H2038">
        <f>1-(1-Skills!J30/100)^Skills!K30</f>
        <v/>
      </c>
      <c r="I2038" t="inlineStr">
        <is>
          <t>1</t>
        </is>
      </c>
      <c r="J2038" t="inlineStr"/>
      <c r="K2038" t="inlineStr"/>
      <c r="L2038" t="inlineStr"/>
      <c r="M2038" t="inlineStr"/>
      <c r="N2038" t="inlineStr"/>
      <c r="O2038">
        <f>(1-Summary!$B$11)*T2038+Summary!$B$11*V2038</f>
        <v/>
      </c>
      <c r="P2038">
        <f>IF(B2054=0,0,O2038/B2054)</f>
        <v/>
      </c>
      <c r="Q2038" t="n">
        <v>0</v>
      </c>
      <c r="R2038" t="n">
        <v>0</v>
      </c>
      <c r="S2038">
        <f>IFERROR(O2038/N2038,0)</f>
        <v/>
      </c>
      <c r="T2038" t="n">
        <v>0</v>
      </c>
      <c r="V2038" t="n">
        <v>0</v>
      </c>
    </row>
    <row r="2039">
      <c r="A2039">
        <f>Skills!A31</f>
        <v/>
      </c>
      <c r="B2039">
        <f>Skills!B31</f>
        <v/>
      </c>
      <c r="C2039">
        <f>Inputs!$B$3&gt;=125</f>
        <v/>
      </c>
      <c r="D2039">
        <f>IF(Skills!C31=1,60+Inputs!$B$25+Inputs!$B$29,IF(Skills!C31=2,90+Inputs!$B$26+Inputs!$B$29,IF(Skills!C31=3,120+Inputs!$B$27+Inputs!$B$29,MAX(0,(Inputs!$B$3-100)*3)+Inputs!$B$28+Inputs!$B$29)))</f>
        <v/>
      </c>
      <c r="E2039">
        <f>INDEX(FactorTable!$B$2:$Y$301, MATCH(ROUND(MIN(300,MAX(1,D2039)),0), FactorTable!$A$2:$A$301,0), Skills!M31+1)</f>
        <v/>
      </c>
      <c r="F2039">
        <f>IF(Skills!N31=TRUE,(Skills!L31/10)*(E2039/1000),Skills!L31/10)+Skills!O31</f>
        <v/>
      </c>
      <c r="G2039">
        <f>Skills!G31*IF(Skills!H31&gt;0,IF(Inputs!$B$39="pvp",MIN(Skills!I31,15),Skills!I31)/Skills!H31,1)</f>
        <v/>
      </c>
      <c r="H2039">
        <f>1-(1-Skills!J31/100)^Skills!K31</f>
        <v/>
      </c>
      <c r="I2039" t="inlineStr">
        <is>
          <t>1</t>
        </is>
      </c>
      <c r="J2039" t="inlineStr"/>
      <c r="K2039" t="inlineStr"/>
      <c r="L2039" t="inlineStr"/>
      <c r="M2039" t="inlineStr"/>
      <c r="N2039" t="inlineStr"/>
      <c r="O2039">
        <f>(1-Summary!$B$11)*T2039+Summary!$B$11*V2039</f>
        <v/>
      </c>
      <c r="P2039">
        <f>IF(B2054=0,0,O2039/B2054)</f>
        <v/>
      </c>
      <c r="Q2039" t="n">
        <v>0</v>
      </c>
      <c r="R2039" t="n">
        <v>0</v>
      </c>
      <c r="S2039">
        <f>IFERROR(O2039/N2039,0)</f>
        <v/>
      </c>
      <c r="T2039" t="n">
        <v>0</v>
      </c>
      <c r="V2039" t="n">
        <v>0</v>
      </c>
    </row>
    <row r="2041">
      <c r="A2041" t="inlineStr">
        <is>
          <t>Average Buff Multiplier</t>
        </is>
      </c>
      <c r="B2041">
        <f>(1+(((C2030=TRUE)*F2030*IF(AND(Inputs!$B$39&lt;&gt;"pvp",Inputs!$B$44&gt;0),(((R2030-1)*MIN((Skills!Y22*(1+Inputs!$B$34/100)),(1/Q2030))+MIN((Skills!Y22*(1+Inputs!$B$34/100)),MAX(0,Inputs!$B$44-((R2030-1)*(1/Q2030)))))/Inputs!$B$44),IF(Inputs!$B$39="pvp",MIN((Skills!Y22*(1+Inputs!$B$34/100)),15)/15,MIN(1,(Skills!Y22*(1+Inputs!$B$34/100))/(1/Q2030)))))+((C2011=TRUE)*F2011*3)+((C2013=TRUE)*F2013*(1-EXP(-0.75*B2046*5)))+((C2032=TRUE)*(F2032-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2019=TRUE)*F2019*IF(AND(Inputs!$B$39&lt;&gt;"pvp",Inputs!$B$44&gt;0),(((R2019-1)*MIN((Skills!Y11*(1+Inputs!$B$34/100)),(1/Q2019))+MIN((Skills!Y11*(1+Inputs!$B$34/100)),MAX(0,Inputs!$B$44-((R2019-1)*(1/Q2019)))))/Inputs!$B$44),IF(Inputs!$B$39="pvp",MIN((Skills!Y11*(1+Inputs!$B$34/100)),15)/15,MIN(1,(Skills!Y11*(1+Inputs!$B$34/100))/(1/Q2019)))))/100)*(1+((C2024=TRUE)*F2024*IF(AND(Inputs!$B$39&lt;&gt;"pvp",Inputs!$B$44&gt;0),(((R2024-1)*MIN((Skills!Y16*(1+Inputs!$B$34/100)),(1/Q2024))+MIN((Skills!Y16*(1+Inputs!$B$34/100)),MAX(0,Inputs!$B$44-((R2024-1)*(1/Q2024)))))/Inputs!$B$44),IF(Inputs!$B$39="pvp",MIN((Skills!Y16*(1+Inputs!$B$34/100)),15)/15,MIN(1,(Skills!Y16*(1+Inputs!$B$34/100))/(1/Q2024)))))/100)</f>
        <v/>
      </c>
    </row>
    <row r="2042">
      <c r="A2042" t="inlineStr">
        <is>
          <t>Global Crit Rate Bonus %</t>
        </is>
      </c>
      <c r="B2042">
        <f>((C2029=TRUE)*F2029*IF(AND(Inputs!$B$39&lt;&gt;"pvp",Inputs!$B$44&gt;0),(((R2029-1)*MIN((Skills!Y21*(1+Inputs!$B$34/100)),(1/Q2029))+MIN((Skills!Y21*(1+Inputs!$B$34/100)),MAX(0,Inputs!$B$44-((R2029-1)*(1/Q2029)))))/Inputs!$B$44),IF(Inputs!$B$39="pvp",MIN((Skills!Y21*(1+Inputs!$B$34/100)),15)/15,MIN(1,(Skills!Y21*(1+Inputs!$B$34/100))/(1/Q2029)))))</f>
        <v/>
      </c>
    </row>
    <row r="2043">
      <c r="A2043" t="inlineStr">
        <is>
          <t>Global Monster Damage-Taken Bonus %</t>
        </is>
      </c>
      <c r="B2043">
        <f>IF(Inputs!$B$3&gt;=82,15,0)</f>
        <v/>
      </c>
    </row>
    <row r="2044">
      <c r="A2044" t="inlineStr">
        <is>
          <t>Shadow Partner Average Multiplier</t>
        </is>
      </c>
      <c r="B2044">
        <f>1+((C2016=TRUE)*F2016*(1+3.3333333333333335*IF(C2027=TRUE,F2027,0)/100)*I2016*Skills!J8/100)/100</f>
        <v/>
      </c>
    </row>
    <row r="2045">
      <c r="A2045" t="inlineStr">
        <is>
          <t>Attack Speed Buff Bonus %</t>
        </is>
      </c>
      <c r="B2045">
        <f>((C2028=TRUE)*F2028*IF(AND(Inputs!$B$39&lt;&gt;"pvp",Inputs!$B$44&gt;0),(((R2028-1)*MIN((Skills!Y20*(1+Inputs!$B$34/100)),(1/Q2028))+MIN((Skills!Y20*(1+Inputs!$B$34/100)),MAX(0,Inputs!$B$44-((R2028-1)*(1/Q2028)))))/Inputs!$B$44),IF(Inputs!$B$39="pvp",MIN((Skills!Y20*(1+Inputs!$B$34/100)),15)/15,MIN(1,(Skills!Y20*(1+Inputs!$B$34/100))/(1/Q2028)))))</f>
        <v/>
      </c>
    </row>
    <row r="2046">
      <c r="A2046" t="inlineStr">
        <is>
          <t>Actions Per Second</t>
        </is>
      </c>
      <c r="B2046">
        <f>1+MIN(150,150*(1-(1-(Inputs!$B$11+((C2031=TRUE)*(F2031-Calc!F23)))/150)*(1-B2045/150)))/100</f>
        <v/>
      </c>
    </row>
    <row r="2047">
      <c r="A2047" t="inlineStr">
        <is>
          <t>Skill + Buff Cast Rate</t>
        </is>
      </c>
      <c r="B2047">
        <f>IF(AND(Inputs!$B$39&lt;&gt;"pvp",Inputs!$B$44&gt;0),SUMPRODUCT((Skills!E2:E31=TRUE)*(C2010:C2039=TRUE)*R2010:R2039*Skills!F2:F31)/Inputs!$B$44,SUMPRODUCT((Skills!E2:E31=TRUE)*(C2010:C2039=TRUE)*Q2010:Q2039*Skills!F2:F31))</f>
        <v/>
      </c>
    </row>
    <row r="2048">
      <c r="A2048" t="inlineStr">
        <is>
          <t>Cruel Stab Casts Per Second</t>
        </is>
      </c>
      <c r="B2048">
        <f>MAX(0,B2046-B2047)</f>
        <v/>
      </c>
    </row>
    <row r="2049">
      <c r="A2049" t="inlineStr">
        <is>
          <t>Global Critical Damage Bonus % (Smokescreen Mastery Lv.113)</t>
        </is>
      </c>
      <c r="B2049">
        <f>IF(Inputs!$B$3&gt;=113,30,0)*IF(AND(Inputs!$B$39&lt;&gt;"pvp",Inputs!$B$44&gt;0),(((R2024-1)*MIN((Skills!Y16*(1+Inputs!$B$34/100)),(1/Q2024))+MIN((Skills!Y16*(1+Inputs!$B$34/100)),MAX(0,Inputs!$B$44-((R2024-1)*(1/Q2024)))))/Inputs!$B$44),IF(Inputs!$B$39="pvp",MIN((Skills!Y16*(1+Inputs!$B$34/100)),15)/15,MIN(1,(Skills!Y16*(1+Inputs!$B$34/100))/(1/Q2024))))</f>
        <v/>
      </c>
    </row>
    <row r="2050">
      <c r="A2050" t="inlineStr">
        <is>
          <t>Meso Explosion average stack count</t>
        </is>
      </c>
      <c r="B2050">
        <f>MIN(10,IF(Inputs!$B$3&gt;=75,0.75,0.5)*B2046*(1/Q2012))</f>
        <v/>
      </c>
    </row>
    <row r="2051">
      <c r="A2051" t="inlineStr">
        <is>
          <t>Blood Money average stack count</t>
        </is>
      </c>
      <c r="B2051">
        <f>MIN(5,0.5*IF(Inputs!$B$3&gt;=75,0.75,0.5)*B2046*(1/Q2012))</f>
        <v/>
      </c>
    </row>
    <row r="2052">
      <c r="A2052" t="inlineStr">
        <is>
          <t>Assassinate Murderous Intent Multiplier</t>
        </is>
      </c>
      <c r="B2052">
        <f>1+IFERROR(MIN(1,Q2023*2/Q2020),0)</f>
        <v/>
      </c>
    </row>
    <row r="2053">
      <c r="A2053" t="inlineStr">
        <is>
          <t>Buff-Casting Startup Delay (s, fixed-duration only)</t>
        </is>
      </c>
      <c r="B2053">
        <f>IF(AND(Inputs!$B$39&lt;&gt;"pvp",Inputs!$B$44&gt;0),SUMPRODUCT((Skills!Y2:Y31&gt;0)*(Skills!E2:E31=TRUE)*(C2010:C2039=TRUE))/B2046,0)</f>
        <v/>
      </c>
    </row>
    <row r="2054">
      <c r="A2054" s="6" t="inlineStr">
        <is>
          <t>TOTAL DPS</t>
        </is>
      </c>
      <c r="B2054" s="6">
        <f>SUM(O2010:O2039)</f>
        <v/>
      </c>
    </row>
    <row r="2055">
      <c r="A2055" t="inlineStr">
        <is>
          <t>Boss-Only Total DPS (this block's swept value)</t>
        </is>
      </c>
      <c r="B2055">
        <f>SUM(T2010:T2039)</f>
        <v/>
      </c>
    </row>
    <row r="2056">
      <c r="A2056" t="inlineStr">
        <is>
          <t>Normal-Only Total DPS (this block's swept value)</t>
        </is>
      </c>
      <c r="B2056">
        <f>SUM(V2010:V2039)</f>
        <v/>
      </c>
    </row>
    <row r="2059">
      <c r="A2059" s="6" t="inlineStr">
        <is>
          <t>Stat: Pink Bean's Giant Rib (Equip)</t>
        </is>
      </c>
    </row>
    <row r="2060">
      <c r="A2060" s="5" t="inlineStr">
        <is>
          <t>Key</t>
        </is>
      </c>
      <c r="B2060" s="5" t="inlineStr">
        <is>
          <t>Name</t>
        </is>
      </c>
      <c r="C2060" s="5" t="inlineStr">
        <is>
          <t>Unlocked</t>
        </is>
      </c>
      <c r="D2060" s="5" t="inlineStr">
        <is>
          <t>InputLevel</t>
        </is>
      </c>
      <c r="E2060" s="5" t="inlineStr">
        <is>
          <t>Factor</t>
        </is>
      </c>
      <c r="F2060" s="5" t="inlineStr">
        <is>
          <t>CoefficientPercent</t>
        </is>
      </c>
      <c r="G2060" s="5" t="inlineStr">
        <is>
          <t>EffectiveHits</t>
        </is>
      </c>
      <c r="H2060" s="5" t="inlineStr">
        <is>
          <t>ProcProbability</t>
        </is>
      </c>
      <c r="I2060" s="5" t="inlineStr">
        <is>
          <t>MapleHeroMultiplier</t>
        </is>
      </c>
      <c r="J2060" s="5" t="inlineStr">
        <is>
          <t>BaseDamage</t>
        </is>
      </c>
      <c r="K2060" s="5" t="inlineStr">
        <is>
          <t>BaseHitDamage</t>
        </is>
      </c>
      <c r="L2060" s="5" t="inlineStr">
        <is>
          <t>NonCritAvg</t>
        </is>
      </c>
      <c r="M2060" s="5" t="inlineStr">
        <is>
          <t>CritAvg</t>
        </is>
      </c>
      <c r="N2060" s="5" t="inlineStr">
        <is>
          <t>ExpectedDamage(perHit)</t>
        </is>
      </c>
      <c r="O2060" s="5" t="inlineStr">
        <is>
          <t>DPS</t>
        </is>
      </c>
      <c r="P2060" s="5" t="inlineStr">
        <is>
          <t>% of Total</t>
        </is>
      </c>
      <c r="Q2060" s="5" t="inlineStr">
        <is>
          <t>InvCooldown</t>
        </is>
      </c>
      <c r="R2060" s="5" t="inlineStr">
        <is>
          <t>CastsInFight</t>
        </is>
      </c>
      <c r="S2060" s="5" t="inlineStr">
        <is>
          <t>HitRate(perSec)</t>
        </is>
      </c>
      <c r="U2060" t="inlineStr">
        <is>
          <t>helpers</t>
        </is>
      </c>
    </row>
    <row r="2061">
      <c r="A2061">
        <f>Skills!A2</f>
        <v/>
      </c>
      <c r="B2061">
        <f>Skills!B2</f>
        <v/>
      </c>
      <c r="C2061">
        <f>Inputs!$B$3&gt;=100</f>
        <v/>
      </c>
      <c r="D2061" t="inlineStr"/>
      <c r="E2061" t="inlineStr"/>
      <c r="F2061">
        <f>U2063+Skills!O2</f>
        <v/>
      </c>
      <c r="G2061">
        <f>Skills!G2*IF(Skills!H2&gt;0,IF(Inputs!$B$39="pvp",MIN(Skills!I2,15),Skills!I2)/Skills!H2,1)</f>
        <v/>
      </c>
      <c r="H2061">
        <f>1-(1-Skills!J2/100)^Skills!K2</f>
        <v/>
      </c>
      <c r="I2061" t="inlineStr">
        <is>
          <t>1</t>
        </is>
      </c>
      <c r="J2061">
        <f>((Inputs!$B$6*(1+Inputs!$B$7/100))+(((Inputs!$B$12*(1+Inputs!$B$13/100))-(Inputs!$B$12*(1+Inputs!$B$13/100)))+0.25*(Inputs!$B$14-Inputs!$B$14))*(1+Inputs!$B$7/100))*(F2061/100)</f>
        <v/>
      </c>
      <c r="K2061">
        <f>J2061*(1+((Inputs!$B$12*(1+Inputs!$B$13/100))*0.01+Inputs!$B$14*0.0025)/100)*(1+Inputs!$B$15/100)*(1+Inputs!$B$16/100)*(5000/(6000+Inputs!$B$43*(1-(100*(1-(1-Inputs!$B$19/100)*(1-CHOOSE(ArtifactsInput!$N$40+1,5,6,7,8,9,10)/100)^(ArtifactsInput!$M$40-ArtifactsInput!$M$40)))/100)))*(1+(Inputs!$B$24+((C2090=TRUE)*(F2090-Calc!F31))+((C2077=TRUE)*(F2077-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CRUEL_STAB",Inputs!$B$17+((C2087=TRUE)*(F2087-Calc!F28))+((IF(AND(Inputs!$B$39&lt;&gt;"pvp",Inputs!$B$44=0),1,IF(IF(Inputs!$B$39="pvp",15,Inputs!$B$44)-(B2104)&lt;=0,1,MAX(0,IF(Inputs!$B$39="pvp",15,Inputs!$B$44)-MAX(5,B2104))/(IF(Inputs!$B$39="pvp",15,Inputs!$B$44)-(B2104))))*(IF(AND(ArtifactsInput!$M$42,((Inputs!$B$9+((C2085=TRUE)*(F2085-Calc!F26))+B2093+(ArtifactsInput!$M$24-ArtifactsInput!$M$24)*CHOOSE(ArtifactsInput!$N$24+1,10,12,14,16,18,20)+IF(ArtifactsInput!$M$10,CHOOSE(ArtifactsInput!$N$10+1,15,18,21,24,27,30)*(IF(Inputs!$B$39="pvp",MIN(15,15)/15,IF(AND(Inputs!$B$39&lt;&gt;"pvp",Inputs!$B$44&gt;0),MIN(15,Inputs!$B$44)/(Inputs!$B$44),0))),0)))&gt;=100),MIN(100,((Inputs!$B$9+((C2085=TRUE)*(F2085-Calc!F26))+B2093+(ArtifactsInput!$M$24-ArtifactsInput!$M$24)*CHOOSE(ArtifactsInput!$N$24+1,10,12,14,16,18,20)+IF(ArtifactsInput!$M$10,CHOOSE(ArtifactsInput!$N$10+1,15,18,21,24,27,30)*(IF(Inputs!$B$39="pvp",MIN(15,15)/15,IF(AND(Inputs!$B$39&lt;&gt;"pvp",Inputs!$B$44&gt;0),MIN(15,Inputs!$B$44)/(Inputs!$B$44),0))),0)))-100),0))*CHOOSE(ArtifactsInput!$N$42+1,0.6,0.72,0.84,0.96,1.08,1.2))),Inputs!$B$18+((C2088=TRUE)*(F2088-Calc!F29))+(IF(AND(Inputs!$B$39&lt;&gt;"pvp",Inputs!$B$44=0),1,IF(IF(Inputs!$B$39="pvp",15,Inputs!$B$44)-(B2104)&lt;=0,1,MAX(0,IF(Inputs!$B$39="pvp",15,Inputs!$B$44)-MAX(5,B2104))/(IF(Inputs!$B$39="pvp",15,Inputs!$B$44)-(B2104))))*IF(AND(ArtifactsInput!$M$42,((Inputs!$B$9+((C2085=TRUE)*(F2085-Calc!F26))+B2093+(ArtifactsInput!$M$24-ArtifactsInput!$M$24)*CHOOSE(ArtifactsInput!$N$24+1,10,12,14,16,18,20)+IF(ArtifactsInput!$M$10,CHOOSE(ArtifactsInput!$N$10+1,15,18,21,24,27,30)*(IF(Inputs!$B$39="pvp",MIN(15,15)/15,IF(AND(Inputs!$B$39&lt;&gt;"pvp",Inputs!$B$44&gt;0),MIN(15,Inputs!$B$44)/(Inputs!$B$44),0))),0)))&gt;=100),CHOOSE(ArtifactsInput!$N$42+1,40,48,56,64,72,80),0))))/100)*(((1+(((C2081=TRUE)*F2081*IF(AND(Inputs!$B$39&lt;&gt;"pvp",Inputs!$B$44&gt;0),(((R2081-1)*MIN((Skills!Y22*(1+Inputs!$B$34/100)),(1/Q2081))+MIN((Skills!Y22*(1+Inputs!$B$34/100)),MAX(0,Inputs!$B$44-((R2081-1)*(1/Q2081)))))/Inputs!$B$44),IF(Inputs!$B$39="pvp",MIN((Skills!Y22*(1+Inputs!$B$34/100)),15)/15,MIN(1,(Skills!Y22*(1+Inputs!$B$34/100))/(1/Q2081)))))+((C2062=TRUE)*F2062*3)+((C2064=TRUE)*F2064*(1-EXP(-0.75*B2097*5)))+((C2083=TRUE)*(F2083-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2070=TRUE)*F2070*IF(AND(Inputs!$B$39&lt;&gt;"pvp",Inputs!$B$44&gt;0),(((R2070-1)*MIN((Skills!Y11*(1+Inputs!$B$34/100)),(1/Q2070))+MIN((Skills!Y11*(1+Inputs!$B$34/100)),MAX(0,Inputs!$B$44-((R2070-1)*(1/Q2070)))))/Inputs!$B$44),IF(Inputs!$B$39="pvp",MIN((Skills!Y11*(1+Inputs!$B$34/100)),15)/15,MIN(1,(Skills!Y11*(1+Inputs!$B$34/100))/(1/Q2070)))))/100)*(1+((C2075=TRUE)*F2075*IF(AND(Inputs!$B$39&lt;&gt;"pvp",Inputs!$B$44&gt;0),(((R2075-1)*MIN((Skills!Y16*(1+Inputs!$B$34/100)),(1/Q2075))+MIN((Skills!Y16*(1+Inputs!$B$34/100)),MAX(0,Inputs!$B$44-((R2075-1)*(1/Q2075)))))/Inputs!$B$44),IF(Inputs!$B$39="pvp",MIN((Skills!Y16*(1+Inputs!$B$34/100)),15)/15,MIN(1,(Skills!Y16*(1+Inputs!$B$34/100))/(1/Q2075)))))/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2095*I2061)</f>
        <v/>
      </c>
      <c r="L2061">
        <f>K2061*(MIN(Inputs!$B$22+((C2084=TRUE)*(F2084-Calc!F25)),(Inputs!$B$23+((C2089=TRUE)*(F2089-Calc!F30))+IF(ArtifactsInput!$M$15,CHOOSE(ArtifactsInput!$N$15+1,25,30,35,40,45,50)/100*(Inputs!$B$11-Inputs!$B$11),0)))/100+(Inputs!$B$23+((C2089=TRUE)*(F2089-Calc!F30))+IF(ArtifactsInput!$M$15,CHOOSE(ArtifactsInput!$N$15+1,25,30,35,40,45,50)/100*(Inputs!$B$11-Inputs!$B$11),0))/100)/2</f>
        <v/>
      </c>
      <c r="M2061">
        <f>L2061*(1+(Inputs!$B$10+((C2086=TRUE)*(F2086-Calc!F27))+B2100+(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2061">
        <f>L2061*(1-MIN((Inputs!$B$9+((C2085=TRUE)*(F2085-Calc!F26))+B2093+(ArtifactsInput!$M$24-ArtifactsInput!$M$24)*CHOOSE(ArtifactsInput!$N$24+1,10,12,14,16,18,20)+(IF(AND(Inputs!$B$39&lt;&gt;"pvp",Inputs!$B$44=0),1,IF(IF(Inputs!$B$39="pvp",15,Inputs!$B$44)-(B2104)&lt;=0,1,MAX(0,IF(Inputs!$B$39="pvp",15,Inputs!$B$44)-MAX(5,B2104))/(IF(Inputs!$B$39="pvp",15,Inputs!$B$44)-(B2104))))*IF(AND(ArtifactsInput!$M$42,((Inputs!$B$9+((C2085=TRUE)*(F2085-Calc!F26))+B2093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2061*(MIN((Inputs!$B$9+((C2085=TRUE)*(F2085-Calc!F26))+B2093+(ArtifactsInput!$M$24-ArtifactsInput!$M$24)*CHOOSE(ArtifactsInput!$N$24+1,10,12,14,16,18,20)+(IF(AND(Inputs!$B$39&lt;&gt;"pvp",Inputs!$B$44=0),1,IF(IF(Inputs!$B$39="pvp",15,Inputs!$B$44)-(B2104)&lt;=0,1,MAX(0,IF(Inputs!$B$39="pvp",15,Inputs!$B$44)-MAX(5,B2104))/(IF(Inputs!$B$39="pvp",15,Inputs!$B$44)-(B2104))))*IF(AND(ArtifactsInput!$M$42,((Inputs!$B$9+((C2085=TRUE)*(F2085-Calc!F26))+B2093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061">
        <f>(1-Summary!$B$11)*T2061+Summary!$B$11*V2061</f>
        <v/>
      </c>
      <c r="P2061">
        <f>IF(B2105=0,0,O2061/B2105)</f>
        <v/>
      </c>
      <c r="Q2061" t="n">
        <v>0</v>
      </c>
      <c r="R2061" t="n">
        <v>0</v>
      </c>
      <c r="S2061">
        <f>IFERROR(O2061/N2061,0)</f>
        <v/>
      </c>
      <c r="T2061">
        <f>IF(C2061,(Skills!G2*N2061*B2099)*IF(Inputs!$B$39="pvp",1,1+(Inputs!$B$20+0+Skills!P2+B2094+(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Hunt"),CHOOSE(ArtifactsInput!$N$35+1,15,18,21,24,27,30)*(1-EXP(-(0.2*B2097)*5)),0)+IF(AND(ArtifactsInput!$M$22,Inputs!$B$4&lt;&gt;"Chapter Hunt"),CHOOSE(ArtifactsInput!$N$22+1,10,12,14,16,18,20)*((0*(((0.15*B2097*5))^0/1)+1*(((0.15*B2097*5))^1/1)+2*(((0.15*B2097*5))^2/2)+3*(((0.15*B2097*5))^3/6)+4*(((0.15*B2097*5))^4/24)+5*(((0.15*B2097*5))^5/120))/((((0.15*B2097*5))^0/1)+(((0.15*B2097*5))^1/1)+(((0.15*B2097*5))^2/2)+(((0.15*B2097*5))^3/6)+(((0.15*B2097*5))^4/24)+(((0.15*B2097*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2061*(1-MIN(100,(Inputs!$B$9+((C2085=TRUE)*(F2085-Calc!F26))+B2093+(ArtifactsInput!$M$24-ArtifactsInput!$M$24)*CHOOSE(ArtifactsInput!$N$24+1,10,12,14,16,18,20)+(IF(AND(Inputs!$B$39&lt;&gt;"pvp",Inputs!$B$44=0),1,IF(IF(Inputs!$B$39="pvp",15,Inputs!$B$44)-(B2104)&lt;=0,1,MAX(0,IF(Inputs!$B$39="pvp",15,Inputs!$B$44)-MAX(5,B2104))/(IF(Inputs!$B$39="pvp",15,Inputs!$B$44)-(B2104))))*IF(AND(ArtifactsInput!$M$42,((Inputs!$B$9+((C2085=TRUE)*(F2085-Calc!F26))+B2093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2061*(MIN(100,(Inputs!$B$9+((C2085=TRUE)*(F2085-Calc!F26))+B2093+(ArtifactsInput!$M$24-ArtifactsInput!$M$24)*CHOOSE(ArtifactsInput!$N$24+1,10,12,14,16,18,20)+(IF(AND(Inputs!$B$39&lt;&gt;"pvp",Inputs!$B$44=0),1,IF(IF(Inputs!$B$39="pvp",15,Inputs!$B$44)-(B2104)&lt;=0,1,MAX(0,IF(Inputs!$B$39="pvp",15,Inputs!$B$44)-MAX(5,B2104))/(IF(Inputs!$B$39="pvp",15,Inputs!$B$44)-(B2104))))*IF(AND(ArtifactsInput!$M$42,((Inputs!$B$9+((C2085=TRUE)*(F2085-Calc!F26))+B2093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2061*(1-MIN(100,(Inputs!$B$9+((C2085=TRUE)*(F2085-Calc!F26))+B2093+(ArtifactsInput!$M$24-ArtifactsInput!$M$24)*CHOOSE(ArtifactsInput!$N$24+1,10,12,14,16,18,20)+(IF(AND(Inputs!$B$39&lt;&gt;"pvp",Inputs!$B$44=0),1,IF(IF(Inputs!$B$39="pvp",15,Inputs!$B$44)-(B2104)&lt;=0,1,MAX(0,IF(Inputs!$B$39="pvp",15,Inputs!$B$44)-MAX(5,B2104))/(IF(Inputs!$B$39="pvp",15,Inputs!$B$44)-(B2104))))*IF(AND(ArtifactsInput!$M$42,((Inputs!$B$9+((C2085=TRUE)*(F2085-Calc!F26))+B2093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2061*(MIN(100,(Inputs!$B$9+((C2085=TRUE)*(F2085-Calc!F26))+B2093+(ArtifactsInput!$M$24-ArtifactsInput!$M$24)*CHOOSE(ArtifactsInput!$N$24+1,10,12,14,16,18,20)+(IF(AND(Inputs!$B$39&lt;&gt;"pvp",Inputs!$B$44=0),1,IF(IF(Inputs!$B$39="pvp",15,Inputs!$B$44)-(B2104)&lt;=0,1,MAX(0,IF(Inputs!$B$39="pvp",15,Inputs!$B$44)-MAX(5,B2104))/(IF(Inputs!$B$39="pvp",15,Inputs!$B$44)-(B2104))))*IF(AND(ArtifactsInput!$M$42,((Inputs!$B$9+((C2085=TRUE)*(F2085-Calc!F26))+B2093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2061">
        <f>MAX(0,(Inputs!$B$3-100)*3)+Inputs!$B$28+Inputs!$B$29</f>
        <v/>
      </c>
      <c r="V2061">
        <f>IF(C2061,(Skills!G2*N2061*B2099)*IF(Inputs!$B$39="pvp",1,(1+(Inputs!$B$21+Skills!Q2+B2094+(IF(ArtifactsInput!$M$33,CHOOSE(ArtifactsInput!$N$33+1,30,36,42,48,54,60),0))+(IF(AND(ArtifactsInput!$M$35,Inputs!$B$4&lt;&gt;"Chapter Hunt"),CHOOSE(ArtifactsInput!$N$35+1,15,18,21,24,27,30)*(1-EXP(-(0.2*B2097)*5)),0)+IF(AND(ArtifactsInput!$M$22,Inputs!$B$4&lt;&gt;"Chapter Hunt"),CHOOSE(ArtifactsInput!$N$22+1,10,12,14,16,18,20)*((0*(((0.15*B2097*5))^0/1)+1*(((0.15*B2097*5))^1/1)+2*(((0.15*B2097*5))^2/2)+3*(((0.15*B2097*5))^3/6)+4*(((0.15*B2097*5))^4/24)+5*(((0.15*B2097*5))^5/120))/((((0.15*B2097*5))^0/1)+(((0.15*B2097*5))^1/1)+(((0.15*B2097*5))^2/2)+(((0.15*B2097*5))^3/6)+(((0.15*B2097*5))^4/24)+(((0.15*B2097*5))^5/120))),0)))/100)*(MIN((6+Inputs!$B$33),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062">
      <c r="A2062">
        <f>Skills!A3</f>
        <v/>
      </c>
      <c r="B2062">
        <f>Skills!B3</f>
        <v/>
      </c>
      <c r="C2062">
        <f>Inputs!$B$3&gt;=35</f>
        <v/>
      </c>
      <c r="D2062">
        <f>IF(Skills!C3=1,60+Inputs!$B$25+Inputs!$B$29,IF(Skills!C3=2,90+Inputs!$B$26+Inputs!$B$29,IF(Skills!C3=3,120+Inputs!$B$27+Inputs!$B$29,MAX(0,(Inputs!$B$3-100)*3)+Inputs!$B$28+Inputs!$B$29)))</f>
        <v/>
      </c>
      <c r="E2062">
        <f>INDEX(FactorTable!$B$2:$Y$301, MATCH(ROUND(MIN(300,MAX(1,D2062)),0), FactorTable!$A$2:$A$301,0), Skills!M3+1)</f>
        <v/>
      </c>
      <c r="F2062">
        <f>IF(Skills!N3=TRUE,(Skills!L3/10)*(E2062/1000),Skills!L3/10)+Skills!O3</f>
        <v/>
      </c>
      <c r="G2062">
        <f>Skills!G3*IF(Skills!H3&gt;0,IF(Inputs!$B$39="pvp",MIN(Skills!I3,15),Skills!I3)/Skills!H3,1)</f>
        <v/>
      </c>
      <c r="H2062">
        <f>1-(1-Skills!J3/100)^Skills!K3</f>
        <v/>
      </c>
      <c r="I2062" t="inlineStr">
        <is>
          <t>1</t>
        </is>
      </c>
      <c r="J2062" t="inlineStr"/>
      <c r="K2062" t="inlineStr"/>
      <c r="L2062" t="inlineStr"/>
      <c r="M2062" t="inlineStr"/>
      <c r="N2062" t="inlineStr"/>
      <c r="O2062">
        <f>(1-Summary!$B$11)*T2062+Summary!$B$11*V2062</f>
        <v/>
      </c>
      <c r="P2062">
        <f>IF(B2105=0,0,O2062/B2105)</f>
        <v/>
      </c>
      <c r="Q2062" t="n">
        <v>0</v>
      </c>
      <c r="R2062" t="n">
        <v>0</v>
      </c>
      <c r="S2062">
        <f>IFERROR(O2062/N2062,0)</f>
        <v/>
      </c>
      <c r="T2062" t="n">
        <v>0</v>
      </c>
      <c r="U2062">
        <f>INDEX(FactorTable!$B$2:$Y$301, MATCH(ROUND(MIN(300,MAX(1,U2061)),0), FactorTable!$A$2:$A$301,0), 22)</f>
        <v/>
      </c>
      <c r="V2062" t="n">
        <v>0</v>
      </c>
    </row>
    <row r="2063">
      <c r="A2063">
        <f>Skills!A4</f>
        <v/>
      </c>
      <c r="B2063">
        <f>Skills!B4</f>
        <v/>
      </c>
      <c r="C2063">
        <f>Inputs!$B$3&gt;=66</f>
        <v/>
      </c>
      <c r="D2063">
        <f>IF(Skills!C4=1,60+Inputs!$B$25+Inputs!$B$29,IF(Skills!C4=2,90+Inputs!$B$26+Inputs!$B$29,IF(Skills!C4=3,120+Inputs!$B$27+Inputs!$B$29,MAX(0,(Inputs!$B$3-100)*3)+Inputs!$B$28+Inputs!$B$29)))</f>
        <v/>
      </c>
      <c r="E2063">
        <f>INDEX(FactorTable!$B$2:$Y$301, MATCH(ROUND(MIN(300,MAX(1,D2063)),0), FactorTable!$A$2:$A$301,0), Skills!M4+1)</f>
        <v/>
      </c>
      <c r="F2063">
        <f>IF(Skills!N4=TRUE,(Skills!L4/10)*(E2063/1000),Skills!L4/10)+Skills!O4</f>
        <v/>
      </c>
      <c r="G2063">
        <f>Skills!G4*IF(Skills!H4&gt;0,IF(Inputs!$B$39="pvp",MIN(Skills!I4,15),Skills!I4)/Skills!H4,1)</f>
        <v/>
      </c>
      <c r="H2063">
        <f>1-(1-Skills!J4/100)^Skills!K4</f>
        <v/>
      </c>
      <c r="I2063" t="inlineStr">
        <is>
          <t>1</t>
        </is>
      </c>
      <c r="J2063">
        <f>((Inputs!$B$6*(1+Inputs!$B$7/100))+(((Inputs!$B$12*(1+Inputs!$B$13/100))-(Inputs!$B$12*(1+Inputs!$B$13/100)))+0.25*(Inputs!$B$14-Inputs!$B$14))*(1+Inputs!$B$7/100))*(F2063/100)</f>
        <v/>
      </c>
      <c r="K2063">
        <f>J2063*(1+((Inputs!$B$12*(1+Inputs!$B$13/100))*0.01+Inputs!$B$14*0.0025)/100)*(1+Inputs!$B$15/100)*(1+Inputs!$B$16/100)*(5000/(6000+Inputs!$B$43*(1-(100*(1-(1-Inputs!$B$19/100)*(1-CHOOSE(ArtifactsInput!$N$40+1,5,6,7,8,9,10)/100)^(ArtifactsInput!$M$40-ArtifactsInput!$M$40)))/100)))*(1+(Inputs!$B$24+((C2090=TRUE)*(F2090-Calc!F31))+((C2077=TRUE)*(F2077-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4="CRUEL_STAB",Inputs!$B$17+((C2087=TRUE)*(F2087-Calc!F28))+((IF(AND(Inputs!$B$39&lt;&gt;"pvp",Inputs!$B$44=0),1,IF(IF(Inputs!$B$39="pvp",15,Inputs!$B$44)-(B2104)&lt;=0,1,MAX(0,IF(Inputs!$B$39="pvp",15,Inputs!$B$44)-MAX(5,B2104))/(IF(Inputs!$B$39="pvp",15,Inputs!$B$44)-(B2104))))*(IF(AND(ArtifactsInput!$M$42,((Inputs!$B$9+((C2085=TRUE)*(F2085-Calc!F26))+B2093+(ArtifactsInput!$M$24-ArtifactsInput!$M$24)*CHOOSE(ArtifactsInput!$N$24+1,10,12,14,16,18,20)+IF(ArtifactsInput!$M$10,CHOOSE(ArtifactsInput!$N$10+1,15,18,21,24,27,30)*(IF(Inputs!$B$39="pvp",MIN(15,15)/15,IF(AND(Inputs!$B$39&lt;&gt;"pvp",Inputs!$B$44&gt;0),MIN(15,Inputs!$B$44)/(Inputs!$B$44),0))),0)))&gt;=100),MIN(100,((Inputs!$B$9+((C2085=TRUE)*(F2085-Calc!F26))+B2093+(ArtifactsInput!$M$24-ArtifactsInput!$M$24)*CHOOSE(ArtifactsInput!$N$24+1,10,12,14,16,18,20)+IF(ArtifactsInput!$M$10,CHOOSE(ArtifactsInput!$N$10+1,15,18,21,24,27,30)*(IF(Inputs!$B$39="pvp",MIN(15,15)/15,IF(AND(Inputs!$B$39&lt;&gt;"pvp",Inputs!$B$44&gt;0),MIN(15,Inputs!$B$44)/(Inputs!$B$44),0))),0)))-100),0))*CHOOSE(ArtifactsInput!$N$42+1,0.6,0.72,0.84,0.96,1.08,1.2))),Inputs!$B$18+((C2088=TRUE)*(F2088-Calc!F29))+(IF(AND(Inputs!$B$39&lt;&gt;"pvp",Inputs!$B$44=0),1,IF(IF(Inputs!$B$39="pvp",15,Inputs!$B$44)-(B2104)&lt;=0,1,MAX(0,IF(Inputs!$B$39="pvp",15,Inputs!$B$44)-MAX(5,B2104))/(IF(Inputs!$B$39="pvp",15,Inputs!$B$44)-(B2104))))*IF(AND(ArtifactsInput!$M$42,((Inputs!$B$9+((C2085=TRUE)*(F2085-Calc!F26))+B2093+(ArtifactsInput!$M$24-ArtifactsInput!$M$24)*CHOOSE(ArtifactsInput!$N$24+1,10,12,14,16,18,20)+IF(ArtifactsInput!$M$10,CHOOSE(ArtifactsInput!$N$10+1,15,18,21,24,27,30)*(IF(Inputs!$B$39="pvp",MIN(15,15)/15,IF(AND(Inputs!$B$39&lt;&gt;"pvp",Inputs!$B$44&gt;0),MIN(15,Inputs!$B$44)/(Inputs!$B$44),0))),0)))&gt;=100),CHOOSE(ArtifactsInput!$N$42+1,40,48,56,64,72,80),0))))/100)*(((1+(((C2081=TRUE)*F2081*IF(AND(Inputs!$B$39&lt;&gt;"pvp",Inputs!$B$44&gt;0),(((R2081-1)*MIN((Skills!Y22*(1+Inputs!$B$34/100)),(1/Q2081))+MIN((Skills!Y22*(1+Inputs!$B$34/100)),MAX(0,Inputs!$B$44-((R2081-1)*(1/Q2081)))))/Inputs!$B$44),IF(Inputs!$B$39="pvp",MIN((Skills!Y22*(1+Inputs!$B$34/100)),15)/15,MIN(1,(Skills!Y22*(1+Inputs!$B$34/100))/(1/Q2081)))))+((C2062=TRUE)*F2062*3)+((C2064=TRUE)*F2064*(1-EXP(-0.75*B2097*5)))+((C2083=TRUE)*(F2083-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2070=TRUE)*F2070*IF(AND(Inputs!$B$39&lt;&gt;"pvp",Inputs!$B$44&gt;0),(((R2070-1)*MIN((Skills!Y11*(1+Inputs!$B$34/100)),(1/Q2070))+MIN((Skills!Y11*(1+Inputs!$B$34/100)),MAX(0,Inputs!$B$44-((R2070-1)*(1/Q2070)))))/Inputs!$B$44),IF(Inputs!$B$39="pvp",MIN((Skills!Y11*(1+Inputs!$B$34/100)),15)/15,MIN(1,(Skills!Y11*(1+Inputs!$B$34/100))/(1/Q2070)))))/100)*(1+((C2075=TRUE)*F2075*IF(AND(Inputs!$B$39&lt;&gt;"pvp",Inputs!$B$44&gt;0),(((R2075-1)*MIN((Skills!Y16*(1+Inputs!$B$34/100)),(1/Q2075))+MIN((Skills!Y16*(1+Inputs!$B$34/100)),MAX(0,Inputs!$B$44-((R2075-1)*(1/Q2075)))))/Inputs!$B$44),IF(Inputs!$B$39="pvp",MIN((Skills!Y16*(1+Inputs!$B$34/100)),15)/15,MIN(1,(Skills!Y16*(1+Inputs!$B$34/100))/(1/Q2075)))))/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2095*I2063)</f>
        <v/>
      </c>
      <c r="L2063">
        <f>K2063*(MIN(Inputs!$B$22+((C2084=TRUE)*(F2084-Calc!F25)),(Inputs!$B$23+((C2089=TRUE)*(F2089-Calc!F30))+IF(ArtifactsInput!$M$15,CHOOSE(ArtifactsInput!$N$15+1,25,30,35,40,45,50)/100*(Inputs!$B$11-Inputs!$B$11),0)))/100+(Inputs!$B$23+((C2089=TRUE)*(F2089-Calc!F30))+IF(ArtifactsInput!$M$15,CHOOSE(ArtifactsInput!$N$15+1,25,30,35,40,45,50)/100*(Inputs!$B$11-Inputs!$B$11),0))/100)/2</f>
        <v/>
      </c>
      <c r="M2063">
        <f>L2063*(1+(Inputs!$B$10+((C2086=TRUE)*(F2086-Calc!F27))+B2100+(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2063">
        <f>L2063*(1-MIN((Inputs!$B$9+((C2085=TRUE)*(F2085-Calc!F26))+B2093+(ArtifactsInput!$M$24-ArtifactsInput!$M$24)*CHOOSE(ArtifactsInput!$N$24+1,10,12,14,16,18,20)+(IF(AND(Inputs!$B$39&lt;&gt;"pvp",Inputs!$B$44=0),1,IF(IF(Inputs!$B$39="pvp",15,Inputs!$B$44)-(B2104)&lt;=0,1,MAX(0,IF(Inputs!$B$39="pvp",15,Inputs!$B$44)-MAX(5,B2104))/(IF(Inputs!$B$39="pvp",15,Inputs!$B$44)-(B2104))))*IF(AND(ArtifactsInput!$M$42,((Inputs!$B$9+((C2085=TRUE)*(F2085-Calc!F26))+B2093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2063*(MIN((Inputs!$B$9+((C2085=TRUE)*(F2085-Calc!F26))+B2093+(ArtifactsInput!$M$24-ArtifactsInput!$M$24)*CHOOSE(ArtifactsInput!$N$24+1,10,12,14,16,18,20)+(IF(AND(Inputs!$B$39&lt;&gt;"pvp",Inputs!$B$44=0),1,IF(IF(Inputs!$B$39="pvp",15,Inputs!$B$44)-(B2104)&lt;=0,1,MAX(0,IF(Inputs!$B$39="pvp",15,Inputs!$B$44)-MAX(5,B2104))/(IF(Inputs!$B$39="pvp",15,Inputs!$B$44)-(B2104))))*IF(AND(ArtifactsInput!$M$42,((Inputs!$B$9+((C2085=TRUE)*(F2085-Calc!F26))+B2093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063">
        <f>(1-Summary!$B$11)*T2063+Summary!$B$11*V2063</f>
        <v/>
      </c>
      <c r="P2063">
        <f>IF(B2105=0,0,O2063/B2105)</f>
        <v/>
      </c>
      <c r="Q2063">
        <f>IFERROR(1/IF(Inputs!$B$39="pvp",15,MAX(0.1,Skills!D4-IF(TRUE=TRUE,Inputs!$B$32,0))),0)</f>
        <v/>
      </c>
      <c r="R2063">
        <f>IF(AND(Inputs!$B$39&lt;&gt;"pvp",Inputs!$B$44&gt;0),IF(MAX(0,Inputs!$B$44-B2104)&lt;=0,0,(INT(MAX(0,Inputs!$B$44-B2104)/IF(Inputs!$B$39="pvp",15,MAX(0.1,Skills!D4-IF(TRUE=TRUE,Inputs!$B$32,0))))+1)),0)</f>
        <v/>
      </c>
      <c r="S2063">
        <f>IFERROR(O2063/N2063,0)</f>
        <v/>
      </c>
      <c r="T2063">
        <f>IF(C2063,(H2063*N2063*IF(AND(Inputs!$B$39&lt;&gt;"pvp",Inputs!$B$44&gt;0),((Skills!G4*((R2063-1)*IF(Skills!H4&gt;0,Skills!I4/Skills!H4,1)+IF(Skills!H4&gt;0,MIN(Skills!I4,MAX(0,MAX(0,Inputs!$B$44-B2104)-((R2063-1)*IF(Inputs!$B$39="pvp",15,MAX(0.1,Skills!D4-IF(TRUE=TRUE,Inputs!$B$32,0))))))/Skills!H4,1)))/Inputs!$B$44),G2063*Q2063))*IF(Inputs!$B$39="pvp",1,1+(Inputs!$B$20+0+Skills!P4+B2094+(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Hunt"),CHOOSE(ArtifactsInput!$N$35+1,15,18,21,24,27,30)*(1-EXP(-(0.2*B2097)*5)),0)+IF(AND(ArtifactsInput!$M$22,Inputs!$B$4&lt;&gt;"Chapter Hunt"),CHOOSE(ArtifactsInput!$N$22+1,10,12,14,16,18,20)*((0*(((0.15*B2097*5))^0/1)+1*(((0.15*B2097*5))^1/1)+2*(((0.15*B2097*5))^2/2)+3*(((0.15*B2097*5))^3/6)+4*(((0.15*B2097*5))^4/24)+5*(((0.15*B2097*5))^5/120))/((((0.15*B2097*5))^0/1)+(((0.15*B2097*5))^1/1)+(((0.15*B2097*5))^2/2)+(((0.15*B2097*5))^3/6)+(((0.15*B2097*5))^4/24)+(((0.15*B2097*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2063*(1-MIN(100,(Inputs!$B$9+((C2085=TRUE)*(F2085-Calc!F26))+B2093+(ArtifactsInput!$M$24-ArtifactsInput!$M$24)*CHOOSE(ArtifactsInput!$N$24+1,10,12,14,16,18,20)+(IF(AND(Inputs!$B$39&lt;&gt;"pvp",Inputs!$B$44=0),1,IF(IF(Inputs!$B$39="pvp",15,Inputs!$B$44)-(B2104)&lt;=0,1,MAX(0,IF(Inputs!$B$39="pvp",15,Inputs!$B$44)-MAX(5,B2104))/(IF(Inputs!$B$39="pvp",15,Inputs!$B$44)-(B2104))))*IF(AND(ArtifactsInput!$M$42,((Inputs!$B$9+((C2085=TRUE)*(F2085-Calc!F26))+B2093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2063*(MIN(100,(Inputs!$B$9+((C2085=TRUE)*(F2085-Calc!F26))+B2093+(ArtifactsInput!$M$24-ArtifactsInput!$M$24)*CHOOSE(ArtifactsInput!$N$24+1,10,12,14,16,18,20)+(IF(AND(Inputs!$B$39&lt;&gt;"pvp",Inputs!$B$44=0),1,IF(IF(Inputs!$B$39="pvp",15,Inputs!$B$44)-(B2104)&lt;=0,1,MAX(0,IF(Inputs!$B$39="pvp",15,Inputs!$B$44)-MAX(5,B2104))/(IF(Inputs!$B$39="pvp",15,Inputs!$B$44)-(B2104))))*IF(AND(ArtifactsInput!$M$42,((Inputs!$B$9+((C2085=TRUE)*(F2085-Calc!F26))+B2093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2063*(1-MIN(100,(Inputs!$B$9+((C2085=TRUE)*(F2085-Calc!F26))+B2093+(ArtifactsInput!$M$24-ArtifactsInput!$M$24)*CHOOSE(ArtifactsInput!$N$24+1,10,12,14,16,18,20)+(IF(AND(Inputs!$B$39&lt;&gt;"pvp",Inputs!$B$44=0),1,IF(IF(Inputs!$B$39="pvp",15,Inputs!$B$44)-(B2104)&lt;=0,1,MAX(0,IF(Inputs!$B$39="pvp",15,Inputs!$B$44)-MAX(5,B2104))/(IF(Inputs!$B$39="pvp",15,Inputs!$B$44)-(B2104))))*IF(AND(ArtifactsInput!$M$42,((Inputs!$B$9+((C2085=TRUE)*(F2085-Calc!F26))+B2093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2063*(MIN(100,(Inputs!$B$9+((C2085=TRUE)*(F2085-Calc!F26))+B2093+(ArtifactsInput!$M$24-ArtifactsInput!$M$24)*CHOOSE(ArtifactsInput!$N$24+1,10,12,14,16,18,20)+(IF(AND(Inputs!$B$39&lt;&gt;"pvp",Inputs!$B$44=0),1,IF(IF(Inputs!$B$39="pvp",15,Inputs!$B$44)-(B2104)&lt;=0,1,MAX(0,IF(Inputs!$B$39="pvp",15,Inputs!$B$44)-MAX(5,B2104))/(IF(Inputs!$B$39="pvp",15,Inputs!$B$44)-(B2104))))*IF(AND(ArtifactsInput!$M$42,((Inputs!$B$9+((C2085=TRUE)*(F2085-Calc!F26))+B2093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2063">
        <f>290*U2062/1000</f>
        <v/>
      </c>
      <c r="V2063">
        <f>IF(C2063,(H2063*N2063*IF(AND(Inputs!$B$39&lt;&gt;"pvp",Inputs!$B$44&gt;0),((Skills!G4*((R2063-1)*IF(Skills!H4&gt;0,Skills!I4/Skills!H4,1)+IF(Skills!H4&gt;0,MIN(Skills!I4,MAX(0,MAX(0,Inputs!$B$44-B2104)-((R2063-1)*IF(Inputs!$B$39="pvp",15,MAX(0.1,Skills!D4-IF(TRUE=TRUE,Inputs!$B$32,0))))))/Skills!H4,1)))/Inputs!$B$44),G2063*Q2063))*IF(Inputs!$B$39="pvp",1,(1+(Inputs!$B$21+Skills!Q4+B2094+(IF(ArtifactsInput!$M$33,CHOOSE(ArtifactsInput!$N$33+1,30,36,42,48,54,60),0))+(IF(AND(ArtifactsInput!$M$35,Inputs!$B$4&lt;&gt;"Chapter Hunt"),CHOOSE(ArtifactsInput!$N$35+1,15,18,21,24,27,30)*(1-EXP(-(0.2*B2097)*5)),0)+IF(AND(ArtifactsInput!$M$22,Inputs!$B$4&lt;&gt;"Chapter Hunt"),CHOOSE(ArtifactsInput!$N$22+1,10,12,14,16,18,20)*((0*(((0.15*B2097*5))^0/1)+1*(((0.15*B2097*5))^1/1)+2*(((0.15*B2097*5))^2/2)+3*(((0.15*B2097*5))^3/6)+4*(((0.15*B2097*5))^4/24)+5*(((0.15*B2097*5))^5/120))/((((0.15*B2097*5))^0/1)+(((0.15*B2097*5))^1/1)+(((0.15*B2097*5))^2/2)+(((0.15*B2097*5))^3/6)+(((0.15*B2097*5))^4/24)+(((0.15*B2097*5))^5/120))),0)))/100)*(MIN(MIN(10,IF(Inputs!$B$3&gt;=75,0.75,0.5)*B2097*(1/Q2063)),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064">
      <c r="A2064">
        <f>Skills!A5</f>
        <v/>
      </c>
      <c r="B2064">
        <f>Skills!B5</f>
        <v/>
      </c>
      <c r="C2064">
        <f>Inputs!$B$3&gt;=75</f>
        <v/>
      </c>
      <c r="D2064">
        <f>IF(Skills!C5=1,60+Inputs!$B$25+Inputs!$B$29,IF(Skills!C5=2,90+Inputs!$B$26+Inputs!$B$29,IF(Skills!C5=3,120+Inputs!$B$27+Inputs!$B$29,MAX(0,(Inputs!$B$3-100)*3)+Inputs!$B$28+Inputs!$B$29)))</f>
        <v/>
      </c>
      <c r="E2064">
        <f>INDEX(FactorTable!$B$2:$Y$301, MATCH(ROUND(MIN(300,MAX(1,D2064)),0), FactorTable!$A$2:$A$301,0), Skills!M5+1)</f>
        <v/>
      </c>
      <c r="F2064">
        <f>IF(Skills!N5=TRUE,(Skills!L5/10)*(E2064/1000),Skills!L5/10)+Skills!O5</f>
        <v/>
      </c>
      <c r="G2064">
        <f>Skills!G5*IF(Skills!H5&gt;0,IF(Inputs!$B$39="pvp",MIN(Skills!I5,15),Skills!I5)/Skills!H5,1)</f>
        <v/>
      </c>
      <c r="H2064">
        <f>1-(1-Skills!J5/100)^Skills!K5</f>
        <v/>
      </c>
      <c r="I2064" t="inlineStr">
        <is>
          <t>1</t>
        </is>
      </c>
      <c r="J2064" t="inlineStr"/>
      <c r="K2064" t="inlineStr"/>
      <c r="L2064" t="inlineStr"/>
      <c r="M2064" t="inlineStr"/>
      <c r="N2064" t="inlineStr"/>
      <c r="O2064">
        <f>(1-Summary!$B$11)*T2064+Summary!$B$11*V2064</f>
        <v/>
      </c>
      <c r="P2064">
        <f>IF(B2105=0,0,O2064/B2105)</f>
        <v/>
      </c>
      <c r="Q2064" t="n">
        <v>0</v>
      </c>
      <c r="R2064" t="n">
        <v>0</v>
      </c>
      <c r="S2064">
        <f>IFERROR(O2064/N2064,0)</f>
        <v/>
      </c>
      <c r="T2064" t="n">
        <v>0</v>
      </c>
      <c r="V2064" t="n">
        <v>0</v>
      </c>
    </row>
    <row r="2065">
      <c r="A2065">
        <f>Skills!A6</f>
        <v/>
      </c>
      <c r="B2065">
        <f>Skills!B6</f>
        <v/>
      </c>
      <c r="C2065">
        <f>Inputs!$B$3&gt;=63</f>
        <v/>
      </c>
      <c r="D2065">
        <f>IF(Skills!C6=1,60+Inputs!$B$25+Inputs!$B$29,IF(Skills!C6=2,90+Inputs!$B$26+Inputs!$B$29,IF(Skills!C6=3,120+Inputs!$B$27+Inputs!$B$29,MAX(0,(Inputs!$B$3-100)*3)+Inputs!$B$28+Inputs!$B$29)))</f>
        <v/>
      </c>
      <c r="E2065">
        <f>INDEX(FactorTable!$B$2:$Y$301, MATCH(ROUND(MIN(300,MAX(1,D2065)),0), FactorTable!$A$2:$A$301,0), Skills!M6+1)</f>
        <v/>
      </c>
      <c r="F2065">
        <f>IF(Skills!N6=TRUE,(Skills!L6/10)*(E2065/1000),Skills!L6/10)+Skills!O6</f>
        <v/>
      </c>
      <c r="G2065">
        <f>Skills!G6*IF(Skills!H6&gt;0,IF(Inputs!$B$39="pvp",MIN(Skills!I6,15),Skills!I6)/Skills!H6,1)</f>
        <v/>
      </c>
      <c r="H2065">
        <f>1-(1-Skills!J6/100)^Skills!K6</f>
        <v/>
      </c>
      <c r="I2065" t="inlineStr">
        <is>
          <t>1</t>
        </is>
      </c>
      <c r="J2065">
        <f>((Inputs!$B$6*(1+Inputs!$B$7/100))+(((Inputs!$B$12*(1+Inputs!$B$13/100))-(Inputs!$B$12*(1+Inputs!$B$13/100)))+0.25*(Inputs!$B$14-Inputs!$B$14))*(1+Inputs!$B$7/100))*(F2065/100)</f>
        <v/>
      </c>
      <c r="K2065">
        <f>J2065*(1+((Inputs!$B$12*(1+Inputs!$B$13/100))*0.01+Inputs!$B$14*0.0025)/100)*(1+Inputs!$B$15/100)*(1+Inputs!$B$16/100)*(5000/(6000+Inputs!$B$43*(1-(100*(1-(1-Inputs!$B$19/100)*(1-CHOOSE(ArtifactsInput!$N$40+1,5,6,7,8,9,10)/100)^(ArtifactsInput!$M$40-ArtifactsInput!$M$40)))/100)))*(1+(Inputs!$B$24+((C2090=TRUE)*(F2090-Calc!F31))+((C2077=TRUE)*(F2077-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+2.6666666666666665*IF(C2078=TRUE,F2078,0)/100)*(1+(IF(Skills!A6="CRUEL_STAB",Inputs!$B$17+((C2087=TRUE)*(F2087-Calc!F28))+((IF(AND(Inputs!$B$39&lt;&gt;"pvp",Inputs!$B$44=0),1,IF(IF(Inputs!$B$39="pvp",15,Inputs!$B$44)-(B2104)&lt;=0,1,MAX(0,IF(Inputs!$B$39="pvp",15,Inputs!$B$44)-MAX(5,B2104))/(IF(Inputs!$B$39="pvp",15,Inputs!$B$44)-(B2104))))*(IF(AND(ArtifactsInput!$M$42,((Inputs!$B$9+((C2085=TRUE)*(F2085-Calc!F26))+B2093+(ArtifactsInput!$M$24-ArtifactsInput!$M$24)*CHOOSE(ArtifactsInput!$N$24+1,10,12,14,16,18,20)+IF(ArtifactsInput!$M$10,CHOOSE(ArtifactsInput!$N$10+1,15,18,21,24,27,30)*(IF(Inputs!$B$39="pvp",MIN(15,15)/15,IF(AND(Inputs!$B$39&lt;&gt;"pvp",Inputs!$B$44&gt;0),MIN(15,Inputs!$B$44)/(Inputs!$B$44),0))),0)))&gt;=100),MIN(100,((Inputs!$B$9+((C2085=TRUE)*(F2085-Calc!F26))+B2093+(ArtifactsInput!$M$24-ArtifactsInput!$M$24)*CHOOSE(ArtifactsInput!$N$24+1,10,12,14,16,18,20)+IF(ArtifactsInput!$M$10,CHOOSE(ArtifactsInput!$N$10+1,15,18,21,24,27,30)*(IF(Inputs!$B$39="pvp",MIN(15,15)/15,IF(AND(Inputs!$B$39&lt;&gt;"pvp",Inputs!$B$44&gt;0),MIN(15,Inputs!$B$44)/(Inputs!$B$44),0))),0)))-100),0))*CHOOSE(ArtifactsInput!$N$42+1,0.6,0.72,0.84,0.96,1.08,1.2))),Inputs!$B$18+((C2088=TRUE)*(F2088-Calc!F29))+(IF(AND(Inputs!$B$39&lt;&gt;"pvp",Inputs!$B$44=0),1,IF(IF(Inputs!$B$39="pvp",15,Inputs!$B$44)-(B2104)&lt;=0,1,MAX(0,IF(Inputs!$B$39="pvp",15,Inputs!$B$44)-MAX(5,B2104))/(IF(Inputs!$B$39="pvp",15,Inputs!$B$44)-(B2104))))*IF(AND(ArtifactsInput!$M$42,((Inputs!$B$9+((C2085=TRUE)*(F2085-Calc!F26))+B2093+(ArtifactsInput!$M$24-ArtifactsInput!$M$24)*CHOOSE(ArtifactsInput!$N$24+1,10,12,14,16,18,20)+IF(ArtifactsInput!$M$10,CHOOSE(ArtifactsInput!$N$10+1,15,18,21,24,27,30)*(IF(Inputs!$B$39="pvp",MIN(15,15)/15,IF(AND(Inputs!$B$39&lt;&gt;"pvp",Inputs!$B$44&gt;0),MIN(15,Inputs!$B$44)/(Inputs!$B$44),0))),0)))&gt;=100),CHOOSE(ArtifactsInput!$N$42+1,40,48,56,64,72,80),0))))/100)*(((1+(((C2081=TRUE)*F2081*IF(AND(Inputs!$B$39&lt;&gt;"pvp",Inputs!$B$44&gt;0),(((R2081-1)*MIN((Skills!Y22*(1+Inputs!$B$34/100)),(1/Q2081))+MIN((Skills!Y22*(1+Inputs!$B$34/100)),MAX(0,Inputs!$B$44-((R2081-1)*(1/Q2081)))))/Inputs!$B$44),IF(Inputs!$B$39="pvp",MIN((Skills!Y22*(1+Inputs!$B$34/100)),15)/15,MIN(1,(Skills!Y22*(1+Inputs!$B$34/100))/(1/Q2081)))))+((C2062=TRUE)*F2062*3)+((C2064=TRUE)*F2064*(1-EXP(-0.75*B2097*5)))+((C2083=TRUE)*(F2083-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2070=TRUE)*F2070*IF(AND(Inputs!$B$39&lt;&gt;"pvp",Inputs!$B$44&gt;0),(((R2070-1)*MIN((Skills!Y11*(1+Inputs!$B$34/100)),(1/Q2070))+MIN((Skills!Y11*(1+Inputs!$B$34/100)),MAX(0,Inputs!$B$44-((R2070-1)*(1/Q2070)))))/Inputs!$B$44),IF(Inputs!$B$39="pvp",MIN((Skills!Y11*(1+Inputs!$B$34/100)),15)/15,MIN(1,(Skills!Y11*(1+Inputs!$B$34/100))/(1/Q2070)))))/100)*(1+((C2075=TRUE)*F2075*IF(AND(Inputs!$B$39&lt;&gt;"pvp",Inputs!$B$44&gt;0),(((R2075-1)*MIN((Skills!Y16*(1+Inputs!$B$34/100)),(1/Q2075))+MIN((Skills!Y16*(1+Inputs!$B$34/100)),MAX(0,Inputs!$B$44-((R2075-1)*(1/Q2075)))))/Inputs!$B$44),IF(Inputs!$B$39="pvp",MIN((Skills!Y16*(1+Inputs!$B$34/100)),15)/15,MIN(1,(Skills!Y16*(1+Inputs!$B$34/100))/(1/Q2075)))))/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2095*I2065)</f>
        <v/>
      </c>
      <c r="L2065">
        <f>K2065*(MIN(Inputs!$B$22+((C2084=TRUE)*(F2084-Calc!F25)),(Inputs!$B$23+((C2089=TRUE)*(F2089-Calc!F30))+IF(ArtifactsInput!$M$15,CHOOSE(ArtifactsInput!$N$15+1,25,30,35,40,45,50)/100*(Inputs!$B$11-Inputs!$B$11),0)))/100+(Inputs!$B$23+((C2089=TRUE)*(F2089-Calc!F30))+IF(ArtifactsInput!$M$15,CHOOSE(ArtifactsInput!$N$15+1,25,30,35,40,45,50)/100*(Inputs!$B$11-Inputs!$B$11),0))/100)/2</f>
        <v/>
      </c>
      <c r="M2065">
        <f>L2065*(1+(Inputs!$B$10+((C2086=TRUE)*(F2086-Calc!F27))+B2100+(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2065">
        <f>L2065*(1-MIN((Inputs!$B$9+((C2085=TRUE)*(F2085-Calc!F26))+B2093+(ArtifactsInput!$M$24-ArtifactsInput!$M$24)*CHOOSE(ArtifactsInput!$N$24+1,10,12,14,16,18,20)+(IF(AND(Inputs!$B$39&lt;&gt;"pvp",Inputs!$B$44=0),1,IF(IF(Inputs!$B$39="pvp",15,Inputs!$B$44)-(B2104)&lt;=0,1,MAX(0,IF(Inputs!$B$39="pvp",15,Inputs!$B$44)-MAX(5,B2104))/(IF(Inputs!$B$39="pvp",15,Inputs!$B$44)-(B2104))))*IF(AND(ArtifactsInput!$M$42,((Inputs!$B$9+((C2085=TRUE)*(F2085-Calc!F26))+B2093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2065*(MIN((Inputs!$B$9+((C2085=TRUE)*(F2085-Calc!F26))+B2093+(ArtifactsInput!$M$24-ArtifactsInput!$M$24)*CHOOSE(ArtifactsInput!$N$24+1,10,12,14,16,18,20)+(IF(AND(Inputs!$B$39&lt;&gt;"pvp",Inputs!$B$44=0),1,IF(IF(Inputs!$B$39="pvp",15,Inputs!$B$44)-(B2104)&lt;=0,1,MAX(0,IF(Inputs!$B$39="pvp",15,Inputs!$B$44)-MAX(5,B2104))/(IF(Inputs!$B$39="pvp",15,Inputs!$B$44)-(B2104))))*IF(AND(ArtifactsInput!$M$42,((Inputs!$B$9+((C2085=TRUE)*(F2085-Calc!F26))+B2093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065">
        <f>(1-Summary!$B$11)*T2065+Summary!$B$11*V2065</f>
        <v/>
      </c>
      <c r="P2065">
        <f>IF(B2105=0,0,O2065/B2105)</f>
        <v/>
      </c>
      <c r="Q2065">
        <f>IFERROR(1/IF(Inputs!$B$39="pvp",15,MAX(0.1,Skills!D6-IF(TRUE=TRUE,Inputs!$B$32,0))),0)</f>
        <v/>
      </c>
      <c r="R2065">
        <f>IF(AND(Inputs!$B$39&lt;&gt;"pvp",Inputs!$B$44&gt;0),IF(MAX(0,Inputs!$B$44-B2104)&lt;=0,0,(INT(MAX(0,Inputs!$B$44-B2104)/IF(Inputs!$B$39="pvp",15,MAX(0.1,Skills!D6-IF(TRUE=TRUE,Inputs!$B$32,0))))+1)),0)</f>
        <v/>
      </c>
      <c r="S2065">
        <f>IFERROR(O2065/N2065,0)</f>
        <v/>
      </c>
      <c r="T2065">
        <f>IF(C2065,(H2065*N2065*IF(AND(Inputs!$B$39&lt;&gt;"pvp",Inputs!$B$44&gt;0),((Skills!G6*((R2065-1)*IF(Skills!H6&gt;0,Skills!I6/Skills!H6,1)+IF(Skills!H6&gt;0,MIN(Skills!I6,MAX(0,MAX(0,Inputs!$B$44-B2104)-((R2065-1)*IF(Inputs!$B$39="pvp",15,MAX(0.1,Skills!D6-IF(TRUE=TRUE,Inputs!$B$32,0))))))/Skills!H6,1)))/Inputs!$B$44),G2065*Q2065))*IF(Inputs!$B$39="pvp",1,1+(Inputs!$B$20+0+Skills!P6+B2094+(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Hunt"),CHOOSE(ArtifactsInput!$N$35+1,15,18,21,24,27,30)*(1-EXP(-(0.2*B2097)*5)),0)+IF(AND(ArtifactsInput!$M$22,Inputs!$B$4&lt;&gt;"Chapter Hunt"),CHOOSE(ArtifactsInput!$N$22+1,10,12,14,16,18,20)*((0*(((0.15*B2097*5))^0/1)+1*(((0.15*B2097*5))^1/1)+2*(((0.15*B2097*5))^2/2)+3*(((0.15*B2097*5))^3/6)+4*(((0.15*B2097*5))^4/24)+5*(((0.15*B2097*5))^5/120))/((((0.15*B2097*5))^0/1)+(((0.15*B2097*5))^1/1)+(((0.15*B2097*5))^2/2)+(((0.15*B2097*5))^3/6)+(((0.15*B2097*5))^4/24)+(((0.15*B2097*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2065*(1-MIN(100,(Inputs!$B$9+((C2085=TRUE)*(F2085-Calc!F26))+B2093+(ArtifactsInput!$M$24-ArtifactsInput!$M$24)*CHOOSE(ArtifactsInput!$N$24+1,10,12,14,16,18,20)+(IF(AND(Inputs!$B$39&lt;&gt;"pvp",Inputs!$B$44=0),1,IF(IF(Inputs!$B$39="pvp",15,Inputs!$B$44)-(B2104)&lt;=0,1,MAX(0,IF(Inputs!$B$39="pvp",15,Inputs!$B$44)-MAX(5,B2104))/(IF(Inputs!$B$39="pvp",15,Inputs!$B$44)-(B2104))))*IF(AND(ArtifactsInput!$M$42,((Inputs!$B$9+((C2085=TRUE)*(F2085-Calc!F26))+B2093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2065*(MIN(100,(Inputs!$B$9+((C2085=TRUE)*(F2085-Calc!F26))+B2093+(ArtifactsInput!$M$24-ArtifactsInput!$M$24)*CHOOSE(ArtifactsInput!$N$24+1,10,12,14,16,18,20)+(IF(AND(Inputs!$B$39&lt;&gt;"pvp",Inputs!$B$44=0),1,IF(IF(Inputs!$B$39="pvp",15,Inputs!$B$44)-(B2104)&lt;=0,1,MAX(0,IF(Inputs!$B$39="pvp",15,Inputs!$B$44)-MAX(5,B2104))/(IF(Inputs!$B$39="pvp",15,Inputs!$B$44)-(B2104))))*IF(AND(ArtifactsInput!$M$42,((Inputs!$B$9+((C2085=TRUE)*(F2085-Calc!F26))+B2093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2065*(1-MIN(100,(Inputs!$B$9+((C2085=TRUE)*(F2085-Calc!F26))+B2093+(ArtifactsInput!$M$24-ArtifactsInput!$M$24)*CHOOSE(ArtifactsInput!$N$24+1,10,12,14,16,18,20)+(IF(AND(Inputs!$B$39&lt;&gt;"pvp",Inputs!$B$44=0),1,IF(IF(Inputs!$B$39="pvp",15,Inputs!$B$44)-(B2104)&lt;=0,1,MAX(0,IF(Inputs!$B$39="pvp",15,Inputs!$B$44)-MAX(5,B2104))/(IF(Inputs!$B$39="pvp",15,Inputs!$B$44)-(B2104))))*IF(AND(ArtifactsInput!$M$42,((Inputs!$B$9+((C2085=TRUE)*(F2085-Calc!F26))+B2093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2065*(MIN(100,(Inputs!$B$9+((C2085=TRUE)*(F2085-Calc!F26))+B2093+(ArtifactsInput!$M$24-ArtifactsInput!$M$24)*CHOOSE(ArtifactsInput!$N$24+1,10,12,14,16,18,20)+(IF(AND(Inputs!$B$39&lt;&gt;"pvp",Inputs!$B$44=0),1,IF(IF(Inputs!$B$39="pvp",15,Inputs!$B$44)-(B2104)&lt;=0,1,MAX(0,IF(Inputs!$B$39="pvp",15,Inputs!$B$44)-MAX(5,B2104))/(IF(Inputs!$B$39="pvp",15,Inputs!$B$44)-(B2104))))*IF(AND(ArtifactsInput!$M$42,((Inputs!$B$9+((C2085=TRUE)*(F2085-Calc!F26))+B2093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065">
        <f>IF(C2065,(H2065*N2065*IF(AND(Inputs!$B$39&lt;&gt;"pvp",Inputs!$B$44&gt;0),((Skills!G6*((R2065-1)*IF(Skills!H6&gt;0,Skills!I6/Skills!H6,1)+IF(Skills!H6&gt;0,MIN(Skills!I6,MAX(0,MAX(0,Inputs!$B$44-B2104)-((R2065-1)*IF(Inputs!$B$39="pvp",15,MAX(0.1,Skills!D6-IF(TRUE=TRUE,Inputs!$B$32,0))))))/Skills!H6,1)))/Inputs!$B$44),G2065*Q2065))*IF(Inputs!$B$39="pvp",1,(1+(Inputs!$B$21+Skills!Q6+B2094+(IF(ArtifactsInput!$M$33,CHOOSE(ArtifactsInput!$N$33+1,30,36,42,48,54,60),0))+(IF(AND(ArtifactsInput!$M$35,Inputs!$B$4&lt;&gt;"Chapter Hunt"),CHOOSE(ArtifactsInput!$N$35+1,15,18,21,24,27,30)*(1-EXP(-(0.2*B2097)*5)),0)+IF(AND(ArtifactsInput!$M$22,Inputs!$B$4&lt;&gt;"Chapter Hunt"),CHOOSE(ArtifactsInput!$N$22+1,10,12,14,16,18,20)*((0*(((0.15*B2097*5))^0/1)+1*(((0.15*B2097*5))^1/1)+2*(((0.15*B2097*5))^2/2)+3*(((0.15*B2097*5))^3/6)+4*(((0.15*B2097*5))^4/24)+5*(((0.15*B2097*5))^5/120))/((((0.15*B2097*5))^0/1)+(((0.15*B2097*5))^1/1)+(((0.15*B2097*5))^2/2)+(((0.15*B2097*5))^3/6)+(((0.15*B2097*5))^4/24)+(((0.15*B2097*5))^5/120))),0)))/100)*(MIN(Skills!W6,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066">
      <c r="A2066">
        <f>Skills!A7</f>
        <v/>
      </c>
      <c r="B2066">
        <f>Skills!B7</f>
        <v/>
      </c>
      <c r="C2066">
        <f>Inputs!$B$3&gt;=69</f>
        <v/>
      </c>
      <c r="D2066">
        <f>IF(Skills!C7=1,60+Inputs!$B$25+Inputs!$B$29,IF(Skills!C7=2,90+Inputs!$B$26+Inputs!$B$29,IF(Skills!C7=3,120+Inputs!$B$27+Inputs!$B$29,MAX(0,(Inputs!$B$3-100)*3)+Inputs!$B$28+Inputs!$B$29)))</f>
        <v/>
      </c>
      <c r="E2066">
        <f>INDEX(FactorTable!$B$2:$Y$301, MATCH(ROUND(MIN(300,MAX(1,D2066)),0), FactorTable!$A$2:$A$301,0), Skills!M7+1)</f>
        <v/>
      </c>
      <c r="F2066">
        <f>IF(Skills!N7=TRUE,(Skills!L7/10)*(E2066/1000),Skills!L7/10)+Skills!O7</f>
        <v/>
      </c>
      <c r="G2066">
        <f>Skills!G7*IF(Skills!H7&gt;0,IF(Inputs!$B$39="pvp",MIN(Skills!I7,15),Skills!I7)/Skills!H7,1)</f>
        <v/>
      </c>
      <c r="H2066">
        <f>1-(1-Skills!J7/100)^Skills!K7</f>
        <v/>
      </c>
      <c r="I2066" t="inlineStr">
        <is>
          <t>1</t>
        </is>
      </c>
      <c r="J2066">
        <f>((Inputs!$B$6*(1+Inputs!$B$7/100))+(((Inputs!$B$12*(1+Inputs!$B$13/100))-(Inputs!$B$12*(1+Inputs!$B$13/100)))+0.25*(Inputs!$B$14-Inputs!$B$14))*(1+Inputs!$B$7/100))*(F2066/100)</f>
        <v/>
      </c>
      <c r="K2066">
        <f>J2066*(1+((Inputs!$B$12*(1+Inputs!$B$13/100))*0.01+Inputs!$B$14*0.0025)/100)*(1+Inputs!$B$15/100)*(1+Inputs!$B$16/100)*(5000/(6000+Inputs!$B$43*(1-(100*(1-(1-Inputs!$B$19/100)*(1-CHOOSE(ArtifactsInput!$N$40+1,5,6,7,8,9,10)/100)^(ArtifactsInput!$M$40-ArtifactsInput!$M$40)))/100)))*(1+(Inputs!$B$24+((C2090=TRUE)*(F2090-Calc!F31))+((C2077=TRUE)*(F2077-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2078=TRUE,F2078,0)/100)*(1+(IF(Skills!A7="CRUEL_STAB",Inputs!$B$17+((C2087=TRUE)*(F2087-Calc!F28))+((IF(AND(Inputs!$B$39&lt;&gt;"pvp",Inputs!$B$44=0),1,IF(IF(Inputs!$B$39="pvp",15,Inputs!$B$44)-(B2104)&lt;=0,1,MAX(0,IF(Inputs!$B$39="pvp",15,Inputs!$B$44)-MAX(5,B2104))/(IF(Inputs!$B$39="pvp",15,Inputs!$B$44)-(B2104))))*(IF(AND(ArtifactsInput!$M$42,((Inputs!$B$9+((C2085=TRUE)*(F2085-Calc!F26))+B2093+(ArtifactsInput!$M$24-ArtifactsInput!$M$24)*CHOOSE(ArtifactsInput!$N$24+1,10,12,14,16,18,20)+IF(ArtifactsInput!$M$10,CHOOSE(ArtifactsInput!$N$10+1,15,18,21,24,27,30)*(IF(Inputs!$B$39="pvp",MIN(15,15)/15,IF(AND(Inputs!$B$39&lt;&gt;"pvp",Inputs!$B$44&gt;0),MIN(15,Inputs!$B$44)/(Inputs!$B$44),0))),0)))&gt;=100),MIN(100,((Inputs!$B$9+((C2085=TRUE)*(F2085-Calc!F26))+B2093+(ArtifactsInput!$M$24-ArtifactsInput!$M$24)*CHOOSE(ArtifactsInput!$N$24+1,10,12,14,16,18,20)+IF(ArtifactsInput!$M$10,CHOOSE(ArtifactsInput!$N$10+1,15,18,21,24,27,30)*(IF(Inputs!$B$39="pvp",MIN(15,15)/15,IF(AND(Inputs!$B$39&lt;&gt;"pvp",Inputs!$B$44&gt;0),MIN(15,Inputs!$B$44)/(Inputs!$B$44),0))),0)))-100),0))*CHOOSE(ArtifactsInput!$N$42+1,0.6,0.72,0.84,0.96,1.08,1.2))),Inputs!$B$18+((C2088=TRUE)*(F2088-Calc!F29))+(IF(AND(Inputs!$B$39&lt;&gt;"pvp",Inputs!$B$44=0),1,IF(IF(Inputs!$B$39="pvp",15,Inputs!$B$44)-(B2104)&lt;=0,1,MAX(0,IF(Inputs!$B$39="pvp",15,Inputs!$B$44)-MAX(5,B2104))/(IF(Inputs!$B$39="pvp",15,Inputs!$B$44)-(B2104))))*IF(AND(ArtifactsInput!$M$42,((Inputs!$B$9+((C2085=TRUE)*(F2085-Calc!F26))+B2093+(ArtifactsInput!$M$24-ArtifactsInput!$M$24)*CHOOSE(ArtifactsInput!$N$24+1,10,12,14,16,18,20)+IF(ArtifactsInput!$M$10,CHOOSE(ArtifactsInput!$N$10+1,15,18,21,24,27,30)*(IF(Inputs!$B$39="pvp",MIN(15,15)/15,IF(AND(Inputs!$B$39&lt;&gt;"pvp",Inputs!$B$44&gt;0),MIN(15,Inputs!$B$44)/(Inputs!$B$44),0))),0)))&gt;=100),CHOOSE(ArtifactsInput!$N$42+1,40,48,56,64,72,80),0))))/100)*(((1+(((C2081=TRUE)*F2081*IF(AND(Inputs!$B$39&lt;&gt;"pvp",Inputs!$B$44&gt;0),(((R2081-1)*MIN((Skills!Y22*(1+Inputs!$B$34/100)),(1/Q2081))+MIN((Skills!Y22*(1+Inputs!$B$34/100)),MAX(0,Inputs!$B$44-((R2081-1)*(1/Q2081)))))/Inputs!$B$44),IF(Inputs!$B$39="pvp",MIN((Skills!Y22*(1+Inputs!$B$34/100)),15)/15,MIN(1,(Skills!Y22*(1+Inputs!$B$34/100))/(1/Q2081)))))+((C2062=TRUE)*F2062*3)+((C2064=TRUE)*F2064*(1-EXP(-0.75*B2097*5)))+((C2083=TRUE)*(F2083-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2070=TRUE)*F2070*IF(AND(Inputs!$B$39&lt;&gt;"pvp",Inputs!$B$44&gt;0),(((R2070-1)*MIN((Skills!Y11*(1+Inputs!$B$34/100)),(1/Q2070))+MIN((Skills!Y11*(1+Inputs!$B$34/100)),MAX(0,Inputs!$B$44-((R2070-1)*(1/Q2070)))))/Inputs!$B$44),IF(Inputs!$B$39="pvp",MIN((Skills!Y11*(1+Inputs!$B$34/100)),15)/15,MIN(1,(Skills!Y11*(1+Inputs!$B$34/100))/(1/Q2070)))))/100)*(1+((C2075=TRUE)*F2075*IF(AND(Inputs!$B$39&lt;&gt;"pvp",Inputs!$B$44&gt;0),(((R2075-1)*MIN((Skills!Y16*(1+Inputs!$B$34/100)),(1/Q2075))+MIN((Skills!Y16*(1+Inputs!$B$34/100)),MAX(0,Inputs!$B$44-((R2075-1)*(1/Q2075)))))/Inputs!$B$44),IF(Inputs!$B$39="pvp",MIN((Skills!Y16*(1+Inputs!$B$34/100)),15)/15,MIN(1,(Skills!Y16*(1+Inputs!$B$34/100))/(1/Q2075)))))/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2095*I2066)</f>
        <v/>
      </c>
      <c r="L2066">
        <f>K2066*(MIN(Inputs!$B$22+((C2084=TRUE)*(F2084-Calc!F25)),(Inputs!$B$23+((C2089=TRUE)*(F2089-Calc!F30))+IF(ArtifactsInput!$M$15,CHOOSE(ArtifactsInput!$N$15+1,25,30,35,40,45,50)/100*(Inputs!$B$11-Inputs!$B$11),0)))/100+(Inputs!$B$23+((C2089=TRUE)*(F2089-Calc!F30))+IF(ArtifactsInput!$M$15,CHOOSE(ArtifactsInput!$N$15+1,25,30,35,40,45,50)/100*(Inputs!$B$11-Inputs!$B$11),0))/100)/2</f>
        <v/>
      </c>
      <c r="M2066">
        <f>L2066*(1+(Inputs!$B$10+((C2086=TRUE)*(F2086-Calc!F27))+B2100+(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2066">
        <f>L2066*(1-MIN((Inputs!$B$9+((C2085=TRUE)*(F2085-Calc!F26))+B2093+(ArtifactsInput!$M$24-ArtifactsInput!$M$24)*CHOOSE(ArtifactsInput!$N$24+1,10,12,14,16,18,20)+(IF(AND(Inputs!$B$39&lt;&gt;"pvp",Inputs!$B$44=0),1,IF(IF(Inputs!$B$39="pvp",15,Inputs!$B$44)-(B2104)&lt;=0,1,MAX(0,IF(Inputs!$B$39="pvp",15,Inputs!$B$44)-MAX(5,B2104))/(IF(Inputs!$B$39="pvp",15,Inputs!$B$44)-(B2104))))*IF(AND(ArtifactsInput!$M$42,((Inputs!$B$9+((C2085=TRUE)*(F2085-Calc!F26))+B2093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2066*(MIN((Inputs!$B$9+((C2085=TRUE)*(F2085-Calc!F26))+B2093+(ArtifactsInput!$M$24-ArtifactsInput!$M$24)*CHOOSE(ArtifactsInput!$N$24+1,10,12,14,16,18,20)+(IF(AND(Inputs!$B$39&lt;&gt;"pvp",Inputs!$B$44=0),1,IF(IF(Inputs!$B$39="pvp",15,Inputs!$B$44)-(B2104)&lt;=0,1,MAX(0,IF(Inputs!$B$39="pvp",15,Inputs!$B$44)-MAX(5,B2104))/(IF(Inputs!$B$39="pvp",15,Inputs!$B$44)-(B2104))))*IF(AND(ArtifactsInput!$M$42,((Inputs!$B$9+((C2085=TRUE)*(F2085-Calc!F26))+B2093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066">
        <f>(1-Summary!$B$11)*T2066+Summary!$B$11*V2066</f>
        <v/>
      </c>
      <c r="P2066">
        <f>IF(B2105=0,0,O2066/B2105)</f>
        <v/>
      </c>
      <c r="Q2066">
        <f>IFERROR(1/IF(Inputs!$B$39="pvp",15,MAX(0.1,Skills!D7-IF(TRUE=TRUE,Inputs!$B$32,0))),0)</f>
        <v/>
      </c>
      <c r="R2066">
        <f>IF(AND(Inputs!$B$39&lt;&gt;"pvp",Inputs!$B$44&gt;0),IF(MAX(0,Inputs!$B$44-B2104)&lt;=0,0,(INT(MAX(0,Inputs!$B$44-B2104)/IF(Inputs!$B$39="pvp",15,MAX(0.1,Skills!D7-IF(TRUE=TRUE,Inputs!$B$32,0))))+1)),0)</f>
        <v/>
      </c>
      <c r="S2066">
        <f>IFERROR(O2066/N2066,0)</f>
        <v/>
      </c>
      <c r="T2066">
        <f>IF(C2066,(H2066*N2066*IF(AND(Inputs!$B$39&lt;&gt;"pvp",Inputs!$B$44&gt;0),((Skills!G7*((R2066-1)*IF(Skills!H7&gt;0,Skills!I7/Skills!H7,1)+IF(Skills!H7&gt;0,MIN(Skills!I7,MAX(0,MAX(0,Inputs!$B$44-B2104)-((R2066-1)*IF(Inputs!$B$39="pvp",15,MAX(0.1,Skills!D7-IF(TRUE=TRUE,Inputs!$B$32,0))))))/Skills!H7,1)))/Inputs!$B$44),G2066*Q2066))*IF(Inputs!$B$39="pvp",1,1+(Inputs!$B$20+0+Skills!P7+B2094+(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Hunt"),CHOOSE(ArtifactsInput!$N$35+1,15,18,21,24,27,30)*(1-EXP(-(0.2*B2097)*5)),0)+IF(AND(ArtifactsInput!$M$22,Inputs!$B$4&lt;&gt;"Chapter Hunt"),CHOOSE(ArtifactsInput!$N$22+1,10,12,14,16,18,20)*((0*(((0.15*B2097*5))^0/1)+1*(((0.15*B2097*5))^1/1)+2*(((0.15*B2097*5))^2/2)+3*(((0.15*B2097*5))^3/6)+4*(((0.15*B2097*5))^4/24)+5*(((0.15*B2097*5))^5/120))/((((0.15*B2097*5))^0/1)+(((0.15*B2097*5))^1/1)+(((0.15*B2097*5))^2/2)+(((0.15*B2097*5))^3/6)+(((0.15*B2097*5))^4/24)+(((0.15*B2097*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2066*(1-MIN(100,(Inputs!$B$9+((C2085=TRUE)*(F2085-Calc!F26))+B2093+(ArtifactsInput!$M$24-ArtifactsInput!$M$24)*CHOOSE(ArtifactsInput!$N$24+1,10,12,14,16,18,20)+(IF(AND(Inputs!$B$39&lt;&gt;"pvp",Inputs!$B$44=0),1,IF(IF(Inputs!$B$39="pvp",15,Inputs!$B$44)-(B2104)&lt;=0,1,MAX(0,IF(Inputs!$B$39="pvp",15,Inputs!$B$44)-MAX(5,B2104))/(IF(Inputs!$B$39="pvp",15,Inputs!$B$44)-(B2104))))*IF(AND(ArtifactsInput!$M$42,((Inputs!$B$9+((C2085=TRUE)*(F2085-Calc!F26))+B2093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2066*(MIN(100,(Inputs!$B$9+((C2085=TRUE)*(F2085-Calc!F26))+B2093+(ArtifactsInput!$M$24-ArtifactsInput!$M$24)*CHOOSE(ArtifactsInput!$N$24+1,10,12,14,16,18,20)+(IF(AND(Inputs!$B$39&lt;&gt;"pvp",Inputs!$B$44=0),1,IF(IF(Inputs!$B$39="pvp",15,Inputs!$B$44)-(B2104)&lt;=0,1,MAX(0,IF(Inputs!$B$39="pvp",15,Inputs!$B$44)-MAX(5,B2104))/(IF(Inputs!$B$39="pvp",15,Inputs!$B$44)-(B2104))))*IF(AND(ArtifactsInput!$M$42,((Inputs!$B$9+((C2085=TRUE)*(F2085-Calc!F26))+B2093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2066*(1-MIN(100,(Inputs!$B$9+((C2085=TRUE)*(F2085-Calc!F26))+B2093+(ArtifactsInput!$M$24-ArtifactsInput!$M$24)*CHOOSE(ArtifactsInput!$N$24+1,10,12,14,16,18,20)+(IF(AND(Inputs!$B$39&lt;&gt;"pvp",Inputs!$B$44=0),1,IF(IF(Inputs!$B$39="pvp",15,Inputs!$B$44)-(B2104)&lt;=0,1,MAX(0,IF(Inputs!$B$39="pvp",15,Inputs!$B$44)-MAX(5,B2104))/(IF(Inputs!$B$39="pvp",15,Inputs!$B$44)-(B2104))))*IF(AND(ArtifactsInput!$M$42,((Inputs!$B$9+((C2085=TRUE)*(F2085-Calc!F26))+B2093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2066*(MIN(100,(Inputs!$B$9+((C2085=TRUE)*(F2085-Calc!F26))+B2093+(ArtifactsInput!$M$24-ArtifactsInput!$M$24)*CHOOSE(ArtifactsInput!$N$24+1,10,12,14,16,18,20)+(IF(AND(Inputs!$B$39&lt;&gt;"pvp",Inputs!$B$44=0),1,IF(IF(Inputs!$B$39="pvp",15,Inputs!$B$44)-(B2104)&lt;=0,1,MAX(0,IF(Inputs!$B$39="pvp",15,Inputs!$B$44)-MAX(5,B2104))/(IF(Inputs!$B$39="pvp",15,Inputs!$B$44)-(B2104))))*IF(AND(ArtifactsInput!$M$42,((Inputs!$B$9+((C2085=TRUE)*(F2085-Calc!F26))+B2093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066">
        <f>IF(C2066,(H2066*N2066*IF(AND(Inputs!$B$39&lt;&gt;"pvp",Inputs!$B$44&gt;0),((Skills!G7*((R2066-1)*IF(Skills!H7&gt;0,Skills!I7/Skills!H7,1)+IF(Skills!H7&gt;0,MIN(Skills!I7,MAX(0,MAX(0,Inputs!$B$44-B2104)-((R2066-1)*IF(Inputs!$B$39="pvp",15,MAX(0.1,Skills!D7-IF(TRUE=TRUE,Inputs!$B$32,0))))))/Skills!H7,1)))/Inputs!$B$44),G2066*Q2066))*IF(Inputs!$B$39="pvp",1,(1+(Inputs!$B$21+Skills!Q7+B2094+(IF(ArtifactsInput!$M$33,CHOOSE(ArtifactsInput!$N$33+1,30,36,42,48,54,60),0))+(IF(AND(ArtifactsInput!$M$35,Inputs!$B$4&lt;&gt;"Chapter Hunt"),CHOOSE(ArtifactsInput!$N$35+1,15,18,21,24,27,30)*(1-EXP(-(0.2*B2097)*5)),0)+IF(AND(ArtifactsInput!$M$22,Inputs!$B$4&lt;&gt;"Chapter Hunt"),CHOOSE(ArtifactsInput!$N$22+1,10,12,14,16,18,20)*((0*(((0.15*B2097*5))^0/1)+1*(((0.15*B2097*5))^1/1)+2*(((0.15*B2097*5))^2/2)+3*(((0.15*B2097*5))^3/6)+4*(((0.15*B2097*5))^4/24)+5*(((0.15*B2097*5))^5/120))/((((0.15*B2097*5))^0/1)+(((0.15*B2097*5))^1/1)+(((0.15*B2097*5))^2/2)+(((0.15*B2097*5))^3/6)+(((0.15*B2097*5))^4/24)+(((0.15*B2097*5))^5/120))),0)))/100)*(MIN(Skills!W7,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067">
      <c r="A2067">
        <f>Skills!A8</f>
        <v/>
      </c>
      <c r="B2067">
        <f>Skills!B8</f>
        <v/>
      </c>
      <c r="C2067">
        <f>Inputs!$B$3&gt;=60</f>
        <v/>
      </c>
      <c r="D2067">
        <f>IF(Skills!C8=1,60+Inputs!$B$25+Inputs!$B$29,IF(Skills!C8=2,90+Inputs!$B$26+Inputs!$B$29,IF(Skills!C8=3,120+Inputs!$B$27+Inputs!$B$29,MAX(0,(Inputs!$B$3-100)*3)+Inputs!$B$28+Inputs!$B$29)))</f>
        <v/>
      </c>
      <c r="E2067">
        <f>INDEX(FactorTable!$B$2:$Y$301, MATCH(ROUND(MIN(300,MAX(1,D2067)),0), FactorTable!$A$2:$A$301,0), Skills!M8+1)</f>
        <v/>
      </c>
      <c r="F2067">
        <f>IF(Skills!N8=TRUE,(Skills!L8/10)*(E2067/1000),Skills!L8/10)+Skills!O8</f>
        <v/>
      </c>
      <c r="G2067">
        <f>Skills!G8*IF(Skills!H8&gt;0,IF(Inputs!$B$39="pvp",MIN(Skills!I8,15),Skills!I8)/Skills!H8,1)</f>
        <v/>
      </c>
      <c r="H2067">
        <f>1-(1-Skills!J8/100)^Skills!K8</f>
        <v/>
      </c>
      <c r="I2067" t="inlineStr">
        <is>
          <t>1</t>
        </is>
      </c>
      <c r="J2067" t="inlineStr"/>
      <c r="K2067" t="inlineStr"/>
      <c r="L2067" t="inlineStr"/>
      <c r="M2067" t="inlineStr"/>
      <c r="N2067" t="inlineStr"/>
      <c r="O2067">
        <f>(1-Summary!$B$11)*T2067+Summary!$B$11*V2067</f>
        <v/>
      </c>
      <c r="P2067">
        <f>IF(B2105=0,0,O2067/B2105)</f>
        <v/>
      </c>
      <c r="Q2067" t="n">
        <v>0</v>
      </c>
      <c r="R2067" t="n">
        <v>0</v>
      </c>
      <c r="S2067">
        <f>IFERROR(O2067/N2067,0)</f>
        <v/>
      </c>
      <c r="T2067" t="n">
        <v>0</v>
      </c>
      <c r="V2067" t="n">
        <v>0</v>
      </c>
    </row>
    <row r="2068">
      <c r="A2068">
        <f>Skills!A9</f>
        <v/>
      </c>
      <c r="B2068">
        <f>Skills!B9</f>
        <v/>
      </c>
      <c r="C2068">
        <f>Inputs!$B$3&gt;=72</f>
        <v/>
      </c>
      <c r="D2068">
        <f>IF(Skills!C9=1,60+Inputs!$B$25+Inputs!$B$29,IF(Skills!C9=2,90+Inputs!$B$26+Inputs!$B$29,IF(Skills!C9=3,120+Inputs!$B$27+Inputs!$B$29,MAX(0,(Inputs!$B$3-100)*3)+Inputs!$B$28+Inputs!$B$29)))</f>
        <v/>
      </c>
      <c r="E2068">
        <f>INDEX(FactorTable!$B$2:$Y$301, MATCH(ROUND(MIN(300,MAX(1,D2068)),0), FactorTable!$A$2:$A$301,0), Skills!M9+1)</f>
        <v/>
      </c>
      <c r="F2068">
        <f>IF(Skills!N9=TRUE,(Skills!L9/10)*(E2068/1000),Skills!L9/10)+Skills!O9</f>
        <v/>
      </c>
      <c r="G2068">
        <f>Skills!G9*IF(Skills!H9&gt;0,IF(Inputs!$B$39="pvp",MIN(Skills!I9,15),Skills!I9)/Skills!H9,1)</f>
        <v/>
      </c>
      <c r="H2068">
        <f>1-(1-Skills!J9/100)^Skills!K9</f>
        <v/>
      </c>
      <c r="I2068" t="inlineStr">
        <is>
          <t>1</t>
        </is>
      </c>
      <c r="J2068">
        <f>((Inputs!$B$6*(1+Inputs!$B$7/100))+(((Inputs!$B$12*(1+Inputs!$B$13/100))-(Inputs!$B$12*(1+Inputs!$B$13/100)))+0.25*(Inputs!$B$14-Inputs!$B$14))*(1+Inputs!$B$7/100))*(F2068/100)</f>
        <v/>
      </c>
      <c r="K2068">
        <f>J2068*(1+((Inputs!$B$12*(1+Inputs!$B$13/100))*0.01+Inputs!$B$14*0.0025)/100)*(1+Inputs!$B$15/100)*(1+Inputs!$B$16/100)*(5000/(6000+Inputs!$B$43*(1-(100*(1-(1-Inputs!$B$19/100)*(1-CHOOSE(ArtifactsInput!$N$40+1,5,6,7,8,9,10)/100)^(ArtifactsInput!$M$40-ArtifactsInput!$M$40)))/100)))*(1+(Inputs!$B$24+((C2090=TRUE)*(F2090-Calc!F31))+((C2077=TRUE)*(F2077-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+3.3333333333333335*IF(C2078=TRUE,F2078,0)/100)*(1+(IF(Skills!A9="CRUEL_STAB",Inputs!$B$17+((C2087=TRUE)*(F2087-Calc!F28))+((IF(AND(Inputs!$B$39&lt;&gt;"pvp",Inputs!$B$44=0),1,IF(IF(Inputs!$B$39="pvp",15,Inputs!$B$44)-(B2104)&lt;=0,1,MAX(0,IF(Inputs!$B$39="pvp",15,Inputs!$B$44)-MAX(5,B2104))/(IF(Inputs!$B$39="pvp",15,Inputs!$B$44)-(B2104))))*(IF(AND(ArtifactsInput!$M$42,((Inputs!$B$9+((C2085=TRUE)*(F2085-Calc!F26))+B2093+(ArtifactsInput!$M$24-ArtifactsInput!$M$24)*CHOOSE(ArtifactsInput!$N$24+1,10,12,14,16,18,20)+IF(ArtifactsInput!$M$10,CHOOSE(ArtifactsInput!$N$10+1,15,18,21,24,27,30)*(IF(Inputs!$B$39="pvp",MIN(15,15)/15,IF(AND(Inputs!$B$39&lt;&gt;"pvp",Inputs!$B$44&gt;0),MIN(15,Inputs!$B$44)/(Inputs!$B$44),0))),0)))&gt;=100),MIN(100,((Inputs!$B$9+((C2085=TRUE)*(F2085-Calc!F26))+B2093+(ArtifactsInput!$M$24-ArtifactsInput!$M$24)*CHOOSE(ArtifactsInput!$N$24+1,10,12,14,16,18,20)+IF(ArtifactsInput!$M$10,CHOOSE(ArtifactsInput!$N$10+1,15,18,21,24,27,30)*(IF(Inputs!$B$39="pvp",MIN(15,15)/15,IF(AND(Inputs!$B$39&lt;&gt;"pvp",Inputs!$B$44&gt;0),MIN(15,Inputs!$B$44)/(Inputs!$B$44),0))),0)))-100),0))*CHOOSE(ArtifactsInput!$N$42+1,0.6,0.72,0.84,0.96,1.08,1.2))),Inputs!$B$18+((C2088=TRUE)*(F2088-Calc!F29))+(IF(AND(Inputs!$B$39&lt;&gt;"pvp",Inputs!$B$44=0),1,IF(IF(Inputs!$B$39="pvp",15,Inputs!$B$44)-(B2104)&lt;=0,1,MAX(0,IF(Inputs!$B$39="pvp",15,Inputs!$B$44)-MAX(5,B2104))/(IF(Inputs!$B$39="pvp",15,Inputs!$B$44)-(B2104))))*IF(AND(ArtifactsInput!$M$42,((Inputs!$B$9+((C2085=TRUE)*(F2085-Calc!F26))+B2093+(ArtifactsInput!$M$24-ArtifactsInput!$M$24)*CHOOSE(ArtifactsInput!$N$24+1,10,12,14,16,18,20)+IF(ArtifactsInput!$M$10,CHOOSE(ArtifactsInput!$N$10+1,15,18,21,24,27,30)*(IF(Inputs!$B$39="pvp",MIN(15,15)/15,IF(AND(Inputs!$B$39&lt;&gt;"pvp",Inputs!$B$44&gt;0),MIN(15,Inputs!$B$44)/(Inputs!$B$44),0))),0)))&gt;=100),CHOOSE(ArtifactsInput!$N$42+1,40,48,56,64,72,80),0))))/100)*(((1+(((C2081=TRUE)*F2081*IF(AND(Inputs!$B$39&lt;&gt;"pvp",Inputs!$B$44&gt;0),(((R2081-1)*MIN((Skills!Y22*(1+Inputs!$B$34/100)),(1/Q2081))+MIN((Skills!Y22*(1+Inputs!$B$34/100)),MAX(0,Inputs!$B$44-((R2081-1)*(1/Q2081)))))/Inputs!$B$44),IF(Inputs!$B$39="pvp",MIN((Skills!Y22*(1+Inputs!$B$34/100)),15)/15,MIN(1,(Skills!Y22*(1+Inputs!$B$34/100))/(1/Q2081)))))+((C2062=TRUE)*F2062*3)+((C2064=TRUE)*F2064*(1-EXP(-0.75*B2097*5)))+((C2083=TRUE)*(F2083-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2070=TRUE)*F2070*IF(AND(Inputs!$B$39&lt;&gt;"pvp",Inputs!$B$44&gt;0),(((R2070-1)*MIN((Skills!Y11*(1+Inputs!$B$34/100)),(1/Q2070))+MIN((Skills!Y11*(1+Inputs!$B$34/100)),MAX(0,Inputs!$B$44-((R2070-1)*(1/Q2070)))))/Inputs!$B$44),IF(Inputs!$B$39="pvp",MIN((Skills!Y11*(1+Inputs!$B$34/100)),15)/15,MIN(1,(Skills!Y11*(1+Inputs!$B$34/100))/(1/Q2070)))))/100)*(1+((C2075=TRUE)*F2075*IF(AND(Inputs!$B$39&lt;&gt;"pvp",Inputs!$B$44&gt;0),(((R2075-1)*MIN((Skills!Y16*(1+Inputs!$B$34/100)),(1/Q2075))+MIN((Skills!Y16*(1+Inputs!$B$34/100)),MAX(0,Inputs!$B$44-((R2075-1)*(1/Q2075)))))/Inputs!$B$44),IF(Inputs!$B$39="pvp",MIN((Skills!Y16*(1+Inputs!$B$34/100)),15)/15,MIN(1,(Skills!Y16*(1+Inputs!$B$34/100))/(1/Q2075)))))/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2095*I2068)</f>
        <v/>
      </c>
      <c r="L2068">
        <f>K2068*(MIN(Inputs!$B$22+((C2084=TRUE)*(F2084-Calc!F25)),(Inputs!$B$23+((C2089=TRUE)*(F2089-Calc!F30))+IF(ArtifactsInput!$M$15,CHOOSE(ArtifactsInput!$N$15+1,25,30,35,40,45,50)/100*(Inputs!$B$11-Inputs!$B$11),0)))/100+(Inputs!$B$23+((C2089=TRUE)*(F2089-Calc!F30))+IF(ArtifactsInput!$M$15,CHOOSE(ArtifactsInput!$N$15+1,25,30,35,40,45,50)/100*(Inputs!$B$11-Inputs!$B$11),0))/100)/2</f>
        <v/>
      </c>
      <c r="M2068">
        <f>L2068*(1+(Inputs!$B$10+((C2086=TRUE)*(F2086-Calc!F27))+B2100+(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2068">
        <f>L2068*(1-MIN((Inputs!$B$9+((C2085=TRUE)*(F2085-Calc!F26))+B2093+(ArtifactsInput!$M$24-ArtifactsInput!$M$24)*CHOOSE(ArtifactsInput!$N$24+1,10,12,14,16,18,20)+(IF(AND(Inputs!$B$39&lt;&gt;"pvp",Inputs!$B$44=0),1,IF(IF(Inputs!$B$39="pvp",15,Inputs!$B$44)-(B2104)&lt;=0,1,MAX(0,IF(Inputs!$B$39="pvp",15,Inputs!$B$44)-MAX(5,B2104))/(IF(Inputs!$B$39="pvp",15,Inputs!$B$44)-(B2104))))*IF(AND(ArtifactsInput!$M$42,((Inputs!$B$9+((C2085=TRUE)*(F2085-Calc!F26))+B2093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2068*(MIN((Inputs!$B$9+((C2085=TRUE)*(F2085-Calc!F26))+B2093+(ArtifactsInput!$M$24-ArtifactsInput!$M$24)*CHOOSE(ArtifactsInput!$N$24+1,10,12,14,16,18,20)+(IF(AND(Inputs!$B$39&lt;&gt;"pvp",Inputs!$B$44=0),1,IF(IF(Inputs!$B$39="pvp",15,Inputs!$B$44)-(B2104)&lt;=0,1,MAX(0,IF(Inputs!$B$39="pvp",15,Inputs!$B$44)-MAX(5,B2104))/(IF(Inputs!$B$39="pvp",15,Inputs!$B$44)-(B2104))))*IF(AND(ArtifactsInput!$M$42,((Inputs!$B$9+((C2085=TRUE)*(F2085-Calc!F26))+B2093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068">
        <f>(1-Summary!$B$11)*T2068+Summary!$B$11*V2068</f>
        <v/>
      </c>
      <c r="P2068">
        <f>IF(B2105=0,0,O2068/B2105)</f>
        <v/>
      </c>
      <c r="Q2068">
        <f>IFERROR(1/IF(Inputs!$B$39="pvp",15,MAX(0.1,Skills!D9-IF(FALSE=TRUE,Inputs!$B$32,0))),0)</f>
        <v/>
      </c>
      <c r="R2068">
        <f>IF(AND(Inputs!$B$39&lt;&gt;"pvp",Inputs!$B$44&gt;0),IF(MAX(0,Inputs!$B$44-B2104)&lt;=0,0,(INT(MAX(0,Inputs!$B$44-B2104)/IF(Inputs!$B$39="pvp",15,MAX(0.1,Skills!D9-IF(FALSE=TRUE,Inputs!$B$32,0))))+1)),0)</f>
        <v/>
      </c>
      <c r="S2068">
        <f>IFERROR(O2068/N2068,0)</f>
        <v/>
      </c>
      <c r="T2068">
        <f>IF(C2068,(H2068*N2068*IF(AND(Inputs!$B$39&lt;&gt;"pvp",Inputs!$B$44&gt;0),((Skills!G9*((R2068-1)*IF(Skills!H9&gt;0,Skills!I9/Skills!H9,1)+IF(Skills!H9&gt;0,MIN(Skills!I9,MAX(0,MAX(0,Inputs!$B$44-B2104)-((R2068-1)*IF(Inputs!$B$39="pvp",15,MAX(0.1,Skills!D9-IF(FALSE=TRUE,Inputs!$B$32,0))))))/Skills!H9,1)))/Inputs!$B$44),G2068*Q2068))*IF(Inputs!$B$39="pvp",1,1+(Inputs!$B$20+0+Skills!P9+B2094+(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Hunt"),CHOOSE(ArtifactsInput!$N$35+1,15,18,21,24,27,30)*(1-EXP(-(0.2*B2097)*5)),0)+IF(AND(ArtifactsInput!$M$22,Inputs!$B$4&lt;&gt;"Chapter Hunt"),CHOOSE(ArtifactsInput!$N$22+1,10,12,14,16,18,20)*((0*(((0.15*B2097*5))^0/1)+1*(((0.15*B2097*5))^1/1)+2*(((0.15*B2097*5))^2/2)+3*(((0.15*B2097*5))^3/6)+4*(((0.15*B2097*5))^4/24)+5*(((0.15*B2097*5))^5/120))/((((0.15*B2097*5))^0/1)+(((0.15*B2097*5))^1/1)+(((0.15*B2097*5))^2/2)+(((0.15*B2097*5))^3/6)+(((0.15*B2097*5))^4/24)+(((0.15*B2097*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2068*(1-MIN(100,(Inputs!$B$9+((C2085=TRUE)*(F2085-Calc!F26))+B2093+(ArtifactsInput!$M$24-ArtifactsInput!$M$24)*CHOOSE(ArtifactsInput!$N$24+1,10,12,14,16,18,20)+(IF(AND(Inputs!$B$39&lt;&gt;"pvp",Inputs!$B$44=0),1,IF(IF(Inputs!$B$39="pvp",15,Inputs!$B$44)-(B2104)&lt;=0,1,MAX(0,IF(Inputs!$B$39="pvp",15,Inputs!$B$44)-MAX(5,B2104))/(IF(Inputs!$B$39="pvp",15,Inputs!$B$44)-(B2104))))*IF(AND(ArtifactsInput!$M$42,((Inputs!$B$9+((C2085=TRUE)*(F2085-Calc!F26))+B2093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2068*(MIN(100,(Inputs!$B$9+((C2085=TRUE)*(F2085-Calc!F26))+B2093+(ArtifactsInput!$M$24-ArtifactsInput!$M$24)*CHOOSE(ArtifactsInput!$N$24+1,10,12,14,16,18,20)+(IF(AND(Inputs!$B$39&lt;&gt;"pvp",Inputs!$B$44=0),1,IF(IF(Inputs!$B$39="pvp",15,Inputs!$B$44)-(B2104)&lt;=0,1,MAX(0,IF(Inputs!$B$39="pvp",15,Inputs!$B$44)-MAX(5,B2104))/(IF(Inputs!$B$39="pvp",15,Inputs!$B$44)-(B2104))))*IF(AND(ArtifactsInput!$M$42,((Inputs!$B$9+((C2085=TRUE)*(F2085-Calc!F26))+B2093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2068*(1-MIN(100,(Inputs!$B$9+((C2085=TRUE)*(F2085-Calc!F26))+B2093+(ArtifactsInput!$M$24-ArtifactsInput!$M$24)*CHOOSE(ArtifactsInput!$N$24+1,10,12,14,16,18,20)+(IF(AND(Inputs!$B$39&lt;&gt;"pvp",Inputs!$B$44=0),1,IF(IF(Inputs!$B$39="pvp",15,Inputs!$B$44)-(B2104)&lt;=0,1,MAX(0,IF(Inputs!$B$39="pvp",15,Inputs!$B$44)-MAX(5,B2104))/(IF(Inputs!$B$39="pvp",15,Inputs!$B$44)-(B2104))))*IF(AND(ArtifactsInput!$M$42,((Inputs!$B$9+((C2085=TRUE)*(F2085-Calc!F26))+B2093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2068*(MIN(100,(Inputs!$B$9+((C2085=TRUE)*(F2085-Calc!F26))+B2093+(ArtifactsInput!$M$24-ArtifactsInput!$M$24)*CHOOSE(ArtifactsInput!$N$24+1,10,12,14,16,18,20)+(IF(AND(Inputs!$B$39&lt;&gt;"pvp",Inputs!$B$44=0),1,IF(IF(Inputs!$B$39="pvp",15,Inputs!$B$44)-(B2104)&lt;=0,1,MAX(0,IF(Inputs!$B$39="pvp",15,Inputs!$B$44)-MAX(5,B2104))/(IF(Inputs!$B$39="pvp",15,Inputs!$B$44)-(B2104))))*IF(AND(ArtifactsInput!$M$42,((Inputs!$B$9+((C2085=TRUE)*(F2085-Calc!F26))+B2093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068">
        <f>IF(C2068,(H2068*N2068*IF(AND(Inputs!$B$39&lt;&gt;"pvp",Inputs!$B$44&gt;0),((Skills!G9*((R2068-1)*IF(Skills!H9&gt;0,Skills!I9/Skills!H9,1)+IF(Skills!H9&gt;0,MIN(Skills!I9,MAX(0,MAX(0,Inputs!$B$44-B2104)-((R2068-1)*IF(Inputs!$B$39="pvp",15,MAX(0.1,Skills!D9-IF(FALSE=TRUE,Inputs!$B$32,0))))))/Skills!H9,1)))/Inputs!$B$44),G2068*Q2068))*IF(Inputs!$B$39="pvp",1,(1+(Inputs!$B$21+Skills!Q9+B2094+(IF(ArtifactsInput!$M$33,CHOOSE(ArtifactsInput!$N$33+1,30,36,42,48,54,60),0))+(IF(AND(ArtifactsInput!$M$35,Inputs!$B$4&lt;&gt;"Chapter Hunt"),CHOOSE(ArtifactsInput!$N$35+1,15,18,21,24,27,30)*(1-EXP(-(0.2*B2097)*5)),0)+IF(AND(ArtifactsInput!$M$22,Inputs!$B$4&lt;&gt;"Chapter Hunt"),CHOOSE(ArtifactsInput!$N$22+1,10,12,14,16,18,20)*((0*(((0.15*B2097*5))^0/1)+1*(((0.15*B2097*5))^1/1)+2*(((0.15*B2097*5))^2/2)+3*(((0.15*B2097*5))^3/6)+4*(((0.15*B2097*5))^4/24)+5*(((0.15*B2097*5))^5/120))/((((0.15*B2097*5))^0/1)+(((0.15*B2097*5))^1/1)+(((0.15*B2097*5))^2/2)+(((0.15*B2097*5))^3/6)+(((0.15*B2097*5))^4/24)+(((0.15*B2097*5))^5/120))),0)))/100)*(MIN(Skills!W9,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069">
      <c r="A2069">
        <f>Skills!A10</f>
        <v/>
      </c>
      <c r="B2069">
        <f>Skills!B10</f>
        <v/>
      </c>
      <c r="C2069">
        <f>Inputs!$B$3&gt;=117</f>
        <v/>
      </c>
      <c r="D2069">
        <f>IF(Skills!C10=1,60+Inputs!$B$25+Inputs!$B$29,IF(Skills!C10=2,90+Inputs!$B$26+Inputs!$B$29,IF(Skills!C10=3,120+Inputs!$B$27+Inputs!$B$29,MAX(0,(Inputs!$B$3-100)*3)+Inputs!$B$28+Inputs!$B$29)))</f>
        <v/>
      </c>
      <c r="E2069">
        <f>INDEX(FactorTable!$B$2:$Y$301, MATCH(ROUND(MIN(300,MAX(1,D2069)),0), FactorTable!$A$2:$A$301,0), Skills!M10+1)</f>
        <v/>
      </c>
      <c r="F2069">
        <f>IF(Skills!N10=TRUE,(Skills!L10/10)*(E2069/1000),Skills!L10/10)+Skills!O10</f>
        <v/>
      </c>
      <c r="G2069">
        <f>Skills!G10*IF(Skills!H10&gt;0,IF(Inputs!$B$39="pvp",MIN(Skills!I10,15),Skills!I10)/Skills!H10,1)</f>
        <v/>
      </c>
      <c r="H2069">
        <f>1-(1-Skills!J10/100)^Skills!K10</f>
        <v/>
      </c>
      <c r="I2069" t="inlineStr">
        <is>
          <t>1</t>
        </is>
      </c>
      <c r="J2069">
        <f>((Inputs!$B$6*(1+Inputs!$B$7/100))+(((Inputs!$B$12*(1+Inputs!$B$13/100))-(Inputs!$B$12*(1+Inputs!$B$13/100)))+0.25*(Inputs!$B$14-Inputs!$B$14))*(1+Inputs!$B$7/100))*(F2069/100)</f>
        <v/>
      </c>
      <c r="K2069">
        <f>J2069*(1+((Inputs!$B$12*(1+Inputs!$B$13/100))*0.01+Inputs!$B$14*0.0025)/100)*(1+Inputs!$B$15/100)*(1+Inputs!$B$16/100)*(5000/(6000+Inputs!$B$43*(1-(100*(1-(1-Inputs!$B$19/100)*(1-CHOOSE(ArtifactsInput!$N$40+1,5,6,7,8,9,10)/100)^(ArtifactsInput!$M$40-ArtifactsInput!$M$40)))/100)))*(1+(Inputs!$B$24+((C2090=TRUE)*(F2090-Calc!F31))+((C2077=TRUE)*(F2077-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10="CRUEL_STAB",Inputs!$B$17+((C2087=TRUE)*(F2087-Calc!F28))+((IF(AND(Inputs!$B$39&lt;&gt;"pvp",Inputs!$B$44=0),1,IF(IF(Inputs!$B$39="pvp",15,Inputs!$B$44)-(B2104)&lt;=0,1,MAX(0,IF(Inputs!$B$39="pvp",15,Inputs!$B$44)-MAX(5,B2104))/(IF(Inputs!$B$39="pvp",15,Inputs!$B$44)-(B2104))))*(IF(AND(ArtifactsInput!$M$42,((Inputs!$B$9+((C2085=TRUE)*(F2085-Calc!F26))+B2093+(ArtifactsInput!$M$24-ArtifactsInput!$M$24)*CHOOSE(ArtifactsInput!$N$24+1,10,12,14,16,18,20)+IF(ArtifactsInput!$M$10,CHOOSE(ArtifactsInput!$N$10+1,15,18,21,24,27,30)*(IF(Inputs!$B$39="pvp",MIN(15,15)/15,IF(AND(Inputs!$B$39&lt;&gt;"pvp",Inputs!$B$44&gt;0),MIN(15,Inputs!$B$44)/(Inputs!$B$44),0))),0)))&gt;=100),MIN(100,((Inputs!$B$9+((C2085=TRUE)*(F2085-Calc!F26))+B2093+(ArtifactsInput!$M$24-ArtifactsInput!$M$24)*CHOOSE(ArtifactsInput!$N$24+1,10,12,14,16,18,20)+IF(ArtifactsInput!$M$10,CHOOSE(ArtifactsInput!$N$10+1,15,18,21,24,27,30)*(IF(Inputs!$B$39="pvp",MIN(15,15)/15,IF(AND(Inputs!$B$39&lt;&gt;"pvp",Inputs!$B$44&gt;0),MIN(15,Inputs!$B$44)/(Inputs!$B$44),0))),0)))-100),0))*CHOOSE(ArtifactsInput!$N$42+1,0.6,0.72,0.84,0.96,1.08,1.2))),Inputs!$B$18+((C2088=TRUE)*(F2088-Calc!F29))+(IF(AND(Inputs!$B$39&lt;&gt;"pvp",Inputs!$B$44=0),1,IF(IF(Inputs!$B$39="pvp",15,Inputs!$B$44)-(B2104)&lt;=0,1,MAX(0,IF(Inputs!$B$39="pvp",15,Inputs!$B$44)-MAX(5,B2104))/(IF(Inputs!$B$39="pvp",15,Inputs!$B$44)-(B2104))))*IF(AND(ArtifactsInput!$M$42,((Inputs!$B$9+((C2085=TRUE)*(F2085-Calc!F26))+B2093+(ArtifactsInput!$M$24-ArtifactsInput!$M$24)*CHOOSE(ArtifactsInput!$N$24+1,10,12,14,16,18,20)+IF(ArtifactsInput!$M$10,CHOOSE(ArtifactsInput!$N$10+1,15,18,21,24,27,30)*(IF(Inputs!$B$39="pvp",MIN(15,15)/15,IF(AND(Inputs!$B$39&lt;&gt;"pvp",Inputs!$B$44&gt;0),MIN(15,Inputs!$B$44)/(Inputs!$B$44),0))),0)))&gt;=100),CHOOSE(ArtifactsInput!$N$42+1,40,48,56,64,72,80),0))))/100)*(((1+(((C2081=TRUE)*F2081*IF(AND(Inputs!$B$39&lt;&gt;"pvp",Inputs!$B$44&gt;0),(((R2081-1)*MIN((Skills!Y22*(1+Inputs!$B$34/100)),(1/Q2081))+MIN((Skills!Y22*(1+Inputs!$B$34/100)),MAX(0,Inputs!$B$44-((R2081-1)*(1/Q2081)))))/Inputs!$B$44),IF(Inputs!$B$39="pvp",MIN((Skills!Y22*(1+Inputs!$B$34/100)),15)/15,MIN(1,(Skills!Y22*(1+Inputs!$B$34/100))/(1/Q2081)))))+((C2062=TRUE)*F2062*3)+((C2064=TRUE)*F2064*(1-EXP(-0.75*B2097*5)))+((C2083=TRUE)*(F2083-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2070=TRUE)*F2070*IF(AND(Inputs!$B$39&lt;&gt;"pvp",Inputs!$B$44&gt;0),(((R2070-1)*MIN((Skills!Y11*(1+Inputs!$B$34/100)),(1/Q2070))+MIN((Skills!Y11*(1+Inputs!$B$34/100)),MAX(0,Inputs!$B$44-((R2070-1)*(1/Q2070)))))/Inputs!$B$44),IF(Inputs!$B$39="pvp",MIN((Skills!Y11*(1+Inputs!$B$34/100)),15)/15,MIN(1,(Skills!Y11*(1+Inputs!$B$34/100))/(1/Q2070)))))/100)*(1+((C2075=TRUE)*F2075*IF(AND(Inputs!$B$39&lt;&gt;"pvp",Inputs!$B$44&gt;0),(((R2075-1)*MIN((Skills!Y16*(1+Inputs!$B$34/100)),(1/Q2075))+MIN((Skills!Y16*(1+Inputs!$B$34/100)),MAX(0,Inputs!$B$44-((R2075-1)*(1/Q2075)))))/Inputs!$B$44),IF(Inputs!$B$39="pvp",MIN((Skills!Y16*(1+Inputs!$B$34/100)),15)/15,MIN(1,(Skills!Y16*(1+Inputs!$B$34/100))/(1/Q2075)))))/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2095*I2069)</f>
        <v/>
      </c>
      <c r="L2069">
        <f>K2069*(MIN(Inputs!$B$22+((C2084=TRUE)*(F2084-Calc!F25)),(Inputs!$B$23+((C2089=TRUE)*(F2089-Calc!F30))+IF(ArtifactsInput!$M$15,CHOOSE(ArtifactsInput!$N$15+1,25,30,35,40,45,50)/100*(Inputs!$B$11-Inputs!$B$11),0)))/100+(Inputs!$B$23+((C2089=TRUE)*(F2089-Calc!F30))+IF(ArtifactsInput!$M$15,CHOOSE(ArtifactsInput!$N$15+1,25,30,35,40,45,50)/100*(Inputs!$B$11-Inputs!$B$11),0))/100)/2</f>
        <v/>
      </c>
      <c r="M2069">
        <f>L2069*(1+(Inputs!$B$10+((C2086=TRUE)*(F2086-Calc!F27))+B2100+(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2069">
        <f>L2069*(1-MIN((Inputs!$B$9+((C2085=TRUE)*(F2085-Calc!F26))+B2093+(ArtifactsInput!$M$24-ArtifactsInput!$M$24)*CHOOSE(ArtifactsInput!$N$24+1,10,12,14,16,18,20)+(IF(AND(Inputs!$B$39&lt;&gt;"pvp",Inputs!$B$44=0),1,IF(IF(Inputs!$B$39="pvp",15,Inputs!$B$44)-(B2104)&lt;=0,1,MAX(0,IF(Inputs!$B$39="pvp",15,Inputs!$B$44)-MAX(5,B2104))/(IF(Inputs!$B$39="pvp",15,Inputs!$B$44)-(B2104))))*IF(AND(ArtifactsInput!$M$42,((Inputs!$B$9+((C2085=TRUE)*(F2085-Calc!F26))+B2093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2069*(MIN((Inputs!$B$9+((C2085=TRUE)*(F2085-Calc!F26))+B2093+(ArtifactsInput!$M$24-ArtifactsInput!$M$24)*CHOOSE(ArtifactsInput!$N$24+1,10,12,14,16,18,20)+(IF(AND(Inputs!$B$39&lt;&gt;"pvp",Inputs!$B$44=0),1,IF(IF(Inputs!$B$39="pvp",15,Inputs!$B$44)-(B2104)&lt;=0,1,MAX(0,IF(Inputs!$B$39="pvp",15,Inputs!$B$44)-MAX(5,B2104))/(IF(Inputs!$B$39="pvp",15,Inputs!$B$44)-(B2104))))*IF(AND(ArtifactsInput!$M$42,((Inputs!$B$9+((C2085=TRUE)*(F2085-Calc!F26))+B2093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069">
        <f>(1-Summary!$B$11)*T2069+Summary!$B$11*V2069</f>
        <v/>
      </c>
      <c r="P2069">
        <f>IF(B2105=0,0,O2069/B2105)</f>
        <v/>
      </c>
      <c r="Q2069" t="n">
        <v>0</v>
      </c>
      <c r="R2069" t="n">
        <v>0</v>
      </c>
      <c r="S2069" t="n">
        <v>0</v>
      </c>
      <c r="T2069">
        <f>IF(C2069,(0.2*SUMPRODUCT((Skills!Z2:Z31=TRUE)*(C2061:C2090=TRUE)*S2061:S2090)*N2069)*IF(Inputs!$B$39="pvp",1,1+(Inputs!$B$20+0+Skills!P10+B2094+(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Hunt"),CHOOSE(ArtifactsInput!$N$35+1,15,18,21,24,27,30)*(1-EXP(-(0.2*B2097)*5)),0)+IF(AND(ArtifactsInput!$M$22,Inputs!$B$4&lt;&gt;"Chapter Hunt"),CHOOSE(ArtifactsInput!$N$22+1,10,12,14,16,18,20)*((0*(((0.15*B2097*5))^0/1)+1*(((0.15*B2097*5))^1/1)+2*(((0.15*B2097*5))^2/2)+3*(((0.15*B2097*5))^3/6)+4*(((0.15*B2097*5))^4/24)+5*(((0.15*B2097*5))^5/120))/((((0.15*B2097*5))^0/1)+(((0.15*B2097*5))^1/1)+(((0.15*B2097*5))^2/2)+(((0.15*B2097*5))^3/6)+(((0.15*B2097*5))^4/24)+(((0.15*B2097*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2069*(1-MIN(100,(Inputs!$B$9+((C2085=TRUE)*(F2085-Calc!F26))+B2093+(ArtifactsInput!$M$24-ArtifactsInput!$M$24)*CHOOSE(ArtifactsInput!$N$24+1,10,12,14,16,18,20)+(IF(AND(Inputs!$B$39&lt;&gt;"pvp",Inputs!$B$44=0),1,IF(IF(Inputs!$B$39="pvp",15,Inputs!$B$44)-(B2104)&lt;=0,1,MAX(0,IF(Inputs!$B$39="pvp",15,Inputs!$B$44)-MAX(5,B2104))/(IF(Inputs!$B$39="pvp",15,Inputs!$B$44)-(B2104))))*IF(AND(ArtifactsInput!$M$42,((Inputs!$B$9+((C2085=TRUE)*(F2085-Calc!F26))+B2093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2069*(MIN(100,(Inputs!$B$9+((C2085=TRUE)*(F2085-Calc!F26))+B2093+(ArtifactsInput!$M$24-ArtifactsInput!$M$24)*CHOOSE(ArtifactsInput!$N$24+1,10,12,14,16,18,20)+(IF(AND(Inputs!$B$39&lt;&gt;"pvp",Inputs!$B$44=0),1,IF(IF(Inputs!$B$39="pvp",15,Inputs!$B$44)-(B2104)&lt;=0,1,MAX(0,IF(Inputs!$B$39="pvp",15,Inputs!$B$44)-MAX(5,B2104))/(IF(Inputs!$B$39="pvp",15,Inputs!$B$44)-(B2104))))*IF(AND(ArtifactsInput!$M$42,((Inputs!$B$9+((C2085=TRUE)*(F2085-Calc!F26))+B2093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2069*(1-MIN(100,(Inputs!$B$9+((C2085=TRUE)*(F2085-Calc!F26))+B2093+(ArtifactsInput!$M$24-ArtifactsInput!$M$24)*CHOOSE(ArtifactsInput!$N$24+1,10,12,14,16,18,20)+(IF(AND(Inputs!$B$39&lt;&gt;"pvp",Inputs!$B$44=0),1,IF(IF(Inputs!$B$39="pvp",15,Inputs!$B$44)-(B2104)&lt;=0,1,MAX(0,IF(Inputs!$B$39="pvp",15,Inputs!$B$44)-MAX(5,B2104))/(IF(Inputs!$B$39="pvp",15,Inputs!$B$44)-(B2104))))*IF(AND(ArtifactsInput!$M$42,((Inputs!$B$9+((C2085=TRUE)*(F2085-Calc!F26))+B2093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2069*(MIN(100,(Inputs!$B$9+((C2085=TRUE)*(F2085-Calc!F26))+B2093+(ArtifactsInput!$M$24-ArtifactsInput!$M$24)*CHOOSE(ArtifactsInput!$N$24+1,10,12,14,16,18,20)+(IF(AND(Inputs!$B$39&lt;&gt;"pvp",Inputs!$B$44=0),1,IF(IF(Inputs!$B$39="pvp",15,Inputs!$B$44)-(B2104)&lt;=0,1,MAX(0,IF(Inputs!$B$39="pvp",15,Inputs!$B$44)-MAX(5,B2104))/(IF(Inputs!$B$39="pvp",15,Inputs!$B$44)-(B2104))))*IF(AND(ArtifactsInput!$M$42,((Inputs!$B$9+((C2085=TRUE)*(F2085-Calc!F26))+B2093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069">
        <f>IF(C2069,(0.2*SUMPRODUCT((Skills!Z2:Z31=TRUE)*(C2061:C2090=TRUE)*S2061:S2090)*N2069)*IF(Inputs!$B$39="pvp",1,(1+(Inputs!$B$21+Skills!Q10+B2094+(IF(ArtifactsInput!$M$33,CHOOSE(ArtifactsInput!$N$33+1,30,36,42,48,54,60),0))+(IF(AND(ArtifactsInput!$M$35,Inputs!$B$4&lt;&gt;"Chapter Hunt"),CHOOSE(ArtifactsInput!$N$35+1,15,18,21,24,27,30)*(1-EXP(-(0.2*B2097)*5)),0)+IF(AND(ArtifactsInput!$M$22,Inputs!$B$4&lt;&gt;"Chapter Hunt"),CHOOSE(ArtifactsInput!$N$22+1,10,12,14,16,18,20)*((0*(((0.15*B2097*5))^0/1)+1*(((0.15*B2097*5))^1/1)+2*(((0.15*B2097*5))^2/2)+3*(((0.15*B2097*5))^3/6)+4*(((0.15*B2097*5))^4/24)+5*(((0.15*B2097*5))^5/120))/((((0.15*B2097*5))^0/1)+(((0.15*B2097*5))^1/1)+(((0.15*B2097*5))^2/2)+(((0.15*B2097*5))^3/6)+(((0.15*B2097*5))^4/24)+(((0.15*B2097*5))^5/120))),0)))/100)*(MIN(Skills!W10,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070">
      <c r="A2070">
        <f>Skills!A11</f>
        <v/>
      </c>
      <c r="B2070">
        <f>Skills!B11</f>
        <v/>
      </c>
      <c r="C2070">
        <f>Inputs!$B$3&gt;=74</f>
        <v/>
      </c>
      <c r="D2070">
        <f>IF(Skills!C11=1,60+Inputs!$B$25+Inputs!$B$29,IF(Skills!C11=2,90+Inputs!$B$26+Inputs!$B$29,IF(Skills!C11=3,120+Inputs!$B$27+Inputs!$B$29,MAX(0,(Inputs!$B$3-100)*3)+Inputs!$B$28+Inputs!$B$29)))</f>
        <v/>
      </c>
      <c r="E2070">
        <f>INDEX(FactorTable!$B$2:$Y$301, MATCH(ROUND(MIN(300,MAX(1,D2070)),0), FactorTable!$A$2:$A$301,0), Skills!M11+1)</f>
        <v/>
      </c>
      <c r="F2070">
        <f>IF(Skills!N11=TRUE,(Skills!L11/10)*(E2070/1000),Skills!L11/10)+Skills!O11</f>
        <v/>
      </c>
      <c r="G2070">
        <f>Skills!G11*IF(Skills!H11&gt;0,IF(Inputs!$B$39="pvp",MIN(Skills!I11,15),Skills!I11)/Skills!H11,1)</f>
        <v/>
      </c>
      <c r="H2070">
        <f>1-(1-Skills!J11/100)^Skills!K11</f>
        <v/>
      </c>
      <c r="I2070" t="inlineStr">
        <is>
          <t>1</t>
        </is>
      </c>
      <c r="J2070" t="inlineStr"/>
      <c r="K2070" t="inlineStr"/>
      <c r="L2070" t="inlineStr"/>
      <c r="M2070" t="inlineStr"/>
      <c r="N2070" t="inlineStr"/>
      <c r="O2070">
        <f>(1-Summary!$B$11)*T2070+Summary!$B$11*V2070</f>
        <v/>
      </c>
      <c r="P2070">
        <f>IF(B2105=0,0,O2070/B2105)</f>
        <v/>
      </c>
      <c r="Q2070">
        <f>IFERROR(1/IF(Inputs!$B$39="pvp",15,MAX(0.1,Skills!D11-IF(TRUE=TRUE,Inputs!$B$32,0))),0)</f>
        <v/>
      </c>
      <c r="R2070">
        <f>IF(AND(Inputs!$B$39&lt;&gt;"pvp",Inputs!$B$44&gt;0),IF(Inputs!$B$44&lt;=0,0,(INT(Inputs!$B$44/IF(Inputs!$B$39="pvp",15,MAX(0.1,Skills!D11-IF(TRUE=TRUE,Inputs!$B$32,0))))+1)),0)</f>
        <v/>
      </c>
      <c r="S2070">
        <f>IFERROR(O2070/N2070,0)</f>
        <v/>
      </c>
      <c r="T2070" t="n">
        <v>0</v>
      </c>
      <c r="V2070" t="n">
        <v>0</v>
      </c>
    </row>
    <row r="2071">
      <c r="A2071">
        <f>Skills!A12</f>
        <v/>
      </c>
      <c r="B2071">
        <f>Skills!B12</f>
        <v/>
      </c>
      <c r="C2071">
        <f>Inputs!$B$3&gt;=103</f>
        <v/>
      </c>
      <c r="D2071">
        <f>IF(Skills!C12=1,60+Inputs!$B$25+Inputs!$B$29,IF(Skills!C12=2,90+Inputs!$B$26+Inputs!$B$29,IF(Skills!C12=3,120+Inputs!$B$27+Inputs!$B$29,MAX(0,(Inputs!$B$3-100)*3)+Inputs!$B$28+Inputs!$B$29)))</f>
        <v/>
      </c>
      <c r="E2071">
        <f>INDEX(FactorTable!$B$2:$Y$301, MATCH(ROUND(MIN(300,MAX(1,D2071)),0), FactorTable!$A$2:$A$301,0), Skills!M12+1)</f>
        <v/>
      </c>
      <c r="F2071">
        <f>(Skills!L12/10)*(E2071/1000)+IF(Inputs!$B$3&gt;=134,50,0)+0.5*(30000/10)*(INDEX(FactorTable!$B$2:$Y$301, MATCH(ROUND(MIN(300,MAX(1,D2071)),0), FactorTable!$A$2:$A$301,0), 13)/1000)*B2103</f>
        <v/>
      </c>
      <c r="G2071">
        <f>Skills!G12*IF(Skills!H12&gt;0,IF(Inputs!$B$39="pvp",MIN(Skills!I12,15),Skills!I12)/Skills!H12,1)</f>
        <v/>
      </c>
      <c r="H2071">
        <f>1-(1-Skills!J12/100)^Skills!K12</f>
        <v/>
      </c>
      <c r="I2071" t="inlineStr">
        <is>
          <t>1</t>
        </is>
      </c>
      <c r="J2071">
        <f>((Inputs!$B$6*(1+Inputs!$B$7/100))+(((Inputs!$B$12*(1+Inputs!$B$13/100))-(Inputs!$B$12*(1+Inputs!$B$13/100)))+0.25*(Inputs!$B$14-Inputs!$B$14))*(1+Inputs!$B$7/100))*(F2071/100)</f>
        <v/>
      </c>
      <c r="K2071">
        <f>J2071*(1+((Inputs!$B$12*(1+Inputs!$B$13/100))*0.01+Inputs!$B$14*0.0025)/100)*(1+Inputs!$B$15/100)*(1+Inputs!$B$16/100)*(5000/(6000+Inputs!$B$43*(1-(100*(1-(1-Inputs!$B$19/100)*(1-CHOOSE(ArtifactsInput!$N$40+1,5,6,7,8,9,10)/100)^(ArtifactsInput!$M$40-ArtifactsInput!$M$40)))/100)))*(1+(Inputs!$B$24+((C2090=TRUE)*(F2090-Calc!F31))+((C2077=TRUE)*(F2077-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12="CRUEL_STAB",Inputs!$B$17+((C2087=TRUE)*(F2087-Calc!F28))+((IF(AND(Inputs!$B$39&lt;&gt;"pvp",Inputs!$B$44=0),1,IF(IF(Inputs!$B$39="pvp",15,Inputs!$B$44)-(B2104)&lt;=0,1,MAX(0,IF(Inputs!$B$39="pvp",15,Inputs!$B$44)-MAX(5,B2104))/(IF(Inputs!$B$39="pvp",15,Inputs!$B$44)-(B2104))))*(IF(AND(ArtifactsInput!$M$42,((Inputs!$B$9+((C2085=TRUE)*(F2085-Calc!F26))+B2093+(ArtifactsInput!$M$24-ArtifactsInput!$M$24)*CHOOSE(ArtifactsInput!$N$24+1,10,12,14,16,18,20)+IF(ArtifactsInput!$M$10,CHOOSE(ArtifactsInput!$N$10+1,15,18,21,24,27,30)*(IF(Inputs!$B$39="pvp",MIN(15,15)/15,IF(AND(Inputs!$B$39&lt;&gt;"pvp",Inputs!$B$44&gt;0),MIN(15,Inputs!$B$44)/(Inputs!$B$44),0))),0)))&gt;=100),MIN(100,((Inputs!$B$9+((C2085=TRUE)*(F2085-Calc!F26))+B2093+(ArtifactsInput!$M$24-ArtifactsInput!$M$24)*CHOOSE(ArtifactsInput!$N$24+1,10,12,14,16,18,20)+IF(ArtifactsInput!$M$10,CHOOSE(ArtifactsInput!$N$10+1,15,18,21,24,27,30)*(IF(Inputs!$B$39="pvp",MIN(15,15)/15,IF(AND(Inputs!$B$39&lt;&gt;"pvp",Inputs!$B$44&gt;0),MIN(15,Inputs!$B$44)/(Inputs!$B$44),0))),0)))-100),0))*CHOOSE(ArtifactsInput!$N$42+1,0.6,0.72,0.84,0.96,1.08,1.2))),Inputs!$B$18+((C2088=TRUE)*(F2088-Calc!F29))+(IF(AND(Inputs!$B$39&lt;&gt;"pvp",Inputs!$B$44=0),1,IF(IF(Inputs!$B$39="pvp",15,Inputs!$B$44)-(B2104)&lt;=0,1,MAX(0,IF(Inputs!$B$39="pvp",15,Inputs!$B$44)-MAX(5,B2104))/(IF(Inputs!$B$39="pvp",15,Inputs!$B$44)-(B2104))))*IF(AND(ArtifactsInput!$M$42,((Inputs!$B$9+((C2085=TRUE)*(F2085-Calc!F26))+B2093+(ArtifactsInput!$M$24-ArtifactsInput!$M$24)*CHOOSE(ArtifactsInput!$N$24+1,10,12,14,16,18,20)+IF(ArtifactsInput!$M$10,CHOOSE(ArtifactsInput!$N$10+1,15,18,21,24,27,30)*(IF(Inputs!$B$39="pvp",MIN(15,15)/15,IF(AND(Inputs!$B$39&lt;&gt;"pvp",Inputs!$B$44&gt;0),MIN(15,Inputs!$B$44)/(Inputs!$B$44),0))),0)))&gt;=100),CHOOSE(ArtifactsInput!$N$42+1,40,48,56,64,72,80),0))))/100)*(((1+(((C2081=TRUE)*F2081*IF(AND(Inputs!$B$39&lt;&gt;"pvp",Inputs!$B$44&gt;0),(((R2081-1)*MIN((Skills!Y22*(1+Inputs!$B$34/100)),(1/Q2081))+MIN((Skills!Y22*(1+Inputs!$B$34/100)),MAX(0,Inputs!$B$44-((R2081-1)*(1/Q2081)))))/Inputs!$B$44),IF(Inputs!$B$39="pvp",MIN((Skills!Y22*(1+Inputs!$B$34/100)),15)/15,MIN(1,(Skills!Y22*(1+Inputs!$B$34/100))/(1/Q2081)))))+((C2062=TRUE)*F2062*3)+((C2064=TRUE)*F2064*(1-EXP(-0.75*B2097*5)))+((C2083=TRUE)*(F2083-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2070=TRUE)*F2070*IF(AND(Inputs!$B$39&lt;&gt;"pvp",Inputs!$B$44&gt;0),(((R2070-1)*MIN((Skills!Y11*(1+Inputs!$B$34/100)),(1/Q2070))+MIN((Skills!Y11*(1+Inputs!$B$34/100)),MAX(0,Inputs!$B$44-((R2070-1)*(1/Q2070)))))/Inputs!$B$44),IF(Inputs!$B$39="pvp",MIN((Skills!Y11*(1+Inputs!$B$34/100)),15)/15,MIN(1,(Skills!Y11*(1+Inputs!$B$34/100))/(1/Q2070)))))/100)*(1+((C2075=TRUE)*F2075*IF(AND(Inputs!$B$39&lt;&gt;"pvp",Inputs!$B$44&gt;0),(((R2075-1)*MIN((Skills!Y16*(1+Inputs!$B$34/100)),(1/Q2075))+MIN((Skills!Y16*(1+Inputs!$B$34/100)),MAX(0,Inputs!$B$44-((R2075-1)*(1/Q2075)))))/Inputs!$B$44),IF(Inputs!$B$39="pvp",MIN((Skills!Y16*(1+Inputs!$B$34/100)),15)/15,MIN(1,(Skills!Y16*(1+Inputs!$B$34/100))/(1/Q2075)))))/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2095*I2071)</f>
        <v/>
      </c>
      <c r="L2071">
        <f>K2071*(MIN(Inputs!$B$22+((C2084=TRUE)*(F2084-Calc!F25)),(Inputs!$B$23+((C2089=TRUE)*(F2089-Calc!F30))+IF(ArtifactsInput!$M$15,CHOOSE(ArtifactsInput!$N$15+1,25,30,35,40,45,50)/100*(Inputs!$B$11-Inputs!$B$11),0)))/100+(Inputs!$B$23+((C2089=TRUE)*(F2089-Calc!F30))+IF(ArtifactsInput!$M$15,CHOOSE(ArtifactsInput!$N$15+1,25,30,35,40,45,50)/100*(Inputs!$B$11-Inputs!$B$11),0))/100)/2</f>
        <v/>
      </c>
      <c r="M2071">
        <f>L2071*(1+(Inputs!$B$10+((C2086=TRUE)*(F2086-Calc!F27))+B2100+(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2071">
        <f>L2071*(1-MIN((Inputs!$B$9+((C2085=TRUE)*(F2085-Calc!F26))+B2093+(ArtifactsInput!$M$24-ArtifactsInput!$M$24)*CHOOSE(ArtifactsInput!$N$24+1,10,12,14,16,18,20)+(IF(AND(Inputs!$B$39&lt;&gt;"pvp",Inputs!$B$44=0),1,IF(IF(Inputs!$B$39="pvp",15,Inputs!$B$44)-(B2104)&lt;=0,1,MAX(0,IF(Inputs!$B$39="pvp",15,Inputs!$B$44)-MAX(5,B2104))/(IF(Inputs!$B$39="pvp",15,Inputs!$B$44)-(B2104))))*IF(AND(ArtifactsInput!$M$42,((Inputs!$B$9+((C2085=TRUE)*(F2085-Calc!F26))+B2093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2071*(MIN((Inputs!$B$9+((C2085=TRUE)*(F2085-Calc!F26))+B2093+(ArtifactsInput!$M$24-ArtifactsInput!$M$24)*CHOOSE(ArtifactsInput!$N$24+1,10,12,14,16,18,20)+(IF(AND(Inputs!$B$39&lt;&gt;"pvp",Inputs!$B$44=0),1,IF(IF(Inputs!$B$39="pvp",15,Inputs!$B$44)-(B2104)&lt;=0,1,MAX(0,IF(Inputs!$B$39="pvp",15,Inputs!$B$44)-MAX(5,B2104))/(IF(Inputs!$B$39="pvp",15,Inputs!$B$44)-(B2104))))*IF(AND(ArtifactsInput!$M$42,((Inputs!$B$9+((C2085=TRUE)*(F2085-Calc!F26))+B2093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071">
        <f>(1-Summary!$B$11)*T2071+Summary!$B$11*V2071</f>
        <v/>
      </c>
      <c r="P2071">
        <f>IF(B2105=0,0,O2071/B2105)</f>
        <v/>
      </c>
      <c r="Q2071">
        <f>IFERROR(1/IF(Inputs!$B$39="pvp",15,MAX(0.1,Skills!D12-IF(TRUE=TRUE,Inputs!$B$32,0))),0)</f>
        <v/>
      </c>
      <c r="R2071">
        <f>IF(AND(Inputs!$B$39&lt;&gt;"pvp",Inputs!$B$44&gt;0),IF(MAX(0,Inputs!$B$44-B2104)&lt;=0,0,(INT(MAX(0,Inputs!$B$44-B2104)/IF(Inputs!$B$39="pvp",15,MAX(0.1,Skills!D12-IF(TRUE=TRUE,Inputs!$B$32,0))))+1)),0)</f>
        <v/>
      </c>
      <c r="S2071">
        <f>IFERROR(O2071/N2071,0)</f>
        <v/>
      </c>
      <c r="T2071">
        <f>IF(C2071,(H2071*N2071*IF(AND(Inputs!$B$39&lt;&gt;"pvp",Inputs!$B$44&gt;0),((Skills!G12*((R2071-1)*IF(Skills!H12&gt;0,Skills!I12/Skills!H12,1)+IF(Skills!H12&gt;0,MIN(Skills!I12,MAX(0,MAX(0,Inputs!$B$44-B2104)-((R2071-1)*IF(Inputs!$B$39="pvp",15,MAX(0.1,Skills!D12-IF(TRUE=TRUE,Inputs!$B$32,0))))))/Skills!H12,1)))/Inputs!$B$44),G2071*Q2071))*IF(Inputs!$B$39="pvp",1,1+(Inputs!$B$20+0+Skills!P12+B2094+(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Hunt"),CHOOSE(ArtifactsInput!$N$35+1,15,18,21,24,27,30)*(1-EXP(-(0.2*B2097)*5)),0)+IF(AND(ArtifactsInput!$M$22,Inputs!$B$4&lt;&gt;"Chapter Hunt"),CHOOSE(ArtifactsInput!$N$22+1,10,12,14,16,18,20)*((0*(((0.15*B2097*5))^0/1)+1*(((0.15*B2097*5))^1/1)+2*(((0.15*B2097*5))^2/2)+3*(((0.15*B2097*5))^3/6)+4*(((0.15*B2097*5))^4/24)+5*(((0.15*B2097*5))^5/120))/((((0.15*B2097*5))^0/1)+(((0.15*B2097*5))^1/1)+(((0.15*B2097*5))^2/2)+(((0.15*B2097*5))^3/6)+(((0.15*B2097*5))^4/24)+(((0.15*B2097*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2071*(1-MIN(100,(Inputs!$B$9+((C2085=TRUE)*(F2085-Calc!F26))+B2093+(ArtifactsInput!$M$24-ArtifactsInput!$M$24)*CHOOSE(ArtifactsInput!$N$24+1,10,12,14,16,18,20)+(IF(AND(Inputs!$B$39&lt;&gt;"pvp",Inputs!$B$44=0),1,IF(IF(Inputs!$B$39="pvp",15,Inputs!$B$44)-(B2104)&lt;=0,1,MAX(0,IF(Inputs!$B$39="pvp",15,Inputs!$B$44)-MAX(5,B2104))/(IF(Inputs!$B$39="pvp",15,Inputs!$B$44)-(B2104))))*IF(AND(ArtifactsInput!$M$42,((Inputs!$B$9+((C2085=TRUE)*(F2085-Calc!F26))+B2093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2071*(MIN(100,(Inputs!$B$9+((C2085=TRUE)*(F2085-Calc!F26))+B2093+(ArtifactsInput!$M$24-ArtifactsInput!$M$24)*CHOOSE(ArtifactsInput!$N$24+1,10,12,14,16,18,20)+(IF(AND(Inputs!$B$39&lt;&gt;"pvp",Inputs!$B$44=0),1,IF(IF(Inputs!$B$39="pvp",15,Inputs!$B$44)-(B2104)&lt;=0,1,MAX(0,IF(Inputs!$B$39="pvp",15,Inputs!$B$44)-MAX(5,B2104))/(IF(Inputs!$B$39="pvp",15,Inputs!$B$44)-(B2104))))*IF(AND(ArtifactsInput!$M$42,((Inputs!$B$9+((C2085=TRUE)*(F2085-Calc!F26))+B2093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2071*(1-MIN(100,(Inputs!$B$9+((C2085=TRUE)*(F2085-Calc!F26))+B2093+(ArtifactsInput!$M$24-ArtifactsInput!$M$24)*CHOOSE(ArtifactsInput!$N$24+1,10,12,14,16,18,20)+(IF(AND(Inputs!$B$39&lt;&gt;"pvp",Inputs!$B$44=0),1,IF(IF(Inputs!$B$39="pvp",15,Inputs!$B$44)-(B2104)&lt;=0,1,MAX(0,IF(Inputs!$B$39="pvp",15,Inputs!$B$44)-MAX(5,B2104))/(IF(Inputs!$B$39="pvp",15,Inputs!$B$44)-(B2104))))*IF(AND(ArtifactsInput!$M$42,((Inputs!$B$9+((C2085=TRUE)*(F2085-Calc!F26))+B2093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2071*(MIN(100,(Inputs!$B$9+((C2085=TRUE)*(F2085-Calc!F26))+B2093+(ArtifactsInput!$M$24-ArtifactsInput!$M$24)*CHOOSE(ArtifactsInput!$N$24+1,10,12,14,16,18,20)+(IF(AND(Inputs!$B$39&lt;&gt;"pvp",Inputs!$B$44=0),1,IF(IF(Inputs!$B$39="pvp",15,Inputs!$B$44)-(B2104)&lt;=0,1,MAX(0,IF(Inputs!$B$39="pvp",15,Inputs!$B$44)-MAX(5,B2104))/(IF(Inputs!$B$39="pvp",15,Inputs!$B$44)-(B2104))))*IF(AND(ArtifactsInput!$M$42,((Inputs!$B$9+((C2085=TRUE)*(F2085-Calc!F26))+B2093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071">
        <f>IF(C2071,(H2071*N2071*IF(AND(Inputs!$B$39&lt;&gt;"pvp",Inputs!$B$44&gt;0),((Skills!G12*((R2071-1)*IF(Skills!H12&gt;0,Skills!I12/Skills!H12,1)+IF(Skills!H12&gt;0,MIN(Skills!I12,MAX(0,MAX(0,Inputs!$B$44-B2104)-((R2071-1)*IF(Inputs!$B$39="pvp",15,MAX(0.1,Skills!D12-IF(TRUE=TRUE,Inputs!$B$32,0))))))/Skills!H12,1)))/Inputs!$B$44),G2071*Q2071))*IF(Inputs!$B$39="pvp",1,(1+(Inputs!$B$21+Skills!Q12+B2094+(IF(ArtifactsInput!$M$33,CHOOSE(ArtifactsInput!$N$33+1,30,36,42,48,54,60),0))+(IF(AND(ArtifactsInput!$M$35,Inputs!$B$4&lt;&gt;"Chapter Hunt"),CHOOSE(ArtifactsInput!$N$35+1,15,18,21,24,27,30)*(1-EXP(-(0.2*B2097)*5)),0)+IF(AND(ArtifactsInput!$M$22,Inputs!$B$4&lt;&gt;"Chapter Hunt"),CHOOSE(ArtifactsInput!$N$22+1,10,12,14,16,18,20)*((0*(((0.15*B2097*5))^0/1)+1*(((0.15*B2097*5))^1/1)+2*(((0.15*B2097*5))^2/2)+3*(((0.15*B2097*5))^3/6)+4*(((0.15*B2097*5))^4/24)+5*(((0.15*B2097*5))^5/120))/((((0.15*B2097*5))^0/1)+(((0.15*B2097*5))^1/1)+(((0.15*B2097*5))^2/2)+(((0.15*B2097*5))^3/6)+(((0.15*B2097*5))^4/24)+(((0.15*B2097*5))^5/120))),0)))/100)*(MIN(Skills!W12,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072">
      <c r="A2072">
        <f>Skills!A13</f>
        <v/>
      </c>
      <c r="B2072">
        <f>Skills!B13</f>
        <v/>
      </c>
      <c r="C2072">
        <f>Inputs!$B$3&gt;=105</f>
        <v/>
      </c>
      <c r="D2072">
        <f>IF(Skills!C13=1,60+Inputs!$B$25+Inputs!$B$29,IF(Skills!C13=2,90+Inputs!$B$26+Inputs!$B$29,IF(Skills!C13=3,120+Inputs!$B$27+Inputs!$B$29,MAX(0,(Inputs!$B$3-100)*3)+Inputs!$B$28+Inputs!$B$29)))</f>
        <v/>
      </c>
      <c r="E2072">
        <f>INDEX(FactorTable!$B$2:$Y$301, MATCH(ROUND(MIN(300,MAX(1,D2072)),0), FactorTable!$A$2:$A$301,0), Skills!M13+1)</f>
        <v/>
      </c>
      <c r="F2072">
        <f>IF(Skills!N13=TRUE,(Skills!L13/10)*(E2072/1000),Skills!L13/10)+Skills!O13</f>
        <v/>
      </c>
      <c r="G2072">
        <f>Skills!G13*IF(Skills!H13&gt;0,IF(Inputs!$B$39="pvp",MIN(Skills!I13,15),Skills!I13)/Skills!H13,1)</f>
        <v/>
      </c>
      <c r="H2072">
        <f>1-(1-Skills!J13/100)^Skills!K13</f>
        <v/>
      </c>
      <c r="I2072" t="inlineStr">
        <is>
          <t>1</t>
        </is>
      </c>
      <c r="J2072">
        <f>((Inputs!$B$6*(1+Inputs!$B$7/100))+(((Inputs!$B$12*(1+Inputs!$B$13/100))-(Inputs!$B$12*(1+Inputs!$B$13/100)))+0.25*(Inputs!$B$14-Inputs!$B$14))*(1+Inputs!$B$7/100))*(F2072/100)</f>
        <v/>
      </c>
      <c r="K2072">
        <f>J2072*(1+((Inputs!$B$12*(1+Inputs!$B$13/100))*0.01+Inputs!$B$14*0.0025)/100)*(1+Inputs!$B$15/100)*(1+Inputs!$B$16/100)*(5000/(6000+Inputs!$B$43*(1-(100*(1-(1-Inputs!$B$19/100)*(1-CHOOSE(ArtifactsInput!$N$40+1,5,6,7,8,9,10)/100)^(ArtifactsInput!$M$40-ArtifactsInput!$M$40)))/100)))*(1+(Inputs!$B$24+((C2090=TRUE)*(F2090-Calc!F31))+((C2077=TRUE)*(F2077-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13="CRUEL_STAB",Inputs!$B$17+((C2087=TRUE)*(F2087-Calc!F28))+((IF(AND(Inputs!$B$39&lt;&gt;"pvp",Inputs!$B$44=0),1,IF(IF(Inputs!$B$39="pvp",15,Inputs!$B$44)-(B2104)&lt;=0,1,MAX(0,IF(Inputs!$B$39="pvp",15,Inputs!$B$44)-MAX(5,B2104))/(IF(Inputs!$B$39="pvp",15,Inputs!$B$44)-(B2104))))*(IF(AND(ArtifactsInput!$M$42,((Inputs!$B$9+((C2085=TRUE)*(F2085-Calc!F26))+B2093+(ArtifactsInput!$M$24-ArtifactsInput!$M$24)*CHOOSE(ArtifactsInput!$N$24+1,10,12,14,16,18,20)+IF(ArtifactsInput!$M$10,CHOOSE(ArtifactsInput!$N$10+1,15,18,21,24,27,30)*(IF(Inputs!$B$39="pvp",MIN(15,15)/15,IF(AND(Inputs!$B$39&lt;&gt;"pvp",Inputs!$B$44&gt;0),MIN(15,Inputs!$B$44)/(Inputs!$B$44),0))),0)))&gt;=100),MIN(100,((Inputs!$B$9+((C2085=TRUE)*(F2085-Calc!F26))+B2093+(ArtifactsInput!$M$24-ArtifactsInput!$M$24)*CHOOSE(ArtifactsInput!$N$24+1,10,12,14,16,18,20)+IF(ArtifactsInput!$M$10,CHOOSE(ArtifactsInput!$N$10+1,15,18,21,24,27,30)*(IF(Inputs!$B$39="pvp",MIN(15,15)/15,IF(AND(Inputs!$B$39&lt;&gt;"pvp",Inputs!$B$44&gt;0),MIN(15,Inputs!$B$44)/(Inputs!$B$44),0))),0)))-100),0))*CHOOSE(ArtifactsInput!$N$42+1,0.6,0.72,0.84,0.96,1.08,1.2))),Inputs!$B$18+((C2088=TRUE)*(F2088-Calc!F29))+(IF(AND(Inputs!$B$39&lt;&gt;"pvp",Inputs!$B$44=0),1,IF(IF(Inputs!$B$39="pvp",15,Inputs!$B$44)-(B2104)&lt;=0,1,MAX(0,IF(Inputs!$B$39="pvp",15,Inputs!$B$44)-MAX(5,B2104))/(IF(Inputs!$B$39="pvp",15,Inputs!$B$44)-(B2104))))*IF(AND(ArtifactsInput!$M$42,((Inputs!$B$9+((C2085=TRUE)*(F2085-Calc!F26))+B2093+(ArtifactsInput!$M$24-ArtifactsInput!$M$24)*CHOOSE(ArtifactsInput!$N$24+1,10,12,14,16,18,20)+IF(ArtifactsInput!$M$10,CHOOSE(ArtifactsInput!$N$10+1,15,18,21,24,27,30)*(IF(Inputs!$B$39="pvp",MIN(15,15)/15,IF(AND(Inputs!$B$39&lt;&gt;"pvp",Inputs!$B$44&gt;0),MIN(15,Inputs!$B$44)/(Inputs!$B$44),0))),0)))&gt;=100),CHOOSE(ArtifactsInput!$N$42+1,40,48,56,64,72,80),0))))/100)*(((1+(((C2081=TRUE)*F2081*IF(AND(Inputs!$B$39&lt;&gt;"pvp",Inputs!$B$44&gt;0),(((R2081-1)*MIN((Skills!Y22*(1+Inputs!$B$34/100)),(1/Q2081))+MIN((Skills!Y22*(1+Inputs!$B$34/100)),MAX(0,Inputs!$B$44-((R2081-1)*(1/Q2081)))))/Inputs!$B$44),IF(Inputs!$B$39="pvp",MIN((Skills!Y22*(1+Inputs!$B$34/100)),15)/15,MIN(1,(Skills!Y22*(1+Inputs!$B$34/100))/(1/Q2081)))))+((C2062=TRUE)*F2062*3)+((C2064=TRUE)*F2064*(1-EXP(-0.75*B2097*5)))+((C2083=TRUE)*(F2083-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2070=TRUE)*F2070*IF(AND(Inputs!$B$39&lt;&gt;"pvp",Inputs!$B$44&gt;0),(((R2070-1)*MIN((Skills!Y11*(1+Inputs!$B$34/100)),(1/Q2070))+MIN((Skills!Y11*(1+Inputs!$B$34/100)),MAX(0,Inputs!$B$44-((R2070-1)*(1/Q2070)))))/Inputs!$B$44),IF(Inputs!$B$39="pvp",MIN((Skills!Y11*(1+Inputs!$B$34/100)),15)/15,MIN(1,(Skills!Y11*(1+Inputs!$B$34/100))/(1/Q2070)))))/100)*(1+((C2075=TRUE)*F2075*IF(AND(Inputs!$B$39&lt;&gt;"pvp",Inputs!$B$44&gt;0),(((R2075-1)*MIN((Skills!Y16*(1+Inputs!$B$34/100)),(1/Q2075))+MIN((Skills!Y16*(1+Inputs!$B$34/100)),MAX(0,Inputs!$B$44-((R2075-1)*(1/Q2075)))))/Inputs!$B$44),IF(Inputs!$B$39="pvp",MIN((Skills!Y16*(1+Inputs!$B$34/100)),15)/15,MIN(1,(Skills!Y16*(1+Inputs!$B$34/100))/(1/Q2075)))))/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2095*I2072)</f>
        <v/>
      </c>
      <c r="L2072">
        <f>K2072*(MIN(Inputs!$B$22+((C2084=TRUE)*(F2084-Calc!F25)),(Inputs!$B$23+((C2089=TRUE)*(F2089-Calc!F30))+IF(ArtifactsInput!$M$15,CHOOSE(ArtifactsInput!$N$15+1,25,30,35,40,45,50)/100*(Inputs!$B$11-Inputs!$B$11),0)))/100+(Inputs!$B$23+((C2089=TRUE)*(F2089-Calc!F30))+IF(ArtifactsInput!$M$15,CHOOSE(ArtifactsInput!$N$15+1,25,30,35,40,45,50)/100*(Inputs!$B$11-Inputs!$B$11),0))/100)/2</f>
        <v/>
      </c>
      <c r="M2072">
        <f>L2072*(1+(Inputs!$B$10+((C2086=TRUE)*(F2086-Calc!F27))+B2100+(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2072">
        <f>L2072*(1-MIN((Inputs!$B$9+((C2085=TRUE)*(F2085-Calc!F26))+B2093+(ArtifactsInput!$M$24-ArtifactsInput!$M$24)*CHOOSE(ArtifactsInput!$N$24+1,10,12,14,16,18,20)+(IF(AND(Inputs!$B$39&lt;&gt;"pvp",Inputs!$B$44=0),1,IF(IF(Inputs!$B$39="pvp",15,Inputs!$B$44)-(B2104)&lt;=0,1,MAX(0,IF(Inputs!$B$39="pvp",15,Inputs!$B$44)-MAX(5,B2104))/(IF(Inputs!$B$39="pvp",15,Inputs!$B$44)-(B2104))))*IF(AND(ArtifactsInput!$M$42,((Inputs!$B$9+((C2085=TRUE)*(F2085-Calc!F26))+B2093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2072*(MIN((Inputs!$B$9+((C2085=TRUE)*(F2085-Calc!F26))+B2093+(ArtifactsInput!$M$24-ArtifactsInput!$M$24)*CHOOSE(ArtifactsInput!$N$24+1,10,12,14,16,18,20)+(IF(AND(Inputs!$B$39&lt;&gt;"pvp",Inputs!$B$44=0),1,IF(IF(Inputs!$B$39="pvp",15,Inputs!$B$44)-(B2104)&lt;=0,1,MAX(0,IF(Inputs!$B$39="pvp",15,Inputs!$B$44)-MAX(5,B2104))/(IF(Inputs!$B$39="pvp",15,Inputs!$B$44)-(B2104))))*IF(AND(ArtifactsInput!$M$42,((Inputs!$B$9+((C2085=TRUE)*(F2085-Calc!F26))+B2093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072">
        <f>(1-Summary!$B$11)*T2072+Summary!$B$11*V2072</f>
        <v/>
      </c>
      <c r="P2072">
        <f>IF(B2105=0,0,O2072/B2105)</f>
        <v/>
      </c>
      <c r="Q2072">
        <f>IFERROR(1/IF(Inputs!$B$39="pvp",15,MAX(0.1,Skills!D13-IF(TRUE=TRUE,Inputs!$B$32,0))),0)</f>
        <v/>
      </c>
      <c r="R2072">
        <f>IF(AND(Inputs!$B$39&lt;&gt;"pvp",Inputs!$B$44&gt;0),IF(MAX(0,Inputs!$B$44-B2104)&lt;=0,0,(INT(MAX(0,Inputs!$B$44-B2104)/IF(Inputs!$B$39="pvp",15,MAX(0.1,Skills!D13-IF(TRUE=TRUE,Inputs!$B$32,0))))+1)),0)</f>
        <v/>
      </c>
      <c r="S2072">
        <f>IFERROR(O2072/N2072,0)</f>
        <v/>
      </c>
      <c r="T2072">
        <f>IF(C2072,(H2072*N2072*IF(AND(Inputs!$B$39&lt;&gt;"pvp",Inputs!$B$44&gt;0),((Skills!G13*((R2072-1)*IF(Skills!H13&gt;0,Skills!I13/Skills!H13,1)+IF(Skills!H13&gt;0,MIN(Skills!I13,MAX(0,MAX(0,Inputs!$B$44-B2104)-((R2072-1)*IF(Inputs!$B$39="pvp",15,MAX(0.1,Skills!D13-IF(TRUE=TRUE,Inputs!$B$32,0))))))/Skills!H13,1)))/Inputs!$B$44),G2072*Q2072))*IF(Inputs!$B$39="pvp",1,1+(Inputs!$B$20+0+Skills!P13+B2094+(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Hunt"),CHOOSE(ArtifactsInput!$N$35+1,15,18,21,24,27,30)*(1-EXP(-(0.2*B2097)*5)),0)+IF(AND(ArtifactsInput!$M$22,Inputs!$B$4&lt;&gt;"Chapter Hunt"),CHOOSE(ArtifactsInput!$N$22+1,10,12,14,16,18,20)*((0*(((0.15*B2097*5))^0/1)+1*(((0.15*B2097*5))^1/1)+2*(((0.15*B2097*5))^2/2)+3*(((0.15*B2097*5))^3/6)+4*(((0.15*B2097*5))^4/24)+5*(((0.15*B2097*5))^5/120))/((((0.15*B2097*5))^0/1)+(((0.15*B2097*5))^1/1)+(((0.15*B2097*5))^2/2)+(((0.15*B2097*5))^3/6)+(((0.15*B2097*5))^4/24)+(((0.15*B2097*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2072*(1-MIN(100,(Inputs!$B$9+((C2085=TRUE)*(F2085-Calc!F26))+B2093+(ArtifactsInput!$M$24-ArtifactsInput!$M$24)*CHOOSE(ArtifactsInput!$N$24+1,10,12,14,16,18,20)+(IF(AND(Inputs!$B$39&lt;&gt;"pvp",Inputs!$B$44=0),1,IF(IF(Inputs!$B$39="pvp",15,Inputs!$B$44)-(B2104)&lt;=0,1,MAX(0,IF(Inputs!$B$39="pvp",15,Inputs!$B$44)-MAX(5,B2104))/(IF(Inputs!$B$39="pvp",15,Inputs!$B$44)-(B2104))))*IF(AND(ArtifactsInput!$M$42,((Inputs!$B$9+((C2085=TRUE)*(F2085-Calc!F26))+B2093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2072*(MIN(100,(Inputs!$B$9+((C2085=TRUE)*(F2085-Calc!F26))+B2093+(ArtifactsInput!$M$24-ArtifactsInput!$M$24)*CHOOSE(ArtifactsInput!$N$24+1,10,12,14,16,18,20)+(IF(AND(Inputs!$B$39&lt;&gt;"pvp",Inputs!$B$44=0),1,IF(IF(Inputs!$B$39="pvp",15,Inputs!$B$44)-(B2104)&lt;=0,1,MAX(0,IF(Inputs!$B$39="pvp",15,Inputs!$B$44)-MAX(5,B2104))/(IF(Inputs!$B$39="pvp",15,Inputs!$B$44)-(B2104))))*IF(AND(ArtifactsInput!$M$42,((Inputs!$B$9+((C2085=TRUE)*(F2085-Calc!F26))+B2093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2072*(1-MIN(100,(Inputs!$B$9+((C2085=TRUE)*(F2085-Calc!F26))+B2093+(ArtifactsInput!$M$24-ArtifactsInput!$M$24)*CHOOSE(ArtifactsInput!$N$24+1,10,12,14,16,18,20)+(IF(AND(Inputs!$B$39&lt;&gt;"pvp",Inputs!$B$44=0),1,IF(IF(Inputs!$B$39="pvp",15,Inputs!$B$44)-(B2104)&lt;=0,1,MAX(0,IF(Inputs!$B$39="pvp",15,Inputs!$B$44)-MAX(5,B2104))/(IF(Inputs!$B$39="pvp",15,Inputs!$B$44)-(B2104))))*IF(AND(ArtifactsInput!$M$42,((Inputs!$B$9+((C2085=TRUE)*(F2085-Calc!F26))+B2093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2072*(MIN(100,(Inputs!$B$9+((C2085=TRUE)*(F2085-Calc!F26))+B2093+(ArtifactsInput!$M$24-ArtifactsInput!$M$24)*CHOOSE(ArtifactsInput!$N$24+1,10,12,14,16,18,20)+(IF(AND(Inputs!$B$39&lt;&gt;"pvp",Inputs!$B$44=0),1,IF(IF(Inputs!$B$39="pvp",15,Inputs!$B$44)-(B2104)&lt;=0,1,MAX(0,IF(Inputs!$B$39="pvp",15,Inputs!$B$44)-MAX(5,B2104))/(IF(Inputs!$B$39="pvp",15,Inputs!$B$44)-(B2104))))*IF(AND(ArtifactsInput!$M$42,((Inputs!$B$9+((C2085=TRUE)*(F2085-Calc!F26))+B2093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072">
        <f>IF(C2072,(H2072*N2072*IF(AND(Inputs!$B$39&lt;&gt;"pvp",Inputs!$B$44&gt;0),((Skills!G13*((R2072-1)*IF(Skills!H13&gt;0,Skills!I13/Skills!H13,1)+IF(Skills!H13&gt;0,MIN(Skills!I13,MAX(0,MAX(0,Inputs!$B$44-B2104)-((R2072-1)*IF(Inputs!$B$39="pvp",15,MAX(0.1,Skills!D13-IF(TRUE=TRUE,Inputs!$B$32,0))))))/Skills!H13,1)))/Inputs!$B$44),G2072*Q2072))*IF(Inputs!$B$39="pvp",1,(1+(Inputs!$B$21+Skills!Q13+B2094+(IF(ArtifactsInput!$M$33,CHOOSE(ArtifactsInput!$N$33+1,30,36,42,48,54,60),0))+(IF(AND(ArtifactsInput!$M$35,Inputs!$B$4&lt;&gt;"Chapter Hunt"),CHOOSE(ArtifactsInput!$N$35+1,15,18,21,24,27,30)*(1-EXP(-(0.2*B2097)*5)),0)+IF(AND(ArtifactsInput!$M$22,Inputs!$B$4&lt;&gt;"Chapter Hunt"),CHOOSE(ArtifactsInput!$N$22+1,10,12,14,16,18,20)*((0*(((0.15*B2097*5))^0/1)+1*(((0.15*B2097*5))^1/1)+2*(((0.15*B2097*5))^2/2)+3*(((0.15*B2097*5))^3/6)+4*(((0.15*B2097*5))^4/24)+5*(((0.15*B2097*5))^5/120))/((((0.15*B2097*5))^0/1)+(((0.15*B2097*5))^1/1)+(((0.15*B2097*5))^2/2)+(((0.15*B2097*5))^3/6)+(((0.15*B2097*5))^4/24)+(((0.15*B2097*5))^5/120))),0)))/100)*(MIN(Skills!W13,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073">
      <c r="A2073">
        <f>Skills!A14</f>
        <v/>
      </c>
      <c r="B2073">
        <f>Skills!B14</f>
        <v/>
      </c>
      <c r="C2073">
        <f>Inputs!$B$3&gt;=105</f>
        <v/>
      </c>
      <c r="D2073">
        <f>IF(Skills!C14=1,60+Inputs!$B$25+Inputs!$B$29,IF(Skills!C14=2,90+Inputs!$B$26+Inputs!$B$29,IF(Skills!C14=3,120+Inputs!$B$27+Inputs!$B$29,MAX(0,(Inputs!$B$3-100)*3)+Inputs!$B$28+Inputs!$B$29)))</f>
        <v/>
      </c>
      <c r="E2073">
        <f>INDEX(FactorTable!$B$2:$Y$301, MATCH(ROUND(MIN(300,MAX(1,D2073)),0), FactorTable!$A$2:$A$301,0), Skills!M14+1)</f>
        <v/>
      </c>
      <c r="F2073">
        <f>IF(Skills!N14=TRUE,(Skills!L14/10)*(E2073/1000),Skills!L14/10)+Skills!O14</f>
        <v/>
      </c>
      <c r="G2073">
        <f>Skills!G14*IF(Skills!H14&gt;0,IF(Inputs!$B$39="pvp",MIN(Skills!I14,15),Skills!I14)/Skills!H14,1)</f>
        <v/>
      </c>
      <c r="H2073">
        <f>1-(1-Skills!J14/100)^Skills!K14</f>
        <v/>
      </c>
      <c r="I2073" t="inlineStr">
        <is>
          <t>1</t>
        </is>
      </c>
      <c r="J2073">
        <f>((Inputs!$B$6*(1+Inputs!$B$7/100))+(((Inputs!$B$12*(1+Inputs!$B$13/100))-(Inputs!$B$12*(1+Inputs!$B$13/100)))+0.25*(Inputs!$B$14-Inputs!$B$14))*(1+Inputs!$B$7/100))*(F2073/100)</f>
        <v/>
      </c>
      <c r="K2073">
        <f>J2073*(1+((Inputs!$B$12*(1+Inputs!$B$13/100))*0.01+Inputs!$B$14*0.0025)/100)*(1+Inputs!$B$15/100)*(1+Inputs!$B$16/100)*(5000/(6000+Inputs!$B$43*(1-(100*(1-(1-Inputs!$B$19/100)*(1-CHOOSE(ArtifactsInput!$N$40+1,5,6,7,8,9,10)/100)^(ArtifactsInput!$M$40-ArtifactsInput!$M$40)))/100)))*(1+(Inputs!$B$24+((C2090=TRUE)*(F2090-Calc!F31))+((C2077=TRUE)*(F2077-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14="CRUEL_STAB",Inputs!$B$17+((C2087=TRUE)*(F2087-Calc!F28))+((IF(AND(Inputs!$B$39&lt;&gt;"pvp",Inputs!$B$44=0),1,IF(IF(Inputs!$B$39="pvp",15,Inputs!$B$44)-(B2104)&lt;=0,1,MAX(0,IF(Inputs!$B$39="pvp",15,Inputs!$B$44)-MAX(5,B2104))/(IF(Inputs!$B$39="pvp",15,Inputs!$B$44)-(B2104))))*(IF(AND(ArtifactsInput!$M$42,((Inputs!$B$9+((C2085=TRUE)*(F2085-Calc!F26))+B2093+(ArtifactsInput!$M$24-ArtifactsInput!$M$24)*CHOOSE(ArtifactsInput!$N$24+1,10,12,14,16,18,20)+IF(ArtifactsInput!$M$10,CHOOSE(ArtifactsInput!$N$10+1,15,18,21,24,27,30)*(IF(Inputs!$B$39="pvp",MIN(15,15)/15,IF(AND(Inputs!$B$39&lt;&gt;"pvp",Inputs!$B$44&gt;0),MIN(15,Inputs!$B$44)/(Inputs!$B$44),0))),0)))&gt;=100),MIN(100,((Inputs!$B$9+((C2085=TRUE)*(F2085-Calc!F26))+B2093+(ArtifactsInput!$M$24-ArtifactsInput!$M$24)*CHOOSE(ArtifactsInput!$N$24+1,10,12,14,16,18,20)+IF(ArtifactsInput!$M$10,CHOOSE(ArtifactsInput!$N$10+1,15,18,21,24,27,30)*(IF(Inputs!$B$39="pvp",MIN(15,15)/15,IF(AND(Inputs!$B$39&lt;&gt;"pvp",Inputs!$B$44&gt;0),MIN(15,Inputs!$B$44)/(Inputs!$B$44),0))),0)))-100),0))*CHOOSE(ArtifactsInput!$N$42+1,0.6,0.72,0.84,0.96,1.08,1.2))),Inputs!$B$18+((C2088=TRUE)*(F2088-Calc!F29))+(IF(AND(Inputs!$B$39&lt;&gt;"pvp",Inputs!$B$44=0),1,IF(IF(Inputs!$B$39="pvp",15,Inputs!$B$44)-(B2104)&lt;=0,1,MAX(0,IF(Inputs!$B$39="pvp",15,Inputs!$B$44)-MAX(5,B2104))/(IF(Inputs!$B$39="pvp",15,Inputs!$B$44)-(B2104))))*IF(AND(ArtifactsInput!$M$42,((Inputs!$B$9+((C2085=TRUE)*(F2085-Calc!F26))+B2093+(ArtifactsInput!$M$24-ArtifactsInput!$M$24)*CHOOSE(ArtifactsInput!$N$24+1,10,12,14,16,18,20)+IF(ArtifactsInput!$M$10,CHOOSE(ArtifactsInput!$N$10+1,15,18,21,24,27,30)*(IF(Inputs!$B$39="pvp",MIN(15,15)/15,IF(AND(Inputs!$B$39&lt;&gt;"pvp",Inputs!$B$44&gt;0),MIN(15,Inputs!$B$44)/(Inputs!$B$44),0))),0)))&gt;=100),CHOOSE(ArtifactsInput!$N$42+1,40,48,56,64,72,80),0))))/100)*(((1+(((C2081=TRUE)*F2081*IF(AND(Inputs!$B$39&lt;&gt;"pvp",Inputs!$B$44&gt;0),(((R2081-1)*MIN((Skills!Y22*(1+Inputs!$B$34/100)),(1/Q2081))+MIN((Skills!Y22*(1+Inputs!$B$34/100)),MAX(0,Inputs!$B$44-((R2081-1)*(1/Q2081)))))/Inputs!$B$44),IF(Inputs!$B$39="pvp",MIN((Skills!Y22*(1+Inputs!$B$34/100)),15)/15,MIN(1,(Skills!Y22*(1+Inputs!$B$34/100))/(1/Q2081)))))+((C2062=TRUE)*F2062*3)+((C2064=TRUE)*F2064*(1-EXP(-0.75*B2097*5)))+((C2083=TRUE)*(F2083-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2070=TRUE)*F2070*IF(AND(Inputs!$B$39&lt;&gt;"pvp",Inputs!$B$44&gt;0),(((R2070-1)*MIN((Skills!Y11*(1+Inputs!$B$34/100)),(1/Q2070))+MIN((Skills!Y11*(1+Inputs!$B$34/100)),MAX(0,Inputs!$B$44-((R2070-1)*(1/Q2070)))))/Inputs!$B$44),IF(Inputs!$B$39="pvp",MIN((Skills!Y11*(1+Inputs!$B$34/100)),15)/15,MIN(1,(Skills!Y11*(1+Inputs!$B$34/100))/(1/Q2070)))))/100)*(1+((C2075=TRUE)*F2075*IF(AND(Inputs!$B$39&lt;&gt;"pvp",Inputs!$B$44&gt;0),(((R2075-1)*MIN((Skills!Y16*(1+Inputs!$B$34/100)),(1/Q2075))+MIN((Skills!Y16*(1+Inputs!$B$34/100)),MAX(0,Inputs!$B$44-((R2075-1)*(1/Q2075)))))/Inputs!$B$44),IF(Inputs!$B$39="pvp",MIN((Skills!Y16*(1+Inputs!$B$34/100)),15)/15,MIN(1,(Skills!Y16*(1+Inputs!$B$34/100))/(1/Q2075)))))/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2095*I2073)</f>
        <v/>
      </c>
      <c r="L2073">
        <f>K2073*(MIN(Inputs!$B$22+((C2084=TRUE)*(F2084-Calc!F25)),(Inputs!$B$23+((C2089=TRUE)*(F2089-Calc!F30))+IF(ArtifactsInput!$M$15,CHOOSE(ArtifactsInput!$N$15+1,25,30,35,40,45,50)/100*(Inputs!$B$11-Inputs!$B$11),0)))/100+(Inputs!$B$23+((C2089=TRUE)*(F2089-Calc!F30))+IF(ArtifactsInput!$M$15,CHOOSE(ArtifactsInput!$N$15+1,25,30,35,40,45,50)/100*(Inputs!$B$11-Inputs!$B$11),0))/100)/2</f>
        <v/>
      </c>
      <c r="M2073">
        <f>L2073*(1+(Inputs!$B$10+((C2086=TRUE)*(F2086-Calc!F27))+B2100+(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2073">
        <f>L2073*(1-MIN((Inputs!$B$9+((C2085=TRUE)*(F2085-Calc!F26))+B2093+(ArtifactsInput!$M$24-ArtifactsInput!$M$24)*CHOOSE(ArtifactsInput!$N$24+1,10,12,14,16,18,20)+(IF(AND(Inputs!$B$39&lt;&gt;"pvp",Inputs!$B$44=0),1,IF(IF(Inputs!$B$39="pvp",15,Inputs!$B$44)-(B2104)&lt;=0,1,MAX(0,IF(Inputs!$B$39="pvp",15,Inputs!$B$44)-MAX(5,B2104))/(IF(Inputs!$B$39="pvp",15,Inputs!$B$44)-(B2104))))*IF(AND(ArtifactsInput!$M$42,((Inputs!$B$9+((C2085=TRUE)*(F2085-Calc!F26))+B2093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2073*(MIN((Inputs!$B$9+((C2085=TRUE)*(F2085-Calc!F26))+B2093+(ArtifactsInput!$M$24-ArtifactsInput!$M$24)*CHOOSE(ArtifactsInput!$N$24+1,10,12,14,16,18,20)+(IF(AND(Inputs!$B$39&lt;&gt;"pvp",Inputs!$B$44=0),1,IF(IF(Inputs!$B$39="pvp",15,Inputs!$B$44)-(B2104)&lt;=0,1,MAX(0,IF(Inputs!$B$39="pvp",15,Inputs!$B$44)-MAX(5,B2104))/(IF(Inputs!$B$39="pvp",15,Inputs!$B$44)-(B2104))))*IF(AND(ArtifactsInput!$M$42,((Inputs!$B$9+((C2085=TRUE)*(F2085-Calc!F26))+B2093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073">
        <f>(1-Summary!$B$11)*T2073+Summary!$B$11*V2073</f>
        <v/>
      </c>
      <c r="P2073">
        <f>IF(B2105=0,0,O2073/B2105)</f>
        <v/>
      </c>
      <c r="Q2073">
        <f>IFERROR(1/IF(Inputs!$B$39="pvp",15,MAX(0.1,Skills!D14-IF(TRUE=TRUE,Inputs!$B$32,0))),0)</f>
        <v/>
      </c>
      <c r="R2073">
        <f>IF(AND(Inputs!$B$39&lt;&gt;"pvp",Inputs!$B$44&gt;0),IF(MAX(0,Inputs!$B$44-B2104)&lt;=0,0,(INT(MAX(0,Inputs!$B$44-B2104)/IF(Inputs!$B$39="pvp",15,MAX(0.1,Skills!D14-IF(TRUE=TRUE,Inputs!$B$32,0))))+1)),0)</f>
        <v/>
      </c>
      <c r="S2073">
        <f>IFERROR(O2073/N2073,0)</f>
        <v/>
      </c>
      <c r="T2073">
        <f>IF(C2073,(H2073*N2073*IF(AND(Inputs!$B$39&lt;&gt;"pvp",Inputs!$B$44&gt;0),((Skills!G14*((R2073-1)*IF(Skills!H14&gt;0,Skills!I14/Skills!H14,1)+IF(Skills!H14&gt;0,MIN(Skills!I14,MAX(0,MAX(0,Inputs!$B$44-B2104)-((R2073-1)*IF(Inputs!$B$39="pvp",15,MAX(0.1,Skills!D14-IF(TRUE=TRUE,Inputs!$B$32,0))))))/Skills!H14,1)))/Inputs!$B$44),G2073*Q2073))*IF(Inputs!$B$39="pvp",1,1+(Inputs!$B$20+0+Skills!P14+B2094+(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Hunt"),CHOOSE(ArtifactsInput!$N$35+1,15,18,21,24,27,30)*(1-EXP(-(0.2*B2097)*5)),0)+IF(AND(ArtifactsInput!$M$22,Inputs!$B$4&lt;&gt;"Chapter Hunt"),CHOOSE(ArtifactsInput!$N$22+1,10,12,14,16,18,20)*((0*(((0.15*B2097*5))^0/1)+1*(((0.15*B2097*5))^1/1)+2*(((0.15*B2097*5))^2/2)+3*(((0.15*B2097*5))^3/6)+4*(((0.15*B2097*5))^4/24)+5*(((0.15*B2097*5))^5/120))/((((0.15*B2097*5))^0/1)+(((0.15*B2097*5))^1/1)+(((0.15*B2097*5))^2/2)+(((0.15*B2097*5))^3/6)+(((0.15*B2097*5))^4/24)+(((0.15*B2097*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2073*(1-MIN(100,(Inputs!$B$9+((C2085=TRUE)*(F2085-Calc!F26))+B2093+(ArtifactsInput!$M$24-ArtifactsInput!$M$24)*CHOOSE(ArtifactsInput!$N$24+1,10,12,14,16,18,20)+(IF(AND(Inputs!$B$39&lt;&gt;"pvp",Inputs!$B$44=0),1,IF(IF(Inputs!$B$39="pvp",15,Inputs!$B$44)-(B2104)&lt;=0,1,MAX(0,IF(Inputs!$B$39="pvp",15,Inputs!$B$44)-MAX(5,B2104))/(IF(Inputs!$B$39="pvp",15,Inputs!$B$44)-(B2104))))*IF(AND(ArtifactsInput!$M$42,((Inputs!$B$9+((C2085=TRUE)*(F2085-Calc!F26))+B2093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2073*(MIN(100,(Inputs!$B$9+((C2085=TRUE)*(F2085-Calc!F26))+B2093+(ArtifactsInput!$M$24-ArtifactsInput!$M$24)*CHOOSE(ArtifactsInput!$N$24+1,10,12,14,16,18,20)+(IF(AND(Inputs!$B$39&lt;&gt;"pvp",Inputs!$B$44=0),1,IF(IF(Inputs!$B$39="pvp",15,Inputs!$B$44)-(B2104)&lt;=0,1,MAX(0,IF(Inputs!$B$39="pvp",15,Inputs!$B$44)-MAX(5,B2104))/(IF(Inputs!$B$39="pvp",15,Inputs!$B$44)-(B2104))))*IF(AND(ArtifactsInput!$M$42,((Inputs!$B$9+((C2085=TRUE)*(F2085-Calc!F26))+B2093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2073*(1-MIN(100,(Inputs!$B$9+((C2085=TRUE)*(F2085-Calc!F26))+B2093+(ArtifactsInput!$M$24-ArtifactsInput!$M$24)*CHOOSE(ArtifactsInput!$N$24+1,10,12,14,16,18,20)+(IF(AND(Inputs!$B$39&lt;&gt;"pvp",Inputs!$B$44=0),1,IF(IF(Inputs!$B$39="pvp",15,Inputs!$B$44)-(B2104)&lt;=0,1,MAX(0,IF(Inputs!$B$39="pvp",15,Inputs!$B$44)-MAX(5,B2104))/(IF(Inputs!$B$39="pvp",15,Inputs!$B$44)-(B2104))))*IF(AND(ArtifactsInput!$M$42,((Inputs!$B$9+((C2085=TRUE)*(F2085-Calc!F26))+B2093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2073*(MIN(100,(Inputs!$B$9+((C2085=TRUE)*(F2085-Calc!F26))+B2093+(ArtifactsInput!$M$24-ArtifactsInput!$M$24)*CHOOSE(ArtifactsInput!$N$24+1,10,12,14,16,18,20)+(IF(AND(Inputs!$B$39&lt;&gt;"pvp",Inputs!$B$44=0),1,IF(IF(Inputs!$B$39="pvp",15,Inputs!$B$44)-(B2104)&lt;=0,1,MAX(0,IF(Inputs!$B$39="pvp",15,Inputs!$B$44)-MAX(5,B2104))/(IF(Inputs!$B$39="pvp",15,Inputs!$B$44)-(B2104))))*IF(AND(ArtifactsInput!$M$42,((Inputs!$B$9+((C2085=TRUE)*(F2085-Calc!F26))+B2093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073">
        <f>IF(C2073,(H2073*N2073*IF(AND(Inputs!$B$39&lt;&gt;"pvp",Inputs!$B$44&gt;0),((Skills!G14*((R2073-1)*IF(Skills!H14&gt;0,Skills!I14/Skills!H14,1)+IF(Skills!H14&gt;0,MIN(Skills!I14,MAX(0,MAX(0,Inputs!$B$44-B2104)-((R2073-1)*IF(Inputs!$B$39="pvp",15,MAX(0.1,Skills!D14-IF(TRUE=TRUE,Inputs!$B$32,0))))))/Skills!H14,1)))/Inputs!$B$44),G2073*Q2073))*IF(Inputs!$B$39="pvp",1,(1+(Inputs!$B$21+Skills!Q14+B2094+(IF(ArtifactsInput!$M$33,CHOOSE(ArtifactsInput!$N$33+1,30,36,42,48,54,60),0))+(IF(AND(ArtifactsInput!$M$35,Inputs!$B$4&lt;&gt;"Chapter Hunt"),CHOOSE(ArtifactsInput!$N$35+1,15,18,21,24,27,30)*(1-EXP(-(0.2*B2097)*5)),0)+IF(AND(ArtifactsInput!$M$22,Inputs!$B$4&lt;&gt;"Chapter Hunt"),CHOOSE(ArtifactsInput!$N$22+1,10,12,14,16,18,20)*((0*(((0.15*B2097*5))^0/1)+1*(((0.15*B2097*5))^1/1)+2*(((0.15*B2097*5))^2/2)+3*(((0.15*B2097*5))^3/6)+4*(((0.15*B2097*5))^4/24)+5*(((0.15*B2097*5))^5/120))/((((0.15*B2097*5))^0/1)+(((0.15*B2097*5))^1/1)+(((0.15*B2097*5))^2/2)+(((0.15*B2097*5))^3/6)+(((0.15*B2097*5))^4/24)+(((0.15*B2097*5))^5/120))),0)))/100)*(MIN(Skills!W14,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074">
      <c r="A2074">
        <f>Skills!A15</f>
        <v/>
      </c>
      <c r="B2074">
        <f>Skills!B15</f>
        <v/>
      </c>
      <c r="C2074">
        <f>Inputs!$B$3&gt;=107</f>
        <v/>
      </c>
      <c r="D2074">
        <f>IF(Skills!C15=1,60+Inputs!$B$25+Inputs!$B$29,IF(Skills!C15=2,90+Inputs!$B$26+Inputs!$B$29,IF(Skills!C15=3,120+Inputs!$B$27+Inputs!$B$29,MAX(0,(Inputs!$B$3-100)*3)+Inputs!$B$28+Inputs!$B$29)))</f>
        <v/>
      </c>
      <c r="E2074">
        <f>INDEX(FactorTable!$B$2:$Y$301, MATCH(ROUND(MIN(300,MAX(1,D2074)),0), FactorTable!$A$2:$A$301,0), Skills!M15+1)</f>
        <v/>
      </c>
      <c r="F2074">
        <f>IF(Skills!N15=TRUE,(Skills!L15/10)*(E2074/1000),Skills!L15/10)+Skills!O15</f>
        <v/>
      </c>
      <c r="G2074">
        <f>Skills!G15*IF(Skills!H15&gt;0,IF(Inputs!$B$39="pvp",MIN(Skills!I15,15),Skills!I15)/Skills!H15,1)</f>
        <v/>
      </c>
      <c r="H2074">
        <f>1-(1-Skills!J15/100)^Skills!K15</f>
        <v/>
      </c>
      <c r="I2074" t="inlineStr">
        <is>
          <t>1</t>
        </is>
      </c>
      <c r="J2074">
        <f>((Inputs!$B$6*(1+Inputs!$B$7/100))+(((Inputs!$B$12*(1+Inputs!$B$13/100))-(Inputs!$B$12*(1+Inputs!$B$13/100)))+0.25*(Inputs!$B$14-Inputs!$B$14))*(1+Inputs!$B$7/100))*(F2074/100)</f>
        <v/>
      </c>
      <c r="K2074">
        <f>J2074*(1+((Inputs!$B$12*(1+Inputs!$B$13/100))*0.01+Inputs!$B$14*0.0025)/100)*(1+Inputs!$B$15/100)*(1+Inputs!$B$16/100)*(5000/(6000+Inputs!$B$43*(1-(100*(1-(1-Inputs!$B$19/100)*(1-CHOOSE(ArtifactsInput!$N$40+1,5,6,7,8,9,10)/100)^(ArtifactsInput!$M$40-ArtifactsInput!$M$40)))/100)))*(1+(Inputs!$B$24+((C2090=TRUE)*(F2090-Calc!F31))+((C2077=TRUE)*(F2077-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15="CRUEL_STAB",Inputs!$B$17+((C2087=TRUE)*(F2087-Calc!F28))+((IF(AND(Inputs!$B$39&lt;&gt;"pvp",Inputs!$B$44=0),1,IF(IF(Inputs!$B$39="pvp",15,Inputs!$B$44)-(B2104)&lt;=0,1,MAX(0,IF(Inputs!$B$39="pvp",15,Inputs!$B$44)-MAX(5,B2104))/(IF(Inputs!$B$39="pvp",15,Inputs!$B$44)-(B2104))))*(IF(AND(ArtifactsInput!$M$42,((Inputs!$B$9+((C2085=TRUE)*(F2085-Calc!F26))+B2093+(ArtifactsInput!$M$24-ArtifactsInput!$M$24)*CHOOSE(ArtifactsInput!$N$24+1,10,12,14,16,18,20)+IF(ArtifactsInput!$M$10,CHOOSE(ArtifactsInput!$N$10+1,15,18,21,24,27,30)*(IF(Inputs!$B$39="pvp",MIN(15,15)/15,IF(AND(Inputs!$B$39&lt;&gt;"pvp",Inputs!$B$44&gt;0),MIN(15,Inputs!$B$44)/(Inputs!$B$44),0))),0)))&gt;=100),MIN(100,((Inputs!$B$9+((C2085=TRUE)*(F2085-Calc!F26))+B2093+(ArtifactsInput!$M$24-ArtifactsInput!$M$24)*CHOOSE(ArtifactsInput!$N$24+1,10,12,14,16,18,20)+IF(ArtifactsInput!$M$10,CHOOSE(ArtifactsInput!$N$10+1,15,18,21,24,27,30)*(IF(Inputs!$B$39="pvp",MIN(15,15)/15,IF(AND(Inputs!$B$39&lt;&gt;"pvp",Inputs!$B$44&gt;0),MIN(15,Inputs!$B$44)/(Inputs!$B$44),0))),0)))-100),0))*CHOOSE(ArtifactsInput!$N$42+1,0.6,0.72,0.84,0.96,1.08,1.2))),Inputs!$B$18+((C2088=TRUE)*(F2088-Calc!F29))+(IF(AND(Inputs!$B$39&lt;&gt;"pvp",Inputs!$B$44=0),1,IF(IF(Inputs!$B$39="pvp",15,Inputs!$B$44)-(B2104)&lt;=0,1,MAX(0,IF(Inputs!$B$39="pvp",15,Inputs!$B$44)-MAX(5,B2104))/(IF(Inputs!$B$39="pvp",15,Inputs!$B$44)-(B2104))))*IF(AND(ArtifactsInput!$M$42,((Inputs!$B$9+((C2085=TRUE)*(F2085-Calc!F26))+B2093+(ArtifactsInput!$M$24-ArtifactsInput!$M$24)*CHOOSE(ArtifactsInput!$N$24+1,10,12,14,16,18,20)+IF(ArtifactsInput!$M$10,CHOOSE(ArtifactsInput!$N$10+1,15,18,21,24,27,30)*(IF(Inputs!$B$39="pvp",MIN(15,15)/15,IF(AND(Inputs!$B$39&lt;&gt;"pvp",Inputs!$B$44&gt;0),MIN(15,Inputs!$B$44)/(Inputs!$B$44),0))),0)))&gt;=100),CHOOSE(ArtifactsInput!$N$42+1,40,48,56,64,72,80),0))))/100)*(((1+(((C2081=TRUE)*F2081*IF(AND(Inputs!$B$39&lt;&gt;"pvp",Inputs!$B$44&gt;0),(((R2081-1)*MIN((Skills!Y22*(1+Inputs!$B$34/100)),(1/Q2081))+MIN((Skills!Y22*(1+Inputs!$B$34/100)),MAX(0,Inputs!$B$44-((R2081-1)*(1/Q2081)))))/Inputs!$B$44),IF(Inputs!$B$39="pvp",MIN((Skills!Y22*(1+Inputs!$B$34/100)),15)/15,MIN(1,(Skills!Y22*(1+Inputs!$B$34/100))/(1/Q2081)))))+((C2062=TRUE)*F2062*3)+((C2064=TRUE)*F2064*(1-EXP(-0.75*B2097*5)))+((C2083=TRUE)*(F2083-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2070=TRUE)*F2070*IF(AND(Inputs!$B$39&lt;&gt;"pvp",Inputs!$B$44&gt;0),(((R2070-1)*MIN((Skills!Y11*(1+Inputs!$B$34/100)),(1/Q2070))+MIN((Skills!Y11*(1+Inputs!$B$34/100)),MAX(0,Inputs!$B$44-((R2070-1)*(1/Q2070)))))/Inputs!$B$44),IF(Inputs!$B$39="pvp",MIN((Skills!Y11*(1+Inputs!$B$34/100)),15)/15,MIN(1,(Skills!Y11*(1+Inputs!$B$34/100))/(1/Q2070)))))/100)*(1+((C2075=TRUE)*F2075*IF(AND(Inputs!$B$39&lt;&gt;"pvp",Inputs!$B$44&gt;0),(((R2075-1)*MIN((Skills!Y16*(1+Inputs!$B$34/100)),(1/Q2075))+MIN((Skills!Y16*(1+Inputs!$B$34/100)),MAX(0,Inputs!$B$44-((R2075-1)*(1/Q2075)))))/Inputs!$B$44),IF(Inputs!$B$39="pvp",MIN((Skills!Y16*(1+Inputs!$B$34/100)),15)/15,MIN(1,(Skills!Y16*(1+Inputs!$B$34/100))/(1/Q2075)))))/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2095*I2074)</f>
        <v/>
      </c>
      <c r="L2074">
        <f>K2074*(MIN(Inputs!$B$22+((C2084=TRUE)*(F2084-Calc!F25)),(Inputs!$B$23+((C2089=TRUE)*(F2089-Calc!F30))+IF(ArtifactsInput!$M$15,CHOOSE(ArtifactsInput!$N$15+1,25,30,35,40,45,50)/100*(Inputs!$B$11-Inputs!$B$11),0)))/100+(Inputs!$B$23+((C2089=TRUE)*(F2089-Calc!F30))+IF(ArtifactsInput!$M$15,CHOOSE(ArtifactsInput!$N$15+1,25,30,35,40,45,50)/100*(Inputs!$B$11-Inputs!$B$11),0))/100)/2</f>
        <v/>
      </c>
      <c r="M2074">
        <f>L2074*(1+(Inputs!$B$10+((C2086=TRUE)*(F2086-Calc!F27))+B2100+(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2074">
        <f>L2074*(1-MIN((Inputs!$B$9+((C2085=TRUE)*(F2085-Calc!F26))+B2093+(ArtifactsInput!$M$24-ArtifactsInput!$M$24)*CHOOSE(ArtifactsInput!$N$24+1,10,12,14,16,18,20)+(IF(AND(Inputs!$B$39&lt;&gt;"pvp",Inputs!$B$44=0),1,IF(IF(Inputs!$B$39="pvp",15,Inputs!$B$44)-(B2104)&lt;=0,1,MAX(0,IF(Inputs!$B$39="pvp",15,Inputs!$B$44)-MAX(5,B2104))/(IF(Inputs!$B$39="pvp",15,Inputs!$B$44)-(B2104))))*IF(AND(ArtifactsInput!$M$42,((Inputs!$B$9+((C2085=TRUE)*(F2085-Calc!F26))+B2093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2074*(MIN((Inputs!$B$9+((C2085=TRUE)*(F2085-Calc!F26))+B2093+(ArtifactsInput!$M$24-ArtifactsInput!$M$24)*CHOOSE(ArtifactsInput!$N$24+1,10,12,14,16,18,20)+(IF(AND(Inputs!$B$39&lt;&gt;"pvp",Inputs!$B$44=0),1,IF(IF(Inputs!$B$39="pvp",15,Inputs!$B$44)-(B2104)&lt;=0,1,MAX(0,IF(Inputs!$B$39="pvp",15,Inputs!$B$44)-MAX(5,B2104))/(IF(Inputs!$B$39="pvp",15,Inputs!$B$44)-(B2104))))*IF(AND(ArtifactsInput!$M$42,((Inputs!$B$9+((C2085=TRUE)*(F2085-Calc!F26))+B2093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074">
        <f>(1-Summary!$B$11)*T2074+Summary!$B$11*V2074</f>
        <v/>
      </c>
      <c r="P2074">
        <f>IF(B2105=0,0,O2074/B2105)</f>
        <v/>
      </c>
      <c r="Q2074">
        <f>IFERROR(1/IF(Inputs!$B$39="pvp",15,MAX(0.1,Skills!D15-IF(TRUE=TRUE,Inputs!$B$32,0))),0)</f>
        <v/>
      </c>
      <c r="R2074">
        <f>IF(AND(Inputs!$B$39&lt;&gt;"pvp",Inputs!$B$44&gt;0),IF(MAX(0,Inputs!$B$44-B2104)&lt;=0,0,(INT(MAX(0,Inputs!$B$44-B2104)/IF(Inputs!$B$39="pvp",15,MAX(0.1,Skills!D15-IF(TRUE=TRUE,Inputs!$B$32,0))))+1)),0)</f>
        <v/>
      </c>
      <c r="S2074">
        <f>IFERROR(O2074/N2074,0)</f>
        <v/>
      </c>
      <c r="T2074">
        <f>IF(C2074,(H2074*N2074*IF(AND(Inputs!$B$39&lt;&gt;"pvp",Inputs!$B$44&gt;0),((Skills!G15*((R2074-1)*IF(Skills!H15&gt;0,Skills!I15/Skills!H15,1)+IF(Skills!H15&gt;0,MIN(Skills!I15,MAX(0,MAX(0,Inputs!$B$44-B2104)-((R2074-1)*IF(Inputs!$B$39="pvp",15,MAX(0.1,Skills!D15-IF(TRUE=TRUE,Inputs!$B$32,0))))))/Skills!H15,1)))/Inputs!$B$44),G2074*Q2074))*IF(Inputs!$B$39="pvp",1,1+(Inputs!$B$20+0+Skills!P15+B2094+(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Hunt"),CHOOSE(ArtifactsInput!$N$35+1,15,18,21,24,27,30)*(1-EXP(-(0.2*B2097)*5)),0)+IF(AND(ArtifactsInput!$M$22,Inputs!$B$4&lt;&gt;"Chapter Hunt"),CHOOSE(ArtifactsInput!$N$22+1,10,12,14,16,18,20)*((0*(((0.15*B2097*5))^0/1)+1*(((0.15*B2097*5))^1/1)+2*(((0.15*B2097*5))^2/2)+3*(((0.15*B2097*5))^3/6)+4*(((0.15*B2097*5))^4/24)+5*(((0.15*B2097*5))^5/120))/((((0.15*B2097*5))^0/1)+(((0.15*B2097*5))^1/1)+(((0.15*B2097*5))^2/2)+(((0.15*B2097*5))^3/6)+(((0.15*B2097*5))^4/24)+(((0.15*B2097*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2074*(1-MIN(100,(Inputs!$B$9+((C2085=TRUE)*(F2085-Calc!F26))+B2093+(ArtifactsInput!$M$24-ArtifactsInput!$M$24)*CHOOSE(ArtifactsInput!$N$24+1,10,12,14,16,18,20)+(IF(AND(Inputs!$B$39&lt;&gt;"pvp",Inputs!$B$44=0),1,IF(IF(Inputs!$B$39="pvp",15,Inputs!$B$44)-(B2104)&lt;=0,1,MAX(0,IF(Inputs!$B$39="pvp",15,Inputs!$B$44)-MAX(5,B2104))/(IF(Inputs!$B$39="pvp",15,Inputs!$B$44)-(B2104))))*IF(AND(ArtifactsInput!$M$42,((Inputs!$B$9+((C2085=TRUE)*(F2085-Calc!F26))+B2093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2074*(MIN(100,(Inputs!$B$9+((C2085=TRUE)*(F2085-Calc!F26))+B2093+(ArtifactsInput!$M$24-ArtifactsInput!$M$24)*CHOOSE(ArtifactsInput!$N$24+1,10,12,14,16,18,20)+(IF(AND(Inputs!$B$39&lt;&gt;"pvp",Inputs!$B$44=0),1,IF(IF(Inputs!$B$39="pvp",15,Inputs!$B$44)-(B2104)&lt;=0,1,MAX(0,IF(Inputs!$B$39="pvp",15,Inputs!$B$44)-MAX(5,B2104))/(IF(Inputs!$B$39="pvp",15,Inputs!$B$44)-(B2104))))*IF(AND(ArtifactsInput!$M$42,((Inputs!$B$9+((C2085=TRUE)*(F2085-Calc!F26))+B2093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2074*(1-MIN(100,(Inputs!$B$9+((C2085=TRUE)*(F2085-Calc!F26))+B2093+(ArtifactsInput!$M$24-ArtifactsInput!$M$24)*CHOOSE(ArtifactsInput!$N$24+1,10,12,14,16,18,20)+(IF(AND(Inputs!$B$39&lt;&gt;"pvp",Inputs!$B$44=0),1,IF(IF(Inputs!$B$39="pvp",15,Inputs!$B$44)-(B2104)&lt;=0,1,MAX(0,IF(Inputs!$B$39="pvp",15,Inputs!$B$44)-MAX(5,B2104))/(IF(Inputs!$B$39="pvp",15,Inputs!$B$44)-(B2104))))*IF(AND(ArtifactsInput!$M$42,((Inputs!$B$9+((C2085=TRUE)*(F2085-Calc!F26))+B2093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2074*(MIN(100,(Inputs!$B$9+((C2085=TRUE)*(F2085-Calc!F26))+B2093+(ArtifactsInput!$M$24-ArtifactsInput!$M$24)*CHOOSE(ArtifactsInput!$N$24+1,10,12,14,16,18,20)+(IF(AND(Inputs!$B$39&lt;&gt;"pvp",Inputs!$B$44=0),1,IF(IF(Inputs!$B$39="pvp",15,Inputs!$B$44)-(B2104)&lt;=0,1,MAX(0,IF(Inputs!$B$39="pvp",15,Inputs!$B$44)-MAX(5,B2104))/(IF(Inputs!$B$39="pvp",15,Inputs!$B$44)-(B2104))))*IF(AND(ArtifactsInput!$M$42,((Inputs!$B$9+((C2085=TRUE)*(F2085-Calc!F26))+B2093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074">
        <f>IF(C2074,(H2074*N2074*IF(AND(Inputs!$B$39&lt;&gt;"pvp",Inputs!$B$44&gt;0),((Skills!G15*((R2074-1)*IF(Skills!H15&gt;0,Skills!I15/Skills!H15,1)+IF(Skills!H15&gt;0,MIN(Skills!I15,MAX(0,MAX(0,Inputs!$B$44-B2104)-((R2074-1)*IF(Inputs!$B$39="pvp",15,MAX(0.1,Skills!D15-IF(TRUE=TRUE,Inputs!$B$32,0))))))/Skills!H15,1)))/Inputs!$B$44),G2074*Q2074))*IF(Inputs!$B$39="pvp",1,(1+(Inputs!$B$21+Skills!Q15+B2094+(IF(ArtifactsInput!$M$33,CHOOSE(ArtifactsInput!$N$33+1,30,36,42,48,54,60),0))+(IF(AND(ArtifactsInput!$M$35,Inputs!$B$4&lt;&gt;"Chapter Hunt"),CHOOSE(ArtifactsInput!$N$35+1,15,18,21,24,27,30)*(1-EXP(-(0.2*B2097)*5)),0)+IF(AND(ArtifactsInput!$M$22,Inputs!$B$4&lt;&gt;"Chapter Hunt"),CHOOSE(ArtifactsInput!$N$22+1,10,12,14,16,18,20)*((0*(((0.15*B2097*5))^0/1)+1*(((0.15*B2097*5))^1/1)+2*(((0.15*B2097*5))^2/2)+3*(((0.15*B2097*5))^3/6)+4*(((0.15*B2097*5))^4/24)+5*(((0.15*B2097*5))^5/120))/((((0.15*B2097*5))^0/1)+(((0.15*B2097*5))^1/1)+(((0.15*B2097*5))^2/2)+(((0.15*B2097*5))^3/6)+(((0.15*B2097*5))^4/24)+(((0.15*B2097*5))^5/120))),0)))/100)*(MIN(MIN(5,0.5*IF(Inputs!$B$3&gt;=75,0.75,0.5)*B2097*(1/Q2063))*Skills!V15,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075">
      <c r="A2075">
        <f>Skills!A16</f>
        <v/>
      </c>
      <c r="B2075">
        <f>Skills!B16</f>
        <v/>
      </c>
      <c r="C2075">
        <f>Inputs!$B$3&gt;=110</f>
        <v/>
      </c>
      <c r="D2075">
        <f>IF(Skills!C16=1,60+Inputs!$B$25+Inputs!$B$29,IF(Skills!C16=2,90+Inputs!$B$26+Inputs!$B$29,IF(Skills!C16=3,120+Inputs!$B$27+Inputs!$B$29,MAX(0,(Inputs!$B$3-100)*3)+Inputs!$B$28+Inputs!$B$29)))</f>
        <v/>
      </c>
      <c r="E2075">
        <f>INDEX(FactorTable!$B$2:$Y$301, MATCH(ROUND(MIN(300,MAX(1,D2075)),0), FactorTable!$A$2:$A$301,0), Skills!M16+1)</f>
        <v/>
      </c>
      <c r="F2075">
        <f>IF(Skills!N16=TRUE,(Skills!L16/10)*(E2075/1000),Skills!L16/10)+Skills!O16</f>
        <v/>
      </c>
      <c r="G2075">
        <f>Skills!G16*IF(Skills!H16&gt;0,IF(Inputs!$B$39="pvp",MIN(Skills!I16,15),Skills!I16)/Skills!H16,1)</f>
        <v/>
      </c>
      <c r="H2075">
        <f>1-(1-Skills!J16/100)^Skills!K16</f>
        <v/>
      </c>
      <c r="I2075" t="inlineStr">
        <is>
          <t>1</t>
        </is>
      </c>
      <c r="J2075" t="inlineStr"/>
      <c r="K2075" t="inlineStr"/>
      <c r="L2075" t="inlineStr"/>
      <c r="M2075" t="inlineStr"/>
      <c r="N2075" t="inlineStr"/>
      <c r="O2075">
        <f>(1-Summary!$B$11)*T2075+Summary!$B$11*V2075</f>
        <v/>
      </c>
      <c r="P2075">
        <f>IF(B2105=0,0,O2075/B2105)</f>
        <v/>
      </c>
      <c r="Q2075">
        <f>IFERROR(1/IF(Inputs!$B$39="pvp",15,MAX(0.1,Skills!D16-IF(TRUE=TRUE,Inputs!$B$32,0))),0)</f>
        <v/>
      </c>
      <c r="R2075">
        <f>IF(AND(Inputs!$B$39&lt;&gt;"pvp",Inputs!$B$44&gt;0),IF(Inputs!$B$44&lt;=0,0,(INT(Inputs!$B$44/IF(Inputs!$B$39="pvp",15,MAX(0.1,Skills!D16-IF(TRUE=TRUE,Inputs!$B$32,0))))+1)),0)</f>
        <v/>
      </c>
      <c r="S2075">
        <f>IFERROR(O2075/N2075,0)</f>
        <v/>
      </c>
      <c r="T2075" t="n">
        <v>0</v>
      </c>
      <c r="V2075" t="n">
        <v>0</v>
      </c>
    </row>
    <row r="2076">
      <c r="A2076">
        <f>Skills!A17</f>
        <v/>
      </c>
      <c r="B2076">
        <f>Skills!B17</f>
        <v/>
      </c>
      <c r="C2076">
        <f>Inputs!$B$3&gt;=115</f>
        <v/>
      </c>
      <c r="D2076">
        <f>IF(Skills!C17=1,60+Inputs!$B$25+Inputs!$B$29,IF(Skills!C17=2,90+Inputs!$B$26+Inputs!$B$29,IF(Skills!C17=3,120+Inputs!$B$27+Inputs!$B$29,MAX(0,(Inputs!$B$3-100)*3)+Inputs!$B$28+Inputs!$B$29)))</f>
        <v/>
      </c>
      <c r="E2076">
        <f>INDEX(FactorTable!$B$2:$Y$301, MATCH(ROUND(MIN(300,MAX(1,D2076)),0), FactorTable!$A$2:$A$301,0), Skills!M17+1)</f>
        <v/>
      </c>
      <c r="F2076">
        <f>IF(Skills!N17=TRUE,(Skills!L17/10)*(E2076/1000),Skills!L17/10)+Skills!O17</f>
        <v/>
      </c>
      <c r="G2076">
        <f>Skills!G17*IF(Skills!H17&gt;0,IF(Inputs!$B$39="pvp",MIN(Skills!I17,15),Skills!I17)/Skills!H17,1)</f>
        <v/>
      </c>
      <c r="H2076">
        <f>1-(1-Skills!J17/100)^Skills!K17</f>
        <v/>
      </c>
      <c r="I2076" t="inlineStr">
        <is>
          <t>1</t>
        </is>
      </c>
      <c r="J2076">
        <f>((Inputs!$B$6*(1+Inputs!$B$7/100))+(((Inputs!$B$12*(1+Inputs!$B$13/100))-(Inputs!$B$12*(1+Inputs!$B$13/100)))+0.25*(Inputs!$B$14-Inputs!$B$14))*(1+Inputs!$B$7/100))*(F2076/100)</f>
        <v/>
      </c>
      <c r="K2076">
        <f>J2076*(1+((Inputs!$B$12*(1+Inputs!$B$13/100))*0.01+Inputs!$B$14*0.0025)/100)*(1+Inputs!$B$15/100)*(1+Inputs!$B$16/100)*(5000/(6000+Inputs!$B$43*(1-(100*(1-(1-Inputs!$B$19/100)*(1-CHOOSE(ArtifactsInput!$N$40+1,5,6,7,8,9,10)/100)^(ArtifactsInput!$M$40-ArtifactsInput!$M$40)))/100)))*(1+(Inputs!$B$24+((C2090=TRUE)*(F2090-Calc!F31))+((C2077=TRUE)*(F2077-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17="CRUEL_STAB",Inputs!$B$17+((C2087=TRUE)*(F2087-Calc!F28))+((IF(AND(Inputs!$B$39&lt;&gt;"pvp",Inputs!$B$44=0),1,IF(IF(Inputs!$B$39="pvp",15,Inputs!$B$44)-(B2104)&lt;=0,1,MAX(0,IF(Inputs!$B$39="pvp",15,Inputs!$B$44)-MAX(5,B2104))/(IF(Inputs!$B$39="pvp",15,Inputs!$B$44)-(B2104))))*(IF(AND(ArtifactsInput!$M$42,((Inputs!$B$9+((C2085=TRUE)*(F2085-Calc!F26))+B2093+(ArtifactsInput!$M$24-ArtifactsInput!$M$24)*CHOOSE(ArtifactsInput!$N$24+1,10,12,14,16,18,20)+IF(ArtifactsInput!$M$10,CHOOSE(ArtifactsInput!$N$10+1,15,18,21,24,27,30)*(IF(Inputs!$B$39="pvp",MIN(15,15)/15,IF(AND(Inputs!$B$39&lt;&gt;"pvp",Inputs!$B$44&gt;0),MIN(15,Inputs!$B$44)/(Inputs!$B$44),0))),0)))&gt;=100),MIN(100,((Inputs!$B$9+((C2085=TRUE)*(F2085-Calc!F26))+B2093+(ArtifactsInput!$M$24-ArtifactsInput!$M$24)*CHOOSE(ArtifactsInput!$N$24+1,10,12,14,16,18,20)+IF(ArtifactsInput!$M$10,CHOOSE(ArtifactsInput!$N$10+1,15,18,21,24,27,30)*(IF(Inputs!$B$39="pvp",MIN(15,15)/15,IF(AND(Inputs!$B$39&lt;&gt;"pvp",Inputs!$B$44&gt;0),MIN(15,Inputs!$B$44)/(Inputs!$B$44),0))),0)))-100),0))*CHOOSE(ArtifactsInput!$N$42+1,0.6,0.72,0.84,0.96,1.08,1.2))),Inputs!$B$18+((C2088=TRUE)*(F2088-Calc!F29))+(IF(AND(Inputs!$B$39&lt;&gt;"pvp",Inputs!$B$44=0),1,IF(IF(Inputs!$B$39="pvp",15,Inputs!$B$44)-(B2104)&lt;=0,1,MAX(0,IF(Inputs!$B$39="pvp",15,Inputs!$B$44)-MAX(5,B2104))/(IF(Inputs!$B$39="pvp",15,Inputs!$B$44)-(B2104))))*IF(AND(ArtifactsInput!$M$42,((Inputs!$B$9+((C2085=TRUE)*(F2085-Calc!F26))+B2093+(ArtifactsInput!$M$24-ArtifactsInput!$M$24)*CHOOSE(ArtifactsInput!$N$24+1,10,12,14,16,18,20)+IF(ArtifactsInput!$M$10,CHOOSE(ArtifactsInput!$N$10+1,15,18,21,24,27,30)*(IF(Inputs!$B$39="pvp",MIN(15,15)/15,IF(AND(Inputs!$B$39&lt;&gt;"pvp",Inputs!$B$44&gt;0),MIN(15,Inputs!$B$44)/(Inputs!$B$44),0))),0)))&gt;=100),CHOOSE(ArtifactsInput!$N$42+1,40,48,56,64,72,80),0))))/100)*(((1+(((C2081=TRUE)*F2081*IF(AND(Inputs!$B$39&lt;&gt;"pvp",Inputs!$B$44&gt;0),(((R2081-1)*MIN((Skills!Y22*(1+Inputs!$B$34/100)),(1/Q2081))+MIN((Skills!Y22*(1+Inputs!$B$34/100)),MAX(0,Inputs!$B$44-((R2081-1)*(1/Q2081)))))/Inputs!$B$44),IF(Inputs!$B$39="pvp",MIN((Skills!Y22*(1+Inputs!$B$34/100)),15)/15,MIN(1,(Skills!Y22*(1+Inputs!$B$34/100))/(1/Q2081)))))+((C2062=TRUE)*F2062*3)+((C2064=TRUE)*F2064*(1-EXP(-0.75*B2097*5)))+((C2083=TRUE)*(F2083-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2070=TRUE)*F2070*IF(AND(Inputs!$B$39&lt;&gt;"pvp",Inputs!$B$44&gt;0),(((R2070-1)*MIN((Skills!Y11*(1+Inputs!$B$34/100)),(1/Q2070))+MIN((Skills!Y11*(1+Inputs!$B$34/100)),MAX(0,Inputs!$B$44-((R2070-1)*(1/Q2070)))))/Inputs!$B$44),IF(Inputs!$B$39="pvp",MIN((Skills!Y11*(1+Inputs!$B$34/100)),15)/15,MIN(1,(Skills!Y11*(1+Inputs!$B$34/100))/(1/Q2070)))))/100)*(1+((C2075=TRUE)*F2075*IF(AND(Inputs!$B$39&lt;&gt;"pvp",Inputs!$B$44&gt;0),(((R2075-1)*MIN((Skills!Y16*(1+Inputs!$B$34/100)),(1/Q2075))+MIN((Skills!Y16*(1+Inputs!$B$34/100)),MAX(0,Inputs!$B$44-((R2075-1)*(1/Q2075)))))/Inputs!$B$44),IF(Inputs!$B$39="pvp",MIN((Skills!Y16*(1+Inputs!$B$34/100)),15)/15,MIN(1,(Skills!Y16*(1+Inputs!$B$34/100))/(1/Q2075)))))/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2095*I2076)</f>
        <v/>
      </c>
      <c r="L2076">
        <f>K2076*(MIN(Inputs!$B$22+((C2084=TRUE)*(F2084-Calc!F25)),(Inputs!$B$23+((C2089=TRUE)*(F2089-Calc!F30))+IF(ArtifactsInput!$M$15,CHOOSE(ArtifactsInput!$N$15+1,25,30,35,40,45,50)/100*(Inputs!$B$11-Inputs!$B$11),0)))/100+(Inputs!$B$23+((C2089=TRUE)*(F2089-Calc!F30))+IF(ArtifactsInput!$M$15,CHOOSE(ArtifactsInput!$N$15+1,25,30,35,40,45,50)/100*(Inputs!$B$11-Inputs!$B$11),0))/100)/2</f>
        <v/>
      </c>
      <c r="M2076">
        <f>L2076*(1+(Inputs!$B$10+((C2086=TRUE)*(F2086-Calc!F27))+B2100+(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2076">
        <f>L2076*(1-MIN((Inputs!$B$9+((C2085=TRUE)*(F2085-Calc!F26))+B2093+(ArtifactsInput!$M$24-ArtifactsInput!$M$24)*CHOOSE(ArtifactsInput!$N$24+1,10,12,14,16,18,20)+(IF(AND(Inputs!$B$39&lt;&gt;"pvp",Inputs!$B$44=0),1,IF(IF(Inputs!$B$39="pvp",15,Inputs!$B$44)-(B2104)&lt;=0,1,MAX(0,IF(Inputs!$B$39="pvp",15,Inputs!$B$44)-MAX(5,B2104))/(IF(Inputs!$B$39="pvp",15,Inputs!$B$44)-(B2104))))*IF(AND(ArtifactsInput!$M$42,((Inputs!$B$9+((C2085=TRUE)*(F2085-Calc!F26))+B2093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2076*(MIN((Inputs!$B$9+((C2085=TRUE)*(F2085-Calc!F26))+B2093+(ArtifactsInput!$M$24-ArtifactsInput!$M$24)*CHOOSE(ArtifactsInput!$N$24+1,10,12,14,16,18,20)+(IF(AND(Inputs!$B$39&lt;&gt;"pvp",Inputs!$B$44=0),1,IF(IF(Inputs!$B$39="pvp",15,Inputs!$B$44)-(B2104)&lt;=0,1,MAX(0,IF(Inputs!$B$39="pvp",15,Inputs!$B$44)-MAX(5,B2104))/(IF(Inputs!$B$39="pvp",15,Inputs!$B$44)-(B2104))))*IF(AND(ArtifactsInput!$M$42,((Inputs!$B$9+((C2085=TRUE)*(F2085-Calc!F26))+B2093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076">
        <f>(1-Summary!$B$11)*T2076+Summary!$B$11*V2076</f>
        <v/>
      </c>
      <c r="P2076">
        <f>IF(B2105=0,0,O2076/B2105)</f>
        <v/>
      </c>
      <c r="Q2076" t="n">
        <v>0</v>
      </c>
      <c r="R2076" t="n">
        <v>0</v>
      </c>
      <c r="S2076">
        <f>IFERROR(O2076/N2076,0)</f>
        <v/>
      </c>
      <c r="T2076">
        <f>IF(C2076,(Inputs!$B$38*0.2*N2076)*IF(Inputs!$B$39="pvp",1,1+(Inputs!$B$20+0+Skills!P17+B2094+(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Hunt"),CHOOSE(ArtifactsInput!$N$35+1,15,18,21,24,27,30)*(1-EXP(-(0.2*B2097)*5)),0)+IF(AND(ArtifactsInput!$M$22,Inputs!$B$4&lt;&gt;"Chapter Hunt"),CHOOSE(ArtifactsInput!$N$22+1,10,12,14,16,18,20)*((0*(((0.15*B2097*5))^0/1)+1*(((0.15*B2097*5))^1/1)+2*(((0.15*B2097*5))^2/2)+3*(((0.15*B2097*5))^3/6)+4*(((0.15*B2097*5))^4/24)+5*(((0.15*B2097*5))^5/120))/((((0.15*B2097*5))^0/1)+(((0.15*B2097*5))^1/1)+(((0.15*B2097*5))^2/2)+(((0.15*B2097*5))^3/6)+(((0.15*B2097*5))^4/24)+(((0.15*B2097*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2076*(1-MIN(100,(Inputs!$B$9+((C2085=TRUE)*(F2085-Calc!F26))+B2093+(ArtifactsInput!$M$24-ArtifactsInput!$M$24)*CHOOSE(ArtifactsInput!$N$24+1,10,12,14,16,18,20)+(IF(AND(Inputs!$B$39&lt;&gt;"pvp",Inputs!$B$44=0),1,IF(IF(Inputs!$B$39="pvp",15,Inputs!$B$44)-(B2104)&lt;=0,1,MAX(0,IF(Inputs!$B$39="pvp",15,Inputs!$B$44)-MAX(5,B2104))/(IF(Inputs!$B$39="pvp",15,Inputs!$B$44)-(B2104))))*IF(AND(ArtifactsInput!$M$42,((Inputs!$B$9+((C2085=TRUE)*(F2085-Calc!F26))+B2093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2076*(MIN(100,(Inputs!$B$9+((C2085=TRUE)*(F2085-Calc!F26))+B2093+(ArtifactsInput!$M$24-ArtifactsInput!$M$24)*CHOOSE(ArtifactsInput!$N$24+1,10,12,14,16,18,20)+(IF(AND(Inputs!$B$39&lt;&gt;"pvp",Inputs!$B$44=0),1,IF(IF(Inputs!$B$39="pvp",15,Inputs!$B$44)-(B2104)&lt;=0,1,MAX(0,IF(Inputs!$B$39="pvp",15,Inputs!$B$44)-MAX(5,B2104))/(IF(Inputs!$B$39="pvp",15,Inputs!$B$44)-(B2104))))*IF(AND(ArtifactsInput!$M$42,((Inputs!$B$9+((C2085=TRUE)*(F2085-Calc!F26))+B2093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2076*(1-MIN(100,(Inputs!$B$9+((C2085=TRUE)*(F2085-Calc!F26))+B2093+(ArtifactsInput!$M$24-ArtifactsInput!$M$24)*CHOOSE(ArtifactsInput!$N$24+1,10,12,14,16,18,20)+(IF(AND(Inputs!$B$39&lt;&gt;"pvp",Inputs!$B$44=0),1,IF(IF(Inputs!$B$39="pvp",15,Inputs!$B$44)-(B2104)&lt;=0,1,MAX(0,IF(Inputs!$B$39="pvp",15,Inputs!$B$44)-MAX(5,B2104))/(IF(Inputs!$B$39="pvp",15,Inputs!$B$44)-(B2104))))*IF(AND(ArtifactsInput!$M$42,((Inputs!$B$9+((C2085=TRUE)*(F2085-Calc!F26))+B2093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2076*(MIN(100,(Inputs!$B$9+((C2085=TRUE)*(F2085-Calc!F26))+B2093+(ArtifactsInput!$M$24-ArtifactsInput!$M$24)*CHOOSE(ArtifactsInput!$N$24+1,10,12,14,16,18,20)+(IF(AND(Inputs!$B$39&lt;&gt;"pvp",Inputs!$B$44=0),1,IF(IF(Inputs!$B$39="pvp",15,Inputs!$B$44)-(B2104)&lt;=0,1,MAX(0,IF(Inputs!$B$39="pvp",15,Inputs!$B$44)-MAX(5,B2104))/(IF(Inputs!$B$39="pvp",15,Inputs!$B$44)-(B2104))))*IF(AND(ArtifactsInput!$M$42,((Inputs!$B$9+((C2085=TRUE)*(F2085-Calc!F26))+B2093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076">
        <f>IF(C2076,(Inputs!$B$38*0.2*N2076)*IF(Inputs!$B$39="pvp",1,(1+(Inputs!$B$21+Skills!Q17+B2094+(IF(ArtifactsInput!$M$33,CHOOSE(ArtifactsInput!$N$33+1,30,36,42,48,54,60),0))+(IF(AND(ArtifactsInput!$M$35,Inputs!$B$4&lt;&gt;"Chapter Hunt"),CHOOSE(ArtifactsInput!$N$35+1,15,18,21,24,27,30)*(1-EXP(-(0.2*B2097)*5)),0)+IF(AND(ArtifactsInput!$M$22,Inputs!$B$4&lt;&gt;"Chapter Hunt"),CHOOSE(ArtifactsInput!$N$22+1,10,12,14,16,18,20)*((0*(((0.15*B2097*5))^0/1)+1*(((0.15*B2097*5))^1/1)+2*(((0.15*B2097*5))^2/2)+3*(((0.15*B2097*5))^3/6)+4*(((0.15*B2097*5))^4/24)+5*(((0.15*B2097*5))^5/120))/((((0.15*B2097*5))^0/1)+(((0.15*B2097*5))^1/1)+(((0.15*B2097*5))^2/2)+(((0.15*B2097*5))^3/6)+(((0.15*B2097*5))^4/24)+(((0.15*B2097*5))^5/120))),0)))/100)*(MIN(Skills!W17,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077">
      <c r="A2077">
        <f>Skills!A18</f>
        <v/>
      </c>
      <c r="B2077">
        <f>Skills!B18</f>
        <v/>
      </c>
      <c r="C2077">
        <f>Inputs!$B$3&gt;=115</f>
        <v/>
      </c>
      <c r="D2077">
        <f>IF(Skills!C18=1,60+Inputs!$B$25+Inputs!$B$29,IF(Skills!C18=2,90+Inputs!$B$26+Inputs!$B$29,IF(Skills!C18=3,120+Inputs!$B$27+Inputs!$B$29,MAX(0,(Inputs!$B$3-100)*3)+Inputs!$B$28+Inputs!$B$29)))</f>
        <v/>
      </c>
      <c r="E2077">
        <f>INDEX(FactorTable!$B$2:$Y$301, MATCH(ROUND(MIN(300,MAX(1,D2077)),0), FactorTable!$A$2:$A$301,0), Skills!M18+1)</f>
        <v/>
      </c>
      <c r="F2077">
        <f>IF(Skills!N18=TRUE,(Skills!L18/10)*(E2077/1000),Skills!L18/10)+Skills!O18</f>
        <v/>
      </c>
      <c r="G2077">
        <f>Skills!G18*IF(Skills!H18&gt;0,IF(Inputs!$B$39="pvp",MIN(Skills!I18,15),Skills!I18)/Skills!H18,1)</f>
        <v/>
      </c>
      <c r="H2077">
        <f>1-(1-Skills!J18/100)^Skills!K18</f>
        <v/>
      </c>
      <c r="I2077" t="inlineStr">
        <is>
          <t>1</t>
        </is>
      </c>
      <c r="J2077" t="inlineStr"/>
      <c r="K2077" t="inlineStr"/>
      <c r="L2077" t="inlineStr"/>
      <c r="M2077" t="inlineStr"/>
      <c r="N2077" t="inlineStr"/>
      <c r="O2077">
        <f>(1-Summary!$B$11)*T2077+Summary!$B$11*V2077</f>
        <v/>
      </c>
      <c r="P2077">
        <f>IF(B2105=0,0,O2077/B2105)</f>
        <v/>
      </c>
      <c r="Q2077" t="n">
        <v>0</v>
      </c>
      <c r="R2077" t="n">
        <v>0</v>
      </c>
      <c r="S2077">
        <f>IFERROR(O2077/N2077,0)</f>
        <v/>
      </c>
      <c r="T2077" t="n">
        <v>0</v>
      </c>
      <c r="V2077" t="n">
        <v>0</v>
      </c>
    </row>
    <row r="2078">
      <c r="A2078">
        <f>Skills!A19</f>
        <v/>
      </c>
      <c r="B2078">
        <f>Skills!B19</f>
        <v/>
      </c>
      <c r="C2078">
        <f>Inputs!$B$3&gt;=100</f>
        <v/>
      </c>
      <c r="D2078">
        <f>IF(Skills!C19=1,60+Inputs!$B$25+Inputs!$B$29,IF(Skills!C19=2,90+Inputs!$B$26+Inputs!$B$29,IF(Skills!C19=3,120+Inputs!$B$27+Inputs!$B$29,MAX(0,(Inputs!$B$3-100)*3)+Inputs!$B$28+Inputs!$B$29)))</f>
        <v/>
      </c>
      <c r="E2078">
        <f>INDEX(FactorTable!$B$2:$Y$301, MATCH(ROUND(MIN(300,MAX(1,D2078)),0), FactorTable!$A$2:$A$301,0), Skills!M19+1)</f>
        <v/>
      </c>
      <c r="F2078">
        <f>IF(Skills!N19=TRUE,(Skills!L19/10)*(E2078/1000),Skills!L19/10)+Skills!O19</f>
        <v/>
      </c>
      <c r="G2078">
        <f>Skills!G19*IF(Skills!H19&gt;0,IF(Inputs!$B$39="pvp",MIN(Skills!I19,15),Skills!I19)/Skills!H19,1)</f>
        <v/>
      </c>
      <c r="H2078">
        <f>1-(1-Skills!J19/100)^Skills!K19</f>
        <v/>
      </c>
      <c r="I2078" t="inlineStr">
        <is>
          <t>1</t>
        </is>
      </c>
      <c r="J2078" t="inlineStr"/>
      <c r="K2078" t="inlineStr"/>
      <c r="L2078" t="inlineStr"/>
      <c r="M2078" t="inlineStr"/>
      <c r="N2078" t="inlineStr"/>
      <c r="O2078">
        <f>(1-Summary!$B$11)*T2078+Summary!$B$11*V2078</f>
        <v/>
      </c>
      <c r="P2078">
        <f>IF(B2105=0,0,O2078/B2105)</f>
        <v/>
      </c>
      <c r="Q2078" t="n">
        <v>0</v>
      </c>
      <c r="R2078" t="n">
        <v>0</v>
      </c>
      <c r="S2078">
        <f>IFERROR(O2078/N2078,0)</f>
        <v/>
      </c>
      <c r="T2078" t="n">
        <v>0</v>
      </c>
      <c r="V2078" t="n">
        <v>0</v>
      </c>
    </row>
    <row r="2079">
      <c r="A2079">
        <f>Skills!A20</f>
        <v/>
      </c>
      <c r="B2079">
        <f>Skills!B20</f>
        <v/>
      </c>
      <c r="C2079">
        <f>TRUE</f>
        <v/>
      </c>
      <c r="D2079">
        <f>IF(Skills!C20=1,60+Inputs!$B$25+Inputs!$B$29,IF(Skills!C20=2,90+Inputs!$B$26+Inputs!$B$29,IF(Skills!C20=3,120+Inputs!$B$27+Inputs!$B$29,MAX(0,(Inputs!$B$3-100)*3)+Inputs!$B$28+Inputs!$B$29)))</f>
        <v/>
      </c>
      <c r="E2079">
        <f>INDEX(FactorTable!$B$2:$Y$301, MATCH(ROUND(MIN(300,MAX(1,D2079)),0), FactorTable!$A$2:$A$301,0), Skills!M20+1)</f>
        <v/>
      </c>
      <c r="F2079">
        <f>IF(Skills!N20=TRUE,(Skills!L20/10)*(E2079/1000),Skills!L20/10)+Skills!O20</f>
        <v/>
      </c>
      <c r="G2079">
        <f>Skills!G20*IF(Skills!H20&gt;0,IF(Inputs!$B$39="pvp",MIN(Skills!I20,15),Skills!I20)/Skills!H20,1)</f>
        <v/>
      </c>
      <c r="H2079">
        <f>1-(1-Skills!J20/100)^Skills!K20</f>
        <v/>
      </c>
      <c r="I2079" t="inlineStr">
        <is>
          <t>1</t>
        </is>
      </c>
      <c r="J2079" t="inlineStr"/>
      <c r="K2079" t="inlineStr"/>
      <c r="L2079" t="inlineStr"/>
      <c r="M2079" t="inlineStr"/>
      <c r="N2079" t="inlineStr"/>
      <c r="O2079">
        <f>(1-Summary!$B$11)*T2079+Summary!$B$11*V2079</f>
        <v/>
      </c>
      <c r="P2079">
        <f>IF(B2105=0,0,O2079/B2105)</f>
        <v/>
      </c>
      <c r="Q2079">
        <f>IFERROR(1/IF(Inputs!$B$39="pvp",15,MAX(0.1,Skills!D20-IF(TRUE=TRUE,Inputs!$B$32,0))),0)</f>
        <v/>
      </c>
      <c r="R2079">
        <f>IF(AND(Inputs!$B$39&lt;&gt;"pvp",Inputs!$B$44&gt;0),IF(Inputs!$B$44&lt;=0,0,(INT(Inputs!$B$44/IF(Inputs!$B$39="pvp",15,MAX(0.1,Skills!D20-IF(TRUE=TRUE,Inputs!$B$32,0))))+1)),0)</f>
        <v/>
      </c>
      <c r="S2079">
        <f>IFERROR(O2079/N2079,0)</f>
        <v/>
      </c>
      <c r="T2079" t="n">
        <v>0</v>
      </c>
      <c r="V2079" t="n">
        <v>0</v>
      </c>
    </row>
    <row r="2080">
      <c r="A2080">
        <f>Skills!A21</f>
        <v/>
      </c>
      <c r="B2080">
        <f>Skills!B21</f>
        <v/>
      </c>
      <c r="C2080">
        <f>Inputs!$B$3&gt;=15</f>
        <v/>
      </c>
      <c r="D2080">
        <f>IF(Skills!C21=1,60+Inputs!$B$25+Inputs!$B$29,IF(Skills!C21=2,90+Inputs!$B$26+Inputs!$B$29,IF(Skills!C21=3,120+Inputs!$B$27+Inputs!$B$29,MAX(0,(Inputs!$B$3-100)*3)+Inputs!$B$28+Inputs!$B$29)))</f>
        <v/>
      </c>
      <c r="E2080">
        <f>INDEX(FactorTable!$B$2:$Y$301, MATCH(ROUND(MIN(300,MAX(1,D2080)),0), FactorTable!$A$2:$A$301,0), Skills!M21+1)</f>
        <v/>
      </c>
      <c r="F2080">
        <f>IF(Skills!N21=TRUE,(Skills!L21/10)*(E2080/1000),Skills!L21/10)+Skills!O21</f>
        <v/>
      </c>
      <c r="G2080">
        <f>Skills!G21*IF(Skills!H21&gt;0,IF(Inputs!$B$39="pvp",MIN(Skills!I21,15),Skills!I21)/Skills!H21,1)</f>
        <v/>
      </c>
      <c r="H2080">
        <f>1-(1-Skills!J21/100)^Skills!K21</f>
        <v/>
      </c>
      <c r="I2080" t="inlineStr">
        <is>
          <t>1</t>
        </is>
      </c>
      <c r="J2080" t="inlineStr"/>
      <c r="K2080" t="inlineStr"/>
      <c r="L2080" t="inlineStr"/>
      <c r="M2080" t="inlineStr"/>
      <c r="N2080" t="inlineStr"/>
      <c r="O2080">
        <f>(1-Summary!$B$11)*T2080+Summary!$B$11*V2080</f>
        <v/>
      </c>
      <c r="P2080">
        <f>IF(B2105=0,0,O2080/B2105)</f>
        <v/>
      </c>
      <c r="Q2080">
        <f>IFERROR(1/IF(Inputs!$B$39="pvp",15,MAX(0.1,Skills!D21-IF(TRUE=TRUE,Inputs!$B$32,0))),0)</f>
        <v/>
      </c>
      <c r="R2080">
        <f>IF(AND(Inputs!$B$39&lt;&gt;"pvp",Inputs!$B$44&gt;0),IF(Inputs!$B$44&lt;=0,0,(INT(Inputs!$B$44/IF(Inputs!$B$39="pvp",15,MAX(0.1,Skills!D21-IF(TRUE=TRUE,Inputs!$B$32,0))))+1)),0)</f>
        <v/>
      </c>
      <c r="S2080">
        <f>IFERROR(O2080/N2080,0)</f>
        <v/>
      </c>
      <c r="T2080" t="n">
        <v>0</v>
      </c>
      <c r="V2080" t="n">
        <v>0</v>
      </c>
    </row>
    <row r="2081">
      <c r="A2081">
        <f>Skills!A22</f>
        <v/>
      </c>
      <c r="B2081">
        <f>Skills!B22</f>
        <v/>
      </c>
      <c r="C2081">
        <f>Inputs!$B$3&gt;=15</f>
        <v/>
      </c>
      <c r="D2081">
        <f>IF(Skills!C22=1,60+Inputs!$B$25+Inputs!$B$29,IF(Skills!C22=2,90+Inputs!$B$26+Inputs!$B$29,IF(Skills!C22=3,120+Inputs!$B$27+Inputs!$B$29,MAX(0,(Inputs!$B$3-100)*3)+Inputs!$B$28+Inputs!$B$29)))</f>
        <v/>
      </c>
      <c r="E2081">
        <f>INDEX(FactorTable!$B$2:$Y$301, MATCH(ROUND(MIN(300,MAX(1,D2081)),0), FactorTable!$A$2:$A$301,0), Skills!M22+1)</f>
        <v/>
      </c>
      <c r="F2081">
        <f>IF(Skills!N22=TRUE,(Skills!L22/10)*(E2081/1000),Skills!L22/10)+Skills!O22</f>
        <v/>
      </c>
      <c r="G2081">
        <f>Skills!G22*IF(Skills!H22&gt;0,IF(Inputs!$B$39="pvp",MIN(Skills!I22,15),Skills!I22)/Skills!H22,1)</f>
        <v/>
      </c>
      <c r="H2081">
        <f>1-(1-Skills!J22/100)^Skills!K22</f>
        <v/>
      </c>
      <c r="I2081" t="inlineStr">
        <is>
          <t>1</t>
        </is>
      </c>
      <c r="J2081" t="inlineStr"/>
      <c r="K2081" t="inlineStr"/>
      <c r="L2081" t="inlineStr"/>
      <c r="M2081" t="inlineStr"/>
      <c r="N2081" t="inlineStr"/>
      <c r="O2081">
        <f>(1-Summary!$B$11)*T2081+Summary!$B$11*V2081</f>
        <v/>
      </c>
      <c r="P2081">
        <f>IF(B2105=0,0,O2081/B2105)</f>
        <v/>
      </c>
      <c r="Q2081">
        <f>IFERROR(1/IF(Inputs!$B$39="pvp",15,MAX(0.1,Skills!D22-IF(TRUE=TRUE,Inputs!$B$32,0))),0)</f>
        <v/>
      </c>
      <c r="R2081">
        <f>IF(AND(Inputs!$B$39&lt;&gt;"pvp",Inputs!$B$44&gt;0),IF(Inputs!$B$44&lt;=0,0,(INT(Inputs!$B$44/IF(Inputs!$B$39="pvp",15,MAX(0.1,Skills!D22-IF(TRUE=TRUE,Inputs!$B$32,0))))+1)),0)</f>
        <v/>
      </c>
      <c r="S2081">
        <f>IFERROR(O2081/N2081,0)</f>
        <v/>
      </c>
      <c r="T2081" t="n">
        <v>0</v>
      </c>
      <c r="V2081" t="n">
        <v>0</v>
      </c>
    </row>
    <row r="2082">
      <c r="A2082">
        <f>Skills!A23</f>
        <v/>
      </c>
      <c r="B2082">
        <f>Skills!B23</f>
        <v/>
      </c>
      <c r="C2082">
        <f>Inputs!$B$3&gt;=33</f>
        <v/>
      </c>
      <c r="D2082">
        <f>IF(Skills!C23=1,60+Inputs!$B$25+Inputs!$B$29,IF(Skills!C23=2,90+Inputs!$B$26+Inputs!$B$29,IF(Skills!C23=3,120+Inputs!$B$27+Inputs!$B$29,MAX(0,(Inputs!$B$3-100)*3)+Inputs!$B$28+Inputs!$B$29)))</f>
        <v/>
      </c>
      <c r="E2082">
        <f>INDEX(FactorTable!$B$2:$Y$301, MATCH(ROUND(MIN(300,MAX(1,D2082)),0), FactorTable!$A$2:$A$301,0), Skills!M23+1)</f>
        <v/>
      </c>
      <c r="F2082">
        <f>IF(Skills!N23=TRUE,(Skills!L23/10)*(E2082/1000),Skills!L23/10)+Skills!O23</f>
        <v/>
      </c>
      <c r="G2082">
        <f>Skills!G23*IF(Skills!H23&gt;0,IF(Inputs!$B$39="pvp",MIN(Skills!I23,15),Skills!I23)/Skills!H23,1)</f>
        <v/>
      </c>
      <c r="H2082">
        <f>1-(1-Skills!J23/100)^Skills!K23</f>
        <v/>
      </c>
      <c r="I2082" t="inlineStr">
        <is>
          <t>1</t>
        </is>
      </c>
      <c r="J2082" t="inlineStr"/>
      <c r="K2082" t="inlineStr"/>
      <c r="L2082" t="inlineStr"/>
      <c r="M2082" t="inlineStr"/>
      <c r="N2082" t="inlineStr"/>
      <c r="O2082">
        <f>(1-Summary!$B$11)*T2082+Summary!$B$11*V2082</f>
        <v/>
      </c>
      <c r="P2082">
        <f>IF(B2105=0,0,O2082/B2105)</f>
        <v/>
      </c>
      <c r="Q2082" t="n">
        <v>0</v>
      </c>
      <c r="R2082" t="n">
        <v>0</v>
      </c>
      <c r="S2082">
        <f>IFERROR(O2082/N2082,0)</f>
        <v/>
      </c>
      <c r="T2082" t="n">
        <v>0</v>
      </c>
      <c r="V2082" t="n">
        <v>0</v>
      </c>
    </row>
    <row r="2083">
      <c r="A2083">
        <f>Skills!A24</f>
        <v/>
      </c>
      <c r="B2083">
        <f>Skills!B24</f>
        <v/>
      </c>
      <c r="C2083">
        <f>Inputs!$B$3&gt;=40</f>
        <v/>
      </c>
      <c r="D2083">
        <f>IF(Skills!C24=1,60+Inputs!$B$25+Inputs!$B$29,IF(Skills!C24=2,90+Inputs!$B$26+Inputs!$B$29,IF(Skills!C24=3,120+Inputs!$B$27+Inputs!$B$29,MAX(0,(Inputs!$B$3-100)*3)+Inputs!$B$28+Inputs!$B$29)))</f>
        <v/>
      </c>
      <c r="E2083">
        <f>INDEX(FactorTable!$B$2:$Y$301, MATCH(ROUND(MIN(300,MAX(1,D2083)),0), FactorTable!$A$2:$A$301,0), Skills!M24+1)</f>
        <v/>
      </c>
      <c r="F2083">
        <f>IF(Skills!N24=TRUE,(Skills!L24/10)*(E2083/1000),Skills!L24/10)+Skills!O24</f>
        <v/>
      </c>
      <c r="G2083">
        <f>Skills!G24*IF(Skills!H24&gt;0,IF(Inputs!$B$39="pvp",MIN(Skills!I24,15),Skills!I24)/Skills!H24,1)</f>
        <v/>
      </c>
      <c r="H2083">
        <f>1-(1-Skills!J24/100)^Skills!K24</f>
        <v/>
      </c>
      <c r="I2083" t="inlineStr">
        <is>
          <t>1</t>
        </is>
      </c>
      <c r="J2083" t="inlineStr"/>
      <c r="K2083" t="inlineStr"/>
      <c r="L2083" t="inlineStr"/>
      <c r="M2083" t="inlineStr"/>
      <c r="N2083" t="inlineStr"/>
      <c r="O2083">
        <f>(1-Summary!$B$11)*T2083+Summary!$B$11*V2083</f>
        <v/>
      </c>
      <c r="P2083">
        <f>IF(B2105=0,0,O2083/B2105)</f>
        <v/>
      </c>
      <c r="Q2083" t="n">
        <v>0</v>
      </c>
      <c r="R2083" t="n">
        <v>0</v>
      </c>
      <c r="S2083">
        <f>IFERROR(O2083/N2083,0)</f>
        <v/>
      </c>
      <c r="T2083" t="n">
        <v>0</v>
      </c>
      <c r="V2083" t="n">
        <v>0</v>
      </c>
    </row>
    <row r="2084">
      <c r="A2084">
        <f>Skills!A25</f>
        <v/>
      </c>
      <c r="B2084">
        <f>Skills!B25</f>
        <v/>
      </c>
      <c r="C2084">
        <f>Inputs!$B$3&gt;=43</f>
        <v/>
      </c>
      <c r="D2084">
        <f>IF(Skills!C25=1,60+Inputs!$B$25+Inputs!$B$29,IF(Skills!C25=2,90+Inputs!$B$26+Inputs!$B$29,IF(Skills!C25=3,120+Inputs!$B$27+Inputs!$B$29,MAX(0,(Inputs!$B$3-100)*3)+Inputs!$B$28+Inputs!$B$29)))</f>
        <v/>
      </c>
      <c r="E2084">
        <f>INDEX(FactorTable!$B$2:$Y$301, MATCH(ROUND(MIN(300,MAX(1,D2084)),0), FactorTable!$A$2:$A$301,0), Skills!M25+1)</f>
        <v/>
      </c>
      <c r="F2084">
        <f>IF(Skills!N25=TRUE,(Skills!L25/10)*(E2084/1000),Skills!L25/10)+Skills!O25</f>
        <v/>
      </c>
      <c r="G2084">
        <f>Skills!G25*IF(Skills!H25&gt;0,IF(Inputs!$B$39="pvp",MIN(Skills!I25,15),Skills!I25)/Skills!H25,1)</f>
        <v/>
      </c>
      <c r="H2084">
        <f>1-(1-Skills!J25/100)^Skills!K25</f>
        <v/>
      </c>
      <c r="I2084" t="inlineStr">
        <is>
          <t>1</t>
        </is>
      </c>
      <c r="J2084" t="inlineStr"/>
      <c r="K2084" t="inlineStr"/>
      <c r="L2084" t="inlineStr"/>
      <c r="M2084" t="inlineStr"/>
      <c r="N2084" t="inlineStr"/>
      <c r="O2084">
        <f>(1-Summary!$B$11)*T2084+Summary!$B$11*V2084</f>
        <v/>
      </c>
      <c r="P2084">
        <f>IF(B2105=0,0,O2084/B2105)</f>
        <v/>
      </c>
      <c r="Q2084" t="n">
        <v>0</v>
      </c>
      <c r="R2084" t="n">
        <v>0</v>
      </c>
      <c r="S2084">
        <f>IFERROR(O2084/N2084,0)</f>
        <v/>
      </c>
      <c r="T2084" t="n">
        <v>0</v>
      </c>
      <c r="V2084" t="n">
        <v>0</v>
      </c>
    </row>
    <row r="2085">
      <c r="A2085">
        <f>Skills!A26</f>
        <v/>
      </c>
      <c r="B2085">
        <f>Skills!B26</f>
        <v/>
      </c>
      <c r="C2085">
        <f>Inputs!$B$3&gt;=50</f>
        <v/>
      </c>
      <c r="D2085">
        <f>IF(Skills!C26=1,60+Inputs!$B$25+Inputs!$B$29,IF(Skills!C26=2,90+Inputs!$B$26+Inputs!$B$29,IF(Skills!C26=3,120+Inputs!$B$27+Inputs!$B$29,MAX(0,(Inputs!$B$3-100)*3)+Inputs!$B$28+Inputs!$B$29)))</f>
        <v/>
      </c>
      <c r="E2085">
        <f>INDEX(FactorTable!$B$2:$Y$301, MATCH(ROUND(MIN(300,MAX(1,D2085)),0), FactorTable!$A$2:$A$301,0), Skills!M26+1)</f>
        <v/>
      </c>
      <c r="F2085">
        <f>IF(Skills!N26=TRUE,(Skills!L26/10)*(E2085/1000),Skills!L26/10)+Skills!O26</f>
        <v/>
      </c>
      <c r="G2085">
        <f>Skills!G26*IF(Skills!H26&gt;0,IF(Inputs!$B$39="pvp",MIN(Skills!I26,15),Skills!I26)/Skills!H26,1)</f>
        <v/>
      </c>
      <c r="H2085">
        <f>1-(1-Skills!J26/100)^Skills!K26</f>
        <v/>
      </c>
      <c r="I2085" t="inlineStr">
        <is>
          <t>1</t>
        </is>
      </c>
      <c r="J2085" t="inlineStr"/>
      <c r="K2085" t="inlineStr"/>
      <c r="L2085" t="inlineStr"/>
      <c r="M2085" t="inlineStr"/>
      <c r="N2085" t="inlineStr"/>
      <c r="O2085">
        <f>(1-Summary!$B$11)*T2085+Summary!$B$11*V2085</f>
        <v/>
      </c>
      <c r="P2085">
        <f>IF(B2105=0,0,O2085/B2105)</f>
        <v/>
      </c>
      <c r="Q2085" t="n">
        <v>0</v>
      </c>
      <c r="R2085" t="n">
        <v>0</v>
      </c>
      <c r="S2085">
        <f>IFERROR(O2085/N2085,0)</f>
        <v/>
      </c>
      <c r="T2085" t="n">
        <v>0</v>
      </c>
      <c r="V2085" t="n">
        <v>0</v>
      </c>
    </row>
    <row r="2086">
      <c r="A2086">
        <f>Skills!A27</f>
        <v/>
      </c>
      <c r="B2086">
        <f>Skills!B27</f>
        <v/>
      </c>
      <c r="C2086">
        <f>Inputs!$B$3&gt;=50</f>
        <v/>
      </c>
      <c r="D2086">
        <f>IF(Skills!C27=1,60+Inputs!$B$25+Inputs!$B$29,IF(Skills!C27=2,90+Inputs!$B$26+Inputs!$B$29,IF(Skills!C27=3,120+Inputs!$B$27+Inputs!$B$29,MAX(0,(Inputs!$B$3-100)*3)+Inputs!$B$28+Inputs!$B$29)))</f>
        <v/>
      </c>
      <c r="E2086">
        <f>INDEX(FactorTable!$B$2:$Y$301, MATCH(ROUND(MIN(300,MAX(1,D2086)),0), FactorTable!$A$2:$A$301,0), Skills!M27+1)</f>
        <v/>
      </c>
      <c r="F2086">
        <f>IF(Skills!N27=TRUE,(Skills!L27/10)*(E2086/1000),Skills!L27/10)+Skills!O27</f>
        <v/>
      </c>
      <c r="G2086">
        <f>Skills!G27*IF(Skills!H27&gt;0,IF(Inputs!$B$39="pvp",MIN(Skills!I27,15),Skills!I27)/Skills!H27,1)</f>
        <v/>
      </c>
      <c r="H2086">
        <f>1-(1-Skills!J27/100)^Skills!K27</f>
        <v/>
      </c>
      <c r="I2086" t="inlineStr">
        <is>
          <t>1</t>
        </is>
      </c>
      <c r="J2086" t="inlineStr"/>
      <c r="K2086" t="inlineStr"/>
      <c r="L2086" t="inlineStr"/>
      <c r="M2086" t="inlineStr"/>
      <c r="N2086" t="inlineStr"/>
      <c r="O2086">
        <f>(1-Summary!$B$11)*T2086+Summary!$B$11*V2086</f>
        <v/>
      </c>
      <c r="P2086">
        <f>IF(B2105=0,0,O2086/B2105)</f>
        <v/>
      </c>
      <c r="Q2086" t="n">
        <v>0</v>
      </c>
      <c r="R2086" t="n">
        <v>0</v>
      </c>
      <c r="S2086">
        <f>IFERROR(O2086/N2086,0)</f>
        <v/>
      </c>
      <c r="T2086" t="n">
        <v>0</v>
      </c>
      <c r="V2086" t="n">
        <v>0</v>
      </c>
    </row>
    <row r="2087">
      <c r="A2087">
        <f>Skills!A28</f>
        <v/>
      </c>
      <c r="B2087">
        <f>Skills!B28</f>
        <v/>
      </c>
      <c r="C2087">
        <f>Inputs!$B$3&gt;=38</f>
        <v/>
      </c>
      <c r="D2087">
        <f>IF(Skills!C28=1,60+Inputs!$B$25+Inputs!$B$29,IF(Skills!C28=2,90+Inputs!$B$26+Inputs!$B$29,IF(Skills!C28=3,120+Inputs!$B$27+Inputs!$B$29,MAX(0,(Inputs!$B$3-100)*3)+Inputs!$B$28+Inputs!$B$29)))</f>
        <v/>
      </c>
      <c r="E2087">
        <f>INDEX(FactorTable!$B$2:$Y$301, MATCH(ROUND(MIN(300,MAX(1,D2087)),0), FactorTable!$A$2:$A$301,0), Skills!M28+1)</f>
        <v/>
      </c>
      <c r="F2087">
        <f>IF(Skills!N28=TRUE,(Skills!L28/10)*(E2087/1000),Skills!L28/10)+Skills!O28</f>
        <v/>
      </c>
      <c r="G2087">
        <f>Skills!G28*IF(Skills!H28&gt;0,IF(Inputs!$B$39="pvp",MIN(Skills!I28,15),Skills!I28)/Skills!H28,1)</f>
        <v/>
      </c>
      <c r="H2087">
        <f>1-(1-Skills!J28/100)^Skills!K28</f>
        <v/>
      </c>
      <c r="I2087" t="inlineStr">
        <is>
          <t>1</t>
        </is>
      </c>
      <c r="J2087" t="inlineStr"/>
      <c r="K2087" t="inlineStr"/>
      <c r="L2087" t="inlineStr"/>
      <c r="M2087" t="inlineStr"/>
      <c r="N2087" t="inlineStr"/>
      <c r="O2087">
        <f>(1-Summary!$B$11)*T2087+Summary!$B$11*V2087</f>
        <v/>
      </c>
      <c r="P2087">
        <f>IF(B2105=0,0,O2087/B2105)</f>
        <v/>
      </c>
      <c r="Q2087" t="n">
        <v>0</v>
      </c>
      <c r="R2087" t="n">
        <v>0</v>
      </c>
      <c r="S2087">
        <f>IFERROR(O2087/N2087,0)</f>
        <v/>
      </c>
      <c r="T2087" t="n">
        <v>0</v>
      </c>
      <c r="V2087" t="n">
        <v>0</v>
      </c>
    </row>
    <row r="2088">
      <c r="A2088">
        <f>Skills!A29</f>
        <v/>
      </c>
      <c r="B2088">
        <f>Skills!B29</f>
        <v/>
      </c>
      <c r="C2088">
        <f>Inputs!$B$3&gt;=120</f>
        <v/>
      </c>
      <c r="D2088">
        <f>IF(Skills!C29=1,60+Inputs!$B$25+Inputs!$B$29,IF(Skills!C29=2,90+Inputs!$B$26+Inputs!$B$29,IF(Skills!C29=3,120+Inputs!$B$27+Inputs!$B$29,MAX(0,(Inputs!$B$3-100)*3)+Inputs!$B$28+Inputs!$B$29)))</f>
        <v/>
      </c>
      <c r="E2088">
        <f>INDEX(FactorTable!$B$2:$Y$301, MATCH(ROUND(MIN(300,MAX(1,D2088)),0), FactorTable!$A$2:$A$301,0), Skills!M29+1)</f>
        <v/>
      </c>
      <c r="F2088">
        <f>IF(Skills!N29=TRUE,(Skills!L29/10)*(E2088/1000),Skills!L29/10)+Skills!O29</f>
        <v/>
      </c>
      <c r="G2088">
        <f>Skills!G29*IF(Skills!H29&gt;0,IF(Inputs!$B$39="pvp",MIN(Skills!I29,15),Skills!I29)/Skills!H29,1)</f>
        <v/>
      </c>
      <c r="H2088">
        <f>1-(1-Skills!J29/100)^Skills!K29</f>
        <v/>
      </c>
      <c r="I2088" t="inlineStr">
        <is>
          <t>1</t>
        </is>
      </c>
      <c r="J2088" t="inlineStr"/>
      <c r="K2088" t="inlineStr"/>
      <c r="L2088" t="inlineStr"/>
      <c r="M2088" t="inlineStr"/>
      <c r="N2088" t="inlineStr"/>
      <c r="O2088">
        <f>(1-Summary!$B$11)*T2088+Summary!$B$11*V2088</f>
        <v/>
      </c>
      <c r="P2088">
        <f>IF(B2105=0,0,O2088/B2105)</f>
        <v/>
      </c>
      <c r="Q2088" t="n">
        <v>0</v>
      </c>
      <c r="R2088" t="n">
        <v>0</v>
      </c>
      <c r="S2088">
        <f>IFERROR(O2088/N2088,0)</f>
        <v/>
      </c>
      <c r="T2088" t="n">
        <v>0</v>
      </c>
      <c r="V2088" t="n">
        <v>0</v>
      </c>
    </row>
    <row r="2089">
      <c r="A2089">
        <f>Skills!A30</f>
        <v/>
      </c>
      <c r="B2089">
        <f>Skills!B30</f>
        <v/>
      </c>
      <c r="C2089">
        <f>Inputs!$B$3&gt;=120</f>
        <v/>
      </c>
      <c r="D2089">
        <f>IF(Skills!C30=1,60+Inputs!$B$25+Inputs!$B$29,IF(Skills!C30=2,90+Inputs!$B$26+Inputs!$B$29,IF(Skills!C30=3,120+Inputs!$B$27+Inputs!$B$29,MAX(0,(Inputs!$B$3-100)*3)+Inputs!$B$28+Inputs!$B$29)))</f>
        <v/>
      </c>
      <c r="E2089">
        <f>INDEX(FactorTable!$B$2:$Y$301, MATCH(ROUND(MIN(300,MAX(1,D2089)),0), FactorTable!$A$2:$A$301,0), Skills!M30+1)</f>
        <v/>
      </c>
      <c r="F2089">
        <f>IF(Skills!N30=TRUE,(Skills!L30/10)*(E2089/1000),Skills!L30/10)+Skills!O30</f>
        <v/>
      </c>
      <c r="G2089">
        <f>Skills!G30*IF(Skills!H30&gt;0,IF(Inputs!$B$39="pvp",MIN(Skills!I30,15),Skills!I30)/Skills!H30,1)</f>
        <v/>
      </c>
      <c r="H2089">
        <f>1-(1-Skills!J30/100)^Skills!K30</f>
        <v/>
      </c>
      <c r="I2089" t="inlineStr">
        <is>
          <t>1</t>
        </is>
      </c>
      <c r="J2089" t="inlineStr"/>
      <c r="K2089" t="inlineStr"/>
      <c r="L2089" t="inlineStr"/>
      <c r="M2089" t="inlineStr"/>
      <c r="N2089" t="inlineStr"/>
      <c r="O2089">
        <f>(1-Summary!$B$11)*T2089+Summary!$B$11*V2089</f>
        <v/>
      </c>
      <c r="P2089">
        <f>IF(B2105=0,0,O2089/B2105)</f>
        <v/>
      </c>
      <c r="Q2089" t="n">
        <v>0</v>
      </c>
      <c r="R2089" t="n">
        <v>0</v>
      </c>
      <c r="S2089">
        <f>IFERROR(O2089/N2089,0)</f>
        <v/>
      </c>
      <c r="T2089" t="n">
        <v>0</v>
      </c>
      <c r="V2089" t="n">
        <v>0</v>
      </c>
    </row>
    <row r="2090">
      <c r="A2090">
        <f>Skills!A31</f>
        <v/>
      </c>
      <c r="B2090">
        <f>Skills!B31</f>
        <v/>
      </c>
      <c r="C2090">
        <f>Inputs!$B$3&gt;=125</f>
        <v/>
      </c>
      <c r="D2090">
        <f>IF(Skills!C31=1,60+Inputs!$B$25+Inputs!$B$29,IF(Skills!C31=2,90+Inputs!$B$26+Inputs!$B$29,IF(Skills!C31=3,120+Inputs!$B$27+Inputs!$B$29,MAX(0,(Inputs!$B$3-100)*3)+Inputs!$B$28+Inputs!$B$29)))</f>
        <v/>
      </c>
      <c r="E2090">
        <f>INDEX(FactorTable!$B$2:$Y$301, MATCH(ROUND(MIN(300,MAX(1,D2090)),0), FactorTable!$A$2:$A$301,0), Skills!M31+1)</f>
        <v/>
      </c>
      <c r="F2090">
        <f>IF(Skills!N31=TRUE,(Skills!L31/10)*(E2090/1000),Skills!L31/10)+Skills!O31</f>
        <v/>
      </c>
      <c r="G2090">
        <f>Skills!G31*IF(Skills!H31&gt;0,IF(Inputs!$B$39="pvp",MIN(Skills!I31,15),Skills!I31)/Skills!H31,1)</f>
        <v/>
      </c>
      <c r="H2090">
        <f>1-(1-Skills!J31/100)^Skills!K31</f>
        <v/>
      </c>
      <c r="I2090" t="inlineStr">
        <is>
          <t>1</t>
        </is>
      </c>
      <c r="J2090" t="inlineStr"/>
      <c r="K2090" t="inlineStr"/>
      <c r="L2090" t="inlineStr"/>
      <c r="M2090" t="inlineStr"/>
      <c r="N2090" t="inlineStr"/>
      <c r="O2090">
        <f>(1-Summary!$B$11)*T2090+Summary!$B$11*V2090</f>
        <v/>
      </c>
      <c r="P2090">
        <f>IF(B2105=0,0,O2090/B2105)</f>
        <v/>
      </c>
      <c r="Q2090" t="n">
        <v>0</v>
      </c>
      <c r="R2090" t="n">
        <v>0</v>
      </c>
      <c r="S2090">
        <f>IFERROR(O2090/N2090,0)</f>
        <v/>
      </c>
      <c r="T2090" t="n">
        <v>0</v>
      </c>
      <c r="V2090" t="n">
        <v>0</v>
      </c>
    </row>
    <row r="2092">
      <c r="A2092" t="inlineStr">
        <is>
          <t>Average Buff Multiplier</t>
        </is>
      </c>
      <c r="B2092">
        <f>(1+(((C2081=TRUE)*F2081*IF(AND(Inputs!$B$39&lt;&gt;"pvp",Inputs!$B$44&gt;0),(((R2081-1)*MIN((Skills!Y22*(1+Inputs!$B$34/100)),(1/Q2081))+MIN((Skills!Y22*(1+Inputs!$B$34/100)),MAX(0,Inputs!$B$44-((R2081-1)*(1/Q2081)))))/Inputs!$B$44),IF(Inputs!$B$39="pvp",MIN((Skills!Y22*(1+Inputs!$B$34/100)),15)/15,MIN(1,(Skills!Y22*(1+Inputs!$B$34/100))/(1/Q2081)))))+((C2062=TRUE)*F2062*3)+((C2064=TRUE)*F2064*(1-EXP(-0.75*B2097*5)))+((C2083=TRUE)*(F2083-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2070=TRUE)*F2070*IF(AND(Inputs!$B$39&lt;&gt;"pvp",Inputs!$B$44&gt;0),(((R2070-1)*MIN((Skills!Y11*(1+Inputs!$B$34/100)),(1/Q2070))+MIN((Skills!Y11*(1+Inputs!$B$34/100)),MAX(0,Inputs!$B$44-((R2070-1)*(1/Q2070)))))/Inputs!$B$44),IF(Inputs!$B$39="pvp",MIN((Skills!Y11*(1+Inputs!$B$34/100)),15)/15,MIN(1,(Skills!Y11*(1+Inputs!$B$34/100))/(1/Q2070)))))/100)*(1+((C2075=TRUE)*F2075*IF(AND(Inputs!$B$39&lt;&gt;"pvp",Inputs!$B$44&gt;0),(((R2075-1)*MIN((Skills!Y16*(1+Inputs!$B$34/100)),(1/Q2075))+MIN((Skills!Y16*(1+Inputs!$B$34/100)),MAX(0,Inputs!$B$44-((R2075-1)*(1/Q2075)))))/Inputs!$B$44),IF(Inputs!$B$39="pvp",MIN((Skills!Y16*(1+Inputs!$B$34/100)),15)/15,MIN(1,(Skills!Y16*(1+Inputs!$B$34/100))/(1/Q2075)))))/100)</f>
        <v/>
      </c>
    </row>
    <row r="2093">
      <c r="A2093" t="inlineStr">
        <is>
          <t>Global Crit Rate Bonus %</t>
        </is>
      </c>
      <c r="B2093">
        <f>((C2080=TRUE)*F2080*IF(AND(Inputs!$B$39&lt;&gt;"pvp",Inputs!$B$44&gt;0),(((R2080-1)*MIN((Skills!Y21*(1+Inputs!$B$34/100)),(1/Q2080))+MIN((Skills!Y21*(1+Inputs!$B$34/100)),MAX(0,Inputs!$B$44-((R2080-1)*(1/Q2080)))))/Inputs!$B$44),IF(Inputs!$B$39="pvp",MIN((Skills!Y21*(1+Inputs!$B$34/100)),15)/15,MIN(1,(Skills!Y21*(1+Inputs!$B$34/100))/(1/Q2080)))))</f>
        <v/>
      </c>
    </row>
    <row r="2094">
      <c r="A2094" t="inlineStr">
        <is>
          <t>Global Monster Damage-Taken Bonus %</t>
        </is>
      </c>
      <c r="B2094">
        <f>IF(Inputs!$B$3&gt;=82,15,0)</f>
        <v/>
      </c>
    </row>
    <row r="2095">
      <c r="A2095" t="inlineStr">
        <is>
          <t>Shadow Partner Average Multiplier</t>
        </is>
      </c>
      <c r="B2095">
        <f>1+((C2067=TRUE)*F2067*(1+3.3333333333333335*IF(C2078=TRUE,F2078,0)/100)*I2067*Skills!J8/100)/100</f>
        <v/>
      </c>
    </row>
    <row r="2096">
      <c r="A2096" t="inlineStr">
        <is>
          <t>Attack Speed Buff Bonus %</t>
        </is>
      </c>
      <c r="B2096">
        <f>((C2079=TRUE)*F2079*IF(AND(Inputs!$B$39&lt;&gt;"pvp",Inputs!$B$44&gt;0),(((R2079-1)*MIN((Skills!Y20*(1+Inputs!$B$34/100)),(1/Q2079))+MIN((Skills!Y20*(1+Inputs!$B$34/100)),MAX(0,Inputs!$B$44-((R2079-1)*(1/Q2079)))))/Inputs!$B$44),IF(Inputs!$B$39="pvp",MIN((Skills!Y20*(1+Inputs!$B$34/100)),15)/15,MIN(1,(Skills!Y20*(1+Inputs!$B$34/100))/(1/Q2079)))))</f>
        <v/>
      </c>
    </row>
    <row r="2097">
      <c r="A2097" t="inlineStr">
        <is>
          <t>Actions Per Second</t>
        </is>
      </c>
      <c r="B2097">
        <f>1+MIN(150,150*(1-(1-(Inputs!$B$11+((C2082=TRUE)*(F2082-Calc!F23)))/150)*(1-B2096/150)))/100</f>
        <v/>
      </c>
    </row>
    <row r="2098">
      <c r="A2098" t="inlineStr">
        <is>
          <t>Skill + Buff Cast Rate</t>
        </is>
      </c>
      <c r="B2098">
        <f>IF(AND(Inputs!$B$39&lt;&gt;"pvp",Inputs!$B$44&gt;0),SUMPRODUCT((Skills!E2:E31=TRUE)*(C2061:C2090=TRUE)*R2061:R2090*Skills!F2:F31)/Inputs!$B$44,SUMPRODUCT((Skills!E2:E31=TRUE)*(C2061:C2090=TRUE)*Q2061:Q2090*Skills!F2:F31))</f>
        <v/>
      </c>
    </row>
    <row r="2099">
      <c r="A2099" t="inlineStr">
        <is>
          <t>Cruel Stab Casts Per Second</t>
        </is>
      </c>
      <c r="B2099">
        <f>MAX(0,B2097-B2098)</f>
        <v/>
      </c>
    </row>
    <row r="2100">
      <c r="A2100" t="inlineStr">
        <is>
          <t>Global Critical Damage Bonus % (Smokescreen Mastery Lv.113)</t>
        </is>
      </c>
      <c r="B2100">
        <f>IF(Inputs!$B$3&gt;=113,30,0)*IF(AND(Inputs!$B$39&lt;&gt;"pvp",Inputs!$B$44&gt;0),(((R2075-1)*MIN((Skills!Y16*(1+Inputs!$B$34/100)),(1/Q2075))+MIN((Skills!Y16*(1+Inputs!$B$34/100)),MAX(0,Inputs!$B$44-((R2075-1)*(1/Q2075)))))/Inputs!$B$44),IF(Inputs!$B$39="pvp",MIN((Skills!Y16*(1+Inputs!$B$34/100)),15)/15,MIN(1,(Skills!Y16*(1+Inputs!$B$34/100))/(1/Q2075))))</f>
        <v/>
      </c>
    </row>
    <row r="2101">
      <c r="A2101" t="inlineStr">
        <is>
          <t>Meso Explosion average stack count</t>
        </is>
      </c>
      <c r="B2101">
        <f>MIN(10,IF(Inputs!$B$3&gt;=75,0.75,0.5)*B2097*(1/Q2063))</f>
        <v/>
      </c>
    </row>
    <row r="2102">
      <c r="A2102" t="inlineStr">
        <is>
          <t>Blood Money average stack count</t>
        </is>
      </c>
      <c r="B2102">
        <f>MIN(5,0.5*IF(Inputs!$B$3&gt;=75,0.75,0.5)*B2097*(1/Q2063))</f>
        <v/>
      </c>
    </row>
    <row r="2103">
      <c r="A2103" t="inlineStr">
        <is>
          <t>Assassinate Murderous Intent Multiplier</t>
        </is>
      </c>
      <c r="B2103">
        <f>1+IFERROR(MIN(1,Q2074*2/Q2071),0)</f>
        <v/>
      </c>
    </row>
    <row r="2104">
      <c r="A2104" t="inlineStr">
        <is>
          <t>Buff-Casting Startup Delay (s, fixed-duration only)</t>
        </is>
      </c>
      <c r="B2104">
        <f>IF(AND(Inputs!$B$39&lt;&gt;"pvp",Inputs!$B$44&gt;0),SUMPRODUCT((Skills!Y2:Y31&gt;0)*(Skills!E2:E31=TRUE)*(C2061:C2090=TRUE))/B2097,0)</f>
        <v/>
      </c>
    </row>
    <row r="2105">
      <c r="A2105" s="6" t="inlineStr">
        <is>
          <t>TOTAL DPS</t>
        </is>
      </c>
      <c r="B2105" s="6">
        <f>SUM(O2061:O2090)</f>
        <v/>
      </c>
    </row>
    <row r="2106">
      <c r="A2106" t="inlineStr">
        <is>
          <t>Boss-Only Total DPS (this block's swept value)</t>
        </is>
      </c>
      <c r="B2106">
        <f>SUM(T2061:T2090)</f>
        <v/>
      </c>
    </row>
    <row r="2107">
      <c r="A2107" t="inlineStr">
        <is>
          <t>Normal-Only Total DPS (this block's swept value)</t>
        </is>
      </c>
      <c r="B2107">
        <f>SUM(V2061:V2090)</f>
        <v/>
      </c>
    </row>
    <row r="2110">
      <c r="A2110" s="6" t="inlineStr">
        <is>
          <t>Stat: Chalice (Equip)</t>
        </is>
      </c>
    </row>
    <row r="2111">
      <c r="A2111" s="5" t="inlineStr">
        <is>
          <t>Key</t>
        </is>
      </c>
      <c r="B2111" s="5" t="inlineStr">
        <is>
          <t>Name</t>
        </is>
      </c>
      <c r="C2111" s="5" t="inlineStr">
        <is>
          <t>Unlocked</t>
        </is>
      </c>
      <c r="D2111" s="5" t="inlineStr">
        <is>
          <t>InputLevel</t>
        </is>
      </c>
      <c r="E2111" s="5" t="inlineStr">
        <is>
          <t>Factor</t>
        </is>
      </c>
      <c r="F2111" s="5" t="inlineStr">
        <is>
          <t>CoefficientPercent</t>
        </is>
      </c>
      <c r="G2111" s="5" t="inlineStr">
        <is>
          <t>EffectiveHits</t>
        </is>
      </c>
      <c r="H2111" s="5" t="inlineStr">
        <is>
          <t>ProcProbability</t>
        </is>
      </c>
      <c r="I2111" s="5" t="inlineStr">
        <is>
          <t>MapleHeroMultiplier</t>
        </is>
      </c>
      <c r="J2111" s="5" t="inlineStr">
        <is>
          <t>BaseDamage</t>
        </is>
      </c>
      <c r="K2111" s="5" t="inlineStr">
        <is>
          <t>BaseHitDamage</t>
        </is>
      </c>
      <c r="L2111" s="5" t="inlineStr">
        <is>
          <t>NonCritAvg</t>
        </is>
      </c>
      <c r="M2111" s="5" t="inlineStr">
        <is>
          <t>CritAvg</t>
        </is>
      </c>
      <c r="N2111" s="5" t="inlineStr">
        <is>
          <t>ExpectedDamage(perHit)</t>
        </is>
      </c>
      <c r="O2111" s="5" t="inlineStr">
        <is>
          <t>DPS</t>
        </is>
      </c>
      <c r="P2111" s="5" t="inlineStr">
        <is>
          <t>% of Total</t>
        </is>
      </c>
      <c r="Q2111" s="5" t="inlineStr">
        <is>
          <t>InvCooldown</t>
        </is>
      </c>
      <c r="R2111" s="5" t="inlineStr">
        <is>
          <t>CastsInFight</t>
        </is>
      </c>
      <c r="S2111" s="5" t="inlineStr">
        <is>
          <t>HitRate(perSec)</t>
        </is>
      </c>
      <c r="U2111" t="inlineStr">
        <is>
          <t>helpers</t>
        </is>
      </c>
    </row>
    <row r="2112">
      <c r="A2112">
        <f>Skills!A2</f>
        <v/>
      </c>
      <c r="B2112">
        <f>Skills!B2</f>
        <v/>
      </c>
      <c r="C2112">
        <f>Inputs!$B$3&gt;=100</f>
        <v/>
      </c>
      <c r="D2112" t="inlineStr"/>
      <c r="E2112" t="inlineStr"/>
      <c r="F2112">
        <f>U2114+Skills!O2</f>
        <v/>
      </c>
      <c r="G2112">
        <f>Skills!G2*IF(Skills!H2&gt;0,IF(Inputs!$B$39="pvp",MIN(Skills!I2,15),Skills!I2)/Skills!H2,1)</f>
        <v/>
      </c>
      <c r="H2112">
        <f>1-(1-Skills!J2/100)^Skills!K2</f>
        <v/>
      </c>
      <c r="I2112" t="inlineStr">
        <is>
          <t>1</t>
        </is>
      </c>
      <c r="J2112">
        <f>((Inputs!$B$6*(1+Inputs!$B$7/100))+(((Inputs!$B$12*(1+Inputs!$B$13/100))-(Inputs!$B$12*(1+Inputs!$B$13/100)))+0.25*(Inputs!$B$14-Inputs!$B$14))*(1+Inputs!$B$7/100))*(F2112/100)</f>
        <v/>
      </c>
      <c r="K2112">
        <f>J2112*(1+((Inputs!$B$12*(1+Inputs!$B$13/100))*0.01+Inputs!$B$14*0.0025)/100)*(1+Inputs!$B$15/100)*(1+Inputs!$B$16/100)*(5000/(6000+Inputs!$B$43*(1-(100*(1-(1-Inputs!$B$19/100)*(1-CHOOSE(ArtifactsInput!$N$40+1,5,6,7,8,9,10)/100)^(ArtifactsInput!$M$40-ArtifactsInput!$M$40)))/100)))*(1+(Inputs!$B$24+((C2141=TRUE)*(F2141-Calc!F31))+((C2128=TRUE)*(F2128-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CRUEL_STAB",Inputs!$B$17+((C2138=TRUE)*(F2138-Calc!F28))+((IF(AND(Inputs!$B$39&lt;&gt;"pvp",Inputs!$B$44=0),1,IF(IF(Inputs!$B$39="pvp",15,Inputs!$B$44)-(B2155)&lt;=0,1,MAX(0,IF(Inputs!$B$39="pvp",15,Inputs!$B$44)-MAX(5,B2155))/(IF(Inputs!$B$39="pvp",15,Inputs!$B$44)-(B2155))))*(IF(AND(ArtifactsInput!$M$42,((Inputs!$B$9+((C2136=TRUE)*(F2136-Calc!F26))+B2144+(ArtifactsInput!$M$24-ArtifactsInput!$M$24)*CHOOSE(ArtifactsInput!$N$24+1,10,12,14,16,18,20)+IF(ArtifactsInput!$M$10,CHOOSE(ArtifactsInput!$N$10+1,15,18,21,24,27,30)*(IF(Inputs!$B$39="pvp",MIN(15,15)/15,IF(AND(Inputs!$B$39&lt;&gt;"pvp",Inputs!$B$44&gt;0),MIN(15,Inputs!$B$44)/(Inputs!$B$44),0))),0)))&gt;=100),MIN(100,((Inputs!$B$9+((C2136=TRUE)*(F2136-Calc!F26))+B2144+(ArtifactsInput!$M$24-ArtifactsInput!$M$24)*CHOOSE(ArtifactsInput!$N$24+1,10,12,14,16,18,20)+IF(ArtifactsInput!$M$10,CHOOSE(ArtifactsInput!$N$10+1,15,18,21,24,27,30)*(IF(Inputs!$B$39="pvp",MIN(15,15)/15,IF(AND(Inputs!$B$39&lt;&gt;"pvp",Inputs!$B$44&gt;0),MIN(15,Inputs!$B$44)/(Inputs!$B$44),0))),0)))-100),0))*CHOOSE(ArtifactsInput!$N$42+1,0.6,0.72,0.84,0.96,1.08,1.2))),Inputs!$B$18+((C2139=TRUE)*(F2139-Calc!F29))+(IF(AND(Inputs!$B$39&lt;&gt;"pvp",Inputs!$B$44=0),1,IF(IF(Inputs!$B$39="pvp",15,Inputs!$B$44)-(B2155)&lt;=0,1,MAX(0,IF(Inputs!$B$39="pvp",15,Inputs!$B$44)-MAX(5,B2155))/(IF(Inputs!$B$39="pvp",15,Inputs!$B$44)-(B2155))))*IF(AND(ArtifactsInput!$M$42,((Inputs!$B$9+((C2136=TRUE)*(F2136-Calc!F26))+B2144+(ArtifactsInput!$M$24-ArtifactsInput!$M$24)*CHOOSE(ArtifactsInput!$N$24+1,10,12,14,16,18,20)+IF(ArtifactsInput!$M$10,CHOOSE(ArtifactsInput!$N$10+1,15,18,21,24,27,30)*(IF(Inputs!$B$39="pvp",MIN(15,15)/15,IF(AND(Inputs!$B$39&lt;&gt;"pvp",Inputs!$B$44&gt;0),MIN(15,Inputs!$B$44)/(Inputs!$B$44),0))),0)))&gt;=100),CHOOSE(ArtifactsInput!$N$42+1,40,48,56,64,72,80),0))))/100)*(((1+(((C2132=TRUE)*F2132*IF(AND(Inputs!$B$39&lt;&gt;"pvp",Inputs!$B$44&gt;0),(((R2132-1)*MIN((Skills!Y22*(1+Inputs!$B$34/100)),(1/Q2132))+MIN((Skills!Y22*(1+Inputs!$B$34/100)),MAX(0,Inputs!$B$44-((R2132-1)*(1/Q2132)))))/Inputs!$B$44),IF(Inputs!$B$39="pvp",MIN((Skills!Y22*(1+Inputs!$B$34/100)),15)/15,MIN(1,(Skills!Y22*(1+Inputs!$B$34/100))/(1/Q2132)))))+((C2113=TRUE)*F2113*3)+((C2115=TRUE)*F2115*(1-EXP(-0.75*B2148*5)))+((C2134=TRUE)*(F2134-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2121=TRUE)*F2121*IF(AND(Inputs!$B$39&lt;&gt;"pvp",Inputs!$B$44&gt;0),(((R2121-1)*MIN((Skills!Y11*(1+Inputs!$B$34/100)),(1/Q2121))+MIN((Skills!Y11*(1+Inputs!$B$34/100)),MAX(0,Inputs!$B$44-((R2121-1)*(1/Q2121)))))/Inputs!$B$44),IF(Inputs!$B$39="pvp",MIN((Skills!Y11*(1+Inputs!$B$34/100)),15)/15,MIN(1,(Skills!Y11*(1+Inputs!$B$34/100))/(1/Q2121)))))/100)*(1+((C2126=TRUE)*F2126*IF(AND(Inputs!$B$39&lt;&gt;"pvp",Inputs!$B$44&gt;0),(((R2126-1)*MIN((Skills!Y16*(1+Inputs!$B$34/100)),(1/Q2126))+MIN((Skills!Y16*(1+Inputs!$B$34/100)),MAX(0,Inputs!$B$44-((R2126-1)*(1/Q2126)))))/Inputs!$B$44),IF(Inputs!$B$39="pvp",MIN((Skills!Y16*(1+Inputs!$B$34/100)),15)/15,MIN(1,(Skills!Y16*(1+Inputs!$B$34/100))/(1/Q2126)))))/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2146*I2112)</f>
        <v/>
      </c>
      <c r="L2112">
        <f>K2112*(MIN(Inputs!$B$22+((C2135=TRUE)*(F2135-Calc!F25)),(Inputs!$B$23+((C2140=TRUE)*(F2140-Calc!F30))+IF(ArtifactsInput!$M$15,CHOOSE(ArtifactsInput!$N$15+1,25,30,35,40,45,50)/100*(Inputs!$B$11-Inputs!$B$11),0)))/100+(Inputs!$B$23+((C2140=TRUE)*(F2140-Calc!F30))+IF(ArtifactsInput!$M$15,CHOOSE(ArtifactsInput!$N$15+1,25,30,35,40,45,50)/100*(Inputs!$B$11-Inputs!$B$11),0))/100)/2</f>
        <v/>
      </c>
      <c r="M2112">
        <f>L2112*(1+(Inputs!$B$10+((C2137=TRUE)*(F2137-Calc!F27))+B2151+(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2112">
        <f>L2112*(1-MIN((Inputs!$B$9+((C2136=TRUE)*(F2136-Calc!F26))+B2144+(ArtifactsInput!$M$24-ArtifactsInput!$M$24)*CHOOSE(ArtifactsInput!$N$24+1,10,12,14,16,18,20)+(IF(AND(Inputs!$B$39&lt;&gt;"pvp",Inputs!$B$44=0),1,IF(IF(Inputs!$B$39="pvp",15,Inputs!$B$44)-(B2155)&lt;=0,1,MAX(0,IF(Inputs!$B$39="pvp",15,Inputs!$B$44)-MAX(5,B2155))/(IF(Inputs!$B$39="pvp",15,Inputs!$B$44)-(B2155))))*IF(AND(ArtifactsInput!$M$42,((Inputs!$B$9+((C2136=TRUE)*(F2136-Calc!F26))+B2144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2112*(MIN((Inputs!$B$9+((C2136=TRUE)*(F2136-Calc!F26))+B2144+(ArtifactsInput!$M$24-ArtifactsInput!$M$24)*CHOOSE(ArtifactsInput!$N$24+1,10,12,14,16,18,20)+(IF(AND(Inputs!$B$39&lt;&gt;"pvp",Inputs!$B$44=0),1,IF(IF(Inputs!$B$39="pvp",15,Inputs!$B$44)-(B2155)&lt;=0,1,MAX(0,IF(Inputs!$B$39="pvp",15,Inputs!$B$44)-MAX(5,B2155))/(IF(Inputs!$B$39="pvp",15,Inputs!$B$44)-(B2155))))*IF(AND(ArtifactsInput!$M$42,((Inputs!$B$9+((C2136=TRUE)*(F2136-Calc!F26))+B2144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112">
        <f>(1-Summary!$B$11)*T2112+Summary!$B$11*V2112</f>
        <v/>
      </c>
      <c r="P2112">
        <f>IF(B2156=0,0,O2112/B2156)</f>
        <v/>
      </c>
      <c r="Q2112" t="n">
        <v>0</v>
      </c>
      <c r="R2112" t="n">
        <v>0</v>
      </c>
      <c r="S2112">
        <f>IFERROR(O2112/N2112,0)</f>
        <v/>
      </c>
      <c r="T2112">
        <f>IF(C2112,(Skills!G2*N2112*B2150)*IF(Inputs!$B$39="pvp",1,1+(Inputs!$B$20+0+Skills!P2+B2145+(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Hunt"),CHOOSE(ArtifactsInput!$N$35+1,15,18,21,24,27,30)*(1-EXP(-(0.2*B2148)*5)),0)+IF(AND(ArtifactsInput!$M$22,Inputs!$B$4&lt;&gt;"Chapter Hunt"),CHOOSE(ArtifactsInput!$N$22+1,10,12,14,16,18,20)*((0*(((0.15*B2148*5))^0/1)+1*(((0.15*B2148*5))^1/1)+2*(((0.15*B2148*5))^2/2)+3*(((0.15*B2148*5))^3/6)+4*(((0.15*B2148*5))^4/24)+5*(((0.15*B2148*5))^5/120))/((((0.15*B2148*5))^0/1)+(((0.15*B2148*5))^1/1)+(((0.15*B2148*5))^2/2)+(((0.15*B2148*5))^3/6)+(((0.15*B2148*5))^4/24)+(((0.15*B2148*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2112*(1-MIN(100,(Inputs!$B$9+((C2136=TRUE)*(F2136-Calc!F26))+B2144+(ArtifactsInput!$M$24-ArtifactsInput!$M$24)*CHOOSE(ArtifactsInput!$N$24+1,10,12,14,16,18,20)+(IF(AND(Inputs!$B$39&lt;&gt;"pvp",Inputs!$B$44=0),1,IF(IF(Inputs!$B$39="pvp",15,Inputs!$B$44)-(B2155)&lt;=0,1,MAX(0,IF(Inputs!$B$39="pvp",15,Inputs!$B$44)-MAX(5,B2155))/(IF(Inputs!$B$39="pvp",15,Inputs!$B$44)-(B2155))))*IF(AND(ArtifactsInput!$M$42,((Inputs!$B$9+((C2136=TRUE)*(F2136-Calc!F26))+B2144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2112*(MIN(100,(Inputs!$B$9+((C2136=TRUE)*(F2136-Calc!F26))+B2144+(ArtifactsInput!$M$24-ArtifactsInput!$M$24)*CHOOSE(ArtifactsInput!$N$24+1,10,12,14,16,18,20)+(IF(AND(Inputs!$B$39&lt;&gt;"pvp",Inputs!$B$44=0),1,IF(IF(Inputs!$B$39="pvp",15,Inputs!$B$44)-(B2155)&lt;=0,1,MAX(0,IF(Inputs!$B$39="pvp",15,Inputs!$B$44)-MAX(5,B2155))/(IF(Inputs!$B$39="pvp",15,Inputs!$B$44)-(B2155))))*IF(AND(ArtifactsInput!$M$42,((Inputs!$B$9+((C2136=TRUE)*(F2136-Calc!F26))+B2144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2112*(1-MIN(100,(Inputs!$B$9+((C2136=TRUE)*(F2136-Calc!F26))+B2144+(ArtifactsInput!$M$24-ArtifactsInput!$M$24)*CHOOSE(ArtifactsInput!$N$24+1,10,12,14,16,18,20)+(IF(AND(Inputs!$B$39&lt;&gt;"pvp",Inputs!$B$44=0),1,IF(IF(Inputs!$B$39="pvp",15,Inputs!$B$44)-(B2155)&lt;=0,1,MAX(0,IF(Inputs!$B$39="pvp",15,Inputs!$B$44)-MAX(5,B2155))/(IF(Inputs!$B$39="pvp",15,Inputs!$B$44)-(B2155))))*IF(AND(ArtifactsInput!$M$42,((Inputs!$B$9+((C2136=TRUE)*(F2136-Calc!F26))+B2144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2112*(MIN(100,(Inputs!$B$9+((C2136=TRUE)*(F2136-Calc!F26))+B2144+(ArtifactsInput!$M$24-ArtifactsInput!$M$24)*CHOOSE(ArtifactsInput!$N$24+1,10,12,14,16,18,20)+(IF(AND(Inputs!$B$39&lt;&gt;"pvp",Inputs!$B$44=0),1,IF(IF(Inputs!$B$39="pvp",15,Inputs!$B$44)-(B2155)&lt;=0,1,MAX(0,IF(Inputs!$B$39="pvp",15,Inputs!$B$44)-MAX(5,B2155))/(IF(Inputs!$B$39="pvp",15,Inputs!$B$44)-(B2155))))*IF(AND(ArtifactsInput!$M$42,((Inputs!$B$9+((C2136=TRUE)*(F2136-Calc!F26))+B2144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IF(ArtifactsInput!$M$20,FALSE,TRUE),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2112">
        <f>MAX(0,(Inputs!$B$3-100)*3)+Inputs!$B$28+Inputs!$B$29</f>
        <v/>
      </c>
      <c r="V2112">
        <f>IF(C2112,(Skills!G2*N2112*B2150)*IF(Inputs!$B$39="pvp",1,(1+(Inputs!$B$21+Skills!Q2+B2145+(IF(ArtifactsInput!$M$33,CHOOSE(ArtifactsInput!$N$33+1,30,36,42,48,54,60),0))+(IF(AND(ArtifactsInput!$M$35,Inputs!$B$4&lt;&gt;"Chapter Hunt"),CHOOSE(ArtifactsInput!$N$35+1,15,18,21,24,27,30)*(1-EXP(-(0.2*B2148)*5)),0)+IF(AND(ArtifactsInput!$M$22,Inputs!$B$4&lt;&gt;"Chapter Hunt"),CHOOSE(ArtifactsInput!$N$22+1,10,12,14,16,18,20)*((0*(((0.15*B2148*5))^0/1)+1*(((0.15*B2148*5))^1/1)+2*(((0.15*B2148*5))^2/2)+3*(((0.15*B2148*5))^3/6)+4*(((0.15*B2148*5))^4/24)+5*(((0.15*B2148*5))^5/120))/((((0.15*B2148*5))^0/1)+(((0.15*B2148*5))^1/1)+(((0.15*B2148*5))^2/2)+(((0.15*B2148*5))^3/6)+(((0.15*B2148*5))^4/24)+(((0.15*B2148*5))^5/120))),0)))/100)*(MIN((6+Inputs!$B$33),Inputs!$B$37)))*((1+(IF(AND(ArtifactsInput!$M$41,Inputs!$B$39&lt;&gt;"pvp"),CHOOSE(ArtifactsInput!$N$41+1,5,6,7,8,9,10)*IF(OR(Inputs!$B$4="Weapon Dungeon",Inputs!$B$4="Equipment Dungeon",Inputs!$B$4="Enhancement Dungeon",Inputs!$B$4="EXP Dungeon",Inputs!$B$4="Hero Dungeon"),3,1),0)+IF(ArtifactsInput!$M$26,10*CHOOSE(ArtifactsInput!$N$26+1,1,1.2,1.4,1.6,1.8,2),0)+IF(AND(IF(ArtifactsInput!$M$20,FALSE,TRUE),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113">
      <c r="A2113">
        <f>Skills!A3</f>
        <v/>
      </c>
      <c r="B2113">
        <f>Skills!B3</f>
        <v/>
      </c>
      <c r="C2113">
        <f>Inputs!$B$3&gt;=35</f>
        <v/>
      </c>
      <c r="D2113">
        <f>IF(Skills!C3=1,60+Inputs!$B$25+Inputs!$B$29,IF(Skills!C3=2,90+Inputs!$B$26+Inputs!$B$29,IF(Skills!C3=3,120+Inputs!$B$27+Inputs!$B$29,MAX(0,(Inputs!$B$3-100)*3)+Inputs!$B$28+Inputs!$B$29)))</f>
        <v/>
      </c>
      <c r="E2113">
        <f>INDEX(FactorTable!$B$2:$Y$301, MATCH(ROUND(MIN(300,MAX(1,D2113)),0), FactorTable!$A$2:$A$301,0), Skills!M3+1)</f>
        <v/>
      </c>
      <c r="F2113">
        <f>IF(Skills!N3=TRUE,(Skills!L3/10)*(E2113/1000),Skills!L3/10)+Skills!O3</f>
        <v/>
      </c>
      <c r="G2113">
        <f>Skills!G3*IF(Skills!H3&gt;0,IF(Inputs!$B$39="pvp",MIN(Skills!I3,15),Skills!I3)/Skills!H3,1)</f>
        <v/>
      </c>
      <c r="H2113">
        <f>1-(1-Skills!J3/100)^Skills!K3</f>
        <v/>
      </c>
      <c r="I2113" t="inlineStr">
        <is>
          <t>1</t>
        </is>
      </c>
      <c r="J2113" t="inlineStr"/>
      <c r="K2113" t="inlineStr"/>
      <c r="L2113" t="inlineStr"/>
      <c r="M2113" t="inlineStr"/>
      <c r="N2113" t="inlineStr"/>
      <c r="O2113">
        <f>(1-Summary!$B$11)*T2113+Summary!$B$11*V2113</f>
        <v/>
      </c>
      <c r="P2113">
        <f>IF(B2156=0,0,O2113/B2156)</f>
        <v/>
      </c>
      <c r="Q2113" t="n">
        <v>0</v>
      </c>
      <c r="R2113" t="n">
        <v>0</v>
      </c>
      <c r="S2113">
        <f>IFERROR(O2113/N2113,0)</f>
        <v/>
      </c>
      <c r="T2113" t="n">
        <v>0</v>
      </c>
      <c r="U2113">
        <f>INDEX(FactorTable!$B$2:$Y$301, MATCH(ROUND(MIN(300,MAX(1,U2112)),0), FactorTable!$A$2:$A$301,0), 22)</f>
        <v/>
      </c>
      <c r="V2113" t="n">
        <v>0</v>
      </c>
    </row>
    <row r="2114">
      <c r="A2114">
        <f>Skills!A4</f>
        <v/>
      </c>
      <c r="B2114">
        <f>Skills!B4</f>
        <v/>
      </c>
      <c r="C2114">
        <f>Inputs!$B$3&gt;=66</f>
        <v/>
      </c>
      <c r="D2114">
        <f>IF(Skills!C4=1,60+Inputs!$B$25+Inputs!$B$29,IF(Skills!C4=2,90+Inputs!$B$26+Inputs!$B$29,IF(Skills!C4=3,120+Inputs!$B$27+Inputs!$B$29,MAX(0,(Inputs!$B$3-100)*3)+Inputs!$B$28+Inputs!$B$29)))</f>
        <v/>
      </c>
      <c r="E2114">
        <f>INDEX(FactorTable!$B$2:$Y$301, MATCH(ROUND(MIN(300,MAX(1,D2114)),0), FactorTable!$A$2:$A$301,0), Skills!M4+1)</f>
        <v/>
      </c>
      <c r="F2114">
        <f>IF(Skills!N4=TRUE,(Skills!L4/10)*(E2114/1000),Skills!L4/10)+Skills!O4</f>
        <v/>
      </c>
      <c r="G2114">
        <f>Skills!G4*IF(Skills!H4&gt;0,IF(Inputs!$B$39="pvp",MIN(Skills!I4,15),Skills!I4)/Skills!H4,1)</f>
        <v/>
      </c>
      <c r="H2114">
        <f>1-(1-Skills!J4/100)^Skills!K4</f>
        <v/>
      </c>
      <c r="I2114" t="inlineStr">
        <is>
          <t>1</t>
        </is>
      </c>
      <c r="J2114">
        <f>((Inputs!$B$6*(1+Inputs!$B$7/100))+(((Inputs!$B$12*(1+Inputs!$B$13/100))-(Inputs!$B$12*(1+Inputs!$B$13/100)))+0.25*(Inputs!$B$14-Inputs!$B$14))*(1+Inputs!$B$7/100))*(F2114/100)</f>
        <v/>
      </c>
      <c r="K2114">
        <f>J2114*(1+((Inputs!$B$12*(1+Inputs!$B$13/100))*0.01+Inputs!$B$14*0.0025)/100)*(1+Inputs!$B$15/100)*(1+Inputs!$B$16/100)*(5000/(6000+Inputs!$B$43*(1-(100*(1-(1-Inputs!$B$19/100)*(1-CHOOSE(ArtifactsInput!$N$40+1,5,6,7,8,9,10)/100)^(ArtifactsInput!$M$40-ArtifactsInput!$M$40)))/100)))*(1+(Inputs!$B$24+((C2141=TRUE)*(F2141-Calc!F31))+((C2128=TRUE)*(F2128-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4="CRUEL_STAB",Inputs!$B$17+((C2138=TRUE)*(F2138-Calc!F28))+((IF(AND(Inputs!$B$39&lt;&gt;"pvp",Inputs!$B$44=0),1,IF(IF(Inputs!$B$39="pvp",15,Inputs!$B$44)-(B2155)&lt;=0,1,MAX(0,IF(Inputs!$B$39="pvp",15,Inputs!$B$44)-MAX(5,B2155))/(IF(Inputs!$B$39="pvp",15,Inputs!$B$44)-(B2155))))*(IF(AND(ArtifactsInput!$M$42,((Inputs!$B$9+((C2136=TRUE)*(F2136-Calc!F26))+B2144+(ArtifactsInput!$M$24-ArtifactsInput!$M$24)*CHOOSE(ArtifactsInput!$N$24+1,10,12,14,16,18,20)+IF(ArtifactsInput!$M$10,CHOOSE(ArtifactsInput!$N$10+1,15,18,21,24,27,30)*(IF(Inputs!$B$39="pvp",MIN(15,15)/15,IF(AND(Inputs!$B$39&lt;&gt;"pvp",Inputs!$B$44&gt;0),MIN(15,Inputs!$B$44)/(Inputs!$B$44),0))),0)))&gt;=100),MIN(100,((Inputs!$B$9+((C2136=TRUE)*(F2136-Calc!F26))+B2144+(ArtifactsInput!$M$24-ArtifactsInput!$M$24)*CHOOSE(ArtifactsInput!$N$24+1,10,12,14,16,18,20)+IF(ArtifactsInput!$M$10,CHOOSE(ArtifactsInput!$N$10+1,15,18,21,24,27,30)*(IF(Inputs!$B$39="pvp",MIN(15,15)/15,IF(AND(Inputs!$B$39&lt;&gt;"pvp",Inputs!$B$44&gt;0),MIN(15,Inputs!$B$44)/(Inputs!$B$44),0))),0)))-100),0))*CHOOSE(ArtifactsInput!$N$42+1,0.6,0.72,0.84,0.96,1.08,1.2))),Inputs!$B$18+((C2139=TRUE)*(F2139-Calc!F29))+(IF(AND(Inputs!$B$39&lt;&gt;"pvp",Inputs!$B$44=0),1,IF(IF(Inputs!$B$39="pvp",15,Inputs!$B$44)-(B2155)&lt;=0,1,MAX(0,IF(Inputs!$B$39="pvp",15,Inputs!$B$44)-MAX(5,B2155))/(IF(Inputs!$B$39="pvp",15,Inputs!$B$44)-(B2155))))*IF(AND(ArtifactsInput!$M$42,((Inputs!$B$9+((C2136=TRUE)*(F2136-Calc!F26))+B2144+(ArtifactsInput!$M$24-ArtifactsInput!$M$24)*CHOOSE(ArtifactsInput!$N$24+1,10,12,14,16,18,20)+IF(ArtifactsInput!$M$10,CHOOSE(ArtifactsInput!$N$10+1,15,18,21,24,27,30)*(IF(Inputs!$B$39="pvp",MIN(15,15)/15,IF(AND(Inputs!$B$39&lt;&gt;"pvp",Inputs!$B$44&gt;0),MIN(15,Inputs!$B$44)/(Inputs!$B$44),0))),0)))&gt;=100),CHOOSE(ArtifactsInput!$N$42+1,40,48,56,64,72,80),0))))/100)*(((1+(((C2132=TRUE)*F2132*IF(AND(Inputs!$B$39&lt;&gt;"pvp",Inputs!$B$44&gt;0),(((R2132-1)*MIN((Skills!Y22*(1+Inputs!$B$34/100)),(1/Q2132))+MIN((Skills!Y22*(1+Inputs!$B$34/100)),MAX(0,Inputs!$B$44-((R2132-1)*(1/Q2132)))))/Inputs!$B$44),IF(Inputs!$B$39="pvp",MIN((Skills!Y22*(1+Inputs!$B$34/100)),15)/15,MIN(1,(Skills!Y22*(1+Inputs!$B$34/100))/(1/Q2132)))))+((C2113=TRUE)*F2113*3)+((C2115=TRUE)*F2115*(1-EXP(-0.75*B2148*5)))+((C2134=TRUE)*(F2134-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2121=TRUE)*F2121*IF(AND(Inputs!$B$39&lt;&gt;"pvp",Inputs!$B$44&gt;0),(((R2121-1)*MIN((Skills!Y11*(1+Inputs!$B$34/100)),(1/Q2121))+MIN((Skills!Y11*(1+Inputs!$B$34/100)),MAX(0,Inputs!$B$44-((R2121-1)*(1/Q2121)))))/Inputs!$B$44),IF(Inputs!$B$39="pvp",MIN((Skills!Y11*(1+Inputs!$B$34/100)),15)/15,MIN(1,(Skills!Y11*(1+Inputs!$B$34/100))/(1/Q2121)))))/100)*(1+((C2126=TRUE)*F2126*IF(AND(Inputs!$B$39&lt;&gt;"pvp",Inputs!$B$44&gt;0),(((R2126-1)*MIN((Skills!Y16*(1+Inputs!$B$34/100)),(1/Q2126))+MIN((Skills!Y16*(1+Inputs!$B$34/100)),MAX(0,Inputs!$B$44-((R2126-1)*(1/Q2126)))))/Inputs!$B$44),IF(Inputs!$B$39="pvp",MIN((Skills!Y16*(1+Inputs!$B$34/100)),15)/15,MIN(1,(Skills!Y16*(1+Inputs!$B$34/100))/(1/Q2126)))))/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2146*I2114)</f>
        <v/>
      </c>
      <c r="L2114">
        <f>K2114*(MIN(Inputs!$B$22+((C2135=TRUE)*(F2135-Calc!F25)),(Inputs!$B$23+((C2140=TRUE)*(F2140-Calc!F30))+IF(ArtifactsInput!$M$15,CHOOSE(ArtifactsInput!$N$15+1,25,30,35,40,45,50)/100*(Inputs!$B$11-Inputs!$B$11),0)))/100+(Inputs!$B$23+((C2140=TRUE)*(F2140-Calc!F30))+IF(ArtifactsInput!$M$15,CHOOSE(ArtifactsInput!$N$15+1,25,30,35,40,45,50)/100*(Inputs!$B$11-Inputs!$B$11),0))/100)/2</f>
        <v/>
      </c>
      <c r="M2114">
        <f>L2114*(1+(Inputs!$B$10+((C2137=TRUE)*(F2137-Calc!F27))+B2151+(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2114">
        <f>L2114*(1-MIN((Inputs!$B$9+((C2136=TRUE)*(F2136-Calc!F26))+B2144+(ArtifactsInput!$M$24-ArtifactsInput!$M$24)*CHOOSE(ArtifactsInput!$N$24+1,10,12,14,16,18,20)+(IF(AND(Inputs!$B$39&lt;&gt;"pvp",Inputs!$B$44=0),1,IF(IF(Inputs!$B$39="pvp",15,Inputs!$B$44)-(B2155)&lt;=0,1,MAX(0,IF(Inputs!$B$39="pvp",15,Inputs!$B$44)-MAX(5,B2155))/(IF(Inputs!$B$39="pvp",15,Inputs!$B$44)-(B2155))))*IF(AND(ArtifactsInput!$M$42,((Inputs!$B$9+((C2136=TRUE)*(F2136-Calc!F26))+B2144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2114*(MIN((Inputs!$B$9+((C2136=TRUE)*(F2136-Calc!F26))+B2144+(ArtifactsInput!$M$24-ArtifactsInput!$M$24)*CHOOSE(ArtifactsInput!$N$24+1,10,12,14,16,18,20)+(IF(AND(Inputs!$B$39&lt;&gt;"pvp",Inputs!$B$44=0),1,IF(IF(Inputs!$B$39="pvp",15,Inputs!$B$44)-(B2155)&lt;=0,1,MAX(0,IF(Inputs!$B$39="pvp",15,Inputs!$B$44)-MAX(5,B2155))/(IF(Inputs!$B$39="pvp",15,Inputs!$B$44)-(B2155))))*IF(AND(ArtifactsInput!$M$42,((Inputs!$B$9+((C2136=TRUE)*(F2136-Calc!F26))+B2144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114">
        <f>(1-Summary!$B$11)*T2114+Summary!$B$11*V2114</f>
        <v/>
      </c>
      <c r="P2114">
        <f>IF(B2156=0,0,O2114/B2156)</f>
        <v/>
      </c>
      <c r="Q2114">
        <f>IFERROR(1/IF(Inputs!$B$39="pvp",15,MAX(0.1,Skills!D4-IF(TRUE=TRUE,Inputs!$B$32,0))),0)</f>
        <v/>
      </c>
      <c r="R2114">
        <f>IF(AND(Inputs!$B$39&lt;&gt;"pvp",Inputs!$B$44&gt;0),IF(MAX(0,Inputs!$B$44-B2155)&lt;=0,0,(INT(MAX(0,Inputs!$B$44-B2155)/IF(Inputs!$B$39="pvp",15,MAX(0.1,Skills!D4-IF(TRUE=TRUE,Inputs!$B$32,0))))+1)),0)</f>
        <v/>
      </c>
      <c r="S2114">
        <f>IFERROR(O2114/N2114,0)</f>
        <v/>
      </c>
      <c r="T2114">
        <f>IF(C2114,(H2114*N2114*IF(AND(Inputs!$B$39&lt;&gt;"pvp",Inputs!$B$44&gt;0),((Skills!G4*((R2114-1)*IF(Skills!H4&gt;0,Skills!I4/Skills!H4,1)+IF(Skills!H4&gt;0,MIN(Skills!I4,MAX(0,MAX(0,Inputs!$B$44-B2155)-((R2114-1)*IF(Inputs!$B$39="pvp",15,MAX(0.1,Skills!D4-IF(TRUE=TRUE,Inputs!$B$32,0))))))/Skills!H4,1)))/Inputs!$B$44),G2114*Q2114))*IF(Inputs!$B$39="pvp",1,1+(Inputs!$B$20+0+Skills!P4+B2145+(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Hunt"),CHOOSE(ArtifactsInput!$N$35+1,15,18,21,24,27,30)*(1-EXP(-(0.2*B2148)*5)),0)+IF(AND(ArtifactsInput!$M$22,Inputs!$B$4&lt;&gt;"Chapter Hunt"),CHOOSE(ArtifactsInput!$N$22+1,10,12,14,16,18,20)*((0*(((0.15*B2148*5))^0/1)+1*(((0.15*B2148*5))^1/1)+2*(((0.15*B2148*5))^2/2)+3*(((0.15*B2148*5))^3/6)+4*(((0.15*B2148*5))^4/24)+5*(((0.15*B2148*5))^5/120))/((((0.15*B2148*5))^0/1)+(((0.15*B2148*5))^1/1)+(((0.15*B2148*5))^2/2)+(((0.15*B2148*5))^3/6)+(((0.15*B2148*5))^4/24)+(((0.15*B2148*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2114*(1-MIN(100,(Inputs!$B$9+((C2136=TRUE)*(F2136-Calc!F26))+B2144+(ArtifactsInput!$M$24-ArtifactsInput!$M$24)*CHOOSE(ArtifactsInput!$N$24+1,10,12,14,16,18,20)+(IF(AND(Inputs!$B$39&lt;&gt;"pvp",Inputs!$B$44=0),1,IF(IF(Inputs!$B$39="pvp",15,Inputs!$B$44)-(B2155)&lt;=0,1,MAX(0,IF(Inputs!$B$39="pvp",15,Inputs!$B$44)-MAX(5,B2155))/(IF(Inputs!$B$39="pvp",15,Inputs!$B$44)-(B2155))))*IF(AND(ArtifactsInput!$M$42,((Inputs!$B$9+((C2136=TRUE)*(F2136-Calc!F26))+B2144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2114*(MIN(100,(Inputs!$B$9+((C2136=TRUE)*(F2136-Calc!F26))+B2144+(ArtifactsInput!$M$24-ArtifactsInput!$M$24)*CHOOSE(ArtifactsInput!$N$24+1,10,12,14,16,18,20)+(IF(AND(Inputs!$B$39&lt;&gt;"pvp",Inputs!$B$44=0),1,IF(IF(Inputs!$B$39="pvp",15,Inputs!$B$44)-(B2155)&lt;=0,1,MAX(0,IF(Inputs!$B$39="pvp",15,Inputs!$B$44)-MAX(5,B2155))/(IF(Inputs!$B$39="pvp",15,Inputs!$B$44)-(B2155))))*IF(AND(ArtifactsInput!$M$42,((Inputs!$B$9+((C2136=TRUE)*(F2136-Calc!F26))+B2144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2114*(1-MIN(100,(Inputs!$B$9+((C2136=TRUE)*(F2136-Calc!F26))+B2144+(ArtifactsInput!$M$24-ArtifactsInput!$M$24)*CHOOSE(ArtifactsInput!$N$24+1,10,12,14,16,18,20)+(IF(AND(Inputs!$B$39&lt;&gt;"pvp",Inputs!$B$44=0),1,IF(IF(Inputs!$B$39="pvp",15,Inputs!$B$44)-(B2155)&lt;=0,1,MAX(0,IF(Inputs!$B$39="pvp",15,Inputs!$B$44)-MAX(5,B2155))/(IF(Inputs!$B$39="pvp",15,Inputs!$B$44)-(B2155))))*IF(AND(ArtifactsInput!$M$42,((Inputs!$B$9+((C2136=TRUE)*(F2136-Calc!F26))+B2144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2114*(MIN(100,(Inputs!$B$9+((C2136=TRUE)*(F2136-Calc!F26))+B2144+(ArtifactsInput!$M$24-ArtifactsInput!$M$24)*CHOOSE(ArtifactsInput!$N$24+1,10,12,14,16,18,20)+(IF(AND(Inputs!$B$39&lt;&gt;"pvp",Inputs!$B$44=0),1,IF(IF(Inputs!$B$39="pvp",15,Inputs!$B$44)-(B2155)&lt;=0,1,MAX(0,IF(Inputs!$B$39="pvp",15,Inputs!$B$44)-MAX(5,B2155))/(IF(Inputs!$B$39="pvp",15,Inputs!$B$44)-(B2155))))*IF(AND(ArtifactsInput!$M$42,((Inputs!$B$9+((C2136=TRUE)*(F2136-Calc!F26))+B2144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IF(ArtifactsInput!$M$20,FALSE,TRUE),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2114">
        <f>290*U2113/1000</f>
        <v/>
      </c>
      <c r="V2114">
        <f>IF(C2114,(H2114*N2114*IF(AND(Inputs!$B$39&lt;&gt;"pvp",Inputs!$B$44&gt;0),((Skills!G4*((R2114-1)*IF(Skills!H4&gt;0,Skills!I4/Skills!H4,1)+IF(Skills!H4&gt;0,MIN(Skills!I4,MAX(0,MAX(0,Inputs!$B$44-B2155)-((R2114-1)*IF(Inputs!$B$39="pvp",15,MAX(0.1,Skills!D4-IF(TRUE=TRUE,Inputs!$B$32,0))))))/Skills!H4,1)))/Inputs!$B$44),G2114*Q2114))*IF(Inputs!$B$39="pvp",1,(1+(Inputs!$B$21+Skills!Q4+B2145+(IF(ArtifactsInput!$M$33,CHOOSE(ArtifactsInput!$N$33+1,30,36,42,48,54,60),0))+(IF(AND(ArtifactsInput!$M$35,Inputs!$B$4&lt;&gt;"Chapter Hunt"),CHOOSE(ArtifactsInput!$N$35+1,15,18,21,24,27,30)*(1-EXP(-(0.2*B2148)*5)),0)+IF(AND(ArtifactsInput!$M$22,Inputs!$B$4&lt;&gt;"Chapter Hunt"),CHOOSE(ArtifactsInput!$N$22+1,10,12,14,16,18,20)*((0*(((0.15*B2148*5))^0/1)+1*(((0.15*B2148*5))^1/1)+2*(((0.15*B2148*5))^2/2)+3*(((0.15*B2148*5))^3/6)+4*(((0.15*B2148*5))^4/24)+5*(((0.15*B2148*5))^5/120))/((((0.15*B2148*5))^0/1)+(((0.15*B2148*5))^1/1)+(((0.15*B2148*5))^2/2)+(((0.15*B2148*5))^3/6)+(((0.15*B2148*5))^4/24)+(((0.15*B2148*5))^5/120))),0)))/100)*(MIN(MIN(10,IF(Inputs!$B$3&gt;=75,0.75,0.5)*B2148*(1/Q2114)),Inputs!$B$37)))*((1+(IF(AND(ArtifactsInput!$M$41,Inputs!$B$39&lt;&gt;"pvp"),CHOOSE(ArtifactsInput!$N$41+1,5,6,7,8,9,10)*IF(OR(Inputs!$B$4="Weapon Dungeon",Inputs!$B$4="Equipment Dungeon",Inputs!$B$4="Enhancement Dungeon",Inputs!$B$4="EXP Dungeon",Inputs!$B$4="Hero Dungeon"),3,1),0)+IF(ArtifactsInput!$M$26,10*CHOOSE(ArtifactsInput!$N$26+1,1,1.2,1.4,1.6,1.8,2),0)+IF(AND(IF(ArtifactsInput!$M$20,FALSE,TRUE),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115">
      <c r="A2115">
        <f>Skills!A5</f>
        <v/>
      </c>
      <c r="B2115">
        <f>Skills!B5</f>
        <v/>
      </c>
      <c r="C2115">
        <f>Inputs!$B$3&gt;=75</f>
        <v/>
      </c>
      <c r="D2115">
        <f>IF(Skills!C5=1,60+Inputs!$B$25+Inputs!$B$29,IF(Skills!C5=2,90+Inputs!$B$26+Inputs!$B$29,IF(Skills!C5=3,120+Inputs!$B$27+Inputs!$B$29,MAX(0,(Inputs!$B$3-100)*3)+Inputs!$B$28+Inputs!$B$29)))</f>
        <v/>
      </c>
      <c r="E2115">
        <f>INDEX(FactorTable!$B$2:$Y$301, MATCH(ROUND(MIN(300,MAX(1,D2115)),0), FactorTable!$A$2:$A$301,0), Skills!M5+1)</f>
        <v/>
      </c>
      <c r="F2115">
        <f>IF(Skills!N5=TRUE,(Skills!L5/10)*(E2115/1000),Skills!L5/10)+Skills!O5</f>
        <v/>
      </c>
      <c r="G2115">
        <f>Skills!G5*IF(Skills!H5&gt;0,IF(Inputs!$B$39="pvp",MIN(Skills!I5,15),Skills!I5)/Skills!H5,1)</f>
        <v/>
      </c>
      <c r="H2115">
        <f>1-(1-Skills!J5/100)^Skills!K5</f>
        <v/>
      </c>
      <c r="I2115" t="inlineStr">
        <is>
          <t>1</t>
        </is>
      </c>
      <c r="J2115" t="inlineStr"/>
      <c r="K2115" t="inlineStr"/>
      <c r="L2115" t="inlineStr"/>
      <c r="M2115" t="inlineStr"/>
      <c r="N2115" t="inlineStr"/>
      <c r="O2115">
        <f>(1-Summary!$B$11)*T2115+Summary!$B$11*V2115</f>
        <v/>
      </c>
      <c r="P2115">
        <f>IF(B2156=0,0,O2115/B2156)</f>
        <v/>
      </c>
      <c r="Q2115" t="n">
        <v>0</v>
      </c>
      <c r="R2115" t="n">
        <v>0</v>
      </c>
      <c r="S2115">
        <f>IFERROR(O2115/N2115,0)</f>
        <v/>
      </c>
      <c r="T2115" t="n">
        <v>0</v>
      </c>
      <c r="V2115" t="n">
        <v>0</v>
      </c>
    </row>
    <row r="2116">
      <c r="A2116">
        <f>Skills!A6</f>
        <v/>
      </c>
      <c r="B2116">
        <f>Skills!B6</f>
        <v/>
      </c>
      <c r="C2116">
        <f>Inputs!$B$3&gt;=63</f>
        <v/>
      </c>
      <c r="D2116">
        <f>IF(Skills!C6=1,60+Inputs!$B$25+Inputs!$B$29,IF(Skills!C6=2,90+Inputs!$B$26+Inputs!$B$29,IF(Skills!C6=3,120+Inputs!$B$27+Inputs!$B$29,MAX(0,(Inputs!$B$3-100)*3)+Inputs!$B$28+Inputs!$B$29)))</f>
        <v/>
      </c>
      <c r="E2116">
        <f>INDEX(FactorTable!$B$2:$Y$301, MATCH(ROUND(MIN(300,MAX(1,D2116)),0), FactorTable!$A$2:$A$301,0), Skills!M6+1)</f>
        <v/>
      </c>
      <c r="F2116">
        <f>IF(Skills!N6=TRUE,(Skills!L6/10)*(E2116/1000),Skills!L6/10)+Skills!O6</f>
        <v/>
      </c>
      <c r="G2116">
        <f>Skills!G6*IF(Skills!H6&gt;0,IF(Inputs!$B$39="pvp",MIN(Skills!I6,15),Skills!I6)/Skills!H6,1)</f>
        <v/>
      </c>
      <c r="H2116">
        <f>1-(1-Skills!J6/100)^Skills!K6</f>
        <v/>
      </c>
      <c r="I2116" t="inlineStr">
        <is>
          <t>1</t>
        </is>
      </c>
      <c r="J2116">
        <f>((Inputs!$B$6*(1+Inputs!$B$7/100))+(((Inputs!$B$12*(1+Inputs!$B$13/100))-(Inputs!$B$12*(1+Inputs!$B$13/100)))+0.25*(Inputs!$B$14-Inputs!$B$14))*(1+Inputs!$B$7/100))*(F2116/100)</f>
        <v/>
      </c>
      <c r="K2116">
        <f>J2116*(1+((Inputs!$B$12*(1+Inputs!$B$13/100))*0.01+Inputs!$B$14*0.0025)/100)*(1+Inputs!$B$15/100)*(1+Inputs!$B$16/100)*(5000/(6000+Inputs!$B$43*(1-(100*(1-(1-Inputs!$B$19/100)*(1-CHOOSE(ArtifactsInput!$N$40+1,5,6,7,8,9,10)/100)^(ArtifactsInput!$M$40-ArtifactsInput!$M$40)))/100)))*(1+(Inputs!$B$24+((C2141=TRUE)*(F2141-Calc!F31))+((C2128=TRUE)*(F2128-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+2.6666666666666665*IF(C2129=TRUE,F2129,0)/100)*(1+(IF(Skills!A6="CRUEL_STAB",Inputs!$B$17+((C2138=TRUE)*(F2138-Calc!F28))+((IF(AND(Inputs!$B$39&lt;&gt;"pvp",Inputs!$B$44=0),1,IF(IF(Inputs!$B$39="pvp",15,Inputs!$B$44)-(B2155)&lt;=0,1,MAX(0,IF(Inputs!$B$39="pvp",15,Inputs!$B$44)-MAX(5,B2155))/(IF(Inputs!$B$39="pvp",15,Inputs!$B$44)-(B2155))))*(IF(AND(ArtifactsInput!$M$42,((Inputs!$B$9+((C2136=TRUE)*(F2136-Calc!F26))+B2144+(ArtifactsInput!$M$24-ArtifactsInput!$M$24)*CHOOSE(ArtifactsInput!$N$24+1,10,12,14,16,18,20)+IF(ArtifactsInput!$M$10,CHOOSE(ArtifactsInput!$N$10+1,15,18,21,24,27,30)*(IF(Inputs!$B$39="pvp",MIN(15,15)/15,IF(AND(Inputs!$B$39&lt;&gt;"pvp",Inputs!$B$44&gt;0),MIN(15,Inputs!$B$44)/(Inputs!$B$44),0))),0)))&gt;=100),MIN(100,((Inputs!$B$9+((C2136=TRUE)*(F2136-Calc!F26))+B2144+(ArtifactsInput!$M$24-ArtifactsInput!$M$24)*CHOOSE(ArtifactsInput!$N$24+1,10,12,14,16,18,20)+IF(ArtifactsInput!$M$10,CHOOSE(ArtifactsInput!$N$10+1,15,18,21,24,27,30)*(IF(Inputs!$B$39="pvp",MIN(15,15)/15,IF(AND(Inputs!$B$39&lt;&gt;"pvp",Inputs!$B$44&gt;0),MIN(15,Inputs!$B$44)/(Inputs!$B$44),0))),0)))-100),0))*CHOOSE(ArtifactsInput!$N$42+1,0.6,0.72,0.84,0.96,1.08,1.2))),Inputs!$B$18+((C2139=TRUE)*(F2139-Calc!F29))+(IF(AND(Inputs!$B$39&lt;&gt;"pvp",Inputs!$B$44=0),1,IF(IF(Inputs!$B$39="pvp",15,Inputs!$B$44)-(B2155)&lt;=0,1,MAX(0,IF(Inputs!$B$39="pvp",15,Inputs!$B$44)-MAX(5,B2155))/(IF(Inputs!$B$39="pvp",15,Inputs!$B$44)-(B2155))))*IF(AND(ArtifactsInput!$M$42,((Inputs!$B$9+((C2136=TRUE)*(F2136-Calc!F26))+B2144+(ArtifactsInput!$M$24-ArtifactsInput!$M$24)*CHOOSE(ArtifactsInput!$N$24+1,10,12,14,16,18,20)+IF(ArtifactsInput!$M$10,CHOOSE(ArtifactsInput!$N$10+1,15,18,21,24,27,30)*(IF(Inputs!$B$39="pvp",MIN(15,15)/15,IF(AND(Inputs!$B$39&lt;&gt;"pvp",Inputs!$B$44&gt;0),MIN(15,Inputs!$B$44)/(Inputs!$B$44),0))),0)))&gt;=100),CHOOSE(ArtifactsInput!$N$42+1,40,48,56,64,72,80),0))))/100)*(((1+(((C2132=TRUE)*F2132*IF(AND(Inputs!$B$39&lt;&gt;"pvp",Inputs!$B$44&gt;0),(((R2132-1)*MIN((Skills!Y22*(1+Inputs!$B$34/100)),(1/Q2132))+MIN((Skills!Y22*(1+Inputs!$B$34/100)),MAX(0,Inputs!$B$44-((R2132-1)*(1/Q2132)))))/Inputs!$B$44),IF(Inputs!$B$39="pvp",MIN((Skills!Y22*(1+Inputs!$B$34/100)),15)/15,MIN(1,(Skills!Y22*(1+Inputs!$B$34/100))/(1/Q2132)))))+((C2113=TRUE)*F2113*3)+((C2115=TRUE)*F2115*(1-EXP(-0.75*B2148*5)))+((C2134=TRUE)*(F2134-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2121=TRUE)*F2121*IF(AND(Inputs!$B$39&lt;&gt;"pvp",Inputs!$B$44&gt;0),(((R2121-1)*MIN((Skills!Y11*(1+Inputs!$B$34/100)),(1/Q2121))+MIN((Skills!Y11*(1+Inputs!$B$34/100)),MAX(0,Inputs!$B$44-((R2121-1)*(1/Q2121)))))/Inputs!$B$44),IF(Inputs!$B$39="pvp",MIN((Skills!Y11*(1+Inputs!$B$34/100)),15)/15,MIN(1,(Skills!Y11*(1+Inputs!$B$34/100))/(1/Q2121)))))/100)*(1+((C2126=TRUE)*F2126*IF(AND(Inputs!$B$39&lt;&gt;"pvp",Inputs!$B$44&gt;0),(((R2126-1)*MIN((Skills!Y16*(1+Inputs!$B$34/100)),(1/Q2126))+MIN((Skills!Y16*(1+Inputs!$B$34/100)),MAX(0,Inputs!$B$44-((R2126-1)*(1/Q2126)))))/Inputs!$B$44),IF(Inputs!$B$39="pvp",MIN((Skills!Y16*(1+Inputs!$B$34/100)),15)/15,MIN(1,(Skills!Y16*(1+Inputs!$B$34/100))/(1/Q2126)))))/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2146*I2116)</f>
        <v/>
      </c>
      <c r="L2116">
        <f>K2116*(MIN(Inputs!$B$22+((C2135=TRUE)*(F2135-Calc!F25)),(Inputs!$B$23+((C2140=TRUE)*(F2140-Calc!F30))+IF(ArtifactsInput!$M$15,CHOOSE(ArtifactsInput!$N$15+1,25,30,35,40,45,50)/100*(Inputs!$B$11-Inputs!$B$11),0)))/100+(Inputs!$B$23+((C2140=TRUE)*(F2140-Calc!F30))+IF(ArtifactsInput!$M$15,CHOOSE(ArtifactsInput!$N$15+1,25,30,35,40,45,50)/100*(Inputs!$B$11-Inputs!$B$11),0))/100)/2</f>
        <v/>
      </c>
      <c r="M2116">
        <f>L2116*(1+(Inputs!$B$10+((C2137=TRUE)*(F2137-Calc!F27))+B2151+(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2116">
        <f>L2116*(1-MIN((Inputs!$B$9+((C2136=TRUE)*(F2136-Calc!F26))+B2144+(ArtifactsInput!$M$24-ArtifactsInput!$M$24)*CHOOSE(ArtifactsInput!$N$24+1,10,12,14,16,18,20)+(IF(AND(Inputs!$B$39&lt;&gt;"pvp",Inputs!$B$44=0),1,IF(IF(Inputs!$B$39="pvp",15,Inputs!$B$44)-(B2155)&lt;=0,1,MAX(0,IF(Inputs!$B$39="pvp",15,Inputs!$B$44)-MAX(5,B2155))/(IF(Inputs!$B$39="pvp",15,Inputs!$B$44)-(B2155))))*IF(AND(ArtifactsInput!$M$42,((Inputs!$B$9+((C2136=TRUE)*(F2136-Calc!F26))+B2144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2116*(MIN((Inputs!$B$9+((C2136=TRUE)*(F2136-Calc!F26))+B2144+(ArtifactsInput!$M$24-ArtifactsInput!$M$24)*CHOOSE(ArtifactsInput!$N$24+1,10,12,14,16,18,20)+(IF(AND(Inputs!$B$39&lt;&gt;"pvp",Inputs!$B$44=0),1,IF(IF(Inputs!$B$39="pvp",15,Inputs!$B$44)-(B2155)&lt;=0,1,MAX(0,IF(Inputs!$B$39="pvp",15,Inputs!$B$44)-MAX(5,B2155))/(IF(Inputs!$B$39="pvp",15,Inputs!$B$44)-(B2155))))*IF(AND(ArtifactsInput!$M$42,((Inputs!$B$9+((C2136=TRUE)*(F2136-Calc!F26))+B2144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116">
        <f>(1-Summary!$B$11)*T2116+Summary!$B$11*V2116</f>
        <v/>
      </c>
      <c r="P2116">
        <f>IF(B2156=0,0,O2116/B2156)</f>
        <v/>
      </c>
      <c r="Q2116">
        <f>IFERROR(1/IF(Inputs!$B$39="pvp",15,MAX(0.1,Skills!D6-IF(TRUE=TRUE,Inputs!$B$32,0))),0)</f>
        <v/>
      </c>
      <c r="R2116">
        <f>IF(AND(Inputs!$B$39&lt;&gt;"pvp",Inputs!$B$44&gt;0),IF(MAX(0,Inputs!$B$44-B2155)&lt;=0,0,(INT(MAX(0,Inputs!$B$44-B2155)/IF(Inputs!$B$39="pvp",15,MAX(0.1,Skills!D6-IF(TRUE=TRUE,Inputs!$B$32,0))))+1)),0)</f>
        <v/>
      </c>
      <c r="S2116">
        <f>IFERROR(O2116/N2116,0)</f>
        <v/>
      </c>
      <c r="T2116">
        <f>IF(C2116,(H2116*N2116*IF(AND(Inputs!$B$39&lt;&gt;"pvp",Inputs!$B$44&gt;0),((Skills!G6*((R2116-1)*IF(Skills!H6&gt;0,Skills!I6/Skills!H6,1)+IF(Skills!H6&gt;0,MIN(Skills!I6,MAX(0,MAX(0,Inputs!$B$44-B2155)-((R2116-1)*IF(Inputs!$B$39="pvp",15,MAX(0.1,Skills!D6-IF(TRUE=TRUE,Inputs!$B$32,0))))))/Skills!H6,1)))/Inputs!$B$44),G2116*Q2116))*IF(Inputs!$B$39="pvp",1,1+(Inputs!$B$20+0+Skills!P6+B2145+(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Hunt"),CHOOSE(ArtifactsInput!$N$35+1,15,18,21,24,27,30)*(1-EXP(-(0.2*B2148)*5)),0)+IF(AND(ArtifactsInput!$M$22,Inputs!$B$4&lt;&gt;"Chapter Hunt"),CHOOSE(ArtifactsInput!$N$22+1,10,12,14,16,18,20)*((0*(((0.15*B2148*5))^0/1)+1*(((0.15*B2148*5))^1/1)+2*(((0.15*B2148*5))^2/2)+3*(((0.15*B2148*5))^3/6)+4*(((0.15*B2148*5))^4/24)+5*(((0.15*B2148*5))^5/120))/((((0.15*B2148*5))^0/1)+(((0.15*B2148*5))^1/1)+(((0.15*B2148*5))^2/2)+(((0.15*B2148*5))^3/6)+(((0.15*B2148*5))^4/24)+(((0.15*B2148*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2116*(1-MIN(100,(Inputs!$B$9+((C2136=TRUE)*(F2136-Calc!F26))+B2144+(ArtifactsInput!$M$24-ArtifactsInput!$M$24)*CHOOSE(ArtifactsInput!$N$24+1,10,12,14,16,18,20)+(IF(AND(Inputs!$B$39&lt;&gt;"pvp",Inputs!$B$44=0),1,IF(IF(Inputs!$B$39="pvp",15,Inputs!$B$44)-(B2155)&lt;=0,1,MAX(0,IF(Inputs!$B$39="pvp",15,Inputs!$B$44)-MAX(5,B2155))/(IF(Inputs!$B$39="pvp",15,Inputs!$B$44)-(B2155))))*IF(AND(ArtifactsInput!$M$42,((Inputs!$B$9+((C2136=TRUE)*(F2136-Calc!F26))+B2144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2116*(MIN(100,(Inputs!$B$9+((C2136=TRUE)*(F2136-Calc!F26))+B2144+(ArtifactsInput!$M$24-ArtifactsInput!$M$24)*CHOOSE(ArtifactsInput!$N$24+1,10,12,14,16,18,20)+(IF(AND(Inputs!$B$39&lt;&gt;"pvp",Inputs!$B$44=0),1,IF(IF(Inputs!$B$39="pvp",15,Inputs!$B$44)-(B2155)&lt;=0,1,MAX(0,IF(Inputs!$B$39="pvp",15,Inputs!$B$44)-MAX(5,B2155))/(IF(Inputs!$B$39="pvp",15,Inputs!$B$44)-(B2155))))*IF(AND(ArtifactsInput!$M$42,((Inputs!$B$9+((C2136=TRUE)*(F2136-Calc!F26))+B2144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2116*(1-MIN(100,(Inputs!$B$9+((C2136=TRUE)*(F2136-Calc!F26))+B2144+(ArtifactsInput!$M$24-ArtifactsInput!$M$24)*CHOOSE(ArtifactsInput!$N$24+1,10,12,14,16,18,20)+(IF(AND(Inputs!$B$39&lt;&gt;"pvp",Inputs!$B$44=0),1,IF(IF(Inputs!$B$39="pvp",15,Inputs!$B$44)-(B2155)&lt;=0,1,MAX(0,IF(Inputs!$B$39="pvp",15,Inputs!$B$44)-MAX(5,B2155))/(IF(Inputs!$B$39="pvp",15,Inputs!$B$44)-(B2155))))*IF(AND(ArtifactsInput!$M$42,((Inputs!$B$9+((C2136=TRUE)*(F2136-Calc!F26))+B2144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2116*(MIN(100,(Inputs!$B$9+((C2136=TRUE)*(F2136-Calc!F26))+B2144+(ArtifactsInput!$M$24-ArtifactsInput!$M$24)*CHOOSE(ArtifactsInput!$N$24+1,10,12,14,16,18,20)+(IF(AND(Inputs!$B$39&lt;&gt;"pvp",Inputs!$B$44=0),1,IF(IF(Inputs!$B$39="pvp",15,Inputs!$B$44)-(B2155)&lt;=0,1,MAX(0,IF(Inputs!$B$39="pvp",15,Inputs!$B$44)-MAX(5,B2155))/(IF(Inputs!$B$39="pvp",15,Inputs!$B$44)-(B2155))))*IF(AND(ArtifactsInput!$M$42,((Inputs!$B$9+((C2136=TRUE)*(F2136-Calc!F26))+B2144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IF(ArtifactsInput!$M$20,FALSE,TRUE),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116">
        <f>IF(C2116,(H2116*N2116*IF(AND(Inputs!$B$39&lt;&gt;"pvp",Inputs!$B$44&gt;0),((Skills!G6*((R2116-1)*IF(Skills!H6&gt;0,Skills!I6/Skills!H6,1)+IF(Skills!H6&gt;0,MIN(Skills!I6,MAX(0,MAX(0,Inputs!$B$44-B2155)-((R2116-1)*IF(Inputs!$B$39="pvp",15,MAX(0.1,Skills!D6-IF(TRUE=TRUE,Inputs!$B$32,0))))))/Skills!H6,1)))/Inputs!$B$44),G2116*Q2116))*IF(Inputs!$B$39="pvp",1,(1+(Inputs!$B$21+Skills!Q6+B2145+(IF(ArtifactsInput!$M$33,CHOOSE(ArtifactsInput!$N$33+1,30,36,42,48,54,60),0))+(IF(AND(ArtifactsInput!$M$35,Inputs!$B$4&lt;&gt;"Chapter Hunt"),CHOOSE(ArtifactsInput!$N$35+1,15,18,21,24,27,30)*(1-EXP(-(0.2*B2148)*5)),0)+IF(AND(ArtifactsInput!$M$22,Inputs!$B$4&lt;&gt;"Chapter Hunt"),CHOOSE(ArtifactsInput!$N$22+1,10,12,14,16,18,20)*((0*(((0.15*B2148*5))^0/1)+1*(((0.15*B2148*5))^1/1)+2*(((0.15*B2148*5))^2/2)+3*(((0.15*B2148*5))^3/6)+4*(((0.15*B2148*5))^4/24)+5*(((0.15*B2148*5))^5/120))/((((0.15*B2148*5))^0/1)+(((0.15*B2148*5))^1/1)+(((0.15*B2148*5))^2/2)+(((0.15*B2148*5))^3/6)+(((0.15*B2148*5))^4/24)+(((0.15*B2148*5))^5/120))),0)))/100)*(MIN(Skills!W6,Inputs!$B$37)))*((1+(IF(AND(ArtifactsInput!$M$41,Inputs!$B$39&lt;&gt;"pvp"),CHOOSE(ArtifactsInput!$N$41+1,5,6,7,8,9,10)*IF(OR(Inputs!$B$4="Weapon Dungeon",Inputs!$B$4="Equipment Dungeon",Inputs!$B$4="Enhancement Dungeon",Inputs!$B$4="EXP Dungeon",Inputs!$B$4="Hero Dungeon"),3,1),0)+IF(ArtifactsInput!$M$26,10*CHOOSE(ArtifactsInput!$N$26+1,1,1.2,1.4,1.6,1.8,2),0)+IF(AND(IF(ArtifactsInput!$M$20,FALSE,TRUE),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117">
      <c r="A2117">
        <f>Skills!A7</f>
        <v/>
      </c>
      <c r="B2117">
        <f>Skills!B7</f>
        <v/>
      </c>
      <c r="C2117">
        <f>Inputs!$B$3&gt;=69</f>
        <v/>
      </c>
      <c r="D2117">
        <f>IF(Skills!C7=1,60+Inputs!$B$25+Inputs!$B$29,IF(Skills!C7=2,90+Inputs!$B$26+Inputs!$B$29,IF(Skills!C7=3,120+Inputs!$B$27+Inputs!$B$29,MAX(0,(Inputs!$B$3-100)*3)+Inputs!$B$28+Inputs!$B$29)))</f>
        <v/>
      </c>
      <c r="E2117">
        <f>INDEX(FactorTable!$B$2:$Y$301, MATCH(ROUND(MIN(300,MAX(1,D2117)),0), FactorTable!$A$2:$A$301,0), Skills!M7+1)</f>
        <v/>
      </c>
      <c r="F2117">
        <f>IF(Skills!N7=TRUE,(Skills!L7/10)*(E2117/1000),Skills!L7/10)+Skills!O7</f>
        <v/>
      </c>
      <c r="G2117">
        <f>Skills!G7*IF(Skills!H7&gt;0,IF(Inputs!$B$39="pvp",MIN(Skills!I7,15),Skills!I7)/Skills!H7,1)</f>
        <v/>
      </c>
      <c r="H2117">
        <f>1-(1-Skills!J7/100)^Skills!K7</f>
        <v/>
      </c>
      <c r="I2117" t="inlineStr">
        <is>
          <t>1</t>
        </is>
      </c>
      <c r="J2117">
        <f>((Inputs!$B$6*(1+Inputs!$B$7/100))+(((Inputs!$B$12*(1+Inputs!$B$13/100))-(Inputs!$B$12*(1+Inputs!$B$13/100)))+0.25*(Inputs!$B$14-Inputs!$B$14))*(1+Inputs!$B$7/100))*(F2117/100)</f>
        <v/>
      </c>
      <c r="K2117">
        <f>J2117*(1+((Inputs!$B$12*(1+Inputs!$B$13/100))*0.01+Inputs!$B$14*0.0025)/100)*(1+Inputs!$B$15/100)*(1+Inputs!$B$16/100)*(5000/(6000+Inputs!$B$43*(1-(100*(1-(1-Inputs!$B$19/100)*(1-CHOOSE(ArtifactsInput!$N$40+1,5,6,7,8,9,10)/100)^(ArtifactsInput!$M$40-ArtifactsInput!$M$40)))/100)))*(1+(Inputs!$B$24+((C2141=TRUE)*(F2141-Calc!F31))+((C2128=TRUE)*(F2128-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2129=TRUE,F2129,0)/100)*(1+(IF(Skills!A7="CRUEL_STAB",Inputs!$B$17+((C2138=TRUE)*(F2138-Calc!F28))+((IF(AND(Inputs!$B$39&lt;&gt;"pvp",Inputs!$B$44=0),1,IF(IF(Inputs!$B$39="pvp",15,Inputs!$B$44)-(B2155)&lt;=0,1,MAX(0,IF(Inputs!$B$39="pvp",15,Inputs!$B$44)-MAX(5,B2155))/(IF(Inputs!$B$39="pvp",15,Inputs!$B$44)-(B2155))))*(IF(AND(ArtifactsInput!$M$42,((Inputs!$B$9+((C2136=TRUE)*(F2136-Calc!F26))+B2144+(ArtifactsInput!$M$24-ArtifactsInput!$M$24)*CHOOSE(ArtifactsInput!$N$24+1,10,12,14,16,18,20)+IF(ArtifactsInput!$M$10,CHOOSE(ArtifactsInput!$N$10+1,15,18,21,24,27,30)*(IF(Inputs!$B$39="pvp",MIN(15,15)/15,IF(AND(Inputs!$B$39&lt;&gt;"pvp",Inputs!$B$44&gt;0),MIN(15,Inputs!$B$44)/(Inputs!$B$44),0))),0)))&gt;=100),MIN(100,((Inputs!$B$9+((C2136=TRUE)*(F2136-Calc!F26))+B2144+(ArtifactsInput!$M$24-ArtifactsInput!$M$24)*CHOOSE(ArtifactsInput!$N$24+1,10,12,14,16,18,20)+IF(ArtifactsInput!$M$10,CHOOSE(ArtifactsInput!$N$10+1,15,18,21,24,27,30)*(IF(Inputs!$B$39="pvp",MIN(15,15)/15,IF(AND(Inputs!$B$39&lt;&gt;"pvp",Inputs!$B$44&gt;0),MIN(15,Inputs!$B$44)/(Inputs!$B$44),0))),0)))-100),0))*CHOOSE(ArtifactsInput!$N$42+1,0.6,0.72,0.84,0.96,1.08,1.2))),Inputs!$B$18+((C2139=TRUE)*(F2139-Calc!F29))+(IF(AND(Inputs!$B$39&lt;&gt;"pvp",Inputs!$B$44=0),1,IF(IF(Inputs!$B$39="pvp",15,Inputs!$B$44)-(B2155)&lt;=0,1,MAX(0,IF(Inputs!$B$39="pvp",15,Inputs!$B$44)-MAX(5,B2155))/(IF(Inputs!$B$39="pvp",15,Inputs!$B$44)-(B2155))))*IF(AND(ArtifactsInput!$M$42,((Inputs!$B$9+((C2136=TRUE)*(F2136-Calc!F26))+B2144+(ArtifactsInput!$M$24-ArtifactsInput!$M$24)*CHOOSE(ArtifactsInput!$N$24+1,10,12,14,16,18,20)+IF(ArtifactsInput!$M$10,CHOOSE(ArtifactsInput!$N$10+1,15,18,21,24,27,30)*(IF(Inputs!$B$39="pvp",MIN(15,15)/15,IF(AND(Inputs!$B$39&lt;&gt;"pvp",Inputs!$B$44&gt;0),MIN(15,Inputs!$B$44)/(Inputs!$B$44),0))),0)))&gt;=100),CHOOSE(ArtifactsInput!$N$42+1,40,48,56,64,72,80),0))))/100)*(((1+(((C2132=TRUE)*F2132*IF(AND(Inputs!$B$39&lt;&gt;"pvp",Inputs!$B$44&gt;0),(((R2132-1)*MIN((Skills!Y22*(1+Inputs!$B$34/100)),(1/Q2132))+MIN((Skills!Y22*(1+Inputs!$B$34/100)),MAX(0,Inputs!$B$44-((R2132-1)*(1/Q2132)))))/Inputs!$B$44),IF(Inputs!$B$39="pvp",MIN((Skills!Y22*(1+Inputs!$B$34/100)),15)/15,MIN(1,(Skills!Y22*(1+Inputs!$B$34/100))/(1/Q2132)))))+((C2113=TRUE)*F2113*3)+((C2115=TRUE)*F2115*(1-EXP(-0.75*B2148*5)))+((C2134=TRUE)*(F2134-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2121=TRUE)*F2121*IF(AND(Inputs!$B$39&lt;&gt;"pvp",Inputs!$B$44&gt;0),(((R2121-1)*MIN((Skills!Y11*(1+Inputs!$B$34/100)),(1/Q2121))+MIN((Skills!Y11*(1+Inputs!$B$34/100)),MAX(0,Inputs!$B$44-((R2121-1)*(1/Q2121)))))/Inputs!$B$44),IF(Inputs!$B$39="pvp",MIN((Skills!Y11*(1+Inputs!$B$34/100)),15)/15,MIN(1,(Skills!Y11*(1+Inputs!$B$34/100))/(1/Q2121)))))/100)*(1+((C2126=TRUE)*F2126*IF(AND(Inputs!$B$39&lt;&gt;"pvp",Inputs!$B$44&gt;0),(((R2126-1)*MIN((Skills!Y16*(1+Inputs!$B$34/100)),(1/Q2126))+MIN((Skills!Y16*(1+Inputs!$B$34/100)),MAX(0,Inputs!$B$44-((R2126-1)*(1/Q2126)))))/Inputs!$B$44),IF(Inputs!$B$39="pvp",MIN((Skills!Y16*(1+Inputs!$B$34/100)),15)/15,MIN(1,(Skills!Y16*(1+Inputs!$B$34/100))/(1/Q2126)))))/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2146*I2117)</f>
        <v/>
      </c>
      <c r="L2117">
        <f>K2117*(MIN(Inputs!$B$22+((C2135=TRUE)*(F2135-Calc!F25)),(Inputs!$B$23+((C2140=TRUE)*(F2140-Calc!F30))+IF(ArtifactsInput!$M$15,CHOOSE(ArtifactsInput!$N$15+1,25,30,35,40,45,50)/100*(Inputs!$B$11-Inputs!$B$11),0)))/100+(Inputs!$B$23+((C2140=TRUE)*(F2140-Calc!F30))+IF(ArtifactsInput!$M$15,CHOOSE(ArtifactsInput!$N$15+1,25,30,35,40,45,50)/100*(Inputs!$B$11-Inputs!$B$11),0))/100)/2</f>
        <v/>
      </c>
      <c r="M2117">
        <f>L2117*(1+(Inputs!$B$10+((C2137=TRUE)*(F2137-Calc!F27))+B2151+(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2117">
        <f>L2117*(1-MIN((Inputs!$B$9+((C2136=TRUE)*(F2136-Calc!F26))+B2144+(ArtifactsInput!$M$24-ArtifactsInput!$M$24)*CHOOSE(ArtifactsInput!$N$24+1,10,12,14,16,18,20)+(IF(AND(Inputs!$B$39&lt;&gt;"pvp",Inputs!$B$44=0),1,IF(IF(Inputs!$B$39="pvp",15,Inputs!$B$44)-(B2155)&lt;=0,1,MAX(0,IF(Inputs!$B$39="pvp",15,Inputs!$B$44)-MAX(5,B2155))/(IF(Inputs!$B$39="pvp",15,Inputs!$B$44)-(B2155))))*IF(AND(ArtifactsInput!$M$42,((Inputs!$B$9+((C2136=TRUE)*(F2136-Calc!F26))+B2144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2117*(MIN((Inputs!$B$9+((C2136=TRUE)*(F2136-Calc!F26))+B2144+(ArtifactsInput!$M$24-ArtifactsInput!$M$24)*CHOOSE(ArtifactsInput!$N$24+1,10,12,14,16,18,20)+(IF(AND(Inputs!$B$39&lt;&gt;"pvp",Inputs!$B$44=0),1,IF(IF(Inputs!$B$39="pvp",15,Inputs!$B$44)-(B2155)&lt;=0,1,MAX(0,IF(Inputs!$B$39="pvp",15,Inputs!$B$44)-MAX(5,B2155))/(IF(Inputs!$B$39="pvp",15,Inputs!$B$44)-(B2155))))*IF(AND(ArtifactsInput!$M$42,((Inputs!$B$9+((C2136=TRUE)*(F2136-Calc!F26))+B2144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117">
        <f>(1-Summary!$B$11)*T2117+Summary!$B$11*V2117</f>
        <v/>
      </c>
      <c r="P2117">
        <f>IF(B2156=0,0,O2117/B2156)</f>
        <v/>
      </c>
      <c r="Q2117">
        <f>IFERROR(1/IF(Inputs!$B$39="pvp",15,MAX(0.1,Skills!D7-IF(TRUE=TRUE,Inputs!$B$32,0))),0)</f>
        <v/>
      </c>
      <c r="R2117">
        <f>IF(AND(Inputs!$B$39&lt;&gt;"pvp",Inputs!$B$44&gt;0),IF(MAX(0,Inputs!$B$44-B2155)&lt;=0,0,(INT(MAX(0,Inputs!$B$44-B2155)/IF(Inputs!$B$39="pvp",15,MAX(0.1,Skills!D7-IF(TRUE=TRUE,Inputs!$B$32,0))))+1)),0)</f>
        <v/>
      </c>
      <c r="S2117">
        <f>IFERROR(O2117/N2117,0)</f>
        <v/>
      </c>
      <c r="T2117">
        <f>IF(C2117,(H2117*N2117*IF(AND(Inputs!$B$39&lt;&gt;"pvp",Inputs!$B$44&gt;0),((Skills!G7*((R2117-1)*IF(Skills!H7&gt;0,Skills!I7/Skills!H7,1)+IF(Skills!H7&gt;0,MIN(Skills!I7,MAX(0,MAX(0,Inputs!$B$44-B2155)-((R2117-1)*IF(Inputs!$B$39="pvp",15,MAX(0.1,Skills!D7-IF(TRUE=TRUE,Inputs!$B$32,0))))))/Skills!H7,1)))/Inputs!$B$44),G2117*Q2117))*IF(Inputs!$B$39="pvp",1,1+(Inputs!$B$20+0+Skills!P7+B2145+(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Hunt"),CHOOSE(ArtifactsInput!$N$35+1,15,18,21,24,27,30)*(1-EXP(-(0.2*B2148)*5)),0)+IF(AND(ArtifactsInput!$M$22,Inputs!$B$4&lt;&gt;"Chapter Hunt"),CHOOSE(ArtifactsInput!$N$22+1,10,12,14,16,18,20)*((0*(((0.15*B2148*5))^0/1)+1*(((0.15*B2148*5))^1/1)+2*(((0.15*B2148*5))^2/2)+3*(((0.15*B2148*5))^3/6)+4*(((0.15*B2148*5))^4/24)+5*(((0.15*B2148*5))^5/120))/((((0.15*B2148*5))^0/1)+(((0.15*B2148*5))^1/1)+(((0.15*B2148*5))^2/2)+(((0.15*B2148*5))^3/6)+(((0.15*B2148*5))^4/24)+(((0.15*B2148*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2117*(1-MIN(100,(Inputs!$B$9+((C2136=TRUE)*(F2136-Calc!F26))+B2144+(ArtifactsInput!$M$24-ArtifactsInput!$M$24)*CHOOSE(ArtifactsInput!$N$24+1,10,12,14,16,18,20)+(IF(AND(Inputs!$B$39&lt;&gt;"pvp",Inputs!$B$44=0),1,IF(IF(Inputs!$B$39="pvp",15,Inputs!$B$44)-(B2155)&lt;=0,1,MAX(0,IF(Inputs!$B$39="pvp",15,Inputs!$B$44)-MAX(5,B2155))/(IF(Inputs!$B$39="pvp",15,Inputs!$B$44)-(B2155))))*IF(AND(ArtifactsInput!$M$42,((Inputs!$B$9+((C2136=TRUE)*(F2136-Calc!F26))+B2144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2117*(MIN(100,(Inputs!$B$9+((C2136=TRUE)*(F2136-Calc!F26))+B2144+(ArtifactsInput!$M$24-ArtifactsInput!$M$24)*CHOOSE(ArtifactsInput!$N$24+1,10,12,14,16,18,20)+(IF(AND(Inputs!$B$39&lt;&gt;"pvp",Inputs!$B$44=0),1,IF(IF(Inputs!$B$39="pvp",15,Inputs!$B$44)-(B2155)&lt;=0,1,MAX(0,IF(Inputs!$B$39="pvp",15,Inputs!$B$44)-MAX(5,B2155))/(IF(Inputs!$B$39="pvp",15,Inputs!$B$44)-(B2155))))*IF(AND(ArtifactsInput!$M$42,((Inputs!$B$9+((C2136=TRUE)*(F2136-Calc!F26))+B2144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2117*(1-MIN(100,(Inputs!$B$9+((C2136=TRUE)*(F2136-Calc!F26))+B2144+(ArtifactsInput!$M$24-ArtifactsInput!$M$24)*CHOOSE(ArtifactsInput!$N$24+1,10,12,14,16,18,20)+(IF(AND(Inputs!$B$39&lt;&gt;"pvp",Inputs!$B$44=0),1,IF(IF(Inputs!$B$39="pvp",15,Inputs!$B$44)-(B2155)&lt;=0,1,MAX(0,IF(Inputs!$B$39="pvp",15,Inputs!$B$44)-MAX(5,B2155))/(IF(Inputs!$B$39="pvp",15,Inputs!$B$44)-(B2155))))*IF(AND(ArtifactsInput!$M$42,((Inputs!$B$9+((C2136=TRUE)*(F2136-Calc!F26))+B2144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2117*(MIN(100,(Inputs!$B$9+((C2136=TRUE)*(F2136-Calc!F26))+B2144+(ArtifactsInput!$M$24-ArtifactsInput!$M$24)*CHOOSE(ArtifactsInput!$N$24+1,10,12,14,16,18,20)+(IF(AND(Inputs!$B$39&lt;&gt;"pvp",Inputs!$B$44=0),1,IF(IF(Inputs!$B$39="pvp",15,Inputs!$B$44)-(B2155)&lt;=0,1,MAX(0,IF(Inputs!$B$39="pvp",15,Inputs!$B$44)-MAX(5,B2155))/(IF(Inputs!$B$39="pvp",15,Inputs!$B$44)-(B2155))))*IF(AND(ArtifactsInput!$M$42,((Inputs!$B$9+((C2136=TRUE)*(F2136-Calc!F26))+B2144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IF(ArtifactsInput!$M$20,FALSE,TRUE),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117">
        <f>IF(C2117,(H2117*N2117*IF(AND(Inputs!$B$39&lt;&gt;"pvp",Inputs!$B$44&gt;0),((Skills!G7*((R2117-1)*IF(Skills!H7&gt;0,Skills!I7/Skills!H7,1)+IF(Skills!H7&gt;0,MIN(Skills!I7,MAX(0,MAX(0,Inputs!$B$44-B2155)-((R2117-1)*IF(Inputs!$B$39="pvp",15,MAX(0.1,Skills!D7-IF(TRUE=TRUE,Inputs!$B$32,0))))))/Skills!H7,1)))/Inputs!$B$44),G2117*Q2117))*IF(Inputs!$B$39="pvp",1,(1+(Inputs!$B$21+Skills!Q7+B2145+(IF(ArtifactsInput!$M$33,CHOOSE(ArtifactsInput!$N$33+1,30,36,42,48,54,60),0))+(IF(AND(ArtifactsInput!$M$35,Inputs!$B$4&lt;&gt;"Chapter Hunt"),CHOOSE(ArtifactsInput!$N$35+1,15,18,21,24,27,30)*(1-EXP(-(0.2*B2148)*5)),0)+IF(AND(ArtifactsInput!$M$22,Inputs!$B$4&lt;&gt;"Chapter Hunt"),CHOOSE(ArtifactsInput!$N$22+1,10,12,14,16,18,20)*((0*(((0.15*B2148*5))^0/1)+1*(((0.15*B2148*5))^1/1)+2*(((0.15*B2148*5))^2/2)+3*(((0.15*B2148*5))^3/6)+4*(((0.15*B2148*5))^4/24)+5*(((0.15*B2148*5))^5/120))/((((0.15*B2148*5))^0/1)+(((0.15*B2148*5))^1/1)+(((0.15*B2148*5))^2/2)+(((0.15*B2148*5))^3/6)+(((0.15*B2148*5))^4/24)+(((0.15*B2148*5))^5/120))),0)))/100)*(MIN(Skills!W7,Inputs!$B$37)))*((1+(IF(AND(ArtifactsInput!$M$41,Inputs!$B$39&lt;&gt;"pvp"),CHOOSE(ArtifactsInput!$N$41+1,5,6,7,8,9,10)*IF(OR(Inputs!$B$4="Weapon Dungeon",Inputs!$B$4="Equipment Dungeon",Inputs!$B$4="Enhancement Dungeon",Inputs!$B$4="EXP Dungeon",Inputs!$B$4="Hero Dungeon"),3,1),0)+IF(ArtifactsInput!$M$26,10*CHOOSE(ArtifactsInput!$N$26+1,1,1.2,1.4,1.6,1.8,2),0)+IF(AND(IF(ArtifactsInput!$M$20,FALSE,TRUE),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118">
      <c r="A2118">
        <f>Skills!A8</f>
        <v/>
      </c>
      <c r="B2118">
        <f>Skills!B8</f>
        <v/>
      </c>
      <c r="C2118">
        <f>Inputs!$B$3&gt;=60</f>
        <v/>
      </c>
      <c r="D2118">
        <f>IF(Skills!C8=1,60+Inputs!$B$25+Inputs!$B$29,IF(Skills!C8=2,90+Inputs!$B$26+Inputs!$B$29,IF(Skills!C8=3,120+Inputs!$B$27+Inputs!$B$29,MAX(0,(Inputs!$B$3-100)*3)+Inputs!$B$28+Inputs!$B$29)))</f>
        <v/>
      </c>
      <c r="E2118">
        <f>INDEX(FactorTable!$B$2:$Y$301, MATCH(ROUND(MIN(300,MAX(1,D2118)),0), FactorTable!$A$2:$A$301,0), Skills!M8+1)</f>
        <v/>
      </c>
      <c r="F2118">
        <f>IF(Skills!N8=TRUE,(Skills!L8/10)*(E2118/1000),Skills!L8/10)+Skills!O8</f>
        <v/>
      </c>
      <c r="G2118">
        <f>Skills!G8*IF(Skills!H8&gt;0,IF(Inputs!$B$39="pvp",MIN(Skills!I8,15),Skills!I8)/Skills!H8,1)</f>
        <v/>
      </c>
      <c r="H2118">
        <f>1-(1-Skills!J8/100)^Skills!K8</f>
        <v/>
      </c>
      <c r="I2118" t="inlineStr">
        <is>
          <t>1</t>
        </is>
      </c>
      <c r="J2118" t="inlineStr"/>
      <c r="K2118" t="inlineStr"/>
      <c r="L2118" t="inlineStr"/>
      <c r="M2118" t="inlineStr"/>
      <c r="N2118" t="inlineStr"/>
      <c r="O2118">
        <f>(1-Summary!$B$11)*T2118+Summary!$B$11*V2118</f>
        <v/>
      </c>
      <c r="P2118">
        <f>IF(B2156=0,0,O2118/B2156)</f>
        <v/>
      </c>
      <c r="Q2118" t="n">
        <v>0</v>
      </c>
      <c r="R2118" t="n">
        <v>0</v>
      </c>
      <c r="S2118">
        <f>IFERROR(O2118/N2118,0)</f>
        <v/>
      </c>
      <c r="T2118" t="n">
        <v>0</v>
      </c>
      <c r="V2118" t="n">
        <v>0</v>
      </c>
    </row>
    <row r="2119">
      <c r="A2119">
        <f>Skills!A9</f>
        <v/>
      </c>
      <c r="B2119">
        <f>Skills!B9</f>
        <v/>
      </c>
      <c r="C2119">
        <f>Inputs!$B$3&gt;=72</f>
        <v/>
      </c>
      <c r="D2119">
        <f>IF(Skills!C9=1,60+Inputs!$B$25+Inputs!$B$29,IF(Skills!C9=2,90+Inputs!$B$26+Inputs!$B$29,IF(Skills!C9=3,120+Inputs!$B$27+Inputs!$B$29,MAX(0,(Inputs!$B$3-100)*3)+Inputs!$B$28+Inputs!$B$29)))</f>
        <v/>
      </c>
      <c r="E2119">
        <f>INDEX(FactorTable!$B$2:$Y$301, MATCH(ROUND(MIN(300,MAX(1,D2119)),0), FactorTable!$A$2:$A$301,0), Skills!M9+1)</f>
        <v/>
      </c>
      <c r="F2119">
        <f>IF(Skills!N9=TRUE,(Skills!L9/10)*(E2119/1000),Skills!L9/10)+Skills!O9</f>
        <v/>
      </c>
      <c r="G2119">
        <f>Skills!G9*IF(Skills!H9&gt;0,IF(Inputs!$B$39="pvp",MIN(Skills!I9,15),Skills!I9)/Skills!H9,1)</f>
        <v/>
      </c>
      <c r="H2119">
        <f>1-(1-Skills!J9/100)^Skills!K9</f>
        <v/>
      </c>
      <c r="I2119" t="inlineStr">
        <is>
          <t>1</t>
        </is>
      </c>
      <c r="J2119">
        <f>((Inputs!$B$6*(1+Inputs!$B$7/100))+(((Inputs!$B$12*(1+Inputs!$B$13/100))-(Inputs!$B$12*(1+Inputs!$B$13/100)))+0.25*(Inputs!$B$14-Inputs!$B$14))*(1+Inputs!$B$7/100))*(F2119/100)</f>
        <v/>
      </c>
      <c r="K2119">
        <f>J2119*(1+((Inputs!$B$12*(1+Inputs!$B$13/100))*0.01+Inputs!$B$14*0.0025)/100)*(1+Inputs!$B$15/100)*(1+Inputs!$B$16/100)*(5000/(6000+Inputs!$B$43*(1-(100*(1-(1-Inputs!$B$19/100)*(1-CHOOSE(ArtifactsInput!$N$40+1,5,6,7,8,9,10)/100)^(ArtifactsInput!$M$40-ArtifactsInput!$M$40)))/100)))*(1+(Inputs!$B$24+((C2141=TRUE)*(F2141-Calc!F31))+((C2128=TRUE)*(F2128-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+3.3333333333333335*IF(C2129=TRUE,F2129,0)/100)*(1+(IF(Skills!A9="CRUEL_STAB",Inputs!$B$17+((C2138=TRUE)*(F2138-Calc!F28))+((IF(AND(Inputs!$B$39&lt;&gt;"pvp",Inputs!$B$44=0),1,IF(IF(Inputs!$B$39="pvp",15,Inputs!$B$44)-(B2155)&lt;=0,1,MAX(0,IF(Inputs!$B$39="pvp",15,Inputs!$B$44)-MAX(5,B2155))/(IF(Inputs!$B$39="pvp",15,Inputs!$B$44)-(B2155))))*(IF(AND(ArtifactsInput!$M$42,((Inputs!$B$9+((C2136=TRUE)*(F2136-Calc!F26))+B2144+(ArtifactsInput!$M$24-ArtifactsInput!$M$24)*CHOOSE(ArtifactsInput!$N$24+1,10,12,14,16,18,20)+IF(ArtifactsInput!$M$10,CHOOSE(ArtifactsInput!$N$10+1,15,18,21,24,27,30)*(IF(Inputs!$B$39="pvp",MIN(15,15)/15,IF(AND(Inputs!$B$39&lt;&gt;"pvp",Inputs!$B$44&gt;0),MIN(15,Inputs!$B$44)/(Inputs!$B$44),0))),0)))&gt;=100),MIN(100,((Inputs!$B$9+((C2136=TRUE)*(F2136-Calc!F26))+B2144+(ArtifactsInput!$M$24-ArtifactsInput!$M$24)*CHOOSE(ArtifactsInput!$N$24+1,10,12,14,16,18,20)+IF(ArtifactsInput!$M$10,CHOOSE(ArtifactsInput!$N$10+1,15,18,21,24,27,30)*(IF(Inputs!$B$39="pvp",MIN(15,15)/15,IF(AND(Inputs!$B$39&lt;&gt;"pvp",Inputs!$B$44&gt;0),MIN(15,Inputs!$B$44)/(Inputs!$B$44),0))),0)))-100),0))*CHOOSE(ArtifactsInput!$N$42+1,0.6,0.72,0.84,0.96,1.08,1.2))),Inputs!$B$18+((C2139=TRUE)*(F2139-Calc!F29))+(IF(AND(Inputs!$B$39&lt;&gt;"pvp",Inputs!$B$44=0),1,IF(IF(Inputs!$B$39="pvp",15,Inputs!$B$44)-(B2155)&lt;=0,1,MAX(0,IF(Inputs!$B$39="pvp",15,Inputs!$B$44)-MAX(5,B2155))/(IF(Inputs!$B$39="pvp",15,Inputs!$B$44)-(B2155))))*IF(AND(ArtifactsInput!$M$42,((Inputs!$B$9+((C2136=TRUE)*(F2136-Calc!F26))+B2144+(ArtifactsInput!$M$24-ArtifactsInput!$M$24)*CHOOSE(ArtifactsInput!$N$24+1,10,12,14,16,18,20)+IF(ArtifactsInput!$M$10,CHOOSE(ArtifactsInput!$N$10+1,15,18,21,24,27,30)*(IF(Inputs!$B$39="pvp",MIN(15,15)/15,IF(AND(Inputs!$B$39&lt;&gt;"pvp",Inputs!$B$44&gt;0),MIN(15,Inputs!$B$44)/(Inputs!$B$44),0))),0)))&gt;=100),CHOOSE(ArtifactsInput!$N$42+1,40,48,56,64,72,80),0))))/100)*(((1+(((C2132=TRUE)*F2132*IF(AND(Inputs!$B$39&lt;&gt;"pvp",Inputs!$B$44&gt;0),(((R2132-1)*MIN((Skills!Y22*(1+Inputs!$B$34/100)),(1/Q2132))+MIN((Skills!Y22*(1+Inputs!$B$34/100)),MAX(0,Inputs!$B$44-((R2132-1)*(1/Q2132)))))/Inputs!$B$44),IF(Inputs!$B$39="pvp",MIN((Skills!Y22*(1+Inputs!$B$34/100)),15)/15,MIN(1,(Skills!Y22*(1+Inputs!$B$34/100))/(1/Q2132)))))+((C2113=TRUE)*F2113*3)+((C2115=TRUE)*F2115*(1-EXP(-0.75*B2148*5)))+((C2134=TRUE)*(F2134-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2121=TRUE)*F2121*IF(AND(Inputs!$B$39&lt;&gt;"pvp",Inputs!$B$44&gt;0),(((R2121-1)*MIN((Skills!Y11*(1+Inputs!$B$34/100)),(1/Q2121))+MIN((Skills!Y11*(1+Inputs!$B$34/100)),MAX(0,Inputs!$B$44-((R2121-1)*(1/Q2121)))))/Inputs!$B$44),IF(Inputs!$B$39="pvp",MIN((Skills!Y11*(1+Inputs!$B$34/100)),15)/15,MIN(1,(Skills!Y11*(1+Inputs!$B$34/100))/(1/Q2121)))))/100)*(1+((C2126=TRUE)*F2126*IF(AND(Inputs!$B$39&lt;&gt;"pvp",Inputs!$B$44&gt;0),(((R2126-1)*MIN((Skills!Y16*(1+Inputs!$B$34/100)),(1/Q2126))+MIN((Skills!Y16*(1+Inputs!$B$34/100)),MAX(0,Inputs!$B$44-((R2126-1)*(1/Q2126)))))/Inputs!$B$44),IF(Inputs!$B$39="pvp",MIN((Skills!Y16*(1+Inputs!$B$34/100)),15)/15,MIN(1,(Skills!Y16*(1+Inputs!$B$34/100))/(1/Q2126)))))/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2146*I2119)</f>
        <v/>
      </c>
      <c r="L2119">
        <f>K2119*(MIN(Inputs!$B$22+((C2135=TRUE)*(F2135-Calc!F25)),(Inputs!$B$23+((C2140=TRUE)*(F2140-Calc!F30))+IF(ArtifactsInput!$M$15,CHOOSE(ArtifactsInput!$N$15+1,25,30,35,40,45,50)/100*(Inputs!$B$11-Inputs!$B$11),0)))/100+(Inputs!$B$23+((C2140=TRUE)*(F2140-Calc!F30))+IF(ArtifactsInput!$M$15,CHOOSE(ArtifactsInput!$N$15+1,25,30,35,40,45,50)/100*(Inputs!$B$11-Inputs!$B$11),0))/100)/2</f>
        <v/>
      </c>
      <c r="M2119">
        <f>L2119*(1+(Inputs!$B$10+((C2137=TRUE)*(F2137-Calc!F27))+B2151+(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2119">
        <f>L2119*(1-MIN((Inputs!$B$9+((C2136=TRUE)*(F2136-Calc!F26))+B2144+(ArtifactsInput!$M$24-ArtifactsInput!$M$24)*CHOOSE(ArtifactsInput!$N$24+1,10,12,14,16,18,20)+(IF(AND(Inputs!$B$39&lt;&gt;"pvp",Inputs!$B$44=0),1,IF(IF(Inputs!$B$39="pvp",15,Inputs!$B$44)-(B2155)&lt;=0,1,MAX(0,IF(Inputs!$B$39="pvp",15,Inputs!$B$44)-MAX(5,B2155))/(IF(Inputs!$B$39="pvp",15,Inputs!$B$44)-(B2155))))*IF(AND(ArtifactsInput!$M$42,((Inputs!$B$9+((C2136=TRUE)*(F2136-Calc!F26))+B2144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2119*(MIN((Inputs!$B$9+((C2136=TRUE)*(F2136-Calc!F26))+B2144+(ArtifactsInput!$M$24-ArtifactsInput!$M$24)*CHOOSE(ArtifactsInput!$N$24+1,10,12,14,16,18,20)+(IF(AND(Inputs!$B$39&lt;&gt;"pvp",Inputs!$B$44=0),1,IF(IF(Inputs!$B$39="pvp",15,Inputs!$B$44)-(B2155)&lt;=0,1,MAX(0,IF(Inputs!$B$39="pvp",15,Inputs!$B$44)-MAX(5,B2155))/(IF(Inputs!$B$39="pvp",15,Inputs!$B$44)-(B2155))))*IF(AND(ArtifactsInput!$M$42,((Inputs!$B$9+((C2136=TRUE)*(F2136-Calc!F26))+B2144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119">
        <f>(1-Summary!$B$11)*T2119+Summary!$B$11*V2119</f>
        <v/>
      </c>
      <c r="P2119">
        <f>IF(B2156=0,0,O2119/B2156)</f>
        <v/>
      </c>
      <c r="Q2119">
        <f>IFERROR(1/IF(Inputs!$B$39="pvp",15,MAX(0.1,Skills!D9-IF(FALSE=TRUE,Inputs!$B$32,0))),0)</f>
        <v/>
      </c>
      <c r="R2119">
        <f>IF(AND(Inputs!$B$39&lt;&gt;"pvp",Inputs!$B$44&gt;0),IF(MAX(0,Inputs!$B$44-B2155)&lt;=0,0,(INT(MAX(0,Inputs!$B$44-B2155)/IF(Inputs!$B$39="pvp",15,MAX(0.1,Skills!D9-IF(FALSE=TRUE,Inputs!$B$32,0))))+1)),0)</f>
        <v/>
      </c>
      <c r="S2119">
        <f>IFERROR(O2119/N2119,0)</f>
        <v/>
      </c>
      <c r="T2119">
        <f>IF(C2119,(H2119*N2119*IF(AND(Inputs!$B$39&lt;&gt;"pvp",Inputs!$B$44&gt;0),((Skills!G9*((R2119-1)*IF(Skills!H9&gt;0,Skills!I9/Skills!H9,1)+IF(Skills!H9&gt;0,MIN(Skills!I9,MAX(0,MAX(0,Inputs!$B$44-B2155)-((R2119-1)*IF(Inputs!$B$39="pvp",15,MAX(0.1,Skills!D9-IF(FALSE=TRUE,Inputs!$B$32,0))))))/Skills!H9,1)))/Inputs!$B$44),G2119*Q2119))*IF(Inputs!$B$39="pvp",1,1+(Inputs!$B$20+0+Skills!P9+B2145+(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Hunt"),CHOOSE(ArtifactsInput!$N$35+1,15,18,21,24,27,30)*(1-EXP(-(0.2*B2148)*5)),0)+IF(AND(ArtifactsInput!$M$22,Inputs!$B$4&lt;&gt;"Chapter Hunt"),CHOOSE(ArtifactsInput!$N$22+1,10,12,14,16,18,20)*((0*(((0.15*B2148*5))^0/1)+1*(((0.15*B2148*5))^1/1)+2*(((0.15*B2148*5))^2/2)+3*(((0.15*B2148*5))^3/6)+4*(((0.15*B2148*5))^4/24)+5*(((0.15*B2148*5))^5/120))/((((0.15*B2148*5))^0/1)+(((0.15*B2148*5))^1/1)+(((0.15*B2148*5))^2/2)+(((0.15*B2148*5))^3/6)+(((0.15*B2148*5))^4/24)+(((0.15*B2148*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2119*(1-MIN(100,(Inputs!$B$9+((C2136=TRUE)*(F2136-Calc!F26))+B2144+(ArtifactsInput!$M$24-ArtifactsInput!$M$24)*CHOOSE(ArtifactsInput!$N$24+1,10,12,14,16,18,20)+(IF(AND(Inputs!$B$39&lt;&gt;"pvp",Inputs!$B$44=0),1,IF(IF(Inputs!$B$39="pvp",15,Inputs!$B$44)-(B2155)&lt;=0,1,MAX(0,IF(Inputs!$B$39="pvp",15,Inputs!$B$44)-MAX(5,B2155))/(IF(Inputs!$B$39="pvp",15,Inputs!$B$44)-(B2155))))*IF(AND(ArtifactsInput!$M$42,((Inputs!$B$9+((C2136=TRUE)*(F2136-Calc!F26))+B2144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2119*(MIN(100,(Inputs!$B$9+((C2136=TRUE)*(F2136-Calc!F26))+B2144+(ArtifactsInput!$M$24-ArtifactsInput!$M$24)*CHOOSE(ArtifactsInput!$N$24+1,10,12,14,16,18,20)+(IF(AND(Inputs!$B$39&lt;&gt;"pvp",Inputs!$B$44=0),1,IF(IF(Inputs!$B$39="pvp",15,Inputs!$B$44)-(B2155)&lt;=0,1,MAX(0,IF(Inputs!$B$39="pvp",15,Inputs!$B$44)-MAX(5,B2155))/(IF(Inputs!$B$39="pvp",15,Inputs!$B$44)-(B2155))))*IF(AND(ArtifactsInput!$M$42,((Inputs!$B$9+((C2136=TRUE)*(F2136-Calc!F26))+B2144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2119*(1-MIN(100,(Inputs!$B$9+((C2136=TRUE)*(F2136-Calc!F26))+B2144+(ArtifactsInput!$M$24-ArtifactsInput!$M$24)*CHOOSE(ArtifactsInput!$N$24+1,10,12,14,16,18,20)+(IF(AND(Inputs!$B$39&lt;&gt;"pvp",Inputs!$B$44=0),1,IF(IF(Inputs!$B$39="pvp",15,Inputs!$B$44)-(B2155)&lt;=0,1,MAX(0,IF(Inputs!$B$39="pvp",15,Inputs!$B$44)-MAX(5,B2155))/(IF(Inputs!$B$39="pvp",15,Inputs!$B$44)-(B2155))))*IF(AND(ArtifactsInput!$M$42,((Inputs!$B$9+((C2136=TRUE)*(F2136-Calc!F26))+B2144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2119*(MIN(100,(Inputs!$B$9+((C2136=TRUE)*(F2136-Calc!F26))+B2144+(ArtifactsInput!$M$24-ArtifactsInput!$M$24)*CHOOSE(ArtifactsInput!$N$24+1,10,12,14,16,18,20)+(IF(AND(Inputs!$B$39&lt;&gt;"pvp",Inputs!$B$44=0),1,IF(IF(Inputs!$B$39="pvp",15,Inputs!$B$44)-(B2155)&lt;=0,1,MAX(0,IF(Inputs!$B$39="pvp",15,Inputs!$B$44)-MAX(5,B2155))/(IF(Inputs!$B$39="pvp",15,Inputs!$B$44)-(B2155))))*IF(AND(ArtifactsInput!$M$42,((Inputs!$B$9+((C2136=TRUE)*(F2136-Calc!F26))+B2144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IF(ArtifactsInput!$M$20,FALSE,TRUE),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119">
        <f>IF(C2119,(H2119*N2119*IF(AND(Inputs!$B$39&lt;&gt;"pvp",Inputs!$B$44&gt;0),((Skills!G9*((R2119-1)*IF(Skills!H9&gt;0,Skills!I9/Skills!H9,1)+IF(Skills!H9&gt;0,MIN(Skills!I9,MAX(0,MAX(0,Inputs!$B$44-B2155)-((R2119-1)*IF(Inputs!$B$39="pvp",15,MAX(0.1,Skills!D9-IF(FALSE=TRUE,Inputs!$B$32,0))))))/Skills!H9,1)))/Inputs!$B$44),G2119*Q2119))*IF(Inputs!$B$39="pvp",1,(1+(Inputs!$B$21+Skills!Q9+B2145+(IF(ArtifactsInput!$M$33,CHOOSE(ArtifactsInput!$N$33+1,30,36,42,48,54,60),0))+(IF(AND(ArtifactsInput!$M$35,Inputs!$B$4&lt;&gt;"Chapter Hunt"),CHOOSE(ArtifactsInput!$N$35+1,15,18,21,24,27,30)*(1-EXP(-(0.2*B2148)*5)),0)+IF(AND(ArtifactsInput!$M$22,Inputs!$B$4&lt;&gt;"Chapter Hunt"),CHOOSE(ArtifactsInput!$N$22+1,10,12,14,16,18,20)*((0*(((0.15*B2148*5))^0/1)+1*(((0.15*B2148*5))^1/1)+2*(((0.15*B2148*5))^2/2)+3*(((0.15*B2148*5))^3/6)+4*(((0.15*B2148*5))^4/24)+5*(((0.15*B2148*5))^5/120))/((((0.15*B2148*5))^0/1)+(((0.15*B2148*5))^1/1)+(((0.15*B2148*5))^2/2)+(((0.15*B2148*5))^3/6)+(((0.15*B2148*5))^4/24)+(((0.15*B2148*5))^5/120))),0)))/100)*(MIN(Skills!W9,Inputs!$B$37)))*((1+(IF(AND(ArtifactsInput!$M$41,Inputs!$B$39&lt;&gt;"pvp"),CHOOSE(ArtifactsInput!$N$41+1,5,6,7,8,9,10)*IF(OR(Inputs!$B$4="Weapon Dungeon",Inputs!$B$4="Equipment Dungeon",Inputs!$B$4="Enhancement Dungeon",Inputs!$B$4="EXP Dungeon",Inputs!$B$4="Hero Dungeon"),3,1),0)+IF(ArtifactsInput!$M$26,10*CHOOSE(ArtifactsInput!$N$26+1,1,1.2,1.4,1.6,1.8,2),0)+IF(AND(IF(ArtifactsInput!$M$20,FALSE,TRUE),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120">
      <c r="A2120">
        <f>Skills!A10</f>
        <v/>
      </c>
      <c r="B2120">
        <f>Skills!B10</f>
        <v/>
      </c>
      <c r="C2120">
        <f>Inputs!$B$3&gt;=117</f>
        <v/>
      </c>
      <c r="D2120">
        <f>IF(Skills!C10=1,60+Inputs!$B$25+Inputs!$B$29,IF(Skills!C10=2,90+Inputs!$B$26+Inputs!$B$29,IF(Skills!C10=3,120+Inputs!$B$27+Inputs!$B$29,MAX(0,(Inputs!$B$3-100)*3)+Inputs!$B$28+Inputs!$B$29)))</f>
        <v/>
      </c>
      <c r="E2120">
        <f>INDEX(FactorTable!$B$2:$Y$301, MATCH(ROUND(MIN(300,MAX(1,D2120)),0), FactorTable!$A$2:$A$301,0), Skills!M10+1)</f>
        <v/>
      </c>
      <c r="F2120">
        <f>IF(Skills!N10=TRUE,(Skills!L10/10)*(E2120/1000),Skills!L10/10)+Skills!O10</f>
        <v/>
      </c>
      <c r="G2120">
        <f>Skills!G10*IF(Skills!H10&gt;0,IF(Inputs!$B$39="pvp",MIN(Skills!I10,15),Skills!I10)/Skills!H10,1)</f>
        <v/>
      </c>
      <c r="H2120">
        <f>1-(1-Skills!J10/100)^Skills!K10</f>
        <v/>
      </c>
      <c r="I2120" t="inlineStr">
        <is>
          <t>1</t>
        </is>
      </c>
      <c r="J2120">
        <f>((Inputs!$B$6*(1+Inputs!$B$7/100))+(((Inputs!$B$12*(1+Inputs!$B$13/100))-(Inputs!$B$12*(1+Inputs!$B$13/100)))+0.25*(Inputs!$B$14-Inputs!$B$14))*(1+Inputs!$B$7/100))*(F2120/100)</f>
        <v/>
      </c>
      <c r="K2120">
        <f>J2120*(1+((Inputs!$B$12*(1+Inputs!$B$13/100))*0.01+Inputs!$B$14*0.0025)/100)*(1+Inputs!$B$15/100)*(1+Inputs!$B$16/100)*(5000/(6000+Inputs!$B$43*(1-(100*(1-(1-Inputs!$B$19/100)*(1-CHOOSE(ArtifactsInput!$N$40+1,5,6,7,8,9,10)/100)^(ArtifactsInput!$M$40-ArtifactsInput!$M$40)))/100)))*(1+(Inputs!$B$24+((C2141=TRUE)*(F2141-Calc!F31))+((C2128=TRUE)*(F2128-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10="CRUEL_STAB",Inputs!$B$17+((C2138=TRUE)*(F2138-Calc!F28))+((IF(AND(Inputs!$B$39&lt;&gt;"pvp",Inputs!$B$44=0),1,IF(IF(Inputs!$B$39="pvp",15,Inputs!$B$44)-(B2155)&lt;=0,1,MAX(0,IF(Inputs!$B$39="pvp",15,Inputs!$B$44)-MAX(5,B2155))/(IF(Inputs!$B$39="pvp",15,Inputs!$B$44)-(B2155))))*(IF(AND(ArtifactsInput!$M$42,((Inputs!$B$9+((C2136=TRUE)*(F2136-Calc!F26))+B2144+(ArtifactsInput!$M$24-ArtifactsInput!$M$24)*CHOOSE(ArtifactsInput!$N$24+1,10,12,14,16,18,20)+IF(ArtifactsInput!$M$10,CHOOSE(ArtifactsInput!$N$10+1,15,18,21,24,27,30)*(IF(Inputs!$B$39="pvp",MIN(15,15)/15,IF(AND(Inputs!$B$39&lt;&gt;"pvp",Inputs!$B$44&gt;0),MIN(15,Inputs!$B$44)/(Inputs!$B$44),0))),0)))&gt;=100),MIN(100,((Inputs!$B$9+((C2136=TRUE)*(F2136-Calc!F26))+B2144+(ArtifactsInput!$M$24-ArtifactsInput!$M$24)*CHOOSE(ArtifactsInput!$N$24+1,10,12,14,16,18,20)+IF(ArtifactsInput!$M$10,CHOOSE(ArtifactsInput!$N$10+1,15,18,21,24,27,30)*(IF(Inputs!$B$39="pvp",MIN(15,15)/15,IF(AND(Inputs!$B$39&lt;&gt;"pvp",Inputs!$B$44&gt;0),MIN(15,Inputs!$B$44)/(Inputs!$B$44),0))),0)))-100),0))*CHOOSE(ArtifactsInput!$N$42+1,0.6,0.72,0.84,0.96,1.08,1.2))),Inputs!$B$18+((C2139=TRUE)*(F2139-Calc!F29))+(IF(AND(Inputs!$B$39&lt;&gt;"pvp",Inputs!$B$44=0),1,IF(IF(Inputs!$B$39="pvp",15,Inputs!$B$44)-(B2155)&lt;=0,1,MAX(0,IF(Inputs!$B$39="pvp",15,Inputs!$B$44)-MAX(5,B2155))/(IF(Inputs!$B$39="pvp",15,Inputs!$B$44)-(B2155))))*IF(AND(ArtifactsInput!$M$42,((Inputs!$B$9+((C2136=TRUE)*(F2136-Calc!F26))+B2144+(ArtifactsInput!$M$24-ArtifactsInput!$M$24)*CHOOSE(ArtifactsInput!$N$24+1,10,12,14,16,18,20)+IF(ArtifactsInput!$M$10,CHOOSE(ArtifactsInput!$N$10+1,15,18,21,24,27,30)*(IF(Inputs!$B$39="pvp",MIN(15,15)/15,IF(AND(Inputs!$B$39&lt;&gt;"pvp",Inputs!$B$44&gt;0),MIN(15,Inputs!$B$44)/(Inputs!$B$44),0))),0)))&gt;=100),CHOOSE(ArtifactsInput!$N$42+1,40,48,56,64,72,80),0))))/100)*(((1+(((C2132=TRUE)*F2132*IF(AND(Inputs!$B$39&lt;&gt;"pvp",Inputs!$B$44&gt;0),(((R2132-1)*MIN((Skills!Y22*(1+Inputs!$B$34/100)),(1/Q2132))+MIN((Skills!Y22*(1+Inputs!$B$34/100)),MAX(0,Inputs!$B$44-((R2132-1)*(1/Q2132)))))/Inputs!$B$44),IF(Inputs!$B$39="pvp",MIN((Skills!Y22*(1+Inputs!$B$34/100)),15)/15,MIN(1,(Skills!Y22*(1+Inputs!$B$34/100))/(1/Q2132)))))+((C2113=TRUE)*F2113*3)+((C2115=TRUE)*F2115*(1-EXP(-0.75*B2148*5)))+((C2134=TRUE)*(F2134-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2121=TRUE)*F2121*IF(AND(Inputs!$B$39&lt;&gt;"pvp",Inputs!$B$44&gt;0),(((R2121-1)*MIN((Skills!Y11*(1+Inputs!$B$34/100)),(1/Q2121))+MIN((Skills!Y11*(1+Inputs!$B$34/100)),MAX(0,Inputs!$B$44-((R2121-1)*(1/Q2121)))))/Inputs!$B$44),IF(Inputs!$B$39="pvp",MIN((Skills!Y11*(1+Inputs!$B$34/100)),15)/15,MIN(1,(Skills!Y11*(1+Inputs!$B$34/100))/(1/Q2121)))))/100)*(1+((C2126=TRUE)*F2126*IF(AND(Inputs!$B$39&lt;&gt;"pvp",Inputs!$B$44&gt;0),(((R2126-1)*MIN((Skills!Y16*(1+Inputs!$B$34/100)),(1/Q2126))+MIN((Skills!Y16*(1+Inputs!$B$34/100)),MAX(0,Inputs!$B$44-((R2126-1)*(1/Q2126)))))/Inputs!$B$44),IF(Inputs!$B$39="pvp",MIN((Skills!Y16*(1+Inputs!$B$34/100)),15)/15,MIN(1,(Skills!Y16*(1+Inputs!$B$34/100))/(1/Q2126)))))/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2146*I2120)</f>
        <v/>
      </c>
      <c r="L2120">
        <f>K2120*(MIN(Inputs!$B$22+((C2135=TRUE)*(F2135-Calc!F25)),(Inputs!$B$23+((C2140=TRUE)*(F2140-Calc!F30))+IF(ArtifactsInput!$M$15,CHOOSE(ArtifactsInput!$N$15+1,25,30,35,40,45,50)/100*(Inputs!$B$11-Inputs!$B$11),0)))/100+(Inputs!$B$23+((C2140=TRUE)*(F2140-Calc!F30))+IF(ArtifactsInput!$M$15,CHOOSE(ArtifactsInput!$N$15+1,25,30,35,40,45,50)/100*(Inputs!$B$11-Inputs!$B$11),0))/100)/2</f>
        <v/>
      </c>
      <c r="M2120">
        <f>L2120*(1+(Inputs!$B$10+((C2137=TRUE)*(F2137-Calc!F27))+B2151+(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2120">
        <f>L2120*(1-MIN((Inputs!$B$9+((C2136=TRUE)*(F2136-Calc!F26))+B2144+(ArtifactsInput!$M$24-ArtifactsInput!$M$24)*CHOOSE(ArtifactsInput!$N$24+1,10,12,14,16,18,20)+(IF(AND(Inputs!$B$39&lt;&gt;"pvp",Inputs!$B$44=0),1,IF(IF(Inputs!$B$39="pvp",15,Inputs!$B$44)-(B2155)&lt;=0,1,MAX(0,IF(Inputs!$B$39="pvp",15,Inputs!$B$44)-MAX(5,B2155))/(IF(Inputs!$B$39="pvp",15,Inputs!$B$44)-(B2155))))*IF(AND(ArtifactsInput!$M$42,((Inputs!$B$9+((C2136=TRUE)*(F2136-Calc!F26))+B2144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2120*(MIN((Inputs!$B$9+((C2136=TRUE)*(F2136-Calc!F26))+B2144+(ArtifactsInput!$M$24-ArtifactsInput!$M$24)*CHOOSE(ArtifactsInput!$N$24+1,10,12,14,16,18,20)+(IF(AND(Inputs!$B$39&lt;&gt;"pvp",Inputs!$B$44=0),1,IF(IF(Inputs!$B$39="pvp",15,Inputs!$B$44)-(B2155)&lt;=0,1,MAX(0,IF(Inputs!$B$39="pvp",15,Inputs!$B$44)-MAX(5,B2155))/(IF(Inputs!$B$39="pvp",15,Inputs!$B$44)-(B2155))))*IF(AND(ArtifactsInput!$M$42,((Inputs!$B$9+((C2136=TRUE)*(F2136-Calc!F26))+B2144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120">
        <f>(1-Summary!$B$11)*T2120+Summary!$B$11*V2120</f>
        <v/>
      </c>
      <c r="P2120">
        <f>IF(B2156=0,0,O2120/B2156)</f>
        <v/>
      </c>
      <c r="Q2120" t="n">
        <v>0</v>
      </c>
      <c r="R2120" t="n">
        <v>0</v>
      </c>
      <c r="S2120" t="n">
        <v>0</v>
      </c>
      <c r="T2120">
        <f>IF(C2120,(0.2*SUMPRODUCT((Skills!Z2:Z31=TRUE)*(C2112:C2141=TRUE)*S2112:S2141)*N2120)*IF(Inputs!$B$39="pvp",1,1+(Inputs!$B$20+0+Skills!P10+B2145+(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Hunt"),CHOOSE(ArtifactsInput!$N$35+1,15,18,21,24,27,30)*(1-EXP(-(0.2*B2148)*5)),0)+IF(AND(ArtifactsInput!$M$22,Inputs!$B$4&lt;&gt;"Chapter Hunt"),CHOOSE(ArtifactsInput!$N$22+1,10,12,14,16,18,20)*((0*(((0.15*B2148*5))^0/1)+1*(((0.15*B2148*5))^1/1)+2*(((0.15*B2148*5))^2/2)+3*(((0.15*B2148*5))^3/6)+4*(((0.15*B2148*5))^4/24)+5*(((0.15*B2148*5))^5/120))/((((0.15*B2148*5))^0/1)+(((0.15*B2148*5))^1/1)+(((0.15*B2148*5))^2/2)+(((0.15*B2148*5))^3/6)+(((0.15*B2148*5))^4/24)+(((0.15*B2148*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2120*(1-MIN(100,(Inputs!$B$9+((C2136=TRUE)*(F2136-Calc!F26))+B2144+(ArtifactsInput!$M$24-ArtifactsInput!$M$24)*CHOOSE(ArtifactsInput!$N$24+1,10,12,14,16,18,20)+(IF(AND(Inputs!$B$39&lt;&gt;"pvp",Inputs!$B$44=0),1,IF(IF(Inputs!$B$39="pvp",15,Inputs!$B$44)-(B2155)&lt;=0,1,MAX(0,IF(Inputs!$B$39="pvp",15,Inputs!$B$44)-MAX(5,B2155))/(IF(Inputs!$B$39="pvp",15,Inputs!$B$44)-(B2155))))*IF(AND(ArtifactsInput!$M$42,((Inputs!$B$9+((C2136=TRUE)*(F2136-Calc!F26))+B2144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2120*(MIN(100,(Inputs!$B$9+((C2136=TRUE)*(F2136-Calc!F26))+B2144+(ArtifactsInput!$M$24-ArtifactsInput!$M$24)*CHOOSE(ArtifactsInput!$N$24+1,10,12,14,16,18,20)+(IF(AND(Inputs!$B$39&lt;&gt;"pvp",Inputs!$B$44=0),1,IF(IF(Inputs!$B$39="pvp",15,Inputs!$B$44)-(B2155)&lt;=0,1,MAX(0,IF(Inputs!$B$39="pvp",15,Inputs!$B$44)-MAX(5,B2155))/(IF(Inputs!$B$39="pvp",15,Inputs!$B$44)-(B2155))))*IF(AND(ArtifactsInput!$M$42,((Inputs!$B$9+((C2136=TRUE)*(F2136-Calc!F26))+B2144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2120*(1-MIN(100,(Inputs!$B$9+((C2136=TRUE)*(F2136-Calc!F26))+B2144+(ArtifactsInput!$M$24-ArtifactsInput!$M$24)*CHOOSE(ArtifactsInput!$N$24+1,10,12,14,16,18,20)+(IF(AND(Inputs!$B$39&lt;&gt;"pvp",Inputs!$B$44=0),1,IF(IF(Inputs!$B$39="pvp",15,Inputs!$B$44)-(B2155)&lt;=0,1,MAX(0,IF(Inputs!$B$39="pvp",15,Inputs!$B$44)-MAX(5,B2155))/(IF(Inputs!$B$39="pvp",15,Inputs!$B$44)-(B2155))))*IF(AND(ArtifactsInput!$M$42,((Inputs!$B$9+((C2136=TRUE)*(F2136-Calc!F26))+B2144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2120*(MIN(100,(Inputs!$B$9+((C2136=TRUE)*(F2136-Calc!F26))+B2144+(ArtifactsInput!$M$24-ArtifactsInput!$M$24)*CHOOSE(ArtifactsInput!$N$24+1,10,12,14,16,18,20)+(IF(AND(Inputs!$B$39&lt;&gt;"pvp",Inputs!$B$44=0),1,IF(IF(Inputs!$B$39="pvp",15,Inputs!$B$44)-(B2155)&lt;=0,1,MAX(0,IF(Inputs!$B$39="pvp",15,Inputs!$B$44)-MAX(5,B2155))/(IF(Inputs!$B$39="pvp",15,Inputs!$B$44)-(B2155))))*IF(AND(ArtifactsInput!$M$42,((Inputs!$B$9+((C2136=TRUE)*(F2136-Calc!F26))+B2144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IF(ArtifactsInput!$M$20,FALSE,TRUE),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120">
        <f>IF(C2120,(0.2*SUMPRODUCT((Skills!Z2:Z31=TRUE)*(C2112:C2141=TRUE)*S2112:S2141)*N2120)*IF(Inputs!$B$39="pvp",1,(1+(Inputs!$B$21+Skills!Q10+B2145+(IF(ArtifactsInput!$M$33,CHOOSE(ArtifactsInput!$N$33+1,30,36,42,48,54,60),0))+(IF(AND(ArtifactsInput!$M$35,Inputs!$B$4&lt;&gt;"Chapter Hunt"),CHOOSE(ArtifactsInput!$N$35+1,15,18,21,24,27,30)*(1-EXP(-(0.2*B2148)*5)),0)+IF(AND(ArtifactsInput!$M$22,Inputs!$B$4&lt;&gt;"Chapter Hunt"),CHOOSE(ArtifactsInput!$N$22+1,10,12,14,16,18,20)*((0*(((0.15*B2148*5))^0/1)+1*(((0.15*B2148*5))^1/1)+2*(((0.15*B2148*5))^2/2)+3*(((0.15*B2148*5))^3/6)+4*(((0.15*B2148*5))^4/24)+5*(((0.15*B2148*5))^5/120))/((((0.15*B2148*5))^0/1)+(((0.15*B2148*5))^1/1)+(((0.15*B2148*5))^2/2)+(((0.15*B2148*5))^3/6)+(((0.15*B2148*5))^4/24)+(((0.15*B2148*5))^5/120))),0)))/100)*(MIN(Skills!W10,Inputs!$B$37)))*((1+(IF(AND(ArtifactsInput!$M$41,Inputs!$B$39&lt;&gt;"pvp"),CHOOSE(ArtifactsInput!$N$41+1,5,6,7,8,9,10)*IF(OR(Inputs!$B$4="Weapon Dungeon",Inputs!$B$4="Equipment Dungeon",Inputs!$B$4="Enhancement Dungeon",Inputs!$B$4="EXP Dungeon",Inputs!$B$4="Hero Dungeon"),3,1),0)+IF(ArtifactsInput!$M$26,10*CHOOSE(ArtifactsInput!$N$26+1,1,1.2,1.4,1.6,1.8,2),0)+IF(AND(IF(ArtifactsInput!$M$20,FALSE,TRUE),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121">
      <c r="A2121">
        <f>Skills!A11</f>
        <v/>
      </c>
      <c r="B2121">
        <f>Skills!B11</f>
        <v/>
      </c>
      <c r="C2121">
        <f>Inputs!$B$3&gt;=74</f>
        <v/>
      </c>
      <c r="D2121">
        <f>IF(Skills!C11=1,60+Inputs!$B$25+Inputs!$B$29,IF(Skills!C11=2,90+Inputs!$B$26+Inputs!$B$29,IF(Skills!C11=3,120+Inputs!$B$27+Inputs!$B$29,MAX(0,(Inputs!$B$3-100)*3)+Inputs!$B$28+Inputs!$B$29)))</f>
        <v/>
      </c>
      <c r="E2121">
        <f>INDEX(FactorTable!$B$2:$Y$301, MATCH(ROUND(MIN(300,MAX(1,D2121)),0), FactorTable!$A$2:$A$301,0), Skills!M11+1)</f>
        <v/>
      </c>
      <c r="F2121">
        <f>IF(Skills!N11=TRUE,(Skills!L11/10)*(E2121/1000),Skills!L11/10)+Skills!O11</f>
        <v/>
      </c>
      <c r="G2121">
        <f>Skills!G11*IF(Skills!H11&gt;0,IF(Inputs!$B$39="pvp",MIN(Skills!I11,15),Skills!I11)/Skills!H11,1)</f>
        <v/>
      </c>
      <c r="H2121">
        <f>1-(1-Skills!J11/100)^Skills!K11</f>
        <v/>
      </c>
      <c r="I2121" t="inlineStr">
        <is>
          <t>1</t>
        </is>
      </c>
      <c r="J2121" t="inlineStr"/>
      <c r="K2121" t="inlineStr"/>
      <c r="L2121" t="inlineStr"/>
      <c r="M2121" t="inlineStr"/>
      <c r="N2121" t="inlineStr"/>
      <c r="O2121">
        <f>(1-Summary!$B$11)*T2121+Summary!$B$11*V2121</f>
        <v/>
      </c>
      <c r="P2121">
        <f>IF(B2156=0,0,O2121/B2156)</f>
        <v/>
      </c>
      <c r="Q2121">
        <f>IFERROR(1/IF(Inputs!$B$39="pvp",15,MAX(0.1,Skills!D11-IF(TRUE=TRUE,Inputs!$B$32,0))),0)</f>
        <v/>
      </c>
      <c r="R2121">
        <f>IF(AND(Inputs!$B$39&lt;&gt;"pvp",Inputs!$B$44&gt;0),IF(Inputs!$B$44&lt;=0,0,(INT(Inputs!$B$44/IF(Inputs!$B$39="pvp",15,MAX(0.1,Skills!D11-IF(TRUE=TRUE,Inputs!$B$32,0))))+1)),0)</f>
        <v/>
      </c>
      <c r="S2121">
        <f>IFERROR(O2121/N2121,0)</f>
        <v/>
      </c>
      <c r="T2121" t="n">
        <v>0</v>
      </c>
      <c r="V2121" t="n">
        <v>0</v>
      </c>
    </row>
    <row r="2122">
      <c r="A2122">
        <f>Skills!A12</f>
        <v/>
      </c>
      <c r="B2122">
        <f>Skills!B12</f>
        <v/>
      </c>
      <c r="C2122">
        <f>Inputs!$B$3&gt;=103</f>
        <v/>
      </c>
      <c r="D2122">
        <f>IF(Skills!C12=1,60+Inputs!$B$25+Inputs!$B$29,IF(Skills!C12=2,90+Inputs!$B$26+Inputs!$B$29,IF(Skills!C12=3,120+Inputs!$B$27+Inputs!$B$29,MAX(0,(Inputs!$B$3-100)*3)+Inputs!$B$28+Inputs!$B$29)))</f>
        <v/>
      </c>
      <c r="E2122">
        <f>INDEX(FactorTable!$B$2:$Y$301, MATCH(ROUND(MIN(300,MAX(1,D2122)),0), FactorTable!$A$2:$A$301,0), Skills!M12+1)</f>
        <v/>
      </c>
      <c r="F2122">
        <f>(Skills!L12/10)*(E2122/1000)+IF(Inputs!$B$3&gt;=134,50,0)+0.5*(30000/10)*(INDEX(FactorTable!$B$2:$Y$301, MATCH(ROUND(MIN(300,MAX(1,D2122)),0), FactorTable!$A$2:$A$301,0), 13)/1000)*B2154</f>
        <v/>
      </c>
      <c r="G2122">
        <f>Skills!G12*IF(Skills!H12&gt;0,IF(Inputs!$B$39="pvp",MIN(Skills!I12,15),Skills!I12)/Skills!H12,1)</f>
        <v/>
      </c>
      <c r="H2122">
        <f>1-(1-Skills!J12/100)^Skills!K12</f>
        <v/>
      </c>
      <c r="I2122" t="inlineStr">
        <is>
          <t>1</t>
        </is>
      </c>
      <c r="J2122">
        <f>((Inputs!$B$6*(1+Inputs!$B$7/100))+(((Inputs!$B$12*(1+Inputs!$B$13/100))-(Inputs!$B$12*(1+Inputs!$B$13/100)))+0.25*(Inputs!$B$14-Inputs!$B$14))*(1+Inputs!$B$7/100))*(F2122/100)</f>
        <v/>
      </c>
      <c r="K2122">
        <f>J2122*(1+((Inputs!$B$12*(1+Inputs!$B$13/100))*0.01+Inputs!$B$14*0.0025)/100)*(1+Inputs!$B$15/100)*(1+Inputs!$B$16/100)*(5000/(6000+Inputs!$B$43*(1-(100*(1-(1-Inputs!$B$19/100)*(1-CHOOSE(ArtifactsInput!$N$40+1,5,6,7,8,9,10)/100)^(ArtifactsInput!$M$40-ArtifactsInput!$M$40)))/100)))*(1+(Inputs!$B$24+((C2141=TRUE)*(F2141-Calc!F31))+((C2128=TRUE)*(F2128-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12="CRUEL_STAB",Inputs!$B$17+((C2138=TRUE)*(F2138-Calc!F28))+((IF(AND(Inputs!$B$39&lt;&gt;"pvp",Inputs!$B$44=0),1,IF(IF(Inputs!$B$39="pvp",15,Inputs!$B$44)-(B2155)&lt;=0,1,MAX(0,IF(Inputs!$B$39="pvp",15,Inputs!$B$44)-MAX(5,B2155))/(IF(Inputs!$B$39="pvp",15,Inputs!$B$44)-(B2155))))*(IF(AND(ArtifactsInput!$M$42,((Inputs!$B$9+((C2136=TRUE)*(F2136-Calc!F26))+B2144+(ArtifactsInput!$M$24-ArtifactsInput!$M$24)*CHOOSE(ArtifactsInput!$N$24+1,10,12,14,16,18,20)+IF(ArtifactsInput!$M$10,CHOOSE(ArtifactsInput!$N$10+1,15,18,21,24,27,30)*(IF(Inputs!$B$39="pvp",MIN(15,15)/15,IF(AND(Inputs!$B$39&lt;&gt;"pvp",Inputs!$B$44&gt;0),MIN(15,Inputs!$B$44)/(Inputs!$B$44),0))),0)))&gt;=100),MIN(100,((Inputs!$B$9+((C2136=TRUE)*(F2136-Calc!F26))+B2144+(ArtifactsInput!$M$24-ArtifactsInput!$M$24)*CHOOSE(ArtifactsInput!$N$24+1,10,12,14,16,18,20)+IF(ArtifactsInput!$M$10,CHOOSE(ArtifactsInput!$N$10+1,15,18,21,24,27,30)*(IF(Inputs!$B$39="pvp",MIN(15,15)/15,IF(AND(Inputs!$B$39&lt;&gt;"pvp",Inputs!$B$44&gt;0),MIN(15,Inputs!$B$44)/(Inputs!$B$44),0))),0)))-100),0))*CHOOSE(ArtifactsInput!$N$42+1,0.6,0.72,0.84,0.96,1.08,1.2))),Inputs!$B$18+((C2139=TRUE)*(F2139-Calc!F29))+(IF(AND(Inputs!$B$39&lt;&gt;"pvp",Inputs!$B$44=0),1,IF(IF(Inputs!$B$39="pvp",15,Inputs!$B$44)-(B2155)&lt;=0,1,MAX(0,IF(Inputs!$B$39="pvp",15,Inputs!$B$44)-MAX(5,B2155))/(IF(Inputs!$B$39="pvp",15,Inputs!$B$44)-(B2155))))*IF(AND(ArtifactsInput!$M$42,((Inputs!$B$9+((C2136=TRUE)*(F2136-Calc!F26))+B2144+(ArtifactsInput!$M$24-ArtifactsInput!$M$24)*CHOOSE(ArtifactsInput!$N$24+1,10,12,14,16,18,20)+IF(ArtifactsInput!$M$10,CHOOSE(ArtifactsInput!$N$10+1,15,18,21,24,27,30)*(IF(Inputs!$B$39="pvp",MIN(15,15)/15,IF(AND(Inputs!$B$39&lt;&gt;"pvp",Inputs!$B$44&gt;0),MIN(15,Inputs!$B$44)/(Inputs!$B$44),0))),0)))&gt;=100),CHOOSE(ArtifactsInput!$N$42+1,40,48,56,64,72,80),0))))/100)*(((1+(((C2132=TRUE)*F2132*IF(AND(Inputs!$B$39&lt;&gt;"pvp",Inputs!$B$44&gt;0),(((R2132-1)*MIN((Skills!Y22*(1+Inputs!$B$34/100)),(1/Q2132))+MIN((Skills!Y22*(1+Inputs!$B$34/100)),MAX(0,Inputs!$B$44-((R2132-1)*(1/Q2132)))))/Inputs!$B$44),IF(Inputs!$B$39="pvp",MIN((Skills!Y22*(1+Inputs!$B$34/100)),15)/15,MIN(1,(Skills!Y22*(1+Inputs!$B$34/100))/(1/Q2132)))))+((C2113=TRUE)*F2113*3)+((C2115=TRUE)*F2115*(1-EXP(-0.75*B2148*5)))+((C2134=TRUE)*(F2134-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2121=TRUE)*F2121*IF(AND(Inputs!$B$39&lt;&gt;"pvp",Inputs!$B$44&gt;0),(((R2121-1)*MIN((Skills!Y11*(1+Inputs!$B$34/100)),(1/Q2121))+MIN((Skills!Y11*(1+Inputs!$B$34/100)),MAX(0,Inputs!$B$44-((R2121-1)*(1/Q2121)))))/Inputs!$B$44),IF(Inputs!$B$39="pvp",MIN((Skills!Y11*(1+Inputs!$B$34/100)),15)/15,MIN(1,(Skills!Y11*(1+Inputs!$B$34/100))/(1/Q2121)))))/100)*(1+((C2126=TRUE)*F2126*IF(AND(Inputs!$B$39&lt;&gt;"pvp",Inputs!$B$44&gt;0),(((R2126-1)*MIN((Skills!Y16*(1+Inputs!$B$34/100)),(1/Q2126))+MIN((Skills!Y16*(1+Inputs!$B$34/100)),MAX(0,Inputs!$B$44-((R2126-1)*(1/Q2126)))))/Inputs!$B$44),IF(Inputs!$B$39="pvp",MIN((Skills!Y16*(1+Inputs!$B$34/100)),15)/15,MIN(1,(Skills!Y16*(1+Inputs!$B$34/100))/(1/Q2126)))))/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2146*I2122)</f>
        <v/>
      </c>
      <c r="L2122">
        <f>K2122*(MIN(Inputs!$B$22+((C2135=TRUE)*(F2135-Calc!F25)),(Inputs!$B$23+((C2140=TRUE)*(F2140-Calc!F30))+IF(ArtifactsInput!$M$15,CHOOSE(ArtifactsInput!$N$15+1,25,30,35,40,45,50)/100*(Inputs!$B$11-Inputs!$B$11),0)))/100+(Inputs!$B$23+((C2140=TRUE)*(F2140-Calc!F30))+IF(ArtifactsInput!$M$15,CHOOSE(ArtifactsInput!$N$15+1,25,30,35,40,45,50)/100*(Inputs!$B$11-Inputs!$B$11),0))/100)/2</f>
        <v/>
      </c>
      <c r="M2122">
        <f>L2122*(1+(Inputs!$B$10+((C2137=TRUE)*(F2137-Calc!F27))+B2151+(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2122">
        <f>L2122*(1-MIN((Inputs!$B$9+((C2136=TRUE)*(F2136-Calc!F26))+B2144+(ArtifactsInput!$M$24-ArtifactsInput!$M$24)*CHOOSE(ArtifactsInput!$N$24+1,10,12,14,16,18,20)+(IF(AND(Inputs!$B$39&lt;&gt;"pvp",Inputs!$B$44=0),1,IF(IF(Inputs!$B$39="pvp",15,Inputs!$B$44)-(B2155)&lt;=0,1,MAX(0,IF(Inputs!$B$39="pvp",15,Inputs!$B$44)-MAX(5,B2155))/(IF(Inputs!$B$39="pvp",15,Inputs!$B$44)-(B2155))))*IF(AND(ArtifactsInput!$M$42,((Inputs!$B$9+((C2136=TRUE)*(F2136-Calc!F26))+B2144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2122*(MIN((Inputs!$B$9+((C2136=TRUE)*(F2136-Calc!F26))+B2144+(ArtifactsInput!$M$24-ArtifactsInput!$M$24)*CHOOSE(ArtifactsInput!$N$24+1,10,12,14,16,18,20)+(IF(AND(Inputs!$B$39&lt;&gt;"pvp",Inputs!$B$44=0),1,IF(IF(Inputs!$B$39="pvp",15,Inputs!$B$44)-(B2155)&lt;=0,1,MAX(0,IF(Inputs!$B$39="pvp",15,Inputs!$B$44)-MAX(5,B2155))/(IF(Inputs!$B$39="pvp",15,Inputs!$B$44)-(B2155))))*IF(AND(ArtifactsInput!$M$42,((Inputs!$B$9+((C2136=TRUE)*(F2136-Calc!F26))+B2144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122">
        <f>(1-Summary!$B$11)*T2122+Summary!$B$11*V2122</f>
        <v/>
      </c>
      <c r="P2122">
        <f>IF(B2156=0,0,O2122/B2156)</f>
        <v/>
      </c>
      <c r="Q2122">
        <f>IFERROR(1/IF(Inputs!$B$39="pvp",15,MAX(0.1,Skills!D12-IF(TRUE=TRUE,Inputs!$B$32,0))),0)</f>
        <v/>
      </c>
      <c r="R2122">
        <f>IF(AND(Inputs!$B$39&lt;&gt;"pvp",Inputs!$B$44&gt;0),IF(MAX(0,Inputs!$B$44-B2155)&lt;=0,0,(INT(MAX(0,Inputs!$B$44-B2155)/IF(Inputs!$B$39="pvp",15,MAX(0.1,Skills!D12-IF(TRUE=TRUE,Inputs!$B$32,0))))+1)),0)</f>
        <v/>
      </c>
      <c r="S2122">
        <f>IFERROR(O2122/N2122,0)</f>
        <v/>
      </c>
      <c r="T2122">
        <f>IF(C2122,(H2122*N2122*IF(AND(Inputs!$B$39&lt;&gt;"pvp",Inputs!$B$44&gt;0),((Skills!G12*((R2122-1)*IF(Skills!H12&gt;0,Skills!I12/Skills!H12,1)+IF(Skills!H12&gt;0,MIN(Skills!I12,MAX(0,MAX(0,Inputs!$B$44-B2155)-((R2122-1)*IF(Inputs!$B$39="pvp",15,MAX(0.1,Skills!D12-IF(TRUE=TRUE,Inputs!$B$32,0))))))/Skills!H12,1)))/Inputs!$B$44),G2122*Q2122))*IF(Inputs!$B$39="pvp",1,1+(Inputs!$B$20+0+Skills!P12+B2145+(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Hunt"),CHOOSE(ArtifactsInput!$N$35+1,15,18,21,24,27,30)*(1-EXP(-(0.2*B2148)*5)),0)+IF(AND(ArtifactsInput!$M$22,Inputs!$B$4&lt;&gt;"Chapter Hunt"),CHOOSE(ArtifactsInput!$N$22+1,10,12,14,16,18,20)*((0*(((0.15*B2148*5))^0/1)+1*(((0.15*B2148*5))^1/1)+2*(((0.15*B2148*5))^2/2)+3*(((0.15*B2148*5))^3/6)+4*(((0.15*B2148*5))^4/24)+5*(((0.15*B2148*5))^5/120))/((((0.15*B2148*5))^0/1)+(((0.15*B2148*5))^1/1)+(((0.15*B2148*5))^2/2)+(((0.15*B2148*5))^3/6)+(((0.15*B2148*5))^4/24)+(((0.15*B2148*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2122*(1-MIN(100,(Inputs!$B$9+((C2136=TRUE)*(F2136-Calc!F26))+B2144+(ArtifactsInput!$M$24-ArtifactsInput!$M$24)*CHOOSE(ArtifactsInput!$N$24+1,10,12,14,16,18,20)+(IF(AND(Inputs!$B$39&lt;&gt;"pvp",Inputs!$B$44=0),1,IF(IF(Inputs!$B$39="pvp",15,Inputs!$B$44)-(B2155)&lt;=0,1,MAX(0,IF(Inputs!$B$39="pvp",15,Inputs!$B$44)-MAX(5,B2155))/(IF(Inputs!$B$39="pvp",15,Inputs!$B$44)-(B2155))))*IF(AND(ArtifactsInput!$M$42,((Inputs!$B$9+((C2136=TRUE)*(F2136-Calc!F26))+B2144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2122*(MIN(100,(Inputs!$B$9+((C2136=TRUE)*(F2136-Calc!F26))+B2144+(ArtifactsInput!$M$24-ArtifactsInput!$M$24)*CHOOSE(ArtifactsInput!$N$24+1,10,12,14,16,18,20)+(IF(AND(Inputs!$B$39&lt;&gt;"pvp",Inputs!$B$44=0),1,IF(IF(Inputs!$B$39="pvp",15,Inputs!$B$44)-(B2155)&lt;=0,1,MAX(0,IF(Inputs!$B$39="pvp",15,Inputs!$B$44)-MAX(5,B2155))/(IF(Inputs!$B$39="pvp",15,Inputs!$B$44)-(B2155))))*IF(AND(ArtifactsInput!$M$42,((Inputs!$B$9+((C2136=TRUE)*(F2136-Calc!F26))+B2144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2122*(1-MIN(100,(Inputs!$B$9+((C2136=TRUE)*(F2136-Calc!F26))+B2144+(ArtifactsInput!$M$24-ArtifactsInput!$M$24)*CHOOSE(ArtifactsInput!$N$24+1,10,12,14,16,18,20)+(IF(AND(Inputs!$B$39&lt;&gt;"pvp",Inputs!$B$44=0),1,IF(IF(Inputs!$B$39="pvp",15,Inputs!$B$44)-(B2155)&lt;=0,1,MAX(0,IF(Inputs!$B$39="pvp",15,Inputs!$B$44)-MAX(5,B2155))/(IF(Inputs!$B$39="pvp",15,Inputs!$B$44)-(B2155))))*IF(AND(ArtifactsInput!$M$42,((Inputs!$B$9+((C2136=TRUE)*(F2136-Calc!F26))+B2144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2122*(MIN(100,(Inputs!$B$9+((C2136=TRUE)*(F2136-Calc!F26))+B2144+(ArtifactsInput!$M$24-ArtifactsInput!$M$24)*CHOOSE(ArtifactsInput!$N$24+1,10,12,14,16,18,20)+(IF(AND(Inputs!$B$39&lt;&gt;"pvp",Inputs!$B$44=0),1,IF(IF(Inputs!$B$39="pvp",15,Inputs!$B$44)-(B2155)&lt;=0,1,MAX(0,IF(Inputs!$B$39="pvp",15,Inputs!$B$44)-MAX(5,B2155))/(IF(Inputs!$B$39="pvp",15,Inputs!$B$44)-(B2155))))*IF(AND(ArtifactsInput!$M$42,((Inputs!$B$9+((C2136=TRUE)*(F2136-Calc!F26))+B2144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IF(ArtifactsInput!$M$20,FALSE,TRUE),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122">
        <f>IF(C2122,(H2122*N2122*IF(AND(Inputs!$B$39&lt;&gt;"pvp",Inputs!$B$44&gt;0),((Skills!G12*((R2122-1)*IF(Skills!H12&gt;0,Skills!I12/Skills!H12,1)+IF(Skills!H12&gt;0,MIN(Skills!I12,MAX(0,MAX(0,Inputs!$B$44-B2155)-((R2122-1)*IF(Inputs!$B$39="pvp",15,MAX(0.1,Skills!D12-IF(TRUE=TRUE,Inputs!$B$32,0))))))/Skills!H12,1)))/Inputs!$B$44),G2122*Q2122))*IF(Inputs!$B$39="pvp",1,(1+(Inputs!$B$21+Skills!Q12+B2145+(IF(ArtifactsInput!$M$33,CHOOSE(ArtifactsInput!$N$33+1,30,36,42,48,54,60),0))+(IF(AND(ArtifactsInput!$M$35,Inputs!$B$4&lt;&gt;"Chapter Hunt"),CHOOSE(ArtifactsInput!$N$35+1,15,18,21,24,27,30)*(1-EXP(-(0.2*B2148)*5)),0)+IF(AND(ArtifactsInput!$M$22,Inputs!$B$4&lt;&gt;"Chapter Hunt"),CHOOSE(ArtifactsInput!$N$22+1,10,12,14,16,18,20)*((0*(((0.15*B2148*5))^0/1)+1*(((0.15*B2148*5))^1/1)+2*(((0.15*B2148*5))^2/2)+3*(((0.15*B2148*5))^3/6)+4*(((0.15*B2148*5))^4/24)+5*(((0.15*B2148*5))^5/120))/((((0.15*B2148*5))^0/1)+(((0.15*B2148*5))^1/1)+(((0.15*B2148*5))^2/2)+(((0.15*B2148*5))^3/6)+(((0.15*B2148*5))^4/24)+(((0.15*B2148*5))^5/120))),0)))/100)*(MIN(Skills!W12,Inputs!$B$37)))*((1+(IF(AND(ArtifactsInput!$M$41,Inputs!$B$39&lt;&gt;"pvp"),CHOOSE(ArtifactsInput!$N$41+1,5,6,7,8,9,10)*IF(OR(Inputs!$B$4="Weapon Dungeon",Inputs!$B$4="Equipment Dungeon",Inputs!$B$4="Enhancement Dungeon",Inputs!$B$4="EXP Dungeon",Inputs!$B$4="Hero Dungeon"),3,1),0)+IF(ArtifactsInput!$M$26,10*CHOOSE(ArtifactsInput!$N$26+1,1,1.2,1.4,1.6,1.8,2),0)+IF(AND(IF(ArtifactsInput!$M$20,FALSE,TRUE),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123">
      <c r="A2123">
        <f>Skills!A13</f>
        <v/>
      </c>
      <c r="B2123">
        <f>Skills!B13</f>
        <v/>
      </c>
      <c r="C2123">
        <f>Inputs!$B$3&gt;=105</f>
        <v/>
      </c>
      <c r="D2123">
        <f>IF(Skills!C13=1,60+Inputs!$B$25+Inputs!$B$29,IF(Skills!C13=2,90+Inputs!$B$26+Inputs!$B$29,IF(Skills!C13=3,120+Inputs!$B$27+Inputs!$B$29,MAX(0,(Inputs!$B$3-100)*3)+Inputs!$B$28+Inputs!$B$29)))</f>
        <v/>
      </c>
      <c r="E2123">
        <f>INDEX(FactorTable!$B$2:$Y$301, MATCH(ROUND(MIN(300,MAX(1,D2123)),0), FactorTable!$A$2:$A$301,0), Skills!M13+1)</f>
        <v/>
      </c>
      <c r="F2123">
        <f>IF(Skills!N13=TRUE,(Skills!L13/10)*(E2123/1000),Skills!L13/10)+Skills!O13</f>
        <v/>
      </c>
      <c r="G2123">
        <f>Skills!G13*IF(Skills!H13&gt;0,IF(Inputs!$B$39="pvp",MIN(Skills!I13,15),Skills!I13)/Skills!H13,1)</f>
        <v/>
      </c>
      <c r="H2123">
        <f>1-(1-Skills!J13/100)^Skills!K13</f>
        <v/>
      </c>
      <c r="I2123" t="inlineStr">
        <is>
          <t>1</t>
        </is>
      </c>
      <c r="J2123">
        <f>((Inputs!$B$6*(1+Inputs!$B$7/100))+(((Inputs!$B$12*(1+Inputs!$B$13/100))-(Inputs!$B$12*(1+Inputs!$B$13/100)))+0.25*(Inputs!$B$14-Inputs!$B$14))*(1+Inputs!$B$7/100))*(F2123/100)</f>
        <v/>
      </c>
      <c r="K2123">
        <f>J2123*(1+((Inputs!$B$12*(1+Inputs!$B$13/100))*0.01+Inputs!$B$14*0.0025)/100)*(1+Inputs!$B$15/100)*(1+Inputs!$B$16/100)*(5000/(6000+Inputs!$B$43*(1-(100*(1-(1-Inputs!$B$19/100)*(1-CHOOSE(ArtifactsInput!$N$40+1,5,6,7,8,9,10)/100)^(ArtifactsInput!$M$40-ArtifactsInput!$M$40)))/100)))*(1+(Inputs!$B$24+((C2141=TRUE)*(F2141-Calc!F31))+((C2128=TRUE)*(F2128-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13="CRUEL_STAB",Inputs!$B$17+((C2138=TRUE)*(F2138-Calc!F28))+((IF(AND(Inputs!$B$39&lt;&gt;"pvp",Inputs!$B$44=0),1,IF(IF(Inputs!$B$39="pvp",15,Inputs!$B$44)-(B2155)&lt;=0,1,MAX(0,IF(Inputs!$B$39="pvp",15,Inputs!$B$44)-MAX(5,B2155))/(IF(Inputs!$B$39="pvp",15,Inputs!$B$44)-(B2155))))*(IF(AND(ArtifactsInput!$M$42,((Inputs!$B$9+((C2136=TRUE)*(F2136-Calc!F26))+B2144+(ArtifactsInput!$M$24-ArtifactsInput!$M$24)*CHOOSE(ArtifactsInput!$N$24+1,10,12,14,16,18,20)+IF(ArtifactsInput!$M$10,CHOOSE(ArtifactsInput!$N$10+1,15,18,21,24,27,30)*(IF(Inputs!$B$39="pvp",MIN(15,15)/15,IF(AND(Inputs!$B$39&lt;&gt;"pvp",Inputs!$B$44&gt;0),MIN(15,Inputs!$B$44)/(Inputs!$B$44),0))),0)))&gt;=100),MIN(100,((Inputs!$B$9+((C2136=TRUE)*(F2136-Calc!F26))+B2144+(ArtifactsInput!$M$24-ArtifactsInput!$M$24)*CHOOSE(ArtifactsInput!$N$24+1,10,12,14,16,18,20)+IF(ArtifactsInput!$M$10,CHOOSE(ArtifactsInput!$N$10+1,15,18,21,24,27,30)*(IF(Inputs!$B$39="pvp",MIN(15,15)/15,IF(AND(Inputs!$B$39&lt;&gt;"pvp",Inputs!$B$44&gt;0),MIN(15,Inputs!$B$44)/(Inputs!$B$44),0))),0)))-100),0))*CHOOSE(ArtifactsInput!$N$42+1,0.6,0.72,0.84,0.96,1.08,1.2))),Inputs!$B$18+((C2139=TRUE)*(F2139-Calc!F29))+(IF(AND(Inputs!$B$39&lt;&gt;"pvp",Inputs!$B$44=0),1,IF(IF(Inputs!$B$39="pvp",15,Inputs!$B$44)-(B2155)&lt;=0,1,MAX(0,IF(Inputs!$B$39="pvp",15,Inputs!$B$44)-MAX(5,B2155))/(IF(Inputs!$B$39="pvp",15,Inputs!$B$44)-(B2155))))*IF(AND(ArtifactsInput!$M$42,((Inputs!$B$9+((C2136=TRUE)*(F2136-Calc!F26))+B2144+(ArtifactsInput!$M$24-ArtifactsInput!$M$24)*CHOOSE(ArtifactsInput!$N$24+1,10,12,14,16,18,20)+IF(ArtifactsInput!$M$10,CHOOSE(ArtifactsInput!$N$10+1,15,18,21,24,27,30)*(IF(Inputs!$B$39="pvp",MIN(15,15)/15,IF(AND(Inputs!$B$39&lt;&gt;"pvp",Inputs!$B$44&gt;0),MIN(15,Inputs!$B$44)/(Inputs!$B$44),0))),0)))&gt;=100),CHOOSE(ArtifactsInput!$N$42+1,40,48,56,64,72,80),0))))/100)*(((1+(((C2132=TRUE)*F2132*IF(AND(Inputs!$B$39&lt;&gt;"pvp",Inputs!$B$44&gt;0),(((R2132-1)*MIN((Skills!Y22*(1+Inputs!$B$34/100)),(1/Q2132))+MIN((Skills!Y22*(1+Inputs!$B$34/100)),MAX(0,Inputs!$B$44-((R2132-1)*(1/Q2132)))))/Inputs!$B$44),IF(Inputs!$B$39="pvp",MIN((Skills!Y22*(1+Inputs!$B$34/100)),15)/15,MIN(1,(Skills!Y22*(1+Inputs!$B$34/100))/(1/Q2132)))))+((C2113=TRUE)*F2113*3)+((C2115=TRUE)*F2115*(1-EXP(-0.75*B2148*5)))+((C2134=TRUE)*(F2134-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2121=TRUE)*F2121*IF(AND(Inputs!$B$39&lt;&gt;"pvp",Inputs!$B$44&gt;0),(((R2121-1)*MIN((Skills!Y11*(1+Inputs!$B$34/100)),(1/Q2121))+MIN((Skills!Y11*(1+Inputs!$B$34/100)),MAX(0,Inputs!$B$44-((R2121-1)*(1/Q2121)))))/Inputs!$B$44),IF(Inputs!$B$39="pvp",MIN((Skills!Y11*(1+Inputs!$B$34/100)),15)/15,MIN(1,(Skills!Y11*(1+Inputs!$B$34/100))/(1/Q2121)))))/100)*(1+((C2126=TRUE)*F2126*IF(AND(Inputs!$B$39&lt;&gt;"pvp",Inputs!$B$44&gt;0),(((R2126-1)*MIN((Skills!Y16*(1+Inputs!$B$34/100)),(1/Q2126))+MIN((Skills!Y16*(1+Inputs!$B$34/100)),MAX(0,Inputs!$B$44-((R2126-1)*(1/Q2126)))))/Inputs!$B$44),IF(Inputs!$B$39="pvp",MIN((Skills!Y16*(1+Inputs!$B$34/100)),15)/15,MIN(1,(Skills!Y16*(1+Inputs!$B$34/100))/(1/Q2126)))))/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2146*I2123)</f>
        <v/>
      </c>
      <c r="L2123">
        <f>K2123*(MIN(Inputs!$B$22+((C2135=TRUE)*(F2135-Calc!F25)),(Inputs!$B$23+((C2140=TRUE)*(F2140-Calc!F30))+IF(ArtifactsInput!$M$15,CHOOSE(ArtifactsInput!$N$15+1,25,30,35,40,45,50)/100*(Inputs!$B$11-Inputs!$B$11),0)))/100+(Inputs!$B$23+((C2140=TRUE)*(F2140-Calc!F30))+IF(ArtifactsInput!$M$15,CHOOSE(ArtifactsInput!$N$15+1,25,30,35,40,45,50)/100*(Inputs!$B$11-Inputs!$B$11),0))/100)/2</f>
        <v/>
      </c>
      <c r="M2123">
        <f>L2123*(1+(Inputs!$B$10+((C2137=TRUE)*(F2137-Calc!F27))+B2151+(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2123">
        <f>L2123*(1-MIN((Inputs!$B$9+((C2136=TRUE)*(F2136-Calc!F26))+B2144+(ArtifactsInput!$M$24-ArtifactsInput!$M$24)*CHOOSE(ArtifactsInput!$N$24+1,10,12,14,16,18,20)+(IF(AND(Inputs!$B$39&lt;&gt;"pvp",Inputs!$B$44=0),1,IF(IF(Inputs!$B$39="pvp",15,Inputs!$B$44)-(B2155)&lt;=0,1,MAX(0,IF(Inputs!$B$39="pvp",15,Inputs!$B$44)-MAX(5,B2155))/(IF(Inputs!$B$39="pvp",15,Inputs!$B$44)-(B2155))))*IF(AND(ArtifactsInput!$M$42,((Inputs!$B$9+((C2136=TRUE)*(F2136-Calc!F26))+B2144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2123*(MIN((Inputs!$B$9+((C2136=TRUE)*(F2136-Calc!F26))+B2144+(ArtifactsInput!$M$24-ArtifactsInput!$M$24)*CHOOSE(ArtifactsInput!$N$24+1,10,12,14,16,18,20)+(IF(AND(Inputs!$B$39&lt;&gt;"pvp",Inputs!$B$44=0),1,IF(IF(Inputs!$B$39="pvp",15,Inputs!$B$44)-(B2155)&lt;=0,1,MAX(0,IF(Inputs!$B$39="pvp",15,Inputs!$B$44)-MAX(5,B2155))/(IF(Inputs!$B$39="pvp",15,Inputs!$B$44)-(B2155))))*IF(AND(ArtifactsInput!$M$42,((Inputs!$B$9+((C2136=TRUE)*(F2136-Calc!F26))+B2144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123">
        <f>(1-Summary!$B$11)*T2123+Summary!$B$11*V2123</f>
        <v/>
      </c>
      <c r="P2123">
        <f>IF(B2156=0,0,O2123/B2156)</f>
        <v/>
      </c>
      <c r="Q2123">
        <f>IFERROR(1/IF(Inputs!$B$39="pvp",15,MAX(0.1,Skills!D13-IF(TRUE=TRUE,Inputs!$B$32,0))),0)</f>
        <v/>
      </c>
      <c r="R2123">
        <f>IF(AND(Inputs!$B$39&lt;&gt;"pvp",Inputs!$B$44&gt;0),IF(MAX(0,Inputs!$B$44-B2155)&lt;=0,0,(INT(MAX(0,Inputs!$B$44-B2155)/IF(Inputs!$B$39="pvp",15,MAX(0.1,Skills!D13-IF(TRUE=TRUE,Inputs!$B$32,0))))+1)),0)</f>
        <v/>
      </c>
      <c r="S2123">
        <f>IFERROR(O2123/N2123,0)</f>
        <v/>
      </c>
      <c r="T2123">
        <f>IF(C2123,(H2123*N2123*IF(AND(Inputs!$B$39&lt;&gt;"pvp",Inputs!$B$44&gt;0),((Skills!G13*((R2123-1)*IF(Skills!H13&gt;0,Skills!I13/Skills!H13,1)+IF(Skills!H13&gt;0,MIN(Skills!I13,MAX(0,MAX(0,Inputs!$B$44-B2155)-((R2123-1)*IF(Inputs!$B$39="pvp",15,MAX(0.1,Skills!D13-IF(TRUE=TRUE,Inputs!$B$32,0))))))/Skills!H13,1)))/Inputs!$B$44),G2123*Q2123))*IF(Inputs!$B$39="pvp",1,1+(Inputs!$B$20+0+Skills!P13+B2145+(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Hunt"),CHOOSE(ArtifactsInput!$N$35+1,15,18,21,24,27,30)*(1-EXP(-(0.2*B2148)*5)),0)+IF(AND(ArtifactsInput!$M$22,Inputs!$B$4&lt;&gt;"Chapter Hunt"),CHOOSE(ArtifactsInput!$N$22+1,10,12,14,16,18,20)*((0*(((0.15*B2148*5))^0/1)+1*(((0.15*B2148*5))^1/1)+2*(((0.15*B2148*5))^2/2)+3*(((0.15*B2148*5))^3/6)+4*(((0.15*B2148*5))^4/24)+5*(((0.15*B2148*5))^5/120))/((((0.15*B2148*5))^0/1)+(((0.15*B2148*5))^1/1)+(((0.15*B2148*5))^2/2)+(((0.15*B2148*5))^3/6)+(((0.15*B2148*5))^4/24)+(((0.15*B2148*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2123*(1-MIN(100,(Inputs!$B$9+((C2136=TRUE)*(F2136-Calc!F26))+B2144+(ArtifactsInput!$M$24-ArtifactsInput!$M$24)*CHOOSE(ArtifactsInput!$N$24+1,10,12,14,16,18,20)+(IF(AND(Inputs!$B$39&lt;&gt;"pvp",Inputs!$B$44=0),1,IF(IF(Inputs!$B$39="pvp",15,Inputs!$B$44)-(B2155)&lt;=0,1,MAX(0,IF(Inputs!$B$39="pvp",15,Inputs!$B$44)-MAX(5,B2155))/(IF(Inputs!$B$39="pvp",15,Inputs!$B$44)-(B2155))))*IF(AND(ArtifactsInput!$M$42,((Inputs!$B$9+((C2136=TRUE)*(F2136-Calc!F26))+B2144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2123*(MIN(100,(Inputs!$B$9+((C2136=TRUE)*(F2136-Calc!F26))+B2144+(ArtifactsInput!$M$24-ArtifactsInput!$M$24)*CHOOSE(ArtifactsInput!$N$24+1,10,12,14,16,18,20)+(IF(AND(Inputs!$B$39&lt;&gt;"pvp",Inputs!$B$44=0),1,IF(IF(Inputs!$B$39="pvp",15,Inputs!$B$44)-(B2155)&lt;=0,1,MAX(0,IF(Inputs!$B$39="pvp",15,Inputs!$B$44)-MAX(5,B2155))/(IF(Inputs!$B$39="pvp",15,Inputs!$B$44)-(B2155))))*IF(AND(ArtifactsInput!$M$42,((Inputs!$B$9+((C2136=TRUE)*(F2136-Calc!F26))+B2144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2123*(1-MIN(100,(Inputs!$B$9+((C2136=TRUE)*(F2136-Calc!F26))+B2144+(ArtifactsInput!$M$24-ArtifactsInput!$M$24)*CHOOSE(ArtifactsInput!$N$24+1,10,12,14,16,18,20)+(IF(AND(Inputs!$B$39&lt;&gt;"pvp",Inputs!$B$44=0),1,IF(IF(Inputs!$B$39="pvp",15,Inputs!$B$44)-(B2155)&lt;=0,1,MAX(0,IF(Inputs!$B$39="pvp",15,Inputs!$B$44)-MAX(5,B2155))/(IF(Inputs!$B$39="pvp",15,Inputs!$B$44)-(B2155))))*IF(AND(ArtifactsInput!$M$42,((Inputs!$B$9+((C2136=TRUE)*(F2136-Calc!F26))+B2144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2123*(MIN(100,(Inputs!$B$9+((C2136=TRUE)*(F2136-Calc!F26))+B2144+(ArtifactsInput!$M$24-ArtifactsInput!$M$24)*CHOOSE(ArtifactsInput!$N$24+1,10,12,14,16,18,20)+(IF(AND(Inputs!$B$39&lt;&gt;"pvp",Inputs!$B$44=0),1,IF(IF(Inputs!$B$39="pvp",15,Inputs!$B$44)-(B2155)&lt;=0,1,MAX(0,IF(Inputs!$B$39="pvp",15,Inputs!$B$44)-MAX(5,B2155))/(IF(Inputs!$B$39="pvp",15,Inputs!$B$44)-(B2155))))*IF(AND(ArtifactsInput!$M$42,((Inputs!$B$9+((C2136=TRUE)*(F2136-Calc!F26))+B2144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IF(ArtifactsInput!$M$20,FALSE,TRUE),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123">
        <f>IF(C2123,(H2123*N2123*IF(AND(Inputs!$B$39&lt;&gt;"pvp",Inputs!$B$44&gt;0),((Skills!G13*((R2123-1)*IF(Skills!H13&gt;0,Skills!I13/Skills!H13,1)+IF(Skills!H13&gt;0,MIN(Skills!I13,MAX(0,MAX(0,Inputs!$B$44-B2155)-((R2123-1)*IF(Inputs!$B$39="pvp",15,MAX(0.1,Skills!D13-IF(TRUE=TRUE,Inputs!$B$32,0))))))/Skills!H13,1)))/Inputs!$B$44),G2123*Q2123))*IF(Inputs!$B$39="pvp",1,(1+(Inputs!$B$21+Skills!Q13+B2145+(IF(ArtifactsInput!$M$33,CHOOSE(ArtifactsInput!$N$33+1,30,36,42,48,54,60),0))+(IF(AND(ArtifactsInput!$M$35,Inputs!$B$4&lt;&gt;"Chapter Hunt"),CHOOSE(ArtifactsInput!$N$35+1,15,18,21,24,27,30)*(1-EXP(-(0.2*B2148)*5)),0)+IF(AND(ArtifactsInput!$M$22,Inputs!$B$4&lt;&gt;"Chapter Hunt"),CHOOSE(ArtifactsInput!$N$22+1,10,12,14,16,18,20)*((0*(((0.15*B2148*5))^0/1)+1*(((0.15*B2148*5))^1/1)+2*(((0.15*B2148*5))^2/2)+3*(((0.15*B2148*5))^3/6)+4*(((0.15*B2148*5))^4/24)+5*(((0.15*B2148*5))^5/120))/((((0.15*B2148*5))^0/1)+(((0.15*B2148*5))^1/1)+(((0.15*B2148*5))^2/2)+(((0.15*B2148*5))^3/6)+(((0.15*B2148*5))^4/24)+(((0.15*B2148*5))^5/120))),0)))/100)*(MIN(Skills!W13,Inputs!$B$37)))*((1+(IF(AND(ArtifactsInput!$M$41,Inputs!$B$39&lt;&gt;"pvp"),CHOOSE(ArtifactsInput!$N$41+1,5,6,7,8,9,10)*IF(OR(Inputs!$B$4="Weapon Dungeon",Inputs!$B$4="Equipment Dungeon",Inputs!$B$4="Enhancement Dungeon",Inputs!$B$4="EXP Dungeon",Inputs!$B$4="Hero Dungeon"),3,1),0)+IF(ArtifactsInput!$M$26,10*CHOOSE(ArtifactsInput!$N$26+1,1,1.2,1.4,1.6,1.8,2),0)+IF(AND(IF(ArtifactsInput!$M$20,FALSE,TRUE),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124">
      <c r="A2124">
        <f>Skills!A14</f>
        <v/>
      </c>
      <c r="B2124">
        <f>Skills!B14</f>
        <v/>
      </c>
      <c r="C2124">
        <f>Inputs!$B$3&gt;=105</f>
        <v/>
      </c>
      <c r="D2124">
        <f>IF(Skills!C14=1,60+Inputs!$B$25+Inputs!$B$29,IF(Skills!C14=2,90+Inputs!$B$26+Inputs!$B$29,IF(Skills!C14=3,120+Inputs!$B$27+Inputs!$B$29,MAX(0,(Inputs!$B$3-100)*3)+Inputs!$B$28+Inputs!$B$29)))</f>
        <v/>
      </c>
      <c r="E2124">
        <f>INDEX(FactorTable!$B$2:$Y$301, MATCH(ROUND(MIN(300,MAX(1,D2124)),0), FactorTable!$A$2:$A$301,0), Skills!M14+1)</f>
        <v/>
      </c>
      <c r="F2124">
        <f>IF(Skills!N14=TRUE,(Skills!L14/10)*(E2124/1000),Skills!L14/10)+Skills!O14</f>
        <v/>
      </c>
      <c r="G2124">
        <f>Skills!G14*IF(Skills!H14&gt;0,IF(Inputs!$B$39="pvp",MIN(Skills!I14,15),Skills!I14)/Skills!H14,1)</f>
        <v/>
      </c>
      <c r="H2124">
        <f>1-(1-Skills!J14/100)^Skills!K14</f>
        <v/>
      </c>
      <c r="I2124" t="inlineStr">
        <is>
          <t>1</t>
        </is>
      </c>
      <c r="J2124">
        <f>((Inputs!$B$6*(1+Inputs!$B$7/100))+(((Inputs!$B$12*(1+Inputs!$B$13/100))-(Inputs!$B$12*(1+Inputs!$B$13/100)))+0.25*(Inputs!$B$14-Inputs!$B$14))*(1+Inputs!$B$7/100))*(F2124/100)</f>
        <v/>
      </c>
      <c r="K2124">
        <f>J2124*(1+((Inputs!$B$12*(1+Inputs!$B$13/100))*0.01+Inputs!$B$14*0.0025)/100)*(1+Inputs!$B$15/100)*(1+Inputs!$B$16/100)*(5000/(6000+Inputs!$B$43*(1-(100*(1-(1-Inputs!$B$19/100)*(1-CHOOSE(ArtifactsInput!$N$40+1,5,6,7,8,9,10)/100)^(ArtifactsInput!$M$40-ArtifactsInput!$M$40)))/100)))*(1+(Inputs!$B$24+((C2141=TRUE)*(F2141-Calc!F31))+((C2128=TRUE)*(F2128-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14="CRUEL_STAB",Inputs!$B$17+((C2138=TRUE)*(F2138-Calc!F28))+((IF(AND(Inputs!$B$39&lt;&gt;"pvp",Inputs!$B$44=0),1,IF(IF(Inputs!$B$39="pvp",15,Inputs!$B$44)-(B2155)&lt;=0,1,MAX(0,IF(Inputs!$B$39="pvp",15,Inputs!$B$44)-MAX(5,B2155))/(IF(Inputs!$B$39="pvp",15,Inputs!$B$44)-(B2155))))*(IF(AND(ArtifactsInput!$M$42,((Inputs!$B$9+((C2136=TRUE)*(F2136-Calc!F26))+B2144+(ArtifactsInput!$M$24-ArtifactsInput!$M$24)*CHOOSE(ArtifactsInput!$N$24+1,10,12,14,16,18,20)+IF(ArtifactsInput!$M$10,CHOOSE(ArtifactsInput!$N$10+1,15,18,21,24,27,30)*(IF(Inputs!$B$39="pvp",MIN(15,15)/15,IF(AND(Inputs!$B$39&lt;&gt;"pvp",Inputs!$B$44&gt;0),MIN(15,Inputs!$B$44)/(Inputs!$B$44),0))),0)))&gt;=100),MIN(100,((Inputs!$B$9+((C2136=TRUE)*(F2136-Calc!F26))+B2144+(ArtifactsInput!$M$24-ArtifactsInput!$M$24)*CHOOSE(ArtifactsInput!$N$24+1,10,12,14,16,18,20)+IF(ArtifactsInput!$M$10,CHOOSE(ArtifactsInput!$N$10+1,15,18,21,24,27,30)*(IF(Inputs!$B$39="pvp",MIN(15,15)/15,IF(AND(Inputs!$B$39&lt;&gt;"pvp",Inputs!$B$44&gt;0),MIN(15,Inputs!$B$44)/(Inputs!$B$44),0))),0)))-100),0))*CHOOSE(ArtifactsInput!$N$42+1,0.6,0.72,0.84,0.96,1.08,1.2))),Inputs!$B$18+((C2139=TRUE)*(F2139-Calc!F29))+(IF(AND(Inputs!$B$39&lt;&gt;"pvp",Inputs!$B$44=0),1,IF(IF(Inputs!$B$39="pvp",15,Inputs!$B$44)-(B2155)&lt;=0,1,MAX(0,IF(Inputs!$B$39="pvp",15,Inputs!$B$44)-MAX(5,B2155))/(IF(Inputs!$B$39="pvp",15,Inputs!$B$44)-(B2155))))*IF(AND(ArtifactsInput!$M$42,((Inputs!$B$9+((C2136=TRUE)*(F2136-Calc!F26))+B2144+(ArtifactsInput!$M$24-ArtifactsInput!$M$24)*CHOOSE(ArtifactsInput!$N$24+1,10,12,14,16,18,20)+IF(ArtifactsInput!$M$10,CHOOSE(ArtifactsInput!$N$10+1,15,18,21,24,27,30)*(IF(Inputs!$B$39="pvp",MIN(15,15)/15,IF(AND(Inputs!$B$39&lt;&gt;"pvp",Inputs!$B$44&gt;0),MIN(15,Inputs!$B$44)/(Inputs!$B$44),0))),0)))&gt;=100),CHOOSE(ArtifactsInput!$N$42+1,40,48,56,64,72,80),0))))/100)*(((1+(((C2132=TRUE)*F2132*IF(AND(Inputs!$B$39&lt;&gt;"pvp",Inputs!$B$44&gt;0),(((R2132-1)*MIN((Skills!Y22*(1+Inputs!$B$34/100)),(1/Q2132))+MIN((Skills!Y22*(1+Inputs!$B$34/100)),MAX(0,Inputs!$B$44-((R2132-1)*(1/Q2132)))))/Inputs!$B$44),IF(Inputs!$B$39="pvp",MIN((Skills!Y22*(1+Inputs!$B$34/100)),15)/15,MIN(1,(Skills!Y22*(1+Inputs!$B$34/100))/(1/Q2132)))))+((C2113=TRUE)*F2113*3)+((C2115=TRUE)*F2115*(1-EXP(-0.75*B2148*5)))+((C2134=TRUE)*(F2134-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2121=TRUE)*F2121*IF(AND(Inputs!$B$39&lt;&gt;"pvp",Inputs!$B$44&gt;0),(((R2121-1)*MIN((Skills!Y11*(1+Inputs!$B$34/100)),(1/Q2121))+MIN((Skills!Y11*(1+Inputs!$B$34/100)),MAX(0,Inputs!$B$44-((R2121-1)*(1/Q2121)))))/Inputs!$B$44),IF(Inputs!$B$39="pvp",MIN((Skills!Y11*(1+Inputs!$B$34/100)),15)/15,MIN(1,(Skills!Y11*(1+Inputs!$B$34/100))/(1/Q2121)))))/100)*(1+((C2126=TRUE)*F2126*IF(AND(Inputs!$B$39&lt;&gt;"pvp",Inputs!$B$44&gt;0),(((R2126-1)*MIN((Skills!Y16*(1+Inputs!$B$34/100)),(1/Q2126))+MIN((Skills!Y16*(1+Inputs!$B$34/100)),MAX(0,Inputs!$B$44-((R2126-1)*(1/Q2126)))))/Inputs!$B$44),IF(Inputs!$B$39="pvp",MIN((Skills!Y16*(1+Inputs!$B$34/100)),15)/15,MIN(1,(Skills!Y16*(1+Inputs!$B$34/100))/(1/Q2126)))))/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2146*I2124)</f>
        <v/>
      </c>
      <c r="L2124">
        <f>K2124*(MIN(Inputs!$B$22+((C2135=TRUE)*(F2135-Calc!F25)),(Inputs!$B$23+((C2140=TRUE)*(F2140-Calc!F30))+IF(ArtifactsInput!$M$15,CHOOSE(ArtifactsInput!$N$15+1,25,30,35,40,45,50)/100*(Inputs!$B$11-Inputs!$B$11),0)))/100+(Inputs!$B$23+((C2140=TRUE)*(F2140-Calc!F30))+IF(ArtifactsInput!$M$15,CHOOSE(ArtifactsInput!$N$15+1,25,30,35,40,45,50)/100*(Inputs!$B$11-Inputs!$B$11),0))/100)/2</f>
        <v/>
      </c>
      <c r="M2124">
        <f>L2124*(1+(Inputs!$B$10+((C2137=TRUE)*(F2137-Calc!F27))+B2151+(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2124">
        <f>L2124*(1-MIN((Inputs!$B$9+((C2136=TRUE)*(F2136-Calc!F26))+B2144+(ArtifactsInput!$M$24-ArtifactsInput!$M$24)*CHOOSE(ArtifactsInput!$N$24+1,10,12,14,16,18,20)+(IF(AND(Inputs!$B$39&lt;&gt;"pvp",Inputs!$B$44=0),1,IF(IF(Inputs!$B$39="pvp",15,Inputs!$B$44)-(B2155)&lt;=0,1,MAX(0,IF(Inputs!$B$39="pvp",15,Inputs!$B$44)-MAX(5,B2155))/(IF(Inputs!$B$39="pvp",15,Inputs!$B$44)-(B2155))))*IF(AND(ArtifactsInput!$M$42,((Inputs!$B$9+((C2136=TRUE)*(F2136-Calc!F26))+B2144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2124*(MIN((Inputs!$B$9+((C2136=TRUE)*(F2136-Calc!F26))+B2144+(ArtifactsInput!$M$24-ArtifactsInput!$M$24)*CHOOSE(ArtifactsInput!$N$24+1,10,12,14,16,18,20)+(IF(AND(Inputs!$B$39&lt;&gt;"pvp",Inputs!$B$44=0),1,IF(IF(Inputs!$B$39="pvp",15,Inputs!$B$44)-(B2155)&lt;=0,1,MAX(0,IF(Inputs!$B$39="pvp",15,Inputs!$B$44)-MAX(5,B2155))/(IF(Inputs!$B$39="pvp",15,Inputs!$B$44)-(B2155))))*IF(AND(ArtifactsInput!$M$42,((Inputs!$B$9+((C2136=TRUE)*(F2136-Calc!F26))+B2144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124">
        <f>(1-Summary!$B$11)*T2124+Summary!$B$11*V2124</f>
        <v/>
      </c>
      <c r="P2124">
        <f>IF(B2156=0,0,O2124/B2156)</f>
        <v/>
      </c>
      <c r="Q2124">
        <f>IFERROR(1/IF(Inputs!$B$39="pvp",15,MAX(0.1,Skills!D14-IF(TRUE=TRUE,Inputs!$B$32,0))),0)</f>
        <v/>
      </c>
      <c r="R2124">
        <f>IF(AND(Inputs!$B$39&lt;&gt;"pvp",Inputs!$B$44&gt;0),IF(MAX(0,Inputs!$B$44-B2155)&lt;=0,0,(INT(MAX(0,Inputs!$B$44-B2155)/IF(Inputs!$B$39="pvp",15,MAX(0.1,Skills!D14-IF(TRUE=TRUE,Inputs!$B$32,0))))+1)),0)</f>
        <v/>
      </c>
      <c r="S2124">
        <f>IFERROR(O2124/N2124,0)</f>
        <v/>
      </c>
      <c r="T2124">
        <f>IF(C2124,(H2124*N2124*IF(AND(Inputs!$B$39&lt;&gt;"pvp",Inputs!$B$44&gt;0),((Skills!G14*((R2124-1)*IF(Skills!H14&gt;0,Skills!I14/Skills!H14,1)+IF(Skills!H14&gt;0,MIN(Skills!I14,MAX(0,MAX(0,Inputs!$B$44-B2155)-((R2124-1)*IF(Inputs!$B$39="pvp",15,MAX(0.1,Skills!D14-IF(TRUE=TRUE,Inputs!$B$32,0))))))/Skills!H14,1)))/Inputs!$B$44),G2124*Q2124))*IF(Inputs!$B$39="pvp",1,1+(Inputs!$B$20+0+Skills!P14+B2145+(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Hunt"),CHOOSE(ArtifactsInput!$N$35+1,15,18,21,24,27,30)*(1-EXP(-(0.2*B2148)*5)),0)+IF(AND(ArtifactsInput!$M$22,Inputs!$B$4&lt;&gt;"Chapter Hunt"),CHOOSE(ArtifactsInput!$N$22+1,10,12,14,16,18,20)*((0*(((0.15*B2148*5))^0/1)+1*(((0.15*B2148*5))^1/1)+2*(((0.15*B2148*5))^2/2)+3*(((0.15*B2148*5))^3/6)+4*(((0.15*B2148*5))^4/24)+5*(((0.15*B2148*5))^5/120))/((((0.15*B2148*5))^0/1)+(((0.15*B2148*5))^1/1)+(((0.15*B2148*5))^2/2)+(((0.15*B2148*5))^3/6)+(((0.15*B2148*5))^4/24)+(((0.15*B2148*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2124*(1-MIN(100,(Inputs!$B$9+((C2136=TRUE)*(F2136-Calc!F26))+B2144+(ArtifactsInput!$M$24-ArtifactsInput!$M$24)*CHOOSE(ArtifactsInput!$N$24+1,10,12,14,16,18,20)+(IF(AND(Inputs!$B$39&lt;&gt;"pvp",Inputs!$B$44=0),1,IF(IF(Inputs!$B$39="pvp",15,Inputs!$B$44)-(B2155)&lt;=0,1,MAX(0,IF(Inputs!$B$39="pvp",15,Inputs!$B$44)-MAX(5,B2155))/(IF(Inputs!$B$39="pvp",15,Inputs!$B$44)-(B2155))))*IF(AND(ArtifactsInput!$M$42,((Inputs!$B$9+((C2136=TRUE)*(F2136-Calc!F26))+B2144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2124*(MIN(100,(Inputs!$B$9+((C2136=TRUE)*(F2136-Calc!F26))+B2144+(ArtifactsInput!$M$24-ArtifactsInput!$M$24)*CHOOSE(ArtifactsInput!$N$24+1,10,12,14,16,18,20)+(IF(AND(Inputs!$B$39&lt;&gt;"pvp",Inputs!$B$44=0),1,IF(IF(Inputs!$B$39="pvp",15,Inputs!$B$44)-(B2155)&lt;=0,1,MAX(0,IF(Inputs!$B$39="pvp",15,Inputs!$B$44)-MAX(5,B2155))/(IF(Inputs!$B$39="pvp",15,Inputs!$B$44)-(B2155))))*IF(AND(ArtifactsInput!$M$42,((Inputs!$B$9+((C2136=TRUE)*(F2136-Calc!F26))+B2144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2124*(1-MIN(100,(Inputs!$B$9+((C2136=TRUE)*(F2136-Calc!F26))+B2144+(ArtifactsInput!$M$24-ArtifactsInput!$M$24)*CHOOSE(ArtifactsInput!$N$24+1,10,12,14,16,18,20)+(IF(AND(Inputs!$B$39&lt;&gt;"pvp",Inputs!$B$44=0),1,IF(IF(Inputs!$B$39="pvp",15,Inputs!$B$44)-(B2155)&lt;=0,1,MAX(0,IF(Inputs!$B$39="pvp",15,Inputs!$B$44)-MAX(5,B2155))/(IF(Inputs!$B$39="pvp",15,Inputs!$B$44)-(B2155))))*IF(AND(ArtifactsInput!$M$42,((Inputs!$B$9+((C2136=TRUE)*(F2136-Calc!F26))+B2144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2124*(MIN(100,(Inputs!$B$9+((C2136=TRUE)*(F2136-Calc!F26))+B2144+(ArtifactsInput!$M$24-ArtifactsInput!$M$24)*CHOOSE(ArtifactsInput!$N$24+1,10,12,14,16,18,20)+(IF(AND(Inputs!$B$39&lt;&gt;"pvp",Inputs!$B$44=0),1,IF(IF(Inputs!$B$39="pvp",15,Inputs!$B$44)-(B2155)&lt;=0,1,MAX(0,IF(Inputs!$B$39="pvp",15,Inputs!$B$44)-MAX(5,B2155))/(IF(Inputs!$B$39="pvp",15,Inputs!$B$44)-(B2155))))*IF(AND(ArtifactsInput!$M$42,((Inputs!$B$9+((C2136=TRUE)*(F2136-Calc!F26))+B2144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IF(ArtifactsInput!$M$20,FALSE,TRUE),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124">
        <f>IF(C2124,(H2124*N2124*IF(AND(Inputs!$B$39&lt;&gt;"pvp",Inputs!$B$44&gt;0),((Skills!G14*((R2124-1)*IF(Skills!H14&gt;0,Skills!I14/Skills!H14,1)+IF(Skills!H14&gt;0,MIN(Skills!I14,MAX(0,MAX(0,Inputs!$B$44-B2155)-((R2124-1)*IF(Inputs!$B$39="pvp",15,MAX(0.1,Skills!D14-IF(TRUE=TRUE,Inputs!$B$32,0))))))/Skills!H14,1)))/Inputs!$B$44),G2124*Q2124))*IF(Inputs!$B$39="pvp",1,(1+(Inputs!$B$21+Skills!Q14+B2145+(IF(ArtifactsInput!$M$33,CHOOSE(ArtifactsInput!$N$33+1,30,36,42,48,54,60),0))+(IF(AND(ArtifactsInput!$M$35,Inputs!$B$4&lt;&gt;"Chapter Hunt"),CHOOSE(ArtifactsInput!$N$35+1,15,18,21,24,27,30)*(1-EXP(-(0.2*B2148)*5)),0)+IF(AND(ArtifactsInput!$M$22,Inputs!$B$4&lt;&gt;"Chapter Hunt"),CHOOSE(ArtifactsInput!$N$22+1,10,12,14,16,18,20)*((0*(((0.15*B2148*5))^0/1)+1*(((0.15*B2148*5))^1/1)+2*(((0.15*B2148*5))^2/2)+3*(((0.15*B2148*5))^3/6)+4*(((0.15*B2148*5))^4/24)+5*(((0.15*B2148*5))^5/120))/((((0.15*B2148*5))^0/1)+(((0.15*B2148*5))^1/1)+(((0.15*B2148*5))^2/2)+(((0.15*B2148*5))^3/6)+(((0.15*B2148*5))^4/24)+(((0.15*B2148*5))^5/120))),0)))/100)*(MIN(Skills!W14,Inputs!$B$37)))*((1+(IF(AND(ArtifactsInput!$M$41,Inputs!$B$39&lt;&gt;"pvp"),CHOOSE(ArtifactsInput!$N$41+1,5,6,7,8,9,10)*IF(OR(Inputs!$B$4="Weapon Dungeon",Inputs!$B$4="Equipment Dungeon",Inputs!$B$4="Enhancement Dungeon",Inputs!$B$4="EXP Dungeon",Inputs!$B$4="Hero Dungeon"),3,1),0)+IF(ArtifactsInput!$M$26,10*CHOOSE(ArtifactsInput!$N$26+1,1,1.2,1.4,1.6,1.8,2),0)+IF(AND(IF(ArtifactsInput!$M$20,FALSE,TRUE),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125">
      <c r="A2125">
        <f>Skills!A15</f>
        <v/>
      </c>
      <c r="B2125">
        <f>Skills!B15</f>
        <v/>
      </c>
      <c r="C2125">
        <f>Inputs!$B$3&gt;=107</f>
        <v/>
      </c>
      <c r="D2125">
        <f>IF(Skills!C15=1,60+Inputs!$B$25+Inputs!$B$29,IF(Skills!C15=2,90+Inputs!$B$26+Inputs!$B$29,IF(Skills!C15=3,120+Inputs!$B$27+Inputs!$B$29,MAX(0,(Inputs!$B$3-100)*3)+Inputs!$B$28+Inputs!$B$29)))</f>
        <v/>
      </c>
      <c r="E2125">
        <f>INDEX(FactorTable!$B$2:$Y$301, MATCH(ROUND(MIN(300,MAX(1,D2125)),0), FactorTable!$A$2:$A$301,0), Skills!M15+1)</f>
        <v/>
      </c>
      <c r="F2125">
        <f>IF(Skills!N15=TRUE,(Skills!L15/10)*(E2125/1000),Skills!L15/10)+Skills!O15</f>
        <v/>
      </c>
      <c r="G2125">
        <f>Skills!G15*IF(Skills!H15&gt;0,IF(Inputs!$B$39="pvp",MIN(Skills!I15,15),Skills!I15)/Skills!H15,1)</f>
        <v/>
      </c>
      <c r="H2125">
        <f>1-(1-Skills!J15/100)^Skills!K15</f>
        <v/>
      </c>
      <c r="I2125" t="inlineStr">
        <is>
          <t>1</t>
        </is>
      </c>
      <c r="J2125">
        <f>((Inputs!$B$6*(1+Inputs!$B$7/100))+(((Inputs!$B$12*(1+Inputs!$B$13/100))-(Inputs!$B$12*(1+Inputs!$B$13/100)))+0.25*(Inputs!$B$14-Inputs!$B$14))*(1+Inputs!$B$7/100))*(F2125/100)</f>
        <v/>
      </c>
      <c r="K2125">
        <f>J2125*(1+((Inputs!$B$12*(1+Inputs!$B$13/100))*0.01+Inputs!$B$14*0.0025)/100)*(1+Inputs!$B$15/100)*(1+Inputs!$B$16/100)*(5000/(6000+Inputs!$B$43*(1-(100*(1-(1-Inputs!$B$19/100)*(1-CHOOSE(ArtifactsInput!$N$40+1,5,6,7,8,9,10)/100)^(ArtifactsInput!$M$40-ArtifactsInput!$M$40)))/100)))*(1+(Inputs!$B$24+((C2141=TRUE)*(F2141-Calc!F31))+((C2128=TRUE)*(F2128-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15="CRUEL_STAB",Inputs!$B$17+((C2138=TRUE)*(F2138-Calc!F28))+((IF(AND(Inputs!$B$39&lt;&gt;"pvp",Inputs!$B$44=0),1,IF(IF(Inputs!$B$39="pvp",15,Inputs!$B$44)-(B2155)&lt;=0,1,MAX(0,IF(Inputs!$B$39="pvp",15,Inputs!$B$44)-MAX(5,B2155))/(IF(Inputs!$B$39="pvp",15,Inputs!$B$44)-(B2155))))*(IF(AND(ArtifactsInput!$M$42,((Inputs!$B$9+((C2136=TRUE)*(F2136-Calc!F26))+B2144+(ArtifactsInput!$M$24-ArtifactsInput!$M$24)*CHOOSE(ArtifactsInput!$N$24+1,10,12,14,16,18,20)+IF(ArtifactsInput!$M$10,CHOOSE(ArtifactsInput!$N$10+1,15,18,21,24,27,30)*(IF(Inputs!$B$39="pvp",MIN(15,15)/15,IF(AND(Inputs!$B$39&lt;&gt;"pvp",Inputs!$B$44&gt;0),MIN(15,Inputs!$B$44)/(Inputs!$B$44),0))),0)))&gt;=100),MIN(100,((Inputs!$B$9+((C2136=TRUE)*(F2136-Calc!F26))+B2144+(ArtifactsInput!$M$24-ArtifactsInput!$M$24)*CHOOSE(ArtifactsInput!$N$24+1,10,12,14,16,18,20)+IF(ArtifactsInput!$M$10,CHOOSE(ArtifactsInput!$N$10+1,15,18,21,24,27,30)*(IF(Inputs!$B$39="pvp",MIN(15,15)/15,IF(AND(Inputs!$B$39&lt;&gt;"pvp",Inputs!$B$44&gt;0),MIN(15,Inputs!$B$44)/(Inputs!$B$44),0))),0)))-100),0))*CHOOSE(ArtifactsInput!$N$42+1,0.6,0.72,0.84,0.96,1.08,1.2))),Inputs!$B$18+((C2139=TRUE)*(F2139-Calc!F29))+(IF(AND(Inputs!$B$39&lt;&gt;"pvp",Inputs!$B$44=0),1,IF(IF(Inputs!$B$39="pvp",15,Inputs!$B$44)-(B2155)&lt;=0,1,MAX(0,IF(Inputs!$B$39="pvp",15,Inputs!$B$44)-MAX(5,B2155))/(IF(Inputs!$B$39="pvp",15,Inputs!$B$44)-(B2155))))*IF(AND(ArtifactsInput!$M$42,((Inputs!$B$9+((C2136=TRUE)*(F2136-Calc!F26))+B2144+(ArtifactsInput!$M$24-ArtifactsInput!$M$24)*CHOOSE(ArtifactsInput!$N$24+1,10,12,14,16,18,20)+IF(ArtifactsInput!$M$10,CHOOSE(ArtifactsInput!$N$10+1,15,18,21,24,27,30)*(IF(Inputs!$B$39="pvp",MIN(15,15)/15,IF(AND(Inputs!$B$39&lt;&gt;"pvp",Inputs!$B$44&gt;0),MIN(15,Inputs!$B$44)/(Inputs!$B$44),0))),0)))&gt;=100),CHOOSE(ArtifactsInput!$N$42+1,40,48,56,64,72,80),0))))/100)*(((1+(((C2132=TRUE)*F2132*IF(AND(Inputs!$B$39&lt;&gt;"pvp",Inputs!$B$44&gt;0),(((R2132-1)*MIN((Skills!Y22*(1+Inputs!$B$34/100)),(1/Q2132))+MIN((Skills!Y22*(1+Inputs!$B$34/100)),MAX(0,Inputs!$B$44-((R2132-1)*(1/Q2132)))))/Inputs!$B$44),IF(Inputs!$B$39="pvp",MIN((Skills!Y22*(1+Inputs!$B$34/100)),15)/15,MIN(1,(Skills!Y22*(1+Inputs!$B$34/100))/(1/Q2132)))))+((C2113=TRUE)*F2113*3)+((C2115=TRUE)*F2115*(1-EXP(-0.75*B2148*5)))+((C2134=TRUE)*(F2134-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2121=TRUE)*F2121*IF(AND(Inputs!$B$39&lt;&gt;"pvp",Inputs!$B$44&gt;0),(((R2121-1)*MIN((Skills!Y11*(1+Inputs!$B$34/100)),(1/Q2121))+MIN((Skills!Y11*(1+Inputs!$B$34/100)),MAX(0,Inputs!$B$44-((R2121-1)*(1/Q2121)))))/Inputs!$B$44),IF(Inputs!$B$39="pvp",MIN((Skills!Y11*(1+Inputs!$B$34/100)),15)/15,MIN(1,(Skills!Y11*(1+Inputs!$B$34/100))/(1/Q2121)))))/100)*(1+((C2126=TRUE)*F2126*IF(AND(Inputs!$B$39&lt;&gt;"pvp",Inputs!$B$44&gt;0),(((R2126-1)*MIN((Skills!Y16*(1+Inputs!$B$34/100)),(1/Q2126))+MIN((Skills!Y16*(1+Inputs!$B$34/100)),MAX(0,Inputs!$B$44-((R2126-1)*(1/Q2126)))))/Inputs!$B$44),IF(Inputs!$B$39="pvp",MIN((Skills!Y16*(1+Inputs!$B$34/100)),15)/15,MIN(1,(Skills!Y16*(1+Inputs!$B$34/100))/(1/Q2126)))))/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2146*I2125)</f>
        <v/>
      </c>
      <c r="L2125">
        <f>K2125*(MIN(Inputs!$B$22+((C2135=TRUE)*(F2135-Calc!F25)),(Inputs!$B$23+((C2140=TRUE)*(F2140-Calc!F30))+IF(ArtifactsInput!$M$15,CHOOSE(ArtifactsInput!$N$15+1,25,30,35,40,45,50)/100*(Inputs!$B$11-Inputs!$B$11),0)))/100+(Inputs!$B$23+((C2140=TRUE)*(F2140-Calc!F30))+IF(ArtifactsInput!$M$15,CHOOSE(ArtifactsInput!$N$15+1,25,30,35,40,45,50)/100*(Inputs!$B$11-Inputs!$B$11),0))/100)/2</f>
        <v/>
      </c>
      <c r="M2125">
        <f>L2125*(1+(Inputs!$B$10+((C2137=TRUE)*(F2137-Calc!F27))+B2151+(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2125">
        <f>L2125*(1-MIN((Inputs!$B$9+((C2136=TRUE)*(F2136-Calc!F26))+B2144+(ArtifactsInput!$M$24-ArtifactsInput!$M$24)*CHOOSE(ArtifactsInput!$N$24+1,10,12,14,16,18,20)+(IF(AND(Inputs!$B$39&lt;&gt;"pvp",Inputs!$B$44=0),1,IF(IF(Inputs!$B$39="pvp",15,Inputs!$B$44)-(B2155)&lt;=0,1,MAX(0,IF(Inputs!$B$39="pvp",15,Inputs!$B$44)-MAX(5,B2155))/(IF(Inputs!$B$39="pvp",15,Inputs!$B$44)-(B2155))))*IF(AND(ArtifactsInput!$M$42,((Inputs!$B$9+((C2136=TRUE)*(F2136-Calc!F26))+B2144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2125*(MIN((Inputs!$B$9+((C2136=TRUE)*(F2136-Calc!F26))+B2144+(ArtifactsInput!$M$24-ArtifactsInput!$M$24)*CHOOSE(ArtifactsInput!$N$24+1,10,12,14,16,18,20)+(IF(AND(Inputs!$B$39&lt;&gt;"pvp",Inputs!$B$44=0),1,IF(IF(Inputs!$B$39="pvp",15,Inputs!$B$44)-(B2155)&lt;=0,1,MAX(0,IF(Inputs!$B$39="pvp",15,Inputs!$B$44)-MAX(5,B2155))/(IF(Inputs!$B$39="pvp",15,Inputs!$B$44)-(B2155))))*IF(AND(ArtifactsInput!$M$42,((Inputs!$B$9+((C2136=TRUE)*(F2136-Calc!F26))+B2144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125">
        <f>(1-Summary!$B$11)*T2125+Summary!$B$11*V2125</f>
        <v/>
      </c>
      <c r="P2125">
        <f>IF(B2156=0,0,O2125/B2156)</f>
        <v/>
      </c>
      <c r="Q2125">
        <f>IFERROR(1/IF(Inputs!$B$39="pvp",15,MAX(0.1,Skills!D15-IF(TRUE=TRUE,Inputs!$B$32,0))),0)</f>
        <v/>
      </c>
      <c r="R2125">
        <f>IF(AND(Inputs!$B$39&lt;&gt;"pvp",Inputs!$B$44&gt;0),IF(MAX(0,Inputs!$B$44-B2155)&lt;=0,0,(INT(MAX(0,Inputs!$B$44-B2155)/IF(Inputs!$B$39="pvp",15,MAX(0.1,Skills!D15-IF(TRUE=TRUE,Inputs!$B$32,0))))+1)),0)</f>
        <v/>
      </c>
      <c r="S2125">
        <f>IFERROR(O2125/N2125,0)</f>
        <v/>
      </c>
      <c r="T2125">
        <f>IF(C2125,(H2125*N2125*IF(AND(Inputs!$B$39&lt;&gt;"pvp",Inputs!$B$44&gt;0),((Skills!G15*((R2125-1)*IF(Skills!H15&gt;0,Skills!I15/Skills!H15,1)+IF(Skills!H15&gt;0,MIN(Skills!I15,MAX(0,MAX(0,Inputs!$B$44-B2155)-((R2125-1)*IF(Inputs!$B$39="pvp",15,MAX(0.1,Skills!D15-IF(TRUE=TRUE,Inputs!$B$32,0))))))/Skills!H15,1)))/Inputs!$B$44),G2125*Q2125))*IF(Inputs!$B$39="pvp",1,1+(Inputs!$B$20+0+Skills!P15+B2145+(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Hunt"),CHOOSE(ArtifactsInput!$N$35+1,15,18,21,24,27,30)*(1-EXP(-(0.2*B2148)*5)),0)+IF(AND(ArtifactsInput!$M$22,Inputs!$B$4&lt;&gt;"Chapter Hunt"),CHOOSE(ArtifactsInput!$N$22+1,10,12,14,16,18,20)*((0*(((0.15*B2148*5))^0/1)+1*(((0.15*B2148*5))^1/1)+2*(((0.15*B2148*5))^2/2)+3*(((0.15*B2148*5))^3/6)+4*(((0.15*B2148*5))^4/24)+5*(((0.15*B2148*5))^5/120))/((((0.15*B2148*5))^0/1)+(((0.15*B2148*5))^1/1)+(((0.15*B2148*5))^2/2)+(((0.15*B2148*5))^3/6)+(((0.15*B2148*5))^4/24)+(((0.15*B2148*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2125*(1-MIN(100,(Inputs!$B$9+((C2136=TRUE)*(F2136-Calc!F26))+B2144+(ArtifactsInput!$M$24-ArtifactsInput!$M$24)*CHOOSE(ArtifactsInput!$N$24+1,10,12,14,16,18,20)+(IF(AND(Inputs!$B$39&lt;&gt;"pvp",Inputs!$B$44=0),1,IF(IF(Inputs!$B$39="pvp",15,Inputs!$B$44)-(B2155)&lt;=0,1,MAX(0,IF(Inputs!$B$39="pvp",15,Inputs!$B$44)-MAX(5,B2155))/(IF(Inputs!$B$39="pvp",15,Inputs!$B$44)-(B2155))))*IF(AND(ArtifactsInput!$M$42,((Inputs!$B$9+((C2136=TRUE)*(F2136-Calc!F26))+B2144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2125*(MIN(100,(Inputs!$B$9+((C2136=TRUE)*(F2136-Calc!F26))+B2144+(ArtifactsInput!$M$24-ArtifactsInput!$M$24)*CHOOSE(ArtifactsInput!$N$24+1,10,12,14,16,18,20)+(IF(AND(Inputs!$B$39&lt;&gt;"pvp",Inputs!$B$44=0),1,IF(IF(Inputs!$B$39="pvp",15,Inputs!$B$44)-(B2155)&lt;=0,1,MAX(0,IF(Inputs!$B$39="pvp",15,Inputs!$B$44)-MAX(5,B2155))/(IF(Inputs!$B$39="pvp",15,Inputs!$B$44)-(B2155))))*IF(AND(ArtifactsInput!$M$42,((Inputs!$B$9+((C2136=TRUE)*(F2136-Calc!F26))+B2144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2125*(1-MIN(100,(Inputs!$B$9+((C2136=TRUE)*(F2136-Calc!F26))+B2144+(ArtifactsInput!$M$24-ArtifactsInput!$M$24)*CHOOSE(ArtifactsInput!$N$24+1,10,12,14,16,18,20)+(IF(AND(Inputs!$B$39&lt;&gt;"pvp",Inputs!$B$44=0),1,IF(IF(Inputs!$B$39="pvp",15,Inputs!$B$44)-(B2155)&lt;=0,1,MAX(0,IF(Inputs!$B$39="pvp",15,Inputs!$B$44)-MAX(5,B2155))/(IF(Inputs!$B$39="pvp",15,Inputs!$B$44)-(B2155))))*IF(AND(ArtifactsInput!$M$42,((Inputs!$B$9+((C2136=TRUE)*(F2136-Calc!F26))+B2144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2125*(MIN(100,(Inputs!$B$9+((C2136=TRUE)*(F2136-Calc!F26))+B2144+(ArtifactsInput!$M$24-ArtifactsInput!$M$24)*CHOOSE(ArtifactsInput!$N$24+1,10,12,14,16,18,20)+(IF(AND(Inputs!$B$39&lt;&gt;"pvp",Inputs!$B$44=0),1,IF(IF(Inputs!$B$39="pvp",15,Inputs!$B$44)-(B2155)&lt;=0,1,MAX(0,IF(Inputs!$B$39="pvp",15,Inputs!$B$44)-MAX(5,B2155))/(IF(Inputs!$B$39="pvp",15,Inputs!$B$44)-(B2155))))*IF(AND(ArtifactsInput!$M$42,((Inputs!$B$9+((C2136=TRUE)*(F2136-Calc!F26))+B2144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IF(ArtifactsInput!$M$20,FALSE,TRUE),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125">
        <f>IF(C2125,(H2125*N2125*IF(AND(Inputs!$B$39&lt;&gt;"pvp",Inputs!$B$44&gt;0),((Skills!G15*((R2125-1)*IF(Skills!H15&gt;0,Skills!I15/Skills!H15,1)+IF(Skills!H15&gt;0,MIN(Skills!I15,MAX(0,MAX(0,Inputs!$B$44-B2155)-((R2125-1)*IF(Inputs!$B$39="pvp",15,MAX(0.1,Skills!D15-IF(TRUE=TRUE,Inputs!$B$32,0))))))/Skills!H15,1)))/Inputs!$B$44),G2125*Q2125))*IF(Inputs!$B$39="pvp",1,(1+(Inputs!$B$21+Skills!Q15+B2145+(IF(ArtifactsInput!$M$33,CHOOSE(ArtifactsInput!$N$33+1,30,36,42,48,54,60),0))+(IF(AND(ArtifactsInput!$M$35,Inputs!$B$4&lt;&gt;"Chapter Hunt"),CHOOSE(ArtifactsInput!$N$35+1,15,18,21,24,27,30)*(1-EXP(-(0.2*B2148)*5)),0)+IF(AND(ArtifactsInput!$M$22,Inputs!$B$4&lt;&gt;"Chapter Hunt"),CHOOSE(ArtifactsInput!$N$22+1,10,12,14,16,18,20)*((0*(((0.15*B2148*5))^0/1)+1*(((0.15*B2148*5))^1/1)+2*(((0.15*B2148*5))^2/2)+3*(((0.15*B2148*5))^3/6)+4*(((0.15*B2148*5))^4/24)+5*(((0.15*B2148*5))^5/120))/((((0.15*B2148*5))^0/1)+(((0.15*B2148*5))^1/1)+(((0.15*B2148*5))^2/2)+(((0.15*B2148*5))^3/6)+(((0.15*B2148*5))^4/24)+(((0.15*B2148*5))^5/120))),0)))/100)*(MIN(MIN(5,0.5*IF(Inputs!$B$3&gt;=75,0.75,0.5)*B2148*(1/Q2114))*Skills!V15,Inputs!$B$37)))*((1+(IF(AND(ArtifactsInput!$M$41,Inputs!$B$39&lt;&gt;"pvp"),CHOOSE(ArtifactsInput!$N$41+1,5,6,7,8,9,10)*IF(OR(Inputs!$B$4="Weapon Dungeon",Inputs!$B$4="Equipment Dungeon",Inputs!$B$4="Enhancement Dungeon",Inputs!$B$4="EXP Dungeon",Inputs!$B$4="Hero Dungeon"),3,1),0)+IF(ArtifactsInput!$M$26,10*CHOOSE(ArtifactsInput!$N$26+1,1,1.2,1.4,1.6,1.8,2),0)+IF(AND(IF(ArtifactsInput!$M$20,FALSE,TRUE),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126">
      <c r="A2126">
        <f>Skills!A16</f>
        <v/>
      </c>
      <c r="B2126">
        <f>Skills!B16</f>
        <v/>
      </c>
      <c r="C2126">
        <f>Inputs!$B$3&gt;=110</f>
        <v/>
      </c>
      <c r="D2126">
        <f>IF(Skills!C16=1,60+Inputs!$B$25+Inputs!$B$29,IF(Skills!C16=2,90+Inputs!$B$26+Inputs!$B$29,IF(Skills!C16=3,120+Inputs!$B$27+Inputs!$B$29,MAX(0,(Inputs!$B$3-100)*3)+Inputs!$B$28+Inputs!$B$29)))</f>
        <v/>
      </c>
      <c r="E2126">
        <f>INDEX(FactorTable!$B$2:$Y$301, MATCH(ROUND(MIN(300,MAX(1,D2126)),0), FactorTable!$A$2:$A$301,0), Skills!M16+1)</f>
        <v/>
      </c>
      <c r="F2126">
        <f>IF(Skills!N16=TRUE,(Skills!L16/10)*(E2126/1000),Skills!L16/10)+Skills!O16</f>
        <v/>
      </c>
      <c r="G2126">
        <f>Skills!G16*IF(Skills!H16&gt;0,IF(Inputs!$B$39="pvp",MIN(Skills!I16,15),Skills!I16)/Skills!H16,1)</f>
        <v/>
      </c>
      <c r="H2126">
        <f>1-(1-Skills!J16/100)^Skills!K16</f>
        <v/>
      </c>
      <c r="I2126" t="inlineStr">
        <is>
          <t>1</t>
        </is>
      </c>
      <c r="J2126" t="inlineStr"/>
      <c r="K2126" t="inlineStr"/>
      <c r="L2126" t="inlineStr"/>
      <c r="M2126" t="inlineStr"/>
      <c r="N2126" t="inlineStr"/>
      <c r="O2126">
        <f>(1-Summary!$B$11)*T2126+Summary!$B$11*V2126</f>
        <v/>
      </c>
      <c r="P2126">
        <f>IF(B2156=0,0,O2126/B2156)</f>
        <v/>
      </c>
      <c r="Q2126">
        <f>IFERROR(1/IF(Inputs!$B$39="pvp",15,MAX(0.1,Skills!D16-IF(TRUE=TRUE,Inputs!$B$32,0))),0)</f>
        <v/>
      </c>
      <c r="R2126">
        <f>IF(AND(Inputs!$B$39&lt;&gt;"pvp",Inputs!$B$44&gt;0),IF(Inputs!$B$44&lt;=0,0,(INT(Inputs!$B$44/IF(Inputs!$B$39="pvp",15,MAX(0.1,Skills!D16-IF(TRUE=TRUE,Inputs!$B$32,0))))+1)),0)</f>
        <v/>
      </c>
      <c r="S2126">
        <f>IFERROR(O2126/N2126,0)</f>
        <v/>
      </c>
      <c r="T2126" t="n">
        <v>0</v>
      </c>
      <c r="V2126" t="n">
        <v>0</v>
      </c>
    </row>
    <row r="2127">
      <c r="A2127">
        <f>Skills!A17</f>
        <v/>
      </c>
      <c r="B2127">
        <f>Skills!B17</f>
        <v/>
      </c>
      <c r="C2127">
        <f>Inputs!$B$3&gt;=115</f>
        <v/>
      </c>
      <c r="D2127">
        <f>IF(Skills!C17=1,60+Inputs!$B$25+Inputs!$B$29,IF(Skills!C17=2,90+Inputs!$B$26+Inputs!$B$29,IF(Skills!C17=3,120+Inputs!$B$27+Inputs!$B$29,MAX(0,(Inputs!$B$3-100)*3)+Inputs!$B$28+Inputs!$B$29)))</f>
        <v/>
      </c>
      <c r="E2127">
        <f>INDEX(FactorTable!$B$2:$Y$301, MATCH(ROUND(MIN(300,MAX(1,D2127)),0), FactorTable!$A$2:$A$301,0), Skills!M17+1)</f>
        <v/>
      </c>
      <c r="F2127">
        <f>IF(Skills!N17=TRUE,(Skills!L17/10)*(E2127/1000),Skills!L17/10)+Skills!O17</f>
        <v/>
      </c>
      <c r="G2127">
        <f>Skills!G17*IF(Skills!H17&gt;0,IF(Inputs!$B$39="pvp",MIN(Skills!I17,15),Skills!I17)/Skills!H17,1)</f>
        <v/>
      </c>
      <c r="H2127">
        <f>1-(1-Skills!J17/100)^Skills!K17</f>
        <v/>
      </c>
      <c r="I2127" t="inlineStr">
        <is>
          <t>1</t>
        </is>
      </c>
      <c r="J2127">
        <f>((Inputs!$B$6*(1+Inputs!$B$7/100))+(((Inputs!$B$12*(1+Inputs!$B$13/100))-(Inputs!$B$12*(1+Inputs!$B$13/100)))+0.25*(Inputs!$B$14-Inputs!$B$14))*(1+Inputs!$B$7/100))*(F2127/100)</f>
        <v/>
      </c>
      <c r="K2127">
        <f>J2127*(1+((Inputs!$B$12*(1+Inputs!$B$13/100))*0.01+Inputs!$B$14*0.0025)/100)*(1+Inputs!$B$15/100)*(1+Inputs!$B$16/100)*(5000/(6000+Inputs!$B$43*(1-(100*(1-(1-Inputs!$B$19/100)*(1-CHOOSE(ArtifactsInput!$N$40+1,5,6,7,8,9,10)/100)^(ArtifactsInput!$M$40-ArtifactsInput!$M$40)))/100)))*(1+(Inputs!$B$24+((C2141=TRUE)*(F2141-Calc!F31))+((C2128=TRUE)*(F2128-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17="CRUEL_STAB",Inputs!$B$17+((C2138=TRUE)*(F2138-Calc!F28))+((IF(AND(Inputs!$B$39&lt;&gt;"pvp",Inputs!$B$44=0),1,IF(IF(Inputs!$B$39="pvp",15,Inputs!$B$44)-(B2155)&lt;=0,1,MAX(0,IF(Inputs!$B$39="pvp",15,Inputs!$B$44)-MAX(5,B2155))/(IF(Inputs!$B$39="pvp",15,Inputs!$B$44)-(B2155))))*(IF(AND(ArtifactsInput!$M$42,((Inputs!$B$9+((C2136=TRUE)*(F2136-Calc!F26))+B2144+(ArtifactsInput!$M$24-ArtifactsInput!$M$24)*CHOOSE(ArtifactsInput!$N$24+1,10,12,14,16,18,20)+IF(ArtifactsInput!$M$10,CHOOSE(ArtifactsInput!$N$10+1,15,18,21,24,27,30)*(IF(Inputs!$B$39="pvp",MIN(15,15)/15,IF(AND(Inputs!$B$39&lt;&gt;"pvp",Inputs!$B$44&gt;0),MIN(15,Inputs!$B$44)/(Inputs!$B$44),0))),0)))&gt;=100),MIN(100,((Inputs!$B$9+((C2136=TRUE)*(F2136-Calc!F26))+B2144+(ArtifactsInput!$M$24-ArtifactsInput!$M$24)*CHOOSE(ArtifactsInput!$N$24+1,10,12,14,16,18,20)+IF(ArtifactsInput!$M$10,CHOOSE(ArtifactsInput!$N$10+1,15,18,21,24,27,30)*(IF(Inputs!$B$39="pvp",MIN(15,15)/15,IF(AND(Inputs!$B$39&lt;&gt;"pvp",Inputs!$B$44&gt;0),MIN(15,Inputs!$B$44)/(Inputs!$B$44),0))),0)))-100),0))*CHOOSE(ArtifactsInput!$N$42+1,0.6,0.72,0.84,0.96,1.08,1.2))),Inputs!$B$18+((C2139=TRUE)*(F2139-Calc!F29))+(IF(AND(Inputs!$B$39&lt;&gt;"pvp",Inputs!$B$44=0),1,IF(IF(Inputs!$B$39="pvp",15,Inputs!$B$44)-(B2155)&lt;=0,1,MAX(0,IF(Inputs!$B$39="pvp",15,Inputs!$B$44)-MAX(5,B2155))/(IF(Inputs!$B$39="pvp",15,Inputs!$B$44)-(B2155))))*IF(AND(ArtifactsInput!$M$42,((Inputs!$B$9+((C2136=TRUE)*(F2136-Calc!F26))+B2144+(ArtifactsInput!$M$24-ArtifactsInput!$M$24)*CHOOSE(ArtifactsInput!$N$24+1,10,12,14,16,18,20)+IF(ArtifactsInput!$M$10,CHOOSE(ArtifactsInput!$N$10+1,15,18,21,24,27,30)*(IF(Inputs!$B$39="pvp",MIN(15,15)/15,IF(AND(Inputs!$B$39&lt;&gt;"pvp",Inputs!$B$44&gt;0),MIN(15,Inputs!$B$44)/(Inputs!$B$44),0))),0)))&gt;=100),CHOOSE(ArtifactsInput!$N$42+1,40,48,56,64,72,80),0))))/100)*(((1+(((C2132=TRUE)*F2132*IF(AND(Inputs!$B$39&lt;&gt;"pvp",Inputs!$B$44&gt;0),(((R2132-1)*MIN((Skills!Y22*(1+Inputs!$B$34/100)),(1/Q2132))+MIN((Skills!Y22*(1+Inputs!$B$34/100)),MAX(0,Inputs!$B$44-((R2132-1)*(1/Q2132)))))/Inputs!$B$44),IF(Inputs!$B$39="pvp",MIN((Skills!Y22*(1+Inputs!$B$34/100)),15)/15,MIN(1,(Skills!Y22*(1+Inputs!$B$34/100))/(1/Q2132)))))+((C2113=TRUE)*F2113*3)+((C2115=TRUE)*F2115*(1-EXP(-0.75*B2148*5)))+((C2134=TRUE)*(F2134-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2121=TRUE)*F2121*IF(AND(Inputs!$B$39&lt;&gt;"pvp",Inputs!$B$44&gt;0),(((R2121-1)*MIN((Skills!Y11*(1+Inputs!$B$34/100)),(1/Q2121))+MIN((Skills!Y11*(1+Inputs!$B$34/100)),MAX(0,Inputs!$B$44-((R2121-1)*(1/Q2121)))))/Inputs!$B$44),IF(Inputs!$B$39="pvp",MIN((Skills!Y11*(1+Inputs!$B$34/100)),15)/15,MIN(1,(Skills!Y11*(1+Inputs!$B$34/100))/(1/Q2121)))))/100)*(1+((C2126=TRUE)*F2126*IF(AND(Inputs!$B$39&lt;&gt;"pvp",Inputs!$B$44&gt;0),(((R2126-1)*MIN((Skills!Y16*(1+Inputs!$B$34/100)),(1/Q2126))+MIN((Skills!Y16*(1+Inputs!$B$34/100)),MAX(0,Inputs!$B$44-((R2126-1)*(1/Q2126)))))/Inputs!$B$44),IF(Inputs!$B$39="pvp",MIN((Skills!Y16*(1+Inputs!$B$34/100)),15)/15,MIN(1,(Skills!Y16*(1+Inputs!$B$34/100))/(1/Q2126)))))/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2146*I2127)</f>
        <v/>
      </c>
      <c r="L2127">
        <f>K2127*(MIN(Inputs!$B$22+((C2135=TRUE)*(F2135-Calc!F25)),(Inputs!$B$23+((C2140=TRUE)*(F2140-Calc!F30))+IF(ArtifactsInput!$M$15,CHOOSE(ArtifactsInput!$N$15+1,25,30,35,40,45,50)/100*(Inputs!$B$11-Inputs!$B$11),0)))/100+(Inputs!$B$23+((C2140=TRUE)*(F2140-Calc!F30))+IF(ArtifactsInput!$M$15,CHOOSE(ArtifactsInput!$N$15+1,25,30,35,40,45,50)/100*(Inputs!$B$11-Inputs!$B$11),0))/100)/2</f>
        <v/>
      </c>
      <c r="M2127">
        <f>L2127*(1+(Inputs!$B$10+((C2137=TRUE)*(F2137-Calc!F27))+B2151+(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2127">
        <f>L2127*(1-MIN((Inputs!$B$9+((C2136=TRUE)*(F2136-Calc!F26))+B2144+(ArtifactsInput!$M$24-ArtifactsInput!$M$24)*CHOOSE(ArtifactsInput!$N$24+1,10,12,14,16,18,20)+(IF(AND(Inputs!$B$39&lt;&gt;"pvp",Inputs!$B$44=0),1,IF(IF(Inputs!$B$39="pvp",15,Inputs!$B$44)-(B2155)&lt;=0,1,MAX(0,IF(Inputs!$B$39="pvp",15,Inputs!$B$44)-MAX(5,B2155))/(IF(Inputs!$B$39="pvp",15,Inputs!$B$44)-(B2155))))*IF(AND(ArtifactsInput!$M$42,((Inputs!$B$9+((C2136=TRUE)*(F2136-Calc!F26))+B2144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2127*(MIN((Inputs!$B$9+((C2136=TRUE)*(F2136-Calc!F26))+B2144+(ArtifactsInput!$M$24-ArtifactsInput!$M$24)*CHOOSE(ArtifactsInput!$N$24+1,10,12,14,16,18,20)+(IF(AND(Inputs!$B$39&lt;&gt;"pvp",Inputs!$B$44=0),1,IF(IF(Inputs!$B$39="pvp",15,Inputs!$B$44)-(B2155)&lt;=0,1,MAX(0,IF(Inputs!$B$39="pvp",15,Inputs!$B$44)-MAX(5,B2155))/(IF(Inputs!$B$39="pvp",15,Inputs!$B$44)-(B2155))))*IF(AND(ArtifactsInput!$M$42,((Inputs!$B$9+((C2136=TRUE)*(F2136-Calc!F26))+B2144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127">
        <f>(1-Summary!$B$11)*T2127+Summary!$B$11*V2127</f>
        <v/>
      </c>
      <c r="P2127">
        <f>IF(B2156=0,0,O2127/B2156)</f>
        <v/>
      </c>
      <c r="Q2127" t="n">
        <v>0</v>
      </c>
      <c r="R2127" t="n">
        <v>0</v>
      </c>
      <c r="S2127">
        <f>IFERROR(O2127/N2127,0)</f>
        <v/>
      </c>
      <c r="T2127">
        <f>IF(C2127,(Inputs!$B$38*0.2*N2127)*IF(Inputs!$B$39="pvp",1,1+(Inputs!$B$20+0+Skills!P17+B2145+(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Hunt"),CHOOSE(ArtifactsInput!$N$35+1,15,18,21,24,27,30)*(1-EXP(-(0.2*B2148)*5)),0)+IF(AND(ArtifactsInput!$M$22,Inputs!$B$4&lt;&gt;"Chapter Hunt"),CHOOSE(ArtifactsInput!$N$22+1,10,12,14,16,18,20)*((0*(((0.15*B2148*5))^0/1)+1*(((0.15*B2148*5))^1/1)+2*(((0.15*B2148*5))^2/2)+3*(((0.15*B2148*5))^3/6)+4*(((0.15*B2148*5))^4/24)+5*(((0.15*B2148*5))^5/120))/((((0.15*B2148*5))^0/1)+(((0.15*B2148*5))^1/1)+(((0.15*B2148*5))^2/2)+(((0.15*B2148*5))^3/6)+(((0.15*B2148*5))^4/24)+(((0.15*B2148*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2127*(1-MIN(100,(Inputs!$B$9+((C2136=TRUE)*(F2136-Calc!F26))+B2144+(ArtifactsInput!$M$24-ArtifactsInput!$M$24)*CHOOSE(ArtifactsInput!$N$24+1,10,12,14,16,18,20)+(IF(AND(Inputs!$B$39&lt;&gt;"pvp",Inputs!$B$44=0),1,IF(IF(Inputs!$B$39="pvp",15,Inputs!$B$44)-(B2155)&lt;=0,1,MAX(0,IF(Inputs!$B$39="pvp",15,Inputs!$B$44)-MAX(5,B2155))/(IF(Inputs!$B$39="pvp",15,Inputs!$B$44)-(B2155))))*IF(AND(ArtifactsInput!$M$42,((Inputs!$B$9+((C2136=TRUE)*(F2136-Calc!F26))+B2144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2127*(MIN(100,(Inputs!$B$9+((C2136=TRUE)*(F2136-Calc!F26))+B2144+(ArtifactsInput!$M$24-ArtifactsInput!$M$24)*CHOOSE(ArtifactsInput!$N$24+1,10,12,14,16,18,20)+(IF(AND(Inputs!$B$39&lt;&gt;"pvp",Inputs!$B$44=0),1,IF(IF(Inputs!$B$39="pvp",15,Inputs!$B$44)-(B2155)&lt;=0,1,MAX(0,IF(Inputs!$B$39="pvp",15,Inputs!$B$44)-MAX(5,B2155))/(IF(Inputs!$B$39="pvp",15,Inputs!$B$44)-(B2155))))*IF(AND(ArtifactsInput!$M$42,((Inputs!$B$9+((C2136=TRUE)*(F2136-Calc!F26))+B2144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2127*(1-MIN(100,(Inputs!$B$9+((C2136=TRUE)*(F2136-Calc!F26))+B2144+(ArtifactsInput!$M$24-ArtifactsInput!$M$24)*CHOOSE(ArtifactsInput!$N$24+1,10,12,14,16,18,20)+(IF(AND(Inputs!$B$39&lt;&gt;"pvp",Inputs!$B$44=0),1,IF(IF(Inputs!$B$39="pvp",15,Inputs!$B$44)-(B2155)&lt;=0,1,MAX(0,IF(Inputs!$B$39="pvp",15,Inputs!$B$44)-MAX(5,B2155))/(IF(Inputs!$B$39="pvp",15,Inputs!$B$44)-(B2155))))*IF(AND(ArtifactsInput!$M$42,((Inputs!$B$9+((C2136=TRUE)*(F2136-Calc!F26))+B2144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2127*(MIN(100,(Inputs!$B$9+((C2136=TRUE)*(F2136-Calc!F26))+B2144+(ArtifactsInput!$M$24-ArtifactsInput!$M$24)*CHOOSE(ArtifactsInput!$N$24+1,10,12,14,16,18,20)+(IF(AND(Inputs!$B$39&lt;&gt;"pvp",Inputs!$B$44=0),1,IF(IF(Inputs!$B$39="pvp",15,Inputs!$B$44)-(B2155)&lt;=0,1,MAX(0,IF(Inputs!$B$39="pvp",15,Inputs!$B$44)-MAX(5,B2155))/(IF(Inputs!$B$39="pvp",15,Inputs!$B$44)-(B2155))))*IF(AND(ArtifactsInput!$M$42,((Inputs!$B$9+((C2136=TRUE)*(F2136-Calc!F26))+B2144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IF(ArtifactsInput!$M$20,FALSE,TRUE),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127">
        <f>IF(C2127,(Inputs!$B$38*0.2*N2127)*IF(Inputs!$B$39="pvp",1,(1+(Inputs!$B$21+Skills!Q17+B2145+(IF(ArtifactsInput!$M$33,CHOOSE(ArtifactsInput!$N$33+1,30,36,42,48,54,60),0))+(IF(AND(ArtifactsInput!$M$35,Inputs!$B$4&lt;&gt;"Chapter Hunt"),CHOOSE(ArtifactsInput!$N$35+1,15,18,21,24,27,30)*(1-EXP(-(0.2*B2148)*5)),0)+IF(AND(ArtifactsInput!$M$22,Inputs!$B$4&lt;&gt;"Chapter Hunt"),CHOOSE(ArtifactsInput!$N$22+1,10,12,14,16,18,20)*((0*(((0.15*B2148*5))^0/1)+1*(((0.15*B2148*5))^1/1)+2*(((0.15*B2148*5))^2/2)+3*(((0.15*B2148*5))^3/6)+4*(((0.15*B2148*5))^4/24)+5*(((0.15*B2148*5))^5/120))/((((0.15*B2148*5))^0/1)+(((0.15*B2148*5))^1/1)+(((0.15*B2148*5))^2/2)+(((0.15*B2148*5))^3/6)+(((0.15*B2148*5))^4/24)+(((0.15*B2148*5))^5/120))),0)))/100)*(MIN(Skills!W17,Inputs!$B$37)))*((1+(IF(AND(ArtifactsInput!$M$41,Inputs!$B$39&lt;&gt;"pvp"),CHOOSE(ArtifactsInput!$N$41+1,5,6,7,8,9,10)*IF(OR(Inputs!$B$4="Weapon Dungeon",Inputs!$B$4="Equipment Dungeon",Inputs!$B$4="Enhancement Dungeon",Inputs!$B$4="EXP Dungeon",Inputs!$B$4="Hero Dungeon"),3,1),0)+IF(ArtifactsInput!$M$26,10*CHOOSE(ArtifactsInput!$N$26+1,1,1.2,1.4,1.6,1.8,2),0)+IF(AND(IF(ArtifactsInput!$M$20,FALSE,TRUE),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128">
      <c r="A2128">
        <f>Skills!A18</f>
        <v/>
      </c>
      <c r="B2128">
        <f>Skills!B18</f>
        <v/>
      </c>
      <c r="C2128">
        <f>Inputs!$B$3&gt;=115</f>
        <v/>
      </c>
      <c r="D2128">
        <f>IF(Skills!C18=1,60+Inputs!$B$25+Inputs!$B$29,IF(Skills!C18=2,90+Inputs!$B$26+Inputs!$B$29,IF(Skills!C18=3,120+Inputs!$B$27+Inputs!$B$29,MAX(0,(Inputs!$B$3-100)*3)+Inputs!$B$28+Inputs!$B$29)))</f>
        <v/>
      </c>
      <c r="E2128">
        <f>INDEX(FactorTable!$B$2:$Y$301, MATCH(ROUND(MIN(300,MAX(1,D2128)),0), FactorTable!$A$2:$A$301,0), Skills!M18+1)</f>
        <v/>
      </c>
      <c r="F2128">
        <f>IF(Skills!N18=TRUE,(Skills!L18/10)*(E2128/1000),Skills!L18/10)+Skills!O18</f>
        <v/>
      </c>
      <c r="G2128">
        <f>Skills!G18*IF(Skills!H18&gt;0,IF(Inputs!$B$39="pvp",MIN(Skills!I18,15),Skills!I18)/Skills!H18,1)</f>
        <v/>
      </c>
      <c r="H2128">
        <f>1-(1-Skills!J18/100)^Skills!K18</f>
        <v/>
      </c>
      <c r="I2128" t="inlineStr">
        <is>
          <t>1</t>
        </is>
      </c>
      <c r="J2128" t="inlineStr"/>
      <c r="K2128" t="inlineStr"/>
      <c r="L2128" t="inlineStr"/>
      <c r="M2128" t="inlineStr"/>
      <c r="N2128" t="inlineStr"/>
      <c r="O2128">
        <f>(1-Summary!$B$11)*T2128+Summary!$B$11*V2128</f>
        <v/>
      </c>
      <c r="P2128">
        <f>IF(B2156=0,0,O2128/B2156)</f>
        <v/>
      </c>
      <c r="Q2128" t="n">
        <v>0</v>
      </c>
      <c r="R2128" t="n">
        <v>0</v>
      </c>
      <c r="S2128">
        <f>IFERROR(O2128/N2128,0)</f>
        <v/>
      </c>
      <c r="T2128" t="n">
        <v>0</v>
      </c>
      <c r="V2128" t="n">
        <v>0</v>
      </c>
    </row>
    <row r="2129">
      <c r="A2129">
        <f>Skills!A19</f>
        <v/>
      </c>
      <c r="B2129">
        <f>Skills!B19</f>
        <v/>
      </c>
      <c r="C2129">
        <f>Inputs!$B$3&gt;=100</f>
        <v/>
      </c>
      <c r="D2129">
        <f>IF(Skills!C19=1,60+Inputs!$B$25+Inputs!$B$29,IF(Skills!C19=2,90+Inputs!$B$26+Inputs!$B$29,IF(Skills!C19=3,120+Inputs!$B$27+Inputs!$B$29,MAX(0,(Inputs!$B$3-100)*3)+Inputs!$B$28+Inputs!$B$29)))</f>
        <v/>
      </c>
      <c r="E2129">
        <f>INDEX(FactorTable!$B$2:$Y$301, MATCH(ROUND(MIN(300,MAX(1,D2129)),0), FactorTable!$A$2:$A$301,0), Skills!M19+1)</f>
        <v/>
      </c>
      <c r="F2129">
        <f>IF(Skills!N19=TRUE,(Skills!L19/10)*(E2129/1000),Skills!L19/10)+Skills!O19</f>
        <v/>
      </c>
      <c r="G2129">
        <f>Skills!G19*IF(Skills!H19&gt;0,IF(Inputs!$B$39="pvp",MIN(Skills!I19,15),Skills!I19)/Skills!H19,1)</f>
        <v/>
      </c>
      <c r="H2129">
        <f>1-(1-Skills!J19/100)^Skills!K19</f>
        <v/>
      </c>
      <c r="I2129" t="inlineStr">
        <is>
          <t>1</t>
        </is>
      </c>
      <c r="J2129" t="inlineStr"/>
      <c r="K2129" t="inlineStr"/>
      <c r="L2129" t="inlineStr"/>
      <c r="M2129" t="inlineStr"/>
      <c r="N2129" t="inlineStr"/>
      <c r="O2129">
        <f>(1-Summary!$B$11)*T2129+Summary!$B$11*V2129</f>
        <v/>
      </c>
      <c r="P2129">
        <f>IF(B2156=0,0,O2129/B2156)</f>
        <v/>
      </c>
      <c r="Q2129" t="n">
        <v>0</v>
      </c>
      <c r="R2129" t="n">
        <v>0</v>
      </c>
      <c r="S2129">
        <f>IFERROR(O2129/N2129,0)</f>
        <v/>
      </c>
      <c r="T2129" t="n">
        <v>0</v>
      </c>
      <c r="V2129" t="n">
        <v>0</v>
      </c>
    </row>
    <row r="2130">
      <c r="A2130">
        <f>Skills!A20</f>
        <v/>
      </c>
      <c r="B2130">
        <f>Skills!B20</f>
        <v/>
      </c>
      <c r="C2130">
        <f>TRUE</f>
        <v/>
      </c>
      <c r="D2130">
        <f>IF(Skills!C20=1,60+Inputs!$B$25+Inputs!$B$29,IF(Skills!C20=2,90+Inputs!$B$26+Inputs!$B$29,IF(Skills!C20=3,120+Inputs!$B$27+Inputs!$B$29,MAX(0,(Inputs!$B$3-100)*3)+Inputs!$B$28+Inputs!$B$29)))</f>
        <v/>
      </c>
      <c r="E2130">
        <f>INDEX(FactorTable!$B$2:$Y$301, MATCH(ROUND(MIN(300,MAX(1,D2130)),0), FactorTable!$A$2:$A$301,0), Skills!M20+1)</f>
        <v/>
      </c>
      <c r="F2130">
        <f>IF(Skills!N20=TRUE,(Skills!L20/10)*(E2130/1000),Skills!L20/10)+Skills!O20</f>
        <v/>
      </c>
      <c r="G2130">
        <f>Skills!G20*IF(Skills!H20&gt;0,IF(Inputs!$B$39="pvp",MIN(Skills!I20,15),Skills!I20)/Skills!H20,1)</f>
        <v/>
      </c>
      <c r="H2130">
        <f>1-(1-Skills!J20/100)^Skills!K20</f>
        <v/>
      </c>
      <c r="I2130" t="inlineStr">
        <is>
          <t>1</t>
        </is>
      </c>
      <c r="J2130" t="inlineStr"/>
      <c r="K2130" t="inlineStr"/>
      <c r="L2130" t="inlineStr"/>
      <c r="M2130" t="inlineStr"/>
      <c r="N2130" t="inlineStr"/>
      <c r="O2130">
        <f>(1-Summary!$B$11)*T2130+Summary!$B$11*V2130</f>
        <v/>
      </c>
      <c r="P2130">
        <f>IF(B2156=0,0,O2130/B2156)</f>
        <v/>
      </c>
      <c r="Q2130">
        <f>IFERROR(1/IF(Inputs!$B$39="pvp",15,MAX(0.1,Skills!D20-IF(TRUE=TRUE,Inputs!$B$32,0))),0)</f>
        <v/>
      </c>
      <c r="R2130">
        <f>IF(AND(Inputs!$B$39&lt;&gt;"pvp",Inputs!$B$44&gt;0),IF(Inputs!$B$44&lt;=0,0,(INT(Inputs!$B$44/IF(Inputs!$B$39="pvp",15,MAX(0.1,Skills!D20-IF(TRUE=TRUE,Inputs!$B$32,0))))+1)),0)</f>
        <v/>
      </c>
      <c r="S2130">
        <f>IFERROR(O2130/N2130,0)</f>
        <v/>
      </c>
      <c r="T2130" t="n">
        <v>0</v>
      </c>
      <c r="V2130" t="n">
        <v>0</v>
      </c>
    </row>
    <row r="2131">
      <c r="A2131">
        <f>Skills!A21</f>
        <v/>
      </c>
      <c r="B2131">
        <f>Skills!B21</f>
        <v/>
      </c>
      <c r="C2131">
        <f>Inputs!$B$3&gt;=15</f>
        <v/>
      </c>
      <c r="D2131">
        <f>IF(Skills!C21=1,60+Inputs!$B$25+Inputs!$B$29,IF(Skills!C21=2,90+Inputs!$B$26+Inputs!$B$29,IF(Skills!C21=3,120+Inputs!$B$27+Inputs!$B$29,MAX(0,(Inputs!$B$3-100)*3)+Inputs!$B$28+Inputs!$B$29)))</f>
        <v/>
      </c>
      <c r="E2131">
        <f>INDEX(FactorTable!$B$2:$Y$301, MATCH(ROUND(MIN(300,MAX(1,D2131)),0), FactorTable!$A$2:$A$301,0), Skills!M21+1)</f>
        <v/>
      </c>
      <c r="F2131">
        <f>IF(Skills!N21=TRUE,(Skills!L21/10)*(E2131/1000),Skills!L21/10)+Skills!O21</f>
        <v/>
      </c>
      <c r="G2131">
        <f>Skills!G21*IF(Skills!H21&gt;0,IF(Inputs!$B$39="pvp",MIN(Skills!I21,15),Skills!I21)/Skills!H21,1)</f>
        <v/>
      </c>
      <c r="H2131">
        <f>1-(1-Skills!J21/100)^Skills!K21</f>
        <v/>
      </c>
      <c r="I2131" t="inlineStr">
        <is>
          <t>1</t>
        </is>
      </c>
      <c r="J2131" t="inlineStr"/>
      <c r="K2131" t="inlineStr"/>
      <c r="L2131" t="inlineStr"/>
      <c r="M2131" t="inlineStr"/>
      <c r="N2131" t="inlineStr"/>
      <c r="O2131">
        <f>(1-Summary!$B$11)*T2131+Summary!$B$11*V2131</f>
        <v/>
      </c>
      <c r="P2131">
        <f>IF(B2156=0,0,O2131/B2156)</f>
        <v/>
      </c>
      <c r="Q2131">
        <f>IFERROR(1/IF(Inputs!$B$39="pvp",15,MAX(0.1,Skills!D21-IF(TRUE=TRUE,Inputs!$B$32,0))),0)</f>
        <v/>
      </c>
      <c r="R2131">
        <f>IF(AND(Inputs!$B$39&lt;&gt;"pvp",Inputs!$B$44&gt;0),IF(Inputs!$B$44&lt;=0,0,(INT(Inputs!$B$44/IF(Inputs!$B$39="pvp",15,MAX(0.1,Skills!D21-IF(TRUE=TRUE,Inputs!$B$32,0))))+1)),0)</f>
        <v/>
      </c>
      <c r="S2131">
        <f>IFERROR(O2131/N2131,0)</f>
        <v/>
      </c>
      <c r="T2131" t="n">
        <v>0</v>
      </c>
      <c r="V2131" t="n">
        <v>0</v>
      </c>
    </row>
    <row r="2132">
      <c r="A2132">
        <f>Skills!A22</f>
        <v/>
      </c>
      <c r="B2132">
        <f>Skills!B22</f>
        <v/>
      </c>
      <c r="C2132">
        <f>Inputs!$B$3&gt;=15</f>
        <v/>
      </c>
      <c r="D2132">
        <f>IF(Skills!C22=1,60+Inputs!$B$25+Inputs!$B$29,IF(Skills!C22=2,90+Inputs!$B$26+Inputs!$B$29,IF(Skills!C22=3,120+Inputs!$B$27+Inputs!$B$29,MAX(0,(Inputs!$B$3-100)*3)+Inputs!$B$28+Inputs!$B$29)))</f>
        <v/>
      </c>
      <c r="E2132">
        <f>INDEX(FactorTable!$B$2:$Y$301, MATCH(ROUND(MIN(300,MAX(1,D2132)),0), FactorTable!$A$2:$A$301,0), Skills!M22+1)</f>
        <v/>
      </c>
      <c r="F2132">
        <f>IF(Skills!N22=TRUE,(Skills!L22/10)*(E2132/1000),Skills!L22/10)+Skills!O22</f>
        <v/>
      </c>
      <c r="G2132">
        <f>Skills!G22*IF(Skills!H22&gt;0,IF(Inputs!$B$39="pvp",MIN(Skills!I22,15),Skills!I22)/Skills!H22,1)</f>
        <v/>
      </c>
      <c r="H2132">
        <f>1-(1-Skills!J22/100)^Skills!K22</f>
        <v/>
      </c>
      <c r="I2132" t="inlineStr">
        <is>
          <t>1</t>
        </is>
      </c>
      <c r="J2132" t="inlineStr"/>
      <c r="K2132" t="inlineStr"/>
      <c r="L2132" t="inlineStr"/>
      <c r="M2132" t="inlineStr"/>
      <c r="N2132" t="inlineStr"/>
      <c r="O2132">
        <f>(1-Summary!$B$11)*T2132+Summary!$B$11*V2132</f>
        <v/>
      </c>
      <c r="P2132">
        <f>IF(B2156=0,0,O2132/B2156)</f>
        <v/>
      </c>
      <c r="Q2132">
        <f>IFERROR(1/IF(Inputs!$B$39="pvp",15,MAX(0.1,Skills!D22-IF(TRUE=TRUE,Inputs!$B$32,0))),0)</f>
        <v/>
      </c>
      <c r="R2132">
        <f>IF(AND(Inputs!$B$39&lt;&gt;"pvp",Inputs!$B$44&gt;0),IF(Inputs!$B$44&lt;=0,0,(INT(Inputs!$B$44/IF(Inputs!$B$39="pvp",15,MAX(0.1,Skills!D22-IF(TRUE=TRUE,Inputs!$B$32,0))))+1)),0)</f>
        <v/>
      </c>
      <c r="S2132">
        <f>IFERROR(O2132/N2132,0)</f>
        <v/>
      </c>
      <c r="T2132" t="n">
        <v>0</v>
      </c>
      <c r="V2132" t="n">
        <v>0</v>
      </c>
    </row>
    <row r="2133">
      <c r="A2133">
        <f>Skills!A23</f>
        <v/>
      </c>
      <c r="B2133">
        <f>Skills!B23</f>
        <v/>
      </c>
      <c r="C2133">
        <f>Inputs!$B$3&gt;=33</f>
        <v/>
      </c>
      <c r="D2133">
        <f>IF(Skills!C23=1,60+Inputs!$B$25+Inputs!$B$29,IF(Skills!C23=2,90+Inputs!$B$26+Inputs!$B$29,IF(Skills!C23=3,120+Inputs!$B$27+Inputs!$B$29,MAX(0,(Inputs!$B$3-100)*3)+Inputs!$B$28+Inputs!$B$29)))</f>
        <v/>
      </c>
      <c r="E2133">
        <f>INDEX(FactorTable!$B$2:$Y$301, MATCH(ROUND(MIN(300,MAX(1,D2133)),0), FactorTable!$A$2:$A$301,0), Skills!M23+1)</f>
        <v/>
      </c>
      <c r="F2133">
        <f>IF(Skills!N23=TRUE,(Skills!L23/10)*(E2133/1000),Skills!L23/10)+Skills!O23</f>
        <v/>
      </c>
      <c r="G2133">
        <f>Skills!G23*IF(Skills!H23&gt;0,IF(Inputs!$B$39="pvp",MIN(Skills!I23,15),Skills!I23)/Skills!H23,1)</f>
        <v/>
      </c>
      <c r="H2133">
        <f>1-(1-Skills!J23/100)^Skills!K23</f>
        <v/>
      </c>
      <c r="I2133" t="inlineStr">
        <is>
          <t>1</t>
        </is>
      </c>
      <c r="J2133" t="inlineStr"/>
      <c r="K2133" t="inlineStr"/>
      <c r="L2133" t="inlineStr"/>
      <c r="M2133" t="inlineStr"/>
      <c r="N2133" t="inlineStr"/>
      <c r="O2133">
        <f>(1-Summary!$B$11)*T2133+Summary!$B$11*V2133</f>
        <v/>
      </c>
      <c r="P2133">
        <f>IF(B2156=0,0,O2133/B2156)</f>
        <v/>
      </c>
      <c r="Q2133" t="n">
        <v>0</v>
      </c>
      <c r="R2133" t="n">
        <v>0</v>
      </c>
      <c r="S2133">
        <f>IFERROR(O2133/N2133,0)</f>
        <v/>
      </c>
      <c r="T2133" t="n">
        <v>0</v>
      </c>
      <c r="V2133" t="n">
        <v>0</v>
      </c>
    </row>
    <row r="2134">
      <c r="A2134">
        <f>Skills!A24</f>
        <v/>
      </c>
      <c r="B2134">
        <f>Skills!B24</f>
        <v/>
      </c>
      <c r="C2134">
        <f>Inputs!$B$3&gt;=40</f>
        <v/>
      </c>
      <c r="D2134">
        <f>IF(Skills!C24=1,60+Inputs!$B$25+Inputs!$B$29,IF(Skills!C24=2,90+Inputs!$B$26+Inputs!$B$29,IF(Skills!C24=3,120+Inputs!$B$27+Inputs!$B$29,MAX(0,(Inputs!$B$3-100)*3)+Inputs!$B$28+Inputs!$B$29)))</f>
        <v/>
      </c>
      <c r="E2134">
        <f>INDEX(FactorTable!$B$2:$Y$301, MATCH(ROUND(MIN(300,MAX(1,D2134)),0), FactorTable!$A$2:$A$301,0), Skills!M24+1)</f>
        <v/>
      </c>
      <c r="F2134">
        <f>IF(Skills!N24=TRUE,(Skills!L24/10)*(E2134/1000),Skills!L24/10)+Skills!O24</f>
        <v/>
      </c>
      <c r="G2134">
        <f>Skills!G24*IF(Skills!H24&gt;0,IF(Inputs!$B$39="pvp",MIN(Skills!I24,15),Skills!I24)/Skills!H24,1)</f>
        <v/>
      </c>
      <c r="H2134">
        <f>1-(1-Skills!J24/100)^Skills!K24</f>
        <v/>
      </c>
      <c r="I2134" t="inlineStr">
        <is>
          <t>1</t>
        </is>
      </c>
      <c r="J2134" t="inlineStr"/>
      <c r="K2134" t="inlineStr"/>
      <c r="L2134" t="inlineStr"/>
      <c r="M2134" t="inlineStr"/>
      <c r="N2134" t="inlineStr"/>
      <c r="O2134">
        <f>(1-Summary!$B$11)*T2134+Summary!$B$11*V2134</f>
        <v/>
      </c>
      <c r="P2134">
        <f>IF(B2156=0,0,O2134/B2156)</f>
        <v/>
      </c>
      <c r="Q2134" t="n">
        <v>0</v>
      </c>
      <c r="R2134" t="n">
        <v>0</v>
      </c>
      <c r="S2134">
        <f>IFERROR(O2134/N2134,0)</f>
        <v/>
      </c>
      <c r="T2134" t="n">
        <v>0</v>
      </c>
      <c r="V2134" t="n">
        <v>0</v>
      </c>
    </row>
    <row r="2135">
      <c r="A2135">
        <f>Skills!A25</f>
        <v/>
      </c>
      <c r="B2135">
        <f>Skills!B25</f>
        <v/>
      </c>
      <c r="C2135">
        <f>Inputs!$B$3&gt;=43</f>
        <v/>
      </c>
      <c r="D2135">
        <f>IF(Skills!C25=1,60+Inputs!$B$25+Inputs!$B$29,IF(Skills!C25=2,90+Inputs!$B$26+Inputs!$B$29,IF(Skills!C25=3,120+Inputs!$B$27+Inputs!$B$29,MAX(0,(Inputs!$B$3-100)*3)+Inputs!$B$28+Inputs!$B$29)))</f>
        <v/>
      </c>
      <c r="E2135">
        <f>INDEX(FactorTable!$B$2:$Y$301, MATCH(ROUND(MIN(300,MAX(1,D2135)),0), FactorTable!$A$2:$A$301,0), Skills!M25+1)</f>
        <v/>
      </c>
      <c r="F2135">
        <f>IF(Skills!N25=TRUE,(Skills!L25/10)*(E2135/1000),Skills!L25/10)+Skills!O25</f>
        <v/>
      </c>
      <c r="G2135">
        <f>Skills!G25*IF(Skills!H25&gt;0,IF(Inputs!$B$39="pvp",MIN(Skills!I25,15),Skills!I25)/Skills!H25,1)</f>
        <v/>
      </c>
      <c r="H2135">
        <f>1-(1-Skills!J25/100)^Skills!K25</f>
        <v/>
      </c>
      <c r="I2135" t="inlineStr">
        <is>
          <t>1</t>
        </is>
      </c>
      <c r="J2135" t="inlineStr"/>
      <c r="K2135" t="inlineStr"/>
      <c r="L2135" t="inlineStr"/>
      <c r="M2135" t="inlineStr"/>
      <c r="N2135" t="inlineStr"/>
      <c r="O2135">
        <f>(1-Summary!$B$11)*T2135+Summary!$B$11*V2135</f>
        <v/>
      </c>
      <c r="P2135">
        <f>IF(B2156=0,0,O2135/B2156)</f>
        <v/>
      </c>
      <c r="Q2135" t="n">
        <v>0</v>
      </c>
      <c r="R2135" t="n">
        <v>0</v>
      </c>
      <c r="S2135">
        <f>IFERROR(O2135/N2135,0)</f>
        <v/>
      </c>
      <c r="T2135" t="n">
        <v>0</v>
      </c>
      <c r="V2135" t="n">
        <v>0</v>
      </c>
    </row>
    <row r="2136">
      <c r="A2136">
        <f>Skills!A26</f>
        <v/>
      </c>
      <c r="B2136">
        <f>Skills!B26</f>
        <v/>
      </c>
      <c r="C2136">
        <f>Inputs!$B$3&gt;=50</f>
        <v/>
      </c>
      <c r="D2136">
        <f>IF(Skills!C26=1,60+Inputs!$B$25+Inputs!$B$29,IF(Skills!C26=2,90+Inputs!$B$26+Inputs!$B$29,IF(Skills!C26=3,120+Inputs!$B$27+Inputs!$B$29,MAX(0,(Inputs!$B$3-100)*3)+Inputs!$B$28+Inputs!$B$29)))</f>
        <v/>
      </c>
      <c r="E2136">
        <f>INDEX(FactorTable!$B$2:$Y$301, MATCH(ROUND(MIN(300,MAX(1,D2136)),0), FactorTable!$A$2:$A$301,0), Skills!M26+1)</f>
        <v/>
      </c>
      <c r="F2136">
        <f>IF(Skills!N26=TRUE,(Skills!L26/10)*(E2136/1000),Skills!L26/10)+Skills!O26</f>
        <v/>
      </c>
      <c r="G2136">
        <f>Skills!G26*IF(Skills!H26&gt;0,IF(Inputs!$B$39="pvp",MIN(Skills!I26,15),Skills!I26)/Skills!H26,1)</f>
        <v/>
      </c>
      <c r="H2136">
        <f>1-(1-Skills!J26/100)^Skills!K26</f>
        <v/>
      </c>
      <c r="I2136" t="inlineStr">
        <is>
          <t>1</t>
        </is>
      </c>
      <c r="J2136" t="inlineStr"/>
      <c r="K2136" t="inlineStr"/>
      <c r="L2136" t="inlineStr"/>
      <c r="M2136" t="inlineStr"/>
      <c r="N2136" t="inlineStr"/>
      <c r="O2136">
        <f>(1-Summary!$B$11)*T2136+Summary!$B$11*V2136</f>
        <v/>
      </c>
      <c r="P2136">
        <f>IF(B2156=0,0,O2136/B2156)</f>
        <v/>
      </c>
      <c r="Q2136" t="n">
        <v>0</v>
      </c>
      <c r="R2136" t="n">
        <v>0</v>
      </c>
      <c r="S2136">
        <f>IFERROR(O2136/N2136,0)</f>
        <v/>
      </c>
      <c r="T2136" t="n">
        <v>0</v>
      </c>
      <c r="V2136" t="n">
        <v>0</v>
      </c>
    </row>
    <row r="2137">
      <c r="A2137">
        <f>Skills!A27</f>
        <v/>
      </c>
      <c r="B2137">
        <f>Skills!B27</f>
        <v/>
      </c>
      <c r="C2137">
        <f>Inputs!$B$3&gt;=50</f>
        <v/>
      </c>
      <c r="D2137">
        <f>IF(Skills!C27=1,60+Inputs!$B$25+Inputs!$B$29,IF(Skills!C27=2,90+Inputs!$B$26+Inputs!$B$29,IF(Skills!C27=3,120+Inputs!$B$27+Inputs!$B$29,MAX(0,(Inputs!$B$3-100)*3)+Inputs!$B$28+Inputs!$B$29)))</f>
        <v/>
      </c>
      <c r="E2137">
        <f>INDEX(FactorTable!$B$2:$Y$301, MATCH(ROUND(MIN(300,MAX(1,D2137)),0), FactorTable!$A$2:$A$301,0), Skills!M27+1)</f>
        <v/>
      </c>
      <c r="F2137">
        <f>IF(Skills!N27=TRUE,(Skills!L27/10)*(E2137/1000),Skills!L27/10)+Skills!O27</f>
        <v/>
      </c>
      <c r="G2137">
        <f>Skills!G27*IF(Skills!H27&gt;0,IF(Inputs!$B$39="pvp",MIN(Skills!I27,15),Skills!I27)/Skills!H27,1)</f>
        <v/>
      </c>
      <c r="H2137">
        <f>1-(1-Skills!J27/100)^Skills!K27</f>
        <v/>
      </c>
      <c r="I2137" t="inlineStr">
        <is>
          <t>1</t>
        </is>
      </c>
      <c r="J2137" t="inlineStr"/>
      <c r="K2137" t="inlineStr"/>
      <c r="L2137" t="inlineStr"/>
      <c r="M2137" t="inlineStr"/>
      <c r="N2137" t="inlineStr"/>
      <c r="O2137">
        <f>(1-Summary!$B$11)*T2137+Summary!$B$11*V2137</f>
        <v/>
      </c>
      <c r="P2137">
        <f>IF(B2156=0,0,O2137/B2156)</f>
        <v/>
      </c>
      <c r="Q2137" t="n">
        <v>0</v>
      </c>
      <c r="R2137" t="n">
        <v>0</v>
      </c>
      <c r="S2137">
        <f>IFERROR(O2137/N2137,0)</f>
        <v/>
      </c>
      <c r="T2137" t="n">
        <v>0</v>
      </c>
      <c r="V2137" t="n">
        <v>0</v>
      </c>
    </row>
    <row r="2138">
      <c r="A2138">
        <f>Skills!A28</f>
        <v/>
      </c>
      <c r="B2138">
        <f>Skills!B28</f>
        <v/>
      </c>
      <c r="C2138">
        <f>Inputs!$B$3&gt;=38</f>
        <v/>
      </c>
      <c r="D2138">
        <f>IF(Skills!C28=1,60+Inputs!$B$25+Inputs!$B$29,IF(Skills!C28=2,90+Inputs!$B$26+Inputs!$B$29,IF(Skills!C28=3,120+Inputs!$B$27+Inputs!$B$29,MAX(0,(Inputs!$B$3-100)*3)+Inputs!$B$28+Inputs!$B$29)))</f>
        <v/>
      </c>
      <c r="E2138">
        <f>INDEX(FactorTable!$B$2:$Y$301, MATCH(ROUND(MIN(300,MAX(1,D2138)),0), FactorTable!$A$2:$A$301,0), Skills!M28+1)</f>
        <v/>
      </c>
      <c r="F2138">
        <f>IF(Skills!N28=TRUE,(Skills!L28/10)*(E2138/1000),Skills!L28/10)+Skills!O28</f>
        <v/>
      </c>
      <c r="G2138">
        <f>Skills!G28*IF(Skills!H28&gt;0,IF(Inputs!$B$39="pvp",MIN(Skills!I28,15),Skills!I28)/Skills!H28,1)</f>
        <v/>
      </c>
      <c r="H2138">
        <f>1-(1-Skills!J28/100)^Skills!K28</f>
        <v/>
      </c>
      <c r="I2138" t="inlineStr">
        <is>
          <t>1</t>
        </is>
      </c>
      <c r="J2138" t="inlineStr"/>
      <c r="K2138" t="inlineStr"/>
      <c r="L2138" t="inlineStr"/>
      <c r="M2138" t="inlineStr"/>
      <c r="N2138" t="inlineStr"/>
      <c r="O2138">
        <f>(1-Summary!$B$11)*T2138+Summary!$B$11*V2138</f>
        <v/>
      </c>
      <c r="P2138">
        <f>IF(B2156=0,0,O2138/B2156)</f>
        <v/>
      </c>
      <c r="Q2138" t="n">
        <v>0</v>
      </c>
      <c r="R2138" t="n">
        <v>0</v>
      </c>
      <c r="S2138">
        <f>IFERROR(O2138/N2138,0)</f>
        <v/>
      </c>
      <c r="T2138" t="n">
        <v>0</v>
      </c>
      <c r="V2138" t="n">
        <v>0</v>
      </c>
    </row>
    <row r="2139">
      <c r="A2139">
        <f>Skills!A29</f>
        <v/>
      </c>
      <c r="B2139">
        <f>Skills!B29</f>
        <v/>
      </c>
      <c r="C2139">
        <f>Inputs!$B$3&gt;=120</f>
        <v/>
      </c>
      <c r="D2139">
        <f>IF(Skills!C29=1,60+Inputs!$B$25+Inputs!$B$29,IF(Skills!C29=2,90+Inputs!$B$26+Inputs!$B$29,IF(Skills!C29=3,120+Inputs!$B$27+Inputs!$B$29,MAX(0,(Inputs!$B$3-100)*3)+Inputs!$B$28+Inputs!$B$29)))</f>
        <v/>
      </c>
      <c r="E2139">
        <f>INDEX(FactorTable!$B$2:$Y$301, MATCH(ROUND(MIN(300,MAX(1,D2139)),0), FactorTable!$A$2:$A$301,0), Skills!M29+1)</f>
        <v/>
      </c>
      <c r="F2139">
        <f>IF(Skills!N29=TRUE,(Skills!L29/10)*(E2139/1000),Skills!L29/10)+Skills!O29</f>
        <v/>
      </c>
      <c r="G2139">
        <f>Skills!G29*IF(Skills!H29&gt;0,IF(Inputs!$B$39="pvp",MIN(Skills!I29,15),Skills!I29)/Skills!H29,1)</f>
        <v/>
      </c>
      <c r="H2139">
        <f>1-(1-Skills!J29/100)^Skills!K29</f>
        <v/>
      </c>
      <c r="I2139" t="inlineStr">
        <is>
          <t>1</t>
        </is>
      </c>
      <c r="J2139" t="inlineStr"/>
      <c r="K2139" t="inlineStr"/>
      <c r="L2139" t="inlineStr"/>
      <c r="M2139" t="inlineStr"/>
      <c r="N2139" t="inlineStr"/>
      <c r="O2139">
        <f>(1-Summary!$B$11)*T2139+Summary!$B$11*V2139</f>
        <v/>
      </c>
      <c r="P2139">
        <f>IF(B2156=0,0,O2139/B2156)</f>
        <v/>
      </c>
      <c r="Q2139" t="n">
        <v>0</v>
      </c>
      <c r="R2139" t="n">
        <v>0</v>
      </c>
      <c r="S2139">
        <f>IFERROR(O2139/N2139,0)</f>
        <v/>
      </c>
      <c r="T2139" t="n">
        <v>0</v>
      </c>
      <c r="V2139" t="n">
        <v>0</v>
      </c>
    </row>
    <row r="2140">
      <c r="A2140">
        <f>Skills!A30</f>
        <v/>
      </c>
      <c r="B2140">
        <f>Skills!B30</f>
        <v/>
      </c>
      <c r="C2140">
        <f>Inputs!$B$3&gt;=120</f>
        <v/>
      </c>
      <c r="D2140">
        <f>IF(Skills!C30=1,60+Inputs!$B$25+Inputs!$B$29,IF(Skills!C30=2,90+Inputs!$B$26+Inputs!$B$29,IF(Skills!C30=3,120+Inputs!$B$27+Inputs!$B$29,MAX(0,(Inputs!$B$3-100)*3)+Inputs!$B$28+Inputs!$B$29)))</f>
        <v/>
      </c>
      <c r="E2140">
        <f>INDEX(FactorTable!$B$2:$Y$301, MATCH(ROUND(MIN(300,MAX(1,D2140)),0), FactorTable!$A$2:$A$301,0), Skills!M30+1)</f>
        <v/>
      </c>
      <c r="F2140">
        <f>IF(Skills!N30=TRUE,(Skills!L30/10)*(E2140/1000),Skills!L30/10)+Skills!O30</f>
        <v/>
      </c>
      <c r="G2140">
        <f>Skills!G30*IF(Skills!H30&gt;0,IF(Inputs!$B$39="pvp",MIN(Skills!I30,15),Skills!I30)/Skills!H30,1)</f>
        <v/>
      </c>
      <c r="H2140">
        <f>1-(1-Skills!J30/100)^Skills!K30</f>
        <v/>
      </c>
      <c r="I2140" t="inlineStr">
        <is>
          <t>1</t>
        </is>
      </c>
      <c r="J2140" t="inlineStr"/>
      <c r="K2140" t="inlineStr"/>
      <c r="L2140" t="inlineStr"/>
      <c r="M2140" t="inlineStr"/>
      <c r="N2140" t="inlineStr"/>
      <c r="O2140">
        <f>(1-Summary!$B$11)*T2140+Summary!$B$11*V2140</f>
        <v/>
      </c>
      <c r="P2140">
        <f>IF(B2156=0,0,O2140/B2156)</f>
        <v/>
      </c>
      <c r="Q2140" t="n">
        <v>0</v>
      </c>
      <c r="R2140" t="n">
        <v>0</v>
      </c>
      <c r="S2140">
        <f>IFERROR(O2140/N2140,0)</f>
        <v/>
      </c>
      <c r="T2140" t="n">
        <v>0</v>
      </c>
      <c r="V2140" t="n">
        <v>0</v>
      </c>
    </row>
    <row r="2141">
      <c r="A2141">
        <f>Skills!A31</f>
        <v/>
      </c>
      <c r="B2141">
        <f>Skills!B31</f>
        <v/>
      </c>
      <c r="C2141">
        <f>Inputs!$B$3&gt;=125</f>
        <v/>
      </c>
      <c r="D2141">
        <f>IF(Skills!C31=1,60+Inputs!$B$25+Inputs!$B$29,IF(Skills!C31=2,90+Inputs!$B$26+Inputs!$B$29,IF(Skills!C31=3,120+Inputs!$B$27+Inputs!$B$29,MAX(0,(Inputs!$B$3-100)*3)+Inputs!$B$28+Inputs!$B$29)))</f>
        <v/>
      </c>
      <c r="E2141">
        <f>INDEX(FactorTable!$B$2:$Y$301, MATCH(ROUND(MIN(300,MAX(1,D2141)),0), FactorTable!$A$2:$A$301,0), Skills!M31+1)</f>
        <v/>
      </c>
      <c r="F2141">
        <f>IF(Skills!N31=TRUE,(Skills!L31/10)*(E2141/1000),Skills!L31/10)+Skills!O31</f>
        <v/>
      </c>
      <c r="G2141">
        <f>Skills!G31*IF(Skills!H31&gt;0,IF(Inputs!$B$39="pvp",MIN(Skills!I31,15),Skills!I31)/Skills!H31,1)</f>
        <v/>
      </c>
      <c r="H2141">
        <f>1-(1-Skills!J31/100)^Skills!K31</f>
        <v/>
      </c>
      <c r="I2141" t="inlineStr">
        <is>
          <t>1</t>
        </is>
      </c>
      <c r="J2141" t="inlineStr"/>
      <c r="K2141" t="inlineStr"/>
      <c r="L2141" t="inlineStr"/>
      <c r="M2141" t="inlineStr"/>
      <c r="N2141" t="inlineStr"/>
      <c r="O2141">
        <f>(1-Summary!$B$11)*T2141+Summary!$B$11*V2141</f>
        <v/>
      </c>
      <c r="P2141">
        <f>IF(B2156=0,0,O2141/B2156)</f>
        <v/>
      </c>
      <c r="Q2141" t="n">
        <v>0</v>
      </c>
      <c r="R2141" t="n">
        <v>0</v>
      </c>
      <c r="S2141">
        <f>IFERROR(O2141/N2141,0)</f>
        <v/>
      </c>
      <c r="T2141" t="n">
        <v>0</v>
      </c>
      <c r="V2141" t="n">
        <v>0</v>
      </c>
    </row>
    <row r="2143">
      <c r="A2143" t="inlineStr">
        <is>
          <t>Average Buff Multiplier</t>
        </is>
      </c>
      <c r="B2143">
        <f>(1+(((C2132=TRUE)*F2132*IF(AND(Inputs!$B$39&lt;&gt;"pvp",Inputs!$B$44&gt;0),(((R2132-1)*MIN((Skills!Y22*(1+Inputs!$B$34/100)),(1/Q2132))+MIN((Skills!Y22*(1+Inputs!$B$34/100)),MAX(0,Inputs!$B$44-((R2132-1)*(1/Q2132)))))/Inputs!$B$44),IF(Inputs!$B$39="pvp",MIN((Skills!Y22*(1+Inputs!$B$34/100)),15)/15,MIN(1,(Skills!Y22*(1+Inputs!$B$34/100))/(1/Q2132)))))+((C2113=TRUE)*F2113*3)+((C2115=TRUE)*F2115*(1-EXP(-0.75*B2148*5)))+((C2134=TRUE)*(F2134-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2121=TRUE)*F2121*IF(AND(Inputs!$B$39&lt;&gt;"pvp",Inputs!$B$44&gt;0),(((R2121-1)*MIN((Skills!Y11*(1+Inputs!$B$34/100)),(1/Q2121))+MIN((Skills!Y11*(1+Inputs!$B$34/100)),MAX(0,Inputs!$B$44-((R2121-1)*(1/Q2121)))))/Inputs!$B$44),IF(Inputs!$B$39="pvp",MIN((Skills!Y11*(1+Inputs!$B$34/100)),15)/15,MIN(1,(Skills!Y11*(1+Inputs!$B$34/100))/(1/Q2121)))))/100)*(1+((C2126=TRUE)*F2126*IF(AND(Inputs!$B$39&lt;&gt;"pvp",Inputs!$B$44&gt;0),(((R2126-1)*MIN((Skills!Y16*(1+Inputs!$B$34/100)),(1/Q2126))+MIN((Skills!Y16*(1+Inputs!$B$34/100)),MAX(0,Inputs!$B$44-((R2126-1)*(1/Q2126)))))/Inputs!$B$44),IF(Inputs!$B$39="pvp",MIN((Skills!Y16*(1+Inputs!$B$34/100)),15)/15,MIN(1,(Skills!Y16*(1+Inputs!$B$34/100))/(1/Q2126)))))/100)</f>
        <v/>
      </c>
    </row>
    <row r="2144">
      <c r="A2144" t="inlineStr">
        <is>
          <t>Global Crit Rate Bonus %</t>
        </is>
      </c>
      <c r="B2144">
        <f>((C2131=TRUE)*F2131*IF(AND(Inputs!$B$39&lt;&gt;"pvp",Inputs!$B$44&gt;0),(((R2131-1)*MIN((Skills!Y21*(1+Inputs!$B$34/100)),(1/Q2131))+MIN((Skills!Y21*(1+Inputs!$B$34/100)),MAX(0,Inputs!$B$44-((R2131-1)*(1/Q2131)))))/Inputs!$B$44),IF(Inputs!$B$39="pvp",MIN((Skills!Y21*(1+Inputs!$B$34/100)),15)/15,MIN(1,(Skills!Y21*(1+Inputs!$B$34/100))/(1/Q2131)))))</f>
        <v/>
      </c>
    </row>
    <row r="2145">
      <c r="A2145" t="inlineStr">
        <is>
          <t>Global Monster Damage-Taken Bonus %</t>
        </is>
      </c>
      <c r="B2145">
        <f>IF(Inputs!$B$3&gt;=82,15,0)</f>
        <v/>
      </c>
    </row>
    <row r="2146">
      <c r="A2146" t="inlineStr">
        <is>
          <t>Shadow Partner Average Multiplier</t>
        </is>
      </c>
      <c r="B2146">
        <f>1+((C2118=TRUE)*F2118*(1+3.3333333333333335*IF(C2129=TRUE,F2129,0)/100)*I2118*Skills!J8/100)/100</f>
        <v/>
      </c>
    </row>
    <row r="2147">
      <c r="A2147" t="inlineStr">
        <is>
          <t>Attack Speed Buff Bonus %</t>
        </is>
      </c>
      <c r="B2147">
        <f>((C2130=TRUE)*F2130*IF(AND(Inputs!$B$39&lt;&gt;"pvp",Inputs!$B$44&gt;0),(((R2130-1)*MIN((Skills!Y20*(1+Inputs!$B$34/100)),(1/Q2130))+MIN((Skills!Y20*(1+Inputs!$B$34/100)),MAX(0,Inputs!$B$44-((R2130-1)*(1/Q2130)))))/Inputs!$B$44),IF(Inputs!$B$39="pvp",MIN((Skills!Y20*(1+Inputs!$B$34/100)),15)/15,MIN(1,(Skills!Y20*(1+Inputs!$B$34/100))/(1/Q2130)))))</f>
        <v/>
      </c>
    </row>
    <row r="2148">
      <c r="A2148" t="inlineStr">
        <is>
          <t>Actions Per Second</t>
        </is>
      </c>
      <c r="B2148">
        <f>1+MIN(150,150*(1-(1-(Inputs!$B$11+((C2133=TRUE)*(F2133-Calc!F23)))/150)*(1-B2147/150)))/100</f>
        <v/>
      </c>
    </row>
    <row r="2149">
      <c r="A2149" t="inlineStr">
        <is>
          <t>Skill + Buff Cast Rate</t>
        </is>
      </c>
      <c r="B2149">
        <f>IF(AND(Inputs!$B$39&lt;&gt;"pvp",Inputs!$B$44&gt;0),SUMPRODUCT((Skills!E2:E31=TRUE)*(C2112:C2141=TRUE)*R2112:R2141*Skills!F2:F31)/Inputs!$B$44,SUMPRODUCT((Skills!E2:E31=TRUE)*(C2112:C2141=TRUE)*Q2112:Q2141*Skills!F2:F31))</f>
        <v/>
      </c>
    </row>
    <row r="2150">
      <c r="A2150" t="inlineStr">
        <is>
          <t>Cruel Stab Casts Per Second</t>
        </is>
      </c>
      <c r="B2150">
        <f>MAX(0,B2148-B2149)</f>
        <v/>
      </c>
    </row>
    <row r="2151">
      <c r="A2151" t="inlineStr">
        <is>
          <t>Global Critical Damage Bonus % (Smokescreen Mastery Lv.113)</t>
        </is>
      </c>
      <c r="B2151">
        <f>IF(Inputs!$B$3&gt;=113,30,0)*IF(AND(Inputs!$B$39&lt;&gt;"pvp",Inputs!$B$44&gt;0),(((R2126-1)*MIN((Skills!Y16*(1+Inputs!$B$34/100)),(1/Q2126))+MIN((Skills!Y16*(1+Inputs!$B$34/100)),MAX(0,Inputs!$B$44-((R2126-1)*(1/Q2126)))))/Inputs!$B$44),IF(Inputs!$B$39="pvp",MIN((Skills!Y16*(1+Inputs!$B$34/100)),15)/15,MIN(1,(Skills!Y16*(1+Inputs!$B$34/100))/(1/Q2126))))</f>
        <v/>
      </c>
    </row>
    <row r="2152">
      <c r="A2152" t="inlineStr">
        <is>
          <t>Meso Explosion average stack count</t>
        </is>
      </c>
      <c r="B2152">
        <f>MIN(10,IF(Inputs!$B$3&gt;=75,0.75,0.5)*B2148*(1/Q2114))</f>
        <v/>
      </c>
    </row>
    <row r="2153">
      <c r="A2153" t="inlineStr">
        <is>
          <t>Blood Money average stack count</t>
        </is>
      </c>
      <c r="B2153">
        <f>MIN(5,0.5*IF(Inputs!$B$3&gt;=75,0.75,0.5)*B2148*(1/Q2114))</f>
        <v/>
      </c>
    </row>
    <row r="2154">
      <c r="A2154" t="inlineStr">
        <is>
          <t>Assassinate Murderous Intent Multiplier</t>
        </is>
      </c>
      <c r="B2154">
        <f>1+IFERROR(MIN(1,Q2125*2/Q2122),0)</f>
        <v/>
      </c>
    </row>
    <row r="2155">
      <c r="A2155" t="inlineStr">
        <is>
          <t>Buff-Casting Startup Delay (s, fixed-duration only)</t>
        </is>
      </c>
      <c r="B2155">
        <f>IF(AND(Inputs!$B$39&lt;&gt;"pvp",Inputs!$B$44&gt;0),SUMPRODUCT((Skills!Y2:Y31&gt;0)*(Skills!E2:E31=TRUE)*(C2112:C2141=TRUE))/B2148,0)</f>
        <v/>
      </c>
    </row>
    <row r="2156">
      <c r="A2156" s="6" t="inlineStr">
        <is>
          <t>TOTAL DPS</t>
        </is>
      </c>
      <c r="B2156" s="6">
        <f>SUM(O2112:O2141)</f>
        <v/>
      </c>
    </row>
    <row r="2157">
      <c r="A2157" t="inlineStr">
        <is>
          <t>Boss-Only Total DPS (this block's swept value)</t>
        </is>
      </c>
      <c r="B2157">
        <f>SUM(T2112:T2141)</f>
        <v/>
      </c>
    </row>
    <row r="2158">
      <c r="A2158" t="inlineStr">
        <is>
          <t>Normal-Only Total DPS (this block's swept value)</t>
        </is>
      </c>
      <c r="B2158">
        <f>SUM(V2112:V2141)</f>
        <v/>
      </c>
    </row>
    <row r="2161">
      <c r="A2161" s="6" t="inlineStr">
        <is>
          <t>Stat: Old Music Box (Equip)</t>
        </is>
      </c>
    </row>
    <row r="2162">
      <c r="A2162" s="5" t="inlineStr">
        <is>
          <t>Key</t>
        </is>
      </c>
      <c r="B2162" s="5" t="inlineStr">
        <is>
          <t>Name</t>
        </is>
      </c>
      <c r="C2162" s="5" t="inlineStr">
        <is>
          <t>Unlocked</t>
        </is>
      </c>
      <c r="D2162" s="5" t="inlineStr">
        <is>
          <t>InputLevel</t>
        </is>
      </c>
      <c r="E2162" s="5" t="inlineStr">
        <is>
          <t>Factor</t>
        </is>
      </c>
      <c r="F2162" s="5" t="inlineStr">
        <is>
          <t>CoefficientPercent</t>
        </is>
      </c>
      <c r="G2162" s="5" t="inlineStr">
        <is>
          <t>EffectiveHits</t>
        </is>
      </c>
      <c r="H2162" s="5" t="inlineStr">
        <is>
          <t>ProcProbability</t>
        </is>
      </c>
      <c r="I2162" s="5" t="inlineStr">
        <is>
          <t>MapleHeroMultiplier</t>
        </is>
      </c>
      <c r="J2162" s="5" t="inlineStr">
        <is>
          <t>BaseDamage</t>
        </is>
      </c>
      <c r="K2162" s="5" t="inlineStr">
        <is>
          <t>BaseHitDamage</t>
        </is>
      </c>
      <c r="L2162" s="5" t="inlineStr">
        <is>
          <t>NonCritAvg</t>
        </is>
      </c>
      <c r="M2162" s="5" t="inlineStr">
        <is>
          <t>CritAvg</t>
        </is>
      </c>
      <c r="N2162" s="5" t="inlineStr">
        <is>
          <t>ExpectedDamage(perHit)</t>
        </is>
      </c>
      <c r="O2162" s="5" t="inlineStr">
        <is>
          <t>DPS</t>
        </is>
      </c>
      <c r="P2162" s="5" t="inlineStr">
        <is>
          <t>% of Total</t>
        </is>
      </c>
      <c r="Q2162" s="5" t="inlineStr">
        <is>
          <t>InvCooldown</t>
        </is>
      </c>
      <c r="R2162" s="5" t="inlineStr">
        <is>
          <t>CastsInFight</t>
        </is>
      </c>
      <c r="S2162" s="5" t="inlineStr">
        <is>
          <t>HitRate(perSec)</t>
        </is>
      </c>
      <c r="U2162" t="inlineStr">
        <is>
          <t>helpers</t>
        </is>
      </c>
    </row>
    <row r="2163">
      <c r="A2163">
        <f>Skills!A2</f>
        <v/>
      </c>
      <c r="B2163">
        <f>Skills!B2</f>
        <v/>
      </c>
      <c r="C2163">
        <f>Inputs!$B$3&gt;=100</f>
        <v/>
      </c>
      <c r="D2163" t="inlineStr"/>
      <c r="E2163" t="inlineStr"/>
      <c r="F2163">
        <f>U2165+Skills!O2</f>
        <v/>
      </c>
      <c r="G2163">
        <f>Skills!G2*IF(Skills!H2&gt;0,IF(Inputs!$B$39="pvp",MIN(Skills!I2,15),Skills!I2)/Skills!H2,1)</f>
        <v/>
      </c>
      <c r="H2163">
        <f>1-(1-Skills!J2/100)^Skills!K2</f>
        <v/>
      </c>
      <c r="I2163" t="inlineStr">
        <is>
          <t>1</t>
        </is>
      </c>
      <c r="J2163">
        <f>((Inputs!$B$6*(1+Inputs!$B$7/100))+(((Inputs!$B$12*(1+Inputs!$B$13/100))-(Inputs!$B$12*(1+Inputs!$B$13/100)))+0.25*(Inputs!$B$14-Inputs!$B$14))*(1+Inputs!$B$7/100))*(F2163/100)</f>
        <v/>
      </c>
      <c r="K2163">
        <f>J2163*(1+((Inputs!$B$12*(1+Inputs!$B$13/100))*0.01+Inputs!$B$14*0.0025)/100)*(1+Inputs!$B$15/100)*(1+Inputs!$B$16/100)*(5000/(6000+Inputs!$B$43*(1-(100*(1-(1-Inputs!$B$19/100)*(1-CHOOSE(ArtifactsInput!$N$40+1,5,6,7,8,9,10)/100)^(ArtifactsInput!$M$40-ArtifactsInput!$M$40)))/100)))*(1+(Inputs!$B$24+((C2192=TRUE)*(F2192-Calc!F31))+((C2179=TRUE)*(F2179-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CRUEL_STAB",Inputs!$B$17+((C2189=TRUE)*(F2189-Calc!F28))+((IF(AND(Inputs!$B$39&lt;&gt;"pvp",Inputs!$B$44=0),1,IF(IF(Inputs!$B$39="pvp",15,Inputs!$B$44)-(B2206)&lt;=0,1,MAX(0,IF(Inputs!$B$39="pvp",15,Inputs!$B$44)-MAX(5,B2206))/(IF(Inputs!$B$39="pvp",15,Inputs!$B$44)-(B2206))))*(IF(AND(ArtifactsInput!$M$42,((Inputs!$B$9+((C2187=TRUE)*(F2187-Calc!F26))+B2195+(ArtifactsInput!$M$24-ArtifactsInput!$M$24)*CHOOSE(ArtifactsInput!$N$24+1,10,12,14,16,18,20)+IF(ArtifactsInput!$M$10,CHOOSE(ArtifactsInput!$N$10+1,15,18,21,24,27,30)*(IF(Inputs!$B$39="pvp",MIN(15,15)/15,IF(AND(Inputs!$B$39&lt;&gt;"pvp",Inputs!$B$44&gt;0),MIN(15,Inputs!$B$44)/(Inputs!$B$44),0))),0)))&gt;=100),MIN(100,((Inputs!$B$9+((C2187=TRUE)*(F2187-Calc!F26))+B2195+(ArtifactsInput!$M$24-ArtifactsInput!$M$24)*CHOOSE(ArtifactsInput!$N$24+1,10,12,14,16,18,20)+IF(ArtifactsInput!$M$10,CHOOSE(ArtifactsInput!$N$10+1,15,18,21,24,27,30)*(IF(Inputs!$B$39="pvp",MIN(15,15)/15,IF(AND(Inputs!$B$39&lt;&gt;"pvp",Inputs!$B$44&gt;0),MIN(15,Inputs!$B$44)/(Inputs!$B$44),0))),0)))-100),0))*CHOOSE(ArtifactsInput!$N$42+1,0.6,0.72,0.84,0.96,1.08,1.2))),Inputs!$B$18+((C2190=TRUE)*(F2190-Calc!F29))+(IF(AND(Inputs!$B$39&lt;&gt;"pvp",Inputs!$B$44=0),1,IF(IF(Inputs!$B$39="pvp",15,Inputs!$B$44)-(B2206)&lt;=0,1,MAX(0,IF(Inputs!$B$39="pvp",15,Inputs!$B$44)-MAX(5,B2206))/(IF(Inputs!$B$39="pvp",15,Inputs!$B$44)-(B2206))))*IF(AND(ArtifactsInput!$M$42,((Inputs!$B$9+((C2187=TRUE)*(F2187-Calc!F26))+B2195+(ArtifactsInput!$M$24-ArtifactsInput!$M$24)*CHOOSE(ArtifactsInput!$N$24+1,10,12,14,16,18,20)+IF(ArtifactsInput!$M$10,CHOOSE(ArtifactsInput!$N$10+1,15,18,21,24,27,30)*(IF(Inputs!$B$39="pvp",MIN(15,15)/15,IF(AND(Inputs!$B$39&lt;&gt;"pvp",Inputs!$B$44&gt;0),MIN(15,Inputs!$B$44)/(Inputs!$B$44),0))),0)))&gt;=100),CHOOSE(ArtifactsInput!$N$42+1,40,48,56,64,72,80),0))))/100)*(((1+(((C2183=TRUE)*F2183*IF(AND(Inputs!$B$39&lt;&gt;"pvp",Inputs!$B$44&gt;0),(((R2183-1)*MIN((Skills!Y22*(1+Inputs!$B$34/100)),(1/Q2183))+MIN((Skills!Y22*(1+Inputs!$B$34/100)),MAX(0,Inputs!$B$44-((R2183-1)*(1/Q2183)))))/Inputs!$B$44),IF(Inputs!$B$39="pvp",MIN((Skills!Y22*(1+Inputs!$B$34/100)),15)/15,MIN(1,(Skills!Y22*(1+Inputs!$B$34/100))/(1/Q2183)))))+((C2164=TRUE)*F2164*3)+((C2166=TRUE)*F2166*(1-EXP(-0.75*B2199*5)))+((C2185=TRUE)*(F2185-Calc!F24))+(IF(IF(ArtifactsInput!$M$21,FALSE,TRUE),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2172=TRUE)*F2172*IF(AND(Inputs!$B$39&lt;&gt;"pvp",Inputs!$B$44&gt;0),(((R2172-1)*MIN((Skills!Y11*(1+Inputs!$B$34/100)),(1/Q2172))+MIN((Skills!Y11*(1+Inputs!$B$34/100)),MAX(0,Inputs!$B$44-((R2172-1)*(1/Q2172)))))/Inputs!$B$44),IF(Inputs!$B$39="pvp",MIN((Skills!Y11*(1+Inputs!$B$34/100)),15)/15,MIN(1,(Skills!Y11*(1+Inputs!$B$34/100))/(1/Q2172)))))/100)*(1+((C2177=TRUE)*F2177*IF(AND(Inputs!$B$39&lt;&gt;"pvp",Inputs!$B$44&gt;0),(((R2177-1)*MIN((Skills!Y16*(1+Inputs!$B$34/100)),(1/Q2177))+MIN((Skills!Y16*(1+Inputs!$B$34/100)),MAX(0,Inputs!$B$44-((R2177-1)*(1/Q2177)))))/Inputs!$B$44),IF(Inputs!$B$39="pvp",MIN((Skills!Y16*(1+Inputs!$B$34/100)),15)/15,MIN(1,(Skills!Y16*(1+Inputs!$B$34/100))/(1/Q2177)))))/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2197*I2163)</f>
        <v/>
      </c>
      <c r="L2163">
        <f>K2163*(MIN(Inputs!$B$22+((C2186=TRUE)*(F2186-Calc!F25)),(Inputs!$B$23+((C2191=TRUE)*(F2191-Calc!F30))+IF(ArtifactsInput!$M$15,CHOOSE(ArtifactsInput!$N$15+1,25,30,35,40,45,50)/100*(Inputs!$B$11-Inputs!$B$11),0)))/100+(Inputs!$B$23+((C2191=TRUE)*(F2191-Calc!F30))+IF(ArtifactsInput!$M$15,CHOOSE(ArtifactsInput!$N$15+1,25,30,35,40,45,50)/100*(Inputs!$B$11-Inputs!$B$11),0))/100)/2</f>
        <v/>
      </c>
      <c r="M2163">
        <f>L2163*(1+(Inputs!$B$10+((C2188=TRUE)*(F2188-Calc!F27))+B2202+(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2163">
        <f>L2163*(1-MIN((Inputs!$B$9+((C2187=TRUE)*(F2187-Calc!F26))+B2195+(ArtifactsInput!$M$24-ArtifactsInput!$M$24)*CHOOSE(ArtifactsInput!$N$24+1,10,12,14,16,18,20)+(IF(AND(Inputs!$B$39&lt;&gt;"pvp",Inputs!$B$44=0),1,IF(IF(Inputs!$B$39="pvp",15,Inputs!$B$44)-(B2206)&lt;=0,1,MAX(0,IF(Inputs!$B$39="pvp",15,Inputs!$B$44)-MAX(5,B2206))/(IF(Inputs!$B$39="pvp",15,Inputs!$B$44)-(B2206))))*IF(AND(ArtifactsInput!$M$42,((Inputs!$B$9+((C2187=TRUE)*(F2187-Calc!F26))+B2195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2163*(MIN((Inputs!$B$9+((C2187=TRUE)*(F2187-Calc!F26))+B2195+(ArtifactsInput!$M$24-ArtifactsInput!$M$24)*CHOOSE(ArtifactsInput!$N$24+1,10,12,14,16,18,20)+(IF(AND(Inputs!$B$39&lt;&gt;"pvp",Inputs!$B$44=0),1,IF(IF(Inputs!$B$39="pvp",15,Inputs!$B$44)-(B2206)&lt;=0,1,MAX(0,IF(Inputs!$B$39="pvp",15,Inputs!$B$44)-MAX(5,B2206))/(IF(Inputs!$B$39="pvp",15,Inputs!$B$44)-(B2206))))*IF(AND(ArtifactsInput!$M$42,((Inputs!$B$9+((C2187=TRUE)*(F2187-Calc!F26))+B2195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163">
        <f>(1-Summary!$B$11)*T2163+Summary!$B$11*V2163</f>
        <v/>
      </c>
      <c r="P2163">
        <f>IF(B2207=0,0,O2163/B2207)</f>
        <v/>
      </c>
      <c r="Q2163" t="n">
        <v>0</v>
      </c>
      <c r="R2163" t="n">
        <v>0</v>
      </c>
      <c r="S2163">
        <f>IFERROR(O2163/N2163,0)</f>
        <v/>
      </c>
      <c r="T2163">
        <f>IF(C2163,(Skills!G2*N2163*B2201)*IF(Inputs!$B$39="pvp",1,1+(Inputs!$B$20+0+Skills!P2+B2196+(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Hunt"),CHOOSE(ArtifactsInput!$N$35+1,15,18,21,24,27,30)*(1-EXP(-(0.2*B2199)*5)),0)+IF(AND(ArtifactsInput!$M$22,Inputs!$B$4&lt;&gt;"Chapter Hunt"),CHOOSE(ArtifactsInput!$N$22+1,10,12,14,16,18,20)*((0*(((0.15*B2199*5))^0/1)+1*(((0.15*B2199*5))^1/1)+2*(((0.15*B2199*5))^2/2)+3*(((0.15*B2199*5))^3/6)+4*(((0.15*B2199*5))^4/24)+5*(((0.15*B2199*5))^5/120))/((((0.15*B2199*5))^0/1)+(((0.15*B2199*5))^1/1)+(((0.15*B2199*5))^2/2)+(((0.15*B2199*5))^3/6)+(((0.15*B2199*5))^4/24)+(((0.15*B2199*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2163*(1-MIN(100,(Inputs!$B$9+((C2187=TRUE)*(F2187-Calc!F26))+B2195+(ArtifactsInput!$M$24-ArtifactsInput!$M$24)*CHOOSE(ArtifactsInput!$N$24+1,10,12,14,16,18,20)+(IF(AND(Inputs!$B$39&lt;&gt;"pvp",Inputs!$B$44=0),1,IF(IF(Inputs!$B$39="pvp",15,Inputs!$B$44)-(B2206)&lt;=0,1,MAX(0,IF(Inputs!$B$39="pvp",15,Inputs!$B$44)-MAX(5,B2206))/(IF(Inputs!$B$39="pvp",15,Inputs!$B$44)-(B2206))))*IF(AND(ArtifactsInput!$M$42,((Inputs!$B$9+((C2187=TRUE)*(F2187-Calc!F26))+B2195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2163*(MIN(100,(Inputs!$B$9+((C2187=TRUE)*(F2187-Calc!F26))+B2195+(ArtifactsInput!$M$24-ArtifactsInput!$M$24)*CHOOSE(ArtifactsInput!$N$24+1,10,12,14,16,18,20)+(IF(AND(Inputs!$B$39&lt;&gt;"pvp",Inputs!$B$44=0),1,IF(IF(Inputs!$B$39="pvp",15,Inputs!$B$44)-(B2206)&lt;=0,1,MAX(0,IF(Inputs!$B$39="pvp",15,Inputs!$B$44)-MAX(5,B2206))/(IF(Inputs!$B$39="pvp",15,Inputs!$B$44)-(B2206))))*IF(AND(ArtifactsInput!$M$42,((Inputs!$B$9+((C2187=TRUE)*(F2187-Calc!F26))+B2195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2163*(1-MIN(100,(Inputs!$B$9+((C2187=TRUE)*(F2187-Calc!F26))+B2195+(ArtifactsInput!$M$24-ArtifactsInput!$M$24)*CHOOSE(ArtifactsInput!$N$24+1,10,12,14,16,18,20)+(IF(AND(Inputs!$B$39&lt;&gt;"pvp",Inputs!$B$44=0),1,IF(IF(Inputs!$B$39="pvp",15,Inputs!$B$44)-(B2206)&lt;=0,1,MAX(0,IF(Inputs!$B$39="pvp",15,Inputs!$B$44)-MAX(5,B2206))/(IF(Inputs!$B$39="pvp",15,Inputs!$B$44)-(B2206))))*IF(AND(ArtifactsInput!$M$42,((Inputs!$B$9+((C2187=TRUE)*(F2187-Calc!F26))+B2195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2163*(MIN(100,(Inputs!$B$9+((C2187=TRUE)*(F2187-Calc!F26))+B2195+(ArtifactsInput!$M$24-ArtifactsInput!$M$24)*CHOOSE(ArtifactsInput!$N$24+1,10,12,14,16,18,20)+(IF(AND(Inputs!$B$39&lt;&gt;"pvp",Inputs!$B$44=0),1,IF(IF(Inputs!$B$39="pvp",15,Inputs!$B$44)-(B2206)&lt;=0,1,MAX(0,IF(Inputs!$B$39="pvp",15,Inputs!$B$44)-MAX(5,B2206))/(IF(Inputs!$B$39="pvp",15,Inputs!$B$44)-(B2206))))*IF(AND(ArtifactsInput!$M$42,((Inputs!$B$9+((C2187=TRUE)*(F2187-Calc!F26))+B2195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2163">
        <f>MAX(0,(Inputs!$B$3-100)*3)+Inputs!$B$28+Inputs!$B$29</f>
        <v/>
      </c>
      <c r="V2163">
        <f>IF(C2163,(Skills!G2*N2163*B2201)*IF(Inputs!$B$39="pvp",1,(1+(Inputs!$B$21+Skills!Q2+B2196+(IF(ArtifactsInput!$M$33,CHOOSE(ArtifactsInput!$N$33+1,30,36,42,48,54,60),0))+(IF(AND(ArtifactsInput!$M$35,Inputs!$B$4&lt;&gt;"Chapter Hunt"),CHOOSE(ArtifactsInput!$N$35+1,15,18,21,24,27,30)*(1-EXP(-(0.2*B2199)*5)),0)+IF(AND(ArtifactsInput!$M$22,Inputs!$B$4&lt;&gt;"Chapter Hunt"),CHOOSE(ArtifactsInput!$N$22+1,10,12,14,16,18,20)*((0*(((0.15*B2199*5))^0/1)+1*(((0.15*B2199*5))^1/1)+2*(((0.15*B2199*5))^2/2)+3*(((0.15*B2199*5))^3/6)+4*(((0.15*B2199*5))^4/24)+5*(((0.15*B2199*5))^5/120))/((((0.15*B2199*5))^0/1)+(((0.15*B2199*5))^1/1)+(((0.15*B2199*5))^2/2)+(((0.15*B2199*5))^3/6)+(((0.15*B2199*5))^4/24)+(((0.15*B2199*5))^5/120))),0)))/100)*(MIN((6+Inputs!$B$33),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164">
      <c r="A2164">
        <f>Skills!A3</f>
        <v/>
      </c>
      <c r="B2164">
        <f>Skills!B3</f>
        <v/>
      </c>
      <c r="C2164">
        <f>Inputs!$B$3&gt;=35</f>
        <v/>
      </c>
      <c r="D2164">
        <f>IF(Skills!C3=1,60+Inputs!$B$25+Inputs!$B$29,IF(Skills!C3=2,90+Inputs!$B$26+Inputs!$B$29,IF(Skills!C3=3,120+Inputs!$B$27+Inputs!$B$29,MAX(0,(Inputs!$B$3-100)*3)+Inputs!$B$28+Inputs!$B$29)))</f>
        <v/>
      </c>
      <c r="E2164">
        <f>INDEX(FactorTable!$B$2:$Y$301, MATCH(ROUND(MIN(300,MAX(1,D2164)),0), FactorTable!$A$2:$A$301,0), Skills!M3+1)</f>
        <v/>
      </c>
      <c r="F2164">
        <f>IF(Skills!N3=TRUE,(Skills!L3/10)*(E2164/1000),Skills!L3/10)+Skills!O3</f>
        <v/>
      </c>
      <c r="G2164">
        <f>Skills!G3*IF(Skills!H3&gt;0,IF(Inputs!$B$39="pvp",MIN(Skills!I3,15),Skills!I3)/Skills!H3,1)</f>
        <v/>
      </c>
      <c r="H2164">
        <f>1-(1-Skills!J3/100)^Skills!K3</f>
        <v/>
      </c>
      <c r="I2164" t="inlineStr">
        <is>
          <t>1</t>
        </is>
      </c>
      <c r="J2164" t="inlineStr"/>
      <c r="K2164" t="inlineStr"/>
      <c r="L2164" t="inlineStr"/>
      <c r="M2164" t="inlineStr"/>
      <c r="N2164" t="inlineStr"/>
      <c r="O2164">
        <f>(1-Summary!$B$11)*T2164+Summary!$B$11*V2164</f>
        <v/>
      </c>
      <c r="P2164">
        <f>IF(B2207=0,0,O2164/B2207)</f>
        <v/>
      </c>
      <c r="Q2164" t="n">
        <v>0</v>
      </c>
      <c r="R2164" t="n">
        <v>0</v>
      </c>
      <c r="S2164">
        <f>IFERROR(O2164/N2164,0)</f>
        <v/>
      </c>
      <c r="T2164" t="n">
        <v>0</v>
      </c>
      <c r="U2164">
        <f>INDEX(FactorTable!$B$2:$Y$301, MATCH(ROUND(MIN(300,MAX(1,U2163)),0), FactorTable!$A$2:$A$301,0), 22)</f>
        <v/>
      </c>
      <c r="V2164" t="n">
        <v>0</v>
      </c>
    </row>
    <row r="2165">
      <c r="A2165">
        <f>Skills!A4</f>
        <v/>
      </c>
      <c r="B2165">
        <f>Skills!B4</f>
        <v/>
      </c>
      <c r="C2165">
        <f>Inputs!$B$3&gt;=66</f>
        <v/>
      </c>
      <c r="D2165">
        <f>IF(Skills!C4=1,60+Inputs!$B$25+Inputs!$B$29,IF(Skills!C4=2,90+Inputs!$B$26+Inputs!$B$29,IF(Skills!C4=3,120+Inputs!$B$27+Inputs!$B$29,MAX(0,(Inputs!$B$3-100)*3)+Inputs!$B$28+Inputs!$B$29)))</f>
        <v/>
      </c>
      <c r="E2165">
        <f>INDEX(FactorTable!$B$2:$Y$301, MATCH(ROUND(MIN(300,MAX(1,D2165)),0), FactorTable!$A$2:$A$301,0), Skills!M4+1)</f>
        <v/>
      </c>
      <c r="F2165">
        <f>IF(Skills!N4=TRUE,(Skills!L4/10)*(E2165/1000),Skills!L4/10)+Skills!O4</f>
        <v/>
      </c>
      <c r="G2165">
        <f>Skills!G4*IF(Skills!H4&gt;0,IF(Inputs!$B$39="pvp",MIN(Skills!I4,15),Skills!I4)/Skills!H4,1)</f>
        <v/>
      </c>
      <c r="H2165">
        <f>1-(1-Skills!J4/100)^Skills!K4</f>
        <v/>
      </c>
      <c r="I2165" t="inlineStr">
        <is>
          <t>1</t>
        </is>
      </c>
      <c r="J2165">
        <f>((Inputs!$B$6*(1+Inputs!$B$7/100))+(((Inputs!$B$12*(1+Inputs!$B$13/100))-(Inputs!$B$12*(1+Inputs!$B$13/100)))+0.25*(Inputs!$B$14-Inputs!$B$14))*(1+Inputs!$B$7/100))*(F2165/100)</f>
        <v/>
      </c>
      <c r="K2165">
        <f>J2165*(1+((Inputs!$B$12*(1+Inputs!$B$13/100))*0.01+Inputs!$B$14*0.0025)/100)*(1+Inputs!$B$15/100)*(1+Inputs!$B$16/100)*(5000/(6000+Inputs!$B$43*(1-(100*(1-(1-Inputs!$B$19/100)*(1-CHOOSE(ArtifactsInput!$N$40+1,5,6,7,8,9,10)/100)^(ArtifactsInput!$M$40-ArtifactsInput!$M$40)))/100)))*(1+(Inputs!$B$24+((C2192=TRUE)*(F2192-Calc!F31))+((C2179=TRUE)*(F2179-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4="CRUEL_STAB",Inputs!$B$17+((C2189=TRUE)*(F2189-Calc!F28))+((IF(AND(Inputs!$B$39&lt;&gt;"pvp",Inputs!$B$44=0),1,IF(IF(Inputs!$B$39="pvp",15,Inputs!$B$44)-(B2206)&lt;=0,1,MAX(0,IF(Inputs!$B$39="pvp",15,Inputs!$B$44)-MAX(5,B2206))/(IF(Inputs!$B$39="pvp",15,Inputs!$B$44)-(B2206))))*(IF(AND(ArtifactsInput!$M$42,((Inputs!$B$9+((C2187=TRUE)*(F2187-Calc!F26))+B2195+(ArtifactsInput!$M$24-ArtifactsInput!$M$24)*CHOOSE(ArtifactsInput!$N$24+1,10,12,14,16,18,20)+IF(ArtifactsInput!$M$10,CHOOSE(ArtifactsInput!$N$10+1,15,18,21,24,27,30)*(IF(Inputs!$B$39="pvp",MIN(15,15)/15,IF(AND(Inputs!$B$39&lt;&gt;"pvp",Inputs!$B$44&gt;0),MIN(15,Inputs!$B$44)/(Inputs!$B$44),0))),0)))&gt;=100),MIN(100,((Inputs!$B$9+((C2187=TRUE)*(F2187-Calc!F26))+B2195+(ArtifactsInput!$M$24-ArtifactsInput!$M$24)*CHOOSE(ArtifactsInput!$N$24+1,10,12,14,16,18,20)+IF(ArtifactsInput!$M$10,CHOOSE(ArtifactsInput!$N$10+1,15,18,21,24,27,30)*(IF(Inputs!$B$39="pvp",MIN(15,15)/15,IF(AND(Inputs!$B$39&lt;&gt;"pvp",Inputs!$B$44&gt;0),MIN(15,Inputs!$B$44)/(Inputs!$B$44),0))),0)))-100),0))*CHOOSE(ArtifactsInput!$N$42+1,0.6,0.72,0.84,0.96,1.08,1.2))),Inputs!$B$18+((C2190=TRUE)*(F2190-Calc!F29))+(IF(AND(Inputs!$B$39&lt;&gt;"pvp",Inputs!$B$44=0),1,IF(IF(Inputs!$B$39="pvp",15,Inputs!$B$44)-(B2206)&lt;=0,1,MAX(0,IF(Inputs!$B$39="pvp",15,Inputs!$B$44)-MAX(5,B2206))/(IF(Inputs!$B$39="pvp",15,Inputs!$B$44)-(B2206))))*IF(AND(ArtifactsInput!$M$42,((Inputs!$B$9+((C2187=TRUE)*(F2187-Calc!F26))+B2195+(ArtifactsInput!$M$24-ArtifactsInput!$M$24)*CHOOSE(ArtifactsInput!$N$24+1,10,12,14,16,18,20)+IF(ArtifactsInput!$M$10,CHOOSE(ArtifactsInput!$N$10+1,15,18,21,24,27,30)*(IF(Inputs!$B$39="pvp",MIN(15,15)/15,IF(AND(Inputs!$B$39&lt;&gt;"pvp",Inputs!$B$44&gt;0),MIN(15,Inputs!$B$44)/(Inputs!$B$44),0))),0)))&gt;=100),CHOOSE(ArtifactsInput!$N$42+1,40,48,56,64,72,80),0))))/100)*(((1+(((C2183=TRUE)*F2183*IF(AND(Inputs!$B$39&lt;&gt;"pvp",Inputs!$B$44&gt;0),(((R2183-1)*MIN((Skills!Y22*(1+Inputs!$B$34/100)),(1/Q2183))+MIN((Skills!Y22*(1+Inputs!$B$34/100)),MAX(0,Inputs!$B$44-((R2183-1)*(1/Q2183)))))/Inputs!$B$44),IF(Inputs!$B$39="pvp",MIN((Skills!Y22*(1+Inputs!$B$34/100)),15)/15,MIN(1,(Skills!Y22*(1+Inputs!$B$34/100))/(1/Q2183)))))+((C2164=TRUE)*F2164*3)+((C2166=TRUE)*F2166*(1-EXP(-0.75*B2199*5)))+((C2185=TRUE)*(F2185-Calc!F24))+(IF(IF(ArtifactsInput!$M$21,FALSE,TRUE),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2172=TRUE)*F2172*IF(AND(Inputs!$B$39&lt;&gt;"pvp",Inputs!$B$44&gt;0),(((R2172-1)*MIN((Skills!Y11*(1+Inputs!$B$34/100)),(1/Q2172))+MIN((Skills!Y11*(1+Inputs!$B$34/100)),MAX(0,Inputs!$B$44-((R2172-1)*(1/Q2172)))))/Inputs!$B$44),IF(Inputs!$B$39="pvp",MIN((Skills!Y11*(1+Inputs!$B$34/100)),15)/15,MIN(1,(Skills!Y11*(1+Inputs!$B$34/100))/(1/Q2172)))))/100)*(1+((C2177=TRUE)*F2177*IF(AND(Inputs!$B$39&lt;&gt;"pvp",Inputs!$B$44&gt;0),(((R2177-1)*MIN((Skills!Y16*(1+Inputs!$B$34/100)),(1/Q2177))+MIN((Skills!Y16*(1+Inputs!$B$34/100)),MAX(0,Inputs!$B$44-((R2177-1)*(1/Q2177)))))/Inputs!$B$44),IF(Inputs!$B$39="pvp",MIN((Skills!Y16*(1+Inputs!$B$34/100)),15)/15,MIN(1,(Skills!Y16*(1+Inputs!$B$34/100))/(1/Q2177)))))/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2197*I2165)</f>
        <v/>
      </c>
      <c r="L2165">
        <f>K2165*(MIN(Inputs!$B$22+((C2186=TRUE)*(F2186-Calc!F25)),(Inputs!$B$23+((C2191=TRUE)*(F2191-Calc!F30))+IF(ArtifactsInput!$M$15,CHOOSE(ArtifactsInput!$N$15+1,25,30,35,40,45,50)/100*(Inputs!$B$11-Inputs!$B$11),0)))/100+(Inputs!$B$23+((C2191=TRUE)*(F2191-Calc!F30))+IF(ArtifactsInput!$M$15,CHOOSE(ArtifactsInput!$N$15+1,25,30,35,40,45,50)/100*(Inputs!$B$11-Inputs!$B$11),0))/100)/2</f>
        <v/>
      </c>
      <c r="M2165">
        <f>L2165*(1+(Inputs!$B$10+((C2188=TRUE)*(F2188-Calc!F27))+B2202+(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2165">
        <f>L2165*(1-MIN((Inputs!$B$9+((C2187=TRUE)*(F2187-Calc!F26))+B2195+(ArtifactsInput!$M$24-ArtifactsInput!$M$24)*CHOOSE(ArtifactsInput!$N$24+1,10,12,14,16,18,20)+(IF(AND(Inputs!$B$39&lt;&gt;"pvp",Inputs!$B$44=0),1,IF(IF(Inputs!$B$39="pvp",15,Inputs!$B$44)-(B2206)&lt;=0,1,MAX(0,IF(Inputs!$B$39="pvp",15,Inputs!$B$44)-MAX(5,B2206))/(IF(Inputs!$B$39="pvp",15,Inputs!$B$44)-(B2206))))*IF(AND(ArtifactsInput!$M$42,((Inputs!$B$9+((C2187=TRUE)*(F2187-Calc!F26))+B2195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2165*(MIN((Inputs!$B$9+((C2187=TRUE)*(F2187-Calc!F26))+B2195+(ArtifactsInput!$M$24-ArtifactsInput!$M$24)*CHOOSE(ArtifactsInput!$N$24+1,10,12,14,16,18,20)+(IF(AND(Inputs!$B$39&lt;&gt;"pvp",Inputs!$B$44=0),1,IF(IF(Inputs!$B$39="pvp",15,Inputs!$B$44)-(B2206)&lt;=0,1,MAX(0,IF(Inputs!$B$39="pvp",15,Inputs!$B$44)-MAX(5,B2206))/(IF(Inputs!$B$39="pvp",15,Inputs!$B$44)-(B2206))))*IF(AND(ArtifactsInput!$M$42,((Inputs!$B$9+((C2187=TRUE)*(F2187-Calc!F26))+B2195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165">
        <f>(1-Summary!$B$11)*T2165+Summary!$B$11*V2165</f>
        <v/>
      </c>
      <c r="P2165">
        <f>IF(B2207=0,0,O2165/B2207)</f>
        <v/>
      </c>
      <c r="Q2165">
        <f>IFERROR(1/IF(Inputs!$B$39="pvp",15,MAX(0.1,Skills!D4-IF(TRUE=TRUE,Inputs!$B$32,0))),0)</f>
        <v/>
      </c>
      <c r="R2165">
        <f>IF(AND(Inputs!$B$39&lt;&gt;"pvp",Inputs!$B$44&gt;0),IF(MAX(0,Inputs!$B$44-B2206)&lt;=0,0,(INT(MAX(0,Inputs!$B$44-B2206)/IF(Inputs!$B$39="pvp",15,MAX(0.1,Skills!D4-IF(TRUE=TRUE,Inputs!$B$32,0))))+1)),0)</f>
        <v/>
      </c>
      <c r="S2165">
        <f>IFERROR(O2165/N2165,0)</f>
        <v/>
      </c>
      <c r="T2165">
        <f>IF(C2165,(H2165*N2165*IF(AND(Inputs!$B$39&lt;&gt;"pvp",Inputs!$B$44&gt;0),((Skills!G4*((R2165-1)*IF(Skills!H4&gt;0,Skills!I4/Skills!H4,1)+IF(Skills!H4&gt;0,MIN(Skills!I4,MAX(0,MAX(0,Inputs!$B$44-B2206)-((R2165-1)*IF(Inputs!$B$39="pvp",15,MAX(0.1,Skills!D4-IF(TRUE=TRUE,Inputs!$B$32,0))))))/Skills!H4,1)))/Inputs!$B$44),G2165*Q2165))*IF(Inputs!$B$39="pvp",1,1+(Inputs!$B$20+0+Skills!P4+B2196+(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Hunt"),CHOOSE(ArtifactsInput!$N$35+1,15,18,21,24,27,30)*(1-EXP(-(0.2*B2199)*5)),0)+IF(AND(ArtifactsInput!$M$22,Inputs!$B$4&lt;&gt;"Chapter Hunt"),CHOOSE(ArtifactsInput!$N$22+1,10,12,14,16,18,20)*((0*(((0.15*B2199*5))^0/1)+1*(((0.15*B2199*5))^1/1)+2*(((0.15*B2199*5))^2/2)+3*(((0.15*B2199*5))^3/6)+4*(((0.15*B2199*5))^4/24)+5*(((0.15*B2199*5))^5/120))/((((0.15*B2199*5))^0/1)+(((0.15*B2199*5))^1/1)+(((0.15*B2199*5))^2/2)+(((0.15*B2199*5))^3/6)+(((0.15*B2199*5))^4/24)+(((0.15*B2199*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2165*(1-MIN(100,(Inputs!$B$9+((C2187=TRUE)*(F2187-Calc!F26))+B2195+(ArtifactsInput!$M$24-ArtifactsInput!$M$24)*CHOOSE(ArtifactsInput!$N$24+1,10,12,14,16,18,20)+(IF(AND(Inputs!$B$39&lt;&gt;"pvp",Inputs!$B$44=0),1,IF(IF(Inputs!$B$39="pvp",15,Inputs!$B$44)-(B2206)&lt;=0,1,MAX(0,IF(Inputs!$B$39="pvp",15,Inputs!$B$44)-MAX(5,B2206))/(IF(Inputs!$B$39="pvp",15,Inputs!$B$44)-(B2206))))*IF(AND(ArtifactsInput!$M$42,((Inputs!$B$9+((C2187=TRUE)*(F2187-Calc!F26))+B2195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2165*(MIN(100,(Inputs!$B$9+((C2187=TRUE)*(F2187-Calc!F26))+B2195+(ArtifactsInput!$M$24-ArtifactsInput!$M$24)*CHOOSE(ArtifactsInput!$N$24+1,10,12,14,16,18,20)+(IF(AND(Inputs!$B$39&lt;&gt;"pvp",Inputs!$B$44=0),1,IF(IF(Inputs!$B$39="pvp",15,Inputs!$B$44)-(B2206)&lt;=0,1,MAX(0,IF(Inputs!$B$39="pvp",15,Inputs!$B$44)-MAX(5,B2206))/(IF(Inputs!$B$39="pvp",15,Inputs!$B$44)-(B2206))))*IF(AND(ArtifactsInput!$M$42,((Inputs!$B$9+((C2187=TRUE)*(F2187-Calc!F26))+B2195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2165*(1-MIN(100,(Inputs!$B$9+((C2187=TRUE)*(F2187-Calc!F26))+B2195+(ArtifactsInput!$M$24-ArtifactsInput!$M$24)*CHOOSE(ArtifactsInput!$N$24+1,10,12,14,16,18,20)+(IF(AND(Inputs!$B$39&lt;&gt;"pvp",Inputs!$B$44=0),1,IF(IF(Inputs!$B$39="pvp",15,Inputs!$B$44)-(B2206)&lt;=0,1,MAX(0,IF(Inputs!$B$39="pvp",15,Inputs!$B$44)-MAX(5,B2206))/(IF(Inputs!$B$39="pvp",15,Inputs!$B$44)-(B2206))))*IF(AND(ArtifactsInput!$M$42,((Inputs!$B$9+((C2187=TRUE)*(F2187-Calc!F26))+B2195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2165*(MIN(100,(Inputs!$B$9+((C2187=TRUE)*(F2187-Calc!F26))+B2195+(ArtifactsInput!$M$24-ArtifactsInput!$M$24)*CHOOSE(ArtifactsInput!$N$24+1,10,12,14,16,18,20)+(IF(AND(Inputs!$B$39&lt;&gt;"pvp",Inputs!$B$44=0),1,IF(IF(Inputs!$B$39="pvp",15,Inputs!$B$44)-(B2206)&lt;=0,1,MAX(0,IF(Inputs!$B$39="pvp",15,Inputs!$B$44)-MAX(5,B2206))/(IF(Inputs!$B$39="pvp",15,Inputs!$B$44)-(B2206))))*IF(AND(ArtifactsInput!$M$42,((Inputs!$B$9+((C2187=TRUE)*(F2187-Calc!F26))+B2195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2165">
        <f>290*U2164/1000</f>
        <v/>
      </c>
      <c r="V2165">
        <f>IF(C2165,(H2165*N2165*IF(AND(Inputs!$B$39&lt;&gt;"pvp",Inputs!$B$44&gt;0),((Skills!G4*((R2165-1)*IF(Skills!H4&gt;0,Skills!I4/Skills!H4,1)+IF(Skills!H4&gt;0,MIN(Skills!I4,MAX(0,MAX(0,Inputs!$B$44-B2206)-((R2165-1)*IF(Inputs!$B$39="pvp",15,MAX(0.1,Skills!D4-IF(TRUE=TRUE,Inputs!$B$32,0))))))/Skills!H4,1)))/Inputs!$B$44),G2165*Q2165))*IF(Inputs!$B$39="pvp",1,(1+(Inputs!$B$21+Skills!Q4+B2196+(IF(ArtifactsInput!$M$33,CHOOSE(ArtifactsInput!$N$33+1,30,36,42,48,54,60),0))+(IF(AND(ArtifactsInput!$M$35,Inputs!$B$4&lt;&gt;"Chapter Hunt"),CHOOSE(ArtifactsInput!$N$35+1,15,18,21,24,27,30)*(1-EXP(-(0.2*B2199)*5)),0)+IF(AND(ArtifactsInput!$M$22,Inputs!$B$4&lt;&gt;"Chapter Hunt"),CHOOSE(ArtifactsInput!$N$22+1,10,12,14,16,18,20)*((0*(((0.15*B2199*5))^0/1)+1*(((0.15*B2199*5))^1/1)+2*(((0.15*B2199*5))^2/2)+3*(((0.15*B2199*5))^3/6)+4*(((0.15*B2199*5))^4/24)+5*(((0.15*B2199*5))^5/120))/((((0.15*B2199*5))^0/1)+(((0.15*B2199*5))^1/1)+(((0.15*B2199*5))^2/2)+(((0.15*B2199*5))^3/6)+(((0.15*B2199*5))^4/24)+(((0.15*B2199*5))^5/120))),0)))/100)*(MIN(MIN(10,IF(Inputs!$B$3&gt;=75,0.75,0.5)*B2199*(1/Q2165)),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166">
      <c r="A2166">
        <f>Skills!A5</f>
        <v/>
      </c>
      <c r="B2166">
        <f>Skills!B5</f>
        <v/>
      </c>
      <c r="C2166">
        <f>Inputs!$B$3&gt;=75</f>
        <v/>
      </c>
      <c r="D2166">
        <f>IF(Skills!C5=1,60+Inputs!$B$25+Inputs!$B$29,IF(Skills!C5=2,90+Inputs!$B$26+Inputs!$B$29,IF(Skills!C5=3,120+Inputs!$B$27+Inputs!$B$29,MAX(0,(Inputs!$B$3-100)*3)+Inputs!$B$28+Inputs!$B$29)))</f>
        <v/>
      </c>
      <c r="E2166">
        <f>INDEX(FactorTable!$B$2:$Y$301, MATCH(ROUND(MIN(300,MAX(1,D2166)),0), FactorTable!$A$2:$A$301,0), Skills!M5+1)</f>
        <v/>
      </c>
      <c r="F2166">
        <f>IF(Skills!N5=TRUE,(Skills!L5/10)*(E2166/1000),Skills!L5/10)+Skills!O5</f>
        <v/>
      </c>
      <c r="G2166">
        <f>Skills!G5*IF(Skills!H5&gt;0,IF(Inputs!$B$39="pvp",MIN(Skills!I5,15),Skills!I5)/Skills!H5,1)</f>
        <v/>
      </c>
      <c r="H2166">
        <f>1-(1-Skills!J5/100)^Skills!K5</f>
        <v/>
      </c>
      <c r="I2166" t="inlineStr">
        <is>
          <t>1</t>
        </is>
      </c>
      <c r="J2166" t="inlineStr"/>
      <c r="K2166" t="inlineStr"/>
      <c r="L2166" t="inlineStr"/>
      <c r="M2166" t="inlineStr"/>
      <c r="N2166" t="inlineStr"/>
      <c r="O2166">
        <f>(1-Summary!$B$11)*T2166+Summary!$B$11*V2166</f>
        <v/>
      </c>
      <c r="P2166">
        <f>IF(B2207=0,0,O2166/B2207)</f>
        <v/>
      </c>
      <c r="Q2166" t="n">
        <v>0</v>
      </c>
      <c r="R2166" t="n">
        <v>0</v>
      </c>
      <c r="S2166">
        <f>IFERROR(O2166/N2166,0)</f>
        <v/>
      </c>
      <c r="T2166" t="n">
        <v>0</v>
      </c>
      <c r="V2166" t="n">
        <v>0</v>
      </c>
    </row>
    <row r="2167">
      <c r="A2167">
        <f>Skills!A6</f>
        <v/>
      </c>
      <c r="B2167">
        <f>Skills!B6</f>
        <v/>
      </c>
      <c r="C2167">
        <f>Inputs!$B$3&gt;=63</f>
        <v/>
      </c>
      <c r="D2167">
        <f>IF(Skills!C6=1,60+Inputs!$B$25+Inputs!$B$29,IF(Skills!C6=2,90+Inputs!$B$26+Inputs!$B$29,IF(Skills!C6=3,120+Inputs!$B$27+Inputs!$B$29,MAX(0,(Inputs!$B$3-100)*3)+Inputs!$B$28+Inputs!$B$29)))</f>
        <v/>
      </c>
      <c r="E2167">
        <f>INDEX(FactorTable!$B$2:$Y$301, MATCH(ROUND(MIN(300,MAX(1,D2167)),0), FactorTable!$A$2:$A$301,0), Skills!M6+1)</f>
        <v/>
      </c>
      <c r="F2167">
        <f>IF(Skills!N6=TRUE,(Skills!L6/10)*(E2167/1000),Skills!L6/10)+Skills!O6</f>
        <v/>
      </c>
      <c r="G2167">
        <f>Skills!G6*IF(Skills!H6&gt;0,IF(Inputs!$B$39="pvp",MIN(Skills!I6,15),Skills!I6)/Skills!H6,1)</f>
        <v/>
      </c>
      <c r="H2167">
        <f>1-(1-Skills!J6/100)^Skills!K6</f>
        <v/>
      </c>
      <c r="I2167" t="inlineStr">
        <is>
          <t>1</t>
        </is>
      </c>
      <c r="J2167">
        <f>((Inputs!$B$6*(1+Inputs!$B$7/100))+(((Inputs!$B$12*(1+Inputs!$B$13/100))-(Inputs!$B$12*(1+Inputs!$B$13/100)))+0.25*(Inputs!$B$14-Inputs!$B$14))*(1+Inputs!$B$7/100))*(F2167/100)</f>
        <v/>
      </c>
      <c r="K2167">
        <f>J2167*(1+((Inputs!$B$12*(1+Inputs!$B$13/100))*0.01+Inputs!$B$14*0.0025)/100)*(1+Inputs!$B$15/100)*(1+Inputs!$B$16/100)*(5000/(6000+Inputs!$B$43*(1-(100*(1-(1-Inputs!$B$19/100)*(1-CHOOSE(ArtifactsInput!$N$40+1,5,6,7,8,9,10)/100)^(ArtifactsInput!$M$40-ArtifactsInput!$M$40)))/100)))*(1+(Inputs!$B$24+((C2192=TRUE)*(F2192-Calc!F31))+((C2179=TRUE)*(F2179-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+2.6666666666666665*IF(C2180=TRUE,F2180,0)/100)*(1+(IF(Skills!A6="CRUEL_STAB",Inputs!$B$17+((C2189=TRUE)*(F2189-Calc!F28))+((IF(AND(Inputs!$B$39&lt;&gt;"pvp",Inputs!$B$44=0),1,IF(IF(Inputs!$B$39="pvp",15,Inputs!$B$44)-(B2206)&lt;=0,1,MAX(0,IF(Inputs!$B$39="pvp",15,Inputs!$B$44)-MAX(5,B2206))/(IF(Inputs!$B$39="pvp",15,Inputs!$B$44)-(B2206))))*(IF(AND(ArtifactsInput!$M$42,((Inputs!$B$9+((C2187=TRUE)*(F2187-Calc!F26))+B2195+(ArtifactsInput!$M$24-ArtifactsInput!$M$24)*CHOOSE(ArtifactsInput!$N$24+1,10,12,14,16,18,20)+IF(ArtifactsInput!$M$10,CHOOSE(ArtifactsInput!$N$10+1,15,18,21,24,27,30)*(IF(Inputs!$B$39="pvp",MIN(15,15)/15,IF(AND(Inputs!$B$39&lt;&gt;"pvp",Inputs!$B$44&gt;0),MIN(15,Inputs!$B$44)/(Inputs!$B$44),0))),0)))&gt;=100),MIN(100,((Inputs!$B$9+((C2187=TRUE)*(F2187-Calc!F26))+B2195+(ArtifactsInput!$M$24-ArtifactsInput!$M$24)*CHOOSE(ArtifactsInput!$N$24+1,10,12,14,16,18,20)+IF(ArtifactsInput!$M$10,CHOOSE(ArtifactsInput!$N$10+1,15,18,21,24,27,30)*(IF(Inputs!$B$39="pvp",MIN(15,15)/15,IF(AND(Inputs!$B$39&lt;&gt;"pvp",Inputs!$B$44&gt;0),MIN(15,Inputs!$B$44)/(Inputs!$B$44),0))),0)))-100),0))*CHOOSE(ArtifactsInput!$N$42+1,0.6,0.72,0.84,0.96,1.08,1.2))),Inputs!$B$18+((C2190=TRUE)*(F2190-Calc!F29))+(IF(AND(Inputs!$B$39&lt;&gt;"pvp",Inputs!$B$44=0),1,IF(IF(Inputs!$B$39="pvp",15,Inputs!$B$44)-(B2206)&lt;=0,1,MAX(0,IF(Inputs!$B$39="pvp",15,Inputs!$B$44)-MAX(5,B2206))/(IF(Inputs!$B$39="pvp",15,Inputs!$B$44)-(B2206))))*IF(AND(ArtifactsInput!$M$42,((Inputs!$B$9+((C2187=TRUE)*(F2187-Calc!F26))+B2195+(ArtifactsInput!$M$24-ArtifactsInput!$M$24)*CHOOSE(ArtifactsInput!$N$24+1,10,12,14,16,18,20)+IF(ArtifactsInput!$M$10,CHOOSE(ArtifactsInput!$N$10+1,15,18,21,24,27,30)*(IF(Inputs!$B$39="pvp",MIN(15,15)/15,IF(AND(Inputs!$B$39&lt;&gt;"pvp",Inputs!$B$44&gt;0),MIN(15,Inputs!$B$44)/(Inputs!$B$44),0))),0)))&gt;=100),CHOOSE(ArtifactsInput!$N$42+1,40,48,56,64,72,80),0))))/100)*(((1+(((C2183=TRUE)*F2183*IF(AND(Inputs!$B$39&lt;&gt;"pvp",Inputs!$B$44&gt;0),(((R2183-1)*MIN((Skills!Y22*(1+Inputs!$B$34/100)),(1/Q2183))+MIN((Skills!Y22*(1+Inputs!$B$34/100)),MAX(0,Inputs!$B$44-((R2183-1)*(1/Q2183)))))/Inputs!$B$44),IF(Inputs!$B$39="pvp",MIN((Skills!Y22*(1+Inputs!$B$34/100)),15)/15,MIN(1,(Skills!Y22*(1+Inputs!$B$34/100))/(1/Q2183)))))+((C2164=TRUE)*F2164*3)+((C2166=TRUE)*F2166*(1-EXP(-0.75*B2199*5)))+((C2185=TRUE)*(F2185-Calc!F24))+(IF(IF(ArtifactsInput!$M$21,FALSE,TRUE),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2172=TRUE)*F2172*IF(AND(Inputs!$B$39&lt;&gt;"pvp",Inputs!$B$44&gt;0),(((R2172-1)*MIN((Skills!Y11*(1+Inputs!$B$34/100)),(1/Q2172))+MIN((Skills!Y11*(1+Inputs!$B$34/100)),MAX(0,Inputs!$B$44-((R2172-1)*(1/Q2172)))))/Inputs!$B$44),IF(Inputs!$B$39="pvp",MIN((Skills!Y11*(1+Inputs!$B$34/100)),15)/15,MIN(1,(Skills!Y11*(1+Inputs!$B$34/100))/(1/Q2172)))))/100)*(1+((C2177=TRUE)*F2177*IF(AND(Inputs!$B$39&lt;&gt;"pvp",Inputs!$B$44&gt;0),(((R2177-1)*MIN((Skills!Y16*(1+Inputs!$B$34/100)),(1/Q2177))+MIN((Skills!Y16*(1+Inputs!$B$34/100)),MAX(0,Inputs!$B$44-((R2177-1)*(1/Q2177)))))/Inputs!$B$44),IF(Inputs!$B$39="pvp",MIN((Skills!Y16*(1+Inputs!$B$34/100)),15)/15,MIN(1,(Skills!Y16*(1+Inputs!$B$34/100))/(1/Q2177)))))/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2197*I2167)</f>
        <v/>
      </c>
      <c r="L2167">
        <f>K2167*(MIN(Inputs!$B$22+((C2186=TRUE)*(F2186-Calc!F25)),(Inputs!$B$23+((C2191=TRUE)*(F2191-Calc!F30))+IF(ArtifactsInput!$M$15,CHOOSE(ArtifactsInput!$N$15+1,25,30,35,40,45,50)/100*(Inputs!$B$11-Inputs!$B$11),0)))/100+(Inputs!$B$23+((C2191=TRUE)*(F2191-Calc!F30))+IF(ArtifactsInput!$M$15,CHOOSE(ArtifactsInput!$N$15+1,25,30,35,40,45,50)/100*(Inputs!$B$11-Inputs!$B$11),0))/100)/2</f>
        <v/>
      </c>
      <c r="M2167">
        <f>L2167*(1+(Inputs!$B$10+((C2188=TRUE)*(F2188-Calc!F27))+B2202+(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2167">
        <f>L2167*(1-MIN((Inputs!$B$9+((C2187=TRUE)*(F2187-Calc!F26))+B2195+(ArtifactsInput!$M$24-ArtifactsInput!$M$24)*CHOOSE(ArtifactsInput!$N$24+1,10,12,14,16,18,20)+(IF(AND(Inputs!$B$39&lt;&gt;"pvp",Inputs!$B$44=0),1,IF(IF(Inputs!$B$39="pvp",15,Inputs!$B$44)-(B2206)&lt;=0,1,MAX(0,IF(Inputs!$B$39="pvp",15,Inputs!$B$44)-MAX(5,B2206))/(IF(Inputs!$B$39="pvp",15,Inputs!$B$44)-(B2206))))*IF(AND(ArtifactsInput!$M$42,((Inputs!$B$9+((C2187=TRUE)*(F2187-Calc!F26))+B2195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2167*(MIN((Inputs!$B$9+((C2187=TRUE)*(F2187-Calc!F26))+B2195+(ArtifactsInput!$M$24-ArtifactsInput!$M$24)*CHOOSE(ArtifactsInput!$N$24+1,10,12,14,16,18,20)+(IF(AND(Inputs!$B$39&lt;&gt;"pvp",Inputs!$B$44=0),1,IF(IF(Inputs!$B$39="pvp",15,Inputs!$B$44)-(B2206)&lt;=0,1,MAX(0,IF(Inputs!$B$39="pvp",15,Inputs!$B$44)-MAX(5,B2206))/(IF(Inputs!$B$39="pvp",15,Inputs!$B$44)-(B2206))))*IF(AND(ArtifactsInput!$M$42,((Inputs!$B$9+((C2187=TRUE)*(F2187-Calc!F26))+B2195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167">
        <f>(1-Summary!$B$11)*T2167+Summary!$B$11*V2167</f>
        <v/>
      </c>
      <c r="P2167">
        <f>IF(B2207=0,0,O2167/B2207)</f>
        <v/>
      </c>
      <c r="Q2167">
        <f>IFERROR(1/IF(Inputs!$B$39="pvp",15,MAX(0.1,Skills!D6-IF(TRUE=TRUE,Inputs!$B$32,0))),0)</f>
        <v/>
      </c>
      <c r="R2167">
        <f>IF(AND(Inputs!$B$39&lt;&gt;"pvp",Inputs!$B$44&gt;0),IF(MAX(0,Inputs!$B$44-B2206)&lt;=0,0,(INT(MAX(0,Inputs!$B$44-B2206)/IF(Inputs!$B$39="pvp",15,MAX(0.1,Skills!D6-IF(TRUE=TRUE,Inputs!$B$32,0))))+1)),0)</f>
        <v/>
      </c>
      <c r="S2167">
        <f>IFERROR(O2167/N2167,0)</f>
        <v/>
      </c>
      <c r="T2167">
        <f>IF(C2167,(H2167*N2167*IF(AND(Inputs!$B$39&lt;&gt;"pvp",Inputs!$B$44&gt;0),((Skills!G6*((R2167-1)*IF(Skills!H6&gt;0,Skills!I6/Skills!H6,1)+IF(Skills!H6&gt;0,MIN(Skills!I6,MAX(0,MAX(0,Inputs!$B$44-B2206)-((R2167-1)*IF(Inputs!$B$39="pvp",15,MAX(0.1,Skills!D6-IF(TRUE=TRUE,Inputs!$B$32,0))))))/Skills!H6,1)))/Inputs!$B$44),G2167*Q2167))*IF(Inputs!$B$39="pvp",1,1+(Inputs!$B$20+0+Skills!P6+B2196+(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Hunt"),CHOOSE(ArtifactsInput!$N$35+1,15,18,21,24,27,30)*(1-EXP(-(0.2*B2199)*5)),0)+IF(AND(ArtifactsInput!$M$22,Inputs!$B$4&lt;&gt;"Chapter Hunt"),CHOOSE(ArtifactsInput!$N$22+1,10,12,14,16,18,20)*((0*(((0.15*B2199*5))^0/1)+1*(((0.15*B2199*5))^1/1)+2*(((0.15*B2199*5))^2/2)+3*(((0.15*B2199*5))^3/6)+4*(((0.15*B2199*5))^4/24)+5*(((0.15*B2199*5))^5/120))/((((0.15*B2199*5))^0/1)+(((0.15*B2199*5))^1/1)+(((0.15*B2199*5))^2/2)+(((0.15*B2199*5))^3/6)+(((0.15*B2199*5))^4/24)+(((0.15*B2199*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2167*(1-MIN(100,(Inputs!$B$9+((C2187=TRUE)*(F2187-Calc!F26))+B2195+(ArtifactsInput!$M$24-ArtifactsInput!$M$24)*CHOOSE(ArtifactsInput!$N$24+1,10,12,14,16,18,20)+(IF(AND(Inputs!$B$39&lt;&gt;"pvp",Inputs!$B$44=0),1,IF(IF(Inputs!$B$39="pvp",15,Inputs!$B$44)-(B2206)&lt;=0,1,MAX(0,IF(Inputs!$B$39="pvp",15,Inputs!$B$44)-MAX(5,B2206))/(IF(Inputs!$B$39="pvp",15,Inputs!$B$44)-(B2206))))*IF(AND(ArtifactsInput!$M$42,((Inputs!$B$9+((C2187=TRUE)*(F2187-Calc!F26))+B2195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2167*(MIN(100,(Inputs!$B$9+((C2187=TRUE)*(F2187-Calc!F26))+B2195+(ArtifactsInput!$M$24-ArtifactsInput!$M$24)*CHOOSE(ArtifactsInput!$N$24+1,10,12,14,16,18,20)+(IF(AND(Inputs!$B$39&lt;&gt;"pvp",Inputs!$B$44=0),1,IF(IF(Inputs!$B$39="pvp",15,Inputs!$B$44)-(B2206)&lt;=0,1,MAX(0,IF(Inputs!$B$39="pvp",15,Inputs!$B$44)-MAX(5,B2206))/(IF(Inputs!$B$39="pvp",15,Inputs!$B$44)-(B2206))))*IF(AND(ArtifactsInput!$M$42,((Inputs!$B$9+((C2187=TRUE)*(F2187-Calc!F26))+B2195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2167*(1-MIN(100,(Inputs!$B$9+((C2187=TRUE)*(F2187-Calc!F26))+B2195+(ArtifactsInput!$M$24-ArtifactsInput!$M$24)*CHOOSE(ArtifactsInput!$N$24+1,10,12,14,16,18,20)+(IF(AND(Inputs!$B$39&lt;&gt;"pvp",Inputs!$B$44=0),1,IF(IF(Inputs!$B$39="pvp",15,Inputs!$B$44)-(B2206)&lt;=0,1,MAX(0,IF(Inputs!$B$39="pvp",15,Inputs!$B$44)-MAX(5,B2206))/(IF(Inputs!$B$39="pvp",15,Inputs!$B$44)-(B2206))))*IF(AND(ArtifactsInput!$M$42,((Inputs!$B$9+((C2187=TRUE)*(F2187-Calc!F26))+B2195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2167*(MIN(100,(Inputs!$B$9+((C2187=TRUE)*(F2187-Calc!F26))+B2195+(ArtifactsInput!$M$24-ArtifactsInput!$M$24)*CHOOSE(ArtifactsInput!$N$24+1,10,12,14,16,18,20)+(IF(AND(Inputs!$B$39&lt;&gt;"pvp",Inputs!$B$44=0),1,IF(IF(Inputs!$B$39="pvp",15,Inputs!$B$44)-(B2206)&lt;=0,1,MAX(0,IF(Inputs!$B$39="pvp",15,Inputs!$B$44)-MAX(5,B2206))/(IF(Inputs!$B$39="pvp",15,Inputs!$B$44)-(B2206))))*IF(AND(ArtifactsInput!$M$42,((Inputs!$B$9+((C2187=TRUE)*(F2187-Calc!F26))+B2195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167">
        <f>IF(C2167,(H2167*N2167*IF(AND(Inputs!$B$39&lt;&gt;"pvp",Inputs!$B$44&gt;0),((Skills!G6*((R2167-1)*IF(Skills!H6&gt;0,Skills!I6/Skills!H6,1)+IF(Skills!H6&gt;0,MIN(Skills!I6,MAX(0,MAX(0,Inputs!$B$44-B2206)-((R2167-1)*IF(Inputs!$B$39="pvp",15,MAX(0.1,Skills!D6-IF(TRUE=TRUE,Inputs!$B$32,0))))))/Skills!H6,1)))/Inputs!$B$44),G2167*Q2167))*IF(Inputs!$B$39="pvp",1,(1+(Inputs!$B$21+Skills!Q6+B2196+(IF(ArtifactsInput!$M$33,CHOOSE(ArtifactsInput!$N$33+1,30,36,42,48,54,60),0))+(IF(AND(ArtifactsInput!$M$35,Inputs!$B$4&lt;&gt;"Chapter Hunt"),CHOOSE(ArtifactsInput!$N$35+1,15,18,21,24,27,30)*(1-EXP(-(0.2*B2199)*5)),0)+IF(AND(ArtifactsInput!$M$22,Inputs!$B$4&lt;&gt;"Chapter Hunt"),CHOOSE(ArtifactsInput!$N$22+1,10,12,14,16,18,20)*((0*(((0.15*B2199*5))^0/1)+1*(((0.15*B2199*5))^1/1)+2*(((0.15*B2199*5))^2/2)+3*(((0.15*B2199*5))^3/6)+4*(((0.15*B2199*5))^4/24)+5*(((0.15*B2199*5))^5/120))/((((0.15*B2199*5))^0/1)+(((0.15*B2199*5))^1/1)+(((0.15*B2199*5))^2/2)+(((0.15*B2199*5))^3/6)+(((0.15*B2199*5))^4/24)+(((0.15*B2199*5))^5/120))),0)))/100)*(MIN(Skills!W6,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168">
      <c r="A2168">
        <f>Skills!A7</f>
        <v/>
      </c>
      <c r="B2168">
        <f>Skills!B7</f>
        <v/>
      </c>
      <c r="C2168">
        <f>Inputs!$B$3&gt;=69</f>
        <v/>
      </c>
      <c r="D2168">
        <f>IF(Skills!C7=1,60+Inputs!$B$25+Inputs!$B$29,IF(Skills!C7=2,90+Inputs!$B$26+Inputs!$B$29,IF(Skills!C7=3,120+Inputs!$B$27+Inputs!$B$29,MAX(0,(Inputs!$B$3-100)*3)+Inputs!$B$28+Inputs!$B$29)))</f>
        <v/>
      </c>
      <c r="E2168">
        <f>INDEX(FactorTable!$B$2:$Y$301, MATCH(ROUND(MIN(300,MAX(1,D2168)),0), FactorTable!$A$2:$A$301,0), Skills!M7+1)</f>
        <v/>
      </c>
      <c r="F2168">
        <f>IF(Skills!N7=TRUE,(Skills!L7/10)*(E2168/1000),Skills!L7/10)+Skills!O7</f>
        <v/>
      </c>
      <c r="G2168">
        <f>Skills!G7*IF(Skills!H7&gt;0,IF(Inputs!$B$39="pvp",MIN(Skills!I7,15),Skills!I7)/Skills!H7,1)</f>
        <v/>
      </c>
      <c r="H2168">
        <f>1-(1-Skills!J7/100)^Skills!K7</f>
        <v/>
      </c>
      <c r="I2168" t="inlineStr">
        <is>
          <t>1</t>
        </is>
      </c>
      <c r="J2168">
        <f>((Inputs!$B$6*(1+Inputs!$B$7/100))+(((Inputs!$B$12*(1+Inputs!$B$13/100))-(Inputs!$B$12*(1+Inputs!$B$13/100)))+0.25*(Inputs!$B$14-Inputs!$B$14))*(1+Inputs!$B$7/100))*(F2168/100)</f>
        <v/>
      </c>
      <c r="K2168">
        <f>J2168*(1+((Inputs!$B$12*(1+Inputs!$B$13/100))*0.01+Inputs!$B$14*0.0025)/100)*(1+Inputs!$B$15/100)*(1+Inputs!$B$16/100)*(5000/(6000+Inputs!$B$43*(1-(100*(1-(1-Inputs!$B$19/100)*(1-CHOOSE(ArtifactsInput!$N$40+1,5,6,7,8,9,10)/100)^(ArtifactsInput!$M$40-ArtifactsInput!$M$40)))/100)))*(1+(Inputs!$B$24+((C2192=TRUE)*(F2192-Calc!F31))+((C2179=TRUE)*(F2179-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2180=TRUE,F2180,0)/100)*(1+(IF(Skills!A7="CRUEL_STAB",Inputs!$B$17+((C2189=TRUE)*(F2189-Calc!F28))+((IF(AND(Inputs!$B$39&lt;&gt;"pvp",Inputs!$B$44=0),1,IF(IF(Inputs!$B$39="pvp",15,Inputs!$B$44)-(B2206)&lt;=0,1,MAX(0,IF(Inputs!$B$39="pvp",15,Inputs!$B$44)-MAX(5,B2206))/(IF(Inputs!$B$39="pvp",15,Inputs!$B$44)-(B2206))))*(IF(AND(ArtifactsInput!$M$42,((Inputs!$B$9+((C2187=TRUE)*(F2187-Calc!F26))+B2195+(ArtifactsInput!$M$24-ArtifactsInput!$M$24)*CHOOSE(ArtifactsInput!$N$24+1,10,12,14,16,18,20)+IF(ArtifactsInput!$M$10,CHOOSE(ArtifactsInput!$N$10+1,15,18,21,24,27,30)*(IF(Inputs!$B$39="pvp",MIN(15,15)/15,IF(AND(Inputs!$B$39&lt;&gt;"pvp",Inputs!$B$44&gt;0),MIN(15,Inputs!$B$44)/(Inputs!$B$44),0))),0)))&gt;=100),MIN(100,((Inputs!$B$9+((C2187=TRUE)*(F2187-Calc!F26))+B2195+(ArtifactsInput!$M$24-ArtifactsInput!$M$24)*CHOOSE(ArtifactsInput!$N$24+1,10,12,14,16,18,20)+IF(ArtifactsInput!$M$10,CHOOSE(ArtifactsInput!$N$10+1,15,18,21,24,27,30)*(IF(Inputs!$B$39="pvp",MIN(15,15)/15,IF(AND(Inputs!$B$39&lt;&gt;"pvp",Inputs!$B$44&gt;0),MIN(15,Inputs!$B$44)/(Inputs!$B$44),0))),0)))-100),0))*CHOOSE(ArtifactsInput!$N$42+1,0.6,0.72,0.84,0.96,1.08,1.2))),Inputs!$B$18+((C2190=TRUE)*(F2190-Calc!F29))+(IF(AND(Inputs!$B$39&lt;&gt;"pvp",Inputs!$B$44=0),1,IF(IF(Inputs!$B$39="pvp",15,Inputs!$B$44)-(B2206)&lt;=0,1,MAX(0,IF(Inputs!$B$39="pvp",15,Inputs!$B$44)-MAX(5,B2206))/(IF(Inputs!$B$39="pvp",15,Inputs!$B$44)-(B2206))))*IF(AND(ArtifactsInput!$M$42,((Inputs!$B$9+((C2187=TRUE)*(F2187-Calc!F26))+B2195+(ArtifactsInput!$M$24-ArtifactsInput!$M$24)*CHOOSE(ArtifactsInput!$N$24+1,10,12,14,16,18,20)+IF(ArtifactsInput!$M$10,CHOOSE(ArtifactsInput!$N$10+1,15,18,21,24,27,30)*(IF(Inputs!$B$39="pvp",MIN(15,15)/15,IF(AND(Inputs!$B$39&lt;&gt;"pvp",Inputs!$B$44&gt;0),MIN(15,Inputs!$B$44)/(Inputs!$B$44),0))),0)))&gt;=100),CHOOSE(ArtifactsInput!$N$42+1,40,48,56,64,72,80),0))))/100)*(((1+(((C2183=TRUE)*F2183*IF(AND(Inputs!$B$39&lt;&gt;"pvp",Inputs!$B$44&gt;0),(((R2183-1)*MIN((Skills!Y22*(1+Inputs!$B$34/100)),(1/Q2183))+MIN((Skills!Y22*(1+Inputs!$B$34/100)),MAX(0,Inputs!$B$44-((R2183-1)*(1/Q2183)))))/Inputs!$B$44),IF(Inputs!$B$39="pvp",MIN((Skills!Y22*(1+Inputs!$B$34/100)),15)/15,MIN(1,(Skills!Y22*(1+Inputs!$B$34/100))/(1/Q2183)))))+((C2164=TRUE)*F2164*3)+((C2166=TRUE)*F2166*(1-EXP(-0.75*B2199*5)))+((C2185=TRUE)*(F2185-Calc!F24))+(IF(IF(ArtifactsInput!$M$21,FALSE,TRUE),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2172=TRUE)*F2172*IF(AND(Inputs!$B$39&lt;&gt;"pvp",Inputs!$B$44&gt;0),(((R2172-1)*MIN((Skills!Y11*(1+Inputs!$B$34/100)),(1/Q2172))+MIN((Skills!Y11*(1+Inputs!$B$34/100)),MAX(0,Inputs!$B$44-((R2172-1)*(1/Q2172)))))/Inputs!$B$44),IF(Inputs!$B$39="pvp",MIN((Skills!Y11*(1+Inputs!$B$34/100)),15)/15,MIN(1,(Skills!Y11*(1+Inputs!$B$34/100))/(1/Q2172)))))/100)*(1+((C2177=TRUE)*F2177*IF(AND(Inputs!$B$39&lt;&gt;"pvp",Inputs!$B$44&gt;0),(((R2177-1)*MIN((Skills!Y16*(1+Inputs!$B$34/100)),(1/Q2177))+MIN((Skills!Y16*(1+Inputs!$B$34/100)),MAX(0,Inputs!$B$44-((R2177-1)*(1/Q2177)))))/Inputs!$B$44),IF(Inputs!$B$39="pvp",MIN((Skills!Y16*(1+Inputs!$B$34/100)),15)/15,MIN(1,(Skills!Y16*(1+Inputs!$B$34/100))/(1/Q2177)))))/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2197*I2168)</f>
        <v/>
      </c>
      <c r="L2168">
        <f>K2168*(MIN(Inputs!$B$22+((C2186=TRUE)*(F2186-Calc!F25)),(Inputs!$B$23+((C2191=TRUE)*(F2191-Calc!F30))+IF(ArtifactsInput!$M$15,CHOOSE(ArtifactsInput!$N$15+1,25,30,35,40,45,50)/100*(Inputs!$B$11-Inputs!$B$11),0)))/100+(Inputs!$B$23+((C2191=TRUE)*(F2191-Calc!F30))+IF(ArtifactsInput!$M$15,CHOOSE(ArtifactsInput!$N$15+1,25,30,35,40,45,50)/100*(Inputs!$B$11-Inputs!$B$11),0))/100)/2</f>
        <v/>
      </c>
      <c r="M2168">
        <f>L2168*(1+(Inputs!$B$10+((C2188=TRUE)*(F2188-Calc!F27))+B2202+(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2168">
        <f>L2168*(1-MIN((Inputs!$B$9+((C2187=TRUE)*(F2187-Calc!F26))+B2195+(ArtifactsInput!$M$24-ArtifactsInput!$M$24)*CHOOSE(ArtifactsInput!$N$24+1,10,12,14,16,18,20)+(IF(AND(Inputs!$B$39&lt;&gt;"pvp",Inputs!$B$44=0),1,IF(IF(Inputs!$B$39="pvp",15,Inputs!$B$44)-(B2206)&lt;=0,1,MAX(0,IF(Inputs!$B$39="pvp",15,Inputs!$B$44)-MAX(5,B2206))/(IF(Inputs!$B$39="pvp",15,Inputs!$B$44)-(B2206))))*IF(AND(ArtifactsInput!$M$42,((Inputs!$B$9+((C2187=TRUE)*(F2187-Calc!F26))+B2195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2168*(MIN((Inputs!$B$9+((C2187=TRUE)*(F2187-Calc!F26))+B2195+(ArtifactsInput!$M$24-ArtifactsInput!$M$24)*CHOOSE(ArtifactsInput!$N$24+1,10,12,14,16,18,20)+(IF(AND(Inputs!$B$39&lt;&gt;"pvp",Inputs!$B$44=0),1,IF(IF(Inputs!$B$39="pvp",15,Inputs!$B$44)-(B2206)&lt;=0,1,MAX(0,IF(Inputs!$B$39="pvp",15,Inputs!$B$44)-MAX(5,B2206))/(IF(Inputs!$B$39="pvp",15,Inputs!$B$44)-(B2206))))*IF(AND(ArtifactsInput!$M$42,((Inputs!$B$9+((C2187=TRUE)*(F2187-Calc!F26))+B2195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168">
        <f>(1-Summary!$B$11)*T2168+Summary!$B$11*V2168</f>
        <v/>
      </c>
      <c r="P2168">
        <f>IF(B2207=0,0,O2168/B2207)</f>
        <v/>
      </c>
      <c r="Q2168">
        <f>IFERROR(1/IF(Inputs!$B$39="pvp",15,MAX(0.1,Skills!D7-IF(TRUE=TRUE,Inputs!$B$32,0))),0)</f>
        <v/>
      </c>
      <c r="R2168">
        <f>IF(AND(Inputs!$B$39&lt;&gt;"pvp",Inputs!$B$44&gt;0),IF(MAX(0,Inputs!$B$44-B2206)&lt;=0,0,(INT(MAX(0,Inputs!$B$44-B2206)/IF(Inputs!$B$39="pvp",15,MAX(0.1,Skills!D7-IF(TRUE=TRUE,Inputs!$B$32,0))))+1)),0)</f>
        <v/>
      </c>
      <c r="S2168">
        <f>IFERROR(O2168/N2168,0)</f>
        <v/>
      </c>
      <c r="T2168">
        <f>IF(C2168,(H2168*N2168*IF(AND(Inputs!$B$39&lt;&gt;"pvp",Inputs!$B$44&gt;0),((Skills!G7*((R2168-1)*IF(Skills!H7&gt;0,Skills!I7/Skills!H7,1)+IF(Skills!H7&gt;0,MIN(Skills!I7,MAX(0,MAX(0,Inputs!$B$44-B2206)-((R2168-1)*IF(Inputs!$B$39="pvp",15,MAX(0.1,Skills!D7-IF(TRUE=TRUE,Inputs!$B$32,0))))))/Skills!H7,1)))/Inputs!$B$44),G2168*Q2168))*IF(Inputs!$B$39="pvp",1,1+(Inputs!$B$20+0+Skills!P7+B2196+(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Hunt"),CHOOSE(ArtifactsInput!$N$35+1,15,18,21,24,27,30)*(1-EXP(-(0.2*B2199)*5)),0)+IF(AND(ArtifactsInput!$M$22,Inputs!$B$4&lt;&gt;"Chapter Hunt"),CHOOSE(ArtifactsInput!$N$22+1,10,12,14,16,18,20)*((0*(((0.15*B2199*5))^0/1)+1*(((0.15*B2199*5))^1/1)+2*(((0.15*B2199*5))^2/2)+3*(((0.15*B2199*5))^3/6)+4*(((0.15*B2199*5))^4/24)+5*(((0.15*B2199*5))^5/120))/((((0.15*B2199*5))^0/1)+(((0.15*B2199*5))^1/1)+(((0.15*B2199*5))^2/2)+(((0.15*B2199*5))^3/6)+(((0.15*B2199*5))^4/24)+(((0.15*B2199*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2168*(1-MIN(100,(Inputs!$B$9+((C2187=TRUE)*(F2187-Calc!F26))+B2195+(ArtifactsInput!$M$24-ArtifactsInput!$M$24)*CHOOSE(ArtifactsInput!$N$24+1,10,12,14,16,18,20)+(IF(AND(Inputs!$B$39&lt;&gt;"pvp",Inputs!$B$44=0),1,IF(IF(Inputs!$B$39="pvp",15,Inputs!$B$44)-(B2206)&lt;=0,1,MAX(0,IF(Inputs!$B$39="pvp",15,Inputs!$B$44)-MAX(5,B2206))/(IF(Inputs!$B$39="pvp",15,Inputs!$B$44)-(B2206))))*IF(AND(ArtifactsInput!$M$42,((Inputs!$B$9+((C2187=TRUE)*(F2187-Calc!F26))+B2195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2168*(MIN(100,(Inputs!$B$9+((C2187=TRUE)*(F2187-Calc!F26))+B2195+(ArtifactsInput!$M$24-ArtifactsInput!$M$24)*CHOOSE(ArtifactsInput!$N$24+1,10,12,14,16,18,20)+(IF(AND(Inputs!$B$39&lt;&gt;"pvp",Inputs!$B$44=0),1,IF(IF(Inputs!$B$39="pvp",15,Inputs!$B$44)-(B2206)&lt;=0,1,MAX(0,IF(Inputs!$B$39="pvp",15,Inputs!$B$44)-MAX(5,B2206))/(IF(Inputs!$B$39="pvp",15,Inputs!$B$44)-(B2206))))*IF(AND(ArtifactsInput!$M$42,((Inputs!$B$9+((C2187=TRUE)*(F2187-Calc!F26))+B2195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2168*(1-MIN(100,(Inputs!$B$9+((C2187=TRUE)*(F2187-Calc!F26))+B2195+(ArtifactsInput!$M$24-ArtifactsInput!$M$24)*CHOOSE(ArtifactsInput!$N$24+1,10,12,14,16,18,20)+(IF(AND(Inputs!$B$39&lt;&gt;"pvp",Inputs!$B$44=0),1,IF(IF(Inputs!$B$39="pvp",15,Inputs!$B$44)-(B2206)&lt;=0,1,MAX(0,IF(Inputs!$B$39="pvp",15,Inputs!$B$44)-MAX(5,B2206))/(IF(Inputs!$B$39="pvp",15,Inputs!$B$44)-(B2206))))*IF(AND(ArtifactsInput!$M$42,((Inputs!$B$9+((C2187=TRUE)*(F2187-Calc!F26))+B2195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2168*(MIN(100,(Inputs!$B$9+((C2187=TRUE)*(F2187-Calc!F26))+B2195+(ArtifactsInput!$M$24-ArtifactsInput!$M$24)*CHOOSE(ArtifactsInput!$N$24+1,10,12,14,16,18,20)+(IF(AND(Inputs!$B$39&lt;&gt;"pvp",Inputs!$B$44=0),1,IF(IF(Inputs!$B$39="pvp",15,Inputs!$B$44)-(B2206)&lt;=0,1,MAX(0,IF(Inputs!$B$39="pvp",15,Inputs!$B$44)-MAX(5,B2206))/(IF(Inputs!$B$39="pvp",15,Inputs!$B$44)-(B2206))))*IF(AND(ArtifactsInput!$M$42,((Inputs!$B$9+((C2187=TRUE)*(F2187-Calc!F26))+B2195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168">
        <f>IF(C2168,(H2168*N2168*IF(AND(Inputs!$B$39&lt;&gt;"pvp",Inputs!$B$44&gt;0),((Skills!G7*((R2168-1)*IF(Skills!H7&gt;0,Skills!I7/Skills!H7,1)+IF(Skills!H7&gt;0,MIN(Skills!I7,MAX(0,MAX(0,Inputs!$B$44-B2206)-((R2168-1)*IF(Inputs!$B$39="pvp",15,MAX(0.1,Skills!D7-IF(TRUE=TRUE,Inputs!$B$32,0))))))/Skills!H7,1)))/Inputs!$B$44),G2168*Q2168))*IF(Inputs!$B$39="pvp",1,(1+(Inputs!$B$21+Skills!Q7+B2196+(IF(ArtifactsInput!$M$33,CHOOSE(ArtifactsInput!$N$33+1,30,36,42,48,54,60),0))+(IF(AND(ArtifactsInput!$M$35,Inputs!$B$4&lt;&gt;"Chapter Hunt"),CHOOSE(ArtifactsInput!$N$35+1,15,18,21,24,27,30)*(1-EXP(-(0.2*B2199)*5)),0)+IF(AND(ArtifactsInput!$M$22,Inputs!$B$4&lt;&gt;"Chapter Hunt"),CHOOSE(ArtifactsInput!$N$22+1,10,12,14,16,18,20)*((0*(((0.15*B2199*5))^0/1)+1*(((0.15*B2199*5))^1/1)+2*(((0.15*B2199*5))^2/2)+3*(((0.15*B2199*5))^3/6)+4*(((0.15*B2199*5))^4/24)+5*(((0.15*B2199*5))^5/120))/((((0.15*B2199*5))^0/1)+(((0.15*B2199*5))^1/1)+(((0.15*B2199*5))^2/2)+(((0.15*B2199*5))^3/6)+(((0.15*B2199*5))^4/24)+(((0.15*B2199*5))^5/120))),0)))/100)*(MIN(Skills!W7,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169">
      <c r="A2169">
        <f>Skills!A8</f>
        <v/>
      </c>
      <c r="B2169">
        <f>Skills!B8</f>
        <v/>
      </c>
      <c r="C2169">
        <f>Inputs!$B$3&gt;=60</f>
        <v/>
      </c>
      <c r="D2169">
        <f>IF(Skills!C8=1,60+Inputs!$B$25+Inputs!$B$29,IF(Skills!C8=2,90+Inputs!$B$26+Inputs!$B$29,IF(Skills!C8=3,120+Inputs!$B$27+Inputs!$B$29,MAX(0,(Inputs!$B$3-100)*3)+Inputs!$B$28+Inputs!$B$29)))</f>
        <v/>
      </c>
      <c r="E2169">
        <f>INDEX(FactorTable!$B$2:$Y$301, MATCH(ROUND(MIN(300,MAX(1,D2169)),0), FactorTable!$A$2:$A$301,0), Skills!M8+1)</f>
        <v/>
      </c>
      <c r="F2169">
        <f>IF(Skills!N8=TRUE,(Skills!L8/10)*(E2169/1000),Skills!L8/10)+Skills!O8</f>
        <v/>
      </c>
      <c r="G2169">
        <f>Skills!G8*IF(Skills!H8&gt;0,IF(Inputs!$B$39="pvp",MIN(Skills!I8,15),Skills!I8)/Skills!H8,1)</f>
        <v/>
      </c>
      <c r="H2169">
        <f>1-(1-Skills!J8/100)^Skills!K8</f>
        <v/>
      </c>
      <c r="I2169" t="inlineStr">
        <is>
          <t>1</t>
        </is>
      </c>
      <c r="J2169" t="inlineStr"/>
      <c r="K2169" t="inlineStr"/>
      <c r="L2169" t="inlineStr"/>
      <c r="M2169" t="inlineStr"/>
      <c r="N2169" t="inlineStr"/>
      <c r="O2169">
        <f>(1-Summary!$B$11)*T2169+Summary!$B$11*V2169</f>
        <v/>
      </c>
      <c r="P2169">
        <f>IF(B2207=0,0,O2169/B2207)</f>
        <v/>
      </c>
      <c r="Q2169" t="n">
        <v>0</v>
      </c>
      <c r="R2169" t="n">
        <v>0</v>
      </c>
      <c r="S2169">
        <f>IFERROR(O2169/N2169,0)</f>
        <v/>
      </c>
      <c r="T2169" t="n">
        <v>0</v>
      </c>
      <c r="V2169" t="n">
        <v>0</v>
      </c>
    </row>
    <row r="2170">
      <c r="A2170">
        <f>Skills!A9</f>
        <v/>
      </c>
      <c r="B2170">
        <f>Skills!B9</f>
        <v/>
      </c>
      <c r="C2170">
        <f>Inputs!$B$3&gt;=72</f>
        <v/>
      </c>
      <c r="D2170">
        <f>IF(Skills!C9=1,60+Inputs!$B$25+Inputs!$B$29,IF(Skills!C9=2,90+Inputs!$B$26+Inputs!$B$29,IF(Skills!C9=3,120+Inputs!$B$27+Inputs!$B$29,MAX(0,(Inputs!$B$3-100)*3)+Inputs!$B$28+Inputs!$B$29)))</f>
        <v/>
      </c>
      <c r="E2170">
        <f>INDEX(FactorTable!$B$2:$Y$301, MATCH(ROUND(MIN(300,MAX(1,D2170)),0), FactorTable!$A$2:$A$301,0), Skills!M9+1)</f>
        <v/>
      </c>
      <c r="F2170">
        <f>IF(Skills!N9=TRUE,(Skills!L9/10)*(E2170/1000),Skills!L9/10)+Skills!O9</f>
        <v/>
      </c>
      <c r="G2170">
        <f>Skills!G9*IF(Skills!H9&gt;0,IF(Inputs!$B$39="pvp",MIN(Skills!I9,15),Skills!I9)/Skills!H9,1)</f>
        <v/>
      </c>
      <c r="H2170">
        <f>1-(1-Skills!J9/100)^Skills!K9</f>
        <v/>
      </c>
      <c r="I2170" t="inlineStr">
        <is>
          <t>1</t>
        </is>
      </c>
      <c r="J2170">
        <f>((Inputs!$B$6*(1+Inputs!$B$7/100))+(((Inputs!$B$12*(1+Inputs!$B$13/100))-(Inputs!$B$12*(1+Inputs!$B$13/100)))+0.25*(Inputs!$B$14-Inputs!$B$14))*(1+Inputs!$B$7/100))*(F2170/100)</f>
        <v/>
      </c>
      <c r="K2170">
        <f>J2170*(1+((Inputs!$B$12*(1+Inputs!$B$13/100))*0.01+Inputs!$B$14*0.0025)/100)*(1+Inputs!$B$15/100)*(1+Inputs!$B$16/100)*(5000/(6000+Inputs!$B$43*(1-(100*(1-(1-Inputs!$B$19/100)*(1-CHOOSE(ArtifactsInput!$N$40+1,5,6,7,8,9,10)/100)^(ArtifactsInput!$M$40-ArtifactsInput!$M$40)))/100)))*(1+(Inputs!$B$24+((C2192=TRUE)*(F2192-Calc!F31))+((C2179=TRUE)*(F2179-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+3.3333333333333335*IF(C2180=TRUE,F2180,0)/100)*(1+(IF(Skills!A9="CRUEL_STAB",Inputs!$B$17+((C2189=TRUE)*(F2189-Calc!F28))+((IF(AND(Inputs!$B$39&lt;&gt;"pvp",Inputs!$B$44=0),1,IF(IF(Inputs!$B$39="pvp",15,Inputs!$B$44)-(B2206)&lt;=0,1,MAX(0,IF(Inputs!$B$39="pvp",15,Inputs!$B$44)-MAX(5,B2206))/(IF(Inputs!$B$39="pvp",15,Inputs!$B$44)-(B2206))))*(IF(AND(ArtifactsInput!$M$42,((Inputs!$B$9+((C2187=TRUE)*(F2187-Calc!F26))+B2195+(ArtifactsInput!$M$24-ArtifactsInput!$M$24)*CHOOSE(ArtifactsInput!$N$24+1,10,12,14,16,18,20)+IF(ArtifactsInput!$M$10,CHOOSE(ArtifactsInput!$N$10+1,15,18,21,24,27,30)*(IF(Inputs!$B$39="pvp",MIN(15,15)/15,IF(AND(Inputs!$B$39&lt;&gt;"pvp",Inputs!$B$44&gt;0),MIN(15,Inputs!$B$44)/(Inputs!$B$44),0))),0)))&gt;=100),MIN(100,((Inputs!$B$9+((C2187=TRUE)*(F2187-Calc!F26))+B2195+(ArtifactsInput!$M$24-ArtifactsInput!$M$24)*CHOOSE(ArtifactsInput!$N$24+1,10,12,14,16,18,20)+IF(ArtifactsInput!$M$10,CHOOSE(ArtifactsInput!$N$10+1,15,18,21,24,27,30)*(IF(Inputs!$B$39="pvp",MIN(15,15)/15,IF(AND(Inputs!$B$39&lt;&gt;"pvp",Inputs!$B$44&gt;0),MIN(15,Inputs!$B$44)/(Inputs!$B$44),0))),0)))-100),0))*CHOOSE(ArtifactsInput!$N$42+1,0.6,0.72,0.84,0.96,1.08,1.2))),Inputs!$B$18+((C2190=TRUE)*(F2190-Calc!F29))+(IF(AND(Inputs!$B$39&lt;&gt;"pvp",Inputs!$B$44=0),1,IF(IF(Inputs!$B$39="pvp",15,Inputs!$B$44)-(B2206)&lt;=0,1,MAX(0,IF(Inputs!$B$39="pvp",15,Inputs!$B$44)-MAX(5,B2206))/(IF(Inputs!$B$39="pvp",15,Inputs!$B$44)-(B2206))))*IF(AND(ArtifactsInput!$M$42,((Inputs!$B$9+((C2187=TRUE)*(F2187-Calc!F26))+B2195+(ArtifactsInput!$M$24-ArtifactsInput!$M$24)*CHOOSE(ArtifactsInput!$N$24+1,10,12,14,16,18,20)+IF(ArtifactsInput!$M$10,CHOOSE(ArtifactsInput!$N$10+1,15,18,21,24,27,30)*(IF(Inputs!$B$39="pvp",MIN(15,15)/15,IF(AND(Inputs!$B$39&lt;&gt;"pvp",Inputs!$B$44&gt;0),MIN(15,Inputs!$B$44)/(Inputs!$B$44),0))),0)))&gt;=100),CHOOSE(ArtifactsInput!$N$42+1,40,48,56,64,72,80),0))))/100)*(((1+(((C2183=TRUE)*F2183*IF(AND(Inputs!$B$39&lt;&gt;"pvp",Inputs!$B$44&gt;0),(((R2183-1)*MIN((Skills!Y22*(1+Inputs!$B$34/100)),(1/Q2183))+MIN((Skills!Y22*(1+Inputs!$B$34/100)),MAX(0,Inputs!$B$44-((R2183-1)*(1/Q2183)))))/Inputs!$B$44),IF(Inputs!$B$39="pvp",MIN((Skills!Y22*(1+Inputs!$B$34/100)),15)/15,MIN(1,(Skills!Y22*(1+Inputs!$B$34/100))/(1/Q2183)))))+((C2164=TRUE)*F2164*3)+((C2166=TRUE)*F2166*(1-EXP(-0.75*B2199*5)))+((C2185=TRUE)*(F2185-Calc!F24))+(IF(IF(ArtifactsInput!$M$21,FALSE,TRUE),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2172=TRUE)*F2172*IF(AND(Inputs!$B$39&lt;&gt;"pvp",Inputs!$B$44&gt;0),(((R2172-1)*MIN((Skills!Y11*(1+Inputs!$B$34/100)),(1/Q2172))+MIN((Skills!Y11*(1+Inputs!$B$34/100)),MAX(0,Inputs!$B$44-((R2172-1)*(1/Q2172)))))/Inputs!$B$44),IF(Inputs!$B$39="pvp",MIN((Skills!Y11*(1+Inputs!$B$34/100)),15)/15,MIN(1,(Skills!Y11*(1+Inputs!$B$34/100))/(1/Q2172)))))/100)*(1+((C2177=TRUE)*F2177*IF(AND(Inputs!$B$39&lt;&gt;"pvp",Inputs!$B$44&gt;0),(((R2177-1)*MIN((Skills!Y16*(1+Inputs!$B$34/100)),(1/Q2177))+MIN((Skills!Y16*(1+Inputs!$B$34/100)),MAX(0,Inputs!$B$44-((R2177-1)*(1/Q2177)))))/Inputs!$B$44),IF(Inputs!$B$39="pvp",MIN((Skills!Y16*(1+Inputs!$B$34/100)),15)/15,MIN(1,(Skills!Y16*(1+Inputs!$B$34/100))/(1/Q2177)))))/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2197*I2170)</f>
        <v/>
      </c>
      <c r="L2170">
        <f>K2170*(MIN(Inputs!$B$22+((C2186=TRUE)*(F2186-Calc!F25)),(Inputs!$B$23+((C2191=TRUE)*(F2191-Calc!F30))+IF(ArtifactsInput!$M$15,CHOOSE(ArtifactsInput!$N$15+1,25,30,35,40,45,50)/100*(Inputs!$B$11-Inputs!$B$11),0)))/100+(Inputs!$B$23+((C2191=TRUE)*(F2191-Calc!F30))+IF(ArtifactsInput!$M$15,CHOOSE(ArtifactsInput!$N$15+1,25,30,35,40,45,50)/100*(Inputs!$B$11-Inputs!$B$11),0))/100)/2</f>
        <v/>
      </c>
      <c r="M2170">
        <f>L2170*(1+(Inputs!$B$10+((C2188=TRUE)*(F2188-Calc!F27))+B2202+(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2170">
        <f>L2170*(1-MIN((Inputs!$B$9+((C2187=TRUE)*(F2187-Calc!F26))+B2195+(ArtifactsInput!$M$24-ArtifactsInput!$M$24)*CHOOSE(ArtifactsInput!$N$24+1,10,12,14,16,18,20)+(IF(AND(Inputs!$B$39&lt;&gt;"pvp",Inputs!$B$44=0),1,IF(IF(Inputs!$B$39="pvp",15,Inputs!$B$44)-(B2206)&lt;=0,1,MAX(0,IF(Inputs!$B$39="pvp",15,Inputs!$B$44)-MAX(5,B2206))/(IF(Inputs!$B$39="pvp",15,Inputs!$B$44)-(B2206))))*IF(AND(ArtifactsInput!$M$42,((Inputs!$B$9+((C2187=TRUE)*(F2187-Calc!F26))+B2195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2170*(MIN((Inputs!$B$9+((C2187=TRUE)*(F2187-Calc!F26))+B2195+(ArtifactsInput!$M$24-ArtifactsInput!$M$24)*CHOOSE(ArtifactsInput!$N$24+1,10,12,14,16,18,20)+(IF(AND(Inputs!$B$39&lt;&gt;"pvp",Inputs!$B$44=0),1,IF(IF(Inputs!$B$39="pvp",15,Inputs!$B$44)-(B2206)&lt;=0,1,MAX(0,IF(Inputs!$B$39="pvp",15,Inputs!$B$44)-MAX(5,B2206))/(IF(Inputs!$B$39="pvp",15,Inputs!$B$44)-(B2206))))*IF(AND(ArtifactsInput!$M$42,((Inputs!$B$9+((C2187=TRUE)*(F2187-Calc!F26))+B2195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170">
        <f>(1-Summary!$B$11)*T2170+Summary!$B$11*V2170</f>
        <v/>
      </c>
      <c r="P2170">
        <f>IF(B2207=0,0,O2170/B2207)</f>
        <v/>
      </c>
      <c r="Q2170">
        <f>IFERROR(1/IF(Inputs!$B$39="pvp",15,MAX(0.1,Skills!D9-IF(FALSE=TRUE,Inputs!$B$32,0))),0)</f>
        <v/>
      </c>
      <c r="R2170">
        <f>IF(AND(Inputs!$B$39&lt;&gt;"pvp",Inputs!$B$44&gt;0),IF(MAX(0,Inputs!$B$44-B2206)&lt;=0,0,(INT(MAX(0,Inputs!$B$44-B2206)/IF(Inputs!$B$39="pvp",15,MAX(0.1,Skills!D9-IF(FALSE=TRUE,Inputs!$B$32,0))))+1)),0)</f>
        <v/>
      </c>
      <c r="S2170">
        <f>IFERROR(O2170/N2170,0)</f>
        <v/>
      </c>
      <c r="T2170">
        <f>IF(C2170,(H2170*N2170*IF(AND(Inputs!$B$39&lt;&gt;"pvp",Inputs!$B$44&gt;0),((Skills!G9*((R2170-1)*IF(Skills!H9&gt;0,Skills!I9/Skills!H9,1)+IF(Skills!H9&gt;0,MIN(Skills!I9,MAX(0,MAX(0,Inputs!$B$44-B2206)-((R2170-1)*IF(Inputs!$B$39="pvp",15,MAX(0.1,Skills!D9-IF(FALSE=TRUE,Inputs!$B$32,0))))))/Skills!H9,1)))/Inputs!$B$44),G2170*Q2170))*IF(Inputs!$B$39="pvp",1,1+(Inputs!$B$20+0+Skills!P9+B2196+(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Hunt"),CHOOSE(ArtifactsInput!$N$35+1,15,18,21,24,27,30)*(1-EXP(-(0.2*B2199)*5)),0)+IF(AND(ArtifactsInput!$M$22,Inputs!$B$4&lt;&gt;"Chapter Hunt"),CHOOSE(ArtifactsInput!$N$22+1,10,12,14,16,18,20)*((0*(((0.15*B2199*5))^0/1)+1*(((0.15*B2199*5))^1/1)+2*(((0.15*B2199*5))^2/2)+3*(((0.15*B2199*5))^3/6)+4*(((0.15*B2199*5))^4/24)+5*(((0.15*B2199*5))^5/120))/((((0.15*B2199*5))^0/1)+(((0.15*B2199*5))^1/1)+(((0.15*B2199*5))^2/2)+(((0.15*B2199*5))^3/6)+(((0.15*B2199*5))^4/24)+(((0.15*B2199*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2170*(1-MIN(100,(Inputs!$B$9+((C2187=TRUE)*(F2187-Calc!F26))+B2195+(ArtifactsInput!$M$24-ArtifactsInput!$M$24)*CHOOSE(ArtifactsInput!$N$24+1,10,12,14,16,18,20)+(IF(AND(Inputs!$B$39&lt;&gt;"pvp",Inputs!$B$44=0),1,IF(IF(Inputs!$B$39="pvp",15,Inputs!$B$44)-(B2206)&lt;=0,1,MAX(0,IF(Inputs!$B$39="pvp",15,Inputs!$B$44)-MAX(5,B2206))/(IF(Inputs!$B$39="pvp",15,Inputs!$B$44)-(B2206))))*IF(AND(ArtifactsInput!$M$42,((Inputs!$B$9+((C2187=TRUE)*(F2187-Calc!F26))+B2195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2170*(MIN(100,(Inputs!$B$9+((C2187=TRUE)*(F2187-Calc!F26))+B2195+(ArtifactsInput!$M$24-ArtifactsInput!$M$24)*CHOOSE(ArtifactsInput!$N$24+1,10,12,14,16,18,20)+(IF(AND(Inputs!$B$39&lt;&gt;"pvp",Inputs!$B$44=0),1,IF(IF(Inputs!$B$39="pvp",15,Inputs!$B$44)-(B2206)&lt;=0,1,MAX(0,IF(Inputs!$B$39="pvp",15,Inputs!$B$44)-MAX(5,B2206))/(IF(Inputs!$B$39="pvp",15,Inputs!$B$44)-(B2206))))*IF(AND(ArtifactsInput!$M$42,((Inputs!$B$9+((C2187=TRUE)*(F2187-Calc!F26))+B2195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2170*(1-MIN(100,(Inputs!$B$9+((C2187=TRUE)*(F2187-Calc!F26))+B2195+(ArtifactsInput!$M$24-ArtifactsInput!$M$24)*CHOOSE(ArtifactsInput!$N$24+1,10,12,14,16,18,20)+(IF(AND(Inputs!$B$39&lt;&gt;"pvp",Inputs!$B$44=0),1,IF(IF(Inputs!$B$39="pvp",15,Inputs!$B$44)-(B2206)&lt;=0,1,MAX(0,IF(Inputs!$B$39="pvp",15,Inputs!$B$44)-MAX(5,B2206))/(IF(Inputs!$B$39="pvp",15,Inputs!$B$44)-(B2206))))*IF(AND(ArtifactsInput!$M$42,((Inputs!$B$9+((C2187=TRUE)*(F2187-Calc!F26))+B2195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2170*(MIN(100,(Inputs!$B$9+((C2187=TRUE)*(F2187-Calc!F26))+B2195+(ArtifactsInput!$M$24-ArtifactsInput!$M$24)*CHOOSE(ArtifactsInput!$N$24+1,10,12,14,16,18,20)+(IF(AND(Inputs!$B$39&lt;&gt;"pvp",Inputs!$B$44=0),1,IF(IF(Inputs!$B$39="pvp",15,Inputs!$B$44)-(B2206)&lt;=0,1,MAX(0,IF(Inputs!$B$39="pvp",15,Inputs!$B$44)-MAX(5,B2206))/(IF(Inputs!$B$39="pvp",15,Inputs!$B$44)-(B2206))))*IF(AND(ArtifactsInput!$M$42,((Inputs!$B$9+((C2187=TRUE)*(F2187-Calc!F26))+B2195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170">
        <f>IF(C2170,(H2170*N2170*IF(AND(Inputs!$B$39&lt;&gt;"pvp",Inputs!$B$44&gt;0),((Skills!G9*((R2170-1)*IF(Skills!H9&gt;0,Skills!I9/Skills!H9,1)+IF(Skills!H9&gt;0,MIN(Skills!I9,MAX(0,MAX(0,Inputs!$B$44-B2206)-((R2170-1)*IF(Inputs!$B$39="pvp",15,MAX(0.1,Skills!D9-IF(FALSE=TRUE,Inputs!$B$32,0))))))/Skills!H9,1)))/Inputs!$B$44),G2170*Q2170))*IF(Inputs!$B$39="pvp",1,(1+(Inputs!$B$21+Skills!Q9+B2196+(IF(ArtifactsInput!$M$33,CHOOSE(ArtifactsInput!$N$33+1,30,36,42,48,54,60),0))+(IF(AND(ArtifactsInput!$M$35,Inputs!$B$4&lt;&gt;"Chapter Hunt"),CHOOSE(ArtifactsInput!$N$35+1,15,18,21,24,27,30)*(1-EXP(-(0.2*B2199)*5)),0)+IF(AND(ArtifactsInput!$M$22,Inputs!$B$4&lt;&gt;"Chapter Hunt"),CHOOSE(ArtifactsInput!$N$22+1,10,12,14,16,18,20)*((0*(((0.15*B2199*5))^0/1)+1*(((0.15*B2199*5))^1/1)+2*(((0.15*B2199*5))^2/2)+3*(((0.15*B2199*5))^3/6)+4*(((0.15*B2199*5))^4/24)+5*(((0.15*B2199*5))^5/120))/((((0.15*B2199*5))^0/1)+(((0.15*B2199*5))^1/1)+(((0.15*B2199*5))^2/2)+(((0.15*B2199*5))^3/6)+(((0.15*B2199*5))^4/24)+(((0.15*B2199*5))^5/120))),0)))/100)*(MIN(Skills!W9,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171">
      <c r="A2171">
        <f>Skills!A10</f>
        <v/>
      </c>
      <c r="B2171">
        <f>Skills!B10</f>
        <v/>
      </c>
      <c r="C2171">
        <f>Inputs!$B$3&gt;=117</f>
        <v/>
      </c>
      <c r="D2171">
        <f>IF(Skills!C10=1,60+Inputs!$B$25+Inputs!$B$29,IF(Skills!C10=2,90+Inputs!$B$26+Inputs!$B$29,IF(Skills!C10=3,120+Inputs!$B$27+Inputs!$B$29,MAX(0,(Inputs!$B$3-100)*3)+Inputs!$B$28+Inputs!$B$29)))</f>
        <v/>
      </c>
      <c r="E2171">
        <f>INDEX(FactorTable!$B$2:$Y$301, MATCH(ROUND(MIN(300,MAX(1,D2171)),0), FactorTable!$A$2:$A$301,0), Skills!M10+1)</f>
        <v/>
      </c>
      <c r="F2171">
        <f>IF(Skills!N10=TRUE,(Skills!L10/10)*(E2171/1000),Skills!L10/10)+Skills!O10</f>
        <v/>
      </c>
      <c r="G2171">
        <f>Skills!G10*IF(Skills!H10&gt;0,IF(Inputs!$B$39="pvp",MIN(Skills!I10,15),Skills!I10)/Skills!H10,1)</f>
        <v/>
      </c>
      <c r="H2171">
        <f>1-(1-Skills!J10/100)^Skills!K10</f>
        <v/>
      </c>
      <c r="I2171" t="inlineStr">
        <is>
          <t>1</t>
        </is>
      </c>
      <c r="J2171">
        <f>((Inputs!$B$6*(1+Inputs!$B$7/100))+(((Inputs!$B$12*(1+Inputs!$B$13/100))-(Inputs!$B$12*(1+Inputs!$B$13/100)))+0.25*(Inputs!$B$14-Inputs!$B$14))*(1+Inputs!$B$7/100))*(F2171/100)</f>
        <v/>
      </c>
      <c r="K2171">
        <f>J2171*(1+((Inputs!$B$12*(1+Inputs!$B$13/100))*0.01+Inputs!$B$14*0.0025)/100)*(1+Inputs!$B$15/100)*(1+Inputs!$B$16/100)*(5000/(6000+Inputs!$B$43*(1-(100*(1-(1-Inputs!$B$19/100)*(1-CHOOSE(ArtifactsInput!$N$40+1,5,6,7,8,9,10)/100)^(ArtifactsInput!$M$40-ArtifactsInput!$M$40)))/100)))*(1+(Inputs!$B$24+((C2192=TRUE)*(F2192-Calc!F31))+((C2179=TRUE)*(F2179-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10="CRUEL_STAB",Inputs!$B$17+((C2189=TRUE)*(F2189-Calc!F28))+((IF(AND(Inputs!$B$39&lt;&gt;"pvp",Inputs!$B$44=0),1,IF(IF(Inputs!$B$39="pvp",15,Inputs!$B$44)-(B2206)&lt;=0,1,MAX(0,IF(Inputs!$B$39="pvp",15,Inputs!$B$44)-MAX(5,B2206))/(IF(Inputs!$B$39="pvp",15,Inputs!$B$44)-(B2206))))*(IF(AND(ArtifactsInput!$M$42,((Inputs!$B$9+((C2187=TRUE)*(F2187-Calc!F26))+B2195+(ArtifactsInput!$M$24-ArtifactsInput!$M$24)*CHOOSE(ArtifactsInput!$N$24+1,10,12,14,16,18,20)+IF(ArtifactsInput!$M$10,CHOOSE(ArtifactsInput!$N$10+1,15,18,21,24,27,30)*(IF(Inputs!$B$39="pvp",MIN(15,15)/15,IF(AND(Inputs!$B$39&lt;&gt;"pvp",Inputs!$B$44&gt;0),MIN(15,Inputs!$B$44)/(Inputs!$B$44),0))),0)))&gt;=100),MIN(100,((Inputs!$B$9+((C2187=TRUE)*(F2187-Calc!F26))+B2195+(ArtifactsInput!$M$24-ArtifactsInput!$M$24)*CHOOSE(ArtifactsInput!$N$24+1,10,12,14,16,18,20)+IF(ArtifactsInput!$M$10,CHOOSE(ArtifactsInput!$N$10+1,15,18,21,24,27,30)*(IF(Inputs!$B$39="pvp",MIN(15,15)/15,IF(AND(Inputs!$B$39&lt;&gt;"pvp",Inputs!$B$44&gt;0),MIN(15,Inputs!$B$44)/(Inputs!$B$44),0))),0)))-100),0))*CHOOSE(ArtifactsInput!$N$42+1,0.6,0.72,0.84,0.96,1.08,1.2))),Inputs!$B$18+((C2190=TRUE)*(F2190-Calc!F29))+(IF(AND(Inputs!$B$39&lt;&gt;"pvp",Inputs!$B$44=0),1,IF(IF(Inputs!$B$39="pvp",15,Inputs!$B$44)-(B2206)&lt;=0,1,MAX(0,IF(Inputs!$B$39="pvp",15,Inputs!$B$44)-MAX(5,B2206))/(IF(Inputs!$B$39="pvp",15,Inputs!$B$44)-(B2206))))*IF(AND(ArtifactsInput!$M$42,((Inputs!$B$9+((C2187=TRUE)*(F2187-Calc!F26))+B2195+(ArtifactsInput!$M$24-ArtifactsInput!$M$24)*CHOOSE(ArtifactsInput!$N$24+1,10,12,14,16,18,20)+IF(ArtifactsInput!$M$10,CHOOSE(ArtifactsInput!$N$10+1,15,18,21,24,27,30)*(IF(Inputs!$B$39="pvp",MIN(15,15)/15,IF(AND(Inputs!$B$39&lt;&gt;"pvp",Inputs!$B$44&gt;0),MIN(15,Inputs!$B$44)/(Inputs!$B$44),0))),0)))&gt;=100),CHOOSE(ArtifactsInput!$N$42+1,40,48,56,64,72,80),0))))/100)*(((1+(((C2183=TRUE)*F2183*IF(AND(Inputs!$B$39&lt;&gt;"pvp",Inputs!$B$44&gt;0),(((R2183-1)*MIN((Skills!Y22*(1+Inputs!$B$34/100)),(1/Q2183))+MIN((Skills!Y22*(1+Inputs!$B$34/100)),MAX(0,Inputs!$B$44-((R2183-1)*(1/Q2183)))))/Inputs!$B$44),IF(Inputs!$B$39="pvp",MIN((Skills!Y22*(1+Inputs!$B$34/100)),15)/15,MIN(1,(Skills!Y22*(1+Inputs!$B$34/100))/(1/Q2183)))))+((C2164=TRUE)*F2164*3)+((C2166=TRUE)*F2166*(1-EXP(-0.75*B2199*5)))+((C2185=TRUE)*(F2185-Calc!F24))+(IF(IF(ArtifactsInput!$M$21,FALSE,TRUE),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2172=TRUE)*F2172*IF(AND(Inputs!$B$39&lt;&gt;"pvp",Inputs!$B$44&gt;0),(((R2172-1)*MIN((Skills!Y11*(1+Inputs!$B$34/100)),(1/Q2172))+MIN((Skills!Y11*(1+Inputs!$B$34/100)),MAX(0,Inputs!$B$44-((R2172-1)*(1/Q2172)))))/Inputs!$B$44),IF(Inputs!$B$39="pvp",MIN((Skills!Y11*(1+Inputs!$B$34/100)),15)/15,MIN(1,(Skills!Y11*(1+Inputs!$B$34/100))/(1/Q2172)))))/100)*(1+((C2177=TRUE)*F2177*IF(AND(Inputs!$B$39&lt;&gt;"pvp",Inputs!$B$44&gt;0),(((R2177-1)*MIN((Skills!Y16*(1+Inputs!$B$34/100)),(1/Q2177))+MIN((Skills!Y16*(1+Inputs!$B$34/100)),MAX(0,Inputs!$B$44-((R2177-1)*(1/Q2177)))))/Inputs!$B$44),IF(Inputs!$B$39="pvp",MIN((Skills!Y16*(1+Inputs!$B$34/100)),15)/15,MIN(1,(Skills!Y16*(1+Inputs!$B$34/100))/(1/Q2177)))))/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2197*I2171)</f>
        <v/>
      </c>
      <c r="L2171">
        <f>K2171*(MIN(Inputs!$B$22+((C2186=TRUE)*(F2186-Calc!F25)),(Inputs!$B$23+((C2191=TRUE)*(F2191-Calc!F30))+IF(ArtifactsInput!$M$15,CHOOSE(ArtifactsInput!$N$15+1,25,30,35,40,45,50)/100*(Inputs!$B$11-Inputs!$B$11),0)))/100+(Inputs!$B$23+((C2191=TRUE)*(F2191-Calc!F30))+IF(ArtifactsInput!$M$15,CHOOSE(ArtifactsInput!$N$15+1,25,30,35,40,45,50)/100*(Inputs!$B$11-Inputs!$B$11),0))/100)/2</f>
        <v/>
      </c>
      <c r="M2171">
        <f>L2171*(1+(Inputs!$B$10+((C2188=TRUE)*(F2188-Calc!F27))+B2202+(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2171">
        <f>L2171*(1-MIN((Inputs!$B$9+((C2187=TRUE)*(F2187-Calc!F26))+B2195+(ArtifactsInput!$M$24-ArtifactsInput!$M$24)*CHOOSE(ArtifactsInput!$N$24+1,10,12,14,16,18,20)+(IF(AND(Inputs!$B$39&lt;&gt;"pvp",Inputs!$B$44=0),1,IF(IF(Inputs!$B$39="pvp",15,Inputs!$B$44)-(B2206)&lt;=0,1,MAX(0,IF(Inputs!$B$39="pvp",15,Inputs!$B$44)-MAX(5,B2206))/(IF(Inputs!$B$39="pvp",15,Inputs!$B$44)-(B2206))))*IF(AND(ArtifactsInput!$M$42,((Inputs!$B$9+((C2187=TRUE)*(F2187-Calc!F26))+B2195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2171*(MIN((Inputs!$B$9+((C2187=TRUE)*(F2187-Calc!F26))+B2195+(ArtifactsInput!$M$24-ArtifactsInput!$M$24)*CHOOSE(ArtifactsInput!$N$24+1,10,12,14,16,18,20)+(IF(AND(Inputs!$B$39&lt;&gt;"pvp",Inputs!$B$44=0),1,IF(IF(Inputs!$B$39="pvp",15,Inputs!$B$44)-(B2206)&lt;=0,1,MAX(0,IF(Inputs!$B$39="pvp",15,Inputs!$B$44)-MAX(5,B2206))/(IF(Inputs!$B$39="pvp",15,Inputs!$B$44)-(B2206))))*IF(AND(ArtifactsInput!$M$42,((Inputs!$B$9+((C2187=TRUE)*(F2187-Calc!F26))+B2195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171">
        <f>(1-Summary!$B$11)*T2171+Summary!$B$11*V2171</f>
        <v/>
      </c>
      <c r="P2171">
        <f>IF(B2207=0,0,O2171/B2207)</f>
        <v/>
      </c>
      <c r="Q2171" t="n">
        <v>0</v>
      </c>
      <c r="R2171" t="n">
        <v>0</v>
      </c>
      <c r="S2171" t="n">
        <v>0</v>
      </c>
      <c r="T2171">
        <f>IF(C2171,(0.2*SUMPRODUCT((Skills!Z2:Z31=TRUE)*(C2163:C2192=TRUE)*S2163:S2192)*N2171)*IF(Inputs!$B$39="pvp",1,1+(Inputs!$B$20+0+Skills!P10+B2196+(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Hunt"),CHOOSE(ArtifactsInput!$N$35+1,15,18,21,24,27,30)*(1-EXP(-(0.2*B2199)*5)),0)+IF(AND(ArtifactsInput!$M$22,Inputs!$B$4&lt;&gt;"Chapter Hunt"),CHOOSE(ArtifactsInput!$N$22+1,10,12,14,16,18,20)*((0*(((0.15*B2199*5))^0/1)+1*(((0.15*B2199*5))^1/1)+2*(((0.15*B2199*5))^2/2)+3*(((0.15*B2199*5))^3/6)+4*(((0.15*B2199*5))^4/24)+5*(((0.15*B2199*5))^5/120))/((((0.15*B2199*5))^0/1)+(((0.15*B2199*5))^1/1)+(((0.15*B2199*5))^2/2)+(((0.15*B2199*5))^3/6)+(((0.15*B2199*5))^4/24)+(((0.15*B2199*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2171*(1-MIN(100,(Inputs!$B$9+((C2187=TRUE)*(F2187-Calc!F26))+B2195+(ArtifactsInput!$M$24-ArtifactsInput!$M$24)*CHOOSE(ArtifactsInput!$N$24+1,10,12,14,16,18,20)+(IF(AND(Inputs!$B$39&lt;&gt;"pvp",Inputs!$B$44=0),1,IF(IF(Inputs!$B$39="pvp",15,Inputs!$B$44)-(B2206)&lt;=0,1,MAX(0,IF(Inputs!$B$39="pvp",15,Inputs!$B$44)-MAX(5,B2206))/(IF(Inputs!$B$39="pvp",15,Inputs!$B$44)-(B2206))))*IF(AND(ArtifactsInput!$M$42,((Inputs!$B$9+((C2187=TRUE)*(F2187-Calc!F26))+B2195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2171*(MIN(100,(Inputs!$B$9+((C2187=TRUE)*(F2187-Calc!F26))+B2195+(ArtifactsInput!$M$24-ArtifactsInput!$M$24)*CHOOSE(ArtifactsInput!$N$24+1,10,12,14,16,18,20)+(IF(AND(Inputs!$B$39&lt;&gt;"pvp",Inputs!$B$44=0),1,IF(IF(Inputs!$B$39="pvp",15,Inputs!$B$44)-(B2206)&lt;=0,1,MAX(0,IF(Inputs!$B$39="pvp",15,Inputs!$B$44)-MAX(5,B2206))/(IF(Inputs!$B$39="pvp",15,Inputs!$B$44)-(B2206))))*IF(AND(ArtifactsInput!$M$42,((Inputs!$B$9+((C2187=TRUE)*(F2187-Calc!F26))+B2195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2171*(1-MIN(100,(Inputs!$B$9+((C2187=TRUE)*(F2187-Calc!F26))+B2195+(ArtifactsInput!$M$24-ArtifactsInput!$M$24)*CHOOSE(ArtifactsInput!$N$24+1,10,12,14,16,18,20)+(IF(AND(Inputs!$B$39&lt;&gt;"pvp",Inputs!$B$44=0),1,IF(IF(Inputs!$B$39="pvp",15,Inputs!$B$44)-(B2206)&lt;=0,1,MAX(0,IF(Inputs!$B$39="pvp",15,Inputs!$B$44)-MAX(5,B2206))/(IF(Inputs!$B$39="pvp",15,Inputs!$B$44)-(B2206))))*IF(AND(ArtifactsInput!$M$42,((Inputs!$B$9+((C2187=TRUE)*(F2187-Calc!F26))+B2195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2171*(MIN(100,(Inputs!$B$9+((C2187=TRUE)*(F2187-Calc!F26))+B2195+(ArtifactsInput!$M$24-ArtifactsInput!$M$24)*CHOOSE(ArtifactsInput!$N$24+1,10,12,14,16,18,20)+(IF(AND(Inputs!$B$39&lt;&gt;"pvp",Inputs!$B$44=0),1,IF(IF(Inputs!$B$39="pvp",15,Inputs!$B$44)-(B2206)&lt;=0,1,MAX(0,IF(Inputs!$B$39="pvp",15,Inputs!$B$44)-MAX(5,B2206))/(IF(Inputs!$B$39="pvp",15,Inputs!$B$44)-(B2206))))*IF(AND(ArtifactsInput!$M$42,((Inputs!$B$9+((C2187=TRUE)*(F2187-Calc!F26))+B2195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171">
        <f>IF(C2171,(0.2*SUMPRODUCT((Skills!Z2:Z31=TRUE)*(C2163:C2192=TRUE)*S2163:S2192)*N2171)*IF(Inputs!$B$39="pvp",1,(1+(Inputs!$B$21+Skills!Q10+B2196+(IF(ArtifactsInput!$M$33,CHOOSE(ArtifactsInput!$N$33+1,30,36,42,48,54,60),0))+(IF(AND(ArtifactsInput!$M$35,Inputs!$B$4&lt;&gt;"Chapter Hunt"),CHOOSE(ArtifactsInput!$N$35+1,15,18,21,24,27,30)*(1-EXP(-(0.2*B2199)*5)),0)+IF(AND(ArtifactsInput!$M$22,Inputs!$B$4&lt;&gt;"Chapter Hunt"),CHOOSE(ArtifactsInput!$N$22+1,10,12,14,16,18,20)*((0*(((0.15*B2199*5))^0/1)+1*(((0.15*B2199*5))^1/1)+2*(((0.15*B2199*5))^2/2)+3*(((0.15*B2199*5))^3/6)+4*(((0.15*B2199*5))^4/24)+5*(((0.15*B2199*5))^5/120))/((((0.15*B2199*5))^0/1)+(((0.15*B2199*5))^1/1)+(((0.15*B2199*5))^2/2)+(((0.15*B2199*5))^3/6)+(((0.15*B2199*5))^4/24)+(((0.15*B2199*5))^5/120))),0)))/100)*(MIN(Skills!W10,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172">
      <c r="A2172">
        <f>Skills!A11</f>
        <v/>
      </c>
      <c r="B2172">
        <f>Skills!B11</f>
        <v/>
      </c>
      <c r="C2172">
        <f>Inputs!$B$3&gt;=74</f>
        <v/>
      </c>
      <c r="D2172">
        <f>IF(Skills!C11=1,60+Inputs!$B$25+Inputs!$B$29,IF(Skills!C11=2,90+Inputs!$B$26+Inputs!$B$29,IF(Skills!C11=3,120+Inputs!$B$27+Inputs!$B$29,MAX(0,(Inputs!$B$3-100)*3)+Inputs!$B$28+Inputs!$B$29)))</f>
        <v/>
      </c>
      <c r="E2172">
        <f>INDEX(FactorTable!$B$2:$Y$301, MATCH(ROUND(MIN(300,MAX(1,D2172)),0), FactorTable!$A$2:$A$301,0), Skills!M11+1)</f>
        <v/>
      </c>
      <c r="F2172">
        <f>IF(Skills!N11=TRUE,(Skills!L11/10)*(E2172/1000),Skills!L11/10)+Skills!O11</f>
        <v/>
      </c>
      <c r="G2172">
        <f>Skills!G11*IF(Skills!H11&gt;0,IF(Inputs!$B$39="pvp",MIN(Skills!I11,15),Skills!I11)/Skills!H11,1)</f>
        <v/>
      </c>
      <c r="H2172">
        <f>1-(1-Skills!J11/100)^Skills!K11</f>
        <v/>
      </c>
      <c r="I2172" t="inlineStr">
        <is>
          <t>1</t>
        </is>
      </c>
      <c r="J2172" t="inlineStr"/>
      <c r="K2172" t="inlineStr"/>
      <c r="L2172" t="inlineStr"/>
      <c r="M2172" t="inlineStr"/>
      <c r="N2172" t="inlineStr"/>
      <c r="O2172">
        <f>(1-Summary!$B$11)*T2172+Summary!$B$11*V2172</f>
        <v/>
      </c>
      <c r="P2172">
        <f>IF(B2207=0,0,O2172/B2207)</f>
        <v/>
      </c>
      <c r="Q2172">
        <f>IFERROR(1/IF(Inputs!$B$39="pvp",15,MAX(0.1,Skills!D11-IF(TRUE=TRUE,Inputs!$B$32,0))),0)</f>
        <v/>
      </c>
      <c r="R2172">
        <f>IF(AND(Inputs!$B$39&lt;&gt;"pvp",Inputs!$B$44&gt;0),IF(Inputs!$B$44&lt;=0,0,(INT(Inputs!$B$44/IF(Inputs!$B$39="pvp",15,MAX(0.1,Skills!D11-IF(TRUE=TRUE,Inputs!$B$32,0))))+1)),0)</f>
        <v/>
      </c>
      <c r="S2172">
        <f>IFERROR(O2172/N2172,0)</f>
        <v/>
      </c>
      <c r="T2172" t="n">
        <v>0</v>
      </c>
      <c r="V2172" t="n">
        <v>0</v>
      </c>
    </row>
    <row r="2173">
      <c r="A2173">
        <f>Skills!A12</f>
        <v/>
      </c>
      <c r="B2173">
        <f>Skills!B12</f>
        <v/>
      </c>
      <c r="C2173">
        <f>Inputs!$B$3&gt;=103</f>
        <v/>
      </c>
      <c r="D2173">
        <f>IF(Skills!C12=1,60+Inputs!$B$25+Inputs!$B$29,IF(Skills!C12=2,90+Inputs!$B$26+Inputs!$B$29,IF(Skills!C12=3,120+Inputs!$B$27+Inputs!$B$29,MAX(0,(Inputs!$B$3-100)*3)+Inputs!$B$28+Inputs!$B$29)))</f>
        <v/>
      </c>
      <c r="E2173">
        <f>INDEX(FactorTable!$B$2:$Y$301, MATCH(ROUND(MIN(300,MAX(1,D2173)),0), FactorTable!$A$2:$A$301,0), Skills!M12+1)</f>
        <v/>
      </c>
      <c r="F2173">
        <f>(Skills!L12/10)*(E2173/1000)+IF(Inputs!$B$3&gt;=134,50,0)+0.5*(30000/10)*(INDEX(FactorTable!$B$2:$Y$301, MATCH(ROUND(MIN(300,MAX(1,D2173)),0), FactorTable!$A$2:$A$301,0), 13)/1000)*B2205</f>
        <v/>
      </c>
      <c r="G2173">
        <f>Skills!G12*IF(Skills!H12&gt;0,IF(Inputs!$B$39="pvp",MIN(Skills!I12,15),Skills!I12)/Skills!H12,1)</f>
        <v/>
      </c>
      <c r="H2173">
        <f>1-(1-Skills!J12/100)^Skills!K12</f>
        <v/>
      </c>
      <c r="I2173" t="inlineStr">
        <is>
          <t>1</t>
        </is>
      </c>
      <c r="J2173">
        <f>((Inputs!$B$6*(1+Inputs!$B$7/100))+(((Inputs!$B$12*(1+Inputs!$B$13/100))-(Inputs!$B$12*(1+Inputs!$B$13/100)))+0.25*(Inputs!$B$14-Inputs!$B$14))*(1+Inputs!$B$7/100))*(F2173/100)</f>
        <v/>
      </c>
      <c r="K2173">
        <f>J2173*(1+((Inputs!$B$12*(1+Inputs!$B$13/100))*0.01+Inputs!$B$14*0.0025)/100)*(1+Inputs!$B$15/100)*(1+Inputs!$B$16/100)*(5000/(6000+Inputs!$B$43*(1-(100*(1-(1-Inputs!$B$19/100)*(1-CHOOSE(ArtifactsInput!$N$40+1,5,6,7,8,9,10)/100)^(ArtifactsInput!$M$40-ArtifactsInput!$M$40)))/100)))*(1+(Inputs!$B$24+((C2192=TRUE)*(F2192-Calc!F31))+((C2179=TRUE)*(F2179-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12="CRUEL_STAB",Inputs!$B$17+((C2189=TRUE)*(F2189-Calc!F28))+((IF(AND(Inputs!$B$39&lt;&gt;"pvp",Inputs!$B$44=0),1,IF(IF(Inputs!$B$39="pvp",15,Inputs!$B$44)-(B2206)&lt;=0,1,MAX(0,IF(Inputs!$B$39="pvp",15,Inputs!$B$44)-MAX(5,B2206))/(IF(Inputs!$B$39="pvp",15,Inputs!$B$44)-(B2206))))*(IF(AND(ArtifactsInput!$M$42,((Inputs!$B$9+((C2187=TRUE)*(F2187-Calc!F26))+B2195+(ArtifactsInput!$M$24-ArtifactsInput!$M$24)*CHOOSE(ArtifactsInput!$N$24+1,10,12,14,16,18,20)+IF(ArtifactsInput!$M$10,CHOOSE(ArtifactsInput!$N$10+1,15,18,21,24,27,30)*(IF(Inputs!$B$39="pvp",MIN(15,15)/15,IF(AND(Inputs!$B$39&lt;&gt;"pvp",Inputs!$B$44&gt;0),MIN(15,Inputs!$B$44)/(Inputs!$B$44),0))),0)))&gt;=100),MIN(100,((Inputs!$B$9+((C2187=TRUE)*(F2187-Calc!F26))+B2195+(ArtifactsInput!$M$24-ArtifactsInput!$M$24)*CHOOSE(ArtifactsInput!$N$24+1,10,12,14,16,18,20)+IF(ArtifactsInput!$M$10,CHOOSE(ArtifactsInput!$N$10+1,15,18,21,24,27,30)*(IF(Inputs!$B$39="pvp",MIN(15,15)/15,IF(AND(Inputs!$B$39&lt;&gt;"pvp",Inputs!$B$44&gt;0),MIN(15,Inputs!$B$44)/(Inputs!$B$44),0))),0)))-100),0))*CHOOSE(ArtifactsInput!$N$42+1,0.6,0.72,0.84,0.96,1.08,1.2))),Inputs!$B$18+((C2190=TRUE)*(F2190-Calc!F29))+(IF(AND(Inputs!$B$39&lt;&gt;"pvp",Inputs!$B$44=0),1,IF(IF(Inputs!$B$39="pvp",15,Inputs!$B$44)-(B2206)&lt;=0,1,MAX(0,IF(Inputs!$B$39="pvp",15,Inputs!$B$44)-MAX(5,B2206))/(IF(Inputs!$B$39="pvp",15,Inputs!$B$44)-(B2206))))*IF(AND(ArtifactsInput!$M$42,((Inputs!$B$9+((C2187=TRUE)*(F2187-Calc!F26))+B2195+(ArtifactsInput!$M$24-ArtifactsInput!$M$24)*CHOOSE(ArtifactsInput!$N$24+1,10,12,14,16,18,20)+IF(ArtifactsInput!$M$10,CHOOSE(ArtifactsInput!$N$10+1,15,18,21,24,27,30)*(IF(Inputs!$B$39="pvp",MIN(15,15)/15,IF(AND(Inputs!$B$39&lt;&gt;"pvp",Inputs!$B$44&gt;0),MIN(15,Inputs!$B$44)/(Inputs!$B$44),0))),0)))&gt;=100),CHOOSE(ArtifactsInput!$N$42+1,40,48,56,64,72,80),0))))/100)*(((1+(((C2183=TRUE)*F2183*IF(AND(Inputs!$B$39&lt;&gt;"pvp",Inputs!$B$44&gt;0),(((R2183-1)*MIN((Skills!Y22*(1+Inputs!$B$34/100)),(1/Q2183))+MIN((Skills!Y22*(1+Inputs!$B$34/100)),MAX(0,Inputs!$B$44-((R2183-1)*(1/Q2183)))))/Inputs!$B$44),IF(Inputs!$B$39="pvp",MIN((Skills!Y22*(1+Inputs!$B$34/100)),15)/15,MIN(1,(Skills!Y22*(1+Inputs!$B$34/100))/(1/Q2183)))))+((C2164=TRUE)*F2164*3)+((C2166=TRUE)*F2166*(1-EXP(-0.75*B2199*5)))+((C2185=TRUE)*(F2185-Calc!F24))+(IF(IF(ArtifactsInput!$M$21,FALSE,TRUE),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2172=TRUE)*F2172*IF(AND(Inputs!$B$39&lt;&gt;"pvp",Inputs!$B$44&gt;0),(((R2172-1)*MIN((Skills!Y11*(1+Inputs!$B$34/100)),(1/Q2172))+MIN((Skills!Y11*(1+Inputs!$B$34/100)),MAX(0,Inputs!$B$44-((R2172-1)*(1/Q2172)))))/Inputs!$B$44),IF(Inputs!$B$39="pvp",MIN((Skills!Y11*(1+Inputs!$B$34/100)),15)/15,MIN(1,(Skills!Y11*(1+Inputs!$B$34/100))/(1/Q2172)))))/100)*(1+((C2177=TRUE)*F2177*IF(AND(Inputs!$B$39&lt;&gt;"pvp",Inputs!$B$44&gt;0),(((R2177-1)*MIN((Skills!Y16*(1+Inputs!$B$34/100)),(1/Q2177))+MIN((Skills!Y16*(1+Inputs!$B$34/100)),MAX(0,Inputs!$B$44-((R2177-1)*(1/Q2177)))))/Inputs!$B$44),IF(Inputs!$B$39="pvp",MIN((Skills!Y16*(1+Inputs!$B$34/100)),15)/15,MIN(1,(Skills!Y16*(1+Inputs!$B$34/100))/(1/Q2177)))))/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2197*I2173)</f>
        <v/>
      </c>
      <c r="L2173">
        <f>K2173*(MIN(Inputs!$B$22+((C2186=TRUE)*(F2186-Calc!F25)),(Inputs!$B$23+((C2191=TRUE)*(F2191-Calc!F30))+IF(ArtifactsInput!$M$15,CHOOSE(ArtifactsInput!$N$15+1,25,30,35,40,45,50)/100*(Inputs!$B$11-Inputs!$B$11),0)))/100+(Inputs!$B$23+((C2191=TRUE)*(F2191-Calc!F30))+IF(ArtifactsInput!$M$15,CHOOSE(ArtifactsInput!$N$15+1,25,30,35,40,45,50)/100*(Inputs!$B$11-Inputs!$B$11),0))/100)/2</f>
        <v/>
      </c>
      <c r="M2173">
        <f>L2173*(1+(Inputs!$B$10+((C2188=TRUE)*(F2188-Calc!F27))+B2202+(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2173">
        <f>L2173*(1-MIN((Inputs!$B$9+((C2187=TRUE)*(F2187-Calc!F26))+B2195+(ArtifactsInput!$M$24-ArtifactsInput!$M$24)*CHOOSE(ArtifactsInput!$N$24+1,10,12,14,16,18,20)+(IF(AND(Inputs!$B$39&lt;&gt;"pvp",Inputs!$B$44=0),1,IF(IF(Inputs!$B$39="pvp",15,Inputs!$B$44)-(B2206)&lt;=0,1,MAX(0,IF(Inputs!$B$39="pvp",15,Inputs!$B$44)-MAX(5,B2206))/(IF(Inputs!$B$39="pvp",15,Inputs!$B$44)-(B2206))))*IF(AND(ArtifactsInput!$M$42,((Inputs!$B$9+((C2187=TRUE)*(F2187-Calc!F26))+B2195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2173*(MIN((Inputs!$B$9+((C2187=TRUE)*(F2187-Calc!F26))+B2195+(ArtifactsInput!$M$24-ArtifactsInput!$M$24)*CHOOSE(ArtifactsInput!$N$24+1,10,12,14,16,18,20)+(IF(AND(Inputs!$B$39&lt;&gt;"pvp",Inputs!$B$44=0),1,IF(IF(Inputs!$B$39="pvp",15,Inputs!$B$44)-(B2206)&lt;=0,1,MAX(0,IF(Inputs!$B$39="pvp",15,Inputs!$B$44)-MAX(5,B2206))/(IF(Inputs!$B$39="pvp",15,Inputs!$B$44)-(B2206))))*IF(AND(ArtifactsInput!$M$42,((Inputs!$B$9+((C2187=TRUE)*(F2187-Calc!F26))+B2195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173">
        <f>(1-Summary!$B$11)*T2173+Summary!$B$11*V2173</f>
        <v/>
      </c>
      <c r="P2173">
        <f>IF(B2207=0,0,O2173/B2207)</f>
        <v/>
      </c>
      <c r="Q2173">
        <f>IFERROR(1/IF(Inputs!$B$39="pvp",15,MAX(0.1,Skills!D12-IF(TRUE=TRUE,Inputs!$B$32,0))),0)</f>
        <v/>
      </c>
      <c r="R2173">
        <f>IF(AND(Inputs!$B$39&lt;&gt;"pvp",Inputs!$B$44&gt;0),IF(MAX(0,Inputs!$B$44-B2206)&lt;=0,0,(INT(MAX(0,Inputs!$B$44-B2206)/IF(Inputs!$B$39="pvp",15,MAX(0.1,Skills!D12-IF(TRUE=TRUE,Inputs!$B$32,0))))+1)),0)</f>
        <v/>
      </c>
      <c r="S2173">
        <f>IFERROR(O2173/N2173,0)</f>
        <v/>
      </c>
      <c r="T2173">
        <f>IF(C2173,(H2173*N2173*IF(AND(Inputs!$B$39&lt;&gt;"pvp",Inputs!$B$44&gt;0),((Skills!G12*((R2173-1)*IF(Skills!H12&gt;0,Skills!I12/Skills!H12,1)+IF(Skills!H12&gt;0,MIN(Skills!I12,MAX(0,MAX(0,Inputs!$B$44-B2206)-((R2173-1)*IF(Inputs!$B$39="pvp",15,MAX(0.1,Skills!D12-IF(TRUE=TRUE,Inputs!$B$32,0))))))/Skills!H12,1)))/Inputs!$B$44),G2173*Q2173))*IF(Inputs!$B$39="pvp",1,1+(Inputs!$B$20+0+Skills!P12+B2196+(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Hunt"),CHOOSE(ArtifactsInput!$N$35+1,15,18,21,24,27,30)*(1-EXP(-(0.2*B2199)*5)),0)+IF(AND(ArtifactsInput!$M$22,Inputs!$B$4&lt;&gt;"Chapter Hunt"),CHOOSE(ArtifactsInput!$N$22+1,10,12,14,16,18,20)*((0*(((0.15*B2199*5))^0/1)+1*(((0.15*B2199*5))^1/1)+2*(((0.15*B2199*5))^2/2)+3*(((0.15*B2199*5))^3/6)+4*(((0.15*B2199*5))^4/24)+5*(((0.15*B2199*5))^5/120))/((((0.15*B2199*5))^0/1)+(((0.15*B2199*5))^1/1)+(((0.15*B2199*5))^2/2)+(((0.15*B2199*5))^3/6)+(((0.15*B2199*5))^4/24)+(((0.15*B2199*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2173*(1-MIN(100,(Inputs!$B$9+((C2187=TRUE)*(F2187-Calc!F26))+B2195+(ArtifactsInput!$M$24-ArtifactsInput!$M$24)*CHOOSE(ArtifactsInput!$N$24+1,10,12,14,16,18,20)+(IF(AND(Inputs!$B$39&lt;&gt;"pvp",Inputs!$B$44=0),1,IF(IF(Inputs!$B$39="pvp",15,Inputs!$B$44)-(B2206)&lt;=0,1,MAX(0,IF(Inputs!$B$39="pvp",15,Inputs!$B$44)-MAX(5,B2206))/(IF(Inputs!$B$39="pvp",15,Inputs!$B$44)-(B2206))))*IF(AND(ArtifactsInput!$M$42,((Inputs!$B$9+((C2187=TRUE)*(F2187-Calc!F26))+B2195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2173*(MIN(100,(Inputs!$B$9+((C2187=TRUE)*(F2187-Calc!F26))+B2195+(ArtifactsInput!$M$24-ArtifactsInput!$M$24)*CHOOSE(ArtifactsInput!$N$24+1,10,12,14,16,18,20)+(IF(AND(Inputs!$B$39&lt;&gt;"pvp",Inputs!$B$44=0),1,IF(IF(Inputs!$B$39="pvp",15,Inputs!$B$44)-(B2206)&lt;=0,1,MAX(0,IF(Inputs!$B$39="pvp",15,Inputs!$B$44)-MAX(5,B2206))/(IF(Inputs!$B$39="pvp",15,Inputs!$B$44)-(B2206))))*IF(AND(ArtifactsInput!$M$42,((Inputs!$B$9+((C2187=TRUE)*(F2187-Calc!F26))+B2195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2173*(1-MIN(100,(Inputs!$B$9+((C2187=TRUE)*(F2187-Calc!F26))+B2195+(ArtifactsInput!$M$24-ArtifactsInput!$M$24)*CHOOSE(ArtifactsInput!$N$24+1,10,12,14,16,18,20)+(IF(AND(Inputs!$B$39&lt;&gt;"pvp",Inputs!$B$44=0),1,IF(IF(Inputs!$B$39="pvp",15,Inputs!$B$44)-(B2206)&lt;=0,1,MAX(0,IF(Inputs!$B$39="pvp",15,Inputs!$B$44)-MAX(5,B2206))/(IF(Inputs!$B$39="pvp",15,Inputs!$B$44)-(B2206))))*IF(AND(ArtifactsInput!$M$42,((Inputs!$B$9+((C2187=TRUE)*(F2187-Calc!F26))+B2195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2173*(MIN(100,(Inputs!$B$9+((C2187=TRUE)*(F2187-Calc!F26))+B2195+(ArtifactsInput!$M$24-ArtifactsInput!$M$24)*CHOOSE(ArtifactsInput!$N$24+1,10,12,14,16,18,20)+(IF(AND(Inputs!$B$39&lt;&gt;"pvp",Inputs!$B$44=0),1,IF(IF(Inputs!$B$39="pvp",15,Inputs!$B$44)-(B2206)&lt;=0,1,MAX(0,IF(Inputs!$B$39="pvp",15,Inputs!$B$44)-MAX(5,B2206))/(IF(Inputs!$B$39="pvp",15,Inputs!$B$44)-(B2206))))*IF(AND(ArtifactsInput!$M$42,((Inputs!$B$9+((C2187=TRUE)*(F2187-Calc!F26))+B2195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173">
        <f>IF(C2173,(H2173*N2173*IF(AND(Inputs!$B$39&lt;&gt;"pvp",Inputs!$B$44&gt;0),((Skills!G12*((R2173-1)*IF(Skills!H12&gt;0,Skills!I12/Skills!H12,1)+IF(Skills!H12&gt;0,MIN(Skills!I12,MAX(0,MAX(0,Inputs!$B$44-B2206)-((R2173-1)*IF(Inputs!$B$39="pvp",15,MAX(0.1,Skills!D12-IF(TRUE=TRUE,Inputs!$B$32,0))))))/Skills!H12,1)))/Inputs!$B$44),G2173*Q2173))*IF(Inputs!$B$39="pvp",1,(1+(Inputs!$B$21+Skills!Q12+B2196+(IF(ArtifactsInput!$M$33,CHOOSE(ArtifactsInput!$N$33+1,30,36,42,48,54,60),0))+(IF(AND(ArtifactsInput!$M$35,Inputs!$B$4&lt;&gt;"Chapter Hunt"),CHOOSE(ArtifactsInput!$N$35+1,15,18,21,24,27,30)*(1-EXP(-(0.2*B2199)*5)),0)+IF(AND(ArtifactsInput!$M$22,Inputs!$B$4&lt;&gt;"Chapter Hunt"),CHOOSE(ArtifactsInput!$N$22+1,10,12,14,16,18,20)*((0*(((0.15*B2199*5))^0/1)+1*(((0.15*B2199*5))^1/1)+2*(((0.15*B2199*5))^2/2)+3*(((0.15*B2199*5))^3/6)+4*(((0.15*B2199*5))^4/24)+5*(((0.15*B2199*5))^5/120))/((((0.15*B2199*5))^0/1)+(((0.15*B2199*5))^1/1)+(((0.15*B2199*5))^2/2)+(((0.15*B2199*5))^3/6)+(((0.15*B2199*5))^4/24)+(((0.15*B2199*5))^5/120))),0)))/100)*(MIN(Skills!W12,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174">
      <c r="A2174">
        <f>Skills!A13</f>
        <v/>
      </c>
      <c r="B2174">
        <f>Skills!B13</f>
        <v/>
      </c>
      <c r="C2174">
        <f>Inputs!$B$3&gt;=105</f>
        <v/>
      </c>
      <c r="D2174">
        <f>IF(Skills!C13=1,60+Inputs!$B$25+Inputs!$B$29,IF(Skills!C13=2,90+Inputs!$B$26+Inputs!$B$29,IF(Skills!C13=3,120+Inputs!$B$27+Inputs!$B$29,MAX(0,(Inputs!$B$3-100)*3)+Inputs!$B$28+Inputs!$B$29)))</f>
        <v/>
      </c>
      <c r="E2174">
        <f>INDEX(FactorTable!$B$2:$Y$301, MATCH(ROUND(MIN(300,MAX(1,D2174)),0), FactorTable!$A$2:$A$301,0), Skills!M13+1)</f>
        <v/>
      </c>
      <c r="F2174">
        <f>IF(Skills!N13=TRUE,(Skills!L13/10)*(E2174/1000),Skills!L13/10)+Skills!O13</f>
        <v/>
      </c>
      <c r="G2174">
        <f>Skills!G13*IF(Skills!H13&gt;0,IF(Inputs!$B$39="pvp",MIN(Skills!I13,15),Skills!I13)/Skills!H13,1)</f>
        <v/>
      </c>
      <c r="H2174">
        <f>1-(1-Skills!J13/100)^Skills!K13</f>
        <v/>
      </c>
      <c r="I2174" t="inlineStr">
        <is>
          <t>1</t>
        </is>
      </c>
      <c r="J2174">
        <f>((Inputs!$B$6*(1+Inputs!$B$7/100))+(((Inputs!$B$12*(1+Inputs!$B$13/100))-(Inputs!$B$12*(1+Inputs!$B$13/100)))+0.25*(Inputs!$B$14-Inputs!$B$14))*(1+Inputs!$B$7/100))*(F2174/100)</f>
        <v/>
      </c>
      <c r="K2174">
        <f>J2174*(1+((Inputs!$B$12*(1+Inputs!$B$13/100))*0.01+Inputs!$B$14*0.0025)/100)*(1+Inputs!$B$15/100)*(1+Inputs!$B$16/100)*(5000/(6000+Inputs!$B$43*(1-(100*(1-(1-Inputs!$B$19/100)*(1-CHOOSE(ArtifactsInput!$N$40+1,5,6,7,8,9,10)/100)^(ArtifactsInput!$M$40-ArtifactsInput!$M$40)))/100)))*(1+(Inputs!$B$24+((C2192=TRUE)*(F2192-Calc!F31))+((C2179=TRUE)*(F2179-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13="CRUEL_STAB",Inputs!$B$17+((C2189=TRUE)*(F2189-Calc!F28))+((IF(AND(Inputs!$B$39&lt;&gt;"pvp",Inputs!$B$44=0),1,IF(IF(Inputs!$B$39="pvp",15,Inputs!$B$44)-(B2206)&lt;=0,1,MAX(0,IF(Inputs!$B$39="pvp",15,Inputs!$B$44)-MAX(5,B2206))/(IF(Inputs!$B$39="pvp",15,Inputs!$B$44)-(B2206))))*(IF(AND(ArtifactsInput!$M$42,((Inputs!$B$9+((C2187=TRUE)*(F2187-Calc!F26))+B2195+(ArtifactsInput!$M$24-ArtifactsInput!$M$24)*CHOOSE(ArtifactsInput!$N$24+1,10,12,14,16,18,20)+IF(ArtifactsInput!$M$10,CHOOSE(ArtifactsInput!$N$10+1,15,18,21,24,27,30)*(IF(Inputs!$B$39="pvp",MIN(15,15)/15,IF(AND(Inputs!$B$39&lt;&gt;"pvp",Inputs!$B$44&gt;0),MIN(15,Inputs!$B$44)/(Inputs!$B$44),0))),0)))&gt;=100),MIN(100,((Inputs!$B$9+((C2187=TRUE)*(F2187-Calc!F26))+B2195+(ArtifactsInput!$M$24-ArtifactsInput!$M$24)*CHOOSE(ArtifactsInput!$N$24+1,10,12,14,16,18,20)+IF(ArtifactsInput!$M$10,CHOOSE(ArtifactsInput!$N$10+1,15,18,21,24,27,30)*(IF(Inputs!$B$39="pvp",MIN(15,15)/15,IF(AND(Inputs!$B$39&lt;&gt;"pvp",Inputs!$B$44&gt;0),MIN(15,Inputs!$B$44)/(Inputs!$B$44),0))),0)))-100),0))*CHOOSE(ArtifactsInput!$N$42+1,0.6,0.72,0.84,0.96,1.08,1.2))),Inputs!$B$18+((C2190=TRUE)*(F2190-Calc!F29))+(IF(AND(Inputs!$B$39&lt;&gt;"pvp",Inputs!$B$44=0),1,IF(IF(Inputs!$B$39="pvp",15,Inputs!$B$44)-(B2206)&lt;=0,1,MAX(0,IF(Inputs!$B$39="pvp",15,Inputs!$B$44)-MAX(5,B2206))/(IF(Inputs!$B$39="pvp",15,Inputs!$B$44)-(B2206))))*IF(AND(ArtifactsInput!$M$42,((Inputs!$B$9+((C2187=TRUE)*(F2187-Calc!F26))+B2195+(ArtifactsInput!$M$24-ArtifactsInput!$M$24)*CHOOSE(ArtifactsInput!$N$24+1,10,12,14,16,18,20)+IF(ArtifactsInput!$M$10,CHOOSE(ArtifactsInput!$N$10+1,15,18,21,24,27,30)*(IF(Inputs!$B$39="pvp",MIN(15,15)/15,IF(AND(Inputs!$B$39&lt;&gt;"pvp",Inputs!$B$44&gt;0),MIN(15,Inputs!$B$44)/(Inputs!$B$44),0))),0)))&gt;=100),CHOOSE(ArtifactsInput!$N$42+1,40,48,56,64,72,80),0))))/100)*(((1+(((C2183=TRUE)*F2183*IF(AND(Inputs!$B$39&lt;&gt;"pvp",Inputs!$B$44&gt;0),(((R2183-1)*MIN((Skills!Y22*(1+Inputs!$B$34/100)),(1/Q2183))+MIN((Skills!Y22*(1+Inputs!$B$34/100)),MAX(0,Inputs!$B$44-((R2183-1)*(1/Q2183)))))/Inputs!$B$44),IF(Inputs!$B$39="pvp",MIN((Skills!Y22*(1+Inputs!$B$34/100)),15)/15,MIN(1,(Skills!Y22*(1+Inputs!$B$34/100))/(1/Q2183)))))+((C2164=TRUE)*F2164*3)+((C2166=TRUE)*F2166*(1-EXP(-0.75*B2199*5)))+((C2185=TRUE)*(F2185-Calc!F24))+(IF(IF(ArtifactsInput!$M$21,FALSE,TRUE),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2172=TRUE)*F2172*IF(AND(Inputs!$B$39&lt;&gt;"pvp",Inputs!$B$44&gt;0),(((R2172-1)*MIN((Skills!Y11*(1+Inputs!$B$34/100)),(1/Q2172))+MIN((Skills!Y11*(1+Inputs!$B$34/100)),MAX(0,Inputs!$B$44-((R2172-1)*(1/Q2172)))))/Inputs!$B$44),IF(Inputs!$B$39="pvp",MIN((Skills!Y11*(1+Inputs!$B$34/100)),15)/15,MIN(1,(Skills!Y11*(1+Inputs!$B$34/100))/(1/Q2172)))))/100)*(1+((C2177=TRUE)*F2177*IF(AND(Inputs!$B$39&lt;&gt;"pvp",Inputs!$B$44&gt;0),(((R2177-1)*MIN((Skills!Y16*(1+Inputs!$B$34/100)),(1/Q2177))+MIN((Skills!Y16*(1+Inputs!$B$34/100)),MAX(0,Inputs!$B$44-((R2177-1)*(1/Q2177)))))/Inputs!$B$44),IF(Inputs!$B$39="pvp",MIN((Skills!Y16*(1+Inputs!$B$34/100)),15)/15,MIN(1,(Skills!Y16*(1+Inputs!$B$34/100))/(1/Q2177)))))/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2197*I2174)</f>
        <v/>
      </c>
      <c r="L2174">
        <f>K2174*(MIN(Inputs!$B$22+((C2186=TRUE)*(F2186-Calc!F25)),(Inputs!$B$23+((C2191=TRUE)*(F2191-Calc!F30))+IF(ArtifactsInput!$M$15,CHOOSE(ArtifactsInput!$N$15+1,25,30,35,40,45,50)/100*(Inputs!$B$11-Inputs!$B$11),0)))/100+(Inputs!$B$23+((C2191=TRUE)*(F2191-Calc!F30))+IF(ArtifactsInput!$M$15,CHOOSE(ArtifactsInput!$N$15+1,25,30,35,40,45,50)/100*(Inputs!$B$11-Inputs!$B$11),0))/100)/2</f>
        <v/>
      </c>
      <c r="M2174">
        <f>L2174*(1+(Inputs!$B$10+((C2188=TRUE)*(F2188-Calc!F27))+B2202+(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2174">
        <f>L2174*(1-MIN((Inputs!$B$9+((C2187=TRUE)*(F2187-Calc!F26))+B2195+(ArtifactsInput!$M$24-ArtifactsInput!$M$24)*CHOOSE(ArtifactsInput!$N$24+1,10,12,14,16,18,20)+(IF(AND(Inputs!$B$39&lt;&gt;"pvp",Inputs!$B$44=0),1,IF(IF(Inputs!$B$39="pvp",15,Inputs!$B$44)-(B2206)&lt;=0,1,MAX(0,IF(Inputs!$B$39="pvp",15,Inputs!$B$44)-MAX(5,B2206))/(IF(Inputs!$B$39="pvp",15,Inputs!$B$44)-(B2206))))*IF(AND(ArtifactsInput!$M$42,((Inputs!$B$9+((C2187=TRUE)*(F2187-Calc!F26))+B2195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2174*(MIN((Inputs!$B$9+((C2187=TRUE)*(F2187-Calc!F26))+B2195+(ArtifactsInput!$M$24-ArtifactsInput!$M$24)*CHOOSE(ArtifactsInput!$N$24+1,10,12,14,16,18,20)+(IF(AND(Inputs!$B$39&lt;&gt;"pvp",Inputs!$B$44=0),1,IF(IF(Inputs!$B$39="pvp",15,Inputs!$B$44)-(B2206)&lt;=0,1,MAX(0,IF(Inputs!$B$39="pvp",15,Inputs!$B$44)-MAX(5,B2206))/(IF(Inputs!$B$39="pvp",15,Inputs!$B$44)-(B2206))))*IF(AND(ArtifactsInput!$M$42,((Inputs!$B$9+((C2187=TRUE)*(F2187-Calc!F26))+B2195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174">
        <f>(1-Summary!$B$11)*T2174+Summary!$B$11*V2174</f>
        <v/>
      </c>
      <c r="P2174">
        <f>IF(B2207=0,0,O2174/B2207)</f>
        <v/>
      </c>
      <c r="Q2174">
        <f>IFERROR(1/IF(Inputs!$B$39="pvp",15,MAX(0.1,Skills!D13-IF(TRUE=TRUE,Inputs!$B$32,0))),0)</f>
        <v/>
      </c>
      <c r="R2174">
        <f>IF(AND(Inputs!$B$39&lt;&gt;"pvp",Inputs!$B$44&gt;0),IF(MAX(0,Inputs!$B$44-B2206)&lt;=0,0,(INT(MAX(0,Inputs!$B$44-B2206)/IF(Inputs!$B$39="pvp",15,MAX(0.1,Skills!D13-IF(TRUE=TRUE,Inputs!$B$32,0))))+1)),0)</f>
        <v/>
      </c>
      <c r="S2174">
        <f>IFERROR(O2174/N2174,0)</f>
        <v/>
      </c>
      <c r="T2174">
        <f>IF(C2174,(H2174*N2174*IF(AND(Inputs!$B$39&lt;&gt;"pvp",Inputs!$B$44&gt;0),((Skills!G13*((R2174-1)*IF(Skills!H13&gt;0,Skills!I13/Skills!H13,1)+IF(Skills!H13&gt;0,MIN(Skills!I13,MAX(0,MAX(0,Inputs!$B$44-B2206)-((R2174-1)*IF(Inputs!$B$39="pvp",15,MAX(0.1,Skills!D13-IF(TRUE=TRUE,Inputs!$B$32,0))))))/Skills!H13,1)))/Inputs!$B$44),G2174*Q2174))*IF(Inputs!$B$39="pvp",1,1+(Inputs!$B$20+0+Skills!P13+B2196+(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Hunt"),CHOOSE(ArtifactsInput!$N$35+1,15,18,21,24,27,30)*(1-EXP(-(0.2*B2199)*5)),0)+IF(AND(ArtifactsInput!$M$22,Inputs!$B$4&lt;&gt;"Chapter Hunt"),CHOOSE(ArtifactsInput!$N$22+1,10,12,14,16,18,20)*((0*(((0.15*B2199*5))^0/1)+1*(((0.15*B2199*5))^1/1)+2*(((0.15*B2199*5))^2/2)+3*(((0.15*B2199*5))^3/6)+4*(((0.15*B2199*5))^4/24)+5*(((0.15*B2199*5))^5/120))/((((0.15*B2199*5))^0/1)+(((0.15*B2199*5))^1/1)+(((0.15*B2199*5))^2/2)+(((0.15*B2199*5))^3/6)+(((0.15*B2199*5))^4/24)+(((0.15*B2199*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2174*(1-MIN(100,(Inputs!$B$9+((C2187=TRUE)*(F2187-Calc!F26))+B2195+(ArtifactsInput!$M$24-ArtifactsInput!$M$24)*CHOOSE(ArtifactsInput!$N$24+1,10,12,14,16,18,20)+(IF(AND(Inputs!$B$39&lt;&gt;"pvp",Inputs!$B$44=0),1,IF(IF(Inputs!$B$39="pvp",15,Inputs!$B$44)-(B2206)&lt;=0,1,MAX(0,IF(Inputs!$B$39="pvp",15,Inputs!$B$44)-MAX(5,B2206))/(IF(Inputs!$B$39="pvp",15,Inputs!$B$44)-(B2206))))*IF(AND(ArtifactsInput!$M$42,((Inputs!$B$9+((C2187=TRUE)*(F2187-Calc!F26))+B2195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2174*(MIN(100,(Inputs!$B$9+((C2187=TRUE)*(F2187-Calc!F26))+B2195+(ArtifactsInput!$M$24-ArtifactsInput!$M$24)*CHOOSE(ArtifactsInput!$N$24+1,10,12,14,16,18,20)+(IF(AND(Inputs!$B$39&lt;&gt;"pvp",Inputs!$B$44=0),1,IF(IF(Inputs!$B$39="pvp",15,Inputs!$B$44)-(B2206)&lt;=0,1,MAX(0,IF(Inputs!$B$39="pvp",15,Inputs!$B$44)-MAX(5,B2206))/(IF(Inputs!$B$39="pvp",15,Inputs!$B$44)-(B2206))))*IF(AND(ArtifactsInput!$M$42,((Inputs!$B$9+((C2187=TRUE)*(F2187-Calc!F26))+B2195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2174*(1-MIN(100,(Inputs!$B$9+((C2187=TRUE)*(F2187-Calc!F26))+B2195+(ArtifactsInput!$M$24-ArtifactsInput!$M$24)*CHOOSE(ArtifactsInput!$N$24+1,10,12,14,16,18,20)+(IF(AND(Inputs!$B$39&lt;&gt;"pvp",Inputs!$B$44=0),1,IF(IF(Inputs!$B$39="pvp",15,Inputs!$B$44)-(B2206)&lt;=0,1,MAX(0,IF(Inputs!$B$39="pvp",15,Inputs!$B$44)-MAX(5,B2206))/(IF(Inputs!$B$39="pvp",15,Inputs!$B$44)-(B2206))))*IF(AND(ArtifactsInput!$M$42,((Inputs!$B$9+((C2187=TRUE)*(F2187-Calc!F26))+B2195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2174*(MIN(100,(Inputs!$B$9+((C2187=TRUE)*(F2187-Calc!F26))+B2195+(ArtifactsInput!$M$24-ArtifactsInput!$M$24)*CHOOSE(ArtifactsInput!$N$24+1,10,12,14,16,18,20)+(IF(AND(Inputs!$B$39&lt;&gt;"pvp",Inputs!$B$44=0),1,IF(IF(Inputs!$B$39="pvp",15,Inputs!$B$44)-(B2206)&lt;=0,1,MAX(0,IF(Inputs!$B$39="pvp",15,Inputs!$B$44)-MAX(5,B2206))/(IF(Inputs!$B$39="pvp",15,Inputs!$B$44)-(B2206))))*IF(AND(ArtifactsInput!$M$42,((Inputs!$B$9+((C2187=TRUE)*(F2187-Calc!F26))+B2195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174">
        <f>IF(C2174,(H2174*N2174*IF(AND(Inputs!$B$39&lt;&gt;"pvp",Inputs!$B$44&gt;0),((Skills!G13*((R2174-1)*IF(Skills!H13&gt;0,Skills!I13/Skills!H13,1)+IF(Skills!H13&gt;0,MIN(Skills!I13,MAX(0,MAX(0,Inputs!$B$44-B2206)-((R2174-1)*IF(Inputs!$B$39="pvp",15,MAX(0.1,Skills!D13-IF(TRUE=TRUE,Inputs!$B$32,0))))))/Skills!H13,1)))/Inputs!$B$44),G2174*Q2174))*IF(Inputs!$B$39="pvp",1,(1+(Inputs!$B$21+Skills!Q13+B2196+(IF(ArtifactsInput!$M$33,CHOOSE(ArtifactsInput!$N$33+1,30,36,42,48,54,60),0))+(IF(AND(ArtifactsInput!$M$35,Inputs!$B$4&lt;&gt;"Chapter Hunt"),CHOOSE(ArtifactsInput!$N$35+1,15,18,21,24,27,30)*(1-EXP(-(0.2*B2199)*5)),0)+IF(AND(ArtifactsInput!$M$22,Inputs!$B$4&lt;&gt;"Chapter Hunt"),CHOOSE(ArtifactsInput!$N$22+1,10,12,14,16,18,20)*((0*(((0.15*B2199*5))^0/1)+1*(((0.15*B2199*5))^1/1)+2*(((0.15*B2199*5))^2/2)+3*(((0.15*B2199*5))^3/6)+4*(((0.15*B2199*5))^4/24)+5*(((0.15*B2199*5))^5/120))/((((0.15*B2199*5))^0/1)+(((0.15*B2199*5))^1/1)+(((0.15*B2199*5))^2/2)+(((0.15*B2199*5))^3/6)+(((0.15*B2199*5))^4/24)+(((0.15*B2199*5))^5/120))),0)))/100)*(MIN(Skills!W13,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175">
      <c r="A2175">
        <f>Skills!A14</f>
        <v/>
      </c>
      <c r="B2175">
        <f>Skills!B14</f>
        <v/>
      </c>
      <c r="C2175">
        <f>Inputs!$B$3&gt;=105</f>
        <v/>
      </c>
      <c r="D2175">
        <f>IF(Skills!C14=1,60+Inputs!$B$25+Inputs!$B$29,IF(Skills!C14=2,90+Inputs!$B$26+Inputs!$B$29,IF(Skills!C14=3,120+Inputs!$B$27+Inputs!$B$29,MAX(0,(Inputs!$B$3-100)*3)+Inputs!$B$28+Inputs!$B$29)))</f>
        <v/>
      </c>
      <c r="E2175">
        <f>INDEX(FactorTable!$B$2:$Y$301, MATCH(ROUND(MIN(300,MAX(1,D2175)),0), FactorTable!$A$2:$A$301,0), Skills!M14+1)</f>
        <v/>
      </c>
      <c r="F2175">
        <f>IF(Skills!N14=TRUE,(Skills!L14/10)*(E2175/1000),Skills!L14/10)+Skills!O14</f>
        <v/>
      </c>
      <c r="G2175">
        <f>Skills!G14*IF(Skills!H14&gt;0,IF(Inputs!$B$39="pvp",MIN(Skills!I14,15),Skills!I14)/Skills!H14,1)</f>
        <v/>
      </c>
      <c r="H2175">
        <f>1-(1-Skills!J14/100)^Skills!K14</f>
        <v/>
      </c>
      <c r="I2175" t="inlineStr">
        <is>
          <t>1</t>
        </is>
      </c>
      <c r="J2175">
        <f>((Inputs!$B$6*(1+Inputs!$B$7/100))+(((Inputs!$B$12*(1+Inputs!$B$13/100))-(Inputs!$B$12*(1+Inputs!$B$13/100)))+0.25*(Inputs!$B$14-Inputs!$B$14))*(1+Inputs!$B$7/100))*(F2175/100)</f>
        <v/>
      </c>
      <c r="K2175">
        <f>J2175*(1+((Inputs!$B$12*(1+Inputs!$B$13/100))*0.01+Inputs!$B$14*0.0025)/100)*(1+Inputs!$B$15/100)*(1+Inputs!$B$16/100)*(5000/(6000+Inputs!$B$43*(1-(100*(1-(1-Inputs!$B$19/100)*(1-CHOOSE(ArtifactsInput!$N$40+1,5,6,7,8,9,10)/100)^(ArtifactsInput!$M$40-ArtifactsInput!$M$40)))/100)))*(1+(Inputs!$B$24+((C2192=TRUE)*(F2192-Calc!F31))+((C2179=TRUE)*(F2179-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14="CRUEL_STAB",Inputs!$B$17+((C2189=TRUE)*(F2189-Calc!F28))+((IF(AND(Inputs!$B$39&lt;&gt;"pvp",Inputs!$B$44=0),1,IF(IF(Inputs!$B$39="pvp",15,Inputs!$B$44)-(B2206)&lt;=0,1,MAX(0,IF(Inputs!$B$39="pvp",15,Inputs!$B$44)-MAX(5,B2206))/(IF(Inputs!$B$39="pvp",15,Inputs!$B$44)-(B2206))))*(IF(AND(ArtifactsInput!$M$42,((Inputs!$B$9+((C2187=TRUE)*(F2187-Calc!F26))+B2195+(ArtifactsInput!$M$24-ArtifactsInput!$M$24)*CHOOSE(ArtifactsInput!$N$24+1,10,12,14,16,18,20)+IF(ArtifactsInput!$M$10,CHOOSE(ArtifactsInput!$N$10+1,15,18,21,24,27,30)*(IF(Inputs!$B$39="pvp",MIN(15,15)/15,IF(AND(Inputs!$B$39&lt;&gt;"pvp",Inputs!$B$44&gt;0),MIN(15,Inputs!$B$44)/(Inputs!$B$44),0))),0)))&gt;=100),MIN(100,((Inputs!$B$9+((C2187=TRUE)*(F2187-Calc!F26))+B2195+(ArtifactsInput!$M$24-ArtifactsInput!$M$24)*CHOOSE(ArtifactsInput!$N$24+1,10,12,14,16,18,20)+IF(ArtifactsInput!$M$10,CHOOSE(ArtifactsInput!$N$10+1,15,18,21,24,27,30)*(IF(Inputs!$B$39="pvp",MIN(15,15)/15,IF(AND(Inputs!$B$39&lt;&gt;"pvp",Inputs!$B$44&gt;0),MIN(15,Inputs!$B$44)/(Inputs!$B$44),0))),0)))-100),0))*CHOOSE(ArtifactsInput!$N$42+1,0.6,0.72,0.84,0.96,1.08,1.2))),Inputs!$B$18+((C2190=TRUE)*(F2190-Calc!F29))+(IF(AND(Inputs!$B$39&lt;&gt;"pvp",Inputs!$B$44=0),1,IF(IF(Inputs!$B$39="pvp",15,Inputs!$B$44)-(B2206)&lt;=0,1,MAX(0,IF(Inputs!$B$39="pvp",15,Inputs!$B$44)-MAX(5,B2206))/(IF(Inputs!$B$39="pvp",15,Inputs!$B$44)-(B2206))))*IF(AND(ArtifactsInput!$M$42,((Inputs!$B$9+((C2187=TRUE)*(F2187-Calc!F26))+B2195+(ArtifactsInput!$M$24-ArtifactsInput!$M$24)*CHOOSE(ArtifactsInput!$N$24+1,10,12,14,16,18,20)+IF(ArtifactsInput!$M$10,CHOOSE(ArtifactsInput!$N$10+1,15,18,21,24,27,30)*(IF(Inputs!$B$39="pvp",MIN(15,15)/15,IF(AND(Inputs!$B$39&lt;&gt;"pvp",Inputs!$B$44&gt;0),MIN(15,Inputs!$B$44)/(Inputs!$B$44),0))),0)))&gt;=100),CHOOSE(ArtifactsInput!$N$42+1,40,48,56,64,72,80),0))))/100)*(((1+(((C2183=TRUE)*F2183*IF(AND(Inputs!$B$39&lt;&gt;"pvp",Inputs!$B$44&gt;0),(((R2183-1)*MIN((Skills!Y22*(1+Inputs!$B$34/100)),(1/Q2183))+MIN((Skills!Y22*(1+Inputs!$B$34/100)),MAX(0,Inputs!$B$44-((R2183-1)*(1/Q2183)))))/Inputs!$B$44),IF(Inputs!$B$39="pvp",MIN((Skills!Y22*(1+Inputs!$B$34/100)),15)/15,MIN(1,(Skills!Y22*(1+Inputs!$B$34/100))/(1/Q2183)))))+((C2164=TRUE)*F2164*3)+((C2166=TRUE)*F2166*(1-EXP(-0.75*B2199*5)))+((C2185=TRUE)*(F2185-Calc!F24))+(IF(IF(ArtifactsInput!$M$21,FALSE,TRUE),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2172=TRUE)*F2172*IF(AND(Inputs!$B$39&lt;&gt;"pvp",Inputs!$B$44&gt;0),(((R2172-1)*MIN((Skills!Y11*(1+Inputs!$B$34/100)),(1/Q2172))+MIN((Skills!Y11*(1+Inputs!$B$34/100)),MAX(0,Inputs!$B$44-((R2172-1)*(1/Q2172)))))/Inputs!$B$44),IF(Inputs!$B$39="pvp",MIN((Skills!Y11*(1+Inputs!$B$34/100)),15)/15,MIN(1,(Skills!Y11*(1+Inputs!$B$34/100))/(1/Q2172)))))/100)*(1+((C2177=TRUE)*F2177*IF(AND(Inputs!$B$39&lt;&gt;"pvp",Inputs!$B$44&gt;0),(((R2177-1)*MIN((Skills!Y16*(1+Inputs!$B$34/100)),(1/Q2177))+MIN((Skills!Y16*(1+Inputs!$B$34/100)),MAX(0,Inputs!$B$44-((R2177-1)*(1/Q2177)))))/Inputs!$B$44),IF(Inputs!$B$39="pvp",MIN((Skills!Y16*(1+Inputs!$B$34/100)),15)/15,MIN(1,(Skills!Y16*(1+Inputs!$B$34/100))/(1/Q2177)))))/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2197*I2175)</f>
        <v/>
      </c>
      <c r="L2175">
        <f>K2175*(MIN(Inputs!$B$22+((C2186=TRUE)*(F2186-Calc!F25)),(Inputs!$B$23+((C2191=TRUE)*(F2191-Calc!F30))+IF(ArtifactsInput!$M$15,CHOOSE(ArtifactsInput!$N$15+1,25,30,35,40,45,50)/100*(Inputs!$B$11-Inputs!$B$11),0)))/100+(Inputs!$B$23+((C2191=TRUE)*(F2191-Calc!F30))+IF(ArtifactsInput!$M$15,CHOOSE(ArtifactsInput!$N$15+1,25,30,35,40,45,50)/100*(Inputs!$B$11-Inputs!$B$11),0))/100)/2</f>
        <v/>
      </c>
      <c r="M2175">
        <f>L2175*(1+(Inputs!$B$10+((C2188=TRUE)*(F2188-Calc!F27))+B2202+(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2175">
        <f>L2175*(1-MIN((Inputs!$B$9+((C2187=TRUE)*(F2187-Calc!F26))+B2195+(ArtifactsInput!$M$24-ArtifactsInput!$M$24)*CHOOSE(ArtifactsInput!$N$24+1,10,12,14,16,18,20)+(IF(AND(Inputs!$B$39&lt;&gt;"pvp",Inputs!$B$44=0),1,IF(IF(Inputs!$B$39="pvp",15,Inputs!$B$44)-(B2206)&lt;=0,1,MAX(0,IF(Inputs!$B$39="pvp",15,Inputs!$B$44)-MAX(5,B2206))/(IF(Inputs!$B$39="pvp",15,Inputs!$B$44)-(B2206))))*IF(AND(ArtifactsInput!$M$42,((Inputs!$B$9+((C2187=TRUE)*(F2187-Calc!F26))+B2195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2175*(MIN((Inputs!$B$9+((C2187=TRUE)*(F2187-Calc!F26))+B2195+(ArtifactsInput!$M$24-ArtifactsInput!$M$24)*CHOOSE(ArtifactsInput!$N$24+1,10,12,14,16,18,20)+(IF(AND(Inputs!$B$39&lt;&gt;"pvp",Inputs!$B$44=0),1,IF(IF(Inputs!$B$39="pvp",15,Inputs!$B$44)-(B2206)&lt;=0,1,MAX(0,IF(Inputs!$B$39="pvp",15,Inputs!$B$44)-MAX(5,B2206))/(IF(Inputs!$B$39="pvp",15,Inputs!$B$44)-(B2206))))*IF(AND(ArtifactsInput!$M$42,((Inputs!$B$9+((C2187=TRUE)*(F2187-Calc!F26))+B2195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175">
        <f>(1-Summary!$B$11)*T2175+Summary!$B$11*V2175</f>
        <v/>
      </c>
      <c r="P2175">
        <f>IF(B2207=0,0,O2175/B2207)</f>
        <v/>
      </c>
      <c r="Q2175">
        <f>IFERROR(1/IF(Inputs!$B$39="pvp",15,MAX(0.1,Skills!D14-IF(TRUE=TRUE,Inputs!$B$32,0))),0)</f>
        <v/>
      </c>
      <c r="R2175">
        <f>IF(AND(Inputs!$B$39&lt;&gt;"pvp",Inputs!$B$44&gt;0),IF(MAX(0,Inputs!$B$44-B2206)&lt;=0,0,(INT(MAX(0,Inputs!$B$44-B2206)/IF(Inputs!$B$39="pvp",15,MAX(0.1,Skills!D14-IF(TRUE=TRUE,Inputs!$B$32,0))))+1)),0)</f>
        <v/>
      </c>
      <c r="S2175">
        <f>IFERROR(O2175/N2175,0)</f>
        <v/>
      </c>
      <c r="T2175">
        <f>IF(C2175,(H2175*N2175*IF(AND(Inputs!$B$39&lt;&gt;"pvp",Inputs!$B$44&gt;0),((Skills!G14*((R2175-1)*IF(Skills!H14&gt;0,Skills!I14/Skills!H14,1)+IF(Skills!H14&gt;0,MIN(Skills!I14,MAX(0,MAX(0,Inputs!$B$44-B2206)-((R2175-1)*IF(Inputs!$B$39="pvp",15,MAX(0.1,Skills!D14-IF(TRUE=TRUE,Inputs!$B$32,0))))))/Skills!H14,1)))/Inputs!$B$44),G2175*Q2175))*IF(Inputs!$B$39="pvp",1,1+(Inputs!$B$20+0+Skills!P14+B2196+(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Hunt"),CHOOSE(ArtifactsInput!$N$35+1,15,18,21,24,27,30)*(1-EXP(-(0.2*B2199)*5)),0)+IF(AND(ArtifactsInput!$M$22,Inputs!$B$4&lt;&gt;"Chapter Hunt"),CHOOSE(ArtifactsInput!$N$22+1,10,12,14,16,18,20)*((0*(((0.15*B2199*5))^0/1)+1*(((0.15*B2199*5))^1/1)+2*(((0.15*B2199*5))^2/2)+3*(((0.15*B2199*5))^3/6)+4*(((0.15*B2199*5))^4/24)+5*(((0.15*B2199*5))^5/120))/((((0.15*B2199*5))^0/1)+(((0.15*B2199*5))^1/1)+(((0.15*B2199*5))^2/2)+(((0.15*B2199*5))^3/6)+(((0.15*B2199*5))^4/24)+(((0.15*B2199*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2175*(1-MIN(100,(Inputs!$B$9+((C2187=TRUE)*(F2187-Calc!F26))+B2195+(ArtifactsInput!$M$24-ArtifactsInput!$M$24)*CHOOSE(ArtifactsInput!$N$24+1,10,12,14,16,18,20)+(IF(AND(Inputs!$B$39&lt;&gt;"pvp",Inputs!$B$44=0),1,IF(IF(Inputs!$B$39="pvp",15,Inputs!$B$44)-(B2206)&lt;=0,1,MAX(0,IF(Inputs!$B$39="pvp",15,Inputs!$B$44)-MAX(5,B2206))/(IF(Inputs!$B$39="pvp",15,Inputs!$B$44)-(B2206))))*IF(AND(ArtifactsInput!$M$42,((Inputs!$B$9+((C2187=TRUE)*(F2187-Calc!F26))+B2195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2175*(MIN(100,(Inputs!$B$9+((C2187=TRUE)*(F2187-Calc!F26))+B2195+(ArtifactsInput!$M$24-ArtifactsInput!$M$24)*CHOOSE(ArtifactsInput!$N$24+1,10,12,14,16,18,20)+(IF(AND(Inputs!$B$39&lt;&gt;"pvp",Inputs!$B$44=0),1,IF(IF(Inputs!$B$39="pvp",15,Inputs!$B$44)-(B2206)&lt;=0,1,MAX(0,IF(Inputs!$B$39="pvp",15,Inputs!$B$44)-MAX(5,B2206))/(IF(Inputs!$B$39="pvp",15,Inputs!$B$44)-(B2206))))*IF(AND(ArtifactsInput!$M$42,((Inputs!$B$9+((C2187=TRUE)*(F2187-Calc!F26))+B2195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2175*(1-MIN(100,(Inputs!$B$9+((C2187=TRUE)*(F2187-Calc!F26))+B2195+(ArtifactsInput!$M$24-ArtifactsInput!$M$24)*CHOOSE(ArtifactsInput!$N$24+1,10,12,14,16,18,20)+(IF(AND(Inputs!$B$39&lt;&gt;"pvp",Inputs!$B$44=0),1,IF(IF(Inputs!$B$39="pvp",15,Inputs!$B$44)-(B2206)&lt;=0,1,MAX(0,IF(Inputs!$B$39="pvp",15,Inputs!$B$44)-MAX(5,B2206))/(IF(Inputs!$B$39="pvp",15,Inputs!$B$44)-(B2206))))*IF(AND(ArtifactsInput!$M$42,((Inputs!$B$9+((C2187=TRUE)*(F2187-Calc!F26))+B2195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2175*(MIN(100,(Inputs!$B$9+((C2187=TRUE)*(F2187-Calc!F26))+B2195+(ArtifactsInput!$M$24-ArtifactsInput!$M$24)*CHOOSE(ArtifactsInput!$N$24+1,10,12,14,16,18,20)+(IF(AND(Inputs!$B$39&lt;&gt;"pvp",Inputs!$B$44=0),1,IF(IF(Inputs!$B$39="pvp",15,Inputs!$B$44)-(B2206)&lt;=0,1,MAX(0,IF(Inputs!$B$39="pvp",15,Inputs!$B$44)-MAX(5,B2206))/(IF(Inputs!$B$39="pvp",15,Inputs!$B$44)-(B2206))))*IF(AND(ArtifactsInput!$M$42,((Inputs!$B$9+((C2187=TRUE)*(F2187-Calc!F26))+B2195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175">
        <f>IF(C2175,(H2175*N2175*IF(AND(Inputs!$B$39&lt;&gt;"pvp",Inputs!$B$44&gt;0),((Skills!G14*((R2175-1)*IF(Skills!H14&gt;0,Skills!I14/Skills!H14,1)+IF(Skills!H14&gt;0,MIN(Skills!I14,MAX(0,MAX(0,Inputs!$B$44-B2206)-((R2175-1)*IF(Inputs!$B$39="pvp",15,MAX(0.1,Skills!D14-IF(TRUE=TRUE,Inputs!$B$32,0))))))/Skills!H14,1)))/Inputs!$B$44),G2175*Q2175))*IF(Inputs!$B$39="pvp",1,(1+(Inputs!$B$21+Skills!Q14+B2196+(IF(ArtifactsInput!$M$33,CHOOSE(ArtifactsInput!$N$33+1,30,36,42,48,54,60),0))+(IF(AND(ArtifactsInput!$M$35,Inputs!$B$4&lt;&gt;"Chapter Hunt"),CHOOSE(ArtifactsInput!$N$35+1,15,18,21,24,27,30)*(1-EXP(-(0.2*B2199)*5)),0)+IF(AND(ArtifactsInput!$M$22,Inputs!$B$4&lt;&gt;"Chapter Hunt"),CHOOSE(ArtifactsInput!$N$22+1,10,12,14,16,18,20)*((0*(((0.15*B2199*5))^0/1)+1*(((0.15*B2199*5))^1/1)+2*(((0.15*B2199*5))^2/2)+3*(((0.15*B2199*5))^3/6)+4*(((0.15*B2199*5))^4/24)+5*(((0.15*B2199*5))^5/120))/((((0.15*B2199*5))^0/1)+(((0.15*B2199*5))^1/1)+(((0.15*B2199*5))^2/2)+(((0.15*B2199*5))^3/6)+(((0.15*B2199*5))^4/24)+(((0.15*B2199*5))^5/120))),0)))/100)*(MIN(Skills!W14,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176">
      <c r="A2176">
        <f>Skills!A15</f>
        <v/>
      </c>
      <c r="B2176">
        <f>Skills!B15</f>
        <v/>
      </c>
      <c r="C2176">
        <f>Inputs!$B$3&gt;=107</f>
        <v/>
      </c>
      <c r="D2176">
        <f>IF(Skills!C15=1,60+Inputs!$B$25+Inputs!$B$29,IF(Skills!C15=2,90+Inputs!$B$26+Inputs!$B$29,IF(Skills!C15=3,120+Inputs!$B$27+Inputs!$B$29,MAX(0,(Inputs!$B$3-100)*3)+Inputs!$B$28+Inputs!$B$29)))</f>
        <v/>
      </c>
      <c r="E2176">
        <f>INDEX(FactorTable!$B$2:$Y$301, MATCH(ROUND(MIN(300,MAX(1,D2176)),0), FactorTable!$A$2:$A$301,0), Skills!M15+1)</f>
        <v/>
      </c>
      <c r="F2176">
        <f>IF(Skills!N15=TRUE,(Skills!L15/10)*(E2176/1000),Skills!L15/10)+Skills!O15</f>
        <v/>
      </c>
      <c r="G2176">
        <f>Skills!G15*IF(Skills!H15&gt;0,IF(Inputs!$B$39="pvp",MIN(Skills!I15,15),Skills!I15)/Skills!H15,1)</f>
        <v/>
      </c>
      <c r="H2176">
        <f>1-(1-Skills!J15/100)^Skills!K15</f>
        <v/>
      </c>
      <c r="I2176" t="inlineStr">
        <is>
          <t>1</t>
        </is>
      </c>
      <c r="J2176">
        <f>((Inputs!$B$6*(1+Inputs!$B$7/100))+(((Inputs!$B$12*(1+Inputs!$B$13/100))-(Inputs!$B$12*(1+Inputs!$B$13/100)))+0.25*(Inputs!$B$14-Inputs!$B$14))*(1+Inputs!$B$7/100))*(F2176/100)</f>
        <v/>
      </c>
      <c r="K2176">
        <f>J2176*(1+((Inputs!$B$12*(1+Inputs!$B$13/100))*0.01+Inputs!$B$14*0.0025)/100)*(1+Inputs!$B$15/100)*(1+Inputs!$B$16/100)*(5000/(6000+Inputs!$B$43*(1-(100*(1-(1-Inputs!$B$19/100)*(1-CHOOSE(ArtifactsInput!$N$40+1,5,6,7,8,9,10)/100)^(ArtifactsInput!$M$40-ArtifactsInput!$M$40)))/100)))*(1+(Inputs!$B$24+((C2192=TRUE)*(F2192-Calc!F31))+((C2179=TRUE)*(F2179-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15="CRUEL_STAB",Inputs!$B$17+((C2189=TRUE)*(F2189-Calc!F28))+((IF(AND(Inputs!$B$39&lt;&gt;"pvp",Inputs!$B$44=0),1,IF(IF(Inputs!$B$39="pvp",15,Inputs!$B$44)-(B2206)&lt;=0,1,MAX(0,IF(Inputs!$B$39="pvp",15,Inputs!$B$44)-MAX(5,B2206))/(IF(Inputs!$B$39="pvp",15,Inputs!$B$44)-(B2206))))*(IF(AND(ArtifactsInput!$M$42,((Inputs!$B$9+((C2187=TRUE)*(F2187-Calc!F26))+B2195+(ArtifactsInput!$M$24-ArtifactsInput!$M$24)*CHOOSE(ArtifactsInput!$N$24+1,10,12,14,16,18,20)+IF(ArtifactsInput!$M$10,CHOOSE(ArtifactsInput!$N$10+1,15,18,21,24,27,30)*(IF(Inputs!$B$39="pvp",MIN(15,15)/15,IF(AND(Inputs!$B$39&lt;&gt;"pvp",Inputs!$B$44&gt;0),MIN(15,Inputs!$B$44)/(Inputs!$B$44),0))),0)))&gt;=100),MIN(100,((Inputs!$B$9+((C2187=TRUE)*(F2187-Calc!F26))+B2195+(ArtifactsInput!$M$24-ArtifactsInput!$M$24)*CHOOSE(ArtifactsInput!$N$24+1,10,12,14,16,18,20)+IF(ArtifactsInput!$M$10,CHOOSE(ArtifactsInput!$N$10+1,15,18,21,24,27,30)*(IF(Inputs!$B$39="pvp",MIN(15,15)/15,IF(AND(Inputs!$B$39&lt;&gt;"pvp",Inputs!$B$44&gt;0),MIN(15,Inputs!$B$44)/(Inputs!$B$44),0))),0)))-100),0))*CHOOSE(ArtifactsInput!$N$42+1,0.6,0.72,0.84,0.96,1.08,1.2))),Inputs!$B$18+((C2190=TRUE)*(F2190-Calc!F29))+(IF(AND(Inputs!$B$39&lt;&gt;"pvp",Inputs!$B$44=0),1,IF(IF(Inputs!$B$39="pvp",15,Inputs!$B$44)-(B2206)&lt;=0,1,MAX(0,IF(Inputs!$B$39="pvp",15,Inputs!$B$44)-MAX(5,B2206))/(IF(Inputs!$B$39="pvp",15,Inputs!$B$44)-(B2206))))*IF(AND(ArtifactsInput!$M$42,((Inputs!$B$9+((C2187=TRUE)*(F2187-Calc!F26))+B2195+(ArtifactsInput!$M$24-ArtifactsInput!$M$24)*CHOOSE(ArtifactsInput!$N$24+1,10,12,14,16,18,20)+IF(ArtifactsInput!$M$10,CHOOSE(ArtifactsInput!$N$10+1,15,18,21,24,27,30)*(IF(Inputs!$B$39="pvp",MIN(15,15)/15,IF(AND(Inputs!$B$39&lt;&gt;"pvp",Inputs!$B$44&gt;0),MIN(15,Inputs!$B$44)/(Inputs!$B$44),0))),0)))&gt;=100),CHOOSE(ArtifactsInput!$N$42+1,40,48,56,64,72,80),0))))/100)*(((1+(((C2183=TRUE)*F2183*IF(AND(Inputs!$B$39&lt;&gt;"pvp",Inputs!$B$44&gt;0),(((R2183-1)*MIN((Skills!Y22*(1+Inputs!$B$34/100)),(1/Q2183))+MIN((Skills!Y22*(1+Inputs!$B$34/100)),MAX(0,Inputs!$B$44-((R2183-1)*(1/Q2183)))))/Inputs!$B$44),IF(Inputs!$B$39="pvp",MIN((Skills!Y22*(1+Inputs!$B$34/100)),15)/15,MIN(1,(Skills!Y22*(1+Inputs!$B$34/100))/(1/Q2183)))))+((C2164=TRUE)*F2164*3)+((C2166=TRUE)*F2166*(1-EXP(-0.75*B2199*5)))+((C2185=TRUE)*(F2185-Calc!F24))+(IF(IF(ArtifactsInput!$M$21,FALSE,TRUE),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2172=TRUE)*F2172*IF(AND(Inputs!$B$39&lt;&gt;"pvp",Inputs!$B$44&gt;0),(((R2172-1)*MIN((Skills!Y11*(1+Inputs!$B$34/100)),(1/Q2172))+MIN((Skills!Y11*(1+Inputs!$B$34/100)),MAX(0,Inputs!$B$44-((R2172-1)*(1/Q2172)))))/Inputs!$B$44),IF(Inputs!$B$39="pvp",MIN((Skills!Y11*(1+Inputs!$B$34/100)),15)/15,MIN(1,(Skills!Y11*(1+Inputs!$B$34/100))/(1/Q2172)))))/100)*(1+((C2177=TRUE)*F2177*IF(AND(Inputs!$B$39&lt;&gt;"pvp",Inputs!$B$44&gt;0),(((R2177-1)*MIN((Skills!Y16*(1+Inputs!$B$34/100)),(1/Q2177))+MIN((Skills!Y16*(1+Inputs!$B$34/100)),MAX(0,Inputs!$B$44-((R2177-1)*(1/Q2177)))))/Inputs!$B$44),IF(Inputs!$B$39="pvp",MIN((Skills!Y16*(1+Inputs!$B$34/100)),15)/15,MIN(1,(Skills!Y16*(1+Inputs!$B$34/100))/(1/Q2177)))))/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2197*I2176)</f>
        <v/>
      </c>
      <c r="L2176">
        <f>K2176*(MIN(Inputs!$B$22+((C2186=TRUE)*(F2186-Calc!F25)),(Inputs!$B$23+((C2191=TRUE)*(F2191-Calc!F30))+IF(ArtifactsInput!$M$15,CHOOSE(ArtifactsInput!$N$15+1,25,30,35,40,45,50)/100*(Inputs!$B$11-Inputs!$B$11),0)))/100+(Inputs!$B$23+((C2191=TRUE)*(F2191-Calc!F30))+IF(ArtifactsInput!$M$15,CHOOSE(ArtifactsInput!$N$15+1,25,30,35,40,45,50)/100*(Inputs!$B$11-Inputs!$B$11),0))/100)/2</f>
        <v/>
      </c>
      <c r="M2176">
        <f>L2176*(1+(Inputs!$B$10+((C2188=TRUE)*(F2188-Calc!F27))+B2202+(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2176">
        <f>L2176*(1-MIN((Inputs!$B$9+((C2187=TRUE)*(F2187-Calc!F26))+B2195+(ArtifactsInput!$M$24-ArtifactsInput!$M$24)*CHOOSE(ArtifactsInput!$N$24+1,10,12,14,16,18,20)+(IF(AND(Inputs!$B$39&lt;&gt;"pvp",Inputs!$B$44=0),1,IF(IF(Inputs!$B$39="pvp",15,Inputs!$B$44)-(B2206)&lt;=0,1,MAX(0,IF(Inputs!$B$39="pvp",15,Inputs!$B$44)-MAX(5,B2206))/(IF(Inputs!$B$39="pvp",15,Inputs!$B$44)-(B2206))))*IF(AND(ArtifactsInput!$M$42,((Inputs!$B$9+((C2187=TRUE)*(F2187-Calc!F26))+B2195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2176*(MIN((Inputs!$B$9+((C2187=TRUE)*(F2187-Calc!F26))+B2195+(ArtifactsInput!$M$24-ArtifactsInput!$M$24)*CHOOSE(ArtifactsInput!$N$24+1,10,12,14,16,18,20)+(IF(AND(Inputs!$B$39&lt;&gt;"pvp",Inputs!$B$44=0),1,IF(IF(Inputs!$B$39="pvp",15,Inputs!$B$44)-(B2206)&lt;=0,1,MAX(0,IF(Inputs!$B$39="pvp",15,Inputs!$B$44)-MAX(5,B2206))/(IF(Inputs!$B$39="pvp",15,Inputs!$B$44)-(B2206))))*IF(AND(ArtifactsInput!$M$42,((Inputs!$B$9+((C2187=TRUE)*(F2187-Calc!F26))+B2195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176">
        <f>(1-Summary!$B$11)*T2176+Summary!$B$11*V2176</f>
        <v/>
      </c>
      <c r="P2176">
        <f>IF(B2207=0,0,O2176/B2207)</f>
        <v/>
      </c>
      <c r="Q2176">
        <f>IFERROR(1/IF(Inputs!$B$39="pvp",15,MAX(0.1,Skills!D15-IF(TRUE=TRUE,Inputs!$B$32,0))),0)</f>
        <v/>
      </c>
      <c r="R2176">
        <f>IF(AND(Inputs!$B$39&lt;&gt;"pvp",Inputs!$B$44&gt;0),IF(MAX(0,Inputs!$B$44-B2206)&lt;=0,0,(INT(MAX(0,Inputs!$B$44-B2206)/IF(Inputs!$B$39="pvp",15,MAX(0.1,Skills!D15-IF(TRUE=TRUE,Inputs!$B$32,0))))+1)),0)</f>
        <v/>
      </c>
      <c r="S2176">
        <f>IFERROR(O2176/N2176,0)</f>
        <v/>
      </c>
      <c r="T2176">
        <f>IF(C2176,(H2176*N2176*IF(AND(Inputs!$B$39&lt;&gt;"pvp",Inputs!$B$44&gt;0),((Skills!G15*((R2176-1)*IF(Skills!H15&gt;0,Skills!I15/Skills!H15,1)+IF(Skills!H15&gt;0,MIN(Skills!I15,MAX(0,MAX(0,Inputs!$B$44-B2206)-((R2176-1)*IF(Inputs!$B$39="pvp",15,MAX(0.1,Skills!D15-IF(TRUE=TRUE,Inputs!$B$32,0))))))/Skills!H15,1)))/Inputs!$B$44),G2176*Q2176))*IF(Inputs!$B$39="pvp",1,1+(Inputs!$B$20+0+Skills!P15+B2196+(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Hunt"),CHOOSE(ArtifactsInput!$N$35+1,15,18,21,24,27,30)*(1-EXP(-(0.2*B2199)*5)),0)+IF(AND(ArtifactsInput!$M$22,Inputs!$B$4&lt;&gt;"Chapter Hunt"),CHOOSE(ArtifactsInput!$N$22+1,10,12,14,16,18,20)*((0*(((0.15*B2199*5))^0/1)+1*(((0.15*B2199*5))^1/1)+2*(((0.15*B2199*5))^2/2)+3*(((0.15*B2199*5))^3/6)+4*(((0.15*B2199*5))^4/24)+5*(((0.15*B2199*5))^5/120))/((((0.15*B2199*5))^0/1)+(((0.15*B2199*5))^1/1)+(((0.15*B2199*5))^2/2)+(((0.15*B2199*5))^3/6)+(((0.15*B2199*5))^4/24)+(((0.15*B2199*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2176*(1-MIN(100,(Inputs!$B$9+((C2187=TRUE)*(F2187-Calc!F26))+B2195+(ArtifactsInput!$M$24-ArtifactsInput!$M$24)*CHOOSE(ArtifactsInput!$N$24+1,10,12,14,16,18,20)+(IF(AND(Inputs!$B$39&lt;&gt;"pvp",Inputs!$B$44=0),1,IF(IF(Inputs!$B$39="pvp",15,Inputs!$B$44)-(B2206)&lt;=0,1,MAX(0,IF(Inputs!$B$39="pvp",15,Inputs!$B$44)-MAX(5,B2206))/(IF(Inputs!$B$39="pvp",15,Inputs!$B$44)-(B2206))))*IF(AND(ArtifactsInput!$M$42,((Inputs!$B$9+((C2187=TRUE)*(F2187-Calc!F26))+B2195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2176*(MIN(100,(Inputs!$B$9+((C2187=TRUE)*(F2187-Calc!F26))+B2195+(ArtifactsInput!$M$24-ArtifactsInput!$M$24)*CHOOSE(ArtifactsInput!$N$24+1,10,12,14,16,18,20)+(IF(AND(Inputs!$B$39&lt;&gt;"pvp",Inputs!$B$44=0),1,IF(IF(Inputs!$B$39="pvp",15,Inputs!$B$44)-(B2206)&lt;=0,1,MAX(0,IF(Inputs!$B$39="pvp",15,Inputs!$B$44)-MAX(5,B2206))/(IF(Inputs!$B$39="pvp",15,Inputs!$B$44)-(B2206))))*IF(AND(ArtifactsInput!$M$42,((Inputs!$B$9+((C2187=TRUE)*(F2187-Calc!F26))+B2195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2176*(1-MIN(100,(Inputs!$B$9+((C2187=TRUE)*(F2187-Calc!F26))+B2195+(ArtifactsInput!$M$24-ArtifactsInput!$M$24)*CHOOSE(ArtifactsInput!$N$24+1,10,12,14,16,18,20)+(IF(AND(Inputs!$B$39&lt;&gt;"pvp",Inputs!$B$44=0),1,IF(IF(Inputs!$B$39="pvp",15,Inputs!$B$44)-(B2206)&lt;=0,1,MAX(0,IF(Inputs!$B$39="pvp",15,Inputs!$B$44)-MAX(5,B2206))/(IF(Inputs!$B$39="pvp",15,Inputs!$B$44)-(B2206))))*IF(AND(ArtifactsInput!$M$42,((Inputs!$B$9+((C2187=TRUE)*(F2187-Calc!F26))+B2195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2176*(MIN(100,(Inputs!$B$9+((C2187=TRUE)*(F2187-Calc!F26))+B2195+(ArtifactsInput!$M$24-ArtifactsInput!$M$24)*CHOOSE(ArtifactsInput!$N$24+1,10,12,14,16,18,20)+(IF(AND(Inputs!$B$39&lt;&gt;"pvp",Inputs!$B$44=0),1,IF(IF(Inputs!$B$39="pvp",15,Inputs!$B$44)-(B2206)&lt;=0,1,MAX(0,IF(Inputs!$B$39="pvp",15,Inputs!$B$44)-MAX(5,B2206))/(IF(Inputs!$B$39="pvp",15,Inputs!$B$44)-(B2206))))*IF(AND(ArtifactsInput!$M$42,((Inputs!$B$9+((C2187=TRUE)*(F2187-Calc!F26))+B2195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176">
        <f>IF(C2176,(H2176*N2176*IF(AND(Inputs!$B$39&lt;&gt;"pvp",Inputs!$B$44&gt;0),((Skills!G15*((R2176-1)*IF(Skills!H15&gt;0,Skills!I15/Skills!H15,1)+IF(Skills!H15&gt;0,MIN(Skills!I15,MAX(0,MAX(0,Inputs!$B$44-B2206)-((R2176-1)*IF(Inputs!$B$39="pvp",15,MAX(0.1,Skills!D15-IF(TRUE=TRUE,Inputs!$B$32,0))))))/Skills!H15,1)))/Inputs!$B$44),G2176*Q2176))*IF(Inputs!$B$39="pvp",1,(1+(Inputs!$B$21+Skills!Q15+B2196+(IF(ArtifactsInput!$M$33,CHOOSE(ArtifactsInput!$N$33+1,30,36,42,48,54,60),0))+(IF(AND(ArtifactsInput!$M$35,Inputs!$B$4&lt;&gt;"Chapter Hunt"),CHOOSE(ArtifactsInput!$N$35+1,15,18,21,24,27,30)*(1-EXP(-(0.2*B2199)*5)),0)+IF(AND(ArtifactsInput!$M$22,Inputs!$B$4&lt;&gt;"Chapter Hunt"),CHOOSE(ArtifactsInput!$N$22+1,10,12,14,16,18,20)*((0*(((0.15*B2199*5))^0/1)+1*(((0.15*B2199*5))^1/1)+2*(((0.15*B2199*5))^2/2)+3*(((0.15*B2199*5))^3/6)+4*(((0.15*B2199*5))^4/24)+5*(((0.15*B2199*5))^5/120))/((((0.15*B2199*5))^0/1)+(((0.15*B2199*5))^1/1)+(((0.15*B2199*5))^2/2)+(((0.15*B2199*5))^3/6)+(((0.15*B2199*5))^4/24)+(((0.15*B2199*5))^5/120))),0)))/100)*(MIN(MIN(5,0.5*IF(Inputs!$B$3&gt;=75,0.75,0.5)*B2199*(1/Q2165))*Skills!V15,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177">
      <c r="A2177">
        <f>Skills!A16</f>
        <v/>
      </c>
      <c r="B2177">
        <f>Skills!B16</f>
        <v/>
      </c>
      <c r="C2177">
        <f>Inputs!$B$3&gt;=110</f>
        <v/>
      </c>
      <c r="D2177">
        <f>IF(Skills!C16=1,60+Inputs!$B$25+Inputs!$B$29,IF(Skills!C16=2,90+Inputs!$B$26+Inputs!$B$29,IF(Skills!C16=3,120+Inputs!$B$27+Inputs!$B$29,MAX(0,(Inputs!$B$3-100)*3)+Inputs!$B$28+Inputs!$B$29)))</f>
        <v/>
      </c>
      <c r="E2177">
        <f>INDEX(FactorTable!$B$2:$Y$301, MATCH(ROUND(MIN(300,MAX(1,D2177)),0), FactorTable!$A$2:$A$301,0), Skills!M16+1)</f>
        <v/>
      </c>
      <c r="F2177">
        <f>IF(Skills!N16=TRUE,(Skills!L16/10)*(E2177/1000),Skills!L16/10)+Skills!O16</f>
        <v/>
      </c>
      <c r="G2177">
        <f>Skills!G16*IF(Skills!H16&gt;0,IF(Inputs!$B$39="pvp",MIN(Skills!I16,15),Skills!I16)/Skills!H16,1)</f>
        <v/>
      </c>
      <c r="H2177">
        <f>1-(1-Skills!J16/100)^Skills!K16</f>
        <v/>
      </c>
      <c r="I2177" t="inlineStr">
        <is>
          <t>1</t>
        </is>
      </c>
      <c r="J2177" t="inlineStr"/>
      <c r="K2177" t="inlineStr"/>
      <c r="L2177" t="inlineStr"/>
      <c r="M2177" t="inlineStr"/>
      <c r="N2177" t="inlineStr"/>
      <c r="O2177">
        <f>(1-Summary!$B$11)*T2177+Summary!$B$11*V2177</f>
        <v/>
      </c>
      <c r="P2177">
        <f>IF(B2207=0,0,O2177/B2207)</f>
        <v/>
      </c>
      <c r="Q2177">
        <f>IFERROR(1/IF(Inputs!$B$39="pvp",15,MAX(0.1,Skills!D16-IF(TRUE=TRUE,Inputs!$B$32,0))),0)</f>
        <v/>
      </c>
      <c r="R2177">
        <f>IF(AND(Inputs!$B$39&lt;&gt;"pvp",Inputs!$B$44&gt;0),IF(Inputs!$B$44&lt;=0,0,(INT(Inputs!$B$44/IF(Inputs!$B$39="pvp",15,MAX(0.1,Skills!D16-IF(TRUE=TRUE,Inputs!$B$32,0))))+1)),0)</f>
        <v/>
      </c>
      <c r="S2177">
        <f>IFERROR(O2177/N2177,0)</f>
        <v/>
      </c>
      <c r="T2177" t="n">
        <v>0</v>
      </c>
      <c r="V2177" t="n">
        <v>0</v>
      </c>
    </row>
    <row r="2178">
      <c r="A2178">
        <f>Skills!A17</f>
        <v/>
      </c>
      <c r="B2178">
        <f>Skills!B17</f>
        <v/>
      </c>
      <c r="C2178">
        <f>Inputs!$B$3&gt;=115</f>
        <v/>
      </c>
      <c r="D2178">
        <f>IF(Skills!C17=1,60+Inputs!$B$25+Inputs!$B$29,IF(Skills!C17=2,90+Inputs!$B$26+Inputs!$B$29,IF(Skills!C17=3,120+Inputs!$B$27+Inputs!$B$29,MAX(0,(Inputs!$B$3-100)*3)+Inputs!$B$28+Inputs!$B$29)))</f>
        <v/>
      </c>
      <c r="E2178">
        <f>INDEX(FactorTable!$B$2:$Y$301, MATCH(ROUND(MIN(300,MAX(1,D2178)),0), FactorTable!$A$2:$A$301,0), Skills!M17+1)</f>
        <v/>
      </c>
      <c r="F2178">
        <f>IF(Skills!N17=TRUE,(Skills!L17/10)*(E2178/1000),Skills!L17/10)+Skills!O17</f>
        <v/>
      </c>
      <c r="G2178">
        <f>Skills!G17*IF(Skills!H17&gt;0,IF(Inputs!$B$39="pvp",MIN(Skills!I17,15),Skills!I17)/Skills!H17,1)</f>
        <v/>
      </c>
      <c r="H2178">
        <f>1-(1-Skills!J17/100)^Skills!K17</f>
        <v/>
      </c>
      <c r="I2178" t="inlineStr">
        <is>
          <t>1</t>
        </is>
      </c>
      <c r="J2178">
        <f>((Inputs!$B$6*(1+Inputs!$B$7/100))+(((Inputs!$B$12*(1+Inputs!$B$13/100))-(Inputs!$B$12*(1+Inputs!$B$13/100)))+0.25*(Inputs!$B$14-Inputs!$B$14))*(1+Inputs!$B$7/100))*(F2178/100)</f>
        <v/>
      </c>
      <c r="K2178">
        <f>J2178*(1+((Inputs!$B$12*(1+Inputs!$B$13/100))*0.01+Inputs!$B$14*0.0025)/100)*(1+Inputs!$B$15/100)*(1+Inputs!$B$16/100)*(5000/(6000+Inputs!$B$43*(1-(100*(1-(1-Inputs!$B$19/100)*(1-CHOOSE(ArtifactsInput!$N$40+1,5,6,7,8,9,10)/100)^(ArtifactsInput!$M$40-ArtifactsInput!$M$40)))/100)))*(1+(Inputs!$B$24+((C2192=TRUE)*(F2192-Calc!F31))+((C2179=TRUE)*(F2179-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17="CRUEL_STAB",Inputs!$B$17+((C2189=TRUE)*(F2189-Calc!F28))+((IF(AND(Inputs!$B$39&lt;&gt;"pvp",Inputs!$B$44=0),1,IF(IF(Inputs!$B$39="pvp",15,Inputs!$B$44)-(B2206)&lt;=0,1,MAX(0,IF(Inputs!$B$39="pvp",15,Inputs!$B$44)-MAX(5,B2206))/(IF(Inputs!$B$39="pvp",15,Inputs!$B$44)-(B2206))))*(IF(AND(ArtifactsInput!$M$42,((Inputs!$B$9+((C2187=TRUE)*(F2187-Calc!F26))+B2195+(ArtifactsInput!$M$24-ArtifactsInput!$M$24)*CHOOSE(ArtifactsInput!$N$24+1,10,12,14,16,18,20)+IF(ArtifactsInput!$M$10,CHOOSE(ArtifactsInput!$N$10+1,15,18,21,24,27,30)*(IF(Inputs!$B$39="pvp",MIN(15,15)/15,IF(AND(Inputs!$B$39&lt;&gt;"pvp",Inputs!$B$44&gt;0),MIN(15,Inputs!$B$44)/(Inputs!$B$44),0))),0)))&gt;=100),MIN(100,((Inputs!$B$9+((C2187=TRUE)*(F2187-Calc!F26))+B2195+(ArtifactsInput!$M$24-ArtifactsInput!$M$24)*CHOOSE(ArtifactsInput!$N$24+1,10,12,14,16,18,20)+IF(ArtifactsInput!$M$10,CHOOSE(ArtifactsInput!$N$10+1,15,18,21,24,27,30)*(IF(Inputs!$B$39="pvp",MIN(15,15)/15,IF(AND(Inputs!$B$39&lt;&gt;"pvp",Inputs!$B$44&gt;0),MIN(15,Inputs!$B$44)/(Inputs!$B$44),0))),0)))-100),0))*CHOOSE(ArtifactsInput!$N$42+1,0.6,0.72,0.84,0.96,1.08,1.2))),Inputs!$B$18+((C2190=TRUE)*(F2190-Calc!F29))+(IF(AND(Inputs!$B$39&lt;&gt;"pvp",Inputs!$B$44=0),1,IF(IF(Inputs!$B$39="pvp",15,Inputs!$B$44)-(B2206)&lt;=0,1,MAX(0,IF(Inputs!$B$39="pvp",15,Inputs!$B$44)-MAX(5,B2206))/(IF(Inputs!$B$39="pvp",15,Inputs!$B$44)-(B2206))))*IF(AND(ArtifactsInput!$M$42,((Inputs!$B$9+((C2187=TRUE)*(F2187-Calc!F26))+B2195+(ArtifactsInput!$M$24-ArtifactsInput!$M$24)*CHOOSE(ArtifactsInput!$N$24+1,10,12,14,16,18,20)+IF(ArtifactsInput!$M$10,CHOOSE(ArtifactsInput!$N$10+1,15,18,21,24,27,30)*(IF(Inputs!$B$39="pvp",MIN(15,15)/15,IF(AND(Inputs!$B$39&lt;&gt;"pvp",Inputs!$B$44&gt;0),MIN(15,Inputs!$B$44)/(Inputs!$B$44),0))),0)))&gt;=100),CHOOSE(ArtifactsInput!$N$42+1,40,48,56,64,72,80),0))))/100)*(((1+(((C2183=TRUE)*F2183*IF(AND(Inputs!$B$39&lt;&gt;"pvp",Inputs!$B$44&gt;0),(((R2183-1)*MIN((Skills!Y22*(1+Inputs!$B$34/100)),(1/Q2183))+MIN((Skills!Y22*(1+Inputs!$B$34/100)),MAX(0,Inputs!$B$44-((R2183-1)*(1/Q2183)))))/Inputs!$B$44),IF(Inputs!$B$39="pvp",MIN((Skills!Y22*(1+Inputs!$B$34/100)),15)/15,MIN(1,(Skills!Y22*(1+Inputs!$B$34/100))/(1/Q2183)))))+((C2164=TRUE)*F2164*3)+((C2166=TRUE)*F2166*(1-EXP(-0.75*B2199*5)))+((C2185=TRUE)*(F2185-Calc!F24))+(IF(IF(ArtifactsInput!$M$21,FALSE,TRUE),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2172=TRUE)*F2172*IF(AND(Inputs!$B$39&lt;&gt;"pvp",Inputs!$B$44&gt;0),(((R2172-1)*MIN((Skills!Y11*(1+Inputs!$B$34/100)),(1/Q2172))+MIN((Skills!Y11*(1+Inputs!$B$34/100)),MAX(0,Inputs!$B$44-((R2172-1)*(1/Q2172)))))/Inputs!$B$44),IF(Inputs!$B$39="pvp",MIN((Skills!Y11*(1+Inputs!$B$34/100)),15)/15,MIN(1,(Skills!Y11*(1+Inputs!$B$34/100))/(1/Q2172)))))/100)*(1+((C2177=TRUE)*F2177*IF(AND(Inputs!$B$39&lt;&gt;"pvp",Inputs!$B$44&gt;0),(((R2177-1)*MIN((Skills!Y16*(1+Inputs!$B$34/100)),(1/Q2177))+MIN((Skills!Y16*(1+Inputs!$B$34/100)),MAX(0,Inputs!$B$44-((R2177-1)*(1/Q2177)))))/Inputs!$B$44),IF(Inputs!$B$39="pvp",MIN((Skills!Y16*(1+Inputs!$B$34/100)),15)/15,MIN(1,(Skills!Y16*(1+Inputs!$B$34/100))/(1/Q2177)))))/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2197*I2178)</f>
        <v/>
      </c>
      <c r="L2178">
        <f>K2178*(MIN(Inputs!$B$22+((C2186=TRUE)*(F2186-Calc!F25)),(Inputs!$B$23+((C2191=TRUE)*(F2191-Calc!F30))+IF(ArtifactsInput!$M$15,CHOOSE(ArtifactsInput!$N$15+1,25,30,35,40,45,50)/100*(Inputs!$B$11-Inputs!$B$11),0)))/100+(Inputs!$B$23+((C2191=TRUE)*(F2191-Calc!F30))+IF(ArtifactsInput!$M$15,CHOOSE(ArtifactsInput!$N$15+1,25,30,35,40,45,50)/100*(Inputs!$B$11-Inputs!$B$11),0))/100)/2</f>
        <v/>
      </c>
      <c r="M2178">
        <f>L2178*(1+(Inputs!$B$10+((C2188=TRUE)*(F2188-Calc!F27))+B2202+(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2178">
        <f>L2178*(1-MIN((Inputs!$B$9+((C2187=TRUE)*(F2187-Calc!F26))+B2195+(ArtifactsInput!$M$24-ArtifactsInput!$M$24)*CHOOSE(ArtifactsInput!$N$24+1,10,12,14,16,18,20)+(IF(AND(Inputs!$B$39&lt;&gt;"pvp",Inputs!$B$44=0),1,IF(IF(Inputs!$B$39="pvp",15,Inputs!$B$44)-(B2206)&lt;=0,1,MAX(0,IF(Inputs!$B$39="pvp",15,Inputs!$B$44)-MAX(5,B2206))/(IF(Inputs!$B$39="pvp",15,Inputs!$B$44)-(B2206))))*IF(AND(ArtifactsInput!$M$42,((Inputs!$B$9+((C2187=TRUE)*(F2187-Calc!F26))+B2195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2178*(MIN((Inputs!$B$9+((C2187=TRUE)*(F2187-Calc!F26))+B2195+(ArtifactsInput!$M$24-ArtifactsInput!$M$24)*CHOOSE(ArtifactsInput!$N$24+1,10,12,14,16,18,20)+(IF(AND(Inputs!$B$39&lt;&gt;"pvp",Inputs!$B$44=0),1,IF(IF(Inputs!$B$39="pvp",15,Inputs!$B$44)-(B2206)&lt;=0,1,MAX(0,IF(Inputs!$B$39="pvp",15,Inputs!$B$44)-MAX(5,B2206))/(IF(Inputs!$B$39="pvp",15,Inputs!$B$44)-(B2206))))*IF(AND(ArtifactsInput!$M$42,((Inputs!$B$9+((C2187=TRUE)*(F2187-Calc!F26))+B2195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178">
        <f>(1-Summary!$B$11)*T2178+Summary!$B$11*V2178</f>
        <v/>
      </c>
      <c r="P2178">
        <f>IF(B2207=0,0,O2178/B2207)</f>
        <v/>
      </c>
      <c r="Q2178" t="n">
        <v>0</v>
      </c>
      <c r="R2178" t="n">
        <v>0</v>
      </c>
      <c r="S2178">
        <f>IFERROR(O2178/N2178,0)</f>
        <v/>
      </c>
      <c r="T2178">
        <f>IF(C2178,(Inputs!$B$38*0.2*N2178)*IF(Inputs!$B$39="pvp",1,1+(Inputs!$B$20+0+Skills!P17+B2196+(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Hunt"),CHOOSE(ArtifactsInput!$N$35+1,15,18,21,24,27,30)*(1-EXP(-(0.2*B2199)*5)),0)+IF(AND(ArtifactsInput!$M$22,Inputs!$B$4&lt;&gt;"Chapter Hunt"),CHOOSE(ArtifactsInput!$N$22+1,10,12,14,16,18,20)*((0*(((0.15*B2199*5))^0/1)+1*(((0.15*B2199*5))^1/1)+2*(((0.15*B2199*5))^2/2)+3*(((0.15*B2199*5))^3/6)+4*(((0.15*B2199*5))^4/24)+5*(((0.15*B2199*5))^5/120))/((((0.15*B2199*5))^0/1)+(((0.15*B2199*5))^1/1)+(((0.15*B2199*5))^2/2)+(((0.15*B2199*5))^3/6)+(((0.15*B2199*5))^4/24)+(((0.15*B2199*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2178*(1-MIN(100,(Inputs!$B$9+((C2187=TRUE)*(F2187-Calc!F26))+B2195+(ArtifactsInput!$M$24-ArtifactsInput!$M$24)*CHOOSE(ArtifactsInput!$N$24+1,10,12,14,16,18,20)+(IF(AND(Inputs!$B$39&lt;&gt;"pvp",Inputs!$B$44=0),1,IF(IF(Inputs!$B$39="pvp",15,Inputs!$B$44)-(B2206)&lt;=0,1,MAX(0,IF(Inputs!$B$39="pvp",15,Inputs!$B$44)-MAX(5,B2206))/(IF(Inputs!$B$39="pvp",15,Inputs!$B$44)-(B2206))))*IF(AND(ArtifactsInput!$M$42,((Inputs!$B$9+((C2187=TRUE)*(F2187-Calc!F26))+B2195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2178*(MIN(100,(Inputs!$B$9+((C2187=TRUE)*(F2187-Calc!F26))+B2195+(ArtifactsInput!$M$24-ArtifactsInput!$M$24)*CHOOSE(ArtifactsInput!$N$24+1,10,12,14,16,18,20)+(IF(AND(Inputs!$B$39&lt;&gt;"pvp",Inputs!$B$44=0),1,IF(IF(Inputs!$B$39="pvp",15,Inputs!$B$44)-(B2206)&lt;=0,1,MAX(0,IF(Inputs!$B$39="pvp",15,Inputs!$B$44)-MAX(5,B2206))/(IF(Inputs!$B$39="pvp",15,Inputs!$B$44)-(B2206))))*IF(AND(ArtifactsInput!$M$42,((Inputs!$B$9+((C2187=TRUE)*(F2187-Calc!F26))+B2195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2178*(1-MIN(100,(Inputs!$B$9+((C2187=TRUE)*(F2187-Calc!F26))+B2195+(ArtifactsInput!$M$24-ArtifactsInput!$M$24)*CHOOSE(ArtifactsInput!$N$24+1,10,12,14,16,18,20)+(IF(AND(Inputs!$B$39&lt;&gt;"pvp",Inputs!$B$44=0),1,IF(IF(Inputs!$B$39="pvp",15,Inputs!$B$44)-(B2206)&lt;=0,1,MAX(0,IF(Inputs!$B$39="pvp",15,Inputs!$B$44)-MAX(5,B2206))/(IF(Inputs!$B$39="pvp",15,Inputs!$B$44)-(B2206))))*IF(AND(ArtifactsInput!$M$42,((Inputs!$B$9+((C2187=TRUE)*(F2187-Calc!F26))+B2195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2178*(MIN(100,(Inputs!$B$9+((C2187=TRUE)*(F2187-Calc!F26))+B2195+(ArtifactsInput!$M$24-ArtifactsInput!$M$24)*CHOOSE(ArtifactsInput!$N$24+1,10,12,14,16,18,20)+(IF(AND(Inputs!$B$39&lt;&gt;"pvp",Inputs!$B$44=0),1,IF(IF(Inputs!$B$39="pvp",15,Inputs!$B$44)-(B2206)&lt;=0,1,MAX(0,IF(Inputs!$B$39="pvp",15,Inputs!$B$44)-MAX(5,B2206))/(IF(Inputs!$B$39="pvp",15,Inputs!$B$44)-(B2206))))*IF(AND(ArtifactsInput!$M$42,((Inputs!$B$9+((C2187=TRUE)*(F2187-Calc!F26))+B2195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178">
        <f>IF(C2178,(Inputs!$B$38*0.2*N2178)*IF(Inputs!$B$39="pvp",1,(1+(Inputs!$B$21+Skills!Q17+B2196+(IF(ArtifactsInput!$M$33,CHOOSE(ArtifactsInput!$N$33+1,30,36,42,48,54,60),0))+(IF(AND(ArtifactsInput!$M$35,Inputs!$B$4&lt;&gt;"Chapter Hunt"),CHOOSE(ArtifactsInput!$N$35+1,15,18,21,24,27,30)*(1-EXP(-(0.2*B2199)*5)),0)+IF(AND(ArtifactsInput!$M$22,Inputs!$B$4&lt;&gt;"Chapter Hunt"),CHOOSE(ArtifactsInput!$N$22+1,10,12,14,16,18,20)*((0*(((0.15*B2199*5))^0/1)+1*(((0.15*B2199*5))^1/1)+2*(((0.15*B2199*5))^2/2)+3*(((0.15*B2199*5))^3/6)+4*(((0.15*B2199*5))^4/24)+5*(((0.15*B2199*5))^5/120))/((((0.15*B2199*5))^0/1)+(((0.15*B2199*5))^1/1)+(((0.15*B2199*5))^2/2)+(((0.15*B2199*5))^3/6)+(((0.15*B2199*5))^4/24)+(((0.15*B2199*5))^5/120))),0)))/100)*(MIN(Skills!W17,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179">
      <c r="A2179">
        <f>Skills!A18</f>
        <v/>
      </c>
      <c r="B2179">
        <f>Skills!B18</f>
        <v/>
      </c>
      <c r="C2179">
        <f>Inputs!$B$3&gt;=115</f>
        <v/>
      </c>
      <c r="D2179">
        <f>IF(Skills!C18=1,60+Inputs!$B$25+Inputs!$B$29,IF(Skills!C18=2,90+Inputs!$B$26+Inputs!$B$29,IF(Skills!C18=3,120+Inputs!$B$27+Inputs!$B$29,MAX(0,(Inputs!$B$3-100)*3)+Inputs!$B$28+Inputs!$B$29)))</f>
        <v/>
      </c>
      <c r="E2179">
        <f>INDEX(FactorTable!$B$2:$Y$301, MATCH(ROUND(MIN(300,MAX(1,D2179)),0), FactorTable!$A$2:$A$301,0), Skills!M18+1)</f>
        <v/>
      </c>
      <c r="F2179">
        <f>IF(Skills!N18=TRUE,(Skills!L18/10)*(E2179/1000),Skills!L18/10)+Skills!O18</f>
        <v/>
      </c>
      <c r="G2179">
        <f>Skills!G18*IF(Skills!H18&gt;0,IF(Inputs!$B$39="pvp",MIN(Skills!I18,15),Skills!I18)/Skills!H18,1)</f>
        <v/>
      </c>
      <c r="H2179">
        <f>1-(1-Skills!J18/100)^Skills!K18</f>
        <v/>
      </c>
      <c r="I2179" t="inlineStr">
        <is>
          <t>1</t>
        </is>
      </c>
      <c r="J2179" t="inlineStr"/>
      <c r="K2179" t="inlineStr"/>
      <c r="L2179" t="inlineStr"/>
      <c r="M2179" t="inlineStr"/>
      <c r="N2179" t="inlineStr"/>
      <c r="O2179">
        <f>(1-Summary!$B$11)*T2179+Summary!$B$11*V2179</f>
        <v/>
      </c>
      <c r="P2179">
        <f>IF(B2207=0,0,O2179/B2207)</f>
        <v/>
      </c>
      <c r="Q2179" t="n">
        <v>0</v>
      </c>
      <c r="R2179" t="n">
        <v>0</v>
      </c>
      <c r="S2179">
        <f>IFERROR(O2179/N2179,0)</f>
        <v/>
      </c>
      <c r="T2179" t="n">
        <v>0</v>
      </c>
      <c r="V2179" t="n">
        <v>0</v>
      </c>
    </row>
    <row r="2180">
      <c r="A2180">
        <f>Skills!A19</f>
        <v/>
      </c>
      <c r="B2180">
        <f>Skills!B19</f>
        <v/>
      </c>
      <c r="C2180">
        <f>Inputs!$B$3&gt;=100</f>
        <v/>
      </c>
      <c r="D2180">
        <f>IF(Skills!C19=1,60+Inputs!$B$25+Inputs!$B$29,IF(Skills!C19=2,90+Inputs!$B$26+Inputs!$B$29,IF(Skills!C19=3,120+Inputs!$B$27+Inputs!$B$29,MAX(0,(Inputs!$B$3-100)*3)+Inputs!$B$28+Inputs!$B$29)))</f>
        <v/>
      </c>
      <c r="E2180">
        <f>INDEX(FactorTable!$B$2:$Y$301, MATCH(ROUND(MIN(300,MAX(1,D2180)),0), FactorTable!$A$2:$A$301,0), Skills!M19+1)</f>
        <v/>
      </c>
      <c r="F2180">
        <f>IF(Skills!N19=TRUE,(Skills!L19/10)*(E2180/1000),Skills!L19/10)+Skills!O19</f>
        <v/>
      </c>
      <c r="G2180">
        <f>Skills!G19*IF(Skills!H19&gt;0,IF(Inputs!$B$39="pvp",MIN(Skills!I19,15),Skills!I19)/Skills!H19,1)</f>
        <v/>
      </c>
      <c r="H2180">
        <f>1-(1-Skills!J19/100)^Skills!K19</f>
        <v/>
      </c>
      <c r="I2180" t="inlineStr">
        <is>
          <t>1</t>
        </is>
      </c>
      <c r="J2180" t="inlineStr"/>
      <c r="K2180" t="inlineStr"/>
      <c r="L2180" t="inlineStr"/>
      <c r="M2180" t="inlineStr"/>
      <c r="N2180" t="inlineStr"/>
      <c r="O2180">
        <f>(1-Summary!$B$11)*T2180+Summary!$B$11*V2180</f>
        <v/>
      </c>
      <c r="P2180">
        <f>IF(B2207=0,0,O2180/B2207)</f>
        <v/>
      </c>
      <c r="Q2180" t="n">
        <v>0</v>
      </c>
      <c r="R2180" t="n">
        <v>0</v>
      </c>
      <c r="S2180">
        <f>IFERROR(O2180/N2180,0)</f>
        <v/>
      </c>
      <c r="T2180" t="n">
        <v>0</v>
      </c>
      <c r="V2180" t="n">
        <v>0</v>
      </c>
    </row>
    <row r="2181">
      <c r="A2181">
        <f>Skills!A20</f>
        <v/>
      </c>
      <c r="B2181">
        <f>Skills!B20</f>
        <v/>
      </c>
      <c r="C2181">
        <f>TRUE</f>
        <v/>
      </c>
      <c r="D2181">
        <f>IF(Skills!C20=1,60+Inputs!$B$25+Inputs!$B$29,IF(Skills!C20=2,90+Inputs!$B$26+Inputs!$B$29,IF(Skills!C20=3,120+Inputs!$B$27+Inputs!$B$29,MAX(0,(Inputs!$B$3-100)*3)+Inputs!$B$28+Inputs!$B$29)))</f>
        <v/>
      </c>
      <c r="E2181">
        <f>INDEX(FactorTable!$B$2:$Y$301, MATCH(ROUND(MIN(300,MAX(1,D2181)),0), FactorTable!$A$2:$A$301,0), Skills!M20+1)</f>
        <v/>
      </c>
      <c r="F2181">
        <f>IF(Skills!N20=TRUE,(Skills!L20/10)*(E2181/1000),Skills!L20/10)+Skills!O20</f>
        <v/>
      </c>
      <c r="G2181">
        <f>Skills!G20*IF(Skills!H20&gt;0,IF(Inputs!$B$39="pvp",MIN(Skills!I20,15),Skills!I20)/Skills!H20,1)</f>
        <v/>
      </c>
      <c r="H2181">
        <f>1-(1-Skills!J20/100)^Skills!K20</f>
        <v/>
      </c>
      <c r="I2181" t="inlineStr">
        <is>
          <t>1</t>
        </is>
      </c>
      <c r="J2181" t="inlineStr"/>
      <c r="K2181" t="inlineStr"/>
      <c r="L2181" t="inlineStr"/>
      <c r="M2181" t="inlineStr"/>
      <c r="N2181" t="inlineStr"/>
      <c r="O2181">
        <f>(1-Summary!$B$11)*T2181+Summary!$B$11*V2181</f>
        <v/>
      </c>
      <c r="P2181">
        <f>IF(B2207=0,0,O2181/B2207)</f>
        <v/>
      </c>
      <c r="Q2181">
        <f>IFERROR(1/IF(Inputs!$B$39="pvp",15,MAX(0.1,Skills!D20-IF(TRUE=TRUE,Inputs!$B$32,0))),0)</f>
        <v/>
      </c>
      <c r="R2181">
        <f>IF(AND(Inputs!$B$39&lt;&gt;"pvp",Inputs!$B$44&gt;0),IF(Inputs!$B$44&lt;=0,0,(INT(Inputs!$B$44/IF(Inputs!$B$39="pvp",15,MAX(0.1,Skills!D20-IF(TRUE=TRUE,Inputs!$B$32,0))))+1)),0)</f>
        <v/>
      </c>
      <c r="S2181">
        <f>IFERROR(O2181/N2181,0)</f>
        <v/>
      </c>
      <c r="T2181" t="n">
        <v>0</v>
      </c>
      <c r="V2181" t="n">
        <v>0</v>
      </c>
    </row>
    <row r="2182">
      <c r="A2182">
        <f>Skills!A21</f>
        <v/>
      </c>
      <c r="B2182">
        <f>Skills!B21</f>
        <v/>
      </c>
      <c r="C2182">
        <f>Inputs!$B$3&gt;=15</f>
        <v/>
      </c>
      <c r="D2182">
        <f>IF(Skills!C21=1,60+Inputs!$B$25+Inputs!$B$29,IF(Skills!C21=2,90+Inputs!$B$26+Inputs!$B$29,IF(Skills!C21=3,120+Inputs!$B$27+Inputs!$B$29,MAX(0,(Inputs!$B$3-100)*3)+Inputs!$B$28+Inputs!$B$29)))</f>
        <v/>
      </c>
      <c r="E2182">
        <f>INDEX(FactorTable!$B$2:$Y$301, MATCH(ROUND(MIN(300,MAX(1,D2182)),0), FactorTable!$A$2:$A$301,0), Skills!M21+1)</f>
        <v/>
      </c>
      <c r="F2182">
        <f>IF(Skills!N21=TRUE,(Skills!L21/10)*(E2182/1000),Skills!L21/10)+Skills!O21</f>
        <v/>
      </c>
      <c r="G2182">
        <f>Skills!G21*IF(Skills!H21&gt;0,IF(Inputs!$B$39="pvp",MIN(Skills!I21,15),Skills!I21)/Skills!H21,1)</f>
        <v/>
      </c>
      <c r="H2182">
        <f>1-(1-Skills!J21/100)^Skills!K21</f>
        <v/>
      </c>
      <c r="I2182" t="inlineStr">
        <is>
          <t>1</t>
        </is>
      </c>
      <c r="J2182" t="inlineStr"/>
      <c r="K2182" t="inlineStr"/>
      <c r="L2182" t="inlineStr"/>
      <c r="M2182" t="inlineStr"/>
      <c r="N2182" t="inlineStr"/>
      <c r="O2182">
        <f>(1-Summary!$B$11)*T2182+Summary!$B$11*V2182</f>
        <v/>
      </c>
      <c r="P2182">
        <f>IF(B2207=0,0,O2182/B2207)</f>
        <v/>
      </c>
      <c r="Q2182">
        <f>IFERROR(1/IF(Inputs!$B$39="pvp",15,MAX(0.1,Skills!D21-IF(TRUE=TRUE,Inputs!$B$32,0))),0)</f>
        <v/>
      </c>
      <c r="R2182">
        <f>IF(AND(Inputs!$B$39&lt;&gt;"pvp",Inputs!$B$44&gt;0),IF(Inputs!$B$44&lt;=0,0,(INT(Inputs!$B$44/IF(Inputs!$B$39="pvp",15,MAX(0.1,Skills!D21-IF(TRUE=TRUE,Inputs!$B$32,0))))+1)),0)</f>
        <v/>
      </c>
      <c r="S2182">
        <f>IFERROR(O2182/N2182,0)</f>
        <v/>
      </c>
      <c r="T2182" t="n">
        <v>0</v>
      </c>
      <c r="V2182" t="n">
        <v>0</v>
      </c>
    </row>
    <row r="2183">
      <c r="A2183">
        <f>Skills!A22</f>
        <v/>
      </c>
      <c r="B2183">
        <f>Skills!B22</f>
        <v/>
      </c>
      <c r="C2183">
        <f>Inputs!$B$3&gt;=15</f>
        <v/>
      </c>
      <c r="D2183">
        <f>IF(Skills!C22=1,60+Inputs!$B$25+Inputs!$B$29,IF(Skills!C22=2,90+Inputs!$B$26+Inputs!$B$29,IF(Skills!C22=3,120+Inputs!$B$27+Inputs!$B$29,MAX(0,(Inputs!$B$3-100)*3)+Inputs!$B$28+Inputs!$B$29)))</f>
        <v/>
      </c>
      <c r="E2183">
        <f>INDEX(FactorTable!$B$2:$Y$301, MATCH(ROUND(MIN(300,MAX(1,D2183)),0), FactorTable!$A$2:$A$301,0), Skills!M22+1)</f>
        <v/>
      </c>
      <c r="F2183">
        <f>IF(Skills!N22=TRUE,(Skills!L22/10)*(E2183/1000),Skills!L22/10)+Skills!O22</f>
        <v/>
      </c>
      <c r="G2183">
        <f>Skills!G22*IF(Skills!H22&gt;0,IF(Inputs!$B$39="pvp",MIN(Skills!I22,15),Skills!I22)/Skills!H22,1)</f>
        <v/>
      </c>
      <c r="H2183">
        <f>1-(1-Skills!J22/100)^Skills!K22</f>
        <v/>
      </c>
      <c r="I2183" t="inlineStr">
        <is>
          <t>1</t>
        </is>
      </c>
      <c r="J2183" t="inlineStr"/>
      <c r="K2183" t="inlineStr"/>
      <c r="L2183" t="inlineStr"/>
      <c r="M2183" t="inlineStr"/>
      <c r="N2183" t="inlineStr"/>
      <c r="O2183">
        <f>(1-Summary!$B$11)*T2183+Summary!$B$11*V2183</f>
        <v/>
      </c>
      <c r="P2183">
        <f>IF(B2207=0,0,O2183/B2207)</f>
        <v/>
      </c>
      <c r="Q2183">
        <f>IFERROR(1/IF(Inputs!$B$39="pvp",15,MAX(0.1,Skills!D22-IF(TRUE=TRUE,Inputs!$B$32,0))),0)</f>
        <v/>
      </c>
      <c r="R2183">
        <f>IF(AND(Inputs!$B$39&lt;&gt;"pvp",Inputs!$B$44&gt;0),IF(Inputs!$B$44&lt;=0,0,(INT(Inputs!$B$44/IF(Inputs!$B$39="pvp",15,MAX(0.1,Skills!D22-IF(TRUE=TRUE,Inputs!$B$32,0))))+1)),0)</f>
        <v/>
      </c>
      <c r="S2183">
        <f>IFERROR(O2183/N2183,0)</f>
        <v/>
      </c>
      <c r="T2183" t="n">
        <v>0</v>
      </c>
      <c r="V2183" t="n">
        <v>0</v>
      </c>
    </row>
    <row r="2184">
      <c r="A2184">
        <f>Skills!A23</f>
        <v/>
      </c>
      <c r="B2184">
        <f>Skills!B23</f>
        <v/>
      </c>
      <c r="C2184">
        <f>Inputs!$B$3&gt;=33</f>
        <v/>
      </c>
      <c r="D2184">
        <f>IF(Skills!C23=1,60+Inputs!$B$25+Inputs!$B$29,IF(Skills!C23=2,90+Inputs!$B$26+Inputs!$B$29,IF(Skills!C23=3,120+Inputs!$B$27+Inputs!$B$29,MAX(0,(Inputs!$B$3-100)*3)+Inputs!$B$28+Inputs!$B$29)))</f>
        <v/>
      </c>
      <c r="E2184">
        <f>INDEX(FactorTable!$B$2:$Y$301, MATCH(ROUND(MIN(300,MAX(1,D2184)),0), FactorTable!$A$2:$A$301,0), Skills!M23+1)</f>
        <v/>
      </c>
      <c r="F2184">
        <f>IF(Skills!N23=TRUE,(Skills!L23/10)*(E2184/1000),Skills!L23/10)+Skills!O23</f>
        <v/>
      </c>
      <c r="G2184">
        <f>Skills!G23*IF(Skills!H23&gt;0,IF(Inputs!$B$39="pvp",MIN(Skills!I23,15),Skills!I23)/Skills!H23,1)</f>
        <v/>
      </c>
      <c r="H2184">
        <f>1-(1-Skills!J23/100)^Skills!K23</f>
        <v/>
      </c>
      <c r="I2184" t="inlineStr">
        <is>
          <t>1</t>
        </is>
      </c>
      <c r="J2184" t="inlineStr"/>
      <c r="K2184" t="inlineStr"/>
      <c r="L2184" t="inlineStr"/>
      <c r="M2184" t="inlineStr"/>
      <c r="N2184" t="inlineStr"/>
      <c r="O2184">
        <f>(1-Summary!$B$11)*T2184+Summary!$B$11*V2184</f>
        <v/>
      </c>
      <c r="P2184">
        <f>IF(B2207=0,0,O2184/B2207)</f>
        <v/>
      </c>
      <c r="Q2184" t="n">
        <v>0</v>
      </c>
      <c r="R2184" t="n">
        <v>0</v>
      </c>
      <c r="S2184">
        <f>IFERROR(O2184/N2184,0)</f>
        <v/>
      </c>
      <c r="T2184" t="n">
        <v>0</v>
      </c>
      <c r="V2184" t="n">
        <v>0</v>
      </c>
    </row>
    <row r="2185">
      <c r="A2185">
        <f>Skills!A24</f>
        <v/>
      </c>
      <c r="B2185">
        <f>Skills!B24</f>
        <v/>
      </c>
      <c r="C2185">
        <f>Inputs!$B$3&gt;=40</f>
        <v/>
      </c>
      <c r="D2185">
        <f>IF(Skills!C24=1,60+Inputs!$B$25+Inputs!$B$29,IF(Skills!C24=2,90+Inputs!$B$26+Inputs!$B$29,IF(Skills!C24=3,120+Inputs!$B$27+Inputs!$B$29,MAX(0,(Inputs!$B$3-100)*3)+Inputs!$B$28+Inputs!$B$29)))</f>
        <v/>
      </c>
      <c r="E2185">
        <f>INDEX(FactorTable!$B$2:$Y$301, MATCH(ROUND(MIN(300,MAX(1,D2185)),0), FactorTable!$A$2:$A$301,0), Skills!M24+1)</f>
        <v/>
      </c>
      <c r="F2185">
        <f>IF(Skills!N24=TRUE,(Skills!L24/10)*(E2185/1000),Skills!L24/10)+Skills!O24</f>
        <v/>
      </c>
      <c r="G2185">
        <f>Skills!G24*IF(Skills!H24&gt;0,IF(Inputs!$B$39="pvp",MIN(Skills!I24,15),Skills!I24)/Skills!H24,1)</f>
        <v/>
      </c>
      <c r="H2185">
        <f>1-(1-Skills!J24/100)^Skills!K24</f>
        <v/>
      </c>
      <c r="I2185" t="inlineStr">
        <is>
          <t>1</t>
        </is>
      </c>
      <c r="J2185" t="inlineStr"/>
      <c r="K2185" t="inlineStr"/>
      <c r="L2185" t="inlineStr"/>
      <c r="M2185" t="inlineStr"/>
      <c r="N2185" t="inlineStr"/>
      <c r="O2185">
        <f>(1-Summary!$B$11)*T2185+Summary!$B$11*V2185</f>
        <v/>
      </c>
      <c r="P2185">
        <f>IF(B2207=0,0,O2185/B2207)</f>
        <v/>
      </c>
      <c r="Q2185" t="n">
        <v>0</v>
      </c>
      <c r="R2185" t="n">
        <v>0</v>
      </c>
      <c r="S2185">
        <f>IFERROR(O2185/N2185,0)</f>
        <v/>
      </c>
      <c r="T2185" t="n">
        <v>0</v>
      </c>
      <c r="V2185" t="n">
        <v>0</v>
      </c>
    </row>
    <row r="2186">
      <c r="A2186">
        <f>Skills!A25</f>
        <v/>
      </c>
      <c r="B2186">
        <f>Skills!B25</f>
        <v/>
      </c>
      <c r="C2186">
        <f>Inputs!$B$3&gt;=43</f>
        <v/>
      </c>
      <c r="D2186">
        <f>IF(Skills!C25=1,60+Inputs!$B$25+Inputs!$B$29,IF(Skills!C25=2,90+Inputs!$B$26+Inputs!$B$29,IF(Skills!C25=3,120+Inputs!$B$27+Inputs!$B$29,MAX(0,(Inputs!$B$3-100)*3)+Inputs!$B$28+Inputs!$B$29)))</f>
        <v/>
      </c>
      <c r="E2186">
        <f>INDEX(FactorTable!$B$2:$Y$301, MATCH(ROUND(MIN(300,MAX(1,D2186)),0), FactorTable!$A$2:$A$301,0), Skills!M25+1)</f>
        <v/>
      </c>
      <c r="F2186">
        <f>IF(Skills!N25=TRUE,(Skills!L25/10)*(E2186/1000),Skills!L25/10)+Skills!O25</f>
        <v/>
      </c>
      <c r="G2186">
        <f>Skills!G25*IF(Skills!H25&gt;0,IF(Inputs!$B$39="pvp",MIN(Skills!I25,15),Skills!I25)/Skills!H25,1)</f>
        <v/>
      </c>
      <c r="H2186">
        <f>1-(1-Skills!J25/100)^Skills!K25</f>
        <v/>
      </c>
      <c r="I2186" t="inlineStr">
        <is>
          <t>1</t>
        </is>
      </c>
      <c r="J2186" t="inlineStr"/>
      <c r="K2186" t="inlineStr"/>
      <c r="L2186" t="inlineStr"/>
      <c r="M2186" t="inlineStr"/>
      <c r="N2186" t="inlineStr"/>
      <c r="O2186">
        <f>(1-Summary!$B$11)*T2186+Summary!$B$11*V2186</f>
        <v/>
      </c>
      <c r="P2186">
        <f>IF(B2207=0,0,O2186/B2207)</f>
        <v/>
      </c>
      <c r="Q2186" t="n">
        <v>0</v>
      </c>
      <c r="R2186" t="n">
        <v>0</v>
      </c>
      <c r="S2186">
        <f>IFERROR(O2186/N2186,0)</f>
        <v/>
      </c>
      <c r="T2186" t="n">
        <v>0</v>
      </c>
      <c r="V2186" t="n">
        <v>0</v>
      </c>
    </row>
    <row r="2187">
      <c r="A2187">
        <f>Skills!A26</f>
        <v/>
      </c>
      <c r="B2187">
        <f>Skills!B26</f>
        <v/>
      </c>
      <c r="C2187">
        <f>Inputs!$B$3&gt;=50</f>
        <v/>
      </c>
      <c r="D2187">
        <f>IF(Skills!C26=1,60+Inputs!$B$25+Inputs!$B$29,IF(Skills!C26=2,90+Inputs!$B$26+Inputs!$B$29,IF(Skills!C26=3,120+Inputs!$B$27+Inputs!$B$29,MAX(0,(Inputs!$B$3-100)*3)+Inputs!$B$28+Inputs!$B$29)))</f>
        <v/>
      </c>
      <c r="E2187">
        <f>INDEX(FactorTable!$B$2:$Y$301, MATCH(ROUND(MIN(300,MAX(1,D2187)),0), FactorTable!$A$2:$A$301,0), Skills!M26+1)</f>
        <v/>
      </c>
      <c r="F2187">
        <f>IF(Skills!N26=TRUE,(Skills!L26/10)*(E2187/1000),Skills!L26/10)+Skills!O26</f>
        <v/>
      </c>
      <c r="G2187">
        <f>Skills!G26*IF(Skills!H26&gt;0,IF(Inputs!$B$39="pvp",MIN(Skills!I26,15),Skills!I26)/Skills!H26,1)</f>
        <v/>
      </c>
      <c r="H2187">
        <f>1-(1-Skills!J26/100)^Skills!K26</f>
        <v/>
      </c>
      <c r="I2187" t="inlineStr">
        <is>
          <t>1</t>
        </is>
      </c>
      <c r="J2187" t="inlineStr"/>
      <c r="K2187" t="inlineStr"/>
      <c r="L2187" t="inlineStr"/>
      <c r="M2187" t="inlineStr"/>
      <c r="N2187" t="inlineStr"/>
      <c r="O2187">
        <f>(1-Summary!$B$11)*T2187+Summary!$B$11*V2187</f>
        <v/>
      </c>
      <c r="P2187">
        <f>IF(B2207=0,0,O2187/B2207)</f>
        <v/>
      </c>
      <c r="Q2187" t="n">
        <v>0</v>
      </c>
      <c r="R2187" t="n">
        <v>0</v>
      </c>
      <c r="S2187">
        <f>IFERROR(O2187/N2187,0)</f>
        <v/>
      </c>
      <c r="T2187" t="n">
        <v>0</v>
      </c>
      <c r="V2187" t="n">
        <v>0</v>
      </c>
    </row>
    <row r="2188">
      <c r="A2188">
        <f>Skills!A27</f>
        <v/>
      </c>
      <c r="B2188">
        <f>Skills!B27</f>
        <v/>
      </c>
      <c r="C2188">
        <f>Inputs!$B$3&gt;=50</f>
        <v/>
      </c>
      <c r="D2188">
        <f>IF(Skills!C27=1,60+Inputs!$B$25+Inputs!$B$29,IF(Skills!C27=2,90+Inputs!$B$26+Inputs!$B$29,IF(Skills!C27=3,120+Inputs!$B$27+Inputs!$B$29,MAX(0,(Inputs!$B$3-100)*3)+Inputs!$B$28+Inputs!$B$29)))</f>
        <v/>
      </c>
      <c r="E2188">
        <f>INDEX(FactorTable!$B$2:$Y$301, MATCH(ROUND(MIN(300,MAX(1,D2188)),0), FactorTable!$A$2:$A$301,0), Skills!M27+1)</f>
        <v/>
      </c>
      <c r="F2188">
        <f>IF(Skills!N27=TRUE,(Skills!L27/10)*(E2188/1000),Skills!L27/10)+Skills!O27</f>
        <v/>
      </c>
      <c r="G2188">
        <f>Skills!G27*IF(Skills!H27&gt;0,IF(Inputs!$B$39="pvp",MIN(Skills!I27,15),Skills!I27)/Skills!H27,1)</f>
        <v/>
      </c>
      <c r="H2188">
        <f>1-(1-Skills!J27/100)^Skills!K27</f>
        <v/>
      </c>
      <c r="I2188" t="inlineStr">
        <is>
          <t>1</t>
        </is>
      </c>
      <c r="J2188" t="inlineStr"/>
      <c r="K2188" t="inlineStr"/>
      <c r="L2188" t="inlineStr"/>
      <c r="M2188" t="inlineStr"/>
      <c r="N2188" t="inlineStr"/>
      <c r="O2188">
        <f>(1-Summary!$B$11)*T2188+Summary!$B$11*V2188</f>
        <v/>
      </c>
      <c r="P2188">
        <f>IF(B2207=0,0,O2188/B2207)</f>
        <v/>
      </c>
      <c r="Q2188" t="n">
        <v>0</v>
      </c>
      <c r="R2188" t="n">
        <v>0</v>
      </c>
      <c r="S2188">
        <f>IFERROR(O2188/N2188,0)</f>
        <v/>
      </c>
      <c r="T2188" t="n">
        <v>0</v>
      </c>
      <c r="V2188" t="n">
        <v>0</v>
      </c>
    </row>
    <row r="2189">
      <c r="A2189">
        <f>Skills!A28</f>
        <v/>
      </c>
      <c r="B2189">
        <f>Skills!B28</f>
        <v/>
      </c>
      <c r="C2189">
        <f>Inputs!$B$3&gt;=38</f>
        <v/>
      </c>
      <c r="D2189">
        <f>IF(Skills!C28=1,60+Inputs!$B$25+Inputs!$B$29,IF(Skills!C28=2,90+Inputs!$B$26+Inputs!$B$29,IF(Skills!C28=3,120+Inputs!$B$27+Inputs!$B$29,MAX(0,(Inputs!$B$3-100)*3)+Inputs!$B$28+Inputs!$B$29)))</f>
        <v/>
      </c>
      <c r="E2189">
        <f>INDEX(FactorTable!$B$2:$Y$301, MATCH(ROUND(MIN(300,MAX(1,D2189)),0), FactorTable!$A$2:$A$301,0), Skills!M28+1)</f>
        <v/>
      </c>
      <c r="F2189">
        <f>IF(Skills!N28=TRUE,(Skills!L28/10)*(E2189/1000),Skills!L28/10)+Skills!O28</f>
        <v/>
      </c>
      <c r="G2189">
        <f>Skills!G28*IF(Skills!H28&gt;0,IF(Inputs!$B$39="pvp",MIN(Skills!I28,15),Skills!I28)/Skills!H28,1)</f>
        <v/>
      </c>
      <c r="H2189">
        <f>1-(1-Skills!J28/100)^Skills!K28</f>
        <v/>
      </c>
      <c r="I2189" t="inlineStr">
        <is>
          <t>1</t>
        </is>
      </c>
      <c r="J2189" t="inlineStr"/>
      <c r="K2189" t="inlineStr"/>
      <c r="L2189" t="inlineStr"/>
      <c r="M2189" t="inlineStr"/>
      <c r="N2189" t="inlineStr"/>
      <c r="O2189">
        <f>(1-Summary!$B$11)*T2189+Summary!$B$11*V2189</f>
        <v/>
      </c>
      <c r="P2189">
        <f>IF(B2207=0,0,O2189/B2207)</f>
        <v/>
      </c>
      <c r="Q2189" t="n">
        <v>0</v>
      </c>
      <c r="R2189" t="n">
        <v>0</v>
      </c>
      <c r="S2189">
        <f>IFERROR(O2189/N2189,0)</f>
        <v/>
      </c>
      <c r="T2189" t="n">
        <v>0</v>
      </c>
      <c r="V2189" t="n">
        <v>0</v>
      </c>
    </row>
    <row r="2190">
      <c r="A2190">
        <f>Skills!A29</f>
        <v/>
      </c>
      <c r="B2190">
        <f>Skills!B29</f>
        <v/>
      </c>
      <c r="C2190">
        <f>Inputs!$B$3&gt;=120</f>
        <v/>
      </c>
      <c r="D2190">
        <f>IF(Skills!C29=1,60+Inputs!$B$25+Inputs!$B$29,IF(Skills!C29=2,90+Inputs!$B$26+Inputs!$B$29,IF(Skills!C29=3,120+Inputs!$B$27+Inputs!$B$29,MAX(0,(Inputs!$B$3-100)*3)+Inputs!$B$28+Inputs!$B$29)))</f>
        <v/>
      </c>
      <c r="E2190">
        <f>INDEX(FactorTable!$B$2:$Y$301, MATCH(ROUND(MIN(300,MAX(1,D2190)),0), FactorTable!$A$2:$A$301,0), Skills!M29+1)</f>
        <v/>
      </c>
      <c r="F2190">
        <f>IF(Skills!N29=TRUE,(Skills!L29/10)*(E2190/1000),Skills!L29/10)+Skills!O29</f>
        <v/>
      </c>
      <c r="G2190">
        <f>Skills!G29*IF(Skills!H29&gt;0,IF(Inputs!$B$39="pvp",MIN(Skills!I29,15),Skills!I29)/Skills!H29,1)</f>
        <v/>
      </c>
      <c r="H2190">
        <f>1-(1-Skills!J29/100)^Skills!K29</f>
        <v/>
      </c>
      <c r="I2190" t="inlineStr">
        <is>
          <t>1</t>
        </is>
      </c>
      <c r="J2190" t="inlineStr"/>
      <c r="K2190" t="inlineStr"/>
      <c r="L2190" t="inlineStr"/>
      <c r="M2190" t="inlineStr"/>
      <c r="N2190" t="inlineStr"/>
      <c r="O2190">
        <f>(1-Summary!$B$11)*T2190+Summary!$B$11*V2190</f>
        <v/>
      </c>
      <c r="P2190">
        <f>IF(B2207=0,0,O2190/B2207)</f>
        <v/>
      </c>
      <c r="Q2190" t="n">
        <v>0</v>
      </c>
      <c r="R2190" t="n">
        <v>0</v>
      </c>
      <c r="S2190">
        <f>IFERROR(O2190/N2190,0)</f>
        <v/>
      </c>
      <c r="T2190" t="n">
        <v>0</v>
      </c>
      <c r="V2190" t="n">
        <v>0</v>
      </c>
    </row>
    <row r="2191">
      <c r="A2191">
        <f>Skills!A30</f>
        <v/>
      </c>
      <c r="B2191">
        <f>Skills!B30</f>
        <v/>
      </c>
      <c r="C2191">
        <f>Inputs!$B$3&gt;=120</f>
        <v/>
      </c>
      <c r="D2191">
        <f>IF(Skills!C30=1,60+Inputs!$B$25+Inputs!$B$29,IF(Skills!C30=2,90+Inputs!$B$26+Inputs!$B$29,IF(Skills!C30=3,120+Inputs!$B$27+Inputs!$B$29,MAX(0,(Inputs!$B$3-100)*3)+Inputs!$B$28+Inputs!$B$29)))</f>
        <v/>
      </c>
      <c r="E2191">
        <f>INDEX(FactorTable!$B$2:$Y$301, MATCH(ROUND(MIN(300,MAX(1,D2191)),0), FactorTable!$A$2:$A$301,0), Skills!M30+1)</f>
        <v/>
      </c>
      <c r="F2191">
        <f>IF(Skills!N30=TRUE,(Skills!L30/10)*(E2191/1000),Skills!L30/10)+Skills!O30</f>
        <v/>
      </c>
      <c r="G2191">
        <f>Skills!G30*IF(Skills!H30&gt;0,IF(Inputs!$B$39="pvp",MIN(Skills!I30,15),Skills!I30)/Skills!H30,1)</f>
        <v/>
      </c>
      <c r="H2191">
        <f>1-(1-Skills!J30/100)^Skills!K30</f>
        <v/>
      </c>
      <c r="I2191" t="inlineStr">
        <is>
          <t>1</t>
        </is>
      </c>
      <c r="J2191" t="inlineStr"/>
      <c r="K2191" t="inlineStr"/>
      <c r="L2191" t="inlineStr"/>
      <c r="M2191" t="inlineStr"/>
      <c r="N2191" t="inlineStr"/>
      <c r="O2191">
        <f>(1-Summary!$B$11)*T2191+Summary!$B$11*V2191</f>
        <v/>
      </c>
      <c r="P2191">
        <f>IF(B2207=0,0,O2191/B2207)</f>
        <v/>
      </c>
      <c r="Q2191" t="n">
        <v>0</v>
      </c>
      <c r="R2191" t="n">
        <v>0</v>
      </c>
      <c r="S2191">
        <f>IFERROR(O2191/N2191,0)</f>
        <v/>
      </c>
      <c r="T2191" t="n">
        <v>0</v>
      </c>
      <c r="V2191" t="n">
        <v>0</v>
      </c>
    </row>
    <row r="2192">
      <c r="A2192">
        <f>Skills!A31</f>
        <v/>
      </c>
      <c r="B2192">
        <f>Skills!B31</f>
        <v/>
      </c>
      <c r="C2192">
        <f>Inputs!$B$3&gt;=125</f>
        <v/>
      </c>
      <c r="D2192">
        <f>IF(Skills!C31=1,60+Inputs!$B$25+Inputs!$B$29,IF(Skills!C31=2,90+Inputs!$B$26+Inputs!$B$29,IF(Skills!C31=3,120+Inputs!$B$27+Inputs!$B$29,MAX(0,(Inputs!$B$3-100)*3)+Inputs!$B$28+Inputs!$B$29)))</f>
        <v/>
      </c>
      <c r="E2192">
        <f>INDEX(FactorTable!$B$2:$Y$301, MATCH(ROUND(MIN(300,MAX(1,D2192)),0), FactorTable!$A$2:$A$301,0), Skills!M31+1)</f>
        <v/>
      </c>
      <c r="F2192">
        <f>IF(Skills!N31=TRUE,(Skills!L31/10)*(E2192/1000),Skills!L31/10)+Skills!O31</f>
        <v/>
      </c>
      <c r="G2192">
        <f>Skills!G31*IF(Skills!H31&gt;0,IF(Inputs!$B$39="pvp",MIN(Skills!I31,15),Skills!I31)/Skills!H31,1)</f>
        <v/>
      </c>
      <c r="H2192">
        <f>1-(1-Skills!J31/100)^Skills!K31</f>
        <v/>
      </c>
      <c r="I2192" t="inlineStr">
        <is>
          <t>1</t>
        </is>
      </c>
      <c r="J2192" t="inlineStr"/>
      <c r="K2192" t="inlineStr"/>
      <c r="L2192" t="inlineStr"/>
      <c r="M2192" t="inlineStr"/>
      <c r="N2192" t="inlineStr"/>
      <c r="O2192">
        <f>(1-Summary!$B$11)*T2192+Summary!$B$11*V2192</f>
        <v/>
      </c>
      <c r="P2192">
        <f>IF(B2207=0,0,O2192/B2207)</f>
        <v/>
      </c>
      <c r="Q2192" t="n">
        <v>0</v>
      </c>
      <c r="R2192" t="n">
        <v>0</v>
      </c>
      <c r="S2192">
        <f>IFERROR(O2192/N2192,0)</f>
        <v/>
      </c>
      <c r="T2192" t="n">
        <v>0</v>
      </c>
      <c r="V2192" t="n">
        <v>0</v>
      </c>
    </row>
    <row r="2194">
      <c r="A2194" t="inlineStr">
        <is>
          <t>Average Buff Multiplier</t>
        </is>
      </c>
      <c r="B2194">
        <f>(1+(((C2183=TRUE)*F2183*IF(AND(Inputs!$B$39&lt;&gt;"pvp",Inputs!$B$44&gt;0),(((R2183-1)*MIN((Skills!Y22*(1+Inputs!$B$34/100)),(1/Q2183))+MIN((Skills!Y22*(1+Inputs!$B$34/100)),MAX(0,Inputs!$B$44-((R2183-1)*(1/Q2183)))))/Inputs!$B$44),IF(Inputs!$B$39="pvp",MIN((Skills!Y22*(1+Inputs!$B$34/100)),15)/15,MIN(1,(Skills!Y22*(1+Inputs!$B$34/100))/(1/Q2183)))))+((C2164=TRUE)*F2164*3)+((C2166=TRUE)*F2166*(1-EXP(-0.75*B2199*5)))+((C2185=TRUE)*(F2185-Calc!F24))+(IF(IF(ArtifactsInput!$M$21,FALSE,TRUE),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2172=TRUE)*F2172*IF(AND(Inputs!$B$39&lt;&gt;"pvp",Inputs!$B$44&gt;0),(((R2172-1)*MIN((Skills!Y11*(1+Inputs!$B$34/100)),(1/Q2172))+MIN((Skills!Y11*(1+Inputs!$B$34/100)),MAX(0,Inputs!$B$44-((R2172-1)*(1/Q2172)))))/Inputs!$B$44),IF(Inputs!$B$39="pvp",MIN((Skills!Y11*(1+Inputs!$B$34/100)),15)/15,MIN(1,(Skills!Y11*(1+Inputs!$B$34/100))/(1/Q2172)))))/100)*(1+((C2177=TRUE)*F2177*IF(AND(Inputs!$B$39&lt;&gt;"pvp",Inputs!$B$44&gt;0),(((R2177-1)*MIN((Skills!Y16*(1+Inputs!$B$34/100)),(1/Q2177))+MIN((Skills!Y16*(1+Inputs!$B$34/100)),MAX(0,Inputs!$B$44-((R2177-1)*(1/Q2177)))))/Inputs!$B$44),IF(Inputs!$B$39="pvp",MIN((Skills!Y16*(1+Inputs!$B$34/100)),15)/15,MIN(1,(Skills!Y16*(1+Inputs!$B$34/100))/(1/Q2177)))))/100)</f>
        <v/>
      </c>
    </row>
    <row r="2195">
      <c r="A2195" t="inlineStr">
        <is>
          <t>Global Crit Rate Bonus %</t>
        </is>
      </c>
      <c r="B2195">
        <f>((C2182=TRUE)*F2182*IF(AND(Inputs!$B$39&lt;&gt;"pvp",Inputs!$B$44&gt;0),(((R2182-1)*MIN((Skills!Y21*(1+Inputs!$B$34/100)),(1/Q2182))+MIN((Skills!Y21*(1+Inputs!$B$34/100)),MAX(0,Inputs!$B$44-((R2182-1)*(1/Q2182)))))/Inputs!$B$44),IF(Inputs!$B$39="pvp",MIN((Skills!Y21*(1+Inputs!$B$34/100)),15)/15,MIN(1,(Skills!Y21*(1+Inputs!$B$34/100))/(1/Q2182)))))</f>
        <v/>
      </c>
    </row>
    <row r="2196">
      <c r="A2196" t="inlineStr">
        <is>
          <t>Global Monster Damage-Taken Bonus %</t>
        </is>
      </c>
      <c r="B2196">
        <f>IF(Inputs!$B$3&gt;=82,15,0)</f>
        <v/>
      </c>
    </row>
    <row r="2197">
      <c r="A2197" t="inlineStr">
        <is>
          <t>Shadow Partner Average Multiplier</t>
        </is>
      </c>
      <c r="B2197">
        <f>1+((C2169=TRUE)*F2169*(1+3.3333333333333335*IF(C2180=TRUE,F2180,0)/100)*I2169*Skills!J8/100)/100</f>
        <v/>
      </c>
    </row>
    <row r="2198">
      <c r="A2198" t="inlineStr">
        <is>
          <t>Attack Speed Buff Bonus %</t>
        </is>
      </c>
      <c r="B2198">
        <f>((C2181=TRUE)*F2181*IF(AND(Inputs!$B$39&lt;&gt;"pvp",Inputs!$B$44&gt;0),(((R2181-1)*MIN((Skills!Y20*(1+Inputs!$B$34/100)),(1/Q2181))+MIN((Skills!Y20*(1+Inputs!$B$34/100)),MAX(0,Inputs!$B$44-((R2181-1)*(1/Q2181)))))/Inputs!$B$44),IF(Inputs!$B$39="pvp",MIN((Skills!Y20*(1+Inputs!$B$34/100)),15)/15,MIN(1,(Skills!Y20*(1+Inputs!$B$34/100))/(1/Q2181)))))</f>
        <v/>
      </c>
    </row>
    <row r="2199">
      <c r="A2199" t="inlineStr">
        <is>
          <t>Actions Per Second</t>
        </is>
      </c>
      <c r="B2199">
        <f>1+MIN(150,150*(1-(1-(Inputs!$B$11+((C2184=TRUE)*(F2184-Calc!F23)))/150)*(1-B2198/150)))/100</f>
        <v/>
      </c>
    </row>
    <row r="2200">
      <c r="A2200" t="inlineStr">
        <is>
          <t>Skill + Buff Cast Rate</t>
        </is>
      </c>
      <c r="B2200">
        <f>IF(AND(Inputs!$B$39&lt;&gt;"pvp",Inputs!$B$44&gt;0),SUMPRODUCT((Skills!E2:E31=TRUE)*(C2163:C2192=TRUE)*R2163:R2192*Skills!F2:F31)/Inputs!$B$44,SUMPRODUCT((Skills!E2:E31=TRUE)*(C2163:C2192=TRUE)*Q2163:Q2192*Skills!F2:F31))</f>
        <v/>
      </c>
    </row>
    <row r="2201">
      <c r="A2201" t="inlineStr">
        <is>
          <t>Cruel Stab Casts Per Second</t>
        </is>
      </c>
      <c r="B2201">
        <f>MAX(0,B2199-B2200)</f>
        <v/>
      </c>
    </row>
    <row r="2202">
      <c r="A2202" t="inlineStr">
        <is>
          <t>Global Critical Damage Bonus % (Smokescreen Mastery Lv.113)</t>
        </is>
      </c>
      <c r="B2202">
        <f>IF(Inputs!$B$3&gt;=113,30,0)*IF(AND(Inputs!$B$39&lt;&gt;"pvp",Inputs!$B$44&gt;0),(((R2177-1)*MIN((Skills!Y16*(1+Inputs!$B$34/100)),(1/Q2177))+MIN((Skills!Y16*(1+Inputs!$B$34/100)),MAX(0,Inputs!$B$44-((R2177-1)*(1/Q2177)))))/Inputs!$B$44),IF(Inputs!$B$39="pvp",MIN((Skills!Y16*(1+Inputs!$B$34/100)),15)/15,MIN(1,(Skills!Y16*(1+Inputs!$B$34/100))/(1/Q2177))))</f>
        <v/>
      </c>
    </row>
    <row r="2203">
      <c r="A2203" t="inlineStr">
        <is>
          <t>Meso Explosion average stack count</t>
        </is>
      </c>
      <c r="B2203">
        <f>MIN(10,IF(Inputs!$B$3&gt;=75,0.75,0.5)*B2199*(1/Q2165))</f>
        <v/>
      </c>
    </row>
    <row r="2204">
      <c r="A2204" t="inlineStr">
        <is>
          <t>Blood Money average stack count</t>
        </is>
      </c>
      <c r="B2204">
        <f>MIN(5,0.5*IF(Inputs!$B$3&gt;=75,0.75,0.5)*B2199*(1/Q2165))</f>
        <v/>
      </c>
    </row>
    <row r="2205">
      <c r="A2205" t="inlineStr">
        <is>
          <t>Assassinate Murderous Intent Multiplier</t>
        </is>
      </c>
      <c r="B2205">
        <f>1+IFERROR(MIN(1,Q2176*2/Q2173),0)</f>
        <v/>
      </c>
    </row>
    <row r="2206">
      <c r="A2206" t="inlineStr">
        <is>
          <t>Buff-Casting Startup Delay (s, fixed-duration only)</t>
        </is>
      </c>
      <c r="B2206">
        <f>IF(AND(Inputs!$B$39&lt;&gt;"pvp",Inputs!$B$44&gt;0),SUMPRODUCT((Skills!Y2:Y31&gt;0)*(Skills!E2:E31=TRUE)*(C2163:C2192=TRUE))/B2199,0)</f>
        <v/>
      </c>
    </row>
    <row r="2207">
      <c r="A2207" s="6" t="inlineStr">
        <is>
          <t>TOTAL DPS</t>
        </is>
      </c>
      <c r="B2207" s="6">
        <f>SUM(O2163:O2192)</f>
        <v/>
      </c>
    </row>
    <row r="2208">
      <c r="A2208" t="inlineStr">
        <is>
          <t>Boss-Only Total DPS (this block's swept value)</t>
        </is>
      </c>
      <c r="B2208">
        <f>SUM(T2163:T2192)</f>
        <v/>
      </c>
    </row>
    <row r="2209">
      <c r="A2209" t="inlineStr">
        <is>
          <t>Normal-Only Total DPS (this block's swept value)</t>
        </is>
      </c>
      <c r="B2209">
        <f>SUM(V2163:V2192)</f>
        <v/>
      </c>
    </row>
    <row r="2212">
      <c r="A2212" s="6" t="inlineStr">
        <is>
          <t>Stat: Silver Pendant (Equip)</t>
        </is>
      </c>
    </row>
    <row r="2213">
      <c r="A2213" s="5" t="inlineStr">
        <is>
          <t>Key</t>
        </is>
      </c>
      <c r="B2213" s="5" t="inlineStr">
        <is>
          <t>Name</t>
        </is>
      </c>
      <c r="C2213" s="5" t="inlineStr">
        <is>
          <t>Unlocked</t>
        </is>
      </c>
      <c r="D2213" s="5" t="inlineStr">
        <is>
          <t>InputLevel</t>
        </is>
      </c>
      <c r="E2213" s="5" t="inlineStr">
        <is>
          <t>Factor</t>
        </is>
      </c>
      <c r="F2213" s="5" t="inlineStr">
        <is>
          <t>CoefficientPercent</t>
        </is>
      </c>
      <c r="G2213" s="5" t="inlineStr">
        <is>
          <t>EffectiveHits</t>
        </is>
      </c>
      <c r="H2213" s="5" t="inlineStr">
        <is>
          <t>ProcProbability</t>
        </is>
      </c>
      <c r="I2213" s="5" t="inlineStr">
        <is>
          <t>MapleHeroMultiplier</t>
        </is>
      </c>
      <c r="J2213" s="5" t="inlineStr">
        <is>
          <t>BaseDamage</t>
        </is>
      </c>
      <c r="K2213" s="5" t="inlineStr">
        <is>
          <t>BaseHitDamage</t>
        </is>
      </c>
      <c r="L2213" s="5" t="inlineStr">
        <is>
          <t>NonCritAvg</t>
        </is>
      </c>
      <c r="M2213" s="5" t="inlineStr">
        <is>
          <t>CritAvg</t>
        </is>
      </c>
      <c r="N2213" s="5" t="inlineStr">
        <is>
          <t>ExpectedDamage(perHit)</t>
        </is>
      </c>
      <c r="O2213" s="5" t="inlineStr">
        <is>
          <t>DPS</t>
        </is>
      </c>
      <c r="P2213" s="5" t="inlineStr">
        <is>
          <t>% of Total</t>
        </is>
      </c>
      <c r="Q2213" s="5" t="inlineStr">
        <is>
          <t>InvCooldown</t>
        </is>
      </c>
      <c r="R2213" s="5" t="inlineStr">
        <is>
          <t>CastsInFight</t>
        </is>
      </c>
      <c r="S2213" s="5" t="inlineStr">
        <is>
          <t>HitRate(perSec)</t>
        </is>
      </c>
      <c r="U2213" t="inlineStr">
        <is>
          <t>helpers</t>
        </is>
      </c>
    </row>
    <row r="2214">
      <c r="A2214">
        <f>Skills!A2</f>
        <v/>
      </c>
      <c r="B2214">
        <f>Skills!B2</f>
        <v/>
      </c>
      <c r="C2214">
        <f>Inputs!$B$3&gt;=100</f>
        <v/>
      </c>
      <c r="D2214" t="inlineStr"/>
      <c r="E2214" t="inlineStr"/>
      <c r="F2214">
        <f>U2216+Skills!O2</f>
        <v/>
      </c>
      <c r="G2214">
        <f>Skills!G2*IF(Skills!H2&gt;0,IF(Inputs!$B$39="pvp",MIN(Skills!I2,15),Skills!I2)/Skills!H2,1)</f>
        <v/>
      </c>
      <c r="H2214">
        <f>1-(1-Skills!J2/100)^Skills!K2</f>
        <v/>
      </c>
      <c r="I2214" t="inlineStr">
        <is>
          <t>1</t>
        </is>
      </c>
      <c r="J2214">
        <f>((Inputs!$B$6*(1+Inputs!$B$7/100))+(((Inputs!$B$12*(1+Inputs!$B$13/100))-(Inputs!$B$12*(1+Inputs!$B$13/100)))+0.25*(Inputs!$B$14-Inputs!$B$14))*(1+Inputs!$B$7/100))*(F2214/100)</f>
        <v/>
      </c>
      <c r="K2214">
        <f>J2214*(1+((Inputs!$B$12*(1+Inputs!$B$13/100))*0.01+Inputs!$B$14*0.0025)/100)*(1+Inputs!$B$15/100)*(1+Inputs!$B$16/100)*(5000/(6000+Inputs!$B$43*(1-(100*(1-(1-Inputs!$B$19/100)*(1-CHOOSE(ArtifactsInput!$N$40+1,5,6,7,8,9,10)/100)^(ArtifactsInput!$M$40-ArtifactsInput!$M$40)))/100)))*(1+(Inputs!$B$24+((C2243=TRUE)*(F2243-Calc!F31))+((C2230=TRUE)*(F2230-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CRUEL_STAB",Inputs!$B$17+((C2240=TRUE)*(F2240-Calc!F28))+((IF(AND(Inputs!$B$39&lt;&gt;"pvp",Inputs!$B$44=0),1,IF(IF(Inputs!$B$39="pvp",15,Inputs!$B$44)-(B2257)&lt;=0,1,MAX(0,IF(Inputs!$B$39="pvp",15,Inputs!$B$44)-MAX(5,B2257))/(IF(Inputs!$B$39="pvp",15,Inputs!$B$44)-(B2257))))*(IF(AND(ArtifactsInput!$M$42,((Inputs!$B$9+((C2238=TRUE)*(F2238-Calc!F26))+B2246+(ArtifactsInput!$M$24-ArtifactsInput!$M$24)*CHOOSE(ArtifactsInput!$N$24+1,10,12,14,16,18,20)+IF(ArtifactsInput!$M$10,CHOOSE(ArtifactsInput!$N$10+1,15,18,21,24,27,30)*(IF(Inputs!$B$39="pvp",MIN(15,15)/15,IF(AND(Inputs!$B$39&lt;&gt;"pvp",Inputs!$B$44&gt;0),MIN(15,Inputs!$B$44)/(Inputs!$B$44),0))),0)))&gt;=100),MIN(100,((Inputs!$B$9+((C2238=TRUE)*(F2238-Calc!F26))+B2246+(ArtifactsInput!$M$24-ArtifactsInput!$M$24)*CHOOSE(ArtifactsInput!$N$24+1,10,12,14,16,18,20)+IF(ArtifactsInput!$M$10,CHOOSE(ArtifactsInput!$N$10+1,15,18,21,24,27,30)*(IF(Inputs!$B$39="pvp",MIN(15,15)/15,IF(AND(Inputs!$B$39&lt;&gt;"pvp",Inputs!$B$44&gt;0),MIN(15,Inputs!$B$44)/(Inputs!$B$44),0))),0)))-100),0))*CHOOSE(ArtifactsInput!$N$42+1,0.6,0.72,0.84,0.96,1.08,1.2))),Inputs!$B$18+((C2241=TRUE)*(F2241-Calc!F29))+(IF(AND(Inputs!$B$39&lt;&gt;"pvp",Inputs!$B$44=0),1,IF(IF(Inputs!$B$39="pvp",15,Inputs!$B$44)-(B2257)&lt;=0,1,MAX(0,IF(Inputs!$B$39="pvp",15,Inputs!$B$44)-MAX(5,B2257))/(IF(Inputs!$B$39="pvp",15,Inputs!$B$44)-(B2257))))*IF(AND(ArtifactsInput!$M$42,((Inputs!$B$9+((C2238=TRUE)*(F2238-Calc!F26))+B2246+(ArtifactsInput!$M$24-ArtifactsInput!$M$24)*CHOOSE(ArtifactsInput!$N$24+1,10,12,14,16,18,20)+IF(ArtifactsInput!$M$10,CHOOSE(ArtifactsInput!$N$10+1,15,18,21,24,27,30)*(IF(Inputs!$B$39="pvp",MIN(15,15)/15,IF(AND(Inputs!$B$39&lt;&gt;"pvp",Inputs!$B$44&gt;0),MIN(15,Inputs!$B$44)/(Inputs!$B$44),0))),0)))&gt;=100),CHOOSE(ArtifactsInput!$N$42+1,40,48,56,64,72,80),0))))/100)*(((1+(((C2234=TRUE)*F2234*IF(AND(Inputs!$B$39&lt;&gt;"pvp",Inputs!$B$44&gt;0),(((R2234-1)*MIN((Skills!Y22*(1+Inputs!$B$34/100)),(1/Q2234))+MIN((Skills!Y22*(1+Inputs!$B$34/100)),MAX(0,Inputs!$B$44-((R2234-1)*(1/Q2234)))))/Inputs!$B$44),IF(Inputs!$B$39="pvp",MIN((Skills!Y22*(1+Inputs!$B$34/100)),15)/15,MIN(1,(Skills!Y22*(1+Inputs!$B$34/100))/(1/Q2234)))))+((C2215=TRUE)*F2215*3)+((C2217=TRUE)*F2217*(1-EXP(-0.75*B2250*5)))+((C2236=TRUE)*(F2236-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2223=TRUE)*F2223*IF(AND(Inputs!$B$39&lt;&gt;"pvp",Inputs!$B$44&gt;0),(((R2223-1)*MIN((Skills!Y11*(1+Inputs!$B$34/100)),(1/Q2223))+MIN((Skills!Y11*(1+Inputs!$B$34/100)),MAX(0,Inputs!$B$44-((R2223-1)*(1/Q2223)))))/Inputs!$B$44),IF(Inputs!$B$39="pvp",MIN((Skills!Y11*(1+Inputs!$B$34/100)),15)/15,MIN(1,(Skills!Y11*(1+Inputs!$B$34/100))/(1/Q2223)))))/100)*(1+((C2228=TRUE)*F2228*IF(AND(Inputs!$B$39&lt;&gt;"pvp",Inputs!$B$44&gt;0),(((R2228-1)*MIN((Skills!Y16*(1+Inputs!$B$34/100)),(1/Q2228))+MIN((Skills!Y16*(1+Inputs!$B$34/100)),MAX(0,Inputs!$B$44-((R2228-1)*(1/Q2228)))))/Inputs!$B$44),IF(Inputs!$B$39="pvp",MIN((Skills!Y16*(1+Inputs!$B$34/100)),15)/15,MIN(1,(Skills!Y16*(1+Inputs!$B$34/100))/(1/Q2228)))))/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2248*I2214)</f>
        <v/>
      </c>
      <c r="L2214">
        <f>K2214*(MIN(Inputs!$B$22+((C2237=TRUE)*(F2237-Calc!F25)),(Inputs!$B$23+((C2242=TRUE)*(F2242-Calc!F30))+IF(ArtifactsInput!$M$15,CHOOSE(ArtifactsInput!$N$15+1,25,30,35,40,45,50)/100*(Inputs!$B$11-Inputs!$B$11),0)))/100+(Inputs!$B$23+((C2242=TRUE)*(F2242-Calc!F30))+IF(ArtifactsInput!$M$15,CHOOSE(ArtifactsInput!$N$15+1,25,30,35,40,45,50)/100*(Inputs!$B$11-Inputs!$B$11),0))/100)/2</f>
        <v/>
      </c>
      <c r="M2214">
        <f>L2214*(1+(Inputs!$B$10+((C2239=TRUE)*(F2239-Calc!F27))+B2253+(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2214">
        <f>L2214*(1-MIN((Inputs!$B$9+((C2238=TRUE)*(F2238-Calc!F26))+B2246+(ArtifactsInput!$M$24-ArtifactsInput!$M$24)*CHOOSE(ArtifactsInput!$N$24+1,10,12,14,16,18,20)+(IF(AND(Inputs!$B$39&lt;&gt;"pvp",Inputs!$B$44=0),1,IF(IF(Inputs!$B$39="pvp",15,Inputs!$B$44)-(B2257)&lt;=0,1,MAX(0,IF(Inputs!$B$39="pvp",15,Inputs!$B$44)-MAX(5,B2257))/(IF(Inputs!$B$39="pvp",15,Inputs!$B$44)-(B2257))))*IF(AND(ArtifactsInput!$M$42,((Inputs!$B$9+((C2238=TRUE)*(F2238-Calc!F26))+B2246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2214*(MIN((Inputs!$B$9+((C2238=TRUE)*(F2238-Calc!F26))+B2246+(ArtifactsInput!$M$24-ArtifactsInput!$M$24)*CHOOSE(ArtifactsInput!$N$24+1,10,12,14,16,18,20)+(IF(AND(Inputs!$B$39&lt;&gt;"pvp",Inputs!$B$44=0),1,IF(IF(Inputs!$B$39="pvp",15,Inputs!$B$44)-(B2257)&lt;=0,1,MAX(0,IF(Inputs!$B$39="pvp",15,Inputs!$B$44)-MAX(5,B2257))/(IF(Inputs!$B$39="pvp",15,Inputs!$B$44)-(B2257))))*IF(AND(ArtifactsInput!$M$42,((Inputs!$B$9+((C2238=TRUE)*(F2238-Calc!F26))+B2246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214">
        <f>(1-Summary!$B$11)*T2214+Summary!$B$11*V2214</f>
        <v/>
      </c>
      <c r="P2214">
        <f>IF(B2258=0,0,O2214/B2258)</f>
        <v/>
      </c>
      <c r="Q2214" t="n">
        <v>0</v>
      </c>
      <c r="R2214" t="n">
        <v>0</v>
      </c>
      <c r="S2214">
        <f>IFERROR(O2214/N2214,0)</f>
        <v/>
      </c>
      <c r="T2214">
        <f>IF(C2214,(Skills!G2*N2214*B2252)*IF(Inputs!$B$39="pvp",1,1+(Inputs!$B$20+0+Skills!P2+B2247+(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Hunt"),CHOOSE(ArtifactsInput!$N$35+1,15,18,21,24,27,30)*(1-EXP(-(0.2*B2250)*5)),0)+IF(AND(IF(ArtifactsInput!$M$22,FALSE,TRUE),Inputs!$B$4&lt;&gt;"Chapter Hunt"),CHOOSE(ArtifactsInput!$N$22+1,10,12,14,16,18,20)*((0*(((0.15*B2250*5))^0/1)+1*(((0.15*B2250*5))^1/1)+2*(((0.15*B2250*5))^2/2)+3*(((0.15*B2250*5))^3/6)+4*(((0.15*B2250*5))^4/24)+5*(((0.15*B2250*5))^5/120))/((((0.15*B2250*5))^0/1)+(((0.15*B2250*5))^1/1)+(((0.15*B2250*5))^2/2)+(((0.15*B2250*5))^3/6)+(((0.15*B2250*5))^4/24)+(((0.15*B2250*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2214*(1-MIN(100,(Inputs!$B$9+((C2238=TRUE)*(F2238-Calc!F26))+B2246+(ArtifactsInput!$M$24-ArtifactsInput!$M$24)*CHOOSE(ArtifactsInput!$N$24+1,10,12,14,16,18,20)+(IF(AND(Inputs!$B$39&lt;&gt;"pvp",Inputs!$B$44=0),1,IF(IF(Inputs!$B$39="pvp",15,Inputs!$B$44)-(B2257)&lt;=0,1,MAX(0,IF(Inputs!$B$39="pvp",15,Inputs!$B$44)-MAX(5,B2257))/(IF(Inputs!$B$39="pvp",15,Inputs!$B$44)-(B2257))))*IF(AND(ArtifactsInput!$M$42,((Inputs!$B$9+((C2238=TRUE)*(F2238-Calc!F26))+B2246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2214*(MIN(100,(Inputs!$B$9+((C2238=TRUE)*(F2238-Calc!F26))+B2246+(ArtifactsInput!$M$24-ArtifactsInput!$M$24)*CHOOSE(ArtifactsInput!$N$24+1,10,12,14,16,18,20)+(IF(AND(Inputs!$B$39&lt;&gt;"pvp",Inputs!$B$44=0),1,IF(IF(Inputs!$B$39="pvp",15,Inputs!$B$44)-(B2257)&lt;=0,1,MAX(0,IF(Inputs!$B$39="pvp",15,Inputs!$B$44)-MAX(5,B2257))/(IF(Inputs!$B$39="pvp",15,Inputs!$B$44)-(B2257))))*IF(AND(ArtifactsInput!$M$42,((Inputs!$B$9+((C2238=TRUE)*(F2238-Calc!F26))+B2246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2214*(1-MIN(100,(Inputs!$B$9+((C2238=TRUE)*(F2238-Calc!F26))+B2246+(ArtifactsInput!$M$24-ArtifactsInput!$M$24)*CHOOSE(ArtifactsInput!$N$24+1,10,12,14,16,18,20)+(IF(AND(Inputs!$B$39&lt;&gt;"pvp",Inputs!$B$44=0),1,IF(IF(Inputs!$B$39="pvp",15,Inputs!$B$44)-(B2257)&lt;=0,1,MAX(0,IF(Inputs!$B$39="pvp",15,Inputs!$B$44)-MAX(5,B2257))/(IF(Inputs!$B$39="pvp",15,Inputs!$B$44)-(B2257))))*IF(AND(ArtifactsInput!$M$42,((Inputs!$B$9+((C2238=TRUE)*(F2238-Calc!F26))+B2246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2214*(MIN(100,(Inputs!$B$9+((C2238=TRUE)*(F2238-Calc!F26))+B2246+(ArtifactsInput!$M$24-ArtifactsInput!$M$24)*CHOOSE(ArtifactsInput!$N$24+1,10,12,14,16,18,20)+(IF(AND(Inputs!$B$39&lt;&gt;"pvp",Inputs!$B$44=0),1,IF(IF(Inputs!$B$39="pvp",15,Inputs!$B$44)-(B2257)&lt;=0,1,MAX(0,IF(Inputs!$B$39="pvp",15,Inputs!$B$44)-MAX(5,B2257))/(IF(Inputs!$B$39="pvp",15,Inputs!$B$44)-(B2257))))*IF(AND(ArtifactsInput!$M$42,((Inputs!$B$9+((C2238=TRUE)*(F2238-Calc!F26))+B2246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2214">
        <f>MAX(0,(Inputs!$B$3-100)*3)+Inputs!$B$28+Inputs!$B$29</f>
        <v/>
      </c>
      <c r="V2214">
        <f>IF(C2214,(Skills!G2*N2214*B2252)*IF(Inputs!$B$39="pvp",1,(1+(Inputs!$B$21+Skills!Q2+B2247+(IF(ArtifactsInput!$M$33,CHOOSE(ArtifactsInput!$N$33+1,30,36,42,48,54,60),0))+(IF(AND(ArtifactsInput!$M$35,Inputs!$B$4&lt;&gt;"Chapter Hunt"),CHOOSE(ArtifactsInput!$N$35+1,15,18,21,24,27,30)*(1-EXP(-(0.2*B2250)*5)),0)+IF(AND(IF(ArtifactsInput!$M$22,FALSE,TRUE),Inputs!$B$4&lt;&gt;"Chapter Hunt"),CHOOSE(ArtifactsInput!$N$22+1,10,12,14,16,18,20)*((0*(((0.15*B2250*5))^0/1)+1*(((0.15*B2250*5))^1/1)+2*(((0.15*B2250*5))^2/2)+3*(((0.15*B2250*5))^3/6)+4*(((0.15*B2250*5))^4/24)+5*(((0.15*B2250*5))^5/120))/((((0.15*B2250*5))^0/1)+(((0.15*B2250*5))^1/1)+(((0.15*B2250*5))^2/2)+(((0.15*B2250*5))^3/6)+(((0.15*B2250*5))^4/24)+(((0.15*B2250*5))^5/120))),0)))/100)*(MIN((6+Inputs!$B$33),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215">
      <c r="A2215">
        <f>Skills!A3</f>
        <v/>
      </c>
      <c r="B2215">
        <f>Skills!B3</f>
        <v/>
      </c>
      <c r="C2215">
        <f>Inputs!$B$3&gt;=35</f>
        <v/>
      </c>
      <c r="D2215">
        <f>IF(Skills!C3=1,60+Inputs!$B$25+Inputs!$B$29,IF(Skills!C3=2,90+Inputs!$B$26+Inputs!$B$29,IF(Skills!C3=3,120+Inputs!$B$27+Inputs!$B$29,MAX(0,(Inputs!$B$3-100)*3)+Inputs!$B$28+Inputs!$B$29)))</f>
        <v/>
      </c>
      <c r="E2215">
        <f>INDEX(FactorTable!$B$2:$Y$301, MATCH(ROUND(MIN(300,MAX(1,D2215)),0), FactorTable!$A$2:$A$301,0), Skills!M3+1)</f>
        <v/>
      </c>
      <c r="F2215">
        <f>IF(Skills!N3=TRUE,(Skills!L3/10)*(E2215/1000),Skills!L3/10)+Skills!O3</f>
        <v/>
      </c>
      <c r="G2215">
        <f>Skills!G3*IF(Skills!H3&gt;0,IF(Inputs!$B$39="pvp",MIN(Skills!I3,15),Skills!I3)/Skills!H3,1)</f>
        <v/>
      </c>
      <c r="H2215">
        <f>1-(1-Skills!J3/100)^Skills!K3</f>
        <v/>
      </c>
      <c r="I2215" t="inlineStr">
        <is>
          <t>1</t>
        </is>
      </c>
      <c r="J2215" t="inlineStr"/>
      <c r="K2215" t="inlineStr"/>
      <c r="L2215" t="inlineStr"/>
      <c r="M2215" t="inlineStr"/>
      <c r="N2215" t="inlineStr"/>
      <c r="O2215">
        <f>(1-Summary!$B$11)*T2215+Summary!$B$11*V2215</f>
        <v/>
      </c>
      <c r="P2215">
        <f>IF(B2258=0,0,O2215/B2258)</f>
        <v/>
      </c>
      <c r="Q2215" t="n">
        <v>0</v>
      </c>
      <c r="R2215" t="n">
        <v>0</v>
      </c>
      <c r="S2215">
        <f>IFERROR(O2215/N2215,0)</f>
        <v/>
      </c>
      <c r="T2215" t="n">
        <v>0</v>
      </c>
      <c r="U2215">
        <f>INDEX(FactorTable!$B$2:$Y$301, MATCH(ROUND(MIN(300,MAX(1,U2214)),0), FactorTable!$A$2:$A$301,0), 22)</f>
        <v/>
      </c>
      <c r="V2215" t="n">
        <v>0</v>
      </c>
    </row>
    <row r="2216">
      <c r="A2216">
        <f>Skills!A4</f>
        <v/>
      </c>
      <c r="B2216">
        <f>Skills!B4</f>
        <v/>
      </c>
      <c r="C2216">
        <f>Inputs!$B$3&gt;=66</f>
        <v/>
      </c>
      <c r="D2216">
        <f>IF(Skills!C4=1,60+Inputs!$B$25+Inputs!$B$29,IF(Skills!C4=2,90+Inputs!$B$26+Inputs!$B$29,IF(Skills!C4=3,120+Inputs!$B$27+Inputs!$B$29,MAX(0,(Inputs!$B$3-100)*3)+Inputs!$B$28+Inputs!$B$29)))</f>
        <v/>
      </c>
      <c r="E2216">
        <f>INDEX(FactorTable!$B$2:$Y$301, MATCH(ROUND(MIN(300,MAX(1,D2216)),0), FactorTable!$A$2:$A$301,0), Skills!M4+1)</f>
        <v/>
      </c>
      <c r="F2216">
        <f>IF(Skills!N4=TRUE,(Skills!L4/10)*(E2216/1000),Skills!L4/10)+Skills!O4</f>
        <v/>
      </c>
      <c r="G2216">
        <f>Skills!G4*IF(Skills!H4&gt;0,IF(Inputs!$B$39="pvp",MIN(Skills!I4,15),Skills!I4)/Skills!H4,1)</f>
        <v/>
      </c>
      <c r="H2216">
        <f>1-(1-Skills!J4/100)^Skills!K4</f>
        <v/>
      </c>
      <c r="I2216" t="inlineStr">
        <is>
          <t>1</t>
        </is>
      </c>
      <c r="J2216">
        <f>((Inputs!$B$6*(1+Inputs!$B$7/100))+(((Inputs!$B$12*(1+Inputs!$B$13/100))-(Inputs!$B$12*(1+Inputs!$B$13/100)))+0.25*(Inputs!$B$14-Inputs!$B$14))*(1+Inputs!$B$7/100))*(F2216/100)</f>
        <v/>
      </c>
      <c r="K2216">
        <f>J2216*(1+((Inputs!$B$12*(1+Inputs!$B$13/100))*0.01+Inputs!$B$14*0.0025)/100)*(1+Inputs!$B$15/100)*(1+Inputs!$B$16/100)*(5000/(6000+Inputs!$B$43*(1-(100*(1-(1-Inputs!$B$19/100)*(1-CHOOSE(ArtifactsInput!$N$40+1,5,6,7,8,9,10)/100)^(ArtifactsInput!$M$40-ArtifactsInput!$M$40)))/100)))*(1+(Inputs!$B$24+((C2243=TRUE)*(F2243-Calc!F31))+((C2230=TRUE)*(F2230-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4="CRUEL_STAB",Inputs!$B$17+((C2240=TRUE)*(F2240-Calc!F28))+((IF(AND(Inputs!$B$39&lt;&gt;"pvp",Inputs!$B$44=0),1,IF(IF(Inputs!$B$39="pvp",15,Inputs!$B$44)-(B2257)&lt;=0,1,MAX(0,IF(Inputs!$B$39="pvp",15,Inputs!$B$44)-MAX(5,B2257))/(IF(Inputs!$B$39="pvp",15,Inputs!$B$44)-(B2257))))*(IF(AND(ArtifactsInput!$M$42,((Inputs!$B$9+((C2238=TRUE)*(F2238-Calc!F26))+B2246+(ArtifactsInput!$M$24-ArtifactsInput!$M$24)*CHOOSE(ArtifactsInput!$N$24+1,10,12,14,16,18,20)+IF(ArtifactsInput!$M$10,CHOOSE(ArtifactsInput!$N$10+1,15,18,21,24,27,30)*(IF(Inputs!$B$39="pvp",MIN(15,15)/15,IF(AND(Inputs!$B$39&lt;&gt;"pvp",Inputs!$B$44&gt;0),MIN(15,Inputs!$B$44)/(Inputs!$B$44),0))),0)))&gt;=100),MIN(100,((Inputs!$B$9+((C2238=TRUE)*(F2238-Calc!F26))+B2246+(ArtifactsInput!$M$24-ArtifactsInput!$M$24)*CHOOSE(ArtifactsInput!$N$24+1,10,12,14,16,18,20)+IF(ArtifactsInput!$M$10,CHOOSE(ArtifactsInput!$N$10+1,15,18,21,24,27,30)*(IF(Inputs!$B$39="pvp",MIN(15,15)/15,IF(AND(Inputs!$B$39&lt;&gt;"pvp",Inputs!$B$44&gt;0),MIN(15,Inputs!$B$44)/(Inputs!$B$44),0))),0)))-100),0))*CHOOSE(ArtifactsInput!$N$42+1,0.6,0.72,0.84,0.96,1.08,1.2))),Inputs!$B$18+((C2241=TRUE)*(F2241-Calc!F29))+(IF(AND(Inputs!$B$39&lt;&gt;"pvp",Inputs!$B$44=0),1,IF(IF(Inputs!$B$39="pvp",15,Inputs!$B$44)-(B2257)&lt;=0,1,MAX(0,IF(Inputs!$B$39="pvp",15,Inputs!$B$44)-MAX(5,B2257))/(IF(Inputs!$B$39="pvp",15,Inputs!$B$44)-(B2257))))*IF(AND(ArtifactsInput!$M$42,((Inputs!$B$9+((C2238=TRUE)*(F2238-Calc!F26))+B2246+(ArtifactsInput!$M$24-ArtifactsInput!$M$24)*CHOOSE(ArtifactsInput!$N$24+1,10,12,14,16,18,20)+IF(ArtifactsInput!$M$10,CHOOSE(ArtifactsInput!$N$10+1,15,18,21,24,27,30)*(IF(Inputs!$B$39="pvp",MIN(15,15)/15,IF(AND(Inputs!$B$39&lt;&gt;"pvp",Inputs!$B$44&gt;0),MIN(15,Inputs!$B$44)/(Inputs!$B$44),0))),0)))&gt;=100),CHOOSE(ArtifactsInput!$N$42+1,40,48,56,64,72,80),0))))/100)*(((1+(((C2234=TRUE)*F2234*IF(AND(Inputs!$B$39&lt;&gt;"pvp",Inputs!$B$44&gt;0),(((R2234-1)*MIN((Skills!Y22*(1+Inputs!$B$34/100)),(1/Q2234))+MIN((Skills!Y22*(1+Inputs!$B$34/100)),MAX(0,Inputs!$B$44-((R2234-1)*(1/Q2234)))))/Inputs!$B$44),IF(Inputs!$B$39="pvp",MIN((Skills!Y22*(1+Inputs!$B$34/100)),15)/15,MIN(1,(Skills!Y22*(1+Inputs!$B$34/100))/(1/Q2234)))))+((C2215=TRUE)*F2215*3)+((C2217=TRUE)*F2217*(1-EXP(-0.75*B2250*5)))+((C2236=TRUE)*(F2236-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2223=TRUE)*F2223*IF(AND(Inputs!$B$39&lt;&gt;"pvp",Inputs!$B$44&gt;0),(((R2223-1)*MIN((Skills!Y11*(1+Inputs!$B$34/100)),(1/Q2223))+MIN((Skills!Y11*(1+Inputs!$B$34/100)),MAX(0,Inputs!$B$44-((R2223-1)*(1/Q2223)))))/Inputs!$B$44),IF(Inputs!$B$39="pvp",MIN((Skills!Y11*(1+Inputs!$B$34/100)),15)/15,MIN(1,(Skills!Y11*(1+Inputs!$B$34/100))/(1/Q2223)))))/100)*(1+((C2228=TRUE)*F2228*IF(AND(Inputs!$B$39&lt;&gt;"pvp",Inputs!$B$44&gt;0),(((R2228-1)*MIN((Skills!Y16*(1+Inputs!$B$34/100)),(1/Q2228))+MIN((Skills!Y16*(1+Inputs!$B$34/100)),MAX(0,Inputs!$B$44-((R2228-1)*(1/Q2228)))))/Inputs!$B$44),IF(Inputs!$B$39="pvp",MIN((Skills!Y16*(1+Inputs!$B$34/100)),15)/15,MIN(1,(Skills!Y16*(1+Inputs!$B$34/100))/(1/Q2228)))))/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2248*I2216)</f>
        <v/>
      </c>
      <c r="L2216">
        <f>K2216*(MIN(Inputs!$B$22+((C2237=TRUE)*(F2237-Calc!F25)),(Inputs!$B$23+((C2242=TRUE)*(F2242-Calc!F30))+IF(ArtifactsInput!$M$15,CHOOSE(ArtifactsInput!$N$15+1,25,30,35,40,45,50)/100*(Inputs!$B$11-Inputs!$B$11),0)))/100+(Inputs!$B$23+((C2242=TRUE)*(F2242-Calc!F30))+IF(ArtifactsInput!$M$15,CHOOSE(ArtifactsInput!$N$15+1,25,30,35,40,45,50)/100*(Inputs!$B$11-Inputs!$B$11),0))/100)/2</f>
        <v/>
      </c>
      <c r="M2216">
        <f>L2216*(1+(Inputs!$B$10+((C2239=TRUE)*(F2239-Calc!F27))+B2253+(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2216">
        <f>L2216*(1-MIN((Inputs!$B$9+((C2238=TRUE)*(F2238-Calc!F26))+B2246+(ArtifactsInput!$M$24-ArtifactsInput!$M$24)*CHOOSE(ArtifactsInput!$N$24+1,10,12,14,16,18,20)+(IF(AND(Inputs!$B$39&lt;&gt;"pvp",Inputs!$B$44=0),1,IF(IF(Inputs!$B$39="pvp",15,Inputs!$B$44)-(B2257)&lt;=0,1,MAX(0,IF(Inputs!$B$39="pvp",15,Inputs!$B$44)-MAX(5,B2257))/(IF(Inputs!$B$39="pvp",15,Inputs!$B$44)-(B2257))))*IF(AND(ArtifactsInput!$M$42,((Inputs!$B$9+((C2238=TRUE)*(F2238-Calc!F26))+B2246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2216*(MIN((Inputs!$B$9+((C2238=TRUE)*(F2238-Calc!F26))+B2246+(ArtifactsInput!$M$24-ArtifactsInput!$M$24)*CHOOSE(ArtifactsInput!$N$24+1,10,12,14,16,18,20)+(IF(AND(Inputs!$B$39&lt;&gt;"pvp",Inputs!$B$44=0),1,IF(IF(Inputs!$B$39="pvp",15,Inputs!$B$44)-(B2257)&lt;=0,1,MAX(0,IF(Inputs!$B$39="pvp",15,Inputs!$B$44)-MAX(5,B2257))/(IF(Inputs!$B$39="pvp",15,Inputs!$B$44)-(B2257))))*IF(AND(ArtifactsInput!$M$42,((Inputs!$B$9+((C2238=TRUE)*(F2238-Calc!F26))+B2246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216">
        <f>(1-Summary!$B$11)*T2216+Summary!$B$11*V2216</f>
        <v/>
      </c>
      <c r="P2216">
        <f>IF(B2258=0,0,O2216/B2258)</f>
        <v/>
      </c>
      <c r="Q2216">
        <f>IFERROR(1/IF(Inputs!$B$39="pvp",15,MAX(0.1,Skills!D4-IF(TRUE=TRUE,Inputs!$B$32,0))),0)</f>
        <v/>
      </c>
      <c r="R2216">
        <f>IF(AND(Inputs!$B$39&lt;&gt;"pvp",Inputs!$B$44&gt;0),IF(MAX(0,Inputs!$B$44-B2257)&lt;=0,0,(INT(MAX(0,Inputs!$B$44-B2257)/IF(Inputs!$B$39="pvp",15,MAX(0.1,Skills!D4-IF(TRUE=TRUE,Inputs!$B$32,0))))+1)),0)</f>
        <v/>
      </c>
      <c r="S2216">
        <f>IFERROR(O2216/N2216,0)</f>
        <v/>
      </c>
      <c r="T2216">
        <f>IF(C2216,(H2216*N2216*IF(AND(Inputs!$B$39&lt;&gt;"pvp",Inputs!$B$44&gt;0),((Skills!G4*((R2216-1)*IF(Skills!H4&gt;0,Skills!I4/Skills!H4,1)+IF(Skills!H4&gt;0,MIN(Skills!I4,MAX(0,MAX(0,Inputs!$B$44-B2257)-((R2216-1)*IF(Inputs!$B$39="pvp",15,MAX(0.1,Skills!D4-IF(TRUE=TRUE,Inputs!$B$32,0))))))/Skills!H4,1)))/Inputs!$B$44),G2216*Q2216))*IF(Inputs!$B$39="pvp",1,1+(Inputs!$B$20+0+Skills!P4+B2247+(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Hunt"),CHOOSE(ArtifactsInput!$N$35+1,15,18,21,24,27,30)*(1-EXP(-(0.2*B2250)*5)),0)+IF(AND(IF(ArtifactsInput!$M$22,FALSE,TRUE),Inputs!$B$4&lt;&gt;"Chapter Hunt"),CHOOSE(ArtifactsInput!$N$22+1,10,12,14,16,18,20)*((0*(((0.15*B2250*5))^0/1)+1*(((0.15*B2250*5))^1/1)+2*(((0.15*B2250*5))^2/2)+3*(((0.15*B2250*5))^3/6)+4*(((0.15*B2250*5))^4/24)+5*(((0.15*B2250*5))^5/120))/((((0.15*B2250*5))^0/1)+(((0.15*B2250*5))^1/1)+(((0.15*B2250*5))^2/2)+(((0.15*B2250*5))^3/6)+(((0.15*B2250*5))^4/24)+(((0.15*B2250*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2216*(1-MIN(100,(Inputs!$B$9+((C2238=TRUE)*(F2238-Calc!F26))+B2246+(ArtifactsInput!$M$24-ArtifactsInput!$M$24)*CHOOSE(ArtifactsInput!$N$24+1,10,12,14,16,18,20)+(IF(AND(Inputs!$B$39&lt;&gt;"pvp",Inputs!$B$44=0),1,IF(IF(Inputs!$B$39="pvp",15,Inputs!$B$44)-(B2257)&lt;=0,1,MAX(0,IF(Inputs!$B$39="pvp",15,Inputs!$B$44)-MAX(5,B2257))/(IF(Inputs!$B$39="pvp",15,Inputs!$B$44)-(B2257))))*IF(AND(ArtifactsInput!$M$42,((Inputs!$B$9+((C2238=TRUE)*(F2238-Calc!F26))+B2246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2216*(MIN(100,(Inputs!$B$9+((C2238=TRUE)*(F2238-Calc!F26))+B2246+(ArtifactsInput!$M$24-ArtifactsInput!$M$24)*CHOOSE(ArtifactsInput!$N$24+1,10,12,14,16,18,20)+(IF(AND(Inputs!$B$39&lt;&gt;"pvp",Inputs!$B$44=0),1,IF(IF(Inputs!$B$39="pvp",15,Inputs!$B$44)-(B2257)&lt;=0,1,MAX(0,IF(Inputs!$B$39="pvp",15,Inputs!$B$44)-MAX(5,B2257))/(IF(Inputs!$B$39="pvp",15,Inputs!$B$44)-(B2257))))*IF(AND(ArtifactsInput!$M$42,((Inputs!$B$9+((C2238=TRUE)*(F2238-Calc!F26))+B2246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2216*(1-MIN(100,(Inputs!$B$9+((C2238=TRUE)*(F2238-Calc!F26))+B2246+(ArtifactsInput!$M$24-ArtifactsInput!$M$24)*CHOOSE(ArtifactsInput!$N$24+1,10,12,14,16,18,20)+(IF(AND(Inputs!$B$39&lt;&gt;"pvp",Inputs!$B$44=0),1,IF(IF(Inputs!$B$39="pvp",15,Inputs!$B$44)-(B2257)&lt;=0,1,MAX(0,IF(Inputs!$B$39="pvp",15,Inputs!$B$44)-MAX(5,B2257))/(IF(Inputs!$B$39="pvp",15,Inputs!$B$44)-(B2257))))*IF(AND(ArtifactsInput!$M$42,((Inputs!$B$9+((C2238=TRUE)*(F2238-Calc!F26))+B2246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2216*(MIN(100,(Inputs!$B$9+((C2238=TRUE)*(F2238-Calc!F26))+B2246+(ArtifactsInput!$M$24-ArtifactsInput!$M$24)*CHOOSE(ArtifactsInput!$N$24+1,10,12,14,16,18,20)+(IF(AND(Inputs!$B$39&lt;&gt;"pvp",Inputs!$B$44=0),1,IF(IF(Inputs!$B$39="pvp",15,Inputs!$B$44)-(B2257)&lt;=0,1,MAX(0,IF(Inputs!$B$39="pvp",15,Inputs!$B$44)-MAX(5,B2257))/(IF(Inputs!$B$39="pvp",15,Inputs!$B$44)-(B2257))))*IF(AND(ArtifactsInput!$M$42,((Inputs!$B$9+((C2238=TRUE)*(F2238-Calc!F26))+B2246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2216">
        <f>290*U2215/1000</f>
        <v/>
      </c>
      <c r="V2216">
        <f>IF(C2216,(H2216*N2216*IF(AND(Inputs!$B$39&lt;&gt;"pvp",Inputs!$B$44&gt;0),((Skills!G4*((R2216-1)*IF(Skills!H4&gt;0,Skills!I4/Skills!H4,1)+IF(Skills!H4&gt;0,MIN(Skills!I4,MAX(0,MAX(0,Inputs!$B$44-B2257)-((R2216-1)*IF(Inputs!$B$39="pvp",15,MAX(0.1,Skills!D4-IF(TRUE=TRUE,Inputs!$B$32,0))))))/Skills!H4,1)))/Inputs!$B$44),G2216*Q2216))*IF(Inputs!$B$39="pvp",1,(1+(Inputs!$B$21+Skills!Q4+B2247+(IF(ArtifactsInput!$M$33,CHOOSE(ArtifactsInput!$N$33+1,30,36,42,48,54,60),0))+(IF(AND(ArtifactsInput!$M$35,Inputs!$B$4&lt;&gt;"Chapter Hunt"),CHOOSE(ArtifactsInput!$N$35+1,15,18,21,24,27,30)*(1-EXP(-(0.2*B2250)*5)),0)+IF(AND(IF(ArtifactsInput!$M$22,FALSE,TRUE),Inputs!$B$4&lt;&gt;"Chapter Hunt"),CHOOSE(ArtifactsInput!$N$22+1,10,12,14,16,18,20)*((0*(((0.15*B2250*5))^0/1)+1*(((0.15*B2250*5))^1/1)+2*(((0.15*B2250*5))^2/2)+3*(((0.15*B2250*5))^3/6)+4*(((0.15*B2250*5))^4/24)+5*(((0.15*B2250*5))^5/120))/((((0.15*B2250*5))^0/1)+(((0.15*B2250*5))^1/1)+(((0.15*B2250*5))^2/2)+(((0.15*B2250*5))^3/6)+(((0.15*B2250*5))^4/24)+(((0.15*B2250*5))^5/120))),0)))/100)*(MIN(MIN(10,IF(Inputs!$B$3&gt;=75,0.75,0.5)*B2250*(1/Q2216)),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217">
      <c r="A2217">
        <f>Skills!A5</f>
        <v/>
      </c>
      <c r="B2217">
        <f>Skills!B5</f>
        <v/>
      </c>
      <c r="C2217">
        <f>Inputs!$B$3&gt;=75</f>
        <v/>
      </c>
      <c r="D2217">
        <f>IF(Skills!C5=1,60+Inputs!$B$25+Inputs!$B$29,IF(Skills!C5=2,90+Inputs!$B$26+Inputs!$B$29,IF(Skills!C5=3,120+Inputs!$B$27+Inputs!$B$29,MAX(0,(Inputs!$B$3-100)*3)+Inputs!$B$28+Inputs!$B$29)))</f>
        <v/>
      </c>
      <c r="E2217">
        <f>INDEX(FactorTable!$B$2:$Y$301, MATCH(ROUND(MIN(300,MAX(1,D2217)),0), FactorTable!$A$2:$A$301,0), Skills!M5+1)</f>
        <v/>
      </c>
      <c r="F2217">
        <f>IF(Skills!N5=TRUE,(Skills!L5/10)*(E2217/1000),Skills!L5/10)+Skills!O5</f>
        <v/>
      </c>
      <c r="G2217">
        <f>Skills!G5*IF(Skills!H5&gt;0,IF(Inputs!$B$39="pvp",MIN(Skills!I5,15),Skills!I5)/Skills!H5,1)</f>
        <v/>
      </c>
      <c r="H2217">
        <f>1-(1-Skills!J5/100)^Skills!K5</f>
        <v/>
      </c>
      <c r="I2217" t="inlineStr">
        <is>
          <t>1</t>
        </is>
      </c>
      <c r="J2217" t="inlineStr"/>
      <c r="K2217" t="inlineStr"/>
      <c r="L2217" t="inlineStr"/>
      <c r="M2217" t="inlineStr"/>
      <c r="N2217" t="inlineStr"/>
      <c r="O2217">
        <f>(1-Summary!$B$11)*T2217+Summary!$B$11*V2217</f>
        <v/>
      </c>
      <c r="P2217">
        <f>IF(B2258=0,0,O2217/B2258)</f>
        <v/>
      </c>
      <c r="Q2217" t="n">
        <v>0</v>
      </c>
      <c r="R2217" t="n">
        <v>0</v>
      </c>
      <c r="S2217">
        <f>IFERROR(O2217/N2217,0)</f>
        <v/>
      </c>
      <c r="T2217" t="n">
        <v>0</v>
      </c>
      <c r="V2217" t="n">
        <v>0</v>
      </c>
    </row>
    <row r="2218">
      <c r="A2218">
        <f>Skills!A6</f>
        <v/>
      </c>
      <c r="B2218">
        <f>Skills!B6</f>
        <v/>
      </c>
      <c r="C2218">
        <f>Inputs!$B$3&gt;=63</f>
        <v/>
      </c>
      <c r="D2218">
        <f>IF(Skills!C6=1,60+Inputs!$B$25+Inputs!$B$29,IF(Skills!C6=2,90+Inputs!$B$26+Inputs!$B$29,IF(Skills!C6=3,120+Inputs!$B$27+Inputs!$B$29,MAX(0,(Inputs!$B$3-100)*3)+Inputs!$B$28+Inputs!$B$29)))</f>
        <v/>
      </c>
      <c r="E2218">
        <f>INDEX(FactorTable!$B$2:$Y$301, MATCH(ROUND(MIN(300,MAX(1,D2218)),0), FactorTable!$A$2:$A$301,0), Skills!M6+1)</f>
        <v/>
      </c>
      <c r="F2218">
        <f>IF(Skills!N6=TRUE,(Skills!L6/10)*(E2218/1000),Skills!L6/10)+Skills!O6</f>
        <v/>
      </c>
      <c r="G2218">
        <f>Skills!G6*IF(Skills!H6&gt;0,IF(Inputs!$B$39="pvp",MIN(Skills!I6,15),Skills!I6)/Skills!H6,1)</f>
        <v/>
      </c>
      <c r="H2218">
        <f>1-(1-Skills!J6/100)^Skills!K6</f>
        <v/>
      </c>
      <c r="I2218" t="inlineStr">
        <is>
          <t>1</t>
        </is>
      </c>
      <c r="J2218">
        <f>((Inputs!$B$6*(1+Inputs!$B$7/100))+(((Inputs!$B$12*(1+Inputs!$B$13/100))-(Inputs!$B$12*(1+Inputs!$B$13/100)))+0.25*(Inputs!$B$14-Inputs!$B$14))*(1+Inputs!$B$7/100))*(F2218/100)</f>
        <v/>
      </c>
      <c r="K2218">
        <f>J2218*(1+((Inputs!$B$12*(1+Inputs!$B$13/100))*0.01+Inputs!$B$14*0.0025)/100)*(1+Inputs!$B$15/100)*(1+Inputs!$B$16/100)*(5000/(6000+Inputs!$B$43*(1-(100*(1-(1-Inputs!$B$19/100)*(1-CHOOSE(ArtifactsInput!$N$40+1,5,6,7,8,9,10)/100)^(ArtifactsInput!$M$40-ArtifactsInput!$M$40)))/100)))*(1+(Inputs!$B$24+((C2243=TRUE)*(F2243-Calc!F31))+((C2230=TRUE)*(F2230-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+2.6666666666666665*IF(C2231=TRUE,F2231,0)/100)*(1+(IF(Skills!A6="CRUEL_STAB",Inputs!$B$17+((C2240=TRUE)*(F2240-Calc!F28))+((IF(AND(Inputs!$B$39&lt;&gt;"pvp",Inputs!$B$44=0),1,IF(IF(Inputs!$B$39="pvp",15,Inputs!$B$44)-(B2257)&lt;=0,1,MAX(0,IF(Inputs!$B$39="pvp",15,Inputs!$B$44)-MAX(5,B2257))/(IF(Inputs!$B$39="pvp",15,Inputs!$B$44)-(B2257))))*(IF(AND(ArtifactsInput!$M$42,((Inputs!$B$9+((C2238=TRUE)*(F2238-Calc!F26))+B2246+(ArtifactsInput!$M$24-ArtifactsInput!$M$24)*CHOOSE(ArtifactsInput!$N$24+1,10,12,14,16,18,20)+IF(ArtifactsInput!$M$10,CHOOSE(ArtifactsInput!$N$10+1,15,18,21,24,27,30)*(IF(Inputs!$B$39="pvp",MIN(15,15)/15,IF(AND(Inputs!$B$39&lt;&gt;"pvp",Inputs!$B$44&gt;0),MIN(15,Inputs!$B$44)/(Inputs!$B$44),0))),0)))&gt;=100),MIN(100,((Inputs!$B$9+((C2238=TRUE)*(F2238-Calc!F26))+B2246+(ArtifactsInput!$M$24-ArtifactsInput!$M$24)*CHOOSE(ArtifactsInput!$N$24+1,10,12,14,16,18,20)+IF(ArtifactsInput!$M$10,CHOOSE(ArtifactsInput!$N$10+1,15,18,21,24,27,30)*(IF(Inputs!$B$39="pvp",MIN(15,15)/15,IF(AND(Inputs!$B$39&lt;&gt;"pvp",Inputs!$B$44&gt;0),MIN(15,Inputs!$B$44)/(Inputs!$B$44),0))),0)))-100),0))*CHOOSE(ArtifactsInput!$N$42+1,0.6,0.72,0.84,0.96,1.08,1.2))),Inputs!$B$18+((C2241=TRUE)*(F2241-Calc!F29))+(IF(AND(Inputs!$B$39&lt;&gt;"pvp",Inputs!$B$44=0),1,IF(IF(Inputs!$B$39="pvp",15,Inputs!$B$44)-(B2257)&lt;=0,1,MAX(0,IF(Inputs!$B$39="pvp",15,Inputs!$B$44)-MAX(5,B2257))/(IF(Inputs!$B$39="pvp",15,Inputs!$B$44)-(B2257))))*IF(AND(ArtifactsInput!$M$42,((Inputs!$B$9+((C2238=TRUE)*(F2238-Calc!F26))+B2246+(ArtifactsInput!$M$24-ArtifactsInput!$M$24)*CHOOSE(ArtifactsInput!$N$24+1,10,12,14,16,18,20)+IF(ArtifactsInput!$M$10,CHOOSE(ArtifactsInput!$N$10+1,15,18,21,24,27,30)*(IF(Inputs!$B$39="pvp",MIN(15,15)/15,IF(AND(Inputs!$B$39&lt;&gt;"pvp",Inputs!$B$44&gt;0),MIN(15,Inputs!$B$44)/(Inputs!$B$44),0))),0)))&gt;=100),CHOOSE(ArtifactsInput!$N$42+1,40,48,56,64,72,80),0))))/100)*(((1+(((C2234=TRUE)*F2234*IF(AND(Inputs!$B$39&lt;&gt;"pvp",Inputs!$B$44&gt;0),(((R2234-1)*MIN((Skills!Y22*(1+Inputs!$B$34/100)),(1/Q2234))+MIN((Skills!Y22*(1+Inputs!$B$34/100)),MAX(0,Inputs!$B$44-((R2234-1)*(1/Q2234)))))/Inputs!$B$44),IF(Inputs!$B$39="pvp",MIN((Skills!Y22*(1+Inputs!$B$34/100)),15)/15,MIN(1,(Skills!Y22*(1+Inputs!$B$34/100))/(1/Q2234)))))+((C2215=TRUE)*F2215*3)+((C2217=TRUE)*F2217*(1-EXP(-0.75*B2250*5)))+((C2236=TRUE)*(F2236-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2223=TRUE)*F2223*IF(AND(Inputs!$B$39&lt;&gt;"pvp",Inputs!$B$44&gt;0),(((R2223-1)*MIN((Skills!Y11*(1+Inputs!$B$34/100)),(1/Q2223))+MIN((Skills!Y11*(1+Inputs!$B$34/100)),MAX(0,Inputs!$B$44-((R2223-1)*(1/Q2223)))))/Inputs!$B$44),IF(Inputs!$B$39="pvp",MIN((Skills!Y11*(1+Inputs!$B$34/100)),15)/15,MIN(1,(Skills!Y11*(1+Inputs!$B$34/100))/(1/Q2223)))))/100)*(1+((C2228=TRUE)*F2228*IF(AND(Inputs!$B$39&lt;&gt;"pvp",Inputs!$B$44&gt;0),(((R2228-1)*MIN((Skills!Y16*(1+Inputs!$B$34/100)),(1/Q2228))+MIN((Skills!Y16*(1+Inputs!$B$34/100)),MAX(0,Inputs!$B$44-((R2228-1)*(1/Q2228)))))/Inputs!$B$44),IF(Inputs!$B$39="pvp",MIN((Skills!Y16*(1+Inputs!$B$34/100)),15)/15,MIN(1,(Skills!Y16*(1+Inputs!$B$34/100))/(1/Q2228)))))/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2248*I2218)</f>
        <v/>
      </c>
      <c r="L2218">
        <f>K2218*(MIN(Inputs!$B$22+((C2237=TRUE)*(F2237-Calc!F25)),(Inputs!$B$23+((C2242=TRUE)*(F2242-Calc!F30))+IF(ArtifactsInput!$M$15,CHOOSE(ArtifactsInput!$N$15+1,25,30,35,40,45,50)/100*(Inputs!$B$11-Inputs!$B$11),0)))/100+(Inputs!$B$23+((C2242=TRUE)*(F2242-Calc!F30))+IF(ArtifactsInput!$M$15,CHOOSE(ArtifactsInput!$N$15+1,25,30,35,40,45,50)/100*(Inputs!$B$11-Inputs!$B$11),0))/100)/2</f>
        <v/>
      </c>
      <c r="M2218">
        <f>L2218*(1+(Inputs!$B$10+((C2239=TRUE)*(F2239-Calc!F27))+B2253+(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2218">
        <f>L2218*(1-MIN((Inputs!$B$9+((C2238=TRUE)*(F2238-Calc!F26))+B2246+(ArtifactsInput!$M$24-ArtifactsInput!$M$24)*CHOOSE(ArtifactsInput!$N$24+1,10,12,14,16,18,20)+(IF(AND(Inputs!$B$39&lt;&gt;"pvp",Inputs!$B$44=0),1,IF(IF(Inputs!$B$39="pvp",15,Inputs!$B$44)-(B2257)&lt;=0,1,MAX(0,IF(Inputs!$B$39="pvp",15,Inputs!$B$44)-MAX(5,B2257))/(IF(Inputs!$B$39="pvp",15,Inputs!$B$44)-(B2257))))*IF(AND(ArtifactsInput!$M$42,((Inputs!$B$9+((C2238=TRUE)*(F2238-Calc!F26))+B2246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2218*(MIN((Inputs!$B$9+((C2238=TRUE)*(F2238-Calc!F26))+B2246+(ArtifactsInput!$M$24-ArtifactsInput!$M$24)*CHOOSE(ArtifactsInput!$N$24+1,10,12,14,16,18,20)+(IF(AND(Inputs!$B$39&lt;&gt;"pvp",Inputs!$B$44=0),1,IF(IF(Inputs!$B$39="pvp",15,Inputs!$B$44)-(B2257)&lt;=0,1,MAX(0,IF(Inputs!$B$39="pvp",15,Inputs!$B$44)-MAX(5,B2257))/(IF(Inputs!$B$39="pvp",15,Inputs!$B$44)-(B2257))))*IF(AND(ArtifactsInput!$M$42,((Inputs!$B$9+((C2238=TRUE)*(F2238-Calc!F26))+B2246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218">
        <f>(1-Summary!$B$11)*T2218+Summary!$B$11*V2218</f>
        <v/>
      </c>
      <c r="P2218">
        <f>IF(B2258=0,0,O2218/B2258)</f>
        <v/>
      </c>
      <c r="Q2218">
        <f>IFERROR(1/IF(Inputs!$B$39="pvp",15,MAX(0.1,Skills!D6-IF(TRUE=TRUE,Inputs!$B$32,0))),0)</f>
        <v/>
      </c>
      <c r="R2218">
        <f>IF(AND(Inputs!$B$39&lt;&gt;"pvp",Inputs!$B$44&gt;0),IF(MAX(0,Inputs!$B$44-B2257)&lt;=0,0,(INT(MAX(0,Inputs!$B$44-B2257)/IF(Inputs!$B$39="pvp",15,MAX(0.1,Skills!D6-IF(TRUE=TRUE,Inputs!$B$32,0))))+1)),0)</f>
        <v/>
      </c>
      <c r="S2218">
        <f>IFERROR(O2218/N2218,0)</f>
        <v/>
      </c>
      <c r="T2218">
        <f>IF(C2218,(H2218*N2218*IF(AND(Inputs!$B$39&lt;&gt;"pvp",Inputs!$B$44&gt;0),((Skills!G6*((R2218-1)*IF(Skills!H6&gt;0,Skills!I6/Skills!H6,1)+IF(Skills!H6&gt;0,MIN(Skills!I6,MAX(0,MAX(0,Inputs!$B$44-B2257)-((R2218-1)*IF(Inputs!$B$39="pvp",15,MAX(0.1,Skills!D6-IF(TRUE=TRUE,Inputs!$B$32,0))))))/Skills!H6,1)))/Inputs!$B$44),G2218*Q2218))*IF(Inputs!$B$39="pvp",1,1+(Inputs!$B$20+0+Skills!P6+B2247+(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Hunt"),CHOOSE(ArtifactsInput!$N$35+1,15,18,21,24,27,30)*(1-EXP(-(0.2*B2250)*5)),0)+IF(AND(IF(ArtifactsInput!$M$22,FALSE,TRUE),Inputs!$B$4&lt;&gt;"Chapter Hunt"),CHOOSE(ArtifactsInput!$N$22+1,10,12,14,16,18,20)*((0*(((0.15*B2250*5))^0/1)+1*(((0.15*B2250*5))^1/1)+2*(((0.15*B2250*5))^2/2)+3*(((0.15*B2250*5))^3/6)+4*(((0.15*B2250*5))^4/24)+5*(((0.15*B2250*5))^5/120))/((((0.15*B2250*5))^0/1)+(((0.15*B2250*5))^1/1)+(((0.15*B2250*5))^2/2)+(((0.15*B2250*5))^3/6)+(((0.15*B2250*5))^4/24)+(((0.15*B2250*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2218*(1-MIN(100,(Inputs!$B$9+((C2238=TRUE)*(F2238-Calc!F26))+B2246+(ArtifactsInput!$M$24-ArtifactsInput!$M$24)*CHOOSE(ArtifactsInput!$N$24+1,10,12,14,16,18,20)+(IF(AND(Inputs!$B$39&lt;&gt;"pvp",Inputs!$B$44=0),1,IF(IF(Inputs!$B$39="pvp",15,Inputs!$B$44)-(B2257)&lt;=0,1,MAX(0,IF(Inputs!$B$39="pvp",15,Inputs!$B$44)-MAX(5,B2257))/(IF(Inputs!$B$39="pvp",15,Inputs!$B$44)-(B2257))))*IF(AND(ArtifactsInput!$M$42,((Inputs!$B$9+((C2238=TRUE)*(F2238-Calc!F26))+B2246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2218*(MIN(100,(Inputs!$B$9+((C2238=TRUE)*(F2238-Calc!F26))+B2246+(ArtifactsInput!$M$24-ArtifactsInput!$M$24)*CHOOSE(ArtifactsInput!$N$24+1,10,12,14,16,18,20)+(IF(AND(Inputs!$B$39&lt;&gt;"pvp",Inputs!$B$44=0),1,IF(IF(Inputs!$B$39="pvp",15,Inputs!$B$44)-(B2257)&lt;=0,1,MAX(0,IF(Inputs!$B$39="pvp",15,Inputs!$B$44)-MAX(5,B2257))/(IF(Inputs!$B$39="pvp",15,Inputs!$B$44)-(B2257))))*IF(AND(ArtifactsInput!$M$42,((Inputs!$B$9+((C2238=TRUE)*(F2238-Calc!F26))+B2246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2218*(1-MIN(100,(Inputs!$B$9+((C2238=TRUE)*(F2238-Calc!F26))+B2246+(ArtifactsInput!$M$24-ArtifactsInput!$M$24)*CHOOSE(ArtifactsInput!$N$24+1,10,12,14,16,18,20)+(IF(AND(Inputs!$B$39&lt;&gt;"pvp",Inputs!$B$44=0),1,IF(IF(Inputs!$B$39="pvp",15,Inputs!$B$44)-(B2257)&lt;=0,1,MAX(0,IF(Inputs!$B$39="pvp",15,Inputs!$B$44)-MAX(5,B2257))/(IF(Inputs!$B$39="pvp",15,Inputs!$B$44)-(B2257))))*IF(AND(ArtifactsInput!$M$42,((Inputs!$B$9+((C2238=TRUE)*(F2238-Calc!F26))+B2246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2218*(MIN(100,(Inputs!$B$9+((C2238=TRUE)*(F2238-Calc!F26))+B2246+(ArtifactsInput!$M$24-ArtifactsInput!$M$24)*CHOOSE(ArtifactsInput!$N$24+1,10,12,14,16,18,20)+(IF(AND(Inputs!$B$39&lt;&gt;"pvp",Inputs!$B$44=0),1,IF(IF(Inputs!$B$39="pvp",15,Inputs!$B$44)-(B2257)&lt;=0,1,MAX(0,IF(Inputs!$B$39="pvp",15,Inputs!$B$44)-MAX(5,B2257))/(IF(Inputs!$B$39="pvp",15,Inputs!$B$44)-(B2257))))*IF(AND(ArtifactsInput!$M$42,((Inputs!$B$9+((C2238=TRUE)*(F2238-Calc!F26))+B2246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218">
        <f>IF(C2218,(H2218*N2218*IF(AND(Inputs!$B$39&lt;&gt;"pvp",Inputs!$B$44&gt;0),((Skills!G6*((R2218-1)*IF(Skills!H6&gt;0,Skills!I6/Skills!H6,1)+IF(Skills!H6&gt;0,MIN(Skills!I6,MAX(0,MAX(0,Inputs!$B$44-B2257)-((R2218-1)*IF(Inputs!$B$39="pvp",15,MAX(0.1,Skills!D6-IF(TRUE=TRUE,Inputs!$B$32,0))))))/Skills!H6,1)))/Inputs!$B$44),G2218*Q2218))*IF(Inputs!$B$39="pvp",1,(1+(Inputs!$B$21+Skills!Q6+B2247+(IF(ArtifactsInput!$M$33,CHOOSE(ArtifactsInput!$N$33+1,30,36,42,48,54,60),0))+(IF(AND(ArtifactsInput!$M$35,Inputs!$B$4&lt;&gt;"Chapter Hunt"),CHOOSE(ArtifactsInput!$N$35+1,15,18,21,24,27,30)*(1-EXP(-(0.2*B2250)*5)),0)+IF(AND(IF(ArtifactsInput!$M$22,FALSE,TRUE),Inputs!$B$4&lt;&gt;"Chapter Hunt"),CHOOSE(ArtifactsInput!$N$22+1,10,12,14,16,18,20)*((0*(((0.15*B2250*5))^0/1)+1*(((0.15*B2250*5))^1/1)+2*(((0.15*B2250*5))^2/2)+3*(((0.15*B2250*5))^3/6)+4*(((0.15*B2250*5))^4/24)+5*(((0.15*B2250*5))^5/120))/((((0.15*B2250*5))^0/1)+(((0.15*B2250*5))^1/1)+(((0.15*B2250*5))^2/2)+(((0.15*B2250*5))^3/6)+(((0.15*B2250*5))^4/24)+(((0.15*B2250*5))^5/120))),0)))/100)*(MIN(Skills!W6,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219">
      <c r="A2219">
        <f>Skills!A7</f>
        <v/>
      </c>
      <c r="B2219">
        <f>Skills!B7</f>
        <v/>
      </c>
      <c r="C2219">
        <f>Inputs!$B$3&gt;=69</f>
        <v/>
      </c>
      <c r="D2219">
        <f>IF(Skills!C7=1,60+Inputs!$B$25+Inputs!$B$29,IF(Skills!C7=2,90+Inputs!$B$26+Inputs!$B$29,IF(Skills!C7=3,120+Inputs!$B$27+Inputs!$B$29,MAX(0,(Inputs!$B$3-100)*3)+Inputs!$B$28+Inputs!$B$29)))</f>
        <v/>
      </c>
      <c r="E2219">
        <f>INDEX(FactorTable!$B$2:$Y$301, MATCH(ROUND(MIN(300,MAX(1,D2219)),0), FactorTable!$A$2:$A$301,0), Skills!M7+1)</f>
        <v/>
      </c>
      <c r="F2219">
        <f>IF(Skills!N7=TRUE,(Skills!L7/10)*(E2219/1000),Skills!L7/10)+Skills!O7</f>
        <v/>
      </c>
      <c r="G2219">
        <f>Skills!G7*IF(Skills!H7&gt;0,IF(Inputs!$B$39="pvp",MIN(Skills!I7,15),Skills!I7)/Skills!H7,1)</f>
        <v/>
      </c>
      <c r="H2219">
        <f>1-(1-Skills!J7/100)^Skills!K7</f>
        <v/>
      </c>
      <c r="I2219" t="inlineStr">
        <is>
          <t>1</t>
        </is>
      </c>
      <c r="J2219">
        <f>((Inputs!$B$6*(1+Inputs!$B$7/100))+(((Inputs!$B$12*(1+Inputs!$B$13/100))-(Inputs!$B$12*(1+Inputs!$B$13/100)))+0.25*(Inputs!$B$14-Inputs!$B$14))*(1+Inputs!$B$7/100))*(F2219/100)</f>
        <v/>
      </c>
      <c r="K2219">
        <f>J2219*(1+((Inputs!$B$12*(1+Inputs!$B$13/100))*0.01+Inputs!$B$14*0.0025)/100)*(1+Inputs!$B$15/100)*(1+Inputs!$B$16/100)*(5000/(6000+Inputs!$B$43*(1-(100*(1-(1-Inputs!$B$19/100)*(1-CHOOSE(ArtifactsInput!$N$40+1,5,6,7,8,9,10)/100)^(ArtifactsInput!$M$40-ArtifactsInput!$M$40)))/100)))*(1+(Inputs!$B$24+((C2243=TRUE)*(F2243-Calc!F31))+((C2230=TRUE)*(F2230-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2231=TRUE,F2231,0)/100)*(1+(IF(Skills!A7="CRUEL_STAB",Inputs!$B$17+((C2240=TRUE)*(F2240-Calc!F28))+((IF(AND(Inputs!$B$39&lt;&gt;"pvp",Inputs!$B$44=0),1,IF(IF(Inputs!$B$39="pvp",15,Inputs!$B$44)-(B2257)&lt;=0,1,MAX(0,IF(Inputs!$B$39="pvp",15,Inputs!$B$44)-MAX(5,B2257))/(IF(Inputs!$B$39="pvp",15,Inputs!$B$44)-(B2257))))*(IF(AND(ArtifactsInput!$M$42,((Inputs!$B$9+((C2238=TRUE)*(F2238-Calc!F26))+B2246+(ArtifactsInput!$M$24-ArtifactsInput!$M$24)*CHOOSE(ArtifactsInput!$N$24+1,10,12,14,16,18,20)+IF(ArtifactsInput!$M$10,CHOOSE(ArtifactsInput!$N$10+1,15,18,21,24,27,30)*(IF(Inputs!$B$39="pvp",MIN(15,15)/15,IF(AND(Inputs!$B$39&lt;&gt;"pvp",Inputs!$B$44&gt;0),MIN(15,Inputs!$B$44)/(Inputs!$B$44),0))),0)))&gt;=100),MIN(100,((Inputs!$B$9+((C2238=TRUE)*(F2238-Calc!F26))+B2246+(ArtifactsInput!$M$24-ArtifactsInput!$M$24)*CHOOSE(ArtifactsInput!$N$24+1,10,12,14,16,18,20)+IF(ArtifactsInput!$M$10,CHOOSE(ArtifactsInput!$N$10+1,15,18,21,24,27,30)*(IF(Inputs!$B$39="pvp",MIN(15,15)/15,IF(AND(Inputs!$B$39&lt;&gt;"pvp",Inputs!$B$44&gt;0),MIN(15,Inputs!$B$44)/(Inputs!$B$44),0))),0)))-100),0))*CHOOSE(ArtifactsInput!$N$42+1,0.6,0.72,0.84,0.96,1.08,1.2))),Inputs!$B$18+((C2241=TRUE)*(F2241-Calc!F29))+(IF(AND(Inputs!$B$39&lt;&gt;"pvp",Inputs!$B$44=0),1,IF(IF(Inputs!$B$39="pvp",15,Inputs!$B$44)-(B2257)&lt;=0,1,MAX(0,IF(Inputs!$B$39="pvp",15,Inputs!$B$44)-MAX(5,B2257))/(IF(Inputs!$B$39="pvp",15,Inputs!$B$44)-(B2257))))*IF(AND(ArtifactsInput!$M$42,((Inputs!$B$9+((C2238=TRUE)*(F2238-Calc!F26))+B2246+(ArtifactsInput!$M$24-ArtifactsInput!$M$24)*CHOOSE(ArtifactsInput!$N$24+1,10,12,14,16,18,20)+IF(ArtifactsInput!$M$10,CHOOSE(ArtifactsInput!$N$10+1,15,18,21,24,27,30)*(IF(Inputs!$B$39="pvp",MIN(15,15)/15,IF(AND(Inputs!$B$39&lt;&gt;"pvp",Inputs!$B$44&gt;0),MIN(15,Inputs!$B$44)/(Inputs!$B$44),0))),0)))&gt;=100),CHOOSE(ArtifactsInput!$N$42+1,40,48,56,64,72,80),0))))/100)*(((1+(((C2234=TRUE)*F2234*IF(AND(Inputs!$B$39&lt;&gt;"pvp",Inputs!$B$44&gt;0),(((R2234-1)*MIN((Skills!Y22*(1+Inputs!$B$34/100)),(1/Q2234))+MIN((Skills!Y22*(1+Inputs!$B$34/100)),MAX(0,Inputs!$B$44-((R2234-1)*(1/Q2234)))))/Inputs!$B$44),IF(Inputs!$B$39="pvp",MIN((Skills!Y22*(1+Inputs!$B$34/100)),15)/15,MIN(1,(Skills!Y22*(1+Inputs!$B$34/100))/(1/Q2234)))))+((C2215=TRUE)*F2215*3)+((C2217=TRUE)*F2217*(1-EXP(-0.75*B2250*5)))+((C2236=TRUE)*(F2236-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2223=TRUE)*F2223*IF(AND(Inputs!$B$39&lt;&gt;"pvp",Inputs!$B$44&gt;0),(((R2223-1)*MIN((Skills!Y11*(1+Inputs!$B$34/100)),(1/Q2223))+MIN((Skills!Y11*(1+Inputs!$B$34/100)),MAX(0,Inputs!$B$44-((R2223-1)*(1/Q2223)))))/Inputs!$B$44),IF(Inputs!$B$39="pvp",MIN((Skills!Y11*(1+Inputs!$B$34/100)),15)/15,MIN(1,(Skills!Y11*(1+Inputs!$B$34/100))/(1/Q2223)))))/100)*(1+((C2228=TRUE)*F2228*IF(AND(Inputs!$B$39&lt;&gt;"pvp",Inputs!$B$44&gt;0),(((R2228-1)*MIN((Skills!Y16*(1+Inputs!$B$34/100)),(1/Q2228))+MIN((Skills!Y16*(1+Inputs!$B$34/100)),MAX(0,Inputs!$B$44-((R2228-1)*(1/Q2228)))))/Inputs!$B$44),IF(Inputs!$B$39="pvp",MIN((Skills!Y16*(1+Inputs!$B$34/100)),15)/15,MIN(1,(Skills!Y16*(1+Inputs!$B$34/100))/(1/Q2228)))))/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2248*I2219)</f>
        <v/>
      </c>
      <c r="L2219">
        <f>K2219*(MIN(Inputs!$B$22+((C2237=TRUE)*(F2237-Calc!F25)),(Inputs!$B$23+((C2242=TRUE)*(F2242-Calc!F30))+IF(ArtifactsInput!$M$15,CHOOSE(ArtifactsInput!$N$15+1,25,30,35,40,45,50)/100*(Inputs!$B$11-Inputs!$B$11),0)))/100+(Inputs!$B$23+((C2242=TRUE)*(F2242-Calc!F30))+IF(ArtifactsInput!$M$15,CHOOSE(ArtifactsInput!$N$15+1,25,30,35,40,45,50)/100*(Inputs!$B$11-Inputs!$B$11),0))/100)/2</f>
        <v/>
      </c>
      <c r="M2219">
        <f>L2219*(1+(Inputs!$B$10+((C2239=TRUE)*(F2239-Calc!F27))+B2253+(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2219">
        <f>L2219*(1-MIN((Inputs!$B$9+((C2238=TRUE)*(F2238-Calc!F26))+B2246+(ArtifactsInput!$M$24-ArtifactsInput!$M$24)*CHOOSE(ArtifactsInput!$N$24+1,10,12,14,16,18,20)+(IF(AND(Inputs!$B$39&lt;&gt;"pvp",Inputs!$B$44=0),1,IF(IF(Inputs!$B$39="pvp",15,Inputs!$B$44)-(B2257)&lt;=0,1,MAX(0,IF(Inputs!$B$39="pvp",15,Inputs!$B$44)-MAX(5,B2257))/(IF(Inputs!$B$39="pvp",15,Inputs!$B$44)-(B2257))))*IF(AND(ArtifactsInput!$M$42,((Inputs!$B$9+((C2238=TRUE)*(F2238-Calc!F26))+B2246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2219*(MIN((Inputs!$B$9+((C2238=TRUE)*(F2238-Calc!F26))+B2246+(ArtifactsInput!$M$24-ArtifactsInput!$M$24)*CHOOSE(ArtifactsInput!$N$24+1,10,12,14,16,18,20)+(IF(AND(Inputs!$B$39&lt;&gt;"pvp",Inputs!$B$44=0),1,IF(IF(Inputs!$B$39="pvp",15,Inputs!$B$44)-(B2257)&lt;=0,1,MAX(0,IF(Inputs!$B$39="pvp",15,Inputs!$B$44)-MAX(5,B2257))/(IF(Inputs!$B$39="pvp",15,Inputs!$B$44)-(B2257))))*IF(AND(ArtifactsInput!$M$42,((Inputs!$B$9+((C2238=TRUE)*(F2238-Calc!F26))+B2246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219">
        <f>(1-Summary!$B$11)*T2219+Summary!$B$11*V2219</f>
        <v/>
      </c>
      <c r="P2219">
        <f>IF(B2258=0,0,O2219/B2258)</f>
        <v/>
      </c>
      <c r="Q2219">
        <f>IFERROR(1/IF(Inputs!$B$39="pvp",15,MAX(0.1,Skills!D7-IF(TRUE=TRUE,Inputs!$B$32,0))),0)</f>
        <v/>
      </c>
      <c r="R2219">
        <f>IF(AND(Inputs!$B$39&lt;&gt;"pvp",Inputs!$B$44&gt;0),IF(MAX(0,Inputs!$B$44-B2257)&lt;=0,0,(INT(MAX(0,Inputs!$B$44-B2257)/IF(Inputs!$B$39="pvp",15,MAX(0.1,Skills!D7-IF(TRUE=TRUE,Inputs!$B$32,0))))+1)),0)</f>
        <v/>
      </c>
      <c r="S2219">
        <f>IFERROR(O2219/N2219,0)</f>
        <v/>
      </c>
      <c r="T2219">
        <f>IF(C2219,(H2219*N2219*IF(AND(Inputs!$B$39&lt;&gt;"pvp",Inputs!$B$44&gt;0),((Skills!G7*((R2219-1)*IF(Skills!H7&gt;0,Skills!I7/Skills!H7,1)+IF(Skills!H7&gt;0,MIN(Skills!I7,MAX(0,MAX(0,Inputs!$B$44-B2257)-((R2219-1)*IF(Inputs!$B$39="pvp",15,MAX(0.1,Skills!D7-IF(TRUE=TRUE,Inputs!$B$32,0))))))/Skills!H7,1)))/Inputs!$B$44),G2219*Q2219))*IF(Inputs!$B$39="pvp",1,1+(Inputs!$B$20+0+Skills!P7+B2247+(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Hunt"),CHOOSE(ArtifactsInput!$N$35+1,15,18,21,24,27,30)*(1-EXP(-(0.2*B2250)*5)),0)+IF(AND(IF(ArtifactsInput!$M$22,FALSE,TRUE),Inputs!$B$4&lt;&gt;"Chapter Hunt"),CHOOSE(ArtifactsInput!$N$22+1,10,12,14,16,18,20)*((0*(((0.15*B2250*5))^0/1)+1*(((0.15*B2250*5))^1/1)+2*(((0.15*B2250*5))^2/2)+3*(((0.15*B2250*5))^3/6)+4*(((0.15*B2250*5))^4/24)+5*(((0.15*B2250*5))^5/120))/((((0.15*B2250*5))^0/1)+(((0.15*B2250*5))^1/1)+(((0.15*B2250*5))^2/2)+(((0.15*B2250*5))^3/6)+(((0.15*B2250*5))^4/24)+(((0.15*B2250*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2219*(1-MIN(100,(Inputs!$B$9+((C2238=TRUE)*(F2238-Calc!F26))+B2246+(ArtifactsInput!$M$24-ArtifactsInput!$M$24)*CHOOSE(ArtifactsInput!$N$24+1,10,12,14,16,18,20)+(IF(AND(Inputs!$B$39&lt;&gt;"pvp",Inputs!$B$44=0),1,IF(IF(Inputs!$B$39="pvp",15,Inputs!$B$44)-(B2257)&lt;=0,1,MAX(0,IF(Inputs!$B$39="pvp",15,Inputs!$B$44)-MAX(5,B2257))/(IF(Inputs!$B$39="pvp",15,Inputs!$B$44)-(B2257))))*IF(AND(ArtifactsInput!$M$42,((Inputs!$B$9+((C2238=TRUE)*(F2238-Calc!F26))+B2246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2219*(MIN(100,(Inputs!$B$9+((C2238=TRUE)*(F2238-Calc!F26))+B2246+(ArtifactsInput!$M$24-ArtifactsInput!$M$24)*CHOOSE(ArtifactsInput!$N$24+1,10,12,14,16,18,20)+(IF(AND(Inputs!$B$39&lt;&gt;"pvp",Inputs!$B$44=0),1,IF(IF(Inputs!$B$39="pvp",15,Inputs!$B$44)-(B2257)&lt;=0,1,MAX(0,IF(Inputs!$B$39="pvp",15,Inputs!$B$44)-MAX(5,B2257))/(IF(Inputs!$B$39="pvp",15,Inputs!$B$44)-(B2257))))*IF(AND(ArtifactsInput!$M$42,((Inputs!$B$9+((C2238=TRUE)*(F2238-Calc!F26))+B2246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2219*(1-MIN(100,(Inputs!$B$9+((C2238=TRUE)*(F2238-Calc!F26))+B2246+(ArtifactsInput!$M$24-ArtifactsInput!$M$24)*CHOOSE(ArtifactsInput!$N$24+1,10,12,14,16,18,20)+(IF(AND(Inputs!$B$39&lt;&gt;"pvp",Inputs!$B$44=0),1,IF(IF(Inputs!$B$39="pvp",15,Inputs!$B$44)-(B2257)&lt;=0,1,MAX(0,IF(Inputs!$B$39="pvp",15,Inputs!$B$44)-MAX(5,B2257))/(IF(Inputs!$B$39="pvp",15,Inputs!$B$44)-(B2257))))*IF(AND(ArtifactsInput!$M$42,((Inputs!$B$9+((C2238=TRUE)*(F2238-Calc!F26))+B2246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2219*(MIN(100,(Inputs!$B$9+((C2238=TRUE)*(F2238-Calc!F26))+B2246+(ArtifactsInput!$M$24-ArtifactsInput!$M$24)*CHOOSE(ArtifactsInput!$N$24+1,10,12,14,16,18,20)+(IF(AND(Inputs!$B$39&lt;&gt;"pvp",Inputs!$B$44=0),1,IF(IF(Inputs!$B$39="pvp",15,Inputs!$B$44)-(B2257)&lt;=0,1,MAX(0,IF(Inputs!$B$39="pvp",15,Inputs!$B$44)-MAX(5,B2257))/(IF(Inputs!$B$39="pvp",15,Inputs!$B$44)-(B2257))))*IF(AND(ArtifactsInput!$M$42,((Inputs!$B$9+((C2238=TRUE)*(F2238-Calc!F26))+B2246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219">
        <f>IF(C2219,(H2219*N2219*IF(AND(Inputs!$B$39&lt;&gt;"pvp",Inputs!$B$44&gt;0),((Skills!G7*((R2219-1)*IF(Skills!H7&gt;0,Skills!I7/Skills!H7,1)+IF(Skills!H7&gt;0,MIN(Skills!I7,MAX(0,MAX(0,Inputs!$B$44-B2257)-((R2219-1)*IF(Inputs!$B$39="pvp",15,MAX(0.1,Skills!D7-IF(TRUE=TRUE,Inputs!$B$32,0))))))/Skills!H7,1)))/Inputs!$B$44),G2219*Q2219))*IF(Inputs!$B$39="pvp",1,(1+(Inputs!$B$21+Skills!Q7+B2247+(IF(ArtifactsInput!$M$33,CHOOSE(ArtifactsInput!$N$33+1,30,36,42,48,54,60),0))+(IF(AND(ArtifactsInput!$M$35,Inputs!$B$4&lt;&gt;"Chapter Hunt"),CHOOSE(ArtifactsInput!$N$35+1,15,18,21,24,27,30)*(1-EXP(-(0.2*B2250)*5)),0)+IF(AND(IF(ArtifactsInput!$M$22,FALSE,TRUE),Inputs!$B$4&lt;&gt;"Chapter Hunt"),CHOOSE(ArtifactsInput!$N$22+1,10,12,14,16,18,20)*((0*(((0.15*B2250*5))^0/1)+1*(((0.15*B2250*5))^1/1)+2*(((0.15*B2250*5))^2/2)+3*(((0.15*B2250*5))^3/6)+4*(((0.15*B2250*5))^4/24)+5*(((0.15*B2250*5))^5/120))/((((0.15*B2250*5))^0/1)+(((0.15*B2250*5))^1/1)+(((0.15*B2250*5))^2/2)+(((0.15*B2250*5))^3/6)+(((0.15*B2250*5))^4/24)+(((0.15*B2250*5))^5/120))),0)))/100)*(MIN(Skills!W7,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220">
      <c r="A2220">
        <f>Skills!A8</f>
        <v/>
      </c>
      <c r="B2220">
        <f>Skills!B8</f>
        <v/>
      </c>
      <c r="C2220">
        <f>Inputs!$B$3&gt;=60</f>
        <v/>
      </c>
      <c r="D2220">
        <f>IF(Skills!C8=1,60+Inputs!$B$25+Inputs!$B$29,IF(Skills!C8=2,90+Inputs!$B$26+Inputs!$B$29,IF(Skills!C8=3,120+Inputs!$B$27+Inputs!$B$29,MAX(0,(Inputs!$B$3-100)*3)+Inputs!$B$28+Inputs!$B$29)))</f>
        <v/>
      </c>
      <c r="E2220">
        <f>INDEX(FactorTable!$B$2:$Y$301, MATCH(ROUND(MIN(300,MAX(1,D2220)),0), FactorTable!$A$2:$A$301,0), Skills!M8+1)</f>
        <v/>
      </c>
      <c r="F2220">
        <f>IF(Skills!N8=TRUE,(Skills!L8/10)*(E2220/1000),Skills!L8/10)+Skills!O8</f>
        <v/>
      </c>
      <c r="G2220">
        <f>Skills!G8*IF(Skills!H8&gt;0,IF(Inputs!$B$39="pvp",MIN(Skills!I8,15),Skills!I8)/Skills!H8,1)</f>
        <v/>
      </c>
      <c r="H2220">
        <f>1-(1-Skills!J8/100)^Skills!K8</f>
        <v/>
      </c>
      <c r="I2220" t="inlineStr">
        <is>
          <t>1</t>
        </is>
      </c>
      <c r="J2220" t="inlineStr"/>
      <c r="K2220" t="inlineStr"/>
      <c r="L2220" t="inlineStr"/>
      <c r="M2220" t="inlineStr"/>
      <c r="N2220" t="inlineStr"/>
      <c r="O2220">
        <f>(1-Summary!$B$11)*T2220+Summary!$B$11*V2220</f>
        <v/>
      </c>
      <c r="P2220">
        <f>IF(B2258=0,0,O2220/B2258)</f>
        <v/>
      </c>
      <c r="Q2220" t="n">
        <v>0</v>
      </c>
      <c r="R2220" t="n">
        <v>0</v>
      </c>
      <c r="S2220">
        <f>IFERROR(O2220/N2220,0)</f>
        <v/>
      </c>
      <c r="T2220" t="n">
        <v>0</v>
      </c>
      <c r="V2220" t="n">
        <v>0</v>
      </c>
    </row>
    <row r="2221">
      <c r="A2221">
        <f>Skills!A9</f>
        <v/>
      </c>
      <c r="B2221">
        <f>Skills!B9</f>
        <v/>
      </c>
      <c r="C2221">
        <f>Inputs!$B$3&gt;=72</f>
        <v/>
      </c>
      <c r="D2221">
        <f>IF(Skills!C9=1,60+Inputs!$B$25+Inputs!$B$29,IF(Skills!C9=2,90+Inputs!$B$26+Inputs!$B$29,IF(Skills!C9=3,120+Inputs!$B$27+Inputs!$B$29,MAX(0,(Inputs!$B$3-100)*3)+Inputs!$B$28+Inputs!$B$29)))</f>
        <v/>
      </c>
      <c r="E2221">
        <f>INDEX(FactorTable!$B$2:$Y$301, MATCH(ROUND(MIN(300,MAX(1,D2221)),0), FactorTable!$A$2:$A$301,0), Skills!M9+1)</f>
        <v/>
      </c>
      <c r="F2221">
        <f>IF(Skills!N9=TRUE,(Skills!L9/10)*(E2221/1000),Skills!L9/10)+Skills!O9</f>
        <v/>
      </c>
      <c r="G2221">
        <f>Skills!G9*IF(Skills!H9&gt;0,IF(Inputs!$B$39="pvp",MIN(Skills!I9,15),Skills!I9)/Skills!H9,1)</f>
        <v/>
      </c>
      <c r="H2221">
        <f>1-(1-Skills!J9/100)^Skills!K9</f>
        <v/>
      </c>
      <c r="I2221" t="inlineStr">
        <is>
          <t>1</t>
        </is>
      </c>
      <c r="J2221">
        <f>((Inputs!$B$6*(1+Inputs!$B$7/100))+(((Inputs!$B$12*(1+Inputs!$B$13/100))-(Inputs!$B$12*(1+Inputs!$B$13/100)))+0.25*(Inputs!$B$14-Inputs!$B$14))*(1+Inputs!$B$7/100))*(F2221/100)</f>
        <v/>
      </c>
      <c r="K2221">
        <f>J2221*(1+((Inputs!$B$12*(1+Inputs!$B$13/100))*0.01+Inputs!$B$14*0.0025)/100)*(1+Inputs!$B$15/100)*(1+Inputs!$B$16/100)*(5000/(6000+Inputs!$B$43*(1-(100*(1-(1-Inputs!$B$19/100)*(1-CHOOSE(ArtifactsInput!$N$40+1,5,6,7,8,9,10)/100)^(ArtifactsInput!$M$40-ArtifactsInput!$M$40)))/100)))*(1+(Inputs!$B$24+((C2243=TRUE)*(F2243-Calc!F31))+((C2230=TRUE)*(F2230-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+3.3333333333333335*IF(C2231=TRUE,F2231,0)/100)*(1+(IF(Skills!A9="CRUEL_STAB",Inputs!$B$17+((C2240=TRUE)*(F2240-Calc!F28))+((IF(AND(Inputs!$B$39&lt;&gt;"pvp",Inputs!$B$44=0),1,IF(IF(Inputs!$B$39="pvp",15,Inputs!$B$44)-(B2257)&lt;=0,1,MAX(0,IF(Inputs!$B$39="pvp",15,Inputs!$B$44)-MAX(5,B2257))/(IF(Inputs!$B$39="pvp",15,Inputs!$B$44)-(B2257))))*(IF(AND(ArtifactsInput!$M$42,((Inputs!$B$9+((C2238=TRUE)*(F2238-Calc!F26))+B2246+(ArtifactsInput!$M$24-ArtifactsInput!$M$24)*CHOOSE(ArtifactsInput!$N$24+1,10,12,14,16,18,20)+IF(ArtifactsInput!$M$10,CHOOSE(ArtifactsInput!$N$10+1,15,18,21,24,27,30)*(IF(Inputs!$B$39="pvp",MIN(15,15)/15,IF(AND(Inputs!$B$39&lt;&gt;"pvp",Inputs!$B$44&gt;0),MIN(15,Inputs!$B$44)/(Inputs!$B$44),0))),0)))&gt;=100),MIN(100,((Inputs!$B$9+((C2238=TRUE)*(F2238-Calc!F26))+B2246+(ArtifactsInput!$M$24-ArtifactsInput!$M$24)*CHOOSE(ArtifactsInput!$N$24+1,10,12,14,16,18,20)+IF(ArtifactsInput!$M$10,CHOOSE(ArtifactsInput!$N$10+1,15,18,21,24,27,30)*(IF(Inputs!$B$39="pvp",MIN(15,15)/15,IF(AND(Inputs!$B$39&lt;&gt;"pvp",Inputs!$B$44&gt;0),MIN(15,Inputs!$B$44)/(Inputs!$B$44),0))),0)))-100),0))*CHOOSE(ArtifactsInput!$N$42+1,0.6,0.72,0.84,0.96,1.08,1.2))),Inputs!$B$18+((C2241=TRUE)*(F2241-Calc!F29))+(IF(AND(Inputs!$B$39&lt;&gt;"pvp",Inputs!$B$44=0),1,IF(IF(Inputs!$B$39="pvp",15,Inputs!$B$44)-(B2257)&lt;=0,1,MAX(0,IF(Inputs!$B$39="pvp",15,Inputs!$B$44)-MAX(5,B2257))/(IF(Inputs!$B$39="pvp",15,Inputs!$B$44)-(B2257))))*IF(AND(ArtifactsInput!$M$42,((Inputs!$B$9+((C2238=TRUE)*(F2238-Calc!F26))+B2246+(ArtifactsInput!$M$24-ArtifactsInput!$M$24)*CHOOSE(ArtifactsInput!$N$24+1,10,12,14,16,18,20)+IF(ArtifactsInput!$M$10,CHOOSE(ArtifactsInput!$N$10+1,15,18,21,24,27,30)*(IF(Inputs!$B$39="pvp",MIN(15,15)/15,IF(AND(Inputs!$B$39&lt;&gt;"pvp",Inputs!$B$44&gt;0),MIN(15,Inputs!$B$44)/(Inputs!$B$44),0))),0)))&gt;=100),CHOOSE(ArtifactsInput!$N$42+1,40,48,56,64,72,80),0))))/100)*(((1+(((C2234=TRUE)*F2234*IF(AND(Inputs!$B$39&lt;&gt;"pvp",Inputs!$B$44&gt;0),(((R2234-1)*MIN((Skills!Y22*(1+Inputs!$B$34/100)),(1/Q2234))+MIN((Skills!Y22*(1+Inputs!$B$34/100)),MAX(0,Inputs!$B$44-((R2234-1)*(1/Q2234)))))/Inputs!$B$44),IF(Inputs!$B$39="pvp",MIN((Skills!Y22*(1+Inputs!$B$34/100)),15)/15,MIN(1,(Skills!Y22*(1+Inputs!$B$34/100))/(1/Q2234)))))+((C2215=TRUE)*F2215*3)+((C2217=TRUE)*F2217*(1-EXP(-0.75*B2250*5)))+((C2236=TRUE)*(F2236-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2223=TRUE)*F2223*IF(AND(Inputs!$B$39&lt;&gt;"pvp",Inputs!$B$44&gt;0),(((R2223-1)*MIN((Skills!Y11*(1+Inputs!$B$34/100)),(1/Q2223))+MIN((Skills!Y11*(1+Inputs!$B$34/100)),MAX(0,Inputs!$B$44-((R2223-1)*(1/Q2223)))))/Inputs!$B$44),IF(Inputs!$B$39="pvp",MIN((Skills!Y11*(1+Inputs!$B$34/100)),15)/15,MIN(1,(Skills!Y11*(1+Inputs!$B$34/100))/(1/Q2223)))))/100)*(1+((C2228=TRUE)*F2228*IF(AND(Inputs!$B$39&lt;&gt;"pvp",Inputs!$B$44&gt;0),(((R2228-1)*MIN((Skills!Y16*(1+Inputs!$B$34/100)),(1/Q2228))+MIN((Skills!Y16*(1+Inputs!$B$34/100)),MAX(0,Inputs!$B$44-((R2228-1)*(1/Q2228)))))/Inputs!$B$44),IF(Inputs!$B$39="pvp",MIN((Skills!Y16*(1+Inputs!$B$34/100)),15)/15,MIN(1,(Skills!Y16*(1+Inputs!$B$34/100))/(1/Q2228)))))/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2248*I2221)</f>
        <v/>
      </c>
      <c r="L2221">
        <f>K2221*(MIN(Inputs!$B$22+((C2237=TRUE)*(F2237-Calc!F25)),(Inputs!$B$23+((C2242=TRUE)*(F2242-Calc!F30))+IF(ArtifactsInput!$M$15,CHOOSE(ArtifactsInput!$N$15+1,25,30,35,40,45,50)/100*(Inputs!$B$11-Inputs!$B$11),0)))/100+(Inputs!$B$23+((C2242=TRUE)*(F2242-Calc!F30))+IF(ArtifactsInput!$M$15,CHOOSE(ArtifactsInput!$N$15+1,25,30,35,40,45,50)/100*(Inputs!$B$11-Inputs!$B$11),0))/100)/2</f>
        <v/>
      </c>
      <c r="M2221">
        <f>L2221*(1+(Inputs!$B$10+((C2239=TRUE)*(F2239-Calc!F27))+B2253+(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2221">
        <f>L2221*(1-MIN((Inputs!$B$9+((C2238=TRUE)*(F2238-Calc!F26))+B2246+(ArtifactsInput!$M$24-ArtifactsInput!$M$24)*CHOOSE(ArtifactsInput!$N$24+1,10,12,14,16,18,20)+(IF(AND(Inputs!$B$39&lt;&gt;"pvp",Inputs!$B$44=0),1,IF(IF(Inputs!$B$39="pvp",15,Inputs!$B$44)-(B2257)&lt;=0,1,MAX(0,IF(Inputs!$B$39="pvp",15,Inputs!$B$44)-MAX(5,B2257))/(IF(Inputs!$B$39="pvp",15,Inputs!$B$44)-(B2257))))*IF(AND(ArtifactsInput!$M$42,((Inputs!$B$9+((C2238=TRUE)*(F2238-Calc!F26))+B2246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2221*(MIN((Inputs!$B$9+((C2238=TRUE)*(F2238-Calc!F26))+B2246+(ArtifactsInput!$M$24-ArtifactsInput!$M$24)*CHOOSE(ArtifactsInput!$N$24+1,10,12,14,16,18,20)+(IF(AND(Inputs!$B$39&lt;&gt;"pvp",Inputs!$B$44=0),1,IF(IF(Inputs!$B$39="pvp",15,Inputs!$B$44)-(B2257)&lt;=0,1,MAX(0,IF(Inputs!$B$39="pvp",15,Inputs!$B$44)-MAX(5,B2257))/(IF(Inputs!$B$39="pvp",15,Inputs!$B$44)-(B2257))))*IF(AND(ArtifactsInput!$M$42,((Inputs!$B$9+((C2238=TRUE)*(F2238-Calc!F26))+B2246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221">
        <f>(1-Summary!$B$11)*T2221+Summary!$B$11*V2221</f>
        <v/>
      </c>
      <c r="P2221">
        <f>IF(B2258=0,0,O2221/B2258)</f>
        <v/>
      </c>
      <c r="Q2221">
        <f>IFERROR(1/IF(Inputs!$B$39="pvp",15,MAX(0.1,Skills!D9-IF(FALSE=TRUE,Inputs!$B$32,0))),0)</f>
        <v/>
      </c>
      <c r="R2221">
        <f>IF(AND(Inputs!$B$39&lt;&gt;"pvp",Inputs!$B$44&gt;0),IF(MAX(0,Inputs!$B$44-B2257)&lt;=0,0,(INT(MAX(0,Inputs!$B$44-B2257)/IF(Inputs!$B$39="pvp",15,MAX(0.1,Skills!D9-IF(FALSE=TRUE,Inputs!$B$32,0))))+1)),0)</f>
        <v/>
      </c>
      <c r="S2221">
        <f>IFERROR(O2221/N2221,0)</f>
        <v/>
      </c>
      <c r="T2221">
        <f>IF(C2221,(H2221*N2221*IF(AND(Inputs!$B$39&lt;&gt;"pvp",Inputs!$B$44&gt;0),((Skills!G9*((R2221-1)*IF(Skills!H9&gt;0,Skills!I9/Skills!H9,1)+IF(Skills!H9&gt;0,MIN(Skills!I9,MAX(0,MAX(0,Inputs!$B$44-B2257)-((R2221-1)*IF(Inputs!$B$39="pvp",15,MAX(0.1,Skills!D9-IF(FALSE=TRUE,Inputs!$B$32,0))))))/Skills!H9,1)))/Inputs!$B$44),G2221*Q2221))*IF(Inputs!$B$39="pvp",1,1+(Inputs!$B$20+0+Skills!P9+B2247+(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Hunt"),CHOOSE(ArtifactsInput!$N$35+1,15,18,21,24,27,30)*(1-EXP(-(0.2*B2250)*5)),0)+IF(AND(IF(ArtifactsInput!$M$22,FALSE,TRUE),Inputs!$B$4&lt;&gt;"Chapter Hunt"),CHOOSE(ArtifactsInput!$N$22+1,10,12,14,16,18,20)*((0*(((0.15*B2250*5))^0/1)+1*(((0.15*B2250*5))^1/1)+2*(((0.15*B2250*5))^2/2)+3*(((0.15*B2250*5))^3/6)+4*(((0.15*B2250*5))^4/24)+5*(((0.15*B2250*5))^5/120))/((((0.15*B2250*5))^0/1)+(((0.15*B2250*5))^1/1)+(((0.15*B2250*5))^2/2)+(((0.15*B2250*5))^3/6)+(((0.15*B2250*5))^4/24)+(((0.15*B2250*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2221*(1-MIN(100,(Inputs!$B$9+((C2238=TRUE)*(F2238-Calc!F26))+B2246+(ArtifactsInput!$M$24-ArtifactsInput!$M$24)*CHOOSE(ArtifactsInput!$N$24+1,10,12,14,16,18,20)+(IF(AND(Inputs!$B$39&lt;&gt;"pvp",Inputs!$B$44=0),1,IF(IF(Inputs!$B$39="pvp",15,Inputs!$B$44)-(B2257)&lt;=0,1,MAX(0,IF(Inputs!$B$39="pvp",15,Inputs!$B$44)-MAX(5,B2257))/(IF(Inputs!$B$39="pvp",15,Inputs!$B$44)-(B2257))))*IF(AND(ArtifactsInput!$M$42,((Inputs!$B$9+((C2238=TRUE)*(F2238-Calc!F26))+B2246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2221*(MIN(100,(Inputs!$B$9+((C2238=TRUE)*(F2238-Calc!F26))+B2246+(ArtifactsInput!$M$24-ArtifactsInput!$M$24)*CHOOSE(ArtifactsInput!$N$24+1,10,12,14,16,18,20)+(IF(AND(Inputs!$B$39&lt;&gt;"pvp",Inputs!$B$44=0),1,IF(IF(Inputs!$B$39="pvp",15,Inputs!$B$44)-(B2257)&lt;=0,1,MAX(0,IF(Inputs!$B$39="pvp",15,Inputs!$B$44)-MAX(5,B2257))/(IF(Inputs!$B$39="pvp",15,Inputs!$B$44)-(B2257))))*IF(AND(ArtifactsInput!$M$42,((Inputs!$B$9+((C2238=TRUE)*(F2238-Calc!F26))+B2246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2221*(1-MIN(100,(Inputs!$B$9+((C2238=TRUE)*(F2238-Calc!F26))+B2246+(ArtifactsInput!$M$24-ArtifactsInput!$M$24)*CHOOSE(ArtifactsInput!$N$24+1,10,12,14,16,18,20)+(IF(AND(Inputs!$B$39&lt;&gt;"pvp",Inputs!$B$44=0),1,IF(IF(Inputs!$B$39="pvp",15,Inputs!$B$44)-(B2257)&lt;=0,1,MAX(0,IF(Inputs!$B$39="pvp",15,Inputs!$B$44)-MAX(5,B2257))/(IF(Inputs!$B$39="pvp",15,Inputs!$B$44)-(B2257))))*IF(AND(ArtifactsInput!$M$42,((Inputs!$B$9+((C2238=TRUE)*(F2238-Calc!F26))+B2246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2221*(MIN(100,(Inputs!$B$9+((C2238=TRUE)*(F2238-Calc!F26))+B2246+(ArtifactsInput!$M$24-ArtifactsInput!$M$24)*CHOOSE(ArtifactsInput!$N$24+1,10,12,14,16,18,20)+(IF(AND(Inputs!$B$39&lt;&gt;"pvp",Inputs!$B$44=0),1,IF(IF(Inputs!$B$39="pvp",15,Inputs!$B$44)-(B2257)&lt;=0,1,MAX(0,IF(Inputs!$B$39="pvp",15,Inputs!$B$44)-MAX(5,B2257))/(IF(Inputs!$B$39="pvp",15,Inputs!$B$44)-(B2257))))*IF(AND(ArtifactsInput!$M$42,((Inputs!$B$9+((C2238=TRUE)*(F2238-Calc!F26))+B2246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221">
        <f>IF(C2221,(H2221*N2221*IF(AND(Inputs!$B$39&lt;&gt;"pvp",Inputs!$B$44&gt;0),((Skills!G9*((R2221-1)*IF(Skills!H9&gt;0,Skills!I9/Skills!H9,1)+IF(Skills!H9&gt;0,MIN(Skills!I9,MAX(0,MAX(0,Inputs!$B$44-B2257)-((R2221-1)*IF(Inputs!$B$39="pvp",15,MAX(0.1,Skills!D9-IF(FALSE=TRUE,Inputs!$B$32,0))))))/Skills!H9,1)))/Inputs!$B$44),G2221*Q2221))*IF(Inputs!$B$39="pvp",1,(1+(Inputs!$B$21+Skills!Q9+B2247+(IF(ArtifactsInput!$M$33,CHOOSE(ArtifactsInput!$N$33+1,30,36,42,48,54,60),0))+(IF(AND(ArtifactsInput!$M$35,Inputs!$B$4&lt;&gt;"Chapter Hunt"),CHOOSE(ArtifactsInput!$N$35+1,15,18,21,24,27,30)*(1-EXP(-(0.2*B2250)*5)),0)+IF(AND(IF(ArtifactsInput!$M$22,FALSE,TRUE),Inputs!$B$4&lt;&gt;"Chapter Hunt"),CHOOSE(ArtifactsInput!$N$22+1,10,12,14,16,18,20)*((0*(((0.15*B2250*5))^0/1)+1*(((0.15*B2250*5))^1/1)+2*(((0.15*B2250*5))^2/2)+3*(((0.15*B2250*5))^3/6)+4*(((0.15*B2250*5))^4/24)+5*(((0.15*B2250*5))^5/120))/((((0.15*B2250*5))^0/1)+(((0.15*B2250*5))^1/1)+(((0.15*B2250*5))^2/2)+(((0.15*B2250*5))^3/6)+(((0.15*B2250*5))^4/24)+(((0.15*B2250*5))^5/120))),0)))/100)*(MIN(Skills!W9,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222">
      <c r="A2222">
        <f>Skills!A10</f>
        <v/>
      </c>
      <c r="B2222">
        <f>Skills!B10</f>
        <v/>
      </c>
      <c r="C2222">
        <f>Inputs!$B$3&gt;=117</f>
        <v/>
      </c>
      <c r="D2222">
        <f>IF(Skills!C10=1,60+Inputs!$B$25+Inputs!$B$29,IF(Skills!C10=2,90+Inputs!$B$26+Inputs!$B$29,IF(Skills!C10=3,120+Inputs!$B$27+Inputs!$B$29,MAX(0,(Inputs!$B$3-100)*3)+Inputs!$B$28+Inputs!$B$29)))</f>
        <v/>
      </c>
      <c r="E2222">
        <f>INDEX(FactorTable!$B$2:$Y$301, MATCH(ROUND(MIN(300,MAX(1,D2222)),0), FactorTable!$A$2:$A$301,0), Skills!M10+1)</f>
        <v/>
      </c>
      <c r="F2222">
        <f>IF(Skills!N10=TRUE,(Skills!L10/10)*(E2222/1000),Skills!L10/10)+Skills!O10</f>
        <v/>
      </c>
      <c r="G2222">
        <f>Skills!G10*IF(Skills!H10&gt;0,IF(Inputs!$B$39="pvp",MIN(Skills!I10,15),Skills!I10)/Skills!H10,1)</f>
        <v/>
      </c>
      <c r="H2222">
        <f>1-(1-Skills!J10/100)^Skills!K10</f>
        <v/>
      </c>
      <c r="I2222" t="inlineStr">
        <is>
          <t>1</t>
        </is>
      </c>
      <c r="J2222">
        <f>((Inputs!$B$6*(1+Inputs!$B$7/100))+(((Inputs!$B$12*(1+Inputs!$B$13/100))-(Inputs!$B$12*(1+Inputs!$B$13/100)))+0.25*(Inputs!$B$14-Inputs!$B$14))*(1+Inputs!$B$7/100))*(F2222/100)</f>
        <v/>
      </c>
      <c r="K2222">
        <f>J2222*(1+((Inputs!$B$12*(1+Inputs!$B$13/100))*0.01+Inputs!$B$14*0.0025)/100)*(1+Inputs!$B$15/100)*(1+Inputs!$B$16/100)*(5000/(6000+Inputs!$B$43*(1-(100*(1-(1-Inputs!$B$19/100)*(1-CHOOSE(ArtifactsInput!$N$40+1,5,6,7,8,9,10)/100)^(ArtifactsInput!$M$40-ArtifactsInput!$M$40)))/100)))*(1+(Inputs!$B$24+((C2243=TRUE)*(F2243-Calc!F31))+((C2230=TRUE)*(F2230-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10="CRUEL_STAB",Inputs!$B$17+((C2240=TRUE)*(F2240-Calc!F28))+((IF(AND(Inputs!$B$39&lt;&gt;"pvp",Inputs!$B$44=0),1,IF(IF(Inputs!$B$39="pvp",15,Inputs!$B$44)-(B2257)&lt;=0,1,MAX(0,IF(Inputs!$B$39="pvp",15,Inputs!$B$44)-MAX(5,B2257))/(IF(Inputs!$B$39="pvp",15,Inputs!$B$44)-(B2257))))*(IF(AND(ArtifactsInput!$M$42,((Inputs!$B$9+((C2238=TRUE)*(F2238-Calc!F26))+B2246+(ArtifactsInput!$M$24-ArtifactsInput!$M$24)*CHOOSE(ArtifactsInput!$N$24+1,10,12,14,16,18,20)+IF(ArtifactsInput!$M$10,CHOOSE(ArtifactsInput!$N$10+1,15,18,21,24,27,30)*(IF(Inputs!$B$39="pvp",MIN(15,15)/15,IF(AND(Inputs!$B$39&lt;&gt;"pvp",Inputs!$B$44&gt;0),MIN(15,Inputs!$B$44)/(Inputs!$B$44),0))),0)))&gt;=100),MIN(100,((Inputs!$B$9+((C2238=TRUE)*(F2238-Calc!F26))+B2246+(ArtifactsInput!$M$24-ArtifactsInput!$M$24)*CHOOSE(ArtifactsInput!$N$24+1,10,12,14,16,18,20)+IF(ArtifactsInput!$M$10,CHOOSE(ArtifactsInput!$N$10+1,15,18,21,24,27,30)*(IF(Inputs!$B$39="pvp",MIN(15,15)/15,IF(AND(Inputs!$B$39&lt;&gt;"pvp",Inputs!$B$44&gt;0),MIN(15,Inputs!$B$44)/(Inputs!$B$44),0))),0)))-100),0))*CHOOSE(ArtifactsInput!$N$42+1,0.6,0.72,0.84,0.96,1.08,1.2))),Inputs!$B$18+((C2241=TRUE)*(F2241-Calc!F29))+(IF(AND(Inputs!$B$39&lt;&gt;"pvp",Inputs!$B$44=0),1,IF(IF(Inputs!$B$39="pvp",15,Inputs!$B$44)-(B2257)&lt;=0,1,MAX(0,IF(Inputs!$B$39="pvp",15,Inputs!$B$44)-MAX(5,B2257))/(IF(Inputs!$B$39="pvp",15,Inputs!$B$44)-(B2257))))*IF(AND(ArtifactsInput!$M$42,((Inputs!$B$9+((C2238=TRUE)*(F2238-Calc!F26))+B2246+(ArtifactsInput!$M$24-ArtifactsInput!$M$24)*CHOOSE(ArtifactsInput!$N$24+1,10,12,14,16,18,20)+IF(ArtifactsInput!$M$10,CHOOSE(ArtifactsInput!$N$10+1,15,18,21,24,27,30)*(IF(Inputs!$B$39="pvp",MIN(15,15)/15,IF(AND(Inputs!$B$39&lt;&gt;"pvp",Inputs!$B$44&gt;0),MIN(15,Inputs!$B$44)/(Inputs!$B$44),0))),0)))&gt;=100),CHOOSE(ArtifactsInput!$N$42+1,40,48,56,64,72,80),0))))/100)*(((1+(((C2234=TRUE)*F2234*IF(AND(Inputs!$B$39&lt;&gt;"pvp",Inputs!$B$44&gt;0),(((R2234-1)*MIN((Skills!Y22*(1+Inputs!$B$34/100)),(1/Q2234))+MIN((Skills!Y22*(1+Inputs!$B$34/100)),MAX(0,Inputs!$B$44-((R2234-1)*(1/Q2234)))))/Inputs!$B$44),IF(Inputs!$B$39="pvp",MIN((Skills!Y22*(1+Inputs!$B$34/100)),15)/15,MIN(1,(Skills!Y22*(1+Inputs!$B$34/100))/(1/Q2234)))))+((C2215=TRUE)*F2215*3)+((C2217=TRUE)*F2217*(1-EXP(-0.75*B2250*5)))+((C2236=TRUE)*(F2236-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2223=TRUE)*F2223*IF(AND(Inputs!$B$39&lt;&gt;"pvp",Inputs!$B$44&gt;0),(((R2223-1)*MIN((Skills!Y11*(1+Inputs!$B$34/100)),(1/Q2223))+MIN((Skills!Y11*(1+Inputs!$B$34/100)),MAX(0,Inputs!$B$44-((R2223-1)*(1/Q2223)))))/Inputs!$B$44),IF(Inputs!$B$39="pvp",MIN((Skills!Y11*(1+Inputs!$B$34/100)),15)/15,MIN(1,(Skills!Y11*(1+Inputs!$B$34/100))/(1/Q2223)))))/100)*(1+((C2228=TRUE)*F2228*IF(AND(Inputs!$B$39&lt;&gt;"pvp",Inputs!$B$44&gt;0),(((R2228-1)*MIN((Skills!Y16*(1+Inputs!$B$34/100)),(1/Q2228))+MIN((Skills!Y16*(1+Inputs!$B$34/100)),MAX(0,Inputs!$B$44-((R2228-1)*(1/Q2228)))))/Inputs!$B$44),IF(Inputs!$B$39="pvp",MIN((Skills!Y16*(1+Inputs!$B$34/100)),15)/15,MIN(1,(Skills!Y16*(1+Inputs!$B$34/100))/(1/Q2228)))))/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2248*I2222)</f>
        <v/>
      </c>
      <c r="L2222">
        <f>K2222*(MIN(Inputs!$B$22+((C2237=TRUE)*(F2237-Calc!F25)),(Inputs!$B$23+((C2242=TRUE)*(F2242-Calc!F30))+IF(ArtifactsInput!$M$15,CHOOSE(ArtifactsInput!$N$15+1,25,30,35,40,45,50)/100*(Inputs!$B$11-Inputs!$B$11),0)))/100+(Inputs!$B$23+((C2242=TRUE)*(F2242-Calc!F30))+IF(ArtifactsInput!$M$15,CHOOSE(ArtifactsInput!$N$15+1,25,30,35,40,45,50)/100*(Inputs!$B$11-Inputs!$B$11),0))/100)/2</f>
        <v/>
      </c>
      <c r="M2222">
        <f>L2222*(1+(Inputs!$B$10+((C2239=TRUE)*(F2239-Calc!F27))+B2253+(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2222">
        <f>L2222*(1-MIN((Inputs!$B$9+((C2238=TRUE)*(F2238-Calc!F26))+B2246+(ArtifactsInput!$M$24-ArtifactsInput!$M$24)*CHOOSE(ArtifactsInput!$N$24+1,10,12,14,16,18,20)+(IF(AND(Inputs!$B$39&lt;&gt;"pvp",Inputs!$B$44=0),1,IF(IF(Inputs!$B$39="pvp",15,Inputs!$B$44)-(B2257)&lt;=0,1,MAX(0,IF(Inputs!$B$39="pvp",15,Inputs!$B$44)-MAX(5,B2257))/(IF(Inputs!$B$39="pvp",15,Inputs!$B$44)-(B2257))))*IF(AND(ArtifactsInput!$M$42,((Inputs!$B$9+((C2238=TRUE)*(F2238-Calc!F26))+B2246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2222*(MIN((Inputs!$B$9+((C2238=TRUE)*(F2238-Calc!F26))+B2246+(ArtifactsInput!$M$24-ArtifactsInput!$M$24)*CHOOSE(ArtifactsInput!$N$24+1,10,12,14,16,18,20)+(IF(AND(Inputs!$B$39&lt;&gt;"pvp",Inputs!$B$44=0),1,IF(IF(Inputs!$B$39="pvp",15,Inputs!$B$44)-(B2257)&lt;=0,1,MAX(0,IF(Inputs!$B$39="pvp",15,Inputs!$B$44)-MAX(5,B2257))/(IF(Inputs!$B$39="pvp",15,Inputs!$B$44)-(B2257))))*IF(AND(ArtifactsInput!$M$42,((Inputs!$B$9+((C2238=TRUE)*(F2238-Calc!F26))+B2246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222">
        <f>(1-Summary!$B$11)*T2222+Summary!$B$11*V2222</f>
        <v/>
      </c>
      <c r="P2222">
        <f>IF(B2258=0,0,O2222/B2258)</f>
        <v/>
      </c>
      <c r="Q2222" t="n">
        <v>0</v>
      </c>
      <c r="R2222" t="n">
        <v>0</v>
      </c>
      <c r="S2222" t="n">
        <v>0</v>
      </c>
      <c r="T2222">
        <f>IF(C2222,(0.2*SUMPRODUCT((Skills!Z2:Z31=TRUE)*(C2214:C2243=TRUE)*S2214:S2243)*N2222)*IF(Inputs!$B$39="pvp",1,1+(Inputs!$B$20+0+Skills!P10+B2247+(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Hunt"),CHOOSE(ArtifactsInput!$N$35+1,15,18,21,24,27,30)*(1-EXP(-(0.2*B2250)*5)),0)+IF(AND(IF(ArtifactsInput!$M$22,FALSE,TRUE),Inputs!$B$4&lt;&gt;"Chapter Hunt"),CHOOSE(ArtifactsInput!$N$22+1,10,12,14,16,18,20)*((0*(((0.15*B2250*5))^0/1)+1*(((0.15*B2250*5))^1/1)+2*(((0.15*B2250*5))^2/2)+3*(((0.15*B2250*5))^3/6)+4*(((0.15*B2250*5))^4/24)+5*(((0.15*B2250*5))^5/120))/((((0.15*B2250*5))^0/1)+(((0.15*B2250*5))^1/1)+(((0.15*B2250*5))^2/2)+(((0.15*B2250*5))^3/6)+(((0.15*B2250*5))^4/24)+(((0.15*B2250*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2222*(1-MIN(100,(Inputs!$B$9+((C2238=TRUE)*(F2238-Calc!F26))+B2246+(ArtifactsInput!$M$24-ArtifactsInput!$M$24)*CHOOSE(ArtifactsInput!$N$24+1,10,12,14,16,18,20)+(IF(AND(Inputs!$B$39&lt;&gt;"pvp",Inputs!$B$44=0),1,IF(IF(Inputs!$B$39="pvp",15,Inputs!$B$44)-(B2257)&lt;=0,1,MAX(0,IF(Inputs!$B$39="pvp",15,Inputs!$B$44)-MAX(5,B2257))/(IF(Inputs!$B$39="pvp",15,Inputs!$B$44)-(B2257))))*IF(AND(ArtifactsInput!$M$42,((Inputs!$B$9+((C2238=TRUE)*(F2238-Calc!F26))+B2246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2222*(MIN(100,(Inputs!$B$9+((C2238=TRUE)*(F2238-Calc!F26))+B2246+(ArtifactsInput!$M$24-ArtifactsInput!$M$24)*CHOOSE(ArtifactsInput!$N$24+1,10,12,14,16,18,20)+(IF(AND(Inputs!$B$39&lt;&gt;"pvp",Inputs!$B$44=0),1,IF(IF(Inputs!$B$39="pvp",15,Inputs!$B$44)-(B2257)&lt;=0,1,MAX(0,IF(Inputs!$B$39="pvp",15,Inputs!$B$44)-MAX(5,B2257))/(IF(Inputs!$B$39="pvp",15,Inputs!$B$44)-(B2257))))*IF(AND(ArtifactsInput!$M$42,((Inputs!$B$9+((C2238=TRUE)*(F2238-Calc!F26))+B2246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2222*(1-MIN(100,(Inputs!$B$9+((C2238=TRUE)*(F2238-Calc!F26))+B2246+(ArtifactsInput!$M$24-ArtifactsInput!$M$24)*CHOOSE(ArtifactsInput!$N$24+1,10,12,14,16,18,20)+(IF(AND(Inputs!$B$39&lt;&gt;"pvp",Inputs!$B$44=0),1,IF(IF(Inputs!$B$39="pvp",15,Inputs!$B$44)-(B2257)&lt;=0,1,MAX(0,IF(Inputs!$B$39="pvp",15,Inputs!$B$44)-MAX(5,B2257))/(IF(Inputs!$B$39="pvp",15,Inputs!$B$44)-(B2257))))*IF(AND(ArtifactsInput!$M$42,((Inputs!$B$9+((C2238=TRUE)*(F2238-Calc!F26))+B2246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2222*(MIN(100,(Inputs!$B$9+((C2238=TRUE)*(F2238-Calc!F26))+B2246+(ArtifactsInput!$M$24-ArtifactsInput!$M$24)*CHOOSE(ArtifactsInput!$N$24+1,10,12,14,16,18,20)+(IF(AND(Inputs!$B$39&lt;&gt;"pvp",Inputs!$B$44=0),1,IF(IF(Inputs!$B$39="pvp",15,Inputs!$B$44)-(B2257)&lt;=0,1,MAX(0,IF(Inputs!$B$39="pvp",15,Inputs!$B$44)-MAX(5,B2257))/(IF(Inputs!$B$39="pvp",15,Inputs!$B$44)-(B2257))))*IF(AND(ArtifactsInput!$M$42,((Inputs!$B$9+((C2238=TRUE)*(F2238-Calc!F26))+B2246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222">
        <f>IF(C2222,(0.2*SUMPRODUCT((Skills!Z2:Z31=TRUE)*(C2214:C2243=TRUE)*S2214:S2243)*N2222)*IF(Inputs!$B$39="pvp",1,(1+(Inputs!$B$21+Skills!Q10+B2247+(IF(ArtifactsInput!$M$33,CHOOSE(ArtifactsInput!$N$33+1,30,36,42,48,54,60),0))+(IF(AND(ArtifactsInput!$M$35,Inputs!$B$4&lt;&gt;"Chapter Hunt"),CHOOSE(ArtifactsInput!$N$35+1,15,18,21,24,27,30)*(1-EXP(-(0.2*B2250)*5)),0)+IF(AND(IF(ArtifactsInput!$M$22,FALSE,TRUE),Inputs!$B$4&lt;&gt;"Chapter Hunt"),CHOOSE(ArtifactsInput!$N$22+1,10,12,14,16,18,20)*((0*(((0.15*B2250*5))^0/1)+1*(((0.15*B2250*5))^1/1)+2*(((0.15*B2250*5))^2/2)+3*(((0.15*B2250*5))^3/6)+4*(((0.15*B2250*5))^4/24)+5*(((0.15*B2250*5))^5/120))/((((0.15*B2250*5))^0/1)+(((0.15*B2250*5))^1/1)+(((0.15*B2250*5))^2/2)+(((0.15*B2250*5))^3/6)+(((0.15*B2250*5))^4/24)+(((0.15*B2250*5))^5/120))),0)))/100)*(MIN(Skills!W10,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223">
      <c r="A2223">
        <f>Skills!A11</f>
        <v/>
      </c>
      <c r="B2223">
        <f>Skills!B11</f>
        <v/>
      </c>
      <c r="C2223">
        <f>Inputs!$B$3&gt;=74</f>
        <v/>
      </c>
      <c r="D2223">
        <f>IF(Skills!C11=1,60+Inputs!$B$25+Inputs!$B$29,IF(Skills!C11=2,90+Inputs!$B$26+Inputs!$B$29,IF(Skills!C11=3,120+Inputs!$B$27+Inputs!$B$29,MAX(0,(Inputs!$B$3-100)*3)+Inputs!$B$28+Inputs!$B$29)))</f>
        <v/>
      </c>
      <c r="E2223">
        <f>INDEX(FactorTable!$B$2:$Y$301, MATCH(ROUND(MIN(300,MAX(1,D2223)),0), FactorTable!$A$2:$A$301,0), Skills!M11+1)</f>
        <v/>
      </c>
      <c r="F2223">
        <f>IF(Skills!N11=TRUE,(Skills!L11/10)*(E2223/1000),Skills!L11/10)+Skills!O11</f>
        <v/>
      </c>
      <c r="G2223">
        <f>Skills!G11*IF(Skills!H11&gt;0,IF(Inputs!$B$39="pvp",MIN(Skills!I11,15),Skills!I11)/Skills!H11,1)</f>
        <v/>
      </c>
      <c r="H2223">
        <f>1-(1-Skills!J11/100)^Skills!K11</f>
        <v/>
      </c>
      <c r="I2223" t="inlineStr">
        <is>
          <t>1</t>
        </is>
      </c>
      <c r="J2223" t="inlineStr"/>
      <c r="K2223" t="inlineStr"/>
      <c r="L2223" t="inlineStr"/>
      <c r="M2223" t="inlineStr"/>
      <c r="N2223" t="inlineStr"/>
      <c r="O2223">
        <f>(1-Summary!$B$11)*T2223+Summary!$B$11*V2223</f>
        <v/>
      </c>
      <c r="P2223">
        <f>IF(B2258=0,0,O2223/B2258)</f>
        <v/>
      </c>
      <c r="Q2223">
        <f>IFERROR(1/IF(Inputs!$B$39="pvp",15,MAX(0.1,Skills!D11-IF(TRUE=TRUE,Inputs!$B$32,0))),0)</f>
        <v/>
      </c>
      <c r="R2223">
        <f>IF(AND(Inputs!$B$39&lt;&gt;"pvp",Inputs!$B$44&gt;0),IF(Inputs!$B$44&lt;=0,0,(INT(Inputs!$B$44/IF(Inputs!$B$39="pvp",15,MAX(0.1,Skills!D11-IF(TRUE=TRUE,Inputs!$B$32,0))))+1)),0)</f>
        <v/>
      </c>
      <c r="S2223">
        <f>IFERROR(O2223/N2223,0)</f>
        <v/>
      </c>
      <c r="T2223" t="n">
        <v>0</v>
      </c>
      <c r="V2223" t="n">
        <v>0</v>
      </c>
    </row>
    <row r="2224">
      <c r="A2224">
        <f>Skills!A12</f>
        <v/>
      </c>
      <c r="B2224">
        <f>Skills!B12</f>
        <v/>
      </c>
      <c r="C2224">
        <f>Inputs!$B$3&gt;=103</f>
        <v/>
      </c>
      <c r="D2224">
        <f>IF(Skills!C12=1,60+Inputs!$B$25+Inputs!$B$29,IF(Skills!C12=2,90+Inputs!$B$26+Inputs!$B$29,IF(Skills!C12=3,120+Inputs!$B$27+Inputs!$B$29,MAX(0,(Inputs!$B$3-100)*3)+Inputs!$B$28+Inputs!$B$29)))</f>
        <v/>
      </c>
      <c r="E2224">
        <f>INDEX(FactorTable!$B$2:$Y$301, MATCH(ROUND(MIN(300,MAX(1,D2224)),0), FactorTable!$A$2:$A$301,0), Skills!M12+1)</f>
        <v/>
      </c>
      <c r="F2224">
        <f>(Skills!L12/10)*(E2224/1000)+IF(Inputs!$B$3&gt;=134,50,0)+0.5*(30000/10)*(INDEX(FactorTable!$B$2:$Y$301, MATCH(ROUND(MIN(300,MAX(1,D2224)),0), FactorTable!$A$2:$A$301,0), 13)/1000)*B2256</f>
        <v/>
      </c>
      <c r="G2224">
        <f>Skills!G12*IF(Skills!H12&gt;0,IF(Inputs!$B$39="pvp",MIN(Skills!I12,15),Skills!I12)/Skills!H12,1)</f>
        <v/>
      </c>
      <c r="H2224">
        <f>1-(1-Skills!J12/100)^Skills!K12</f>
        <v/>
      </c>
      <c r="I2224" t="inlineStr">
        <is>
          <t>1</t>
        </is>
      </c>
      <c r="J2224">
        <f>((Inputs!$B$6*(1+Inputs!$B$7/100))+(((Inputs!$B$12*(1+Inputs!$B$13/100))-(Inputs!$B$12*(1+Inputs!$B$13/100)))+0.25*(Inputs!$B$14-Inputs!$B$14))*(1+Inputs!$B$7/100))*(F2224/100)</f>
        <v/>
      </c>
      <c r="K2224">
        <f>J2224*(1+((Inputs!$B$12*(1+Inputs!$B$13/100))*0.01+Inputs!$B$14*0.0025)/100)*(1+Inputs!$B$15/100)*(1+Inputs!$B$16/100)*(5000/(6000+Inputs!$B$43*(1-(100*(1-(1-Inputs!$B$19/100)*(1-CHOOSE(ArtifactsInput!$N$40+1,5,6,7,8,9,10)/100)^(ArtifactsInput!$M$40-ArtifactsInput!$M$40)))/100)))*(1+(Inputs!$B$24+((C2243=TRUE)*(F2243-Calc!F31))+((C2230=TRUE)*(F2230-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12="CRUEL_STAB",Inputs!$B$17+((C2240=TRUE)*(F2240-Calc!F28))+((IF(AND(Inputs!$B$39&lt;&gt;"pvp",Inputs!$B$44=0),1,IF(IF(Inputs!$B$39="pvp",15,Inputs!$B$44)-(B2257)&lt;=0,1,MAX(0,IF(Inputs!$B$39="pvp",15,Inputs!$B$44)-MAX(5,B2257))/(IF(Inputs!$B$39="pvp",15,Inputs!$B$44)-(B2257))))*(IF(AND(ArtifactsInput!$M$42,((Inputs!$B$9+((C2238=TRUE)*(F2238-Calc!F26))+B2246+(ArtifactsInput!$M$24-ArtifactsInput!$M$24)*CHOOSE(ArtifactsInput!$N$24+1,10,12,14,16,18,20)+IF(ArtifactsInput!$M$10,CHOOSE(ArtifactsInput!$N$10+1,15,18,21,24,27,30)*(IF(Inputs!$B$39="pvp",MIN(15,15)/15,IF(AND(Inputs!$B$39&lt;&gt;"pvp",Inputs!$B$44&gt;0),MIN(15,Inputs!$B$44)/(Inputs!$B$44),0))),0)))&gt;=100),MIN(100,((Inputs!$B$9+((C2238=TRUE)*(F2238-Calc!F26))+B2246+(ArtifactsInput!$M$24-ArtifactsInput!$M$24)*CHOOSE(ArtifactsInput!$N$24+1,10,12,14,16,18,20)+IF(ArtifactsInput!$M$10,CHOOSE(ArtifactsInput!$N$10+1,15,18,21,24,27,30)*(IF(Inputs!$B$39="pvp",MIN(15,15)/15,IF(AND(Inputs!$B$39&lt;&gt;"pvp",Inputs!$B$44&gt;0),MIN(15,Inputs!$B$44)/(Inputs!$B$44),0))),0)))-100),0))*CHOOSE(ArtifactsInput!$N$42+1,0.6,0.72,0.84,0.96,1.08,1.2))),Inputs!$B$18+((C2241=TRUE)*(F2241-Calc!F29))+(IF(AND(Inputs!$B$39&lt;&gt;"pvp",Inputs!$B$44=0),1,IF(IF(Inputs!$B$39="pvp",15,Inputs!$B$44)-(B2257)&lt;=0,1,MAX(0,IF(Inputs!$B$39="pvp",15,Inputs!$B$44)-MAX(5,B2257))/(IF(Inputs!$B$39="pvp",15,Inputs!$B$44)-(B2257))))*IF(AND(ArtifactsInput!$M$42,((Inputs!$B$9+((C2238=TRUE)*(F2238-Calc!F26))+B2246+(ArtifactsInput!$M$24-ArtifactsInput!$M$24)*CHOOSE(ArtifactsInput!$N$24+1,10,12,14,16,18,20)+IF(ArtifactsInput!$M$10,CHOOSE(ArtifactsInput!$N$10+1,15,18,21,24,27,30)*(IF(Inputs!$B$39="pvp",MIN(15,15)/15,IF(AND(Inputs!$B$39&lt;&gt;"pvp",Inputs!$B$44&gt;0),MIN(15,Inputs!$B$44)/(Inputs!$B$44),0))),0)))&gt;=100),CHOOSE(ArtifactsInput!$N$42+1,40,48,56,64,72,80),0))))/100)*(((1+(((C2234=TRUE)*F2234*IF(AND(Inputs!$B$39&lt;&gt;"pvp",Inputs!$B$44&gt;0),(((R2234-1)*MIN((Skills!Y22*(1+Inputs!$B$34/100)),(1/Q2234))+MIN((Skills!Y22*(1+Inputs!$B$34/100)),MAX(0,Inputs!$B$44-((R2234-1)*(1/Q2234)))))/Inputs!$B$44),IF(Inputs!$B$39="pvp",MIN((Skills!Y22*(1+Inputs!$B$34/100)),15)/15,MIN(1,(Skills!Y22*(1+Inputs!$B$34/100))/(1/Q2234)))))+((C2215=TRUE)*F2215*3)+((C2217=TRUE)*F2217*(1-EXP(-0.75*B2250*5)))+((C2236=TRUE)*(F2236-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2223=TRUE)*F2223*IF(AND(Inputs!$B$39&lt;&gt;"pvp",Inputs!$B$44&gt;0),(((R2223-1)*MIN((Skills!Y11*(1+Inputs!$B$34/100)),(1/Q2223))+MIN((Skills!Y11*(1+Inputs!$B$34/100)),MAX(0,Inputs!$B$44-((R2223-1)*(1/Q2223)))))/Inputs!$B$44),IF(Inputs!$B$39="pvp",MIN((Skills!Y11*(1+Inputs!$B$34/100)),15)/15,MIN(1,(Skills!Y11*(1+Inputs!$B$34/100))/(1/Q2223)))))/100)*(1+((C2228=TRUE)*F2228*IF(AND(Inputs!$B$39&lt;&gt;"pvp",Inputs!$B$44&gt;0),(((R2228-1)*MIN((Skills!Y16*(1+Inputs!$B$34/100)),(1/Q2228))+MIN((Skills!Y16*(1+Inputs!$B$34/100)),MAX(0,Inputs!$B$44-((R2228-1)*(1/Q2228)))))/Inputs!$B$44),IF(Inputs!$B$39="pvp",MIN((Skills!Y16*(1+Inputs!$B$34/100)),15)/15,MIN(1,(Skills!Y16*(1+Inputs!$B$34/100))/(1/Q2228)))))/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2248*I2224)</f>
        <v/>
      </c>
      <c r="L2224">
        <f>K2224*(MIN(Inputs!$B$22+((C2237=TRUE)*(F2237-Calc!F25)),(Inputs!$B$23+((C2242=TRUE)*(F2242-Calc!F30))+IF(ArtifactsInput!$M$15,CHOOSE(ArtifactsInput!$N$15+1,25,30,35,40,45,50)/100*(Inputs!$B$11-Inputs!$B$11),0)))/100+(Inputs!$B$23+((C2242=TRUE)*(F2242-Calc!F30))+IF(ArtifactsInput!$M$15,CHOOSE(ArtifactsInput!$N$15+1,25,30,35,40,45,50)/100*(Inputs!$B$11-Inputs!$B$11),0))/100)/2</f>
        <v/>
      </c>
      <c r="M2224">
        <f>L2224*(1+(Inputs!$B$10+((C2239=TRUE)*(F2239-Calc!F27))+B2253+(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2224">
        <f>L2224*(1-MIN((Inputs!$B$9+((C2238=TRUE)*(F2238-Calc!F26))+B2246+(ArtifactsInput!$M$24-ArtifactsInput!$M$24)*CHOOSE(ArtifactsInput!$N$24+1,10,12,14,16,18,20)+(IF(AND(Inputs!$B$39&lt;&gt;"pvp",Inputs!$B$44=0),1,IF(IF(Inputs!$B$39="pvp",15,Inputs!$B$44)-(B2257)&lt;=0,1,MAX(0,IF(Inputs!$B$39="pvp",15,Inputs!$B$44)-MAX(5,B2257))/(IF(Inputs!$B$39="pvp",15,Inputs!$B$44)-(B2257))))*IF(AND(ArtifactsInput!$M$42,((Inputs!$B$9+((C2238=TRUE)*(F2238-Calc!F26))+B2246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2224*(MIN((Inputs!$B$9+((C2238=TRUE)*(F2238-Calc!F26))+B2246+(ArtifactsInput!$M$24-ArtifactsInput!$M$24)*CHOOSE(ArtifactsInput!$N$24+1,10,12,14,16,18,20)+(IF(AND(Inputs!$B$39&lt;&gt;"pvp",Inputs!$B$44=0),1,IF(IF(Inputs!$B$39="pvp",15,Inputs!$B$44)-(B2257)&lt;=0,1,MAX(0,IF(Inputs!$B$39="pvp",15,Inputs!$B$44)-MAX(5,B2257))/(IF(Inputs!$B$39="pvp",15,Inputs!$B$44)-(B2257))))*IF(AND(ArtifactsInput!$M$42,((Inputs!$B$9+((C2238=TRUE)*(F2238-Calc!F26))+B2246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224">
        <f>(1-Summary!$B$11)*T2224+Summary!$B$11*V2224</f>
        <v/>
      </c>
      <c r="P2224">
        <f>IF(B2258=0,0,O2224/B2258)</f>
        <v/>
      </c>
      <c r="Q2224">
        <f>IFERROR(1/IF(Inputs!$B$39="pvp",15,MAX(0.1,Skills!D12-IF(TRUE=TRUE,Inputs!$B$32,0))),0)</f>
        <v/>
      </c>
      <c r="R2224">
        <f>IF(AND(Inputs!$B$39&lt;&gt;"pvp",Inputs!$B$44&gt;0),IF(MAX(0,Inputs!$B$44-B2257)&lt;=0,0,(INT(MAX(0,Inputs!$B$44-B2257)/IF(Inputs!$B$39="pvp",15,MAX(0.1,Skills!D12-IF(TRUE=TRUE,Inputs!$B$32,0))))+1)),0)</f>
        <v/>
      </c>
      <c r="S2224">
        <f>IFERROR(O2224/N2224,0)</f>
        <v/>
      </c>
      <c r="T2224">
        <f>IF(C2224,(H2224*N2224*IF(AND(Inputs!$B$39&lt;&gt;"pvp",Inputs!$B$44&gt;0),((Skills!G12*((R2224-1)*IF(Skills!H12&gt;0,Skills!I12/Skills!H12,1)+IF(Skills!H12&gt;0,MIN(Skills!I12,MAX(0,MAX(0,Inputs!$B$44-B2257)-((R2224-1)*IF(Inputs!$B$39="pvp",15,MAX(0.1,Skills!D12-IF(TRUE=TRUE,Inputs!$B$32,0))))))/Skills!H12,1)))/Inputs!$B$44),G2224*Q2224))*IF(Inputs!$B$39="pvp",1,1+(Inputs!$B$20+0+Skills!P12+B2247+(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Hunt"),CHOOSE(ArtifactsInput!$N$35+1,15,18,21,24,27,30)*(1-EXP(-(0.2*B2250)*5)),0)+IF(AND(IF(ArtifactsInput!$M$22,FALSE,TRUE),Inputs!$B$4&lt;&gt;"Chapter Hunt"),CHOOSE(ArtifactsInput!$N$22+1,10,12,14,16,18,20)*((0*(((0.15*B2250*5))^0/1)+1*(((0.15*B2250*5))^1/1)+2*(((0.15*B2250*5))^2/2)+3*(((0.15*B2250*5))^3/6)+4*(((0.15*B2250*5))^4/24)+5*(((0.15*B2250*5))^5/120))/((((0.15*B2250*5))^0/1)+(((0.15*B2250*5))^1/1)+(((0.15*B2250*5))^2/2)+(((0.15*B2250*5))^3/6)+(((0.15*B2250*5))^4/24)+(((0.15*B2250*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2224*(1-MIN(100,(Inputs!$B$9+((C2238=TRUE)*(F2238-Calc!F26))+B2246+(ArtifactsInput!$M$24-ArtifactsInput!$M$24)*CHOOSE(ArtifactsInput!$N$24+1,10,12,14,16,18,20)+(IF(AND(Inputs!$B$39&lt;&gt;"pvp",Inputs!$B$44=0),1,IF(IF(Inputs!$B$39="pvp",15,Inputs!$B$44)-(B2257)&lt;=0,1,MAX(0,IF(Inputs!$B$39="pvp",15,Inputs!$B$44)-MAX(5,B2257))/(IF(Inputs!$B$39="pvp",15,Inputs!$B$44)-(B2257))))*IF(AND(ArtifactsInput!$M$42,((Inputs!$B$9+((C2238=TRUE)*(F2238-Calc!F26))+B2246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2224*(MIN(100,(Inputs!$B$9+((C2238=TRUE)*(F2238-Calc!F26))+B2246+(ArtifactsInput!$M$24-ArtifactsInput!$M$24)*CHOOSE(ArtifactsInput!$N$24+1,10,12,14,16,18,20)+(IF(AND(Inputs!$B$39&lt;&gt;"pvp",Inputs!$B$44=0),1,IF(IF(Inputs!$B$39="pvp",15,Inputs!$B$44)-(B2257)&lt;=0,1,MAX(0,IF(Inputs!$B$39="pvp",15,Inputs!$B$44)-MAX(5,B2257))/(IF(Inputs!$B$39="pvp",15,Inputs!$B$44)-(B2257))))*IF(AND(ArtifactsInput!$M$42,((Inputs!$B$9+((C2238=TRUE)*(F2238-Calc!F26))+B2246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2224*(1-MIN(100,(Inputs!$B$9+((C2238=TRUE)*(F2238-Calc!F26))+B2246+(ArtifactsInput!$M$24-ArtifactsInput!$M$24)*CHOOSE(ArtifactsInput!$N$24+1,10,12,14,16,18,20)+(IF(AND(Inputs!$B$39&lt;&gt;"pvp",Inputs!$B$44=0),1,IF(IF(Inputs!$B$39="pvp",15,Inputs!$B$44)-(B2257)&lt;=0,1,MAX(0,IF(Inputs!$B$39="pvp",15,Inputs!$B$44)-MAX(5,B2257))/(IF(Inputs!$B$39="pvp",15,Inputs!$B$44)-(B2257))))*IF(AND(ArtifactsInput!$M$42,((Inputs!$B$9+((C2238=TRUE)*(F2238-Calc!F26))+B2246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2224*(MIN(100,(Inputs!$B$9+((C2238=TRUE)*(F2238-Calc!F26))+B2246+(ArtifactsInput!$M$24-ArtifactsInput!$M$24)*CHOOSE(ArtifactsInput!$N$24+1,10,12,14,16,18,20)+(IF(AND(Inputs!$B$39&lt;&gt;"pvp",Inputs!$B$44=0),1,IF(IF(Inputs!$B$39="pvp",15,Inputs!$B$44)-(B2257)&lt;=0,1,MAX(0,IF(Inputs!$B$39="pvp",15,Inputs!$B$44)-MAX(5,B2257))/(IF(Inputs!$B$39="pvp",15,Inputs!$B$44)-(B2257))))*IF(AND(ArtifactsInput!$M$42,((Inputs!$B$9+((C2238=TRUE)*(F2238-Calc!F26))+B2246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224">
        <f>IF(C2224,(H2224*N2224*IF(AND(Inputs!$B$39&lt;&gt;"pvp",Inputs!$B$44&gt;0),((Skills!G12*((R2224-1)*IF(Skills!H12&gt;0,Skills!I12/Skills!H12,1)+IF(Skills!H12&gt;0,MIN(Skills!I12,MAX(0,MAX(0,Inputs!$B$44-B2257)-((R2224-1)*IF(Inputs!$B$39="pvp",15,MAX(0.1,Skills!D12-IF(TRUE=TRUE,Inputs!$B$32,0))))))/Skills!H12,1)))/Inputs!$B$44),G2224*Q2224))*IF(Inputs!$B$39="pvp",1,(1+(Inputs!$B$21+Skills!Q12+B2247+(IF(ArtifactsInput!$M$33,CHOOSE(ArtifactsInput!$N$33+1,30,36,42,48,54,60),0))+(IF(AND(ArtifactsInput!$M$35,Inputs!$B$4&lt;&gt;"Chapter Hunt"),CHOOSE(ArtifactsInput!$N$35+1,15,18,21,24,27,30)*(1-EXP(-(0.2*B2250)*5)),0)+IF(AND(IF(ArtifactsInput!$M$22,FALSE,TRUE),Inputs!$B$4&lt;&gt;"Chapter Hunt"),CHOOSE(ArtifactsInput!$N$22+1,10,12,14,16,18,20)*((0*(((0.15*B2250*5))^0/1)+1*(((0.15*B2250*5))^1/1)+2*(((0.15*B2250*5))^2/2)+3*(((0.15*B2250*5))^3/6)+4*(((0.15*B2250*5))^4/24)+5*(((0.15*B2250*5))^5/120))/((((0.15*B2250*5))^0/1)+(((0.15*B2250*5))^1/1)+(((0.15*B2250*5))^2/2)+(((0.15*B2250*5))^3/6)+(((0.15*B2250*5))^4/24)+(((0.15*B2250*5))^5/120))),0)))/100)*(MIN(Skills!W12,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225">
      <c r="A2225">
        <f>Skills!A13</f>
        <v/>
      </c>
      <c r="B2225">
        <f>Skills!B13</f>
        <v/>
      </c>
      <c r="C2225">
        <f>Inputs!$B$3&gt;=105</f>
        <v/>
      </c>
      <c r="D2225">
        <f>IF(Skills!C13=1,60+Inputs!$B$25+Inputs!$B$29,IF(Skills!C13=2,90+Inputs!$B$26+Inputs!$B$29,IF(Skills!C13=3,120+Inputs!$B$27+Inputs!$B$29,MAX(0,(Inputs!$B$3-100)*3)+Inputs!$B$28+Inputs!$B$29)))</f>
        <v/>
      </c>
      <c r="E2225">
        <f>INDEX(FactorTable!$B$2:$Y$301, MATCH(ROUND(MIN(300,MAX(1,D2225)),0), FactorTable!$A$2:$A$301,0), Skills!M13+1)</f>
        <v/>
      </c>
      <c r="F2225">
        <f>IF(Skills!N13=TRUE,(Skills!L13/10)*(E2225/1000),Skills!L13/10)+Skills!O13</f>
        <v/>
      </c>
      <c r="G2225">
        <f>Skills!G13*IF(Skills!H13&gt;0,IF(Inputs!$B$39="pvp",MIN(Skills!I13,15),Skills!I13)/Skills!H13,1)</f>
        <v/>
      </c>
      <c r="H2225">
        <f>1-(1-Skills!J13/100)^Skills!K13</f>
        <v/>
      </c>
      <c r="I2225" t="inlineStr">
        <is>
          <t>1</t>
        </is>
      </c>
      <c r="J2225">
        <f>((Inputs!$B$6*(1+Inputs!$B$7/100))+(((Inputs!$B$12*(1+Inputs!$B$13/100))-(Inputs!$B$12*(1+Inputs!$B$13/100)))+0.25*(Inputs!$B$14-Inputs!$B$14))*(1+Inputs!$B$7/100))*(F2225/100)</f>
        <v/>
      </c>
      <c r="K2225">
        <f>J2225*(1+((Inputs!$B$12*(1+Inputs!$B$13/100))*0.01+Inputs!$B$14*0.0025)/100)*(1+Inputs!$B$15/100)*(1+Inputs!$B$16/100)*(5000/(6000+Inputs!$B$43*(1-(100*(1-(1-Inputs!$B$19/100)*(1-CHOOSE(ArtifactsInput!$N$40+1,5,6,7,8,9,10)/100)^(ArtifactsInput!$M$40-ArtifactsInput!$M$40)))/100)))*(1+(Inputs!$B$24+((C2243=TRUE)*(F2243-Calc!F31))+((C2230=TRUE)*(F2230-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13="CRUEL_STAB",Inputs!$B$17+((C2240=TRUE)*(F2240-Calc!F28))+((IF(AND(Inputs!$B$39&lt;&gt;"pvp",Inputs!$B$44=0),1,IF(IF(Inputs!$B$39="pvp",15,Inputs!$B$44)-(B2257)&lt;=0,1,MAX(0,IF(Inputs!$B$39="pvp",15,Inputs!$B$44)-MAX(5,B2257))/(IF(Inputs!$B$39="pvp",15,Inputs!$B$44)-(B2257))))*(IF(AND(ArtifactsInput!$M$42,((Inputs!$B$9+((C2238=TRUE)*(F2238-Calc!F26))+B2246+(ArtifactsInput!$M$24-ArtifactsInput!$M$24)*CHOOSE(ArtifactsInput!$N$24+1,10,12,14,16,18,20)+IF(ArtifactsInput!$M$10,CHOOSE(ArtifactsInput!$N$10+1,15,18,21,24,27,30)*(IF(Inputs!$B$39="pvp",MIN(15,15)/15,IF(AND(Inputs!$B$39&lt;&gt;"pvp",Inputs!$B$44&gt;0),MIN(15,Inputs!$B$44)/(Inputs!$B$44),0))),0)))&gt;=100),MIN(100,((Inputs!$B$9+((C2238=TRUE)*(F2238-Calc!F26))+B2246+(ArtifactsInput!$M$24-ArtifactsInput!$M$24)*CHOOSE(ArtifactsInput!$N$24+1,10,12,14,16,18,20)+IF(ArtifactsInput!$M$10,CHOOSE(ArtifactsInput!$N$10+1,15,18,21,24,27,30)*(IF(Inputs!$B$39="pvp",MIN(15,15)/15,IF(AND(Inputs!$B$39&lt;&gt;"pvp",Inputs!$B$44&gt;0),MIN(15,Inputs!$B$44)/(Inputs!$B$44),0))),0)))-100),0))*CHOOSE(ArtifactsInput!$N$42+1,0.6,0.72,0.84,0.96,1.08,1.2))),Inputs!$B$18+((C2241=TRUE)*(F2241-Calc!F29))+(IF(AND(Inputs!$B$39&lt;&gt;"pvp",Inputs!$B$44=0),1,IF(IF(Inputs!$B$39="pvp",15,Inputs!$B$44)-(B2257)&lt;=0,1,MAX(0,IF(Inputs!$B$39="pvp",15,Inputs!$B$44)-MAX(5,B2257))/(IF(Inputs!$B$39="pvp",15,Inputs!$B$44)-(B2257))))*IF(AND(ArtifactsInput!$M$42,((Inputs!$B$9+((C2238=TRUE)*(F2238-Calc!F26))+B2246+(ArtifactsInput!$M$24-ArtifactsInput!$M$24)*CHOOSE(ArtifactsInput!$N$24+1,10,12,14,16,18,20)+IF(ArtifactsInput!$M$10,CHOOSE(ArtifactsInput!$N$10+1,15,18,21,24,27,30)*(IF(Inputs!$B$39="pvp",MIN(15,15)/15,IF(AND(Inputs!$B$39&lt;&gt;"pvp",Inputs!$B$44&gt;0),MIN(15,Inputs!$B$44)/(Inputs!$B$44),0))),0)))&gt;=100),CHOOSE(ArtifactsInput!$N$42+1,40,48,56,64,72,80),0))))/100)*(((1+(((C2234=TRUE)*F2234*IF(AND(Inputs!$B$39&lt;&gt;"pvp",Inputs!$B$44&gt;0),(((R2234-1)*MIN((Skills!Y22*(1+Inputs!$B$34/100)),(1/Q2234))+MIN((Skills!Y22*(1+Inputs!$B$34/100)),MAX(0,Inputs!$B$44-((R2234-1)*(1/Q2234)))))/Inputs!$B$44),IF(Inputs!$B$39="pvp",MIN((Skills!Y22*(1+Inputs!$B$34/100)),15)/15,MIN(1,(Skills!Y22*(1+Inputs!$B$34/100))/(1/Q2234)))))+((C2215=TRUE)*F2215*3)+((C2217=TRUE)*F2217*(1-EXP(-0.75*B2250*5)))+((C2236=TRUE)*(F2236-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2223=TRUE)*F2223*IF(AND(Inputs!$B$39&lt;&gt;"pvp",Inputs!$B$44&gt;0),(((R2223-1)*MIN((Skills!Y11*(1+Inputs!$B$34/100)),(1/Q2223))+MIN((Skills!Y11*(1+Inputs!$B$34/100)),MAX(0,Inputs!$B$44-((R2223-1)*(1/Q2223)))))/Inputs!$B$44),IF(Inputs!$B$39="pvp",MIN((Skills!Y11*(1+Inputs!$B$34/100)),15)/15,MIN(1,(Skills!Y11*(1+Inputs!$B$34/100))/(1/Q2223)))))/100)*(1+((C2228=TRUE)*F2228*IF(AND(Inputs!$B$39&lt;&gt;"pvp",Inputs!$B$44&gt;0),(((R2228-1)*MIN((Skills!Y16*(1+Inputs!$B$34/100)),(1/Q2228))+MIN((Skills!Y16*(1+Inputs!$B$34/100)),MAX(0,Inputs!$B$44-((R2228-1)*(1/Q2228)))))/Inputs!$B$44),IF(Inputs!$B$39="pvp",MIN((Skills!Y16*(1+Inputs!$B$34/100)),15)/15,MIN(1,(Skills!Y16*(1+Inputs!$B$34/100))/(1/Q2228)))))/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2248*I2225)</f>
        <v/>
      </c>
      <c r="L2225">
        <f>K2225*(MIN(Inputs!$B$22+((C2237=TRUE)*(F2237-Calc!F25)),(Inputs!$B$23+((C2242=TRUE)*(F2242-Calc!F30))+IF(ArtifactsInput!$M$15,CHOOSE(ArtifactsInput!$N$15+1,25,30,35,40,45,50)/100*(Inputs!$B$11-Inputs!$B$11),0)))/100+(Inputs!$B$23+((C2242=TRUE)*(F2242-Calc!F30))+IF(ArtifactsInput!$M$15,CHOOSE(ArtifactsInput!$N$15+1,25,30,35,40,45,50)/100*(Inputs!$B$11-Inputs!$B$11),0))/100)/2</f>
        <v/>
      </c>
      <c r="M2225">
        <f>L2225*(1+(Inputs!$B$10+((C2239=TRUE)*(F2239-Calc!F27))+B2253+(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2225">
        <f>L2225*(1-MIN((Inputs!$B$9+((C2238=TRUE)*(F2238-Calc!F26))+B2246+(ArtifactsInput!$M$24-ArtifactsInput!$M$24)*CHOOSE(ArtifactsInput!$N$24+1,10,12,14,16,18,20)+(IF(AND(Inputs!$B$39&lt;&gt;"pvp",Inputs!$B$44=0),1,IF(IF(Inputs!$B$39="pvp",15,Inputs!$B$44)-(B2257)&lt;=0,1,MAX(0,IF(Inputs!$B$39="pvp",15,Inputs!$B$44)-MAX(5,B2257))/(IF(Inputs!$B$39="pvp",15,Inputs!$B$44)-(B2257))))*IF(AND(ArtifactsInput!$M$42,((Inputs!$B$9+((C2238=TRUE)*(F2238-Calc!F26))+B2246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2225*(MIN((Inputs!$B$9+((C2238=TRUE)*(F2238-Calc!F26))+B2246+(ArtifactsInput!$M$24-ArtifactsInput!$M$24)*CHOOSE(ArtifactsInput!$N$24+1,10,12,14,16,18,20)+(IF(AND(Inputs!$B$39&lt;&gt;"pvp",Inputs!$B$44=0),1,IF(IF(Inputs!$B$39="pvp",15,Inputs!$B$44)-(B2257)&lt;=0,1,MAX(0,IF(Inputs!$B$39="pvp",15,Inputs!$B$44)-MAX(5,B2257))/(IF(Inputs!$B$39="pvp",15,Inputs!$B$44)-(B2257))))*IF(AND(ArtifactsInput!$M$42,((Inputs!$B$9+((C2238=TRUE)*(F2238-Calc!F26))+B2246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225">
        <f>(1-Summary!$B$11)*T2225+Summary!$B$11*V2225</f>
        <v/>
      </c>
      <c r="P2225">
        <f>IF(B2258=0,0,O2225/B2258)</f>
        <v/>
      </c>
      <c r="Q2225">
        <f>IFERROR(1/IF(Inputs!$B$39="pvp",15,MAX(0.1,Skills!D13-IF(TRUE=TRUE,Inputs!$B$32,0))),0)</f>
        <v/>
      </c>
      <c r="R2225">
        <f>IF(AND(Inputs!$B$39&lt;&gt;"pvp",Inputs!$B$44&gt;0),IF(MAX(0,Inputs!$B$44-B2257)&lt;=0,0,(INT(MAX(0,Inputs!$B$44-B2257)/IF(Inputs!$B$39="pvp",15,MAX(0.1,Skills!D13-IF(TRUE=TRUE,Inputs!$B$32,0))))+1)),0)</f>
        <v/>
      </c>
      <c r="S2225">
        <f>IFERROR(O2225/N2225,0)</f>
        <v/>
      </c>
      <c r="T2225">
        <f>IF(C2225,(H2225*N2225*IF(AND(Inputs!$B$39&lt;&gt;"pvp",Inputs!$B$44&gt;0),((Skills!G13*((R2225-1)*IF(Skills!H13&gt;0,Skills!I13/Skills!H13,1)+IF(Skills!H13&gt;0,MIN(Skills!I13,MAX(0,MAX(0,Inputs!$B$44-B2257)-((R2225-1)*IF(Inputs!$B$39="pvp",15,MAX(0.1,Skills!D13-IF(TRUE=TRUE,Inputs!$B$32,0))))))/Skills!H13,1)))/Inputs!$B$44),G2225*Q2225))*IF(Inputs!$B$39="pvp",1,1+(Inputs!$B$20+0+Skills!P13+B2247+(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Hunt"),CHOOSE(ArtifactsInput!$N$35+1,15,18,21,24,27,30)*(1-EXP(-(0.2*B2250)*5)),0)+IF(AND(IF(ArtifactsInput!$M$22,FALSE,TRUE),Inputs!$B$4&lt;&gt;"Chapter Hunt"),CHOOSE(ArtifactsInput!$N$22+1,10,12,14,16,18,20)*((0*(((0.15*B2250*5))^0/1)+1*(((0.15*B2250*5))^1/1)+2*(((0.15*B2250*5))^2/2)+3*(((0.15*B2250*5))^3/6)+4*(((0.15*B2250*5))^4/24)+5*(((0.15*B2250*5))^5/120))/((((0.15*B2250*5))^0/1)+(((0.15*B2250*5))^1/1)+(((0.15*B2250*5))^2/2)+(((0.15*B2250*5))^3/6)+(((0.15*B2250*5))^4/24)+(((0.15*B2250*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2225*(1-MIN(100,(Inputs!$B$9+((C2238=TRUE)*(F2238-Calc!F26))+B2246+(ArtifactsInput!$M$24-ArtifactsInput!$M$24)*CHOOSE(ArtifactsInput!$N$24+1,10,12,14,16,18,20)+(IF(AND(Inputs!$B$39&lt;&gt;"pvp",Inputs!$B$44=0),1,IF(IF(Inputs!$B$39="pvp",15,Inputs!$B$44)-(B2257)&lt;=0,1,MAX(0,IF(Inputs!$B$39="pvp",15,Inputs!$B$44)-MAX(5,B2257))/(IF(Inputs!$B$39="pvp",15,Inputs!$B$44)-(B2257))))*IF(AND(ArtifactsInput!$M$42,((Inputs!$B$9+((C2238=TRUE)*(F2238-Calc!F26))+B2246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2225*(MIN(100,(Inputs!$B$9+((C2238=TRUE)*(F2238-Calc!F26))+B2246+(ArtifactsInput!$M$24-ArtifactsInput!$M$24)*CHOOSE(ArtifactsInput!$N$24+1,10,12,14,16,18,20)+(IF(AND(Inputs!$B$39&lt;&gt;"pvp",Inputs!$B$44=0),1,IF(IF(Inputs!$B$39="pvp",15,Inputs!$B$44)-(B2257)&lt;=0,1,MAX(0,IF(Inputs!$B$39="pvp",15,Inputs!$B$44)-MAX(5,B2257))/(IF(Inputs!$B$39="pvp",15,Inputs!$B$44)-(B2257))))*IF(AND(ArtifactsInput!$M$42,((Inputs!$B$9+((C2238=TRUE)*(F2238-Calc!F26))+B2246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2225*(1-MIN(100,(Inputs!$B$9+((C2238=TRUE)*(F2238-Calc!F26))+B2246+(ArtifactsInput!$M$24-ArtifactsInput!$M$24)*CHOOSE(ArtifactsInput!$N$24+1,10,12,14,16,18,20)+(IF(AND(Inputs!$B$39&lt;&gt;"pvp",Inputs!$B$44=0),1,IF(IF(Inputs!$B$39="pvp",15,Inputs!$B$44)-(B2257)&lt;=0,1,MAX(0,IF(Inputs!$B$39="pvp",15,Inputs!$B$44)-MAX(5,B2257))/(IF(Inputs!$B$39="pvp",15,Inputs!$B$44)-(B2257))))*IF(AND(ArtifactsInput!$M$42,((Inputs!$B$9+((C2238=TRUE)*(F2238-Calc!F26))+B2246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2225*(MIN(100,(Inputs!$B$9+((C2238=TRUE)*(F2238-Calc!F26))+B2246+(ArtifactsInput!$M$24-ArtifactsInput!$M$24)*CHOOSE(ArtifactsInput!$N$24+1,10,12,14,16,18,20)+(IF(AND(Inputs!$B$39&lt;&gt;"pvp",Inputs!$B$44=0),1,IF(IF(Inputs!$B$39="pvp",15,Inputs!$B$44)-(B2257)&lt;=0,1,MAX(0,IF(Inputs!$B$39="pvp",15,Inputs!$B$44)-MAX(5,B2257))/(IF(Inputs!$B$39="pvp",15,Inputs!$B$44)-(B2257))))*IF(AND(ArtifactsInput!$M$42,((Inputs!$B$9+((C2238=TRUE)*(F2238-Calc!F26))+B2246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225">
        <f>IF(C2225,(H2225*N2225*IF(AND(Inputs!$B$39&lt;&gt;"pvp",Inputs!$B$44&gt;0),((Skills!G13*((R2225-1)*IF(Skills!H13&gt;0,Skills!I13/Skills!H13,1)+IF(Skills!H13&gt;0,MIN(Skills!I13,MAX(0,MAX(0,Inputs!$B$44-B2257)-((R2225-1)*IF(Inputs!$B$39="pvp",15,MAX(0.1,Skills!D13-IF(TRUE=TRUE,Inputs!$B$32,0))))))/Skills!H13,1)))/Inputs!$B$44),G2225*Q2225))*IF(Inputs!$B$39="pvp",1,(1+(Inputs!$B$21+Skills!Q13+B2247+(IF(ArtifactsInput!$M$33,CHOOSE(ArtifactsInput!$N$33+1,30,36,42,48,54,60),0))+(IF(AND(ArtifactsInput!$M$35,Inputs!$B$4&lt;&gt;"Chapter Hunt"),CHOOSE(ArtifactsInput!$N$35+1,15,18,21,24,27,30)*(1-EXP(-(0.2*B2250)*5)),0)+IF(AND(IF(ArtifactsInput!$M$22,FALSE,TRUE),Inputs!$B$4&lt;&gt;"Chapter Hunt"),CHOOSE(ArtifactsInput!$N$22+1,10,12,14,16,18,20)*((0*(((0.15*B2250*5))^0/1)+1*(((0.15*B2250*5))^1/1)+2*(((0.15*B2250*5))^2/2)+3*(((0.15*B2250*5))^3/6)+4*(((0.15*B2250*5))^4/24)+5*(((0.15*B2250*5))^5/120))/((((0.15*B2250*5))^0/1)+(((0.15*B2250*5))^1/1)+(((0.15*B2250*5))^2/2)+(((0.15*B2250*5))^3/6)+(((0.15*B2250*5))^4/24)+(((0.15*B2250*5))^5/120))),0)))/100)*(MIN(Skills!W13,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226">
      <c r="A2226">
        <f>Skills!A14</f>
        <v/>
      </c>
      <c r="B2226">
        <f>Skills!B14</f>
        <v/>
      </c>
      <c r="C2226">
        <f>Inputs!$B$3&gt;=105</f>
        <v/>
      </c>
      <c r="D2226">
        <f>IF(Skills!C14=1,60+Inputs!$B$25+Inputs!$B$29,IF(Skills!C14=2,90+Inputs!$B$26+Inputs!$B$29,IF(Skills!C14=3,120+Inputs!$B$27+Inputs!$B$29,MAX(0,(Inputs!$B$3-100)*3)+Inputs!$B$28+Inputs!$B$29)))</f>
        <v/>
      </c>
      <c r="E2226">
        <f>INDEX(FactorTable!$B$2:$Y$301, MATCH(ROUND(MIN(300,MAX(1,D2226)),0), FactorTable!$A$2:$A$301,0), Skills!M14+1)</f>
        <v/>
      </c>
      <c r="F2226">
        <f>IF(Skills!N14=TRUE,(Skills!L14/10)*(E2226/1000),Skills!L14/10)+Skills!O14</f>
        <v/>
      </c>
      <c r="G2226">
        <f>Skills!G14*IF(Skills!H14&gt;0,IF(Inputs!$B$39="pvp",MIN(Skills!I14,15),Skills!I14)/Skills!H14,1)</f>
        <v/>
      </c>
      <c r="H2226">
        <f>1-(1-Skills!J14/100)^Skills!K14</f>
        <v/>
      </c>
      <c r="I2226" t="inlineStr">
        <is>
          <t>1</t>
        </is>
      </c>
      <c r="J2226">
        <f>((Inputs!$B$6*(1+Inputs!$B$7/100))+(((Inputs!$B$12*(1+Inputs!$B$13/100))-(Inputs!$B$12*(1+Inputs!$B$13/100)))+0.25*(Inputs!$B$14-Inputs!$B$14))*(1+Inputs!$B$7/100))*(F2226/100)</f>
        <v/>
      </c>
      <c r="K2226">
        <f>J2226*(1+((Inputs!$B$12*(1+Inputs!$B$13/100))*0.01+Inputs!$B$14*0.0025)/100)*(1+Inputs!$B$15/100)*(1+Inputs!$B$16/100)*(5000/(6000+Inputs!$B$43*(1-(100*(1-(1-Inputs!$B$19/100)*(1-CHOOSE(ArtifactsInput!$N$40+1,5,6,7,8,9,10)/100)^(ArtifactsInput!$M$40-ArtifactsInput!$M$40)))/100)))*(1+(Inputs!$B$24+((C2243=TRUE)*(F2243-Calc!F31))+((C2230=TRUE)*(F2230-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14="CRUEL_STAB",Inputs!$B$17+((C2240=TRUE)*(F2240-Calc!F28))+((IF(AND(Inputs!$B$39&lt;&gt;"pvp",Inputs!$B$44=0),1,IF(IF(Inputs!$B$39="pvp",15,Inputs!$B$44)-(B2257)&lt;=0,1,MAX(0,IF(Inputs!$B$39="pvp",15,Inputs!$B$44)-MAX(5,B2257))/(IF(Inputs!$B$39="pvp",15,Inputs!$B$44)-(B2257))))*(IF(AND(ArtifactsInput!$M$42,((Inputs!$B$9+((C2238=TRUE)*(F2238-Calc!F26))+B2246+(ArtifactsInput!$M$24-ArtifactsInput!$M$24)*CHOOSE(ArtifactsInput!$N$24+1,10,12,14,16,18,20)+IF(ArtifactsInput!$M$10,CHOOSE(ArtifactsInput!$N$10+1,15,18,21,24,27,30)*(IF(Inputs!$B$39="pvp",MIN(15,15)/15,IF(AND(Inputs!$B$39&lt;&gt;"pvp",Inputs!$B$44&gt;0),MIN(15,Inputs!$B$44)/(Inputs!$B$44),0))),0)))&gt;=100),MIN(100,((Inputs!$B$9+((C2238=TRUE)*(F2238-Calc!F26))+B2246+(ArtifactsInput!$M$24-ArtifactsInput!$M$24)*CHOOSE(ArtifactsInput!$N$24+1,10,12,14,16,18,20)+IF(ArtifactsInput!$M$10,CHOOSE(ArtifactsInput!$N$10+1,15,18,21,24,27,30)*(IF(Inputs!$B$39="pvp",MIN(15,15)/15,IF(AND(Inputs!$B$39&lt;&gt;"pvp",Inputs!$B$44&gt;0),MIN(15,Inputs!$B$44)/(Inputs!$B$44),0))),0)))-100),0))*CHOOSE(ArtifactsInput!$N$42+1,0.6,0.72,0.84,0.96,1.08,1.2))),Inputs!$B$18+((C2241=TRUE)*(F2241-Calc!F29))+(IF(AND(Inputs!$B$39&lt;&gt;"pvp",Inputs!$B$44=0),1,IF(IF(Inputs!$B$39="pvp",15,Inputs!$B$44)-(B2257)&lt;=0,1,MAX(0,IF(Inputs!$B$39="pvp",15,Inputs!$B$44)-MAX(5,B2257))/(IF(Inputs!$B$39="pvp",15,Inputs!$B$44)-(B2257))))*IF(AND(ArtifactsInput!$M$42,((Inputs!$B$9+((C2238=TRUE)*(F2238-Calc!F26))+B2246+(ArtifactsInput!$M$24-ArtifactsInput!$M$24)*CHOOSE(ArtifactsInput!$N$24+1,10,12,14,16,18,20)+IF(ArtifactsInput!$M$10,CHOOSE(ArtifactsInput!$N$10+1,15,18,21,24,27,30)*(IF(Inputs!$B$39="pvp",MIN(15,15)/15,IF(AND(Inputs!$B$39&lt;&gt;"pvp",Inputs!$B$44&gt;0),MIN(15,Inputs!$B$44)/(Inputs!$B$44),0))),0)))&gt;=100),CHOOSE(ArtifactsInput!$N$42+1,40,48,56,64,72,80),0))))/100)*(((1+(((C2234=TRUE)*F2234*IF(AND(Inputs!$B$39&lt;&gt;"pvp",Inputs!$B$44&gt;0),(((R2234-1)*MIN((Skills!Y22*(1+Inputs!$B$34/100)),(1/Q2234))+MIN((Skills!Y22*(1+Inputs!$B$34/100)),MAX(0,Inputs!$B$44-((R2234-1)*(1/Q2234)))))/Inputs!$B$44),IF(Inputs!$B$39="pvp",MIN((Skills!Y22*(1+Inputs!$B$34/100)),15)/15,MIN(1,(Skills!Y22*(1+Inputs!$B$34/100))/(1/Q2234)))))+((C2215=TRUE)*F2215*3)+((C2217=TRUE)*F2217*(1-EXP(-0.75*B2250*5)))+((C2236=TRUE)*(F2236-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2223=TRUE)*F2223*IF(AND(Inputs!$B$39&lt;&gt;"pvp",Inputs!$B$44&gt;0),(((R2223-1)*MIN((Skills!Y11*(1+Inputs!$B$34/100)),(1/Q2223))+MIN((Skills!Y11*(1+Inputs!$B$34/100)),MAX(0,Inputs!$B$44-((R2223-1)*(1/Q2223)))))/Inputs!$B$44),IF(Inputs!$B$39="pvp",MIN((Skills!Y11*(1+Inputs!$B$34/100)),15)/15,MIN(1,(Skills!Y11*(1+Inputs!$B$34/100))/(1/Q2223)))))/100)*(1+((C2228=TRUE)*F2228*IF(AND(Inputs!$B$39&lt;&gt;"pvp",Inputs!$B$44&gt;0),(((R2228-1)*MIN((Skills!Y16*(1+Inputs!$B$34/100)),(1/Q2228))+MIN((Skills!Y16*(1+Inputs!$B$34/100)),MAX(0,Inputs!$B$44-((R2228-1)*(1/Q2228)))))/Inputs!$B$44),IF(Inputs!$B$39="pvp",MIN((Skills!Y16*(1+Inputs!$B$34/100)),15)/15,MIN(1,(Skills!Y16*(1+Inputs!$B$34/100))/(1/Q2228)))))/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2248*I2226)</f>
        <v/>
      </c>
      <c r="L2226">
        <f>K2226*(MIN(Inputs!$B$22+((C2237=TRUE)*(F2237-Calc!F25)),(Inputs!$B$23+((C2242=TRUE)*(F2242-Calc!F30))+IF(ArtifactsInput!$M$15,CHOOSE(ArtifactsInput!$N$15+1,25,30,35,40,45,50)/100*(Inputs!$B$11-Inputs!$B$11),0)))/100+(Inputs!$B$23+((C2242=TRUE)*(F2242-Calc!F30))+IF(ArtifactsInput!$M$15,CHOOSE(ArtifactsInput!$N$15+1,25,30,35,40,45,50)/100*(Inputs!$B$11-Inputs!$B$11),0))/100)/2</f>
        <v/>
      </c>
      <c r="M2226">
        <f>L2226*(1+(Inputs!$B$10+((C2239=TRUE)*(F2239-Calc!F27))+B2253+(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2226">
        <f>L2226*(1-MIN((Inputs!$B$9+((C2238=TRUE)*(F2238-Calc!F26))+B2246+(ArtifactsInput!$M$24-ArtifactsInput!$M$24)*CHOOSE(ArtifactsInput!$N$24+1,10,12,14,16,18,20)+(IF(AND(Inputs!$B$39&lt;&gt;"pvp",Inputs!$B$44=0),1,IF(IF(Inputs!$B$39="pvp",15,Inputs!$B$44)-(B2257)&lt;=0,1,MAX(0,IF(Inputs!$B$39="pvp",15,Inputs!$B$44)-MAX(5,B2257))/(IF(Inputs!$B$39="pvp",15,Inputs!$B$44)-(B2257))))*IF(AND(ArtifactsInput!$M$42,((Inputs!$B$9+((C2238=TRUE)*(F2238-Calc!F26))+B2246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2226*(MIN((Inputs!$B$9+((C2238=TRUE)*(F2238-Calc!F26))+B2246+(ArtifactsInput!$M$24-ArtifactsInput!$M$24)*CHOOSE(ArtifactsInput!$N$24+1,10,12,14,16,18,20)+(IF(AND(Inputs!$B$39&lt;&gt;"pvp",Inputs!$B$44=0),1,IF(IF(Inputs!$B$39="pvp",15,Inputs!$B$44)-(B2257)&lt;=0,1,MAX(0,IF(Inputs!$B$39="pvp",15,Inputs!$B$44)-MAX(5,B2257))/(IF(Inputs!$B$39="pvp",15,Inputs!$B$44)-(B2257))))*IF(AND(ArtifactsInput!$M$42,((Inputs!$B$9+((C2238=TRUE)*(F2238-Calc!F26))+B2246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226">
        <f>(1-Summary!$B$11)*T2226+Summary!$B$11*V2226</f>
        <v/>
      </c>
      <c r="P2226">
        <f>IF(B2258=0,0,O2226/B2258)</f>
        <v/>
      </c>
      <c r="Q2226">
        <f>IFERROR(1/IF(Inputs!$B$39="pvp",15,MAX(0.1,Skills!D14-IF(TRUE=TRUE,Inputs!$B$32,0))),0)</f>
        <v/>
      </c>
      <c r="R2226">
        <f>IF(AND(Inputs!$B$39&lt;&gt;"pvp",Inputs!$B$44&gt;0),IF(MAX(0,Inputs!$B$44-B2257)&lt;=0,0,(INT(MAX(0,Inputs!$B$44-B2257)/IF(Inputs!$B$39="pvp",15,MAX(0.1,Skills!D14-IF(TRUE=TRUE,Inputs!$B$32,0))))+1)),0)</f>
        <v/>
      </c>
      <c r="S2226">
        <f>IFERROR(O2226/N2226,0)</f>
        <v/>
      </c>
      <c r="T2226">
        <f>IF(C2226,(H2226*N2226*IF(AND(Inputs!$B$39&lt;&gt;"pvp",Inputs!$B$44&gt;0),((Skills!G14*((R2226-1)*IF(Skills!H14&gt;0,Skills!I14/Skills!H14,1)+IF(Skills!H14&gt;0,MIN(Skills!I14,MAX(0,MAX(0,Inputs!$B$44-B2257)-((R2226-1)*IF(Inputs!$B$39="pvp",15,MAX(0.1,Skills!D14-IF(TRUE=TRUE,Inputs!$B$32,0))))))/Skills!H14,1)))/Inputs!$B$44),G2226*Q2226))*IF(Inputs!$B$39="pvp",1,1+(Inputs!$B$20+0+Skills!P14+B2247+(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Hunt"),CHOOSE(ArtifactsInput!$N$35+1,15,18,21,24,27,30)*(1-EXP(-(0.2*B2250)*5)),0)+IF(AND(IF(ArtifactsInput!$M$22,FALSE,TRUE),Inputs!$B$4&lt;&gt;"Chapter Hunt"),CHOOSE(ArtifactsInput!$N$22+1,10,12,14,16,18,20)*((0*(((0.15*B2250*5))^0/1)+1*(((0.15*B2250*5))^1/1)+2*(((0.15*B2250*5))^2/2)+3*(((0.15*B2250*5))^3/6)+4*(((0.15*B2250*5))^4/24)+5*(((0.15*B2250*5))^5/120))/((((0.15*B2250*5))^0/1)+(((0.15*B2250*5))^1/1)+(((0.15*B2250*5))^2/2)+(((0.15*B2250*5))^3/6)+(((0.15*B2250*5))^4/24)+(((0.15*B2250*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2226*(1-MIN(100,(Inputs!$B$9+((C2238=TRUE)*(F2238-Calc!F26))+B2246+(ArtifactsInput!$M$24-ArtifactsInput!$M$24)*CHOOSE(ArtifactsInput!$N$24+1,10,12,14,16,18,20)+(IF(AND(Inputs!$B$39&lt;&gt;"pvp",Inputs!$B$44=0),1,IF(IF(Inputs!$B$39="pvp",15,Inputs!$B$44)-(B2257)&lt;=0,1,MAX(0,IF(Inputs!$B$39="pvp",15,Inputs!$B$44)-MAX(5,B2257))/(IF(Inputs!$B$39="pvp",15,Inputs!$B$44)-(B2257))))*IF(AND(ArtifactsInput!$M$42,((Inputs!$B$9+((C2238=TRUE)*(F2238-Calc!F26))+B2246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2226*(MIN(100,(Inputs!$B$9+((C2238=TRUE)*(F2238-Calc!F26))+B2246+(ArtifactsInput!$M$24-ArtifactsInput!$M$24)*CHOOSE(ArtifactsInput!$N$24+1,10,12,14,16,18,20)+(IF(AND(Inputs!$B$39&lt;&gt;"pvp",Inputs!$B$44=0),1,IF(IF(Inputs!$B$39="pvp",15,Inputs!$B$44)-(B2257)&lt;=0,1,MAX(0,IF(Inputs!$B$39="pvp",15,Inputs!$B$44)-MAX(5,B2257))/(IF(Inputs!$B$39="pvp",15,Inputs!$B$44)-(B2257))))*IF(AND(ArtifactsInput!$M$42,((Inputs!$B$9+((C2238=TRUE)*(F2238-Calc!F26))+B2246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2226*(1-MIN(100,(Inputs!$B$9+((C2238=TRUE)*(F2238-Calc!F26))+B2246+(ArtifactsInput!$M$24-ArtifactsInput!$M$24)*CHOOSE(ArtifactsInput!$N$24+1,10,12,14,16,18,20)+(IF(AND(Inputs!$B$39&lt;&gt;"pvp",Inputs!$B$44=0),1,IF(IF(Inputs!$B$39="pvp",15,Inputs!$B$44)-(B2257)&lt;=0,1,MAX(0,IF(Inputs!$B$39="pvp",15,Inputs!$B$44)-MAX(5,B2257))/(IF(Inputs!$B$39="pvp",15,Inputs!$B$44)-(B2257))))*IF(AND(ArtifactsInput!$M$42,((Inputs!$B$9+((C2238=TRUE)*(F2238-Calc!F26))+B2246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2226*(MIN(100,(Inputs!$B$9+((C2238=TRUE)*(F2238-Calc!F26))+B2246+(ArtifactsInput!$M$24-ArtifactsInput!$M$24)*CHOOSE(ArtifactsInput!$N$24+1,10,12,14,16,18,20)+(IF(AND(Inputs!$B$39&lt;&gt;"pvp",Inputs!$B$44=0),1,IF(IF(Inputs!$B$39="pvp",15,Inputs!$B$44)-(B2257)&lt;=0,1,MAX(0,IF(Inputs!$B$39="pvp",15,Inputs!$B$44)-MAX(5,B2257))/(IF(Inputs!$B$39="pvp",15,Inputs!$B$44)-(B2257))))*IF(AND(ArtifactsInput!$M$42,((Inputs!$B$9+((C2238=TRUE)*(F2238-Calc!F26))+B2246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226">
        <f>IF(C2226,(H2226*N2226*IF(AND(Inputs!$B$39&lt;&gt;"pvp",Inputs!$B$44&gt;0),((Skills!G14*((R2226-1)*IF(Skills!H14&gt;0,Skills!I14/Skills!H14,1)+IF(Skills!H14&gt;0,MIN(Skills!I14,MAX(0,MAX(0,Inputs!$B$44-B2257)-((R2226-1)*IF(Inputs!$B$39="pvp",15,MAX(0.1,Skills!D14-IF(TRUE=TRUE,Inputs!$B$32,0))))))/Skills!H14,1)))/Inputs!$B$44),G2226*Q2226))*IF(Inputs!$B$39="pvp",1,(1+(Inputs!$B$21+Skills!Q14+B2247+(IF(ArtifactsInput!$M$33,CHOOSE(ArtifactsInput!$N$33+1,30,36,42,48,54,60),0))+(IF(AND(ArtifactsInput!$M$35,Inputs!$B$4&lt;&gt;"Chapter Hunt"),CHOOSE(ArtifactsInput!$N$35+1,15,18,21,24,27,30)*(1-EXP(-(0.2*B2250)*5)),0)+IF(AND(IF(ArtifactsInput!$M$22,FALSE,TRUE),Inputs!$B$4&lt;&gt;"Chapter Hunt"),CHOOSE(ArtifactsInput!$N$22+1,10,12,14,16,18,20)*((0*(((0.15*B2250*5))^0/1)+1*(((0.15*B2250*5))^1/1)+2*(((0.15*B2250*5))^2/2)+3*(((0.15*B2250*5))^3/6)+4*(((0.15*B2250*5))^4/24)+5*(((0.15*B2250*5))^5/120))/((((0.15*B2250*5))^0/1)+(((0.15*B2250*5))^1/1)+(((0.15*B2250*5))^2/2)+(((0.15*B2250*5))^3/6)+(((0.15*B2250*5))^4/24)+(((0.15*B2250*5))^5/120))),0)))/100)*(MIN(Skills!W14,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227">
      <c r="A2227">
        <f>Skills!A15</f>
        <v/>
      </c>
      <c r="B2227">
        <f>Skills!B15</f>
        <v/>
      </c>
      <c r="C2227">
        <f>Inputs!$B$3&gt;=107</f>
        <v/>
      </c>
      <c r="D2227">
        <f>IF(Skills!C15=1,60+Inputs!$B$25+Inputs!$B$29,IF(Skills!C15=2,90+Inputs!$B$26+Inputs!$B$29,IF(Skills!C15=3,120+Inputs!$B$27+Inputs!$B$29,MAX(0,(Inputs!$B$3-100)*3)+Inputs!$B$28+Inputs!$B$29)))</f>
        <v/>
      </c>
      <c r="E2227">
        <f>INDEX(FactorTable!$B$2:$Y$301, MATCH(ROUND(MIN(300,MAX(1,D2227)),0), FactorTable!$A$2:$A$301,0), Skills!M15+1)</f>
        <v/>
      </c>
      <c r="F2227">
        <f>IF(Skills!N15=TRUE,(Skills!L15/10)*(E2227/1000),Skills!L15/10)+Skills!O15</f>
        <v/>
      </c>
      <c r="G2227">
        <f>Skills!G15*IF(Skills!H15&gt;0,IF(Inputs!$B$39="pvp",MIN(Skills!I15,15),Skills!I15)/Skills!H15,1)</f>
        <v/>
      </c>
      <c r="H2227">
        <f>1-(1-Skills!J15/100)^Skills!K15</f>
        <v/>
      </c>
      <c r="I2227" t="inlineStr">
        <is>
          <t>1</t>
        </is>
      </c>
      <c r="J2227">
        <f>((Inputs!$B$6*(1+Inputs!$B$7/100))+(((Inputs!$B$12*(1+Inputs!$B$13/100))-(Inputs!$B$12*(1+Inputs!$B$13/100)))+0.25*(Inputs!$B$14-Inputs!$B$14))*(1+Inputs!$B$7/100))*(F2227/100)</f>
        <v/>
      </c>
      <c r="K2227">
        <f>J2227*(1+((Inputs!$B$12*(1+Inputs!$B$13/100))*0.01+Inputs!$B$14*0.0025)/100)*(1+Inputs!$B$15/100)*(1+Inputs!$B$16/100)*(5000/(6000+Inputs!$B$43*(1-(100*(1-(1-Inputs!$B$19/100)*(1-CHOOSE(ArtifactsInput!$N$40+1,5,6,7,8,9,10)/100)^(ArtifactsInput!$M$40-ArtifactsInput!$M$40)))/100)))*(1+(Inputs!$B$24+((C2243=TRUE)*(F2243-Calc!F31))+((C2230=TRUE)*(F2230-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15="CRUEL_STAB",Inputs!$B$17+((C2240=TRUE)*(F2240-Calc!F28))+((IF(AND(Inputs!$B$39&lt;&gt;"pvp",Inputs!$B$44=0),1,IF(IF(Inputs!$B$39="pvp",15,Inputs!$B$44)-(B2257)&lt;=0,1,MAX(0,IF(Inputs!$B$39="pvp",15,Inputs!$B$44)-MAX(5,B2257))/(IF(Inputs!$B$39="pvp",15,Inputs!$B$44)-(B2257))))*(IF(AND(ArtifactsInput!$M$42,((Inputs!$B$9+((C2238=TRUE)*(F2238-Calc!F26))+B2246+(ArtifactsInput!$M$24-ArtifactsInput!$M$24)*CHOOSE(ArtifactsInput!$N$24+1,10,12,14,16,18,20)+IF(ArtifactsInput!$M$10,CHOOSE(ArtifactsInput!$N$10+1,15,18,21,24,27,30)*(IF(Inputs!$B$39="pvp",MIN(15,15)/15,IF(AND(Inputs!$B$39&lt;&gt;"pvp",Inputs!$B$44&gt;0),MIN(15,Inputs!$B$44)/(Inputs!$B$44),0))),0)))&gt;=100),MIN(100,((Inputs!$B$9+((C2238=TRUE)*(F2238-Calc!F26))+B2246+(ArtifactsInput!$M$24-ArtifactsInput!$M$24)*CHOOSE(ArtifactsInput!$N$24+1,10,12,14,16,18,20)+IF(ArtifactsInput!$M$10,CHOOSE(ArtifactsInput!$N$10+1,15,18,21,24,27,30)*(IF(Inputs!$B$39="pvp",MIN(15,15)/15,IF(AND(Inputs!$B$39&lt;&gt;"pvp",Inputs!$B$44&gt;0),MIN(15,Inputs!$B$44)/(Inputs!$B$44),0))),0)))-100),0))*CHOOSE(ArtifactsInput!$N$42+1,0.6,0.72,0.84,0.96,1.08,1.2))),Inputs!$B$18+((C2241=TRUE)*(F2241-Calc!F29))+(IF(AND(Inputs!$B$39&lt;&gt;"pvp",Inputs!$B$44=0),1,IF(IF(Inputs!$B$39="pvp",15,Inputs!$B$44)-(B2257)&lt;=0,1,MAX(0,IF(Inputs!$B$39="pvp",15,Inputs!$B$44)-MAX(5,B2257))/(IF(Inputs!$B$39="pvp",15,Inputs!$B$44)-(B2257))))*IF(AND(ArtifactsInput!$M$42,((Inputs!$B$9+((C2238=TRUE)*(F2238-Calc!F26))+B2246+(ArtifactsInput!$M$24-ArtifactsInput!$M$24)*CHOOSE(ArtifactsInput!$N$24+1,10,12,14,16,18,20)+IF(ArtifactsInput!$M$10,CHOOSE(ArtifactsInput!$N$10+1,15,18,21,24,27,30)*(IF(Inputs!$B$39="pvp",MIN(15,15)/15,IF(AND(Inputs!$B$39&lt;&gt;"pvp",Inputs!$B$44&gt;0),MIN(15,Inputs!$B$44)/(Inputs!$B$44),0))),0)))&gt;=100),CHOOSE(ArtifactsInput!$N$42+1,40,48,56,64,72,80),0))))/100)*(((1+(((C2234=TRUE)*F2234*IF(AND(Inputs!$B$39&lt;&gt;"pvp",Inputs!$B$44&gt;0),(((R2234-1)*MIN((Skills!Y22*(1+Inputs!$B$34/100)),(1/Q2234))+MIN((Skills!Y22*(1+Inputs!$B$34/100)),MAX(0,Inputs!$B$44-((R2234-1)*(1/Q2234)))))/Inputs!$B$44),IF(Inputs!$B$39="pvp",MIN((Skills!Y22*(1+Inputs!$B$34/100)),15)/15,MIN(1,(Skills!Y22*(1+Inputs!$B$34/100))/(1/Q2234)))))+((C2215=TRUE)*F2215*3)+((C2217=TRUE)*F2217*(1-EXP(-0.75*B2250*5)))+((C2236=TRUE)*(F2236-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2223=TRUE)*F2223*IF(AND(Inputs!$B$39&lt;&gt;"pvp",Inputs!$B$44&gt;0),(((R2223-1)*MIN((Skills!Y11*(1+Inputs!$B$34/100)),(1/Q2223))+MIN((Skills!Y11*(1+Inputs!$B$34/100)),MAX(0,Inputs!$B$44-((R2223-1)*(1/Q2223)))))/Inputs!$B$44),IF(Inputs!$B$39="pvp",MIN((Skills!Y11*(1+Inputs!$B$34/100)),15)/15,MIN(1,(Skills!Y11*(1+Inputs!$B$34/100))/(1/Q2223)))))/100)*(1+((C2228=TRUE)*F2228*IF(AND(Inputs!$B$39&lt;&gt;"pvp",Inputs!$B$44&gt;0),(((R2228-1)*MIN((Skills!Y16*(1+Inputs!$B$34/100)),(1/Q2228))+MIN((Skills!Y16*(1+Inputs!$B$34/100)),MAX(0,Inputs!$B$44-((R2228-1)*(1/Q2228)))))/Inputs!$B$44),IF(Inputs!$B$39="pvp",MIN((Skills!Y16*(1+Inputs!$B$34/100)),15)/15,MIN(1,(Skills!Y16*(1+Inputs!$B$34/100))/(1/Q2228)))))/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2248*I2227)</f>
        <v/>
      </c>
      <c r="L2227">
        <f>K2227*(MIN(Inputs!$B$22+((C2237=TRUE)*(F2237-Calc!F25)),(Inputs!$B$23+((C2242=TRUE)*(F2242-Calc!F30))+IF(ArtifactsInput!$M$15,CHOOSE(ArtifactsInput!$N$15+1,25,30,35,40,45,50)/100*(Inputs!$B$11-Inputs!$B$11),0)))/100+(Inputs!$B$23+((C2242=TRUE)*(F2242-Calc!F30))+IF(ArtifactsInput!$M$15,CHOOSE(ArtifactsInput!$N$15+1,25,30,35,40,45,50)/100*(Inputs!$B$11-Inputs!$B$11),0))/100)/2</f>
        <v/>
      </c>
      <c r="M2227">
        <f>L2227*(1+(Inputs!$B$10+((C2239=TRUE)*(F2239-Calc!F27))+B2253+(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2227">
        <f>L2227*(1-MIN((Inputs!$B$9+((C2238=TRUE)*(F2238-Calc!F26))+B2246+(ArtifactsInput!$M$24-ArtifactsInput!$M$24)*CHOOSE(ArtifactsInput!$N$24+1,10,12,14,16,18,20)+(IF(AND(Inputs!$B$39&lt;&gt;"pvp",Inputs!$B$44=0),1,IF(IF(Inputs!$B$39="pvp",15,Inputs!$B$44)-(B2257)&lt;=0,1,MAX(0,IF(Inputs!$B$39="pvp",15,Inputs!$B$44)-MAX(5,B2257))/(IF(Inputs!$B$39="pvp",15,Inputs!$B$44)-(B2257))))*IF(AND(ArtifactsInput!$M$42,((Inputs!$B$9+((C2238=TRUE)*(F2238-Calc!F26))+B2246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2227*(MIN((Inputs!$B$9+((C2238=TRUE)*(F2238-Calc!F26))+B2246+(ArtifactsInput!$M$24-ArtifactsInput!$M$24)*CHOOSE(ArtifactsInput!$N$24+1,10,12,14,16,18,20)+(IF(AND(Inputs!$B$39&lt;&gt;"pvp",Inputs!$B$44=0),1,IF(IF(Inputs!$B$39="pvp",15,Inputs!$B$44)-(B2257)&lt;=0,1,MAX(0,IF(Inputs!$B$39="pvp",15,Inputs!$B$44)-MAX(5,B2257))/(IF(Inputs!$B$39="pvp",15,Inputs!$B$44)-(B2257))))*IF(AND(ArtifactsInput!$M$42,((Inputs!$B$9+((C2238=TRUE)*(F2238-Calc!F26))+B2246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227">
        <f>(1-Summary!$B$11)*T2227+Summary!$B$11*V2227</f>
        <v/>
      </c>
      <c r="P2227">
        <f>IF(B2258=0,0,O2227/B2258)</f>
        <v/>
      </c>
      <c r="Q2227">
        <f>IFERROR(1/IF(Inputs!$B$39="pvp",15,MAX(0.1,Skills!D15-IF(TRUE=TRUE,Inputs!$B$32,0))),0)</f>
        <v/>
      </c>
      <c r="R2227">
        <f>IF(AND(Inputs!$B$39&lt;&gt;"pvp",Inputs!$B$44&gt;0),IF(MAX(0,Inputs!$B$44-B2257)&lt;=0,0,(INT(MAX(0,Inputs!$B$44-B2257)/IF(Inputs!$B$39="pvp",15,MAX(0.1,Skills!D15-IF(TRUE=TRUE,Inputs!$B$32,0))))+1)),0)</f>
        <v/>
      </c>
      <c r="S2227">
        <f>IFERROR(O2227/N2227,0)</f>
        <v/>
      </c>
      <c r="T2227">
        <f>IF(C2227,(H2227*N2227*IF(AND(Inputs!$B$39&lt;&gt;"pvp",Inputs!$B$44&gt;0),((Skills!G15*((R2227-1)*IF(Skills!H15&gt;0,Skills!I15/Skills!H15,1)+IF(Skills!H15&gt;0,MIN(Skills!I15,MAX(0,MAX(0,Inputs!$B$44-B2257)-((R2227-1)*IF(Inputs!$B$39="pvp",15,MAX(0.1,Skills!D15-IF(TRUE=TRUE,Inputs!$B$32,0))))))/Skills!H15,1)))/Inputs!$B$44),G2227*Q2227))*IF(Inputs!$B$39="pvp",1,1+(Inputs!$B$20+0+Skills!P15+B2247+(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Hunt"),CHOOSE(ArtifactsInput!$N$35+1,15,18,21,24,27,30)*(1-EXP(-(0.2*B2250)*5)),0)+IF(AND(IF(ArtifactsInput!$M$22,FALSE,TRUE),Inputs!$B$4&lt;&gt;"Chapter Hunt"),CHOOSE(ArtifactsInput!$N$22+1,10,12,14,16,18,20)*((0*(((0.15*B2250*5))^0/1)+1*(((0.15*B2250*5))^1/1)+2*(((0.15*B2250*5))^2/2)+3*(((0.15*B2250*5))^3/6)+4*(((0.15*B2250*5))^4/24)+5*(((0.15*B2250*5))^5/120))/((((0.15*B2250*5))^0/1)+(((0.15*B2250*5))^1/1)+(((0.15*B2250*5))^2/2)+(((0.15*B2250*5))^3/6)+(((0.15*B2250*5))^4/24)+(((0.15*B2250*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2227*(1-MIN(100,(Inputs!$B$9+((C2238=TRUE)*(F2238-Calc!F26))+B2246+(ArtifactsInput!$M$24-ArtifactsInput!$M$24)*CHOOSE(ArtifactsInput!$N$24+1,10,12,14,16,18,20)+(IF(AND(Inputs!$B$39&lt;&gt;"pvp",Inputs!$B$44=0),1,IF(IF(Inputs!$B$39="pvp",15,Inputs!$B$44)-(B2257)&lt;=0,1,MAX(0,IF(Inputs!$B$39="pvp",15,Inputs!$B$44)-MAX(5,B2257))/(IF(Inputs!$B$39="pvp",15,Inputs!$B$44)-(B2257))))*IF(AND(ArtifactsInput!$M$42,((Inputs!$B$9+((C2238=TRUE)*(F2238-Calc!F26))+B2246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2227*(MIN(100,(Inputs!$B$9+((C2238=TRUE)*(F2238-Calc!F26))+B2246+(ArtifactsInput!$M$24-ArtifactsInput!$M$24)*CHOOSE(ArtifactsInput!$N$24+1,10,12,14,16,18,20)+(IF(AND(Inputs!$B$39&lt;&gt;"pvp",Inputs!$B$44=0),1,IF(IF(Inputs!$B$39="pvp",15,Inputs!$B$44)-(B2257)&lt;=0,1,MAX(0,IF(Inputs!$B$39="pvp",15,Inputs!$B$44)-MAX(5,B2257))/(IF(Inputs!$B$39="pvp",15,Inputs!$B$44)-(B2257))))*IF(AND(ArtifactsInput!$M$42,((Inputs!$B$9+((C2238=TRUE)*(F2238-Calc!F26))+B2246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2227*(1-MIN(100,(Inputs!$B$9+((C2238=TRUE)*(F2238-Calc!F26))+B2246+(ArtifactsInput!$M$24-ArtifactsInput!$M$24)*CHOOSE(ArtifactsInput!$N$24+1,10,12,14,16,18,20)+(IF(AND(Inputs!$B$39&lt;&gt;"pvp",Inputs!$B$44=0),1,IF(IF(Inputs!$B$39="pvp",15,Inputs!$B$44)-(B2257)&lt;=0,1,MAX(0,IF(Inputs!$B$39="pvp",15,Inputs!$B$44)-MAX(5,B2257))/(IF(Inputs!$B$39="pvp",15,Inputs!$B$44)-(B2257))))*IF(AND(ArtifactsInput!$M$42,((Inputs!$B$9+((C2238=TRUE)*(F2238-Calc!F26))+B2246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2227*(MIN(100,(Inputs!$B$9+((C2238=TRUE)*(F2238-Calc!F26))+B2246+(ArtifactsInput!$M$24-ArtifactsInput!$M$24)*CHOOSE(ArtifactsInput!$N$24+1,10,12,14,16,18,20)+(IF(AND(Inputs!$B$39&lt;&gt;"pvp",Inputs!$B$44=0),1,IF(IF(Inputs!$B$39="pvp",15,Inputs!$B$44)-(B2257)&lt;=0,1,MAX(0,IF(Inputs!$B$39="pvp",15,Inputs!$B$44)-MAX(5,B2257))/(IF(Inputs!$B$39="pvp",15,Inputs!$B$44)-(B2257))))*IF(AND(ArtifactsInput!$M$42,((Inputs!$B$9+((C2238=TRUE)*(F2238-Calc!F26))+B2246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227">
        <f>IF(C2227,(H2227*N2227*IF(AND(Inputs!$B$39&lt;&gt;"pvp",Inputs!$B$44&gt;0),((Skills!G15*((R2227-1)*IF(Skills!H15&gt;0,Skills!I15/Skills!H15,1)+IF(Skills!H15&gt;0,MIN(Skills!I15,MAX(0,MAX(0,Inputs!$B$44-B2257)-((R2227-1)*IF(Inputs!$B$39="pvp",15,MAX(0.1,Skills!D15-IF(TRUE=TRUE,Inputs!$B$32,0))))))/Skills!H15,1)))/Inputs!$B$44),G2227*Q2227))*IF(Inputs!$B$39="pvp",1,(1+(Inputs!$B$21+Skills!Q15+B2247+(IF(ArtifactsInput!$M$33,CHOOSE(ArtifactsInput!$N$33+1,30,36,42,48,54,60),0))+(IF(AND(ArtifactsInput!$M$35,Inputs!$B$4&lt;&gt;"Chapter Hunt"),CHOOSE(ArtifactsInput!$N$35+1,15,18,21,24,27,30)*(1-EXP(-(0.2*B2250)*5)),0)+IF(AND(IF(ArtifactsInput!$M$22,FALSE,TRUE),Inputs!$B$4&lt;&gt;"Chapter Hunt"),CHOOSE(ArtifactsInput!$N$22+1,10,12,14,16,18,20)*((0*(((0.15*B2250*5))^0/1)+1*(((0.15*B2250*5))^1/1)+2*(((0.15*B2250*5))^2/2)+3*(((0.15*B2250*5))^3/6)+4*(((0.15*B2250*5))^4/24)+5*(((0.15*B2250*5))^5/120))/((((0.15*B2250*5))^0/1)+(((0.15*B2250*5))^1/1)+(((0.15*B2250*5))^2/2)+(((0.15*B2250*5))^3/6)+(((0.15*B2250*5))^4/24)+(((0.15*B2250*5))^5/120))),0)))/100)*(MIN(MIN(5,0.5*IF(Inputs!$B$3&gt;=75,0.75,0.5)*B2250*(1/Q2216))*Skills!V15,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228">
      <c r="A2228">
        <f>Skills!A16</f>
        <v/>
      </c>
      <c r="B2228">
        <f>Skills!B16</f>
        <v/>
      </c>
      <c r="C2228">
        <f>Inputs!$B$3&gt;=110</f>
        <v/>
      </c>
      <c r="D2228">
        <f>IF(Skills!C16=1,60+Inputs!$B$25+Inputs!$B$29,IF(Skills!C16=2,90+Inputs!$B$26+Inputs!$B$29,IF(Skills!C16=3,120+Inputs!$B$27+Inputs!$B$29,MAX(0,(Inputs!$B$3-100)*3)+Inputs!$B$28+Inputs!$B$29)))</f>
        <v/>
      </c>
      <c r="E2228">
        <f>INDEX(FactorTable!$B$2:$Y$301, MATCH(ROUND(MIN(300,MAX(1,D2228)),0), FactorTable!$A$2:$A$301,0), Skills!M16+1)</f>
        <v/>
      </c>
      <c r="F2228">
        <f>IF(Skills!N16=TRUE,(Skills!L16/10)*(E2228/1000),Skills!L16/10)+Skills!O16</f>
        <v/>
      </c>
      <c r="G2228">
        <f>Skills!G16*IF(Skills!H16&gt;0,IF(Inputs!$B$39="pvp",MIN(Skills!I16,15),Skills!I16)/Skills!H16,1)</f>
        <v/>
      </c>
      <c r="H2228">
        <f>1-(1-Skills!J16/100)^Skills!K16</f>
        <v/>
      </c>
      <c r="I2228" t="inlineStr">
        <is>
          <t>1</t>
        </is>
      </c>
      <c r="J2228" t="inlineStr"/>
      <c r="K2228" t="inlineStr"/>
      <c r="L2228" t="inlineStr"/>
      <c r="M2228" t="inlineStr"/>
      <c r="N2228" t="inlineStr"/>
      <c r="O2228">
        <f>(1-Summary!$B$11)*T2228+Summary!$B$11*V2228</f>
        <v/>
      </c>
      <c r="P2228">
        <f>IF(B2258=0,0,O2228/B2258)</f>
        <v/>
      </c>
      <c r="Q2228">
        <f>IFERROR(1/IF(Inputs!$B$39="pvp",15,MAX(0.1,Skills!D16-IF(TRUE=TRUE,Inputs!$B$32,0))),0)</f>
        <v/>
      </c>
      <c r="R2228">
        <f>IF(AND(Inputs!$B$39&lt;&gt;"pvp",Inputs!$B$44&gt;0),IF(Inputs!$B$44&lt;=0,0,(INT(Inputs!$B$44/IF(Inputs!$B$39="pvp",15,MAX(0.1,Skills!D16-IF(TRUE=TRUE,Inputs!$B$32,0))))+1)),0)</f>
        <v/>
      </c>
      <c r="S2228">
        <f>IFERROR(O2228/N2228,0)</f>
        <v/>
      </c>
      <c r="T2228" t="n">
        <v>0</v>
      </c>
      <c r="V2228" t="n">
        <v>0</v>
      </c>
    </row>
    <row r="2229">
      <c r="A2229">
        <f>Skills!A17</f>
        <v/>
      </c>
      <c r="B2229">
        <f>Skills!B17</f>
        <v/>
      </c>
      <c r="C2229">
        <f>Inputs!$B$3&gt;=115</f>
        <v/>
      </c>
      <c r="D2229">
        <f>IF(Skills!C17=1,60+Inputs!$B$25+Inputs!$B$29,IF(Skills!C17=2,90+Inputs!$B$26+Inputs!$B$29,IF(Skills!C17=3,120+Inputs!$B$27+Inputs!$B$29,MAX(0,(Inputs!$B$3-100)*3)+Inputs!$B$28+Inputs!$B$29)))</f>
        <v/>
      </c>
      <c r="E2229">
        <f>INDEX(FactorTable!$B$2:$Y$301, MATCH(ROUND(MIN(300,MAX(1,D2229)),0), FactorTable!$A$2:$A$301,0), Skills!M17+1)</f>
        <v/>
      </c>
      <c r="F2229">
        <f>IF(Skills!N17=TRUE,(Skills!L17/10)*(E2229/1000),Skills!L17/10)+Skills!O17</f>
        <v/>
      </c>
      <c r="G2229">
        <f>Skills!G17*IF(Skills!H17&gt;0,IF(Inputs!$B$39="pvp",MIN(Skills!I17,15),Skills!I17)/Skills!H17,1)</f>
        <v/>
      </c>
      <c r="H2229">
        <f>1-(1-Skills!J17/100)^Skills!K17</f>
        <v/>
      </c>
      <c r="I2229" t="inlineStr">
        <is>
          <t>1</t>
        </is>
      </c>
      <c r="J2229">
        <f>((Inputs!$B$6*(1+Inputs!$B$7/100))+(((Inputs!$B$12*(1+Inputs!$B$13/100))-(Inputs!$B$12*(1+Inputs!$B$13/100)))+0.25*(Inputs!$B$14-Inputs!$B$14))*(1+Inputs!$B$7/100))*(F2229/100)</f>
        <v/>
      </c>
      <c r="K2229">
        <f>J2229*(1+((Inputs!$B$12*(1+Inputs!$B$13/100))*0.01+Inputs!$B$14*0.0025)/100)*(1+Inputs!$B$15/100)*(1+Inputs!$B$16/100)*(5000/(6000+Inputs!$B$43*(1-(100*(1-(1-Inputs!$B$19/100)*(1-CHOOSE(ArtifactsInput!$N$40+1,5,6,7,8,9,10)/100)^(ArtifactsInput!$M$40-ArtifactsInput!$M$40)))/100)))*(1+(Inputs!$B$24+((C2243=TRUE)*(F2243-Calc!F31))+((C2230=TRUE)*(F2230-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17="CRUEL_STAB",Inputs!$B$17+((C2240=TRUE)*(F2240-Calc!F28))+((IF(AND(Inputs!$B$39&lt;&gt;"pvp",Inputs!$B$44=0),1,IF(IF(Inputs!$B$39="pvp",15,Inputs!$B$44)-(B2257)&lt;=0,1,MAX(0,IF(Inputs!$B$39="pvp",15,Inputs!$B$44)-MAX(5,B2257))/(IF(Inputs!$B$39="pvp",15,Inputs!$B$44)-(B2257))))*(IF(AND(ArtifactsInput!$M$42,((Inputs!$B$9+((C2238=TRUE)*(F2238-Calc!F26))+B2246+(ArtifactsInput!$M$24-ArtifactsInput!$M$24)*CHOOSE(ArtifactsInput!$N$24+1,10,12,14,16,18,20)+IF(ArtifactsInput!$M$10,CHOOSE(ArtifactsInput!$N$10+1,15,18,21,24,27,30)*(IF(Inputs!$B$39="pvp",MIN(15,15)/15,IF(AND(Inputs!$B$39&lt;&gt;"pvp",Inputs!$B$44&gt;0),MIN(15,Inputs!$B$44)/(Inputs!$B$44),0))),0)))&gt;=100),MIN(100,((Inputs!$B$9+((C2238=TRUE)*(F2238-Calc!F26))+B2246+(ArtifactsInput!$M$24-ArtifactsInput!$M$24)*CHOOSE(ArtifactsInput!$N$24+1,10,12,14,16,18,20)+IF(ArtifactsInput!$M$10,CHOOSE(ArtifactsInput!$N$10+1,15,18,21,24,27,30)*(IF(Inputs!$B$39="pvp",MIN(15,15)/15,IF(AND(Inputs!$B$39&lt;&gt;"pvp",Inputs!$B$44&gt;0),MIN(15,Inputs!$B$44)/(Inputs!$B$44),0))),0)))-100),0))*CHOOSE(ArtifactsInput!$N$42+1,0.6,0.72,0.84,0.96,1.08,1.2))),Inputs!$B$18+((C2241=TRUE)*(F2241-Calc!F29))+(IF(AND(Inputs!$B$39&lt;&gt;"pvp",Inputs!$B$44=0),1,IF(IF(Inputs!$B$39="pvp",15,Inputs!$B$44)-(B2257)&lt;=0,1,MAX(0,IF(Inputs!$B$39="pvp",15,Inputs!$B$44)-MAX(5,B2257))/(IF(Inputs!$B$39="pvp",15,Inputs!$B$44)-(B2257))))*IF(AND(ArtifactsInput!$M$42,((Inputs!$B$9+((C2238=TRUE)*(F2238-Calc!F26))+B2246+(ArtifactsInput!$M$24-ArtifactsInput!$M$24)*CHOOSE(ArtifactsInput!$N$24+1,10,12,14,16,18,20)+IF(ArtifactsInput!$M$10,CHOOSE(ArtifactsInput!$N$10+1,15,18,21,24,27,30)*(IF(Inputs!$B$39="pvp",MIN(15,15)/15,IF(AND(Inputs!$B$39&lt;&gt;"pvp",Inputs!$B$44&gt;0),MIN(15,Inputs!$B$44)/(Inputs!$B$44),0))),0)))&gt;=100),CHOOSE(ArtifactsInput!$N$42+1,40,48,56,64,72,80),0))))/100)*(((1+(((C2234=TRUE)*F2234*IF(AND(Inputs!$B$39&lt;&gt;"pvp",Inputs!$B$44&gt;0),(((R2234-1)*MIN((Skills!Y22*(1+Inputs!$B$34/100)),(1/Q2234))+MIN((Skills!Y22*(1+Inputs!$B$34/100)),MAX(0,Inputs!$B$44-((R2234-1)*(1/Q2234)))))/Inputs!$B$44),IF(Inputs!$B$39="pvp",MIN((Skills!Y22*(1+Inputs!$B$34/100)),15)/15,MIN(1,(Skills!Y22*(1+Inputs!$B$34/100))/(1/Q2234)))))+((C2215=TRUE)*F2215*3)+((C2217=TRUE)*F2217*(1-EXP(-0.75*B2250*5)))+((C2236=TRUE)*(F2236-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2223=TRUE)*F2223*IF(AND(Inputs!$B$39&lt;&gt;"pvp",Inputs!$B$44&gt;0),(((R2223-1)*MIN((Skills!Y11*(1+Inputs!$B$34/100)),(1/Q2223))+MIN((Skills!Y11*(1+Inputs!$B$34/100)),MAX(0,Inputs!$B$44-((R2223-1)*(1/Q2223)))))/Inputs!$B$44),IF(Inputs!$B$39="pvp",MIN((Skills!Y11*(1+Inputs!$B$34/100)),15)/15,MIN(1,(Skills!Y11*(1+Inputs!$B$34/100))/(1/Q2223)))))/100)*(1+((C2228=TRUE)*F2228*IF(AND(Inputs!$B$39&lt;&gt;"pvp",Inputs!$B$44&gt;0),(((R2228-1)*MIN((Skills!Y16*(1+Inputs!$B$34/100)),(1/Q2228))+MIN((Skills!Y16*(1+Inputs!$B$34/100)),MAX(0,Inputs!$B$44-((R2228-1)*(1/Q2228)))))/Inputs!$B$44),IF(Inputs!$B$39="pvp",MIN((Skills!Y16*(1+Inputs!$B$34/100)),15)/15,MIN(1,(Skills!Y16*(1+Inputs!$B$34/100))/(1/Q2228)))))/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2248*I2229)</f>
        <v/>
      </c>
      <c r="L2229">
        <f>K2229*(MIN(Inputs!$B$22+((C2237=TRUE)*(F2237-Calc!F25)),(Inputs!$B$23+((C2242=TRUE)*(F2242-Calc!F30))+IF(ArtifactsInput!$M$15,CHOOSE(ArtifactsInput!$N$15+1,25,30,35,40,45,50)/100*(Inputs!$B$11-Inputs!$B$11),0)))/100+(Inputs!$B$23+((C2242=TRUE)*(F2242-Calc!F30))+IF(ArtifactsInput!$M$15,CHOOSE(ArtifactsInput!$N$15+1,25,30,35,40,45,50)/100*(Inputs!$B$11-Inputs!$B$11),0))/100)/2</f>
        <v/>
      </c>
      <c r="M2229">
        <f>L2229*(1+(Inputs!$B$10+((C2239=TRUE)*(F2239-Calc!F27))+B2253+(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2229">
        <f>L2229*(1-MIN((Inputs!$B$9+((C2238=TRUE)*(F2238-Calc!F26))+B2246+(ArtifactsInput!$M$24-ArtifactsInput!$M$24)*CHOOSE(ArtifactsInput!$N$24+1,10,12,14,16,18,20)+(IF(AND(Inputs!$B$39&lt;&gt;"pvp",Inputs!$B$44=0),1,IF(IF(Inputs!$B$39="pvp",15,Inputs!$B$44)-(B2257)&lt;=0,1,MAX(0,IF(Inputs!$B$39="pvp",15,Inputs!$B$44)-MAX(5,B2257))/(IF(Inputs!$B$39="pvp",15,Inputs!$B$44)-(B2257))))*IF(AND(ArtifactsInput!$M$42,((Inputs!$B$9+((C2238=TRUE)*(F2238-Calc!F26))+B2246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2229*(MIN((Inputs!$B$9+((C2238=TRUE)*(F2238-Calc!F26))+B2246+(ArtifactsInput!$M$24-ArtifactsInput!$M$24)*CHOOSE(ArtifactsInput!$N$24+1,10,12,14,16,18,20)+(IF(AND(Inputs!$B$39&lt;&gt;"pvp",Inputs!$B$44=0),1,IF(IF(Inputs!$B$39="pvp",15,Inputs!$B$44)-(B2257)&lt;=0,1,MAX(0,IF(Inputs!$B$39="pvp",15,Inputs!$B$44)-MAX(5,B2257))/(IF(Inputs!$B$39="pvp",15,Inputs!$B$44)-(B2257))))*IF(AND(ArtifactsInput!$M$42,((Inputs!$B$9+((C2238=TRUE)*(F2238-Calc!F26))+B2246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229">
        <f>(1-Summary!$B$11)*T2229+Summary!$B$11*V2229</f>
        <v/>
      </c>
      <c r="P2229">
        <f>IF(B2258=0,0,O2229/B2258)</f>
        <v/>
      </c>
      <c r="Q2229" t="n">
        <v>0</v>
      </c>
      <c r="R2229" t="n">
        <v>0</v>
      </c>
      <c r="S2229">
        <f>IFERROR(O2229/N2229,0)</f>
        <v/>
      </c>
      <c r="T2229">
        <f>IF(C2229,(Inputs!$B$38*0.2*N2229)*IF(Inputs!$B$39="pvp",1,1+(Inputs!$B$20+0+Skills!P17+B2247+(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Hunt"),CHOOSE(ArtifactsInput!$N$35+1,15,18,21,24,27,30)*(1-EXP(-(0.2*B2250)*5)),0)+IF(AND(IF(ArtifactsInput!$M$22,FALSE,TRUE),Inputs!$B$4&lt;&gt;"Chapter Hunt"),CHOOSE(ArtifactsInput!$N$22+1,10,12,14,16,18,20)*((0*(((0.15*B2250*5))^0/1)+1*(((0.15*B2250*5))^1/1)+2*(((0.15*B2250*5))^2/2)+3*(((0.15*B2250*5))^3/6)+4*(((0.15*B2250*5))^4/24)+5*(((0.15*B2250*5))^5/120))/((((0.15*B2250*5))^0/1)+(((0.15*B2250*5))^1/1)+(((0.15*B2250*5))^2/2)+(((0.15*B2250*5))^3/6)+(((0.15*B2250*5))^4/24)+(((0.15*B2250*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2229*(1-MIN(100,(Inputs!$B$9+((C2238=TRUE)*(F2238-Calc!F26))+B2246+(ArtifactsInput!$M$24-ArtifactsInput!$M$24)*CHOOSE(ArtifactsInput!$N$24+1,10,12,14,16,18,20)+(IF(AND(Inputs!$B$39&lt;&gt;"pvp",Inputs!$B$44=0),1,IF(IF(Inputs!$B$39="pvp",15,Inputs!$B$44)-(B2257)&lt;=0,1,MAX(0,IF(Inputs!$B$39="pvp",15,Inputs!$B$44)-MAX(5,B2257))/(IF(Inputs!$B$39="pvp",15,Inputs!$B$44)-(B2257))))*IF(AND(ArtifactsInput!$M$42,((Inputs!$B$9+((C2238=TRUE)*(F2238-Calc!F26))+B2246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2229*(MIN(100,(Inputs!$B$9+((C2238=TRUE)*(F2238-Calc!F26))+B2246+(ArtifactsInput!$M$24-ArtifactsInput!$M$24)*CHOOSE(ArtifactsInput!$N$24+1,10,12,14,16,18,20)+(IF(AND(Inputs!$B$39&lt;&gt;"pvp",Inputs!$B$44=0),1,IF(IF(Inputs!$B$39="pvp",15,Inputs!$B$44)-(B2257)&lt;=0,1,MAX(0,IF(Inputs!$B$39="pvp",15,Inputs!$B$44)-MAX(5,B2257))/(IF(Inputs!$B$39="pvp",15,Inputs!$B$44)-(B2257))))*IF(AND(ArtifactsInput!$M$42,((Inputs!$B$9+((C2238=TRUE)*(F2238-Calc!F26))+B2246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2229*(1-MIN(100,(Inputs!$B$9+((C2238=TRUE)*(F2238-Calc!F26))+B2246+(ArtifactsInput!$M$24-ArtifactsInput!$M$24)*CHOOSE(ArtifactsInput!$N$24+1,10,12,14,16,18,20)+(IF(AND(Inputs!$B$39&lt;&gt;"pvp",Inputs!$B$44=0),1,IF(IF(Inputs!$B$39="pvp",15,Inputs!$B$44)-(B2257)&lt;=0,1,MAX(0,IF(Inputs!$B$39="pvp",15,Inputs!$B$44)-MAX(5,B2257))/(IF(Inputs!$B$39="pvp",15,Inputs!$B$44)-(B2257))))*IF(AND(ArtifactsInput!$M$42,((Inputs!$B$9+((C2238=TRUE)*(F2238-Calc!F26))+B2246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2229*(MIN(100,(Inputs!$B$9+((C2238=TRUE)*(F2238-Calc!F26))+B2246+(ArtifactsInput!$M$24-ArtifactsInput!$M$24)*CHOOSE(ArtifactsInput!$N$24+1,10,12,14,16,18,20)+(IF(AND(Inputs!$B$39&lt;&gt;"pvp",Inputs!$B$44=0),1,IF(IF(Inputs!$B$39="pvp",15,Inputs!$B$44)-(B2257)&lt;=0,1,MAX(0,IF(Inputs!$B$39="pvp",15,Inputs!$B$44)-MAX(5,B2257))/(IF(Inputs!$B$39="pvp",15,Inputs!$B$44)-(B2257))))*IF(AND(ArtifactsInput!$M$42,((Inputs!$B$9+((C2238=TRUE)*(F2238-Calc!F26))+B2246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229">
        <f>IF(C2229,(Inputs!$B$38*0.2*N2229)*IF(Inputs!$B$39="pvp",1,(1+(Inputs!$B$21+Skills!Q17+B2247+(IF(ArtifactsInput!$M$33,CHOOSE(ArtifactsInput!$N$33+1,30,36,42,48,54,60),0))+(IF(AND(ArtifactsInput!$M$35,Inputs!$B$4&lt;&gt;"Chapter Hunt"),CHOOSE(ArtifactsInput!$N$35+1,15,18,21,24,27,30)*(1-EXP(-(0.2*B2250)*5)),0)+IF(AND(IF(ArtifactsInput!$M$22,FALSE,TRUE),Inputs!$B$4&lt;&gt;"Chapter Hunt"),CHOOSE(ArtifactsInput!$N$22+1,10,12,14,16,18,20)*((0*(((0.15*B2250*5))^0/1)+1*(((0.15*B2250*5))^1/1)+2*(((0.15*B2250*5))^2/2)+3*(((0.15*B2250*5))^3/6)+4*(((0.15*B2250*5))^4/24)+5*(((0.15*B2250*5))^5/120))/((((0.15*B2250*5))^0/1)+(((0.15*B2250*5))^1/1)+(((0.15*B2250*5))^2/2)+(((0.15*B2250*5))^3/6)+(((0.15*B2250*5))^4/24)+(((0.15*B2250*5))^5/120))),0)))/100)*(MIN(Skills!W17,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230">
      <c r="A2230">
        <f>Skills!A18</f>
        <v/>
      </c>
      <c r="B2230">
        <f>Skills!B18</f>
        <v/>
      </c>
      <c r="C2230">
        <f>Inputs!$B$3&gt;=115</f>
        <v/>
      </c>
      <c r="D2230">
        <f>IF(Skills!C18=1,60+Inputs!$B$25+Inputs!$B$29,IF(Skills!C18=2,90+Inputs!$B$26+Inputs!$B$29,IF(Skills!C18=3,120+Inputs!$B$27+Inputs!$B$29,MAX(0,(Inputs!$B$3-100)*3)+Inputs!$B$28+Inputs!$B$29)))</f>
        <v/>
      </c>
      <c r="E2230">
        <f>INDEX(FactorTable!$B$2:$Y$301, MATCH(ROUND(MIN(300,MAX(1,D2230)),0), FactorTable!$A$2:$A$301,0), Skills!M18+1)</f>
        <v/>
      </c>
      <c r="F2230">
        <f>IF(Skills!N18=TRUE,(Skills!L18/10)*(E2230/1000),Skills!L18/10)+Skills!O18</f>
        <v/>
      </c>
      <c r="G2230">
        <f>Skills!G18*IF(Skills!H18&gt;0,IF(Inputs!$B$39="pvp",MIN(Skills!I18,15),Skills!I18)/Skills!H18,1)</f>
        <v/>
      </c>
      <c r="H2230">
        <f>1-(1-Skills!J18/100)^Skills!K18</f>
        <v/>
      </c>
      <c r="I2230" t="inlineStr">
        <is>
          <t>1</t>
        </is>
      </c>
      <c r="J2230" t="inlineStr"/>
      <c r="K2230" t="inlineStr"/>
      <c r="L2230" t="inlineStr"/>
      <c r="M2230" t="inlineStr"/>
      <c r="N2230" t="inlineStr"/>
      <c r="O2230">
        <f>(1-Summary!$B$11)*T2230+Summary!$B$11*V2230</f>
        <v/>
      </c>
      <c r="P2230">
        <f>IF(B2258=0,0,O2230/B2258)</f>
        <v/>
      </c>
      <c r="Q2230" t="n">
        <v>0</v>
      </c>
      <c r="R2230" t="n">
        <v>0</v>
      </c>
      <c r="S2230">
        <f>IFERROR(O2230/N2230,0)</f>
        <v/>
      </c>
      <c r="T2230" t="n">
        <v>0</v>
      </c>
      <c r="V2230" t="n">
        <v>0</v>
      </c>
    </row>
    <row r="2231">
      <c r="A2231">
        <f>Skills!A19</f>
        <v/>
      </c>
      <c r="B2231">
        <f>Skills!B19</f>
        <v/>
      </c>
      <c r="C2231">
        <f>Inputs!$B$3&gt;=100</f>
        <v/>
      </c>
      <c r="D2231">
        <f>IF(Skills!C19=1,60+Inputs!$B$25+Inputs!$B$29,IF(Skills!C19=2,90+Inputs!$B$26+Inputs!$B$29,IF(Skills!C19=3,120+Inputs!$B$27+Inputs!$B$29,MAX(0,(Inputs!$B$3-100)*3)+Inputs!$B$28+Inputs!$B$29)))</f>
        <v/>
      </c>
      <c r="E2231">
        <f>INDEX(FactorTable!$B$2:$Y$301, MATCH(ROUND(MIN(300,MAX(1,D2231)),0), FactorTable!$A$2:$A$301,0), Skills!M19+1)</f>
        <v/>
      </c>
      <c r="F2231">
        <f>IF(Skills!N19=TRUE,(Skills!L19/10)*(E2231/1000),Skills!L19/10)+Skills!O19</f>
        <v/>
      </c>
      <c r="G2231">
        <f>Skills!G19*IF(Skills!H19&gt;0,IF(Inputs!$B$39="pvp",MIN(Skills!I19,15),Skills!I19)/Skills!H19,1)</f>
        <v/>
      </c>
      <c r="H2231">
        <f>1-(1-Skills!J19/100)^Skills!K19</f>
        <v/>
      </c>
      <c r="I2231" t="inlineStr">
        <is>
          <t>1</t>
        </is>
      </c>
      <c r="J2231" t="inlineStr"/>
      <c r="K2231" t="inlineStr"/>
      <c r="L2231" t="inlineStr"/>
      <c r="M2231" t="inlineStr"/>
      <c r="N2231" t="inlineStr"/>
      <c r="O2231">
        <f>(1-Summary!$B$11)*T2231+Summary!$B$11*V2231</f>
        <v/>
      </c>
      <c r="P2231">
        <f>IF(B2258=0,0,O2231/B2258)</f>
        <v/>
      </c>
      <c r="Q2231" t="n">
        <v>0</v>
      </c>
      <c r="R2231" t="n">
        <v>0</v>
      </c>
      <c r="S2231">
        <f>IFERROR(O2231/N2231,0)</f>
        <v/>
      </c>
      <c r="T2231" t="n">
        <v>0</v>
      </c>
      <c r="V2231" t="n">
        <v>0</v>
      </c>
    </row>
    <row r="2232">
      <c r="A2232">
        <f>Skills!A20</f>
        <v/>
      </c>
      <c r="B2232">
        <f>Skills!B20</f>
        <v/>
      </c>
      <c r="C2232">
        <f>TRUE</f>
        <v/>
      </c>
      <c r="D2232">
        <f>IF(Skills!C20=1,60+Inputs!$B$25+Inputs!$B$29,IF(Skills!C20=2,90+Inputs!$B$26+Inputs!$B$29,IF(Skills!C20=3,120+Inputs!$B$27+Inputs!$B$29,MAX(0,(Inputs!$B$3-100)*3)+Inputs!$B$28+Inputs!$B$29)))</f>
        <v/>
      </c>
      <c r="E2232">
        <f>INDEX(FactorTable!$B$2:$Y$301, MATCH(ROUND(MIN(300,MAX(1,D2232)),0), FactorTable!$A$2:$A$301,0), Skills!M20+1)</f>
        <v/>
      </c>
      <c r="F2232">
        <f>IF(Skills!N20=TRUE,(Skills!L20/10)*(E2232/1000),Skills!L20/10)+Skills!O20</f>
        <v/>
      </c>
      <c r="G2232">
        <f>Skills!G20*IF(Skills!H20&gt;0,IF(Inputs!$B$39="pvp",MIN(Skills!I20,15),Skills!I20)/Skills!H20,1)</f>
        <v/>
      </c>
      <c r="H2232">
        <f>1-(1-Skills!J20/100)^Skills!K20</f>
        <v/>
      </c>
      <c r="I2232" t="inlineStr">
        <is>
          <t>1</t>
        </is>
      </c>
      <c r="J2232" t="inlineStr"/>
      <c r="K2232" t="inlineStr"/>
      <c r="L2232" t="inlineStr"/>
      <c r="M2232" t="inlineStr"/>
      <c r="N2232" t="inlineStr"/>
      <c r="O2232">
        <f>(1-Summary!$B$11)*T2232+Summary!$B$11*V2232</f>
        <v/>
      </c>
      <c r="P2232">
        <f>IF(B2258=0,0,O2232/B2258)</f>
        <v/>
      </c>
      <c r="Q2232">
        <f>IFERROR(1/IF(Inputs!$B$39="pvp",15,MAX(0.1,Skills!D20-IF(TRUE=TRUE,Inputs!$B$32,0))),0)</f>
        <v/>
      </c>
      <c r="R2232">
        <f>IF(AND(Inputs!$B$39&lt;&gt;"pvp",Inputs!$B$44&gt;0),IF(Inputs!$B$44&lt;=0,0,(INT(Inputs!$B$44/IF(Inputs!$B$39="pvp",15,MAX(0.1,Skills!D20-IF(TRUE=TRUE,Inputs!$B$32,0))))+1)),0)</f>
        <v/>
      </c>
      <c r="S2232">
        <f>IFERROR(O2232/N2232,0)</f>
        <v/>
      </c>
      <c r="T2232" t="n">
        <v>0</v>
      </c>
      <c r="V2232" t="n">
        <v>0</v>
      </c>
    </row>
    <row r="2233">
      <c r="A2233">
        <f>Skills!A21</f>
        <v/>
      </c>
      <c r="B2233">
        <f>Skills!B21</f>
        <v/>
      </c>
      <c r="C2233">
        <f>Inputs!$B$3&gt;=15</f>
        <v/>
      </c>
      <c r="D2233">
        <f>IF(Skills!C21=1,60+Inputs!$B$25+Inputs!$B$29,IF(Skills!C21=2,90+Inputs!$B$26+Inputs!$B$29,IF(Skills!C21=3,120+Inputs!$B$27+Inputs!$B$29,MAX(0,(Inputs!$B$3-100)*3)+Inputs!$B$28+Inputs!$B$29)))</f>
        <v/>
      </c>
      <c r="E2233">
        <f>INDEX(FactorTable!$B$2:$Y$301, MATCH(ROUND(MIN(300,MAX(1,D2233)),0), FactorTable!$A$2:$A$301,0), Skills!M21+1)</f>
        <v/>
      </c>
      <c r="F2233">
        <f>IF(Skills!N21=TRUE,(Skills!L21/10)*(E2233/1000),Skills!L21/10)+Skills!O21</f>
        <v/>
      </c>
      <c r="G2233">
        <f>Skills!G21*IF(Skills!H21&gt;0,IF(Inputs!$B$39="pvp",MIN(Skills!I21,15),Skills!I21)/Skills!H21,1)</f>
        <v/>
      </c>
      <c r="H2233">
        <f>1-(1-Skills!J21/100)^Skills!K21</f>
        <v/>
      </c>
      <c r="I2233" t="inlineStr">
        <is>
          <t>1</t>
        </is>
      </c>
      <c r="J2233" t="inlineStr"/>
      <c r="K2233" t="inlineStr"/>
      <c r="L2233" t="inlineStr"/>
      <c r="M2233" t="inlineStr"/>
      <c r="N2233" t="inlineStr"/>
      <c r="O2233">
        <f>(1-Summary!$B$11)*T2233+Summary!$B$11*V2233</f>
        <v/>
      </c>
      <c r="P2233">
        <f>IF(B2258=0,0,O2233/B2258)</f>
        <v/>
      </c>
      <c r="Q2233">
        <f>IFERROR(1/IF(Inputs!$B$39="pvp",15,MAX(0.1,Skills!D21-IF(TRUE=TRUE,Inputs!$B$32,0))),0)</f>
        <v/>
      </c>
      <c r="R2233">
        <f>IF(AND(Inputs!$B$39&lt;&gt;"pvp",Inputs!$B$44&gt;0),IF(Inputs!$B$44&lt;=0,0,(INT(Inputs!$B$44/IF(Inputs!$B$39="pvp",15,MAX(0.1,Skills!D21-IF(TRUE=TRUE,Inputs!$B$32,0))))+1)),0)</f>
        <v/>
      </c>
      <c r="S2233">
        <f>IFERROR(O2233/N2233,0)</f>
        <v/>
      </c>
      <c r="T2233" t="n">
        <v>0</v>
      </c>
      <c r="V2233" t="n">
        <v>0</v>
      </c>
    </row>
    <row r="2234">
      <c r="A2234">
        <f>Skills!A22</f>
        <v/>
      </c>
      <c r="B2234">
        <f>Skills!B22</f>
        <v/>
      </c>
      <c r="C2234">
        <f>Inputs!$B$3&gt;=15</f>
        <v/>
      </c>
      <c r="D2234">
        <f>IF(Skills!C22=1,60+Inputs!$B$25+Inputs!$B$29,IF(Skills!C22=2,90+Inputs!$B$26+Inputs!$B$29,IF(Skills!C22=3,120+Inputs!$B$27+Inputs!$B$29,MAX(0,(Inputs!$B$3-100)*3)+Inputs!$B$28+Inputs!$B$29)))</f>
        <v/>
      </c>
      <c r="E2234">
        <f>INDEX(FactorTable!$B$2:$Y$301, MATCH(ROUND(MIN(300,MAX(1,D2234)),0), FactorTable!$A$2:$A$301,0), Skills!M22+1)</f>
        <v/>
      </c>
      <c r="F2234">
        <f>IF(Skills!N22=TRUE,(Skills!L22/10)*(E2234/1000),Skills!L22/10)+Skills!O22</f>
        <v/>
      </c>
      <c r="G2234">
        <f>Skills!G22*IF(Skills!H22&gt;0,IF(Inputs!$B$39="pvp",MIN(Skills!I22,15),Skills!I22)/Skills!H22,1)</f>
        <v/>
      </c>
      <c r="H2234">
        <f>1-(1-Skills!J22/100)^Skills!K22</f>
        <v/>
      </c>
      <c r="I2234" t="inlineStr">
        <is>
          <t>1</t>
        </is>
      </c>
      <c r="J2234" t="inlineStr"/>
      <c r="K2234" t="inlineStr"/>
      <c r="L2234" t="inlineStr"/>
      <c r="M2234" t="inlineStr"/>
      <c r="N2234" t="inlineStr"/>
      <c r="O2234">
        <f>(1-Summary!$B$11)*T2234+Summary!$B$11*V2234</f>
        <v/>
      </c>
      <c r="P2234">
        <f>IF(B2258=0,0,O2234/B2258)</f>
        <v/>
      </c>
      <c r="Q2234">
        <f>IFERROR(1/IF(Inputs!$B$39="pvp",15,MAX(0.1,Skills!D22-IF(TRUE=TRUE,Inputs!$B$32,0))),0)</f>
        <v/>
      </c>
      <c r="R2234">
        <f>IF(AND(Inputs!$B$39&lt;&gt;"pvp",Inputs!$B$44&gt;0),IF(Inputs!$B$44&lt;=0,0,(INT(Inputs!$B$44/IF(Inputs!$B$39="pvp",15,MAX(0.1,Skills!D22-IF(TRUE=TRUE,Inputs!$B$32,0))))+1)),0)</f>
        <v/>
      </c>
      <c r="S2234">
        <f>IFERROR(O2234/N2234,0)</f>
        <v/>
      </c>
      <c r="T2234" t="n">
        <v>0</v>
      </c>
      <c r="V2234" t="n">
        <v>0</v>
      </c>
    </row>
    <row r="2235">
      <c r="A2235">
        <f>Skills!A23</f>
        <v/>
      </c>
      <c r="B2235">
        <f>Skills!B23</f>
        <v/>
      </c>
      <c r="C2235">
        <f>Inputs!$B$3&gt;=33</f>
        <v/>
      </c>
      <c r="D2235">
        <f>IF(Skills!C23=1,60+Inputs!$B$25+Inputs!$B$29,IF(Skills!C23=2,90+Inputs!$B$26+Inputs!$B$29,IF(Skills!C23=3,120+Inputs!$B$27+Inputs!$B$29,MAX(0,(Inputs!$B$3-100)*3)+Inputs!$B$28+Inputs!$B$29)))</f>
        <v/>
      </c>
      <c r="E2235">
        <f>INDEX(FactorTable!$B$2:$Y$301, MATCH(ROUND(MIN(300,MAX(1,D2235)),0), FactorTable!$A$2:$A$301,0), Skills!M23+1)</f>
        <v/>
      </c>
      <c r="F2235">
        <f>IF(Skills!N23=TRUE,(Skills!L23/10)*(E2235/1000),Skills!L23/10)+Skills!O23</f>
        <v/>
      </c>
      <c r="G2235">
        <f>Skills!G23*IF(Skills!H23&gt;0,IF(Inputs!$B$39="pvp",MIN(Skills!I23,15),Skills!I23)/Skills!H23,1)</f>
        <v/>
      </c>
      <c r="H2235">
        <f>1-(1-Skills!J23/100)^Skills!K23</f>
        <v/>
      </c>
      <c r="I2235" t="inlineStr">
        <is>
          <t>1</t>
        </is>
      </c>
      <c r="J2235" t="inlineStr"/>
      <c r="K2235" t="inlineStr"/>
      <c r="L2235" t="inlineStr"/>
      <c r="M2235" t="inlineStr"/>
      <c r="N2235" t="inlineStr"/>
      <c r="O2235">
        <f>(1-Summary!$B$11)*T2235+Summary!$B$11*V2235</f>
        <v/>
      </c>
      <c r="P2235">
        <f>IF(B2258=0,0,O2235/B2258)</f>
        <v/>
      </c>
      <c r="Q2235" t="n">
        <v>0</v>
      </c>
      <c r="R2235" t="n">
        <v>0</v>
      </c>
      <c r="S2235">
        <f>IFERROR(O2235/N2235,0)</f>
        <v/>
      </c>
      <c r="T2235" t="n">
        <v>0</v>
      </c>
      <c r="V2235" t="n">
        <v>0</v>
      </c>
    </row>
    <row r="2236">
      <c r="A2236">
        <f>Skills!A24</f>
        <v/>
      </c>
      <c r="B2236">
        <f>Skills!B24</f>
        <v/>
      </c>
      <c r="C2236">
        <f>Inputs!$B$3&gt;=40</f>
        <v/>
      </c>
      <c r="D2236">
        <f>IF(Skills!C24=1,60+Inputs!$B$25+Inputs!$B$29,IF(Skills!C24=2,90+Inputs!$B$26+Inputs!$B$29,IF(Skills!C24=3,120+Inputs!$B$27+Inputs!$B$29,MAX(0,(Inputs!$B$3-100)*3)+Inputs!$B$28+Inputs!$B$29)))</f>
        <v/>
      </c>
      <c r="E2236">
        <f>INDEX(FactorTable!$B$2:$Y$301, MATCH(ROUND(MIN(300,MAX(1,D2236)),0), FactorTable!$A$2:$A$301,0), Skills!M24+1)</f>
        <v/>
      </c>
      <c r="F2236">
        <f>IF(Skills!N24=TRUE,(Skills!L24/10)*(E2236/1000),Skills!L24/10)+Skills!O24</f>
        <v/>
      </c>
      <c r="G2236">
        <f>Skills!G24*IF(Skills!H24&gt;0,IF(Inputs!$B$39="pvp",MIN(Skills!I24,15),Skills!I24)/Skills!H24,1)</f>
        <v/>
      </c>
      <c r="H2236">
        <f>1-(1-Skills!J24/100)^Skills!K24</f>
        <v/>
      </c>
      <c r="I2236" t="inlineStr">
        <is>
          <t>1</t>
        </is>
      </c>
      <c r="J2236" t="inlineStr"/>
      <c r="K2236" t="inlineStr"/>
      <c r="L2236" t="inlineStr"/>
      <c r="M2236" t="inlineStr"/>
      <c r="N2236" t="inlineStr"/>
      <c r="O2236">
        <f>(1-Summary!$B$11)*T2236+Summary!$B$11*V2236</f>
        <v/>
      </c>
      <c r="P2236">
        <f>IF(B2258=0,0,O2236/B2258)</f>
        <v/>
      </c>
      <c r="Q2236" t="n">
        <v>0</v>
      </c>
      <c r="R2236" t="n">
        <v>0</v>
      </c>
      <c r="S2236">
        <f>IFERROR(O2236/N2236,0)</f>
        <v/>
      </c>
      <c r="T2236" t="n">
        <v>0</v>
      </c>
      <c r="V2236" t="n">
        <v>0</v>
      </c>
    </row>
    <row r="2237">
      <c r="A2237">
        <f>Skills!A25</f>
        <v/>
      </c>
      <c r="B2237">
        <f>Skills!B25</f>
        <v/>
      </c>
      <c r="C2237">
        <f>Inputs!$B$3&gt;=43</f>
        <v/>
      </c>
      <c r="D2237">
        <f>IF(Skills!C25=1,60+Inputs!$B$25+Inputs!$B$29,IF(Skills!C25=2,90+Inputs!$B$26+Inputs!$B$29,IF(Skills!C25=3,120+Inputs!$B$27+Inputs!$B$29,MAX(0,(Inputs!$B$3-100)*3)+Inputs!$B$28+Inputs!$B$29)))</f>
        <v/>
      </c>
      <c r="E2237">
        <f>INDEX(FactorTable!$B$2:$Y$301, MATCH(ROUND(MIN(300,MAX(1,D2237)),0), FactorTable!$A$2:$A$301,0), Skills!M25+1)</f>
        <v/>
      </c>
      <c r="F2237">
        <f>IF(Skills!N25=TRUE,(Skills!L25/10)*(E2237/1000),Skills!L25/10)+Skills!O25</f>
        <v/>
      </c>
      <c r="G2237">
        <f>Skills!G25*IF(Skills!H25&gt;0,IF(Inputs!$B$39="pvp",MIN(Skills!I25,15),Skills!I25)/Skills!H25,1)</f>
        <v/>
      </c>
      <c r="H2237">
        <f>1-(1-Skills!J25/100)^Skills!K25</f>
        <v/>
      </c>
      <c r="I2237" t="inlineStr">
        <is>
          <t>1</t>
        </is>
      </c>
      <c r="J2237" t="inlineStr"/>
      <c r="K2237" t="inlineStr"/>
      <c r="L2237" t="inlineStr"/>
      <c r="M2237" t="inlineStr"/>
      <c r="N2237" t="inlineStr"/>
      <c r="O2237">
        <f>(1-Summary!$B$11)*T2237+Summary!$B$11*V2237</f>
        <v/>
      </c>
      <c r="P2237">
        <f>IF(B2258=0,0,O2237/B2258)</f>
        <v/>
      </c>
      <c r="Q2237" t="n">
        <v>0</v>
      </c>
      <c r="R2237" t="n">
        <v>0</v>
      </c>
      <c r="S2237">
        <f>IFERROR(O2237/N2237,0)</f>
        <v/>
      </c>
      <c r="T2237" t="n">
        <v>0</v>
      </c>
      <c r="V2237" t="n">
        <v>0</v>
      </c>
    </row>
    <row r="2238">
      <c r="A2238">
        <f>Skills!A26</f>
        <v/>
      </c>
      <c r="B2238">
        <f>Skills!B26</f>
        <v/>
      </c>
      <c r="C2238">
        <f>Inputs!$B$3&gt;=50</f>
        <v/>
      </c>
      <c r="D2238">
        <f>IF(Skills!C26=1,60+Inputs!$B$25+Inputs!$B$29,IF(Skills!C26=2,90+Inputs!$B$26+Inputs!$B$29,IF(Skills!C26=3,120+Inputs!$B$27+Inputs!$B$29,MAX(0,(Inputs!$B$3-100)*3)+Inputs!$B$28+Inputs!$B$29)))</f>
        <v/>
      </c>
      <c r="E2238">
        <f>INDEX(FactorTable!$B$2:$Y$301, MATCH(ROUND(MIN(300,MAX(1,D2238)),0), FactorTable!$A$2:$A$301,0), Skills!M26+1)</f>
        <v/>
      </c>
      <c r="F2238">
        <f>IF(Skills!N26=TRUE,(Skills!L26/10)*(E2238/1000),Skills!L26/10)+Skills!O26</f>
        <v/>
      </c>
      <c r="G2238">
        <f>Skills!G26*IF(Skills!H26&gt;0,IF(Inputs!$B$39="pvp",MIN(Skills!I26,15),Skills!I26)/Skills!H26,1)</f>
        <v/>
      </c>
      <c r="H2238">
        <f>1-(1-Skills!J26/100)^Skills!K26</f>
        <v/>
      </c>
      <c r="I2238" t="inlineStr">
        <is>
          <t>1</t>
        </is>
      </c>
      <c r="J2238" t="inlineStr"/>
      <c r="K2238" t="inlineStr"/>
      <c r="L2238" t="inlineStr"/>
      <c r="M2238" t="inlineStr"/>
      <c r="N2238" t="inlineStr"/>
      <c r="O2238">
        <f>(1-Summary!$B$11)*T2238+Summary!$B$11*V2238</f>
        <v/>
      </c>
      <c r="P2238">
        <f>IF(B2258=0,0,O2238/B2258)</f>
        <v/>
      </c>
      <c r="Q2238" t="n">
        <v>0</v>
      </c>
      <c r="R2238" t="n">
        <v>0</v>
      </c>
      <c r="S2238">
        <f>IFERROR(O2238/N2238,0)</f>
        <v/>
      </c>
      <c r="T2238" t="n">
        <v>0</v>
      </c>
      <c r="V2238" t="n">
        <v>0</v>
      </c>
    </row>
    <row r="2239">
      <c r="A2239">
        <f>Skills!A27</f>
        <v/>
      </c>
      <c r="B2239">
        <f>Skills!B27</f>
        <v/>
      </c>
      <c r="C2239">
        <f>Inputs!$B$3&gt;=50</f>
        <v/>
      </c>
      <c r="D2239">
        <f>IF(Skills!C27=1,60+Inputs!$B$25+Inputs!$B$29,IF(Skills!C27=2,90+Inputs!$B$26+Inputs!$B$29,IF(Skills!C27=3,120+Inputs!$B$27+Inputs!$B$29,MAX(0,(Inputs!$B$3-100)*3)+Inputs!$B$28+Inputs!$B$29)))</f>
        <v/>
      </c>
      <c r="E2239">
        <f>INDEX(FactorTable!$B$2:$Y$301, MATCH(ROUND(MIN(300,MAX(1,D2239)),0), FactorTable!$A$2:$A$301,0), Skills!M27+1)</f>
        <v/>
      </c>
      <c r="F2239">
        <f>IF(Skills!N27=TRUE,(Skills!L27/10)*(E2239/1000),Skills!L27/10)+Skills!O27</f>
        <v/>
      </c>
      <c r="G2239">
        <f>Skills!G27*IF(Skills!H27&gt;0,IF(Inputs!$B$39="pvp",MIN(Skills!I27,15),Skills!I27)/Skills!H27,1)</f>
        <v/>
      </c>
      <c r="H2239">
        <f>1-(1-Skills!J27/100)^Skills!K27</f>
        <v/>
      </c>
      <c r="I2239" t="inlineStr">
        <is>
          <t>1</t>
        </is>
      </c>
      <c r="J2239" t="inlineStr"/>
      <c r="K2239" t="inlineStr"/>
      <c r="L2239" t="inlineStr"/>
      <c r="M2239" t="inlineStr"/>
      <c r="N2239" t="inlineStr"/>
      <c r="O2239">
        <f>(1-Summary!$B$11)*T2239+Summary!$B$11*V2239</f>
        <v/>
      </c>
      <c r="P2239">
        <f>IF(B2258=0,0,O2239/B2258)</f>
        <v/>
      </c>
      <c r="Q2239" t="n">
        <v>0</v>
      </c>
      <c r="R2239" t="n">
        <v>0</v>
      </c>
      <c r="S2239">
        <f>IFERROR(O2239/N2239,0)</f>
        <v/>
      </c>
      <c r="T2239" t="n">
        <v>0</v>
      </c>
      <c r="V2239" t="n">
        <v>0</v>
      </c>
    </row>
    <row r="2240">
      <c r="A2240">
        <f>Skills!A28</f>
        <v/>
      </c>
      <c r="B2240">
        <f>Skills!B28</f>
        <v/>
      </c>
      <c r="C2240">
        <f>Inputs!$B$3&gt;=38</f>
        <v/>
      </c>
      <c r="D2240">
        <f>IF(Skills!C28=1,60+Inputs!$B$25+Inputs!$B$29,IF(Skills!C28=2,90+Inputs!$B$26+Inputs!$B$29,IF(Skills!C28=3,120+Inputs!$B$27+Inputs!$B$29,MAX(0,(Inputs!$B$3-100)*3)+Inputs!$B$28+Inputs!$B$29)))</f>
        <v/>
      </c>
      <c r="E2240">
        <f>INDEX(FactorTable!$B$2:$Y$301, MATCH(ROUND(MIN(300,MAX(1,D2240)),0), FactorTable!$A$2:$A$301,0), Skills!M28+1)</f>
        <v/>
      </c>
      <c r="F2240">
        <f>IF(Skills!N28=TRUE,(Skills!L28/10)*(E2240/1000),Skills!L28/10)+Skills!O28</f>
        <v/>
      </c>
      <c r="G2240">
        <f>Skills!G28*IF(Skills!H28&gt;0,IF(Inputs!$B$39="pvp",MIN(Skills!I28,15),Skills!I28)/Skills!H28,1)</f>
        <v/>
      </c>
      <c r="H2240">
        <f>1-(1-Skills!J28/100)^Skills!K28</f>
        <v/>
      </c>
      <c r="I2240" t="inlineStr">
        <is>
          <t>1</t>
        </is>
      </c>
      <c r="J2240" t="inlineStr"/>
      <c r="K2240" t="inlineStr"/>
      <c r="L2240" t="inlineStr"/>
      <c r="M2240" t="inlineStr"/>
      <c r="N2240" t="inlineStr"/>
      <c r="O2240">
        <f>(1-Summary!$B$11)*T2240+Summary!$B$11*V2240</f>
        <v/>
      </c>
      <c r="P2240">
        <f>IF(B2258=0,0,O2240/B2258)</f>
        <v/>
      </c>
      <c r="Q2240" t="n">
        <v>0</v>
      </c>
      <c r="R2240" t="n">
        <v>0</v>
      </c>
      <c r="S2240">
        <f>IFERROR(O2240/N2240,0)</f>
        <v/>
      </c>
      <c r="T2240" t="n">
        <v>0</v>
      </c>
      <c r="V2240" t="n">
        <v>0</v>
      </c>
    </row>
    <row r="2241">
      <c r="A2241">
        <f>Skills!A29</f>
        <v/>
      </c>
      <c r="B2241">
        <f>Skills!B29</f>
        <v/>
      </c>
      <c r="C2241">
        <f>Inputs!$B$3&gt;=120</f>
        <v/>
      </c>
      <c r="D2241">
        <f>IF(Skills!C29=1,60+Inputs!$B$25+Inputs!$B$29,IF(Skills!C29=2,90+Inputs!$B$26+Inputs!$B$29,IF(Skills!C29=3,120+Inputs!$B$27+Inputs!$B$29,MAX(0,(Inputs!$B$3-100)*3)+Inputs!$B$28+Inputs!$B$29)))</f>
        <v/>
      </c>
      <c r="E2241">
        <f>INDEX(FactorTable!$B$2:$Y$301, MATCH(ROUND(MIN(300,MAX(1,D2241)),0), FactorTable!$A$2:$A$301,0), Skills!M29+1)</f>
        <v/>
      </c>
      <c r="F2241">
        <f>IF(Skills!N29=TRUE,(Skills!L29/10)*(E2241/1000),Skills!L29/10)+Skills!O29</f>
        <v/>
      </c>
      <c r="G2241">
        <f>Skills!G29*IF(Skills!H29&gt;0,IF(Inputs!$B$39="pvp",MIN(Skills!I29,15),Skills!I29)/Skills!H29,1)</f>
        <v/>
      </c>
      <c r="H2241">
        <f>1-(1-Skills!J29/100)^Skills!K29</f>
        <v/>
      </c>
      <c r="I2241" t="inlineStr">
        <is>
          <t>1</t>
        </is>
      </c>
      <c r="J2241" t="inlineStr"/>
      <c r="K2241" t="inlineStr"/>
      <c r="L2241" t="inlineStr"/>
      <c r="M2241" t="inlineStr"/>
      <c r="N2241" t="inlineStr"/>
      <c r="O2241">
        <f>(1-Summary!$B$11)*T2241+Summary!$B$11*V2241</f>
        <v/>
      </c>
      <c r="P2241">
        <f>IF(B2258=0,0,O2241/B2258)</f>
        <v/>
      </c>
      <c r="Q2241" t="n">
        <v>0</v>
      </c>
      <c r="R2241" t="n">
        <v>0</v>
      </c>
      <c r="S2241">
        <f>IFERROR(O2241/N2241,0)</f>
        <v/>
      </c>
      <c r="T2241" t="n">
        <v>0</v>
      </c>
      <c r="V2241" t="n">
        <v>0</v>
      </c>
    </row>
    <row r="2242">
      <c r="A2242">
        <f>Skills!A30</f>
        <v/>
      </c>
      <c r="B2242">
        <f>Skills!B30</f>
        <v/>
      </c>
      <c r="C2242">
        <f>Inputs!$B$3&gt;=120</f>
        <v/>
      </c>
      <c r="D2242">
        <f>IF(Skills!C30=1,60+Inputs!$B$25+Inputs!$B$29,IF(Skills!C30=2,90+Inputs!$B$26+Inputs!$B$29,IF(Skills!C30=3,120+Inputs!$B$27+Inputs!$B$29,MAX(0,(Inputs!$B$3-100)*3)+Inputs!$B$28+Inputs!$B$29)))</f>
        <v/>
      </c>
      <c r="E2242">
        <f>INDEX(FactorTable!$B$2:$Y$301, MATCH(ROUND(MIN(300,MAX(1,D2242)),0), FactorTable!$A$2:$A$301,0), Skills!M30+1)</f>
        <v/>
      </c>
      <c r="F2242">
        <f>IF(Skills!N30=TRUE,(Skills!L30/10)*(E2242/1000),Skills!L30/10)+Skills!O30</f>
        <v/>
      </c>
      <c r="G2242">
        <f>Skills!G30*IF(Skills!H30&gt;0,IF(Inputs!$B$39="pvp",MIN(Skills!I30,15),Skills!I30)/Skills!H30,1)</f>
        <v/>
      </c>
      <c r="H2242">
        <f>1-(1-Skills!J30/100)^Skills!K30</f>
        <v/>
      </c>
      <c r="I2242" t="inlineStr">
        <is>
          <t>1</t>
        </is>
      </c>
      <c r="J2242" t="inlineStr"/>
      <c r="K2242" t="inlineStr"/>
      <c r="L2242" t="inlineStr"/>
      <c r="M2242" t="inlineStr"/>
      <c r="N2242" t="inlineStr"/>
      <c r="O2242">
        <f>(1-Summary!$B$11)*T2242+Summary!$B$11*V2242</f>
        <v/>
      </c>
      <c r="P2242">
        <f>IF(B2258=0,0,O2242/B2258)</f>
        <v/>
      </c>
      <c r="Q2242" t="n">
        <v>0</v>
      </c>
      <c r="R2242" t="n">
        <v>0</v>
      </c>
      <c r="S2242">
        <f>IFERROR(O2242/N2242,0)</f>
        <v/>
      </c>
      <c r="T2242" t="n">
        <v>0</v>
      </c>
      <c r="V2242" t="n">
        <v>0</v>
      </c>
    </row>
    <row r="2243">
      <c r="A2243">
        <f>Skills!A31</f>
        <v/>
      </c>
      <c r="B2243">
        <f>Skills!B31</f>
        <v/>
      </c>
      <c r="C2243">
        <f>Inputs!$B$3&gt;=125</f>
        <v/>
      </c>
      <c r="D2243">
        <f>IF(Skills!C31=1,60+Inputs!$B$25+Inputs!$B$29,IF(Skills!C31=2,90+Inputs!$B$26+Inputs!$B$29,IF(Skills!C31=3,120+Inputs!$B$27+Inputs!$B$29,MAX(0,(Inputs!$B$3-100)*3)+Inputs!$B$28+Inputs!$B$29)))</f>
        <v/>
      </c>
      <c r="E2243">
        <f>INDEX(FactorTable!$B$2:$Y$301, MATCH(ROUND(MIN(300,MAX(1,D2243)),0), FactorTable!$A$2:$A$301,0), Skills!M31+1)</f>
        <v/>
      </c>
      <c r="F2243">
        <f>IF(Skills!N31=TRUE,(Skills!L31/10)*(E2243/1000),Skills!L31/10)+Skills!O31</f>
        <v/>
      </c>
      <c r="G2243">
        <f>Skills!G31*IF(Skills!H31&gt;0,IF(Inputs!$B$39="pvp",MIN(Skills!I31,15),Skills!I31)/Skills!H31,1)</f>
        <v/>
      </c>
      <c r="H2243">
        <f>1-(1-Skills!J31/100)^Skills!K31</f>
        <v/>
      </c>
      <c r="I2243" t="inlineStr">
        <is>
          <t>1</t>
        </is>
      </c>
      <c r="J2243" t="inlineStr"/>
      <c r="K2243" t="inlineStr"/>
      <c r="L2243" t="inlineStr"/>
      <c r="M2243" t="inlineStr"/>
      <c r="N2243" t="inlineStr"/>
      <c r="O2243">
        <f>(1-Summary!$B$11)*T2243+Summary!$B$11*V2243</f>
        <v/>
      </c>
      <c r="P2243">
        <f>IF(B2258=0,0,O2243/B2258)</f>
        <v/>
      </c>
      <c r="Q2243" t="n">
        <v>0</v>
      </c>
      <c r="R2243" t="n">
        <v>0</v>
      </c>
      <c r="S2243">
        <f>IFERROR(O2243/N2243,0)</f>
        <v/>
      </c>
      <c r="T2243" t="n">
        <v>0</v>
      </c>
      <c r="V2243" t="n">
        <v>0</v>
      </c>
    </row>
    <row r="2245">
      <c r="A2245" t="inlineStr">
        <is>
          <t>Average Buff Multiplier</t>
        </is>
      </c>
      <c r="B2245">
        <f>(1+(((C2234=TRUE)*F2234*IF(AND(Inputs!$B$39&lt;&gt;"pvp",Inputs!$B$44&gt;0),(((R2234-1)*MIN((Skills!Y22*(1+Inputs!$B$34/100)),(1/Q2234))+MIN((Skills!Y22*(1+Inputs!$B$34/100)),MAX(0,Inputs!$B$44-((R2234-1)*(1/Q2234)))))/Inputs!$B$44),IF(Inputs!$B$39="pvp",MIN((Skills!Y22*(1+Inputs!$B$34/100)),15)/15,MIN(1,(Skills!Y22*(1+Inputs!$B$34/100))/(1/Q2234)))))+((C2215=TRUE)*F2215*3)+((C2217=TRUE)*F2217*(1-EXP(-0.75*B2250*5)))+((C2236=TRUE)*(F2236-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2223=TRUE)*F2223*IF(AND(Inputs!$B$39&lt;&gt;"pvp",Inputs!$B$44&gt;0),(((R2223-1)*MIN((Skills!Y11*(1+Inputs!$B$34/100)),(1/Q2223))+MIN((Skills!Y11*(1+Inputs!$B$34/100)),MAX(0,Inputs!$B$44-((R2223-1)*(1/Q2223)))))/Inputs!$B$44),IF(Inputs!$B$39="pvp",MIN((Skills!Y11*(1+Inputs!$B$34/100)),15)/15,MIN(1,(Skills!Y11*(1+Inputs!$B$34/100))/(1/Q2223)))))/100)*(1+((C2228=TRUE)*F2228*IF(AND(Inputs!$B$39&lt;&gt;"pvp",Inputs!$B$44&gt;0),(((R2228-1)*MIN((Skills!Y16*(1+Inputs!$B$34/100)),(1/Q2228))+MIN((Skills!Y16*(1+Inputs!$B$34/100)),MAX(0,Inputs!$B$44-((R2228-1)*(1/Q2228)))))/Inputs!$B$44),IF(Inputs!$B$39="pvp",MIN((Skills!Y16*(1+Inputs!$B$34/100)),15)/15,MIN(1,(Skills!Y16*(1+Inputs!$B$34/100))/(1/Q2228)))))/100)</f>
        <v/>
      </c>
    </row>
    <row r="2246">
      <c r="A2246" t="inlineStr">
        <is>
          <t>Global Crit Rate Bonus %</t>
        </is>
      </c>
      <c r="B2246">
        <f>((C2233=TRUE)*F2233*IF(AND(Inputs!$B$39&lt;&gt;"pvp",Inputs!$B$44&gt;0),(((R2233-1)*MIN((Skills!Y21*(1+Inputs!$B$34/100)),(1/Q2233))+MIN((Skills!Y21*(1+Inputs!$B$34/100)),MAX(0,Inputs!$B$44-((R2233-1)*(1/Q2233)))))/Inputs!$B$44),IF(Inputs!$B$39="pvp",MIN((Skills!Y21*(1+Inputs!$B$34/100)),15)/15,MIN(1,(Skills!Y21*(1+Inputs!$B$34/100))/(1/Q2233)))))</f>
        <v/>
      </c>
    </row>
    <row r="2247">
      <c r="A2247" t="inlineStr">
        <is>
          <t>Global Monster Damage-Taken Bonus %</t>
        </is>
      </c>
      <c r="B2247">
        <f>IF(Inputs!$B$3&gt;=82,15,0)</f>
        <v/>
      </c>
    </row>
    <row r="2248">
      <c r="A2248" t="inlineStr">
        <is>
          <t>Shadow Partner Average Multiplier</t>
        </is>
      </c>
      <c r="B2248">
        <f>1+((C2220=TRUE)*F2220*(1+3.3333333333333335*IF(C2231=TRUE,F2231,0)/100)*I2220*Skills!J8/100)/100</f>
        <v/>
      </c>
    </row>
    <row r="2249">
      <c r="A2249" t="inlineStr">
        <is>
          <t>Attack Speed Buff Bonus %</t>
        </is>
      </c>
      <c r="B2249">
        <f>((C2232=TRUE)*F2232*IF(AND(Inputs!$B$39&lt;&gt;"pvp",Inputs!$B$44&gt;0),(((R2232-1)*MIN((Skills!Y20*(1+Inputs!$B$34/100)),(1/Q2232))+MIN((Skills!Y20*(1+Inputs!$B$34/100)),MAX(0,Inputs!$B$44-((R2232-1)*(1/Q2232)))))/Inputs!$B$44),IF(Inputs!$B$39="pvp",MIN((Skills!Y20*(1+Inputs!$B$34/100)),15)/15,MIN(1,(Skills!Y20*(1+Inputs!$B$34/100))/(1/Q2232)))))</f>
        <v/>
      </c>
    </row>
    <row r="2250">
      <c r="A2250" t="inlineStr">
        <is>
          <t>Actions Per Second</t>
        </is>
      </c>
      <c r="B2250">
        <f>1+MIN(150,150*(1-(1-(Inputs!$B$11+((C2235=TRUE)*(F2235-Calc!F23)))/150)*(1-B2249/150)))/100</f>
        <v/>
      </c>
    </row>
    <row r="2251">
      <c r="A2251" t="inlineStr">
        <is>
          <t>Skill + Buff Cast Rate</t>
        </is>
      </c>
      <c r="B2251">
        <f>IF(AND(Inputs!$B$39&lt;&gt;"pvp",Inputs!$B$44&gt;0),SUMPRODUCT((Skills!E2:E31=TRUE)*(C2214:C2243=TRUE)*R2214:R2243*Skills!F2:F31)/Inputs!$B$44,SUMPRODUCT((Skills!E2:E31=TRUE)*(C2214:C2243=TRUE)*Q2214:Q2243*Skills!F2:F31))</f>
        <v/>
      </c>
    </row>
    <row r="2252">
      <c r="A2252" t="inlineStr">
        <is>
          <t>Cruel Stab Casts Per Second</t>
        </is>
      </c>
      <c r="B2252">
        <f>MAX(0,B2250-B2251)</f>
        <v/>
      </c>
    </row>
    <row r="2253">
      <c r="A2253" t="inlineStr">
        <is>
          <t>Global Critical Damage Bonus % (Smokescreen Mastery Lv.113)</t>
        </is>
      </c>
      <c r="B2253">
        <f>IF(Inputs!$B$3&gt;=113,30,0)*IF(AND(Inputs!$B$39&lt;&gt;"pvp",Inputs!$B$44&gt;0),(((R2228-1)*MIN((Skills!Y16*(1+Inputs!$B$34/100)),(1/Q2228))+MIN((Skills!Y16*(1+Inputs!$B$34/100)),MAX(0,Inputs!$B$44-((R2228-1)*(1/Q2228)))))/Inputs!$B$44),IF(Inputs!$B$39="pvp",MIN((Skills!Y16*(1+Inputs!$B$34/100)),15)/15,MIN(1,(Skills!Y16*(1+Inputs!$B$34/100))/(1/Q2228))))</f>
        <v/>
      </c>
    </row>
    <row r="2254">
      <c r="A2254" t="inlineStr">
        <is>
          <t>Meso Explosion average stack count</t>
        </is>
      </c>
      <c r="B2254">
        <f>MIN(10,IF(Inputs!$B$3&gt;=75,0.75,0.5)*B2250*(1/Q2216))</f>
        <v/>
      </c>
    </row>
    <row r="2255">
      <c r="A2255" t="inlineStr">
        <is>
          <t>Blood Money average stack count</t>
        </is>
      </c>
      <c r="B2255">
        <f>MIN(5,0.5*IF(Inputs!$B$3&gt;=75,0.75,0.5)*B2250*(1/Q2216))</f>
        <v/>
      </c>
    </row>
    <row r="2256">
      <c r="A2256" t="inlineStr">
        <is>
          <t>Assassinate Murderous Intent Multiplier</t>
        </is>
      </c>
      <c r="B2256">
        <f>1+IFERROR(MIN(1,Q2227*2/Q2224),0)</f>
        <v/>
      </c>
    </row>
    <row r="2257">
      <c r="A2257" t="inlineStr">
        <is>
          <t>Buff-Casting Startup Delay (s, fixed-duration only)</t>
        </is>
      </c>
      <c r="B2257">
        <f>IF(AND(Inputs!$B$39&lt;&gt;"pvp",Inputs!$B$44&gt;0),SUMPRODUCT((Skills!Y2:Y31&gt;0)*(Skills!E2:E31=TRUE)*(C2214:C2243=TRUE))/B2250,0)</f>
        <v/>
      </c>
    </row>
    <row r="2258">
      <c r="A2258" s="6" t="inlineStr">
        <is>
          <t>TOTAL DPS</t>
        </is>
      </c>
      <c r="B2258" s="6">
        <f>SUM(O2214:O2243)</f>
        <v/>
      </c>
    </row>
    <row r="2259">
      <c r="A2259" t="inlineStr">
        <is>
          <t>Boss-Only Total DPS (this block's swept value)</t>
        </is>
      </c>
      <c r="B2259">
        <f>SUM(T2214:T2243)</f>
        <v/>
      </c>
    </row>
    <row r="2260">
      <c r="A2260" t="inlineStr">
        <is>
          <t>Normal-Only Total DPS (this block's swept value)</t>
        </is>
      </c>
      <c r="B2260">
        <f>SUM(V2214:V2243)</f>
        <v/>
      </c>
    </row>
    <row r="2263">
      <c r="A2263" s="6" t="inlineStr">
        <is>
          <t>Stat: Star Rock (Equip)</t>
        </is>
      </c>
    </row>
    <row r="2264">
      <c r="A2264" s="5" t="inlineStr">
        <is>
          <t>Key</t>
        </is>
      </c>
      <c r="B2264" s="5" t="inlineStr">
        <is>
          <t>Name</t>
        </is>
      </c>
      <c r="C2264" s="5" t="inlineStr">
        <is>
          <t>Unlocked</t>
        </is>
      </c>
      <c r="D2264" s="5" t="inlineStr">
        <is>
          <t>InputLevel</t>
        </is>
      </c>
      <c r="E2264" s="5" t="inlineStr">
        <is>
          <t>Factor</t>
        </is>
      </c>
      <c r="F2264" s="5" t="inlineStr">
        <is>
          <t>CoefficientPercent</t>
        </is>
      </c>
      <c r="G2264" s="5" t="inlineStr">
        <is>
          <t>EffectiveHits</t>
        </is>
      </c>
      <c r="H2264" s="5" t="inlineStr">
        <is>
          <t>ProcProbability</t>
        </is>
      </c>
      <c r="I2264" s="5" t="inlineStr">
        <is>
          <t>MapleHeroMultiplier</t>
        </is>
      </c>
      <c r="J2264" s="5" t="inlineStr">
        <is>
          <t>BaseDamage</t>
        </is>
      </c>
      <c r="K2264" s="5" t="inlineStr">
        <is>
          <t>BaseHitDamage</t>
        </is>
      </c>
      <c r="L2264" s="5" t="inlineStr">
        <is>
          <t>NonCritAvg</t>
        </is>
      </c>
      <c r="M2264" s="5" t="inlineStr">
        <is>
          <t>CritAvg</t>
        </is>
      </c>
      <c r="N2264" s="5" t="inlineStr">
        <is>
          <t>ExpectedDamage(perHit)</t>
        </is>
      </c>
      <c r="O2264" s="5" t="inlineStr">
        <is>
          <t>DPS</t>
        </is>
      </c>
      <c r="P2264" s="5" t="inlineStr">
        <is>
          <t>% of Total</t>
        </is>
      </c>
      <c r="Q2264" s="5" t="inlineStr">
        <is>
          <t>InvCooldown</t>
        </is>
      </c>
      <c r="R2264" s="5" t="inlineStr">
        <is>
          <t>CastsInFight</t>
        </is>
      </c>
      <c r="S2264" s="5" t="inlineStr">
        <is>
          <t>HitRate(perSec)</t>
        </is>
      </c>
      <c r="U2264" t="inlineStr">
        <is>
          <t>helpers</t>
        </is>
      </c>
    </row>
    <row r="2265">
      <c r="A2265">
        <f>Skills!A2</f>
        <v/>
      </c>
      <c r="B2265">
        <f>Skills!B2</f>
        <v/>
      </c>
      <c r="C2265">
        <f>Inputs!$B$3&gt;=100</f>
        <v/>
      </c>
      <c r="D2265" t="inlineStr"/>
      <c r="E2265" t="inlineStr"/>
      <c r="F2265">
        <f>U2267+Skills!O2</f>
        <v/>
      </c>
      <c r="G2265">
        <f>Skills!G2*IF(Skills!H2&gt;0,IF(Inputs!$B$39="pvp",MIN(Skills!I2,15),Skills!I2)/Skills!H2,1)</f>
        <v/>
      </c>
      <c r="H2265">
        <f>1-(1-Skills!J2/100)^Skills!K2</f>
        <v/>
      </c>
      <c r="I2265" t="inlineStr">
        <is>
          <t>1</t>
        </is>
      </c>
      <c r="J2265">
        <f>((Inputs!$B$6*(1+Inputs!$B$7/100))+(((Inputs!$B$12*(1+Inputs!$B$13/100))-(Inputs!$B$12*(1+Inputs!$B$13/100)))+0.25*(Inputs!$B$14-Inputs!$B$14))*(1+Inputs!$B$7/100))*(F2265/100)</f>
        <v/>
      </c>
      <c r="K2265">
        <f>J2265*(1+((Inputs!$B$12*(1+Inputs!$B$13/100))*0.01+Inputs!$B$14*0.0025)/100)*(1+Inputs!$B$15/100)*(1+Inputs!$B$16/100)*(5000/(6000+Inputs!$B$43*(1-(100*(1-(1-Inputs!$B$19/100)*(1-CHOOSE(ArtifactsInput!$N$40+1,5,6,7,8,9,10)/100)^(ArtifactsInput!$M$40-ArtifactsInput!$M$40)))/100)))*(1+(Inputs!$B$24+((C2294=TRUE)*(F2294-Calc!F31))+((C2281=TRUE)*(F2281-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CRUEL_STAB",Inputs!$B$17+((C2291=TRUE)*(F2291-Calc!F28))+((IF(AND(Inputs!$B$39&lt;&gt;"pvp",Inputs!$B$44=0),1,IF(IF(Inputs!$B$39="pvp",15,Inputs!$B$44)-(B2308)&lt;=0,1,MAX(0,IF(Inputs!$B$39="pvp",15,Inputs!$B$44)-MAX(5,B2308))/(IF(Inputs!$B$39="pvp",15,Inputs!$B$44)-(B2308))))*(IF(AND(ArtifactsInput!$M$42,((Inputs!$B$9+((C2289=TRUE)*(F2289-Calc!F26))+B2297+(ArtifactsInput!$M$24-ArtifactsInput!$M$24)*CHOOSE(ArtifactsInput!$N$24+1,10,12,14,16,18,20)+IF(ArtifactsInput!$M$10,CHOOSE(ArtifactsInput!$N$10+1,15,18,21,24,27,30)*(IF(Inputs!$B$39="pvp",MIN(15,15)/15,IF(AND(Inputs!$B$39&lt;&gt;"pvp",Inputs!$B$44&gt;0),MIN(15,Inputs!$B$44)/(Inputs!$B$44),0))),0)))&gt;=100),MIN(100,((Inputs!$B$9+((C2289=TRUE)*(F2289-Calc!F26))+B2297+(ArtifactsInput!$M$24-ArtifactsInput!$M$24)*CHOOSE(ArtifactsInput!$N$24+1,10,12,14,16,18,20)+IF(ArtifactsInput!$M$10,CHOOSE(ArtifactsInput!$N$10+1,15,18,21,24,27,30)*(IF(Inputs!$B$39="pvp",MIN(15,15)/15,IF(AND(Inputs!$B$39&lt;&gt;"pvp",Inputs!$B$44&gt;0),MIN(15,Inputs!$B$44)/(Inputs!$B$44),0))),0)))-100),0))*CHOOSE(ArtifactsInput!$N$42+1,0.6,0.72,0.84,0.96,1.08,1.2))),Inputs!$B$18+((C2292=TRUE)*(F2292-Calc!F29))+(IF(AND(Inputs!$B$39&lt;&gt;"pvp",Inputs!$B$44=0),1,IF(IF(Inputs!$B$39="pvp",15,Inputs!$B$44)-(B2308)&lt;=0,1,MAX(0,IF(Inputs!$B$39="pvp",15,Inputs!$B$44)-MAX(5,B2308))/(IF(Inputs!$B$39="pvp",15,Inputs!$B$44)-(B2308))))*IF(AND(ArtifactsInput!$M$42,((Inputs!$B$9+((C2289=TRUE)*(F2289-Calc!F26))+B2297+(ArtifactsInput!$M$24-ArtifactsInput!$M$24)*CHOOSE(ArtifactsInput!$N$24+1,10,12,14,16,18,20)+IF(ArtifactsInput!$M$10,CHOOSE(ArtifactsInput!$N$10+1,15,18,21,24,27,30)*(IF(Inputs!$B$39="pvp",MIN(15,15)/15,IF(AND(Inputs!$B$39&lt;&gt;"pvp",Inputs!$B$44&gt;0),MIN(15,Inputs!$B$44)/(Inputs!$B$44),0))),0)))&gt;=100),CHOOSE(ArtifactsInput!$N$42+1,40,48,56,64,72,80),0))))/100)*(((1+(((C2285=TRUE)*F2285*IF(AND(Inputs!$B$39&lt;&gt;"pvp",Inputs!$B$44&gt;0),(((R2285-1)*MIN((Skills!Y22*(1+Inputs!$B$34/100)),(1/Q2285))+MIN((Skills!Y22*(1+Inputs!$B$34/100)),MAX(0,Inputs!$B$44-((R2285-1)*(1/Q2285)))))/Inputs!$B$44),IF(Inputs!$B$39="pvp",MIN((Skills!Y22*(1+Inputs!$B$34/100)),15)/15,MIN(1,(Skills!Y22*(1+Inputs!$B$34/100))/(1/Q2285)))))+((C2266=TRUE)*F2266*3)+((C2268=TRUE)*F2268*(1-EXP(-0.75*B2301*5)))+((C2287=TRUE)*(F2287-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2274=TRUE)*F2274*IF(AND(Inputs!$B$39&lt;&gt;"pvp",Inputs!$B$44&gt;0),(((R2274-1)*MIN((Skills!Y11*(1+Inputs!$B$34/100)),(1/Q2274))+MIN((Skills!Y11*(1+Inputs!$B$34/100)),MAX(0,Inputs!$B$44-((R2274-1)*(1/Q2274)))))/Inputs!$B$44),IF(Inputs!$B$39="pvp",MIN((Skills!Y11*(1+Inputs!$B$34/100)),15)/15,MIN(1,(Skills!Y11*(1+Inputs!$B$34/100))/(1/Q2274)))))/100)*(1+((C2279=TRUE)*F2279*IF(AND(Inputs!$B$39&lt;&gt;"pvp",Inputs!$B$44&gt;0),(((R2279-1)*MIN((Skills!Y16*(1+Inputs!$B$34/100)),(1/Q2279))+MIN((Skills!Y16*(1+Inputs!$B$34/100)),MAX(0,Inputs!$B$44-((R2279-1)*(1/Q2279)))))/Inputs!$B$44),IF(Inputs!$B$39="pvp",MIN((Skills!Y16*(1+Inputs!$B$34/100)),15)/15,MIN(1,(Skills!Y16*(1+Inputs!$B$34/100))/(1/Q2279)))))/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2299*I2265)</f>
        <v/>
      </c>
      <c r="L2265">
        <f>K2265*(MIN(Inputs!$B$22+((C2288=TRUE)*(F2288-Calc!F25)),(Inputs!$B$23+((C2293=TRUE)*(F2293-Calc!F30))+IF(ArtifactsInput!$M$15,CHOOSE(ArtifactsInput!$N$15+1,25,30,35,40,45,50)/100*(Inputs!$B$11-Inputs!$B$11),0)))/100+(Inputs!$B$23+((C2293=TRUE)*(F2293-Calc!F30))+IF(ArtifactsInput!$M$15,CHOOSE(ArtifactsInput!$N$15+1,25,30,35,40,45,50)/100*(Inputs!$B$11-Inputs!$B$11),0))/100)/2</f>
        <v/>
      </c>
      <c r="M2265">
        <f>L2265*(1+(Inputs!$B$10+((C2290=TRUE)*(F2290-Calc!F27))+B2304+(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2265">
        <f>L2265*(1-MIN((Inputs!$B$9+((C2289=TRUE)*(F2289-Calc!F26))+B2297+(ArtifactsInput!$M$24-ArtifactsInput!$M$24)*CHOOSE(ArtifactsInput!$N$24+1,10,12,14,16,18,20)+(IF(AND(Inputs!$B$39&lt;&gt;"pvp",Inputs!$B$44=0),1,IF(IF(Inputs!$B$39="pvp",15,Inputs!$B$44)-(B2308)&lt;=0,1,MAX(0,IF(Inputs!$B$39="pvp",15,Inputs!$B$44)-MAX(5,B2308))/(IF(Inputs!$B$39="pvp",15,Inputs!$B$44)-(B2308))))*IF(AND(ArtifactsInput!$M$42,((Inputs!$B$9+((C2289=TRUE)*(F2289-Calc!F26))+B2297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2265*(MIN((Inputs!$B$9+((C2289=TRUE)*(F2289-Calc!F26))+B2297+(ArtifactsInput!$M$24-ArtifactsInput!$M$24)*CHOOSE(ArtifactsInput!$N$24+1,10,12,14,16,18,20)+(IF(AND(Inputs!$B$39&lt;&gt;"pvp",Inputs!$B$44=0),1,IF(IF(Inputs!$B$39="pvp",15,Inputs!$B$44)-(B2308)&lt;=0,1,MAX(0,IF(Inputs!$B$39="pvp",15,Inputs!$B$44)-MAX(5,B2308))/(IF(Inputs!$B$39="pvp",15,Inputs!$B$44)-(B2308))))*IF(AND(ArtifactsInput!$M$42,((Inputs!$B$9+((C2289=TRUE)*(F2289-Calc!F26))+B2297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265">
        <f>(1-Summary!$B$11)*T2265+Summary!$B$11*V2265</f>
        <v/>
      </c>
      <c r="P2265">
        <f>IF(B2309=0,0,O2265/B2309)</f>
        <v/>
      </c>
      <c r="Q2265" t="n">
        <v>0</v>
      </c>
      <c r="R2265" t="n">
        <v>0</v>
      </c>
      <c r="S2265">
        <f>IFERROR(O2265/N2265,0)</f>
        <v/>
      </c>
      <c r="T2265">
        <f>IF(C2265,(Skills!G2*N2265*B2303)*IF(Inputs!$B$39="pvp",1,1+(Inputs!$B$20+0+Skills!P2+B2298+(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IF(ArtifactsInput!$M$23,FALSE,TRUE)-ArtifactsInput!$M$23)*CHOOSE(ArtifactsInput!$N$23+1,50,60,70,80,90,100))+(IF(AND(ArtifactsInput!$M$35,Inputs!$B$4&lt;&gt;"Chapter Hunt"),CHOOSE(ArtifactsInput!$N$35+1,15,18,21,24,27,30)*(1-EXP(-(0.2*B2301)*5)),0)+IF(AND(ArtifactsInput!$M$22,Inputs!$B$4&lt;&gt;"Chapter Hunt"),CHOOSE(ArtifactsInput!$N$22+1,10,12,14,16,18,20)*((0*(((0.15*B2301*5))^0/1)+1*(((0.15*B2301*5))^1/1)+2*(((0.15*B2301*5))^2/2)+3*(((0.15*B2301*5))^3/6)+4*(((0.15*B2301*5))^4/24)+5*(((0.15*B2301*5))^5/120))/((((0.15*B2301*5))^0/1)+(((0.15*B2301*5))^1/1)+(((0.15*B2301*5))^2/2)+(((0.15*B2301*5))^3/6)+(((0.15*B2301*5))^4/24)+(((0.15*B2301*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2265*(1-MIN(100,(Inputs!$B$9+((C2289=TRUE)*(F2289-Calc!F26))+B2297+(ArtifactsInput!$M$24-ArtifactsInput!$M$24)*CHOOSE(ArtifactsInput!$N$24+1,10,12,14,16,18,20)+(IF(AND(Inputs!$B$39&lt;&gt;"pvp",Inputs!$B$44=0),1,IF(IF(Inputs!$B$39="pvp",15,Inputs!$B$44)-(B2308)&lt;=0,1,MAX(0,IF(Inputs!$B$39="pvp",15,Inputs!$B$44)-MAX(5,B2308))/(IF(Inputs!$B$39="pvp",15,Inputs!$B$44)-(B2308))))*IF(AND(ArtifactsInput!$M$42,((Inputs!$B$9+((C2289=TRUE)*(F2289-Calc!F26))+B2297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2265*(MIN(100,(Inputs!$B$9+((C2289=TRUE)*(F2289-Calc!F26))+B2297+(ArtifactsInput!$M$24-ArtifactsInput!$M$24)*CHOOSE(ArtifactsInput!$N$24+1,10,12,14,16,18,20)+(IF(AND(Inputs!$B$39&lt;&gt;"pvp",Inputs!$B$44=0),1,IF(IF(Inputs!$B$39="pvp",15,Inputs!$B$44)-(B2308)&lt;=0,1,MAX(0,IF(Inputs!$B$39="pvp",15,Inputs!$B$44)-MAX(5,B2308))/(IF(Inputs!$B$39="pvp",15,Inputs!$B$44)-(B2308))))*IF(AND(ArtifactsInput!$M$42,((Inputs!$B$9+((C2289=TRUE)*(F2289-Calc!F26))+B2297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2265*(1-MIN(100,(Inputs!$B$9+((C2289=TRUE)*(F2289-Calc!F26))+B2297+(ArtifactsInput!$M$24-ArtifactsInput!$M$24)*CHOOSE(ArtifactsInput!$N$24+1,10,12,14,16,18,20)+(IF(AND(Inputs!$B$39&lt;&gt;"pvp",Inputs!$B$44=0),1,IF(IF(Inputs!$B$39="pvp",15,Inputs!$B$44)-(B2308)&lt;=0,1,MAX(0,IF(Inputs!$B$39="pvp",15,Inputs!$B$44)-MAX(5,B2308))/(IF(Inputs!$B$39="pvp",15,Inputs!$B$44)-(B2308))))*IF(AND(ArtifactsInput!$M$42,((Inputs!$B$9+((C2289=TRUE)*(F2289-Calc!F26))+B2297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2265*(MIN(100,(Inputs!$B$9+((C2289=TRUE)*(F2289-Calc!F26))+B2297+(ArtifactsInput!$M$24-ArtifactsInput!$M$24)*CHOOSE(ArtifactsInput!$N$24+1,10,12,14,16,18,20)+(IF(AND(Inputs!$B$39&lt;&gt;"pvp",Inputs!$B$44=0),1,IF(IF(Inputs!$B$39="pvp",15,Inputs!$B$44)-(B2308)&lt;=0,1,MAX(0,IF(Inputs!$B$39="pvp",15,Inputs!$B$44)-MAX(5,B2308))/(IF(Inputs!$B$39="pvp",15,Inputs!$B$44)-(B2308))))*IF(AND(ArtifactsInput!$M$42,((Inputs!$B$9+((C2289=TRUE)*(F2289-Calc!F26))+B2297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2265">
        <f>MAX(0,(Inputs!$B$3-100)*3)+Inputs!$B$28+Inputs!$B$29</f>
        <v/>
      </c>
      <c r="V2265">
        <f>IF(C2265,(Skills!G2*N2265*B2303)*IF(Inputs!$B$39="pvp",1,(1+(Inputs!$B$21+Skills!Q2+B2298+(IF(ArtifactsInput!$M$33,CHOOSE(ArtifactsInput!$N$33+1,30,36,42,48,54,60),0))+(IF(AND(ArtifactsInput!$M$35,Inputs!$B$4&lt;&gt;"Chapter Hunt"),CHOOSE(ArtifactsInput!$N$35+1,15,18,21,24,27,30)*(1-EXP(-(0.2*B2301)*5)),0)+IF(AND(ArtifactsInput!$M$22,Inputs!$B$4&lt;&gt;"Chapter Hunt"),CHOOSE(ArtifactsInput!$N$22+1,10,12,14,16,18,20)*((0*(((0.15*B2301*5))^0/1)+1*(((0.15*B2301*5))^1/1)+2*(((0.15*B2301*5))^2/2)+3*(((0.15*B2301*5))^3/6)+4*(((0.15*B2301*5))^4/24)+5*(((0.15*B2301*5))^5/120))/((((0.15*B2301*5))^0/1)+(((0.15*B2301*5))^1/1)+(((0.15*B2301*5))^2/2)+(((0.15*B2301*5))^3/6)+(((0.15*B2301*5))^4/24)+(((0.15*B2301*5))^5/120))),0)))/100)*(MIN((6+Inputs!$B$33),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266">
      <c r="A2266">
        <f>Skills!A3</f>
        <v/>
      </c>
      <c r="B2266">
        <f>Skills!B3</f>
        <v/>
      </c>
      <c r="C2266">
        <f>Inputs!$B$3&gt;=35</f>
        <v/>
      </c>
      <c r="D2266">
        <f>IF(Skills!C3=1,60+Inputs!$B$25+Inputs!$B$29,IF(Skills!C3=2,90+Inputs!$B$26+Inputs!$B$29,IF(Skills!C3=3,120+Inputs!$B$27+Inputs!$B$29,MAX(0,(Inputs!$B$3-100)*3)+Inputs!$B$28+Inputs!$B$29)))</f>
        <v/>
      </c>
      <c r="E2266">
        <f>INDEX(FactorTable!$B$2:$Y$301, MATCH(ROUND(MIN(300,MAX(1,D2266)),0), FactorTable!$A$2:$A$301,0), Skills!M3+1)</f>
        <v/>
      </c>
      <c r="F2266">
        <f>IF(Skills!N3=TRUE,(Skills!L3/10)*(E2266/1000),Skills!L3/10)+Skills!O3</f>
        <v/>
      </c>
      <c r="G2266">
        <f>Skills!G3*IF(Skills!H3&gt;0,IF(Inputs!$B$39="pvp",MIN(Skills!I3,15),Skills!I3)/Skills!H3,1)</f>
        <v/>
      </c>
      <c r="H2266">
        <f>1-(1-Skills!J3/100)^Skills!K3</f>
        <v/>
      </c>
      <c r="I2266" t="inlineStr">
        <is>
          <t>1</t>
        </is>
      </c>
      <c r="J2266" t="inlineStr"/>
      <c r="K2266" t="inlineStr"/>
      <c r="L2266" t="inlineStr"/>
      <c r="M2266" t="inlineStr"/>
      <c r="N2266" t="inlineStr"/>
      <c r="O2266">
        <f>(1-Summary!$B$11)*T2266+Summary!$B$11*V2266</f>
        <v/>
      </c>
      <c r="P2266">
        <f>IF(B2309=0,0,O2266/B2309)</f>
        <v/>
      </c>
      <c r="Q2266" t="n">
        <v>0</v>
      </c>
      <c r="R2266" t="n">
        <v>0</v>
      </c>
      <c r="S2266">
        <f>IFERROR(O2266/N2266,0)</f>
        <v/>
      </c>
      <c r="T2266" t="n">
        <v>0</v>
      </c>
      <c r="U2266">
        <f>INDEX(FactorTable!$B$2:$Y$301, MATCH(ROUND(MIN(300,MAX(1,U2265)),0), FactorTable!$A$2:$A$301,0), 22)</f>
        <v/>
      </c>
      <c r="V2266" t="n">
        <v>0</v>
      </c>
    </row>
    <row r="2267">
      <c r="A2267">
        <f>Skills!A4</f>
        <v/>
      </c>
      <c r="B2267">
        <f>Skills!B4</f>
        <v/>
      </c>
      <c r="C2267">
        <f>Inputs!$B$3&gt;=66</f>
        <v/>
      </c>
      <c r="D2267">
        <f>IF(Skills!C4=1,60+Inputs!$B$25+Inputs!$B$29,IF(Skills!C4=2,90+Inputs!$B$26+Inputs!$B$29,IF(Skills!C4=3,120+Inputs!$B$27+Inputs!$B$29,MAX(0,(Inputs!$B$3-100)*3)+Inputs!$B$28+Inputs!$B$29)))</f>
        <v/>
      </c>
      <c r="E2267">
        <f>INDEX(FactorTable!$B$2:$Y$301, MATCH(ROUND(MIN(300,MAX(1,D2267)),0), FactorTable!$A$2:$A$301,0), Skills!M4+1)</f>
        <v/>
      </c>
      <c r="F2267">
        <f>IF(Skills!N4=TRUE,(Skills!L4/10)*(E2267/1000),Skills!L4/10)+Skills!O4</f>
        <v/>
      </c>
      <c r="G2267">
        <f>Skills!G4*IF(Skills!H4&gt;0,IF(Inputs!$B$39="pvp",MIN(Skills!I4,15),Skills!I4)/Skills!H4,1)</f>
        <v/>
      </c>
      <c r="H2267">
        <f>1-(1-Skills!J4/100)^Skills!K4</f>
        <v/>
      </c>
      <c r="I2267" t="inlineStr">
        <is>
          <t>1</t>
        </is>
      </c>
      <c r="J2267">
        <f>((Inputs!$B$6*(1+Inputs!$B$7/100))+(((Inputs!$B$12*(1+Inputs!$B$13/100))-(Inputs!$B$12*(1+Inputs!$B$13/100)))+0.25*(Inputs!$B$14-Inputs!$B$14))*(1+Inputs!$B$7/100))*(F2267/100)</f>
        <v/>
      </c>
      <c r="K2267">
        <f>J2267*(1+((Inputs!$B$12*(1+Inputs!$B$13/100))*0.01+Inputs!$B$14*0.0025)/100)*(1+Inputs!$B$15/100)*(1+Inputs!$B$16/100)*(5000/(6000+Inputs!$B$43*(1-(100*(1-(1-Inputs!$B$19/100)*(1-CHOOSE(ArtifactsInput!$N$40+1,5,6,7,8,9,10)/100)^(ArtifactsInput!$M$40-ArtifactsInput!$M$40)))/100)))*(1+(Inputs!$B$24+((C2294=TRUE)*(F2294-Calc!F31))+((C2281=TRUE)*(F2281-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4="CRUEL_STAB",Inputs!$B$17+((C2291=TRUE)*(F2291-Calc!F28))+((IF(AND(Inputs!$B$39&lt;&gt;"pvp",Inputs!$B$44=0),1,IF(IF(Inputs!$B$39="pvp",15,Inputs!$B$44)-(B2308)&lt;=0,1,MAX(0,IF(Inputs!$B$39="pvp",15,Inputs!$B$44)-MAX(5,B2308))/(IF(Inputs!$B$39="pvp",15,Inputs!$B$44)-(B2308))))*(IF(AND(ArtifactsInput!$M$42,((Inputs!$B$9+((C2289=TRUE)*(F2289-Calc!F26))+B2297+(ArtifactsInput!$M$24-ArtifactsInput!$M$24)*CHOOSE(ArtifactsInput!$N$24+1,10,12,14,16,18,20)+IF(ArtifactsInput!$M$10,CHOOSE(ArtifactsInput!$N$10+1,15,18,21,24,27,30)*(IF(Inputs!$B$39="pvp",MIN(15,15)/15,IF(AND(Inputs!$B$39&lt;&gt;"pvp",Inputs!$B$44&gt;0),MIN(15,Inputs!$B$44)/(Inputs!$B$44),0))),0)))&gt;=100),MIN(100,((Inputs!$B$9+((C2289=TRUE)*(F2289-Calc!F26))+B2297+(ArtifactsInput!$M$24-ArtifactsInput!$M$24)*CHOOSE(ArtifactsInput!$N$24+1,10,12,14,16,18,20)+IF(ArtifactsInput!$M$10,CHOOSE(ArtifactsInput!$N$10+1,15,18,21,24,27,30)*(IF(Inputs!$B$39="pvp",MIN(15,15)/15,IF(AND(Inputs!$B$39&lt;&gt;"pvp",Inputs!$B$44&gt;0),MIN(15,Inputs!$B$44)/(Inputs!$B$44),0))),0)))-100),0))*CHOOSE(ArtifactsInput!$N$42+1,0.6,0.72,0.84,0.96,1.08,1.2))),Inputs!$B$18+((C2292=TRUE)*(F2292-Calc!F29))+(IF(AND(Inputs!$B$39&lt;&gt;"pvp",Inputs!$B$44=0),1,IF(IF(Inputs!$B$39="pvp",15,Inputs!$B$44)-(B2308)&lt;=0,1,MAX(0,IF(Inputs!$B$39="pvp",15,Inputs!$B$44)-MAX(5,B2308))/(IF(Inputs!$B$39="pvp",15,Inputs!$B$44)-(B2308))))*IF(AND(ArtifactsInput!$M$42,((Inputs!$B$9+((C2289=TRUE)*(F2289-Calc!F26))+B2297+(ArtifactsInput!$M$24-ArtifactsInput!$M$24)*CHOOSE(ArtifactsInput!$N$24+1,10,12,14,16,18,20)+IF(ArtifactsInput!$M$10,CHOOSE(ArtifactsInput!$N$10+1,15,18,21,24,27,30)*(IF(Inputs!$B$39="pvp",MIN(15,15)/15,IF(AND(Inputs!$B$39&lt;&gt;"pvp",Inputs!$B$44&gt;0),MIN(15,Inputs!$B$44)/(Inputs!$B$44),0))),0)))&gt;=100),CHOOSE(ArtifactsInput!$N$42+1,40,48,56,64,72,80),0))))/100)*(((1+(((C2285=TRUE)*F2285*IF(AND(Inputs!$B$39&lt;&gt;"pvp",Inputs!$B$44&gt;0),(((R2285-1)*MIN((Skills!Y22*(1+Inputs!$B$34/100)),(1/Q2285))+MIN((Skills!Y22*(1+Inputs!$B$34/100)),MAX(0,Inputs!$B$44-((R2285-1)*(1/Q2285)))))/Inputs!$B$44),IF(Inputs!$B$39="pvp",MIN((Skills!Y22*(1+Inputs!$B$34/100)),15)/15,MIN(1,(Skills!Y22*(1+Inputs!$B$34/100))/(1/Q2285)))))+((C2266=TRUE)*F2266*3)+((C2268=TRUE)*F2268*(1-EXP(-0.75*B2301*5)))+((C2287=TRUE)*(F2287-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2274=TRUE)*F2274*IF(AND(Inputs!$B$39&lt;&gt;"pvp",Inputs!$B$44&gt;0),(((R2274-1)*MIN((Skills!Y11*(1+Inputs!$B$34/100)),(1/Q2274))+MIN((Skills!Y11*(1+Inputs!$B$34/100)),MAX(0,Inputs!$B$44-((R2274-1)*(1/Q2274)))))/Inputs!$B$44),IF(Inputs!$B$39="pvp",MIN((Skills!Y11*(1+Inputs!$B$34/100)),15)/15,MIN(1,(Skills!Y11*(1+Inputs!$B$34/100))/(1/Q2274)))))/100)*(1+((C2279=TRUE)*F2279*IF(AND(Inputs!$B$39&lt;&gt;"pvp",Inputs!$B$44&gt;0),(((R2279-1)*MIN((Skills!Y16*(1+Inputs!$B$34/100)),(1/Q2279))+MIN((Skills!Y16*(1+Inputs!$B$34/100)),MAX(0,Inputs!$B$44-((R2279-1)*(1/Q2279)))))/Inputs!$B$44),IF(Inputs!$B$39="pvp",MIN((Skills!Y16*(1+Inputs!$B$34/100)),15)/15,MIN(1,(Skills!Y16*(1+Inputs!$B$34/100))/(1/Q2279)))))/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2299*I2267)</f>
        <v/>
      </c>
      <c r="L2267">
        <f>K2267*(MIN(Inputs!$B$22+((C2288=TRUE)*(F2288-Calc!F25)),(Inputs!$B$23+((C2293=TRUE)*(F2293-Calc!F30))+IF(ArtifactsInput!$M$15,CHOOSE(ArtifactsInput!$N$15+1,25,30,35,40,45,50)/100*(Inputs!$B$11-Inputs!$B$11),0)))/100+(Inputs!$B$23+((C2293=TRUE)*(F2293-Calc!F30))+IF(ArtifactsInput!$M$15,CHOOSE(ArtifactsInput!$N$15+1,25,30,35,40,45,50)/100*(Inputs!$B$11-Inputs!$B$11),0))/100)/2</f>
        <v/>
      </c>
      <c r="M2267">
        <f>L2267*(1+(Inputs!$B$10+((C2290=TRUE)*(F2290-Calc!F27))+B2304+(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2267">
        <f>L2267*(1-MIN((Inputs!$B$9+((C2289=TRUE)*(F2289-Calc!F26))+B2297+(ArtifactsInput!$M$24-ArtifactsInput!$M$24)*CHOOSE(ArtifactsInput!$N$24+1,10,12,14,16,18,20)+(IF(AND(Inputs!$B$39&lt;&gt;"pvp",Inputs!$B$44=0),1,IF(IF(Inputs!$B$39="pvp",15,Inputs!$B$44)-(B2308)&lt;=0,1,MAX(0,IF(Inputs!$B$39="pvp",15,Inputs!$B$44)-MAX(5,B2308))/(IF(Inputs!$B$39="pvp",15,Inputs!$B$44)-(B2308))))*IF(AND(ArtifactsInput!$M$42,((Inputs!$B$9+((C2289=TRUE)*(F2289-Calc!F26))+B2297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2267*(MIN((Inputs!$B$9+((C2289=TRUE)*(F2289-Calc!F26))+B2297+(ArtifactsInput!$M$24-ArtifactsInput!$M$24)*CHOOSE(ArtifactsInput!$N$24+1,10,12,14,16,18,20)+(IF(AND(Inputs!$B$39&lt;&gt;"pvp",Inputs!$B$44=0),1,IF(IF(Inputs!$B$39="pvp",15,Inputs!$B$44)-(B2308)&lt;=0,1,MAX(0,IF(Inputs!$B$39="pvp",15,Inputs!$B$44)-MAX(5,B2308))/(IF(Inputs!$B$39="pvp",15,Inputs!$B$44)-(B2308))))*IF(AND(ArtifactsInput!$M$42,((Inputs!$B$9+((C2289=TRUE)*(F2289-Calc!F26))+B2297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267">
        <f>(1-Summary!$B$11)*T2267+Summary!$B$11*V2267</f>
        <v/>
      </c>
      <c r="P2267">
        <f>IF(B2309=0,0,O2267/B2309)</f>
        <v/>
      </c>
      <c r="Q2267">
        <f>IFERROR(1/IF(Inputs!$B$39="pvp",15,MAX(0.1,Skills!D4-IF(TRUE=TRUE,Inputs!$B$32,0))),0)</f>
        <v/>
      </c>
      <c r="R2267">
        <f>IF(AND(Inputs!$B$39&lt;&gt;"pvp",Inputs!$B$44&gt;0),IF(MAX(0,Inputs!$B$44-B2308)&lt;=0,0,(INT(MAX(0,Inputs!$B$44-B2308)/IF(Inputs!$B$39="pvp",15,MAX(0.1,Skills!D4-IF(TRUE=TRUE,Inputs!$B$32,0))))+1)),0)</f>
        <v/>
      </c>
      <c r="S2267">
        <f>IFERROR(O2267/N2267,0)</f>
        <v/>
      </c>
      <c r="T2267">
        <f>IF(C2267,(H2267*N2267*IF(AND(Inputs!$B$39&lt;&gt;"pvp",Inputs!$B$44&gt;0),((Skills!G4*((R2267-1)*IF(Skills!H4&gt;0,Skills!I4/Skills!H4,1)+IF(Skills!H4&gt;0,MIN(Skills!I4,MAX(0,MAX(0,Inputs!$B$44-B2308)-((R2267-1)*IF(Inputs!$B$39="pvp",15,MAX(0.1,Skills!D4-IF(TRUE=TRUE,Inputs!$B$32,0))))))/Skills!H4,1)))/Inputs!$B$44),G2267*Q2267))*IF(Inputs!$B$39="pvp",1,1+(Inputs!$B$20+0+Skills!P4+B2298+(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IF(ArtifactsInput!$M$23,FALSE,TRUE)-ArtifactsInput!$M$23)*CHOOSE(ArtifactsInput!$N$23+1,50,60,70,80,90,100))+(IF(AND(ArtifactsInput!$M$35,Inputs!$B$4&lt;&gt;"Chapter Hunt"),CHOOSE(ArtifactsInput!$N$35+1,15,18,21,24,27,30)*(1-EXP(-(0.2*B2301)*5)),0)+IF(AND(ArtifactsInput!$M$22,Inputs!$B$4&lt;&gt;"Chapter Hunt"),CHOOSE(ArtifactsInput!$N$22+1,10,12,14,16,18,20)*((0*(((0.15*B2301*5))^0/1)+1*(((0.15*B2301*5))^1/1)+2*(((0.15*B2301*5))^2/2)+3*(((0.15*B2301*5))^3/6)+4*(((0.15*B2301*5))^4/24)+5*(((0.15*B2301*5))^5/120))/((((0.15*B2301*5))^0/1)+(((0.15*B2301*5))^1/1)+(((0.15*B2301*5))^2/2)+(((0.15*B2301*5))^3/6)+(((0.15*B2301*5))^4/24)+(((0.15*B2301*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2267*(1-MIN(100,(Inputs!$B$9+((C2289=TRUE)*(F2289-Calc!F26))+B2297+(ArtifactsInput!$M$24-ArtifactsInput!$M$24)*CHOOSE(ArtifactsInput!$N$24+1,10,12,14,16,18,20)+(IF(AND(Inputs!$B$39&lt;&gt;"pvp",Inputs!$B$44=0),1,IF(IF(Inputs!$B$39="pvp",15,Inputs!$B$44)-(B2308)&lt;=0,1,MAX(0,IF(Inputs!$B$39="pvp",15,Inputs!$B$44)-MAX(5,B2308))/(IF(Inputs!$B$39="pvp",15,Inputs!$B$44)-(B2308))))*IF(AND(ArtifactsInput!$M$42,((Inputs!$B$9+((C2289=TRUE)*(F2289-Calc!F26))+B2297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2267*(MIN(100,(Inputs!$B$9+((C2289=TRUE)*(F2289-Calc!F26))+B2297+(ArtifactsInput!$M$24-ArtifactsInput!$M$24)*CHOOSE(ArtifactsInput!$N$24+1,10,12,14,16,18,20)+(IF(AND(Inputs!$B$39&lt;&gt;"pvp",Inputs!$B$44=0),1,IF(IF(Inputs!$B$39="pvp",15,Inputs!$B$44)-(B2308)&lt;=0,1,MAX(0,IF(Inputs!$B$39="pvp",15,Inputs!$B$44)-MAX(5,B2308))/(IF(Inputs!$B$39="pvp",15,Inputs!$B$44)-(B2308))))*IF(AND(ArtifactsInput!$M$42,((Inputs!$B$9+((C2289=TRUE)*(F2289-Calc!F26))+B2297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2267*(1-MIN(100,(Inputs!$B$9+((C2289=TRUE)*(F2289-Calc!F26))+B2297+(ArtifactsInput!$M$24-ArtifactsInput!$M$24)*CHOOSE(ArtifactsInput!$N$24+1,10,12,14,16,18,20)+(IF(AND(Inputs!$B$39&lt;&gt;"pvp",Inputs!$B$44=0),1,IF(IF(Inputs!$B$39="pvp",15,Inputs!$B$44)-(B2308)&lt;=0,1,MAX(0,IF(Inputs!$B$39="pvp",15,Inputs!$B$44)-MAX(5,B2308))/(IF(Inputs!$B$39="pvp",15,Inputs!$B$44)-(B2308))))*IF(AND(ArtifactsInput!$M$42,((Inputs!$B$9+((C2289=TRUE)*(F2289-Calc!F26))+B2297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2267*(MIN(100,(Inputs!$B$9+((C2289=TRUE)*(F2289-Calc!F26))+B2297+(ArtifactsInput!$M$24-ArtifactsInput!$M$24)*CHOOSE(ArtifactsInput!$N$24+1,10,12,14,16,18,20)+(IF(AND(Inputs!$B$39&lt;&gt;"pvp",Inputs!$B$44=0),1,IF(IF(Inputs!$B$39="pvp",15,Inputs!$B$44)-(B2308)&lt;=0,1,MAX(0,IF(Inputs!$B$39="pvp",15,Inputs!$B$44)-MAX(5,B2308))/(IF(Inputs!$B$39="pvp",15,Inputs!$B$44)-(B2308))))*IF(AND(ArtifactsInput!$M$42,((Inputs!$B$9+((C2289=TRUE)*(F2289-Calc!F26))+B2297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2267">
        <f>290*U2266/1000</f>
        <v/>
      </c>
      <c r="V2267">
        <f>IF(C2267,(H2267*N2267*IF(AND(Inputs!$B$39&lt;&gt;"pvp",Inputs!$B$44&gt;0),((Skills!G4*((R2267-1)*IF(Skills!H4&gt;0,Skills!I4/Skills!H4,1)+IF(Skills!H4&gt;0,MIN(Skills!I4,MAX(0,MAX(0,Inputs!$B$44-B2308)-((R2267-1)*IF(Inputs!$B$39="pvp",15,MAX(0.1,Skills!D4-IF(TRUE=TRUE,Inputs!$B$32,0))))))/Skills!H4,1)))/Inputs!$B$44),G2267*Q2267))*IF(Inputs!$B$39="pvp",1,(1+(Inputs!$B$21+Skills!Q4+B2298+(IF(ArtifactsInput!$M$33,CHOOSE(ArtifactsInput!$N$33+1,30,36,42,48,54,60),0))+(IF(AND(ArtifactsInput!$M$35,Inputs!$B$4&lt;&gt;"Chapter Hunt"),CHOOSE(ArtifactsInput!$N$35+1,15,18,21,24,27,30)*(1-EXP(-(0.2*B2301)*5)),0)+IF(AND(ArtifactsInput!$M$22,Inputs!$B$4&lt;&gt;"Chapter Hunt"),CHOOSE(ArtifactsInput!$N$22+1,10,12,14,16,18,20)*((0*(((0.15*B2301*5))^0/1)+1*(((0.15*B2301*5))^1/1)+2*(((0.15*B2301*5))^2/2)+3*(((0.15*B2301*5))^3/6)+4*(((0.15*B2301*5))^4/24)+5*(((0.15*B2301*5))^5/120))/((((0.15*B2301*5))^0/1)+(((0.15*B2301*5))^1/1)+(((0.15*B2301*5))^2/2)+(((0.15*B2301*5))^3/6)+(((0.15*B2301*5))^4/24)+(((0.15*B2301*5))^5/120))),0)))/100)*(MIN(MIN(10,IF(Inputs!$B$3&gt;=75,0.75,0.5)*B2301*(1/Q2267)),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268">
      <c r="A2268">
        <f>Skills!A5</f>
        <v/>
      </c>
      <c r="B2268">
        <f>Skills!B5</f>
        <v/>
      </c>
      <c r="C2268">
        <f>Inputs!$B$3&gt;=75</f>
        <v/>
      </c>
      <c r="D2268">
        <f>IF(Skills!C5=1,60+Inputs!$B$25+Inputs!$B$29,IF(Skills!C5=2,90+Inputs!$B$26+Inputs!$B$29,IF(Skills!C5=3,120+Inputs!$B$27+Inputs!$B$29,MAX(0,(Inputs!$B$3-100)*3)+Inputs!$B$28+Inputs!$B$29)))</f>
        <v/>
      </c>
      <c r="E2268">
        <f>INDEX(FactorTable!$B$2:$Y$301, MATCH(ROUND(MIN(300,MAX(1,D2268)),0), FactorTable!$A$2:$A$301,0), Skills!M5+1)</f>
        <v/>
      </c>
      <c r="F2268">
        <f>IF(Skills!N5=TRUE,(Skills!L5/10)*(E2268/1000),Skills!L5/10)+Skills!O5</f>
        <v/>
      </c>
      <c r="G2268">
        <f>Skills!G5*IF(Skills!H5&gt;0,IF(Inputs!$B$39="pvp",MIN(Skills!I5,15),Skills!I5)/Skills!H5,1)</f>
        <v/>
      </c>
      <c r="H2268">
        <f>1-(1-Skills!J5/100)^Skills!K5</f>
        <v/>
      </c>
      <c r="I2268" t="inlineStr">
        <is>
          <t>1</t>
        </is>
      </c>
      <c r="J2268" t="inlineStr"/>
      <c r="K2268" t="inlineStr"/>
      <c r="L2268" t="inlineStr"/>
      <c r="M2268" t="inlineStr"/>
      <c r="N2268" t="inlineStr"/>
      <c r="O2268">
        <f>(1-Summary!$B$11)*T2268+Summary!$B$11*V2268</f>
        <v/>
      </c>
      <c r="P2268">
        <f>IF(B2309=0,0,O2268/B2309)</f>
        <v/>
      </c>
      <c r="Q2268" t="n">
        <v>0</v>
      </c>
      <c r="R2268" t="n">
        <v>0</v>
      </c>
      <c r="S2268">
        <f>IFERROR(O2268/N2268,0)</f>
        <v/>
      </c>
      <c r="T2268" t="n">
        <v>0</v>
      </c>
      <c r="V2268" t="n">
        <v>0</v>
      </c>
    </row>
    <row r="2269">
      <c r="A2269">
        <f>Skills!A6</f>
        <v/>
      </c>
      <c r="B2269">
        <f>Skills!B6</f>
        <v/>
      </c>
      <c r="C2269">
        <f>Inputs!$B$3&gt;=63</f>
        <v/>
      </c>
      <c r="D2269">
        <f>IF(Skills!C6=1,60+Inputs!$B$25+Inputs!$B$29,IF(Skills!C6=2,90+Inputs!$B$26+Inputs!$B$29,IF(Skills!C6=3,120+Inputs!$B$27+Inputs!$B$29,MAX(0,(Inputs!$B$3-100)*3)+Inputs!$B$28+Inputs!$B$29)))</f>
        <v/>
      </c>
      <c r="E2269">
        <f>INDEX(FactorTable!$B$2:$Y$301, MATCH(ROUND(MIN(300,MAX(1,D2269)),0), FactorTable!$A$2:$A$301,0), Skills!M6+1)</f>
        <v/>
      </c>
      <c r="F2269">
        <f>IF(Skills!N6=TRUE,(Skills!L6/10)*(E2269/1000),Skills!L6/10)+Skills!O6</f>
        <v/>
      </c>
      <c r="G2269">
        <f>Skills!G6*IF(Skills!H6&gt;0,IF(Inputs!$B$39="pvp",MIN(Skills!I6,15),Skills!I6)/Skills!H6,1)</f>
        <v/>
      </c>
      <c r="H2269">
        <f>1-(1-Skills!J6/100)^Skills!K6</f>
        <v/>
      </c>
      <c r="I2269" t="inlineStr">
        <is>
          <t>1</t>
        </is>
      </c>
      <c r="J2269">
        <f>((Inputs!$B$6*(1+Inputs!$B$7/100))+(((Inputs!$B$12*(1+Inputs!$B$13/100))-(Inputs!$B$12*(1+Inputs!$B$13/100)))+0.25*(Inputs!$B$14-Inputs!$B$14))*(1+Inputs!$B$7/100))*(F2269/100)</f>
        <v/>
      </c>
      <c r="K2269">
        <f>J2269*(1+((Inputs!$B$12*(1+Inputs!$B$13/100))*0.01+Inputs!$B$14*0.0025)/100)*(1+Inputs!$B$15/100)*(1+Inputs!$B$16/100)*(5000/(6000+Inputs!$B$43*(1-(100*(1-(1-Inputs!$B$19/100)*(1-CHOOSE(ArtifactsInput!$N$40+1,5,6,7,8,9,10)/100)^(ArtifactsInput!$M$40-ArtifactsInput!$M$40)))/100)))*(1+(Inputs!$B$24+((C2294=TRUE)*(F2294-Calc!F31))+((C2281=TRUE)*(F2281-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+2.6666666666666665*IF(C2282=TRUE,F2282,0)/100)*(1+(IF(Skills!A6="CRUEL_STAB",Inputs!$B$17+((C2291=TRUE)*(F2291-Calc!F28))+((IF(AND(Inputs!$B$39&lt;&gt;"pvp",Inputs!$B$44=0),1,IF(IF(Inputs!$B$39="pvp",15,Inputs!$B$44)-(B2308)&lt;=0,1,MAX(0,IF(Inputs!$B$39="pvp",15,Inputs!$B$44)-MAX(5,B2308))/(IF(Inputs!$B$39="pvp",15,Inputs!$B$44)-(B2308))))*(IF(AND(ArtifactsInput!$M$42,((Inputs!$B$9+((C2289=TRUE)*(F2289-Calc!F26))+B2297+(ArtifactsInput!$M$24-ArtifactsInput!$M$24)*CHOOSE(ArtifactsInput!$N$24+1,10,12,14,16,18,20)+IF(ArtifactsInput!$M$10,CHOOSE(ArtifactsInput!$N$10+1,15,18,21,24,27,30)*(IF(Inputs!$B$39="pvp",MIN(15,15)/15,IF(AND(Inputs!$B$39&lt;&gt;"pvp",Inputs!$B$44&gt;0),MIN(15,Inputs!$B$44)/(Inputs!$B$44),0))),0)))&gt;=100),MIN(100,((Inputs!$B$9+((C2289=TRUE)*(F2289-Calc!F26))+B2297+(ArtifactsInput!$M$24-ArtifactsInput!$M$24)*CHOOSE(ArtifactsInput!$N$24+1,10,12,14,16,18,20)+IF(ArtifactsInput!$M$10,CHOOSE(ArtifactsInput!$N$10+1,15,18,21,24,27,30)*(IF(Inputs!$B$39="pvp",MIN(15,15)/15,IF(AND(Inputs!$B$39&lt;&gt;"pvp",Inputs!$B$44&gt;0),MIN(15,Inputs!$B$44)/(Inputs!$B$44),0))),0)))-100),0))*CHOOSE(ArtifactsInput!$N$42+1,0.6,0.72,0.84,0.96,1.08,1.2))),Inputs!$B$18+((C2292=TRUE)*(F2292-Calc!F29))+(IF(AND(Inputs!$B$39&lt;&gt;"pvp",Inputs!$B$44=0),1,IF(IF(Inputs!$B$39="pvp",15,Inputs!$B$44)-(B2308)&lt;=0,1,MAX(0,IF(Inputs!$B$39="pvp",15,Inputs!$B$44)-MAX(5,B2308))/(IF(Inputs!$B$39="pvp",15,Inputs!$B$44)-(B2308))))*IF(AND(ArtifactsInput!$M$42,((Inputs!$B$9+((C2289=TRUE)*(F2289-Calc!F26))+B2297+(ArtifactsInput!$M$24-ArtifactsInput!$M$24)*CHOOSE(ArtifactsInput!$N$24+1,10,12,14,16,18,20)+IF(ArtifactsInput!$M$10,CHOOSE(ArtifactsInput!$N$10+1,15,18,21,24,27,30)*(IF(Inputs!$B$39="pvp",MIN(15,15)/15,IF(AND(Inputs!$B$39&lt;&gt;"pvp",Inputs!$B$44&gt;0),MIN(15,Inputs!$B$44)/(Inputs!$B$44),0))),0)))&gt;=100),CHOOSE(ArtifactsInput!$N$42+1,40,48,56,64,72,80),0))))/100)*(((1+(((C2285=TRUE)*F2285*IF(AND(Inputs!$B$39&lt;&gt;"pvp",Inputs!$B$44&gt;0),(((R2285-1)*MIN((Skills!Y22*(1+Inputs!$B$34/100)),(1/Q2285))+MIN((Skills!Y22*(1+Inputs!$B$34/100)),MAX(0,Inputs!$B$44-((R2285-1)*(1/Q2285)))))/Inputs!$B$44),IF(Inputs!$B$39="pvp",MIN((Skills!Y22*(1+Inputs!$B$34/100)),15)/15,MIN(1,(Skills!Y22*(1+Inputs!$B$34/100))/(1/Q2285)))))+((C2266=TRUE)*F2266*3)+((C2268=TRUE)*F2268*(1-EXP(-0.75*B2301*5)))+((C2287=TRUE)*(F2287-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2274=TRUE)*F2274*IF(AND(Inputs!$B$39&lt;&gt;"pvp",Inputs!$B$44&gt;0),(((R2274-1)*MIN((Skills!Y11*(1+Inputs!$B$34/100)),(1/Q2274))+MIN((Skills!Y11*(1+Inputs!$B$34/100)),MAX(0,Inputs!$B$44-((R2274-1)*(1/Q2274)))))/Inputs!$B$44),IF(Inputs!$B$39="pvp",MIN((Skills!Y11*(1+Inputs!$B$34/100)),15)/15,MIN(1,(Skills!Y11*(1+Inputs!$B$34/100))/(1/Q2274)))))/100)*(1+((C2279=TRUE)*F2279*IF(AND(Inputs!$B$39&lt;&gt;"pvp",Inputs!$B$44&gt;0),(((R2279-1)*MIN((Skills!Y16*(1+Inputs!$B$34/100)),(1/Q2279))+MIN((Skills!Y16*(1+Inputs!$B$34/100)),MAX(0,Inputs!$B$44-((R2279-1)*(1/Q2279)))))/Inputs!$B$44),IF(Inputs!$B$39="pvp",MIN((Skills!Y16*(1+Inputs!$B$34/100)),15)/15,MIN(1,(Skills!Y16*(1+Inputs!$B$34/100))/(1/Q2279)))))/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2299*I2269)</f>
        <v/>
      </c>
      <c r="L2269">
        <f>K2269*(MIN(Inputs!$B$22+((C2288=TRUE)*(F2288-Calc!F25)),(Inputs!$B$23+((C2293=TRUE)*(F2293-Calc!F30))+IF(ArtifactsInput!$M$15,CHOOSE(ArtifactsInput!$N$15+1,25,30,35,40,45,50)/100*(Inputs!$B$11-Inputs!$B$11),0)))/100+(Inputs!$B$23+((C2293=TRUE)*(F2293-Calc!F30))+IF(ArtifactsInput!$M$15,CHOOSE(ArtifactsInput!$N$15+1,25,30,35,40,45,50)/100*(Inputs!$B$11-Inputs!$B$11),0))/100)/2</f>
        <v/>
      </c>
      <c r="M2269">
        <f>L2269*(1+(Inputs!$B$10+((C2290=TRUE)*(F2290-Calc!F27))+B2304+(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2269">
        <f>L2269*(1-MIN((Inputs!$B$9+((C2289=TRUE)*(F2289-Calc!F26))+B2297+(ArtifactsInput!$M$24-ArtifactsInput!$M$24)*CHOOSE(ArtifactsInput!$N$24+1,10,12,14,16,18,20)+(IF(AND(Inputs!$B$39&lt;&gt;"pvp",Inputs!$B$44=0),1,IF(IF(Inputs!$B$39="pvp",15,Inputs!$B$44)-(B2308)&lt;=0,1,MAX(0,IF(Inputs!$B$39="pvp",15,Inputs!$B$44)-MAX(5,B2308))/(IF(Inputs!$B$39="pvp",15,Inputs!$B$44)-(B2308))))*IF(AND(ArtifactsInput!$M$42,((Inputs!$B$9+((C2289=TRUE)*(F2289-Calc!F26))+B2297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2269*(MIN((Inputs!$B$9+((C2289=TRUE)*(F2289-Calc!F26))+B2297+(ArtifactsInput!$M$24-ArtifactsInput!$M$24)*CHOOSE(ArtifactsInput!$N$24+1,10,12,14,16,18,20)+(IF(AND(Inputs!$B$39&lt;&gt;"pvp",Inputs!$B$44=0),1,IF(IF(Inputs!$B$39="pvp",15,Inputs!$B$44)-(B2308)&lt;=0,1,MAX(0,IF(Inputs!$B$39="pvp",15,Inputs!$B$44)-MAX(5,B2308))/(IF(Inputs!$B$39="pvp",15,Inputs!$B$44)-(B2308))))*IF(AND(ArtifactsInput!$M$42,((Inputs!$B$9+((C2289=TRUE)*(F2289-Calc!F26))+B2297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269">
        <f>(1-Summary!$B$11)*T2269+Summary!$B$11*V2269</f>
        <v/>
      </c>
      <c r="P2269">
        <f>IF(B2309=0,0,O2269/B2309)</f>
        <v/>
      </c>
      <c r="Q2269">
        <f>IFERROR(1/IF(Inputs!$B$39="pvp",15,MAX(0.1,Skills!D6-IF(TRUE=TRUE,Inputs!$B$32,0))),0)</f>
        <v/>
      </c>
      <c r="R2269">
        <f>IF(AND(Inputs!$B$39&lt;&gt;"pvp",Inputs!$B$44&gt;0),IF(MAX(0,Inputs!$B$44-B2308)&lt;=0,0,(INT(MAX(0,Inputs!$B$44-B2308)/IF(Inputs!$B$39="pvp",15,MAX(0.1,Skills!D6-IF(TRUE=TRUE,Inputs!$B$32,0))))+1)),0)</f>
        <v/>
      </c>
      <c r="S2269">
        <f>IFERROR(O2269/N2269,0)</f>
        <v/>
      </c>
      <c r="T2269">
        <f>IF(C2269,(H2269*N2269*IF(AND(Inputs!$B$39&lt;&gt;"pvp",Inputs!$B$44&gt;0),((Skills!G6*((R2269-1)*IF(Skills!H6&gt;0,Skills!I6/Skills!H6,1)+IF(Skills!H6&gt;0,MIN(Skills!I6,MAX(0,MAX(0,Inputs!$B$44-B2308)-((R2269-1)*IF(Inputs!$B$39="pvp",15,MAX(0.1,Skills!D6-IF(TRUE=TRUE,Inputs!$B$32,0))))))/Skills!H6,1)))/Inputs!$B$44),G2269*Q2269))*IF(Inputs!$B$39="pvp",1,1+(Inputs!$B$20+0+Skills!P6+B2298+(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IF(ArtifactsInput!$M$23,FALSE,TRUE)-ArtifactsInput!$M$23)*CHOOSE(ArtifactsInput!$N$23+1,50,60,70,80,90,100))+(IF(AND(ArtifactsInput!$M$35,Inputs!$B$4&lt;&gt;"Chapter Hunt"),CHOOSE(ArtifactsInput!$N$35+1,15,18,21,24,27,30)*(1-EXP(-(0.2*B2301)*5)),0)+IF(AND(ArtifactsInput!$M$22,Inputs!$B$4&lt;&gt;"Chapter Hunt"),CHOOSE(ArtifactsInput!$N$22+1,10,12,14,16,18,20)*((0*(((0.15*B2301*5))^0/1)+1*(((0.15*B2301*5))^1/1)+2*(((0.15*B2301*5))^2/2)+3*(((0.15*B2301*5))^3/6)+4*(((0.15*B2301*5))^4/24)+5*(((0.15*B2301*5))^5/120))/((((0.15*B2301*5))^0/1)+(((0.15*B2301*5))^1/1)+(((0.15*B2301*5))^2/2)+(((0.15*B2301*5))^3/6)+(((0.15*B2301*5))^4/24)+(((0.15*B2301*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2269*(1-MIN(100,(Inputs!$B$9+((C2289=TRUE)*(F2289-Calc!F26))+B2297+(ArtifactsInput!$M$24-ArtifactsInput!$M$24)*CHOOSE(ArtifactsInput!$N$24+1,10,12,14,16,18,20)+(IF(AND(Inputs!$B$39&lt;&gt;"pvp",Inputs!$B$44=0),1,IF(IF(Inputs!$B$39="pvp",15,Inputs!$B$44)-(B2308)&lt;=0,1,MAX(0,IF(Inputs!$B$39="pvp",15,Inputs!$B$44)-MAX(5,B2308))/(IF(Inputs!$B$39="pvp",15,Inputs!$B$44)-(B2308))))*IF(AND(ArtifactsInput!$M$42,((Inputs!$B$9+((C2289=TRUE)*(F2289-Calc!F26))+B2297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2269*(MIN(100,(Inputs!$B$9+((C2289=TRUE)*(F2289-Calc!F26))+B2297+(ArtifactsInput!$M$24-ArtifactsInput!$M$24)*CHOOSE(ArtifactsInput!$N$24+1,10,12,14,16,18,20)+(IF(AND(Inputs!$B$39&lt;&gt;"pvp",Inputs!$B$44=0),1,IF(IF(Inputs!$B$39="pvp",15,Inputs!$B$44)-(B2308)&lt;=0,1,MAX(0,IF(Inputs!$B$39="pvp",15,Inputs!$B$44)-MAX(5,B2308))/(IF(Inputs!$B$39="pvp",15,Inputs!$B$44)-(B2308))))*IF(AND(ArtifactsInput!$M$42,((Inputs!$B$9+((C2289=TRUE)*(F2289-Calc!F26))+B2297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2269*(1-MIN(100,(Inputs!$B$9+((C2289=TRUE)*(F2289-Calc!F26))+B2297+(ArtifactsInput!$M$24-ArtifactsInput!$M$24)*CHOOSE(ArtifactsInput!$N$24+1,10,12,14,16,18,20)+(IF(AND(Inputs!$B$39&lt;&gt;"pvp",Inputs!$B$44=0),1,IF(IF(Inputs!$B$39="pvp",15,Inputs!$B$44)-(B2308)&lt;=0,1,MAX(0,IF(Inputs!$B$39="pvp",15,Inputs!$B$44)-MAX(5,B2308))/(IF(Inputs!$B$39="pvp",15,Inputs!$B$44)-(B2308))))*IF(AND(ArtifactsInput!$M$42,((Inputs!$B$9+((C2289=TRUE)*(F2289-Calc!F26))+B2297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2269*(MIN(100,(Inputs!$B$9+((C2289=TRUE)*(F2289-Calc!F26))+B2297+(ArtifactsInput!$M$24-ArtifactsInput!$M$24)*CHOOSE(ArtifactsInput!$N$24+1,10,12,14,16,18,20)+(IF(AND(Inputs!$B$39&lt;&gt;"pvp",Inputs!$B$44=0),1,IF(IF(Inputs!$B$39="pvp",15,Inputs!$B$44)-(B2308)&lt;=0,1,MAX(0,IF(Inputs!$B$39="pvp",15,Inputs!$B$44)-MAX(5,B2308))/(IF(Inputs!$B$39="pvp",15,Inputs!$B$44)-(B2308))))*IF(AND(ArtifactsInput!$M$42,((Inputs!$B$9+((C2289=TRUE)*(F2289-Calc!F26))+B2297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269">
        <f>IF(C2269,(H2269*N2269*IF(AND(Inputs!$B$39&lt;&gt;"pvp",Inputs!$B$44&gt;0),((Skills!G6*((R2269-1)*IF(Skills!H6&gt;0,Skills!I6/Skills!H6,1)+IF(Skills!H6&gt;0,MIN(Skills!I6,MAX(0,MAX(0,Inputs!$B$44-B2308)-((R2269-1)*IF(Inputs!$B$39="pvp",15,MAX(0.1,Skills!D6-IF(TRUE=TRUE,Inputs!$B$32,0))))))/Skills!H6,1)))/Inputs!$B$44),G2269*Q2269))*IF(Inputs!$B$39="pvp",1,(1+(Inputs!$B$21+Skills!Q6+B2298+(IF(ArtifactsInput!$M$33,CHOOSE(ArtifactsInput!$N$33+1,30,36,42,48,54,60),0))+(IF(AND(ArtifactsInput!$M$35,Inputs!$B$4&lt;&gt;"Chapter Hunt"),CHOOSE(ArtifactsInput!$N$35+1,15,18,21,24,27,30)*(1-EXP(-(0.2*B2301)*5)),0)+IF(AND(ArtifactsInput!$M$22,Inputs!$B$4&lt;&gt;"Chapter Hunt"),CHOOSE(ArtifactsInput!$N$22+1,10,12,14,16,18,20)*((0*(((0.15*B2301*5))^0/1)+1*(((0.15*B2301*5))^1/1)+2*(((0.15*B2301*5))^2/2)+3*(((0.15*B2301*5))^3/6)+4*(((0.15*B2301*5))^4/24)+5*(((0.15*B2301*5))^5/120))/((((0.15*B2301*5))^0/1)+(((0.15*B2301*5))^1/1)+(((0.15*B2301*5))^2/2)+(((0.15*B2301*5))^3/6)+(((0.15*B2301*5))^4/24)+(((0.15*B2301*5))^5/120))),0)))/100)*(MIN(Skills!W6,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270">
      <c r="A2270">
        <f>Skills!A7</f>
        <v/>
      </c>
      <c r="B2270">
        <f>Skills!B7</f>
        <v/>
      </c>
      <c r="C2270">
        <f>Inputs!$B$3&gt;=69</f>
        <v/>
      </c>
      <c r="D2270">
        <f>IF(Skills!C7=1,60+Inputs!$B$25+Inputs!$B$29,IF(Skills!C7=2,90+Inputs!$B$26+Inputs!$B$29,IF(Skills!C7=3,120+Inputs!$B$27+Inputs!$B$29,MAX(0,(Inputs!$B$3-100)*3)+Inputs!$B$28+Inputs!$B$29)))</f>
        <v/>
      </c>
      <c r="E2270">
        <f>INDEX(FactorTable!$B$2:$Y$301, MATCH(ROUND(MIN(300,MAX(1,D2270)),0), FactorTable!$A$2:$A$301,0), Skills!M7+1)</f>
        <v/>
      </c>
      <c r="F2270">
        <f>IF(Skills!N7=TRUE,(Skills!L7/10)*(E2270/1000),Skills!L7/10)+Skills!O7</f>
        <v/>
      </c>
      <c r="G2270">
        <f>Skills!G7*IF(Skills!H7&gt;0,IF(Inputs!$B$39="pvp",MIN(Skills!I7,15),Skills!I7)/Skills!H7,1)</f>
        <v/>
      </c>
      <c r="H2270">
        <f>1-(1-Skills!J7/100)^Skills!K7</f>
        <v/>
      </c>
      <c r="I2270" t="inlineStr">
        <is>
          <t>1</t>
        </is>
      </c>
      <c r="J2270">
        <f>((Inputs!$B$6*(1+Inputs!$B$7/100))+(((Inputs!$B$12*(1+Inputs!$B$13/100))-(Inputs!$B$12*(1+Inputs!$B$13/100)))+0.25*(Inputs!$B$14-Inputs!$B$14))*(1+Inputs!$B$7/100))*(F2270/100)</f>
        <v/>
      </c>
      <c r="K2270">
        <f>J2270*(1+((Inputs!$B$12*(1+Inputs!$B$13/100))*0.01+Inputs!$B$14*0.0025)/100)*(1+Inputs!$B$15/100)*(1+Inputs!$B$16/100)*(5000/(6000+Inputs!$B$43*(1-(100*(1-(1-Inputs!$B$19/100)*(1-CHOOSE(ArtifactsInput!$N$40+1,5,6,7,8,9,10)/100)^(ArtifactsInput!$M$40-ArtifactsInput!$M$40)))/100)))*(1+(Inputs!$B$24+((C2294=TRUE)*(F2294-Calc!F31))+((C2281=TRUE)*(F2281-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2282=TRUE,F2282,0)/100)*(1+(IF(Skills!A7="CRUEL_STAB",Inputs!$B$17+((C2291=TRUE)*(F2291-Calc!F28))+((IF(AND(Inputs!$B$39&lt;&gt;"pvp",Inputs!$B$44=0),1,IF(IF(Inputs!$B$39="pvp",15,Inputs!$B$44)-(B2308)&lt;=0,1,MAX(0,IF(Inputs!$B$39="pvp",15,Inputs!$B$44)-MAX(5,B2308))/(IF(Inputs!$B$39="pvp",15,Inputs!$B$44)-(B2308))))*(IF(AND(ArtifactsInput!$M$42,((Inputs!$B$9+((C2289=TRUE)*(F2289-Calc!F26))+B2297+(ArtifactsInput!$M$24-ArtifactsInput!$M$24)*CHOOSE(ArtifactsInput!$N$24+1,10,12,14,16,18,20)+IF(ArtifactsInput!$M$10,CHOOSE(ArtifactsInput!$N$10+1,15,18,21,24,27,30)*(IF(Inputs!$B$39="pvp",MIN(15,15)/15,IF(AND(Inputs!$B$39&lt;&gt;"pvp",Inputs!$B$44&gt;0),MIN(15,Inputs!$B$44)/(Inputs!$B$44),0))),0)))&gt;=100),MIN(100,((Inputs!$B$9+((C2289=TRUE)*(F2289-Calc!F26))+B2297+(ArtifactsInput!$M$24-ArtifactsInput!$M$24)*CHOOSE(ArtifactsInput!$N$24+1,10,12,14,16,18,20)+IF(ArtifactsInput!$M$10,CHOOSE(ArtifactsInput!$N$10+1,15,18,21,24,27,30)*(IF(Inputs!$B$39="pvp",MIN(15,15)/15,IF(AND(Inputs!$B$39&lt;&gt;"pvp",Inputs!$B$44&gt;0),MIN(15,Inputs!$B$44)/(Inputs!$B$44),0))),0)))-100),0))*CHOOSE(ArtifactsInput!$N$42+1,0.6,0.72,0.84,0.96,1.08,1.2))),Inputs!$B$18+((C2292=TRUE)*(F2292-Calc!F29))+(IF(AND(Inputs!$B$39&lt;&gt;"pvp",Inputs!$B$44=0),1,IF(IF(Inputs!$B$39="pvp",15,Inputs!$B$44)-(B2308)&lt;=0,1,MAX(0,IF(Inputs!$B$39="pvp",15,Inputs!$B$44)-MAX(5,B2308))/(IF(Inputs!$B$39="pvp",15,Inputs!$B$44)-(B2308))))*IF(AND(ArtifactsInput!$M$42,((Inputs!$B$9+((C2289=TRUE)*(F2289-Calc!F26))+B2297+(ArtifactsInput!$M$24-ArtifactsInput!$M$24)*CHOOSE(ArtifactsInput!$N$24+1,10,12,14,16,18,20)+IF(ArtifactsInput!$M$10,CHOOSE(ArtifactsInput!$N$10+1,15,18,21,24,27,30)*(IF(Inputs!$B$39="pvp",MIN(15,15)/15,IF(AND(Inputs!$B$39&lt;&gt;"pvp",Inputs!$B$44&gt;0),MIN(15,Inputs!$B$44)/(Inputs!$B$44),0))),0)))&gt;=100),CHOOSE(ArtifactsInput!$N$42+1,40,48,56,64,72,80),0))))/100)*(((1+(((C2285=TRUE)*F2285*IF(AND(Inputs!$B$39&lt;&gt;"pvp",Inputs!$B$44&gt;0),(((R2285-1)*MIN((Skills!Y22*(1+Inputs!$B$34/100)),(1/Q2285))+MIN((Skills!Y22*(1+Inputs!$B$34/100)),MAX(0,Inputs!$B$44-((R2285-1)*(1/Q2285)))))/Inputs!$B$44),IF(Inputs!$B$39="pvp",MIN((Skills!Y22*(1+Inputs!$B$34/100)),15)/15,MIN(1,(Skills!Y22*(1+Inputs!$B$34/100))/(1/Q2285)))))+((C2266=TRUE)*F2266*3)+((C2268=TRUE)*F2268*(1-EXP(-0.75*B2301*5)))+((C2287=TRUE)*(F2287-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2274=TRUE)*F2274*IF(AND(Inputs!$B$39&lt;&gt;"pvp",Inputs!$B$44&gt;0),(((R2274-1)*MIN((Skills!Y11*(1+Inputs!$B$34/100)),(1/Q2274))+MIN((Skills!Y11*(1+Inputs!$B$34/100)),MAX(0,Inputs!$B$44-((R2274-1)*(1/Q2274)))))/Inputs!$B$44),IF(Inputs!$B$39="pvp",MIN((Skills!Y11*(1+Inputs!$B$34/100)),15)/15,MIN(1,(Skills!Y11*(1+Inputs!$B$34/100))/(1/Q2274)))))/100)*(1+((C2279=TRUE)*F2279*IF(AND(Inputs!$B$39&lt;&gt;"pvp",Inputs!$B$44&gt;0),(((R2279-1)*MIN((Skills!Y16*(1+Inputs!$B$34/100)),(1/Q2279))+MIN((Skills!Y16*(1+Inputs!$B$34/100)),MAX(0,Inputs!$B$44-((R2279-1)*(1/Q2279)))))/Inputs!$B$44),IF(Inputs!$B$39="pvp",MIN((Skills!Y16*(1+Inputs!$B$34/100)),15)/15,MIN(1,(Skills!Y16*(1+Inputs!$B$34/100))/(1/Q2279)))))/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2299*I2270)</f>
        <v/>
      </c>
      <c r="L2270">
        <f>K2270*(MIN(Inputs!$B$22+((C2288=TRUE)*(F2288-Calc!F25)),(Inputs!$B$23+((C2293=TRUE)*(F2293-Calc!F30))+IF(ArtifactsInput!$M$15,CHOOSE(ArtifactsInput!$N$15+1,25,30,35,40,45,50)/100*(Inputs!$B$11-Inputs!$B$11),0)))/100+(Inputs!$B$23+((C2293=TRUE)*(F2293-Calc!F30))+IF(ArtifactsInput!$M$15,CHOOSE(ArtifactsInput!$N$15+1,25,30,35,40,45,50)/100*(Inputs!$B$11-Inputs!$B$11),0))/100)/2</f>
        <v/>
      </c>
      <c r="M2270">
        <f>L2270*(1+(Inputs!$B$10+((C2290=TRUE)*(F2290-Calc!F27))+B2304+(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2270">
        <f>L2270*(1-MIN((Inputs!$B$9+((C2289=TRUE)*(F2289-Calc!F26))+B2297+(ArtifactsInput!$M$24-ArtifactsInput!$M$24)*CHOOSE(ArtifactsInput!$N$24+1,10,12,14,16,18,20)+(IF(AND(Inputs!$B$39&lt;&gt;"pvp",Inputs!$B$44=0),1,IF(IF(Inputs!$B$39="pvp",15,Inputs!$B$44)-(B2308)&lt;=0,1,MAX(0,IF(Inputs!$B$39="pvp",15,Inputs!$B$44)-MAX(5,B2308))/(IF(Inputs!$B$39="pvp",15,Inputs!$B$44)-(B2308))))*IF(AND(ArtifactsInput!$M$42,((Inputs!$B$9+((C2289=TRUE)*(F2289-Calc!F26))+B2297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2270*(MIN((Inputs!$B$9+((C2289=TRUE)*(F2289-Calc!F26))+B2297+(ArtifactsInput!$M$24-ArtifactsInput!$M$24)*CHOOSE(ArtifactsInput!$N$24+1,10,12,14,16,18,20)+(IF(AND(Inputs!$B$39&lt;&gt;"pvp",Inputs!$B$44=0),1,IF(IF(Inputs!$B$39="pvp",15,Inputs!$B$44)-(B2308)&lt;=0,1,MAX(0,IF(Inputs!$B$39="pvp",15,Inputs!$B$44)-MAX(5,B2308))/(IF(Inputs!$B$39="pvp",15,Inputs!$B$44)-(B2308))))*IF(AND(ArtifactsInput!$M$42,((Inputs!$B$9+((C2289=TRUE)*(F2289-Calc!F26))+B2297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270">
        <f>(1-Summary!$B$11)*T2270+Summary!$B$11*V2270</f>
        <v/>
      </c>
      <c r="P2270">
        <f>IF(B2309=0,0,O2270/B2309)</f>
        <v/>
      </c>
      <c r="Q2270">
        <f>IFERROR(1/IF(Inputs!$B$39="pvp",15,MAX(0.1,Skills!D7-IF(TRUE=TRUE,Inputs!$B$32,0))),0)</f>
        <v/>
      </c>
      <c r="R2270">
        <f>IF(AND(Inputs!$B$39&lt;&gt;"pvp",Inputs!$B$44&gt;0),IF(MAX(0,Inputs!$B$44-B2308)&lt;=0,0,(INT(MAX(0,Inputs!$B$44-B2308)/IF(Inputs!$B$39="pvp",15,MAX(0.1,Skills!D7-IF(TRUE=TRUE,Inputs!$B$32,0))))+1)),0)</f>
        <v/>
      </c>
      <c r="S2270">
        <f>IFERROR(O2270/N2270,0)</f>
        <v/>
      </c>
      <c r="T2270">
        <f>IF(C2270,(H2270*N2270*IF(AND(Inputs!$B$39&lt;&gt;"pvp",Inputs!$B$44&gt;0),((Skills!G7*((R2270-1)*IF(Skills!H7&gt;0,Skills!I7/Skills!H7,1)+IF(Skills!H7&gt;0,MIN(Skills!I7,MAX(0,MAX(0,Inputs!$B$44-B2308)-((R2270-1)*IF(Inputs!$B$39="pvp",15,MAX(0.1,Skills!D7-IF(TRUE=TRUE,Inputs!$B$32,0))))))/Skills!H7,1)))/Inputs!$B$44),G2270*Q2270))*IF(Inputs!$B$39="pvp",1,1+(Inputs!$B$20+0+Skills!P7+B2298+(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IF(ArtifactsInput!$M$23,FALSE,TRUE)-ArtifactsInput!$M$23)*CHOOSE(ArtifactsInput!$N$23+1,50,60,70,80,90,100))+(IF(AND(ArtifactsInput!$M$35,Inputs!$B$4&lt;&gt;"Chapter Hunt"),CHOOSE(ArtifactsInput!$N$35+1,15,18,21,24,27,30)*(1-EXP(-(0.2*B2301)*5)),0)+IF(AND(ArtifactsInput!$M$22,Inputs!$B$4&lt;&gt;"Chapter Hunt"),CHOOSE(ArtifactsInput!$N$22+1,10,12,14,16,18,20)*((0*(((0.15*B2301*5))^0/1)+1*(((0.15*B2301*5))^1/1)+2*(((0.15*B2301*5))^2/2)+3*(((0.15*B2301*5))^3/6)+4*(((0.15*B2301*5))^4/24)+5*(((0.15*B2301*5))^5/120))/((((0.15*B2301*5))^0/1)+(((0.15*B2301*5))^1/1)+(((0.15*B2301*5))^2/2)+(((0.15*B2301*5))^3/6)+(((0.15*B2301*5))^4/24)+(((0.15*B2301*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2270*(1-MIN(100,(Inputs!$B$9+((C2289=TRUE)*(F2289-Calc!F26))+B2297+(ArtifactsInput!$M$24-ArtifactsInput!$M$24)*CHOOSE(ArtifactsInput!$N$24+1,10,12,14,16,18,20)+(IF(AND(Inputs!$B$39&lt;&gt;"pvp",Inputs!$B$44=0),1,IF(IF(Inputs!$B$39="pvp",15,Inputs!$B$44)-(B2308)&lt;=0,1,MAX(0,IF(Inputs!$B$39="pvp",15,Inputs!$B$44)-MAX(5,B2308))/(IF(Inputs!$B$39="pvp",15,Inputs!$B$44)-(B2308))))*IF(AND(ArtifactsInput!$M$42,((Inputs!$B$9+((C2289=TRUE)*(F2289-Calc!F26))+B2297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2270*(MIN(100,(Inputs!$B$9+((C2289=TRUE)*(F2289-Calc!F26))+B2297+(ArtifactsInput!$M$24-ArtifactsInput!$M$24)*CHOOSE(ArtifactsInput!$N$24+1,10,12,14,16,18,20)+(IF(AND(Inputs!$B$39&lt;&gt;"pvp",Inputs!$B$44=0),1,IF(IF(Inputs!$B$39="pvp",15,Inputs!$B$44)-(B2308)&lt;=0,1,MAX(0,IF(Inputs!$B$39="pvp",15,Inputs!$B$44)-MAX(5,B2308))/(IF(Inputs!$B$39="pvp",15,Inputs!$B$44)-(B2308))))*IF(AND(ArtifactsInput!$M$42,((Inputs!$B$9+((C2289=TRUE)*(F2289-Calc!F26))+B2297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2270*(1-MIN(100,(Inputs!$B$9+((C2289=TRUE)*(F2289-Calc!F26))+B2297+(ArtifactsInput!$M$24-ArtifactsInput!$M$24)*CHOOSE(ArtifactsInput!$N$24+1,10,12,14,16,18,20)+(IF(AND(Inputs!$B$39&lt;&gt;"pvp",Inputs!$B$44=0),1,IF(IF(Inputs!$B$39="pvp",15,Inputs!$B$44)-(B2308)&lt;=0,1,MAX(0,IF(Inputs!$B$39="pvp",15,Inputs!$B$44)-MAX(5,B2308))/(IF(Inputs!$B$39="pvp",15,Inputs!$B$44)-(B2308))))*IF(AND(ArtifactsInput!$M$42,((Inputs!$B$9+((C2289=TRUE)*(F2289-Calc!F26))+B2297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2270*(MIN(100,(Inputs!$B$9+((C2289=TRUE)*(F2289-Calc!F26))+B2297+(ArtifactsInput!$M$24-ArtifactsInput!$M$24)*CHOOSE(ArtifactsInput!$N$24+1,10,12,14,16,18,20)+(IF(AND(Inputs!$B$39&lt;&gt;"pvp",Inputs!$B$44=0),1,IF(IF(Inputs!$B$39="pvp",15,Inputs!$B$44)-(B2308)&lt;=0,1,MAX(0,IF(Inputs!$B$39="pvp",15,Inputs!$B$44)-MAX(5,B2308))/(IF(Inputs!$B$39="pvp",15,Inputs!$B$44)-(B2308))))*IF(AND(ArtifactsInput!$M$42,((Inputs!$B$9+((C2289=TRUE)*(F2289-Calc!F26))+B2297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270">
        <f>IF(C2270,(H2270*N2270*IF(AND(Inputs!$B$39&lt;&gt;"pvp",Inputs!$B$44&gt;0),((Skills!G7*((R2270-1)*IF(Skills!H7&gt;0,Skills!I7/Skills!H7,1)+IF(Skills!H7&gt;0,MIN(Skills!I7,MAX(0,MAX(0,Inputs!$B$44-B2308)-((R2270-1)*IF(Inputs!$B$39="pvp",15,MAX(0.1,Skills!D7-IF(TRUE=TRUE,Inputs!$B$32,0))))))/Skills!H7,1)))/Inputs!$B$44),G2270*Q2270))*IF(Inputs!$B$39="pvp",1,(1+(Inputs!$B$21+Skills!Q7+B2298+(IF(ArtifactsInput!$M$33,CHOOSE(ArtifactsInput!$N$33+1,30,36,42,48,54,60),0))+(IF(AND(ArtifactsInput!$M$35,Inputs!$B$4&lt;&gt;"Chapter Hunt"),CHOOSE(ArtifactsInput!$N$35+1,15,18,21,24,27,30)*(1-EXP(-(0.2*B2301)*5)),0)+IF(AND(ArtifactsInput!$M$22,Inputs!$B$4&lt;&gt;"Chapter Hunt"),CHOOSE(ArtifactsInput!$N$22+1,10,12,14,16,18,20)*((0*(((0.15*B2301*5))^0/1)+1*(((0.15*B2301*5))^1/1)+2*(((0.15*B2301*5))^2/2)+3*(((0.15*B2301*5))^3/6)+4*(((0.15*B2301*5))^4/24)+5*(((0.15*B2301*5))^5/120))/((((0.15*B2301*5))^0/1)+(((0.15*B2301*5))^1/1)+(((0.15*B2301*5))^2/2)+(((0.15*B2301*5))^3/6)+(((0.15*B2301*5))^4/24)+(((0.15*B2301*5))^5/120))),0)))/100)*(MIN(Skills!W7,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271">
      <c r="A2271">
        <f>Skills!A8</f>
        <v/>
      </c>
      <c r="B2271">
        <f>Skills!B8</f>
        <v/>
      </c>
      <c r="C2271">
        <f>Inputs!$B$3&gt;=60</f>
        <v/>
      </c>
      <c r="D2271">
        <f>IF(Skills!C8=1,60+Inputs!$B$25+Inputs!$B$29,IF(Skills!C8=2,90+Inputs!$B$26+Inputs!$B$29,IF(Skills!C8=3,120+Inputs!$B$27+Inputs!$B$29,MAX(0,(Inputs!$B$3-100)*3)+Inputs!$B$28+Inputs!$B$29)))</f>
        <v/>
      </c>
      <c r="E2271">
        <f>INDEX(FactorTable!$B$2:$Y$301, MATCH(ROUND(MIN(300,MAX(1,D2271)),0), FactorTable!$A$2:$A$301,0), Skills!M8+1)</f>
        <v/>
      </c>
      <c r="F2271">
        <f>IF(Skills!N8=TRUE,(Skills!L8/10)*(E2271/1000),Skills!L8/10)+Skills!O8</f>
        <v/>
      </c>
      <c r="G2271">
        <f>Skills!G8*IF(Skills!H8&gt;0,IF(Inputs!$B$39="pvp",MIN(Skills!I8,15),Skills!I8)/Skills!H8,1)</f>
        <v/>
      </c>
      <c r="H2271">
        <f>1-(1-Skills!J8/100)^Skills!K8</f>
        <v/>
      </c>
      <c r="I2271" t="inlineStr">
        <is>
          <t>1</t>
        </is>
      </c>
      <c r="J2271" t="inlineStr"/>
      <c r="K2271" t="inlineStr"/>
      <c r="L2271" t="inlineStr"/>
      <c r="M2271" t="inlineStr"/>
      <c r="N2271" t="inlineStr"/>
      <c r="O2271">
        <f>(1-Summary!$B$11)*T2271+Summary!$B$11*V2271</f>
        <v/>
      </c>
      <c r="P2271">
        <f>IF(B2309=0,0,O2271/B2309)</f>
        <v/>
      </c>
      <c r="Q2271" t="n">
        <v>0</v>
      </c>
      <c r="R2271" t="n">
        <v>0</v>
      </c>
      <c r="S2271">
        <f>IFERROR(O2271/N2271,0)</f>
        <v/>
      </c>
      <c r="T2271" t="n">
        <v>0</v>
      </c>
      <c r="V2271" t="n">
        <v>0</v>
      </c>
    </row>
    <row r="2272">
      <c r="A2272">
        <f>Skills!A9</f>
        <v/>
      </c>
      <c r="B2272">
        <f>Skills!B9</f>
        <v/>
      </c>
      <c r="C2272">
        <f>Inputs!$B$3&gt;=72</f>
        <v/>
      </c>
      <c r="D2272">
        <f>IF(Skills!C9=1,60+Inputs!$B$25+Inputs!$B$29,IF(Skills!C9=2,90+Inputs!$B$26+Inputs!$B$29,IF(Skills!C9=3,120+Inputs!$B$27+Inputs!$B$29,MAX(0,(Inputs!$B$3-100)*3)+Inputs!$B$28+Inputs!$B$29)))</f>
        <v/>
      </c>
      <c r="E2272">
        <f>INDEX(FactorTable!$B$2:$Y$301, MATCH(ROUND(MIN(300,MAX(1,D2272)),0), FactorTable!$A$2:$A$301,0), Skills!M9+1)</f>
        <v/>
      </c>
      <c r="F2272">
        <f>IF(Skills!N9=TRUE,(Skills!L9/10)*(E2272/1000),Skills!L9/10)+Skills!O9</f>
        <v/>
      </c>
      <c r="G2272">
        <f>Skills!G9*IF(Skills!H9&gt;0,IF(Inputs!$B$39="pvp",MIN(Skills!I9,15),Skills!I9)/Skills!H9,1)</f>
        <v/>
      </c>
      <c r="H2272">
        <f>1-(1-Skills!J9/100)^Skills!K9</f>
        <v/>
      </c>
      <c r="I2272" t="inlineStr">
        <is>
          <t>1</t>
        </is>
      </c>
      <c r="J2272">
        <f>((Inputs!$B$6*(1+Inputs!$B$7/100))+(((Inputs!$B$12*(1+Inputs!$B$13/100))-(Inputs!$B$12*(1+Inputs!$B$13/100)))+0.25*(Inputs!$B$14-Inputs!$B$14))*(1+Inputs!$B$7/100))*(F2272/100)</f>
        <v/>
      </c>
      <c r="K2272">
        <f>J2272*(1+((Inputs!$B$12*(1+Inputs!$B$13/100))*0.01+Inputs!$B$14*0.0025)/100)*(1+Inputs!$B$15/100)*(1+Inputs!$B$16/100)*(5000/(6000+Inputs!$B$43*(1-(100*(1-(1-Inputs!$B$19/100)*(1-CHOOSE(ArtifactsInput!$N$40+1,5,6,7,8,9,10)/100)^(ArtifactsInput!$M$40-ArtifactsInput!$M$40)))/100)))*(1+(Inputs!$B$24+((C2294=TRUE)*(F2294-Calc!F31))+((C2281=TRUE)*(F2281-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+3.3333333333333335*IF(C2282=TRUE,F2282,0)/100)*(1+(IF(Skills!A9="CRUEL_STAB",Inputs!$B$17+((C2291=TRUE)*(F2291-Calc!F28))+((IF(AND(Inputs!$B$39&lt;&gt;"pvp",Inputs!$B$44=0),1,IF(IF(Inputs!$B$39="pvp",15,Inputs!$B$44)-(B2308)&lt;=0,1,MAX(0,IF(Inputs!$B$39="pvp",15,Inputs!$B$44)-MAX(5,B2308))/(IF(Inputs!$B$39="pvp",15,Inputs!$B$44)-(B2308))))*(IF(AND(ArtifactsInput!$M$42,((Inputs!$B$9+((C2289=TRUE)*(F2289-Calc!F26))+B2297+(ArtifactsInput!$M$24-ArtifactsInput!$M$24)*CHOOSE(ArtifactsInput!$N$24+1,10,12,14,16,18,20)+IF(ArtifactsInput!$M$10,CHOOSE(ArtifactsInput!$N$10+1,15,18,21,24,27,30)*(IF(Inputs!$B$39="pvp",MIN(15,15)/15,IF(AND(Inputs!$B$39&lt;&gt;"pvp",Inputs!$B$44&gt;0),MIN(15,Inputs!$B$44)/(Inputs!$B$44),0))),0)))&gt;=100),MIN(100,((Inputs!$B$9+((C2289=TRUE)*(F2289-Calc!F26))+B2297+(ArtifactsInput!$M$24-ArtifactsInput!$M$24)*CHOOSE(ArtifactsInput!$N$24+1,10,12,14,16,18,20)+IF(ArtifactsInput!$M$10,CHOOSE(ArtifactsInput!$N$10+1,15,18,21,24,27,30)*(IF(Inputs!$B$39="pvp",MIN(15,15)/15,IF(AND(Inputs!$B$39&lt;&gt;"pvp",Inputs!$B$44&gt;0),MIN(15,Inputs!$B$44)/(Inputs!$B$44),0))),0)))-100),0))*CHOOSE(ArtifactsInput!$N$42+1,0.6,0.72,0.84,0.96,1.08,1.2))),Inputs!$B$18+((C2292=TRUE)*(F2292-Calc!F29))+(IF(AND(Inputs!$B$39&lt;&gt;"pvp",Inputs!$B$44=0),1,IF(IF(Inputs!$B$39="pvp",15,Inputs!$B$44)-(B2308)&lt;=0,1,MAX(0,IF(Inputs!$B$39="pvp",15,Inputs!$B$44)-MAX(5,B2308))/(IF(Inputs!$B$39="pvp",15,Inputs!$B$44)-(B2308))))*IF(AND(ArtifactsInput!$M$42,((Inputs!$B$9+((C2289=TRUE)*(F2289-Calc!F26))+B2297+(ArtifactsInput!$M$24-ArtifactsInput!$M$24)*CHOOSE(ArtifactsInput!$N$24+1,10,12,14,16,18,20)+IF(ArtifactsInput!$M$10,CHOOSE(ArtifactsInput!$N$10+1,15,18,21,24,27,30)*(IF(Inputs!$B$39="pvp",MIN(15,15)/15,IF(AND(Inputs!$B$39&lt;&gt;"pvp",Inputs!$B$44&gt;0),MIN(15,Inputs!$B$44)/(Inputs!$B$44),0))),0)))&gt;=100),CHOOSE(ArtifactsInput!$N$42+1,40,48,56,64,72,80),0))))/100)*(((1+(((C2285=TRUE)*F2285*IF(AND(Inputs!$B$39&lt;&gt;"pvp",Inputs!$B$44&gt;0),(((R2285-1)*MIN((Skills!Y22*(1+Inputs!$B$34/100)),(1/Q2285))+MIN((Skills!Y22*(1+Inputs!$B$34/100)),MAX(0,Inputs!$B$44-((R2285-1)*(1/Q2285)))))/Inputs!$B$44),IF(Inputs!$B$39="pvp",MIN((Skills!Y22*(1+Inputs!$B$34/100)),15)/15,MIN(1,(Skills!Y22*(1+Inputs!$B$34/100))/(1/Q2285)))))+((C2266=TRUE)*F2266*3)+((C2268=TRUE)*F2268*(1-EXP(-0.75*B2301*5)))+((C2287=TRUE)*(F2287-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2274=TRUE)*F2274*IF(AND(Inputs!$B$39&lt;&gt;"pvp",Inputs!$B$44&gt;0),(((R2274-1)*MIN((Skills!Y11*(1+Inputs!$B$34/100)),(1/Q2274))+MIN((Skills!Y11*(1+Inputs!$B$34/100)),MAX(0,Inputs!$B$44-((R2274-1)*(1/Q2274)))))/Inputs!$B$44),IF(Inputs!$B$39="pvp",MIN((Skills!Y11*(1+Inputs!$B$34/100)),15)/15,MIN(1,(Skills!Y11*(1+Inputs!$B$34/100))/(1/Q2274)))))/100)*(1+((C2279=TRUE)*F2279*IF(AND(Inputs!$B$39&lt;&gt;"pvp",Inputs!$B$44&gt;0),(((R2279-1)*MIN((Skills!Y16*(1+Inputs!$B$34/100)),(1/Q2279))+MIN((Skills!Y16*(1+Inputs!$B$34/100)),MAX(0,Inputs!$B$44-((R2279-1)*(1/Q2279)))))/Inputs!$B$44),IF(Inputs!$B$39="pvp",MIN((Skills!Y16*(1+Inputs!$B$34/100)),15)/15,MIN(1,(Skills!Y16*(1+Inputs!$B$34/100))/(1/Q2279)))))/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2299*I2272)</f>
        <v/>
      </c>
      <c r="L2272">
        <f>K2272*(MIN(Inputs!$B$22+((C2288=TRUE)*(F2288-Calc!F25)),(Inputs!$B$23+((C2293=TRUE)*(F2293-Calc!F30))+IF(ArtifactsInput!$M$15,CHOOSE(ArtifactsInput!$N$15+1,25,30,35,40,45,50)/100*(Inputs!$B$11-Inputs!$B$11),0)))/100+(Inputs!$B$23+((C2293=TRUE)*(F2293-Calc!F30))+IF(ArtifactsInput!$M$15,CHOOSE(ArtifactsInput!$N$15+1,25,30,35,40,45,50)/100*(Inputs!$B$11-Inputs!$B$11),0))/100)/2</f>
        <v/>
      </c>
      <c r="M2272">
        <f>L2272*(1+(Inputs!$B$10+((C2290=TRUE)*(F2290-Calc!F27))+B2304+(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2272">
        <f>L2272*(1-MIN((Inputs!$B$9+((C2289=TRUE)*(F2289-Calc!F26))+B2297+(ArtifactsInput!$M$24-ArtifactsInput!$M$24)*CHOOSE(ArtifactsInput!$N$24+1,10,12,14,16,18,20)+(IF(AND(Inputs!$B$39&lt;&gt;"pvp",Inputs!$B$44=0),1,IF(IF(Inputs!$B$39="pvp",15,Inputs!$B$44)-(B2308)&lt;=0,1,MAX(0,IF(Inputs!$B$39="pvp",15,Inputs!$B$44)-MAX(5,B2308))/(IF(Inputs!$B$39="pvp",15,Inputs!$B$44)-(B2308))))*IF(AND(ArtifactsInput!$M$42,((Inputs!$B$9+((C2289=TRUE)*(F2289-Calc!F26))+B2297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2272*(MIN((Inputs!$B$9+((C2289=TRUE)*(F2289-Calc!F26))+B2297+(ArtifactsInput!$M$24-ArtifactsInput!$M$24)*CHOOSE(ArtifactsInput!$N$24+1,10,12,14,16,18,20)+(IF(AND(Inputs!$B$39&lt;&gt;"pvp",Inputs!$B$44=0),1,IF(IF(Inputs!$B$39="pvp",15,Inputs!$B$44)-(B2308)&lt;=0,1,MAX(0,IF(Inputs!$B$39="pvp",15,Inputs!$B$44)-MAX(5,B2308))/(IF(Inputs!$B$39="pvp",15,Inputs!$B$44)-(B2308))))*IF(AND(ArtifactsInput!$M$42,((Inputs!$B$9+((C2289=TRUE)*(F2289-Calc!F26))+B2297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272">
        <f>(1-Summary!$B$11)*T2272+Summary!$B$11*V2272</f>
        <v/>
      </c>
      <c r="P2272">
        <f>IF(B2309=0,0,O2272/B2309)</f>
        <v/>
      </c>
      <c r="Q2272">
        <f>IFERROR(1/IF(Inputs!$B$39="pvp",15,MAX(0.1,Skills!D9-IF(FALSE=TRUE,Inputs!$B$32,0))),0)</f>
        <v/>
      </c>
      <c r="R2272">
        <f>IF(AND(Inputs!$B$39&lt;&gt;"pvp",Inputs!$B$44&gt;0),IF(MAX(0,Inputs!$B$44-B2308)&lt;=0,0,(INT(MAX(0,Inputs!$B$44-B2308)/IF(Inputs!$B$39="pvp",15,MAX(0.1,Skills!D9-IF(FALSE=TRUE,Inputs!$B$32,0))))+1)),0)</f>
        <v/>
      </c>
      <c r="S2272">
        <f>IFERROR(O2272/N2272,0)</f>
        <v/>
      </c>
      <c r="T2272">
        <f>IF(C2272,(H2272*N2272*IF(AND(Inputs!$B$39&lt;&gt;"pvp",Inputs!$B$44&gt;0),((Skills!G9*((R2272-1)*IF(Skills!H9&gt;0,Skills!I9/Skills!H9,1)+IF(Skills!H9&gt;0,MIN(Skills!I9,MAX(0,MAX(0,Inputs!$B$44-B2308)-((R2272-1)*IF(Inputs!$B$39="pvp",15,MAX(0.1,Skills!D9-IF(FALSE=TRUE,Inputs!$B$32,0))))))/Skills!H9,1)))/Inputs!$B$44),G2272*Q2272))*IF(Inputs!$B$39="pvp",1,1+(Inputs!$B$20+0+Skills!P9+B2298+(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IF(ArtifactsInput!$M$23,FALSE,TRUE)-ArtifactsInput!$M$23)*CHOOSE(ArtifactsInput!$N$23+1,50,60,70,80,90,100))+(IF(AND(ArtifactsInput!$M$35,Inputs!$B$4&lt;&gt;"Chapter Hunt"),CHOOSE(ArtifactsInput!$N$35+1,15,18,21,24,27,30)*(1-EXP(-(0.2*B2301)*5)),0)+IF(AND(ArtifactsInput!$M$22,Inputs!$B$4&lt;&gt;"Chapter Hunt"),CHOOSE(ArtifactsInput!$N$22+1,10,12,14,16,18,20)*((0*(((0.15*B2301*5))^0/1)+1*(((0.15*B2301*5))^1/1)+2*(((0.15*B2301*5))^2/2)+3*(((0.15*B2301*5))^3/6)+4*(((0.15*B2301*5))^4/24)+5*(((0.15*B2301*5))^5/120))/((((0.15*B2301*5))^0/1)+(((0.15*B2301*5))^1/1)+(((0.15*B2301*5))^2/2)+(((0.15*B2301*5))^3/6)+(((0.15*B2301*5))^4/24)+(((0.15*B2301*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2272*(1-MIN(100,(Inputs!$B$9+((C2289=TRUE)*(F2289-Calc!F26))+B2297+(ArtifactsInput!$M$24-ArtifactsInput!$M$24)*CHOOSE(ArtifactsInput!$N$24+1,10,12,14,16,18,20)+(IF(AND(Inputs!$B$39&lt;&gt;"pvp",Inputs!$B$44=0),1,IF(IF(Inputs!$B$39="pvp",15,Inputs!$B$44)-(B2308)&lt;=0,1,MAX(0,IF(Inputs!$B$39="pvp",15,Inputs!$B$44)-MAX(5,B2308))/(IF(Inputs!$B$39="pvp",15,Inputs!$B$44)-(B2308))))*IF(AND(ArtifactsInput!$M$42,((Inputs!$B$9+((C2289=TRUE)*(F2289-Calc!F26))+B2297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2272*(MIN(100,(Inputs!$B$9+((C2289=TRUE)*(F2289-Calc!F26))+B2297+(ArtifactsInput!$M$24-ArtifactsInput!$M$24)*CHOOSE(ArtifactsInput!$N$24+1,10,12,14,16,18,20)+(IF(AND(Inputs!$B$39&lt;&gt;"pvp",Inputs!$B$44=0),1,IF(IF(Inputs!$B$39="pvp",15,Inputs!$B$44)-(B2308)&lt;=0,1,MAX(0,IF(Inputs!$B$39="pvp",15,Inputs!$B$44)-MAX(5,B2308))/(IF(Inputs!$B$39="pvp",15,Inputs!$B$44)-(B2308))))*IF(AND(ArtifactsInput!$M$42,((Inputs!$B$9+((C2289=TRUE)*(F2289-Calc!F26))+B2297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2272*(1-MIN(100,(Inputs!$B$9+((C2289=TRUE)*(F2289-Calc!F26))+B2297+(ArtifactsInput!$M$24-ArtifactsInput!$M$24)*CHOOSE(ArtifactsInput!$N$24+1,10,12,14,16,18,20)+(IF(AND(Inputs!$B$39&lt;&gt;"pvp",Inputs!$B$44=0),1,IF(IF(Inputs!$B$39="pvp",15,Inputs!$B$44)-(B2308)&lt;=0,1,MAX(0,IF(Inputs!$B$39="pvp",15,Inputs!$B$44)-MAX(5,B2308))/(IF(Inputs!$B$39="pvp",15,Inputs!$B$44)-(B2308))))*IF(AND(ArtifactsInput!$M$42,((Inputs!$B$9+((C2289=TRUE)*(F2289-Calc!F26))+B2297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2272*(MIN(100,(Inputs!$B$9+((C2289=TRUE)*(F2289-Calc!F26))+B2297+(ArtifactsInput!$M$24-ArtifactsInput!$M$24)*CHOOSE(ArtifactsInput!$N$24+1,10,12,14,16,18,20)+(IF(AND(Inputs!$B$39&lt;&gt;"pvp",Inputs!$B$44=0),1,IF(IF(Inputs!$B$39="pvp",15,Inputs!$B$44)-(B2308)&lt;=0,1,MAX(0,IF(Inputs!$B$39="pvp",15,Inputs!$B$44)-MAX(5,B2308))/(IF(Inputs!$B$39="pvp",15,Inputs!$B$44)-(B2308))))*IF(AND(ArtifactsInput!$M$42,((Inputs!$B$9+((C2289=TRUE)*(F2289-Calc!F26))+B2297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272">
        <f>IF(C2272,(H2272*N2272*IF(AND(Inputs!$B$39&lt;&gt;"pvp",Inputs!$B$44&gt;0),((Skills!G9*((R2272-1)*IF(Skills!H9&gt;0,Skills!I9/Skills!H9,1)+IF(Skills!H9&gt;0,MIN(Skills!I9,MAX(0,MAX(0,Inputs!$B$44-B2308)-((R2272-1)*IF(Inputs!$B$39="pvp",15,MAX(0.1,Skills!D9-IF(FALSE=TRUE,Inputs!$B$32,0))))))/Skills!H9,1)))/Inputs!$B$44),G2272*Q2272))*IF(Inputs!$B$39="pvp",1,(1+(Inputs!$B$21+Skills!Q9+B2298+(IF(ArtifactsInput!$M$33,CHOOSE(ArtifactsInput!$N$33+1,30,36,42,48,54,60),0))+(IF(AND(ArtifactsInput!$M$35,Inputs!$B$4&lt;&gt;"Chapter Hunt"),CHOOSE(ArtifactsInput!$N$35+1,15,18,21,24,27,30)*(1-EXP(-(0.2*B2301)*5)),0)+IF(AND(ArtifactsInput!$M$22,Inputs!$B$4&lt;&gt;"Chapter Hunt"),CHOOSE(ArtifactsInput!$N$22+1,10,12,14,16,18,20)*((0*(((0.15*B2301*5))^0/1)+1*(((0.15*B2301*5))^1/1)+2*(((0.15*B2301*5))^2/2)+3*(((0.15*B2301*5))^3/6)+4*(((0.15*B2301*5))^4/24)+5*(((0.15*B2301*5))^5/120))/((((0.15*B2301*5))^0/1)+(((0.15*B2301*5))^1/1)+(((0.15*B2301*5))^2/2)+(((0.15*B2301*5))^3/6)+(((0.15*B2301*5))^4/24)+(((0.15*B2301*5))^5/120))),0)))/100)*(MIN(Skills!W9,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273">
      <c r="A2273">
        <f>Skills!A10</f>
        <v/>
      </c>
      <c r="B2273">
        <f>Skills!B10</f>
        <v/>
      </c>
      <c r="C2273">
        <f>Inputs!$B$3&gt;=117</f>
        <v/>
      </c>
      <c r="D2273">
        <f>IF(Skills!C10=1,60+Inputs!$B$25+Inputs!$B$29,IF(Skills!C10=2,90+Inputs!$B$26+Inputs!$B$29,IF(Skills!C10=3,120+Inputs!$B$27+Inputs!$B$29,MAX(0,(Inputs!$B$3-100)*3)+Inputs!$B$28+Inputs!$B$29)))</f>
        <v/>
      </c>
      <c r="E2273">
        <f>INDEX(FactorTable!$B$2:$Y$301, MATCH(ROUND(MIN(300,MAX(1,D2273)),0), FactorTable!$A$2:$A$301,0), Skills!M10+1)</f>
        <v/>
      </c>
      <c r="F2273">
        <f>IF(Skills!N10=TRUE,(Skills!L10/10)*(E2273/1000),Skills!L10/10)+Skills!O10</f>
        <v/>
      </c>
      <c r="G2273">
        <f>Skills!G10*IF(Skills!H10&gt;0,IF(Inputs!$B$39="pvp",MIN(Skills!I10,15),Skills!I10)/Skills!H10,1)</f>
        <v/>
      </c>
      <c r="H2273">
        <f>1-(1-Skills!J10/100)^Skills!K10</f>
        <v/>
      </c>
      <c r="I2273" t="inlineStr">
        <is>
          <t>1</t>
        </is>
      </c>
      <c r="J2273">
        <f>((Inputs!$B$6*(1+Inputs!$B$7/100))+(((Inputs!$B$12*(1+Inputs!$B$13/100))-(Inputs!$B$12*(1+Inputs!$B$13/100)))+0.25*(Inputs!$B$14-Inputs!$B$14))*(1+Inputs!$B$7/100))*(F2273/100)</f>
        <v/>
      </c>
      <c r="K2273">
        <f>J2273*(1+((Inputs!$B$12*(1+Inputs!$B$13/100))*0.01+Inputs!$B$14*0.0025)/100)*(1+Inputs!$B$15/100)*(1+Inputs!$B$16/100)*(5000/(6000+Inputs!$B$43*(1-(100*(1-(1-Inputs!$B$19/100)*(1-CHOOSE(ArtifactsInput!$N$40+1,5,6,7,8,9,10)/100)^(ArtifactsInput!$M$40-ArtifactsInput!$M$40)))/100)))*(1+(Inputs!$B$24+((C2294=TRUE)*(F2294-Calc!F31))+((C2281=TRUE)*(F2281-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10="CRUEL_STAB",Inputs!$B$17+((C2291=TRUE)*(F2291-Calc!F28))+((IF(AND(Inputs!$B$39&lt;&gt;"pvp",Inputs!$B$44=0),1,IF(IF(Inputs!$B$39="pvp",15,Inputs!$B$44)-(B2308)&lt;=0,1,MAX(0,IF(Inputs!$B$39="pvp",15,Inputs!$B$44)-MAX(5,B2308))/(IF(Inputs!$B$39="pvp",15,Inputs!$B$44)-(B2308))))*(IF(AND(ArtifactsInput!$M$42,((Inputs!$B$9+((C2289=TRUE)*(F2289-Calc!F26))+B2297+(ArtifactsInput!$M$24-ArtifactsInput!$M$24)*CHOOSE(ArtifactsInput!$N$24+1,10,12,14,16,18,20)+IF(ArtifactsInput!$M$10,CHOOSE(ArtifactsInput!$N$10+1,15,18,21,24,27,30)*(IF(Inputs!$B$39="pvp",MIN(15,15)/15,IF(AND(Inputs!$B$39&lt;&gt;"pvp",Inputs!$B$44&gt;0),MIN(15,Inputs!$B$44)/(Inputs!$B$44),0))),0)))&gt;=100),MIN(100,((Inputs!$B$9+((C2289=TRUE)*(F2289-Calc!F26))+B2297+(ArtifactsInput!$M$24-ArtifactsInput!$M$24)*CHOOSE(ArtifactsInput!$N$24+1,10,12,14,16,18,20)+IF(ArtifactsInput!$M$10,CHOOSE(ArtifactsInput!$N$10+1,15,18,21,24,27,30)*(IF(Inputs!$B$39="pvp",MIN(15,15)/15,IF(AND(Inputs!$B$39&lt;&gt;"pvp",Inputs!$B$44&gt;0),MIN(15,Inputs!$B$44)/(Inputs!$B$44),0))),0)))-100),0))*CHOOSE(ArtifactsInput!$N$42+1,0.6,0.72,0.84,0.96,1.08,1.2))),Inputs!$B$18+((C2292=TRUE)*(F2292-Calc!F29))+(IF(AND(Inputs!$B$39&lt;&gt;"pvp",Inputs!$B$44=0),1,IF(IF(Inputs!$B$39="pvp",15,Inputs!$B$44)-(B2308)&lt;=0,1,MAX(0,IF(Inputs!$B$39="pvp",15,Inputs!$B$44)-MAX(5,B2308))/(IF(Inputs!$B$39="pvp",15,Inputs!$B$44)-(B2308))))*IF(AND(ArtifactsInput!$M$42,((Inputs!$B$9+((C2289=TRUE)*(F2289-Calc!F26))+B2297+(ArtifactsInput!$M$24-ArtifactsInput!$M$24)*CHOOSE(ArtifactsInput!$N$24+1,10,12,14,16,18,20)+IF(ArtifactsInput!$M$10,CHOOSE(ArtifactsInput!$N$10+1,15,18,21,24,27,30)*(IF(Inputs!$B$39="pvp",MIN(15,15)/15,IF(AND(Inputs!$B$39&lt;&gt;"pvp",Inputs!$B$44&gt;0),MIN(15,Inputs!$B$44)/(Inputs!$B$44),0))),0)))&gt;=100),CHOOSE(ArtifactsInput!$N$42+1,40,48,56,64,72,80),0))))/100)*(((1+(((C2285=TRUE)*F2285*IF(AND(Inputs!$B$39&lt;&gt;"pvp",Inputs!$B$44&gt;0),(((R2285-1)*MIN((Skills!Y22*(1+Inputs!$B$34/100)),(1/Q2285))+MIN((Skills!Y22*(1+Inputs!$B$34/100)),MAX(0,Inputs!$B$44-((R2285-1)*(1/Q2285)))))/Inputs!$B$44),IF(Inputs!$B$39="pvp",MIN((Skills!Y22*(1+Inputs!$B$34/100)),15)/15,MIN(1,(Skills!Y22*(1+Inputs!$B$34/100))/(1/Q2285)))))+((C2266=TRUE)*F2266*3)+((C2268=TRUE)*F2268*(1-EXP(-0.75*B2301*5)))+((C2287=TRUE)*(F2287-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2274=TRUE)*F2274*IF(AND(Inputs!$B$39&lt;&gt;"pvp",Inputs!$B$44&gt;0),(((R2274-1)*MIN((Skills!Y11*(1+Inputs!$B$34/100)),(1/Q2274))+MIN((Skills!Y11*(1+Inputs!$B$34/100)),MAX(0,Inputs!$B$44-((R2274-1)*(1/Q2274)))))/Inputs!$B$44),IF(Inputs!$B$39="pvp",MIN((Skills!Y11*(1+Inputs!$B$34/100)),15)/15,MIN(1,(Skills!Y11*(1+Inputs!$B$34/100))/(1/Q2274)))))/100)*(1+((C2279=TRUE)*F2279*IF(AND(Inputs!$B$39&lt;&gt;"pvp",Inputs!$B$44&gt;0),(((R2279-1)*MIN((Skills!Y16*(1+Inputs!$B$34/100)),(1/Q2279))+MIN((Skills!Y16*(1+Inputs!$B$34/100)),MAX(0,Inputs!$B$44-((R2279-1)*(1/Q2279)))))/Inputs!$B$44),IF(Inputs!$B$39="pvp",MIN((Skills!Y16*(1+Inputs!$B$34/100)),15)/15,MIN(1,(Skills!Y16*(1+Inputs!$B$34/100))/(1/Q2279)))))/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2299*I2273)</f>
        <v/>
      </c>
      <c r="L2273">
        <f>K2273*(MIN(Inputs!$B$22+((C2288=TRUE)*(F2288-Calc!F25)),(Inputs!$B$23+((C2293=TRUE)*(F2293-Calc!F30))+IF(ArtifactsInput!$M$15,CHOOSE(ArtifactsInput!$N$15+1,25,30,35,40,45,50)/100*(Inputs!$B$11-Inputs!$B$11),0)))/100+(Inputs!$B$23+((C2293=TRUE)*(F2293-Calc!F30))+IF(ArtifactsInput!$M$15,CHOOSE(ArtifactsInput!$N$15+1,25,30,35,40,45,50)/100*(Inputs!$B$11-Inputs!$B$11),0))/100)/2</f>
        <v/>
      </c>
      <c r="M2273">
        <f>L2273*(1+(Inputs!$B$10+((C2290=TRUE)*(F2290-Calc!F27))+B2304+(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2273">
        <f>L2273*(1-MIN((Inputs!$B$9+((C2289=TRUE)*(F2289-Calc!F26))+B2297+(ArtifactsInput!$M$24-ArtifactsInput!$M$24)*CHOOSE(ArtifactsInput!$N$24+1,10,12,14,16,18,20)+(IF(AND(Inputs!$B$39&lt;&gt;"pvp",Inputs!$B$44=0),1,IF(IF(Inputs!$B$39="pvp",15,Inputs!$B$44)-(B2308)&lt;=0,1,MAX(0,IF(Inputs!$B$39="pvp",15,Inputs!$B$44)-MAX(5,B2308))/(IF(Inputs!$B$39="pvp",15,Inputs!$B$44)-(B2308))))*IF(AND(ArtifactsInput!$M$42,((Inputs!$B$9+((C2289=TRUE)*(F2289-Calc!F26))+B2297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2273*(MIN((Inputs!$B$9+((C2289=TRUE)*(F2289-Calc!F26))+B2297+(ArtifactsInput!$M$24-ArtifactsInput!$M$24)*CHOOSE(ArtifactsInput!$N$24+1,10,12,14,16,18,20)+(IF(AND(Inputs!$B$39&lt;&gt;"pvp",Inputs!$B$44=0),1,IF(IF(Inputs!$B$39="pvp",15,Inputs!$B$44)-(B2308)&lt;=0,1,MAX(0,IF(Inputs!$B$39="pvp",15,Inputs!$B$44)-MAX(5,B2308))/(IF(Inputs!$B$39="pvp",15,Inputs!$B$44)-(B2308))))*IF(AND(ArtifactsInput!$M$42,((Inputs!$B$9+((C2289=TRUE)*(F2289-Calc!F26))+B2297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273">
        <f>(1-Summary!$B$11)*T2273+Summary!$B$11*V2273</f>
        <v/>
      </c>
      <c r="P2273">
        <f>IF(B2309=0,0,O2273/B2309)</f>
        <v/>
      </c>
      <c r="Q2273" t="n">
        <v>0</v>
      </c>
      <c r="R2273" t="n">
        <v>0</v>
      </c>
      <c r="S2273" t="n">
        <v>0</v>
      </c>
      <c r="T2273">
        <f>IF(C2273,(0.2*SUMPRODUCT((Skills!Z2:Z31=TRUE)*(C2265:C2294=TRUE)*S2265:S2294)*N2273)*IF(Inputs!$B$39="pvp",1,1+(Inputs!$B$20+0+Skills!P10+B2298+(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IF(ArtifactsInput!$M$23,FALSE,TRUE)-ArtifactsInput!$M$23)*CHOOSE(ArtifactsInput!$N$23+1,50,60,70,80,90,100))+(IF(AND(ArtifactsInput!$M$35,Inputs!$B$4&lt;&gt;"Chapter Hunt"),CHOOSE(ArtifactsInput!$N$35+1,15,18,21,24,27,30)*(1-EXP(-(0.2*B2301)*5)),0)+IF(AND(ArtifactsInput!$M$22,Inputs!$B$4&lt;&gt;"Chapter Hunt"),CHOOSE(ArtifactsInput!$N$22+1,10,12,14,16,18,20)*((0*(((0.15*B2301*5))^0/1)+1*(((0.15*B2301*5))^1/1)+2*(((0.15*B2301*5))^2/2)+3*(((0.15*B2301*5))^3/6)+4*(((0.15*B2301*5))^4/24)+5*(((0.15*B2301*5))^5/120))/((((0.15*B2301*5))^0/1)+(((0.15*B2301*5))^1/1)+(((0.15*B2301*5))^2/2)+(((0.15*B2301*5))^3/6)+(((0.15*B2301*5))^4/24)+(((0.15*B2301*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2273*(1-MIN(100,(Inputs!$B$9+((C2289=TRUE)*(F2289-Calc!F26))+B2297+(ArtifactsInput!$M$24-ArtifactsInput!$M$24)*CHOOSE(ArtifactsInput!$N$24+1,10,12,14,16,18,20)+(IF(AND(Inputs!$B$39&lt;&gt;"pvp",Inputs!$B$44=0),1,IF(IF(Inputs!$B$39="pvp",15,Inputs!$B$44)-(B2308)&lt;=0,1,MAX(0,IF(Inputs!$B$39="pvp",15,Inputs!$B$44)-MAX(5,B2308))/(IF(Inputs!$B$39="pvp",15,Inputs!$B$44)-(B2308))))*IF(AND(ArtifactsInput!$M$42,((Inputs!$B$9+((C2289=TRUE)*(F2289-Calc!F26))+B2297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2273*(MIN(100,(Inputs!$B$9+((C2289=TRUE)*(F2289-Calc!F26))+B2297+(ArtifactsInput!$M$24-ArtifactsInput!$M$24)*CHOOSE(ArtifactsInput!$N$24+1,10,12,14,16,18,20)+(IF(AND(Inputs!$B$39&lt;&gt;"pvp",Inputs!$B$44=0),1,IF(IF(Inputs!$B$39="pvp",15,Inputs!$B$44)-(B2308)&lt;=0,1,MAX(0,IF(Inputs!$B$39="pvp",15,Inputs!$B$44)-MAX(5,B2308))/(IF(Inputs!$B$39="pvp",15,Inputs!$B$44)-(B2308))))*IF(AND(ArtifactsInput!$M$42,((Inputs!$B$9+((C2289=TRUE)*(F2289-Calc!F26))+B2297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2273*(1-MIN(100,(Inputs!$B$9+((C2289=TRUE)*(F2289-Calc!F26))+B2297+(ArtifactsInput!$M$24-ArtifactsInput!$M$24)*CHOOSE(ArtifactsInput!$N$24+1,10,12,14,16,18,20)+(IF(AND(Inputs!$B$39&lt;&gt;"pvp",Inputs!$B$44=0),1,IF(IF(Inputs!$B$39="pvp",15,Inputs!$B$44)-(B2308)&lt;=0,1,MAX(0,IF(Inputs!$B$39="pvp",15,Inputs!$B$44)-MAX(5,B2308))/(IF(Inputs!$B$39="pvp",15,Inputs!$B$44)-(B2308))))*IF(AND(ArtifactsInput!$M$42,((Inputs!$B$9+((C2289=TRUE)*(F2289-Calc!F26))+B2297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2273*(MIN(100,(Inputs!$B$9+((C2289=TRUE)*(F2289-Calc!F26))+B2297+(ArtifactsInput!$M$24-ArtifactsInput!$M$24)*CHOOSE(ArtifactsInput!$N$24+1,10,12,14,16,18,20)+(IF(AND(Inputs!$B$39&lt;&gt;"pvp",Inputs!$B$44=0),1,IF(IF(Inputs!$B$39="pvp",15,Inputs!$B$44)-(B2308)&lt;=0,1,MAX(0,IF(Inputs!$B$39="pvp",15,Inputs!$B$44)-MAX(5,B2308))/(IF(Inputs!$B$39="pvp",15,Inputs!$B$44)-(B2308))))*IF(AND(ArtifactsInput!$M$42,((Inputs!$B$9+((C2289=TRUE)*(F2289-Calc!F26))+B2297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273">
        <f>IF(C2273,(0.2*SUMPRODUCT((Skills!Z2:Z31=TRUE)*(C2265:C2294=TRUE)*S2265:S2294)*N2273)*IF(Inputs!$B$39="pvp",1,(1+(Inputs!$B$21+Skills!Q10+B2298+(IF(ArtifactsInput!$M$33,CHOOSE(ArtifactsInput!$N$33+1,30,36,42,48,54,60),0))+(IF(AND(ArtifactsInput!$M$35,Inputs!$B$4&lt;&gt;"Chapter Hunt"),CHOOSE(ArtifactsInput!$N$35+1,15,18,21,24,27,30)*(1-EXP(-(0.2*B2301)*5)),0)+IF(AND(ArtifactsInput!$M$22,Inputs!$B$4&lt;&gt;"Chapter Hunt"),CHOOSE(ArtifactsInput!$N$22+1,10,12,14,16,18,20)*((0*(((0.15*B2301*5))^0/1)+1*(((0.15*B2301*5))^1/1)+2*(((0.15*B2301*5))^2/2)+3*(((0.15*B2301*5))^3/6)+4*(((0.15*B2301*5))^4/24)+5*(((0.15*B2301*5))^5/120))/((((0.15*B2301*5))^0/1)+(((0.15*B2301*5))^1/1)+(((0.15*B2301*5))^2/2)+(((0.15*B2301*5))^3/6)+(((0.15*B2301*5))^4/24)+(((0.15*B2301*5))^5/120))),0)))/100)*(MIN(Skills!W10,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274">
      <c r="A2274">
        <f>Skills!A11</f>
        <v/>
      </c>
      <c r="B2274">
        <f>Skills!B11</f>
        <v/>
      </c>
      <c r="C2274">
        <f>Inputs!$B$3&gt;=74</f>
        <v/>
      </c>
      <c r="D2274">
        <f>IF(Skills!C11=1,60+Inputs!$B$25+Inputs!$B$29,IF(Skills!C11=2,90+Inputs!$B$26+Inputs!$B$29,IF(Skills!C11=3,120+Inputs!$B$27+Inputs!$B$29,MAX(0,(Inputs!$B$3-100)*3)+Inputs!$B$28+Inputs!$B$29)))</f>
        <v/>
      </c>
      <c r="E2274">
        <f>INDEX(FactorTable!$B$2:$Y$301, MATCH(ROUND(MIN(300,MAX(1,D2274)),0), FactorTable!$A$2:$A$301,0), Skills!M11+1)</f>
        <v/>
      </c>
      <c r="F2274">
        <f>IF(Skills!N11=TRUE,(Skills!L11/10)*(E2274/1000),Skills!L11/10)+Skills!O11</f>
        <v/>
      </c>
      <c r="G2274">
        <f>Skills!G11*IF(Skills!H11&gt;0,IF(Inputs!$B$39="pvp",MIN(Skills!I11,15),Skills!I11)/Skills!H11,1)</f>
        <v/>
      </c>
      <c r="H2274">
        <f>1-(1-Skills!J11/100)^Skills!K11</f>
        <v/>
      </c>
      <c r="I2274" t="inlineStr">
        <is>
          <t>1</t>
        </is>
      </c>
      <c r="J2274" t="inlineStr"/>
      <c r="K2274" t="inlineStr"/>
      <c r="L2274" t="inlineStr"/>
      <c r="M2274" t="inlineStr"/>
      <c r="N2274" t="inlineStr"/>
      <c r="O2274">
        <f>(1-Summary!$B$11)*T2274+Summary!$B$11*V2274</f>
        <v/>
      </c>
      <c r="P2274">
        <f>IF(B2309=0,0,O2274/B2309)</f>
        <v/>
      </c>
      <c r="Q2274">
        <f>IFERROR(1/IF(Inputs!$B$39="pvp",15,MAX(0.1,Skills!D11-IF(TRUE=TRUE,Inputs!$B$32,0))),0)</f>
        <v/>
      </c>
      <c r="R2274">
        <f>IF(AND(Inputs!$B$39&lt;&gt;"pvp",Inputs!$B$44&gt;0),IF(Inputs!$B$44&lt;=0,0,(INT(Inputs!$B$44/IF(Inputs!$B$39="pvp",15,MAX(0.1,Skills!D11-IF(TRUE=TRUE,Inputs!$B$32,0))))+1)),0)</f>
        <v/>
      </c>
      <c r="S2274">
        <f>IFERROR(O2274/N2274,0)</f>
        <v/>
      </c>
      <c r="T2274" t="n">
        <v>0</v>
      </c>
      <c r="V2274" t="n">
        <v>0</v>
      </c>
    </row>
    <row r="2275">
      <c r="A2275">
        <f>Skills!A12</f>
        <v/>
      </c>
      <c r="B2275">
        <f>Skills!B12</f>
        <v/>
      </c>
      <c r="C2275">
        <f>Inputs!$B$3&gt;=103</f>
        <v/>
      </c>
      <c r="D2275">
        <f>IF(Skills!C12=1,60+Inputs!$B$25+Inputs!$B$29,IF(Skills!C12=2,90+Inputs!$B$26+Inputs!$B$29,IF(Skills!C12=3,120+Inputs!$B$27+Inputs!$B$29,MAX(0,(Inputs!$B$3-100)*3)+Inputs!$B$28+Inputs!$B$29)))</f>
        <v/>
      </c>
      <c r="E2275">
        <f>INDEX(FactorTable!$B$2:$Y$301, MATCH(ROUND(MIN(300,MAX(1,D2275)),0), FactorTable!$A$2:$A$301,0), Skills!M12+1)</f>
        <v/>
      </c>
      <c r="F2275">
        <f>(Skills!L12/10)*(E2275/1000)+IF(Inputs!$B$3&gt;=134,50,0)+0.5*(30000/10)*(INDEX(FactorTable!$B$2:$Y$301, MATCH(ROUND(MIN(300,MAX(1,D2275)),0), FactorTable!$A$2:$A$301,0), 13)/1000)*B2307</f>
        <v/>
      </c>
      <c r="G2275">
        <f>Skills!G12*IF(Skills!H12&gt;0,IF(Inputs!$B$39="pvp",MIN(Skills!I12,15),Skills!I12)/Skills!H12,1)</f>
        <v/>
      </c>
      <c r="H2275">
        <f>1-(1-Skills!J12/100)^Skills!K12</f>
        <v/>
      </c>
      <c r="I2275" t="inlineStr">
        <is>
          <t>1</t>
        </is>
      </c>
      <c r="J2275">
        <f>((Inputs!$B$6*(1+Inputs!$B$7/100))+(((Inputs!$B$12*(1+Inputs!$B$13/100))-(Inputs!$B$12*(1+Inputs!$B$13/100)))+0.25*(Inputs!$B$14-Inputs!$B$14))*(1+Inputs!$B$7/100))*(F2275/100)</f>
        <v/>
      </c>
      <c r="K2275">
        <f>J2275*(1+((Inputs!$B$12*(1+Inputs!$B$13/100))*0.01+Inputs!$B$14*0.0025)/100)*(1+Inputs!$B$15/100)*(1+Inputs!$B$16/100)*(5000/(6000+Inputs!$B$43*(1-(100*(1-(1-Inputs!$B$19/100)*(1-CHOOSE(ArtifactsInput!$N$40+1,5,6,7,8,9,10)/100)^(ArtifactsInput!$M$40-ArtifactsInput!$M$40)))/100)))*(1+(Inputs!$B$24+((C2294=TRUE)*(F2294-Calc!F31))+((C2281=TRUE)*(F2281-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12="CRUEL_STAB",Inputs!$B$17+((C2291=TRUE)*(F2291-Calc!F28))+((IF(AND(Inputs!$B$39&lt;&gt;"pvp",Inputs!$B$44=0),1,IF(IF(Inputs!$B$39="pvp",15,Inputs!$B$44)-(B2308)&lt;=0,1,MAX(0,IF(Inputs!$B$39="pvp",15,Inputs!$B$44)-MAX(5,B2308))/(IF(Inputs!$B$39="pvp",15,Inputs!$B$44)-(B2308))))*(IF(AND(ArtifactsInput!$M$42,((Inputs!$B$9+((C2289=TRUE)*(F2289-Calc!F26))+B2297+(ArtifactsInput!$M$24-ArtifactsInput!$M$24)*CHOOSE(ArtifactsInput!$N$24+1,10,12,14,16,18,20)+IF(ArtifactsInput!$M$10,CHOOSE(ArtifactsInput!$N$10+1,15,18,21,24,27,30)*(IF(Inputs!$B$39="pvp",MIN(15,15)/15,IF(AND(Inputs!$B$39&lt;&gt;"pvp",Inputs!$B$44&gt;0),MIN(15,Inputs!$B$44)/(Inputs!$B$44),0))),0)))&gt;=100),MIN(100,((Inputs!$B$9+((C2289=TRUE)*(F2289-Calc!F26))+B2297+(ArtifactsInput!$M$24-ArtifactsInput!$M$24)*CHOOSE(ArtifactsInput!$N$24+1,10,12,14,16,18,20)+IF(ArtifactsInput!$M$10,CHOOSE(ArtifactsInput!$N$10+1,15,18,21,24,27,30)*(IF(Inputs!$B$39="pvp",MIN(15,15)/15,IF(AND(Inputs!$B$39&lt;&gt;"pvp",Inputs!$B$44&gt;0),MIN(15,Inputs!$B$44)/(Inputs!$B$44),0))),0)))-100),0))*CHOOSE(ArtifactsInput!$N$42+1,0.6,0.72,0.84,0.96,1.08,1.2))),Inputs!$B$18+((C2292=TRUE)*(F2292-Calc!F29))+(IF(AND(Inputs!$B$39&lt;&gt;"pvp",Inputs!$B$44=0),1,IF(IF(Inputs!$B$39="pvp",15,Inputs!$B$44)-(B2308)&lt;=0,1,MAX(0,IF(Inputs!$B$39="pvp",15,Inputs!$B$44)-MAX(5,B2308))/(IF(Inputs!$B$39="pvp",15,Inputs!$B$44)-(B2308))))*IF(AND(ArtifactsInput!$M$42,((Inputs!$B$9+((C2289=TRUE)*(F2289-Calc!F26))+B2297+(ArtifactsInput!$M$24-ArtifactsInput!$M$24)*CHOOSE(ArtifactsInput!$N$24+1,10,12,14,16,18,20)+IF(ArtifactsInput!$M$10,CHOOSE(ArtifactsInput!$N$10+1,15,18,21,24,27,30)*(IF(Inputs!$B$39="pvp",MIN(15,15)/15,IF(AND(Inputs!$B$39&lt;&gt;"pvp",Inputs!$B$44&gt;0),MIN(15,Inputs!$B$44)/(Inputs!$B$44),0))),0)))&gt;=100),CHOOSE(ArtifactsInput!$N$42+1,40,48,56,64,72,80),0))))/100)*(((1+(((C2285=TRUE)*F2285*IF(AND(Inputs!$B$39&lt;&gt;"pvp",Inputs!$B$44&gt;0),(((R2285-1)*MIN((Skills!Y22*(1+Inputs!$B$34/100)),(1/Q2285))+MIN((Skills!Y22*(1+Inputs!$B$34/100)),MAX(0,Inputs!$B$44-((R2285-1)*(1/Q2285)))))/Inputs!$B$44),IF(Inputs!$B$39="pvp",MIN((Skills!Y22*(1+Inputs!$B$34/100)),15)/15,MIN(1,(Skills!Y22*(1+Inputs!$B$34/100))/(1/Q2285)))))+((C2266=TRUE)*F2266*3)+((C2268=TRUE)*F2268*(1-EXP(-0.75*B2301*5)))+((C2287=TRUE)*(F2287-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2274=TRUE)*F2274*IF(AND(Inputs!$B$39&lt;&gt;"pvp",Inputs!$B$44&gt;0),(((R2274-1)*MIN((Skills!Y11*(1+Inputs!$B$34/100)),(1/Q2274))+MIN((Skills!Y11*(1+Inputs!$B$34/100)),MAX(0,Inputs!$B$44-((R2274-1)*(1/Q2274)))))/Inputs!$B$44),IF(Inputs!$B$39="pvp",MIN((Skills!Y11*(1+Inputs!$B$34/100)),15)/15,MIN(1,(Skills!Y11*(1+Inputs!$B$34/100))/(1/Q2274)))))/100)*(1+((C2279=TRUE)*F2279*IF(AND(Inputs!$B$39&lt;&gt;"pvp",Inputs!$B$44&gt;0),(((R2279-1)*MIN((Skills!Y16*(1+Inputs!$B$34/100)),(1/Q2279))+MIN((Skills!Y16*(1+Inputs!$B$34/100)),MAX(0,Inputs!$B$44-((R2279-1)*(1/Q2279)))))/Inputs!$B$44),IF(Inputs!$B$39="pvp",MIN((Skills!Y16*(1+Inputs!$B$34/100)),15)/15,MIN(1,(Skills!Y16*(1+Inputs!$B$34/100))/(1/Q2279)))))/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2299*I2275)</f>
        <v/>
      </c>
      <c r="L2275">
        <f>K2275*(MIN(Inputs!$B$22+((C2288=TRUE)*(F2288-Calc!F25)),(Inputs!$B$23+((C2293=TRUE)*(F2293-Calc!F30))+IF(ArtifactsInput!$M$15,CHOOSE(ArtifactsInput!$N$15+1,25,30,35,40,45,50)/100*(Inputs!$B$11-Inputs!$B$11),0)))/100+(Inputs!$B$23+((C2293=TRUE)*(F2293-Calc!F30))+IF(ArtifactsInput!$M$15,CHOOSE(ArtifactsInput!$N$15+1,25,30,35,40,45,50)/100*(Inputs!$B$11-Inputs!$B$11),0))/100)/2</f>
        <v/>
      </c>
      <c r="M2275">
        <f>L2275*(1+(Inputs!$B$10+((C2290=TRUE)*(F2290-Calc!F27))+B2304+(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2275">
        <f>L2275*(1-MIN((Inputs!$B$9+((C2289=TRUE)*(F2289-Calc!F26))+B2297+(ArtifactsInput!$M$24-ArtifactsInput!$M$24)*CHOOSE(ArtifactsInput!$N$24+1,10,12,14,16,18,20)+(IF(AND(Inputs!$B$39&lt;&gt;"pvp",Inputs!$B$44=0),1,IF(IF(Inputs!$B$39="pvp",15,Inputs!$B$44)-(B2308)&lt;=0,1,MAX(0,IF(Inputs!$B$39="pvp",15,Inputs!$B$44)-MAX(5,B2308))/(IF(Inputs!$B$39="pvp",15,Inputs!$B$44)-(B2308))))*IF(AND(ArtifactsInput!$M$42,((Inputs!$B$9+((C2289=TRUE)*(F2289-Calc!F26))+B2297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2275*(MIN((Inputs!$B$9+((C2289=TRUE)*(F2289-Calc!F26))+B2297+(ArtifactsInput!$M$24-ArtifactsInput!$M$24)*CHOOSE(ArtifactsInput!$N$24+1,10,12,14,16,18,20)+(IF(AND(Inputs!$B$39&lt;&gt;"pvp",Inputs!$B$44=0),1,IF(IF(Inputs!$B$39="pvp",15,Inputs!$B$44)-(B2308)&lt;=0,1,MAX(0,IF(Inputs!$B$39="pvp",15,Inputs!$B$44)-MAX(5,B2308))/(IF(Inputs!$B$39="pvp",15,Inputs!$B$44)-(B2308))))*IF(AND(ArtifactsInput!$M$42,((Inputs!$B$9+((C2289=TRUE)*(F2289-Calc!F26))+B2297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275">
        <f>(1-Summary!$B$11)*T2275+Summary!$B$11*V2275</f>
        <v/>
      </c>
      <c r="P2275">
        <f>IF(B2309=0,0,O2275/B2309)</f>
        <v/>
      </c>
      <c r="Q2275">
        <f>IFERROR(1/IF(Inputs!$B$39="pvp",15,MAX(0.1,Skills!D12-IF(TRUE=TRUE,Inputs!$B$32,0))),0)</f>
        <v/>
      </c>
      <c r="R2275">
        <f>IF(AND(Inputs!$B$39&lt;&gt;"pvp",Inputs!$B$44&gt;0),IF(MAX(0,Inputs!$B$44-B2308)&lt;=0,0,(INT(MAX(0,Inputs!$B$44-B2308)/IF(Inputs!$B$39="pvp",15,MAX(0.1,Skills!D12-IF(TRUE=TRUE,Inputs!$B$32,0))))+1)),0)</f>
        <v/>
      </c>
      <c r="S2275">
        <f>IFERROR(O2275/N2275,0)</f>
        <v/>
      </c>
      <c r="T2275">
        <f>IF(C2275,(H2275*N2275*IF(AND(Inputs!$B$39&lt;&gt;"pvp",Inputs!$B$44&gt;0),((Skills!G12*((R2275-1)*IF(Skills!H12&gt;0,Skills!I12/Skills!H12,1)+IF(Skills!H12&gt;0,MIN(Skills!I12,MAX(0,MAX(0,Inputs!$B$44-B2308)-((R2275-1)*IF(Inputs!$B$39="pvp",15,MAX(0.1,Skills!D12-IF(TRUE=TRUE,Inputs!$B$32,0))))))/Skills!H12,1)))/Inputs!$B$44),G2275*Q2275))*IF(Inputs!$B$39="pvp",1,1+(Inputs!$B$20+0+Skills!P12+B2298+(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IF(ArtifactsInput!$M$23,FALSE,TRUE)-ArtifactsInput!$M$23)*CHOOSE(ArtifactsInput!$N$23+1,50,60,70,80,90,100))+(IF(AND(ArtifactsInput!$M$35,Inputs!$B$4&lt;&gt;"Chapter Hunt"),CHOOSE(ArtifactsInput!$N$35+1,15,18,21,24,27,30)*(1-EXP(-(0.2*B2301)*5)),0)+IF(AND(ArtifactsInput!$M$22,Inputs!$B$4&lt;&gt;"Chapter Hunt"),CHOOSE(ArtifactsInput!$N$22+1,10,12,14,16,18,20)*((0*(((0.15*B2301*5))^0/1)+1*(((0.15*B2301*5))^1/1)+2*(((0.15*B2301*5))^2/2)+3*(((0.15*B2301*5))^3/6)+4*(((0.15*B2301*5))^4/24)+5*(((0.15*B2301*5))^5/120))/((((0.15*B2301*5))^0/1)+(((0.15*B2301*5))^1/1)+(((0.15*B2301*5))^2/2)+(((0.15*B2301*5))^3/6)+(((0.15*B2301*5))^4/24)+(((0.15*B2301*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2275*(1-MIN(100,(Inputs!$B$9+((C2289=TRUE)*(F2289-Calc!F26))+B2297+(ArtifactsInput!$M$24-ArtifactsInput!$M$24)*CHOOSE(ArtifactsInput!$N$24+1,10,12,14,16,18,20)+(IF(AND(Inputs!$B$39&lt;&gt;"pvp",Inputs!$B$44=0),1,IF(IF(Inputs!$B$39="pvp",15,Inputs!$B$44)-(B2308)&lt;=0,1,MAX(0,IF(Inputs!$B$39="pvp",15,Inputs!$B$44)-MAX(5,B2308))/(IF(Inputs!$B$39="pvp",15,Inputs!$B$44)-(B2308))))*IF(AND(ArtifactsInput!$M$42,((Inputs!$B$9+((C2289=TRUE)*(F2289-Calc!F26))+B2297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2275*(MIN(100,(Inputs!$B$9+((C2289=TRUE)*(F2289-Calc!F26))+B2297+(ArtifactsInput!$M$24-ArtifactsInput!$M$24)*CHOOSE(ArtifactsInput!$N$24+1,10,12,14,16,18,20)+(IF(AND(Inputs!$B$39&lt;&gt;"pvp",Inputs!$B$44=0),1,IF(IF(Inputs!$B$39="pvp",15,Inputs!$B$44)-(B2308)&lt;=0,1,MAX(0,IF(Inputs!$B$39="pvp",15,Inputs!$B$44)-MAX(5,B2308))/(IF(Inputs!$B$39="pvp",15,Inputs!$B$44)-(B2308))))*IF(AND(ArtifactsInput!$M$42,((Inputs!$B$9+((C2289=TRUE)*(F2289-Calc!F26))+B2297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2275*(1-MIN(100,(Inputs!$B$9+((C2289=TRUE)*(F2289-Calc!F26))+B2297+(ArtifactsInput!$M$24-ArtifactsInput!$M$24)*CHOOSE(ArtifactsInput!$N$24+1,10,12,14,16,18,20)+(IF(AND(Inputs!$B$39&lt;&gt;"pvp",Inputs!$B$44=0),1,IF(IF(Inputs!$B$39="pvp",15,Inputs!$B$44)-(B2308)&lt;=0,1,MAX(0,IF(Inputs!$B$39="pvp",15,Inputs!$B$44)-MAX(5,B2308))/(IF(Inputs!$B$39="pvp",15,Inputs!$B$44)-(B2308))))*IF(AND(ArtifactsInput!$M$42,((Inputs!$B$9+((C2289=TRUE)*(F2289-Calc!F26))+B2297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2275*(MIN(100,(Inputs!$B$9+((C2289=TRUE)*(F2289-Calc!F26))+B2297+(ArtifactsInput!$M$24-ArtifactsInput!$M$24)*CHOOSE(ArtifactsInput!$N$24+1,10,12,14,16,18,20)+(IF(AND(Inputs!$B$39&lt;&gt;"pvp",Inputs!$B$44=0),1,IF(IF(Inputs!$B$39="pvp",15,Inputs!$B$44)-(B2308)&lt;=0,1,MAX(0,IF(Inputs!$B$39="pvp",15,Inputs!$B$44)-MAX(5,B2308))/(IF(Inputs!$B$39="pvp",15,Inputs!$B$44)-(B2308))))*IF(AND(ArtifactsInput!$M$42,((Inputs!$B$9+((C2289=TRUE)*(F2289-Calc!F26))+B2297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275">
        <f>IF(C2275,(H2275*N2275*IF(AND(Inputs!$B$39&lt;&gt;"pvp",Inputs!$B$44&gt;0),((Skills!G12*((R2275-1)*IF(Skills!H12&gt;0,Skills!I12/Skills!H12,1)+IF(Skills!H12&gt;0,MIN(Skills!I12,MAX(0,MAX(0,Inputs!$B$44-B2308)-((R2275-1)*IF(Inputs!$B$39="pvp",15,MAX(0.1,Skills!D12-IF(TRUE=TRUE,Inputs!$B$32,0))))))/Skills!H12,1)))/Inputs!$B$44),G2275*Q2275))*IF(Inputs!$B$39="pvp",1,(1+(Inputs!$B$21+Skills!Q12+B2298+(IF(ArtifactsInput!$M$33,CHOOSE(ArtifactsInput!$N$33+1,30,36,42,48,54,60),0))+(IF(AND(ArtifactsInput!$M$35,Inputs!$B$4&lt;&gt;"Chapter Hunt"),CHOOSE(ArtifactsInput!$N$35+1,15,18,21,24,27,30)*(1-EXP(-(0.2*B2301)*5)),0)+IF(AND(ArtifactsInput!$M$22,Inputs!$B$4&lt;&gt;"Chapter Hunt"),CHOOSE(ArtifactsInput!$N$22+1,10,12,14,16,18,20)*((0*(((0.15*B2301*5))^0/1)+1*(((0.15*B2301*5))^1/1)+2*(((0.15*B2301*5))^2/2)+3*(((0.15*B2301*5))^3/6)+4*(((0.15*B2301*5))^4/24)+5*(((0.15*B2301*5))^5/120))/((((0.15*B2301*5))^0/1)+(((0.15*B2301*5))^1/1)+(((0.15*B2301*5))^2/2)+(((0.15*B2301*5))^3/6)+(((0.15*B2301*5))^4/24)+(((0.15*B2301*5))^5/120))),0)))/100)*(MIN(Skills!W12,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276">
      <c r="A2276">
        <f>Skills!A13</f>
        <v/>
      </c>
      <c r="B2276">
        <f>Skills!B13</f>
        <v/>
      </c>
      <c r="C2276">
        <f>Inputs!$B$3&gt;=105</f>
        <v/>
      </c>
      <c r="D2276">
        <f>IF(Skills!C13=1,60+Inputs!$B$25+Inputs!$B$29,IF(Skills!C13=2,90+Inputs!$B$26+Inputs!$B$29,IF(Skills!C13=3,120+Inputs!$B$27+Inputs!$B$29,MAX(0,(Inputs!$B$3-100)*3)+Inputs!$B$28+Inputs!$B$29)))</f>
        <v/>
      </c>
      <c r="E2276">
        <f>INDEX(FactorTable!$B$2:$Y$301, MATCH(ROUND(MIN(300,MAX(1,D2276)),0), FactorTable!$A$2:$A$301,0), Skills!M13+1)</f>
        <v/>
      </c>
      <c r="F2276">
        <f>IF(Skills!N13=TRUE,(Skills!L13/10)*(E2276/1000),Skills!L13/10)+Skills!O13</f>
        <v/>
      </c>
      <c r="G2276">
        <f>Skills!G13*IF(Skills!H13&gt;0,IF(Inputs!$B$39="pvp",MIN(Skills!I13,15),Skills!I13)/Skills!H13,1)</f>
        <v/>
      </c>
      <c r="H2276">
        <f>1-(1-Skills!J13/100)^Skills!K13</f>
        <v/>
      </c>
      <c r="I2276" t="inlineStr">
        <is>
          <t>1</t>
        </is>
      </c>
      <c r="J2276">
        <f>((Inputs!$B$6*(1+Inputs!$B$7/100))+(((Inputs!$B$12*(1+Inputs!$B$13/100))-(Inputs!$B$12*(1+Inputs!$B$13/100)))+0.25*(Inputs!$B$14-Inputs!$B$14))*(1+Inputs!$B$7/100))*(F2276/100)</f>
        <v/>
      </c>
      <c r="K2276">
        <f>J2276*(1+((Inputs!$B$12*(1+Inputs!$B$13/100))*0.01+Inputs!$B$14*0.0025)/100)*(1+Inputs!$B$15/100)*(1+Inputs!$B$16/100)*(5000/(6000+Inputs!$B$43*(1-(100*(1-(1-Inputs!$B$19/100)*(1-CHOOSE(ArtifactsInput!$N$40+1,5,6,7,8,9,10)/100)^(ArtifactsInput!$M$40-ArtifactsInput!$M$40)))/100)))*(1+(Inputs!$B$24+((C2294=TRUE)*(F2294-Calc!F31))+((C2281=TRUE)*(F2281-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13="CRUEL_STAB",Inputs!$B$17+((C2291=TRUE)*(F2291-Calc!F28))+((IF(AND(Inputs!$B$39&lt;&gt;"pvp",Inputs!$B$44=0),1,IF(IF(Inputs!$B$39="pvp",15,Inputs!$B$44)-(B2308)&lt;=0,1,MAX(0,IF(Inputs!$B$39="pvp",15,Inputs!$B$44)-MAX(5,B2308))/(IF(Inputs!$B$39="pvp",15,Inputs!$B$44)-(B2308))))*(IF(AND(ArtifactsInput!$M$42,((Inputs!$B$9+((C2289=TRUE)*(F2289-Calc!F26))+B2297+(ArtifactsInput!$M$24-ArtifactsInput!$M$24)*CHOOSE(ArtifactsInput!$N$24+1,10,12,14,16,18,20)+IF(ArtifactsInput!$M$10,CHOOSE(ArtifactsInput!$N$10+1,15,18,21,24,27,30)*(IF(Inputs!$B$39="pvp",MIN(15,15)/15,IF(AND(Inputs!$B$39&lt;&gt;"pvp",Inputs!$B$44&gt;0),MIN(15,Inputs!$B$44)/(Inputs!$B$44),0))),0)))&gt;=100),MIN(100,((Inputs!$B$9+((C2289=TRUE)*(F2289-Calc!F26))+B2297+(ArtifactsInput!$M$24-ArtifactsInput!$M$24)*CHOOSE(ArtifactsInput!$N$24+1,10,12,14,16,18,20)+IF(ArtifactsInput!$M$10,CHOOSE(ArtifactsInput!$N$10+1,15,18,21,24,27,30)*(IF(Inputs!$B$39="pvp",MIN(15,15)/15,IF(AND(Inputs!$B$39&lt;&gt;"pvp",Inputs!$B$44&gt;0),MIN(15,Inputs!$B$44)/(Inputs!$B$44),0))),0)))-100),0))*CHOOSE(ArtifactsInput!$N$42+1,0.6,0.72,0.84,0.96,1.08,1.2))),Inputs!$B$18+((C2292=TRUE)*(F2292-Calc!F29))+(IF(AND(Inputs!$B$39&lt;&gt;"pvp",Inputs!$B$44=0),1,IF(IF(Inputs!$B$39="pvp",15,Inputs!$B$44)-(B2308)&lt;=0,1,MAX(0,IF(Inputs!$B$39="pvp",15,Inputs!$B$44)-MAX(5,B2308))/(IF(Inputs!$B$39="pvp",15,Inputs!$B$44)-(B2308))))*IF(AND(ArtifactsInput!$M$42,((Inputs!$B$9+((C2289=TRUE)*(F2289-Calc!F26))+B2297+(ArtifactsInput!$M$24-ArtifactsInput!$M$24)*CHOOSE(ArtifactsInput!$N$24+1,10,12,14,16,18,20)+IF(ArtifactsInput!$M$10,CHOOSE(ArtifactsInput!$N$10+1,15,18,21,24,27,30)*(IF(Inputs!$B$39="pvp",MIN(15,15)/15,IF(AND(Inputs!$B$39&lt;&gt;"pvp",Inputs!$B$44&gt;0),MIN(15,Inputs!$B$44)/(Inputs!$B$44),0))),0)))&gt;=100),CHOOSE(ArtifactsInput!$N$42+1,40,48,56,64,72,80),0))))/100)*(((1+(((C2285=TRUE)*F2285*IF(AND(Inputs!$B$39&lt;&gt;"pvp",Inputs!$B$44&gt;0),(((R2285-1)*MIN((Skills!Y22*(1+Inputs!$B$34/100)),(1/Q2285))+MIN((Skills!Y22*(1+Inputs!$B$34/100)),MAX(0,Inputs!$B$44-((R2285-1)*(1/Q2285)))))/Inputs!$B$44),IF(Inputs!$B$39="pvp",MIN((Skills!Y22*(1+Inputs!$B$34/100)),15)/15,MIN(1,(Skills!Y22*(1+Inputs!$B$34/100))/(1/Q2285)))))+((C2266=TRUE)*F2266*3)+((C2268=TRUE)*F2268*(1-EXP(-0.75*B2301*5)))+((C2287=TRUE)*(F2287-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2274=TRUE)*F2274*IF(AND(Inputs!$B$39&lt;&gt;"pvp",Inputs!$B$44&gt;0),(((R2274-1)*MIN((Skills!Y11*(1+Inputs!$B$34/100)),(1/Q2274))+MIN((Skills!Y11*(1+Inputs!$B$34/100)),MAX(0,Inputs!$B$44-((R2274-1)*(1/Q2274)))))/Inputs!$B$44),IF(Inputs!$B$39="pvp",MIN((Skills!Y11*(1+Inputs!$B$34/100)),15)/15,MIN(1,(Skills!Y11*(1+Inputs!$B$34/100))/(1/Q2274)))))/100)*(1+((C2279=TRUE)*F2279*IF(AND(Inputs!$B$39&lt;&gt;"pvp",Inputs!$B$44&gt;0),(((R2279-1)*MIN((Skills!Y16*(1+Inputs!$B$34/100)),(1/Q2279))+MIN((Skills!Y16*(1+Inputs!$B$34/100)),MAX(0,Inputs!$B$44-((R2279-1)*(1/Q2279)))))/Inputs!$B$44),IF(Inputs!$B$39="pvp",MIN((Skills!Y16*(1+Inputs!$B$34/100)),15)/15,MIN(1,(Skills!Y16*(1+Inputs!$B$34/100))/(1/Q2279)))))/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2299*I2276)</f>
        <v/>
      </c>
      <c r="L2276">
        <f>K2276*(MIN(Inputs!$B$22+((C2288=TRUE)*(F2288-Calc!F25)),(Inputs!$B$23+((C2293=TRUE)*(F2293-Calc!F30))+IF(ArtifactsInput!$M$15,CHOOSE(ArtifactsInput!$N$15+1,25,30,35,40,45,50)/100*(Inputs!$B$11-Inputs!$B$11),0)))/100+(Inputs!$B$23+((C2293=TRUE)*(F2293-Calc!F30))+IF(ArtifactsInput!$M$15,CHOOSE(ArtifactsInput!$N$15+1,25,30,35,40,45,50)/100*(Inputs!$B$11-Inputs!$B$11),0))/100)/2</f>
        <v/>
      </c>
      <c r="M2276">
        <f>L2276*(1+(Inputs!$B$10+((C2290=TRUE)*(F2290-Calc!F27))+B2304+(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2276">
        <f>L2276*(1-MIN((Inputs!$B$9+((C2289=TRUE)*(F2289-Calc!F26))+B2297+(ArtifactsInput!$M$24-ArtifactsInput!$M$24)*CHOOSE(ArtifactsInput!$N$24+1,10,12,14,16,18,20)+(IF(AND(Inputs!$B$39&lt;&gt;"pvp",Inputs!$B$44=0),1,IF(IF(Inputs!$B$39="pvp",15,Inputs!$B$44)-(B2308)&lt;=0,1,MAX(0,IF(Inputs!$B$39="pvp",15,Inputs!$B$44)-MAX(5,B2308))/(IF(Inputs!$B$39="pvp",15,Inputs!$B$44)-(B2308))))*IF(AND(ArtifactsInput!$M$42,((Inputs!$B$9+((C2289=TRUE)*(F2289-Calc!F26))+B2297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2276*(MIN((Inputs!$B$9+((C2289=TRUE)*(F2289-Calc!F26))+B2297+(ArtifactsInput!$M$24-ArtifactsInput!$M$24)*CHOOSE(ArtifactsInput!$N$24+1,10,12,14,16,18,20)+(IF(AND(Inputs!$B$39&lt;&gt;"pvp",Inputs!$B$44=0),1,IF(IF(Inputs!$B$39="pvp",15,Inputs!$B$44)-(B2308)&lt;=0,1,MAX(0,IF(Inputs!$B$39="pvp",15,Inputs!$B$44)-MAX(5,B2308))/(IF(Inputs!$B$39="pvp",15,Inputs!$B$44)-(B2308))))*IF(AND(ArtifactsInput!$M$42,((Inputs!$B$9+((C2289=TRUE)*(F2289-Calc!F26))+B2297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276">
        <f>(1-Summary!$B$11)*T2276+Summary!$B$11*V2276</f>
        <v/>
      </c>
      <c r="P2276">
        <f>IF(B2309=0,0,O2276/B2309)</f>
        <v/>
      </c>
      <c r="Q2276">
        <f>IFERROR(1/IF(Inputs!$B$39="pvp",15,MAX(0.1,Skills!D13-IF(TRUE=TRUE,Inputs!$B$32,0))),0)</f>
        <v/>
      </c>
      <c r="R2276">
        <f>IF(AND(Inputs!$B$39&lt;&gt;"pvp",Inputs!$B$44&gt;0),IF(MAX(0,Inputs!$B$44-B2308)&lt;=0,0,(INT(MAX(0,Inputs!$B$44-B2308)/IF(Inputs!$B$39="pvp",15,MAX(0.1,Skills!D13-IF(TRUE=TRUE,Inputs!$B$32,0))))+1)),0)</f>
        <v/>
      </c>
      <c r="S2276">
        <f>IFERROR(O2276/N2276,0)</f>
        <v/>
      </c>
      <c r="T2276">
        <f>IF(C2276,(H2276*N2276*IF(AND(Inputs!$B$39&lt;&gt;"pvp",Inputs!$B$44&gt;0),((Skills!G13*((R2276-1)*IF(Skills!H13&gt;0,Skills!I13/Skills!H13,1)+IF(Skills!H13&gt;0,MIN(Skills!I13,MAX(0,MAX(0,Inputs!$B$44-B2308)-((R2276-1)*IF(Inputs!$B$39="pvp",15,MAX(0.1,Skills!D13-IF(TRUE=TRUE,Inputs!$B$32,0))))))/Skills!H13,1)))/Inputs!$B$44),G2276*Q2276))*IF(Inputs!$B$39="pvp",1,1+(Inputs!$B$20+0+Skills!P13+B2298+(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IF(ArtifactsInput!$M$23,FALSE,TRUE)-ArtifactsInput!$M$23)*CHOOSE(ArtifactsInput!$N$23+1,50,60,70,80,90,100))+(IF(AND(ArtifactsInput!$M$35,Inputs!$B$4&lt;&gt;"Chapter Hunt"),CHOOSE(ArtifactsInput!$N$35+1,15,18,21,24,27,30)*(1-EXP(-(0.2*B2301)*5)),0)+IF(AND(ArtifactsInput!$M$22,Inputs!$B$4&lt;&gt;"Chapter Hunt"),CHOOSE(ArtifactsInput!$N$22+1,10,12,14,16,18,20)*((0*(((0.15*B2301*5))^0/1)+1*(((0.15*B2301*5))^1/1)+2*(((0.15*B2301*5))^2/2)+3*(((0.15*B2301*5))^3/6)+4*(((0.15*B2301*5))^4/24)+5*(((0.15*B2301*5))^5/120))/((((0.15*B2301*5))^0/1)+(((0.15*B2301*5))^1/1)+(((0.15*B2301*5))^2/2)+(((0.15*B2301*5))^3/6)+(((0.15*B2301*5))^4/24)+(((0.15*B2301*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2276*(1-MIN(100,(Inputs!$B$9+((C2289=TRUE)*(F2289-Calc!F26))+B2297+(ArtifactsInput!$M$24-ArtifactsInput!$M$24)*CHOOSE(ArtifactsInput!$N$24+1,10,12,14,16,18,20)+(IF(AND(Inputs!$B$39&lt;&gt;"pvp",Inputs!$B$44=0),1,IF(IF(Inputs!$B$39="pvp",15,Inputs!$B$44)-(B2308)&lt;=0,1,MAX(0,IF(Inputs!$B$39="pvp",15,Inputs!$B$44)-MAX(5,B2308))/(IF(Inputs!$B$39="pvp",15,Inputs!$B$44)-(B2308))))*IF(AND(ArtifactsInput!$M$42,((Inputs!$B$9+((C2289=TRUE)*(F2289-Calc!F26))+B2297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2276*(MIN(100,(Inputs!$B$9+((C2289=TRUE)*(F2289-Calc!F26))+B2297+(ArtifactsInput!$M$24-ArtifactsInput!$M$24)*CHOOSE(ArtifactsInput!$N$24+1,10,12,14,16,18,20)+(IF(AND(Inputs!$B$39&lt;&gt;"pvp",Inputs!$B$44=0),1,IF(IF(Inputs!$B$39="pvp",15,Inputs!$B$44)-(B2308)&lt;=0,1,MAX(0,IF(Inputs!$B$39="pvp",15,Inputs!$B$44)-MAX(5,B2308))/(IF(Inputs!$B$39="pvp",15,Inputs!$B$44)-(B2308))))*IF(AND(ArtifactsInput!$M$42,((Inputs!$B$9+((C2289=TRUE)*(F2289-Calc!F26))+B2297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2276*(1-MIN(100,(Inputs!$B$9+((C2289=TRUE)*(F2289-Calc!F26))+B2297+(ArtifactsInput!$M$24-ArtifactsInput!$M$24)*CHOOSE(ArtifactsInput!$N$24+1,10,12,14,16,18,20)+(IF(AND(Inputs!$B$39&lt;&gt;"pvp",Inputs!$B$44=0),1,IF(IF(Inputs!$B$39="pvp",15,Inputs!$B$44)-(B2308)&lt;=0,1,MAX(0,IF(Inputs!$B$39="pvp",15,Inputs!$B$44)-MAX(5,B2308))/(IF(Inputs!$B$39="pvp",15,Inputs!$B$44)-(B2308))))*IF(AND(ArtifactsInput!$M$42,((Inputs!$B$9+((C2289=TRUE)*(F2289-Calc!F26))+B2297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2276*(MIN(100,(Inputs!$B$9+((C2289=TRUE)*(F2289-Calc!F26))+B2297+(ArtifactsInput!$M$24-ArtifactsInput!$M$24)*CHOOSE(ArtifactsInput!$N$24+1,10,12,14,16,18,20)+(IF(AND(Inputs!$B$39&lt;&gt;"pvp",Inputs!$B$44=0),1,IF(IF(Inputs!$B$39="pvp",15,Inputs!$B$44)-(B2308)&lt;=0,1,MAX(0,IF(Inputs!$B$39="pvp",15,Inputs!$B$44)-MAX(5,B2308))/(IF(Inputs!$B$39="pvp",15,Inputs!$B$44)-(B2308))))*IF(AND(ArtifactsInput!$M$42,((Inputs!$B$9+((C2289=TRUE)*(F2289-Calc!F26))+B2297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276">
        <f>IF(C2276,(H2276*N2276*IF(AND(Inputs!$B$39&lt;&gt;"pvp",Inputs!$B$44&gt;0),((Skills!G13*((R2276-1)*IF(Skills!H13&gt;0,Skills!I13/Skills!H13,1)+IF(Skills!H13&gt;0,MIN(Skills!I13,MAX(0,MAX(0,Inputs!$B$44-B2308)-((R2276-1)*IF(Inputs!$B$39="pvp",15,MAX(0.1,Skills!D13-IF(TRUE=TRUE,Inputs!$B$32,0))))))/Skills!H13,1)))/Inputs!$B$44),G2276*Q2276))*IF(Inputs!$B$39="pvp",1,(1+(Inputs!$B$21+Skills!Q13+B2298+(IF(ArtifactsInput!$M$33,CHOOSE(ArtifactsInput!$N$33+1,30,36,42,48,54,60),0))+(IF(AND(ArtifactsInput!$M$35,Inputs!$B$4&lt;&gt;"Chapter Hunt"),CHOOSE(ArtifactsInput!$N$35+1,15,18,21,24,27,30)*(1-EXP(-(0.2*B2301)*5)),0)+IF(AND(ArtifactsInput!$M$22,Inputs!$B$4&lt;&gt;"Chapter Hunt"),CHOOSE(ArtifactsInput!$N$22+1,10,12,14,16,18,20)*((0*(((0.15*B2301*5))^0/1)+1*(((0.15*B2301*5))^1/1)+2*(((0.15*B2301*5))^2/2)+3*(((0.15*B2301*5))^3/6)+4*(((0.15*B2301*5))^4/24)+5*(((0.15*B2301*5))^5/120))/((((0.15*B2301*5))^0/1)+(((0.15*B2301*5))^1/1)+(((0.15*B2301*5))^2/2)+(((0.15*B2301*5))^3/6)+(((0.15*B2301*5))^4/24)+(((0.15*B2301*5))^5/120))),0)))/100)*(MIN(Skills!W13,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277">
      <c r="A2277">
        <f>Skills!A14</f>
        <v/>
      </c>
      <c r="B2277">
        <f>Skills!B14</f>
        <v/>
      </c>
      <c r="C2277">
        <f>Inputs!$B$3&gt;=105</f>
        <v/>
      </c>
      <c r="D2277">
        <f>IF(Skills!C14=1,60+Inputs!$B$25+Inputs!$B$29,IF(Skills!C14=2,90+Inputs!$B$26+Inputs!$B$29,IF(Skills!C14=3,120+Inputs!$B$27+Inputs!$B$29,MAX(0,(Inputs!$B$3-100)*3)+Inputs!$B$28+Inputs!$B$29)))</f>
        <v/>
      </c>
      <c r="E2277">
        <f>INDEX(FactorTable!$B$2:$Y$301, MATCH(ROUND(MIN(300,MAX(1,D2277)),0), FactorTable!$A$2:$A$301,0), Skills!M14+1)</f>
        <v/>
      </c>
      <c r="F2277">
        <f>IF(Skills!N14=TRUE,(Skills!L14/10)*(E2277/1000),Skills!L14/10)+Skills!O14</f>
        <v/>
      </c>
      <c r="G2277">
        <f>Skills!G14*IF(Skills!H14&gt;0,IF(Inputs!$B$39="pvp",MIN(Skills!I14,15),Skills!I14)/Skills!H14,1)</f>
        <v/>
      </c>
      <c r="H2277">
        <f>1-(1-Skills!J14/100)^Skills!K14</f>
        <v/>
      </c>
      <c r="I2277" t="inlineStr">
        <is>
          <t>1</t>
        </is>
      </c>
      <c r="J2277">
        <f>((Inputs!$B$6*(1+Inputs!$B$7/100))+(((Inputs!$B$12*(1+Inputs!$B$13/100))-(Inputs!$B$12*(1+Inputs!$B$13/100)))+0.25*(Inputs!$B$14-Inputs!$B$14))*(1+Inputs!$B$7/100))*(F2277/100)</f>
        <v/>
      </c>
      <c r="K2277">
        <f>J2277*(1+((Inputs!$B$12*(1+Inputs!$B$13/100))*0.01+Inputs!$B$14*0.0025)/100)*(1+Inputs!$B$15/100)*(1+Inputs!$B$16/100)*(5000/(6000+Inputs!$B$43*(1-(100*(1-(1-Inputs!$B$19/100)*(1-CHOOSE(ArtifactsInput!$N$40+1,5,6,7,8,9,10)/100)^(ArtifactsInput!$M$40-ArtifactsInput!$M$40)))/100)))*(1+(Inputs!$B$24+((C2294=TRUE)*(F2294-Calc!F31))+((C2281=TRUE)*(F2281-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14="CRUEL_STAB",Inputs!$B$17+((C2291=TRUE)*(F2291-Calc!F28))+((IF(AND(Inputs!$B$39&lt;&gt;"pvp",Inputs!$B$44=0),1,IF(IF(Inputs!$B$39="pvp",15,Inputs!$B$44)-(B2308)&lt;=0,1,MAX(0,IF(Inputs!$B$39="pvp",15,Inputs!$B$44)-MAX(5,B2308))/(IF(Inputs!$B$39="pvp",15,Inputs!$B$44)-(B2308))))*(IF(AND(ArtifactsInput!$M$42,((Inputs!$B$9+((C2289=TRUE)*(F2289-Calc!F26))+B2297+(ArtifactsInput!$M$24-ArtifactsInput!$M$24)*CHOOSE(ArtifactsInput!$N$24+1,10,12,14,16,18,20)+IF(ArtifactsInput!$M$10,CHOOSE(ArtifactsInput!$N$10+1,15,18,21,24,27,30)*(IF(Inputs!$B$39="pvp",MIN(15,15)/15,IF(AND(Inputs!$B$39&lt;&gt;"pvp",Inputs!$B$44&gt;0),MIN(15,Inputs!$B$44)/(Inputs!$B$44),0))),0)))&gt;=100),MIN(100,((Inputs!$B$9+((C2289=TRUE)*(F2289-Calc!F26))+B2297+(ArtifactsInput!$M$24-ArtifactsInput!$M$24)*CHOOSE(ArtifactsInput!$N$24+1,10,12,14,16,18,20)+IF(ArtifactsInput!$M$10,CHOOSE(ArtifactsInput!$N$10+1,15,18,21,24,27,30)*(IF(Inputs!$B$39="pvp",MIN(15,15)/15,IF(AND(Inputs!$B$39&lt;&gt;"pvp",Inputs!$B$44&gt;0),MIN(15,Inputs!$B$44)/(Inputs!$B$44),0))),0)))-100),0))*CHOOSE(ArtifactsInput!$N$42+1,0.6,0.72,0.84,0.96,1.08,1.2))),Inputs!$B$18+((C2292=TRUE)*(F2292-Calc!F29))+(IF(AND(Inputs!$B$39&lt;&gt;"pvp",Inputs!$B$44=0),1,IF(IF(Inputs!$B$39="pvp",15,Inputs!$B$44)-(B2308)&lt;=0,1,MAX(0,IF(Inputs!$B$39="pvp",15,Inputs!$B$44)-MAX(5,B2308))/(IF(Inputs!$B$39="pvp",15,Inputs!$B$44)-(B2308))))*IF(AND(ArtifactsInput!$M$42,((Inputs!$B$9+((C2289=TRUE)*(F2289-Calc!F26))+B2297+(ArtifactsInput!$M$24-ArtifactsInput!$M$24)*CHOOSE(ArtifactsInput!$N$24+1,10,12,14,16,18,20)+IF(ArtifactsInput!$M$10,CHOOSE(ArtifactsInput!$N$10+1,15,18,21,24,27,30)*(IF(Inputs!$B$39="pvp",MIN(15,15)/15,IF(AND(Inputs!$B$39&lt;&gt;"pvp",Inputs!$B$44&gt;0),MIN(15,Inputs!$B$44)/(Inputs!$B$44),0))),0)))&gt;=100),CHOOSE(ArtifactsInput!$N$42+1,40,48,56,64,72,80),0))))/100)*(((1+(((C2285=TRUE)*F2285*IF(AND(Inputs!$B$39&lt;&gt;"pvp",Inputs!$B$44&gt;0),(((R2285-1)*MIN((Skills!Y22*(1+Inputs!$B$34/100)),(1/Q2285))+MIN((Skills!Y22*(1+Inputs!$B$34/100)),MAX(0,Inputs!$B$44-((R2285-1)*(1/Q2285)))))/Inputs!$B$44),IF(Inputs!$B$39="pvp",MIN((Skills!Y22*(1+Inputs!$B$34/100)),15)/15,MIN(1,(Skills!Y22*(1+Inputs!$B$34/100))/(1/Q2285)))))+((C2266=TRUE)*F2266*3)+((C2268=TRUE)*F2268*(1-EXP(-0.75*B2301*5)))+((C2287=TRUE)*(F2287-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2274=TRUE)*F2274*IF(AND(Inputs!$B$39&lt;&gt;"pvp",Inputs!$B$44&gt;0),(((R2274-1)*MIN((Skills!Y11*(1+Inputs!$B$34/100)),(1/Q2274))+MIN((Skills!Y11*(1+Inputs!$B$34/100)),MAX(0,Inputs!$B$44-((R2274-1)*(1/Q2274)))))/Inputs!$B$44),IF(Inputs!$B$39="pvp",MIN((Skills!Y11*(1+Inputs!$B$34/100)),15)/15,MIN(1,(Skills!Y11*(1+Inputs!$B$34/100))/(1/Q2274)))))/100)*(1+((C2279=TRUE)*F2279*IF(AND(Inputs!$B$39&lt;&gt;"pvp",Inputs!$B$44&gt;0),(((R2279-1)*MIN((Skills!Y16*(1+Inputs!$B$34/100)),(1/Q2279))+MIN((Skills!Y16*(1+Inputs!$B$34/100)),MAX(0,Inputs!$B$44-((R2279-1)*(1/Q2279)))))/Inputs!$B$44),IF(Inputs!$B$39="pvp",MIN((Skills!Y16*(1+Inputs!$B$34/100)),15)/15,MIN(1,(Skills!Y16*(1+Inputs!$B$34/100))/(1/Q2279)))))/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2299*I2277)</f>
        <v/>
      </c>
      <c r="L2277">
        <f>K2277*(MIN(Inputs!$B$22+((C2288=TRUE)*(F2288-Calc!F25)),(Inputs!$B$23+((C2293=TRUE)*(F2293-Calc!F30))+IF(ArtifactsInput!$M$15,CHOOSE(ArtifactsInput!$N$15+1,25,30,35,40,45,50)/100*(Inputs!$B$11-Inputs!$B$11),0)))/100+(Inputs!$B$23+((C2293=TRUE)*(F2293-Calc!F30))+IF(ArtifactsInput!$M$15,CHOOSE(ArtifactsInput!$N$15+1,25,30,35,40,45,50)/100*(Inputs!$B$11-Inputs!$B$11),0))/100)/2</f>
        <v/>
      </c>
      <c r="M2277">
        <f>L2277*(1+(Inputs!$B$10+((C2290=TRUE)*(F2290-Calc!F27))+B2304+(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2277">
        <f>L2277*(1-MIN((Inputs!$B$9+((C2289=TRUE)*(F2289-Calc!F26))+B2297+(ArtifactsInput!$M$24-ArtifactsInput!$M$24)*CHOOSE(ArtifactsInput!$N$24+1,10,12,14,16,18,20)+(IF(AND(Inputs!$B$39&lt;&gt;"pvp",Inputs!$B$44=0),1,IF(IF(Inputs!$B$39="pvp",15,Inputs!$B$44)-(B2308)&lt;=0,1,MAX(0,IF(Inputs!$B$39="pvp",15,Inputs!$B$44)-MAX(5,B2308))/(IF(Inputs!$B$39="pvp",15,Inputs!$B$44)-(B2308))))*IF(AND(ArtifactsInput!$M$42,((Inputs!$B$9+((C2289=TRUE)*(F2289-Calc!F26))+B2297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2277*(MIN((Inputs!$B$9+((C2289=TRUE)*(F2289-Calc!F26))+B2297+(ArtifactsInput!$M$24-ArtifactsInput!$M$24)*CHOOSE(ArtifactsInput!$N$24+1,10,12,14,16,18,20)+(IF(AND(Inputs!$B$39&lt;&gt;"pvp",Inputs!$B$44=0),1,IF(IF(Inputs!$B$39="pvp",15,Inputs!$B$44)-(B2308)&lt;=0,1,MAX(0,IF(Inputs!$B$39="pvp",15,Inputs!$B$44)-MAX(5,B2308))/(IF(Inputs!$B$39="pvp",15,Inputs!$B$44)-(B2308))))*IF(AND(ArtifactsInput!$M$42,((Inputs!$B$9+((C2289=TRUE)*(F2289-Calc!F26))+B2297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277">
        <f>(1-Summary!$B$11)*T2277+Summary!$B$11*V2277</f>
        <v/>
      </c>
      <c r="P2277">
        <f>IF(B2309=0,0,O2277/B2309)</f>
        <v/>
      </c>
      <c r="Q2277">
        <f>IFERROR(1/IF(Inputs!$B$39="pvp",15,MAX(0.1,Skills!D14-IF(TRUE=TRUE,Inputs!$B$32,0))),0)</f>
        <v/>
      </c>
      <c r="R2277">
        <f>IF(AND(Inputs!$B$39&lt;&gt;"pvp",Inputs!$B$44&gt;0),IF(MAX(0,Inputs!$B$44-B2308)&lt;=0,0,(INT(MAX(0,Inputs!$B$44-B2308)/IF(Inputs!$B$39="pvp",15,MAX(0.1,Skills!D14-IF(TRUE=TRUE,Inputs!$B$32,0))))+1)),0)</f>
        <v/>
      </c>
      <c r="S2277">
        <f>IFERROR(O2277/N2277,0)</f>
        <v/>
      </c>
      <c r="T2277">
        <f>IF(C2277,(H2277*N2277*IF(AND(Inputs!$B$39&lt;&gt;"pvp",Inputs!$B$44&gt;0),((Skills!G14*((R2277-1)*IF(Skills!H14&gt;0,Skills!I14/Skills!H14,1)+IF(Skills!H14&gt;0,MIN(Skills!I14,MAX(0,MAX(0,Inputs!$B$44-B2308)-((R2277-1)*IF(Inputs!$B$39="pvp",15,MAX(0.1,Skills!D14-IF(TRUE=TRUE,Inputs!$B$32,0))))))/Skills!H14,1)))/Inputs!$B$44),G2277*Q2277))*IF(Inputs!$B$39="pvp",1,1+(Inputs!$B$20+0+Skills!P14+B2298+(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IF(ArtifactsInput!$M$23,FALSE,TRUE)-ArtifactsInput!$M$23)*CHOOSE(ArtifactsInput!$N$23+1,50,60,70,80,90,100))+(IF(AND(ArtifactsInput!$M$35,Inputs!$B$4&lt;&gt;"Chapter Hunt"),CHOOSE(ArtifactsInput!$N$35+1,15,18,21,24,27,30)*(1-EXP(-(0.2*B2301)*5)),0)+IF(AND(ArtifactsInput!$M$22,Inputs!$B$4&lt;&gt;"Chapter Hunt"),CHOOSE(ArtifactsInput!$N$22+1,10,12,14,16,18,20)*((0*(((0.15*B2301*5))^0/1)+1*(((0.15*B2301*5))^1/1)+2*(((0.15*B2301*5))^2/2)+3*(((0.15*B2301*5))^3/6)+4*(((0.15*B2301*5))^4/24)+5*(((0.15*B2301*5))^5/120))/((((0.15*B2301*5))^0/1)+(((0.15*B2301*5))^1/1)+(((0.15*B2301*5))^2/2)+(((0.15*B2301*5))^3/6)+(((0.15*B2301*5))^4/24)+(((0.15*B2301*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2277*(1-MIN(100,(Inputs!$B$9+((C2289=TRUE)*(F2289-Calc!F26))+B2297+(ArtifactsInput!$M$24-ArtifactsInput!$M$24)*CHOOSE(ArtifactsInput!$N$24+1,10,12,14,16,18,20)+(IF(AND(Inputs!$B$39&lt;&gt;"pvp",Inputs!$B$44=0),1,IF(IF(Inputs!$B$39="pvp",15,Inputs!$B$44)-(B2308)&lt;=0,1,MAX(0,IF(Inputs!$B$39="pvp",15,Inputs!$B$44)-MAX(5,B2308))/(IF(Inputs!$B$39="pvp",15,Inputs!$B$44)-(B2308))))*IF(AND(ArtifactsInput!$M$42,((Inputs!$B$9+((C2289=TRUE)*(F2289-Calc!F26))+B2297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2277*(MIN(100,(Inputs!$B$9+((C2289=TRUE)*(F2289-Calc!F26))+B2297+(ArtifactsInput!$M$24-ArtifactsInput!$M$24)*CHOOSE(ArtifactsInput!$N$24+1,10,12,14,16,18,20)+(IF(AND(Inputs!$B$39&lt;&gt;"pvp",Inputs!$B$44=0),1,IF(IF(Inputs!$B$39="pvp",15,Inputs!$B$44)-(B2308)&lt;=0,1,MAX(0,IF(Inputs!$B$39="pvp",15,Inputs!$B$44)-MAX(5,B2308))/(IF(Inputs!$B$39="pvp",15,Inputs!$B$44)-(B2308))))*IF(AND(ArtifactsInput!$M$42,((Inputs!$B$9+((C2289=TRUE)*(F2289-Calc!F26))+B2297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2277*(1-MIN(100,(Inputs!$B$9+((C2289=TRUE)*(F2289-Calc!F26))+B2297+(ArtifactsInput!$M$24-ArtifactsInput!$M$24)*CHOOSE(ArtifactsInput!$N$24+1,10,12,14,16,18,20)+(IF(AND(Inputs!$B$39&lt;&gt;"pvp",Inputs!$B$44=0),1,IF(IF(Inputs!$B$39="pvp",15,Inputs!$B$44)-(B2308)&lt;=0,1,MAX(0,IF(Inputs!$B$39="pvp",15,Inputs!$B$44)-MAX(5,B2308))/(IF(Inputs!$B$39="pvp",15,Inputs!$B$44)-(B2308))))*IF(AND(ArtifactsInput!$M$42,((Inputs!$B$9+((C2289=TRUE)*(F2289-Calc!F26))+B2297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2277*(MIN(100,(Inputs!$B$9+((C2289=TRUE)*(F2289-Calc!F26))+B2297+(ArtifactsInput!$M$24-ArtifactsInput!$M$24)*CHOOSE(ArtifactsInput!$N$24+1,10,12,14,16,18,20)+(IF(AND(Inputs!$B$39&lt;&gt;"pvp",Inputs!$B$44=0),1,IF(IF(Inputs!$B$39="pvp",15,Inputs!$B$44)-(B2308)&lt;=0,1,MAX(0,IF(Inputs!$B$39="pvp",15,Inputs!$B$44)-MAX(5,B2308))/(IF(Inputs!$B$39="pvp",15,Inputs!$B$44)-(B2308))))*IF(AND(ArtifactsInput!$M$42,((Inputs!$B$9+((C2289=TRUE)*(F2289-Calc!F26))+B2297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277">
        <f>IF(C2277,(H2277*N2277*IF(AND(Inputs!$B$39&lt;&gt;"pvp",Inputs!$B$44&gt;0),((Skills!G14*((R2277-1)*IF(Skills!H14&gt;0,Skills!I14/Skills!H14,1)+IF(Skills!H14&gt;0,MIN(Skills!I14,MAX(0,MAX(0,Inputs!$B$44-B2308)-((R2277-1)*IF(Inputs!$B$39="pvp",15,MAX(0.1,Skills!D14-IF(TRUE=TRUE,Inputs!$B$32,0))))))/Skills!H14,1)))/Inputs!$B$44),G2277*Q2277))*IF(Inputs!$B$39="pvp",1,(1+(Inputs!$B$21+Skills!Q14+B2298+(IF(ArtifactsInput!$M$33,CHOOSE(ArtifactsInput!$N$33+1,30,36,42,48,54,60),0))+(IF(AND(ArtifactsInput!$M$35,Inputs!$B$4&lt;&gt;"Chapter Hunt"),CHOOSE(ArtifactsInput!$N$35+1,15,18,21,24,27,30)*(1-EXP(-(0.2*B2301)*5)),0)+IF(AND(ArtifactsInput!$M$22,Inputs!$B$4&lt;&gt;"Chapter Hunt"),CHOOSE(ArtifactsInput!$N$22+1,10,12,14,16,18,20)*((0*(((0.15*B2301*5))^0/1)+1*(((0.15*B2301*5))^1/1)+2*(((0.15*B2301*5))^2/2)+3*(((0.15*B2301*5))^3/6)+4*(((0.15*B2301*5))^4/24)+5*(((0.15*B2301*5))^5/120))/((((0.15*B2301*5))^0/1)+(((0.15*B2301*5))^1/1)+(((0.15*B2301*5))^2/2)+(((0.15*B2301*5))^3/6)+(((0.15*B2301*5))^4/24)+(((0.15*B2301*5))^5/120))),0)))/100)*(MIN(Skills!W14,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278">
      <c r="A2278">
        <f>Skills!A15</f>
        <v/>
      </c>
      <c r="B2278">
        <f>Skills!B15</f>
        <v/>
      </c>
      <c r="C2278">
        <f>Inputs!$B$3&gt;=107</f>
        <v/>
      </c>
      <c r="D2278">
        <f>IF(Skills!C15=1,60+Inputs!$B$25+Inputs!$B$29,IF(Skills!C15=2,90+Inputs!$B$26+Inputs!$B$29,IF(Skills!C15=3,120+Inputs!$B$27+Inputs!$B$29,MAX(0,(Inputs!$B$3-100)*3)+Inputs!$B$28+Inputs!$B$29)))</f>
        <v/>
      </c>
      <c r="E2278">
        <f>INDEX(FactorTable!$B$2:$Y$301, MATCH(ROUND(MIN(300,MAX(1,D2278)),0), FactorTable!$A$2:$A$301,0), Skills!M15+1)</f>
        <v/>
      </c>
      <c r="F2278">
        <f>IF(Skills!N15=TRUE,(Skills!L15/10)*(E2278/1000),Skills!L15/10)+Skills!O15</f>
        <v/>
      </c>
      <c r="G2278">
        <f>Skills!G15*IF(Skills!H15&gt;0,IF(Inputs!$B$39="pvp",MIN(Skills!I15,15),Skills!I15)/Skills!H15,1)</f>
        <v/>
      </c>
      <c r="H2278">
        <f>1-(1-Skills!J15/100)^Skills!K15</f>
        <v/>
      </c>
      <c r="I2278" t="inlineStr">
        <is>
          <t>1</t>
        </is>
      </c>
      <c r="J2278">
        <f>((Inputs!$B$6*(1+Inputs!$B$7/100))+(((Inputs!$B$12*(1+Inputs!$B$13/100))-(Inputs!$B$12*(1+Inputs!$B$13/100)))+0.25*(Inputs!$B$14-Inputs!$B$14))*(1+Inputs!$B$7/100))*(F2278/100)</f>
        <v/>
      </c>
      <c r="K2278">
        <f>J2278*(1+((Inputs!$B$12*(1+Inputs!$B$13/100))*0.01+Inputs!$B$14*0.0025)/100)*(1+Inputs!$B$15/100)*(1+Inputs!$B$16/100)*(5000/(6000+Inputs!$B$43*(1-(100*(1-(1-Inputs!$B$19/100)*(1-CHOOSE(ArtifactsInput!$N$40+1,5,6,7,8,9,10)/100)^(ArtifactsInput!$M$40-ArtifactsInput!$M$40)))/100)))*(1+(Inputs!$B$24+((C2294=TRUE)*(F2294-Calc!F31))+((C2281=TRUE)*(F2281-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15="CRUEL_STAB",Inputs!$B$17+((C2291=TRUE)*(F2291-Calc!F28))+((IF(AND(Inputs!$B$39&lt;&gt;"pvp",Inputs!$B$44=0),1,IF(IF(Inputs!$B$39="pvp",15,Inputs!$B$44)-(B2308)&lt;=0,1,MAX(0,IF(Inputs!$B$39="pvp",15,Inputs!$B$44)-MAX(5,B2308))/(IF(Inputs!$B$39="pvp",15,Inputs!$B$44)-(B2308))))*(IF(AND(ArtifactsInput!$M$42,((Inputs!$B$9+((C2289=TRUE)*(F2289-Calc!F26))+B2297+(ArtifactsInput!$M$24-ArtifactsInput!$M$24)*CHOOSE(ArtifactsInput!$N$24+1,10,12,14,16,18,20)+IF(ArtifactsInput!$M$10,CHOOSE(ArtifactsInput!$N$10+1,15,18,21,24,27,30)*(IF(Inputs!$B$39="pvp",MIN(15,15)/15,IF(AND(Inputs!$B$39&lt;&gt;"pvp",Inputs!$B$44&gt;0),MIN(15,Inputs!$B$44)/(Inputs!$B$44),0))),0)))&gt;=100),MIN(100,((Inputs!$B$9+((C2289=TRUE)*(F2289-Calc!F26))+B2297+(ArtifactsInput!$M$24-ArtifactsInput!$M$24)*CHOOSE(ArtifactsInput!$N$24+1,10,12,14,16,18,20)+IF(ArtifactsInput!$M$10,CHOOSE(ArtifactsInput!$N$10+1,15,18,21,24,27,30)*(IF(Inputs!$B$39="pvp",MIN(15,15)/15,IF(AND(Inputs!$B$39&lt;&gt;"pvp",Inputs!$B$44&gt;0),MIN(15,Inputs!$B$44)/(Inputs!$B$44),0))),0)))-100),0))*CHOOSE(ArtifactsInput!$N$42+1,0.6,0.72,0.84,0.96,1.08,1.2))),Inputs!$B$18+((C2292=TRUE)*(F2292-Calc!F29))+(IF(AND(Inputs!$B$39&lt;&gt;"pvp",Inputs!$B$44=0),1,IF(IF(Inputs!$B$39="pvp",15,Inputs!$B$44)-(B2308)&lt;=0,1,MAX(0,IF(Inputs!$B$39="pvp",15,Inputs!$B$44)-MAX(5,B2308))/(IF(Inputs!$B$39="pvp",15,Inputs!$B$44)-(B2308))))*IF(AND(ArtifactsInput!$M$42,((Inputs!$B$9+((C2289=TRUE)*(F2289-Calc!F26))+B2297+(ArtifactsInput!$M$24-ArtifactsInput!$M$24)*CHOOSE(ArtifactsInput!$N$24+1,10,12,14,16,18,20)+IF(ArtifactsInput!$M$10,CHOOSE(ArtifactsInput!$N$10+1,15,18,21,24,27,30)*(IF(Inputs!$B$39="pvp",MIN(15,15)/15,IF(AND(Inputs!$B$39&lt;&gt;"pvp",Inputs!$B$44&gt;0),MIN(15,Inputs!$B$44)/(Inputs!$B$44),0))),0)))&gt;=100),CHOOSE(ArtifactsInput!$N$42+1,40,48,56,64,72,80),0))))/100)*(((1+(((C2285=TRUE)*F2285*IF(AND(Inputs!$B$39&lt;&gt;"pvp",Inputs!$B$44&gt;0),(((R2285-1)*MIN((Skills!Y22*(1+Inputs!$B$34/100)),(1/Q2285))+MIN((Skills!Y22*(1+Inputs!$B$34/100)),MAX(0,Inputs!$B$44-((R2285-1)*(1/Q2285)))))/Inputs!$B$44),IF(Inputs!$B$39="pvp",MIN((Skills!Y22*(1+Inputs!$B$34/100)),15)/15,MIN(1,(Skills!Y22*(1+Inputs!$B$34/100))/(1/Q2285)))))+((C2266=TRUE)*F2266*3)+((C2268=TRUE)*F2268*(1-EXP(-0.75*B2301*5)))+((C2287=TRUE)*(F2287-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2274=TRUE)*F2274*IF(AND(Inputs!$B$39&lt;&gt;"pvp",Inputs!$B$44&gt;0),(((R2274-1)*MIN((Skills!Y11*(1+Inputs!$B$34/100)),(1/Q2274))+MIN((Skills!Y11*(1+Inputs!$B$34/100)),MAX(0,Inputs!$B$44-((R2274-1)*(1/Q2274)))))/Inputs!$B$44),IF(Inputs!$B$39="pvp",MIN((Skills!Y11*(1+Inputs!$B$34/100)),15)/15,MIN(1,(Skills!Y11*(1+Inputs!$B$34/100))/(1/Q2274)))))/100)*(1+((C2279=TRUE)*F2279*IF(AND(Inputs!$B$39&lt;&gt;"pvp",Inputs!$B$44&gt;0),(((R2279-1)*MIN((Skills!Y16*(1+Inputs!$B$34/100)),(1/Q2279))+MIN((Skills!Y16*(1+Inputs!$B$34/100)),MAX(0,Inputs!$B$44-((R2279-1)*(1/Q2279)))))/Inputs!$B$44),IF(Inputs!$B$39="pvp",MIN((Skills!Y16*(1+Inputs!$B$34/100)),15)/15,MIN(1,(Skills!Y16*(1+Inputs!$B$34/100))/(1/Q2279)))))/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2299*I2278)</f>
        <v/>
      </c>
      <c r="L2278">
        <f>K2278*(MIN(Inputs!$B$22+((C2288=TRUE)*(F2288-Calc!F25)),(Inputs!$B$23+((C2293=TRUE)*(F2293-Calc!F30))+IF(ArtifactsInput!$M$15,CHOOSE(ArtifactsInput!$N$15+1,25,30,35,40,45,50)/100*(Inputs!$B$11-Inputs!$B$11),0)))/100+(Inputs!$B$23+((C2293=TRUE)*(F2293-Calc!F30))+IF(ArtifactsInput!$M$15,CHOOSE(ArtifactsInput!$N$15+1,25,30,35,40,45,50)/100*(Inputs!$B$11-Inputs!$B$11),0))/100)/2</f>
        <v/>
      </c>
      <c r="M2278">
        <f>L2278*(1+(Inputs!$B$10+((C2290=TRUE)*(F2290-Calc!F27))+B2304+(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2278">
        <f>L2278*(1-MIN((Inputs!$B$9+((C2289=TRUE)*(F2289-Calc!F26))+B2297+(ArtifactsInput!$M$24-ArtifactsInput!$M$24)*CHOOSE(ArtifactsInput!$N$24+1,10,12,14,16,18,20)+(IF(AND(Inputs!$B$39&lt;&gt;"pvp",Inputs!$B$44=0),1,IF(IF(Inputs!$B$39="pvp",15,Inputs!$B$44)-(B2308)&lt;=0,1,MAX(0,IF(Inputs!$B$39="pvp",15,Inputs!$B$44)-MAX(5,B2308))/(IF(Inputs!$B$39="pvp",15,Inputs!$B$44)-(B2308))))*IF(AND(ArtifactsInput!$M$42,((Inputs!$B$9+((C2289=TRUE)*(F2289-Calc!F26))+B2297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2278*(MIN((Inputs!$B$9+((C2289=TRUE)*(F2289-Calc!F26))+B2297+(ArtifactsInput!$M$24-ArtifactsInput!$M$24)*CHOOSE(ArtifactsInput!$N$24+1,10,12,14,16,18,20)+(IF(AND(Inputs!$B$39&lt;&gt;"pvp",Inputs!$B$44=0),1,IF(IF(Inputs!$B$39="pvp",15,Inputs!$B$44)-(B2308)&lt;=0,1,MAX(0,IF(Inputs!$B$39="pvp",15,Inputs!$B$44)-MAX(5,B2308))/(IF(Inputs!$B$39="pvp",15,Inputs!$B$44)-(B2308))))*IF(AND(ArtifactsInput!$M$42,((Inputs!$B$9+((C2289=TRUE)*(F2289-Calc!F26))+B2297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278">
        <f>(1-Summary!$B$11)*T2278+Summary!$B$11*V2278</f>
        <v/>
      </c>
      <c r="P2278">
        <f>IF(B2309=0,0,O2278/B2309)</f>
        <v/>
      </c>
      <c r="Q2278">
        <f>IFERROR(1/IF(Inputs!$B$39="pvp",15,MAX(0.1,Skills!D15-IF(TRUE=TRUE,Inputs!$B$32,0))),0)</f>
        <v/>
      </c>
      <c r="R2278">
        <f>IF(AND(Inputs!$B$39&lt;&gt;"pvp",Inputs!$B$44&gt;0),IF(MAX(0,Inputs!$B$44-B2308)&lt;=0,0,(INT(MAX(0,Inputs!$B$44-B2308)/IF(Inputs!$B$39="pvp",15,MAX(0.1,Skills!D15-IF(TRUE=TRUE,Inputs!$B$32,0))))+1)),0)</f>
        <v/>
      </c>
      <c r="S2278">
        <f>IFERROR(O2278/N2278,0)</f>
        <v/>
      </c>
      <c r="T2278">
        <f>IF(C2278,(H2278*N2278*IF(AND(Inputs!$B$39&lt;&gt;"pvp",Inputs!$B$44&gt;0),((Skills!G15*((R2278-1)*IF(Skills!H15&gt;0,Skills!I15/Skills!H15,1)+IF(Skills!H15&gt;0,MIN(Skills!I15,MAX(0,MAX(0,Inputs!$B$44-B2308)-((R2278-1)*IF(Inputs!$B$39="pvp",15,MAX(0.1,Skills!D15-IF(TRUE=TRUE,Inputs!$B$32,0))))))/Skills!H15,1)))/Inputs!$B$44),G2278*Q2278))*IF(Inputs!$B$39="pvp",1,1+(Inputs!$B$20+0+Skills!P15+B2298+(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IF(ArtifactsInput!$M$23,FALSE,TRUE)-ArtifactsInput!$M$23)*CHOOSE(ArtifactsInput!$N$23+1,50,60,70,80,90,100))+(IF(AND(ArtifactsInput!$M$35,Inputs!$B$4&lt;&gt;"Chapter Hunt"),CHOOSE(ArtifactsInput!$N$35+1,15,18,21,24,27,30)*(1-EXP(-(0.2*B2301)*5)),0)+IF(AND(ArtifactsInput!$M$22,Inputs!$B$4&lt;&gt;"Chapter Hunt"),CHOOSE(ArtifactsInput!$N$22+1,10,12,14,16,18,20)*((0*(((0.15*B2301*5))^0/1)+1*(((0.15*B2301*5))^1/1)+2*(((0.15*B2301*5))^2/2)+3*(((0.15*B2301*5))^3/6)+4*(((0.15*B2301*5))^4/24)+5*(((0.15*B2301*5))^5/120))/((((0.15*B2301*5))^0/1)+(((0.15*B2301*5))^1/1)+(((0.15*B2301*5))^2/2)+(((0.15*B2301*5))^3/6)+(((0.15*B2301*5))^4/24)+(((0.15*B2301*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2278*(1-MIN(100,(Inputs!$B$9+((C2289=TRUE)*(F2289-Calc!F26))+B2297+(ArtifactsInput!$M$24-ArtifactsInput!$M$24)*CHOOSE(ArtifactsInput!$N$24+1,10,12,14,16,18,20)+(IF(AND(Inputs!$B$39&lt;&gt;"pvp",Inputs!$B$44=0),1,IF(IF(Inputs!$B$39="pvp",15,Inputs!$B$44)-(B2308)&lt;=0,1,MAX(0,IF(Inputs!$B$39="pvp",15,Inputs!$B$44)-MAX(5,B2308))/(IF(Inputs!$B$39="pvp",15,Inputs!$B$44)-(B2308))))*IF(AND(ArtifactsInput!$M$42,((Inputs!$B$9+((C2289=TRUE)*(F2289-Calc!F26))+B2297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2278*(MIN(100,(Inputs!$B$9+((C2289=TRUE)*(F2289-Calc!F26))+B2297+(ArtifactsInput!$M$24-ArtifactsInput!$M$24)*CHOOSE(ArtifactsInput!$N$24+1,10,12,14,16,18,20)+(IF(AND(Inputs!$B$39&lt;&gt;"pvp",Inputs!$B$44=0),1,IF(IF(Inputs!$B$39="pvp",15,Inputs!$B$44)-(B2308)&lt;=0,1,MAX(0,IF(Inputs!$B$39="pvp",15,Inputs!$B$44)-MAX(5,B2308))/(IF(Inputs!$B$39="pvp",15,Inputs!$B$44)-(B2308))))*IF(AND(ArtifactsInput!$M$42,((Inputs!$B$9+((C2289=TRUE)*(F2289-Calc!F26))+B2297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2278*(1-MIN(100,(Inputs!$B$9+((C2289=TRUE)*(F2289-Calc!F26))+B2297+(ArtifactsInput!$M$24-ArtifactsInput!$M$24)*CHOOSE(ArtifactsInput!$N$24+1,10,12,14,16,18,20)+(IF(AND(Inputs!$B$39&lt;&gt;"pvp",Inputs!$B$44=0),1,IF(IF(Inputs!$B$39="pvp",15,Inputs!$B$44)-(B2308)&lt;=0,1,MAX(0,IF(Inputs!$B$39="pvp",15,Inputs!$B$44)-MAX(5,B2308))/(IF(Inputs!$B$39="pvp",15,Inputs!$B$44)-(B2308))))*IF(AND(ArtifactsInput!$M$42,((Inputs!$B$9+((C2289=TRUE)*(F2289-Calc!F26))+B2297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2278*(MIN(100,(Inputs!$B$9+((C2289=TRUE)*(F2289-Calc!F26))+B2297+(ArtifactsInput!$M$24-ArtifactsInput!$M$24)*CHOOSE(ArtifactsInput!$N$24+1,10,12,14,16,18,20)+(IF(AND(Inputs!$B$39&lt;&gt;"pvp",Inputs!$B$44=0),1,IF(IF(Inputs!$B$39="pvp",15,Inputs!$B$44)-(B2308)&lt;=0,1,MAX(0,IF(Inputs!$B$39="pvp",15,Inputs!$B$44)-MAX(5,B2308))/(IF(Inputs!$B$39="pvp",15,Inputs!$B$44)-(B2308))))*IF(AND(ArtifactsInput!$M$42,((Inputs!$B$9+((C2289=TRUE)*(F2289-Calc!F26))+B2297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278">
        <f>IF(C2278,(H2278*N2278*IF(AND(Inputs!$B$39&lt;&gt;"pvp",Inputs!$B$44&gt;0),((Skills!G15*((R2278-1)*IF(Skills!H15&gt;0,Skills!I15/Skills!H15,1)+IF(Skills!H15&gt;0,MIN(Skills!I15,MAX(0,MAX(0,Inputs!$B$44-B2308)-((R2278-1)*IF(Inputs!$B$39="pvp",15,MAX(0.1,Skills!D15-IF(TRUE=TRUE,Inputs!$B$32,0))))))/Skills!H15,1)))/Inputs!$B$44),G2278*Q2278))*IF(Inputs!$B$39="pvp",1,(1+(Inputs!$B$21+Skills!Q15+B2298+(IF(ArtifactsInput!$M$33,CHOOSE(ArtifactsInput!$N$33+1,30,36,42,48,54,60),0))+(IF(AND(ArtifactsInput!$M$35,Inputs!$B$4&lt;&gt;"Chapter Hunt"),CHOOSE(ArtifactsInput!$N$35+1,15,18,21,24,27,30)*(1-EXP(-(0.2*B2301)*5)),0)+IF(AND(ArtifactsInput!$M$22,Inputs!$B$4&lt;&gt;"Chapter Hunt"),CHOOSE(ArtifactsInput!$N$22+1,10,12,14,16,18,20)*((0*(((0.15*B2301*5))^0/1)+1*(((0.15*B2301*5))^1/1)+2*(((0.15*B2301*5))^2/2)+3*(((0.15*B2301*5))^3/6)+4*(((0.15*B2301*5))^4/24)+5*(((0.15*B2301*5))^5/120))/((((0.15*B2301*5))^0/1)+(((0.15*B2301*5))^1/1)+(((0.15*B2301*5))^2/2)+(((0.15*B2301*5))^3/6)+(((0.15*B2301*5))^4/24)+(((0.15*B2301*5))^5/120))),0)))/100)*(MIN(MIN(5,0.5*IF(Inputs!$B$3&gt;=75,0.75,0.5)*B2301*(1/Q2267))*Skills!V15,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279">
      <c r="A2279">
        <f>Skills!A16</f>
        <v/>
      </c>
      <c r="B2279">
        <f>Skills!B16</f>
        <v/>
      </c>
      <c r="C2279">
        <f>Inputs!$B$3&gt;=110</f>
        <v/>
      </c>
      <c r="D2279">
        <f>IF(Skills!C16=1,60+Inputs!$B$25+Inputs!$B$29,IF(Skills!C16=2,90+Inputs!$B$26+Inputs!$B$29,IF(Skills!C16=3,120+Inputs!$B$27+Inputs!$B$29,MAX(0,(Inputs!$B$3-100)*3)+Inputs!$B$28+Inputs!$B$29)))</f>
        <v/>
      </c>
      <c r="E2279">
        <f>INDEX(FactorTable!$B$2:$Y$301, MATCH(ROUND(MIN(300,MAX(1,D2279)),0), FactorTable!$A$2:$A$301,0), Skills!M16+1)</f>
        <v/>
      </c>
      <c r="F2279">
        <f>IF(Skills!N16=TRUE,(Skills!L16/10)*(E2279/1000),Skills!L16/10)+Skills!O16</f>
        <v/>
      </c>
      <c r="G2279">
        <f>Skills!G16*IF(Skills!H16&gt;0,IF(Inputs!$B$39="pvp",MIN(Skills!I16,15),Skills!I16)/Skills!H16,1)</f>
        <v/>
      </c>
      <c r="H2279">
        <f>1-(1-Skills!J16/100)^Skills!K16</f>
        <v/>
      </c>
      <c r="I2279" t="inlineStr">
        <is>
          <t>1</t>
        </is>
      </c>
      <c r="J2279" t="inlineStr"/>
      <c r="K2279" t="inlineStr"/>
      <c r="L2279" t="inlineStr"/>
      <c r="M2279" t="inlineStr"/>
      <c r="N2279" t="inlineStr"/>
      <c r="O2279">
        <f>(1-Summary!$B$11)*T2279+Summary!$B$11*V2279</f>
        <v/>
      </c>
      <c r="P2279">
        <f>IF(B2309=0,0,O2279/B2309)</f>
        <v/>
      </c>
      <c r="Q2279">
        <f>IFERROR(1/IF(Inputs!$B$39="pvp",15,MAX(0.1,Skills!D16-IF(TRUE=TRUE,Inputs!$B$32,0))),0)</f>
        <v/>
      </c>
      <c r="R2279">
        <f>IF(AND(Inputs!$B$39&lt;&gt;"pvp",Inputs!$B$44&gt;0),IF(Inputs!$B$44&lt;=0,0,(INT(Inputs!$B$44/IF(Inputs!$B$39="pvp",15,MAX(0.1,Skills!D16-IF(TRUE=TRUE,Inputs!$B$32,0))))+1)),0)</f>
        <v/>
      </c>
      <c r="S2279">
        <f>IFERROR(O2279/N2279,0)</f>
        <v/>
      </c>
      <c r="T2279" t="n">
        <v>0</v>
      </c>
      <c r="V2279" t="n">
        <v>0</v>
      </c>
    </row>
    <row r="2280">
      <c r="A2280">
        <f>Skills!A17</f>
        <v/>
      </c>
      <c r="B2280">
        <f>Skills!B17</f>
        <v/>
      </c>
      <c r="C2280">
        <f>Inputs!$B$3&gt;=115</f>
        <v/>
      </c>
      <c r="D2280">
        <f>IF(Skills!C17=1,60+Inputs!$B$25+Inputs!$B$29,IF(Skills!C17=2,90+Inputs!$B$26+Inputs!$B$29,IF(Skills!C17=3,120+Inputs!$B$27+Inputs!$B$29,MAX(0,(Inputs!$B$3-100)*3)+Inputs!$B$28+Inputs!$B$29)))</f>
        <v/>
      </c>
      <c r="E2280">
        <f>INDEX(FactorTable!$B$2:$Y$301, MATCH(ROUND(MIN(300,MAX(1,D2280)),0), FactorTable!$A$2:$A$301,0), Skills!M17+1)</f>
        <v/>
      </c>
      <c r="F2280">
        <f>IF(Skills!N17=TRUE,(Skills!L17/10)*(E2280/1000),Skills!L17/10)+Skills!O17</f>
        <v/>
      </c>
      <c r="G2280">
        <f>Skills!G17*IF(Skills!H17&gt;0,IF(Inputs!$B$39="pvp",MIN(Skills!I17,15),Skills!I17)/Skills!H17,1)</f>
        <v/>
      </c>
      <c r="H2280">
        <f>1-(1-Skills!J17/100)^Skills!K17</f>
        <v/>
      </c>
      <c r="I2280" t="inlineStr">
        <is>
          <t>1</t>
        </is>
      </c>
      <c r="J2280">
        <f>((Inputs!$B$6*(1+Inputs!$B$7/100))+(((Inputs!$B$12*(1+Inputs!$B$13/100))-(Inputs!$B$12*(1+Inputs!$B$13/100)))+0.25*(Inputs!$B$14-Inputs!$B$14))*(1+Inputs!$B$7/100))*(F2280/100)</f>
        <v/>
      </c>
      <c r="K2280">
        <f>J2280*(1+((Inputs!$B$12*(1+Inputs!$B$13/100))*0.01+Inputs!$B$14*0.0025)/100)*(1+Inputs!$B$15/100)*(1+Inputs!$B$16/100)*(5000/(6000+Inputs!$B$43*(1-(100*(1-(1-Inputs!$B$19/100)*(1-CHOOSE(ArtifactsInput!$N$40+1,5,6,7,8,9,10)/100)^(ArtifactsInput!$M$40-ArtifactsInput!$M$40)))/100)))*(1+(Inputs!$B$24+((C2294=TRUE)*(F2294-Calc!F31))+((C2281=TRUE)*(F2281-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17="CRUEL_STAB",Inputs!$B$17+((C2291=TRUE)*(F2291-Calc!F28))+((IF(AND(Inputs!$B$39&lt;&gt;"pvp",Inputs!$B$44=0),1,IF(IF(Inputs!$B$39="pvp",15,Inputs!$B$44)-(B2308)&lt;=0,1,MAX(0,IF(Inputs!$B$39="pvp",15,Inputs!$B$44)-MAX(5,B2308))/(IF(Inputs!$B$39="pvp",15,Inputs!$B$44)-(B2308))))*(IF(AND(ArtifactsInput!$M$42,((Inputs!$B$9+((C2289=TRUE)*(F2289-Calc!F26))+B2297+(ArtifactsInput!$M$24-ArtifactsInput!$M$24)*CHOOSE(ArtifactsInput!$N$24+1,10,12,14,16,18,20)+IF(ArtifactsInput!$M$10,CHOOSE(ArtifactsInput!$N$10+1,15,18,21,24,27,30)*(IF(Inputs!$B$39="pvp",MIN(15,15)/15,IF(AND(Inputs!$B$39&lt;&gt;"pvp",Inputs!$B$44&gt;0),MIN(15,Inputs!$B$44)/(Inputs!$B$44),0))),0)))&gt;=100),MIN(100,((Inputs!$B$9+((C2289=TRUE)*(F2289-Calc!F26))+B2297+(ArtifactsInput!$M$24-ArtifactsInput!$M$24)*CHOOSE(ArtifactsInput!$N$24+1,10,12,14,16,18,20)+IF(ArtifactsInput!$M$10,CHOOSE(ArtifactsInput!$N$10+1,15,18,21,24,27,30)*(IF(Inputs!$B$39="pvp",MIN(15,15)/15,IF(AND(Inputs!$B$39&lt;&gt;"pvp",Inputs!$B$44&gt;0),MIN(15,Inputs!$B$44)/(Inputs!$B$44),0))),0)))-100),0))*CHOOSE(ArtifactsInput!$N$42+1,0.6,0.72,0.84,0.96,1.08,1.2))),Inputs!$B$18+((C2292=TRUE)*(F2292-Calc!F29))+(IF(AND(Inputs!$B$39&lt;&gt;"pvp",Inputs!$B$44=0),1,IF(IF(Inputs!$B$39="pvp",15,Inputs!$B$44)-(B2308)&lt;=0,1,MAX(0,IF(Inputs!$B$39="pvp",15,Inputs!$B$44)-MAX(5,B2308))/(IF(Inputs!$B$39="pvp",15,Inputs!$B$44)-(B2308))))*IF(AND(ArtifactsInput!$M$42,((Inputs!$B$9+((C2289=TRUE)*(F2289-Calc!F26))+B2297+(ArtifactsInput!$M$24-ArtifactsInput!$M$24)*CHOOSE(ArtifactsInput!$N$24+1,10,12,14,16,18,20)+IF(ArtifactsInput!$M$10,CHOOSE(ArtifactsInput!$N$10+1,15,18,21,24,27,30)*(IF(Inputs!$B$39="pvp",MIN(15,15)/15,IF(AND(Inputs!$B$39&lt;&gt;"pvp",Inputs!$B$44&gt;0),MIN(15,Inputs!$B$44)/(Inputs!$B$44),0))),0)))&gt;=100),CHOOSE(ArtifactsInput!$N$42+1,40,48,56,64,72,80),0))))/100)*(((1+(((C2285=TRUE)*F2285*IF(AND(Inputs!$B$39&lt;&gt;"pvp",Inputs!$B$44&gt;0),(((R2285-1)*MIN((Skills!Y22*(1+Inputs!$B$34/100)),(1/Q2285))+MIN((Skills!Y22*(1+Inputs!$B$34/100)),MAX(0,Inputs!$B$44-((R2285-1)*(1/Q2285)))))/Inputs!$B$44),IF(Inputs!$B$39="pvp",MIN((Skills!Y22*(1+Inputs!$B$34/100)),15)/15,MIN(1,(Skills!Y22*(1+Inputs!$B$34/100))/(1/Q2285)))))+((C2266=TRUE)*F2266*3)+((C2268=TRUE)*F2268*(1-EXP(-0.75*B2301*5)))+((C2287=TRUE)*(F2287-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2274=TRUE)*F2274*IF(AND(Inputs!$B$39&lt;&gt;"pvp",Inputs!$B$44&gt;0),(((R2274-1)*MIN((Skills!Y11*(1+Inputs!$B$34/100)),(1/Q2274))+MIN((Skills!Y11*(1+Inputs!$B$34/100)),MAX(0,Inputs!$B$44-((R2274-1)*(1/Q2274)))))/Inputs!$B$44),IF(Inputs!$B$39="pvp",MIN((Skills!Y11*(1+Inputs!$B$34/100)),15)/15,MIN(1,(Skills!Y11*(1+Inputs!$B$34/100))/(1/Q2274)))))/100)*(1+((C2279=TRUE)*F2279*IF(AND(Inputs!$B$39&lt;&gt;"pvp",Inputs!$B$44&gt;0),(((R2279-1)*MIN((Skills!Y16*(1+Inputs!$B$34/100)),(1/Q2279))+MIN((Skills!Y16*(1+Inputs!$B$34/100)),MAX(0,Inputs!$B$44-((R2279-1)*(1/Q2279)))))/Inputs!$B$44),IF(Inputs!$B$39="pvp",MIN((Skills!Y16*(1+Inputs!$B$34/100)),15)/15,MIN(1,(Skills!Y16*(1+Inputs!$B$34/100))/(1/Q2279)))))/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2299*I2280)</f>
        <v/>
      </c>
      <c r="L2280">
        <f>K2280*(MIN(Inputs!$B$22+((C2288=TRUE)*(F2288-Calc!F25)),(Inputs!$B$23+((C2293=TRUE)*(F2293-Calc!F30))+IF(ArtifactsInput!$M$15,CHOOSE(ArtifactsInput!$N$15+1,25,30,35,40,45,50)/100*(Inputs!$B$11-Inputs!$B$11),0)))/100+(Inputs!$B$23+((C2293=TRUE)*(F2293-Calc!F30))+IF(ArtifactsInput!$M$15,CHOOSE(ArtifactsInput!$N$15+1,25,30,35,40,45,50)/100*(Inputs!$B$11-Inputs!$B$11),0))/100)/2</f>
        <v/>
      </c>
      <c r="M2280">
        <f>L2280*(1+(Inputs!$B$10+((C2290=TRUE)*(F2290-Calc!F27))+B2304+(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2280">
        <f>L2280*(1-MIN((Inputs!$B$9+((C2289=TRUE)*(F2289-Calc!F26))+B2297+(ArtifactsInput!$M$24-ArtifactsInput!$M$24)*CHOOSE(ArtifactsInput!$N$24+1,10,12,14,16,18,20)+(IF(AND(Inputs!$B$39&lt;&gt;"pvp",Inputs!$B$44=0),1,IF(IF(Inputs!$B$39="pvp",15,Inputs!$B$44)-(B2308)&lt;=0,1,MAX(0,IF(Inputs!$B$39="pvp",15,Inputs!$B$44)-MAX(5,B2308))/(IF(Inputs!$B$39="pvp",15,Inputs!$B$44)-(B2308))))*IF(AND(ArtifactsInput!$M$42,((Inputs!$B$9+((C2289=TRUE)*(F2289-Calc!F26))+B2297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2280*(MIN((Inputs!$B$9+((C2289=TRUE)*(F2289-Calc!F26))+B2297+(ArtifactsInput!$M$24-ArtifactsInput!$M$24)*CHOOSE(ArtifactsInput!$N$24+1,10,12,14,16,18,20)+(IF(AND(Inputs!$B$39&lt;&gt;"pvp",Inputs!$B$44=0),1,IF(IF(Inputs!$B$39="pvp",15,Inputs!$B$44)-(B2308)&lt;=0,1,MAX(0,IF(Inputs!$B$39="pvp",15,Inputs!$B$44)-MAX(5,B2308))/(IF(Inputs!$B$39="pvp",15,Inputs!$B$44)-(B2308))))*IF(AND(ArtifactsInput!$M$42,((Inputs!$B$9+((C2289=TRUE)*(F2289-Calc!F26))+B2297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280">
        <f>(1-Summary!$B$11)*T2280+Summary!$B$11*V2280</f>
        <v/>
      </c>
      <c r="P2280">
        <f>IF(B2309=0,0,O2280/B2309)</f>
        <v/>
      </c>
      <c r="Q2280" t="n">
        <v>0</v>
      </c>
      <c r="R2280" t="n">
        <v>0</v>
      </c>
      <c r="S2280">
        <f>IFERROR(O2280/N2280,0)</f>
        <v/>
      </c>
      <c r="T2280">
        <f>IF(C2280,(Inputs!$B$38*0.2*N2280)*IF(Inputs!$B$39="pvp",1,1+(Inputs!$B$20+0+Skills!P17+B2298+(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IF(ArtifactsInput!$M$23,FALSE,TRUE)-ArtifactsInput!$M$23)*CHOOSE(ArtifactsInput!$N$23+1,50,60,70,80,90,100))+(IF(AND(ArtifactsInput!$M$35,Inputs!$B$4&lt;&gt;"Chapter Hunt"),CHOOSE(ArtifactsInput!$N$35+1,15,18,21,24,27,30)*(1-EXP(-(0.2*B2301)*5)),0)+IF(AND(ArtifactsInput!$M$22,Inputs!$B$4&lt;&gt;"Chapter Hunt"),CHOOSE(ArtifactsInput!$N$22+1,10,12,14,16,18,20)*((0*(((0.15*B2301*5))^0/1)+1*(((0.15*B2301*5))^1/1)+2*(((0.15*B2301*5))^2/2)+3*(((0.15*B2301*5))^3/6)+4*(((0.15*B2301*5))^4/24)+5*(((0.15*B2301*5))^5/120))/((((0.15*B2301*5))^0/1)+(((0.15*B2301*5))^1/1)+(((0.15*B2301*5))^2/2)+(((0.15*B2301*5))^3/6)+(((0.15*B2301*5))^4/24)+(((0.15*B2301*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2280*(1-MIN(100,(Inputs!$B$9+((C2289=TRUE)*(F2289-Calc!F26))+B2297+(ArtifactsInput!$M$24-ArtifactsInput!$M$24)*CHOOSE(ArtifactsInput!$N$24+1,10,12,14,16,18,20)+(IF(AND(Inputs!$B$39&lt;&gt;"pvp",Inputs!$B$44=0),1,IF(IF(Inputs!$B$39="pvp",15,Inputs!$B$44)-(B2308)&lt;=0,1,MAX(0,IF(Inputs!$B$39="pvp",15,Inputs!$B$44)-MAX(5,B2308))/(IF(Inputs!$B$39="pvp",15,Inputs!$B$44)-(B2308))))*IF(AND(ArtifactsInput!$M$42,((Inputs!$B$9+((C2289=TRUE)*(F2289-Calc!F26))+B2297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2280*(MIN(100,(Inputs!$B$9+((C2289=TRUE)*(F2289-Calc!F26))+B2297+(ArtifactsInput!$M$24-ArtifactsInput!$M$24)*CHOOSE(ArtifactsInput!$N$24+1,10,12,14,16,18,20)+(IF(AND(Inputs!$B$39&lt;&gt;"pvp",Inputs!$B$44=0),1,IF(IF(Inputs!$B$39="pvp",15,Inputs!$B$44)-(B2308)&lt;=0,1,MAX(0,IF(Inputs!$B$39="pvp",15,Inputs!$B$44)-MAX(5,B2308))/(IF(Inputs!$B$39="pvp",15,Inputs!$B$44)-(B2308))))*IF(AND(ArtifactsInput!$M$42,((Inputs!$B$9+((C2289=TRUE)*(F2289-Calc!F26))+B2297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2280*(1-MIN(100,(Inputs!$B$9+((C2289=TRUE)*(F2289-Calc!F26))+B2297+(ArtifactsInput!$M$24-ArtifactsInput!$M$24)*CHOOSE(ArtifactsInput!$N$24+1,10,12,14,16,18,20)+(IF(AND(Inputs!$B$39&lt;&gt;"pvp",Inputs!$B$44=0),1,IF(IF(Inputs!$B$39="pvp",15,Inputs!$B$44)-(B2308)&lt;=0,1,MAX(0,IF(Inputs!$B$39="pvp",15,Inputs!$B$44)-MAX(5,B2308))/(IF(Inputs!$B$39="pvp",15,Inputs!$B$44)-(B2308))))*IF(AND(ArtifactsInput!$M$42,((Inputs!$B$9+((C2289=TRUE)*(F2289-Calc!F26))+B2297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2280*(MIN(100,(Inputs!$B$9+((C2289=TRUE)*(F2289-Calc!F26))+B2297+(ArtifactsInput!$M$24-ArtifactsInput!$M$24)*CHOOSE(ArtifactsInput!$N$24+1,10,12,14,16,18,20)+(IF(AND(Inputs!$B$39&lt;&gt;"pvp",Inputs!$B$44=0),1,IF(IF(Inputs!$B$39="pvp",15,Inputs!$B$44)-(B2308)&lt;=0,1,MAX(0,IF(Inputs!$B$39="pvp",15,Inputs!$B$44)-MAX(5,B2308))/(IF(Inputs!$B$39="pvp",15,Inputs!$B$44)-(B2308))))*IF(AND(ArtifactsInput!$M$42,((Inputs!$B$9+((C2289=TRUE)*(F2289-Calc!F26))+B2297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280">
        <f>IF(C2280,(Inputs!$B$38*0.2*N2280)*IF(Inputs!$B$39="pvp",1,(1+(Inputs!$B$21+Skills!Q17+B2298+(IF(ArtifactsInput!$M$33,CHOOSE(ArtifactsInput!$N$33+1,30,36,42,48,54,60),0))+(IF(AND(ArtifactsInput!$M$35,Inputs!$B$4&lt;&gt;"Chapter Hunt"),CHOOSE(ArtifactsInput!$N$35+1,15,18,21,24,27,30)*(1-EXP(-(0.2*B2301)*5)),0)+IF(AND(ArtifactsInput!$M$22,Inputs!$B$4&lt;&gt;"Chapter Hunt"),CHOOSE(ArtifactsInput!$N$22+1,10,12,14,16,18,20)*((0*(((0.15*B2301*5))^0/1)+1*(((0.15*B2301*5))^1/1)+2*(((0.15*B2301*5))^2/2)+3*(((0.15*B2301*5))^3/6)+4*(((0.15*B2301*5))^4/24)+5*(((0.15*B2301*5))^5/120))/((((0.15*B2301*5))^0/1)+(((0.15*B2301*5))^1/1)+(((0.15*B2301*5))^2/2)+(((0.15*B2301*5))^3/6)+(((0.15*B2301*5))^4/24)+(((0.15*B2301*5))^5/120))),0)))/100)*(MIN(Skills!W17,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281">
      <c r="A2281">
        <f>Skills!A18</f>
        <v/>
      </c>
      <c r="B2281">
        <f>Skills!B18</f>
        <v/>
      </c>
      <c r="C2281">
        <f>Inputs!$B$3&gt;=115</f>
        <v/>
      </c>
      <c r="D2281">
        <f>IF(Skills!C18=1,60+Inputs!$B$25+Inputs!$B$29,IF(Skills!C18=2,90+Inputs!$B$26+Inputs!$B$29,IF(Skills!C18=3,120+Inputs!$B$27+Inputs!$B$29,MAX(0,(Inputs!$B$3-100)*3)+Inputs!$B$28+Inputs!$B$29)))</f>
        <v/>
      </c>
      <c r="E2281">
        <f>INDEX(FactorTable!$B$2:$Y$301, MATCH(ROUND(MIN(300,MAX(1,D2281)),0), FactorTable!$A$2:$A$301,0), Skills!M18+1)</f>
        <v/>
      </c>
      <c r="F2281">
        <f>IF(Skills!N18=TRUE,(Skills!L18/10)*(E2281/1000),Skills!L18/10)+Skills!O18</f>
        <v/>
      </c>
      <c r="G2281">
        <f>Skills!G18*IF(Skills!H18&gt;0,IF(Inputs!$B$39="pvp",MIN(Skills!I18,15),Skills!I18)/Skills!H18,1)</f>
        <v/>
      </c>
      <c r="H2281">
        <f>1-(1-Skills!J18/100)^Skills!K18</f>
        <v/>
      </c>
      <c r="I2281" t="inlineStr">
        <is>
          <t>1</t>
        </is>
      </c>
      <c r="J2281" t="inlineStr"/>
      <c r="K2281" t="inlineStr"/>
      <c r="L2281" t="inlineStr"/>
      <c r="M2281" t="inlineStr"/>
      <c r="N2281" t="inlineStr"/>
      <c r="O2281">
        <f>(1-Summary!$B$11)*T2281+Summary!$B$11*V2281</f>
        <v/>
      </c>
      <c r="P2281">
        <f>IF(B2309=0,0,O2281/B2309)</f>
        <v/>
      </c>
      <c r="Q2281" t="n">
        <v>0</v>
      </c>
      <c r="R2281" t="n">
        <v>0</v>
      </c>
      <c r="S2281">
        <f>IFERROR(O2281/N2281,0)</f>
        <v/>
      </c>
      <c r="T2281" t="n">
        <v>0</v>
      </c>
      <c r="V2281" t="n">
        <v>0</v>
      </c>
    </row>
    <row r="2282">
      <c r="A2282">
        <f>Skills!A19</f>
        <v/>
      </c>
      <c r="B2282">
        <f>Skills!B19</f>
        <v/>
      </c>
      <c r="C2282">
        <f>Inputs!$B$3&gt;=100</f>
        <v/>
      </c>
      <c r="D2282">
        <f>IF(Skills!C19=1,60+Inputs!$B$25+Inputs!$B$29,IF(Skills!C19=2,90+Inputs!$B$26+Inputs!$B$29,IF(Skills!C19=3,120+Inputs!$B$27+Inputs!$B$29,MAX(0,(Inputs!$B$3-100)*3)+Inputs!$B$28+Inputs!$B$29)))</f>
        <v/>
      </c>
      <c r="E2282">
        <f>INDEX(FactorTable!$B$2:$Y$301, MATCH(ROUND(MIN(300,MAX(1,D2282)),0), FactorTable!$A$2:$A$301,0), Skills!M19+1)</f>
        <v/>
      </c>
      <c r="F2282">
        <f>IF(Skills!N19=TRUE,(Skills!L19/10)*(E2282/1000),Skills!L19/10)+Skills!O19</f>
        <v/>
      </c>
      <c r="G2282">
        <f>Skills!G19*IF(Skills!H19&gt;0,IF(Inputs!$B$39="pvp",MIN(Skills!I19,15),Skills!I19)/Skills!H19,1)</f>
        <v/>
      </c>
      <c r="H2282">
        <f>1-(1-Skills!J19/100)^Skills!K19</f>
        <v/>
      </c>
      <c r="I2282" t="inlineStr">
        <is>
          <t>1</t>
        </is>
      </c>
      <c r="J2282" t="inlineStr"/>
      <c r="K2282" t="inlineStr"/>
      <c r="L2282" t="inlineStr"/>
      <c r="M2282" t="inlineStr"/>
      <c r="N2282" t="inlineStr"/>
      <c r="O2282">
        <f>(1-Summary!$B$11)*T2282+Summary!$B$11*V2282</f>
        <v/>
      </c>
      <c r="P2282">
        <f>IF(B2309=0,0,O2282/B2309)</f>
        <v/>
      </c>
      <c r="Q2282" t="n">
        <v>0</v>
      </c>
      <c r="R2282" t="n">
        <v>0</v>
      </c>
      <c r="S2282">
        <f>IFERROR(O2282/N2282,0)</f>
        <v/>
      </c>
      <c r="T2282" t="n">
        <v>0</v>
      </c>
      <c r="V2282" t="n">
        <v>0</v>
      </c>
    </row>
    <row r="2283">
      <c r="A2283">
        <f>Skills!A20</f>
        <v/>
      </c>
      <c r="B2283">
        <f>Skills!B20</f>
        <v/>
      </c>
      <c r="C2283">
        <f>TRUE</f>
        <v/>
      </c>
      <c r="D2283">
        <f>IF(Skills!C20=1,60+Inputs!$B$25+Inputs!$B$29,IF(Skills!C20=2,90+Inputs!$B$26+Inputs!$B$29,IF(Skills!C20=3,120+Inputs!$B$27+Inputs!$B$29,MAX(0,(Inputs!$B$3-100)*3)+Inputs!$B$28+Inputs!$B$29)))</f>
        <v/>
      </c>
      <c r="E2283">
        <f>INDEX(FactorTable!$B$2:$Y$301, MATCH(ROUND(MIN(300,MAX(1,D2283)),0), FactorTable!$A$2:$A$301,0), Skills!M20+1)</f>
        <v/>
      </c>
      <c r="F2283">
        <f>IF(Skills!N20=TRUE,(Skills!L20/10)*(E2283/1000),Skills!L20/10)+Skills!O20</f>
        <v/>
      </c>
      <c r="G2283">
        <f>Skills!G20*IF(Skills!H20&gt;0,IF(Inputs!$B$39="pvp",MIN(Skills!I20,15),Skills!I20)/Skills!H20,1)</f>
        <v/>
      </c>
      <c r="H2283">
        <f>1-(1-Skills!J20/100)^Skills!K20</f>
        <v/>
      </c>
      <c r="I2283" t="inlineStr">
        <is>
          <t>1</t>
        </is>
      </c>
      <c r="J2283" t="inlineStr"/>
      <c r="K2283" t="inlineStr"/>
      <c r="L2283" t="inlineStr"/>
      <c r="M2283" t="inlineStr"/>
      <c r="N2283" t="inlineStr"/>
      <c r="O2283">
        <f>(1-Summary!$B$11)*T2283+Summary!$B$11*V2283</f>
        <v/>
      </c>
      <c r="P2283">
        <f>IF(B2309=0,0,O2283/B2309)</f>
        <v/>
      </c>
      <c r="Q2283">
        <f>IFERROR(1/IF(Inputs!$B$39="pvp",15,MAX(0.1,Skills!D20-IF(TRUE=TRUE,Inputs!$B$32,0))),0)</f>
        <v/>
      </c>
      <c r="R2283">
        <f>IF(AND(Inputs!$B$39&lt;&gt;"pvp",Inputs!$B$44&gt;0),IF(Inputs!$B$44&lt;=0,0,(INT(Inputs!$B$44/IF(Inputs!$B$39="pvp",15,MAX(0.1,Skills!D20-IF(TRUE=TRUE,Inputs!$B$32,0))))+1)),0)</f>
        <v/>
      </c>
      <c r="S2283">
        <f>IFERROR(O2283/N2283,0)</f>
        <v/>
      </c>
      <c r="T2283" t="n">
        <v>0</v>
      </c>
      <c r="V2283" t="n">
        <v>0</v>
      </c>
    </row>
    <row r="2284">
      <c r="A2284">
        <f>Skills!A21</f>
        <v/>
      </c>
      <c r="B2284">
        <f>Skills!B21</f>
        <v/>
      </c>
      <c r="C2284">
        <f>Inputs!$B$3&gt;=15</f>
        <v/>
      </c>
      <c r="D2284">
        <f>IF(Skills!C21=1,60+Inputs!$B$25+Inputs!$B$29,IF(Skills!C21=2,90+Inputs!$B$26+Inputs!$B$29,IF(Skills!C21=3,120+Inputs!$B$27+Inputs!$B$29,MAX(0,(Inputs!$B$3-100)*3)+Inputs!$B$28+Inputs!$B$29)))</f>
        <v/>
      </c>
      <c r="E2284">
        <f>INDEX(FactorTable!$B$2:$Y$301, MATCH(ROUND(MIN(300,MAX(1,D2284)),0), FactorTable!$A$2:$A$301,0), Skills!M21+1)</f>
        <v/>
      </c>
      <c r="F2284">
        <f>IF(Skills!N21=TRUE,(Skills!L21/10)*(E2284/1000),Skills!L21/10)+Skills!O21</f>
        <v/>
      </c>
      <c r="G2284">
        <f>Skills!G21*IF(Skills!H21&gt;0,IF(Inputs!$B$39="pvp",MIN(Skills!I21,15),Skills!I21)/Skills!H21,1)</f>
        <v/>
      </c>
      <c r="H2284">
        <f>1-(1-Skills!J21/100)^Skills!K21</f>
        <v/>
      </c>
      <c r="I2284" t="inlineStr">
        <is>
          <t>1</t>
        </is>
      </c>
      <c r="J2284" t="inlineStr"/>
      <c r="K2284" t="inlineStr"/>
      <c r="L2284" t="inlineStr"/>
      <c r="M2284" t="inlineStr"/>
      <c r="N2284" t="inlineStr"/>
      <c r="O2284">
        <f>(1-Summary!$B$11)*T2284+Summary!$B$11*V2284</f>
        <v/>
      </c>
      <c r="P2284">
        <f>IF(B2309=0,0,O2284/B2309)</f>
        <v/>
      </c>
      <c r="Q2284">
        <f>IFERROR(1/IF(Inputs!$B$39="pvp",15,MAX(0.1,Skills!D21-IF(TRUE=TRUE,Inputs!$B$32,0))),0)</f>
        <v/>
      </c>
      <c r="R2284">
        <f>IF(AND(Inputs!$B$39&lt;&gt;"pvp",Inputs!$B$44&gt;0),IF(Inputs!$B$44&lt;=0,0,(INT(Inputs!$B$44/IF(Inputs!$B$39="pvp",15,MAX(0.1,Skills!D21-IF(TRUE=TRUE,Inputs!$B$32,0))))+1)),0)</f>
        <v/>
      </c>
      <c r="S2284">
        <f>IFERROR(O2284/N2284,0)</f>
        <v/>
      </c>
      <c r="T2284" t="n">
        <v>0</v>
      </c>
      <c r="V2284" t="n">
        <v>0</v>
      </c>
    </row>
    <row r="2285">
      <c r="A2285">
        <f>Skills!A22</f>
        <v/>
      </c>
      <c r="B2285">
        <f>Skills!B22</f>
        <v/>
      </c>
      <c r="C2285">
        <f>Inputs!$B$3&gt;=15</f>
        <v/>
      </c>
      <c r="D2285">
        <f>IF(Skills!C22=1,60+Inputs!$B$25+Inputs!$B$29,IF(Skills!C22=2,90+Inputs!$B$26+Inputs!$B$29,IF(Skills!C22=3,120+Inputs!$B$27+Inputs!$B$29,MAX(0,(Inputs!$B$3-100)*3)+Inputs!$B$28+Inputs!$B$29)))</f>
        <v/>
      </c>
      <c r="E2285">
        <f>INDEX(FactorTable!$B$2:$Y$301, MATCH(ROUND(MIN(300,MAX(1,D2285)),0), FactorTable!$A$2:$A$301,0), Skills!M22+1)</f>
        <v/>
      </c>
      <c r="F2285">
        <f>IF(Skills!N22=TRUE,(Skills!L22/10)*(E2285/1000),Skills!L22/10)+Skills!O22</f>
        <v/>
      </c>
      <c r="G2285">
        <f>Skills!G22*IF(Skills!H22&gt;0,IF(Inputs!$B$39="pvp",MIN(Skills!I22,15),Skills!I22)/Skills!H22,1)</f>
        <v/>
      </c>
      <c r="H2285">
        <f>1-(1-Skills!J22/100)^Skills!K22</f>
        <v/>
      </c>
      <c r="I2285" t="inlineStr">
        <is>
          <t>1</t>
        </is>
      </c>
      <c r="J2285" t="inlineStr"/>
      <c r="K2285" t="inlineStr"/>
      <c r="L2285" t="inlineStr"/>
      <c r="M2285" t="inlineStr"/>
      <c r="N2285" t="inlineStr"/>
      <c r="O2285">
        <f>(1-Summary!$B$11)*T2285+Summary!$B$11*V2285</f>
        <v/>
      </c>
      <c r="P2285">
        <f>IF(B2309=0,0,O2285/B2309)</f>
        <v/>
      </c>
      <c r="Q2285">
        <f>IFERROR(1/IF(Inputs!$B$39="pvp",15,MAX(0.1,Skills!D22-IF(TRUE=TRUE,Inputs!$B$32,0))),0)</f>
        <v/>
      </c>
      <c r="R2285">
        <f>IF(AND(Inputs!$B$39&lt;&gt;"pvp",Inputs!$B$44&gt;0),IF(Inputs!$B$44&lt;=0,0,(INT(Inputs!$B$44/IF(Inputs!$B$39="pvp",15,MAX(0.1,Skills!D22-IF(TRUE=TRUE,Inputs!$B$32,0))))+1)),0)</f>
        <v/>
      </c>
      <c r="S2285">
        <f>IFERROR(O2285/N2285,0)</f>
        <v/>
      </c>
      <c r="T2285" t="n">
        <v>0</v>
      </c>
      <c r="V2285" t="n">
        <v>0</v>
      </c>
    </row>
    <row r="2286">
      <c r="A2286">
        <f>Skills!A23</f>
        <v/>
      </c>
      <c r="B2286">
        <f>Skills!B23</f>
        <v/>
      </c>
      <c r="C2286">
        <f>Inputs!$B$3&gt;=33</f>
        <v/>
      </c>
      <c r="D2286">
        <f>IF(Skills!C23=1,60+Inputs!$B$25+Inputs!$B$29,IF(Skills!C23=2,90+Inputs!$B$26+Inputs!$B$29,IF(Skills!C23=3,120+Inputs!$B$27+Inputs!$B$29,MAX(0,(Inputs!$B$3-100)*3)+Inputs!$B$28+Inputs!$B$29)))</f>
        <v/>
      </c>
      <c r="E2286">
        <f>INDEX(FactorTable!$B$2:$Y$301, MATCH(ROUND(MIN(300,MAX(1,D2286)),0), FactorTable!$A$2:$A$301,0), Skills!M23+1)</f>
        <v/>
      </c>
      <c r="F2286">
        <f>IF(Skills!N23=TRUE,(Skills!L23/10)*(E2286/1000),Skills!L23/10)+Skills!O23</f>
        <v/>
      </c>
      <c r="G2286">
        <f>Skills!G23*IF(Skills!H23&gt;0,IF(Inputs!$B$39="pvp",MIN(Skills!I23,15),Skills!I23)/Skills!H23,1)</f>
        <v/>
      </c>
      <c r="H2286">
        <f>1-(1-Skills!J23/100)^Skills!K23</f>
        <v/>
      </c>
      <c r="I2286" t="inlineStr">
        <is>
          <t>1</t>
        </is>
      </c>
      <c r="J2286" t="inlineStr"/>
      <c r="K2286" t="inlineStr"/>
      <c r="L2286" t="inlineStr"/>
      <c r="M2286" t="inlineStr"/>
      <c r="N2286" t="inlineStr"/>
      <c r="O2286">
        <f>(1-Summary!$B$11)*T2286+Summary!$B$11*V2286</f>
        <v/>
      </c>
      <c r="P2286">
        <f>IF(B2309=0,0,O2286/B2309)</f>
        <v/>
      </c>
      <c r="Q2286" t="n">
        <v>0</v>
      </c>
      <c r="R2286" t="n">
        <v>0</v>
      </c>
      <c r="S2286">
        <f>IFERROR(O2286/N2286,0)</f>
        <v/>
      </c>
      <c r="T2286" t="n">
        <v>0</v>
      </c>
      <c r="V2286" t="n">
        <v>0</v>
      </c>
    </row>
    <row r="2287">
      <c r="A2287">
        <f>Skills!A24</f>
        <v/>
      </c>
      <c r="B2287">
        <f>Skills!B24</f>
        <v/>
      </c>
      <c r="C2287">
        <f>Inputs!$B$3&gt;=40</f>
        <v/>
      </c>
      <c r="D2287">
        <f>IF(Skills!C24=1,60+Inputs!$B$25+Inputs!$B$29,IF(Skills!C24=2,90+Inputs!$B$26+Inputs!$B$29,IF(Skills!C24=3,120+Inputs!$B$27+Inputs!$B$29,MAX(0,(Inputs!$B$3-100)*3)+Inputs!$B$28+Inputs!$B$29)))</f>
        <v/>
      </c>
      <c r="E2287">
        <f>INDEX(FactorTable!$B$2:$Y$301, MATCH(ROUND(MIN(300,MAX(1,D2287)),0), FactorTable!$A$2:$A$301,0), Skills!M24+1)</f>
        <v/>
      </c>
      <c r="F2287">
        <f>IF(Skills!N24=TRUE,(Skills!L24/10)*(E2287/1000),Skills!L24/10)+Skills!O24</f>
        <v/>
      </c>
      <c r="G2287">
        <f>Skills!G24*IF(Skills!H24&gt;0,IF(Inputs!$B$39="pvp",MIN(Skills!I24,15),Skills!I24)/Skills!H24,1)</f>
        <v/>
      </c>
      <c r="H2287">
        <f>1-(1-Skills!J24/100)^Skills!K24</f>
        <v/>
      </c>
      <c r="I2287" t="inlineStr">
        <is>
          <t>1</t>
        </is>
      </c>
      <c r="J2287" t="inlineStr"/>
      <c r="K2287" t="inlineStr"/>
      <c r="L2287" t="inlineStr"/>
      <c r="M2287" t="inlineStr"/>
      <c r="N2287" t="inlineStr"/>
      <c r="O2287">
        <f>(1-Summary!$B$11)*T2287+Summary!$B$11*V2287</f>
        <v/>
      </c>
      <c r="P2287">
        <f>IF(B2309=0,0,O2287/B2309)</f>
        <v/>
      </c>
      <c r="Q2287" t="n">
        <v>0</v>
      </c>
      <c r="R2287" t="n">
        <v>0</v>
      </c>
      <c r="S2287">
        <f>IFERROR(O2287/N2287,0)</f>
        <v/>
      </c>
      <c r="T2287" t="n">
        <v>0</v>
      </c>
      <c r="V2287" t="n">
        <v>0</v>
      </c>
    </row>
    <row r="2288">
      <c r="A2288">
        <f>Skills!A25</f>
        <v/>
      </c>
      <c r="B2288">
        <f>Skills!B25</f>
        <v/>
      </c>
      <c r="C2288">
        <f>Inputs!$B$3&gt;=43</f>
        <v/>
      </c>
      <c r="D2288">
        <f>IF(Skills!C25=1,60+Inputs!$B$25+Inputs!$B$29,IF(Skills!C25=2,90+Inputs!$B$26+Inputs!$B$29,IF(Skills!C25=3,120+Inputs!$B$27+Inputs!$B$29,MAX(0,(Inputs!$B$3-100)*3)+Inputs!$B$28+Inputs!$B$29)))</f>
        <v/>
      </c>
      <c r="E2288">
        <f>INDEX(FactorTable!$B$2:$Y$301, MATCH(ROUND(MIN(300,MAX(1,D2288)),0), FactorTable!$A$2:$A$301,0), Skills!M25+1)</f>
        <v/>
      </c>
      <c r="F2288">
        <f>IF(Skills!N25=TRUE,(Skills!L25/10)*(E2288/1000),Skills!L25/10)+Skills!O25</f>
        <v/>
      </c>
      <c r="G2288">
        <f>Skills!G25*IF(Skills!H25&gt;0,IF(Inputs!$B$39="pvp",MIN(Skills!I25,15),Skills!I25)/Skills!H25,1)</f>
        <v/>
      </c>
      <c r="H2288">
        <f>1-(1-Skills!J25/100)^Skills!K25</f>
        <v/>
      </c>
      <c r="I2288" t="inlineStr">
        <is>
          <t>1</t>
        </is>
      </c>
      <c r="J2288" t="inlineStr"/>
      <c r="K2288" t="inlineStr"/>
      <c r="L2288" t="inlineStr"/>
      <c r="M2288" t="inlineStr"/>
      <c r="N2288" t="inlineStr"/>
      <c r="O2288">
        <f>(1-Summary!$B$11)*T2288+Summary!$B$11*V2288</f>
        <v/>
      </c>
      <c r="P2288">
        <f>IF(B2309=0,0,O2288/B2309)</f>
        <v/>
      </c>
      <c r="Q2288" t="n">
        <v>0</v>
      </c>
      <c r="R2288" t="n">
        <v>0</v>
      </c>
      <c r="S2288">
        <f>IFERROR(O2288/N2288,0)</f>
        <v/>
      </c>
      <c r="T2288" t="n">
        <v>0</v>
      </c>
      <c r="V2288" t="n">
        <v>0</v>
      </c>
    </row>
    <row r="2289">
      <c r="A2289">
        <f>Skills!A26</f>
        <v/>
      </c>
      <c r="B2289">
        <f>Skills!B26</f>
        <v/>
      </c>
      <c r="C2289">
        <f>Inputs!$B$3&gt;=50</f>
        <v/>
      </c>
      <c r="D2289">
        <f>IF(Skills!C26=1,60+Inputs!$B$25+Inputs!$B$29,IF(Skills!C26=2,90+Inputs!$B$26+Inputs!$B$29,IF(Skills!C26=3,120+Inputs!$B$27+Inputs!$B$29,MAX(0,(Inputs!$B$3-100)*3)+Inputs!$B$28+Inputs!$B$29)))</f>
        <v/>
      </c>
      <c r="E2289">
        <f>INDEX(FactorTable!$B$2:$Y$301, MATCH(ROUND(MIN(300,MAX(1,D2289)),0), FactorTable!$A$2:$A$301,0), Skills!M26+1)</f>
        <v/>
      </c>
      <c r="F2289">
        <f>IF(Skills!N26=TRUE,(Skills!L26/10)*(E2289/1000),Skills!L26/10)+Skills!O26</f>
        <v/>
      </c>
      <c r="G2289">
        <f>Skills!G26*IF(Skills!H26&gt;0,IF(Inputs!$B$39="pvp",MIN(Skills!I26,15),Skills!I26)/Skills!H26,1)</f>
        <v/>
      </c>
      <c r="H2289">
        <f>1-(1-Skills!J26/100)^Skills!K26</f>
        <v/>
      </c>
      <c r="I2289" t="inlineStr">
        <is>
          <t>1</t>
        </is>
      </c>
      <c r="J2289" t="inlineStr"/>
      <c r="K2289" t="inlineStr"/>
      <c r="L2289" t="inlineStr"/>
      <c r="M2289" t="inlineStr"/>
      <c r="N2289" t="inlineStr"/>
      <c r="O2289">
        <f>(1-Summary!$B$11)*T2289+Summary!$B$11*V2289</f>
        <v/>
      </c>
      <c r="P2289">
        <f>IF(B2309=0,0,O2289/B2309)</f>
        <v/>
      </c>
      <c r="Q2289" t="n">
        <v>0</v>
      </c>
      <c r="R2289" t="n">
        <v>0</v>
      </c>
      <c r="S2289">
        <f>IFERROR(O2289/N2289,0)</f>
        <v/>
      </c>
      <c r="T2289" t="n">
        <v>0</v>
      </c>
      <c r="V2289" t="n">
        <v>0</v>
      </c>
    </row>
    <row r="2290">
      <c r="A2290">
        <f>Skills!A27</f>
        <v/>
      </c>
      <c r="B2290">
        <f>Skills!B27</f>
        <v/>
      </c>
      <c r="C2290">
        <f>Inputs!$B$3&gt;=50</f>
        <v/>
      </c>
      <c r="D2290">
        <f>IF(Skills!C27=1,60+Inputs!$B$25+Inputs!$B$29,IF(Skills!C27=2,90+Inputs!$B$26+Inputs!$B$29,IF(Skills!C27=3,120+Inputs!$B$27+Inputs!$B$29,MAX(0,(Inputs!$B$3-100)*3)+Inputs!$B$28+Inputs!$B$29)))</f>
        <v/>
      </c>
      <c r="E2290">
        <f>INDEX(FactorTable!$B$2:$Y$301, MATCH(ROUND(MIN(300,MAX(1,D2290)),0), FactorTable!$A$2:$A$301,0), Skills!M27+1)</f>
        <v/>
      </c>
      <c r="F2290">
        <f>IF(Skills!N27=TRUE,(Skills!L27/10)*(E2290/1000),Skills!L27/10)+Skills!O27</f>
        <v/>
      </c>
      <c r="G2290">
        <f>Skills!G27*IF(Skills!H27&gt;0,IF(Inputs!$B$39="pvp",MIN(Skills!I27,15),Skills!I27)/Skills!H27,1)</f>
        <v/>
      </c>
      <c r="H2290">
        <f>1-(1-Skills!J27/100)^Skills!K27</f>
        <v/>
      </c>
      <c r="I2290" t="inlineStr">
        <is>
          <t>1</t>
        </is>
      </c>
      <c r="J2290" t="inlineStr"/>
      <c r="K2290" t="inlineStr"/>
      <c r="L2290" t="inlineStr"/>
      <c r="M2290" t="inlineStr"/>
      <c r="N2290" t="inlineStr"/>
      <c r="O2290">
        <f>(1-Summary!$B$11)*T2290+Summary!$B$11*V2290</f>
        <v/>
      </c>
      <c r="P2290">
        <f>IF(B2309=0,0,O2290/B2309)</f>
        <v/>
      </c>
      <c r="Q2290" t="n">
        <v>0</v>
      </c>
      <c r="R2290" t="n">
        <v>0</v>
      </c>
      <c r="S2290">
        <f>IFERROR(O2290/N2290,0)</f>
        <v/>
      </c>
      <c r="T2290" t="n">
        <v>0</v>
      </c>
      <c r="V2290" t="n">
        <v>0</v>
      </c>
    </row>
    <row r="2291">
      <c r="A2291">
        <f>Skills!A28</f>
        <v/>
      </c>
      <c r="B2291">
        <f>Skills!B28</f>
        <v/>
      </c>
      <c r="C2291">
        <f>Inputs!$B$3&gt;=38</f>
        <v/>
      </c>
      <c r="D2291">
        <f>IF(Skills!C28=1,60+Inputs!$B$25+Inputs!$B$29,IF(Skills!C28=2,90+Inputs!$B$26+Inputs!$B$29,IF(Skills!C28=3,120+Inputs!$B$27+Inputs!$B$29,MAX(0,(Inputs!$B$3-100)*3)+Inputs!$B$28+Inputs!$B$29)))</f>
        <v/>
      </c>
      <c r="E2291">
        <f>INDEX(FactorTable!$B$2:$Y$301, MATCH(ROUND(MIN(300,MAX(1,D2291)),0), FactorTable!$A$2:$A$301,0), Skills!M28+1)</f>
        <v/>
      </c>
      <c r="F2291">
        <f>IF(Skills!N28=TRUE,(Skills!L28/10)*(E2291/1000),Skills!L28/10)+Skills!O28</f>
        <v/>
      </c>
      <c r="G2291">
        <f>Skills!G28*IF(Skills!H28&gt;0,IF(Inputs!$B$39="pvp",MIN(Skills!I28,15),Skills!I28)/Skills!H28,1)</f>
        <v/>
      </c>
      <c r="H2291">
        <f>1-(1-Skills!J28/100)^Skills!K28</f>
        <v/>
      </c>
      <c r="I2291" t="inlineStr">
        <is>
          <t>1</t>
        </is>
      </c>
      <c r="J2291" t="inlineStr"/>
      <c r="K2291" t="inlineStr"/>
      <c r="L2291" t="inlineStr"/>
      <c r="M2291" t="inlineStr"/>
      <c r="N2291" t="inlineStr"/>
      <c r="O2291">
        <f>(1-Summary!$B$11)*T2291+Summary!$B$11*V2291</f>
        <v/>
      </c>
      <c r="P2291">
        <f>IF(B2309=0,0,O2291/B2309)</f>
        <v/>
      </c>
      <c r="Q2291" t="n">
        <v>0</v>
      </c>
      <c r="R2291" t="n">
        <v>0</v>
      </c>
      <c r="S2291">
        <f>IFERROR(O2291/N2291,0)</f>
        <v/>
      </c>
      <c r="T2291" t="n">
        <v>0</v>
      </c>
      <c r="V2291" t="n">
        <v>0</v>
      </c>
    </row>
    <row r="2292">
      <c r="A2292">
        <f>Skills!A29</f>
        <v/>
      </c>
      <c r="B2292">
        <f>Skills!B29</f>
        <v/>
      </c>
      <c r="C2292">
        <f>Inputs!$B$3&gt;=120</f>
        <v/>
      </c>
      <c r="D2292">
        <f>IF(Skills!C29=1,60+Inputs!$B$25+Inputs!$B$29,IF(Skills!C29=2,90+Inputs!$B$26+Inputs!$B$29,IF(Skills!C29=3,120+Inputs!$B$27+Inputs!$B$29,MAX(0,(Inputs!$B$3-100)*3)+Inputs!$B$28+Inputs!$B$29)))</f>
        <v/>
      </c>
      <c r="E2292">
        <f>INDEX(FactorTable!$B$2:$Y$301, MATCH(ROUND(MIN(300,MAX(1,D2292)),0), FactorTable!$A$2:$A$301,0), Skills!M29+1)</f>
        <v/>
      </c>
      <c r="F2292">
        <f>IF(Skills!N29=TRUE,(Skills!L29/10)*(E2292/1000),Skills!L29/10)+Skills!O29</f>
        <v/>
      </c>
      <c r="G2292">
        <f>Skills!G29*IF(Skills!H29&gt;0,IF(Inputs!$B$39="pvp",MIN(Skills!I29,15),Skills!I29)/Skills!H29,1)</f>
        <v/>
      </c>
      <c r="H2292">
        <f>1-(1-Skills!J29/100)^Skills!K29</f>
        <v/>
      </c>
      <c r="I2292" t="inlineStr">
        <is>
          <t>1</t>
        </is>
      </c>
      <c r="J2292" t="inlineStr"/>
      <c r="K2292" t="inlineStr"/>
      <c r="L2292" t="inlineStr"/>
      <c r="M2292" t="inlineStr"/>
      <c r="N2292" t="inlineStr"/>
      <c r="O2292">
        <f>(1-Summary!$B$11)*T2292+Summary!$B$11*V2292</f>
        <v/>
      </c>
      <c r="P2292">
        <f>IF(B2309=0,0,O2292/B2309)</f>
        <v/>
      </c>
      <c r="Q2292" t="n">
        <v>0</v>
      </c>
      <c r="R2292" t="n">
        <v>0</v>
      </c>
      <c r="S2292">
        <f>IFERROR(O2292/N2292,0)</f>
        <v/>
      </c>
      <c r="T2292" t="n">
        <v>0</v>
      </c>
      <c r="V2292" t="n">
        <v>0</v>
      </c>
    </row>
    <row r="2293">
      <c r="A2293">
        <f>Skills!A30</f>
        <v/>
      </c>
      <c r="B2293">
        <f>Skills!B30</f>
        <v/>
      </c>
      <c r="C2293">
        <f>Inputs!$B$3&gt;=120</f>
        <v/>
      </c>
      <c r="D2293">
        <f>IF(Skills!C30=1,60+Inputs!$B$25+Inputs!$B$29,IF(Skills!C30=2,90+Inputs!$B$26+Inputs!$B$29,IF(Skills!C30=3,120+Inputs!$B$27+Inputs!$B$29,MAX(0,(Inputs!$B$3-100)*3)+Inputs!$B$28+Inputs!$B$29)))</f>
        <v/>
      </c>
      <c r="E2293">
        <f>INDEX(FactorTable!$B$2:$Y$301, MATCH(ROUND(MIN(300,MAX(1,D2293)),0), FactorTable!$A$2:$A$301,0), Skills!M30+1)</f>
        <v/>
      </c>
      <c r="F2293">
        <f>IF(Skills!N30=TRUE,(Skills!L30/10)*(E2293/1000),Skills!L30/10)+Skills!O30</f>
        <v/>
      </c>
      <c r="G2293">
        <f>Skills!G30*IF(Skills!H30&gt;0,IF(Inputs!$B$39="pvp",MIN(Skills!I30,15),Skills!I30)/Skills!H30,1)</f>
        <v/>
      </c>
      <c r="H2293">
        <f>1-(1-Skills!J30/100)^Skills!K30</f>
        <v/>
      </c>
      <c r="I2293" t="inlineStr">
        <is>
          <t>1</t>
        </is>
      </c>
      <c r="J2293" t="inlineStr"/>
      <c r="K2293" t="inlineStr"/>
      <c r="L2293" t="inlineStr"/>
      <c r="M2293" t="inlineStr"/>
      <c r="N2293" t="inlineStr"/>
      <c r="O2293">
        <f>(1-Summary!$B$11)*T2293+Summary!$B$11*V2293</f>
        <v/>
      </c>
      <c r="P2293">
        <f>IF(B2309=0,0,O2293/B2309)</f>
        <v/>
      </c>
      <c r="Q2293" t="n">
        <v>0</v>
      </c>
      <c r="R2293" t="n">
        <v>0</v>
      </c>
      <c r="S2293">
        <f>IFERROR(O2293/N2293,0)</f>
        <v/>
      </c>
      <c r="T2293" t="n">
        <v>0</v>
      </c>
      <c r="V2293" t="n">
        <v>0</v>
      </c>
    </row>
    <row r="2294">
      <c r="A2294">
        <f>Skills!A31</f>
        <v/>
      </c>
      <c r="B2294">
        <f>Skills!B31</f>
        <v/>
      </c>
      <c r="C2294">
        <f>Inputs!$B$3&gt;=125</f>
        <v/>
      </c>
      <c r="D2294">
        <f>IF(Skills!C31=1,60+Inputs!$B$25+Inputs!$B$29,IF(Skills!C31=2,90+Inputs!$B$26+Inputs!$B$29,IF(Skills!C31=3,120+Inputs!$B$27+Inputs!$B$29,MAX(0,(Inputs!$B$3-100)*3)+Inputs!$B$28+Inputs!$B$29)))</f>
        <v/>
      </c>
      <c r="E2294">
        <f>INDEX(FactorTable!$B$2:$Y$301, MATCH(ROUND(MIN(300,MAX(1,D2294)),0), FactorTable!$A$2:$A$301,0), Skills!M31+1)</f>
        <v/>
      </c>
      <c r="F2294">
        <f>IF(Skills!N31=TRUE,(Skills!L31/10)*(E2294/1000),Skills!L31/10)+Skills!O31</f>
        <v/>
      </c>
      <c r="G2294">
        <f>Skills!G31*IF(Skills!H31&gt;0,IF(Inputs!$B$39="pvp",MIN(Skills!I31,15),Skills!I31)/Skills!H31,1)</f>
        <v/>
      </c>
      <c r="H2294">
        <f>1-(1-Skills!J31/100)^Skills!K31</f>
        <v/>
      </c>
      <c r="I2294" t="inlineStr">
        <is>
          <t>1</t>
        </is>
      </c>
      <c r="J2294" t="inlineStr"/>
      <c r="K2294" t="inlineStr"/>
      <c r="L2294" t="inlineStr"/>
      <c r="M2294" t="inlineStr"/>
      <c r="N2294" t="inlineStr"/>
      <c r="O2294">
        <f>(1-Summary!$B$11)*T2294+Summary!$B$11*V2294</f>
        <v/>
      </c>
      <c r="P2294">
        <f>IF(B2309=0,0,O2294/B2309)</f>
        <v/>
      </c>
      <c r="Q2294" t="n">
        <v>0</v>
      </c>
      <c r="R2294" t="n">
        <v>0</v>
      </c>
      <c r="S2294">
        <f>IFERROR(O2294/N2294,0)</f>
        <v/>
      </c>
      <c r="T2294" t="n">
        <v>0</v>
      </c>
      <c r="V2294" t="n">
        <v>0</v>
      </c>
    </row>
    <row r="2296">
      <c r="A2296" t="inlineStr">
        <is>
          <t>Average Buff Multiplier</t>
        </is>
      </c>
      <c r="B2296">
        <f>(1+(((C2285=TRUE)*F2285*IF(AND(Inputs!$B$39&lt;&gt;"pvp",Inputs!$B$44&gt;0),(((R2285-1)*MIN((Skills!Y22*(1+Inputs!$B$34/100)),(1/Q2285))+MIN((Skills!Y22*(1+Inputs!$B$34/100)),MAX(0,Inputs!$B$44-((R2285-1)*(1/Q2285)))))/Inputs!$B$44),IF(Inputs!$B$39="pvp",MIN((Skills!Y22*(1+Inputs!$B$34/100)),15)/15,MIN(1,(Skills!Y22*(1+Inputs!$B$34/100))/(1/Q2285)))))+((C2266=TRUE)*F2266*3)+((C2268=TRUE)*F2268*(1-EXP(-0.75*B2301*5)))+((C2287=TRUE)*(F2287-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2274=TRUE)*F2274*IF(AND(Inputs!$B$39&lt;&gt;"pvp",Inputs!$B$44&gt;0),(((R2274-1)*MIN((Skills!Y11*(1+Inputs!$B$34/100)),(1/Q2274))+MIN((Skills!Y11*(1+Inputs!$B$34/100)),MAX(0,Inputs!$B$44-((R2274-1)*(1/Q2274)))))/Inputs!$B$44),IF(Inputs!$B$39="pvp",MIN((Skills!Y11*(1+Inputs!$B$34/100)),15)/15,MIN(1,(Skills!Y11*(1+Inputs!$B$34/100))/(1/Q2274)))))/100)*(1+((C2279=TRUE)*F2279*IF(AND(Inputs!$B$39&lt;&gt;"pvp",Inputs!$B$44&gt;0),(((R2279-1)*MIN((Skills!Y16*(1+Inputs!$B$34/100)),(1/Q2279))+MIN((Skills!Y16*(1+Inputs!$B$34/100)),MAX(0,Inputs!$B$44-((R2279-1)*(1/Q2279)))))/Inputs!$B$44),IF(Inputs!$B$39="pvp",MIN((Skills!Y16*(1+Inputs!$B$34/100)),15)/15,MIN(1,(Skills!Y16*(1+Inputs!$B$34/100))/(1/Q2279)))))/100)</f>
        <v/>
      </c>
    </row>
    <row r="2297">
      <c r="A2297" t="inlineStr">
        <is>
          <t>Global Crit Rate Bonus %</t>
        </is>
      </c>
      <c r="B2297">
        <f>((C2284=TRUE)*F2284*IF(AND(Inputs!$B$39&lt;&gt;"pvp",Inputs!$B$44&gt;0),(((R2284-1)*MIN((Skills!Y21*(1+Inputs!$B$34/100)),(1/Q2284))+MIN((Skills!Y21*(1+Inputs!$B$34/100)),MAX(0,Inputs!$B$44-((R2284-1)*(1/Q2284)))))/Inputs!$B$44),IF(Inputs!$B$39="pvp",MIN((Skills!Y21*(1+Inputs!$B$34/100)),15)/15,MIN(1,(Skills!Y21*(1+Inputs!$B$34/100))/(1/Q2284)))))</f>
        <v/>
      </c>
    </row>
    <row r="2298">
      <c r="A2298" t="inlineStr">
        <is>
          <t>Global Monster Damage-Taken Bonus %</t>
        </is>
      </c>
      <c r="B2298">
        <f>IF(Inputs!$B$3&gt;=82,15,0)</f>
        <v/>
      </c>
    </row>
    <row r="2299">
      <c r="A2299" t="inlineStr">
        <is>
          <t>Shadow Partner Average Multiplier</t>
        </is>
      </c>
      <c r="B2299">
        <f>1+((C2271=TRUE)*F2271*(1+3.3333333333333335*IF(C2282=TRUE,F2282,0)/100)*I2271*Skills!J8/100)/100</f>
        <v/>
      </c>
    </row>
    <row r="2300">
      <c r="A2300" t="inlineStr">
        <is>
          <t>Attack Speed Buff Bonus %</t>
        </is>
      </c>
      <c r="B2300">
        <f>((C2283=TRUE)*F2283*IF(AND(Inputs!$B$39&lt;&gt;"pvp",Inputs!$B$44&gt;0),(((R2283-1)*MIN((Skills!Y20*(1+Inputs!$B$34/100)),(1/Q2283))+MIN((Skills!Y20*(1+Inputs!$B$34/100)),MAX(0,Inputs!$B$44-((R2283-1)*(1/Q2283)))))/Inputs!$B$44),IF(Inputs!$B$39="pvp",MIN((Skills!Y20*(1+Inputs!$B$34/100)),15)/15,MIN(1,(Skills!Y20*(1+Inputs!$B$34/100))/(1/Q2283)))))</f>
        <v/>
      </c>
    </row>
    <row r="2301">
      <c r="A2301" t="inlineStr">
        <is>
          <t>Actions Per Second</t>
        </is>
      </c>
      <c r="B2301">
        <f>1+MIN(150,150*(1-(1-(Inputs!$B$11+((C2286=TRUE)*(F2286-Calc!F23)))/150)*(1-B2300/150)))/100</f>
        <v/>
      </c>
    </row>
    <row r="2302">
      <c r="A2302" t="inlineStr">
        <is>
          <t>Skill + Buff Cast Rate</t>
        </is>
      </c>
      <c r="B2302">
        <f>IF(AND(Inputs!$B$39&lt;&gt;"pvp",Inputs!$B$44&gt;0),SUMPRODUCT((Skills!E2:E31=TRUE)*(C2265:C2294=TRUE)*R2265:R2294*Skills!F2:F31)/Inputs!$B$44,SUMPRODUCT((Skills!E2:E31=TRUE)*(C2265:C2294=TRUE)*Q2265:Q2294*Skills!F2:F31))</f>
        <v/>
      </c>
    </row>
    <row r="2303">
      <c r="A2303" t="inlineStr">
        <is>
          <t>Cruel Stab Casts Per Second</t>
        </is>
      </c>
      <c r="B2303">
        <f>MAX(0,B2301-B2302)</f>
        <v/>
      </c>
    </row>
    <row r="2304">
      <c r="A2304" t="inlineStr">
        <is>
          <t>Global Critical Damage Bonus % (Smokescreen Mastery Lv.113)</t>
        </is>
      </c>
      <c r="B2304">
        <f>IF(Inputs!$B$3&gt;=113,30,0)*IF(AND(Inputs!$B$39&lt;&gt;"pvp",Inputs!$B$44&gt;0),(((R2279-1)*MIN((Skills!Y16*(1+Inputs!$B$34/100)),(1/Q2279))+MIN((Skills!Y16*(1+Inputs!$B$34/100)),MAX(0,Inputs!$B$44-((R2279-1)*(1/Q2279)))))/Inputs!$B$44),IF(Inputs!$B$39="pvp",MIN((Skills!Y16*(1+Inputs!$B$34/100)),15)/15,MIN(1,(Skills!Y16*(1+Inputs!$B$34/100))/(1/Q2279))))</f>
        <v/>
      </c>
    </row>
    <row r="2305">
      <c r="A2305" t="inlineStr">
        <is>
          <t>Meso Explosion average stack count</t>
        </is>
      </c>
      <c r="B2305">
        <f>MIN(10,IF(Inputs!$B$3&gt;=75,0.75,0.5)*B2301*(1/Q2267))</f>
        <v/>
      </c>
    </row>
    <row r="2306">
      <c r="A2306" t="inlineStr">
        <is>
          <t>Blood Money average stack count</t>
        </is>
      </c>
      <c r="B2306">
        <f>MIN(5,0.5*IF(Inputs!$B$3&gt;=75,0.75,0.5)*B2301*(1/Q2267))</f>
        <v/>
      </c>
    </row>
    <row r="2307">
      <c r="A2307" t="inlineStr">
        <is>
          <t>Assassinate Murderous Intent Multiplier</t>
        </is>
      </c>
      <c r="B2307">
        <f>1+IFERROR(MIN(1,Q2278*2/Q2275),0)</f>
        <v/>
      </c>
    </row>
    <row r="2308">
      <c r="A2308" t="inlineStr">
        <is>
          <t>Buff-Casting Startup Delay (s, fixed-duration only)</t>
        </is>
      </c>
      <c r="B2308">
        <f>IF(AND(Inputs!$B$39&lt;&gt;"pvp",Inputs!$B$44&gt;0),SUMPRODUCT((Skills!Y2:Y31&gt;0)*(Skills!E2:E31=TRUE)*(C2265:C2294=TRUE))/B2301,0)</f>
        <v/>
      </c>
    </row>
    <row r="2309">
      <c r="A2309" s="6" t="inlineStr">
        <is>
          <t>TOTAL DPS</t>
        </is>
      </c>
      <c r="B2309" s="6">
        <f>SUM(O2265:O2294)</f>
        <v/>
      </c>
    </row>
    <row r="2310">
      <c r="A2310" t="inlineStr">
        <is>
          <t>Boss-Only Total DPS (this block's swept value)</t>
        </is>
      </c>
      <c r="B2310">
        <f>SUM(T2265:T2294)</f>
        <v/>
      </c>
    </row>
    <row r="2311">
      <c r="A2311" t="inlineStr">
        <is>
          <t>Normal-Only Total DPS (this block's swept value)</t>
        </is>
      </c>
      <c r="B2311">
        <f>SUM(V2265:V2294)</f>
        <v/>
      </c>
    </row>
    <row r="2314">
      <c r="A2314" s="6" t="inlineStr">
        <is>
          <t>Stat: Book of Ancient (Equip)</t>
        </is>
      </c>
    </row>
    <row r="2315">
      <c r="A2315" s="5" t="inlineStr">
        <is>
          <t>Key</t>
        </is>
      </c>
      <c r="B2315" s="5" t="inlineStr">
        <is>
          <t>Name</t>
        </is>
      </c>
      <c r="C2315" s="5" t="inlineStr">
        <is>
          <t>Unlocked</t>
        </is>
      </c>
      <c r="D2315" s="5" t="inlineStr">
        <is>
          <t>InputLevel</t>
        </is>
      </c>
      <c r="E2315" s="5" t="inlineStr">
        <is>
          <t>Factor</t>
        </is>
      </c>
      <c r="F2315" s="5" t="inlineStr">
        <is>
          <t>CoefficientPercent</t>
        </is>
      </c>
      <c r="G2315" s="5" t="inlineStr">
        <is>
          <t>EffectiveHits</t>
        </is>
      </c>
      <c r="H2315" s="5" t="inlineStr">
        <is>
          <t>ProcProbability</t>
        </is>
      </c>
      <c r="I2315" s="5" t="inlineStr">
        <is>
          <t>MapleHeroMultiplier</t>
        </is>
      </c>
      <c r="J2315" s="5" t="inlineStr">
        <is>
          <t>BaseDamage</t>
        </is>
      </c>
      <c r="K2315" s="5" t="inlineStr">
        <is>
          <t>BaseHitDamage</t>
        </is>
      </c>
      <c r="L2315" s="5" t="inlineStr">
        <is>
          <t>NonCritAvg</t>
        </is>
      </c>
      <c r="M2315" s="5" t="inlineStr">
        <is>
          <t>CritAvg</t>
        </is>
      </c>
      <c r="N2315" s="5" t="inlineStr">
        <is>
          <t>ExpectedDamage(perHit)</t>
        </is>
      </c>
      <c r="O2315" s="5" t="inlineStr">
        <is>
          <t>DPS</t>
        </is>
      </c>
      <c r="P2315" s="5" t="inlineStr">
        <is>
          <t>% of Total</t>
        </is>
      </c>
      <c r="Q2315" s="5" t="inlineStr">
        <is>
          <t>InvCooldown</t>
        </is>
      </c>
      <c r="R2315" s="5" t="inlineStr">
        <is>
          <t>CastsInFight</t>
        </is>
      </c>
      <c r="S2315" s="5" t="inlineStr">
        <is>
          <t>HitRate(perSec)</t>
        </is>
      </c>
      <c r="U2315" t="inlineStr">
        <is>
          <t>helpers</t>
        </is>
      </c>
    </row>
    <row r="2316">
      <c r="A2316">
        <f>Skills!A2</f>
        <v/>
      </c>
      <c r="B2316">
        <f>Skills!B2</f>
        <v/>
      </c>
      <c r="C2316">
        <f>Inputs!$B$3&gt;=100</f>
        <v/>
      </c>
      <c r="D2316" t="inlineStr"/>
      <c r="E2316" t="inlineStr"/>
      <c r="F2316">
        <f>U2318+Skills!O2</f>
        <v/>
      </c>
      <c r="G2316">
        <f>Skills!G2*IF(Skills!H2&gt;0,IF(Inputs!$B$39="pvp",MIN(Skills!I2,15),Skills!I2)/Skills!H2,1)</f>
        <v/>
      </c>
      <c r="H2316">
        <f>1-(1-Skills!J2/100)^Skills!K2</f>
        <v/>
      </c>
      <c r="I2316" t="inlineStr">
        <is>
          <t>1</t>
        </is>
      </c>
      <c r="J2316">
        <f>((Inputs!$B$6*(1+Inputs!$B$7/100))+(((Inputs!$B$12*(1+Inputs!$B$13/100))-(Inputs!$B$12*(1+Inputs!$B$13/100)))+0.25*(Inputs!$B$14-Inputs!$B$14))*(1+Inputs!$B$7/100))*(F2316/100)</f>
        <v/>
      </c>
      <c r="K2316">
        <f>J2316*(1+((Inputs!$B$12*(1+Inputs!$B$13/100))*0.01+Inputs!$B$14*0.0025)/100)*(1+Inputs!$B$15/100)*(1+Inputs!$B$16/100)*(5000/(6000+Inputs!$B$43*(1-(100*(1-(1-Inputs!$B$19/100)*(1-CHOOSE(ArtifactsInput!$N$40+1,5,6,7,8,9,10)/100)^(ArtifactsInput!$M$40-ArtifactsInput!$M$40)))/100)))*(1+(Inputs!$B$24+((C2345=TRUE)*(F2345-Calc!F31))+((C2332=TRUE)*(F2332-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CRUEL_STAB",Inputs!$B$17+((C2342=TRUE)*(F2342-Calc!F28))+((IF(AND(Inputs!$B$39&lt;&gt;"pvp",Inputs!$B$44=0),1,IF(IF(Inputs!$B$39="pvp",15,Inputs!$B$44)-(B2359)&lt;=0,1,MAX(0,IF(Inputs!$B$39="pvp",15,Inputs!$B$44)-MAX(5,B2359))/(IF(Inputs!$B$39="pvp",15,Inputs!$B$44)-(B2359))))*(IF(AND(ArtifactsInput!$M$42,((Inputs!$B$9+((C2340=TRUE)*(F2340-Calc!F26))+B2348+(IF(ArtifactsInput!$M$24,FALSE,TRUE)-ArtifactsInput!$M$24)*CHOOSE(ArtifactsInput!$N$24+1,10,12,14,16,18,20)+IF(ArtifactsInput!$M$10,CHOOSE(ArtifactsInput!$N$10+1,15,18,21,24,27,30)*(IF(Inputs!$B$39="pvp",MIN(15,15)/15,IF(AND(Inputs!$B$39&lt;&gt;"pvp",Inputs!$B$44&gt;0),MIN(15,Inputs!$B$44)/(Inputs!$B$44),0))),0)))&gt;=100),MIN(100,((Inputs!$B$9+((C2340=TRUE)*(F2340-Calc!F26))+B2348+(IF(ArtifactsInput!$M$24,FALSE,TRUE)-ArtifactsInput!$M$24)*CHOOSE(ArtifactsInput!$N$24+1,10,12,14,16,18,20)+IF(ArtifactsInput!$M$10,CHOOSE(ArtifactsInput!$N$10+1,15,18,21,24,27,30)*(IF(Inputs!$B$39="pvp",MIN(15,15)/15,IF(AND(Inputs!$B$39&lt;&gt;"pvp",Inputs!$B$44&gt;0),MIN(15,Inputs!$B$44)/(Inputs!$B$44),0))),0)))-100),0))*CHOOSE(ArtifactsInput!$N$42+1,0.6,0.72,0.84,0.96,1.08,1.2))),Inputs!$B$18+((C2343=TRUE)*(F2343-Calc!F29))+(IF(AND(Inputs!$B$39&lt;&gt;"pvp",Inputs!$B$44=0),1,IF(IF(Inputs!$B$39="pvp",15,Inputs!$B$44)-(B2359)&lt;=0,1,MAX(0,IF(Inputs!$B$39="pvp",15,Inputs!$B$44)-MAX(5,B2359))/(IF(Inputs!$B$39="pvp",15,Inputs!$B$44)-(B2359))))*IF(AND(ArtifactsInput!$M$42,((Inputs!$B$9+((C2340=TRUE)*(F2340-Calc!F26))+B2348+(IF(ArtifactsInput!$M$24,FALSE,TRUE)-ArtifactsInput!$M$24)*CHOOSE(ArtifactsInput!$N$24+1,10,12,14,16,18,20)+IF(ArtifactsInput!$M$10,CHOOSE(ArtifactsInput!$N$10+1,15,18,21,24,27,30)*(IF(Inputs!$B$39="pvp",MIN(15,15)/15,IF(AND(Inputs!$B$39&lt;&gt;"pvp",Inputs!$B$44&gt;0),MIN(15,Inputs!$B$44)/(Inputs!$B$44),0))),0)))&gt;=100),CHOOSE(ArtifactsInput!$N$42+1,40,48,56,64,72,80),0))))/100)*(((1+(((C2336=TRUE)*F2336*IF(AND(Inputs!$B$39&lt;&gt;"pvp",Inputs!$B$44&gt;0),(((R2336-1)*MIN((Skills!Y22*(1+Inputs!$B$34/100)),(1/Q2336))+MIN((Skills!Y22*(1+Inputs!$B$34/100)),MAX(0,Inputs!$B$44-((R2336-1)*(1/Q2336)))))/Inputs!$B$44),IF(Inputs!$B$39="pvp",MIN((Skills!Y22*(1+Inputs!$B$34/100)),15)/15,MIN(1,(Skills!Y22*(1+Inputs!$B$34/100))/(1/Q2336)))))+((C2317=TRUE)*F2317*3)+((C2319=TRUE)*F2319*(1-EXP(-0.75*B2352*5)))+((C2338=TRUE)*(F2338-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2325=TRUE)*F2325*IF(AND(Inputs!$B$39&lt;&gt;"pvp",Inputs!$B$44&gt;0),(((R2325-1)*MIN((Skills!Y11*(1+Inputs!$B$34/100)),(1/Q2325))+MIN((Skills!Y11*(1+Inputs!$B$34/100)),MAX(0,Inputs!$B$44-((R2325-1)*(1/Q2325)))))/Inputs!$B$44),IF(Inputs!$B$39="pvp",MIN((Skills!Y11*(1+Inputs!$B$34/100)),15)/15,MIN(1,(Skills!Y11*(1+Inputs!$B$34/100))/(1/Q2325)))))/100)*(1+((C2330=TRUE)*F2330*IF(AND(Inputs!$B$39&lt;&gt;"pvp",Inputs!$B$44&gt;0),(((R2330-1)*MIN((Skills!Y16*(1+Inputs!$B$34/100)),(1/Q2330))+MIN((Skills!Y16*(1+Inputs!$B$34/100)),MAX(0,Inputs!$B$44-((R2330-1)*(1/Q2330)))))/Inputs!$B$44),IF(Inputs!$B$39="pvp",MIN((Skills!Y16*(1+Inputs!$B$34/100)),15)/15,MIN(1,(Skills!Y16*(1+Inputs!$B$34/100))/(1/Q2330)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2350*I2316)</f>
        <v/>
      </c>
      <c r="L2316">
        <f>K2316*(MIN(Inputs!$B$22+((C2339=TRUE)*(F2339-Calc!F25)),(Inputs!$B$23+((C2344=TRUE)*(F2344-Calc!F30))+IF(ArtifactsInput!$M$15,CHOOSE(ArtifactsInput!$N$15+1,25,30,35,40,45,50)/100*(Inputs!$B$11-Inputs!$B$11),0)))/100+(Inputs!$B$23+((C2344=TRUE)*(F2344-Calc!F30))+IF(ArtifactsInput!$M$15,CHOOSE(ArtifactsInput!$N$15+1,25,30,35,40,45,50)/100*(Inputs!$B$11-Inputs!$B$11),0))/100)/2</f>
        <v/>
      </c>
      <c r="M2316">
        <f>L2316*(1+(Inputs!$B$10+((C2341=TRUE)*(F2341-Calc!F27))+B2355+((IF(IF(ArtifactsInput!$M$24,FALSE,TRUE),1,-1)*CHOOSE(ArtifactsInput!$N$24+1,30,36,42,48,54,60)/100*IF(IF(ArtifactsInput!$M$24,FALSE,TRUE),(Inputs!$B$9+((C2340=TRUE)*(F2340-Calc!F26))+B2348+(IF(ArtifactsInput!$M$24,FALSE,TRUE)-ArtifactsInput!$M$24)*CHOOSE(ArtifactsInput!$N$24+1,10,12,14,16,18,20)+IF(AND(Inputs!$B$39&lt;&gt;"pvp",Inputs!$B$44=0),1,IF(IF(Inputs!$B$39="pvp",15,Inputs!$B$44)-(B2359)&lt;=0,1,MAX(0,IF(Inputs!$B$39="pvp",15,Inputs!$B$44)-MAX(5,B2359))/(IF(Inputs!$B$39="pvp",15,Inputs!$B$44)-(B2359))))*IF(AND(ArtifactsInput!$M$42,((Inputs!$B$9+((C2340=TRUE)*(F2340-Calc!F26))+B2348+(IF(ArtifactsInput!$M$24,FALSE,TRUE)-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nputs!$B$9+Summary!$B$14+Artifacts!$B$5+Artifacts!$B$29)))+IF(ArtifactsInput!$M$10,CHOOSE(ArtifactsInput!$N$10+1,20,24,28,32,36,40)*(IF(Inputs!$B$39="pvp",MIN(15,15)/15,IF(AND(Inputs!$B$39&lt;&gt;"pvp",Inputs!$B$44&gt;0),MIN(15,Inputs!$B$44)/(Inputs!$B$44),0))),0)+IF(ArtifactsInput!$M$31,1.5*CHOOSE(ArtifactsInput!$N$31+1,20,24,28,32,36,40),0)))/100)</f>
        <v/>
      </c>
      <c r="N2316">
        <f>L2316*(1-MIN((Inputs!$B$9+((C2340=TRUE)*(F2340-Calc!F26))+B2348+(IF(ArtifactsInput!$M$24,FALSE,TRUE)-ArtifactsInput!$M$24)*CHOOSE(ArtifactsInput!$N$24+1,10,12,14,16,18,20)+(IF(AND(Inputs!$B$39&lt;&gt;"pvp",Inputs!$B$44=0),1,IF(IF(Inputs!$B$39="pvp",15,Inputs!$B$44)-(B2359)&lt;=0,1,MAX(0,IF(Inputs!$B$39="pvp",15,Inputs!$B$44)-MAX(5,B2359))/(IF(Inputs!$B$39="pvp",15,Inputs!$B$44)-(B2359))))*IF(AND(ArtifactsInput!$M$42,((Inputs!$B$9+((C2340=TRUE)*(F2340-Calc!F26))+B2348+(IF(ArtifactsInput!$M$24,FALSE,TRUE)-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2316*(MIN((Inputs!$B$9+((C2340=TRUE)*(F2340-Calc!F26))+B2348+(IF(ArtifactsInput!$M$24,FALSE,TRUE)-ArtifactsInput!$M$24)*CHOOSE(ArtifactsInput!$N$24+1,10,12,14,16,18,20)+(IF(AND(Inputs!$B$39&lt;&gt;"pvp",Inputs!$B$44=0),1,IF(IF(Inputs!$B$39="pvp",15,Inputs!$B$44)-(B2359)&lt;=0,1,MAX(0,IF(Inputs!$B$39="pvp",15,Inputs!$B$44)-MAX(5,B2359))/(IF(Inputs!$B$39="pvp",15,Inputs!$B$44)-(B2359))))*IF(AND(ArtifactsInput!$M$42,((Inputs!$B$9+((C2340=TRUE)*(F2340-Calc!F26))+B2348+(IF(ArtifactsInput!$M$24,FALSE,TRUE)-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316">
        <f>(1-Summary!$B$11)*T2316+Summary!$B$11*V2316</f>
        <v/>
      </c>
      <c r="P2316">
        <f>IF(B2360=0,0,O2316/B2360)</f>
        <v/>
      </c>
      <c r="Q2316" t="n">
        <v>0</v>
      </c>
      <c r="R2316" t="n">
        <v>0</v>
      </c>
      <c r="S2316">
        <f>IFERROR(O2316/N2316,0)</f>
        <v/>
      </c>
      <c r="T2316">
        <f>IF(C2316,(Skills!G2*N2316*B2354)*IF(Inputs!$B$39="pvp",1,1+(Inputs!$B$20+0+Skills!P2+B2349+(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Hunt"),CHOOSE(ArtifactsInput!$N$35+1,15,18,21,24,27,30)*(1-EXP(-(0.2*B2352)*5)),0)+IF(AND(ArtifactsInput!$M$22,Inputs!$B$4&lt;&gt;"Chapter Hunt"),CHOOSE(ArtifactsInput!$N$22+1,10,12,14,16,18,20)*((0*(((0.15*B2352*5))^0/1)+1*(((0.15*B2352*5))^1/1)+2*(((0.15*B2352*5))^2/2)+3*(((0.15*B2352*5))^3/6)+4*(((0.15*B2352*5))^4/24)+5*(((0.15*B2352*5))^5/120))/((((0.15*B2352*5))^0/1)+(((0.15*B2352*5))^1/1)+(((0.15*B2352*5))^2/2)+(((0.15*B2352*5))^3/6)+(((0.15*B2352*5))^4/24)+(((0.15*B2352*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2316*(1-MIN(100,(Inputs!$B$9+((C2340=TRUE)*(F2340-Calc!F26))+B2348+(IF(ArtifactsInput!$M$24,FALSE,TRUE)-ArtifactsInput!$M$24)*CHOOSE(ArtifactsInput!$N$24+1,10,12,14,16,18,20)+(IF(AND(Inputs!$B$39&lt;&gt;"pvp",Inputs!$B$44=0),1,IF(IF(Inputs!$B$39="pvp",15,Inputs!$B$44)-(B2359)&lt;=0,1,MAX(0,IF(Inputs!$B$39="pvp",15,Inputs!$B$44)-MAX(5,B2359))/(IF(Inputs!$B$39="pvp",15,Inputs!$B$44)-(B2359))))*IF(AND(ArtifactsInput!$M$42,((Inputs!$B$9+((C2340=TRUE)*(F2340-Calc!F26))+B2348+(IF(ArtifactsInput!$M$24,FALSE,TRUE)-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2316*(MIN(100,(Inputs!$B$9+((C2340=TRUE)*(F2340-Calc!F26))+B2348+(IF(ArtifactsInput!$M$24,FALSE,TRUE)-ArtifactsInput!$M$24)*CHOOSE(ArtifactsInput!$N$24+1,10,12,14,16,18,20)+(IF(AND(Inputs!$B$39&lt;&gt;"pvp",Inputs!$B$44=0),1,IF(IF(Inputs!$B$39="pvp",15,Inputs!$B$44)-(B2359)&lt;=0,1,MAX(0,IF(Inputs!$B$39="pvp",15,Inputs!$B$44)-MAX(5,B2359))/(IF(Inputs!$B$39="pvp",15,Inputs!$B$44)-(B2359))))*IF(AND(ArtifactsInput!$M$42,((Inputs!$B$9+((C2340=TRUE)*(F2340-Calc!F26))+B2348+(IF(ArtifactsInput!$M$24,FALSE,TRUE)-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2316*(1-MIN(100,(Inputs!$B$9+((C2340=TRUE)*(F2340-Calc!F26))+B2348+(IF(ArtifactsInput!$M$24,FALSE,TRUE)-ArtifactsInput!$M$24)*CHOOSE(ArtifactsInput!$N$24+1,10,12,14,16,18,20)+(IF(AND(Inputs!$B$39&lt;&gt;"pvp",Inputs!$B$44=0),1,IF(IF(Inputs!$B$39="pvp",15,Inputs!$B$44)-(B2359)&lt;=0,1,MAX(0,IF(Inputs!$B$39="pvp",15,Inputs!$B$44)-MAX(5,B2359))/(IF(Inputs!$B$39="pvp",15,Inputs!$B$44)-(B2359))))*IF(AND(ArtifactsInput!$M$42,((Inputs!$B$9+((C2340=TRUE)*(F2340-Calc!F26))+B2348+(IF(ArtifactsInput!$M$24,FALSE,TRUE)-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2316*(MIN(100,(Inputs!$B$9+((C2340=TRUE)*(F2340-Calc!F26))+B2348+(IF(ArtifactsInput!$M$24,FALSE,TRUE)-ArtifactsInput!$M$24)*CHOOSE(ArtifactsInput!$N$24+1,10,12,14,16,18,20)+(IF(AND(Inputs!$B$39&lt;&gt;"pvp",Inputs!$B$44=0),1,IF(IF(Inputs!$B$39="pvp",15,Inputs!$B$44)-(B2359)&lt;=0,1,MAX(0,IF(Inputs!$B$39="pvp",15,Inputs!$B$44)-MAX(5,B2359))/(IF(Inputs!$B$39="pvp",15,Inputs!$B$44)-(B2359))))*IF(AND(ArtifactsInput!$M$42,((Inputs!$B$9+((C2340=TRUE)*(F2340-Calc!F26))+B2348+(IF(ArtifactsInput!$M$24,FALSE,TRUE)-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2316">
        <f>MAX(0,(Inputs!$B$3-100)*3)+Inputs!$B$28+Inputs!$B$29</f>
        <v/>
      </c>
      <c r="V2316">
        <f>IF(C2316,(Skills!G2*N2316*B2354)*IF(Inputs!$B$39="pvp",1,(1+(Inputs!$B$21+Skills!Q2+B2349+(IF(ArtifactsInput!$M$33,CHOOSE(ArtifactsInput!$N$33+1,30,36,42,48,54,60),0))+(IF(AND(ArtifactsInput!$M$35,Inputs!$B$4&lt;&gt;"Chapter Hunt"),CHOOSE(ArtifactsInput!$N$35+1,15,18,21,24,27,30)*(1-EXP(-(0.2*B2352)*5)),0)+IF(AND(ArtifactsInput!$M$22,Inputs!$B$4&lt;&gt;"Chapter Hunt"),CHOOSE(ArtifactsInput!$N$22+1,10,12,14,16,18,20)*((0*(((0.15*B2352*5))^0/1)+1*(((0.15*B2352*5))^1/1)+2*(((0.15*B2352*5))^2/2)+3*(((0.15*B2352*5))^3/6)+4*(((0.15*B2352*5))^4/24)+5*(((0.15*B2352*5))^5/120))/((((0.15*B2352*5))^0/1)+(((0.15*B2352*5))^1/1)+(((0.15*B2352*5))^2/2)+(((0.15*B2352*5))^3/6)+(((0.15*B2352*5))^4/24)+(((0.15*B2352*5))^5/120))),0)))/100)*(MIN((6+Inputs!$B$33),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317">
      <c r="A2317">
        <f>Skills!A3</f>
        <v/>
      </c>
      <c r="B2317">
        <f>Skills!B3</f>
        <v/>
      </c>
      <c r="C2317">
        <f>Inputs!$B$3&gt;=35</f>
        <v/>
      </c>
      <c r="D2317">
        <f>IF(Skills!C3=1,60+Inputs!$B$25+Inputs!$B$29,IF(Skills!C3=2,90+Inputs!$B$26+Inputs!$B$29,IF(Skills!C3=3,120+Inputs!$B$27+Inputs!$B$29,MAX(0,(Inputs!$B$3-100)*3)+Inputs!$B$28+Inputs!$B$29)))</f>
        <v/>
      </c>
      <c r="E2317">
        <f>INDEX(FactorTable!$B$2:$Y$301, MATCH(ROUND(MIN(300,MAX(1,D2317)),0), FactorTable!$A$2:$A$301,0), Skills!M3+1)</f>
        <v/>
      </c>
      <c r="F2317">
        <f>IF(Skills!N3=TRUE,(Skills!L3/10)*(E2317/1000),Skills!L3/10)+Skills!O3</f>
        <v/>
      </c>
      <c r="G2317">
        <f>Skills!G3*IF(Skills!H3&gt;0,IF(Inputs!$B$39="pvp",MIN(Skills!I3,15),Skills!I3)/Skills!H3,1)</f>
        <v/>
      </c>
      <c r="H2317">
        <f>1-(1-Skills!J3/100)^Skills!K3</f>
        <v/>
      </c>
      <c r="I2317" t="inlineStr">
        <is>
          <t>1</t>
        </is>
      </c>
      <c r="J2317" t="inlineStr"/>
      <c r="K2317" t="inlineStr"/>
      <c r="L2317" t="inlineStr"/>
      <c r="M2317" t="inlineStr"/>
      <c r="N2317" t="inlineStr"/>
      <c r="O2317">
        <f>(1-Summary!$B$11)*T2317+Summary!$B$11*V2317</f>
        <v/>
      </c>
      <c r="P2317">
        <f>IF(B2360=0,0,O2317/B2360)</f>
        <v/>
      </c>
      <c r="Q2317" t="n">
        <v>0</v>
      </c>
      <c r="R2317" t="n">
        <v>0</v>
      </c>
      <c r="S2317">
        <f>IFERROR(O2317/N2317,0)</f>
        <v/>
      </c>
      <c r="T2317" t="n">
        <v>0</v>
      </c>
      <c r="U2317">
        <f>INDEX(FactorTable!$B$2:$Y$301, MATCH(ROUND(MIN(300,MAX(1,U2316)),0), FactorTable!$A$2:$A$301,0), 22)</f>
        <v/>
      </c>
      <c r="V2317" t="n">
        <v>0</v>
      </c>
    </row>
    <row r="2318">
      <c r="A2318">
        <f>Skills!A4</f>
        <v/>
      </c>
      <c r="B2318">
        <f>Skills!B4</f>
        <v/>
      </c>
      <c r="C2318">
        <f>Inputs!$B$3&gt;=66</f>
        <v/>
      </c>
      <c r="D2318">
        <f>IF(Skills!C4=1,60+Inputs!$B$25+Inputs!$B$29,IF(Skills!C4=2,90+Inputs!$B$26+Inputs!$B$29,IF(Skills!C4=3,120+Inputs!$B$27+Inputs!$B$29,MAX(0,(Inputs!$B$3-100)*3)+Inputs!$B$28+Inputs!$B$29)))</f>
        <v/>
      </c>
      <c r="E2318">
        <f>INDEX(FactorTable!$B$2:$Y$301, MATCH(ROUND(MIN(300,MAX(1,D2318)),0), FactorTable!$A$2:$A$301,0), Skills!M4+1)</f>
        <v/>
      </c>
      <c r="F2318">
        <f>IF(Skills!N4=TRUE,(Skills!L4/10)*(E2318/1000),Skills!L4/10)+Skills!O4</f>
        <v/>
      </c>
      <c r="G2318">
        <f>Skills!G4*IF(Skills!H4&gt;0,IF(Inputs!$B$39="pvp",MIN(Skills!I4,15),Skills!I4)/Skills!H4,1)</f>
        <v/>
      </c>
      <c r="H2318">
        <f>1-(1-Skills!J4/100)^Skills!K4</f>
        <v/>
      </c>
      <c r="I2318" t="inlineStr">
        <is>
          <t>1</t>
        </is>
      </c>
      <c r="J2318">
        <f>((Inputs!$B$6*(1+Inputs!$B$7/100))+(((Inputs!$B$12*(1+Inputs!$B$13/100))-(Inputs!$B$12*(1+Inputs!$B$13/100)))+0.25*(Inputs!$B$14-Inputs!$B$14))*(1+Inputs!$B$7/100))*(F2318/100)</f>
        <v/>
      </c>
      <c r="K2318">
        <f>J2318*(1+((Inputs!$B$12*(1+Inputs!$B$13/100))*0.01+Inputs!$B$14*0.0025)/100)*(1+Inputs!$B$15/100)*(1+Inputs!$B$16/100)*(5000/(6000+Inputs!$B$43*(1-(100*(1-(1-Inputs!$B$19/100)*(1-CHOOSE(ArtifactsInput!$N$40+1,5,6,7,8,9,10)/100)^(ArtifactsInput!$M$40-ArtifactsInput!$M$40)))/100)))*(1+(Inputs!$B$24+((C2345=TRUE)*(F2345-Calc!F31))+((C2332=TRUE)*(F2332-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4="CRUEL_STAB",Inputs!$B$17+((C2342=TRUE)*(F2342-Calc!F28))+((IF(AND(Inputs!$B$39&lt;&gt;"pvp",Inputs!$B$44=0),1,IF(IF(Inputs!$B$39="pvp",15,Inputs!$B$44)-(B2359)&lt;=0,1,MAX(0,IF(Inputs!$B$39="pvp",15,Inputs!$B$44)-MAX(5,B2359))/(IF(Inputs!$B$39="pvp",15,Inputs!$B$44)-(B2359))))*(IF(AND(ArtifactsInput!$M$42,((Inputs!$B$9+((C2340=TRUE)*(F2340-Calc!F26))+B2348+(IF(ArtifactsInput!$M$24,FALSE,TRUE)-ArtifactsInput!$M$24)*CHOOSE(ArtifactsInput!$N$24+1,10,12,14,16,18,20)+IF(ArtifactsInput!$M$10,CHOOSE(ArtifactsInput!$N$10+1,15,18,21,24,27,30)*(IF(Inputs!$B$39="pvp",MIN(15,15)/15,IF(AND(Inputs!$B$39&lt;&gt;"pvp",Inputs!$B$44&gt;0),MIN(15,Inputs!$B$44)/(Inputs!$B$44),0))),0)))&gt;=100),MIN(100,((Inputs!$B$9+((C2340=TRUE)*(F2340-Calc!F26))+B2348+(IF(ArtifactsInput!$M$24,FALSE,TRUE)-ArtifactsInput!$M$24)*CHOOSE(ArtifactsInput!$N$24+1,10,12,14,16,18,20)+IF(ArtifactsInput!$M$10,CHOOSE(ArtifactsInput!$N$10+1,15,18,21,24,27,30)*(IF(Inputs!$B$39="pvp",MIN(15,15)/15,IF(AND(Inputs!$B$39&lt;&gt;"pvp",Inputs!$B$44&gt;0),MIN(15,Inputs!$B$44)/(Inputs!$B$44),0))),0)))-100),0))*CHOOSE(ArtifactsInput!$N$42+1,0.6,0.72,0.84,0.96,1.08,1.2))),Inputs!$B$18+((C2343=TRUE)*(F2343-Calc!F29))+(IF(AND(Inputs!$B$39&lt;&gt;"pvp",Inputs!$B$44=0),1,IF(IF(Inputs!$B$39="pvp",15,Inputs!$B$44)-(B2359)&lt;=0,1,MAX(0,IF(Inputs!$B$39="pvp",15,Inputs!$B$44)-MAX(5,B2359))/(IF(Inputs!$B$39="pvp",15,Inputs!$B$44)-(B2359))))*IF(AND(ArtifactsInput!$M$42,((Inputs!$B$9+((C2340=TRUE)*(F2340-Calc!F26))+B2348+(IF(ArtifactsInput!$M$24,FALSE,TRUE)-ArtifactsInput!$M$24)*CHOOSE(ArtifactsInput!$N$24+1,10,12,14,16,18,20)+IF(ArtifactsInput!$M$10,CHOOSE(ArtifactsInput!$N$10+1,15,18,21,24,27,30)*(IF(Inputs!$B$39="pvp",MIN(15,15)/15,IF(AND(Inputs!$B$39&lt;&gt;"pvp",Inputs!$B$44&gt;0),MIN(15,Inputs!$B$44)/(Inputs!$B$44),0))),0)))&gt;=100),CHOOSE(ArtifactsInput!$N$42+1,40,48,56,64,72,80),0))))/100)*(((1+(((C2336=TRUE)*F2336*IF(AND(Inputs!$B$39&lt;&gt;"pvp",Inputs!$B$44&gt;0),(((R2336-1)*MIN((Skills!Y22*(1+Inputs!$B$34/100)),(1/Q2336))+MIN((Skills!Y22*(1+Inputs!$B$34/100)),MAX(0,Inputs!$B$44-((R2336-1)*(1/Q2336)))))/Inputs!$B$44),IF(Inputs!$B$39="pvp",MIN((Skills!Y22*(1+Inputs!$B$34/100)),15)/15,MIN(1,(Skills!Y22*(1+Inputs!$B$34/100))/(1/Q2336)))))+((C2317=TRUE)*F2317*3)+((C2319=TRUE)*F2319*(1-EXP(-0.75*B2352*5)))+((C2338=TRUE)*(F2338-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2325=TRUE)*F2325*IF(AND(Inputs!$B$39&lt;&gt;"pvp",Inputs!$B$44&gt;0),(((R2325-1)*MIN((Skills!Y11*(1+Inputs!$B$34/100)),(1/Q2325))+MIN((Skills!Y11*(1+Inputs!$B$34/100)),MAX(0,Inputs!$B$44-((R2325-1)*(1/Q2325)))))/Inputs!$B$44),IF(Inputs!$B$39="pvp",MIN((Skills!Y11*(1+Inputs!$B$34/100)),15)/15,MIN(1,(Skills!Y11*(1+Inputs!$B$34/100))/(1/Q2325)))))/100)*(1+((C2330=TRUE)*F2330*IF(AND(Inputs!$B$39&lt;&gt;"pvp",Inputs!$B$44&gt;0),(((R2330-1)*MIN((Skills!Y16*(1+Inputs!$B$34/100)),(1/Q2330))+MIN((Skills!Y16*(1+Inputs!$B$34/100)),MAX(0,Inputs!$B$44-((R2330-1)*(1/Q2330)))))/Inputs!$B$44),IF(Inputs!$B$39="pvp",MIN((Skills!Y16*(1+Inputs!$B$34/100)),15)/15,MIN(1,(Skills!Y16*(1+Inputs!$B$34/100))/(1/Q2330)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2350*I2318)</f>
        <v/>
      </c>
      <c r="L2318">
        <f>K2318*(MIN(Inputs!$B$22+((C2339=TRUE)*(F2339-Calc!F25)),(Inputs!$B$23+((C2344=TRUE)*(F2344-Calc!F30))+IF(ArtifactsInput!$M$15,CHOOSE(ArtifactsInput!$N$15+1,25,30,35,40,45,50)/100*(Inputs!$B$11-Inputs!$B$11),0)))/100+(Inputs!$B$23+((C2344=TRUE)*(F2344-Calc!F30))+IF(ArtifactsInput!$M$15,CHOOSE(ArtifactsInput!$N$15+1,25,30,35,40,45,50)/100*(Inputs!$B$11-Inputs!$B$11),0))/100)/2</f>
        <v/>
      </c>
      <c r="M2318">
        <f>L2318*(1+(Inputs!$B$10+((C2341=TRUE)*(F2341-Calc!F27))+B2355+((IF(IF(ArtifactsInput!$M$24,FALSE,TRUE),1,-1)*CHOOSE(ArtifactsInput!$N$24+1,30,36,42,48,54,60)/100*IF(IF(ArtifactsInput!$M$24,FALSE,TRUE),(Inputs!$B$9+((C2340=TRUE)*(F2340-Calc!F26))+B2348+(IF(ArtifactsInput!$M$24,FALSE,TRUE)-ArtifactsInput!$M$24)*CHOOSE(ArtifactsInput!$N$24+1,10,12,14,16,18,20)+IF(AND(Inputs!$B$39&lt;&gt;"pvp",Inputs!$B$44=0),1,IF(IF(Inputs!$B$39="pvp",15,Inputs!$B$44)-(B2359)&lt;=0,1,MAX(0,IF(Inputs!$B$39="pvp",15,Inputs!$B$44)-MAX(5,B2359))/(IF(Inputs!$B$39="pvp",15,Inputs!$B$44)-(B2359))))*IF(AND(ArtifactsInput!$M$42,((Inputs!$B$9+((C2340=TRUE)*(F2340-Calc!F26))+B2348+(IF(ArtifactsInput!$M$24,FALSE,TRUE)-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nputs!$B$9+Summary!$B$14+Artifacts!$B$5+Artifacts!$B$29)))+IF(ArtifactsInput!$M$10,CHOOSE(ArtifactsInput!$N$10+1,20,24,28,32,36,40)*(IF(Inputs!$B$39="pvp",MIN(15,15)/15,IF(AND(Inputs!$B$39&lt;&gt;"pvp",Inputs!$B$44&gt;0),MIN(15,Inputs!$B$44)/(Inputs!$B$44),0))),0)+IF(ArtifactsInput!$M$31,1.5*CHOOSE(ArtifactsInput!$N$31+1,20,24,28,32,36,40),0)))/100)</f>
        <v/>
      </c>
      <c r="N2318">
        <f>L2318*(1-MIN((Inputs!$B$9+((C2340=TRUE)*(F2340-Calc!F26))+B2348+(IF(ArtifactsInput!$M$24,FALSE,TRUE)-ArtifactsInput!$M$24)*CHOOSE(ArtifactsInput!$N$24+1,10,12,14,16,18,20)+(IF(AND(Inputs!$B$39&lt;&gt;"pvp",Inputs!$B$44=0),1,IF(IF(Inputs!$B$39="pvp",15,Inputs!$B$44)-(B2359)&lt;=0,1,MAX(0,IF(Inputs!$B$39="pvp",15,Inputs!$B$44)-MAX(5,B2359))/(IF(Inputs!$B$39="pvp",15,Inputs!$B$44)-(B2359))))*IF(AND(ArtifactsInput!$M$42,((Inputs!$B$9+((C2340=TRUE)*(F2340-Calc!F26))+B2348+(IF(ArtifactsInput!$M$24,FALSE,TRUE)-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2318*(MIN((Inputs!$B$9+((C2340=TRUE)*(F2340-Calc!F26))+B2348+(IF(ArtifactsInput!$M$24,FALSE,TRUE)-ArtifactsInput!$M$24)*CHOOSE(ArtifactsInput!$N$24+1,10,12,14,16,18,20)+(IF(AND(Inputs!$B$39&lt;&gt;"pvp",Inputs!$B$44=0),1,IF(IF(Inputs!$B$39="pvp",15,Inputs!$B$44)-(B2359)&lt;=0,1,MAX(0,IF(Inputs!$B$39="pvp",15,Inputs!$B$44)-MAX(5,B2359))/(IF(Inputs!$B$39="pvp",15,Inputs!$B$44)-(B2359))))*IF(AND(ArtifactsInput!$M$42,((Inputs!$B$9+((C2340=TRUE)*(F2340-Calc!F26))+B2348+(IF(ArtifactsInput!$M$24,FALSE,TRUE)-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318">
        <f>(1-Summary!$B$11)*T2318+Summary!$B$11*V2318</f>
        <v/>
      </c>
      <c r="P2318">
        <f>IF(B2360=0,0,O2318/B2360)</f>
        <v/>
      </c>
      <c r="Q2318">
        <f>IFERROR(1/IF(Inputs!$B$39="pvp",15,MAX(0.1,Skills!D4-IF(TRUE=TRUE,Inputs!$B$32,0))),0)</f>
        <v/>
      </c>
      <c r="R2318">
        <f>IF(AND(Inputs!$B$39&lt;&gt;"pvp",Inputs!$B$44&gt;0),IF(MAX(0,Inputs!$B$44-B2359)&lt;=0,0,(INT(MAX(0,Inputs!$B$44-B2359)/IF(Inputs!$B$39="pvp",15,MAX(0.1,Skills!D4-IF(TRUE=TRUE,Inputs!$B$32,0))))+1)),0)</f>
        <v/>
      </c>
      <c r="S2318">
        <f>IFERROR(O2318/N2318,0)</f>
        <v/>
      </c>
      <c r="T2318">
        <f>IF(C2318,(H2318*N2318*IF(AND(Inputs!$B$39&lt;&gt;"pvp",Inputs!$B$44&gt;0),((Skills!G4*((R2318-1)*IF(Skills!H4&gt;0,Skills!I4/Skills!H4,1)+IF(Skills!H4&gt;0,MIN(Skills!I4,MAX(0,MAX(0,Inputs!$B$44-B2359)-((R2318-1)*IF(Inputs!$B$39="pvp",15,MAX(0.1,Skills!D4-IF(TRUE=TRUE,Inputs!$B$32,0))))))/Skills!H4,1)))/Inputs!$B$44),G2318*Q2318))*IF(Inputs!$B$39="pvp",1,1+(Inputs!$B$20+0+Skills!P4+B2349+(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Hunt"),CHOOSE(ArtifactsInput!$N$35+1,15,18,21,24,27,30)*(1-EXP(-(0.2*B2352)*5)),0)+IF(AND(ArtifactsInput!$M$22,Inputs!$B$4&lt;&gt;"Chapter Hunt"),CHOOSE(ArtifactsInput!$N$22+1,10,12,14,16,18,20)*((0*(((0.15*B2352*5))^0/1)+1*(((0.15*B2352*5))^1/1)+2*(((0.15*B2352*5))^2/2)+3*(((0.15*B2352*5))^3/6)+4*(((0.15*B2352*5))^4/24)+5*(((0.15*B2352*5))^5/120))/((((0.15*B2352*5))^0/1)+(((0.15*B2352*5))^1/1)+(((0.15*B2352*5))^2/2)+(((0.15*B2352*5))^3/6)+(((0.15*B2352*5))^4/24)+(((0.15*B2352*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2318*(1-MIN(100,(Inputs!$B$9+((C2340=TRUE)*(F2340-Calc!F26))+B2348+(IF(ArtifactsInput!$M$24,FALSE,TRUE)-ArtifactsInput!$M$24)*CHOOSE(ArtifactsInput!$N$24+1,10,12,14,16,18,20)+(IF(AND(Inputs!$B$39&lt;&gt;"pvp",Inputs!$B$44=0),1,IF(IF(Inputs!$B$39="pvp",15,Inputs!$B$44)-(B2359)&lt;=0,1,MAX(0,IF(Inputs!$B$39="pvp",15,Inputs!$B$44)-MAX(5,B2359))/(IF(Inputs!$B$39="pvp",15,Inputs!$B$44)-(B2359))))*IF(AND(ArtifactsInput!$M$42,((Inputs!$B$9+((C2340=TRUE)*(F2340-Calc!F26))+B2348+(IF(ArtifactsInput!$M$24,FALSE,TRUE)-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2318*(MIN(100,(Inputs!$B$9+((C2340=TRUE)*(F2340-Calc!F26))+B2348+(IF(ArtifactsInput!$M$24,FALSE,TRUE)-ArtifactsInput!$M$24)*CHOOSE(ArtifactsInput!$N$24+1,10,12,14,16,18,20)+(IF(AND(Inputs!$B$39&lt;&gt;"pvp",Inputs!$B$44=0),1,IF(IF(Inputs!$B$39="pvp",15,Inputs!$B$44)-(B2359)&lt;=0,1,MAX(0,IF(Inputs!$B$39="pvp",15,Inputs!$B$44)-MAX(5,B2359))/(IF(Inputs!$B$39="pvp",15,Inputs!$B$44)-(B2359))))*IF(AND(ArtifactsInput!$M$42,((Inputs!$B$9+((C2340=TRUE)*(F2340-Calc!F26))+B2348+(IF(ArtifactsInput!$M$24,FALSE,TRUE)-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2318*(1-MIN(100,(Inputs!$B$9+((C2340=TRUE)*(F2340-Calc!F26))+B2348+(IF(ArtifactsInput!$M$24,FALSE,TRUE)-ArtifactsInput!$M$24)*CHOOSE(ArtifactsInput!$N$24+1,10,12,14,16,18,20)+(IF(AND(Inputs!$B$39&lt;&gt;"pvp",Inputs!$B$44=0),1,IF(IF(Inputs!$B$39="pvp",15,Inputs!$B$44)-(B2359)&lt;=0,1,MAX(0,IF(Inputs!$B$39="pvp",15,Inputs!$B$44)-MAX(5,B2359))/(IF(Inputs!$B$39="pvp",15,Inputs!$B$44)-(B2359))))*IF(AND(ArtifactsInput!$M$42,((Inputs!$B$9+((C2340=TRUE)*(F2340-Calc!F26))+B2348+(IF(ArtifactsInput!$M$24,FALSE,TRUE)-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2318*(MIN(100,(Inputs!$B$9+((C2340=TRUE)*(F2340-Calc!F26))+B2348+(IF(ArtifactsInput!$M$24,FALSE,TRUE)-ArtifactsInput!$M$24)*CHOOSE(ArtifactsInput!$N$24+1,10,12,14,16,18,20)+(IF(AND(Inputs!$B$39&lt;&gt;"pvp",Inputs!$B$44=0),1,IF(IF(Inputs!$B$39="pvp",15,Inputs!$B$44)-(B2359)&lt;=0,1,MAX(0,IF(Inputs!$B$39="pvp",15,Inputs!$B$44)-MAX(5,B2359))/(IF(Inputs!$B$39="pvp",15,Inputs!$B$44)-(B2359))))*IF(AND(ArtifactsInput!$M$42,((Inputs!$B$9+((C2340=TRUE)*(F2340-Calc!F26))+B2348+(IF(ArtifactsInput!$M$24,FALSE,TRUE)-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2318">
        <f>290*U2317/1000</f>
        <v/>
      </c>
      <c r="V2318">
        <f>IF(C2318,(H2318*N2318*IF(AND(Inputs!$B$39&lt;&gt;"pvp",Inputs!$B$44&gt;0),((Skills!G4*((R2318-1)*IF(Skills!H4&gt;0,Skills!I4/Skills!H4,1)+IF(Skills!H4&gt;0,MIN(Skills!I4,MAX(0,MAX(0,Inputs!$B$44-B2359)-((R2318-1)*IF(Inputs!$B$39="pvp",15,MAX(0.1,Skills!D4-IF(TRUE=TRUE,Inputs!$B$32,0))))))/Skills!H4,1)))/Inputs!$B$44),G2318*Q2318))*IF(Inputs!$B$39="pvp",1,(1+(Inputs!$B$21+Skills!Q4+B2349+(IF(ArtifactsInput!$M$33,CHOOSE(ArtifactsInput!$N$33+1,30,36,42,48,54,60),0))+(IF(AND(ArtifactsInput!$M$35,Inputs!$B$4&lt;&gt;"Chapter Hunt"),CHOOSE(ArtifactsInput!$N$35+1,15,18,21,24,27,30)*(1-EXP(-(0.2*B2352)*5)),0)+IF(AND(ArtifactsInput!$M$22,Inputs!$B$4&lt;&gt;"Chapter Hunt"),CHOOSE(ArtifactsInput!$N$22+1,10,12,14,16,18,20)*((0*(((0.15*B2352*5))^0/1)+1*(((0.15*B2352*5))^1/1)+2*(((0.15*B2352*5))^2/2)+3*(((0.15*B2352*5))^3/6)+4*(((0.15*B2352*5))^4/24)+5*(((0.15*B2352*5))^5/120))/((((0.15*B2352*5))^0/1)+(((0.15*B2352*5))^1/1)+(((0.15*B2352*5))^2/2)+(((0.15*B2352*5))^3/6)+(((0.15*B2352*5))^4/24)+(((0.15*B2352*5))^5/120))),0)))/100)*(MIN(MIN(10,IF(Inputs!$B$3&gt;=75,0.75,0.5)*B2352*(1/Q2318)),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319">
      <c r="A2319">
        <f>Skills!A5</f>
        <v/>
      </c>
      <c r="B2319">
        <f>Skills!B5</f>
        <v/>
      </c>
      <c r="C2319">
        <f>Inputs!$B$3&gt;=75</f>
        <v/>
      </c>
      <c r="D2319">
        <f>IF(Skills!C5=1,60+Inputs!$B$25+Inputs!$B$29,IF(Skills!C5=2,90+Inputs!$B$26+Inputs!$B$29,IF(Skills!C5=3,120+Inputs!$B$27+Inputs!$B$29,MAX(0,(Inputs!$B$3-100)*3)+Inputs!$B$28+Inputs!$B$29)))</f>
        <v/>
      </c>
      <c r="E2319">
        <f>INDEX(FactorTable!$B$2:$Y$301, MATCH(ROUND(MIN(300,MAX(1,D2319)),0), FactorTable!$A$2:$A$301,0), Skills!M5+1)</f>
        <v/>
      </c>
      <c r="F2319">
        <f>IF(Skills!N5=TRUE,(Skills!L5/10)*(E2319/1000),Skills!L5/10)+Skills!O5</f>
        <v/>
      </c>
      <c r="G2319">
        <f>Skills!G5*IF(Skills!H5&gt;0,IF(Inputs!$B$39="pvp",MIN(Skills!I5,15),Skills!I5)/Skills!H5,1)</f>
        <v/>
      </c>
      <c r="H2319">
        <f>1-(1-Skills!J5/100)^Skills!K5</f>
        <v/>
      </c>
      <c r="I2319" t="inlineStr">
        <is>
          <t>1</t>
        </is>
      </c>
      <c r="J2319" t="inlineStr"/>
      <c r="K2319" t="inlineStr"/>
      <c r="L2319" t="inlineStr"/>
      <c r="M2319" t="inlineStr"/>
      <c r="N2319" t="inlineStr"/>
      <c r="O2319">
        <f>(1-Summary!$B$11)*T2319+Summary!$B$11*V2319</f>
        <v/>
      </c>
      <c r="P2319">
        <f>IF(B2360=0,0,O2319/B2360)</f>
        <v/>
      </c>
      <c r="Q2319" t="n">
        <v>0</v>
      </c>
      <c r="R2319" t="n">
        <v>0</v>
      </c>
      <c r="S2319">
        <f>IFERROR(O2319/N2319,0)</f>
        <v/>
      </c>
      <c r="T2319" t="n">
        <v>0</v>
      </c>
      <c r="V2319" t="n">
        <v>0</v>
      </c>
    </row>
    <row r="2320">
      <c r="A2320">
        <f>Skills!A6</f>
        <v/>
      </c>
      <c r="B2320">
        <f>Skills!B6</f>
        <v/>
      </c>
      <c r="C2320">
        <f>Inputs!$B$3&gt;=63</f>
        <v/>
      </c>
      <c r="D2320">
        <f>IF(Skills!C6=1,60+Inputs!$B$25+Inputs!$B$29,IF(Skills!C6=2,90+Inputs!$B$26+Inputs!$B$29,IF(Skills!C6=3,120+Inputs!$B$27+Inputs!$B$29,MAX(0,(Inputs!$B$3-100)*3)+Inputs!$B$28+Inputs!$B$29)))</f>
        <v/>
      </c>
      <c r="E2320">
        <f>INDEX(FactorTable!$B$2:$Y$301, MATCH(ROUND(MIN(300,MAX(1,D2320)),0), FactorTable!$A$2:$A$301,0), Skills!M6+1)</f>
        <v/>
      </c>
      <c r="F2320">
        <f>IF(Skills!N6=TRUE,(Skills!L6/10)*(E2320/1000),Skills!L6/10)+Skills!O6</f>
        <v/>
      </c>
      <c r="G2320">
        <f>Skills!G6*IF(Skills!H6&gt;0,IF(Inputs!$B$39="pvp",MIN(Skills!I6,15),Skills!I6)/Skills!H6,1)</f>
        <v/>
      </c>
      <c r="H2320">
        <f>1-(1-Skills!J6/100)^Skills!K6</f>
        <v/>
      </c>
      <c r="I2320" t="inlineStr">
        <is>
          <t>1</t>
        </is>
      </c>
      <c r="J2320">
        <f>((Inputs!$B$6*(1+Inputs!$B$7/100))+(((Inputs!$B$12*(1+Inputs!$B$13/100))-(Inputs!$B$12*(1+Inputs!$B$13/100)))+0.25*(Inputs!$B$14-Inputs!$B$14))*(1+Inputs!$B$7/100))*(F2320/100)</f>
        <v/>
      </c>
      <c r="K2320">
        <f>J2320*(1+((Inputs!$B$12*(1+Inputs!$B$13/100))*0.01+Inputs!$B$14*0.0025)/100)*(1+Inputs!$B$15/100)*(1+Inputs!$B$16/100)*(5000/(6000+Inputs!$B$43*(1-(100*(1-(1-Inputs!$B$19/100)*(1-CHOOSE(ArtifactsInput!$N$40+1,5,6,7,8,9,10)/100)^(ArtifactsInput!$M$40-ArtifactsInput!$M$40)))/100)))*(1+(Inputs!$B$24+((C2345=TRUE)*(F2345-Calc!F31))+((C2332=TRUE)*(F2332-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+2.6666666666666665*IF(C2333=TRUE,F2333,0)/100)*(1+(IF(Skills!A6="CRUEL_STAB",Inputs!$B$17+((C2342=TRUE)*(F2342-Calc!F28))+((IF(AND(Inputs!$B$39&lt;&gt;"pvp",Inputs!$B$44=0),1,IF(IF(Inputs!$B$39="pvp",15,Inputs!$B$44)-(B2359)&lt;=0,1,MAX(0,IF(Inputs!$B$39="pvp",15,Inputs!$B$44)-MAX(5,B2359))/(IF(Inputs!$B$39="pvp",15,Inputs!$B$44)-(B2359))))*(IF(AND(ArtifactsInput!$M$42,((Inputs!$B$9+((C2340=TRUE)*(F2340-Calc!F26))+B2348+(IF(ArtifactsInput!$M$24,FALSE,TRUE)-ArtifactsInput!$M$24)*CHOOSE(ArtifactsInput!$N$24+1,10,12,14,16,18,20)+IF(ArtifactsInput!$M$10,CHOOSE(ArtifactsInput!$N$10+1,15,18,21,24,27,30)*(IF(Inputs!$B$39="pvp",MIN(15,15)/15,IF(AND(Inputs!$B$39&lt;&gt;"pvp",Inputs!$B$44&gt;0),MIN(15,Inputs!$B$44)/(Inputs!$B$44),0))),0)))&gt;=100),MIN(100,((Inputs!$B$9+((C2340=TRUE)*(F2340-Calc!F26))+B2348+(IF(ArtifactsInput!$M$24,FALSE,TRUE)-ArtifactsInput!$M$24)*CHOOSE(ArtifactsInput!$N$24+1,10,12,14,16,18,20)+IF(ArtifactsInput!$M$10,CHOOSE(ArtifactsInput!$N$10+1,15,18,21,24,27,30)*(IF(Inputs!$B$39="pvp",MIN(15,15)/15,IF(AND(Inputs!$B$39&lt;&gt;"pvp",Inputs!$B$44&gt;0),MIN(15,Inputs!$B$44)/(Inputs!$B$44),0))),0)))-100),0))*CHOOSE(ArtifactsInput!$N$42+1,0.6,0.72,0.84,0.96,1.08,1.2))),Inputs!$B$18+((C2343=TRUE)*(F2343-Calc!F29))+(IF(AND(Inputs!$B$39&lt;&gt;"pvp",Inputs!$B$44=0),1,IF(IF(Inputs!$B$39="pvp",15,Inputs!$B$44)-(B2359)&lt;=0,1,MAX(0,IF(Inputs!$B$39="pvp",15,Inputs!$B$44)-MAX(5,B2359))/(IF(Inputs!$B$39="pvp",15,Inputs!$B$44)-(B2359))))*IF(AND(ArtifactsInput!$M$42,((Inputs!$B$9+((C2340=TRUE)*(F2340-Calc!F26))+B2348+(IF(ArtifactsInput!$M$24,FALSE,TRUE)-ArtifactsInput!$M$24)*CHOOSE(ArtifactsInput!$N$24+1,10,12,14,16,18,20)+IF(ArtifactsInput!$M$10,CHOOSE(ArtifactsInput!$N$10+1,15,18,21,24,27,30)*(IF(Inputs!$B$39="pvp",MIN(15,15)/15,IF(AND(Inputs!$B$39&lt;&gt;"pvp",Inputs!$B$44&gt;0),MIN(15,Inputs!$B$44)/(Inputs!$B$44),0))),0)))&gt;=100),CHOOSE(ArtifactsInput!$N$42+1,40,48,56,64,72,80),0))))/100)*(((1+(((C2336=TRUE)*F2336*IF(AND(Inputs!$B$39&lt;&gt;"pvp",Inputs!$B$44&gt;0),(((R2336-1)*MIN((Skills!Y22*(1+Inputs!$B$34/100)),(1/Q2336))+MIN((Skills!Y22*(1+Inputs!$B$34/100)),MAX(0,Inputs!$B$44-((R2336-1)*(1/Q2336)))))/Inputs!$B$44),IF(Inputs!$B$39="pvp",MIN((Skills!Y22*(1+Inputs!$B$34/100)),15)/15,MIN(1,(Skills!Y22*(1+Inputs!$B$34/100))/(1/Q2336)))))+((C2317=TRUE)*F2317*3)+((C2319=TRUE)*F2319*(1-EXP(-0.75*B2352*5)))+((C2338=TRUE)*(F2338-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2325=TRUE)*F2325*IF(AND(Inputs!$B$39&lt;&gt;"pvp",Inputs!$B$44&gt;0),(((R2325-1)*MIN((Skills!Y11*(1+Inputs!$B$34/100)),(1/Q2325))+MIN((Skills!Y11*(1+Inputs!$B$34/100)),MAX(0,Inputs!$B$44-((R2325-1)*(1/Q2325)))))/Inputs!$B$44),IF(Inputs!$B$39="pvp",MIN((Skills!Y11*(1+Inputs!$B$34/100)),15)/15,MIN(1,(Skills!Y11*(1+Inputs!$B$34/100))/(1/Q2325)))))/100)*(1+((C2330=TRUE)*F2330*IF(AND(Inputs!$B$39&lt;&gt;"pvp",Inputs!$B$44&gt;0),(((R2330-1)*MIN((Skills!Y16*(1+Inputs!$B$34/100)),(1/Q2330))+MIN((Skills!Y16*(1+Inputs!$B$34/100)),MAX(0,Inputs!$B$44-((R2330-1)*(1/Q2330)))))/Inputs!$B$44),IF(Inputs!$B$39="pvp",MIN((Skills!Y16*(1+Inputs!$B$34/100)),15)/15,MIN(1,(Skills!Y16*(1+Inputs!$B$34/100))/(1/Q2330)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2350*I2320)</f>
        <v/>
      </c>
      <c r="L2320">
        <f>K2320*(MIN(Inputs!$B$22+((C2339=TRUE)*(F2339-Calc!F25)),(Inputs!$B$23+((C2344=TRUE)*(F2344-Calc!F30))+IF(ArtifactsInput!$M$15,CHOOSE(ArtifactsInput!$N$15+1,25,30,35,40,45,50)/100*(Inputs!$B$11-Inputs!$B$11),0)))/100+(Inputs!$B$23+((C2344=TRUE)*(F2344-Calc!F30))+IF(ArtifactsInput!$M$15,CHOOSE(ArtifactsInput!$N$15+1,25,30,35,40,45,50)/100*(Inputs!$B$11-Inputs!$B$11),0))/100)/2</f>
        <v/>
      </c>
      <c r="M2320">
        <f>L2320*(1+(Inputs!$B$10+((C2341=TRUE)*(F2341-Calc!F27))+B2355+((IF(IF(ArtifactsInput!$M$24,FALSE,TRUE),1,-1)*CHOOSE(ArtifactsInput!$N$24+1,30,36,42,48,54,60)/100*IF(IF(ArtifactsInput!$M$24,FALSE,TRUE),(Inputs!$B$9+((C2340=TRUE)*(F2340-Calc!F26))+B2348+(IF(ArtifactsInput!$M$24,FALSE,TRUE)-ArtifactsInput!$M$24)*CHOOSE(ArtifactsInput!$N$24+1,10,12,14,16,18,20)+IF(AND(Inputs!$B$39&lt;&gt;"pvp",Inputs!$B$44=0),1,IF(IF(Inputs!$B$39="pvp",15,Inputs!$B$44)-(B2359)&lt;=0,1,MAX(0,IF(Inputs!$B$39="pvp",15,Inputs!$B$44)-MAX(5,B2359))/(IF(Inputs!$B$39="pvp",15,Inputs!$B$44)-(B2359))))*IF(AND(ArtifactsInput!$M$42,((Inputs!$B$9+((C2340=TRUE)*(F2340-Calc!F26))+B2348+(IF(ArtifactsInput!$M$24,FALSE,TRUE)-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nputs!$B$9+Summary!$B$14+Artifacts!$B$5+Artifacts!$B$29)))+IF(ArtifactsInput!$M$10,CHOOSE(ArtifactsInput!$N$10+1,20,24,28,32,36,40)*(IF(Inputs!$B$39="pvp",MIN(15,15)/15,IF(AND(Inputs!$B$39&lt;&gt;"pvp",Inputs!$B$44&gt;0),MIN(15,Inputs!$B$44)/(Inputs!$B$44),0))),0)+IF(ArtifactsInput!$M$31,1.5*CHOOSE(ArtifactsInput!$N$31+1,20,24,28,32,36,40),0)))/100)</f>
        <v/>
      </c>
      <c r="N2320">
        <f>L2320*(1-MIN((Inputs!$B$9+((C2340=TRUE)*(F2340-Calc!F26))+B2348+(IF(ArtifactsInput!$M$24,FALSE,TRUE)-ArtifactsInput!$M$24)*CHOOSE(ArtifactsInput!$N$24+1,10,12,14,16,18,20)+(IF(AND(Inputs!$B$39&lt;&gt;"pvp",Inputs!$B$44=0),1,IF(IF(Inputs!$B$39="pvp",15,Inputs!$B$44)-(B2359)&lt;=0,1,MAX(0,IF(Inputs!$B$39="pvp",15,Inputs!$B$44)-MAX(5,B2359))/(IF(Inputs!$B$39="pvp",15,Inputs!$B$44)-(B2359))))*IF(AND(ArtifactsInput!$M$42,((Inputs!$B$9+((C2340=TRUE)*(F2340-Calc!F26))+B2348+(IF(ArtifactsInput!$M$24,FALSE,TRUE)-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2320*(MIN((Inputs!$B$9+((C2340=TRUE)*(F2340-Calc!F26))+B2348+(IF(ArtifactsInput!$M$24,FALSE,TRUE)-ArtifactsInput!$M$24)*CHOOSE(ArtifactsInput!$N$24+1,10,12,14,16,18,20)+(IF(AND(Inputs!$B$39&lt;&gt;"pvp",Inputs!$B$44=0),1,IF(IF(Inputs!$B$39="pvp",15,Inputs!$B$44)-(B2359)&lt;=0,1,MAX(0,IF(Inputs!$B$39="pvp",15,Inputs!$B$44)-MAX(5,B2359))/(IF(Inputs!$B$39="pvp",15,Inputs!$B$44)-(B2359))))*IF(AND(ArtifactsInput!$M$42,((Inputs!$B$9+((C2340=TRUE)*(F2340-Calc!F26))+B2348+(IF(ArtifactsInput!$M$24,FALSE,TRUE)-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320">
        <f>(1-Summary!$B$11)*T2320+Summary!$B$11*V2320</f>
        <v/>
      </c>
      <c r="P2320">
        <f>IF(B2360=0,0,O2320/B2360)</f>
        <v/>
      </c>
      <c r="Q2320">
        <f>IFERROR(1/IF(Inputs!$B$39="pvp",15,MAX(0.1,Skills!D6-IF(TRUE=TRUE,Inputs!$B$32,0))),0)</f>
        <v/>
      </c>
      <c r="R2320">
        <f>IF(AND(Inputs!$B$39&lt;&gt;"pvp",Inputs!$B$44&gt;0),IF(MAX(0,Inputs!$B$44-B2359)&lt;=0,0,(INT(MAX(0,Inputs!$B$44-B2359)/IF(Inputs!$B$39="pvp",15,MAX(0.1,Skills!D6-IF(TRUE=TRUE,Inputs!$B$32,0))))+1)),0)</f>
        <v/>
      </c>
      <c r="S2320">
        <f>IFERROR(O2320/N2320,0)</f>
        <v/>
      </c>
      <c r="T2320">
        <f>IF(C2320,(H2320*N2320*IF(AND(Inputs!$B$39&lt;&gt;"pvp",Inputs!$B$44&gt;0),((Skills!G6*((R2320-1)*IF(Skills!H6&gt;0,Skills!I6/Skills!H6,1)+IF(Skills!H6&gt;0,MIN(Skills!I6,MAX(0,MAX(0,Inputs!$B$44-B2359)-((R2320-1)*IF(Inputs!$B$39="pvp",15,MAX(0.1,Skills!D6-IF(TRUE=TRUE,Inputs!$B$32,0))))))/Skills!H6,1)))/Inputs!$B$44),G2320*Q2320))*IF(Inputs!$B$39="pvp",1,1+(Inputs!$B$20+0+Skills!P6+B2349+(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Hunt"),CHOOSE(ArtifactsInput!$N$35+1,15,18,21,24,27,30)*(1-EXP(-(0.2*B2352)*5)),0)+IF(AND(ArtifactsInput!$M$22,Inputs!$B$4&lt;&gt;"Chapter Hunt"),CHOOSE(ArtifactsInput!$N$22+1,10,12,14,16,18,20)*((0*(((0.15*B2352*5))^0/1)+1*(((0.15*B2352*5))^1/1)+2*(((0.15*B2352*5))^2/2)+3*(((0.15*B2352*5))^3/6)+4*(((0.15*B2352*5))^4/24)+5*(((0.15*B2352*5))^5/120))/((((0.15*B2352*5))^0/1)+(((0.15*B2352*5))^1/1)+(((0.15*B2352*5))^2/2)+(((0.15*B2352*5))^3/6)+(((0.15*B2352*5))^4/24)+(((0.15*B2352*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2320*(1-MIN(100,(Inputs!$B$9+((C2340=TRUE)*(F2340-Calc!F26))+B2348+(IF(ArtifactsInput!$M$24,FALSE,TRUE)-ArtifactsInput!$M$24)*CHOOSE(ArtifactsInput!$N$24+1,10,12,14,16,18,20)+(IF(AND(Inputs!$B$39&lt;&gt;"pvp",Inputs!$B$44=0),1,IF(IF(Inputs!$B$39="pvp",15,Inputs!$B$44)-(B2359)&lt;=0,1,MAX(0,IF(Inputs!$B$39="pvp",15,Inputs!$B$44)-MAX(5,B2359))/(IF(Inputs!$B$39="pvp",15,Inputs!$B$44)-(B2359))))*IF(AND(ArtifactsInput!$M$42,((Inputs!$B$9+((C2340=TRUE)*(F2340-Calc!F26))+B2348+(IF(ArtifactsInput!$M$24,FALSE,TRUE)-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2320*(MIN(100,(Inputs!$B$9+((C2340=TRUE)*(F2340-Calc!F26))+B2348+(IF(ArtifactsInput!$M$24,FALSE,TRUE)-ArtifactsInput!$M$24)*CHOOSE(ArtifactsInput!$N$24+1,10,12,14,16,18,20)+(IF(AND(Inputs!$B$39&lt;&gt;"pvp",Inputs!$B$44=0),1,IF(IF(Inputs!$B$39="pvp",15,Inputs!$B$44)-(B2359)&lt;=0,1,MAX(0,IF(Inputs!$B$39="pvp",15,Inputs!$B$44)-MAX(5,B2359))/(IF(Inputs!$B$39="pvp",15,Inputs!$B$44)-(B2359))))*IF(AND(ArtifactsInput!$M$42,((Inputs!$B$9+((C2340=TRUE)*(F2340-Calc!F26))+B2348+(IF(ArtifactsInput!$M$24,FALSE,TRUE)-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2320*(1-MIN(100,(Inputs!$B$9+((C2340=TRUE)*(F2340-Calc!F26))+B2348+(IF(ArtifactsInput!$M$24,FALSE,TRUE)-ArtifactsInput!$M$24)*CHOOSE(ArtifactsInput!$N$24+1,10,12,14,16,18,20)+(IF(AND(Inputs!$B$39&lt;&gt;"pvp",Inputs!$B$44=0),1,IF(IF(Inputs!$B$39="pvp",15,Inputs!$B$44)-(B2359)&lt;=0,1,MAX(0,IF(Inputs!$B$39="pvp",15,Inputs!$B$44)-MAX(5,B2359))/(IF(Inputs!$B$39="pvp",15,Inputs!$B$44)-(B2359))))*IF(AND(ArtifactsInput!$M$42,((Inputs!$B$9+((C2340=TRUE)*(F2340-Calc!F26))+B2348+(IF(ArtifactsInput!$M$24,FALSE,TRUE)-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2320*(MIN(100,(Inputs!$B$9+((C2340=TRUE)*(F2340-Calc!F26))+B2348+(IF(ArtifactsInput!$M$24,FALSE,TRUE)-ArtifactsInput!$M$24)*CHOOSE(ArtifactsInput!$N$24+1,10,12,14,16,18,20)+(IF(AND(Inputs!$B$39&lt;&gt;"pvp",Inputs!$B$44=0),1,IF(IF(Inputs!$B$39="pvp",15,Inputs!$B$44)-(B2359)&lt;=0,1,MAX(0,IF(Inputs!$B$39="pvp",15,Inputs!$B$44)-MAX(5,B2359))/(IF(Inputs!$B$39="pvp",15,Inputs!$B$44)-(B2359))))*IF(AND(ArtifactsInput!$M$42,((Inputs!$B$9+((C2340=TRUE)*(F2340-Calc!F26))+B2348+(IF(ArtifactsInput!$M$24,FALSE,TRUE)-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320">
        <f>IF(C2320,(H2320*N2320*IF(AND(Inputs!$B$39&lt;&gt;"pvp",Inputs!$B$44&gt;0),((Skills!G6*((R2320-1)*IF(Skills!H6&gt;0,Skills!I6/Skills!H6,1)+IF(Skills!H6&gt;0,MIN(Skills!I6,MAX(0,MAX(0,Inputs!$B$44-B2359)-((R2320-1)*IF(Inputs!$B$39="pvp",15,MAX(0.1,Skills!D6-IF(TRUE=TRUE,Inputs!$B$32,0))))))/Skills!H6,1)))/Inputs!$B$44),G2320*Q2320))*IF(Inputs!$B$39="pvp",1,(1+(Inputs!$B$21+Skills!Q6+B2349+(IF(ArtifactsInput!$M$33,CHOOSE(ArtifactsInput!$N$33+1,30,36,42,48,54,60),0))+(IF(AND(ArtifactsInput!$M$35,Inputs!$B$4&lt;&gt;"Chapter Hunt"),CHOOSE(ArtifactsInput!$N$35+1,15,18,21,24,27,30)*(1-EXP(-(0.2*B2352)*5)),0)+IF(AND(ArtifactsInput!$M$22,Inputs!$B$4&lt;&gt;"Chapter Hunt"),CHOOSE(ArtifactsInput!$N$22+1,10,12,14,16,18,20)*((0*(((0.15*B2352*5))^0/1)+1*(((0.15*B2352*5))^1/1)+2*(((0.15*B2352*5))^2/2)+3*(((0.15*B2352*5))^3/6)+4*(((0.15*B2352*5))^4/24)+5*(((0.15*B2352*5))^5/120))/((((0.15*B2352*5))^0/1)+(((0.15*B2352*5))^1/1)+(((0.15*B2352*5))^2/2)+(((0.15*B2352*5))^3/6)+(((0.15*B2352*5))^4/24)+(((0.15*B2352*5))^5/120))),0)))/100)*(MIN(Skills!W6,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321">
      <c r="A2321">
        <f>Skills!A7</f>
        <v/>
      </c>
      <c r="B2321">
        <f>Skills!B7</f>
        <v/>
      </c>
      <c r="C2321">
        <f>Inputs!$B$3&gt;=69</f>
        <v/>
      </c>
      <c r="D2321">
        <f>IF(Skills!C7=1,60+Inputs!$B$25+Inputs!$B$29,IF(Skills!C7=2,90+Inputs!$B$26+Inputs!$B$29,IF(Skills!C7=3,120+Inputs!$B$27+Inputs!$B$29,MAX(0,(Inputs!$B$3-100)*3)+Inputs!$B$28+Inputs!$B$29)))</f>
        <v/>
      </c>
      <c r="E2321">
        <f>INDEX(FactorTable!$B$2:$Y$301, MATCH(ROUND(MIN(300,MAX(1,D2321)),0), FactorTable!$A$2:$A$301,0), Skills!M7+1)</f>
        <v/>
      </c>
      <c r="F2321">
        <f>IF(Skills!N7=TRUE,(Skills!L7/10)*(E2321/1000),Skills!L7/10)+Skills!O7</f>
        <v/>
      </c>
      <c r="G2321">
        <f>Skills!G7*IF(Skills!H7&gt;0,IF(Inputs!$B$39="pvp",MIN(Skills!I7,15),Skills!I7)/Skills!H7,1)</f>
        <v/>
      </c>
      <c r="H2321">
        <f>1-(1-Skills!J7/100)^Skills!K7</f>
        <v/>
      </c>
      <c r="I2321" t="inlineStr">
        <is>
          <t>1</t>
        </is>
      </c>
      <c r="J2321">
        <f>((Inputs!$B$6*(1+Inputs!$B$7/100))+(((Inputs!$B$12*(1+Inputs!$B$13/100))-(Inputs!$B$12*(1+Inputs!$B$13/100)))+0.25*(Inputs!$B$14-Inputs!$B$14))*(1+Inputs!$B$7/100))*(F2321/100)</f>
        <v/>
      </c>
      <c r="K2321">
        <f>J2321*(1+((Inputs!$B$12*(1+Inputs!$B$13/100))*0.01+Inputs!$B$14*0.0025)/100)*(1+Inputs!$B$15/100)*(1+Inputs!$B$16/100)*(5000/(6000+Inputs!$B$43*(1-(100*(1-(1-Inputs!$B$19/100)*(1-CHOOSE(ArtifactsInput!$N$40+1,5,6,7,8,9,10)/100)^(ArtifactsInput!$M$40-ArtifactsInput!$M$40)))/100)))*(1+(Inputs!$B$24+((C2345=TRUE)*(F2345-Calc!F31))+((C2332=TRUE)*(F2332-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2333=TRUE,F2333,0)/100)*(1+(IF(Skills!A7="CRUEL_STAB",Inputs!$B$17+((C2342=TRUE)*(F2342-Calc!F28))+((IF(AND(Inputs!$B$39&lt;&gt;"pvp",Inputs!$B$44=0),1,IF(IF(Inputs!$B$39="pvp",15,Inputs!$B$44)-(B2359)&lt;=0,1,MAX(0,IF(Inputs!$B$39="pvp",15,Inputs!$B$44)-MAX(5,B2359))/(IF(Inputs!$B$39="pvp",15,Inputs!$B$44)-(B2359))))*(IF(AND(ArtifactsInput!$M$42,((Inputs!$B$9+((C2340=TRUE)*(F2340-Calc!F26))+B2348+(IF(ArtifactsInput!$M$24,FALSE,TRUE)-ArtifactsInput!$M$24)*CHOOSE(ArtifactsInput!$N$24+1,10,12,14,16,18,20)+IF(ArtifactsInput!$M$10,CHOOSE(ArtifactsInput!$N$10+1,15,18,21,24,27,30)*(IF(Inputs!$B$39="pvp",MIN(15,15)/15,IF(AND(Inputs!$B$39&lt;&gt;"pvp",Inputs!$B$44&gt;0),MIN(15,Inputs!$B$44)/(Inputs!$B$44),0))),0)))&gt;=100),MIN(100,((Inputs!$B$9+((C2340=TRUE)*(F2340-Calc!F26))+B2348+(IF(ArtifactsInput!$M$24,FALSE,TRUE)-ArtifactsInput!$M$24)*CHOOSE(ArtifactsInput!$N$24+1,10,12,14,16,18,20)+IF(ArtifactsInput!$M$10,CHOOSE(ArtifactsInput!$N$10+1,15,18,21,24,27,30)*(IF(Inputs!$B$39="pvp",MIN(15,15)/15,IF(AND(Inputs!$B$39&lt;&gt;"pvp",Inputs!$B$44&gt;0),MIN(15,Inputs!$B$44)/(Inputs!$B$44),0))),0)))-100),0))*CHOOSE(ArtifactsInput!$N$42+1,0.6,0.72,0.84,0.96,1.08,1.2))),Inputs!$B$18+((C2343=TRUE)*(F2343-Calc!F29))+(IF(AND(Inputs!$B$39&lt;&gt;"pvp",Inputs!$B$44=0),1,IF(IF(Inputs!$B$39="pvp",15,Inputs!$B$44)-(B2359)&lt;=0,1,MAX(0,IF(Inputs!$B$39="pvp",15,Inputs!$B$44)-MAX(5,B2359))/(IF(Inputs!$B$39="pvp",15,Inputs!$B$44)-(B2359))))*IF(AND(ArtifactsInput!$M$42,((Inputs!$B$9+((C2340=TRUE)*(F2340-Calc!F26))+B2348+(IF(ArtifactsInput!$M$24,FALSE,TRUE)-ArtifactsInput!$M$24)*CHOOSE(ArtifactsInput!$N$24+1,10,12,14,16,18,20)+IF(ArtifactsInput!$M$10,CHOOSE(ArtifactsInput!$N$10+1,15,18,21,24,27,30)*(IF(Inputs!$B$39="pvp",MIN(15,15)/15,IF(AND(Inputs!$B$39&lt;&gt;"pvp",Inputs!$B$44&gt;0),MIN(15,Inputs!$B$44)/(Inputs!$B$44),0))),0)))&gt;=100),CHOOSE(ArtifactsInput!$N$42+1,40,48,56,64,72,80),0))))/100)*(((1+(((C2336=TRUE)*F2336*IF(AND(Inputs!$B$39&lt;&gt;"pvp",Inputs!$B$44&gt;0),(((R2336-1)*MIN((Skills!Y22*(1+Inputs!$B$34/100)),(1/Q2336))+MIN((Skills!Y22*(1+Inputs!$B$34/100)),MAX(0,Inputs!$B$44-((R2336-1)*(1/Q2336)))))/Inputs!$B$44),IF(Inputs!$B$39="pvp",MIN((Skills!Y22*(1+Inputs!$B$34/100)),15)/15,MIN(1,(Skills!Y22*(1+Inputs!$B$34/100))/(1/Q2336)))))+((C2317=TRUE)*F2317*3)+((C2319=TRUE)*F2319*(1-EXP(-0.75*B2352*5)))+((C2338=TRUE)*(F2338-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2325=TRUE)*F2325*IF(AND(Inputs!$B$39&lt;&gt;"pvp",Inputs!$B$44&gt;0),(((R2325-1)*MIN((Skills!Y11*(1+Inputs!$B$34/100)),(1/Q2325))+MIN((Skills!Y11*(1+Inputs!$B$34/100)),MAX(0,Inputs!$B$44-((R2325-1)*(1/Q2325)))))/Inputs!$B$44),IF(Inputs!$B$39="pvp",MIN((Skills!Y11*(1+Inputs!$B$34/100)),15)/15,MIN(1,(Skills!Y11*(1+Inputs!$B$34/100))/(1/Q2325)))))/100)*(1+((C2330=TRUE)*F2330*IF(AND(Inputs!$B$39&lt;&gt;"pvp",Inputs!$B$44&gt;0),(((R2330-1)*MIN((Skills!Y16*(1+Inputs!$B$34/100)),(1/Q2330))+MIN((Skills!Y16*(1+Inputs!$B$34/100)),MAX(0,Inputs!$B$44-((R2330-1)*(1/Q2330)))))/Inputs!$B$44),IF(Inputs!$B$39="pvp",MIN((Skills!Y16*(1+Inputs!$B$34/100)),15)/15,MIN(1,(Skills!Y16*(1+Inputs!$B$34/100))/(1/Q2330)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2350*I2321)</f>
        <v/>
      </c>
      <c r="L2321">
        <f>K2321*(MIN(Inputs!$B$22+((C2339=TRUE)*(F2339-Calc!F25)),(Inputs!$B$23+((C2344=TRUE)*(F2344-Calc!F30))+IF(ArtifactsInput!$M$15,CHOOSE(ArtifactsInput!$N$15+1,25,30,35,40,45,50)/100*(Inputs!$B$11-Inputs!$B$11),0)))/100+(Inputs!$B$23+((C2344=TRUE)*(F2344-Calc!F30))+IF(ArtifactsInput!$M$15,CHOOSE(ArtifactsInput!$N$15+1,25,30,35,40,45,50)/100*(Inputs!$B$11-Inputs!$B$11),0))/100)/2</f>
        <v/>
      </c>
      <c r="M2321">
        <f>L2321*(1+(Inputs!$B$10+((C2341=TRUE)*(F2341-Calc!F27))+B2355+((IF(IF(ArtifactsInput!$M$24,FALSE,TRUE),1,-1)*CHOOSE(ArtifactsInput!$N$24+1,30,36,42,48,54,60)/100*IF(IF(ArtifactsInput!$M$24,FALSE,TRUE),(Inputs!$B$9+((C2340=TRUE)*(F2340-Calc!F26))+B2348+(IF(ArtifactsInput!$M$24,FALSE,TRUE)-ArtifactsInput!$M$24)*CHOOSE(ArtifactsInput!$N$24+1,10,12,14,16,18,20)+IF(AND(Inputs!$B$39&lt;&gt;"pvp",Inputs!$B$44=0),1,IF(IF(Inputs!$B$39="pvp",15,Inputs!$B$44)-(B2359)&lt;=0,1,MAX(0,IF(Inputs!$B$39="pvp",15,Inputs!$B$44)-MAX(5,B2359))/(IF(Inputs!$B$39="pvp",15,Inputs!$B$44)-(B2359))))*IF(AND(ArtifactsInput!$M$42,((Inputs!$B$9+((C2340=TRUE)*(F2340-Calc!F26))+B2348+(IF(ArtifactsInput!$M$24,FALSE,TRUE)-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nputs!$B$9+Summary!$B$14+Artifacts!$B$5+Artifacts!$B$29)))+IF(ArtifactsInput!$M$10,CHOOSE(ArtifactsInput!$N$10+1,20,24,28,32,36,40)*(IF(Inputs!$B$39="pvp",MIN(15,15)/15,IF(AND(Inputs!$B$39&lt;&gt;"pvp",Inputs!$B$44&gt;0),MIN(15,Inputs!$B$44)/(Inputs!$B$44),0))),0)+IF(ArtifactsInput!$M$31,1.5*CHOOSE(ArtifactsInput!$N$31+1,20,24,28,32,36,40),0)))/100)</f>
        <v/>
      </c>
      <c r="N2321">
        <f>L2321*(1-MIN((Inputs!$B$9+((C2340=TRUE)*(F2340-Calc!F26))+B2348+(IF(ArtifactsInput!$M$24,FALSE,TRUE)-ArtifactsInput!$M$24)*CHOOSE(ArtifactsInput!$N$24+1,10,12,14,16,18,20)+(IF(AND(Inputs!$B$39&lt;&gt;"pvp",Inputs!$B$44=0),1,IF(IF(Inputs!$B$39="pvp",15,Inputs!$B$44)-(B2359)&lt;=0,1,MAX(0,IF(Inputs!$B$39="pvp",15,Inputs!$B$44)-MAX(5,B2359))/(IF(Inputs!$B$39="pvp",15,Inputs!$B$44)-(B2359))))*IF(AND(ArtifactsInput!$M$42,((Inputs!$B$9+((C2340=TRUE)*(F2340-Calc!F26))+B2348+(IF(ArtifactsInput!$M$24,FALSE,TRUE)-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2321*(MIN((Inputs!$B$9+((C2340=TRUE)*(F2340-Calc!F26))+B2348+(IF(ArtifactsInput!$M$24,FALSE,TRUE)-ArtifactsInput!$M$24)*CHOOSE(ArtifactsInput!$N$24+1,10,12,14,16,18,20)+(IF(AND(Inputs!$B$39&lt;&gt;"pvp",Inputs!$B$44=0),1,IF(IF(Inputs!$B$39="pvp",15,Inputs!$B$44)-(B2359)&lt;=0,1,MAX(0,IF(Inputs!$B$39="pvp",15,Inputs!$B$44)-MAX(5,B2359))/(IF(Inputs!$B$39="pvp",15,Inputs!$B$44)-(B2359))))*IF(AND(ArtifactsInput!$M$42,((Inputs!$B$9+((C2340=TRUE)*(F2340-Calc!F26))+B2348+(IF(ArtifactsInput!$M$24,FALSE,TRUE)-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321">
        <f>(1-Summary!$B$11)*T2321+Summary!$B$11*V2321</f>
        <v/>
      </c>
      <c r="P2321">
        <f>IF(B2360=0,0,O2321/B2360)</f>
        <v/>
      </c>
      <c r="Q2321">
        <f>IFERROR(1/IF(Inputs!$B$39="pvp",15,MAX(0.1,Skills!D7-IF(TRUE=TRUE,Inputs!$B$32,0))),0)</f>
        <v/>
      </c>
      <c r="R2321">
        <f>IF(AND(Inputs!$B$39&lt;&gt;"pvp",Inputs!$B$44&gt;0),IF(MAX(0,Inputs!$B$44-B2359)&lt;=0,0,(INT(MAX(0,Inputs!$B$44-B2359)/IF(Inputs!$B$39="pvp",15,MAX(0.1,Skills!D7-IF(TRUE=TRUE,Inputs!$B$32,0))))+1)),0)</f>
        <v/>
      </c>
      <c r="S2321">
        <f>IFERROR(O2321/N2321,0)</f>
        <v/>
      </c>
      <c r="T2321">
        <f>IF(C2321,(H2321*N2321*IF(AND(Inputs!$B$39&lt;&gt;"pvp",Inputs!$B$44&gt;0),((Skills!G7*((R2321-1)*IF(Skills!H7&gt;0,Skills!I7/Skills!H7,1)+IF(Skills!H7&gt;0,MIN(Skills!I7,MAX(0,MAX(0,Inputs!$B$44-B2359)-((R2321-1)*IF(Inputs!$B$39="pvp",15,MAX(0.1,Skills!D7-IF(TRUE=TRUE,Inputs!$B$32,0))))))/Skills!H7,1)))/Inputs!$B$44),G2321*Q2321))*IF(Inputs!$B$39="pvp",1,1+(Inputs!$B$20+0+Skills!P7+B2349+(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Hunt"),CHOOSE(ArtifactsInput!$N$35+1,15,18,21,24,27,30)*(1-EXP(-(0.2*B2352)*5)),0)+IF(AND(ArtifactsInput!$M$22,Inputs!$B$4&lt;&gt;"Chapter Hunt"),CHOOSE(ArtifactsInput!$N$22+1,10,12,14,16,18,20)*((0*(((0.15*B2352*5))^0/1)+1*(((0.15*B2352*5))^1/1)+2*(((0.15*B2352*5))^2/2)+3*(((0.15*B2352*5))^3/6)+4*(((0.15*B2352*5))^4/24)+5*(((0.15*B2352*5))^5/120))/((((0.15*B2352*5))^0/1)+(((0.15*B2352*5))^1/1)+(((0.15*B2352*5))^2/2)+(((0.15*B2352*5))^3/6)+(((0.15*B2352*5))^4/24)+(((0.15*B2352*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2321*(1-MIN(100,(Inputs!$B$9+((C2340=TRUE)*(F2340-Calc!F26))+B2348+(IF(ArtifactsInput!$M$24,FALSE,TRUE)-ArtifactsInput!$M$24)*CHOOSE(ArtifactsInput!$N$24+1,10,12,14,16,18,20)+(IF(AND(Inputs!$B$39&lt;&gt;"pvp",Inputs!$B$44=0),1,IF(IF(Inputs!$B$39="pvp",15,Inputs!$B$44)-(B2359)&lt;=0,1,MAX(0,IF(Inputs!$B$39="pvp",15,Inputs!$B$44)-MAX(5,B2359))/(IF(Inputs!$B$39="pvp",15,Inputs!$B$44)-(B2359))))*IF(AND(ArtifactsInput!$M$42,((Inputs!$B$9+((C2340=TRUE)*(F2340-Calc!F26))+B2348+(IF(ArtifactsInput!$M$24,FALSE,TRUE)-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2321*(MIN(100,(Inputs!$B$9+((C2340=TRUE)*(F2340-Calc!F26))+B2348+(IF(ArtifactsInput!$M$24,FALSE,TRUE)-ArtifactsInput!$M$24)*CHOOSE(ArtifactsInput!$N$24+1,10,12,14,16,18,20)+(IF(AND(Inputs!$B$39&lt;&gt;"pvp",Inputs!$B$44=0),1,IF(IF(Inputs!$B$39="pvp",15,Inputs!$B$44)-(B2359)&lt;=0,1,MAX(0,IF(Inputs!$B$39="pvp",15,Inputs!$B$44)-MAX(5,B2359))/(IF(Inputs!$B$39="pvp",15,Inputs!$B$44)-(B2359))))*IF(AND(ArtifactsInput!$M$42,((Inputs!$B$9+((C2340=TRUE)*(F2340-Calc!F26))+B2348+(IF(ArtifactsInput!$M$24,FALSE,TRUE)-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2321*(1-MIN(100,(Inputs!$B$9+((C2340=TRUE)*(F2340-Calc!F26))+B2348+(IF(ArtifactsInput!$M$24,FALSE,TRUE)-ArtifactsInput!$M$24)*CHOOSE(ArtifactsInput!$N$24+1,10,12,14,16,18,20)+(IF(AND(Inputs!$B$39&lt;&gt;"pvp",Inputs!$B$44=0),1,IF(IF(Inputs!$B$39="pvp",15,Inputs!$B$44)-(B2359)&lt;=0,1,MAX(0,IF(Inputs!$B$39="pvp",15,Inputs!$B$44)-MAX(5,B2359))/(IF(Inputs!$B$39="pvp",15,Inputs!$B$44)-(B2359))))*IF(AND(ArtifactsInput!$M$42,((Inputs!$B$9+((C2340=TRUE)*(F2340-Calc!F26))+B2348+(IF(ArtifactsInput!$M$24,FALSE,TRUE)-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2321*(MIN(100,(Inputs!$B$9+((C2340=TRUE)*(F2340-Calc!F26))+B2348+(IF(ArtifactsInput!$M$24,FALSE,TRUE)-ArtifactsInput!$M$24)*CHOOSE(ArtifactsInput!$N$24+1,10,12,14,16,18,20)+(IF(AND(Inputs!$B$39&lt;&gt;"pvp",Inputs!$B$44=0),1,IF(IF(Inputs!$B$39="pvp",15,Inputs!$B$44)-(B2359)&lt;=0,1,MAX(0,IF(Inputs!$B$39="pvp",15,Inputs!$B$44)-MAX(5,B2359))/(IF(Inputs!$B$39="pvp",15,Inputs!$B$44)-(B2359))))*IF(AND(ArtifactsInput!$M$42,((Inputs!$B$9+((C2340=TRUE)*(F2340-Calc!F26))+B2348+(IF(ArtifactsInput!$M$24,FALSE,TRUE)-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321">
        <f>IF(C2321,(H2321*N2321*IF(AND(Inputs!$B$39&lt;&gt;"pvp",Inputs!$B$44&gt;0),((Skills!G7*((R2321-1)*IF(Skills!H7&gt;0,Skills!I7/Skills!H7,1)+IF(Skills!H7&gt;0,MIN(Skills!I7,MAX(0,MAX(0,Inputs!$B$44-B2359)-((R2321-1)*IF(Inputs!$B$39="pvp",15,MAX(0.1,Skills!D7-IF(TRUE=TRUE,Inputs!$B$32,0))))))/Skills!H7,1)))/Inputs!$B$44),G2321*Q2321))*IF(Inputs!$B$39="pvp",1,(1+(Inputs!$B$21+Skills!Q7+B2349+(IF(ArtifactsInput!$M$33,CHOOSE(ArtifactsInput!$N$33+1,30,36,42,48,54,60),0))+(IF(AND(ArtifactsInput!$M$35,Inputs!$B$4&lt;&gt;"Chapter Hunt"),CHOOSE(ArtifactsInput!$N$35+1,15,18,21,24,27,30)*(1-EXP(-(0.2*B2352)*5)),0)+IF(AND(ArtifactsInput!$M$22,Inputs!$B$4&lt;&gt;"Chapter Hunt"),CHOOSE(ArtifactsInput!$N$22+1,10,12,14,16,18,20)*((0*(((0.15*B2352*5))^0/1)+1*(((0.15*B2352*5))^1/1)+2*(((0.15*B2352*5))^2/2)+3*(((0.15*B2352*5))^3/6)+4*(((0.15*B2352*5))^4/24)+5*(((0.15*B2352*5))^5/120))/((((0.15*B2352*5))^0/1)+(((0.15*B2352*5))^1/1)+(((0.15*B2352*5))^2/2)+(((0.15*B2352*5))^3/6)+(((0.15*B2352*5))^4/24)+(((0.15*B2352*5))^5/120))),0)))/100)*(MIN(Skills!W7,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322">
      <c r="A2322">
        <f>Skills!A8</f>
        <v/>
      </c>
      <c r="B2322">
        <f>Skills!B8</f>
        <v/>
      </c>
      <c r="C2322">
        <f>Inputs!$B$3&gt;=60</f>
        <v/>
      </c>
      <c r="D2322">
        <f>IF(Skills!C8=1,60+Inputs!$B$25+Inputs!$B$29,IF(Skills!C8=2,90+Inputs!$B$26+Inputs!$B$29,IF(Skills!C8=3,120+Inputs!$B$27+Inputs!$B$29,MAX(0,(Inputs!$B$3-100)*3)+Inputs!$B$28+Inputs!$B$29)))</f>
        <v/>
      </c>
      <c r="E2322">
        <f>INDEX(FactorTable!$B$2:$Y$301, MATCH(ROUND(MIN(300,MAX(1,D2322)),0), FactorTable!$A$2:$A$301,0), Skills!M8+1)</f>
        <v/>
      </c>
      <c r="F2322">
        <f>IF(Skills!N8=TRUE,(Skills!L8/10)*(E2322/1000),Skills!L8/10)+Skills!O8</f>
        <v/>
      </c>
      <c r="G2322">
        <f>Skills!G8*IF(Skills!H8&gt;0,IF(Inputs!$B$39="pvp",MIN(Skills!I8,15),Skills!I8)/Skills!H8,1)</f>
        <v/>
      </c>
      <c r="H2322">
        <f>1-(1-Skills!J8/100)^Skills!K8</f>
        <v/>
      </c>
      <c r="I2322" t="inlineStr">
        <is>
          <t>1</t>
        </is>
      </c>
      <c r="J2322" t="inlineStr"/>
      <c r="K2322" t="inlineStr"/>
      <c r="L2322" t="inlineStr"/>
      <c r="M2322" t="inlineStr"/>
      <c r="N2322" t="inlineStr"/>
      <c r="O2322">
        <f>(1-Summary!$B$11)*T2322+Summary!$B$11*V2322</f>
        <v/>
      </c>
      <c r="P2322">
        <f>IF(B2360=0,0,O2322/B2360)</f>
        <v/>
      </c>
      <c r="Q2322" t="n">
        <v>0</v>
      </c>
      <c r="R2322" t="n">
        <v>0</v>
      </c>
      <c r="S2322">
        <f>IFERROR(O2322/N2322,0)</f>
        <v/>
      </c>
      <c r="T2322" t="n">
        <v>0</v>
      </c>
      <c r="V2322" t="n">
        <v>0</v>
      </c>
    </row>
    <row r="2323">
      <c r="A2323">
        <f>Skills!A9</f>
        <v/>
      </c>
      <c r="B2323">
        <f>Skills!B9</f>
        <v/>
      </c>
      <c r="C2323">
        <f>Inputs!$B$3&gt;=72</f>
        <v/>
      </c>
      <c r="D2323">
        <f>IF(Skills!C9=1,60+Inputs!$B$25+Inputs!$B$29,IF(Skills!C9=2,90+Inputs!$B$26+Inputs!$B$29,IF(Skills!C9=3,120+Inputs!$B$27+Inputs!$B$29,MAX(0,(Inputs!$B$3-100)*3)+Inputs!$B$28+Inputs!$B$29)))</f>
        <v/>
      </c>
      <c r="E2323">
        <f>INDEX(FactorTable!$B$2:$Y$301, MATCH(ROUND(MIN(300,MAX(1,D2323)),0), FactorTable!$A$2:$A$301,0), Skills!M9+1)</f>
        <v/>
      </c>
      <c r="F2323">
        <f>IF(Skills!N9=TRUE,(Skills!L9/10)*(E2323/1000),Skills!L9/10)+Skills!O9</f>
        <v/>
      </c>
      <c r="G2323">
        <f>Skills!G9*IF(Skills!H9&gt;0,IF(Inputs!$B$39="pvp",MIN(Skills!I9,15),Skills!I9)/Skills!H9,1)</f>
        <v/>
      </c>
      <c r="H2323">
        <f>1-(1-Skills!J9/100)^Skills!K9</f>
        <v/>
      </c>
      <c r="I2323" t="inlineStr">
        <is>
          <t>1</t>
        </is>
      </c>
      <c r="J2323">
        <f>((Inputs!$B$6*(1+Inputs!$B$7/100))+(((Inputs!$B$12*(1+Inputs!$B$13/100))-(Inputs!$B$12*(1+Inputs!$B$13/100)))+0.25*(Inputs!$B$14-Inputs!$B$14))*(1+Inputs!$B$7/100))*(F2323/100)</f>
        <v/>
      </c>
      <c r="K2323">
        <f>J2323*(1+((Inputs!$B$12*(1+Inputs!$B$13/100))*0.01+Inputs!$B$14*0.0025)/100)*(1+Inputs!$B$15/100)*(1+Inputs!$B$16/100)*(5000/(6000+Inputs!$B$43*(1-(100*(1-(1-Inputs!$B$19/100)*(1-CHOOSE(ArtifactsInput!$N$40+1,5,6,7,8,9,10)/100)^(ArtifactsInput!$M$40-ArtifactsInput!$M$40)))/100)))*(1+(Inputs!$B$24+((C2345=TRUE)*(F2345-Calc!F31))+((C2332=TRUE)*(F2332-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+3.3333333333333335*IF(C2333=TRUE,F2333,0)/100)*(1+(IF(Skills!A9="CRUEL_STAB",Inputs!$B$17+((C2342=TRUE)*(F2342-Calc!F28))+((IF(AND(Inputs!$B$39&lt;&gt;"pvp",Inputs!$B$44=0),1,IF(IF(Inputs!$B$39="pvp",15,Inputs!$B$44)-(B2359)&lt;=0,1,MAX(0,IF(Inputs!$B$39="pvp",15,Inputs!$B$44)-MAX(5,B2359))/(IF(Inputs!$B$39="pvp",15,Inputs!$B$44)-(B2359))))*(IF(AND(ArtifactsInput!$M$42,((Inputs!$B$9+((C2340=TRUE)*(F2340-Calc!F26))+B2348+(IF(ArtifactsInput!$M$24,FALSE,TRUE)-ArtifactsInput!$M$24)*CHOOSE(ArtifactsInput!$N$24+1,10,12,14,16,18,20)+IF(ArtifactsInput!$M$10,CHOOSE(ArtifactsInput!$N$10+1,15,18,21,24,27,30)*(IF(Inputs!$B$39="pvp",MIN(15,15)/15,IF(AND(Inputs!$B$39&lt;&gt;"pvp",Inputs!$B$44&gt;0),MIN(15,Inputs!$B$44)/(Inputs!$B$44),0))),0)))&gt;=100),MIN(100,((Inputs!$B$9+((C2340=TRUE)*(F2340-Calc!F26))+B2348+(IF(ArtifactsInput!$M$24,FALSE,TRUE)-ArtifactsInput!$M$24)*CHOOSE(ArtifactsInput!$N$24+1,10,12,14,16,18,20)+IF(ArtifactsInput!$M$10,CHOOSE(ArtifactsInput!$N$10+1,15,18,21,24,27,30)*(IF(Inputs!$B$39="pvp",MIN(15,15)/15,IF(AND(Inputs!$B$39&lt;&gt;"pvp",Inputs!$B$44&gt;0),MIN(15,Inputs!$B$44)/(Inputs!$B$44),0))),0)))-100),0))*CHOOSE(ArtifactsInput!$N$42+1,0.6,0.72,0.84,0.96,1.08,1.2))),Inputs!$B$18+((C2343=TRUE)*(F2343-Calc!F29))+(IF(AND(Inputs!$B$39&lt;&gt;"pvp",Inputs!$B$44=0),1,IF(IF(Inputs!$B$39="pvp",15,Inputs!$B$44)-(B2359)&lt;=0,1,MAX(0,IF(Inputs!$B$39="pvp",15,Inputs!$B$44)-MAX(5,B2359))/(IF(Inputs!$B$39="pvp",15,Inputs!$B$44)-(B2359))))*IF(AND(ArtifactsInput!$M$42,((Inputs!$B$9+((C2340=TRUE)*(F2340-Calc!F26))+B2348+(IF(ArtifactsInput!$M$24,FALSE,TRUE)-ArtifactsInput!$M$24)*CHOOSE(ArtifactsInput!$N$24+1,10,12,14,16,18,20)+IF(ArtifactsInput!$M$10,CHOOSE(ArtifactsInput!$N$10+1,15,18,21,24,27,30)*(IF(Inputs!$B$39="pvp",MIN(15,15)/15,IF(AND(Inputs!$B$39&lt;&gt;"pvp",Inputs!$B$44&gt;0),MIN(15,Inputs!$B$44)/(Inputs!$B$44),0))),0)))&gt;=100),CHOOSE(ArtifactsInput!$N$42+1,40,48,56,64,72,80),0))))/100)*(((1+(((C2336=TRUE)*F2336*IF(AND(Inputs!$B$39&lt;&gt;"pvp",Inputs!$B$44&gt;0),(((R2336-1)*MIN((Skills!Y22*(1+Inputs!$B$34/100)),(1/Q2336))+MIN((Skills!Y22*(1+Inputs!$B$34/100)),MAX(0,Inputs!$B$44-((R2336-1)*(1/Q2336)))))/Inputs!$B$44),IF(Inputs!$B$39="pvp",MIN((Skills!Y22*(1+Inputs!$B$34/100)),15)/15,MIN(1,(Skills!Y22*(1+Inputs!$B$34/100))/(1/Q2336)))))+((C2317=TRUE)*F2317*3)+((C2319=TRUE)*F2319*(1-EXP(-0.75*B2352*5)))+((C2338=TRUE)*(F2338-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2325=TRUE)*F2325*IF(AND(Inputs!$B$39&lt;&gt;"pvp",Inputs!$B$44&gt;0),(((R2325-1)*MIN((Skills!Y11*(1+Inputs!$B$34/100)),(1/Q2325))+MIN((Skills!Y11*(1+Inputs!$B$34/100)),MAX(0,Inputs!$B$44-((R2325-1)*(1/Q2325)))))/Inputs!$B$44),IF(Inputs!$B$39="pvp",MIN((Skills!Y11*(1+Inputs!$B$34/100)),15)/15,MIN(1,(Skills!Y11*(1+Inputs!$B$34/100))/(1/Q2325)))))/100)*(1+((C2330=TRUE)*F2330*IF(AND(Inputs!$B$39&lt;&gt;"pvp",Inputs!$B$44&gt;0),(((R2330-1)*MIN((Skills!Y16*(1+Inputs!$B$34/100)),(1/Q2330))+MIN((Skills!Y16*(1+Inputs!$B$34/100)),MAX(0,Inputs!$B$44-((R2330-1)*(1/Q2330)))))/Inputs!$B$44),IF(Inputs!$B$39="pvp",MIN((Skills!Y16*(1+Inputs!$B$34/100)),15)/15,MIN(1,(Skills!Y16*(1+Inputs!$B$34/100))/(1/Q2330)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2350*I2323)</f>
        <v/>
      </c>
      <c r="L2323">
        <f>K2323*(MIN(Inputs!$B$22+((C2339=TRUE)*(F2339-Calc!F25)),(Inputs!$B$23+((C2344=TRUE)*(F2344-Calc!F30))+IF(ArtifactsInput!$M$15,CHOOSE(ArtifactsInput!$N$15+1,25,30,35,40,45,50)/100*(Inputs!$B$11-Inputs!$B$11),0)))/100+(Inputs!$B$23+((C2344=TRUE)*(F2344-Calc!F30))+IF(ArtifactsInput!$M$15,CHOOSE(ArtifactsInput!$N$15+1,25,30,35,40,45,50)/100*(Inputs!$B$11-Inputs!$B$11),0))/100)/2</f>
        <v/>
      </c>
      <c r="M2323">
        <f>L2323*(1+(Inputs!$B$10+((C2341=TRUE)*(F2341-Calc!F27))+B2355+((IF(IF(ArtifactsInput!$M$24,FALSE,TRUE),1,-1)*CHOOSE(ArtifactsInput!$N$24+1,30,36,42,48,54,60)/100*IF(IF(ArtifactsInput!$M$24,FALSE,TRUE),(Inputs!$B$9+((C2340=TRUE)*(F2340-Calc!F26))+B2348+(IF(ArtifactsInput!$M$24,FALSE,TRUE)-ArtifactsInput!$M$24)*CHOOSE(ArtifactsInput!$N$24+1,10,12,14,16,18,20)+IF(AND(Inputs!$B$39&lt;&gt;"pvp",Inputs!$B$44=0),1,IF(IF(Inputs!$B$39="pvp",15,Inputs!$B$44)-(B2359)&lt;=0,1,MAX(0,IF(Inputs!$B$39="pvp",15,Inputs!$B$44)-MAX(5,B2359))/(IF(Inputs!$B$39="pvp",15,Inputs!$B$44)-(B2359))))*IF(AND(ArtifactsInput!$M$42,((Inputs!$B$9+((C2340=TRUE)*(F2340-Calc!F26))+B2348+(IF(ArtifactsInput!$M$24,FALSE,TRUE)-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nputs!$B$9+Summary!$B$14+Artifacts!$B$5+Artifacts!$B$29)))+IF(ArtifactsInput!$M$10,CHOOSE(ArtifactsInput!$N$10+1,20,24,28,32,36,40)*(IF(Inputs!$B$39="pvp",MIN(15,15)/15,IF(AND(Inputs!$B$39&lt;&gt;"pvp",Inputs!$B$44&gt;0),MIN(15,Inputs!$B$44)/(Inputs!$B$44),0))),0)+IF(ArtifactsInput!$M$31,1.5*CHOOSE(ArtifactsInput!$N$31+1,20,24,28,32,36,40),0)))/100)</f>
        <v/>
      </c>
      <c r="N2323">
        <f>L2323*(1-MIN((Inputs!$B$9+((C2340=TRUE)*(F2340-Calc!F26))+B2348+(IF(ArtifactsInput!$M$24,FALSE,TRUE)-ArtifactsInput!$M$24)*CHOOSE(ArtifactsInput!$N$24+1,10,12,14,16,18,20)+(IF(AND(Inputs!$B$39&lt;&gt;"pvp",Inputs!$B$44=0),1,IF(IF(Inputs!$B$39="pvp",15,Inputs!$B$44)-(B2359)&lt;=0,1,MAX(0,IF(Inputs!$B$39="pvp",15,Inputs!$B$44)-MAX(5,B2359))/(IF(Inputs!$B$39="pvp",15,Inputs!$B$44)-(B2359))))*IF(AND(ArtifactsInput!$M$42,((Inputs!$B$9+((C2340=TRUE)*(F2340-Calc!F26))+B2348+(IF(ArtifactsInput!$M$24,FALSE,TRUE)-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2323*(MIN((Inputs!$B$9+((C2340=TRUE)*(F2340-Calc!F26))+B2348+(IF(ArtifactsInput!$M$24,FALSE,TRUE)-ArtifactsInput!$M$24)*CHOOSE(ArtifactsInput!$N$24+1,10,12,14,16,18,20)+(IF(AND(Inputs!$B$39&lt;&gt;"pvp",Inputs!$B$44=0),1,IF(IF(Inputs!$B$39="pvp",15,Inputs!$B$44)-(B2359)&lt;=0,1,MAX(0,IF(Inputs!$B$39="pvp",15,Inputs!$B$44)-MAX(5,B2359))/(IF(Inputs!$B$39="pvp",15,Inputs!$B$44)-(B2359))))*IF(AND(ArtifactsInput!$M$42,((Inputs!$B$9+((C2340=TRUE)*(F2340-Calc!F26))+B2348+(IF(ArtifactsInput!$M$24,FALSE,TRUE)-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323">
        <f>(1-Summary!$B$11)*T2323+Summary!$B$11*V2323</f>
        <v/>
      </c>
      <c r="P2323">
        <f>IF(B2360=0,0,O2323/B2360)</f>
        <v/>
      </c>
      <c r="Q2323">
        <f>IFERROR(1/IF(Inputs!$B$39="pvp",15,MAX(0.1,Skills!D9-IF(FALSE=TRUE,Inputs!$B$32,0))),0)</f>
        <v/>
      </c>
      <c r="R2323">
        <f>IF(AND(Inputs!$B$39&lt;&gt;"pvp",Inputs!$B$44&gt;0),IF(MAX(0,Inputs!$B$44-B2359)&lt;=0,0,(INT(MAX(0,Inputs!$B$44-B2359)/IF(Inputs!$B$39="pvp",15,MAX(0.1,Skills!D9-IF(FALSE=TRUE,Inputs!$B$32,0))))+1)),0)</f>
        <v/>
      </c>
      <c r="S2323">
        <f>IFERROR(O2323/N2323,0)</f>
        <v/>
      </c>
      <c r="T2323">
        <f>IF(C2323,(H2323*N2323*IF(AND(Inputs!$B$39&lt;&gt;"pvp",Inputs!$B$44&gt;0),((Skills!G9*((R2323-1)*IF(Skills!H9&gt;0,Skills!I9/Skills!H9,1)+IF(Skills!H9&gt;0,MIN(Skills!I9,MAX(0,MAX(0,Inputs!$B$44-B2359)-((R2323-1)*IF(Inputs!$B$39="pvp",15,MAX(0.1,Skills!D9-IF(FALSE=TRUE,Inputs!$B$32,0))))))/Skills!H9,1)))/Inputs!$B$44),G2323*Q2323))*IF(Inputs!$B$39="pvp",1,1+(Inputs!$B$20+0+Skills!P9+B2349+(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Hunt"),CHOOSE(ArtifactsInput!$N$35+1,15,18,21,24,27,30)*(1-EXP(-(0.2*B2352)*5)),0)+IF(AND(ArtifactsInput!$M$22,Inputs!$B$4&lt;&gt;"Chapter Hunt"),CHOOSE(ArtifactsInput!$N$22+1,10,12,14,16,18,20)*((0*(((0.15*B2352*5))^0/1)+1*(((0.15*B2352*5))^1/1)+2*(((0.15*B2352*5))^2/2)+3*(((0.15*B2352*5))^3/6)+4*(((0.15*B2352*5))^4/24)+5*(((0.15*B2352*5))^5/120))/((((0.15*B2352*5))^0/1)+(((0.15*B2352*5))^1/1)+(((0.15*B2352*5))^2/2)+(((0.15*B2352*5))^3/6)+(((0.15*B2352*5))^4/24)+(((0.15*B2352*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2323*(1-MIN(100,(Inputs!$B$9+((C2340=TRUE)*(F2340-Calc!F26))+B2348+(IF(ArtifactsInput!$M$24,FALSE,TRUE)-ArtifactsInput!$M$24)*CHOOSE(ArtifactsInput!$N$24+1,10,12,14,16,18,20)+(IF(AND(Inputs!$B$39&lt;&gt;"pvp",Inputs!$B$44=0),1,IF(IF(Inputs!$B$39="pvp",15,Inputs!$B$44)-(B2359)&lt;=0,1,MAX(0,IF(Inputs!$B$39="pvp",15,Inputs!$B$44)-MAX(5,B2359))/(IF(Inputs!$B$39="pvp",15,Inputs!$B$44)-(B2359))))*IF(AND(ArtifactsInput!$M$42,((Inputs!$B$9+((C2340=TRUE)*(F2340-Calc!F26))+B2348+(IF(ArtifactsInput!$M$24,FALSE,TRUE)-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2323*(MIN(100,(Inputs!$B$9+((C2340=TRUE)*(F2340-Calc!F26))+B2348+(IF(ArtifactsInput!$M$24,FALSE,TRUE)-ArtifactsInput!$M$24)*CHOOSE(ArtifactsInput!$N$24+1,10,12,14,16,18,20)+(IF(AND(Inputs!$B$39&lt;&gt;"pvp",Inputs!$B$44=0),1,IF(IF(Inputs!$B$39="pvp",15,Inputs!$B$44)-(B2359)&lt;=0,1,MAX(0,IF(Inputs!$B$39="pvp",15,Inputs!$B$44)-MAX(5,B2359))/(IF(Inputs!$B$39="pvp",15,Inputs!$B$44)-(B2359))))*IF(AND(ArtifactsInput!$M$42,((Inputs!$B$9+((C2340=TRUE)*(F2340-Calc!F26))+B2348+(IF(ArtifactsInput!$M$24,FALSE,TRUE)-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2323*(1-MIN(100,(Inputs!$B$9+((C2340=TRUE)*(F2340-Calc!F26))+B2348+(IF(ArtifactsInput!$M$24,FALSE,TRUE)-ArtifactsInput!$M$24)*CHOOSE(ArtifactsInput!$N$24+1,10,12,14,16,18,20)+(IF(AND(Inputs!$B$39&lt;&gt;"pvp",Inputs!$B$44=0),1,IF(IF(Inputs!$B$39="pvp",15,Inputs!$B$44)-(B2359)&lt;=0,1,MAX(0,IF(Inputs!$B$39="pvp",15,Inputs!$B$44)-MAX(5,B2359))/(IF(Inputs!$B$39="pvp",15,Inputs!$B$44)-(B2359))))*IF(AND(ArtifactsInput!$M$42,((Inputs!$B$9+((C2340=TRUE)*(F2340-Calc!F26))+B2348+(IF(ArtifactsInput!$M$24,FALSE,TRUE)-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2323*(MIN(100,(Inputs!$B$9+((C2340=TRUE)*(F2340-Calc!F26))+B2348+(IF(ArtifactsInput!$M$24,FALSE,TRUE)-ArtifactsInput!$M$24)*CHOOSE(ArtifactsInput!$N$24+1,10,12,14,16,18,20)+(IF(AND(Inputs!$B$39&lt;&gt;"pvp",Inputs!$B$44=0),1,IF(IF(Inputs!$B$39="pvp",15,Inputs!$B$44)-(B2359)&lt;=0,1,MAX(0,IF(Inputs!$B$39="pvp",15,Inputs!$B$44)-MAX(5,B2359))/(IF(Inputs!$B$39="pvp",15,Inputs!$B$44)-(B2359))))*IF(AND(ArtifactsInput!$M$42,((Inputs!$B$9+((C2340=TRUE)*(F2340-Calc!F26))+B2348+(IF(ArtifactsInput!$M$24,FALSE,TRUE)-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323">
        <f>IF(C2323,(H2323*N2323*IF(AND(Inputs!$B$39&lt;&gt;"pvp",Inputs!$B$44&gt;0),((Skills!G9*((R2323-1)*IF(Skills!H9&gt;0,Skills!I9/Skills!H9,1)+IF(Skills!H9&gt;0,MIN(Skills!I9,MAX(0,MAX(0,Inputs!$B$44-B2359)-((R2323-1)*IF(Inputs!$B$39="pvp",15,MAX(0.1,Skills!D9-IF(FALSE=TRUE,Inputs!$B$32,0))))))/Skills!H9,1)))/Inputs!$B$44),G2323*Q2323))*IF(Inputs!$B$39="pvp",1,(1+(Inputs!$B$21+Skills!Q9+B2349+(IF(ArtifactsInput!$M$33,CHOOSE(ArtifactsInput!$N$33+1,30,36,42,48,54,60),0))+(IF(AND(ArtifactsInput!$M$35,Inputs!$B$4&lt;&gt;"Chapter Hunt"),CHOOSE(ArtifactsInput!$N$35+1,15,18,21,24,27,30)*(1-EXP(-(0.2*B2352)*5)),0)+IF(AND(ArtifactsInput!$M$22,Inputs!$B$4&lt;&gt;"Chapter Hunt"),CHOOSE(ArtifactsInput!$N$22+1,10,12,14,16,18,20)*((0*(((0.15*B2352*5))^0/1)+1*(((0.15*B2352*5))^1/1)+2*(((0.15*B2352*5))^2/2)+3*(((0.15*B2352*5))^3/6)+4*(((0.15*B2352*5))^4/24)+5*(((0.15*B2352*5))^5/120))/((((0.15*B2352*5))^0/1)+(((0.15*B2352*5))^1/1)+(((0.15*B2352*5))^2/2)+(((0.15*B2352*5))^3/6)+(((0.15*B2352*5))^4/24)+(((0.15*B2352*5))^5/120))),0)))/100)*(MIN(Skills!W9,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324">
      <c r="A2324">
        <f>Skills!A10</f>
        <v/>
      </c>
      <c r="B2324">
        <f>Skills!B10</f>
        <v/>
      </c>
      <c r="C2324">
        <f>Inputs!$B$3&gt;=117</f>
        <v/>
      </c>
      <c r="D2324">
        <f>IF(Skills!C10=1,60+Inputs!$B$25+Inputs!$B$29,IF(Skills!C10=2,90+Inputs!$B$26+Inputs!$B$29,IF(Skills!C10=3,120+Inputs!$B$27+Inputs!$B$29,MAX(0,(Inputs!$B$3-100)*3)+Inputs!$B$28+Inputs!$B$29)))</f>
        <v/>
      </c>
      <c r="E2324">
        <f>INDEX(FactorTable!$B$2:$Y$301, MATCH(ROUND(MIN(300,MAX(1,D2324)),0), FactorTable!$A$2:$A$301,0), Skills!M10+1)</f>
        <v/>
      </c>
      <c r="F2324">
        <f>IF(Skills!N10=TRUE,(Skills!L10/10)*(E2324/1000),Skills!L10/10)+Skills!O10</f>
        <v/>
      </c>
      <c r="G2324">
        <f>Skills!G10*IF(Skills!H10&gt;0,IF(Inputs!$B$39="pvp",MIN(Skills!I10,15),Skills!I10)/Skills!H10,1)</f>
        <v/>
      </c>
      <c r="H2324">
        <f>1-(1-Skills!J10/100)^Skills!K10</f>
        <v/>
      </c>
      <c r="I2324" t="inlineStr">
        <is>
          <t>1</t>
        </is>
      </c>
      <c r="J2324">
        <f>((Inputs!$B$6*(1+Inputs!$B$7/100))+(((Inputs!$B$12*(1+Inputs!$B$13/100))-(Inputs!$B$12*(1+Inputs!$B$13/100)))+0.25*(Inputs!$B$14-Inputs!$B$14))*(1+Inputs!$B$7/100))*(F2324/100)</f>
        <v/>
      </c>
      <c r="K2324">
        <f>J2324*(1+((Inputs!$B$12*(1+Inputs!$B$13/100))*0.01+Inputs!$B$14*0.0025)/100)*(1+Inputs!$B$15/100)*(1+Inputs!$B$16/100)*(5000/(6000+Inputs!$B$43*(1-(100*(1-(1-Inputs!$B$19/100)*(1-CHOOSE(ArtifactsInput!$N$40+1,5,6,7,8,9,10)/100)^(ArtifactsInput!$M$40-ArtifactsInput!$M$40)))/100)))*(1+(Inputs!$B$24+((C2345=TRUE)*(F2345-Calc!F31))+((C2332=TRUE)*(F2332-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10="CRUEL_STAB",Inputs!$B$17+((C2342=TRUE)*(F2342-Calc!F28))+((IF(AND(Inputs!$B$39&lt;&gt;"pvp",Inputs!$B$44=0),1,IF(IF(Inputs!$B$39="pvp",15,Inputs!$B$44)-(B2359)&lt;=0,1,MAX(0,IF(Inputs!$B$39="pvp",15,Inputs!$B$44)-MAX(5,B2359))/(IF(Inputs!$B$39="pvp",15,Inputs!$B$44)-(B2359))))*(IF(AND(ArtifactsInput!$M$42,((Inputs!$B$9+((C2340=TRUE)*(F2340-Calc!F26))+B2348+(IF(ArtifactsInput!$M$24,FALSE,TRUE)-ArtifactsInput!$M$24)*CHOOSE(ArtifactsInput!$N$24+1,10,12,14,16,18,20)+IF(ArtifactsInput!$M$10,CHOOSE(ArtifactsInput!$N$10+1,15,18,21,24,27,30)*(IF(Inputs!$B$39="pvp",MIN(15,15)/15,IF(AND(Inputs!$B$39&lt;&gt;"pvp",Inputs!$B$44&gt;0),MIN(15,Inputs!$B$44)/(Inputs!$B$44),0))),0)))&gt;=100),MIN(100,((Inputs!$B$9+((C2340=TRUE)*(F2340-Calc!F26))+B2348+(IF(ArtifactsInput!$M$24,FALSE,TRUE)-ArtifactsInput!$M$24)*CHOOSE(ArtifactsInput!$N$24+1,10,12,14,16,18,20)+IF(ArtifactsInput!$M$10,CHOOSE(ArtifactsInput!$N$10+1,15,18,21,24,27,30)*(IF(Inputs!$B$39="pvp",MIN(15,15)/15,IF(AND(Inputs!$B$39&lt;&gt;"pvp",Inputs!$B$44&gt;0),MIN(15,Inputs!$B$44)/(Inputs!$B$44),0))),0)))-100),0))*CHOOSE(ArtifactsInput!$N$42+1,0.6,0.72,0.84,0.96,1.08,1.2))),Inputs!$B$18+((C2343=TRUE)*(F2343-Calc!F29))+(IF(AND(Inputs!$B$39&lt;&gt;"pvp",Inputs!$B$44=0),1,IF(IF(Inputs!$B$39="pvp",15,Inputs!$B$44)-(B2359)&lt;=0,1,MAX(0,IF(Inputs!$B$39="pvp",15,Inputs!$B$44)-MAX(5,B2359))/(IF(Inputs!$B$39="pvp",15,Inputs!$B$44)-(B2359))))*IF(AND(ArtifactsInput!$M$42,((Inputs!$B$9+((C2340=TRUE)*(F2340-Calc!F26))+B2348+(IF(ArtifactsInput!$M$24,FALSE,TRUE)-ArtifactsInput!$M$24)*CHOOSE(ArtifactsInput!$N$24+1,10,12,14,16,18,20)+IF(ArtifactsInput!$M$10,CHOOSE(ArtifactsInput!$N$10+1,15,18,21,24,27,30)*(IF(Inputs!$B$39="pvp",MIN(15,15)/15,IF(AND(Inputs!$B$39&lt;&gt;"pvp",Inputs!$B$44&gt;0),MIN(15,Inputs!$B$44)/(Inputs!$B$44),0))),0)))&gt;=100),CHOOSE(ArtifactsInput!$N$42+1,40,48,56,64,72,80),0))))/100)*(((1+(((C2336=TRUE)*F2336*IF(AND(Inputs!$B$39&lt;&gt;"pvp",Inputs!$B$44&gt;0),(((R2336-1)*MIN((Skills!Y22*(1+Inputs!$B$34/100)),(1/Q2336))+MIN((Skills!Y22*(1+Inputs!$B$34/100)),MAX(0,Inputs!$B$44-((R2336-1)*(1/Q2336)))))/Inputs!$B$44),IF(Inputs!$B$39="pvp",MIN((Skills!Y22*(1+Inputs!$B$34/100)),15)/15,MIN(1,(Skills!Y22*(1+Inputs!$B$34/100))/(1/Q2336)))))+((C2317=TRUE)*F2317*3)+((C2319=TRUE)*F2319*(1-EXP(-0.75*B2352*5)))+((C2338=TRUE)*(F2338-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2325=TRUE)*F2325*IF(AND(Inputs!$B$39&lt;&gt;"pvp",Inputs!$B$44&gt;0),(((R2325-1)*MIN((Skills!Y11*(1+Inputs!$B$34/100)),(1/Q2325))+MIN((Skills!Y11*(1+Inputs!$B$34/100)),MAX(0,Inputs!$B$44-((R2325-1)*(1/Q2325)))))/Inputs!$B$44),IF(Inputs!$B$39="pvp",MIN((Skills!Y11*(1+Inputs!$B$34/100)),15)/15,MIN(1,(Skills!Y11*(1+Inputs!$B$34/100))/(1/Q2325)))))/100)*(1+((C2330=TRUE)*F2330*IF(AND(Inputs!$B$39&lt;&gt;"pvp",Inputs!$B$44&gt;0),(((R2330-1)*MIN((Skills!Y16*(1+Inputs!$B$34/100)),(1/Q2330))+MIN((Skills!Y16*(1+Inputs!$B$34/100)),MAX(0,Inputs!$B$44-((R2330-1)*(1/Q2330)))))/Inputs!$B$44),IF(Inputs!$B$39="pvp",MIN((Skills!Y16*(1+Inputs!$B$34/100)),15)/15,MIN(1,(Skills!Y16*(1+Inputs!$B$34/100))/(1/Q2330)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2350*I2324)</f>
        <v/>
      </c>
      <c r="L2324">
        <f>K2324*(MIN(Inputs!$B$22+((C2339=TRUE)*(F2339-Calc!F25)),(Inputs!$B$23+((C2344=TRUE)*(F2344-Calc!F30))+IF(ArtifactsInput!$M$15,CHOOSE(ArtifactsInput!$N$15+1,25,30,35,40,45,50)/100*(Inputs!$B$11-Inputs!$B$11),0)))/100+(Inputs!$B$23+((C2344=TRUE)*(F2344-Calc!F30))+IF(ArtifactsInput!$M$15,CHOOSE(ArtifactsInput!$N$15+1,25,30,35,40,45,50)/100*(Inputs!$B$11-Inputs!$B$11),0))/100)/2</f>
        <v/>
      </c>
      <c r="M2324">
        <f>L2324*(1+(Inputs!$B$10+((C2341=TRUE)*(F2341-Calc!F27))+B2355+((IF(IF(ArtifactsInput!$M$24,FALSE,TRUE),1,-1)*CHOOSE(ArtifactsInput!$N$24+1,30,36,42,48,54,60)/100*IF(IF(ArtifactsInput!$M$24,FALSE,TRUE),(Inputs!$B$9+((C2340=TRUE)*(F2340-Calc!F26))+B2348+(IF(ArtifactsInput!$M$24,FALSE,TRUE)-ArtifactsInput!$M$24)*CHOOSE(ArtifactsInput!$N$24+1,10,12,14,16,18,20)+IF(AND(Inputs!$B$39&lt;&gt;"pvp",Inputs!$B$44=0),1,IF(IF(Inputs!$B$39="pvp",15,Inputs!$B$44)-(B2359)&lt;=0,1,MAX(0,IF(Inputs!$B$39="pvp",15,Inputs!$B$44)-MAX(5,B2359))/(IF(Inputs!$B$39="pvp",15,Inputs!$B$44)-(B2359))))*IF(AND(ArtifactsInput!$M$42,((Inputs!$B$9+((C2340=TRUE)*(F2340-Calc!F26))+B2348+(IF(ArtifactsInput!$M$24,FALSE,TRUE)-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nputs!$B$9+Summary!$B$14+Artifacts!$B$5+Artifacts!$B$29)))+IF(ArtifactsInput!$M$10,CHOOSE(ArtifactsInput!$N$10+1,20,24,28,32,36,40)*(IF(Inputs!$B$39="pvp",MIN(15,15)/15,IF(AND(Inputs!$B$39&lt;&gt;"pvp",Inputs!$B$44&gt;0),MIN(15,Inputs!$B$44)/(Inputs!$B$44),0))),0)+IF(ArtifactsInput!$M$31,1.5*CHOOSE(ArtifactsInput!$N$31+1,20,24,28,32,36,40),0)))/100)</f>
        <v/>
      </c>
      <c r="N2324">
        <f>L2324*(1-MIN((Inputs!$B$9+((C2340=TRUE)*(F2340-Calc!F26))+B2348+(IF(ArtifactsInput!$M$24,FALSE,TRUE)-ArtifactsInput!$M$24)*CHOOSE(ArtifactsInput!$N$24+1,10,12,14,16,18,20)+(IF(AND(Inputs!$B$39&lt;&gt;"pvp",Inputs!$B$44=0),1,IF(IF(Inputs!$B$39="pvp",15,Inputs!$B$44)-(B2359)&lt;=0,1,MAX(0,IF(Inputs!$B$39="pvp",15,Inputs!$B$44)-MAX(5,B2359))/(IF(Inputs!$B$39="pvp",15,Inputs!$B$44)-(B2359))))*IF(AND(ArtifactsInput!$M$42,((Inputs!$B$9+((C2340=TRUE)*(F2340-Calc!F26))+B2348+(IF(ArtifactsInput!$M$24,FALSE,TRUE)-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2324*(MIN((Inputs!$B$9+((C2340=TRUE)*(F2340-Calc!F26))+B2348+(IF(ArtifactsInput!$M$24,FALSE,TRUE)-ArtifactsInput!$M$24)*CHOOSE(ArtifactsInput!$N$24+1,10,12,14,16,18,20)+(IF(AND(Inputs!$B$39&lt;&gt;"pvp",Inputs!$B$44=0),1,IF(IF(Inputs!$B$39="pvp",15,Inputs!$B$44)-(B2359)&lt;=0,1,MAX(0,IF(Inputs!$B$39="pvp",15,Inputs!$B$44)-MAX(5,B2359))/(IF(Inputs!$B$39="pvp",15,Inputs!$B$44)-(B2359))))*IF(AND(ArtifactsInput!$M$42,((Inputs!$B$9+((C2340=TRUE)*(F2340-Calc!F26))+B2348+(IF(ArtifactsInput!$M$24,FALSE,TRUE)-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324">
        <f>(1-Summary!$B$11)*T2324+Summary!$B$11*V2324</f>
        <v/>
      </c>
      <c r="P2324">
        <f>IF(B2360=0,0,O2324/B2360)</f>
        <v/>
      </c>
      <c r="Q2324" t="n">
        <v>0</v>
      </c>
      <c r="R2324" t="n">
        <v>0</v>
      </c>
      <c r="S2324" t="n">
        <v>0</v>
      </c>
      <c r="T2324">
        <f>IF(C2324,(0.2*SUMPRODUCT((Skills!Z2:Z31=TRUE)*(C2316:C2345=TRUE)*S2316:S2345)*N2324)*IF(Inputs!$B$39="pvp",1,1+(Inputs!$B$20+0+Skills!P10+B2349+(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Hunt"),CHOOSE(ArtifactsInput!$N$35+1,15,18,21,24,27,30)*(1-EXP(-(0.2*B2352)*5)),0)+IF(AND(ArtifactsInput!$M$22,Inputs!$B$4&lt;&gt;"Chapter Hunt"),CHOOSE(ArtifactsInput!$N$22+1,10,12,14,16,18,20)*((0*(((0.15*B2352*5))^0/1)+1*(((0.15*B2352*5))^1/1)+2*(((0.15*B2352*5))^2/2)+3*(((0.15*B2352*5))^3/6)+4*(((0.15*B2352*5))^4/24)+5*(((0.15*B2352*5))^5/120))/((((0.15*B2352*5))^0/1)+(((0.15*B2352*5))^1/1)+(((0.15*B2352*5))^2/2)+(((0.15*B2352*5))^3/6)+(((0.15*B2352*5))^4/24)+(((0.15*B2352*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2324*(1-MIN(100,(Inputs!$B$9+((C2340=TRUE)*(F2340-Calc!F26))+B2348+(IF(ArtifactsInput!$M$24,FALSE,TRUE)-ArtifactsInput!$M$24)*CHOOSE(ArtifactsInput!$N$24+1,10,12,14,16,18,20)+(IF(AND(Inputs!$B$39&lt;&gt;"pvp",Inputs!$B$44=0),1,IF(IF(Inputs!$B$39="pvp",15,Inputs!$B$44)-(B2359)&lt;=0,1,MAX(0,IF(Inputs!$B$39="pvp",15,Inputs!$B$44)-MAX(5,B2359))/(IF(Inputs!$B$39="pvp",15,Inputs!$B$44)-(B2359))))*IF(AND(ArtifactsInput!$M$42,((Inputs!$B$9+((C2340=TRUE)*(F2340-Calc!F26))+B2348+(IF(ArtifactsInput!$M$24,FALSE,TRUE)-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2324*(MIN(100,(Inputs!$B$9+((C2340=TRUE)*(F2340-Calc!F26))+B2348+(IF(ArtifactsInput!$M$24,FALSE,TRUE)-ArtifactsInput!$M$24)*CHOOSE(ArtifactsInput!$N$24+1,10,12,14,16,18,20)+(IF(AND(Inputs!$B$39&lt;&gt;"pvp",Inputs!$B$44=0),1,IF(IF(Inputs!$B$39="pvp",15,Inputs!$B$44)-(B2359)&lt;=0,1,MAX(0,IF(Inputs!$B$39="pvp",15,Inputs!$B$44)-MAX(5,B2359))/(IF(Inputs!$B$39="pvp",15,Inputs!$B$44)-(B2359))))*IF(AND(ArtifactsInput!$M$42,((Inputs!$B$9+((C2340=TRUE)*(F2340-Calc!F26))+B2348+(IF(ArtifactsInput!$M$24,FALSE,TRUE)-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2324*(1-MIN(100,(Inputs!$B$9+((C2340=TRUE)*(F2340-Calc!F26))+B2348+(IF(ArtifactsInput!$M$24,FALSE,TRUE)-ArtifactsInput!$M$24)*CHOOSE(ArtifactsInput!$N$24+1,10,12,14,16,18,20)+(IF(AND(Inputs!$B$39&lt;&gt;"pvp",Inputs!$B$44=0),1,IF(IF(Inputs!$B$39="pvp",15,Inputs!$B$44)-(B2359)&lt;=0,1,MAX(0,IF(Inputs!$B$39="pvp",15,Inputs!$B$44)-MAX(5,B2359))/(IF(Inputs!$B$39="pvp",15,Inputs!$B$44)-(B2359))))*IF(AND(ArtifactsInput!$M$42,((Inputs!$B$9+((C2340=TRUE)*(F2340-Calc!F26))+B2348+(IF(ArtifactsInput!$M$24,FALSE,TRUE)-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2324*(MIN(100,(Inputs!$B$9+((C2340=TRUE)*(F2340-Calc!F26))+B2348+(IF(ArtifactsInput!$M$24,FALSE,TRUE)-ArtifactsInput!$M$24)*CHOOSE(ArtifactsInput!$N$24+1,10,12,14,16,18,20)+(IF(AND(Inputs!$B$39&lt;&gt;"pvp",Inputs!$B$44=0),1,IF(IF(Inputs!$B$39="pvp",15,Inputs!$B$44)-(B2359)&lt;=0,1,MAX(0,IF(Inputs!$B$39="pvp",15,Inputs!$B$44)-MAX(5,B2359))/(IF(Inputs!$B$39="pvp",15,Inputs!$B$44)-(B2359))))*IF(AND(ArtifactsInput!$M$42,((Inputs!$B$9+((C2340=TRUE)*(F2340-Calc!F26))+B2348+(IF(ArtifactsInput!$M$24,FALSE,TRUE)-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324">
        <f>IF(C2324,(0.2*SUMPRODUCT((Skills!Z2:Z31=TRUE)*(C2316:C2345=TRUE)*S2316:S2345)*N2324)*IF(Inputs!$B$39="pvp",1,(1+(Inputs!$B$21+Skills!Q10+B2349+(IF(ArtifactsInput!$M$33,CHOOSE(ArtifactsInput!$N$33+1,30,36,42,48,54,60),0))+(IF(AND(ArtifactsInput!$M$35,Inputs!$B$4&lt;&gt;"Chapter Hunt"),CHOOSE(ArtifactsInput!$N$35+1,15,18,21,24,27,30)*(1-EXP(-(0.2*B2352)*5)),0)+IF(AND(ArtifactsInput!$M$22,Inputs!$B$4&lt;&gt;"Chapter Hunt"),CHOOSE(ArtifactsInput!$N$22+1,10,12,14,16,18,20)*((0*(((0.15*B2352*5))^0/1)+1*(((0.15*B2352*5))^1/1)+2*(((0.15*B2352*5))^2/2)+3*(((0.15*B2352*5))^3/6)+4*(((0.15*B2352*5))^4/24)+5*(((0.15*B2352*5))^5/120))/((((0.15*B2352*5))^0/1)+(((0.15*B2352*5))^1/1)+(((0.15*B2352*5))^2/2)+(((0.15*B2352*5))^3/6)+(((0.15*B2352*5))^4/24)+(((0.15*B2352*5))^5/120))),0)))/100)*(MIN(Skills!W10,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325">
      <c r="A2325">
        <f>Skills!A11</f>
        <v/>
      </c>
      <c r="B2325">
        <f>Skills!B11</f>
        <v/>
      </c>
      <c r="C2325">
        <f>Inputs!$B$3&gt;=74</f>
        <v/>
      </c>
      <c r="D2325">
        <f>IF(Skills!C11=1,60+Inputs!$B$25+Inputs!$B$29,IF(Skills!C11=2,90+Inputs!$B$26+Inputs!$B$29,IF(Skills!C11=3,120+Inputs!$B$27+Inputs!$B$29,MAX(0,(Inputs!$B$3-100)*3)+Inputs!$B$28+Inputs!$B$29)))</f>
        <v/>
      </c>
      <c r="E2325">
        <f>INDEX(FactorTable!$B$2:$Y$301, MATCH(ROUND(MIN(300,MAX(1,D2325)),0), FactorTable!$A$2:$A$301,0), Skills!M11+1)</f>
        <v/>
      </c>
      <c r="F2325">
        <f>IF(Skills!N11=TRUE,(Skills!L11/10)*(E2325/1000),Skills!L11/10)+Skills!O11</f>
        <v/>
      </c>
      <c r="G2325">
        <f>Skills!G11*IF(Skills!H11&gt;0,IF(Inputs!$B$39="pvp",MIN(Skills!I11,15),Skills!I11)/Skills!H11,1)</f>
        <v/>
      </c>
      <c r="H2325">
        <f>1-(1-Skills!J11/100)^Skills!K11</f>
        <v/>
      </c>
      <c r="I2325" t="inlineStr">
        <is>
          <t>1</t>
        </is>
      </c>
      <c r="J2325" t="inlineStr"/>
      <c r="K2325" t="inlineStr"/>
      <c r="L2325" t="inlineStr"/>
      <c r="M2325" t="inlineStr"/>
      <c r="N2325" t="inlineStr"/>
      <c r="O2325">
        <f>(1-Summary!$B$11)*T2325+Summary!$B$11*V2325</f>
        <v/>
      </c>
      <c r="P2325">
        <f>IF(B2360=0,0,O2325/B2360)</f>
        <v/>
      </c>
      <c r="Q2325">
        <f>IFERROR(1/IF(Inputs!$B$39="pvp",15,MAX(0.1,Skills!D11-IF(TRUE=TRUE,Inputs!$B$32,0))),0)</f>
        <v/>
      </c>
      <c r="R2325">
        <f>IF(AND(Inputs!$B$39&lt;&gt;"pvp",Inputs!$B$44&gt;0),IF(Inputs!$B$44&lt;=0,0,(INT(Inputs!$B$44/IF(Inputs!$B$39="pvp",15,MAX(0.1,Skills!D11-IF(TRUE=TRUE,Inputs!$B$32,0))))+1)),0)</f>
        <v/>
      </c>
      <c r="S2325">
        <f>IFERROR(O2325/N2325,0)</f>
        <v/>
      </c>
      <c r="T2325" t="n">
        <v>0</v>
      </c>
      <c r="V2325" t="n">
        <v>0</v>
      </c>
    </row>
    <row r="2326">
      <c r="A2326">
        <f>Skills!A12</f>
        <v/>
      </c>
      <c r="B2326">
        <f>Skills!B12</f>
        <v/>
      </c>
      <c r="C2326">
        <f>Inputs!$B$3&gt;=103</f>
        <v/>
      </c>
      <c r="D2326">
        <f>IF(Skills!C12=1,60+Inputs!$B$25+Inputs!$B$29,IF(Skills!C12=2,90+Inputs!$B$26+Inputs!$B$29,IF(Skills!C12=3,120+Inputs!$B$27+Inputs!$B$29,MAX(0,(Inputs!$B$3-100)*3)+Inputs!$B$28+Inputs!$B$29)))</f>
        <v/>
      </c>
      <c r="E2326">
        <f>INDEX(FactorTable!$B$2:$Y$301, MATCH(ROUND(MIN(300,MAX(1,D2326)),0), FactorTable!$A$2:$A$301,0), Skills!M12+1)</f>
        <v/>
      </c>
      <c r="F2326">
        <f>(Skills!L12/10)*(E2326/1000)+IF(Inputs!$B$3&gt;=134,50,0)+0.5*(30000/10)*(INDEX(FactorTable!$B$2:$Y$301, MATCH(ROUND(MIN(300,MAX(1,D2326)),0), FactorTable!$A$2:$A$301,0), 13)/1000)*B2358</f>
        <v/>
      </c>
      <c r="G2326">
        <f>Skills!G12*IF(Skills!H12&gt;0,IF(Inputs!$B$39="pvp",MIN(Skills!I12,15),Skills!I12)/Skills!H12,1)</f>
        <v/>
      </c>
      <c r="H2326">
        <f>1-(1-Skills!J12/100)^Skills!K12</f>
        <v/>
      </c>
      <c r="I2326" t="inlineStr">
        <is>
          <t>1</t>
        </is>
      </c>
      <c r="J2326">
        <f>((Inputs!$B$6*(1+Inputs!$B$7/100))+(((Inputs!$B$12*(1+Inputs!$B$13/100))-(Inputs!$B$12*(1+Inputs!$B$13/100)))+0.25*(Inputs!$B$14-Inputs!$B$14))*(1+Inputs!$B$7/100))*(F2326/100)</f>
        <v/>
      </c>
      <c r="K2326">
        <f>J2326*(1+((Inputs!$B$12*(1+Inputs!$B$13/100))*0.01+Inputs!$B$14*0.0025)/100)*(1+Inputs!$B$15/100)*(1+Inputs!$B$16/100)*(5000/(6000+Inputs!$B$43*(1-(100*(1-(1-Inputs!$B$19/100)*(1-CHOOSE(ArtifactsInput!$N$40+1,5,6,7,8,9,10)/100)^(ArtifactsInput!$M$40-ArtifactsInput!$M$40)))/100)))*(1+(Inputs!$B$24+((C2345=TRUE)*(F2345-Calc!F31))+((C2332=TRUE)*(F2332-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12="CRUEL_STAB",Inputs!$B$17+((C2342=TRUE)*(F2342-Calc!F28))+((IF(AND(Inputs!$B$39&lt;&gt;"pvp",Inputs!$B$44=0),1,IF(IF(Inputs!$B$39="pvp",15,Inputs!$B$44)-(B2359)&lt;=0,1,MAX(0,IF(Inputs!$B$39="pvp",15,Inputs!$B$44)-MAX(5,B2359))/(IF(Inputs!$B$39="pvp",15,Inputs!$B$44)-(B2359))))*(IF(AND(ArtifactsInput!$M$42,((Inputs!$B$9+((C2340=TRUE)*(F2340-Calc!F26))+B2348+(IF(ArtifactsInput!$M$24,FALSE,TRUE)-ArtifactsInput!$M$24)*CHOOSE(ArtifactsInput!$N$24+1,10,12,14,16,18,20)+IF(ArtifactsInput!$M$10,CHOOSE(ArtifactsInput!$N$10+1,15,18,21,24,27,30)*(IF(Inputs!$B$39="pvp",MIN(15,15)/15,IF(AND(Inputs!$B$39&lt;&gt;"pvp",Inputs!$B$44&gt;0),MIN(15,Inputs!$B$44)/(Inputs!$B$44),0))),0)))&gt;=100),MIN(100,((Inputs!$B$9+((C2340=TRUE)*(F2340-Calc!F26))+B2348+(IF(ArtifactsInput!$M$24,FALSE,TRUE)-ArtifactsInput!$M$24)*CHOOSE(ArtifactsInput!$N$24+1,10,12,14,16,18,20)+IF(ArtifactsInput!$M$10,CHOOSE(ArtifactsInput!$N$10+1,15,18,21,24,27,30)*(IF(Inputs!$B$39="pvp",MIN(15,15)/15,IF(AND(Inputs!$B$39&lt;&gt;"pvp",Inputs!$B$44&gt;0),MIN(15,Inputs!$B$44)/(Inputs!$B$44),0))),0)))-100),0))*CHOOSE(ArtifactsInput!$N$42+1,0.6,0.72,0.84,0.96,1.08,1.2))),Inputs!$B$18+((C2343=TRUE)*(F2343-Calc!F29))+(IF(AND(Inputs!$B$39&lt;&gt;"pvp",Inputs!$B$44=0),1,IF(IF(Inputs!$B$39="pvp",15,Inputs!$B$44)-(B2359)&lt;=0,1,MAX(0,IF(Inputs!$B$39="pvp",15,Inputs!$B$44)-MAX(5,B2359))/(IF(Inputs!$B$39="pvp",15,Inputs!$B$44)-(B2359))))*IF(AND(ArtifactsInput!$M$42,((Inputs!$B$9+((C2340=TRUE)*(F2340-Calc!F26))+B2348+(IF(ArtifactsInput!$M$24,FALSE,TRUE)-ArtifactsInput!$M$24)*CHOOSE(ArtifactsInput!$N$24+1,10,12,14,16,18,20)+IF(ArtifactsInput!$M$10,CHOOSE(ArtifactsInput!$N$10+1,15,18,21,24,27,30)*(IF(Inputs!$B$39="pvp",MIN(15,15)/15,IF(AND(Inputs!$B$39&lt;&gt;"pvp",Inputs!$B$44&gt;0),MIN(15,Inputs!$B$44)/(Inputs!$B$44),0))),0)))&gt;=100),CHOOSE(ArtifactsInput!$N$42+1,40,48,56,64,72,80),0))))/100)*(((1+(((C2336=TRUE)*F2336*IF(AND(Inputs!$B$39&lt;&gt;"pvp",Inputs!$B$44&gt;0),(((R2336-1)*MIN((Skills!Y22*(1+Inputs!$B$34/100)),(1/Q2336))+MIN((Skills!Y22*(1+Inputs!$B$34/100)),MAX(0,Inputs!$B$44-((R2336-1)*(1/Q2336)))))/Inputs!$B$44),IF(Inputs!$B$39="pvp",MIN((Skills!Y22*(1+Inputs!$B$34/100)),15)/15,MIN(1,(Skills!Y22*(1+Inputs!$B$34/100))/(1/Q2336)))))+((C2317=TRUE)*F2317*3)+((C2319=TRUE)*F2319*(1-EXP(-0.75*B2352*5)))+((C2338=TRUE)*(F2338-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2325=TRUE)*F2325*IF(AND(Inputs!$B$39&lt;&gt;"pvp",Inputs!$B$44&gt;0),(((R2325-1)*MIN((Skills!Y11*(1+Inputs!$B$34/100)),(1/Q2325))+MIN((Skills!Y11*(1+Inputs!$B$34/100)),MAX(0,Inputs!$B$44-((R2325-1)*(1/Q2325)))))/Inputs!$B$44),IF(Inputs!$B$39="pvp",MIN((Skills!Y11*(1+Inputs!$B$34/100)),15)/15,MIN(1,(Skills!Y11*(1+Inputs!$B$34/100))/(1/Q2325)))))/100)*(1+((C2330=TRUE)*F2330*IF(AND(Inputs!$B$39&lt;&gt;"pvp",Inputs!$B$44&gt;0),(((R2330-1)*MIN((Skills!Y16*(1+Inputs!$B$34/100)),(1/Q2330))+MIN((Skills!Y16*(1+Inputs!$B$34/100)),MAX(0,Inputs!$B$44-((R2330-1)*(1/Q2330)))))/Inputs!$B$44),IF(Inputs!$B$39="pvp",MIN((Skills!Y16*(1+Inputs!$B$34/100)),15)/15,MIN(1,(Skills!Y16*(1+Inputs!$B$34/100))/(1/Q2330)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2350*I2326)</f>
        <v/>
      </c>
      <c r="L2326">
        <f>K2326*(MIN(Inputs!$B$22+((C2339=TRUE)*(F2339-Calc!F25)),(Inputs!$B$23+((C2344=TRUE)*(F2344-Calc!F30))+IF(ArtifactsInput!$M$15,CHOOSE(ArtifactsInput!$N$15+1,25,30,35,40,45,50)/100*(Inputs!$B$11-Inputs!$B$11),0)))/100+(Inputs!$B$23+((C2344=TRUE)*(F2344-Calc!F30))+IF(ArtifactsInput!$M$15,CHOOSE(ArtifactsInput!$N$15+1,25,30,35,40,45,50)/100*(Inputs!$B$11-Inputs!$B$11),0))/100)/2</f>
        <v/>
      </c>
      <c r="M2326">
        <f>L2326*(1+(Inputs!$B$10+((C2341=TRUE)*(F2341-Calc!F27))+B2355+((IF(IF(ArtifactsInput!$M$24,FALSE,TRUE),1,-1)*CHOOSE(ArtifactsInput!$N$24+1,30,36,42,48,54,60)/100*IF(IF(ArtifactsInput!$M$24,FALSE,TRUE),(Inputs!$B$9+((C2340=TRUE)*(F2340-Calc!F26))+B2348+(IF(ArtifactsInput!$M$24,FALSE,TRUE)-ArtifactsInput!$M$24)*CHOOSE(ArtifactsInput!$N$24+1,10,12,14,16,18,20)+IF(AND(Inputs!$B$39&lt;&gt;"pvp",Inputs!$B$44=0),1,IF(IF(Inputs!$B$39="pvp",15,Inputs!$B$44)-(B2359)&lt;=0,1,MAX(0,IF(Inputs!$B$39="pvp",15,Inputs!$B$44)-MAX(5,B2359))/(IF(Inputs!$B$39="pvp",15,Inputs!$B$44)-(B2359))))*IF(AND(ArtifactsInput!$M$42,((Inputs!$B$9+((C2340=TRUE)*(F2340-Calc!F26))+B2348+(IF(ArtifactsInput!$M$24,FALSE,TRUE)-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nputs!$B$9+Summary!$B$14+Artifacts!$B$5+Artifacts!$B$29)))+IF(ArtifactsInput!$M$10,CHOOSE(ArtifactsInput!$N$10+1,20,24,28,32,36,40)*(IF(Inputs!$B$39="pvp",MIN(15,15)/15,IF(AND(Inputs!$B$39&lt;&gt;"pvp",Inputs!$B$44&gt;0),MIN(15,Inputs!$B$44)/(Inputs!$B$44),0))),0)+IF(ArtifactsInput!$M$31,1.5*CHOOSE(ArtifactsInput!$N$31+1,20,24,28,32,36,40),0)))/100)</f>
        <v/>
      </c>
      <c r="N2326">
        <f>L2326*(1-MIN((Inputs!$B$9+((C2340=TRUE)*(F2340-Calc!F26))+B2348+(IF(ArtifactsInput!$M$24,FALSE,TRUE)-ArtifactsInput!$M$24)*CHOOSE(ArtifactsInput!$N$24+1,10,12,14,16,18,20)+(IF(AND(Inputs!$B$39&lt;&gt;"pvp",Inputs!$B$44=0),1,IF(IF(Inputs!$B$39="pvp",15,Inputs!$B$44)-(B2359)&lt;=0,1,MAX(0,IF(Inputs!$B$39="pvp",15,Inputs!$B$44)-MAX(5,B2359))/(IF(Inputs!$B$39="pvp",15,Inputs!$B$44)-(B2359))))*IF(AND(ArtifactsInput!$M$42,((Inputs!$B$9+((C2340=TRUE)*(F2340-Calc!F26))+B2348+(IF(ArtifactsInput!$M$24,FALSE,TRUE)-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2326*(MIN((Inputs!$B$9+((C2340=TRUE)*(F2340-Calc!F26))+B2348+(IF(ArtifactsInput!$M$24,FALSE,TRUE)-ArtifactsInput!$M$24)*CHOOSE(ArtifactsInput!$N$24+1,10,12,14,16,18,20)+(IF(AND(Inputs!$B$39&lt;&gt;"pvp",Inputs!$B$44=0),1,IF(IF(Inputs!$B$39="pvp",15,Inputs!$B$44)-(B2359)&lt;=0,1,MAX(0,IF(Inputs!$B$39="pvp",15,Inputs!$B$44)-MAX(5,B2359))/(IF(Inputs!$B$39="pvp",15,Inputs!$B$44)-(B2359))))*IF(AND(ArtifactsInput!$M$42,((Inputs!$B$9+((C2340=TRUE)*(F2340-Calc!F26))+B2348+(IF(ArtifactsInput!$M$24,FALSE,TRUE)-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326">
        <f>(1-Summary!$B$11)*T2326+Summary!$B$11*V2326</f>
        <v/>
      </c>
      <c r="P2326">
        <f>IF(B2360=0,0,O2326/B2360)</f>
        <v/>
      </c>
      <c r="Q2326">
        <f>IFERROR(1/IF(Inputs!$B$39="pvp",15,MAX(0.1,Skills!D12-IF(TRUE=TRUE,Inputs!$B$32,0))),0)</f>
        <v/>
      </c>
      <c r="R2326">
        <f>IF(AND(Inputs!$B$39&lt;&gt;"pvp",Inputs!$B$44&gt;0),IF(MAX(0,Inputs!$B$44-B2359)&lt;=0,0,(INT(MAX(0,Inputs!$B$44-B2359)/IF(Inputs!$B$39="pvp",15,MAX(0.1,Skills!D12-IF(TRUE=TRUE,Inputs!$B$32,0))))+1)),0)</f>
        <v/>
      </c>
      <c r="S2326">
        <f>IFERROR(O2326/N2326,0)</f>
        <v/>
      </c>
      <c r="T2326">
        <f>IF(C2326,(H2326*N2326*IF(AND(Inputs!$B$39&lt;&gt;"pvp",Inputs!$B$44&gt;0),((Skills!G12*((R2326-1)*IF(Skills!H12&gt;0,Skills!I12/Skills!H12,1)+IF(Skills!H12&gt;0,MIN(Skills!I12,MAX(0,MAX(0,Inputs!$B$44-B2359)-((R2326-1)*IF(Inputs!$B$39="pvp",15,MAX(0.1,Skills!D12-IF(TRUE=TRUE,Inputs!$B$32,0))))))/Skills!H12,1)))/Inputs!$B$44),G2326*Q2326))*IF(Inputs!$B$39="pvp",1,1+(Inputs!$B$20+0+Skills!P12+B2349+(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Hunt"),CHOOSE(ArtifactsInput!$N$35+1,15,18,21,24,27,30)*(1-EXP(-(0.2*B2352)*5)),0)+IF(AND(ArtifactsInput!$M$22,Inputs!$B$4&lt;&gt;"Chapter Hunt"),CHOOSE(ArtifactsInput!$N$22+1,10,12,14,16,18,20)*((0*(((0.15*B2352*5))^0/1)+1*(((0.15*B2352*5))^1/1)+2*(((0.15*B2352*5))^2/2)+3*(((0.15*B2352*5))^3/6)+4*(((0.15*B2352*5))^4/24)+5*(((0.15*B2352*5))^5/120))/((((0.15*B2352*5))^0/1)+(((0.15*B2352*5))^1/1)+(((0.15*B2352*5))^2/2)+(((0.15*B2352*5))^3/6)+(((0.15*B2352*5))^4/24)+(((0.15*B2352*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2326*(1-MIN(100,(Inputs!$B$9+((C2340=TRUE)*(F2340-Calc!F26))+B2348+(IF(ArtifactsInput!$M$24,FALSE,TRUE)-ArtifactsInput!$M$24)*CHOOSE(ArtifactsInput!$N$24+1,10,12,14,16,18,20)+(IF(AND(Inputs!$B$39&lt;&gt;"pvp",Inputs!$B$44=0),1,IF(IF(Inputs!$B$39="pvp",15,Inputs!$B$44)-(B2359)&lt;=0,1,MAX(0,IF(Inputs!$B$39="pvp",15,Inputs!$B$44)-MAX(5,B2359))/(IF(Inputs!$B$39="pvp",15,Inputs!$B$44)-(B2359))))*IF(AND(ArtifactsInput!$M$42,((Inputs!$B$9+((C2340=TRUE)*(F2340-Calc!F26))+B2348+(IF(ArtifactsInput!$M$24,FALSE,TRUE)-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2326*(MIN(100,(Inputs!$B$9+((C2340=TRUE)*(F2340-Calc!F26))+B2348+(IF(ArtifactsInput!$M$24,FALSE,TRUE)-ArtifactsInput!$M$24)*CHOOSE(ArtifactsInput!$N$24+1,10,12,14,16,18,20)+(IF(AND(Inputs!$B$39&lt;&gt;"pvp",Inputs!$B$44=0),1,IF(IF(Inputs!$B$39="pvp",15,Inputs!$B$44)-(B2359)&lt;=0,1,MAX(0,IF(Inputs!$B$39="pvp",15,Inputs!$B$44)-MAX(5,B2359))/(IF(Inputs!$B$39="pvp",15,Inputs!$B$44)-(B2359))))*IF(AND(ArtifactsInput!$M$42,((Inputs!$B$9+((C2340=TRUE)*(F2340-Calc!F26))+B2348+(IF(ArtifactsInput!$M$24,FALSE,TRUE)-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2326*(1-MIN(100,(Inputs!$B$9+((C2340=TRUE)*(F2340-Calc!F26))+B2348+(IF(ArtifactsInput!$M$24,FALSE,TRUE)-ArtifactsInput!$M$24)*CHOOSE(ArtifactsInput!$N$24+1,10,12,14,16,18,20)+(IF(AND(Inputs!$B$39&lt;&gt;"pvp",Inputs!$B$44=0),1,IF(IF(Inputs!$B$39="pvp",15,Inputs!$B$44)-(B2359)&lt;=0,1,MAX(0,IF(Inputs!$B$39="pvp",15,Inputs!$B$44)-MAX(5,B2359))/(IF(Inputs!$B$39="pvp",15,Inputs!$B$44)-(B2359))))*IF(AND(ArtifactsInput!$M$42,((Inputs!$B$9+((C2340=TRUE)*(F2340-Calc!F26))+B2348+(IF(ArtifactsInput!$M$24,FALSE,TRUE)-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2326*(MIN(100,(Inputs!$B$9+((C2340=TRUE)*(F2340-Calc!F26))+B2348+(IF(ArtifactsInput!$M$24,FALSE,TRUE)-ArtifactsInput!$M$24)*CHOOSE(ArtifactsInput!$N$24+1,10,12,14,16,18,20)+(IF(AND(Inputs!$B$39&lt;&gt;"pvp",Inputs!$B$44=0),1,IF(IF(Inputs!$B$39="pvp",15,Inputs!$B$44)-(B2359)&lt;=0,1,MAX(0,IF(Inputs!$B$39="pvp",15,Inputs!$B$44)-MAX(5,B2359))/(IF(Inputs!$B$39="pvp",15,Inputs!$B$44)-(B2359))))*IF(AND(ArtifactsInput!$M$42,((Inputs!$B$9+((C2340=TRUE)*(F2340-Calc!F26))+B2348+(IF(ArtifactsInput!$M$24,FALSE,TRUE)-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326">
        <f>IF(C2326,(H2326*N2326*IF(AND(Inputs!$B$39&lt;&gt;"pvp",Inputs!$B$44&gt;0),((Skills!G12*((R2326-1)*IF(Skills!H12&gt;0,Skills!I12/Skills!H12,1)+IF(Skills!H12&gt;0,MIN(Skills!I12,MAX(0,MAX(0,Inputs!$B$44-B2359)-((R2326-1)*IF(Inputs!$B$39="pvp",15,MAX(0.1,Skills!D12-IF(TRUE=TRUE,Inputs!$B$32,0))))))/Skills!H12,1)))/Inputs!$B$44),G2326*Q2326))*IF(Inputs!$B$39="pvp",1,(1+(Inputs!$B$21+Skills!Q12+B2349+(IF(ArtifactsInput!$M$33,CHOOSE(ArtifactsInput!$N$33+1,30,36,42,48,54,60),0))+(IF(AND(ArtifactsInput!$M$35,Inputs!$B$4&lt;&gt;"Chapter Hunt"),CHOOSE(ArtifactsInput!$N$35+1,15,18,21,24,27,30)*(1-EXP(-(0.2*B2352)*5)),0)+IF(AND(ArtifactsInput!$M$22,Inputs!$B$4&lt;&gt;"Chapter Hunt"),CHOOSE(ArtifactsInput!$N$22+1,10,12,14,16,18,20)*((0*(((0.15*B2352*5))^0/1)+1*(((0.15*B2352*5))^1/1)+2*(((0.15*B2352*5))^2/2)+3*(((0.15*B2352*5))^3/6)+4*(((0.15*B2352*5))^4/24)+5*(((0.15*B2352*5))^5/120))/((((0.15*B2352*5))^0/1)+(((0.15*B2352*5))^1/1)+(((0.15*B2352*5))^2/2)+(((0.15*B2352*5))^3/6)+(((0.15*B2352*5))^4/24)+(((0.15*B2352*5))^5/120))),0)))/100)*(MIN(Skills!W12,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327">
      <c r="A2327">
        <f>Skills!A13</f>
        <v/>
      </c>
      <c r="B2327">
        <f>Skills!B13</f>
        <v/>
      </c>
      <c r="C2327">
        <f>Inputs!$B$3&gt;=105</f>
        <v/>
      </c>
      <c r="D2327">
        <f>IF(Skills!C13=1,60+Inputs!$B$25+Inputs!$B$29,IF(Skills!C13=2,90+Inputs!$B$26+Inputs!$B$29,IF(Skills!C13=3,120+Inputs!$B$27+Inputs!$B$29,MAX(0,(Inputs!$B$3-100)*3)+Inputs!$B$28+Inputs!$B$29)))</f>
        <v/>
      </c>
      <c r="E2327">
        <f>INDEX(FactorTable!$B$2:$Y$301, MATCH(ROUND(MIN(300,MAX(1,D2327)),0), FactorTable!$A$2:$A$301,0), Skills!M13+1)</f>
        <v/>
      </c>
      <c r="F2327">
        <f>IF(Skills!N13=TRUE,(Skills!L13/10)*(E2327/1000),Skills!L13/10)+Skills!O13</f>
        <v/>
      </c>
      <c r="G2327">
        <f>Skills!G13*IF(Skills!H13&gt;0,IF(Inputs!$B$39="pvp",MIN(Skills!I13,15),Skills!I13)/Skills!H13,1)</f>
        <v/>
      </c>
      <c r="H2327">
        <f>1-(1-Skills!J13/100)^Skills!K13</f>
        <v/>
      </c>
      <c r="I2327" t="inlineStr">
        <is>
          <t>1</t>
        </is>
      </c>
      <c r="J2327">
        <f>((Inputs!$B$6*(1+Inputs!$B$7/100))+(((Inputs!$B$12*(1+Inputs!$B$13/100))-(Inputs!$B$12*(1+Inputs!$B$13/100)))+0.25*(Inputs!$B$14-Inputs!$B$14))*(1+Inputs!$B$7/100))*(F2327/100)</f>
        <v/>
      </c>
      <c r="K2327">
        <f>J2327*(1+((Inputs!$B$12*(1+Inputs!$B$13/100))*0.01+Inputs!$B$14*0.0025)/100)*(1+Inputs!$B$15/100)*(1+Inputs!$B$16/100)*(5000/(6000+Inputs!$B$43*(1-(100*(1-(1-Inputs!$B$19/100)*(1-CHOOSE(ArtifactsInput!$N$40+1,5,6,7,8,9,10)/100)^(ArtifactsInput!$M$40-ArtifactsInput!$M$40)))/100)))*(1+(Inputs!$B$24+((C2345=TRUE)*(F2345-Calc!F31))+((C2332=TRUE)*(F2332-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13="CRUEL_STAB",Inputs!$B$17+((C2342=TRUE)*(F2342-Calc!F28))+((IF(AND(Inputs!$B$39&lt;&gt;"pvp",Inputs!$B$44=0),1,IF(IF(Inputs!$B$39="pvp",15,Inputs!$B$44)-(B2359)&lt;=0,1,MAX(0,IF(Inputs!$B$39="pvp",15,Inputs!$B$44)-MAX(5,B2359))/(IF(Inputs!$B$39="pvp",15,Inputs!$B$44)-(B2359))))*(IF(AND(ArtifactsInput!$M$42,((Inputs!$B$9+((C2340=TRUE)*(F2340-Calc!F26))+B2348+(IF(ArtifactsInput!$M$24,FALSE,TRUE)-ArtifactsInput!$M$24)*CHOOSE(ArtifactsInput!$N$24+1,10,12,14,16,18,20)+IF(ArtifactsInput!$M$10,CHOOSE(ArtifactsInput!$N$10+1,15,18,21,24,27,30)*(IF(Inputs!$B$39="pvp",MIN(15,15)/15,IF(AND(Inputs!$B$39&lt;&gt;"pvp",Inputs!$B$44&gt;0),MIN(15,Inputs!$B$44)/(Inputs!$B$44),0))),0)))&gt;=100),MIN(100,((Inputs!$B$9+((C2340=TRUE)*(F2340-Calc!F26))+B2348+(IF(ArtifactsInput!$M$24,FALSE,TRUE)-ArtifactsInput!$M$24)*CHOOSE(ArtifactsInput!$N$24+1,10,12,14,16,18,20)+IF(ArtifactsInput!$M$10,CHOOSE(ArtifactsInput!$N$10+1,15,18,21,24,27,30)*(IF(Inputs!$B$39="pvp",MIN(15,15)/15,IF(AND(Inputs!$B$39&lt;&gt;"pvp",Inputs!$B$44&gt;0),MIN(15,Inputs!$B$44)/(Inputs!$B$44),0))),0)))-100),0))*CHOOSE(ArtifactsInput!$N$42+1,0.6,0.72,0.84,0.96,1.08,1.2))),Inputs!$B$18+((C2343=TRUE)*(F2343-Calc!F29))+(IF(AND(Inputs!$B$39&lt;&gt;"pvp",Inputs!$B$44=0),1,IF(IF(Inputs!$B$39="pvp",15,Inputs!$B$44)-(B2359)&lt;=0,1,MAX(0,IF(Inputs!$B$39="pvp",15,Inputs!$B$44)-MAX(5,B2359))/(IF(Inputs!$B$39="pvp",15,Inputs!$B$44)-(B2359))))*IF(AND(ArtifactsInput!$M$42,((Inputs!$B$9+((C2340=TRUE)*(F2340-Calc!F26))+B2348+(IF(ArtifactsInput!$M$24,FALSE,TRUE)-ArtifactsInput!$M$24)*CHOOSE(ArtifactsInput!$N$24+1,10,12,14,16,18,20)+IF(ArtifactsInput!$M$10,CHOOSE(ArtifactsInput!$N$10+1,15,18,21,24,27,30)*(IF(Inputs!$B$39="pvp",MIN(15,15)/15,IF(AND(Inputs!$B$39&lt;&gt;"pvp",Inputs!$B$44&gt;0),MIN(15,Inputs!$B$44)/(Inputs!$B$44),0))),0)))&gt;=100),CHOOSE(ArtifactsInput!$N$42+1,40,48,56,64,72,80),0))))/100)*(((1+(((C2336=TRUE)*F2336*IF(AND(Inputs!$B$39&lt;&gt;"pvp",Inputs!$B$44&gt;0),(((R2336-1)*MIN((Skills!Y22*(1+Inputs!$B$34/100)),(1/Q2336))+MIN((Skills!Y22*(1+Inputs!$B$34/100)),MAX(0,Inputs!$B$44-((R2336-1)*(1/Q2336)))))/Inputs!$B$44),IF(Inputs!$B$39="pvp",MIN((Skills!Y22*(1+Inputs!$B$34/100)),15)/15,MIN(1,(Skills!Y22*(1+Inputs!$B$34/100))/(1/Q2336)))))+((C2317=TRUE)*F2317*3)+((C2319=TRUE)*F2319*(1-EXP(-0.75*B2352*5)))+((C2338=TRUE)*(F2338-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2325=TRUE)*F2325*IF(AND(Inputs!$B$39&lt;&gt;"pvp",Inputs!$B$44&gt;0),(((R2325-1)*MIN((Skills!Y11*(1+Inputs!$B$34/100)),(1/Q2325))+MIN((Skills!Y11*(1+Inputs!$B$34/100)),MAX(0,Inputs!$B$44-((R2325-1)*(1/Q2325)))))/Inputs!$B$44),IF(Inputs!$B$39="pvp",MIN((Skills!Y11*(1+Inputs!$B$34/100)),15)/15,MIN(1,(Skills!Y11*(1+Inputs!$B$34/100))/(1/Q2325)))))/100)*(1+((C2330=TRUE)*F2330*IF(AND(Inputs!$B$39&lt;&gt;"pvp",Inputs!$B$44&gt;0),(((R2330-1)*MIN((Skills!Y16*(1+Inputs!$B$34/100)),(1/Q2330))+MIN((Skills!Y16*(1+Inputs!$B$34/100)),MAX(0,Inputs!$B$44-((R2330-1)*(1/Q2330)))))/Inputs!$B$44),IF(Inputs!$B$39="pvp",MIN((Skills!Y16*(1+Inputs!$B$34/100)),15)/15,MIN(1,(Skills!Y16*(1+Inputs!$B$34/100))/(1/Q2330)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2350*I2327)</f>
        <v/>
      </c>
      <c r="L2327">
        <f>K2327*(MIN(Inputs!$B$22+((C2339=TRUE)*(F2339-Calc!F25)),(Inputs!$B$23+((C2344=TRUE)*(F2344-Calc!F30))+IF(ArtifactsInput!$M$15,CHOOSE(ArtifactsInput!$N$15+1,25,30,35,40,45,50)/100*(Inputs!$B$11-Inputs!$B$11),0)))/100+(Inputs!$B$23+((C2344=TRUE)*(F2344-Calc!F30))+IF(ArtifactsInput!$M$15,CHOOSE(ArtifactsInput!$N$15+1,25,30,35,40,45,50)/100*(Inputs!$B$11-Inputs!$B$11),0))/100)/2</f>
        <v/>
      </c>
      <c r="M2327">
        <f>L2327*(1+(Inputs!$B$10+((C2341=TRUE)*(F2341-Calc!F27))+B2355+((IF(IF(ArtifactsInput!$M$24,FALSE,TRUE),1,-1)*CHOOSE(ArtifactsInput!$N$24+1,30,36,42,48,54,60)/100*IF(IF(ArtifactsInput!$M$24,FALSE,TRUE),(Inputs!$B$9+((C2340=TRUE)*(F2340-Calc!F26))+B2348+(IF(ArtifactsInput!$M$24,FALSE,TRUE)-ArtifactsInput!$M$24)*CHOOSE(ArtifactsInput!$N$24+1,10,12,14,16,18,20)+IF(AND(Inputs!$B$39&lt;&gt;"pvp",Inputs!$B$44=0),1,IF(IF(Inputs!$B$39="pvp",15,Inputs!$B$44)-(B2359)&lt;=0,1,MAX(0,IF(Inputs!$B$39="pvp",15,Inputs!$B$44)-MAX(5,B2359))/(IF(Inputs!$B$39="pvp",15,Inputs!$B$44)-(B2359))))*IF(AND(ArtifactsInput!$M$42,((Inputs!$B$9+((C2340=TRUE)*(F2340-Calc!F26))+B2348+(IF(ArtifactsInput!$M$24,FALSE,TRUE)-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nputs!$B$9+Summary!$B$14+Artifacts!$B$5+Artifacts!$B$29)))+IF(ArtifactsInput!$M$10,CHOOSE(ArtifactsInput!$N$10+1,20,24,28,32,36,40)*(IF(Inputs!$B$39="pvp",MIN(15,15)/15,IF(AND(Inputs!$B$39&lt;&gt;"pvp",Inputs!$B$44&gt;0),MIN(15,Inputs!$B$44)/(Inputs!$B$44),0))),0)+IF(ArtifactsInput!$M$31,1.5*CHOOSE(ArtifactsInput!$N$31+1,20,24,28,32,36,40),0)))/100)</f>
        <v/>
      </c>
      <c r="N2327">
        <f>L2327*(1-MIN((Inputs!$B$9+((C2340=TRUE)*(F2340-Calc!F26))+B2348+(IF(ArtifactsInput!$M$24,FALSE,TRUE)-ArtifactsInput!$M$24)*CHOOSE(ArtifactsInput!$N$24+1,10,12,14,16,18,20)+(IF(AND(Inputs!$B$39&lt;&gt;"pvp",Inputs!$B$44=0),1,IF(IF(Inputs!$B$39="pvp",15,Inputs!$B$44)-(B2359)&lt;=0,1,MAX(0,IF(Inputs!$B$39="pvp",15,Inputs!$B$44)-MAX(5,B2359))/(IF(Inputs!$B$39="pvp",15,Inputs!$B$44)-(B2359))))*IF(AND(ArtifactsInput!$M$42,((Inputs!$B$9+((C2340=TRUE)*(F2340-Calc!F26))+B2348+(IF(ArtifactsInput!$M$24,FALSE,TRUE)-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2327*(MIN((Inputs!$B$9+((C2340=TRUE)*(F2340-Calc!F26))+B2348+(IF(ArtifactsInput!$M$24,FALSE,TRUE)-ArtifactsInput!$M$24)*CHOOSE(ArtifactsInput!$N$24+1,10,12,14,16,18,20)+(IF(AND(Inputs!$B$39&lt;&gt;"pvp",Inputs!$B$44=0),1,IF(IF(Inputs!$B$39="pvp",15,Inputs!$B$44)-(B2359)&lt;=0,1,MAX(0,IF(Inputs!$B$39="pvp",15,Inputs!$B$44)-MAX(5,B2359))/(IF(Inputs!$B$39="pvp",15,Inputs!$B$44)-(B2359))))*IF(AND(ArtifactsInput!$M$42,((Inputs!$B$9+((C2340=TRUE)*(F2340-Calc!F26))+B2348+(IF(ArtifactsInput!$M$24,FALSE,TRUE)-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327">
        <f>(1-Summary!$B$11)*T2327+Summary!$B$11*V2327</f>
        <v/>
      </c>
      <c r="P2327">
        <f>IF(B2360=0,0,O2327/B2360)</f>
        <v/>
      </c>
      <c r="Q2327">
        <f>IFERROR(1/IF(Inputs!$B$39="pvp",15,MAX(0.1,Skills!D13-IF(TRUE=TRUE,Inputs!$B$32,0))),0)</f>
        <v/>
      </c>
      <c r="R2327">
        <f>IF(AND(Inputs!$B$39&lt;&gt;"pvp",Inputs!$B$44&gt;0),IF(MAX(0,Inputs!$B$44-B2359)&lt;=0,0,(INT(MAX(0,Inputs!$B$44-B2359)/IF(Inputs!$B$39="pvp",15,MAX(0.1,Skills!D13-IF(TRUE=TRUE,Inputs!$B$32,0))))+1)),0)</f>
        <v/>
      </c>
      <c r="S2327">
        <f>IFERROR(O2327/N2327,0)</f>
        <v/>
      </c>
      <c r="T2327">
        <f>IF(C2327,(H2327*N2327*IF(AND(Inputs!$B$39&lt;&gt;"pvp",Inputs!$B$44&gt;0),((Skills!G13*((R2327-1)*IF(Skills!H13&gt;0,Skills!I13/Skills!H13,1)+IF(Skills!H13&gt;0,MIN(Skills!I13,MAX(0,MAX(0,Inputs!$B$44-B2359)-((R2327-1)*IF(Inputs!$B$39="pvp",15,MAX(0.1,Skills!D13-IF(TRUE=TRUE,Inputs!$B$32,0))))))/Skills!H13,1)))/Inputs!$B$44),G2327*Q2327))*IF(Inputs!$B$39="pvp",1,1+(Inputs!$B$20+0+Skills!P13+B2349+(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Hunt"),CHOOSE(ArtifactsInput!$N$35+1,15,18,21,24,27,30)*(1-EXP(-(0.2*B2352)*5)),0)+IF(AND(ArtifactsInput!$M$22,Inputs!$B$4&lt;&gt;"Chapter Hunt"),CHOOSE(ArtifactsInput!$N$22+1,10,12,14,16,18,20)*((0*(((0.15*B2352*5))^0/1)+1*(((0.15*B2352*5))^1/1)+2*(((0.15*B2352*5))^2/2)+3*(((0.15*B2352*5))^3/6)+4*(((0.15*B2352*5))^4/24)+5*(((0.15*B2352*5))^5/120))/((((0.15*B2352*5))^0/1)+(((0.15*B2352*5))^1/1)+(((0.15*B2352*5))^2/2)+(((0.15*B2352*5))^3/6)+(((0.15*B2352*5))^4/24)+(((0.15*B2352*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2327*(1-MIN(100,(Inputs!$B$9+((C2340=TRUE)*(F2340-Calc!F26))+B2348+(IF(ArtifactsInput!$M$24,FALSE,TRUE)-ArtifactsInput!$M$24)*CHOOSE(ArtifactsInput!$N$24+1,10,12,14,16,18,20)+(IF(AND(Inputs!$B$39&lt;&gt;"pvp",Inputs!$B$44=0),1,IF(IF(Inputs!$B$39="pvp",15,Inputs!$B$44)-(B2359)&lt;=0,1,MAX(0,IF(Inputs!$B$39="pvp",15,Inputs!$B$44)-MAX(5,B2359))/(IF(Inputs!$B$39="pvp",15,Inputs!$B$44)-(B2359))))*IF(AND(ArtifactsInput!$M$42,((Inputs!$B$9+((C2340=TRUE)*(F2340-Calc!F26))+B2348+(IF(ArtifactsInput!$M$24,FALSE,TRUE)-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2327*(MIN(100,(Inputs!$B$9+((C2340=TRUE)*(F2340-Calc!F26))+B2348+(IF(ArtifactsInput!$M$24,FALSE,TRUE)-ArtifactsInput!$M$24)*CHOOSE(ArtifactsInput!$N$24+1,10,12,14,16,18,20)+(IF(AND(Inputs!$B$39&lt;&gt;"pvp",Inputs!$B$44=0),1,IF(IF(Inputs!$B$39="pvp",15,Inputs!$B$44)-(B2359)&lt;=0,1,MAX(0,IF(Inputs!$B$39="pvp",15,Inputs!$B$44)-MAX(5,B2359))/(IF(Inputs!$B$39="pvp",15,Inputs!$B$44)-(B2359))))*IF(AND(ArtifactsInput!$M$42,((Inputs!$B$9+((C2340=TRUE)*(F2340-Calc!F26))+B2348+(IF(ArtifactsInput!$M$24,FALSE,TRUE)-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2327*(1-MIN(100,(Inputs!$B$9+((C2340=TRUE)*(F2340-Calc!F26))+B2348+(IF(ArtifactsInput!$M$24,FALSE,TRUE)-ArtifactsInput!$M$24)*CHOOSE(ArtifactsInput!$N$24+1,10,12,14,16,18,20)+(IF(AND(Inputs!$B$39&lt;&gt;"pvp",Inputs!$B$44=0),1,IF(IF(Inputs!$B$39="pvp",15,Inputs!$B$44)-(B2359)&lt;=0,1,MAX(0,IF(Inputs!$B$39="pvp",15,Inputs!$B$44)-MAX(5,B2359))/(IF(Inputs!$B$39="pvp",15,Inputs!$B$44)-(B2359))))*IF(AND(ArtifactsInput!$M$42,((Inputs!$B$9+((C2340=TRUE)*(F2340-Calc!F26))+B2348+(IF(ArtifactsInput!$M$24,FALSE,TRUE)-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2327*(MIN(100,(Inputs!$B$9+((C2340=TRUE)*(F2340-Calc!F26))+B2348+(IF(ArtifactsInput!$M$24,FALSE,TRUE)-ArtifactsInput!$M$24)*CHOOSE(ArtifactsInput!$N$24+1,10,12,14,16,18,20)+(IF(AND(Inputs!$B$39&lt;&gt;"pvp",Inputs!$B$44=0),1,IF(IF(Inputs!$B$39="pvp",15,Inputs!$B$44)-(B2359)&lt;=0,1,MAX(0,IF(Inputs!$B$39="pvp",15,Inputs!$B$44)-MAX(5,B2359))/(IF(Inputs!$B$39="pvp",15,Inputs!$B$44)-(B2359))))*IF(AND(ArtifactsInput!$M$42,((Inputs!$B$9+((C2340=TRUE)*(F2340-Calc!F26))+B2348+(IF(ArtifactsInput!$M$24,FALSE,TRUE)-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327">
        <f>IF(C2327,(H2327*N2327*IF(AND(Inputs!$B$39&lt;&gt;"pvp",Inputs!$B$44&gt;0),((Skills!G13*((R2327-1)*IF(Skills!H13&gt;0,Skills!I13/Skills!H13,1)+IF(Skills!H13&gt;0,MIN(Skills!I13,MAX(0,MAX(0,Inputs!$B$44-B2359)-((R2327-1)*IF(Inputs!$B$39="pvp",15,MAX(0.1,Skills!D13-IF(TRUE=TRUE,Inputs!$B$32,0))))))/Skills!H13,1)))/Inputs!$B$44),G2327*Q2327))*IF(Inputs!$B$39="pvp",1,(1+(Inputs!$B$21+Skills!Q13+B2349+(IF(ArtifactsInput!$M$33,CHOOSE(ArtifactsInput!$N$33+1,30,36,42,48,54,60),0))+(IF(AND(ArtifactsInput!$M$35,Inputs!$B$4&lt;&gt;"Chapter Hunt"),CHOOSE(ArtifactsInput!$N$35+1,15,18,21,24,27,30)*(1-EXP(-(0.2*B2352)*5)),0)+IF(AND(ArtifactsInput!$M$22,Inputs!$B$4&lt;&gt;"Chapter Hunt"),CHOOSE(ArtifactsInput!$N$22+1,10,12,14,16,18,20)*((0*(((0.15*B2352*5))^0/1)+1*(((0.15*B2352*5))^1/1)+2*(((0.15*B2352*5))^2/2)+3*(((0.15*B2352*5))^3/6)+4*(((0.15*B2352*5))^4/24)+5*(((0.15*B2352*5))^5/120))/((((0.15*B2352*5))^0/1)+(((0.15*B2352*5))^1/1)+(((0.15*B2352*5))^2/2)+(((0.15*B2352*5))^3/6)+(((0.15*B2352*5))^4/24)+(((0.15*B2352*5))^5/120))),0)))/100)*(MIN(Skills!W13,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328">
      <c r="A2328">
        <f>Skills!A14</f>
        <v/>
      </c>
      <c r="B2328">
        <f>Skills!B14</f>
        <v/>
      </c>
      <c r="C2328">
        <f>Inputs!$B$3&gt;=105</f>
        <v/>
      </c>
      <c r="D2328">
        <f>IF(Skills!C14=1,60+Inputs!$B$25+Inputs!$B$29,IF(Skills!C14=2,90+Inputs!$B$26+Inputs!$B$29,IF(Skills!C14=3,120+Inputs!$B$27+Inputs!$B$29,MAX(0,(Inputs!$B$3-100)*3)+Inputs!$B$28+Inputs!$B$29)))</f>
        <v/>
      </c>
      <c r="E2328">
        <f>INDEX(FactorTable!$B$2:$Y$301, MATCH(ROUND(MIN(300,MAX(1,D2328)),0), FactorTable!$A$2:$A$301,0), Skills!M14+1)</f>
        <v/>
      </c>
      <c r="F2328">
        <f>IF(Skills!N14=TRUE,(Skills!L14/10)*(E2328/1000),Skills!L14/10)+Skills!O14</f>
        <v/>
      </c>
      <c r="G2328">
        <f>Skills!G14*IF(Skills!H14&gt;0,IF(Inputs!$B$39="pvp",MIN(Skills!I14,15),Skills!I14)/Skills!H14,1)</f>
        <v/>
      </c>
      <c r="H2328">
        <f>1-(1-Skills!J14/100)^Skills!K14</f>
        <v/>
      </c>
      <c r="I2328" t="inlineStr">
        <is>
          <t>1</t>
        </is>
      </c>
      <c r="J2328">
        <f>((Inputs!$B$6*(1+Inputs!$B$7/100))+(((Inputs!$B$12*(1+Inputs!$B$13/100))-(Inputs!$B$12*(1+Inputs!$B$13/100)))+0.25*(Inputs!$B$14-Inputs!$B$14))*(1+Inputs!$B$7/100))*(F2328/100)</f>
        <v/>
      </c>
      <c r="K2328">
        <f>J2328*(1+((Inputs!$B$12*(1+Inputs!$B$13/100))*0.01+Inputs!$B$14*0.0025)/100)*(1+Inputs!$B$15/100)*(1+Inputs!$B$16/100)*(5000/(6000+Inputs!$B$43*(1-(100*(1-(1-Inputs!$B$19/100)*(1-CHOOSE(ArtifactsInput!$N$40+1,5,6,7,8,9,10)/100)^(ArtifactsInput!$M$40-ArtifactsInput!$M$40)))/100)))*(1+(Inputs!$B$24+((C2345=TRUE)*(F2345-Calc!F31))+((C2332=TRUE)*(F2332-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14="CRUEL_STAB",Inputs!$B$17+((C2342=TRUE)*(F2342-Calc!F28))+((IF(AND(Inputs!$B$39&lt;&gt;"pvp",Inputs!$B$44=0),1,IF(IF(Inputs!$B$39="pvp",15,Inputs!$B$44)-(B2359)&lt;=0,1,MAX(0,IF(Inputs!$B$39="pvp",15,Inputs!$B$44)-MAX(5,B2359))/(IF(Inputs!$B$39="pvp",15,Inputs!$B$44)-(B2359))))*(IF(AND(ArtifactsInput!$M$42,((Inputs!$B$9+((C2340=TRUE)*(F2340-Calc!F26))+B2348+(IF(ArtifactsInput!$M$24,FALSE,TRUE)-ArtifactsInput!$M$24)*CHOOSE(ArtifactsInput!$N$24+1,10,12,14,16,18,20)+IF(ArtifactsInput!$M$10,CHOOSE(ArtifactsInput!$N$10+1,15,18,21,24,27,30)*(IF(Inputs!$B$39="pvp",MIN(15,15)/15,IF(AND(Inputs!$B$39&lt;&gt;"pvp",Inputs!$B$44&gt;0),MIN(15,Inputs!$B$44)/(Inputs!$B$44),0))),0)))&gt;=100),MIN(100,((Inputs!$B$9+((C2340=TRUE)*(F2340-Calc!F26))+B2348+(IF(ArtifactsInput!$M$24,FALSE,TRUE)-ArtifactsInput!$M$24)*CHOOSE(ArtifactsInput!$N$24+1,10,12,14,16,18,20)+IF(ArtifactsInput!$M$10,CHOOSE(ArtifactsInput!$N$10+1,15,18,21,24,27,30)*(IF(Inputs!$B$39="pvp",MIN(15,15)/15,IF(AND(Inputs!$B$39&lt;&gt;"pvp",Inputs!$B$44&gt;0),MIN(15,Inputs!$B$44)/(Inputs!$B$44),0))),0)))-100),0))*CHOOSE(ArtifactsInput!$N$42+1,0.6,0.72,0.84,0.96,1.08,1.2))),Inputs!$B$18+((C2343=TRUE)*(F2343-Calc!F29))+(IF(AND(Inputs!$B$39&lt;&gt;"pvp",Inputs!$B$44=0),1,IF(IF(Inputs!$B$39="pvp",15,Inputs!$B$44)-(B2359)&lt;=0,1,MAX(0,IF(Inputs!$B$39="pvp",15,Inputs!$B$44)-MAX(5,B2359))/(IF(Inputs!$B$39="pvp",15,Inputs!$B$44)-(B2359))))*IF(AND(ArtifactsInput!$M$42,((Inputs!$B$9+((C2340=TRUE)*(F2340-Calc!F26))+B2348+(IF(ArtifactsInput!$M$24,FALSE,TRUE)-ArtifactsInput!$M$24)*CHOOSE(ArtifactsInput!$N$24+1,10,12,14,16,18,20)+IF(ArtifactsInput!$M$10,CHOOSE(ArtifactsInput!$N$10+1,15,18,21,24,27,30)*(IF(Inputs!$B$39="pvp",MIN(15,15)/15,IF(AND(Inputs!$B$39&lt;&gt;"pvp",Inputs!$B$44&gt;0),MIN(15,Inputs!$B$44)/(Inputs!$B$44),0))),0)))&gt;=100),CHOOSE(ArtifactsInput!$N$42+1,40,48,56,64,72,80),0))))/100)*(((1+(((C2336=TRUE)*F2336*IF(AND(Inputs!$B$39&lt;&gt;"pvp",Inputs!$B$44&gt;0),(((R2336-1)*MIN((Skills!Y22*(1+Inputs!$B$34/100)),(1/Q2336))+MIN((Skills!Y22*(1+Inputs!$B$34/100)),MAX(0,Inputs!$B$44-((R2336-1)*(1/Q2336)))))/Inputs!$B$44),IF(Inputs!$B$39="pvp",MIN((Skills!Y22*(1+Inputs!$B$34/100)),15)/15,MIN(1,(Skills!Y22*(1+Inputs!$B$34/100))/(1/Q2336)))))+((C2317=TRUE)*F2317*3)+((C2319=TRUE)*F2319*(1-EXP(-0.75*B2352*5)))+((C2338=TRUE)*(F2338-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2325=TRUE)*F2325*IF(AND(Inputs!$B$39&lt;&gt;"pvp",Inputs!$B$44&gt;0),(((R2325-1)*MIN((Skills!Y11*(1+Inputs!$B$34/100)),(1/Q2325))+MIN((Skills!Y11*(1+Inputs!$B$34/100)),MAX(0,Inputs!$B$44-((R2325-1)*(1/Q2325)))))/Inputs!$B$44),IF(Inputs!$B$39="pvp",MIN((Skills!Y11*(1+Inputs!$B$34/100)),15)/15,MIN(1,(Skills!Y11*(1+Inputs!$B$34/100))/(1/Q2325)))))/100)*(1+((C2330=TRUE)*F2330*IF(AND(Inputs!$B$39&lt;&gt;"pvp",Inputs!$B$44&gt;0),(((R2330-1)*MIN((Skills!Y16*(1+Inputs!$B$34/100)),(1/Q2330))+MIN((Skills!Y16*(1+Inputs!$B$34/100)),MAX(0,Inputs!$B$44-((R2330-1)*(1/Q2330)))))/Inputs!$B$44),IF(Inputs!$B$39="pvp",MIN((Skills!Y16*(1+Inputs!$B$34/100)),15)/15,MIN(1,(Skills!Y16*(1+Inputs!$B$34/100))/(1/Q2330)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2350*I2328)</f>
        <v/>
      </c>
      <c r="L2328">
        <f>K2328*(MIN(Inputs!$B$22+((C2339=TRUE)*(F2339-Calc!F25)),(Inputs!$B$23+((C2344=TRUE)*(F2344-Calc!F30))+IF(ArtifactsInput!$M$15,CHOOSE(ArtifactsInput!$N$15+1,25,30,35,40,45,50)/100*(Inputs!$B$11-Inputs!$B$11),0)))/100+(Inputs!$B$23+((C2344=TRUE)*(F2344-Calc!F30))+IF(ArtifactsInput!$M$15,CHOOSE(ArtifactsInput!$N$15+1,25,30,35,40,45,50)/100*(Inputs!$B$11-Inputs!$B$11),0))/100)/2</f>
        <v/>
      </c>
      <c r="M2328">
        <f>L2328*(1+(Inputs!$B$10+((C2341=TRUE)*(F2341-Calc!F27))+B2355+((IF(IF(ArtifactsInput!$M$24,FALSE,TRUE),1,-1)*CHOOSE(ArtifactsInput!$N$24+1,30,36,42,48,54,60)/100*IF(IF(ArtifactsInput!$M$24,FALSE,TRUE),(Inputs!$B$9+((C2340=TRUE)*(F2340-Calc!F26))+B2348+(IF(ArtifactsInput!$M$24,FALSE,TRUE)-ArtifactsInput!$M$24)*CHOOSE(ArtifactsInput!$N$24+1,10,12,14,16,18,20)+IF(AND(Inputs!$B$39&lt;&gt;"pvp",Inputs!$B$44=0),1,IF(IF(Inputs!$B$39="pvp",15,Inputs!$B$44)-(B2359)&lt;=0,1,MAX(0,IF(Inputs!$B$39="pvp",15,Inputs!$B$44)-MAX(5,B2359))/(IF(Inputs!$B$39="pvp",15,Inputs!$B$44)-(B2359))))*IF(AND(ArtifactsInput!$M$42,((Inputs!$B$9+((C2340=TRUE)*(F2340-Calc!F26))+B2348+(IF(ArtifactsInput!$M$24,FALSE,TRUE)-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nputs!$B$9+Summary!$B$14+Artifacts!$B$5+Artifacts!$B$29)))+IF(ArtifactsInput!$M$10,CHOOSE(ArtifactsInput!$N$10+1,20,24,28,32,36,40)*(IF(Inputs!$B$39="pvp",MIN(15,15)/15,IF(AND(Inputs!$B$39&lt;&gt;"pvp",Inputs!$B$44&gt;0),MIN(15,Inputs!$B$44)/(Inputs!$B$44),0))),0)+IF(ArtifactsInput!$M$31,1.5*CHOOSE(ArtifactsInput!$N$31+1,20,24,28,32,36,40),0)))/100)</f>
        <v/>
      </c>
      <c r="N2328">
        <f>L2328*(1-MIN((Inputs!$B$9+((C2340=TRUE)*(F2340-Calc!F26))+B2348+(IF(ArtifactsInput!$M$24,FALSE,TRUE)-ArtifactsInput!$M$24)*CHOOSE(ArtifactsInput!$N$24+1,10,12,14,16,18,20)+(IF(AND(Inputs!$B$39&lt;&gt;"pvp",Inputs!$B$44=0),1,IF(IF(Inputs!$B$39="pvp",15,Inputs!$B$44)-(B2359)&lt;=0,1,MAX(0,IF(Inputs!$B$39="pvp",15,Inputs!$B$44)-MAX(5,B2359))/(IF(Inputs!$B$39="pvp",15,Inputs!$B$44)-(B2359))))*IF(AND(ArtifactsInput!$M$42,((Inputs!$B$9+((C2340=TRUE)*(F2340-Calc!F26))+B2348+(IF(ArtifactsInput!$M$24,FALSE,TRUE)-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2328*(MIN((Inputs!$B$9+((C2340=TRUE)*(F2340-Calc!F26))+B2348+(IF(ArtifactsInput!$M$24,FALSE,TRUE)-ArtifactsInput!$M$24)*CHOOSE(ArtifactsInput!$N$24+1,10,12,14,16,18,20)+(IF(AND(Inputs!$B$39&lt;&gt;"pvp",Inputs!$B$44=0),1,IF(IF(Inputs!$B$39="pvp",15,Inputs!$B$44)-(B2359)&lt;=0,1,MAX(0,IF(Inputs!$B$39="pvp",15,Inputs!$B$44)-MAX(5,B2359))/(IF(Inputs!$B$39="pvp",15,Inputs!$B$44)-(B2359))))*IF(AND(ArtifactsInput!$M$42,((Inputs!$B$9+((C2340=TRUE)*(F2340-Calc!F26))+B2348+(IF(ArtifactsInput!$M$24,FALSE,TRUE)-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328">
        <f>(1-Summary!$B$11)*T2328+Summary!$B$11*V2328</f>
        <v/>
      </c>
      <c r="P2328">
        <f>IF(B2360=0,0,O2328/B2360)</f>
        <v/>
      </c>
      <c r="Q2328">
        <f>IFERROR(1/IF(Inputs!$B$39="pvp",15,MAX(0.1,Skills!D14-IF(TRUE=TRUE,Inputs!$B$32,0))),0)</f>
        <v/>
      </c>
      <c r="R2328">
        <f>IF(AND(Inputs!$B$39&lt;&gt;"pvp",Inputs!$B$44&gt;0),IF(MAX(0,Inputs!$B$44-B2359)&lt;=0,0,(INT(MAX(0,Inputs!$B$44-B2359)/IF(Inputs!$B$39="pvp",15,MAX(0.1,Skills!D14-IF(TRUE=TRUE,Inputs!$B$32,0))))+1)),0)</f>
        <v/>
      </c>
      <c r="S2328">
        <f>IFERROR(O2328/N2328,0)</f>
        <v/>
      </c>
      <c r="T2328">
        <f>IF(C2328,(H2328*N2328*IF(AND(Inputs!$B$39&lt;&gt;"pvp",Inputs!$B$44&gt;0),((Skills!G14*((R2328-1)*IF(Skills!H14&gt;0,Skills!I14/Skills!H14,1)+IF(Skills!H14&gt;0,MIN(Skills!I14,MAX(0,MAX(0,Inputs!$B$44-B2359)-((R2328-1)*IF(Inputs!$B$39="pvp",15,MAX(0.1,Skills!D14-IF(TRUE=TRUE,Inputs!$B$32,0))))))/Skills!H14,1)))/Inputs!$B$44),G2328*Q2328))*IF(Inputs!$B$39="pvp",1,1+(Inputs!$B$20+0+Skills!P14+B2349+(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Hunt"),CHOOSE(ArtifactsInput!$N$35+1,15,18,21,24,27,30)*(1-EXP(-(0.2*B2352)*5)),0)+IF(AND(ArtifactsInput!$M$22,Inputs!$B$4&lt;&gt;"Chapter Hunt"),CHOOSE(ArtifactsInput!$N$22+1,10,12,14,16,18,20)*((0*(((0.15*B2352*5))^0/1)+1*(((0.15*B2352*5))^1/1)+2*(((0.15*B2352*5))^2/2)+3*(((0.15*B2352*5))^3/6)+4*(((0.15*B2352*5))^4/24)+5*(((0.15*B2352*5))^5/120))/((((0.15*B2352*5))^0/1)+(((0.15*B2352*5))^1/1)+(((0.15*B2352*5))^2/2)+(((0.15*B2352*5))^3/6)+(((0.15*B2352*5))^4/24)+(((0.15*B2352*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2328*(1-MIN(100,(Inputs!$B$9+((C2340=TRUE)*(F2340-Calc!F26))+B2348+(IF(ArtifactsInput!$M$24,FALSE,TRUE)-ArtifactsInput!$M$24)*CHOOSE(ArtifactsInput!$N$24+1,10,12,14,16,18,20)+(IF(AND(Inputs!$B$39&lt;&gt;"pvp",Inputs!$B$44=0),1,IF(IF(Inputs!$B$39="pvp",15,Inputs!$B$44)-(B2359)&lt;=0,1,MAX(0,IF(Inputs!$B$39="pvp",15,Inputs!$B$44)-MAX(5,B2359))/(IF(Inputs!$B$39="pvp",15,Inputs!$B$44)-(B2359))))*IF(AND(ArtifactsInput!$M$42,((Inputs!$B$9+((C2340=TRUE)*(F2340-Calc!F26))+B2348+(IF(ArtifactsInput!$M$24,FALSE,TRUE)-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2328*(MIN(100,(Inputs!$B$9+((C2340=TRUE)*(F2340-Calc!F26))+B2348+(IF(ArtifactsInput!$M$24,FALSE,TRUE)-ArtifactsInput!$M$24)*CHOOSE(ArtifactsInput!$N$24+1,10,12,14,16,18,20)+(IF(AND(Inputs!$B$39&lt;&gt;"pvp",Inputs!$B$44=0),1,IF(IF(Inputs!$B$39="pvp",15,Inputs!$B$44)-(B2359)&lt;=0,1,MAX(0,IF(Inputs!$B$39="pvp",15,Inputs!$B$44)-MAX(5,B2359))/(IF(Inputs!$B$39="pvp",15,Inputs!$B$44)-(B2359))))*IF(AND(ArtifactsInput!$M$42,((Inputs!$B$9+((C2340=TRUE)*(F2340-Calc!F26))+B2348+(IF(ArtifactsInput!$M$24,FALSE,TRUE)-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2328*(1-MIN(100,(Inputs!$B$9+((C2340=TRUE)*(F2340-Calc!F26))+B2348+(IF(ArtifactsInput!$M$24,FALSE,TRUE)-ArtifactsInput!$M$24)*CHOOSE(ArtifactsInput!$N$24+1,10,12,14,16,18,20)+(IF(AND(Inputs!$B$39&lt;&gt;"pvp",Inputs!$B$44=0),1,IF(IF(Inputs!$B$39="pvp",15,Inputs!$B$44)-(B2359)&lt;=0,1,MAX(0,IF(Inputs!$B$39="pvp",15,Inputs!$B$44)-MAX(5,B2359))/(IF(Inputs!$B$39="pvp",15,Inputs!$B$44)-(B2359))))*IF(AND(ArtifactsInput!$M$42,((Inputs!$B$9+((C2340=TRUE)*(F2340-Calc!F26))+B2348+(IF(ArtifactsInput!$M$24,FALSE,TRUE)-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2328*(MIN(100,(Inputs!$B$9+((C2340=TRUE)*(F2340-Calc!F26))+B2348+(IF(ArtifactsInput!$M$24,FALSE,TRUE)-ArtifactsInput!$M$24)*CHOOSE(ArtifactsInput!$N$24+1,10,12,14,16,18,20)+(IF(AND(Inputs!$B$39&lt;&gt;"pvp",Inputs!$B$44=0),1,IF(IF(Inputs!$B$39="pvp",15,Inputs!$B$44)-(B2359)&lt;=0,1,MAX(0,IF(Inputs!$B$39="pvp",15,Inputs!$B$44)-MAX(5,B2359))/(IF(Inputs!$B$39="pvp",15,Inputs!$B$44)-(B2359))))*IF(AND(ArtifactsInput!$M$42,((Inputs!$B$9+((C2340=TRUE)*(F2340-Calc!F26))+B2348+(IF(ArtifactsInput!$M$24,FALSE,TRUE)-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328">
        <f>IF(C2328,(H2328*N2328*IF(AND(Inputs!$B$39&lt;&gt;"pvp",Inputs!$B$44&gt;0),((Skills!G14*((R2328-1)*IF(Skills!H14&gt;0,Skills!I14/Skills!H14,1)+IF(Skills!H14&gt;0,MIN(Skills!I14,MAX(0,MAX(0,Inputs!$B$44-B2359)-((R2328-1)*IF(Inputs!$B$39="pvp",15,MAX(0.1,Skills!D14-IF(TRUE=TRUE,Inputs!$B$32,0))))))/Skills!H14,1)))/Inputs!$B$44),G2328*Q2328))*IF(Inputs!$B$39="pvp",1,(1+(Inputs!$B$21+Skills!Q14+B2349+(IF(ArtifactsInput!$M$33,CHOOSE(ArtifactsInput!$N$33+1,30,36,42,48,54,60),0))+(IF(AND(ArtifactsInput!$M$35,Inputs!$B$4&lt;&gt;"Chapter Hunt"),CHOOSE(ArtifactsInput!$N$35+1,15,18,21,24,27,30)*(1-EXP(-(0.2*B2352)*5)),0)+IF(AND(ArtifactsInput!$M$22,Inputs!$B$4&lt;&gt;"Chapter Hunt"),CHOOSE(ArtifactsInput!$N$22+1,10,12,14,16,18,20)*((0*(((0.15*B2352*5))^0/1)+1*(((0.15*B2352*5))^1/1)+2*(((0.15*B2352*5))^2/2)+3*(((0.15*B2352*5))^3/6)+4*(((0.15*B2352*5))^4/24)+5*(((0.15*B2352*5))^5/120))/((((0.15*B2352*5))^0/1)+(((0.15*B2352*5))^1/1)+(((0.15*B2352*5))^2/2)+(((0.15*B2352*5))^3/6)+(((0.15*B2352*5))^4/24)+(((0.15*B2352*5))^5/120))),0)))/100)*(MIN(Skills!W14,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329">
      <c r="A2329">
        <f>Skills!A15</f>
        <v/>
      </c>
      <c r="B2329">
        <f>Skills!B15</f>
        <v/>
      </c>
      <c r="C2329">
        <f>Inputs!$B$3&gt;=107</f>
        <v/>
      </c>
      <c r="D2329">
        <f>IF(Skills!C15=1,60+Inputs!$B$25+Inputs!$B$29,IF(Skills!C15=2,90+Inputs!$B$26+Inputs!$B$29,IF(Skills!C15=3,120+Inputs!$B$27+Inputs!$B$29,MAX(0,(Inputs!$B$3-100)*3)+Inputs!$B$28+Inputs!$B$29)))</f>
        <v/>
      </c>
      <c r="E2329">
        <f>INDEX(FactorTable!$B$2:$Y$301, MATCH(ROUND(MIN(300,MAX(1,D2329)),0), FactorTable!$A$2:$A$301,0), Skills!M15+1)</f>
        <v/>
      </c>
      <c r="F2329">
        <f>IF(Skills!N15=TRUE,(Skills!L15/10)*(E2329/1000),Skills!L15/10)+Skills!O15</f>
        <v/>
      </c>
      <c r="G2329">
        <f>Skills!G15*IF(Skills!H15&gt;0,IF(Inputs!$B$39="pvp",MIN(Skills!I15,15),Skills!I15)/Skills!H15,1)</f>
        <v/>
      </c>
      <c r="H2329">
        <f>1-(1-Skills!J15/100)^Skills!K15</f>
        <v/>
      </c>
      <c r="I2329" t="inlineStr">
        <is>
          <t>1</t>
        </is>
      </c>
      <c r="J2329">
        <f>((Inputs!$B$6*(1+Inputs!$B$7/100))+(((Inputs!$B$12*(1+Inputs!$B$13/100))-(Inputs!$B$12*(1+Inputs!$B$13/100)))+0.25*(Inputs!$B$14-Inputs!$B$14))*(1+Inputs!$B$7/100))*(F2329/100)</f>
        <v/>
      </c>
      <c r="K2329">
        <f>J2329*(1+((Inputs!$B$12*(1+Inputs!$B$13/100))*0.01+Inputs!$B$14*0.0025)/100)*(1+Inputs!$B$15/100)*(1+Inputs!$B$16/100)*(5000/(6000+Inputs!$B$43*(1-(100*(1-(1-Inputs!$B$19/100)*(1-CHOOSE(ArtifactsInput!$N$40+1,5,6,7,8,9,10)/100)^(ArtifactsInput!$M$40-ArtifactsInput!$M$40)))/100)))*(1+(Inputs!$B$24+((C2345=TRUE)*(F2345-Calc!F31))+((C2332=TRUE)*(F2332-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15="CRUEL_STAB",Inputs!$B$17+((C2342=TRUE)*(F2342-Calc!F28))+((IF(AND(Inputs!$B$39&lt;&gt;"pvp",Inputs!$B$44=0),1,IF(IF(Inputs!$B$39="pvp",15,Inputs!$B$44)-(B2359)&lt;=0,1,MAX(0,IF(Inputs!$B$39="pvp",15,Inputs!$B$44)-MAX(5,B2359))/(IF(Inputs!$B$39="pvp",15,Inputs!$B$44)-(B2359))))*(IF(AND(ArtifactsInput!$M$42,((Inputs!$B$9+((C2340=TRUE)*(F2340-Calc!F26))+B2348+(IF(ArtifactsInput!$M$24,FALSE,TRUE)-ArtifactsInput!$M$24)*CHOOSE(ArtifactsInput!$N$24+1,10,12,14,16,18,20)+IF(ArtifactsInput!$M$10,CHOOSE(ArtifactsInput!$N$10+1,15,18,21,24,27,30)*(IF(Inputs!$B$39="pvp",MIN(15,15)/15,IF(AND(Inputs!$B$39&lt;&gt;"pvp",Inputs!$B$44&gt;0),MIN(15,Inputs!$B$44)/(Inputs!$B$44),0))),0)))&gt;=100),MIN(100,((Inputs!$B$9+((C2340=TRUE)*(F2340-Calc!F26))+B2348+(IF(ArtifactsInput!$M$24,FALSE,TRUE)-ArtifactsInput!$M$24)*CHOOSE(ArtifactsInput!$N$24+1,10,12,14,16,18,20)+IF(ArtifactsInput!$M$10,CHOOSE(ArtifactsInput!$N$10+1,15,18,21,24,27,30)*(IF(Inputs!$B$39="pvp",MIN(15,15)/15,IF(AND(Inputs!$B$39&lt;&gt;"pvp",Inputs!$B$44&gt;0),MIN(15,Inputs!$B$44)/(Inputs!$B$44),0))),0)))-100),0))*CHOOSE(ArtifactsInput!$N$42+1,0.6,0.72,0.84,0.96,1.08,1.2))),Inputs!$B$18+((C2343=TRUE)*(F2343-Calc!F29))+(IF(AND(Inputs!$B$39&lt;&gt;"pvp",Inputs!$B$44=0),1,IF(IF(Inputs!$B$39="pvp",15,Inputs!$B$44)-(B2359)&lt;=0,1,MAX(0,IF(Inputs!$B$39="pvp",15,Inputs!$B$44)-MAX(5,B2359))/(IF(Inputs!$B$39="pvp",15,Inputs!$B$44)-(B2359))))*IF(AND(ArtifactsInput!$M$42,((Inputs!$B$9+((C2340=TRUE)*(F2340-Calc!F26))+B2348+(IF(ArtifactsInput!$M$24,FALSE,TRUE)-ArtifactsInput!$M$24)*CHOOSE(ArtifactsInput!$N$24+1,10,12,14,16,18,20)+IF(ArtifactsInput!$M$10,CHOOSE(ArtifactsInput!$N$10+1,15,18,21,24,27,30)*(IF(Inputs!$B$39="pvp",MIN(15,15)/15,IF(AND(Inputs!$B$39&lt;&gt;"pvp",Inputs!$B$44&gt;0),MIN(15,Inputs!$B$44)/(Inputs!$B$44),0))),0)))&gt;=100),CHOOSE(ArtifactsInput!$N$42+1,40,48,56,64,72,80),0))))/100)*(((1+(((C2336=TRUE)*F2336*IF(AND(Inputs!$B$39&lt;&gt;"pvp",Inputs!$B$44&gt;0),(((R2336-1)*MIN((Skills!Y22*(1+Inputs!$B$34/100)),(1/Q2336))+MIN((Skills!Y22*(1+Inputs!$B$34/100)),MAX(0,Inputs!$B$44-((R2336-1)*(1/Q2336)))))/Inputs!$B$44),IF(Inputs!$B$39="pvp",MIN((Skills!Y22*(1+Inputs!$B$34/100)),15)/15,MIN(1,(Skills!Y22*(1+Inputs!$B$34/100))/(1/Q2336)))))+((C2317=TRUE)*F2317*3)+((C2319=TRUE)*F2319*(1-EXP(-0.75*B2352*5)))+((C2338=TRUE)*(F2338-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2325=TRUE)*F2325*IF(AND(Inputs!$B$39&lt;&gt;"pvp",Inputs!$B$44&gt;0),(((R2325-1)*MIN((Skills!Y11*(1+Inputs!$B$34/100)),(1/Q2325))+MIN((Skills!Y11*(1+Inputs!$B$34/100)),MAX(0,Inputs!$B$44-((R2325-1)*(1/Q2325)))))/Inputs!$B$44),IF(Inputs!$B$39="pvp",MIN((Skills!Y11*(1+Inputs!$B$34/100)),15)/15,MIN(1,(Skills!Y11*(1+Inputs!$B$34/100))/(1/Q2325)))))/100)*(1+((C2330=TRUE)*F2330*IF(AND(Inputs!$B$39&lt;&gt;"pvp",Inputs!$B$44&gt;0),(((R2330-1)*MIN((Skills!Y16*(1+Inputs!$B$34/100)),(1/Q2330))+MIN((Skills!Y16*(1+Inputs!$B$34/100)),MAX(0,Inputs!$B$44-((R2330-1)*(1/Q2330)))))/Inputs!$B$44),IF(Inputs!$B$39="pvp",MIN((Skills!Y16*(1+Inputs!$B$34/100)),15)/15,MIN(1,(Skills!Y16*(1+Inputs!$B$34/100))/(1/Q2330)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2350*I2329)</f>
        <v/>
      </c>
      <c r="L2329">
        <f>K2329*(MIN(Inputs!$B$22+((C2339=TRUE)*(F2339-Calc!F25)),(Inputs!$B$23+((C2344=TRUE)*(F2344-Calc!F30))+IF(ArtifactsInput!$M$15,CHOOSE(ArtifactsInput!$N$15+1,25,30,35,40,45,50)/100*(Inputs!$B$11-Inputs!$B$11),0)))/100+(Inputs!$B$23+((C2344=TRUE)*(F2344-Calc!F30))+IF(ArtifactsInput!$M$15,CHOOSE(ArtifactsInput!$N$15+1,25,30,35,40,45,50)/100*(Inputs!$B$11-Inputs!$B$11),0))/100)/2</f>
        <v/>
      </c>
      <c r="M2329">
        <f>L2329*(1+(Inputs!$B$10+((C2341=TRUE)*(F2341-Calc!F27))+B2355+((IF(IF(ArtifactsInput!$M$24,FALSE,TRUE),1,-1)*CHOOSE(ArtifactsInput!$N$24+1,30,36,42,48,54,60)/100*IF(IF(ArtifactsInput!$M$24,FALSE,TRUE),(Inputs!$B$9+((C2340=TRUE)*(F2340-Calc!F26))+B2348+(IF(ArtifactsInput!$M$24,FALSE,TRUE)-ArtifactsInput!$M$24)*CHOOSE(ArtifactsInput!$N$24+1,10,12,14,16,18,20)+IF(AND(Inputs!$B$39&lt;&gt;"pvp",Inputs!$B$44=0),1,IF(IF(Inputs!$B$39="pvp",15,Inputs!$B$44)-(B2359)&lt;=0,1,MAX(0,IF(Inputs!$B$39="pvp",15,Inputs!$B$44)-MAX(5,B2359))/(IF(Inputs!$B$39="pvp",15,Inputs!$B$44)-(B2359))))*IF(AND(ArtifactsInput!$M$42,((Inputs!$B$9+((C2340=TRUE)*(F2340-Calc!F26))+B2348+(IF(ArtifactsInput!$M$24,FALSE,TRUE)-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nputs!$B$9+Summary!$B$14+Artifacts!$B$5+Artifacts!$B$29)))+IF(ArtifactsInput!$M$10,CHOOSE(ArtifactsInput!$N$10+1,20,24,28,32,36,40)*(IF(Inputs!$B$39="pvp",MIN(15,15)/15,IF(AND(Inputs!$B$39&lt;&gt;"pvp",Inputs!$B$44&gt;0),MIN(15,Inputs!$B$44)/(Inputs!$B$44),0))),0)+IF(ArtifactsInput!$M$31,1.5*CHOOSE(ArtifactsInput!$N$31+1,20,24,28,32,36,40),0)))/100)</f>
        <v/>
      </c>
      <c r="N2329">
        <f>L2329*(1-MIN((Inputs!$B$9+((C2340=TRUE)*(F2340-Calc!F26))+B2348+(IF(ArtifactsInput!$M$24,FALSE,TRUE)-ArtifactsInput!$M$24)*CHOOSE(ArtifactsInput!$N$24+1,10,12,14,16,18,20)+(IF(AND(Inputs!$B$39&lt;&gt;"pvp",Inputs!$B$44=0),1,IF(IF(Inputs!$B$39="pvp",15,Inputs!$B$44)-(B2359)&lt;=0,1,MAX(0,IF(Inputs!$B$39="pvp",15,Inputs!$B$44)-MAX(5,B2359))/(IF(Inputs!$B$39="pvp",15,Inputs!$B$44)-(B2359))))*IF(AND(ArtifactsInput!$M$42,((Inputs!$B$9+((C2340=TRUE)*(F2340-Calc!F26))+B2348+(IF(ArtifactsInput!$M$24,FALSE,TRUE)-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2329*(MIN((Inputs!$B$9+((C2340=TRUE)*(F2340-Calc!F26))+B2348+(IF(ArtifactsInput!$M$24,FALSE,TRUE)-ArtifactsInput!$M$24)*CHOOSE(ArtifactsInput!$N$24+1,10,12,14,16,18,20)+(IF(AND(Inputs!$B$39&lt;&gt;"pvp",Inputs!$B$44=0),1,IF(IF(Inputs!$B$39="pvp",15,Inputs!$B$44)-(B2359)&lt;=0,1,MAX(0,IF(Inputs!$B$39="pvp",15,Inputs!$B$44)-MAX(5,B2359))/(IF(Inputs!$B$39="pvp",15,Inputs!$B$44)-(B2359))))*IF(AND(ArtifactsInput!$M$42,((Inputs!$B$9+((C2340=TRUE)*(F2340-Calc!F26))+B2348+(IF(ArtifactsInput!$M$24,FALSE,TRUE)-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329">
        <f>(1-Summary!$B$11)*T2329+Summary!$B$11*V2329</f>
        <v/>
      </c>
      <c r="P2329">
        <f>IF(B2360=0,0,O2329/B2360)</f>
        <v/>
      </c>
      <c r="Q2329">
        <f>IFERROR(1/IF(Inputs!$B$39="pvp",15,MAX(0.1,Skills!D15-IF(TRUE=TRUE,Inputs!$B$32,0))),0)</f>
        <v/>
      </c>
      <c r="R2329">
        <f>IF(AND(Inputs!$B$39&lt;&gt;"pvp",Inputs!$B$44&gt;0),IF(MAX(0,Inputs!$B$44-B2359)&lt;=0,0,(INT(MAX(0,Inputs!$B$44-B2359)/IF(Inputs!$B$39="pvp",15,MAX(0.1,Skills!D15-IF(TRUE=TRUE,Inputs!$B$32,0))))+1)),0)</f>
        <v/>
      </c>
      <c r="S2329">
        <f>IFERROR(O2329/N2329,0)</f>
        <v/>
      </c>
      <c r="T2329">
        <f>IF(C2329,(H2329*N2329*IF(AND(Inputs!$B$39&lt;&gt;"pvp",Inputs!$B$44&gt;0),((Skills!G15*((R2329-1)*IF(Skills!H15&gt;0,Skills!I15/Skills!H15,1)+IF(Skills!H15&gt;0,MIN(Skills!I15,MAX(0,MAX(0,Inputs!$B$44-B2359)-((R2329-1)*IF(Inputs!$B$39="pvp",15,MAX(0.1,Skills!D15-IF(TRUE=TRUE,Inputs!$B$32,0))))))/Skills!H15,1)))/Inputs!$B$44),G2329*Q2329))*IF(Inputs!$B$39="pvp",1,1+(Inputs!$B$20+0+Skills!P15+B2349+(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Hunt"),CHOOSE(ArtifactsInput!$N$35+1,15,18,21,24,27,30)*(1-EXP(-(0.2*B2352)*5)),0)+IF(AND(ArtifactsInput!$M$22,Inputs!$B$4&lt;&gt;"Chapter Hunt"),CHOOSE(ArtifactsInput!$N$22+1,10,12,14,16,18,20)*((0*(((0.15*B2352*5))^0/1)+1*(((0.15*B2352*5))^1/1)+2*(((0.15*B2352*5))^2/2)+3*(((0.15*B2352*5))^3/6)+4*(((0.15*B2352*5))^4/24)+5*(((0.15*B2352*5))^5/120))/((((0.15*B2352*5))^0/1)+(((0.15*B2352*5))^1/1)+(((0.15*B2352*5))^2/2)+(((0.15*B2352*5))^3/6)+(((0.15*B2352*5))^4/24)+(((0.15*B2352*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2329*(1-MIN(100,(Inputs!$B$9+((C2340=TRUE)*(F2340-Calc!F26))+B2348+(IF(ArtifactsInput!$M$24,FALSE,TRUE)-ArtifactsInput!$M$24)*CHOOSE(ArtifactsInput!$N$24+1,10,12,14,16,18,20)+(IF(AND(Inputs!$B$39&lt;&gt;"pvp",Inputs!$B$44=0),1,IF(IF(Inputs!$B$39="pvp",15,Inputs!$B$44)-(B2359)&lt;=0,1,MAX(0,IF(Inputs!$B$39="pvp",15,Inputs!$B$44)-MAX(5,B2359))/(IF(Inputs!$B$39="pvp",15,Inputs!$B$44)-(B2359))))*IF(AND(ArtifactsInput!$M$42,((Inputs!$B$9+((C2340=TRUE)*(F2340-Calc!F26))+B2348+(IF(ArtifactsInput!$M$24,FALSE,TRUE)-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2329*(MIN(100,(Inputs!$B$9+((C2340=TRUE)*(F2340-Calc!F26))+B2348+(IF(ArtifactsInput!$M$24,FALSE,TRUE)-ArtifactsInput!$M$24)*CHOOSE(ArtifactsInput!$N$24+1,10,12,14,16,18,20)+(IF(AND(Inputs!$B$39&lt;&gt;"pvp",Inputs!$B$44=0),1,IF(IF(Inputs!$B$39="pvp",15,Inputs!$B$44)-(B2359)&lt;=0,1,MAX(0,IF(Inputs!$B$39="pvp",15,Inputs!$B$44)-MAX(5,B2359))/(IF(Inputs!$B$39="pvp",15,Inputs!$B$44)-(B2359))))*IF(AND(ArtifactsInput!$M$42,((Inputs!$B$9+((C2340=TRUE)*(F2340-Calc!F26))+B2348+(IF(ArtifactsInput!$M$24,FALSE,TRUE)-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2329*(1-MIN(100,(Inputs!$B$9+((C2340=TRUE)*(F2340-Calc!F26))+B2348+(IF(ArtifactsInput!$M$24,FALSE,TRUE)-ArtifactsInput!$M$24)*CHOOSE(ArtifactsInput!$N$24+1,10,12,14,16,18,20)+(IF(AND(Inputs!$B$39&lt;&gt;"pvp",Inputs!$B$44=0),1,IF(IF(Inputs!$B$39="pvp",15,Inputs!$B$44)-(B2359)&lt;=0,1,MAX(0,IF(Inputs!$B$39="pvp",15,Inputs!$B$44)-MAX(5,B2359))/(IF(Inputs!$B$39="pvp",15,Inputs!$B$44)-(B2359))))*IF(AND(ArtifactsInput!$M$42,((Inputs!$B$9+((C2340=TRUE)*(F2340-Calc!F26))+B2348+(IF(ArtifactsInput!$M$24,FALSE,TRUE)-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2329*(MIN(100,(Inputs!$B$9+((C2340=TRUE)*(F2340-Calc!F26))+B2348+(IF(ArtifactsInput!$M$24,FALSE,TRUE)-ArtifactsInput!$M$24)*CHOOSE(ArtifactsInput!$N$24+1,10,12,14,16,18,20)+(IF(AND(Inputs!$B$39&lt;&gt;"pvp",Inputs!$B$44=0),1,IF(IF(Inputs!$B$39="pvp",15,Inputs!$B$44)-(B2359)&lt;=0,1,MAX(0,IF(Inputs!$B$39="pvp",15,Inputs!$B$44)-MAX(5,B2359))/(IF(Inputs!$B$39="pvp",15,Inputs!$B$44)-(B2359))))*IF(AND(ArtifactsInput!$M$42,((Inputs!$B$9+((C2340=TRUE)*(F2340-Calc!F26))+B2348+(IF(ArtifactsInput!$M$24,FALSE,TRUE)-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329">
        <f>IF(C2329,(H2329*N2329*IF(AND(Inputs!$B$39&lt;&gt;"pvp",Inputs!$B$44&gt;0),((Skills!G15*((R2329-1)*IF(Skills!H15&gt;0,Skills!I15/Skills!H15,1)+IF(Skills!H15&gt;0,MIN(Skills!I15,MAX(0,MAX(0,Inputs!$B$44-B2359)-((R2329-1)*IF(Inputs!$B$39="pvp",15,MAX(0.1,Skills!D15-IF(TRUE=TRUE,Inputs!$B$32,0))))))/Skills!H15,1)))/Inputs!$B$44),G2329*Q2329))*IF(Inputs!$B$39="pvp",1,(1+(Inputs!$B$21+Skills!Q15+B2349+(IF(ArtifactsInput!$M$33,CHOOSE(ArtifactsInput!$N$33+1,30,36,42,48,54,60),0))+(IF(AND(ArtifactsInput!$M$35,Inputs!$B$4&lt;&gt;"Chapter Hunt"),CHOOSE(ArtifactsInput!$N$35+1,15,18,21,24,27,30)*(1-EXP(-(0.2*B2352)*5)),0)+IF(AND(ArtifactsInput!$M$22,Inputs!$B$4&lt;&gt;"Chapter Hunt"),CHOOSE(ArtifactsInput!$N$22+1,10,12,14,16,18,20)*((0*(((0.15*B2352*5))^0/1)+1*(((0.15*B2352*5))^1/1)+2*(((0.15*B2352*5))^2/2)+3*(((0.15*B2352*5))^3/6)+4*(((0.15*B2352*5))^4/24)+5*(((0.15*B2352*5))^5/120))/((((0.15*B2352*5))^0/1)+(((0.15*B2352*5))^1/1)+(((0.15*B2352*5))^2/2)+(((0.15*B2352*5))^3/6)+(((0.15*B2352*5))^4/24)+(((0.15*B2352*5))^5/120))),0)))/100)*(MIN(MIN(5,0.5*IF(Inputs!$B$3&gt;=75,0.75,0.5)*B2352*(1/Q2318))*Skills!V15,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330">
      <c r="A2330">
        <f>Skills!A16</f>
        <v/>
      </c>
      <c r="B2330">
        <f>Skills!B16</f>
        <v/>
      </c>
      <c r="C2330">
        <f>Inputs!$B$3&gt;=110</f>
        <v/>
      </c>
      <c r="D2330">
        <f>IF(Skills!C16=1,60+Inputs!$B$25+Inputs!$B$29,IF(Skills!C16=2,90+Inputs!$B$26+Inputs!$B$29,IF(Skills!C16=3,120+Inputs!$B$27+Inputs!$B$29,MAX(0,(Inputs!$B$3-100)*3)+Inputs!$B$28+Inputs!$B$29)))</f>
        <v/>
      </c>
      <c r="E2330">
        <f>INDEX(FactorTable!$B$2:$Y$301, MATCH(ROUND(MIN(300,MAX(1,D2330)),0), FactorTable!$A$2:$A$301,0), Skills!M16+1)</f>
        <v/>
      </c>
      <c r="F2330">
        <f>IF(Skills!N16=TRUE,(Skills!L16/10)*(E2330/1000),Skills!L16/10)+Skills!O16</f>
        <v/>
      </c>
      <c r="G2330">
        <f>Skills!G16*IF(Skills!H16&gt;0,IF(Inputs!$B$39="pvp",MIN(Skills!I16,15),Skills!I16)/Skills!H16,1)</f>
        <v/>
      </c>
      <c r="H2330">
        <f>1-(1-Skills!J16/100)^Skills!K16</f>
        <v/>
      </c>
      <c r="I2330" t="inlineStr">
        <is>
          <t>1</t>
        </is>
      </c>
      <c r="J2330" t="inlineStr"/>
      <c r="K2330" t="inlineStr"/>
      <c r="L2330" t="inlineStr"/>
      <c r="M2330" t="inlineStr"/>
      <c r="N2330" t="inlineStr"/>
      <c r="O2330">
        <f>(1-Summary!$B$11)*T2330+Summary!$B$11*V2330</f>
        <v/>
      </c>
      <c r="P2330">
        <f>IF(B2360=0,0,O2330/B2360)</f>
        <v/>
      </c>
      <c r="Q2330">
        <f>IFERROR(1/IF(Inputs!$B$39="pvp",15,MAX(0.1,Skills!D16-IF(TRUE=TRUE,Inputs!$B$32,0))),0)</f>
        <v/>
      </c>
      <c r="R2330">
        <f>IF(AND(Inputs!$B$39&lt;&gt;"pvp",Inputs!$B$44&gt;0),IF(Inputs!$B$44&lt;=0,0,(INT(Inputs!$B$44/IF(Inputs!$B$39="pvp",15,MAX(0.1,Skills!D16-IF(TRUE=TRUE,Inputs!$B$32,0))))+1)),0)</f>
        <v/>
      </c>
      <c r="S2330">
        <f>IFERROR(O2330/N2330,0)</f>
        <v/>
      </c>
      <c r="T2330" t="n">
        <v>0</v>
      </c>
      <c r="V2330" t="n">
        <v>0</v>
      </c>
    </row>
    <row r="2331">
      <c r="A2331">
        <f>Skills!A17</f>
        <v/>
      </c>
      <c r="B2331">
        <f>Skills!B17</f>
        <v/>
      </c>
      <c r="C2331">
        <f>Inputs!$B$3&gt;=115</f>
        <v/>
      </c>
      <c r="D2331">
        <f>IF(Skills!C17=1,60+Inputs!$B$25+Inputs!$B$29,IF(Skills!C17=2,90+Inputs!$B$26+Inputs!$B$29,IF(Skills!C17=3,120+Inputs!$B$27+Inputs!$B$29,MAX(0,(Inputs!$B$3-100)*3)+Inputs!$B$28+Inputs!$B$29)))</f>
        <v/>
      </c>
      <c r="E2331">
        <f>INDEX(FactorTable!$B$2:$Y$301, MATCH(ROUND(MIN(300,MAX(1,D2331)),0), FactorTable!$A$2:$A$301,0), Skills!M17+1)</f>
        <v/>
      </c>
      <c r="F2331">
        <f>IF(Skills!N17=TRUE,(Skills!L17/10)*(E2331/1000),Skills!L17/10)+Skills!O17</f>
        <v/>
      </c>
      <c r="G2331">
        <f>Skills!G17*IF(Skills!H17&gt;0,IF(Inputs!$B$39="pvp",MIN(Skills!I17,15),Skills!I17)/Skills!H17,1)</f>
        <v/>
      </c>
      <c r="H2331">
        <f>1-(1-Skills!J17/100)^Skills!K17</f>
        <v/>
      </c>
      <c r="I2331" t="inlineStr">
        <is>
          <t>1</t>
        </is>
      </c>
      <c r="J2331">
        <f>((Inputs!$B$6*(1+Inputs!$B$7/100))+(((Inputs!$B$12*(1+Inputs!$B$13/100))-(Inputs!$B$12*(1+Inputs!$B$13/100)))+0.25*(Inputs!$B$14-Inputs!$B$14))*(1+Inputs!$B$7/100))*(F2331/100)</f>
        <v/>
      </c>
      <c r="K2331">
        <f>J2331*(1+((Inputs!$B$12*(1+Inputs!$B$13/100))*0.01+Inputs!$B$14*0.0025)/100)*(1+Inputs!$B$15/100)*(1+Inputs!$B$16/100)*(5000/(6000+Inputs!$B$43*(1-(100*(1-(1-Inputs!$B$19/100)*(1-CHOOSE(ArtifactsInput!$N$40+1,5,6,7,8,9,10)/100)^(ArtifactsInput!$M$40-ArtifactsInput!$M$40)))/100)))*(1+(Inputs!$B$24+((C2345=TRUE)*(F2345-Calc!F31))+((C2332=TRUE)*(F2332-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17="CRUEL_STAB",Inputs!$B$17+((C2342=TRUE)*(F2342-Calc!F28))+((IF(AND(Inputs!$B$39&lt;&gt;"pvp",Inputs!$B$44=0),1,IF(IF(Inputs!$B$39="pvp",15,Inputs!$B$44)-(B2359)&lt;=0,1,MAX(0,IF(Inputs!$B$39="pvp",15,Inputs!$B$44)-MAX(5,B2359))/(IF(Inputs!$B$39="pvp",15,Inputs!$B$44)-(B2359))))*(IF(AND(ArtifactsInput!$M$42,((Inputs!$B$9+((C2340=TRUE)*(F2340-Calc!F26))+B2348+(IF(ArtifactsInput!$M$24,FALSE,TRUE)-ArtifactsInput!$M$24)*CHOOSE(ArtifactsInput!$N$24+1,10,12,14,16,18,20)+IF(ArtifactsInput!$M$10,CHOOSE(ArtifactsInput!$N$10+1,15,18,21,24,27,30)*(IF(Inputs!$B$39="pvp",MIN(15,15)/15,IF(AND(Inputs!$B$39&lt;&gt;"pvp",Inputs!$B$44&gt;0),MIN(15,Inputs!$B$44)/(Inputs!$B$44),0))),0)))&gt;=100),MIN(100,((Inputs!$B$9+((C2340=TRUE)*(F2340-Calc!F26))+B2348+(IF(ArtifactsInput!$M$24,FALSE,TRUE)-ArtifactsInput!$M$24)*CHOOSE(ArtifactsInput!$N$24+1,10,12,14,16,18,20)+IF(ArtifactsInput!$M$10,CHOOSE(ArtifactsInput!$N$10+1,15,18,21,24,27,30)*(IF(Inputs!$B$39="pvp",MIN(15,15)/15,IF(AND(Inputs!$B$39&lt;&gt;"pvp",Inputs!$B$44&gt;0),MIN(15,Inputs!$B$44)/(Inputs!$B$44),0))),0)))-100),0))*CHOOSE(ArtifactsInput!$N$42+1,0.6,0.72,0.84,0.96,1.08,1.2))),Inputs!$B$18+((C2343=TRUE)*(F2343-Calc!F29))+(IF(AND(Inputs!$B$39&lt;&gt;"pvp",Inputs!$B$44=0),1,IF(IF(Inputs!$B$39="pvp",15,Inputs!$B$44)-(B2359)&lt;=0,1,MAX(0,IF(Inputs!$B$39="pvp",15,Inputs!$B$44)-MAX(5,B2359))/(IF(Inputs!$B$39="pvp",15,Inputs!$B$44)-(B2359))))*IF(AND(ArtifactsInput!$M$42,((Inputs!$B$9+((C2340=TRUE)*(F2340-Calc!F26))+B2348+(IF(ArtifactsInput!$M$24,FALSE,TRUE)-ArtifactsInput!$M$24)*CHOOSE(ArtifactsInput!$N$24+1,10,12,14,16,18,20)+IF(ArtifactsInput!$M$10,CHOOSE(ArtifactsInput!$N$10+1,15,18,21,24,27,30)*(IF(Inputs!$B$39="pvp",MIN(15,15)/15,IF(AND(Inputs!$B$39&lt;&gt;"pvp",Inputs!$B$44&gt;0),MIN(15,Inputs!$B$44)/(Inputs!$B$44),0))),0)))&gt;=100),CHOOSE(ArtifactsInput!$N$42+1,40,48,56,64,72,80),0))))/100)*(((1+(((C2336=TRUE)*F2336*IF(AND(Inputs!$B$39&lt;&gt;"pvp",Inputs!$B$44&gt;0),(((R2336-1)*MIN((Skills!Y22*(1+Inputs!$B$34/100)),(1/Q2336))+MIN((Skills!Y22*(1+Inputs!$B$34/100)),MAX(0,Inputs!$B$44-((R2336-1)*(1/Q2336)))))/Inputs!$B$44),IF(Inputs!$B$39="pvp",MIN((Skills!Y22*(1+Inputs!$B$34/100)),15)/15,MIN(1,(Skills!Y22*(1+Inputs!$B$34/100))/(1/Q2336)))))+((C2317=TRUE)*F2317*3)+((C2319=TRUE)*F2319*(1-EXP(-0.75*B2352*5)))+((C2338=TRUE)*(F2338-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2325=TRUE)*F2325*IF(AND(Inputs!$B$39&lt;&gt;"pvp",Inputs!$B$44&gt;0),(((R2325-1)*MIN((Skills!Y11*(1+Inputs!$B$34/100)),(1/Q2325))+MIN((Skills!Y11*(1+Inputs!$B$34/100)),MAX(0,Inputs!$B$44-((R2325-1)*(1/Q2325)))))/Inputs!$B$44),IF(Inputs!$B$39="pvp",MIN((Skills!Y11*(1+Inputs!$B$34/100)),15)/15,MIN(1,(Skills!Y11*(1+Inputs!$B$34/100))/(1/Q2325)))))/100)*(1+((C2330=TRUE)*F2330*IF(AND(Inputs!$B$39&lt;&gt;"pvp",Inputs!$B$44&gt;0),(((R2330-1)*MIN((Skills!Y16*(1+Inputs!$B$34/100)),(1/Q2330))+MIN((Skills!Y16*(1+Inputs!$B$34/100)),MAX(0,Inputs!$B$44-((R2330-1)*(1/Q2330)))))/Inputs!$B$44),IF(Inputs!$B$39="pvp",MIN((Skills!Y16*(1+Inputs!$B$34/100)),15)/15,MIN(1,(Skills!Y16*(1+Inputs!$B$34/100))/(1/Q2330)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2350*I2331)</f>
        <v/>
      </c>
      <c r="L2331">
        <f>K2331*(MIN(Inputs!$B$22+((C2339=TRUE)*(F2339-Calc!F25)),(Inputs!$B$23+((C2344=TRUE)*(F2344-Calc!F30))+IF(ArtifactsInput!$M$15,CHOOSE(ArtifactsInput!$N$15+1,25,30,35,40,45,50)/100*(Inputs!$B$11-Inputs!$B$11),0)))/100+(Inputs!$B$23+((C2344=TRUE)*(F2344-Calc!F30))+IF(ArtifactsInput!$M$15,CHOOSE(ArtifactsInput!$N$15+1,25,30,35,40,45,50)/100*(Inputs!$B$11-Inputs!$B$11),0))/100)/2</f>
        <v/>
      </c>
      <c r="M2331">
        <f>L2331*(1+(Inputs!$B$10+((C2341=TRUE)*(F2341-Calc!F27))+B2355+((IF(IF(ArtifactsInput!$M$24,FALSE,TRUE),1,-1)*CHOOSE(ArtifactsInput!$N$24+1,30,36,42,48,54,60)/100*IF(IF(ArtifactsInput!$M$24,FALSE,TRUE),(Inputs!$B$9+((C2340=TRUE)*(F2340-Calc!F26))+B2348+(IF(ArtifactsInput!$M$24,FALSE,TRUE)-ArtifactsInput!$M$24)*CHOOSE(ArtifactsInput!$N$24+1,10,12,14,16,18,20)+IF(AND(Inputs!$B$39&lt;&gt;"pvp",Inputs!$B$44=0),1,IF(IF(Inputs!$B$39="pvp",15,Inputs!$B$44)-(B2359)&lt;=0,1,MAX(0,IF(Inputs!$B$39="pvp",15,Inputs!$B$44)-MAX(5,B2359))/(IF(Inputs!$B$39="pvp",15,Inputs!$B$44)-(B2359))))*IF(AND(ArtifactsInput!$M$42,((Inputs!$B$9+((C2340=TRUE)*(F2340-Calc!F26))+B2348+(IF(ArtifactsInput!$M$24,FALSE,TRUE)-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nputs!$B$9+Summary!$B$14+Artifacts!$B$5+Artifacts!$B$29)))+IF(ArtifactsInput!$M$10,CHOOSE(ArtifactsInput!$N$10+1,20,24,28,32,36,40)*(IF(Inputs!$B$39="pvp",MIN(15,15)/15,IF(AND(Inputs!$B$39&lt;&gt;"pvp",Inputs!$B$44&gt;0),MIN(15,Inputs!$B$44)/(Inputs!$B$44),0))),0)+IF(ArtifactsInput!$M$31,1.5*CHOOSE(ArtifactsInput!$N$31+1,20,24,28,32,36,40),0)))/100)</f>
        <v/>
      </c>
      <c r="N2331">
        <f>L2331*(1-MIN((Inputs!$B$9+((C2340=TRUE)*(F2340-Calc!F26))+B2348+(IF(ArtifactsInput!$M$24,FALSE,TRUE)-ArtifactsInput!$M$24)*CHOOSE(ArtifactsInput!$N$24+1,10,12,14,16,18,20)+(IF(AND(Inputs!$B$39&lt;&gt;"pvp",Inputs!$B$44=0),1,IF(IF(Inputs!$B$39="pvp",15,Inputs!$B$44)-(B2359)&lt;=0,1,MAX(0,IF(Inputs!$B$39="pvp",15,Inputs!$B$44)-MAX(5,B2359))/(IF(Inputs!$B$39="pvp",15,Inputs!$B$44)-(B2359))))*IF(AND(ArtifactsInput!$M$42,((Inputs!$B$9+((C2340=TRUE)*(F2340-Calc!F26))+B2348+(IF(ArtifactsInput!$M$24,FALSE,TRUE)-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2331*(MIN((Inputs!$B$9+((C2340=TRUE)*(F2340-Calc!F26))+B2348+(IF(ArtifactsInput!$M$24,FALSE,TRUE)-ArtifactsInput!$M$24)*CHOOSE(ArtifactsInput!$N$24+1,10,12,14,16,18,20)+(IF(AND(Inputs!$B$39&lt;&gt;"pvp",Inputs!$B$44=0),1,IF(IF(Inputs!$B$39="pvp",15,Inputs!$B$44)-(B2359)&lt;=0,1,MAX(0,IF(Inputs!$B$39="pvp",15,Inputs!$B$44)-MAX(5,B2359))/(IF(Inputs!$B$39="pvp",15,Inputs!$B$44)-(B2359))))*IF(AND(ArtifactsInput!$M$42,((Inputs!$B$9+((C2340=TRUE)*(F2340-Calc!F26))+B2348+(IF(ArtifactsInput!$M$24,FALSE,TRUE)-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331">
        <f>(1-Summary!$B$11)*T2331+Summary!$B$11*V2331</f>
        <v/>
      </c>
      <c r="P2331">
        <f>IF(B2360=0,0,O2331/B2360)</f>
        <v/>
      </c>
      <c r="Q2331" t="n">
        <v>0</v>
      </c>
      <c r="R2331" t="n">
        <v>0</v>
      </c>
      <c r="S2331">
        <f>IFERROR(O2331/N2331,0)</f>
        <v/>
      </c>
      <c r="T2331">
        <f>IF(C2331,(Inputs!$B$38*0.2*N2331)*IF(Inputs!$B$39="pvp",1,1+(Inputs!$B$20+0+Skills!P17+B2349+(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Hunt"),CHOOSE(ArtifactsInput!$N$35+1,15,18,21,24,27,30)*(1-EXP(-(0.2*B2352)*5)),0)+IF(AND(ArtifactsInput!$M$22,Inputs!$B$4&lt;&gt;"Chapter Hunt"),CHOOSE(ArtifactsInput!$N$22+1,10,12,14,16,18,20)*((0*(((0.15*B2352*5))^0/1)+1*(((0.15*B2352*5))^1/1)+2*(((0.15*B2352*5))^2/2)+3*(((0.15*B2352*5))^3/6)+4*(((0.15*B2352*5))^4/24)+5*(((0.15*B2352*5))^5/120))/((((0.15*B2352*5))^0/1)+(((0.15*B2352*5))^1/1)+(((0.15*B2352*5))^2/2)+(((0.15*B2352*5))^3/6)+(((0.15*B2352*5))^4/24)+(((0.15*B2352*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2331*(1-MIN(100,(Inputs!$B$9+((C2340=TRUE)*(F2340-Calc!F26))+B2348+(IF(ArtifactsInput!$M$24,FALSE,TRUE)-ArtifactsInput!$M$24)*CHOOSE(ArtifactsInput!$N$24+1,10,12,14,16,18,20)+(IF(AND(Inputs!$B$39&lt;&gt;"pvp",Inputs!$B$44=0),1,IF(IF(Inputs!$B$39="pvp",15,Inputs!$B$44)-(B2359)&lt;=0,1,MAX(0,IF(Inputs!$B$39="pvp",15,Inputs!$B$44)-MAX(5,B2359))/(IF(Inputs!$B$39="pvp",15,Inputs!$B$44)-(B2359))))*IF(AND(ArtifactsInput!$M$42,((Inputs!$B$9+((C2340=TRUE)*(F2340-Calc!F26))+B2348+(IF(ArtifactsInput!$M$24,FALSE,TRUE)-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2331*(MIN(100,(Inputs!$B$9+((C2340=TRUE)*(F2340-Calc!F26))+B2348+(IF(ArtifactsInput!$M$24,FALSE,TRUE)-ArtifactsInput!$M$24)*CHOOSE(ArtifactsInput!$N$24+1,10,12,14,16,18,20)+(IF(AND(Inputs!$B$39&lt;&gt;"pvp",Inputs!$B$44=0),1,IF(IF(Inputs!$B$39="pvp",15,Inputs!$B$44)-(B2359)&lt;=0,1,MAX(0,IF(Inputs!$B$39="pvp",15,Inputs!$B$44)-MAX(5,B2359))/(IF(Inputs!$B$39="pvp",15,Inputs!$B$44)-(B2359))))*IF(AND(ArtifactsInput!$M$42,((Inputs!$B$9+((C2340=TRUE)*(F2340-Calc!F26))+B2348+(IF(ArtifactsInput!$M$24,FALSE,TRUE)-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2331*(1-MIN(100,(Inputs!$B$9+((C2340=TRUE)*(F2340-Calc!F26))+B2348+(IF(ArtifactsInput!$M$24,FALSE,TRUE)-ArtifactsInput!$M$24)*CHOOSE(ArtifactsInput!$N$24+1,10,12,14,16,18,20)+(IF(AND(Inputs!$B$39&lt;&gt;"pvp",Inputs!$B$44=0),1,IF(IF(Inputs!$B$39="pvp",15,Inputs!$B$44)-(B2359)&lt;=0,1,MAX(0,IF(Inputs!$B$39="pvp",15,Inputs!$B$44)-MAX(5,B2359))/(IF(Inputs!$B$39="pvp",15,Inputs!$B$44)-(B2359))))*IF(AND(ArtifactsInput!$M$42,((Inputs!$B$9+((C2340=TRUE)*(F2340-Calc!F26))+B2348+(IF(ArtifactsInput!$M$24,FALSE,TRUE)-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2331*(MIN(100,(Inputs!$B$9+((C2340=TRUE)*(F2340-Calc!F26))+B2348+(IF(ArtifactsInput!$M$24,FALSE,TRUE)-ArtifactsInput!$M$24)*CHOOSE(ArtifactsInput!$N$24+1,10,12,14,16,18,20)+(IF(AND(Inputs!$B$39&lt;&gt;"pvp",Inputs!$B$44=0),1,IF(IF(Inputs!$B$39="pvp",15,Inputs!$B$44)-(B2359)&lt;=0,1,MAX(0,IF(Inputs!$B$39="pvp",15,Inputs!$B$44)-MAX(5,B2359))/(IF(Inputs!$B$39="pvp",15,Inputs!$B$44)-(B2359))))*IF(AND(ArtifactsInput!$M$42,((Inputs!$B$9+((C2340=TRUE)*(F2340-Calc!F26))+B2348+(IF(ArtifactsInput!$M$24,FALSE,TRUE)-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331">
        <f>IF(C2331,(Inputs!$B$38*0.2*N2331)*IF(Inputs!$B$39="pvp",1,(1+(Inputs!$B$21+Skills!Q17+B2349+(IF(ArtifactsInput!$M$33,CHOOSE(ArtifactsInput!$N$33+1,30,36,42,48,54,60),0))+(IF(AND(ArtifactsInput!$M$35,Inputs!$B$4&lt;&gt;"Chapter Hunt"),CHOOSE(ArtifactsInput!$N$35+1,15,18,21,24,27,30)*(1-EXP(-(0.2*B2352)*5)),0)+IF(AND(ArtifactsInput!$M$22,Inputs!$B$4&lt;&gt;"Chapter Hunt"),CHOOSE(ArtifactsInput!$N$22+1,10,12,14,16,18,20)*((0*(((0.15*B2352*5))^0/1)+1*(((0.15*B2352*5))^1/1)+2*(((0.15*B2352*5))^2/2)+3*(((0.15*B2352*5))^3/6)+4*(((0.15*B2352*5))^4/24)+5*(((0.15*B2352*5))^5/120))/((((0.15*B2352*5))^0/1)+(((0.15*B2352*5))^1/1)+(((0.15*B2352*5))^2/2)+(((0.15*B2352*5))^3/6)+(((0.15*B2352*5))^4/24)+(((0.15*B2352*5))^5/120))),0)))/100)*(MIN(Skills!W17,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332">
      <c r="A2332">
        <f>Skills!A18</f>
        <v/>
      </c>
      <c r="B2332">
        <f>Skills!B18</f>
        <v/>
      </c>
      <c r="C2332">
        <f>Inputs!$B$3&gt;=115</f>
        <v/>
      </c>
      <c r="D2332">
        <f>IF(Skills!C18=1,60+Inputs!$B$25+Inputs!$B$29,IF(Skills!C18=2,90+Inputs!$B$26+Inputs!$B$29,IF(Skills!C18=3,120+Inputs!$B$27+Inputs!$B$29,MAX(0,(Inputs!$B$3-100)*3)+Inputs!$B$28+Inputs!$B$29)))</f>
        <v/>
      </c>
      <c r="E2332">
        <f>INDEX(FactorTable!$B$2:$Y$301, MATCH(ROUND(MIN(300,MAX(1,D2332)),0), FactorTable!$A$2:$A$301,0), Skills!M18+1)</f>
        <v/>
      </c>
      <c r="F2332">
        <f>IF(Skills!N18=TRUE,(Skills!L18/10)*(E2332/1000),Skills!L18/10)+Skills!O18</f>
        <v/>
      </c>
      <c r="G2332">
        <f>Skills!G18*IF(Skills!H18&gt;0,IF(Inputs!$B$39="pvp",MIN(Skills!I18,15),Skills!I18)/Skills!H18,1)</f>
        <v/>
      </c>
      <c r="H2332">
        <f>1-(1-Skills!J18/100)^Skills!K18</f>
        <v/>
      </c>
      <c r="I2332" t="inlineStr">
        <is>
          <t>1</t>
        </is>
      </c>
      <c r="J2332" t="inlineStr"/>
      <c r="K2332" t="inlineStr"/>
      <c r="L2332" t="inlineStr"/>
      <c r="M2332" t="inlineStr"/>
      <c r="N2332" t="inlineStr"/>
      <c r="O2332">
        <f>(1-Summary!$B$11)*T2332+Summary!$B$11*V2332</f>
        <v/>
      </c>
      <c r="P2332">
        <f>IF(B2360=0,0,O2332/B2360)</f>
        <v/>
      </c>
      <c r="Q2332" t="n">
        <v>0</v>
      </c>
      <c r="R2332" t="n">
        <v>0</v>
      </c>
      <c r="S2332">
        <f>IFERROR(O2332/N2332,0)</f>
        <v/>
      </c>
      <c r="T2332" t="n">
        <v>0</v>
      </c>
      <c r="V2332" t="n">
        <v>0</v>
      </c>
    </row>
    <row r="2333">
      <c r="A2333">
        <f>Skills!A19</f>
        <v/>
      </c>
      <c r="B2333">
        <f>Skills!B19</f>
        <v/>
      </c>
      <c r="C2333">
        <f>Inputs!$B$3&gt;=100</f>
        <v/>
      </c>
      <c r="D2333">
        <f>IF(Skills!C19=1,60+Inputs!$B$25+Inputs!$B$29,IF(Skills!C19=2,90+Inputs!$B$26+Inputs!$B$29,IF(Skills!C19=3,120+Inputs!$B$27+Inputs!$B$29,MAX(0,(Inputs!$B$3-100)*3)+Inputs!$B$28+Inputs!$B$29)))</f>
        <v/>
      </c>
      <c r="E2333">
        <f>INDEX(FactorTable!$B$2:$Y$301, MATCH(ROUND(MIN(300,MAX(1,D2333)),0), FactorTable!$A$2:$A$301,0), Skills!M19+1)</f>
        <v/>
      </c>
      <c r="F2333">
        <f>IF(Skills!N19=TRUE,(Skills!L19/10)*(E2333/1000),Skills!L19/10)+Skills!O19</f>
        <v/>
      </c>
      <c r="G2333">
        <f>Skills!G19*IF(Skills!H19&gt;0,IF(Inputs!$B$39="pvp",MIN(Skills!I19,15),Skills!I19)/Skills!H19,1)</f>
        <v/>
      </c>
      <c r="H2333">
        <f>1-(1-Skills!J19/100)^Skills!K19</f>
        <v/>
      </c>
      <c r="I2333" t="inlineStr">
        <is>
          <t>1</t>
        </is>
      </c>
      <c r="J2333" t="inlineStr"/>
      <c r="K2333" t="inlineStr"/>
      <c r="L2333" t="inlineStr"/>
      <c r="M2333" t="inlineStr"/>
      <c r="N2333" t="inlineStr"/>
      <c r="O2333">
        <f>(1-Summary!$B$11)*T2333+Summary!$B$11*V2333</f>
        <v/>
      </c>
      <c r="P2333">
        <f>IF(B2360=0,0,O2333/B2360)</f>
        <v/>
      </c>
      <c r="Q2333" t="n">
        <v>0</v>
      </c>
      <c r="R2333" t="n">
        <v>0</v>
      </c>
      <c r="S2333">
        <f>IFERROR(O2333/N2333,0)</f>
        <v/>
      </c>
      <c r="T2333" t="n">
        <v>0</v>
      </c>
      <c r="V2333" t="n">
        <v>0</v>
      </c>
    </row>
    <row r="2334">
      <c r="A2334">
        <f>Skills!A20</f>
        <v/>
      </c>
      <c r="B2334">
        <f>Skills!B20</f>
        <v/>
      </c>
      <c r="C2334">
        <f>TRUE</f>
        <v/>
      </c>
      <c r="D2334">
        <f>IF(Skills!C20=1,60+Inputs!$B$25+Inputs!$B$29,IF(Skills!C20=2,90+Inputs!$B$26+Inputs!$B$29,IF(Skills!C20=3,120+Inputs!$B$27+Inputs!$B$29,MAX(0,(Inputs!$B$3-100)*3)+Inputs!$B$28+Inputs!$B$29)))</f>
        <v/>
      </c>
      <c r="E2334">
        <f>INDEX(FactorTable!$B$2:$Y$301, MATCH(ROUND(MIN(300,MAX(1,D2334)),0), FactorTable!$A$2:$A$301,0), Skills!M20+1)</f>
        <v/>
      </c>
      <c r="F2334">
        <f>IF(Skills!N20=TRUE,(Skills!L20/10)*(E2334/1000),Skills!L20/10)+Skills!O20</f>
        <v/>
      </c>
      <c r="G2334">
        <f>Skills!G20*IF(Skills!H20&gt;0,IF(Inputs!$B$39="pvp",MIN(Skills!I20,15),Skills!I20)/Skills!H20,1)</f>
        <v/>
      </c>
      <c r="H2334">
        <f>1-(1-Skills!J20/100)^Skills!K20</f>
        <v/>
      </c>
      <c r="I2334" t="inlineStr">
        <is>
          <t>1</t>
        </is>
      </c>
      <c r="J2334" t="inlineStr"/>
      <c r="K2334" t="inlineStr"/>
      <c r="L2334" t="inlineStr"/>
      <c r="M2334" t="inlineStr"/>
      <c r="N2334" t="inlineStr"/>
      <c r="O2334">
        <f>(1-Summary!$B$11)*T2334+Summary!$B$11*V2334</f>
        <v/>
      </c>
      <c r="P2334">
        <f>IF(B2360=0,0,O2334/B2360)</f>
        <v/>
      </c>
      <c r="Q2334">
        <f>IFERROR(1/IF(Inputs!$B$39="pvp",15,MAX(0.1,Skills!D20-IF(TRUE=TRUE,Inputs!$B$32,0))),0)</f>
        <v/>
      </c>
      <c r="R2334">
        <f>IF(AND(Inputs!$B$39&lt;&gt;"pvp",Inputs!$B$44&gt;0),IF(Inputs!$B$44&lt;=0,0,(INT(Inputs!$B$44/IF(Inputs!$B$39="pvp",15,MAX(0.1,Skills!D20-IF(TRUE=TRUE,Inputs!$B$32,0))))+1)),0)</f>
        <v/>
      </c>
      <c r="S2334">
        <f>IFERROR(O2334/N2334,0)</f>
        <v/>
      </c>
      <c r="T2334" t="n">
        <v>0</v>
      </c>
      <c r="V2334" t="n">
        <v>0</v>
      </c>
    </row>
    <row r="2335">
      <c r="A2335">
        <f>Skills!A21</f>
        <v/>
      </c>
      <c r="B2335">
        <f>Skills!B21</f>
        <v/>
      </c>
      <c r="C2335">
        <f>Inputs!$B$3&gt;=15</f>
        <v/>
      </c>
      <c r="D2335">
        <f>IF(Skills!C21=1,60+Inputs!$B$25+Inputs!$B$29,IF(Skills!C21=2,90+Inputs!$B$26+Inputs!$B$29,IF(Skills!C21=3,120+Inputs!$B$27+Inputs!$B$29,MAX(0,(Inputs!$B$3-100)*3)+Inputs!$B$28+Inputs!$B$29)))</f>
        <v/>
      </c>
      <c r="E2335">
        <f>INDEX(FactorTable!$B$2:$Y$301, MATCH(ROUND(MIN(300,MAX(1,D2335)),0), FactorTable!$A$2:$A$301,0), Skills!M21+1)</f>
        <v/>
      </c>
      <c r="F2335">
        <f>IF(Skills!N21=TRUE,(Skills!L21/10)*(E2335/1000),Skills!L21/10)+Skills!O21</f>
        <v/>
      </c>
      <c r="G2335">
        <f>Skills!G21*IF(Skills!H21&gt;0,IF(Inputs!$B$39="pvp",MIN(Skills!I21,15),Skills!I21)/Skills!H21,1)</f>
        <v/>
      </c>
      <c r="H2335">
        <f>1-(1-Skills!J21/100)^Skills!K21</f>
        <v/>
      </c>
      <c r="I2335" t="inlineStr">
        <is>
          <t>1</t>
        </is>
      </c>
      <c r="J2335" t="inlineStr"/>
      <c r="K2335" t="inlineStr"/>
      <c r="L2335" t="inlineStr"/>
      <c r="M2335" t="inlineStr"/>
      <c r="N2335" t="inlineStr"/>
      <c r="O2335">
        <f>(1-Summary!$B$11)*T2335+Summary!$B$11*V2335</f>
        <v/>
      </c>
      <c r="P2335">
        <f>IF(B2360=0,0,O2335/B2360)</f>
        <v/>
      </c>
      <c r="Q2335">
        <f>IFERROR(1/IF(Inputs!$B$39="pvp",15,MAX(0.1,Skills!D21-IF(TRUE=TRUE,Inputs!$B$32,0))),0)</f>
        <v/>
      </c>
      <c r="R2335">
        <f>IF(AND(Inputs!$B$39&lt;&gt;"pvp",Inputs!$B$44&gt;0),IF(Inputs!$B$44&lt;=0,0,(INT(Inputs!$B$44/IF(Inputs!$B$39="pvp",15,MAX(0.1,Skills!D21-IF(TRUE=TRUE,Inputs!$B$32,0))))+1)),0)</f>
        <v/>
      </c>
      <c r="S2335">
        <f>IFERROR(O2335/N2335,0)</f>
        <v/>
      </c>
      <c r="T2335" t="n">
        <v>0</v>
      </c>
      <c r="V2335" t="n">
        <v>0</v>
      </c>
    </row>
    <row r="2336">
      <c r="A2336">
        <f>Skills!A22</f>
        <v/>
      </c>
      <c r="B2336">
        <f>Skills!B22</f>
        <v/>
      </c>
      <c r="C2336">
        <f>Inputs!$B$3&gt;=15</f>
        <v/>
      </c>
      <c r="D2336">
        <f>IF(Skills!C22=1,60+Inputs!$B$25+Inputs!$B$29,IF(Skills!C22=2,90+Inputs!$B$26+Inputs!$B$29,IF(Skills!C22=3,120+Inputs!$B$27+Inputs!$B$29,MAX(0,(Inputs!$B$3-100)*3)+Inputs!$B$28+Inputs!$B$29)))</f>
        <v/>
      </c>
      <c r="E2336">
        <f>INDEX(FactorTable!$B$2:$Y$301, MATCH(ROUND(MIN(300,MAX(1,D2336)),0), FactorTable!$A$2:$A$301,0), Skills!M22+1)</f>
        <v/>
      </c>
      <c r="F2336">
        <f>IF(Skills!N22=TRUE,(Skills!L22/10)*(E2336/1000),Skills!L22/10)+Skills!O22</f>
        <v/>
      </c>
      <c r="G2336">
        <f>Skills!G22*IF(Skills!H22&gt;0,IF(Inputs!$B$39="pvp",MIN(Skills!I22,15),Skills!I22)/Skills!H22,1)</f>
        <v/>
      </c>
      <c r="H2336">
        <f>1-(1-Skills!J22/100)^Skills!K22</f>
        <v/>
      </c>
      <c r="I2336" t="inlineStr">
        <is>
          <t>1</t>
        </is>
      </c>
      <c r="J2336" t="inlineStr"/>
      <c r="K2336" t="inlineStr"/>
      <c r="L2336" t="inlineStr"/>
      <c r="M2336" t="inlineStr"/>
      <c r="N2336" t="inlineStr"/>
      <c r="O2336">
        <f>(1-Summary!$B$11)*T2336+Summary!$B$11*V2336</f>
        <v/>
      </c>
      <c r="P2336">
        <f>IF(B2360=0,0,O2336/B2360)</f>
        <v/>
      </c>
      <c r="Q2336">
        <f>IFERROR(1/IF(Inputs!$B$39="pvp",15,MAX(0.1,Skills!D22-IF(TRUE=TRUE,Inputs!$B$32,0))),0)</f>
        <v/>
      </c>
      <c r="R2336">
        <f>IF(AND(Inputs!$B$39&lt;&gt;"pvp",Inputs!$B$44&gt;0),IF(Inputs!$B$44&lt;=0,0,(INT(Inputs!$B$44/IF(Inputs!$B$39="pvp",15,MAX(0.1,Skills!D22-IF(TRUE=TRUE,Inputs!$B$32,0))))+1)),0)</f>
        <v/>
      </c>
      <c r="S2336">
        <f>IFERROR(O2336/N2336,0)</f>
        <v/>
      </c>
      <c r="T2336" t="n">
        <v>0</v>
      </c>
      <c r="V2336" t="n">
        <v>0</v>
      </c>
    </row>
    <row r="2337">
      <c r="A2337">
        <f>Skills!A23</f>
        <v/>
      </c>
      <c r="B2337">
        <f>Skills!B23</f>
        <v/>
      </c>
      <c r="C2337">
        <f>Inputs!$B$3&gt;=33</f>
        <v/>
      </c>
      <c r="D2337">
        <f>IF(Skills!C23=1,60+Inputs!$B$25+Inputs!$B$29,IF(Skills!C23=2,90+Inputs!$B$26+Inputs!$B$29,IF(Skills!C23=3,120+Inputs!$B$27+Inputs!$B$29,MAX(0,(Inputs!$B$3-100)*3)+Inputs!$B$28+Inputs!$B$29)))</f>
        <v/>
      </c>
      <c r="E2337">
        <f>INDEX(FactorTable!$B$2:$Y$301, MATCH(ROUND(MIN(300,MAX(1,D2337)),0), FactorTable!$A$2:$A$301,0), Skills!M23+1)</f>
        <v/>
      </c>
      <c r="F2337">
        <f>IF(Skills!N23=TRUE,(Skills!L23/10)*(E2337/1000),Skills!L23/10)+Skills!O23</f>
        <v/>
      </c>
      <c r="G2337">
        <f>Skills!G23*IF(Skills!H23&gt;0,IF(Inputs!$B$39="pvp",MIN(Skills!I23,15),Skills!I23)/Skills!H23,1)</f>
        <v/>
      </c>
      <c r="H2337">
        <f>1-(1-Skills!J23/100)^Skills!K23</f>
        <v/>
      </c>
      <c r="I2337" t="inlineStr">
        <is>
          <t>1</t>
        </is>
      </c>
      <c r="J2337" t="inlineStr"/>
      <c r="K2337" t="inlineStr"/>
      <c r="L2337" t="inlineStr"/>
      <c r="M2337" t="inlineStr"/>
      <c r="N2337" t="inlineStr"/>
      <c r="O2337">
        <f>(1-Summary!$B$11)*T2337+Summary!$B$11*V2337</f>
        <v/>
      </c>
      <c r="P2337">
        <f>IF(B2360=0,0,O2337/B2360)</f>
        <v/>
      </c>
      <c r="Q2337" t="n">
        <v>0</v>
      </c>
      <c r="R2337" t="n">
        <v>0</v>
      </c>
      <c r="S2337">
        <f>IFERROR(O2337/N2337,0)</f>
        <v/>
      </c>
      <c r="T2337" t="n">
        <v>0</v>
      </c>
      <c r="V2337" t="n">
        <v>0</v>
      </c>
    </row>
    <row r="2338">
      <c r="A2338">
        <f>Skills!A24</f>
        <v/>
      </c>
      <c r="B2338">
        <f>Skills!B24</f>
        <v/>
      </c>
      <c r="C2338">
        <f>Inputs!$B$3&gt;=40</f>
        <v/>
      </c>
      <c r="D2338">
        <f>IF(Skills!C24=1,60+Inputs!$B$25+Inputs!$B$29,IF(Skills!C24=2,90+Inputs!$B$26+Inputs!$B$29,IF(Skills!C24=3,120+Inputs!$B$27+Inputs!$B$29,MAX(0,(Inputs!$B$3-100)*3)+Inputs!$B$28+Inputs!$B$29)))</f>
        <v/>
      </c>
      <c r="E2338">
        <f>INDEX(FactorTable!$B$2:$Y$301, MATCH(ROUND(MIN(300,MAX(1,D2338)),0), FactorTable!$A$2:$A$301,0), Skills!M24+1)</f>
        <v/>
      </c>
      <c r="F2338">
        <f>IF(Skills!N24=TRUE,(Skills!L24/10)*(E2338/1000),Skills!L24/10)+Skills!O24</f>
        <v/>
      </c>
      <c r="G2338">
        <f>Skills!G24*IF(Skills!H24&gt;0,IF(Inputs!$B$39="pvp",MIN(Skills!I24,15),Skills!I24)/Skills!H24,1)</f>
        <v/>
      </c>
      <c r="H2338">
        <f>1-(1-Skills!J24/100)^Skills!K24</f>
        <v/>
      </c>
      <c r="I2338" t="inlineStr">
        <is>
          <t>1</t>
        </is>
      </c>
      <c r="J2338" t="inlineStr"/>
      <c r="K2338" t="inlineStr"/>
      <c r="L2338" t="inlineStr"/>
      <c r="M2338" t="inlineStr"/>
      <c r="N2338" t="inlineStr"/>
      <c r="O2338">
        <f>(1-Summary!$B$11)*T2338+Summary!$B$11*V2338</f>
        <v/>
      </c>
      <c r="P2338">
        <f>IF(B2360=0,0,O2338/B2360)</f>
        <v/>
      </c>
      <c r="Q2338" t="n">
        <v>0</v>
      </c>
      <c r="R2338" t="n">
        <v>0</v>
      </c>
      <c r="S2338">
        <f>IFERROR(O2338/N2338,0)</f>
        <v/>
      </c>
      <c r="T2338" t="n">
        <v>0</v>
      </c>
      <c r="V2338" t="n">
        <v>0</v>
      </c>
    </row>
    <row r="2339">
      <c r="A2339">
        <f>Skills!A25</f>
        <v/>
      </c>
      <c r="B2339">
        <f>Skills!B25</f>
        <v/>
      </c>
      <c r="C2339">
        <f>Inputs!$B$3&gt;=43</f>
        <v/>
      </c>
      <c r="D2339">
        <f>IF(Skills!C25=1,60+Inputs!$B$25+Inputs!$B$29,IF(Skills!C25=2,90+Inputs!$B$26+Inputs!$B$29,IF(Skills!C25=3,120+Inputs!$B$27+Inputs!$B$29,MAX(0,(Inputs!$B$3-100)*3)+Inputs!$B$28+Inputs!$B$29)))</f>
        <v/>
      </c>
      <c r="E2339">
        <f>INDEX(FactorTable!$B$2:$Y$301, MATCH(ROUND(MIN(300,MAX(1,D2339)),0), FactorTable!$A$2:$A$301,0), Skills!M25+1)</f>
        <v/>
      </c>
      <c r="F2339">
        <f>IF(Skills!N25=TRUE,(Skills!L25/10)*(E2339/1000),Skills!L25/10)+Skills!O25</f>
        <v/>
      </c>
      <c r="G2339">
        <f>Skills!G25*IF(Skills!H25&gt;0,IF(Inputs!$B$39="pvp",MIN(Skills!I25,15),Skills!I25)/Skills!H25,1)</f>
        <v/>
      </c>
      <c r="H2339">
        <f>1-(1-Skills!J25/100)^Skills!K25</f>
        <v/>
      </c>
      <c r="I2339" t="inlineStr">
        <is>
          <t>1</t>
        </is>
      </c>
      <c r="J2339" t="inlineStr"/>
      <c r="K2339" t="inlineStr"/>
      <c r="L2339" t="inlineStr"/>
      <c r="M2339" t="inlineStr"/>
      <c r="N2339" t="inlineStr"/>
      <c r="O2339">
        <f>(1-Summary!$B$11)*T2339+Summary!$B$11*V2339</f>
        <v/>
      </c>
      <c r="P2339">
        <f>IF(B2360=0,0,O2339/B2360)</f>
        <v/>
      </c>
      <c r="Q2339" t="n">
        <v>0</v>
      </c>
      <c r="R2339" t="n">
        <v>0</v>
      </c>
      <c r="S2339">
        <f>IFERROR(O2339/N2339,0)</f>
        <v/>
      </c>
      <c r="T2339" t="n">
        <v>0</v>
      </c>
      <c r="V2339" t="n">
        <v>0</v>
      </c>
    </row>
    <row r="2340">
      <c r="A2340">
        <f>Skills!A26</f>
        <v/>
      </c>
      <c r="B2340">
        <f>Skills!B26</f>
        <v/>
      </c>
      <c r="C2340">
        <f>Inputs!$B$3&gt;=50</f>
        <v/>
      </c>
      <c r="D2340">
        <f>IF(Skills!C26=1,60+Inputs!$B$25+Inputs!$B$29,IF(Skills!C26=2,90+Inputs!$B$26+Inputs!$B$29,IF(Skills!C26=3,120+Inputs!$B$27+Inputs!$B$29,MAX(0,(Inputs!$B$3-100)*3)+Inputs!$B$28+Inputs!$B$29)))</f>
        <v/>
      </c>
      <c r="E2340">
        <f>INDEX(FactorTable!$B$2:$Y$301, MATCH(ROUND(MIN(300,MAX(1,D2340)),0), FactorTable!$A$2:$A$301,0), Skills!M26+1)</f>
        <v/>
      </c>
      <c r="F2340">
        <f>IF(Skills!N26=TRUE,(Skills!L26/10)*(E2340/1000),Skills!L26/10)+Skills!O26</f>
        <v/>
      </c>
      <c r="G2340">
        <f>Skills!G26*IF(Skills!H26&gt;0,IF(Inputs!$B$39="pvp",MIN(Skills!I26,15),Skills!I26)/Skills!H26,1)</f>
        <v/>
      </c>
      <c r="H2340">
        <f>1-(1-Skills!J26/100)^Skills!K26</f>
        <v/>
      </c>
      <c r="I2340" t="inlineStr">
        <is>
          <t>1</t>
        </is>
      </c>
      <c r="J2340" t="inlineStr"/>
      <c r="K2340" t="inlineStr"/>
      <c r="L2340" t="inlineStr"/>
      <c r="M2340" t="inlineStr"/>
      <c r="N2340" t="inlineStr"/>
      <c r="O2340">
        <f>(1-Summary!$B$11)*T2340+Summary!$B$11*V2340</f>
        <v/>
      </c>
      <c r="P2340">
        <f>IF(B2360=0,0,O2340/B2360)</f>
        <v/>
      </c>
      <c r="Q2340" t="n">
        <v>0</v>
      </c>
      <c r="R2340" t="n">
        <v>0</v>
      </c>
      <c r="S2340">
        <f>IFERROR(O2340/N2340,0)</f>
        <v/>
      </c>
      <c r="T2340" t="n">
        <v>0</v>
      </c>
      <c r="V2340" t="n">
        <v>0</v>
      </c>
    </row>
    <row r="2341">
      <c r="A2341">
        <f>Skills!A27</f>
        <v/>
      </c>
      <c r="B2341">
        <f>Skills!B27</f>
        <v/>
      </c>
      <c r="C2341">
        <f>Inputs!$B$3&gt;=50</f>
        <v/>
      </c>
      <c r="D2341">
        <f>IF(Skills!C27=1,60+Inputs!$B$25+Inputs!$B$29,IF(Skills!C27=2,90+Inputs!$B$26+Inputs!$B$29,IF(Skills!C27=3,120+Inputs!$B$27+Inputs!$B$29,MAX(0,(Inputs!$B$3-100)*3)+Inputs!$B$28+Inputs!$B$29)))</f>
        <v/>
      </c>
      <c r="E2341">
        <f>INDEX(FactorTable!$B$2:$Y$301, MATCH(ROUND(MIN(300,MAX(1,D2341)),0), FactorTable!$A$2:$A$301,0), Skills!M27+1)</f>
        <v/>
      </c>
      <c r="F2341">
        <f>IF(Skills!N27=TRUE,(Skills!L27/10)*(E2341/1000),Skills!L27/10)+Skills!O27</f>
        <v/>
      </c>
      <c r="G2341">
        <f>Skills!G27*IF(Skills!H27&gt;0,IF(Inputs!$B$39="pvp",MIN(Skills!I27,15),Skills!I27)/Skills!H27,1)</f>
        <v/>
      </c>
      <c r="H2341">
        <f>1-(1-Skills!J27/100)^Skills!K27</f>
        <v/>
      </c>
      <c r="I2341" t="inlineStr">
        <is>
          <t>1</t>
        </is>
      </c>
      <c r="J2341" t="inlineStr"/>
      <c r="K2341" t="inlineStr"/>
      <c r="L2341" t="inlineStr"/>
      <c r="M2341" t="inlineStr"/>
      <c r="N2341" t="inlineStr"/>
      <c r="O2341">
        <f>(1-Summary!$B$11)*T2341+Summary!$B$11*V2341</f>
        <v/>
      </c>
      <c r="P2341">
        <f>IF(B2360=0,0,O2341/B2360)</f>
        <v/>
      </c>
      <c r="Q2341" t="n">
        <v>0</v>
      </c>
      <c r="R2341" t="n">
        <v>0</v>
      </c>
      <c r="S2341">
        <f>IFERROR(O2341/N2341,0)</f>
        <v/>
      </c>
      <c r="T2341" t="n">
        <v>0</v>
      </c>
      <c r="V2341" t="n">
        <v>0</v>
      </c>
    </row>
    <row r="2342">
      <c r="A2342">
        <f>Skills!A28</f>
        <v/>
      </c>
      <c r="B2342">
        <f>Skills!B28</f>
        <v/>
      </c>
      <c r="C2342">
        <f>Inputs!$B$3&gt;=38</f>
        <v/>
      </c>
      <c r="D2342">
        <f>IF(Skills!C28=1,60+Inputs!$B$25+Inputs!$B$29,IF(Skills!C28=2,90+Inputs!$B$26+Inputs!$B$29,IF(Skills!C28=3,120+Inputs!$B$27+Inputs!$B$29,MAX(0,(Inputs!$B$3-100)*3)+Inputs!$B$28+Inputs!$B$29)))</f>
        <v/>
      </c>
      <c r="E2342">
        <f>INDEX(FactorTable!$B$2:$Y$301, MATCH(ROUND(MIN(300,MAX(1,D2342)),0), FactorTable!$A$2:$A$301,0), Skills!M28+1)</f>
        <v/>
      </c>
      <c r="F2342">
        <f>IF(Skills!N28=TRUE,(Skills!L28/10)*(E2342/1000),Skills!L28/10)+Skills!O28</f>
        <v/>
      </c>
      <c r="G2342">
        <f>Skills!G28*IF(Skills!H28&gt;0,IF(Inputs!$B$39="pvp",MIN(Skills!I28,15),Skills!I28)/Skills!H28,1)</f>
        <v/>
      </c>
      <c r="H2342">
        <f>1-(1-Skills!J28/100)^Skills!K28</f>
        <v/>
      </c>
      <c r="I2342" t="inlineStr">
        <is>
          <t>1</t>
        </is>
      </c>
      <c r="J2342" t="inlineStr"/>
      <c r="K2342" t="inlineStr"/>
      <c r="L2342" t="inlineStr"/>
      <c r="M2342" t="inlineStr"/>
      <c r="N2342" t="inlineStr"/>
      <c r="O2342">
        <f>(1-Summary!$B$11)*T2342+Summary!$B$11*V2342</f>
        <v/>
      </c>
      <c r="P2342">
        <f>IF(B2360=0,0,O2342/B2360)</f>
        <v/>
      </c>
      <c r="Q2342" t="n">
        <v>0</v>
      </c>
      <c r="R2342" t="n">
        <v>0</v>
      </c>
      <c r="S2342">
        <f>IFERROR(O2342/N2342,0)</f>
        <v/>
      </c>
      <c r="T2342" t="n">
        <v>0</v>
      </c>
      <c r="V2342" t="n">
        <v>0</v>
      </c>
    </row>
    <row r="2343">
      <c r="A2343">
        <f>Skills!A29</f>
        <v/>
      </c>
      <c r="B2343">
        <f>Skills!B29</f>
        <v/>
      </c>
      <c r="C2343">
        <f>Inputs!$B$3&gt;=120</f>
        <v/>
      </c>
      <c r="D2343">
        <f>IF(Skills!C29=1,60+Inputs!$B$25+Inputs!$B$29,IF(Skills!C29=2,90+Inputs!$B$26+Inputs!$B$29,IF(Skills!C29=3,120+Inputs!$B$27+Inputs!$B$29,MAX(0,(Inputs!$B$3-100)*3)+Inputs!$B$28+Inputs!$B$29)))</f>
        <v/>
      </c>
      <c r="E2343">
        <f>INDEX(FactorTable!$B$2:$Y$301, MATCH(ROUND(MIN(300,MAX(1,D2343)),0), FactorTable!$A$2:$A$301,0), Skills!M29+1)</f>
        <v/>
      </c>
      <c r="F2343">
        <f>IF(Skills!N29=TRUE,(Skills!L29/10)*(E2343/1000),Skills!L29/10)+Skills!O29</f>
        <v/>
      </c>
      <c r="G2343">
        <f>Skills!G29*IF(Skills!H29&gt;0,IF(Inputs!$B$39="pvp",MIN(Skills!I29,15),Skills!I29)/Skills!H29,1)</f>
        <v/>
      </c>
      <c r="H2343">
        <f>1-(1-Skills!J29/100)^Skills!K29</f>
        <v/>
      </c>
      <c r="I2343" t="inlineStr">
        <is>
          <t>1</t>
        </is>
      </c>
      <c r="J2343" t="inlineStr"/>
      <c r="K2343" t="inlineStr"/>
      <c r="L2343" t="inlineStr"/>
      <c r="M2343" t="inlineStr"/>
      <c r="N2343" t="inlineStr"/>
      <c r="O2343">
        <f>(1-Summary!$B$11)*T2343+Summary!$B$11*V2343</f>
        <v/>
      </c>
      <c r="P2343">
        <f>IF(B2360=0,0,O2343/B2360)</f>
        <v/>
      </c>
      <c r="Q2343" t="n">
        <v>0</v>
      </c>
      <c r="R2343" t="n">
        <v>0</v>
      </c>
      <c r="S2343">
        <f>IFERROR(O2343/N2343,0)</f>
        <v/>
      </c>
      <c r="T2343" t="n">
        <v>0</v>
      </c>
      <c r="V2343" t="n">
        <v>0</v>
      </c>
    </row>
    <row r="2344">
      <c r="A2344">
        <f>Skills!A30</f>
        <v/>
      </c>
      <c r="B2344">
        <f>Skills!B30</f>
        <v/>
      </c>
      <c r="C2344">
        <f>Inputs!$B$3&gt;=120</f>
        <v/>
      </c>
      <c r="D2344">
        <f>IF(Skills!C30=1,60+Inputs!$B$25+Inputs!$B$29,IF(Skills!C30=2,90+Inputs!$B$26+Inputs!$B$29,IF(Skills!C30=3,120+Inputs!$B$27+Inputs!$B$29,MAX(0,(Inputs!$B$3-100)*3)+Inputs!$B$28+Inputs!$B$29)))</f>
        <v/>
      </c>
      <c r="E2344">
        <f>INDEX(FactorTable!$B$2:$Y$301, MATCH(ROUND(MIN(300,MAX(1,D2344)),0), FactorTable!$A$2:$A$301,0), Skills!M30+1)</f>
        <v/>
      </c>
      <c r="F2344">
        <f>IF(Skills!N30=TRUE,(Skills!L30/10)*(E2344/1000),Skills!L30/10)+Skills!O30</f>
        <v/>
      </c>
      <c r="G2344">
        <f>Skills!G30*IF(Skills!H30&gt;0,IF(Inputs!$B$39="pvp",MIN(Skills!I30,15),Skills!I30)/Skills!H30,1)</f>
        <v/>
      </c>
      <c r="H2344">
        <f>1-(1-Skills!J30/100)^Skills!K30</f>
        <v/>
      </c>
      <c r="I2344" t="inlineStr">
        <is>
          <t>1</t>
        </is>
      </c>
      <c r="J2344" t="inlineStr"/>
      <c r="K2344" t="inlineStr"/>
      <c r="L2344" t="inlineStr"/>
      <c r="M2344" t="inlineStr"/>
      <c r="N2344" t="inlineStr"/>
      <c r="O2344">
        <f>(1-Summary!$B$11)*T2344+Summary!$B$11*V2344</f>
        <v/>
      </c>
      <c r="P2344">
        <f>IF(B2360=0,0,O2344/B2360)</f>
        <v/>
      </c>
      <c r="Q2344" t="n">
        <v>0</v>
      </c>
      <c r="R2344" t="n">
        <v>0</v>
      </c>
      <c r="S2344">
        <f>IFERROR(O2344/N2344,0)</f>
        <v/>
      </c>
      <c r="T2344" t="n">
        <v>0</v>
      </c>
      <c r="V2344" t="n">
        <v>0</v>
      </c>
    </row>
    <row r="2345">
      <c r="A2345">
        <f>Skills!A31</f>
        <v/>
      </c>
      <c r="B2345">
        <f>Skills!B31</f>
        <v/>
      </c>
      <c r="C2345">
        <f>Inputs!$B$3&gt;=125</f>
        <v/>
      </c>
      <c r="D2345">
        <f>IF(Skills!C31=1,60+Inputs!$B$25+Inputs!$B$29,IF(Skills!C31=2,90+Inputs!$B$26+Inputs!$B$29,IF(Skills!C31=3,120+Inputs!$B$27+Inputs!$B$29,MAX(0,(Inputs!$B$3-100)*3)+Inputs!$B$28+Inputs!$B$29)))</f>
        <v/>
      </c>
      <c r="E2345">
        <f>INDEX(FactorTable!$B$2:$Y$301, MATCH(ROUND(MIN(300,MAX(1,D2345)),0), FactorTable!$A$2:$A$301,0), Skills!M31+1)</f>
        <v/>
      </c>
      <c r="F2345">
        <f>IF(Skills!N31=TRUE,(Skills!L31/10)*(E2345/1000),Skills!L31/10)+Skills!O31</f>
        <v/>
      </c>
      <c r="G2345">
        <f>Skills!G31*IF(Skills!H31&gt;0,IF(Inputs!$B$39="pvp",MIN(Skills!I31,15),Skills!I31)/Skills!H31,1)</f>
        <v/>
      </c>
      <c r="H2345">
        <f>1-(1-Skills!J31/100)^Skills!K31</f>
        <v/>
      </c>
      <c r="I2345" t="inlineStr">
        <is>
          <t>1</t>
        </is>
      </c>
      <c r="J2345" t="inlineStr"/>
      <c r="K2345" t="inlineStr"/>
      <c r="L2345" t="inlineStr"/>
      <c r="M2345" t="inlineStr"/>
      <c r="N2345" t="inlineStr"/>
      <c r="O2345">
        <f>(1-Summary!$B$11)*T2345+Summary!$B$11*V2345</f>
        <v/>
      </c>
      <c r="P2345">
        <f>IF(B2360=0,0,O2345/B2360)</f>
        <v/>
      </c>
      <c r="Q2345" t="n">
        <v>0</v>
      </c>
      <c r="R2345" t="n">
        <v>0</v>
      </c>
      <c r="S2345">
        <f>IFERROR(O2345/N2345,0)</f>
        <v/>
      </c>
      <c r="T2345" t="n">
        <v>0</v>
      </c>
      <c r="V2345" t="n">
        <v>0</v>
      </c>
    </row>
    <row r="2347">
      <c r="A2347" t="inlineStr">
        <is>
          <t>Average Buff Multiplier</t>
        </is>
      </c>
      <c r="B2347">
        <f>(1+(((C2336=TRUE)*F2336*IF(AND(Inputs!$B$39&lt;&gt;"pvp",Inputs!$B$44&gt;0),(((R2336-1)*MIN((Skills!Y22*(1+Inputs!$B$34/100)),(1/Q2336))+MIN((Skills!Y22*(1+Inputs!$B$34/100)),MAX(0,Inputs!$B$44-((R2336-1)*(1/Q2336)))))/Inputs!$B$44),IF(Inputs!$B$39="pvp",MIN((Skills!Y22*(1+Inputs!$B$34/100)),15)/15,MIN(1,(Skills!Y22*(1+Inputs!$B$34/100))/(1/Q2336)))))+((C2317=TRUE)*F2317*3)+((C2319=TRUE)*F2319*(1-EXP(-0.75*B2352*5)))+((C2338=TRUE)*(F2338-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2325=TRUE)*F2325*IF(AND(Inputs!$B$39&lt;&gt;"pvp",Inputs!$B$44&gt;0),(((R2325-1)*MIN((Skills!Y11*(1+Inputs!$B$34/100)),(1/Q2325))+MIN((Skills!Y11*(1+Inputs!$B$34/100)),MAX(0,Inputs!$B$44-((R2325-1)*(1/Q2325)))))/Inputs!$B$44),IF(Inputs!$B$39="pvp",MIN((Skills!Y11*(1+Inputs!$B$34/100)),15)/15,MIN(1,(Skills!Y11*(1+Inputs!$B$34/100))/(1/Q2325)))))/100)*(1+((C2330=TRUE)*F2330*IF(AND(Inputs!$B$39&lt;&gt;"pvp",Inputs!$B$44&gt;0),(((R2330-1)*MIN((Skills!Y16*(1+Inputs!$B$34/100)),(1/Q2330))+MIN((Skills!Y16*(1+Inputs!$B$34/100)),MAX(0,Inputs!$B$44-((R2330-1)*(1/Q2330)))))/Inputs!$B$44),IF(Inputs!$B$39="pvp",MIN((Skills!Y16*(1+Inputs!$B$34/100)),15)/15,MIN(1,(Skills!Y16*(1+Inputs!$B$34/100))/(1/Q2330)))))/100)</f>
        <v/>
      </c>
    </row>
    <row r="2348">
      <c r="A2348" t="inlineStr">
        <is>
          <t>Global Crit Rate Bonus %</t>
        </is>
      </c>
      <c r="B2348">
        <f>((C2335=TRUE)*F2335*IF(AND(Inputs!$B$39&lt;&gt;"pvp",Inputs!$B$44&gt;0),(((R2335-1)*MIN((Skills!Y21*(1+Inputs!$B$34/100)),(1/Q2335))+MIN((Skills!Y21*(1+Inputs!$B$34/100)),MAX(0,Inputs!$B$44-((R2335-1)*(1/Q2335)))))/Inputs!$B$44),IF(Inputs!$B$39="pvp",MIN((Skills!Y21*(1+Inputs!$B$34/100)),15)/15,MIN(1,(Skills!Y21*(1+Inputs!$B$34/100))/(1/Q2335)))))</f>
        <v/>
      </c>
    </row>
    <row r="2349">
      <c r="A2349" t="inlineStr">
        <is>
          <t>Global Monster Damage-Taken Bonus %</t>
        </is>
      </c>
      <c r="B2349">
        <f>IF(Inputs!$B$3&gt;=82,15,0)</f>
        <v/>
      </c>
    </row>
    <row r="2350">
      <c r="A2350" t="inlineStr">
        <is>
          <t>Shadow Partner Average Multiplier</t>
        </is>
      </c>
      <c r="B2350">
        <f>1+((C2322=TRUE)*F2322*(1+3.3333333333333335*IF(C2333=TRUE,F2333,0)/100)*I2322*Skills!J8/100)/100</f>
        <v/>
      </c>
    </row>
    <row r="2351">
      <c r="A2351" t="inlineStr">
        <is>
          <t>Attack Speed Buff Bonus %</t>
        </is>
      </c>
      <c r="B2351">
        <f>((C2334=TRUE)*F2334*IF(AND(Inputs!$B$39&lt;&gt;"pvp",Inputs!$B$44&gt;0),(((R2334-1)*MIN((Skills!Y20*(1+Inputs!$B$34/100)),(1/Q2334))+MIN((Skills!Y20*(1+Inputs!$B$34/100)),MAX(0,Inputs!$B$44-((R2334-1)*(1/Q2334)))))/Inputs!$B$44),IF(Inputs!$B$39="pvp",MIN((Skills!Y20*(1+Inputs!$B$34/100)),15)/15,MIN(1,(Skills!Y20*(1+Inputs!$B$34/100))/(1/Q2334)))))</f>
        <v/>
      </c>
    </row>
    <row r="2352">
      <c r="A2352" t="inlineStr">
        <is>
          <t>Actions Per Second</t>
        </is>
      </c>
      <c r="B2352">
        <f>1+MIN(150,150*(1-(1-(Inputs!$B$11+((C2337=TRUE)*(F2337-Calc!F23)))/150)*(1-B2351/150)))/100</f>
        <v/>
      </c>
    </row>
    <row r="2353">
      <c r="A2353" t="inlineStr">
        <is>
          <t>Skill + Buff Cast Rate</t>
        </is>
      </c>
      <c r="B2353">
        <f>IF(AND(Inputs!$B$39&lt;&gt;"pvp",Inputs!$B$44&gt;0),SUMPRODUCT((Skills!E2:E31=TRUE)*(C2316:C2345=TRUE)*R2316:R2345*Skills!F2:F31)/Inputs!$B$44,SUMPRODUCT((Skills!E2:E31=TRUE)*(C2316:C2345=TRUE)*Q2316:Q2345*Skills!F2:F31))</f>
        <v/>
      </c>
    </row>
    <row r="2354">
      <c r="A2354" t="inlineStr">
        <is>
          <t>Cruel Stab Casts Per Second</t>
        </is>
      </c>
      <c r="B2354">
        <f>MAX(0,B2352-B2353)</f>
        <v/>
      </c>
    </row>
    <row r="2355">
      <c r="A2355" t="inlineStr">
        <is>
          <t>Global Critical Damage Bonus % (Smokescreen Mastery Lv.113)</t>
        </is>
      </c>
      <c r="B2355">
        <f>IF(Inputs!$B$3&gt;=113,30,0)*IF(AND(Inputs!$B$39&lt;&gt;"pvp",Inputs!$B$44&gt;0),(((R2330-1)*MIN((Skills!Y16*(1+Inputs!$B$34/100)),(1/Q2330))+MIN((Skills!Y16*(1+Inputs!$B$34/100)),MAX(0,Inputs!$B$44-((R2330-1)*(1/Q2330)))))/Inputs!$B$44),IF(Inputs!$B$39="pvp",MIN((Skills!Y16*(1+Inputs!$B$34/100)),15)/15,MIN(1,(Skills!Y16*(1+Inputs!$B$34/100))/(1/Q2330))))</f>
        <v/>
      </c>
    </row>
    <row r="2356">
      <c r="A2356" t="inlineStr">
        <is>
          <t>Meso Explosion average stack count</t>
        </is>
      </c>
      <c r="B2356">
        <f>MIN(10,IF(Inputs!$B$3&gt;=75,0.75,0.5)*B2352*(1/Q2318))</f>
        <v/>
      </c>
    </row>
    <row r="2357">
      <c r="A2357" t="inlineStr">
        <is>
          <t>Blood Money average stack count</t>
        </is>
      </c>
      <c r="B2357">
        <f>MIN(5,0.5*IF(Inputs!$B$3&gt;=75,0.75,0.5)*B2352*(1/Q2318))</f>
        <v/>
      </c>
    </row>
    <row r="2358">
      <c r="A2358" t="inlineStr">
        <is>
          <t>Assassinate Murderous Intent Multiplier</t>
        </is>
      </c>
      <c r="B2358">
        <f>1+IFERROR(MIN(1,Q2329*2/Q2326),0)</f>
        <v/>
      </c>
    </row>
    <row r="2359">
      <c r="A2359" t="inlineStr">
        <is>
          <t>Buff-Casting Startup Delay (s, fixed-duration only)</t>
        </is>
      </c>
      <c r="B2359">
        <f>IF(AND(Inputs!$B$39&lt;&gt;"pvp",Inputs!$B$44&gt;0),SUMPRODUCT((Skills!Y2:Y31&gt;0)*(Skills!E2:E31=TRUE)*(C2316:C2345=TRUE))/B2352,0)</f>
        <v/>
      </c>
    </row>
    <row r="2360">
      <c r="A2360" s="6" t="inlineStr">
        <is>
          <t>TOTAL DPS</t>
        </is>
      </c>
      <c r="B2360" s="6">
        <f>SUM(O2316:O2345)</f>
        <v/>
      </c>
    </row>
    <row r="2361">
      <c r="A2361" t="inlineStr">
        <is>
          <t>Boss-Only Total DPS (this block's swept value)</t>
        </is>
      </c>
      <c r="B2361">
        <f>SUM(T2316:T2345)</f>
        <v/>
      </c>
    </row>
    <row r="2362">
      <c r="A2362" t="inlineStr">
        <is>
          <t>Normal-Only Total DPS (this block's swept value)</t>
        </is>
      </c>
      <c r="B2362">
        <f>SUM(V2316:V2345)</f>
        <v/>
      </c>
    </row>
    <row r="2365">
      <c r="A2365" s="6" t="inlineStr">
        <is>
          <t>Stat: Lunar Dew (Equip)</t>
        </is>
      </c>
    </row>
    <row r="2366">
      <c r="A2366" s="5" t="inlineStr">
        <is>
          <t>Key</t>
        </is>
      </c>
      <c r="B2366" s="5" t="inlineStr">
        <is>
          <t>Name</t>
        </is>
      </c>
      <c r="C2366" s="5" t="inlineStr">
        <is>
          <t>Unlocked</t>
        </is>
      </c>
      <c r="D2366" s="5" t="inlineStr">
        <is>
          <t>InputLevel</t>
        </is>
      </c>
      <c r="E2366" s="5" t="inlineStr">
        <is>
          <t>Factor</t>
        </is>
      </c>
      <c r="F2366" s="5" t="inlineStr">
        <is>
          <t>CoefficientPercent</t>
        </is>
      </c>
      <c r="G2366" s="5" t="inlineStr">
        <is>
          <t>EffectiveHits</t>
        </is>
      </c>
      <c r="H2366" s="5" t="inlineStr">
        <is>
          <t>ProcProbability</t>
        </is>
      </c>
      <c r="I2366" s="5" t="inlineStr">
        <is>
          <t>MapleHeroMultiplier</t>
        </is>
      </c>
      <c r="J2366" s="5" t="inlineStr">
        <is>
          <t>BaseDamage</t>
        </is>
      </c>
      <c r="K2366" s="5" t="inlineStr">
        <is>
          <t>BaseHitDamage</t>
        </is>
      </c>
      <c r="L2366" s="5" t="inlineStr">
        <is>
          <t>NonCritAvg</t>
        </is>
      </c>
      <c r="M2366" s="5" t="inlineStr">
        <is>
          <t>CritAvg</t>
        </is>
      </c>
      <c r="N2366" s="5" t="inlineStr">
        <is>
          <t>ExpectedDamage(perHit)</t>
        </is>
      </c>
      <c r="O2366" s="5" t="inlineStr">
        <is>
          <t>DPS</t>
        </is>
      </c>
      <c r="P2366" s="5" t="inlineStr">
        <is>
          <t>% of Total</t>
        </is>
      </c>
      <c r="Q2366" s="5" t="inlineStr">
        <is>
          <t>InvCooldown</t>
        </is>
      </c>
      <c r="R2366" s="5" t="inlineStr">
        <is>
          <t>CastsInFight</t>
        </is>
      </c>
      <c r="S2366" s="5" t="inlineStr">
        <is>
          <t>HitRate(perSec)</t>
        </is>
      </c>
      <c r="U2366" t="inlineStr">
        <is>
          <t>helpers</t>
        </is>
      </c>
    </row>
    <row r="2367">
      <c r="A2367">
        <f>Skills!A2</f>
        <v/>
      </c>
      <c r="B2367">
        <f>Skills!B2</f>
        <v/>
      </c>
      <c r="C2367">
        <f>Inputs!$B$3&gt;=100</f>
        <v/>
      </c>
      <c r="D2367" t="inlineStr"/>
      <c r="E2367" t="inlineStr"/>
      <c r="F2367">
        <f>U2369+Skills!O2</f>
        <v/>
      </c>
      <c r="G2367">
        <f>Skills!G2*IF(Skills!H2&gt;0,IF(Inputs!$B$39="pvp",MIN(Skills!I2,15),Skills!I2)/Skills!H2,1)</f>
        <v/>
      </c>
      <c r="H2367">
        <f>1-(1-Skills!J2/100)^Skills!K2</f>
        <v/>
      </c>
      <c r="I2367" t="inlineStr">
        <is>
          <t>1</t>
        </is>
      </c>
      <c r="J2367">
        <f>((Inputs!$B$6*(1+Inputs!$B$7/100))+(((Inputs!$B$12*(1+Inputs!$B$13/100))-(Inputs!$B$12*(1+Inputs!$B$13/100)))+0.25*(Inputs!$B$14-Inputs!$B$14))*(1+Inputs!$B$7/100))*(F2367/100)</f>
        <v/>
      </c>
      <c r="K2367">
        <f>J2367*(1+((Inputs!$B$12*(1+Inputs!$B$13/100))*0.01+Inputs!$B$14*0.0025)/100)*(1+Inputs!$B$15/100)*(1+Inputs!$B$16/100)*(5000/(6000+Inputs!$B$43*(1-(100*(1-(1-Inputs!$B$19/100)*(1-CHOOSE(ArtifactsInput!$N$40+1,5,6,7,8,9,10)/100)^(ArtifactsInput!$M$40-ArtifactsInput!$M$40)))/100)))*(1+(Inputs!$B$24+((C2396=TRUE)*(F2396-Calc!F31))+((C2383=TRUE)*(F2383-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CRUEL_STAB",Inputs!$B$17+((C2393=TRUE)*(F2393-Calc!F28))+((IF(AND(Inputs!$B$39&lt;&gt;"pvp",Inputs!$B$44=0),1,IF(IF(Inputs!$B$39="pvp",15,Inputs!$B$44)-(B2410)&lt;=0,1,MAX(0,IF(Inputs!$B$39="pvp",15,Inputs!$B$44)-MAX(5,B2410))/(IF(Inputs!$B$39="pvp",15,Inputs!$B$44)-(B2410))))*(IF(AND(ArtifactsInput!$M$42,((Inputs!$B$9+((C2391=TRUE)*(F2391-Calc!F26))+B2399+(ArtifactsInput!$M$24-ArtifactsInput!$M$24)*CHOOSE(ArtifactsInput!$N$24+1,10,12,14,16,18,20)+IF(ArtifactsInput!$M$10,CHOOSE(ArtifactsInput!$N$10+1,15,18,21,24,27,30)*(IF(Inputs!$B$39="pvp",MIN(15,15)/15,IF(AND(Inputs!$B$39&lt;&gt;"pvp",Inputs!$B$44&gt;0),MIN(15,Inputs!$B$44)/(Inputs!$B$44),0))),0)))&gt;=100),MIN(100,((Inputs!$B$9+((C2391=TRUE)*(F2391-Calc!F26))+B2399+(ArtifactsInput!$M$24-ArtifactsInput!$M$24)*CHOOSE(ArtifactsInput!$N$24+1,10,12,14,16,18,20)+IF(ArtifactsInput!$M$10,CHOOSE(ArtifactsInput!$N$10+1,15,18,21,24,27,30)*(IF(Inputs!$B$39="pvp",MIN(15,15)/15,IF(AND(Inputs!$B$39&lt;&gt;"pvp",Inputs!$B$44&gt;0),MIN(15,Inputs!$B$44)/(Inputs!$B$44),0))),0)))-100),0))*CHOOSE(ArtifactsInput!$N$42+1,0.6,0.72,0.84,0.96,1.08,1.2))),Inputs!$B$18+((C2394=TRUE)*(F2394-Calc!F29))+(IF(AND(Inputs!$B$39&lt;&gt;"pvp",Inputs!$B$44=0),1,IF(IF(Inputs!$B$39="pvp",15,Inputs!$B$44)-(B2410)&lt;=0,1,MAX(0,IF(Inputs!$B$39="pvp",15,Inputs!$B$44)-MAX(5,B2410))/(IF(Inputs!$B$39="pvp",15,Inputs!$B$44)-(B2410))))*IF(AND(ArtifactsInput!$M$42,((Inputs!$B$9+((C2391=TRUE)*(F2391-Calc!F26))+B2399+(ArtifactsInput!$M$24-ArtifactsInput!$M$24)*CHOOSE(ArtifactsInput!$N$24+1,10,12,14,16,18,20)+IF(ArtifactsInput!$M$10,CHOOSE(ArtifactsInput!$N$10+1,15,18,21,24,27,30)*(IF(Inputs!$B$39="pvp",MIN(15,15)/15,IF(AND(Inputs!$B$39&lt;&gt;"pvp",Inputs!$B$44&gt;0),MIN(15,Inputs!$B$44)/(Inputs!$B$44),0))),0)))&gt;=100),CHOOSE(ArtifactsInput!$N$42+1,40,48,56,64,72,80),0))))/100)*(((1+(((C2387=TRUE)*F2387*IF(AND(Inputs!$B$39&lt;&gt;"pvp",Inputs!$B$44&gt;0),(((R2387-1)*MIN((Skills!Y22*(1+Inputs!$B$34/100)),(1/Q2387))+MIN((Skills!Y22*(1+Inputs!$B$34/100)),MAX(0,Inputs!$B$44-((R2387-1)*(1/Q2387)))))/Inputs!$B$44),IF(Inputs!$B$39="pvp",MIN((Skills!Y22*(1+Inputs!$B$34/100)),15)/15,MIN(1,(Skills!Y22*(1+Inputs!$B$34/100))/(1/Q2387)))))+((C2368=TRUE)*F2368*3)+((C2370=TRUE)*F2370*(1-EXP(-0.75*B2403*5)))+((C2389=TRUE)*(F2389-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2376=TRUE)*F2376*IF(AND(Inputs!$B$39&lt;&gt;"pvp",Inputs!$B$44&gt;0),(((R2376-1)*MIN((Skills!Y11*(1+Inputs!$B$34/100)),(1/Q2376))+MIN((Skills!Y11*(1+Inputs!$B$34/100)),MAX(0,Inputs!$B$44-((R2376-1)*(1/Q2376)))))/Inputs!$B$44),IF(Inputs!$B$39="pvp",MIN((Skills!Y11*(1+Inputs!$B$34/100)),15)/15,MIN(1,(Skills!Y11*(1+Inputs!$B$34/100))/(1/Q2376)))))/100)*(1+((C2381=TRUE)*F2381*IF(AND(Inputs!$B$39&lt;&gt;"pvp",Inputs!$B$44&gt;0),(((R2381-1)*MIN((Skills!Y16*(1+Inputs!$B$34/100)),(1/Q2381))+MIN((Skills!Y16*(1+Inputs!$B$34/100)),MAX(0,Inputs!$B$44-((R2381-1)*(1/Q2381)))))/Inputs!$B$44),IF(Inputs!$B$39="pvp",MIN((Skills!Y16*(1+Inputs!$B$34/100)),15)/15,MIN(1,(Skills!Y16*(1+Inputs!$B$34/100))/(1/Q2381)))))/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2401*I2367)</f>
        <v/>
      </c>
      <c r="L2367">
        <f>K2367*(MIN(Inputs!$B$22+((C2390=TRUE)*(F2390-Calc!F25)),(Inputs!$B$23+((C2395=TRUE)*(F2395-Calc!F30))+IF(ArtifactsInput!$M$15,CHOOSE(ArtifactsInput!$N$15+1,25,30,35,40,45,50)/100*(Inputs!$B$11-Inputs!$B$11),0)))/100+(Inputs!$B$23+((C2395=TRUE)*(F2395-Calc!F30))+IF(ArtifactsInput!$M$15,CHOOSE(ArtifactsInput!$N$15+1,25,30,35,40,45,50)/100*(Inputs!$B$11-Inputs!$B$11),0))/100)/2</f>
        <v/>
      </c>
      <c r="M2367">
        <f>L2367*(1+(Inputs!$B$10+((C2392=TRUE)*(F2392-Calc!F27))+B2406+(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2367">
        <f>L2367*(1-MIN((Inputs!$B$9+((C2391=TRUE)*(F2391-Calc!F26))+B2399+(ArtifactsInput!$M$24-ArtifactsInput!$M$24)*CHOOSE(ArtifactsInput!$N$24+1,10,12,14,16,18,20)+(IF(AND(Inputs!$B$39&lt;&gt;"pvp",Inputs!$B$44=0),1,IF(IF(Inputs!$B$39="pvp",15,Inputs!$B$44)-(B2410)&lt;=0,1,MAX(0,IF(Inputs!$B$39="pvp",15,Inputs!$B$44)-MAX(5,B2410))/(IF(Inputs!$B$39="pvp",15,Inputs!$B$44)-(B2410))))*IF(AND(ArtifactsInput!$M$42,((Inputs!$B$9+((C2391=TRUE)*(F2391-Calc!F26))+B2399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2367*(MIN((Inputs!$B$9+((C2391=TRUE)*(F2391-Calc!F26))+B2399+(ArtifactsInput!$M$24-ArtifactsInput!$M$24)*CHOOSE(ArtifactsInput!$N$24+1,10,12,14,16,18,20)+(IF(AND(Inputs!$B$39&lt;&gt;"pvp",Inputs!$B$44=0),1,IF(IF(Inputs!$B$39="pvp",15,Inputs!$B$44)-(B2410)&lt;=0,1,MAX(0,IF(Inputs!$B$39="pvp",15,Inputs!$B$44)-MAX(5,B2410))/(IF(Inputs!$B$39="pvp",15,Inputs!$B$44)-(B2410))))*IF(AND(ArtifactsInput!$M$42,((Inputs!$B$9+((C2391=TRUE)*(F2391-Calc!F26))+B2399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367">
        <f>(1-Summary!$B$11)*T2367+Summary!$B$11*V2367</f>
        <v/>
      </c>
      <c r="P2367">
        <f>IF(B2411=0,0,O2367/B2411)</f>
        <v/>
      </c>
      <c r="Q2367" t="n">
        <v>0</v>
      </c>
      <c r="R2367" t="n">
        <v>0</v>
      </c>
      <c r="S2367">
        <f>IFERROR(O2367/N2367,0)</f>
        <v/>
      </c>
      <c r="T2367">
        <f>IF(C2367,(Skills!G2*N2367*B2405)*IF(Inputs!$B$39="pvp",1,1+(Inputs!$B$20+0+Skills!P2+B2400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Hunt"),CHOOSE(ArtifactsInput!$N$35+1,15,18,21,24,27,30)*(1-EXP(-(0.2*B2403)*5)),0)+IF(AND(ArtifactsInput!$M$22,Inputs!$B$4&lt;&gt;"Chapter Hunt"),CHOOSE(ArtifactsInput!$N$22+1,10,12,14,16,18,20)*((0*(((0.15*B2403*5))^0/1)+1*(((0.15*B2403*5))^1/1)+2*(((0.15*B2403*5))^2/2)+3*(((0.15*B2403*5))^3/6)+4*(((0.15*B2403*5))^4/24)+5*(((0.15*B2403*5))^5/120))/((((0.15*B2403*5))^0/1)+(((0.15*B2403*5))^1/1)+(((0.15*B2403*5))^2/2)+(((0.15*B2403*5))^3/6)+(((0.15*B2403*5))^4/24)+(((0.15*B2403*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2367*(1-MIN(100,(Inputs!$B$9+((C2391=TRUE)*(F2391-Calc!F26))+B2399+(ArtifactsInput!$M$24-ArtifactsInput!$M$24)*CHOOSE(ArtifactsInput!$N$24+1,10,12,14,16,18,20)+(IF(AND(Inputs!$B$39&lt;&gt;"pvp",Inputs!$B$44=0),1,IF(IF(Inputs!$B$39="pvp",15,Inputs!$B$44)-(B2410)&lt;=0,1,MAX(0,IF(Inputs!$B$39="pvp",15,Inputs!$B$44)-MAX(5,B2410))/(IF(Inputs!$B$39="pvp",15,Inputs!$B$44)-(B2410))))*IF(AND(ArtifactsInput!$M$42,((Inputs!$B$9+((C2391=TRUE)*(F2391-Calc!F26))+B2399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2367*(MIN(100,(Inputs!$B$9+((C2391=TRUE)*(F2391-Calc!F26))+B2399+(ArtifactsInput!$M$24-ArtifactsInput!$M$24)*CHOOSE(ArtifactsInput!$N$24+1,10,12,14,16,18,20)+(IF(AND(Inputs!$B$39&lt;&gt;"pvp",Inputs!$B$44=0),1,IF(IF(Inputs!$B$39="pvp",15,Inputs!$B$44)-(B2410)&lt;=0,1,MAX(0,IF(Inputs!$B$39="pvp",15,Inputs!$B$44)-MAX(5,B2410))/(IF(Inputs!$B$39="pvp",15,Inputs!$B$44)-(B2410))))*IF(AND(ArtifactsInput!$M$42,((Inputs!$B$9+((C2391=TRUE)*(F2391-Calc!F26))+B2399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2367*(1-MIN(100,(Inputs!$B$9+((C2391=TRUE)*(F2391-Calc!F26))+B2399+(ArtifactsInput!$M$24-ArtifactsInput!$M$24)*CHOOSE(ArtifactsInput!$N$24+1,10,12,14,16,18,20)+(IF(AND(Inputs!$B$39&lt;&gt;"pvp",Inputs!$B$44=0),1,IF(IF(Inputs!$B$39="pvp",15,Inputs!$B$44)-(B2410)&lt;=0,1,MAX(0,IF(Inputs!$B$39="pvp",15,Inputs!$B$44)-MAX(5,B2410))/(IF(Inputs!$B$39="pvp",15,Inputs!$B$44)-(B2410))))*IF(AND(ArtifactsInput!$M$42,((Inputs!$B$9+((C2391=TRUE)*(F2391-Calc!F26))+B2399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2367*(MIN(100,(Inputs!$B$9+((C2391=TRUE)*(F2391-Calc!F26))+B2399+(ArtifactsInput!$M$24-ArtifactsInput!$M$24)*CHOOSE(ArtifactsInput!$N$24+1,10,12,14,16,18,20)+(IF(AND(Inputs!$B$39&lt;&gt;"pvp",Inputs!$B$44=0),1,IF(IF(Inputs!$B$39="pvp",15,Inputs!$B$44)-(B2410)&lt;=0,1,MAX(0,IF(Inputs!$B$39="pvp",15,Inputs!$B$44)-MAX(5,B2410))/(IF(Inputs!$B$39="pvp",15,Inputs!$B$44)-(B2410))))*IF(AND(ArtifactsInput!$M$42,((Inputs!$B$9+((C2391=TRUE)*(F2391-Calc!F26))+B2399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2367">
        <f>MAX(0,(Inputs!$B$3-100)*3)+Inputs!$B$28+Inputs!$B$29</f>
        <v/>
      </c>
      <c r="V2367">
        <f>IF(C2367,(Skills!G2*N2367*B2405)*IF(Inputs!$B$39="pvp",1,(1+(Inputs!$B$21+Skills!Q2+B2400+(IF(ArtifactsInput!$M$33,CHOOSE(ArtifactsInput!$N$33+1,30,36,42,48,54,60),0))+(IF(AND(ArtifactsInput!$M$35,Inputs!$B$4&lt;&gt;"Chapter Hunt"),CHOOSE(ArtifactsInput!$N$35+1,15,18,21,24,27,30)*(1-EXP(-(0.2*B2403)*5)),0)+IF(AND(ArtifactsInput!$M$22,Inputs!$B$4&lt;&gt;"Chapter Hunt"),CHOOSE(ArtifactsInput!$N$22+1,10,12,14,16,18,20)*((0*(((0.15*B2403*5))^0/1)+1*(((0.15*B2403*5))^1/1)+2*(((0.15*B2403*5))^2/2)+3*(((0.15*B2403*5))^3/6)+4*(((0.15*B2403*5))^4/24)+5*(((0.15*B2403*5))^5/120))/((((0.15*B2403*5))^0/1)+(((0.15*B2403*5))^1/1)+(((0.15*B2403*5))^2/2)+(((0.15*B2403*5))^3/6)+(((0.15*B2403*5))^4/24)+(((0.15*B2403*5))^5/120))),0)))/100)*(MIN((6+Inputs!$B$33),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368">
      <c r="A2368">
        <f>Skills!A3</f>
        <v/>
      </c>
      <c r="B2368">
        <f>Skills!B3</f>
        <v/>
      </c>
      <c r="C2368">
        <f>Inputs!$B$3&gt;=35</f>
        <v/>
      </c>
      <c r="D2368">
        <f>IF(Skills!C3=1,60+Inputs!$B$25+Inputs!$B$29,IF(Skills!C3=2,90+Inputs!$B$26+Inputs!$B$29,IF(Skills!C3=3,120+Inputs!$B$27+Inputs!$B$29,MAX(0,(Inputs!$B$3-100)*3)+Inputs!$B$28+Inputs!$B$29)))</f>
        <v/>
      </c>
      <c r="E2368">
        <f>INDEX(FactorTable!$B$2:$Y$301, MATCH(ROUND(MIN(300,MAX(1,D2368)),0), FactorTable!$A$2:$A$301,0), Skills!M3+1)</f>
        <v/>
      </c>
      <c r="F2368">
        <f>IF(Skills!N3=TRUE,(Skills!L3/10)*(E2368/1000),Skills!L3/10)+Skills!O3</f>
        <v/>
      </c>
      <c r="G2368">
        <f>Skills!G3*IF(Skills!H3&gt;0,IF(Inputs!$B$39="pvp",MIN(Skills!I3,15),Skills!I3)/Skills!H3,1)</f>
        <v/>
      </c>
      <c r="H2368">
        <f>1-(1-Skills!J3/100)^Skills!K3</f>
        <v/>
      </c>
      <c r="I2368" t="inlineStr">
        <is>
          <t>1</t>
        </is>
      </c>
      <c r="J2368" t="inlineStr"/>
      <c r="K2368" t="inlineStr"/>
      <c r="L2368" t="inlineStr"/>
      <c r="M2368" t="inlineStr"/>
      <c r="N2368" t="inlineStr"/>
      <c r="O2368">
        <f>(1-Summary!$B$11)*T2368+Summary!$B$11*V2368</f>
        <v/>
      </c>
      <c r="P2368">
        <f>IF(B2411=0,0,O2368/B2411)</f>
        <v/>
      </c>
      <c r="Q2368" t="n">
        <v>0</v>
      </c>
      <c r="R2368" t="n">
        <v>0</v>
      </c>
      <c r="S2368">
        <f>IFERROR(O2368/N2368,0)</f>
        <v/>
      </c>
      <c r="T2368" t="n">
        <v>0</v>
      </c>
      <c r="U2368">
        <f>INDEX(FactorTable!$B$2:$Y$301, MATCH(ROUND(MIN(300,MAX(1,U2367)),0), FactorTable!$A$2:$A$301,0), 22)</f>
        <v/>
      </c>
      <c r="V2368" t="n">
        <v>0</v>
      </c>
    </row>
    <row r="2369">
      <c r="A2369">
        <f>Skills!A4</f>
        <v/>
      </c>
      <c r="B2369">
        <f>Skills!B4</f>
        <v/>
      </c>
      <c r="C2369">
        <f>Inputs!$B$3&gt;=66</f>
        <v/>
      </c>
      <c r="D2369">
        <f>IF(Skills!C4=1,60+Inputs!$B$25+Inputs!$B$29,IF(Skills!C4=2,90+Inputs!$B$26+Inputs!$B$29,IF(Skills!C4=3,120+Inputs!$B$27+Inputs!$B$29,MAX(0,(Inputs!$B$3-100)*3)+Inputs!$B$28+Inputs!$B$29)))</f>
        <v/>
      </c>
      <c r="E2369">
        <f>INDEX(FactorTable!$B$2:$Y$301, MATCH(ROUND(MIN(300,MAX(1,D2369)),0), FactorTable!$A$2:$A$301,0), Skills!M4+1)</f>
        <v/>
      </c>
      <c r="F2369">
        <f>IF(Skills!N4=TRUE,(Skills!L4/10)*(E2369/1000),Skills!L4/10)+Skills!O4</f>
        <v/>
      </c>
      <c r="G2369">
        <f>Skills!G4*IF(Skills!H4&gt;0,IF(Inputs!$B$39="pvp",MIN(Skills!I4,15),Skills!I4)/Skills!H4,1)</f>
        <v/>
      </c>
      <c r="H2369">
        <f>1-(1-Skills!J4/100)^Skills!K4</f>
        <v/>
      </c>
      <c r="I2369" t="inlineStr">
        <is>
          <t>1</t>
        </is>
      </c>
      <c r="J2369">
        <f>((Inputs!$B$6*(1+Inputs!$B$7/100))+(((Inputs!$B$12*(1+Inputs!$B$13/100))-(Inputs!$B$12*(1+Inputs!$B$13/100)))+0.25*(Inputs!$B$14-Inputs!$B$14))*(1+Inputs!$B$7/100))*(F2369/100)</f>
        <v/>
      </c>
      <c r="K2369">
        <f>J2369*(1+((Inputs!$B$12*(1+Inputs!$B$13/100))*0.01+Inputs!$B$14*0.0025)/100)*(1+Inputs!$B$15/100)*(1+Inputs!$B$16/100)*(5000/(6000+Inputs!$B$43*(1-(100*(1-(1-Inputs!$B$19/100)*(1-CHOOSE(ArtifactsInput!$N$40+1,5,6,7,8,9,10)/100)^(ArtifactsInput!$M$40-ArtifactsInput!$M$40)))/100)))*(1+(Inputs!$B$24+((C2396=TRUE)*(F2396-Calc!F31))+((C2383=TRUE)*(F2383-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4="CRUEL_STAB",Inputs!$B$17+((C2393=TRUE)*(F2393-Calc!F28))+((IF(AND(Inputs!$B$39&lt;&gt;"pvp",Inputs!$B$44=0),1,IF(IF(Inputs!$B$39="pvp",15,Inputs!$B$44)-(B2410)&lt;=0,1,MAX(0,IF(Inputs!$B$39="pvp",15,Inputs!$B$44)-MAX(5,B2410))/(IF(Inputs!$B$39="pvp",15,Inputs!$B$44)-(B2410))))*(IF(AND(ArtifactsInput!$M$42,((Inputs!$B$9+((C2391=TRUE)*(F2391-Calc!F26))+B2399+(ArtifactsInput!$M$24-ArtifactsInput!$M$24)*CHOOSE(ArtifactsInput!$N$24+1,10,12,14,16,18,20)+IF(ArtifactsInput!$M$10,CHOOSE(ArtifactsInput!$N$10+1,15,18,21,24,27,30)*(IF(Inputs!$B$39="pvp",MIN(15,15)/15,IF(AND(Inputs!$B$39&lt;&gt;"pvp",Inputs!$B$44&gt;0),MIN(15,Inputs!$B$44)/(Inputs!$B$44),0))),0)))&gt;=100),MIN(100,((Inputs!$B$9+((C2391=TRUE)*(F2391-Calc!F26))+B2399+(ArtifactsInput!$M$24-ArtifactsInput!$M$24)*CHOOSE(ArtifactsInput!$N$24+1,10,12,14,16,18,20)+IF(ArtifactsInput!$M$10,CHOOSE(ArtifactsInput!$N$10+1,15,18,21,24,27,30)*(IF(Inputs!$B$39="pvp",MIN(15,15)/15,IF(AND(Inputs!$B$39&lt;&gt;"pvp",Inputs!$B$44&gt;0),MIN(15,Inputs!$B$44)/(Inputs!$B$44),0))),0)))-100),0))*CHOOSE(ArtifactsInput!$N$42+1,0.6,0.72,0.84,0.96,1.08,1.2))),Inputs!$B$18+((C2394=TRUE)*(F2394-Calc!F29))+(IF(AND(Inputs!$B$39&lt;&gt;"pvp",Inputs!$B$44=0),1,IF(IF(Inputs!$B$39="pvp",15,Inputs!$B$44)-(B2410)&lt;=0,1,MAX(0,IF(Inputs!$B$39="pvp",15,Inputs!$B$44)-MAX(5,B2410))/(IF(Inputs!$B$39="pvp",15,Inputs!$B$44)-(B2410))))*IF(AND(ArtifactsInput!$M$42,((Inputs!$B$9+((C2391=TRUE)*(F2391-Calc!F26))+B2399+(ArtifactsInput!$M$24-ArtifactsInput!$M$24)*CHOOSE(ArtifactsInput!$N$24+1,10,12,14,16,18,20)+IF(ArtifactsInput!$M$10,CHOOSE(ArtifactsInput!$N$10+1,15,18,21,24,27,30)*(IF(Inputs!$B$39="pvp",MIN(15,15)/15,IF(AND(Inputs!$B$39&lt;&gt;"pvp",Inputs!$B$44&gt;0),MIN(15,Inputs!$B$44)/(Inputs!$B$44),0))),0)))&gt;=100),CHOOSE(ArtifactsInput!$N$42+1,40,48,56,64,72,80),0))))/100)*(((1+(((C2387=TRUE)*F2387*IF(AND(Inputs!$B$39&lt;&gt;"pvp",Inputs!$B$44&gt;0),(((R2387-1)*MIN((Skills!Y22*(1+Inputs!$B$34/100)),(1/Q2387))+MIN((Skills!Y22*(1+Inputs!$B$34/100)),MAX(0,Inputs!$B$44-((R2387-1)*(1/Q2387)))))/Inputs!$B$44),IF(Inputs!$B$39="pvp",MIN((Skills!Y22*(1+Inputs!$B$34/100)),15)/15,MIN(1,(Skills!Y22*(1+Inputs!$B$34/100))/(1/Q2387)))))+((C2368=TRUE)*F2368*3)+((C2370=TRUE)*F2370*(1-EXP(-0.75*B2403*5)))+((C2389=TRUE)*(F2389-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2376=TRUE)*F2376*IF(AND(Inputs!$B$39&lt;&gt;"pvp",Inputs!$B$44&gt;0),(((R2376-1)*MIN((Skills!Y11*(1+Inputs!$B$34/100)),(1/Q2376))+MIN((Skills!Y11*(1+Inputs!$B$34/100)),MAX(0,Inputs!$B$44-((R2376-1)*(1/Q2376)))))/Inputs!$B$44),IF(Inputs!$B$39="pvp",MIN((Skills!Y11*(1+Inputs!$B$34/100)),15)/15,MIN(1,(Skills!Y11*(1+Inputs!$B$34/100))/(1/Q2376)))))/100)*(1+((C2381=TRUE)*F2381*IF(AND(Inputs!$B$39&lt;&gt;"pvp",Inputs!$B$44&gt;0),(((R2381-1)*MIN((Skills!Y16*(1+Inputs!$B$34/100)),(1/Q2381))+MIN((Skills!Y16*(1+Inputs!$B$34/100)),MAX(0,Inputs!$B$44-((R2381-1)*(1/Q2381)))))/Inputs!$B$44),IF(Inputs!$B$39="pvp",MIN((Skills!Y16*(1+Inputs!$B$34/100)),15)/15,MIN(1,(Skills!Y16*(1+Inputs!$B$34/100))/(1/Q2381)))))/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2401*I2369)</f>
        <v/>
      </c>
      <c r="L2369">
        <f>K2369*(MIN(Inputs!$B$22+((C2390=TRUE)*(F2390-Calc!F25)),(Inputs!$B$23+((C2395=TRUE)*(F2395-Calc!F30))+IF(ArtifactsInput!$M$15,CHOOSE(ArtifactsInput!$N$15+1,25,30,35,40,45,50)/100*(Inputs!$B$11-Inputs!$B$11),0)))/100+(Inputs!$B$23+((C2395=TRUE)*(F2395-Calc!F30))+IF(ArtifactsInput!$M$15,CHOOSE(ArtifactsInput!$N$15+1,25,30,35,40,45,50)/100*(Inputs!$B$11-Inputs!$B$11),0))/100)/2</f>
        <v/>
      </c>
      <c r="M2369">
        <f>L2369*(1+(Inputs!$B$10+((C2392=TRUE)*(F2392-Calc!F27))+B2406+(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2369">
        <f>L2369*(1-MIN((Inputs!$B$9+((C2391=TRUE)*(F2391-Calc!F26))+B2399+(ArtifactsInput!$M$24-ArtifactsInput!$M$24)*CHOOSE(ArtifactsInput!$N$24+1,10,12,14,16,18,20)+(IF(AND(Inputs!$B$39&lt;&gt;"pvp",Inputs!$B$44=0),1,IF(IF(Inputs!$B$39="pvp",15,Inputs!$B$44)-(B2410)&lt;=0,1,MAX(0,IF(Inputs!$B$39="pvp",15,Inputs!$B$44)-MAX(5,B2410))/(IF(Inputs!$B$39="pvp",15,Inputs!$B$44)-(B2410))))*IF(AND(ArtifactsInput!$M$42,((Inputs!$B$9+((C2391=TRUE)*(F2391-Calc!F26))+B2399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2369*(MIN((Inputs!$B$9+((C2391=TRUE)*(F2391-Calc!F26))+B2399+(ArtifactsInput!$M$24-ArtifactsInput!$M$24)*CHOOSE(ArtifactsInput!$N$24+1,10,12,14,16,18,20)+(IF(AND(Inputs!$B$39&lt;&gt;"pvp",Inputs!$B$44=0),1,IF(IF(Inputs!$B$39="pvp",15,Inputs!$B$44)-(B2410)&lt;=0,1,MAX(0,IF(Inputs!$B$39="pvp",15,Inputs!$B$44)-MAX(5,B2410))/(IF(Inputs!$B$39="pvp",15,Inputs!$B$44)-(B2410))))*IF(AND(ArtifactsInput!$M$42,((Inputs!$B$9+((C2391=TRUE)*(F2391-Calc!F26))+B2399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369">
        <f>(1-Summary!$B$11)*T2369+Summary!$B$11*V2369</f>
        <v/>
      </c>
      <c r="P2369">
        <f>IF(B2411=0,0,O2369/B2411)</f>
        <v/>
      </c>
      <c r="Q2369">
        <f>IFERROR(1/IF(Inputs!$B$39="pvp",15,MAX(0.1,Skills!D4-IF(TRUE=TRUE,Inputs!$B$32,0))),0)</f>
        <v/>
      </c>
      <c r="R2369">
        <f>IF(AND(Inputs!$B$39&lt;&gt;"pvp",Inputs!$B$44&gt;0),IF(MAX(0,Inputs!$B$44-B2410)&lt;=0,0,(INT(MAX(0,Inputs!$B$44-B2410)/IF(Inputs!$B$39="pvp",15,MAX(0.1,Skills!D4-IF(TRUE=TRUE,Inputs!$B$32,0))))+1)),0)</f>
        <v/>
      </c>
      <c r="S2369">
        <f>IFERROR(O2369/N2369,0)</f>
        <v/>
      </c>
      <c r="T2369">
        <f>IF(C2369,(H2369*N2369*IF(AND(Inputs!$B$39&lt;&gt;"pvp",Inputs!$B$44&gt;0),((Skills!G4*((R2369-1)*IF(Skills!H4&gt;0,Skills!I4/Skills!H4,1)+IF(Skills!H4&gt;0,MIN(Skills!I4,MAX(0,MAX(0,Inputs!$B$44-B2410)-((R2369-1)*IF(Inputs!$B$39="pvp",15,MAX(0.1,Skills!D4-IF(TRUE=TRUE,Inputs!$B$32,0))))))/Skills!H4,1)))/Inputs!$B$44),G2369*Q2369))*IF(Inputs!$B$39="pvp",1,1+(Inputs!$B$20+0+Skills!P4+B2400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Hunt"),CHOOSE(ArtifactsInput!$N$35+1,15,18,21,24,27,30)*(1-EXP(-(0.2*B2403)*5)),0)+IF(AND(ArtifactsInput!$M$22,Inputs!$B$4&lt;&gt;"Chapter Hunt"),CHOOSE(ArtifactsInput!$N$22+1,10,12,14,16,18,20)*((0*(((0.15*B2403*5))^0/1)+1*(((0.15*B2403*5))^1/1)+2*(((0.15*B2403*5))^2/2)+3*(((0.15*B2403*5))^3/6)+4*(((0.15*B2403*5))^4/24)+5*(((0.15*B2403*5))^5/120))/((((0.15*B2403*5))^0/1)+(((0.15*B2403*5))^1/1)+(((0.15*B2403*5))^2/2)+(((0.15*B2403*5))^3/6)+(((0.15*B2403*5))^4/24)+(((0.15*B2403*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2369*(1-MIN(100,(Inputs!$B$9+((C2391=TRUE)*(F2391-Calc!F26))+B2399+(ArtifactsInput!$M$24-ArtifactsInput!$M$24)*CHOOSE(ArtifactsInput!$N$24+1,10,12,14,16,18,20)+(IF(AND(Inputs!$B$39&lt;&gt;"pvp",Inputs!$B$44=0),1,IF(IF(Inputs!$B$39="pvp",15,Inputs!$B$44)-(B2410)&lt;=0,1,MAX(0,IF(Inputs!$B$39="pvp",15,Inputs!$B$44)-MAX(5,B2410))/(IF(Inputs!$B$39="pvp",15,Inputs!$B$44)-(B2410))))*IF(AND(ArtifactsInput!$M$42,((Inputs!$B$9+((C2391=TRUE)*(F2391-Calc!F26))+B2399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2369*(MIN(100,(Inputs!$B$9+((C2391=TRUE)*(F2391-Calc!F26))+B2399+(ArtifactsInput!$M$24-ArtifactsInput!$M$24)*CHOOSE(ArtifactsInput!$N$24+1,10,12,14,16,18,20)+(IF(AND(Inputs!$B$39&lt;&gt;"pvp",Inputs!$B$44=0),1,IF(IF(Inputs!$B$39="pvp",15,Inputs!$B$44)-(B2410)&lt;=0,1,MAX(0,IF(Inputs!$B$39="pvp",15,Inputs!$B$44)-MAX(5,B2410))/(IF(Inputs!$B$39="pvp",15,Inputs!$B$44)-(B2410))))*IF(AND(ArtifactsInput!$M$42,((Inputs!$B$9+((C2391=TRUE)*(F2391-Calc!F26))+B2399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2369*(1-MIN(100,(Inputs!$B$9+((C2391=TRUE)*(F2391-Calc!F26))+B2399+(ArtifactsInput!$M$24-ArtifactsInput!$M$24)*CHOOSE(ArtifactsInput!$N$24+1,10,12,14,16,18,20)+(IF(AND(Inputs!$B$39&lt;&gt;"pvp",Inputs!$B$44=0),1,IF(IF(Inputs!$B$39="pvp",15,Inputs!$B$44)-(B2410)&lt;=0,1,MAX(0,IF(Inputs!$B$39="pvp",15,Inputs!$B$44)-MAX(5,B2410))/(IF(Inputs!$B$39="pvp",15,Inputs!$B$44)-(B2410))))*IF(AND(ArtifactsInput!$M$42,((Inputs!$B$9+((C2391=TRUE)*(F2391-Calc!F26))+B2399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2369*(MIN(100,(Inputs!$B$9+((C2391=TRUE)*(F2391-Calc!F26))+B2399+(ArtifactsInput!$M$24-ArtifactsInput!$M$24)*CHOOSE(ArtifactsInput!$N$24+1,10,12,14,16,18,20)+(IF(AND(Inputs!$B$39&lt;&gt;"pvp",Inputs!$B$44=0),1,IF(IF(Inputs!$B$39="pvp",15,Inputs!$B$44)-(B2410)&lt;=0,1,MAX(0,IF(Inputs!$B$39="pvp",15,Inputs!$B$44)-MAX(5,B2410))/(IF(Inputs!$B$39="pvp",15,Inputs!$B$44)-(B2410))))*IF(AND(ArtifactsInput!$M$42,((Inputs!$B$9+((C2391=TRUE)*(F2391-Calc!F26))+B2399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2369">
        <f>290*U2368/1000</f>
        <v/>
      </c>
      <c r="V2369">
        <f>IF(C2369,(H2369*N2369*IF(AND(Inputs!$B$39&lt;&gt;"pvp",Inputs!$B$44&gt;0),((Skills!G4*((R2369-1)*IF(Skills!H4&gt;0,Skills!I4/Skills!H4,1)+IF(Skills!H4&gt;0,MIN(Skills!I4,MAX(0,MAX(0,Inputs!$B$44-B2410)-((R2369-1)*IF(Inputs!$B$39="pvp",15,MAX(0.1,Skills!D4-IF(TRUE=TRUE,Inputs!$B$32,0))))))/Skills!H4,1)))/Inputs!$B$44),G2369*Q2369))*IF(Inputs!$B$39="pvp",1,(1+(Inputs!$B$21+Skills!Q4+B2400+(IF(ArtifactsInput!$M$33,CHOOSE(ArtifactsInput!$N$33+1,30,36,42,48,54,60),0))+(IF(AND(ArtifactsInput!$M$35,Inputs!$B$4&lt;&gt;"Chapter Hunt"),CHOOSE(ArtifactsInput!$N$35+1,15,18,21,24,27,30)*(1-EXP(-(0.2*B2403)*5)),0)+IF(AND(ArtifactsInput!$M$22,Inputs!$B$4&lt;&gt;"Chapter Hunt"),CHOOSE(ArtifactsInput!$N$22+1,10,12,14,16,18,20)*((0*(((0.15*B2403*5))^0/1)+1*(((0.15*B2403*5))^1/1)+2*(((0.15*B2403*5))^2/2)+3*(((0.15*B2403*5))^3/6)+4*(((0.15*B2403*5))^4/24)+5*(((0.15*B2403*5))^5/120))/((((0.15*B2403*5))^0/1)+(((0.15*B2403*5))^1/1)+(((0.15*B2403*5))^2/2)+(((0.15*B2403*5))^3/6)+(((0.15*B2403*5))^4/24)+(((0.15*B2403*5))^5/120))),0)))/100)*(MIN(MIN(10,IF(Inputs!$B$3&gt;=75,0.75,0.5)*B2403*(1/Q2369)),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370">
      <c r="A2370">
        <f>Skills!A5</f>
        <v/>
      </c>
      <c r="B2370">
        <f>Skills!B5</f>
        <v/>
      </c>
      <c r="C2370">
        <f>Inputs!$B$3&gt;=75</f>
        <v/>
      </c>
      <c r="D2370">
        <f>IF(Skills!C5=1,60+Inputs!$B$25+Inputs!$B$29,IF(Skills!C5=2,90+Inputs!$B$26+Inputs!$B$29,IF(Skills!C5=3,120+Inputs!$B$27+Inputs!$B$29,MAX(0,(Inputs!$B$3-100)*3)+Inputs!$B$28+Inputs!$B$29)))</f>
        <v/>
      </c>
      <c r="E2370">
        <f>INDEX(FactorTable!$B$2:$Y$301, MATCH(ROUND(MIN(300,MAX(1,D2370)),0), FactorTable!$A$2:$A$301,0), Skills!M5+1)</f>
        <v/>
      </c>
      <c r="F2370">
        <f>IF(Skills!N5=TRUE,(Skills!L5/10)*(E2370/1000),Skills!L5/10)+Skills!O5</f>
        <v/>
      </c>
      <c r="G2370">
        <f>Skills!G5*IF(Skills!H5&gt;0,IF(Inputs!$B$39="pvp",MIN(Skills!I5,15),Skills!I5)/Skills!H5,1)</f>
        <v/>
      </c>
      <c r="H2370">
        <f>1-(1-Skills!J5/100)^Skills!K5</f>
        <v/>
      </c>
      <c r="I2370" t="inlineStr">
        <is>
          <t>1</t>
        </is>
      </c>
      <c r="J2370" t="inlineStr"/>
      <c r="K2370" t="inlineStr"/>
      <c r="L2370" t="inlineStr"/>
      <c r="M2370" t="inlineStr"/>
      <c r="N2370" t="inlineStr"/>
      <c r="O2370">
        <f>(1-Summary!$B$11)*T2370+Summary!$B$11*V2370</f>
        <v/>
      </c>
      <c r="P2370">
        <f>IF(B2411=0,0,O2370/B2411)</f>
        <v/>
      </c>
      <c r="Q2370" t="n">
        <v>0</v>
      </c>
      <c r="R2370" t="n">
        <v>0</v>
      </c>
      <c r="S2370">
        <f>IFERROR(O2370/N2370,0)</f>
        <v/>
      </c>
      <c r="T2370" t="n">
        <v>0</v>
      </c>
      <c r="V2370" t="n">
        <v>0</v>
      </c>
    </row>
    <row r="2371">
      <c r="A2371">
        <f>Skills!A6</f>
        <v/>
      </c>
      <c r="B2371">
        <f>Skills!B6</f>
        <v/>
      </c>
      <c r="C2371">
        <f>Inputs!$B$3&gt;=63</f>
        <v/>
      </c>
      <c r="D2371">
        <f>IF(Skills!C6=1,60+Inputs!$B$25+Inputs!$B$29,IF(Skills!C6=2,90+Inputs!$B$26+Inputs!$B$29,IF(Skills!C6=3,120+Inputs!$B$27+Inputs!$B$29,MAX(0,(Inputs!$B$3-100)*3)+Inputs!$B$28+Inputs!$B$29)))</f>
        <v/>
      </c>
      <c r="E2371">
        <f>INDEX(FactorTable!$B$2:$Y$301, MATCH(ROUND(MIN(300,MAX(1,D2371)),0), FactorTable!$A$2:$A$301,0), Skills!M6+1)</f>
        <v/>
      </c>
      <c r="F2371">
        <f>IF(Skills!N6=TRUE,(Skills!L6/10)*(E2371/1000),Skills!L6/10)+Skills!O6</f>
        <v/>
      </c>
      <c r="G2371">
        <f>Skills!G6*IF(Skills!H6&gt;0,IF(Inputs!$B$39="pvp",MIN(Skills!I6,15),Skills!I6)/Skills!H6,1)</f>
        <v/>
      </c>
      <c r="H2371">
        <f>1-(1-Skills!J6/100)^Skills!K6</f>
        <v/>
      </c>
      <c r="I2371" t="inlineStr">
        <is>
          <t>1</t>
        </is>
      </c>
      <c r="J2371">
        <f>((Inputs!$B$6*(1+Inputs!$B$7/100))+(((Inputs!$B$12*(1+Inputs!$B$13/100))-(Inputs!$B$12*(1+Inputs!$B$13/100)))+0.25*(Inputs!$B$14-Inputs!$B$14))*(1+Inputs!$B$7/100))*(F2371/100)</f>
        <v/>
      </c>
      <c r="K2371">
        <f>J2371*(1+((Inputs!$B$12*(1+Inputs!$B$13/100))*0.01+Inputs!$B$14*0.0025)/100)*(1+Inputs!$B$15/100)*(1+Inputs!$B$16/100)*(5000/(6000+Inputs!$B$43*(1-(100*(1-(1-Inputs!$B$19/100)*(1-CHOOSE(ArtifactsInput!$N$40+1,5,6,7,8,9,10)/100)^(ArtifactsInput!$M$40-ArtifactsInput!$M$40)))/100)))*(1+(Inputs!$B$24+((C2396=TRUE)*(F2396-Calc!F31))+((C2383=TRUE)*(F2383-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+2.6666666666666665*IF(C2384=TRUE,F2384,0)/100)*(1+(IF(Skills!A6="CRUEL_STAB",Inputs!$B$17+((C2393=TRUE)*(F2393-Calc!F28))+((IF(AND(Inputs!$B$39&lt;&gt;"pvp",Inputs!$B$44=0),1,IF(IF(Inputs!$B$39="pvp",15,Inputs!$B$44)-(B2410)&lt;=0,1,MAX(0,IF(Inputs!$B$39="pvp",15,Inputs!$B$44)-MAX(5,B2410))/(IF(Inputs!$B$39="pvp",15,Inputs!$B$44)-(B2410))))*(IF(AND(ArtifactsInput!$M$42,((Inputs!$B$9+((C2391=TRUE)*(F2391-Calc!F26))+B2399+(ArtifactsInput!$M$24-ArtifactsInput!$M$24)*CHOOSE(ArtifactsInput!$N$24+1,10,12,14,16,18,20)+IF(ArtifactsInput!$M$10,CHOOSE(ArtifactsInput!$N$10+1,15,18,21,24,27,30)*(IF(Inputs!$B$39="pvp",MIN(15,15)/15,IF(AND(Inputs!$B$39&lt;&gt;"pvp",Inputs!$B$44&gt;0),MIN(15,Inputs!$B$44)/(Inputs!$B$44),0))),0)))&gt;=100),MIN(100,((Inputs!$B$9+((C2391=TRUE)*(F2391-Calc!F26))+B2399+(ArtifactsInput!$M$24-ArtifactsInput!$M$24)*CHOOSE(ArtifactsInput!$N$24+1,10,12,14,16,18,20)+IF(ArtifactsInput!$M$10,CHOOSE(ArtifactsInput!$N$10+1,15,18,21,24,27,30)*(IF(Inputs!$B$39="pvp",MIN(15,15)/15,IF(AND(Inputs!$B$39&lt;&gt;"pvp",Inputs!$B$44&gt;0),MIN(15,Inputs!$B$44)/(Inputs!$B$44),0))),0)))-100),0))*CHOOSE(ArtifactsInput!$N$42+1,0.6,0.72,0.84,0.96,1.08,1.2))),Inputs!$B$18+((C2394=TRUE)*(F2394-Calc!F29))+(IF(AND(Inputs!$B$39&lt;&gt;"pvp",Inputs!$B$44=0),1,IF(IF(Inputs!$B$39="pvp",15,Inputs!$B$44)-(B2410)&lt;=0,1,MAX(0,IF(Inputs!$B$39="pvp",15,Inputs!$B$44)-MAX(5,B2410))/(IF(Inputs!$B$39="pvp",15,Inputs!$B$44)-(B2410))))*IF(AND(ArtifactsInput!$M$42,((Inputs!$B$9+((C2391=TRUE)*(F2391-Calc!F26))+B2399+(ArtifactsInput!$M$24-ArtifactsInput!$M$24)*CHOOSE(ArtifactsInput!$N$24+1,10,12,14,16,18,20)+IF(ArtifactsInput!$M$10,CHOOSE(ArtifactsInput!$N$10+1,15,18,21,24,27,30)*(IF(Inputs!$B$39="pvp",MIN(15,15)/15,IF(AND(Inputs!$B$39&lt;&gt;"pvp",Inputs!$B$44&gt;0),MIN(15,Inputs!$B$44)/(Inputs!$B$44),0))),0)))&gt;=100),CHOOSE(ArtifactsInput!$N$42+1,40,48,56,64,72,80),0))))/100)*(((1+(((C2387=TRUE)*F2387*IF(AND(Inputs!$B$39&lt;&gt;"pvp",Inputs!$B$44&gt;0),(((R2387-1)*MIN((Skills!Y22*(1+Inputs!$B$34/100)),(1/Q2387))+MIN((Skills!Y22*(1+Inputs!$B$34/100)),MAX(0,Inputs!$B$44-((R2387-1)*(1/Q2387)))))/Inputs!$B$44),IF(Inputs!$B$39="pvp",MIN((Skills!Y22*(1+Inputs!$B$34/100)),15)/15,MIN(1,(Skills!Y22*(1+Inputs!$B$34/100))/(1/Q2387)))))+((C2368=TRUE)*F2368*3)+((C2370=TRUE)*F2370*(1-EXP(-0.75*B2403*5)))+((C2389=TRUE)*(F2389-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2376=TRUE)*F2376*IF(AND(Inputs!$B$39&lt;&gt;"pvp",Inputs!$B$44&gt;0),(((R2376-1)*MIN((Skills!Y11*(1+Inputs!$B$34/100)),(1/Q2376))+MIN((Skills!Y11*(1+Inputs!$B$34/100)),MAX(0,Inputs!$B$44-((R2376-1)*(1/Q2376)))))/Inputs!$B$44),IF(Inputs!$B$39="pvp",MIN((Skills!Y11*(1+Inputs!$B$34/100)),15)/15,MIN(1,(Skills!Y11*(1+Inputs!$B$34/100))/(1/Q2376)))))/100)*(1+((C2381=TRUE)*F2381*IF(AND(Inputs!$B$39&lt;&gt;"pvp",Inputs!$B$44&gt;0),(((R2381-1)*MIN((Skills!Y16*(1+Inputs!$B$34/100)),(1/Q2381))+MIN((Skills!Y16*(1+Inputs!$B$34/100)),MAX(0,Inputs!$B$44-((R2381-1)*(1/Q2381)))))/Inputs!$B$44),IF(Inputs!$B$39="pvp",MIN((Skills!Y16*(1+Inputs!$B$34/100)),15)/15,MIN(1,(Skills!Y16*(1+Inputs!$B$34/100))/(1/Q2381)))))/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2401*I2371)</f>
        <v/>
      </c>
      <c r="L2371">
        <f>K2371*(MIN(Inputs!$B$22+((C2390=TRUE)*(F2390-Calc!F25)),(Inputs!$B$23+((C2395=TRUE)*(F2395-Calc!F30))+IF(ArtifactsInput!$M$15,CHOOSE(ArtifactsInput!$N$15+1,25,30,35,40,45,50)/100*(Inputs!$B$11-Inputs!$B$11),0)))/100+(Inputs!$B$23+((C2395=TRUE)*(F2395-Calc!F30))+IF(ArtifactsInput!$M$15,CHOOSE(ArtifactsInput!$N$15+1,25,30,35,40,45,50)/100*(Inputs!$B$11-Inputs!$B$11),0))/100)/2</f>
        <v/>
      </c>
      <c r="M2371">
        <f>L2371*(1+(Inputs!$B$10+((C2392=TRUE)*(F2392-Calc!F27))+B2406+(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2371">
        <f>L2371*(1-MIN((Inputs!$B$9+((C2391=TRUE)*(F2391-Calc!F26))+B2399+(ArtifactsInput!$M$24-ArtifactsInput!$M$24)*CHOOSE(ArtifactsInput!$N$24+1,10,12,14,16,18,20)+(IF(AND(Inputs!$B$39&lt;&gt;"pvp",Inputs!$B$44=0),1,IF(IF(Inputs!$B$39="pvp",15,Inputs!$B$44)-(B2410)&lt;=0,1,MAX(0,IF(Inputs!$B$39="pvp",15,Inputs!$B$44)-MAX(5,B2410))/(IF(Inputs!$B$39="pvp",15,Inputs!$B$44)-(B2410))))*IF(AND(ArtifactsInput!$M$42,((Inputs!$B$9+((C2391=TRUE)*(F2391-Calc!F26))+B2399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2371*(MIN((Inputs!$B$9+((C2391=TRUE)*(F2391-Calc!F26))+B2399+(ArtifactsInput!$M$24-ArtifactsInput!$M$24)*CHOOSE(ArtifactsInput!$N$24+1,10,12,14,16,18,20)+(IF(AND(Inputs!$B$39&lt;&gt;"pvp",Inputs!$B$44=0),1,IF(IF(Inputs!$B$39="pvp",15,Inputs!$B$44)-(B2410)&lt;=0,1,MAX(0,IF(Inputs!$B$39="pvp",15,Inputs!$B$44)-MAX(5,B2410))/(IF(Inputs!$B$39="pvp",15,Inputs!$B$44)-(B2410))))*IF(AND(ArtifactsInput!$M$42,((Inputs!$B$9+((C2391=TRUE)*(F2391-Calc!F26))+B2399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371">
        <f>(1-Summary!$B$11)*T2371+Summary!$B$11*V2371</f>
        <v/>
      </c>
      <c r="P2371">
        <f>IF(B2411=0,0,O2371/B2411)</f>
        <v/>
      </c>
      <c r="Q2371">
        <f>IFERROR(1/IF(Inputs!$B$39="pvp",15,MAX(0.1,Skills!D6-IF(TRUE=TRUE,Inputs!$B$32,0))),0)</f>
        <v/>
      </c>
      <c r="R2371">
        <f>IF(AND(Inputs!$B$39&lt;&gt;"pvp",Inputs!$B$44&gt;0),IF(MAX(0,Inputs!$B$44-B2410)&lt;=0,0,(INT(MAX(0,Inputs!$B$44-B2410)/IF(Inputs!$B$39="pvp",15,MAX(0.1,Skills!D6-IF(TRUE=TRUE,Inputs!$B$32,0))))+1)),0)</f>
        <v/>
      </c>
      <c r="S2371">
        <f>IFERROR(O2371/N2371,0)</f>
        <v/>
      </c>
      <c r="T2371">
        <f>IF(C2371,(H2371*N2371*IF(AND(Inputs!$B$39&lt;&gt;"pvp",Inputs!$B$44&gt;0),((Skills!G6*((R2371-1)*IF(Skills!H6&gt;0,Skills!I6/Skills!H6,1)+IF(Skills!H6&gt;0,MIN(Skills!I6,MAX(0,MAX(0,Inputs!$B$44-B2410)-((R2371-1)*IF(Inputs!$B$39="pvp",15,MAX(0.1,Skills!D6-IF(TRUE=TRUE,Inputs!$B$32,0))))))/Skills!H6,1)))/Inputs!$B$44),G2371*Q2371))*IF(Inputs!$B$39="pvp",1,1+(Inputs!$B$20+0+Skills!P6+B2400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Hunt"),CHOOSE(ArtifactsInput!$N$35+1,15,18,21,24,27,30)*(1-EXP(-(0.2*B2403)*5)),0)+IF(AND(ArtifactsInput!$M$22,Inputs!$B$4&lt;&gt;"Chapter Hunt"),CHOOSE(ArtifactsInput!$N$22+1,10,12,14,16,18,20)*((0*(((0.15*B2403*5))^0/1)+1*(((0.15*B2403*5))^1/1)+2*(((0.15*B2403*5))^2/2)+3*(((0.15*B2403*5))^3/6)+4*(((0.15*B2403*5))^4/24)+5*(((0.15*B2403*5))^5/120))/((((0.15*B2403*5))^0/1)+(((0.15*B2403*5))^1/1)+(((0.15*B2403*5))^2/2)+(((0.15*B2403*5))^3/6)+(((0.15*B2403*5))^4/24)+(((0.15*B2403*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2371*(1-MIN(100,(Inputs!$B$9+((C2391=TRUE)*(F2391-Calc!F26))+B2399+(ArtifactsInput!$M$24-ArtifactsInput!$M$24)*CHOOSE(ArtifactsInput!$N$24+1,10,12,14,16,18,20)+(IF(AND(Inputs!$B$39&lt;&gt;"pvp",Inputs!$B$44=0),1,IF(IF(Inputs!$B$39="pvp",15,Inputs!$B$44)-(B2410)&lt;=0,1,MAX(0,IF(Inputs!$B$39="pvp",15,Inputs!$B$44)-MAX(5,B2410))/(IF(Inputs!$B$39="pvp",15,Inputs!$B$44)-(B2410))))*IF(AND(ArtifactsInput!$M$42,((Inputs!$B$9+((C2391=TRUE)*(F2391-Calc!F26))+B2399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2371*(MIN(100,(Inputs!$B$9+((C2391=TRUE)*(F2391-Calc!F26))+B2399+(ArtifactsInput!$M$24-ArtifactsInput!$M$24)*CHOOSE(ArtifactsInput!$N$24+1,10,12,14,16,18,20)+(IF(AND(Inputs!$B$39&lt;&gt;"pvp",Inputs!$B$44=0),1,IF(IF(Inputs!$B$39="pvp",15,Inputs!$B$44)-(B2410)&lt;=0,1,MAX(0,IF(Inputs!$B$39="pvp",15,Inputs!$B$44)-MAX(5,B2410))/(IF(Inputs!$B$39="pvp",15,Inputs!$B$44)-(B2410))))*IF(AND(ArtifactsInput!$M$42,((Inputs!$B$9+((C2391=TRUE)*(F2391-Calc!F26))+B2399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2371*(1-MIN(100,(Inputs!$B$9+((C2391=TRUE)*(F2391-Calc!F26))+B2399+(ArtifactsInput!$M$24-ArtifactsInput!$M$24)*CHOOSE(ArtifactsInput!$N$24+1,10,12,14,16,18,20)+(IF(AND(Inputs!$B$39&lt;&gt;"pvp",Inputs!$B$44=0),1,IF(IF(Inputs!$B$39="pvp",15,Inputs!$B$44)-(B2410)&lt;=0,1,MAX(0,IF(Inputs!$B$39="pvp",15,Inputs!$B$44)-MAX(5,B2410))/(IF(Inputs!$B$39="pvp",15,Inputs!$B$44)-(B2410))))*IF(AND(ArtifactsInput!$M$42,((Inputs!$B$9+((C2391=TRUE)*(F2391-Calc!F26))+B2399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2371*(MIN(100,(Inputs!$B$9+((C2391=TRUE)*(F2391-Calc!F26))+B2399+(ArtifactsInput!$M$24-ArtifactsInput!$M$24)*CHOOSE(ArtifactsInput!$N$24+1,10,12,14,16,18,20)+(IF(AND(Inputs!$B$39&lt;&gt;"pvp",Inputs!$B$44=0),1,IF(IF(Inputs!$B$39="pvp",15,Inputs!$B$44)-(B2410)&lt;=0,1,MAX(0,IF(Inputs!$B$39="pvp",15,Inputs!$B$44)-MAX(5,B2410))/(IF(Inputs!$B$39="pvp",15,Inputs!$B$44)-(B2410))))*IF(AND(ArtifactsInput!$M$42,((Inputs!$B$9+((C2391=TRUE)*(F2391-Calc!F26))+B2399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371">
        <f>IF(C2371,(H2371*N2371*IF(AND(Inputs!$B$39&lt;&gt;"pvp",Inputs!$B$44&gt;0),((Skills!G6*((R2371-1)*IF(Skills!H6&gt;0,Skills!I6/Skills!H6,1)+IF(Skills!H6&gt;0,MIN(Skills!I6,MAX(0,MAX(0,Inputs!$B$44-B2410)-((R2371-1)*IF(Inputs!$B$39="pvp",15,MAX(0.1,Skills!D6-IF(TRUE=TRUE,Inputs!$B$32,0))))))/Skills!H6,1)))/Inputs!$B$44),G2371*Q2371))*IF(Inputs!$B$39="pvp",1,(1+(Inputs!$B$21+Skills!Q6+B2400+(IF(ArtifactsInput!$M$33,CHOOSE(ArtifactsInput!$N$33+1,30,36,42,48,54,60),0))+(IF(AND(ArtifactsInput!$M$35,Inputs!$B$4&lt;&gt;"Chapter Hunt"),CHOOSE(ArtifactsInput!$N$35+1,15,18,21,24,27,30)*(1-EXP(-(0.2*B2403)*5)),0)+IF(AND(ArtifactsInput!$M$22,Inputs!$B$4&lt;&gt;"Chapter Hunt"),CHOOSE(ArtifactsInput!$N$22+1,10,12,14,16,18,20)*((0*(((0.15*B2403*5))^0/1)+1*(((0.15*B2403*5))^1/1)+2*(((0.15*B2403*5))^2/2)+3*(((0.15*B2403*5))^3/6)+4*(((0.15*B2403*5))^4/24)+5*(((0.15*B2403*5))^5/120))/((((0.15*B2403*5))^0/1)+(((0.15*B2403*5))^1/1)+(((0.15*B2403*5))^2/2)+(((0.15*B2403*5))^3/6)+(((0.15*B2403*5))^4/24)+(((0.15*B2403*5))^5/120))),0)))/100)*(MIN(Skills!W6,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372">
      <c r="A2372">
        <f>Skills!A7</f>
        <v/>
      </c>
      <c r="B2372">
        <f>Skills!B7</f>
        <v/>
      </c>
      <c r="C2372">
        <f>Inputs!$B$3&gt;=69</f>
        <v/>
      </c>
      <c r="D2372">
        <f>IF(Skills!C7=1,60+Inputs!$B$25+Inputs!$B$29,IF(Skills!C7=2,90+Inputs!$B$26+Inputs!$B$29,IF(Skills!C7=3,120+Inputs!$B$27+Inputs!$B$29,MAX(0,(Inputs!$B$3-100)*3)+Inputs!$B$28+Inputs!$B$29)))</f>
        <v/>
      </c>
      <c r="E2372">
        <f>INDEX(FactorTable!$B$2:$Y$301, MATCH(ROUND(MIN(300,MAX(1,D2372)),0), FactorTable!$A$2:$A$301,0), Skills!M7+1)</f>
        <v/>
      </c>
      <c r="F2372">
        <f>IF(Skills!N7=TRUE,(Skills!L7/10)*(E2372/1000),Skills!L7/10)+Skills!O7</f>
        <v/>
      </c>
      <c r="G2372">
        <f>Skills!G7*IF(Skills!H7&gt;0,IF(Inputs!$B$39="pvp",MIN(Skills!I7,15),Skills!I7)/Skills!H7,1)</f>
        <v/>
      </c>
      <c r="H2372">
        <f>1-(1-Skills!J7/100)^Skills!K7</f>
        <v/>
      </c>
      <c r="I2372" t="inlineStr">
        <is>
          <t>1</t>
        </is>
      </c>
      <c r="J2372">
        <f>((Inputs!$B$6*(1+Inputs!$B$7/100))+(((Inputs!$B$12*(1+Inputs!$B$13/100))-(Inputs!$B$12*(1+Inputs!$B$13/100)))+0.25*(Inputs!$B$14-Inputs!$B$14))*(1+Inputs!$B$7/100))*(F2372/100)</f>
        <v/>
      </c>
      <c r="K2372">
        <f>J2372*(1+((Inputs!$B$12*(1+Inputs!$B$13/100))*0.01+Inputs!$B$14*0.0025)/100)*(1+Inputs!$B$15/100)*(1+Inputs!$B$16/100)*(5000/(6000+Inputs!$B$43*(1-(100*(1-(1-Inputs!$B$19/100)*(1-CHOOSE(ArtifactsInput!$N$40+1,5,6,7,8,9,10)/100)^(ArtifactsInput!$M$40-ArtifactsInput!$M$40)))/100)))*(1+(Inputs!$B$24+((C2396=TRUE)*(F2396-Calc!F31))+((C2383=TRUE)*(F2383-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2384=TRUE,F2384,0)/100)*(1+(IF(Skills!A7="CRUEL_STAB",Inputs!$B$17+((C2393=TRUE)*(F2393-Calc!F28))+((IF(AND(Inputs!$B$39&lt;&gt;"pvp",Inputs!$B$44=0),1,IF(IF(Inputs!$B$39="pvp",15,Inputs!$B$44)-(B2410)&lt;=0,1,MAX(0,IF(Inputs!$B$39="pvp",15,Inputs!$B$44)-MAX(5,B2410))/(IF(Inputs!$B$39="pvp",15,Inputs!$B$44)-(B2410))))*(IF(AND(ArtifactsInput!$M$42,((Inputs!$B$9+((C2391=TRUE)*(F2391-Calc!F26))+B2399+(ArtifactsInput!$M$24-ArtifactsInput!$M$24)*CHOOSE(ArtifactsInput!$N$24+1,10,12,14,16,18,20)+IF(ArtifactsInput!$M$10,CHOOSE(ArtifactsInput!$N$10+1,15,18,21,24,27,30)*(IF(Inputs!$B$39="pvp",MIN(15,15)/15,IF(AND(Inputs!$B$39&lt;&gt;"pvp",Inputs!$B$44&gt;0),MIN(15,Inputs!$B$44)/(Inputs!$B$44),0))),0)))&gt;=100),MIN(100,((Inputs!$B$9+((C2391=TRUE)*(F2391-Calc!F26))+B2399+(ArtifactsInput!$M$24-ArtifactsInput!$M$24)*CHOOSE(ArtifactsInput!$N$24+1,10,12,14,16,18,20)+IF(ArtifactsInput!$M$10,CHOOSE(ArtifactsInput!$N$10+1,15,18,21,24,27,30)*(IF(Inputs!$B$39="pvp",MIN(15,15)/15,IF(AND(Inputs!$B$39&lt;&gt;"pvp",Inputs!$B$44&gt;0),MIN(15,Inputs!$B$44)/(Inputs!$B$44),0))),0)))-100),0))*CHOOSE(ArtifactsInput!$N$42+1,0.6,0.72,0.84,0.96,1.08,1.2))),Inputs!$B$18+((C2394=TRUE)*(F2394-Calc!F29))+(IF(AND(Inputs!$B$39&lt;&gt;"pvp",Inputs!$B$44=0),1,IF(IF(Inputs!$B$39="pvp",15,Inputs!$B$44)-(B2410)&lt;=0,1,MAX(0,IF(Inputs!$B$39="pvp",15,Inputs!$B$44)-MAX(5,B2410))/(IF(Inputs!$B$39="pvp",15,Inputs!$B$44)-(B2410))))*IF(AND(ArtifactsInput!$M$42,((Inputs!$B$9+((C2391=TRUE)*(F2391-Calc!F26))+B2399+(ArtifactsInput!$M$24-ArtifactsInput!$M$24)*CHOOSE(ArtifactsInput!$N$24+1,10,12,14,16,18,20)+IF(ArtifactsInput!$M$10,CHOOSE(ArtifactsInput!$N$10+1,15,18,21,24,27,30)*(IF(Inputs!$B$39="pvp",MIN(15,15)/15,IF(AND(Inputs!$B$39&lt;&gt;"pvp",Inputs!$B$44&gt;0),MIN(15,Inputs!$B$44)/(Inputs!$B$44),0))),0)))&gt;=100),CHOOSE(ArtifactsInput!$N$42+1,40,48,56,64,72,80),0))))/100)*(((1+(((C2387=TRUE)*F2387*IF(AND(Inputs!$B$39&lt;&gt;"pvp",Inputs!$B$44&gt;0),(((R2387-1)*MIN((Skills!Y22*(1+Inputs!$B$34/100)),(1/Q2387))+MIN((Skills!Y22*(1+Inputs!$B$34/100)),MAX(0,Inputs!$B$44-((R2387-1)*(1/Q2387)))))/Inputs!$B$44),IF(Inputs!$B$39="pvp",MIN((Skills!Y22*(1+Inputs!$B$34/100)),15)/15,MIN(1,(Skills!Y22*(1+Inputs!$B$34/100))/(1/Q2387)))))+((C2368=TRUE)*F2368*3)+((C2370=TRUE)*F2370*(1-EXP(-0.75*B2403*5)))+((C2389=TRUE)*(F2389-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2376=TRUE)*F2376*IF(AND(Inputs!$B$39&lt;&gt;"pvp",Inputs!$B$44&gt;0),(((R2376-1)*MIN((Skills!Y11*(1+Inputs!$B$34/100)),(1/Q2376))+MIN((Skills!Y11*(1+Inputs!$B$34/100)),MAX(0,Inputs!$B$44-((R2376-1)*(1/Q2376)))))/Inputs!$B$44),IF(Inputs!$B$39="pvp",MIN((Skills!Y11*(1+Inputs!$B$34/100)),15)/15,MIN(1,(Skills!Y11*(1+Inputs!$B$34/100))/(1/Q2376)))))/100)*(1+((C2381=TRUE)*F2381*IF(AND(Inputs!$B$39&lt;&gt;"pvp",Inputs!$B$44&gt;0),(((R2381-1)*MIN((Skills!Y16*(1+Inputs!$B$34/100)),(1/Q2381))+MIN((Skills!Y16*(1+Inputs!$B$34/100)),MAX(0,Inputs!$B$44-((R2381-1)*(1/Q2381)))))/Inputs!$B$44),IF(Inputs!$B$39="pvp",MIN((Skills!Y16*(1+Inputs!$B$34/100)),15)/15,MIN(1,(Skills!Y16*(1+Inputs!$B$34/100))/(1/Q2381)))))/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2401*I2372)</f>
        <v/>
      </c>
      <c r="L2372">
        <f>K2372*(MIN(Inputs!$B$22+((C2390=TRUE)*(F2390-Calc!F25)),(Inputs!$B$23+((C2395=TRUE)*(F2395-Calc!F30))+IF(ArtifactsInput!$M$15,CHOOSE(ArtifactsInput!$N$15+1,25,30,35,40,45,50)/100*(Inputs!$B$11-Inputs!$B$11),0)))/100+(Inputs!$B$23+((C2395=TRUE)*(F2395-Calc!F30))+IF(ArtifactsInput!$M$15,CHOOSE(ArtifactsInput!$N$15+1,25,30,35,40,45,50)/100*(Inputs!$B$11-Inputs!$B$11),0))/100)/2</f>
        <v/>
      </c>
      <c r="M2372">
        <f>L2372*(1+(Inputs!$B$10+((C2392=TRUE)*(F2392-Calc!F27))+B2406+(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2372">
        <f>L2372*(1-MIN((Inputs!$B$9+((C2391=TRUE)*(F2391-Calc!F26))+B2399+(ArtifactsInput!$M$24-ArtifactsInput!$M$24)*CHOOSE(ArtifactsInput!$N$24+1,10,12,14,16,18,20)+(IF(AND(Inputs!$B$39&lt;&gt;"pvp",Inputs!$B$44=0),1,IF(IF(Inputs!$B$39="pvp",15,Inputs!$B$44)-(B2410)&lt;=0,1,MAX(0,IF(Inputs!$B$39="pvp",15,Inputs!$B$44)-MAX(5,B2410))/(IF(Inputs!$B$39="pvp",15,Inputs!$B$44)-(B2410))))*IF(AND(ArtifactsInput!$M$42,((Inputs!$B$9+((C2391=TRUE)*(F2391-Calc!F26))+B2399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2372*(MIN((Inputs!$B$9+((C2391=TRUE)*(F2391-Calc!F26))+B2399+(ArtifactsInput!$M$24-ArtifactsInput!$M$24)*CHOOSE(ArtifactsInput!$N$24+1,10,12,14,16,18,20)+(IF(AND(Inputs!$B$39&lt;&gt;"pvp",Inputs!$B$44=0),1,IF(IF(Inputs!$B$39="pvp",15,Inputs!$B$44)-(B2410)&lt;=0,1,MAX(0,IF(Inputs!$B$39="pvp",15,Inputs!$B$44)-MAX(5,B2410))/(IF(Inputs!$B$39="pvp",15,Inputs!$B$44)-(B2410))))*IF(AND(ArtifactsInput!$M$42,((Inputs!$B$9+((C2391=TRUE)*(F2391-Calc!F26))+B2399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372">
        <f>(1-Summary!$B$11)*T2372+Summary!$B$11*V2372</f>
        <v/>
      </c>
      <c r="P2372">
        <f>IF(B2411=0,0,O2372/B2411)</f>
        <v/>
      </c>
      <c r="Q2372">
        <f>IFERROR(1/IF(Inputs!$B$39="pvp",15,MAX(0.1,Skills!D7-IF(TRUE=TRUE,Inputs!$B$32,0))),0)</f>
        <v/>
      </c>
      <c r="R2372">
        <f>IF(AND(Inputs!$B$39&lt;&gt;"pvp",Inputs!$B$44&gt;0),IF(MAX(0,Inputs!$B$44-B2410)&lt;=0,0,(INT(MAX(0,Inputs!$B$44-B2410)/IF(Inputs!$B$39="pvp",15,MAX(0.1,Skills!D7-IF(TRUE=TRUE,Inputs!$B$32,0))))+1)),0)</f>
        <v/>
      </c>
      <c r="S2372">
        <f>IFERROR(O2372/N2372,0)</f>
        <v/>
      </c>
      <c r="T2372">
        <f>IF(C2372,(H2372*N2372*IF(AND(Inputs!$B$39&lt;&gt;"pvp",Inputs!$B$44&gt;0),((Skills!G7*((R2372-1)*IF(Skills!H7&gt;0,Skills!I7/Skills!H7,1)+IF(Skills!H7&gt;0,MIN(Skills!I7,MAX(0,MAX(0,Inputs!$B$44-B2410)-((R2372-1)*IF(Inputs!$B$39="pvp",15,MAX(0.1,Skills!D7-IF(TRUE=TRUE,Inputs!$B$32,0))))))/Skills!H7,1)))/Inputs!$B$44),G2372*Q2372))*IF(Inputs!$B$39="pvp",1,1+(Inputs!$B$20+0+Skills!P7+B2400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Hunt"),CHOOSE(ArtifactsInput!$N$35+1,15,18,21,24,27,30)*(1-EXP(-(0.2*B2403)*5)),0)+IF(AND(ArtifactsInput!$M$22,Inputs!$B$4&lt;&gt;"Chapter Hunt"),CHOOSE(ArtifactsInput!$N$22+1,10,12,14,16,18,20)*((0*(((0.15*B2403*5))^0/1)+1*(((0.15*B2403*5))^1/1)+2*(((0.15*B2403*5))^2/2)+3*(((0.15*B2403*5))^3/6)+4*(((0.15*B2403*5))^4/24)+5*(((0.15*B2403*5))^5/120))/((((0.15*B2403*5))^0/1)+(((0.15*B2403*5))^1/1)+(((0.15*B2403*5))^2/2)+(((0.15*B2403*5))^3/6)+(((0.15*B2403*5))^4/24)+(((0.15*B2403*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2372*(1-MIN(100,(Inputs!$B$9+((C2391=TRUE)*(F2391-Calc!F26))+B2399+(ArtifactsInput!$M$24-ArtifactsInput!$M$24)*CHOOSE(ArtifactsInput!$N$24+1,10,12,14,16,18,20)+(IF(AND(Inputs!$B$39&lt;&gt;"pvp",Inputs!$B$44=0),1,IF(IF(Inputs!$B$39="pvp",15,Inputs!$B$44)-(B2410)&lt;=0,1,MAX(0,IF(Inputs!$B$39="pvp",15,Inputs!$B$44)-MAX(5,B2410))/(IF(Inputs!$B$39="pvp",15,Inputs!$B$44)-(B2410))))*IF(AND(ArtifactsInput!$M$42,((Inputs!$B$9+((C2391=TRUE)*(F2391-Calc!F26))+B2399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2372*(MIN(100,(Inputs!$B$9+((C2391=TRUE)*(F2391-Calc!F26))+B2399+(ArtifactsInput!$M$24-ArtifactsInput!$M$24)*CHOOSE(ArtifactsInput!$N$24+1,10,12,14,16,18,20)+(IF(AND(Inputs!$B$39&lt;&gt;"pvp",Inputs!$B$44=0),1,IF(IF(Inputs!$B$39="pvp",15,Inputs!$B$44)-(B2410)&lt;=0,1,MAX(0,IF(Inputs!$B$39="pvp",15,Inputs!$B$44)-MAX(5,B2410))/(IF(Inputs!$B$39="pvp",15,Inputs!$B$44)-(B2410))))*IF(AND(ArtifactsInput!$M$42,((Inputs!$B$9+((C2391=TRUE)*(F2391-Calc!F26))+B2399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2372*(1-MIN(100,(Inputs!$B$9+((C2391=TRUE)*(F2391-Calc!F26))+B2399+(ArtifactsInput!$M$24-ArtifactsInput!$M$24)*CHOOSE(ArtifactsInput!$N$24+1,10,12,14,16,18,20)+(IF(AND(Inputs!$B$39&lt;&gt;"pvp",Inputs!$B$44=0),1,IF(IF(Inputs!$B$39="pvp",15,Inputs!$B$44)-(B2410)&lt;=0,1,MAX(0,IF(Inputs!$B$39="pvp",15,Inputs!$B$44)-MAX(5,B2410))/(IF(Inputs!$B$39="pvp",15,Inputs!$B$44)-(B2410))))*IF(AND(ArtifactsInput!$M$42,((Inputs!$B$9+((C2391=TRUE)*(F2391-Calc!F26))+B2399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2372*(MIN(100,(Inputs!$B$9+((C2391=TRUE)*(F2391-Calc!F26))+B2399+(ArtifactsInput!$M$24-ArtifactsInput!$M$24)*CHOOSE(ArtifactsInput!$N$24+1,10,12,14,16,18,20)+(IF(AND(Inputs!$B$39&lt;&gt;"pvp",Inputs!$B$44=0),1,IF(IF(Inputs!$B$39="pvp",15,Inputs!$B$44)-(B2410)&lt;=0,1,MAX(0,IF(Inputs!$B$39="pvp",15,Inputs!$B$44)-MAX(5,B2410))/(IF(Inputs!$B$39="pvp",15,Inputs!$B$44)-(B2410))))*IF(AND(ArtifactsInput!$M$42,((Inputs!$B$9+((C2391=TRUE)*(F2391-Calc!F26))+B2399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372">
        <f>IF(C2372,(H2372*N2372*IF(AND(Inputs!$B$39&lt;&gt;"pvp",Inputs!$B$44&gt;0),((Skills!G7*((R2372-1)*IF(Skills!H7&gt;0,Skills!I7/Skills!H7,1)+IF(Skills!H7&gt;0,MIN(Skills!I7,MAX(0,MAX(0,Inputs!$B$44-B2410)-((R2372-1)*IF(Inputs!$B$39="pvp",15,MAX(0.1,Skills!D7-IF(TRUE=TRUE,Inputs!$B$32,0))))))/Skills!H7,1)))/Inputs!$B$44),G2372*Q2372))*IF(Inputs!$B$39="pvp",1,(1+(Inputs!$B$21+Skills!Q7+B2400+(IF(ArtifactsInput!$M$33,CHOOSE(ArtifactsInput!$N$33+1,30,36,42,48,54,60),0))+(IF(AND(ArtifactsInput!$M$35,Inputs!$B$4&lt;&gt;"Chapter Hunt"),CHOOSE(ArtifactsInput!$N$35+1,15,18,21,24,27,30)*(1-EXP(-(0.2*B2403)*5)),0)+IF(AND(ArtifactsInput!$M$22,Inputs!$B$4&lt;&gt;"Chapter Hunt"),CHOOSE(ArtifactsInput!$N$22+1,10,12,14,16,18,20)*((0*(((0.15*B2403*5))^0/1)+1*(((0.15*B2403*5))^1/1)+2*(((0.15*B2403*5))^2/2)+3*(((0.15*B2403*5))^3/6)+4*(((0.15*B2403*5))^4/24)+5*(((0.15*B2403*5))^5/120))/((((0.15*B2403*5))^0/1)+(((0.15*B2403*5))^1/1)+(((0.15*B2403*5))^2/2)+(((0.15*B2403*5))^3/6)+(((0.15*B2403*5))^4/24)+(((0.15*B2403*5))^5/120))),0)))/100)*(MIN(Skills!W7,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373">
      <c r="A2373">
        <f>Skills!A8</f>
        <v/>
      </c>
      <c r="B2373">
        <f>Skills!B8</f>
        <v/>
      </c>
      <c r="C2373">
        <f>Inputs!$B$3&gt;=60</f>
        <v/>
      </c>
      <c r="D2373">
        <f>IF(Skills!C8=1,60+Inputs!$B$25+Inputs!$B$29,IF(Skills!C8=2,90+Inputs!$B$26+Inputs!$B$29,IF(Skills!C8=3,120+Inputs!$B$27+Inputs!$B$29,MAX(0,(Inputs!$B$3-100)*3)+Inputs!$B$28+Inputs!$B$29)))</f>
        <v/>
      </c>
      <c r="E2373">
        <f>INDEX(FactorTable!$B$2:$Y$301, MATCH(ROUND(MIN(300,MAX(1,D2373)),0), FactorTable!$A$2:$A$301,0), Skills!M8+1)</f>
        <v/>
      </c>
      <c r="F2373">
        <f>IF(Skills!N8=TRUE,(Skills!L8/10)*(E2373/1000),Skills!L8/10)+Skills!O8</f>
        <v/>
      </c>
      <c r="G2373">
        <f>Skills!G8*IF(Skills!H8&gt;0,IF(Inputs!$B$39="pvp",MIN(Skills!I8,15),Skills!I8)/Skills!H8,1)</f>
        <v/>
      </c>
      <c r="H2373">
        <f>1-(1-Skills!J8/100)^Skills!K8</f>
        <v/>
      </c>
      <c r="I2373" t="inlineStr">
        <is>
          <t>1</t>
        </is>
      </c>
      <c r="J2373" t="inlineStr"/>
      <c r="K2373" t="inlineStr"/>
      <c r="L2373" t="inlineStr"/>
      <c r="M2373" t="inlineStr"/>
      <c r="N2373" t="inlineStr"/>
      <c r="O2373">
        <f>(1-Summary!$B$11)*T2373+Summary!$B$11*V2373</f>
        <v/>
      </c>
      <c r="P2373">
        <f>IF(B2411=0,0,O2373/B2411)</f>
        <v/>
      </c>
      <c r="Q2373" t="n">
        <v>0</v>
      </c>
      <c r="R2373" t="n">
        <v>0</v>
      </c>
      <c r="S2373">
        <f>IFERROR(O2373/N2373,0)</f>
        <v/>
      </c>
      <c r="T2373" t="n">
        <v>0</v>
      </c>
      <c r="V2373" t="n">
        <v>0</v>
      </c>
    </row>
    <row r="2374">
      <c r="A2374">
        <f>Skills!A9</f>
        <v/>
      </c>
      <c r="B2374">
        <f>Skills!B9</f>
        <v/>
      </c>
      <c r="C2374">
        <f>Inputs!$B$3&gt;=72</f>
        <v/>
      </c>
      <c r="D2374">
        <f>IF(Skills!C9=1,60+Inputs!$B$25+Inputs!$B$29,IF(Skills!C9=2,90+Inputs!$B$26+Inputs!$B$29,IF(Skills!C9=3,120+Inputs!$B$27+Inputs!$B$29,MAX(0,(Inputs!$B$3-100)*3)+Inputs!$B$28+Inputs!$B$29)))</f>
        <v/>
      </c>
      <c r="E2374">
        <f>INDEX(FactorTable!$B$2:$Y$301, MATCH(ROUND(MIN(300,MAX(1,D2374)),0), FactorTable!$A$2:$A$301,0), Skills!M9+1)</f>
        <v/>
      </c>
      <c r="F2374">
        <f>IF(Skills!N9=TRUE,(Skills!L9/10)*(E2374/1000),Skills!L9/10)+Skills!O9</f>
        <v/>
      </c>
      <c r="G2374">
        <f>Skills!G9*IF(Skills!H9&gt;0,IF(Inputs!$B$39="pvp",MIN(Skills!I9,15),Skills!I9)/Skills!H9,1)</f>
        <v/>
      </c>
      <c r="H2374">
        <f>1-(1-Skills!J9/100)^Skills!K9</f>
        <v/>
      </c>
      <c r="I2374" t="inlineStr">
        <is>
          <t>1</t>
        </is>
      </c>
      <c r="J2374">
        <f>((Inputs!$B$6*(1+Inputs!$B$7/100))+(((Inputs!$B$12*(1+Inputs!$B$13/100))-(Inputs!$B$12*(1+Inputs!$B$13/100)))+0.25*(Inputs!$B$14-Inputs!$B$14))*(1+Inputs!$B$7/100))*(F2374/100)</f>
        <v/>
      </c>
      <c r="K2374">
        <f>J2374*(1+((Inputs!$B$12*(1+Inputs!$B$13/100))*0.01+Inputs!$B$14*0.0025)/100)*(1+Inputs!$B$15/100)*(1+Inputs!$B$16/100)*(5000/(6000+Inputs!$B$43*(1-(100*(1-(1-Inputs!$B$19/100)*(1-CHOOSE(ArtifactsInput!$N$40+1,5,6,7,8,9,10)/100)^(ArtifactsInput!$M$40-ArtifactsInput!$M$40)))/100)))*(1+(Inputs!$B$24+((C2396=TRUE)*(F2396-Calc!F31))+((C2383=TRUE)*(F2383-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+3.3333333333333335*IF(C2384=TRUE,F2384,0)/100)*(1+(IF(Skills!A9="CRUEL_STAB",Inputs!$B$17+((C2393=TRUE)*(F2393-Calc!F28))+((IF(AND(Inputs!$B$39&lt;&gt;"pvp",Inputs!$B$44=0),1,IF(IF(Inputs!$B$39="pvp",15,Inputs!$B$44)-(B2410)&lt;=0,1,MAX(0,IF(Inputs!$B$39="pvp",15,Inputs!$B$44)-MAX(5,B2410))/(IF(Inputs!$B$39="pvp",15,Inputs!$B$44)-(B2410))))*(IF(AND(ArtifactsInput!$M$42,((Inputs!$B$9+((C2391=TRUE)*(F2391-Calc!F26))+B2399+(ArtifactsInput!$M$24-ArtifactsInput!$M$24)*CHOOSE(ArtifactsInput!$N$24+1,10,12,14,16,18,20)+IF(ArtifactsInput!$M$10,CHOOSE(ArtifactsInput!$N$10+1,15,18,21,24,27,30)*(IF(Inputs!$B$39="pvp",MIN(15,15)/15,IF(AND(Inputs!$B$39&lt;&gt;"pvp",Inputs!$B$44&gt;0),MIN(15,Inputs!$B$44)/(Inputs!$B$44),0))),0)))&gt;=100),MIN(100,((Inputs!$B$9+((C2391=TRUE)*(F2391-Calc!F26))+B2399+(ArtifactsInput!$M$24-ArtifactsInput!$M$24)*CHOOSE(ArtifactsInput!$N$24+1,10,12,14,16,18,20)+IF(ArtifactsInput!$M$10,CHOOSE(ArtifactsInput!$N$10+1,15,18,21,24,27,30)*(IF(Inputs!$B$39="pvp",MIN(15,15)/15,IF(AND(Inputs!$B$39&lt;&gt;"pvp",Inputs!$B$44&gt;0),MIN(15,Inputs!$B$44)/(Inputs!$B$44),0))),0)))-100),0))*CHOOSE(ArtifactsInput!$N$42+1,0.6,0.72,0.84,0.96,1.08,1.2))),Inputs!$B$18+((C2394=TRUE)*(F2394-Calc!F29))+(IF(AND(Inputs!$B$39&lt;&gt;"pvp",Inputs!$B$44=0),1,IF(IF(Inputs!$B$39="pvp",15,Inputs!$B$44)-(B2410)&lt;=0,1,MAX(0,IF(Inputs!$B$39="pvp",15,Inputs!$B$44)-MAX(5,B2410))/(IF(Inputs!$B$39="pvp",15,Inputs!$B$44)-(B2410))))*IF(AND(ArtifactsInput!$M$42,((Inputs!$B$9+((C2391=TRUE)*(F2391-Calc!F26))+B2399+(ArtifactsInput!$M$24-ArtifactsInput!$M$24)*CHOOSE(ArtifactsInput!$N$24+1,10,12,14,16,18,20)+IF(ArtifactsInput!$M$10,CHOOSE(ArtifactsInput!$N$10+1,15,18,21,24,27,30)*(IF(Inputs!$B$39="pvp",MIN(15,15)/15,IF(AND(Inputs!$B$39&lt;&gt;"pvp",Inputs!$B$44&gt;0),MIN(15,Inputs!$B$44)/(Inputs!$B$44),0))),0)))&gt;=100),CHOOSE(ArtifactsInput!$N$42+1,40,48,56,64,72,80),0))))/100)*(((1+(((C2387=TRUE)*F2387*IF(AND(Inputs!$B$39&lt;&gt;"pvp",Inputs!$B$44&gt;0),(((R2387-1)*MIN((Skills!Y22*(1+Inputs!$B$34/100)),(1/Q2387))+MIN((Skills!Y22*(1+Inputs!$B$34/100)),MAX(0,Inputs!$B$44-((R2387-1)*(1/Q2387)))))/Inputs!$B$44),IF(Inputs!$B$39="pvp",MIN((Skills!Y22*(1+Inputs!$B$34/100)),15)/15,MIN(1,(Skills!Y22*(1+Inputs!$B$34/100))/(1/Q2387)))))+((C2368=TRUE)*F2368*3)+((C2370=TRUE)*F2370*(1-EXP(-0.75*B2403*5)))+((C2389=TRUE)*(F2389-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2376=TRUE)*F2376*IF(AND(Inputs!$B$39&lt;&gt;"pvp",Inputs!$B$44&gt;0),(((R2376-1)*MIN((Skills!Y11*(1+Inputs!$B$34/100)),(1/Q2376))+MIN((Skills!Y11*(1+Inputs!$B$34/100)),MAX(0,Inputs!$B$44-((R2376-1)*(1/Q2376)))))/Inputs!$B$44),IF(Inputs!$B$39="pvp",MIN((Skills!Y11*(1+Inputs!$B$34/100)),15)/15,MIN(1,(Skills!Y11*(1+Inputs!$B$34/100))/(1/Q2376)))))/100)*(1+((C2381=TRUE)*F2381*IF(AND(Inputs!$B$39&lt;&gt;"pvp",Inputs!$B$44&gt;0),(((R2381-1)*MIN((Skills!Y16*(1+Inputs!$B$34/100)),(1/Q2381))+MIN((Skills!Y16*(1+Inputs!$B$34/100)),MAX(0,Inputs!$B$44-((R2381-1)*(1/Q2381)))))/Inputs!$B$44),IF(Inputs!$B$39="pvp",MIN((Skills!Y16*(1+Inputs!$B$34/100)),15)/15,MIN(1,(Skills!Y16*(1+Inputs!$B$34/100))/(1/Q2381)))))/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2401*I2374)</f>
        <v/>
      </c>
      <c r="L2374">
        <f>K2374*(MIN(Inputs!$B$22+((C2390=TRUE)*(F2390-Calc!F25)),(Inputs!$B$23+((C2395=TRUE)*(F2395-Calc!F30))+IF(ArtifactsInput!$M$15,CHOOSE(ArtifactsInput!$N$15+1,25,30,35,40,45,50)/100*(Inputs!$B$11-Inputs!$B$11),0)))/100+(Inputs!$B$23+((C2395=TRUE)*(F2395-Calc!F30))+IF(ArtifactsInput!$M$15,CHOOSE(ArtifactsInput!$N$15+1,25,30,35,40,45,50)/100*(Inputs!$B$11-Inputs!$B$11),0))/100)/2</f>
        <v/>
      </c>
      <c r="M2374">
        <f>L2374*(1+(Inputs!$B$10+((C2392=TRUE)*(F2392-Calc!F27))+B2406+(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2374">
        <f>L2374*(1-MIN((Inputs!$B$9+((C2391=TRUE)*(F2391-Calc!F26))+B2399+(ArtifactsInput!$M$24-ArtifactsInput!$M$24)*CHOOSE(ArtifactsInput!$N$24+1,10,12,14,16,18,20)+(IF(AND(Inputs!$B$39&lt;&gt;"pvp",Inputs!$B$44=0),1,IF(IF(Inputs!$B$39="pvp",15,Inputs!$B$44)-(B2410)&lt;=0,1,MAX(0,IF(Inputs!$B$39="pvp",15,Inputs!$B$44)-MAX(5,B2410))/(IF(Inputs!$B$39="pvp",15,Inputs!$B$44)-(B2410))))*IF(AND(ArtifactsInput!$M$42,((Inputs!$B$9+((C2391=TRUE)*(F2391-Calc!F26))+B2399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2374*(MIN((Inputs!$B$9+((C2391=TRUE)*(F2391-Calc!F26))+B2399+(ArtifactsInput!$M$24-ArtifactsInput!$M$24)*CHOOSE(ArtifactsInput!$N$24+1,10,12,14,16,18,20)+(IF(AND(Inputs!$B$39&lt;&gt;"pvp",Inputs!$B$44=0),1,IF(IF(Inputs!$B$39="pvp",15,Inputs!$B$44)-(B2410)&lt;=0,1,MAX(0,IF(Inputs!$B$39="pvp",15,Inputs!$B$44)-MAX(5,B2410))/(IF(Inputs!$B$39="pvp",15,Inputs!$B$44)-(B2410))))*IF(AND(ArtifactsInput!$M$42,((Inputs!$B$9+((C2391=TRUE)*(F2391-Calc!F26))+B2399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374">
        <f>(1-Summary!$B$11)*T2374+Summary!$B$11*V2374</f>
        <v/>
      </c>
      <c r="P2374">
        <f>IF(B2411=0,0,O2374/B2411)</f>
        <v/>
      </c>
      <c r="Q2374">
        <f>IFERROR(1/IF(Inputs!$B$39="pvp",15,MAX(0.1,Skills!D9-IF(FALSE=TRUE,Inputs!$B$32,0))),0)</f>
        <v/>
      </c>
      <c r="R2374">
        <f>IF(AND(Inputs!$B$39&lt;&gt;"pvp",Inputs!$B$44&gt;0),IF(MAX(0,Inputs!$B$44-B2410)&lt;=0,0,(INT(MAX(0,Inputs!$B$44-B2410)/IF(Inputs!$B$39="pvp",15,MAX(0.1,Skills!D9-IF(FALSE=TRUE,Inputs!$B$32,0))))+1)),0)</f>
        <v/>
      </c>
      <c r="S2374">
        <f>IFERROR(O2374/N2374,0)</f>
        <v/>
      </c>
      <c r="T2374">
        <f>IF(C2374,(H2374*N2374*IF(AND(Inputs!$B$39&lt;&gt;"pvp",Inputs!$B$44&gt;0),((Skills!G9*((R2374-1)*IF(Skills!H9&gt;0,Skills!I9/Skills!H9,1)+IF(Skills!H9&gt;0,MIN(Skills!I9,MAX(0,MAX(0,Inputs!$B$44-B2410)-((R2374-1)*IF(Inputs!$B$39="pvp",15,MAX(0.1,Skills!D9-IF(FALSE=TRUE,Inputs!$B$32,0))))))/Skills!H9,1)))/Inputs!$B$44),G2374*Q2374))*IF(Inputs!$B$39="pvp",1,1+(Inputs!$B$20+0+Skills!P9+B2400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Hunt"),CHOOSE(ArtifactsInput!$N$35+1,15,18,21,24,27,30)*(1-EXP(-(0.2*B2403)*5)),0)+IF(AND(ArtifactsInput!$M$22,Inputs!$B$4&lt;&gt;"Chapter Hunt"),CHOOSE(ArtifactsInput!$N$22+1,10,12,14,16,18,20)*((0*(((0.15*B2403*5))^0/1)+1*(((0.15*B2403*5))^1/1)+2*(((0.15*B2403*5))^2/2)+3*(((0.15*B2403*5))^3/6)+4*(((0.15*B2403*5))^4/24)+5*(((0.15*B2403*5))^5/120))/((((0.15*B2403*5))^0/1)+(((0.15*B2403*5))^1/1)+(((0.15*B2403*5))^2/2)+(((0.15*B2403*5))^3/6)+(((0.15*B2403*5))^4/24)+(((0.15*B2403*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2374*(1-MIN(100,(Inputs!$B$9+((C2391=TRUE)*(F2391-Calc!F26))+B2399+(ArtifactsInput!$M$24-ArtifactsInput!$M$24)*CHOOSE(ArtifactsInput!$N$24+1,10,12,14,16,18,20)+(IF(AND(Inputs!$B$39&lt;&gt;"pvp",Inputs!$B$44=0),1,IF(IF(Inputs!$B$39="pvp",15,Inputs!$B$44)-(B2410)&lt;=0,1,MAX(0,IF(Inputs!$B$39="pvp",15,Inputs!$B$44)-MAX(5,B2410))/(IF(Inputs!$B$39="pvp",15,Inputs!$B$44)-(B2410))))*IF(AND(ArtifactsInput!$M$42,((Inputs!$B$9+((C2391=TRUE)*(F2391-Calc!F26))+B2399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2374*(MIN(100,(Inputs!$B$9+((C2391=TRUE)*(F2391-Calc!F26))+B2399+(ArtifactsInput!$M$24-ArtifactsInput!$M$24)*CHOOSE(ArtifactsInput!$N$24+1,10,12,14,16,18,20)+(IF(AND(Inputs!$B$39&lt;&gt;"pvp",Inputs!$B$44=0),1,IF(IF(Inputs!$B$39="pvp",15,Inputs!$B$44)-(B2410)&lt;=0,1,MAX(0,IF(Inputs!$B$39="pvp",15,Inputs!$B$44)-MAX(5,B2410))/(IF(Inputs!$B$39="pvp",15,Inputs!$B$44)-(B2410))))*IF(AND(ArtifactsInput!$M$42,((Inputs!$B$9+((C2391=TRUE)*(F2391-Calc!F26))+B2399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2374*(1-MIN(100,(Inputs!$B$9+((C2391=TRUE)*(F2391-Calc!F26))+B2399+(ArtifactsInput!$M$24-ArtifactsInput!$M$24)*CHOOSE(ArtifactsInput!$N$24+1,10,12,14,16,18,20)+(IF(AND(Inputs!$B$39&lt;&gt;"pvp",Inputs!$B$44=0),1,IF(IF(Inputs!$B$39="pvp",15,Inputs!$B$44)-(B2410)&lt;=0,1,MAX(0,IF(Inputs!$B$39="pvp",15,Inputs!$B$44)-MAX(5,B2410))/(IF(Inputs!$B$39="pvp",15,Inputs!$B$44)-(B2410))))*IF(AND(ArtifactsInput!$M$42,((Inputs!$B$9+((C2391=TRUE)*(F2391-Calc!F26))+B2399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2374*(MIN(100,(Inputs!$B$9+((C2391=TRUE)*(F2391-Calc!F26))+B2399+(ArtifactsInput!$M$24-ArtifactsInput!$M$24)*CHOOSE(ArtifactsInput!$N$24+1,10,12,14,16,18,20)+(IF(AND(Inputs!$B$39&lt;&gt;"pvp",Inputs!$B$44=0),1,IF(IF(Inputs!$B$39="pvp",15,Inputs!$B$44)-(B2410)&lt;=0,1,MAX(0,IF(Inputs!$B$39="pvp",15,Inputs!$B$44)-MAX(5,B2410))/(IF(Inputs!$B$39="pvp",15,Inputs!$B$44)-(B2410))))*IF(AND(ArtifactsInput!$M$42,((Inputs!$B$9+((C2391=TRUE)*(F2391-Calc!F26))+B2399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374">
        <f>IF(C2374,(H2374*N2374*IF(AND(Inputs!$B$39&lt;&gt;"pvp",Inputs!$B$44&gt;0),((Skills!G9*((R2374-1)*IF(Skills!H9&gt;0,Skills!I9/Skills!H9,1)+IF(Skills!H9&gt;0,MIN(Skills!I9,MAX(0,MAX(0,Inputs!$B$44-B2410)-((R2374-1)*IF(Inputs!$B$39="pvp",15,MAX(0.1,Skills!D9-IF(FALSE=TRUE,Inputs!$B$32,0))))))/Skills!H9,1)))/Inputs!$B$44),G2374*Q2374))*IF(Inputs!$B$39="pvp",1,(1+(Inputs!$B$21+Skills!Q9+B2400+(IF(ArtifactsInput!$M$33,CHOOSE(ArtifactsInput!$N$33+1,30,36,42,48,54,60),0))+(IF(AND(ArtifactsInput!$M$35,Inputs!$B$4&lt;&gt;"Chapter Hunt"),CHOOSE(ArtifactsInput!$N$35+1,15,18,21,24,27,30)*(1-EXP(-(0.2*B2403)*5)),0)+IF(AND(ArtifactsInput!$M$22,Inputs!$B$4&lt;&gt;"Chapter Hunt"),CHOOSE(ArtifactsInput!$N$22+1,10,12,14,16,18,20)*((0*(((0.15*B2403*5))^0/1)+1*(((0.15*B2403*5))^1/1)+2*(((0.15*B2403*5))^2/2)+3*(((0.15*B2403*5))^3/6)+4*(((0.15*B2403*5))^4/24)+5*(((0.15*B2403*5))^5/120))/((((0.15*B2403*5))^0/1)+(((0.15*B2403*5))^1/1)+(((0.15*B2403*5))^2/2)+(((0.15*B2403*5))^3/6)+(((0.15*B2403*5))^4/24)+(((0.15*B2403*5))^5/120))),0)))/100)*(MIN(Skills!W9,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375">
      <c r="A2375">
        <f>Skills!A10</f>
        <v/>
      </c>
      <c r="B2375">
        <f>Skills!B10</f>
        <v/>
      </c>
      <c r="C2375">
        <f>Inputs!$B$3&gt;=117</f>
        <v/>
      </c>
      <c r="D2375">
        <f>IF(Skills!C10=1,60+Inputs!$B$25+Inputs!$B$29,IF(Skills!C10=2,90+Inputs!$B$26+Inputs!$B$29,IF(Skills!C10=3,120+Inputs!$B$27+Inputs!$B$29,MAX(0,(Inputs!$B$3-100)*3)+Inputs!$B$28+Inputs!$B$29)))</f>
        <v/>
      </c>
      <c r="E2375">
        <f>INDEX(FactorTable!$B$2:$Y$301, MATCH(ROUND(MIN(300,MAX(1,D2375)),0), FactorTable!$A$2:$A$301,0), Skills!M10+1)</f>
        <v/>
      </c>
      <c r="F2375">
        <f>IF(Skills!N10=TRUE,(Skills!L10/10)*(E2375/1000),Skills!L10/10)+Skills!O10</f>
        <v/>
      </c>
      <c r="G2375">
        <f>Skills!G10*IF(Skills!H10&gt;0,IF(Inputs!$B$39="pvp",MIN(Skills!I10,15),Skills!I10)/Skills!H10,1)</f>
        <v/>
      </c>
      <c r="H2375">
        <f>1-(1-Skills!J10/100)^Skills!K10</f>
        <v/>
      </c>
      <c r="I2375" t="inlineStr">
        <is>
          <t>1</t>
        </is>
      </c>
      <c r="J2375">
        <f>((Inputs!$B$6*(1+Inputs!$B$7/100))+(((Inputs!$B$12*(1+Inputs!$B$13/100))-(Inputs!$B$12*(1+Inputs!$B$13/100)))+0.25*(Inputs!$B$14-Inputs!$B$14))*(1+Inputs!$B$7/100))*(F2375/100)</f>
        <v/>
      </c>
      <c r="K2375">
        <f>J2375*(1+((Inputs!$B$12*(1+Inputs!$B$13/100))*0.01+Inputs!$B$14*0.0025)/100)*(1+Inputs!$B$15/100)*(1+Inputs!$B$16/100)*(5000/(6000+Inputs!$B$43*(1-(100*(1-(1-Inputs!$B$19/100)*(1-CHOOSE(ArtifactsInput!$N$40+1,5,6,7,8,9,10)/100)^(ArtifactsInput!$M$40-ArtifactsInput!$M$40)))/100)))*(1+(Inputs!$B$24+((C2396=TRUE)*(F2396-Calc!F31))+((C2383=TRUE)*(F2383-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10="CRUEL_STAB",Inputs!$B$17+((C2393=TRUE)*(F2393-Calc!F28))+((IF(AND(Inputs!$B$39&lt;&gt;"pvp",Inputs!$B$44=0),1,IF(IF(Inputs!$B$39="pvp",15,Inputs!$B$44)-(B2410)&lt;=0,1,MAX(0,IF(Inputs!$B$39="pvp",15,Inputs!$B$44)-MAX(5,B2410))/(IF(Inputs!$B$39="pvp",15,Inputs!$B$44)-(B2410))))*(IF(AND(ArtifactsInput!$M$42,((Inputs!$B$9+((C2391=TRUE)*(F2391-Calc!F26))+B2399+(ArtifactsInput!$M$24-ArtifactsInput!$M$24)*CHOOSE(ArtifactsInput!$N$24+1,10,12,14,16,18,20)+IF(ArtifactsInput!$M$10,CHOOSE(ArtifactsInput!$N$10+1,15,18,21,24,27,30)*(IF(Inputs!$B$39="pvp",MIN(15,15)/15,IF(AND(Inputs!$B$39&lt;&gt;"pvp",Inputs!$B$44&gt;0),MIN(15,Inputs!$B$44)/(Inputs!$B$44),0))),0)))&gt;=100),MIN(100,((Inputs!$B$9+((C2391=TRUE)*(F2391-Calc!F26))+B2399+(ArtifactsInput!$M$24-ArtifactsInput!$M$24)*CHOOSE(ArtifactsInput!$N$24+1,10,12,14,16,18,20)+IF(ArtifactsInput!$M$10,CHOOSE(ArtifactsInput!$N$10+1,15,18,21,24,27,30)*(IF(Inputs!$B$39="pvp",MIN(15,15)/15,IF(AND(Inputs!$B$39&lt;&gt;"pvp",Inputs!$B$44&gt;0),MIN(15,Inputs!$B$44)/(Inputs!$B$44),0))),0)))-100),0))*CHOOSE(ArtifactsInput!$N$42+1,0.6,0.72,0.84,0.96,1.08,1.2))),Inputs!$B$18+((C2394=TRUE)*(F2394-Calc!F29))+(IF(AND(Inputs!$B$39&lt;&gt;"pvp",Inputs!$B$44=0),1,IF(IF(Inputs!$B$39="pvp",15,Inputs!$B$44)-(B2410)&lt;=0,1,MAX(0,IF(Inputs!$B$39="pvp",15,Inputs!$B$44)-MAX(5,B2410))/(IF(Inputs!$B$39="pvp",15,Inputs!$B$44)-(B2410))))*IF(AND(ArtifactsInput!$M$42,((Inputs!$B$9+((C2391=TRUE)*(F2391-Calc!F26))+B2399+(ArtifactsInput!$M$24-ArtifactsInput!$M$24)*CHOOSE(ArtifactsInput!$N$24+1,10,12,14,16,18,20)+IF(ArtifactsInput!$M$10,CHOOSE(ArtifactsInput!$N$10+1,15,18,21,24,27,30)*(IF(Inputs!$B$39="pvp",MIN(15,15)/15,IF(AND(Inputs!$B$39&lt;&gt;"pvp",Inputs!$B$44&gt;0),MIN(15,Inputs!$B$44)/(Inputs!$B$44),0))),0)))&gt;=100),CHOOSE(ArtifactsInput!$N$42+1,40,48,56,64,72,80),0))))/100)*(((1+(((C2387=TRUE)*F2387*IF(AND(Inputs!$B$39&lt;&gt;"pvp",Inputs!$B$44&gt;0),(((R2387-1)*MIN((Skills!Y22*(1+Inputs!$B$34/100)),(1/Q2387))+MIN((Skills!Y22*(1+Inputs!$B$34/100)),MAX(0,Inputs!$B$44-((R2387-1)*(1/Q2387)))))/Inputs!$B$44),IF(Inputs!$B$39="pvp",MIN((Skills!Y22*(1+Inputs!$B$34/100)),15)/15,MIN(1,(Skills!Y22*(1+Inputs!$B$34/100))/(1/Q2387)))))+((C2368=TRUE)*F2368*3)+((C2370=TRUE)*F2370*(1-EXP(-0.75*B2403*5)))+((C2389=TRUE)*(F2389-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2376=TRUE)*F2376*IF(AND(Inputs!$B$39&lt;&gt;"pvp",Inputs!$B$44&gt;0),(((R2376-1)*MIN((Skills!Y11*(1+Inputs!$B$34/100)),(1/Q2376))+MIN((Skills!Y11*(1+Inputs!$B$34/100)),MAX(0,Inputs!$B$44-((R2376-1)*(1/Q2376)))))/Inputs!$B$44),IF(Inputs!$B$39="pvp",MIN((Skills!Y11*(1+Inputs!$B$34/100)),15)/15,MIN(1,(Skills!Y11*(1+Inputs!$B$34/100))/(1/Q2376)))))/100)*(1+((C2381=TRUE)*F2381*IF(AND(Inputs!$B$39&lt;&gt;"pvp",Inputs!$B$44&gt;0),(((R2381-1)*MIN((Skills!Y16*(1+Inputs!$B$34/100)),(1/Q2381))+MIN((Skills!Y16*(1+Inputs!$B$34/100)),MAX(0,Inputs!$B$44-((R2381-1)*(1/Q2381)))))/Inputs!$B$44),IF(Inputs!$B$39="pvp",MIN((Skills!Y16*(1+Inputs!$B$34/100)),15)/15,MIN(1,(Skills!Y16*(1+Inputs!$B$34/100))/(1/Q2381)))))/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2401*I2375)</f>
        <v/>
      </c>
      <c r="L2375">
        <f>K2375*(MIN(Inputs!$B$22+((C2390=TRUE)*(F2390-Calc!F25)),(Inputs!$B$23+((C2395=TRUE)*(F2395-Calc!F30))+IF(ArtifactsInput!$M$15,CHOOSE(ArtifactsInput!$N$15+1,25,30,35,40,45,50)/100*(Inputs!$B$11-Inputs!$B$11),0)))/100+(Inputs!$B$23+((C2395=TRUE)*(F2395-Calc!F30))+IF(ArtifactsInput!$M$15,CHOOSE(ArtifactsInput!$N$15+1,25,30,35,40,45,50)/100*(Inputs!$B$11-Inputs!$B$11),0))/100)/2</f>
        <v/>
      </c>
      <c r="M2375">
        <f>L2375*(1+(Inputs!$B$10+((C2392=TRUE)*(F2392-Calc!F27))+B2406+(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2375">
        <f>L2375*(1-MIN((Inputs!$B$9+((C2391=TRUE)*(F2391-Calc!F26))+B2399+(ArtifactsInput!$M$24-ArtifactsInput!$M$24)*CHOOSE(ArtifactsInput!$N$24+1,10,12,14,16,18,20)+(IF(AND(Inputs!$B$39&lt;&gt;"pvp",Inputs!$B$44=0),1,IF(IF(Inputs!$B$39="pvp",15,Inputs!$B$44)-(B2410)&lt;=0,1,MAX(0,IF(Inputs!$B$39="pvp",15,Inputs!$B$44)-MAX(5,B2410))/(IF(Inputs!$B$39="pvp",15,Inputs!$B$44)-(B2410))))*IF(AND(ArtifactsInput!$M$42,((Inputs!$B$9+((C2391=TRUE)*(F2391-Calc!F26))+B2399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2375*(MIN((Inputs!$B$9+((C2391=TRUE)*(F2391-Calc!F26))+B2399+(ArtifactsInput!$M$24-ArtifactsInput!$M$24)*CHOOSE(ArtifactsInput!$N$24+1,10,12,14,16,18,20)+(IF(AND(Inputs!$B$39&lt;&gt;"pvp",Inputs!$B$44=0),1,IF(IF(Inputs!$B$39="pvp",15,Inputs!$B$44)-(B2410)&lt;=0,1,MAX(0,IF(Inputs!$B$39="pvp",15,Inputs!$B$44)-MAX(5,B2410))/(IF(Inputs!$B$39="pvp",15,Inputs!$B$44)-(B2410))))*IF(AND(ArtifactsInput!$M$42,((Inputs!$B$9+((C2391=TRUE)*(F2391-Calc!F26))+B2399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375">
        <f>(1-Summary!$B$11)*T2375+Summary!$B$11*V2375</f>
        <v/>
      </c>
      <c r="P2375">
        <f>IF(B2411=0,0,O2375/B2411)</f>
        <v/>
      </c>
      <c r="Q2375" t="n">
        <v>0</v>
      </c>
      <c r="R2375" t="n">
        <v>0</v>
      </c>
      <c r="S2375" t="n">
        <v>0</v>
      </c>
      <c r="T2375">
        <f>IF(C2375,(0.2*SUMPRODUCT((Skills!Z2:Z31=TRUE)*(C2367:C2396=TRUE)*S2367:S2396)*N2375)*IF(Inputs!$B$39="pvp",1,1+(Inputs!$B$20+0+Skills!P10+B2400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Hunt"),CHOOSE(ArtifactsInput!$N$35+1,15,18,21,24,27,30)*(1-EXP(-(0.2*B2403)*5)),0)+IF(AND(ArtifactsInput!$M$22,Inputs!$B$4&lt;&gt;"Chapter Hunt"),CHOOSE(ArtifactsInput!$N$22+1,10,12,14,16,18,20)*((0*(((0.15*B2403*5))^0/1)+1*(((0.15*B2403*5))^1/1)+2*(((0.15*B2403*5))^2/2)+3*(((0.15*B2403*5))^3/6)+4*(((0.15*B2403*5))^4/24)+5*(((0.15*B2403*5))^5/120))/((((0.15*B2403*5))^0/1)+(((0.15*B2403*5))^1/1)+(((0.15*B2403*5))^2/2)+(((0.15*B2403*5))^3/6)+(((0.15*B2403*5))^4/24)+(((0.15*B2403*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2375*(1-MIN(100,(Inputs!$B$9+((C2391=TRUE)*(F2391-Calc!F26))+B2399+(ArtifactsInput!$M$24-ArtifactsInput!$M$24)*CHOOSE(ArtifactsInput!$N$24+1,10,12,14,16,18,20)+(IF(AND(Inputs!$B$39&lt;&gt;"pvp",Inputs!$B$44=0),1,IF(IF(Inputs!$B$39="pvp",15,Inputs!$B$44)-(B2410)&lt;=0,1,MAX(0,IF(Inputs!$B$39="pvp",15,Inputs!$B$44)-MAX(5,B2410))/(IF(Inputs!$B$39="pvp",15,Inputs!$B$44)-(B2410))))*IF(AND(ArtifactsInput!$M$42,((Inputs!$B$9+((C2391=TRUE)*(F2391-Calc!F26))+B2399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2375*(MIN(100,(Inputs!$B$9+((C2391=TRUE)*(F2391-Calc!F26))+B2399+(ArtifactsInput!$M$24-ArtifactsInput!$M$24)*CHOOSE(ArtifactsInput!$N$24+1,10,12,14,16,18,20)+(IF(AND(Inputs!$B$39&lt;&gt;"pvp",Inputs!$B$44=0),1,IF(IF(Inputs!$B$39="pvp",15,Inputs!$B$44)-(B2410)&lt;=0,1,MAX(0,IF(Inputs!$B$39="pvp",15,Inputs!$B$44)-MAX(5,B2410))/(IF(Inputs!$B$39="pvp",15,Inputs!$B$44)-(B2410))))*IF(AND(ArtifactsInput!$M$42,((Inputs!$B$9+((C2391=TRUE)*(F2391-Calc!F26))+B2399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2375*(1-MIN(100,(Inputs!$B$9+((C2391=TRUE)*(F2391-Calc!F26))+B2399+(ArtifactsInput!$M$24-ArtifactsInput!$M$24)*CHOOSE(ArtifactsInput!$N$24+1,10,12,14,16,18,20)+(IF(AND(Inputs!$B$39&lt;&gt;"pvp",Inputs!$B$44=0),1,IF(IF(Inputs!$B$39="pvp",15,Inputs!$B$44)-(B2410)&lt;=0,1,MAX(0,IF(Inputs!$B$39="pvp",15,Inputs!$B$44)-MAX(5,B2410))/(IF(Inputs!$B$39="pvp",15,Inputs!$B$44)-(B2410))))*IF(AND(ArtifactsInput!$M$42,((Inputs!$B$9+((C2391=TRUE)*(F2391-Calc!F26))+B2399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2375*(MIN(100,(Inputs!$B$9+((C2391=TRUE)*(F2391-Calc!F26))+B2399+(ArtifactsInput!$M$24-ArtifactsInput!$M$24)*CHOOSE(ArtifactsInput!$N$24+1,10,12,14,16,18,20)+(IF(AND(Inputs!$B$39&lt;&gt;"pvp",Inputs!$B$44=0),1,IF(IF(Inputs!$B$39="pvp",15,Inputs!$B$44)-(B2410)&lt;=0,1,MAX(0,IF(Inputs!$B$39="pvp",15,Inputs!$B$44)-MAX(5,B2410))/(IF(Inputs!$B$39="pvp",15,Inputs!$B$44)-(B2410))))*IF(AND(ArtifactsInput!$M$42,((Inputs!$B$9+((C2391=TRUE)*(F2391-Calc!F26))+B2399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375">
        <f>IF(C2375,(0.2*SUMPRODUCT((Skills!Z2:Z31=TRUE)*(C2367:C2396=TRUE)*S2367:S2396)*N2375)*IF(Inputs!$B$39="pvp",1,(1+(Inputs!$B$21+Skills!Q10+B2400+(IF(ArtifactsInput!$M$33,CHOOSE(ArtifactsInput!$N$33+1,30,36,42,48,54,60),0))+(IF(AND(ArtifactsInput!$M$35,Inputs!$B$4&lt;&gt;"Chapter Hunt"),CHOOSE(ArtifactsInput!$N$35+1,15,18,21,24,27,30)*(1-EXP(-(0.2*B2403)*5)),0)+IF(AND(ArtifactsInput!$M$22,Inputs!$B$4&lt;&gt;"Chapter Hunt"),CHOOSE(ArtifactsInput!$N$22+1,10,12,14,16,18,20)*((0*(((0.15*B2403*5))^0/1)+1*(((0.15*B2403*5))^1/1)+2*(((0.15*B2403*5))^2/2)+3*(((0.15*B2403*5))^3/6)+4*(((0.15*B2403*5))^4/24)+5*(((0.15*B2403*5))^5/120))/((((0.15*B2403*5))^0/1)+(((0.15*B2403*5))^1/1)+(((0.15*B2403*5))^2/2)+(((0.15*B2403*5))^3/6)+(((0.15*B2403*5))^4/24)+(((0.15*B2403*5))^5/120))),0)))/100)*(MIN(Skills!W10,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376">
      <c r="A2376">
        <f>Skills!A11</f>
        <v/>
      </c>
      <c r="B2376">
        <f>Skills!B11</f>
        <v/>
      </c>
      <c r="C2376">
        <f>Inputs!$B$3&gt;=74</f>
        <v/>
      </c>
      <c r="D2376">
        <f>IF(Skills!C11=1,60+Inputs!$B$25+Inputs!$B$29,IF(Skills!C11=2,90+Inputs!$B$26+Inputs!$B$29,IF(Skills!C11=3,120+Inputs!$B$27+Inputs!$B$29,MAX(0,(Inputs!$B$3-100)*3)+Inputs!$B$28+Inputs!$B$29)))</f>
        <v/>
      </c>
      <c r="E2376">
        <f>INDEX(FactorTable!$B$2:$Y$301, MATCH(ROUND(MIN(300,MAX(1,D2376)),0), FactorTable!$A$2:$A$301,0), Skills!M11+1)</f>
        <v/>
      </c>
      <c r="F2376">
        <f>IF(Skills!N11=TRUE,(Skills!L11/10)*(E2376/1000),Skills!L11/10)+Skills!O11</f>
        <v/>
      </c>
      <c r="G2376">
        <f>Skills!G11*IF(Skills!H11&gt;0,IF(Inputs!$B$39="pvp",MIN(Skills!I11,15),Skills!I11)/Skills!H11,1)</f>
        <v/>
      </c>
      <c r="H2376">
        <f>1-(1-Skills!J11/100)^Skills!K11</f>
        <v/>
      </c>
      <c r="I2376" t="inlineStr">
        <is>
          <t>1</t>
        </is>
      </c>
      <c r="J2376" t="inlineStr"/>
      <c r="K2376" t="inlineStr"/>
      <c r="L2376" t="inlineStr"/>
      <c r="M2376" t="inlineStr"/>
      <c r="N2376" t="inlineStr"/>
      <c r="O2376">
        <f>(1-Summary!$B$11)*T2376+Summary!$B$11*V2376</f>
        <v/>
      </c>
      <c r="P2376">
        <f>IF(B2411=0,0,O2376/B2411)</f>
        <v/>
      </c>
      <c r="Q2376">
        <f>IFERROR(1/IF(Inputs!$B$39="pvp",15,MAX(0.1,Skills!D11-IF(TRUE=TRUE,Inputs!$B$32,0))),0)</f>
        <v/>
      </c>
      <c r="R2376">
        <f>IF(AND(Inputs!$B$39&lt;&gt;"pvp",Inputs!$B$44&gt;0),IF(Inputs!$B$44&lt;=0,0,(INT(Inputs!$B$44/IF(Inputs!$B$39="pvp",15,MAX(0.1,Skills!D11-IF(TRUE=TRUE,Inputs!$B$32,0))))+1)),0)</f>
        <v/>
      </c>
      <c r="S2376">
        <f>IFERROR(O2376/N2376,0)</f>
        <v/>
      </c>
      <c r="T2376" t="n">
        <v>0</v>
      </c>
      <c r="V2376" t="n">
        <v>0</v>
      </c>
    </row>
    <row r="2377">
      <c r="A2377">
        <f>Skills!A12</f>
        <v/>
      </c>
      <c r="B2377">
        <f>Skills!B12</f>
        <v/>
      </c>
      <c r="C2377">
        <f>Inputs!$B$3&gt;=103</f>
        <v/>
      </c>
      <c r="D2377">
        <f>IF(Skills!C12=1,60+Inputs!$B$25+Inputs!$B$29,IF(Skills!C12=2,90+Inputs!$B$26+Inputs!$B$29,IF(Skills!C12=3,120+Inputs!$B$27+Inputs!$B$29,MAX(0,(Inputs!$B$3-100)*3)+Inputs!$B$28+Inputs!$B$29)))</f>
        <v/>
      </c>
      <c r="E2377">
        <f>INDEX(FactorTable!$B$2:$Y$301, MATCH(ROUND(MIN(300,MAX(1,D2377)),0), FactorTable!$A$2:$A$301,0), Skills!M12+1)</f>
        <v/>
      </c>
      <c r="F2377">
        <f>(Skills!L12/10)*(E2377/1000)+IF(Inputs!$B$3&gt;=134,50,0)+0.5*(30000/10)*(INDEX(FactorTable!$B$2:$Y$301, MATCH(ROUND(MIN(300,MAX(1,D2377)),0), FactorTable!$A$2:$A$301,0), 13)/1000)*B2409</f>
        <v/>
      </c>
      <c r="G2377">
        <f>Skills!G12*IF(Skills!H12&gt;0,IF(Inputs!$B$39="pvp",MIN(Skills!I12,15),Skills!I12)/Skills!H12,1)</f>
        <v/>
      </c>
      <c r="H2377">
        <f>1-(1-Skills!J12/100)^Skills!K12</f>
        <v/>
      </c>
      <c r="I2377" t="inlineStr">
        <is>
          <t>1</t>
        </is>
      </c>
      <c r="J2377">
        <f>((Inputs!$B$6*(1+Inputs!$B$7/100))+(((Inputs!$B$12*(1+Inputs!$B$13/100))-(Inputs!$B$12*(1+Inputs!$B$13/100)))+0.25*(Inputs!$B$14-Inputs!$B$14))*(1+Inputs!$B$7/100))*(F2377/100)</f>
        <v/>
      </c>
      <c r="K2377">
        <f>J2377*(1+((Inputs!$B$12*(1+Inputs!$B$13/100))*0.01+Inputs!$B$14*0.0025)/100)*(1+Inputs!$B$15/100)*(1+Inputs!$B$16/100)*(5000/(6000+Inputs!$B$43*(1-(100*(1-(1-Inputs!$B$19/100)*(1-CHOOSE(ArtifactsInput!$N$40+1,5,6,7,8,9,10)/100)^(ArtifactsInput!$M$40-ArtifactsInput!$M$40)))/100)))*(1+(Inputs!$B$24+((C2396=TRUE)*(F2396-Calc!F31))+((C2383=TRUE)*(F2383-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12="CRUEL_STAB",Inputs!$B$17+((C2393=TRUE)*(F2393-Calc!F28))+((IF(AND(Inputs!$B$39&lt;&gt;"pvp",Inputs!$B$44=0),1,IF(IF(Inputs!$B$39="pvp",15,Inputs!$B$44)-(B2410)&lt;=0,1,MAX(0,IF(Inputs!$B$39="pvp",15,Inputs!$B$44)-MAX(5,B2410))/(IF(Inputs!$B$39="pvp",15,Inputs!$B$44)-(B2410))))*(IF(AND(ArtifactsInput!$M$42,((Inputs!$B$9+((C2391=TRUE)*(F2391-Calc!F26))+B2399+(ArtifactsInput!$M$24-ArtifactsInput!$M$24)*CHOOSE(ArtifactsInput!$N$24+1,10,12,14,16,18,20)+IF(ArtifactsInput!$M$10,CHOOSE(ArtifactsInput!$N$10+1,15,18,21,24,27,30)*(IF(Inputs!$B$39="pvp",MIN(15,15)/15,IF(AND(Inputs!$B$39&lt;&gt;"pvp",Inputs!$B$44&gt;0),MIN(15,Inputs!$B$44)/(Inputs!$B$44),0))),0)))&gt;=100),MIN(100,((Inputs!$B$9+((C2391=TRUE)*(F2391-Calc!F26))+B2399+(ArtifactsInput!$M$24-ArtifactsInput!$M$24)*CHOOSE(ArtifactsInput!$N$24+1,10,12,14,16,18,20)+IF(ArtifactsInput!$M$10,CHOOSE(ArtifactsInput!$N$10+1,15,18,21,24,27,30)*(IF(Inputs!$B$39="pvp",MIN(15,15)/15,IF(AND(Inputs!$B$39&lt;&gt;"pvp",Inputs!$B$44&gt;0),MIN(15,Inputs!$B$44)/(Inputs!$B$44),0))),0)))-100),0))*CHOOSE(ArtifactsInput!$N$42+1,0.6,0.72,0.84,0.96,1.08,1.2))),Inputs!$B$18+((C2394=TRUE)*(F2394-Calc!F29))+(IF(AND(Inputs!$B$39&lt;&gt;"pvp",Inputs!$B$44=0),1,IF(IF(Inputs!$B$39="pvp",15,Inputs!$B$44)-(B2410)&lt;=0,1,MAX(0,IF(Inputs!$B$39="pvp",15,Inputs!$B$44)-MAX(5,B2410))/(IF(Inputs!$B$39="pvp",15,Inputs!$B$44)-(B2410))))*IF(AND(ArtifactsInput!$M$42,((Inputs!$B$9+((C2391=TRUE)*(F2391-Calc!F26))+B2399+(ArtifactsInput!$M$24-ArtifactsInput!$M$24)*CHOOSE(ArtifactsInput!$N$24+1,10,12,14,16,18,20)+IF(ArtifactsInput!$M$10,CHOOSE(ArtifactsInput!$N$10+1,15,18,21,24,27,30)*(IF(Inputs!$B$39="pvp",MIN(15,15)/15,IF(AND(Inputs!$B$39&lt;&gt;"pvp",Inputs!$B$44&gt;0),MIN(15,Inputs!$B$44)/(Inputs!$B$44),0))),0)))&gt;=100),CHOOSE(ArtifactsInput!$N$42+1,40,48,56,64,72,80),0))))/100)*(((1+(((C2387=TRUE)*F2387*IF(AND(Inputs!$B$39&lt;&gt;"pvp",Inputs!$B$44&gt;0),(((R2387-1)*MIN((Skills!Y22*(1+Inputs!$B$34/100)),(1/Q2387))+MIN((Skills!Y22*(1+Inputs!$B$34/100)),MAX(0,Inputs!$B$44-((R2387-1)*(1/Q2387)))))/Inputs!$B$44),IF(Inputs!$B$39="pvp",MIN((Skills!Y22*(1+Inputs!$B$34/100)),15)/15,MIN(1,(Skills!Y22*(1+Inputs!$B$34/100))/(1/Q2387)))))+((C2368=TRUE)*F2368*3)+((C2370=TRUE)*F2370*(1-EXP(-0.75*B2403*5)))+((C2389=TRUE)*(F2389-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2376=TRUE)*F2376*IF(AND(Inputs!$B$39&lt;&gt;"pvp",Inputs!$B$44&gt;0),(((R2376-1)*MIN((Skills!Y11*(1+Inputs!$B$34/100)),(1/Q2376))+MIN((Skills!Y11*(1+Inputs!$B$34/100)),MAX(0,Inputs!$B$44-((R2376-1)*(1/Q2376)))))/Inputs!$B$44),IF(Inputs!$B$39="pvp",MIN((Skills!Y11*(1+Inputs!$B$34/100)),15)/15,MIN(1,(Skills!Y11*(1+Inputs!$B$34/100))/(1/Q2376)))))/100)*(1+((C2381=TRUE)*F2381*IF(AND(Inputs!$B$39&lt;&gt;"pvp",Inputs!$B$44&gt;0),(((R2381-1)*MIN((Skills!Y16*(1+Inputs!$B$34/100)),(1/Q2381))+MIN((Skills!Y16*(1+Inputs!$B$34/100)),MAX(0,Inputs!$B$44-((R2381-1)*(1/Q2381)))))/Inputs!$B$44),IF(Inputs!$B$39="pvp",MIN((Skills!Y16*(1+Inputs!$B$34/100)),15)/15,MIN(1,(Skills!Y16*(1+Inputs!$B$34/100))/(1/Q2381)))))/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2401*I2377)</f>
        <v/>
      </c>
      <c r="L2377">
        <f>K2377*(MIN(Inputs!$B$22+((C2390=TRUE)*(F2390-Calc!F25)),(Inputs!$B$23+((C2395=TRUE)*(F2395-Calc!F30))+IF(ArtifactsInput!$M$15,CHOOSE(ArtifactsInput!$N$15+1,25,30,35,40,45,50)/100*(Inputs!$B$11-Inputs!$B$11),0)))/100+(Inputs!$B$23+((C2395=TRUE)*(F2395-Calc!F30))+IF(ArtifactsInput!$M$15,CHOOSE(ArtifactsInput!$N$15+1,25,30,35,40,45,50)/100*(Inputs!$B$11-Inputs!$B$11),0))/100)/2</f>
        <v/>
      </c>
      <c r="M2377">
        <f>L2377*(1+(Inputs!$B$10+((C2392=TRUE)*(F2392-Calc!F27))+B2406+(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2377">
        <f>L2377*(1-MIN((Inputs!$B$9+((C2391=TRUE)*(F2391-Calc!F26))+B2399+(ArtifactsInput!$M$24-ArtifactsInput!$M$24)*CHOOSE(ArtifactsInput!$N$24+1,10,12,14,16,18,20)+(IF(AND(Inputs!$B$39&lt;&gt;"pvp",Inputs!$B$44=0),1,IF(IF(Inputs!$B$39="pvp",15,Inputs!$B$44)-(B2410)&lt;=0,1,MAX(0,IF(Inputs!$B$39="pvp",15,Inputs!$B$44)-MAX(5,B2410))/(IF(Inputs!$B$39="pvp",15,Inputs!$B$44)-(B2410))))*IF(AND(ArtifactsInput!$M$42,((Inputs!$B$9+((C2391=TRUE)*(F2391-Calc!F26))+B2399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2377*(MIN((Inputs!$B$9+((C2391=TRUE)*(F2391-Calc!F26))+B2399+(ArtifactsInput!$M$24-ArtifactsInput!$M$24)*CHOOSE(ArtifactsInput!$N$24+1,10,12,14,16,18,20)+(IF(AND(Inputs!$B$39&lt;&gt;"pvp",Inputs!$B$44=0),1,IF(IF(Inputs!$B$39="pvp",15,Inputs!$B$44)-(B2410)&lt;=0,1,MAX(0,IF(Inputs!$B$39="pvp",15,Inputs!$B$44)-MAX(5,B2410))/(IF(Inputs!$B$39="pvp",15,Inputs!$B$44)-(B2410))))*IF(AND(ArtifactsInput!$M$42,((Inputs!$B$9+((C2391=TRUE)*(F2391-Calc!F26))+B2399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377">
        <f>(1-Summary!$B$11)*T2377+Summary!$B$11*V2377</f>
        <v/>
      </c>
      <c r="P2377">
        <f>IF(B2411=0,0,O2377/B2411)</f>
        <v/>
      </c>
      <c r="Q2377">
        <f>IFERROR(1/IF(Inputs!$B$39="pvp",15,MAX(0.1,Skills!D12-IF(TRUE=TRUE,Inputs!$B$32,0))),0)</f>
        <v/>
      </c>
      <c r="R2377">
        <f>IF(AND(Inputs!$B$39&lt;&gt;"pvp",Inputs!$B$44&gt;0),IF(MAX(0,Inputs!$B$44-B2410)&lt;=0,0,(INT(MAX(0,Inputs!$B$44-B2410)/IF(Inputs!$B$39="pvp",15,MAX(0.1,Skills!D12-IF(TRUE=TRUE,Inputs!$B$32,0))))+1)),0)</f>
        <v/>
      </c>
      <c r="S2377">
        <f>IFERROR(O2377/N2377,0)</f>
        <v/>
      </c>
      <c r="T2377">
        <f>IF(C2377,(H2377*N2377*IF(AND(Inputs!$B$39&lt;&gt;"pvp",Inputs!$B$44&gt;0),((Skills!G12*((R2377-1)*IF(Skills!H12&gt;0,Skills!I12/Skills!H12,1)+IF(Skills!H12&gt;0,MIN(Skills!I12,MAX(0,MAX(0,Inputs!$B$44-B2410)-((R2377-1)*IF(Inputs!$B$39="pvp",15,MAX(0.1,Skills!D12-IF(TRUE=TRUE,Inputs!$B$32,0))))))/Skills!H12,1)))/Inputs!$B$44),G2377*Q2377))*IF(Inputs!$B$39="pvp",1,1+(Inputs!$B$20+0+Skills!P12+B2400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Hunt"),CHOOSE(ArtifactsInput!$N$35+1,15,18,21,24,27,30)*(1-EXP(-(0.2*B2403)*5)),0)+IF(AND(ArtifactsInput!$M$22,Inputs!$B$4&lt;&gt;"Chapter Hunt"),CHOOSE(ArtifactsInput!$N$22+1,10,12,14,16,18,20)*((0*(((0.15*B2403*5))^0/1)+1*(((0.15*B2403*5))^1/1)+2*(((0.15*B2403*5))^2/2)+3*(((0.15*B2403*5))^3/6)+4*(((0.15*B2403*5))^4/24)+5*(((0.15*B2403*5))^5/120))/((((0.15*B2403*5))^0/1)+(((0.15*B2403*5))^1/1)+(((0.15*B2403*5))^2/2)+(((0.15*B2403*5))^3/6)+(((0.15*B2403*5))^4/24)+(((0.15*B2403*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2377*(1-MIN(100,(Inputs!$B$9+((C2391=TRUE)*(F2391-Calc!F26))+B2399+(ArtifactsInput!$M$24-ArtifactsInput!$M$24)*CHOOSE(ArtifactsInput!$N$24+1,10,12,14,16,18,20)+(IF(AND(Inputs!$B$39&lt;&gt;"pvp",Inputs!$B$44=0),1,IF(IF(Inputs!$B$39="pvp",15,Inputs!$B$44)-(B2410)&lt;=0,1,MAX(0,IF(Inputs!$B$39="pvp",15,Inputs!$B$44)-MAX(5,B2410))/(IF(Inputs!$B$39="pvp",15,Inputs!$B$44)-(B2410))))*IF(AND(ArtifactsInput!$M$42,((Inputs!$B$9+((C2391=TRUE)*(F2391-Calc!F26))+B2399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2377*(MIN(100,(Inputs!$B$9+((C2391=TRUE)*(F2391-Calc!F26))+B2399+(ArtifactsInput!$M$24-ArtifactsInput!$M$24)*CHOOSE(ArtifactsInput!$N$24+1,10,12,14,16,18,20)+(IF(AND(Inputs!$B$39&lt;&gt;"pvp",Inputs!$B$44=0),1,IF(IF(Inputs!$B$39="pvp",15,Inputs!$B$44)-(B2410)&lt;=0,1,MAX(0,IF(Inputs!$B$39="pvp",15,Inputs!$B$44)-MAX(5,B2410))/(IF(Inputs!$B$39="pvp",15,Inputs!$B$44)-(B2410))))*IF(AND(ArtifactsInput!$M$42,((Inputs!$B$9+((C2391=TRUE)*(F2391-Calc!F26))+B2399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2377*(1-MIN(100,(Inputs!$B$9+((C2391=TRUE)*(F2391-Calc!F26))+B2399+(ArtifactsInput!$M$24-ArtifactsInput!$M$24)*CHOOSE(ArtifactsInput!$N$24+1,10,12,14,16,18,20)+(IF(AND(Inputs!$B$39&lt;&gt;"pvp",Inputs!$B$44=0),1,IF(IF(Inputs!$B$39="pvp",15,Inputs!$B$44)-(B2410)&lt;=0,1,MAX(0,IF(Inputs!$B$39="pvp",15,Inputs!$B$44)-MAX(5,B2410))/(IF(Inputs!$B$39="pvp",15,Inputs!$B$44)-(B2410))))*IF(AND(ArtifactsInput!$M$42,((Inputs!$B$9+((C2391=TRUE)*(F2391-Calc!F26))+B2399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2377*(MIN(100,(Inputs!$B$9+((C2391=TRUE)*(F2391-Calc!F26))+B2399+(ArtifactsInput!$M$24-ArtifactsInput!$M$24)*CHOOSE(ArtifactsInput!$N$24+1,10,12,14,16,18,20)+(IF(AND(Inputs!$B$39&lt;&gt;"pvp",Inputs!$B$44=0),1,IF(IF(Inputs!$B$39="pvp",15,Inputs!$B$44)-(B2410)&lt;=0,1,MAX(0,IF(Inputs!$B$39="pvp",15,Inputs!$B$44)-MAX(5,B2410))/(IF(Inputs!$B$39="pvp",15,Inputs!$B$44)-(B2410))))*IF(AND(ArtifactsInput!$M$42,((Inputs!$B$9+((C2391=TRUE)*(F2391-Calc!F26))+B2399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377">
        <f>IF(C2377,(H2377*N2377*IF(AND(Inputs!$B$39&lt;&gt;"pvp",Inputs!$B$44&gt;0),((Skills!G12*((R2377-1)*IF(Skills!H12&gt;0,Skills!I12/Skills!H12,1)+IF(Skills!H12&gt;0,MIN(Skills!I12,MAX(0,MAX(0,Inputs!$B$44-B2410)-((R2377-1)*IF(Inputs!$B$39="pvp",15,MAX(0.1,Skills!D12-IF(TRUE=TRUE,Inputs!$B$32,0))))))/Skills!H12,1)))/Inputs!$B$44),G2377*Q2377))*IF(Inputs!$B$39="pvp",1,(1+(Inputs!$B$21+Skills!Q12+B2400+(IF(ArtifactsInput!$M$33,CHOOSE(ArtifactsInput!$N$33+1,30,36,42,48,54,60),0))+(IF(AND(ArtifactsInput!$M$35,Inputs!$B$4&lt;&gt;"Chapter Hunt"),CHOOSE(ArtifactsInput!$N$35+1,15,18,21,24,27,30)*(1-EXP(-(0.2*B2403)*5)),0)+IF(AND(ArtifactsInput!$M$22,Inputs!$B$4&lt;&gt;"Chapter Hunt"),CHOOSE(ArtifactsInput!$N$22+1,10,12,14,16,18,20)*((0*(((0.15*B2403*5))^0/1)+1*(((0.15*B2403*5))^1/1)+2*(((0.15*B2403*5))^2/2)+3*(((0.15*B2403*5))^3/6)+4*(((0.15*B2403*5))^4/24)+5*(((0.15*B2403*5))^5/120))/((((0.15*B2403*5))^0/1)+(((0.15*B2403*5))^1/1)+(((0.15*B2403*5))^2/2)+(((0.15*B2403*5))^3/6)+(((0.15*B2403*5))^4/24)+(((0.15*B2403*5))^5/120))),0)))/100)*(MIN(Skills!W12,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378">
      <c r="A2378">
        <f>Skills!A13</f>
        <v/>
      </c>
      <c r="B2378">
        <f>Skills!B13</f>
        <v/>
      </c>
      <c r="C2378">
        <f>Inputs!$B$3&gt;=105</f>
        <v/>
      </c>
      <c r="D2378">
        <f>IF(Skills!C13=1,60+Inputs!$B$25+Inputs!$B$29,IF(Skills!C13=2,90+Inputs!$B$26+Inputs!$B$29,IF(Skills!C13=3,120+Inputs!$B$27+Inputs!$B$29,MAX(0,(Inputs!$B$3-100)*3)+Inputs!$B$28+Inputs!$B$29)))</f>
        <v/>
      </c>
      <c r="E2378">
        <f>INDEX(FactorTable!$B$2:$Y$301, MATCH(ROUND(MIN(300,MAX(1,D2378)),0), FactorTable!$A$2:$A$301,0), Skills!M13+1)</f>
        <v/>
      </c>
      <c r="F2378">
        <f>IF(Skills!N13=TRUE,(Skills!L13/10)*(E2378/1000),Skills!L13/10)+Skills!O13</f>
        <v/>
      </c>
      <c r="G2378">
        <f>Skills!G13*IF(Skills!H13&gt;0,IF(Inputs!$B$39="pvp",MIN(Skills!I13,15),Skills!I13)/Skills!H13,1)</f>
        <v/>
      </c>
      <c r="H2378">
        <f>1-(1-Skills!J13/100)^Skills!K13</f>
        <v/>
      </c>
      <c r="I2378" t="inlineStr">
        <is>
          <t>1</t>
        </is>
      </c>
      <c r="J2378">
        <f>((Inputs!$B$6*(1+Inputs!$B$7/100))+(((Inputs!$B$12*(1+Inputs!$B$13/100))-(Inputs!$B$12*(1+Inputs!$B$13/100)))+0.25*(Inputs!$B$14-Inputs!$B$14))*(1+Inputs!$B$7/100))*(F2378/100)</f>
        <v/>
      </c>
      <c r="K2378">
        <f>J2378*(1+((Inputs!$B$12*(1+Inputs!$B$13/100))*0.01+Inputs!$B$14*0.0025)/100)*(1+Inputs!$B$15/100)*(1+Inputs!$B$16/100)*(5000/(6000+Inputs!$B$43*(1-(100*(1-(1-Inputs!$B$19/100)*(1-CHOOSE(ArtifactsInput!$N$40+1,5,6,7,8,9,10)/100)^(ArtifactsInput!$M$40-ArtifactsInput!$M$40)))/100)))*(1+(Inputs!$B$24+((C2396=TRUE)*(F2396-Calc!F31))+((C2383=TRUE)*(F2383-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13="CRUEL_STAB",Inputs!$B$17+((C2393=TRUE)*(F2393-Calc!F28))+((IF(AND(Inputs!$B$39&lt;&gt;"pvp",Inputs!$B$44=0),1,IF(IF(Inputs!$B$39="pvp",15,Inputs!$B$44)-(B2410)&lt;=0,1,MAX(0,IF(Inputs!$B$39="pvp",15,Inputs!$B$44)-MAX(5,B2410))/(IF(Inputs!$B$39="pvp",15,Inputs!$B$44)-(B2410))))*(IF(AND(ArtifactsInput!$M$42,((Inputs!$B$9+((C2391=TRUE)*(F2391-Calc!F26))+B2399+(ArtifactsInput!$M$24-ArtifactsInput!$M$24)*CHOOSE(ArtifactsInput!$N$24+1,10,12,14,16,18,20)+IF(ArtifactsInput!$M$10,CHOOSE(ArtifactsInput!$N$10+1,15,18,21,24,27,30)*(IF(Inputs!$B$39="pvp",MIN(15,15)/15,IF(AND(Inputs!$B$39&lt;&gt;"pvp",Inputs!$B$44&gt;0),MIN(15,Inputs!$B$44)/(Inputs!$B$44),0))),0)))&gt;=100),MIN(100,((Inputs!$B$9+((C2391=TRUE)*(F2391-Calc!F26))+B2399+(ArtifactsInput!$M$24-ArtifactsInput!$M$24)*CHOOSE(ArtifactsInput!$N$24+1,10,12,14,16,18,20)+IF(ArtifactsInput!$M$10,CHOOSE(ArtifactsInput!$N$10+1,15,18,21,24,27,30)*(IF(Inputs!$B$39="pvp",MIN(15,15)/15,IF(AND(Inputs!$B$39&lt;&gt;"pvp",Inputs!$B$44&gt;0),MIN(15,Inputs!$B$44)/(Inputs!$B$44),0))),0)))-100),0))*CHOOSE(ArtifactsInput!$N$42+1,0.6,0.72,0.84,0.96,1.08,1.2))),Inputs!$B$18+((C2394=TRUE)*(F2394-Calc!F29))+(IF(AND(Inputs!$B$39&lt;&gt;"pvp",Inputs!$B$44=0),1,IF(IF(Inputs!$B$39="pvp",15,Inputs!$B$44)-(B2410)&lt;=0,1,MAX(0,IF(Inputs!$B$39="pvp",15,Inputs!$B$44)-MAX(5,B2410))/(IF(Inputs!$B$39="pvp",15,Inputs!$B$44)-(B2410))))*IF(AND(ArtifactsInput!$M$42,((Inputs!$B$9+((C2391=TRUE)*(F2391-Calc!F26))+B2399+(ArtifactsInput!$M$24-ArtifactsInput!$M$24)*CHOOSE(ArtifactsInput!$N$24+1,10,12,14,16,18,20)+IF(ArtifactsInput!$M$10,CHOOSE(ArtifactsInput!$N$10+1,15,18,21,24,27,30)*(IF(Inputs!$B$39="pvp",MIN(15,15)/15,IF(AND(Inputs!$B$39&lt;&gt;"pvp",Inputs!$B$44&gt;0),MIN(15,Inputs!$B$44)/(Inputs!$B$44),0))),0)))&gt;=100),CHOOSE(ArtifactsInput!$N$42+1,40,48,56,64,72,80),0))))/100)*(((1+(((C2387=TRUE)*F2387*IF(AND(Inputs!$B$39&lt;&gt;"pvp",Inputs!$B$44&gt;0),(((R2387-1)*MIN((Skills!Y22*(1+Inputs!$B$34/100)),(1/Q2387))+MIN((Skills!Y22*(1+Inputs!$B$34/100)),MAX(0,Inputs!$B$44-((R2387-1)*(1/Q2387)))))/Inputs!$B$44),IF(Inputs!$B$39="pvp",MIN((Skills!Y22*(1+Inputs!$B$34/100)),15)/15,MIN(1,(Skills!Y22*(1+Inputs!$B$34/100))/(1/Q2387)))))+((C2368=TRUE)*F2368*3)+((C2370=TRUE)*F2370*(1-EXP(-0.75*B2403*5)))+((C2389=TRUE)*(F2389-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2376=TRUE)*F2376*IF(AND(Inputs!$B$39&lt;&gt;"pvp",Inputs!$B$44&gt;0),(((R2376-1)*MIN((Skills!Y11*(1+Inputs!$B$34/100)),(1/Q2376))+MIN((Skills!Y11*(1+Inputs!$B$34/100)),MAX(0,Inputs!$B$44-((R2376-1)*(1/Q2376)))))/Inputs!$B$44),IF(Inputs!$B$39="pvp",MIN((Skills!Y11*(1+Inputs!$B$34/100)),15)/15,MIN(1,(Skills!Y11*(1+Inputs!$B$34/100))/(1/Q2376)))))/100)*(1+((C2381=TRUE)*F2381*IF(AND(Inputs!$B$39&lt;&gt;"pvp",Inputs!$B$44&gt;0),(((R2381-1)*MIN((Skills!Y16*(1+Inputs!$B$34/100)),(1/Q2381))+MIN((Skills!Y16*(1+Inputs!$B$34/100)),MAX(0,Inputs!$B$44-((R2381-1)*(1/Q2381)))))/Inputs!$B$44),IF(Inputs!$B$39="pvp",MIN((Skills!Y16*(1+Inputs!$B$34/100)),15)/15,MIN(1,(Skills!Y16*(1+Inputs!$B$34/100))/(1/Q2381)))))/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2401*I2378)</f>
        <v/>
      </c>
      <c r="L2378">
        <f>K2378*(MIN(Inputs!$B$22+((C2390=TRUE)*(F2390-Calc!F25)),(Inputs!$B$23+((C2395=TRUE)*(F2395-Calc!F30))+IF(ArtifactsInput!$M$15,CHOOSE(ArtifactsInput!$N$15+1,25,30,35,40,45,50)/100*(Inputs!$B$11-Inputs!$B$11),0)))/100+(Inputs!$B$23+((C2395=TRUE)*(F2395-Calc!F30))+IF(ArtifactsInput!$M$15,CHOOSE(ArtifactsInput!$N$15+1,25,30,35,40,45,50)/100*(Inputs!$B$11-Inputs!$B$11),0))/100)/2</f>
        <v/>
      </c>
      <c r="M2378">
        <f>L2378*(1+(Inputs!$B$10+((C2392=TRUE)*(F2392-Calc!F27))+B2406+(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2378">
        <f>L2378*(1-MIN((Inputs!$B$9+((C2391=TRUE)*(F2391-Calc!F26))+B2399+(ArtifactsInput!$M$24-ArtifactsInput!$M$24)*CHOOSE(ArtifactsInput!$N$24+1,10,12,14,16,18,20)+(IF(AND(Inputs!$B$39&lt;&gt;"pvp",Inputs!$B$44=0),1,IF(IF(Inputs!$B$39="pvp",15,Inputs!$B$44)-(B2410)&lt;=0,1,MAX(0,IF(Inputs!$B$39="pvp",15,Inputs!$B$44)-MAX(5,B2410))/(IF(Inputs!$B$39="pvp",15,Inputs!$B$44)-(B2410))))*IF(AND(ArtifactsInput!$M$42,((Inputs!$B$9+((C2391=TRUE)*(F2391-Calc!F26))+B2399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2378*(MIN((Inputs!$B$9+((C2391=TRUE)*(F2391-Calc!F26))+B2399+(ArtifactsInput!$M$24-ArtifactsInput!$M$24)*CHOOSE(ArtifactsInput!$N$24+1,10,12,14,16,18,20)+(IF(AND(Inputs!$B$39&lt;&gt;"pvp",Inputs!$B$44=0),1,IF(IF(Inputs!$B$39="pvp",15,Inputs!$B$44)-(B2410)&lt;=0,1,MAX(0,IF(Inputs!$B$39="pvp",15,Inputs!$B$44)-MAX(5,B2410))/(IF(Inputs!$B$39="pvp",15,Inputs!$B$44)-(B2410))))*IF(AND(ArtifactsInput!$M$42,((Inputs!$B$9+((C2391=TRUE)*(F2391-Calc!F26))+B2399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378">
        <f>(1-Summary!$B$11)*T2378+Summary!$B$11*V2378</f>
        <v/>
      </c>
      <c r="P2378">
        <f>IF(B2411=0,0,O2378/B2411)</f>
        <v/>
      </c>
      <c r="Q2378">
        <f>IFERROR(1/IF(Inputs!$B$39="pvp",15,MAX(0.1,Skills!D13-IF(TRUE=TRUE,Inputs!$B$32,0))),0)</f>
        <v/>
      </c>
      <c r="R2378">
        <f>IF(AND(Inputs!$B$39&lt;&gt;"pvp",Inputs!$B$44&gt;0),IF(MAX(0,Inputs!$B$44-B2410)&lt;=0,0,(INT(MAX(0,Inputs!$B$44-B2410)/IF(Inputs!$B$39="pvp",15,MAX(0.1,Skills!D13-IF(TRUE=TRUE,Inputs!$B$32,0))))+1)),0)</f>
        <v/>
      </c>
      <c r="S2378">
        <f>IFERROR(O2378/N2378,0)</f>
        <v/>
      </c>
      <c r="T2378">
        <f>IF(C2378,(H2378*N2378*IF(AND(Inputs!$B$39&lt;&gt;"pvp",Inputs!$B$44&gt;0),((Skills!G13*((R2378-1)*IF(Skills!H13&gt;0,Skills!I13/Skills!H13,1)+IF(Skills!H13&gt;0,MIN(Skills!I13,MAX(0,MAX(0,Inputs!$B$44-B2410)-((R2378-1)*IF(Inputs!$B$39="pvp",15,MAX(0.1,Skills!D13-IF(TRUE=TRUE,Inputs!$B$32,0))))))/Skills!H13,1)))/Inputs!$B$44),G2378*Q2378))*IF(Inputs!$B$39="pvp",1,1+(Inputs!$B$20+0+Skills!P13+B2400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Hunt"),CHOOSE(ArtifactsInput!$N$35+1,15,18,21,24,27,30)*(1-EXP(-(0.2*B2403)*5)),0)+IF(AND(ArtifactsInput!$M$22,Inputs!$B$4&lt;&gt;"Chapter Hunt"),CHOOSE(ArtifactsInput!$N$22+1,10,12,14,16,18,20)*((0*(((0.15*B2403*5))^0/1)+1*(((0.15*B2403*5))^1/1)+2*(((0.15*B2403*5))^2/2)+3*(((0.15*B2403*5))^3/6)+4*(((0.15*B2403*5))^4/24)+5*(((0.15*B2403*5))^5/120))/((((0.15*B2403*5))^0/1)+(((0.15*B2403*5))^1/1)+(((0.15*B2403*5))^2/2)+(((0.15*B2403*5))^3/6)+(((0.15*B2403*5))^4/24)+(((0.15*B2403*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2378*(1-MIN(100,(Inputs!$B$9+((C2391=TRUE)*(F2391-Calc!F26))+B2399+(ArtifactsInput!$M$24-ArtifactsInput!$M$24)*CHOOSE(ArtifactsInput!$N$24+1,10,12,14,16,18,20)+(IF(AND(Inputs!$B$39&lt;&gt;"pvp",Inputs!$B$44=0),1,IF(IF(Inputs!$B$39="pvp",15,Inputs!$B$44)-(B2410)&lt;=0,1,MAX(0,IF(Inputs!$B$39="pvp",15,Inputs!$B$44)-MAX(5,B2410))/(IF(Inputs!$B$39="pvp",15,Inputs!$B$44)-(B2410))))*IF(AND(ArtifactsInput!$M$42,((Inputs!$B$9+((C2391=TRUE)*(F2391-Calc!F26))+B2399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2378*(MIN(100,(Inputs!$B$9+((C2391=TRUE)*(F2391-Calc!F26))+B2399+(ArtifactsInput!$M$24-ArtifactsInput!$M$24)*CHOOSE(ArtifactsInput!$N$24+1,10,12,14,16,18,20)+(IF(AND(Inputs!$B$39&lt;&gt;"pvp",Inputs!$B$44=0),1,IF(IF(Inputs!$B$39="pvp",15,Inputs!$B$44)-(B2410)&lt;=0,1,MAX(0,IF(Inputs!$B$39="pvp",15,Inputs!$B$44)-MAX(5,B2410))/(IF(Inputs!$B$39="pvp",15,Inputs!$B$44)-(B2410))))*IF(AND(ArtifactsInput!$M$42,((Inputs!$B$9+((C2391=TRUE)*(F2391-Calc!F26))+B2399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2378*(1-MIN(100,(Inputs!$B$9+((C2391=TRUE)*(F2391-Calc!F26))+B2399+(ArtifactsInput!$M$24-ArtifactsInput!$M$24)*CHOOSE(ArtifactsInput!$N$24+1,10,12,14,16,18,20)+(IF(AND(Inputs!$B$39&lt;&gt;"pvp",Inputs!$B$44=0),1,IF(IF(Inputs!$B$39="pvp",15,Inputs!$B$44)-(B2410)&lt;=0,1,MAX(0,IF(Inputs!$B$39="pvp",15,Inputs!$B$44)-MAX(5,B2410))/(IF(Inputs!$B$39="pvp",15,Inputs!$B$44)-(B2410))))*IF(AND(ArtifactsInput!$M$42,((Inputs!$B$9+((C2391=TRUE)*(F2391-Calc!F26))+B2399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2378*(MIN(100,(Inputs!$B$9+((C2391=TRUE)*(F2391-Calc!F26))+B2399+(ArtifactsInput!$M$24-ArtifactsInput!$M$24)*CHOOSE(ArtifactsInput!$N$24+1,10,12,14,16,18,20)+(IF(AND(Inputs!$B$39&lt;&gt;"pvp",Inputs!$B$44=0),1,IF(IF(Inputs!$B$39="pvp",15,Inputs!$B$44)-(B2410)&lt;=0,1,MAX(0,IF(Inputs!$B$39="pvp",15,Inputs!$B$44)-MAX(5,B2410))/(IF(Inputs!$B$39="pvp",15,Inputs!$B$44)-(B2410))))*IF(AND(ArtifactsInput!$M$42,((Inputs!$B$9+((C2391=TRUE)*(F2391-Calc!F26))+B2399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378">
        <f>IF(C2378,(H2378*N2378*IF(AND(Inputs!$B$39&lt;&gt;"pvp",Inputs!$B$44&gt;0),((Skills!G13*((R2378-1)*IF(Skills!H13&gt;0,Skills!I13/Skills!H13,1)+IF(Skills!H13&gt;0,MIN(Skills!I13,MAX(0,MAX(0,Inputs!$B$44-B2410)-((R2378-1)*IF(Inputs!$B$39="pvp",15,MAX(0.1,Skills!D13-IF(TRUE=TRUE,Inputs!$B$32,0))))))/Skills!H13,1)))/Inputs!$B$44),G2378*Q2378))*IF(Inputs!$B$39="pvp",1,(1+(Inputs!$B$21+Skills!Q13+B2400+(IF(ArtifactsInput!$M$33,CHOOSE(ArtifactsInput!$N$33+1,30,36,42,48,54,60),0))+(IF(AND(ArtifactsInput!$M$35,Inputs!$B$4&lt;&gt;"Chapter Hunt"),CHOOSE(ArtifactsInput!$N$35+1,15,18,21,24,27,30)*(1-EXP(-(0.2*B2403)*5)),0)+IF(AND(ArtifactsInput!$M$22,Inputs!$B$4&lt;&gt;"Chapter Hunt"),CHOOSE(ArtifactsInput!$N$22+1,10,12,14,16,18,20)*((0*(((0.15*B2403*5))^0/1)+1*(((0.15*B2403*5))^1/1)+2*(((0.15*B2403*5))^2/2)+3*(((0.15*B2403*5))^3/6)+4*(((0.15*B2403*5))^4/24)+5*(((0.15*B2403*5))^5/120))/((((0.15*B2403*5))^0/1)+(((0.15*B2403*5))^1/1)+(((0.15*B2403*5))^2/2)+(((0.15*B2403*5))^3/6)+(((0.15*B2403*5))^4/24)+(((0.15*B2403*5))^5/120))),0)))/100)*(MIN(Skills!W13,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379">
      <c r="A2379">
        <f>Skills!A14</f>
        <v/>
      </c>
      <c r="B2379">
        <f>Skills!B14</f>
        <v/>
      </c>
      <c r="C2379">
        <f>Inputs!$B$3&gt;=105</f>
        <v/>
      </c>
      <c r="D2379">
        <f>IF(Skills!C14=1,60+Inputs!$B$25+Inputs!$B$29,IF(Skills!C14=2,90+Inputs!$B$26+Inputs!$B$29,IF(Skills!C14=3,120+Inputs!$B$27+Inputs!$B$29,MAX(0,(Inputs!$B$3-100)*3)+Inputs!$B$28+Inputs!$B$29)))</f>
        <v/>
      </c>
      <c r="E2379">
        <f>INDEX(FactorTable!$B$2:$Y$301, MATCH(ROUND(MIN(300,MAX(1,D2379)),0), FactorTable!$A$2:$A$301,0), Skills!M14+1)</f>
        <v/>
      </c>
      <c r="F2379">
        <f>IF(Skills!N14=TRUE,(Skills!L14/10)*(E2379/1000),Skills!L14/10)+Skills!O14</f>
        <v/>
      </c>
      <c r="G2379">
        <f>Skills!G14*IF(Skills!H14&gt;0,IF(Inputs!$B$39="pvp",MIN(Skills!I14,15),Skills!I14)/Skills!H14,1)</f>
        <v/>
      </c>
      <c r="H2379">
        <f>1-(1-Skills!J14/100)^Skills!K14</f>
        <v/>
      </c>
      <c r="I2379" t="inlineStr">
        <is>
          <t>1</t>
        </is>
      </c>
      <c r="J2379">
        <f>((Inputs!$B$6*(1+Inputs!$B$7/100))+(((Inputs!$B$12*(1+Inputs!$B$13/100))-(Inputs!$B$12*(1+Inputs!$B$13/100)))+0.25*(Inputs!$B$14-Inputs!$B$14))*(1+Inputs!$B$7/100))*(F2379/100)</f>
        <v/>
      </c>
      <c r="K2379">
        <f>J2379*(1+((Inputs!$B$12*(1+Inputs!$B$13/100))*0.01+Inputs!$B$14*0.0025)/100)*(1+Inputs!$B$15/100)*(1+Inputs!$B$16/100)*(5000/(6000+Inputs!$B$43*(1-(100*(1-(1-Inputs!$B$19/100)*(1-CHOOSE(ArtifactsInput!$N$40+1,5,6,7,8,9,10)/100)^(ArtifactsInput!$M$40-ArtifactsInput!$M$40)))/100)))*(1+(Inputs!$B$24+((C2396=TRUE)*(F2396-Calc!F31))+((C2383=TRUE)*(F2383-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14="CRUEL_STAB",Inputs!$B$17+((C2393=TRUE)*(F2393-Calc!F28))+((IF(AND(Inputs!$B$39&lt;&gt;"pvp",Inputs!$B$44=0),1,IF(IF(Inputs!$B$39="pvp",15,Inputs!$B$44)-(B2410)&lt;=0,1,MAX(0,IF(Inputs!$B$39="pvp",15,Inputs!$B$44)-MAX(5,B2410))/(IF(Inputs!$B$39="pvp",15,Inputs!$B$44)-(B2410))))*(IF(AND(ArtifactsInput!$M$42,((Inputs!$B$9+((C2391=TRUE)*(F2391-Calc!F26))+B2399+(ArtifactsInput!$M$24-ArtifactsInput!$M$24)*CHOOSE(ArtifactsInput!$N$24+1,10,12,14,16,18,20)+IF(ArtifactsInput!$M$10,CHOOSE(ArtifactsInput!$N$10+1,15,18,21,24,27,30)*(IF(Inputs!$B$39="pvp",MIN(15,15)/15,IF(AND(Inputs!$B$39&lt;&gt;"pvp",Inputs!$B$44&gt;0),MIN(15,Inputs!$B$44)/(Inputs!$B$44),0))),0)))&gt;=100),MIN(100,((Inputs!$B$9+((C2391=TRUE)*(F2391-Calc!F26))+B2399+(ArtifactsInput!$M$24-ArtifactsInput!$M$24)*CHOOSE(ArtifactsInput!$N$24+1,10,12,14,16,18,20)+IF(ArtifactsInput!$M$10,CHOOSE(ArtifactsInput!$N$10+1,15,18,21,24,27,30)*(IF(Inputs!$B$39="pvp",MIN(15,15)/15,IF(AND(Inputs!$B$39&lt;&gt;"pvp",Inputs!$B$44&gt;0),MIN(15,Inputs!$B$44)/(Inputs!$B$44),0))),0)))-100),0))*CHOOSE(ArtifactsInput!$N$42+1,0.6,0.72,0.84,0.96,1.08,1.2))),Inputs!$B$18+((C2394=TRUE)*(F2394-Calc!F29))+(IF(AND(Inputs!$B$39&lt;&gt;"pvp",Inputs!$B$44=0),1,IF(IF(Inputs!$B$39="pvp",15,Inputs!$B$44)-(B2410)&lt;=0,1,MAX(0,IF(Inputs!$B$39="pvp",15,Inputs!$B$44)-MAX(5,B2410))/(IF(Inputs!$B$39="pvp",15,Inputs!$B$44)-(B2410))))*IF(AND(ArtifactsInput!$M$42,((Inputs!$B$9+((C2391=TRUE)*(F2391-Calc!F26))+B2399+(ArtifactsInput!$M$24-ArtifactsInput!$M$24)*CHOOSE(ArtifactsInput!$N$24+1,10,12,14,16,18,20)+IF(ArtifactsInput!$M$10,CHOOSE(ArtifactsInput!$N$10+1,15,18,21,24,27,30)*(IF(Inputs!$B$39="pvp",MIN(15,15)/15,IF(AND(Inputs!$B$39&lt;&gt;"pvp",Inputs!$B$44&gt;0),MIN(15,Inputs!$B$44)/(Inputs!$B$44),0))),0)))&gt;=100),CHOOSE(ArtifactsInput!$N$42+1,40,48,56,64,72,80),0))))/100)*(((1+(((C2387=TRUE)*F2387*IF(AND(Inputs!$B$39&lt;&gt;"pvp",Inputs!$B$44&gt;0),(((R2387-1)*MIN((Skills!Y22*(1+Inputs!$B$34/100)),(1/Q2387))+MIN((Skills!Y22*(1+Inputs!$B$34/100)),MAX(0,Inputs!$B$44-((R2387-1)*(1/Q2387)))))/Inputs!$B$44),IF(Inputs!$B$39="pvp",MIN((Skills!Y22*(1+Inputs!$B$34/100)),15)/15,MIN(1,(Skills!Y22*(1+Inputs!$B$34/100))/(1/Q2387)))))+((C2368=TRUE)*F2368*3)+((C2370=TRUE)*F2370*(1-EXP(-0.75*B2403*5)))+((C2389=TRUE)*(F2389-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2376=TRUE)*F2376*IF(AND(Inputs!$B$39&lt;&gt;"pvp",Inputs!$B$44&gt;0),(((R2376-1)*MIN((Skills!Y11*(1+Inputs!$B$34/100)),(1/Q2376))+MIN((Skills!Y11*(1+Inputs!$B$34/100)),MAX(0,Inputs!$B$44-((R2376-1)*(1/Q2376)))))/Inputs!$B$44),IF(Inputs!$B$39="pvp",MIN((Skills!Y11*(1+Inputs!$B$34/100)),15)/15,MIN(1,(Skills!Y11*(1+Inputs!$B$34/100))/(1/Q2376)))))/100)*(1+((C2381=TRUE)*F2381*IF(AND(Inputs!$B$39&lt;&gt;"pvp",Inputs!$B$44&gt;0),(((R2381-1)*MIN((Skills!Y16*(1+Inputs!$B$34/100)),(1/Q2381))+MIN((Skills!Y16*(1+Inputs!$B$34/100)),MAX(0,Inputs!$B$44-((R2381-1)*(1/Q2381)))))/Inputs!$B$44),IF(Inputs!$B$39="pvp",MIN((Skills!Y16*(1+Inputs!$B$34/100)),15)/15,MIN(1,(Skills!Y16*(1+Inputs!$B$34/100))/(1/Q2381)))))/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2401*I2379)</f>
        <v/>
      </c>
      <c r="L2379">
        <f>K2379*(MIN(Inputs!$B$22+((C2390=TRUE)*(F2390-Calc!F25)),(Inputs!$B$23+((C2395=TRUE)*(F2395-Calc!F30))+IF(ArtifactsInput!$M$15,CHOOSE(ArtifactsInput!$N$15+1,25,30,35,40,45,50)/100*(Inputs!$B$11-Inputs!$B$11),0)))/100+(Inputs!$B$23+((C2395=TRUE)*(F2395-Calc!F30))+IF(ArtifactsInput!$M$15,CHOOSE(ArtifactsInput!$N$15+1,25,30,35,40,45,50)/100*(Inputs!$B$11-Inputs!$B$11),0))/100)/2</f>
        <v/>
      </c>
      <c r="M2379">
        <f>L2379*(1+(Inputs!$B$10+((C2392=TRUE)*(F2392-Calc!F27))+B2406+(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2379">
        <f>L2379*(1-MIN((Inputs!$B$9+((C2391=TRUE)*(F2391-Calc!F26))+B2399+(ArtifactsInput!$M$24-ArtifactsInput!$M$24)*CHOOSE(ArtifactsInput!$N$24+1,10,12,14,16,18,20)+(IF(AND(Inputs!$B$39&lt;&gt;"pvp",Inputs!$B$44=0),1,IF(IF(Inputs!$B$39="pvp",15,Inputs!$B$44)-(B2410)&lt;=0,1,MAX(0,IF(Inputs!$B$39="pvp",15,Inputs!$B$44)-MAX(5,B2410))/(IF(Inputs!$B$39="pvp",15,Inputs!$B$44)-(B2410))))*IF(AND(ArtifactsInput!$M$42,((Inputs!$B$9+((C2391=TRUE)*(F2391-Calc!F26))+B2399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2379*(MIN((Inputs!$B$9+((C2391=TRUE)*(F2391-Calc!F26))+B2399+(ArtifactsInput!$M$24-ArtifactsInput!$M$24)*CHOOSE(ArtifactsInput!$N$24+1,10,12,14,16,18,20)+(IF(AND(Inputs!$B$39&lt;&gt;"pvp",Inputs!$B$44=0),1,IF(IF(Inputs!$B$39="pvp",15,Inputs!$B$44)-(B2410)&lt;=0,1,MAX(0,IF(Inputs!$B$39="pvp",15,Inputs!$B$44)-MAX(5,B2410))/(IF(Inputs!$B$39="pvp",15,Inputs!$B$44)-(B2410))))*IF(AND(ArtifactsInput!$M$42,((Inputs!$B$9+((C2391=TRUE)*(F2391-Calc!F26))+B2399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379">
        <f>(1-Summary!$B$11)*T2379+Summary!$B$11*V2379</f>
        <v/>
      </c>
      <c r="P2379">
        <f>IF(B2411=0,0,O2379/B2411)</f>
        <v/>
      </c>
      <c r="Q2379">
        <f>IFERROR(1/IF(Inputs!$B$39="pvp",15,MAX(0.1,Skills!D14-IF(TRUE=TRUE,Inputs!$B$32,0))),0)</f>
        <v/>
      </c>
      <c r="R2379">
        <f>IF(AND(Inputs!$B$39&lt;&gt;"pvp",Inputs!$B$44&gt;0),IF(MAX(0,Inputs!$B$44-B2410)&lt;=0,0,(INT(MAX(0,Inputs!$B$44-B2410)/IF(Inputs!$B$39="pvp",15,MAX(0.1,Skills!D14-IF(TRUE=TRUE,Inputs!$B$32,0))))+1)),0)</f>
        <v/>
      </c>
      <c r="S2379">
        <f>IFERROR(O2379/N2379,0)</f>
        <v/>
      </c>
      <c r="T2379">
        <f>IF(C2379,(H2379*N2379*IF(AND(Inputs!$B$39&lt;&gt;"pvp",Inputs!$B$44&gt;0),((Skills!G14*((R2379-1)*IF(Skills!H14&gt;0,Skills!I14/Skills!H14,1)+IF(Skills!H14&gt;0,MIN(Skills!I14,MAX(0,MAX(0,Inputs!$B$44-B2410)-((R2379-1)*IF(Inputs!$B$39="pvp",15,MAX(0.1,Skills!D14-IF(TRUE=TRUE,Inputs!$B$32,0))))))/Skills!H14,1)))/Inputs!$B$44),G2379*Q2379))*IF(Inputs!$B$39="pvp",1,1+(Inputs!$B$20+0+Skills!P14+B2400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Hunt"),CHOOSE(ArtifactsInput!$N$35+1,15,18,21,24,27,30)*(1-EXP(-(0.2*B2403)*5)),0)+IF(AND(ArtifactsInput!$M$22,Inputs!$B$4&lt;&gt;"Chapter Hunt"),CHOOSE(ArtifactsInput!$N$22+1,10,12,14,16,18,20)*((0*(((0.15*B2403*5))^0/1)+1*(((0.15*B2403*5))^1/1)+2*(((0.15*B2403*5))^2/2)+3*(((0.15*B2403*5))^3/6)+4*(((0.15*B2403*5))^4/24)+5*(((0.15*B2403*5))^5/120))/((((0.15*B2403*5))^0/1)+(((0.15*B2403*5))^1/1)+(((0.15*B2403*5))^2/2)+(((0.15*B2403*5))^3/6)+(((0.15*B2403*5))^4/24)+(((0.15*B2403*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2379*(1-MIN(100,(Inputs!$B$9+((C2391=TRUE)*(F2391-Calc!F26))+B2399+(ArtifactsInput!$M$24-ArtifactsInput!$M$24)*CHOOSE(ArtifactsInput!$N$24+1,10,12,14,16,18,20)+(IF(AND(Inputs!$B$39&lt;&gt;"pvp",Inputs!$B$44=0),1,IF(IF(Inputs!$B$39="pvp",15,Inputs!$B$44)-(B2410)&lt;=0,1,MAX(0,IF(Inputs!$B$39="pvp",15,Inputs!$B$44)-MAX(5,B2410))/(IF(Inputs!$B$39="pvp",15,Inputs!$B$44)-(B2410))))*IF(AND(ArtifactsInput!$M$42,((Inputs!$B$9+((C2391=TRUE)*(F2391-Calc!F26))+B2399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2379*(MIN(100,(Inputs!$B$9+((C2391=TRUE)*(F2391-Calc!F26))+B2399+(ArtifactsInput!$M$24-ArtifactsInput!$M$24)*CHOOSE(ArtifactsInput!$N$24+1,10,12,14,16,18,20)+(IF(AND(Inputs!$B$39&lt;&gt;"pvp",Inputs!$B$44=0),1,IF(IF(Inputs!$B$39="pvp",15,Inputs!$B$44)-(B2410)&lt;=0,1,MAX(0,IF(Inputs!$B$39="pvp",15,Inputs!$B$44)-MAX(5,B2410))/(IF(Inputs!$B$39="pvp",15,Inputs!$B$44)-(B2410))))*IF(AND(ArtifactsInput!$M$42,((Inputs!$B$9+((C2391=TRUE)*(F2391-Calc!F26))+B2399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2379*(1-MIN(100,(Inputs!$B$9+((C2391=TRUE)*(F2391-Calc!F26))+B2399+(ArtifactsInput!$M$24-ArtifactsInput!$M$24)*CHOOSE(ArtifactsInput!$N$24+1,10,12,14,16,18,20)+(IF(AND(Inputs!$B$39&lt;&gt;"pvp",Inputs!$B$44=0),1,IF(IF(Inputs!$B$39="pvp",15,Inputs!$B$44)-(B2410)&lt;=0,1,MAX(0,IF(Inputs!$B$39="pvp",15,Inputs!$B$44)-MAX(5,B2410))/(IF(Inputs!$B$39="pvp",15,Inputs!$B$44)-(B2410))))*IF(AND(ArtifactsInput!$M$42,((Inputs!$B$9+((C2391=TRUE)*(F2391-Calc!F26))+B2399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2379*(MIN(100,(Inputs!$B$9+((C2391=TRUE)*(F2391-Calc!F26))+B2399+(ArtifactsInput!$M$24-ArtifactsInput!$M$24)*CHOOSE(ArtifactsInput!$N$24+1,10,12,14,16,18,20)+(IF(AND(Inputs!$B$39&lt;&gt;"pvp",Inputs!$B$44=0),1,IF(IF(Inputs!$B$39="pvp",15,Inputs!$B$44)-(B2410)&lt;=0,1,MAX(0,IF(Inputs!$B$39="pvp",15,Inputs!$B$44)-MAX(5,B2410))/(IF(Inputs!$B$39="pvp",15,Inputs!$B$44)-(B2410))))*IF(AND(ArtifactsInput!$M$42,((Inputs!$B$9+((C2391=TRUE)*(F2391-Calc!F26))+B2399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379">
        <f>IF(C2379,(H2379*N2379*IF(AND(Inputs!$B$39&lt;&gt;"pvp",Inputs!$B$44&gt;0),((Skills!G14*((R2379-1)*IF(Skills!H14&gt;0,Skills!I14/Skills!H14,1)+IF(Skills!H14&gt;0,MIN(Skills!I14,MAX(0,MAX(0,Inputs!$B$44-B2410)-((R2379-1)*IF(Inputs!$B$39="pvp",15,MAX(0.1,Skills!D14-IF(TRUE=TRUE,Inputs!$B$32,0))))))/Skills!H14,1)))/Inputs!$B$44),G2379*Q2379))*IF(Inputs!$B$39="pvp",1,(1+(Inputs!$B$21+Skills!Q14+B2400+(IF(ArtifactsInput!$M$33,CHOOSE(ArtifactsInput!$N$33+1,30,36,42,48,54,60),0))+(IF(AND(ArtifactsInput!$M$35,Inputs!$B$4&lt;&gt;"Chapter Hunt"),CHOOSE(ArtifactsInput!$N$35+1,15,18,21,24,27,30)*(1-EXP(-(0.2*B2403)*5)),0)+IF(AND(ArtifactsInput!$M$22,Inputs!$B$4&lt;&gt;"Chapter Hunt"),CHOOSE(ArtifactsInput!$N$22+1,10,12,14,16,18,20)*((0*(((0.15*B2403*5))^0/1)+1*(((0.15*B2403*5))^1/1)+2*(((0.15*B2403*5))^2/2)+3*(((0.15*B2403*5))^3/6)+4*(((0.15*B2403*5))^4/24)+5*(((0.15*B2403*5))^5/120))/((((0.15*B2403*5))^0/1)+(((0.15*B2403*5))^1/1)+(((0.15*B2403*5))^2/2)+(((0.15*B2403*5))^3/6)+(((0.15*B2403*5))^4/24)+(((0.15*B2403*5))^5/120))),0)))/100)*(MIN(Skills!W14,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380">
      <c r="A2380">
        <f>Skills!A15</f>
        <v/>
      </c>
      <c r="B2380">
        <f>Skills!B15</f>
        <v/>
      </c>
      <c r="C2380">
        <f>Inputs!$B$3&gt;=107</f>
        <v/>
      </c>
      <c r="D2380">
        <f>IF(Skills!C15=1,60+Inputs!$B$25+Inputs!$B$29,IF(Skills!C15=2,90+Inputs!$B$26+Inputs!$B$29,IF(Skills!C15=3,120+Inputs!$B$27+Inputs!$B$29,MAX(0,(Inputs!$B$3-100)*3)+Inputs!$B$28+Inputs!$B$29)))</f>
        <v/>
      </c>
      <c r="E2380">
        <f>INDEX(FactorTable!$B$2:$Y$301, MATCH(ROUND(MIN(300,MAX(1,D2380)),0), FactorTable!$A$2:$A$301,0), Skills!M15+1)</f>
        <v/>
      </c>
      <c r="F2380">
        <f>IF(Skills!N15=TRUE,(Skills!L15/10)*(E2380/1000),Skills!L15/10)+Skills!O15</f>
        <v/>
      </c>
      <c r="G2380">
        <f>Skills!G15*IF(Skills!H15&gt;0,IF(Inputs!$B$39="pvp",MIN(Skills!I15,15),Skills!I15)/Skills!H15,1)</f>
        <v/>
      </c>
      <c r="H2380">
        <f>1-(1-Skills!J15/100)^Skills!K15</f>
        <v/>
      </c>
      <c r="I2380" t="inlineStr">
        <is>
          <t>1</t>
        </is>
      </c>
      <c r="J2380">
        <f>((Inputs!$B$6*(1+Inputs!$B$7/100))+(((Inputs!$B$12*(1+Inputs!$B$13/100))-(Inputs!$B$12*(1+Inputs!$B$13/100)))+0.25*(Inputs!$B$14-Inputs!$B$14))*(1+Inputs!$B$7/100))*(F2380/100)</f>
        <v/>
      </c>
      <c r="K2380">
        <f>J2380*(1+((Inputs!$B$12*(1+Inputs!$B$13/100))*0.01+Inputs!$B$14*0.0025)/100)*(1+Inputs!$B$15/100)*(1+Inputs!$B$16/100)*(5000/(6000+Inputs!$B$43*(1-(100*(1-(1-Inputs!$B$19/100)*(1-CHOOSE(ArtifactsInput!$N$40+1,5,6,7,8,9,10)/100)^(ArtifactsInput!$M$40-ArtifactsInput!$M$40)))/100)))*(1+(Inputs!$B$24+((C2396=TRUE)*(F2396-Calc!F31))+((C2383=TRUE)*(F2383-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15="CRUEL_STAB",Inputs!$B$17+((C2393=TRUE)*(F2393-Calc!F28))+((IF(AND(Inputs!$B$39&lt;&gt;"pvp",Inputs!$B$44=0),1,IF(IF(Inputs!$B$39="pvp",15,Inputs!$B$44)-(B2410)&lt;=0,1,MAX(0,IF(Inputs!$B$39="pvp",15,Inputs!$B$44)-MAX(5,B2410))/(IF(Inputs!$B$39="pvp",15,Inputs!$B$44)-(B2410))))*(IF(AND(ArtifactsInput!$M$42,((Inputs!$B$9+((C2391=TRUE)*(F2391-Calc!F26))+B2399+(ArtifactsInput!$M$24-ArtifactsInput!$M$24)*CHOOSE(ArtifactsInput!$N$24+1,10,12,14,16,18,20)+IF(ArtifactsInput!$M$10,CHOOSE(ArtifactsInput!$N$10+1,15,18,21,24,27,30)*(IF(Inputs!$B$39="pvp",MIN(15,15)/15,IF(AND(Inputs!$B$39&lt;&gt;"pvp",Inputs!$B$44&gt;0),MIN(15,Inputs!$B$44)/(Inputs!$B$44),0))),0)))&gt;=100),MIN(100,((Inputs!$B$9+((C2391=TRUE)*(F2391-Calc!F26))+B2399+(ArtifactsInput!$M$24-ArtifactsInput!$M$24)*CHOOSE(ArtifactsInput!$N$24+1,10,12,14,16,18,20)+IF(ArtifactsInput!$M$10,CHOOSE(ArtifactsInput!$N$10+1,15,18,21,24,27,30)*(IF(Inputs!$B$39="pvp",MIN(15,15)/15,IF(AND(Inputs!$B$39&lt;&gt;"pvp",Inputs!$B$44&gt;0),MIN(15,Inputs!$B$44)/(Inputs!$B$44),0))),0)))-100),0))*CHOOSE(ArtifactsInput!$N$42+1,0.6,0.72,0.84,0.96,1.08,1.2))),Inputs!$B$18+((C2394=TRUE)*(F2394-Calc!F29))+(IF(AND(Inputs!$B$39&lt;&gt;"pvp",Inputs!$B$44=0),1,IF(IF(Inputs!$B$39="pvp",15,Inputs!$B$44)-(B2410)&lt;=0,1,MAX(0,IF(Inputs!$B$39="pvp",15,Inputs!$B$44)-MAX(5,B2410))/(IF(Inputs!$B$39="pvp",15,Inputs!$B$44)-(B2410))))*IF(AND(ArtifactsInput!$M$42,((Inputs!$B$9+((C2391=TRUE)*(F2391-Calc!F26))+B2399+(ArtifactsInput!$M$24-ArtifactsInput!$M$24)*CHOOSE(ArtifactsInput!$N$24+1,10,12,14,16,18,20)+IF(ArtifactsInput!$M$10,CHOOSE(ArtifactsInput!$N$10+1,15,18,21,24,27,30)*(IF(Inputs!$B$39="pvp",MIN(15,15)/15,IF(AND(Inputs!$B$39&lt;&gt;"pvp",Inputs!$B$44&gt;0),MIN(15,Inputs!$B$44)/(Inputs!$B$44),0))),0)))&gt;=100),CHOOSE(ArtifactsInput!$N$42+1,40,48,56,64,72,80),0))))/100)*(((1+(((C2387=TRUE)*F2387*IF(AND(Inputs!$B$39&lt;&gt;"pvp",Inputs!$B$44&gt;0),(((R2387-1)*MIN((Skills!Y22*(1+Inputs!$B$34/100)),(1/Q2387))+MIN((Skills!Y22*(1+Inputs!$B$34/100)),MAX(0,Inputs!$B$44-((R2387-1)*(1/Q2387)))))/Inputs!$B$44),IF(Inputs!$B$39="pvp",MIN((Skills!Y22*(1+Inputs!$B$34/100)),15)/15,MIN(1,(Skills!Y22*(1+Inputs!$B$34/100))/(1/Q2387)))))+((C2368=TRUE)*F2368*3)+((C2370=TRUE)*F2370*(1-EXP(-0.75*B2403*5)))+((C2389=TRUE)*(F2389-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2376=TRUE)*F2376*IF(AND(Inputs!$B$39&lt;&gt;"pvp",Inputs!$B$44&gt;0),(((R2376-1)*MIN((Skills!Y11*(1+Inputs!$B$34/100)),(1/Q2376))+MIN((Skills!Y11*(1+Inputs!$B$34/100)),MAX(0,Inputs!$B$44-((R2376-1)*(1/Q2376)))))/Inputs!$B$44),IF(Inputs!$B$39="pvp",MIN((Skills!Y11*(1+Inputs!$B$34/100)),15)/15,MIN(1,(Skills!Y11*(1+Inputs!$B$34/100))/(1/Q2376)))))/100)*(1+((C2381=TRUE)*F2381*IF(AND(Inputs!$B$39&lt;&gt;"pvp",Inputs!$B$44&gt;0),(((R2381-1)*MIN((Skills!Y16*(1+Inputs!$B$34/100)),(1/Q2381))+MIN((Skills!Y16*(1+Inputs!$B$34/100)),MAX(0,Inputs!$B$44-((R2381-1)*(1/Q2381)))))/Inputs!$B$44),IF(Inputs!$B$39="pvp",MIN((Skills!Y16*(1+Inputs!$B$34/100)),15)/15,MIN(1,(Skills!Y16*(1+Inputs!$B$34/100))/(1/Q2381)))))/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2401*I2380)</f>
        <v/>
      </c>
      <c r="L2380">
        <f>K2380*(MIN(Inputs!$B$22+((C2390=TRUE)*(F2390-Calc!F25)),(Inputs!$B$23+((C2395=TRUE)*(F2395-Calc!F30))+IF(ArtifactsInput!$M$15,CHOOSE(ArtifactsInput!$N$15+1,25,30,35,40,45,50)/100*(Inputs!$B$11-Inputs!$B$11),0)))/100+(Inputs!$B$23+((C2395=TRUE)*(F2395-Calc!F30))+IF(ArtifactsInput!$M$15,CHOOSE(ArtifactsInput!$N$15+1,25,30,35,40,45,50)/100*(Inputs!$B$11-Inputs!$B$11),0))/100)/2</f>
        <v/>
      </c>
      <c r="M2380">
        <f>L2380*(1+(Inputs!$B$10+((C2392=TRUE)*(F2392-Calc!F27))+B2406+(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2380">
        <f>L2380*(1-MIN((Inputs!$B$9+((C2391=TRUE)*(F2391-Calc!F26))+B2399+(ArtifactsInput!$M$24-ArtifactsInput!$M$24)*CHOOSE(ArtifactsInput!$N$24+1,10,12,14,16,18,20)+(IF(AND(Inputs!$B$39&lt;&gt;"pvp",Inputs!$B$44=0),1,IF(IF(Inputs!$B$39="pvp",15,Inputs!$B$44)-(B2410)&lt;=0,1,MAX(0,IF(Inputs!$B$39="pvp",15,Inputs!$B$44)-MAX(5,B2410))/(IF(Inputs!$B$39="pvp",15,Inputs!$B$44)-(B2410))))*IF(AND(ArtifactsInput!$M$42,((Inputs!$B$9+((C2391=TRUE)*(F2391-Calc!F26))+B2399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2380*(MIN((Inputs!$B$9+((C2391=TRUE)*(F2391-Calc!F26))+B2399+(ArtifactsInput!$M$24-ArtifactsInput!$M$24)*CHOOSE(ArtifactsInput!$N$24+1,10,12,14,16,18,20)+(IF(AND(Inputs!$B$39&lt;&gt;"pvp",Inputs!$B$44=0),1,IF(IF(Inputs!$B$39="pvp",15,Inputs!$B$44)-(B2410)&lt;=0,1,MAX(0,IF(Inputs!$B$39="pvp",15,Inputs!$B$44)-MAX(5,B2410))/(IF(Inputs!$B$39="pvp",15,Inputs!$B$44)-(B2410))))*IF(AND(ArtifactsInput!$M$42,((Inputs!$B$9+((C2391=TRUE)*(F2391-Calc!F26))+B2399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380">
        <f>(1-Summary!$B$11)*T2380+Summary!$B$11*V2380</f>
        <v/>
      </c>
      <c r="P2380">
        <f>IF(B2411=0,0,O2380/B2411)</f>
        <v/>
      </c>
      <c r="Q2380">
        <f>IFERROR(1/IF(Inputs!$B$39="pvp",15,MAX(0.1,Skills!D15-IF(TRUE=TRUE,Inputs!$B$32,0))),0)</f>
        <v/>
      </c>
      <c r="R2380">
        <f>IF(AND(Inputs!$B$39&lt;&gt;"pvp",Inputs!$B$44&gt;0),IF(MAX(0,Inputs!$B$44-B2410)&lt;=0,0,(INT(MAX(0,Inputs!$B$44-B2410)/IF(Inputs!$B$39="pvp",15,MAX(0.1,Skills!D15-IF(TRUE=TRUE,Inputs!$B$32,0))))+1)),0)</f>
        <v/>
      </c>
      <c r="S2380">
        <f>IFERROR(O2380/N2380,0)</f>
        <v/>
      </c>
      <c r="T2380">
        <f>IF(C2380,(H2380*N2380*IF(AND(Inputs!$B$39&lt;&gt;"pvp",Inputs!$B$44&gt;0),((Skills!G15*((R2380-1)*IF(Skills!H15&gt;0,Skills!I15/Skills!H15,1)+IF(Skills!H15&gt;0,MIN(Skills!I15,MAX(0,MAX(0,Inputs!$B$44-B2410)-((R2380-1)*IF(Inputs!$B$39="pvp",15,MAX(0.1,Skills!D15-IF(TRUE=TRUE,Inputs!$B$32,0))))))/Skills!H15,1)))/Inputs!$B$44),G2380*Q2380))*IF(Inputs!$B$39="pvp",1,1+(Inputs!$B$20+0+Skills!P15+B2400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Hunt"),CHOOSE(ArtifactsInput!$N$35+1,15,18,21,24,27,30)*(1-EXP(-(0.2*B2403)*5)),0)+IF(AND(ArtifactsInput!$M$22,Inputs!$B$4&lt;&gt;"Chapter Hunt"),CHOOSE(ArtifactsInput!$N$22+1,10,12,14,16,18,20)*((0*(((0.15*B2403*5))^0/1)+1*(((0.15*B2403*5))^1/1)+2*(((0.15*B2403*5))^2/2)+3*(((0.15*B2403*5))^3/6)+4*(((0.15*B2403*5))^4/24)+5*(((0.15*B2403*5))^5/120))/((((0.15*B2403*5))^0/1)+(((0.15*B2403*5))^1/1)+(((0.15*B2403*5))^2/2)+(((0.15*B2403*5))^3/6)+(((0.15*B2403*5))^4/24)+(((0.15*B2403*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2380*(1-MIN(100,(Inputs!$B$9+((C2391=TRUE)*(F2391-Calc!F26))+B2399+(ArtifactsInput!$M$24-ArtifactsInput!$M$24)*CHOOSE(ArtifactsInput!$N$24+1,10,12,14,16,18,20)+(IF(AND(Inputs!$B$39&lt;&gt;"pvp",Inputs!$B$44=0),1,IF(IF(Inputs!$B$39="pvp",15,Inputs!$B$44)-(B2410)&lt;=0,1,MAX(0,IF(Inputs!$B$39="pvp",15,Inputs!$B$44)-MAX(5,B2410))/(IF(Inputs!$B$39="pvp",15,Inputs!$B$44)-(B2410))))*IF(AND(ArtifactsInput!$M$42,((Inputs!$B$9+((C2391=TRUE)*(F2391-Calc!F26))+B2399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2380*(MIN(100,(Inputs!$B$9+((C2391=TRUE)*(F2391-Calc!F26))+B2399+(ArtifactsInput!$M$24-ArtifactsInput!$M$24)*CHOOSE(ArtifactsInput!$N$24+1,10,12,14,16,18,20)+(IF(AND(Inputs!$B$39&lt;&gt;"pvp",Inputs!$B$44=0),1,IF(IF(Inputs!$B$39="pvp",15,Inputs!$B$44)-(B2410)&lt;=0,1,MAX(0,IF(Inputs!$B$39="pvp",15,Inputs!$B$44)-MAX(5,B2410))/(IF(Inputs!$B$39="pvp",15,Inputs!$B$44)-(B2410))))*IF(AND(ArtifactsInput!$M$42,((Inputs!$B$9+((C2391=TRUE)*(F2391-Calc!F26))+B2399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2380*(1-MIN(100,(Inputs!$B$9+((C2391=TRUE)*(F2391-Calc!F26))+B2399+(ArtifactsInput!$M$24-ArtifactsInput!$M$24)*CHOOSE(ArtifactsInput!$N$24+1,10,12,14,16,18,20)+(IF(AND(Inputs!$B$39&lt;&gt;"pvp",Inputs!$B$44=0),1,IF(IF(Inputs!$B$39="pvp",15,Inputs!$B$44)-(B2410)&lt;=0,1,MAX(0,IF(Inputs!$B$39="pvp",15,Inputs!$B$44)-MAX(5,B2410))/(IF(Inputs!$B$39="pvp",15,Inputs!$B$44)-(B2410))))*IF(AND(ArtifactsInput!$M$42,((Inputs!$B$9+((C2391=TRUE)*(F2391-Calc!F26))+B2399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2380*(MIN(100,(Inputs!$B$9+((C2391=TRUE)*(F2391-Calc!F26))+B2399+(ArtifactsInput!$M$24-ArtifactsInput!$M$24)*CHOOSE(ArtifactsInput!$N$24+1,10,12,14,16,18,20)+(IF(AND(Inputs!$B$39&lt;&gt;"pvp",Inputs!$B$44=0),1,IF(IF(Inputs!$B$39="pvp",15,Inputs!$B$44)-(B2410)&lt;=0,1,MAX(0,IF(Inputs!$B$39="pvp",15,Inputs!$B$44)-MAX(5,B2410))/(IF(Inputs!$B$39="pvp",15,Inputs!$B$44)-(B2410))))*IF(AND(ArtifactsInput!$M$42,((Inputs!$B$9+((C2391=TRUE)*(F2391-Calc!F26))+B2399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380">
        <f>IF(C2380,(H2380*N2380*IF(AND(Inputs!$B$39&lt;&gt;"pvp",Inputs!$B$44&gt;0),((Skills!G15*((R2380-1)*IF(Skills!H15&gt;0,Skills!I15/Skills!H15,1)+IF(Skills!H15&gt;0,MIN(Skills!I15,MAX(0,MAX(0,Inputs!$B$44-B2410)-((R2380-1)*IF(Inputs!$B$39="pvp",15,MAX(0.1,Skills!D15-IF(TRUE=TRUE,Inputs!$B$32,0))))))/Skills!H15,1)))/Inputs!$B$44),G2380*Q2380))*IF(Inputs!$B$39="pvp",1,(1+(Inputs!$B$21+Skills!Q15+B2400+(IF(ArtifactsInput!$M$33,CHOOSE(ArtifactsInput!$N$33+1,30,36,42,48,54,60),0))+(IF(AND(ArtifactsInput!$M$35,Inputs!$B$4&lt;&gt;"Chapter Hunt"),CHOOSE(ArtifactsInput!$N$35+1,15,18,21,24,27,30)*(1-EXP(-(0.2*B2403)*5)),0)+IF(AND(ArtifactsInput!$M$22,Inputs!$B$4&lt;&gt;"Chapter Hunt"),CHOOSE(ArtifactsInput!$N$22+1,10,12,14,16,18,20)*((0*(((0.15*B2403*5))^0/1)+1*(((0.15*B2403*5))^1/1)+2*(((0.15*B2403*5))^2/2)+3*(((0.15*B2403*5))^3/6)+4*(((0.15*B2403*5))^4/24)+5*(((0.15*B2403*5))^5/120))/((((0.15*B2403*5))^0/1)+(((0.15*B2403*5))^1/1)+(((0.15*B2403*5))^2/2)+(((0.15*B2403*5))^3/6)+(((0.15*B2403*5))^4/24)+(((0.15*B2403*5))^5/120))),0)))/100)*(MIN(MIN(5,0.5*IF(Inputs!$B$3&gt;=75,0.75,0.5)*B2403*(1/Q2369))*Skills!V15,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381">
      <c r="A2381">
        <f>Skills!A16</f>
        <v/>
      </c>
      <c r="B2381">
        <f>Skills!B16</f>
        <v/>
      </c>
      <c r="C2381">
        <f>Inputs!$B$3&gt;=110</f>
        <v/>
      </c>
      <c r="D2381">
        <f>IF(Skills!C16=1,60+Inputs!$B$25+Inputs!$B$29,IF(Skills!C16=2,90+Inputs!$B$26+Inputs!$B$29,IF(Skills!C16=3,120+Inputs!$B$27+Inputs!$B$29,MAX(0,(Inputs!$B$3-100)*3)+Inputs!$B$28+Inputs!$B$29)))</f>
        <v/>
      </c>
      <c r="E2381">
        <f>INDEX(FactorTable!$B$2:$Y$301, MATCH(ROUND(MIN(300,MAX(1,D2381)),0), FactorTable!$A$2:$A$301,0), Skills!M16+1)</f>
        <v/>
      </c>
      <c r="F2381">
        <f>IF(Skills!N16=TRUE,(Skills!L16/10)*(E2381/1000),Skills!L16/10)+Skills!O16</f>
        <v/>
      </c>
      <c r="G2381">
        <f>Skills!G16*IF(Skills!H16&gt;0,IF(Inputs!$B$39="pvp",MIN(Skills!I16,15),Skills!I16)/Skills!H16,1)</f>
        <v/>
      </c>
      <c r="H2381">
        <f>1-(1-Skills!J16/100)^Skills!K16</f>
        <v/>
      </c>
      <c r="I2381" t="inlineStr">
        <is>
          <t>1</t>
        </is>
      </c>
      <c r="J2381" t="inlineStr"/>
      <c r="K2381" t="inlineStr"/>
      <c r="L2381" t="inlineStr"/>
      <c r="M2381" t="inlineStr"/>
      <c r="N2381" t="inlineStr"/>
      <c r="O2381">
        <f>(1-Summary!$B$11)*T2381+Summary!$B$11*V2381</f>
        <v/>
      </c>
      <c r="P2381">
        <f>IF(B2411=0,0,O2381/B2411)</f>
        <v/>
      </c>
      <c r="Q2381">
        <f>IFERROR(1/IF(Inputs!$B$39="pvp",15,MAX(0.1,Skills!D16-IF(TRUE=TRUE,Inputs!$B$32,0))),0)</f>
        <v/>
      </c>
      <c r="R2381">
        <f>IF(AND(Inputs!$B$39&lt;&gt;"pvp",Inputs!$B$44&gt;0),IF(Inputs!$B$44&lt;=0,0,(INT(Inputs!$B$44/IF(Inputs!$B$39="pvp",15,MAX(0.1,Skills!D16-IF(TRUE=TRUE,Inputs!$B$32,0))))+1)),0)</f>
        <v/>
      </c>
      <c r="S2381">
        <f>IFERROR(O2381/N2381,0)</f>
        <v/>
      </c>
      <c r="T2381" t="n">
        <v>0</v>
      </c>
      <c r="V2381" t="n">
        <v>0</v>
      </c>
    </row>
    <row r="2382">
      <c r="A2382">
        <f>Skills!A17</f>
        <v/>
      </c>
      <c r="B2382">
        <f>Skills!B17</f>
        <v/>
      </c>
      <c r="C2382">
        <f>Inputs!$B$3&gt;=115</f>
        <v/>
      </c>
      <c r="D2382">
        <f>IF(Skills!C17=1,60+Inputs!$B$25+Inputs!$B$29,IF(Skills!C17=2,90+Inputs!$B$26+Inputs!$B$29,IF(Skills!C17=3,120+Inputs!$B$27+Inputs!$B$29,MAX(0,(Inputs!$B$3-100)*3)+Inputs!$B$28+Inputs!$B$29)))</f>
        <v/>
      </c>
      <c r="E2382">
        <f>INDEX(FactorTable!$B$2:$Y$301, MATCH(ROUND(MIN(300,MAX(1,D2382)),0), FactorTable!$A$2:$A$301,0), Skills!M17+1)</f>
        <v/>
      </c>
      <c r="F2382">
        <f>IF(Skills!N17=TRUE,(Skills!L17/10)*(E2382/1000),Skills!L17/10)+Skills!O17</f>
        <v/>
      </c>
      <c r="G2382">
        <f>Skills!G17*IF(Skills!H17&gt;0,IF(Inputs!$B$39="pvp",MIN(Skills!I17,15),Skills!I17)/Skills!H17,1)</f>
        <v/>
      </c>
      <c r="H2382">
        <f>1-(1-Skills!J17/100)^Skills!K17</f>
        <v/>
      </c>
      <c r="I2382" t="inlineStr">
        <is>
          <t>1</t>
        </is>
      </c>
      <c r="J2382">
        <f>((Inputs!$B$6*(1+Inputs!$B$7/100))+(((Inputs!$B$12*(1+Inputs!$B$13/100))-(Inputs!$B$12*(1+Inputs!$B$13/100)))+0.25*(Inputs!$B$14-Inputs!$B$14))*(1+Inputs!$B$7/100))*(F2382/100)</f>
        <v/>
      </c>
      <c r="K2382">
        <f>J2382*(1+((Inputs!$B$12*(1+Inputs!$B$13/100))*0.01+Inputs!$B$14*0.0025)/100)*(1+Inputs!$B$15/100)*(1+Inputs!$B$16/100)*(5000/(6000+Inputs!$B$43*(1-(100*(1-(1-Inputs!$B$19/100)*(1-CHOOSE(ArtifactsInput!$N$40+1,5,6,7,8,9,10)/100)^(ArtifactsInput!$M$40-ArtifactsInput!$M$40)))/100)))*(1+(Inputs!$B$24+((C2396=TRUE)*(F2396-Calc!F31))+((C2383=TRUE)*(F2383-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17="CRUEL_STAB",Inputs!$B$17+((C2393=TRUE)*(F2393-Calc!F28))+((IF(AND(Inputs!$B$39&lt;&gt;"pvp",Inputs!$B$44=0),1,IF(IF(Inputs!$B$39="pvp",15,Inputs!$B$44)-(B2410)&lt;=0,1,MAX(0,IF(Inputs!$B$39="pvp",15,Inputs!$B$44)-MAX(5,B2410))/(IF(Inputs!$B$39="pvp",15,Inputs!$B$44)-(B2410))))*(IF(AND(ArtifactsInput!$M$42,((Inputs!$B$9+((C2391=TRUE)*(F2391-Calc!F26))+B2399+(ArtifactsInput!$M$24-ArtifactsInput!$M$24)*CHOOSE(ArtifactsInput!$N$24+1,10,12,14,16,18,20)+IF(ArtifactsInput!$M$10,CHOOSE(ArtifactsInput!$N$10+1,15,18,21,24,27,30)*(IF(Inputs!$B$39="pvp",MIN(15,15)/15,IF(AND(Inputs!$B$39&lt;&gt;"pvp",Inputs!$B$44&gt;0),MIN(15,Inputs!$B$44)/(Inputs!$B$44),0))),0)))&gt;=100),MIN(100,((Inputs!$B$9+((C2391=TRUE)*(F2391-Calc!F26))+B2399+(ArtifactsInput!$M$24-ArtifactsInput!$M$24)*CHOOSE(ArtifactsInput!$N$24+1,10,12,14,16,18,20)+IF(ArtifactsInput!$M$10,CHOOSE(ArtifactsInput!$N$10+1,15,18,21,24,27,30)*(IF(Inputs!$B$39="pvp",MIN(15,15)/15,IF(AND(Inputs!$B$39&lt;&gt;"pvp",Inputs!$B$44&gt;0),MIN(15,Inputs!$B$44)/(Inputs!$B$44),0))),0)))-100),0))*CHOOSE(ArtifactsInput!$N$42+1,0.6,0.72,0.84,0.96,1.08,1.2))),Inputs!$B$18+((C2394=TRUE)*(F2394-Calc!F29))+(IF(AND(Inputs!$B$39&lt;&gt;"pvp",Inputs!$B$44=0),1,IF(IF(Inputs!$B$39="pvp",15,Inputs!$B$44)-(B2410)&lt;=0,1,MAX(0,IF(Inputs!$B$39="pvp",15,Inputs!$B$44)-MAX(5,B2410))/(IF(Inputs!$B$39="pvp",15,Inputs!$B$44)-(B2410))))*IF(AND(ArtifactsInput!$M$42,((Inputs!$B$9+((C2391=TRUE)*(F2391-Calc!F26))+B2399+(ArtifactsInput!$M$24-ArtifactsInput!$M$24)*CHOOSE(ArtifactsInput!$N$24+1,10,12,14,16,18,20)+IF(ArtifactsInput!$M$10,CHOOSE(ArtifactsInput!$N$10+1,15,18,21,24,27,30)*(IF(Inputs!$B$39="pvp",MIN(15,15)/15,IF(AND(Inputs!$B$39&lt;&gt;"pvp",Inputs!$B$44&gt;0),MIN(15,Inputs!$B$44)/(Inputs!$B$44),0))),0)))&gt;=100),CHOOSE(ArtifactsInput!$N$42+1,40,48,56,64,72,80),0))))/100)*(((1+(((C2387=TRUE)*F2387*IF(AND(Inputs!$B$39&lt;&gt;"pvp",Inputs!$B$44&gt;0),(((R2387-1)*MIN((Skills!Y22*(1+Inputs!$B$34/100)),(1/Q2387))+MIN((Skills!Y22*(1+Inputs!$B$34/100)),MAX(0,Inputs!$B$44-((R2387-1)*(1/Q2387)))))/Inputs!$B$44),IF(Inputs!$B$39="pvp",MIN((Skills!Y22*(1+Inputs!$B$34/100)),15)/15,MIN(1,(Skills!Y22*(1+Inputs!$B$34/100))/(1/Q2387)))))+((C2368=TRUE)*F2368*3)+((C2370=TRUE)*F2370*(1-EXP(-0.75*B2403*5)))+((C2389=TRUE)*(F2389-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2376=TRUE)*F2376*IF(AND(Inputs!$B$39&lt;&gt;"pvp",Inputs!$B$44&gt;0),(((R2376-1)*MIN((Skills!Y11*(1+Inputs!$B$34/100)),(1/Q2376))+MIN((Skills!Y11*(1+Inputs!$B$34/100)),MAX(0,Inputs!$B$44-((R2376-1)*(1/Q2376)))))/Inputs!$B$44),IF(Inputs!$B$39="pvp",MIN((Skills!Y11*(1+Inputs!$B$34/100)),15)/15,MIN(1,(Skills!Y11*(1+Inputs!$B$34/100))/(1/Q2376)))))/100)*(1+((C2381=TRUE)*F2381*IF(AND(Inputs!$B$39&lt;&gt;"pvp",Inputs!$B$44&gt;0),(((R2381-1)*MIN((Skills!Y16*(1+Inputs!$B$34/100)),(1/Q2381))+MIN((Skills!Y16*(1+Inputs!$B$34/100)),MAX(0,Inputs!$B$44-((R2381-1)*(1/Q2381)))))/Inputs!$B$44),IF(Inputs!$B$39="pvp",MIN((Skills!Y16*(1+Inputs!$B$34/100)),15)/15,MIN(1,(Skills!Y16*(1+Inputs!$B$34/100))/(1/Q2381)))))/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2401*I2382)</f>
        <v/>
      </c>
      <c r="L2382">
        <f>K2382*(MIN(Inputs!$B$22+((C2390=TRUE)*(F2390-Calc!F25)),(Inputs!$B$23+((C2395=TRUE)*(F2395-Calc!F30))+IF(ArtifactsInput!$M$15,CHOOSE(ArtifactsInput!$N$15+1,25,30,35,40,45,50)/100*(Inputs!$B$11-Inputs!$B$11),0)))/100+(Inputs!$B$23+((C2395=TRUE)*(F2395-Calc!F30))+IF(ArtifactsInput!$M$15,CHOOSE(ArtifactsInput!$N$15+1,25,30,35,40,45,50)/100*(Inputs!$B$11-Inputs!$B$11),0))/100)/2</f>
        <v/>
      </c>
      <c r="M2382">
        <f>L2382*(1+(Inputs!$B$10+((C2392=TRUE)*(F2392-Calc!F27))+B2406+(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2382">
        <f>L2382*(1-MIN((Inputs!$B$9+((C2391=TRUE)*(F2391-Calc!F26))+B2399+(ArtifactsInput!$M$24-ArtifactsInput!$M$24)*CHOOSE(ArtifactsInput!$N$24+1,10,12,14,16,18,20)+(IF(AND(Inputs!$B$39&lt;&gt;"pvp",Inputs!$B$44=0),1,IF(IF(Inputs!$B$39="pvp",15,Inputs!$B$44)-(B2410)&lt;=0,1,MAX(0,IF(Inputs!$B$39="pvp",15,Inputs!$B$44)-MAX(5,B2410))/(IF(Inputs!$B$39="pvp",15,Inputs!$B$44)-(B2410))))*IF(AND(ArtifactsInput!$M$42,((Inputs!$B$9+((C2391=TRUE)*(F2391-Calc!F26))+B2399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2382*(MIN((Inputs!$B$9+((C2391=TRUE)*(F2391-Calc!F26))+B2399+(ArtifactsInput!$M$24-ArtifactsInput!$M$24)*CHOOSE(ArtifactsInput!$N$24+1,10,12,14,16,18,20)+(IF(AND(Inputs!$B$39&lt;&gt;"pvp",Inputs!$B$44=0),1,IF(IF(Inputs!$B$39="pvp",15,Inputs!$B$44)-(B2410)&lt;=0,1,MAX(0,IF(Inputs!$B$39="pvp",15,Inputs!$B$44)-MAX(5,B2410))/(IF(Inputs!$B$39="pvp",15,Inputs!$B$44)-(B2410))))*IF(AND(ArtifactsInput!$M$42,((Inputs!$B$9+((C2391=TRUE)*(F2391-Calc!F26))+B2399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382">
        <f>(1-Summary!$B$11)*T2382+Summary!$B$11*V2382</f>
        <v/>
      </c>
      <c r="P2382">
        <f>IF(B2411=0,0,O2382/B2411)</f>
        <v/>
      </c>
      <c r="Q2382" t="n">
        <v>0</v>
      </c>
      <c r="R2382" t="n">
        <v>0</v>
      </c>
      <c r="S2382">
        <f>IFERROR(O2382/N2382,0)</f>
        <v/>
      </c>
      <c r="T2382">
        <f>IF(C2382,(Inputs!$B$38*0.2*N2382)*IF(Inputs!$B$39="pvp",1,1+(Inputs!$B$20+0+Skills!P17+B2400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Hunt"),CHOOSE(ArtifactsInput!$N$35+1,15,18,21,24,27,30)*(1-EXP(-(0.2*B2403)*5)),0)+IF(AND(ArtifactsInput!$M$22,Inputs!$B$4&lt;&gt;"Chapter Hunt"),CHOOSE(ArtifactsInput!$N$22+1,10,12,14,16,18,20)*((0*(((0.15*B2403*5))^0/1)+1*(((0.15*B2403*5))^1/1)+2*(((0.15*B2403*5))^2/2)+3*(((0.15*B2403*5))^3/6)+4*(((0.15*B2403*5))^4/24)+5*(((0.15*B2403*5))^5/120))/((((0.15*B2403*5))^0/1)+(((0.15*B2403*5))^1/1)+(((0.15*B2403*5))^2/2)+(((0.15*B2403*5))^3/6)+(((0.15*B2403*5))^4/24)+(((0.15*B2403*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2382*(1-MIN(100,(Inputs!$B$9+((C2391=TRUE)*(F2391-Calc!F26))+B2399+(ArtifactsInput!$M$24-ArtifactsInput!$M$24)*CHOOSE(ArtifactsInput!$N$24+1,10,12,14,16,18,20)+(IF(AND(Inputs!$B$39&lt;&gt;"pvp",Inputs!$B$44=0),1,IF(IF(Inputs!$B$39="pvp",15,Inputs!$B$44)-(B2410)&lt;=0,1,MAX(0,IF(Inputs!$B$39="pvp",15,Inputs!$B$44)-MAX(5,B2410))/(IF(Inputs!$B$39="pvp",15,Inputs!$B$44)-(B2410))))*IF(AND(ArtifactsInput!$M$42,((Inputs!$B$9+((C2391=TRUE)*(F2391-Calc!F26))+B2399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2382*(MIN(100,(Inputs!$B$9+((C2391=TRUE)*(F2391-Calc!F26))+B2399+(ArtifactsInput!$M$24-ArtifactsInput!$M$24)*CHOOSE(ArtifactsInput!$N$24+1,10,12,14,16,18,20)+(IF(AND(Inputs!$B$39&lt;&gt;"pvp",Inputs!$B$44=0),1,IF(IF(Inputs!$B$39="pvp",15,Inputs!$B$44)-(B2410)&lt;=0,1,MAX(0,IF(Inputs!$B$39="pvp",15,Inputs!$B$44)-MAX(5,B2410))/(IF(Inputs!$B$39="pvp",15,Inputs!$B$44)-(B2410))))*IF(AND(ArtifactsInput!$M$42,((Inputs!$B$9+((C2391=TRUE)*(F2391-Calc!F26))+B2399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2382*(1-MIN(100,(Inputs!$B$9+((C2391=TRUE)*(F2391-Calc!F26))+B2399+(ArtifactsInput!$M$24-ArtifactsInput!$M$24)*CHOOSE(ArtifactsInput!$N$24+1,10,12,14,16,18,20)+(IF(AND(Inputs!$B$39&lt;&gt;"pvp",Inputs!$B$44=0),1,IF(IF(Inputs!$B$39="pvp",15,Inputs!$B$44)-(B2410)&lt;=0,1,MAX(0,IF(Inputs!$B$39="pvp",15,Inputs!$B$44)-MAX(5,B2410))/(IF(Inputs!$B$39="pvp",15,Inputs!$B$44)-(B2410))))*IF(AND(ArtifactsInput!$M$42,((Inputs!$B$9+((C2391=TRUE)*(F2391-Calc!F26))+B2399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2382*(MIN(100,(Inputs!$B$9+((C2391=TRUE)*(F2391-Calc!F26))+B2399+(ArtifactsInput!$M$24-ArtifactsInput!$M$24)*CHOOSE(ArtifactsInput!$N$24+1,10,12,14,16,18,20)+(IF(AND(Inputs!$B$39&lt;&gt;"pvp",Inputs!$B$44=0),1,IF(IF(Inputs!$B$39="pvp",15,Inputs!$B$44)-(B2410)&lt;=0,1,MAX(0,IF(Inputs!$B$39="pvp",15,Inputs!$B$44)-MAX(5,B2410))/(IF(Inputs!$B$39="pvp",15,Inputs!$B$44)-(B2410))))*IF(AND(ArtifactsInput!$M$42,((Inputs!$B$9+((C2391=TRUE)*(F2391-Calc!F26))+B2399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382">
        <f>IF(C2382,(Inputs!$B$38*0.2*N2382)*IF(Inputs!$B$39="pvp",1,(1+(Inputs!$B$21+Skills!Q17+B2400+(IF(ArtifactsInput!$M$33,CHOOSE(ArtifactsInput!$N$33+1,30,36,42,48,54,60),0))+(IF(AND(ArtifactsInput!$M$35,Inputs!$B$4&lt;&gt;"Chapter Hunt"),CHOOSE(ArtifactsInput!$N$35+1,15,18,21,24,27,30)*(1-EXP(-(0.2*B2403)*5)),0)+IF(AND(ArtifactsInput!$M$22,Inputs!$B$4&lt;&gt;"Chapter Hunt"),CHOOSE(ArtifactsInput!$N$22+1,10,12,14,16,18,20)*((0*(((0.15*B2403*5))^0/1)+1*(((0.15*B2403*5))^1/1)+2*(((0.15*B2403*5))^2/2)+3*(((0.15*B2403*5))^3/6)+4*(((0.15*B2403*5))^4/24)+5*(((0.15*B2403*5))^5/120))/((((0.15*B2403*5))^0/1)+(((0.15*B2403*5))^1/1)+(((0.15*B2403*5))^2/2)+(((0.15*B2403*5))^3/6)+(((0.15*B2403*5))^4/24)+(((0.15*B2403*5))^5/120))),0)))/100)*(MIN(Skills!W17,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383">
      <c r="A2383">
        <f>Skills!A18</f>
        <v/>
      </c>
      <c r="B2383">
        <f>Skills!B18</f>
        <v/>
      </c>
      <c r="C2383">
        <f>Inputs!$B$3&gt;=115</f>
        <v/>
      </c>
      <c r="D2383">
        <f>IF(Skills!C18=1,60+Inputs!$B$25+Inputs!$B$29,IF(Skills!C18=2,90+Inputs!$B$26+Inputs!$B$29,IF(Skills!C18=3,120+Inputs!$B$27+Inputs!$B$29,MAX(0,(Inputs!$B$3-100)*3)+Inputs!$B$28+Inputs!$B$29)))</f>
        <v/>
      </c>
      <c r="E2383">
        <f>INDEX(FactorTable!$B$2:$Y$301, MATCH(ROUND(MIN(300,MAX(1,D2383)),0), FactorTable!$A$2:$A$301,0), Skills!M18+1)</f>
        <v/>
      </c>
      <c r="F2383">
        <f>IF(Skills!N18=TRUE,(Skills!L18/10)*(E2383/1000),Skills!L18/10)+Skills!O18</f>
        <v/>
      </c>
      <c r="G2383">
        <f>Skills!G18*IF(Skills!H18&gt;0,IF(Inputs!$B$39="pvp",MIN(Skills!I18,15),Skills!I18)/Skills!H18,1)</f>
        <v/>
      </c>
      <c r="H2383">
        <f>1-(1-Skills!J18/100)^Skills!K18</f>
        <v/>
      </c>
      <c r="I2383" t="inlineStr">
        <is>
          <t>1</t>
        </is>
      </c>
      <c r="J2383" t="inlineStr"/>
      <c r="K2383" t="inlineStr"/>
      <c r="L2383" t="inlineStr"/>
      <c r="M2383" t="inlineStr"/>
      <c r="N2383" t="inlineStr"/>
      <c r="O2383">
        <f>(1-Summary!$B$11)*T2383+Summary!$B$11*V2383</f>
        <v/>
      </c>
      <c r="P2383">
        <f>IF(B2411=0,0,O2383/B2411)</f>
        <v/>
      </c>
      <c r="Q2383" t="n">
        <v>0</v>
      </c>
      <c r="R2383" t="n">
        <v>0</v>
      </c>
      <c r="S2383">
        <f>IFERROR(O2383/N2383,0)</f>
        <v/>
      </c>
      <c r="T2383" t="n">
        <v>0</v>
      </c>
      <c r="V2383" t="n">
        <v>0</v>
      </c>
    </row>
    <row r="2384">
      <c r="A2384">
        <f>Skills!A19</f>
        <v/>
      </c>
      <c r="B2384">
        <f>Skills!B19</f>
        <v/>
      </c>
      <c r="C2384">
        <f>Inputs!$B$3&gt;=100</f>
        <v/>
      </c>
      <c r="D2384">
        <f>IF(Skills!C19=1,60+Inputs!$B$25+Inputs!$B$29,IF(Skills!C19=2,90+Inputs!$B$26+Inputs!$B$29,IF(Skills!C19=3,120+Inputs!$B$27+Inputs!$B$29,MAX(0,(Inputs!$B$3-100)*3)+Inputs!$B$28+Inputs!$B$29)))</f>
        <v/>
      </c>
      <c r="E2384">
        <f>INDEX(FactorTable!$B$2:$Y$301, MATCH(ROUND(MIN(300,MAX(1,D2384)),0), FactorTable!$A$2:$A$301,0), Skills!M19+1)</f>
        <v/>
      </c>
      <c r="F2384">
        <f>IF(Skills!N19=TRUE,(Skills!L19/10)*(E2384/1000),Skills!L19/10)+Skills!O19</f>
        <v/>
      </c>
      <c r="G2384">
        <f>Skills!G19*IF(Skills!H19&gt;0,IF(Inputs!$B$39="pvp",MIN(Skills!I19,15),Skills!I19)/Skills!H19,1)</f>
        <v/>
      </c>
      <c r="H2384">
        <f>1-(1-Skills!J19/100)^Skills!K19</f>
        <v/>
      </c>
      <c r="I2384" t="inlineStr">
        <is>
          <t>1</t>
        </is>
      </c>
      <c r="J2384" t="inlineStr"/>
      <c r="K2384" t="inlineStr"/>
      <c r="L2384" t="inlineStr"/>
      <c r="M2384" t="inlineStr"/>
      <c r="N2384" t="inlineStr"/>
      <c r="O2384">
        <f>(1-Summary!$B$11)*T2384+Summary!$B$11*V2384</f>
        <v/>
      </c>
      <c r="P2384">
        <f>IF(B2411=0,0,O2384/B2411)</f>
        <v/>
      </c>
      <c r="Q2384" t="n">
        <v>0</v>
      </c>
      <c r="R2384" t="n">
        <v>0</v>
      </c>
      <c r="S2384">
        <f>IFERROR(O2384/N2384,0)</f>
        <v/>
      </c>
      <c r="T2384" t="n">
        <v>0</v>
      </c>
      <c r="V2384" t="n">
        <v>0</v>
      </c>
    </row>
    <row r="2385">
      <c r="A2385">
        <f>Skills!A20</f>
        <v/>
      </c>
      <c r="B2385">
        <f>Skills!B20</f>
        <v/>
      </c>
      <c r="C2385">
        <f>TRUE</f>
        <v/>
      </c>
      <c r="D2385">
        <f>IF(Skills!C20=1,60+Inputs!$B$25+Inputs!$B$29,IF(Skills!C20=2,90+Inputs!$B$26+Inputs!$B$29,IF(Skills!C20=3,120+Inputs!$B$27+Inputs!$B$29,MAX(0,(Inputs!$B$3-100)*3)+Inputs!$B$28+Inputs!$B$29)))</f>
        <v/>
      </c>
      <c r="E2385">
        <f>INDEX(FactorTable!$B$2:$Y$301, MATCH(ROUND(MIN(300,MAX(1,D2385)),0), FactorTable!$A$2:$A$301,0), Skills!M20+1)</f>
        <v/>
      </c>
      <c r="F2385">
        <f>IF(Skills!N20=TRUE,(Skills!L20/10)*(E2385/1000),Skills!L20/10)+Skills!O20</f>
        <v/>
      </c>
      <c r="G2385">
        <f>Skills!G20*IF(Skills!H20&gt;0,IF(Inputs!$B$39="pvp",MIN(Skills!I20,15),Skills!I20)/Skills!H20,1)</f>
        <v/>
      </c>
      <c r="H2385">
        <f>1-(1-Skills!J20/100)^Skills!K20</f>
        <v/>
      </c>
      <c r="I2385" t="inlineStr">
        <is>
          <t>1</t>
        </is>
      </c>
      <c r="J2385" t="inlineStr"/>
      <c r="K2385" t="inlineStr"/>
      <c r="L2385" t="inlineStr"/>
      <c r="M2385" t="inlineStr"/>
      <c r="N2385" t="inlineStr"/>
      <c r="O2385">
        <f>(1-Summary!$B$11)*T2385+Summary!$B$11*V2385</f>
        <v/>
      </c>
      <c r="P2385">
        <f>IF(B2411=0,0,O2385/B2411)</f>
        <v/>
      </c>
      <c r="Q2385">
        <f>IFERROR(1/IF(Inputs!$B$39="pvp",15,MAX(0.1,Skills!D20-IF(TRUE=TRUE,Inputs!$B$32,0))),0)</f>
        <v/>
      </c>
      <c r="R2385">
        <f>IF(AND(Inputs!$B$39&lt;&gt;"pvp",Inputs!$B$44&gt;0),IF(Inputs!$B$44&lt;=0,0,(INT(Inputs!$B$44/IF(Inputs!$B$39="pvp",15,MAX(0.1,Skills!D20-IF(TRUE=TRUE,Inputs!$B$32,0))))+1)),0)</f>
        <v/>
      </c>
      <c r="S2385">
        <f>IFERROR(O2385/N2385,0)</f>
        <v/>
      </c>
      <c r="T2385" t="n">
        <v>0</v>
      </c>
      <c r="V2385" t="n">
        <v>0</v>
      </c>
    </row>
    <row r="2386">
      <c r="A2386">
        <f>Skills!A21</f>
        <v/>
      </c>
      <c r="B2386">
        <f>Skills!B21</f>
        <v/>
      </c>
      <c r="C2386">
        <f>Inputs!$B$3&gt;=15</f>
        <v/>
      </c>
      <c r="D2386">
        <f>IF(Skills!C21=1,60+Inputs!$B$25+Inputs!$B$29,IF(Skills!C21=2,90+Inputs!$B$26+Inputs!$B$29,IF(Skills!C21=3,120+Inputs!$B$27+Inputs!$B$29,MAX(0,(Inputs!$B$3-100)*3)+Inputs!$B$28+Inputs!$B$29)))</f>
        <v/>
      </c>
      <c r="E2386">
        <f>INDEX(FactorTable!$B$2:$Y$301, MATCH(ROUND(MIN(300,MAX(1,D2386)),0), FactorTable!$A$2:$A$301,0), Skills!M21+1)</f>
        <v/>
      </c>
      <c r="F2386">
        <f>IF(Skills!N21=TRUE,(Skills!L21/10)*(E2386/1000),Skills!L21/10)+Skills!O21</f>
        <v/>
      </c>
      <c r="G2386">
        <f>Skills!G21*IF(Skills!H21&gt;0,IF(Inputs!$B$39="pvp",MIN(Skills!I21,15),Skills!I21)/Skills!H21,1)</f>
        <v/>
      </c>
      <c r="H2386">
        <f>1-(1-Skills!J21/100)^Skills!K21</f>
        <v/>
      </c>
      <c r="I2386" t="inlineStr">
        <is>
          <t>1</t>
        </is>
      </c>
      <c r="J2386" t="inlineStr"/>
      <c r="K2386" t="inlineStr"/>
      <c r="L2386" t="inlineStr"/>
      <c r="M2386" t="inlineStr"/>
      <c r="N2386" t="inlineStr"/>
      <c r="O2386">
        <f>(1-Summary!$B$11)*T2386+Summary!$B$11*V2386</f>
        <v/>
      </c>
      <c r="P2386">
        <f>IF(B2411=0,0,O2386/B2411)</f>
        <v/>
      </c>
      <c r="Q2386">
        <f>IFERROR(1/IF(Inputs!$B$39="pvp",15,MAX(0.1,Skills!D21-IF(TRUE=TRUE,Inputs!$B$32,0))),0)</f>
        <v/>
      </c>
      <c r="R2386">
        <f>IF(AND(Inputs!$B$39&lt;&gt;"pvp",Inputs!$B$44&gt;0),IF(Inputs!$B$44&lt;=0,0,(INT(Inputs!$B$44/IF(Inputs!$B$39="pvp",15,MAX(0.1,Skills!D21-IF(TRUE=TRUE,Inputs!$B$32,0))))+1)),0)</f>
        <v/>
      </c>
      <c r="S2386">
        <f>IFERROR(O2386/N2386,0)</f>
        <v/>
      </c>
      <c r="T2386" t="n">
        <v>0</v>
      </c>
      <c r="V2386" t="n">
        <v>0</v>
      </c>
    </row>
    <row r="2387">
      <c r="A2387">
        <f>Skills!A22</f>
        <v/>
      </c>
      <c r="B2387">
        <f>Skills!B22</f>
        <v/>
      </c>
      <c r="C2387">
        <f>Inputs!$B$3&gt;=15</f>
        <v/>
      </c>
      <c r="D2387">
        <f>IF(Skills!C22=1,60+Inputs!$B$25+Inputs!$B$29,IF(Skills!C22=2,90+Inputs!$B$26+Inputs!$B$29,IF(Skills!C22=3,120+Inputs!$B$27+Inputs!$B$29,MAX(0,(Inputs!$B$3-100)*3)+Inputs!$B$28+Inputs!$B$29)))</f>
        <v/>
      </c>
      <c r="E2387">
        <f>INDEX(FactorTable!$B$2:$Y$301, MATCH(ROUND(MIN(300,MAX(1,D2387)),0), FactorTable!$A$2:$A$301,0), Skills!M22+1)</f>
        <v/>
      </c>
      <c r="F2387">
        <f>IF(Skills!N22=TRUE,(Skills!L22/10)*(E2387/1000),Skills!L22/10)+Skills!O22</f>
        <v/>
      </c>
      <c r="G2387">
        <f>Skills!G22*IF(Skills!H22&gt;0,IF(Inputs!$B$39="pvp",MIN(Skills!I22,15),Skills!I22)/Skills!H22,1)</f>
        <v/>
      </c>
      <c r="H2387">
        <f>1-(1-Skills!J22/100)^Skills!K22</f>
        <v/>
      </c>
      <c r="I2387" t="inlineStr">
        <is>
          <t>1</t>
        </is>
      </c>
      <c r="J2387" t="inlineStr"/>
      <c r="K2387" t="inlineStr"/>
      <c r="L2387" t="inlineStr"/>
      <c r="M2387" t="inlineStr"/>
      <c r="N2387" t="inlineStr"/>
      <c r="O2387">
        <f>(1-Summary!$B$11)*T2387+Summary!$B$11*V2387</f>
        <v/>
      </c>
      <c r="P2387">
        <f>IF(B2411=0,0,O2387/B2411)</f>
        <v/>
      </c>
      <c r="Q2387">
        <f>IFERROR(1/IF(Inputs!$B$39="pvp",15,MAX(0.1,Skills!D22-IF(TRUE=TRUE,Inputs!$B$32,0))),0)</f>
        <v/>
      </c>
      <c r="R2387">
        <f>IF(AND(Inputs!$B$39&lt;&gt;"pvp",Inputs!$B$44&gt;0),IF(Inputs!$B$44&lt;=0,0,(INT(Inputs!$B$44/IF(Inputs!$B$39="pvp",15,MAX(0.1,Skills!D22-IF(TRUE=TRUE,Inputs!$B$32,0))))+1)),0)</f>
        <v/>
      </c>
      <c r="S2387">
        <f>IFERROR(O2387/N2387,0)</f>
        <v/>
      </c>
      <c r="T2387" t="n">
        <v>0</v>
      </c>
      <c r="V2387" t="n">
        <v>0</v>
      </c>
    </row>
    <row r="2388">
      <c r="A2388">
        <f>Skills!A23</f>
        <v/>
      </c>
      <c r="B2388">
        <f>Skills!B23</f>
        <v/>
      </c>
      <c r="C2388">
        <f>Inputs!$B$3&gt;=33</f>
        <v/>
      </c>
      <c r="D2388">
        <f>IF(Skills!C23=1,60+Inputs!$B$25+Inputs!$B$29,IF(Skills!C23=2,90+Inputs!$B$26+Inputs!$B$29,IF(Skills!C23=3,120+Inputs!$B$27+Inputs!$B$29,MAX(0,(Inputs!$B$3-100)*3)+Inputs!$B$28+Inputs!$B$29)))</f>
        <v/>
      </c>
      <c r="E2388">
        <f>INDEX(FactorTable!$B$2:$Y$301, MATCH(ROUND(MIN(300,MAX(1,D2388)),0), FactorTable!$A$2:$A$301,0), Skills!M23+1)</f>
        <v/>
      </c>
      <c r="F2388">
        <f>IF(Skills!N23=TRUE,(Skills!L23/10)*(E2388/1000),Skills!L23/10)+Skills!O23</f>
        <v/>
      </c>
      <c r="G2388">
        <f>Skills!G23*IF(Skills!H23&gt;0,IF(Inputs!$B$39="pvp",MIN(Skills!I23,15),Skills!I23)/Skills!H23,1)</f>
        <v/>
      </c>
      <c r="H2388">
        <f>1-(1-Skills!J23/100)^Skills!K23</f>
        <v/>
      </c>
      <c r="I2388" t="inlineStr">
        <is>
          <t>1</t>
        </is>
      </c>
      <c r="J2388" t="inlineStr"/>
      <c r="K2388" t="inlineStr"/>
      <c r="L2388" t="inlineStr"/>
      <c r="M2388" t="inlineStr"/>
      <c r="N2388" t="inlineStr"/>
      <c r="O2388">
        <f>(1-Summary!$B$11)*T2388+Summary!$B$11*V2388</f>
        <v/>
      </c>
      <c r="P2388">
        <f>IF(B2411=0,0,O2388/B2411)</f>
        <v/>
      </c>
      <c r="Q2388" t="n">
        <v>0</v>
      </c>
      <c r="R2388" t="n">
        <v>0</v>
      </c>
      <c r="S2388">
        <f>IFERROR(O2388/N2388,0)</f>
        <v/>
      </c>
      <c r="T2388" t="n">
        <v>0</v>
      </c>
      <c r="V2388" t="n">
        <v>0</v>
      </c>
    </row>
    <row r="2389">
      <c r="A2389">
        <f>Skills!A24</f>
        <v/>
      </c>
      <c r="B2389">
        <f>Skills!B24</f>
        <v/>
      </c>
      <c r="C2389">
        <f>Inputs!$B$3&gt;=40</f>
        <v/>
      </c>
      <c r="D2389">
        <f>IF(Skills!C24=1,60+Inputs!$B$25+Inputs!$B$29,IF(Skills!C24=2,90+Inputs!$B$26+Inputs!$B$29,IF(Skills!C24=3,120+Inputs!$B$27+Inputs!$B$29,MAX(0,(Inputs!$B$3-100)*3)+Inputs!$B$28+Inputs!$B$29)))</f>
        <v/>
      </c>
      <c r="E2389">
        <f>INDEX(FactorTable!$B$2:$Y$301, MATCH(ROUND(MIN(300,MAX(1,D2389)),0), FactorTable!$A$2:$A$301,0), Skills!M24+1)</f>
        <v/>
      </c>
      <c r="F2389">
        <f>IF(Skills!N24=TRUE,(Skills!L24/10)*(E2389/1000),Skills!L24/10)+Skills!O24</f>
        <v/>
      </c>
      <c r="G2389">
        <f>Skills!G24*IF(Skills!H24&gt;0,IF(Inputs!$B$39="pvp",MIN(Skills!I24,15),Skills!I24)/Skills!H24,1)</f>
        <v/>
      </c>
      <c r="H2389">
        <f>1-(1-Skills!J24/100)^Skills!K24</f>
        <v/>
      </c>
      <c r="I2389" t="inlineStr">
        <is>
          <t>1</t>
        </is>
      </c>
      <c r="J2389" t="inlineStr"/>
      <c r="K2389" t="inlineStr"/>
      <c r="L2389" t="inlineStr"/>
      <c r="M2389" t="inlineStr"/>
      <c r="N2389" t="inlineStr"/>
      <c r="O2389">
        <f>(1-Summary!$B$11)*T2389+Summary!$B$11*V2389</f>
        <v/>
      </c>
      <c r="P2389">
        <f>IF(B2411=0,0,O2389/B2411)</f>
        <v/>
      </c>
      <c r="Q2389" t="n">
        <v>0</v>
      </c>
      <c r="R2389" t="n">
        <v>0</v>
      </c>
      <c r="S2389">
        <f>IFERROR(O2389/N2389,0)</f>
        <v/>
      </c>
      <c r="T2389" t="n">
        <v>0</v>
      </c>
      <c r="V2389" t="n">
        <v>0</v>
      </c>
    </row>
    <row r="2390">
      <c r="A2390">
        <f>Skills!A25</f>
        <v/>
      </c>
      <c r="B2390">
        <f>Skills!B25</f>
        <v/>
      </c>
      <c r="C2390">
        <f>Inputs!$B$3&gt;=43</f>
        <v/>
      </c>
      <c r="D2390">
        <f>IF(Skills!C25=1,60+Inputs!$B$25+Inputs!$B$29,IF(Skills!C25=2,90+Inputs!$B$26+Inputs!$B$29,IF(Skills!C25=3,120+Inputs!$B$27+Inputs!$B$29,MAX(0,(Inputs!$B$3-100)*3)+Inputs!$B$28+Inputs!$B$29)))</f>
        <v/>
      </c>
      <c r="E2390">
        <f>INDEX(FactorTable!$B$2:$Y$301, MATCH(ROUND(MIN(300,MAX(1,D2390)),0), FactorTable!$A$2:$A$301,0), Skills!M25+1)</f>
        <v/>
      </c>
      <c r="F2390">
        <f>IF(Skills!N25=TRUE,(Skills!L25/10)*(E2390/1000),Skills!L25/10)+Skills!O25</f>
        <v/>
      </c>
      <c r="G2390">
        <f>Skills!G25*IF(Skills!H25&gt;0,IF(Inputs!$B$39="pvp",MIN(Skills!I25,15),Skills!I25)/Skills!H25,1)</f>
        <v/>
      </c>
      <c r="H2390">
        <f>1-(1-Skills!J25/100)^Skills!K25</f>
        <v/>
      </c>
      <c r="I2390" t="inlineStr">
        <is>
          <t>1</t>
        </is>
      </c>
      <c r="J2390" t="inlineStr"/>
      <c r="K2390" t="inlineStr"/>
      <c r="L2390" t="inlineStr"/>
      <c r="M2390" t="inlineStr"/>
      <c r="N2390" t="inlineStr"/>
      <c r="O2390">
        <f>(1-Summary!$B$11)*T2390+Summary!$B$11*V2390</f>
        <v/>
      </c>
      <c r="P2390">
        <f>IF(B2411=0,0,O2390/B2411)</f>
        <v/>
      </c>
      <c r="Q2390" t="n">
        <v>0</v>
      </c>
      <c r="R2390" t="n">
        <v>0</v>
      </c>
      <c r="S2390">
        <f>IFERROR(O2390/N2390,0)</f>
        <v/>
      </c>
      <c r="T2390" t="n">
        <v>0</v>
      </c>
      <c r="V2390" t="n">
        <v>0</v>
      </c>
    </row>
    <row r="2391">
      <c r="A2391">
        <f>Skills!A26</f>
        <v/>
      </c>
      <c r="B2391">
        <f>Skills!B26</f>
        <v/>
      </c>
      <c r="C2391">
        <f>Inputs!$B$3&gt;=50</f>
        <v/>
      </c>
      <c r="D2391">
        <f>IF(Skills!C26=1,60+Inputs!$B$25+Inputs!$B$29,IF(Skills!C26=2,90+Inputs!$B$26+Inputs!$B$29,IF(Skills!C26=3,120+Inputs!$B$27+Inputs!$B$29,MAX(0,(Inputs!$B$3-100)*3)+Inputs!$B$28+Inputs!$B$29)))</f>
        <v/>
      </c>
      <c r="E2391">
        <f>INDEX(FactorTable!$B$2:$Y$301, MATCH(ROUND(MIN(300,MAX(1,D2391)),0), FactorTable!$A$2:$A$301,0), Skills!M26+1)</f>
        <v/>
      </c>
      <c r="F2391">
        <f>IF(Skills!N26=TRUE,(Skills!L26/10)*(E2391/1000),Skills!L26/10)+Skills!O26</f>
        <v/>
      </c>
      <c r="G2391">
        <f>Skills!G26*IF(Skills!H26&gt;0,IF(Inputs!$B$39="pvp",MIN(Skills!I26,15),Skills!I26)/Skills!H26,1)</f>
        <v/>
      </c>
      <c r="H2391">
        <f>1-(1-Skills!J26/100)^Skills!K26</f>
        <v/>
      </c>
      <c r="I2391" t="inlineStr">
        <is>
          <t>1</t>
        </is>
      </c>
      <c r="J2391" t="inlineStr"/>
      <c r="K2391" t="inlineStr"/>
      <c r="L2391" t="inlineStr"/>
      <c r="M2391" t="inlineStr"/>
      <c r="N2391" t="inlineStr"/>
      <c r="O2391">
        <f>(1-Summary!$B$11)*T2391+Summary!$B$11*V2391</f>
        <v/>
      </c>
      <c r="P2391">
        <f>IF(B2411=0,0,O2391/B2411)</f>
        <v/>
      </c>
      <c r="Q2391" t="n">
        <v>0</v>
      </c>
      <c r="R2391" t="n">
        <v>0</v>
      </c>
      <c r="S2391">
        <f>IFERROR(O2391/N2391,0)</f>
        <v/>
      </c>
      <c r="T2391" t="n">
        <v>0</v>
      </c>
      <c r="V2391" t="n">
        <v>0</v>
      </c>
    </row>
    <row r="2392">
      <c r="A2392">
        <f>Skills!A27</f>
        <v/>
      </c>
      <c r="B2392">
        <f>Skills!B27</f>
        <v/>
      </c>
      <c r="C2392">
        <f>Inputs!$B$3&gt;=50</f>
        <v/>
      </c>
      <c r="D2392">
        <f>IF(Skills!C27=1,60+Inputs!$B$25+Inputs!$B$29,IF(Skills!C27=2,90+Inputs!$B$26+Inputs!$B$29,IF(Skills!C27=3,120+Inputs!$B$27+Inputs!$B$29,MAX(0,(Inputs!$B$3-100)*3)+Inputs!$B$28+Inputs!$B$29)))</f>
        <v/>
      </c>
      <c r="E2392">
        <f>INDEX(FactorTable!$B$2:$Y$301, MATCH(ROUND(MIN(300,MAX(1,D2392)),0), FactorTable!$A$2:$A$301,0), Skills!M27+1)</f>
        <v/>
      </c>
      <c r="F2392">
        <f>IF(Skills!N27=TRUE,(Skills!L27/10)*(E2392/1000),Skills!L27/10)+Skills!O27</f>
        <v/>
      </c>
      <c r="G2392">
        <f>Skills!G27*IF(Skills!H27&gt;0,IF(Inputs!$B$39="pvp",MIN(Skills!I27,15),Skills!I27)/Skills!H27,1)</f>
        <v/>
      </c>
      <c r="H2392">
        <f>1-(1-Skills!J27/100)^Skills!K27</f>
        <v/>
      </c>
      <c r="I2392" t="inlineStr">
        <is>
          <t>1</t>
        </is>
      </c>
      <c r="J2392" t="inlineStr"/>
      <c r="K2392" t="inlineStr"/>
      <c r="L2392" t="inlineStr"/>
      <c r="M2392" t="inlineStr"/>
      <c r="N2392" t="inlineStr"/>
      <c r="O2392">
        <f>(1-Summary!$B$11)*T2392+Summary!$B$11*V2392</f>
        <v/>
      </c>
      <c r="P2392">
        <f>IF(B2411=0,0,O2392/B2411)</f>
        <v/>
      </c>
      <c r="Q2392" t="n">
        <v>0</v>
      </c>
      <c r="R2392" t="n">
        <v>0</v>
      </c>
      <c r="S2392">
        <f>IFERROR(O2392/N2392,0)</f>
        <v/>
      </c>
      <c r="T2392" t="n">
        <v>0</v>
      </c>
      <c r="V2392" t="n">
        <v>0</v>
      </c>
    </row>
    <row r="2393">
      <c r="A2393">
        <f>Skills!A28</f>
        <v/>
      </c>
      <c r="B2393">
        <f>Skills!B28</f>
        <v/>
      </c>
      <c r="C2393">
        <f>Inputs!$B$3&gt;=38</f>
        <v/>
      </c>
      <c r="D2393">
        <f>IF(Skills!C28=1,60+Inputs!$B$25+Inputs!$B$29,IF(Skills!C28=2,90+Inputs!$B$26+Inputs!$B$29,IF(Skills!C28=3,120+Inputs!$B$27+Inputs!$B$29,MAX(0,(Inputs!$B$3-100)*3)+Inputs!$B$28+Inputs!$B$29)))</f>
        <v/>
      </c>
      <c r="E2393">
        <f>INDEX(FactorTable!$B$2:$Y$301, MATCH(ROUND(MIN(300,MAX(1,D2393)),0), FactorTable!$A$2:$A$301,0), Skills!M28+1)</f>
        <v/>
      </c>
      <c r="F2393">
        <f>IF(Skills!N28=TRUE,(Skills!L28/10)*(E2393/1000),Skills!L28/10)+Skills!O28</f>
        <v/>
      </c>
      <c r="G2393">
        <f>Skills!G28*IF(Skills!H28&gt;0,IF(Inputs!$B$39="pvp",MIN(Skills!I28,15),Skills!I28)/Skills!H28,1)</f>
        <v/>
      </c>
      <c r="H2393">
        <f>1-(1-Skills!J28/100)^Skills!K28</f>
        <v/>
      </c>
      <c r="I2393" t="inlineStr">
        <is>
          <t>1</t>
        </is>
      </c>
      <c r="J2393" t="inlineStr"/>
      <c r="K2393" t="inlineStr"/>
      <c r="L2393" t="inlineStr"/>
      <c r="M2393" t="inlineStr"/>
      <c r="N2393" t="inlineStr"/>
      <c r="O2393">
        <f>(1-Summary!$B$11)*T2393+Summary!$B$11*V2393</f>
        <v/>
      </c>
      <c r="P2393">
        <f>IF(B2411=0,0,O2393/B2411)</f>
        <v/>
      </c>
      <c r="Q2393" t="n">
        <v>0</v>
      </c>
      <c r="R2393" t="n">
        <v>0</v>
      </c>
      <c r="S2393">
        <f>IFERROR(O2393/N2393,0)</f>
        <v/>
      </c>
      <c r="T2393" t="n">
        <v>0</v>
      </c>
      <c r="V2393" t="n">
        <v>0</v>
      </c>
    </row>
    <row r="2394">
      <c r="A2394">
        <f>Skills!A29</f>
        <v/>
      </c>
      <c r="B2394">
        <f>Skills!B29</f>
        <v/>
      </c>
      <c r="C2394">
        <f>Inputs!$B$3&gt;=120</f>
        <v/>
      </c>
      <c r="D2394">
        <f>IF(Skills!C29=1,60+Inputs!$B$25+Inputs!$B$29,IF(Skills!C29=2,90+Inputs!$B$26+Inputs!$B$29,IF(Skills!C29=3,120+Inputs!$B$27+Inputs!$B$29,MAX(0,(Inputs!$B$3-100)*3)+Inputs!$B$28+Inputs!$B$29)))</f>
        <v/>
      </c>
      <c r="E2394">
        <f>INDEX(FactorTable!$B$2:$Y$301, MATCH(ROUND(MIN(300,MAX(1,D2394)),0), FactorTable!$A$2:$A$301,0), Skills!M29+1)</f>
        <v/>
      </c>
      <c r="F2394">
        <f>IF(Skills!N29=TRUE,(Skills!L29/10)*(E2394/1000),Skills!L29/10)+Skills!O29</f>
        <v/>
      </c>
      <c r="G2394">
        <f>Skills!G29*IF(Skills!H29&gt;0,IF(Inputs!$B$39="pvp",MIN(Skills!I29,15),Skills!I29)/Skills!H29,1)</f>
        <v/>
      </c>
      <c r="H2394">
        <f>1-(1-Skills!J29/100)^Skills!K29</f>
        <v/>
      </c>
      <c r="I2394" t="inlineStr">
        <is>
          <t>1</t>
        </is>
      </c>
      <c r="J2394" t="inlineStr"/>
      <c r="K2394" t="inlineStr"/>
      <c r="L2394" t="inlineStr"/>
      <c r="M2394" t="inlineStr"/>
      <c r="N2394" t="inlineStr"/>
      <c r="O2394">
        <f>(1-Summary!$B$11)*T2394+Summary!$B$11*V2394</f>
        <v/>
      </c>
      <c r="P2394">
        <f>IF(B2411=0,0,O2394/B2411)</f>
        <v/>
      </c>
      <c r="Q2394" t="n">
        <v>0</v>
      </c>
      <c r="R2394" t="n">
        <v>0</v>
      </c>
      <c r="S2394">
        <f>IFERROR(O2394/N2394,0)</f>
        <v/>
      </c>
      <c r="T2394" t="n">
        <v>0</v>
      </c>
      <c r="V2394" t="n">
        <v>0</v>
      </c>
    </row>
    <row r="2395">
      <c r="A2395">
        <f>Skills!A30</f>
        <v/>
      </c>
      <c r="B2395">
        <f>Skills!B30</f>
        <v/>
      </c>
      <c r="C2395">
        <f>Inputs!$B$3&gt;=120</f>
        <v/>
      </c>
      <c r="D2395">
        <f>IF(Skills!C30=1,60+Inputs!$B$25+Inputs!$B$29,IF(Skills!C30=2,90+Inputs!$B$26+Inputs!$B$29,IF(Skills!C30=3,120+Inputs!$B$27+Inputs!$B$29,MAX(0,(Inputs!$B$3-100)*3)+Inputs!$B$28+Inputs!$B$29)))</f>
        <v/>
      </c>
      <c r="E2395">
        <f>INDEX(FactorTable!$B$2:$Y$301, MATCH(ROUND(MIN(300,MAX(1,D2395)),0), FactorTable!$A$2:$A$301,0), Skills!M30+1)</f>
        <v/>
      </c>
      <c r="F2395">
        <f>IF(Skills!N30=TRUE,(Skills!L30/10)*(E2395/1000),Skills!L30/10)+Skills!O30</f>
        <v/>
      </c>
      <c r="G2395">
        <f>Skills!G30*IF(Skills!H30&gt;0,IF(Inputs!$B$39="pvp",MIN(Skills!I30,15),Skills!I30)/Skills!H30,1)</f>
        <v/>
      </c>
      <c r="H2395">
        <f>1-(1-Skills!J30/100)^Skills!K30</f>
        <v/>
      </c>
      <c r="I2395" t="inlineStr">
        <is>
          <t>1</t>
        </is>
      </c>
      <c r="J2395" t="inlineStr"/>
      <c r="K2395" t="inlineStr"/>
      <c r="L2395" t="inlineStr"/>
      <c r="M2395" t="inlineStr"/>
      <c r="N2395" t="inlineStr"/>
      <c r="O2395">
        <f>(1-Summary!$B$11)*T2395+Summary!$B$11*V2395</f>
        <v/>
      </c>
      <c r="P2395">
        <f>IF(B2411=0,0,O2395/B2411)</f>
        <v/>
      </c>
      <c r="Q2395" t="n">
        <v>0</v>
      </c>
      <c r="R2395" t="n">
        <v>0</v>
      </c>
      <c r="S2395">
        <f>IFERROR(O2395/N2395,0)</f>
        <v/>
      </c>
      <c r="T2395" t="n">
        <v>0</v>
      </c>
      <c r="V2395" t="n">
        <v>0</v>
      </c>
    </row>
    <row r="2396">
      <c r="A2396">
        <f>Skills!A31</f>
        <v/>
      </c>
      <c r="B2396">
        <f>Skills!B31</f>
        <v/>
      </c>
      <c r="C2396">
        <f>Inputs!$B$3&gt;=125</f>
        <v/>
      </c>
      <c r="D2396">
        <f>IF(Skills!C31=1,60+Inputs!$B$25+Inputs!$B$29,IF(Skills!C31=2,90+Inputs!$B$26+Inputs!$B$29,IF(Skills!C31=3,120+Inputs!$B$27+Inputs!$B$29,MAX(0,(Inputs!$B$3-100)*3)+Inputs!$B$28+Inputs!$B$29)))</f>
        <v/>
      </c>
      <c r="E2396">
        <f>INDEX(FactorTable!$B$2:$Y$301, MATCH(ROUND(MIN(300,MAX(1,D2396)),0), FactorTable!$A$2:$A$301,0), Skills!M31+1)</f>
        <v/>
      </c>
      <c r="F2396">
        <f>IF(Skills!N31=TRUE,(Skills!L31/10)*(E2396/1000),Skills!L31/10)+Skills!O31</f>
        <v/>
      </c>
      <c r="G2396">
        <f>Skills!G31*IF(Skills!H31&gt;0,IF(Inputs!$B$39="pvp",MIN(Skills!I31,15),Skills!I31)/Skills!H31,1)</f>
        <v/>
      </c>
      <c r="H2396">
        <f>1-(1-Skills!J31/100)^Skills!K31</f>
        <v/>
      </c>
      <c r="I2396" t="inlineStr">
        <is>
          <t>1</t>
        </is>
      </c>
      <c r="J2396" t="inlineStr"/>
      <c r="K2396" t="inlineStr"/>
      <c r="L2396" t="inlineStr"/>
      <c r="M2396" t="inlineStr"/>
      <c r="N2396" t="inlineStr"/>
      <c r="O2396">
        <f>(1-Summary!$B$11)*T2396+Summary!$B$11*V2396</f>
        <v/>
      </c>
      <c r="P2396">
        <f>IF(B2411=0,0,O2396/B2411)</f>
        <v/>
      </c>
      <c r="Q2396" t="n">
        <v>0</v>
      </c>
      <c r="R2396" t="n">
        <v>0</v>
      </c>
      <c r="S2396">
        <f>IFERROR(O2396/N2396,0)</f>
        <v/>
      </c>
      <c r="T2396" t="n">
        <v>0</v>
      </c>
      <c r="V2396" t="n">
        <v>0</v>
      </c>
    </row>
    <row r="2398">
      <c r="A2398" t="inlineStr">
        <is>
          <t>Average Buff Multiplier</t>
        </is>
      </c>
      <c r="B2398">
        <f>(1+(((C2387=TRUE)*F2387*IF(AND(Inputs!$B$39&lt;&gt;"pvp",Inputs!$B$44&gt;0),(((R2387-1)*MIN((Skills!Y22*(1+Inputs!$B$34/100)),(1/Q2387))+MIN((Skills!Y22*(1+Inputs!$B$34/100)),MAX(0,Inputs!$B$44-((R2387-1)*(1/Q2387)))))/Inputs!$B$44),IF(Inputs!$B$39="pvp",MIN((Skills!Y22*(1+Inputs!$B$34/100)),15)/15,MIN(1,(Skills!Y22*(1+Inputs!$B$34/100))/(1/Q2387)))))+((C2368=TRUE)*F2368*3)+((C2370=TRUE)*F2370*(1-EXP(-0.75*B2403*5)))+((C2389=TRUE)*(F2389-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2376=TRUE)*F2376*IF(AND(Inputs!$B$39&lt;&gt;"pvp",Inputs!$B$44&gt;0),(((R2376-1)*MIN((Skills!Y11*(1+Inputs!$B$34/100)),(1/Q2376))+MIN((Skills!Y11*(1+Inputs!$B$34/100)),MAX(0,Inputs!$B$44-((R2376-1)*(1/Q2376)))))/Inputs!$B$44),IF(Inputs!$B$39="pvp",MIN((Skills!Y11*(1+Inputs!$B$34/100)),15)/15,MIN(1,(Skills!Y11*(1+Inputs!$B$34/100))/(1/Q2376)))))/100)*(1+((C2381=TRUE)*F2381*IF(AND(Inputs!$B$39&lt;&gt;"pvp",Inputs!$B$44&gt;0),(((R2381-1)*MIN((Skills!Y16*(1+Inputs!$B$34/100)),(1/Q2381))+MIN((Skills!Y16*(1+Inputs!$B$34/100)),MAX(0,Inputs!$B$44-((R2381-1)*(1/Q2381)))))/Inputs!$B$44),IF(Inputs!$B$39="pvp",MIN((Skills!Y16*(1+Inputs!$B$34/100)),15)/15,MIN(1,(Skills!Y16*(1+Inputs!$B$34/100))/(1/Q2381)))))/100)</f>
        <v/>
      </c>
    </row>
    <row r="2399">
      <c r="A2399" t="inlineStr">
        <is>
          <t>Global Crit Rate Bonus %</t>
        </is>
      </c>
      <c r="B2399">
        <f>((C2386=TRUE)*F2386*IF(AND(Inputs!$B$39&lt;&gt;"pvp",Inputs!$B$44&gt;0),(((R2386-1)*MIN((Skills!Y21*(1+Inputs!$B$34/100)),(1/Q2386))+MIN((Skills!Y21*(1+Inputs!$B$34/100)),MAX(0,Inputs!$B$44-((R2386-1)*(1/Q2386)))))/Inputs!$B$44),IF(Inputs!$B$39="pvp",MIN((Skills!Y21*(1+Inputs!$B$34/100)),15)/15,MIN(1,(Skills!Y21*(1+Inputs!$B$34/100))/(1/Q2386)))))</f>
        <v/>
      </c>
    </row>
    <row r="2400">
      <c r="A2400" t="inlineStr">
        <is>
          <t>Global Monster Damage-Taken Bonus %</t>
        </is>
      </c>
      <c r="B2400">
        <f>IF(Inputs!$B$3&gt;=82,15,0)</f>
        <v/>
      </c>
    </row>
    <row r="2401">
      <c r="A2401" t="inlineStr">
        <is>
          <t>Shadow Partner Average Multiplier</t>
        </is>
      </c>
      <c r="B2401">
        <f>1+((C2373=TRUE)*F2373*(1+3.3333333333333335*IF(C2384=TRUE,F2384,0)/100)*I2373*Skills!J8/100)/100</f>
        <v/>
      </c>
    </row>
    <row r="2402">
      <c r="A2402" t="inlineStr">
        <is>
          <t>Attack Speed Buff Bonus %</t>
        </is>
      </c>
      <c r="B2402">
        <f>((C2385=TRUE)*F2385*IF(AND(Inputs!$B$39&lt;&gt;"pvp",Inputs!$B$44&gt;0),(((R2385-1)*MIN((Skills!Y20*(1+Inputs!$B$34/100)),(1/Q2385))+MIN((Skills!Y20*(1+Inputs!$B$34/100)),MAX(0,Inputs!$B$44-((R2385-1)*(1/Q2385)))))/Inputs!$B$44),IF(Inputs!$B$39="pvp",MIN((Skills!Y20*(1+Inputs!$B$34/100)),15)/15,MIN(1,(Skills!Y20*(1+Inputs!$B$34/100))/(1/Q2385)))))</f>
        <v/>
      </c>
    </row>
    <row r="2403">
      <c r="A2403" t="inlineStr">
        <is>
          <t>Actions Per Second</t>
        </is>
      </c>
      <c r="B2403">
        <f>1+MIN(150,150*(1-(1-(Inputs!$B$11+((C2388=TRUE)*(F2388-Calc!F23)))/150)*(1-B2402/150)))/100</f>
        <v/>
      </c>
    </row>
    <row r="2404">
      <c r="A2404" t="inlineStr">
        <is>
          <t>Skill + Buff Cast Rate</t>
        </is>
      </c>
      <c r="B2404">
        <f>IF(AND(Inputs!$B$39&lt;&gt;"pvp",Inputs!$B$44&gt;0),SUMPRODUCT((Skills!E2:E31=TRUE)*(C2367:C2396=TRUE)*R2367:R2396*Skills!F2:F31)/Inputs!$B$44,SUMPRODUCT((Skills!E2:E31=TRUE)*(C2367:C2396=TRUE)*Q2367:Q2396*Skills!F2:F31))</f>
        <v/>
      </c>
    </row>
    <row r="2405">
      <c r="A2405" t="inlineStr">
        <is>
          <t>Cruel Stab Casts Per Second</t>
        </is>
      </c>
      <c r="B2405">
        <f>MAX(0,B2403-B2404)</f>
        <v/>
      </c>
    </row>
    <row r="2406">
      <c r="A2406" t="inlineStr">
        <is>
          <t>Global Critical Damage Bonus % (Smokescreen Mastery Lv.113)</t>
        </is>
      </c>
      <c r="B2406">
        <f>IF(Inputs!$B$3&gt;=113,30,0)*IF(AND(Inputs!$B$39&lt;&gt;"pvp",Inputs!$B$44&gt;0),(((R2381-1)*MIN((Skills!Y16*(1+Inputs!$B$34/100)),(1/Q2381))+MIN((Skills!Y16*(1+Inputs!$B$34/100)),MAX(0,Inputs!$B$44-((R2381-1)*(1/Q2381)))))/Inputs!$B$44),IF(Inputs!$B$39="pvp",MIN((Skills!Y16*(1+Inputs!$B$34/100)),15)/15,MIN(1,(Skills!Y16*(1+Inputs!$B$34/100))/(1/Q2381))))</f>
        <v/>
      </c>
    </row>
    <row r="2407">
      <c r="A2407" t="inlineStr">
        <is>
          <t>Meso Explosion average stack count</t>
        </is>
      </c>
      <c r="B2407">
        <f>MIN(10,IF(Inputs!$B$3&gt;=75,0.75,0.5)*B2403*(1/Q2369))</f>
        <v/>
      </c>
    </row>
    <row r="2408">
      <c r="A2408" t="inlineStr">
        <is>
          <t>Blood Money average stack count</t>
        </is>
      </c>
      <c r="B2408">
        <f>MIN(5,0.5*IF(Inputs!$B$3&gt;=75,0.75,0.5)*B2403*(1/Q2369))</f>
        <v/>
      </c>
    </row>
    <row r="2409">
      <c r="A2409" t="inlineStr">
        <is>
          <t>Assassinate Murderous Intent Multiplier</t>
        </is>
      </c>
      <c r="B2409">
        <f>1+IFERROR(MIN(1,Q2380*2/Q2377),0)</f>
        <v/>
      </c>
    </row>
    <row r="2410">
      <c r="A2410" t="inlineStr">
        <is>
          <t>Buff-Casting Startup Delay (s, fixed-duration only)</t>
        </is>
      </c>
      <c r="B2410">
        <f>IF(AND(Inputs!$B$39&lt;&gt;"pvp",Inputs!$B$44&gt;0),SUMPRODUCT((Skills!Y2:Y31&gt;0)*(Skills!E2:E31=TRUE)*(C2367:C2396=TRUE))/B2403,0)</f>
        <v/>
      </c>
    </row>
    <row r="2411">
      <c r="A2411" s="6" t="inlineStr">
        <is>
          <t>TOTAL DPS</t>
        </is>
      </c>
      <c r="B2411" s="6">
        <f>SUM(O2367:O2396)</f>
        <v/>
      </c>
    </row>
    <row r="2412">
      <c r="A2412" t="inlineStr">
        <is>
          <t>Boss-Only Total DPS (this block's swept value)</t>
        </is>
      </c>
      <c r="B2412">
        <f>SUM(T2367:T2396)</f>
        <v/>
      </c>
    </row>
    <row r="2413">
      <c r="A2413" t="inlineStr">
        <is>
          <t>Normal-Only Total DPS (this block's swept value)</t>
        </is>
      </c>
      <c r="B2413">
        <f>SUM(V2367:V2396)</f>
        <v/>
      </c>
    </row>
    <row r="2416">
      <c r="A2416" s="6" t="inlineStr">
        <is>
          <t>Stat: Fire Flower (Equip)</t>
        </is>
      </c>
    </row>
    <row r="2417">
      <c r="A2417" s="5" t="inlineStr">
        <is>
          <t>Key</t>
        </is>
      </c>
      <c r="B2417" s="5" t="inlineStr">
        <is>
          <t>Name</t>
        </is>
      </c>
      <c r="C2417" s="5" t="inlineStr">
        <is>
          <t>Unlocked</t>
        </is>
      </c>
      <c r="D2417" s="5" t="inlineStr">
        <is>
          <t>InputLevel</t>
        </is>
      </c>
      <c r="E2417" s="5" t="inlineStr">
        <is>
          <t>Factor</t>
        </is>
      </c>
      <c r="F2417" s="5" t="inlineStr">
        <is>
          <t>CoefficientPercent</t>
        </is>
      </c>
      <c r="G2417" s="5" t="inlineStr">
        <is>
          <t>EffectiveHits</t>
        </is>
      </c>
      <c r="H2417" s="5" t="inlineStr">
        <is>
          <t>ProcProbability</t>
        </is>
      </c>
      <c r="I2417" s="5" t="inlineStr">
        <is>
          <t>MapleHeroMultiplier</t>
        </is>
      </c>
      <c r="J2417" s="5" t="inlineStr">
        <is>
          <t>BaseDamage</t>
        </is>
      </c>
      <c r="K2417" s="5" t="inlineStr">
        <is>
          <t>BaseHitDamage</t>
        </is>
      </c>
      <c r="L2417" s="5" t="inlineStr">
        <is>
          <t>NonCritAvg</t>
        </is>
      </c>
      <c r="M2417" s="5" t="inlineStr">
        <is>
          <t>CritAvg</t>
        </is>
      </c>
      <c r="N2417" s="5" t="inlineStr">
        <is>
          <t>ExpectedDamage(perHit)</t>
        </is>
      </c>
      <c r="O2417" s="5" t="inlineStr">
        <is>
          <t>DPS</t>
        </is>
      </c>
      <c r="P2417" s="5" t="inlineStr">
        <is>
          <t>% of Total</t>
        </is>
      </c>
      <c r="Q2417" s="5" t="inlineStr">
        <is>
          <t>InvCooldown</t>
        </is>
      </c>
      <c r="R2417" s="5" t="inlineStr">
        <is>
          <t>CastsInFight</t>
        </is>
      </c>
      <c r="S2417" s="5" t="inlineStr">
        <is>
          <t>HitRate(perSec)</t>
        </is>
      </c>
      <c r="U2417" t="inlineStr">
        <is>
          <t>helpers</t>
        </is>
      </c>
    </row>
    <row r="2418">
      <c r="A2418">
        <f>Skills!A2</f>
        <v/>
      </c>
      <c r="B2418">
        <f>Skills!B2</f>
        <v/>
      </c>
      <c r="C2418">
        <f>Inputs!$B$3&gt;=100</f>
        <v/>
      </c>
      <c r="D2418" t="inlineStr"/>
      <c r="E2418" t="inlineStr"/>
      <c r="F2418">
        <f>U2420+Skills!O2</f>
        <v/>
      </c>
      <c r="G2418">
        <f>Skills!G2*IF(Skills!H2&gt;0,IF(Inputs!$B$39="pvp",MIN(Skills!I2,15),Skills!I2)/Skills!H2,1)</f>
        <v/>
      </c>
      <c r="H2418">
        <f>1-(1-Skills!J2/100)^Skills!K2</f>
        <v/>
      </c>
      <c r="I2418" t="inlineStr">
        <is>
          <t>1</t>
        </is>
      </c>
      <c r="J2418">
        <f>((Inputs!$B$6*(1+Inputs!$B$7/100))+(((Inputs!$B$12*(1+Inputs!$B$13/100))-(Inputs!$B$12*(1+Inputs!$B$13/100)))+0.25*(Inputs!$B$14-Inputs!$B$14))*(1+Inputs!$B$7/100))*(F2418/100)</f>
        <v/>
      </c>
      <c r="K2418">
        <f>J2418*(1+((Inputs!$B$12*(1+Inputs!$B$13/100))*0.01+Inputs!$B$14*0.0025)/100)*(1+Inputs!$B$15/100)*(1+Inputs!$B$16/100)*(5000/(6000+Inputs!$B$43*(1-(100*(1-(1-Inputs!$B$19/100)*(1-CHOOSE(ArtifactsInput!$N$40+1,5,6,7,8,9,10)/100)^(ArtifactsInput!$M$40-ArtifactsInput!$M$40)))/100)))*(1+(Inputs!$B$24+((C2447=TRUE)*(F2447-Calc!F31))+((C2434=TRUE)*(F2434-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CRUEL_STAB",Inputs!$B$17+((C2444=TRUE)*(F2444-Calc!F28))+((IF(AND(Inputs!$B$39&lt;&gt;"pvp",Inputs!$B$44=0),1,IF(IF(Inputs!$B$39="pvp",15,Inputs!$B$44)-(B2461)&lt;=0,1,MAX(0,IF(Inputs!$B$39="pvp",15,Inputs!$B$44)-MAX(5,B2461))/(IF(Inputs!$B$39="pvp",15,Inputs!$B$44)-(B2461))))*(IF(AND(ArtifactsInput!$M$42,((Inputs!$B$9+((C2442=TRUE)*(F2442-Calc!F26))+B2450+(ArtifactsInput!$M$24-ArtifactsInput!$M$24)*CHOOSE(ArtifactsInput!$N$24+1,10,12,14,16,18,20)+IF(ArtifactsInput!$M$10,CHOOSE(ArtifactsInput!$N$10+1,15,18,21,24,27,30)*(IF(Inputs!$B$39="pvp",MIN(15,15)/15,IF(AND(Inputs!$B$39&lt;&gt;"pvp",Inputs!$B$44&gt;0),MIN(15,Inputs!$B$44)/(Inputs!$B$44),0))),0)))&gt;=100),MIN(100,((Inputs!$B$9+((C2442=TRUE)*(F2442-Calc!F26))+B2450+(ArtifactsInput!$M$24-ArtifactsInput!$M$24)*CHOOSE(ArtifactsInput!$N$24+1,10,12,14,16,18,20)+IF(ArtifactsInput!$M$10,CHOOSE(ArtifactsInput!$N$10+1,15,18,21,24,27,30)*(IF(Inputs!$B$39="pvp",MIN(15,15)/15,IF(AND(Inputs!$B$39&lt;&gt;"pvp",Inputs!$B$44&gt;0),MIN(15,Inputs!$B$44)/(Inputs!$B$44),0))),0)))-100),0))*CHOOSE(ArtifactsInput!$N$42+1,0.6,0.72,0.84,0.96,1.08,1.2))),Inputs!$B$18+((C2445=TRUE)*(F2445-Calc!F29))+(IF(AND(Inputs!$B$39&lt;&gt;"pvp",Inputs!$B$44=0),1,IF(IF(Inputs!$B$39="pvp",15,Inputs!$B$44)-(B2461)&lt;=0,1,MAX(0,IF(Inputs!$B$39="pvp",15,Inputs!$B$44)-MAX(5,B2461))/(IF(Inputs!$B$39="pvp",15,Inputs!$B$44)-(B2461))))*IF(AND(ArtifactsInput!$M$42,((Inputs!$B$9+((C2442=TRUE)*(F2442-Calc!F26))+B2450+(ArtifactsInput!$M$24-ArtifactsInput!$M$24)*CHOOSE(ArtifactsInput!$N$24+1,10,12,14,16,18,20)+IF(ArtifactsInput!$M$10,CHOOSE(ArtifactsInput!$N$10+1,15,18,21,24,27,30)*(IF(Inputs!$B$39="pvp",MIN(15,15)/15,IF(AND(Inputs!$B$39&lt;&gt;"pvp",Inputs!$B$44&gt;0),MIN(15,Inputs!$B$44)/(Inputs!$B$44),0))),0)))&gt;=100),CHOOSE(ArtifactsInput!$N$42+1,40,48,56,64,72,80),0))))/100)*(((1+(((C2438=TRUE)*F2438*IF(AND(Inputs!$B$39&lt;&gt;"pvp",Inputs!$B$44&gt;0),(((R2438-1)*MIN((Skills!Y22*(1+Inputs!$B$34/100)),(1/Q2438))+MIN((Skills!Y22*(1+Inputs!$B$34/100)),MAX(0,Inputs!$B$44-((R2438-1)*(1/Q2438)))))/Inputs!$B$44),IF(Inputs!$B$39="pvp",MIN((Skills!Y22*(1+Inputs!$B$34/100)),15)/15,MIN(1,(Skills!Y22*(1+Inputs!$B$34/100))/(1/Q2438)))))+((C2419=TRUE)*F2419*3)+((C2421=TRUE)*F2421*(1-EXP(-0.75*B2454*5)))+((C2440=TRUE)*(F2440-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2427=TRUE)*F2427*IF(AND(Inputs!$B$39&lt;&gt;"pvp",Inputs!$B$44&gt;0),(((R2427-1)*MIN((Skills!Y11*(1+Inputs!$B$34/100)),(1/Q2427))+MIN((Skills!Y11*(1+Inputs!$B$34/100)),MAX(0,Inputs!$B$44-((R2427-1)*(1/Q2427)))))/Inputs!$B$44),IF(Inputs!$B$39="pvp",MIN((Skills!Y11*(1+Inputs!$B$34/100)),15)/15,MIN(1,(Skills!Y11*(1+Inputs!$B$34/100))/(1/Q2427)))))/100)*(1+((C2432=TRUE)*F2432*IF(AND(Inputs!$B$39&lt;&gt;"pvp",Inputs!$B$44&gt;0),(((R2432-1)*MIN((Skills!Y16*(1+Inputs!$B$34/100)),(1/Q2432))+MIN((Skills!Y16*(1+Inputs!$B$34/100)),MAX(0,Inputs!$B$44-((R2432-1)*(1/Q2432)))))/Inputs!$B$44),IF(Inputs!$B$39="pvp",MIN((Skills!Y16*(1+Inputs!$B$34/100)),15)/15,MIN(1,(Skills!Y16*(1+Inputs!$B$34/100))/(1/Q2432)))))/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2452*I2418)</f>
        <v/>
      </c>
      <c r="L2418">
        <f>K2418*(MIN(Inputs!$B$22+((C2441=TRUE)*(F2441-Calc!F25)),(Inputs!$B$23+((C2446=TRUE)*(F2446-Calc!F30))+IF(ArtifactsInput!$M$15,CHOOSE(ArtifactsInput!$N$15+1,25,30,35,40,45,50)/100*(Inputs!$B$11-Inputs!$B$11),0)))/100+(Inputs!$B$23+((C2446=TRUE)*(F2446-Calc!F30))+IF(ArtifactsInput!$M$15,CHOOSE(ArtifactsInput!$N$15+1,25,30,35,40,45,50)/100*(Inputs!$B$11-Inputs!$B$11),0))/100)/2</f>
        <v/>
      </c>
      <c r="M2418">
        <f>L2418*(1+(Inputs!$B$10+((C2443=TRUE)*(F2443-Calc!F27))+B2457+(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2418">
        <f>L2418*(1-MIN((Inputs!$B$9+((C2442=TRUE)*(F2442-Calc!F26))+B2450+(ArtifactsInput!$M$24-ArtifactsInput!$M$24)*CHOOSE(ArtifactsInput!$N$24+1,10,12,14,16,18,20)+(IF(AND(Inputs!$B$39&lt;&gt;"pvp",Inputs!$B$44=0),1,IF(IF(Inputs!$B$39="pvp",15,Inputs!$B$44)-(B2461)&lt;=0,1,MAX(0,IF(Inputs!$B$39="pvp",15,Inputs!$B$44)-MAX(5,B2461))/(IF(Inputs!$B$39="pvp",15,Inputs!$B$44)-(B2461))))*IF(AND(ArtifactsInput!$M$42,((Inputs!$B$9+((C2442=TRUE)*(F2442-Calc!F26))+B2450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2418*(MIN((Inputs!$B$9+((C2442=TRUE)*(F2442-Calc!F26))+B2450+(ArtifactsInput!$M$24-ArtifactsInput!$M$24)*CHOOSE(ArtifactsInput!$N$24+1,10,12,14,16,18,20)+(IF(AND(Inputs!$B$39&lt;&gt;"pvp",Inputs!$B$44=0),1,IF(IF(Inputs!$B$39="pvp",15,Inputs!$B$44)-(B2461)&lt;=0,1,MAX(0,IF(Inputs!$B$39="pvp",15,Inputs!$B$44)-MAX(5,B2461))/(IF(Inputs!$B$39="pvp",15,Inputs!$B$44)-(B2461))))*IF(AND(ArtifactsInput!$M$42,((Inputs!$B$9+((C2442=TRUE)*(F2442-Calc!F26))+B2450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418">
        <f>(1-Summary!$B$11)*T2418+Summary!$B$11*V2418</f>
        <v/>
      </c>
      <c r="P2418">
        <f>IF(B2462=0,0,O2418/B2462)</f>
        <v/>
      </c>
      <c r="Q2418" t="n">
        <v>0</v>
      </c>
      <c r="R2418" t="n">
        <v>0</v>
      </c>
      <c r="S2418">
        <f>IFERROR(O2418/N2418,0)</f>
        <v/>
      </c>
      <c r="T2418">
        <f>IF(C2418,(Skills!G2*N2418*B2456)*IF(Inputs!$B$39="pvp",1,1+(Inputs!$B$20+0+Skills!P2+B2451+(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Hunt"),CHOOSE(ArtifactsInput!$N$35+1,15,18,21,24,27,30)*(1-EXP(-(0.2*B2454)*5)),0)+IF(AND(ArtifactsInput!$M$22,Inputs!$B$4&lt;&gt;"Chapter Hunt"),CHOOSE(ArtifactsInput!$N$22+1,10,12,14,16,18,20)*((0*(((0.15*B2454*5))^0/1)+1*(((0.15*B2454*5))^1/1)+2*(((0.15*B2454*5))^2/2)+3*(((0.15*B2454*5))^3/6)+4*(((0.15*B2454*5))^4/24)+5*(((0.15*B2454*5))^5/120))/((((0.15*B2454*5))^0/1)+(((0.15*B2454*5))^1/1)+(((0.15*B2454*5))^2/2)+(((0.15*B2454*5))^3/6)+(((0.15*B2454*5))^4/24)+(((0.15*B2454*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2418*(1-MIN(100,(Inputs!$B$9+((C2442=TRUE)*(F2442-Calc!F26))+B2450+(ArtifactsInput!$M$24-ArtifactsInput!$M$24)*CHOOSE(ArtifactsInput!$N$24+1,10,12,14,16,18,20)+(IF(AND(Inputs!$B$39&lt;&gt;"pvp",Inputs!$B$44=0),1,IF(IF(Inputs!$B$39="pvp",15,Inputs!$B$44)-(B2461)&lt;=0,1,MAX(0,IF(Inputs!$B$39="pvp",15,Inputs!$B$44)-MAX(5,B2461))/(IF(Inputs!$B$39="pvp",15,Inputs!$B$44)-(B2461))))*IF(AND(ArtifactsInput!$M$42,((Inputs!$B$9+((C2442=TRUE)*(F2442-Calc!F26))+B2450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2418*(MIN(100,(Inputs!$B$9+((C2442=TRUE)*(F2442-Calc!F26))+B2450+(ArtifactsInput!$M$24-ArtifactsInput!$M$24)*CHOOSE(ArtifactsInput!$N$24+1,10,12,14,16,18,20)+(IF(AND(Inputs!$B$39&lt;&gt;"pvp",Inputs!$B$44=0),1,IF(IF(Inputs!$B$39="pvp",15,Inputs!$B$44)-(B2461)&lt;=0,1,MAX(0,IF(Inputs!$B$39="pvp",15,Inputs!$B$44)-MAX(5,B2461))/(IF(Inputs!$B$39="pvp",15,Inputs!$B$44)-(B2461))))*IF(AND(ArtifactsInput!$M$42,((Inputs!$B$9+((C2442=TRUE)*(F2442-Calc!F26))+B2450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2418*(1-MIN(100,(Inputs!$B$9+((C2442=TRUE)*(F2442-Calc!F26))+B2450+(ArtifactsInput!$M$24-ArtifactsInput!$M$24)*CHOOSE(ArtifactsInput!$N$24+1,10,12,14,16,18,20)+(IF(AND(Inputs!$B$39&lt;&gt;"pvp",Inputs!$B$44=0),1,IF(IF(Inputs!$B$39="pvp",15,Inputs!$B$44)-(B2461)&lt;=0,1,MAX(0,IF(Inputs!$B$39="pvp",15,Inputs!$B$44)-MAX(5,B2461))/(IF(Inputs!$B$39="pvp",15,Inputs!$B$44)-(B2461))))*IF(AND(ArtifactsInput!$M$42,((Inputs!$B$9+((C2442=TRUE)*(F2442-Calc!F26))+B2450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2418*(MIN(100,(Inputs!$B$9+((C2442=TRUE)*(F2442-Calc!F26))+B2450+(ArtifactsInput!$M$24-ArtifactsInput!$M$24)*CHOOSE(ArtifactsInput!$N$24+1,10,12,14,16,18,20)+(IF(AND(Inputs!$B$39&lt;&gt;"pvp",Inputs!$B$44=0),1,IF(IF(Inputs!$B$39="pvp",15,Inputs!$B$44)-(B2461)&lt;=0,1,MAX(0,IF(Inputs!$B$39="pvp",15,Inputs!$B$44)-MAX(5,B2461))/(IF(Inputs!$B$39="pvp",15,Inputs!$B$44)-(B2461))))*IF(AND(ArtifactsInput!$M$42,((Inputs!$B$9+((C2442=TRUE)*(F2442-Calc!F26))+B2450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IF(ArtifactsInput!$M$26,FALSE,TRUE),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2418">
        <f>MAX(0,(Inputs!$B$3-100)*3)+Inputs!$B$28+Inputs!$B$29</f>
        <v/>
      </c>
      <c r="V2418">
        <f>IF(C2418,(Skills!G2*N2418*B2456)*IF(Inputs!$B$39="pvp",1,(1+(Inputs!$B$21+Skills!Q2+B2451+(IF(ArtifactsInput!$M$33,CHOOSE(ArtifactsInput!$N$33+1,30,36,42,48,54,60),0))+(IF(AND(ArtifactsInput!$M$35,Inputs!$B$4&lt;&gt;"Chapter Hunt"),CHOOSE(ArtifactsInput!$N$35+1,15,18,21,24,27,30)*(1-EXP(-(0.2*B2454)*5)),0)+IF(AND(ArtifactsInput!$M$22,Inputs!$B$4&lt;&gt;"Chapter Hunt"),CHOOSE(ArtifactsInput!$N$22+1,10,12,14,16,18,20)*((0*(((0.15*B2454*5))^0/1)+1*(((0.15*B2454*5))^1/1)+2*(((0.15*B2454*5))^2/2)+3*(((0.15*B2454*5))^3/6)+4*(((0.15*B2454*5))^4/24)+5*(((0.15*B2454*5))^5/120))/((((0.15*B2454*5))^0/1)+(((0.15*B2454*5))^1/1)+(((0.15*B2454*5))^2/2)+(((0.15*B2454*5))^3/6)+(((0.15*B2454*5))^4/24)+(((0.15*B2454*5))^5/120))),0)))/100)*(MIN((6+Inputs!$B$33),Inputs!$B$37)))*((1+(IF(AND(ArtifactsInput!$M$41,Inputs!$B$39&lt;&gt;"pvp"),CHOOSE(ArtifactsInput!$N$41+1,5,6,7,8,9,10)*IF(OR(Inputs!$B$4="Weapon Dungeon",Inputs!$B$4="Equipment Dungeon",Inputs!$B$4="Enhancement Dungeon",Inputs!$B$4="EXP Dungeon",Inputs!$B$4="Hero Dungeon"),3,1),0)+IF(IF(ArtifactsInput!$M$26,FALSE,TRUE),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419">
      <c r="A2419">
        <f>Skills!A3</f>
        <v/>
      </c>
      <c r="B2419">
        <f>Skills!B3</f>
        <v/>
      </c>
      <c r="C2419">
        <f>Inputs!$B$3&gt;=35</f>
        <v/>
      </c>
      <c r="D2419">
        <f>IF(Skills!C3=1,60+Inputs!$B$25+Inputs!$B$29,IF(Skills!C3=2,90+Inputs!$B$26+Inputs!$B$29,IF(Skills!C3=3,120+Inputs!$B$27+Inputs!$B$29,MAX(0,(Inputs!$B$3-100)*3)+Inputs!$B$28+Inputs!$B$29)))</f>
        <v/>
      </c>
      <c r="E2419">
        <f>INDEX(FactorTable!$B$2:$Y$301, MATCH(ROUND(MIN(300,MAX(1,D2419)),0), FactorTable!$A$2:$A$301,0), Skills!M3+1)</f>
        <v/>
      </c>
      <c r="F2419">
        <f>IF(Skills!N3=TRUE,(Skills!L3/10)*(E2419/1000),Skills!L3/10)+Skills!O3</f>
        <v/>
      </c>
      <c r="G2419">
        <f>Skills!G3*IF(Skills!H3&gt;0,IF(Inputs!$B$39="pvp",MIN(Skills!I3,15),Skills!I3)/Skills!H3,1)</f>
        <v/>
      </c>
      <c r="H2419">
        <f>1-(1-Skills!J3/100)^Skills!K3</f>
        <v/>
      </c>
      <c r="I2419" t="inlineStr">
        <is>
          <t>1</t>
        </is>
      </c>
      <c r="J2419" t="inlineStr"/>
      <c r="K2419" t="inlineStr"/>
      <c r="L2419" t="inlineStr"/>
      <c r="M2419" t="inlineStr"/>
      <c r="N2419" t="inlineStr"/>
      <c r="O2419">
        <f>(1-Summary!$B$11)*T2419+Summary!$B$11*V2419</f>
        <v/>
      </c>
      <c r="P2419">
        <f>IF(B2462=0,0,O2419/B2462)</f>
        <v/>
      </c>
      <c r="Q2419" t="n">
        <v>0</v>
      </c>
      <c r="R2419" t="n">
        <v>0</v>
      </c>
      <c r="S2419">
        <f>IFERROR(O2419/N2419,0)</f>
        <v/>
      </c>
      <c r="T2419" t="n">
        <v>0</v>
      </c>
      <c r="U2419">
        <f>INDEX(FactorTable!$B$2:$Y$301, MATCH(ROUND(MIN(300,MAX(1,U2418)),0), FactorTable!$A$2:$A$301,0), 22)</f>
        <v/>
      </c>
      <c r="V2419" t="n">
        <v>0</v>
      </c>
    </row>
    <row r="2420">
      <c r="A2420">
        <f>Skills!A4</f>
        <v/>
      </c>
      <c r="B2420">
        <f>Skills!B4</f>
        <v/>
      </c>
      <c r="C2420">
        <f>Inputs!$B$3&gt;=66</f>
        <v/>
      </c>
      <c r="D2420">
        <f>IF(Skills!C4=1,60+Inputs!$B$25+Inputs!$B$29,IF(Skills!C4=2,90+Inputs!$B$26+Inputs!$B$29,IF(Skills!C4=3,120+Inputs!$B$27+Inputs!$B$29,MAX(0,(Inputs!$B$3-100)*3)+Inputs!$B$28+Inputs!$B$29)))</f>
        <v/>
      </c>
      <c r="E2420">
        <f>INDEX(FactorTable!$B$2:$Y$301, MATCH(ROUND(MIN(300,MAX(1,D2420)),0), FactorTable!$A$2:$A$301,0), Skills!M4+1)</f>
        <v/>
      </c>
      <c r="F2420">
        <f>IF(Skills!N4=TRUE,(Skills!L4/10)*(E2420/1000),Skills!L4/10)+Skills!O4</f>
        <v/>
      </c>
      <c r="G2420">
        <f>Skills!G4*IF(Skills!H4&gt;0,IF(Inputs!$B$39="pvp",MIN(Skills!I4,15),Skills!I4)/Skills!H4,1)</f>
        <v/>
      </c>
      <c r="H2420">
        <f>1-(1-Skills!J4/100)^Skills!K4</f>
        <v/>
      </c>
      <c r="I2420" t="inlineStr">
        <is>
          <t>1</t>
        </is>
      </c>
      <c r="J2420">
        <f>((Inputs!$B$6*(1+Inputs!$B$7/100))+(((Inputs!$B$12*(1+Inputs!$B$13/100))-(Inputs!$B$12*(1+Inputs!$B$13/100)))+0.25*(Inputs!$B$14-Inputs!$B$14))*(1+Inputs!$B$7/100))*(F2420/100)</f>
        <v/>
      </c>
      <c r="K2420">
        <f>J2420*(1+((Inputs!$B$12*(1+Inputs!$B$13/100))*0.01+Inputs!$B$14*0.0025)/100)*(1+Inputs!$B$15/100)*(1+Inputs!$B$16/100)*(5000/(6000+Inputs!$B$43*(1-(100*(1-(1-Inputs!$B$19/100)*(1-CHOOSE(ArtifactsInput!$N$40+1,5,6,7,8,9,10)/100)^(ArtifactsInput!$M$40-ArtifactsInput!$M$40)))/100)))*(1+(Inputs!$B$24+((C2447=TRUE)*(F2447-Calc!F31))+((C2434=TRUE)*(F2434-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4="CRUEL_STAB",Inputs!$B$17+((C2444=TRUE)*(F2444-Calc!F28))+((IF(AND(Inputs!$B$39&lt;&gt;"pvp",Inputs!$B$44=0),1,IF(IF(Inputs!$B$39="pvp",15,Inputs!$B$44)-(B2461)&lt;=0,1,MAX(0,IF(Inputs!$B$39="pvp",15,Inputs!$B$44)-MAX(5,B2461))/(IF(Inputs!$B$39="pvp",15,Inputs!$B$44)-(B2461))))*(IF(AND(ArtifactsInput!$M$42,((Inputs!$B$9+((C2442=TRUE)*(F2442-Calc!F26))+B2450+(ArtifactsInput!$M$24-ArtifactsInput!$M$24)*CHOOSE(ArtifactsInput!$N$24+1,10,12,14,16,18,20)+IF(ArtifactsInput!$M$10,CHOOSE(ArtifactsInput!$N$10+1,15,18,21,24,27,30)*(IF(Inputs!$B$39="pvp",MIN(15,15)/15,IF(AND(Inputs!$B$39&lt;&gt;"pvp",Inputs!$B$44&gt;0),MIN(15,Inputs!$B$44)/(Inputs!$B$44),0))),0)))&gt;=100),MIN(100,((Inputs!$B$9+((C2442=TRUE)*(F2442-Calc!F26))+B2450+(ArtifactsInput!$M$24-ArtifactsInput!$M$24)*CHOOSE(ArtifactsInput!$N$24+1,10,12,14,16,18,20)+IF(ArtifactsInput!$M$10,CHOOSE(ArtifactsInput!$N$10+1,15,18,21,24,27,30)*(IF(Inputs!$B$39="pvp",MIN(15,15)/15,IF(AND(Inputs!$B$39&lt;&gt;"pvp",Inputs!$B$44&gt;0),MIN(15,Inputs!$B$44)/(Inputs!$B$44),0))),0)))-100),0))*CHOOSE(ArtifactsInput!$N$42+1,0.6,0.72,0.84,0.96,1.08,1.2))),Inputs!$B$18+((C2445=TRUE)*(F2445-Calc!F29))+(IF(AND(Inputs!$B$39&lt;&gt;"pvp",Inputs!$B$44=0),1,IF(IF(Inputs!$B$39="pvp",15,Inputs!$B$44)-(B2461)&lt;=0,1,MAX(0,IF(Inputs!$B$39="pvp",15,Inputs!$B$44)-MAX(5,B2461))/(IF(Inputs!$B$39="pvp",15,Inputs!$B$44)-(B2461))))*IF(AND(ArtifactsInput!$M$42,((Inputs!$B$9+((C2442=TRUE)*(F2442-Calc!F26))+B2450+(ArtifactsInput!$M$24-ArtifactsInput!$M$24)*CHOOSE(ArtifactsInput!$N$24+1,10,12,14,16,18,20)+IF(ArtifactsInput!$M$10,CHOOSE(ArtifactsInput!$N$10+1,15,18,21,24,27,30)*(IF(Inputs!$B$39="pvp",MIN(15,15)/15,IF(AND(Inputs!$B$39&lt;&gt;"pvp",Inputs!$B$44&gt;0),MIN(15,Inputs!$B$44)/(Inputs!$B$44),0))),0)))&gt;=100),CHOOSE(ArtifactsInput!$N$42+1,40,48,56,64,72,80),0))))/100)*(((1+(((C2438=TRUE)*F2438*IF(AND(Inputs!$B$39&lt;&gt;"pvp",Inputs!$B$44&gt;0),(((R2438-1)*MIN((Skills!Y22*(1+Inputs!$B$34/100)),(1/Q2438))+MIN((Skills!Y22*(1+Inputs!$B$34/100)),MAX(0,Inputs!$B$44-((R2438-1)*(1/Q2438)))))/Inputs!$B$44),IF(Inputs!$B$39="pvp",MIN((Skills!Y22*(1+Inputs!$B$34/100)),15)/15,MIN(1,(Skills!Y22*(1+Inputs!$B$34/100))/(1/Q2438)))))+((C2419=TRUE)*F2419*3)+((C2421=TRUE)*F2421*(1-EXP(-0.75*B2454*5)))+((C2440=TRUE)*(F2440-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2427=TRUE)*F2427*IF(AND(Inputs!$B$39&lt;&gt;"pvp",Inputs!$B$44&gt;0),(((R2427-1)*MIN((Skills!Y11*(1+Inputs!$B$34/100)),(1/Q2427))+MIN((Skills!Y11*(1+Inputs!$B$34/100)),MAX(0,Inputs!$B$44-((R2427-1)*(1/Q2427)))))/Inputs!$B$44),IF(Inputs!$B$39="pvp",MIN((Skills!Y11*(1+Inputs!$B$34/100)),15)/15,MIN(1,(Skills!Y11*(1+Inputs!$B$34/100))/(1/Q2427)))))/100)*(1+((C2432=TRUE)*F2432*IF(AND(Inputs!$B$39&lt;&gt;"pvp",Inputs!$B$44&gt;0),(((R2432-1)*MIN((Skills!Y16*(1+Inputs!$B$34/100)),(1/Q2432))+MIN((Skills!Y16*(1+Inputs!$B$34/100)),MAX(0,Inputs!$B$44-((R2432-1)*(1/Q2432)))))/Inputs!$B$44),IF(Inputs!$B$39="pvp",MIN((Skills!Y16*(1+Inputs!$B$34/100)),15)/15,MIN(1,(Skills!Y16*(1+Inputs!$B$34/100))/(1/Q2432)))))/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2452*I2420)</f>
        <v/>
      </c>
      <c r="L2420">
        <f>K2420*(MIN(Inputs!$B$22+((C2441=TRUE)*(F2441-Calc!F25)),(Inputs!$B$23+((C2446=TRUE)*(F2446-Calc!F30))+IF(ArtifactsInput!$M$15,CHOOSE(ArtifactsInput!$N$15+1,25,30,35,40,45,50)/100*(Inputs!$B$11-Inputs!$B$11),0)))/100+(Inputs!$B$23+((C2446=TRUE)*(F2446-Calc!F30))+IF(ArtifactsInput!$M$15,CHOOSE(ArtifactsInput!$N$15+1,25,30,35,40,45,50)/100*(Inputs!$B$11-Inputs!$B$11),0))/100)/2</f>
        <v/>
      </c>
      <c r="M2420">
        <f>L2420*(1+(Inputs!$B$10+((C2443=TRUE)*(F2443-Calc!F27))+B2457+(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2420">
        <f>L2420*(1-MIN((Inputs!$B$9+((C2442=TRUE)*(F2442-Calc!F26))+B2450+(ArtifactsInput!$M$24-ArtifactsInput!$M$24)*CHOOSE(ArtifactsInput!$N$24+1,10,12,14,16,18,20)+(IF(AND(Inputs!$B$39&lt;&gt;"pvp",Inputs!$B$44=0),1,IF(IF(Inputs!$B$39="pvp",15,Inputs!$B$44)-(B2461)&lt;=0,1,MAX(0,IF(Inputs!$B$39="pvp",15,Inputs!$B$44)-MAX(5,B2461))/(IF(Inputs!$B$39="pvp",15,Inputs!$B$44)-(B2461))))*IF(AND(ArtifactsInput!$M$42,((Inputs!$B$9+((C2442=TRUE)*(F2442-Calc!F26))+B2450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2420*(MIN((Inputs!$B$9+((C2442=TRUE)*(F2442-Calc!F26))+B2450+(ArtifactsInput!$M$24-ArtifactsInput!$M$24)*CHOOSE(ArtifactsInput!$N$24+1,10,12,14,16,18,20)+(IF(AND(Inputs!$B$39&lt;&gt;"pvp",Inputs!$B$44=0),1,IF(IF(Inputs!$B$39="pvp",15,Inputs!$B$44)-(B2461)&lt;=0,1,MAX(0,IF(Inputs!$B$39="pvp",15,Inputs!$B$44)-MAX(5,B2461))/(IF(Inputs!$B$39="pvp",15,Inputs!$B$44)-(B2461))))*IF(AND(ArtifactsInput!$M$42,((Inputs!$B$9+((C2442=TRUE)*(F2442-Calc!F26))+B2450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420">
        <f>(1-Summary!$B$11)*T2420+Summary!$B$11*V2420</f>
        <v/>
      </c>
      <c r="P2420">
        <f>IF(B2462=0,0,O2420/B2462)</f>
        <v/>
      </c>
      <c r="Q2420">
        <f>IFERROR(1/IF(Inputs!$B$39="pvp",15,MAX(0.1,Skills!D4-IF(TRUE=TRUE,Inputs!$B$32,0))),0)</f>
        <v/>
      </c>
      <c r="R2420">
        <f>IF(AND(Inputs!$B$39&lt;&gt;"pvp",Inputs!$B$44&gt;0),IF(MAX(0,Inputs!$B$44-B2461)&lt;=0,0,(INT(MAX(0,Inputs!$B$44-B2461)/IF(Inputs!$B$39="pvp",15,MAX(0.1,Skills!D4-IF(TRUE=TRUE,Inputs!$B$32,0))))+1)),0)</f>
        <v/>
      </c>
      <c r="S2420">
        <f>IFERROR(O2420/N2420,0)</f>
        <v/>
      </c>
      <c r="T2420">
        <f>IF(C2420,(H2420*N2420*IF(AND(Inputs!$B$39&lt;&gt;"pvp",Inputs!$B$44&gt;0),((Skills!G4*((R2420-1)*IF(Skills!H4&gt;0,Skills!I4/Skills!H4,1)+IF(Skills!H4&gt;0,MIN(Skills!I4,MAX(0,MAX(0,Inputs!$B$44-B2461)-((R2420-1)*IF(Inputs!$B$39="pvp",15,MAX(0.1,Skills!D4-IF(TRUE=TRUE,Inputs!$B$32,0))))))/Skills!H4,1)))/Inputs!$B$44),G2420*Q2420))*IF(Inputs!$B$39="pvp",1,1+(Inputs!$B$20+0+Skills!P4+B2451+(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Hunt"),CHOOSE(ArtifactsInput!$N$35+1,15,18,21,24,27,30)*(1-EXP(-(0.2*B2454)*5)),0)+IF(AND(ArtifactsInput!$M$22,Inputs!$B$4&lt;&gt;"Chapter Hunt"),CHOOSE(ArtifactsInput!$N$22+1,10,12,14,16,18,20)*((0*(((0.15*B2454*5))^0/1)+1*(((0.15*B2454*5))^1/1)+2*(((0.15*B2454*5))^2/2)+3*(((0.15*B2454*5))^3/6)+4*(((0.15*B2454*5))^4/24)+5*(((0.15*B2454*5))^5/120))/((((0.15*B2454*5))^0/1)+(((0.15*B2454*5))^1/1)+(((0.15*B2454*5))^2/2)+(((0.15*B2454*5))^3/6)+(((0.15*B2454*5))^4/24)+(((0.15*B2454*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2420*(1-MIN(100,(Inputs!$B$9+((C2442=TRUE)*(F2442-Calc!F26))+B2450+(ArtifactsInput!$M$24-ArtifactsInput!$M$24)*CHOOSE(ArtifactsInput!$N$24+1,10,12,14,16,18,20)+(IF(AND(Inputs!$B$39&lt;&gt;"pvp",Inputs!$B$44=0),1,IF(IF(Inputs!$B$39="pvp",15,Inputs!$B$44)-(B2461)&lt;=0,1,MAX(0,IF(Inputs!$B$39="pvp",15,Inputs!$B$44)-MAX(5,B2461))/(IF(Inputs!$B$39="pvp",15,Inputs!$B$44)-(B2461))))*IF(AND(ArtifactsInput!$M$42,((Inputs!$B$9+((C2442=TRUE)*(F2442-Calc!F26))+B2450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2420*(MIN(100,(Inputs!$B$9+((C2442=TRUE)*(F2442-Calc!F26))+B2450+(ArtifactsInput!$M$24-ArtifactsInput!$M$24)*CHOOSE(ArtifactsInput!$N$24+1,10,12,14,16,18,20)+(IF(AND(Inputs!$B$39&lt;&gt;"pvp",Inputs!$B$44=0),1,IF(IF(Inputs!$B$39="pvp",15,Inputs!$B$44)-(B2461)&lt;=0,1,MAX(0,IF(Inputs!$B$39="pvp",15,Inputs!$B$44)-MAX(5,B2461))/(IF(Inputs!$B$39="pvp",15,Inputs!$B$44)-(B2461))))*IF(AND(ArtifactsInput!$M$42,((Inputs!$B$9+((C2442=TRUE)*(F2442-Calc!F26))+B2450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2420*(1-MIN(100,(Inputs!$B$9+((C2442=TRUE)*(F2442-Calc!F26))+B2450+(ArtifactsInput!$M$24-ArtifactsInput!$M$24)*CHOOSE(ArtifactsInput!$N$24+1,10,12,14,16,18,20)+(IF(AND(Inputs!$B$39&lt;&gt;"pvp",Inputs!$B$44=0),1,IF(IF(Inputs!$B$39="pvp",15,Inputs!$B$44)-(B2461)&lt;=0,1,MAX(0,IF(Inputs!$B$39="pvp",15,Inputs!$B$44)-MAX(5,B2461))/(IF(Inputs!$B$39="pvp",15,Inputs!$B$44)-(B2461))))*IF(AND(ArtifactsInput!$M$42,((Inputs!$B$9+((C2442=TRUE)*(F2442-Calc!F26))+B2450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2420*(MIN(100,(Inputs!$B$9+((C2442=TRUE)*(F2442-Calc!F26))+B2450+(ArtifactsInput!$M$24-ArtifactsInput!$M$24)*CHOOSE(ArtifactsInput!$N$24+1,10,12,14,16,18,20)+(IF(AND(Inputs!$B$39&lt;&gt;"pvp",Inputs!$B$44=0),1,IF(IF(Inputs!$B$39="pvp",15,Inputs!$B$44)-(B2461)&lt;=0,1,MAX(0,IF(Inputs!$B$39="pvp",15,Inputs!$B$44)-MAX(5,B2461))/(IF(Inputs!$B$39="pvp",15,Inputs!$B$44)-(B2461))))*IF(AND(ArtifactsInput!$M$42,((Inputs!$B$9+((C2442=TRUE)*(F2442-Calc!F26))+B2450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IF(ArtifactsInput!$M$26,FALSE,TRUE),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2420">
        <f>290*U2419/1000</f>
        <v/>
      </c>
      <c r="V2420">
        <f>IF(C2420,(H2420*N2420*IF(AND(Inputs!$B$39&lt;&gt;"pvp",Inputs!$B$44&gt;0),((Skills!G4*((R2420-1)*IF(Skills!H4&gt;0,Skills!I4/Skills!H4,1)+IF(Skills!H4&gt;0,MIN(Skills!I4,MAX(0,MAX(0,Inputs!$B$44-B2461)-((R2420-1)*IF(Inputs!$B$39="pvp",15,MAX(0.1,Skills!D4-IF(TRUE=TRUE,Inputs!$B$32,0))))))/Skills!H4,1)))/Inputs!$B$44),G2420*Q2420))*IF(Inputs!$B$39="pvp",1,(1+(Inputs!$B$21+Skills!Q4+B2451+(IF(ArtifactsInput!$M$33,CHOOSE(ArtifactsInput!$N$33+1,30,36,42,48,54,60),0))+(IF(AND(ArtifactsInput!$M$35,Inputs!$B$4&lt;&gt;"Chapter Hunt"),CHOOSE(ArtifactsInput!$N$35+1,15,18,21,24,27,30)*(1-EXP(-(0.2*B2454)*5)),0)+IF(AND(ArtifactsInput!$M$22,Inputs!$B$4&lt;&gt;"Chapter Hunt"),CHOOSE(ArtifactsInput!$N$22+1,10,12,14,16,18,20)*((0*(((0.15*B2454*5))^0/1)+1*(((0.15*B2454*5))^1/1)+2*(((0.15*B2454*5))^2/2)+3*(((0.15*B2454*5))^3/6)+4*(((0.15*B2454*5))^4/24)+5*(((0.15*B2454*5))^5/120))/((((0.15*B2454*5))^0/1)+(((0.15*B2454*5))^1/1)+(((0.15*B2454*5))^2/2)+(((0.15*B2454*5))^3/6)+(((0.15*B2454*5))^4/24)+(((0.15*B2454*5))^5/120))),0)))/100)*(MIN(MIN(10,IF(Inputs!$B$3&gt;=75,0.75,0.5)*B2454*(1/Q2420)),Inputs!$B$37)))*((1+(IF(AND(ArtifactsInput!$M$41,Inputs!$B$39&lt;&gt;"pvp"),CHOOSE(ArtifactsInput!$N$41+1,5,6,7,8,9,10)*IF(OR(Inputs!$B$4="Weapon Dungeon",Inputs!$B$4="Equipment Dungeon",Inputs!$B$4="Enhancement Dungeon",Inputs!$B$4="EXP Dungeon",Inputs!$B$4="Hero Dungeon"),3,1),0)+IF(IF(ArtifactsInput!$M$26,FALSE,TRUE),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421">
      <c r="A2421">
        <f>Skills!A5</f>
        <v/>
      </c>
      <c r="B2421">
        <f>Skills!B5</f>
        <v/>
      </c>
      <c r="C2421">
        <f>Inputs!$B$3&gt;=75</f>
        <v/>
      </c>
      <c r="D2421">
        <f>IF(Skills!C5=1,60+Inputs!$B$25+Inputs!$B$29,IF(Skills!C5=2,90+Inputs!$B$26+Inputs!$B$29,IF(Skills!C5=3,120+Inputs!$B$27+Inputs!$B$29,MAX(0,(Inputs!$B$3-100)*3)+Inputs!$B$28+Inputs!$B$29)))</f>
        <v/>
      </c>
      <c r="E2421">
        <f>INDEX(FactorTable!$B$2:$Y$301, MATCH(ROUND(MIN(300,MAX(1,D2421)),0), FactorTable!$A$2:$A$301,0), Skills!M5+1)</f>
        <v/>
      </c>
      <c r="F2421">
        <f>IF(Skills!N5=TRUE,(Skills!L5/10)*(E2421/1000),Skills!L5/10)+Skills!O5</f>
        <v/>
      </c>
      <c r="G2421">
        <f>Skills!G5*IF(Skills!H5&gt;0,IF(Inputs!$B$39="pvp",MIN(Skills!I5,15),Skills!I5)/Skills!H5,1)</f>
        <v/>
      </c>
      <c r="H2421">
        <f>1-(1-Skills!J5/100)^Skills!K5</f>
        <v/>
      </c>
      <c r="I2421" t="inlineStr">
        <is>
          <t>1</t>
        </is>
      </c>
      <c r="J2421" t="inlineStr"/>
      <c r="K2421" t="inlineStr"/>
      <c r="L2421" t="inlineStr"/>
      <c r="M2421" t="inlineStr"/>
      <c r="N2421" t="inlineStr"/>
      <c r="O2421">
        <f>(1-Summary!$B$11)*T2421+Summary!$B$11*V2421</f>
        <v/>
      </c>
      <c r="P2421">
        <f>IF(B2462=0,0,O2421/B2462)</f>
        <v/>
      </c>
      <c r="Q2421" t="n">
        <v>0</v>
      </c>
      <c r="R2421" t="n">
        <v>0</v>
      </c>
      <c r="S2421">
        <f>IFERROR(O2421/N2421,0)</f>
        <v/>
      </c>
      <c r="T2421" t="n">
        <v>0</v>
      </c>
      <c r="V2421" t="n">
        <v>0</v>
      </c>
    </row>
    <row r="2422">
      <c r="A2422">
        <f>Skills!A6</f>
        <v/>
      </c>
      <c r="B2422">
        <f>Skills!B6</f>
        <v/>
      </c>
      <c r="C2422">
        <f>Inputs!$B$3&gt;=63</f>
        <v/>
      </c>
      <c r="D2422">
        <f>IF(Skills!C6=1,60+Inputs!$B$25+Inputs!$B$29,IF(Skills!C6=2,90+Inputs!$B$26+Inputs!$B$29,IF(Skills!C6=3,120+Inputs!$B$27+Inputs!$B$29,MAX(0,(Inputs!$B$3-100)*3)+Inputs!$B$28+Inputs!$B$29)))</f>
        <v/>
      </c>
      <c r="E2422">
        <f>INDEX(FactorTable!$B$2:$Y$301, MATCH(ROUND(MIN(300,MAX(1,D2422)),0), FactorTable!$A$2:$A$301,0), Skills!M6+1)</f>
        <v/>
      </c>
      <c r="F2422">
        <f>IF(Skills!N6=TRUE,(Skills!L6/10)*(E2422/1000),Skills!L6/10)+Skills!O6</f>
        <v/>
      </c>
      <c r="G2422">
        <f>Skills!G6*IF(Skills!H6&gt;0,IF(Inputs!$B$39="pvp",MIN(Skills!I6,15),Skills!I6)/Skills!H6,1)</f>
        <v/>
      </c>
      <c r="H2422">
        <f>1-(1-Skills!J6/100)^Skills!K6</f>
        <v/>
      </c>
      <c r="I2422" t="inlineStr">
        <is>
          <t>1</t>
        </is>
      </c>
      <c r="J2422">
        <f>((Inputs!$B$6*(1+Inputs!$B$7/100))+(((Inputs!$B$12*(1+Inputs!$B$13/100))-(Inputs!$B$12*(1+Inputs!$B$13/100)))+0.25*(Inputs!$B$14-Inputs!$B$14))*(1+Inputs!$B$7/100))*(F2422/100)</f>
        <v/>
      </c>
      <c r="K2422">
        <f>J2422*(1+((Inputs!$B$12*(1+Inputs!$B$13/100))*0.01+Inputs!$B$14*0.0025)/100)*(1+Inputs!$B$15/100)*(1+Inputs!$B$16/100)*(5000/(6000+Inputs!$B$43*(1-(100*(1-(1-Inputs!$B$19/100)*(1-CHOOSE(ArtifactsInput!$N$40+1,5,6,7,8,9,10)/100)^(ArtifactsInput!$M$40-ArtifactsInput!$M$40)))/100)))*(1+(Inputs!$B$24+((C2447=TRUE)*(F2447-Calc!F31))+((C2434=TRUE)*(F2434-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+2.6666666666666665*IF(C2435=TRUE,F2435,0)/100)*(1+(IF(Skills!A6="CRUEL_STAB",Inputs!$B$17+((C2444=TRUE)*(F2444-Calc!F28))+((IF(AND(Inputs!$B$39&lt;&gt;"pvp",Inputs!$B$44=0),1,IF(IF(Inputs!$B$39="pvp",15,Inputs!$B$44)-(B2461)&lt;=0,1,MAX(0,IF(Inputs!$B$39="pvp",15,Inputs!$B$44)-MAX(5,B2461))/(IF(Inputs!$B$39="pvp",15,Inputs!$B$44)-(B2461))))*(IF(AND(ArtifactsInput!$M$42,((Inputs!$B$9+((C2442=TRUE)*(F2442-Calc!F26))+B2450+(ArtifactsInput!$M$24-ArtifactsInput!$M$24)*CHOOSE(ArtifactsInput!$N$24+1,10,12,14,16,18,20)+IF(ArtifactsInput!$M$10,CHOOSE(ArtifactsInput!$N$10+1,15,18,21,24,27,30)*(IF(Inputs!$B$39="pvp",MIN(15,15)/15,IF(AND(Inputs!$B$39&lt;&gt;"pvp",Inputs!$B$44&gt;0),MIN(15,Inputs!$B$44)/(Inputs!$B$44),0))),0)))&gt;=100),MIN(100,((Inputs!$B$9+((C2442=TRUE)*(F2442-Calc!F26))+B2450+(ArtifactsInput!$M$24-ArtifactsInput!$M$24)*CHOOSE(ArtifactsInput!$N$24+1,10,12,14,16,18,20)+IF(ArtifactsInput!$M$10,CHOOSE(ArtifactsInput!$N$10+1,15,18,21,24,27,30)*(IF(Inputs!$B$39="pvp",MIN(15,15)/15,IF(AND(Inputs!$B$39&lt;&gt;"pvp",Inputs!$B$44&gt;0),MIN(15,Inputs!$B$44)/(Inputs!$B$44),0))),0)))-100),0))*CHOOSE(ArtifactsInput!$N$42+1,0.6,0.72,0.84,0.96,1.08,1.2))),Inputs!$B$18+((C2445=TRUE)*(F2445-Calc!F29))+(IF(AND(Inputs!$B$39&lt;&gt;"pvp",Inputs!$B$44=0),1,IF(IF(Inputs!$B$39="pvp",15,Inputs!$B$44)-(B2461)&lt;=0,1,MAX(0,IF(Inputs!$B$39="pvp",15,Inputs!$B$44)-MAX(5,B2461))/(IF(Inputs!$B$39="pvp",15,Inputs!$B$44)-(B2461))))*IF(AND(ArtifactsInput!$M$42,((Inputs!$B$9+((C2442=TRUE)*(F2442-Calc!F26))+B2450+(ArtifactsInput!$M$24-ArtifactsInput!$M$24)*CHOOSE(ArtifactsInput!$N$24+1,10,12,14,16,18,20)+IF(ArtifactsInput!$M$10,CHOOSE(ArtifactsInput!$N$10+1,15,18,21,24,27,30)*(IF(Inputs!$B$39="pvp",MIN(15,15)/15,IF(AND(Inputs!$B$39&lt;&gt;"pvp",Inputs!$B$44&gt;0),MIN(15,Inputs!$B$44)/(Inputs!$B$44),0))),0)))&gt;=100),CHOOSE(ArtifactsInput!$N$42+1,40,48,56,64,72,80),0))))/100)*(((1+(((C2438=TRUE)*F2438*IF(AND(Inputs!$B$39&lt;&gt;"pvp",Inputs!$B$44&gt;0),(((R2438-1)*MIN((Skills!Y22*(1+Inputs!$B$34/100)),(1/Q2438))+MIN((Skills!Y22*(1+Inputs!$B$34/100)),MAX(0,Inputs!$B$44-((R2438-1)*(1/Q2438)))))/Inputs!$B$44),IF(Inputs!$B$39="pvp",MIN((Skills!Y22*(1+Inputs!$B$34/100)),15)/15,MIN(1,(Skills!Y22*(1+Inputs!$B$34/100))/(1/Q2438)))))+((C2419=TRUE)*F2419*3)+((C2421=TRUE)*F2421*(1-EXP(-0.75*B2454*5)))+((C2440=TRUE)*(F2440-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2427=TRUE)*F2427*IF(AND(Inputs!$B$39&lt;&gt;"pvp",Inputs!$B$44&gt;0),(((R2427-1)*MIN((Skills!Y11*(1+Inputs!$B$34/100)),(1/Q2427))+MIN((Skills!Y11*(1+Inputs!$B$34/100)),MAX(0,Inputs!$B$44-((R2427-1)*(1/Q2427)))))/Inputs!$B$44),IF(Inputs!$B$39="pvp",MIN((Skills!Y11*(1+Inputs!$B$34/100)),15)/15,MIN(1,(Skills!Y11*(1+Inputs!$B$34/100))/(1/Q2427)))))/100)*(1+((C2432=TRUE)*F2432*IF(AND(Inputs!$B$39&lt;&gt;"pvp",Inputs!$B$44&gt;0),(((R2432-1)*MIN((Skills!Y16*(1+Inputs!$B$34/100)),(1/Q2432))+MIN((Skills!Y16*(1+Inputs!$B$34/100)),MAX(0,Inputs!$B$44-((R2432-1)*(1/Q2432)))))/Inputs!$B$44),IF(Inputs!$B$39="pvp",MIN((Skills!Y16*(1+Inputs!$B$34/100)),15)/15,MIN(1,(Skills!Y16*(1+Inputs!$B$34/100))/(1/Q2432)))))/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2452*I2422)</f>
        <v/>
      </c>
      <c r="L2422">
        <f>K2422*(MIN(Inputs!$B$22+((C2441=TRUE)*(F2441-Calc!F25)),(Inputs!$B$23+((C2446=TRUE)*(F2446-Calc!F30))+IF(ArtifactsInput!$M$15,CHOOSE(ArtifactsInput!$N$15+1,25,30,35,40,45,50)/100*(Inputs!$B$11-Inputs!$B$11),0)))/100+(Inputs!$B$23+((C2446=TRUE)*(F2446-Calc!F30))+IF(ArtifactsInput!$M$15,CHOOSE(ArtifactsInput!$N$15+1,25,30,35,40,45,50)/100*(Inputs!$B$11-Inputs!$B$11),0))/100)/2</f>
        <v/>
      </c>
      <c r="M2422">
        <f>L2422*(1+(Inputs!$B$10+((C2443=TRUE)*(F2443-Calc!F27))+B2457+(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2422">
        <f>L2422*(1-MIN((Inputs!$B$9+((C2442=TRUE)*(F2442-Calc!F26))+B2450+(ArtifactsInput!$M$24-ArtifactsInput!$M$24)*CHOOSE(ArtifactsInput!$N$24+1,10,12,14,16,18,20)+(IF(AND(Inputs!$B$39&lt;&gt;"pvp",Inputs!$B$44=0),1,IF(IF(Inputs!$B$39="pvp",15,Inputs!$B$44)-(B2461)&lt;=0,1,MAX(0,IF(Inputs!$B$39="pvp",15,Inputs!$B$44)-MAX(5,B2461))/(IF(Inputs!$B$39="pvp",15,Inputs!$B$44)-(B2461))))*IF(AND(ArtifactsInput!$M$42,((Inputs!$B$9+((C2442=TRUE)*(F2442-Calc!F26))+B2450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2422*(MIN((Inputs!$B$9+((C2442=TRUE)*(F2442-Calc!F26))+B2450+(ArtifactsInput!$M$24-ArtifactsInput!$M$24)*CHOOSE(ArtifactsInput!$N$24+1,10,12,14,16,18,20)+(IF(AND(Inputs!$B$39&lt;&gt;"pvp",Inputs!$B$44=0),1,IF(IF(Inputs!$B$39="pvp",15,Inputs!$B$44)-(B2461)&lt;=0,1,MAX(0,IF(Inputs!$B$39="pvp",15,Inputs!$B$44)-MAX(5,B2461))/(IF(Inputs!$B$39="pvp",15,Inputs!$B$44)-(B2461))))*IF(AND(ArtifactsInput!$M$42,((Inputs!$B$9+((C2442=TRUE)*(F2442-Calc!F26))+B2450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422">
        <f>(1-Summary!$B$11)*T2422+Summary!$B$11*V2422</f>
        <v/>
      </c>
      <c r="P2422">
        <f>IF(B2462=0,0,O2422/B2462)</f>
        <v/>
      </c>
      <c r="Q2422">
        <f>IFERROR(1/IF(Inputs!$B$39="pvp",15,MAX(0.1,Skills!D6-IF(TRUE=TRUE,Inputs!$B$32,0))),0)</f>
        <v/>
      </c>
      <c r="R2422">
        <f>IF(AND(Inputs!$B$39&lt;&gt;"pvp",Inputs!$B$44&gt;0),IF(MAX(0,Inputs!$B$44-B2461)&lt;=0,0,(INT(MAX(0,Inputs!$B$44-B2461)/IF(Inputs!$B$39="pvp",15,MAX(0.1,Skills!D6-IF(TRUE=TRUE,Inputs!$B$32,0))))+1)),0)</f>
        <v/>
      </c>
      <c r="S2422">
        <f>IFERROR(O2422/N2422,0)</f>
        <v/>
      </c>
      <c r="T2422">
        <f>IF(C2422,(H2422*N2422*IF(AND(Inputs!$B$39&lt;&gt;"pvp",Inputs!$B$44&gt;0),((Skills!G6*((R2422-1)*IF(Skills!H6&gt;0,Skills!I6/Skills!H6,1)+IF(Skills!H6&gt;0,MIN(Skills!I6,MAX(0,MAX(0,Inputs!$B$44-B2461)-((R2422-1)*IF(Inputs!$B$39="pvp",15,MAX(0.1,Skills!D6-IF(TRUE=TRUE,Inputs!$B$32,0))))))/Skills!H6,1)))/Inputs!$B$44),G2422*Q2422))*IF(Inputs!$B$39="pvp",1,1+(Inputs!$B$20+0+Skills!P6+B2451+(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Hunt"),CHOOSE(ArtifactsInput!$N$35+1,15,18,21,24,27,30)*(1-EXP(-(0.2*B2454)*5)),0)+IF(AND(ArtifactsInput!$M$22,Inputs!$B$4&lt;&gt;"Chapter Hunt"),CHOOSE(ArtifactsInput!$N$22+1,10,12,14,16,18,20)*((0*(((0.15*B2454*5))^0/1)+1*(((0.15*B2454*5))^1/1)+2*(((0.15*B2454*5))^2/2)+3*(((0.15*B2454*5))^3/6)+4*(((0.15*B2454*5))^4/24)+5*(((0.15*B2454*5))^5/120))/((((0.15*B2454*5))^0/1)+(((0.15*B2454*5))^1/1)+(((0.15*B2454*5))^2/2)+(((0.15*B2454*5))^3/6)+(((0.15*B2454*5))^4/24)+(((0.15*B2454*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2422*(1-MIN(100,(Inputs!$B$9+((C2442=TRUE)*(F2442-Calc!F26))+B2450+(ArtifactsInput!$M$24-ArtifactsInput!$M$24)*CHOOSE(ArtifactsInput!$N$24+1,10,12,14,16,18,20)+(IF(AND(Inputs!$B$39&lt;&gt;"pvp",Inputs!$B$44=0),1,IF(IF(Inputs!$B$39="pvp",15,Inputs!$B$44)-(B2461)&lt;=0,1,MAX(0,IF(Inputs!$B$39="pvp",15,Inputs!$B$44)-MAX(5,B2461))/(IF(Inputs!$B$39="pvp",15,Inputs!$B$44)-(B2461))))*IF(AND(ArtifactsInput!$M$42,((Inputs!$B$9+((C2442=TRUE)*(F2442-Calc!F26))+B2450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2422*(MIN(100,(Inputs!$B$9+((C2442=TRUE)*(F2442-Calc!F26))+B2450+(ArtifactsInput!$M$24-ArtifactsInput!$M$24)*CHOOSE(ArtifactsInput!$N$24+1,10,12,14,16,18,20)+(IF(AND(Inputs!$B$39&lt;&gt;"pvp",Inputs!$B$44=0),1,IF(IF(Inputs!$B$39="pvp",15,Inputs!$B$44)-(B2461)&lt;=0,1,MAX(0,IF(Inputs!$B$39="pvp",15,Inputs!$B$44)-MAX(5,B2461))/(IF(Inputs!$B$39="pvp",15,Inputs!$B$44)-(B2461))))*IF(AND(ArtifactsInput!$M$42,((Inputs!$B$9+((C2442=TRUE)*(F2442-Calc!F26))+B2450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2422*(1-MIN(100,(Inputs!$B$9+((C2442=TRUE)*(F2442-Calc!F26))+B2450+(ArtifactsInput!$M$24-ArtifactsInput!$M$24)*CHOOSE(ArtifactsInput!$N$24+1,10,12,14,16,18,20)+(IF(AND(Inputs!$B$39&lt;&gt;"pvp",Inputs!$B$44=0),1,IF(IF(Inputs!$B$39="pvp",15,Inputs!$B$44)-(B2461)&lt;=0,1,MAX(0,IF(Inputs!$B$39="pvp",15,Inputs!$B$44)-MAX(5,B2461))/(IF(Inputs!$B$39="pvp",15,Inputs!$B$44)-(B2461))))*IF(AND(ArtifactsInput!$M$42,((Inputs!$B$9+((C2442=TRUE)*(F2442-Calc!F26))+B2450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2422*(MIN(100,(Inputs!$B$9+((C2442=TRUE)*(F2442-Calc!F26))+B2450+(ArtifactsInput!$M$24-ArtifactsInput!$M$24)*CHOOSE(ArtifactsInput!$N$24+1,10,12,14,16,18,20)+(IF(AND(Inputs!$B$39&lt;&gt;"pvp",Inputs!$B$44=0),1,IF(IF(Inputs!$B$39="pvp",15,Inputs!$B$44)-(B2461)&lt;=0,1,MAX(0,IF(Inputs!$B$39="pvp",15,Inputs!$B$44)-MAX(5,B2461))/(IF(Inputs!$B$39="pvp",15,Inputs!$B$44)-(B2461))))*IF(AND(ArtifactsInput!$M$42,((Inputs!$B$9+((C2442=TRUE)*(F2442-Calc!F26))+B2450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IF(ArtifactsInput!$M$26,FALSE,TRUE),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422">
        <f>IF(C2422,(H2422*N2422*IF(AND(Inputs!$B$39&lt;&gt;"pvp",Inputs!$B$44&gt;0),((Skills!G6*((R2422-1)*IF(Skills!H6&gt;0,Skills!I6/Skills!H6,1)+IF(Skills!H6&gt;0,MIN(Skills!I6,MAX(0,MAX(0,Inputs!$B$44-B2461)-((R2422-1)*IF(Inputs!$B$39="pvp",15,MAX(0.1,Skills!D6-IF(TRUE=TRUE,Inputs!$B$32,0))))))/Skills!H6,1)))/Inputs!$B$44),G2422*Q2422))*IF(Inputs!$B$39="pvp",1,(1+(Inputs!$B$21+Skills!Q6+B2451+(IF(ArtifactsInput!$M$33,CHOOSE(ArtifactsInput!$N$33+1,30,36,42,48,54,60),0))+(IF(AND(ArtifactsInput!$M$35,Inputs!$B$4&lt;&gt;"Chapter Hunt"),CHOOSE(ArtifactsInput!$N$35+1,15,18,21,24,27,30)*(1-EXP(-(0.2*B2454)*5)),0)+IF(AND(ArtifactsInput!$M$22,Inputs!$B$4&lt;&gt;"Chapter Hunt"),CHOOSE(ArtifactsInput!$N$22+1,10,12,14,16,18,20)*((0*(((0.15*B2454*5))^0/1)+1*(((0.15*B2454*5))^1/1)+2*(((0.15*B2454*5))^2/2)+3*(((0.15*B2454*5))^3/6)+4*(((0.15*B2454*5))^4/24)+5*(((0.15*B2454*5))^5/120))/((((0.15*B2454*5))^0/1)+(((0.15*B2454*5))^1/1)+(((0.15*B2454*5))^2/2)+(((0.15*B2454*5))^3/6)+(((0.15*B2454*5))^4/24)+(((0.15*B2454*5))^5/120))),0)))/100)*(MIN(Skills!W6,Inputs!$B$37)))*((1+(IF(AND(ArtifactsInput!$M$41,Inputs!$B$39&lt;&gt;"pvp"),CHOOSE(ArtifactsInput!$N$41+1,5,6,7,8,9,10)*IF(OR(Inputs!$B$4="Weapon Dungeon",Inputs!$B$4="Equipment Dungeon",Inputs!$B$4="Enhancement Dungeon",Inputs!$B$4="EXP Dungeon",Inputs!$B$4="Hero Dungeon"),3,1),0)+IF(IF(ArtifactsInput!$M$26,FALSE,TRUE),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423">
      <c r="A2423">
        <f>Skills!A7</f>
        <v/>
      </c>
      <c r="B2423">
        <f>Skills!B7</f>
        <v/>
      </c>
      <c r="C2423">
        <f>Inputs!$B$3&gt;=69</f>
        <v/>
      </c>
      <c r="D2423">
        <f>IF(Skills!C7=1,60+Inputs!$B$25+Inputs!$B$29,IF(Skills!C7=2,90+Inputs!$B$26+Inputs!$B$29,IF(Skills!C7=3,120+Inputs!$B$27+Inputs!$B$29,MAX(0,(Inputs!$B$3-100)*3)+Inputs!$B$28+Inputs!$B$29)))</f>
        <v/>
      </c>
      <c r="E2423">
        <f>INDEX(FactorTable!$B$2:$Y$301, MATCH(ROUND(MIN(300,MAX(1,D2423)),0), FactorTable!$A$2:$A$301,0), Skills!M7+1)</f>
        <v/>
      </c>
      <c r="F2423">
        <f>IF(Skills!N7=TRUE,(Skills!L7/10)*(E2423/1000),Skills!L7/10)+Skills!O7</f>
        <v/>
      </c>
      <c r="G2423">
        <f>Skills!G7*IF(Skills!H7&gt;0,IF(Inputs!$B$39="pvp",MIN(Skills!I7,15),Skills!I7)/Skills!H7,1)</f>
        <v/>
      </c>
      <c r="H2423">
        <f>1-(1-Skills!J7/100)^Skills!K7</f>
        <v/>
      </c>
      <c r="I2423" t="inlineStr">
        <is>
          <t>1</t>
        </is>
      </c>
      <c r="J2423">
        <f>((Inputs!$B$6*(1+Inputs!$B$7/100))+(((Inputs!$B$12*(1+Inputs!$B$13/100))-(Inputs!$B$12*(1+Inputs!$B$13/100)))+0.25*(Inputs!$B$14-Inputs!$B$14))*(1+Inputs!$B$7/100))*(F2423/100)</f>
        <v/>
      </c>
      <c r="K2423">
        <f>J2423*(1+((Inputs!$B$12*(1+Inputs!$B$13/100))*0.01+Inputs!$B$14*0.0025)/100)*(1+Inputs!$B$15/100)*(1+Inputs!$B$16/100)*(5000/(6000+Inputs!$B$43*(1-(100*(1-(1-Inputs!$B$19/100)*(1-CHOOSE(ArtifactsInput!$N$40+1,5,6,7,8,9,10)/100)^(ArtifactsInput!$M$40-ArtifactsInput!$M$40)))/100)))*(1+(Inputs!$B$24+((C2447=TRUE)*(F2447-Calc!F31))+((C2434=TRUE)*(F2434-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2435=TRUE,F2435,0)/100)*(1+(IF(Skills!A7="CRUEL_STAB",Inputs!$B$17+((C2444=TRUE)*(F2444-Calc!F28))+((IF(AND(Inputs!$B$39&lt;&gt;"pvp",Inputs!$B$44=0),1,IF(IF(Inputs!$B$39="pvp",15,Inputs!$B$44)-(B2461)&lt;=0,1,MAX(0,IF(Inputs!$B$39="pvp",15,Inputs!$B$44)-MAX(5,B2461))/(IF(Inputs!$B$39="pvp",15,Inputs!$B$44)-(B2461))))*(IF(AND(ArtifactsInput!$M$42,((Inputs!$B$9+((C2442=TRUE)*(F2442-Calc!F26))+B2450+(ArtifactsInput!$M$24-ArtifactsInput!$M$24)*CHOOSE(ArtifactsInput!$N$24+1,10,12,14,16,18,20)+IF(ArtifactsInput!$M$10,CHOOSE(ArtifactsInput!$N$10+1,15,18,21,24,27,30)*(IF(Inputs!$B$39="pvp",MIN(15,15)/15,IF(AND(Inputs!$B$39&lt;&gt;"pvp",Inputs!$B$44&gt;0),MIN(15,Inputs!$B$44)/(Inputs!$B$44),0))),0)))&gt;=100),MIN(100,((Inputs!$B$9+((C2442=TRUE)*(F2442-Calc!F26))+B2450+(ArtifactsInput!$M$24-ArtifactsInput!$M$24)*CHOOSE(ArtifactsInput!$N$24+1,10,12,14,16,18,20)+IF(ArtifactsInput!$M$10,CHOOSE(ArtifactsInput!$N$10+1,15,18,21,24,27,30)*(IF(Inputs!$B$39="pvp",MIN(15,15)/15,IF(AND(Inputs!$B$39&lt;&gt;"pvp",Inputs!$B$44&gt;0),MIN(15,Inputs!$B$44)/(Inputs!$B$44),0))),0)))-100),0))*CHOOSE(ArtifactsInput!$N$42+1,0.6,0.72,0.84,0.96,1.08,1.2))),Inputs!$B$18+((C2445=TRUE)*(F2445-Calc!F29))+(IF(AND(Inputs!$B$39&lt;&gt;"pvp",Inputs!$B$44=0),1,IF(IF(Inputs!$B$39="pvp",15,Inputs!$B$44)-(B2461)&lt;=0,1,MAX(0,IF(Inputs!$B$39="pvp",15,Inputs!$B$44)-MAX(5,B2461))/(IF(Inputs!$B$39="pvp",15,Inputs!$B$44)-(B2461))))*IF(AND(ArtifactsInput!$M$42,((Inputs!$B$9+((C2442=TRUE)*(F2442-Calc!F26))+B2450+(ArtifactsInput!$M$24-ArtifactsInput!$M$24)*CHOOSE(ArtifactsInput!$N$24+1,10,12,14,16,18,20)+IF(ArtifactsInput!$M$10,CHOOSE(ArtifactsInput!$N$10+1,15,18,21,24,27,30)*(IF(Inputs!$B$39="pvp",MIN(15,15)/15,IF(AND(Inputs!$B$39&lt;&gt;"pvp",Inputs!$B$44&gt;0),MIN(15,Inputs!$B$44)/(Inputs!$B$44),0))),0)))&gt;=100),CHOOSE(ArtifactsInput!$N$42+1,40,48,56,64,72,80),0))))/100)*(((1+(((C2438=TRUE)*F2438*IF(AND(Inputs!$B$39&lt;&gt;"pvp",Inputs!$B$44&gt;0),(((R2438-1)*MIN((Skills!Y22*(1+Inputs!$B$34/100)),(1/Q2438))+MIN((Skills!Y22*(1+Inputs!$B$34/100)),MAX(0,Inputs!$B$44-((R2438-1)*(1/Q2438)))))/Inputs!$B$44),IF(Inputs!$B$39="pvp",MIN((Skills!Y22*(1+Inputs!$B$34/100)),15)/15,MIN(1,(Skills!Y22*(1+Inputs!$B$34/100))/(1/Q2438)))))+((C2419=TRUE)*F2419*3)+((C2421=TRUE)*F2421*(1-EXP(-0.75*B2454*5)))+((C2440=TRUE)*(F2440-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2427=TRUE)*F2427*IF(AND(Inputs!$B$39&lt;&gt;"pvp",Inputs!$B$44&gt;0),(((R2427-1)*MIN((Skills!Y11*(1+Inputs!$B$34/100)),(1/Q2427))+MIN((Skills!Y11*(1+Inputs!$B$34/100)),MAX(0,Inputs!$B$44-((R2427-1)*(1/Q2427)))))/Inputs!$B$44),IF(Inputs!$B$39="pvp",MIN((Skills!Y11*(1+Inputs!$B$34/100)),15)/15,MIN(1,(Skills!Y11*(1+Inputs!$B$34/100))/(1/Q2427)))))/100)*(1+((C2432=TRUE)*F2432*IF(AND(Inputs!$B$39&lt;&gt;"pvp",Inputs!$B$44&gt;0),(((R2432-1)*MIN((Skills!Y16*(1+Inputs!$B$34/100)),(1/Q2432))+MIN((Skills!Y16*(1+Inputs!$B$34/100)),MAX(0,Inputs!$B$44-((R2432-1)*(1/Q2432)))))/Inputs!$B$44),IF(Inputs!$B$39="pvp",MIN((Skills!Y16*(1+Inputs!$B$34/100)),15)/15,MIN(1,(Skills!Y16*(1+Inputs!$B$34/100))/(1/Q2432)))))/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2452*I2423)</f>
        <v/>
      </c>
      <c r="L2423">
        <f>K2423*(MIN(Inputs!$B$22+((C2441=TRUE)*(F2441-Calc!F25)),(Inputs!$B$23+((C2446=TRUE)*(F2446-Calc!F30))+IF(ArtifactsInput!$M$15,CHOOSE(ArtifactsInput!$N$15+1,25,30,35,40,45,50)/100*(Inputs!$B$11-Inputs!$B$11),0)))/100+(Inputs!$B$23+((C2446=TRUE)*(F2446-Calc!F30))+IF(ArtifactsInput!$M$15,CHOOSE(ArtifactsInput!$N$15+1,25,30,35,40,45,50)/100*(Inputs!$B$11-Inputs!$B$11),0))/100)/2</f>
        <v/>
      </c>
      <c r="M2423">
        <f>L2423*(1+(Inputs!$B$10+((C2443=TRUE)*(F2443-Calc!F27))+B2457+(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2423">
        <f>L2423*(1-MIN((Inputs!$B$9+((C2442=TRUE)*(F2442-Calc!F26))+B2450+(ArtifactsInput!$M$24-ArtifactsInput!$M$24)*CHOOSE(ArtifactsInput!$N$24+1,10,12,14,16,18,20)+(IF(AND(Inputs!$B$39&lt;&gt;"pvp",Inputs!$B$44=0),1,IF(IF(Inputs!$B$39="pvp",15,Inputs!$B$44)-(B2461)&lt;=0,1,MAX(0,IF(Inputs!$B$39="pvp",15,Inputs!$B$44)-MAX(5,B2461))/(IF(Inputs!$B$39="pvp",15,Inputs!$B$44)-(B2461))))*IF(AND(ArtifactsInput!$M$42,((Inputs!$B$9+((C2442=TRUE)*(F2442-Calc!F26))+B2450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2423*(MIN((Inputs!$B$9+((C2442=TRUE)*(F2442-Calc!F26))+B2450+(ArtifactsInput!$M$24-ArtifactsInput!$M$24)*CHOOSE(ArtifactsInput!$N$24+1,10,12,14,16,18,20)+(IF(AND(Inputs!$B$39&lt;&gt;"pvp",Inputs!$B$44=0),1,IF(IF(Inputs!$B$39="pvp",15,Inputs!$B$44)-(B2461)&lt;=0,1,MAX(0,IF(Inputs!$B$39="pvp",15,Inputs!$B$44)-MAX(5,B2461))/(IF(Inputs!$B$39="pvp",15,Inputs!$B$44)-(B2461))))*IF(AND(ArtifactsInput!$M$42,((Inputs!$B$9+((C2442=TRUE)*(F2442-Calc!F26))+B2450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423">
        <f>(1-Summary!$B$11)*T2423+Summary!$B$11*V2423</f>
        <v/>
      </c>
      <c r="P2423">
        <f>IF(B2462=0,0,O2423/B2462)</f>
        <v/>
      </c>
      <c r="Q2423">
        <f>IFERROR(1/IF(Inputs!$B$39="pvp",15,MAX(0.1,Skills!D7-IF(TRUE=TRUE,Inputs!$B$32,0))),0)</f>
        <v/>
      </c>
      <c r="R2423">
        <f>IF(AND(Inputs!$B$39&lt;&gt;"pvp",Inputs!$B$44&gt;0),IF(MAX(0,Inputs!$B$44-B2461)&lt;=0,0,(INT(MAX(0,Inputs!$B$44-B2461)/IF(Inputs!$B$39="pvp",15,MAX(0.1,Skills!D7-IF(TRUE=TRUE,Inputs!$B$32,0))))+1)),0)</f>
        <v/>
      </c>
      <c r="S2423">
        <f>IFERROR(O2423/N2423,0)</f>
        <v/>
      </c>
      <c r="T2423">
        <f>IF(C2423,(H2423*N2423*IF(AND(Inputs!$B$39&lt;&gt;"pvp",Inputs!$B$44&gt;0),((Skills!G7*((R2423-1)*IF(Skills!H7&gt;0,Skills!I7/Skills!H7,1)+IF(Skills!H7&gt;0,MIN(Skills!I7,MAX(0,MAX(0,Inputs!$B$44-B2461)-((R2423-1)*IF(Inputs!$B$39="pvp",15,MAX(0.1,Skills!D7-IF(TRUE=TRUE,Inputs!$B$32,0))))))/Skills!H7,1)))/Inputs!$B$44),G2423*Q2423))*IF(Inputs!$B$39="pvp",1,1+(Inputs!$B$20+0+Skills!P7+B2451+(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Hunt"),CHOOSE(ArtifactsInput!$N$35+1,15,18,21,24,27,30)*(1-EXP(-(0.2*B2454)*5)),0)+IF(AND(ArtifactsInput!$M$22,Inputs!$B$4&lt;&gt;"Chapter Hunt"),CHOOSE(ArtifactsInput!$N$22+1,10,12,14,16,18,20)*((0*(((0.15*B2454*5))^0/1)+1*(((0.15*B2454*5))^1/1)+2*(((0.15*B2454*5))^2/2)+3*(((0.15*B2454*5))^3/6)+4*(((0.15*B2454*5))^4/24)+5*(((0.15*B2454*5))^5/120))/((((0.15*B2454*5))^0/1)+(((0.15*B2454*5))^1/1)+(((0.15*B2454*5))^2/2)+(((0.15*B2454*5))^3/6)+(((0.15*B2454*5))^4/24)+(((0.15*B2454*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2423*(1-MIN(100,(Inputs!$B$9+((C2442=TRUE)*(F2442-Calc!F26))+B2450+(ArtifactsInput!$M$24-ArtifactsInput!$M$24)*CHOOSE(ArtifactsInput!$N$24+1,10,12,14,16,18,20)+(IF(AND(Inputs!$B$39&lt;&gt;"pvp",Inputs!$B$44=0),1,IF(IF(Inputs!$B$39="pvp",15,Inputs!$B$44)-(B2461)&lt;=0,1,MAX(0,IF(Inputs!$B$39="pvp",15,Inputs!$B$44)-MAX(5,B2461))/(IF(Inputs!$B$39="pvp",15,Inputs!$B$44)-(B2461))))*IF(AND(ArtifactsInput!$M$42,((Inputs!$B$9+((C2442=TRUE)*(F2442-Calc!F26))+B2450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2423*(MIN(100,(Inputs!$B$9+((C2442=TRUE)*(F2442-Calc!F26))+B2450+(ArtifactsInput!$M$24-ArtifactsInput!$M$24)*CHOOSE(ArtifactsInput!$N$24+1,10,12,14,16,18,20)+(IF(AND(Inputs!$B$39&lt;&gt;"pvp",Inputs!$B$44=0),1,IF(IF(Inputs!$B$39="pvp",15,Inputs!$B$44)-(B2461)&lt;=0,1,MAX(0,IF(Inputs!$B$39="pvp",15,Inputs!$B$44)-MAX(5,B2461))/(IF(Inputs!$B$39="pvp",15,Inputs!$B$44)-(B2461))))*IF(AND(ArtifactsInput!$M$42,((Inputs!$B$9+((C2442=TRUE)*(F2442-Calc!F26))+B2450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2423*(1-MIN(100,(Inputs!$B$9+((C2442=TRUE)*(F2442-Calc!F26))+B2450+(ArtifactsInput!$M$24-ArtifactsInput!$M$24)*CHOOSE(ArtifactsInput!$N$24+1,10,12,14,16,18,20)+(IF(AND(Inputs!$B$39&lt;&gt;"pvp",Inputs!$B$44=0),1,IF(IF(Inputs!$B$39="pvp",15,Inputs!$B$44)-(B2461)&lt;=0,1,MAX(0,IF(Inputs!$B$39="pvp",15,Inputs!$B$44)-MAX(5,B2461))/(IF(Inputs!$B$39="pvp",15,Inputs!$B$44)-(B2461))))*IF(AND(ArtifactsInput!$M$42,((Inputs!$B$9+((C2442=TRUE)*(F2442-Calc!F26))+B2450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2423*(MIN(100,(Inputs!$B$9+((C2442=TRUE)*(F2442-Calc!F26))+B2450+(ArtifactsInput!$M$24-ArtifactsInput!$M$24)*CHOOSE(ArtifactsInput!$N$24+1,10,12,14,16,18,20)+(IF(AND(Inputs!$B$39&lt;&gt;"pvp",Inputs!$B$44=0),1,IF(IF(Inputs!$B$39="pvp",15,Inputs!$B$44)-(B2461)&lt;=0,1,MAX(0,IF(Inputs!$B$39="pvp",15,Inputs!$B$44)-MAX(5,B2461))/(IF(Inputs!$B$39="pvp",15,Inputs!$B$44)-(B2461))))*IF(AND(ArtifactsInput!$M$42,((Inputs!$B$9+((C2442=TRUE)*(F2442-Calc!F26))+B2450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IF(ArtifactsInput!$M$26,FALSE,TRUE),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423">
        <f>IF(C2423,(H2423*N2423*IF(AND(Inputs!$B$39&lt;&gt;"pvp",Inputs!$B$44&gt;0),((Skills!G7*((R2423-1)*IF(Skills!H7&gt;0,Skills!I7/Skills!H7,1)+IF(Skills!H7&gt;0,MIN(Skills!I7,MAX(0,MAX(0,Inputs!$B$44-B2461)-((R2423-1)*IF(Inputs!$B$39="pvp",15,MAX(0.1,Skills!D7-IF(TRUE=TRUE,Inputs!$B$32,0))))))/Skills!H7,1)))/Inputs!$B$44),G2423*Q2423))*IF(Inputs!$B$39="pvp",1,(1+(Inputs!$B$21+Skills!Q7+B2451+(IF(ArtifactsInput!$M$33,CHOOSE(ArtifactsInput!$N$33+1,30,36,42,48,54,60),0))+(IF(AND(ArtifactsInput!$M$35,Inputs!$B$4&lt;&gt;"Chapter Hunt"),CHOOSE(ArtifactsInput!$N$35+1,15,18,21,24,27,30)*(1-EXP(-(0.2*B2454)*5)),0)+IF(AND(ArtifactsInput!$M$22,Inputs!$B$4&lt;&gt;"Chapter Hunt"),CHOOSE(ArtifactsInput!$N$22+1,10,12,14,16,18,20)*((0*(((0.15*B2454*5))^0/1)+1*(((0.15*B2454*5))^1/1)+2*(((0.15*B2454*5))^2/2)+3*(((0.15*B2454*5))^3/6)+4*(((0.15*B2454*5))^4/24)+5*(((0.15*B2454*5))^5/120))/((((0.15*B2454*5))^0/1)+(((0.15*B2454*5))^1/1)+(((0.15*B2454*5))^2/2)+(((0.15*B2454*5))^3/6)+(((0.15*B2454*5))^4/24)+(((0.15*B2454*5))^5/120))),0)))/100)*(MIN(Skills!W7,Inputs!$B$37)))*((1+(IF(AND(ArtifactsInput!$M$41,Inputs!$B$39&lt;&gt;"pvp"),CHOOSE(ArtifactsInput!$N$41+1,5,6,7,8,9,10)*IF(OR(Inputs!$B$4="Weapon Dungeon",Inputs!$B$4="Equipment Dungeon",Inputs!$B$4="Enhancement Dungeon",Inputs!$B$4="EXP Dungeon",Inputs!$B$4="Hero Dungeon"),3,1),0)+IF(IF(ArtifactsInput!$M$26,FALSE,TRUE),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424">
      <c r="A2424">
        <f>Skills!A8</f>
        <v/>
      </c>
      <c r="B2424">
        <f>Skills!B8</f>
        <v/>
      </c>
      <c r="C2424">
        <f>Inputs!$B$3&gt;=60</f>
        <v/>
      </c>
      <c r="D2424">
        <f>IF(Skills!C8=1,60+Inputs!$B$25+Inputs!$B$29,IF(Skills!C8=2,90+Inputs!$B$26+Inputs!$B$29,IF(Skills!C8=3,120+Inputs!$B$27+Inputs!$B$29,MAX(0,(Inputs!$B$3-100)*3)+Inputs!$B$28+Inputs!$B$29)))</f>
        <v/>
      </c>
      <c r="E2424">
        <f>INDEX(FactorTable!$B$2:$Y$301, MATCH(ROUND(MIN(300,MAX(1,D2424)),0), FactorTable!$A$2:$A$301,0), Skills!M8+1)</f>
        <v/>
      </c>
      <c r="F2424">
        <f>IF(Skills!N8=TRUE,(Skills!L8/10)*(E2424/1000),Skills!L8/10)+Skills!O8</f>
        <v/>
      </c>
      <c r="G2424">
        <f>Skills!G8*IF(Skills!H8&gt;0,IF(Inputs!$B$39="pvp",MIN(Skills!I8,15),Skills!I8)/Skills!H8,1)</f>
        <v/>
      </c>
      <c r="H2424">
        <f>1-(1-Skills!J8/100)^Skills!K8</f>
        <v/>
      </c>
      <c r="I2424" t="inlineStr">
        <is>
          <t>1</t>
        </is>
      </c>
      <c r="J2424" t="inlineStr"/>
      <c r="K2424" t="inlineStr"/>
      <c r="L2424" t="inlineStr"/>
      <c r="M2424" t="inlineStr"/>
      <c r="N2424" t="inlineStr"/>
      <c r="O2424">
        <f>(1-Summary!$B$11)*T2424+Summary!$B$11*V2424</f>
        <v/>
      </c>
      <c r="P2424">
        <f>IF(B2462=0,0,O2424/B2462)</f>
        <v/>
      </c>
      <c r="Q2424" t="n">
        <v>0</v>
      </c>
      <c r="R2424" t="n">
        <v>0</v>
      </c>
      <c r="S2424">
        <f>IFERROR(O2424/N2424,0)</f>
        <v/>
      </c>
      <c r="T2424" t="n">
        <v>0</v>
      </c>
      <c r="V2424" t="n">
        <v>0</v>
      </c>
    </row>
    <row r="2425">
      <c r="A2425">
        <f>Skills!A9</f>
        <v/>
      </c>
      <c r="B2425">
        <f>Skills!B9</f>
        <v/>
      </c>
      <c r="C2425">
        <f>Inputs!$B$3&gt;=72</f>
        <v/>
      </c>
      <c r="D2425">
        <f>IF(Skills!C9=1,60+Inputs!$B$25+Inputs!$B$29,IF(Skills!C9=2,90+Inputs!$B$26+Inputs!$B$29,IF(Skills!C9=3,120+Inputs!$B$27+Inputs!$B$29,MAX(0,(Inputs!$B$3-100)*3)+Inputs!$B$28+Inputs!$B$29)))</f>
        <v/>
      </c>
      <c r="E2425">
        <f>INDEX(FactorTable!$B$2:$Y$301, MATCH(ROUND(MIN(300,MAX(1,D2425)),0), FactorTable!$A$2:$A$301,0), Skills!M9+1)</f>
        <v/>
      </c>
      <c r="F2425">
        <f>IF(Skills!N9=TRUE,(Skills!L9/10)*(E2425/1000),Skills!L9/10)+Skills!O9</f>
        <v/>
      </c>
      <c r="G2425">
        <f>Skills!G9*IF(Skills!H9&gt;0,IF(Inputs!$B$39="pvp",MIN(Skills!I9,15),Skills!I9)/Skills!H9,1)</f>
        <v/>
      </c>
      <c r="H2425">
        <f>1-(1-Skills!J9/100)^Skills!K9</f>
        <v/>
      </c>
      <c r="I2425" t="inlineStr">
        <is>
          <t>1</t>
        </is>
      </c>
      <c r="J2425">
        <f>((Inputs!$B$6*(1+Inputs!$B$7/100))+(((Inputs!$B$12*(1+Inputs!$B$13/100))-(Inputs!$B$12*(1+Inputs!$B$13/100)))+0.25*(Inputs!$B$14-Inputs!$B$14))*(1+Inputs!$B$7/100))*(F2425/100)</f>
        <v/>
      </c>
      <c r="K2425">
        <f>J2425*(1+((Inputs!$B$12*(1+Inputs!$B$13/100))*0.01+Inputs!$B$14*0.0025)/100)*(1+Inputs!$B$15/100)*(1+Inputs!$B$16/100)*(5000/(6000+Inputs!$B$43*(1-(100*(1-(1-Inputs!$B$19/100)*(1-CHOOSE(ArtifactsInput!$N$40+1,5,6,7,8,9,10)/100)^(ArtifactsInput!$M$40-ArtifactsInput!$M$40)))/100)))*(1+(Inputs!$B$24+((C2447=TRUE)*(F2447-Calc!F31))+((C2434=TRUE)*(F2434-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+3.3333333333333335*IF(C2435=TRUE,F2435,0)/100)*(1+(IF(Skills!A9="CRUEL_STAB",Inputs!$B$17+((C2444=TRUE)*(F2444-Calc!F28))+((IF(AND(Inputs!$B$39&lt;&gt;"pvp",Inputs!$B$44=0),1,IF(IF(Inputs!$B$39="pvp",15,Inputs!$B$44)-(B2461)&lt;=0,1,MAX(0,IF(Inputs!$B$39="pvp",15,Inputs!$B$44)-MAX(5,B2461))/(IF(Inputs!$B$39="pvp",15,Inputs!$B$44)-(B2461))))*(IF(AND(ArtifactsInput!$M$42,((Inputs!$B$9+((C2442=TRUE)*(F2442-Calc!F26))+B2450+(ArtifactsInput!$M$24-ArtifactsInput!$M$24)*CHOOSE(ArtifactsInput!$N$24+1,10,12,14,16,18,20)+IF(ArtifactsInput!$M$10,CHOOSE(ArtifactsInput!$N$10+1,15,18,21,24,27,30)*(IF(Inputs!$B$39="pvp",MIN(15,15)/15,IF(AND(Inputs!$B$39&lt;&gt;"pvp",Inputs!$B$44&gt;0),MIN(15,Inputs!$B$44)/(Inputs!$B$44),0))),0)))&gt;=100),MIN(100,((Inputs!$B$9+((C2442=TRUE)*(F2442-Calc!F26))+B2450+(ArtifactsInput!$M$24-ArtifactsInput!$M$24)*CHOOSE(ArtifactsInput!$N$24+1,10,12,14,16,18,20)+IF(ArtifactsInput!$M$10,CHOOSE(ArtifactsInput!$N$10+1,15,18,21,24,27,30)*(IF(Inputs!$B$39="pvp",MIN(15,15)/15,IF(AND(Inputs!$B$39&lt;&gt;"pvp",Inputs!$B$44&gt;0),MIN(15,Inputs!$B$44)/(Inputs!$B$44),0))),0)))-100),0))*CHOOSE(ArtifactsInput!$N$42+1,0.6,0.72,0.84,0.96,1.08,1.2))),Inputs!$B$18+((C2445=TRUE)*(F2445-Calc!F29))+(IF(AND(Inputs!$B$39&lt;&gt;"pvp",Inputs!$B$44=0),1,IF(IF(Inputs!$B$39="pvp",15,Inputs!$B$44)-(B2461)&lt;=0,1,MAX(0,IF(Inputs!$B$39="pvp",15,Inputs!$B$44)-MAX(5,B2461))/(IF(Inputs!$B$39="pvp",15,Inputs!$B$44)-(B2461))))*IF(AND(ArtifactsInput!$M$42,((Inputs!$B$9+((C2442=TRUE)*(F2442-Calc!F26))+B2450+(ArtifactsInput!$M$24-ArtifactsInput!$M$24)*CHOOSE(ArtifactsInput!$N$24+1,10,12,14,16,18,20)+IF(ArtifactsInput!$M$10,CHOOSE(ArtifactsInput!$N$10+1,15,18,21,24,27,30)*(IF(Inputs!$B$39="pvp",MIN(15,15)/15,IF(AND(Inputs!$B$39&lt;&gt;"pvp",Inputs!$B$44&gt;0),MIN(15,Inputs!$B$44)/(Inputs!$B$44),0))),0)))&gt;=100),CHOOSE(ArtifactsInput!$N$42+1,40,48,56,64,72,80),0))))/100)*(((1+(((C2438=TRUE)*F2438*IF(AND(Inputs!$B$39&lt;&gt;"pvp",Inputs!$B$44&gt;0),(((R2438-1)*MIN((Skills!Y22*(1+Inputs!$B$34/100)),(1/Q2438))+MIN((Skills!Y22*(1+Inputs!$B$34/100)),MAX(0,Inputs!$B$44-((R2438-1)*(1/Q2438)))))/Inputs!$B$44),IF(Inputs!$B$39="pvp",MIN((Skills!Y22*(1+Inputs!$B$34/100)),15)/15,MIN(1,(Skills!Y22*(1+Inputs!$B$34/100))/(1/Q2438)))))+((C2419=TRUE)*F2419*3)+((C2421=TRUE)*F2421*(1-EXP(-0.75*B2454*5)))+((C2440=TRUE)*(F2440-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2427=TRUE)*F2427*IF(AND(Inputs!$B$39&lt;&gt;"pvp",Inputs!$B$44&gt;0),(((R2427-1)*MIN((Skills!Y11*(1+Inputs!$B$34/100)),(1/Q2427))+MIN((Skills!Y11*(1+Inputs!$B$34/100)),MAX(0,Inputs!$B$44-((R2427-1)*(1/Q2427)))))/Inputs!$B$44),IF(Inputs!$B$39="pvp",MIN((Skills!Y11*(1+Inputs!$B$34/100)),15)/15,MIN(1,(Skills!Y11*(1+Inputs!$B$34/100))/(1/Q2427)))))/100)*(1+((C2432=TRUE)*F2432*IF(AND(Inputs!$B$39&lt;&gt;"pvp",Inputs!$B$44&gt;0),(((R2432-1)*MIN((Skills!Y16*(1+Inputs!$B$34/100)),(1/Q2432))+MIN((Skills!Y16*(1+Inputs!$B$34/100)),MAX(0,Inputs!$B$44-((R2432-1)*(1/Q2432)))))/Inputs!$B$44),IF(Inputs!$B$39="pvp",MIN((Skills!Y16*(1+Inputs!$B$34/100)),15)/15,MIN(1,(Skills!Y16*(1+Inputs!$B$34/100))/(1/Q2432)))))/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2452*I2425)</f>
        <v/>
      </c>
      <c r="L2425">
        <f>K2425*(MIN(Inputs!$B$22+((C2441=TRUE)*(F2441-Calc!F25)),(Inputs!$B$23+((C2446=TRUE)*(F2446-Calc!F30))+IF(ArtifactsInput!$M$15,CHOOSE(ArtifactsInput!$N$15+1,25,30,35,40,45,50)/100*(Inputs!$B$11-Inputs!$B$11),0)))/100+(Inputs!$B$23+((C2446=TRUE)*(F2446-Calc!F30))+IF(ArtifactsInput!$M$15,CHOOSE(ArtifactsInput!$N$15+1,25,30,35,40,45,50)/100*(Inputs!$B$11-Inputs!$B$11),0))/100)/2</f>
        <v/>
      </c>
      <c r="M2425">
        <f>L2425*(1+(Inputs!$B$10+((C2443=TRUE)*(F2443-Calc!F27))+B2457+(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2425">
        <f>L2425*(1-MIN((Inputs!$B$9+((C2442=TRUE)*(F2442-Calc!F26))+B2450+(ArtifactsInput!$M$24-ArtifactsInput!$M$24)*CHOOSE(ArtifactsInput!$N$24+1,10,12,14,16,18,20)+(IF(AND(Inputs!$B$39&lt;&gt;"pvp",Inputs!$B$44=0),1,IF(IF(Inputs!$B$39="pvp",15,Inputs!$B$44)-(B2461)&lt;=0,1,MAX(0,IF(Inputs!$B$39="pvp",15,Inputs!$B$44)-MAX(5,B2461))/(IF(Inputs!$B$39="pvp",15,Inputs!$B$44)-(B2461))))*IF(AND(ArtifactsInput!$M$42,((Inputs!$B$9+((C2442=TRUE)*(F2442-Calc!F26))+B2450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2425*(MIN((Inputs!$B$9+((C2442=TRUE)*(F2442-Calc!F26))+B2450+(ArtifactsInput!$M$24-ArtifactsInput!$M$24)*CHOOSE(ArtifactsInput!$N$24+1,10,12,14,16,18,20)+(IF(AND(Inputs!$B$39&lt;&gt;"pvp",Inputs!$B$44=0),1,IF(IF(Inputs!$B$39="pvp",15,Inputs!$B$44)-(B2461)&lt;=0,1,MAX(0,IF(Inputs!$B$39="pvp",15,Inputs!$B$44)-MAX(5,B2461))/(IF(Inputs!$B$39="pvp",15,Inputs!$B$44)-(B2461))))*IF(AND(ArtifactsInput!$M$42,((Inputs!$B$9+((C2442=TRUE)*(F2442-Calc!F26))+B2450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425">
        <f>(1-Summary!$B$11)*T2425+Summary!$B$11*V2425</f>
        <v/>
      </c>
      <c r="P2425">
        <f>IF(B2462=0,0,O2425/B2462)</f>
        <v/>
      </c>
      <c r="Q2425">
        <f>IFERROR(1/IF(Inputs!$B$39="pvp",15,MAX(0.1,Skills!D9-IF(FALSE=TRUE,Inputs!$B$32,0))),0)</f>
        <v/>
      </c>
      <c r="R2425">
        <f>IF(AND(Inputs!$B$39&lt;&gt;"pvp",Inputs!$B$44&gt;0),IF(MAX(0,Inputs!$B$44-B2461)&lt;=0,0,(INT(MAX(0,Inputs!$B$44-B2461)/IF(Inputs!$B$39="pvp",15,MAX(0.1,Skills!D9-IF(FALSE=TRUE,Inputs!$B$32,0))))+1)),0)</f>
        <v/>
      </c>
      <c r="S2425">
        <f>IFERROR(O2425/N2425,0)</f>
        <v/>
      </c>
      <c r="T2425">
        <f>IF(C2425,(H2425*N2425*IF(AND(Inputs!$B$39&lt;&gt;"pvp",Inputs!$B$44&gt;0),((Skills!G9*((R2425-1)*IF(Skills!H9&gt;0,Skills!I9/Skills!H9,1)+IF(Skills!H9&gt;0,MIN(Skills!I9,MAX(0,MAX(0,Inputs!$B$44-B2461)-((R2425-1)*IF(Inputs!$B$39="pvp",15,MAX(0.1,Skills!D9-IF(FALSE=TRUE,Inputs!$B$32,0))))))/Skills!H9,1)))/Inputs!$B$44),G2425*Q2425))*IF(Inputs!$B$39="pvp",1,1+(Inputs!$B$20+0+Skills!P9+B2451+(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Hunt"),CHOOSE(ArtifactsInput!$N$35+1,15,18,21,24,27,30)*(1-EXP(-(0.2*B2454)*5)),0)+IF(AND(ArtifactsInput!$M$22,Inputs!$B$4&lt;&gt;"Chapter Hunt"),CHOOSE(ArtifactsInput!$N$22+1,10,12,14,16,18,20)*((0*(((0.15*B2454*5))^0/1)+1*(((0.15*B2454*5))^1/1)+2*(((0.15*B2454*5))^2/2)+3*(((0.15*B2454*5))^3/6)+4*(((0.15*B2454*5))^4/24)+5*(((0.15*B2454*5))^5/120))/((((0.15*B2454*5))^0/1)+(((0.15*B2454*5))^1/1)+(((0.15*B2454*5))^2/2)+(((0.15*B2454*5))^3/6)+(((0.15*B2454*5))^4/24)+(((0.15*B2454*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2425*(1-MIN(100,(Inputs!$B$9+((C2442=TRUE)*(F2442-Calc!F26))+B2450+(ArtifactsInput!$M$24-ArtifactsInput!$M$24)*CHOOSE(ArtifactsInput!$N$24+1,10,12,14,16,18,20)+(IF(AND(Inputs!$B$39&lt;&gt;"pvp",Inputs!$B$44=0),1,IF(IF(Inputs!$B$39="pvp",15,Inputs!$B$44)-(B2461)&lt;=0,1,MAX(0,IF(Inputs!$B$39="pvp",15,Inputs!$B$44)-MAX(5,B2461))/(IF(Inputs!$B$39="pvp",15,Inputs!$B$44)-(B2461))))*IF(AND(ArtifactsInput!$M$42,((Inputs!$B$9+((C2442=TRUE)*(F2442-Calc!F26))+B2450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2425*(MIN(100,(Inputs!$B$9+((C2442=TRUE)*(F2442-Calc!F26))+B2450+(ArtifactsInput!$M$24-ArtifactsInput!$M$24)*CHOOSE(ArtifactsInput!$N$24+1,10,12,14,16,18,20)+(IF(AND(Inputs!$B$39&lt;&gt;"pvp",Inputs!$B$44=0),1,IF(IF(Inputs!$B$39="pvp",15,Inputs!$B$44)-(B2461)&lt;=0,1,MAX(0,IF(Inputs!$B$39="pvp",15,Inputs!$B$44)-MAX(5,B2461))/(IF(Inputs!$B$39="pvp",15,Inputs!$B$44)-(B2461))))*IF(AND(ArtifactsInput!$M$42,((Inputs!$B$9+((C2442=TRUE)*(F2442-Calc!F26))+B2450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2425*(1-MIN(100,(Inputs!$B$9+((C2442=TRUE)*(F2442-Calc!F26))+B2450+(ArtifactsInput!$M$24-ArtifactsInput!$M$24)*CHOOSE(ArtifactsInput!$N$24+1,10,12,14,16,18,20)+(IF(AND(Inputs!$B$39&lt;&gt;"pvp",Inputs!$B$44=0),1,IF(IF(Inputs!$B$39="pvp",15,Inputs!$B$44)-(B2461)&lt;=0,1,MAX(0,IF(Inputs!$B$39="pvp",15,Inputs!$B$44)-MAX(5,B2461))/(IF(Inputs!$B$39="pvp",15,Inputs!$B$44)-(B2461))))*IF(AND(ArtifactsInput!$M$42,((Inputs!$B$9+((C2442=TRUE)*(F2442-Calc!F26))+B2450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2425*(MIN(100,(Inputs!$B$9+((C2442=TRUE)*(F2442-Calc!F26))+B2450+(ArtifactsInput!$M$24-ArtifactsInput!$M$24)*CHOOSE(ArtifactsInput!$N$24+1,10,12,14,16,18,20)+(IF(AND(Inputs!$B$39&lt;&gt;"pvp",Inputs!$B$44=0),1,IF(IF(Inputs!$B$39="pvp",15,Inputs!$B$44)-(B2461)&lt;=0,1,MAX(0,IF(Inputs!$B$39="pvp",15,Inputs!$B$44)-MAX(5,B2461))/(IF(Inputs!$B$39="pvp",15,Inputs!$B$44)-(B2461))))*IF(AND(ArtifactsInput!$M$42,((Inputs!$B$9+((C2442=TRUE)*(F2442-Calc!F26))+B2450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IF(ArtifactsInput!$M$26,FALSE,TRUE),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425">
        <f>IF(C2425,(H2425*N2425*IF(AND(Inputs!$B$39&lt;&gt;"pvp",Inputs!$B$44&gt;0),((Skills!G9*((R2425-1)*IF(Skills!H9&gt;0,Skills!I9/Skills!H9,1)+IF(Skills!H9&gt;0,MIN(Skills!I9,MAX(0,MAX(0,Inputs!$B$44-B2461)-((R2425-1)*IF(Inputs!$B$39="pvp",15,MAX(0.1,Skills!D9-IF(FALSE=TRUE,Inputs!$B$32,0))))))/Skills!H9,1)))/Inputs!$B$44),G2425*Q2425))*IF(Inputs!$B$39="pvp",1,(1+(Inputs!$B$21+Skills!Q9+B2451+(IF(ArtifactsInput!$M$33,CHOOSE(ArtifactsInput!$N$33+1,30,36,42,48,54,60),0))+(IF(AND(ArtifactsInput!$M$35,Inputs!$B$4&lt;&gt;"Chapter Hunt"),CHOOSE(ArtifactsInput!$N$35+1,15,18,21,24,27,30)*(1-EXP(-(0.2*B2454)*5)),0)+IF(AND(ArtifactsInput!$M$22,Inputs!$B$4&lt;&gt;"Chapter Hunt"),CHOOSE(ArtifactsInput!$N$22+1,10,12,14,16,18,20)*((0*(((0.15*B2454*5))^0/1)+1*(((0.15*B2454*5))^1/1)+2*(((0.15*B2454*5))^2/2)+3*(((0.15*B2454*5))^3/6)+4*(((0.15*B2454*5))^4/24)+5*(((0.15*B2454*5))^5/120))/((((0.15*B2454*5))^0/1)+(((0.15*B2454*5))^1/1)+(((0.15*B2454*5))^2/2)+(((0.15*B2454*5))^3/6)+(((0.15*B2454*5))^4/24)+(((0.15*B2454*5))^5/120))),0)))/100)*(MIN(Skills!W9,Inputs!$B$37)))*((1+(IF(AND(ArtifactsInput!$M$41,Inputs!$B$39&lt;&gt;"pvp"),CHOOSE(ArtifactsInput!$N$41+1,5,6,7,8,9,10)*IF(OR(Inputs!$B$4="Weapon Dungeon",Inputs!$B$4="Equipment Dungeon",Inputs!$B$4="Enhancement Dungeon",Inputs!$B$4="EXP Dungeon",Inputs!$B$4="Hero Dungeon"),3,1),0)+IF(IF(ArtifactsInput!$M$26,FALSE,TRUE),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426">
      <c r="A2426">
        <f>Skills!A10</f>
        <v/>
      </c>
      <c r="B2426">
        <f>Skills!B10</f>
        <v/>
      </c>
      <c r="C2426">
        <f>Inputs!$B$3&gt;=117</f>
        <v/>
      </c>
      <c r="D2426">
        <f>IF(Skills!C10=1,60+Inputs!$B$25+Inputs!$B$29,IF(Skills!C10=2,90+Inputs!$B$26+Inputs!$B$29,IF(Skills!C10=3,120+Inputs!$B$27+Inputs!$B$29,MAX(0,(Inputs!$B$3-100)*3)+Inputs!$B$28+Inputs!$B$29)))</f>
        <v/>
      </c>
      <c r="E2426">
        <f>INDEX(FactorTable!$B$2:$Y$301, MATCH(ROUND(MIN(300,MAX(1,D2426)),0), FactorTable!$A$2:$A$301,0), Skills!M10+1)</f>
        <v/>
      </c>
      <c r="F2426">
        <f>IF(Skills!N10=TRUE,(Skills!L10/10)*(E2426/1000),Skills!L10/10)+Skills!O10</f>
        <v/>
      </c>
      <c r="G2426">
        <f>Skills!G10*IF(Skills!H10&gt;0,IF(Inputs!$B$39="pvp",MIN(Skills!I10,15),Skills!I10)/Skills!H10,1)</f>
        <v/>
      </c>
      <c r="H2426">
        <f>1-(1-Skills!J10/100)^Skills!K10</f>
        <v/>
      </c>
      <c r="I2426" t="inlineStr">
        <is>
          <t>1</t>
        </is>
      </c>
      <c r="J2426">
        <f>((Inputs!$B$6*(1+Inputs!$B$7/100))+(((Inputs!$B$12*(1+Inputs!$B$13/100))-(Inputs!$B$12*(1+Inputs!$B$13/100)))+0.25*(Inputs!$B$14-Inputs!$B$14))*(1+Inputs!$B$7/100))*(F2426/100)</f>
        <v/>
      </c>
      <c r="K2426">
        <f>J2426*(1+((Inputs!$B$12*(1+Inputs!$B$13/100))*0.01+Inputs!$B$14*0.0025)/100)*(1+Inputs!$B$15/100)*(1+Inputs!$B$16/100)*(5000/(6000+Inputs!$B$43*(1-(100*(1-(1-Inputs!$B$19/100)*(1-CHOOSE(ArtifactsInput!$N$40+1,5,6,7,8,9,10)/100)^(ArtifactsInput!$M$40-ArtifactsInput!$M$40)))/100)))*(1+(Inputs!$B$24+((C2447=TRUE)*(F2447-Calc!F31))+((C2434=TRUE)*(F2434-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10="CRUEL_STAB",Inputs!$B$17+((C2444=TRUE)*(F2444-Calc!F28))+((IF(AND(Inputs!$B$39&lt;&gt;"pvp",Inputs!$B$44=0),1,IF(IF(Inputs!$B$39="pvp",15,Inputs!$B$44)-(B2461)&lt;=0,1,MAX(0,IF(Inputs!$B$39="pvp",15,Inputs!$B$44)-MAX(5,B2461))/(IF(Inputs!$B$39="pvp",15,Inputs!$B$44)-(B2461))))*(IF(AND(ArtifactsInput!$M$42,((Inputs!$B$9+((C2442=TRUE)*(F2442-Calc!F26))+B2450+(ArtifactsInput!$M$24-ArtifactsInput!$M$24)*CHOOSE(ArtifactsInput!$N$24+1,10,12,14,16,18,20)+IF(ArtifactsInput!$M$10,CHOOSE(ArtifactsInput!$N$10+1,15,18,21,24,27,30)*(IF(Inputs!$B$39="pvp",MIN(15,15)/15,IF(AND(Inputs!$B$39&lt;&gt;"pvp",Inputs!$B$44&gt;0),MIN(15,Inputs!$B$44)/(Inputs!$B$44),0))),0)))&gt;=100),MIN(100,((Inputs!$B$9+((C2442=TRUE)*(F2442-Calc!F26))+B2450+(ArtifactsInput!$M$24-ArtifactsInput!$M$24)*CHOOSE(ArtifactsInput!$N$24+1,10,12,14,16,18,20)+IF(ArtifactsInput!$M$10,CHOOSE(ArtifactsInput!$N$10+1,15,18,21,24,27,30)*(IF(Inputs!$B$39="pvp",MIN(15,15)/15,IF(AND(Inputs!$B$39&lt;&gt;"pvp",Inputs!$B$44&gt;0),MIN(15,Inputs!$B$44)/(Inputs!$B$44),0))),0)))-100),0))*CHOOSE(ArtifactsInput!$N$42+1,0.6,0.72,0.84,0.96,1.08,1.2))),Inputs!$B$18+((C2445=TRUE)*(F2445-Calc!F29))+(IF(AND(Inputs!$B$39&lt;&gt;"pvp",Inputs!$B$44=0),1,IF(IF(Inputs!$B$39="pvp",15,Inputs!$B$44)-(B2461)&lt;=0,1,MAX(0,IF(Inputs!$B$39="pvp",15,Inputs!$B$44)-MAX(5,B2461))/(IF(Inputs!$B$39="pvp",15,Inputs!$B$44)-(B2461))))*IF(AND(ArtifactsInput!$M$42,((Inputs!$B$9+((C2442=TRUE)*(F2442-Calc!F26))+B2450+(ArtifactsInput!$M$24-ArtifactsInput!$M$24)*CHOOSE(ArtifactsInput!$N$24+1,10,12,14,16,18,20)+IF(ArtifactsInput!$M$10,CHOOSE(ArtifactsInput!$N$10+1,15,18,21,24,27,30)*(IF(Inputs!$B$39="pvp",MIN(15,15)/15,IF(AND(Inputs!$B$39&lt;&gt;"pvp",Inputs!$B$44&gt;0),MIN(15,Inputs!$B$44)/(Inputs!$B$44),0))),0)))&gt;=100),CHOOSE(ArtifactsInput!$N$42+1,40,48,56,64,72,80),0))))/100)*(((1+(((C2438=TRUE)*F2438*IF(AND(Inputs!$B$39&lt;&gt;"pvp",Inputs!$B$44&gt;0),(((R2438-1)*MIN((Skills!Y22*(1+Inputs!$B$34/100)),(1/Q2438))+MIN((Skills!Y22*(1+Inputs!$B$34/100)),MAX(0,Inputs!$B$44-((R2438-1)*(1/Q2438)))))/Inputs!$B$44),IF(Inputs!$B$39="pvp",MIN((Skills!Y22*(1+Inputs!$B$34/100)),15)/15,MIN(1,(Skills!Y22*(1+Inputs!$B$34/100))/(1/Q2438)))))+((C2419=TRUE)*F2419*3)+((C2421=TRUE)*F2421*(1-EXP(-0.75*B2454*5)))+((C2440=TRUE)*(F2440-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2427=TRUE)*F2427*IF(AND(Inputs!$B$39&lt;&gt;"pvp",Inputs!$B$44&gt;0),(((R2427-1)*MIN((Skills!Y11*(1+Inputs!$B$34/100)),(1/Q2427))+MIN((Skills!Y11*(1+Inputs!$B$34/100)),MAX(0,Inputs!$B$44-((R2427-1)*(1/Q2427)))))/Inputs!$B$44),IF(Inputs!$B$39="pvp",MIN((Skills!Y11*(1+Inputs!$B$34/100)),15)/15,MIN(1,(Skills!Y11*(1+Inputs!$B$34/100))/(1/Q2427)))))/100)*(1+((C2432=TRUE)*F2432*IF(AND(Inputs!$B$39&lt;&gt;"pvp",Inputs!$B$44&gt;0),(((R2432-1)*MIN((Skills!Y16*(1+Inputs!$B$34/100)),(1/Q2432))+MIN((Skills!Y16*(1+Inputs!$B$34/100)),MAX(0,Inputs!$B$44-((R2432-1)*(1/Q2432)))))/Inputs!$B$44),IF(Inputs!$B$39="pvp",MIN((Skills!Y16*(1+Inputs!$B$34/100)),15)/15,MIN(1,(Skills!Y16*(1+Inputs!$B$34/100))/(1/Q2432)))))/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2452*I2426)</f>
        <v/>
      </c>
      <c r="L2426">
        <f>K2426*(MIN(Inputs!$B$22+((C2441=TRUE)*(F2441-Calc!F25)),(Inputs!$B$23+((C2446=TRUE)*(F2446-Calc!F30))+IF(ArtifactsInput!$M$15,CHOOSE(ArtifactsInput!$N$15+1,25,30,35,40,45,50)/100*(Inputs!$B$11-Inputs!$B$11),0)))/100+(Inputs!$B$23+((C2446=TRUE)*(F2446-Calc!F30))+IF(ArtifactsInput!$M$15,CHOOSE(ArtifactsInput!$N$15+1,25,30,35,40,45,50)/100*(Inputs!$B$11-Inputs!$B$11),0))/100)/2</f>
        <v/>
      </c>
      <c r="M2426">
        <f>L2426*(1+(Inputs!$B$10+((C2443=TRUE)*(F2443-Calc!F27))+B2457+(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2426">
        <f>L2426*(1-MIN((Inputs!$B$9+((C2442=TRUE)*(F2442-Calc!F26))+B2450+(ArtifactsInput!$M$24-ArtifactsInput!$M$24)*CHOOSE(ArtifactsInput!$N$24+1,10,12,14,16,18,20)+(IF(AND(Inputs!$B$39&lt;&gt;"pvp",Inputs!$B$44=0),1,IF(IF(Inputs!$B$39="pvp",15,Inputs!$B$44)-(B2461)&lt;=0,1,MAX(0,IF(Inputs!$B$39="pvp",15,Inputs!$B$44)-MAX(5,B2461))/(IF(Inputs!$B$39="pvp",15,Inputs!$B$44)-(B2461))))*IF(AND(ArtifactsInput!$M$42,((Inputs!$B$9+((C2442=TRUE)*(F2442-Calc!F26))+B2450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2426*(MIN((Inputs!$B$9+((C2442=TRUE)*(F2442-Calc!F26))+B2450+(ArtifactsInput!$M$24-ArtifactsInput!$M$24)*CHOOSE(ArtifactsInput!$N$24+1,10,12,14,16,18,20)+(IF(AND(Inputs!$B$39&lt;&gt;"pvp",Inputs!$B$44=0),1,IF(IF(Inputs!$B$39="pvp",15,Inputs!$B$44)-(B2461)&lt;=0,1,MAX(0,IF(Inputs!$B$39="pvp",15,Inputs!$B$44)-MAX(5,B2461))/(IF(Inputs!$B$39="pvp",15,Inputs!$B$44)-(B2461))))*IF(AND(ArtifactsInput!$M$42,((Inputs!$B$9+((C2442=TRUE)*(F2442-Calc!F26))+B2450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426">
        <f>(1-Summary!$B$11)*T2426+Summary!$B$11*V2426</f>
        <v/>
      </c>
      <c r="P2426">
        <f>IF(B2462=0,0,O2426/B2462)</f>
        <v/>
      </c>
      <c r="Q2426" t="n">
        <v>0</v>
      </c>
      <c r="R2426" t="n">
        <v>0</v>
      </c>
      <c r="S2426" t="n">
        <v>0</v>
      </c>
      <c r="T2426">
        <f>IF(C2426,(0.2*SUMPRODUCT((Skills!Z2:Z31=TRUE)*(C2418:C2447=TRUE)*S2418:S2447)*N2426)*IF(Inputs!$B$39="pvp",1,1+(Inputs!$B$20+0+Skills!P10+B2451+(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Hunt"),CHOOSE(ArtifactsInput!$N$35+1,15,18,21,24,27,30)*(1-EXP(-(0.2*B2454)*5)),0)+IF(AND(ArtifactsInput!$M$22,Inputs!$B$4&lt;&gt;"Chapter Hunt"),CHOOSE(ArtifactsInput!$N$22+1,10,12,14,16,18,20)*((0*(((0.15*B2454*5))^0/1)+1*(((0.15*B2454*5))^1/1)+2*(((0.15*B2454*5))^2/2)+3*(((0.15*B2454*5))^3/6)+4*(((0.15*B2454*5))^4/24)+5*(((0.15*B2454*5))^5/120))/((((0.15*B2454*5))^0/1)+(((0.15*B2454*5))^1/1)+(((0.15*B2454*5))^2/2)+(((0.15*B2454*5))^3/6)+(((0.15*B2454*5))^4/24)+(((0.15*B2454*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2426*(1-MIN(100,(Inputs!$B$9+((C2442=TRUE)*(F2442-Calc!F26))+B2450+(ArtifactsInput!$M$24-ArtifactsInput!$M$24)*CHOOSE(ArtifactsInput!$N$24+1,10,12,14,16,18,20)+(IF(AND(Inputs!$B$39&lt;&gt;"pvp",Inputs!$B$44=0),1,IF(IF(Inputs!$B$39="pvp",15,Inputs!$B$44)-(B2461)&lt;=0,1,MAX(0,IF(Inputs!$B$39="pvp",15,Inputs!$B$44)-MAX(5,B2461))/(IF(Inputs!$B$39="pvp",15,Inputs!$B$44)-(B2461))))*IF(AND(ArtifactsInput!$M$42,((Inputs!$B$9+((C2442=TRUE)*(F2442-Calc!F26))+B2450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2426*(MIN(100,(Inputs!$B$9+((C2442=TRUE)*(F2442-Calc!F26))+B2450+(ArtifactsInput!$M$24-ArtifactsInput!$M$24)*CHOOSE(ArtifactsInput!$N$24+1,10,12,14,16,18,20)+(IF(AND(Inputs!$B$39&lt;&gt;"pvp",Inputs!$B$44=0),1,IF(IF(Inputs!$B$39="pvp",15,Inputs!$B$44)-(B2461)&lt;=0,1,MAX(0,IF(Inputs!$B$39="pvp",15,Inputs!$B$44)-MAX(5,B2461))/(IF(Inputs!$B$39="pvp",15,Inputs!$B$44)-(B2461))))*IF(AND(ArtifactsInput!$M$42,((Inputs!$B$9+((C2442=TRUE)*(F2442-Calc!F26))+B2450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2426*(1-MIN(100,(Inputs!$B$9+((C2442=TRUE)*(F2442-Calc!F26))+B2450+(ArtifactsInput!$M$24-ArtifactsInput!$M$24)*CHOOSE(ArtifactsInput!$N$24+1,10,12,14,16,18,20)+(IF(AND(Inputs!$B$39&lt;&gt;"pvp",Inputs!$B$44=0),1,IF(IF(Inputs!$B$39="pvp",15,Inputs!$B$44)-(B2461)&lt;=0,1,MAX(0,IF(Inputs!$B$39="pvp",15,Inputs!$B$44)-MAX(5,B2461))/(IF(Inputs!$B$39="pvp",15,Inputs!$B$44)-(B2461))))*IF(AND(ArtifactsInput!$M$42,((Inputs!$B$9+((C2442=TRUE)*(F2442-Calc!F26))+B2450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2426*(MIN(100,(Inputs!$B$9+((C2442=TRUE)*(F2442-Calc!F26))+B2450+(ArtifactsInput!$M$24-ArtifactsInput!$M$24)*CHOOSE(ArtifactsInput!$N$24+1,10,12,14,16,18,20)+(IF(AND(Inputs!$B$39&lt;&gt;"pvp",Inputs!$B$44=0),1,IF(IF(Inputs!$B$39="pvp",15,Inputs!$B$44)-(B2461)&lt;=0,1,MAX(0,IF(Inputs!$B$39="pvp",15,Inputs!$B$44)-MAX(5,B2461))/(IF(Inputs!$B$39="pvp",15,Inputs!$B$44)-(B2461))))*IF(AND(ArtifactsInput!$M$42,((Inputs!$B$9+((C2442=TRUE)*(F2442-Calc!F26))+B2450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IF(ArtifactsInput!$M$26,FALSE,TRUE),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426">
        <f>IF(C2426,(0.2*SUMPRODUCT((Skills!Z2:Z31=TRUE)*(C2418:C2447=TRUE)*S2418:S2447)*N2426)*IF(Inputs!$B$39="pvp",1,(1+(Inputs!$B$21+Skills!Q10+B2451+(IF(ArtifactsInput!$M$33,CHOOSE(ArtifactsInput!$N$33+1,30,36,42,48,54,60),0))+(IF(AND(ArtifactsInput!$M$35,Inputs!$B$4&lt;&gt;"Chapter Hunt"),CHOOSE(ArtifactsInput!$N$35+1,15,18,21,24,27,30)*(1-EXP(-(0.2*B2454)*5)),0)+IF(AND(ArtifactsInput!$M$22,Inputs!$B$4&lt;&gt;"Chapter Hunt"),CHOOSE(ArtifactsInput!$N$22+1,10,12,14,16,18,20)*((0*(((0.15*B2454*5))^0/1)+1*(((0.15*B2454*5))^1/1)+2*(((0.15*B2454*5))^2/2)+3*(((0.15*B2454*5))^3/6)+4*(((0.15*B2454*5))^4/24)+5*(((0.15*B2454*5))^5/120))/((((0.15*B2454*5))^0/1)+(((0.15*B2454*5))^1/1)+(((0.15*B2454*5))^2/2)+(((0.15*B2454*5))^3/6)+(((0.15*B2454*5))^4/24)+(((0.15*B2454*5))^5/120))),0)))/100)*(MIN(Skills!W10,Inputs!$B$37)))*((1+(IF(AND(ArtifactsInput!$M$41,Inputs!$B$39&lt;&gt;"pvp"),CHOOSE(ArtifactsInput!$N$41+1,5,6,7,8,9,10)*IF(OR(Inputs!$B$4="Weapon Dungeon",Inputs!$B$4="Equipment Dungeon",Inputs!$B$4="Enhancement Dungeon",Inputs!$B$4="EXP Dungeon",Inputs!$B$4="Hero Dungeon"),3,1),0)+IF(IF(ArtifactsInput!$M$26,FALSE,TRUE),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427">
      <c r="A2427">
        <f>Skills!A11</f>
        <v/>
      </c>
      <c r="B2427">
        <f>Skills!B11</f>
        <v/>
      </c>
      <c r="C2427">
        <f>Inputs!$B$3&gt;=74</f>
        <v/>
      </c>
      <c r="D2427">
        <f>IF(Skills!C11=1,60+Inputs!$B$25+Inputs!$B$29,IF(Skills!C11=2,90+Inputs!$B$26+Inputs!$B$29,IF(Skills!C11=3,120+Inputs!$B$27+Inputs!$B$29,MAX(0,(Inputs!$B$3-100)*3)+Inputs!$B$28+Inputs!$B$29)))</f>
        <v/>
      </c>
      <c r="E2427">
        <f>INDEX(FactorTable!$B$2:$Y$301, MATCH(ROUND(MIN(300,MAX(1,D2427)),0), FactorTable!$A$2:$A$301,0), Skills!M11+1)</f>
        <v/>
      </c>
      <c r="F2427">
        <f>IF(Skills!N11=TRUE,(Skills!L11/10)*(E2427/1000),Skills!L11/10)+Skills!O11</f>
        <v/>
      </c>
      <c r="G2427">
        <f>Skills!G11*IF(Skills!H11&gt;0,IF(Inputs!$B$39="pvp",MIN(Skills!I11,15),Skills!I11)/Skills!H11,1)</f>
        <v/>
      </c>
      <c r="H2427">
        <f>1-(1-Skills!J11/100)^Skills!K11</f>
        <v/>
      </c>
      <c r="I2427" t="inlineStr">
        <is>
          <t>1</t>
        </is>
      </c>
      <c r="J2427" t="inlineStr"/>
      <c r="K2427" t="inlineStr"/>
      <c r="L2427" t="inlineStr"/>
      <c r="M2427" t="inlineStr"/>
      <c r="N2427" t="inlineStr"/>
      <c r="O2427">
        <f>(1-Summary!$B$11)*T2427+Summary!$B$11*V2427</f>
        <v/>
      </c>
      <c r="P2427">
        <f>IF(B2462=0,0,O2427/B2462)</f>
        <v/>
      </c>
      <c r="Q2427">
        <f>IFERROR(1/IF(Inputs!$B$39="pvp",15,MAX(0.1,Skills!D11-IF(TRUE=TRUE,Inputs!$B$32,0))),0)</f>
        <v/>
      </c>
      <c r="R2427">
        <f>IF(AND(Inputs!$B$39&lt;&gt;"pvp",Inputs!$B$44&gt;0),IF(Inputs!$B$44&lt;=0,0,(INT(Inputs!$B$44/IF(Inputs!$B$39="pvp",15,MAX(0.1,Skills!D11-IF(TRUE=TRUE,Inputs!$B$32,0))))+1)),0)</f>
        <v/>
      </c>
      <c r="S2427">
        <f>IFERROR(O2427/N2427,0)</f>
        <v/>
      </c>
      <c r="T2427" t="n">
        <v>0</v>
      </c>
      <c r="V2427" t="n">
        <v>0</v>
      </c>
    </row>
    <row r="2428">
      <c r="A2428">
        <f>Skills!A12</f>
        <v/>
      </c>
      <c r="B2428">
        <f>Skills!B12</f>
        <v/>
      </c>
      <c r="C2428">
        <f>Inputs!$B$3&gt;=103</f>
        <v/>
      </c>
      <c r="D2428">
        <f>IF(Skills!C12=1,60+Inputs!$B$25+Inputs!$B$29,IF(Skills!C12=2,90+Inputs!$B$26+Inputs!$B$29,IF(Skills!C12=3,120+Inputs!$B$27+Inputs!$B$29,MAX(0,(Inputs!$B$3-100)*3)+Inputs!$B$28+Inputs!$B$29)))</f>
        <v/>
      </c>
      <c r="E2428">
        <f>INDEX(FactorTable!$B$2:$Y$301, MATCH(ROUND(MIN(300,MAX(1,D2428)),0), FactorTable!$A$2:$A$301,0), Skills!M12+1)</f>
        <v/>
      </c>
      <c r="F2428">
        <f>(Skills!L12/10)*(E2428/1000)+IF(Inputs!$B$3&gt;=134,50,0)+0.5*(30000/10)*(INDEX(FactorTable!$B$2:$Y$301, MATCH(ROUND(MIN(300,MAX(1,D2428)),0), FactorTable!$A$2:$A$301,0), 13)/1000)*B2460</f>
        <v/>
      </c>
      <c r="G2428">
        <f>Skills!G12*IF(Skills!H12&gt;0,IF(Inputs!$B$39="pvp",MIN(Skills!I12,15),Skills!I12)/Skills!H12,1)</f>
        <v/>
      </c>
      <c r="H2428">
        <f>1-(1-Skills!J12/100)^Skills!K12</f>
        <v/>
      </c>
      <c r="I2428" t="inlineStr">
        <is>
          <t>1</t>
        </is>
      </c>
      <c r="J2428">
        <f>((Inputs!$B$6*(1+Inputs!$B$7/100))+(((Inputs!$B$12*(1+Inputs!$B$13/100))-(Inputs!$B$12*(1+Inputs!$B$13/100)))+0.25*(Inputs!$B$14-Inputs!$B$14))*(1+Inputs!$B$7/100))*(F2428/100)</f>
        <v/>
      </c>
      <c r="K2428">
        <f>J2428*(1+((Inputs!$B$12*(1+Inputs!$B$13/100))*0.01+Inputs!$B$14*0.0025)/100)*(1+Inputs!$B$15/100)*(1+Inputs!$B$16/100)*(5000/(6000+Inputs!$B$43*(1-(100*(1-(1-Inputs!$B$19/100)*(1-CHOOSE(ArtifactsInput!$N$40+1,5,6,7,8,9,10)/100)^(ArtifactsInput!$M$40-ArtifactsInput!$M$40)))/100)))*(1+(Inputs!$B$24+((C2447=TRUE)*(F2447-Calc!F31))+((C2434=TRUE)*(F2434-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12="CRUEL_STAB",Inputs!$B$17+((C2444=TRUE)*(F2444-Calc!F28))+((IF(AND(Inputs!$B$39&lt;&gt;"pvp",Inputs!$B$44=0),1,IF(IF(Inputs!$B$39="pvp",15,Inputs!$B$44)-(B2461)&lt;=0,1,MAX(0,IF(Inputs!$B$39="pvp",15,Inputs!$B$44)-MAX(5,B2461))/(IF(Inputs!$B$39="pvp",15,Inputs!$B$44)-(B2461))))*(IF(AND(ArtifactsInput!$M$42,((Inputs!$B$9+((C2442=TRUE)*(F2442-Calc!F26))+B2450+(ArtifactsInput!$M$24-ArtifactsInput!$M$24)*CHOOSE(ArtifactsInput!$N$24+1,10,12,14,16,18,20)+IF(ArtifactsInput!$M$10,CHOOSE(ArtifactsInput!$N$10+1,15,18,21,24,27,30)*(IF(Inputs!$B$39="pvp",MIN(15,15)/15,IF(AND(Inputs!$B$39&lt;&gt;"pvp",Inputs!$B$44&gt;0),MIN(15,Inputs!$B$44)/(Inputs!$B$44),0))),0)))&gt;=100),MIN(100,((Inputs!$B$9+((C2442=TRUE)*(F2442-Calc!F26))+B2450+(ArtifactsInput!$M$24-ArtifactsInput!$M$24)*CHOOSE(ArtifactsInput!$N$24+1,10,12,14,16,18,20)+IF(ArtifactsInput!$M$10,CHOOSE(ArtifactsInput!$N$10+1,15,18,21,24,27,30)*(IF(Inputs!$B$39="pvp",MIN(15,15)/15,IF(AND(Inputs!$B$39&lt;&gt;"pvp",Inputs!$B$44&gt;0),MIN(15,Inputs!$B$44)/(Inputs!$B$44),0))),0)))-100),0))*CHOOSE(ArtifactsInput!$N$42+1,0.6,0.72,0.84,0.96,1.08,1.2))),Inputs!$B$18+((C2445=TRUE)*(F2445-Calc!F29))+(IF(AND(Inputs!$B$39&lt;&gt;"pvp",Inputs!$B$44=0),1,IF(IF(Inputs!$B$39="pvp",15,Inputs!$B$44)-(B2461)&lt;=0,1,MAX(0,IF(Inputs!$B$39="pvp",15,Inputs!$B$44)-MAX(5,B2461))/(IF(Inputs!$B$39="pvp",15,Inputs!$B$44)-(B2461))))*IF(AND(ArtifactsInput!$M$42,((Inputs!$B$9+((C2442=TRUE)*(F2442-Calc!F26))+B2450+(ArtifactsInput!$M$24-ArtifactsInput!$M$24)*CHOOSE(ArtifactsInput!$N$24+1,10,12,14,16,18,20)+IF(ArtifactsInput!$M$10,CHOOSE(ArtifactsInput!$N$10+1,15,18,21,24,27,30)*(IF(Inputs!$B$39="pvp",MIN(15,15)/15,IF(AND(Inputs!$B$39&lt;&gt;"pvp",Inputs!$B$44&gt;0),MIN(15,Inputs!$B$44)/(Inputs!$B$44),0))),0)))&gt;=100),CHOOSE(ArtifactsInput!$N$42+1,40,48,56,64,72,80),0))))/100)*(((1+(((C2438=TRUE)*F2438*IF(AND(Inputs!$B$39&lt;&gt;"pvp",Inputs!$B$44&gt;0),(((R2438-1)*MIN((Skills!Y22*(1+Inputs!$B$34/100)),(1/Q2438))+MIN((Skills!Y22*(1+Inputs!$B$34/100)),MAX(0,Inputs!$B$44-((R2438-1)*(1/Q2438)))))/Inputs!$B$44),IF(Inputs!$B$39="pvp",MIN((Skills!Y22*(1+Inputs!$B$34/100)),15)/15,MIN(1,(Skills!Y22*(1+Inputs!$B$34/100))/(1/Q2438)))))+((C2419=TRUE)*F2419*3)+((C2421=TRUE)*F2421*(1-EXP(-0.75*B2454*5)))+((C2440=TRUE)*(F2440-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2427=TRUE)*F2427*IF(AND(Inputs!$B$39&lt;&gt;"pvp",Inputs!$B$44&gt;0),(((R2427-1)*MIN((Skills!Y11*(1+Inputs!$B$34/100)),(1/Q2427))+MIN((Skills!Y11*(1+Inputs!$B$34/100)),MAX(0,Inputs!$B$44-((R2427-1)*(1/Q2427)))))/Inputs!$B$44),IF(Inputs!$B$39="pvp",MIN((Skills!Y11*(1+Inputs!$B$34/100)),15)/15,MIN(1,(Skills!Y11*(1+Inputs!$B$34/100))/(1/Q2427)))))/100)*(1+((C2432=TRUE)*F2432*IF(AND(Inputs!$B$39&lt;&gt;"pvp",Inputs!$B$44&gt;0),(((R2432-1)*MIN((Skills!Y16*(1+Inputs!$B$34/100)),(1/Q2432))+MIN((Skills!Y16*(1+Inputs!$B$34/100)),MAX(0,Inputs!$B$44-((R2432-1)*(1/Q2432)))))/Inputs!$B$44),IF(Inputs!$B$39="pvp",MIN((Skills!Y16*(1+Inputs!$B$34/100)),15)/15,MIN(1,(Skills!Y16*(1+Inputs!$B$34/100))/(1/Q2432)))))/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2452*I2428)</f>
        <v/>
      </c>
      <c r="L2428">
        <f>K2428*(MIN(Inputs!$B$22+((C2441=TRUE)*(F2441-Calc!F25)),(Inputs!$B$23+((C2446=TRUE)*(F2446-Calc!F30))+IF(ArtifactsInput!$M$15,CHOOSE(ArtifactsInput!$N$15+1,25,30,35,40,45,50)/100*(Inputs!$B$11-Inputs!$B$11),0)))/100+(Inputs!$B$23+((C2446=TRUE)*(F2446-Calc!F30))+IF(ArtifactsInput!$M$15,CHOOSE(ArtifactsInput!$N$15+1,25,30,35,40,45,50)/100*(Inputs!$B$11-Inputs!$B$11),0))/100)/2</f>
        <v/>
      </c>
      <c r="M2428">
        <f>L2428*(1+(Inputs!$B$10+((C2443=TRUE)*(F2443-Calc!F27))+B2457+(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2428">
        <f>L2428*(1-MIN((Inputs!$B$9+((C2442=TRUE)*(F2442-Calc!F26))+B2450+(ArtifactsInput!$M$24-ArtifactsInput!$M$24)*CHOOSE(ArtifactsInput!$N$24+1,10,12,14,16,18,20)+(IF(AND(Inputs!$B$39&lt;&gt;"pvp",Inputs!$B$44=0),1,IF(IF(Inputs!$B$39="pvp",15,Inputs!$B$44)-(B2461)&lt;=0,1,MAX(0,IF(Inputs!$B$39="pvp",15,Inputs!$B$44)-MAX(5,B2461))/(IF(Inputs!$B$39="pvp",15,Inputs!$B$44)-(B2461))))*IF(AND(ArtifactsInput!$M$42,((Inputs!$B$9+((C2442=TRUE)*(F2442-Calc!F26))+B2450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2428*(MIN((Inputs!$B$9+((C2442=TRUE)*(F2442-Calc!F26))+B2450+(ArtifactsInput!$M$24-ArtifactsInput!$M$24)*CHOOSE(ArtifactsInput!$N$24+1,10,12,14,16,18,20)+(IF(AND(Inputs!$B$39&lt;&gt;"pvp",Inputs!$B$44=0),1,IF(IF(Inputs!$B$39="pvp",15,Inputs!$B$44)-(B2461)&lt;=0,1,MAX(0,IF(Inputs!$B$39="pvp",15,Inputs!$B$44)-MAX(5,B2461))/(IF(Inputs!$B$39="pvp",15,Inputs!$B$44)-(B2461))))*IF(AND(ArtifactsInput!$M$42,((Inputs!$B$9+((C2442=TRUE)*(F2442-Calc!F26))+B2450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428">
        <f>(1-Summary!$B$11)*T2428+Summary!$B$11*V2428</f>
        <v/>
      </c>
      <c r="P2428">
        <f>IF(B2462=0,0,O2428/B2462)</f>
        <v/>
      </c>
      <c r="Q2428">
        <f>IFERROR(1/IF(Inputs!$B$39="pvp",15,MAX(0.1,Skills!D12-IF(TRUE=TRUE,Inputs!$B$32,0))),0)</f>
        <v/>
      </c>
      <c r="R2428">
        <f>IF(AND(Inputs!$B$39&lt;&gt;"pvp",Inputs!$B$44&gt;0),IF(MAX(0,Inputs!$B$44-B2461)&lt;=0,0,(INT(MAX(0,Inputs!$B$44-B2461)/IF(Inputs!$B$39="pvp",15,MAX(0.1,Skills!D12-IF(TRUE=TRUE,Inputs!$B$32,0))))+1)),0)</f>
        <v/>
      </c>
      <c r="S2428">
        <f>IFERROR(O2428/N2428,0)</f>
        <v/>
      </c>
      <c r="T2428">
        <f>IF(C2428,(H2428*N2428*IF(AND(Inputs!$B$39&lt;&gt;"pvp",Inputs!$B$44&gt;0),((Skills!G12*((R2428-1)*IF(Skills!H12&gt;0,Skills!I12/Skills!H12,1)+IF(Skills!H12&gt;0,MIN(Skills!I12,MAX(0,MAX(0,Inputs!$B$44-B2461)-((R2428-1)*IF(Inputs!$B$39="pvp",15,MAX(0.1,Skills!D12-IF(TRUE=TRUE,Inputs!$B$32,0))))))/Skills!H12,1)))/Inputs!$B$44),G2428*Q2428))*IF(Inputs!$B$39="pvp",1,1+(Inputs!$B$20+0+Skills!P12+B2451+(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Hunt"),CHOOSE(ArtifactsInput!$N$35+1,15,18,21,24,27,30)*(1-EXP(-(0.2*B2454)*5)),0)+IF(AND(ArtifactsInput!$M$22,Inputs!$B$4&lt;&gt;"Chapter Hunt"),CHOOSE(ArtifactsInput!$N$22+1,10,12,14,16,18,20)*((0*(((0.15*B2454*5))^0/1)+1*(((0.15*B2454*5))^1/1)+2*(((0.15*B2454*5))^2/2)+3*(((0.15*B2454*5))^3/6)+4*(((0.15*B2454*5))^4/24)+5*(((0.15*B2454*5))^5/120))/((((0.15*B2454*5))^0/1)+(((0.15*B2454*5))^1/1)+(((0.15*B2454*5))^2/2)+(((0.15*B2454*5))^3/6)+(((0.15*B2454*5))^4/24)+(((0.15*B2454*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2428*(1-MIN(100,(Inputs!$B$9+((C2442=TRUE)*(F2442-Calc!F26))+B2450+(ArtifactsInput!$M$24-ArtifactsInput!$M$24)*CHOOSE(ArtifactsInput!$N$24+1,10,12,14,16,18,20)+(IF(AND(Inputs!$B$39&lt;&gt;"pvp",Inputs!$B$44=0),1,IF(IF(Inputs!$B$39="pvp",15,Inputs!$B$44)-(B2461)&lt;=0,1,MAX(0,IF(Inputs!$B$39="pvp",15,Inputs!$B$44)-MAX(5,B2461))/(IF(Inputs!$B$39="pvp",15,Inputs!$B$44)-(B2461))))*IF(AND(ArtifactsInput!$M$42,((Inputs!$B$9+((C2442=TRUE)*(F2442-Calc!F26))+B2450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2428*(MIN(100,(Inputs!$B$9+((C2442=TRUE)*(F2442-Calc!F26))+B2450+(ArtifactsInput!$M$24-ArtifactsInput!$M$24)*CHOOSE(ArtifactsInput!$N$24+1,10,12,14,16,18,20)+(IF(AND(Inputs!$B$39&lt;&gt;"pvp",Inputs!$B$44=0),1,IF(IF(Inputs!$B$39="pvp",15,Inputs!$B$44)-(B2461)&lt;=0,1,MAX(0,IF(Inputs!$B$39="pvp",15,Inputs!$B$44)-MAX(5,B2461))/(IF(Inputs!$B$39="pvp",15,Inputs!$B$44)-(B2461))))*IF(AND(ArtifactsInput!$M$42,((Inputs!$B$9+((C2442=TRUE)*(F2442-Calc!F26))+B2450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2428*(1-MIN(100,(Inputs!$B$9+((C2442=TRUE)*(F2442-Calc!F26))+B2450+(ArtifactsInput!$M$24-ArtifactsInput!$M$24)*CHOOSE(ArtifactsInput!$N$24+1,10,12,14,16,18,20)+(IF(AND(Inputs!$B$39&lt;&gt;"pvp",Inputs!$B$44=0),1,IF(IF(Inputs!$B$39="pvp",15,Inputs!$B$44)-(B2461)&lt;=0,1,MAX(0,IF(Inputs!$B$39="pvp",15,Inputs!$B$44)-MAX(5,B2461))/(IF(Inputs!$B$39="pvp",15,Inputs!$B$44)-(B2461))))*IF(AND(ArtifactsInput!$M$42,((Inputs!$B$9+((C2442=TRUE)*(F2442-Calc!F26))+B2450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2428*(MIN(100,(Inputs!$B$9+((C2442=TRUE)*(F2442-Calc!F26))+B2450+(ArtifactsInput!$M$24-ArtifactsInput!$M$24)*CHOOSE(ArtifactsInput!$N$24+1,10,12,14,16,18,20)+(IF(AND(Inputs!$B$39&lt;&gt;"pvp",Inputs!$B$44=0),1,IF(IF(Inputs!$B$39="pvp",15,Inputs!$B$44)-(B2461)&lt;=0,1,MAX(0,IF(Inputs!$B$39="pvp",15,Inputs!$B$44)-MAX(5,B2461))/(IF(Inputs!$B$39="pvp",15,Inputs!$B$44)-(B2461))))*IF(AND(ArtifactsInput!$M$42,((Inputs!$B$9+((C2442=TRUE)*(F2442-Calc!F26))+B2450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IF(ArtifactsInput!$M$26,FALSE,TRUE),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428">
        <f>IF(C2428,(H2428*N2428*IF(AND(Inputs!$B$39&lt;&gt;"pvp",Inputs!$B$44&gt;0),((Skills!G12*((R2428-1)*IF(Skills!H12&gt;0,Skills!I12/Skills!H12,1)+IF(Skills!H12&gt;0,MIN(Skills!I12,MAX(0,MAX(0,Inputs!$B$44-B2461)-((R2428-1)*IF(Inputs!$B$39="pvp",15,MAX(0.1,Skills!D12-IF(TRUE=TRUE,Inputs!$B$32,0))))))/Skills!H12,1)))/Inputs!$B$44),G2428*Q2428))*IF(Inputs!$B$39="pvp",1,(1+(Inputs!$B$21+Skills!Q12+B2451+(IF(ArtifactsInput!$M$33,CHOOSE(ArtifactsInput!$N$33+1,30,36,42,48,54,60),0))+(IF(AND(ArtifactsInput!$M$35,Inputs!$B$4&lt;&gt;"Chapter Hunt"),CHOOSE(ArtifactsInput!$N$35+1,15,18,21,24,27,30)*(1-EXP(-(0.2*B2454)*5)),0)+IF(AND(ArtifactsInput!$M$22,Inputs!$B$4&lt;&gt;"Chapter Hunt"),CHOOSE(ArtifactsInput!$N$22+1,10,12,14,16,18,20)*((0*(((0.15*B2454*5))^0/1)+1*(((0.15*B2454*5))^1/1)+2*(((0.15*B2454*5))^2/2)+3*(((0.15*B2454*5))^3/6)+4*(((0.15*B2454*5))^4/24)+5*(((0.15*B2454*5))^5/120))/((((0.15*B2454*5))^0/1)+(((0.15*B2454*5))^1/1)+(((0.15*B2454*5))^2/2)+(((0.15*B2454*5))^3/6)+(((0.15*B2454*5))^4/24)+(((0.15*B2454*5))^5/120))),0)))/100)*(MIN(Skills!W12,Inputs!$B$37)))*((1+(IF(AND(ArtifactsInput!$M$41,Inputs!$B$39&lt;&gt;"pvp"),CHOOSE(ArtifactsInput!$N$41+1,5,6,7,8,9,10)*IF(OR(Inputs!$B$4="Weapon Dungeon",Inputs!$B$4="Equipment Dungeon",Inputs!$B$4="Enhancement Dungeon",Inputs!$B$4="EXP Dungeon",Inputs!$B$4="Hero Dungeon"),3,1),0)+IF(IF(ArtifactsInput!$M$26,FALSE,TRUE),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429">
      <c r="A2429">
        <f>Skills!A13</f>
        <v/>
      </c>
      <c r="B2429">
        <f>Skills!B13</f>
        <v/>
      </c>
      <c r="C2429">
        <f>Inputs!$B$3&gt;=105</f>
        <v/>
      </c>
      <c r="D2429">
        <f>IF(Skills!C13=1,60+Inputs!$B$25+Inputs!$B$29,IF(Skills!C13=2,90+Inputs!$B$26+Inputs!$B$29,IF(Skills!C13=3,120+Inputs!$B$27+Inputs!$B$29,MAX(0,(Inputs!$B$3-100)*3)+Inputs!$B$28+Inputs!$B$29)))</f>
        <v/>
      </c>
      <c r="E2429">
        <f>INDEX(FactorTable!$B$2:$Y$301, MATCH(ROUND(MIN(300,MAX(1,D2429)),0), FactorTable!$A$2:$A$301,0), Skills!M13+1)</f>
        <v/>
      </c>
      <c r="F2429">
        <f>IF(Skills!N13=TRUE,(Skills!L13/10)*(E2429/1000),Skills!L13/10)+Skills!O13</f>
        <v/>
      </c>
      <c r="G2429">
        <f>Skills!G13*IF(Skills!H13&gt;0,IF(Inputs!$B$39="pvp",MIN(Skills!I13,15),Skills!I13)/Skills!H13,1)</f>
        <v/>
      </c>
      <c r="H2429">
        <f>1-(1-Skills!J13/100)^Skills!K13</f>
        <v/>
      </c>
      <c r="I2429" t="inlineStr">
        <is>
          <t>1</t>
        </is>
      </c>
      <c r="J2429">
        <f>((Inputs!$B$6*(1+Inputs!$B$7/100))+(((Inputs!$B$12*(1+Inputs!$B$13/100))-(Inputs!$B$12*(1+Inputs!$B$13/100)))+0.25*(Inputs!$B$14-Inputs!$B$14))*(1+Inputs!$B$7/100))*(F2429/100)</f>
        <v/>
      </c>
      <c r="K2429">
        <f>J2429*(1+((Inputs!$B$12*(1+Inputs!$B$13/100))*0.01+Inputs!$B$14*0.0025)/100)*(1+Inputs!$B$15/100)*(1+Inputs!$B$16/100)*(5000/(6000+Inputs!$B$43*(1-(100*(1-(1-Inputs!$B$19/100)*(1-CHOOSE(ArtifactsInput!$N$40+1,5,6,7,8,9,10)/100)^(ArtifactsInput!$M$40-ArtifactsInput!$M$40)))/100)))*(1+(Inputs!$B$24+((C2447=TRUE)*(F2447-Calc!F31))+((C2434=TRUE)*(F2434-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13="CRUEL_STAB",Inputs!$B$17+((C2444=TRUE)*(F2444-Calc!F28))+((IF(AND(Inputs!$B$39&lt;&gt;"pvp",Inputs!$B$44=0),1,IF(IF(Inputs!$B$39="pvp",15,Inputs!$B$44)-(B2461)&lt;=0,1,MAX(0,IF(Inputs!$B$39="pvp",15,Inputs!$B$44)-MAX(5,B2461))/(IF(Inputs!$B$39="pvp",15,Inputs!$B$44)-(B2461))))*(IF(AND(ArtifactsInput!$M$42,((Inputs!$B$9+((C2442=TRUE)*(F2442-Calc!F26))+B2450+(ArtifactsInput!$M$24-ArtifactsInput!$M$24)*CHOOSE(ArtifactsInput!$N$24+1,10,12,14,16,18,20)+IF(ArtifactsInput!$M$10,CHOOSE(ArtifactsInput!$N$10+1,15,18,21,24,27,30)*(IF(Inputs!$B$39="pvp",MIN(15,15)/15,IF(AND(Inputs!$B$39&lt;&gt;"pvp",Inputs!$B$44&gt;0),MIN(15,Inputs!$B$44)/(Inputs!$B$44),0))),0)))&gt;=100),MIN(100,((Inputs!$B$9+((C2442=TRUE)*(F2442-Calc!F26))+B2450+(ArtifactsInput!$M$24-ArtifactsInput!$M$24)*CHOOSE(ArtifactsInput!$N$24+1,10,12,14,16,18,20)+IF(ArtifactsInput!$M$10,CHOOSE(ArtifactsInput!$N$10+1,15,18,21,24,27,30)*(IF(Inputs!$B$39="pvp",MIN(15,15)/15,IF(AND(Inputs!$B$39&lt;&gt;"pvp",Inputs!$B$44&gt;0),MIN(15,Inputs!$B$44)/(Inputs!$B$44),0))),0)))-100),0))*CHOOSE(ArtifactsInput!$N$42+1,0.6,0.72,0.84,0.96,1.08,1.2))),Inputs!$B$18+((C2445=TRUE)*(F2445-Calc!F29))+(IF(AND(Inputs!$B$39&lt;&gt;"pvp",Inputs!$B$44=0),1,IF(IF(Inputs!$B$39="pvp",15,Inputs!$B$44)-(B2461)&lt;=0,1,MAX(0,IF(Inputs!$B$39="pvp",15,Inputs!$B$44)-MAX(5,B2461))/(IF(Inputs!$B$39="pvp",15,Inputs!$B$44)-(B2461))))*IF(AND(ArtifactsInput!$M$42,((Inputs!$B$9+((C2442=TRUE)*(F2442-Calc!F26))+B2450+(ArtifactsInput!$M$24-ArtifactsInput!$M$24)*CHOOSE(ArtifactsInput!$N$24+1,10,12,14,16,18,20)+IF(ArtifactsInput!$M$10,CHOOSE(ArtifactsInput!$N$10+1,15,18,21,24,27,30)*(IF(Inputs!$B$39="pvp",MIN(15,15)/15,IF(AND(Inputs!$B$39&lt;&gt;"pvp",Inputs!$B$44&gt;0),MIN(15,Inputs!$B$44)/(Inputs!$B$44),0))),0)))&gt;=100),CHOOSE(ArtifactsInput!$N$42+1,40,48,56,64,72,80),0))))/100)*(((1+(((C2438=TRUE)*F2438*IF(AND(Inputs!$B$39&lt;&gt;"pvp",Inputs!$B$44&gt;0),(((R2438-1)*MIN((Skills!Y22*(1+Inputs!$B$34/100)),(1/Q2438))+MIN((Skills!Y22*(1+Inputs!$B$34/100)),MAX(0,Inputs!$B$44-((R2438-1)*(1/Q2438)))))/Inputs!$B$44),IF(Inputs!$B$39="pvp",MIN((Skills!Y22*(1+Inputs!$B$34/100)),15)/15,MIN(1,(Skills!Y22*(1+Inputs!$B$34/100))/(1/Q2438)))))+((C2419=TRUE)*F2419*3)+((C2421=TRUE)*F2421*(1-EXP(-0.75*B2454*5)))+((C2440=TRUE)*(F2440-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2427=TRUE)*F2427*IF(AND(Inputs!$B$39&lt;&gt;"pvp",Inputs!$B$44&gt;0),(((R2427-1)*MIN((Skills!Y11*(1+Inputs!$B$34/100)),(1/Q2427))+MIN((Skills!Y11*(1+Inputs!$B$34/100)),MAX(0,Inputs!$B$44-((R2427-1)*(1/Q2427)))))/Inputs!$B$44),IF(Inputs!$B$39="pvp",MIN((Skills!Y11*(1+Inputs!$B$34/100)),15)/15,MIN(1,(Skills!Y11*(1+Inputs!$B$34/100))/(1/Q2427)))))/100)*(1+((C2432=TRUE)*F2432*IF(AND(Inputs!$B$39&lt;&gt;"pvp",Inputs!$B$44&gt;0),(((R2432-1)*MIN((Skills!Y16*(1+Inputs!$B$34/100)),(1/Q2432))+MIN((Skills!Y16*(1+Inputs!$B$34/100)),MAX(0,Inputs!$B$44-((R2432-1)*(1/Q2432)))))/Inputs!$B$44),IF(Inputs!$B$39="pvp",MIN((Skills!Y16*(1+Inputs!$B$34/100)),15)/15,MIN(1,(Skills!Y16*(1+Inputs!$B$34/100))/(1/Q2432)))))/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2452*I2429)</f>
        <v/>
      </c>
      <c r="L2429">
        <f>K2429*(MIN(Inputs!$B$22+((C2441=TRUE)*(F2441-Calc!F25)),(Inputs!$B$23+((C2446=TRUE)*(F2446-Calc!F30))+IF(ArtifactsInput!$M$15,CHOOSE(ArtifactsInput!$N$15+1,25,30,35,40,45,50)/100*(Inputs!$B$11-Inputs!$B$11),0)))/100+(Inputs!$B$23+((C2446=TRUE)*(F2446-Calc!F30))+IF(ArtifactsInput!$M$15,CHOOSE(ArtifactsInput!$N$15+1,25,30,35,40,45,50)/100*(Inputs!$B$11-Inputs!$B$11),0))/100)/2</f>
        <v/>
      </c>
      <c r="M2429">
        <f>L2429*(1+(Inputs!$B$10+((C2443=TRUE)*(F2443-Calc!F27))+B2457+(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2429">
        <f>L2429*(1-MIN((Inputs!$B$9+((C2442=TRUE)*(F2442-Calc!F26))+B2450+(ArtifactsInput!$M$24-ArtifactsInput!$M$24)*CHOOSE(ArtifactsInput!$N$24+1,10,12,14,16,18,20)+(IF(AND(Inputs!$B$39&lt;&gt;"pvp",Inputs!$B$44=0),1,IF(IF(Inputs!$B$39="pvp",15,Inputs!$B$44)-(B2461)&lt;=0,1,MAX(0,IF(Inputs!$B$39="pvp",15,Inputs!$B$44)-MAX(5,B2461))/(IF(Inputs!$B$39="pvp",15,Inputs!$B$44)-(B2461))))*IF(AND(ArtifactsInput!$M$42,((Inputs!$B$9+((C2442=TRUE)*(F2442-Calc!F26))+B2450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2429*(MIN((Inputs!$B$9+((C2442=TRUE)*(F2442-Calc!F26))+B2450+(ArtifactsInput!$M$24-ArtifactsInput!$M$24)*CHOOSE(ArtifactsInput!$N$24+1,10,12,14,16,18,20)+(IF(AND(Inputs!$B$39&lt;&gt;"pvp",Inputs!$B$44=0),1,IF(IF(Inputs!$B$39="pvp",15,Inputs!$B$44)-(B2461)&lt;=0,1,MAX(0,IF(Inputs!$B$39="pvp",15,Inputs!$B$44)-MAX(5,B2461))/(IF(Inputs!$B$39="pvp",15,Inputs!$B$44)-(B2461))))*IF(AND(ArtifactsInput!$M$42,((Inputs!$B$9+((C2442=TRUE)*(F2442-Calc!F26))+B2450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429">
        <f>(1-Summary!$B$11)*T2429+Summary!$B$11*V2429</f>
        <v/>
      </c>
      <c r="P2429">
        <f>IF(B2462=0,0,O2429/B2462)</f>
        <v/>
      </c>
      <c r="Q2429">
        <f>IFERROR(1/IF(Inputs!$B$39="pvp",15,MAX(0.1,Skills!D13-IF(TRUE=TRUE,Inputs!$B$32,0))),0)</f>
        <v/>
      </c>
      <c r="R2429">
        <f>IF(AND(Inputs!$B$39&lt;&gt;"pvp",Inputs!$B$44&gt;0),IF(MAX(0,Inputs!$B$44-B2461)&lt;=0,0,(INT(MAX(0,Inputs!$B$44-B2461)/IF(Inputs!$B$39="pvp",15,MAX(0.1,Skills!D13-IF(TRUE=TRUE,Inputs!$B$32,0))))+1)),0)</f>
        <v/>
      </c>
      <c r="S2429">
        <f>IFERROR(O2429/N2429,0)</f>
        <v/>
      </c>
      <c r="T2429">
        <f>IF(C2429,(H2429*N2429*IF(AND(Inputs!$B$39&lt;&gt;"pvp",Inputs!$B$44&gt;0),((Skills!G13*((R2429-1)*IF(Skills!H13&gt;0,Skills!I13/Skills!H13,1)+IF(Skills!H13&gt;0,MIN(Skills!I13,MAX(0,MAX(0,Inputs!$B$44-B2461)-((R2429-1)*IF(Inputs!$B$39="pvp",15,MAX(0.1,Skills!D13-IF(TRUE=TRUE,Inputs!$B$32,0))))))/Skills!H13,1)))/Inputs!$B$44),G2429*Q2429))*IF(Inputs!$B$39="pvp",1,1+(Inputs!$B$20+0+Skills!P13+B2451+(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Hunt"),CHOOSE(ArtifactsInput!$N$35+1,15,18,21,24,27,30)*(1-EXP(-(0.2*B2454)*5)),0)+IF(AND(ArtifactsInput!$M$22,Inputs!$B$4&lt;&gt;"Chapter Hunt"),CHOOSE(ArtifactsInput!$N$22+1,10,12,14,16,18,20)*((0*(((0.15*B2454*5))^0/1)+1*(((0.15*B2454*5))^1/1)+2*(((0.15*B2454*5))^2/2)+3*(((0.15*B2454*5))^3/6)+4*(((0.15*B2454*5))^4/24)+5*(((0.15*B2454*5))^5/120))/((((0.15*B2454*5))^0/1)+(((0.15*B2454*5))^1/1)+(((0.15*B2454*5))^2/2)+(((0.15*B2454*5))^3/6)+(((0.15*B2454*5))^4/24)+(((0.15*B2454*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2429*(1-MIN(100,(Inputs!$B$9+((C2442=TRUE)*(F2442-Calc!F26))+B2450+(ArtifactsInput!$M$24-ArtifactsInput!$M$24)*CHOOSE(ArtifactsInput!$N$24+1,10,12,14,16,18,20)+(IF(AND(Inputs!$B$39&lt;&gt;"pvp",Inputs!$B$44=0),1,IF(IF(Inputs!$B$39="pvp",15,Inputs!$B$44)-(B2461)&lt;=0,1,MAX(0,IF(Inputs!$B$39="pvp",15,Inputs!$B$44)-MAX(5,B2461))/(IF(Inputs!$B$39="pvp",15,Inputs!$B$44)-(B2461))))*IF(AND(ArtifactsInput!$M$42,((Inputs!$B$9+((C2442=TRUE)*(F2442-Calc!F26))+B2450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2429*(MIN(100,(Inputs!$B$9+((C2442=TRUE)*(F2442-Calc!F26))+B2450+(ArtifactsInput!$M$24-ArtifactsInput!$M$24)*CHOOSE(ArtifactsInput!$N$24+1,10,12,14,16,18,20)+(IF(AND(Inputs!$B$39&lt;&gt;"pvp",Inputs!$B$44=0),1,IF(IF(Inputs!$B$39="pvp",15,Inputs!$B$44)-(B2461)&lt;=0,1,MAX(0,IF(Inputs!$B$39="pvp",15,Inputs!$B$44)-MAX(5,B2461))/(IF(Inputs!$B$39="pvp",15,Inputs!$B$44)-(B2461))))*IF(AND(ArtifactsInput!$M$42,((Inputs!$B$9+((C2442=TRUE)*(F2442-Calc!F26))+B2450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2429*(1-MIN(100,(Inputs!$B$9+((C2442=TRUE)*(F2442-Calc!F26))+B2450+(ArtifactsInput!$M$24-ArtifactsInput!$M$24)*CHOOSE(ArtifactsInput!$N$24+1,10,12,14,16,18,20)+(IF(AND(Inputs!$B$39&lt;&gt;"pvp",Inputs!$B$44=0),1,IF(IF(Inputs!$B$39="pvp",15,Inputs!$B$44)-(B2461)&lt;=0,1,MAX(0,IF(Inputs!$B$39="pvp",15,Inputs!$B$44)-MAX(5,B2461))/(IF(Inputs!$B$39="pvp",15,Inputs!$B$44)-(B2461))))*IF(AND(ArtifactsInput!$M$42,((Inputs!$B$9+((C2442=TRUE)*(F2442-Calc!F26))+B2450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2429*(MIN(100,(Inputs!$B$9+((C2442=TRUE)*(F2442-Calc!F26))+B2450+(ArtifactsInput!$M$24-ArtifactsInput!$M$24)*CHOOSE(ArtifactsInput!$N$24+1,10,12,14,16,18,20)+(IF(AND(Inputs!$B$39&lt;&gt;"pvp",Inputs!$B$44=0),1,IF(IF(Inputs!$B$39="pvp",15,Inputs!$B$44)-(B2461)&lt;=0,1,MAX(0,IF(Inputs!$B$39="pvp",15,Inputs!$B$44)-MAX(5,B2461))/(IF(Inputs!$B$39="pvp",15,Inputs!$B$44)-(B2461))))*IF(AND(ArtifactsInput!$M$42,((Inputs!$B$9+((C2442=TRUE)*(F2442-Calc!F26))+B2450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IF(ArtifactsInput!$M$26,FALSE,TRUE),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429">
        <f>IF(C2429,(H2429*N2429*IF(AND(Inputs!$B$39&lt;&gt;"pvp",Inputs!$B$44&gt;0),((Skills!G13*((R2429-1)*IF(Skills!H13&gt;0,Skills!I13/Skills!H13,1)+IF(Skills!H13&gt;0,MIN(Skills!I13,MAX(0,MAX(0,Inputs!$B$44-B2461)-((R2429-1)*IF(Inputs!$B$39="pvp",15,MAX(0.1,Skills!D13-IF(TRUE=TRUE,Inputs!$B$32,0))))))/Skills!H13,1)))/Inputs!$B$44),G2429*Q2429))*IF(Inputs!$B$39="pvp",1,(1+(Inputs!$B$21+Skills!Q13+B2451+(IF(ArtifactsInput!$M$33,CHOOSE(ArtifactsInput!$N$33+1,30,36,42,48,54,60),0))+(IF(AND(ArtifactsInput!$M$35,Inputs!$B$4&lt;&gt;"Chapter Hunt"),CHOOSE(ArtifactsInput!$N$35+1,15,18,21,24,27,30)*(1-EXP(-(0.2*B2454)*5)),0)+IF(AND(ArtifactsInput!$M$22,Inputs!$B$4&lt;&gt;"Chapter Hunt"),CHOOSE(ArtifactsInput!$N$22+1,10,12,14,16,18,20)*((0*(((0.15*B2454*5))^0/1)+1*(((0.15*B2454*5))^1/1)+2*(((0.15*B2454*5))^2/2)+3*(((0.15*B2454*5))^3/6)+4*(((0.15*B2454*5))^4/24)+5*(((0.15*B2454*5))^5/120))/((((0.15*B2454*5))^0/1)+(((0.15*B2454*5))^1/1)+(((0.15*B2454*5))^2/2)+(((0.15*B2454*5))^3/6)+(((0.15*B2454*5))^4/24)+(((0.15*B2454*5))^5/120))),0)))/100)*(MIN(Skills!W13,Inputs!$B$37)))*((1+(IF(AND(ArtifactsInput!$M$41,Inputs!$B$39&lt;&gt;"pvp"),CHOOSE(ArtifactsInput!$N$41+1,5,6,7,8,9,10)*IF(OR(Inputs!$B$4="Weapon Dungeon",Inputs!$B$4="Equipment Dungeon",Inputs!$B$4="Enhancement Dungeon",Inputs!$B$4="EXP Dungeon",Inputs!$B$4="Hero Dungeon"),3,1),0)+IF(IF(ArtifactsInput!$M$26,FALSE,TRUE),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430">
      <c r="A2430">
        <f>Skills!A14</f>
        <v/>
      </c>
      <c r="B2430">
        <f>Skills!B14</f>
        <v/>
      </c>
      <c r="C2430">
        <f>Inputs!$B$3&gt;=105</f>
        <v/>
      </c>
      <c r="D2430">
        <f>IF(Skills!C14=1,60+Inputs!$B$25+Inputs!$B$29,IF(Skills!C14=2,90+Inputs!$B$26+Inputs!$B$29,IF(Skills!C14=3,120+Inputs!$B$27+Inputs!$B$29,MAX(0,(Inputs!$B$3-100)*3)+Inputs!$B$28+Inputs!$B$29)))</f>
        <v/>
      </c>
      <c r="E2430">
        <f>INDEX(FactorTable!$B$2:$Y$301, MATCH(ROUND(MIN(300,MAX(1,D2430)),0), FactorTable!$A$2:$A$301,0), Skills!M14+1)</f>
        <v/>
      </c>
      <c r="F2430">
        <f>IF(Skills!N14=TRUE,(Skills!L14/10)*(E2430/1000),Skills!L14/10)+Skills!O14</f>
        <v/>
      </c>
      <c r="G2430">
        <f>Skills!G14*IF(Skills!H14&gt;0,IF(Inputs!$B$39="pvp",MIN(Skills!I14,15),Skills!I14)/Skills!H14,1)</f>
        <v/>
      </c>
      <c r="H2430">
        <f>1-(1-Skills!J14/100)^Skills!K14</f>
        <v/>
      </c>
      <c r="I2430" t="inlineStr">
        <is>
          <t>1</t>
        </is>
      </c>
      <c r="J2430">
        <f>((Inputs!$B$6*(1+Inputs!$B$7/100))+(((Inputs!$B$12*(1+Inputs!$B$13/100))-(Inputs!$B$12*(1+Inputs!$B$13/100)))+0.25*(Inputs!$B$14-Inputs!$B$14))*(1+Inputs!$B$7/100))*(F2430/100)</f>
        <v/>
      </c>
      <c r="K2430">
        <f>J2430*(1+((Inputs!$B$12*(1+Inputs!$B$13/100))*0.01+Inputs!$B$14*0.0025)/100)*(1+Inputs!$B$15/100)*(1+Inputs!$B$16/100)*(5000/(6000+Inputs!$B$43*(1-(100*(1-(1-Inputs!$B$19/100)*(1-CHOOSE(ArtifactsInput!$N$40+1,5,6,7,8,9,10)/100)^(ArtifactsInput!$M$40-ArtifactsInput!$M$40)))/100)))*(1+(Inputs!$B$24+((C2447=TRUE)*(F2447-Calc!F31))+((C2434=TRUE)*(F2434-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14="CRUEL_STAB",Inputs!$B$17+((C2444=TRUE)*(F2444-Calc!F28))+((IF(AND(Inputs!$B$39&lt;&gt;"pvp",Inputs!$B$44=0),1,IF(IF(Inputs!$B$39="pvp",15,Inputs!$B$44)-(B2461)&lt;=0,1,MAX(0,IF(Inputs!$B$39="pvp",15,Inputs!$B$44)-MAX(5,B2461))/(IF(Inputs!$B$39="pvp",15,Inputs!$B$44)-(B2461))))*(IF(AND(ArtifactsInput!$M$42,((Inputs!$B$9+((C2442=TRUE)*(F2442-Calc!F26))+B2450+(ArtifactsInput!$M$24-ArtifactsInput!$M$24)*CHOOSE(ArtifactsInput!$N$24+1,10,12,14,16,18,20)+IF(ArtifactsInput!$M$10,CHOOSE(ArtifactsInput!$N$10+1,15,18,21,24,27,30)*(IF(Inputs!$B$39="pvp",MIN(15,15)/15,IF(AND(Inputs!$B$39&lt;&gt;"pvp",Inputs!$B$44&gt;0),MIN(15,Inputs!$B$44)/(Inputs!$B$44),0))),0)))&gt;=100),MIN(100,((Inputs!$B$9+((C2442=TRUE)*(F2442-Calc!F26))+B2450+(ArtifactsInput!$M$24-ArtifactsInput!$M$24)*CHOOSE(ArtifactsInput!$N$24+1,10,12,14,16,18,20)+IF(ArtifactsInput!$M$10,CHOOSE(ArtifactsInput!$N$10+1,15,18,21,24,27,30)*(IF(Inputs!$B$39="pvp",MIN(15,15)/15,IF(AND(Inputs!$B$39&lt;&gt;"pvp",Inputs!$B$44&gt;0),MIN(15,Inputs!$B$44)/(Inputs!$B$44),0))),0)))-100),0))*CHOOSE(ArtifactsInput!$N$42+1,0.6,0.72,0.84,0.96,1.08,1.2))),Inputs!$B$18+((C2445=TRUE)*(F2445-Calc!F29))+(IF(AND(Inputs!$B$39&lt;&gt;"pvp",Inputs!$B$44=0),1,IF(IF(Inputs!$B$39="pvp",15,Inputs!$B$44)-(B2461)&lt;=0,1,MAX(0,IF(Inputs!$B$39="pvp",15,Inputs!$B$44)-MAX(5,B2461))/(IF(Inputs!$B$39="pvp",15,Inputs!$B$44)-(B2461))))*IF(AND(ArtifactsInput!$M$42,((Inputs!$B$9+((C2442=TRUE)*(F2442-Calc!F26))+B2450+(ArtifactsInput!$M$24-ArtifactsInput!$M$24)*CHOOSE(ArtifactsInput!$N$24+1,10,12,14,16,18,20)+IF(ArtifactsInput!$M$10,CHOOSE(ArtifactsInput!$N$10+1,15,18,21,24,27,30)*(IF(Inputs!$B$39="pvp",MIN(15,15)/15,IF(AND(Inputs!$B$39&lt;&gt;"pvp",Inputs!$B$44&gt;0),MIN(15,Inputs!$B$44)/(Inputs!$B$44),0))),0)))&gt;=100),CHOOSE(ArtifactsInput!$N$42+1,40,48,56,64,72,80),0))))/100)*(((1+(((C2438=TRUE)*F2438*IF(AND(Inputs!$B$39&lt;&gt;"pvp",Inputs!$B$44&gt;0),(((R2438-1)*MIN((Skills!Y22*(1+Inputs!$B$34/100)),(1/Q2438))+MIN((Skills!Y22*(1+Inputs!$B$34/100)),MAX(0,Inputs!$B$44-((R2438-1)*(1/Q2438)))))/Inputs!$B$44),IF(Inputs!$B$39="pvp",MIN((Skills!Y22*(1+Inputs!$B$34/100)),15)/15,MIN(1,(Skills!Y22*(1+Inputs!$B$34/100))/(1/Q2438)))))+((C2419=TRUE)*F2419*3)+((C2421=TRUE)*F2421*(1-EXP(-0.75*B2454*5)))+((C2440=TRUE)*(F2440-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2427=TRUE)*F2427*IF(AND(Inputs!$B$39&lt;&gt;"pvp",Inputs!$B$44&gt;0),(((R2427-1)*MIN((Skills!Y11*(1+Inputs!$B$34/100)),(1/Q2427))+MIN((Skills!Y11*(1+Inputs!$B$34/100)),MAX(0,Inputs!$B$44-((R2427-1)*(1/Q2427)))))/Inputs!$B$44),IF(Inputs!$B$39="pvp",MIN((Skills!Y11*(1+Inputs!$B$34/100)),15)/15,MIN(1,(Skills!Y11*(1+Inputs!$B$34/100))/(1/Q2427)))))/100)*(1+((C2432=TRUE)*F2432*IF(AND(Inputs!$B$39&lt;&gt;"pvp",Inputs!$B$44&gt;0),(((R2432-1)*MIN((Skills!Y16*(1+Inputs!$B$34/100)),(1/Q2432))+MIN((Skills!Y16*(1+Inputs!$B$34/100)),MAX(0,Inputs!$B$44-((R2432-1)*(1/Q2432)))))/Inputs!$B$44),IF(Inputs!$B$39="pvp",MIN((Skills!Y16*(1+Inputs!$B$34/100)),15)/15,MIN(1,(Skills!Y16*(1+Inputs!$B$34/100))/(1/Q2432)))))/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2452*I2430)</f>
        <v/>
      </c>
      <c r="L2430">
        <f>K2430*(MIN(Inputs!$B$22+((C2441=TRUE)*(F2441-Calc!F25)),(Inputs!$B$23+((C2446=TRUE)*(F2446-Calc!F30))+IF(ArtifactsInput!$M$15,CHOOSE(ArtifactsInput!$N$15+1,25,30,35,40,45,50)/100*(Inputs!$B$11-Inputs!$B$11),0)))/100+(Inputs!$B$23+((C2446=TRUE)*(F2446-Calc!F30))+IF(ArtifactsInput!$M$15,CHOOSE(ArtifactsInput!$N$15+1,25,30,35,40,45,50)/100*(Inputs!$B$11-Inputs!$B$11),0))/100)/2</f>
        <v/>
      </c>
      <c r="M2430">
        <f>L2430*(1+(Inputs!$B$10+((C2443=TRUE)*(F2443-Calc!F27))+B2457+(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2430">
        <f>L2430*(1-MIN((Inputs!$B$9+((C2442=TRUE)*(F2442-Calc!F26))+B2450+(ArtifactsInput!$M$24-ArtifactsInput!$M$24)*CHOOSE(ArtifactsInput!$N$24+1,10,12,14,16,18,20)+(IF(AND(Inputs!$B$39&lt;&gt;"pvp",Inputs!$B$44=0),1,IF(IF(Inputs!$B$39="pvp",15,Inputs!$B$44)-(B2461)&lt;=0,1,MAX(0,IF(Inputs!$B$39="pvp",15,Inputs!$B$44)-MAX(5,B2461))/(IF(Inputs!$B$39="pvp",15,Inputs!$B$44)-(B2461))))*IF(AND(ArtifactsInput!$M$42,((Inputs!$B$9+((C2442=TRUE)*(F2442-Calc!F26))+B2450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2430*(MIN((Inputs!$B$9+((C2442=TRUE)*(F2442-Calc!F26))+B2450+(ArtifactsInput!$M$24-ArtifactsInput!$M$24)*CHOOSE(ArtifactsInput!$N$24+1,10,12,14,16,18,20)+(IF(AND(Inputs!$B$39&lt;&gt;"pvp",Inputs!$B$44=0),1,IF(IF(Inputs!$B$39="pvp",15,Inputs!$B$44)-(B2461)&lt;=0,1,MAX(0,IF(Inputs!$B$39="pvp",15,Inputs!$B$44)-MAX(5,B2461))/(IF(Inputs!$B$39="pvp",15,Inputs!$B$44)-(B2461))))*IF(AND(ArtifactsInput!$M$42,((Inputs!$B$9+((C2442=TRUE)*(F2442-Calc!F26))+B2450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430">
        <f>(1-Summary!$B$11)*T2430+Summary!$B$11*V2430</f>
        <v/>
      </c>
      <c r="P2430">
        <f>IF(B2462=0,0,O2430/B2462)</f>
        <v/>
      </c>
      <c r="Q2430">
        <f>IFERROR(1/IF(Inputs!$B$39="pvp",15,MAX(0.1,Skills!D14-IF(TRUE=TRUE,Inputs!$B$32,0))),0)</f>
        <v/>
      </c>
      <c r="R2430">
        <f>IF(AND(Inputs!$B$39&lt;&gt;"pvp",Inputs!$B$44&gt;0),IF(MAX(0,Inputs!$B$44-B2461)&lt;=0,0,(INT(MAX(0,Inputs!$B$44-B2461)/IF(Inputs!$B$39="pvp",15,MAX(0.1,Skills!D14-IF(TRUE=TRUE,Inputs!$B$32,0))))+1)),0)</f>
        <v/>
      </c>
      <c r="S2430">
        <f>IFERROR(O2430/N2430,0)</f>
        <v/>
      </c>
      <c r="T2430">
        <f>IF(C2430,(H2430*N2430*IF(AND(Inputs!$B$39&lt;&gt;"pvp",Inputs!$B$44&gt;0),((Skills!G14*((R2430-1)*IF(Skills!H14&gt;0,Skills!I14/Skills!H14,1)+IF(Skills!H14&gt;0,MIN(Skills!I14,MAX(0,MAX(0,Inputs!$B$44-B2461)-((R2430-1)*IF(Inputs!$B$39="pvp",15,MAX(0.1,Skills!D14-IF(TRUE=TRUE,Inputs!$B$32,0))))))/Skills!H14,1)))/Inputs!$B$44),G2430*Q2430))*IF(Inputs!$B$39="pvp",1,1+(Inputs!$B$20+0+Skills!P14+B2451+(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Hunt"),CHOOSE(ArtifactsInput!$N$35+1,15,18,21,24,27,30)*(1-EXP(-(0.2*B2454)*5)),0)+IF(AND(ArtifactsInput!$M$22,Inputs!$B$4&lt;&gt;"Chapter Hunt"),CHOOSE(ArtifactsInput!$N$22+1,10,12,14,16,18,20)*((0*(((0.15*B2454*5))^0/1)+1*(((0.15*B2454*5))^1/1)+2*(((0.15*B2454*5))^2/2)+3*(((0.15*B2454*5))^3/6)+4*(((0.15*B2454*5))^4/24)+5*(((0.15*B2454*5))^5/120))/((((0.15*B2454*5))^0/1)+(((0.15*B2454*5))^1/1)+(((0.15*B2454*5))^2/2)+(((0.15*B2454*5))^3/6)+(((0.15*B2454*5))^4/24)+(((0.15*B2454*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2430*(1-MIN(100,(Inputs!$B$9+((C2442=TRUE)*(F2442-Calc!F26))+B2450+(ArtifactsInput!$M$24-ArtifactsInput!$M$24)*CHOOSE(ArtifactsInput!$N$24+1,10,12,14,16,18,20)+(IF(AND(Inputs!$B$39&lt;&gt;"pvp",Inputs!$B$44=0),1,IF(IF(Inputs!$B$39="pvp",15,Inputs!$B$44)-(B2461)&lt;=0,1,MAX(0,IF(Inputs!$B$39="pvp",15,Inputs!$B$44)-MAX(5,B2461))/(IF(Inputs!$B$39="pvp",15,Inputs!$B$44)-(B2461))))*IF(AND(ArtifactsInput!$M$42,((Inputs!$B$9+((C2442=TRUE)*(F2442-Calc!F26))+B2450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2430*(MIN(100,(Inputs!$B$9+((C2442=TRUE)*(F2442-Calc!F26))+B2450+(ArtifactsInput!$M$24-ArtifactsInput!$M$24)*CHOOSE(ArtifactsInput!$N$24+1,10,12,14,16,18,20)+(IF(AND(Inputs!$B$39&lt;&gt;"pvp",Inputs!$B$44=0),1,IF(IF(Inputs!$B$39="pvp",15,Inputs!$B$44)-(B2461)&lt;=0,1,MAX(0,IF(Inputs!$B$39="pvp",15,Inputs!$B$44)-MAX(5,B2461))/(IF(Inputs!$B$39="pvp",15,Inputs!$B$44)-(B2461))))*IF(AND(ArtifactsInput!$M$42,((Inputs!$B$9+((C2442=TRUE)*(F2442-Calc!F26))+B2450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2430*(1-MIN(100,(Inputs!$B$9+((C2442=TRUE)*(F2442-Calc!F26))+B2450+(ArtifactsInput!$M$24-ArtifactsInput!$M$24)*CHOOSE(ArtifactsInput!$N$24+1,10,12,14,16,18,20)+(IF(AND(Inputs!$B$39&lt;&gt;"pvp",Inputs!$B$44=0),1,IF(IF(Inputs!$B$39="pvp",15,Inputs!$B$44)-(B2461)&lt;=0,1,MAX(0,IF(Inputs!$B$39="pvp",15,Inputs!$B$44)-MAX(5,B2461))/(IF(Inputs!$B$39="pvp",15,Inputs!$B$44)-(B2461))))*IF(AND(ArtifactsInput!$M$42,((Inputs!$B$9+((C2442=TRUE)*(F2442-Calc!F26))+B2450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2430*(MIN(100,(Inputs!$B$9+((C2442=TRUE)*(F2442-Calc!F26))+B2450+(ArtifactsInput!$M$24-ArtifactsInput!$M$24)*CHOOSE(ArtifactsInput!$N$24+1,10,12,14,16,18,20)+(IF(AND(Inputs!$B$39&lt;&gt;"pvp",Inputs!$B$44=0),1,IF(IF(Inputs!$B$39="pvp",15,Inputs!$B$44)-(B2461)&lt;=0,1,MAX(0,IF(Inputs!$B$39="pvp",15,Inputs!$B$44)-MAX(5,B2461))/(IF(Inputs!$B$39="pvp",15,Inputs!$B$44)-(B2461))))*IF(AND(ArtifactsInput!$M$42,((Inputs!$B$9+((C2442=TRUE)*(F2442-Calc!F26))+B2450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IF(ArtifactsInput!$M$26,FALSE,TRUE),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430">
        <f>IF(C2430,(H2430*N2430*IF(AND(Inputs!$B$39&lt;&gt;"pvp",Inputs!$B$44&gt;0),((Skills!G14*((R2430-1)*IF(Skills!H14&gt;0,Skills!I14/Skills!H14,1)+IF(Skills!H14&gt;0,MIN(Skills!I14,MAX(0,MAX(0,Inputs!$B$44-B2461)-((R2430-1)*IF(Inputs!$B$39="pvp",15,MAX(0.1,Skills!D14-IF(TRUE=TRUE,Inputs!$B$32,0))))))/Skills!H14,1)))/Inputs!$B$44),G2430*Q2430))*IF(Inputs!$B$39="pvp",1,(1+(Inputs!$B$21+Skills!Q14+B2451+(IF(ArtifactsInput!$M$33,CHOOSE(ArtifactsInput!$N$33+1,30,36,42,48,54,60),0))+(IF(AND(ArtifactsInput!$M$35,Inputs!$B$4&lt;&gt;"Chapter Hunt"),CHOOSE(ArtifactsInput!$N$35+1,15,18,21,24,27,30)*(1-EXP(-(0.2*B2454)*5)),0)+IF(AND(ArtifactsInput!$M$22,Inputs!$B$4&lt;&gt;"Chapter Hunt"),CHOOSE(ArtifactsInput!$N$22+1,10,12,14,16,18,20)*((0*(((0.15*B2454*5))^0/1)+1*(((0.15*B2454*5))^1/1)+2*(((0.15*B2454*5))^2/2)+3*(((0.15*B2454*5))^3/6)+4*(((0.15*B2454*5))^4/24)+5*(((0.15*B2454*5))^5/120))/((((0.15*B2454*5))^0/1)+(((0.15*B2454*5))^1/1)+(((0.15*B2454*5))^2/2)+(((0.15*B2454*5))^3/6)+(((0.15*B2454*5))^4/24)+(((0.15*B2454*5))^5/120))),0)))/100)*(MIN(Skills!W14,Inputs!$B$37)))*((1+(IF(AND(ArtifactsInput!$M$41,Inputs!$B$39&lt;&gt;"pvp"),CHOOSE(ArtifactsInput!$N$41+1,5,6,7,8,9,10)*IF(OR(Inputs!$B$4="Weapon Dungeon",Inputs!$B$4="Equipment Dungeon",Inputs!$B$4="Enhancement Dungeon",Inputs!$B$4="EXP Dungeon",Inputs!$B$4="Hero Dungeon"),3,1),0)+IF(IF(ArtifactsInput!$M$26,FALSE,TRUE),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431">
      <c r="A2431">
        <f>Skills!A15</f>
        <v/>
      </c>
      <c r="B2431">
        <f>Skills!B15</f>
        <v/>
      </c>
      <c r="C2431">
        <f>Inputs!$B$3&gt;=107</f>
        <v/>
      </c>
      <c r="D2431">
        <f>IF(Skills!C15=1,60+Inputs!$B$25+Inputs!$B$29,IF(Skills!C15=2,90+Inputs!$B$26+Inputs!$B$29,IF(Skills!C15=3,120+Inputs!$B$27+Inputs!$B$29,MAX(0,(Inputs!$B$3-100)*3)+Inputs!$B$28+Inputs!$B$29)))</f>
        <v/>
      </c>
      <c r="E2431">
        <f>INDEX(FactorTable!$B$2:$Y$301, MATCH(ROUND(MIN(300,MAX(1,D2431)),0), FactorTable!$A$2:$A$301,0), Skills!M15+1)</f>
        <v/>
      </c>
      <c r="F2431">
        <f>IF(Skills!N15=TRUE,(Skills!L15/10)*(E2431/1000),Skills!L15/10)+Skills!O15</f>
        <v/>
      </c>
      <c r="G2431">
        <f>Skills!G15*IF(Skills!H15&gt;0,IF(Inputs!$B$39="pvp",MIN(Skills!I15,15),Skills!I15)/Skills!H15,1)</f>
        <v/>
      </c>
      <c r="H2431">
        <f>1-(1-Skills!J15/100)^Skills!K15</f>
        <v/>
      </c>
      <c r="I2431" t="inlineStr">
        <is>
          <t>1</t>
        </is>
      </c>
      <c r="J2431">
        <f>((Inputs!$B$6*(1+Inputs!$B$7/100))+(((Inputs!$B$12*(1+Inputs!$B$13/100))-(Inputs!$B$12*(1+Inputs!$B$13/100)))+0.25*(Inputs!$B$14-Inputs!$B$14))*(1+Inputs!$B$7/100))*(F2431/100)</f>
        <v/>
      </c>
      <c r="K2431">
        <f>J2431*(1+((Inputs!$B$12*(1+Inputs!$B$13/100))*0.01+Inputs!$B$14*0.0025)/100)*(1+Inputs!$B$15/100)*(1+Inputs!$B$16/100)*(5000/(6000+Inputs!$B$43*(1-(100*(1-(1-Inputs!$B$19/100)*(1-CHOOSE(ArtifactsInput!$N$40+1,5,6,7,8,9,10)/100)^(ArtifactsInput!$M$40-ArtifactsInput!$M$40)))/100)))*(1+(Inputs!$B$24+((C2447=TRUE)*(F2447-Calc!F31))+((C2434=TRUE)*(F2434-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15="CRUEL_STAB",Inputs!$B$17+((C2444=TRUE)*(F2444-Calc!F28))+((IF(AND(Inputs!$B$39&lt;&gt;"pvp",Inputs!$B$44=0),1,IF(IF(Inputs!$B$39="pvp",15,Inputs!$B$44)-(B2461)&lt;=0,1,MAX(0,IF(Inputs!$B$39="pvp",15,Inputs!$B$44)-MAX(5,B2461))/(IF(Inputs!$B$39="pvp",15,Inputs!$B$44)-(B2461))))*(IF(AND(ArtifactsInput!$M$42,((Inputs!$B$9+((C2442=TRUE)*(F2442-Calc!F26))+B2450+(ArtifactsInput!$M$24-ArtifactsInput!$M$24)*CHOOSE(ArtifactsInput!$N$24+1,10,12,14,16,18,20)+IF(ArtifactsInput!$M$10,CHOOSE(ArtifactsInput!$N$10+1,15,18,21,24,27,30)*(IF(Inputs!$B$39="pvp",MIN(15,15)/15,IF(AND(Inputs!$B$39&lt;&gt;"pvp",Inputs!$B$44&gt;0),MIN(15,Inputs!$B$44)/(Inputs!$B$44),0))),0)))&gt;=100),MIN(100,((Inputs!$B$9+((C2442=TRUE)*(F2442-Calc!F26))+B2450+(ArtifactsInput!$M$24-ArtifactsInput!$M$24)*CHOOSE(ArtifactsInput!$N$24+1,10,12,14,16,18,20)+IF(ArtifactsInput!$M$10,CHOOSE(ArtifactsInput!$N$10+1,15,18,21,24,27,30)*(IF(Inputs!$B$39="pvp",MIN(15,15)/15,IF(AND(Inputs!$B$39&lt;&gt;"pvp",Inputs!$B$44&gt;0),MIN(15,Inputs!$B$44)/(Inputs!$B$44),0))),0)))-100),0))*CHOOSE(ArtifactsInput!$N$42+1,0.6,0.72,0.84,0.96,1.08,1.2))),Inputs!$B$18+((C2445=TRUE)*(F2445-Calc!F29))+(IF(AND(Inputs!$B$39&lt;&gt;"pvp",Inputs!$B$44=0),1,IF(IF(Inputs!$B$39="pvp",15,Inputs!$B$44)-(B2461)&lt;=0,1,MAX(0,IF(Inputs!$B$39="pvp",15,Inputs!$B$44)-MAX(5,B2461))/(IF(Inputs!$B$39="pvp",15,Inputs!$B$44)-(B2461))))*IF(AND(ArtifactsInput!$M$42,((Inputs!$B$9+((C2442=TRUE)*(F2442-Calc!F26))+B2450+(ArtifactsInput!$M$24-ArtifactsInput!$M$24)*CHOOSE(ArtifactsInput!$N$24+1,10,12,14,16,18,20)+IF(ArtifactsInput!$M$10,CHOOSE(ArtifactsInput!$N$10+1,15,18,21,24,27,30)*(IF(Inputs!$B$39="pvp",MIN(15,15)/15,IF(AND(Inputs!$B$39&lt;&gt;"pvp",Inputs!$B$44&gt;0),MIN(15,Inputs!$B$44)/(Inputs!$B$44),0))),0)))&gt;=100),CHOOSE(ArtifactsInput!$N$42+1,40,48,56,64,72,80),0))))/100)*(((1+(((C2438=TRUE)*F2438*IF(AND(Inputs!$B$39&lt;&gt;"pvp",Inputs!$B$44&gt;0),(((R2438-1)*MIN((Skills!Y22*(1+Inputs!$B$34/100)),(1/Q2438))+MIN((Skills!Y22*(1+Inputs!$B$34/100)),MAX(0,Inputs!$B$44-((R2438-1)*(1/Q2438)))))/Inputs!$B$44),IF(Inputs!$B$39="pvp",MIN((Skills!Y22*(1+Inputs!$B$34/100)),15)/15,MIN(1,(Skills!Y22*(1+Inputs!$B$34/100))/(1/Q2438)))))+((C2419=TRUE)*F2419*3)+((C2421=TRUE)*F2421*(1-EXP(-0.75*B2454*5)))+((C2440=TRUE)*(F2440-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2427=TRUE)*F2427*IF(AND(Inputs!$B$39&lt;&gt;"pvp",Inputs!$B$44&gt;0),(((R2427-1)*MIN((Skills!Y11*(1+Inputs!$B$34/100)),(1/Q2427))+MIN((Skills!Y11*(1+Inputs!$B$34/100)),MAX(0,Inputs!$B$44-((R2427-1)*(1/Q2427)))))/Inputs!$B$44),IF(Inputs!$B$39="pvp",MIN((Skills!Y11*(1+Inputs!$B$34/100)),15)/15,MIN(1,(Skills!Y11*(1+Inputs!$B$34/100))/(1/Q2427)))))/100)*(1+((C2432=TRUE)*F2432*IF(AND(Inputs!$B$39&lt;&gt;"pvp",Inputs!$B$44&gt;0),(((R2432-1)*MIN((Skills!Y16*(1+Inputs!$B$34/100)),(1/Q2432))+MIN((Skills!Y16*(1+Inputs!$B$34/100)),MAX(0,Inputs!$B$44-((R2432-1)*(1/Q2432)))))/Inputs!$B$44),IF(Inputs!$B$39="pvp",MIN((Skills!Y16*(1+Inputs!$B$34/100)),15)/15,MIN(1,(Skills!Y16*(1+Inputs!$B$34/100))/(1/Q2432)))))/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2452*I2431)</f>
        <v/>
      </c>
      <c r="L2431">
        <f>K2431*(MIN(Inputs!$B$22+((C2441=TRUE)*(F2441-Calc!F25)),(Inputs!$B$23+((C2446=TRUE)*(F2446-Calc!F30))+IF(ArtifactsInput!$M$15,CHOOSE(ArtifactsInput!$N$15+1,25,30,35,40,45,50)/100*(Inputs!$B$11-Inputs!$B$11),0)))/100+(Inputs!$B$23+((C2446=TRUE)*(F2446-Calc!F30))+IF(ArtifactsInput!$M$15,CHOOSE(ArtifactsInput!$N$15+1,25,30,35,40,45,50)/100*(Inputs!$B$11-Inputs!$B$11),0))/100)/2</f>
        <v/>
      </c>
      <c r="M2431">
        <f>L2431*(1+(Inputs!$B$10+((C2443=TRUE)*(F2443-Calc!F27))+B2457+(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2431">
        <f>L2431*(1-MIN((Inputs!$B$9+((C2442=TRUE)*(F2442-Calc!F26))+B2450+(ArtifactsInput!$M$24-ArtifactsInput!$M$24)*CHOOSE(ArtifactsInput!$N$24+1,10,12,14,16,18,20)+(IF(AND(Inputs!$B$39&lt;&gt;"pvp",Inputs!$B$44=0),1,IF(IF(Inputs!$B$39="pvp",15,Inputs!$B$44)-(B2461)&lt;=0,1,MAX(0,IF(Inputs!$B$39="pvp",15,Inputs!$B$44)-MAX(5,B2461))/(IF(Inputs!$B$39="pvp",15,Inputs!$B$44)-(B2461))))*IF(AND(ArtifactsInput!$M$42,((Inputs!$B$9+((C2442=TRUE)*(F2442-Calc!F26))+B2450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2431*(MIN((Inputs!$B$9+((C2442=TRUE)*(F2442-Calc!F26))+B2450+(ArtifactsInput!$M$24-ArtifactsInput!$M$24)*CHOOSE(ArtifactsInput!$N$24+1,10,12,14,16,18,20)+(IF(AND(Inputs!$B$39&lt;&gt;"pvp",Inputs!$B$44=0),1,IF(IF(Inputs!$B$39="pvp",15,Inputs!$B$44)-(B2461)&lt;=0,1,MAX(0,IF(Inputs!$B$39="pvp",15,Inputs!$B$44)-MAX(5,B2461))/(IF(Inputs!$B$39="pvp",15,Inputs!$B$44)-(B2461))))*IF(AND(ArtifactsInput!$M$42,((Inputs!$B$9+((C2442=TRUE)*(F2442-Calc!F26))+B2450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431">
        <f>(1-Summary!$B$11)*T2431+Summary!$B$11*V2431</f>
        <v/>
      </c>
      <c r="P2431">
        <f>IF(B2462=0,0,O2431/B2462)</f>
        <v/>
      </c>
      <c r="Q2431">
        <f>IFERROR(1/IF(Inputs!$B$39="pvp",15,MAX(0.1,Skills!D15-IF(TRUE=TRUE,Inputs!$B$32,0))),0)</f>
        <v/>
      </c>
      <c r="R2431">
        <f>IF(AND(Inputs!$B$39&lt;&gt;"pvp",Inputs!$B$44&gt;0),IF(MAX(0,Inputs!$B$44-B2461)&lt;=0,0,(INT(MAX(0,Inputs!$B$44-B2461)/IF(Inputs!$B$39="pvp",15,MAX(0.1,Skills!D15-IF(TRUE=TRUE,Inputs!$B$32,0))))+1)),0)</f>
        <v/>
      </c>
      <c r="S2431">
        <f>IFERROR(O2431/N2431,0)</f>
        <v/>
      </c>
      <c r="T2431">
        <f>IF(C2431,(H2431*N2431*IF(AND(Inputs!$B$39&lt;&gt;"pvp",Inputs!$B$44&gt;0),((Skills!G15*((R2431-1)*IF(Skills!H15&gt;0,Skills!I15/Skills!H15,1)+IF(Skills!H15&gt;0,MIN(Skills!I15,MAX(0,MAX(0,Inputs!$B$44-B2461)-((R2431-1)*IF(Inputs!$B$39="pvp",15,MAX(0.1,Skills!D15-IF(TRUE=TRUE,Inputs!$B$32,0))))))/Skills!H15,1)))/Inputs!$B$44),G2431*Q2431))*IF(Inputs!$B$39="pvp",1,1+(Inputs!$B$20+0+Skills!P15+B2451+(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Hunt"),CHOOSE(ArtifactsInput!$N$35+1,15,18,21,24,27,30)*(1-EXP(-(0.2*B2454)*5)),0)+IF(AND(ArtifactsInput!$M$22,Inputs!$B$4&lt;&gt;"Chapter Hunt"),CHOOSE(ArtifactsInput!$N$22+1,10,12,14,16,18,20)*((0*(((0.15*B2454*5))^0/1)+1*(((0.15*B2454*5))^1/1)+2*(((0.15*B2454*5))^2/2)+3*(((0.15*B2454*5))^3/6)+4*(((0.15*B2454*5))^4/24)+5*(((0.15*B2454*5))^5/120))/((((0.15*B2454*5))^0/1)+(((0.15*B2454*5))^1/1)+(((0.15*B2454*5))^2/2)+(((0.15*B2454*5))^3/6)+(((0.15*B2454*5))^4/24)+(((0.15*B2454*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2431*(1-MIN(100,(Inputs!$B$9+((C2442=TRUE)*(F2442-Calc!F26))+B2450+(ArtifactsInput!$M$24-ArtifactsInput!$M$24)*CHOOSE(ArtifactsInput!$N$24+1,10,12,14,16,18,20)+(IF(AND(Inputs!$B$39&lt;&gt;"pvp",Inputs!$B$44=0),1,IF(IF(Inputs!$B$39="pvp",15,Inputs!$B$44)-(B2461)&lt;=0,1,MAX(0,IF(Inputs!$B$39="pvp",15,Inputs!$B$44)-MAX(5,B2461))/(IF(Inputs!$B$39="pvp",15,Inputs!$B$44)-(B2461))))*IF(AND(ArtifactsInput!$M$42,((Inputs!$B$9+((C2442=TRUE)*(F2442-Calc!F26))+B2450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2431*(MIN(100,(Inputs!$B$9+((C2442=TRUE)*(F2442-Calc!F26))+B2450+(ArtifactsInput!$M$24-ArtifactsInput!$M$24)*CHOOSE(ArtifactsInput!$N$24+1,10,12,14,16,18,20)+(IF(AND(Inputs!$B$39&lt;&gt;"pvp",Inputs!$B$44=0),1,IF(IF(Inputs!$B$39="pvp",15,Inputs!$B$44)-(B2461)&lt;=0,1,MAX(0,IF(Inputs!$B$39="pvp",15,Inputs!$B$44)-MAX(5,B2461))/(IF(Inputs!$B$39="pvp",15,Inputs!$B$44)-(B2461))))*IF(AND(ArtifactsInput!$M$42,((Inputs!$B$9+((C2442=TRUE)*(F2442-Calc!F26))+B2450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2431*(1-MIN(100,(Inputs!$B$9+((C2442=TRUE)*(F2442-Calc!F26))+B2450+(ArtifactsInput!$M$24-ArtifactsInput!$M$24)*CHOOSE(ArtifactsInput!$N$24+1,10,12,14,16,18,20)+(IF(AND(Inputs!$B$39&lt;&gt;"pvp",Inputs!$B$44=0),1,IF(IF(Inputs!$B$39="pvp",15,Inputs!$B$44)-(B2461)&lt;=0,1,MAX(0,IF(Inputs!$B$39="pvp",15,Inputs!$B$44)-MAX(5,B2461))/(IF(Inputs!$B$39="pvp",15,Inputs!$B$44)-(B2461))))*IF(AND(ArtifactsInput!$M$42,((Inputs!$B$9+((C2442=TRUE)*(F2442-Calc!F26))+B2450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2431*(MIN(100,(Inputs!$B$9+((C2442=TRUE)*(F2442-Calc!F26))+B2450+(ArtifactsInput!$M$24-ArtifactsInput!$M$24)*CHOOSE(ArtifactsInput!$N$24+1,10,12,14,16,18,20)+(IF(AND(Inputs!$B$39&lt;&gt;"pvp",Inputs!$B$44=0),1,IF(IF(Inputs!$B$39="pvp",15,Inputs!$B$44)-(B2461)&lt;=0,1,MAX(0,IF(Inputs!$B$39="pvp",15,Inputs!$B$44)-MAX(5,B2461))/(IF(Inputs!$B$39="pvp",15,Inputs!$B$44)-(B2461))))*IF(AND(ArtifactsInput!$M$42,((Inputs!$B$9+((C2442=TRUE)*(F2442-Calc!F26))+B2450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IF(ArtifactsInput!$M$26,FALSE,TRUE),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431">
        <f>IF(C2431,(H2431*N2431*IF(AND(Inputs!$B$39&lt;&gt;"pvp",Inputs!$B$44&gt;0),((Skills!G15*((R2431-1)*IF(Skills!H15&gt;0,Skills!I15/Skills!H15,1)+IF(Skills!H15&gt;0,MIN(Skills!I15,MAX(0,MAX(0,Inputs!$B$44-B2461)-((R2431-1)*IF(Inputs!$B$39="pvp",15,MAX(0.1,Skills!D15-IF(TRUE=TRUE,Inputs!$B$32,0))))))/Skills!H15,1)))/Inputs!$B$44),G2431*Q2431))*IF(Inputs!$B$39="pvp",1,(1+(Inputs!$B$21+Skills!Q15+B2451+(IF(ArtifactsInput!$M$33,CHOOSE(ArtifactsInput!$N$33+1,30,36,42,48,54,60),0))+(IF(AND(ArtifactsInput!$M$35,Inputs!$B$4&lt;&gt;"Chapter Hunt"),CHOOSE(ArtifactsInput!$N$35+1,15,18,21,24,27,30)*(1-EXP(-(0.2*B2454)*5)),0)+IF(AND(ArtifactsInput!$M$22,Inputs!$B$4&lt;&gt;"Chapter Hunt"),CHOOSE(ArtifactsInput!$N$22+1,10,12,14,16,18,20)*((0*(((0.15*B2454*5))^0/1)+1*(((0.15*B2454*5))^1/1)+2*(((0.15*B2454*5))^2/2)+3*(((0.15*B2454*5))^3/6)+4*(((0.15*B2454*5))^4/24)+5*(((0.15*B2454*5))^5/120))/((((0.15*B2454*5))^0/1)+(((0.15*B2454*5))^1/1)+(((0.15*B2454*5))^2/2)+(((0.15*B2454*5))^3/6)+(((0.15*B2454*5))^4/24)+(((0.15*B2454*5))^5/120))),0)))/100)*(MIN(MIN(5,0.5*IF(Inputs!$B$3&gt;=75,0.75,0.5)*B2454*(1/Q2420))*Skills!V15,Inputs!$B$37)))*((1+(IF(AND(ArtifactsInput!$M$41,Inputs!$B$39&lt;&gt;"pvp"),CHOOSE(ArtifactsInput!$N$41+1,5,6,7,8,9,10)*IF(OR(Inputs!$B$4="Weapon Dungeon",Inputs!$B$4="Equipment Dungeon",Inputs!$B$4="Enhancement Dungeon",Inputs!$B$4="EXP Dungeon",Inputs!$B$4="Hero Dungeon"),3,1),0)+IF(IF(ArtifactsInput!$M$26,FALSE,TRUE),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432">
      <c r="A2432">
        <f>Skills!A16</f>
        <v/>
      </c>
      <c r="B2432">
        <f>Skills!B16</f>
        <v/>
      </c>
      <c r="C2432">
        <f>Inputs!$B$3&gt;=110</f>
        <v/>
      </c>
      <c r="D2432">
        <f>IF(Skills!C16=1,60+Inputs!$B$25+Inputs!$B$29,IF(Skills!C16=2,90+Inputs!$B$26+Inputs!$B$29,IF(Skills!C16=3,120+Inputs!$B$27+Inputs!$B$29,MAX(0,(Inputs!$B$3-100)*3)+Inputs!$B$28+Inputs!$B$29)))</f>
        <v/>
      </c>
      <c r="E2432">
        <f>INDEX(FactorTable!$B$2:$Y$301, MATCH(ROUND(MIN(300,MAX(1,D2432)),0), FactorTable!$A$2:$A$301,0), Skills!M16+1)</f>
        <v/>
      </c>
      <c r="F2432">
        <f>IF(Skills!N16=TRUE,(Skills!L16/10)*(E2432/1000),Skills!L16/10)+Skills!O16</f>
        <v/>
      </c>
      <c r="G2432">
        <f>Skills!G16*IF(Skills!H16&gt;0,IF(Inputs!$B$39="pvp",MIN(Skills!I16,15),Skills!I16)/Skills!H16,1)</f>
        <v/>
      </c>
      <c r="H2432">
        <f>1-(1-Skills!J16/100)^Skills!K16</f>
        <v/>
      </c>
      <c r="I2432" t="inlineStr">
        <is>
          <t>1</t>
        </is>
      </c>
      <c r="J2432" t="inlineStr"/>
      <c r="K2432" t="inlineStr"/>
      <c r="L2432" t="inlineStr"/>
      <c r="M2432" t="inlineStr"/>
      <c r="N2432" t="inlineStr"/>
      <c r="O2432">
        <f>(1-Summary!$B$11)*T2432+Summary!$B$11*V2432</f>
        <v/>
      </c>
      <c r="P2432">
        <f>IF(B2462=0,0,O2432/B2462)</f>
        <v/>
      </c>
      <c r="Q2432">
        <f>IFERROR(1/IF(Inputs!$B$39="pvp",15,MAX(0.1,Skills!D16-IF(TRUE=TRUE,Inputs!$B$32,0))),0)</f>
        <v/>
      </c>
      <c r="R2432">
        <f>IF(AND(Inputs!$B$39&lt;&gt;"pvp",Inputs!$B$44&gt;0),IF(Inputs!$B$44&lt;=0,0,(INT(Inputs!$B$44/IF(Inputs!$B$39="pvp",15,MAX(0.1,Skills!D16-IF(TRUE=TRUE,Inputs!$B$32,0))))+1)),0)</f>
        <v/>
      </c>
      <c r="S2432">
        <f>IFERROR(O2432/N2432,0)</f>
        <v/>
      </c>
      <c r="T2432" t="n">
        <v>0</v>
      </c>
      <c r="V2432" t="n">
        <v>0</v>
      </c>
    </row>
    <row r="2433">
      <c r="A2433">
        <f>Skills!A17</f>
        <v/>
      </c>
      <c r="B2433">
        <f>Skills!B17</f>
        <v/>
      </c>
      <c r="C2433">
        <f>Inputs!$B$3&gt;=115</f>
        <v/>
      </c>
      <c r="D2433">
        <f>IF(Skills!C17=1,60+Inputs!$B$25+Inputs!$B$29,IF(Skills!C17=2,90+Inputs!$B$26+Inputs!$B$29,IF(Skills!C17=3,120+Inputs!$B$27+Inputs!$B$29,MAX(0,(Inputs!$B$3-100)*3)+Inputs!$B$28+Inputs!$B$29)))</f>
        <v/>
      </c>
      <c r="E2433">
        <f>INDEX(FactorTable!$B$2:$Y$301, MATCH(ROUND(MIN(300,MAX(1,D2433)),0), FactorTable!$A$2:$A$301,0), Skills!M17+1)</f>
        <v/>
      </c>
      <c r="F2433">
        <f>IF(Skills!N17=TRUE,(Skills!L17/10)*(E2433/1000),Skills!L17/10)+Skills!O17</f>
        <v/>
      </c>
      <c r="G2433">
        <f>Skills!G17*IF(Skills!H17&gt;0,IF(Inputs!$B$39="pvp",MIN(Skills!I17,15),Skills!I17)/Skills!H17,1)</f>
        <v/>
      </c>
      <c r="H2433">
        <f>1-(1-Skills!J17/100)^Skills!K17</f>
        <v/>
      </c>
      <c r="I2433" t="inlineStr">
        <is>
          <t>1</t>
        </is>
      </c>
      <c r="J2433">
        <f>((Inputs!$B$6*(1+Inputs!$B$7/100))+(((Inputs!$B$12*(1+Inputs!$B$13/100))-(Inputs!$B$12*(1+Inputs!$B$13/100)))+0.25*(Inputs!$B$14-Inputs!$B$14))*(1+Inputs!$B$7/100))*(F2433/100)</f>
        <v/>
      </c>
      <c r="K2433">
        <f>J2433*(1+((Inputs!$B$12*(1+Inputs!$B$13/100))*0.01+Inputs!$B$14*0.0025)/100)*(1+Inputs!$B$15/100)*(1+Inputs!$B$16/100)*(5000/(6000+Inputs!$B$43*(1-(100*(1-(1-Inputs!$B$19/100)*(1-CHOOSE(ArtifactsInput!$N$40+1,5,6,7,8,9,10)/100)^(ArtifactsInput!$M$40-ArtifactsInput!$M$40)))/100)))*(1+(Inputs!$B$24+((C2447=TRUE)*(F2447-Calc!F31))+((C2434=TRUE)*(F2434-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17="CRUEL_STAB",Inputs!$B$17+((C2444=TRUE)*(F2444-Calc!F28))+((IF(AND(Inputs!$B$39&lt;&gt;"pvp",Inputs!$B$44=0),1,IF(IF(Inputs!$B$39="pvp",15,Inputs!$B$44)-(B2461)&lt;=0,1,MAX(0,IF(Inputs!$B$39="pvp",15,Inputs!$B$44)-MAX(5,B2461))/(IF(Inputs!$B$39="pvp",15,Inputs!$B$44)-(B2461))))*(IF(AND(ArtifactsInput!$M$42,((Inputs!$B$9+((C2442=TRUE)*(F2442-Calc!F26))+B2450+(ArtifactsInput!$M$24-ArtifactsInput!$M$24)*CHOOSE(ArtifactsInput!$N$24+1,10,12,14,16,18,20)+IF(ArtifactsInput!$M$10,CHOOSE(ArtifactsInput!$N$10+1,15,18,21,24,27,30)*(IF(Inputs!$B$39="pvp",MIN(15,15)/15,IF(AND(Inputs!$B$39&lt;&gt;"pvp",Inputs!$B$44&gt;0),MIN(15,Inputs!$B$44)/(Inputs!$B$44),0))),0)))&gt;=100),MIN(100,((Inputs!$B$9+((C2442=TRUE)*(F2442-Calc!F26))+B2450+(ArtifactsInput!$M$24-ArtifactsInput!$M$24)*CHOOSE(ArtifactsInput!$N$24+1,10,12,14,16,18,20)+IF(ArtifactsInput!$M$10,CHOOSE(ArtifactsInput!$N$10+1,15,18,21,24,27,30)*(IF(Inputs!$B$39="pvp",MIN(15,15)/15,IF(AND(Inputs!$B$39&lt;&gt;"pvp",Inputs!$B$44&gt;0),MIN(15,Inputs!$B$44)/(Inputs!$B$44),0))),0)))-100),0))*CHOOSE(ArtifactsInput!$N$42+1,0.6,0.72,0.84,0.96,1.08,1.2))),Inputs!$B$18+((C2445=TRUE)*(F2445-Calc!F29))+(IF(AND(Inputs!$B$39&lt;&gt;"pvp",Inputs!$B$44=0),1,IF(IF(Inputs!$B$39="pvp",15,Inputs!$B$44)-(B2461)&lt;=0,1,MAX(0,IF(Inputs!$B$39="pvp",15,Inputs!$B$44)-MAX(5,B2461))/(IF(Inputs!$B$39="pvp",15,Inputs!$B$44)-(B2461))))*IF(AND(ArtifactsInput!$M$42,((Inputs!$B$9+((C2442=TRUE)*(F2442-Calc!F26))+B2450+(ArtifactsInput!$M$24-ArtifactsInput!$M$24)*CHOOSE(ArtifactsInput!$N$24+1,10,12,14,16,18,20)+IF(ArtifactsInput!$M$10,CHOOSE(ArtifactsInput!$N$10+1,15,18,21,24,27,30)*(IF(Inputs!$B$39="pvp",MIN(15,15)/15,IF(AND(Inputs!$B$39&lt;&gt;"pvp",Inputs!$B$44&gt;0),MIN(15,Inputs!$B$44)/(Inputs!$B$44),0))),0)))&gt;=100),CHOOSE(ArtifactsInput!$N$42+1,40,48,56,64,72,80),0))))/100)*(((1+(((C2438=TRUE)*F2438*IF(AND(Inputs!$B$39&lt;&gt;"pvp",Inputs!$B$44&gt;0),(((R2438-1)*MIN((Skills!Y22*(1+Inputs!$B$34/100)),(1/Q2438))+MIN((Skills!Y22*(1+Inputs!$B$34/100)),MAX(0,Inputs!$B$44-((R2438-1)*(1/Q2438)))))/Inputs!$B$44),IF(Inputs!$B$39="pvp",MIN((Skills!Y22*(1+Inputs!$B$34/100)),15)/15,MIN(1,(Skills!Y22*(1+Inputs!$B$34/100))/(1/Q2438)))))+((C2419=TRUE)*F2419*3)+((C2421=TRUE)*F2421*(1-EXP(-0.75*B2454*5)))+((C2440=TRUE)*(F2440-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2427=TRUE)*F2427*IF(AND(Inputs!$B$39&lt;&gt;"pvp",Inputs!$B$44&gt;0),(((R2427-1)*MIN((Skills!Y11*(1+Inputs!$B$34/100)),(1/Q2427))+MIN((Skills!Y11*(1+Inputs!$B$34/100)),MAX(0,Inputs!$B$44-((R2427-1)*(1/Q2427)))))/Inputs!$B$44),IF(Inputs!$B$39="pvp",MIN((Skills!Y11*(1+Inputs!$B$34/100)),15)/15,MIN(1,(Skills!Y11*(1+Inputs!$B$34/100))/(1/Q2427)))))/100)*(1+((C2432=TRUE)*F2432*IF(AND(Inputs!$B$39&lt;&gt;"pvp",Inputs!$B$44&gt;0),(((R2432-1)*MIN((Skills!Y16*(1+Inputs!$B$34/100)),(1/Q2432))+MIN((Skills!Y16*(1+Inputs!$B$34/100)),MAX(0,Inputs!$B$44-((R2432-1)*(1/Q2432)))))/Inputs!$B$44),IF(Inputs!$B$39="pvp",MIN((Skills!Y16*(1+Inputs!$B$34/100)),15)/15,MIN(1,(Skills!Y16*(1+Inputs!$B$34/100))/(1/Q2432)))))/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2452*I2433)</f>
        <v/>
      </c>
      <c r="L2433">
        <f>K2433*(MIN(Inputs!$B$22+((C2441=TRUE)*(F2441-Calc!F25)),(Inputs!$B$23+((C2446=TRUE)*(F2446-Calc!F30))+IF(ArtifactsInput!$M$15,CHOOSE(ArtifactsInput!$N$15+1,25,30,35,40,45,50)/100*(Inputs!$B$11-Inputs!$B$11),0)))/100+(Inputs!$B$23+((C2446=TRUE)*(F2446-Calc!F30))+IF(ArtifactsInput!$M$15,CHOOSE(ArtifactsInput!$N$15+1,25,30,35,40,45,50)/100*(Inputs!$B$11-Inputs!$B$11),0))/100)/2</f>
        <v/>
      </c>
      <c r="M2433">
        <f>L2433*(1+(Inputs!$B$10+((C2443=TRUE)*(F2443-Calc!F27))+B2457+(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2433">
        <f>L2433*(1-MIN((Inputs!$B$9+((C2442=TRUE)*(F2442-Calc!F26))+B2450+(ArtifactsInput!$M$24-ArtifactsInput!$M$24)*CHOOSE(ArtifactsInput!$N$24+1,10,12,14,16,18,20)+(IF(AND(Inputs!$B$39&lt;&gt;"pvp",Inputs!$B$44=0),1,IF(IF(Inputs!$B$39="pvp",15,Inputs!$B$44)-(B2461)&lt;=0,1,MAX(0,IF(Inputs!$B$39="pvp",15,Inputs!$B$44)-MAX(5,B2461))/(IF(Inputs!$B$39="pvp",15,Inputs!$B$44)-(B2461))))*IF(AND(ArtifactsInput!$M$42,((Inputs!$B$9+((C2442=TRUE)*(F2442-Calc!F26))+B2450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2433*(MIN((Inputs!$B$9+((C2442=TRUE)*(F2442-Calc!F26))+B2450+(ArtifactsInput!$M$24-ArtifactsInput!$M$24)*CHOOSE(ArtifactsInput!$N$24+1,10,12,14,16,18,20)+(IF(AND(Inputs!$B$39&lt;&gt;"pvp",Inputs!$B$44=0),1,IF(IF(Inputs!$B$39="pvp",15,Inputs!$B$44)-(B2461)&lt;=0,1,MAX(0,IF(Inputs!$B$39="pvp",15,Inputs!$B$44)-MAX(5,B2461))/(IF(Inputs!$B$39="pvp",15,Inputs!$B$44)-(B2461))))*IF(AND(ArtifactsInput!$M$42,((Inputs!$B$9+((C2442=TRUE)*(F2442-Calc!F26))+B2450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433">
        <f>(1-Summary!$B$11)*T2433+Summary!$B$11*V2433</f>
        <v/>
      </c>
      <c r="P2433">
        <f>IF(B2462=0,0,O2433/B2462)</f>
        <v/>
      </c>
      <c r="Q2433" t="n">
        <v>0</v>
      </c>
      <c r="R2433" t="n">
        <v>0</v>
      </c>
      <c r="S2433">
        <f>IFERROR(O2433/N2433,0)</f>
        <v/>
      </c>
      <c r="T2433">
        <f>IF(C2433,(Inputs!$B$38*0.2*N2433)*IF(Inputs!$B$39="pvp",1,1+(Inputs!$B$20+0+Skills!P17+B2451+(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Hunt"),CHOOSE(ArtifactsInput!$N$35+1,15,18,21,24,27,30)*(1-EXP(-(0.2*B2454)*5)),0)+IF(AND(ArtifactsInput!$M$22,Inputs!$B$4&lt;&gt;"Chapter Hunt"),CHOOSE(ArtifactsInput!$N$22+1,10,12,14,16,18,20)*((0*(((0.15*B2454*5))^0/1)+1*(((0.15*B2454*5))^1/1)+2*(((0.15*B2454*5))^2/2)+3*(((0.15*B2454*5))^3/6)+4*(((0.15*B2454*5))^4/24)+5*(((0.15*B2454*5))^5/120))/((((0.15*B2454*5))^0/1)+(((0.15*B2454*5))^1/1)+(((0.15*B2454*5))^2/2)+(((0.15*B2454*5))^3/6)+(((0.15*B2454*5))^4/24)+(((0.15*B2454*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2433*(1-MIN(100,(Inputs!$B$9+((C2442=TRUE)*(F2442-Calc!F26))+B2450+(ArtifactsInput!$M$24-ArtifactsInput!$M$24)*CHOOSE(ArtifactsInput!$N$24+1,10,12,14,16,18,20)+(IF(AND(Inputs!$B$39&lt;&gt;"pvp",Inputs!$B$44=0),1,IF(IF(Inputs!$B$39="pvp",15,Inputs!$B$44)-(B2461)&lt;=0,1,MAX(0,IF(Inputs!$B$39="pvp",15,Inputs!$B$44)-MAX(5,B2461))/(IF(Inputs!$B$39="pvp",15,Inputs!$B$44)-(B2461))))*IF(AND(ArtifactsInput!$M$42,((Inputs!$B$9+((C2442=TRUE)*(F2442-Calc!F26))+B2450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2433*(MIN(100,(Inputs!$B$9+((C2442=TRUE)*(F2442-Calc!F26))+B2450+(ArtifactsInput!$M$24-ArtifactsInput!$M$24)*CHOOSE(ArtifactsInput!$N$24+1,10,12,14,16,18,20)+(IF(AND(Inputs!$B$39&lt;&gt;"pvp",Inputs!$B$44=0),1,IF(IF(Inputs!$B$39="pvp",15,Inputs!$B$44)-(B2461)&lt;=0,1,MAX(0,IF(Inputs!$B$39="pvp",15,Inputs!$B$44)-MAX(5,B2461))/(IF(Inputs!$B$39="pvp",15,Inputs!$B$44)-(B2461))))*IF(AND(ArtifactsInput!$M$42,((Inputs!$B$9+((C2442=TRUE)*(F2442-Calc!F26))+B2450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2433*(1-MIN(100,(Inputs!$B$9+((C2442=TRUE)*(F2442-Calc!F26))+B2450+(ArtifactsInput!$M$24-ArtifactsInput!$M$24)*CHOOSE(ArtifactsInput!$N$24+1,10,12,14,16,18,20)+(IF(AND(Inputs!$B$39&lt;&gt;"pvp",Inputs!$B$44=0),1,IF(IF(Inputs!$B$39="pvp",15,Inputs!$B$44)-(B2461)&lt;=0,1,MAX(0,IF(Inputs!$B$39="pvp",15,Inputs!$B$44)-MAX(5,B2461))/(IF(Inputs!$B$39="pvp",15,Inputs!$B$44)-(B2461))))*IF(AND(ArtifactsInput!$M$42,((Inputs!$B$9+((C2442=TRUE)*(F2442-Calc!F26))+B2450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2433*(MIN(100,(Inputs!$B$9+((C2442=TRUE)*(F2442-Calc!F26))+B2450+(ArtifactsInput!$M$24-ArtifactsInput!$M$24)*CHOOSE(ArtifactsInput!$N$24+1,10,12,14,16,18,20)+(IF(AND(Inputs!$B$39&lt;&gt;"pvp",Inputs!$B$44=0),1,IF(IF(Inputs!$B$39="pvp",15,Inputs!$B$44)-(B2461)&lt;=0,1,MAX(0,IF(Inputs!$B$39="pvp",15,Inputs!$B$44)-MAX(5,B2461))/(IF(Inputs!$B$39="pvp",15,Inputs!$B$44)-(B2461))))*IF(AND(ArtifactsInput!$M$42,((Inputs!$B$9+((C2442=TRUE)*(F2442-Calc!F26))+B2450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IF(ArtifactsInput!$M$26,FALSE,TRUE),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433">
        <f>IF(C2433,(Inputs!$B$38*0.2*N2433)*IF(Inputs!$B$39="pvp",1,(1+(Inputs!$B$21+Skills!Q17+B2451+(IF(ArtifactsInput!$M$33,CHOOSE(ArtifactsInput!$N$33+1,30,36,42,48,54,60),0))+(IF(AND(ArtifactsInput!$M$35,Inputs!$B$4&lt;&gt;"Chapter Hunt"),CHOOSE(ArtifactsInput!$N$35+1,15,18,21,24,27,30)*(1-EXP(-(0.2*B2454)*5)),0)+IF(AND(ArtifactsInput!$M$22,Inputs!$B$4&lt;&gt;"Chapter Hunt"),CHOOSE(ArtifactsInput!$N$22+1,10,12,14,16,18,20)*((0*(((0.15*B2454*5))^0/1)+1*(((0.15*B2454*5))^1/1)+2*(((0.15*B2454*5))^2/2)+3*(((0.15*B2454*5))^3/6)+4*(((0.15*B2454*5))^4/24)+5*(((0.15*B2454*5))^5/120))/((((0.15*B2454*5))^0/1)+(((0.15*B2454*5))^1/1)+(((0.15*B2454*5))^2/2)+(((0.15*B2454*5))^3/6)+(((0.15*B2454*5))^4/24)+(((0.15*B2454*5))^5/120))),0)))/100)*(MIN(Skills!W17,Inputs!$B$37)))*((1+(IF(AND(ArtifactsInput!$M$41,Inputs!$B$39&lt;&gt;"pvp"),CHOOSE(ArtifactsInput!$N$41+1,5,6,7,8,9,10)*IF(OR(Inputs!$B$4="Weapon Dungeon",Inputs!$B$4="Equipment Dungeon",Inputs!$B$4="Enhancement Dungeon",Inputs!$B$4="EXP Dungeon",Inputs!$B$4="Hero Dungeon"),3,1),0)+IF(IF(ArtifactsInput!$M$26,FALSE,TRUE),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434">
      <c r="A2434">
        <f>Skills!A18</f>
        <v/>
      </c>
      <c r="B2434">
        <f>Skills!B18</f>
        <v/>
      </c>
      <c r="C2434">
        <f>Inputs!$B$3&gt;=115</f>
        <v/>
      </c>
      <c r="D2434">
        <f>IF(Skills!C18=1,60+Inputs!$B$25+Inputs!$B$29,IF(Skills!C18=2,90+Inputs!$B$26+Inputs!$B$29,IF(Skills!C18=3,120+Inputs!$B$27+Inputs!$B$29,MAX(0,(Inputs!$B$3-100)*3)+Inputs!$B$28+Inputs!$B$29)))</f>
        <v/>
      </c>
      <c r="E2434">
        <f>INDEX(FactorTable!$B$2:$Y$301, MATCH(ROUND(MIN(300,MAX(1,D2434)),0), FactorTable!$A$2:$A$301,0), Skills!M18+1)</f>
        <v/>
      </c>
      <c r="F2434">
        <f>IF(Skills!N18=TRUE,(Skills!L18/10)*(E2434/1000),Skills!L18/10)+Skills!O18</f>
        <v/>
      </c>
      <c r="G2434">
        <f>Skills!G18*IF(Skills!H18&gt;0,IF(Inputs!$B$39="pvp",MIN(Skills!I18,15),Skills!I18)/Skills!H18,1)</f>
        <v/>
      </c>
      <c r="H2434">
        <f>1-(1-Skills!J18/100)^Skills!K18</f>
        <v/>
      </c>
      <c r="I2434" t="inlineStr">
        <is>
          <t>1</t>
        </is>
      </c>
      <c r="J2434" t="inlineStr"/>
      <c r="K2434" t="inlineStr"/>
      <c r="L2434" t="inlineStr"/>
      <c r="M2434" t="inlineStr"/>
      <c r="N2434" t="inlineStr"/>
      <c r="O2434">
        <f>(1-Summary!$B$11)*T2434+Summary!$B$11*V2434</f>
        <v/>
      </c>
      <c r="P2434">
        <f>IF(B2462=0,0,O2434/B2462)</f>
        <v/>
      </c>
      <c r="Q2434" t="n">
        <v>0</v>
      </c>
      <c r="R2434" t="n">
        <v>0</v>
      </c>
      <c r="S2434">
        <f>IFERROR(O2434/N2434,0)</f>
        <v/>
      </c>
      <c r="T2434" t="n">
        <v>0</v>
      </c>
      <c r="V2434" t="n">
        <v>0</v>
      </c>
    </row>
    <row r="2435">
      <c r="A2435">
        <f>Skills!A19</f>
        <v/>
      </c>
      <c r="B2435">
        <f>Skills!B19</f>
        <v/>
      </c>
      <c r="C2435">
        <f>Inputs!$B$3&gt;=100</f>
        <v/>
      </c>
      <c r="D2435">
        <f>IF(Skills!C19=1,60+Inputs!$B$25+Inputs!$B$29,IF(Skills!C19=2,90+Inputs!$B$26+Inputs!$B$29,IF(Skills!C19=3,120+Inputs!$B$27+Inputs!$B$29,MAX(0,(Inputs!$B$3-100)*3)+Inputs!$B$28+Inputs!$B$29)))</f>
        <v/>
      </c>
      <c r="E2435">
        <f>INDEX(FactorTable!$B$2:$Y$301, MATCH(ROUND(MIN(300,MAX(1,D2435)),0), FactorTable!$A$2:$A$301,0), Skills!M19+1)</f>
        <v/>
      </c>
      <c r="F2435">
        <f>IF(Skills!N19=TRUE,(Skills!L19/10)*(E2435/1000),Skills!L19/10)+Skills!O19</f>
        <v/>
      </c>
      <c r="G2435">
        <f>Skills!G19*IF(Skills!H19&gt;0,IF(Inputs!$B$39="pvp",MIN(Skills!I19,15),Skills!I19)/Skills!H19,1)</f>
        <v/>
      </c>
      <c r="H2435">
        <f>1-(1-Skills!J19/100)^Skills!K19</f>
        <v/>
      </c>
      <c r="I2435" t="inlineStr">
        <is>
          <t>1</t>
        </is>
      </c>
      <c r="J2435" t="inlineStr"/>
      <c r="K2435" t="inlineStr"/>
      <c r="L2435" t="inlineStr"/>
      <c r="M2435" t="inlineStr"/>
      <c r="N2435" t="inlineStr"/>
      <c r="O2435">
        <f>(1-Summary!$B$11)*T2435+Summary!$B$11*V2435</f>
        <v/>
      </c>
      <c r="P2435">
        <f>IF(B2462=0,0,O2435/B2462)</f>
        <v/>
      </c>
      <c r="Q2435" t="n">
        <v>0</v>
      </c>
      <c r="R2435" t="n">
        <v>0</v>
      </c>
      <c r="S2435">
        <f>IFERROR(O2435/N2435,0)</f>
        <v/>
      </c>
      <c r="T2435" t="n">
        <v>0</v>
      </c>
      <c r="V2435" t="n">
        <v>0</v>
      </c>
    </row>
    <row r="2436">
      <c r="A2436">
        <f>Skills!A20</f>
        <v/>
      </c>
      <c r="B2436">
        <f>Skills!B20</f>
        <v/>
      </c>
      <c r="C2436">
        <f>TRUE</f>
        <v/>
      </c>
      <c r="D2436">
        <f>IF(Skills!C20=1,60+Inputs!$B$25+Inputs!$B$29,IF(Skills!C20=2,90+Inputs!$B$26+Inputs!$B$29,IF(Skills!C20=3,120+Inputs!$B$27+Inputs!$B$29,MAX(0,(Inputs!$B$3-100)*3)+Inputs!$B$28+Inputs!$B$29)))</f>
        <v/>
      </c>
      <c r="E2436">
        <f>INDEX(FactorTable!$B$2:$Y$301, MATCH(ROUND(MIN(300,MAX(1,D2436)),0), FactorTable!$A$2:$A$301,0), Skills!M20+1)</f>
        <v/>
      </c>
      <c r="F2436">
        <f>IF(Skills!N20=TRUE,(Skills!L20/10)*(E2436/1000),Skills!L20/10)+Skills!O20</f>
        <v/>
      </c>
      <c r="G2436">
        <f>Skills!G20*IF(Skills!H20&gt;0,IF(Inputs!$B$39="pvp",MIN(Skills!I20,15),Skills!I20)/Skills!H20,1)</f>
        <v/>
      </c>
      <c r="H2436">
        <f>1-(1-Skills!J20/100)^Skills!K20</f>
        <v/>
      </c>
      <c r="I2436" t="inlineStr">
        <is>
          <t>1</t>
        </is>
      </c>
      <c r="J2436" t="inlineStr"/>
      <c r="K2436" t="inlineStr"/>
      <c r="L2436" t="inlineStr"/>
      <c r="M2436" t="inlineStr"/>
      <c r="N2436" t="inlineStr"/>
      <c r="O2436">
        <f>(1-Summary!$B$11)*T2436+Summary!$B$11*V2436</f>
        <v/>
      </c>
      <c r="P2436">
        <f>IF(B2462=0,0,O2436/B2462)</f>
        <v/>
      </c>
      <c r="Q2436">
        <f>IFERROR(1/IF(Inputs!$B$39="pvp",15,MAX(0.1,Skills!D20-IF(TRUE=TRUE,Inputs!$B$32,0))),0)</f>
        <v/>
      </c>
      <c r="R2436">
        <f>IF(AND(Inputs!$B$39&lt;&gt;"pvp",Inputs!$B$44&gt;0),IF(Inputs!$B$44&lt;=0,0,(INT(Inputs!$B$44/IF(Inputs!$B$39="pvp",15,MAX(0.1,Skills!D20-IF(TRUE=TRUE,Inputs!$B$32,0))))+1)),0)</f>
        <v/>
      </c>
      <c r="S2436">
        <f>IFERROR(O2436/N2436,0)</f>
        <v/>
      </c>
      <c r="T2436" t="n">
        <v>0</v>
      </c>
      <c r="V2436" t="n">
        <v>0</v>
      </c>
    </row>
    <row r="2437">
      <c r="A2437">
        <f>Skills!A21</f>
        <v/>
      </c>
      <c r="B2437">
        <f>Skills!B21</f>
        <v/>
      </c>
      <c r="C2437">
        <f>Inputs!$B$3&gt;=15</f>
        <v/>
      </c>
      <c r="D2437">
        <f>IF(Skills!C21=1,60+Inputs!$B$25+Inputs!$B$29,IF(Skills!C21=2,90+Inputs!$B$26+Inputs!$B$29,IF(Skills!C21=3,120+Inputs!$B$27+Inputs!$B$29,MAX(0,(Inputs!$B$3-100)*3)+Inputs!$B$28+Inputs!$B$29)))</f>
        <v/>
      </c>
      <c r="E2437">
        <f>INDEX(FactorTable!$B$2:$Y$301, MATCH(ROUND(MIN(300,MAX(1,D2437)),0), FactorTable!$A$2:$A$301,0), Skills!M21+1)</f>
        <v/>
      </c>
      <c r="F2437">
        <f>IF(Skills!N21=TRUE,(Skills!L21/10)*(E2437/1000),Skills!L21/10)+Skills!O21</f>
        <v/>
      </c>
      <c r="G2437">
        <f>Skills!G21*IF(Skills!H21&gt;0,IF(Inputs!$B$39="pvp",MIN(Skills!I21,15),Skills!I21)/Skills!H21,1)</f>
        <v/>
      </c>
      <c r="H2437">
        <f>1-(1-Skills!J21/100)^Skills!K21</f>
        <v/>
      </c>
      <c r="I2437" t="inlineStr">
        <is>
          <t>1</t>
        </is>
      </c>
      <c r="J2437" t="inlineStr"/>
      <c r="K2437" t="inlineStr"/>
      <c r="L2437" t="inlineStr"/>
      <c r="M2437" t="inlineStr"/>
      <c r="N2437" t="inlineStr"/>
      <c r="O2437">
        <f>(1-Summary!$B$11)*T2437+Summary!$B$11*V2437</f>
        <v/>
      </c>
      <c r="P2437">
        <f>IF(B2462=0,0,O2437/B2462)</f>
        <v/>
      </c>
      <c r="Q2437">
        <f>IFERROR(1/IF(Inputs!$B$39="pvp",15,MAX(0.1,Skills!D21-IF(TRUE=TRUE,Inputs!$B$32,0))),0)</f>
        <v/>
      </c>
      <c r="R2437">
        <f>IF(AND(Inputs!$B$39&lt;&gt;"pvp",Inputs!$B$44&gt;0),IF(Inputs!$B$44&lt;=0,0,(INT(Inputs!$B$44/IF(Inputs!$B$39="pvp",15,MAX(0.1,Skills!D21-IF(TRUE=TRUE,Inputs!$B$32,0))))+1)),0)</f>
        <v/>
      </c>
      <c r="S2437">
        <f>IFERROR(O2437/N2437,0)</f>
        <v/>
      </c>
      <c r="T2437" t="n">
        <v>0</v>
      </c>
      <c r="V2437" t="n">
        <v>0</v>
      </c>
    </row>
    <row r="2438">
      <c r="A2438">
        <f>Skills!A22</f>
        <v/>
      </c>
      <c r="B2438">
        <f>Skills!B22</f>
        <v/>
      </c>
      <c r="C2438">
        <f>Inputs!$B$3&gt;=15</f>
        <v/>
      </c>
      <c r="D2438">
        <f>IF(Skills!C22=1,60+Inputs!$B$25+Inputs!$B$29,IF(Skills!C22=2,90+Inputs!$B$26+Inputs!$B$29,IF(Skills!C22=3,120+Inputs!$B$27+Inputs!$B$29,MAX(0,(Inputs!$B$3-100)*3)+Inputs!$B$28+Inputs!$B$29)))</f>
        <v/>
      </c>
      <c r="E2438">
        <f>INDEX(FactorTable!$B$2:$Y$301, MATCH(ROUND(MIN(300,MAX(1,D2438)),0), FactorTable!$A$2:$A$301,0), Skills!M22+1)</f>
        <v/>
      </c>
      <c r="F2438">
        <f>IF(Skills!N22=TRUE,(Skills!L22/10)*(E2438/1000),Skills!L22/10)+Skills!O22</f>
        <v/>
      </c>
      <c r="G2438">
        <f>Skills!G22*IF(Skills!H22&gt;0,IF(Inputs!$B$39="pvp",MIN(Skills!I22,15),Skills!I22)/Skills!H22,1)</f>
        <v/>
      </c>
      <c r="H2438">
        <f>1-(1-Skills!J22/100)^Skills!K22</f>
        <v/>
      </c>
      <c r="I2438" t="inlineStr">
        <is>
          <t>1</t>
        </is>
      </c>
      <c r="J2438" t="inlineStr"/>
      <c r="K2438" t="inlineStr"/>
      <c r="L2438" t="inlineStr"/>
      <c r="M2438" t="inlineStr"/>
      <c r="N2438" t="inlineStr"/>
      <c r="O2438">
        <f>(1-Summary!$B$11)*T2438+Summary!$B$11*V2438</f>
        <v/>
      </c>
      <c r="P2438">
        <f>IF(B2462=0,0,O2438/B2462)</f>
        <v/>
      </c>
      <c r="Q2438">
        <f>IFERROR(1/IF(Inputs!$B$39="pvp",15,MAX(0.1,Skills!D22-IF(TRUE=TRUE,Inputs!$B$32,0))),0)</f>
        <v/>
      </c>
      <c r="R2438">
        <f>IF(AND(Inputs!$B$39&lt;&gt;"pvp",Inputs!$B$44&gt;0),IF(Inputs!$B$44&lt;=0,0,(INT(Inputs!$B$44/IF(Inputs!$B$39="pvp",15,MAX(0.1,Skills!D22-IF(TRUE=TRUE,Inputs!$B$32,0))))+1)),0)</f>
        <v/>
      </c>
      <c r="S2438">
        <f>IFERROR(O2438/N2438,0)</f>
        <v/>
      </c>
      <c r="T2438" t="n">
        <v>0</v>
      </c>
      <c r="V2438" t="n">
        <v>0</v>
      </c>
    </row>
    <row r="2439">
      <c r="A2439">
        <f>Skills!A23</f>
        <v/>
      </c>
      <c r="B2439">
        <f>Skills!B23</f>
        <v/>
      </c>
      <c r="C2439">
        <f>Inputs!$B$3&gt;=33</f>
        <v/>
      </c>
      <c r="D2439">
        <f>IF(Skills!C23=1,60+Inputs!$B$25+Inputs!$B$29,IF(Skills!C23=2,90+Inputs!$B$26+Inputs!$B$29,IF(Skills!C23=3,120+Inputs!$B$27+Inputs!$B$29,MAX(0,(Inputs!$B$3-100)*3)+Inputs!$B$28+Inputs!$B$29)))</f>
        <v/>
      </c>
      <c r="E2439">
        <f>INDEX(FactorTable!$B$2:$Y$301, MATCH(ROUND(MIN(300,MAX(1,D2439)),0), FactorTable!$A$2:$A$301,0), Skills!M23+1)</f>
        <v/>
      </c>
      <c r="F2439">
        <f>IF(Skills!N23=TRUE,(Skills!L23/10)*(E2439/1000),Skills!L23/10)+Skills!O23</f>
        <v/>
      </c>
      <c r="G2439">
        <f>Skills!G23*IF(Skills!H23&gt;0,IF(Inputs!$B$39="pvp",MIN(Skills!I23,15),Skills!I23)/Skills!H23,1)</f>
        <v/>
      </c>
      <c r="H2439">
        <f>1-(1-Skills!J23/100)^Skills!K23</f>
        <v/>
      </c>
      <c r="I2439" t="inlineStr">
        <is>
          <t>1</t>
        </is>
      </c>
      <c r="J2439" t="inlineStr"/>
      <c r="K2439" t="inlineStr"/>
      <c r="L2439" t="inlineStr"/>
      <c r="M2439" t="inlineStr"/>
      <c r="N2439" t="inlineStr"/>
      <c r="O2439">
        <f>(1-Summary!$B$11)*T2439+Summary!$B$11*V2439</f>
        <v/>
      </c>
      <c r="P2439">
        <f>IF(B2462=0,0,O2439/B2462)</f>
        <v/>
      </c>
      <c r="Q2439" t="n">
        <v>0</v>
      </c>
      <c r="R2439" t="n">
        <v>0</v>
      </c>
      <c r="S2439">
        <f>IFERROR(O2439/N2439,0)</f>
        <v/>
      </c>
      <c r="T2439" t="n">
        <v>0</v>
      </c>
      <c r="V2439" t="n">
        <v>0</v>
      </c>
    </row>
    <row r="2440">
      <c r="A2440">
        <f>Skills!A24</f>
        <v/>
      </c>
      <c r="B2440">
        <f>Skills!B24</f>
        <v/>
      </c>
      <c r="C2440">
        <f>Inputs!$B$3&gt;=40</f>
        <v/>
      </c>
      <c r="D2440">
        <f>IF(Skills!C24=1,60+Inputs!$B$25+Inputs!$B$29,IF(Skills!C24=2,90+Inputs!$B$26+Inputs!$B$29,IF(Skills!C24=3,120+Inputs!$B$27+Inputs!$B$29,MAX(0,(Inputs!$B$3-100)*3)+Inputs!$B$28+Inputs!$B$29)))</f>
        <v/>
      </c>
      <c r="E2440">
        <f>INDEX(FactorTable!$B$2:$Y$301, MATCH(ROUND(MIN(300,MAX(1,D2440)),0), FactorTable!$A$2:$A$301,0), Skills!M24+1)</f>
        <v/>
      </c>
      <c r="F2440">
        <f>IF(Skills!N24=TRUE,(Skills!L24/10)*(E2440/1000),Skills!L24/10)+Skills!O24</f>
        <v/>
      </c>
      <c r="G2440">
        <f>Skills!G24*IF(Skills!H24&gt;0,IF(Inputs!$B$39="pvp",MIN(Skills!I24,15),Skills!I24)/Skills!H24,1)</f>
        <v/>
      </c>
      <c r="H2440">
        <f>1-(1-Skills!J24/100)^Skills!K24</f>
        <v/>
      </c>
      <c r="I2440" t="inlineStr">
        <is>
          <t>1</t>
        </is>
      </c>
      <c r="J2440" t="inlineStr"/>
      <c r="K2440" t="inlineStr"/>
      <c r="L2440" t="inlineStr"/>
      <c r="M2440" t="inlineStr"/>
      <c r="N2440" t="inlineStr"/>
      <c r="O2440">
        <f>(1-Summary!$B$11)*T2440+Summary!$B$11*V2440</f>
        <v/>
      </c>
      <c r="P2440">
        <f>IF(B2462=0,0,O2440/B2462)</f>
        <v/>
      </c>
      <c r="Q2440" t="n">
        <v>0</v>
      </c>
      <c r="R2440" t="n">
        <v>0</v>
      </c>
      <c r="S2440">
        <f>IFERROR(O2440/N2440,0)</f>
        <v/>
      </c>
      <c r="T2440" t="n">
        <v>0</v>
      </c>
      <c r="V2440" t="n">
        <v>0</v>
      </c>
    </row>
    <row r="2441">
      <c r="A2441">
        <f>Skills!A25</f>
        <v/>
      </c>
      <c r="B2441">
        <f>Skills!B25</f>
        <v/>
      </c>
      <c r="C2441">
        <f>Inputs!$B$3&gt;=43</f>
        <v/>
      </c>
      <c r="D2441">
        <f>IF(Skills!C25=1,60+Inputs!$B$25+Inputs!$B$29,IF(Skills!C25=2,90+Inputs!$B$26+Inputs!$B$29,IF(Skills!C25=3,120+Inputs!$B$27+Inputs!$B$29,MAX(0,(Inputs!$B$3-100)*3)+Inputs!$B$28+Inputs!$B$29)))</f>
        <v/>
      </c>
      <c r="E2441">
        <f>INDEX(FactorTable!$B$2:$Y$301, MATCH(ROUND(MIN(300,MAX(1,D2441)),0), FactorTable!$A$2:$A$301,0), Skills!M25+1)</f>
        <v/>
      </c>
      <c r="F2441">
        <f>IF(Skills!N25=TRUE,(Skills!L25/10)*(E2441/1000),Skills!L25/10)+Skills!O25</f>
        <v/>
      </c>
      <c r="G2441">
        <f>Skills!G25*IF(Skills!H25&gt;0,IF(Inputs!$B$39="pvp",MIN(Skills!I25,15),Skills!I25)/Skills!H25,1)</f>
        <v/>
      </c>
      <c r="H2441">
        <f>1-(1-Skills!J25/100)^Skills!K25</f>
        <v/>
      </c>
      <c r="I2441" t="inlineStr">
        <is>
          <t>1</t>
        </is>
      </c>
      <c r="J2441" t="inlineStr"/>
      <c r="K2441" t="inlineStr"/>
      <c r="L2441" t="inlineStr"/>
      <c r="M2441" t="inlineStr"/>
      <c r="N2441" t="inlineStr"/>
      <c r="O2441">
        <f>(1-Summary!$B$11)*T2441+Summary!$B$11*V2441</f>
        <v/>
      </c>
      <c r="P2441">
        <f>IF(B2462=0,0,O2441/B2462)</f>
        <v/>
      </c>
      <c r="Q2441" t="n">
        <v>0</v>
      </c>
      <c r="R2441" t="n">
        <v>0</v>
      </c>
      <c r="S2441">
        <f>IFERROR(O2441/N2441,0)</f>
        <v/>
      </c>
      <c r="T2441" t="n">
        <v>0</v>
      </c>
      <c r="V2441" t="n">
        <v>0</v>
      </c>
    </row>
    <row r="2442">
      <c r="A2442">
        <f>Skills!A26</f>
        <v/>
      </c>
      <c r="B2442">
        <f>Skills!B26</f>
        <v/>
      </c>
      <c r="C2442">
        <f>Inputs!$B$3&gt;=50</f>
        <v/>
      </c>
      <c r="D2442">
        <f>IF(Skills!C26=1,60+Inputs!$B$25+Inputs!$B$29,IF(Skills!C26=2,90+Inputs!$B$26+Inputs!$B$29,IF(Skills!C26=3,120+Inputs!$B$27+Inputs!$B$29,MAX(0,(Inputs!$B$3-100)*3)+Inputs!$B$28+Inputs!$B$29)))</f>
        <v/>
      </c>
      <c r="E2442">
        <f>INDEX(FactorTable!$B$2:$Y$301, MATCH(ROUND(MIN(300,MAX(1,D2442)),0), FactorTable!$A$2:$A$301,0), Skills!M26+1)</f>
        <v/>
      </c>
      <c r="F2442">
        <f>IF(Skills!N26=TRUE,(Skills!L26/10)*(E2442/1000),Skills!L26/10)+Skills!O26</f>
        <v/>
      </c>
      <c r="G2442">
        <f>Skills!G26*IF(Skills!H26&gt;0,IF(Inputs!$B$39="pvp",MIN(Skills!I26,15),Skills!I26)/Skills!H26,1)</f>
        <v/>
      </c>
      <c r="H2442">
        <f>1-(1-Skills!J26/100)^Skills!K26</f>
        <v/>
      </c>
      <c r="I2442" t="inlineStr">
        <is>
          <t>1</t>
        </is>
      </c>
      <c r="J2442" t="inlineStr"/>
      <c r="K2442" t="inlineStr"/>
      <c r="L2442" t="inlineStr"/>
      <c r="M2442" t="inlineStr"/>
      <c r="N2442" t="inlineStr"/>
      <c r="O2442">
        <f>(1-Summary!$B$11)*T2442+Summary!$B$11*V2442</f>
        <v/>
      </c>
      <c r="P2442">
        <f>IF(B2462=0,0,O2442/B2462)</f>
        <v/>
      </c>
      <c r="Q2442" t="n">
        <v>0</v>
      </c>
      <c r="R2442" t="n">
        <v>0</v>
      </c>
      <c r="S2442">
        <f>IFERROR(O2442/N2442,0)</f>
        <v/>
      </c>
      <c r="T2442" t="n">
        <v>0</v>
      </c>
      <c r="V2442" t="n">
        <v>0</v>
      </c>
    </row>
    <row r="2443">
      <c r="A2443">
        <f>Skills!A27</f>
        <v/>
      </c>
      <c r="B2443">
        <f>Skills!B27</f>
        <v/>
      </c>
      <c r="C2443">
        <f>Inputs!$B$3&gt;=50</f>
        <v/>
      </c>
      <c r="D2443">
        <f>IF(Skills!C27=1,60+Inputs!$B$25+Inputs!$B$29,IF(Skills!C27=2,90+Inputs!$B$26+Inputs!$B$29,IF(Skills!C27=3,120+Inputs!$B$27+Inputs!$B$29,MAX(0,(Inputs!$B$3-100)*3)+Inputs!$B$28+Inputs!$B$29)))</f>
        <v/>
      </c>
      <c r="E2443">
        <f>INDEX(FactorTable!$B$2:$Y$301, MATCH(ROUND(MIN(300,MAX(1,D2443)),0), FactorTable!$A$2:$A$301,0), Skills!M27+1)</f>
        <v/>
      </c>
      <c r="F2443">
        <f>IF(Skills!N27=TRUE,(Skills!L27/10)*(E2443/1000),Skills!L27/10)+Skills!O27</f>
        <v/>
      </c>
      <c r="G2443">
        <f>Skills!G27*IF(Skills!H27&gt;0,IF(Inputs!$B$39="pvp",MIN(Skills!I27,15),Skills!I27)/Skills!H27,1)</f>
        <v/>
      </c>
      <c r="H2443">
        <f>1-(1-Skills!J27/100)^Skills!K27</f>
        <v/>
      </c>
      <c r="I2443" t="inlineStr">
        <is>
          <t>1</t>
        </is>
      </c>
      <c r="J2443" t="inlineStr"/>
      <c r="K2443" t="inlineStr"/>
      <c r="L2443" t="inlineStr"/>
      <c r="M2443" t="inlineStr"/>
      <c r="N2443" t="inlineStr"/>
      <c r="O2443">
        <f>(1-Summary!$B$11)*T2443+Summary!$B$11*V2443</f>
        <v/>
      </c>
      <c r="P2443">
        <f>IF(B2462=0,0,O2443/B2462)</f>
        <v/>
      </c>
      <c r="Q2443" t="n">
        <v>0</v>
      </c>
      <c r="R2443" t="n">
        <v>0</v>
      </c>
      <c r="S2443">
        <f>IFERROR(O2443/N2443,0)</f>
        <v/>
      </c>
      <c r="T2443" t="n">
        <v>0</v>
      </c>
      <c r="V2443" t="n">
        <v>0</v>
      </c>
    </row>
    <row r="2444">
      <c r="A2444">
        <f>Skills!A28</f>
        <v/>
      </c>
      <c r="B2444">
        <f>Skills!B28</f>
        <v/>
      </c>
      <c r="C2444">
        <f>Inputs!$B$3&gt;=38</f>
        <v/>
      </c>
      <c r="D2444">
        <f>IF(Skills!C28=1,60+Inputs!$B$25+Inputs!$B$29,IF(Skills!C28=2,90+Inputs!$B$26+Inputs!$B$29,IF(Skills!C28=3,120+Inputs!$B$27+Inputs!$B$29,MAX(0,(Inputs!$B$3-100)*3)+Inputs!$B$28+Inputs!$B$29)))</f>
        <v/>
      </c>
      <c r="E2444">
        <f>INDEX(FactorTable!$B$2:$Y$301, MATCH(ROUND(MIN(300,MAX(1,D2444)),0), FactorTable!$A$2:$A$301,0), Skills!M28+1)</f>
        <v/>
      </c>
      <c r="F2444">
        <f>IF(Skills!N28=TRUE,(Skills!L28/10)*(E2444/1000),Skills!L28/10)+Skills!O28</f>
        <v/>
      </c>
      <c r="G2444">
        <f>Skills!G28*IF(Skills!H28&gt;0,IF(Inputs!$B$39="pvp",MIN(Skills!I28,15),Skills!I28)/Skills!H28,1)</f>
        <v/>
      </c>
      <c r="H2444">
        <f>1-(1-Skills!J28/100)^Skills!K28</f>
        <v/>
      </c>
      <c r="I2444" t="inlineStr">
        <is>
          <t>1</t>
        </is>
      </c>
      <c r="J2444" t="inlineStr"/>
      <c r="K2444" t="inlineStr"/>
      <c r="L2444" t="inlineStr"/>
      <c r="M2444" t="inlineStr"/>
      <c r="N2444" t="inlineStr"/>
      <c r="O2444">
        <f>(1-Summary!$B$11)*T2444+Summary!$B$11*V2444</f>
        <v/>
      </c>
      <c r="P2444">
        <f>IF(B2462=0,0,O2444/B2462)</f>
        <v/>
      </c>
      <c r="Q2444" t="n">
        <v>0</v>
      </c>
      <c r="R2444" t="n">
        <v>0</v>
      </c>
      <c r="S2444">
        <f>IFERROR(O2444/N2444,0)</f>
        <v/>
      </c>
      <c r="T2444" t="n">
        <v>0</v>
      </c>
      <c r="V2444" t="n">
        <v>0</v>
      </c>
    </row>
    <row r="2445">
      <c r="A2445">
        <f>Skills!A29</f>
        <v/>
      </c>
      <c r="B2445">
        <f>Skills!B29</f>
        <v/>
      </c>
      <c r="C2445">
        <f>Inputs!$B$3&gt;=120</f>
        <v/>
      </c>
      <c r="D2445">
        <f>IF(Skills!C29=1,60+Inputs!$B$25+Inputs!$B$29,IF(Skills!C29=2,90+Inputs!$B$26+Inputs!$B$29,IF(Skills!C29=3,120+Inputs!$B$27+Inputs!$B$29,MAX(0,(Inputs!$B$3-100)*3)+Inputs!$B$28+Inputs!$B$29)))</f>
        <v/>
      </c>
      <c r="E2445">
        <f>INDEX(FactorTable!$B$2:$Y$301, MATCH(ROUND(MIN(300,MAX(1,D2445)),0), FactorTable!$A$2:$A$301,0), Skills!M29+1)</f>
        <v/>
      </c>
      <c r="F2445">
        <f>IF(Skills!N29=TRUE,(Skills!L29/10)*(E2445/1000),Skills!L29/10)+Skills!O29</f>
        <v/>
      </c>
      <c r="G2445">
        <f>Skills!G29*IF(Skills!H29&gt;0,IF(Inputs!$B$39="pvp",MIN(Skills!I29,15),Skills!I29)/Skills!H29,1)</f>
        <v/>
      </c>
      <c r="H2445">
        <f>1-(1-Skills!J29/100)^Skills!K29</f>
        <v/>
      </c>
      <c r="I2445" t="inlineStr">
        <is>
          <t>1</t>
        </is>
      </c>
      <c r="J2445" t="inlineStr"/>
      <c r="K2445" t="inlineStr"/>
      <c r="L2445" t="inlineStr"/>
      <c r="M2445" t="inlineStr"/>
      <c r="N2445" t="inlineStr"/>
      <c r="O2445">
        <f>(1-Summary!$B$11)*T2445+Summary!$B$11*V2445</f>
        <v/>
      </c>
      <c r="P2445">
        <f>IF(B2462=0,0,O2445/B2462)</f>
        <v/>
      </c>
      <c r="Q2445" t="n">
        <v>0</v>
      </c>
      <c r="R2445" t="n">
        <v>0</v>
      </c>
      <c r="S2445">
        <f>IFERROR(O2445/N2445,0)</f>
        <v/>
      </c>
      <c r="T2445" t="n">
        <v>0</v>
      </c>
      <c r="V2445" t="n">
        <v>0</v>
      </c>
    </row>
    <row r="2446">
      <c r="A2446">
        <f>Skills!A30</f>
        <v/>
      </c>
      <c r="B2446">
        <f>Skills!B30</f>
        <v/>
      </c>
      <c r="C2446">
        <f>Inputs!$B$3&gt;=120</f>
        <v/>
      </c>
      <c r="D2446">
        <f>IF(Skills!C30=1,60+Inputs!$B$25+Inputs!$B$29,IF(Skills!C30=2,90+Inputs!$B$26+Inputs!$B$29,IF(Skills!C30=3,120+Inputs!$B$27+Inputs!$B$29,MAX(0,(Inputs!$B$3-100)*3)+Inputs!$B$28+Inputs!$B$29)))</f>
        <v/>
      </c>
      <c r="E2446">
        <f>INDEX(FactorTable!$B$2:$Y$301, MATCH(ROUND(MIN(300,MAX(1,D2446)),0), FactorTable!$A$2:$A$301,0), Skills!M30+1)</f>
        <v/>
      </c>
      <c r="F2446">
        <f>IF(Skills!N30=TRUE,(Skills!L30/10)*(E2446/1000),Skills!L30/10)+Skills!O30</f>
        <v/>
      </c>
      <c r="G2446">
        <f>Skills!G30*IF(Skills!H30&gt;0,IF(Inputs!$B$39="pvp",MIN(Skills!I30,15),Skills!I30)/Skills!H30,1)</f>
        <v/>
      </c>
      <c r="H2446">
        <f>1-(1-Skills!J30/100)^Skills!K30</f>
        <v/>
      </c>
      <c r="I2446" t="inlineStr">
        <is>
          <t>1</t>
        </is>
      </c>
      <c r="J2446" t="inlineStr"/>
      <c r="K2446" t="inlineStr"/>
      <c r="L2446" t="inlineStr"/>
      <c r="M2446" t="inlineStr"/>
      <c r="N2446" t="inlineStr"/>
      <c r="O2446">
        <f>(1-Summary!$B$11)*T2446+Summary!$B$11*V2446</f>
        <v/>
      </c>
      <c r="P2446">
        <f>IF(B2462=0,0,O2446/B2462)</f>
        <v/>
      </c>
      <c r="Q2446" t="n">
        <v>0</v>
      </c>
      <c r="R2446" t="n">
        <v>0</v>
      </c>
      <c r="S2446">
        <f>IFERROR(O2446/N2446,0)</f>
        <v/>
      </c>
      <c r="T2446" t="n">
        <v>0</v>
      </c>
      <c r="V2446" t="n">
        <v>0</v>
      </c>
    </row>
    <row r="2447">
      <c r="A2447">
        <f>Skills!A31</f>
        <v/>
      </c>
      <c r="B2447">
        <f>Skills!B31</f>
        <v/>
      </c>
      <c r="C2447">
        <f>Inputs!$B$3&gt;=125</f>
        <v/>
      </c>
      <c r="D2447">
        <f>IF(Skills!C31=1,60+Inputs!$B$25+Inputs!$B$29,IF(Skills!C31=2,90+Inputs!$B$26+Inputs!$B$29,IF(Skills!C31=3,120+Inputs!$B$27+Inputs!$B$29,MAX(0,(Inputs!$B$3-100)*3)+Inputs!$B$28+Inputs!$B$29)))</f>
        <v/>
      </c>
      <c r="E2447">
        <f>INDEX(FactorTable!$B$2:$Y$301, MATCH(ROUND(MIN(300,MAX(1,D2447)),0), FactorTable!$A$2:$A$301,0), Skills!M31+1)</f>
        <v/>
      </c>
      <c r="F2447">
        <f>IF(Skills!N31=TRUE,(Skills!L31/10)*(E2447/1000),Skills!L31/10)+Skills!O31</f>
        <v/>
      </c>
      <c r="G2447">
        <f>Skills!G31*IF(Skills!H31&gt;0,IF(Inputs!$B$39="pvp",MIN(Skills!I31,15),Skills!I31)/Skills!H31,1)</f>
        <v/>
      </c>
      <c r="H2447">
        <f>1-(1-Skills!J31/100)^Skills!K31</f>
        <v/>
      </c>
      <c r="I2447" t="inlineStr">
        <is>
          <t>1</t>
        </is>
      </c>
      <c r="J2447" t="inlineStr"/>
      <c r="K2447" t="inlineStr"/>
      <c r="L2447" t="inlineStr"/>
      <c r="M2447" t="inlineStr"/>
      <c r="N2447" t="inlineStr"/>
      <c r="O2447">
        <f>(1-Summary!$B$11)*T2447+Summary!$B$11*V2447</f>
        <v/>
      </c>
      <c r="P2447">
        <f>IF(B2462=0,0,O2447/B2462)</f>
        <v/>
      </c>
      <c r="Q2447" t="n">
        <v>0</v>
      </c>
      <c r="R2447" t="n">
        <v>0</v>
      </c>
      <c r="S2447">
        <f>IFERROR(O2447/N2447,0)</f>
        <v/>
      </c>
      <c r="T2447" t="n">
        <v>0</v>
      </c>
      <c r="V2447" t="n">
        <v>0</v>
      </c>
    </row>
    <row r="2449">
      <c r="A2449" t="inlineStr">
        <is>
          <t>Average Buff Multiplier</t>
        </is>
      </c>
      <c r="B2449">
        <f>(1+(((C2438=TRUE)*F2438*IF(AND(Inputs!$B$39&lt;&gt;"pvp",Inputs!$B$44&gt;0),(((R2438-1)*MIN((Skills!Y22*(1+Inputs!$B$34/100)),(1/Q2438))+MIN((Skills!Y22*(1+Inputs!$B$34/100)),MAX(0,Inputs!$B$44-((R2438-1)*(1/Q2438)))))/Inputs!$B$44),IF(Inputs!$B$39="pvp",MIN((Skills!Y22*(1+Inputs!$B$34/100)),15)/15,MIN(1,(Skills!Y22*(1+Inputs!$B$34/100))/(1/Q2438)))))+((C2419=TRUE)*F2419*3)+((C2421=TRUE)*F2421*(1-EXP(-0.75*B2454*5)))+((C2440=TRUE)*(F2440-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2427=TRUE)*F2427*IF(AND(Inputs!$B$39&lt;&gt;"pvp",Inputs!$B$44&gt;0),(((R2427-1)*MIN((Skills!Y11*(1+Inputs!$B$34/100)),(1/Q2427))+MIN((Skills!Y11*(1+Inputs!$B$34/100)),MAX(0,Inputs!$B$44-((R2427-1)*(1/Q2427)))))/Inputs!$B$44),IF(Inputs!$B$39="pvp",MIN((Skills!Y11*(1+Inputs!$B$34/100)),15)/15,MIN(1,(Skills!Y11*(1+Inputs!$B$34/100))/(1/Q2427)))))/100)*(1+((C2432=TRUE)*F2432*IF(AND(Inputs!$B$39&lt;&gt;"pvp",Inputs!$B$44&gt;0),(((R2432-1)*MIN((Skills!Y16*(1+Inputs!$B$34/100)),(1/Q2432))+MIN((Skills!Y16*(1+Inputs!$B$34/100)),MAX(0,Inputs!$B$44-((R2432-1)*(1/Q2432)))))/Inputs!$B$44),IF(Inputs!$B$39="pvp",MIN((Skills!Y16*(1+Inputs!$B$34/100)),15)/15,MIN(1,(Skills!Y16*(1+Inputs!$B$34/100))/(1/Q2432)))))/100)</f>
        <v/>
      </c>
    </row>
    <row r="2450">
      <c r="A2450" t="inlineStr">
        <is>
          <t>Global Crit Rate Bonus %</t>
        </is>
      </c>
      <c r="B2450">
        <f>((C2437=TRUE)*F2437*IF(AND(Inputs!$B$39&lt;&gt;"pvp",Inputs!$B$44&gt;0),(((R2437-1)*MIN((Skills!Y21*(1+Inputs!$B$34/100)),(1/Q2437))+MIN((Skills!Y21*(1+Inputs!$B$34/100)),MAX(0,Inputs!$B$44-((R2437-1)*(1/Q2437)))))/Inputs!$B$44),IF(Inputs!$B$39="pvp",MIN((Skills!Y21*(1+Inputs!$B$34/100)),15)/15,MIN(1,(Skills!Y21*(1+Inputs!$B$34/100))/(1/Q2437)))))</f>
        <v/>
      </c>
    </row>
    <row r="2451">
      <c r="A2451" t="inlineStr">
        <is>
          <t>Global Monster Damage-Taken Bonus %</t>
        </is>
      </c>
      <c r="B2451">
        <f>IF(Inputs!$B$3&gt;=82,15,0)</f>
        <v/>
      </c>
    </row>
    <row r="2452">
      <c r="A2452" t="inlineStr">
        <is>
          <t>Shadow Partner Average Multiplier</t>
        </is>
      </c>
      <c r="B2452">
        <f>1+((C2424=TRUE)*F2424*(1+3.3333333333333335*IF(C2435=TRUE,F2435,0)/100)*I2424*Skills!J8/100)/100</f>
        <v/>
      </c>
    </row>
    <row r="2453">
      <c r="A2453" t="inlineStr">
        <is>
          <t>Attack Speed Buff Bonus %</t>
        </is>
      </c>
      <c r="B2453">
        <f>((C2436=TRUE)*F2436*IF(AND(Inputs!$B$39&lt;&gt;"pvp",Inputs!$B$44&gt;0),(((R2436-1)*MIN((Skills!Y20*(1+Inputs!$B$34/100)),(1/Q2436))+MIN((Skills!Y20*(1+Inputs!$B$34/100)),MAX(0,Inputs!$B$44-((R2436-1)*(1/Q2436)))))/Inputs!$B$44),IF(Inputs!$B$39="pvp",MIN((Skills!Y20*(1+Inputs!$B$34/100)),15)/15,MIN(1,(Skills!Y20*(1+Inputs!$B$34/100))/(1/Q2436)))))</f>
        <v/>
      </c>
    </row>
    <row r="2454">
      <c r="A2454" t="inlineStr">
        <is>
          <t>Actions Per Second</t>
        </is>
      </c>
      <c r="B2454">
        <f>1+MIN(150,150*(1-(1-(Inputs!$B$11+((C2439=TRUE)*(F2439-Calc!F23)))/150)*(1-B2453/150)))/100</f>
        <v/>
      </c>
    </row>
    <row r="2455">
      <c r="A2455" t="inlineStr">
        <is>
          <t>Skill + Buff Cast Rate</t>
        </is>
      </c>
      <c r="B2455">
        <f>IF(AND(Inputs!$B$39&lt;&gt;"pvp",Inputs!$B$44&gt;0),SUMPRODUCT((Skills!E2:E31=TRUE)*(C2418:C2447=TRUE)*R2418:R2447*Skills!F2:F31)/Inputs!$B$44,SUMPRODUCT((Skills!E2:E31=TRUE)*(C2418:C2447=TRUE)*Q2418:Q2447*Skills!F2:F31))</f>
        <v/>
      </c>
    </row>
    <row r="2456">
      <c r="A2456" t="inlineStr">
        <is>
          <t>Cruel Stab Casts Per Second</t>
        </is>
      </c>
      <c r="B2456">
        <f>MAX(0,B2454-B2455)</f>
        <v/>
      </c>
    </row>
    <row r="2457">
      <c r="A2457" t="inlineStr">
        <is>
          <t>Global Critical Damage Bonus % (Smokescreen Mastery Lv.113)</t>
        </is>
      </c>
      <c r="B2457">
        <f>IF(Inputs!$B$3&gt;=113,30,0)*IF(AND(Inputs!$B$39&lt;&gt;"pvp",Inputs!$B$44&gt;0),(((R2432-1)*MIN((Skills!Y16*(1+Inputs!$B$34/100)),(1/Q2432))+MIN((Skills!Y16*(1+Inputs!$B$34/100)),MAX(0,Inputs!$B$44-((R2432-1)*(1/Q2432)))))/Inputs!$B$44),IF(Inputs!$B$39="pvp",MIN((Skills!Y16*(1+Inputs!$B$34/100)),15)/15,MIN(1,(Skills!Y16*(1+Inputs!$B$34/100))/(1/Q2432))))</f>
        <v/>
      </c>
    </row>
    <row r="2458">
      <c r="A2458" t="inlineStr">
        <is>
          <t>Meso Explosion average stack count</t>
        </is>
      </c>
      <c r="B2458">
        <f>MIN(10,IF(Inputs!$B$3&gt;=75,0.75,0.5)*B2454*(1/Q2420))</f>
        <v/>
      </c>
    </row>
    <row r="2459">
      <c r="A2459" t="inlineStr">
        <is>
          <t>Blood Money average stack count</t>
        </is>
      </c>
      <c r="B2459">
        <f>MIN(5,0.5*IF(Inputs!$B$3&gt;=75,0.75,0.5)*B2454*(1/Q2420))</f>
        <v/>
      </c>
    </row>
    <row r="2460">
      <c r="A2460" t="inlineStr">
        <is>
          <t>Assassinate Murderous Intent Multiplier</t>
        </is>
      </c>
      <c r="B2460">
        <f>1+IFERROR(MIN(1,Q2431*2/Q2428),0)</f>
        <v/>
      </c>
    </row>
    <row r="2461">
      <c r="A2461" t="inlineStr">
        <is>
          <t>Buff-Casting Startup Delay (s, fixed-duration only)</t>
        </is>
      </c>
      <c r="B2461">
        <f>IF(AND(Inputs!$B$39&lt;&gt;"pvp",Inputs!$B$44&gt;0),SUMPRODUCT((Skills!Y2:Y31&gt;0)*(Skills!E2:E31=TRUE)*(C2418:C2447=TRUE))/B2454,0)</f>
        <v/>
      </c>
    </row>
    <row r="2462">
      <c r="A2462" s="6" t="inlineStr">
        <is>
          <t>TOTAL DPS</t>
        </is>
      </c>
      <c r="B2462" s="6">
        <f>SUM(O2418:O2447)</f>
        <v/>
      </c>
    </row>
    <row r="2463">
      <c r="A2463" t="inlineStr">
        <is>
          <t>Boss-Only Total DPS (this block's swept value)</t>
        </is>
      </c>
      <c r="B2463">
        <f>SUM(T2418:T2447)</f>
        <v/>
      </c>
    </row>
    <row r="2464">
      <c r="A2464" t="inlineStr">
        <is>
          <t>Normal-Only Total DPS (this block's swept value)</t>
        </is>
      </c>
      <c r="B2464">
        <f>SUM(V2418:V2447)</f>
        <v/>
      </c>
    </row>
    <row r="2467">
      <c r="A2467" s="6" t="inlineStr">
        <is>
          <t>Stat: Soul Contract (Equip)</t>
        </is>
      </c>
    </row>
    <row r="2468">
      <c r="A2468" s="5" t="inlineStr">
        <is>
          <t>Key</t>
        </is>
      </c>
      <c r="B2468" s="5" t="inlineStr">
        <is>
          <t>Name</t>
        </is>
      </c>
      <c r="C2468" s="5" t="inlineStr">
        <is>
          <t>Unlocked</t>
        </is>
      </c>
      <c r="D2468" s="5" t="inlineStr">
        <is>
          <t>InputLevel</t>
        </is>
      </c>
      <c r="E2468" s="5" t="inlineStr">
        <is>
          <t>Factor</t>
        </is>
      </c>
      <c r="F2468" s="5" t="inlineStr">
        <is>
          <t>CoefficientPercent</t>
        </is>
      </c>
      <c r="G2468" s="5" t="inlineStr">
        <is>
          <t>EffectiveHits</t>
        </is>
      </c>
      <c r="H2468" s="5" t="inlineStr">
        <is>
          <t>ProcProbability</t>
        </is>
      </c>
      <c r="I2468" s="5" t="inlineStr">
        <is>
          <t>MapleHeroMultiplier</t>
        </is>
      </c>
      <c r="J2468" s="5" t="inlineStr">
        <is>
          <t>BaseDamage</t>
        </is>
      </c>
      <c r="K2468" s="5" t="inlineStr">
        <is>
          <t>BaseHitDamage</t>
        </is>
      </c>
      <c r="L2468" s="5" t="inlineStr">
        <is>
          <t>NonCritAvg</t>
        </is>
      </c>
      <c r="M2468" s="5" t="inlineStr">
        <is>
          <t>CritAvg</t>
        </is>
      </c>
      <c r="N2468" s="5" t="inlineStr">
        <is>
          <t>ExpectedDamage(perHit)</t>
        </is>
      </c>
      <c r="O2468" s="5" t="inlineStr">
        <is>
          <t>DPS</t>
        </is>
      </c>
      <c r="P2468" s="5" t="inlineStr">
        <is>
          <t>% of Total</t>
        </is>
      </c>
      <c r="Q2468" s="5" t="inlineStr">
        <is>
          <t>InvCooldown</t>
        </is>
      </c>
      <c r="R2468" s="5" t="inlineStr">
        <is>
          <t>CastsInFight</t>
        </is>
      </c>
      <c r="S2468" s="5" t="inlineStr">
        <is>
          <t>HitRate(perSec)</t>
        </is>
      </c>
      <c r="U2468" t="inlineStr">
        <is>
          <t>helpers</t>
        </is>
      </c>
    </row>
    <row r="2469">
      <c r="A2469">
        <f>Skills!A2</f>
        <v/>
      </c>
      <c r="B2469">
        <f>Skills!B2</f>
        <v/>
      </c>
      <c r="C2469">
        <f>Inputs!$B$3&gt;=100</f>
        <v/>
      </c>
      <c r="D2469" t="inlineStr"/>
      <c r="E2469" t="inlineStr"/>
      <c r="F2469">
        <f>U2471+Skills!O2</f>
        <v/>
      </c>
      <c r="G2469">
        <f>Skills!G2*IF(Skills!H2&gt;0,IF(Inputs!$B$39="pvp",MIN(Skills!I2,15),Skills!I2)/Skills!H2,1)</f>
        <v/>
      </c>
      <c r="H2469">
        <f>1-(1-Skills!J2/100)^Skills!K2</f>
        <v/>
      </c>
      <c r="I2469" t="inlineStr">
        <is>
          <t>1</t>
        </is>
      </c>
      <c r="J2469">
        <f>((Inputs!$B$6*(1+Inputs!$B$7/100))+(((Inputs!$B$12*(1+Inputs!$B$13/100))-(Inputs!$B$12*(1+Inputs!$B$13/100)))+0.25*(Inputs!$B$14-Inputs!$B$14))*(1+Inputs!$B$7/100))*(F2469/100)</f>
        <v/>
      </c>
      <c r="K2469">
        <f>J2469*(1+((Inputs!$B$12*(1+Inputs!$B$13/100))*0.01+Inputs!$B$14*0.0025)/100)*(1+Inputs!$B$15/100)*(1+Inputs!$B$16/100)*(5000/(6000+Inputs!$B$43*(1-(100*(1-(1-Inputs!$B$19/100)*(1-CHOOSE(ArtifactsInput!$N$40+1,5,6,7,8,9,10)/100)^(ArtifactsInput!$M$40-ArtifactsInput!$M$40)))/100)))*(1+(Inputs!$B$24+((C2498=TRUE)*(F2498-Calc!F31))+((C2485=TRUE)*(F2485-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CRUEL_STAB",Inputs!$B$17+((C2495=TRUE)*(F2495-Calc!F28))+((IF(AND(Inputs!$B$39&lt;&gt;"pvp",Inputs!$B$44=0),1,IF(IF(Inputs!$B$39="pvp",15,Inputs!$B$44)-(B2512)&lt;=0,1,MAX(0,IF(Inputs!$B$39="pvp",15,Inputs!$B$44)-MAX(5,B2512))/(IF(Inputs!$B$39="pvp",15,Inputs!$B$44)-(B2512))))*(IF(AND(ArtifactsInput!$M$42,((Inputs!$B$9+((C2493=TRUE)*(F2493-Calc!F26))+B2501+(ArtifactsInput!$M$24-ArtifactsInput!$M$24)*CHOOSE(ArtifactsInput!$N$24+1,10,12,14,16,18,20)+IF(ArtifactsInput!$M$10,CHOOSE(ArtifactsInput!$N$10+1,15,18,21,24,27,30)*(IF(Inputs!$B$39="pvp",MIN(15,15)/15,IF(AND(Inputs!$B$39&lt;&gt;"pvp",Inputs!$B$44&gt;0),MIN(15,Inputs!$B$44)/(Inputs!$B$44),0))),0)))&gt;=100),MIN(100,((Inputs!$B$9+((C2493=TRUE)*(F2493-Calc!F26))+B2501+(ArtifactsInput!$M$24-ArtifactsInput!$M$24)*CHOOSE(ArtifactsInput!$N$24+1,10,12,14,16,18,20)+IF(ArtifactsInput!$M$10,CHOOSE(ArtifactsInput!$N$10+1,15,18,21,24,27,30)*(IF(Inputs!$B$39="pvp",MIN(15,15)/15,IF(AND(Inputs!$B$39&lt;&gt;"pvp",Inputs!$B$44&gt;0),MIN(15,Inputs!$B$44)/(Inputs!$B$44),0))),0)))-100),0))*CHOOSE(ArtifactsInput!$N$42+1,0.6,0.72,0.84,0.96,1.08,1.2))),Inputs!$B$18+((C2496=TRUE)*(F2496-Calc!F29))+(IF(AND(Inputs!$B$39&lt;&gt;"pvp",Inputs!$B$44=0),1,IF(IF(Inputs!$B$39="pvp",15,Inputs!$B$44)-(B2512)&lt;=0,1,MAX(0,IF(Inputs!$B$39="pvp",15,Inputs!$B$44)-MAX(5,B2512))/(IF(Inputs!$B$39="pvp",15,Inputs!$B$44)-(B2512))))*IF(AND(ArtifactsInput!$M$42,((Inputs!$B$9+((C2493=TRUE)*(F2493-Calc!F26))+B2501+(ArtifactsInput!$M$24-ArtifactsInput!$M$24)*CHOOSE(ArtifactsInput!$N$24+1,10,12,14,16,18,20)+IF(ArtifactsInput!$M$10,CHOOSE(ArtifactsInput!$N$10+1,15,18,21,24,27,30)*(IF(Inputs!$B$39="pvp",MIN(15,15)/15,IF(AND(Inputs!$B$39&lt;&gt;"pvp",Inputs!$B$44&gt;0),MIN(15,Inputs!$B$44)/(Inputs!$B$44),0))),0)))&gt;=100),CHOOSE(ArtifactsInput!$N$42+1,40,48,56,64,72,80),0))))/100)*(((1+(((C2489=TRUE)*F2489*IF(AND(Inputs!$B$39&lt;&gt;"pvp",Inputs!$B$44&gt;0),(((R2489-1)*MIN((Skills!Y22*(1+Inputs!$B$34/100)),(1/Q2489))+MIN((Skills!Y22*(1+Inputs!$B$34/100)),MAX(0,Inputs!$B$44-((R2489-1)*(1/Q2489)))))/Inputs!$B$44),IF(Inputs!$B$39="pvp",MIN((Skills!Y22*(1+Inputs!$B$34/100)),15)/15,MIN(1,(Skills!Y22*(1+Inputs!$B$34/100))/(1/Q2489)))))+((C2470=TRUE)*F2470*3)+((C2472=TRUE)*F2472*(1-EXP(-0.75*B2505*5)))+((C2491=TRUE)*(F2491-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2478=TRUE)*F2478*IF(AND(Inputs!$B$39&lt;&gt;"pvp",Inputs!$B$44&gt;0),(((R2478-1)*MIN((Skills!Y11*(1+Inputs!$B$34/100)),(1/Q2478))+MIN((Skills!Y11*(1+Inputs!$B$34/100)),MAX(0,Inputs!$B$44-((R2478-1)*(1/Q2478)))))/Inputs!$B$44),IF(Inputs!$B$39="pvp",MIN((Skills!Y11*(1+Inputs!$B$34/100)),15)/15,MIN(1,(Skills!Y11*(1+Inputs!$B$34/100))/(1/Q2478)))))/100)*(1+((C2483=TRUE)*F2483*IF(AND(Inputs!$B$39&lt;&gt;"pvp",Inputs!$B$44&gt;0),(((R2483-1)*MIN((Skills!Y16*(1+Inputs!$B$34/100)),(1/Q2483))+MIN((Skills!Y16*(1+Inputs!$B$34/100)),MAX(0,Inputs!$B$44-((R2483-1)*(1/Q2483)))))/Inputs!$B$44),IF(Inputs!$B$39="pvp",MIN((Skills!Y16*(1+Inputs!$B$34/100)),15)/15,MIN(1,(Skills!Y16*(1+Inputs!$B$34/100))/(1/Q2483)))))/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2503*I2469)</f>
        <v/>
      </c>
      <c r="L2469">
        <f>K2469*(MIN(Inputs!$B$22+((C2492=TRUE)*(F2492-Calc!F25)),(Inputs!$B$23+((C2497=TRUE)*(F2497-Calc!F30))+IF(ArtifactsInput!$M$15,CHOOSE(ArtifactsInput!$N$15+1,25,30,35,40,45,50)/100*(Inputs!$B$11-Inputs!$B$11),0)))/100+(Inputs!$B$23+((C2497=TRUE)*(F2497-Calc!F30))+IF(ArtifactsInput!$M$15,CHOOSE(ArtifactsInput!$N$15+1,25,30,35,40,45,50)/100*(Inputs!$B$11-Inputs!$B$11),0))/100)/2</f>
        <v/>
      </c>
      <c r="M2469">
        <f>L2469*(1+(Inputs!$B$10+((C2494=TRUE)*(F2494-Calc!F27))+B2508+(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2469">
        <f>L2469*(1-MIN((Inputs!$B$9+((C2493=TRUE)*(F2493-Calc!F26))+B2501+(ArtifactsInput!$M$24-ArtifactsInput!$M$24)*CHOOSE(ArtifactsInput!$N$24+1,10,12,14,16,18,20)+(IF(AND(Inputs!$B$39&lt;&gt;"pvp",Inputs!$B$44=0),1,IF(IF(Inputs!$B$39="pvp",15,Inputs!$B$44)-(B2512)&lt;=0,1,MAX(0,IF(Inputs!$B$39="pvp",15,Inputs!$B$44)-MAX(5,B2512))/(IF(Inputs!$B$39="pvp",15,Inputs!$B$44)-(B2512))))*IF(AND(ArtifactsInput!$M$42,((Inputs!$B$9+((C2493=TRUE)*(F2493-Calc!F26))+B2501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2469*(MIN((Inputs!$B$9+((C2493=TRUE)*(F2493-Calc!F26))+B2501+(ArtifactsInput!$M$24-ArtifactsInput!$M$24)*CHOOSE(ArtifactsInput!$N$24+1,10,12,14,16,18,20)+(IF(AND(Inputs!$B$39&lt;&gt;"pvp",Inputs!$B$44=0),1,IF(IF(Inputs!$B$39="pvp",15,Inputs!$B$44)-(B2512)&lt;=0,1,MAX(0,IF(Inputs!$B$39="pvp",15,Inputs!$B$44)-MAX(5,B2512))/(IF(Inputs!$B$39="pvp",15,Inputs!$B$44)-(B2512))))*IF(AND(ArtifactsInput!$M$42,((Inputs!$B$9+((C2493=TRUE)*(F2493-Calc!F26))+B2501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469">
        <f>(1-Summary!$B$11)*T2469+Summary!$B$11*V2469</f>
        <v/>
      </c>
      <c r="P2469">
        <f>IF(B2513=0,0,O2469/B2513)</f>
        <v/>
      </c>
      <c r="Q2469" t="n">
        <v>0</v>
      </c>
      <c r="R2469" t="n">
        <v>0</v>
      </c>
      <c r="S2469">
        <f>IFERROR(O2469/N2469,0)</f>
        <v/>
      </c>
      <c r="T2469">
        <f>IF(C2469,(Skills!G2*N2469*B2507)*IF(Inputs!$B$39="pvp",1,1+(Inputs!$B$20+0+Skills!P2+B2502+(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Hunt"),CHOOSE(ArtifactsInput!$N$35+1,15,18,21,24,27,30)*(1-EXP(-(0.2*B2505)*5)),0)+IF(AND(ArtifactsInput!$M$22,Inputs!$B$4&lt;&gt;"Chapter Hunt"),CHOOSE(ArtifactsInput!$N$22+1,10,12,14,16,18,20)*((0*(((0.15*B2505*5))^0/1)+1*(((0.15*B2505*5))^1/1)+2*(((0.15*B2505*5))^2/2)+3*(((0.15*B2505*5))^3/6)+4*(((0.15*B2505*5))^4/24)+5*(((0.15*B2505*5))^5/120))/((((0.15*B2505*5))^0/1)+(((0.15*B2505*5))^1/1)+(((0.15*B2505*5))^2/2)+(((0.15*B2505*5))^3/6)+(((0.15*B2505*5))^4/24)+(((0.15*B2505*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2469*(1-MIN(100,(Inputs!$B$9+((C2493=TRUE)*(F2493-Calc!F26))+B2501+(ArtifactsInput!$M$24-ArtifactsInput!$M$24)*CHOOSE(ArtifactsInput!$N$24+1,10,12,14,16,18,20)+(IF(AND(Inputs!$B$39&lt;&gt;"pvp",Inputs!$B$44=0),1,IF(IF(Inputs!$B$39="pvp",15,Inputs!$B$44)-(B2512)&lt;=0,1,MAX(0,IF(Inputs!$B$39="pvp",15,Inputs!$B$44)-MAX(5,B2512))/(IF(Inputs!$B$39="pvp",15,Inputs!$B$44)-(B2512))))*IF(AND(ArtifactsInput!$M$42,((Inputs!$B$9+((C2493=TRUE)*(F2493-Calc!F26))+B2501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2469*(MIN(100,(Inputs!$B$9+((C2493=TRUE)*(F2493-Calc!F26))+B2501+(ArtifactsInput!$M$24-ArtifactsInput!$M$24)*CHOOSE(ArtifactsInput!$N$24+1,10,12,14,16,18,20)+(IF(AND(Inputs!$B$39&lt;&gt;"pvp",Inputs!$B$44=0),1,IF(IF(Inputs!$B$39="pvp",15,Inputs!$B$44)-(B2512)&lt;=0,1,MAX(0,IF(Inputs!$B$39="pvp",15,Inputs!$B$44)-MAX(5,B2512))/(IF(Inputs!$B$39="pvp",15,Inputs!$B$44)-(B2512))))*IF(AND(ArtifactsInput!$M$42,((Inputs!$B$9+((C2493=TRUE)*(F2493-Calc!F26))+B2501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2469*(1-MIN(100,(Inputs!$B$9+((C2493=TRUE)*(F2493-Calc!F26))+B2501+(ArtifactsInput!$M$24-ArtifactsInput!$M$24)*CHOOSE(ArtifactsInput!$N$24+1,10,12,14,16,18,20)+(IF(AND(Inputs!$B$39&lt;&gt;"pvp",Inputs!$B$44=0),1,IF(IF(Inputs!$B$39="pvp",15,Inputs!$B$44)-(B2512)&lt;=0,1,MAX(0,IF(Inputs!$B$39="pvp",15,Inputs!$B$44)-MAX(5,B2512))/(IF(Inputs!$B$39="pvp",15,Inputs!$B$44)-(B2512))))*IF(AND(ArtifactsInput!$M$42,((Inputs!$B$9+((C2493=TRUE)*(F2493-Calc!F26))+B2501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2469*(MIN(100,(Inputs!$B$9+((C2493=TRUE)*(F2493-Calc!F26))+B2501+(ArtifactsInput!$M$24-ArtifactsInput!$M$24)*CHOOSE(ArtifactsInput!$N$24+1,10,12,14,16,18,20)+(IF(AND(Inputs!$B$39&lt;&gt;"pvp",Inputs!$B$44=0),1,IF(IF(Inputs!$B$39="pvp",15,Inputs!$B$44)-(B2512)&lt;=0,1,MAX(0,IF(Inputs!$B$39="pvp",15,Inputs!$B$44)-MAX(5,B2512))/(IF(Inputs!$B$39="pvp",15,Inputs!$B$44)-(B2512))))*IF(AND(ArtifactsInput!$M$42,((Inputs!$B$9+((C2493=TRUE)*(F2493-Calc!F26))+B2501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2469">
        <f>MAX(0,(Inputs!$B$3-100)*3)+Inputs!$B$28+Inputs!$B$29</f>
        <v/>
      </c>
      <c r="V2469">
        <f>IF(C2469,(Skills!G2*N2469*B2507)*IF(Inputs!$B$39="pvp",1,(1+(Inputs!$B$21+Skills!Q2+B2502+(IF(ArtifactsInput!$M$33,CHOOSE(ArtifactsInput!$N$33+1,30,36,42,48,54,60),0))+(IF(AND(ArtifactsInput!$M$35,Inputs!$B$4&lt;&gt;"Chapter Hunt"),CHOOSE(ArtifactsInput!$N$35+1,15,18,21,24,27,30)*(1-EXP(-(0.2*B2505)*5)),0)+IF(AND(ArtifactsInput!$M$22,Inputs!$B$4&lt;&gt;"Chapter Hunt"),CHOOSE(ArtifactsInput!$N$22+1,10,12,14,16,18,20)*((0*(((0.15*B2505*5))^0/1)+1*(((0.15*B2505*5))^1/1)+2*(((0.15*B2505*5))^2/2)+3*(((0.15*B2505*5))^3/6)+4*(((0.15*B2505*5))^4/24)+5*(((0.15*B2505*5))^5/120))/((((0.15*B2505*5))^0/1)+(((0.15*B2505*5))^1/1)+(((0.15*B2505*5))^2/2)+(((0.15*B2505*5))^3/6)+(((0.15*B2505*5))^4/24)+(((0.15*B2505*5))^5/120))),0)))/100)*(MIN((6+Inputs!$B$33),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470">
      <c r="A2470">
        <f>Skills!A3</f>
        <v/>
      </c>
      <c r="B2470">
        <f>Skills!B3</f>
        <v/>
      </c>
      <c r="C2470">
        <f>Inputs!$B$3&gt;=35</f>
        <v/>
      </c>
      <c r="D2470">
        <f>IF(Skills!C3=1,60+Inputs!$B$25+Inputs!$B$29,IF(Skills!C3=2,90+Inputs!$B$26+Inputs!$B$29,IF(Skills!C3=3,120+Inputs!$B$27+Inputs!$B$29,MAX(0,(Inputs!$B$3-100)*3)+Inputs!$B$28+Inputs!$B$29)))</f>
        <v/>
      </c>
      <c r="E2470">
        <f>INDEX(FactorTable!$B$2:$Y$301, MATCH(ROUND(MIN(300,MAX(1,D2470)),0), FactorTable!$A$2:$A$301,0), Skills!M3+1)</f>
        <v/>
      </c>
      <c r="F2470">
        <f>IF(Skills!N3=TRUE,(Skills!L3/10)*(E2470/1000),Skills!L3/10)+Skills!O3</f>
        <v/>
      </c>
      <c r="G2470">
        <f>Skills!G3*IF(Skills!H3&gt;0,IF(Inputs!$B$39="pvp",MIN(Skills!I3,15),Skills!I3)/Skills!H3,1)</f>
        <v/>
      </c>
      <c r="H2470">
        <f>1-(1-Skills!J3/100)^Skills!K3</f>
        <v/>
      </c>
      <c r="I2470" t="inlineStr">
        <is>
          <t>1</t>
        </is>
      </c>
      <c r="J2470" t="inlineStr"/>
      <c r="K2470" t="inlineStr"/>
      <c r="L2470" t="inlineStr"/>
      <c r="M2470" t="inlineStr"/>
      <c r="N2470" t="inlineStr"/>
      <c r="O2470">
        <f>(1-Summary!$B$11)*T2470+Summary!$B$11*V2470</f>
        <v/>
      </c>
      <c r="P2470">
        <f>IF(B2513=0,0,O2470/B2513)</f>
        <v/>
      </c>
      <c r="Q2470" t="n">
        <v>0</v>
      </c>
      <c r="R2470" t="n">
        <v>0</v>
      </c>
      <c r="S2470">
        <f>IFERROR(O2470/N2470,0)</f>
        <v/>
      </c>
      <c r="T2470" t="n">
        <v>0</v>
      </c>
      <c r="U2470">
        <f>INDEX(FactorTable!$B$2:$Y$301, MATCH(ROUND(MIN(300,MAX(1,U2469)),0), FactorTable!$A$2:$A$301,0), 22)</f>
        <v/>
      </c>
      <c r="V2470" t="n">
        <v>0</v>
      </c>
    </row>
    <row r="2471">
      <c r="A2471">
        <f>Skills!A4</f>
        <v/>
      </c>
      <c r="B2471">
        <f>Skills!B4</f>
        <v/>
      </c>
      <c r="C2471">
        <f>Inputs!$B$3&gt;=66</f>
        <v/>
      </c>
      <c r="D2471">
        <f>IF(Skills!C4=1,60+Inputs!$B$25+Inputs!$B$29,IF(Skills!C4=2,90+Inputs!$B$26+Inputs!$B$29,IF(Skills!C4=3,120+Inputs!$B$27+Inputs!$B$29,MAX(0,(Inputs!$B$3-100)*3)+Inputs!$B$28+Inputs!$B$29)))</f>
        <v/>
      </c>
      <c r="E2471">
        <f>INDEX(FactorTable!$B$2:$Y$301, MATCH(ROUND(MIN(300,MAX(1,D2471)),0), FactorTable!$A$2:$A$301,0), Skills!M4+1)</f>
        <v/>
      </c>
      <c r="F2471">
        <f>IF(Skills!N4=TRUE,(Skills!L4/10)*(E2471/1000),Skills!L4/10)+Skills!O4</f>
        <v/>
      </c>
      <c r="G2471">
        <f>Skills!G4*IF(Skills!H4&gt;0,IF(Inputs!$B$39="pvp",MIN(Skills!I4,15),Skills!I4)/Skills!H4,1)</f>
        <v/>
      </c>
      <c r="H2471">
        <f>1-(1-Skills!J4/100)^Skills!K4</f>
        <v/>
      </c>
      <c r="I2471" t="inlineStr">
        <is>
          <t>1</t>
        </is>
      </c>
      <c r="J2471">
        <f>((Inputs!$B$6*(1+Inputs!$B$7/100))+(((Inputs!$B$12*(1+Inputs!$B$13/100))-(Inputs!$B$12*(1+Inputs!$B$13/100)))+0.25*(Inputs!$B$14-Inputs!$B$14))*(1+Inputs!$B$7/100))*(F2471/100)</f>
        <v/>
      </c>
      <c r="K2471">
        <f>J2471*(1+((Inputs!$B$12*(1+Inputs!$B$13/100))*0.01+Inputs!$B$14*0.0025)/100)*(1+Inputs!$B$15/100)*(1+Inputs!$B$16/100)*(5000/(6000+Inputs!$B$43*(1-(100*(1-(1-Inputs!$B$19/100)*(1-CHOOSE(ArtifactsInput!$N$40+1,5,6,7,8,9,10)/100)^(ArtifactsInput!$M$40-ArtifactsInput!$M$40)))/100)))*(1+(Inputs!$B$24+((C2498=TRUE)*(F2498-Calc!F31))+((C2485=TRUE)*(F2485-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4="CRUEL_STAB",Inputs!$B$17+((C2495=TRUE)*(F2495-Calc!F28))+((IF(AND(Inputs!$B$39&lt;&gt;"pvp",Inputs!$B$44=0),1,IF(IF(Inputs!$B$39="pvp",15,Inputs!$B$44)-(B2512)&lt;=0,1,MAX(0,IF(Inputs!$B$39="pvp",15,Inputs!$B$44)-MAX(5,B2512))/(IF(Inputs!$B$39="pvp",15,Inputs!$B$44)-(B2512))))*(IF(AND(ArtifactsInput!$M$42,((Inputs!$B$9+((C2493=TRUE)*(F2493-Calc!F26))+B2501+(ArtifactsInput!$M$24-ArtifactsInput!$M$24)*CHOOSE(ArtifactsInput!$N$24+1,10,12,14,16,18,20)+IF(ArtifactsInput!$M$10,CHOOSE(ArtifactsInput!$N$10+1,15,18,21,24,27,30)*(IF(Inputs!$B$39="pvp",MIN(15,15)/15,IF(AND(Inputs!$B$39&lt;&gt;"pvp",Inputs!$B$44&gt;0),MIN(15,Inputs!$B$44)/(Inputs!$B$44),0))),0)))&gt;=100),MIN(100,((Inputs!$B$9+((C2493=TRUE)*(F2493-Calc!F26))+B2501+(ArtifactsInput!$M$24-ArtifactsInput!$M$24)*CHOOSE(ArtifactsInput!$N$24+1,10,12,14,16,18,20)+IF(ArtifactsInput!$M$10,CHOOSE(ArtifactsInput!$N$10+1,15,18,21,24,27,30)*(IF(Inputs!$B$39="pvp",MIN(15,15)/15,IF(AND(Inputs!$B$39&lt;&gt;"pvp",Inputs!$B$44&gt;0),MIN(15,Inputs!$B$44)/(Inputs!$B$44),0))),0)))-100),0))*CHOOSE(ArtifactsInput!$N$42+1,0.6,0.72,0.84,0.96,1.08,1.2))),Inputs!$B$18+((C2496=TRUE)*(F2496-Calc!F29))+(IF(AND(Inputs!$B$39&lt;&gt;"pvp",Inputs!$B$44=0),1,IF(IF(Inputs!$B$39="pvp",15,Inputs!$B$44)-(B2512)&lt;=0,1,MAX(0,IF(Inputs!$B$39="pvp",15,Inputs!$B$44)-MAX(5,B2512))/(IF(Inputs!$B$39="pvp",15,Inputs!$B$44)-(B2512))))*IF(AND(ArtifactsInput!$M$42,((Inputs!$B$9+((C2493=TRUE)*(F2493-Calc!F26))+B2501+(ArtifactsInput!$M$24-ArtifactsInput!$M$24)*CHOOSE(ArtifactsInput!$N$24+1,10,12,14,16,18,20)+IF(ArtifactsInput!$M$10,CHOOSE(ArtifactsInput!$N$10+1,15,18,21,24,27,30)*(IF(Inputs!$B$39="pvp",MIN(15,15)/15,IF(AND(Inputs!$B$39&lt;&gt;"pvp",Inputs!$B$44&gt;0),MIN(15,Inputs!$B$44)/(Inputs!$B$44),0))),0)))&gt;=100),CHOOSE(ArtifactsInput!$N$42+1,40,48,56,64,72,80),0))))/100)*(((1+(((C2489=TRUE)*F2489*IF(AND(Inputs!$B$39&lt;&gt;"pvp",Inputs!$B$44&gt;0),(((R2489-1)*MIN((Skills!Y22*(1+Inputs!$B$34/100)),(1/Q2489))+MIN((Skills!Y22*(1+Inputs!$B$34/100)),MAX(0,Inputs!$B$44-((R2489-1)*(1/Q2489)))))/Inputs!$B$44),IF(Inputs!$B$39="pvp",MIN((Skills!Y22*(1+Inputs!$B$34/100)),15)/15,MIN(1,(Skills!Y22*(1+Inputs!$B$34/100))/(1/Q2489)))))+((C2470=TRUE)*F2470*3)+((C2472=TRUE)*F2472*(1-EXP(-0.75*B2505*5)))+((C2491=TRUE)*(F2491-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2478=TRUE)*F2478*IF(AND(Inputs!$B$39&lt;&gt;"pvp",Inputs!$B$44&gt;0),(((R2478-1)*MIN((Skills!Y11*(1+Inputs!$B$34/100)),(1/Q2478))+MIN((Skills!Y11*(1+Inputs!$B$34/100)),MAX(0,Inputs!$B$44-((R2478-1)*(1/Q2478)))))/Inputs!$B$44),IF(Inputs!$B$39="pvp",MIN((Skills!Y11*(1+Inputs!$B$34/100)),15)/15,MIN(1,(Skills!Y11*(1+Inputs!$B$34/100))/(1/Q2478)))))/100)*(1+((C2483=TRUE)*F2483*IF(AND(Inputs!$B$39&lt;&gt;"pvp",Inputs!$B$44&gt;0),(((R2483-1)*MIN((Skills!Y16*(1+Inputs!$B$34/100)),(1/Q2483))+MIN((Skills!Y16*(1+Inputs!$B$34/100)),MAX(0,Inputs!$B$44-((R2483-1)*(1/Q2483)))))/Inputs!$B$44),IF(Inputs!$B$39="pvp",MIN((Skills!Y16*(1+Inputs!$B$34/100)),15)/15,MIN(1,(Skills!Y16*(1+Inputs!$B$34/100))/(1/Q2483)))))/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2503*I2471)</f>
        <v/>
      </c>
      <c r="L2471">
        <f>K2471*(MIN(Inputs!$B$22+((C2492=TRUE)*(F2492-Calc!F25)),(Inputs!$B$23+((C2497=TRUE)*(F2497-Calc!F30))+IF(ArtifactsInput!$M$15,CHOOSE(ArtifactsInput!$N$15+1,25,30,35,40,45,50)/100*(Inputs!$B$11-Inputs!$B$11),0)))/100+(Inputs!$B$23+((C2497=TRUE)*(F2497-Calc!F30))+IF(ArtifactsInput!$M$15,CHOOSE(ArtifactsInput!$N$15+1,25,30,35,40,45,50)/100*(Inputs!$B$11-Inputs!$B$11),0))/100)/2</f>
        <v/>
      </c>
      <c r="M2471">
        <f>L2471*(1+(Inputs!$B$10+((C2494=TRUE)*(F2494-Calc!F27))+B2508+(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2471">
        <f>L2471*(1-MIN((Inputs!$B$9+((C2493=TRUE)*(F2493-Calc!F26))+B2501+(ArtifactsInput!$M$24-ArtifactsInput!$M$24)*CHOOSE(ArtifactsInput!$N$24+1,10,12,14,16,18,20)+(IF(AND(Inputs!$B$39&lt;&gt;"pvp",Inputs!$B$44=0),1,IF(IF(Inputs!$B$39="pvp",15,Inputs!$B$44)-(B2512)&lt;=0,1,MAX(0,IF(Inputs!$B$39="pvp",15,Inputs!$B$44)-MAX(5,B2512))/(IF(Inputs!$B$39="pvp",15,Inputs!$B$44)-(B2512))))*IF(AND(ArtifactsInput!$M$42,((Inputs!$B$9+((C2493=TRUE)*(F2493-Calc!F26))+B2501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2471*(MIN((Inputs!$B$9+((C2493=TRUE)*(F2493-Calc!F26))+B2501+(ArtifactsInput!$M$24-ArtifactsInput!$M$24)*CHOOSE(ArtifactsInput!$N$24+1,10,12,14,16,18,20)+(IF(AND(Inputs!$B$39&lt;&gt;"pvp",Inputs!$B$44=0),1,IF(IF(Inputs!$B$39="pvp",15,Inputs!$B$44)-(B2512)&lt;=0,1,MAX(0,IF(Inputs!$B$39="pvp",15,Inputs!$B$44)-MAX(5,B2512))/(IF(Inputs!$B$39="pvp",15,Inputs!$B$44)-(B2512))))*IF(AND(ArtifactsInput!$M$42,((Inputs!$B$9+((C2493=TRUE)*(F2493-Calc!F26))+B2501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471">
        <f>(1-Summary!$B$11)*T2471+Summary!$B$11*V2471</f>
        <v/>
      </c>
      <c r="P2471">
        <f>IF(B2513=0,0,O2471/B2513)</f>
        <v/>
      </c>
      <c r="Q2471">
        <f>IFERROR(1/IF(Inputs!$B$39="pvp",15,MAX(0.1,Skills!D4-IF(TRUE=TRUE,Inputs!$B$32,0))),0)</f>
        <v/>
      </c>
      <c r="R2471">
        <f>IF(AND(Inputs!$B$39&lt;&gt;"pvp",Inputs!$B$44&gt;0),IF(MAX(0,Inputs!$B$44-B2512)&lt;=0,0,(INT(MAX(0,Inputs!$B$44-B2512)/IF(Inputs!$B$39="pvp",15,MAX(0.1,Skills!D4-IF(TRUE=TRUE,Inputs!$B$32,0))))+1)),0)</f>
        <v/>
      </c>
      <c r="S2471">
        <f>IFERROR(O2471/N2471,0)</f>
        <v/>
      </c>
      <c r="T2471">
        <f>IF(C2471,(H2471*N2471*IF(AND(Inputs!$B$39&lt;&gt;"pvp",Inputs!$B$44&gt;0),((Skills!G4*((R2471-1)*IF(Skills!H4&gt;0,Skills!I4/Skills!H4,1)+IF(Skills!H4&gt;0,MIN(Skills!I4,MAX(0,MAX(0,Inputs!$B$44-B2512)-((R2471-1)*IF(Inputs!$B$39="pvp",15,MAX(0.1,Skills!D4-IF(TRUE=TRUE,Inputs!$B$32,0))))))/Skills!H4,1)))/Inputs!$B$44),G2471*Q2471))*IF(Inputs!$B$39="pvp",1,1+(Inputs!$B$20+0+Skills!P4+B2502+(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Hunt"),CHOOSE(ArtifactsInput!$N$35+1,15,18,21,24,27,30)*(1-EXP(-(0.2*B2505)*5)),0)+IF(AND(ArtifactsInput!$M$22,Inputs!$B$4&lt;&gt;"Chapter Hunt"),CHOOSE(ArtifactsInput!$N$22+1,10,12,14,16,18,20)*((0*(((0.15*B2505*5))^0/1)+1*(((0.15*B2505*5))^1/1)+2*(((0.15*B2505*5))^2/2)+3*(((0.15*B2505*5))^3/6)+4*(((0.15*B2505*5))^4/24)+5*(((0.15*B2505*5))^5/120))/((((0.15*B2505*5))^0/1)+(((0.15*B2505*5))^1/1)+(((0.15*B2505*5))^2/2)+(((0.15*B2505*5))^3/6)+(((0.15*B2505*5))^4/24)+(((0.15*B2505*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2471*(1-MIN(100,(Inputs!$B$9+((C2493=TRUE)*(F2493-Calc!F26))+B2501+(ArtifactsInput!$M$24-ArtifactsInput!$M$24)*CHOOSE(ArtifactsInput!$N$24+1,10,12,14,16,18,20)+(IF(AND(Inputs!$B$39&lt;&gt;"pvp",Inputs!$B$44=0),1,IF(IF(Inputs!$B$39="pvp",15,Inputs!$B$44)-(B2512)&lt;=0,1,MAX(0,IF(Inputs!$B$39="pvp",15,Inputs!$B$44)-MAX(5,B2512))/(IF(Inputs!$B$39="pvp",15,Inputs!$B$44)-(B2512))))*IF(AND(ArtifactsInput!$M$42,((Inputs!$B$9+((C2493=TRUE)*(F2493-Calc!F26))+B2501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2471*(MIN(100,(Inputs!$B$9+((C2493=TRUE)*(F2493-Calc!F26))+B2501+(ArtifactsInput!$M$24-ArtifactsInput!$M$24)*CHOOSE(ArtifactsInput!$N$24+1,10,12,14,16,18,20)+(IF(AND(Inputs!$B$39&lt;&gt;"pvp",Inputs!$B$44=0),1,IF(IF(Inputs!$B$39="pvp",15,Inputs!$B$44)-(B2512)&lt;=0,1,MAX(0,IF(Inputs!$B$39="pvp",15,Inputs!$B$44)-MAX(5,B2512))/(IF(Inputs!$B$39="pvp",15,Inputs!$B$44)-(B2512))))*IF(AND(ArtifactsInput!$M$42,((Inputs!$B$9+((C2493=TRUE)*(F2493-Calc!F26))+B2501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2471*(1-MIN(100,(Inputs!$B$9+((C2493=TRUE)*(F2493-Calc!F26))+B2501+(ArtifactsInput!$M$24-ArtifactsInput!$M$24)*CHOOSE(ArtifactsInput!$N$24+1,10,12,14,16,18,20)+(IF(AND(Inputs!$B$39&lt;&gt;"pvp",Inputs!$B$44=0),1,IF(IF(Inputs!$B$39="pvp",15,Inputs!$B$44)-(B2512)&lt;=0,1,MAX(0,IF(Inputs!$B$39="pvp",15,Inputs!$B$44)-MAX(5,B2512))/(IF(Inputs!$B$39="pvp",15,Inputs!$B$44)-(B2512))))*IF(AND(ArtifactsInput!$M$42,((Inputs!$B$9+((C2493=TRUE)*(F2493-Calc!F26))+B2501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2471*(MIN(100,(Inputs!$B$9+((C2493=TRUE)*(F2493-Calc!F26))+B2501+(ArtifactsInput!$M$24-ArtifactsInput!$M$24)*CHOOSE(ArtifactsInput!$N$24+1,10,12,14,16,18,20)+(IF(AND(Inputs!$B$39&lt;&gt;"pvp",Inputs!$B$44=0),1,IF(IF(Inputs!$B$39="pvp",15,Inputs!$B$44)-(B2512)&lt;=0,1,MAX(0,IF(Inputs!$B$39="pvp",15,Inputs!$B$44)-MAX(5,B2512))/(IF(Inputs!$B$39="pvp",15,Inputs!$B$44)-(B2512))))*IF(AND(ArtifactsInput!$M$42,((Inputs!$B$9+((C2493=TRUE)*(F2493-Calc!F26))+B2501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2471">
        <f>290*U2470/1000</f>
        <v/>
      </c>
      <c r="V2471">
        <f>IF(C2471,(H2471*N2471*IF(AND(Inputs!$B$39&lt;&gt;"pvp",Inputs!$B$44&gt;0),((Skills!G4*((R2471-1)*IF(Skills!H4&gt;0,Skills!I4/Skills!H4,1)+IF(Skills!H4&gt;0,MIN(Skills!I4,MAX(0,MAX(0,Inputs!$B$44-B2512)-((R2471-1)*IF(Inputs!$B$39="pvp",15,MAX(0.1,Skills!D4-IF(TRUE=TRUE,Inputs!$B$32,0))))))/Skills!H4,1)))/Inputs!$B$44),G2471*Q2471))*IF(Inputs!$B$39="pvp",1,(1+(Inputs!$B$21+Skills!Q4+B2502+(IF(ArtifactsInput!$M$33,CHOOSE(ArtifactsInput!$N$33+1,30,36,42,48,54,60),0))+(IF(AND(ArtifactsInput!$M$35,Inputs!$B$4&lt;&gt;"Chapter Hunt"),CHOOSE(ArtifactsInput!$N$35+1,15,18,21,24,27,30)*(1-EXP(-(0.2*B2505)*5)),0)+IF(AND(ArtifactsInput!$M$22,Inputs!$B$4&lt;&gt;"Chapter Hunt"),CHOOSE(ArtifactsInput!$N$22+1,10,12,14,16,18,20)*((0*(((0.15*B2505*5))^0/1)+1*(((0.15*B2505*5))^1/1)+2*(((0.15*B2505*5))^2/2)+3*(((0.15*B2505*5))^3/6)+4*(((0.15*B2505*5))^4/24)+5*(((0.15*B2505*5))^5/120))/((((0.15*B2505*5))^0/1)+(((0.15*B2505*5))^1/1)+(((0.15*B2505*5))^2/2)+(((0.15*B2505*5))^3/6)+(((0.15*B2505*5))^4/24)+(((0.15*B2505*5))^5/120))),0)))/100)*(MIN(MIN(10,IF(Inputs!$B$3&gt;=75,0.75,0.5)*B2505*(1/Q2471)),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472">
      <c r="A2472">
        <f>Skills!A5</f>
        <v/>
      </c>
      <c r="B2472">
        <f>Skills!B5</f>
        <v/>
      </c>
      <c r="C2472">
        <f>Inputs!$B$3&gt;=75</f>
        <v/>
      </c>
      <c r="D2472">
        <f>IF(Skills!C5=1,60+Inputs!$B$25+Inputs!$B$29,IF(Skills!C5=2,90+Inputs!$B$26+Inputs!$B$29,IF(Skills!C5=3,120+Inputs!$B$27+Inputs!$B$29,MAX(0,(Inputs!$B$3-100)*3)+Inputs!$B$28+Inputs!$B$29)))</f>
        <v/>
      </c>
      <c r="E2472">
        <f>INDEX(FactorTable!$B$2:$Y$301, MATCH(ROUND(MIN(300,MAX(1,D2472)),0), FactorTable!$A$2:$A$301,0), Skills!M5+1)</f>
        <v/>
      </c>
      <c r="F2472">
        <f>IF(Skills!N5=TRUE,(Skills!L5/10)*(E2472/1000),Skills!L5/10)+Skills!O5</f>
        <v/>
      </c>
      <c r="G2472">
        <f>Skills!G5*IF(Skills!H5&gt;0,IF(Inputs!$B$39="pvp",MIN(Skills!I5,15),Skills!I5)/Skills!H5,1)</f>
        <v/>
      </c>
      <c r="H2472">
        <f>1-(1-Skills!J5/100)^Skills!K5</f>
        <v/>
      </c>
      <c r="I2472" t="inlineStr">
        <is>
          <t>1</t>
        </is>
      </c>
      <c r="J2472" t="inlineStr"/>
      <c r="K2472" t="inlineStr"/>
      <c r="L2472" t="inlineStr"/>
      <c r="M2472" t="inlineStr"/>
      <c r="N2472" t="inlineStr"/>
      <c r="O2472">
        <f>(1-Summary!$B$11)*T2472+Summary!$B$11*V2472</f>
        <v/>
      </c>
      <c r="P2472">
        <f>IF(B2513=0,0,O2472/B2513)</f>
        <v/>
      </c>
      <c r="Q2472" t="n">
        <v>0</v>
      </c>
      <c r="R2472" t="n">
        <v>0</v>
      </c>
      <c r="S2472">
        <f>IFERROR(O2472/N2472,0)</f>
        <v/>
      </c>
      <c r="T2472" t="n">
        <v>0</v>
      </c>
      <c r="V2472" t="n">
        <v>0</v>
      </c>
    </row>
    <row r="2473">
      <c r="A2473">
        <f>Skills!A6</f>
        <v/>
      </c>
      <c r="B2473">
        <f>Skills!B6</f>
        <v/>
      </c>
      <c r="C2473">
        <f>Inputs!$B$3&gt;=63</f>
        <v/>
      </c>
      <c r="D2473">
        <f>IF(Skills!C6=1,60+Inputs!$B$25+Inputs!$B$29,IF(Skills!C6=2,90+Inputs!$B$26+Inputs!$B$29,IF(Skills!C6=3,120+Inputs!$B$27+Inputs!$B$29,MAX(0,(Inputs!$B$3-100)*3)+Inputs!$B$28+Inputs!$B$29)))</f>
        <v/>
      </c>
      <c r="E2473">
        <f>INDEX(FactorTable!$B$2:$Y$301, MATCH(ROUND(MIN(300,MAX(1,D2473)),0), FactorTable!$A$2:$A$301,0), Skills!M6+1)</f>
        <v/>
      </c>
      <c r="F2473">
        <f>IF(Skills!N6=TRUE,(Skills!L6/10)*(E2473/1000),Skills!L6/10)+Skills!O6</f>
        <v/>
      </c>
      <c r="G2473">
        <f>Skills!G6*IF(Skills!H6&gt;0,IF(Inputs!$B$39="pvp",MIN(Skills!I6,15),Skills!I6)/Skills!H6,1)</f>
        <v/>
      </c>
      <c r="H2473">
        <f>1-(1-Skills!J6/100)^Skills!K6</f>
        <v/>
      </c>
      <c r="I2473" t="inlineStr">
        <is>
          <t>1</t>
        </is>
      </c>
      <c r="J2473">
        <f>((Inputs!$B$6*(1+Inputs!$B$7/100))+(((Inputs!$B$12*(1+Inputs!$B$13/100))-(Inputs!$B$12*(1+Inputs!$B$13/100)))+0.25*(Inputs!$B$14-Inputs!$B$14))*(1+Inputs!$B$7/100))*(F2473/100)</f>
        <v/>
      </c>
      <c r="K2473">
        <f>J2473*(1+((Inputs!$B$12*(1+Inputs!$B$13/100))*0.01+Inputs!$B$14*0.0025)/100)*(1+Inputs!$B$15/100)*(1+Inputs!$B$16/100)*(5000/(6000+Inputs!$B$43*(1-(100*(1-(1-Inputs!$B$19/100)*(1-CHOOSE(ArtifactsInput!$N$40+1,5,6,7,8,9,10)/100)^(ArtifactsInput!$M$40-ArtifactsInput!$M$40)))/100)))*(1+(Inputs!$B$24+((C2498=TRUE)*(F2498-Calc!F31))+((C2485=TRUE)*(F2485-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+2.6666666666666665*IF(C2486=TRUE,F2486,0)/100)*(1+(IF(Skills!A6="CRUEL_STAB",Inputs!$B$17+((C2495=TRUE)*(F2495-Calc!F28))+((IF(AND(Inputs!$B$39&lt;&gt;"pvp",Inputs!$B$44=0),1,IF(IF(Inputs!$B$39="pvp",15,Inputs!$B$44)-(B2512)&lt;=0,1,MAX(0,IF(Inputs!$B$39="pvp",15,Inputs!$B$44)-MAX(5,B2512))/(IF(Inputs!$B$39="pvp",15,Inputs!$B$44)-(B2512))))*(IF(AND(ArtifactsInput!$M$42,((Inputs!$B$9+((C2493=TRUE)*(F2493-Calc!F26))+B2501+(ArtifactsInput!$M$24-ArtifactsInput!$M$24)*CHOOSE(ArtifactsInput!$N$24+1,10,12,14,16,18,20)+IF(ArtifactsInput!$M$10,CHOOSE(ArtifactsInput!$N$10+1,15,18,21,24,27,30)*(IF(Inputs!$B$39="pvp",MIN(15,15)/15,IF(AND(Inputs!$B$39&lt;&gt;"pvp",Inputs!$B$44&gt;0),MIN(15,Inputs!$B$44)/(Inputs!$B$44),0))),0)))&gt;=100),MIN(100,((Inputs!$B$9+((C2493=TRUE)*(F2493-Calc!F26))+B2501+(ArtifactsInput!$M$24-ArtifactsInput!$M$24)*CHOOSE(ArtifactsInput!$N$24+1,10,12,14,16,18,20)+IF(ArtifactsInput!$M$10,CHOOSE(ArtifactsInput!$N$10+1,15,18,21,24,27,30)*(IF(Inputs!$B$39="pvp",MIN(15,15)/15,IF(AND(Inputs!$B$39&lt;&gt;"pvp",Inputs!$B$44&gt;0),MIN(15,Inputs!$B$44)/(Inputs!$B$44),0))),0)))-100),0))*CHOOSE(ArtifactsInput!$N$42+1,0.6,0.72,0.84,0.96,1.08,1.2))),Inputs!$B$18+((C2496=TRUE)*(F2496-Calc!F29))+(IF(AND(Inputs!$B$39&lt;&gt;"pvp",Inputs!$B$44=0),1,IF(IF(Inputs!$B$39="pvp",15,Inputs!$B$44)-(B2512)&lt;=0,1,MAX(0,IF(Inputs!$B$39="pvp",15,Inputs!$B$44)-MAX(5,B2512))/(IF(Inputs!$B$39="pvp",15,Inputs!$B$44)-(B2512))))*IF(AND(ArtifactsInput!$M$42,((Inputs!$B$9+((C2493=TRUE)*(F2493-Calc!F26))+B2501+(ArtifactsInput!$M$24-ArtifactsInput!$M$24)*CHOOSE(ArtifactsInput!$N$24+1,10,12,14,16,18,20)+IF(ArtifactsInput!$M$10,CHOOSE(ArtifactsInput!$N$10+1,15,18,21,24,27,30)*(IF(Inputs!$B$39="pvp",MIN(15,15)/15,IF(AND(Inputs!$B$39&lt;&gt;"pvp",Inputs!$B$44&gt;0),MIN(15,Inputs!$B$44)/(Inputs!$B$44),0))),0)))&gt;=100),CHOOSE(ArtifactsInput!$N$42+1,40,48,56,64,72,80),0))))/100)*(((1+(((C2489=TRUE)*F2489*IF(AND(Inputs!$B$39&lt;&gt;"pvp",Inputs!$B$44&gt;0),(((R2489-1)*MIN((Skills!Y22*(1+Inputs!$B$34/100)),(1/Q2489))+MIN((Skills!Y22*(1+Inputs!$B$34/100)),MAX(0,Inputs!$B$44-((R2489-1)*(1/Q2489)))))/Inputs!$B$44),IF(Inputs!$B$39="pvp",MIN((Skills!Y22*(1+Inputs!$B$34/100)),15)/15,MIN(1,(Skills!Y22*(1+Inputs!$B$34/100))/(1/Q2489)))))+((C2470=TRUE)*F2470*3)+((C2472=TRUE)*F2472*(1-EXP(-0.75*B2505*5)))+((C2491=TRUE)*(F2491-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2478=TRUE)*F2478*IF(AND(Inputs!$B$39&lt;&gt;"pvp",Inputs!$B$44&gt;0),(((R2478-1)*MIN((Skills!Y11*(1+Inputs!$B$34/100)),(1/Q2478))+MIN((Skills!Y11*(1+Inputs!$B$34/100)),MAX(0,Inputs!$B$44-((R2478-1)*(1/Q2478)))))/Inputs!$B$44),IF(Inputs!$B$39="pvp",MIN((Skills!Y11*(1+Inputs!$B$34/100)),15)/15,MIN(1,(Skills!Y11*(1+Inputs!$B$34/100))/(1/Q2478)))))/100)*(1+((C2483=TRUE)*F2483*IF(AND(Inputs!$B$39&lt;&gt;"pvp",Inputs!$B$44&gt;0),(((R2483-1)*MIN((Skills!Y16*(1+Inputs!$B$34/100)),(1/Q2483))+MIN((Skills!Y16*(1+Inputs!$B$34/100)),MAX(0,Inputs!$B$44-((R2483-1)*(1/Q2483)))))/Inputs!$B$44),IF(Inputs!$B$39="pvp",MIN((Skills!Y16*(1+Inputs!$B$34/100)),15)/15,MIN(1,(Skills!Y16*(1+Inputs!$B$34/100))/(1/Q2483)))))/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2503*I2473)</f>
        <v/>
      </c>
      <c r="L2473">
        <f>K2473*(MIN(Inputs!$B$22+((C2492=TRUE)*(F2492-Calc!F25)),(Inputs!$B$23+((C2497=TRUE)*(F2497-Calc!F30))+IF(ArtifactsInput!$M$15,CHOOSE(ArtifactsInput!$N$15+1,25,30,35,40,45,50)/100*(Inputs!$B$11-Inputs!$B$11),0)))/100+(Inputs!$B$23+((C2497=TRUE)*(F2497-Calc!F30))+IF(ArtifactsInput!$M$15,CHOOSE(ArtifactsInput!$N$15+1,25,30,35,40,45,50)/100*(Inputs!$B$11-Inputs!$B$11),0))/100)/2</f>
        <v/>
      </c>
      <c r="M2473">
        <f>L2473*(1+(Inputs!$B$10+((C2494=TRUE)*(F2494-Calc!F27))+B2508+(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2473">
        <f>L2473*(1-MIN((Inputs!$B$9+((C2493=TRUE)*(F2493-Calc!F26))+B2501+(ArtifactsInput!$M$24-ArtifactsInput!$M$24)*CHOOSE(ArtifactsInput!$N$24+1,10,12,14,16,18,20)+(IF(AND(Inputs!$B$39&lt;&gt;"pvp",Inputs!$B$44=0),1,IF(IF(Inputs!$B$39="pvp",15,Inputs!$B$44)-(B2512)&lt;=0,1,MAX(0,IF(Inputs!$B$39="pvp",15,Inputs!$B$44)-MAX(5,B2512))/(IF(Inputs!$B$39="pvp",15,Inputs!$B$44)-(B2512))))*IF(AND(ArtifactsInput!$M$42,((Inputs!$B$9+((C2493=TRUE)*(F2493-Calc!F26))+B2501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2473*(MIN((Inputs!$B$9+((C2493=TRUE)*(F2493-Calc!F26))+B2501+(ArtifactsInput!$M$24-ArtifactsInput!$M$24)*CHOOSE(ArtifactsInput!$N$24+1,10,12,14,16,18,20)+(IF(AND(Inputs!$B$39&lt;&gt;"pvp",Inputs!$B$44=0),1,IF(IF(Inputs!$B$39="pvp",15,Inputs!$B$44)-(B2512)&lt;=0,1,MAX(0,IF(Inputs!$B$39="pvp",15,Inputs!$B$44)-MAX(5,B2512))/(IF(Inputs!$B$39="pvp",15,Inputs!$B$44)-(B2512))))*IF(AND(ArtifactsInput!$M$42,((Inputs!$B$9+((C2493=TRUE)*(F2493-Calc!F26))+B2501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473">
        <f>(1-Summary!$B$11)*T2473+Summary!$B$11*V2473</f>
        <v/>
      </c>
      <c r="P2473">
        <f>IF(B2513=0,0,O2473/B2513)</f>
        <v/>
      </c>
      <c r="Q2473">
        <f>IFERROR(1/IF(Inputs!$B$39="pvp",15,MAX(0.1,Skills!D6-IF(TRUE=TRUE,Inputs!$B$32,0))),0)</f>
        <v/>
      </c>
      <c r="R2473">
        <f>IF(AND(Inputs!$B$39&lt;&gt;"pvp",Inputs!$B$44&gt;0),IF(MAX(0,Inputs!$B$44-B2512)&lt;=0,0,(INT(MAX(0,Inputs!$B$44-B2512)/IF(Inputs!$B$39="pvp",15,MAX(0.1,Skills!D6-IF(TRUE=TRUE,Inputs!$B$32,0))))+1)),0)</f>
        <v/>
      </c>
      <c r="S2473">
        <f>IFERROR(O2473/N2473,0)</f>
        <v/>
      </c>
      <c r="T2473">
        <f>IF(C2473,(H2473*N2473*IF(AND(Inputs!$B$39&lt;&gt;"pvp",Inputs!$B$44&gt;0),((Skills!G6*((R2473-1)*IF(Skills!H6&gt;0,Skills!I6/Skills!H6,1)+IF(Skills!H6&gt;0,MIN(Skills!I6,MAX(0,MAX(0,Inputs!$B$44-B2512)-((R2473-1)*IF(Inputs!$B$39="pvp",15,MAX(0.1,Skills!D6-IF(TRUE=TRUE,Inputs!$B$32,0))))))/Skills!H6,1)))/Inputs!$B$44),G2473*Q2473))*IF(Inputs!$B$39="pvp",1,1+(Inputs!$B$20+0+Skills!P6+B2502+(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Hunt"),CHOOSE(ArtifactsInput!$N$35+1,15,18,21,24,27,30)*(1-EXP(-(0.2*B2505)*5)),0)+IF(AND(ArtifactsInput!$M$22,Inputs!$B$4&lt;&gt;"Chapter Hunt"),CHOOSE(ArtifactsInput!$N$22+1,10,12,14,16,18,20)*((0*(((0.15*B2505*5))^0/1)+1*(((0.15*B2505*5))^1/1)+2*(((0.15*B2505*5))^2/2)+3*(((0.15*B2505*5))^3/6)+4*(((0.15*B2505*5))^4/24)+5*(((0.15*B2505*5))^5/120))/((((0.15*B2505*5))^0/1)+(((0.15*B2505*5))^1/1)+(((0.15*B2505*5))^2/2)+(((0.15*B2505*5))^3/6)+(((0.15*B2505*5))^4/24)+(((0.15*B2505*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2473*(1-MIN(100,(Inputs!$B$9+((C2493=TRUE)*(F2493-Calc!F26))+B2501+(ArtifactsInput!$M$24-ArtifactsInput!$M$24)*CHOOSE(ArtifactsInput!$N$24+1,10,12,14,16,18,20)+(IF(AND(Inputs!$B$39&lt;&gt;"pvp",Inputs!$B$44=0),1,IF(IF(Inputs!$B$39="pvp",15,Inputs!$B$44)-(B2512)&lt;=0,1,MAX(0,IF(Inputs!$B$39="pvp",15,Inputs!$B$44)-MAX(5,B2512))/(IF(Inputs!$B$39="pvp",15,Inputs!$B$44)-(B2512))))*IF(AND(ArtifactsInput!$M$42,((Inputs!$B$9+((C2493=TRUE)*(F2493-Calc!F26))+B2501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2473*(MIN(100,(Inputs!$B$9+((C2493=TRUE)*(F2493-Calc!F26))+B2501+(ArtifactsInput!$M$24-ArtifactsInput!$M$24)*CHOOSE(ArtifactsInput!$N$24+1,10,12,14,16,18,20)+(IF(AND(Inputs!$B$39&lt;&gt;"pvp",Inputs!$B$44=0),1,IF(IF(Inputs!$B$39="pvp",15,Inputs!$B$44)-(B2512)&lt;=0,1,MAX(0,IF(Inputs!$B$39="pvp",15,Inputs!$B$44)-MAX(5,B2512))/(IF(Inputs!$B$39="pvp",15,Inputs!$B$44)-(B2512))))*IF(AND(ArtifactsInput!$M$42,((Inputs!$B$9+((C2493=TRUE)*(F2493-Calc!F26))+B2501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2473*(1-MIN(100,(Inputs!$B$9+((C2493=TRUE)*(F2493-Calc!F26))+B2501+(ArtifactsInput!$M$24-ArtifactsInput!$M$24)*CHOOSE(ArtifactsInput!$N$24+1,10,12,14,16,18,20)+(IF(AND(Inputs!$B$39&lt;&gt;"pvp",Inputs!$B$44=0),1,IF(IF(Inputs!$B$39="pvp",15,Inputs!$B$44)-(B2512)&lt;=0,1,MAX(0,IF(Inputs!$B$39="pvp",15,Inputs!$B$44)-MAX(5,B2512))/(IF(Inputs!$B$39="pvp",15,Inputs!$B$44)-(B2512))))*IF(AND(ArtifactsInput!$M$42,((Inputs!$B$9+((C2493=TRUE)*(F2493-Calc!F26))+B2501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2473*(MIN(100,(Inputs!$B$9+((C2493=TRUE)*(F2493-Calc!F26))+B2501+(ArtifactsInput!$M$24-ArtifactsInput!$M$24)*CHOOSE(ArtifactsInput!$N$24+1,10,12,14,16,18,20)+(IF(AND(Inputs!$B$39&lt;&gt;"pvp",Inputs!$B$44=0),1,IF(IF(Inputs!$B$39="pvp",15,Inputs!$B$44)-(B2512)&lt;=0,1,MAX(0,IF(Inputs!$B$39="pvp",15,Inputs!$B$44)-MAX(5,B2512))/(IF(Inputs!$B$39="pvp",15,Inputs!$B$44)-(B2512))))*IF(AND(ArtifactsInput!$M$42,((Inputs!$B$9+((C2493=TRUE)*(F2493-Calc!F26))+B2501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473">
        <f>IF(C2473,(H2473*N2473*IF(AND(Inputs!$B$39&lt;&gt;"pvp",Inputs!$B$44&gt;0),((Skills!G6*((R2473-1)*IF(Skills!H6&gt;0,Skills!I6/Skills!H6,1)+IF(Skills!H6&gt;0,MIN(Skills!I6,MAX(0,MAX(0,Inputs!$B$44-B2512)-((R2473-1)*IF(Inputs!$B$39="pvp",15,MAX(0.1,Skills!D6-IF(TRUE=TRUE,Inputs!$B$32,0))))))/Skills!H6,1)))/Inputs!$B$44),G2473*Q2473))*IF(Inputs!$B$39="pvp",1,(1+(Inputs!$B$21+Skills!Q6+B2502+(IF(ArtifactsInput!$M$33,CHOOSE(ArtifactsInput!$N$33+1,30,36,42,48,54,60),0))+(IF(AND(ArtifactsInput!$M$35,Inputs!$B$4&lt;&gt;"Chapter Hunt"),CHOOSE(ArtifactsInput!$N$35+1,15,18,21,24,27,30)*(1-EXP(-(0.2*B2505)*5)),0)+IF(AND(ArtifactsInput!$M$22,Inputs!$B$4&lt;&gt;"Chapter Hunt"),CHOOSE(ArtifactsInput!$N$22+1,10,12,14,16,18,20)*((0*(((0.15*B2505*5))^0/1)+1*(((0.15*B2505*5))^1/1)+2*(((0.15*B2505*5))^2/2)+3*(((0.15*B2505*5))^3/6)+4*(((0.15*B2505*5))^4/24)+5*(((0.15*B2505*5))^5/120))/((((0.15*B2505*5))^0/1)+(((0.15*B2505*5))^1/1)+(((0.15*B2505*5))^2/2)+(((0.15*B2505*5))^3/6)+(((0.15*B2505*5))^4/24)+(((0.15*B2505*5))^5/120))),0)))/100)*(MIN(Skills!W6,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474">
      <c r="A2474">
        <f>Skills!A7</f>
        <v/>
      </c>
      <c r="B2474">
        <f>Skills!B7</f>
        <v/>
      </c>
      <c r="C2474">
        <f>Inputs!$B$3&gt;=69</f>
        <v/>
      </c>
      <c r="D2474">
        <f>IF(Skills!C7=1,60+Inputs!$B$25+Inputs!$B$29,IF(Skills!C7=2,90+Inputs!$B$26+Inputs!$B$29,IF(Skills!C7=3,120+Inputs!$B$27+Inputs!$B$29,MAX(0,(Inputs!$B$3-100)*3)+Inputs!$B$28+Inputs!$B$29)))</f>
        <v/>
      </c>
      <c r="E2474">
        <f>INDEX(FactorTable!$B$2:$Y$301, MATCH(ROUND(MIN(300,MAX(1,D2474)),0), FactorTable!$A$2:$A$301,0), Skills!M7+1)</f>
        <v/>
      </c>
      <c r="F2474">
        <f>IF(Skills!N7=TRUE,(Skills!L7/10)*(E2474/1000),Skills!L7/10)+Skills!O7</f>
        <v/>
      </c>
      <c r="G2474">
        <f>Skills!G7*IF(Skills!H7&gt;0,IF(Inputs!$B$39="pvp",MIN(Skills!I7,15),Skills!I7)/Skills!H7,1)</f>
        <v/>
      </c>
      <c r="H2474">
        <f>1-(1-Skills!J7/100)^Skills!K7</f>
        <v/>
      </c>
      <c r="I2474" t="inlineStr">
        <is>
          <t>1</t>
        </is>
      </c>
      <c r="J2474">
        <f>((Inputs!$B$6*(1+Inputs!$B$7/100))+(((Inputs!$B$12*(1+Inputs!$B$13/100))-(Inputs!$B$12*(1+Inputs!$B$13/100)))+0.25*(Inputs!$B$14-Inputs!$B$14))*(1+Inputs!$B$7/100))*(F2474/100)</f>
        <v/>
      </c>
      <c r="K2474">
        <f>J2474*(1+((Inputs!$B$12*(1+Inputs!$B$13/100))*0.01+Inputs!$B$14*0.0025)/100)*(1+Inputs!$B$15/100)*(1+Inputs!$B$16/100)*(5000/(6000+Inputs!$B$43*(1-(100*(1-(1-Inputs!$B$19/100)*(1-CHOOSE(ArtifactsInput!$N$40+1,5,6,7,8,9,10)/100)^(ArtifactsInput!$M$40-ArtifactsInput!$M$40)))/100)))*(1+(Inputs!$B$24+((C2498=TRUE)*(F2498-Calc!F31))+((C2485=TRUE)*(F2485-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2486=TRUE,F2486,0)/100)*(1+(IF(Skills!A7="CRUEL_STAB",Inputs!$B$17+((C2495=TRUE)*(F2495-Calc!F28))+((IF(AND(Inputs!$B$39&lt;&gt;"pvp",Inputs!$B$44=0),1,IF(IF(Inputs!$B$39="pvp",15,Inputs!$B$44)-(B2512)&lt;=0,1,MAX(0,IF(Inputs!$B$39="pvp",15,Inputs!$B$44)-MAX(5,B2512))/(IF(Inputs!$B$39="pvp",15,Inputs!$B$44)-(B2512))))*(IF(AND(ArtifactsInput!$M$42,((Inputs!$B$9+((C2493=TRUE)*(F2493-Calc!F26))+B2501+(ArtifactsInput!$M$24-ArtifactsInput!$M$24)*CHOOSE(ArtifactsInput!$N$24+1,10,12,14,16,18,20)+IF(ArtifactsInput!$M$10,CHOOSE(ArtifactsInput!$N$10+1,15,18,21,24,27,30)*(IF(Inputs!$B$39="pvp",MIN(15,15)/15,IF(AND(Inputs!$B$39&lt;&gt;"pvp",Inputs!$B$44&gt;0),MIN(15,Inputs!$B$44)/(Inputs!$B$44),0))),0)))&gt;=100),MIN(100,((Inputs!$B$9+((C2493=TRUE)*(F2493-Calc!F26))+B2501+(ArtifactsInput!$M$24-ArtifactsInput!$M$24)*CHOOSE(ArtifactsInput!$N$24+1,10,12,14,16,18,20)+IF(ArtifactsInput!$M$10,CHOOSE(ArtifactsInput!$N$10+1,15,18,21,24,27,30)*(IF(Inputs!$B$39="pvp",MIN(15,15)/15,IF(AND(Inputs!$B$39&lt;&gt;"pvp",Inputs!$B$44&gt;0),MIN(15,Inputs!$B$44)/(Inputs!$B$44),0))),0)))-100),0))*CHOOSE(ArtifactsInput!$N$42+1,0.6,0.72,0.84,0.96,1.08,1.2))),Inputs!$B$18+((C2496=TRUE)*(F2496-Calc!F29))+(IF(AND(Inputs!$B$39&lt;&gt;"pvp",Inputs!$B$44=0),1,IF(IF(Inputs!$B$39="pvp",15,Inputs!$B$44)-(B2512)&lt;=0,1,MAX(0,IF(Inputs!$B$39="pvp",15,Inputs!$B$44)-MAX(5,B2512))/(IF(Inputs!$B$39="pvp",15,Inputs!$B$44)-(B2512))))*IF(AND(ArtifactsInput!$M$42,((Inputs!$B$9+((C2493=TRUE)*(F2493-Calc!F26))+B2501+(ArtifactsInput!$M$24-ArtifactsInput!$M$24)*CHOOSE(ArtifactsInput!$N$24+1,10,12,14,16,18,20)+IF(ArtifactsInput!$M$10,CHOOSE(ArtifactsInput!$N$10+1,15,18,21,24,27,30)*(IF(Inputs!$B$39="pvp",MIN(15,15)/15,IF(AND(Inputs!$B$39&lt;&gt;"pvp",Inputs!$B$44&gt;0),MIN(15,Inputs!$B$44)/(Inputs!$B$44),0))),0)))&gt;=100),CHOOSE(ArtifactsInput!$N$42+1,40,48,56,64,72,80),0))))/100)*(((1+(((C2489=TRUE)*F2489*IF(AND(Inputs!$B$39&lt;&gt;"pvp",Inputs!$B$44&gt;0),(((R2489-1)*MIN((Skills!Y22*(1+Inputs!$B$34/100)),(1/Q2489))+MIN((Skills!Y22*(1+Inputs!$B$34/100)),MAX(0,Inputs!$B$44-((R2489-1)*(1/Q2489)))))/Inputs!$B$44),IF(Inputs!$B$39="pvp",MIN((Skills!Y22*(1+Inputs!$B$34/100)),15)/15,MIN(1,(Skills!Y22*(1+Inputs!$B$34/100))/(1/Q2489)))))+((C2470=TRUE)*F2470*3)+((C2472=TRUE)*F2472*(1-EXP(-0.75*B2505*5)))+((C2491=TRUE)*(F2491-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2478=TRUE)*F2478*IF(AND(Inputs!$B$39&lt;&gt;"pvp",Inputs!$B$44&gt;0),(((R2478-1)*MIN((Skills!Y11*(1+Inputs!$B$34/100)),(1/Q2478))+MIN((Skills!Y11*(1+Inputs!$B$34/100)),MAX(0,Inputs!$B$44-((R2478-1)*(1/Q2478)))))/Inputs!$B$44),IF(Inputs!$B$39="pvp",MIN((Skills!Y11*(1+Inputs!$B$34/100)),15)/15,MIN(1,(Skills!Y11*(1+Inputs!$B$34/100))/(1/Q2478)))))/100)*(1+((C2483=TRUE)*F2483*IF(AND(Inputs!$B$39&lt;&gt;"pvp",Inputs!$B$44&gt;0),(((R2483-1)*MIN((Skills!Y16*(1+Inputs!$B$34/100)),(1/Q2483))+MIN((Skills!Y16*(1+Inputs!$B$34/100)),MAX(0,Inputs!$B$44-((R2483-1)*(1/Q2483)))))/Inputs!$B$44),IF(Inputs!$B$39="pvp",MIN((Skills!Y16*(1+Inputs!$B$34/100)),15)/15,MIN(1,(Skills!Y16*(1+Inputs!$B$34/100))/(1/Q2483)))))/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2503*I2474)</f>
        <v/>
      </c>
      <c r="L2474">
        <f>K2474*(MIN(Inputs!$B$22+((C2492=TRUE)*(F2492-Calc!F25)),(Inputs!$B$23+((C2497=TRUE)*(F2497-Calc!F30))+IF(ArtifactsInput!$M$15,CHOOSE(ArtifactsInput!$N$15+1,25,30,35,40,45,50)/100*(Inputs!$B$11-Inputs!$B$11),0)))/100+(Inputs!$B$23+((C2497=TRUE)*(F2497-Calc!F30))+IF(ArtifactsInput!$M$15,CHOOSE(ArtifactsInput!$N$15+1,25,30,35,40,45,50)/100*(Inputs!$B$11-Inputs!$B$11),0))/100)/2</f>
        <v/>
      </c>
      <c r="M2474">
        <f>L2474*(1+(Inputs!$B$10+((C2494=TRUE)*(F2494-Calc!F27))+B2508+(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2474">
        <f>L2474*(1-MIN((Inputs!$B$9+((C2493=TRUE)*(F2493-Calc!F26))+B2501+(ArtifactsInput!$M$24-ArtifactsInput!$M$24)*CHOOSE(ArtifactsInput!$N$24+1,10,12,14,16,18,20)+(IF(AND(Inputs!$B$39&lt;&gt;"pvp",Inputs!$B$44=0),1,IF(IF(Inputs!$B$39="pvp",15,Inputs!$B$44)-(B2512)&lt;=0,1,MAX(0,IF(Inputs!$B$39="pvp",15,Inputs!$B$44)-MAX(5,B2512))/(IF(Inputs!$B$39="pvp",15,Inputs!$B$44)-(B2512))))*IF(AND(ArtifactsInput!$M$42,((Inputs!$B$9+((C2493=TRUE)*(F2493-Calc!F26))+B2501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2474*(MIN((Inputs!$B$9+((C2493=TRUE)*(F2493-Calc!F26))+B2501+(ArtifactsInput!$M$24-ArtifactsInput!$M$24)*CHOOSE(ArtifactsInput!$N$24+1,10,12,14,16,18,20)+(IF(AND(Inputs!$B$39&lt;&gt;"pvp",Inputs!$B$44=0),1,IF(IF(Inputs!$B$39="pvp",15,Inputs!$B$44)-(B2512)&lt;=0,1,MAX(0,IF(Inputs!$B$39="pvp",15,Inputs!$B$44)-MAX(5,B2512))/(IF(Inputs!$B$39="pvp",15,Inputs!$B$44)-(B2512))))*IF(AND(ArtifactsInput!$M$42,((Inputs!$B$9+((C2493=TRUE)*(F2493-Calc!F26))+B2501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474">
        <f>(1-Summary!$B$11)*T2474+Summary!$B$11*V2474</f>
        <v/>
      </c>
      <c r="P2474">
        <f>IF(B2513=0,0,O2474/B2513)</f>
        <v/>
      </c>
      <c r="Q2474">
        <f>IFERROR(1/IF(Inputs!$B$39="pvp",15,MAX(0.1,Skills!D7-IF(TRUE=TRUE,Inputs!$B$32,0))),0)</f>
        <v/>
      </c>
      <c r="R2474">
        <f>IF(AND(Inputs!$B$39&lt;&gt;"pvp",Inputs!$B$44&gt;0),IF(MAX(0,Inputs!$B$44-B2512)&lt;=0,0,(INT(MAX(0,Inputs!$B$44-B2512)/IF(Inputs!$B$39="pvp",15,MAX(0.1,Skills!D7-IF(TRUE=TRUE,Inputs!$B$32,0))))+1)),0)</f>
        <v/>
      </c>
      <c r="S2474">
        <f>IFERROR(O2474/N2474,0)</f>
        <v/>
      </c>
      <c r="T2474">
        <f>IF(C2474,(H2474*N2474*IF(AND(Inputs!$B$39&lt;&gt;"pvp",Inputs!$B$44&gt;0),((Skills!G7*((R2474-1)*IF(Skills!H7&gt;0,Skills!I7/Skills!H7,1)+IF(Skills!H7&gt;0,MIN(Skills!I7,MAX(0,MAX(0,Inputs!$B$44-B2512)-((R2474-1)*IF(Inputs!$B$39="pvp",15,MAX(0.1,Skills!D7-IF(TRUE=TRUE,Inputs!$B$32,0))))))/Skills!H7,1)))/Inputs!$B$44),G2474*Q2474))*IF(Inputs!$B$39="pvp",1,1+(Inputs!$B$20+0+Skills!P7+B2502+(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Hunt"),CHOOSE(ArtifactsInput!$N$35+1,15,18,21,24,27,30)*(1-EXP(-(0.2*B2505)*5)),0)+IF(AND(ArtifactsInput!$M$22,Inputs!$B$4&lt;&gt;"Chapter Hunt"),CHOOSE(ArtifactsInput!$N$22+1,10,12,14,16,18,20)*((0*(((0.15*B2505*5))^0/1)+1*(((0.15*B2505*5))^1/1)+2*(((0.15*B2505*5))^2/2)+3*(((0.15*B2505*5))^3/6)+4*(((0.15*B2505*5))^4/24)+5*(((0.15*B2505*5))^5/120))/((((0.15*B2505*5))^0/1)+(((0.15*B2505*5))^1/1)+(((0.15*B2505*5))^2/2)+(((0.15*B2505*5))^3/6)+(((0.15*B2505*5))^4/24)+(((0.15*B2505*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2474*(1-MIN(100,(Inputs!$B$9+((C2493=TRUE)*(F2493-Calc!F26))+B2501+(ArtifactsInput!$M$24-ArtifactsInput!$M$24)*CHOOSE(ArtifactsInput!$N$24+1,10,12,14,16,18,20)+(IF(AND(Inputs!$B$39&lt;&gt;"pvp",Inputs!$B$44=0),1,IF(IF(Inputs!$B$39="pvp",15,Inputs!$B$44)-(B2512)&lt;=0,1,MAX(0,IF(Inputs!$B$39="pvp",15,Inputs!$B$44)-MAX(5,B2512))/(IF(Inputs!$B$39="pvp",15,Inputs!$B$44)-(B2512))))*IF(AND(ArtifactsInput!$M$42,((Inputs!$B$9+((C2493=TRUE)*(F2493-Calc!F26))+B2501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2474*(MIN(100,(Inputs!$B$9+((C2493=TRUE)*(F2493-Calc!F26))+B2501+(ArtifactsInput!$M$24-ArtifactsInput!$M$24)*CHOOSE(ArtifactsInput!$N$24+1,10,12,14,16,18,20)+(IF(AND(Inputs!$B$39&lt;&gt;"pvp",Inputs!$B$44=0),1,IF(IF(Inputs!$B$39="pvp",15,Inputs!$B$44)-(B2512)&lt;=0,1,MAX(0,IF(Inputs!$B$39="pvp",15,Inputs!$B$44)-MAX(5,B2512))/(IF(Inputs!$B$39="pvp",15,Inputs!$B$44)-(B2512))))*IF(AND(ArtifactsInput!$M$42,((Inputs!$B$9+((C2493=TRUE)*(F2493-Calc!F26))+B2501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2474*(1-MIN(100,(Inputs!$B$9+((C2493=TRUE)*(F2493-Calc!F26))+B2501+(ArtifactsInput!$M$24-ArtifactsInput!$M$24)*CHOOSE(ArtifactsInput!$N$24+1,10,12,14,16,18,20)+(IF(AND(Inputs!$B$39&lt;&gt;"pvp",Inputs!$B$44=0),1,IF(IF(Inputs!$B$39="pvp",15,Inputs!$B$44)-(B2512)&lt;=0,1,MAX(0,IF(Inputs!$B$39="pvp",15,Inputs!$B$44)-MAX(5,B2512))/(IF(Inputs!$B$39="pvp",15,Inputs!$B$44)-(B2512))))*IF(AND(ArtifactsInput!$M$42,((Inputs!$B$9+((C2493=TRUE)*(F2493-Calc!F26))+B2501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2474*(MIN(100,(Inputs!$B$9+((C2493=TRUE)*(F2493-Calc!F26))+B2501+(ArtifactsInput!$M$24-ArtifactsInput!$M$24)*CHOOSE(ArtifactsInput!$N$24+1,10,12,14,16,18,20)+(IF(AND(Inputs!$B$39&lt;&gt;"pvp",Inputs!$B$44=0),1,IF(IF(Inputs!$B$39="pvp",15,Inputs!$B$44)-(B2512)&lt;=0,1,MAX(0,IF(Inputs!$B$39="pvp",15,Inputs!$B$44)-MAX(5,B2512))/(IF(Inputs!$B$39="pvp",15,Inputs!$B$44)-(B2512))))*IF(AND(ArtifactsInput!$M$42,((Inputs!$B$9+((C2493=TRUE)*(F2493-Calc!F26))+B2501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474">
        <f>IF(C2474,(H2474*N2474*IF(AND(Inputs!$B$39&lt;&gt;"pvp",Inputs!$B$44&gt;0),((Skills!G7*((R2474-1)*IF(Skills!H7&gt;0,Skills!I7/Skills!H7,1)+IF(Skills!H7&gt;0,MIN(Skills!I7,MAX(0,MAX(0,Inputs!$B$44-B2512)-((R2474-1)*IF(Inputs!$B$39="pvp",15,MAX(0.1,Skills!D7-IF(TRUE=TRUE,Inputs!$B$32,0))))))/Skills!H7,1)))/Inputs!$B$44),G2474*Q2474))*IF(Inputs!$B$39="pvp",1,(1+(Inputs!$B$21+Skills!Q7+B2502+(IF(ArtifactsInput!$M$33,CHOOSE(ArtifactsInput!$N$33+1,30,36,42,48,54,60),0))+(IF(AND(ArtifactsInput!$M$35,Inputs!$B$4&lt;&gt;"Chapter Hunt"),CHOOSE(ArtifactsInput!$N$35+1,15,18,21,24,27,30)*(1-EXP(-(0.2*B2505)*5)),0)+IF(AND(ArtifactsInput!$M$22,Inputs!$B$4&lt;&gt;"Chapter Hunt"),CHOOSE(ArtifactsInput!$N$22+1,10,12,14,16,18,20)*((0*(((0.15*B2505*5))^0/1)+1*(((0.15*B2505*5))^1/1)+2*(((0.15*B2505*5))^2/2)+3*(((0.15*B2505*5))^3/6)+4*(((0.15*B2505*5))^4/24)+5*(((0.15*B2505*5))^5/120))/((((0.15*B2505*5))^0/1)+(((0.15*B2505*5))^1/1)+(((0.15*B2505*5))^2/2)+(((0.15*B2505*5))^3/6)+(((0.15*B2505*5))^4/24)+(((0.15*B2505*5))^5/120))),0)))/100)*(MIN(Skills!W7,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475">
      <c r="A2475">
        <f>Skills!A8</f>
        <v/>
      </c>
      <c r="B2475">
        <f>Skills!B8</f>
        <v/>
      </c>
      <c r="C2475">
        <f>Inputs!$B$3&gt;=60</f>
        <v/>
      </c>
      <c r="D2475">
        <f>IF(Skills!C8=1,60+Inputs!$B$25+Inputs!$B$29,IF(Skills!C8=2,90+Inputs!$B$26+Inputs!$B$29,IF(Skills!C8=3,120+Inputs!$B$27+Inputs!$B$29,MAX(0,(Inputs!$B$3-100)*3)+Inputs!$B$28+Inputs!$B$29)))</f>
        <v/>
      </c>
      <c r="E2475">
        <f>INDEX(FactorTable!$B$2:$Y$301, MATCH(ROUND(MIN(300,MAX(1,D2475)),0), FactorTable!$A$2:$A$301,0), Skills!M8+1)</f>
        <v/>
      </c>
      <c r="F2475">
        <f>IF(Skills!N8=TRUE,(Skills!L8/10)*(E2475/1000),Skills!L8/10)+Skills!O8</f>
        <v/>
      </c>
      <c r="G2475">
        <f>Skills!G8*IF(Skills!H8&gt;0,IF(Inputs!$B$39="pvp",MIN(Skills!I8,15),Skills!I8)/Skills!H8,1)</f>
        <v/>
      </c>
      <c r="H2475">
        <f>1-(1-Skills!J8/100)^Skills!K8</f>
        <v/>
      </c>
      <c r="I2475" t="inlineStr">
        <is>
          <t>1</t>
        </is>
      </c>
      <c r="J2475" t="inlineStr"/>
      <c r="K2475" t="inlineStr"/>
      <c r="L2475" t="inlineStr"/>
      <c r="M2475" t="inlineStr"/>
      <c r="N2475" t="inlineStr"/>
      <c r="O2475">
        <f>(1-Summary!$B$11)*T2475+Summary!$B$11*V2475</f>
        <v/>
      </c>
      <c r="P2475">
        <f>IF(B2513=0,0,O2475/B2513)</f>
        <v/>
      </c>
      <c r="Q2475" t="n">
        <v>0</v>
      </c>
      <c r="R2475" t="n">
        <v>0</v>
      </c>
      <c r="S2475">
        <f>IFERROR(O2475/N2475,0)</f>
        <v/>
      </c>
      <c r="T2475" t="n">
        <v>0</v>
      </c>
      <c r="V2475" t="n">
        <v>0</v>
      </c>
    </row>
    <row r="2476">
      <c r="A2476">
        <f>Skills!A9</f>
        <v/>
      </c>
      <c r="B2476">
        <f>Skills!B9</f>
        <v/>
      </c>
      <c r="C2476">
        <f>Inputs!$B$3&gt;=72</f>
        <v/>
      </c>
      <c r="D2476">
        <f>IF(Skills!C9=1,60+Inputs!$B$25+Inputs!$B$29,IF(Skills!C9=2,90+Inputs!$B$26+Inputs!$B$29,IF(Skills!C9=3,120+Inputs!$B$27+Inputs!$B$29,MAX(0,(Inputs!$B$3-100)*3)+Inputs!$B$28+Inputs!$B$29)))</f>
        <v/>
      </c>
      <c r="E2476">
        <f>INDEX(FactorTable!$B$2:$Y$301, MATCH(ROUND(MIN(300,MAX(1,D2476)),0), FactorTable!$A$2:$A$301,0), Skills!M9+1)</f>
        <v/>
      </c>
      <c r="F2476">
        <f>IF(Skills!N9=TRUE,(Skills!L9/10)*(E2476/1000),Skills!L9/10)+Skills!O9</f>
        <v/>
      </c>
      <c r="G2476">
        <f>Skills!G9*IF(Skills!H9&gt;0,IF(Inputs!$B$39="pvp",MIN(Skills!I9,15),Skills!I9)/Skills!H9,1)</f>
        <v/>
      </c>
      <c r="H2476">
        <f>1-(1-Skills!J9/100)^Skills!K9</f>
        <v/>
      </c>
      <c r="I2476" t="inlineStr">
        <is>
          <t>1</t>
        </is>
      </c>
      <c r="J2476">
        <f>((Inputs!$B$6*(1+Inputs!$B$7/100))+(((Inputs!$B$12*(1+Inputs!$B$13/100))-(Inputs!$B$12*(1+Inputs!$B$13/100)))+0.25*(Inputs!$B$14-Inputs!$B$14))*(1+Inputs!$B$7/100))*(F2476/100)</f>
        <v/>
      </c>
      <c r="K2476">
        <f>J2476*(1+((Inputs!$B$12*(1+Inputs!$B$13/100))*0.01+Inputs!$B$14*0.0025)/100)*(1+Inputs!$B$15/100)*(1+Inputs!$B$16/100)*(5000/(6000+Inputs!$B$43*(1-(100*(1-(1-Inputs!$B$19/100)*(1-CHOOSE(ArtifactsInput!$N$40+1,5,6,7,8,9,10)/100)^(ArtifactsInput!$M$40-ArtifactsInput!$M$40)))/100)))*(1+(Inputs!$B$24+((C2498=TRUE)*(F2498-Calc!F31))+((C2485=TRUE)*(F2485-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+3.3333333333333335*IF(C2486=TRUE,F2486,0)/100)*(1+(IF(Skills!A9="CRUEL_STAB",Inputs!$B$17+((C2495=TRUE)*(F2495-Calc!F28))+((IF(AND(Inputs!$B$39&lt;&gt;"pvp",Inputs!$B$44=0),1,IF(IF(Inputs!$B$39="pvp",15,Inputs!$B$44)-(B2512)&lt;=0,1,MAX(0,IF(Inputs!$B$39="pvp",15,Inputs!$B$44)-MAX(5,B2512))/(IF(Inputs!$B$39="pvp",15,Inputs!$B$44)-(B2512))))*(IF(AND(ArtifactsInput!$M$42,((Inputs!$B$9+((C2493=TRUE)*(F2493-Calc!F26))+B2501+(ArtifactsInput!$M$24-ArtifactsInput!$M$24)*CHOOSE(ArtifactsInput!$N$24+1,10,12,14,16,18,20)+IF(ArtifactsInput!$M$10,CHOOSE(ArtifactsInput!$N$10+1,15,18,21,24,27,30)*(IF(Inputs!$B$39="pvp",MIN(15,15)/15,IF(AND(Inputs!$B$39&lt;&gt;"pvp",Inputs!$B$44&gt;0),MIN(15,Inputs!$B$44)/(Inputs!$B$44),0))),0)))&gt;=100),MIN(100,((Inputs!$B$9+((C2493=TRUE)*(F2493-Calc!F26))+B2501+(ArtifactsInput!$M$24-ArtifactsInput!$M$24)*CHOOSE(ArtifactsInput!$N$24+1,10,12,14,16,18,20)+IF(ArtifactsInput!$M$10,CHOOSE(ArtifactsInput!$N$10+1,15,18,21,24,27,30)*(IF(Inputs!$B$39="pvp",MIN(15,15)/15,IF(AND(Inputs!$B$39&lt;&gt;"pvp",Inputs!$B$44&gt;0),MIN(15,Inputs!$B$44)/(Inputs!$B$44),0))),0)))-100),0))*CHOOSE(ArtifactsInput!$N$42+1,0.6,0.72,0.84,0.96,1.08,1.2))),Inputs!$B$18+((C2496=TRUE)*(F2496-Calc!F29))+(IF(AND(Inputs!$B$39&lt;&gt;"pvp",Inputs!$B$44=0),1,IF(IF(Inputs!$B$39="pvp",15,Inputs!$B$44)-(B2512)&lt;=0,1,MAX(0,IF(Inputs!$B$39="pvp",15,Inputs!$B$44)-MAX(5,B2512))/(IF(Inputs!$B$39="pvp",15,Inputs!$B$44)-(B2512))))*IF(AND(ArtifactsInput!$M$42,((Inputs!$B$9+((C2493=TRUE)*(F2493-Calc!F26))+B2501+(ArtifactsInput!$M$24-ArtifactsInput!$M$24)*CHOOSE(ArtifactsInput!$N$24+1,10,12,14,16,18,20)+IF(ArtifactsInput!$M$10,CHOOSE(ArtifactsInput!$N$10+1,15,18,21,24,27,30)*(IF(Inputs!$B$39="pvp",MIN(15,15)/15,IF(AND(Inputs!$B$39&lt;&gt;"pvp",Inputs!$B$44&gt;0),MIN(15,Inputs!$B$44)/(Inputs!$B$44),0))),0)))&gt;=100),CHOOSE(ArtifactsInput!$N$42+1,40,48,56,64,72,80),0))))/100)*(((1+(((C2489=TRUE)*F2489*IF(AND(Inputs!$B$39&lt;&gt;"pvp",Inputs!$B$44&gt;0),(((R2489-1)*MIN((Skills!Y22*(1+Inputs!$B$34/100)),(1/Q2489))+MIN((Skills!Y22*(1+Inputs!$B$34/100)),MAX(0,Inputs!$B$44-((R2489-1)*(1/Q2489)))))/Inputs!$B$44),IF(Inputs!$B$39="pvp",MIN((Skills!Y22*(1+Inputs!$B$34/100)),15)/15,MIN(1,(Skills!Y22*(1+Inputs!$B$34/100))/(1/Q2489)))))+((C2470=TRUE)*F2470*3)+((C2472=TRUE)*F2472*(1-EXP(-0.75*B2505*5)))+((C2491=TRUE)*(F2491-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2478=TRUE)*F2478*IF(AND(Inputs!$B$39&lt;&gt;"pvp",Inputs!$B$44&gt;0),(((R2478-1)*MIN((Skills!Y11*(1+Inputs!$B$34/100)),(1/Q2478))+MIN((Skills!Y11*(1+Inputs!$B$34/100)),MAX(0,Inputs!$B$44-((R2478-1)*(1/Q2478)))))/Inputs!$B$44),IF(Inputs!$B$39="pvp",MIN((Skills!Y11*(1+Inputs!$B$34/100)),15)/15,MIN(1,(Skills!Y11*(1+Inputs!$B$34/100))/(1/Q2478)))))/100)*(1+((C2483=TRUE)*F2483*IF(AND(Inputs!$B$39&lt;&gt;"pvp",Inputs!$B$44&gt;0),(((R2483-1)*MIN((Skills!Y16*(1+Inputs!$B$34/100)),(1/Q2483))+MIN((Skills!Y16*(1+Inputs!$B$34/100)),MAX(0,Inputs!$B$44-((R2483-1)*(1/Q2483)))))/Inputs!$B$44),IF(Inputs!$B$39="pvp",MIN((Skills!Y16*(1+Inputs!$B$34/100)),15)/15,MIN(1,(Skills!Y16*(1+Inputs!$B$34/100))/(1/Q2483)))))/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2503*I2476)</f>
        <v/>
      </c>
      <c r="L2476">
        <f>K2476*(MIN(Inputs!$B$22+((C2492=TRUE)*(F2492-Calc!F25)),(Inputs!$B$23+((C2497=TRUE)*(F2497-Calc!F30))+IF(ArtifactsInput!$M$15,CHOOSE(ArtifactsInput!$N$15+1,25,30,35,40,45,50)/100*(Inputs!$B$11-Inputs!$B$11),0)))/100+(Inputs!$B$23+((C2497=TRUE)*(F2497-Calc!F30))+IF(ArtifactsInput!$M$15,CHOOSE(ArtifactsInput!$N$15+1,25,30,35,40,45,50)/100*(Inputs!$B$11-Inputs!$B$11),0))/100)/2</f>
        <v/>
      </c>
      <c r="M2476">
        <f>L2476*(1+(Inputs!$B$10+((C2494=TRUE)*(F2494-Calc!F27))+B2508+(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2476">
        <f>L2476*(1-MIN((Inputs!$B$9+((C2493=TRUE)*(F2493-Calc!F26))+B2501+(ArtifactsInput!$M$24-ArtifactsInput!$M$24)*CHOOSE(ArtifactsInput!$N$24+1,10,12,14,16,18,20)+(IF(AND(Inputs!$B$39&lt;&gt;"pvp",Inputs!$B$44=0),1,IF(IF(Inputs!$B$39="pvp",15,Inputs!$B$44)-(B2512)&lt;=0,1,MAX(0,IF(Inputs!$B$39="pvp",15,Inputs!$B$44)-MAX(5,B2512))/(IF(Inputs!$B$39="pvp",15,Inputs!$B$44)-(B2512))))*IF(AND(ArtifactsInput!$M$42,((Inputs!$B$9+((C2493=TRUE)*(F2493-Calc!F26))+B2501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2476*(MIN((Inputs!$B$9+((C2493=TRUE)*(F2493-Calc!F26))+B2501+(ArtifactsInput!$M$24-ArtifactsInput!$M$24)*CHOOSE(ArtifactsInput!$N$24+1,10,12,14,16,18,20)+(IF(AND(Inputs!$B$39&lt;&gt;"pvp",Inputs!$B$44=0),1,IF(IF(Inputs!$B$39="pvp",15,Inputs!$B$44)-(B2512)&lt;=0,1,MAX(0,IF(Inputs!$B$39="pvp",15,Inputs!$B$44)-MAX(5,B2512))/(IF(Inputs!$B$39="pvp",15,Inputs!$B$44)-(B2512))))*IF(AND(ArtifactsInput!$M$42,((Inputs!$B$9+((C2493=TRUE)*(F2493-Calc!F26))+B2501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476">
        <f>(1-Summary!$B$11)*T2476+Summary!$B$11*V2476</f>
        <v/>
      </c>
      <c r="P2476">
        <f>IF(B2513=0,0,O2476/B2513)</f>
        <v/>
      </c>
      <c r="Q2476">
        <f>IFERROR(1/IF(Inputs!$B$39="pvp",15,MAX(0.1,Skills!D9-IF(FALSE=TRUE,Inputs!$B$32,0))),0)</f>
        <v/>
      </c>
      <c r="R2476">
        <f>IF(AND(Inputs!$B$39&lt;&gt;"pvp",Inputs!$B$44&gt;0),IF(MAX(0,Inputs!$B$44-B2512)&lt;=0,0,(INT(MAX(0,Inputs!$B$44-B2512)/IF(Inputs!$B$39="pvp",15,MAX(0.1,Skills!D9-IF(FALSE=TRUE,Inputs!$B$32,0))))+1)),0)</f>
        <v/>
      </c>
      <c r="S2476">
        <f>IFERROR(O2476/N2476,0)</f>
        <v/>
      </c>
      <c r="T2476">
        <f>IF(C2476,(H2476*N2476*IF(AND(Inputs!$B$39&lt;&gt;"pvp",Inputs!$B$44&gt;0),((Skills!G9*((R2476-1)*IF(Skills!H9&gt;0,Skills!I9/Skills!H9,1)+IF(Skills!H9&gt;0,MIN(Skills!I9,MAX(0,MAX(0,Inputs!$B$44-B2512)-((R2476-1)*IF(Inputs!$B$39="pvp",15,MAX(0.1,Skills!D9-IF(FALSE=TRUE,Inputs!$B$32,0))))))/Skills!H9,1)))/Inputs!$B$44),G2476*Q2476))*IF(Inputs!$B$39="pvp",1,1+(Inputs!$B$20+0+Skills!P9+B2502+(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Hunt"),CHOOSE(ArtifactsInput!$N$35+1,15,18,21,24,27,30)*(1-EXP(-(0.2*B2505)*5)),0)+IF(AND(ArtifactsInput!$M$22,Inputs!$B$4&lt;&gt;"Chapter Hunt"),CHOOSE(ArtifactsInput!$N$22+1,10,12,14,16,18,20)*((0*(((0.15*B2505*5))^0/1)+1*(((0.15*B2505*5))^1/1)+2*(((0.15*B2505*5))^2/2)+3*(((0.15*B2505*5))^3/6)+4*(((0.15*B2505*5))^4/24)+5*(((0.15*B2505*5))^5/120))/((((0.15*B2505*5))^0/1)+(((0.15*B2505*5))^1/1)+(((0.15*B2505*5))^2/2)+(((0.15*B2505*5))^3/6)+(((0.15*B2505*5))^4/24)+(((0.15*B2505*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2476*(1-MIN(100,(Inputs!$B$9+((C2493=TRUE)*(F2493-Calc!F26))+B2501+(ArtifactsInput!$M$24-ArtifactsInput!$M$24)*CHOOSE(ArtifactsInput!$N$24+1,10,12,14,16,18,20)+(IF(AND(Inputs!$B$39&lt;&gt;"pvp",Inputs!$B$44=0),1,IF(IF(Inputs!$B$39="pvp",15,Inputs!$B$44)-(B2512)&lt;=0,1,MAX(0,IF(Inputs!$B$39="pvp",15,Inputs!$B$44)-MAX(5,B2512))/(IF(Inputs!$B$39="pvp",15,Inputs!$B$44)-(B2512))))*IF(AND(ArtifactsInput!$M$42,((Inputs!$B$9+((C2493=TRUE)*(F2493-Calc!F26))+B2501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2476*(MIN(100,(Inputs!$B$9+((C2493=TRUE)*(F2493-Calc!F26))+B2501+(ArtifactsInput!$M$24-ArtifactsInput!$M$24)*CHOOSE(ArtifactsInput!$N$24+1,10,12,14,16,18,20)+(IF(AND(Inputs!$B$39&lt;&gt;"pvp",Inputs!$B$44=0),1,IF(IF(Inputs!$B$39="pvp",15,Inputs!$B$44)-(B2512)&lt;=0,1,MAX(0,IF(Inputs!$B$39="pvp",15,Inputs!$B$44)-MAX(5,B2512))/(IF(Inputs!$B$39="pvp",15,Inputs!$B$44)-(B2512))))*IF(AND(ArtifactsInput!$M$42,((Inputs!$B$9+((C2493=TRUE)*(F2493-Calc!F26))+B2501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2476*(1-MIN(100,(Inputs!$B$9+((C2493=TRUE)*(F2493-Calc!F26))+B2501+(ArtifactsInput!$M$24-ArtifactsInput!$M$24)*CHOOSE(ArtifactsInput!$N$24+1,10,12,14,16,18,20)+(IF(AND(Inputs!$B$39&lt;&gt;"pvp",Inputs!$B$44=0),1,IF(IF(Inputs!$B$39="pvp",15,Inputs!$B$44)-(B2512)&lt;=0,1,MAX(0,IF(Inputs!$B$39="pvp",15,Inputs!$B$44)-MAX(5,B2512))/(IF(Inputs!$B$39="pvp",15,Inputs!$B$44)-(B2512))))*IF(AND(ArtifactsInput!$M$42,((Inputs!$B$9+((C2493=TRUE)*(F2493-Calc!F26))+B2501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2476*(MIN(100,(Inputs!$B$9+((C2493=TRUE)*(F2493-Calc!F26))+B2501+(ArtifactsInput!$M$24-ArtifactsInput!$M$24)*CHOOSE(ArtifactsInput!$N$24+1,10,12,14,16,18,20)+(IF(AND(Inputs!$B$39&lt;&gt;"pvp",Inputs!$B$44=0),1,IF(IF(Inputs!$B$39="pvp",15,Inputs!$B$44)-(B2512)&lt;=0,1,MAX(0,IF(Inputs!$B$39="pvp",15,Inputs!$B$44)-MAX(5,B2512))/(IF(Inputs!$B$39="pvp",15,Inputs!$B$44)-(B2512))))*IF(AND(ArtifactsInput!$M$42,((Inputs!$B$9+((C2493=TRUE)*(F2493-Calc!F26))+B2501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476">
        <f>IF(C2476,(H2476*N2476*IF(AND(Inputs!$B$39&lt;&gt;"pvp",Inputs!$B$44&gt;0),((Skills!G9*((R2476-1)*IF(Skills!H9&gt;0,Skills!I9/Skills!H9,1)+IF(Skills!H9&gt;0,MIN(Skills!I9,MAX(0,MAX(0,Inputs!$B$44-B2512)-((R2476-1)*IF(Inputs!$B$39="pvp",15,MAX(0.1,Skills!D9-IF(FALSE=TRUE,Inputs!$B$32,0))))))/Skills!H9,1)))/Inputs!$B$44),G2476*Q2476))*IF(Inputs!$B$39="pvp",1,(1+(Inputs!$B$21+Skills!Q9+B2502+(IF(ArtifactsInput!$M$33,CHOOSE(ArtifactsInput!$N$33+1,30,36,42,48,54,60),0))+(IF(AND(ArtifactsInput!$M$35,Inputs!$B$4&lt;&gt;"Chapter Hunt"),CHOOSE(ArtifactsInput!$N$35+1,15,18,21,24,27,30)*(1-EXP(-(0.2*B2505)*5)),0)+IF(AND(ArtifactsInput!$M$22,Inputs!$B$4&lt;&gt;"Chapter Hunt"),CHOOSE(ArtifactsInput!$N$22+1,10,12,14,16,18,20)*((0*(((0.15*B2505*5))^0/1)+1*(((0.15*B2505*5))^1/1)+2*(((0.15*B2505*5))^2/2)+3*(((0.15*B2505*5))^3/6)+4*(((0.15*B2505*5))^4/24)+5*(((0.15*B2505*5))^5/120))/((((0.15*B2505*5))^0/1)+(((0.15*B2505*5))^1/1)+(((0.15*B2505*5))^2/2)+(((0.15*B2505*5))^3/6)+(((0.15*B2505*5))^4/24)+(((0.15*B2505*5))^5/120))),0)))/100)*(MIN(Skills!W9,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477">
      <c r="A2477">
        <f>Skills!A10</f>
        <v/>
      </c>
      <c r="B2477">
        <f>Skills!B10</f>
        <v/>
      </c>
      <c r="C2477">
        <f>Inputs!$B$3&gt;=117</f>
        <v/>
      </c>
      <c r="D2477">
        <f>IF(Skills!C10=1,60+Inputs!$B$25+Inputs!$B$29,IF(Skills!C10=2,90+Inputs!$B$26+Inputs!$B$29,IF(Skills!C10=3,120+Inputs!$B$27+Inputs!$B$29,MAX(0,(Inputs!$B$3-100)*3)+Inputs!$B$28+Inputs!$B$29)))</f>
        <v/>
      </c>
      <c r="E2477">
        <f>INDEX(FactorTable!$B$2:$Y$301, MATCH(ROUND(MIN(300,MAX(1,D2477)),0), FactorTable!$A$2:$A$301,0), Skills!M10+1)</f>
        <v/>
      </c>
      <c r="F2477">
        <f>IF(Skills!N10=TRUE,(Skills!L10/10)*(E2477/1000),Skills!L10/10)+Skills!O10</f>
        <v/>
      </c>
      <c r="G2477">
        <f>Skills!G10*IF(Skills!H10&gt;0,IF(Inputs!$B$39="pvp",MIN(Skills!I10,15),Skills!I10)/Skills!H10,1)</f>
        <v/>
      </c>
      <c r="H2477">
        <f>1-(1-Skills!J10/100)^Skills!K10</f>
        <v/>
      </c>
      <c r="I2477" t="inlineStr">
        <is>
          <t>1</t>
        </is>
      </c>
      <c r="J2477">
        <f>((Inputs!$B$6*(1+Inputs!$B$7/100))+(((Inputs!$B$12*(1+Inputs!$B$13/100))-(Inputs!$B$12*(1+Inputs!$B$13/100)))+0.25*(Inputs!$B$14-Inputs!$B$14))*(1+Inputs!$B$7/100))*(F2477/100)</f>
        <v/>
      </c>
      <c r="K2477">
        <f>J2477*(1+((Inputs!$B$12*(1+Inputs!$B$13/100))*0.01+Inputs!$B$14*0.0025)/100)*(1+Inputs!$B$15/100)*(1+Inputs!$B$16/100)*(5000/(6000+Inputs!$B$43*(1-(100*(1-(1-Inputs!$B$19/100)*(1-CHOOSE(ArtifactsInput!$N$40+1,5,6,7,8,9,10)/100)^(ArtifactsInput!$M$40-ArtifactsInput!$M$40)))/100)))*(1+(Inputs!$B$24+((C2498=TRUE)*(F2498-Calc!F31))+((C2485=TRUE)*(F2485-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10="CRUEL_STAB",Inputs!$B$17+((C2495=TRUE)*(F2495-Calc!F28))+((IF(AND(Inputs!$B$39&lt;&gt;"pvp",Inputs!$B$44=0),1,IF(IF(Inputs!$B$39="pvp",15,Inputs!$B$44)-(B2512)&lt;=0,1,MAX(0,IF(Inputs!$B$39="pvp",15,Inputs!$B$44)-MAX(5,B2512))/(IF(Inputs!$B$39="pvp",15,Inputs!$B$44)-(B2512))))*(IF(AND(ArtifactsInput!$M$42,((Inputs!$B$9+((C2493=TRUE)*(F2493-Calc!F26))+B2501+(ArtifactsInput!$M$24-ArtifactsInput!$M$24)*CHOOSE(ArtifactsInput!$N$24+1,10,12,14,16,18,20)+IF(ArtifactsInput!$M$10,CHOOSE(ArtifactsInput!$N$10+1,15,18,21,24,27,30)*(IF(Inputs!$B$39="pvp",MIN(15,15)/15,IF(AND(Inputs!$B$39&lt;&gt;"pvp",Inputs!$B$44&gt;0),MIN(15,Inputs!$B$44)/(Inputs!$B$44),0))),0)))&gt;=100),MIN(100,((Inputs!$B$9+((C2493=TRUE)*(F2493-Calc!F26))+B2501+(ArtifactsInput!$M$24-ArtifactsInput!$M$24)*CHOOSE(ArtifactsInput!$N$24+1,10,12,14,16,18,20)+IF(ArtifactsInput!$M$10,CHOOSE(ArtifactsInput!$N$10+1,15,18,21,24,27,30)*(IF(Inputs!$B$39="pvp",MIN(15,15)/15,IF(AND(Inputs!$B$39&lt;&gt;"pvp",Inputs!$B$44&gt;0),MIN(15,Inputs!$B$44)/(Inputs!$B$44),0))),0)))-100),0))*CHOOSE(ArtifactsInput!$N$42+1,0.6,0.72,0.84,0.96,1.08,1.2))),Inputs!$B$18+((C2496=TRUE)*(F2496-Calc!F29))+(IF(AND(Inputs!$B$39&lt;&gt;"pvp",Inputs!$B$44=0),1,IF(IF(Inputs!$B$39="pvp",15,Inputs!$B$44)-(B2512)&lt;=0,1,MAX(0,IF(Inputs!$B$39="pvp",15,Inputs!$B$44)-MAX(5,B2512))/(IF(Inputs!$B$39="pvp",15,Inputs!$B$44)-(B2512))))*IF(AND(ArtifactsInput!$M$42,((Inputs!$B$9+((C2493=TRUE)*(F2493-Calc!F26))+B2501+(ArtifactsInput!$M$24-ArtifactsInput!$M$24)*CHOOSE(ArtifactsInput!$N$24+1,10,12,14,16,18,20)+IF(ArtifactsInput!$M$10,CHOOSE(ArtifactsInput!$N$10+1,15,18,21,24,27,30)*(IF(Inputs!$B$39="pvp",MIN(15,15)/15,IF(AND(Inputs!$B$39&lt;&gt;"pvp",Inputs!$B$44&gt;0),MIN(15,Inputs!$B$44)/(Inputs!$B$44),0))),0)))&gt;=100),CHOOSE(ArtifactsInput!$N$42+1,40,48,56,64,72,80),0))))/100)*(((1+(((C2489=TRUE)*F2489*IF(AND(Inputs!$B$39&lt;&gt;"pvp",Inputs!$B$44&gt;0),(((R2489-1)*MIN((Skills!Y22*(1+Inputs!$B$34/100)),(1/Q2489))+MIN((Skills!Y22*(1+Inputs!$B$34/100)),MAX(0,Inputs!$B$44-((R2489-1)*(1/Q2489)))))/Inputs!$B$44),IF(Inputs!$B$39="pvp",MIN((Skills!Y22*(1+Inputs!$B$34/100)),15)/15,MIN(1,(Skills!Y22*(1+Inputs!$B$34/100))/(1/Q2489)))))+((C2470=TRUE)*F2470*3)+((C2472=TRUE)*F2472*(1-EXP(-0.75*B2505*5)))+((C2491=TRUE)*(F2491-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2478=TRUE)*F2478*IF(AND(Inputs!$B$39&lt;&gt;"pvp",Inputs!$B$44&gt;0),(((R2478-1)*MIN((Skills!Y11*(1+Inputs!$B$34/100)),(1/Q2478))+MIN((Skills!Y11*(1+Inputs!$B$34/100)),MAX(0,Inputs!$B$44-((R2478-1)*(1/Q2478)))))/Inputs!$B$44),IF(Inputs!$B$39="pvp",MIN((Skills!Y11*(1+Inputs!$B$34/100)),15)/15,MIN(1,(Skills!Y11*(1+Inputs!$B$34/100))/(1/Q2478)))))/100)*(1+((C2483=TRUE)*F2483*IF(AND(Inputs!$B$39&lt;&gt;"pvp",Inputs!$B$44&gt;0),(((R2483-1)*MIN((Skills!Y16*(1+Inputs!$B$34/100)),(1/Q2483))+MIN((Skills!Y16*(1+Inputs!$B$34/100)),MAX(0,Inputs!$B$44-((R2483-1)*(1/Q2483)))))/Inputs!$B$44),IF(Inputs!$B$39="pvp",MIN((Skills!Y16*(1+Inputs!$B$34/100)),15)/15,MIN(1,(Skills!Y16*(1+Inputs!$B$34/100))/(1/Q2483)))))/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2503*I2477)</f>
        <v/>
      </c>
      <c r="L2477">
        <f>K2477*(MIN(Inputs!$B$22+((C2492=TRUE)*(F2492-Calc!F25)),(Inputs!$B$23+((C2497=TRUE)*(F2497-Calc!F30))+IF(ArtifactsInput!$M$15,CHOOSE(ArtifactsInput!$N$15+1,25,30,35,40,45,50)/100*(Inputs!$B$11-Inputs!$B$11),0)))/100+(Inputs!$B$23+((C2497=TRUE)*(F2497-Calc!F30))+IF(ArtifactsInput!$M$15,CHOOSE(ArtifactsInput!$N$15+1,25,30,35,40,45,50)/100*(Inputs!$B$11-Inputs!$B$11),0))/100)/2</f>
        <v/>
      </c>
      <c r="M2477">
        <f>L2477*(1+(Inputs!$B$10+((C2494=TRUE)*(F2494-Calc!F27))+B2508+(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2477">
        <f>L2477*(1-MIN((Inputs!$B$9+((C2493=TRUE)*(F2493-Calc!F26))+B2501+(ArtifactsInput!$M$24-ArtifactsInput!$M$24)*CHOOSE(ArtifactsInput!$N$24+1,10,12,14,16,18,20)+(IF(AND(Inputs!$B$39&lt;&gt;"pvp",Inputs!$B$44=0),1,IF(IF(Inputs!$B$39="pvp",15,Inputs!$B$44)-(B2512)&lt;=0,1,MAX(0,IF(Inputs!$B$39="pvp",15,Inputs!$B$44)-MAX(5,B2512))/(IF(Inputs!$B$39="pvp",15,Inputs!$B$44)-(B2512))))*IF(AND(ArtifactsInput!$M$42,((Inputs!$B$9+((C2493=TRUE)*(F2493-Calc!F26))+B2501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2477*(MIN((Inputs!$B$9+((C2493=TRUE)*(F2493-Calc!F26))+B2501+(ArtifactsInput!$M$24-ArtifactsInput!$M$24)*CHOOSE(ArtifactsInput!$N$24+1,10,12,14,16,18,20)+(IF(AND(Inputs!$B$39&lt;&gt;"pvp",Inputs!$B$44=0),1,IF(IF(Inputs!$B$39="pvp",15,Inputs!$B$44)-(B2512)&lt;=0,1,MAX(0,IF(Inputs!$B$39="pvp",15,Inputs!$B$44)-MAX(5,B2512))/(IF(Inputs!$B$39="pvp",15,Inputs!$B$44)-(B2512))))*IF(AND(ArtifactsInput!$M$42,((Inputs!$B$9+((C2493=TRUE)*(F2493-Calc!F26))+B2501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477">
        <f>(1-Summary!$B$11)*T2477+Summary!$B$11*V2477</f>
        <v/>
      </c>
      <c r="P2477">
        <f>IF(B2513=0,0,O2477/B2513)</f>
        <v/>
      </c>
      <c r="Q2477" t="n">
        <v>0</v>
      </c>
      <c r="R2477" t="n">
        <v>0</v>
      </c>
      <c r="S2477" t="n">
        <v>0</v>
      </c>
      <c r="T2477">
        <f>IF(C2477,(0.2*SUMPRODUCT((Skills!Z2:Z31=TRUE)*(C2469:C2498=TRUE)*S2469:S2498)*N2477)*IF(Inputs!$B$39="pvp",1,1+(Inputs!$B$20+0+Skills!P10+B2502+(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Hunt"),CHOOSE(ArtifactsInput!$N$35+1,15,18,21,24,27,30)*(1-EXP(-(0.2*B2505)*5)),0)+IF(AND(ArtifactsInput!$M$22,Inputs!$B$4&lt;&gt;"Chapter Hunt"),CHOOSE(ArtifactsInput!$N$22+1,10,12,14,16,18,20)*((0*(((0.15*B2505*5))^0/1)+1*(((0.15*B2505*5))^1/1)+2*(((0.15*B2505*5))^2/2)+3*(((0.15*B2505*5))^3/6)+4*(((0.15*B2505*5))^4/24)+5*(((0.15*B2505*5))^5/120))/((((0.15*B2505*5))^0/1)+(((0.15*B2505*5))^1/1)+(((0.15*B2505*5))^2/2)+(((0.15*B2505*5))^3/6)+(((0.15*B2505*5))^4/24)+(((0.15*B2505*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2477*(1-MIN(100,(Inputs!$B$9+((C2493=TRUE)*(F2493-Calc!F26))+B2501+(ArtifactsInput!$M$24-ArtifactsInput!$M$24)*CHOOSE(ArtifactsInput!$N$24+1,10,12,14,16,18,20)+(IF(AND(Inputs!$B$39&lt;&gt;"pvp",Inputs!$B$44=0),1,IF(IF(Inputs!$B$39="pvp",15,Inputs!$B$44)-(B2512)&lt;=0,1,MAX(0,IF(Inputs!$B$39="pvp",15,Inputs!$B$44)-MAX(5,B2512))/(IF(Inputs!$B$39="pvp",15,Inputs!$B$44)-(B2512))))*IF(AND(ArtifactsInput!$M$42,((Inputs!$B$9+((C2493=TRUE)*(F2493-Calc!F26))+B2501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2477*(MIN(100,(Inputs!$B$9+((C2493=TRUE)*(F2493-Calc!F26))+B2501+(ArtifactsInput!$M$24-ArtifactsInput!$M$24)*CHOOSE(ArtifactsInput!$N$24+1,10,12,14,16,18,20)+(IF(AND(Inputs!$B$39&lt;&gt;"pvp",Inputs!$B$44=0),1,IF(IF(Inputs!$B$39="pvp",15,Inputs!$B$44)-(B2512)&lt;=0,1,MAX(0,IF(Inputs!$B$39="pvp",15,Inputs!$B$44)-MAX(5,B2512))/(IF(Inputs!$B$39="pvp",15,Inputs!$B$44)-(B2512))))*IF(AND(ArtifactsInput!$M$42,((Inputs!$B$9+((C2493=TRUE)*(F2493-Calc!F26))+B2501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2477*(1-MIN(100,(Inputs!$B$9+((C2493=TRUE)*(F2493-Calc!F26))+B2501+(ArtifactsInput!$M$24-ArtifactsInput!$M$24)*CHOOSE(ArtifactsInput!$N$24+1,10,12,14,16,18,20)+(IF(AND(Inputs!$B$39&lt;&gt;"pvp",Inputs!$B$44=0),1,IF(IF(Inputs!$B$39="pvp",15,Inputs!$B$44)-(B2512)&lt;=0,1,MAX(0,IF(Inputs!$B$39="pvp",15,Inputs!$B$44)-MAX(5,B2512))/(IF(Inputs!$B$39="pvp",15,Inputs!$B$44)-(B2512))))*IF(AND(ArtifactsInput!$M$42,((Inputs!$B$9+((C2493=TRUE)*(F2493-Calc!F26))+B2501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2477*(MIN(100,(Inputs!$B$9+((C2493=TRUE)*(F2493-Calc!F26))+B2501+(ArtifactsInput!$M$24-ArtifactsInput!$M$24)*CHOOSE(ArtifactsInput!$N$24+1,10,12,14,16,18,20)+(IF(AND(Inputs!$B$39&lt;&gt;"pvp",Inputs!$B$44=0),1,IF(IF(Inputs!$B$39="pvp",15,Inputs!$B$44)-(B2512)&lt;=0,1,MAX(0,IF(Inputs!$B$39="pvp",15,Inputs!$B$44)-MAX(5,B2512))/(IF(Inputs!$B$39="pvp",15,Inputs!$B$44)-(B2512))))*IF(AND(ArtifactsInput!$M$42,((Inputs!$B$9+((C2493=TRUE)*(F2493-Calc!F26))+B2501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477">
        <f>IF(C2477,(0.2*SUMPRODUCT((Skills!Z2:Z31=TRUE)*(C2469:C2498=TRUE)*S2469:S2498)*N2477)*IF(Inputs!$B$39="pvp",1,(1+(Inputs!$B$21+Skills!Q10+B2502+(IF(ArtifactsInput!$M$33,CHOOSE(ArtifactsInput!$N$33+1,30,36,42,48,54,60),0))+(IF(AND(ArtifactsInput!$M$35,Inputs!$B$4&lt;&gt;"Chapter Hunt"),CHOOSE(ArtifactsInput!$N$35+1,15,18,21,24,27,30)*(1-EXP(-(0.2*B2505)*5)),0)+IF(AND(ArtifactsInput!$M$22,Inputs!$B$4&lt;&gt;"Chapter Hunt"),CHOOSE(ArtifactsInput!$N$22+1,10,12,14,16,18,20)*((0*(((0.15*B2505*5))^0/1)+1*(((0.15*B2505*5))^1/1)+2*(((0.15*B2505*5))^2/2)+3*(((0.15*B2505*5))^3/6)+4*(((0.15*B2505*5))^4/24)+5*(((0.15*B2505*5))^5/120))/((((0.15*B2505*5))^0/1)+(((0.15*B2505*5))^1/1)+(((0.15*B2505*5))^2/2)+(((0.15*B2505*5))^3/6)+(((0.15*B2505*5))^4/24)+(((0.15*B2505*5))^5/120))),0)))/100)*(MIN(Skills!W10,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478">
      <c r="A2478">
        <f>Skills!A11</f>
        <v/>
      </c>
      <c r="B2478">
        <f>Skills!B11</f>
        <v/>
      </c>
      <c r="C2478">
        <f>Inputs!$B$3&gt;=74</f>
        <v/>
      </c>
      <c r="D2478">
        <f>IF(Skills!C11=1,60+Inputs!$B$25+Inputs!$B$29,IF(Skills!C11=2,90+Inputs!$B$26+Inputs!$B$29,IF(Skills!C11=3,120+Inputs!$B$27+Inputs!$B$29,MAX(0,(Inputs!$B$3-100)*3)+Inputs!$B$28+Inputs!$B$29)))</f>
        <v/>
      </c>
      <c r="E2478">
        <f>INDEX(FactorTable!$B$2:$Y$301, MATCH(ROUND(MIN(300,MAX(1,D2478)),0), FactorTable!$A$2:$A$301,0), Skills!M11+1)</f>
        <v/>
      </c>
      <c r="F2478">
        <f>IF(Skills!N11=TRUE,(Skills!L11/10)*(E2478/1000),Skills!L11/10)+Skills!O11</f>
        <v/>
      </c>
      <c r="G2478">
        <f>Skills!G11*IF(Skills!H11&gt;0,IF(Inputs!$B$39="pvp",MIN(Skills!I11,15),Skills!I11)/Skills!H11,1)</f>
        <v/>
      </c>
      <c r="H2478">
        <f>1-(1-Skills!J11/100)^Skills!K11</f>
        <v/>
      </c>
      <c r="I2478" t="inlineStr">
        <is>
          <t>1</t>
        </is>
      </c>
      <c r="J2478" t="inlineStr"/>
      <c r="K2478" t="inlineStr"/>
      <c r="L2478" t="inlineStr"/>
      <c r="M2478" t="inlineStr"/>
      <c r="N2478" t="inlineStr"/>
      <c r="O2478">
        <f>(1-Summary!$B$11)*T2478+Summary!$B$11*V2478</f>
        <v/>
      </c>
      <c r="P2478">
        <f>IF(B2513=0,0,O2478/B2513)</f>
        <v/>
      </c>
      <c r="Q2478">
        <f>IFERROR(1/IF(Inputs!$B$39="pvp",15,MAX(0.1,Skills!D11-IF(TRUE=TRUE,Inputs!$B$32,0))),0)</f>
        <v/>
      </c>
      <c r="R2478">
        <f>IF(AND(Inputs!$B$39&lt;&gt;"pvp",Inputs!$B$44&gt;0),IF(Inputs!$B$44&lt;=0,0,(INT(Inputs!$B$44/IF(Inputs!$B$39="pvp",15,MAX(0.1,Skills!D11-IF(TRUE=TRUE,Inputs!$B$32,0))))+1)),0)</f>
        <v/>
      </c>
      <c r="S2478">
        <f>IFERROR(O2478/N2478,0)</f>
        <v/>
      </c>
      <c r="T2478" t="n">
        <v>0</v>
      </c>
      <c r="V2478" t="n">
        <v>0</v>
      </c>
    </row>
    <row r="2479">
      <c r="A2479">
        <f>Skills!A12</f>
        <v/>
      </c>
      <c r="B2479">
        <f>Skills!B12</f>
        <v/>
      </c>
      <c r="C2479">
        <f>Inputs!$B$3&gt;=103</f>
        <v/>
      </c>
      <c r="D2479">
        <f>IF(Skills!C12=1,60+Inputs!$B$25+Inputs!$B$29,IF(Skills!C12=2,90+Inputs!$B$26+Inputs!$B$29,IF(Skills!C12=3,120+Inputs!$B$27+Inputs!$B$29,MAX(0,(Inputs!$B$3-100)*3)+Inputs!$B$28+Inputs!$B$29)))</f>
        <v/>
      </c>
      <c r="E2479">
        <f>INDEX(FactorTable!$B$2:$Y$301, MATCH(ROUND(MIN(300,MAX(1,D2479)),0), FactorTable!$A$2:$A$301,0), Skills!M12+1)</f>
        <v/>
      </c>
      <c r="F2479">
        <f>(Skills!L12/10)*(E2479/1000)+IF(Inputs!$B$3&gt;=134,50,0)+0.5*(30000/10)*(INDEX(FactorTable!$B$2:$Y$301, MATCH(ROUND(MIN(300,MAX(1,D2479)),0), FactorTable!$A$2:$A$301,0), 13)/1000)*B2511</f>
        <v/>
      </c>
      <c r="G2479">
        <f>Skills!G12*IF(Skills!H12&gt;0,IF(Inputs!$B$39="pvp",MIN(Skills!I12,15),Skills!I12)/Skills!H12,1)</f>
        <v/>
      </c>
      <c r="H2479">
        <f>1-(1-Skills!J12/100)^Skills!K12</f>
        <v/>
      </c>
      <c r="I2479" t="inlineStr">
        <is>
          <t>1</t>
        </is>
      </c>
      <c r="J2479">
        <f>((Inputs!$B$6*(1+Inputs!$B$7/100))+(((Inputs!$B$12*(1+Inputs!$B$13/100))-(Inputs!$B$12*(1+Inputs!$B$13/100)))+0.25*(Inputs!$B$14-Inputs!$B$14))*(1+Inputs!$B$7/100))*(F2479/100)</f>
        <v/>
      </c>
      <c r="K2479">
        <f>J2479*(1+((Inputs!$B$12*(1+Inputs!$B$13/100))*0.01+Inputs!$B$14*0.0025)/100)*(1+Inputs!$B$15/100)*(1+Inputs!$B$16/100)*(5000/(6000+Inputs!$B$43*(1-(100*(1-(1-Inputs!$B$19/100)*(1-CHOOSE(ArtifactsInput!$N$40+1,5,6,7,8,9,10)/100)^(ArtifactsInput!$M$40-ArtifactsInput!$M$40)))/100)))*(1+(Inputs!$B$24+((C2498=TRUE)*(F2498-Calc!F31))+((C2485=TRUE)*(F2485-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12="CRUEL_STAB",Inputs!$B$17+((C2495=TRUE)*(F2495-Calc!F28))+((IF(AND(Inputs!$B$39&lt;&gt;"pvp",Inputs!$B$44=0),1,IF(IF(Inputs!$B$39="pvp",15,Inputs!$B$44)-(B2512)&lt;=0,1,MAX(0,IF(Inputs!$B$39="pvp",15,Inputs!$B$44)-MAX(5,B2512))/(IF(Inputs!$B$39="pvp",15,Inputs!$B$44)-(B2512))))*(IF(AND(ArtifactsInput!$M$42,((Inputs!$B$9+((C2493=TRUE)*(F2493-Calc!F26))+B2501+(ArtifactsInput!$M$24-ArtifactsInput!$M$24)*CHOOSE(ArtifactsInput!$N$24+1,10,12,14,16,18,20)+IF(ArtifactsInput!$M$10,CHOOSE(ArtifactsInput!$N$10+1,15,18,21,24,27,30)*(IF(Inputs!$B$39="pvp",MIN(15,15)/15,IF(AND(Inputs!$B$39&lt;&gt;"pvp",Inputs!$B$44&gt;0),MIN(15,Inputs!$B$44)/(Inputs!$B$44),0))),0)))&gt;=100),MIN(100,((Inputs!$B$9+((C2493=TRUE)*(F2493-Calc!F26))+B2501+(ArtifactsInput!$M$24-ArtifactsInput!$M$24)*CHOOSE(ArtifactsInput!$N$24+1,10,12,14,16,18,20)+IF(ArtifactsInput!$M$10,CHOOSE(ArtifactsInput!$N$10+1,15,18,21,24,27,30)*(IF(Inputs!$B$39="pvp",MIN(15,15)/15,IF(AND(Inputs!$B$39&lt;&gt;"pvp",Inputs!$B$44&gt;0),MIN(15,Inputs!$B$44)/(Inputs!$B$44),0))),0)))-100),0))*CHOOSE(ArtifactsInput!$N$42+1,0.6,0.72,0.84,0.96,1.08,1.2))),Inputs!$B$18+((C2496=TRUE)*(F2496-Calc!F29))+(IF(AND(Inputs!$B$39&lt;&gt;"pvp",Inputs!$B$44=0),1,IF(IF(Inputs!$B$39="pvp",15,Inputs!$B$44)-(B2512)&lt;=0,1,MAX(0,IF(Inputs!$B$39="pvp",15,Inputs!$B$44)-MAX(5,B2512))/(IF(Inputs!$B$39="pvp",15,Inputs!$B$44)-(B2512))))*IF(AND(ArtifactsInput!$M$42,((Inputs!$B$9+((C2493=TRUE)*(F2493-Calc!F26))+B2501+(ArtifactsInput!$M$24-ArtifactsInput!$M$24)*CHOOSE(ArtifactsInput!$N$24+1,10,12,14,16,18,20)+IF(ArtifactsInput!$M$10,CHOOSE(ArtifactsInput!$N$10+1,15,18,21,24,27,30)*(IF(Inputs!$B$39="pvp",MIN(15,15)/15,IF(AND(Inputs!$B$39&lt;&gt;"pvp",Inputs!$B$44&gt;0),MIN(15,Inputs!$B$44)/(Inputs!$B$44),0))),0)))&gt;=100),CHOOSE(ArtifactsInput!$N$42+1,40,48,56,64,72,80),0))))/100)*(((1+(((C2489=TRUE)*F2489*IF(AND(Inputs!$B$39&lt;&gt;"pvp",Inputs!$B$44&gt;0),(((R2489-1)*MIN((Skills!Y22*(1+Inputs!$B$34/100)),(1/Q2489))+MIN((Skills!Y22*(1+Inputs!$B$34/100)),MAX(0,Inputs!$B$44-((R2489-1)*(1/Q2489)))))/Inputs!$B$44),IF(Inputs!$B$39="pvp",MIN((Skills!Y22*(1+Inputs!$B$34/100)),15)/15,MIN(1,(Skills!Y22*(1+Inputs!$B$34/100))/(1/Q2489)))))+((C2470=TRUE)*F2470*3)+((C2472=TRUE)*F2472*(1-EXP(-0.75*B2505*5)))+((C2491=TRUE)*(F2491-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2478=TRUE)*F2478*IF(AND(Inputs!$B$39&lt;&gt;"pvp",Inputs!$B$44&gt;0),(((R2478-1)*MIN((Skills!Y11*(1+Inputs!$B$34/100)),(1/Q2478))+MIN((Skills!Y11*(1+Inputs!$B$34/100)),MAX(0,Inputs!$B$44-((R2478-1)*(1/Q2478)))))/Inputs!$B$44),IF(Inputs!$B$39="pvp",MIN((Skills!Y11*(1+Inputs!$B$34/100)),15)/15,MIN(1,(Skills!Y11*(1+Inputs!$B$34/100))/(1/Q2478)))))/100)*(1+((C2483=TRUE)*F2483*IF(AND(Inputs!$B$39&lt;&gt;"pvp",Inputs!$B$44&gt;0),(((R2483-1)*MIN((Skills!Y16*(1+Inputs!$B$34/100)),(1/Q2483))+MIN((Skills!Y16*(1+Inputs!$B$34/100)),MAX(0,Inputs!$B$44-((R2483-1)*(1/Q2483)))))/Inputs!$B$44),IF(Inputs!$B$39="pvp",MIN((Skills!Y16*(1+Inputs!$B$34/100)),15)/15,MIN(1,(Skills!Y16*(1+Inputs!$B$34/100))/(1/Q2483)))))/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2503*I2479)</f>
        <v/>
      </c>
      <c r="L2479">
        <f>K2479*(MIN(Inputs!$B$22+((C2492=TRUE)*(F2492-Calc!F25)),(Inputs!$B$23+((C2497=TRUE)*(F2497-Calc!F30))+IF(ArtifactsInput!$M$15,CHOOSE(ArtifactsInput!$N$15+1,25,30,35,40,45,50)/100*(Inputs!$B$11-Inputs!$B$11),0)))/100+(Inputs!$B$23+((C2497=TRUE)*(F2497-Calc!F30))+IF(ArtifactsInput!$M$15,CHOOSE(ArtifactsInput!$N$15+1,25,30,35,40,45,50)/100*(Inputs!$B$11-Inputs!$B$11),0))/100)/2</f>
        <v/>
      </c>
      <c r="M2479">
        <f>L2479*(1+(Inputs!$B$10+((C2494=TRUE)*(F2494-Calc!F27))+B2508+(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2479">
        <f>L2479*(1-MIN((Inputs!$B$9+((C2493=TRUE)*(F2493-Calc!F26))+B2501+(ArtifactsInput!$M$24-ArtifactsInput!$M$24)*CHOOSE(ArtifactsInput!$N$24+1,10,12,14,16,18,20)+(IF(AND(Inputs!$B$39&lt;&gt;"pvp",Inputs!$B$44=0),1,IF(IF(Inputs!$B$39="pvp",15,Inputs!$B$44)-(B2512)&lt;=0,1,MAX(0,IF(Inputs!$B$39="pvp",15,Inputs!$B$44)-MAX(5,B2512))/(IF(Inputs!$B$39="pvp",15,Inputs!$B$44)-(B2512))))*IF(AND(ArtifactsInput!$M$42,((Inputs!$B$9+((C2493=TRUE)*(F2493-Calc!F26))+B2501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2479*(MIN((Inputs!$B$9+((C2493=TRUE)*(F2493-Calc!F26))+B2501+(ArtifactsInput!$M$24-ArtifactsInput!$M$24)*CHOOSE(ArtifactsInput!$N$24+1,10,12,14,16,18,20)+(IF(AND(Inputs!$B$39&lt;&gt;"pvp",Inputs!$B$44=0),1,IF(IF(Inputs!$B$39="pvp",15,Inputs!$B$44)-(B2512)&lt;=0,1,MAX(0,IF(Inputs!$B$39="pvp",15,Inputs!$B$44)-MAX(5,B2512))/(IF(Inputs!$B$39="pvp",15,Inputs!$B$44)-(B2512))))*IF(AND(ArtifactsInput!$M$42,((Inputs!$B$9+((C2493=TRUE)*(F2493-Calc!F26))+B2501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479">
        <f>(1-Summary!$B$11)*T2479+Summary!$B$11*V2479</f>
        <v/>
      </c>
      <c r="P2479">
        <f>IF(B2513=0,0,O2479/B2513)</f>
        <v/>
      </c>
      <c r="Q2479">
        <f>IFERROR(1/IF(Inputs!$B$39="pvp",15,MAX(0.1,Skills!D12-IF(TRUE=TRUE,Inputs!$B$32,0))),0)</f>
        <v/>
      </c>
      <c r="R2479">
        <f>IF(AND(Inputs!$B$39&lt;&gt;"pvp",Inputs!$B$44&gt;0),IF(MAX(0,Inputs!$B$44-B2512)&lt;=0,0,(INT(MAX(0,Inputs!$B$44-B2512)/IF(Inputs!$B$39="pvp",15,MAX(0.1,Skills!D12-IF(TRUE=TRUE,Inputs!$B$32,0))))+1)),0)</f>
        <v/>
      </c>
      <c r="S2479">
        <f>IFERROR(O2479/N2479,0)</f>
        <v/>
      </c>
      <c r="T2479">
        <f>IF(C2479,(H2479*N2479*IF(AND(Inputs!$B$39&lt;&gt;"pvp",Inputs!$B$44&gt;0),((Skills!G12*((R2479-1)*IF(Skills!H12&gt;0,Skills!I12/Skills!H12,1)+IF(Skills!H12&gt;0,MIN(Skills!I12,MAX(0,MAX(0,Inputs!$B$44-B2512)-((R2479-1)*IF(Inputs!$B$39="pvp",15,MAX(0.1,Skills!D12-IF(TRUE=TRUE,Inputs!$B$32,0))))))/Skills!H12,1)))/Inputs!$B$44),G2479*Q2479))*IF(Inputs!$B$39="pvp",1,1+(Inputs!$B$20+0+Skills!P12+B2502+(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Hunt"),CHOOSE(ArtifactsInput!$N$35+1,15,18,21,24,27,30)*(1-EXP(-(0.2*B2505)*5)),0)+IF(AND(ArtifactsInput!$M$22,Inputs!$B$4&lt;&gt;"Chapter Hunt"),CHOOSE(ArtifactsInput!$N$22+1,10,12,14,16,18,20)*((0*(((0.15*B2505*5))^0/1)+1*(((0.15*B2505*5))^1/1)+2*(((0.15*B2505*5))^2/2)+3*(((0.15*B2505*5))^3/6)+4*(((0.15*B2505*5))^4/24)+5*(((0.15*B2505*5))^5/120))/((((0.15*B2505*5))^0/1)+(((0.15*B2505*5))^1/1)+(((0.15*B2505*5))^2/2)+(((0.15*B2505*5))^3/6)+(((0.15*B2505*5))^4/24)+(((0.15*B2505*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2479*(1-MIN(100,(Inputs!$B$9+((C2493=TRUE)*(F2493-Calc!F26))+B2501+(ArtifactsInput!$M$24-ArtifactsInput!$M$24)*CHOOSE(ArtifactsInput!$N$24+1,10,12,14,16,18,20)+(IF(AND(Inputs!$B$39&lt;&gt;"pvp",Inputs!$B$44=0),1,IF(IF(Inputs!$B$39="pvp",15,Inputs!$B$44)-(B2512)&lt;=0,1,MAX(0,IF(Inputs!$B$39="pvp",15,Inputs!$B$44)-MAX(5,B2512))/(IF(Inputs!$B$39="pvp",15,Inputs!$B$44)-(B2512))))*IF(AND(ArtifactsInput!$M$42,((Inputs!$B$9+((C2493=TRUE)*(F2493-Calc!F26))+B2501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2479*(MIN(100,(Inputs!$B$9+((C2493=TRUE)*(F2493-Calc!F26))+B2501+(ArtifactsInput!$M$24-ArtifactsInput!$M$24)*CHOOSE(ArtifactsInput!$N$24+1,10,12,14,16,18,20)+(IF(AND(Inputs!$B$39&lt;&gt;"pvp",Inputs!$B$44=0),1,IF(IF(Inputs!$B$39="pvp",15,Inputs!$B$44)-(B2512)&lt;=0,1,MAX(0,IF(Inputs!$B$39="pvp",15,Inputs!$B$44)-MAX(5,B2512))/(IF(Inputs!$B$39="pvp",15,Inputs!$B$44)-(B2512))))*IF(AND(ArtifactsInput!$M$42,((Inputs!$B$9+((C2493=TRUE)*(F2493-Calc!F26))+B2501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2479*(1-MIN(100,(Inputs!$B$9+((C2493=TRUE)*(F2493-Calc!F26))+B2501+(ArtifactsInput!$M$24-ArtifactsInput!$M$24)*CHOOSE(ArtifactsInput!$N$24+1,10,12,14,16,18,20)+(IF(AND(Inputs!$B$39&lt;&gt;"pvp",Inputs!$B$44=0),1,IF(IF(Inputs!$B$39="pvp",15,Inputs!$B$44)-(B2512)&lt;=0,1,MAX(0,IF(Inputs!$B$39="pvp",15,Inputs!$B$44)-MAX(5,B2512))/(IF(Inputs!$B$39="pvp",15,Inputs!$B$44)-(B2512))))*IF(AND(ArtifactsInput!$M$42,((Inputs!$B$9+((C2493=TRUE)*(F2493-Calc!F26))+B2501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2479*(MIN(100,(Inputs!$B$9+((C2493=TRUE)*(F2493-Calc!F26))+B2501+(ArtifactsInput!$M$24-ArtifactsInput!$M$24)*CHOOSE(ArtifactsInput!$N$24+1,10,12,14,16,18,20)+(IF(AND(Inputs!$B$39&lt;&gt;"pvp",Inputs!$B$44=0),1,IF(IF(Inputs!$B$39="pvp",15,Inputs!$B$44)-(B2512)&lt;=0,1,MAX(0,IF(Inputs!$B$39="pvp",15,Inputs!$B$44)-MAX(5,B2512))/(IF(Inputs!$B$39="pvp",15,Inputs!$B$44)-(B2512))))*IF(AND(ArtifactsInput!$M$42,((Inputs!$B$9+((C2493=TRUE)*(F2493-Calc!F26))+B2501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479">
        <f>IF(C2479,(H2479*N2479*IF(AND(Inputs!$B$39&lt;&gt;"pvp",Inputs!$B$44&gt;0),((Skills!G12*((R2479-1)*IF(Skills!H12&gt;0,Skills!I12/Skills!H12,1)+IF(Skills!H12&gt;0,MIN(Skills!I12,MAX(0,MAX(0,Inputs!$B$44-B2512)-((R2479-1)*IF(Inputs!$B$39="pvp",15,MAX(0.1,Skills!D12-IF(TRUE=TRUE,Inputs!$B$32,0))))))/Skills!H12,1)))/Inputs!$B$44),G2479*Q2479))*IF(Inputs!$B$39="pvp",1,(1+(Inputs!$B$21+Skills!Q12+B2502+(IF(ArtifactsInput!$M$33,CHOOSE(ArtifactsInput!$N$33+1,30,36,42,48,54,60),0))+(IF(AND(ArtifactsInput!$M$35,Inputs!$B$4&lt;&gt;"Chapter Hunt"),CHOOSE(ArtifactsInput!$N$35+1,15,18,21,24,27,30)*(1-EXP(-(0.2*B2505)*5)),0)+IF(AND(ArtifactsInput!$M$22,Inputs!$B$4&lt;&gt;"Chapter Hunt"),CHOOSE(ArtifactsInput!$N$22+1,10,12,14,16,18,20)*((0*(((0.15*B2505*5))^0/1)+1*(((0.15*B2505*5))^1/1)+2*(((0.15*B2505*5))^2/2)+3*(((0.15*B2505*5))^3/6)+4*(((0.15*B2505*5))^4/24)+5*(((0.15*B2505*5))^5/120))/((((0.15*B2505*5))^0/1)+(((0.15*B2505*5))^1/1)+(((0.15*B2505*5))^2/2)+(((0.15*B2505*5))^3/6)+(((0.15*B2505*5))^4/24)+(((0.15*B2505*5))^5/120))),0)))/100)*(MIN(Skills!W12,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480">
      <c r="A2480">
        <f>Skills!A13</f>
        <v/>
      </c>
      <c r="B2480">
        <f>Skills!B13</f>
        <v/>
      </c>
      <c r="C2480">
        <f>Inputs!$B$3&gt;=105</f>
        <v/>
      </c>
      <c r="D2480">
        <f>IF(Skills!C13=1,60+Inputs!$B$25+Inputs!$B$29,IF(Skills!C13=2,90+Inputs!$B$26+Inputs!$B$29,IF(Skills!C13=3,120+Inputs!$B$27+Inputs!$B$29,MAX(0,(Inputs!$B$3-100)*3)+Inputs!$B$28+Inputs!$B$29)))</f>
        <v/>
      </c>
      <c r="E2480">
        <f>INDEX(FactorTable!$B$2:$Y$301, MATCH(ROUND(MIN(300,MAX(1,D2480)),0), FactorTable!$A$2:$A$301,0), Skills!M13+1)</f>
        <v/>
      </c>
      <c r="F2480">
        <f>IF(Skills!N13=TRUE,(Skills!L13/10)*(E2480/1000),Skills!L13/10)+Skills!O13</f>
        <v/>
      </c>
      <c r="G2480">
        <f>Skills!G13*IF(Skills!H13&gt;0,IF(Inputs!$B$39="pvp",MIN(Skills!I13,15),Skills!I13)/Skills!H13,1)</f>
        <v/>
      </c>
      <c r="H2480">
        <f>1-(1-Skills!J13/100)^Skills!K13</f>
        <v/>
      </c>
      <c r="I2480" t="inlineStr">
        <is>
          <t>1</t>
        </is>
      </c>
      <c r="J2480">
        <f>((Inputs!$B$6*(1+Inputs!$B$7/100))+(((Inputs!$B$12*(1+Inputs!$B$13/100))-(Inputs!$B$12*(1+Inputs!$B$13/100)))+0.25*(Inputs!$B$14-Inputs!$B$14))*(1+Inputs!$B$7/100))*(F2480/100)</f>
        <v/>
      </c>
      <c r="K2480">
        <f>J2480*(1+((Inputs!$B$12*(1+Inputs!$B$13/100))*0.01+Inputs!$B$14*0.0025)/100)*(1+Inputs!$B$15/100)*(1+Inputs!$B$16/100)*(5000/(6000+Inputs!$B$43*(1-(100*(1-(1-Inputs!$B$19/100)*(1-CHOOSE(ArtifactsInput!$N$40+1,5,6,7,8,9,10)/100)^(ArtifactsInput!$M$40-ArtifactsInput!$M$40)))/100)))*(1+(Inputs!$B$24+((C2498=TRUE)*(F2498-Calc!F31))+((C2485=TRUE)*(F2485-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13="CRUEL_STAB",Inputs!$B$17+((C2495=TRUE)*(F2495-Calc!F28))+((IF(AND(Inputs!$B$39&lt;&gt;"pvp",Inputs!$B$44=0),1,IF(IF(Inputs!$B$39="pvp",15,Inputs!$B$44)-(B2512)&lt;=0,1,MAX(0,IF(Inputs!$B$39="pvp",15,Inputs!$B$44)-MAX(5,B2512))/(IF(Inputs!$B$39="pvp",15,Inputs!$B$44)-(B2512))))*(IF(AND(ArtifactsInput!$M$42,((Inputs!$B$9+((C2493=TRUE)*(F2493-Calc!F26))+B2501+(ArtifactsInput!$M$24-ArtifactsInput!$M$24)*CHOOSE(ArtifactsInput!$N$24+1,10,12,14,16,18,20)+IF(ArtifactsInput!$M$10,CHOOSE(ArtifactsInput!$N$10+1,15,18,21,24,27,30)*(IF(Inputs!$B$39="pvp",MIN(15,15)/15,IF(AND(Inputs!$B$39&lt;&gt;"pvp",Inputs!$B$44&gt;0),MIN(15,Inputs!$B$44)/(Inputs!$B$44),0))),0)))&gt;=100),MIN(100,((Inputs!$B$9+((C2493=TRUE)*(F2493-Calc!F26))+B2501+(ArtifactsInput!$M$24-ArtifactsInput!$M$24)*CHOOSE(ArtifactsInput!$N$24+1,10,12,14,16,18,20)+IF(ArtifactsInput!$M$10,CHOOSE(ArtifactsInput!$N$10+1,15,18,21,24,27,30)*(IF(Inputs!$B$39="pvp",MIN(15,15)/15,IF(AND(Inputs!$B$39&lt;&gt;"pvp",Inputs!$B$44&gt;0),MIN(15,Inputs!$B$44)/(Inputs!$B$44),0))),0)))-100),0))*CHOOSE(ArtifactsInput!$N$42+1,0.6,0.72,0.84,0.96,1.08,1.2))),Inputs!$B$18+((C2496=TRUE)*(F2496-Calc!F29))+(IF(AND(Inputs!$B$39&lt;&gt;"pvp",Inputs!$B$44=0),1,IF(IF(Inputs!$B$39="pvp",15,Inputs!$B$44)-(B2512)&lt;=0,1,MAX(0,IF(Inputs!$B$39="pvp",15,Inputs!$B$44)-MAX(5,B2512))/(IF(Inputs!$B$39="pvp",15,Inputs!$B$44)-(B2512))))*IF(AND(ArtifactsInput!$M$42,((Inputs!$B$9+((C2493=TRUE)*(F2493-Calc!F26))+B2501+(ArtifactsInput!$M$24-ArtifactsInput!$M$24)*CHOOSE(ArtifactsInput!$N$24+1,10,12,14,16,18,20)+IF(ArtifactsInput!$M$10,CHOOSE(ArtifactsInput!$N$10+1,15,18,21,24,27,30)*(IF(Inputs!$B$39="pvp",MIN(15,15)/15,IF(AND(Inputs!$B$39&lt;&gt;"pvp",Inputs!$B$44&gt;0),MIN(15,Inputs!$B$44)/(Inputs!$B$44),0))),0)))&gt;=100),CHOOSE(ArtifactsInput!$N$42+1,40,48,56,64,72,80),0))))/100)*(((1+(((C2489=TRUE)*F2489*IF(AND(Inputs!$B$39&lt;&gt;"pvp",Inputs!$B$44&gt;0),(((R2489-1)*MIN((Skills!Y22*(1+Inputs!$B$34/100)),(1/Q2489))+MIN((Skills!Y22*(1+Inputs!$B$34/100)),MAX(0,Inputs!$B$44-((R2489-1)*(1/Q2489)))))/Inputs!$B$44),IF(Inputs!$B$39="pvp",MIN((Skills!Y22*(1+Inputs!$B$34/100)),15)/15,MIN(1,(Skills!Y22*(1+Inputs!$B$34/100))/(1/Q2489)))))+((C2470=TRUE)*F2470*3)+((C2472=TRUE)*F2472*(1-EXP(-0.75*B2505*5)))+((C2491=TRUE)*(F2491-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2478=TRUE)*F2478*IF(AND(Inputs!$B$39&lt;&gt;"pvp",Inputs!$B$44&gt;0),(((R2478-1)*MIN((Skills!Y11*(1+Inputs!$B$34/100)),(1/Q2478))+MIN((Skills!Y11*(1+Inputs!$B$34/100)),MAX(0,Inputs!$B$44-((R2478-1)*(1/Q2478)))))/Inputs!$B$44),IF(Inputs!$B$39="pvp",MIN((Skills!Y11*(1+Inputs!$B$34/100)),15)/15,MIN(1,(Skills!Y11*(1+Inputs!$B$34/100))/(1/Q2478)))))/100)*(1+((C2483=TRUE)*F2483*IF(AND(Inputs!$B$39&lt;&gt;"pvp",Inputs!$B$44&gt;0),(((R2483-1)*MIN((Skills!Y16*(1+Inputs!$B$34/100)),(1/Q2483))+MIN((Skills!Y16*(1+Inputs!$B$34/100)),MAX(0,Inputs!$B$44-((R2483-1)*(1/Q2483)))))/Inputs!$B$44),IF(Inputs!$B$39="pvp",MIN((Skills!Y16*(1+Inputs!$B$34/100)),15)/15,MIN(1,(Skills!Y16*(1+Inputs!$B$34/100))/(1/Q2483)))))/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2503*I2480)</f>
        <v/>
      </c>
      <c r="L2480">
        <f>K2480*(MIN(Inputs!$B$22+((C2492=TRUE)*(F2492-Calc!F25)),(Inputs!$B$23+((C2497=TRUE)*(F2497-Calc!F30))+IF(ArtifactsInput!$M$15,CHOOSE(ArtifactsInput!$N$15+1,25,30,35,40,45,50)/100*(Inputs!$B$11-Inputs!$B$11),0)))/100+(Inputs!$B$23+((C2497=TRUE)*(F2497-Calc!F30))+IF(ArtifactsInput!$M$15,CHOOSE(ArtifactsInput!$N$15+1,25,30,35,40,45,50)/100*(Inputs!$B$11-Inputs!$B$11),0))/100)/2</f>
        <v/>
      </c>
      <c r="M2480">
        <f>L2480*(1+(Inputs!$B$10+((C2494=TRUE)*(F2494-Calc!F27))+B2508+(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2480">
        <f>L2480*(1-MIN((Inputs!$B$9+((C2493=TRUE)*(F2493-Calc!F26))+B2501+(ArtifactsInput!$M$24-ArtifactsInput!$M$24)*CHOOSE(ArtifactsInput!$N$24+1,10,12,14,16,18,20)+(IF(AND(Inputs!$B$39&lt;&gt;"pvp",Inputs!$B$44=0),1,IF(IF(Inputs!$B$39="pvp",15,Inputs!$B$44)-(B2512)&lt;=0,1,MAX(0,IF(Inputs!$B$39="pvp",15,Inputs!$B$44)-MAX(5,B2512))/(IF(Inputs!$B$39="pvp",15,Inputs!$B$44)-(B2512))))*IF(AND(ArtifactsInput!$M$42,((Inputs!$B$9+((C2493=TRUE)*(F2493-Calc!F26))+B2501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2480*(MIN((Inputs!$B$9+((C2493=TRUE)*(F2493-Calc!F26))+B2501+(ArtifactsInput!$M$24-ArtifactsInput!$M$24)*CHOOSE(ArtifactsInput!$N$24+1,10,12,14,16,18,20)+(IF(AND(Inputs!$B$39&lt;&gt;"pvp",Inputs!$B$44=0),1,IF(IF(Inputs!$B$39="pvp",15,Inputs!$B$44)-(B2512)&lt;=0,1,MAX(0,IF(Inputs!$B$39="pvp",15,Inputs!$B$44)-MAX(5,B2512))/(IF(Inputs!$B$39="pvp",15,Inputs!$B$44)-(B2512))))*IF(AND(ArtifactsInput!$M$42,((Inputs!$B$9+((C2493=TRUE)*(F2493-Calc!F26))+B2501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480">
        <f>(1-Summary!$B$11)*T2480+Summary!$B$11*V2480</f>
        <v/>
      </c>
      <c r="P2480">
        <f>IF(B2513=0,0,O2480/B2513)</f>
        <v/>
      </c>
      <c r="Q2480">
        <f>IFERROR(1/IF(Inputs!$B$39="pvp",15,MAX(0.1,Skills!D13-IF(TRUE=TRUE,Inputs!$B$32,0))),0)</f>
        <v/>
      </c>
      <c r="R2480">
        <f>IF(AND(Inputs!$B$39&lt;&gt;"pvp",Inputs!$B$44&gt;0),IF(MAX(0,Inputs!$B$44-B2512)&lt;=0,0,(INT(MAX(0,Inputs!$B$44-B2512)/IF(Inputs!$B$39="pvp",15,MAX(0.1,Skills!D13-IF(TRUE=TRUE,Inputs!$B$32,0))))+1)),0)</f>
        <v/>
      </c>
      <c r="S2480">
        <f>IFERROR(O2480/N2480,0)</f>
        <v/>
      </c>
      <c r="T2480">
        <f>IF(C2480,(H2480*N2480*IF(AND(Inputs!$B$39&lt;&gt;"pvp",Inputs!$B$44&gt;0),((Skills!G13*((R2480-1)*IF(Skills!H13&gt;0,Skills!I13/Skills!H13,1)+IF(Skills!H13&gt;0,MIN(Skills!I13,MAX(0,MAX(0,Inputs!$B$44-B2512)-((R2480-1)*IF(Inputs!$B$39="pvp",15,MAX(0.1,Skills!D13-IF(TRUE=TRUE,Inputs!$B$32,0))))))/Skills!H13,1)))/Inputs!$B$44),G2480*Q2480))*IF(Inputs!$B$39="pvp",1,1+(Inputs!$B$20+0+Skills!P13+B2502+(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Hunt"),CHOOSE(ArtifactsInput!$N$35+1,15,18,21,24,27,30)*(1-EXP(-(0.2*B2505)*5)),0)+IF(AND(ArtifactsInput!$M$22,Inputs!$B$4&lt;&gt;"Chapter Hunt"),CHOOSE(ArtifactsInput!$N$22+1,10,12,14,16,18,20)*((0*(((0.15*B2505*5))^0/1)+1*(((0.15*B2505*5))^1/1)+2*(((0.15*B2505*5))^2/2)+3*(((0.15*B2505*5))^3/6)+4*(((0.15*B2505*5))^4/24)+5*(((0.15*B2505*5))^5/120))/((((0.15*B2505*5))^0/1)+(((0.15*B2505*5))^1/1)+(((0.15*B2505*5))^2/2)+(((0.15*B2505*5))^3/6)+(((0.15*B2505*5))^4/24)+(((0.15*B2505*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2480*(1-MIN(100,(Inputs!$B$9+((C2493=TRUE)*(F2493-Calc!F26))+B2501+(ArtifactsInput!$M$24-ArtifactsInput!$M$24)*CHOOSE(ArtifactsInput!$N$24+1,10,12,14,16,18,20)+(IF(AND(Inputs!$B$39&lt;&gt;"pvp",Inputs!$B$44=0),1,IF(IF(Inputs!$B$39="pvp",15,Inputs!$B$44)-(B2512)&lt;=0,1,MAX(0,IF(Inputs!$B$39="pvp",15,Inputs!$B$44)-MAX(5,B2512))/(IF(Inputs!$B$39="pvp",15,Inputs!$B$44)-(B2512))))*IF(AND(ArtifactsInput!$M$42,((Inputs!$B$9+((C2493=TRUE)*(F2493-Calc!F26))+B2501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2480*(MIN(100,(Inputs!$B$9+((C2493=TRUE)*(F2493-Calc!F26))+B2501+(ArtifactsInput!$M$24-ArtifactsInput!$M$24)*CHOOSE(ArtifactsInput!$N$24+1,10,12,14,16,18,20)+(IF(AND(Inputs!$B$39&lt;&gt;"pvp",Inputs!$B$44=0),1,IF(IF(Inputs!$B$39="pvp",15,Inputs!$B$44)-(B2512)&lt;=0,1,MAX(0,IF(Inputs!$B$39="pvp",15,Inputs!$B$44)-MAX(5,B2512))/(IF(Inputs!$B$39="pvp",15,Inputs!$B$44)-(B2512))))*IF(AND(ArtifactsInput!$M$42,((Inputs!$B$9+((C2493=TRUE)*(F2493-Calc!F26))+B2501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2480*(1-MIN(100,(Inputs!$B$9+((C2493=TRUE)*(F2493-Calc!F26))+B2501+(ArtifactsInput!$M$24-ArtifactsInput!$M$24)*CHOOSE(ArtifactsInput!$N$24+1,10,12,14,16,18,20)+(IF(AND(Inputs!$B$39&lt;&gt;"pvp",Inputs!$B$44=0),1,IF(IF(Inputs!$B$39="pvp",15,Inputs!$B$44)-(B2512)&lt;=0,1,MAX(0,IF(Inputs!$B$39="pvp",15,Inputs!$B$44)-MAX(5,B2512))/(IF(Inputs!$B$39="pvp",15,Inputs!$B$44)-(B2512))))*IF(AND(ArtifactsInput!$M$42,((Inputs!$B$9+((C2493=TRUE)*(F2493-Calc!F26))+B2501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2480*(MIN(100,(Inputs!$B$9+((C2493=TRUE)*(F2493-Calc!F26))+B2501+(ArtifactsInput!$M$24-ArtifactsInput!$M$24)*CHOOSE(ArtifactsInput!$N$24+1,10,12,14,16,18,20)+(IF(AND(Inputs!$B$39&lt;&gt;"pvp",Inputs!$B$44=0),1,IF(IF(Inputs!$B$39="pvp",15,Inputs!$B$44)-(B2512)&lt;=0,1,MAX(0,IF(Inputs!$B$39="pvp",15,Inputs!$B$44)-MAX(5,B2512))/(IF(Inputs!$B$39="pvp",15,Inputs!$B$44)-(B2512))))*IF(AND(ArtifactsInput!$M$42,((Inputs!$B$9+((C2493=TRUE)*(F2493-Calc!F26))+B2501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480">
        <f>IF(C2480,(H2480*N2480*IF(AND(Inputs!$B$39&lt;&gt;"pvp",Inputs!$B$44&gt;0),((Skills!G13*((R2480-1)*IF(Skills!H13&gt;0,Skills!I13/Skills!H13,1)+IF(Skills!H13&gt;0,MIN(Skills!I13,MAX(0,MAX(0,Inputs!$B$44-B2512)-((R2480-1)*IF(Inputs!$B$39="pvp",15,MAX(0.1,Skills!D13-IF(TRUE=TRUE,Inputs!$B$32,0))))))/Skills!H13,1)))/Inputs!$B$44),G2480*Q2480))*IF(Inputs!$B$39="pvp",1,(1+(Inputs!$B$21+Skills!Q13+B2502+(IF(ArtifactsInput!$M$33,CHOOSE(ArtifactsInput!$N$33+1,30,36,42,48,54,60),0))+(IF(AND(ArtifactsInput!$M$35,Inputs!$B$4&lt;&gt;"Chapter Hunt"),CHOOSE(ArtifactsInput!$N$35+1,15,18,21,24,27,30)*(1-EXP(-(0.2*B2505)*5)),0)+IF(AND(ArtifactsInput!$M$22,Inputs!$B$4&lt;&gt;"Chapter Hunt"),CHOOSE(ArtifactsInput!$N$22+1,10,12,14,16,18,20)*((0*(((0.15*B2505*5))^0/1)+1*(((0.15*B2505*5))^1/1)+2*(((0.15*B2505*5))^2/2)+3*(((0.15*B2505*5))^3/6)+4*(((0.15*B2505*5))^4/24)+5*(((0.15*B2505*5))^5/120))/((((0.15*B2505*5))^0/1)+(((0.15*B2505*5))^1/1)+(((0.15*B2505*5))^2/2)+(((0.15*B2505*5))^3/6)+(((0.15*B2505*5))^4/24)+(((0.15*B2505*5))^5/120))),0)))/100)*(MIN(Skills!W13,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481">
      <c r="A2481">
        <f>Skills!A14</f>
        <v/>
      </c>
      <c r="B2481">
        <f>Skills!B14</f>
        <v/>
      </c>
      <c r="C2481">
        <f>Inputs!$B$3&gt;=105</f>
        <v/>
      </c>
      <c r="D2481">
        <f>IF(Skills!C14=1,60+Inputs!$B$25+Inputs!$B$29,IF(Skills!C14=2,90+Inputs!$B$26+Inputs!$B$29,IF(Skills!C14=3,120+Inputs!$B$27+Inputs!$B$29,MAX(0,(Inputs!$B$3-100)*3)+Inputs!$B$28+Inputs!$B$29)))</f>
        <v/>
      </c>
      <c r="E2481">
        <f>INDEX(FactorTable!$B$2:$Y$301, MATCH(ROUND(MIN(300,MAX(1,D2481)),0), FactorTable!$A$2:$A$301,0), Skills!M14+1)</f>
        <v/>
      </c>
      <c r="F2481">
        <f>IF(Skills!N14=TRUE,(Skills!L14/10)*(E2481/1000),Skills!L14/10)+Skills!O14</f>
        <v/>
      </c>
      <c r="G2481">
        <f>Skills!G14*IF(Skills!H14&gt;0,IF(Inputs!$B$39="pvp",MIN(Skills!I14,15),Skills!I14)/Skills!H14,1)</f>
        <v/>
      </c>
      <c r="H2481">
        <f>1-(1-Skills!J14/100)^Skills!K14</f>
        <v/>
      </c>
      <c r="I2481" t="inlineStr">
        <is>
          <t>1</t>
        </is>
      </c>
      <c r="J2481">
        <f>((Inputs!$B$6*(1+Inputs!$B$7/100))+(((Inputs!$B$12*(1+Inputs!$B$13/100))-(Inputs!$B$12*(1+Inputs!$B$13/100)))+0.25*(Inputs!$B$14-Inputs!$B$14))*(1+Inputs!$B$7/100))*(F2481/100)</f>
        <v/>
      </c>
      <c r="K2481">
        <f>J2481*(1+((Inputs!$B$12*(1+Inputs!$B$13/100))*0.01+Inputs!$B$14*0.0025)/100)*(1+Inputs!$B$15/100)*(1+Inputs!$B$16/100)*(5000/(6000+Inputs!$B$43*(1-(100*(1-(1-Inputs!$B$19/100)*(1-CHOOSE(ArtifactsInput!$N$40+1,5,6,7,8,9,10)/100)^(ArtifactsInput!$M$40-ArtifactsInput!$M$40)))/100)))*(1+(Inputs!$B$24+((C2498=TRUE)*(F2498-Calc!F31))+((C2485=TRUE)*(F2485-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14="CRUEL_STAB",Inputs!$B$17+((C2495=TRUE)*(F2495-Calc!F28))+((IF(AND(Inputs!$B$39&lt;&gt;"pvp",Inputs!$B$44=0),1,IF(IF(Inputs!$B$39="pvp",15,Inputs!$B$44)-(B2512)&lt;=0,1,MAX(0,IF(Inputs!$B$39="pvp",15,Inputs!$B$44)-MAX(5,B2512))/(IF(Inputs!$B$39="pvp",15,Inputs!$B$44)-(B2512))))*(IF(AND(ArtifactsInput!$M$42,((Inputs!$B$9+((C2493=TRUE)*(F2493-Calc!F26))+B2501+(ArtifactsInput!$M$24-ArtifactsInput!$M$24)*CHOOSE(ArtifactsInput!$N$24+1,10,12,14,16,18,20)+IF(ArtifactsInput!$M$10,CHOOSE(ArtifactsInput!$N$10+1,15,18,21,24,27,30)*(IF(Inputs!$B$39="pvp",MIN(15,15)/15,IF(AND(Inputs!$B$39&lt;&gt;"pvp",Inputs!$B$44&gt;0),MIN(15,Inputs!$B$44)/(Inputs!$B$44),0))),0)))&gt;=100),MIN(100,((Inputs!$B$9+((C2493=TRUE)*(F2493-Calc!F26))+B2501+(ArtifactsInput!$M$24-ArtifactsInput!$M$24)*CHOOSE(ArtifactsInput!$N$24+1,10,12,14,16,18,20)+IF(ArtifactsInput!$M$10,CHOOSE(ArtifactsInput!$N$10+1,15,18,21,24,27,30)*(IF(Inputs!$B$39="pvp",MIN(15,15)/15,IF(AND(Inputs!$B$39&lt;&gt;"pvp",Inputs!$B$44&gt;0),MIN(15,Inputs!$B$44)/(Inputs!$B$44),0))),0)))-100),0))*CHOOSE(ArtifactsInput!$N$42+1,0.6,0.72,0.84,0.96,1.08,1.2))),Inputs!$B$18+((C2496=TRUE)*(F2496-Calc!F29))+(IF(AND(Inputs!$B$39&lt;&gt;"pvp",Inputs!$B$44=0),1,IF(IF(Inputs!$B$39="pvp",15,Inputs!$B$44)-(B2512)&lt;=0,1,MAX(0,IF(Inputs!$B$39="pvp",15,Inputs!$B$44)-MAX(5,B2512))/(IF(Inputs!$B$39="pvp",15,Inputs!$B$44)-(B2512))))*IF(AND(ArtifactsInput!$M$42,((Inputs!$B$9+((C2493=TRUE)*(F2493-Calc!F26))+B2501+(ArtifactsInput!$M$24-ArtifactsInput!$M$24)*CHOOSE(ArtifactsInput!$N$24+1,10,12,14,16,18,20)+IF(ArtifactsInput!$M$10,CHOOSE(ArtifactsInput!$N$10+1,15,18,21,24,27,30)*(IF(Inputs!$B$39="pvp",MIN(15,15)/15,IF(AND(Inputs!$B$39&lt;&gt;"pvp",Inputs!$B$44&gt;0),MIN(15,Inputs!$B$44)/(Inputs!$B$44),0))),0)))&gt;=100),CHOOSE(ArtifactsInput!$N$42+1,40,48,56,64,72,80),0))))/100)*(((1+(((C2489=TRUE)*F2489*IF(AND(Inputs!$B$39&lt;&gt;"pvp",Inputs!$B$44&gt;0),(((R2489-1)*MIN((Skills!Y22*(1+Inputs!$B$34/100)),(1/Q2489))+MIN((Skills!Y22*(1+Inputs!$B$34/100)),MAX(0,Inputs!$B$44-((R2489-1)*(1/Q2489)))))/Inputs!$B$44),IF(Inputs!$B$39="pvp",MIN((Skills!Y22*(1+Inputs!$B$34/100)),15)/15,MIN(1,(Skills!Y22*(1+Inputs!$B$34/100))/(1/Q2489)))))+((C2470=TRUE)*F2470*3)+((C2472=TRUE)*F2472*(1-EXP(-0.75*B2505*5)))+((C2491=TRUE)*(F2491-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2478=TRUE)*F2478*IF(AND(Inputs!$B$39&lt;&gt;"pvp",Inputs!$B$44&gt;0),(((R2478-1)*MIN((Skills!Y11*(1+Inputs!$B$34/100)),(1/Q2478))+MIN((Skills!Y11*(1+Inputs!$B$34/100)),MAX(0,Inputs!$B$44-((R2478-1)*(1/Q2478)))))/Inputs!$B$44),IF(Inputs!$B$39="pvp",MIN((Skills!Y11*(1+Inputs!$B$34/100)),15)/15,MIN(1,(Skills!Y11*(1+Inputs!$B$34/100))/(1/Q2478)))))/100)*(1+((C2483=TRUE)*F2483*IF(AND(Inputs!$B$39&lt;&gt;"pvp",Inputs!$B$44&gt;0),(((R2483-1)*MIN((Skills!Y16*(1+Inputs!$B$34/100)),(1/Q2483))+MIN((Skills!Y16*(1+Inputs!$B$34/100)),MAX(0,Inputs!$B$44-((R2483-1)*(1/Q2483)))))/Inputs!$B$44),IF(Inputs!$B$39="pvp",MIN((Skills!Y16*(1+Inputs!$B$34/100)),15)/15,MIN(1,(Skills!Y16*(1+Inputs!$B$34/100))/(1/Q2483)))))/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2503*I2481)</f>
        <v/>
      </c>
      <c r="L2481">
        <f>K2481*(MIN(Inputs!$B$22+((C2492=TRUE)*(F2492-Calc!F25)),(Inputs!$B$23+((C2497=TRUE)*(F2497-Calc!F30))+IF(ArtifactsInput!$M$15,CHOOSE(ArtifactsInput!$N$15+1,25,30,35,40,45,50)/100*(Inputs!$B$11-Inputs!$B$11),0)))/100+(Inputs!$B$23+((C2497=TRUE)*(F2497-Calc!F30))+IF(ArtifactsInput!$M$15,CHOOSE(ArtifactsInput!$N$15+1,25,30,35,40,45,50)/100*(Inputs!$B$11-Inputs!$B$11),0))/100)/2</f>
        <v/>
      </c>
      <c r="M2481">
        <f>L2481*(1+(Inputs!$B$10+((C2494=TRUE)*(F2494-Calc!F27))+B2508+(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2481">
        <f>L2481*(1-MIN((Inputs!$B$9+((C2493=TRUE)*(F2493-Calc!F26))+B2501+(ArtifactsInput!$M$24-ArtifactsInput!$M$24)*CHOOSE(ArtifactsInput!$N$24+1,10,12,14,16,18,20)+(IF(AND(Inputs!$B$39&lt;&gt;"pvp",Inputs!$B$44=0),1,IF(IF(Inputs!$B$39="pvp",15,Inputs!$B$44)-(B2512)&lt;=0,1,MAX(0,IF(Inputs!$B$39="pvp",15,Inputs!$B$44)-MAX(5,B2512))/(IF(Inputs!$B$39="pvp",15,Inputs!$B$44)-(B2512))))*IF(AND(ArtifactsInput!$M$42,((Inputs!$B$9+((C2493=TRUE)*(F2493-Calc!F26))+B2501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2481*(MIN((Inputs!$B$9+((C2493=TRUE)*(F2493-Calc!F26))+B2501+(ArtifactsInput!$M$24-ArtifactsInput!$M$24)*CHOOSE(ArtifactsInput!$N$24+1,10,12,14,16,18,20)+(IF(AND(Inputs!$B$39&lt;&gt;"pvp",Inputs!$B$44=0),1,IF(IF(Inputs!$B$39="pvp",15,Inputs!$B$44)-(B2512)&lt;=0,1,MAX(0,IF(Inputs!$B$39="pvp",15,Inputs!$B$44)-MAX(5,B2512))/(IF(Inputs!$B$39="pvp",15,Inputs!$B$44)-(B2512))))*IF(AND(ArtifactsInput!$M$42,((Inputs!$B$9+((C2493=TRUE)*(F2493-Calc!F26))+B2501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481">
        <f>(1-Summary!$B$11)*T2481+Summary!$B$11*V2481</f>
        <v/>
      </c>
      <c r="P2481">
        <f>IF(B2513=0,0,O2481/B2513)</f>
        <v/>
      </c>
      <c r="Q2481">
        <f>IFERROR(1/IF(Inputs!$B$39="pvp",15,MAX(0.1,Skills!D14-IF(TRUE=TRUE,Inputs!$B$32,0))),0)</f>
        <v/>
      </c>
      <c r="R2481">
        <f>IF(AND(Inputs!$B$39&lt;&gt;"pvp",Inputs!$B$44&gt;0),IF(MAX(0,Inputs!$B$44-B2512)&lt;=0,0,(INT(MAX(0,Inputs!$B$44-B2512)/IF(Inputs!$B$39="pvp",15,MAX(0.1,Skills!D14-IF(TRUE=TRUE,Inputs!$B$32,0))))+1)),0)</f>
        <v/>
      </c>
      <c r="S2481">
        <f>IFERROR(O2481/N2481,0)</f>
        <v/>
      </c>
      <c r="T2481">
        <f>IF(C2481,(H2481*N2481*IF(AND(Inputs!$B$39&lt;&gt;"pvp",Inputs!$B$44&gt;0),((Skills!G14*((R2481-1)*IF(Skills!H14&gt;0,Skills!I14/Skills!H14,1)+IF(Skills!H14&gt;0,MIN(Skills!I14,MAX(0,MAX(0,Inputs!$B$44-B2512)-((R2481-1)*IF(Inputs!$B$39="pvp",15,MAX(0.1,Skills!D14-IF(TRUE=TRUE,Inputs!$B$32,0))))))/Skills!H14,1)))/Inputs!$B$44),G2481*Q2481))*IF(Inputs!$B$39="pvp",1,1+(Inputs!$B$20+0+Skills!P14+B2502+(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Hunt"),CHOOSE(ArtifactsInput!$N$35+1,15,18,21,24,27,30)*(1-EXP(-(0.2*B2505)*5)),0)+IF(AND(ArtifactsInput!$M$22,Inputs!$B$4&lt;&gt;"Chapter Hunt"),CHOOSE(ArtifactsInput!$N$22+1,10,12,14,16,18,20)*((0*(((0.15*B2505*5))^0/1)+1*(((0.15*B2505*5))^1/1)+2*(((0.15*B2505*5))^2/2)+3*(((0.15*B2505*5))^3/6)+4*(((0.15*B2505*5))^4/24)+5*(((0.15*B2505*5))^5/120))/((((0.15*B2505*5))^0/1)+(((0.15*B2505*5))^1/1)+(((0.15*B2505*5))^2/2)+(((0.15*B2505*5))^3/6)+(((0.15*B2505*5))^4/24)+(((0.15*B2505*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2481*(1-MIN(100,(Inputs!$B$9+((C2493=TRUE)*(F2493-Calc!F26))+B2501+(ArtifactsInput!$M$24-ArtifactsInput!$M$24)*CHOOSE(ArtifactsInput!$N$24+1,10,12,14,16,18,20)+(IF(AND(Inputs!$B$39&lt;&gt;"pvp",Inputs!$B$44=0),1,IF(IF(Inputs!$B$39="pvp",15,Inputs!$B$44)-(B2512)&lt;=0,1,MAX(0,IF(Inputs!$B$39="pvp",15,Inputs!$B$44)-MAX(5,B2512))/(IF(Inputs!$B$39="pvp",15,Inputs!$B$44)-(B2512))))*IF(AND(ArtifactsInput!$M$42,((Inputs!$B$9+((C2493=TRUE)*(F2493-Calc!F26))+B2501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2481*(MIN(100,(Inputs!$B$9+((C2493=TRUE)*(F2493-Calc!F26))+B2501+(ArtifactsInput!$M$24-ArtifactsInput!$M$24)*CHOOSE(ArtifactsInput!$N$24+1,10,12,14,16,18,20)+(IF(AND(Inputs!$B$39&lt;&gt;"pvp",Inputs!$B$44=0),1,IF(IF(Inputs!$B$39="pvp",15,Inputs!$B$44)-(B2512)&lt;=0,1,MAX(0,IF(Inputs!$B$39="pvp",15,Inputs!$B$44)-MAX(5,B2512))/(IF(Inputs!$B$39="pvp",15,Inputs!$B$44)-(B2512))))*IF(AND(ArtifactsInput!$M$42,((Inputs!$B$9+((C2493=TRUE)*(F2493-Calc!F26))+B2501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2481*(1-MIN(100,(Inputs!$B$9+((C2493=TRUE)*(F2493-Calc!F26))+B2501+(ArtifactsInput!$M$24-ArtifactsInput!$M$24)*CHOOSE(ArtifactsInput!$N$24+1,10,12,14,16,18,20)+(IF(AND(Inputs!$B$39&lt;&gt;"pvp",Inputs!$B$44=0),1,IF(IF(Inputs!$B$39="pvp",15,Inputs!$B$44)-(B2512)&lt;=0,1,MAX(0,IF(Inputs!$B$39="pvp",15,Inputs!$B$44)-MAX(5,B2512))/(IF(Inputs!$B$39="pvp",15,Inputs!$B$44)-(B2512))))*IF(AND(ArtifactsInput!$M$42,((Inputs!$B$9+((C2493=TRUE)*(F2493-Calc!F26))+B2501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2481*(MIN(100,(Inputs!$B$9+((C2493=TRUE)*(F2493-Calc!F26))+B2501+(ArtifactsInput!$M$24-ArtifactsInput!$M$24)*CHOOSE(ArtifactsInput!$N$24+1,10,12,14,16,18,20)+(IF(AND(Inputs!$B$39&lt;&gt;"pvp",Inputs!$B$44=0),1,IF(IF(Inputs!$B$39="pvp",15,Inputs!$B$44)-(B2512)&lt;=0,1,MAX(0,IF(Inputs!$B$39="pvp",15,Inputs!$B$44)-MAX(5,B2512))/(IF(Inputs!$B$39="pvp",15,Inputs!$B$44)-(B2512))))*IF(AND(ArtifactsInput!$M$42,((Inputs!$B$9+((C2493=TRUE)*(F2493-Calc!F26))+B2501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481">
        <f>IF(C2481,(H2481*N2481*IF(AND(Inputs!$B$39&lt;&gt;"pvp",Inputs!$B$44&gt;0),((Skills!G14*((R2481-1)*IF(Skills!H14&gt;0,Skills!I14/Skills!H14,1)+IF(Skills!H14&gt;0,MIN(Skills!I14,MAX(0,MAX(0,Inputs!$B$44-B2512)-((R2481-1)*IF(Inputs!$B$39="pvp",15,MAX(0.1,Skills!D14-IF(TRUE=TRUE,Inputs!$B$32,0))))))/Skills!H14,1)))/Inputs!$B$44),G2481*Q2481))*IF(Inputs!$B$39="pvp",1,(1+(Inputs!$B$21+Skills!Q14+B2502+(IF(ArtifactsInput!$M$33,CHOOSE(ArtifactsInput!$N$33+1,30,36,42,48,54,60),0))+(IF(AND(ArtifactsInput!$M$35,Inputs!$B$4&lt;&gt;"Chapter Hunt"),CHOOSE(ArtifactsInput!$N$35+1,15,18,21,24,27,30)*(1-EXP(-(0.2*B2505)*5)),0)+IF(AND(ArtifactsInput!$M$22,Inputs!$B$4&lt;&gt;"Chapter Hunt"),CHOOSE(ArtifactsInput!$N$22+1,10,12,14,16,18,20)*((0*(((0.15*B2505*5))^0/1)+1*(((0.15*B2505*5))^1/1)+2*(((0.15*B2505*5))^2/2)+3*(((0.15*B2505*5))^3/6)+4*(((0.15*B2505*5))^4/24)+5*(((0.15*B2505*5))^5/120))/((((0.15*B2505*5))^0/1)+(((0.15*B2505*5))^1/1)+(((0.15*B2505*5))^2/2)+(((0.15*B2505*5))^3/6)+(((0.15*B2505*5))^4/24)+(((0.15*B2505*5))^5/120))),0)))/100)*(MIN(Skills!W14,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482">
      <c r="A2482">
        <f>Skills!A15</f>
        <v/>
      </c>
      <c r="B2482">
        <f>Skills!B15</f>
        <v/>
      </c>
      <c r="C2482">
        <f>Inputs!$B$3&gt;=107</f>
        <v/>
      </c>
      <c r="D2482">
        <f>IF(Skills!C15=1,60+Inputs!$B$25+Inputs!$B$29,IF(Skills!C15=2,90+Inputs!$B$26+Inputs!$B$29,IF(Skills!C15=3,120+Inputs!$B$27+Inputs!$B$29,MAX(0,(Inputs!$B$3-100)*3)+Inputs!$B$28+Inputs!$B$29)))</f>
        <v/>
      </c>
      <c r="E2482">
        <f>INDEX(FactorTable!$B$2:$Y$301, MATCH(ROUND(MIN(300,MAX(1,D2482)),0), FactorTable!$A$2:$A$301,0), Skills!M15+1)</f>
        <v/>
      </c>
      <c r="F2482">
        <f>IF(Skills!N15=TRUE,(Skills!L15/10)*(E2482/1000),Skills!L15/10)+Skills!O15</f>
        <v/>
      </c>
      <c r="G2482">
        <f>Skills!G15*IF(Skills!H15&gt;0,IF(Inputs!$B$39="pvp",MIN(Skills!I15,15),Skills!I15)/Skills!H15,1)</f>
        <v/>
      </c>
      <c r="H2482">
        <f>1-(1-Skills!J15/100)^Skills!K15</f>
        <v/>
      </c>
      <c r="I2482" t="inlineStr">
        <is>
          <t>1</t>
        </is>
      </c>
      <c r="J2482">
        <f>((Inputs!$B$6*(1+Inputs!$B$7/100))+(((Inputs!$B$12*(1+Inputs!$B$13/100))-(Inputs!$B$12*(1+Inputs!$B$13/100)))+0.25*(Inputs!$B$14-Inputs!$B$14))*(1+Inputs!$B$7/100))*(F2482/100)</f>
        <v/>
      </c>
      <c r="K2482">
        <f>J2482*(1+((Inputs!$B$12*(1+Inputs!$B$13/100))*0.01+Inputs!$B$14*0.0025)/100)*(1+Inputs!$B$15/100)*(1+Inputs!$B$16/100)*(5000/(6000+Inputs!$B$43*(1-(100*(1-(1-Inputs!$B$19/100)*(1-CHOOSE(ArtifactsInput!$N$40+1,5,6,7,8,9,10)/100)^(ArtifactsInput!$M$40-ArtifactsInput!$M$40)))/100)))*(1+(Inputs!$B$24+((C2498=TRUE)*(F2498-Calc!F31))+((C2485=TRUE)*(F2485-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15="CRUEL_STAB",Inputs!$B$17+((C2495=TRUE)*(F2495-Calc!F28))+((IF(AND(Inputs!$B$39&lt;&gt;"pvp",Inputs!$B$44=0),1,IF(IF(Inputs!$B$39="pvp",15,Inputs!$B$44)-(B2512)&lt;=0,1,MAX(0,IF(Inputs!$B$39="pvp",15,Inputs!$B$44)-MAX(5,B2512))/(IF(Inputs!$B$39="pvp",15,Inputs!$B$44)-(B2512))))*(IF(AND(ArtifactsInput!$M$42,((Inputs!$B$9+((C2493=TRUE)*(F2493-Calc!F26))+B2501+(ArtifactsInput!$M$24-ArtifactsInput!$M$24)*CHOOSE(ArtifactsInput!$N$24+1,10,12,14,16,18,20)+IF(ArtifactsInput!$M$10,CHOOSE(ArtifactsInput!$N$10+1,15,18,21,24,27,30)*(IF(Inputs!$B$39="pvp",MIN(15,15)/15,IF(AND(Inputs!$B$39&lt;&gt;"pvp",Inputs!$B$44&gt;0),MIN(15,Inputs!$B$44)/(Inputs!$B$44),0))),0)))&gt;=100),MIN(100,((Inputs!$B$9+((C2493=TRUE)*(F2493-Calc!F26))+B2501+(ArtifactsInput!$M$24-ArtifactsInput!$M$24)*CHOOSE(ArtifactsInput!$N$24+1,10,12,14,16,18,20)+IF(ArtifactsInput!$M$10,CHOOSE(ArtifactsInput!$N$10+1,15,18,21,24,27,30)*(IF(Inputs!$B$39="pvp",MIN(15,15)/15,IF(AND(Inputs!$B$39&lt;&gt;"pvp",Inputs!$B$44&gt;0),MIN(15,Inputs!$B$44)/(Inputs!$B$44),0))),0)))-100),0))*CHOOSE(ArtifactsInput!$N$42+1,0.6,0.72,0.84,0.96,1.08,1.2))),Inputs!$B$18+((C2496=TRUE)*(F2496-Calc!F29))+(IF(AND(Inputs!$B$39&lt;&gt;"pvp",Inputs!$B$44=0),1,IF(IF(Inputs!$B$39="pvp",15,Inputs!$B$44)-(B2512)&lt;=0,1,MAX(0,IF(Inputs!$B$39="pvp",15,Inputs!$B$44)-MAX(5,B2512))/(IF(Inputs!$B$39="pvp",15,Inputs!$B$44)-(B2512))))*IF(AND(ArtifactsInput!$M$42,((Inputs!$B$9+((C2493=TRUE)*(F2493-Calc!F26))+B2501+(ArtifactsInput!$M$24-ArtifactsInput!$M$24)*CHOOSE(ArtifactsInput!$N$24+1,10,12,14,16,18,20)+IF(ArtifactsInput!$M$10,CHOOSE(ArtifactsInput!$N$10+1,15,18,21,24,27,30)*(IF(Inputs!$B$39="pvp",MIN(15,15)/15,IF(AND(Inputs!$B$39&lt;&gt;"pvp",Inputs!$B$44&gt;0),MIN(15,Inputs!$B$44)/(Inputs!$B$44),0))),0)))&gt;=100),CHOOSE(ArtifactsInput!$N$42+1,40,48,56,64,72,80),0))))/100)*(((1+(((C2489=TRUE)*F2489*IF(AND(Inputs!$B$39&lt;&gt;"pvp",Inputs!$B$44&gt;0),(((R2489-1)*MIN((Skills!Y22*(1+Inputs!$B$34/100)),(1/Q2489))+MIN((Skills!Y22*(1+Inputs!$B$34/100)),MAX(0,Inputs!$B$44-((R2489-1)*(1/Q2489)))))/Inputs!$B$44),IF(Inputs!$B$39="pvp",MIN((Skills!Y22*(1+Inputs!$B$34/100)),15)/15,MIN(1,(Skills!Y22*(1+Inputs!$B$34/100))/(1/Q2489)))))+((C2470=TRUE)*F2470*3)+((C2472=TRUE)*F2472*(1-EXP(-0.75*B2505*5)))+((C2491=TRUE)*(F2491-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2478=TRUE)*F2478*IF(AND(Inputs!$B$39&lt;&gt;"pvp",Inputs!$B$44&gt;0),(((R2478-1)*MIN((Skills!Y11*(1+Inputs!$B$34/100)),(1/Q2478))+MIN((Skills!Y11*(1+Inputs!$B$34/100)),MAX(0,Inputs!$B$44-((R2478-1)*(1/Q2478)))))/Inputs!$B$44),IF(Inputs!$B$39="pvp",MIN((Skills!Y11*(1+Inputs!$B$34/100)),15)/15,MIN(1,(Skills!Y11*(1+Inputs!$B$34/100))/(1/Q2478)))))/100)*(1+((C2483=TRUE)*F2483*IF(AND(Inputs!$B$39&lt;&gt;"pvp",Inputs!$B$44&gt;0),(((R2483-1)*MIN((Skills!Y16*(1+Inputs!$B$34/100)),(1/Q2483))+MIN((Skills!Y16*(1+Inputs!$B$34/100)),MAX(0,Inputs!$B$44-((R2483-1)*(1/Q2483)))))/Inputs!$B$44),IF(Inputs!$B$39="pvp",MIN((Skills!Y16*(1+Inputs!$B$34/100)),15)/15,MIN(1,(Skills!Y16*(1+Inputs!$B$34/100))/(1/Q2483)))))/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2503*I2482)</f>
        <v/>
      </c>
      <c r="L2482">
        <f>K2482*(MIN(Inputs!$B$22+((C2492=TRUE)*(F2492-Calc!F25)),(Inputs!$B$23+((C2497=TRUE)*(F2497-Calc!F30))+IF(ArtifactsInput!$M$15,CHOOSE(ArtifactsInput!$N$15+1,25,30,35,40,45,50)/100*(Inputs!$B$11-Inputs!$B$11),0)))/100+(Inputs!$B$23+((C2497=TRUE)*(F2497-Calc!F30))+IF(ArtifactsInput!$M$15,CHOOSE(ArtifactsInput!$N$15+1,25,30,35,40,45,50)/100*(Inputs!$B$11-Inputs!$B$11),0))/100)/2</f>
        <v/>
      </c>
      <c r="M2482">
        <f>L2482*(1+(Inputs!$B$10+((C2494=TRUE)*(F2494-Calc!F27))+B2508+(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2482">
        <f>L2482*(1-MIN((Inputs!$B$9+((C2493=TRUE)*(F2493-Calc!F26))+B2501+(ArtifactsInput!$M$24-ArtifactsInput!$M$24)*CHOOSE(ArtifactsInput!$N$24+1,10,12,14,16,18,20)+(IF(AND(Inputs!$B$39&lt;&gt;"pvp",Inputs!$B$44=0),1,IF(IF(Inputs!$B$39="pvp",15,Inputs!$B$44)-(B2512)&lt;=0,1,MAX(0,IF(Inputs!$B$39="pvp",15,Inputs!$B$44)-MAX(5,B2512))/(IF(Inputs!$B$39="pvp",15,Inputs!$B$44)-(B2512))))*IF(AND(ArtifactsInput!$M$42,((Inputs!$B$9+((C2493=TRUE)*(F2493-Calc!F26))+B2501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2482*(MIN((Inputs!$B$9+((C2493=TRUE)*(F2493-Calc!F26))+B2501+(ArtifactsInput!$M$24-ArtifactsInput!$M$24)*CHOOSE(ArtifactsInput!$N$24+1,10,12,14,16,18,20)+(IF(AND(Inputs!$B$39&lt;&gt;"pvp",Inputs!$B$44=0),1,IF(IF(Inputs!$B$39="pvp",15,Inputs!$B$44)-(B2512)&lt;=0,1,MAX(0,IF(Inputs!$B$39="pvp",15,Inputs!$B$44)-MAX(5,B2512))/(IF(Inputs!$B$39="pvp",15,Inputs!$B$44)-(B2512))))*IF(AND(ArtifactsInput!$M$42,((Inputs!$B$9+((C2493=TRUE)*(F2493-Calc!F26))+B2501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482">
        <f>(1-Summary!$B$11)*T2482+Summary!$B$11*V2482</f>
        <v/>
      </c>
      <c r="P2482">
        <f>IF(B2513=0,0,O2482/B2513)</f>
        <v/>
      </c>
      <c r="Q2482">
        <f>IFERROR(1/IF(Inputs!$B$39="pvp",15,MAX(0.1,Skills!D15-IF(TRUE=TRUE,Inputs!$B$32,0))),0)</f>
        <v/>
      </c>
      <c r="R2482">
        <f>IF(AND(Inputs!$B$39&lt;&gt;"pvp",Inputs!$B$44&gt;0),IF(MAX(0,Inputs!$B$44-B2512)&lt;=0,0,(INT(MAX(0,Inputs!$B$44-B2512)/IF(Inputs!$B$39="pvp",15,MAX(0.1,Skills!D15-IF(TRUE=TRUE,Inputs!$B$32,0))))+1)),0)</f>
        <v/>
      </c>
      <c r="S2482">
        <f>IFERROR(O2482/N2482,0)</f>
        <v/>
      </c>
      <c r="T2482">
        <f>IF(C2482,(H2482*N2482*IF(AND(Inputs!$B$39&lt;&gt;"pvp",Inputs!$B$44&gt;0),((Skills!G15*((R2482-1)*IF(Skills!H15&gt;0,Skills!I15/Skills!H15,1)+IF(Skills!H15&gt;0,MIN(Skills!I15,MAX(0,MAX(0,Inputs!$B$44-B2512)-((R2482-1)*IF(Inputs!$B$39="pvp",15,MAX(0.1,Skills!D15-IF(TRUE=TRUE,Inputs!$B$32,0))))))/Skills!H15,1)))/Inputs!$B$44),G2482*Q2482))*IF(Inputs!$B$39="pvp",1,1+(Inputs!$B$20+0+Skills!P15+B2502+(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Hunt"),CHOOSE(ArtifactsInput!$N$35+1,15,18,21,24,27,30)*(1-EXP(-(0.2*B2505)*5)),0)+IF(AND(ArtifactsInput!$M$22,Inputs!$B$4&lt;&gt;"Chapter Hunt"),CHOOSE(ArtifactsInput!$N$22+1,10,12,14,16,18,20)*((0*(((0.15*B2505*5))^0/1)+1*(((0.15*B2505*5))^1/1)+2*(((0.15*B2505*5))^2/2)+3*(((0.15*B2505*5))^3/6)+4*(((0.15*B2505*5))^4/24)+5*(((0.15*B2505*5))^5/120))/((((0.15*B2505*5))^0/1)+(((0.15*B2505*5))^1/1)+(((0.15*B2505*5))^2/2)+(((0.15*B2505*5))^3/6)+(((0.15*B2505*5))^4/24)+(((0.15*B2505*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2482*(1-MIN(100,(Inputs!$B$9+((C2493=TRUE)*(F2493-Calc!F26))+B2501+(ArtifactsInput!$M$24-ArtifactsInput!$M$24)*CHOOSE(ArtifactsInput!$N$24+1,10,12,14,16,18,20)+(IF(AND(Inputs!$B$39&lt;&gt;"pvp",Inputs!$B$44=0),1,IF(IF(Inputs!$B$39="pvp",15,Inputs!$B$44)-(B2512)&lt;=0,1,MAX(0,IF(Inputs!$B$39="pvp",15,Inputs!$B$44)-MAX(5,B2512))/(IF(Inputs!$B$39="pvp",15,Inputs!$B$44)-(B2512))))*IF(AND(ArtifactsInput!$M$42,((Inputs!$B$9+((C2493=TRUE)*(F2493-Calc!F26))+B2501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2482*(MIN(100,(Inputs!$B$9+((C2493=TRUE)*(F2493-Calc!F26))+B2501+(ArtifactsInput!$M$24-ArtifactsInput!$M$24)*CHOOSE(ArtifactsInput!$N$24+1,10,12,14,16,18,20)+(IF(AND(Inputs!$B$39&lt;&gt;"pvp",Inputs!$B$44=0),1,IF(IF(Inputs!$B$39="pvp",15,Inputs!$B$44)-(B2512)&lt;=0,1,MAX(0,IF(Inputs!$B$39="pvp",15,Inputs!$B$44)-MAX(5,B2512))/(IF(Inputs!$B$39="pvp",15,Inputs!$B$44)-(B2512))))*IF(AND(ArtifactsInput!$M$42,((Inputs!$B$9+((C2493=TRUE)*(F2493-Calc!F26))+B2501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2482*(1-MIN(100,(Inputs!$B$9+((C2493=TRUE)*(F2493-Calc!F26))+B2501+(ArtifactsInput!$M$24-ArtifactsInput!$M$24)*CHOOSE(ArtifactsInput!$N$24+1,10,12,14,16,18,20)+(IF(AND(Inputs!$B$39&lt;&gt;"pvp",Inputs!$B$44=0),1,IF(IF(Inputs!$B$39="pvp",15,Inputs!$B$44)-(B2512)&lt;=0,1,MAX(0,IF(Inputs!$B$39="pvp",15,Inputs!$B$44)-MAX(5,B2512))/(IF(Inputs!$B$39="pvp",15,Inputs!$B$44)-(B2512))))*IF(AND(ArtifactsInput!$M$42,((Inputs!$B$9+((C2493=TRUE)*(F2493-Calc!F26))+B2501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2482*(MIN(100,(Inputs!$B$9+((C2493=TRUE)*(F2493-Calc!F26))+B2501+(ArtifactsInput!$M$24-ArtifactsInput!$M$24)*CHOOSE(ArtifactsInput!$N$24+1,10,12,14,16,18,20)+(IF(AND(Inputs!$B$39&lt;&gt;"pvp",Inputs!$B$44=0),1,IF(IF(Inputs!$B$39="pvp",15,Inputs!$B$44)-(B2512)&lt;=0,1,MAX(0,IF(Inputs!$B$39="pvp",15,Inputs!$B$44)-MAX(5,B2512))/(IF(Inputs!$B$39="pvp",15,Inputs!$B$44)-(B2512))))*IF(AND(ArtifactsInput!$M$42,((Inputs!$B$9+((C2493=TRUE)*(F2493-Calc!F26))+B2501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482">
        <f>IF(C2482,(H2482*N2482*IF(AND(Inputs!$B$39&lt;&gt;"pvp",Inputs!$B$44&gt;0),((Skills!G15*((R2482-1)*IF(Skills!H15&gt;0,Skills!I15/Skills!H15,1)+IF(Skills!H15&gt;0,MIN(Skills!I15,MAX(0,MAX(0,Inputs!$B$44-B2512)-((R2482-1)*IF(Inputs!$B$39="pvp",15,MAX(0.1,Skills!D15-IF(TRUE=TRUE,Inputs!$B$32,0))))))/Skills!H15,1)))/Inputs!$B$44),G2482*Q2482))*IF(Inputs!$B$39="pvp",1,(1+(Inputs!$B$21+Skills!Q15+B2502+(IF(ArtifactsInput!$M$33,CHOOSE(ArtifactsInput!$N$33+1,30,36,42,48,54,60),0))+(IF(AND(ArtifactsInput!$M$35,Inputs!$B$4&lt;&gt;"Chapter Hunt"),CHOOSE(ArtifactsInput!$N$35+1,15,18,21,24,27,30)*(1-EXP(-(0.2*B2505)*5)),0)+IF(AND(ArtifactsInput!$M$22,Inputs!$B$4&lt;&gt;"Chapter Hunt"),CHOOSE(ArtifactsInput!$N$22+1,10,12,14,16,18,20)*((0*(((0.15*B2505*5))^0/1)+1*(((0.15*B2505*5))^1/1)+2*(((0.15*B2505*5))^2/2)+3*(((0.15*B2505*5))^3/6)+4*(((0.15*B2505*5))^4/24)+5*(((0.15*B2505*5))^5/120))/((((0.15*B2505*5))^0/1)+(((0.15*B2505*5))^1/1)+(((0.15*B2505*5))^2/2)+(((0.15*B2505*5))^3/6)+(((0.15*B2505*5))^4/24)+(((0.15*B2505*5))^5/120))),0)))/100)*(MIN(MIN(5,0.5*IF(Inputs!$B$3&gt;=75,0.75,0.5)*B2505*(1/Q2471))*Skills!V15,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483">
      <c r="A2483">
        <f>Skills!A16</f>
        <v/>
      </c>
      <c r="B2483">
        <f>Skills!B16</f>
        <v/>
      </c>
      <c r="C2483">
        <f>Inputs!$B$3&gt;=110</f>
        <v/>
      </c>
      <c r="D2483">
        <f>IF(Skills!C16=1,60+Inputs!$B$25+Inputs!$B$29,IF(Skills!C16=2,90+Inputs!$B$26+Inputs!$B$29,IF(Skills!C16=3,120+Inputs!$B$27+Inputs!$B$29,MAX(0,(Inputs!$B$3-100)*3)+Inputs!$B$28+Inputs!$B$29)))</f>
        <v/>
      </c>
      <c r="E2483">
        <f>INDEX(FactorTable!$B$2:$Y$301, MATCH(ROUND(MIN(300,MAX(1,D2483)),0), FactorTable!$A$2:$A$301,0), Skills!M16+1)</f>
        <v/>
      </c>
      <c r="F2483">
        <f>IF(Skills!N16=TRUE,(Skills!L16/10)*(E2483/1000),Skills!L16/10)+Skills!O16</f>
        <v/>
      </c>
      <c r="G2483">
        <f>Skills!G16*IF(Skills!H16&gt;0,IF(Inputs!$B$39="pvp",MIN(Skills!I16,15),Skills!I16)/Skills!H16,1)</f>
        <v/>
      </c>
      <c r="H2483">
        <f>1-(1-Skills!J16/100)^Skills!K16</f>
        <v/>
      </c>
      <c r="I2483" t="inlineStr">
        <is>
          <t>1</t>
        </is>
      </c>
      <c r="J2483" t="inlineStr"/>
      <c r="K2483" t="inlineStr"/>
      <c r="L2483" t="inlineStr"/>
      <c r="M2483" t="inlineStr"/>
      <c r="N2483" t="inlineStr"/>
      <c r="O2483">
        <f>(1-Summary!$B$11)*T2483+Summary!$B$11*V2483</f>
        <v/>
      </c>
      <c r="P2483">
        <f>IF(B2513=0,0,O2483/B2513)</f>
        <v/>
      </c>
      <c r="Q2483">
        <f>IFERROR(1/IF(Inputs!$B$39="pvp",15,MAX(0.1,Skills!D16-IF(TRUE=TRUE,Inputs!$B$32,0))),0)</f>
        <v/>
      </c>
      <c r="R2483">
        <f>IF(AND(Inputs!$B$39&lt;&gt;"pvp",Inputs!$B$44&gt;0),IF(Inputs!$B$44&lt;=0,0,(INT(Inputs!$B$44/IF(Inputs!$B$39="pvp",15,MAX(0.1,Skills!D16-IF(TRUE=TRUE,Inputs!$B$32,0))))+1)),0)</f>
        <v/>
      </c>
      <c r="S2483">
        <f>IFERROR(O2483/N2483,0)</f>
        <v/>
      </c>
      <c r="T2483" t="n">
        <v>0</v>
      </c>
      <c r="V2483" t="n">
        <v>0</v>
      </c>
    </row>
    <row r="2484">
      <c r="A2484">
        <f>Skills!A17</f>
        <v/>
      </c>
      <c r="B2484">
        <f>Skills!B17</f>
        <v/>
      </c>
      <c r="C2484">
        <f>Inputs!$B$3&gt;=115</f>
        <v/>
      </c>
      <c r="D2484">
        <f>IF(Skills!C17=1,60+Inputs!$B$25+Inputs!$B$29,IF(Skills!C17=2,90+Inputs!$B$26+Inputs!$B$29,IF(Skills!C17=3,120+Inputs!$B$27+Inputs!$B$29,MAX(0,(Inputs!$B$3-100)*3)+Inputs!$B$28+Inputs!$B$29)))</f>
        <v/>
      </c>
      <c r="E2484">
        <f>INDEX(FactorTable!$B$2:$Y$301, MATCH(ROUND(MIN(300,MAX(1,D2484)),0), FactorTable!$A$2:$A$301,0), Skills!M17+1)</f>
        <v/>
      </c>
      <c r="F2484">
        <f>IF(Skills!N17=TRUE,(Skills!L17/10)*(E2484/1000),Skills!L17/10)+Skills!O17</f>
        <v/>
      </c>
      <c r="G2484">
        <f>Skills!G17*IF(Skills!H17&gt;0,IF(Inputs!$B$39="pvp",MIN(Skills!I17,15),Skills!I17)/Skills!H17,1)</f>
        <v/>
      </c>
      <c r="H2484">
        <f>1-(1-Skills!J17/100)^Skills!K17</f>
        <v/>
      </c>
      <c r="I2484" t="inlineStr">
        <is>
          <t>1</t>
        </is>
      </c>
      <c r="J2484">
        <f>((Inputs!$B$6*(1+Inputs!$B$7/100))+(((Inputs!$B$12*(1+Inputs!$B$13/100))-(Inputs!$B$12*(1+Inputs!$B$13/100)))+0.25*(Inputs!$B$14-Inputs!$B$14))*(1+Inputs!$B$7/100))*(F2484/100)</f>
        <v/>
      </c>
      <c r="K2484">
        <f>J2484*(1+((Inputs!$B$12*(1+Inputs!$B$13/100))*0.01+Inputs!$B$14*0.0025)/100)*(1+Inputs!$B$15/100)*(1+Inputs!$B$16/100)*(5000/(6000+Inputs!$B$43*(1-(100*(1-(1-Inputs!$B$19/100)*(1-CHOOSE(ArtifactsInput!$N$40+1,5,6,7,8,9,10)/100)^(ArtifactsInput!$M$40-ArtifactsInput!$M$40)))/100)))*(1+(Inputs!$B$24+((C2498=TRUE)*(F2498-Calc!F31))+((C2485=TRUE)*(F2485-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17="CRUEL_STAB",Inputs!$B$17+((C2495=TRUE)*(F2495-Calc!F28))+((IF(AND(Inputs!$B$39&lt;&gt;"pvp",Inputs!$B$44=0),1,IF(IF(Inputs!$B$39="pvp",15,Inputs!$B$44)-(B2512)&lt;=0,1,MAX(0,IF(Inputs!$B$39="pvp",15,Inputs!$B$44)-MAX(5,B2512))/(IF(Inputs!$B$39="pvp",15,Inputs!$B$44)-(B2512))))*(IF(AND(ArtifactsInput!$M$42,((Inputs!$B$9+((C2493=TRUE)*(F2493-Calc!F26))+B2501+(ArtifactsInput!$M$24-ArtifactsInput!$M$24)*CHOOSE(ArtifactsInput!$N$24+1,10,12,14,16,18,20)+IF(ArtifactsInput!$M$10,CHOOSE(ArtifactsInput!$N$10+1,15,18,21,24,27,30)*(IF(Inputs!$B$39="pvp",MIN(15,15)/15,IF(AND(Inputs!$B$39&lt;&gt;"pvp",Inputs!$B$44&gt;0),MIN(15,Inputs!$B$44)/(Inputs!$B$44),0))),0)))&gt;=100),MIN(100,((Inputs!$B$9+((C2493=TRUE)*(F2493-Calc!F26))+B2501+(ArtifactsInput!$M$24-ArtifactsInput!$M$24)*CHOOSE(ArtifactsInput!$N$24+1,10,12,14,16,18,20)+IF(ArtifactsInput!$M$10,CHOOSE(ArtifactsInput!$N$10+1,15,18,21,24,27,30)*(IF(Inputs!$B$39="pvp",MIN(15,15)/15,IF(AND(Inputs!$B$39&lt;&gt;"pvp",Inputs!$B$44&gt;0),MIN(15,Inputs!$B$44)/(Inputs!$B$44),0))),0)))-100),0))*CHOOSE(ArtifactsInput!$N$42+1,0.6,0.72,0.84,0.96,1.08,1.2))),Inputs!$B$18+((C2496=TRUE)*(F2496-Calc!F29))+(IF(AND(Inputs!$B$39&lt;&gt;"pvp",Inputs!$B$44=0),1,IF(IF(Inputs!$B$39="pvp",15,Inputs!$B$44)-(B2512)&lt;=0,1,MAX(0,IF(Inputs!$B$39="pvp",15,Inputs!$B$44)-MAX(5,B2512))/(IF(Inputs!$B$39="pvp",15,Inputs!$B$44)-(B2512))))*IF(AND(ArtifactsInput!$M$42,((Inputs!$B$9+((C2493=TRUE)*(F2493-Calc!F26))+B2501+(ArtifactsInput!$M$24-ArtifactsInput!$M$24)*CHOOSE(ArtifactsInput!$N$24+1,10,12,14,16,18,20)+IF(ArtifactsInput!$M$10,CHOOSE(ArtifactsInput!$N$10+1,15,18,21,24,27,30)*(IF(Inputs!$B$39="pvp",MIN(15,15)/15,IF(AND(Inputs!$B$39&lt;&gt;"pvp",Inputs!$B$44&gt;0),MIN(15,Inputs!$B$44)/(Inputs!$B$44),0))),0)))&gt;=100),CHOOSE(ArtifactsInput!$N$42+1,40,48,56,64,72,80),0))))/100)*(((1+(((C2489=TRUE)*F2489*IF(AND(Inputs!$B$39&lt;&gt;"pvp",Inputs!$B$44&gt;0),(((R2489-1)*MIN((Skills!Y22*(1+Inputs!$B$34/100)),(1/Q2489))+MIN((Skills!Y22*(1+Inputs!$B$34/100)),MAX(0,Inputs!$B$44-((R2489-1)*(1/Q2489)))))/Inputs!$B$44),IF(Inputs!$B$39="pvp",MIN((Skills!Y22*(1+Inputs!$B$34/100)),15)/15,MIN(1,(Skills!Y22*(1+Inputs!$B$34/100))/(1/Q2489)))))+((C2470=TRUE)*F2470*3)+((C2472=TRUE)*F2472*(1-EXP(-0.75*B2505*5)))+((C2491=TRUE)*(F2491-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2478=TRUE)*F2478*IF(AND(Inputs!$B$39&lt;&gt;"pvp",Inputs!$B$44&gt;0),(((R2478-1)*MIN((Skills!Y11*(1+Inputs!$B$34/100)),(1/Q2478))+MIN((Skills!Y11*(1+Inputs!$B$34/100)),MAX(0,Inputs!$B$44-((R2478-1)*(1/Q2478)))))/Inputs!$B$44),IF(Inputs!$B$39="pvp",MIN((Skills!Y11*(1+Inputs!$B$34/100)),15)/15,MIN(1,(Skills!Y11*(1+Inputs!$B$34/100))/(1/Q2478)))))/100)*(1+((C2483=TRUE)*F2483*IF(AND(Inputs!$B$39&lt;&gt;"pvp",Inputs!$B$44&gt;0),(((R2483-1)*MIN((Skills!Y16*(1+Inputs!$B$34/100)),(1/Q2483))+MIN((Skills!Y16*(1+Inputs!$B$34/100)),MAX(0,Inputs!$B$44-((R2483-1)*(1/Q2483)))))/Inputs!$B$44),IF(Inputs!$B$39="pvp",MIN((Skills!Y16*(1+Inputs!$B$34/100)),15)/15,MIN(1,(Skills!Y16*(1+Inputs!$B$34/100))/(1/Q2483)))))/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2503*I2484)</f>
        <v/>
      </c>
      <c r="L2484">
        <f>K2484*(MIN(Inputs!$B$22+((C2492=TRUE)*(F2492-Calc!F25)),(Inputs!$B$23+((C2497=TRUE)*(F2497-Calc!F30))+IF(ArtifactsInput!$M$15,CHOOSE(ArtifactsInput!$N$15+1,25,30,35,40,45,50)/100*(Inputs!$B$11-Inputs!$B$11),0)))/100+(Inputs!$B$23+((C2497=TRUE)*(F2497-Calc!F30))+IF(ArtifactsInput!$M$15,CHOOSE(ArtifactsInput!$N$15+1,25,30,35,40,45,50)/100*(Inputs!$B$11-Inputs!$B$11),0))/100)/2</f>
        <v/>
      </c>
      <c r="M2484">
        <f>L2484*(1+(Inputs!$B$10+((C2494=TRUE)*(F2494-Calc!F27))+B2508+(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2484">
        <f>L2484*(1-MIN((Inputs!$B$9+((C2493=TRUE)*(F2493-Calc!F26))+B2501+(ArtifactsInput!$M$24-ArtifactsInput!$M$24)*CHOOSE(ArtifactsInput!$N$24+1,10,12,14,16,18,20)+(IF(AND(Inputs!$B$39&lt;&gt;"pvp",Inputs!$B$44=0),1,IF(IF(Inputs!$B$39="pvp",15,Inputs!$B$44)-(B2512)&lt;=0,1,MAX(0,IF(Inputs!$B$39="pvp",15,Inputs!$B$44)-MAX(5,B2512))/(IF(Inputs!$B$39="pvp",15,Inputs!$B$44)-(B2512))))*IF(AND(ArtifactsInput!$M$42,((Inputs!$B$9+((C2493=TRUE)*(F2493-Calc!F26))+B2501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2484*(MIN((Inputs!$B$9+((C2493=TRUE)*(F2493-Calc!F26))+B2501+(ArtifactsInput!$M$24-ArtifactsInput!$M$24)*CHOOSE(ArtifactsInput!$N$24+1,10,12,14,16,18,20)+(IF(AND(Inputs!$B$39&lt;&gt;"pvp",Inputs!$B$44=0),1,IF(IF(Inputs!$B$39="pvp",15,Inputs!$B$44)-(B2512)&lt;=0,1,MAX(0,IF(Inputs!$B$39="pvp",15,Inputs!$B$44)-MAX(5,B2512))/(IF(Inputs!$B$39="pvp",15,Inputs!$B$44)-(B2512))))*IF(AND(ArtifactsInput!$M$42,((Inputs!$B$9+((C2493=TRUE)*(F2493-Calc!F26))+B2501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484">
        <f>(1-Summary!$B$11)*T2484+Summary!$B$11*V2484</f>
        <v/>
      </c>
      <c r="P2484">
        <f>IF(B2513=0,0,O2484/B2513)</f>
        <v/>
      </c>
      <c r="Q2484" t="n">
        <v>0</v>
      </c>
      <c r="R2484" t="n">
        <v>0</v>
      </c>
      <c r="S2484">
        <f>IFERROR(O2484/N2484,0)</f>
        <v/>
      </c>
      <c r="T2484">
        <f>IF(C2484,(Inputs!$B$38*0.2*N2484)*IF(Inputs!$B$39="pvp",1,1+(Inputs!$B$20+0+Skills!P17+B2502+(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Hunt"),CHOOSE(ArtifactsInput!$N$35+1,15,18,21,24,27,30)*(1-EXP(-(0.2*B2505)*5)),0)+IF(AND(ArtifactsInput!$M$22,Inputs!$B$4&lt;&gt;"Chapter Hunt"),CHOOSE(ArtifactsInput!$N$22+1,10,12,14,16,18,20)*((0*(((0.15*B2505*5))^0/1)+1*(((0.15*B2505*5))^1/1)+2*(((0.15*B2505*5))^2/2)+3*(((0.15*B2505*5))^3/6)+4*(((0.15*B2505*5))^4/24)+5*(((0.15*B2505*5))^5/120))/((((0.15*B2505*5))^0/1)+(((0.15*B2505*5))^1/1)+(((0.15*B2505*5))^2/2)+(((0.15*B2505*5))^3/6)+(((0.15*B2505*5))^4/24)+(((0.15*B2505*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2484*(1-MIN(100,(Inputs!$B$9+((C2493=TRUE)*(F2493-Calc!F26))+B2501+(ArtifactsInput!$M$24-ArtifactsInput!$M$24)*CHOOSE(ArtifactsInput!$N$24+1,10,12,14,16,18,20)+(IF(AND(Inputs!$B$39&lt;&gt;"pvp",Inputs!$B$44=0),1,IF(IF(Inputs!$B$39="pvp",15,Inputs!$B$44)-(B2512)&lt;=0,1,MAX(0,IF(Inputs!$B$39="pvp",15,Inputs!$B$44)-MAX(5,B2512))/(IF(Inputs!$B$39="pvp",15,Inputs!$B$44)-(B2512))))*IF(AND(ArtifactsInput!$M$42,((Inputs!$B$9+((C2493=TRUE)*(F2493-Calc!F26))+B2501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2484*(MIN(100,(Inputs!$B$9+((C2493=TRUE)*(F2493-Calc!F26))+B2501+(ArtifactsInput!$M$24-ArtifactsInput!$M$24)*CHOOSE(ArtifactsInput!$N$24+1,10,12,14,16,18,20)+(IF(AND(Inputs!$B$39&lt;&gt;"pvp",Inputs!$B$44=0),1,IF(IF(Inputs!$B$39="pvp",15,Inputs!$B$44)-(B2512)&lt;=0,1,MAX(0,IF(Inputs!$B$39="pvp",15,Inputs!$B$44)-MAX(5,B2512))/(IF(Inputs!$B$39="pvp",15,Inputs!$B$44)-(B2512))))*IF(AND(ArtifactsInput!$M$42,((Inputs!$B$9+((C2493=TRUE)*(F2493-Calc!F26))+B2501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2484*(1-MIN(100,(Inputs!$B$9+((C2493=TRUE)*(F2493-Calc!F26))+B2501+(ArtifactsInput!$M$24-ArtifactsInput!$M$24)*CHOOSE(ArtifactsInput!$N$24+1,10,12,14,16,18,20)+(IF(AND(Inputs!$B$39&lt;&gt;"pvp",Inputs!$B$44=0),1,IF(IF(Inputs!$B$39="pvp",15,Inputs!$B$44)-(B2512)&lt;=0,1,MAX(0,IF(Inputs!$B$39="pvp",15,Inputs!$B$44)-MAX(5,B2512))/(IF(Inputs!$B$39="pvp",15,Inputs!$B$44)-(B2512))))*IF(AND(ArtifactsInput!$M$42,((Inputs!$B$9+((C2493=TRUE)*(F2493-Calc!F26))+B2501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2484*(MIN(100,(Inputs!$B$9+((C2493=TRUE)*(F2493-Calc!F26))+B2501+(ArtifactsInput!$M$24-ArtifactsInput!$M$24)*CHOOSE(ArtifactsInput!$N$24+1,10,12,14,16,18,20)+(IF(AND(Inputs!$B$39&lt;&gt;"pvp",Inputs!$B$44=0),1,IF(IF(Inputs!$B$39="pvp",15,Inputs!$B$44)-(B2512)&lt;=0,1,MAX(0,IF(Inputs!$B$39="pvp",15,Inputs!$B$44)-MAX(5,B2512))/(IF(Inputs!$B$39="pvp",15,Inputs!$B$44)-(B2512))))*IF(AND(ArtifactsInput!$M$42,((Inputs!$B$9+((C2493=TRUE)*(F2493-Calc!F26))+B2501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484">
        <f>IF(C2484,(Inputs!$B$38*0.2*N2484)*IF(Inputs!$B$39="pvp",1,(1+(Inputs!$B$21+Skills!Q17+B2502+(IF(ArtifactsInput!$M$33,CHOOSE(ArtifactsInput!$N$33+1,30,36,42,48,54,60),0))+(IF(AND(ArtifactsInput!$M$35,Inputs!$B$4&lt;&gt;"Chapter Hunt"),CHOOSE(ArtifactsInput!$N$35+1,15,18,21,24,27,30)*(1-EXP(-(0.2*B2505)*5)),0)+IF(AND(ArtifactsInput!$M$22,Inputs!$B$4&lt;&gt;"Chapter Hunt"),CHOOSE(ArtifactsInput!$N$22+1,10,12,14,16,18,20)*((0*(((0.15*B2505*5))^0/1)+1*(((0.15*B2505*5))^1/1)+2*(((0.15*B2505*5))^2/2)+3*(((0.15*B2505*5))^3/6)+4*(((0.15*B2505*5))^4/24)+5*(((0.15*B2505*5))^5/120))/((((0.15*B2505*5))^0/1)+(((0.15*B2505*5))^1/1)+(((0.15*B2505*5))^2/2)+(((0.15*B2505*5))^3/6)+(((0.15*B2505*5))^4/24)+(((0.15*B2505*5))^5/120))),0)))/100)*(MIN(Skills!W17,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485">
      <c r="A2485">
        <f>Skills!A18</f>
        <v/>
      </c>
      <c r="B2485">
        <f>Skills!B18</f>
        <v/>
      </c>
      <c r="C2485">
        <f>Inputs!$B$3&gt;=115</f>
        <v/>
      </c>
      <c r="D2485">
        <f>IF(Skills!C18=1,60+Inputs!$B$25+Inputs!$B$29,IF(Skills!C18=2,90+Inputs!$B$26+Inputs!$B$29,IF(Skills!C18=3,120+Inputs!$B$27+Inputs!$B$29,MAX(0,(Inputs!$B$3-100)*3)+Inputs!$B$28+Inputs!$B$29)))</f>
        <v/>
      </c>
      <c r="E2485">
        <f>INDEX(FactorTable!$B$2:$Y$301, MATCH(ROUND(MIN(300,MAX(1,D2485)),0), FactorTable!$A$2:$A$301,0), Skills!M18+1)</f>
        <v/>
      </c>
      <c r="F2485">
        <f>IF(Skills!N18=TRUE,(Skills!L18/10)*(E2485/1000),Skills!L18/10)+Skills!O18</f>
        <v/>
      </c>
      <c r="G2485">
        <f>Skills!G18*IF(Skills!H18&gt;0,IF(Inputs!$B$39="pvp",MIN(Skills!I18,15),Skills!I18)/Skills!H18,1)</f>
        <v/>
      </c>
      <c r="H2485">
        <f>1-(1-Skills!J18/100)^Skills!K18</f>
        <v/>
      </c>
      <c r="I2485" t="inlineStr">
        <is>
          <t>1</t>
        </is>
      </c>
      <c r="J2485" t="inlineStr"/>
      <c r="K2485" t="inlineStr"/>
      <c r="L2485" t="inlineStr"/>
      <c r="M2485" t="inlineStr"/>
      <c r="N2485" t="inlineStr"/>
      <c r="O2485">
        <f>(1-Summary!$B$11)*T2485+Summary!$B$11*V2485</f>
        <v/>
      </c>
      <c r="P2485">
        <f>IF(B2513=0,0,O2485/B2513)</f>
        <v/>
      </c>
      <c r="Q2485" t="n">
        <v>0</v>
      </c>
      <c r="R2485" t="n">
        <v>0</v>
      </c>
      <c r="S2485">
        <f>IFERROR(O2485/N2485,0)</f>
        <v/>
      </c>
      <c r="T2485" t="n">
        <v>0</v>
      </c>
      <c r="V2485" t="n">
        <v>0</v>
      </c>
    </row>
    <row r="2486">
      <c r="A2486">
        <f>Skills!A19</f>
        <v/>
      </c>
      <c r="B2486">
        <f>Skills!B19</f>
        <v/>
      </c>
      <c r="C2486">
        <f>Inputs!$B$3&gt;=100</f>
        <v/>
      </c>
      <c r="D2486">
        <f>IF(Skills!C19=1,60+Inputs!$B$25+Inputs!$B$29,IF(Skills!C19=2,90+Inputs!$B$26+Inputs!$B$29,IF(Skills!C19=3,120+Inputs!$B$27+Inputs!$B$29,MAX(0,(Inputs!$B$3-100)*3)+Inputs!$B$28+Inputs!$B$29)))</f>
        <v/>
      </c>
      <c r="E2486">
        <f>INDEX(FactorTable!$B$2:$Y$301, MATCH(ROUND(MIN(300,MAX(1,D2486)),0), FactorTable!$A$2:$A$301,0), Skills!M19+1)</f>
        <v/>
      </c>
      <c r="F2486">
        <f>IF(Skills!N19=TRUE,(Skills!L19/10)*(E2486/1000),Skills!L19/10)+Skills!O19</f>
        <v/>
      </c>
      <c r="G2486">
        <f>Skills!G19*IF(Skills!H19&gt;0,IF(Inputs!$B$39="pvp",MIN(Skills!I19,15),Skills!I19)/Skills!H19,1)</f>
        <v/>
      </c>
      <c r="H2486">
        <f>1-(1-Skills!J19/100)^Skills!K19</f>
        <v/>
      </c>
      <c r="I2486" t="inlineStr">
        <is>
          <t>1</t>
        </is>
      </c>
      <c r="J2486" t="inlineStr"/>
      <c r="K2486" t="inlineStr"/>
      <c r="L2486" t="inlineStr"/>
      <c r="M2486" t="inlineStr"/>
      <c r="N2486" t="inlineStr"/>
      <c r="O2486">
        <f>(1-Summary!$B$11)*T2486+Summary!$B$11*V2486</f>
        <v/>
      </c>
      <c r="P2486">
        <f>IF(B2513=0,0,O2486/B2513)</f>
        <v/>
      </c>
      <c r="Q2486" t="n">
        <v>0</v>
      </c>
      <c r="R2486" t="n">
        <v>0</v>
      </c>
      <c r="S2486">
        <f>IFERROR(O2486/N2486,0)</f>
        <v/>
      </c>
      <c r="T2486" t="n">
        <v>0</v>
      </c>
      <c r="V2486" t="n">
        <v>0</v>
      </c>
    </row>
    <row r="2487">
      <c r="A2487">
        <f>Skills!A20</f>
        <v/>
      </c>
      <c r="B2487">
        <f>Skills!B20</f>
        <v/>
      </c>
      <c r="C2487">
        <f>TRUE</f>
        <v/>
      </c>
      <c r="D2487">
        <f>IF(Skills!C20=1,60+Inputs!$B$25+Inputs!$B$29,IF(Skills!C20=2,90+Inputs!$B$26+Inputs!$B$29,IF(Skills!C20=3,120+Inputs!$B$27+Inputs!$B$29,MAX(0,(Inputs!$B$3-100)*3)+Inputs!$B$28+Inputs!$B$29)))</f>
        <v/>
      </c>
      <c r="E2487">
        <f>INDEX(FactorTable!$B$2:$Y$301, MATCH(ROUND(MIN(300,MAX(1,D2487)),0), FactorTable!$A$2:$A$301,0), Skills!M20+1)</f>
        <v/>
      </c>
      <c r="F2487">
        <f>IF(Skills!N20=TRUE,(Skills!L20/10)*(E2487/1000),Skills!L20/10)+Skills!O20</f>
        <v/>
      </c>
      <c r="G2487">
        <f>Skills!G20*IF(Skills!H20&gt;0,IF(Inputs!$B$39="pvp",MIN(Skills!I20,15),Skills!I20)/Skills!H20,1)</f>
        <v/>
      </c>
      <c r="H2487">
        <f>1-(1-Skills!J20/100)^Skills!K20</f>
        <v/>
      </c>
      <c r="I2487" t="inlineStr">
        <is>
          <t>1</t>
        </is>
      </c>
      <c r="J2487" t="inlineStr"/>
      <c r="K2487" t="inlineStr"/>
      <c r="L2487" t="inlineStr"/>
      <c r="M2487" t="inlineStr"/>
      <c r="N2487" t="inlineStr"/>
      <c r="O2487">
        <f>(1-Summary!$B$11)*T2487+Summary!$B$11*V2487</f>
        <v/>
      </c>
      <c r="P2487">
        <f>IF(B2513=0,0,O2487/B2513)</f>
        <v/>
      </c>
      <c r="Q2487">
        <f>IFERROR(1/IF(Inputs!$B$39="pvp",15,MAX(0.1,Skills!D20-IF(TRUE=TRUE,Inputs!$B$32,0))),0)</f>
        <v/>
      </c>
      <c r="R2487">
        <f>IF(AND(Inputs!$B$39&lt;&gt;"pvp",Inputs!$B$44&gt;0),IF(Inputs!$B$44&lt;=0,0,(INT(Inputs!$B$44/IF(Inputs!$B$39="pvp",15,MAX(0.1,Skills!D20-IF(TRUE=TRUE,Inputs!$B$32,0))))+1)),0)</f>
        <v/>
      </c>
      <c r="S2487">
        <f>IFERROR(O2487/N2487,0)</f>
        <v/>
      </c>
      <c r="T2487" t="n">
        <v>0</v>
      </c>
      <c r="V2487" t="n">
        <v>0</v>
      </c>
    </row>
    <row r="2488">
      <c r="A2488">
        <f>Skills!A21</f>
        <v/>
      </c>
      <c r="B2488">
        <f>Skills!B21</f>
        <v/>
      </c>
      <c r="C2488">
        <f>Inputs!$B$3&gt;=15</f>
        <v/>
      </c>
      <c r="D2488">
        <f>IF(Skills!C21=1,60+Inputs!$B$25+Inputs!$B$29,IF(Skills!C21=2,90+Inputs!$B$26+Inputs!$B$29,IF(Skills!C21=3,120+Inputs!$B$27+Inputs!$B$29,MAX(0,(Inputs!$B$3-100)*3)+Inputs!$B$28+Inputs!$B$29)))</f>
        <v/>
      </c>
      <c r="E2488">
        <f>INDEX(FactorTable!$B$2:$Y$301, MATCH(ROUND(MIN(300,MAX(1,D2488)),0), FactorTable!$A$2:$A$301,0), Skills!M21+1)</f>
        <v/>
      </c>
      <c r="F2488">
        <f>IF(Skills!N21=TRUE,(Skills!L21/10)*(E2488/1000),Skills!L21/10)+Skills!O21</f>
        <v/>
      </c>
      <c r="G2488">
        <f>Skills!G21*IF(Skills!H21&gt;0,IF(Inputs!$B$39="pvp",MIN(Skills!I21,15),Skills!I21)/Skills!H21,1)</f>
        <v/>
      </c>
      <c r="H2488">
        <f>1-(1-Skills!J21/100)^Skills!K21</f>
        <v/>
      </c>
      <c r="I2488" t="inlineStr">
        <is>
          <t>1</t>
        </is>
      </c>
      <c r="J2488" t="inlineStr"/>
      <c r="K2488" t="inlineStr"/>
      <c r="L2488" t="inlineStr"/>
      <c r="M2488" t="inlineStr"/>
      <c r="N2488" t="inlineStr"/>
      <c r="O2488">
        <f>(1-Summary!$B$11)*T2488+Summary!$B$11*V2488</f>
        <v/>
      </c>
      <c r="P2488">
        <f>IF(B2513=0,0,O2488/B2513)</f>
        <v/>
      </c>
      <c r="Q2488">
        <f>IFERROR(1/IF(Inputs!$B$39="pvp",15,MAX(0.1,Skills!D21-IF(TRUE=TRUE,Inputs!$B$32,0))),0)</f>
        <v/>
      </c>
      <c r="R2488">
        <f>IF(AND(Inputs!$B$39&lt;&gt;"pvp",Inputs!$B$44&gt;0),IF(Inputs!$B$44&lt;=0,0,(INT(Inputs!$B$44/IF(Inputs!$B$39="pvp",15,MAX(0.1,Skills!D21-IF(TRUE=TRUE,Inputs!$B$32,0))))+1)),0)</f>
        <v/>
      </c>
      <c r="S2488">
        <f>IFERROR(O2488/N2488,0)</f>
        <v/>
      </c>
      <c r="T2488" t="n">
        <v>0</v>
      </c>
      <c r="V2488" t="n">
        <v>0</v>
      </c>
    </row>
    <row r="2489">
      <c r="A2489">
        <f>Skills!A22</f>
        <v/>
      </c>
      <c r="B2489">
        <f>Skills!B22</f>
        <v/>
      </c>
      <c r="C2489">
        <f>Inputs!$B$3&gt;=15</f>
        <v/>
      </c>
      <c r="D2489">
        <f>IF(Skills!C22=1,60+Inputs!$B$25+Inputs!$B$29,IF(Skills!C22=2,90+Inputs!$B$26+Inputs!$B$29,IF(Skills!C22=3,120+Inputs!$B$27+Inputs!$B$29,MAX(0,(Inputs!$B$3-100)*3)+Inputs!$B$28+Inputs!$B$29)))</f>
        <v/>
      </c>
      <c r="E2489">
        <f>INDEX(FactorTable!$B$2:$Y$301, MATCH(ROUND(MIN(300,MAX(1,D2489)),0), FactorTable!$A$2:$A$301,0), Skills!M22+1)</f>
        <v/>
      </c>
      <c r="F2489">
        <f>IF(Skills!N22=TRUE,(Skills!L22/10)*(E2489/1000),Skills!L22/10)+Skills!O22</f>
        <v/>
      </c>
      <c r="G2489">
        <f>Skills!G22*IF(Skills!H22&gt;0,IF(Inputs!$B$39="pvp",MIN(Skills!I22,15),Skills!I22)/Skills!H22,1)</f>
        <v/>
      </c>
      <c r="H2489">
        <f>1-(1-Skills!J22/100)^Skills!K22</f>
        <v/>
      </c>
      <c r="I2489" t="inlineStr">
        <is>
          <t>1</t>
        </is>
      </c>
      <c r="J2489" t="inlineStr"/>
      <c r="K2489" t="inlineStr"/>
      <c r="L2489" t="inlineStr"/>
      <c r="M2489" t="inlineStr"/>
      <c r="N2489" t="inlineStr"/>
      <c r="O2489">
        <f>(1-Summary!$B$11)*T2489+Summary!$B$11*V2489</f>
        <v/>
      </c>
      <c r="P2489">
        <f>IF(B2513=0,0,O2489/B2513)</f>
        <v/>
      </c>
      <c r="Q2489">
        <f>IFERROR(1/IF(Inputs!$B$39="pvp",15,MAX(0.1,Skills!D22-IF(TRUE=TRUE,Inputs!$B$32,0))),0)</f>
        <v/>
      </c>
      <c r="R2489">
        <f>IF(AND(Inputs!$B$39&lt;&gt;"pvp",Inputs!$B$44&gt;0),IF(Inputs!$B$44&lt;=0,0,(INT(Inputs!$B$44/IF(Inputs!$B$39="pvp",15,MAX(0.1,Skills!D22-IF(TRUE=TRUE,Inputs!$B$32,0))))+1)),0)</f>
        <v/>
      </c>
      <c r="S2489">
        <f>IFERROR(O2489/N2489,0)</f>
        <v/>
      </c>
      <c r="T2489" t="n">
        <v>0</v>
      </c>
      <c r="V2489" t="n">
        <v>0</v>
      </c>
    </row>
    <row r="2490">
      <c r="A2490">
        <f>Skills!A23</f>
        <v/>
      </c>
      <c r="B2490">
        <f>Skills!B23</f>
        <v/>
      </c>
      <c r="C2490">
        <f>Inputs!$B$3&gt;=33</f>
        <v/>
      </c>
      <c r="D2490">
        <f>IF(Skills!C23=1,60+Inputs!$B$25+Inputs!$B$29,IF(Skills!C23=2,90+Inputs!$B$26+Inputs!$B$29,IF(Skills!C23=3,120+Inputs!$B$27+Inputs!$B$29,MAX(0,(Inputs!$B$3-100)*3)+Inputs!$B$28+Inputs!$B$29)))</f>
        <v/>
      </c>
      <c r="E2490">
        <f>INDEX(FactorTable!$B$2:$Y$301, MATCH(ROUND(MIN(300,MAX(1,D2490)),0), FactorTable!$A$2:$A$301,0), Skills!M23+1)</f>
        <v/>
      </c>
      <c r="F2490">
        <f>IF(Skills!N23=TRUE,(Skills!L23/10)*(E2490/1000),Skills!L23/10)+Skills!O23</f>
        <v/>
      </c>
      <c r="G2490">
        <f>Skills!G23*IF(Skills!H23&gt;0,IF(Inputs!$B$39="pvp",MIN(Skills!I23,15),Skills!I23)/Skills!H23,1)</f>
        <v/>
      </c>
      <c r="H2490">
        <f>1-(1-Skills!J23/100)^Skills!K23</f>
        <v/>
      </c>
      <c r="I2490" t="inlineStr">
        <is>
          <t>1</t>
        </is>
      </c>
      <c r="J2490" t="inlineStr"/>
      <c r="K2490" t="inlineStr"/>
      <c r="L2490" t="inlineStr"/>
      <c r="M2490" t="inlineStr"/>
      <c r="N2490" t="inlineStr"/>
      <c r="O2490">
        <f>(1-Summary!$B$11)*T2490+Summary!$B$11*V2490</f>
        <v/>
      </c>
      <c r="P2490">
        <f>IF(B2513=0,0,O2490/B2513)</f>
        <v/>
      </c>
      <c r="Q2490" t="n">
        <v>0</v>
      </c>
      <c r="R2490" t="n">
        <v>0</v>
      </c>
      <c r="S2490">
        <f>IFERROR(O2490/N2490,0)</f>
        <v/>
      </c>
      <c r="T2490" t="n">
        <v>0</v>
      </c>
      <c r="V2490" t="n">
        <v>0</v>
      </c>
    </row>
    <row r="2491">
      <c r="A2491">
        <f>Skills!A24</f>
        <v/>
      </c>
      <c r="B2491">
        <f>Skills!B24</f>
        <v/>
      </c>
      <c r="C2491">
        <f>Inputs!$B$3&gt;=40</f>
        <v/>
      </c>
      <c r="D2491">
        <f>IF(Skills!C24=1,60+Inputs!$B$25+Inputs!$B$29,IF(Skills!C24=2,90+Inputs!$B$26+Inputs!$B$29,IF(Skills!C24=3,120+Inputs!$B$27+Inputs!$B$29,MAX(0,(Inputs!$B$3-100)*3)+Inputs!$B$28+Inputs!$B$29)))</f>
        <v/>
      </c>
      <c r="E2491">
        <f>INDEX(FactorTable!$B$2:$Y$301, MATCH(ROUND(MIN(300,MAX(1,D2491)),0), FactorTable!$A$2:$A$301,0), Skills!M24+1)</f>
        <v/>
      </c>
      <c r="F2491">
        <f>IF(Skills!N24=TRUE,(Skills!L24/10)*(E2491/1000),Skills!L24/10)+Skills!O24</f>
        <v/>
      </c>
      <c r="G2491">
        <f>Skills!G24*IF(Skills!H24&gt;0,IF(Inputs!$B$39="pvp",MIN(Skills!I24,15),Skills!I24)/Skills!H24,1)</f>
        <v/>
      </c>
      <c r="H2491">
        <f>1-(1-Skills!J24/100)^Skills!K24</f>
        <v/>
      </c>
      <c r="I2491" t="inlineStr">
        <is>
          <t>1</t>
        </is>
      </c>
      <c r="J2491" t="inlineStr"/>
      <c r="K2491" t="inlineStr"/>
      <c r="L2491" t="inlineStr"/>
      <c r="M2491" t="inlineStr"/>
      <c r="N2491" t="inlineStr"/>
      <c r="O2491">
        <f>(1-Summary!$B$11)*T2491+Summary!$B$11*V2491</f>
        <v/>
      </c>
      <c r="P2491">
        <f>IF(B2513=0,0,O2491/B2513)</f>
        <v/>
      </c>
      <c r="Q2491" t="n">
        <v>0</v>
      </c>
      <c r="R2491" t="n">
        <v>0</v>
      </c>
      <c r="S2491">
        <f>IFERROR(O2491/N2491,0)</f>
        <v/>
      </c>
      <c r="T2491" t="n">
        <v>0</v>
      </c>
      <c r="V2491" t="n">
        <v>0</v>
      </c>
    </row>
    <row r="2492">
      <c r="A2492">
        <f>Skills!A25</f>
        <v/>
      </c>
      <c r="B2492">
        <f>Skills!B25</f>
        <v/>
      </c>
      <c r="C2492">
        <f>Inputs!$B$3&gt;=43</f>
        <v/>
      </c>
      <c r="D2492">
        <f>IF(Skills!C25=1,60+Inputs!$B$25+Inputs!$B$29,IF(Skills!C25=2,90+Inputs!$B$26+Inputs!$B$29,IF(Skills!C25=3,120+Inputs!$B$27+Inputs!$B$29,MAX(0,(Inputs!$B$3-100)*3)+Inputs!$B$28+Inputs!$B$29)))</f>
        <v/>
      </c>
      <c r="E2492">
        <f>INDEX(FactorTable!$B$2:$Y$301, MATCH(ROUND(MIN(300,MAX(1,D2492)),0), FactorTable!$A$2:$A$301,0), Skills!M25+1)</f>
        <v/>
      </c>
      <c r="F2492">
        <f>IF(Skills!N25=TRUE,(Skills!L25/10)*(E2492/1000),Skills!L25/10)+Skills!O25</f>
        <v/>
      </c>
      <c r="G2492">
        <f>Skills!G25*IF(Skills!H25&gt;0,IF(Inputs!$B$39="pvp",MIN(Skills!I25,15),Skills!I25)/Skills!H25,1)</f>
        <v/>
      </c>
      <c r="H2492">
        <f>1-(1-Skills!J25/100)^Skills!K25</f>
        <v/>
      </c>
      <c r="I2492" t="inlineStr">
        <is>
          <t>1</t>
        </is>
      </c>
      <c r="J2492" t="inlineStr"/>
      <c r="K2492" t="inlineStr"/>
      <c r="L2492" t="inlineStr"/>
      <c r="M2492" t="inlineStr"/>
      <c r="N2492" t="inlineStr"/>
      <c r="O2492">
        <f>(1-Summary!$B$11)*T2492+Summary!$B$11*V2492</f>
        <v/>
      </c>
      <c r="P2492">
        <f>IF(B2513=0,0,O2492/B2513)</f>
        <v/>
      </c>
      <c r="Q2492" t="n">
        <v>0</v>
      </c>
      <c r="R2492" t="n">
        <v>0</v>
      </c>
      <c r="S2492">
        <f>IFERROR(O2492/N2492,0)</f>
        <v/>
      </c>
      <c r="T2492" t="n">
        <v>0</v>
      </c>
      <c r="V2492" t="n">
        <v>0</v>
      </c>
    </row>
    <row r="2493">
      <c r="A2493">
        <f>Skills!A26</f>
        <v/>
      </c>
      <c r="B2493">
        <f>Skills!B26</f>
        <v/>
      </c>
      <c r="C2493">
        <f>Inputs!$B$3&gt;=50</f>
        <v/>
      </c>
      <c r="D2493">
        <f>IF(Skills!C26=1,60+Inputs!$B$25+Inputs!$B$29,IF(Skills!C26=2,90+Inputs!$B$26+Inputs!$B$29,IF(Skills!C26=3,120+Inputs!$B$27+Inputs!$B$29,MAX(0,(Inputs!$B$3-100)*3)+Inputs!$B$28+Inputs!$B$29)))</f>
        <v/>
      </c>
      <c r="E2493">
        <f>INDEX(FactorTable!$B$2:$Y$301, MATCH(ROUND(MIN(300,MAX(1,D2493)),0), FactorTable!$A$2:$A$301,0), Skills!M26+1)</f>
        <v/>
      </c>
      <c r="F2493">
        <f>IF(Skills!N26=TRUE,(Skills!L26/10)*(E2493/1000),Skills!L26/10)+Skills!O26</f>
        <v/>
      </c>
      <c r="G2493">
        <f>Skills!G26*IF(Skills!H26&gt;0,IF(Inputs!$B$39="pvp",MIN(Skills!I26,15),Skills!I26)/Skills!H26,1)</f>
        <v/>
      </c>
      <c r="H2493">
        <f>1-(1-Skills!J26/100)^Skills!K26</f>
        <v/>
      </c>
      <c r="I2493" t="inlineStr">
        <is>
          <t>1</t>
        </is>
      </c>
      <c r="J2493" t="inlineStr"/>
      <c r="K2493" t="inlineStr"/>
      <c r="L2493" t="inlineStr"/>
      <c r="M2493" t="inlineStr"/>
      <c r="N2493" t="inlineStr"/>
      <c r="O2493">
        <f>(1-Summary!$B$11)*T2493+Summary!$B$11*V2493</f>
        <v/>
      </c>
      <c r="P2493">
        <f>IF(B2513=0,0,O2493/B2513)</f>
        <v/>
      </c>
      <c r="Q2493" t="n">
        <v>0</v>
      </c>
      <c r="R2493" t="n">
        <v>0</v>
      </c>
      <c r="S2493">
        <f>IFERROR(O2493/N2493,0)</f>
        <v/>
      </c>
      <c r="T2493" t="n">
        <v>0</v>
      </c>
      <c r="V2493" t="n">
        <v>0</v>
      </c>
    </row>
    <row r="2494">
      <c r="A2494">
        <f>Skills!A27</f>
        <v/>
      </c>
      <c r="B2494">
        <f>Skills!B27</f>
        <v/>
      </c>
      <c r="C2494">
        <f>Inputs!$B$3&gt;=50</f>
        <v/>
      </c>
      <c r="D2494">
        <f>IF(Skills!C27=1,60+Inputs!$B$25+Inputs!$B$29,IF(Skills!C27=2,90+Inputs!$B$26+Inputs!$B$29,IF(Skills!C27=3,120+Inputs!$B$27+Inputs!$B$29,MAX(0,(Inputs!$B$3-100)*3)+Inputs!$B$28+Inputs!$B$29)))</f>
        <v/>
      </c>
      <c r="E2494">
        <f>INDEX(FactorTable!$B$2:$Y$301, MATCH(ROUND(MIN(300,MAX(1,D2494)),0), FactorTable!$A$2:$A$301,0), Skills!M27+1)</f>
        <v/>
      </c>
      <c r="F2494">
        <f>IF(Skills!N27=TRUE,(Skills!L27/10)*(E2494/1000),Skills!L27/10)+Skills!O27</f>
        <v/>
      </c>
      <c r="G2494">
        <f>Skills!G27*IF(Skills!H27&gt;0,IF(Inputs!$B$39="pvp",MIN(Skills!I27,15),Skills!I27)/Skills!H27,1)</f>
        <v/>
      </c>
      <c r="H2494">
        <f>1-(1-Skills!J27/100)^Skills!K27</f>
        <v/>
      </c>
      <c r="I2494" t="inlineStr">
        <is>
          <t>1</t>
        </is>
      </c>
      <c r="J2494" t="inlineStr"/>
      <c r="K2494" t="inlineStr"/>
      <c r="L2494" t="inlineStr"/>
      <c r="M2494" t="inlineStr"/>
      <c r="N2494" t="inlineStr"/>
      <c r="O2494">
        <f>(1-Summary!$B$11)*T2494+Summary!$B$11*V2494</f>
        <v/>
      </c>
      <c r="P2494">
        <f>IF(B2513=0,0,O2494/B2513)</f>
        <v/>
      </c>
      <c r="Q2494" t="n">
        <v>0</v>
      </c>
      <c r="R2494" t="n">
        <v>0</v>
      </c>
      <c r="S2494">
        <f>IFERROR(O2494/N2494,0)</f>
        <v/>
      </c>
      <c r="T2494" t="n">
        <v>0</v>
      </c>
      <c r="V2494" t="n">
        <v>0</v>
      </c>
    </row>
    <row r="2495">
      <c r="A2495">
        <f>Skills!A28</f>
        <v/>
      </c>
      <c r="B2495">
        <f>Skills!B28</f>
        <v/>
      </c>
      <c r="C2495">
        <f>Inputs!$B$3&gt;=38</f>
        <v/>
      </c>
      <c r="D2495">
        <f>IF(Skills!C28=1,60+Inputs!$B$25+Inputs!$B$29,IF(Skills!C28=2,90+Inputs!$B$26+Inputs!$B$29,IF(Skills!C28=3,120+Inputs!$B$27+Inputs!$B$29,MAX(0,(Inputs!$B$3-100)*3)+Inputs!$B$28+Inputs!$B$29)))</f>
        <v/>
      </c>
      <c r="E2495">
        <f>INDEX(FactorTable!$B$2:$Y$301, MATCH(ROUND(MIN(300,MAX(1,D2495)),0), FactorTable!$A$2:$A$301,0), Skills!M28+1)</f>
        <v/>
      </c>
      <c r="F2495">
        <f>IF(Skills!N28=TRUE,(Skills!L28/10)*(E2495/1000),Skills!L28/10)+Skills!O28</f>
        <v/>
      </c>
      <c r="G2495">
        <f>Skills!G28*IF(Skills!H28&gt;0,IF(Inputs!$B$39="pvp",MIN(Skills!I28,15),Skills!I28)/Skills!H28,1)</f>
        <v/>
      </c>
      <c r="H2495">
        <f>1-(1-Skills!J28/100)^Skills!K28</f>
        <v/>
      </c>
      <c r="I2495" t="inlineStr">
        <is>
          <t>1</t>
        </is>
      </c>
      <c r="J2495" t="inlineStr"/>
      <c r="K2495" t="inlineStr"/>
      <c r="L2495" t="inlineStr"/>
      <c r="M2495" t="inlineStr"/>
      <c r="N2495" t="inlineStr"/>
      <c r="O2495">
        <f>(1-Summary!$B$11)*T2495+Summary!$B$11*V2495</f>
        <v/>
      </c>
      <c r="P2495">
        <f>IF(B2513=0,0,O2495/B2513)</f>
        <v/>
      </c>
      <c r="Q2495" t="n">
        <v>0</v>
      </c>
      <c r="R2495" t="n">
        <v>0</v>
      </c>
      <c r="S2495">
        <f>IFERROR(O2495/N2495,0)</f>
        <v/>
      </c>
      <c r="T2495" t="n">
        <v>0</v>
      </c>
      <c r="V2495" t="n">
        <v>0</v>
      </c>
    </row>
    <row r="2496">
      <c r="A2496">
        <f>Skills!A29</f>
        <v/>
      </c>
      <c r="B2496">
        <f>Skills!B29</f>
        <v/>
      </c>
      <c r="C2496">
        <f>Inputs!$B$3&gt;=120</f>
        <v/>
      </c>
      <c r="D2496">
        <f>IF(Skills!C29=1,60+Inputs!$B$25+Inputs!$B$29,IF(Skills!C29=2,90+Inputs!$B$26+Inputs!$B$29,IF(Skills!C29=3,120+Inputs!$B$27+Inputs!$B$29,MAX(0,(Inputs!$B$3-100)*3)+Inputs!$B$28+Inputs!$B$29)))</f>
        <v/>
      </c>
      <c r="E2496">
        <f>INDEX(FactorTable!$B$2:$Y$301, MATCH(ROUND(MIN(300,MAX(1,D2496)),0), FactorTable!$A$2:$A$301,0), Skills!M29+1)</f>
        <v/>
      </c>
      <c r="F2496">
        <f>IF(Skills!N29=TRUE,(Skills!L29/10)*(E2496/1000),Skills!L29/10)+Skills!O29</f>
        <v/>
      </c>
      <c r="G2496">
        <f>Skills!G29*IF(Skills!H29&gt;0,IF(Inputs!$B$39="pvp",MIN(Skills!I29,15),Skills!I29)/Skills!H29,1)</f>
        <v/>
      </c>
      <c r="H2496">
        <f>1-(1-Skills!J29/100)^Skills!K29</f>
        <v/>
      </c>
      <c r="I2496" t="inlineStr">
        <is>
          <t>1</t>
        </is>
      </c>
      <c r="J2496" t="inlineStr"/>
      <c r="K2496" t="inlineStr"/>
      <c r="L2496" t="inlineStr"/>
      <c r="M2496" t="inlineStr"/>
      <c r="N2496" t="inlineStr"/>
      <c r="O2496">
        <f>(1-Summary!$B$11)*T2496+Summary!$B$11*V2496</f>
        <v/>
      </c>
      <c r="P2496">
        <f>IF(B2513=0,0,O2496/B2513)</f>
        <v/>
      </c>
      <c r="Q2496" t="n">
        <v>0</v>
      </c>
      <c r="R2496" t="n">
        <v>0</v>
      </c>
      <c r="S2496">
        <f>IFERROR(O2496/N2496,0)</f>
        <v/>
      </c>
      <c r="T2496" t="n">
        <v>0</v>
      </c>
      <c r="V2496" t="n">
        <v>0</v>
      </c>
    </row>
    <row r="2497">
      <c r="A2497">
        <f>Skills!A30</f>
        <v/>
      </c>
      <c r="B2497">
        <f>Skills!B30</f>
        <v/>
      </c>
      <c r="C2497">
        <f>Inputs!$B$3&gt;=120</f>
        <v/>
      </c>
      <c r="D2497">
        <f>IF(Skills!C30=1,60+Inputs!$B$25+Inputs!$B$29,IF(Skills!C30=2,90+Inputs!$B$26+Inputs!$B$29,IF(Skills!C30=3,120+Inputs!$B$27+Inputs!$B$29,MAX(0,(Inputs!$B$3-100)*3)+Inputs!$B$28+Inputs!$B$29)))</f>
        <v/>
      </c>
      <c r="E2497">
        <f>INDEX(FactorTable!$B$2:$Y$301, MATCH(ROUND(MIN(300,MAX(1,D2497)),0), FactorTable!$A$2:$A$301,0), Skills!M30+1)</f>
        <v/>
      </c>
      <c r="F2497">
        <f>IF(Skills!N30=TRUE,(Skills!L30/10)*(E2497/1000),Skills!L30/10)+Skills!O30</f>
        <v/>
      </c>
      <c r="G2497">
        <f>Skills!G30*IF(Skills!H30&gt;0,IF(Inputs!$B$39="pvp",MIN(Skills!I30,15),Skills!I30)/Skills!H30,1)</f>
        <v/>
      </c>
      <c r="H2497">
        <f>1-(1-Skills!J30/100)^Skills!K30</f>
        <v/>
      </c>
      <c r="I2497" t="inlineStr">
        <is>
          <t>1</t>
        </is>
      </c>
      <c r="J2497" t="inlineStr"/>
      <c r="K2497" t="inlineStr"/>
      <c r="L2497" t="inlineStr"/>
      <c r="M2497" t="inlineStr"/>
      <c r="N2497" t="inlineStr"/>
      <c r="O2497">
        <f>(1-Summary!$B$11)*T2497+Summary!$B$11*V2497</f>
        <v/>
      </c>
      <c r="P2497">
        <f>IF(B2513=0,0,O2497/B2513)</f>
        <v/>
      </c>
      <c r="Q2497" t="n">
        <v>0</v>
      </c>
      <c r="R2497" t="n">
        <v>0</v>
      </c>
      <c r="S2497">
        <f>IFERROR(O2497/N2497,0)</f>
        <v/>
      </c>
      <c r="T2497" t="n">
        <v>0</v>
      </c>
      <c r="V2497" t="n">
        <v>0</v>
      </c>
    </row>
    <row r="2498">
      <c r="A2498">
        <f>Skills!A31</f>
        <v/>
      </c>
      <c r="B2498">
        <f>Skills!B31</f>
        <v/>
      </c>
      <c r="C2498">
        <f>Inputs!$B$3&gt;=125</f>
        <v/>
      </c>
      <c r="D2498">
        <f>IF(Skills!C31=1,60+Inputs!$B$25+Inputs!$B$29,IF(Skills!C31=2,90+Inputs!$B$26+Inputs!$B$29,IF(Skills!C31=3,120+Inputs!$B$27+Inputs!$B$29,MAX(0,(Inputs!$B$3-100)*3)+Inputs!$B$28+Inputs!$B$29)))</f>
        <v/>
      </c>
      <c r="E2498">
        <f>INDEX(FactorTable!$B$2:$Y$301, MATCH(ROUND(MIN(300,MAX(1,D2498)),0), FactorTable!$A$2:$A$301,0), Skills!M31+1)</f>
        <v/>
      </c>
      <c r="F2498">
        <f>IF(Skills!N31=TRUE,(Skills!L31/10)*(E2498/1000),Skills!L31/10)+Skills!O31</f>
        <v/>
      </c>
      <c r="G2498">
        <f>Skills!G31*IF(Skills!H31&gt;0,IF(Inputs!$B$39="pvp",MIN(Skills!I31,15),Skills!I31)/Skills!H31,1)</f>
        <v/>
      </c>
      <c r="H2498">
        <f>1-(1-Skills!J31/100)^Skills!K31</f>
        <v/>
      </c>
      <c r="I2498" t="inlineStr">
        <is>
          <t>1</t>
        </is>
      </c>
      <c r="J2498" t="inlineStr"/>
      <c r="K2498" t="inlineStr"/>
      <c r="L2498" t="inlineStr"/>
      <c r="M2498" t="inlineStr"/>
      <c r="N2498" t="inlineStr"/>
      <c r="O2498">
        <f>(1-Summary!$B$11)*T2498+Summary!$B$11*V2498</f>
        <v/>
      </c>
      <c r="P2498">
        <f>IF(B2513=0,0,O2498/B2513)</f>
        <v/>
      </c>
      <c r="Q2498" t="n">
        <v>0</v>
      </c>
      <c r="R2498" t="n">
        <v>0</v>
      </c>
      <c r="S2498">
        <f>IFERROR(O2498/N2498,0)</f>
        <v/>
      </c>
      <c r="T2498" t="n">
        <v>0</v>
      </c>
      <c r="V2498" t="n">
        <v>0</v>
      </c>
    </row>
    <row r="2500">
      <c r="A2500" t="inlineStr">
        <is>
          <t>Average Buff Multiplier</t>
        </is>
      </c>
      <c r="B2500">
        <f>(1+(((C2489=TRUE)*F2489*IF(AND(Inputs!$B$39&lt;&gt;"pvp",Inputs!$B$44&gt;0),(((R2489-1)*MIN((Skills!Y22*(1+Inputs!$B$34/100)),(1/Q2489))+MIN((Skills!Y22*(1+Inputs!$B$34/100)),MAX(0,Inputs!$B$44-((R2489-1)*(1/Q2489)))))/Inputs!$B$44),IF(Inputs!$B$39="pvp",MIN((Skills!Y22*(1+Inputs!$B$34/100)),15)/15,MIN(1,(Skills!Y22*(1+Inputs!$B$34/100))/(1/Q2489)))))+((C2470=TRUE)*F2470*3)+((C2472=TRUE)*F2472*(1-EXP(-0.75*B2505*5)))+((C2491=TRUE)*(F2491-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2478=TRUE)*F2478*IF(AND(Inputs!$B$39&lt;&gt;"pvp",Inputs!$B$44&gt;0),(((R2478-1)*MIN((Skills!Y11*(1+Inputs!$B$34/100)),(1/Q2478))+MIN((Skills!Y11*(1+Inputs!$B$34/100)),MAX(0,Inputs!$B$44-((R2478-1)*(1/Q2478)))))/Inputs!$B$44),IF(Inputs!$B$39="pvp",MIN((Skills!Y11*(1+Inputs!$B$34/100)),15)/15,MIN(1,(Skills!Y11*(1+Inputs!$B$34/100))/(1/Q2478)))))/100)*(1+((C2483=TRUE)*F2483*IF(AND(Inputs!$B$39&lt;&gt;"pvp",Inputs!$B$44&gt;0),(((R2483-1)*MIN((Skills!Y16*(1+Inputs!$B$34/100)),(1/Q2483))+MIN((Skills!Y16*(1+Inputs!$B$34/100)),MAX(0,Inputs!$B$44-((R2483-1)*(1/Q2483)))))/Inputs!$B$44),IF(Inputs!$B$39="pvp",MIN((Skills!Y16*(1+Inputs!$B$34/100)),15)/15,MIN(1,(Skills!Y16*(1+Inputs!$B$34/100))/(1/Q2483)))))/100)</f>
        <v/>
      </c>
    </row>
    <row r="2501">
      <c r="A2501" t="inlineStr">
        <is>
          <t>Global Crit Rate Bonus %</t>
        </is>
      </c>
      <c r="B2501">
        <f>((C2488=TRUE)*F2488*IF(AND(Inputs!$B$39&lt;&gt;"pvp",Inputs!$B$44&gt;0),(((R2488-1)*MIN((Skills!Y21*(1+Inputs!$B$34/100)),(1/Q2488))+MIN((Skills!Y21*(1+Inputs!$B$34/100)),MAX(0,Inputs!$B$44-((R2488-1)*(1/Q2488)))))/Inputs!$B$44),IF(Inputs!$B$39="pvp",MIN((Skills!Y21*(1+Inputs!$B$34/100)),15)/15,MIN(1,(Skills!Y21*(1+Inputs!$B$34/100))/(1/Q2488)))))</f>
        <v/>
      </c>
    </row>
    <row r="2502">
      <c r="A2502" t="inlineStr">
        <is>
          <t>Global Monster Damage-Taken Bonus %</t>
        </is>
      </c>
      <c r="B2502">
        <f>IF(Inputs!$B$3&gt;=82,15,0)</f>
        <v/>
      </c>
    </row>
    <row r="2503">
      <c r="A2503" t="inlineStr">
        <is>
          <t>Shadow Partner Average Multiplier</t>
        </is>
      </c>
      <c r="B2503">
        <f>1+((C2475=TRUE)*F2475*(1+3.3333333333333335*IF(C2486=TRUE,F2486,0)/100)*I2475*Skills!J8/100)/100</f>
        <v/>
      </c>
    </row>
    <row r="2504">
      <c r="A2504" t="inlineStr">
        <is>
          <t>Attack Speed Buff Bonus %</t>
        </is>
      </c>
      <c r="B2504">
        <f>((C2487=TRUE)*F2487*IF(AND(Inputs!$B$39&lt;&gt;"pvp",Inputs!$B$44&gt;0),(((R2487-1)*MIN((Skills!Y20*(1+Inputs!$B$34/100)),(1/Q2487))+MIN((Skills!Y20*(1+Inputs!$B$34/100)),MAX(0,Inputs!$B$44-((R2487-1)*(1/Q2487)))))/Inputs!$B$44),IF(Inputs!$B$39="pvp",MIN((Skills!Y20*(1+Inputs!$B$34/100)),15)/15,MIN(1,(Skills!Y20*(1+Inputs!$B$34/100))/(1/Q2487)))))</f>
        <v/>
      </c>
    </row>
    <row r="2505">
      <c r="A2505" t="inlineStr">
        <is>
          <t>Actions Per Second</t>
        </is>
      </c>
      <c r="B2505">
        <f>1+MIN(150,150*(1-(1-(Inputs!$B$11+((C2490=TRUE)*(F2490-Calc!F23)))/150)*(1-B2504/150)))/100</f>
        <v/>
      </c>
    </row>
    <row r="2506">
      <c r="A2506" t="inlineStr">
        <is>
          <t>Skill + Buff Cast Rate</t>
        </is>
      </c>
      <c r="B2506">
        <f>IF(AND(Inputs!$B$39&lt;&gt;"pvp",Inputs!$B$44&gt;0),SUMPRODUCT((Skills!E2:E31=TRUE)*(C2469:C2498=TRUE)*R2469:R2498*Skills!F2:F31)/Inputs!$B$44,SUMPRODUCT((Skills!E2:E31=TRUE)*(C2469:C2498=TRUE)*Q2469:Q2498*Skills!F2:F31))</f>
        <v/>
      </c>
    </row>
    <row r="2507">
      <c r="A2507" t="inlineStr">
        <is>
          <t>Cruel Stab Casts Per Second</t>
        </is>
      </c>
      <c r="B2507">
        <f>MAX(0,B2505-B2506)</f>
        <v/>
      </c>
    </row>
    <row r="2508">
      <c r="A2508" t="inlineStr">
        <is>
          <t>Global Critical Damage Bonus % (Smokescreen Mastery Lv.113)</t>
        </is>
      </c>
      <c r="B2508">
        <f>IF(Inputs!$B$3&gt;=113,30,0)*IF(AND(Inputs!$B$39&lt;&gt;"pvp",Inputs!$B$44&gt;0),(((R2483-1)*MIN((Skills!Y16*(1+Inputs!$B$34/100)),(1/Q2483))+MIN((Skills!Y16*(1+Inputs!$B$34/100)),MAX(0,Inputs!$B$44-((R2483-1)*(1/Q2483)))))/Inputs!$B$44),IF(Inputs!$B$39="pvp",MIN((Skills!Y16*(1+Inputs!$B$34/100)),15)/15,MIN(1,(Skills!Y16*(1+Inputs!$B$34/100))/(1/Q2483))))</f>
        <v/>
      </c>
    </row>
    <row r="2509">
      <c r="A2509" t="inlineStr">
        <is>
          <t>Meso Explosion average stack count</t>
        </is>
      </c>
      <c r="B2509">
        <f>MIN(10,IF(Inputs!$B$3&gt;=75,0.75,0.5)*B2505*(1/Q2471))</f>
        <v/>
      </c>
    </row>
    <row r="2510">
      <c r="A2510" t="inlineStr">
        <is>
          <t>Blood Money average stack count</t>
        </is>
      </c>
      <c r="B2510">
        <f>MIN(5,0.5*IF(Inputs!$B$3&gt;=75,0.75,0.5)*B2505*(1/Q2471))</f>
        <v/>
      </c>
    </row>
    <row r="2511">
      <c r="A2511" t="inlineStr">
        <is>
          <t>Assassinate Murderous Intent Multiplier</t>
        </is>
      </c>
      <c r="B2511">
        <f>1+IFERROR(MIN(1,Q2482*2/Q2479),0)</f>
        <v/>
      </c>
    </row>
    <row r="2512">
      <c r="A2512" t="inlineStr">
        <is>
          <t>Buff-Casting Startup Delay (s, fixed-duration only)</t>
        </is>
      </c>
      <c r="B2512">
        <f>IF(AND(Inputs!$B$39&lt;&gt;"pvp",Inputs!$B$44&gt;0),SUMPRODUCT((Skills!Y2:Y31&gt;0)*(Skills!E2:E31=TRUE)*(C2469:C2498=TRUE))/B2505,0)</f>
        <v/>
      </c>
    </row>
    <row r="2513">
      <c r="A2513" s="6" t="inlineStr">
        <is>
          <t>TOTAL DPS</t>
        </is>
      </c>
      <c r="B2513" s="6">
        <f>SUM(O2469:O2498)</f>
        <v/>
      </c>
    </row>
    <row r="2514">
      <c r="A2514" t="inlineStr">
        <is>
          <t>Boss-Only Total DPS (this block's swept value)</t>
        </is>
      </c>
      <c r="B2514">
        <f>SUM(T2469:T2498)</f>
        <v/>
      </c>
    </row>
    <row r="2515">
      <c r="A2515" t="inlineStr">
        <is>
          <t>Normal-Only Total DPS (this block's swept value)</t>
        </is>
      </c>
      <c r="B2515">
        <f>SUM(V2469:V2498)</f>
        <v/>
      </c>
    </row>
    <row r="2518">
      <c r="A2518" s="6" t="inlineStr">
        <is>
          <t>Stat: Lit Lamp (Equip)</t>
        </is>
      </c>
    </row>
    <row r="2519">
      <c r="A2519" s="5" t="inlineStr">
        <is>
          <t>Key</t>
        </is>
      </c>
      <c r="B2519" s="5" t="inlineStr">
        <is>
          <t>Name</t>
        </is>
      </c>
      <c r="C2519" s="5" t="inlineStr">
        <is>
          <t>Unlocked</t>
        </is>
      </c>
      <c r="D2519" s="5" t="inlineStr">
        <is>
          <t>InputLevel</t>
        </is>
      </c>
      <c r="E2519" s="5" t="inlineStr">
        <is>
          <t>Factor</t>
        </is>
      </c>
      <c r="F2519" s="5" t="inlineStr">
        <is>
          <t>CoefficientPercent</t>
        </is>
      </c>
      <c r="G2519" s="5" t="inlineStr">
        <is>
          <t>EffectiveHits</t>
        </is>
      </c>
      <c r="H2519" s="5" t="inlineStr">
        <is>
          <t>ProcProbability</t>
        </is>
      </c>
      <c r="I2519" s="5" t="inlineStr">
        <is>
          <t>MapleHeroMultiplier</t>
        </is>
      </c>
      <c r="J2519" s="5" t="inlineStr">
        <is>
          <t>BaseDamage</t>
        </is>
      </c>
      <c r="K2519" s="5" t="inlineStr">
        <is>
          <t>BaseHitDamage</t>
        </is>
      </c>
      <c r="L2519" s="5" t="inlineStr">
        <is>
          <t>NonCritAvg</t>
        </is>
      </c>
      <c r="M2519" s="5" t="inlineStr">
        <is>
          <t>CritAvg</t>
        </is>
      </c>
      <c r="N2519" s="5" t="inlineStr">
        <is>
          <t>ExpectedDamage(perHit)</t>
        </is>
      </c>
      <c r="O2519" s="5" t="inlineStr">
        <is>
          <t>DPS</t>
        </is>
      </c>
      <c r="P2519" s="5" t="inlineStr">
        <is>
          <t>% of Total</t>
        </is>
      </c>
      <c r="Q2519" s="5" t="inlineStr">
        <is>
          <t>InvCooldown</t>
        </is>
      </c>
      <c r="R2519" s="5" t="inlineStr">
        <is>
          <t>CastsInFight</t>
        </is>
      </c>
      <c r="S2519" s="5" t="inlineStr">
        <is>
          <t>HitRate(perSec)</t>
        </is>
      </c>
      <c r="U2519" t="inlineStr">
        <is>
          <t>helpers</t>
        </is>
      </c>
    </row>
    <row r="2520">
      <c r="A2520">
        <f>Skills!A2</f>
        <v/>
      </c>
      <c r="B2520">
        <f>Skills!B2</f>
        <v/>
      </c>
      <c r="C2520">
        <f>Inputs!$B$3&gt;=100</f>
        <v/>
      </c>
      <c r="D2520" t="inlineStr"/>
      <c r="E2520" t="inlineStr"/>
      <c r="F2520">
        <f>U2522+Skills!O2</f>
        <v/>
      </c>
      <c r="G2520">
        <f>Skills!G2*IF(Skills!H2&gt;0,IF(Inputs!$B$39="pvp",MIN(Skills!I2,15),Skills!I2)/Skills!H2,1)</f>
        <v/>
      </c>
      <c r="H2520">
        <f>1-(1-Skills!J2/100)^Skills!K2</f>
        <v/>
      </c>
      <c r="I2520" t="inlineStr">
        <is>
          <t>1</t>
        </is>
      </c>
      <c r="J2520">
        <f>((Inputs!$B$6*(1+Inputs!$B$7/100))+(((Inputs!$B$12*(1+Inputs!$B$13/100))-(Inputs!$B$12*(1+Inputs!$B$13/100)))+0.25*(Inputs!$B$14-Inputs!$B$14))*(1+Inputs!$B$7/100))*(F2520/100)</f>
        <v/>
      </c>
      <c r="K2520">
        <f>J2520*(1+((Inputs!$B$12*(1+Inputs!$B$13/100))*0.01+Inputs!$B$14*0.0025)/100)*(1+Inputs!$B$15/100)*(1+Inputs!$B$16/100)*(5000/(6000+Inputs!$B$43*(1-(100*(1-(1-Inputs!$B$19/100)*(1-CHOOSE(ArtifactsInput!$N$40+1,5,6,7,8,9,10)/100)^(ArtifactsInput!$M$40-ArtifactsInput!$M$40)))/100)))*(1+(Inputs!$B$24+((C2549=TRUE)*(F2549-Calc!F31))+((C2536=TRUE)*(F2536-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IF(ArtifactsInput!$M$28,FALSE,TRUE)-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CRUEL_STAB",Inputs!$B$17+((C2546=TRUE)*(F2546-Calc!F28))+((IF(AND(Inputs!$B$39&lt;&gt;"pvp",Inputs!$B$44=0),1,IF(IF(Inputs!$B$39="pvp",15,Inputs!$B$44)-(B2563)&lt;=0,1,MAX(0,IF(Inputs!$B$39="pvp",15,Inputs!$B$44)-MAX(5,B2563))/(IF(Inputs!$B$39="pvp",15,Inputs!$B$44)-(B2563))))*(IF(AND(ArtifactsInput!$M$42,((Inputs!$B$9+((C2544=TRUE)*(F2544-Calc!F26))+B2552+(ArtifactsInput!$M$24-ArtifactsInput!$M$24)*CHOOSE(ArtifactsInput!$N$24+1,10,12,14,16,18,20)+IF(ArtifactsInput!$M$10,CHOOSE(ArtifactsInput!$N$10+1,15,18,21,24,27,30)*(IF(Inputs!$B$39="pvp",MIN(15,15)/15,IF(AND(Inputs!$B$39&lt;&gt;"pvp",Inputs!$B$44&gt;0),MIN(15,Inputs!$B$44)/(Inputs!$B$44),0))),0)))&gt;=100),MIN(100,((Inputs!$B$9+((C2544=TRUE)*(F2544-Calc!F26))+B2552+(ArtifactsInput!$M$24-ArtifactsInput!$M$24)*CHOOSE(ArtifactsInput!$N$24+1,10,12,14,16,18,20)+IF(ArtifactsInput!$M$10,CHOOSE(ArtifactsInput!$N$10+1,15,18,21,24,27,30)*(IF(Inputs!$B$39="pvp",MIN(15,15)/15,IF(AND(Inputs!$B$39&lt;&gt;"pvp",Inputs!$B$44&gt;0),MIN(15,Inputs!$B$44)/(Inputs!$B$44),0))),0)))-100),0))*CHOOSE(ArtifactsInput!$N$42+1,0.6,0.72,0.84,0.96,1.08,1.2))),Inputs!$B$18+((C2547=TRUE)*(F2547-Calc!F29))+(IF(AND(Inputs!$B$39&lt;&gt;"pvp",Inputs!$B$44=0),1,IF(IF(Inputs!$B$39="pvp",15,Inputs!$B$44)-(B2563)&lt;=0,1,MAX(0,IF(Inputs!$B$39="pvp",15,Inputs!$B$44)-MAX(5,B2563))/(IF(Inputs!$B$39="pvp",15,Inputs!$B$44)-(B2563))))*IF(AND(ArtifactsInput!$M$42,((Inputs!$B$9+((C2544=TRUE)*(F2544-Calc!F26))+B2552+(ArtifactsInput!$M$24-ArtifactsInput!$M$24)*CHOOSE(ArtifactsInput!$N$24+1,10,12,14,16,18,20)+IF(ArtifactsInput!$M$10,CHOOSE(ArtifactsInput!$N$10+1,15,18,21,24,27,30)*(IF(Inputs!$B$39="pvp",MIN(15,15)/15,IF(AND(Inputs!$B$39&lt;&gt;"pvp",Inputs!$B$44&gt;0),MIN(15,Inputs!$B$44)/(Inputs!$B$44),0))),0)))&gt;=100),CHOOSE(ArtifactsInput!$N$42+1,40,48,56,64,72,80),0))))/100)*(((1+(((C2540=TRUE)*F2540*IF(AND(Inputs!$B$39&lt;&gt;"pvp",Inputs!$B$44&gt;0),(((R2540-1)*MIN((Skills!Y22*(1+Inputs!$B$34/100)),(1/Q2540))+MIN((Skills!Y22*(1+Inputs!$B$34/100)),MAX(0,Inputs!$B$44-((R2540-1)*(1/Q2540)))))/Inputs!$B$44),IF(Inputs!$B$39="pvp",MIN((Skills!Y22*(1+Inputs!$B$34/100)),15)/15,MIN(1,(Skills!Y22*(1+Inputs!$B$34/100))/(1/Q2540)))))+((C2521=TRUE)*F2521*3)+((C2523=TRUE)*F2523*(1-EXP(-0.75*B2556*5)))+((C2542=TRUE)*(F2542-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2529=TRUE)*F2529*IF(AND(Inputs!$B$39&lt;&gt;"pvp",Inputs!$B$44&gt;0),(((R2529-1)*MIN((Skills!Y11*(1+Inputs!$B$34/100)),(1/Q2529))+MIN((Skills!Y11*(1+Inputs!$B$34/100)),MAX(0,Inputs!$B$44-((R2529-1)*(1/Q2529)))))/Inputs!$B$44),IF(Inputs!$B$39="pvp",MIN((Skills!Y11*(1+Inputs!$B$34/100)),15)/15,MIN(1,(Skills!Y11*(1+Inputs!$B$34/100))/(1/Q2529)))))/100)*(1+((C2534=TRUE)*F2534*IF(AND(Inputs!$B$39&lt;&gt;"pvp",Inputs!$B$44&gt;0),(((R2534-1)*MIN((Skills!Y16*(1+Inputs!$B$34/100)),(1/Q2534))+MIN((Skills!Y16*(1+Inputs!$B$34/100)),MAX(0,Inputs!$B$44-((R2534-1)*(1/Q2534)))))/Inputs!$B$44),IF(Inputs!$B$39="pvp",MIN((Skills!Y16*(1+Inputs!$B$34/100)),15)/15,MIN(1,(Skills!Y16*(1+Inputs!$B$34/100))/(1/Q2534)))))/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2554*I2520)</f>
        <v/>
      </c>
      <c r="L2520">
        <f>K2520*(MIN(Inputs!$B$22+((C2543=TRUE)*(F2543-Calc!F25)),(Inputs!$B$23+((C2548=TRUE)*(F2548-Calc!F30))+IF(ArtifactsInput!$M$15,CHOOSE(ArtifactsInput!$N$15+1,25,30,35,40,45,50)/100*(Inputs!$B$11-Inputs!$B$11),0)))/100+(Inputs!$B$23+((C2548=TRUE)*(F2548-Calc!F30))+IF(ArtifactsInput!$M$15,CHOOSE(ArtifactsInput!$N$15+1,25,30,35,40,45,50)/100*(Inputs!$B$11-Inputs!$B$11),0))/100)/2</f>
        <v/>
      </c>
      <c r="M2520">
        <f>L2520*(1+(Inputs!$B$10+((C2545=TRUE)*(F2545-Calc!F27))+B2559+(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2520">
        <f>L2520*(1-MIN((Inputs!$B$9+((C2544=TRUE)*(F2544-Calc!F26))+B2552+(ArtifactsInput!$M$24-ArtifactsInput!$M$24)*CHOOSE(ArtifactsInput!$N$24+1,10,12,14,16,18,20)+(IF(AND(Inputs!$B$39&lt;&gt;"pvp",Inputs!$B$44=0),1,IF(IF(Inputs!$B$39="pvp",15,Inputs!$B$44)-(B2563)&lt;=0,1,MAX(0,IF(Inputs!$B$39="pvp",15,Inputs!$B$44)-MAX(5,B2563))/(IF(Inputs!$B$39="pvp",15,Inputs!$B$44)-(B2563))))*IF(AND(ArtifactsInput!$M$42,((Inputs!$B$9+((C2544=TRUE)*(F2544-Calc!F26))+B2552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2520*(MIN((Inputs!$B$9+((C2544=TRUE)*(F2544-Calc!F26))+B2552+(ArtifactsInput!$M$24-ArtifactsInput!$M$24)*CHOOSE(ArtifactsInput!$N$24+1,10,12,14,16,18,20)+(IF(AND(Inputs!$B$39&lt;&gt;"pvp",Inputs!$B$44=0),1,IF(IF(Inputs!$B$39="pvp",15,Inputs!$B$44)-(B2563)&lt;=0,1,MAX(0,IF(Inputs!$B$39="pvp",15,Inputs!$B$44)-MAX(5,B2563))/(IF(Inputs!$B$39="pvp",15,Inputs!$B$44)-(B2563))))*IF(AND(ArtifactsInput!$M$42,((Inputs!$B$9+((C2544=TRUE)*(F2544-Calc!F26))+B2552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520">
        <f>(1-Summary!$B$11)*T2520+Summary!$B$11*V2520</f>
        <v/>
      </c>
      <c r="P2520">
        <f>IF(B2564=0,0,O2520/B2564)</f>
        <v/>
      </c>
      <c r="Q2520" t="n">
        <v>0</v>
      </c>
      <c r="R2520" t="n">
        <v>0</v>
      </c>
      <c r="S2520">
        <f>IFERROR(O2520/N2520,0)</f>
        <v/>
      </c>
      <c r="T2520">
        <f>IF(C2520,(Skills!G2*N2520*B2558)*IF(Inputs!$B$39="pvp",1,1+(Inputs!$B$20+0+Skills!P2+B2553+(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Hunt"),CHOOSE(ArtifactsInput!$N$35+1,15,18,21,24,27,30)*(1-EXP(-(0.2*B2556)*5)),0)+IF(AND(ArtifactsInput!$M$22,Inputs!$B$4&lt;&gt;"Chapter Hunt"),CHOOSE(ArtifactsInput!$N$22+1,10,12,14,16,18,20)*((0*(((0.15*B2556*5))^0/1)+1*(((0.15*B2556*5))^1/1)+2*(((0.15*B2556*5))^2/2)+3*(((0.15*B2556*5))^3/6)+4*(((0.15*B2556*5))^4/24)+5*(((0.15*B2556*5))^5/120))/((((0.15*B2556*5))^0/1)+(((0.15*B2556*5))^1/1)+(((0.15*B2556*5))^2/2)+(((0.15*B2556*5))^3/6)+(((0.15*B2556*5))^4/24)+(((0.15*B2556*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2520*(1-MIN(100,(Inputs!$B$9+((C2544=TRUE)*(F2544-Calc!F26))+B2552+(ArtifactsInput!$M$24-ArtifactsInput!$M$24)*CHOOSE(ArtifactsInput!$N$24+1,10,12,14,16,18,20)+(IF(AND(Inputs!$B$39&lt;&gt;"pvp",Inputs!$B$44=0),1,IF(IF(Inputs!$B$39="pvp",15,Inputs!$B$44)-(B2563)&lt;=0,1,MAX(0,IF(Inputs!$B$39="pvp",15,Inputs!$B$44)-MAX(5,B2563))/(IF(Inputs!$B$39="pvp",15,Inputs!$B$44)-(B2563))))*IF(AND(ArtifactsInput!$M$42,((Inputs!$B$9+((C2544=TRUE)*(F2544-Calc!F26))+B2552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2520*(MIN(100,(Inputs!$B$9+((C2544=TRUE)*(F2544-Calc!F26))+B2552+(ArtifactsInput!$M$24-ArtifactsInput!$M$24)*CHOOSE(ArtifactsInput!$N$24+1,10,12,14,16,18,20)+(IF(AND(Inputs!$B$39&lt;&gt;"pvp",Inputs!$B$44=0),1,IF(IF(Inputs!$B$39="pvp",15,Inputs!$B$44)-(B2563)&lt;=0,1,MAX(0,IF(Inputs!$B$39="pvp",15,Inputs!$B$44)-MAX(5,B2563))/(IF(Inputs!$B$39="pvp",15,Inputs!$B$44)-(B2563))))*IF(AND(ArtifactsInput!$M$42,((Inputs!$B$9+((C2544=TRUE)*(F2544-Calc!F26))+B2552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2520*(1-MIN(100,(Inputs!$B$9+((C2544=TRUE)*(F2544-Calc!F26))+B2552+(ArtifactsInput!$M$24-ArtifactsInput!$M$24)*CHOOSE(ArtifactsInput!$N$24+1,10,12,14,16,18,20)+(IF(AND(Inputs!$B$39&lt;&gt;"pvp",Inputs!$B$44=0),1,IF(IF(Inputs!$B$39="pvp",15,Inputs!$B$44)-(B2563)&lt;=0,1,MAX(0,IF(Inputs!$B$39="pvp",15,Inputs!$B$44)-MAX(5,B2563))/(IF(Inputs!$B$39="pvp",15,Inputs!$B$44)-(B2563))))*IF(AND(ArtifactsInput!$M$42,((Inputs!$B$9+((C2544=TRUE)*(F2544-Calc!F26))+B2552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2520*(MIN(100,(Inputs!$B$9+((C2544=TRUE)*(F2544-Calc!F26))+B2552+(ArtifactsInput!$M$24-ArtifactsInput!$M$24)*CHOOSE(ArtifactsInput!$N$24+1,10,12,14,16,18,20)+(IF(AND(Inputs!$B$39&lt;&gt;"pvp",Inputs!$B$44=0),1,IF(IF(Inputs!$B$39="pvp",15,Inputs!$B$44)-(B2563)&lt;=0,1,MAX(0,IF(Inputs!$B$39="pvp",15,Inputs!$B$44)-MAX(5,B2563))/(IF(Inputs!$B$39="pvp",15,Inputs!$B$44)-(B2563))))*IF(AND(ArtifactsInput!$M$42,((Inputs!$B$9+((C2544=TRUE)*(F2544-Calc!F26))+B2552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2520">
        <f>MAX(0,(Inputs!$B$3-100)*3)+Inputs!$B$28+Inputs!$B$29</f>
        <v/>
      </c>
      <c r="V2520">
        <f>IF(C2520,(Skills!G2*N2520*B2558)*IF(Inputs!$B$39="pvp",1,(1+(Inputs!$B$21+Skills!Q2+B2553+(IF(ArtifactsInput!$M$33,CHOOSE(ArtifactsInput!$N$33+1,30,36,42,48,54,60),0))+(IF(AND(ArtifactsInput!$M$35,Inputs!$B$4&lt;&gt;"Chapter Hunt"),CHOOSE(ArtifactsInput!$N$35+1,15,18,21,24,27,30)*(1-EXP(-(0.2*B2556)*5)),0)+IF(AND(ArtifactsInput!$M$22,Inputs!$B$4&lt;&gt;"Chapter Hunt"),CHOOSE(ArtifactsInput!$N$22+1,10,12,14,16,18,20)*((0*(((0.15*B2556*5))^0/1)+1*(((0.15*B2556*5))^1/1)+2*(((0.15*B2556*5))^2/2)+3*(((0.15*B2556*5))^3/6)+4*(((0.15*B2556*5))^4/24)+5*(((0.15*B2556*5))^5/120))/((((0.15*B2556*5))^0/1)+(((0.15*B2556*5))^1/1)+(((0.15*B2556*5))^2/2)+(((0.15*B2556*5))^3/6)+(((0.15*B2556*5))^4/24)+(((0.15*B2556*5))^5/120))),0)))/100)*(MIN((6+Inputs!$B$33),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521">
      <c r="A2521">
        <f>Skills!A3</f>
        <v/>
      </c>
      <c r="B2521">
        <f>Skills!B3</f>
        <v/>
      </c>
      <c r="C2521">
        <f>Inputs!$B$3&gt;=35</f>
        <v/>
      </c>
      <c r="D2521">
        <f>IF(Skills!C3=1,60+Inputs!$B$25+Inputs!$B$29,IF(Skills!C3=2,90+Inputs!$B$26+Inputs!$B$29,IF(Skills!C3=3,120+Inputs!$B$27+Inputs!$B$29,MAX(0,(Inputs!$B$3-100)*3)+Inputs!$B$28+Inputs!$B$29)))</f>
        <v/>
      </c>
      <c r="E2521">
        <f>INDEX(FactorTable!$B$2:$Y$301, MATCH(ROUND(MIN(300,MAX(1,D2521)),0), FactorTable!$A$2:$A$301,0), Skills!M3+1)</f>
        <v/>
      </c>
      <c r="F2521">
        <f>IF(Skills!N3=TRUE,(Skills!L3/10)*(E2521/1000),Skills!L3/10)+Skills!O3</f>
        <v/>
      </c>
      <c r="G2521">
        <f>Skills!G3*IF(Skills!H3&gt;0,IF(Inputs!$B$39="pvp",MIN(Skills!I3,15),Skills!I3)/Skills!H3,1)</f>
        <v/>
      </c>
      <c r="H2521">
        <f>1-(1-Skills!J3/100)^Skills!K3</f>
        <v/>
      </c>
      <c r="I2521" t="inlineStr">
        <is>
          <t>1</t>
        </is>
      </c>
      <c r="J2521" t="inlineStr"/>
      <c r="K2521" t="inlineStr"/>
      <c r="L2521" t="inlineStr"/>
      <c r="M2521" t="inlineStr"/>
      <c r="N2521" t="inlineStr"/>
      <c r="O2521">
        <f>(1-Summary!$B$11)*T2521+Summary!$B$11*V2521</f>
        <v/>
      </c>
      <c r="P2521">
        <f>IF(B2564=0,0,O2521/B2564)</f>
        <v/>
      </c>
      <c r="Q2521" t="n">
        <v>0</v>
      </c>
      <c r="R2521" t="n">
        <v>0</v>
      </c>
      <c r="S2521">
        <f>IFERROR(O2521/N2521,0)</f>
        <v/>
      </c>
      <c r="T2521" t="n">
        <v>0</v>
      </c>
      <c r="U2521">
        <f>INDEX(FactorTable!$B$2:$Y$301, MATCH(ROUND(MIN(300,MAX(1,U2520)),0), FactorTable!$A$2:$A$301,0), 22)</f>
        <v/>
      </c>
      <c r="V2521" t="n">
        <v>0</v>
      </c>
    </row>
    <row r="2522">
      <c r="A2522">
        <f>Skills!A4</f>
        <v/>
      </c>
      <c r="B2522">
        <f>Skills!B4</f>
        <v/>
      </c>
      <c r="C2522">
        <f>Inputs!$B$3&gt;=66</f>
        <v/>
      </c>
      <c r="D2522">
        <f>IF(Skills!C4=1,60+Inputs!$B$25+Inputs!$B$29,IF(Skills!C4=2,90+Inputs!$B$26+Inputs!$B$29,IF(Skills!C4=3,120+Inputs!$B$27+Inputs!$B$29,MAX(0,(Inputs!$B$3-100)*3)+Inputs!$B$28+Inputs!$B$29)))</f>
        <v/>
      </c>
      <c r="E2522">
        <f>INDEX(FactorTable!$B$2:$Y$301, MATCH(ROUND(MIN(300,MAX(1,D2522)),0), FactorTable!$A$2:$A$301,0), Skills!M4+1)</f>
        <v/>
      </c>
      <c r="F2522">
        <f>IF(Skills!N4=TRUE,(Skills!L4/10)*(E2522/1000),Skills!L4/10)+Skills!O4</f>
        <v/>
      </c>
      <c r="G2522">
        <f>Skills!G4*IF(Skills!H4&gt;0,IF(Inputs!$B$39="pvp",MIN(Skills!I4,15),Skills!I4)/Skills!H4,1)</f>
        <v/>
      </c>
      <c r="H2522">
        <f>1-(1-Skills!J4/100)^Skills!K4</f>
        <v/>
      </c>
      <c r="I2522" t="inlineStr">
        <is>
          <t>1</t>
        </is>
      </c>
      <c r="J2522">
        <f>((Inputs!$B$6*(1+Inputs!$B$7/100))+(((Inputs!$B$12*(1+Inputs!$B$13/100))-(Inputs!$B$12*(1+Inputs!$B$13/100)))+0.25*(Inputs!$B$14-Inputs!$B$14))*(1+Inputs!$B$7/100))*(F2522/100)</f>
        <v/>
      </c>
      <c r="K2522">
        <f>J2522*(1+((Inputs!$B$12*(1+Inputs!$B$13/100))*0.01+Inputs!$B$14*0.0025)/100)*(1+Inputs!$B$15/100)*(1+Inputs!$B$16/100)*(5000/(6000+Inputs!$B$43*(1-(100*(1-(1-Inputs!$B$19/100)*(1-CHOOSE(ArtifactsInput!$N$40+1,5,6,7,8,9,10)/100)^(ArtifactsInput!$M$40-ArtifactsInput!$M$40)))/100)))*(1+(Inputs!$B$24+((C2549=TRUE)*(F2549-Calc!F31))+((C2536=TRUE)*(F2536-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IF(ArtifactsInput!$M$28,FALSE,TRUE)-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4="CRUEL_STAB",Inputs!$B$17+((C2546=TRUE)*(F2546-Calc!F28))+((IF(AND(Inputs!$B$39&lt;&gt;"pvp",Inputs!$B$44=0),1,IF(IF(Inputs!$B$39="pvp",15,Inputs!$B$44)-(B2563)&lt;=0,1,MAX(0,IF(Inputs!$B$39="pvp",15,Inputs!$B$44)-MAX(5,B2563))/(IF(Inputs!$B$39="pvp",15,Inputs!$B$44)-(B2563))))*(IF(AND(ArtifactsInput!$M$42,((Inputs!$B$9+((C2544=TRUE)*(F2544-Calc!F26))+B2552+(ArtifactsInput!$M$24-ArtifactsInput!$M$24)*CHOOSE(ArtifactsInput!$N$24+1,10,12,14,16,18,20)+IF(ArtifactsInput!$M$10,CHOOSE(ArtifactsInput!$N$10+1,15,18,21,24,27,30)*(IF(Inputs!$B$39="pvp",MIN(15,15)/15,IF(AND(Inputs!$B$39&lt;&gt;"pvp",Inputs!$B$44&gt;0),MIN(15,Inputs!$B$44)/(Inputs!$B$44),0))),0)))&gt;=100),MIN(100,((Inputs!$B$9+((C2544=TRUE)*(F2544-Calc!F26))+B2552+(ArtifactsInput!$M$24-ArtifactsInput!$M$24)*CHOOSE(ArtifactsInput!$N$24+1,10,12,14,16,18,20)+IF(ArtifactsInput!$M$10,CHOOSE(ArtifactsInput!$N$10+1,15,18,21,24,27,30)*(IF(Inputs!$B$39="pvp",MIN(15,15)/15,IF(AND(Inputs!$B$39&lt;&gt;"pvp",Inputs!$B$44&gt;0),MIN(15,Inputs!$B$44)/(Inputs!$B$44),0))),0)))-100),0))*CHOOSE(ArtifactsInput!$N$42+1,0.6,0.72,0.84,0.96,1.08,1.2))),Inputs!$B$18+((C2547=TRUE)*(F2547-Calc!F29))+(IF(AND(Inputs!$B$39&lt;&gt;"pvp",Inputs!$B$44=0),1,IF(IF(Inputs!$B$39="pvp",15,Inputs!$B$44)-(B2563)&lt;=0,1,MAX(0,IF(Inputs!$B$39="pvp",15,Inputs!$B$44)-MAX(5,B2563))/(IF(Inputs!$B$39="pvp",15,Inputs!$B$44)-(B2563))))*IF(AND(ArtifactsInput!$M$42,((Inputs!$B$9+((C2544=TRUE)*(F2544-Calc!F26))+B2552+(ArtifactsInput!$M$24-ArtifactsInput!$M$24)*CHOOSE(ArtifactsInput!$N$24+1,10,12,14,16,18,20)+IF(ArtifactsInput!$M$10,CHOOSE(ArtifactsInput!$N$10+1,15,18,21,24,27,30)*(IF(Inputs!$B$39="pvp",MIN(15,15)/15,IF(AND(Inputs!$B$39&lt;&gt;"pvp",Inputs!$B$44&gt;0),MIN(15,Inputs!$B$44)/(Inputs!$B$44),0))),0)))&gt;=100),CHOOSE(ArtifactsInput!$N$42+1,40,48,56,64,72,80),0))))/100)*(((1+(((C2540=TRUE)*F2540*IF(AND(Inputs!$B$39&lt;&gt;"pvp",Inputs!$B$44&gt;0),(((R2540-1)*MIN((Skills!Y22*(1+Inputs!$B$34/100)),(1/Q2540))+MIN((Skills!Y22*(1+Inputs!$B$34/100)),MAX(0,Inputs!$B$44-((R2540-1)*(1/Q2540)))))/Inputs!$B$44),IF(Inputs!$B$39="pvp",MIN((Skills!Y22*(1+Inputs!$B$34/100)),15)/15,MIN(1,(Skills!Y22*(1+Inputs!$B$34/100))/(1/Q2540)))))+((C2521=TRUE)*F2521*3)+((C2523=TRUE)*F2523*(1-EXP(-0.75*B2556*5)))+((C2542=TRUE)*(F2542-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2529=TRUE)*F2529*IF(AND(Inputs!$B$39&lt;&gt;"pvp",Inputs!$B$44&gt;0),(((R2529-1)*MIN((Skills!Y11*(1+Inputs!$B$34/100)),(1/Q2529))+MIN((Skills!Y11*(1+Inputs!$B$34/100)),MAX(0,Inputs!$B$44-((R2529-1)*(1/Q2529)))))/Inputs!$B$44),IF(Inputs!$B$39="pvp",MIN((Skills!Y11*(1+Inputs!$B$34/100)),15)/15,MIN(1,(Skills!Y11*(1+Inputs!$B$34/100))/(1/Q2529)))))/100)*(1+((C2534=TRUE)*F2534*IF(AND(Inputs!$B$39&lt;&gt;"pvp",Inputs!$B$44&gt;0),(((R2534-1)*MIN((Skills!Y16*(1+Inputs!$B$34/100)),(1/Q2534))+MIN((Skills!Y16*(1+Inputs!$B$34/100)),MAX(0,Inputs!$B$44-((R2534-1)*(1/Q2534)))))/Inputs!$B$44),IF(Inputs!$B$39="pvp",MIN((Skills!Y16*(1+Inputs!$B$34/100)),15)/15,MIN(1,(Skills!Y16*(1+Inputs!$B$34/100))/(1/Q2534)))))/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2554*I2522)</f>
        <v/>
      </c>
      <c r="L2522">
        <f>K2522*(MIN(Inputs!$B$22+((C2543=TRUE)*(F2543-Calc!F25)),(Inputs!$B$23+((C2548=TRUE)*(F2548-Calc!F30))+IF(ArtifactsInput!$M$15,CHOOSE(ArtifactsInput!$N$15+1,25,30,35,40,45,50)/100*(Inputs!$B$11-Inputs!$B$11),0)))/100+(Inputs!$B$23+((C2548=TRUE)*(F2548-Calc!F30))+IF(ArtifactsInput!$M$15,CHOOSE(ArtifactsInput!$N$15+1,25,30,35,40,45,50)/100*(Inputs!$B$11-Inputs!$B$11),0))/100)/2</f>
        <v/>
      </c>
      <c r="M2522">
        <f>L2522*(1+(Inputs!$B$10+((C2545=TRUE)*(F2545-Calc!F27))+B2559+(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2522">
        <f>L2522*(1-MIN((Inputs!$B$9+((C2544=TRUE)*(F2544-Calc!F26))+B2552+(ArtifactsInput!$M$24-ArtifactsInput!$M$24)*CHOOSE(ArtifactsInput!$N$24+1,10,12,14,16,18,20)+(IF(AND(Inputs!$B$39&lt;&gt;"pvp",Inputs!$B$44=0),1,IF(IF(Inputs!$B$39="pvp",15,Inputs!$B$44)-(B2563)&lt;=0,1,MAX(0,IF(Inputs!$B$39="pvp",15,Inputs!$B$44)-MAX(5,B2563))/(IF(Inputs!$B$39="pvp",15,Inputs!$B$44)-(B2563))))*IF(AND(ArtifactsInput!$M$42,((Inputs!$B$9+((C2544=TRUE)*(F2544-Calc!F26))+B2552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2522*(MIN((Inputs!$B$9+((C2544=TRUE)*(F2544-Calc!F26))+B2552+(ArtifactsInput!$M$24-ArtifactsInput!$M$24)*CHOOSE(ArtifactsInput!$N$24+1,10,12,14,16,18,20)+(IF(AND(Inputs!$B$39&lt;&gt;"pvp",Inputs!$B$44=0),1,IF(IF(Inputs!$B$39="pvp",15,Inputs!$B$44)-(B2563)&lt;=0,1,MAX(0,IF(Inputs!$B$39="pvp",15,Inputs!$B$44)-MAX(5,B2563))/(IF(Inputs!$B$39="pvp",15,Inputs!$B$44)-(B2563))))*IF(AND(ArtifactsInput!$M$42,((Inputs!$B$9+((C2544=TRUE)*(F2544-Calc!F26))+B2552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522">
        <f>(1-Summary!$B$11)*T2522+Summary!$B$11*V2522</f>
        <v/>
      </c>
      <c r="P2522">
        <f>IF(B2564=0,0,O2522/B2564)</f>
        <v/>
      </c>
      <c r="Q2522">
        <f>IFERROR(1/IF(Inputs!$B$39="pvp",15,MAX(0.1,Skills!D4-IF(TRUE=TRUE,Inputs!$B$32,0))),0)</f>
        <v/>
      </c>
      <c r="R2522">
        <f>IF(AND(Inputs!$B$39&lt;&gt;"pvp",Inputs!$B$44&gt;0),IF(MAX(0,Inputs!$B$44-B2563)&lt;=0,0,(INT(MAX(0,Inputs!$B$44-B2563)/IF(Inputs!$B$39="pvp",15,MAX(0.1,Skills!D4-IF(TRUE=TRUE,Inputs!$B$32,0))))+1)),0)</f>
        <v/>
      </c>
      <c r="S2522">
        <f>IFERROR(O2522/N2522,0)</f>
        <v/>
      </c>
      <c r="T2522">
        <f>IF(C2522,(H2522*N2522*IF(AND(Inputs!$B$39&lt;&gt;"pvp",Inputs!$B$44&gt;0),((Skills!G4*((R2522-1)*IF(Skills!H4&gt;0,Skills!I4/Skills!H4,1)+IF(Skills!H4&gt;0,MIN(Skills!I4,MAX(0,MAX(0,Inputs!$B$44-B2563)-((R2522-1)*IF(Inputs!$B$39="pvp",15,MAX(0.1,Skills!D4-IF(TRUE=TRUE,Inputs!$B$32,0))))))/Skills!H4,1)))/Inputs!$B$44),G2522*Q2522))*IF(Inputs!$B$39="pvp",1,1+(Inputs!$B$20+0+Skills!P4+B2553+(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Hunt"),CHOOSE(ArtifactsInput!$N$35+1,15,18,21,24,27,30)*(1-EXP(-(0.2*B2556)*5)),0)+IF(AND(ArtifactsInput!$M$22,Inputs!$B$4&lt;&gt;"Chapter Hunt"),CHOOSE(ArtifactsInput!$N$22+1,10,12,14,16,18,20)*((0*(((0.15*B2556*5))^0/1)+1*(((0.15*B2556*5))^1/1)+2*(((0.15*B2556*5))^2/2)+3*(((0.15*B2556*5))^3/6)+4*(((0.15*B2556*5))^4/24)+5*(((0.15*B2556*5))^5/120))/((((0.15*B2556*5))^0/1)+(((0.15*B2556*5))^1/1)+(((0.15*B2556*5))^2/2)+(((0.15*B2556*5))^3/6)+(((0.15*B2556*5))^4/24)+(((0.15*B2556*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2522*(1-MIN(100,(Inputs!$B$9+((C2544=TRUE)*(F2544-Calc!F26))+B2552+(ArtifactsInput!$M$24-ArtifactsInput!$M$24)*CHOOSE(ArtifactsInput!$N$24+1,10,12,14,16,18,20)+(IF(AND(Inputs!$B$39&lt;&gt;"pvp",Inputs!$B$44=0),1,IF(IF(Inputs!$B$39="pvp",15,Inputs!$B$44)-(B2563)&lt;=0,1,MAX(0,IF(Inputs!$B$39="pvp",15,Inputs!$B$44)-MAX(5,B2563))/(IF(Inputs!$B$39="pvp",15,Inputs!$B$44)-(B2563))))*IF(AND(ArtifactsInput!$M$42,((Inputs!$B$9+((C2544=TRUE)*(F2544-Calc!F26))+B2552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2522*(MIN(100,(Inputs!$B$9+((C2544=TRUE)*(F2544-Calc!F26))+B2552+(ArtifactsInput!$M$24-ArtifactsInput!$M$24)*CHOOSE(ArtifactsInput!$N$24+1,10,12,14,16,18,20)+(IF(AND(Inputs!$B$39&lt;&gt;"pvp",Inputs!$B$44=0),1,IF(IF(Inputs!$B$39="pvp",15,Inputs!$B$44)-(B2563)&lt;=0,1,MAX(0,IF(Inputs!$B$39="pvp",15,Inputs!$B$44)-MAX(5,B2563))/(IF(Inputs!$B$39="pvp",15,Inputs!$B$44)-(B2563))))*IF(AND(ArtifactsInput!$M$42,((Inputs!$B$9+((C2544=TRUE)*(F2544-Calc!F26))+B2552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2522*(1-MIN(100,(Inputs!$B$9+((C2544=TRUE)*(F2544-Calc!F26))+B2552+(ArtifactsInput!$M$24-ArtifactsInput!$M$24)*CHOOSE(ArtifactsInput!$N$24+1,10,12,14,16,18,20)+(IF(AND(Inputs!$B$39&lt;&gt;"pvp",Inputs!$B$44=0),1,IF(IF(Inputs!$B$39="pvp",15,Inputs!$B$44)-(B2563)&lt;=0,1,MAX(0,IF(Inputs!$B$39="pvp",15,Inputs!$B$44)-MAX(5,B2563))/(IF(Inputs!$B$39="pvp",15,Inputs!$B$44)-(B2563))))*IF(AND(ArtifactsInput!$M$42,((Inputs!$B$9+((C2544=TRUE)*(F2544-Calc!F26))+B2552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2522*(MIN(100,(Inputs!$B$9+((C2544=TRUE)*(F2544-Calc!F26))+B2552+(ArtifactsInput!$M$24-ArtifactsInput!$M$24)*CHOOSE(ArtifactsInput!$N$24+1,10,12,14,16,18,20)+(IF(AND(Inputs!$B$39&lt;&gt;"pvp",Inputs!$B$44=0),1,IF(IF(Inputs!$B$39="pvp",15,Inputs!$B$44)-(B2563)&lt;=0,1,MAX(0,IF(Inputs!$B$39="pvp",15,Inputs!$B$44)-MAX(5,B2563))/(IF(Inputs!$B$39="pvp",15,Inputs!$B$44)-(B2563))))*IF(AND(ArtifactsInput!$M$42,((Inputs!$B$9+((C2544=TRUE)*(F2544-Calc!F26))+B2552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2522">
        <f>290*U2521/1000</f>
        <v/>
      </c>
      <c r="V2522">
        <f>IF(C2522,(H2522*N2522*IF(AND(Inputs!$B$39&lt;&gt;"pvp",Inputs!$B$44&gt;0),((Skills!G4*((R2522-1)*IF(Skills!H4&gt;0,Skills!I4/Skills!H4,1)+IF(Skills!H4&gt;0,MIN(Skills!I4,MAX(0,MAX(0,Inputs!$B$44-B2563)-((R2522-1)*IF(Inputs!$B$39="pvp",15,MAX(0.1,Skills!D4-IF(TRUE=TRUE,Inputs!$B$32,0))))))/Skills!H4,1)))/Inputs!$B$44),G2522*Q2522))*IF(Inputs!$B$39="pvp",1,(1+(Inputs!$B$21+Skills!Q4+B2553+(IF(ArtifactsInput!$M$33,CHOOSE(ArtifactsInput!$N$33+1,30,36,42,48,54,60),0))+(IF(AND(ArtifactsInput!$M$35,Inputs!$B$4&lt;&gt;"Chapter Hunt"),CHOOSE(ArtifactsInput!$N$35+1,15,18,21,24,27,30)*(1-EXP(-(0.2*B2556)*5)),0)+IF(AND(ArtifactsInput!$M$22,Inputs!$B$4&lt;&gt;"Chapter Hunt"),CHOOSE(ArtifactsInput!$N$22+1,10,12,14,16,18,20)*((0*(((0.15*B2556*5))^0/1)+1*(((0.15*B2556*5))^1/1)+2*(((0.15*B2556*5))^2/2)+3*(((0.15*B2556*5))^3/6)+4*(((0.15*B2556*5))^4/24)+5*(((0.15*B2556*5))^5/120))/((((0.15*B2556*5))^0/1)+(((0.15*B2556*5))^1/1)+(((0.15*B2556*5))^2/2)+(((0.15*B2556*5))^3/6)+(((0.15*B2556*5))^4/24)+(((0.15*B2556*5))^5/120))),0)))/100)*(MIN(MIN(10,IF(Inputs!$B$3&gt;=75,0.75,0.5)*B2556*(1/Q2522)),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523">
      <c r="A2523">
        <f>Skills!A5</f>
        <v/>
      </c>
      <c r="B2523">
        <f>Skills!B5</f>
        <v/>
      </c>
      <c r="C2523">
        <f>Inputs!$B$3&gt;=75</f>
        <v/>
      </c>
      <c r="D2523">
        <f>IF(Skills!C5=1,60+Inputs!$B$25+Inputs!$B$29,IF(Skills!C5=2,90+Inputs!$B$26+Inputs!$B$29,IF(Skills!C5=3,120+Inputs!$B$27+Inputs!$B$29,MAX(0,(Inputs!$B$3-100)*3)+Inputs!$B$28+Inputs!$B$29)))</f>
        <v/>
      </c>
      <c r="E2523">
        <f>INDEX(FactorTable!$B$2:$Y$301, MATCH(ROUND(MIN(300,MAX(1,D2523)),0), FactorTable!$A$2:$A$301,0), Skills!M5+1)</f>
        <v/>
      </c>
      <c r="F2523">
        <f>IF(Skills!N5=TRUE,(Skills!L5/10)*(E2523/1000),Skills!L5/10)+Skills!O5</f>
        <v/>
      </c>
      <c r="G2523">
        <f>Skills!G5*IF(Skills!H5&gt;0,IF(Inputs!$B$39="pvp",MIN(Skills!I5,15),Skills!I5)/Skills!H5,1)</f>
        <v/>
      </c>
      <c r="H2523">
        <f>1-(1-Skills!J5/100)^Skills!K5</f>
        <v/>
      </c>
      <c r="I2523" t="inlineStr">
        <is>
          <t>1</t>
        </is>
      </c>
      <c r="J2523" t="inlineStr"/>
      <c r="K2523" t="inlineStr"/>
      <c r="L2523" t="inlineStr"/>
      <c r="M2523" t="inlineStr"/>
      <c r="N2523" t="inlineStr"/>
      <c r="O2523">
        <f>(1-Summary!$B$11)*T2523+Summary!$B$11*V2523</f>
        <v/>
      </c>
      <c r="P2523">
        <f>IF(B2564=0,0,O2523/B2564)</f>
        <v/>
      </c>
      <c r="Q2523" t="n">
        <v>0</v>
      </c>
      <c r="R2523" t="n">
        <v>0</v>
      </c>
      <c r="S2523">
        <f>IFERROR(O2523/N2523,0)</f>
        <v/>
      </c>
      <c r="T2523" t="n">
        <v>0</v>
      </c>
      <c r="V2523" t="n">
        <v>0</v>
      </c>
    </row>
    <row r="2524">
      <c r="A2524">
        <f>Skills!A6</f>
        <v/>
      </c>
      <c r="B2524">
        <f>Skills!B6</f>
        <v/>
      </c>
      <c r="C2524">
        <f>Inputs!$B$3&gt;=63</f>
        <v/>
      </c>
      <c r="D2524">
        <f>IF(Skills!C6=1,60+Inputs!$B$25+Inputs!$B$29,IF(Skills!C6=2,90+Inputs!$B$26+Inputs!$B$29,IF(Skills!C6=3,120+Inputs!$B$27+Inputs!$B$29,MAX(0,(Inputs!$B$3-100)*3)+Inputs!$B$28+Inputs!$B$29)))</f>
        <v/>
      </c>
      <c r="E2524">
        <f>INDEX(FactorTable!$B$2:$Y$301, MATCH(ROUND(MIN(300,MAX(1,D2524)),0), FactorTable!$A$2:$A$301,0), Skills!M6+1)</f>
        <v/>
      </c>
      <c r="F2524">
        <f>IF(Skills!N6=TRUE,(Skills!L6/10)*(E2524/1000),Skills!L6/10)+Skills!O6</f>
        <v/>
      </c>
      <c r="G2524">
        <f>Skills!G6*IF(Skills!H6&gt;0,IF(Inputs!$B$39="pvp",MIN(Skills!I6,15),Skills!I6)/Skills!H6,1)</f>
        <v/>
      </c>
      <c r="H2524">
        <f>1-(1-Skills!J6/100)^Skills!K6</f>
        <v/>
      </c>
      <c r="I2524" t="inlineStr">
        <is>
          <t>1</t>
        </is>
      </c>
      <c r="J2524">
        <f>((Inputs!$B$6*(1+Inputs!$B$7/100))+(((Inputs!$B$12*(1+Inputs!$B$13/100))-(Inputs!$B$12*(1+Inputs!$B$13/100)))+0.25*(Inputs!$B$14-Inputs!$B$14))*(1+Inputs!$B$7/100))*(F2524/100)</f>
        <v/>
      </c>
      <c r="K2524">
        <f>J2524*(1+((Inputs!$B$12*(1+Inputs!$B$13/100))*0.01+Inputs!$B$14*0.0025)/100)*(1+Inputs!$B$15/100)*(1+Inputs!$B$16/100)*(5000/(6000+Inputs!$B$43*(1-(100*(1-(1-Inputs!$B$19/100)*(1-CHOOSE(ArtifactsInput!$N$40+1,5,6,7,8,9,10)/100)^(ArtifactsInput!$M$40-ArtifactsInput!$M$40)))/100)))*(1+(Inputs!$B$24+((C2549=TRUE)*(F2549-Calc!F31))+((C2536=TRUE)*(F2536-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IF(ArtifactsInput!$M$28,FALSE,TRUE)-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+2.6666666666666665*IF(C2537=TRUE,F2537,0)/100)*(1+(IF(Skills!A6="CRUEL_STAB",Inputs!$B$17+((C2546=TRUE)*(F2546-Calc!F28))+((IF(AND(Inputs!$B$39&lt;&gt;"pvp",Inputs!$B$44=0),1,IF(IF(Inputs!$B$39="pvp",15,Inputs!$B$44)-(B2563)&lt;=0,1,MAX(0,IF(Inputs!$B$39="pvp",15,Inputs!$B$44)-MAX(5,B2563))/(IF(Inputs!$B$39="pvp",15,Inputs!$B$44)-(B2563))))*(IF(AND(ArtifactsInput!$M$42,((Inputs!$B$9+((C2544=TRUE)*(F2544-Calc!F26))+B2552+(ArtifactsInput!$M$24-ArtifactsInput!$M$24)*CHOOSE(ArtifactsInput!$N$24+1,10,12,14,16,18,20)+IF(ArtifactsInput!$M$10,CHOOSE(ArtifactsInput!$N$10+1,15,18,21,24,27,30)*(IF(Inputs!$B$39="pvp",MIN(15,15)/15,IF(AND(Inputs!$B$39&lt;&gt;"pvp",Inputs!$B$44&gt;0),MIN(15,Inputs!$B$44)/(Inputs!$B$44),0))),0)))&gt;=100),MIN(100,((Inputs!$B$9+((C2544=TRUE)*(F2544-Calc!F26))+B2552+(ArtifactsInput!$M$24-ArtifactsInput!$M$24)*CHOOSE(ArtifactsInput!$N$24+1,10,12,14,16,18,20)+IF(ArtifactsInput!$M$10,CHOOSE(ArtifactsInput!$N$10+1,15,18,21,24,27,30)*(IF(Inputs!$B$39="pvp",MIN(15,15)/15,IF(AND(Inputs!$B$39&lt;&gt;"pvp",Inputs!$B$44&gt;0),MIN(15,Inputs!$B$44)/(Inputs!$B$44),0))),0)))-100),0))*CHOOSE(ArtifactsInput!$N$42+1,0.6,0.72,0.84,0.96,1.08,1.2))),Inputs!$B$18+((C2547=TRUE)*(F2547-Calc!F29))+(IF(AND(Inputs!$B$39&lt;&gt;"pvp",Inputs!$B$44=0),1,IF(IF(Inputs!$B$39="pvp",15,Inputs!$B$44)-(B2563)&lt;=0,1,MAX(0,IF(Inputs!$B$39="pvp",15,Inputs!$B$44)-MAX(5,B2563))/(IF(Inputs!$B$39="pvp",15,Inputs!$B$44)-(B2563))))*IF(AND(ArtifactsInput!$M$42,((Inputs!$B$9+((C2544=TRUE)*(F2544-Calc!F26))+B2552+(ArtifactsInput!$M$24-ArtifactsInput!$M$24)*CHOOSE(ArtifactsInput!$N$24+1,10,12,14,16,18,20)+IF(ArtifactsInput!$M$10,CHOOSE(ArtifactsInput!$N$10+1,15,18,21,24,27,30)*(IF(Inputs!$B$39="pvp",MIN(15,15)/15,IF(AND(Inputs!$B$39&lt;&gt;"pvp",Inputs!$B$44&gt;0),MIN(15,Inputs!$B$44)/(Inputs!$B$44),0))),0)))&gt;=100),CHOOSE(ArtifactsInput!$N$42+1,40,48,56,64,72,80),0))))/100)*(((1+(((C2540=TRUE)*F2540*IF(AND(Inputs!$B$39&lt;&gt;"pvp",Inputs!$B$44&gt;0),(((R2540-1)*MIN((Skills!Y22*(1+Inputs!$B$34/100)),(1/Q2540))+MIN((Skills!Y22*(1+Inputs!$B$34/100)),MAX(0,Inputs!$B$44-((R2540-1)*(1/Q2540)))))/Inputs!$B$44),IF(Inputs!$B$39="pvp",MIN((Skills!Y22*(1+Inputs!$B$34/100)),15)/15,MIN(1,(Skills!Y22*(1+Inputs!$B$34/100))/(1/Q2540)))))+((C2521=TRUE)*F2521*3)+((C2523=TRUE)*F2523*(1-EXP(-0.75*B2556*5)))+((C2542=TRUE)*(F2542-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2529=TRUE)*F2529*IF(AND(Inputs!$B$39&lt;&gt;"pvp",Inputs!$B$44&gt;0),(((R2529-1)*MIN((Skills!Y11*(1+Inputs!$B$34/100)),(1/Q2529))+MIN((Skills!Y11*(1+Inputs!$B$34/100)),MAX(0,Inputs!$B$44-((R2529-1)*(1/Q2529)))))/Inputs!$B$44),IF(Inputs!$B$39="pvp",MIN((Skills!Y11*(1+Inputs!$B$34/100)),15)/15,MIN(1,(Skills!Y11*(1+Inputs!$B$34/100))/(1/Q2529)))))/100)*(1+((C2534=TRUE)*F2534*IF(AND(Inputs!$B$39&lt;&gt;"pvp",Inputs!$B$44&gt;0),(((R2534-1)*MIN((Skills!Y16*(1+Inputs!$B$34/100)),(1/Q2534))+MIN((Skills!Y16*(1+Inputs!$B$34/100)),MAX(0,Inputs!$B$44-((R2534-1)*(1/Q2534)))))/Inputs!$B$44),IF(Inputs!$B$39="pvp",MIN((Skills!Y16*(1+Inputs!$B$34/100)),15)/15,MIN(1,(Skills!Y16*(1+Inputs!$B$34/100))/(1/Q2534)))))/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2554*I2524)</f>
        <v/>
      </c>
      <c r="L2524">
        <f>K2524*(MIN(Inputs!$B$22+((C2543=TRUE)*(F2543-Calc!F25)),(Inputs!$B$23+((C2548=TRUE)*(F2548-Calc!F30))+IF(ArtifactsInput!$M$15,CHOOSE(ArtifactsInput!$N$15+1,25,30,35,40,45,50)/100*(Inputs!$B$11-Inputs!$B$11),0)))/100+(Inputs!$B$23+((C2548=TRUE)*(F2548-Calc!F30))+IF(ArtifactsInput!$M$15,CHOOSE(ArtifactsInput!$N$15+1,25,30,35,40,45,50)/100*(Inputs!$B$11-Inputs!$B$11),0))/100)/2</f>
        <v/>
      </c>
      <c r="M2524">
        <f>L2524*(1+(Inputs!$B$10+((C2545=TRUE)*(F2545-Calc!F27))+B2559+(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2524">
        <f>L2524*(1-MIN((Inputs!$B$9+((C2544=TRUE)*(F2544-Calc!F26))+B2552+(ArtifactsInput!$M$24-ArtifactsInput!$M$24)*CHOOSE(ArtifactsInput!$N$24+1,10,12,14,16,18,20)+(IF(AND(Inputs!$B$39&lt;&gt;"pvp",Inputs!$B$44=0),1,IF(IF(Inputs!$B$39="pvp",15,Inputs!$B$44)-(B2563)&lt;=0,1,MAX(0,IF(Inputs!$B$39="pvp",15,Inputs!$B$44)-MAX(5,B2563))/(IF(Inputs!$B$39="pvp",15,Inputs!$B$44)-(B2563))))*IF(AND(ArtifactsInput!$M$42,((Inputs!$B$9+((C2544=TRUE)*(F2544-Calc!F26))+B2552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2524*(MIN((Inputs!$B$9+((C2544=TRUE)*(F2544-Calc!F26))+B2552+(ArtifactsInput!$M$24-ArtifactsInput!$M$24)*CHOOSE(ArtifactsInput!$N$24+1,10,12,14,16,18,20)+(IF(AND(Inputs!$B$39&lt;&gt;"pvp",Inputs!$B$44=0),1,IF(IF(Inputs!$B$39="pvp",15,Inputs!$B$44)-(B2563)&lt;=0,1,MAX(0,IF(Inputs!$B$39="pvp",15,Inputs!$B$44)-MAX(5,B2563))/(IF(Inputs!$B$39="pvp",15,Inputs!$B$44)-(B2563))))*IF(AND(ArtifactsInput!$M$42,((Inputs!$B$9+((C2544=TRUE)*(F2544-Calc!F26))+B2552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524">
        <f>(1-Summary!$B$11)*T2524+Summary!$B$11*V2524</f>
        <v/>
      </c>
      <c r="P2524">
        <f>IF(B2564=0,0,O2524/B2564)</f>
        <v/>
      </c>
      <c r="Q2524">
        <f>IFERROR(1/IF(Inputs!$B$39="pvp",15,MAX(0.1,Skills!D6-IF(TRUE=TRUE,Inputs!$B$32,0))),0)</f>
        <v/>
      </c>
      <c r="R2524">
        <f>IF(AND(Inputs!$B$39&lt;&gt;"pvp",Inputs!$B$44&gt;0),IF(MAX(0,Inputs!$B$44-B2563)&lt;=0,0,(INT(MAX(0,Inputs!$B$44-B2563)/IF(Inputs!$B$39="pvp",15,MAX(0.1,Skills!D6-IF(TRUE=TRUE,Inputs!$B$32,0))))+1)),0)</f>
        <v/>
      </c>
      <c r="S2524">
        <f>IFERROR(O2524/N2524,0)</f>
        <v/>
      </c>
      <c r="T2524">
        <f>IF(C2524,(H2524*N2524*IF(AND(Inputs!$B$39&lt;&gt;"pvp",Inputs!$B$44&gt;0),((Skills!G6*((R2524-1)*IF(Skills!H6&gt;0,Skills!I6/Skills!H6,1)+IF(Skills!H6&gt;0,MIN(Skills!I6,MAX(0,MAX(0,Inputs!$B$44-B2563)-((R2524-1)*IF(Inputs!$B$39="pvp",15,MAX(0.1,Skills!D6-IF(TRUE=TRUE,Inputs!$B$32,0))))))/Skills!H6,1)))/Inputs!$B$44),G2524*Q2524))*IF(Inputs!$B$39="pvp",1,1+(Inputs!$B$20+0+Skills!P6+B2553+(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Hunt"),CHOOSE(ArtifactsInput!$N$35+1,15,18,21,24,27,30)*(1-EXP(-(0.2*B2556)*5)),0)+IF(AND(ArtifactsInput!$M$22,Inputs!$B$4&lt;&gt;"Chapter Hunt"),CHOOSE(ArtifactsInput!$N$22+1,10,12,14,16,18,20)*((0*(((0.15*B2556*5))^0/1)+1*(((0.15*B2556*5))^1/1)+2*(((0.15*B2556*5))^2/2)+3*(((0.15*B2556*5))^3/6)+4*(((0.15*B2556*5))^4/24)+5*(((0.15*B2556*5))^5/120))/((((0.15*B2556*5))^0/1)+(((0.15*B2556*5))^1/1)+(((0.15*B2556*5))^2/2)+(((0.15*B2556*5))^3/6)+(((0.15*B2556*5))^4/24)+(((0.15*B2556*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2524*(1-MIN(100,(Inputs!$B$9+((C2544=TRUE)*(F2544-Calc!F26))+B2552+(ArtifactsInput!$M$24-ArtifactsInput!$M$24)*CHOOSE(ArtifactsInput!$N$24+1,10,12,14,16,18,20)+(IF(AND(Inputs!$B$39&lt;&gt;"pvp",Inputs!$B$44=0),1,IF(IF(Inputs!$B$39="pvp",15,Inputs!$B$44)-(B2563)&lt;=0,1,MAX(0,IF(Inputs!$B$39="pvp",15,Inputs!$B$44)-MAX(5,B2563))/(IF(Inputs!$B$39="pvp",15,Inputs!$B$44)-(B2563))))*IF(AND(ArtifactsInput!$M$42,((Inputs!$B$9+((C2544=TRUE)*(F2544-Calc!F26))+B2552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2524*(MIN(100,(Inputs!$B$9+((C2544=TRUE)*(F2544-Calc!F26))+B2552+(ArtifactsInput!$M$24-ArtifactsInput!$M$24)*CHOOSE(ArtifactsInput!$N$24+1,10,12,14,16,18,20)+(IF(AND(Inputs!$B$39&lt;&gt;"pvp",Inputs!$B$44=0),1,IF(IF(Inputs!$B$39="pvp",15,Inputs!$B$44)-(B2563)&lt;=0,1,MAX(0,IF(Inputs!$B$39="pvp",15,Inputs!$B$44)-MAX(5,B2563))/(IF(Inputs!$B$39="pvp",15,Inputs!$B$44)-(B2563))))*IF(AND(ArtifactsInput!$M$42,((Inputs!$B$9+((C2544=TRUE)*(F2544-Calc!F26))+B2552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2524*(1-MIN(100,(Inputs!$B$9+((C2544=TRUE)*(F2544-Calc!F26))+B2552+(ArtifactsInput!$M$24-ArtifactsInput!$M$24)*CHOOSE(ArtifactsInput!$N$24+1,10,12,14,16,18,20)+(IF(AND(Inputs!$B$39&lt;&gt;"pvp",Inputs!$B$44=0),1,IF(IF(Inputs!$B$39="pvp",15,Inputs!$B$44)-(B2563)&lt;=0,1,MAX(0,IF(Inputs!$B$39="pvp",15,Inputs!$B$44)-MAX(5,B2563))/(IF(Inputs!$B$39="pvp",15,Inputs!$B$44)-(B2563))))*IF(AND(ArtifactsInput!$M$42,((Inputs!$B$9+((C2544=TRUE)*(F2544-Calc!F26))+B2552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2524*(MIN(100,(Inputs!$B$9+((C2544=TRUE)*(F2544-Calc!F26))+B2552+(ArtifactsInput!$M$24-ArtifactsInput!$M$24)*CHOOSE(ArtifactsInput!$N$24+1,10,12,14,16,18,20)+(IF(AND(Inputs!$B$39&lt;&gt;"pvp",Inputs!$B$44=0),1,IF(IF(Inputs!$B$39="pvp",15,Inputs!$B$44)-(B2563)&lt;=0,1,MAX(0,IF(Inputs!$B$39="pvp",15,Inputs!$B$44)-MAX(5,B2563))/(IF(Inputs!$B$39="pvp",15,Inputs!$B$44)-(B2563))))*IF(AND(ArtifactsInput!$M$42,((Inputs!$B$9+((C2544=TRUE)*(F2544-Calc!F26))+B2552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524">
        <f>IF(C2524,(H2524*N2524*IF(AND(Inputs!$B$39&lt;&gt;"pvp",Inputs!$B$44&gt;0),((Skills!G6*((R2524-1)*IF(Skills!H6&gt;0,Skills!I6/Skills!H6,1)+IF(Skills!H6&gt;0,MIN(Skills!I6,MAX(0,MAX(0,Inputs!$B$44-B2563)-((R2524-1)*IF(Inputs!$B$39="pvp",15,MAX(0.1,Skills!D6-IF(TRUE=TRUE,Inputs!$B$32,0))))))/Skills!H6,1)))/Inputs!$B$44),G2524*Q2524))*IF(Inputs!$B$39="pvp",1,(1+(Inputs!$B$21+Skills!Q6+B2553+(IF(ArtifactsInput!$M$33,CHOOSE(ArtifactsInput!$N$33+1,30,36,42,48,54,60),0))+(IF(AND(ArtifactsInput!$M$35,Inputs!$B$4&lt;&gt;"Chapter Hunt"),CHOOSE(ArtifactsInput!$N$35+1,15,18,21,24,27,30)*(1-EXP(-(0.2*B2556)*5)),0)+IF(AND(ArtifactsInput!$M$22,Inputs!$B$4&lt;&gt;"Chapter Hunt"),CHOOSE(ArtifactsInput!$N$22+1,10,12,14,16,18,20)*((0*(((0.15*B2556*5))^0/1)+1*(((0.15*B2556*5))^1/1)+2*(((0.15*B2556*5))^2/2)+3*(((0.15*B2556*5))^3/6)+4*(((0.15*B2556*5))^4/24)+5*(((0.15*B2556*5))^5/120))/((((0.15*B2556*5))^0/1)+(((0.15*B2556*5))^1/1)+(((0.15*B2556*5))^2/2)+(((0.15*B2556*5))^3/6)+(((0.15*B2556*5))^4/24)+(((0.15*B2556*5))^5/120))),0)))/100)*(MIN(Skills!W6,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525">
      <c r="A2525">
        <f>Skills!A7</f>
        <v/>
      </c>
      <c r="B2525">
        <f>Skills!B7</f>
        <v/>
      </c>
      <c r="C2525">
        <f>Inputs!$B$3&gt;=69</f>
        <v/>
      </c>
      <c r="D2525">
        <f>IF(Skills!C7=1,60+Inputs!$B$25+Inputs!$B$29,IF(Skills!C7=2,90+Inputs!$B$26+Inputs!$B$29,IF(Skills!C7=3,120+Inputs!$B$27+Inputs!$B$29,MAX(0,(Inputs!$B$3-100)*3)+Inputs!$B$28+Inputs!$B$29)))</f>
        <v/>
      </c>
      <c r="E2525">
        <f>INDEX(FactorTable!$B$2:$Y$301, MATCH(ROUND(MIN(300,MAX(1,D2525)),0), FactorTable!$A$2:$A$301,0), Skills!M7+1)</f>
        <v/>
      </c>
      <c r="F2525">
        <f>IF(Skills!N7=TRUE,(Skills!L7/10)*(E2525/1000),Skills!L7/10)+Skills!O7</f>
        <v/>
      </c>
      <c r="G2525">
        <f>Skills!G7*IF(Skills!H7&gt;0,IF(Inputs!$B$39="pvp",MIN(Skills!I7,15),Skills!I7)/Skills!H7,1)</f>
        <v/>
      </c>
      <c r="H2525">
        <f>1-(1-Skills!J7/100)^Skills!K7</f>
        <v/>
      </c>
      <c r="I2525" t="inlineStr">
        <is>
          <t>1</t>
        </is>
      </c>
      <c r="J2525">
        <f>((Inputs!$B$6*(1+Inputs!$B$7/100))+(((Inputs!$B$12*(1+Inputs!$B$13/100))-(Inputs!$B$12*(1+Inputs!$B$13/100)))+0.25*(Inputs!$B$14-Inputs!$B$14))*(1+Inputs!$B$7/100))*(F2525/100)</f>
        <v/>
      </c>
      <c r="K2525">
        <f>J2525*(1+((Inputs!$B$12*(1+Inputs!$B$13/100))*0.01+Inputs!$B$14*0.0025)/100)*(1+Inputs!$B$15/100)*(1+Inputs!$B$16/100)*(5000/(6000+Inputs!$B$43*(1-(100*(1-(1-Inputs!$B$19/100)*(1-CHOOSE(ArtifactsInput!$N$40+1,5,6,7,8,9,10)/100)^(ArtifactsInput!$M$40-ArtifactsInput!$M$40)))/100)))*(1+(Inputs!$B$24+((C2549=TRUE)*(F2549-Calc!F31))+((C2536=TRUE)*(F2536-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IF(ArtifactsInput!$M$28,FALSE,TRUE)-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2537=TRUE,F2537,0)/100)*(1+(IF(Skills!A7="CRUEL_STAB",Inputs!$B$17+((C2546=TRUE)*(F2546-Calc!F28))+((IF(AND(Inputs!$B$39&lt;&gt;"pvp",Inputs!$B$44=0),1,IF(IF(Inputs!$B$39="pvp",15,Inputs!$B$44)-(B2563)&lt;=0,1,MAX(0,IF(Inputs!$B$39="pvp",15,Inputs!$B$44)-MAX(5,B2563))/(IF(Inputs!$B$39="pvp",15,Inputs!$B$44)-(B2563))))*(IF(AND(ArtifactsInput!$M$42,((Inputs!$B$9+((C2544=TRUE)*(F2544-Calc!F26))+B2552+(ArtifactsInput!$M$24-ArtifactsInput!$M$24)*CHOOSE(ArtifactsInput!$N$24+1,10,12,14,16,18,20)+IF(ArtifactsInput!$M$10,CHOOSE(ArtifactsInput!$N$10+1,15,18,21,24,27,30)*(IF(Inputs!$B$39="pvp",MIN(15,15)/15,IF(AND(Inputs!$B$39&lt;&gt;"pvp",Inputs!$B$44&gt;0),MIN(15,Inputs!$B$44)/(Inputs!$B$44),0))),0)))&gt;=100),MIN(100,((Inputs!$B$9+((C2544=TRUE)*(F2544-Calc!F26))+B2552+(ArtifactsInput!$M$24-ArtifactsInput!$M$24)*CHOOSE(ArtifactsInput!$N$24+1,10,12,14,16,18,20)+IF(ArtifactsInput!$M$10,CHOOSE(ArtifactsInput!$N$10+1,15,18,21,24,27,30)*(IF(Inputs!$B$39="pvp",MIN(15,15)/15,IF(AND(Inputs!$B$39&lt;&gt;"pvp",Inputs!$B$44&gt;0),MIN(15,Inputs!$B$44)/(Inputs!$B$44),0))),0)))-100),0))*CHOOSE(ArtifactsInput!$N$42+1,0.6,0.72,0.84,0.96,1.08,1.2))),Inputs!$B$18+((C2547=TRUE)*(F2547-Calc!F29))+(IF(AND(Inputs!$B$39&lt;&gt;"pvp",Inputs!$B$44=0),1,IF(IF(Inputs!$B$39="pvp",15,Inputs!$B$44)-(B2563)&lt;=0,1,MAX(0,IF(Inputs!$B$39="pvp",15,Inputs!$B$44)-MAX(5,B2563))/(IF(Inputs!$B$39="pvp",15,Inputs!$B$44)-(B2563))))*IF(AND(ArtifactsInput!$M$42,((Inputs!$B$9+((C2544=TRUE)*(F2544-Calc!F26))+B2552+(ArtifactsInput!$M$24-ArtifactsInput!$M$24)*CHOOSE(ArtifactsInput!$N$24+1,10,12,14,16,18,20)+IF(ArtifactsInput!$M$10,CHOOSE(ArtifactsInput!$N$10+1,15,18,21,24,27,30)*(IF(Inputs!$B$39="pvp",MIN(15,15)/15,IF(AND(Inputs!$B$39&lt;&gt;"pvp",Inputs!$B$44&gt;0),MIN(15,Inputs!$B$44)/(Inputs!$B$44),0))),0)))&gt;=100),CHOOSE(ArtifactsInput!$N$42+1,40,48,56,64,72,80),0))))/100)*(((1+(((C2540=TRUE)*F2540*IF(AND(Inputs!$B$39&lt;&gt;"pvp",Inputs!$B$44&gt;0),(((R2540-1)*MIN((Skills!Y22*(1+Inputs!$B$34/100)),(1/Q2540))+MIN((Skills!Y22*(1+Inputs!$B$34/100)),MAX(0,Inputs!$B$44-((R2540-1)*(1/Q2540)))))/Inputs!$B$44),IF(Inputs!$B$39="pvp",MIN((Skills!Y22*(1+Inputs!$B$34/100)),15)/15,MIN(1,(Skills!Y22*(1+Inputs!$B$34/100))/(1/Q2540)))))+((C2521=TRUE)*F2521*3)+((C2523=TRUE)*F2523*(1-EXP(-0.75*B2556*5)))+((C2542=TRUE)*(F2542-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2529=TRUE)*F2529*IF(AND(Inputs!$B$39&lt;&gt;"pvp",Inputs!$B$44&gt;0),(((R2529-1)*MIN((Skills!Y11*(1+Inputs!$B$34/100)),(1/Q2529))+MIN((Skills!Y11*(1+Inputs!$B$34/100)),MAX(0,Inputs!$B$44-((R2529-1)*(1/Q2529)))))/Inputs!$B$44),IF(Inputs!$B$39="pvp",MIN((Skills!Y11*(1+Inputs!$B$34/100)),15)/15,MIN(1,(Skills!Y11*(1+Inputs!$B$34/100))/(1/Q2529)))))/100)*(1+((C2534=TRUE)*F2534*IF(AND(Inputs!$B$39&lt;&gt;"pvp",Inputs!$B$44&gt;0),(((R2534-1)*MIN((Skills!Y16*(1+Inputs!$B$34/100)),(1/Q2534))+MIN((Skills!Y16*(1+Inputs!$B$34/100)),MAX(0,Inputs!$B$44-((R2534-1)*(1/Q2534)))))/Inputs!$B$44),IF(Inputs!$B$39="pvp",MIN((Skills!Y16*(1+Inputs!$B$34/100)),15)/15,MIN(1,(Skills!Y16*(1+Inputs!$B$34/100))/(1/Q2534)))))/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2554*I2525)</f>
        <v/>
      </c>
      <c r="L2525">
        <f>K2525*(MIN(Inputs!$B$22+((C2543=TRUE)*(F2543-Calc!F25)),(Inputs!$B$23+((C2548=TRUE)*(F2548-Calc!F30))+IF(ArtifactsInput!$M$15,CHOOSE(ArtifactsInput!$N$15+1,25,30,35,40,45,50)/100*(Inputs!$B$11-Inputs!$B$11),0)))/100+(Inputs!$B$23+((C2548=TRUE)*(F2548-Calc!F30))+IF(ArtifactsInput!$M$15,CHOOSE(ArtifactsInput!$N$15+1,25,30,35,40,45,50)/100*(Inputs!$B$11-Inputs!$B$11),0))/100)/2</f>
        <v/>
      </c>
      <c r="M2525">
        <f>L2525*(1+(Inputs!$B$10+((C2545=TRUE)*(F2545-Calc!F27))+B2559+(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2525">
        <f>L2525*(1-MIN((Inputs!$B$9+((C2544=TRUE)*(F2544-Calc!F26))+B2552+(ArtifactsInput!$M$24-ArtifactsInput!$M$24)*CHOOSE(ArtifactsInput!$N$24+1,10,12,14,16,18,20)+(IF(AND(Inputs!$B$39&lt;&gt;"pvp",Inputs!$B$44=0),1,IF(IF(Inputs!$B$39="pvp",15,Inputs!$B$44)-(B2563)&lt;=0,1,MAX(0,IF(Inputs!$B$39="pvp",15,Inputs!$B$44)-MAX(5,B2563))/(IF(Inputs!$B$39="pvp",15,Inputs!$B$44)-(B2563))))*IF(AND(ArtifactsInput!$M$42,((Inputs!$B$9+((C2544=TRUE)*(F2544-Calc!F26))+B2552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2525*(MIN((Inputs!$B$9+((C2544=TRUE)*(F2544-Calc!F26))+B2552+(ArtifactsInput!$M$24-ArtifactsInput!$M$24)*CHOOSE(ArtifactsInput!$N$24+1,10,12,14,16,18,20)+(IF(AND(Inputs!$B$39&lt;&gt;"pvp",Inputs!$B$44=0),1,IF(IF(Inputs!$B$39="pvp",15,Inputs!$B$44)-(B2563)&lt;=0,1,MAX(0,IF(Inputs!$B$39="pvp",15,Inputs!$B$44)-MAX(5,B2563))/(IF(Inputs!$B$39="pvp",15,Inputs!$B$44)-(B2563))))*IF(AND(ArtifactsInput!$M$42,((Inputs!$B$9+((C2544=TRUE)*(F2544-Calc!F26))+B2552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525">
        <f>(1-Summary!$B$11)*T2525+Summary!$B$11*V2525</f>
        <v/>
      </c>
      <c r="P2525">
        <f>IF(B2564=0,0,O2525/B2564)</f>
        <v/>
      </c>
      <c r="Q2525">
        <f>IFERROR(1/IF(Inputs!$B$39="pvp",15,MAX(0.1,Skills!D7-IF(TRUE=TRUE,Inputs!$B$32,0))),0)</f>
        <v/>
      </c>
      <c r="R2525">
        <f>IF(AND(Inputs!$B$39&lt;&gt;"pvp",Inputs!$B$44&gt;0),IF(MAX(0,Inputs!$B$44-B2563)&lt;=0,0,(INT(MAX(0,Inputs!$B$44-B2563)/IF(Inputs!$B$39="pvp",15,MAX(0.1,Skills!D7-IF(TRUE=TRUE,Inputs!$B$32,0))))+1)),0)</f>
        <v/>
      </c>
      <c r="S2525">
        <f>IFERROR(O2525/N2525,0)</f>
        <v/>
      </c>
      <c r="T2525">
        <f>IF(C2525,(H2525*N2525*IF(AND(Inputs!$B$39&lt;&gt;"pvp",Inputs!$B$44&gt;0),((Skills!G7*((R2525-1)*IF(Skills!H7&gt;0,Skills!I7/Skills!H7,1)+IF(Skills!H7&gt;0,MIN(Skills!I7,MAX(0,MAX(0,Inputs!$B$44-B2563)-((R2525-1)*IF(Inputs!$B$39="pvp",15,MAX(0.1,Skills!D7-IF(TRUE=TRUE,Inputs!$B$32,0))))))/Skills!H7,1)))/Inputs!$B$44),G2525*Q2525))*IF(Inputs!$B$39="pvp",1,1+(Inputs!$B$20+0+Skills!P7+B2553+(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Hunt"),CHOOSE(ArtifactsInput!$N$35+1,15,18,21,24,27,30)*(1-EXP(-(0.2*B2556)*5)),0)+IF(AND(ArtifactsInput!$M$22,Inputs!$B$4&lt;&gt;"Chapter Hunt"),CHOOSE(ArtifactsInput!$N$22+1,10,12,14,16,18,20)*((0*(((0.15*B2556*5))^0/1)+1*(((0.15*B2556*5))^1/1)+2*(((0.15*B2556*5))^2/2)+3*(((0.15*B2556*5))^3/6)+4*(((0.15*B2556*5))^4/24)+5*(((0.15*B2556*5))^5/120))/((((0.15*B2556*5))^0/1)+(((0.15*B2556*5))^1/1)+(((0.15*B2556*5))^2/2)+(((0.15*B2556*5))^3/6)+(((0.15*B2556*5))^4/24)+(((0.15*B2556*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2525*(1-MIN(100,(Inputs!$B$9+((C2544=TRUE)*(F2544-Calc!F26))+B2552+(ArtifactsInput!$M$24-ArtifactsInput!$M$24)*CHOOSE(ArtifactsInput!$N$24+1,10,12,14,16,18,20)+(IF(AND(Inputs!$B$39&lt;&gt;"pvp",Inputs!$B$44=0),1,IF(IF(Inputs!$B$39="pvp",15,Inputs!$B$44)-(B2563)&lt;=0,1,MAX(0,IF(Inputs!$B$39="pvp",15,Inputs!$B$44)-MAX(5,B2563))/(IF(Inputs!$B$39="pvp",15,Inputs!$B$44)-(B2563))))*IF(AND(ArtifactsInput!$M$42,((Inputs!$B$9+((C2544=TRUE)*(F2544-Calc!F26))+B2552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2525*(MIN(100,(Inputs!$B$9+((C2544=TRUE)*(F2544-Calc!F26))+B2552+(ArtifactsInput!$M$24-ArtifactsInput!$M$24)*CHOOSE(ArtifactsInput!$N$24+1,10,12,14,16,18,20)+(IF(AND(Inputs!$B$39&lt;&gt;"pvp",Inputs!$B$44=0),1,IF(IF(Inputs!$B$39="pvp",15,Inputs!$B$44)-(B2563)&lt;=0,1,MAX(0,IF(Inputs!$B$39="pvp",15,Inputs!$B$44)-MAX(5,B2563))/(IF(Inputs!$B$39="pvp",15,Inputs!$B$44)-(B2563))))*IF(AND(ArtifactsInput!$M$42,((Inputs!$B$9+((C2544=TRUE)*(F2544-Calc!F26))+B2552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2525*(1-MIN(100,(Inputs!$B$9+((C2544=TRUE)*(F2544-Calc!F26))+B2552+(ArtifactsInput!$M$24-ArtifactsInput!$M$24)*CHOOSE(ArtifactsInput!$N$24+1,10,12,14,16,18,20)+(IF(AND(Inputs!$B$39&lt;&gt;"pvp",Inputs!$B$44=0),1,IF(IF(Inputs!$B$39="pvp",15,Inputs!$B$44)-(B2563)&lt;=0,1,MAX(0,IF(Inputs!$B$39="pvp",15,Inputs!$B$44)-MAX(5,B2563))/(IF(Inputs!$B$39="pvp",15,Inputs!$B$44)-(B2563))))*IF(AND(ArtifactsInput!$M$42,((Inputs!$B$9+((C2544=TRUE)*(F2544-Calc!F26))+B2552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2525*(MIN(100,(Inputs!$B$9+((C2544=TRUE)*(F2544-Calc!F26))+B2552+(ArtifactsInput!$M$24-ArtifactsInput!$M$24)*CHOOSE(ArtifactsInput!$N$24+1,10,12,14,16,18,20)+(IF(AND(Inputs!$B$39&lt;&gt;"pvp",Inputs!$B$44=0),1,IF(IF(Inputs!$B$39="pvp",15,Inputs!$B$44)-(B2563)&lt;=0,1,MAX(0,IF(Inputs!$B$39="pvp",15,Inputs!$B$44)-MAX(5,B2563))/(IF(Inputs!$B$39="pvp",15,Inputs!$B$44)-(B2563))))*IF(AND(ArtifactsInput!$M$42,((Inputs!$B$9+((C2544=TRUE)*(F2544-Calc!F26))+B2552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525">
        <f>IF(C2525,(H2525*N2525*IF(AND(Inputs!$B$39&lt;&gt;"pvp",Inputs!$B$44&gt;0),((Skills!G7*((R2525-1)*IF(Skills!H7&gt;0,Skills!I7/Skills!H7,1)+IF(Skills!H7&gt;0,MIN(Skills!I7,MAX(0,MAX(0,Inputs!$B$44-B2563)-((R2525-1)*IF(Inputs!$B$39="pvp",15,MAX(0.1,Skills!D7-IF(TRUE=TRUE,Inputs!$B$32,0))))))/Skills!H7,1)))/Inputs!$B$44),G2525*Q2525))*IF(Inputs!$B$39="pvp",1,(1+(Inputs!$B$21+Skills!Q7+B2553+(IF(ArtifactsInput!$M$33,CHOOSE(ArtifactsInput!$N$33+1,30,36,42,48,54,60),0))+(IF(AND(ArtifactsInput!$M$35,Inputs!$B$4&lt;&gt;"Chapter Hunt"),CHOOSE(ArtifactsInput!$N$35+1,15,18,21,24,27,30)*(1-EXP(-(0.2*B2556)*5)),0)+IF(AND(ArtifactsInput!$M$22,Inputs!$B$4&lt;&gt;"Chapter Hunt"),CHOOSE(ArtifactsInput!$N$22+1,10,12,14,16,18,20)*((0*(((0.15*B2556*5))^0/1)+1*(((0.15*B2556*5))^1/1)+2*(((0.15*B2556*5))^2/2)+3*(((0.15*B2556*5))^3/6)+4*(((0.15*B2556*5))^4/24)+5*(((0.15*B2556*5))^5/120))/((((0.15*B2556*5))^0/1)+(((0.15*B2556*5))^1/1)+(((0.15*B2556*5))^2/2)+(((0.15*B2556*5))^3/6)+(((0.15*B2556*5))^4/24)+(((0.15*B2556*5))^5/120))),0)))/100)*(MIN(Skills!W7,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526">
      <c r="A2526">
        <f>Skills!A8</f>
        <v/>
      </c>
      <c r="B2526">
        <f>Skills!B8</f>
        <v/>
      </c>
      <c r="C2526">
        <f>Inputs!$B$3&gt;=60</f>
        <v/>
      </c>
      <c r="D2526">
        <f>IF(Skills!C8=1,60+Inputs!$B$25+Inputs!$B$29,IF(Skills!C8=2,90+Inputs!$B$26+Inputs!$B$29,IF(Skills!C8=3,120+Inputs!$B$27+Inputs!$B$29,MAX(0,(Inputs!$B$3-100)*3)+Inputs!$B$28+Inputs!$B$29)))</f>
        <v/>
      </c>
      <c r="E2526">
        <f>INDEX(FactorTable!$B$2:$Y$301, MATCH(ROUND(MIN(300,MAX(1,D2526)),0), FactorTable!$A$2:$A$301,0), Skills!M8+1)</f>
        <v/>
      </c>
      <c r="F2526">
        <f>IF(Skills!N8=TRUE,(Skills!L8/10)*(E2526/1000),Skills!L8/10)+Skills!O8</f>
        <v/>
      </c>
      <c r="G2526">
        <f>Skills!G8*IF(Skills!H8&gt;0,IF(Inputs!$B$39="pvp",MIN(Skills!I8,15),Skills!I8)/Skills!H8,1)</f>
        <v/>
      </c>
      <c r="H2526">
        <f>1-(1-Skills!J8/100)^Skills!K8</f>
        <v/>
      </c>
      <c r="I2526" t="inlineStr">
        <is>
          <t>1</t>
        </is>
      </c>
      <c r="J2526" t="inlineStr"/>
      <c r="K2526" t="inlineStr"/>
      <c r="L2526" t="inlineStr"/>
      <c r="M2526" t="inlineStr"/>
      <c r="N2526" t="inlineStr"/>
      <c r="O2526">
        <f>(1-Summary!$B$11)*T2526+Summary!$B$11*V2526</f>
        <v/>
      </c>
      <c r="P2526">
        <f>IF(B2564=0,0,O2526/B2564)</f>
        <v/>
      </c>
      <c r="Q2526" t="n">
        <v>0</v>
      </c>
      <c r="R2526" t="n">
        <v>0</v>
      </c>
      <c r="S2526">
        <f>IFERROR(O2526/N2526,0)</f>
        <v/>
      </c>
      <c r="T2526" t="n">
        <v>0</v>
      </c>
      <c r="V2526" t="n">
        <v>0</v>
      </c>
    </row>
    <row r="2527">
      <c r="A2527">
        <f>Skills!A9</f>
        <v/>
      </c>
      <c r="B2527">
        <f>Skills!B9</f>
        <v/>
      </c>
      <c r="C2527">
        <f>Inputs!$B$3&gt;=72</f>
        <v/>
      </c>
      <c r="D2527">
        <f>IF(Skills!C9=1,60+Inputs!$B$25+Inputs!$B$29,IF(Skills!C9=2,90+Inputs!$B$26+Inputs!$B$29,IF(Skills!C9=3,120+Inputs!$B$27+Inputs!$B$29,MAX(0,(Inputs!$B$3-100)*3)+Inputs!$B$28+Inputs!$B$29)))</f>
        <v/>
      </c>
      <c r="E2527">
        <f>INDEX(FactorTable!$B$2:$Y$301, MATCH(ROUND(MIN(300,MAX(1,D2527)),0), FactorTable!$A$2:$A$301,0), Skills!M9+1)</f>
        <v/>
      </c>
      <c r="F2527">
        <f>IF(Skills!N9=TRUE,(Skills!L9/10)*(E2527/1000),Skills!L9/10)+Skills!O9</f>
        <v/>
      </c>
      <c r="G2527">
        <f>Skills!G9*IF(Skills!H9&gt;0,IF(Inputs!$B$39="pvp",MIN(Skills!I9,15),Skills!I9)/Skills!H9,1)</f>
        <v/>
      </c>
      <c r="H2527">
        <f>1-(1-Skills!J9/100)^Skills!K9</f>
        <v/>
      </c>
      <c r="I2527" t="inlineStr">
        <is>
          <t>1</t>
        </is>
      </c>
      <c r="J2527">
        <f>((Inputs!$B$6*(1+Inputs!$B$7/100))+(((Inputs!$B$12*(1+Inputs!$B$13/100))-(Inputs!$B$12*(1+Inputs!$B$13/100)))+0.25*(Inputs!$B$14-Inputs!$B$14))*(1+Inputs!$B$7/100))*(F2527/100)</f>
        <v/>
      </c>
      <c r="K2527">
        <f>J2527*(1+((Inputs!$B$12*(1+Inputs!$B$13/100))*0.01+Inputs!$B$14*0.0025)/100)*(1+Inputs!$B$15/100)*(1+Inputs!$B$16/100)*(5000/(6000+Inputs!$B$43*(1-(100*(1-(1-Inputs!$B$19/100)*(1-CHOOSE(ArtifactsInput!$N$40+1,5,6,7,8,9,10)/100)^(ArtifactsInput!$M$40-ArtifactsInput!$M$40)))/100)))*(1+(Inputs!$B$24+((C2549=TRUE)*(F2549-Calc!F31))+((C2536=TRUE)*(F2536-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IF(ArtifactsInput!$M$28,FALSE,TRUE)-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+3.3333333333333335*IF(C2537=TRUE,F2537,0)/100)*(1+(IF(Skills!A9="CRUEL_STAB",Inputs!$B$17+((C2546=TRUE)*(F2546-Calc!F28))+((IF(AND(Inputs!$B$39&lt;&gt;"pvp",Inputs!$B$44=0),1,IF(IF(Inputs!$B$39="pvp",15,Inputs!$B$44)-(B2563)&lt;=0,1,MAX(0,IF(Inputs!$B$39="pvp",15,Inputs!$B$44)-MAX(5,B2563))/(IF(Inputs!$B$39="pvp",15,Inputs!$B$44)-(B2563))))*(IF(AND(ArtifactsInput!$M$42,((Inputs!$B$9+((C2544=TRUE)*(F2544-Calc!F26))+B2552+(ArtifactsInput!$M$24-ArtifactsInput!$M$24)*CHOOSE(ArtifactsInput!$N$24+1,10,12,14,16,18,20)+IF(ArtifactsInput!$M$10,CHOOSE(ArtifactsInput!$N$10+1,15,18,21,24,27,30)*(IF(Inputs!$B$39="pvp",MIN(15,15)/15,IF(AND(Inputs!$B$39&lt;&gt;"pvp",Inputs!$B$44&gt;0),MIN(15,Inputs!$B$44)/(Inputs!$B$44),0))),0)))&gt;=100),MIN(100,((Inputs!$B$9+((C2544=TRUE)*(F2544-Calc!F26))+B2552+(ArtifactsInput!$M$24-ArtifactsInput!$M$24)*CHOOSE(ArtifactsInput!$N$24+1,10,12,14,16,18,20)+IF(ArtifactsInput!$M$10,CHOOSE(ArtifactsInput!$N$10+1,15,18,21,24,27,30)*(IF(Inputs!$B$39="pvp",MIN(15,15)/15,IF(AND(Inputs!$B$39&lt;&gt;"pvp",Inputs!$B$44&gt;0),MIN(15,Inputs!$B$44)/(Inputs!$B$44),0))),0)))-100),0))*CHOOSE(ArtifactsInput!$N$42+1,0.6,0.72,0.84,0.96,1.08,1.2))),Inputs!$B$18+((C2547=TRUE)*(F2547-Calc!F29))+(IF(AND(Inputs!$B$39&lt;&gt;"pvp",Inputs!$B$44=0),1,IF(IF(Inputs!$B$39="pvp",15,Inputs!$B$44)-(B2563)&lt;=0,1,MAX(0,IF(Inputs!$B$39="pvp",15,Inputs!$B$44)-MAX(5,B2563))/(IF(Inputs!$B$39="pvp",15,Inputs!$B$44)-(B2563))))*IF(AND(ArtifactsInput!$M$42,((Inputs!$B$9+((C2544=TRUE)*(F2544-Calc!F26))+B2552+(ArtifactsInput!$M$24-ArtifactsInput!$M$24)*CHOOSE(ArtifactsInput!$N$24+1,10,12,14,16,18,20)+IF(ArtifactsInput!$M$10,CHOOSE(ArtifactsInput!$N$10+1,15,18,21,24,27,30)*(IF(Inputs!$B$39="pvp",MIN(15,15)/15,IF(AND(Inputs!$B$39&lt;&gt;"pvp",Inputs!$B$44&gt;0),MIN(15,Inputs!$B$44)/(Inputs!$B$44),0))),0)))&gt;=100),CHOOSE(ArtifactsInput!$N$42+1,40,48,56,64,72,80),0))))/100)*(((1+(((C2540=TRUE)*F2540*IF(AND(Inputs!$B$39&lt;&gt;"pvp",Inputs!$B$44&gt;0),(((R2540-1)*MIN((Skills!Y22*(1+Inputs!$B$34/100)),(1/Q2540))+MIN((Skills!Y22*(1+Inputs!$B$34/100)),MAX(0,Inputs!$B$44-((R2540-1)*(1/Q2540)))))/Inputs!$B$44),IF(Inputs!$B$39="pvp",MIN((Skills!Y22*(1+Inputs!$B$34/100)),15)/15,MIN(1,(Skills!Y22*(1+Inputs!$B$34/100))/(1/Q2540)))))+((C2521=TRUE)*F2521*3)+((C2523=TRUE)*F2523*(1-EXP(-0.75*B2556*5)))+((C2542=TRUE)*(F2542-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2529=TRUE)*F2529*IF(AND(Inputs!$B$39&lt;&gt;"pvp",Inputs!$B$44&gt;0),(((R2529-1)*MIN((Skills!Y11*(1+Inputs!$B$34/100)),(1/Q2529))+MIN((Skills!Y11*(1+Inputs!$B$34/100)),MAX(0,Inputs!$B$44-((R2529-1)*(1/Q2529)))))/Inputs!$B$44),IF(Inputs!$B$39="pvp",MIN((Skills!Y11*(1+Inputs!$B$34/100)),15)/15,MIN(1,(Skills!Y11*(1+Inputs!$B$34/100))/(1/Q2529)))))/100)*(1+((C2534=TRUE)*F2534*IF(AND(Inputs!$B$39&lt;&gt;"pvp",Inputs!$B$44&gt;0),(((R2534-1)*MIN((Skills!Y16*(1+Inputs!$B$34/100)),(1/Q2534))+MIN((Skills!Y16*(1+Inputs!$B$34/100)),MAX(0,Inputs!$B$44-((R2534-1)*(1/Q2534)))))/Inputs!$B$44),IF(Inputs!$B$39="pvp",MIN((Skills!Y16*(1+Inputs!$B$34/100)),15)/15,MIN(1,(Skills!Y16*(1+Inputs!$B$34/100))/(1/Q2534)))))/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2554*I2527)</f>
        <v/>
      </c>
      <c r="L2527">
        <f>K2527*(MIN(Inputs!$B$22+((C2543=TRUE)*(F2543-Calc!F25)),(Inputs!$B$23+((C2548=TRUE)*(F2548-Calc!F30))+IF(ArtifactsInput!$M$15,CHOOSE(ArtifactsInput!$N$15+1,25,30,35,40,45,50)/100*(Inputs!$B$11-Inputs!$B$11),0)))/100+(Inputs!$B$23+((C2548=TRUE)*(F2548-Calc!F30))+IF(ArtifactsInput!$M$15,CHOOSE(ArtifactsInput!$N$15+1,25,30,35,40,45,50)/100*(Inputs!$B$11-Inputs!$B$11),0))/100)/2</f>
        <v/>
      </c>
      <c r="M2527">
        <f>L2527*(1+(Inputs!$B$10+((C2545=TRUE)*(F2545-Calc!F27))+B2559+(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2527">
        <f>L2527*(1-MIN((Inputs!$B$9+((C2544=TRUE)*(F2544-Calc!F26))+B2552+(ArtifactsInput!$M$24-ArtifactsInput!$M$24)*CHOOSE(ArtifactsInput!$N$24+1,10,12,14,16,18,20)+(IF(AND(Inputs!$B$39&lt;&gt;"pvp",Inputs!$B$44=0),1,IF(IF(Inputs!$B$39="pvp",15,Inputs!$B$44)-(B2563)&lt;=0,1,MAX(0,IF(Inputs!$B$39="pvp",15,Inputs!$B$44)-MAX(5,B2563))/(IF(Inputs!$B$39="pvp",15,Inputs!$B$44)-(B2563))))*IF(AND(ArtifactsInput!$M$42,((Inputs!$B$9+((C2544=TRUE)*(F2544-Calc!F26))+B2552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2527*(MIN((Inputs!$B$9+((C2544=TRUE)*(F2544-Calc!F26))+B2552+(ArtifactsInput!$M$24-ArtifactsInput!$M$24)*CHOOSE(ArtifactsInput!$N$24+1,10,12,14,16,18,20)+(IF(AND(Inputs!$B$39&lt;&gt;"pvp",Inputs!$B$44=0),1,IF(IF(Inputs!$B$39="pvp",15,Inputs!$B$44)-(B2563)&lt;=0,1,MAX(0,IF(Inputs!$B$39="pvp",15,Inputs!$B$44)-MAX(5,B2563))/(IF(Inputs!$B$39="pvp",15,Inputs!$B$44)-(B2563))))*IF(AND(ArtifactsInput!$M$42,((Inputs!$B$9+((C2544=TRUE)*(F2544-Calc!F26))+B2552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527">
        <f>(1-Summary!$B$11)*T2527+Summary!$B$11*V2527</f>
        <v/>
      </c>
      <c r="P2527">
        <f>IF(B2564=0,0,O2527/B2564)</f>
        <v/>
      </c>
      <c r="Q2527">
        <f>IFERROR(1/IF(Inputs!$B$39="pvp",15,MAX(0.1,Skills!D9-IF(FALSE=TRUE,Inputs!$B$32,0))),0)</f>
        <v/>
      </c>
      <c r="R2527">
        <f>IF(AND(Inputs!$B$39&lt;&gt;"pvp",Inputs!$B$44&gt;0),IF(MAX(0,Inputs!$B$44-B2563)&lt;=0,0,(INT(MAX(0,Inputs!$B$44-B2563)/IF(Inputs!$B$39="pvp",15,MAX(0.1,Skills!D9-IF(FALSE=TRUE,Inputs!$B$32,0))))+1)),0)</f>
        <v/>
      </c>
      <c r="S2527">
        <f>IFERROR(O2527/N2527,0)</f>
        <v/>
      </c>
      <c r="T2527">
        <f>IF(C2527,(H2527*N2527*IF(AND(Inputs!$B$39&lt;&gt;"pvp",Inputs!$B$44&gt;0),((Skills!G9*((R2527-1)*IF(Skills!H9&gt;0,Skills!I9/Skills!H9,1)+IF(Skills!H9&gt;0,MIN(Skills!I9,MAX(0,MAX(0,Inputs!$B$44-B2563)-((R2527-1)*IF(Inputs!$B$39="pvp",15,MAX(0.1,Skills!D9-IF(FALSE=TRUE,Inputs!$B$32,0))))))/Skills!H9,1)))/Inputs!$B$44),G2527*Q2527))*IF(Inputs!$B$39="pvp",1,1+(Inputs!$B$20+0+Skills!P9+B2553+(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Hunt"),CHOOSE(ArtifactsInput!$N$35+1,15,18,21,24,27,30)*(1-EXP(-(0.2*B2556)*5)),0)+IF(AND(ArtifactsInput!$M$22,Inputs!$B$4&lt;&gt;"Chapter Hunt"),CHOOSE(ArtifactsInput!$N$22+1,10,12,14,16,18,20)*((0*(((0.15*B2556*5))^0/1)+1*(((0.15*B2556*5))^1/1)+2*(((0.15*B2556*5))^2/2)+3*(((0.15*B2556*5))^3/6)+4*(((0.15*B2556*5))^4/24)+5*(((0.15*B2556*5))^5/120))/((((0.15*B2556*5))^0/1)+(((0.15*B2556*5))^1/1)+(((0.15*B2556*5))^2/2)+(((0.15*B2556*5))^3/6)+(((0.15*B2556*5))^4/24)+(((0.15*B2556*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2527*(1-MIN(100,(Inputs!$B$9+((C2544=TRUE)*(F2544-Calc!F26))+B2552+(ArtifactsInput!$M$24-ArtifactsInput!$M$24)*CHOOSE(ArtifactsInput!$N$24+1,10,12,14,16,18,20)+(IF(AND(Inputs!$B$39&lt;&gt;"pvp",Inputs!$B$44=0),1,IF(IF(Inputs!$B$39="pvp",15,Inputs!$B$44)-(B2563)&lt;=0,1,MAX(0,IF(Inputs!$B$39="pvp",15,Inputs!$B$44)-MAX(5,B2563))/(IF(Inputs!$B$39="pvp",15,Inputs!$B$44)-(B2563))))*IF(AND(ArtifactsInput!$M$42,((Inputs!$B$9+((C2544=TRUE)*(F2544-Calc!F26))+B2552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2527*(MIN(100,(Inputs!$B$9+((C2544=TRUE)*(F2544-Calc!F26))+B2552+(ArtifactsInput!$M$24-ArtifactsInput!$M$24)*CHOOSE(ArtifactsInput!$N$24+1,10,12,14,16,18,20)+(IF(AND(Inputs!$B$39&lt;&gt;"pvp",Inputs!$B$44=0),1,IF(IF(Inputs!$B$39="pvp",15,Inputs!$B$44)-(B2563)&lt;=0,1,MAX(0,IF(Inputs!$B$39="pvp",15,Inputs!$B$44)-MAX(5,B2563))/(IF(Inputs!$B$39="pvp",15,Inputs!$B$44)-(B2563))))*IF(AND(ArtifactsInput!$M$42,((Inputs!$B$9+((C2544=TRUE)*(F2544-Calc!F26))+B2552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2527*(1-MIN(100,(Inputs!$B$9+((C2544=TRUE)*(F2544-Calc!F26))+B2552+(ArtifactsInput!$M$24-ArtifactsInput!$M$24)*CHOOSE(ArtifactsInput!$N$24+1,10,12,14,16,18,20)+(IF(AND(Inputs!$B$39&lt;&gt;"pvp",Inputs!$B$44=0),1,IF(IF(Inputs!$B$39="pvp",15,Inputs!$B$44)-(B2563)&lt;=0,1,MAX(0,IF(Inputs!$B$39="pvp",15,Inputs!$B$44)-MAX(5,B2563))/(IF(Inputs!$B$39="pvp",15,Inputs!$B$44)-(B2563))))*IF(AND(ArtifactsInput!$M$42,((Inputs!$B$9+((C2544=TRUE)*(F2544-Calc!F26))+B2552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2527*(MIN(100,(Inputs!$B$9+((C2544=TRUE)*(F2544-Calc!F26))+B2552+(ArtifactsInput!$M$24-ArtifactsInput!$M$24)*CHOOSE(ArtifactsInput!$N$24+1,10,12,14,16,18,20)+(IF(AND(Inputs!$B$39&lt;&gt;"pvp",Inputs!$B$44=0),1,IF(IF(Inputs!$B$39="pvp",15,Inputs!$B$44)-(B2563)&lt;=0,1,MAX(0,IF(Inputs!$B$39="pvp",15,Inputs!$B$44)-MAX(5,B2563))/(IF(Inputs!$B$39="pvp",15,Inputs!$B$44)-(B2563))))*IF(AND(ArtifactsInput!$M$42,((Inputs!$B$9+((C2544=TRUE)*(F2544-Calc!F26))+B2552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527">
        <f>IF(C2527,(H2527*N2527*IF(AND(Inputs!$B$39&lt;&gt;"pvp",Inputs!$B$44&gt;0),((Skills!G9*((R2527-1)*IF(Skills!H9&gt;0,Skills!I9/Skills!H9,1)+IF(Skills!H9&gt;0,MIN(Skills!I9,MAX(0,MAX(0,Inputs!$B$44-B2563)-((R2527-1)*IF(Inputs!$B$39="pvp",15,MAX(0.1,Skills!D9-IF(FALSE=TRUE,Inputs!$B$32,0))))))/Skills!H9,1)))/Inputs!$B$44),G2527*Q2527))*IF(Inputs!$B$39="pvp",1,(1+(Inputs!$B$21+Skills!Q9+B2553+(IF(ArtifactsInput!$M$33,CHOOSE(ArtifactsInput!$N$33+1,30,36,42,48,54,60),0))+(IF(AND(ArtifactsInput!$M$35,Inputs!$B$4&lt;&gt;"Chapter Hunt"),CHOOSE(ArtifactsInput!$N$35+1,15,18,21,24,27,30)*(1-EXP(-(0.2*B2556)*5)),0)+IF(AND(ArtifactsInput!$M$22,Inputs!$B$4&lt;&gt;"Chapter Hunt"),CHOOSE(ArtifactsInput!$N$22+1,10,12,14,16,18,20)*((0*(((0.15*B2556*5))^0/1)+1*(((0.15*B2556*5))^1/1)+2*(((0.15*B2556*5))^2/2)+3*(((0.15*B2556*5))^3/6)+4*(((0.15*B2556*5))^4/24)+5*(((0.15*B2556*5))^5/120))/((((0.15*B2556*5))^0/1)+(((0.15*B2556*5))^1/1)+(((0.15*B2556*5))^2/2)+(((0.15*B2556*5))^3/6)+(((0.15*B2556*5))^4/24)+(((0.15*B2556*5))^5/120))),0)))/100)*(MIN(Skills!W9,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528">
      <c r="A2528">
        <f>Skills!A10</f>
        <v/>
      </c>
      <c r="B2528">
        <f>Skills!B10</f>
        <v/>
      </c>
      <c r="C2528">
        <f>Inputs!$B$3&gt;=117</f>
        <v/>
      </c>
      <c r="D2528">
        <f>IF(Skills!C10=1,60+Inputs!$B$25+Inputs!$B$29,IF(Skills!C10=2,90+Inputs!$B$26+Inputs!$B$29,IF(Skills!C10=3,120+Inputs!$B$27+Inputs!$B$29,MAX(0,(Inputs!$B$3-100)*3)+Inputs!$B$28+Inputs!$B$29)))</f>
        <v/>
      </c>
      <c r="E2528">
        <f>INDEX(FactorTable!$B$2:$Y$301, MATCH(ROUND(MIN(300,MAX(1,D2528)),0), FactorTable!$A$2:$A$301,0), Skills!M10+1)</f>
        <v/>
      </c>
      <c r="F2528">
        <f>IF(Skills!N10=TRUE,(Skills!L10/10)*(E2528/1000),Skills!L10/10)+Skills!O10</f>
        <v/>
      </c>
      <c r="G2528">
        <f>Skills!G10*IF(Skills!H10&gt;0,IF(Inputs!$B$39="pvp",MIN(Skills!I10,15),Skills!I10)/Skills!H10,1)</f>
        <v/>
      </c>
      <c r="H2528">
        <f>1-(1-Skills!J10/100)^Skills!K10</f>
        <v/>
      </c>
      <c r="I2528" t="inlineStr">
        <is>
          <t>1</t>
        </is>
      </c>
      <c r="J2528">
        <f>((Inputs!$B$6*(1+Inputs!$B$7/100))+(((Inputs!$B$12*(1+Inputs!$B$13/100))-(Inputs!$B$12*(1+Inputs!$B$13/100)))+0.25*(Inputs!$B$14-Inputs!$B$14))*(1+Inputs!$B$7/100))*(F2528/100)</f>
        <v/>
      </c>
      <c r="K2528">
        <f>J2528*(1+((Inputs!$B$12*(1+Inputs!$B$13/100))*0.01+Inputs!$B$14*0.0025)/100)*(1+Inputs!$B$15/100)*(1+Inputs!$B$16/100)*(5000/(6000+Inputs!$B$43*(1-(100*(1-(1-Inputs!$B$19/100)*(1-CHOOSE(ArtifactsInput!$N$40+1,5,6,7,8,9,10)/100)^(ArtifactsInput!$M$40-ArtifactsInput!$M$40)))/100)))*(1+(Inputs!$B$24+((C2549=TRUE)*(F2549-Calc!F31))+((C2536=TRUE)*(F2536-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IF(ArtifactsInput!$M$28,FALSE,TRUE)-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10="CRUEL_STAB",Inputs!$B$17+((C2546=TRUE)*(F2546-Calc!F28))+((IF(AND(Inputs!$B$39&lt;&gt;"pvp",Inputs!$B$44=0),1,IF(IF(Inputs!$B$39="pvp",15,Inputs!$B$44)-(B2563)&lt;=0,1,MAX(0,IF(Inputs!$B$39="pvp",15,Inputs!$B$44)-MAX(5,B2563))/(IF(Inputs!$B$39="pvp",15,Inputs!$B$44)-(B2563))))*(IF(AND(ArtifactsInput!$M$42,((Inputs!$B$9+((C2544=TRUE)*(F2544-Calc!F26))+B2552+(ArtifactsInput!$M$24-ArtifactsInput!$M$24)*CHOOSE(ArtifactsInput!$N$24+1,10,12,14,16,18,20)+IF(ArtifactsInput!$M$10,CHOOSE(ArtifactsInput!$N$10+1,15,18,21,24,27,30)*(IF(Inputs!$B$39="pvp",MIN(15,15)/15,IF(AND(Inputs!$B$39&lt;&gt;"pvp",Inputs!$B$44&gt;0),MIN(15,Inputs!$B$44)/(Inputs!$B$44),0))),0)))&gt;=100),MIN(100,((Inputs!$B$9+((C2544=TRUE)*(F2544-Calc!F26))+B2552+(ArtifactsInput!$M$24-ArtifactsInput!$M$24)*CHOOSE(ArtifactsInput!$N$24+1,10,12,14,16,18,20)+IF(ArtifactsInput!$M$10,CHOOSE(ArtifactsInput!$N$10+1,15,18,21,24,27,30)*(IF(Inputs!$B$39="pvp",MIN(15,15)/15,IF(AND(Inputs!$B$39&lt;&gt;"pvp",Inputs!$B$44&gt;0),MIN(15,Inputs!$B$44)/(Inputs!$B$44),0))),0)))-100),0))*CHOOSE(ArtifactsInput!$N$42+1,0.6,0.72,0.84,0.96,1.08,1.2))),Inputs!$B$18+((C2547=TRUE)*(F2547-Calc!F29))+(IF(AND(Inputs!$B$39&lt;&gt;"pvp",Inputs!$B$44=0),1,IF(IF(Inputs!$B$39="pvp",15,Inputs!$B$44)-(B2563)&lt;=0,1,MAX(0,IF(Inputs!$B$39="pvp",15,Inputs!$B$44)-MAX(5,B2563))/(IF(Inputs!$B$39="pvp",15,Inputs!$B$44)-(B2563))))*IF(AND(ArtifactsInput!$M$42,((Inputs!$B$9+((C2544=TRUE)*(F2544-Calc!F26))+B2552+(ArtifactsInput!$M$24-ArtifactsInput!$M$24)*CHOOSE(ArtifactsInput!$N$24+1,10,12,14,16,18,20)+IF(ArtifactsInput!$M$10,CHOOSE(ArtifactsInput!$N$10+1,15,18,21,24,27,30)*(IF(Inputs!$B$39="pvp",MIN(15,15)/15,IF(AND(Inputs!$B$39&lt;&gt;"pvp",Inputs!$B$44&gt;0),MIN(15,Inputs!$B$44)/(Inputs!$B$44),0))),0)))&gt;=100),CHOOSE(ArtifactsInput!$N$42+1,40,48,56,64,72,80),0))))/100)*(((1+(((C2540=TRUE)*F2540*IF(AND(Inputs!$B$39&lt;&gt;"pvp",Inputs!$B$44&gt;0),(((R2540-1)*MIN((Skills!Y22*(1+Inputs!$B$34/100)),(1/Q2540))+MIN((Skills!Y22*(1+Inputs!$B$34/100)),MAX(0,Inputs!$B$44-((R2540-1)*(1/Q2540)))))/Inputs!$B$44),IF(Inputs!$B$39="pvp",MIN((Skills!Y22*(1+Inputs!$B$34/100)),15)/15,MIN(1,(Skills!Y22*(1+Inputs!$B$34/100))/(1/Q2540)))))+((C2521=TRUE)*F2521*3)+((C2523=TRUE)*F2523*(1-EXP(-0.75*B2556*5)))+((C2542=TRUE)*(F2542-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2529=TRUE)*F2529*IF(AND(Inputs!$B$39&lt;&gt;"pvp",Inputs!$B$44&gt;0),(((R2529-1)*MIN((Skills!Y11*(1+Inputs!$B$34/100)),(1/Q2529))+MIN((Skills!Y11*(1+Inputs!$B$34/100)),MAX(0,Inputs!$B$44-((R2529-1)*(1/Q2529)))))/Inputs!$B$44),IF(Inputs!$B$39="pvp",MIN((Skills!Y11*(1+Inputs!$B$34/100)),15)/15,MIN(1,(Skills!Y11*(1+Inputs!$B$34/100))/(1/Q2529)))))/100)*(1+((C2534=TRUE)*F2534*IF(AND(Inputs!$B$39&lt;&gt;"pvp",Inputs!$B$44&gt;0),(((R2534-1)*MIN((Skills!Y16*(1+Inputs!$B$34/100)),(1/Q2534))+MIN((Skills!Y16*(1+Inputs!$B$34/100)),MAX(0,Inputs!$B$44-((R2534-1)*(1/Q2534)))))/Inputs!$B$44),IF(Inputs!$B$39="pvp",MIN((Skills!Y16*(1+Inputs!$B$34/100)),15)/15,MIN(1,(Skills!Y16*(1+Inputs!$B$34/100))/(1/Q2534)))))/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2554*I2528)</f>
        <v/>
      </c>
      <c r="L2528">
        <f>K2528*(MIN(Inputs!$B$22+((C2543=TRUE)*(F2543-Calc!F25)),(Inputs!$B$23+((C2548=TRUE)*(F2548-Calc!F30))+IF(ArtifactsInput!$M$15,CHOOSE(ArtifactsInput!$N$15+1,25,30,35,40,45,50)/100*(Inputs!$B$11-Inputs!$B$11),0)))/100+(Inputs!$B$23+((C2548=TRUE)*(F2548-Calc!F30))+IF(ArtifactsInput!$M$15,CHOOSE(ArtifactsInput!$N$15+1,25,30,35,40,45,50)/100*(Inputs!$B$11-Inputs!$B$11),0))/100)/2</f>
        <v/>
      </c>
      <c r="M2528">
        <f>L2528*(1+(Inputs!$B$10+((C2545=TRUE)*(F2545-Calc!F27))+B2559+(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2528">
        <f>L2528*(1-MIN((Inputs!$B$9+((C2544=TRUE)*(F2544-Calc!F26))+B2552+(ArtifactsInput!$M$24-ArtifactsInput!$M$24)*CHOOSE(ArtifactsInput!$N$24+1,10,12,14,16,18,20)+(IF(AND(Inputs!$B$39&lt;&gt;"pvp",Inputs!$B$44=0),1,IF(IF(Inputs!$B$39="pvp",15,Inputs!$B$44)-(B2563)&lt;=0,1,MAX(0,IF(Inputs!$B$39="pvp",15,Inputs!$B$44)-MAX(5,B2563))/(IF(Inputs!$B$39="pvp",15,Inputs!$B$44)-(B2563))))*IF(AND(ArtifactsInput!$M$42,((Inputs!$B$9+((C2544=TRUE)*(F2544-Calc!F26))+B2552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2528*(MIN((Inputs!$B$9+((C2544=TRUE)*(F2544-Calc!F26))+B2552+(ArtifactsInput!$M$24-ArtifactsInput!$M$24)*CHOOSE(ArtifactsInput!$N$24+1,10,12,14,16,18,20)+(IF(AND(Inputs!$B$39&lt;&gt;"pvp",Inputs!$B$44=0),1,IF(IF(Inputs!$B$39="pvp",15,Inputs!$B$44)-(B2563)&lt;=0,1,MAX(0,IF(Inputs!$B$39="pvp",15,Inputs!$B$44)-MAX(5,B2563))/(IF(Inputs!$B$39="pvp",15,Inputs!$B$44)-(B2563))))*IF(AND(ArtifactsInput!$M$42,((Inputs!$B$9+((C2544=TRUE)*(F2544-Calc!F26))+B2552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528">
        <f>(1-Summary!$B$11)*T2528+Summary!$B$11*V2528</f>
        <v/>
      </c>
      <c r="P2528">
        <f>IF(B2564=0,0,O2528/B2564)</f>
        <v/>
      </c>
      <c r="Q2528" t="n">
        <v>0</v>
      </c>
      <c r="R2528" t="n">
        <v>0</v>
      </c>
      <c r="S2528" t="n">
        <v>0</v>
      </c>
      <c r="T2528">
        <f>IF(C2528,(0.2*SUMPRODUCT((Skills!Z2:Z31=TRUE)*(C2520:C2549=TRUE)*S2520:S2549)*N2528)*IF(Inputs!$B$39="pvp",1,1+(Inputs!$B$20+0+Skills!P10+B2553+(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Hunt"),CHOOSE(ArtifactsInput!$N$35+1,15,18,21,24,27,30)*(1-EXP(-(0.2*B2556)*5)),0)+IF(AND(ArtifactsInput!$M$22,Inputs!$B$4&lt;&gt;"Chapter Hunt"),CHOOSE(ArtifactsInput!$N$22+1,10,12,14,16,18,20)*((0*(((0.15*B2556*5))^0/1)+1*(((0.15*B2556*5))^1/1)+2*(((0.15*B2556*5))^2/2)+3*(((0.15*B2556*5))^3/6)+4*(((0.15*B2556*5))^4/24)+5*(((0.15*B2556*5))^5/120))/((((0.15*B2556*5))^0/1)+(((0.15*B2556*5))^1/1)+(((0.15*B2556*5))^2/2)+(((0.15*B2556*5))^3/6)+(((0.15*B2556*5))^4/24)+(((0.15*B2556*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2528*(1-MIN(100,(Inputs!$B$9+((C2544=TRUE)*(F2544-Calc!F26))+B2552+(ArtifactsInput!$M$24-ArtifactsInput!$M$24)*CHOOSE(ArtifactsInput!$N$24+1,10,12,14,16,18,20)+(IF(AND(Inputs!$B$39&lt;&gt;"pvp",Inputs!$B$44=0),1,IF(IF(Inputs!$B$39="pvp",15,Inputs!$B$44)-(B2563)&lt;=0,1,MAX(0,IF(Inputs!$B$39="pvp",15,Inputs!$B$44)-MAX(5,B2563))/(IF(Inputs!$B$39="pvp",15,Inputs!$B$44)-(B2563))))*IF(AND(ArtifactsInput!$M$42,((Inputs!$B$9+((C2544=TRUE)*(F2544-Calc!F26))+B2552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2528*(MIN(100,(Inputs!$B$9+((C2544=TRUE)*(F2544-Calc!F26))+B2552+(ArtifactsInput!$M$24-ArtifactsInput!$M$24)*CHOOSE(ArtifactsInput!$N$24+1,10,12,14,16,18,20)+(IF(AND(Inputs!$B$39&lt;&gt;"pvp",Inputs!$B$44=0),1,IF(IF(Inputs!$B$39="pvp",15,Inputs!$B$44)-(B2563)&lt;=0,1,MAX(0,IF(Inputs!$B$39="pvp",15,Inputs!$B$44)-MAX(5,B2563))/(IF(Inputs!$B$39="pvp",15,Inputs!$B$44)-(B2563))))*IF(AND(ArtifactsInput!$M$42,((Inputs!$B$9+((C2544=TRUE)*(F2544-Calc!F26))+B2552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2528*(1-MIN(100,(Inputs!$B$9+((C2544=TRUE)*(F2544-Calc!F26))+B2552+(ArtifactsInput!$M$24-ArtifactsInput!$M$24)*CHOOSE(ArtifactsInput!$N$24+1,10,12,14,16,18,20)+(IF(AND(Inputs!$B$39&lt;&gt;"pvp",Inputs!$B$44=0),1,IF(IF(Inputs!$B$39="pvp",15,Inputs!$B$44)-(B2563)&lt;=0,1,MAX(0,IF(Inputs!$B$39="pvp",15,Inputs!$B$44)-MAX(5,B2563))/(IF(Inputs!$B$39="pvp",15,Inputs!$B$44)-(B2563))))*IF(AND(ArtifactsInput!$M$42,((Inputs!$B$9+((C2544=TRUE)*(F2544-Calc!F26))+B2552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2528*(MIN(100,(Inputs!$B$9+((C2544=TRUE)*(F2544-Calc!F26))+B2552+(ArtifactsInput!$M$24-ArtifactsInput!$M$24)*CHOOSE(ArtifactsInput!$N$24+1,10,12,14,16,18,20)+(IF(AND(Inputs!$B$39&lt;&gt;"pvp",Inputs!$B$44=0),1,IF(IF(Inputs!$B$39="pvp",15,Inputs!$B$44)-(B2563)&lt;=0,1,MAX(0,IF(Inputs!$B$39="pvp",15,Inputs!$B$44)-MAX(5,B2563))/(IF(Inputs!$B$39="pvp",15,Inputs!$B$44)-(B2563))))*IF(AND(ArtifactsInput!$M$42,((Inputs!$B$9+((C2544=TRUE)*(F2544-Calc!F26))+B2552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528">
        <f>IF(C2528,(0.2*SUMPRODUCT((Skills!Z2:Z31=TRUE)*(C2520:C2549=TRUE)*S2520:S2549)*N2528)*IF(Inputs!$B$39="pvp",1,(1+(Inputs!$B$21+Skills!Q10+B2553+(IF(ArtifactsInput!$M$33,CHOOSE(ArtifactsInput!$N$33+1,30,36,42,48,54,60),0))+(IF(AND(ArtifactsInput!$M$35,Inputs!$B$4&lt;&gt;"Chapter Hunt"),CHOOSE(ArtifactsInput!$N$35+1,15,18,21,24,27,30)*(1-EXP(-(0.2*B2556)*5)),0)+IF(AND(ArtifactsInput!$M$22,Inputs!$B$4&lt;&gt;"Chapter Hunt"),CHOOSE(ArtifactsInput!$N$22+1,10,12,14,16,18,20)*((0*(((0.15*B2556*5))^0/1)+1*(((0.15*B2556*5))^1/1)+2*(((0.15*B2556*5))^2/2)+3*(((0.15*B2556*5))^3/6)+4*(((0.15*B2556*5))^4/24)+5*(((0.15*B2556*5))^5/120))/((((0.15*B2556*5))^0/1)+(((0.15*B2556*5))^1/1)+(((0.15*B2556*5))^2/2)+(((0.15*B2556*5))^3/6)+(((0.15*B2556*5))^4/24)+(((0.15*B2556*5))^5/120))),0)))/100)*(MIN(Skills!W10,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529">
      <c r="A2529">
        <f>Skills!A11</f>
        <v/>
      </c>
      <c r="B2529">
        <f>Skills!B11</f>
        <v/>
      </c>
      <c r="C2529">
        <f>Inputs!$B$3&gt;=74</f>
        <v/>
      </c>
      <c r="D2529">
        <f>IF(Skills!C11=1,60+Inputs!$B$25+Inputs!$B$29,IF(Skills!C11=2,90+Inputs!$B$26+Inputs!$B$29,IF(Skills!C11=3,120+Inputs!$B$27+Inputs!$B$29,MAX(0,(Inputs!$B$3-100)*3)+Inputs!$B$28+Inputs!$B$29)))</f>
        <v/>
      </c>
      <c r="E2529">
        <f>INDEX(FactorTable!$B$2:$Y$301, MATCH(ROUND(MIN(300,MAX(1,D2529)),0), FactorTable!$A$2:$A$301,0), Skills!M11+1)</f>
        <v/>
      </c>
      <c r="F2529">
        <f>IF(Skills!N11=TRUE,(Skills!L11/10)*(E2529/1000),Skills!L11/10)+Skills!O11</f>
        <v/>
      </c>
      <c r="G2529">
        <f>Skills!G11*IF(Skills!H11&gt;0,IF(Inputs!$B$39="pvp",MIN(Skills!I11,15),Skills!I11)/Skills!H11,1)</f>
        <v/>
      </c>
      <c r="H2529">
        <f>1-(1-Skills!J11/100)^Skills!K11</f>
        <v/>
      </c>
      <c r="I2529" t="inlineStr">
        <is>
          <t>1</t>
        </is>
      </c>
      <c r="J2529" t="inlineStr"/>
      <c r="K2529" t="inlineStr"/>
      <c r="L2529" t="inlineStr"/>
      <c r="M2529" t="inlineStr"/>
      <c r="N2529" t="inlineStr"/>
      <c r="O2529">
        <f>(1-Summary!$B$11)*T2529+Summary!$B$11*V2529</f>
        <v/>
      </c>
      <c r="P2529">
        <f>IF(B2564=0,0,O2529/B2564)</f>
        <v/>
      </c>
      <c r="Q2529">
        <f>IFERROR(1/IF(Inputs!$B$39="pvp",15,MAX(0.1,Skills!D11-IF(TRUE=TRUE,Inputs!$B$32,0))),0)</f>
        <v/>
      </c>
      <c r="R2529">
        <f>IF(AND(Inputs!$B$39&lt;&gt;"pvp",Inputs!$B$44&gt;0),IF(Inputs!$B$44&lt;=0,0,(INT(Inputs!$B$44/IF(Inputs!$B$39="pvp",15,MAX(0.1,Skills!D11-IF(TRUE=TRUE,Inputs!$B$32,0))))+1)),0)</f>
        <v/>
      </c>
      <c r="S2529">
        <f>IFERROR(O2529/N2529,0)</f>
        <v/>
      </c>
      <c r="T2529" t="n">
        <v>0</v>
      </c>
      <c r="V2529" t="n">
        <v>0</v>
      </c>
    </row>
    <row r="2530">
      <c r="A2530">
        <f>Skills!A12</f>
        <v/>
      </c>
      <c r="B2530">
        <f>Skills!B12</f>
        <v/>
      </c>
      <c r="C2530">
        <f>Inputs!$B$3&gt;=103</f>
        <v/>
      </c>
      <c r="D2530">
        <f>IF(Skills!C12=1,60+Inputs!$B$25+Inputs!$B$29,IF(Skills!C12=2,90+Inputs!$B$26+Inputs!$B$29,IF(Skills!C12=3,120+Inputs!$B$27+Inputs!$B$29,MAX(0,(Inputs!$B$3-100)*3)+Inputs!$B$28+Inputs!$B$29)))</f>
        <v/>
      </c>
      <c r="E2530">
        <f>INDEX(FactorTable!$B$2:$Y$301, MATCH(ROUND(MIN(300,MAX(1,D2530)),0), FactorTable!$A$2:$A$301,0), Skills!M12+1)</f>
        <v/>
      </c>
      <c r="F2530">
        <f>(Skills!L12/10)*(E2530/1000)+IF(Inputs!$B$3&gt;=134,50,0)+0.5*(30000/10)*(INDEX(FactorTable!$B$2:$Y$301, MATCH(ROUND(MIN(300,MAX(1,D2530)),0), FactorTable!$A$2:$A$301,0), 13)/1000)*B2562</f>
        <v/>
      </c>
      <c r="G2530">
        <f>Skills!G12*IF(Skills!H12&gt;0,IF(Inputs!$B$39="pvp",MIN(Skills!I12,15),Skills!I12)/Skills!H12,1)</f>
        <v/>
      </c>
      <c r="H2530">
        <f>1-(1-Skills!J12/100)^Skills!K12</f>
        <v/>
      </c>
      <c r="I2530" t="inlineStr">
        <is>
          <t>1</t>
        </is>
      </c>
      <c r="J2530">
        <f>((Inputs!$B$6*(1+Inputs!$B$7/100))+(((Inputs!$B$12*(1+Inputs!$B$13/100))-(Inputs!$B$12*(1+Inputs!$B$13/100)))+0.25*(Inputs!$B$14-Inputs!$B$14))*(1+Inputs!$B$7/100))*(F2530/100)</f>
        <v/>
      </c>
      <c r="K2530">
        <f>J2530*(1+((Inputs!$B$12*(1+Inputs!$B$13/100))*0.01+Inputs!$B$14*0.0025)/100)*(1+Inputs!$B$15/100)*(1+Inputs!$B$16/100)*(5000/(6000+Inputs!$B$43*(1-(100*(1-(1-Inputs!$B$19/100)*(1-CHOOSE(ArtifactsInput!$N$40+1,5,6,7,8,9,10)/100)^(ArtifactsInput!$M$40-ArtifactsInput!$M$40)))/100)))*(1+(Inputs!$B$24+((C2549=TRUE)*(F2549-Calc!F31))+((C2536=TRUE)*(F2536-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IF(ArtifactsInput!$M$28,FALSE,TRUE)-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12="CRUEL_STAB",Inputs!$B$17+((C2546=TRUE)*(F2546-Calc!F28))+((IF(AND(Inputs!$B$39&lt;&gt;"pvp",Inputs!$B$44=0),1,IF(IF(Inputs!$B$39="pvp",15,Inputs!$B$44)-(B2563)&lt;=0,1,MAX(0,IF(Inputs!$B$39="pvp",15,Inputs!$B$44)-MAX(5,B2563))/(IF(Inputs!$B$39="pvp",15,Inputs!$B$44)-(B2563))))*(IF(AND(ArtifactsInput!$M$42,((Inputs!$B$9+((C2544=TRUE)*(F2544-Calc!F26))+B2552+(ArtifactsInput!$M$24-ArtifactsInput!$M$24)*CHOOSE(ArtifactsInput!$N$24+1,10,12,14,16,18,20)+IF(ArtifactsInput!$M$10,CHOOSE(ArtifactsInput!$N$10+1,15,18,21,24,27,30)*(IF(Inputs!$B$39="pvp",MIN(15,15)/15,IF(AND(Inputs!$B$39&lt;&gt;"pvp",Inputs!$B$44&gt;0),MIN(15,Inputs!$B$44)/(Inputs!$B$44),0))),0)))&gt;=100),MIN(100,((Inputs!$B$9+((C2544=TRUE)*(F2544-Calc!F26))+B2552+(ArtifactsInput!$M$24-ArtifactsInput!$M$24)*CHOOSE(ArtifactsInput!$N$24+1,10,12,14,16,18,20)+IF(ArtifactsInput!$M$10,CHOOSE(ArtifactsInput!$N$10+1,15,18,21,24,27,30)*(IF(Inputs!$B$39="pvp",MIN(15,15)/15,IF(AND(Inputs!$B$39&lt;&gt;"pvp",Inputs!$B$44&gt;0),MIN(15,Inputs!$B$44)/(Inputs!$B$44),0))),0)))-100),0))*CHOOSE(ArtifactsInput!$N$42+1,0.6,0.72,0.84,0.96,1.08,1.2))),Inputs!$B$18+((C2547=TRUE)*(F2547-Calc!F29))+(IF(AND(Inputs!$B$39&lt;&gt;"pvp",Inputs!$B$44=0),1,IF(IF(Inputs!$B$39="pvp",15,Inputs!$B$44)-(B2563)&lt;=0,1,MAX(0,IF(Inputs!$B$39="pvp",15,Inputs!$B$44)-MAX(5,B2563))/(IF(Inputs!$B$39="pvp",15,Inputs!$B$44)-(B2563))))*IF(AND(ArtifactsInput!$M$42,((Inputs!$B$9+((C2544=TRUE)*(F2544-Calc!F26))+B2552+(ArtifactsInput!$M$24-ArtifactsInput!$M$24)*CHOOSE(ArtifactsInput!$N$24+1,10,12,14,16,18,20)+IF(ArtifactsInput!$M$10,CHOOSE(ArtifactsInput!$N$10+1,15,18,21,24,27,30)*(IF(Inputs!$B$39="pvp",MIN(15,15)/15,IF(AND(Inputs!$B$39&lt;&gt;"pvp",Inputs!$B$44&gt;0),MIN(15,Inputs!$B$44)/(Inputs!$B$44),0))),0)))&gt;=100),CHOOSE(ArtifactsInput!$N$42+1,40,48,56,64,72,80),0))))/100)*(((1+(((C2540=TRUE)*F2540*IF(AND(Inputs!$B$39&lt;&gt;"pvp",Inputs!$B$44&gt;0),(((R2540-1)*MIN((Skills!Y22*(1+Inputs!$B$34/100)),(1/Q2540))+MIN((Skills!Y22*(1+Inputs!$B$34/100)),MAX(0,Inputs!$B$44-((R2540-1)*(1/Q2540)))))/Inputs!$B$44),IF(Inputs!$B$39="pvp",MIN((Skills!Y22*(1+Inputs!$B$34/100)),15)/15,MIN(1,(Skills!Y22*(1+Inputs!$B$34/100))/(1/Q2540)))))+((C2521=TRUE)*F2521*3)+((C2523=TRUE)*F2523*(1-EXP(-0.75*B2556*5)))+((C2542=TRUE)*(F2542-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2529=TRUE)*F2529*IF(AND(Inputs!$B$39&lt;&gt;"pvp",Inputs!$B$44&gt;0),(((R2529-1)*MIN((Skills!Y11*(1+Inputs!$B$34/100)),(1/Q2529))+MIN((Skills!Y11*(1+Inputs!$B$34/100)),MAX(0,Inputs!$B$44-((R2529-1)*(1/Q2529)))))/Inputs!$B$44),IF(Inputs!$B$39="pvp",MIN((Skills!Y11*(1+Inputs!$B$34/100)),15)/15,MIN(1,(Skills!Y11*(1+Inputs!$B$34/100))/(1/Q2529)))))/100)*(1+((C2534=TRUE)*F2534*IF(AND(Inputs!$B$39&lt;&gt;"pvp",Inputs!$B$44&gt;0),(((R2534-1)*MIN((Skills!Y16*(1+Inputs!$B$34/100)),(1/Q2534))+MIN((Skills!Y16*(1+Inputs!$B$34/100)),MAX(0,Inputs!$B$44-((R2534-1)*(1/Q2534)))))/Inputs!$B$44),IF(Inputs!$B$39="pvp",MIN((Skills!Y16*(1+Inputs!$B$34/100)),15)/15,MIN(1,(Skills!Y16*(1+Inputs!$B$34/100))/(1/Q2534)))))/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2554*I2530)</f>
        <v/>
      </c>
      <c r="L2530">
        <f>K2530*(MIN(Inputs!$B$22+((C2543=TRUE)*(F2543-Calc!F25)),(Inputs!$B$23+((C2548=TRUE)*(F2548-Calc!F30))+IF(ArtifactsInput!$M$15,CHOOSE(ArtifactsInput!$N$15+1,25,30,35,40,45,50)/100*(Inputs!$B$11-Inputs!$B$11),0)))/100+(Inputs!$B$23+((C2548=TRUE)*(F2548-Calc!F30))+IF(ArtifactsInput!$M$15,CHOOSE(ArtifactsInput!$N$15+1,25,30,35,40,45,50)/100*(Inputs!$B$11-Inputs!$B$11),0))/100)/2</f>
        <v/>
      </c>
      <c r="M2530">
        <f>L2530*(1+(Inputs!$B$10+((C2545=TRUE)*(F2545-Calc!F27))+B2559+(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2530">
        <f>L2530*(1-MIN((Inputs!$B$9+((C2544=TRUE)*(F2544-Calc!F26))+B2552+(ArtifactsInput!$M$24-ArtifactsInput!$M$24)*CHOOSE(ArtifactsInput!$N$24+1,10,12,14,16,18,20)+(IF(AND(Inputs!$B$39&lt;&gt;"pvp",Inputs!$B$44=0),1,IF(IF(Inputs!$B$39="pvp",15,Inputs!$B$44)-(B2563)&lt;=0,1,MAX(0,IF(Inputs!$B$39="pvp",15,Inputs!$B$44)-MAX(5,B2563))/(IF(Inputs!$B$39="pvp",15,Inputs!$B$44)-(B2563))))*IF(AND(ArtifactsInput!$M$42,((Inputs!$B$9+((C2544=TRUE)*(F2544-Calc!F26))+B2552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2530*(MIN((Inputs!$B$9+((C2544=TRUE)*(F2544-Calc!F26))+B2552+(ArtifactsInput!$M$24-ArtifactsInput!$M$24)*CHOOSE(ArtifactsInput!$N$24+1,10,12,14,16,18,20)+(IF(AND(Inputs!$B$39&lt;&gt;"pvp",Inputs!$B$44=0),1,IF(IF(Inputs!$B$39="pvp",15,Inputs!$B$44)-(B2563)&lt;=0,1,MAX(0,IF(Inputs!$B$39="pvp",15,Inputs!$B$44)-MAX(5,B2563))/(IF(Inputs!$B$39="pvp",15,Inputs!$B$44)-(B2563))))*IF(AND(ArtifactsInput!$M$42,((Inputs!$B$9+((C2544=TRUE)*(F2544-Calc!F26))+B2552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530">
        <f>(1-Summary!$B$11)*T2530+Summary!$B$11*V2530</f>
        <v/>
      </c>
      <c r="P2530">
        <f>IF(B2564=0,0,O2530/B2564)</f>
        <v/>
      </c>
      <c r="Q2530">
        <f>IFERROR(1/IF(Inputs!$B$39="pvp",15,MAX(0.1,Skills!D12-IF(TRUE=TRUE,Inputs!$B$32,0))),0)</f>
        <v/>
      </c>
      <c r="R2530">
        <f>IF(AND(Inputs!$B$39&lt;&gt;"pvp",Inputs!$B$44&gt;0),IF(MAX(0,Inputs!$B$44-B2563)&lt;=0,0,(INT(MAX(0,Inputs!$B$44-B2563)/IF(Inputs!$B$39="pvp",15,MAX(0.1,Skills!D12-IF(TRUE=TRUE,Inputs!$B$32,0))))+1)),0)</f>
        <v/>
      </c>
      <c r="S2530">
        <f>IFERROR(O2530/N2530,0)</f>
        <v/>
      </c>
      <c r="T2530">
        <f>IF(C2530,(H2530*N2530*IF(AND(Inputs!$B$39&lt;&gt;"pvp",Inputs!$B$44&gt;0),((Skills!G12*((R2530-1)*IF(Skills!H12&gt;0,Skills!I12/Skills!H12,1)+IF(Skills!H12&gt;0,MIN(Skills!I12,MAX(0,MAX(0,Inputs!$B$44-B2563)-((R2530-1)*IF(Inputs!$B$39="pvp",15,MAX(0.1,Skills!D12-IF(TRUE=TRUE,Inputs!$B$32,0))))))/Skills!H12,1)))/Inputs!$B$44),G2530*Q2530))*IF(Inputs!$B$39="pvp",1,1+(Inputs!$B$20+0+Skills!P12+B2553+(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Hunt"),CHOOSE(ArtifactsInput!$N$35+1,15,18,21,24,27,30)*(1-EXP(-(0.2*B2556)*5)),0)+IF(AND(ArtifactsInput!$M$22,Inputs!$B$4&lt;&gt;"Chapter Hunt"),CHOOSE(ArtifactsInput!$N$22+1,10,12,14,16,18,20)*((0*(((0.15*B2556*5))^0/1)+1*(((0.15*B2556*5))^1/1)+2*(((0.15*B2556*5))^2/2)+3*(((0.15*B2556*5))^3/6)+4*(((0.15*B2556*5))^4/24)+5*(((0.15*B2556*5))^5/120))/((((0.15*B2556*5))^0/1)+(((0.15*B2556*5))^1/1)+(((0.15*B2556*5))^2/2)+(((0.15*B2556*5))^3/6)+(((0.15*B2556*5))^4/24)+(((0.15*B2556*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2530*(1-MIN(100,(Inputs!$B$9+((C2544=TRUE)*(F2544-Calc!F26))+B2552+(ArtifactsInput!$M$24-ArtifactsInput!$M$24)*CHOOSE(ArtifactsInput!$N$24+1,10,12,14,16,18,20)+(IF(AND(Inputs!$B$39&lt;&gt;"pvp",Inputs!$B$44=0),1,IF(IF(Inputs!$B$39="pvp",15,Inputs!$B$44)-(B2563)&lt;=0,1,MAX(0,IF(Inputs!$B$39="pvp",15,Inputs!$B$44)-MAX(5,B2563))/(IF(Inputs!$B$39="pvp",15,Inputs!$B$44)-(B2563))))*IF(AND(ArtifactsInput!$M$42,((Inputs!$B$9+((C2544=TRUE)*(F2544-Calc!F26))+B2552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2530*(MIN(100,(Inputs!$B$9+((C2544=TRUE)*(F2544-Calc!F26))+B2552+(ArtifactsInput!$M$24-ArtifactsInput!$M$24)*CHOOSE(ArtifactsInput!$N$24+1,10,12,14,16,18,20)+(IF(AND(Inputs!$B$39&lt;&gt;"pvp",Inputs!$B$44=0),1,IF(IF(Inputs!$B$39="pvp",15,Inputs!$B$44)-(B2563)&lt;=0,1,MAX(0,IF(Inputs!$B$39="pvp",15,Inputs!$B$44)-MAX(5,B2563))/(IF(Inputs!$B$39="pvp",15,Inputs!$B$44)-(B2563))))*IF(AND(ArtifactsInput!$M$42,((Inputs!$B$9+((C2544=TRUE)*(F2544-Calc!F26))+B2552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2530*(1-MIN(100,(Inputs!$B$9+((C2544=TRUE)*(F2544-Calc!F26))+B2552+(ArtifactsInput!$M$24-ArtifactsInput!$M$24)*CHOOSE(ArtifactsInput!$N$24+1,10,12,14,16,18,20)+(IF(AND(Inputs!$B$39&lt;&gt;"pvp",Inputs!$B$44=0),1,IF(IF(Inputs!$B$39="pvp",15,Inputs!$B$44)-(B2563)&lt;=0,1,MAX(0,IF(Inputs!$B$39="pvp",15,Inputs!$B$44)-MAX(5,B2563))/(IF(Inputs!$B$39="pvp",15,Inputs!$B$44)-(B2563))))*IF(AND(ArtifactsInput!$M$42,((Inputs!$B$9+((C2544=TRUE)*(F2544-Calc!F26))+B2552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2530*(MIN(100,(Inputs!$B$9+((C2544=TRUE)*(F2544-Calc!F26))+B2552+(ArtifactsInput!$M$24-ArtifactsInput!$M$24)*CHOOSE(ArtifactsInput!$N$24+1,10,12,14,16,18,20)+(IF(AND(Inputs!$B$39&lt;&gt;"pvp",Inputs!$B$44=0),1,IF(IF(Inputs!$B$39="pvp",15,Inputs!$B$44)-(B2563)&lt;=0,1,MAX(0,IF(Inputs!$B$39="pvp",15,Inputs!$B$44)-MAX(5,B2563))/(IF(Inputs!$B$39="pvp",15,Inputs!$B$44)-(B2563))))*IF(AND(ArtifactsInput!$M$42,((Inputs!$B$9+((C2544=TRUE)*(F2544-Calc!F26))+B2552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530">
        <f>IF(C2530,(H2530*N2530*IF(AND(Inputs!$B$39&lt;&gt;"pvp",Inputs!$B$44&gt;0),((Skills!G12*((R2530-1)*IF(Skills!H12&gt;0,Skills!I12/Skills!H12,1)+IF(Skills!H12&gt;0,MIN(Skills!I12,MAX(0,MAX(0,Inputs!$B$44-B2563)-((R2530-1)*IF(Inputs!$B$39="pvp",15,MAX(0.1,Skills!D12-IF(TRUE=TRUE,Inputs!$B$32,0))))))/Skills!H12,1)))/Inputs!$B$44),G2530*Q2530))*IF(Inputs!$B$39="pvp",1,(1+(Inputs!$B$21+Skills!Q12+B2553+(IF(ArtifactsInput!$M$33,CHOOSE(ArtifactsInput!$N$33+1,30,36,42,48,54,60),0))+(IF(AND(ArtifactsInput!$M$35,Inputs!$B$4&lt;&gt;"Chapter Hunt"),CHOOSE(ArtifactsInput!$N$35+1,15,18,21,24,27,30)*(1-EXP(-(0.2*B2556)*5)),0)+IF(AND(ArtifactsInput!$M$22,Inputs!$B$4&lt;&gt;"Chapter Hunt"),CHOOSE(ArtifactsInput!$N$22+1,10,12,14,16,18,20)*((0*(((0.15*B2556*5))^0/1)+1*(((0.15*B2556*5))^1/1)+2*(((0.15*B2556*5))^2/2)+3*(((0.15*B2556*5))^3/6)+4*(((0.15*B2556*5))^4/24)+5*(((0.15*B2556*5))^5/120))/((((0.15*B2556*5))^0/1)+(((0.15*B2556*5))^1/1)+(((0.15*B2556*5))^2/2)+(((0.15*B2556*5))^3/6)+(((0.15*B2556*5))^4/24)+(((0.15*B2556*5))^5/120))),0)))/100)*(MIN(Skills!W12,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531">
      <c r="A2531">
        <f>Skills!A13</f>
        <v/>
      </c>
      <c r="B2531">
        <f>Skills!B13</f>
        <v/>
      </c>
      <c r="C2531">
        <f>Inputs!$B$3&gt;=105</f>
        <v/>
      </c>
      <c r="D2531">
        <f>IF(Skills!C13=1,60+Inputs!$B$25+Inputs!$B$29,IF(Skills!C13=2,90+Inputs!$B$26+Inputs!$B$29,IF(Skills!C13=3,120+Inputs!$B$27+Inputs!$B$29,MAX(0,(Inputs!$B$3-100)*3)+Inputs!$B$28+Inputs!$B$29)))</f>
        <v/>
      </c>
      <c r="E2531">
        <f>INDEX(FactorTable!$B$2:$Y$301, MATCH(ROUND(MIN(300,MAX(1,D2531)),0), FactorTable!$A$2:$A$301,0), Skills!M13+1)</f>
        <v/>
      </c>
      <c r="F2531">
        <f>IF(Skills!N13=TRUE,(Skills!L13/10)*(E2531/1000),Skills!L13/10)+Skills!O13</f>
        <v/>
      </c>
      <c r="G2531">
        <f>Skills!G13*IF(Skills!H13&gt;0,IF(Inputs!$B$39="pvp",MIN(Skills!I13,15),Skills!I13)/Skills!H13,1)</f>
        <v/>
      </c>
      <c r="H2531">
        <f>1-(1-Skills!J13/100)^Skills!K13</f>
        <v/>
      </c>
      <c r="I2531" t="inlineStr">
        <is>
          <t>1</t>
        </is>
      </c>
      <c r="J2531">
        <f>((Inputs!$B$6*(1+Inputs!$B$7/100))+(((Inputs!$B$12*(1+Inputs!$B$13/100))-(Inputs!$B$12*(1+Inputs!$B$13/100)))+0.25*(Inputs!$B$14-Inputs!$B$14))*(1+Inputs!$B$7/100))*(F2531/100)</f>
        <v/>
      </c>
      <c r="K2531">
        <f>J2531*(1+((Inputs!$B$12*(1+Inputs!$B$13/100))*0.01+Inputs!$B$14*0.0025)/100)*(1+Inputs!$B$15/100)*(1+Inputs!$B$16/100)*(5000/(6000+Inputs!$B$43*(1-(100*(1-(1-Inputs!$B$19/100)*(1-CHOOSE(ArtifactsInput!$N$40+1,5,6,7,8,9,10)/100)^(ArtifactsInput!$M$40-ArtifactsInput!$M$40)))/100)))*(1+(Inputs!$B$24+((C2549=TRUE)*(F2549-Calc!F31))+((C2536=TRUE)*(F2536-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IF(ArtifactsInput!$M$28,FALSE,TRUE)-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13="CRUEL_STAB",Inputs!$B$17+((C2546=TRUE)*(F2546-Calc!F28))+((IF(AND(Inputs!$B$39&lt;&gt;"pvp",Inputs!$B$44=0),1,IF(IF(Inputs!$B$39="pvp",15,Inputs!$B$44)-(B2563)&lt;=0,1,MAX(0,IF(Inputs!$B$39="pvp",15,Inputs!$B$44)-MAX(5,B2563))/(IF(Inputs!$B$39="pvp",15,Inputs!$B$44)-(B2563))))*(IF(AND(ArtifactsInput!$M$42,((Inputs!$B$9+((C2544=TRUE)*(F2544-Calc!F26))+B2552+(ArtifactsInput!$M$24-ArtifactsInput!$M$24)*CHOOSE(ArtifactsInput!$N$24+1,10,12,14,16,18,20)+IF(ArtifactsInput!$M$10,CHOOSE(ArtifactsInput!$N$10+1,15,18,21,24,27,30)*(IF(Inputs!$B$39="pvp",MIN(15,15)/15,IF(AND(Inputs!$B$39&lt;&gt;"pvp",Inputs!$B$44&gt;0),MIN(15,Inputs!$B$44)/(Inputs!$B$44),0))),0)))&gt;=100),MIN(100,((Inputs!$B$9+((C2544=TRUE)*(F2544-Calc!F26))+B2552+(ArtifactsInput!$M$24-ArtifactsInput!$M$24)*CHOOSE(ArtifactsInput!$N$24+1,10,12,14,16,18,20)+IF(ArtifactsInput!$M$10,CHOOSE(ArtifactsInput!$N$10+1,15,18,21,24,27,30)*(IF(Inputs!$B$39="pvp",MIN(15,15)/15,IF(AND(Inputs!$B$39&lt;&gt;"pvp",Inputs!$B$44&gt;0),MIN(15,Inputs!$B$44)/(Inputs!$B$44),0))),0)))-100),0))*CHOOSE(ArtifactsInput!$N$42+1,0.6,0.72,0.84,0.96,1.08,1.2))),Inputs!$B$18+((C2547=TRUE)*(F2547-Calc!F29))+(IF(AND(Inputs!$B$39&lt;&gt;"pvp",Inputs!$B$44=0),1,IF(IF(Inputs!$B$39="pvp",15,Inputs!$B$44)-(B2563)&lt;=0,1,MAX(0,IF(Inputs!$B$39="pvp",15,Inputs!$B$44)-MAX(5,B2563))/(IF(Inputs!$B$39="pvp",15,Inputs!$B$44)-(B2563))))*IF(AND(ArtifactsInput!$M$42,((Inputs!$B$9+((C2544=TRUE)*(F2544-Calc!F26))+B2552+(ArtifactsInput!$M$24-ArtifactsInput!$M$24)*CHOOSE(ArtifactsInput!$N$24+1,10,12,14,16,18,20)+IF(ArtifactsInput!$M$10,CHOOSE(ArtifactsInput!$N$10+1,15,18,21,24,27,30)*(IF(Inputs!$B$39="pvp",MIN(15,15)/15,IF(AND(Inputs!$B$39&lt;&gt;"pvp",Inputs!$B$44&gt;0),MIN(15,Inputs!$B$44)/(Inputs!$B$44),0))),0)))&gt;=100),CHOOSE(ArtifactsInput!$N$42+1,40,48,56,64,72,80),0))))/100)*(((1+(((C2540=TRUE)*F2540*IF(AND(Inputs!$B$39&lt;&gt;"pvp",Inputs!$B$44&gt;0),(((R2540-1)*MIN((Skills!Y22*(1+Inputs!$B$34/100)),(1/Q2540))+MIN((Skills!Y22*(1+Inputs!$B$34/100)),MAX(0,Inputs!$B$44-((R2540-1)*(1/Q2540)))))/Inputs!$B$44),IF(Inputs!$B$39="pvp",MIN((Skills!Y22*(1+Inputs!$B$34/100)),15)/15,MIN(1,(Skills!Y22*(1+Inputs!$B$34/100))/(1/Q2540)))))+((C2521=TRUE)*F2521*3)+((C2523=TRUE)*F2523*(1-EXP(-0.75*B2556*5)))+((C2542=TRUE)*(F2542-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2529=TRUE)*F2529*IF(AND(Inputs!$B$39&lt;&gt;"pvp",Inputs!$B$44&gt;0),(((R2529-1)*MIN((Skills!Y11*(1+Inputs!$B$34/100)),(1/Q2529))+MIN((Skills!Y11*(1+Inputs!$B$34/100)),MAX(0,Inputs!$B$44-((R2529-1)*(1/Q2529)))))/Inputs!$B$44),IF(Inputs!$B$39="pvp",MIN((Skills!Y11*(1+Inputs!$B$34/100)),15)/15,MIN(1,(Skills!Y11*(1+Inputs!$B$34/100))/(1/Q2529)))))/100)*(1+((C2534=TRUE)*F2534*IF(AND(Inputs!$B$39&lt;&gt;"pvp",Inputs!$B$44&gt;0),(((R2534-1)*MIN((Skills!Y16*(1+Inputs!$B$34/100)),(1/Q2534))+MIN((Skills!Y16*(1+Inputs!$B$34/100)),MAX(0,Inputs!$B$44-((R2534-1)*(1/Q2534)))))/Inputs!$B$44),IF(Inputs!$B$39="pvp",MIN((Skills!Y16*(1+Inputs!$B$34/100)),15)/15,MIN(1,(Skills!Y16*(1+Inputs!$B$34/100))/(1/Q2534)))))/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2554*I2531)</f>
        <v/>
      </c>
      <c r="L2531">
        <f>K2531*(MIN(Inputs!$B$22+((C2543=TRUE)*(F2543-Calc!F25)),(Inputs!$B$23+((C2548=TRUE)*(F2548-Calc!F30))+IF(ArtifactsInput!$M$15,CHOOSE(ArtifactsInput!$N$15+1,25,30,35,40,45,50)/100*(Inputs!$B$11-Inputs!$B$11),0)))/100+(Inputs!$B$23+((C2548=TRUE)*(F2548-Calc!F30))+IF(ArtifactsInput!$M$15,CHOOSE(ArtifactsInput!$N$15+1,25,30,35,40,45,50)/100*(Inputs!$B$11-Inputs!$B$11),0))/100)/2</f>
        <v/>
      </c>
      <c r="M2531">
        <f>L2531*(1+(Inputs!$B$10+((C2545=TRUE)*(F2545-Calc!F27))+B2559+(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2531">
        <f>L2531*(1-MIN((Inputs!$B$9+((C2544=TRUE)*(F2544-Calc!F26))+B2552+(ArtifactsInput!$M$24-ArtifactsInput!$M$24)*CHOOSE(ArtifactsInput!$N$24+1,10,12,14,16,18,20)+(IF(AND(Inputs!$B$39&lt;&gt;"pvp",Inputs!$B$44=0),1,IF(IF(Inputs!$B$39="pvp",15,Inputs!$B$44)-(B2563)&lt;=0,1,MAX(0,IF(Inputs!$B$39="pvp",15,Inputs!$B$44)-MAX(5,B2563))/(IF(Inputs!$B$39="pvp",15,Inputs!$B$44)-(B2563))))*IF(AND(ArtifactsInput!$M$42,((Inputs!$B$9+((C2544=TRUE)*(F2544-Calc!F26))+B2552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2531*(MIN((Inputs!$B$9+((C2544=TRUE)*(F2544-Calc!F26))+B2552+(ArtifactsInput!$M$24-ArtifactsInput!$M$24)*CHOOSE(ArtifactsInput!$N$24+1,10,12,14,16,18,20)+(IF(AND(Inputs!$B$39&lt;&gt;"pvp",Inputs!$B$44=0),1,IF(IF(Inputs!$B$39="pvp",15,Inputs!$B$44)-(B2563)&lt;=0,1,MAX(0,IF(Inputs!$B$39="pvp",15,Inputs!$B$44)-MAX(5,B2563))/(IF(Inputs!$B$39="pvp",15,Inputs!$B$44)-(B2563))))*IF(AND(ArtifactsInput!$M$42,((Inputs!$B$9+((C2544=TRUE)*(F2544-Calc!F26))+B2552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531">
        <f>(1-Summary!$B$11)*T2531+Summary!$B$11*V2531</f>
        <v/>
      </c>
      <c r="P2531">
        <f>IF(B2564=0,0,O2531/B2564)</f>
        <v/>
      </c>
      <c r="Q2531">
        <f>IFERROR(1/IF(Inputs!$B$39="pvp",15,MAX(0.1,Skills!D13-IF(TRUE=TRUE,Inputs!$B$32,0))),0)</f>
        <v/>
      </c>
      <c r="R2531">
        <f>IF(AND(Inputs!$B$39&lt;&gt;"pvp",Inputs!$B$44&gt;0),IF(MAX(0,Inputs!$B$44-B2563)&lt;=0,0,(INT(MAX(0,Inputs!$B$44-B2563)/IF(Inputs!$B$39="pvp",15,MAX(0.1,Skills!D13-IF(TRUE=TRUE,Inputs!$B$32,0))))+1)),0)</f>
        <v/>
      </c>
      <c r="S2531">
        <f>IFERROR(O2531/N2531,0)</f>
        <v/>
      </c>
      <c r="T2531">
        <f>IF(C2531,(H2531*N2531*IF(AND(Inputs!$B$39&lt;&gt;"pvp",Inputs!$B$44&gt;0),((Skills!G13*((R2531-1)*IF(Skills!H13&gt;0,Skills!I13/Skills!H13,1)+IF(Skills!H13&gt;0,MIN(Skills!I13,MAX(0,MAX(0,Inputs!$B$44-B2563)-((R2531-1)*IF(Inputs!$B$39="pvp",15,MAX(0.1,Skills!D13-IF(TRUE=TRUE,Inputs!$B$32,0))))))/Skills!H13,1)))/Inputs!$B$44),G2531*Q2531))*IF(Inputs!$B$39="pvp",1,1+(Inputs!$B$20+0+Skills!P13+B2553+(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Hunt"),CHOOSE(ArtifactsInput!$N$35+1,15,18,21,24,27,30)*(1-EXP(-(0.2*B2556)*5)),0)+IF(AND(ArtifactsInput!$M$22,Inputs!$B$4&lt;&gt;"Chapter Hunt"),CHOOSE(ArtifactsInput!$N$22+1,10,12,14,16,18,20)*((0*(((0.15*B2556*5))^0/1)+1*(((0.15*B2556*5))^1/1)+2*(((0.15*B2556*5))^2/2)+3*(((0.15*B2556*5))^3/6)+4*(((0.15*B2556*5))^4/24)+5*(((0.15*B2556*5))^5/120))/((((0.15*B2556*5))^0/1)+(((0.15*B2556*5))^1/1)+(((0.15*B2556*5))^2/2)+(((0.15*B2556*5))^3/6)+(((0.15*B2556*5))^4/24)+(((0.15*B2556*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2531*(1-MIN(100,(Inputs!$B$9+((C2544=TRUE)*(F2544-Calc!F26))+B2552+(ArtifactsInput!$M$24-ArtifactsInput!$M$24)*CHOOSE(ArtifactsInput!$N$24+1,10,12,14,16,18,20)+(IF(AND(Inputs!$B$39&lt;&gt;"pvp",Inputs!$B$44=0),1,IF(IF(Inputs!$B$39="pvp",15,Inputs!$B$44)-(B2563)&lt;=0,1,MAX(0,IF(Inputs!$B$39="pvp",15,Inputs!$B$44)-MAX(5,B2563))/(IF(Inputs!$B$39="pvp",15,Inputs!$B$44)-(B2563))))*IF(AND(ArtifactsInput!$M$42,((Inputs!$B$9+((C2544=TRUE)*(F2544-Calc!F26))+B2552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2531*(MIN(100,(Inputs!$B$9+((C2544=TRUE)*(F2544-Calc!F26))+B2552+(ArtifactsInput!$M$24-ArtifactsInput!$M$24)*CHOOSE(ArtifactsInput!$N$24+1,10,12,14,16,18,20)+(IF(AND(Inputs!$B$39&lt;&gt;"pvp",Inputs!$B$44=0),1,IF(IF(Inputs!$B$39="pvp",15,Inputs!$B$44)-(B2563)&lt;=0,1,MAX(0,IF(Inputs!$B$39="pvp",15,Inputs!$B$44)-MAX(5,B2563))/(IF(Inputs!$B$39="pvp",15,Inputs!$B$44)-(B2563))))*IF(AND(ArtifactsInput!$M$42,((Inputs!$B$9+((C2544=TRUE)*(F2544-Calc!F26))+B2552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2531*(1-MIN(100,(Inputs!$B$9+((C2544=TRUE)*(F2544-Calc!F26))+B2552+(ArtifactsInput!$M$24-ArtifactsInput!$M$24)*CHOOSE(ArtifactsInput!$N$24+1,10,12,14,16,18,20)+(IF(AND(Inputs!$B$39&lt;&gt;"pvp",Inputs!$B$44=0),1,IF(IF(Inputs!$B$39="pvp",15,Inputs!$B$44)-(B2563)&lt;=0,1,MAX(0,IF(Inputs!$B$39="pvp",15,Inputs!$B$44)-MAX(5,B2563))/(IF(Inputs!$B$39="pvp",15,Inputs!$B$44)-(B2563))))*IF(AND(ArtifactsInput!$M$42,((Inputs!$B$9+((C2544=TRUE)*(F2544-Calc!F26))+B2552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2531*(MIN(100,(Inputs!$B$9+((C2544=TRUE)*(F2544-Calc!F26))+B2552+(ArtifactsInput!$M$24-ArtifactsInput!$M$24)*CHOOSE(ArtifactsInput!$N$24+1,10,12,14,16,18,20)+(IF(AND(Inputs!$B$39&lt;&gt;"pvp",Inputs!$B$44=0),1,IF(IF(Inputs!$B$39="pvp",15,Inputs!$B$44)-(B2563)&lt;=0,1,MAX(0,IF(Inputs!$B$39="pvp",15,Inputs!$B$44)-MAX(5,B2563))/(IF(Inputs!$B$39="pvp",15,Inputs!$B$44)-(B2563))))*IF(AND(ArtifactsInput!$M$42,((Inputs!$B$9+((C2544=TRUE)*(F2544-Calc!F26))+B2552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531">
        <f>IF(C2531,(H2531*N2531*IF(AND(Inputs!$B$39&lt;&gt;"pvp",Inputs!$B$44&gt;0),((Skills!G13*((R2531-1)*IF(Skills!H13&gt;0,Skills!I13/Skills!H13,1)+IF(Skills!H13&gt;0,MIN(Skills!I13,MAX(0,MAX(0,Inputs!$B$44-B2563)-((R2531-1)*IF(Inputs!$B$39="pvp",15,MAX(0.1,Skills!D13-IF(TRUE=TRUE,Inputs!$B$32,0))))))/Skills!H13,1)))/Inputs!$B$44),G2531*Q2531))*IF(Inputs!$B$39="pvp",1,(1+(Inputs!$B$21+Skills!Q13+B2553+(IF(ArtifactsInput!$M$33,CHOOSE(ArtifactsInput!$N$33+1,30,36,42,48,54,60),0))+(IF(AND(ArtifactsInput!$M$35,Inputs!$B$4&lt;&gt;"Chapter Hunt"),CHOOSE(ArtifactsInput!$N$35+1,15,18,21,24,27,30)*(1-EXP(-(0.2*B2556)*5)),0)+IF(AND(ArtifactsInput!$M$22,Inputs!$B$4&lt;&gt;"Chapter Hunt"),CHOOSE(ArtifactsInput!$N$22+1,10,12,14,16,18,20)*((0*(((0.15*B2556*5))^0/1)+1*(((0.15*B2556*5))^1/1)+2*(((0.15*B2556*5))^2/2)+3*(((0.15*B2556*5))^3/6)+4*(((0.15*B2556*5))^4/24)+5*(((0.15*B2556*5))^5/120))/((((0.15*B2556*5))^0/1)+(((0.15*B2556*5))^1/1)+(((0.15*B2556*5))^2/2)+(((0.15*B2556*5))^3/6)+(((0.15*B2556*5))^4/24)+(((0.15*B2556*5))^5/120))),0)))/100)*(MIN(Skills!W13,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532">
      <c r="A2532">
        <f>Skills!A14</f>
        <v/>
      </c>
      <c r="B2532">
        <f>Skills!B14</f>
        <v/>
      </c>
      <c r="C2532">
        <f>Inputs!$B$3&gt;=105</f>
        <v/>
      </c>
      <c r="D2532">
        <f>IF(Skills!C14=1,60+Inputs!$B$25+Inputs!$B$29,IF(Skills!C14=2,90+Inputs!$B$26+Inputs!$B$29,IF(Skills!C14=3,120+Inputs!$B$27+Inputs!$B$29,MAX(0,(Inputs!$B$3-100)*3)+Inputs!$B$28+Inputs!$B$29)))</f>
        <v/>
      </c>
      <c r="E2532">
        <f>INDEX(FactorTable!$B$2:$Y$301, MATCH(ROUND(MIN(300,MAX(1,D2532)),0), FactorTable!$A$2:$A$301,0), Skills!M14+1)</f>
        <v/>
      </c>
      <c r="F2532">
        <f>IF(Skills!N14=TRUE,(Skills!L14/10)*(E2532/1000),Skills!L14/10)+Skills!O14</f>
        <v/>
      </c>
      <c r="G2532">
        <f>Skills!G14*IF(Skills!H14&gt;0,IF(Inputs!$B$39="pvp",MIN(Skills!I14,15),Skills!I14)/Skills!H14,1)</f>
        <v/>
      </c>
      <c r="H2532">
        <f>1-(1-Skills!J14/100)^Skills!K14</f>
        <v/>
      </c>
      <c r="I2532" t="inlineStr">
        <is>
          <t>1</t>
        </is>
      </c>
      <c r="J2532">
        <f>((Inputs!$B$6*(1+Inputs!$B$7/100))+(((Inputs!$B$12*(1+Inputs!$B$13/100))-(Inputs!$B$12*(1+Inputs!$B$13/100)))+0.25*(Inputs!$B$14-Inputs!$B$14))*(1+Inputs!$B$7/100))*(F2532/100)</f>
        <v/>
      </c>
      <c r="K2532">
        <f>J2532*(1+((Inputs!$B$12*(1+Inputs!$B$13/100))*0.01+Inputs!$B$14*0.0025)/100)*(1+Inputs!$B$15/100)*(1+Inputs!$B$16/100)*(5000/(6000+Inputs!$B$43*(1-(100*(1-(1-Inputs!$B$19/100)*(1-CHOOSE(ArtifactsInput!$N$40+1,5,6,7,8,9,10)/100)^(ArtifactsInput!$M$40-ArtifactsInput!$M$40)))/100)))*(1+(Inputs!$B$24+((C2549=TRUE)*(F2549-Calc!F31))+((C2536=TRUE)*(F2536-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IF(ArtifactsInput!$M$28,FALSE,TRUE)-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14="CRUEL_STAB",Inputs!$B$17+((C2546=TRUE)*(F2546-Calc!F28))+((IF(AND(Inputs!$B$39&lt;&gt;"pvp",Inputs!$B$44=0),1,IF(IF(Inputs!$B$39="pvp",15,Inputs!$B$44)-(B2563)&lt;=0,1,MAX(0,IF(Inputs!$B$39="pvp",15,Inputs!$B$44)-MAX(5,B2563))/(IF(Inputs!$B$39="pvp",15,Inputs!$B$44)-(B2563))))*(IF(AND(ArtifactsInput!$M$42,((Inputs!$B$9+((C2544=TRUE)*(F2544-Calc!F26))+B2552+(ArtifactsInput!$M$24-ArtifactsInput!$M$24)*CHOOSE(ArtifactsInput!$N$24+1,10,12,14,16,18,20)+IF(ArtifactsInput!$M$10,CHOOSE(ArtifactsInput!$N$10+1,15,18,21,24,27,30)*(IF(Inputs!$B$39="pvp",MIN(15,15)/15,IF(AND(Inputs!$B$39&lt;&gt;"pvp",Inputs!$B$44&gt;0),MIN(15,Inputs!$B$44)/(Inputs!$B$44),0))),0)))&gt;=100),MIN(100,((Inputs!$B$9+((C2544=TRUE)*(F2544-Calc!F26))+B2552+(ArtifactsInput!$M$24-ArtifactsInput!$M$24)*CHOOSE(ArtifactsInput!$N$24+1,10,12,14,16,18,20)+IF(ArtifactsInput!$M$10,CHOOSE(ArtifactsInput!$N$10+1,15,18,21,24,27,30)*(IF(Inputs!$B$39="pvp",MIN(15,15)/15,IF(AND(Inputs!$B$39&lt;&gt;"pvp",Inputs!$B$44&gt;0),MIN(15,Inputs!$B$44)/(Inputs!$B$44),0))),0)))-100),0))*CHOOSE(ArtifactsInput!$N$42+1,0.6,0.72,0.84,0.96,1.08,1.2))),Inputs!$B$18+((C2547=TRUE)*(F2547-Calc!F29))+(IF(AND(Inputs!$B$39&lt;&gt;"pvp",Inputs!$B$44=0),1,IF(IF(Inputs!$B$39="pvp",15,Inputs!$B$44)-(B2563)&lt;=0,1,MAX(0,IF(Inputs!$B$39="pvp",15,Inputs!$B$44)-MAX(5,B2563))/(IF(Inputs!$B$39="pvp",15,Inputs!$B$44)-(B2563))))*IF(AND(ArtifactsInput!$M$42,((Inputs!$B$9+((C2544=TRUE)*(F2544-Calc!F26))+B2552+(ArtifactsInput!$M$24-ArtifactsInput!$M$24)*CHOOSE(ArtifactsInput!$N$24+1,10,12,14,16,18,20)+IF(ArtifactsInput!$M$10,CHOOSE(ArtifactsInput!$N$10+1,15,18,21,24,27,30)*(IF(Inputs!$B$39="pvp",MIN(15,15)/15,IF(AND(Inputs!$B$39&lt;&gt;"pvp",Inputs!$B$44&gt;0),MIN(15,Inputs!$B$44)/(Inputs!$B$44),0))),0)))&gt;=100),CHOOSE(ArtifactsInput!$N$42+1,40,48,56,64,72,80),0))))/100)*(((1+(((C2540=TRUE)*F2540*IF(AND(Inputs!$B$39&lt;&gt;"pvp",Inputs!$B$44&gt;0),(((R2540-1)*MIN((Skills!Y22*(1+Inputs!$B$34/100)),(1/Q2540))+MIN((Skills!Y22*(1+Inputs!$B$34/100)),MAX(0,Inputs!$B$44-((R2540-1)*(1/Q2540)))))/Inputs!$B$44),IF(Inputs!$B$39="pvp",MIN((Skills!Y22*(1+Inputs!$B$34/100)),15)/15,MIN(1,(Skills!Y22*(1+Inputs!$B$34/100))/(1/Q2540)))))+((C2521=TRUE)*F2521*3)+((C2523=TRUE)*F2523*(1-EXP(-0.75*B2556*5)))+((C2542=TRUE)*(F2542-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2529=TRUE)*F2529*IF(AND(Inputs!$B$39&lt;&gt;"pvp",Inputs!$B$44&gt;0),(((R2529-1)*MIN((Skills!Y11*(1+Inputs!$B$34/100)),(1/Q2529))+MIN((Skills!Y11*(1+Inputs!$B$34/100)),MAX(0,Inputs!$B$44-((R2529-1)*(1/Q2529)))))/Inputs!$B$44),IF(Inputs!$B$39="pvp",MIN((Skills!Y11*(1+Inputs!$B$34/100)),15)/15,MIN(1,(Skills!Y11*(1+Inputs!$B$34/100))/(1/Q2529)))))/100)*(1+((C2534=TRUE)*F2534*IF(AND(Inputs!$B$39&lt;&gt;"pvp",Inputs!$B$44&gt;0),(((R2534-1)*MIN((Skills!Y16*(1+Inputs!$B$34/100)),(1/Q2534))+MIN((Skills!Y16*(1+Inputs!$B$34/100)),MAX(0,Inputs!$B$44-((R2534-1)*(1/Q2534)))))/Inputs!$B$44),IF(Inputs!$B$39="pvp",MIN((Skills!Y16*(1+Inputs!$B$34/100)),15)/15,MIN(1,(Skills!Y16*(1+Inputs!$B$34/100))/(1/Q2534)))))/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2554*I2532)</f>
        <v/>
      </c>
      <c r="L2532">
        <f>K2532*(MIN(Inputs!$B$22+((C2543=TRUE)*(F2543-Calc!F25)),(Inputs!$B$23+((C2548=TRUE)*(F2548-Calc!F30))+IF(ArtifactsInput!$M$15,CHOOSE(ArtifactsInput!$N$15+1,25,30,35,40,45,50)/100*(Inputs!$B$11-Inputs!$B$11),0)))/100+(Inputs!$B$23+((C2548=TRUE)*(F2548-Calc!F30))+IF(ArtifactsInput!$M$15,CHOOSE(ArtifactsInput!$N$15+1,25,30,35,40,45,50)/100*(Inputs!$B$11-Inputs!$B$11),0))/100)/2</f>
        <v/>
      </c>
      <c r="M2532">
        <f>L2532*(1+(Inputs!$B$10+((C2545=TRUE)*(F2545-Calc!F27))+B2559+(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2532">
        <f>L2532*(1-MIN((Inputs!$B$9+((C2544=TRUE)*(F2544-Calc!F26))+B2552+(ArtifactsInput!$M$24-ArtifactsInput!$M$24)*CHOOSE(ArtifactsInput!$N$24+1,10,12,14,16,18,20)+(IF(AND(Inputs!$B$39&lt;&gt;"pvp",Inputs!$B$44=0),1,IF(IF(Inputs!$B$39="pvp",15,Inputs!$B$44)-(B2563)&lt;=0,1,MAX(0,IF(Inputs!$B$39="pvp",15,Inputs!$B$44)-MAX(5,B2563))/(IF(Inputs!$B$39="pvp",15,Inputs!$B$44)-(B2563))))*IF(AND(ArtifactsInput!$M$42,((Inputs!$B$9+((C2544=TRUE)*(F2544-Calc!F26))+B2552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2532*(MIN((Inputs!$B$9+((C2544=TRUE)*(F2544-Calc!F26))+B2552+(ArtifactsInput!$M$24-ArtifactsInput!$M$24)*CHOOSE(ArtifactsInput!$N$24+1,10,12,14,16,18,20)+(IF(AND(Inputs!$B$39&lt;&gt;"pvp",Inputs!$B$44=0),1,IF(IF(Inputs!$B$39="pvp",15,Inputs!$B$44)-(B2563)&lt;=0,1,MAX(0,IF(Inputs!$B$39="pvp",15,Inputs!$B$44)-MAX(5,B2563))/(IF(Inputs!$B$39="pvp",15,Inputs!$B$44)-(B2563))))*IF(AND(ArtifactsInput!$M$42,((Inputs!$B$9+((C2544=TRUE)*(F2544-Calc!F26))+B2552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532">
        <f>(1-Summary!$B$11)*T2532+Summary!$B$11*V2532</f>
        <v/>
      </c>
      <c r="P2532">
        <f>IF(B2564=0,0,O2532/B2564)</f>
        <v/>
      </c>
      <c r="Q2532">
        <f>IFERROR(1/IF(Inputs!$B$39="pvp",15,MAX(0.1,Skills!D14-IF(TRUE=TRUE,Inputs!$B$32,0))),0)</f>
        <v/>
      </c>
      <c r="R2532">
        <f>IF(AND(Inputs!$B$39&lt;&gt;"pvp",Inputs!$B$44&gt;0),IF(MAX(0,Inputs!$B$44-B2563)&lt;=0,0,(INT(MAX(0,Inputs!$B$44-B2563)/IF(Inputs!$B$39="pvp",15,MAX(0.1,Skills!D14-IF(TRUE=TRUE,Inputs!$B$32,0))))+1)),0)</f>
        <v/>
      </c>
      <c r="S2532">
        <f>IFERROR(O2532/N2532,0)</f>
        <v/>
      </c>
      <c r="T2532">
        <f>IF(C2532,(H2532*N2532*IF(AND(Inputs!$B$39&lt;&gt;"pvp",Inputs!$B$44&gt;0),((Skills!G14*((R2532-1)*IF(Skills!H14&gt;0,Skills!I14/Skills!H14,1)+IF(Skills!H14&gt;0,MIN(Skills!I14,MAX(0,MAX(0,Inputs!$B$44-B2563)-((R2532-1)*IF(Inputs!$B$39="pvp",15,MAX(0.1,Skills!D14-IF(TRUE=TRUE,Inputs!$B$32,0))))))/Skills!H14,1)))/Inputs!$B$44),G2532*Q2532))*IF(Inputs!$B$39="pvp",1,1+(Inputs!$B$20+0+Skills!P14+B2553+(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Hunt"),CHOOSE(ArtifactsInput!$N$35+1,15,18,21,24,27,30)*(1-EXP(-(0.2*B2556)*5)),0)+IF(AND(ArtifactsInput!$M$22,Inputs!$B$4&lt;&gt;"Chapter Hunt"),CHOOSE(ArtifactsInput!$N$22+1,10,12,14,16,18,20)*((0*(((0.15*B2556*5))^0/1)+1*(((0.15*B2556*5))^1/1)+2*(((0.15*B2556*5))^2/2)+3*(((0.15*B2556*5))^3/6)+4*(((0.15*B2556*5))^4/24)+5*(((0.15*B2556*5))^5/120))/((((0.15*B2556*5))^0/1)+(((0.15*B2556*5))^1/1)+(((0.15*B2556*5))^2/2)+(((0.15*B2556*5))^3/6)+(((0.15*B2556*5))^4/24)+(((0.15*B2556*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2532*(1-MIN(100,(Inputs!$B$9+((C2544=TRUE)*(F2544-Calc!F26))+B2552+(ArtifactsInput!$M$24-ArtifactsInput!$M$24)*CHOOSE(ArtifactsInput!$N$24+1,10,12,14,16,18,20)+(IF(AND(Inputs!$B$39&lt;&gt;"pvp",Inputs!$B$44=0),1,IF(IF(Inputs!$B$39="pvp",15,Inputs!$B$44)-(B2563)&lt;=0,1,MAX(0,IF(Inputs!$B$39="pvp",15,Inputs!$B$44)-MAX(5,B2563))/(IF(Inputs!$B$39="pvp",15,Inputs!$B$44)-(B2563))))*IF(AND(ArtifactsInput!$M$42,((Inputs!$B$9+((C2544=TRUE)*(F2544-Calc!F26))+B2552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2532*(MIN(100,(Inputs!$B$9+((C2544=TRUE)*(F2544-Calc!F26))+B2552+(ArtifactsInput!$M$24-ArtifactsInput!$M$24)*CHOOSE(ArtifactsInput!$N$24+1,10,12,14,16,18,20)+(IF(AND(Inputs!$B$39&lt;&gt;"pvp",Inputs!$B$44=0),1,IF(IF(Inputs!$B$39="pvp",15,Inputs!$B$44)-(B2563)&lt;=0,1,MAX(0,IF(Inputs!$B$39="pvp",15,Inputs!$B$44)-MAX(5,B2563))/(IF(Inputs!$B$39="pvp",15,Inputs!$B$44)-(B2563))))*IF(AND(ArtifactsInput!$M$42,((Inputs!$B$9+((C2544=TRUE)*(F2544-Calc!F26))+B2552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2532*(1-MIN(100,(Inputs!$B$9+((C2544=TRUE)*(F2544-Calc!F26))+B2552+(ArtifactsInput!$M$24-ArtifactsInput!$M$24)*CHOOSE(ArtifactsInput!$N$24+1,10,12,14,16,18,20)+(IF(AND(Inputs!$B$39&lt;&gt;"pvp",Inputs!$B$44=0),1,IF(IF(Inputs!$B$39="pvp",15,Inputs!$B$44)-(B2563)&lt;=0,1,MAX(0,IF(Inputs!$B$39="pvp",15,Inputs!$B$44)-MAX(5,B2563))/(IF(Inputs!$B$39="pvp",15,Inputs!$B$44)-(B2563))))*IF(AND(ArtifactsInput!$M$42,((Inputs!$B$9+((C2544=TRUE)*(F2544-Calc!F26))+B2552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2532*(MIN(100,(Inputs!$B$9+((C2544=TRUE)*(F2544-Calc!F26))+B2552+(ArtifactsInput!$M$24-ArtifactsInput!$M$24)*CHOOSE(ArtifactsInput!$N$24+1,10,12,14,16,18,20)+(IF(AND(Inputs!$B$39&lt;&gt;"pvp",Inputs!$B$44=0),1,IF(IF(Inputs!$B$39="pvp",15,Inputs!$B$44)-(B2563)&lt;=0,1,MAX(0,IF(Inputs!$B$39="pvp",15,Inputs!$B$44)-MAX(5,B2563))/(IF(Inputs!$B$39="pvp",15,Inputs!$B$44)-(B2563))))*IF(AND(ArtifactsInput!$M$42,((Inputs!$B$9+((C2544=TRUE)*(F2544-Calc!F26))+B2552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532">
        <f>IF(C2532,(H2532*N2532*IF(AND(Inputs!$B$39&lt;&gt;"pvp",Inputs!$B$44&gt;0),((Skills!G14*((R2532-1)*IF(Skills!H14&gt;0,Skills!I14/Skills!H14,1)+IF(Skills!H14&gt;0,MIN(Skills!I14,MAX(0,MAX(0,Inputs!$B$44-B2563)-((R2532-1)*IF(Inputs!$B$39="pvp",15,MAX(0.1,Skills!D14-IF(TRUE=TRUE,Inputs!$B$32,0))))))/Skills!H14,1)))/Inputs!$B$44),G2532*Q2532))*IF(Inputs!$B$39="pvp",1,(1+(Inputs!$B$21+Skills!Q14+B2553+(IF(ArtifactsInput!$M$33,CHOOSE(ArtifactsInput!$N$33+1,30,36,42,48,54,60),0))+(IF(AND(ArtifactsInput!$M$35,Inputs!$B$4&lt;&gt;"Chapter Hunt"),CHOOSE(ArtifactsInput!$N$35+1,15,18,21,24,27,30)*(1-EXP(-(0.2*B2556)*5)),0)+IF(AND(ArtifactsInput!$M$22,Inputs!$B$4&lt;&gt;"Chapter Hunt"),CHOOSE(ArtifactsInput!$N$22+1,10,12,14,16,18,20)*((0*(((0.15*B2556*5))^0/1)+1*(((0.15*B2556*5))^1/1)+2*(((0.15*B2556*5))^2/2)+3*(((0.15*B2556*5))^3/6)+4*(((0.15*B2556*5))^4/24)+5*(((0.15*B2556*5))^5/120))/((((0.15*B2556*5))^0/1)+(((0.15*B2556*5))^1/1)+(((0.15*B2556*5))^2/2)+(((0.15*B2556*5))^3/6)+(((0.15*B2556*5))^4/24)+(((0.15*B2556*5))^5/120))),0)))/100)*(MIN(Skills!W14,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533">
      <c r="A2533">
        <f>Skills!A15</f>
        <v/>
      </c>
      <c r="B2533">
        <f>Skills!B15</f>
        <v/>
      </c>
      <c r="C2533">
        <f>Inputs!$B$3&gt;=107</f>
        <v/>
      </c>
      <c r="D2533">
        <f>IF(Skills!C15=1,60+Inputs!$B$25+Inputs!$B$29,IF(Skills!C15=2,90+Inputs!$B$26+Inputs!$B$29,IF(Skills!C15=3,120+Inputs!$B$27+Inputs!$B$29,MAX(0,(Inputs!$B$3-100)*3)+Inputs!$B$28+Inputs!$B$29)))</f>
        <v/>
      </c>
      <c r="E2533">
        <f>INDEX(FactorTable!$B$2:$Y$301, MATCH(ROUND(MIN(300,MAX(1,D2533)),0), FactorTable!$A$2:$A$301,0), Skills!M15+1)</f>
        <v/>
      </c>
      <c r="F2533">
        <f>IF(Skills!N15=TRUE,(Skills!L15/10)*(E2533/1000),Skills!L15/10)+Skills!O15</f>
        <v/>
      </c>
      <c r="G2533">
        <f>Skills!G15*IF(Skills!H15&gt;0,IF(Inputs!$B$39="pvp",MIN(Skills!I15,15),Skills!I15)/Skills!H15,1)</f>
        <v/>
      </c>
      <c r="H2533">
        <f>1-(1-Skills!J15/100)^Skills!K15</f>
        <v/>
      </c>
      <c r="I2533" t="inlineStr">
        <is>
          <t>1</t>
        </is>
      </c>
      <c r="J2533">
        <f>((Inputs!$B$6*(1+Inputs!$B$7/100))+(((Inputs!$B$12*(1+Inputs!$B$13/100))-(Inputs!$B$12*(1+Inputs!$B$13/100)))+0.25*(Inputs!$B$14-Inputs!$B$14))*(1+Inputs!$B$7/100))*(F2533/100)</f>
        <v/>
      </c>
      <c r="K2533">
        <f>J2533*(1+((Inputs!$B$12*(1+Inputs!$B$13/100))*0.01+Inputs!$B$14*0.0025)/100)*(1+Inputs!$B$15/100)*(1+Inputs!$B$16/100)*(5000/(6000+Inputs!$B$43*(1-(100*(1-(1-Inputs!$B$19/100)*(1-CHOOSE(ArtifactsInput!$N$40+1,5,6,7,8,9,10)/100)^(ArtifactsInput!$M$40-ArtifactsInput!$M$40)))/100)))*(1+(Inputs!$B$24+((C2549=TRUE)*(F2549-Calc!F31))+((C2536=TRUE)*(F2536-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IF(ArtifactsInput!$M$28,FALSE,TRUE)-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15="CRUEL_STAB",Inputs!$B$17+((C2546=TRUE)*(F2546-Calc!F28))+((IF(AND(Inputs!$B$39&lt;&gt;"pvp",Inputs!$B$44=0),1,IF(IF(Inputs!$B$39="pvp",15,Inputs!$B$44)-(B2563)&lt;=0,1,MAX(0,IF(Inputs!$B$39="pvp",15,Inputs!$B$44)-MAX(5,B2563))/(IF(Inputs!$B$39="pvp",15,Inputs!$B$44)-(B2563))))*(IF(AND(ArtifactsInput!$M$42,((Inputs!$B$9+((C2544=TRUE)*(F2544-Calc!F26))+B2552+(ArtifactsInput!$M$24-ArtifactsInput!$M$24)*CHOOSE(ArtifactsInput!$N$24+1,10,12,14,16,18,20)+IF(ArtifactsInput!$M$10,CHOOSE(ArtifactsInput!$N$10+1,15,18,21,24,27,30)*(IF(Inputs!$B$39="pvp",MIN(15,15)/15,IF(AND(Inputs!$B$39&lt;&gt;"pvp",Inputs!$B$44&gt;0),MIN(15,Inputs!$B$44)/(Inputs!$B$44),0))),0)))&gt;=100),MIN(100,((Inputs!$B$9+((C2544=TRUE)*(F2544-Calc!F26))+B2552+(ArtifactsInput!$M$24-ArtifactsInput!$M$24)*CHOOSE(ArtifactsInput!$N$24+1,10,12,14,16,18,20)+IF(ArtifactsInput!$M$10,CHOOSE(ArtifactsInput!$N$10+1,15,18,21,24,27,30)*(IF(Inputs!$B$39="pvp",MIN(15,15)/15,IF(AND(Inputs!$B$39&lt;&gt;"pvp",Inputs!$B$44&gt;0),MIN(15,Inputs!$B$44)/(Inputs!$B$44),0))),0)))-100),0))*CHOOSE(ArtifactsInput!$N$42+1,0.6,0.72,0.84,0.96,1.08,1.2))),Inputs!$B$18+((C2547=TRUE)*(F2547-Calc!F29))+(IF(AND(Inputs!$B$39&lt;&gt;"pvp",Inputs!$B$44=0),1,IF(IF(Inputs!$B$39="pvp",15,Inputs!$B$44)-(B2563)&lt;=0,1,MAX(0,IF(Inputs!$B$39="pvp",15,Inputs!$B$44)-MAX(5,B2563))/(IF(Inputs!$B$39="pvp",15,Inputs!$B$44)-(B2563))))*IF(AND(ArtifactsInput!$M$42,((Inputs!$B$9+((C2544=TRUE)*(F2544-Calc!F26))+B2552+(ArtifactsInput!$M$24-ArtifactsInput!$M$24)*CHOOSE(ArtifactsInput!$N$24+1,10,12,14,16,18,20)+IF(ArtifactsInput!$M$10,CHOOSE(ArtifactsInput!$N$10+1,15,18,21,24,27,30)*(IF(Inputs!$B$39="pvp",MIN(15,15)/15,IF(AND(Inputs!$B$39&lt;&gt;"pvp",Inputs!$B$44&gt;0),MIN(15,Inputs!$B$44)/(Inputs!$B$44),0))),0)))&gt;=100),CHOOSE(ArtifactsInput!$N$42+1,40,48,56,64,72,80),0))))/100)*(((1+(((C2540=TRUE)*F2540*IF(AND(Inputs!$B$39&lt;&gt;"pvp",Inputs!$B$44&gt;0),(((R2540-1)*MIN((Skills!Y22*(1+Inputs!$B$34/100)),(1/Q2540))+MIN((Skills!Y22*(1+Inputs!$B$34/100)),MAX(0,Inputs!$B$44-((R2540-1)*(1/Q2540)))))/Inputs!$B$44),IF(Inputs!$B$39="pvp",MIN((Skills!Y22*(1+Inputs!$B$34/100)),15)/15,MIN(1,(Skills!Y22*(1+Inputs!$B$34/100))/(1/Q2540)))))+((C2521=TRUE)*F2521*3)+((C2523=TRUE)*F2523*(1-EXP(-0.75*B2556*5)))+((C2542=TRUE)*(F2542-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2529=TRUE)*F2529*IF(AND(Inputs!$B$39&lt;&gt;"pvp",Inputs!$B$44&gt;0),(((R2529-1)*MIN((Skills!Y11*(1+Inputs!$B$34/100)),(1/Q2529))+MIN((Skills!Y11*(1+Inputs!$B$34/100)),MAX(0,Inputs!$B$44-((R2529-1)*(1/Q2529)))))/Inputs!$B$44),IF(Inputs!$B$39="pvp",MIN((Skills!Y11*(1+Inputs!$B$34/100)),15)/15,MIN(1,(Skills!Y11*(1+Inputs!$B$34/100))/(1/Q2529)))))/100)*(1+((C2534=TRUE)*F2534*IF(AND(Inputs!$B$39&lt;&gt;"pvp",Inputs!$B$44&gt;0),(((R2534-1)*MIN((Skills!Y16*(1+Inputs!$B$34/100)),(1/Q2534))+MIN((Skills!Y16*(1+Inputs!$B$34/100)),MAX(0,Inputs!$B$44-((R2534-1)*(1/Q2534)))))/Inputs!$B$44),IF(Inputs!$B$39="pvp",MIN((Skills!Y16*(1+Inputs!$B$34/100)),15)/15,MIN(1,(Skills!Y16*(1+Inputs!$B$34/100))/(1/Q2534)))))/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2554*I2533)</f>
        <v/>
      </c>
      <c r="L2533">
        <f>K2533*(MIN(Inputs!$B$22+((C2543=TRUE)*(F2543-Calc!F25)),(Inputs!$B$23+((C2548=TRUE)*(F2548-Calc!F30))+IF(ArtifactsInput!$M$15,CHOOSE(ArtifactsInput!$N$15+1,25,30,35,40,45,50)/100*(Inputs!$B$11-Inputs!$B$11),0)))/100+(Inputs!$B$23+((C2548=TRUE)*(F2548-Calc!F30))+IF(ArtifactsInput!$M$15,CHOOSE(ArtifactsInput!$N$15+1,25,30,35,40,45,50)/100*(Inputs!$B$11-Inputs!$B$11),0))/100)/2</f>
        <v/>
      </c>
      <c r="M2533">
        <f>L2533*(1+(Inputs!$B$10+((C2545=TRUE)*(F2545-Calc!F27))+B2559+(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2533">
        <f>L2533*(1-MIN((Inputs!$B$9+((C2544=TRUE)*(F2544-Calc!F26))+B2552+(ArtifactsInput!$M$24-ArtifactsInput!$M$24)*CHOOSE(ArtifactsInput!$N$24+1,10,12,14,16,18,20)+(IF(AND(Inputs!$B$39&lt;&gt;"pvp",Inputs!$B$44=0),1,IF(IF(Inputs!$B$39="pvp",15,Inputs!$B$44)-(B2563)&lt;=0,1,MAX(0,IF(Inputs!$B$39="pvp",15,Inputs!$B$44)-MAX(5,B2563))/(IF(Inputs!$B$39="pvp",15,Inputs!$B$44)-(B2563))))*IF(AND(ArtifactsInput!$M$42,((Inputs!$B$9+((C2544=TRUE)*(F2544-Calc!F26))+B2552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2533*(MIN((Inputs!$B$9+((C2544=TRUE)*(F2544-Calc!F26))+B2552+(ArtifactsInput!$M$24-ArtifactsInput!$M$24)*CHOOSE(ArtifactsInput!$N$24+1,10,12,14,16,18,20)+(IF(AND(Inputs!$B$39&lt;&gt;"pvp",Inputs!$B$44=0),1,IF(IF(Inputs!$B$39="pvp",15,Inputs!$B$44)-(B2563)&lt;=0,1,MAX(0,IF(Inputs!$B$39="pvp",15,Inputs!$B$44)-MAX(5,B2563))/(IF(Inputs!$B$39="pvp",15,Inputs!$B$44)-(B2563))))*IF(AND(ArtifactsInput!$M$42,((Inputs!$B$9+((C2544=TRUE)*(F2544-Calc!F26))+B2552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533">
        <f>(1-Summary!$B$11)*T2533+Summary!$B$11*V2533</f>
        <v/>
      </c>
      <c r="P2533">
        <f>IF(B2564=0,0,O2533/B2564)</f>
        <v/>
      </c>
      <c r="Q2533">
        <f>IFERROR(1/IF(Inputs!$B$39="pvp",15,MAX(0.1,Skills!D15-IF(TRUE=TRUE,Inputs!$B$32,0))),0)</f>
        <v/>
      </c>
      <c r="R2533">
        <f>IF(AND(Inputs!$B$39&lt;&gt;"pvp",Inputs!$B$44&gt;0),IF(MAX(0,Inputs!$B$44-B2563)&lt;=0,0,(INT(MAX(0,Inputs!$B$44-B2563)/IF(Inputs!$B$39="pvp",15,MAX(0.1,Skills!D15-IF(TRUE=TRUE,Inputs!$B$32,0))))+1)),0)</f>
        <v/>
      </c>
      <c r="S2533">
        <f>IFERROR(O2533/N2533,0)</f>
        <v/>
      </c>
      <c r="T2533">
        <f>IF(C2533,(H2533*N2533*IF(AND(Inputs!$B$39&lt;&gt;"pvp",Inputs!$B$44&gt;0),((Skills!G15*((R2533-1)*IF(Skills!H15&gt;0,Skills!I15/Skills!H15,1)+IF(Skills!H15&gt;0,MIN(Skills!I15,MAX(0,MAX(0,Inputs!$B$44-B2563)-((R2533-1)*IF(Inputs!$B$39="pvp",15,MAX(0.1,Skills!D15-IF(TRUE=TRUE,Inputs!$B$32,0))))))/Skills!H15,1)))/Inputs!$B$44),G2533*Q2533))*IF(Inputs!$B$39="pvp",1,1+(Inputs!$B$20+0+Skills!P15+B2553+(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Hunt"),CHOOSE(ArtifactsInput!$N$35+1,15,18,21,24,27,30)*(1-EXP(-(0.2*B2556)*5)),0)+IF(AND(ArtifactsInput!$M$22,Inputs!$B$4&lt;&gt;"Chapter Hunt"),CHOOSE(ArtifactsInput!$N$22+1,10,12,14,16,18,20)*((0*(((0.15*B2556*5))^0/1)+1*(((0.15*B2556*5))^1/1)+2*(((0.15*B2556*5))^2/2)+3*(((0.15*B2556*5))^3/6)+4*(((0.15*B2556*5))^4/24)+5*(((0.15*B2556*5))^5/120))/((((0.15*B2556*5))^0/1)+(((0.15*B2556*5))^1/1)+(((0.15*B2556*5))^2/2)+(((0.15*B2556*5))^3/6)+(((0.15*B2556*5))^4/24)+(((0.15*B2556*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2533*(1-MIN(100,(Inputs!$B$9+((C2544=TRUE)*(F2544-Calc!F26))+B2552+(ArtifactsInput!$M$24-ArtifactsInput!$M$24)*CHOOSE(ArtifactsInput!$N$24+1,10,12,14,16,18,20)+(IF(AND(Inputs!$B$39&lt;&gt;"pvp",Inputs!$B$44=0),1,IF(IF(Inputs!$B$39="pvp",15,Inputs!$B$44)-(B2563)&lt;=0,1,MAX(0,IF(Inputs!$B$39="pvp",15,Inputs!$B$44)-MAX(5,B2563))/(IF(Inputs!$B$39="pvp",15,Inputs!$B$44)-(B2563))))*IF(AND(ArtifactsInput!$M$42,((Inputs!$B$9+((C2544=TRUE)*(F2544-Calc!F26))+B2552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2533*(MIN(100,(Inputs!$B$9+((C2544=TRUE)*(F2544-Calc!F26))+B2552+(ArtifactsInput!$M$24-ArtifactsInput!$M$24)*CHOOSE(ArtifactsInput!$N$24+1,10,12,14,16,18,20)+(IF(AND(Inputs!$B$39&lt;&gt;"pvp",Inputs!$B$44=0),1,IF(IF(Inputs!$B$39="pvp",15,Inputs!$B$44)-(B2563)&lt;=0,1,MAX(0,IF(Inputs!$B$39="pvp",15,Inputs!$B$44)-MAX(5,B2563))/(IF(Inputs!$B$39="pvp",15,Inputs!$B$44)-(B2563))))*IF(AND(ArtifactsInput!$M$42,((Inputs!$B$9+((C2544=TRUE)*(F2544-Calc!F26))+B2552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2533*(1-MIN(100,(Inputs!$B$9+((C2544=TRUE)*(F2544-Calc!F26))+B2552+(ArtifactsInput!$M$24-ArtifactsInput!$M$24)*CHOOSE(ArtifactsInput!$N$24+1,10,12,14,16,18,20)+(IF(AND(Inputs!$B$39&lt;&gt;"pvp",Inputs!$B$44=0),1,IF(IF(Inputs!$B$39="pvp",15,Inputs!$B$44)-(B2563)&lt;=0,1,MAX(0,IF(Inputs!$B$39="pvp",15,Inputs!$B$44)-MAX(5,B2563))/(IF(Inputs!$B$39="pvp",15,Inputs!$B$44)-(B2563))))*IF(AND(ArtifactsInput!$M$42,((Inputs!$B$9+((C2544=TRUE)*(F2544-Calc!F26))+B2552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2533*(MIN(100,(Inputs!$B$9+((C2544=TRUE)*(F2544-Calc!F26))+B2552+(ArtifactsInput!$M$24-ArtifactsInput!$M$24)*CHOOSE(ArtifactsInput!$N$24+1,10,12,14,16,18,20)+(IF(AND(Inputs!$B$39&lt;&gt;"pvp",Inputs!$B$44=0),1,IF(IF(Inputs!$B$39="pvp",15,Inputs!$B$44)-(B2563)&lt;=0,1,MAX(0,IF(Inputs!$B$39="pvp",15,Inputs!$B$44)-MAX(5,B2563))/(IF(Inputs!$B$39="pvp",15,Inputs!$B$44)-(B2563))))*IF(AND(ArtifactsInput!$M$42,((Inputs!$B$9+((C2544=TRUE)*(F2544-Calc!F26))+B2552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533">
        <f>IF(C2533,(H2533*N2533*IF(AND(Inputs!$B$39&lt;&gt;"pvp",Inputs!$B$44&gt;0),((Skills!G15*((R2533-1)*IF(Skills!H15&gt;0,Skills!I15/Skills!H15,1)+IF(Skills!H15&gt;0,MIN(Skills!I15,MAX(0,MAX(0,Inputs!$B$44-B2563)-((R2533-1)*IF(Inputs!$B$39="pvp",15,MAX(0.1,Skills!D15-IF(TRUE=TRUE,Inputs!$B$32,0))))))/Skills!H15,1)))/Inputs!$B$44),G2533*Q2533))*IF(Inputs!$B$39="pvp",1,(1+(Inputs!$B$21+Skills!Q15+B2553+(IF(ArtifactsInput!$M$33,CHOOSE(ArtifactsInput!$N$33+1,30,36,42,48,54,60),0))+(IF(AND(ArtifactsInput!$M$35,Inputs!$B$4&lt;&gt;"Chapter Hunt"),CHOOSE(ArtifactsInput!$N$35+1,15,18,21,24,27,30)*(1-EXP(-(0.2*B2556)*5)),0)+IF(AND(ArtifactsInput!$M$22,Inputs!$B$4&lt;&gt;"Chapter Hunt"),CHOOSE(ArtifactsInput!$N$22+1,10,12,14,16,18,20)*((0*(((0.15*B2556*5))^0/1)+1*(((0.15*B2556*5))^1/1)+2*(((0.15*B2556*5))^2/2)+3*(((0.15*B2556*5))^3/6)+4*(((0.15*B2556*5))^4/24)+5*(((0.15*B2556*5))^5/120))/((((0.15*B2556*5))^0/1)+(((0.15*B2556*5))^1/1)+(((0.15*B2556*5))^2/2)+(((0.15*B2556*5))^3/6)+(((0.15*B2556*5))^4/24)+(((0.15*B2556*5))^5/120))),0)))/100)*(MIN(MIN(5,0.5*IF(Inputs!$B$3&gt;=75,0.75,0.5)*B2556*(1/Q2522))*Skills!V15,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534">
      <c r="A2534">
        <f>Skills!A16</f>
        <v/>
      </c>
      <c r="B2534">
        <f>Skills!B16</f>
        <v/>
      </c>
      <c r="C2534">
        <f>Inputs!$B$3&gt;=110</f>
        <v/>
      </c>
      <c r="D2534">
        <f>IF(Skills!C16=1,60+Inputs!$B$25+Inputs!$B$29,IF(Skills!C16=2,90+Inputs!$B$26+Inputs!$B$29,IF(Skills!C16=3,120+Inputs!$B$27+Inputs!$B$29,MAX(0,(Inputs!$B$3-100)*3)+Inputs!$B$28+Inputs!$B$29)))</f>
        <v/>
      </c>
      <c r="E2534">
        <f>INDEX(FactorTable!$B$2:$Y$301, MATCH(ROUND(MIN(300,MAX(1,D2534)),0), FactorTable!$A$2:$A$301,0), Skills!M16+1)</f>
        <v/>
      </c>
      <c r="F2534">
        <f>IF(Skills!N16=TRUE,(Skills!L16/10)*(E2534/1000),Skills!L16/10)+Skills!O16</f>
        <v/>
      </c>
      <c r="G2534">
        <f>Skills!G16*IF(Skills!H16&gt;0,IF(Inputs!$B$39="pvp",MIN(Skills!I16,15),Skills!I16)/Skills!H16,1)</f>
        <v/>
      </c>
      <c r="H2534">
        <f>1-(1-Skills!J16/100)^Skills!K16</f>
        <v/>
      </c>
      <c r="I2534" t="inlineStr">
        <is>
          <t>1</t>
        </is>
      </c>
      <c r="J2534" t="inlineStr"/>
      <c r="K2534" t="inlineStr"/>
      <c r="L2534" t="inlineStr"/>
      <c r="M2534" t="inlineStr"/>
      <c r="N2534" t="inlineStr"/>
      <c r="O2534">
        <f>(1-Summary!$B$11)*T2534+Summary!$B$11*V2534</f>
        <v/>
      </c>
      <c r="P2534">
        <f>IF(B2564=0,0,O2534/B2564)</f>
        <v/>
      </c>
      <c r="Q2534">
        <f>IFERROR(1/IF(Inputs!$B$39="pvp",15,MAX(0.1,Skills!D16-IF(TRUE=TRUE,Inputs!$B$32,0))),0)</f>
        <v/>
      </c>
      <c r="R2534">
        <f>IF(AND(Inputs!$B$39&lt;&gt;"pvp",Inputs!$B$44&gt;0),IF(Inputs!$B$44&lt;=0,0,(INT(Inputs!$B$44/IF(Inputs!$B$39="pvp",15,MAX(0.1,Skills!D16-IF(TRUE=TRUE,Inputs!$B$32,0))))+1)),0)</f>
        <v/>
      </c>
      <c r="S2534">
        <f>IFERROR(O2534/N2534,0)</f>
        <v/>
      </c>
      <c r="T2534" t="n">
        <v>0</v>
      </c>
      <c r="V2534" t="n">
        <v>0</v>
      </c>
    </row>
    <row r="2535">
      <c r="A2535">
        <f>Skills!A17</f>
        <v/>
      </c>
      <c r="B2535">
        <f>Skills!B17</f>
        <v/>
      </c>
      <c r="C2535">
        <f>Inputs!$B$3&gt;=115</f>
        <v/>
      </c>
      <c r="D2535">
        <f>IF(Skills!C17=1,60+Inputs!$B$25+Inputs!$B$29,IF(Skills!C17=2,90+Inputs!$B$26+Inputs!$B$29,IF(Skills!C17=3,120+Inputs!$B$27+Inputs!$B$29,MAX(0,(Inputs!$B$3-100)*3)+Inputs!$B$28+Inputs!$B$29)))</f>
        <v/>
      </c>
      <c r="E2535">
        <f>INDEX(FactorTable!$B$2:$Y$301, MATCH(ROUND(MIN(300,MAX(1,D2535)),0), FactorTable!$A$2:$A$301,0), Skills!M17+1)</f>
        <v/>
      </c>
      <c r="F2535">
        <f>IF(Skills!N17=TRUE,(Skills!L17/10)*(E2535/1000),Skills!L17/10)+Skills!O17</f>
        <v/>
      </c>
      <c r="G2535">
        <f>Skills!G17*IF(Skills!H17&gt;0,IF(Inputs!$B$39="pvp",MIN(Skills!I17,15),Skills!I17)/Skills!H17,1)</f>
        <v/>
      </c>
      <c r="H2535">
        <f>1-(1-Skills!J17/100)^Skills!K17</f>
        <v/>
      </c>
      <c r="I2535" t="inlineStr">
        <is>
          <t>1</t>
        </is>
      </c>
      <c r="J2535">
        <f>((Inputs!$B$6*(1+Inputs!$B$7/100))+(((Inputs!$B$12*(1+Inputs!$B$13/100))-(Inputs!$B$12*(1+Inputs!$B$13/100)))+0.25*(Inputs!$B$14-Inputs!$B$14))*(1+Inputs!$B$7/100))*(F2535/100)</f>
        <v/>
      </c>
      <c r="K2535">
        <f>J2535*(1+((Inputs!$B$12*(1+Inputs!$B$13/100))*0.01+Inputs!$B$14*0.0025)/100)*(1+Inputs!$B$15/100)*(1+Inputs!$B$16/100)*(5000/(6000+Inputs!$B$43*(1-(100*(1-(1-Inputs!$B$19/100)*(1-CHOOSE(ArtifactsInput!$N$40+1,5,6,7,8,9,10)/100)^(ArtifactsInput!$M$40-ArtifactsInput!$M$40)))/100)))*(1+(Inputs!$B$24+((C2549=TRUE)*(F2549-Calc!F31))+((C2536=TRUE)*(F2536-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IF(ArtifactsInput!$M$28,FALSE,TRUE)-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17="CRUEL_STAB",Inputs!$B$17+((C2546=TRUE)*(F2546-Calc!F28))+((IF(AND(Inputs!$B$39&lt;&gt;"pvp",Inputs!$B$44=0),1,IF(IF(Inputs!$B$39="pvp",15,Inputs!$B$44)-(B2563)&lt;=0,1,MAX(0,IF(Inputs!$B$39="pvp",15,Inputs!$B$44)-MAX(5,B2563))/(IF(Inputs!$B$39="pvp",15,Inputs!$B$44)-(B2563))))*(IF(AND(ArtifactsInput!$M$42,((Inputs!$B$9+((C2544=TRUE)*(F2544-Calc!F26))+B2552+(ArtifactsInput!$M$24-ArtifactsInput!$M$24)*CHOOSE(ArtifactsInput!$N$24+1,10,12,14,16,18,20)+IF(ArtifactsInput!$M$10,CHOOSE(ArtifactsInput!$N$10+1,15,18,21,24,27,30)*(IF(Inputs!$B$39="pvp",MIN(15,15)/15,IF(AND(Inputs!$B$39&lt;&gt;"pvp",Inputs!$B$44&gt;0),MIN(15,Inputs!$B$44)/(Inputs!$B$44),0))),0)))&gt;=100),MIN(100,((Inputs!$B$9+((C2544=TRUE)*(F2544-Calc!F26))+B2552+(ArtifactsInput!$M$24-ArtifactsInput!$M$24)*CHOOSE(ArtifactsInput!$N$24+1,10,12,14,16,18,20)+IF(ArtifactsInput!$M$10,CHOOSE(ArtifactsInput!$N$10+1,15,18,21,24,27,30)*(IF(Inputs!$B$39="pvp",MIN(15,15)/15,IF(AND(Inputs!$B$39&lt;&gt;"pvp",Inputs!$B$44&gt;0),MIN(15,Inputs!$B$44)/(Inputs!$B$44),0))),0)))-100),0))*CHOOSE(ArtifactsInput!$N$42+1,0.6,0.72,0.84,0.96,1.08,1.2))),Inputs!$B$18+((C2547=TRUE)*(F2547-Calc!F29))+(IF(AND(Inputs!$B$39&lt;&gt;"pvp",Inputs!$B$44=0),1,IF(IF(Inputs!$B$39="pvp",15,Inputs!$B$44)-(B2563)&lt;=0,1,MAX(0,IF(Inputs!$B$39="pvp",15,Inputs!$B$44)-MAX(5,B2563))/(IF(Inputs!$B$39="pvp",15,Inputs!$B$44)-(B2563))))*IF(AND(ArtifactsInput!$M$42,((Inputs!$B$9+((C2544=TRUE)*(F2544-Calc!F26))+B2552+(ArtifactsInput!$M$24-ArtifactsInput!$M$24)*CHOOSE(ArtifactsInput!$N$24+1,10,12,14,16,18,20)+IF(ArtifactsInput!$M$10,CHOOSE(ArtifactsInput!$N$10+1,15,18,21,24,27,30)*(IF(Inputs!$B$39="pvp",MIN(15,15)/15,IF(AND(Inputs!$B$39&lt;&gt;"pvp",Inputs!$B$44&gt;0),MIN(15,Inputs!$B$44)/(Inputs!$B$44),0))),0)))&gt;=100),CHOOSE(ArtifactsInput!$N$42+1,40,48,56,64,72,80),0))))/100)*(((1+(((C2540=TRUE)*F2540*IF(AND(Inputs!$B$39&lt;&gt;"pvp",Inputs!$B$44&gt;0),(((R2540-1)*MIN((Skills!Y22*(1+Inputs!$B$34/100)),(1/Q2540))+MIN((Skills!Y22*(1+Inputs!$B$34/100)),MAX(0,Inputs!$B$44-((R2540-1)*(1/Q2540)))))/Inputs!$B$44),IF(Inputs!$B$39="pvp",MIN((Skills!Y22*(1+Inputs!$B$34/100)),15)/15,MIN(1,(Skills!Y22*(1+Inputs!$B$34/100))/(1/Q2540)))))+((C2521=TRUE)*F2521*3)+((C2523=TRUE)*F2523*(1-EXP(-0.75*B2556*5)))+((C2542=TRUE)*(F2542-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2529=TRUE)*F2529*IF(AND(Inputs!$B$39&lt;&gt;"pvp",Inputs!$B$44&gt;0),(((R2529-1)*MIN((Skills!Y11*(1+Inputs!$B$34/100)),(1/Q2529))+MIN((Skills!Y11*(1+Inputs!$B$34/100)),MAX(0,Inputs!$B$44-((R2529-1)*(1/Q2529)))))/Inputs!$B$44),IF(Inputs!$B$39="pvp",MIN((Skills!Y11*(1+Inputs!$B$34/100)),15)/15,MIN(1,(Skills!Y11*(1+Inputs!$B$34/100))/(1/Q2529)))))/100)*(1+((C2534=TRUE)*F2534*IF(AND(Inputs!$B$39&lt;&gt;"pvp",Inputs!$B$44&gt;0),(((R2534-1)*MIN((Skills!Y16*(1+Inputs!$B$34/100)),(1/Q2534))+MIN((Skills!Y16*(1+Inputs!$B$34/100)),MAX(0,Inputs!$B$44-((R2534-1)*(1/Q2534)))))/Inputs!$B$44),IF(Inputs!$B$39="pvp",MIN((Skills!Y16*(1+Inputs!$B$34/100)),15)/15,MIN(1,(Skills!Y16*(1+Inputs!$B$34/100))/(1/Q2534)))))/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2554*I2535)</f>
        <v/>
      </c>
      <c r="L2535">
        <f>K2535*(MIN(Inputs!$B$22+((C2543=TRUE)*(F2543-Calc!F25)),(Inputs!$B$23+((C2548=TRUE)*(F2548-Calc!F30))+IF(ArtifactsInput!$M$15,CHOOSE(ArtifactsInput!$N$15+1,25,30,35,40,45,50)/100*(Inputs!$B$11-Inputs!$B$11),0)))/100+(Inputs!$B$23+((C2548=TRUE)*(F2548-Calc!F30))+IF(ArtifactsInput!$M$15,CHOOSE(ArtifactsInput!$N$15+1,25,30,35,40,45,50)/100*(Inputs!$B$11-Inputs!$B$11),0))/100)/2</f>
        <v/>
      </c>
      <c r="M2535">
        <f>L2535*(1+(Inputs!$B$10+((C2545=TRUE)*(F2545-Calc!F27))+B2559+(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2535">
        <f>L2535*(1-MIN((Inputs!$B$9+((C2544=TRUE)*(F2544-Calc!F26))+B2552+(ArtifactsInput!$M$24-ArtifactsInput!$M$24)*CHOOSE(ArtifactsInput!$N$24+1,10,12,14,16,18,20)+(IF(AND(Inputs!$B$39&lt;&gt;"pvp",Inputs!$B$44=0),1,IF(IF(Inputs!$B$39="pvp",15,Inputs!$B$44)-(B2563)&lt;=0,1,MAX(0,IF(Inputs!$B$39="pvp",15,Inputs!$B$44)-MAX(5,B2563))/(IF(Inputs!$B$39="pvp",15,Inputs!$B$44)-(B2563))))*IF(AND(ArtifactsInput!$M$42,((Inputs!$B$9+((C2544=TRUE)*(F2544-Calc!F26))+B2552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2535*(MIN((Inputs!$B$9+((C2544=TRUE)*(F2544-Calc!F26))+B2552+(ArtifactsInput!$M$24-ArtifactsInput!$M$24)*CHOOSE(ArtifactsInput!$N$24+1,10,12,14,16,18,20)+(IF(AND(Inputs!$B$39&lt;&gt;"pvp",Inputs!$B$44=0),1,IF(IF(Inputs!$B$39="pvp",15,Inputs!$B$44)-(B2563)&lt;=0,1,MAX(0,IF(Inputs!$B$39="pvp",15,Inputs!$B$44)-MAX(5,B2563))/(IF(Inputs!$B$39="pvp",15,Inputs!$B$44)-(B2563))))*IF(AND(ArtifactsInput!$M$42,((Inputs!$B$9+((C2544=TRUE)*(F2544-Calc!F26))+B2552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535">
        <f>(1-Summary!$B$11)*T2535+Summary!$B$11*V2535</f>
        <v/>
      </c>
      <c r="P2535">
        <f>IF(B2564=0,0,O2535/B2564)</f>
        <v/>
      </c>
      <c r="Q2535" t="n">
        <v>0</v>
      </c>
      <c r="R2535" t="n">
        <v>0</v>
      </c>
      <c r="S2535">
        <f>IFERROR(O2535/N2535,0)</f>
        <v/>
      </c>
      <c r="T2535">
        <f>IF(C2535,(Inputs!$B$38*0.2*N2535)*IF(Inputs!$B$39="pvp",1,1+(Inputs!$B$20+0+Skills!P17+B2553+(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Hunt"),CHOOSE(ArtifactsInput!$N$35+1,15,18,21,24,27,30)*(1-EXP(-(0.2*B2556)*5)),0)+IF(AND(ArtifactsInput!$M$22,Inputs!$B$4&lt;&gt;"Chapter Hunt"),CHOOSE(ArtifactsInput!$N$22+1,10,12,14,16,18,20)*((0*(((0.15*B2556*5))^0/1)+1*(((0.15*B2556*5))^1/1)+2*(((0.15*B2556*5))^2/2)+3*(((0.15*B2556*5))^3/6)+4*(((0.15*B2556*5))^4/24)+5*(((0.15*B2556*5))^5/120))/((((0.15*B2556*5))^0/1)+(((0.15*B2556*5))^1/1)+(((0.15*B2556*5))^2/2)+(((0.15*B2556*5))^3/6)+(((0.15*B2556*5))^4/24)+(((0.15*B2556*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2535*(1-MIN(100,(Inputs!$B$9+((C2544=TRUE)*(F2544-Calc!F26))+B2552+(ArtifactsInput!$M$24-ArtifactsInput!$M$24)*CHOOSE(ArtifactsInput!$N$24+1,10,12,14,16,18,20)+(IF(AND(Inputs!$B$39&lt;&gt;"pvp",Inputs!$B$44=0),1,IF(IF(Inputs!$B$39="pvp",15,Inputs!$B$44)-(B2563)&lt;=0,1,MAX(0,IF(Inputs!$B$39="pvp",15,Inputs!$B$44)-MAX(5,B2563))/(IF(Inputs!$B$39="pvp",15,Inputs!$B$44)-(B2563))))*IF(AND(ArtifactsInput!$M$42,((Inputs!$B$9+((C2544=TRUE)*(F2544-Calc!F26))+B2552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2535*(MIN(100,(Inputs!$B$9+((C2544=TRUE)*(F2544-Calc!F26))+B2552+(ArtifactsInput!$M$24-ArtifactsInput!$M$24)*CHOOSE(ArtifactsInput!$N$24+1,10,12,14,16,18,20)+(IF(AND(Inputs!$B$39&lt;&gt;"pvp",Inputs!$B$44=0),1,IF(IF(Inputs!$B$39="pvp",15,Inputs!$B$44)-(B2563)&lt;=0,1,MAX(0,IF(Inputs!$B$39="pvp",15,Inputs!$B$44)-MAX(5,B2563))/(IF(Inputs!$B$39="pvp",15,Inputs!$B$44)-(B2563))))*IF(AND(ArtifactsInput!$M$42,((Inputs!$B$9+((C2544=TRUE)*(F2544-Calc!F26))+B2552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2535*(1-MIN(100,(Inputs!$B$9+((C2544=TRUE)*(F2544-Calc!F26))+B2552+(ArtifactsInput!$M$24-ArtifactsInput!$M$24)*CHOOSE(ArtifactsInput!$N$24+1,10,12,14,16,18,20)+(IF(AND(Inputs!$B$39&lt;&gt;"pvp",Inputs!$B$44=0),1,IF(IF(Inputs!$B$39="pvp",15,Inputs!$B$44)-(B2563)&lt;=0,1,MAX(0,IF(Inputs!$B$39="pvp",15,Inputs!$B$44)-MAX(5,B2563))/(IF(Inputs!$B$39="pvp",15,Inputs!$B$44)-(B2563))))*IF(AND(ArtifactsInput!$M$42,((Inputs!$B$9+((C2544=TRUE)*(F2544-Calc!F26))+B2552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2535*(MIN(100,(Inputs!$B$9+((C2544=TRUE)*(F2544-Calc!F26))+B2552+(ArtifactsInput!$M$24-ArtifactsInput!$M$24)*CHOOSE(ArtifactsInput!$N$24+1,10,12,14,16,18,20)+(IF(AND(Inputs!$B$39&lt;&gt;"pvp",Inputs!$B$44=0),1,IF(IF(Inputs!$B$39="pvp",15,Inputs!$B$44)-(B2563)&lt;=0,1,MAX(0,IF(Inputs!$B$39="pvp",15,Inputs!$B$44)-MAX(5,B2563))/(IF(Inputs!$B$39="pvp",15,Inputs!$B$44)-(B2563))))*IF(AND(ArtifactsInput!$M$42,((Inputs!$B$9+((C2544=TRUE)*(F2544-Calc!F26))+B2552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535">
        <f>IF(C2535,(Inputs!$B$38*0.2*N2535)*IF(Inputs!$B$39="pvp",1,(1+(Inputs!$B$21+Skills!Q17+B2553+(IF(ArtifactsInput!$M$33,CHOOSE(ArtifactsInput!$N$33+1,30,36,42,48,54,60),0))+(IF(AND(ArtifactsInput!$M$35,Inputs!$B$4&lt;&gt;"Chapter Hunt"),CHOOSE(ArtifactsInput!$N$35+1,15,18,21,24,27,30)*(1-EXP(-(0.2*B2556)*5)),0)+IF(AND(ArtifactsInput!$M$22,Inputs!$B$4&lt;&gt;"Chapter Hunt"),CHOOSE(ArtifactsInput!$N$22+1,10,12,14,16,18,20)*((0*(((0.15*B2556*5))^0/1)+1*(((0.15*B2556*5))^1/1)+2*(((0.15*B2556*5))^2/2)+3*(((0.15*B2556*5))^3/6)+4*(((0.15*B2556*5))^4/24)+5*(((0.15*B2556*5))^5/120))/((((0.15*B2556*5))^0/1)+(((0.15*B2556*5))^1/1)+(((0.15*B2556*5))^2/2)+(((0.15*B2556*5))^3/6)+(((0.15*B2556*5))^4/24)+(((0.15*B2556*5))^5/120))),0)))/100)*(MIN(Skills!W17,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536">
      <c r="A2536">
        <f>Skills!A18</f>
        <v/>
      </c>
      <c r="B2536">
        <f>Skills!B18</f>
        <v/>
      </c>
      <c r="C2536">
        <f>Inputs!$B$3&gt;=115</f>
        <v/>
      </c>
      <c r="D2536">
        <f>IF(Skills!C18=1,60+Inputs!$B$25+Inputs!$B$29,IF(Skills!C18=2,90+Inputs!$B$26+Inputs!$B$29,IF(Skills!C18=3,120+Inputs!$B$27+Inputs!$B$29,MAX(0,(Inputs!$B$3-100)*3)+Inputs!$B$28+Inputs!$B$29)))</f>
        <v/>
      </c>
      <c r="E2536">
        <f>INDEX(FactorTable!$B$2:$Y$301, MATCH(ROUND(MIN(300,MAX(1,D2536)),0), FactorTable!$A$2:$A$301,0), Skills!M18+1)</f>
        <v/>
      </c>
      <c r="F2536">
        <f>IF(Skills!N18=TRUE,(Skills!L18/10)*(E2536/1000),Skills!L18/10)+Skills!O18</f>
        <v/>
      </c>
      <c r="G2536">
        <f>Skills!G18*IF(Skills!H18&gt;0,IF(Inputs!$B$39="pvp",MIN(Skills!I18,15),Skills!I18)/Skills!H18,1)</f>
        <v/>
      </c>
      <c r="H2536">
        <f>1-(1-Skills!J18/100)^Skills!K18</f>
        <v/>
      </c>
      <c r="I2536" t="inlineStr">
        <is>
          <t>1</t>
        </is>
      </c>
      <c r="J2536" t="inlineStr"/>
      <c r="K2536" t="inlineStr"/>
      <c r="L2536" t="inlineStr"/>
      <c r="M2536" t="inlineStr"/>
      <c r="N2536" t="inlineStr"/>
      <c r="O2536">
        <f>(1-Summary!$B$11)*T2536+Summary!$B$11*V2536</f>
        <v/>
      </c>
      <c r="P2536">
        <f>IF(B2564=0,0,O2536/B2564)</f>
        <v/>
      </c>
      <c r="Q2536" t="n">
        <v>0</v>
      </c>
      <c r="R2536" t="n">
        <v>0</v>
      </c>
      <c r="S2536">
        <f>IFERROR(O2536/N2536,0)</f>
        <v/>
      </c>
      <c r="T2536" t="n">
        <v>0</v>
      </c>
      <c r="V2536" t="n">
        <v>0</v>
      </c>
    </row>
    <row r="2537">
      <c r="A2537">
        <f>Skills!A19</f>
        <v/>
      </c>
      <c r="B2537">
        <f>Skills!B19</f>
        <v/>
      </c>
      <c r="C2537">
        <f>Inputs!$B$3&gt;=100</f>
        <v/>
      </c>
      <c r="D2537">
        <f>IF(Skills!C19=1,60+Inputs!$B$25+Inputs!$B$29,IF(Skills!C19=2,90+Inputs!$B$26+Inputs!$B$29,IF(Skills!C19=3,120+Inputs!$B$27+Inputs!$B$29,MAX(0,(Inputs!$B$3-100)*3)+Inputs!$B$28+Inputs!$B$29)))</f>
        <v/>
      </c>
      <c r="E2537">
        <f>INDEX(FactorTable!$B$2:$Y$301, MATCH(ROUND(MIN(300,MAX(1,D2537)),0), FactorTable!$A$2:$A$301,0), Skills!M19+1)</f>
        <v/>
      </c>
      <c r="F2537">
        <f>IF(Skills!N19=TRUE,(Skills!L19/10)*(E2537/1000),Skills!L19/10)+Skills!O19</f>
        <v/>
      </c>
      <c r="G2537">
        <f>Skills!G19*IF(Skills!H19&gt;0,IF(Inputs!$B$39="pvp",MIN(Skills!I19,15),Skills!I19)/Skills!H19,1)</f>
        <v/>
      </c>
      <c r="H2537">
        <f>1-(1-Skills!J19/100)^Skills!K19</f>
        <v/>
      </c>
      <c r="I2537" t="inlineStr">
        <is>
          <t>1</t>
        </is>
      </c>
      <c r="J2537" t="inlineStr"/>
      <c r="K2537" t="inlineStr"/>
      <c r="L2537" t="inlineStr"/>
      <c r="M2537" t="inlineStr"/>
      <c r="N2537" t="inlineStr"/>
      <c r="O2537">
        <f>(1-Summary!$B$11)*T2537+Summary!$B$11*V2537</f>
        <v/>
      </c>
      <c r="P2537">
        <f>IF(B2564=0,0,O2537/B2564)</f>
        <v/>
      </c>
      <c r="Q2537" t="n">
        <v>0</v>
      </c>
      <c r="R2537" t="n">
        <v>0</v>
      </c>
      <c r="S2537">
        <f>IFERROR(O2537/N2537,0)</f>
        <v/>
      </c>
      <c r="T2537" t="n">
        <v>0</v>
      </c>
      <c r="V2537" t="n">
        <v>0</v>
      </c>
    </row>
    <row r="2538">
      <c r="A2538">
        <f>Skills!A20</f>
        <v/>
      </c>
      <c r="B2538">
        <f>Skills!B20</f>
        <v/>
      </c>
      <c r="C2538">
        <f>TRUE</f>
        <v/>
      </c>
      <c r="D2538">
        <f>IF(Skills!C20=1,60+Inputs!$B$25+Inputs!$B$29,IF(Skills!C20=2,90+Inputs!$B$26+Inputs!$B$29,IF(Skills!C20=3,120+Inputs!$B$27+Inputs!$B$29,MAX(0,(Inputs!$B$3-100)*3)+Inputs!$B$28+Inputs!$B$29)))</f>
        <v/>
      </c>
      <c r="E2538">
        <f>INDEX(FactorTable!$B$2:$Y$301, MATCH(ROUND(MIN(300,MAX(1,D2538)),0), FactorTable!$A$2:$A$301,0), Skills!M20+1)</f>
        <v/>
      </c>
      <c r="F2538">
        <f>IF(Skills!N20=TRUE,(Skills!L20/10)*(E2538/1000),Skills!L20/10)+Skills!O20</f>
        <v/>
      </c>
      <c r="G2538">
        <f>Skills!G20*IF(Skills!H20&gt;0,IF(Inputs!$B$39="pvp",MIN(Skills!I20,15),Skills!I20)/Skills!H20,1)</f>
        <v/>
      </c>
      <c r="H2538">
        <f>1-(1-Skills!J20/100)^Skills!K20</f>
        <v/>
      </c>
      <c r="I2538" t="inlineStr">
        <is>
          <t>1</t>
        </is>
      </c>
      <c r="J2538" t="inlineStr"/>
      <c r="K2538" t="inlineStr"/>
      <c r="L2538" t="inlineStr"/>
      <c r="M2538" t="inlineStr"/>
      <c r="N2538" t="inlineStr"/>
      <c r="O2538">
        <f>(1-Summary!$B$11)*T2538+Summary!$B$11*V2538</f>
        <v/>
      </c>
      <c r="P2538">
        <f>IF(B2564=0,0,O2538/B2564)</f>
        <v/>
      </c>
      <c r="Q2538">
        <f>IFERROR(1/IF(Inputs!$B$39="pvp",15,MAX(0.1,Skills!D20-IF(TRUE=TRUE,Inputs!$B$32,0))),0)</f>
        <v/>
      </c>
      <c r="R2538">
        <f>IF(AND(Inputs!$B$39&lt;&gt;"pvp",Inputs!$B$44&gt;0),IF(Inputs!$B$44&lt;=0,0,(INT(Inputs!$B$44/IF(Inputs!$B$39="pvp",15,MAX(0.1,Skills!D20-IF(TRUE=TRUE,Inputs!$B$32,0))))+1)),0)</f>
        <v/>
      </c>
      <c r="S2538">
        <f>IFERROR(O2538/N2538,0)</f>
        <v/>
      </c>
      <c r="T2538" t="n">
        <v>0</v>
      </c>
      <c r="V2538" t="n">
        <v>0</v>
      </c>
    </row>
    <row r="2539">
      <c r="A2539">
        <f>Skills!A21</f>
        <v/>
      </c>
      <c r="B2539">
        <f>Skills!B21</f>
        <v/>
      </c>
      <c r="C2539">
        <f>Inputs!$B$3&gt;=15</f>
        <v/>
      </c>
      <c r="D2539">
        <f>IF(Skills!C21=1,60+Inputs!$B$25+Inputs!$B$29,IF(Skills!C21=2,90+Inputs!$B$26+Inputs!$B$29,IF(Skills!C21=3,120+Inputs!$B$27+Inputs!$B$29,MAX(0,(Inputs!$B$3-100)*3)+Inputs!$B$28+Inputs!$B$29)))</f>
        <v/>
      </c>
      <c r="E2539">
        <f>INDEX(FactorTable!$B$2:$Y$301, MATCH(ROUND(MIN(300,MAX(1,D2539)),0), FactorTable!$A$2:$A$301,0), Skills!M21+1)</f>
        <v/>
      </c>
      <c r="F2539">
        <f>IF(Skills!N21=TRUE,(Skills!L21/10)*(E2539/1000),Skills!L21/10)+Skills!O21</f>
        <v/>
      </c>
      <c r="G2539">
        <f>Skills!G21*IF(Skills!H21&gt;0,IF(Inputs!$B$39="pvp",MIN(Skills!I21,15),Skills!I21)/Skills!H21,1)</f>
        <v/>
      </c>
      <c r="H2539">
        <f>1-(1-Skills!J21/100)^Skills!K21</f>
        <v/>
      </c>
      <c r="I2539" t="inlineStr">
        <is>
          <t>1</t>
        </is>
      </c>
      <c r="J2539" t="inlineStr"/>
      <c r="K2539" t="inlineStr"/>
      <c r="L2539" t="inlineStr"/>
      <c r="M2539" t="inlineStr"/>
      <c r="N2539" t="inlineStr"/>
      <c r="O2539">
        <f>(1-Summary!$B$11)*T2539+Summary!$B$11*V2539</f>
        <v/>
      </c>
      <c r="P2539">
        <f>IF(B2564=0,0,O2539/B2564)</f>
        <v/>
      </c>
      <c r="Q2539">
        <f>IFERROR(1/IF(Inputs!$B$39="pvp",15,MAX(0.1,Skills!D21-IF(TRUE=TRUE,Inputs!$B$32,0))),0)</f>
        <v/>
      </c>
      <c r="R2539">
        <f>IF(AND(Inputs!$B$39&lt;&gt;"pvp",Inputs!$B$44&gt;0),IF(Inputs!$B$44&lt;=0,0,(INT(Inputs!$B$44/IF(Inputs!$B$39="pvp",15,MAX(0.1,Skills!D21-IF(TRUE=TRUE,Inputs!$B$32,0))))+1)),0)</f>
        <v/>
      </c>
      <c r="S2539">
        <f>IFERROR(O2539/N2539,0)</f>
        <v/>
      </c>
      <c r="T2539" t="n">
        <v>0</v>
      </c>
      <c r="V2539" t="n">
        <v>0</v>
      </c>
    </row>
    <row r="2540">
      <c r="A2540">
        <f>Skills!A22</f>
        <v/>
      </c>
      <c r="B2540">
        <f>Skills!B22</f>
        <v/>
      </c>
      <c r="C2540">
        <f>Inputs!$B$3&gt;=15</f>
        <v/>
      </c>
      <c r="D2540">
        <f>IF(Skills!C22=1,60+Inputs!$B$25+Inputs!$B$29,IF(Skills!C22=2,90+Inputs!$B$26+Inputs!$B$29,IF(Skills!C22=3,120+Inputs!$B$27+Inputs!$B$29,MAX(0,(Inputs!$B$3-100)*3)+Inputs!$B$28+Inputs!$B$29)))</f>
        <v/>
      </c>
      <c r="E2540">
        <f>INDEX(FactorTable!$B$2:$Y$301, MATCH(ROUND(MIN(300,MAX(1,D2540)),0), FactorTable!$A$2:$A$301,0), Skills!M22+1)</f>
        <v/>
      </c>
      <c r="F2540">
        <f>IF(Skills!N22=TRUE,(Skills!L22/10)*(E2540/1000),Skills!L22/10)+Skills!O22</f>
        <v/>
      </c>
      <c r="G2540">
        <f>Skills!G22*IF(Skills!H22&gt;0,IF(Inputs!$B$39="pvp",MIN(Skills!I22,15),Skills!I22)/Skills!H22,1)</f>
        <v/>
      </c>
      <c r="H2540">
        <f>1-(1-Skills!J22/100)^Skills!K22</f>
        <v/>
      </c>
      <c r="I2540" t="inlineStr">
        <is>
          <t>1</t>
        </is>
      </c>
      <c r="J2540" t="inlineStr"/>
      <c r="K2540" t="inlineStr"/>
      <c r="L2540" t="inlineStr"/>
      <c r="M2540" t="inlineStr"/>
      <c r="N2540" t="inlineStr"/>
      <c r="O2540">
        <f>(1-Summary!$B$11)*T2540+Summary!$B$11*V2540</f>
        <v/>
      </c>
      <c r="P2540">
        <f>IF(B2564=0,0,O2540/B2564)</f>
        <v/>
      </c>
      <c r="Q2540">
        <f>IFERROR(1/IF(Inputs!$B$39="pvp",15,MAX(0.1,Skills!D22-IF(TRUE=TRUE,Inputs!$B$32,0))),0)</f>
        <v/>
      </c>
      <c r="R2540">
        <f>IF(AND(Inputs!$B$39&lt;&gt;"pvp",Inputs!$B$44&gt;0),IF(Inputs!$B$44&lt;=0,0,(INT(Inputs!$B$44/IF(Inputs!$B$39="pvp",15,MAX(0.1,Skills!D22-IF(TRUE=TRUE,Inputs!$B$32,0))))+1)),0)</f>
        <v/>
      </c>
      <c r="S2540">
        <f>IFERROR(O2540/N2540,0)</f>
        <v/>
      </c>
      <c r="T2540" t="n">
        <v>0</v>
      </c>
      <c r="V2540" t="n">
        <v>0</v>
      </c>
    </row>
    <row r="2541">
      <c r="A2541">
        <f>Skills!A23</f>
        <v/>
      </c>
      <c r="B2541">
        <f>Skills!B23</f>
        <v/>
      </c>
      <c r="C2541">
        <f>Inputs!$B$3&gt;=33</f>
        <v/>
      </c>
      <c r="D2541">
        <f>IF(Skills!C23=1,60+Inputs!$B$25+Inputs!$B$29,IF(Skills!C23=2,90+Inputs!$B$26+Inputs!$B$29,IF(Skills!C23=3,120+Inputs!$B$27+Inputs!$B$29,MAX(0,(Inputs!$B$3-100)*3)+Inputs!$B$28+Inputs!$B$29)))</f>
        <v/>
      </c>
      <c r="E2541">
        <f>INDEX(FactorTable!$B$2:$Y$301, MATCH(ROUND(MIN(300,MAX(1,D2541)),0), FactorTable!$A$2:$A$301,0), Skills!M23+1)</f>
        <v/>
      </c>
      <c r="F2541">
        <f>IF(Skills!N23=TRUE,(Skills!L23/10)*(E2541/1000),Skills!L23/10)+Skills!O23</f>
        <v/>
      </c>
      <c r="G2541">
        <f>Skills!G23*IF(Skills!H23&gt;0,IF(Inputs!$B$39="pvp",MIN(Skills!I23,15),Skills!I23)/Skills!H23,1)</f>
        <v/>
      </c>
      <c r="H2541">
        <f>1-(1-Skills!J23/100)^Skills!K23</f>
        <v/>
      </c>
      <c r="I2541" t="inlineStr">
        <is>
          <t>1</t>
        </is>
      </c>
      <c r="J2541" t="inlineStr"/>
      <c r="K2541" t="inlineStr"/>
      <c r="L2541" t="inlineStr"/>
      <c r="M2541" t="inlineStr"/>
      <c r="N2541" t="inlineStr"/>
      <c r="O2541">
        <f>(1-Summary!$B$11)*T2541+Summary!$B$11*V2541</f>
        <v/>
      </c>
      <c r="P2541">
        <f>IF(B2564=0,0,O2541/B2564)</f>
        <v/>
      </c>
      <c r="Q2541" t="n">
        <v>0</v>
      </c>
      <c r="R2541" t="n">
        <v>0</v>
      </c>
      <c r="S2541">
        <f>IFERROR(O2541/N2541,0)</f>
        <v/>
      </c>
      <c r="T2541" t="n">
        <v>0</v>
      </c>
      <c r="V2541" t="n">
        <v>0</v>
      </c>
    </row>
    <row r="2542">
      <c r="A2542">
        <f>Skills!A24</f>
        <v/>
      </c>
      <c r="B2542">
        <f>Skills!B24</f>
        <v/>
      </c>
      <c r="C2542">
        <f>Inputs!$B$3&gt;=40</f>
        <v/>
      </c>
      <c r="D2542">
        <f>IF(Skills!C24=1,60+Inputs!$B$25+Inputs!$B$29,IF(Skills!C24=2,90+Inputs!$B$26+Inputs!$B$29,IF(Skills!C24=3,120+Inputs!$B$27+Inputs!$B$29,MAX(0,(Inputs!$B$3-100)*3)+Inputs!$B$28+Inputs!$B$29)))</f>
        <v/>
      </c>
      <c r="E2542">
        <f>INDEX(FactorTable!$B$2:$Y$301, MATCH(ROUND(MIN(300,MAX(1,D2542)),0), FactorTable!$A$2:$A$301,0), Skills!M24+1)</f>
        <v/>
      </c>
      <c r="F2542">
        <f>IF(Skills!N24=TRUE,(Skills!L24/10)*(E2542/1000),Skills!L24/10)+Skills!O24</f>
        <v/>
      </c>
      <c r="G2542">
        <f>Skills!G24*IF(Skills!H24&gt;0,IF(Inputs!$B$39="pvp",MIN(Skills!I24,15),Skills!I24)/Skills!H24,1)</f>
        <v/>
      </c>
      <c r="H2542">
        <f>1-(1-Skills!J24/100)^Skills!K24</f>
        <v/>
      </c>
      <c r="I2542" t="inlineStr">
        <is>
          <t>1</t>
        </is>
      </c>
      <c r="J2542" t="inlineStr"/>
      <c r="K2542" t="inlineStr"/>
      <c r="L2542" t="inlineStr"/>
      <c r="M2542" t="inlineStr"/>
      <c r="N2542" t="inlineStr"/>
      <c r="O2542">
        <f>(1-Summary!$B$11)*T2542+Summary!$B$11*V2542</f>
        <v/>
      </c>
      <c r="P2542">
        <f>IF(B2564=0,0,O2542/B2564)</f>
        <v/>
      </c>
      <c r="Q2542" t="n">
        <v>0</v>
      </c>
      <c r="R2542" t="n">
        <v>0</v>
      </c>
      <c r="S2542">
        <f>IFERROR(O2542/N2542,0)</f>
        <v/>
      </c>
      <c r="T2542" t="n">
        <v>0</v>
      </c>
      <c r="V2542" t="n">
        <v>0</v>
      </c>
    </row>
    <row r="2543">
      <c r="A2543">
        <f>Skills!A25</f>
        <v/>
      </c>
      <c r="B2543">
        <f>Skills!B25</f>
        <v/>
      </c>
      <c r="C2543">
        <f>Inputs!$B$3&gt;=43</f>
        <v/>
      </c>
      <c r="D2543">
        <f>IF(Skills!C25=1,60+Inputs!$B$25+Inputs!$B$29,IF(Skills!C25=2,90+Inputs!$B$26+Inputs!$B$29,IF(Skills!C25=3,120+Inputs!$B$27+Inputs!$B$29,MAX(0,(Inputs!$B$3-100)*3)+Inputs!$B$28+Inputs!$B$29)))</f>
        <v/>
      </c>
      <c r="E2543">
        <f>INDEX(FactorTable!$B$2:$Y$301, MATCH(ROUND(MIN(300,MAX(1,D2543)),0), FactorTable!$A$2:$A$301,0), Skills!M25+1)</f>
        <v/>
      </c>
      <c r="F2543">
        <f>IF(Skills!N25=TRUE,(Skills!L25/10)*(E2543/1000),Skills!L25/10)+Skills!O25</f>
        <v/>
      </c>
      <c r="G2543">
        <f>Skills!G25*IF(Skills!H25&gt;0,IF(Inputs!$B$39="pvp",MIN(Skills!I25,15),Skills!I25)/Skills!H25,1)</f>
        <v/>
      </c>
      <c r="H2543">
        <f>1-(1-Skills!J25/100)^Skills!K25</f>
        <v/>
      </c>
      <c r="I2543" t="inlineStr">
        <is>
          <t>1</t>
        </is>
      </c>
      <c r="J2543" t="inlineStr"/>
      <c r="K2543" t="inlineStr"/>
      <c r="L2543" t="inlineStr"/>
      <c r="M2543" t="inlineStr"/>
      <c r="N2543" t="inlineStr"/>
      <c r="O2543">
        <f>(1-Summary!$B$11)*T2543+Summary!$B$11*V2543</f>
        <v/>
      </c>
      <c r="P2543">
        <f>IF(B2564=0,0,O2543/B2564)</f>
        <v/>
      </c>
      <c r="Q2543" t="n">
        <v>0</v>
      </c>
      <c r="R2543" t="n">
        <v>0</v>
      </c>
      <c r="S2543">
        <f>IFERROR(O2543/N2543,0)</f>
        <v/>
      </c>
      <c r="T2543" t="n">
        <v>0</v>
      </c>
      <c r="V2543" t="n">
        <v>0</v>
      </c>
    </row>
    <row r="2544">
      <c r="A2544">
        <f>Skills!A26</f>
        <v/>
      </c>
      <c r="B2544">
        <f>Skills!B26</f>
        <v/>
      </c>
      <c r="C2544">
        <f>Inputs!$B$3&gt;=50</f>
        <v/>
      </c>
      <c r="D2544">
        <f>IF(Skills!C26=1,60+Inputs!$B$25+Inputs!$B$29,IF(Skills!C26=2,90+Inputs!$B$26+Inputs!$B$29,IF(Skills!C26=3,120+Inputs!$B$27+Inputs!$B$29,MAX(0,(Inputs!$B$3-100)*3)+Inputs!$B$28+Inputs!$B$29)))</f>
        <v/>
      </c>
      <c r="E2544">
        <f>INDEX(FactorTable!$B$2:$Y$301, MATCH(ROUND(MIN(300,MAX(1,D2544)),0), FactorTable!$A$2:$A$301,0), Skills!M26+1)</f>
        <v/>
      </c>
      <c r="F2544">
        <f>IF(Skills!N26=TRUE,(Skills!L26/10)*(E2544/1000),Skills!L26/10)+Skills!O26</f>
        <v/>
      </c>
      <c r="G2544">
        <f>Skills!G26*IF(Skills!H26&gt;0,IF(Inputs!$B$39="pvp",MIN(Skills!I26,15),Skills!I26)/Skills!H26,1)</f>
        <v/>
      </c>
      <c r="H2544">
        <f>1-(1-Skills!J26/100)^Skills!K26</f>
        <v/>
      </c>
      <c r="I2544" t="inlineStr">
        <is>
          <t>1</t>
        </is>
      </c>
      <c r="J2544" t="inlineStr"/>
      <c r="K2544" t="inlineStr"/>
      <c r="L2544" t="inlineStr"/>
      <c r="M2544" t="inlineStr"/>
      <c r="N2544" t="inlineStr"/>
      <c r="O2544">
        <f>(1-Summary!$B$11)*T2544+Summary!$B$11*V2544</f>
        <v/>
      </c>
      <c r="P2544">
        <f>IF(B2564=0,0,O2544/B2564)</f>
        <v/>
      </c>
      <c r="Q2544" t="n">
        <v>0</v>
      </c>
      <c r="R2544" t="n">
        <v>0</v>
      </c>
      <c r="S2544">
        <f>IFERROR(O2544/N2544,0)</f>
        <v/>
      </c>
      <c r="T2544" t="n">
        <v>0</v>
      </c>
      <c r="V2544" t="n">
        <v>0</v>
      </c>
    </row>
    <row r="2545">
      <c r="A2545">
        <f>Skills!A27</f>
        <v/>
      </c>
      <c r="B2545">
        <f>Skills!B27</f>
        <v/>
      </c>
      <c r="C2545">
        <f>Inputs!$B$3&gt;=50</f>
        <v/>
      </c>
      <c r="D2545">
        <f>IF(Skills!C27=1,60+Inputs!$B$25+Inputs!$B$29,IF(Skills!C27=2,90+Inputs!$B$26+Inputs!$B$29,IF(Skills!C27=3,120+Inputs!$B$27+Inputs!$B$29,MAX(0,(Inputs!$B$3-100)*3)+Inputs!$B$28+Inputs!$B$29)))</f>
        <v/>
      </c>
      <c r="E2545">
        <f>INDEX(FactorTable!$B$2:$Y$301, MATCH(ROUND(MIN(300,MAX(1,D2545)),0), FactorTable!$A$2:$A$301,0), Skills!M27+1)</f>
        <v/>
      </c>
      <c r="F2545">
        <f>IF(Skills!N27=TRUE,(Skills!L27/10)*(E2545/1000),Skills!L27/10)+Skills!O27</f>
        <v/>
      </c>
      <c r="G2545">
        <f>Skills!G27*IF(Skills!H27&gt;0,IF(Inputs!$B$39="pvp",MIN(Skills!I27,15),Skills!I27)/Skills!H27,1)</f>
        <v/>
      </c>
      <c r="H2545">
        <f>1-(1-Skills!J27/100)^Skills!K27</f>
        <v/>
      </c>
      <c r="I2545" t="inlineStr">
        <is>
          <t>1</t>
        </is>
      </c>
      <c r="J2545" t="inlineStr"/>
      <c r="K2545" t="inlineStr"/>
      <c r="L2545" t="inlineStr"/>
      <c r="M2545" t="inlineStr"/>
      <c r="N2545" t="inlineStr"/>
      <c r="O2545">
        <f>(1-Summary!$B$11)*T2545+Summary!$B$11*V2545</f>
        <v/>
      </c>
      <c r="P2545">
        <f>IF(B2564=0,0,O2545/B2564)</f>
        <v/>
      </c>
      <c r="Q2545" t="n">
        <v>0</v>
      </c>
      <c r="R2545" t="n">
        <v>0</v>
      </c>
      <c r="S2545">
        <f>IFERROR(O2545/N2545,0)</f>
        <v/>
      </c>
      <c r="T2545" t="n">
        <v>0</v>
      </c>
      <c r="V2545" t="n">
        <v>0</v>
      </c>
    </row>
    <row r="2546">
      <c r="A2546">
        <f>Skills!A28</f>
        <v/>
      </c>
      <c r="B2546">
        <f>Skills!B28</f>
        <v/>
      </c>
      <c r="C2546">
        <f>Inputs!$B$3&gt;=38</f>
        <v/>
      </c>
      <c r="D2546">
        <f>IF(Skills!C28=1,60+Inputs!$B$25+Inputs!$B$29,IF(Skills!C28=2,90+Inputs!$B$26+Inputs!$B$29,IF(Skills!C28=3,120+Inputs!$B$27+Inputs!$B$29,MAX(0,(Inputs!$B$3-100)*3)+Inputs!$B$28+Inputs!$B$29)))</f>
        <v/>
      </c>
      <c r="E2546">
        <f>INDEX(FactorTable!$B$2:$Y$301, MATCH(ROUND(MIN(300,MAX(1,D2546)),0), FactorTable!$A$2:$A$301,0), Skills!M28+1)</f>
        <v/>
      </c>
      <c r="F2546">
        <f>IF(Skills!N28=TRUE,(Skills!L28/10)*(E2546/1000),Skills!L28/10)+Skills!O28</f>
        <v/>
      </c>
      <c r="G2546">
        <f>Skills!G28*IF(Skills!H28&gt;0,IF(Inputs!$B$39="pvp",MIN(Skills!I28,15),Skills!I28)/Skills!H28,1)</f>
        <v/>
      </c>
      <c r="H2546">
        <f>1-(1-Skills!J28/100)^Skills!K28</f>
        <v/>
      </c>
      <c r="I2546" t="inlineStr">
        <is>
          <t>1</t>
        </is>
      </c>
      <c r="J2546" t="inlineStr"/>
      <c r="K2546" t="inlineStr"/>
      <c r="L2546" t="inlineStr"/>
      <c r="M2546" t="inlineStr"/>
      <c r="N2546" t="inlineStr"/>
      <c r="O2546">
        <f>(1-Summary!$B$11)*T2546+Summary!$B$11*V2546</f>
        <v/>
      </c>
      <c r="P2546">
        <f>IF(B2564=0,0,O2546/B2564)</f>
        <v/>
      </c>
      <c r="Q2546" t="n">
        <v>0</v>
      </c>
      <c r="R2546" t="n">
        <v>0</v>
      </c>
      <c r="S2546">
        <f>IFERROR(O2546/N2546,0)</f>
        <v/>
      </c>
      <c r="T2546" t="n">
        <v>0</v>
      </c>
      <c r="V2546" t="n">
        <v>0</v>
      </c>
    </row>
    <row r="2547">
      <c r="A2547">
        <f>Skills!A29</f>
        <v/>
      </c>
      <c r="B2547">
        <f>Skills!B29</f>
        <v/>
      </c>
      <c r="C2547">
        <f>Inputs!$B$3&gt;=120</f>
        <v/>
      </c>
      <c r="D2547">
        <f>IF(Skills!C29=1,60+Inputs!$B$25+Inputs!$B$29,IF(Skills!C29=2,90+Inputs!$B$26+Inputs!$B$29,IF(Skills!C29=3,120+Inputs!$B$27+Inputs!$B$29,MAX(0,(Inputs!$B$3-100)*3)+Inputs!$B$28+Inputs!$B$29)))</f>
        <v/>
      </c>
      <c r="E2547">
        <f>INDEX(FactorTable!$B$2:$Y$301, MATCH(ROUND(MIN(300,MAX(1,D2547)),0), FactorTable!$A$2:$A$301,0), Skills!M29+1)</f>
        <v/>
      </c>
      <c r="F2547">
        <f>IF(Skills!N29=TRUE,(Skills!L29/10)*(E2547/1000),Skills!L29/10)+Skills!O29</f>
        <v/>
      </c>
      <c r="G2547">
        <f>Skills!G29*IF(Skills!H29&gt;0,IF(Inputs!$B$39="pvp",MIN(Skills!I29,15),Skills!I29)/Skills!H29,1)</f>
        <v/>
      </c>
      <c r="H2547">
        <f>1-(1-Skills!J29/100)^Skills!K29</f>
        <v/>
      </c>
      <c r="I2547" t="inlineStr">
        <is>
          <t>1</t>
        </is>
      </c>
      <c r="J2547" t="inlineStr"/>
      <c r="K2547" t="inlineStr"/>
      <c r="L2547" t="inlineStr"/>
      <c r="M2547" t="inlineStr"/>
      <c r="N2547" t="inlineStr"/>
      <c r="O2547">
        <f>(1-Summary!$B$11)*T2547+Summary!$B$11*V2547</f>
        <v/>
      </c>
      <c r="P2547">
        <f>IF(B2564=0,0,O2547/B2564)</f>
        <v/>
      </c>
      <c r="Q2547" t="n">
        <v>0</v>
      </c>
      <c r="R2547" t="n">
        <v>0</v>
      </c>
      <c r="S2547">
        <f>IFERROR(O2547/N2547,0)</f>
        <v/>
      </c>
      <c r="T2547" t="n">
        <v>0</v>
      </c>
      <c r="V2547" t="n">
        <v>0</v>
      </c>
    </row>
    <row r="2548">
      <c r="A2548">
        <f>Skills!A30</f>
        <v/>
      </c>
      <c r="B2548">
        <f>Skills!B30</f>
        <v/>
      </c>
      <c r="C2548">
        <f>Inputs!$B$3&gt;=120</f>
        <v/>
      </c>
      <c r="D2548">
        <f>IF(Skills!C30=1,60+Inputs!$B$25+Inputs!$B$29,IF(Skills!C30=2,90+Inputs!$B$26+Inputs!$B$29,IF(Skills!C30=3,120+Inputs!$B$27+Inputs!$B$29,MAX(0,(Inputs!$B$3-100)*3)+Inputs!$B$28+Inputs!$B$29)))</f>
        <v/>
      </c>
      <c r="E2548">
        <f>INDEX(FactorTable!$B$2:$Y$301, MATCH(ROUND(MIN(300,MAX(1,D2548)),0), FactorTable!$A$2:$A$301,0), Skills!M30+1)</f>
        <v/>
      </c>
      <c r="F2548">
        <f>IF(Skills!N30=TRUE,(Skills!L30/10)*(E2548/1000),Skills!L30/10)+Skills!O30</f>
        <v/>
      </c>
      <c r="G2548">
        <f>Skills!G30*IF(Skills!H30&gt;0,IF(Inputs!$B$39="pvp",MIN(Skills!I30,15),Skills!I30)/Skills!H30,1)</f>
        <v/>
      </c>
      <c r="H2548">
        <f>1-(1-Skills!J30/100)^Skills!K30</f>
        <v/>
      </c>
      <c r="I2548" t="inlineStr">
        <is>
          <t>1</t>
        </is>
      </c>
      <c r="J2548" t="inlineStr"/>
      <c r="K2548" t="inlineStr"/>
      <c r="L2548" t="inlineStr"/>
      <c r="M2548" t="inlineStr"/>
      <c r="N2548" t="inlineStr"/>
      <c r="O2548">
        <f>(1-Summary!$B$11)*T2548+Summary!$B$11*V2548</f>
        <v/>
      </c>
      <c r="P2548">
        <f>IF(B2564=0,0,O2548/B2564)</f>
        <v/>
      </c>
      <c r="Q2548" t="n">
        <v>0</v>
      </c>
      <c r="R2548" t="n">
        <v>0</v>
      </c>
      <c r="S2548">
        <f>IFERROR(O2548/N2548,0)</f>
        <v/>
      </c>
      <c r="T2548" t="n">
        <v>0</v>
      </c>
      <c r="V2548" t="n">
        <v>0</v>
      </c>
    </row>
    <row r="2549">
      <c r="A2549">
        <f>Skills!A31</f>
        <v/>
      </c>
      <c r="B2549">
        <f>Skills!B31</f>
        <v/>
      </c>
      <c r="C2549">
        <f>Inputs!$B$3&gt;=125</f>
        <v/>
      </c>
      <c r="D2549">
        <f>IF(Skills!C31=1,60+Inputs!$B$25+Inputs!$B$29,IF(Skills!C31=2,90+Inputs!$B$26+Inputs!$B$29,IF(Skills!C31=3,120+Inputs!$B$27+Inputs!$B$29,MAX(0,(Inputs!$B$3-100)*3)+Inputs!$B$28+Inputs!$B$29)))</f>
        <v/>
      </c>
      <c r="E2549">
        <f>INDEX(FactorTable!$B$2:$Y$301, MATCH(ROUND(MIN(300,MAX(1,D2549)),0), FactorTable!$A$2:$A$301,0), Skills!M31+1)</f>
        <v/>
      </c>
      <c r="F2549">
        <f>IF(Skills!N31=TRUE,(Skills!L31/10)*(E2549/1000),Skills!L31/10)+Skills!O31</f>
        <v/>
      </c>
      <c r="G2549">
        <f>Skills!G31*IF(Skills!H31&gt;0,IF(Inputs!$B$39="pvp",MIN(Skills!I31,15),Skills!I31)/Skills!H31,1)</f>
        <v/>
      </c>
      <c r="H2549">
        <f>1-(1-Skills!J31/100)^Skills!K31</f>
        <v/>
      </c>
      <c r="I2549" t="inlineStr">
        <is>
          <t>1</t>
        </is>
      </c>
      <c r="J2549" t="inlineStr"/>
      <c r="K2549" t="inlineStr"/>
      <c r="L2549" t="inlineStr"/>
      <c r="M2549" t="inlineStr"/>
      <c r="N2549" t="inlineStr"/>
      <c r="O2549">
        <f>(1-Summary!$B$11)*T2549+Summary!$B$11*V2549</f>
        <v/>
      </c>
      <c r="P2549">
        <f>IF(B2564=0,0,O2549/B2564)</f>
        <v/>
      </c>
      <c r="Q2549" t="n">
        <v>0</v>
      </c>
      <c r="R2549" t="n">
        <v>0</v>
      </c>
      <c r="S2549">
        <f>IFERROR(O2549/N2549,0)</f>
        <v/>
      </c>
      <c r="T2549" t="n">
        <v>0</v>
      </c>
      <c r="V2549" t="n">
        <v>0</v>
      </c>
    </row>
    <row r="2551">
      <c r="A2551" t="inlineStr">
        <is>
          <t>Average Buff Multiplier</t>
        </is>
      </c>
      <c r="B2551">
        <f>(1+(((C2540=TRUE)*F2540*IF(AND(Inputs!$B$39&lt;&gt;"pvp",Inputs!$B$44&gt;0),(((R2540-1)*MIN((Skills!Y22*(1+Inputs!$B$34/100)),(1/Q2540))+MIN((Skills!Y22*(1+Inputs!$B$34/100)),MAX(0,Inputs!$B$44-((R2540-1)*(1/Q2540)))))/Inputs!$B$44),IF(Inputs!$B$39="pvp",MIN((Skills!Y22*(1+Inputs!$B$34/100)),15)/15,MIN(1,(Skills!Y22*(1+Inputs!$B$34/100))/(1/Q2540)))))+((C2521=TRUE)*F2521*3)+((C2523=TRUE)*F2523*(1-EXP(-0.75*B2556*5)))+((C2542=TRUE)*(F2542-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2529=TRUE)*F2529*IF(AND(Inputs!$B$39&lt;&gt;"pvp",Inputs!$B$44&gt;0),(((R2529-1)*MIN((Skills!Y11*(1+Inputs!$B$34/100)),(1/Q2529))+MIN((Skills!Y11*(1+Inputs!$B$34/100)),MAX(0,Inputs!$B$44-((R2529-1)*(1/Q2529)))))/Inputs!$B$44),IF(Inputs!$B$39="pvp",MIN((Skills!Y11*(1+Inputs!$B$34/100)),15)/15,MIN(1,(Skills!Y11*(1+Inputs!$B$34/100))/(1/Q2529)))))/100)*(1+((C2534=TRUE)*F2534*IF(AND(Inputs!$B$39&lt;&gt;"pvp",Inputs!$B$44&gt;0),(((R2534-1)*MIN((Skills!Y16*(1+Inputs!$B$34/100)),(1/Q2534))+MIN((Skills!Y16*(1+Inputs!$B$34/100)),MAX(0,Inputs!$B$44-((R2534-1)*(1/Q2534)))))/Inputs!$B$44),IF(Inputs!$B$39="pvp",MIN((Skills!Y16*(1+Inputs!$B$34/100)),15)/15,MIN(1,(Skills!Y16*(1+Inputs!$B$34/100))/(1/Q2534)))))/100)</f>
        <v/>
      </c>
    </row>
    <row r="2552">
      <c r="A2552" t="inlineStr">
        <is>
          <t>Global Crit Rate Bonus %</t>
        </is>
      </c>
      <c r="B2552">
        <f>((C2539=TRUE)*F2539*IF(AND(Inputs!$B$39&lt;&gt;"pvp",Inputs!$B$44&gt;0),(((R2539-1)*MIN((Skills!Y21*(1+Inputs!$B$34/100)),(1/Q2539))+MIN((Skills!Y21*(1+Inputs!$B$34/100)),MAX(0,Inputs!$B$44-((R2539-1)*(1/Q2539)))))/Inputs!$B$44),IF(Inputs!$B$39="pvp",MIN((Skills!Y21*(1+Inputs!$B$34/100)),15)/15,MIN(1,(Skills!Y21*(1+Inputs!$B$34/100))/(1/Q2539)))))</f>
        <v/>
      </c>
    </row>
    <row r="2553">
      <c r="A2553" t="inlineStr">
        <is>
          <t>Global Monster Damage-Taken Bonus %</t>
        </is>
      </c>
      <c r="B2553">
        <f>IF(Inputs!$B$3&gt;=82,15,0)</f>
        <v/>
      </c>
    </row>
    <row r="2554">
      <c r="A2554" t="inlineStr">
        <is>
          <t>Shadow Partner Average Multiplier</t>
        </is>
      </c>
      <c r="B2554">
        <f>1+((C2526=TRUE)*F2526*(1+3.3333333333333335*IF(C2537=TRUE,F2537,0)/100)*I2526*Skills!J8/100)/100</f>
        <v/>
      </c>
    </row>
    <row r="2555">
      <c r="A2555" t="inlineStr">
        <is>
          <t>Attack Speed Buff Bonus %</t>
        </is>
      </c>
      <c r="B2555">
        <f>((C2538=TRUE)*F2538*IF(AND(Inputs!$B$39&lt;&gt;"pvp",Inputs!$B$44&gt;0),(((R2538-1)*MIN((Skills!Y20*(1+Inputs!$B$34/100)),(1/Q2538))+MIN((Skills!Y20*(1+Inputs!$B$34/100)),MAX(0,Inputs!$B$44-((R2538-1)*(1/Q2538)))))/Inputs!$B$44),IF(Inputs!$B$39="pvp",MIN((Skills!Y20*(1+Inputs!$B$34/100)),15)/15,MIN(1,(Skills!Y20*(1+Inputs!$B$34/100))/(1/Q2538)))))</f>
        <v/>
      </c>
    </row>
    <row r="2556">
      <c r="A2556" t="inlineStr">
        <is>
          <t>Actions Per Second</t>
        </is>
      </c>
      <c r="B2556">
        <f>1+MIN(150,150*(1-(1-(Inputs!$B$11+((C2541=TRUE)*(F2541-Calc!F23)))/150)*(1-B2555/150)))/100</f>
        <v/>
      </c>
    </row>
    <row r="2557">
      <c r="A2557" t="inlineStr">
        <is>
          <t>Skill + Buff Cast Rate</t>
        </is>
      </c>
      <c r="B2557">
        <f>IF(AND(Inputs!$B$39&lt;&gt;"pvp",Inputs!$B$44&gt;0),SUMPRODUCT((Skills!E2:E31=TRUE)*(C2520:C2549=TRUE)*R2520:R2549*Skills!F2:F31)/Inputs!$B$44,SUMPRODUCT((Skills!E2:E31=TRUE)*(C2520:C2549=TRUE)*Q2520:Q2549*Skills!F2:F31))</f>
        <v/>
      </c>
    </row>
    <row r="2558">
      <c r="A2558" t="inlineStr">
        <is>
          <t>Cruel Stab Casts Per Second</t>
        </is>
      </c>
      <c r="B2558">
        <f>MAX(0,B2556-B2557)</f>
        <v/>
      </c>
    </row>
    <row r="2559">
      <c r="A2559" t="inlineStr">
        <is>
          <t>Global Critical Damage Bonus % (Smokescreen Mastery Lv.113)</t>
        </is>
      </c>
      <c r="B2559">
        <f>IF(Inputs!$B$3&gt;=113,30,0)*IF(AND(Inputs!$B$39&lt;&gt;"pvp",Inputs!$B$44&gt;0),(((R2534-1)*MIN((Skills!Y16*(1+Inputs!$B$34/100)),(1/Q2534))+MIN((Skills!Y16*(1+Inputs!$B$34/100)),MAX(0,Inputs!$B$44-((R2534-1)*(1/Q2534)))))/Inputs!$B$44),IF(Inputs!$B$39="pvp",MIN((Skills!Y16*(1+Inputs!$B$34/100)),15)/15,MIN(1,(Skills!Y16*(1+Inputs!$B$34/100))/(1/Q2534))))</f>
        <v/>
      </c>
    </row>
    <row r="2560">
      <c r="A2560" t="inlineStr">
        <is>
          <t>Meso Explosion average stack count</t>
        </is>
      </c>
      <c r="B2560">
        <f>MIN(10,IF(Inputs!$B$3&gt;=75,0.75,0.5)*B2556*(1/Q2522))</f>
        <v/>
      </c>
    </row>
    <row r="2561">
      <c r="A2561" t="inlineStr">
        <is>
          <t>Blood Money average stack count</t>
        </is>
      </c>
      <c r="B2561">
        <f>MIN(5,0.5*IF(Inputs!$B$3&gt;=75,0.75,0.5)*B2556*(1/Q2522))</f>
        <v/>
      </c>
    </row>
    <row r="2562">
      <c r="A2562" t="inlineStr">
        <is>
          <t>Assassinate Murderous Intent Multiplier</t>
        </is>
      </c>
      <c r="B2562">
        <f>1+IFERROR(MIN(1,Q2533*2/Q2530),0)</f>
        <v/>
      </c>
    </row>
    <row r="2563">
      <c r="A2563" t="inlineStr">
        <is>
          <t>Buff-Casting Startup Delay (s, fixed-duration only)</t>
        </is>
      </c>
      <c r="B2563">
        <f>IF(AND(Inputs!$B$39&lt;&gt;"pvp",Inputs!$B$44&gt;0),SUMPRODUCT((Skills!Y2:Y31&gt;0)*(Skills!E2:E31=TRUE)*(C2520:C2549=TRUE))/B2556,0)</f>
        <v/>
      </c>
    </row>
    <row r="2564">
      <c r="A2564" s="6" t="inlineStr">
        <is>
          <t>TOTAL DPS</t>
        </is>
      </c>
      <c r="B2564" s="6">
        <f>SUM(O2520:O2549)</f>
        <v/>
      </c>
    </row>
    <row r="2565">
      <c r="A2565" t="inlineStr">
        <is>
          <t>Boss-Only Total DPS (this block's swept value)</t>
        </is>
      </c>
      <c r="B2565">
        <f>SUM(T2520:T2549)</f>
        <v/>
      </c>
    </row>
    <row r="2566">
      <c r="A2566" t="inlineStr">
        <is>
          <t>Normal-Only Total DPS (this block's swept value)</t>
        </is>
      </c>
      <c r="B2566">
        <f>SUM(V2520:V2549)</f>
        <v/>
      </c>
    </row>
    <row r="2569">
      <c r="A2569" s="6" t="inlineStr">
        <is>
          <t>Stat: Soul Pouch (Equip)</t>
        </is>
      </c>
    </row>
    <row r="2570">
      <c r="A2570" s="5" t="inlineStr">
        <is>
          <t>Key</t>
        </is>
      </c>
      <c r="B2570" s="5" t="inlineStr">
        <is>
          <t>Name</t>
        </is>
      </c>
      <c r="C2570" s="5" t="inlineStr">
        <is>
          <t>Unlocked</t>
        </is>
      </c>
      <c r="D2570" s="5" t="inlineStr">
        <is>
          <t>InputLevel</t>
        </is>
      </c>
      <c r="E2570" s="5" t="inlineStr">
        <is>
          <t>Factor</t>
        </is>
      </c>
      <c r="F2570" s="5" t="inlineStr">
        <is>
          <t>CoefficientPercent</t>
        </is>
      </c>
      <c r="G2570" s="5" t="inlineStr">
        <is>
          <t>EffectiveHits</t>
        </is>
      </c>
      <c r="H2570" s="5" t="inlineStr">
        <is>
          <t>ProcProbability</t>
        </is>
      </c>
      <c r="I2570" s="5" t="inlineStr">
        <is>
          <t>MapleHeroMultiplier</t>
        </is>
      </c>
      <c r="J2570" s="5" t="inlineStr">
        <is>
          <t>BaseDamage</t>
        </is>
      </c>
      <c r="K2570" s="5" t="inlineStr">
        <is>
          <t>BaseHitDamage</t>
        </is>
      </c>
      <c r="L2570" s="5" t="inlineStr">
        <is>
          <t>NonCritAvg</t>
        </is>
      </c>
      <c r="M2570" s="5" t="inlineStr">
        <is>
          <t>CritAvg</t>
        </is>
      </c>
      <c r="N2570" s="5" t="inlineStr">
        <is>
          <t>ExpectedDamage(perHit)</t>
        </is>
      </c>
      <c r="O2570" s="5" t="inlineStr">
        <is>
          <t>DPS</t>
        </is>
      </c>
      <c r="P2570" s="5" t="inlineStr">
        <is>
          <t>% of Total</t>
        </is>
      </c>
      <c r="Q2570" s="5" t="inlineStr">
        <is>
          <t>InvCooldown</t>
        </is>
      </c>
      <c r="R2570" s="5" t="inlineStr">
        <is>
          <t>CastsInFight</t>
        </is>
      </c>
      <c r="S2570" s="5" t="inlineStr">
        <is>
          <t>HitRate(perSec)</t>
        </is>
      </c>
      <c r="U2570" t="inlineStr">
        <is>
          <t>helpers</t>
        </is>
      </c>
    </row>
    <row r="2571">
      <c r="A2571">
        <f>Skills!A2</f>
        <v/>
      </c>
      <c r="B2571">
        <f>Skills!B2</f>
        <v/>
      </c>
      <c r="C2571">
        <f>Inputs!$B$3&gt;=100</f>
        <v/>
      </c>
      <c r="D2571" t="inlineStr"/>
      <c r="E2571" t="inlineStr"/>
      <c r="F2571">
        <f>U2573+Skills!O2</f>
        <v/>
      </c>
      <c r="G2571">
        <f>Skills!G2*IF(Skills!H2&gt;0,IF(Inputs!$B$39="pvp",MIN(Skills!I2,15),Skills!I2)/Skills!H2,1)</f>
        <v/>
      </c>
      <c r="H2571">
        <f>1-(1-Skills!J2/100)^Skills!K2</f>
        <v/>
      </c>
      <c r="I2571" t="inlineStr">
        <is>
          <t>1</t>
        </is>
      </c>
      <c r="J2571">
        <f>((Inputs!$B$6*(1+Inputs!$B$7/100))+(((Inputs!$B$12*(1+Inputs!$B$13/100))-(Inputs!$B$12*(1+Inputs!$B$13/100)))+0.25*(Inputs!$B$14-Inputs!$B$14))*(1+Inputs!$B$7/100))*(F2571/100)</f>
        <v/>
      </c>
      <c r="K2571">
        <f>J2571*(1+((Inputs!$B$12*(1+Inputs!$B$13/100))*0.01+Inputs!$B$14*0.0025)/100)*(1+Inputs!$B$15/100)*(1+Inputs!$B$16/100)*(5000/(6000+Inputs!$B$43*(1-(100*(1-(1-Inputs!$B$19/100)*(1-CHOOSE(ArtifactsInput!$N$40+1,5,6,7,8,9,10)/100)^(ArtifactsInput!$M$40-ArtifactsInput!$M$40)))/100)))*(1+(Inputs!$B$24+((C2600=TRUE)*(F2600-Calc!F31))+((C2587=TRUE)*(F2587-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IF(ArtifactsInput!$M$29,FALSE,TRUE)-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CRUEL_STAB",Inputs!$B$17+((C2597=TRUE)*(F2597-Calc!F28))+((IF(AND(Inputs!$B$39&lt;&gt;"pvp",Inputs!$B$44=0),1,IF(IF(Inputs!$B$39="pvp",15,Inputs!$B$44)-(B2614)&lt;=0,1,MAX(0,IF(Inputs!$B$39="pvp",15,Inputs!$B$44)-MAX(5,B2614))/(IF(Inputs!$B$39="pvp",15,Inputs!$B$44)-(B2614))))*(IF(AND(ArtifactsInput!$M$42,((Inputs!$B$9+((C2595=TRUE)*(F2595-Calc!F26))+B2603+(ArtifactsInput!$M$24-ArtifactsInput!$M$24)*CHOOSE(ArtifactsInput!$N$24+1,10,12,14,16,18,20)+IF(ArtifactsInput!$M$10,CHOOSE(ArtifactsInput!$N$10+1,15,18,21,24,27,30)*(IF(Inputs!$B$39="pvp",MIN(15,15)/15,IF(AND(Inputs!$B$39&lt;&gt;"pvp",Inputs!$B$44&gt;0),MIN(15,Inputs!$B$44)/(Inputs!$B$44),0))),0)))&gt;=100),MIN(100,((Inputs!$B$9+((C2595=TRUE)*(F2595-Calc!F26))+B2603+(ArtifactsInput!$M$24-ArtifactsInput!$M$24)*CHOOSE(ArtifactsInput!$N$24+1,10,12,14,16,18,20)+IF(ArtifactsInput!$M$10,CHOOSE(ArtifactsInput!$N$10+1,15,18,21,24,27,30)*(IF(Inputs!$B$39="pvp",MIN(15,15)/15,IF(AND(Inputs!$B$39&lt;&gt;"pvp",Inputs!$B$44&gt;0),MIN(15,Inputs!$B$44)/(Inputs!$B$44),0))),0)))-100),0))*CHOOSE(ArtifactsInput!$N$42+1,0.6,0.72,0.84,0.96,1.08,1.2))),Inputs!$B$18+((C2598=TRUE)*(F2598-Calc!F29))+(IF(AND(Inputs!$B$39&lt;&gt;"pvp",Inputs!$B$44=0),1,IF(IF(Inputs!$B$39="pvp",15,Inputs!$B$44)-(B2614)&lt;=0,1,MAX(0,IF(Inputs!$B$39="pvp",15,Inputs!$B$44)-MAX(5,B2614))/(IF(Inputs!$B$39="pvp",15,Inputs!$B$44)-(B2614))))*IF(AND(ArtifactsInput!$M$42,((Inputs!$B$9+((C2595=TRUE)*(F2595-Calc!F26))+B2603+(ArtifactsInput!$M$24-ArtifactsInput!$M$24)*CHOOSE(ArtifactsInput!$N$24+1,10,12,14,16,18,20)+IF(ArtifactsInput!$M$10,CHOOSE(ArtifactsInput!$N$10+1,15,18,21,24,27,30)*(IF(Inputs!$B$39="pvp",MIN(15,15)/15,IF(AND(Inputs!$B$39&lt;&gt;"pvp",Inputs!$B$44&gt;0),MIN(15,Inputs!$B$44)/(Inputs!$B$44),0))),0)))&gt;=100),CHOOSE(ArtifactsInput!$N$42+1,40,48,56,64,72,80),0))))/100)*(((1+(((C2591=TRUE)*F2591*IF(AND(Inputs!$B$39&lt;&gt;"pvp",Inputs!$B$44&gt;0),(((R2591-1)*MIN((Skills!Y22*(1+Inputs!$B$34/100)),(1/Q2591))+MIN((Skills!Y22*(1+Inputs!$B$34/100)),MAX(0,Inputs!$B$44-((R2591-1)*(1/Q2591)))))/Inputs!$B$44),IF(Inputs!$B$39="pvp",MIN((Skills!Y22*(1+Inputs!$B$34/100)),15)/15,MIN(1,(Skills!Y22*(1+Inputs!$B$34/100))/(1/Q2591)))))+((C2572=TRUE)*F2572*3)+((C2574=TRUE)*F2574*(1-EXP(-0.75*B2607*5)))+((C2593=TRUE)*(F2593-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2580=TRUE)*F2580*IF(AND(Inputs!$B$39&lt;&gt;"pvp",Inputs!$B$44&gt;0),(((R2580-1)*MIN((Skills!Y11*(1+Inputs!$B$34/100)),(1/Q2580))+MIN((Skills!Y11*(1+Inputs!$B$34/100)),MAX(0,Inputs!$B$44-((R2580-1)*(1/Q2580)))))/Inputs!$B$44),IF(Inputs!$B$39="pvp",MIN((Skills!Y11*(1+Inputs!$B$34/100)),15)/15,MIN(1,(Skills!Y11*(1+Inputs!$B$34/100))/(1/Q2580)))))/100)*(1+((C2585=TRUE)*F2585*IF(AND(Inputs!$B$39&lt;&gt;"pvp",Inputs!$B$44&gt;0),(((R2585-1)*MIN((Skills!Y16*(1+Inputs!$B$34/100)),(1/Q2585))+MIN((Skills!Y16*(1+Inputs!$B$34/100)),MAX(0,Inputs!$B$44-((R2585-1)*(1/Q2585)))))/Inputs!$B$44),IF(Inputs!$B$39="pvp",MIN((Skills!Y16*(1+Inputs!$B$34/100)),15)/15,MIN(1,(Skills!Y16*(1+Inputs!$B$34/100))/(1/Q2585)))))/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2605*I2571)</f>
        <v/>
      </c>
      <c r="L2571">
        <f>K2571*(MIN(Inputs!$B$22+((C2594=TRUE)*(F2594-Calc!F25)),(Inputs!$B$23+((C2599=TRUE)*(F2599-Calc!F30))+IF(ArtifactsInput!$M$15,CHOOSE(ArtifactsInput!$N$15+1,25,30,35,40,45,50)/100*(Inputs!$B$11-Inputs!$B$11),0)))/100+(Inputs!$B$23+((C2599=TRUE)*(F2599-Calc!F30))+IF(ArtifactsInput!$M$15,CHOOSE(ArtifactsInput!$N$15+1,25,30,35,40,45,50)/100*(Inputs!$B$11-Inputs!$B$11),0))/100)/2</f>
        <v/>
      </c>
      <c r="M2571">
        <f>L2571*(1+(Inputs!$B$10+((C2596=TRUE)*(F2596-Calc!F27))+B2610+(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2571">
        <f>L2571*(1-MIN((Inputs!$B$9+((C2595=TRUE)*(F2595-Calc!F26))+B2603+(ArtifactsInput!$M$24-ArtifactsInput!$M$24)*CHOOSE(ArtifactsInput!$N$24+1,10,12,14,16,18,20)+(IF(AND(Inputs!$B$39&lt;&gt;"pvp",Inputs!$B$44=0),1,IF(IF(Inputs!$B$39="pvp",15,Inputs!$B$44)-(B2614)&lt;=0,1,MAX(0,IF(Inputs!$B$39="pvp",15,Inputs!$B$44)-MAX(5,B2614))/(IF(Inputs!$B$39="pvp",15,Inputs!$B$44)-(B2614))))*IF(AND(ArtifactsInput!$M$42,((Inputs!$B$9+((C2595=TRUE)*(F2595-Calc!F26))+B2603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2571*(MIN((Inputs!$B$9+((C2595=TRUE)*(F2595-Calc!F26))+B2603+(ArtifactsInput!$M$24-ArtifactsInput!$M$24)*CHOOSE(ArtifactsInput!$N$24+1,10,12,14,16,18,20)+(IF(AND(Inputs!$B$39&lt;&gt;"pvp",Inputs!$B$44=0),1,IF(IF(Inputs!$B$39="pvp",15,Inputs!$B$44)-(B2614)&lt;=0,1,MAX(0,IF(Inputs!$B$39="pvp",15,Inputs!$B$44)-MAX(5,B2614))/(IF(Inputs!$B$39="pvp",15,Inputs!$B$44)-(B2614))))*IF(AND(ArtifactsInput!$M$42,((Inputs!$B$9+((C2595=TRUE)*(F2595-Calc!F26))+B2603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571">
        <f>(1-Summary!$B$11)*T2571+Summary!$B$11*V2571</f>
        <v/>
      </c>
      <c r="P2571">
        <f>IF(B2615=0,0,O2571/B2615)</f>
        <v/>
      </c>
      <c r="Q2571" t="n">
        <v>0</v>
      </c>
      <c r="R2571" t="n">
        <v>0</v>
      </c>
      <c r="S2571">
        <f>IFERROR(O2571/N2571,0)</f>
        <v/>
      </c>
      <c r="T2571">
        <f>IF(C2571,(Skills!G2*N2571*B2609)*IF(Inputs!$B$39="pvp",1,1+(Inputs!$B$20+0+Skills!P2+B2604+(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Hunt"),CHOOSE(ArtifactsInput!$N$35+1,15,18,21,24,27,30)*(1-EXP(-(0.2*B2607)*5)),0)+IF(AND(ArtifactsInput!$M$22,Inputs!$B$4&lt;&gt;"Chapter Hunt"),CHOOSE(ArtifactsInput!$N$22+1,10,12,14,16,18,20)*((0*(((0.15*B2607*5))^0/1)+1*(((0.15*B2607*5))^1/1)+2*(((0.15*B2607*5))^2/2)+3*(((0.15*B2607*5))^3/6)+4*(((0.15*B2607*5))^4/24)+5*(((0.15*B2607*5))^5/120))/((((0.15*B2607*5))^0/1)+(((0.15*B2607*5))^1/1)+(((0.15*B2607*5))^2/2)+(((0.15*B2607*5))^3/6)+(((0.15*B2607*5))^4/24)+(((0.15*B2607*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2571*(1-MIN(100,(Inputs!$B$9+((C2595=TRUE)*(F2595-Calc!F26))+B2603+(ArtifactsInput!$M$24-ArtifactsInput!$M$24)*CHOOSE(ArtifactsInput!$N$24+1,10,12,14,16,18,20)+(IF(AND(Inputs!$B$39&lt;&gt;"pvp",Inputs!$B$44=0),1,IF(IF(Inputs!$B$39="pvp",15,Inputs!$B$44)-(B2614)&lt;=0,1,MAX(0,IF(Inputs!$B$39="pvp",15,Inputs!$B$44)-MAX(5,B2614))/(IF(Inputs!$B$39="pvp",15,Inputs!$B$44)-(B2614))))*IF(AND(ArtifactsInput!$M$42,((Inputs!$B$9+((C2595=TRUE)*(F2595-Calc!F26))+B2603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2571*(MIN(100,(Inputs!$B$9+((C2595=TRUE)*(F2595-Calc!F26))+B2603+(ArtifactsInput!$M$24-ArtifactsInput!$M$24)*CHOOSE(ArtifactsInput!$N$24+1,10,12,14,16,18,20)+(IF(AND(Inputs!$B$39&lt;&gt;"pvp",Inputs!$B$44=0),1,IF(IF(Inputs!$B$39="pvp",15,Inputs!$B$44)-(B2614)&lt;=0,1,MAX(0,IF(Inputs!$B$39="pvp",15,Inputs!$B$44)-MAX(5,B2614))/(IF(Inputs!$B$39="pvp",15,Inputs!$B$44)-(B2614))))*IF(AND(ArtifactsInput!$M$42,((Inputs!$B$9+((C2595=TRUE)*(F2595-Calc!F26))+B2603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2571*(1-MIN(100,(Inputs!$B$9+((C2595=TRUE)*(F2595-Calc!F26))+B2603+(ArtifactsInput!$M$24-ArtifactsInput!$M$24)*CHOOSE(ArtifactsInput!$N$24+1,10,12,14,16,18,20)+(IF(AND(Inputs!$B$39&lt;&gt;"pvp",Inputs!$B$44=0),1,IF(IF(Inputs!$B$39="pvp",15,Inputs!$B$44)-(B2614)&lt;=0,1,MAX(0,IF(Inputs!$B$39="pvp",15,Inputs!$B$44)-MAX(5,B2614))/(IF(Inputs!$B$39="pvp",15,Inputs!$B$44)-(B2614))))*IF(AND(ArtifactsInput!$M$42,((Inputs!$B$9+((C2595=TRUE)*(F2595-Calc!F26))+B2603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2571*(MIN(100,(Inputs!$B$9+((C2595=TRUE)*(F2595-Calc!F26))+B2603+(ArtifactsInput!$M$24-ArtifactsInput!$M$24)*CHOOSE(ArtifactsInput!$N$24+1,10,12,14,16,18,20)+(IF(AND(Inputs!$B$39&lt;&gt;"pvp",Inputs!$B$44=0),1,IF(IF(Inputs!$B$39="pvp",15,Inputs!$B$44)-(B2614)&lt;=0,1,MAX(0,IF(Inputs!$B$39="pvp",15,Inputs!$B$44)-MAX(5,B2614))/(IF(Inputs!$B$39="pvp",15,Inputs!$B$44)-(B2614))))*IF(AND(ArtifactsInput!$M$42,((Inputs!$B$9+((C2595=TRUE)*(F2595-Calc!F26))+B2603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2571">
        <f>MAX(0,(Inputs!$B$3-100)*3)+Inputs!$B$28+Inputs!$B$29</f>
        <v/>
      </c>
      <c r="V2571">
        <f>IF(C2571,(Skills!G2*N2571*B2609)*IF(Inputs!$B$39="pvp",1,(1+(Inputs!$B$21+Skills!Q2+B2604+(IF(ArtifactsInput!$M$33,CHOOSE(ArtifactsInput!$N$33+1,30,36,42,48,54,60),0))+(IF(AND(ArtifactsInput!$M$35,Inputs!$B$4&lt;&gt;"Chapter Hunt"),CHOOSE(ArtifactsInput!$N$35+1,15,18,21,24,27,30)*(1-EXP(-(0.2*B2607)*5)),0)+IF(AND(ArtifactsInput!$M$22,Inputs!$B$4&lt;&gt;"Chapter Hunt"),CHOOSE(ArtifactsInput!$N$22+1,10,12,14,16,18,20)*((0*(((0.15*B2607*5))^0/1)+1*(((0.15*B2607*5))^1/1)+2*(((0.15*B2607*5))^2/2)+3*(((0.15*B2607*5))^3/6)+4*(((0.15*B2607*5))^4/24)+5*(((0.15*B2607*5))^5/120))/((((0.15*B2607*5))^0/1)+(((0.15*B2607*5))^1/1)+(((0.15*B2607*5))^2/2)+(((0.15*B2607*5))^3/6)+(((0.15*B2607*5))^4/24)+(((0.15*B2607*5))^5/120))),0)))/100)*(MIN((6+Inputs!$B$33),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572">
      <c r="A2572">
        <f>Skills!A3</f>
        <v/>
      </c>
      <c r="B2572">
        <f>Skills!B3</f>
        <v/>
      </c>
      <c r="C2572">
        <f>Inputs!$B$3&gt;=35</f>
        <v/>
      </c>
      <c r="D2572">
        <f>IF(Skills!C3=1,60+Inputs!$B$25+Inputs!$B$29,IF(Skills!C3=2,90+Inputs!$B$26+Inputs!$B$29,IF(Skills!C3=3,120+Inputs!$B$27+Inputs!$B$29,MAX(0,(Inputs!$B$3-100)*3)+Inputs!$B$28+Inputs!$B$29)))</f>
        <v/>
      </c>
      <c r="E2572">
        <f>INDEX(FactorTable!$B$2:$Y$301, MATCH(ROUND(MIN(300,MAX(1,D2572)),0), FactorTable!$A$2:$A$301,0), Skills!M3+1)</f>
        <v/>
      </c>
      <c r="F2572">
        <f>IF(Skills!N3=TRUE,(Skills!L3/10)*(E2572/1000),Skills!L3/10)+Skills!O3</f>
        <v/>
      </c>
      <c r="G2572">
        <f>Skills!G3*IF(Skills!H3&gt;0,IF(Inputs!$B$39="pvp",MIN(Skills!I3,15),Skills!I3)/Skills!H3,1)</f>
        <v/>
      </c>
      <c r="H2572">
        <f>1-(1-Skills!J3/100)^Skills!K3</f>
        <v/>
      </c>
      <c r="I2572" t="inlineStr">
        <is>
          <t>1</t>
        </is>
      </c>
      <c r="J2572" t="inlineStr"/>
      <c r="K2572" t="inlineStr"/>
      <c r="L2572" t="inlineStr"/>
      <c r="M2572" t="inlineStr"/>
      <c r="N2572" t="inlineStr"/>
      <c r="O2572">
        <f>(1-Summary!$B$11)*T2572+Summary!$B$11*V2572</f>
        <v/>
      </c>
      <c r="P2572">
        <f>IF(B2615=0,0,O2572/B2615)</f>
        <v/>
      </c>
      <c r="Q2572" t="n">
        <v>0</v>
      </c>
      <c r="R2572" t="n">
        <v>0</v>
      </c>
      <c r="S2572">
        <f>IFERROR(O2572/N2572,0)</f>
        <v/>
      </c>
      <c r="T2572" t="n">
        <v>0</v>
      </c>
      <c r="U2572">
        <f>INDEX(FactorTable!$B$2:$Y$301, MATCH(ROUND(MIN(300,MAX(1,U2571)),0), FactorTable!$A$2:$A$301,0), 22)</f>
        <v/>
      </c>
      <c r="V2572" t="n">
        <v>0</v>
      </c>
    </row>
    <row r="2573">
      <c r="A2573">
        <f>Skills!A4</f>
        <v/>
      </c>
      <c r="B2573">
        <f>Skills!B4</f>
        <v/>
      </c>
      <c r="C2573">
        <f>Inputs!$B$3&gt;=66</f>
        <v/>
      </c>
      <c r="D2573">
        <f>IF(Skills!C4=1,60+Inputs!$B$25+Inputs!$B$29,IF(Skills!C4=2,90+Inputs!$B$26+Inputs!$B$29,IF(Skills!C4=3,120+Inputs!$B$27+Inputs!$B$29,MAX(0,(Inputs!$B$3-100)*3)+Inputs!$B$28+Inputs!$B$29)))</f>
        <v/>
      </c>
      <c r="E2573">
        <f>INDEX(FactorTable!$B$2:$Y$301, MATCH(ROUND(MIN(300,MAX(1,D2573)),0), FactorTable!$A$2:$A$301,0), Skills!M4+1)</f>
        <v/>
      </c>
      <c r="F2573">
        <f>IF(Skills!N4=TRUE,(Skills!L4/10)*(E2573/1000),Skills!L4/10)+Skills!O4</f>
        <v/>
      </c>
      <c r="G2573">
        <f>Skills!G4*IF(Skills!H4&gt;0,IF(Inputs!$B$39="pvp",MIN(Skills!I4,15),Skills!I4)/Skills!H4,1)</f>
        <v/>
      </c>
      <c r="H2573">
        <f>1-(1-Skills!J4/100)^Skills!K4</f>
        <v/>
      </c>
      <c r="I2573" t="inlineStr">
        <is>
          <t>1</t>
        </is>
      </c>
      <c r="J2573">
        <f>((Inputs!$B$6*(1+Inputs!$B$7/100))+(((Inputs!$B$12*(1+Inputs!$B$13/100))-(Inputs!$B$12*(1+Inputs!$B$13/100)))+0.25*(Inputs!$B$14-Inputs!$B$14))*(1+Inputs!$B$7/100))*(F2573/100)</f>
        <v/>
      </c>
      <c r="K2573">
        <f>J2573*(1+((Inputs!$B$12*(1+Inputs!$B$13/100))*0.01+Inputs!$B$14*0.0025)/100)*(1+Inputs!$B$15/100)*(1+Inputs!$B$16/100)*(5000/(6000+Inputs!$B$43*(1-(100*(1-(1-Inputs!$B$19/100)*(1-CHOOSE(ArtifactsInput!$N$40+1,5,6,7,8,9,10)/100)^(ArtifactsInput!$M$40-ArtifactsInput!$M$40)))/100)))*(1+(Inputs!$B$24+((C2600=TRUE)*(F2600-Calc!F31))+((C2587=TRUE)*(F2587-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IF(ArtifactsInput!$M$29,FALSE,TRUE)-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4="CRUEL_STAB",Inputs!$B$17+((C2597=TRUE)*(F2597-Calc!F28))+((IF(AND(Inputs!$B$39&lt;&gt;"pvp",Inputs!$B$44=0),1,IF(IF(Inputs!$B$39="pvp",15,Inputs!$B$44)-(B2614)&lt;=0,1,MAX(0,IF(Inputs!$B$39="pvp",15,Inputs!$B$44)-MAX(5,B2614))/(IF(Inputs!$B$39="pvp",15,Inputs!$B$44)-(B2614))))*(IF(AND(ArtifactsInput!$M$42,((Inputs!$B$9+((C2595=TRUE)*(F2595-Calc!F26))+B2603+(ArtifactsInput!$M$24-ArtifactsInput!$M$24)*CHOOSE(ArtifactsInput!$N$24+1,10,12,14,16,18,20)+IF(ArtifactsInput!$M$10,CHOOSE(ArtifactsInput!$N$10+1,15,18,21,24,27,30)*(IF(Inputs!$B$39="pvp",MIN(15,15)/15,IF(AND(Inputs!$B$39&lt;&gt;"pvp",Inputs!$B$44&gt;0),MIN(15,Inputs!$B$44)/(Inputs!$B$44),0))),0)))&gt;=100),MIN(100,((Inputs!$B$9+((C2595=TRUE)*(F2595-Calc!F26))+B2603+(ArtifactsInput!$M$24-ArtifactsInput!$M$24)*CHOOSE(ArtifactsInput!$N$24+1,10,12,14,16,18,20)+IF(ArtifactsInput!$M$10,CHOOSE(ArtifactsInput!$N$10+1,15,18,21,24,27,30)*(IF(Inputs!$B$39="pvp",MIN(15,15)/15,IF(AND(Inputs!$B$39&lt;&gt;"pvp",Inputs!$B$44&gt;0),MIN(15,Inputs!$B$44)/(Inputs!$B$44),0))),0)))-100),0))*CHOOSE(ArtifactsInput!$N$42+1,0.6,0.72,0.84,0.96,1.08,1.2))),Inputs!$B$18+((C2598=TRUE)*(F2598-Calc!F29))+(IF(AND(Inputs!$B$39&lt;&gt;"pvp",Inputs!$B$44=0),1,IF(IF(Inputs!$B$39="pvp",15,Inputs!$B$44)-(B2614)&lt;=0,1,MAX(0,IF(Inputs!$B$39="pvp",15,Inputs!$B$44)-MAX(5,B2614))/(IF(Inputs!$B$39="pvp",15,Inputs!$B$44)-(B2614))))*IF(AND(ArtifactsInput!$M$42,((Inputs!$B$9+((C2595=TRUE)*(F2595-Calc!F26))+B2603+(ArtifactsInput!$M$24-ArtifactsInput!$M$24)*CHOOSE(ArtifactsInput!$N$24+1,10,12,14,16,18,20)+IF(ArtifactsInput!$M$10,CHOOSE(ArtifactsInput!$N$10+1,15,18,21,24,27,30)*(IF(Inputs!$B$39="pvp",MIN(15,15)/15,IF(AND(Inputs!$B$39&lt;&gt;"pvp",Inputs!$B$44&gt;0),MIN(15,Inputs!$B$44)/(Inputs!$B$44),0))),0)))&gt;=100),CHOOSE(ArtifactsInput!$N$42+1,40,48,56,64,72,80),0))))/100)*(((1+(((C2591=TRUE)*F2591*IF(AND(Inputs!$B$39&lt;&gt;"pvp",Inputs!$B$44&gt;0),(((R2591-1)*MIN((Skills!Y22*(1+Inputs!$B$34/100)),(1/Q2591))+MIN((Skills!Y22*(1+Inputs!$B$34/100)),MAX(0,Inputs!$B$44-((R2591-1)*(1/Q2591)))))/Inputs!$B$44),IF(Inputs!$B$39="pvp",MIN((Skills!Y22*(1+Inputs!$B$34/100)),15)/15,MIN(1,(Skills!Y22*(1+Inputs!$B$34/100))/(1/Q2591)))))+((C2572=TRUE)*F2572*3)+((C2574=TRUE)*F2574*(1-EXP(-0.75*B2607*5)))+((C2593=TRUE)*(F2593-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2580=TRUE)*F2580*IF(AND(Inputs!$B$39&lt;&gt;"pvp",Inputs!$B$44&gt;0),(((R2580-1)*MIN((Skills!Y11*(1+Inputs!$B$34/100)),(1/Q2580))+MIN((Skills!Y11*(1+Inputs!$B$34/100)),MAX(0,Inputs!$B$44-((R2580-1)*(1/Q2580)))))/Inputs!$B$44),IF(Inputs!$B$39="pvp",MIN((Skills!Y11*(1+Inputs!$B$34/100)),15)/15,MIN(1,(Skills!Y11*(1+Inputs!$B$34/100))/(1/Q2580)))))/100)*(1+((C2585=TRUE)*F2585*IF(AND(Inputs!$B$39&lt;&gt;"pvp",Inputs!$B$44&gt;0),(((R2585-1)*MIN((Skills!Y16*(1+Inputs!$B$34/100)),(1/Q2585))+MIN((Skills!Y16*(1+Inputs!$B$34/100)),MAX(0,Inputs!$B$44-((R2585-1)*(1/Q2585)))))/Inputs!$B$44),IF(Inputs!$B$39="pvp",MIN((Skills!Y16*(1+Inputs!$B$34/100)),15)/15,MIN(1,(Skills!Y16*(1+Inputs!$B$34/100))/(1/Q2585)))))/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2605*I2573)</f>
        <v/>
      </c>
      <c r="L2573">
        <f>K2573*(MIN(Inputs!$B$22+((C2594=TRUE)*(F2594-Calc!F25)),(Inputs!$B$23+((C2599=TRUE)*(F2599-Calc!F30))+IF(ArtifactsInput!$M$15,CHOOSE(ArtifactsInput!$N$15+1,25,30,35,40,45,50)/100*(Inputs!$B$11-Inputs!$B$11),0)))/100+(Inputs!$B$23+((C2599=TRUE)*(F2599-Calc!F30))+IF(ArtifactsInput!$M$15,CHOOSE(ArtifactsInput!$N$15+1,25,30,35,40,45,50)/100*(Inputs!$B$11-Inputs!$B$11),0))/100)/2</f>
        <v/>
      </c>
      <c r="M2573">
        <f>L2573*(1+(Inputs!$B$10+((C2596=TRUE)*(F2596-Calc!F27))+B2610+(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2573">
        <f>L2573*(1-MIN((Inputs!$B$9+((C2595=TRUE)*(F2595-Calc!F26))+B2603+(ArtifactsInput!$M$24-ArtifactsInput!$M$24)*CHOOSE(ArtifactsInput!$N$24+1,10,12,14,16,18,20)+(IF(AND(Inputs!$B$39&lt;&gt;"pvp",Inputs!$B$44=0),1,IF(IF(Inputs!$B$39="pvp",15,Inputs!$B$44)-(B2614)&lt;=0,1,MAX(0,IF(Inputs!$B$39="pvp",15,Inputs!$B$44)-MAX(5,B2614))/(IF(Inputs!$B$39="pvp",15,Inputs!$B$44)-(B2614))))*IF(AND(ArtifactsInput!$M$42,((Inputs!$B$9+((C2595=TRUE)*(F2595-Calc!F26))+B2603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2573*(MIN((Inputs!$B$9+((C2595=TRUE)*(F2595-Calc!F26))+B2603+(ArtifactsInput!$M$24-ArtifactsInput!$M$24)*CHOOSE(ArtifactsInput!$N$24+1,10,12,14,16,18,20)+(IF(AND(Inputs!$B$39&lt;&gt;"pvp",Inputs!$B$44=0),1,IF(IF(Inputs!$B$39="pvp",15,Inputs!$B$44)-(B2614)&lt;=0,1,MAX(0,IF(Inputs!$B$39="pvp",15,Inputs!$B$44)-MAX(5,B2614))/(IF(Inputs!$B$39="pvp",15,Inputs!$B$44)-(B2614))))*IF(AND(ArtifactsInput!$M$42,((Inputs!$B$9+((C2595=TRUE)*(F2595-Calc!F26))+B2603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573">
        <f>(1-Summary!$B$11)*T2573+Summary!$B$11*V2573</f>
        <v/>
      </c>
      <c r="P2573">
        <f>IF(B2615=0,0,O2573/B2615)</f>
        <v/>
      </c>
      <c r="Q2573">
        <f>IFERROR(1/IF(Inputs!$B$39="pvp",15,MAX(0.1,Skills!D4-IF(TRUE=TRUE,Inputs!$B$32,0))),0)</f>
        <v/>
      </c>
      <c r="R2573">
        <f>IF(AND(Inputs!$B$39&lt;&gt;"pvp",Inputs!$B$44&gt;0),IF(MAX(0,Inputs!$B$44-B2614)&lt;=0,0,(INT(MAX(0,Inputs!$B$44-B2614)/IF(Inputs!$B$39="pvp",15,MAX(0.1,Skills!D4-IF(TRUE=TRUE,Inputs!$B$32,0))))+1)),0)</f>
        <v/>
      </c>
      <c r="S2573">
        <f>IFERROR(O2573/N2573,0)</f>
        <v/>
      </c>
      <c r="T2573">
        <f>IF(C2573,(H2573*N2573*IF(AND(Inputs!$B$39&lt;&gt;"pvp",Inputs!$B$44&gt;0),((Skills!G4*((R2573-1)*IF(Skills!H4&gt;0,Skills!I4/Skills!H4,1)+IF(Skills!H4&gt;0,MIN(Skills!I4,MAX(0,MAX(0,Inputs!$B$44-B2614)-((R2573-1)*IF(Inputs!$B$39="pvp",15,MAX(0.1,Skills!D4-IF(TRUE=TRUE,Inputs!$B$32,0))))))/Skills!H4,1)))/Inputs!$B$44),G2573*Q2573))*IF(Inputs!$B$39="pvp",1,1+(Inputs!$B$20+0+Skills!P4+B2604+(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Hunt"),CHOOSE(ArtifactsInput!$N$35+1,15,18,21,24,27,30)*(1-EXP(-(0.2*B2607)*5)),0)+IF(AND(ArtifactsInput!$M$22,Inputs!$B$4&lt;&gt;"Chapter Hunt"),CHOOSE(ArtifactsInput!$N$22+1,10,12,14,16,18,20)*((0*(((0.15*B2607*5))^0/1)+1*(((0.15*B2607*5))^1/1)+2*(((0.15*B2607*5))^2/2)+3*(((0.15*B2607*5))^3/6)+4*(((0.15*B2607*5))^4/24)+5*(((0.15*B2607*5))^5/120))/((((0.15*B2607*5))^0/1)+(((0.15*B2607*5))^1/1)+(((0.15*B2607*5))^2/2)+(((0.15*B2607*5))^3/6)+(((0.15*B2607*5))^4/24)+(((0.15*B2607*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2573*(1-MIN(100,(Inputs!$B$9+((C2595=TRUE)*(F2595-Calc!F26))+B2603+(ArtifactsInput!$M$24-ArtifactsInput!$M$24)*CHOOSE(ArtifactsInput!$N$24+1,10,12,14,16,18,20)+(IF(AND(Inputs!$B$39&lt;&gt;"pvp",Inputs!$B$44=0),1,IF(IF(Inputs!$B$39="pvp",15,Inputs!$B$44)-(B2614)&lt;=0,1,MAX(0,IF(Inputs!$B$39="pvp",15,Inputs!$B$44)-MAX(5,B2614))/(IF(Inputs!$B$39="pvp",15,Inputs!$B$44)-(B2614))))*IF(AND(ArtifactsInput!$M$42,((Inputs!$B$9+((C2595=TRUE)*(F2595-Calc!F26))+B2603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2573*(MIN(100,(Inputs!$B$9+((C2595=TRUE)*(F2595-Calc!F26))+B2603+(ArtifactsInput!$M$24-ArtifactsInput!$M$24)*CHOOSE(ArtifactsInput!$N$24+1,10,12,14,16,18,20)+(IF(AND(Inputs!$B$39&lt;&gt;"pvp",Inputs!$B$44=0),1,IF(IF(Inputs!$B$39="pvp",15,Inputs!$B$44)-(B2614)&lt;=0,1,MAX(0,IF(Inputs!$B$39="pvp",15,Inputs!$B$44)-MAX(5,B2614))/(IF(Inputs!$B$39="pvp",15,Inputs!$B$44)-(B2614))))*IF(AND(ArtifactsInput!$M$42,((Inputs!$B$9+((C2595=TRUE)*(F2595-Calc!F26))+B2603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2573*(1-MIN(100,(Inputs!$B$9+((C2595=TRUE)*(F2595-Calc!F26))+B2603+(ArtifactsInput!$M$24-ArtifactsInput!$M$24)*CHOOSE(ArtifactsInput!$N$24+1,10,12,14,16,18,20)+(IF(AND(Inputs!$B$39&lt;&gt;"pvp",Inputs!$B$44=0),1,IF(IF(Inputs!$B$39="pvp",15,Inputs!$B$44)-(B2614)&lt;=0,1,MAX(0,IF(Inputs!$B$39="pvp",15,Inputs!$B$44)-MAX(5,B2614))/(IF(Inputs!$B$39="pvp",15,Inputs!$B$44)-(B2614))))*IF(AND(ArtifactsInput!$M$42,((Inputs!$B$9+((C2595=TRUE)*(F2595-Calc!F26))+B2603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2573*(MIN(100,(Inputs!$B$9+((C2595=TRUE)*(F2595-Calc!F26))+B2603+(ArtifactsInput!$M$24-ArtifactsInput!$M$24)*CHOOSE(ArtifactsInput!$N$24+1,10,12,14,16,18,20)+(IF(AND(Inputs!$B$39&lt;&gt;"pvp",Inputs!$B$44=0),1,IF(IF(Inputs!$B$39="pvp",15,Inputs!$B$44)-(B2614)&lt;=0,1,MAX(0,IF(Inputs!$B$39="pvp",15,Inputs!$B$44)-MAX(5,B2614))/(IF(Inputs!$B$39="pvp",15,Inputs!$B$44)-(B2614))))*IF(AND(ArtifactsInput!$M$42,((Inputs!$B$9+((C2595=TRUE)*(F2595-Calc!F26))+B2603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2573">
        <f>290*U2572/1000</f>
        <v/>
      </c>
      <c r="V2573">
        <f>IF(C2573,(H2573*N2573*IF(AND(Inputs!$B$39&lt;&gt;"pvp",Inputs!$B$44&gt;0),((Skills!G4*((R2573-1)*IF(Skills!H4&gt;0,Skills!I4/Skills!H4,1)+IF(Skills!H4&gt;0,MIN(Skills!I4,MAX(0,MAX(0,Inputs!$B$44-B2614)-((R2573-1)*IF(Inputs!$B$39="pvp",15,MAX(0.1,Skills!D4-IF(TRUE=TRUE,Inputs!$B$32,0))))))/Skills!H4,1)))/Inputs!$B$44),G2573*Q2573))*IF(Inputs!$B$39="pvp",1,(1+(Inputs!$B$21+Skills!Q4+B2604+(IF(ArtifactsInput!$M$33,CHOOSE(ArtifactsInput!$N$33+1,30,36,42,48,54,60),0))+(IF(AND(ArtifactsInput!$M$35,Inputs!$B$4&lt;&gt;"Chapter Hunt"),CHOOSE(ArtifactsInput!$N$35+1,15,18,21,24,27,30)*(1-EXP(-(0.2*B2607)*5)),0)+IF(AND(ArtifactsInput!$M$22,Inputs!$B$4&lt;&gt;"Chapter Hunt"),CHOOSE(ArtifactsInput!$N$22+1,10,12,14,16,18,20)*((0*(((0.15*B2607*5))^0/1)+1*(((0.15*B2607*5))^1/1)+2*(((0.15*B2607*5))^2/2)+3*(((0.15*B2607*5))^3/6)+4*(((0.15*B2607*5))^4/24)+5*(((0.15*B2607*5))^5/120))/((((0.15*B2607*5))^0/1)+(((0.15*B2607*5))^1/1)+(((0.15*B2607*5))^2/2)+(((0.15*B2607*5))^3/6)+(((0.15*B2607*5))^4/24)+(((0.15*B2607*5))^5/120))),0)))/100)*(MIN(MIN(10,IF(Inputs!$B$3&gt;=75,0.75,0.5)*B2607*(1/Q2573)),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574">
      <c r="A2574">
        <f>Skills!A5</f>
        <v/>
      </c>
      <c r="B2574">
        <f>Skills!B5</f>
        <v/>
      </c>
      <c r="C2574">
        <f>Inputs!$B$3&gt;=75</f>
        <v/>
      </c>
      <c r="D2574">
        <f>IF(Skills!C5=1,60+Inputs!$B$25+Inputs!$B$29,IF(Skills!C5=2,90+Inputs!$B$26+Inputs!$B$29,IF(Skills!C5=3,120+Inputs!$B$27+Inputs!$B$29,MAX(0,(Inputs!$B$3-100)*3)+Inputs!$B$28+Inputs!$B$29)))</f>
        <v/>
      </c>
      <c r="E2574">
        <f>INDEX(FactorTable!$B$2:$Y$301, MATCH(ROUND(MIN(300,MAX(1,D2574)),0), FactorTable!$A$2:$A$301,0), Skills!M5+1)</f>
        <v/>
      </c>
      <c r="F2574">
        <f>IF(Skills!N5=TRUE,(Skills!L5/10)*(E2574/1000),Skills!L5/10)+Skills!O5</f>
        <v/>
      </c>
      <c r="G2574">
        <f>Skills!G5*IF(Skills!H5&gt;0,IF(Inputs!$B$39="pvp",MIN(Skills!I5,15),Skills!I5)/Skills!H5,1)</f>
        <v/>
      </c>
      <c r="H2574">
        <f>1-(1-Skills!J5/100)^Skills!K5</f>
        <v/>
      </c>
      <c r="I2574" t="inlineStr">
        <is>
          <t>1</t>
        </is>
      </c>
      <c r="J2574" t="inlineStr"/>
      <c r="K2574" t="inlineStr"/>
      <c r="L2574" t="inlineStr"/>
      <c r="M2574" t="inlineStr"/>
      <c r="N2574" t="inlineStr"/>
      <c r="O2574">
        <f>(1-Summary!$B$11)*T2574+Summary!$B$11*V2574</f>
        <v/>
      </c>
      <c r="P2574">
        <f>IF(B2615=0,0,O2574/B2615)</f>
        <v/>
      </c>
      <c r="Q2574" t="n">
        <v>0</v>
      </c>
      <c r="R2574" t="n">
        <v>0</v>
      </c>
      <c r="S2574">
        <f>IFERROR(O2574/N2574,0)</f>
        <v/>
      </c>
      <c r="T2574" t="n">
        <v>0</v>
      </c>
      <c r="V2574" t="n">
        <v>0</v>
      </c>
    </row>
    <row r="2575">
      <c r="A2575">
        <f>Skills!A6</f>
        <v/>
      </c>
      <c r="B2575">
        <f>Skills!B6</f>
        <v/>
      </c>
      <c r="C2575">
        <f>Inputs!$B$3&gt;=63</f>
        <v/>
      </c>
      <c r="D2575">
        <f>IF(Skills!C6=1,60+Inputs!$B$25+Inputs!$B$29,IF(Skills!C6=2,90+Inputs!$B$26+Inputs!$B$29,IF(Skills!C6=3,120+Inputs!$B$27+Inputs!$B$29,MAX(0,(Inputs!$B$3-100)*3)+Inputs!$B$28+Inputs!$B$29)))</f>
        <v/>
      </c>
      <c r="E2575">
        <f>INDEX(FactorTable!$B$2:$Y$301, MATCH(ROUND(MIN(300,MAX(1,D2575)),0), FactorTable!$A$2:$A$301,0), Skills!M6+1)</f>
        <v/>
      </c>
      <c r="F2575">
        <f>IF(Skills!N6=TRUE,(Skills!L6/10)*(E2575/1000),Skills!L6/10)+Skills!O6</f>
        <v/>
      </c>
      <c r="G2575">
        <f>Skills!G6*IF(Skills!H6&gt;0,IF(Inputs!$B$39="pvp",MIN(Skills!I6,15),Skills!I6)/Skills!H6,1)</f>
        <v/>
      </c>
      <c r="H2575">
        <f>1-(1-Skills!J6/100)^Skills!K6</f>
        <v/>
      </c>
      <c r="I2575" t="inlineStr">
        <is>
          <t>1</t>
        </is>
      </c>
      <c r="J2575">
        <f>((Inputs!$B$6*(1+Inputs!$B$7/100))+(((Inputs!$B$12*(1+Inputs!$B$13/100))-(Inputs!$B$12*(1+Inputs!$B$13/100)))+0.25*(Inputs!$B$14-Inputs!$B$14))*(1+Inputs!$B$7/100))*(F2575/100)</f>
        <v/>
      </c>
      <c r="K2575">
        <f>J2575*(1+((Inputs!$B$12*(1+Inputs!$B$13/100))*0.01+Inputs!$B$14*0.0025)/100)*(1+Inputs!$B$15/100)*(1+Inputs!$B$16/100)*(5000/(6000+Inputs!$B$43*(1-(100*(1-(1-Inputs!$B$19/100)*(1-CHOOSE(ArtifactsInput!$N$40+1,5,6,7,8,9,10)/100)^(ArtifactsInput!$M$40-ArtifactsInput!$M$40)))/100)))*(1+(Inputs!$B$24+((C2600=TRUE)*(F2600-Calc!F31))+((C2587=TRUE)*(F2587-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IF(ArtifactsInput!$M$29,FALSE,TRUE)-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+2.6666666666666665*IF(C2588=TRUE,F2588,0)/100)*(1+(IF(Skills!A6="CRUEL_STAB",Inputs!$B$17+((C2597=TRUE)*(F2597-Calc!F28))+((IF(AND(Inputs!$B$39&lt;&gt;"pvp",Inputs!$B$44=0),1,IF(IF(Inputs!$B$39="pvp",15,Inputs!$B$44)-(B2614)&lt;=0,1,MAX(0,IF(Inputs!$B$39="pvp",15,Inputs!$B$44)-MAX(5,B2614))/(IF(Inputs!$B$39="pvp",15,Inputs!$B$44)-(B2614))))*(IF(AND(ArtifactsInput!$M$42,((Inputs!$B$9+((C2595=TRUE)*(F2595-Calc!F26))+B2603+(ArtifactsInput!$M$24-ArtifactsInput!$M$24)*CHOOSE(ArtifactsInput!$N$24+1,10,12,14,16,18,20)+IF(ArtifactsInput!$M$10,CHOOSE(ArtifactsInput!$N$10+1,15,18,21,24,27,30)*(IF(Inputs!$B$39="pvp",MIN(15,15)/15,IF(AND(Inputs!$B$39&lt;&gt;"pvp",Inputs!$B$44&gt;0),MIN(15,Inputs!$B$44)/(Inputs!$B$44),0))),0)))&gt;=100),MIN(100,((Inputs!$B$9+((C2595=TRUE)*(F2595-Calc!F26))+B2603+(ArtifactsInput!$M$24-ArtifactsInput!$M$24)*CHOOSE(ArtifactsInput!$N$24+1,10,12,14,16,18,20)+IF(ArtifactsInput!$M$10,CHOOSE(ArtifactsInput!$N$10+1,15,18,21,24,27,30)*(IF(Inputs!$B$39="pvp",MIN(15,15)/15,IF(AND(Inputs!$B$39&lt;&gt;"pvp",Inputs!$B$44&gt;0),MIN(15,Inputs!$B$44)/(Inputs!$B$44),0))),0)))-100),0))*CHOOSE(ArtifactsInput!$N$42+1,0.6,0.72,0.84,0.96,1.08,1.2))),Inputs!$B$18+((C2598=TRUE)*(F2598-Calc!F29))+(IF(AND(Inputs!$B$39&lt;&gt;"pvp",Inputs!$B$44=0),1,IF(IF(Inputs!$B$39="pvp",15,Inputs!$B$44)-(B2614)&lt;=0,1,MAX(0,IF(Inputs!$B$39="pvp",15,Inputs!$B$44)-MAX(5,B2614))/(IF(Inputs!$B$39="pvp",15,Inputs!$B$44)-(B2614))))*IF(AND(ArtifactsInput!$M$42,((Inputs!$B$9+((C2595=TRUE)*(F2595-Calc!F26))+B2603+(ArtifactsInput!$M$24-ArtifactsInput!$M$24)*CHOOSE(ArtifactsInput!$N$24+1,10,12,14,16,18,20)+IF(ArtifactsInput!$M$10,CHOOSE(ArtifactsInput!$N$10+1,15,18,21,24,27,30)*(IF(Inputs!$B$39="pvp",MIN(15,15)/15,IF(AND(Inputs!$B$39&lt;&gt;"pvp",Inputs!$B$44&gt;0),MIN(15,Inputs!$B$44)/(Inputs!$B$44),0))),0)))&gt;=100),CHOOSE(ArtifactsInput!$N$42+1,40,48,56,64,72,80),0))))/100)*(((1+(((C2591=TRUE)*F2591*IF(AND(Inputs!$B$39&lt;&gt;"pvp",Inputs!$B$44&gt;0),(((R2591-1)*MIN((Skills!Y22*(1+Inputs!$B$34/100)),(1/Q2591))+MIN((Skills!Y22*(1+Inputs!$B$34/100)),MAX(0,Inputs!$B$44-((R2591-1)*(1/Q2591)))))/Inputs!$B$44),IF(Inputs!$B$39="pvp",MIN((Skills!Y22*(1+Inputs!$B$34/100)),15)/15,MIN(1,(Skills!Y22*(1+Inputs!$B$34/100))/(1/Q2591)))))+((C2572=TRUE)*F2572*3)+((C2574=TRUE)*F2574*(1-EXP(-0.75*B2607*5)))+((C2593=TRUE)*(F2593-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2580=TRUE)*F2580*IF(AND(Inputs!$B$39&lt;&gt;"pvp",Inputs!$B$44&gt;0),(((R2580-1)*MIN((Skills!Y11*(1+Inputs!$B$34/100)),(1/Q2580))+MIN((Skills!Y11*(1+Inputs!$B$34/100)),MAX(0,Inputs!$B$44-((R2580-1)*(1/Q2580)))))/Inputs!$B$44),IF(Inputs!$B$39="pvp",MIN((Skills!Y11*(1+Inputs!$B$34/100)),15)/15,MIN(1,(Skills!Y11*(1+Inputs!$B$34/100))/(1/Q2580)))))/100)*(1+((C2585=TRUE)*F2585*IF(AND(Inputs!$B$39&lt;&gt;"pvp",Inputs!$B$44&gt;0),(((R2585-1)*MIN((Skills!Y16*(1+Inputs!$B$34/100)),(1/Q2585))+MIN((Skills!Y16*(1+Inputs!$B$34/100)),MAX(0,Inputs!$B$44-((R2585-1)*(1/Q2585)))))/Inputs!$B$44),IF(Inputs!$B$39="pvp",MIN((Skills!Y16*(1+Inputs!$B$34/100)),15)/15,MIN(1,(Skills!Y16*(1+Inputs!$B$34/100))/(1/Q2585)))))/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2605*I2575)</f>
        <v/>
      </c>
      <c r="L2575">
        <f>K2575*(MIN(Inputs!$B$22+((C2594=TRUE)*(F2594-Calc!F25)),(Inputs!$B$23+((C2599=TRUE)*(F2599-Calc!F30))+IF(ArtifactsInput!$M$15,CHOOSE(ArtifactsInput!$N$15+1,25,30,35,40,45,50)/100*(Inputs!$B$11-Inputs!$B$11),0)))/100+(Inputs!$B$23+((C2599=TRUE)*(F2599-Calc!F30))+IF(ArtifactsInput!$M$15,CHOOSE(ArtifactsInput!$N$15+1,25,30,35,40,45,50)/100*(Inputs!$B$11-Inputs!$B$11),0))/100)/2</f>
        <v/>
      </c>
      <c r="M2575">
        <f>L2575*(1+(Inputs!$B$10+((C2596=TRUE)*(F2596-Calc!F27))+B2610+(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2575">
        <f>L2575*(1-MIN((Inputs!$B$9+((C2595=TRUE)*(F2595-Calc!F26))+B2603+(ArtifactsInput!$M$24-ArtifactsInput!$M$24)*CHOOSE(ArtifactsInput!$N$24+1,10,12,14,16,18,20)+(IF(AND(Inputs!$B$39&lt;&gt;"pvp",Inputs!$B$44=0),1,IF(IF(Inputs!$B$39="pvp",15,Inputs!$B$44)-(B2614)&lt;=0,1,MAX(0,IF(Inputs!$B$39="pvp",15,Inputs!$B$44)-MAX(5,B2614))/(IF(Inputs!$B$39="pvp",15,Inputs!$B$44)-(B2614))))*IF(AND(ArtifactsInput!$M$42,((Inputs!$B$9+((C2595=TRUE)*(F2595-Calc!F26))+B2603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2575*(MIN((Inputs!$B$9+((C2595=TRUE)*(F2595-Calc!F26))+B2603+(ArtifactsInput!$M$24-ArtifactsInput!$M$24)*CHOOSE(ArtifactsInput!$N$24+1,10,12,14,16,18,20)+(IF(AND(Inputs!$B$39&lt;&gt;"pvp",Inputs!$B$44=0),1,IF(IF(Inputs!$B$39="pvp",15,Inputs!$B$44)-(B2614)&lt;=0,1,MAX(0,IF(Inputs!$B$39="pvp",15,Inputs!$B$44)-MAX(5,B2614))/(IF(Inputs!$B$39="pvp",15,Inputs!$B$44)-(B2614))))*IF(AND(ArtifactsInput!$M$42,((Inputs!$B$9+((C2595=TRUE)*(F2595-Calc!F26))+B2603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575">
        <f>(1-Summary!$B$11)*T2575+Summary!$B$11*V2575</f>
        <v/>
      </c>
      <c r="P2575">
        <f>IF(B2615=0,0,O2575/B2615)</f>
        <v/>
      </c>
      <c r="Q2575">
        <f>IFERROR(1/IF(Inputs!$B$39="pvp",15,MAX(0.1,Skills!D6-IF(TRUE=TRUE,Inputs!$B$32,0))),0)</f>
        <v/>
      </c>
      <c r="R2575">
        <f>IF(AND(Inputs!$B$39&lt;&gt;"pvp",Inputs!$B$44&gt;0),IF(MAX(0,Inputs!$B$44-B2614)&lt;=0,0,(INT(MAX(0,Inputs!$B$44-B2614)/IF(Inputs!$B$39="pvp",15,MAX(0.1,Skills!D6-IF(TRUE=TRUE,Inputs!$B$32,0))))+1)),0)</f>
        <v/>
      </c>
      <c r="S2575">
        <f>IFERROR(O2575/N2575,0)</f>
        <v/>
      </c>
      <c r="T2575">
        <f>IF(C2575,(H2575*N2575*IF(AND(Inputs!$B$39&lt;&gt;"pvp",Inputs!$B$44&gt;0),((Skills!G6*((R2575-1)*IF(Skills!H6&gt;0,Skills!I6/Skills!H6,1)+IF(Skills!H6&gt;0,MIN(Skills!I6,MAX(0,MAX(0,Inputs!$B$44-B2614)-((R2575-1)*IF(Inputs!$B$39="pvp",15,MAX(0.1,Skills!D6-IF(TRUE=TRUE,Inputs!$B$32,0))))))/Skills!H6,1)))/Inputs!$B$44),G2575*Q2575))*IF(Inputs!$B$39="pvp",1,1+(Inputs!$B$20+0+Skills!P6+B2604+(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Hunt"),CHOOSE(ArtifactsInput!$N$35+1,15,18,21,24,27,30)*(1-EXP(-(0.2*B2607)*5)),0)+IF(AND(ArtifactsInput!$M$22,Inputs!$B$4&lt;&gt;"Chapter Hunt"),CHOOSE(ArtifactsInput!$N$22+1,10,12,14,16,18,20)*((0*(((0.15*B2607*5))^0/1)+1*(((0.15*B2607*5))^1/1)+2*(((0.15*B2607*5))^2/2)+3*(((0.15*B2607*5))^3/6)+4*(((0.15*B2607*5))^4/24)+5*(((0.15*B2607*5))^5/120))/((((0.15*B2607*5))^0/1)+(((0.15*B2607*5))^1/1)+(((0.15*B2607*5))^2/2)+(((0.15*B2607*5))^3/6)+(((0.15*B2607*5))^4/24)+(((0.15*B2607*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2575*(1-MIN(100,(Inputs!$B$9+((C2595=TRUE)*(F2595-Calc!F26))+B2603+(ArtifactsInput!$M$24-ArtifactsInput!$M$24)*CHOOSE(ArtifactsInput!$N$24+1,10,12,14,16,18,20)+(IF(AND(Inputs!$B$39&lt;&gt;"pvp",Inputs!$B$44=0),1,IF(IF(Inputs!$B$39="pvp",15,Inputs!$B$44)-(B2614)&lt;=0,1,MAX(0,IF(Inputs!$B$39="pvp",15,Inputs!$B$44)-MAX(5,B2614))/(IF(Inputs!$B$39="pvp",15,Inputs!$B$44)-(B2614))))*IF(AND(ArtifactsInput!$M$42,((Inputs!$B$9+((C2595=TRUE)*(F2595-Calc!F26))+B2603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2575*(MIN(100,(Inputs!$B$9+((C2595=TRUE)*(F2595-Calc!F26))+B2603+(ArtifactsInput!$M$24-ArtifactsInput!$M$24)*CHOOSE(ArtifactsInput!$N$24+1,10,12,14,16,18,20)+(IF(AND(Inputs!$B$39&lt;&gt;"pvp",Inputs!$B$44=0),1,IF(IF(Inputs!$B$39="pvp",15,Inputs!$B$44)-(B2614)&lt;=0,1,MAX(0,IF(Inputs!$B$39="pvp",15,Inputs!$B$44)-MAX(5,B2614))/(IF(Inputs!$B$39="pvp",15,Inputs!$B$44)-(B2614))))*IF(AND(ArtifactsInput!$M$42,((Inputs!$B$9+((C2595=TRUE)*(F2595-Calc!F26))+B2603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2575*(1-MIN(100,(Inputs!$B$9+((C2595=TRUE)*(F2595-Calc!F26))+B2603+(ArtifactsInput!$M$24-ArtifactsInput!$M$24)*CHOOSE(ArtifactsInput!$N$24+1,10,12,14,16,18,20)+(IF(AND(Inputs!$B$39&lt;&gt;"pvp",Inputs!$B$44=0),1,IF(IF(Inputs!$B$39="pvp",15,Inputs!$B$44)-(B2614)&lt;=0,1,MAX(0,IF(Inputs!$B$39="pvp",15,Inputs!$B$44)-MAX(5,B2614))/(IF(Inputs!$B$39="pvp",15,Inputs!$B$44)-(B2614))))*IF(AND(ArtifactsInput!$M$42,((Inputs!$B$9+((C2595=TRUE)*(F2595-Calc!F26))+B2603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2575*(MIN(100,(Inputs!$B$9+((C2595=TRUE)*(F2595-Calc!F26))+B2603+(ArtifactsInput!$M$24-ArtifactsInput!$M$24)*CHOOSE(ArtifactsInput!$N$24+1,10,12,14,16,18,20)+(IF(AND(Inputs!$B$39&lt;&gt;"pvp",Inputs!$B$44=0),1,IF(IF(Inputs!$B$39="pvp",15,Inputs!$B$44)-(B2614)&lt;=0,1,MAX(0,IF(Inputs!$B$39="pvp",15,Inputs!$B$44)-MAX(5,B2614))/(IF(Inputs!$B$39="pvp",15,Inputs!$B$44)-(B2614))))*IF(AND(ArtifactsInput!$M$42,((Inputs!$B$9+((C2595=TRUE)*(F2595-Calc!F26))+B2603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575">
        <f>IF(C2575,(H2575*N2575*IF(AND(Inputs!$B$39&lt;&gt;"pvp",Inputs!$B$44&gt;0),((Skills!G6*((R2575-1)*IF(Skills!H6&gt;0,Skills!I6/Skills!H6,1)+IF(Skills!H6&gt;0,MIN(Skills!I6,MAX(0,MAX(0,Inputs!$B$44-B2614)-((R2575-1)*IF(Inputs!$B$39="pvp",15,MAX(0.1,Skills!D6-IF(TRUE=TRUE,Inputs!$B$32,0))))))/Skills!H6,1)))/Inputs!$B$44),G2575*Q2575))*IF(Inputs!$B$39="pvp",1,(1+(Inputs!$B$21+Skills!Q6+B2604+(IF(ArtifactsInput!$M$33,CHOOSE(ArtifactsInput!$N$33+1,30,36,42,48,54,60),0))+(IF(AND(ArtifactsInput!$M$35,Inputs!$B$4&lt;&gt;"Chapter Hunt"),CHOOSE(ArtifactsInput!$N$35+1,15,18,21,24,27,30)*(1-EXP(-(0.2*B2607)*5)),0)+IF(AND(ArtifactsInput!$M$22,Inputs!$B$4&lt;&gt;"Chapter Hunt"),CHOOSE(ArtifactsInput!$N$22+1,10,12,14,16,18,20)*((0*(((0.15*B2607*5))^0/1)+1*(((0.15*B2607*5))^1/1)+2*(((0.15*B2607*5))^2/2)+3*(((0.15*B2607*5))^3/6)+4*(((0.15*B2607*5))^4/24)+5*(((0.15*B2607*5))^5/120))/((((0.15*B2607*5))^0/1)+(((0.15*B2607*5))^1/1)+(((0.15*B2607*5))^2/2)+(((0.15*B2607*5))^3/6)+(((0.15*B2607*5))^4/24)+(((0.15*B2607*5))^5/120))),0)))/100)*(MIN(Skills!W6,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576">
      <c r="A2576">
        <f>Skills!A7</f>
        <v/>
      </c>
      <c r="B2576">
        <f>Skills!B7</f>
        <v/>
      </c>
      <c r="C2576">
        <f>Inputs!$B$3&gt;=69</f>
        <v/>
      </c>
      <c r="D2576">
        <f>IF(Skills!C7=1,60+Inputs!$B$25+Inputs!$B$29,IF(Skills!C7=2,90+Inputs!$B$26+Inputs!$B$29,IF(Skills!C7=3,120+Inputs!$B$27+Inputs!$B$29,MAX(0,(Inputs!$B$3-100)*3)+Inputs!$B$28+Inputs!$B$29)))</f>
        <v/>
      </c>
      <c r="E2576">
        <f>INDEX(FactorTable!$B$2:$Y$301, MATCH(ROUND(MIN(300,MAX(1,D2576)),0), FactorTable!$A$2:$A$301,0), Skills!M7+1)</f>
        <v/>
      </c>
      <c r="F2576">
        <f>IF(Skills!N7=TRUE,(Skills!L7/10)*(E2576/1000),Skills!L7/10)+Skills!O7</f>
        <v/>
      </c>
      <c r="G2576">
        <f>Skills!G7*IF(Skills!H7&gt;0,IF(Inputs!$B$39="pvp",MIN(Skills!I7,15),Skills!I7)/Skills!H7,1)</f>
        <v/>
      </c>
      <c r="H2576">
        <f>1-(1-Skills!J7/100)^Skills!K7</f>
        <v/>
      </c>
      <c r="I2576" t="inlineStr">
        <is>
          <t>1</t>
        </is>
      </c>
      <c r="J2576">
        <f>((Inputs!$B$6*(1+Inputs!$B$7/100))+(((Inputs!$B$12*(1+Inputs!$B$13/100))-(Inputs!$B$12*(1+Inputs!$B$13/100)))+0.25*(Inputs!$B$14-Inputs!$B$14))*(1+Inputs!$B$7/100))*(F2576/100)</f>
        <v/>
      </c>
      <c r="K2576">
        <f>J2576*(1+((Inputs!$B$12*(1+Inputs!$B$13/100))*0.01+Inputs!$B$14*0.0025)/100)*(1+Inputs!$B$15/100)*(1+Inputs!$B$16/100)*(5000/(6000+Inputs!$B$43*(1-(100*(1-(1-Inputs!$B$19/100)*(1-CHOOSE(ArtifactsInput!$N$40+1,5,6,7,8,9,10)/100)^(ArtifactsInput!$M$40-ArtifactsInput!$M$40)))/100)))*(1+(Inputs!$B$24+((C2600=TRUE)*(F2600-Calc!F31))+((C2587=TRUE)*(F2587-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IF(ArtifactsInput!$M$29,FALSE,TRUE)-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2588=TRUE,F2588,0)/100)*(1+(IF(Skills!A7="CRUEL_STAB",Inputs!$B$17+((C2597=TRUE)*(F2597-Calc!F28))+((IF(AND(Inputs!$B$39&lt;&gt;"pvp",Inputs!$B$44=0),1,IF(IF(Inputs!$B$39="pvp",15,Inputs!$B$44)-(B2614)&lt;=0,1,MAX(0,IF(Inputs!$B$39="pvp",15,Inputs!$B$44)-MAX(5,B2614))/(IF(Inputs!$B$39="pvp",15,Inputs!$B$44)-(B2614))))*(IF(AND(ArtifactsInput!$M$42,((Inputs!$B$9+((C2595=TRUE)*(F2595-Calc!F26))+B2603+(ArtifactsInput!$M$24-ArtifactsInput!$M$24)*CHOOSE(ArtifactsInput!$N$24+1,10,12,14,16,18,20)+IF(ArtifactsInput!$M$10,CHOOSE(ArtifactsInput!$N$10+1,15,18,21,24,27,30)*(IF(Inputs!$B$39="pvp",MIN(15,15)/15,IF(AND(Inputs!$B$39&lt;&gt;"pvp",Inputs!$B$44&gt;0),MIN(15,Inputs!$B$44)/(Inputs!$B$44),0))),0)))&gt;=100),MIN(100,((Inputs!$B$9+((C2595=TRUE)*(F2595-Calc!F26))+B2603+(ArtifactsInput!$M$24-ArtifactsInput!$M$24)*CHOOSE(ArtifactsInput!$N$24+1,10,12,14,16,18,20)+IF(ArtifactsInput!$M$10,CHOOSE(ArtifactsInput!$N$10+1,15,18,21,24,27,30)*(IF(Inputs!$B$39="pvp",MIN(15,15)/15,IF(AND(Inputs!$B$39&lt;&gt;"pvp",Inputs!$B$44&gt;0),MIN(15,Inputs!$B$44)/(Inputs!$B$44),0))),0)))-100),0))*CHOOSE(ArtifactsInput!$N$42+1,0.6,0.72,0.84,0.96,1.08,1.2))),Inputs!$B$18+((C2598=TRUE)*(F2598-Calc!F29))+(IF(AND(Inputs!$B$39&lt;&gt;"pvp",Inputs!$B$44=0),1,IF(IF(Inputs!$B$39="pvp",15,Inputs!$B$44)-(B2614)&lt;=0,1,MAX(0,IF(Inputs!$B$39="pvp",15,Inputs!$B$44)-MAX(5,B2614))/(IF(Inputs!$B$39="pvp",15,Inputs!$B$44)-(B2614))))*IF(AND(ArtifactsInput!$M$42,((Inputs!$B$9+((C2595=TRUE)*(F2595-Calc!F26))+B2603+(ArtifactsInput!$M$24-ArtifactsInput!$M$24)*CHOOSE(ArtifactsInput!$N$24+1,10,12,14,16,18,20)+IF(ArtifactsInput!$M$10,CHOOSE(ArtifactsInput!$N$10+1,15,18,21,24,27,30)*(IF(Inputs!$B$39="pvp",MIN(15,15)/15,IF(AND(Inputs!$B$39&lt;&gt;"pvp",Inputs!$B$44&gt;0),MIN(15,Inputs!$B$44)/(Inputs!$B$44),0))),0)))&gt;=100),CHOOSE(ArtifactsInput!$N$42+1,40,48,56,64,72,80),0))))/100)*(((1+(((C2591=TRUE)*F2591*IF(AND(Inputs!$B$39&lt;&gt;"pvp",Inputs!$B$44&gt;0),(((R2591-1)*MIN((Skills!Y22*(1+Inputs!$B$34/100)),(1/Q2591))+MIN((Skills!Y22*(1+Inputs!$B$34/100)),MAX(0,Inputs!$B$44-((R2591-1)*(1/Q2591)))))/Inputs!$B$44),IF(Inputs!$B$39="pvp",MIN((Skills!Y22*(1+Inputs!$B$34/100)),15)/15,MIN(1,(Skills!Y22*(1+Inputs!$B$34/100))/(1/Q2591)))))+((C2572=TRUE)*F2572*3)+((C2574=TRUE)*F2574*(1-EXP(-0.75*B2607*5)))+((C2593=TRUE)*(F2593-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2580=TRUE)*F2580*IF(AND(Inputs!$B$39&lt;&gt;"pvp",Inputs!$B$44&gt;0),(((R2580-1)*MIN((Skills!Y11*(1+Inputs!$B$34/100)),(1/Q2580))+MIN((Skills!Y11*(1+Inputs!$B$34/100)),MAX(0,Inputs!$B$44-((R2580-1)*(1/Q2580)))))/Inputs!$B$44),IF(Inputs!$B$39="pvp",MIN((Skills!Y11*(1+Inputs!$B$34/100)),15)/15,MIN(1,(Skills!Y11*(1+Inputs!$B$34/100))/(1/Q2580)))))/100)*(1+((C2585=TRUE)*F2585*IF(AND(Inputs!$B$39&lt;&gt;"pvp",Inputs!$B$44&gt;0),(((R2585-1)*MIN((Skills!Y16*(1+Inputs!$B$34/100)),(1/Q2585))+MIN((Skills!Y16*(1+Inputs!$B$34/100)),MAX(0,Inputs!$B$44-((R2585-1)*(1/Q2585)))))/Inputs!$B$44),IF(Inputs!$B$39="pvp",MIN((Skills!Y16*(1+Inputs!$B$34/100)),15)/15,MIN(1,(Skills!Y16*(1+Inputs!$B$34/100))/(1/Q2585)))))/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2605*I2576)</f>
        <v/>
      </c>
      <c r="L2576">
        <f>K2576*(MIN(Inputs!$B$22+((C2594=TRUE)*(F2594-Calc!F25)),(Inputs!$B$23+((C2599=TRUE)*(F2599-Calc!F30))+IF(ArtifactsInput!$M$15,CHOOSE(ArtifactsInput!$N$15+1,25,30,35,40,45,50)/100*(Inputs!$B$11-Inputs!$B$11),0)))/100+(Inputs!$B$23+((C2599=TRUE)*(F2599-Calc!F30))+IF(ArtifactsInput!$M$15,CHOOSE(ArtifactsInput!$N$15+1,25,30,35,40,45,50)/100*(Inputs!$B$11-Inputs!$B$11),0))/100)/2</f>
        <v/>
      </c>
      <c r="M2576">
        <f>L2576*(1+(Inputs!$B$10+((C2596=TRUE)*(F2596-Calc!F27))+B2610+(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2576">
        <f>L2576*(1-MIN((Inputs!$B$9+((C2595=TRUE)*(F2595-Calc!F26))+B2603+(ArtifactsInput!$M$24-ArtifactsInput!$M$24)*CHOOSE(ArtifactsInput!$N$24+1,10,12,14,16,18,20)+(IF(AND(Inputs!$B$39&lt;&gt;"pvp",Inputs!$B$44=0),1,IF(IF(Inputs!$B$39="pvp",15,Inputs!$B$44)-(B2614)&lt;=0,1,MAX(0,IF(Inputs!$B$39="pvp",15,Inputs!$B$44)-MAX(5,B2614))/(IF(Inputs!$B$39="pvp",15,Inputs!$B$44)-(B2614))))*IF(AND(ArtifactsInput!$M$42,((Inputs!$B$9+((C2595=TRUE)*(F2595-Calc!F26))+B2603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2576*(MIN((Inputs!$B$9+((C2595=TRUE)*(F2595-Calc!F26))+B2603+(ArtifactsInput!$M$24-ArtifactsInput!$M$24)*CHOOSE(ArtifactsInput!$N$24+1,10,12,14,16,18,20)+(IF(AND(Inputs!$B$39&lt;&gt;"pvp",Inputs!$B$44=0),1,IF(IF(Inputs!$B$39="pvp",15,Inputs!$B$44)-(B2614)&lt;=0,1,MAX(0,IF(Inputs!$B$39="pvp",15,Inputs!$B$44)-MAX(5,B2614))/(IF(Inputs!$B$39="pvp",15,Inputs!$B$44)-(B2614))))*IF(AND(ArtifactsInput!$M$42,((Inputs!$B$9+((C2595=TRUE)*(F2595-Calc!F26))+B2603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576">
        <f>(1-Summary!$B$11)*T2576+Summary!$B$11*V2576</f>
        <v/>
      </c>
      <c r="P2576">
        <f>IF(B2615=0,0,O2576/B2615)</f>
        <v/>
      </c>
      <c r="Q2576">
        <f>IFERROR(1/IF(Inputs!$B$39="pvp",15,MAX(0.1,Skills!D7-IF(TRUE=TRUE,Inputs!$B$32,0))),0)</f>
        <v/>
      </c>
      <c r="R2576">
        <f>IF(AND(Inputs!$B$39&lt;&gt;"pvp",Inputs!$B$44&gt;0),IF(MAX(0,Inputs!$B$44-B2614)&lt;=0,0,(INT(MAX(0,Inputs!$B$44-B2614)/IF(Inputs!$B$39="pvp",15,MAX(0.1,Skills!D7-IF(TRUE=TRUE,Inputs!$B$32,0))))+1)),0)</f>
        <v/>
      </c>
      <c r="S2576">
        <f>IFERROR(O2576/N2576,0)</f>
        <v/>
      </c>
      <c r="T2576">
        <f>IF(C2576,(H2576*N2576*IF(AND(Inputs!$B$39&lt;&gt;"pvp",Inputs!$B$44&gt;0),((Skills!G7*((R2576-1)*IF(Skills!H7&gt;0,Skills!I7/Skills!H7,1)+IF(Skills!H7&gt;0,MIN(Skills!I7,MAX(0,MAX(0,Inputs!$B$44-B2614)-((R2576-1)*IF(Inputs!$B$39="pvp",15,MAX(0.1,Skills!D7-IF(TRUE=TRUE,Inputs!$B$32,0))))))/Skills!H7,1)))/Inputs!$B$44),G2576*Q2576))*IF(Inputs!$B$39="pvp",1,1+(Inputs!$B$20+0+Skills!P7+B2604+(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Hunt"),CHOOSE(ArtifactsInput!$N$35+1,15,18,21,24,27,30)*(1-EXP(-(0.2*B2607)*5)),0)+IF(AND(ArtifactsInput!$M$22,Inputs!$B$4&lt;&gt;"Chapter Hunt"),CHOOSE(ArtifactsInput!$N$22+1,10,12,14,16,18,20)*((0*(((0.15*B2607*5))^0/1)+1*(((0.15*B2607*5))^1/1)+2*(((0.15*B2607*5))^2/2)+3*(((0.15*B2607*5))^3/6)+4*(((0.15*B2607*5))^4/24)+5*(((0.15*B2607*5))^5/120))/((((0.15*B2607*5))^0/1)+(((0.15*B2607*5))^1/1)+(((0.15*B2607*5))^2/2)+(((0.15*B2607*5))^3/6)+(((0.15*B2607*5))^4/24)+(((0.15*B2607*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2576*(1-MIN(100,(Inputs!$B$9+((C2595=TRUE)*(F2595-Calc!F26))+B2603+(ArtifactsInput!$M$24-ArtifactsInput!$M$24)*CHOOSE(ArtifactsInput!$N$24+1,10,12,14,16,18,20)+(IF(AND(Inputs!$B$39&lt;&gt;"pvp",Inputs!$B$44=0),1,IF(IF(Inputs!$B$39="pvp",15,Inputs!$B$44)-(B2614)&lt;=0,1,MAX(0,IF(Inputs!$B$39="pvp",15,Inputs!$B$44)-MAX(5,B2614))/(IF(Inputs!$B$39="pvp",15,Inputs!$B$44)-(B2614))))*IF(AND(ArtifactsInput!$M$42,((Inputs!$B$9+((C2595=TRUE)*(F2595-Calc!F26))+B2603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2576*(MIN(100,(Inputs!$B$9+((C2595=TRUE)*(F2595-Calc!F26))+B2603+(ArtifactsInput!$M$24-ArtifactsInput!$M$24)*CHOOSE(ArtifactsInput!$N$24+1,10,12,14,16,18,20)+(IF(AND(Inputs!$B$39&lt;&gt;"pvp",Inputs!$B$44=0),1,IF(IF(Inputs!$B$39="pvp",15,Inputs!$B$44)-(B2614)&lt;=0,1,MAX(0,IF(Inputs!$B$39="pvp",15,Inputs!$B$44)-MAX(5,B2614))/(IF(Inputs!$B$39="pvp",15,Inputs!$B$44)-(B2614))))*IF(AND(ArtifactsInput!$M$42,((Inputs!$B$9+((C2595=TRUE)*(F2595-Calc!F26))+B2603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2576*(1-MIN(100,(Inputs!$B$9+((C2595=TRUE)*(F2595-Calc!F26))+B2603+(ArtifactsInput!$M$24-ArtifactsInput!$M$24)*CHOOSE(ArtifactsInput!$N$24+1,10,12,14,16,18,20)+(IF(AND(Inputs!$B$39&lt;&gt;"pvp",Inputs!$B$44=0),1,IF(IF(Inputs!$B$39="pvp",15,Inputs!$B$44)-(B2614)&lt;=0,1,MAX(0,IF(Inputs!$B$39="pvp",15,Inputs!$B$44)-MAX(5,B2614))/(IF(Inputs!$B$39="pvp",15,Inputs!$B$44)-(B2614))))*IF(AND(ArtifactsInput!$M$42,((Inputs!$B$9+((C2595=TRUE)*(F2595-Calc!F26))+B2603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2576*(MIN(100,(Inputs!$B$9+((C2595=TRUE)*(F2595-Calc!F26))+B2603+(ArtifactsInput!$M$24-ArtifactsInput!$M$24)*CHOOSE(ArtifactsInput!$N$24+1,10,12,14,16,18,20)+(IF(AND(Inputs!$B$39&lt;&gt;"pvp",Inputs!$B$44=0),1,IF(IF(Inputs!$B$39="pvp",15,Inputs!$B$44)-(B2614)&lt;=0,1,MAX(0,IF(Inputs!$B$39="pvp",15,Inputs!$B$44)-MAX(5,B2614))/(IF(Inputs!$B$39="pvp",15,Inputs!$B$44)-(B2614))))*IF(AND(ArtifactsInput!$M$42,((Inputs!$B$9+((C2595=TRUE)*(F2595-Calc!F26))+B2603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576">
        <f>IF(C2576,(H2576*N2576*IF(AND(Inputs!$B$39&lt;&gt;"pvp",Inputs!$B$44&gt;0),((Skills!G7*((R2576-1)*IF(Skills!H7&gt;0,Skills!I7/Skills!H7,1)+IF(Skills!H7&gt;0,MIN(Skills!I7,MAX(0,MAX(0,Inputs!$B$44-B2614)-((R2576-1)*IF(Inputs!$B$39="pvp",15,MAX(0.1,Skills!D7-IF(TRUE=TRUE,Inputs!$B$32,0))))))/Skills!H7,1)))/Inputs!$B$44),G2576*Q2576))*IF(Inputs!$B$39="pvp",1,(1+(Inputs!$B$21+Skills!Q7+B2604+(IF(ArtifactsInput!$M$33,CHOOSE(ArtifactsInput!$N$33+1,30,36,42,48,54,60),0))+(IF(AND(ArtifactsInput!$M$35,Inputs!$B$4&lt;&gt;"Chapter Hunt"),CHOOSE(ArtifactsInput!$N$35+1,15,18,21,24,27,30)*(1-EXP(-(0.2*B2607)*5)),0)+IF(AND(ArtifactsInput!$M$22,Inputs!$B$4&lt;&gt;"Chapter Hunt"),CHOOSE(ArtifactsInput!$N$22+1,10,12,14,16,18,20)*((0*(((0.15*B2607*5))^0/1)+1*(((0.15*B2607*5))^1/1)+2*(((0.15*B2607*5))^2/2)+3*(((0.15*B2607*5))^3/6)+4*(((0.15*B2607*5))^4/24)+5*(((0.15*B2607*5))^5/120))/((((0.15*B2607*5))^0/1)+(((0.15*B2607*5))^1/1)+(((0.15*B2607*5))^2/2)+(((0.15*B2607*5))^3/6)+(((0.15*B2607*5))^4/24)+(((0.15*B2607*5))^5/120))),0)))/100)*(MIN(Skills!W7,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577">
      <c r="A2577">
        <f>Skills!A8</f>
        <v/>
      </c>
      <c r="B2577">
        <f>Skills!B8</f>
        <v/>
      </c>
      <c r="C2577">
        <f>Inputs!$B$3&gt;=60</f>
        <v/>
      </c>
      <c r="D2577">
        <f>IF(Skills!C8=1,60+Inputs!$B$25+Inputs!$B$29,IF(Skills!C8=2,90+Inputs!$B$26+Inputs!$B$29,IF(Skills!C8=3,120+Inputs!$B$27+Inputs!$B$29,MAX(0,(Inputs!$B$3-100)*3)+Inputs!$B$28+Inputs!$B$29)))</f>
        <v/>
      </c>
      <c r="E2577">
        <f>INDEX(FactorTable!$B$2:$Y$301, MATCH(ROUND(MIN(300,MAX(1,D2577)),0), FactorTable!$A$2:$A$301,0), Skills!M8+1)</f>
        <v/>
      </c>
      <c r="F2577">
        <f>IF(Skills!N8=TRUE,(Skills!L8/10)*(E2577/1000),Skills!L8/10)+Skills!O8</f>
        <v/>
      </c>
      <c r="G2577">
        <f>Skills!G8*IF(Skills!H8&gt;0,IF(Inputs!$B$39="pvp",MIN(Skills!I8,15),Skills!I8)/Skills!H8,1)</f>
        <v/>
      </c>
      <c r="H2577">
        <f>1-(1-Skills!J8/100)^Skills!K8</f>
        <v/>
      </c>
      <c r="I2577" t="inlineStr">
        <is>
          <t>1</t>
        </is>
      </c>
      <c r="J2577" t="inlineStr"/>
      <c r="K2577" t="inlineStr"/>
      <c r="L2577" t="inlineStr"/>
      <c r="M2577" t="inlineStr"/>
      <c r="N2577" t="inlineStr"/>
      <c r="O2577">
        <f>(1-Summary!$B$11)*T2577+Summary!$B$11*V2577</f>
        <v/>
      </c>
      <c r="P2577">
        <f>IF(B2615=0,0,O2577/B2615)</f>
        <v/>
      </c>
      <c r="Q2577" t="n">
        <v>0</v>
      </c>
      <c r="R2577" t="n">
        <v>0</v>
      </c>
      <c r="S2577">
        <f>IFERROR(O2577/N2577,0)</f>
        <v/>
      </c>
      <c r="T2577" t="n">
        <v>0</v>
      </c>
      <c r="V2577" t="n">
        <v>0</v>
      </c>
    </row>
    <row r="2578">
      <c r="A2578">
        <f>Skills!A9</f>
        <v/>
      </c>
      <c r="B2578">
        <f>Skills!B9</f>
        <v/>
      </c>
      <c r="C2578">
        <f>Inputs!$B$3&gt;=72</f>
        <v/>
      </c>
      <c r="D2578">
        <f>IF(Skills!C9=1,60+Inputs!$B$25+Inputs!$B$29,IF(Skills!C9=2,90+Inputs!$B$26+Inputs!$B$29,IF(Skills!C9=3,120+Inputs!$B$27+Inputs!$B$29,MAX(0,(Inputs!$B$3-100)*3)+Inputs!$B$28+Inputs!$B$29)))</f>
        <v/>
      </c>
      <c r="E2578">
        <f>INDEX(FactorTable!$B$2:$Y$301, MATCH(ROUND(MIN(300,MAX(1,D2578)),0), FactorTable!$A$2:$A$301,0), Skills!M9+1)</f>
        <v/>
      </c>
      <c r="F2578">
        <f>IF(Skills!N9=TRUE,(Skills!L9/10)*(E2578/1000),Skills!L9/10)+Skills!O9</f>
        <v/>
      </c>
      <c r="G2578">
        <f>Skills!G9*IF(Skills!H9&gt;0,IF(Inputs!$B$39="pvp",MIN(Skills!I9,15),Skills!I9)/Skills!H9,1)</f>
        <v/>
      </c>
      <c r="H2578">
        <f>1-(1-Skills!J9/100)^Skills!K9</f>
        <v/>
      </c>
      <c r="I2578" t="inlineStr">
        <is>
          <t>1</t>
        </is>
      </c>
      <c r="J2578">
        <f>((Inputs!$B$6*(1+Inputs!$B$7/100))+(((Inputs!$B$12*(1+Inputs!$B$13/100))-(Inputs!$B$12*(1+Inputs!$B$13/100)))+0.25*(Inputs!$B$14-Inputs!$B$14))*(1+Inputs!$B$7/100))*(F2578/100)</f>
        <v/>
      </c>
      <c r="K2578">
        <f>J2578*(1+((Inputs!$B$12*(1+Inputs!$B$13/100))*0.01+Inputs!$B$14*0.0025)/100)*(1+Inputs!$B$15/100)*(1+Inputs!$B$16/100)*(5000/(6000+Inputs!$B$43*(1-(100*(1-(1-Inputs!$B$19/100)*(1-CHOOSE(ArtifactsInput!$N$40+1,5,6,7,8,9,10)/100)^(ArtifactsInput!$M$40-ArtifactsInput!$M$40)))/100)))*(1+(Inputs!$B$24+((C2600=TRUE)*(F2600-Calc!F31))+((C2587=TRUE)*(F2587-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IF(ArtifactsInput!$M$29,FALSE,TRUE)-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+3.3333333333333335*IF(C2588=TRUE,F2588,0)/100)*(1+(IF(Skills!A9="CRUEL_STAB",Inputs!$B$17+((C2597=TRUE)*(F2597-Calc!F28))+((IF(AND(Inputs!$B$39&lt;&gt;"pvp",Inputs!$B$44=0),1,IF(IF(Inputs!$B$39="pvp",15,Inputs!$B$44)-(B2614)&lt;=0,1,MAX(0,IF(Inputs!$B$39="pvp",15,Inputs!$B$44)-MAX(5,B2614))/(IF(Inputs!$B$39="pvp",15,Inputs!$B$44)-(B2614))))*(IF(AND(ArtifactsInput!$M$42,((Inputs!$B$9+((C2595=TRUE)*(F2595-Calc!F26))+B2603+(ArtifactsInput!$M$24-ArtifactsInput!$M$24)*CHOOSE(ArtifactsInput!$N$24+1,10,12,14,16,18,20)+IF(ArtifactsInput!$M$10,CHOOSE(ArtifactsInput!$N$10+1,15,18,21,24,27,30)*(IF(Inputs!$B$39="pvp",MIN(15,15)/15,IF(AND(Inputs!$B$39&lt;&gt;"pvp",Inputs!$B$44&gt;0),MIN(15,Inputs!$B$44)/(Inputs!$B$44),0))),0)))&gt;=100),MIN(100,((Inputs!$B$9+((C2595=TRUE)*(F2595-Calc!F26))+B2603+(ArtifactsInput!$M$24-ArtifactsInput!$M$24)*CHOOSE(ArtifactsInput!$N$24+1,10,12,14,16,18,20)+IF(ArtifactsInput!$M$10,CHOOSE(ArtifactsInput!$N$10+1,15,18,21,24,27,30)*(IF(Inputs!$B$39="pvp",MIN(15,15)/15,IF(AND(Inputs!$B$39&lt;&gt;"pvp",Inputs!$B$44&gt;0),MIN(15,Inputs!$B$44)/(Inputs!$B$44),0))),0)))-100),0))*CHOOSE(ArtifactsInput!$N$42+1,0.6,0.72,0.84,0.96,1.08,1.2))),Inputs!$B$18+((C2598=TRUE)*(F2598-Calc!F29))+(IF(AND(Inputs!$B$39&lt;&gt;"pvp",Inputs!$B$44=0),1,IF(IF(Inputs!$B$39="pvp",15,Inputs!$B$44)-(B2614)&lt;=0,1,MAX(0,IF(Inputs!$B$39="pvp",15,Inputs!$B$44)-MAX(5,B2614))/(IF(Inputs!$B$39="pvp",15,Inputs!$B$44)-(B2614))))*IF(AND(ArtifactsInput!$M$42,((Inputs!$B$9+((C2595=TRUE)*(F2595-Calc!F26))+B2603+(ArtifactsInput!$M$24-ArtifactsInput!$M$24)*CHOOSE(ArtifactsInput!$N$24+1,10,12,14,16,18,20)+IF(ArtifactsInput!$M$10,CHOOSE(ArtifactsInput!$N$10+1,15,18,21,24,27,30)*(IF(Inputs!$B$39="pvp",MIN(15,15)/15,IF(AND(Inputs!$B$39&lt;&gt;"pvp",Inputs!$B$44&gt;0),MIN(15,Inputs!$B$44)/(Inputs!$B$44),0))),0)))&gt;=100),CHOOSE(ArtifactsInput!$N$42+1,40,48,56,64,72,80),0))))/100)*(((1+(((C2591=TRUE)*F2591*IF(AND(Inputs!$B$39&lt;&gt;"pvp",Inputs!$B$44&gt;0),(((R2591-1)*MIN((Skills!Y22*(1+Inputs!$B$34/100)),(1/Q2591))+MIN((Skills!Y22*(1+Inputs!$B$34/100)),MAX(0,Inputs!$B$44-((R2591-1)*(1/Q2591)))))/Inputs!$B$44),IF(Inputs!$B$39="pvp",MIN((Skills!Y22*(1+Inputs!$B$34/100)),15)/15,MIN(1,(Skills!Y22*(1+Inputs!$B$34/100))/(1/Q2591)))))+((C2572=TRUE)*F2572*3)+((C2574=TRUE)*F2574*(1-EXP(-0.75*B2607*5)))+((C2593=TRUE)*(F2593-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2580=TRUE)*F2580*IF(AND(Inputs!$B$39&lt;&gt;"pvp",Inputs!$B$44&gt;0),(((R2580-1)*MIN((Skills!Y11*(1+Inputs!$B$34/100)),(1/Q2580))+MIN((Skills!Y11*(1+Inputs!$B$34/100)),MAX(0,Inputs!$B$44-((R2580-1)*(1/Q2580)))))/Inputs!$B$44),IF(Inputs!$B$39="pvp",MIN((Skills!Y11*(1+Inputs!$B$34/100)),15)/15,MIN(1,(Skills!Y11*(1+Inputs!$B$34/100))/(1/Q2580)))))/100)*(1+((C2585=TRUE)*F2585*IF(AND(Inputs!$B$39&lt;&gt;"pvp",Inputs!$B$44&gt;0),(((R2585-1)*MIN((Skills!Y16*(1+Inputs!$B$34/100)),(1/Q2585))+MIN((Skills!Y16*(1+Inputs!$B$34/100)),MAX(0,Inputs!$B$44-((R2585-1)*(1/Q2585)))))/Inputs!$B$44),IF(Inputs!$B$39="pvp",MIN((Skills!Y16*(1+Inputs!$B$34/100)),15)/15,MIN(1,(Skills!Y16*(1+Inputs!$B$34/100))/(1/Q2585)))))/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2605*I2578)</f>
        <v/>
      </c>
      <c r="L2578">
        <f>K2578*(MIN(Inputs!$B$22+((C2594=TRUE)*(F2594-Calc!F25)),(Inputs!$B$23+((C2599=TRUE)*(F2599-Calc!F30))+IF(ArtifactsInput!$M$15,CHOOSE(ArtifactsInput!$N$15+1,25,30,35,40,45,50)/100*(Inputs!$B$11-Inputs!$B$11),0)))/100+(Inputs!$B$23+((C2599=TRUE)*(F2599-Calc!F30))+IF(ArtifactsInput!$M$15,CHOOSE(ArtifactsInput!$N$15+1,25,30,35,40,45,50)/100*(Inputs!$B$11-Inputs!$B$11),0))/100)/2</f>
        <v/>
      </c>
      <c r="M2578">
        <f>L2578*(1+(Inputs!$B$10+((C2596=TRUE)*(F2596-Calc!F27))+B2610+(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2578">
        <f>L2578*(1-MIN((Inputs!$B$9+((C2595=TRUE)*(F2595-Calc!F26))+B2603+(ArtifactsInput!$M$24-ArtifactsInput!$M$24)*CHOOSE(ArtifactsInput!$N$24+1,10,12,14,16,18,20)+(IF(AND(Inputs!$B$39&lt;&gt;"pvp",Inputs!$B$44=0),1,IF(IF(Inputs!$B$39="pvp",15,Inputs!$B$44)-(B2614)&lt;=0,1,MAX(0,IF(Inputs!$B$39="pvp",15,Inputs!$B$44)-MAX(5,B2614))/(IF(Inputs!$B$39="pvp",15,Inputs!$B$44)-(B2614))))*IF(AND(ArtifactsInput!$M$42,((Inputs!$B$9+((C2595=TRUE)*(F2595-Calc!F26))+B2603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2578*(MIN((Inputs!$B$9+((C2595=TRUE)*(F2595-Calc!F26))+B2603+(ArtifactsInput!$M$24-ArtifactsInput!$M$24)*CHOOSE(ArtifactsInput!$N$24+1,10,12,14,16,18,20)+(IF(AND(Inputs!$B$39&lt;&gt;"pvp",Inputs!$B$44=0),1,IF(IF(Inputs!$B$39="pvp",15,Inputs!$B$44)-(B2614)&lt;=0,1,MAX(0,IF(Inputs!$B$39="pvp",15,Inputs!$B$44)-MAX(5,B2614))/(IF(Inputs!$B$39="pvp",15,Inputs!$B$44)-(B2614))))*IF(AND(ArtifactsInput!$M$42,((Inputs!$B$9+((C2595=TRUE)*(F2595-Calc!F26))+B2603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578">
        <f>(1-Summary!$B$11)*T2578+Summary!$B$11*V2578</f>
        <v/>
      </c>
      <c r="P2578">
        <f>IF(B2615=0,0,O2578/B2615)</f>
        <v/>
      </c>
      <c r="Q2578">
        <f>IFERROR(1/IF(Inputs!$B$39="pvp",15,MAX(0.1,Skills!D9-IF(FALSE=TRUE,Inputs!$B$32,0))),0)</f>
        <v/>
      </c>
      <c r="R2578">
        <f>IF(AND(Inputs!$B$39&lt;&gt;"pvp",Inputs!$B$44&gt;0),IF(MAX(0,Inputs!$B$44-B2614)&lt;=0,0,(INT(MAX(0,Inputs!$B$44-B2614)/IF(Inputs!$B$39="pvp",15,MAX(0.1,Skills!D9-IF(FALSE=TRUE,Inputs!$B$32,0))))+1)),0)</f>
        <v/>
      </c>
      <c r="S2578">
        <f>IFERROR(O2578/N2578,0)</f>
        <v/>
      </c>
      <c r="T2578">
        <f>IF(C2578,(H2578*N2578*IF(AND(Inputs!$B$39&lt;&gt;"pvp",Inputs!$B$44&gt;0),((Skills!G9*((R2578-1)*IF(Skills!H9&gt;0,Skills!I9/Skills!H9,1)+IF(Skills!H9&gt;0,MIN(Skills!I9,MAX(0,MAX(0,Inputs!$B$44-B2614)-((R2578-1)*IF(Inputs!$B$39="pvp",15,MAX(0.1,Skills!D9-IF(FALSE=TRUE,Inputs!$B$32,0))))))/Skills!H9,1)))/Inputs!$B$44),G2578*Q2578))*IF(Inputs!$B$39="pvp",1,1+(Inputs!$B$20+0+Skills!P9+B2604+(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Hunt"),CHOOSE(ArtifactsInput!$N$35+1,15,18,21,24,27,30)*(1-EXP(-(0.2*B2607)*5)),0)+IF(AND(ArtifactsInput!$M$22,Inputs!$B$4&lt;&gt;"Chapter Hunt"),CHOOSE(ArtifactsInput!$N$22+1,10,12,14,16,18,20)*((0*(((0.15*B2607*5))^0/1)+1*(((0.15*B2607*5))^1/1)+2*(((0.15*B2607*5))^2/2)+3*(((0.15*B2607*5))^3/6)+4*(((0.15*B2607*5))^4/24)+5*(((0.15*B2607*5))^5/120))/((((0.15*B2607*5))^0/1)+(((0.15*B2607*5))^1/1)+(((0.15*B2607*5))^2/2)+(((0.15*B2607*5))^3/6)+(((0.15*B2607*5))^4/24)+(((0.15*B2607*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2578*(1-MIN(100,(Inputs!$B$9+((C2595=TRUE)*(F2595-Calc!F26))+B2603+(ArtifactsInput!$M$24-ArtifactsInput!$M$24)*CHOOSE(ArtifactsInput!$N$24+1,10,12,14,16,18,20)+(IF(AND(Inputs!$B$39&lt;&gt;"pvp",Inputs!$B$44=0),1,IF(IF(Inputs!$B$39="pvp",15,Inputs!$B$44)-(B2614)&lt;=0,1,MAX(0,IF(Inputs!$B$39="pvp",15,Inputs!$B$44)-MAX(5,B2614))/(IF(Inputs!$B$39="pvp",15,Inputs!$B$44)-(B2614))))*IF(AND(ArtifactsInput!$M$42,((Inputs!$B$9+((C2595=TRUE)*(F2595-Calc!F26))+B2603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2578*(MIN(100,(Inputs!$B$9+((C2595=TRUE)*(F2595-Calc!F26))+B2603+(ArtifactsInput!$M$24-ArtifactsInput!$M$24)*CHOOSE(ArtifactsInput!$N$24+1,10,12,14,16,18,20)+(IF(AND(Inputs!$B$39&lt;&gt;"pvp",Inputs!$B$44=0),1,IF(IF(Inputs!$B$39="pvp",15,Inputs!$B$44)-(B2614)&lt;=0,1,MAX(0,IF(Inputs!$B$39="pvp",15,Inputs!$B$44)-MAX(5,B2614))/(IF(Inputs!$B$39="pvp",15,Inputs!$B$44)-(B2614))))*IF(AND(ArtifactsInput!$M$42,((Inputs!$B$9+((C2595=TRUE)*(F2595-Calc!F26))+B2603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2578*(1-MIN(100,(Inputs!$B$9+((C2595=TRUE)*(F2595-Calc!F26))+B2603+(ArtifactsInput!$M$24-ArtifactsInput!$M$24)*CHOOSE(ArtifactsInput!$N$24+1,10,12,14,16,18,20)+(IF(AND(Inputs!$B$39&lt;&gt;"pvp",Inputs!$B$44=0),1,IF(IF(Inputs!$B$39="pvp",15,Inputs!$B$44)-(B2614)&lt;=0,1,MAX(0,IF(Inputs!$B$39="pvp",15,Inputs!$B$44)-MAX(5,B2614))/(IF(Inputs!$B$39="pvp",15,Inputs!$B$44)-(B2614))))*IF(AND(ArtifactsInput!$M$42,((Inputs!$B$9+((C2595=TRUE)*(F2595-Calc!F26))+B2603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2578*(MIN(100,(Inputs!$B$9+((C2595=TRUE)*(F2595-Calc!F26))+B2603+(ArtifactsInput!$M$24-ArtifactsInput!$M$24)*CHOOSE(ArtifactsInput!$N$24+1,10,12,14,16,18,20)+(IF(AND(Inputs!$B$39&lt;&gt;"pvp",Inputs!$B$44=0),1,IF(IF(Inputs!$B$39="pvp",15,Inputs!$B$44)-(B2614)&lt;=0,1,MAX(0,IF(Inputs!$B$39="pvp",15,Inputs!$B$44)-MAX(5,B2614))/(IF(Inputs!$B$39="pvp",15,Inputs!$B$44)-(B2614))))*IF(AND(ArtifactsInput!$M$42,((Inputs!$B$9+((C2595=TRUE)*(F2595-Calc!F26))+B2603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578">
        <f>IF(C2578,(H2578*N2578*IF(AND(Inputs!$B$39&lt;&gt;"pvp",Inputs!$B$44&gt;0),((Skills!G9*((R2578-1)*IF(Skills!H9&gt;0,Skills!I9/Skills!H9,1)+IF(Skills!H9&gt;0,MIN(Skills!I9,MAX(0,MAX(0,Inputs!$B$44-B2614)-((R2578-1)*IF(Inputs!$B$39="pvp",15,MAX(0.1,Skills!D9-IF(FALSE=TRUE,Inputs!$B$32,0))))))/Skills!H9,1)))/Inputs!$B$44),G2578*Q2578))*IF(Inputs!$B$39="pvp",1,(1+(Inputs!$B$21+Skills!Q9+B2604+(IF(ArtifactsInput!$M$33,CHOOSE(ArtifactsInput!$N$33+1,30,36,42,48,54,60),0))+(IF(AND(ArtifactsInput!$M$35,Inputs!$B$4&lt;&gt;"Chapter Hunt"),CHOOSE(ArtifactsInput!$N$35+1,15,18,21,24,27,30)*(1-EXP(-(0.2*B2607)*5)),0)+IF(AND(ArtifactsInput!$M$22,Inputs!$B$4&lt;&gt;"Chapter Hunt"),CHOOSE(ArtifactsInput!$N$22+1,10,12,14,16,18,20)*((0*(((0.15*B2607*5))^0/1)+1*(((0.15*B2607*5))^1/1)+2*(((0.15*B2607*5))^2/2)+3*(((0.15*B2607*5))^3/6)+4*(((0.15*B2607*5))^4/24)+5*(((0.15*B2607*5))^5/120))/((((0.15*B2607*5))^0/1)+(((0.15*B2607*5))^1/1)+(((0.15*B2607*5))^2/2)+(((0.15*B2607*5))^3/6)+(((0.15*B2607*5))^4/24)+(((0.15*B2607*5))^5/120))),0)))/100)*(MIN(Skills!W9,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579">
      <c r="A2579">
        <f>Skills!A10</f>
        <v/>
      </c>
      <c r="B2579">
        <f>Skills!B10</f>
        <v/>
      </c>
      <c r="C2579">
        <f>Inputs!$B$3&gt;=117</f>
        <v/>
      </c>
      <c r="D2579">
        <f>IF(Skills!C10=1,60+Inputs!$B$25+Inputs!$B$29,IF(Skills!C10=2,90+Inputs!$B$26+Inputs!$B$29,IF(Skills!C10=3,120+Inputs!$B$27+Inputs!$B$29,MAX(0,(Inputs!$B$3-100)*3)+Inputs!$B$28+Inputs!$B$29)))</f>
        <v/>
      </c>
      <c r="E2579">
        <f>INDEX(FactorTable!$B$2:$Y$301, MATCH(ROUND(MIN(300,MAX(1,D2579)),0), FactorTable!$A$2:$A$301,0), Skills!M10+1)</f>
        <v/>
      </c>
      <c r="F2579">
        <f>IF(Skills!N10=TRUE,(Skills!L10/10)*(E2579/1000),Skills!L10/10)+Skills!O10</f>
        <v/>
      </c>
      <c r="G2579">
        <f>Skills!G10*IF(Skills!H10&gt;0,IF(Inputs!$B$39="pvp",MIN(Skills!I10,15),Skills!I10)/Skills!H10,1)</f>
        <v/>
      </c>
      <c r="H2579">
        <f>1-(1-Skills!J10/100)^Skills!K10</f>
        <v/>
      </c>
      <c r="I2579" t="inlineStr">
        <is>
          <t>1</t>
        </is>
      </c>
      <c r="J2579">
        <f>((Inputs!$B$6*(1+Inputs!$B$7/100))+(((Inputs!$B$12*(1+Inputs!$B$13/100))-(Inputs!$B$12*(1+Inputs!$B$13/100)))+0.25*(Inputs!$B$14-Inputs!$B$14))*(1+Inputs!$B$7/100))*(F2579/100)</f>
        <v/>
      </c>
      <c r="K2579">
        <f>J2579*(1+((Inputs!$B$12*(1+Inputs!$B$13/100))*0.01+Inputs!$B$14*0.0025)/100)*(1+Inputs!$B$15/100)*(1+Inputs!$B$16/100)*(5000/(6000+Inputs!$B$43*(1-(100*(1-(1-Inputs!$B$19/100)*(1-CHOOSE(ArtifactsInput!$N$40+1,5,6,7,8,9,10)/100)^(ArtifactsInput!$M$40-ArtifactsInput!$M$40)))/100)))*(1+(Inputs!$B$24+((C2600=TRUE)*(F2600-Calc!F31))+((C2587=TRUE)*(F2587-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IF(ArtifactsInput!$M$29,FALSE,TRUE)-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10="CRUEL_STAB",Inputs!$B$17+((C2597=TRUE)*(F2597-Calc!F28))+((IF(AND(Inputs!$B$39&lt;&gt;"pvp",Inputs!$B$44=0),1,IF(IF(Inputs!$B$39="pvp",15,Inputs!$B$44)-(B2614)&lt;=0,1,MAX(0,IF(Inputs!$B$39="pvp",15,Inputs!$B$44)-MAX(5,B2614))/(IF(Inputs!$B$39="pvp",15,Inputs!$B$44)-(B2614))))*(IF(AND(ArtifactsInput!$M$42,((Inputs!$B$9+((C2595=TRUE)*(F2595-Calc!F26))+B2603+(ArtifactsInput!$M$24-ArtifactsInput!$M$24)*CHOOSE(ArtifactsInput!$N$24+1,10,12,14,16,18,20)+IF(ArtifactsInput!$M$10,CHOOSE(ArtifactsInput!$N$10+1,15,18,21,24,27,30)*(IF(Inputs!$B$39="pvp",MIN(15,15)/15,IF(AND(Inputs!$B$39&lt;&gt;"pvp",Inputs!$B$44&gt;0),MIN(15,Inputs!$B$44)/(Inputs!$B$44),0))),0)))&gt;=100),MIN(100,((Inputs!$B$9+((C2595=TRUE)*(F2595-Calc!F26))+B2603+(ArtifactsInput!$M$24-ArtifactsInput!$M$24)*CHOOSE(ArtifactsInput!$N$24+1,10,12,14,16,18,20)+IF(ArtifactsInput!$M$10,CHOOSE(ArtifactsInput!$N$10+1,15,18,21,24,27,30)*(IF(Inputs!$B$39="pvp",MIN(15,15)/15,IF(AND(Inputs!$B$39&lt;&gt;"pvp",Inputs!$B$44&gt;0),MIN(15,Inputs!$B$44)/(Inputs!$B$44),0))),0)))-100),0))*CHOOSE(ArtifactsInput!$N$42+1,0.6,0.72,0.84,0.96,1.08,1.2))),Inputs!$B$18+((C2598=TRUE)*(F2598-Calc!F29))+(IF(AND(Inputs!$B$39&lt;&gt;"pvp",Inputs!$B$44=0),1,IF(IF(Inputs!$B$39="pvp",15,Inputs!$B$44)-(B2614)&lt;=0,1,MAX(0,IF(Inputs!$B$39="pvp",15,Inputs!$B$44)-MAX(5,B2614))/(IF(Inputs!$B$39="pvp",15,Inputs!$B$44)-(B2614))))*IF(AND(ArtifactsInput!$M$42,((Inputs!$B$9+((C2595=TRUE)*(F2595-Calc!F26))+B2603+(ArtifactsInput!$M$24-ArtifactsInput!$M$24)*CHOOSE(ArtifactsInput!$N$24+1,10,12,14,16,18,20)+IF(ArtifactsInput!$M$10,CHOOSE(ArtifactsInput!$N$10+1,15,18,21,24,27,30)*(IF(Inputs!$B$39="pvp",MIN(15,15)/15,IF(AND(Inputs!$B$39&lt;&gt;"pvp",Inputs!$B$44&gt;0),MIN(15,Inputs!$B$44)/(Inputs!$B$44),0))),0)))&gt;=100),CHOOSE(ArtifactsInput!$N$42+1,40,48,56,64,72,80),0))))/100)*(((1+(((C2591=TRUE)*F2591*IF(AND(Inputs!$B$39&lt;&gt;"pvp",Inputs!$B$44&gt;0),(((R2591-1)*MIN((Skills!Y22*(1+Inputs!$B$34/100)),(1/Q2591))+MIN((Skills!Y22*(1+Inputs!$B$34/100)),MAX(0,Inputs!$B$44-((R2591-1)*(1/Q2591)))))/Inputs!$B$44),IF(Inputs!$B$39="pvp",MIN((Skills!Y22*(1+Inputs!$B$34/100)),15)/15,MIN(1,(Skills!Y22*(1+Inputs!$B$34/100))/(1/Q2591)))))+((C2572=TRUE)*F2572*3)+((C2574=TRUE)*F2574*(1-EXP(-0.75*B2607*5)))+((C2593=TRUE)*(F2593-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2580=TRUE)*F2580*IF(AND(Inputs!$B$39&lt;&gt;"pvp",Inputs!$B$44&gt;0),(((R2580-1)*MIN((Skills!Y11*(1+Inputs!$B$34/100)),(1/Q2580))+MIN((Skills!Y11*(1+Inputs!$B$34/100)),MAX(0,Inputs!$B$44-((R2580-1)*(1/Q2580)))))/Inputs!$B$44),IF(Inputs!$B$39="pvp",MIN((Skills!Y11*(1+Inputs!$B$34/100)),15)/15,MIN(1,(Skills!Y11*(1+Inputs!$B$34/100))/(1/Q2580)))))/100)*(1+((C2585=TRUE)*F2585*IF(AND(Inputs!$B$39&lt;&gt;"pvp",Inputs!$B$44&gt;0),(((R2585-1)*MIN((Skills!Y16*(1+Inputs!$B$34/100)),(1/Q2585))+MIN((Skills!Y16*(1+Inputs!$B$34/100)),MAX(0,Inputs!$B$44-((R2585-1)*(1/Q2585)))))/Inputs!$B$44),IF(Inputs!$B$39="pvp",MIN((Skills!Y16*(1+Inputs!$B$34/100)),15)/15,MIN(1,(Skills!Y16*(1+Inputs!$B$34/100))/(1/Q2585)))))/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2605*I2579)</f>
        <v/>
      </c>
      <c r="L2579">
        <f>K2579*(MIN(Inputs!$B$22+((C2594=TRUE)*(F2594-Calc!F25)),(Inputs!$B$23+((C2599=TRUE)*(F2599-Calc!F30))+IF(ArtifactsInput!$M$15,CHOOSE(ArtifactsInput!$N$15+1,25,30,35,40,45,50)/100*(Inputs!$B$11-Inputs!$B$11),0)))/100+(Inputs!$B$23+((C2599=TRUE)*(F2599-Calc!F30))+IF(ArtifactsInput!$M$15,CHOOSE(ArtifactsInput!$N$15+1,25,30,35,40,45,50)/100*(Inputs!$B$11-Inputs!$B$11),0))/100)/2</f>
        <v/>
      </c>
      <c r="M2579">
        <f>L2579*(1+(Inputs!$B$10+((C2596=TRUE)*(F2596-Calc!F27))+B2610+(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2579">
        <f>L2579*(1-MIN((Inputs!$B$9+((C2595=TRUE)*(F2595-Calc!F26))+B2603+(ArtifactsInput!$M$24-ArtifactsInput!$M$24)*CHOOSE(ArtifactsInput!$N$24+1,10,12,14,16,18,20)+(IF(AND(Inputs!$B$39&lt;&gt;"pvp",Inputs!$B$44=0),1,IF(IF(Inputs!$B$39="pvp",15,Inputs!$B$44)-(B2614)&lt;=0,1,MAX(0,IF(Inputs!$B$39="pvp",15,Inputs!$B$44)-MAX(5,B2614))/(IF(Inputs!$B$39="pvp",15,Inputs!$B$44)-(B2614))))*IF(AND(ArtifactsInput!$M$42,((Inputs!$B$9+((C2595=TRUE)*(F2595-Calc!F26))+B2603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2579*(MIN((Inputs!$B$9+((C2595=TRUE)*(F2595-Calc!F26))+B2603+(ArtifactsInput!$M$24-ArtifactsInput!$M$24)*CHOOSE(ArtifactsInput!$N$24+1,10,12,14,16,18,20)+(IF(AND(Inputs!$B$39&lt;&gt;"pvp",Inputs!$B$44=0),1,IF(IF(Inputs!$B$39="pvp",15,Inputs!$B$44)-(B2614)&lt;=0,1,MAX(0,IF(Inputs!$B$39="pvp",15,Inputs!$B$44)-MAX(5,B2614))/(IF(Inputs!$B$39="pvp",15,Inputs!$B$44)-(B2614))))*IF(AND(ArtifactsInput!$M$42,((Inputs!$B$9+((C2595=TRUE)*(F2595-Calc!F26))+B2603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579">
        <f>(1-Summary!$B$11)*T2579+Summary!$B$11*V2579</f>
        <v/>
      </c>
      <c r="P2579">
        <f>IF(B2615=0,0,O2579/B2615)</f>
        <v/>
      </c>
      <c r="Q2579" t="n">
        <v>0</v>
      </c>
      <c r="R2579" t="n">
        <v>0</v>
      </c>
      <c r="S2579" t="n">
        <v>0</v>
      </c>
      <c r="T2579">
        <f>IF(C2579,(0.2*SUMPRODUCT((Skills!Z2:Z31=TRUE)*(C2571:C2600=TRUE)*S2571:S2600)*N2579)*IF(Inputs!$B$39="pvp",1,1+(Inputs!$B$20+0+Skills!P10+B2604+(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Hunt"),CHOOSE(ArtifactsInput!$N$35+1,15,18,21,24,27,30)*(1-EXP(-(0.2*B2607)*5)),0)+IF(AND(ArtifactsInput!$M$22,Inputs!$B$4&lt;&gt;"Chapter Hunt"),CHOOSE(ArtifactsInput!$N$22+1,10,12,14,16,18,20)*((0*(((0.15*B2607*5))^0/1)+1*(((0.15*B2607*5))^1/1)+2*(((0.15*B2607*5))^2/2)+3*(((0.15*B2607*5))^3/6)+4*(((0.15*B2607*5))^4/24)+5*(((0.15*B2607*5))^5/120))/((((0.15*B2607*5))^0/1)+(((0.15*B2607*5))^1/1)+(((0.15*B2607*5))^2/2)+(((0.15*B2607*5))^3/6)+(((0.15*B2607*5))^4/24)+(((0.15*B2607*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2579*(1-MIN(100,(Inputs!$B$9+((C2595=TRUE)*(F2595-Calc!F26))+B2603+(ArtifactsInput!$M$24-ArtifactsInput!$M$24)*CHOOSE(ArtifactsInput!$N$24+1,10,12,14,16,18,20)+(IF(AND(Inputs!$B$39&lt;&gt;"pvp",Inputs!$B$44=0),1,IF(IF(Inputs!$B$39="pvp",15,Inputs!$B$44)-(B2614)&lt;=0,1,MAX(0,IF(Inputs!$B$39="pvp",15,Inputs!$B$44)-MAX(5,B2614))/(IF(Inputs!$B$39="pvp",15,Inputs!$B$44)-(B2614))))*IF(AND(ArtifactsInput!$M$42,((Inputs!$B$9+((C2595=TRUE)*(F2595-Calc!F26))+B2603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2579*(MIN(100,(Inputs!$B$9+((C2595=TRUE)*(F2595-Calc!F26))+B2603+(ArtifactsInput!$M$24-ArtifactsInput!$M$24)*CHOOSE(ArtifactsInput!$N$24+1,10,12,14,16,18,20)+(IF(AND(Inputs!$B$39&lt;&gt;"pvp",Inputs!$B$44=0),1,IF(IF(Inputs!$B$39="pvp",15,Inputs!$B$44)-(B2614)&lt;=0,1,MAX(0,IF(Inputs!$B$39="pvp",15,Inputs!$B$44)-MAX(5,B2614))/(IF(Inputs!$B$39="pvp",15,Inputs!$B$44)-(B2614))))*IF(AND(ArtifactsInput!$M$42,((Inputs!$B$9+((C2595=TRUE)*(F2595-Calc!F26))+B2603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2579*(1-MIN(100,(Inputs!$B$9+((C2595=TRUE)*(F2595-Calc!F26))+B2603+(ArtifactsInput!$M$24-ArtifactsInput!$M$24)*CHOOSE(ArtifactsInput!$N$24+1,10,12,14,16,18,20)+(IF(AND(Inputs!$B$39&lt;&gt;"pvp",Inputs!$B$44=0),1,IF(IF(Inputs!$B$39="pvp",15,Inputs!$B$44)-(B2614)&lt;=0,1,MAX(0,IF(Inputs!$B$39="pvp",15,Inputs!$B$44)-MAX(5,B2614))/(IF(Inputs!$B$39="pvp",15,Inputs!$B$44)-(B2614))))*IF(AND(ArtifactsInput!$M$42,((Inputs!$B$9+((C2595=TRUE)*(F2595-Calc!F26))+B2603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2579*(MIN(100,(Inputs!$B$9+((C2595=TRUE)*(F2595-Calc!F26))+B2603+(ArtifactsInput!$M$24-ArtifactsInput!$M$24)*CHOOSE(ArtifactsInput!$N$24+1,10,12,14,16,18,20)+(IF(AND(Inputs!$B$39&lt;&gt;"pvp",Inputs!$B$44=0),1,IF(IF(Inputs!$B$39="pvp",15,Inputs!$B$44)-(B2614)&lt;=0,1,MAX(0,IF(Inputs!$B$39="pvp",15,Inputs!$B$44)-MAX(5,B2614))/(IF(Inputs!$B$39="pvp",15,Inputs!$B$44)-(B2614))))*IF(AND(ArtifactsInput!$M$42,((Inputs!$B$9+((C2595=TRUE)*(F2595-Calc!F26))+B2603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579">
        <f>IF(C2579,(0.2*SUMPRODUCT((Skills!Z2:Z31=TRUE)*(C2571:C2600=TRUE)*S2571:S2600)*N2579)*IF(Inputs!$B$39="pvp",1,(1+(Inputs!$B$21+Skills!Q10+B2604+(IF(ArtifactsInput!$M$33,CHOOSE(ArtifactsInput!$N$33+1,30,36,42,48,54,60),0))+(IF(AND(ArtifactsInput!$M$35,Inputs!$B$4&lt;&gt;"Chapter Hunt"),CHOOSE(ArtifactsInput!$N$35+1,15,18,21,24,27,30)*(1-EXP(-(0.2*B2607)*5)),0)+IF(AND(ArtifactsInput!$M$22,Inputs!$B$4&lt;&gt;"Chapter Hunt"),CHOOSE(ArtifactsInput!$N$22+1,10,12,14,16,18,20)*((0*(((0.15*B2607*5))^0/1)+1*(((0.15*B2607*5))^1/1)+2*(((0.15*B2607*5))^2/2)+3*(((0.15*B2607*5))^3/6)+4*(((0.15*B2607*5))^4/24)+5*(((0.15*B2607*5))^5/120))/((((0.15*B2607*5))^0/1)+(((0.15*B2607*5))^1/1)+(((0.15*B2607*5))^2/2)+(((0.15*B2607*5))^3/6)+(((0.15*B2607*5))^4/24)+(((0.15*B2607*5))^5/120))),0)))/100)*(MIN(Skills!W10,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580">
      <c r="A2580">
        <f>Skills!A11</f>
        <v/>
      </c>
      <c r="B2580">
        <f>Skills!B11</f>
        <v/>
      </c>
      <c r="C2580">
        <f>Inputs!$B$3&gt;=74</f>
        <v/>
      </c>
      <c r="D2580">
        <f>IF(Skills!C11=1,60+Inputs!$B$25+Inputs!$B$29,IF(Skills!C11=2,90+Inputs!$B$26+Inputs!$B$29,IF(Skills!C11=3,120+Inputs!$B$27+Inputs!$B$29,MAX(0,(Inputs!$B$3-100)*3)+Inputs!$B$28+Inputs!$B$29)))</f>
        <v/>
      </c>
      <c r="E2580">
        <f>INDEX(FactorTable!$B$2:$Y$301, MATCH(ROUND(MIN(300,MAX(1,D2580)),0), FactorTable!$A$2:$A$301,0), Skills!M11+1)</f>
        <v/>
      </c>
      <c r="F2580">
        <f>IF(Skills!N11=TRUE,(Skills!L11/10)*(E2580/1000),Skills!L11/10)+Skills!O11</f>
        <v/>
      </c>
      <c r="G2580">
        <f>Skills!G11*IF(Skills!H11&gt;0,IF(Inputs!$B$39="pvp",MIN(Skills!I11,15),Skills!I11)/Skills!H11,1)</f>
        <v/>
      </c>
      <c r="H2580">
        <f>1-(1-Skills!J11/100)^Skills!K11</f>
        <v/>
      </c>
      <c r="I2580" t="inlineStr">
        <is>
          <t>1</t>
        </is>
      </c>
      <c r="J2580" t="inlineStr"/>
      <c r="K2580" t="inlineStr"/>
      <c r="L2580" t="inlineStr"/>
      <c r="M2580" t="inlineStr"/>
      <c r="N2580" t="inlineStr"/>
      <c r="O2580">
        <f>(1-Summary!$B$11)*T2580+Summary!$B$11*V2580</f>
        <v/>
      </c>
      <c r="P2580">
        <f>IF(B2615=0,0,O2580/B2615)</f>
        <v/>
      </c>
      <c r="Q2580">
        <f>IFERROR(1/IF(Inputs!$B$39="pvp",15,MAX(0.1,Skills!D11-IF(TRUE=TRUE,Inputs!$B$32,0))),0)</f>
        <v/>
      </c>
      <c r="R2580">
        <f>IF(AND(Inputs!$B$39&lt;&gt;"pvp",Inputs!$B$44&gt;0),IF(Inputs!$B$44&lt;=0,0,(INT(Inputs!$B$44/IF(Inputs!$B$39="pvp",15,MAX(0.1,Skills!D11-IF(TRUE=TRUE,Inputs!$B$32,0))))+1)),0)</f>
        <v/>
      </c>
      <c r="S2580">
        <f>IFERROR(O2580/N2580,0)</f>
        <v/>
      </c>
      <c r="T2580" t="n">
        <v>0</v>
      </c>
      <c r="V2580" t="n">
        <v>0</v>
      </c>
    </row>
    <row r="2581">
      <c r="A2581">
        <f>Skills!A12</f>
        <v/>
      </c>
      <c r="B2581">
        <f>Skills!B12</f>
        <v/>
      </c>
      <c r="C2581">
        <f>Inputs!$B$3&gt;=103</f>
        <v/>
      </c>
      <c r="D2581">
        <f>IF(Skills!C12=1,60+Inputs!$B$25+Inputs!$B$29,IF(Skills!C12=2,90+Inputs!$B$26+Inputs!$B$29,IF(Skills!C12=3,120+Inputs!$B$27+Inputs!$B$29,MAX(0,(Inputs!$B$3-100)*3)+Inputs!$B$28+Inputs!$B$29)))</f>
        <v/>
      </c>
      <c r="E2581">
        <f>INDEX(FactorTable!$B$2:$Y$301, MATCH(ROUND(MIN(300,MAX(1,D2581)),0), FactorTable!$A$2:$A$301,0), Skills!M12+1)</f>
        <v/>
      </c>
      <c r="F2581">
        <f>(Skills!L12/10)*(E2581/1000)+IF(Inputs!$B$3&gt;=134,50,0)+0.5*(30000/10)*(INDEX(FactorTable!$B$2:$Y$301, MATCH(ROUND(MIN(300,MAX(1,D2581)),0), FactorTable!$A$2:$A$301,0), 13)/1000)*B2613</f>
        <v/>
      </c>
      <c r="G2581">
        <f>Skills!G12*IF(Skills!H12&gt;0,IF(Inputs!$B$39="pvp",MIN(Skills!I12,15),Skills!I12)/Skills!H12,1)</f>
        <v/>
      </c>
      <c r="H2581">
        <f>1-(1-Skills!J12/100)^Skills!K12</f>
        <v/>
      </c>
      <c r="I2581" t="inlineStr">
        <is>
          <t>1</t>
        </is>
      </c>
      <c r="J2581">
        <f>((Inputs!$B$6*(1+Inputs!$B$7/100))+(((Inputs!$B$12*(1+Inputs!$B$13/100))-(Inputs!$B$12*(1+Inputs!$B$13/100)))+0.25*(Inputs!$B$14-Inputs!$B$14))*(1+Inputs!$B$7/100))*(F2581/100)</f>
        <v/>
      </c>
      <c r="K2581">
        <f>J2581*(1+((Inputs!$B$12*(1+Inputs!$B$13/100))*0.01+Inputs!$B$14*0.0025)/100)*(1+Inputs!$B$15/100)*(1+Inputs!$B$16/100)*(5000/(6000+Inputs!$B$43*(1-(100*(1-(1-Inputs!$B$19/100)*(1-CHOOSE(ArtifactsInput!$N$40+1,5,6,7,8,9,10)/100)^(ArtifactsInput!$M$40-ArtifactsInput!$M$40)))/100)))*(1+(Inputs!$B$24+((C2600=TRUE)*(F2600-Calc!F31))+((C2587=TRUE)*(F2587-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IF(ArtifactsInput!$M$29,FALSE,TRUE)-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12="CRUEL_STAB",Inputs!$B$17+((C2597=TRUE)*(F2597-Calc!F28))+((IF(AND(Inputs!$B$39&lt;&gt;"pvp",Inputs!$B$44=0),1,IF(IF(Inputs!$B$39="pvp",15,Inputs!$B$44)-(B2614)&lt;=0,1,MAX(0,IF(Inputs!$B$39="pvp",15,Inputs!$B$44)-MAX(5,B2614))/(IF(Inputs!$B$39="pvp",15,Inputs!$B$44)-(B2614))))*(IF(AND(ArtifactsInput!$M$42,((Inputs!$B$9+((C2595=TRUE)*(F2595-Calc!F26))+B2603+(ArtifactsInput!$M$24-ArtifactsInput!$M$24)*CHOOSE(ArtifactsInput!$N$24+1,10,12,14,16,18,20)+IF(ArtifactsInput!$M$10,CHOOSE(ArtifactsInput!$N$10+1,15,18,21,24,27,30)*(IF(Inputs!$B$39="pvp",MIN(15,15)/15,IF(AND(Inputs!$B$39&lt;&gt;"pvp",Inputs!$B$44&gt;0),MIN(15,Inputs!$B$44)/(Inputs!$B$44),0))),0)))&gt;=100),MIN(100,((Inputs!$B$9+((C2595=TRUE)*(F2595-Calc!F26))+B2603+(ArtifactsInput!$M$24-ArtifactsInput!$M$24)*CHOOSE(ArtifactsInput!$N$24+1,10,12,14,16,18,20)+IF(ArtifactsInput!$M$10,CHOOSE(ArtifactsInput!$N$10+1,15,18,21,24,27,30)*(IF(Inputs!$B$39="pvp",MIN(15,15)/15,IF(AND(Inputs!$B$39&lt;&gt;"pvp",Inputs!$B$44&gt;0),MIN(15,Inputs!$B$44)/(Inputs!$B$44),0))),0)))-100),0))*CHOOSE(ArtifactsInput!$N$42+1,0.6,0.72,0.84,0.96,1.08,1.2))),Inputs!$B$18+((C2598=TRUE)*(F2598-Calc!F29))+(IF(AND(Inputs!$B$39&lt;&gt;"pvp",Inputs!$B$44=0),1,IF(IF(Inputs!$B$39="pvp",15,Inputs!$B$44)-(B2614)&lt;=0,1,MAX(0,IF(Inputs!$B$39="pvp",15,Inputs!$B$44)-MAX(5,B2614))/(IF(Inputs!$B$39="pvp",15,Inputs!$B$44)-(B2614))))*IF(AND(ArtifactsInput!$M$42,((Inputs!$B$9+((C2595=TRUE)*(F2595-Calc!F26))+B2603+(ArtifactsInput!$M$24-ArtifactsInput!$M$24)*CHOOSE(ArtifactsInput!$N$24+1,10,12,14,16,18,20)+IF(ArtifactsInput!$M$10,CHOOSE(ArtifactsInput!$N$10+1,15,18,21,24,27,30)*(IF(Inputs!$B$39="pvp",MIN(15,15)/15,IF(AND(Inputs!$B$39&lt;&gt;"pvp",Inputs!$B$44&gt;0),MIN(15,Inputs!$B$44)/(Inputs!$B$44),0))),0)))&gt;=100),CHOOSE(ArtifactsInput!$N$42+1,40,48,56,64,72,80),0))))/100)*(((1+(((C2591=TRUE)*F2591*IF(AND(Inputs!$B$39&lt;&gt;"pvp",Inputs!$B$44&gt;0),(((R2591-1)*MIN((Skills!Y22*(1+Inputs!$B$34/100)),(1/Q2591))+MIN((Skills!Y22*(1+Inputs!$B$34/100)),MAX(0,Inputs!$B$44-((R2591-1)*(1/Q2591)))))/Inputs!$B$44),IF(Inputs!$B$39="pvp",MIN((Skills!Y22*(1+Inputs!$B$34/100)),15)/15,MIN(1,(Skills!Y22*(1+Inputs!$B$34/100))/(1/Q2591)))))+((C2572=TRUE)*F2572*3)+((C2574=TRUE)*F2574*(1-EXP(-0.75*B2607*5)))+((C2593=TRUE)*(F2593-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2580=TRUE)*F2580*IF(AND(Inputs!$B$39&lt;&gt;"pvp",Inputs!$B$44&gt;0),(((R2580-1)*MIN((Skills!Y11*(1+Inputs!$B$34/100)),(1/Q2580))+MIN((Skills!Y11*(1+Inputs!$B$34/100)),MAX(0,Inputs!$B$44-((R2580-1)*(1/Q2580)))))/Inputs!$B$44),IF(Inputs!$B$39="pvp",MIN((Skills!Y11*(1+Inputs!$B$34/100)),15)/15,MIN(1,(Skills!Y11*(1+Inputs!$B$34/100))/(1/Q2580)))))/100)*(1+((C2585=TRUE)*F2585*IF(AND(Inputs!$B$39&lt;&gt;"pvp",Inputs!$B$44&gt;0),(((R2585-1)*MIN((Skills!Y16*(1+Inputs!$B$34/100)),(1/Q2585))+MIN((Skills!Y16*(1+Inputs!$B$34/100)),MAX(0,Inputs!$B$44-((R2585-1)*(1/Q2585)))))/Inputs!$B$44),IF(Inputs!$B$39="pvp",MIN((Skills!Y16*(1+Inputs!$B$34/100)),15)/15,MIN(1,(Skills!Y16*(1+Inputs!$B$34/100))/(1/Q2585)))))/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2605*I2581)</f>
        <v/>
      </c>
      <c r="L2581">
        <f>K2581*(MIN(Inputs!$B$22+((C2594=TRUE)*(F2594-Calc!F25)),(Inputs!$B$23+((C2599=TRUE)*(F2599-Calc!F30))+IF(ArtifactsInput!$M$15,CHOOSE(ArtifactsInput!$N$15+1,25,30,35,40,45,50)/100*(Inputs!$B$11-Inputs!$B$11),0)))/100+(Inputs!$B$23+((C2599=TRUE)*(F2599-Calc!F30))+IF(ArtifactsInput!$M$15,CHOOSE(ArtifactsInput!$N$15+1,25,30,35,40,45,50)/100*(Inputs!$B$11-Inputs!$B$11),0))/100)/2</f>
        <v/>
      </c>
      <c r="M2581">
        <f>L2581*(1+(Inputs!$B$10+((C2596=TRUE)*(F2596-Calc!F27))+B2610+(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2581">
        <f>L2581*(1-MIN((Inputs!$B$9+((C2595=TRUE)*(F2595-Calc!F26))+B2603+(ArtifactsInput!$M$24-ArtifactsInput!$M$24)*CHOOSE(ArtifactsInput!$N$24+1,10,12,14,16,18,20)+(IF(AND(Inputs!$B$39&lt;&gt;"pvp",Inputs!$B$44=0),1,IF(IF(Inputs!$B$39="pvp",15,Inputs!$B$44)-(B2614)&lt;=0,1,MAX(0,IF(Inputs!$B$39="pvp",15,Inputs!$B$44)-MAX(5,B2614))/(IF(Inputs!$B$39="pvp",15,Inputs!$B$44)-(B2614))))*IF(AND(ArtifactsInput!$M$42,((Inputs!$B$9+((C2595=TRUE)*(F2595-Calc!F26))+B2603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2581*(MIN((Inputs!$B$9+((C2595=TRUE)*(F2595-Calc!F26))+B2603+(ArtifactsInput!$M$24-ArtifactsInput!$M$24)*CHOOSE(ArtifactsInput!$N$24+1,10,12,14,16,18,20)+(IF(AND(Inputs!$B$39&lt;&gt;"pvp",Inputs!$B$44=0),1,IF(IF(Inputs!$B$39="pvp",15,Inputs!$B$44)-(B2614)&lt;=0,1,MAX(0,IF(Inputs!$B$39="pvp",15,Inputs!$B$44)-MAX(5,B2614))/(IF(Inputs!$B$39="pvp",15,Inputs!$B$44)-(B2614))))*IF(AND(ArtifactsInput!$M$42,((Inputs!$B$9+((C2595=TRUE)*(F2595-Calc!F26))+B2603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581">
        <f>(1-Summary!$B$11)*T2581+Summary!$B$11*V2581</f>
        <v/>
      </c>
      <c r="P2581">
        <f>IF(B2615=0,0,O2581/B2615)</f>
        <v/>
      </c>
      <c r="Q2581">
        <f>IFERROR(1/IF(Inputs!$B$39="pvp",15,MAX(0.1,Skills!D12-IF(TRUE=TRUE,Inputs!$B$32,0))),0)</f>
        <v/>
      </c>
      <c r="R2581">
        <f>IF(AND(Inputs!$B$39&lt;&gt;"pvp",Inputs!$B$44&gt;0),IF(MAX(0,Inputs!$B$44-B2614)&lt;=0,0,(INT(MAX(0,Inputs!$B$44-B2614)/IF(Inputs!$B$39="pvp",15,MAX(0.1,Skills!D12-IF(TRUE=TRUE,Inputs!$B$32,0))))+1)),0)</f>
        <v/>
      </c>
      <c r="S2581">
        <f>IFERROR(O2581/N2581,0)</f>
        <v/>
      </c>
      <c r="T2581">
        <f>IF(C2581,(H2581*N2581*IF(AND(Inputs!$B$39&lt;&gt;"pvp",Inputs!$B$44&gt;0),((Skills!G12*((R2581-1)*IF(Skills!H12&gt;0,Skills!I12/Skills!H12,1)+IF(Skills!H12&gt;0,MIN(Skills!I12,MAX(0,MAX(0,Inputs!$B$44-B2614)-((R2581-1)*IF(Inputs!$B$39="pvp",15,MAX(0.1,Skills!D12-IF(TRUE=TRUE,Inputs!$B$32,0))))))/Skills!H12,1)))/Inputs!$B$44),G2581*Q2581))*IF(Inputs!$B$39="pvp",1,1+(Inputs!$B$20+0+Skills!P12+B2604+(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Hunt"),CHOOSE(ArtifactsInput!$N$35+1,15,18,21,24,27,30)*(1-EXP(-(0.2*B2607)*5)),0)+IF(AND(ArtifactsInput!$M$22,Inputs!$B$4&lt;&gt;"Chapter Hunt"),CHOOSE(ArtifactsInput!$N$22+1,10,12,14,16,18,20)*((0*(((0.15*B2607*5))^0/1)+1*(((0.15*B2607*5))^1/1)+2*(((0.15*B2607*5))^2/2)+3*(((0.15*B2607*5))^3/6)+4*(((0.15*B2607*5))^4/24)+5*(((0.15*B2607*5))^5/120))/((((0.15*B2607*5))^0/1)+(((0.15*B2607*5))^1/1)+(((0.15*B2607*5))^2/2)+(((0.15*B2607*5))^3/6)+(((0.15*B2607*5))^4/24)+(((0.15*B2607*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2581*(1-MIN(100,(Inputs!$B$9+((C2595=TRUE)*(F2595-Calc!F26))+B2603+(ArtifactsInput!$M$24-ArtifactsInput!$M$24)*CHOOSE(ArtifactsInput!$N$24+1,10,12,14,16,18,20)+(IF(AND(Inputs!$B$39&lt;&gt;"pvp",Inputs!$B$44=0),1,IF(IF(Inputs!$B$39="pvp",15,Inputs!$B$44)-(B2614)&lt;=0,1,MAX(0,IF(Inputs!$B$39="pvp",15,Inputs!$B$44)-MAX(5,B2614))/(IF(Inputs!$B$39="pvp",15,Inputs!$B$44)-(B2614))))*IF(AND(ArtifactsInput!$M$42,((Inputs!$B$9+((C2595=TRUE)*(F2595-Calc!F26))+B2603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2581*(MIN(100,(Inputs!$B$9+((C2595=TRUE)*(F2595-Calc!F26))+B2603+(ArtifactsInput!$M$24-ArtifactsInput!$M$24)*CHOOSE(ArtifactsInput!$N$24+1,10,12,14,16,18,20)+(IF(AND(Inputs!$B$39&lt;&gt;"pvp",Inputs!$B$44=0),1,IF(IF(Inputs!$B$39="pvp",15,Inputs!$B$44)-(B2614)&lt;=0,1,MAX(0,IF(Inputs!$B$39="pvp",15,Inputs!$B$44)-MAX(5,B2614))/(IF(Inputs!$B$39="pvp",15,Inputs!$B$44)-(B2614))))*IF(AND(ArtifactsInput!$M$42,((Inputs!$B$9+((C2595=TRUE)*(F2595-Calc!F26))+B2603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2581*(1-MIN(100,(Inputs!$B$9+((C2595=TRUE)*(F2595-Calc!F26))+B2603+(ArtifactsInput!$M$24-ArtifactsInput!$M$24)*CHOOSE(ArtifactsInput!$N$24+1,10,12,14,16,18,20)+(IF(AND(Inputs!$B$39&lt;&gt;"pvp",Inputs!$B$44=0),1,IF(IF(Inputs!$B$39="pvp",15,Inputs!$B$44)-(B2614)&lt;=0,1,MAX(0,IF(Inputs!$B$39="pvp",15,Inputs!$B$44)-MAX(5,B2614))/(IF(Inputs!$B$39="pvp",15,Inputs!$B$44)-(B2614))))*IF(AND(ArtifactsInput!$M$42,((Inputs!$B$9+((C2595=TRUE)*(F2595-Calc!F26))+B2603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2581*(MIN(100,(Inputs!$B$9+((C2595=TRUE)*(F2595-Calc!F26))+B2603+(ArtifactsInput!$M$24-ArtifactsInput!$M$24)*CHOOSE(ArtifactsInput!$N$24+1,10,12,14,16,18,20)+(IF(AND(Inputs!$B$39&lt;&gt;"pvp",Inputs!$B$44=0),1,IF(IF(Inputs!$B$39="pvp",15,Inputs!$B$44)-(B2614)&lt;=0,1,MAX(0,IF(Inputs!$B$39="pvp",15,Inputs!$B$44)-MAX(5,B2614))/(IF(Inputs!$B$39="pvp",15,Inputs!$B$44)-(B2614))))*IF(AND(ArtifactsInput!$M$42,((Inputs!$B$9+((C2595=TRUE)*(F2595-Calc!F26))+B2603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581">
        <f>IF(C2581,(H2581*N2581*IF(AND(Inputs!$B$39&lt;&gt;"pvp",Inputs!$B$44&gt;0),((Skills!G12*((R2581-1)*IF(Skills!H12&gt;0,Skills!I12/Skills!H12,1)+IF(Skills!H12&gt;0,MIN(Skills!I12,MAX(0,MAX(0,Inputs!$B$44-B2614)-((R2581-1)*IF(Inputs!$B$39="pvp",15,MAX(0.1,Skills!D12-IF(TRUE=TRUE,Inputs!$B$32,0))))))/Skills!H12,1)))/Inputs!$B$44),G2581*Q2581))*IF(Inputs!$B$39="pvp",1,(1+(Inputs!$B$21+Skills!Q12+B2604+(IF(ArtifactsInput!$M$33,CHOOSE(ArtifactsInput!$N$33+1,30,36,42,48,54,60),0))+(IF(AND(ArtifactsInput!$M$35,Inputs!$B$4&lt;&gt;"Chapter Hunt"),CHOOSE(ArtifactsInput!$N$35+1,15,18,21,24,27,30)*(1-EXP(-(0.2*B2607)*5)),0)+IF(AND(ArtifactsInput!$M$22,Inputs!$B$4&lt;&gt;"Chapter Hunt"),CHOOSE(ArtifactsInput!$N$22+1,10,12,14,16,18,20)*((0*(((0.15*B2607*5))^0/1)+1*(((0.15*B2607*5))^1/1)+2*(((0.15*B2607*5))^2/2)+3*(((0.15*B2607*5))^3/6)+4*(((0.15*B2607*5))^4/24)+5*(((0.15*B2607*5))^5/120))/((((0.15*B2607*5))^0/1)+(((0.15*B2607*5))^1/1)+(((0.15*B2607*5))^2/2)+(((0.15*B2607*5))^3/6)+(((0.15*B2607*5))^4/24)+(((0.15*B2607*5))^5/120))),0)))/100)*(MIN(Skills!W12,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582">
      <c r="A2582">
        <f>Skills!A13</f>
        <v/>
      </c>
      <c r="B2582">
        <f>Skills!B13</f>
        <v/>
      </c>
      <c r="C2582">
        <f>Inputs!$B$3&gt;=105</f>
        <v/>
      </c>
      <c r="D2582">
        <f>IF(Skills!C13=1,60+Inputs!$B$25+Inputs!$B$29,IF(Skills!C13=2,90+Inputs!$B$26+Inputs!$B$29,IF(Skills!C13=3,120+Inputs!$B$27+Inputs!$B$29,MAX(0,(Inputs!$B$3-100)*3)+Inputs!$B$28+Inputs!$B$29)))</f>
        <v/>
      </c>
      <c r="E2582">
        <f>INDEX(FactorTable!$B$2:$Y$301, MATCH(ROUND(MIN(300,MAX(1,D2582)),0), FactorTable!$A$2:$A$301,0), Skills!M13+1)</f>
        <v/>
      </c>
      <c r="F2582">
        <f>IF(Skills!N13=TRUE,(Skills!L13/10)*(E2582/1000),Skills!L13/10)+Skills!O13</f>
        <v/>
      </c>
      <c r="G2582">
        <f>Skills!G13*IF(Skills!H13&gt;0,IF(Inputs!$B$39="pvp",MIN(Skills!I13,15),Skills!I13)/Skills!H13,1)</f>
        <v/>
      </c>
      <c r="H2582">
        <f>1-(1-Skills!J13/100)^Skills!K13</f>
        <v/>
      </c>
      <c r="I2582" t="inlineStr">
        <is>
          <t>1</t>
        </is>
      </c>
      <c r="J2582">
        <f>((Inputs!$B$6*(1+Inputs!$B$7/100))+(((Inputs!$B$12*(1+Inputs!$B$13/100))-(Inputs!$B$12*(1+Inputs!$B$13/100)))+0.25*(Inputs!$B$14-Inputs!$B$14))*(1+Inputs!$B$7/100))*(F2582/100)</f>
        <v/>
      </c>
      <c r="K2582">
        <f>J2582*(1+((Inputs!$B$12*(1+Inputs!$B$13/100))*0.01+Inputs!$B$14*0.0025)/100)*(1+Inputs!$B$15/100)*(1+Inputs!$B$16/100)*(5000/(6000+Inputs!$B$43*(1-(100*(1-(1-Inputs!$B$19/100)*(1-CHOOSE(ArtifactsInput!$N$40+1,5,6,7,8,9,10)/100)^(ArtifactsInput!$M$40-ArtifactsInput!$M$40)))/100)))*(1+(Inputs!$B$24+((C2600=TRUE)*(F2600-Calc!F31))+((C2587=TRUE)*(F2587-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IF(ArtifactsInput!$M$29,FALSE,TRUE)-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13="CRUEL_STAB",Inputs!$B$17+((C2597=TRUE)*(F2597-Calc!F28))+((IF(AND(Inputs!$B$39&lt;&gt;"pvp",Inputs!$B$44=0),1,IF(IF(Inputs!$B$39="pvp",15,Inputs!$B$44)-(B2614)&lt;=0,1,MAX(0,IF(Inputs!$B$39="pvp",15,Inputs!$B$44)-MAX(5,B2614))/(IF(Inputs!$B$39="pvp",15,Inputs!$B$44)-(B2614))))*(IF(AND(ArtifactsInput!$M$42,((Inputs!$B$9+((C2595=TRUE)*(F2595-Calc!F26))+B2603+(ArtifactsInput!$M$24-ArtifactsInput!$M$24)*CHOOSE(ArtifactsInput!$N$24+1,10,12,14,16,18,20)+IF(ArtifactsInput!$M$10,CHOOSE(ArtifactsInput!$N$10+1,15,18,21,24,27,30)*(IF(Inputs!$B$39="pvp",MIN(15,15)/15,IF(AND(Inputs!$B$39&lt;&gt;"pvp",Inputs!$B$44&gt;0),MIN(15,Inputs!$B$44)/(Inputs!$B$44),0))),0)))&gt;=100),MIN(100,((Inputs!$B$9+((C2595=TRUE)*(F2595-Calc!F26))+B2603+(ArtifactsInput!$M$24-ArtifactsInput!$M$24)*CHOOSE(ArtifactsInput!$N$24+1,10,12,14,16,18,20)+IF(ArtifactsInput!$M$10,CHOOSE(ArtifactsInput!$N$10+1,15,18,21,24,27,30)*(IF(Inputs!$B$39="pvp",MIN(15,15)/15,IF(AND(Inputs!$B$39&lt;&gt;"pvp",Inputs!$B$44&gt;0),MIN(15,Inputs!$B$44)/(Inputs!$B$44),0))),0)))-100),0))*CHOOSE(ArtifactsInput!$N$42+1,0.6,0.72,0.84,0.96,1.08,1.2))),Inputs!$B$18+((C2598=TRUE)*(F2598-Calc!F29))+(IF(AND(Inputs!$B$39&lt;&gt;"pvp",Inputs!$B$44=0),1,IF(IF(Inputs!$B$39="pvp",15,Inputs!$B$44)-(B2614)&lt;=0,1,MAX(0,IF(Inputs!$B$39="pvp",15,Inputs!$B$44)-MAX(5,B2614))/(IF(Inputs!$B$39="pvp",15,Inputs!$B$44)-(B2614))))*IF(AND(ArtifactsInput!$M$42,((Inputs!$B$9+((C2595=TRUE)*(F2595-Calc!F26))+B2603+(ArtifactsInput!$M$24-ArtifactsInput!$M$24)*CHOOSE(ArtifactsInput!$N$24+1,10,12,14,16,18,20)+IF(ArtifactsInput!$M$10,CHOOSE(ArtifactsInput!$N$10+1,15,18,21,24,27,30)*(IF(Inputs!$B$39="pvp",MIN(15,15)/15,IF(AND(Inputs!$B$39&lt;&gt;"pvp",Inputs!$B$44&gt;0),MIN(15,Inputs!$B$44)/(Inputs!$B$44),0))),0)))&gt;=100),CHOOSE(ArtifactsInput!$N$42+1,40,48,56,64,72,80),0))))/100)*(((1+(((C2591=TRUE)*F2591*IF(AND(Inputs!$B$39&lt;&gt;"pvp",Inputs!$B$44&gt;0),(((R2591-1)*MIN((Skills!Y22*(1+Inputs!$B$34/100)),(1/Q2591))+MIN((Skills!Y22*(1+Inputs!$B$34/100)),MAX(0,Inputs!$B$44-((R2591-1)*(1/Q2591)))))/Inputs!$B$44),IF(Inputs!$B$39="pvp",MIN((Skills!Y22*(1+Inputs!$B$34/100)),15)/15,MIN(1,(Skills!Y22*(1+Inputs!$B$34/100))/(1/Q2591)))))+((C2572=TRUE)*F2572*3)+((C2574=TRUE)*F2574*(1-EXP(-0.75*B2607*5)))+((C2593=TRUE)*(F2593-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2580=TRUE)*F2580*IF(AND(Inputs!$B$39&lt;&gt;"pvp",Inputs!$B$44&gt;0),(((R2580-1)*MIN((Skills!Y11*(1+Inputs!$B$34/100)),(1/Q2580))+MIN((Skills!Y11*(1+Inputs!$B$34/100)),MAX(0,Inputs!$B$44-((R2580-1)*(1/Q2580)))))/Inputs!$B$44),IF(Inputs!$B$39="pvp",MIN((Skills!Y11*(1+Inputs!$B$34/100)),15)/15,MIN(1,(Skills!Y11*(1+Inputs!$B$34/100))/(1/Q2580)))))/100)*(1+((C2585=TRUE)*F2585*IF(AND(Inputs!$B$39&lt;&gt;"pvp",Inputs!$B$44&gt;0),(((R2585-1)*MIN((Skills!Y16*(1+Inputs!$B$34/100)),(1/Q2585))+MIN((Skills!Y16*(1+Inputs!$B$34/100)),MAX(0,Inputs!$B$44-((R2585-1)*(1/Q2585)))))/Inputs!$B$44),IF(Inputs!$B$39="pvp",MIN((Skills!Y16*(1+Inputs!$B$34/100)),15)/15,MIN(1,(Skills!Y16*(1+Inputs!$B$34/100))/(1/Q2585)))))/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2605*I2582)</f>
        <v/>
      </c>
      <c r="L2582">
        <f>K2582*(MIN(Inputs!$B$22+((C2594=TRUE)*(F2594-Calc!F25)),(Inputs!$B$23+((C2599=TRUE)*(F2599-Calc!F30))+IF(ArtifactsInput!$M$15,CHOOSE(ArtifactsInput!$N$15+1,25,30,35,40,45,50)/100*(Inputs!$B$11-Inputs!$B$11),0)))/100+(Inputs!$B$23+((C2599=TRUE)*(F2599-Calc!F30))+IF(ArtifactsInput!$M$15,CHOOSE(ArtifactsInput!$N$15+1,25,30,35,40,45,50)/100*(Inputs!$B$11-Inputs!$B$11),0))/100)/2</f>
        <v/>
      </c>
      <c r="M2582">
        <f>L2582*(1+(Inputs!$B$10+((C2596=TRUE)*(F2596-Calc!F27))+B2610+(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2582">
        <f>L2582*(1-MIN((Inputs!$B$9+((C2595=TRUE)*(F2595-Calc!F26))+B2603+(ArtifactsInput!$M$24-ArtifactsInput!$M$24)*CHOOSE(ArtifactsInput!$N$24+1,10,12,14,16,18,20)+(IF(AND(Inputs!$B$39&lt;&gt;"pvp",Inputs!$B$44=0),1,IF(IF(Inputs!$B$39="pvp",15,Inputs!$B$44)-(B2614)&lt;=0,1,MAX(0,IF(Inputs!$B$39="pvp",15,Inputs!$B$44)-MAX(5,B2614))/(IF(Inputs!$B$39="pvp",15,Inputs!$B$44)-(B2614))))*IF(AND(ArtifactsInput!$M$42,((Inputs!$B$9+((C2595=TRUE)*(F2595-Calc!F26))+B2603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2582*(MIN((Inputs!$B$9+((C2595=TRUE)*(F2595-Calc!F26))+B2603+(ArtifactsInput!$M$24-ArtifactsInput!$M$24)*CHOOSE(ArtifactsInput!$N$24+1,10,12,14,16,18,20)+(IF(AND(Inputs!$B$39&lt;&gt;"pvp",Inputs!$B$44=0),1,IF(IF(Inputs!$B$39="pvp",15,Inputs!$B$44)-(B2614)&lt;=0,1,MAX(0,IF(Inputs!$B$39="pvp",15,Inputs!$B$44)-MAX(5,B2614))/(IF(Inputs!$B$39="pvp",15,Inputs!$B$44)-(B2614))))*IF(AND(ArtifactsInput!$M$42,((Inputs!$B$9+((C2595=TRUE)*(F2595-Calc!F26))+B2603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582">
        <f>(1-Summary!$B$11)*T2582+Summary!$B$11*V2582</f>
        <v/>
      </c>
      <c r="P2582">
        <f>IF(B2615=0,0,O2582/B2615)</f>
        <v/>
      </c>
      <c r="Q2582">
        <f>IFERROR(1/IF(Inputs!$B$39="pvp",15,MAX(0.1,Skills!D13-IF(TRUE=TRUE,Inputs!$B$32,0))),0)</f>
        <v/>
      </c>
      <c r="R2582">
        <f>IF(AND(Inputs!$B$39&lt;&gt;"pvp",Inputs!$B$44&gt;0),IF(MAX(0,Inputs!$B$44-B2614)&lt;=0,0,(INT(MAX(0,Inputs!$B$44-B2614)/IF(Inputs!$B$39="pvp",15,MAX(0.1,Skills!D13-IF(TRUE=TRUE,Inputs!$B$32,0))))+1)),0)</f>
        <v/>
      </c>
      <c r="S2582">
        <f>IFERROR(O2582/N2582,0)</f>
        <v/>
      </c>
      <c r="T2582">
        <f>IF(C2582,(H2582*N2582*IF(AND(Inputs!$B$39&lt;&gt;"pvp",Inputs!$B$44&gt;0),((Skills!G13*((R2582-1)*IF(Skills!H13&gt;0,Skills!I13/Skills!H13,1)+IF(Skills!H13&gt;0,MIN(Skills!I13,MAX(0,MAX(0,Inputs!$B$44-B2614)-((R2582-1)*IF(Inputs!$B$39="pvp",15,MAX(0.1,Skills!D13-IF(TRUE=TRUE,Inputs!$B$32,0))))))/Skills!H13,1)))/Inputs!$B$44),G2582*Q2582))*IF(Inputs!$B$39="pvp",1,1+(Inputs!$B$20+0+Skills!P13+B2604+(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Hunt"),CHOOSE(ArtifactsInput!$N$35+1,15,18,21,24,27,30)*(1-EXP(-(0.2*B2607)*5)),0)+IF(AND(ArtifactsInput!$M$22,Inputs!$B$4&lt;&gt;"Chapter Hunt"),CHOOSE(ArtifactsInput!$N$22+1,10,12,14,16,18,20)*((0*(((0.15*B2607*5))^0/1)+1*(((0.15*B2607*5))^1/1)+2*(((0.15*B2607*5))^2/2)+3*(((0.15*B2607*5))^3/6)+4*(((0.15*B2607*5))^4/24)+5*(((0.15*B2607*5))^5/120))/((((0.15*B2607*5))^0/1)+(((0.15*B2607*5))^1/1)+(((0.15*B2607*5))^2/2)+(((0.15*B2607*5))^3/6)+(((0.15*B2607*5))^4/24)+(((0.15*B2607*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2582*(1-MIN(100,(Inputs!$B$9+((C2595=TRUE)*(F2595-Calc!F26))+B2603+(ArtifactsInput!$M$24-ArtifactsInput!$M$24)*CHOOSE(ArtifactsInput!$N$24+1,10,12,14,16,18,20)+(IF(AND(Inputs!$B$39&lt;&gt;"pvp",Inputs!$B$44=0),1,IF(IF(Inputs!$B$39="pvp",15,Inputs!$B$44)-(B2614)&lt;=0,1,MAX(0,IF(Inputs!$B$39="pvp",15,Inputs!$B$44)-MAX(5,B2614))/(IF(Inputs!$B$39="pvp",15,Inputs!$B$44)-(B2614))))*IF(AND(ArtifactsInput!$M$42,((Inputs!$B$9+((C2595=TRUE)*(F2595-Calc!F26))+B2603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2582*(MIN(100,(Inputs!$B$9+((C2595=TRUE)*(F2595-Calc!F26))+B2603+(ArtifactsInput!$M$24-ArtifactsInput!$M$24)*CHOOSE(ArtifactsInput!$N$24+1,10,12,14,16,18,20)+(IF(AND(Inputs!$B$39&lt;&gt;"pvp",Inputs!$B$44=0),1,IF(IF(Inputs!$B$39="pvp",15,Inputs!$B$44)-(B2614)&lt;=0,1,MAX(0,IF(Inputs!$B$39="pvp",15,Inputs!$B$44)-MAX(5,B2614))/(IF(Inputs!$B$39="pvp",15,Inputs!$B$44)-(B2614))))*IF(AND(ArtifactsInput!$M$42,((Inputs!$B$9+((C2595=TRUE)*(F2595-Calc!F26))+B2603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2582*(1-MIN(100,(Inputs!$B$9+((C2595=TRUE)*(F2595-Calc!F26))+B2603+(ArtifactsInput!$M$24-ArtifactsInput!$M$24)*CHOOSE(ArtifactsInput!$N$24+1,10,12,14,16,18,20)+(IF(AND(Inputs!$B$39&lt;&gt;"pvp",Inputs!$B$44=0),1,IF(IF(Inputs!$B$39="pvp",15,Inputs!$B$44)-(B2614)&lt;=0,1,MAX(0,IF(Inputs!$B$39="pvp",15,Inputs!$B$44)-MAX(5,B2614))/(IF(Inputs!$B$39="pvp",15,Inputs!$B$44)-(B2614))))*IF(AND(ArtifactsInput!$M$42,((Inputs!$B$9+((C2595=TRUE)*(F2595-Calc!F26))+B2603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2582*(MIN(100,(Inputs!$B$9+((C2595=TRUE)*(F2595-Calc!F26))+B2603+(ArtifactsInput!$M$24-ArtifactsInput!$M$24)*CHOOSE(ArtifactsInput!$N$24+1,10,12,14,16,18,20)+(IF(AND(Inputs!$B$39&lt;&gt;"pvp",Inputs!$B$44=0),1,IF(IF(Inputs!$B$39="pvp",15,Inputs!$B$44)-(B2614)&lt;=0,1,MAX(0,IF(Inputs!$B$39="pvp",15,Inputs!$B$44)-MAX(5,B2614))/(IF(Inputs!$B$39="pvp",15,Inputs!$B$44)-(B2614))))*IF(AND(ArtifactsInput!$M$42,((Inputs!$B$9+((C2595=TRUE)*(F2595-Calc!F26))+B2603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582">
        <f>IF(C2582,(H2582*N2582*IF(AND(Inputs!$B$39&lt;&gt;"pvp",Inputs!$B$44&gt;0),((Skills!G13*((R2582-1)*IF(Skills!H13&gt;0,Skills!I13/Skills!H13,1)+IF(Skills!H13&gt;0,MIN(Skills!I13,MAX(0,MAX(0,Inputs!$B$44-B2614)-((R2582-1)*IF(Inputs!$B$39="pvp",15,MAX(0.1,Skills!D13-IF(TRUE=TRUE,Inputs!$B$32,0))))))/Skills!H13,1)))/Inputs!$B$44),G2582*Q2582))*IF(Inputs!$B$39="pvp",1,(1+(Inputs!$B$21+Skills!Q13+B2604+(IF(ArtifactsInput!$M$33,CHOOSE(ArtifactsInput!$N$33+1,30,36,42,48,54,60),0))+(IF(AND(ArtifactsInput!$M$35,Inputs!$B$4&lt;&gt;"Chapter Hunt"),CHOOSE(ArtifactsInput!$N$35+1,15,18,21,24,27,30)*(1-EXP(-(0.2*B2607)*5)),0)+IF(AND(ArtifactsInput!$M$22,Inputs!$B$4&lt;&gt;"Chapter Hunt"),CHOOSE(ArtifactsInput!$N$22+1,10,12,14,16,18,20)*((0*(((0.15*B2607*5))^0/1)+1*(((0.15*B2607*5))^1/1)+2*(((0.15*B2607*5))^2/2)+3*(((0.15*B2607*5))^3/6)+4*(((0.15*B2607*5))^4/24)+5*(((0.15*B2607*5))^5/120))/((((0.15*B2607*5))^0/1)+(((0.15*B2607*5))^1/1)+(((0.15*B2607*5))^2/2)+(((0.15*B2607*5))^3/6)+(((0.15*B2607*5))^4/24)+(((0.15*B2607*5))^5/120))),0)))/100)*(MIN(Skills!W13,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583">
      <c r="A2583">
        <f>Skills!A14</f>
        <v/>
      </c>
      <c r="B2583">
        <f>Skills!B14</f>
        <v/>
      </c>
      <c r="C2583">
        <f>Inputs!$B$3&gt;=105</f>
        <v/>
      </c>
      <c r="D2583">
        <f>IF(Skills!C14=1,60+Inputs!$B$25+Inputs!$B$29,IF(Skills!C14=2,90+Inputs!$B$26+Inputs!$B$29,IF(Skills!C14=3,120+Inputs!$B$27+Inputs!$B$29,MAX(0,(Inputs!$B$3-100)*3)+Inputs!$B$28+Inputs!$B$29)))</f>
        <v/>
      </c>
      <c r="E2583">
        <f>INDEX(FactorTable!$B$2:$Y$301, MATCH(ROUND(MIN(300,MAX(1,D2583)),0), FactorTable!$A$2:$A$301,0), Skills!M14+1)</f>
        <v/>
      </c>
      <c r="F2583">
        <f>IF(Skills!N14=TRUE,(Skills!L14/10)*(E2583/1000),Skills!L14/10)+Skills!O14</f>
        <v/>
      </c>
      <c r="G2583">
        <f>Skills!G14*IF(Skills!H14&gt;0,IF(Inputs!$B$39="pvp",MIN(Skills!I14,15),Skills!I14)/Skills!H14,1)</f>
        <v/>
      </c>
      <c r="H2583">
        <f>1-(1-Skills!J14/100)^Skills!K14</f>
        <v/>
      </c>
      <c r="I2583" t="inlineStr">
        <is>
          <t>1</t>
        </is>
      </c>
      <c r="J2583">
        <f>((Inputs!$B$6*(1+Inputs!$B$7/100))+(((Inputs!$B$12*(1+Inputs!$B$13/100))-(Inputs!$B$12*(1+Inputs!$B$13/100)))+0.25*(Inputs!$B$14-Inputs!$B$14))*(1+Inputs!$B$7/100))*(F2583/100)</f>
        <v/>
      </c>
      <c r="K2583">
        <f>J2583*(1+((Inputs!$B$12*(1+Inputs!$B$13/100))*0.01+Inputs!$B$14*0.0025)/100)*(1+Inputs!$B$15/100)*(1+Inputs!$B$16/100)*(5000/(6000+Inputs!$B$43*(1-(100*(1-(1-Inputs!$B$19/100)*(1-CHOOSE(ArtifactsInput!$N$40+1,5,6,7,8,9,10)/100)^(ArtifactsInput!$M$40-ArtifactsInput!$M$40)))/100)))*(1+(Inputs!$B$24+((C2600=TRUE)*(F2600-Calc!F31))+((C2587=TRUE)*(F2587-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IF(ArtifactsInput!$M$29,FALSE,TRUE)-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14="CRUEL_STAB",Inputs!$B$17+((C2597=TRUE)*(F2597-Calc!F28))+((IF(AND(Inputs!$B$39&lt;&gt;"pvp",Inputs!$B$44=0),1,IF(IF(Inputs!$B$39="pvp",15,Inputs!$B$44)-(B2614)&lt;=0,1,MAX(0,IF(Inputs!$B$39="pvp",15,Inputs!$B$44)-MAX(5,B2614))/(IF(Inputs!$B$39="pvp",15,Inputs!$B$44)-(B2614))))*(IF(AND(ArtifactsInput!$M$42,((Inputs!$B$9+((C2595=TRUE)*(F2595-Calc!F26))+B2603+(ArtifactsInput!$M$24-ArtifactsInput!$M$24)*CHOOSE(ArtifactsInput!$N$24+1,10,12,14,16,18,20)+IF(ArtifactsInput!$M$10,CHOOSE(ArtifactsInput!$N$10+1,15,18,21,24,27,30)*(IF(Inputs!$B$39="pvp",MIN(15,15)/15,IF(AND(Inputs!$B$39&lt;&gt;"pvp",Inputs!$B$44&gt;0),MIN(15,Inputs!$B$44)/(Inputs!$B$44),0))),0)))&gt;=100),MIN(100,((Inputs!$B$9+((C2595=TRUE)*(F2595-Calc!F26))+B2603+(ArtifactsInput!$M$24-ArtifactsInput!$M$24)*CHOOSE(ArtifactsInput!$N$24+1,10,12,14,16,18,20)+IF(ArtifactsInput!$M$10,CHOOSE(ArtifactsInput!$N$10+1,15,18,21,24,27,30)*(IF(Inputs!$B$39="pvp",MIN(15,15)/15,IF(AND(Inputs!$B$39&lt;&gt;"pvp",Inputs!$B$44&gt;0),MIN(15,Inputs!$B$44)/(Inputs!$B$44),0))),0)))-100),0))*CHOOSE(ArtifactsInput!$N$42+1,0.6,0.72,0.84,0.96,1.08,1.2))),Inputs!$B$18+((C2598=TRUE)*(F2598-Calc!F29))+(IF(AND(Inputs!$B$39&lt;&gt;"pvp",Inputs!$B$44=0),1,IF(IF(Inputs!$B$39="pvp",15,Inputs!$B$44)-(B2614)&lt;=0,1,MAX(0,IF(Inputs!$B$39="pvp",15,Inputs!$B$44)-MAX(5,B2614))/(IF(Inputs!$B$39="pvp",15,Inputs!$B$44)-(B2614))))*IF(AND(ArtifactsInput!$M$42,((Inputs!$B$9+((C2595=TRUE)*(F2595-Calc!F26))+B2603+(ArtifactsInput!$M$24-ArtifactsInput!$M$24)*CHOOSE(ArtifactsInput!$N$24+1,10,12,14,16,18,20)+IF(ArtifactsInput!$M$10,CHOOSE(ArtifactsInput!$N$10+1,15,18,21,24,27,30)*(IF(Inputs!$B$39="pvp",MIN(15,15)/15,IF(AND(Inputs!$B$39&lt;&gt;"pvp",Inputs!$B$44&gt;0),MIN(15,Inputs!$B$44)/(Inputs!$B$44),0))),0)))&gt;=100),CHOOSE(ArtifactsInput!$N$42+1,40,48,56,64,72,80),0))))/100)*(((1+(((C2591=TRUE)*F2591*IF(AND(Inputs!$B$39&lt;&gt;"pvp",Inputs!$B$44&gt;0),(((R2591-1)*MIN((Skills!Y22*(1+Inputs!$B$34/100)),(1/Q2591))+MIN((Skills!Y22*(1+Inputs!$B$34/100)),MAX(0,Inputs!$B$44-((R2591-1)*(1/Q2591)))))/Inputs!$B$44),IF(Inputs!$B$39="pvp",MIN((Skills!Y22*(1+Inputs!$B$34/100)),15)/15,MIN(1,(Skills!Y22*(1+Inputs!$B$34/100))/(1/Q2591)))))+((C2572=TRUE)*F2572*3)+((C2574=TRUE)*F2574*(1-EXP(-0.75*B2607*5)))+((C2593=TRUE)*(F2593-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2580=TRUE)*F2580*IF(AND(Inputs!$B$39&lt;&gt;"pvp",Inputs!$B$44&gt;0),(((R2580-1)*MIN((Skills!Y11*(1+Inputs!$B$34/100)),(1/Q2580))+MIN((Skills!Y11*(1+Inputs!$B$34/100)),MAX(0,Inputs!$B$44-((R2580-1)*(1/Q2580)))))/Inputs!$B$44),IF(Inputs!$B$39="pvp",MIN((Skills!Y11*(1+Inputs!$B$34/100)),15)/15,MIN(1,(Skills!Y11*(1+Inputs!$B$34/100))/(1/Q2580)))))/100)*(1+((C2585=TRUE)*F2585*IF(AND(Inputs!$B$39&lt;&gt;"pvp",Inputs!$B$44&gt;0),(((R2585-1)*MIN((Skills!Y16*(1+Inputs!$B$34/100)),(1/Q2585))+MIN((Skills!Y16*(1+Inputs!$B$34/100)),MAX(0,Inputs!$B$44-((R2585-1)*(1/Q2585)))))/Inputs!$B$44),IF(Inputs!$B$39="pvp",MIN((Skills!Y16*(1+Inputs!$B$34/100)),15)/15,MIN(1,(Skills!Y16*(1+Inputs!$B$34/100))/(1/Q2585)))))/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2605*I2583)</f>
        <v/>
      </c>
      <c r="L2583">
        <f>K2583*(MIN(Inputs!$B$22+((C2594=TRUE)*(F2594-Calc!F25)),(Inputs!$B$23+((C2599=TRUE)*(F2599-Calc!F30))+IF(ArtifactsInput!$M$15,CHOOSE(ArtifactsInput!$N$15+1,25,30,35,40,45,50)/100*(Inputs!$B$11-Inputs!$B$11),0)))/100+(Inputs!$B$23+((C2599=TRUE)*(F2599-Calc!F30))+IF(ArtifactsInput!$M$15,CHOOSE(ArtifactsInput!$N$15+1,25,30,35,40,45,50)/100*(Inputs!$B$11-Inputs!$B$11),0))/100)/2</f>
        <v/>
      </c>
      <c r="M2583">
        <f>L2583*(1+(Inputs!$B$10+((C2596=TRUE)*(F2596-Calc!F27))+B2610+(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2583">
        <f>L2583*(1-MIN((Inputs!$B$9+((C2595=TRUE)*(F2595-Calc!F26))+B2603+(ArtifactsInput!$M$24-ArtifactsInput!$M$24)*CHOOSE(ArtifactsInput!$N$24+1,10,12,14,16,18,20)+(IF(AND(Inputs!$B$39&lt;&gt;"pvp",Inputs!$B$44=0),1,IF(IF(Inputs!$B$39="pvp",15,Inputs!$B$44)-(B2614)&lt;=0,1,MAX(0,IF(Inputs!$B$39="pvp",15,Inputs!$B$44)-MAX(5,B2614))/(IF(Inputs!$B$39="pvp",15,Inputs!$B$44)-(B2614))))*IF(AND(ArtifactsInput!$M$42,((Inputs!$B$9+((C2595=TRUE)*(F2595-Calc!F26))+B2603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2583*(MIN((Inputs!$B$9+((C2595=TRUE)*(F2595-Calc!F26))+B2603+(ArtifactsInput!$M$24-ArtifactsInput!$M$24)*CHOOSE(ArtifactsInput!$N$24+1,10,12,14,16,18,20)+(IF(AND(Inputs!$B$39&lt;&gt;"pvp",Inputs!$B$44=0),1,IF(IF(Inputs!$B$39="pvp",15,Inputs!$B$44)-(B2614)&lt;=0,1,MAX(0,IF(Inputs!$B$39="pvp",15,Inputs!$B$44)-MAX(5,B2614))/(IF(Inputs!$B$39="pvp",15,Inputs!$B$44)-(B2614))))*IF(AND(ArtifactsInput!$M$42,((Inputs!$B$9+((C2595=TRUE)*(F2595-Calc!F26))+B2603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583">
        <f>(1-Summary!$B$11)*T2583+Summary!$B$11*V2583</f>
        <v/>
      </c>
      <c r="P2583">
        <f>IF(B2615=0,0,O2583/B2615)</f>
        <v/>
      </c>
      <c r="Q2583">
        <f>IFERROR(1/IF(Inputs!$B$39="pvp",15,MAX(0.1,Skills!D14-IF(TRUE=TRUE,Inputs!$B$32,0))),0)</f>
        <v/>
      </c>
      <c r="R2583">
        <f>IF(AND(Inputs!$B$39&lt;&gt;"pvp",Inputs!$B$44&gt;0),IF(MAX(0,Inputs!$B$44-B2614)&lt;=0,0,(INT(MAX(0,Inputs!$B$44-B2614)/IF(Inputs!$B$39="pvp",15,MAX(0.1,Skills!D14-IF(TRUE=TRUE,Inputs!$B$32,0))))+1)),0)</f>
        <v/>
      </c>
      <c r="S2583">
        <f>IFERROR(O2583/N2583,0)</f>
        <v/>
      </c>
      <c r="T2583">
        <f>IF(C2583,(H2583*N2583*IF(AND(Inputs!$B$39&lt;&gt;"pvp",Inputs!$B$44&gt;0),((Skills!G14*((R2583-1)*IF(Skills!H14&gt;0,Skills!I14/Skills!H14,1)+IF(Skills!H14&gt;0,MIN(Skills!I14,MAX(0,MAX(0,Inputs!$B$44-B2614)-((R2583-1)*IF(Inputs!$B$39="pvp",15,MAX(0.1,Skills!D14-IF(TRUE=TRUE,Inputs!$B$32,0))))))/Skills!H14,1)))/Inputs!$B$44),G2583*Q2583))*IF(Inputs!$B$39="pvp",1,1+(Inputs!$B$20+0+Skills!P14+B2604+(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Hunt"),CHOOSE(ArtifactsInput!$N$35+1,15,18,21,24,27,30)*(1-EXP(-(0.2*B2607)*5)),0)+IF(AND(ArtifactsInput!$M$22,Inputs!$B$4&lt;&gt;"Chapter Hunt"),CHOOSE(ArtifactsInput!$N$22+1,10,12,14,16,18,20)*((0*(((0.15*B2607*5))^0/1)+1*(((0.15*B2607*5))^1/1)+2*(((0.15*B2607*5))^2/2)+3*(((0.15*B2607*5))^3/6)+4*(((0.15*B2607*5))^4/24)+5*(((0.15*B2607*5))^5/120))/((((0.15*B2607*5))^0/1)+(((0.15*B2607*5))^1/1)+(((0.15*B2607*5))^2/2)+(((0.15*B2607*5))^3/6)+(((0.15*B2607*5))^4/24)+(((0.15*B2607*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2583*(1-MIN(100,(Inputs!$B$9+((C2595=TRUE)*(F2595-Calc!F26))+B2603+(ArtifactsInput!$M$24-ArtifactsInput!$M$24)*CHOOSE(ArtifactsInput!$N$24+1,10,12,14,16,18,20)+(IF(AND(Inputs!$B$39&lt;&gt;"pvp",Inputs!$B$44=0),1,IF(IF(Inputs!$B$39="pvp",15,Inputs!$B$44)-(B2614)&lt;=0,1,MAX(0,IF(Inputs!$B$39="pvp",15,Inputs!$B$44)-MAX(5,B2614))/(IF(Inputs!$B$39="pvp",15,Inputs!$B$44)-(B2614))))*IF(AND(ArtifactsInput!$M$42,((Inputs!$B$9+((C2595=TRUE)*(F2595-Calc!F26))+B2603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2583*(MIN(100,(Inputs!$B$9+((C2595=TRUE)*(F2595-Calc!F26))+B2603+(ArtifactsInput!$M$24-ArtifactsInput!$M$24)*CHOOSE(ArtifactsInput!$N$24+1,10,12,14,16,18,20)+(IF(AND(Inputs!$B$39&lt;&gt;"pvp",Inputs!$B$44=0),1,IF(IF(Inputs!$B$39="pvp",15,Inputs!$B$44)-(B2614)&lt;=0,1,MAX(0,IF(Inputs!$B$39="pvp",15,Inputs!$B$44)-MAX(5,B2614))/(IF(Inputs!$B$39="pvp",15,Inputs!$B$44)-(B2614))))*IF(AND(ArtifactsInput!$M$42,((Inputs!$B$9+((C2595=TRUE)*(F2595-Calc!F26))+B2603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2583*(1-MIN(100,(Inputs!$B$9+((C2595=TRUE)*(F2595-Calc!F26))+B2603+(ArtifactsInput!$M$24-ArtifactsInput!$M$24)*CHOOSE(ArtifactsInput!$N$24+1,10,12,14,16,18,20)+(IF(AND(Inputs!$B$39&lt;&gt;"pvp",Inputs!$B$44=0),1,IF(IF(Inputs!$B$39="pvp",15,Inputs!$B$44)-(B2614)&lt;=0,1,MAX(0,IF(Inputs!$B$39="pvp",15,Inputs!$B$44)-MAX(5,B2614))/(IF(Inputs!$B$39="pvp",15,Inputs!$B$44)-(B2614))))*IF(AND(ArtifactsInput!$M$42,((Inputs!$B$9+((C2595=TRUE)*(F2595-Calc!F26))+B2603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2583*(MIN(100,(Inputs!$B$9+((C2595=TRUE)*(F2595-Calc!F26))+B2603+(ArtifactsInput!$M$24-ArtifactsInput!$M$24)*CHOOSE(ArtifactsInput!$N$24+1,10,12,14,16,18,20)+(IF(AND(Inputs!$B$39&lt;&gt;"pvp",Inputs!$B$44=0),1,IF(IF(Inputs!$B$39="pvp",15,Inputs!$B$44)-(B2614)&lt;=0,1,MAX(0,IF(Inputs!$B$39="pvp",15,Inputs!$B$44)-MAX(5,B2614))/(IF(Inputs!$B$39="pvp",15,Inputs!$B$44)-(B2614))))*IF(AND(ArtifactsInput!$M$42,((Inputs!$B$9+((C2595=TRUE)*(F2595-Calc!F26))+B2603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583">
        <f>IF(C2583,(H2583*N2583*IF(AND(Inputs!$B$39&lt;&gt;"pvp",Inputs!$B$44&gt;0),((Skills!G14*((R2583-1)*IF(Skills!H14&gt;0,Skills!I14/Skills!H14,1)+IF(Skills!H14&gt;0,MIN(Skills!I14,MAX(0,MAX(0,Inputs!$B$44-B2614)-((R2583-1)*IF(Inputs!$B$39="pvp",15,MAX(0.1,Skills!D14-IF(TRUE=TRUE,Inputs!$B$32,0))))))/Skills!H14,1)))/Inputs!$B$44),G2583*Q2583))*IF(Inputs!$B$39="pvp",1,(1+(Inputs!$B$21+Skills!Q14+B2604+(IF(ArtifactsInput!$M$33,CHOOSE(ArtifactsInput!$N$33+1,30,36,42,48,54,60),0))+(IF(AND(ArtifactsInput!$M$35,Inputs!$B$4&lt;&gt;"Chapter Hunt"),CHOOSE(ArtifactsInput!$N$35+1,15,18,21,24,27,30)*(1-EXP(-(0.2*B2607)*5)),0)+IF(AND(ArtifactsInput!$M$22,Inputs!$B$4&lt;&gt;"Chapter Hunt"),CHOOSE(ArtifactsInput!$N$22+1,10,12,14,16,18,20)*((0*(((0.15*B2607*5))^0/1)+1*(((0.15*B2607*5))^1/1)+2*(((0.15*B2607*5))^2/2)+3*(((0.15*B2607*5))^3/6)+4*(((0.15*B2607*5))^4/24)+5*(((0.15*B2607*5))^5/120))/((((0.15*B2607*5))^0/1)+(((0.15*B2607*5))^1/1)+(((0.15*B2607*5))^2/2)+(((0.15*B2607*5))^3/6)+(((0.15*B2607*5))^4/24)+(((0.15*B2607*5))^5/120))),0)))/100)*(MIN(Skills!W14,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584">
      <c r="A2584">
        <f>Skills!A15</f>
        <v/>
      </c>
      <c r="B2584">
        <f>Skills!B15</f>
        <v/>
      </c>
      <c r="C2584">
        <f>Inputs!$B$3&gt;=107</f>
        <v/>
      </c>
      <c r="D2584">
        <f>IF(Skills!C15=1,60+Inputs!$B$25+Inputs!$B$29,IF(Skills!C15=2,90+Inputs!$B$26+Inputs!$B$29,IF(Skills!C15=3,120+Inputs!$B$27+Inputs!$B$29,MAX(0,(Inputs!$B$3-100)*3)+Inputs!$B$28+Inputs!$B$29)))</f>
        <v/>
      </c>
      <c r="E2584">
        <f>INDEX(FactorTable!$B$2:$Y$301, MATCH(ROUND(MIN(300,MAX(1,D2584)),0), FactorTable!$A$2:$A$301,0), Skills!M15+1)</f>
        <v/>
      </c>
      <c r="F2584">
        <f>IF(Skills!N15=TRUE,(Skills!L15/10)*(E2584/1000),Skills!L15/10)+Skills!O15</f>
        <v/>
      </c>
      <c r="G2584">
        <f>Skills!G15*IF(Skills!H15&gt;0,IF(Inputs!$B$39="pvp",MIN(Skills!I15,15),Skills!I15)/Skills!H15,1)</f>
        <v/>
      </c>
      <c r="H2584">
        <f>1-(1-Skills!J15/100)^Skills!K15</f>
        <v/>
      </c>
      <c r="I2584" t="inlineStr">
        <is>
          <t>1</t>
        </is>
      </c>
      <c r="J2584">
        <f>((Inputs!$B$6*(1+Inputs!$B$7/100))+(((Inputs!$B$12*(1+Inputs!$B$13/100))-(Inputs!$B$12*(1+Inputs!$B$13/100)))+0.25*(Inputs!$B$14-Inputs!$B$14))*(1+Inputs!$B$7/100))*(F2584/100)</f>
        <v/>
      </c>
      <c r="K2584">
        <f>J2584*(1+((Inputs!$B$12*(1+Inputs!$B$13/100))*0.01+Inputs!$B$14*0.0025)/100)*(1+Inputs!$B$15/100)*(1+Inputs!$B$16/100)*(5000/(6000+Inputs!$B$43*(1-(100*(1-(1-Inputs!$B$19/100)*(1-CHOOSE(ArtifactsInput!$N$40+1,5,6,7,8,9,10)/100)^(ArtifactsInput!$M$40-ArtifactsInput!$M$40)))/100)))*(1+(Inputs!$B$24+((C2600=TRUE)*(F2600-Calc!F31))+((C2587=TRUE)*(F2587-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IF(ArtifactsInput!$M$29,FALSE,TRUE)-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15="CRUEL_STAB",Inputs!$B$17+((C2597=TRUE)*(F2597-Calc!F28))+((IF(AND(Inputs!$B$39&lt;&gt;"pvp",Inputs!$B$44=0),1,IF(IF(Inputs!$B$39="pvp",15,Inputs!$B$44)-(B2614)&lt;=0,1,MAX(0,IF(Inputs!$B$39="pvp",15,Inputs!$B$44)-MAX(5,B2614))/(IF(Inputs!$B$39="pvp",15,Inputs!$B$44)-(B2614))))*(IF(AND(ArtifactsInput!$M$42,((Inputs!$B$9+((C2595=TRUE)*(F2595-Calc!F26))+B2603+(ArtifactsInput!$M$24-ArtifactsInput!$M$24)*CHOOSE(ArtifactsInput!$N$24+1,10,12,14,16,18,20)+IF(ArtifactsInput!$M$10,CHOOSE(ArtifactsInput!$N$10+1,15,18,21,24,27,30)*(IF(Inputs!$B$39="pvp",MIN(15,15)/15,IF(AND(Inputs!$B$39&lt;&gt;"pvp",Inputs!$B$44&gt;0),MIN(15,Inputs!$B$44)/(Inputs!$B$44),0))),0)))&gt;=100),MIN(100,((Inputs!$B$9+((C2595=TRUE)*(F2595-Calc!F26))+B2603+(ArtifactsInput!$M$24-ArtifactsInput!$M$24)*CHOOSE(ArtifactsInput!$N$24+1,10,12,14,16,18,20)+IF(ArtifactsInput!$M$10,CHOOSE(ArtifactsInput!$N$10+1,15,18,21,24,27,30)*(IF(Inputs!$B$39="pvp",MIN(15,15)/15,IF(AND(Inputs!$B$39&lt;&gt;"pvp",Inputs!$B$44&gt;0),MIN(15,Inputs!$B$44)/(Inputs!$B$44),0))),0)))-100),0))*CHOOSE(ArtifactsInput!$N$42+1,0.6,0.72,0.84,0.96,1.08,1.2))),Inputs!$B$18+((C2598=TRUE)*(F2598-Calc!F29))+(IF(AND(Inputs!$B$39&lt;&gt;"pvp",Inputs!$B$44=0),1,IF(IF(Inputs!$B$39="pvp",15,Inputs!$B$44)-(B2614)&lt;=0,1,MAX(0,IF(Inputs!$B$39="pvp",15,Inputs!$B$44)-MAX(5,B2614))/(IF(Inputs!$B$39="pvp",15,Inputs!$B$44)-(B2614))))*IF(AND(ArtifactsInput!$M$42,((Inputs!$B$9+((C2595=TRUE)*(F2595-Calc!F26))+B2603+(ArtifactsInput!$M$24-ArtifactsInput!$M$24)*CHOOSE(ArtifactsInput!$N$24+1,10,12,14,16,18,20)+IF(ArtifactsInput!$M$10,CHOOSE(ArtifactsInput!$N$10+1,15,18,21,24,27,30)*(IF(Inputs!$B$39="pvp",MIN(15,15)/15,IF(AND(Inputs!$B$39&lt;&gt;"pvp",Inputs!$B$44&gt;0),MIN(15,Inputs!$B$44)/(Inputs!$B$44),0))),0)))&gt;=100),CHOOSE(ArtifactsInput!$N$42+1,40,48,56,64,72,80),0))))/100)*(((1+(((C2591=TRUE)*F2591*IF(AND(Inputs!$B$39&lt;&gt;"pvp",Inputs!$B$44&gt;0),(((R2591-1)*MIN((Skills!Y22*(1+Inputs!$B$34/100)),(1/Q2591))+MIN((Skills!Y22*(1+Inputs!$B$34/100)),MAX(0,Inputs!$B$44-((R2591-1)*(1/Q2591)))))/Inputs!$B$44),IF(Inputs!$B$39="pvp",MIN((Skills!Y22*(1+Inputs!$B$34/100)),15)/15,MIN(1,(Skills!Y22*(1+Inputs!$B$34/100))/(1/Q2591)))))+((C2572=TRUE)*F2572*3)+((C2574=TRUE)*F2574*(1-EXP(-0.75*B2607*5)))+((C2593=TRUE)*(F2593-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2580=TRUE)*F2580*IF(AND(Inputs!$B$39&lt;&gt;"pvp",Inputs!$B$44&gt;0),(((R2580-1)*MIN((Skills!Y11*(1+Inputs!$B$34/100)),(1/Q2580))+MIN((Skills!Y11*(1+Inputs!$B$34/100)),MAX(0,Inputs!$B$44-((R2580-1)*(1/Q2580)))))/Inputs!$B$44),IF(Inputs!$B$39="pvp",MIN((Skills!Y11*(1+Inputs!$B$34/100)),15)/15,MIN(1,(Skills!Y11*(1+Inputs!$B$34/100))/(1/Q2580)))))/100)*(1+((C2585=TRUE)*F2585*IF(AND(Inputs!$B$39&lt;&gt;"pvp",Inputs!$B$44&gt;0),(((R2585-1)*MIN((Skills!Y16*(1+Inputs!$B$34/100)),(1/Q2585))+MIN((Skills!Y16*(1+Inputs!$B$34/100)),MAX(0,Inputs!$B$44-((R2585-1)*(1/Q2585)))))/Inputs!$B$44),IF(Inputs!$B$39="pvp",MIN((Skills!Y16*(1+Inputs!$B$34/100)),15)/15,MIN(1,(Skills!Y16*(1+Inputs!$B$34/100))/(1/Q2585)))))/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2605*I2584)</f>
        <v/>
      </c>
      <c r="L2584">
        <f>K2584*(MIN(Inputs!$B$22+((C2594=TRUE)*(F2594-Calc!F25)),(Inputs!$B$23+((C2599=TRUE)*(F2599-Calc!F30))+IF(ArtifactsInput!$M$15,CHOOSE(ArtifactsInput!$N$15+1,25,30,35,40,45,50)/100*(Inputs!$B$11-Inputs!$B$11),0)))/100+(Inputs!$B$23+((C2599=TRUE)*(F2599-Calc!F30))+IF(ArtifactsInput!$M$15,CHOOSE(ArtifactsInput!$N$15+1,25,30,35,40,45,50)/100*(Inputs!$B$11-Inputs!$B$11),0))/100)/2</f>
        <v/>
      </c>
      <c r="M2584">
        <f>L2584*(1+(Inputs!$B$10+((C2596=TRUE)*(F2596-Calc!F27))+B2610+(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2584">
        <f>L2584*(1-MIN((Inputs!$B$9+((C2595=TRUE)*(F2595-Calc!F26))+B2603+(ArtifactsInput!$M$24-ArtifactsInput!$M$24)*CHOOSE(ArtifactsInput!$N$24+1,10,12,14,16,18,20)+(IF(AND(Inputs!$B$39&lt;&gt;"pvp",Inputs!$B$44=0),1,IF(IF(Inputs!$B$39="pvp",15,Inputs!$B$44)-(B2614)&lt;=0,1,MAX(0,IF(Inputs!$B$39="pvp",15,Inputs!$B$44)-MAX(5,B2614))/(IF(Inputs!$B$39="pvp",15,Inputs!$B$44)-(B2614))))*IF(AND(ArtifactsInput!$M$42,((Inputs!$B$9+((C2595=TRUE)*(F2595-Calc!F26))+B2603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2584*(MIN((Inputs!$B$9+((C2595=TRUE)*(F2595-Calc!F26))+B2603+(ArtifactsInput!$M$24-ArtifactsInput!$M$24)*CHOOSE(ArtifactsInput!$N$24+1,10,12,14,16,18,20)+(IF(AND(Inputs!$B$39&lt;&gt;"pvp",Inputs!$B$44=0),1,IF(IF(Inputs!$B$39="pvp",15,Inputs!$B$44)-(B2614)&lt;=0,1,MAX(0,IF(Inputs!$B$39="pvp",15,Inputs!$B$44)-MAX(5,B2614))/(IF(Inputs!$B$39="pvp",15,Inputs!$B$44)-(B2614))))*IF(AND(ArtifactsInput!$M$42,((Inputs!$B$9+((C2595=TRUE)*(F2595-Calc!F26))+B2603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584">
        <f>(1-Summary!$B$11)*T2584+Summary!$B$11*V2584</f>
        <v/>
      </c>
      <c r="P2584">
        <f>IF(B2615=0,0,O2584/B2615)</f>
        <v/>
      </c>
      <c r="Q2584">
        <f>IFERROR(1/IF(Inputs!$B$39="pvp",15,MAX(0.1,Skills!D15-IF(TRUE=TRUE,Inputs!$B$32,0))),0)</f>
        <v/>
      </c>
      <c r="R2584">
        <f>IF(AND(Inputs!$B$39&lt;&gt;"pvp",Inputs!$B$44&gt;0),IF(MAX(0,Inputs!$B$44-B2614)&lt;=0,0,(INT(MAX(0,Inputs!$B$44-B2614)/IF(Inputs!$B$39="pvp",15,MAX(0.1,Skills!D15-IF(TRUE=TRUE,Inputs!$B$32,0))))+1)),0)</f>
        <v/>
      </c>
      <c r="S2584">
        <f>IFERROR(O2584/N2584,0)</f>
        <v/>
      </c>
      <c r="T2584">
        <f>IF(C2584,(H2584*N2584*IF(AND(Inputs!$B$39&lt;&gt;"pvp",Inputs!$B$44&gt;0),((Skills!G15*((R2584-1)*IF(Skills!H15&gt;0,Skills!I15/Skills!H15,1)+IF(Skills!H15&gt;0,MIN(Skills!I15,MAX(0,MAX(0,Inputs!$B$44-B2614)-((R2584-1)*IF(Inputs!$B$39="pvp",15,MAX(0.1,Skills!D15-IF(TRUE=TRUE,Inputs!$B$32,0))))))/Skills!H15,1)))/Inputs!$B$44),G2584*Q2584))*IF(Inputs!$B$39="pvp",1,1+(Inputs!$B$20+0+Skills!P15+B2604+(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Hunt"),CHOOSE(ArtifactsInput!$N$35+1,15,18,21,24,27,30)*(1-EXP(-(0.2*B2607)*5)),0)+IF(AND(ArtifactsInput!$M$22,Inputs!$B$4&lt;&gt;"Chapter Hunt"),CHOOSE(ArtifactsInput!$N$22+1,10,12,14,16,18,20)*((0*(((0.15*B2607*5))^0/1)+1*(((0.15*B2607*5))^1/1)+2*(((0.15*B2607*5))^2/2)+3*(((0.15*B2607*5))^3/6)+4*(((0.15*B2607*5))^4/24)+5*(((0.15*B2607*5))^5/120))/((((0.15*B2607*5))^0/1)+(((0.15*B2607*5))^1/1)+(((0.15*B2607*5))^2/2)+(((0.15*B2607*5))^3/6)+(((0.15*B2607*5))^4/24)+(((0.15*B2607*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2584*(1-MIN(100,(Inputs!$B$9+((C2595=TRUE)*(F2595-Calc!F26))+B2603+(ArtifactsInput!$M$24-ArtifactsInput!$M$24)*CHOOSE(ArtifactsInput!$N$24+1,10,12,14,16,18,20)+(IF(AND(Inputs!$B$39&lt;&gt;"pvp",Inputs!$B$44=0),1,IF(IF(Inputs!$B$39="pvp",15,Inputs!$B$44)-(B2614)&lt;=0,1,MAX(0,IF(Inputs!$B$39="pvp",15,Inputs!$B$44)-MAX(5,B2614))/(IF(Inputs!$B$39="pvp",15,Inputs!$B$44)-(B2614))))*IF(AND(ArtifactsInput!$M$42,((Inputs!$B$9+((C2595=TRUE)*(F2595-Calc!F26))+B2603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2584*(MIN(100,(Inputs!$B$9+((C2595=TRUE)*(F2595-Calc!F26))+B2603+(ArtifactsInput!$M$24-ArtifactsInput!$M$24)*CHOOSE(ArtifactsInput!$N$24+1,10,12,14,16,18,20)+(IF(AND(Inputs!$B$39&lt;&gt;"pvp",Inputs!$B$44=0),1,IF(IF(Inputs!$B$39="pvp",15,Inputs!$B$44)-(B2614)&lt;=0,1,MAX(0,IF(Inputs!$B$39="pvp",15,Inputs!$B$44)-MAX(5,B2614))/(IF(Inputs!$B$39="pvp",15,Inputs!$B$44)-(B2614))))*IF(AND(ArtifactsInput!$M$42,((Inputs!$B$9+((C2595=TRUE)*(F2595-Calc!F26))+B2603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2584*(1-MIN(100,(Inputs!$B$9+((C2595=TRUE)*(F2595-Calc!F26))+B2603+(ArtifactsInput!$M$24-ArtifactsInput!$M$24)*CHOOSE(ArtifactsInput!$N$24+1,10,12,14,16,18,20)+(IF(AND(Inputs!$B$39&lt;&gt;"pvp",Inputs!$B$44=0),1,IF(IF(Inputs!$B$39="pvp",15,Inputs!$B$44)-(B2614)&lt;=0,1,MAX(0,IF(Inputs!$B$39="pvp",15,Inputs!$B$44)-MAX(5,B2614))/(IF(Inputs!$B$39="pvp",15,Inputs!$B$44)-(B2614))))*IF(AND(ArtifactsInput!$M$42,((Inputs!$B$9+((C2595=TRUE)*(F2595-Calc!F26))+B2603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2584*(MIN(100,(Inputs!$B$9+((C2595=TRUE)*(F2595-Calc!F26))+B2603+(ArtifactsInput!$M$24-ArtifactsInput!$M$24)*CHOOSE(ArtifactsInput!$N$24+1,10,12,14,16,18,20)+(IF(AND(Inputs!$B$39&lt;&gt;"pvp",Inputs!$B$44=0),1,IF(IF(Inputs!$B$39="pvp",15,Inputs!$B$44)-(B2614)&lt;=0,1,MAX(0,IF(Inputs!$B$39="pvp",15,Inputs!$B$44)-MAX(5,B2614))/(IF(Inputs!$B$39="pvp",15,Inputs!$B$44)-(B2614))))*IF(AND(ArtifactsInput!$M$42,((Inputs!$B$9+((C2595=TRUE)*(F2595-Calc!F26))+B2603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584">
        <f>IF(C2584,(H2584*N2584*IF(AND(Inputs!$B$39&lt;&gt;"pvp",Inputs!$B$44&gt;0),((Skills!G15*((R2584-1)*IF(Skills!H15&gt;0,Skills!I15/Skills!H15,1)+IF(Skills!H15&gt;0,MIN(Skills!I15,MAX(0,MAX(0,Inputs!$B$44-B2614)-((R2584-1)*IF(Inputs!$B$39="pvp",15,MAX(0.1,Skills!D15-IF(TRUE=TRUE,Inputs!$B$32,0))))))/Skills!H15,1)))/Inputs!$B$44),G2584*Q2584))*IF(Inputs!$B$39="pvp",1,(1+(Inputs!$B$21+Skills!Q15+B2604+(IF(ArtifactsInput!$M$33,CHOOSE(ArtifactsInput!$N$33+1,30,36,42,48,54,60),0))+(IF(AND(ArtifactsInput!$M$35,Inputs!$B$4&lt;&gt;"Chapter Hunt"),CHOOSE(ArtifactsInput!$N$35+1,15,18,21,24,27,30)*(1-EXP(-(0.2*B2607)*5)),0)+IF(AND(ArtifactsInput!$M$22,Inputs!$B$4&lt;&gt;"Chapter Hunt"),CHOOSE(ArtifactsInput!$N$22+1,10,12,14,16,18,20)*((0*(((0.15*B2607*5))^0/1)+1*(((0.15*B2607*5))^1/1)+2*(((0.15*B2607*5))^2/2)+3*(((0.15*B2607*5))^3/6)+4*(((0.15*B2607*5))^4/24)+5*(((0.15*B2607*5))^5/120))/((((0.15*B2607*5))^0/1)+(((0.15*B2607*5))^1/1)+(((0.15*B2607*5))^2/2)+(((0.15*B2607*5))^3/6)+(((0.15*B2607*5))^4/24)+(((0.15*B2607*5))^5/120))),0)))/100)*(MIN(MIN(5,0.5*IF(Inputs!$B$3&gt;=75,0.75,0.5)*B2607*(1/Q2573))*Skills!V15,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585">
      <c r="A2585">
        <f>Skills!A16</f>
        <v/>
      </c>
      <c r="B2585">
        <f>Skills!B16</f>
        <v/>
      </c>
      <c r="C2585">
        <f>Inputs!$B$3&gt;=110</f>
        <v/>
      </c>
      <c r="D2585">
        <f>IF(Skills!C16=1,60+Inputs!$B$25+Inputs!$B$29,IF(Skills!C16=2,90+Inputs!$B$26+Inputs!$B$29,IF(Skills!C16=3,120+Inputs!$B$27+Inputs!$B$29,MAX(0,(Inputs!$B$3-100)*3)+Inputs!$B$28+Inputs!$B$29)))</f>
        <v/>
      </c>
      <c r="E2585">
        <f>INDEX(FactorTable!$B$2:$Y$301, MATCH(ROUND(MIN(300,MAX(1,D2585)),0), FactorTable!$A$2:$A$301,0), Skills!M16+1)</f>
        <v/>
      </c>
      <c r="F2585">
        <f>IF(Skills!N16=TRUE,(Skills!L16/10)*(E2585/1000),Skills!L16/10)+Skills!O16</f>
        <v/>
      </c>
      <c r="G2585">
        <f>Skills!G16*IF(Skills!H16&gt;0,IF(Inputs!$B$39="pvp",MIN(Skills!I16,15),Skills!I16)/Skills!H16,1)</f>
        <v/>
      </c>
      <c r="H2585">
        <f>1-(1-Skills!J16/100)^Skills!K16</f>
        <v/>
      </c>
      <c r="I2585" t="inlineStr">
        <is>
          <t>1</t>
        </is>
      </c>
      <c r="J2585" t="inlineStr"/>
      <c r="K2585" t="inlineStr"/>
      <c r="L2585" t="inlineStr"/>
      <c r="M2585" t="inlineStr"/>
      <c r="N2585" t="inlineStr"/>
      <c r="O2585">
        <f>(1-Summary!$B$11)*T2585+Summary!$B$11*V2585</f>
        <v/>
      </c>
      <c r="P2585">
        <f>IF(B2615=0,0,O2585/B2615)</f>
        <v/>
      </c>
      <c r="Q2585">
        <f>IFERROR(1/IF(Inputs!$B$39="pvp",15,MAX(0.1,Skills!D16-IF(TRUE=TRUE,Inputs!$B$32,0))),0)</f>
        <v/>
      </c>
      <c r="R2585">
        <f>IF(AND(Inputs!$B$39&lt;&gt;"pvp",Inputs!$B$44&gt;0),IF(Inputs!$B$44&lt;=0,0,(INT(Inputs!$B$44/IF(Inputs!$B$39="pvp",15,MAX(0.1,Skills!D16-IF(TRUE=TRUE,Inputs!$B$32,0))))+1)),0)</f>
        <v/>
      </c>
      <c r="S2585">
        <f>IFERROR(O2585/N2585,0)</f>
        <v/>
      </c>
      <c r="T2585" t="n">
        <v>0</v>
      </c>
      <c r="V2585" t="n">
        <v>0</v>
      </c>
    </row>
    <row r="2586">
      <c r="A2586">
        <f>Skills!A17</f>
        <v/>
      </c>
      <c r="B2586">
        <f>Skills!B17</f>
        <v/>
      </c>
      <c r="C2586">
        <f>Inputs!$B$3&gt;=115</f>
        <v/>
      </c>
      <c r="D2586">
        <f>IF(Skills!C17=1,60+Inputs!$B$25+Inputs!$B$29,IF(Skills!C17=2,90+Inputs!$B$26+Inputs!$B$29,IF(Skills!C17=3,120+Inputs!$B$27+Inputs!$B$29,MAX(0,(Inputs!$B$3-100)*3)+Inputs!$B$28+Inputs!$B$29)))</f>
        <v/>
      </c>
      <c r="E2586">
        <f>INDEX(FactorTable!$B$2:$Y$301, MATCH(ROUND(MIN(300,MAX(1,D2586)),0), FactorTable!$A$2:$A$301,0), Skills!M17+1)</f>
        <v/>
      </c>
      <c r="F2586">
        <f>IF(Skills!N17=TRUE,(Skills!L17/10)*(E2586/1000),Skills!L17/10)+Skills!O17</f>
        <v/>
      </c>
      <c r="G2586">
        <f>Skills!G17*IF(Skills!H17&gt;0,IF(Inputs!$B$39="pvp",MIN(Skills!I17,15),Skills!I17)/Skills!H17,1)</f>
        <v/>
      </c>
      <c r="H2586">
        <f>1-(1-Skills!J17/100)^Skills!K17</f>
        <v/>
      </c>
      <c r="I2586" t="inlineStr">
        <is>
          <t>1</t>
        </is>
      </c>
      <c r="J2586">
        <f>((Inputs!$B$6*(1+Inputs!$B$7/100))+(((Inputs!$B$12*(1+Inputs!$B$13/100))-(Inputs!$B$12*(1+Inputs!$B$13/100)))+0.25*(Inputs!$B$14-Inputs!$B$14))*(1+Inputs!$B$7/100))*(F2586/100)</f>
        <v/>
      </c>
      <c r="K2586">
        <f>J2586*(1+((Inputs!$B$12*(1+Inputs!$B$13/100))*0.01+Inputs!$B$14*0.0025)/100)*(1+Inputs!$B$15/100)*(1+Inputs!$B$16/100)*(5000/(6000+Inputs!$B$43*(1-(100*(1-(1-Inputs!$B$19/100)*(1-CHOOSE(ArtifactsInput!$N$40+1,5,6,7,8,9,10)/100)^(ArtifactsInput!$M$40-ArtifactsInput!$M$40)))/100)))*(1+(Inputs!$B$24+((C2600=TRUE)*(F2600-Calc!F31))+((C2587=TRUE)*(F2587-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IF(ArtifactsInput!$M$29,FALSE,TRUE)-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17="CRUEL_STAB",Inputs!$B$17+((C2597=TRUE)*(F2597-Calc!F28))+((IF(AND(Inputs!$B$39&lt;&gt;"pvp",Inputs!$B$44=0),1,IF(IF(Inputs!$B$39="pvp",15,Inputs!$B$44)-(B2614)&lt;=0,1,MAX(0,IF(Inputs!$B$39="pvp",15,Inputs!$B$44)-MAX(5,B2614))/(IF(Inputs!$B$39="pvp",15,Inputs!$B$44)-(B2614))))*(IF(AND(ArtifactsInput!$M$42,((Inputs!$B$9+((C2595=TRUE)*(F2595-Calc!F26))+B2603+(ArtifactsInput!$M$24-ArtifactsInput!$M$24)*CHOOSE(ArtifactsInput!$N$24+1,10,12,14,16,18,20)+IF(ArtifactsInput!$M$10,CHOOSE(ArtifactsInput!$N$10+1,15,18,21,24,27,30)*(IF(Inputs!$B$39="pvp",MIN(15,15)/15,IF(AND(Inputs!$B$39&lt;&gt;"pvp",Inputs!$B$44&gt;0),MIN(15,Inputs!$B$44)/(Inputs!$B$44),0))),0)))&gt;=100),MIN(100,((Inputs!$B$9+((C2595=TRUE)*(F2595-Calc!F26))+B2603+(ArtifactsInput!$M$24-ArtifactsInput!$M$24)*CHOOSE(ArtifactsInput!$N$24+1,10,12,14,16,18,20)+IF(ArtifactsInput!$M$10,CHOOSE(ArtifactsInput!$N$10+1,15,18,21,24,27,30)*(IF(Inputs!$B$39="pvp",MIN(15,15)/15,IF(AND(Inputs!$B$39&lt;&gt;"pvp",Inputs!$B$44&gt;0),MIN(15,Inputs!$B$44)/(Inputs!$B$44),0))),0)))-100),0))*CHOOSE(ArtifactsInput!$N$42+1,0.6,0.72,0.84,0.96,1.08,1.2))),Inputs!$B$18+((C2598=TRUE)*(F2598-Calc!F29))+(IF(AND(Inputs!$B$39&lt;&gt;"pvp",Inputs!$B$44=0),1,IF(IF(Inputs!$B$39="pvp",15,Inputs!$B$44)-(B2614)&lt;=0,1,MAX(0,IF(Inputs!$B$39="pvp",15,Inputs!$B$44)-MAX(5,B2614))/(IF(Inputs!$B$39="pvp",15,Inputs!$B$44)-(B2614))))*IF(AND(ArtifactsInput!$M$42,((Inputs!$B$9+((C2595=TRUE)*(F2595-Calc!F26))+B2603+(ArtifactsInput!$M$24-ArtifactsInput!$M$24)*CHOOSE(ArtifactsInput!$N$24+1,10,12,14,16,18,20)+IF(ArtifactsInput!$M$10,CHOOSE(ArtifactsInput!$N$10+1,15,18,21,24,27,30)*(IF(Inputs!$B$39="pvp",MIN(15,15)/15,IF(AND(Inputs!$B$39&lt;&gt;"pvp",Inputs!$B$44&gt;0),MIN(15,Inputs!$B$44)/(Inputs!$B$44),0))),0)))&gt;=100),CHOOSE(ArtifactsInput!$N$42+1,40,48,56,64,72,80),0))))/100)*(((1+(((C2591=TRUE)*F2591*IF(AND(Inputs!$B$39&lt;&gt;"pvp",Inputs!$B$44&gt;0),(((R2591-1)*MIN((Skills!Y22*(1+Inputs!$B$34/100)),(1/Q2591))+MIN((Skills!Y22*(1+Inputs!$B$34/100)),MAX(0,Inputs!$B$44-((R2591-1)*(1/Q2591)))))/Inputs!$B$44),IF(Inputs!$B$39="pvp",MIN((Skills!Y22*(1+Inputs!$B$34/100)),15)/15,MIN(1,(Skills!Y22*(1+Inputs!$B$34/100))/(1/Q2591)))))+((C2572=TRUE)*F2572*3)+((C2574=TRUE)*F2574*(1-EXP(-0.75*B2607*5)))+((C2593=TRUE)*(F2593-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2580=TRUE)*F2580*IF(AND(Inputs!$B$39&lt;&gt;"pvp",Inputs!$B$44&gt;0),(((R2580-1)*MIN((Skills!Y11*(1+Inputs!$B$34/100)),(1/Q2580))+MIN((Skills!Y11*(1+Inputs!$B$34/100)),MAX(0,Inputs!$B$44-((R2580-1)*(1/Q2580)))))/Inputs!$B$44),IF(Inputs!$B$39="pvp",MIN((Skills!Y11*(1+Inputs!$B$34/100)),15)/15,MIN(1,(Skills!Y11*(1+Inputs!$B$34/100))/(1/Q2580)))))/100)*(1+((C2585=TRUE)*F2585*IF(AND(Inputs!$B$39&lt;&gt;"pvp",Inputs!$B$44&gt;0),(((R2585-1)*MIN((Skills!Y16*(1+Inputs!$B$34/100)),(1/Q2585))+MIN((Skills!Y16*(1+Inputs!$B$34/100)),MAX(0,Inputs!$B$44-((R2585-1)*(1/Q2585)))))/Inputs!$B$44),IF(Inputs!$B$39="pvp",MIN((Skills!Y16*(1+Inputs!$B$34/100)),15)/15,MIN(1,(Skills!Y16*(1+Inputs!$B$34/100))/(1/Q2585)))))/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2605*I2586)</f>
        <v/>
      </c>
      <c r="L2586">
        <f>K2586*(MIN(Inputs!$B$22+((C2594=TRUE)*(F2594-Calc!F25)),(Inputs!$B$23+((C2599=TRUE)*(F2599-Calc!F30))+IF(ArtifactsInput!$M$15,CHOOSE(ArtifactsInput!$N$15+1,25,30,35,40,45,50)/100*(Inputs!$B$11-Inputs!$B$11),0)))/100+(Inputs!$B$23+((C2599=TRUE)*(F2599-Calc!F30))+IF(ArtifactsInput!$M$15,CHOOSE(ArtifactsInput!$N$15+1,25,30,35,40,45,50)/100*(Inputs!$B$11-Inputs!$B$11),0))/100)/2</f>
        <v/>
      </c>
      <c r="M2586">
        <f>L2586*(1+(Inputs!$B$10+((C2596=TRUE)*(F2596-Calc!F27))+B2610+(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2586">
        <f>L2586*(1-MIN((Inputs!$B$9+((C2595=TRUE)*(F2595-Calc!F26))+B2603+(ArtifactsInput!$M$24-ArtifactsInput!$M$24)*CHOOSE(ArtifactsInput!$N$24+1,10,12,14,16,18,20)+(IF(AND(Inputs!$B$39&lt;&gt;"pvp",Inputs!$B$44=0),1,IF(IF(Inputs!$B$39="pvp",15,Inputs!$B$44)-(B2614)&lt;=0,1,MAX(0,IF(Inputs!$B$39="pvp",15,Inputs!$B$44)-MAX(5,B2614))/(IF(Inputs!$B$39="pvp",15,Inputs!$B$44)-(B2614))))*IF(AND(ArtifactsInput!$M$42,((Inputs!$B$9+((C2595=TRUE)*(F2595-Calc!F26))+B2603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2586*(MIN((Inputs!$B$9+((C2595=TRUE)*(F2595-Calc!F26))+B2603+(ArtifactsInput!$M$24-ArtifactsInput!$M$24)*CHOOSE(ArtifactsInput!$N$24+1,10,12,14,16,18,20)+(IF(AND(Inputs!$B$39&lt;&gt;"pvp",Inputs!$B$44=0),1,IF(IF(Inputs!$B$39="pvp",15,Inputs!$B$44)-(B2614)&lt;=0,1,MAX(0,IF(Inputs!$B$39="pvp",15,Inputs!$B$44)-MAX(5,B2614))/(IF(Inputs!$B$39="pvp",15,Inputs!$B$44)-(B2614))))*IF(AND(ArtifactsInput!$M$42,((Inputs!$B$9+((C2595=TRUE)*(F2595-Calc!F26))+B2603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586">
        <f>(1-Summary!$B$11)*T2586+Summary!$B$11*V2586</f>
        <v/>
      </c>
      <c r="P2586">
        <f>IF(B2615=0,0,O2586/B2615)</f>
        <v/>
      </c>
      <c r="Q2586" t="n">
        <v>0</v>
      </c>
      <c r="R2586" t="n">
        <v>0</v>
      </c>
      <c r="S2586">
        <f>IFERROR(O2586/N2586,0)</f>
        <v/>
      </c>
      <c r="T2586">
        <f>IF(C2586,(Inputs!$B$38*0.2*N2586)*IF(Inputs!$B$39="pvp",1,1+(Inputs!$B$20+0+Skills!P17+B2604+(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Hunt"),CHOOSE(ArtifactsInput!$N$35+1,15,18,21,24,27,30)*(1-EXP(-(0.2*B2607)*5)),0)+IF(AND(ArtifactsInput!$M$22,Inputs!$B$4&lt;&gt;"Chapter Hunt"),CHOOSE(ArtifactsInput!$N$22+1,10,12,14,16,18,20)*((0*(((0.15*B2607*5))^0/1)+1*(((0.15*B2607*5))^1/1)+2*(((0.15*B2607*5))^2/2)+3*(((0.15*B2607*5))^3/6)+4*(((0.15*B2607*5))^4/24)+5*(((0.15*B2607*5))^5/120))/((((0.15*B2607*5))^0/1)+(((0.15*B2607*5))^1/1)+(((0.15*B2607*5))^2/2)+(((0.15*B2607*5))^3/6)+(((0.15*B2607*5))^4/24)+(((0.15*B2607*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2586*(1-MIN(100,(Inputs!$B$9+((C2595=TRUE)*(F2595-Calc!F26))+B2603+(ArtifactsInput!$M$24-ArtifactsInput!$M$24)*CHOOSE(ArtifactsInput!$N$24+1,10,12,14,16,18,20)+(IF(AND(Inputs!$B$39&lt;&gt;"pvp",Inputs!$B$44=0),1,IF(IF(Inputs!$B$39="pvp",15,Inputs!$B$44)-(B2614)&lt;=0,1,MAX(0,IF(Inputs!$B$39="pvp",15,Inputs!$B$44)-MAX(5,B2614))/(IF(Inputs!$B$39="pvp",15,Inputs!$B$44)-(B2614))))*IF(AND(ArtifactsInput!$M$42,((Inputs!$B$9+((C2595=TRUE)*(F2595-Calc!F26))+B2603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2586*(MIN(100,(Inputs!$B$9+((C2595=TRUE)*(F2595-Calc!F26))+B2603+(ArtifactsInput!$M$24-ArtifactsInput!$M$24)*CHOOSE(ArtifactsInput!$N$24+1,10,12,14,16,18,20)+(IF(AND(Inputs!$B$39&lt;&gt;"pvp",Inputs!$B$44=0),1,IF(IF(Inputs!$B$39="pvp",15,Inputs!$B$44)-(B2614)&lt;=0,1,MAX(0,IF(Inputs!$B$39="pvp",15,Inputs!$B$44)-MAX(5,B2614))/(IF(Inputs!$B$39="pvp",15,Inputs!$B$44)-(B2614))))*IF(AND(ArtifactsInput!$M$42,((Inputs!$B$9+((C2595=TRUE)*(F2595-Calc!F26))+B2603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2586*(1-MIN(100,(Inputs!$B$9+((C2595=TRUE)*(F2595-Calc!F26))+B2603+(ArtifactsInput!$M$24-ArtifactsInput!$M$24)*CHOOSE(ArtifactsInput!$N$24+1,10,12,14,16,18,20)+(IF(AND(Inputs!$B$39&lt;&gt;"pvp",Inputs!$B$44=0),1,IF(IF(Inputs!$B$39="pvp",15,Inputs!$B$44)-(B2614)&lt;=0,1,MAX(0,IF(Inputs!$B$39="pvp",15,Inputs!$B$44)-MAX(5,B2614))/(IF(Inputs!$B$39="pvp",15,Inputs!$B$44)-(B2614))))*IF(AND(ArtifactsInput!$M$42,((Inputs!$B$9+((C2595=TRUE)*(F2595-Calc!F26))+B2603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2586*(MIN(100,(Inputs!$B$9+((C2595=TRUE)*(F2595-Calc!F26))+B2603+(ArtifactsInput!$M$24-ArtifactsInput!$M$24)*CHOOSE(ArtifactsInput!$N$24+1,10,12,14,16,18,20)+(IF(AND(Inputs!$B$39&lt;&gt;"pvp",Inputs!$B$44=0),1,IF(IF(Inputs!$B$39="pvp",15,Inputs!$B$44)-(B2614)&lt;=0,1,MAX(0,IF(Inputs!$B$39="pvp",15,Inputs!$B$44)-MAX(5,B2614))/(IF(Inputs!$B$39="pvp",15,Inputs!$B$44)-(B2614))))*IF(AND(ArtifactsInput!$M$42,((Inputs!$B$9+((C2595=TRUE)*(F2595-Calc!F26))+B2603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586">
        <f>IF(C2586,(Inputs!$B$38*0.2*N2586)*IF(Inputs!$B$39="pvp",1,(1+(Inputs!$B$21+Skills!Q17+B2604+(IF(ArtifactsInput!$M$33,CHOOSE(ArtifactsInput!$N$33+1,30,36,42,48,54,60),0))+(IF(AND(ArtifactsInput!$M$35,Inputs!$B$4&lt;&gt;"Chapter Hunt"),CHOOSE(ArtifactsInput!$N$35+1,15,18,21,24,27,30)*(1-EXP(-(0.2*B2607)*5)),0)+IF(AND(ArtifactsInput!$M$22,Inputs!$B$4&lt;&gt;"Chapter Hunt"),CHOOSE(ArtifactsInput!$N$22+1,10,12,14,16,18,20)*((0*(((0.15*B2607*5))^0/1)+1*(((0.15*B2607*5))^1/1)+2*(((0.15*B2607*5))^2/2)+3*(((0.15*B2607*5))^3/6)+4*(((0.15*B2607*5))^4/24)+5*(((0.15*B2607*5))^5/120))/((((0.15*B2607*5))^0/1)+(((0.15*B2607*5))^1/1)+(((0.15*B2607*5))^2/2)+(((0.15*B2607*5))^3/6)+(((0.15*B2607*5))^4/24)+(((0.15*B2607*5))^5/120))),0)))/100)*(MIN(Skills!W17,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587">
      <c r="A2587">
        <f>Skills!A18</f>
        <v/>
      </c>
      <c r="B2587">
        <f>Skills!B18</f>
        <v/>
      </c>
      <c r="C2587">
        <f>Inputs!$B$3&gt;=115</f>
        <v/>
      </c>
      <c r="D2587">
        <f>IF(Skills!C18=1,60+Inputs!$B$25+Inputs!$B$29,IF(Skills!C18=2,90+Inputs!$B$26+Inputs!$B$29,IF(Skills!C18=3,120+Inputs!$B$27+Inputs!$B$29,MAX(0,(Inputs!$B$3-100)*3)+Inputs!$B$28+Inputs!$B$29)))</f>
        <v/>
      </c>
      <c r="E2587">
        <f>INDEX(FactorTable!$B$2:$Y$301, MATCH(ROUND(MIN(300,MAX(1,D2587)),0), FactorTable!$A$2:$A$301,0), Skills!M18+1)</f>
        <v/>
      </c>
      <c r="F2587">
        <f>IF(Skills!N18=TRUE,(Skills!L18/10)*(E2587/1000),Skills!L18/10)+Skills!O18</f>
        <v/>
      </c>
      <c r="G2587">
        <f>Skills!G18*IF(Skills!H18&gt;0,IF(Inputs!$B$39="pvp",MIN(Skills!I18,15),Skills!I18)/Skills!H18,1)</f>
        <v/>
      </c>
      <c r="H2587">
        <f>1-(1-Skills!J18/100)^Skills!K18</f>
        <v/>
      </c>
      <c r="I2587" t="inlineStr">
        <is>
          <t>1</t>
        </is>
      </c>
      <c r="J2587" t="inlineStr"/>
      <c r="K2587" t="inlineStr"/>
      <c r="L2587" t="inlineStr"/>
      <c r="M2587" t="inlineStr"/>
      <c r="N2587" t="inlineStr"/>
      <c r="O2587">
        <f>(1-Summary!$B$11)*T2587+Summary!$B$11*V2587</f>
        <v/>
      </c>
      <c r="P2587">
        <f>IF(B2615=0,0,O2587/B2615)</f>
        <v/>
      </c>
      <c r="Q2587" t="n">
        <v>0</v>
      </c>
      <c r="R2587" t="n">
        <v>0</v>
      </c>
      <c r="S2587">
        <f>IFERROR(O2587/N2587,0)</f>
        <v/>
      </c>
      <c r="T2587" t="n">
        <v>0</v>
      </c>
      <c r="V2587" t="n">
        <v>0</v>
      </c>
    </row>
    <row r="2588">
      <c r="A2588">
        <f>Skills!A19</f>
        <v/>
      </c>
      <c r="B2588">
        <f>Skills!B19</f>
        <v/>
      </c>
      <c r="C2588">
        <f>Inputs!$B$3&gt;=100</f>
        <v/>
      </c>
      <c r="D2588">
        <f>IF(Skills!C19=1,60+Inputs!$B$25+Inputs!$B$29,IF(Skills!C19=2,90+Inputs!$B$26+Inputs!$B$29,IF(Skills!C19=3,120+Inputs!$B$27+Inputs!$B$29,MAX(0,(Inputs!$B$3-100)*3)+Inputs!$B$28+Inputs!$B$29)))</f>
        <v/>
      </c>
      <c r="E2588">
        <f>INDEX(FactorTable!$B$2:$Y$301, MATCH(ROUND(MIN(300,MAX(1,D2588)),0), FactorTable!$A$2:$A$301,0), Skills!M19+1)</f>
        <v/>
      </c>
      <c r="F2588">
        <f>IF(Skills!N19=TRUE,(Skills!L19/10)*(E2588/1000),Skills!L19/10)+Skills!O19</f>
        <v/>
      </c>
      <c r="G2588">
        <f>Skills!G19*IF(Skills!H19&gt;0,IF(Inputs!$B$39="pvp",MIN(Skills!I19,15),Skills!I19)/Skills!H19,1)</f>
        <v/>
      </c>
      <c r="H2588">
        <f>1-(1-Skills!J19/100)^Skills!K19</f>
        <v/>
      </c>
      <c r="I2588" t="inlineStr">
        <is>
          <t>1</t>
        </is>
      </c>
      <c r="J2588" t="inlineStr"/>
      <c r="K2588" t="inlineStr"/>
      <c r="L2588" t="inlineStr"/>
      <c r="M2588" t="inlineStr"/>
      <c r="N2588" t="inlineStr"/>
      <c r="O2588">
        <f>(1-Summary!$B$11)*T2588+Summary!$B$11*V2588</f>
        <v/>
      </c>
      <c r="P2588">
        <f>IF(B2615=0,0,O2588/B2615)</f>
        <v/>
      </c>
      <c r="Q2588" t="n">
        <v>0</v>
      </c>
      <c r="R2588" t="n">
        <v>0</v>
      </c>
      <c r="S2588">
        <f>IFERROR(O2588/N2588,0)</f>
        <v/>
      </c>
      <c r="T2588" t="n">
        <v>0</v>
      </c>
      <c r="V2588" t="n">
        <v>0</v>
      </c>
    </row>
    <row r="2589">
      <c r="A2589">
        <f>Skills!A20</f>
        <v/>
      </c>
      <c r="B2589">
        <f>Skills!B20</f>
        <v/>
      </c>
      <c r="C2589">
        <f>TRUE</f>
        <v/>
      </c>
      <c r="D2589">
        <f>IF(Skills!C20=1,60+Inputs!$B$25+Inputs!$B$29,IF(Skills!C20=2,90+Inputs!$B$26+Inputs!$B$29,IF(Skills!C20=3,120+Inputs!$B$27+Inputs!$B$29,MAX(0,(Inputs!$B$3-100)*3)+Inputs!$B$28+Inputs!$B$29)))</f>
        <v/>
      </c>
      <c r="E2589">
        <f>INDEX(FactorTable!$B$2:$Y$301, MATCH(ROUND(MIN(300,MAX(1,D2589)),0), FactorTable!$A$2:$A$301,0), Skills!M20+1)</f>
        <v/>
      </c>
      <c r="F2589">
        <f>IF(Skills!N20=TRUE,(Skills!L20/10)*(E2589/1000),Skills!L20/10)+Skills!O20</f>
        <v/>
      </c>
      <c r="G2589">
        <f>Skills!G20*IF(Skills!H20&gt;0,IF(Inputs!$B$39="pvp",MIN(Skills!I20,15),Skills!I20)/Skills!H20,1)</f>
        <v/>
      </c>
      <c r="H2589">
        <f>1-(1-Skills!J20/100)^Skills!K20</f>
        <v/>
      </c>
      <c r="I2589" t="inlineStr">
        <is>
          <t>1</t>
        </is>
      </c>
      <c r="J2589" t="inlineStr"/>
      <c r="K2589" t="inlineStr"/>
      <c r="L2589" t="inlineStr"/>
      <c r="M2589" t="inlineStr"/>
      <c r="N2589" t="inlineStr"/>
      <c r="O2589">
        <f>(1-Summary!$B$11)*T2589+Summary!$B$11*V2589</f>
        <v/>
      </c>
      <c r="P2589">
        <f>IF(B2615=0,0,O2589/B2615)</f>
        <v/>
      </c>
      <c r="Q2589">
        <f>IFERROR(1/IF(Inputs!$B$39="pvp",15,MAX(0.1,Skills!D20-IF(TRUE=TRUE,Inputs!$B$32,0))),0)</f>
        <v/>
      </c>
      <c r="R2589">
        <f>IF(AND(Inputs!$B$39&lt;&gt;"pvp",Inputs!$B$44&gt;0),IF(Inputs!$B$44&lt;=0,0,(INT(Inputs!$B$44/IF(Inputs!$B$39="pvp",15,MAX(0.1,Skills!D20-IF(TRUE=TRUE,Inputs!$B$32,0))))+1)),0)</f>
        <v/>
      </c>
      <c r="S2589">
        <f>IFERROR(O2589/N2589,0)</f>
        <v/>
      </c>
      <c r="T2589" t="n">
        <v>0</v>
      </c>
      <c r="V2589" t="n">
        <v>0</v>
      </c>
    </row>
    <row r="2590">
      <c r="A2590">
        <f>Skills!A21</f>
        <v/>
      </c>
      <c r="B2590">
        <f>Skills!B21</f>
        <v/>
      </c>
      <c r="C2590">
        <f>Inputs!$B$3&gt;=15</f>
        <v/>
      </c>
      <c r="D2590">
        <f>IF(Skills!C21=1,60+Inputs!$B$25+Inputs!$B$29,IF(Skills!C21=2,90+Inputs!$B$26+Inputs!$B$29,IF(Skills!C21=3,120+Inputs!$B$27+Inputs!$B$29,MAX(0,(Inputs!$B$3-100)*3)+Inputs!$B$28+Inputs!$B$29)))</f>
        <v/>
      </c>
      <c r="E2590">
        <f>INDEX(FactorTable!$B$2:$Y$301, MATCH(ROUND(MIN(300,MAX(1,D2590)),0), FactorTable!$A$2:$A$301,0), Skills!M21+1)</f>
        <v/>
      </c>
      <c r="F2590">
        <f>IF(Skills!N21=TRUE,(Skills!L21/10)*(E2590/1000),Skills!L21/10)+Skills!O21</f>
        <v/>
      </c>
      <c r="G2590">
        <f>Skills!G21*IF(Skills!H21&gt;0,IF(Inputs!$B$39="pvp",MIN(Skills!I21,15),Skills!I21)/Skills!H21,1)</f>
        <v/>
      </c>
      <c r="H2590">
        <f>1-(1-Skills!J21/100)^Skills!K21</f>
        <v/>
      </c>
      <c r="I2590" t="inlineStr">
        <is>
          <t>1</t>
        </is>
      </c>
      <c r="J2590" t="inlineStr"/>
      <c r="K2590" t="inlineStr"/>
      <c r="L2590" t="inlineStr"/>
      <c r="M2590" t="inlineStr"/>
      <c r="N2590" t="inlineStr"/>
      <c r="O2590">
        <f>(1-Summary!$B$11)*T2590+Summary!$B$11*V2590</f>
        <v/>
      </c>
      <c r="P2590">
        <f>IF(B2615=0,0,O2590/B2615)</f>
        <v/>
      </c>
      <c r="Q2590">
        <f>IFERROR(1/IF(Inputs!$B$39="pvp",15,MAX(0.1,Skills!D21-IF(TRUE=TRUE,Inputs!$B$32,0))),0)</f>
        <v/>
      </c>
      <c r="R2590">
        <f>IF(AND(Inputs!$B$39&lt;&gt;"pvp",Inputs!$B$44&gt;0),IF(Inputs!$B$44&lt;=0,0,(INT(Inputs!$B$44/IF(Inputs!$B$39="pvp",15,MAX(0.1,Skills!D21-IF(TRUE=TRUE,Inputs!$B$32,0))))+1)),0)</f>
        <v/>
      </c>
      <c r="S2590">
        <f>IFERROR(O2590/N2590,0)</f>
        <v/>
      </c>
      <c r="T2590" t="n">
        <v>0</v>
      </c>
      <c r="V2590" t="n">
        <v>0</v>
      </c>
    </row>
    <row r="2591">
      <c r="A2591">
        <f>Skills!A22</f>
        <v/>
      </c>
      <c r="B2591">
        <f>Skills!B22</f>
        <v/>
      </c>
      <c r="C2591">
        <f>Inputs!$B$3&gt;=15</f>
        <v/>
      </c>
      <c r="D2591">
        <f>IF(Skills!C22=1,60+Inputs!$B$25+Inputs!$B$29,IF(Skills!C22=2,90+Inputs!$B$26+Inputs!$B$29,IF(Skills!C22=3,120+Inputs!$B$27+Inputs!$B$29,MAX(0,(Inputs!$B$3-100)*3)+Inputs!$B$28+Inputs!$B$29)))</f>
        <v/>
      </c>
      <c r="E2591">
        <f>INDEX(FactorTable!$B$2:$Y$301, MATCH(ROUND(MIN(300,MAX(1,D2591)),0), FactorTable!$A$2:$A$301,0), Skills!M22+1)</f>
        <v/>
      </c>
      <c r="F2591">
        <f>IF(Skills!N22=TRUE,(Skills!L22/10)*(E2591/1000),Skills!L22/10)+Skills!O22</f>
        <v/>
      </c>
      <c r="G2591">
        <f>Skills!G22*IF(Skills!H22&gt;0,IF(Inputs!$B$39="pvp",MIN(Skills!I22,15),Skills!I22)/Skills!H22,1)</f>
        <v/>
      </c>
      <c r="H2591">
        <f>1-(1-Skills!J22/100)^Skills!K22</f>
        <v/>
      </c>
      <c r="I2591" t="inlineStr">
        <is>
          <t>1</t>
        </is>
      </c>
      <c r="J2591" t="inlineStr"/>
      <c r="K2591" t="inlineStr"/>
      <c r="L2591" t="inlineStr"/>
      <c r="M2591" t="inlineStr"/>
      <c r="N2591" t="inlineStr"/>
      <c r="O2591">
        <f>(1-Summary!$B$11)*T2591+Summary!$B$11*V2591</f>
        <v/>
      </c>
      <c r="P2591">
        <f>IF(B2615=0,0,O2591/B2615)</f>
        <v/>
      </c>
      <c r="Q2591">
        <f>IFERROR(1/IF(Inputs!$B$39="pvp",15,MAX(0.1,Skills!D22-IF(TRUE=TRUE,Inputs!$B$32,0))),0)</f>
        <v/>
      </c>
      <c r="R2591">
        <f>IF(AND(Inputs!$B$39&lt;&gt;"pvp",Inputs!$B$44&gt;0),IF(Inputs!$B$44&lt;=0,0,(INT(Inputs!$B$44/IF(Inputs!$B$39="pvp",15,MAX(0.1,Skills!D22-IF(TRUE=TRUE,Inputs!$B$32,0))))+1)),0)</f>
        <v/>
      </c>
      <c r="S2591">
        <f>IFERROR(O2591/N2591,0)</f>
        <v/>
      </c>
      <c r="T2591" t="n">
        <v>0</v>
      </c>
      <c r="V2591" t="n">
        <v>0</v>
      </c>
    </row>
    <row r="2592">
      <c r="A2592">
        <f>Skills!A23</f>
        <v/>
      </c>
      <c r="B2592">
        <f>Skills!B23</f>
        <v/>
      </c>
      <c r="C2592">
        <f>Inputs!$B$3&gt;=33</f>
        <v/>
      </c>
      <c r="D2592">
        <f>IF(Skills!C23=1,60+Inputs!$B$25+Inputs!$B$29,IF(Skills!C23=2,90+Inputs!$B$26+Inputs!$B$29,IF(Skills!C23=3,120+Inputs!$B$27+Inputs!$B$29,MAX(0,(Inputs!$B$3-100)*3)+Inputs!$B$28+Inputs!$B$29)))</f>
        <v/>
      </c>
      <c r="E2592">
        <f>INDEX(FactorTable!$B$2:$Y$301, MATCH(ROUND(MIN(300,MAX(1,D2592)),0), FactorTable!$A$2:$A$301,0), Skills!M23+1)</f>
        <v/>
      </c>
      <c r="F2592">
        <f>IF(Skills!N23=TRUE,(Skills!L23/10)*(E2592/1000),Skills!L23/10)+Skills!O23</f>
        <v/>
      </c>
      <c r="G2592">
        <f>Skills!G23*IF(Skills!H23&gt;0,IF(Inputs!$B$39="pvp",MIN(Skills!I23,15),Skills!I23)/Skills!H23,1)</f>
        <v/>
      </c>
      <c r="H2592">
        <f>1-(1-Skills!J23/100)^Skills!K23</f>
        <v/>
      </c>
      <c r="I2592" t="inlineStr">
        <is>
          <t>1</t>
        </is>
      </c>
      <c r="J2592" t="inlineStr"/>
      <c r="K2592" t="inlineStr"/>
      <c r="L2592" t="inlineStr"/>
      <c r="M2592" t="inlineStr"/>
      <c r="N2592" t="inlineStr"/>
      <c r="O2592">
        <f>(1-Summary!$B$11)*T2592+Summary!$B$11*V2592</f>
        <v/>
      </c>
      <c r="P2592">
        <f>IF(B2615=0,0,O2592/B2615)</f>
        <v/>
      </c>
      <c r="Q2592" t="n">
        <v>0</v>
      </c>
      <c r="R2592" t="n">
        <v>0</v>
      </c>
      <c r="S2592">
        <f>IFERROR(O2592/N2592,0)</f>
        <v/>
      </c>
      <c r="T2592" t="n">
        <v>0</v>
      </c>
      <c r="V2592" t="n">
        <v>0</v>
      </c>
    </row>
    <row r="2593">
      <c r="A2593">
        <f>Skills!A24</f>
        <v/>
      </c>
      <c r="B2593">
        <f>Skills!B24</f>
        <v/>
      </c>
      <c r="C2593">
        <f>Inputs!$B$3&gt;=40</f>
        <v/>
      </c>
      <c r="D2593">
        <f>IF(Skills!C24=1,60+Inputs!$B$25+Inputs!$B$29,IF(Skills!C24=2,90+Inputs!$B$26+Inputs!$B$29,IF(Skills!C24=3,120+Inputs!$B$27+Inputs!$B$29,MAX(0,(Inputs!$B$3-100)*3)+Inputs!$B$28+Inputs!$B$29)))</f>
        <v/>
      </c>
      <c r="E2593">
        <f>INDEX(FactorTable!$B$2:$Y$301, MATCH(ROUND(MIN(300,MAX(1,D2593)),0), FactorTable!$A$2:$A$301,0), Skills!M24+1)</f>
        <v/>
      </c>
      <c r="F2593">
        <f>IF(Skills!N24=TRUE,(Skills!L24/10)*(E2593/1000),Skills!L24/10)+Skills!O24</f>
        <v/>
      </c>
      <c r="G2593">
        <f>Skills!G24*IF(Skills!H24&gt;0,IF(Inputs!$B$39="pvp",MIN(Skills!I24,15),Skills!I24)/Skills!H24,1)</f>
        <v/>
      </c>
      <c r="H2593">
        <f>1-(1-Skills!J24/100)^Skills!K24</f>
        <v/>
      </c>
      <c r="I2593" t="inlineStr">
        <is>
          <t>1</t>
        </is>
      </c>
      <c r="J2593" t="inlineStr"/>
      <c r="K2593" t="inlineStr"/>
      <c r="L2593" t="inlineStr"/>
      <c r="M2593" t="inlineStr"/>
      <c r="N2593" t="inlineStr"/>
      <c r="O2593">
        <f>(1-Summary!$B$11)*T2593+Summary!$B$11*V2593</f>
        <v/>
      </c>
      <c r="P2593">
        <f>IF(B2615=0,0,O2593/B2615)</f>
        <v/>
      </c>
      <c r="Q2593" t="n">
        <v>0</v>
      </c>
      <c r="R2593" t="n">
        <v>0</v>
      </c>
      <c r="S2593">
        <f>IFERROR(O2593/N2593,0)</f>
        <v/>
      </c>
      <c r="T2593" t="n">
        <v>0</v>
      </c>
      <c r="V2593" t="n">
        <v>0</v>
      </c>
    </row>
    <row r="2594">
      <c r="A2594">
        <f>Skills!A25</f>
        <v/>
      </c>
      <c r="B2594">
        <f>Skills!B25</f>
        <v/>
      </c>
      <c r="C2594">
        <f>Inputs!$B$3&gt;=43</f>
        <v/>
      </c>
      <c r="D2594">
        <f>IF(Skills!C25=1,60+Inputs!$B$25+Inputs!$B$29,IF(Skills!C25=2,90+Inputs!$B$26+Inputs!$B$29,IF(Skills!C25=3,120+Inputs!$B$27+Inputs!$B$29,MAX(0,(Inputs!$B$3-100)*3)+Inputs!$B$28+Inputs!$B$29)))</f>
        <v/>
      </c>
      <c r="E2594">
        <f>INDEX(FactorTable!$B$2:$Y$301, MATCH(ROUND(MIN(300,MAX(1,D2594)),0), FactorTable!$A$2:$A$301,0), Skills!M25+1)</f>
        <v/>
      </c>
      <c r="F2594">
        <f>IF(Skills!N25=TRUE,(Skills!L25/10)*(E2594/1000),Skills!L25/10)+Skills!O25</f>
        <v/>
      </c>
      <c r="G2594">
        <f>Skills!G25*IF(Skills!H25&gt;0,IF(Inputs!$B$39="pvp",MIN(Skills!I25,15),Skills!I25)/Skills!H25,1)</f>
        <v/>
      </c>
      <c r="H2594">
        <f>1-(1-Skills!J25/100)^Skills!K25</f>
        <v/>
      </c>
      <c r="I2594" t="inlineStr">
        <is>
          <t>1</t>
        </is>
      </c>
      <c r="J2594" t="inlineStr"/>
      <c r="K2594" t="inlineStr"/>
      <c r="L2594" t="inlineStr"/>
      <c r="M2594" t="inlineStr"/>
      <c r="N2594" t="inlineStr"/>
      <c r="O2594">
        <f>(1-Summary!$B$11)*T2594+Summary!$B$11*V2594</f>
        <v/>
      </c>
      <c r="P2594">
        <f>IF(B2615=0,0,O2594/B2615)</f>
        <v/>
      </c>
      <c r="Q2594" t="n">
        <v>0</v>
      </c>
      <c r="R2594" t="n">
        <v>0</v>
      </c>
      <c r="S2594">
        <f>IFERROR(O2594/N2594,0)</f>
        <v/>
      </c>
      <c r="T2594" t="n">
        <v>0</v>
      </c>
      <c r="V2594" t="n">
        <v>0</v>
      </c>
    </row>
    <row r="2595">
      <c r="A2595">
        <f>Skills!A26</f>
        <v/>
      </c>
      <c r="B2595">
        <f>Skills!B26</f>
        <v/>
      </c>
      <c r="C2595">
        <f>Inputs!$B$3&gt;=50</f>
        <v/>
      </c>
      <c r="D2595">
        <f>IF(Skills!C26=1,60+Inputs!$B$25+Inputs!$B$29,IF(Skills!C26=2,90+Inputs!$B$26+Inputs!$B$29,IF(Skills!C26=3,120+Inputs!$B$27+Inputs!$B$29,MAX(0,(Inputs!$B$3-100)*3)+Inputs!$B$28+Inputs!$B$29)))</f>
        <v/>
      </c>
      <c r="E2595">
        <f>INDEX(FactorTable!$B$2:$Y$301, MATCH(ROUND(MIN(300,MAX(1,D2595)),0), FactorTable!$A$2:$A$301,0), Skills!M26+1)</f>
        <v/>
      </c>
      <c r="F2595">
        <f>IF(Skills!N26=TRUE,(Skills!L26/10)*(E2595/1000),Skills!L26/10)+Skills!O26</f>
        <v/>
      </c>
      <c r="G2595">
        <f>Skills!G26*IF(Skills!H26&gt;0,IF(Inputs!$B$39="pvp",MIN(Skills!I26,15),Skills!I26)/Skills!H26,1)</f>
        <v/>
      </c>
      <c r="H2595">
        <f>1-(1-Skills!J26/100)^Skills!K26</f>
        <v/>
      </c>
      <c r="I2595" t="inlineStr">
        <is>
          <t>1</t>
        </is>
      </c>
      <c r="J2595" t="inlineStr"/>
      <c r="K2595" t="inlineStr"/>
      <c r="L2595" t="inlineStr"/>
      <c r="M2595" t="inlineStr"/>
      <c r="N2595" t="inlineStr"/>
      <c r="O2595">
        <f>(1-Summary!$B$11)*T2595+Summary!$B$11*V2595</f>
        <v/>
      </c>
      <c r="P2595">
        <f>IF(B2615=0,0,O2595/B2615)</f>
        <v/>
      </c>
      <c r="Q2595" t="n">
        <v>0</v>
      </c>
      <c r="R2595" t="n">
        <v>0</v>
      </c>
      <c r="S2595">
        <f>IFERROR(O2595/N2595,0)</f>
        <v/>
      </c>
      <c r="T2595" t="n">
        <v>0</v>
      </c>
      <c r="V2595" t="n">
        <v>0</v>
      </c>
    </row>
    <row r="2596">
      <c r="A2596">
        <f>Skills!A27</f>
        <v/>
      </c>
      <c r="B2596">
        <f>Skills!B27</f>
        <v/>
      </c>
      <c r="C2596">
        <f>Inputs!$B$3&gt;=50</f>
        <v/>
      </c>
      <c r="D2596">
        <f>IF(Skills!C27=1,60+Inputs!$B$25+Inputs!$B$29,IF(Skills!C27=2,90+Inputs!$B$26+Inputs!$B$29,IF(Skills!C27=3,120+Inputs!$B$27+Inputs!$B$29,MAX(0,(Inputs!$B$3-100)*3)+Inputs!$B$28+Inputs!$B$29)))</f>
        <v/>
      </c>
      <c r="E2596">
        <f>INDEX(FactorTable!$B$2:$Y$301, MATCH(ROUND(MIN(300,MAX(1,D2596)),0), FactorTable!$A$2:$A$301,0), Skills!M27+1)</f>
        <v/>
      </c>
      <c r="F2596">
        <f>IF(Skills!N27=TRUE,(Skills!L27/10)*(E2596/1000),Skills!L27/10)+Skills!O27</f>
        <v/>
      </c>
      <c r="G2596">
        <f>Skills!G27*IF(Skills!H27&gt;0,IF(Inputs!$B$39="pvp",MIN(Skills!I27,15),Skills!I27)/Skills!H27,1)</f>
        <v/>
      </c>
      <c r="H2596">
        <f>1-(1-Skills!J27/100)^Skills!K27</f>
        <v/>
      </c>
      <c r="I2596" t="inlineStr">
        <is>
          <t>1</t>
        </is>
      </c>
      <c r="J2596" t="inlineStr"/>
      <c r="K2596" t="inlineStr"/>
      <c r="L2596" t="inlineStr"/>
      <c r="M2596" t="inlineStr"/>
      <c r="N2596" t="inlineStr"/>
      <c r="O2596">
        <f>(1-Summary!$B$11)*T2596+Summary!$B$11*V2596</f>
        <v/>
      </c>
      <c r="P2596">
        <f>IF(B2615=0,0,O2596/B2615)</f>
        <v/>
      </c>
      <c r="Q2596" t="n">
        <v>0</v>
      </c>
      <c r="R2596" t="n">
        <v>0</v>
      </c>
      <c r="S2596">
        <f>IFERROR(O2596/N2596,0)</f>
        <v/>
      </c>
      <c r="T2596" t="n">
        <v>0</v>
      </c>
      <c r="V2596" t="n">
        <v>0</v>
      </c>
    </row>
    <row r="2597">
      <c r="A2597">
        <f>Skills!A28</f>
        <v/>
      </c>
      <c r="B2597">
        <f>Skills!B28</f>
        <v/>
      </c>
      <c r="C2597">
        <f>Inputs!$B$3&gt;=38</f>
        <v/>
      </c>
      <c r="D2597">
        <f>IF(Skills!C28=1,60+Inputs!$B$25+Inputs!$B$29,IF(Skills!C28=2,90+Inputs!$B$26+Inputs!$B$29,IF(Skills!C28=3,120+Inputs!$B$27+Inputs!$B$29,MAX(0,(Inputs!$B$3-100)*3)+Inputs!$B$28+Inputs!$B$29)))</f>
        <v/>
      </c>
      <c r="E2597">
        <f>INDEX(FactorTable!$B$2:$Y$301, MATCH(ROUND(MIN(300,MAX(1,D2597)),0), FactorTable!$A$2:$A$301,0), Skills!M28+1)</f>
        <v/>
      </c>
      <c r="F2597">
        <f>IF(Skills!N28=TRUE,(Skills!L28/10)*(E2597/1000),Skills!L28/10)+Skills!O28</f>
        <v/>
      </c>
      <c r="G2597">
        <f>Skills!G28*IF(Skills!H28&gt;0,IF(Inputs!$B$39="pvp",MIN(Skills!I28,15),Skills!I28)/Skills!H28,1)</f>
        <v/>
      </c>
      <c r="H2597">
        <f>1-(1-Skills!J28/100)^Skills!K28</f>
        <v/>
      </c>
      <c r="I2597" t="inlineStr">
        <is>
          <t>1</t>
        </is>
      </c>
      <c r="J2597" t="inlineStr"/>
      <c r="K2597" t="inlineStr"/>
      <c r="L2597" t="inlineStr"/>
      <c r="M2597" t="inlineStr"/>
      <c r="N2597" t="inlineStr"/>
      <c r="O2597">
        <f>(1-Summary!$B$11)*T2597+Summary!$B$11*V2597</f>
        <v/>
      </c>
      <c r="P2597">
        <f>IF(B2615=0,0,O2597/B2615)</f>
        <v/>
      </c>
      <c r="Q2597" t="n">
        <v>0</v>
      </c>
      <c r="R2597" t="n">
        <v>0</v>
      </c>
      <c r="S2597">
        <f>IFERROR(O2597/N2597,0)</f>
        <v/>
      </c>
      <c r="T2597" t="n">
        <v>0</v>
      </c>
      <c r="V2597" t="n">
        <v>0</v>
      </c>
    </row>
    <row r="2598">
      <c r="A2598">
        <f>Skills!A29</f>
        <v/>
      </c>
      <c r="B2598">
        <f>Skills!B29</f>
        <v/>
      </c>
      <c r="C2598">
        <f>Inputs!$B$3&gt;=120</f>
        <v/>
      </c>
      <c r="D2598">
        <f>IF(Skills!C29=1,60+Inputs!$B$25+Inputs!$B$29,IF(Skills!C29=2,90+Inputs!$B$26+Inputs!$B$29,IF(Skills!C29=3,120+Inputs!$B$27+Inputs!$B$29,MAX(0,(Inputs!$B$3-100)*3)+Inputs!$B$28+Inputs!$B$29)))</f>
        <v/>
      </c>
      <c r="E2598">
        <f>INDEX(FactorTable!$B$2:$Y$301, MATCH(ROUND(MIN(300,MAX(1,D2598)),0), FactorTable!$A$2:$A$301,0), Skills!M29+1)</f>
        <v/>
      </c>
      <c r="F2598">
        <f>IF(Skills!N29=TRUE,(Skills!L29/10)*(E2598/1000),Skills!L29/10)+Skills!O29</f>
        <v/>
      </c>
      <c r="G2598">
        <f>Skills!G29*IF(Skills!H29&gt;0,IF(Inputs!$B$39="pvp",MIN(Skills!I29,15),Skills!I29)/Skills!H29,1)</f>
        <v/>
      </c>
      <c r="H2598">
        <f>1-(1-Skills!J29/100)^Skills!K29</f>
        <v/>
      </c>
      <c r="I2598" t="inlineStr">
        <is>
          <t>1</t>
        </is>
      </c>
      <c r="J2598" t="inlineStr"/>
      <c r="K2598" t="inlineStr"/>
      <c r="L2598" t="inlineStr"/>
      <c r="M2598" t="inlineStr"/>
      <c r="N2598" t="inlineStr"/>
      <c r="O2598">
        <f>(1-Summary!$B$11)*T2598+Summary!$B$11*V2598</f>
        <v/>
      </c>
      <c r="P2598">
        <f>IF(B2615=0,0,O2598/B2615)</f>
        <v/>
      </c>
      <c r="Q2598" t="n">
        <v>0</v>
      </c>
      <c r="R2598" t="n">
        <v>0</v>
      </c>
      <c r="S2598">
        <f>IFERROR(O2598/N2598,0)</f>
        <v/>
      </c>
      <c r="T2598" t="n">
        <v>0</v>
      </c>
      <c r="V2598" t="n">
        <v>0</v>
      </c>
    </row>
    <row r="2599">
      <c r="A2599">
        <f>Skills!A30</f>
        <v/>
      </c>
      <c r="B2599">
        <f>Skills!B30</f>
        <v/>
      </c>
      <c r="C2599">
        <f>Inputs!$B$3&gt;=120</f>
        <v/>
      </c>
      <c r="D2599">
        <f>IF(Skills!C30=1,60+Inputs!$B$25+Inputs!$B$29,IF(Skills!C30=2,90+Inputs!$B$26+Inputs!$B$29,IF(Skills!C30=3,120+Inputs!$B$27+Inputs!$B$29,MAX(0,(Inputs!$B$3-100)*3)+Inputs!$B$28+Inputs!$B$29)))</f>
        <v/>
      </c>
      <c r="E2599">
        <f>INDEX(FactorTable!$B$2:$Y$301, MATCH(ROUND(MIN(300,MAX(1,D2599)),0), FactorTable!$A$2:$A$301,0), Skills!M30+1)</f>
        <v/>
      </c>
      <c r="F2599">
        <f>IF(Skills!N30=TRUE,(Skills!L30/10)*(E2599/1000),Skills!L30/10)+Skills!O30</f>
        <v/>
      </c>
      <c r="G2599">
        <f>Skills!G30*IF(Skills!H30&gt;0,IF(Inputs!$B$39="pvp",MIN(Skills!I30,15),Skills!I30)/Skills!H30,1)</f>
        <v/>
      </c>
      <c r="H2599">
        <f>1-(1-Skills!J30/100)^Skills!K30</f>
        <v/>
      </c>
      <c r="I2599" t="inlineStr">
        <is>
          <t>1</t>
        </is>
      </c>
      <c r="J2599" t="inlineStr"/>
      <c r="K2599" t="inlineStr"/>
      <c r="L2599" t="inlineStr"/>
      <c r="M2599" t="inlineStr"/>
      <c r="N2599" t="inlineStr"/>
      <c r="O2599">
        <f>(1-Summary!$B$11)*T2599+Summary!$B$11*V2599</f>
        <v/>
      </c>
      <c r="P2599">
        <f>IF(B2615=0,0,O2599/B2615)</f>
        <v/>
      </c>
      <c r="Q2599" t="n">
        <v>0</v>
      </c>
      <c r="R2599" t="n">
        <v>0</v>
      </c>
      <c r="S2599">
        <f>IFERROR(O2599/N2599,0)</f>
        <v/>
      </c>
      <c r="T2599" t="n">
        <v>0</v>
      </c>
      <c r="V2599" t="n">
        <v>0</v>
      </c>
    </row>
    <row r="2600">
      <c r="A2600">
        <f>Skills!A31</f>
        <v/>
      </c>
      <c r="B2600">
        <f>Skills!B31</f>
        <v/>
      </c>
      <c r="C2600">
        <f>Inputs!$B$3&gt;=125</f>
        <v/>
      </c>
      <c r="D2600">
        <f>IF(Skills!C31=1,60+Inputs!$B$25+Inputs!$B$29,IF(Skills!C31=2,90+Inputs!$B$26+Inputs!$B$29,IF(Skills!C31=3,120+Inputs!$B$27+Inputs!$B$29,MAX(0,(Inputs!$B$3-100)*3)+Inputs!$B$28+Inputs!$B$29)))</f>
        <v/>
      </c>
      <c r="E2600">
        <f>INDEX(FactorTable!$B$2:$Y$301, MATCH(ROUND(MIN(300,MAX(1,D2600)),0), FactorTable!$A$2:$A$301,0), Skills!M31+1)</f>
        <v/>
      </c>
      <c r="F2600">
        <f>IF(Skills!N31=TRUE,(Skills!L31/10)*(E2600/1000),Skills!L31/10)+Skills!O31</f>
        <v/>
      </c>
      <c r="G2600">
        <f>Skills!G31*IF(Skills!H31&gt;0,IF(Inputs!$B$39="pvp",MIN(Skills!I31,15),Skills!I31)/Skills!H31,1)</f>
        <v/>
      </c>
      <c r="H2600">
        <f>1-(1-Skills!J31/100)^Skills!K31</f>
        <v/>
      </c>
      <c r="I2600" t="inlineStr">
        <is>
          <t>1</t>
        </is>
      </c>
      <c r="J2600" t="inlineStr"/>
      <c r="K2600" t="inlineStr"/>
      <c r="L2600" t="inlineStr"/>
      <c r="M2600" t="inlineStr"/>
      <c r="N2600" t="inlineStr"/>
      <c r="O2600">
        <f>(1-Summary!$B$11)*T2600+Summary!$B$11*V2600</f>
        <v/>
      </c>
      <c r="P2600">
        <f>IF(B2615=0,0,O2600/B2615)</f>
        <v/>
      </c>
      <c r="Q2600" t="n">
        <v>0</v>
      </c>
      <c r="R2600" t="n">
        <v>0</v>
      </c>
      <c r="S2600">
        <f>IFERROR(O2600/N2600,0)</f>
        <v/>
      </c>
      <c r="T2600" t="n">
        <v>0</v>
      </c>
      <c r="V2600" t="n">
        <v>0</v>
      </c>
    </row>
    <row r="2602">
      <c r="A2602" t="inlineStr">
        <is>
          <t>Average Buff Multiplier</t>
        </is>
      </c>
      <c r="B2602">
        <f>(1+(((C2591=TRUE)*F2591*IF(AND(Inputs!$B$39&lt;&gt;"pvp",Inputs!$B$44&gt;0),(((R2591-1)*MIN((Skills!Y22*(1+Inputs!$B$34/100)),(1/Q2591))+MIN((Skills!Y22*(1+Inputs!$B$34/100)),MAX(0,Inputs!$B$44-((R2591-1)*(1/Q2591)))))/Inputs!$B$44),IF(Inputs!$B$39="pvp",MIN((Skills!Y22*(1+Inputs!$B$34/100)),15)/15,MIN(1,(Skills!Y22*(1+Inputs!$B$34/100))/(1/Q2591)))))+((C2572=TRUE)*F2572*3)+((C2574=TRUE)*F2574*(1-EXP(-0.75*B2607*5)))+((C2593=TRUE)*(F2593-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2580=TRUE)*F2580*IF(AND(Inputs!$B$39&lt;&gt;"pvp",Inputs!$B$44&gt;0),(((R2580-1)*MIN((Skills!Y11*(1+Inputs!$B$34/100)),(1/Q2580))+MIN((Skills!Y11*(1+Inputs!$B$34/100)),MAX(0,Inputs!$B$44-((R2580-1)*(1/Q2580)))))/Inputs!$B$44),IF(Inputs!$B$39="pvp",MIN((Skills!Y11*(1+Inputs!$B$34/100)),15)/15,MIN(1,(Skills!Y11*(1+Inputs!$B$34/100))/(1/Q2580)))))/100)*(1+((C2585=TRUE)*F2585*IF(AND(Inputs!$B$39&lt;&gt;"pvp",Inputs!$B$44&gt;0),(((R2585-1)*MIN((Skills!Y16*(1+Inputs!$B$34/100)),(1/Q2585))+MIN((Skills!Y16*(1+Inputs!$B$34/100)),MAX(0,Inputs!$B$44-((R2585-1)*(1/Q2585)))))/Inputs!$B$44),IF(Inputs!$B$39="pvp",MIN((Skills!Y16*(1+Inputs!$B$34/100)),15)/15,MIN(1,(Skills!Y16*(1+Inputs!$B$34/100))/(1/Q2585)))))/100)</f>
        <v/>
      </c>
    </row>
    <row r="2603">
      <c r="A2603" t="inlineStr">
        <is>
          <t>Global Crit Rate Bonus %</t>
        </is>
      </c>
      <c r="B2603">
        <f>((C2590=TRUE)*F2590*IF(AND(Inputs!$B$39&lt;&gt;"pvp",Inputs!$B$44&gt;0),(((R2590-1)*MIN((Skills!Y21*(1+Inputs!$B$34/100)),(1/Q2590))+MIN((Skills!Y21*(1+Inputs!$B$34/100)),MAX(0,Inputs!$B$44-((R2590-1)*(1/Q2590)))))/Inputs!$B$44),IF(Inputs!$B$39="pvp",MIN((Skills!Y21*(1+Inputs!$B$34/100)),15)/15,MIN(1,(Skills!Y21*(1+Inputs!$B$34/100))/(1/Q2590)))))</f>
        <v/>
      </c>
    </row>
    <row r="2604">
      <c r="A2604" t="inlineStr">
        <is>
          <t>Global Monster Damage-Taken Bonus %</t>
        </is>
      </c>
      <c r="B2604">
        <f>IF(Inputs!$B$3&gt;=82,15,0)</f>
        <v/>
      </c>
    </row>
    <row r="2605">
      <c r="A2605" t="inlineStr">
        <is>
          <t>Shadow Partner Average Multiplier</t>
        </is>
      </c>
      <c r="B2605">
        <f>1+((C2577=TRUE)*F2577*(1+3.3333333333333335*IF(C2588=TRUE,F2588,0)/100)*I2577*Skills!J8/100)/100</f>
        <v/>
      </c>
    </row>
    <row r="2606">
      <c r="A2606" t="inlineStr">
        <is>
          <t>Attack Speed Buff Bonus %</t>
        </is>
      </c>
      <c r="B2606">
        <f>((C2589=TRUE)*F2589*IF(AND(Inputs!$B$39&lt;&gt;"pvp",Inputs!$B$44&gt;0),(((R2589-1)*MIN((Skills!Y20*(1+Inputs!$B$34/100)),(1/Q2589))+MIN((Skills!Y20*(1+Inputs!$B$34/100)),MAX(0,Inputs!$B$44-((R2589-1)*(1/Q2589)))))/Inputs!$B$44),IF(Inputs!$B$39="pvp",MIN((Skills!Y20*(1+Inputs!$B$34/100)),15)/15,MIN(1,(Skills!Y20*(1+Inputs!$B$34/100))/(1/Q2589)))))</f>
        <v/>
      </c>
    </row>
    <row r="2607">
      <c r="A2607" t="inlineStr">
        <is>
          <t>Actions Per Second</t>
        </is>
      </c>
      <c r="B2607">
        <f>1+MIN(150,150*(1-(1-(Inputs!$B$11+((C2592=TRUE)*(F2592-Calc!F23)))/150)*(1-B2606/150)))/100</f>
        <v/>
      </c>
    </row>
    <row r="2608">
      <c r="A2608" t="inlineStr">
        <is>
          <t>Skill + Buff Cast Rate</t>
        </is>
      </c>
      <c r="B2608">
        <f>IF(AND(Inputs!$B$39&lt;&gt;"pvp",Inputs!$B$44&gt;0),SUMPRODUCT((Skills!E2:E31=TRUE)*(C2571:C2600=TRUE)*R2571:R2600*Skills!F2:F31)/Inputs!$B$44,SUMPRODUCT((Skills!E2:E31=TRUE)*(C2571:C2600=TRUE)*Q2571:Q2600*Skills!F2:F31))</f>
        <v/>
      </c>
    </row>
    <row r="2609">
      <c r="A2609" t="inlineStr">
        <is>
          <t>Cruel Stab Casts Per Second</t>
        </is>
      </c>
      <c r="B2609">
        <f>MAX(0,B2607-B2608)</f>
        <v/>
      </c>
    </row>
    <row r="2610">
      <c r="A2610" t="inlineStr">
        <is>
          <t>Global Critical Damage Bonus % (Smokescreen Mastery Lv.113)</t>
        </is>
      </c>
      <c r="B2610">
        <f>IF(Inputs!$B$3&gt;=113,30,0)*IF(AND(Inputs!$B$39&lt;&gt;"pvp",Inputs!$B$44&gt;0),(((R2585-1)*MIN((Skills!Y16*(1+Inputs!$B$34/100)),(1/Q2585))+MIN((Skills!Y16*(1+Inputs!$B$34/100)),MAX(0,Inputs!$B$44-((R2585-1)*(1/Q2585)))))/Inputs!$B$44),IF(Inputs!$B$39="pvp",MIN((Skills!Y16*(1+Inputs!$B$34/100)),15)/15,MIN(1,(Skills!Y16*(1+Inputs!$B$34/100))/(1/Q2585))))</f>
        <v/>
      </c>
    </row>
    <row r="2611">
      <c r="A2611" t="inlineStr">
        <is>
          <t>Meso Explosion average stack count</t>
        </is>
      </c>
      <c r="B2611">
        <f>MIN(10,IF(Inputs!$B$3&gt;=75,0.75,0.5)*B2607*(1/Q2573))</f>
        <v/>
      </c>
    </row>
    <row r="2612">
      <c r="A2612" t="inlineStr">
        <is>
          <t>Blood Money average stack count</t>
        </is>
      </c>
      <c r="B2612">
        <f>MIN(5,0.5*IF(Inputs!$B$3&gt;=75,0.75,0.5)*B2607*(1/Q2573))</f>
        <v/>
      </c>
    </row>
    <row r="2613">
      <c r="A2613" t="inlineStr">
        <is>
          <t>Assassinate Murderous Intent Multiplier</t>
        </is>
      </c>
      <c r="B2613">
        <f>1+IFERROR(MIN(1,Q2584*2/Q2581),0)</f>
        <v/>
      </c>
    </row>
    <row r="2614">
      <c r="A2614" t="inlineStr">
        <is>
          <t>Buff-Casting Startup Delay (s, fixed-duration only)</t>
        </is>
      </c>
      <c r="B2614">
        <f>IF(AND(Inputs!$B$39&lt;&gt;"pvp",Inputs!$B$44&gt;0),SUMPRODUCT((Skills!Y2:Y31&gt;0)*(Skills!E2:E31=TRUE)*(C2571:C2600=TRUE))/B2607,0)</f>
        <v/>
      </c>
    </row>
    <row r="2615">
      <c r="A2615" s="6" t="inlineStr">
        <is>
          <t>TOTAL DPS</t>
        </is>
      </c>
      <c r="B2615" s="6">
        <f>SUM(O2571:O2600)</f>
        <v/>
      </c>
    </row>
    <row r="2616">
      <c r="A2616" t="inlineStr">
        <is>
          <t>Boss-Only Total DPS (this block's swept value)</t>
        </is>
      </c>
      <c r="B2616">
        <f>SUM(T2571:T2600)</f>
        <v/>
      </c>
    </row>
    <row r="2617">
      <c r="A2617" t="inlineStr">
        <is>
          <t>Normal-Only Total DPS (this block's swept value)</t>
        </is>
      </c>
      <c r="B2617">
        <f>SUM(V2571:V2600)</f>
        <v/>
      </c>
    </row>
    <row r="2620">
      <c r="A2620" s="6" t="inlineStr">
        <is>
          <t>Stat: Ancient Text Piece (Equip)</t>
        </is>
      </c>
    </row>
    <row r="2621">
      <c r="A2621" s="5" t="inlineStr">
        <is>
          <t>Key</t>
        </is>
      </c>
      <c r="B2621" s="5" t="inlineStr">
        <is>
          <t>Name</t>
        </is>
      </c>
      <c r="C2621" s="5" t="inlineStr">
        <is>
          <t>Unlocked</t>
        </is>
      </c>
      <c r="D2621" s="5" t="inlineStr">
        <is>
          <t>InputLevel</t>
        </is>
      </c>
      <c r="E2621" s="5" t="inlineStr">
        <is>
          <t>Factor</t>
        </is>
      </c>
      <c r="F2621" s="5" t="inlineStr">
        <is>
          <t>CoefficientPercent</t>
        </is>
      </c>
      <c r="G2621" s="5" t="inlineStr">
        <is>
          <t>EffectiveHits</t>
        </is>
      </c>
      <c r="H2621" s="5" t="inlineStr">
        <is>
          <t>ProcProbability</t>
        </is>
      </c>
      <c r="I2621" s="5" t="inlineStr">
        <is>
          <t>MapleHeroMultiplier</t>
        </is>
      </c>
      <c r="J2621" s="5" t="inlineStr">
        <is>
          <t>BaseDamage</t>
        </is>
      </c>
      <c r="K2621" s="5" t="inlineStr">
        <is>
          <t>BaseHitDamage</t>
        </is>
      </c>
      <c r="L2621" s="5" t="inlineStr">
        <is>
          <t>NonCritAvg</t>
        </is>
      </c>
      <c r="M2621" s="5" t="inlineStr">
        <is>
          <t>CritAvg</t>
        </is>
      </c>
      <c r="N2621" s="5" t="inlineStr">
        <is>
          <t>ExpectedDamage(perHit)</t>
        </is>
      </c>
      <c r="O2621" s="5" t="inlineStr">
        <is>
          <t>DPS</t>
        </is>
      </c>
      <c r="P2621" s="5" t="inlineStr">
        <is>
          <t>% of Total</t>
        </is>
      </c>
      <c r="Q2621" s="5" t="inlineStr">
        <is>
          <t>InvCooldown</t>
        </is>
      </c>
      <c r="R2621" s="5" t="inlineStr">
        <is>
          <t>CastsInFight</t>
        </is>
      </c>
      <c r="S2621" s="5" t="inlineStr">
        <is>
          <t>HitRate(perSec)</t>
        </is>
      </c>
      <c r="U2621" t="inlineStr">
        <is>
          <t>helpers</t>
        </is>
      </c>
    </row>
    <row r="2622">
      <c r="A2622">
        <f>Skills!A2</f>
        <v/>
      </c>
      <c r="B2622">
        <f>Skills!B2</f>
        <v/>
      </c>
      <c r="C2622">
        <f>Inputs!$B$3&gt;=100</f>
        <v/>
      </c>
      <c r="D2622" t="inlineStr"/>
      <c r="E2622" t="inlineStr"/>
      <c r="F2622">
        <f>U2624+Skills!O2</f>
        <v/>
      </c>
      <c r="G2622">
        <f>Skills!G2*IF(Skills!H2&gt;0,IF(Inputs!$B$39="pvp",MIN(Skills!I2,15),Skills!I2)/Skills!H2,1)</f>
        <v/>
      </c>
      <c r="H2622">
        <f>1-(1-Skills!J2/100)^Skills!K2</f>
        <v/>
      </c>
      <c r="I2622" t="inlineStr">
        <is>
          <t>1</t>
        </is>
      </c>
      <c r="J2622">
        <f>((Inputs!$B$6*(1+Inputs!$B$7/100))+(((Inputs!$B$12*(1+Inputs!$B$13/100))-(Inputs!$B$12*(1+Inputs!$B$13/100)))+0.25*(Inputs!$B$14-Inputs!$B$14))*(1+Inputs!$B$7/100))*(F2622/100)</f>
        <v/>
      </c>
      <c r="K2622">
        <f>J2622*(1+((Inputs!$B$12*(1+Inputs!$B$13/100))*0.01+Inputs!$B$14*0.0025)/100)*(1+Inputs!$B$15/100)*(1+Inputs!$B$16/100)*(5000/(6000+Inputs!$B$43*(1-(100*(1-(1-Inputs!$B$19/100)*(1-CHOOSE(ArtifactsInput!$N$40+1,5,6,7,8,9,10)/100)^(ArtifactsInput!$M$40-ArtifactsInput!$M$40)))/100)))*(1+(Inputs!$B$24+((C2651=TRUE)*(F2651-Calc!F31))+((C2638=TRUE)*(F2638-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CRUEL_STAB",Inputs!$B$17+((C2648=TRUE)*(F2648-Calc!F28))+((IF(AND(Inputs!$B$39&lt;&gt;"pvp",Inputs!$B$44=0),1,IF(IF(Inputs!$B$39="pvp",15,Inputs!$B$44)-(B2665)&lt;=0,1,MAX(0,IF(Inputs!$B$39="pvp",15,Inputs!$B$44)-MAX(5,B2665))/(IF(Inputs!$B$39="pvp",15,Inputs!$B$44)-(B2665))))*(IF(AND(ArtifactsInput!$M$42,((Inputs!$B$9+((C2646=TRUE)*(F2646-Calc!F26))+B2654+(ArtifactsInput!$M$24-ArtifactsInput!$M$24)*CHOOSE(ArtifactsInput!$N$24+1,10,12,14,16,18,20)+IF(ArtifactsInput!$M$10,CHOOSE(ArtifactsInput!$N$10+1,15,18,21,24,27,30)*(IF(Inputs!$B$39="pvp",MIN(15,15)/15,IF(AND(Inputs!$B$39&lt;&gt;"pvp",Inputs!$B$44&gt;0),MIN(15,Inputs!$B$44)/(Inputs!$B$44),0))),0)))&gt;=100),MIN(100,((Inputs!$B$9+((C2646=TRUE)*(F2646-Calc!F26))+B2654+(ArtifactsInput!$M$24-ArtifactsInput!$M$24)*CHOOSE(ArtifactsInput!$N$24+1,10,12,14,16,18,20)+IF(ArtifactsInput!$M$10,CHOOSE(ArtifactsInput!$N$10+1,15,18,21,24,27,30)*(IF(Inputs!$B$39="pvp",MIN(15,15)/15,IF(AND(Inputs!$B$39&lt;&gt;"pvp",Inputs!$B$44&gt;0),MIN(15,Inputs!$B$44)/(Inputs!$B$44),0))),0)))-100),0))*CHOOSE(ArtifactsInput!$N$42+1,0.6,0.72,0.84,0.96,1.08,1.2))),Inputs!$B$18+((C2649=TRUE)*(F2649-Calc!F29))+(IF(AND(Inputs!$B$39&lt;&gt;"pvp",Inputs!$B$44=0),1,IF(IF(Inputs!$B$39="pvp",15,Inputs!$B$44)-(B2665)&lt;=0,1,MAX(0,IF(Inputs!$B$39="pvp",15,Inputs!$B$44)-MAX(5,B2665))/(IF(Inputs!$B$39="pvp",15,Inputs!$B$44)-(B2665))))*IF(AND(ArtifactsInput!$M$42,((Inputs!$B$9+((C2646=TRUE)*(F2646-Calc!F26))+B2654+(ArtifactsInput!$M$24-ArtifactsInput!$M$24)*CHOOSE(ArtifactsInput!$N$24+1,10,12,14,16,18,20)+IF(ArtifactsInput!$M$10,CHOOSE(ArtifactsInput!$N$10+1,15,18,21,24,27,30)*(IF(Inputs!$B$39="pvp",MIN(15,15)/15,IF(AND(Inputs!$B$39&lt;&gt;"pvp",Inputs!$B$44&gt;0),MIN(15,Inputs!$B$44)/(Inputs!$B$44),0))),0)))&gt;=100),CHOOSE(ArtifactsInput!$N$42+1,40,48,56,64,72,80),0))))/100)*(((1+(((C2642=TRUE)*F2642*IF(AND(Inputs!$B$39&lt;&gt;"pvp",Inputs!$B$44&gt;0),(((R2642-1)*MIN((Skills!Y22*(1+Inputs!$B$34/100)),(1/Q2642))+MIN((Skills!Y22*(1+Inputs!$B$34/100)),MAX(0,Inputs!$B$44-((R2642-1)*(1/Q2642)))))/Inputs!$B$44),IF(Inputs!$B$39="pvp",MIN((Skills!Y22*(1+Inputs!$B$34/100)),15)/15,MIN(1,(Skills!Y22*(1+Inputs!$B$34/100))/(1/Q2642)))))+((C2623=TRUE)*F2623*3)+((C2625=TRUE)*F2625*(1-EXP(-0.75*B2658*5)))+((C2644=TRUE)*(F2644-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2631=TRUE)*F2631*IF(AND(Inputs!$B$39&lt;&gt;"pvp",Inputs!$B$44&gt;0),(((R2631-1)*MIN((Skills!Y11*(1+Inputs!$B$34/100)),(1/Q2631))+MIN((Skills!Y11*(1+Inputs!$B$34/100)),MAX(0,Inputs!$B$44-((R2631-1)*(1/Q2631)))))/Inputs!$B$44),IF(Inputs!$B$39="pvp",MIN((Skills!Y11*(1+Inputs!$B$34/100)),15)/15,MIN(1,(Skills!Y11*(1+Inputs!$B$34/100))/(1/Q2631)))))/100)*(1+((C2636=TRUE)*F2636*IF(AND(Inputs!$B$39&lt;&gt;"pvp",Inputs!$B$44&gt;0),(((R2636-1)*MIN((Skills!Y16*(1+Inputs!$B$34/100)),(1/Q2636))+MIN((Skills!Y16*(1+Inputs!$B$34/100)),MAX(0,Inputs!$B$44-((R2636-1)*(1/Q2636)))))/Inputs!$B$44),IF(Inputs!$B$39="pvp",MIN((Skills!Y16*(1+Inputs!$B$34/100)),15)/15,MIN(1,(Skills!Y16*(1+Inputs!$B$34/100))/(1/Q2636)))))/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2656*I2622)</f>
        <v/>
      </c>
      <c r="L2622">
        <f>K2622*(MIN(Inputs!$B$22+((C2645=TRUE)*(F2645-Calc!F25)),(Inputs!$B$23+((C2650=TRUE)*(F2650-Calc!F30))+IF(ArtifactsInput!$M$15,CHOOSE(ArtifactsInput!$N$15+1,25,30,35,40,45,50)/100*(Inputs!$B$11-Inputs!$B$11),0)))/100+(Inputs!$B$23+((C2650=TRUE)*(F2650-Calc!F30))+IF(ArtifactsInput!$M$15,CHOOSE(ArtifactsInput!$N$15+1,25,30,35,40,45,50)/100*(Inputs!$B$11-Inputs!$B$11),0))/100)/2</f>
        <v/>
      </c>
      <c r="M2622">
        <f>L2622*(1+(Inputs!$B$10+((C2647=TRUE)*(F2647-Calc!F27))+B2661+(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2622">
        <f>L2622*(1-MIN((Inputs!$B$9+((C2646=TRUE)*(F2646-Calc!F26))+B2654+(ArtifactsInput!$M$24-ArtifactsInput!$M$24)*CHOOSE(ArtifactsInput!$N$24+1,10,12,14,16,18,20)+(IF(AND(Inputs!$B$39&lt;&gt;"pvp",Inputs!$B$44=0),1,IF(IF(Inputs!$B$39="pvp",15,Inputs!$B$44)-(B2665)&lt;=0,1,MAX(0,IF(Inputs!$B$39="pvp",15,Inputs!$B$44)-MAX(5,B2665))/(IF(Inputs!$B$39="pvp",15,Inputs!$B$44)-(B2665))))*IF(AND(ArtifactsInput!$M$42,((Inputs!$B$9+((C2646=TRUE)*(F2646-Calc!F26))+B2654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2622*(MIN((Inputs!$B$9+((C2646=TRUE)*(F2646-Calc!F26))+B2654+(ArtifactsInput!$M$24-ArtifactsInput!$M$24)*CHOOSE(ArtifactsInput!$N$24+1,10,12,14,16,18,20)+(IF(AND(Inputs!$B$39&lt;&gt;"pvp",Inputs!$B$44=0),1,IF(IF(Inputs!$B$39="pvp",15,Inputs!$B$44)-(B2665)&lt;=0,1,MAX(0,IF(Inputs!$B$39="pvp",15,Inputs!$B$44)-MAX(5,B2665))/(IF(Inputs!$B$39="pvp",15,Inputs!$B$44)-(B2665))))*IF(AND(ArtifactsInput!$M$42,((Inputs!$B$9+((C2646=TRUE)*(F2646-Calc!F26))+B2654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622">
        <f>(1-Summary!$B$11)*T2622+Summary!$B$11*V2622</f>
        <v/>
      </c>
      <c r="P2622">
        <f>IF(B2666=0,0,O2622/B2666)</f>
        <v/>
      </c>
      <c r="Q2622" t="n">
        <v>0</v>
      </c>
      <c r="R2622" t="n">
        <v>0</v>
      </c>
      <c r="S2622">
        <f>IFERROR(O2622/N2622,0)</f>
        <v/>
      </c>
      <c r="T2622">
        <f>IF(C2622,(Skills!G2*N2622*B2660)*IF(Inputs!$B$39="pvp",1,1+(Inputs!$B$20+0+Skills!P2+B2655+(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Hunt"),CHOOSE(ArtifactsInput!$N$35+1,15,18,21,24,27,30)*(1-EXP(-(0.2*B2658)*5)),0)+IF(AND(ArtifactsInput!$M$22,Inputs!$B$4&lt;&gt;"Chapter Hunt"),CHOOSE(ArtifactsInput!$N$22+1,10,12,14,16,18,20)*((0*(((0.15*B2658*5))^0/1)+1*(((0.15*B2658*5))^1/1)+2*(((0.15*B2658*5))^2/2)+3*(((0.15*B2658*5))^3/6)+4*(((0.15*B2658*5))^4/24)+5*(((0.15*B2658*5))^5/120))/((((0.15*B2658*5))^0/1)+(((0.15*B2658*5))^1/1)+(((0.15*B2658*5))^2/2)+(((0.15*B2658*5))^3/6)+(((0.15*B2658*5))^4/24)+(((0.15*B2658*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2622*(1-MIN(100,(Inputs!$B$9+((C2646=TRUE)*(F2646-Calc!F26))+B2654+(ArtifactsInput!$M$24-ArtifactsInput!$M$24)*CHOOSE(ArtifactsInput!$N$24+1,10,12,14,16,18,20)+(IF(AND(Inputs!$B$39&lt;&gt;"pvp",Inputs!$B$44=0),1,IF(IF(Inputs!$B$39="pvp",15,Inputs!$B$44)-(B2665)&lt;=0,1,MAX(0,IF(Inputs!$B$39="pvp",15,Inputs!$B$44)-MAX(5,B2665))/(IF(Inputs!$B$39="pvp",15,Inputs!$B$44)-(B2665))))*IF(AND(ArtifactsInput!$M$42,((Inputs!$B$9+((C2646=TRUE)*(F2646-Calc!F26))+B2654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2622*(MIN(100,(Inputs!$B$9+((C2646=TRUE)*(F2646-Calc!F26))+B2654+(ArtifactsInput!$M$24-ArtifactsInput!$M$24)*CHOOSE(ArtifactsInput!$N$24+1,10,12,14,16,18,20)+(IF(AND(Inputs!$B$39&lt;&gt;"pvp",Inputs!$B$44=0),1,IF(IF(Inputs!$B$39="pvp",15,Inputs!$B$44)-(B2665)&lt;=0,1,MAX(0,IF(Inputs!$B$39="pvp",15,Inputs!$B$44)-MAX(5,B2665))/(IF(Inputs!$B$39="pvp",15,Inputs!$B$44)-(B2665))))*IF(AND(ArtifactsInput!$M$42,((Inputs!$B$9+((C2646=TRUE)*(F2646-Calc!F26))+B2654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2622*(1-MIN(100,(Inputs!$B$9+((C2646=TRUE)*(F2646-Calc!F26))+B2654+(ArtifactsInput!$M$24-ArtifactsInput!$M$24)*CHOOSE(ArtifactsInput!$N$24+1,10,12,14,16,18,20)+(IF(AND(Inputs!$B$39&lt;&gt;"pvp",Inputs!$B$44=0),1,IF(IF(Inputs!$B$39="pvp",15,Inputs!$B$44)-(B2665)&lt;=0,1,MAX(0,IF(Inputs!$B$39="pvp",15,Inputs!$B$44)-MAX(5,B2665))/(IF(Inputs!$B$39="pvp",15,Inputs!$B$44)-(B2665))))*IF(AND(ArtifactsInput!$M$42,((Inputs!$B$9+((C2646=TRUE)*(F2646-Calc!F26))+B2654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2622*(MIN(100,(Inputs!$B$9+((C2646=TRUE)*(F2646-Calc!F26))+B2654+(ArtifactsInput!$M$24-ArtifactsInput!$M$24)*CHOOSE(ArtifactsInput!$N$24+1,10,12,14,16,18,20)+(IF(AND(Inputs!$B$39&lt;&gt;"pvp",Inputs!$B$44=0),1,IF(IF(Inputs!$B$39="pvp",15,Inputs!$B$44)-(B2665)&lt;=0,1,MAX(0,IF(Inputs!$B$39="pvp",15,Inputs!$B$44)-MAX(5,B2665))/(IF(Inputs!$B$39="pvp",15,Inputs!$B$44)-(B2665))))*IF(AND(ArtifactsInput!$M$42,((Inputs!$B$9+((C2646=TRUE)*(F2646-Calc!F26))+B2654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2622">
        <f>MAX(0,(Inputs!$B$3-100)*3)+Inputs!$B$28+Inputs!$B$29</f>
        <v/>
      </c>
      <c r="V2622">
        <f>IF(C2622,(Skills!G2*N2622*B2660)*IF(Inputs!$B$39="pvp",1,(1+(Inputs!$B$21+Skills!Q2+B2655+(IF(ArtifactsInput!$M$33,CHOOSE(ArtifactsInput!$N$33+1,30,36,42,48,54,60),0))+(IF(AND(ArtifactsInput!$M$35,Inputs!$B$4&lt;&gt;"Chapter Hunt"),CHOOSE(ArtifactsInput!$N$35+1,15,18,21,24,27,30)*(1-EXP(-(0.2*B2658)*5)),0)+IF(AND(ArtifactsInput!$M$22,Inputs!$B$4&lt;&gt;"Chapter Hunt"),CHOOSE(ArtifactsInput!$N$22+1,10,12,14,16,18,20)*((0*(((0.15*B2658*5))^0/1)+1*(((0.15*B2658*5))^1/1)+2*(((0.15*B2658*5))^2/2)+3*(((0.15*B2658*5))^3/6)+4*(((0.15*B2658*5))^4/24)+5*(((0.15*B2658*5))^5/120))/((((0.15*B2658*5))^0/1)+(((0.15*B2658*5))^1/1)+(((0.15*B2658*5))^2/2)+(((0.15*B2658*5))^3/6)+(((0.15*B2658*5))^4/24)+(((0.15*B2658*5))^5/120))),0)))/100)*(MIN((6+Inputs!$B$33),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623">
      <c r="A2623">
        <f>Skills!A3</f>
        <v/>
      </c>
      <c r="B2623">
        <f>Skills!B3</f>
        <v/>
      </c>
      <c r="C2623">
        <f>Inputs!$B$3&gt;=35</f>
        <v/>
      </c>
      <c r="D2623">
        <f>IF(Skills!C3=1,60+Inputs!$B$25+Inputs!$B$29,IF(Skills!C3=2,90+Inputs!$B$26+Inputs!$B$29,IF(Skills!C3=3,120+Inputs!$B$27+Inputs!$B$29,MAX(0,(Inputs!$B$3-100)*3)+Inputs!$B$28+Inputs!$B$29)))</f>
        <v/>
      </c>
      <c r="E2623">
        <f>INDEX(FactorTable!$B$2:$Y$301, MATCH(ROUND(MIN(300,MAX(1,D2623)),0), FactorTable!$A$2:$A$301,0), Skills!M3+1)</f>
        <v/>
      </c>
      <c r="F2623">
        <f>IF(Skills!N3=TRUE,(Skills!L3/10)*(E2623/1000),Skills!L3/10)+Skills!O3</f>
        <v/>
      </c>
      <c r="G2623">
        <f>Skills!G3*IF(Skills!H3&gt;0,IF(Inputs!$B$39="pvp",MIN(Skills!I3,15),Skills!I3)/Skills!H3,1)</f>
        <v/>
      </c>
      <c r="H2623">
        <f>1-(1-Skills!J3/100)^Skills!K3</f>
        <v/>
      </c>
      <c r="I2623" t="inlineStr">
        <is>
          <t>1</t>
        </is>
      </c>
      <c r="J2623" t="inlineStr"/>
      <c r="K2623" t="inlineStr"/>
      <c r="L2623" t="inlineStr"/>
      <c r="M2623" t="inlineStr"/>
      <c r="N2623" t="inlineStr"/>
      <c r="O2623">
        <f>(1-Summary!$B$11)*T2623+Summary!$B$11*V2623</f>
        <v/>
      </c>
      <c r="P2623">
        <f>IF(B2666=0,0,O2623/B2666)</f>
        <v/>
      </c>
      <c r="Q2623" t="n">
        <v>0</v>
      </c>
      <c r="R2623" t="n">
        <v>0</v>
      </c>
      <c r="S2623">
        <f>IFERROR(O2623/N2623,0)</f>
        <v/>
      </c>
      <c r="T2623" t="n">
        <v>0</v>
      </c>
      <c r="U2623">
        <f>INDEX(FactorTable!$B$2:$Y$301, MATCH(ROUND(MIN(300,MAX(1,U2622)),0), FactorTable!$A$2:$A$301,0), 22)</f>
        <v/>
      </c>
      <c r="V2623" t="n">
        <v>0</v>
      </c>
    </row>
    <row r="2624">
      <c r="A2624">
        <f>Skills!A4</f>
        <v/>
      </c>
      <c r="B2624">
        <f>Skills!B4</f>
        <v/>
      </c>
      <c r="C2624">
        <f>Inputs!$B$3&gt;=66</f>
        <v/>
      </c>
      <c r="D2624">
        <f>IF(Skills!C4=1,60+Inputs!$B$25+Inputs!$B$29,IF(Skills!C4=2,90+Inputs!$B$26+Inputs!$B$29,IF(Skills!C4=3,120+Inputs!$B$27+Inputs!$B$29,MAX(0,(Inputs!$B$3-100)*3)+Inputs!$B$28+Inputs!$B$29)))</f>
        <v/>
      </c>
      <c r="E2624">
        <f>INDEX(FactorTable!$B$2:$Y$301, MATCH(ROUND(MIN(300,MAX(1,D2624)),0), FactorTable!$A$2:$A$301,0), Skills!M4+1)</f>
        <v/>
      </c>
      <c r="F2624">
        <f>IF(Skills!N4=TRUE,(Skills!L4/10)*(E2624/1000),Skills!L4/10)+Skills!O4</f>
        <v/>
      </c>
      <c r="G2624">
        <f>Skills!G4*IF(Skills!H4&gt;0,IF(Inputs!$B$39="pvp",MIN(Skills!I4,15),Skills!I4)/Skills!H4,1)</f>
        <v/>
      </c>
      <c r="H2624">
        <f>1-(1-Skills!J4/100)^Skills!K4</f>
        <v/>
      </c>
      <c r="I2624" t="inlineStr">
        <is>
          <t>1</t>
        </is>
      </c>
      <c r="J2624">
        <f>((Inputs!$B$6*(1+Inputs!$B$7/100))+(((Inputs!$B$12*(1+Inputs!$B$13/100))-(Inputs!$B$12*(1+Inputs!$B$13/100)))+0.25*(Inputs!$B$14-Inputs!$B$14))*(1+Inputs!$B$7/100))*(F2624/100)</f>
        <v/>
      </c>
      <c r="K2624">
        <f>J2624*(1+((Inputs!$B$12*(1+Inputs!$B$13/100))*0.01+Inputs!$B$14*0.0025)/100)*(1+Inputs!$B$15/100)*(1+Inputs!$B$16/100)*(5000/(6000+Inputs!$B$43*(1-(100*(1-(1-Inputs!$B$19/100)*(1-CHOOSE(ArtifactsInput!$N$40+1,5,6,7,8,9,10)/100)^(ArtifactsInput!$M$40-ArtifactsInput!$M$40)))/100)))*(1+(Inputs!$B$24+((C2651=TRUE)*(F2651-Calc!F31))+((C2638=TRUE)*(F2638-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4="CRUEL_STAB",Inputs!$B$17+((C2648=TRUE)*(F2648-Calc!F28))+((IF(AND(Inputs!$B$39&lt;&gt;"pvp",Inputs!$B$44=0),1,IF(IF(Inputs!$B$39="pvp",15,Inputs!$B$44)-(B2665)&lt;=0,1,MAX(0,IF(Inputs!$B$39="pvp",15,Inputs!$B$44)-MAX(5,B2665))/(IF(Inputs!$B$39="pvp",15,Inputs!$B$44)-(B2665))))*(IF(AND(ArtifactsInput!$M$42,((Inputs!$B$9+((C2646=TRUE)*(F2646-Calc!F26))+B2654+(ArtifactsInput!$M$24-ArtifactsInput!$M$24)*CHOOSE(ArtifactsInput!$N$24+1,10,12,14,16,18,20)+IF(ArtifactsInput!$M$10,CHOOSE(ArtifactsInput!$N$10+1,15,18,21,24,27,30)*(IF(Inputs!$B$39="pvp",MIN(15,15)/15,IF(AND(Inputs!$B$39&lt;&gt;"pvp",Inputs!$B$44&gt;0),MIN(15,Inputs!$B$44)/(Inputs!$B$44),0))),0)))&gt;=100),MIN(100,((Inputs!$B$9+((C2646=TRUE)*(F2646-Calc!F26))+B2654+(ArtifactsInput!$M$24-ArtifactsInput!$M$24)*CHOOSE(ArtifactsInput!$N$24+1,10,12,14,16,18,20)+IF(ArtifactsInput!$M$10,CHOOSE(ArtifactsInput!$N$10+1,15,18,21,24,27,30)*(IF(Inputs!$B$39="pvp",MIN(15,15)/15,IF(AND(Inputs!$B$39&lt;&gt;"pvp",Inputs!$B$44&gt;0),MIN(15,Inputs!$B$44)/(Inputs!$B$44),0))),0)))-100),0))*CHOOSE(ArtifactsInput!$N$42+1,0.6,0.72,0.84,0.96,1.08,1.2))),Inputs!$B$18+((C2649=TRUE)*(F2649-Calc!F29))+(IF(AND(Inputs!$B$39&lt;&gt;"pvp",Inputs!$B$44=0),1,IF(IF(Inputs!$B$39="pvp",15,Inputs!$B$44)-(B2665)&lt;=0,1,MAX(0,IF(Inputs!$B$39="pvp",15,Inputs!$B$44)-MAX(5,B2665))/(IF(Inputs!$B$39="pvp",15,Inputs!$B$44)-(B2665))))*IF(AND(ArtifactsInput!$M$42,((Inputs!$B$9+((C2646=TRUE)*(F2646-Calc!F26))+B2654+(ArtifactsInput!$M$24-ArtifactsInput!$M$24)*CHOOSE(ArtifactsInput!$N$24+1,10,12,14,16,18,20)+IF(ArtifactsInput!$M$10,CHOOSE(ArtifactsInput!$N$10+1,15,18,21,24,27,30)*(IF(Inputs!$B$39="pvp",MIN(15,15)/15,IF(AND(Inputs!$B$39&lt;&gt;"pvp",Inputs!$B$44&gt;0),MIN(15,Inputs!$B$44)/(Inputs!$B$44),0))),0)))&gt;=100),CHOOSE(ArtifactsInput!$N$42+1,40,48,56,64,72,80),0))))/100)*(((1+(((C2642=TRUE)*F2642*IF(AND(Inputs!$B$39&lt;&gt;"pvp",Inputs!$B$44&gt;0),(((R2642-1)*MIN((Skills!Y22*(1+Inputs!$B$34/100)),(1/Q2642))+MIN((Skills!Y22*(1+Inputs!$B$34/100)),MAX(0,Inputs!$B$44-((R2642-1)*(1/Q2642)))))/Inputs!$B$44),IF(Inputs!$B$39="pvp",MIN((Skills!Y22*(1+Inputs!$B$34/100)),15)/15,MIN(1,(Skills!Y22*(1+Inputs!$B$34/100))/(1/Q2642)))))+((C2623=TRUE)*F2623*3)+((C2625=TRUE)*F2625*(1-EXP(-0.75*B2658*5)))+((C2644=TRUE)*(F2644-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2631=TRUE)*F2631*IF(AND(Inputs!$B$39&lt;&gt;"pvp",Inputs!$B$44&gt;0),(((R2631-1)*MIN((Skills!Y11*(1+Inputs!$B$34/100)),(1/Q2631))+MIN((Skills!Y11*(1+Inputs!$B$34/100)),MAX(0,Inputs!$B$44-((R2631-1)*(1/Q2631)))))/Inputs!$B$44),IF(Inputs!$B$39="pvp",MIN((Skills!Y11*(1+Inputs!$B$34/100)),15)/15,MIN(1,(Skills!Y11*(1+Inputs!$B$34/100))/(1/Q2631)))))/100)*(1+((C2636=TRUE)*F2636*IF(AND(Inputs!$B$39&lt;&gt;"pvp",Inputs!$B$44&gt;0),(((R2636-1)*MIN((Skills!Y16*(1+Inputs!$B$34/100)),(1/Q2636))+MIN((Skills!Y16*(1+Inputs!$B$34/100)),MAX(0,Inputs!$B$44-((R2636-1)*(1/Q2636)))))/Inputs!$B$44),IF(Inputs!$B$39="pvp",MIN((Skills!Y16*(1+Inputs!$B$34/100)),15)/15,MIN(1,(Skills!Y16*(1+Inputs!$B$34/100))/(1/Q2636)))))/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2656*I2624)</f>
        <v/>
      </c>
      <c r="L2624">
        <f>K2624*(MIN(Inputs!$B$22+((C2645=TRUE)*(F2645-Calc!F25)),(Inputs!$B$23+((C2650=TRUE)*(F2650-Calc!F30))+IF(ArtifactsInput!$M$15,CHOOSE(ArtifactsInput!$N$15+1,25,30,35,40,45,50)/100*(Inputs!$B$11-Inputs!$B$11),0)))/100+(Inputs!$B$23+((C2650=TRUE)*(F2650-Calc!F30))+IF(ArtifactsInput!$M$15,CHOOSE(ArtifactsInput!$N$15+1,25,30,35,40,45,50)/100*(Inputs!$B$11-Inputs!$B$11),0))/100)/2</f>
        <v/>
      </c>
      <c r="M2624">
        <f>L2624*(1+(Inputs!$B$10+((C2647=TRUE)*(F2647-Calc!F27))+B2661+(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2624">
        <f>L2624*(1-MIN((Inputs!$B$9+((C2646=TRUE)*(F2646-Calc!F26))+B2654+(ArtifactsInput!$M$24-ArtifactsInput!$M$24)*CHOOSE(ArtifactsInput!$N$24+1,10,12,14,16,18,20)+(IF(AND(Inputs!$B$39&lt;&gt;"pvp",Inputs!$B$44=0),1,IF(IF(Inputs!$B$39="pvp",15,Inputs!$B$44)-(B2665)&lt;=0,1,MAX(0,IF(Inputs!$B$39="pvp",15,Inputs!$B$44)-MAX(5,B2665))/(IF(Inputs!$B$39="pvp",15,Inputs!$B$44)-(B2665))))*IF(AND(ArtifactsInput!$M$42,((Inputs!$B$9+((C2646=TRUE)*(F2646-Calc!F26))+B2654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2624*(MIN((Inputs!$B$9+((C2646=TRUE)*(F2646-Calc!F26))+B2654+(ArtifactsInput!$M$24-ArtifactsInput!$M$24)*CHOOSE(ArtifactsInput!$N$24+1,10,12,14,16,18,20)+(IF(AND(Inputs!$B$39&lt;&gt;"pvp",Inputs!$B$44=0),1,IF(IF(Inputs!$B$39="pvp",15,Inputs!$B$44)-(B2665)&lt;=0,1,MAX(0,IF(Inputs!$B$39="pvp",15,Inputs!$B$44)-MAX(5,B2665))/(IF(Inputs!$B$39="pvp",15,Inputs!$B$44)-(B2665))))*IF(AND(ArtifactsInput!$M$42,((Inputs!$B$9+((C2646=TRUE)*(F2646-Calc!F26))+B2654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624">
        <f>(1-Summary!$B$11)*T2624+Summary!$B$11*V2624</f>
        <v/>
      </c>
      <c r="P2624">
        <f>IF(B2666=0,0,O2624/B2666)</f>
        <v/>
      </c>
      <c r="Q2624">
        <f>IFERROR(1/IF(Inputs!$B$39="pvp",15,MAX(0.1,Skills!D4-IF(TRUE=TRUE,Inputs!$B$32,0))),0)</f>
        <v/>
      </c>
      <c r="R2624">
        <f>IF(AND(Inputs!$B$39&lt;&gt;"pvp",Inputs!$B$44&gt;0),IF(MAX(0,Inputs!$B$44-B2665)&lt;=0,0,(INT(MAX(0,Inputs!$B$44-B2665)/IF(Inputs!$B$39="pvp",15,MAX(0.1,Skills!D4-IF(TRUE=TRUE,Inputs!$B$32,0))))+1)),0)</f>
        <v/>
      </c>
      <c r="S2624">
        <f>IFERROR(O2624/N2624,0)</f>
        <v/>
      </c>
      <c r="T2624">
        <f>IF(C2624,(H2624*N2624*IF(AND(Inputs!$B$39&lt;&gt;"pvp",Inputs!$B$44&gt;0),((Skills!G4*((R2624-1)*IF(Skills!H4&gt;0,Skills!I4/Skills!H4,1)+IF(Skills!H4&gt;0,MIN(Skills!I4,MAX(0,MAX(0,Inputs!$B$44-B2665)-((R2624-1)*IF(Inputs!$B$39="pvp",15,MAX(0.1,Skills!D4-IF(TRUE=TRUE,Inputs!$B$32,0))))))/Skills!H4,1)))/Inputs!$B$44),G2624*Q2624))*IF(Inputs!$B$39="pvp",1,1+(Inputs!$B$20+0+Skills!P4+B2655+(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Hunt"),CHOOSE(ArtifactsInput!$N$35+1,15,18,21,24,27,30)*(1-EXP(-(0.2*B2658)*5)),0)+IF(AND(ArtifactsInput!$M$22,Inputs!$B$4&lt;&gt;"Chapter Hunt"),CHOOSE(ArtifactsInput!$N$22+1,10,12,14,16,18,20)*((0*(((0.15*B2658*5))^0/1)+1*(((0.15*B2658*5))^1/1)+2*(((0.15*B2658*5))^2/2)+3*(((0.15*B2658*5))^3/6)+4*(((0.15*B2658*5))^4/24)+5*(((0.15*B2658*5))^5/120))/((((0.15*B2658*5))^0/1)+(((0.15*B2658*5))^1/1)+(((0.15*B2658*5))^2/2)+(((0.15*B2658*5))^3/6)+(((0.15*B2658*5))^4/24)+(((0.15*B2658*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2624*(1-MIN(100,(Inputs!$B$9+((C2646=TRUE)*(F2646-Calc!F26))+B2654+(ArtifactsInput!$M$24-ArtifactsInput!$M$24)*CHOOSE(ArtifactsInput!$N$24+1,10,12,14,16,18,20)+(IF(AND(Inputs!$B$39&lt;&gt;"pvp",Inputs!$B$44=0),1,IF(IF(Inputs!$B$39="pvp",15,Inputs!$B$44)-(B2665)&lt;=0,1,MAX(0,IF(Inputs!$B$39="pvp",15,Inputs!$B$44)-MAX(5,B2665))/(IF(Inputs!$B$39="pvp",15,Inputs!$B$44)-(B2665))))*IF(AND(ArtifactsInput!$M$42,((Inputs!$B$9+((C2646=TRUE)*(F2646-Calc!F26))+B2654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2624*(MIN(100,(Inputs!$B$9+((C2646=TRUE)*(F2646-Calc!F26))+B2654+(ArtifactsInput!$M$24-ArtifactsInput!$M$24)*CHOOSE(ArtifactsInput!$N$24+1,10,12,14,16,18,20)+(IF(AND(Inputs!$B$39&lt;&gt;"pvp",Inputs!$B$44=0),1,IF(IF(Inputs!$B$39="pvp",15,Inputs!$B$44)-(B2665)&lt;=0,1,MAX(0,IF(Inputs!$B$39="pvp",15,Inputs!$B$44)-MAX(5,B2665))/(IF(Inputs!$B$39="pvp",15,Inputs!$B$44)-(B2665))))*IF(AND(ArtifactsInput!$M$42,((Inputs!$B$9+((C2646=TRUE)*(F2646-Calc!F26))+B2654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2624*(1-MIN(100,(Inputs!$B$9+((C2646=TRUE)*(F2646-Calc!F26))+B2654+(ArtifactsInput!$M$24-ArtifactsInput!$M$24)*CHOOSE(ArtifactsInput!$N$24+1,10,12,14,16,18,20)+(IF(AND(Inputs!$B$39&lt;&gt;"pvp",Inputs!$B$44=0),1,IF(IF(Inputs!$B$39="pvp",15,Inputs!$B$44)-(B2665)&lt;=0,1,MAX(0,IF(Inputs!$B$39="pvp",15,Inputs!$B$44)-MAX(5,B2665))/(IF(Inputs!$B$39="pvp",15,Inputs!$B$44)-(B2665))))*IF(AND(ArtifactsInput!$M$42,((Inputs!$B$9+((C2646=TRUE)*(F2646-Calc!F26))+B2654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2624*(MIN(100,(Inputs!$B$9+((C2646=TRUE)*(F2646-Calc!F26))+B2654+(ArtifactsInput!$M$24-ArtifactsInput!$M$24)*CHOOSE(ArtifactsInput!$N$24+1,10,12,14,16,18,20)+(IF(AND(Inputs!$B$39&lt;&gt;"pvp",Inputs!$B$44=0),1,IF(IF(Inputs!$B$39="pvp",15,Inputs!$B$44)-(B2665)&lt;=0,1,MAX(0,IF(Inputs!$B$39="pvp",15,Inputs!$B$44)-MAX(5,B2665))/(IF(Inputs!$B$39="pvp",15,Inputs!$B$44)-(B2665))))*IF(AND(ArtifactsInput!$M$42,((Inputs!$B$9+((C2646=TRUE)*(F2646-Calc!F26))+B2654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2624">
        <f>290*U2623/1000</f>
        <v/>
      </c>
      <c r="V2624">
        <f>IF(C2624,(H2624*N2624*IF(AND(Inputs!$B$39&lt;&gt;"pvp",Inputs!$B$44&gt;0),((Skills!G4*((R2624-1)*IF(Skills!H4&gt;0,Skills!I4/Skills!H4,1)+IF(Skills!H4&gt;0,MIN(Skills!I4,MAX(0,MAX(0,Inputs!$B$44-B2665)-((R2624-1)*IF(Inputs!$B$39="pvp",15,MAX(0.1,Skills!D4-IF(TRUE=TRUE,Inputs!$B$32,0))))))/Skills!H4,1)))/Inputs!$B$44),G2624*Q2624))*IF(Inputs!$B$39="pvp",1,(1+(Inputs!$B$21+Skills!Q4+B2655+(IF(ArtifactsInput!$M$33,CHOOSE(ArtifactsInput!$N$33+1,30,36,42,48,54,60),0))+(IF(AND(ArtifactsInput!$M$35,Inputs!$B$4&lt;&gt;"Chapter Hunt"),CHOOSE(ArtifactsInput!$N$35+1,15,18,21,24,27,30)*(1-EXP(-(0.2*B2658)*5)),0)+IF(AND(ArtifactsInput!$M$22,Inputs!$B$4&lt;&gt;"Chapter Hunt"),CHOOSE(ArtifactsInput!$N$22+1,10,12,14,16,18,20)*((0*(((0.15*B2658*5))^0/1)+1*(((0.15*B2658*5))^1/1)+2*(((0.15*B2658*5))^2/2)+3*(((0.15*B2658*5))^3/6)+4*(((0.15*B2658*5))^4/24)+5*(((0.15*B2658*5))^5/120))/((((0.15*B2658*5))^0/1)+(((0.15*B2658*5))^1/1)+(((0.15*B2658*5))^2/2)+(((0.15*B2658*5))^3/6)+(((0.15*B2658*5))^4/24)+(((0.15*B2658*5))^5/120))),0)))/100)*(MIN(MIN(10,IF(Inputs!$B$3&gt;=75,0.75,0.5)*B2658*(1/Q2624)),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625">
      <c r="A2625">
        <f>Skills!A5</f>
        <v/>
      </c>
      <c r="B2625">
        <f>Skills!B5</f>
        <v/>
      </c>
      <c r="C2625">
        <f>Inputs!$B$3&gt;=75</f>
        <v/>
      </c>
      <c r="D2625">
        <f>IF(Skills!C5=1,60+Inputs!$B$25+Inputs!$B$29,IF(Skills!C5=2,90+Inputs!$B$26+Inputs!$B$29,IF(Skills!C5=3,120+Inputs!$B$27+Inputs!$B$29,MAX(0,(Inputs!$B$3-100)*3)+Inputs!$B$28+Inputs!$B$29)))</f>
        <v/>
      </c>
      <c r="E2625">
        <f>INDEX(FactorTable!$B$2:$Y$301, MATCH(ROUND(MIN(300,MAX(1,D2625)),0), FactorTable!$A$2:$A$301,0), Skills!M5+1)</f>
        <v/>
      </c>
      <c r="F2625">
        <f>IF(Skills!N5=TRUE,(Skills!L5/10)*(E2625/1000),Skills!L5/10)+Skills!O5</f>
        <v/>
      </c>
      <c r="G2625">
        <f>Skills!G5*IF(Skills!H5&gt;0,IF(Inputs!$B$39="pvp",MIN(Skills!I5,15),Skills!I5)/Skills!H5,1)</f>
        <v/>
      </c>
      <c r="H2625">
        <f>1-(1-Skills!J5/100)^Skills!K5</f>
        <v/>
      </c>
      <c r="I2625" t="inlineStr">
        <is>
          <t>1</t>
        </is>
      </c>
      <c r="J2625" t="inlineStr"/>
      <c r="K2625" t="inlineStr"/>
      <c r="L2625" t="inlineStr"/>
      <c r="M2625" t="inlineStr"/>
      <c r="N2625" t="inlineStr"/>
      <c r="O2625">
        <f>(1-Summary!$B$11)*T2625+Summary!$B$11*V2625</f>
        <v/>
      </c>
      <c r="P2625">
        <f>IF(B2666=0,0,O2625/B2666)</f>
        <v/>
      </c>
      <c r="Q2625" t="n">
        <v>0</v>
      </c>
      <c r="R2625" t="n">
        <v>0</v>
      </c>
      <c r="S2625">
        <f>IFERROR(O2625/N2625,0)</f>
        <v/>
      </c>
      <c r="T2625" t="n">
        <v>0</v>
      </c>
      <c r="V2625" t="n">
        <v>0</v>
      </c>
    </row>
    <row r="2626">
      <c r="A2626">
        <f>Skills!A6</f>
        <v/>
      </c>
      <c r="B2626">
        <f>Skills!B6</f>
        <v/>
      </c>
      <c r="C2626">
        <f>Inputs!$B$3&gt;=63</f>
        <v/>
      </c>
      <c r="D2626">
        <f>IF(Skills!C6=1,60+Inputs!$B$25+Inputs!$B$29,IF(Skills!C6=2,90+Inputs!$B$26+Inputs!$B$29,IF(Skills!C6=3,120+Inputs!$B$27+Inputs!$B$29,MAX(0,(Inputs!$B$3-100)*3)+Inputs!$B$28+Inputs!$B$29)))</f>
        <v/>
      </c>
      <c r="E2626">
        <f>INDEX(FactorTable!$B$2:$Y$301, MATCH(ROUND(MIN(300,MAX(1,D2626)),0), FactorTable!$A$2:$A$301,0), Skills!M6+1)</f>
        <v/>
      </c>
      <c r="F2626">
        <f>IF(Skills!N6=TRUE,(Skills!L6/10)*(E2626/1000),Skills!L6/10)+Skills!O6</f>
        <v/>
      </c>
      <c r="G2626">
        <f>Skills!G6*IF(Skills!H6&gt;0,IF(Inputs!$B$39="pvp",MIN(Skills!I6,15),Skills!I6)/Skills!H6,1)</f>
        <v/>
      </c>
      <c r="H2626">
        <f>1-(1-Skills!J6/100)^Skills!K6</f>
        <v/>
      </c>
      <c r="I2626" t="inlineStr">
        <is>
          <t>1</t>
        </is>
      </c>
      <c r="J2626">
        <f>((Inputs!$B$6*(1+Inputs!$B$7/100))+(((Inputs!$B$12*(1+Inputs!$B$13/100))-(Inputs!$B$12*(1+Inputs!$B$13/100)))+0.25*(Inputs!$B$14-Inputs!$B$14))*(1+Inputs!$B$7/100))*(F2626/100)</f>
        <v/>
      </c>
      <c r="K2626">
        <f>J2626*(1+((Inputs!$B$12*(1+Inputs!$B$13/100))*0.01+Inputs!$B$14*0.0025)/100)*(1+Inputs!$B$15/100)*(1+Inputs!$B$16/100)*(5000/(6000+Inputs!$B$43*(1-(100*(1-(1-Inputs!$B$19/100)*(1-CHOOSE(ArtifactsInput!$N$40+1,5,6,7,8,9,10)/100)^(ArtifactsInput!$M$40-ArtifactsInput!$M$40)))/100)))*(1+(Inputs!$B$24+((C2651=TRUE)*(F2651-Calc!F31))+((C2638=TRUE)*(F2638-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+2.6666666666666665*IF(C2639=TRUE,F2639,0)/100)*(1+(IF(Skills!A6="CRUEL_STAB",Inputs!$B$17+((C2648=TRUE)*(F2648-Calc!F28))+((IF(AND(Inputs!$B$39&lt;&gt;"pvp",Inputs!$B$44=0),1,IF(IF(Inputs!$B$39="pvp",15,Inputs!$B$44)-(B2665)&lt;=0,1,MAX(0,IF(Inputs!$B$39="pvp",15,Inputs!$B$44)-MAX(5,B2665))/(IF(Inputs!$B$39="pvp",15,Inputs!$B$44)-(B2665))))*(IF(AND(ArtifactsInput!$M$42,((Inputs!$B$9+((C2646=TRUE)*(F2646-Calc!F26))+B2654+(ArtifactsInput!$M$24-ArtifactsInput!$M$24)*CHOOSE(ArtifactsInput!$N$24+1,10,12,14,16,18,20)+IF(ArtifactsInput!$M$10,CHOOSE(ArtifactsInput!$N$10+1,15,18,21,24,27,30)*(IF(Inputs!$B$39="pvp",MIN(15,15)/15,IF(AND(Inputs!$B$39&lt;&gt;"pvp",Inputs!$B$44&gt;0),MIN(15,Inputs!$B$44)/(Inputs!$B$44),0))),0)))&gt;=100),MIN(100,((Inputs!$B$9+((C2646=TRUE)*(F2646-Calc!F26))+B2654+(ArtifactsInput!$M$24-ArtifactsInput!$M$24)*CHOOSE(ArtifactsInput!$N$24+1,10,12,14,16,18,20)+IF(ArtifactsInput!$M$10,CHOOSE(ArtifactsInput!$N$10+1,15,18,21,24,27,30)*(IF(Inputs!$B$39="pvp",MIN(15,15)/15,IF(AND(Inputs!$B$39&lt;&gt;"pvp",Inputs!$B$44&gt;0),MIN(15,Inputs!$B$44)/(Inputs!$B$44),0))),0)))-100),0))*CHOOSE(ArtifactsInput!$N$42+1,0.6,0.72,0.84,0.96,1.08,1.2))),Inputs!$B$18+((C2649=TRUE)*(F2649-Calc!F29))+(IF(AND(Inputs!$B$39&lt;&gt;"pvp",Inputs!$B$44=0),1,IF(IF(Inputs!$B$39="pvp",15,Inputs!$B$44)-(B2665)&lt;=0,1,MAX(0,IF(Inputs!$B$39="pvp",15,Inputs!$B$44)-MAX(5,B2665))/(IF(Inputs!$B$39="pvp",15,Inputs!$B$44)-(B2665))))*IF(AND(ArtifactsInput!$M$42,((Inputs!$B$9+((C2646=TRUE)*(F2646-Calc!F26))+B2654+(ArtifactsInput!$M$24-ArtifactsInput!$M$24)*CHOOSE(ArtifactsInput!$N$24+1,10,12,14,16,18,20)+IF(ArtifactsInput!$M$10,CHOOSE(ArtifactsInput!$N$10+1,15,18,21,24,27,30)*(IF(Inputs!$B$39="pvp",MIN(15,15)/15,IF(AND(Inputs!$B$39&lt;&gt;"pvp",Inputs!$B$44&gt;0),MIN(15,Inputs!$B$44)/(Inputs!$B$44),0))),0)))&gt;=100),CHOOSE(ArtifactsInput!$N$42+1,40,48,56,64,72,80),0))))/100)*(((1+(((C2642=TRUE)*F2642*IF(AND(Inputs!$B$39&lt;&gt;"pvp",Inputs!$B$44&gt;0),(((R2642-1)*MIN((Skills!Y22*(1+Inputs!$B$34/100)),(1/Q2642))+MIN((Skills!Y22*(1+Inputs!$B$34/100)),MAX(0,Inputs!$B$44-((R2642-1)*(1/Q2642)))))/Inputs!$B$44),IF(Inputs!$B$39="pvp",MIN((Skills!Y22*(1+Inputs!$B$34/100)),15)/15,MIN(1,(Skills!Y22*(1+Inputs!$B$34/100))/(1/Q2642)))))+((C2623=TRUE)*F2623*3)+((C2625=TRUE)*F2625*(1-EXP(-0.75*B2658*5)))+((C2644=TRUE)*(F2644-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2631=TRUE)*F2631*IF(AND(Inputs!$B$39&lt;&gt;"pvp",Inputs!$B$44&gt;0),(((R2631-1)*MIN((Skills!Y11*(1+Inputs!$B$34/100)),(1/Q2631))+MIN((Skills!Y11*(1+Inputs!$B$34/100)),MAX(0,Inputs!$B$44-((R2631-1)*(1/Q2631)))))/Inputs!$B$44),IF(Inputs!$B$39="pvp",MIN((Skills!Y11*(1+Inputs!$B$34/100)),15)/15,MIN(1,(Skills!Y11*(1+Inputs!$B$34/100))/(1/Q2631)))))/100)*(1+((C2636=TRUE)*F2636*IF(AND(Inputs!$B$39&lt;&gt;"pvp",Inputs!$B$44&gt;0),(((R2636-1)*MIN((Skills!Y16*(1+Inputs!$B$34/100)),(1/Q2636))+MIN((Skills!Y16*(1+Inputs!$B$34/100)),MAX(0,Inputs!$B$44-((R2636-1)*(1/Q2636)))))/Inputs!$B$44),IF(Inputs!$B$39="pvp",MIN((Skills!Y16*(1+Inputs!$B$34/100)),15)/15,MIN(1,(Skills!Y16*(1+Inputs!$B$34/100))/(1/Q2636)))))/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2656*I2626)</f>
        <v/>
      </c>
      <c r="L2626">
        <f>K2626*(MIN(Inputs!$B$22+((C2645=TRUE)*(F2645-Calc!F25)),(Inputs!$B$23+((C2650=TRUE)*(F2650-Calc!F30))+IF(ArtifactsInput!$M$15,CHOOSE(ArtifactsInput!$N$15+1,25,30,35,40,45,50)/100*(Inputs!$B$11-Inputs!$B$11),0)))/100+(Inputs!$B$23+((C2650=TRUE)*(F2650-Calc!F30))+IF(ArtifactsInput!$M$15,CHOOSE(ArtifactsInput!$N$15+1,25,30,35,40,45,50)/100*(Inputs!$B$11-Inputs!$B$11),0))/100)/2</f>
        <v/>
      </c>
      <c r="M2626">
        <f>L2626*(1+(Inputs!$B$10+((C2647=TRUE)*(F2647-Calc!F27))+B2661+(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2626">
        <f>L2626*(1-MIN((Inputs!$B$9+((C2646=TRUE)*(F2646-Calc!F26))+B2654+(ArtifactsInput!$M$24-ArtifactsInput!$M$24)*CHOOSE(ArtifactsInput!$N$24+1,10,12,14,16,18,20)+(IF(AND(Inputs!$B$39&lt;&gt;"pvp",Inputs!$B$44=0),1,IF(IF(Inputs!$B$39="pvp",15,Inputs!$B$44)-(B2665)&lt;=0,1,MAX(0,IF(Inputs!$B$39="pvp",15,Inputs!$B$44)-MAX(5,B2665))/(IF(Inputs!$B$39="pvp",15,Inputs!$B$44)-(B2665))))*IF(AND(ArtifactsInput!$M$42,((Inputs!$B$9+((C2646=TRUE)*(F2646-Calc!F26))+B2654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2626*(MIN((Inputs!$B$9+((C2646=TRUE)*(F2646-Calc!F26))+B2654+(ArtifactsInput!$M$24-ArtifactsInput!$M$24)*CHOOSE(ArtifactsInput!$N$24+1,10,12,14,16,18,20)+(IF(AND(Inputs!$B$39&lt;&gt;"pvp",Inputs!$B$44=0),1,IF(IF(Inputs!$B$39="pvp",15,Inputs!$B$44)-(B2665)&lt;=0,1,MAX(0,IF(Inputs!$B$39="pvp",15,Inputs!$B$44)-MAX(5,B2665))/(IF(Inputs!$B$39="pvp",15,Inputs!$B$44)-(B2665))))*IF(AND(ArtifactsInput!$M$42,((Inputs!$B$9+((C2646=TRUE)*(F2646-Calc!F26))+B2654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626">
        <f>(1-Summary!$B$11)*T2626+Summary!$B$11*V2626</f>
        <v/>
      </c>
      <c r="P2626">
        <f>IF(B2666=0,0,O2626/B2666)</f>
        <v/>
      </c>
      <c r="Q2626">
        <f>IFERROR(1/IF(Inputs!$B$39="pvp",15,MAX(0.1,Skills!D6-IF(TRUE=TRUE,Inputs!$B$32,0))),0)</f>
        <v/>
      </c>
      <c r="R2626">
        <f>IF(AND(Inputs!$B$39&lt;&gt;"pvp",Inputs!$B$44&gt;0),IF(MAX(0,Inputs!$B$44-B2665)&lt;=0,0,(INT(MAX(0,Inputs!$B$44-B2665)/IF(Inputs!$B$39="pvp",15,MAX(0.1,Skills!D6-IF(TRUE=TRUE,Inputs!$B$32,0))))+1)),0)</f>
        <v/>
      </c>
      <c r="S2626">
        <f>IFERROR(O2626/N2626,0)</f>
        <v/>
      </c>
      <c r="T2626">
        <f>IF(C2626,(H2626*N2626*IF(AND(Inputs!$B$39&lt;&gt;"pvp",Inputs!$B$44&gt;0),((Skills!G6*((R2626-1)*IF(Skills!H6&gt;0,Skills!I6/Skills!H6,1)+IF(Skills!H6&gt;0,MIN(Skills!I6,MAX(0,MAX(0,Inputs!$B$44-B2665)-((R2626-1)*IF(Inputs!$B$39="pvp",15,MAX(0.1,Skills!D6-IF(TRUE=TRUE,Inputs!$B$32,0))))))/Skills!H6,1)))/Inputs!$B$44),G2626*Q2626))*IF(Inputs!$B$39="pvp",1,1+(Inputs!$B$20+0+Skills!P6+B2655+(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Hunt"),CHOOSE(ArtifactsInput!$N$35+1,15,18,21,24,27,30)*(1-EXP(-(0.2*B2658)*5)),0)+IF(AND(ArtifactsInput!$M$22,Inputs!$B$4&lt;&gt;"Chapter Hunt"),CHOOSE(ArtifactsInput!$N$22+1,10,12,14,16,18,20)*((0*(((0.15*B2658*5))^0/1)+1*(((0.15*B2658*5))^1/1)+2*(((0.15*B2658*5))^2/2)+3*(((0.15*B2658*5))^3/6)+4*(((0.15*B2658*5))^4/24)+5*(((0.15*B2658*5))^5/120))/((((0.15*B2658*5))^0/1)+(((0.15*B2658*5))^1/1)+(((0.15*B2658*5))^2/2)+(((0.15*B2658*5))^3/6)+(((0.15*B2658*5))^4/24)+(((0.15*B2658*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2626*(1-MIN(100,(Inputs!$B$9+((C2646=TRUE)*(F2646-Calc!F26))+B2654+(ArtifactsInput!$M$24-ArtifactsInput!$M$24)*CHOOSE(ArtifactsInput!$N$24+1,10,12,14,16,18,20)+(IF(AND(Inputs!$B$39&lt;&gt;"pvp",Inputs!$B$44=0),1,IF(IF(Inputs!$B$39="pvp",15,Inputs!$B$44)-(B2665)&lt;=0,1,MAX(0,IF(Inputs!$B$39="pvp",15,Inputs!$B$44)-MAX(5,B2665))/(IF(Inputs!$B$39="pvp",15,Inputs!$B$44)-(B2665))))*IF(AND(ArtifactsInput!$M$42,((Inputs!$B$9+((C2646=TRUE)*(F2646-Calc!F26))+B2654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2626*(MIN(100,(Inputs!$B$9+((C2646=TRUE)*(F2646-Calc!F26))+B2654+(ArtifactsInput!$M$24-ArtifactsInput!$M$24)*CHOOSE(ArtifactsInput!$N$24+1,10,12,14,16,18,20)+(IF(AND(Inputs!$B$39&lt;&gt;"pvp",Inputs!$B$44=0),1,IF(IF(Inputs!$B$39="pvp",15,Inputs!$B$44)-(B2665)&lt;=0,1,MAX(0,IF(Inputs!$B$39="pvp",15,Inputs!$B$44)-MAX(5,B2665))/(IF(Inputs!$B$39="pvp",15,Inputs!$B$44)-(B2665))))*IF(AND(ArtifactsInput!$M$42,((Inputs!$B$9+((C2646=TRUE)*(F2646-Calc!F26))+B2654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2626*(1-MIN(100,(Inputs!$B$9+((C2646=TRUE)*(F2646-Calc!F26))+B2654+(ArtifactsInput!$M$24-ArtifactsInput!$M$24)*CHOOSE(ArtifactsInput!$N$24+1,10,12,14,16,18,20)+(IF(AND(Inputs!$B$39&lt;&gt;"pvp",Inputs!$B$44=0),1,IF(IF(Inputs!$B$39="pvp",15,Inputs!$B$44)-(B2665)&lt;=0,1,MAX(0,IF(Inputs!$B$39="pvp",15,Inputs!$B$44)-MAX(5,B2665))/(IF(Inputs!$B$39="pvp",15,Inputs!$B$44)-(B2665))))*IF(AND(ArtifactsInput!$M$42,((Inputs!$B$9+((C2646=TRUE)*(F2646-Calc!F26))+B2654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2626*(MIN(100,(Inputs!$B$9+((C2646=TRUE)*(F2646-Calc!F26))+B2654+(ArtifactsInput!$M$24-ArtifactsInput!$M$24)*CHOOSE(ArtifactsInput!$N$24+1,10,12,14,16,18,20)+(IF(AND(Inputs!$B$39&lt;&gt;"pvp",Inputs!$B$44=0),1,IF(IF(Inputs!$B$39="pvp",15,Inputs!$B$44)-(B2665)&lt;=0,1,MAX(0,IF(Inputs!$B$39="pvp",15,Inputs!$B$44)-MAX(5,B2665))/(IF(Inputs!$B$39="pvp",15,Inputs!$B$44)-(B2665))))*IF(AND(ArtifactsInput!$M$42,((Inputs!$B$9+((C2646=TRUE)*(F2646-Calc!F26))+B2654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626">
        <f>IF(C2626,(H2626*N2626*IF(AND(Inputs!$B$39&lt;&gt;"pvp",Inputs!$B$44&gt;0),((Skills!G6*((R2626-1)*IF(Skills!H6&gt;0,Skills!I6/Skills!H6,1)+IF(Skills!H6&gt;0,MIN(Skills!I6,MAX(0,MAX(0,Inputs!$B$44-B2665)-((R2626-1)*IF(Inputs!$B$39="pvp",15,MAX(0.1,Skills!D6-IF(TRUE=TRUE,Inputs!$B$32,0))))))/Skills!H6,1)))/Inputs!$B$44),G2626*Q2626))*IF(Inputs!$B$39="pvp",1,(1+(Inputs!$B$21+Skills!Q6+B2655+(IF(ArtifactsInput!$M$33,CHOOSE(ArtifactsInput!$N$33+1,30,36,42,48,54,60),0))+(IF(AND(ArtifactsInput!$M$35,Inputs!$B$4&lt;&gt;"Chapter Hunt"),CHOOSE(ArtifactsInput!$N$35+1,15,18,21,24,27,30)*(1-EXP(-(0.2*B2658)*5)),0)+IF(AND(ArtifactsInput!$M$22,Inputs!$B$4&lt;&gt;"Chapter Hunt"),CHOOSE(ArtifactsInput!$N$22+1,10,12,14,16,18,20)*((0*(((0.15*B2658*5))^0/1)+1*(((0.15*B2658*5))^1/1)+2*(((0.15*B2658*5))^2/2)+3*(((0.15*B2658*5))^3/6)+4*(((0.15*B2658*5))^4/24)+5*(((0.15*B2658*5))^5/120))/((((0.15*B2658*5))^0/1)+(((0.15*B2658*5))^1/1)+(((0.15*B2658*5))^2/2)+(((0.15*B2658*5))^3/6)+(((0.15*B2658*5))^4/24)+(((0.15*B2658*5))^5/120))),0)))/100)*(MIN(Skills!W6,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627">
      <c r="A2627">
        <f>Skills!A7</f>
        <v/>
      </c>
      <c r="B2627">
        <f>Skills!B7</f>
        <v/>
      </c>
      <c r="C2627">
        <f>Inputs!$B$3&gt;=69</f>
        <v/>
      </c>
      <c r="D2627">
        <f>IF(Skills!C7=1,60+Inputs!$B$25+Inputs!$B$29,IF(Skills!C7=2,90+Inputs!$B$26+Inputs!$B$29,IF(Skills!C7=3,120+Inputs!$B$27+Inputs!$B$29,MAX(0,(Inputs!$B$3-100)*3)+Inputs!$B$28+Inputs!$B$29)))</f>
        <v/>
      </c>
      <c r="E2627">
        <f>INDEX(FactorTable!$B$2:$Y$301, MATCH(ROUND(MIN(300,MAX(1,D2627)),0), FactorTable!$A$2:$A$301,0), Skills!M7+1)</f>
        <v/>
      </c>
      <c r="F2627">
        <f>IF(Skills!N7=TRUE,(Skills!L7/10)*(E2627/1000),Skills!L7/10)+Skills!O7</f>
        <v/>
      </c>
      <c r="G2627">
        <f>Skills!G7*IF(Skills!H7&gt;0,IF(Inputs!$B$39="pvp",MIN(Skills!I7,15),Skills!I7)/Skills!H7,1)</f>
        <v/>
      </c>
      <c r="H2627">
        <f>1-(1-Skills!J7/100)^Skills!K7</f>
        <v/>
      </c>
      <c r="I2627" t="inlineStr">
        <is>
          <t>1</t>
        </is>
      </c>
      <c r="J2627">
        <f>((Inputs!$B$6*(1+Inputs!$B$7/100))+(((Inputs!$B$12*(1+Inputs!$B$13/100))-(Inputs!$B$12*(1+Inputs!$B$13/100)))+0.25*(Inputs!$B$14-Inputs!$B$14))*(1+Inputs!$B$7/100))*(F2627/100)</f>
        <v/>
      </c>
      <c r="K2627">
        <f>J2627*(1+((Inputs!$B$12*(1+Inputs!$B$13/100))*0.01+Inputs!$B$14*0.0025)/100)*(1+Inputs!$B$15/100)*(1+Inputs!$B$16/100)*(5000/(6000+Inputs!$B$43*(1-(100*(1-(1-Inputs!$B$19/100)*(1-CHOOSE(ArtifactsInput!$N$40+1,5,6,7,8,9,10)/100)^(ArtifactsInput!$M$40-ArtifactsInput!$M$40)))/100)))*(1+(Inputs!$B$24+((C2651=TRUE)*(F2651-Calc!F31))+((C2638=TRUE)*(F2638-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2639=TRUE,F2639,0)/100)*(1+(IF(Skills!A7="CRUEL_STAB",Inputs!$B$17+((C2648=TRUE)*(F2648-Calc!F28))+((IF(AND(Inputs!$B$39&lt;&gt;"pvp",Inputs!$B$44=0),1,IF(IF(Inputs!$B$39="pvp",15,Inputs!$B$44)-(B2665)&lt;=0,1,MAX(0,IF(Inputs!$B$39="pvp",15,Inputs!$B$44)-MAX(5,B2665))/(IF(Inputs!$B$39="pvp",15,Inputs!$B$44)-(B2665))))*(IF(AND(ArtifactsInput!$M$42,((Inputs!$B$9+((C2646=TRUE)*(F2646-Calc!F26))+B2654+(ArtifactsInput!$M$24-ArtifactsInput!$M$24)*CHOOSE(ArtifactsInput!$N$24+1,10,12,14,16,18,20)+IF(ArtifactsInput!$M$10,CHOOSE(ArtifactsInput!$N$10+1,15,18,21,24,27,30)*(IF(Inputs!$B$39="pvp",MIN(15,15)/15,IF(AND(Inputs!$B$39&lt;&gt;"pvp",Inputs!$B$44&gt;0),MIN(15,Inputs!$B$44)/(Inputs!$B$44),0))),0)))&gt;=100),MIN(100,((Inputs!$B$9+((C2646=TRUE)*(F2646-Calc!F26))+B2654+(ArtifactsInput!$M$24-ArtifactsInput!$M$24)*CHOOSE(ArtifactsInput!$N$24+1,10,12,14,16,18,20)+IF(ArtifactsInput!$M$10,CHOOSE(ArtifactsInput!$N$10+1,15,18,21,24,27,30)*(IF(Inputs!$B$39="pvp",MIN(15,15)/15,IF(AND(Inputs!$B$39&lt;&gt;"pvp",Inputs!$B$44&gt;0),MIN(15,Inputs!$B$44)/(Inputs!$B$44),0))),0)))-100),0))*CHOOSE(ArtifactsInput!$N$42+1,0.6,0.72,0.84,0.96,1.08,1.2))),Inputs!$B$18+((C2649=TRUE)*(F2649-Calc!F29))+(IF(AND(Inputs!$B$39&lt;&gt;"pvp",Inputs!$B$44=0),1,IF(IF(Inputs!$B$39="pvp",15,Inputs!$B$44)-(B2665)&lt;=0,1,MAX(0,IF(Inputs!$B$39="pvp",15,Inputs!$B$44)-MAX(5,B2665))/(IF(Inputs!$B$39="pvp",15,Inputs!$B$44)-(B2665))))*IF(AND(ArtifactsInput!$M$42,((Inputs!$B$9+((C2646=TRUE)*(F2646-Calc!F26))+B2654+(ArtifactsInput!$M$24-ArtifactsInput!$M$24)*CHOOSE(ArtifactsInput!$N$24+1,10,12,14,16,18,20)+IF(ArtifactsInput!$M$10,CHOOSE(ArtifactsInput!$N$10+1,15,18,21,24,27,30)*(IF(Inputs!$B$39="pvp",MIN(15,15)/15,IF(AND(Inputs!$B$39&lt;&gt;"pvp",Inputs!$B$44&gt;0),MIN(15,Inputs!$B$44)/(Inputs!$B$44),0))),0)))&gt;=100),CHOOSE(ArtifactsInput!$N$42+1,40,48,56,64,72,80),0))))/100)*(((1+(((C2642=TRUE)*F2642*IF(AND(Inputs!$B$39&lt;&gt;"pvp",Inputs!$B$44&gt;0),(((R2642-1)*MIN((Skills!Y22*(1+Inputs!$B$34/100)),(1/Q2642))+MIN((Skills!Y22*(1+Inputs!$B$34/100)),MAX(0,Inputs!$B$44-((R2642-1)*(1/Q2642)))))/Inputs!$B$44),IF(Inputs!$B$39="pvp",MIN((Skills!Y22*(1+Inputs!$B$34/100)),15)/15,MIN(1,(Skills!Y22*(1+Inputs!$B$34/100))/(1/Q2642)))))+((C2623=TRUE)*F2623*3)+((C2625=TRUE)*F2625*(1-EXP(-0.75*B2658*5)))+((C2644=TRUE)*(F2644-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2631=TRUE)*F2631*IF(AND(Inputs!$B$39&lt;&gt;"pvp",Inputs!$B$44&gt;0),(((R2631-1)*MIN((Skills!Y11*(1+Inputs!$B$34/100)),(1/Q2631))+MIN((Skills!Y11*(1+Inputs!$B$34/100)),MAX(0,Inputs!$B$44-((R2631-1)*(1/Q2631)))))/Inputs!$B$44),IF(Inputs!$B$39="pvp",MIN((Skills!Y11*(1+Inputs!$B$34/100)),15)/15,MIN(1,(Skills!Y11*(1+Inputs!$B$34/100))/(1/Q2631)))))/100)*(1+((C2636=TRUE)*F2636*IF(AND(Inputs!$B$39&lt;&gt;"pvp",Inputs!$B$44&gt;0),(((R2636-1)*MIN((Skills!Y16*(1+Inputs!$B$34/100)),(1/Q2636))+MIN((Skills!Y16*(1+Inputs!$B$34/100)),MAX(0,Inputs!$B$44-((R2636-1)*(1/Q2636)))))/Inputs!$B$44),IF(Inputs!$B$39="pvp",MIN((Skills!Y16*(1+Inputs!$B$34/100)),15)/15,MIN(1,(Skills!Y16*(1+Inputs!$B$34/100))/(1/Q2636)))))/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2656*I2627)</f>
        <v/>
      </c>
      <c r="L2627">
        <f>K2627*(MIN(Inputs!$B$22+((C2645=TRUE)*(F2645-Calc!F25)),(Inputs!$B$23+((C2650=TRUE)*(F2650-Calc!F30))+IF(ArtifactsInput!$M$15,CHOOSE(ArtifactsInput!$N$15+1,25,30,35,40,45,50)/100*(Inputs!$B$11-Inputs!$B$11),0)))/100+(Inputs!$B$23+((C2650=TRUE)*(F2650-Calc!F30))+IF(ArtifactsInput!$M$15,CHOOSE(ArtifactsInput!$N$15+1,25,30,35,40,45,50)/100*(Inputs!$B$11-Inputs!$B$11),0))/100)/2</f>
        <v/>
      </c>
      <c r="M2627">
        <f>L2627*(1+(Inputs!$B$10+((C2647=TRUE)*(F2647-Calc!F27))+B2661+(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2627">
        <f>L2627*(1-MIN((Inputs!$B$9+((C2646=TRUE)*(F2646-Calc!F26))+B2654+(ArtifactsInput!$M$24-ArtifactsInput!$M$24)*CHOOSE(ArtifactsInput!$N$24+1,10,12,14,16,18,20)+(IF(AND(Inputs!$B$39&lt;&gt;"pvp",Inputs!$B$44=0),1,IF(IF(Inputs!$B$39="pvp",15,Inputs!$B$44)-(B2665)&lt;=0,1,MAX(0,IF(Inputs!$B$39="pvp",15,Inputs!$B$44)-MAX(5,B2665))/(IF(Inputs!$B$39="pvp",15,Inputs!$B$44)-(B2665))))*IF(AND(ArtifactsInput!$M$42,((Inputs!$B$9+((C2646=TRUE)*(F2646-Calc!F26))+B2654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2627*(MIN((Inputs!$B$9+((C2646=TRUE)*(F2646-Calc!F26))+B2654+(ArtifactsInput!$M$24-ArtifactsInput!$M$24)*CHOOSE(ArtifactsInput!$N$24+1,10,12,14,16,18,20)+(IF(AND(Inputs!$B$39&lt;&gt;"pvp",Inputs!$B$44=0),1,IF(IF(Inputs!$B$39="pvp",15,Inputs!$B$44)-(B2665)&lt;=0,1,MAX(0,IF(Inputs!$B$39="pvp",15,Inputs!$B$44)-MAX(5,B2665))/(IF(Inputs!$B$39="pvp",15,Inputs!$B$44)-(B2665))))*IF(AND(ArtifactsInput!$M$42,((Inputs!$B$9+((C2646=TRUE)*(F2646-Calc!F26))+B2654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627">
        <f>(1-Summary!$B$11)*T2627+Summary!$B$11*V2627</f>
        <v/>
      </c>
      <c r="P2627">
        <f>IF(B2666=0,0,O2627/B2666)</f>
        <v/>
      </c>
      <c r="Q2627">
        <f>IFERROR(1/IF(Inputs!$B$39="pvp",15,MAX(0.1,Skills!D7-IF(TRUE=TRUE,Inputs!$B$32,0))),0)</f>
        <v/>
      </c>
      <c r="R2627">
        <f>IF(AND(Inputs!$B$39&lt;&gt;"pvp",Inputs!$B$44&gt;0),IF(MAX(0,Inputs!$B$44-B2665)&lt;=0,0,(INT(MAX(0,Inputs!$B$44-B2665)/IF(Inputs!$B$39="pvp",15,MAX(0.1,Skills!D7-IF(TRUE=TRUE,Inputs!$B$32,0))))+1)),0)</f>
        <v/>
      </c>
      <c r="S2627">
        <f>IFERROR(O2627/N2627,0)</f>
        <v/>
      </c>
      <c r="T2627">
        <f>IF(C2627,(H2627*N2627*IF(AND(Inputs!$B$39&lt;&gt;"pvp",Inputs!$B$44&gt;0),((Skills!G7*((R2627-1)*IF(Skills!H7&gt;0,Skills!I7/Skills!H7,1)+IF(Skills!H7&gt;0,MIN(Skills!I7,MAX(0,MAX(0,Inputs!$B$44-B2665)-((R2627-1)*IF(Inputs!$B$39="pvp",15,MAX(0.1,Skills!D7-IF(TRUE=TRUE,Inputs!$B$32,0))))))/Skills!H7,1)))/Inputs!$B$44),G2627*Q2627))*IF(Inputs!$B$39="pvp",1,1+(Inputs!$B$20+0+Skills!P7+B2655+(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Hunt"),CHOOSE(ArtifactsInput!$N$35+1,15,18,21,24,27,30)*(1-EXP(-(0.2*B2658)*5)),0)+IF(AND(ArtifactsInput!$M$22,Inputs!$B$4&lt;&gt;"Chapter Hunt"),CHOOSE(ArtifactsInput!$N$22+1,10,12,14,16,18,20)*((0*(((0.15*B2658*5))^0/1)+1*(((0.15*B2658*5))^1/1)+2*(((0.15*B2658*5))^2/2)+3*(((0.15*B2658*5))^3/6)+4*(((0.15*B2658*5))^4/24)+5*(((0.15*B2658*5))^5/120))/((((0.15*B2658*5))^0/1)+(((0.15*B2658*5))^1/1)+(((0.15*B2658*5))^2/2)+(((0.15*B2658*5))^3/6)+(((0.15*B2658*5))^4/24)+(((0.15*B2658*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2627*(1-MIN(100,(Inputs!$B$9+((C2646=TRUE)*(F2646-Calc!F26))+B2654+(ArtifactsInput!$M$24-ArtifactsInput!$M$24)*CHOOSE(ArtifactsInput!$N$24+1,10,12,14,16,18,20)+(IF(AND(Inputs!$B$39&lt;&gt;"pvp",Inputs!$B$44=0),1,IF(IF(Inputs!$B$39="pvp",15,Inputs!$B$44)-(B2665)&lt;=0,1,MAX(0,IF(Inputs!$B$39="pvp",15,Inputs!$B$44)-MAX(5,B2665))/(IF(Inputs!$B$39="pvp",15,Inputs!$B$44)-(B2665))))*IF(AND(ArtifactsInput!$M$42,((Inputs!$B$9+((C2646=TRUE)*(F2646-Calc!F26))+B2654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2627*(MIN(100,(Inputs!$B$9+((C2646=TRUE)*(F2646-Calc!F26))+B2654+(ArtifactsInput!$M$24-ArtifactsInput!$M$24)*CHOOSE(ArtifactsInput!$N$24+1,10,12,14,16,18,20)+(IF(AND(Inputs!$B$39&lt;&gt;"pvp",Inputs!$B$44=0),1,IF(IF(Inputs!$B$39="pvp",15,Inputs!$B$44)-(B2665)&lt;=0,1,MAX(0,IF(Inputs!$B$39="pvp",15,Inputs!$B$44)-MAX(5,B2665))/(IF(Inputs!$B$39="pvp",15,Inputs!$B$44)-(B2665))))*IF(AND(ArtifactsInput!$M$42,((Inputs!$B$9+((C2646=TRUE)*(F2646-Calc!F26))+B2654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2627*(1-MIN(100,(Inputs!$B$9+((C2646=TRUE)*(F2646-Calc!F26))+B2654+(ArtifactsInput!$M$24-ArtifactsInput!$M$24)*CHOOSE(ArtifactsInput!$N$24+1,10,12,14,16,18,20)+(IF(AND(Inputs!$B$39&lt;&gt;"pvp",Inputs!$B$44=0),1,IF(IF(Inputs!$B$39="pvp",15,Inputs!$B$44)-(B2665)&lt;=0,1,MAX(0,IF(Inputs!$B$39="pvp",15,Inputs!$B$44)-MAX(5,B2665))/(IF(Inputs!$B$39="pvp",15,Inputs!$B$44)-(B2665))))*IF(AND(ArtifactsInput!$M$42,((Inputs!$B$9+((C2646=TRUE)*(F2646-Calc!F26))+B2654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2627*(MIN(100,(Inputs!$B$9+((C2646=TRUE)*(F2646-Calc!F26))+B2654+(ArtifactsInput!$M$24-ArtifactsInput!$M$24)*CHOOSE(ArtifactsInput!$N$24+1,10,12,14,16,18,20)+(IF(AND(Inputs!$B$39&lt;&gt;"pvp",Inputs!$B$44=0),1,IF(IF(Inputs!$B$39="pvp",15,Inputs!$B$44)-(B2665)&lt;=0,1,MAX(0,IF(Inputs!$B$39="pvp",15,Inputs!$B$44)-MAX(5,B2665))/(IF(Inputs!$B$39="pvp",15,Inputs!$B$44)-(B2665))))*IF(AND(ArtifactsInput!$M$42,((Inputs!$B$9+((C2646=TRUE)*(F2646-Calc!F26))+B2654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627">
        <f>IF(C2627,(H2627*N2627*IF(AND(Inputs!$B$39&lt;&gt;"pvp",Inputs!$B$44&gt;0),((Skills!G7*((R2627-1)*IF(Skills!H7&gt;0,Skills!I7/Skills!H7,1)+IF(Skills!H7&gt;0,MIN(Skills!I7,MAX(0,MAX(0,Inputs!$B$44-B2665)-((R2627-1)*IF(Inputs!$B$39="pvp",15,MAX(0.1,Skills!D7-IF(TRUE=TRUE,Inputs!$B$32,0))))))/Skills!H7,1)))/Inputs!$B$44),G2627*Q2627))*IF(Inputs!$B$39="pvp",1,(1+(Inputs!$B$21+Skills!Q7+B2655+(IF(ArtifactsInput!$M$33,CHOOSE(ArtifactsInput!$N$33+1,30,36,42,48,54,60),0))+(IF(AND(ArtifactsInput!$M$35,Inputs!$B$4&lt;&gt;"Chapter Hunt"),CHOOSE(ArtifactsInput!$N$35+1,15,18,21,24,27,30)*(1-EXP(-(0.2*B2658)*5)),0)+IF(AND(ArtifactsInput!$M$22,Inputs!$B$4&lt;&gt;"Chapter Hunt"),CHOOSE(ArtifactsInput!$N$22+1,10,12,14,16,18,20)*((0*(((0.15*B2658*5))^0/1)+1*(((0.15*B2658*5))^1/1)+2*(((0.15*B2658*5))^2/2)+3*(((0.15*B2658*5))^3/6)+4*(((0.15*B2658*5))^4/24)+5*(((0.15*B2658*5))^5/120))/((((0.15*B2658*5))^0/1)+(((0.15*B2658*5))^1/1)+(((0.15*B2658*5))^2/2)+(((0.15*B2658*5))^3/6)+(((0.15*B2658*5))^4/24)+(((0.15*B2658*5))^5/120))),0)))/100)*(MIN(Skills!W7,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628">
      <c r="A2628">
        <f>Skills!A8</f>
        <v/>
      </c>
      <c r="B2628">
        <f>Skills!B8</f>
        <v/>
      </c>
      <c r="C2628">
        <f>Inputs!$B$3&gt;=60</f>
        <v/>
      </c>
      <c r="D2628">
        <f>IF(Skills!C8=1,60+Inputs!$B$25+Inputs!$B$29,IF(Skills!C8=2,90+Inputs!$B$26+Inputs!$B$29,IF(Skills!C8=3,120+Inputs!$B$27+Inputs!$B$29,MAX(0,(Inputs!$B$3-100)*3)+Inputs!$B$28+Inputs!$B$29)))</f>
        <v/>
      </c>
      <c r="E2628">
        <f>INDEX(FactorTable!$B$2:$Y$301, MATCH(ROUND(MIN(300,MAX(1,D2628)),0), FactorTable!$A$2:$A$301,0), Skills!M8+1)</f>
        <v/>
      </c>
      <c r="F2628">
        <f>IF(Skills!N8=TRUE,(Skills!L8/10)*(E2628/1000),Skills!L8/10)+Skills!O8</f>
        <v/>
      </c>
      <c r="G2628">
        <f>Skills!G8*IF(Skills!H8&gt;0,IF(Inputs!$B$39="pvp",MIN(Skills!I8,15),Skills!I8)/Skills!H8,1)</f>
        <v/>
      </c>
      <c r="H2628">
        <f>1-(1-Skills!J8/100)^Skills!K8</f>
        <v/>
      </c>
      <c r="I2628" t="inlineStr">
        <is>
          <t>1</t>
        </is>
      </c>
      <c r="J2628" t="inlineStr"/>
      <c r="K2628" t="inlineStr"/>
      <c r="L2628" t="inlineStr"/>
      <c r="M2628" t="inlineStr"/>
      <c r="N2628" t="inlineStr"/>
      <c r="O2628">
        <f>(1-Summary!$B$11)*T2628+Summary!$B$11*V2628</f>
        <v/>
      </c>
      <c r="P2628">
        <f>IF(B2666=0,0,O2628/B2666)</f>
        <v/>
      </c>
      <c r="Q2628" t="n">
        <v>0</v>
      </c>
      <c r="R2628" t="n">
        <v>0</v>
      </c>
      <c r="S2628">
        <f>IFERROR(O2628/N2628,0)</f>
        <v/>
      </c>
      <c r="T2628" t="n">
        <v>0</v>
      </c>
      <c r="V2628" t="n">
        <v>0</v>
      </c>
    </row>
    <row r="2629">
      <c r="A2629">
        <f>Skills!A9</f>
        <v/>
      </c>
      <c r="B2629">
        <f>Skills!B9</f>
        <v/>
      </c>
      <c r="C2629">
        <f>Inputs!$B$3&gt;=72</f>
        <v/>
      </c>
      <c r="D2629">
        <f>IF(Skills!C9=1,60+Inputs!$B$25+Inputs!$B$29,IF(Skills!C9=2,90+Inputs!$B$26+Inputs!$B$29,IF(Skills!C9=3,120+Inputs!$B$27+Inputs!$B$29,MAX(0,(Inputs!$B$3-100)*3)+Inputs!$B$28+Inputs!$B$29)))</f>
        <v/>
      </c>
      <c r="E2629">
        <f>INDEX(FactorTable!$B$2:$Y$301, MATCH(ROUND(MIN(300,MAX(1,D2629)),0), FactorTable!$A$2:$A$301,0), Skills!M9+1)</f>
        <v/>
      </c>
      <c r="F2629">
        <f>IF(Skills!N9=TRUE,(Skills!L9/10)*(E2629/1000),Skills!L9/10)+Skills!O9</f>
        <v/>
      </c>
      <c r="G2629">
        <f>Skills!G9*IF(Skills!H9&gt;0,IF(Inputs!$B$39="pvp",MIN(Skills!I9,15),Skills!I9)/Skills!H9,1)</f>
        <v/>
      </c>
      <c r="H2629">
        <f>1-(1-Skills!J9/100)^Skills!K9</f>
        <v/>
      </c>
      <c r="I2629" t="inlineStr">
        <is>
          <t>1</t>
        </is>
      </c>
      <c r="J2629">
        <f>((Inputs!$B$6*(1+Inputs!$B$7/100))+(((Inputs!$B$12*(1+Inputs!$B$13/100))-(Inputs!$B$12*(1+Inputs!$B$13/100)))+0.25*(Inputs!$B$14-Inputs!$B$14))*(1+Inputs!$B$7/100))*(F2629/100)</f>
        <v/>
      </c>
      <c r="K2629">
        <f>J2629*(1+((Inputs!$B$12*(1+Inputs!$B$13/100))*0.01+Inputs!$B$14*0.0025)/100)*(1+Inputs!$B$15/100)*(1+Inputs!$B$16/100)*(5000/(6000+Inputs!$B$43*(1-(100*(1-(1-Inputs!$B$19/100)*(1-CHOOSE(ArtifactsInput!$N$40+1,5,6,7,8,9,10)/100)^(ArtifactsInput!$M$40-ArtifactsInput!$M$40)))/100)))*(1+(Inputs!$B$24+((C2651=TRUE)*(F2651-Calc!F31))+((C2638=TRUE)*(F2638-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+3.3333333333333335*IF(C2639=TRUE,F2639,0)/100)*(1+(IF(Skills!A9="CRUEL_STAB",Inputs!$B$17+((C2648=TRUE)*(F2648-Calc!F28))+((IF(AND(Inputs!$B$39&lt;&gt;"pvp",Inputs!$B$44=0),1,IF(IF(Inputs!$B$39="pvp",15,Inputs!$B$44)-(B2665)&lt;=0,1,MAX(0,IF(Inputs!$B$39="pvp",15,Inputs!$B$44)-MAX(5,B2665))/(IF(Inputs!$B$39="pvp",15,Inputs!$B$44)-(B2665))))*(IF(AND(ArtifactsInput!$M$42,((Inputs!$B$9+((C2646=TRUE)*(F2646-Calc!F26))+B2654+(ArtifactsInput!$M$24-ArtifactsInput!$M$24)*CHOOSE(ArtifactsInput!$N$24+1,10,12,14,16,18,20)+IF(ArtifactsInput!$M$10,CHOOSE(ArtifactsInput!$N$10+1,15,18,21,24,27,30)*(IF(Inputs!$B$39="pvp",MIN(15,15)/15,IF(AND(Inputs!$B$39&lt;&gt;"pvp",Inputs!$B$44&gt;0),MIN(15,Inputs!$B$44)/(Inputs!$B$44),0))),0)))&gt;=100),MIN(100,((Inputs!$B$9+((C2646=TRUE)*(F2646-Calc!F26))+B2654+(ArtifactsInput!$M$24-ArtifactsInput!$M$24)*CHOOSE(ArtifactsInput!$N$24+1,10,12,14,16,18,20)+IF(ArtifactsInput!$M$10,CHOOSE(ArtifactsInput!$N$10+1,15,18,21,24,27,30)*(IF(Inputs!$B$39="pvp",MIN(15,15)/15,IF(AND(Inputs!$B$39&lt;&gt;"pvp",Inputs!$B$44&gt;0),MIN(15,Inputs!$B$44)/(Inputs!$B$44),0))),0)))-100),0))*CHOOSE(ArtifactsInput!$N$42+1,0.6,0.72,0.84,0.96,1.08,1.2))),Inputs!$B$18+((C2649=TRUE)*(F2649-Calc!F29))+(IF(AND(Inputs!$B$39&lt;&gt;"pvp",Inputs!$B$44=0),1,IF(IF(Inputs!$B$39="pvp",15,Inputs!$B$44)-(B2665)&lt;=0,1,MAX(0,IF(Inputs!$B$39="pvp",15,Inputs!$B$44)-MAX(5,B2665))/(IF(Inputs!$B$39="pvp",15,Inputs!$B$44)-(B2665))))*IF(AND(ArtifactsInput!$M$42,((Inputs!$B$9+((C2646=TRUE)*(F2646-Calc!F26))+B2654+(ArtifactsInput!$M$24-ArtifactsInput!$M$24)*CHOOSE(ArtifactsInput!$N$24+1,10,12,14,16,18,20)+IF(ArtifactsInput!$M$10,CHOOSE(ArtifactsInput!$N$10+1,15,18,21,24,27,30)*(IF(Inputs!$B$39="pvp",MIN(15,15)/15,IF(AND(Inputs!$B$39&lt;&gt;"pvp",Inputs!$B$44&gt;0),MIN(15,Inputs!$B$44)/(Inputs!$B$44),0))),0)))&gt;=100),CHOOSE(ArtifactsInput!$N$42+1,40,48,56,64,72,80),0))))/100)*(((1+(((C2642=TRUE)*F2642*IF(AND(Inputs!$B$39&lt;&gt;"pvp",Inputs!$B$44&gt;0),(((R2642-1)*MIN((Skills!Y22*(1+Inputs!$B$34/100)),(1/Q2642))+MIN((Skills!Y22*(1+Inputs!$B$34/100)),MAX(0,Inputs!$B$44-((R2642-1)*(1/Q2642)))))/Inputs!$B$44),IF(Inputs!$B$39="pvp",MIN((Skills!Y22*(1+Inputs!$B$34/100)),15)/15,MIN(1,(Skills!Y22*(1+Inputs!$B$34/100))/(1/Q2642)))))+((C2623=TRUE)*F2623*3)+((C2625=TRUE)*F2625*(1-EXP(-0.75*B2658*5)))+((C2644=TRUE)*(F2644-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2631=TRUE)*F2631*IF(AND(Inputs!$B$39&lt;&gt;"pvp",Inputs!$B$44&gt;0),(((R2631-1)*MIN((Skills!Y11*(1+Inputs!$B$34/100)),(1/Q2631))+MIN((Skills!Y11*(1+Inputs!$B$34/100)),MAX(0,Inputs!$B$44-((R2631-1)*(1/Q2631)))))/Inputs!$B$44),IF(Inputs!$B$39="pvp",MIN((Skills!Y11*(1+Inputs!$B$34/100)),15)/15,MIN(1,(Skills!Y11*(1+Inputs!$B$34/100))/(1/Q2631)))))/100)*(1+((C2636=TRUE)*F2636*IF(AND(Inputs!$B$39&lt;&gt;"pvp",Inputs!$B$44&gt;0),(((R2636-1)*MIN((Skills!Y16*(1+Inputs!$B$34/100)),(1/Q2636))+MIN((Skills!Y16*(1+Inputs!$B$34/100)),MAX(0,Inputs!$B$44-((R2636-1)*(1/Q2636)))))/Inputs!$B$44),IF(Inputs!$B$39="pvp",MIN((Skills!Y16*(1+Inputs!$B$34/100)),15)/15,MIN(1,(Skills!Y16*(1+Inputs!$B$34/100))/(1/Q2636)))))/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2656*I2629)</f>
        <v/>
      </c>
      <c r="L2629">
        <f>K2629*(MIN(Inputs!$B$22+((C2645=TRUE)*(F2645-Calc!F25)),(Inputs!$B$23+((C2650=TRUE)*(F2650-Calc!F30))+IF(ArtifactsInput!$M$15,CHOOSE(ArtifactsInput!$N$15+1,25,30,35,40,45,50)/100*(Inputs!$B$11-Inputs!$B$11),0)))/100+(Inputs!$B$23+((C2650=TRUE)*(F2650-Calc!F30))+IF(ArtifactsInput!$M$15,CHOOSE(ArtifactsInput!$N$15+1,25,30,35,40,45,50)/100*(Inputs!$B$11-Inputs!$B$11),0))/100)/2</f>
        <v/>
      </c>
      <c r="M2629">
        <f>L2629*(1+(Inputs!$B$10+((C2647=TRUE)*(F2647-Calc!F27))+B2661+(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2629">
        <f>L2629*(1-MIN((Inputs!$B$9+((C2646=TRUE)*(F2646-Calc!F26))+B2654+(ArtifactsInput!$M$24-ArtifactsInput!$M$24)*CHOOSE(ArtifactsInput!$N$24+1,10,12,14,16,18,20)+(IF(AND(Inputs!$B$39&lt;&gt;"pvp",Inputs!$B$44=0),1,IF(IF(Inputs!$B$39="pvp",15,Inputs!$B$44)-(B2665)&lt;=0,1,MAX(0,IF(Inputs!$B$39="pvp",15,Inputs!$B$44)-MAX(5,B2665))/(IF(Inputs!$B$39="pvp",15,Inputs!$B$44)-(B2665))))*IF(AND(ArtifactsInput!$M$42,((Inputs!$B$9+((C2646=TRUE)*(F2646-Calc!F26))+B2654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2629*(MIN((Inputs!$B$9+((C2646=TRUE)*(F2646-Calc!F26))+B2654+(ArtifactsInput!$M$24-ArtifactsInput!$M$24)*CHOOSE(ArtifactsInput!$N$24+1,10,12,14,16,18,20)+(IF(AND(Inputs!$B$39&lt;&gt;"pvp",Inputs!$B$44=0),1,IF(IF(Inputs!$B$39="pvp",15,Inputs!$B$44)-(B2665)&lt;=0,1,MAX(0,IF(Inputs!$B$39="pvp",15,Inputs!$B$44)-MAX(5,B2665))/(IF(Inputs!$B$39="pvp",15,Inputs!$B$44)-(B2665))))*IF(AND(ArtifactsInput!$M$42,((Inputs!$B$9+((C2646=TRUE)*(F2646-Calc!F26))+B2654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629">
        <f>(1-Summary!$B$11)*T2629+Summary!$B$11*V2629</f>
        <v/>
      </c>
      <c r="P2629">
        <f>IF(B2666=0,0,O2629/B2666)</f>
        <v/>
      </c>
      <c r="Q2629">
        <f>IFERROR(1/IF(Inputs!$B$39="pvp",15,MAX(0.1,Skills!D9-IF(FALSE=TRUE,Inputs!$B$32,0))),0)</f>
        <v/>
      </c>
      <c r="R2629">
        <f>IF(AND(Inputs!$B$39&lt;&gt;"pvp",Inputs!$B$44&gt;0),IF(MAX(0,Inputs!$B$44-B2665)&lt;=0,0,(INT(MAX(0,Inputs!$B$44-B2665)/IF(Inputs!$B$39="pvp",15,MAX(0.1,Skills!D9-IF(FALSE=TRUE,Inputs!$B$32,0))))+1)),0)</f>
        <v/>
      </c>
      <c r="S2629">
        <f>IFERROR(O2629/N2629,0)</f>
        <v/>
      </c>
      <c r="T2629">
        <f>IF(C2629,(H2629*N2629*IF(AND(Inputs!$B$39&lt;&gt;"pvp",Inputs!$B$44&gt;0),((Skills!G9*((R2629-1)*IF(Skills!H9&gt;0,Skills!I9/Skills!H9,1)+IF(Skills!H9&gt;0,MIN(Skills!I9,MAX(0,MAX(0,Inputs!$B$44-B2665)-((R2629-1)*IF(Inputs!$B$39="pvp",15,MAX(0.1,Skills!D9-IF(FALSE=TRUE,Inputs!$B$32,0))))))/Skills!H9,1)))/Inputs!$B$44),G2629*Q2629))*IF(Inputs!$B$39="pvp",1,1+(Inputs!$B$20+0+Skills!P9+B2655+(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Hunt"),CHOOSE(ArtifactsInput!$N$35+1,15,18,21,24,27,30)*(1-EXP(-(0.2*B2658)*5)),0)+IF(AND(ArtifactsInput!$M$22,Inputs!$B$4&lt;&gt;"Chapter Hunt"),CHOOSE(ArtifactsInput!$N$22+1,10,12,14,16,18,20)*((0*(((0.15*B2658*5))^0/1)+1*(((0.15*B2658*5))^1/1)+2*(((0.15*B2658*5))^2/2)+3*(((0.15*B2658*5))^3/6)+4*(((0.15*B2658*5))^4/24)+5*(((0.15*B2658*5))^5/120))/((((0.15*B2658*5))^0/1)+(((0.15*B2658*5))^1/1)+(((0.15*B2658*5))^2/2)+(((0.15*B2658*5))^3/6)+(((0.15*B2658*5))^4/24)+(((0.15*B2658*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2629*(1-MIN(100,(Inputs!$B$9+((C2646=TRUE)*(F2646-Calc!F26))+B2654+(ArtifactsInput!$M$24-ArtifactsInput!$M$24)*CHOOSE(ArtifactsInput!$N$24+1,10,12,14,16,18,20)+(IF(AND(Inputs!$B$39&lt;&gt;"pvp",Inputs!$B$44=0),1,IF(IF(Inputs!$B$39="pvp",15,Inputs!$B$44)-(B2665)&lt;=0,1,MAX(0,IF(Inputs!$B$39="pvp",15,Inputs!$B$44)-MAX(5,B2665))/(IF(Inputs!$B$39="pvp",15,Inputs!$B$44)-(B2665))))*IF(AND(ArtifactsInput!$M$42,((Inputs!$B$9+((C2646=TRUE)*(F2646-Calc!F26))+B2654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2629*(MIN(100,(Inputs!$B$9+((C2646=TRUE)*(F2646-Calc!F26))+B2654+(ArtifactsInput!$M$24-ArtifactsInput!$M$24)*CHOOSE(ArtifactsInput!$N$24+1,10,12,14,16,18,20)+(IF(AND(Inputs!$B$39&lt;&gt;"pvp",Inputs!$B$44=0),1,IF(IF(Inputs!$B$39="pvp",15,Inputs!$B$44)-(B2665)&lt;=0,1,MAX(0,IF(Inputs!$B$39="pvp",15,Inputs!$B$44)-MAX(5,B2665))/(IF(Inputs!$B$39="pvp",15,Inputs!$B$44)-(B2665))))*IF(AND(ArtifactsInput!$M$42,((Inputs!$B$9+((C2646=TRUE)*(F2646-Calc!F26))+B2654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2629*(1-MIN(100,(Inputs!$B$9+((C2646=TRUE)*(F2646-Calc!F26))+B2654+(ArtifactsInput!$M$24-ArtifactsInput!$M$24)*CHOOSE(ArtifactsInput!$N$24+1,10,12,14,16,18,20)+(IF(AND(Inputs!$B$39&lt;&gt;"pvp",Inputs!$B$44=0),1,IF(IF(Inputs!$B$39="pvp",15,Inputs!$B$44)-(B2665)&lt;=0,1,MAX(0,IF(Inputs!$B$39="pvp",15,Inputs!$B$44)-MAX(5,B2665))/(IF(Inputs!$B$39="pvp",15,Inputs!$B$44)-(B2665))))*IF(AND(ArtifactsInput!$M$42,((Inputs!$B$9+((C2646=TRUE)*(F2646-Calc!F26))+B2654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2629*(MIN(100,(Inputs!$B$9+((C2646=TRUE)*(F2646-Calc!F26))+B2654+(ArtifactsInput!$M$24-ArtifactsInput!$M$24)*CHOOSE(ArtifactsInput!$N$24+1,10,12,14,16,18,20)+(IF(AND(Inputs!$B$39&lt;&gt;"pvp",Inputs!$B$44=0),1,IF(IF(Inputs!$B$39="pvp",15,Inputs!$B$44)-(B2665)&lt;=0,1,MAX(0,IF(Inputs!$B$39="pvp",15,Inputs!$B$44)-MAX(5,B2665))/(IF(Inputs!$B$39="pvp",15,Inputs!$B$44)-(B2665))))*IF(AND(ArtifactsInput!$M$42,((Inputs!$B$9+((C2646=TRUE)*(F2646-Calc!F26))+B2654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629">
        <f>IF(C2629,(H2629*N2629*IF(AND(Inputs!$B$39&lt;&gt;"pvp",Inputs!$B$44&gt;0),((Skills!G9*((R2629-1)*IF(Skills!H9&gt;0,Skills!I9/Skills!H9,1)+IF(Skills!H9&gt;0,MIN(Skills!I9,MAX(0,MAX(0,Inputs!$B$44-B2665)-((R2629-1)*IF(Inputs!$B$39="pvp",15,MAX(0.1,Skills!D9-IF(FALSE=TRUE,Inputs!$B$32,0))))))/Skills!H9,1)))/Inputs!$B$44),G2629*Q2629))*IF(Inputs!$B$39="pvp",1,(1+(Inputs!$B$21+Skills!Q9+B2655+(IF(ArtifactsInput!$M$33,CHOOSE(ArtifactsInput!$N$33+1,30,36,42,48,54,60),0))+(IF(AND(ArtifactsInput!$M$35,Inputs!$B$4&lt;&gt;"Chapter Hunt"),CHOOSE(ArtifactsInput!$N$35+1,15,18,21,24,27,30)*(1-EXP(-(0.2*B2658)*5)),0)+IF(AND(ArtifactsInput!$M$22,Inputs!$B$4&lt;&gt;"Chapter Hunt"),CHOOSE(ArtifactsInput!$N$22+1,10,12,14,16,18,20)*((0*(((0.15*B2658*5))^0/1)+1*(((0.15*B2658*5))^1/1)+2*(((0.15*B2658*5))^2/2)+3*(((0.15*B2658*5))^3/6)+4*(((0.15*B2658*5))^4/24)+5*(((0.15*B2658*5))^5/120))/((((0.15*B2658*5))^0/1)+(((0.15*B2658*5))^1/1)+(((0.15*B2658*5))^2/2)+(((0.15*B2658*5))^3/6)+(((0.15*B2658*5))^4/24)+(((0.15*B2658*5))^5/120))),0)))/100)*(MIN(Skills!W9,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630">
      <c r="A2630">
        <f>Skills!A10</f>
        <v/>
      </c>
      <c r="B2630">
        <f>Skills!B10</f>
        <v/>
      </c>
      <c r="C2630">
        <f>Inputs!$B$3&gt;=117</f>
        <v/>
      </c>
      <c r="D2630">
        <f>IF(Skills!C10=1,60+Inputs!$B$25+Inputs!$B$29,IF(Skills!C10=2,90+Inputs!$B$26+Inputs!$B$29,IF(Skills!C10=3,120+Inputs!$B$27+Inputs!$B$29,MAX(0,(Inputs!$B$3-100)*3)+Inputs!$B$28+Inputs!$B$29)))</f>
        <v/>
      </c>
      <c r="E2630">
        <f>INDEX(FactorTable!$B$2:$Y$301, MATCH(ROUND(MIN(300,MAX(1,D2630)),0), FactorTable!$A$2:$A$301,0), Skills!M10+1)</f>
        <v/>
      </c>
      <c r="F2630">
        <f>IF(Skills!N10=TRUE,(Skills!L10/10)*(E2630/1000),Skills!L10/10)+Skills!O10</f>
        <v/>
      </c>
      <c r="G2630">
        <f>Skills!G10*IF(Skills!H10&gt;0,IF(Inputs!$B$39="pvp",MIN(Skills!I10,15),Skills!I10)/Skills!H10,1)</f>
        <v/>
      </c>
      <c r="H2630">
        <f>1-(1-Skills!J10/100)^Skills!K10</f>
        <v/>
      </c>
      <c r="I2630" t="inlineStr">
        <is>
          <t>1</t>
        </is>
      </c>
      <c r="J2630">
        <f>((Inputs!$B$6*(1+Inputs!$B$7/100))+(((Inputs!$B$12*(1+Inputs!$B$13/100))-(Inputs!$B$12*(1+Inputs!$B$13/100)))+0.25*(Inputs!$B$14-Inputs!$B$14))*(1+Inputs!$B$7/100))*(F2630/100)</f>
        <v/>
      </c>
      <c r="K2630">
        <f>J2630*(1+((Inputs!$B$12*(1+Inputs!$B$13/100))*0.01+Inputs!$B$14*0.0025)/100)*(1+Inputs!$B$15/100)*(1+Inputs!$B$16/100)*(5000/(6000+Inputs!$B$43*(1-(100*(1-(1-Inputs!$B$19/100)*(1-CHOOSE(ArtifactsInput!$N$40+1,5,6,7,8,9,10)/100)^(ArtifactsInput!$M$40-ArtifactsInput!$M$40)))/100)))*(1+(Inputs!$B$24+((C2651=TRUE)*(F2651-Calc!F31))+((C2638=TRUE)*(F2638-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10="CRUEL_STAB",Inputs!$B$17+((C2648=TRUE)*(F2648-Calc!F28))+((IF(AND(Inputs!$B$39&lt;&gt;"pvp",Inputs!$B$44=0),1,IF(IF(Inputs!$B$39="pvp",15,Inputs!$B$44)-(B2665)&lt;=0,1,MAX(0,IF(Inputs!$B$39="pvp",15,Inputs!$B$44)-MAX(5,B2665))/(IF(Inputs!$B$39="pvp",15,Inputs!$B$44)-(B2665))))*(IF(AND(ArtifactsInput!$M$42,((Inputs!$B$9+((C2646=TRUE)*(F2646-Calc!F26))+B2654+(ArtifactsInput!$M$24-ArtifactsInput!$M$24)*CHOOSE(ArtifactsInput!$N$24+1,10,12,14,16,18,20)+IF(ArtifactsInput!$M$10,CHOOSE(ArtifactsInput!$N$10+1,15,18,21,24,27,30)*(IF(Inputs!$B$39="pvp",MIN(15,15)/15,IF(AND(Inputs!$B$39&lt;&gt;"pvp",Inputs!$B$44&gt;0),MIN(15,Inputs!$B$44)/(Inputs!$B$44),0))),0)))&gt;=100),MIN(100,((Inputs!$B$9+((C2646=TRUE)*(F2646-Calc!F26))+B2654+(ArtifactsInput!$M$24-ArtifactsInput!$M$24)*CHOOSE(ArtifactsInput!$N$24+1,10,12,14,16,18,20)+IF(ArtifactsInput!$M$10,CHOOSE(ArtifactsInput!$N$10+1,15,18,21,24,27,30)*(IF(Inputs!$B$39="pvp",MIN(15,15)/15,IF(AND(Inputs!$B$39&lt;&gt;"pvp",Inputs!$B$44&gt;0),MIN(15,Inputs!$B$44)/(Inputs!$B$44),0))),0)))-100),0))*CHOOSE(ArtifactsInput!$N$42+1,0.6,0.72,0.84,0.96,1.08,1.2))),Inputs!$B$18+((C2649=TRUE)*(F2649-Calc!F29))+(IF(AND(Inputs!$B$39&lt;&gt;"pvp",Inputs!$B$44=0),1,IF(IF(Inputs!$B$39="pvp",15,Inputs!$B$44)-(B2665)&lt;=0,1,MAX(0,IF(Inputs!$B$39="pvp",15,Inputs!$B$44)-MAX(5,B2665))/(IF(Inputs!$B$39="pvp",15,Inputs!$B$44)-(B2665))))*IF(AND(ArtifactsInput!$M$42,((Inputs!$B$9+((C2646=TRUE)*(F2646-Calc!F26))+B2654+(ArtifactsInput!$M$24-ArtifactsInput!$M$24)*CHOOSE(ArtifactsInput!$N$24+1,10,12,14,16,18,20)+IF(ArtifactsInput!$M$10,CHOOSE(ArtifactsInput!$N$10+1,15,18,21,24,27,30)*(IF(Inputs!$B$39="pvp",MIN(15,15)/15,IF(AND(Inputs!$B$39&lt;&gt;"pvp",Inputs!$B$44&gt;0),MIN(15,Inputs!$B$44)/(Inputs!$B$44),0))),0)))&gt;=100),CHOOSE(ArtifactsInput!$N$42+1,40,48,56,64,72,80),0))))/100)*(((1+(((C2642=TRUE)*F2642*IF(AND(Inputs!$B$39&lt;&gt;"pvp",Inputs!$B$44&gt;0),(((R2642-1)*MIN((Skills!Y22*(1+Inputs!$B$34/100)),(1/Q2642))+MIN((Skills!Y22*(1+Inputs!$B$34/100)),MAX(0,Inputs!$B$44-((R2642-1)*(1/Q2642)))))/Inputs!$B$44),IF(Inputs!$B$39="pvp",MIN((Skills!Y22*(1+Inputs!$B$34/100)),15)/15,MIN(1,(Skills!Y22*(1+Inputs!$B$34/100))/(1/Q2642)))))+((C2623=TRUE)*F2623*3)+((C2625=TRUE)*F2625*(1-EXP(-0.75*B2658*5)))+((C2644=TRUE)*(F2644-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2631=TRUE)*F2631*IF(AND(Inputs!$B$39&lt;&gt;"pvp",Inputs!$B$44&gt;0),(((R2631-1)*MIN((Skills!Y11*(1+Inputs!$B$34/100)),(1/Q2631))+MIN((Skills!Y11*(1+Inputs!$B$34/100)),MAX(0,Inputs!$B$44-((R2631-1)*(1/Q2631)))))/Inputs!$B$44),IF(Inputs!$B$39="pvp",MIN((Skills!Y11*(1+Inputs!$B$34/100)),15)/15,MIN(1,(Skills!Y11*(1+Inputs!$B$34/100))/(1/Q2631)))))/100)*(1+((C2636=TRUE)*F2636*IF(AND(Inputs!$B$39&lt;&gt;"pvp",Inputs!$B$44&gt;0),(((R2636-1)*MIN((Skills!Y16*(1+Inputs!$B$34/100)),(1/Q2636))+MIN((Skills!Y16*(1+Inputs!$B$34/100)),MAX(0,Inputs!$B$44-((R2636-1)*(1/Q2636)))))/Inputs!$B$44),IF(Inputs!$B$39="pvp",MIN((Skills!Y16*(1+Inputs!$B$34/100)),15)/15,MIN(1,(Skills!Y16*(1+Inputs!$B$34/100))/(1/Q2636)))))/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2656*I2630)</f>
        <v/>
      </c>
      <c r="L2630">
        <f>K2630*(MIN(Inputs!$B$22+((C2645=TRUE)*(F2645-Calc!F25)),(Inputs!$B$23+((C2650=TRUE)*(F2650-Calc!F30))+IF(ArtifactsInput!$M$15,CHOOSE(ArtifactsInput!$N$15+1,25,30,35,40,45,50)/100*(Inputs!$B$11-Inputs!$B$11),0)))/100+(Inputs!$B$23+((C2650=TRUE)*(F2650-Calc!F30))+IF(ArtifactsInput!$M$15,CHOOSE(ArtifactsInput!$N$15+1,25,30,35,40,45,50)/100*(Inputs!$B$11-Inputs!$B$11),0))/100)/2</f>
        <v/>
      </c>
      <c r="M2630">
        <f>L2630*(1+(Inputs!$B$10+((C2647=TRUE)*(F2647-Calc!F27))+B2661+(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2630">
        <f>L2630*(1-MIN((Inputs!$B$9+((C2646=TRUE)*(F2646-Calc!F26))+B2654+(ArtifactsInput!$M$24-ArtifactsInput!$M$24)*CHOOSE(ArtifactsInput!$N$24+1,10,12,14,16,18,20)+(IF(AND(Inputs!$B$39&lt;&gt;"pvp",Inputs!$B$44=0),1,IF(IF(Inputs!$B$39="pvp",15,Inputs!$B$44)-(B2665)&lt;=0,1,MAX(0,IF(Inputs!$B$39="pvp",15,Inputs!$B$44)-MAX(5,B2665))/(IF(Inputs!$B$39="pvp",15,Inputs!$B$44)-(B2665))))*IF(AND(ArtifactsInput!$M$42,((Inputs!$B$9+((C2646=TRUE)*(F2646-Calc!F26))+B2654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2630*(MIN((Inputs!$B$9+((C2646=TRUE)*(F2646-Calc!F26))+B2654+(ArtifactsInput!$M$24-ArtifactsInput!$M$24)*CHOOSE(ArtifactsInput!$N$24+1,10,12,14,16,18,20)+(IF(AND(Inputs!$B$39&lt;&gt;"pvp",Inputs!$B$44=0),1,IF(IF(Inputs!$B$39="pvp",15,Inputs!$B$44)-(B2665)&lt;=0,1,MAX(0,IF(Inputs!$B$39="pvp",15,Inputs!$B$44)-MAX(5,B2665))/(IF(Inputs!$B$39="pvp",15,Inputs!$B$44)-(B2665))))*IF(AND(ArtifactsInput!$M$42,((Inputs!$B$9+((C2646=TRUE)*(F2646-Calc!F26))+B2654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630">
        <f>(1-Summary!$B$11)*T2630+Summary!$B$11*V2630</f>
        <v/>
      </c>
      <c r="P2630">
        <f>IF(B2666=0,0,O2630/B2666)</f>
        <v/>
      </c>
      <c r="Q2630" t="n">
        <v>0</v>
      </c>
      <c r="R2630" t="n">
        <v>0</v>
      </c>
      <c r="S2630" t="n">
        <v>0</v>
      </c>
      <c r="T2630">
        <f>IF(C2630,(0.2*SUMPRODUCT((Skills!Z2:Z31=TRUE)*(C2622:C2651=TRUE)*S2622:S2651)*N2630)*IF(Inputs!$B$39="pvp",1,1+(Inputs!$B$20+0+Skills!P10+B2655+(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Hunt"),CHOOSE(ArtifactsInput!$N$35+1,15,18,21,24,27,30)*(1-EXP(-(0.2*B2658)*5)),0)+IF(AND(ArtifactsInput!$M$22,Inputs!$B$4&lt;&gt;"Chapter Hunt"),CHOOSE(ArtifactsInput!$N$22+1,10,12,14,16,18,20)*((0*(((0.15*B2658*5))^0/1)+1*(((0.15*B2658*5))^1/1)+2*(((0.15*B2658*5))^2/2)+3*(((0.15*B2658*5))^3/6)+4*(((0.15*B2658*5))^4/24)+5*(((0.15*B2658*5))^5/120))/((((0.15*B2658*5))^0/1)+(((0.15*B2658*5))^1/1)+(((0.15*B2658*5))^2/2)+(((0.15*B2658*5))^3/6)+(((0.15*B2658*5))^4/24)+(((0.15*B2658*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2630*(1-MIN(100,(Inputs!$B$9+((C2646=TRUE)*(F2646-Calc!F26))+B2654+(ArtifactsInput!$M$24-ArtifactsInput!$M$24)*CHOOSE(ArtifactsInput!$N$24+1,10,12,14,16,18,20)+(IF(AND(Inputs!$B$39&lt;&gt;"pvp",Inputs!$B$44=0),1,IF(IF(Inputs!$B$39="pvp",15,Inputs!$B$44)-(B2665)&lt;=0,1,MAX(0,IF(Inputs!$B$39="pvp",15,Inputs!$B$44)-MAX(5,B2665))/(IF(Inputs!$B$39="pvp",15,Inputs!$B$44)-(B2665))))*IF(AND(ArtifactsInput!$M$42,((Inputs!$B$9+((C2646=TRUE)*(F2646-Calc!F26))+B2654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2630*(MIN(100,(Inputs!$B$9+((C2646=TRUE)*(F2646-Calc!F26))+B2654+(ArtifactsInput!$M$24-ArtifactsInput!$M$24)*CHOOSE(ArtifactsInput!$N$24+1,10,12,14,16,18,20)+(IF(AND(Inputs!$B$39&lt;&gt;"pvp",Inputs!$B$44=0),1,IF(IF(Inputs!$B$39="pvp",15,Inputs!$B$44)-(B2665)&lt;=0,1,MAX(0,IF(Inputs!$B$39="pvp",15,Inputs!$B$44)-MAX(5,B2665))/(IF(Inputs!$B$39="pvp",15,Inputs!$B$44)-(B2665))))*IF(AND(ArtifactsInput!$M$42,((Inputs!$B$9+((C2646=TRUE)*(F2646-Calc!F26))+B2654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2630*(1-MIN(100,(Inputs!$B$9+((C2646=TRUE)*(F2646-Calc!F26))+B2654+(ArtifactsInput!$M$24-ArtifactsInput!$M$24)*CHOOSE(ArtifactsInput!$N$24+1,10,12,14,16,18,20)+(IF(AND(Inputs!$B$39&lt;&gt;"pvp",Inputs!$B$44=0),1,IF(IF(Inputs!$B$39="pvp",15,Inputs!$B$44)-(B2665)&lt;=0,1,MAX(0,IF(Inputs!$B$39="pvp",15,Inputs!$B$44)-MAX(5,B2665))/(IF(Inputs!$B$39="pvp",15,Inputs!$B$44)-(B2665))))*IF(AND(ArtifactsInput!$M$42,((Inputs!$B$9+((C2646=TRUE)*(F2646-Calc!F26))+B2654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2630*(MIN(100,(Inputs!$B$9+((C2646=TRUE)*(F2646-Calc!F26))+B2654+(ArtifactsInput!$M$24-ArtifactsInput!$M$24)*CHOOSE(ArtifactsInput!$N$24+1,10,12,14,16,18,20)+(IF(AND(Inputs!$B$39&lt;&gt;"pvp",Inputs!$B$44=0),1,IF(IF(Inputs!$B$39="pvp",15,Inputs!$B$44)-(B2665)&lt;=0,1,MAX(0,IF(Inputs!$B$39="pvp",15,Inputs!$B$44)-MAX(5,B2665))/(IF(Inputs!$B$39="pvp",15,Inputs!$B$44)-(B2665))))*IF(AND(ArtifactsInput!$M$42,((Inputs!$B$9+((C2646=TRUE)*(F2646-Calc!F26))+B2654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630">
        <f>IF(C2630,(0.2*SUMPRODUCT((Skills!Z2:Z31=TRUE)*(C2622:C2651=TRUE)*S2622:S2651)*N2630)*IF(Inputs!$B$39="pvp",1,(1+(Inputs!$B$21+Skills!Q10+B2655+(IF(ArtifactsInput!$M$33,CHOOSE(ArtifactsInput!$N$33+1,30,36,42,48,54,60),0))+(IF(AND(ArtifactsInput!$M$35,Inputs!$B$4&lt;&gt;"Chapter Hunt"),CHOOSE(ArtifactsInput!$N$35+1,15,18,21,24,27,30)*(1-EXP(-(0.2*B2658)*5)),0)+IF(AND(ArtifactsInput!$M$22,Inputs!$B$4&lt;&gt;"Chapter Hunt"),CHOOSE(ArtifactsInput!$N$22+1,10,12,14,16,18,20)*((0*(((0.15*B2658*5))^0/1)+1*(((0.15*B2658*5))^1/1)+2*(((0.15*B2658*5))^2/2)+3*(((0.15*B2658*5))^3/6)+4*(((0.15*B2658*5))^4/24)+5*(((0.15*B2658*5))^5/120))/((((0.15*B2658*5))^0/1)+(((0.15*B2658*5))^1/1)+(((0.15*B2658*5))^2/2)+(((0.15*B2658*5))^3/6)+(((0.15*B2658*5))^4/24)+(((0.15*B2658*5))^5/120))),0)))/100)*(MIN(Skills!W10,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631">
      <c r="A2631">
        <f>Skills!A11</f>
        <v/>
      </c>
      <c r="B2631">
        <f>Skills!B11</f>
        <v/>
      </c>
      <c r="C2631">
        <f>Inputs!$B$3&gt;=74</f>
        <v/>
      </c>
      <c r="D2631">
        <f>IF(Skills!C11=1,60+Inputs!$B$25+Inputs!$B$29,IF(Skills!C11=2,90+Inputs!$B$26+Inputs!$B$29,IF(Skills!C11=3,120+Inputs!$B$27+Inputs!$B$29,MAX(0,(Inputs!$B$3-100)*3)+Inputs!$B$28+Inputs!$B$29)))</f>
        <v/>
      </c>
      <c r="E2631">
        <f>INDEX(FactorTable!$B$2:$Y$301, MATCH(ROUND(MIN(300,MAX(1,D2631)),0), FactorTable!$A$2:$A$301,0), Skills!M11+1)</f>
        <v/>
      </c>
      <c r="F2631">
        <f>IF(Skills!N11=TRUE,(Skills!L11/10)*(E2631/1000),Skills!L11/10)+Skills!O11</f>
        <v/>
      </c>
      <c r="G2631">
        <f>Skills!G11*IF(Skills!H11&gt;0,IF(Inputs!$B$39="pvp",MIN(Skills!I11,15),Skills!I11)/Skills!H11,1)</f>
        <v/>
      </c>
      <c r="H2631">
        <f>1-(1-Skills!J11/100)^Skills!K11</f>
        <v/>
      </c>
      <c r="I2631" t="inlineStr">
        <is>
          <t>1</t>
        </is>
      </c>
      <c r="J2631" t="inlineStr"/>
      <c r="K2631" t="inlineStr"/>
      <c r="L2631" t="inlineStr"/>
      <c r="M2631" t="inlineStr"/>
      <c r="N2631" t="inlineStr"/>
      <c r="O2631">
        <f>(1-Summary!$B$11)*T2631+Summary!$B$11*V2631</f>
        <v/>
      </c>
      <c r="P2631">
        <f>IF(B2666=0,0,O2631/B2666)</f>
        <v/>
      </c>
      <c r="Q2631">
        <f>IFERROR(1/IF(Inputs!$B$39="pvp",15,MAX(0.1,Skills!D11-IF(TRUE=TRUE,Inputs!$B$32,0))),0)</f>
        <v/>
      </c>
      <c r="R2631">
        <f>IF(AND(Inputs!$B$39&lt;&gt;"pvp",Inputs!$B$44&gt;0),IF(Inputs!$B$44&lt;=0,0,(INT(Inputs!$B$44/IF(Inputs!$B$39="pvp",15,MAX(0.1,Skills!D11-IF(TRUE=TRUE,Inputs!$B$32,0))))+1)),0)</f>
        <v/>
      </c>
      <c r="S2631">
        <f>IFERROR(O2631/N2631,0)</f>
        <v/>
      </c>
      <c r="T2631" t="n">
        <v>0</v>
      </c>
      <c r="V2631" t="n">
        <v>0</v>
      </c>
    </row>
    <row r="2632">
      <c r="A2632">
        <f>Skills!A12</f>
        <v/>
      </c>
      <c r="B2632">
        <f>Skills!B12</f>
        <v/>
      </c>
      <c r="C2632">
        <f>Inputs!$B$3&gt;=103</f>
        <v/>
      </c>
      <c r="D2632">
        <f>IF(Skills!C12=1,60+Inputs!$B$25+Inputs!$B$29,IF(Skills!C12=2,90+Inputs!$B$26+Inputs!$B$29,IF(Skills!C12=3,120+Inputs!$B$27+Inputs!$B$29,MAX(0,(Inputs!$B$3-100)*3)+Inputs!$B$28+Inputs!$B$29)))</f>
        <v/>
      </c>
      <c r="E2632">
        <f>INDEX(FactorTable!$B$2:$Y$301, MATCH(ROUND(MIN(300,MAX(1,D2632)),0), FactorTable!$A$2:$A$301,0), Skills!M12+1)</f>
        <v/>
      </c>
      <c r="F2632">
        <f>(Skills!L12/10)*(E2632/1000)+IF(Inputs!$B$3&gt;=134,50,0)+0.5*(30000/10)*(INDEX(FactorTable!$B$2:$Y$301, MATCH(ROUND(MIN(300,MAX(1,D2632)),0), FactorTable!$A$2:$A$301,0), 13)/1000)*B2664</f>
        <v/>
      </c>
      <c r="G2632">
        <f>Skills!G12*IF(Skills!H12&gt;0,IF(Inputs!$B$39="pvp",MIN(Skills!I12,15),Skills!I12)/Skills!H12,1)</f>
        <v/>
      </c>
      <c r="H2632">
        <f>1-(1-Skills!J12/100)^Skills!K12</f>
        <v/>
      </c>
      <c r="I2632" t="inlineStr">
        <is>
          <t>1</t>
        </is>
      </c>
      <c r="J2632">
        <f>((Inputs!$B$6*(1+Inputs!$B$7/100))+(((Inputs!$B$12*(1+Inputs!$B$13/100))-(Inputs!$B$12*(1+Inputs!$B$13/100)))+0.25*(Inputs!$B$14-Inputs!$B$14))*(1+Inputs!$B$7/100))*(F2632/100)</f>
        <v/>
      </c>
      <c r="K2632">
        <f>J2632*(1+((Inputs!$B$12*(1+Inputs!$B$13/100))*0.01+Inputs!$B$14*0.0025)/100)*(1+Inputs!$B$15/100)*(1+Inputs!$B$16/100)*(5000/(6000+Inputs!$B$43*(1-(100*(1-(1-Inputs!$B$19/100)*(1-CHOOSE(ArtifactsInput!$N$40+1,5,6,7,8,9,10)/100)^(ArtifactsInput!$M$40-ArtifactsInput!$M$40)))/100)))*(1+(Inputs!$B$24+((C2651=TRUE)*(F2651-Calc!F31))+((C2638=TRUE)*(F2638-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12="CRUEL_STAB",Inputs!$B$17+((C2648=TRUE)*(F2648-Calc!F28))+((IF(AND(Inputs!$B$39&lt;&gt;"pvp",Inputs!$B$44=0),1,IF(IF(Inputs!$B$39="pvp",15,Inputs!$B$44)-(B2665)&lt;=0,1,MAX(0,IF(Inputs!$B$39="pvp",15,Inputs!$B$44)-MAX(5,B2665))/(IF(Inputs!$B$39="pvp",15,Inputs!$B$44)-(B2665))))*(IF(AND(ArtifactsInput!$M$42,((Inputs!$B$9+((C2646=TRUE)*(F2646-Calc!F26))+B2654+(ArtifactsInput!$M$24-ArtifactsInput!$M$24)*CHOOSE(ArtifactsInput!$N$24+1,10,12,14,16,18,20)+IF(ArtifactsInput!$M$10,CHOOSE(ArtifactsInput!$N$10+1,15,18,21,24,27,30)*(IF(Inputs!$B$39="pvp",MIN(15,15)/15,IF(AND(Inputs!$B$39&lt;&gt;"pvp",Inputs!$B$44&gt;0),MIN(15,Inputs!$B$44)/(Inputs!$B$44),0))),0)))&gt;=100),MIN(100,((Inputs!$B$9+((C2646=TRUE)*(F2646-Calc!F26))+B2654+(ArtifactsInput!$M$24-ArtifactsInput!$M$24)*CHOOSE(ArtifactsInput!$N$24+1,10,12,14,16,18,20)+IF(ArtifactsInput!$M$10,CHOOSE(ArtifactsInput!$N$10+1,15,18,21,24,27,30)*(IF(Inputs!$B$39="pvp",MIN(15,15)/15,IF(AND(Inputs!$B$39&lt;&gt;"pvp",Inputs!$B$44&gt;0),MIN(15,Inputs!$B$44)/(Inputs!$B$44),0))),0)))-100),0))*CHOOSE(ArtifactsInput!$N$42+1,0.6,0.72,0.84,0.96,1.08,1.2))),Inputs!$B$18+((C2649=TRUE)*(F2649-Calc!F29))+(IF(AND(Inputs!$B$39&lt;&gt;"pvp",Inputs!$B$44=0),1,IF(IF(Inputs!$B$39="pvp",15,Inputs!$B$44)-(B2665)&lt;=0,1,MAX(0,IF(Inputs!$B$39="pvp",15,Inputs!$B$44)-MAX(5,B2665))/(IF(Inputs!$B$39="pvp",15,Inputs!$B$44)-(B2665))))*IF(AND(ArtifactsInput!$M$42,((Inputs!$B$9+((C2646=TRUE)*(F2646-Calc!F26))+B2654+(ArtifactsInput!$M$24-ArtifactsInput!$M$24)*CHOOSE(ArtifactsInput!$N$24+1,10,12,14,16,18,20)+IF(ArtifactsInput!$M$10,CHOOSE(ArtifactsInput!$N$10+1,15,18,21,24,27,30)*(IF(Inputs!$B$39="pvp",MIN(15,15)/15,IF(AND(Inputs!$B$39&lt;&gt;"pvp",Inputs!$B$44&gt;0),MIN(15,Inputs!$B$44)/(Inputs!$B$44),0))),0)))&gt;=100),CHOOSE(ArtifactsInput!$N$42+1,40,48,56,64,72,80),0))))/100)*(((1+(((C2642=TRUE)*F2642*IF(AND(Inputs!$B$39&lt;&gt;"pvp",Inputs!$B$44&gt;0),(((R2642-1)*MIN((Skills!Y22*(1+Inputs!$B$34/100)),(1/Q2642))+MIN((Skills!Y22*(1+Inputs!$B$34/100)),MAX(0,Inputs!$B$44-((R2642-1)*(1/Q2642)))))/Inputs!$B$44),IF(Inputs!$B$39="pvp",MIN((Skills!Y22*(1+Inputs!$B$34/100)),15)/15,MIN(1,(Skills!Y22*(1+Inputs!$B$34/100))/(1/Q2642)))))+((C2623=TRUE)*F2623*3)+((C2625=TRUE)*F2625*(1-EXP(-0.75*B2658*5)))+((C2644=TRUE)*(F2644-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2631=TRUE)*F2631*IF(AND(Inputs!$B$39&lt;&gt;"pvp",Inputs!$B$44&gt;0),(((R2631-1)*MIN((Skills!Y11*(1+Inputs!$B$34/100)),(1/Q2631))+MIN((Skills!Y11*(1+Inputs!$B$34/100)),MAX(0,Inputs!$B$44-((R2631-1)*(1/Q2631)))))/Inputs!$B$44),IF(Inputs!$B$39="pvp",MIN((Skills!Y11*(1+Inputs!$B$34/100)),15)/15,MIN(1,(Skills!Y11*(1+Inputs!$B$34/100))/(1/Q2631)))))/100)*(1+((C2636=TRUE)*F2636*IF(AND(Inputs!$B$39&lt;&gt;"pvp",Inputs!$B$44&gt;0),(((R2636-1)*MIN((Skills!Y16*(1+Inputs!$B$34/100)),(1/Q2636))+MIN((Skills!Y16*(1+Inputs!$B$34/100)),MAX(0,Inputs!$B$44-((R2636-1)*(1/Q2636)))))/Inputs!$B$44),IF(Inputs!$B$39="pvp",MIN((Skills!Y16*(1+Inputs!$B$34/100)),15)/15,MIN(1,(Skills!Y16*(1+Inputs!$B$34/100))/(1/Q2636)))))/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2656*I2632)</f>
        <v/>
      </c>
      <c r="L2632">
        <f>K2632*(MIN(Inputs!$B$22+((C2645=TRUE)*(F2645-Calc!F25)),(Inputs!$B$23+((C2650=TRUE)*(F2650-Calc!F30))+IF(ArtifactsInput!$M$15,CHOOSE(ArtifactsInput!$N$15+1,25,30,35,40,45,50)/100*(Inputs!$B$11-Inputs!$B$11),0)))/100+(Inputs!$B$23+((C2650=TRUE)*(F2650-Calc!F30))+IF(ArtifactsInput!$M$15,CHOOSE(ArtifactsInput!$N$15+1,25,30,35,40,45,50)/100*(Inputs!$B$11-Inputs!$B$11),0))/100)/2</f>
        <v/>
      </c>
      <c r="M2632">
        <f>L2632*(1+(Inputs!$B$10+((C2647=TRUE)*(F2647-Calc!F27))+B2661+(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2632">
        <f>L2632*(1-MIN((Inputs!$B$9+((C2646=TRUE)*(F2646-Calc!F26))+B2654+(ArtifactsInput!$M$24-ArtifactsInput!$M$24)*CHOOSE(ArtifactsInput!$N$24+1,10,12,14,16,18,20)+(IF(AND(Inputs!$B$39&lt;&gt;"pvp",Inputs!$B$44=0),1,IF(IF(Inputs!$B$39="pvp",15,Inputs!$B$44)-(B2665)&lt;=0,1,MAX(0,IF(Inputs!$B$39="pvp",15,Inputs!$B$44)-MAX(5,B2665))/(IF(Inputs!$B$39="pvp",15,Inputs!$B$44)-(B2665))))*IF(AND(ArtifactsInput!$M$42,((Inputs!$B$9+((C2646=TRUE)*(F2646-Calc!F26))+B2654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2632*(MIN((Inputs!$B$9+((C2646=TRUE)*(F2646-Calc!F26))+B2654+(ArtifactsInput!$M$24-ArtifactsInput!$M$24)*CHOOSE(ArtifactsInput!$N$24+1,10,12,14,16,18,20)+(IF(AND(Inputs!$B$39&lt;&gt;"pvp",Inputs!$B$44=0),1,IF(IF(Inputs!$B$39="pvp",15,Inputs!$B$44)-(B2665)&lt;=0,1,MAX(0,IF(Inputs!$B$39="pvp",15,Inputs!$B$44)-MAX(5,B2665))/(IF(Inputs!$B$39="pvp",15,Inputs!$B$44)-(B2665))))*IF(AND(ArtifactsInput!$M$42,((Inputs!$B$9+((C2646=TRUE)*(F2646-Calc!F26))+B2654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632">
        <f>(1-Summary!$B$11)*T2632+Summary!$B$11*V2632</f>
        <v/>
      </c>
      <c r="P2632">
        <f>IF(B2666=0,0,O2632/B2666)</f>
        <v/>
      </c>
      <c r="Q2632">
        <f>IFERROR(1/IF(Inputs!$B$39="pvp",15,MAX(0.1,Skills!D12-IF(TRUE=TRUE,Inputs!$B$32,0))),0)</f>
        <v/>
      </c>
      <c r="R2632">
        <f>IF(AND(Inputs!$B$39&lt;&gt;"pvp",Inputs!$B$44&gt;0),IF(MAX(0,Inputs!$B$44-B2665)&lt;=0,0,(INT(MAX(0,Inputs!$B$44-B2665)/IF(Inputs!$B$39="pvp",15,MAX(0.1,Skills!D12-IF(TRUE=TRUE,Inputs!$B$32,0))))+1)),0)</f>
        <v/>
      </c>
      <c r="S2632">
        <f>IFERROR(O2632/N2632,0)</f>
        <v/>
      </c>
      <c r="T2632">
        <f>IF(C2632,(H2632*N2632*IF(AND(Inputs!$B$39&lt;&gt;"pvp",Inputs!$B$44&gt;0),((Skills!G12*((R2632-1)*IF(Skills!H12&gt;0,Skills!I12/Skills!H12,1)+IF(Skills!H12&gt;0,MIN(Skills!I12,MAX(0,MAX(0,Inputs!$B$44-B2665)-((R2632-1)*IF(Inputs!$B$39="pvp",15,MAX(0.1,Skills!D12-IF(TRUE=TRUE,Inputs!$B$32,0))))))/Skills!H12,1)))/Inputs!$B$44),G2632*Q2632))*IF(Inputs!$B$39="pvp",1,1+(Inputs!$B$20+0+Skills!P12+B2655+(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Hunt"),CHOOSE(ArtifactsInput!$N$35+1,15,18,21,24,27,30)*(1-EXP(-(0.2*B2658)*5)),0)+IF(AND(ArtifactsInput!$M$22,Inputs!$B$4&lt;&gt;"Chapter Hunt"),CHOOSE(ArtifactsInput!$N$22+1,10,12,14,16,18,20)*((0*(((0.15*B2658*5))^0/1)+1*(((0.15*B2658*5))^1/1)+2*(((0.15*B2658*5))^2/2)+3*(((0.15*B2658*5))^3/6)+4*(((0.15*B2658*5))^4/24)+5*(((0.15*B2658*5))^5/120))/((((0.15*B2658*5))^0/1)+(((0.15*B2658*5))^1/1)+(((0.15*B2658*5))^2/2)+(((0.15*B2658*5))^3/6)+(((0.15*B2658*5))^4/24)+(((0.15*B2658*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2632*(1-MIN(100,(Inputs!$B$9+((C2646=TRUE)*(F2646-Calc!F26))+B2654+(ArtifactsInput!$M$24-ArtifactsInput!$M$24)*CHOOSE(ArtifactsInput!$N$24+1,10,12,14,16,18,20)+(IF(AND(Inputs!$B$39&lt;&gt;"pvp",Inputs!$B$44=0),1,IF(IF(Inputs!$B$39="pvp",15,Inputs!$B$44)-(B2665)&lt;=0,1,MAX(0,IF(Inputs!$B$39="pvp",15,Inputs!$B$44)-MAX(5,B2665))/(IF(Inputs!$B$39="pvp",15,Inputs!$B$44)-(B2665))))*IF(AND(ArtifactsInput!$M$42,((Inputs!$B$9+((C2646=TRUE)*(F2646-Calc!F26))+B2654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2632*(MIN(100,(Inputs!$B$9+((C2646=TRUE)*(F2646-Calc!F26))+B2654+(ArtifactsInput!$M$24-ArtifactsInput!$M$24)*CHOOSE(ArtifactsInput!$N$24+1,10,12,14,16,18,20)+(IF(AND(Inputs!$B$39&lt;&gt;"pvp",Inputs!$B$44=0),1,IF(IF(Inputs!$B$39="pvp",15,Inputs!$B$44)-(B2665)&lt;=0,1,MAX(0,IF(Inputs!$B$39="pvp",15,Inputs!$B$44)-MAX(5,B2665))/(IF(Inputs!$B$39="pvp",15,Inputs!$B$44)-(B2665))))*IF(AND(ArtifactsInput!$M$42,((Inputs!$B$9+((C2646=TRUE)*(F2646-Calc!F26))+B2654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2632*(1-MIN(100,(Inputs!$B$9+((C2646=TRUE)*(F2646-Calc!F26))+B2654+(ArtifactsInput!$M$24-ArtifactsInput!$M$24)*CHOOSE(ArtifactsInput!$N$24+1,10,12,14,16,18,20)+(IF(AND(Inputs!$B$39&lt;&gt;"pvp",Inputs!$B$44=0),1,IF(IF(Inputs!$B$39="pvp",15,Inputs!$B$44)-(B2665)&lt;=0,1,MAX(0,IF(Inputs!$B$39="pvp",15,Inputs!$B$44)-MAX(5,B2665))/(IF(Inputs!$B$39="pvp",15,Inputs!$B$44)-(B2665))))*IF(AND(ArtifactsInput!$M$42,((Inputs!$B$9+((C2646=TRUE)*(F2646-Calc!F26))+B2654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2632*(MIN(100,(Inputs!$B$9+((C2646=TRUE)*(F2646-Calc!F26))+B2654+(ArtifactsInput!$M$24-ArtifactsInput!$M$24)*CHOOSE(ArtifactsInput!$N$24+1,10,12,14,16,18,20)+(IF(AND(Inputs!$B$39&lt;&gt;"pvp",Inputs!$B$44=0),1,IF(IF(Inputs!$B$39="pvp",15,Inputs!$B$44)-(B2665)&lt;=0,1,MAX(0,IF(Inputs!$B$39="pvp",15,Inputs!$B$44)-MAX(5,B2665))/(IF(Inputs!$B$39="pvp",15,Inputs!$B$44)-(B2665))))*IF(AND(ArtifactsInput!$M$42,((Inputs!$B$9+((C2646=TRUE)*(F2646-Calc!F26))+B2654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632">
        <f>IF(C2632,(H2632*N2632*IF(AND(Inputs!$B$39&lt;&gt;"pvp",Inputs!$B$44&gt;0),((Skills!G12*((R2632-1)*IF(Skills!H12&gt;0,Skills!I12/Skills!H12,1)+IF(Skills!H12&gt;0,MIN(Skills!I12,MAX(0,MAX(0,Inputs!$B$44-B2665)-((R2632-1)*IF(Inputs!$B$39="pvp",15,MAX(0.1,Skills!D12-IF(TRUE=TRUE,Inputs!$B$32,0))))))/Skills!H12,1)))/Inputs!$B$44),G2632*Q2632))*IF(Inputs!$B$39="pvp",1,(1+(Inputs!$B$21+Skills!Q12+B2655+(IF(ArtifactsInput!$M$33,CHOOSE(ArtifactsInput!$N$33+1,30,36,42,48,54,60),0))+(IF(AND(ArtifactsInput!$M$35,Inputs!$B$4&lt;&gt;"Chapter Hunt"),CHOOSE(ArtifactsInput!$N$35+1,15,18,21,24,27,30)*(1-EXP(-(0.2*B2658)*5)),0)+IF(AND(ArtifactsInput!$M$22,Inputs!$B$4&lt;&gt;"Chapter Hunt"),CHOOSE(ArtifactsInput!$N$22+1,10,12,14,16,18,20)*((0*(((0.15*B2658*5))^0/1)+1*(((0.15*B2658*5))^1/1)+2*(((0.15*B2658*5))^2/2)+3*(((0.15*B2658*5))^3/6)+4*(((0.15*B2658*5))^4/24)+5*(((0.15*B2658*5))^5/120))/((((0.15*B2658*5))^0/1)+(((0.15*B2658*5))^1/1)+(((0.15*B2658*5))^2/2)+(((0.15*B2658*5))^3/6)+(((0.15*B2658*5))^4/24)+(((0.15*B2658*5))^5/120))),0)))/100)*(MIN(Skills!W12,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633">
      <c r="A2633">
        <f>Skills!A13</f>
        <v/>
      </c>
      <c r="B2633">
        <f>Skills!B13</f>
        <v/>
      </c>
      <c r="C2633">
        <f>Inputs!$B$3&gt;=105</f>
        <v/>
      </c>
      <c r="D2633">
        <f>IF(Skills!C13=1,60+Inputs!$B$25+Inputs!$B$29,IF(Skills!C13=2,90+Inputs!$B$26+Inputs!$B$29,IF(Skills!C13=3,120+Inputs!$B$27+Inputs!$B$29,MAX(0,(Inputs!$B$3-100)*3)+Inputs!$B$28+Inputs!$B$29)))</f>
        <v/>
      </c>
      <c r="E2633">
        <f>INDEX(FactorTable!$B$2:$Y$301, MATCH(ROUND(MIN(300,MAX(1,D2633)),0), FactorTable!$A$2:$A$301,0), Skills!M13+1)</f>
        <v/>
      </c>
      <c r="F2633">
        <f>IF(Skills!N13=TRUE,(Skills!L13/10)*(E2633/1000),Skills!L13/10)+Skills!O13</f>
        <v/>
      </c>
      <c r="G2633">
        <f>Skills!G13*IF(Skills!H13&gt;0,IF(Inputs!$B$39="pvp",MIN(Skills!I13,15),Skills!I13)/Skills!H13,1)</f>
        <v/>
      </c>
      <c r="H2633">
        <f>1-(1-Skills!J13/100)^Skills!K13</f>
        <v/>
      </c>
      <c r="I2633" t="inlineStr">
        <is>
          <t>1</t>
        </is>
      </c>
      <c r="J2633">
        <f>((Inputs!$B$6*(1+Inputs!$B$7/100))+(((Inputs!$B$12*(1+Inputs!$B$13/100))-(Inputs!$B$12*(1+Inputs!$B$13/100)))+0.25*(Inputs!$B$14-Inputs!$B$14))*(1+Inputs!$B$7/100))*(F2633/100)</f>
        <v/>
      </c>
      <c r="K2633">
        <f>J2633*(1+((Inputs!$B$12*(1+Inputs!$B$13/100))*0.01+Inputs!$B$14*0.0025)/100)*(1+Inputs!$B$15/100)*(1+Inputs!$B$16/100)*(5000/(6000+Inputs!$B$43*(1-(100*(1-(1-Inputs!$B$19/100)*(1-CHOOSE(ArtifactsInput!$N$40+1,5,6,7,8,9,10)/100)^(ArtifactsInput!$M$40-ArtifactsInput!$M$40)))/100)))*(1+(Inputs!$B$24+((C2651=TRUE)*(F2651-Calc!F31))+((C2638=TRUE)*(F2638-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13="CRUEL_STAB",Inputs!$B$17+((C2648=TRUE)*(F2648-Calc!F28))+((IF(AND(Inputs!$B$39&lt;&gt;"pvp",Inputs!$B$44=0),1,IF(IF(Inputs!$B$39="pvp",15,Inputs!$B$44)-(B2665)&lt;=0,1,MAX(0,IF(Inputs!$B$39="pvp",15,Inputs!$B$44)-MAX(5,B2665))/(IF(Inputs!$B$39="pvp",15,Inputs!$B$44)-(B2665))))*(IF(AND(ArtifactsInput!$M$42,((Inputs!$B$9+((C2646=TRUE)*(F2646-Calc!F26))+B2654+(ArtifactsInput!$M$24-ArtifactsInput!$M$24)*CHOOSE(ArtifactsInput!$N$24+1,10,12,14,16,18,20)+IF(ArtifactsInput!$M$10,CHOOSE(ArtifactsInput!$N$10+1,15,18,21,24,27,30)*(IF(Inputs!$B$39="pvp",MIN(15,15)/15,IF(AND(Inputs!$B$39&lt;&gt;"pvp",Inputs!$B$44&gt;0),MIN(15,Inputs!$B$44)/(Inputs!$B$44),0))),0)))&gt;=100),MIN(100,((Inputs!$B$9+((C2646=TRUE)*(F2646-Calc!F26))+B2654+(ArtifactsInput!$M$24-ArtifactsInput!$M$24)*CHOOSE(ArtifactsInput!$N$24+1,10,12,14,16,18,20)+IF(ArtifactsInput!$M$10,CHOOSE(ArtifactsInput!$N$10+1,15,18,21,24,27,30)*(IF(Inputs!$B$39="pvp",MIN(15,15)/15,IF(AND(Inputs!$B$39&lt;&gt;"pvp",Inputs!$B$44&gt;0),MIN(15,Inputs!$B$44)/(Inputs!$B$44),0))),0)))-100),0))*CHOOSE(ArtifactsInput!$N$42+1,0.6,0.72,0.84,0.96,1.08,1.2))),Inputs!$B$18+((C2649=TRUE)*(F2649-Calc!F29))+(IF(AND(Inputs!$B$39&lt;&gt;"pvp",Inputs!$B$44=0),1,IF(IF(Inputs!$B$39="pvp",15,Inputs!$B$44)-(B2665)&lt;=0,1,MAX(0,IF(Inputs!$B$39="pvp",15,Inputs!$B$44)-MAX(5,B2665))/(IF(Inputs!$B$39="pvp",15,Inputs!$B$44)-(B2665))))*IF(AND(ArtifactsInput!$M$42,((Inputs!$B$9+((C2646=TRUE)*(F2646-Calc!F26))+B2654+(ArtifactsInput!$M$24-ArtifactsInput!$M$24)*CHOOSE(ArtifactsInput!$N$24+1,10,12,14,16,18,20)+IF(ArtifactsInput!$M$10,CHOOSE(ArtifactsInput!$N$10+1,15,18,21,24,27,30)*(IF(Inputs!$B$39="pvp",MIN(15,15)/15,IF(AND(Inputs!$B$39&lt;&gt;"pvp",Inputs!$B$44&gt;0),MIN(15,Inputs!$B$44)/(Inputs!$B$44),0))),0)))&gt;=100),CHOOSE(ArtifactsInput!$N$42+1,40,48,56,64,72,80),0))))/100)*(((1+(((C2642=TRUE)*F2642*IF(AND(Inputs!$B$39&lt;&gt;"pvp",Inputs!$B$44&gt;0),(((R2642-1)*MIN((Skills!Y22*(1+Inputs!$B$34/100)),(1/Q2642))+MIN((Skills!Y22*(1+Inputs!$B$34/100)),MAX(0,Inputs!$B$44-((R2642-1)*(1/Q2642)))))/Inputs!$B$44),IF(Inputs!$B$39="pvp",MIN((Skills!Y22*(1+Inputs!$B$34/100)),15)/15,MIN(1,(Skills!Y22*(1+Inputs!$B$34/100))/(1/Q2642)))))+((C2623=TRUE)*F2623*3)+((C2625=TRUE)*F2625*(1-EXP(-0.75*B2658*5)))+((C2644=TRUE)*(F2644-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2631=TRUE)*F2631*IF(AND(Inputs!$B$39&lt;&gt;"pvp",Inputs!$B$44&gt;0),(((R2631-1)*MIN((Skills!Y11*(1+Inputs!$B$34/100)),(1/Q2631))+MIN((Skills!Y11*(1+Inputs!$B$34/100)),MAX(0,Inputs!$B$44-((R2631-1)*(1/Q2631)))))/Inputs!$B$44),IF(Inputs!$B$39="pvp",MIN((Skills!Y11*(1+Inputs!$B$34/100)),15)/15,MIN(1,(Skills!Y11*(1+Inputs!$B$34/100))/(1/Q2631)))))/100)*(1+((C2636=TRUE)*F2636*IF(AND(Inputs!$B$39&lt;&gt;"pvp",Inputs!$B$44&gt;0),(((R2636-1)*MIN((Skills!Y16*(1+Inputs!$B$34/100)),(1/Q2636))+MIN((Skills!Y16*(1+Inputs!$B$34/100)),MAX(0,Inputs!$B$44-((R2636-1)*(1/Q2636)))))/Inputs!$B$44),IF(Inputs!$B$39="pvp",MIN((Skills!Y16*(1+Inputs!$B$34/100)),15)/15,MIN(1,(Skills!Y16*(1+Inputs!$B$34/100))/(1/Q2636)))))/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2656*I2633)</f>
        <v/>
      </c>
      <c r="L2633">
        <f>K2633*(MIN(Inputs!$B$22+((C2645=TRUE)*(F2645-Calc!F25)),(Inputs!$B$23+((C2650=TRUE)*(F2650-Calc!F30))+IF(ArtifactsInput!$M$15,CHOOSE(ArtifactsInput!$N$15+1,25,30,35,40,45,50)/100*(Inputs!$B$11-Inputs!$B$11),0)))/100+(Inputs!$B$23+((C2650=TRUE)*(F2650-Calc!F30))+IF(ArtifactsInput!$M$15,CHOOSE(ArtifactsInput!$N$15+1,25,30,35,40,45,50)/100*(Inputs!$B$11-Inputs!$B$11),0))/100)/2</f>
        <v/>
      </c>
      <c r="M2633">
        <f>L2633*(1+(Inputs!$B$10+((C2647=TRUE)*(F2647-Calc!F27))+B2661+(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2633">
        <f>L2633*(1-MIN((Inputs!$B$9+((C2646=TRUE)*(F2646-Calc!F26))+B2654+(ArtifactsInput!$M$24-ArtifactsInput!$M$24)*CHOOSE(ArtifactsInput!$N$24+1,10,12,14,16,18,20)+(IF(AND(Inputs!$B$39&lt;&gt;"pvp",Inputs!$B$44=0),1,IF(IF(Inputs!$B$39="pvp",15,Inputs!$B$44)-(B2665)&lt;=0,1,MAX(0,IF(Inputs!$B$39="pvp",15,Inputs!$B$44)-MAX(5,B2665))/(IF(Inputs!$B$39="pvp",15,Inputs!$B$44)-(B2665))))*IF(AND(ArtifactsInput!$M$42,((Inputs!$B$9+((C2646=TRUE)*(F2646-Calc!F26))+B2654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2633*(MIN((Inputs!$B$9+((C2646=TRUE)*(F2646-Calc!F26))+B2654+(ArtifactsInput!$M$24-ArtifactsInput!$M$24)*CHOOSE(ArtifactsInput!$N$24+1,10,12,14,16,18,20)+(IF(AND(Inputs!$B$39&lt;&gt;"pvp",Inputs!$B$44=0),1,IF(IF(Inputs!$B$39="pvp",15,Inputs!$B$44)-(B2665)&lt;=0,1,MAX(0,IF(Inputs!$B$39="pvp",15,Inputs!$B$44)-MAX(5,B2665))/(IF(Inputs!$B$39="pvp",15,Inputs!$B$44)-(B2665))))*IF(AND(ArtifactsInput!$M$42,((Inputs!$B$9+((C2646=TRUE)*(F2646-Calc!F26))+B2654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633">
        <f>(1-Summary!$B$11)*T2633+Summary!$B$11*V2633</f>
        <v/>
      </c>
      <c r="P2633">
        <f>IF(B2666=0,0,O2633/B2666)</f>
        <v/>
      </c>
      <c r="Q2633">
        <f>IFERROR(1/IF(Inputs!$B$39="pvp",15,MAX(0.1,Skills!D13-IF(TRUE=TRUE,Inputs!$B$32,0))),0)</f>
        <v/>
      </c>
      <c r="R2633">
        <f>IF(AND(Inputs!$B$39&lt;&gt;"pvp",Inputs!$B$44&gt;0),IF(MAX(0,Inputs!$B$44-B2665)&lt;=0,0,(INT(MAX(0,Inputs!$B$44-B2665)/IF(Inputs!$B$39="pvp",15,MAX(0.1,Skills!D13-IF(TRUE=TRUE,Inputs!$B$32,0))))+1)),0)</f>
        <v/>
      </c>
      <c r="S2633">
        <f>IFERROR(O2633/N2633,0)</f>
        <v/>
      </c>
      <c r="T2633">
        <f>IF(C2633,(H2633*N2633*IF(AND(Inputs!$B$39&lt;&gt;"pvp",Inputs!$B$44&gt;0),((Skills!G13*((R2633-1)*IF(Skills!H13&gt;0,Skills!I13/Skills!H13,1)+IF(Skills!H13&gt;0,MIN(Skills!I13,MAX(0,MAX(0,Inputs!$B$44-B2665)-((R2633-1)*IF(Inputs!$B$39="pvp",15,MAX(0.1,Skills!D13-IF(TRUE=TRUE,Inputs!$B$32,0))))))/Skills!H13,1)))/Inputs!$B$44),G2633*Q2633))*IF(Inputs!$B$39="pvp",1,1+(Inputs!$B$20+0+Skills!P13+B2655+(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Hunt"),CHOOSE(ArtifactsInput!$N$35+1,15,18,21,24,27,30)*(1-EXP(-(0.2*B2658)*5)),0)+IF(AND(ArtifactsInput!$M$22,Inputs!$B$4&lt;&gt;"Chapter Hunt"),CHOOSE(ArtifactsInput!$N$22+1,10,12,14,16,18,20)*((0*(((0.15*B2658*5))^0/1)+1*(((0.15*B2658*5))^1/1)+2*(((0.15*B2658*5))^2/2)+3*(((0.15*B2658*5))^3/6)+4*(((0.15*B2658*5))^4/24)+5*(((0.15*B2658*5))^5/120))/((((0.15*B2658*5))^0/1)+(((0.15*B2658*5))^1/1)+(((0.15*B2658*5))^2/2)+(((0.15*B2658*5))^3/6)+(((0.15*B2658*5))^4/24)+(((0.15*B2658*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2633*(1-MIN(100,(Inputs!$B$9+((C2646=TRUE)*(F2646-Calc!F26))+B2654+(ArtifactsInput!$M$24-ArtifactsInput!$M$24)*CHOOSE(ArtifactsInput!$N$24+1,10,12,14,16,18,20)+(IF(AND(Inputs!$B$39&lt;&gt;"pvp",Inputs!$B$44=0),1,IF(IF(Inputs!$B$39="pvp",15,Inputs!$B$44)-(B2665)&lt;=0,1,MAX(0,IF(Inputs!$B$39="pvp",15,Inputs!$B$44)-MAX(5,B2665))/(IF(Inputs!$B$39="pvp",15,Inputs!$B$44)-(B2665))))*IF(AND(ArtifactsInput!$M$42,((Inputs!$B$9+((C2646=TRUE)*(F2646-Calc!F26))+B2654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2633*(MIN(100,(Inputs!$B$9+((C2646=TRUE)*(F2646-Calc!F26))+B2654+(ArtifactsInput!$M$24-ArtifactsInput!$M$24)*CHOOSE(ArtifactsInput!$N$24+1,10,12,14,16,18,20)+(IF(AND(Inputs!$B$39&lt;&gt;"pvp",Inputs!$B$44=0),1,IF(IF(Inputs!$B$39="pvp",15,Inputs!$B$44)-(B2665)&lt;=0,1,MAX(0,IF(Inputs!$B$39="pvp",15,Inputs!$B$44)-MAX(5,B2665))/(IF(Inputs!$B$39="pvp",15,Inputs!$B$44)-(B2665))))*IF(AND(ArtifactsInput!$M$42,((Inputs!$B$9+((C2646=TRUE)*(F2646-Calc!F26))+B2654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2633*(1-MIN(100,(Inputs!$B$9+((C2646=TRUE)*(F2646-Calc!F26))+B2654+(ArtifactsInput!$M$24-ArtifactsInput!$M$24)*CHOOSE(ArtifactsInput!$N$24+1,10,12,14,16,18,20)+(IF(AND(Inputs!$B$39&lt;&gt;"pvp",Inputs!$B$44=0),1,IF(IF(Inputs!$B$39="pvp",15,Inputs!$B$44)-(B2665)&lt;=0,1,MAX(0,IF(Inputs!$B$39="pvp",15,Inputs!$B$44)-MAX(5,B2665))/(IF(Inputs!$B$39="pvp",15,Inputs!$B$44)-(B2665))))*IF(AND(ArtifactsInput!$M$42,((Inputs!$B$9+((C2646=TRUE)*(F2646-Calc!F26))+B2654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2633*(MIN(100,(Inputs!$B$9+((C2646=TRUE)*(F2646-Calc!F26))+B2654+(ArtifactsInput!$M$24-ArtifactsInput!$M$24)*CHOOSE(ArtifactsInput!$N$24+1,10,12,14,16,18,20)+(IF(AND(Inputs!$B$39&lt;&gt;"pvp",Inputs!$B$44=0),1,IF(IF(Inputs!$B$39="pvp",15,Inputs!$B$44)-(B2665)&lt;=0,1,MAX(0,IF(Inputs!$B$39="pvp",15,Inputs!$B$44)-MAX(5,B2665))/(IF(Inputs!$B$39="pvp",15,Inputs!$B$44)-(B2665))))*IF(AND(ArtifactsInput!$M$42,((Inputs!$B$9+((C2646=TRUE)*(F2646-Calc!F26))+B2654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633">
        <f>IF(C2633,(H2633*N2633*IF(AND(Inputs!$B$39&lt;&gt;"pvp",Inputs!$B$44&gt;0),((Skills!G13*((R2633-1)*IF(Skills!H13&gt;0,Skills!I13/Skills!H13,1)+IF(Skills!H13&gt;0,MIN(Skills!I13,MAX(0,MAX(0,Inputs!$B$44-B2665)-((R2633-1)*IF(Inputs!$B$39="pvp",15,MAX(0.1,Skills!D13-IF(TRUE=TRUE,Inputs!$B$32,0))))))/Skills!H13,1)))/Inputs!$B$44),G2633*Q2633))*IF(Inputs!$B$39="pvp",1,(1+(Inputs!$B$21+Skills!Q13+B2655+(IF(ArtifactsInput!$M$33,CHOOSE(ArtifactsInput!$N$33+1,30,36,42,48,54,60),0))+(IF(AND(ArtifactsInput!$M$35,Inputs!$B$4&lt;&gt;"Chapter Hunt"),CHOOSE(ArtifactsInput!$N$35+1,15,18,21,24,27,30)*(1-EXP(-(0.2*B2658)*5)),0)+IF(AND(ArtifactsInput!$M$22,Inputs!$B$4&lt;&gt;"Chapter Hunt"),CHOOSE(ArtifactsInput!$N$22+1,10,12,14,16,18,20)*((0*(((0.15*B2658*5))^0/1)+1*(((0.15*B2658*5))^1/1)+2*(((0.15*B2658*5))^2/2)+3*(((0.15*B2658*5))^3/6)+4*(((0.15*B2658*5))^4/24)+5*(((0.15*B2658*5))^5/120))/((((0.15*B2658*5))^0/1)+(((0.15*B2658*5))^1/1)+(((0.15*B2658*5))^2/2)+(((0.15*B2658*5))^3/6)+(((0.15*B2658*5))^4/24)+(((0.15*B2658*5))^5/120))),0)))/100)*(MIN(Skills!W13,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634">
      <c r="A2634">
        <f>Skills!A14</f>
        <v/>
      </c>
      <c r="B2634">
        <f>Skills!B14</f>
        <v/>
      </c>
      <c r="C2634">
        <f>Inputs!$B$3&gt;=105</f>
        <v/>
      </c>
      <c r="D2634">
        <f>IF(Skills!C14=1,60+Inputs!$B$25+Inputs!$B$29,IF(Skills!C14=2,90+Inputs!$B$26+Inputs!$B$29,IF(Skills!C14=3,120+Inputs!$B$27+Inputs!$B$29,MAX(0,(Inputs!$B$3-100)*3)+Inputs!$B$28+Inputs!$B$29)))</f>
        <v/>
      </c>
      <c r="E2634">
        <f>INDEX(FactorTable!$B$2:$Y$301, MATCH(ROUND(MIN(300,MAX(1,D2634)),0), FactorTable!$A$2:$A$301,0), Skills!M14+1)</f>
        <v/>
      </c>
      <c r="F2634">
        <f>IF(Skills!N14=TRUE,(Skills!L14/10)*(E2634/1000),Skills!L14/10)+Skills!O14</f>
        <v/>
      </c>
      <c r="G2634">
        <f>Skills!G14*IF(Skills!H14&gt;0,IF(Inputs!$B$39="pvp",MIN(Skills!I14,15),Skills!I14)/Skills!H14,1)</f>
        <v/>
      </c>
      <c r="H2634">
        <f>1-(1-Skills!J14/100)^Skills!K14</f>
        <v/>
      </c>
      <c r="I2634" t="inlineStr">
        <is>
          <t>1</t>
        </is>
      </c>
      <c r="J2634">
        <f>((Inputs!$B$6*(1+Inputs!$B$7/100))+(((Inputs!$B$12*(1+Inputs!$B$13/100))-(Inputs!$B$12*(1+Inputs!$B$13/100)))+0.25*(Inputs!$B$14-Inputs!$B$14))*(1+Inputs!$B$7/100))*(F2634/100)</f>
        <v/>
      </c>
      <c r="K2634">
        <f>J2634*(1+((Inputs!$B$12*(1+Inputs!$B$13/100))*0.01+Inputs!$B$14*0.0025)/100)*(1+Inputs!$B$15/100)*(1+Inputs!$B$16/100)*(5000/(6000+Inputs!$B$43*(1-(100*(1-(1-Inputs!$B$19/100)*(1-CHOOSE(ArtifactsInput!$N$40+1,5,6,7,8,9,10)/100)^(ArtifactsInput!$M$40-ArtifactsInput!$M$40)))/100)))*(1+(Inputs!$B$24+((C2651=TRUE)*(F2651-Calc!F31))+((C2638=TRUE)*(F2638-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14="CRUEL_STAB",Inputs!$B$17+((C2648=TRUE)*(F2648-Calc!F28))+((IF(AND(Inputs!$B$39&lt;&gt;"pvp",Inputs!$B$44=0),1,IF(IF(Inputs!$B$39="pvp",15,Inputs!$B$44)-(B2665)&lt;=0,1,MAX(0,IF(Inputs!$B$39="pvp",15,Inputs!$B$44)-MAX(5,B2665))/(IF(Inputs!$B$39="pvp",15,Inputs!$B$44)-(B2665))))*(IF(AND(ArtifactsInput!$M$42,((Inputs!$B$9+((C2646=TRUE)*(F2646-Calc!F26))+B2654+(ArtifactsInput!$M$24-ArtifactsInput!$M$24)*CHOOSE(ArtifactsInput!$N$24+1,10,12,14,16,18,20)+IF(ArtifactsInput!$M$10,CHOOSE(ArtifactsInput!$N$10+1,15,18,21,24,27,30)*(IF(Inputs!$B$39="pvp",MIN(15,15)/15,IF(AND(Inputs!$B$39&lt;&gt;"pvp",Inputs!$B$44&gt;0),MIN(15,Inputs!$B$44)/(Inputs!$B$44),0))),0)))&gt;=100),MIN(100,((Inputs!$B$9+((C2646=TRUE)*(F2646-Calc!F26))+B2654+(ArtifactsInput!$M$24-ArtifactsInput!$M$24)*CHOOSE(ArtifactsInput!$N$24+1,10,12,14,16,18,20)+IF(ArtifactsInput!$M$10,CHOOSE(ArtifactsInput!$N$10+1,15,18,21,24,27,30)*(IF(Inputs!$B$39="pvp",MIN(15,15)/15,IF(AND(Inputs!$B$39&lt;&gt;"pvp",Inputs!$B$44&gt;0),MIN(15,Inputs!$B$44)/(Inputs!$B$44),0))),0)))-100),0))*CHOOSE(ArtifactsInput!$N$42+1,0.6,0.72,0.84,0.96,1.08,1.2))),Inputs!$B$18+((C2649=TRUE)*(F2649-Calc!F29))+(IF(AND(Inputs!$B$39&lt;&gt;"pvp",Inputs!$B$44=0),1,IF(IF(Inputs!$B$39="pvp",15,Inputs!$B$44)-(B2665)&lt;=0,1,MAX(0,IF(Inputs!$B$39="pvp",15,Inputs!$B$44)-MAX(5,B2665))/(IF(Inputs!$B$39="pvp",15,Inputs!$B$44)-(B2665))))*IF(AND(ArtifactsInput!$M$42,((Inputs!$B$9+((C2646=TRUE)*(F2646-Calc!F26))+B2654+(ArtifactsInput!$M$24-ArtifactsInput!$M$24)*CHOOSE(ArtifactsInput!$N$24+1,10,12,14,16,18,20)+IF(ArtifactsInput!$M$10,CHOOSE(ArtifactsInput!$N$10+1,15,18,21,24,27,30)*(IF(Inputs!$B$39="pvp",MIN(15,15)/15,IF(AND(Inputs!$B$39&lt;&gt;"pvp",Inputs!$B$44&gt;0),MIN(15,Inputs!$B$44)/(Inputs!$B$44),0))),0)))&gt;=100),CHOOSE(ArtifactsInput!$N$42+1,40,48,56,64,72,80),0))))/100)*(((1+(((C2642=TRUE)*F2642*IF(AND(Inputs!$B$39&lt;&gt;"pvp",Inputs!$B$44&gt;0),(((R2642-1)*MIN((Skills!Y22*(1+Inputs!$B$34/100)),(1/Q2642))+MIN((Skills!Y22*(1+Inputs!$B$34/100)),MAX(0,Inputs!$B$44-((R2642-1)*(1/Q2642)))))/Inputs!$B$44),IF(Inputs!$B$39="pvp",MIN((Skills!Y22*(1+Inputs!$B$34/100)),15)/15,MIN(1,(Skills!Y22*(1+Inputs!$B$34/100))/(1/Q2642)))))+((C2623=TRUE)*F2623*3)+((C2625=TRUE)*F2625*(1-EXP(-0.75*B2658*5)))+((C2644=TRUE)*(F2644-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2631=TRUE)*F2631*IF(AND(Inputs!$B$39&lt;&gt;"pvp",Inputs!$B$44&gt;0),(((R2631-1)*MIN((Skills!Y11*(1+Inputs!$B$34/100)),(1/Q2631))+MIN((Skills!Y11*(1+Inputs!$B$34/100)),MAX(0,Inputs!$B$44-((R2631-1)*(1/Q2631)))))/Inputs!$B$44),IF(Inputs!$B$39="pvp",MIN((Skills!Y11*(1+Inputs!$B$34/100)),15)/15,MIN(1,(Skills!Y11*(1+Inputs!$B$34/100))/(1/Q2631)))))/100)*(1+((C2636=TRUE)*F2636*IF(AND(Inputs!$B$39&lt;&gt;"pvp",Inputs!$B$44&gt;0),(((R2636-1)*MIN((Skills!Y16*(1+Inputs!$B$34/100)),(1/Q2636))+MIN((Skills!Y16*(1+Inputs!$B$34/100)),MAX(0,Inputs!$B$44-((R2636-1)*(1/Q2636)))))/Inputs!$B$44),IF(Inputs!$B$39="pvp",MIN((Skills!Y16*(1+Inputs!$B$34/100)),15)/15,MIN(1,(Skills!Y16*(1+Inputs!$B$34/100))/(1/Q2636)))))/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2656*I2634)</f>
        <v/>
      </c>
      <c r="L2634">
        <f>K2634*(MIN(Inputs!$B$22+((C2645=TRUE)*(F2645-Calc!F25)),(Inputs!$B$23+((C2650=TRUE)*(F2650-Calc!F30))+IF(ArtifactsInput!$M$15,CHOOSE(ArtifactsInput!$N$15+1,25,30,35,40,45,50)/100*(Inputs!$B$11-Inputs!$B$11),0)))/100+(Inputs!$B$23+((C2650=TRUE)*(F2650-Calc!F30))+IF(ArtifactsInput!$M$15,CHOOSE(ArtifactsInput!$N$15+1,25,30,35,40,45,50)/100*(Inputs!$B$11-Inputs!$B$11),0))/100)/2</f>
        <v/>
      </c>
      <c r="M2634">
        <f>L2634*(1+(Inputs!$B$10+((C2647=TRUE)*(F2647-Calc!F27))+B2661+(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2634">
        <f>L2634*(1-MIN((Inputs!$B$9+((C2646=TRUE)*(F2646-Calc!F26))+B2654+(ArtifactsInput!$M$24-ArtifactsInput!$M$24)*CHOOSE(ArtifactsInput!$N$24+1,10,12,14,16,18,20)+(IF(AND(Inputs!$B$39&lt;&gt;"pvp",Inputs!$B$44=0),1,IF(IF(Inputs!$B$39="pvp",15,Inputs!$B$44)-(B2665)&lt;=0,1,MAX(0,IF(Inputs!$B$39="pvp",15,Inputs!$B$44)-MAX(5,B2665))/(IF(Inputs!$B$39="pvp",15,Inputs!$B$44)-(B2665))))*IF(AND(ArtifactsInput!$M$42,((Inputs!$B$9+((C2646=TRUE)*(F2646-Calc!F26))+B2654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2634*(MIN((Inputs!$B$9+((C2646=TRUE)*(F2646-Calc!F26))+B2654+(ArtifactsInput!$M$24-ArtifactsInput!$M$24)*CHOOSE(ArtifactsInput!$N$24+1,10,12,14,16,18,20)+(IF(AND(Inputs!$B$39&lt;&gt;"pvp",Inputs!$B$44=0),1,IF(IF(Inputs!$B$39="pvp",15,Inputs!$B$44)-(B2665)&lt;=0,1,MAX(0,IF(Inputs!$B$39="pvp",15,Inputs!$B$44)-MAX(5,B2665))/(IF(Inputs!$B$39="pvp",15,Inputs!$B$44)-(B2665))))*IF(AND(ArtifactsInput!$M$42,((Inputs!$B$9+((C2646=TRUE)*(F2646-Calc!F26))+B2654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634">
        <f>(1-Summary!$B$11)*T2634+Summary!$B$11*V2634</f>
        <v/>
      </c>
      <c r="P2634">
        <f>IF(B2666=0,0,O2634/B2666)</f>
        <v/>
      </c>
      <c r="Q2634">
        <f>IFERROR(1/IF(Inputs!$B$39="pvp",15,MAX(0.1,Skills!D14-IF(TRUE=TRUE,Inputs!$B$32,0))),0)</f>
        <v/>
      </c>
      <c r="R2634">
        <f>IF(AND(Inputs!$B$39&lt;&gt;"pvp",Inputs!$B$44&gt;0),IF(MAX(0,Inputs!$B$44-B2665)&lt;=0,0,(INT(MAX(0,Inputs!$B$44-B2665)/IF(Inputs!$B$39="pvp",15,MAX(0.1,Skills!D14-IF(TRUE=TRUE,Inputs!$B$32,0))))+1)),0)</f>
        <v/>
      </c>
      <c r="S2634">
        <f>IFERROR(O2634/N2634,0)</f>
        <v/>
      </c>
      <c r="T2634">
        <f>IF(C2634,(H2634*N2634*IF(AND(Inputs!$B$39&lt;&gt;"pvp",Inputs!$B$44&gt;0),((Skills!G14*((R2634-1)*IF(Skills!H14&gt;0,Skills!I14/Skills!H14,1)+IF(Skills!H14&gt;0,MIN(Skills!I14,MAX(0,MAX(0,Inputs!$B$44-B2665)-((R2634-1)*IF(Inputs!$B$39="pvp",15,MAX(0.1,Skills!D14-IF(TRUE=TRUE,Inputs!$B$32,0))))))/Skills!H14,1)))/Inputs!$B$44),G2634*Q2634))*IF(Inputs!$B$39="pvp",1,1+(Inputs!$B$20+0+Skills!P14+B2655+(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Hunt"),CHOOSE(ArtifactsInput!$N$35+1,15,18,21,24,27,30)*(1-EXP(-(0.2*B2658)*5)),0)+IF(AND(ArtifactsInput!$M$22,Inputs!$B$4&lt;&gt;"Chapter Hunt"),CHOOSE(ArtifactsInput!$N$22+1,10,12,14,16,18,20)*((0*(((0.15*B2658*5))^0/1)+1*(((0.15*B2658*5))^1/1)+2*(((0.15*B2658*5))^2/2)+3*(((0.15*B2658*5))^3/6)+4*(((0.15*B2658*5))^4/24)+5*(((0.15*B2658*5))^5/120))/((((0.15*B2658*5))^0/1)+(((0.15*B2658*5))^1/1)+(((0.15*B2658*5))^2/2)+(((0.15*B2658*5))^3/6)+(((0.15*B2658*5))^4/24)+(((0.15*B2658*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2634*(1-MIN(100,(Inputs!$B$9+((C2646=TRUE)*(F2646-Calc!F26))+B2654+(ArtifactsInput!$M$24-ArtifactsInput!$M$24)*CHOOSE(ArtifactsInput!$N$24+1,10,12,14,16,18,20)+(IF(AND(Inputs!$B$39&lt;&gt;"pvp",Inputs!$B$44=0),1,IF(IF(Inputs!$B$39="pvp",15,Inputs!$B$44)-(B2665)&lt;=0,1,MAX(0,IF(Inputs!$B$39="pvp",15,Inputs!$B$44)-MAX(5,B2665))/(IF(Inputs!$B$39="pvp",15,Inputs!$B$44)-(B2665))))*IF(AND(ArtifactsInput!$M$42,((Inputs!$B$9+((C2646=TRUE)*(F2646-Calc!F26))+B2654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2634*(MIN(100,(Inputs!$B$9+((C2646=TRUE)*(F2646-Calc!F26))+B2654+(ArtifactsInput!$M$24-ArtifactsInput!$M$24)*CHOOSE(ArtifactsInput!$N$24+1,10,12,14,16,18,20)+(IF(AND(Inputs!$B$39&lt;&gt;"pvp",Inputs!$B$44=0),1,IF(IF(Inputs!$B$39="pvp",15,Inputs!$B$44)-(B2665)&lt;=0,1,MAX(0,IF(Inputs!$B$39="pvp",15,Inputs!$B$44)-MAX(5,B2665))/(IF(Inputs!$B$39="pvp",15,Inputs!$B$44)-(B2665))))*IF(AND(ArtifactsInput!$M$42,((Inputs!$B$9+((C2646=TRUE)*(F2646-Calc!F26))+B2654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2634*(1-MIN(100,(Inputs!$B$9+((C2646=TRUE)*(F2646-Calc!F26))+B2654+(ArtifactsInput!$M$24-ArtifactsInput!$M$24)*CHOOSE(ArtifactsInput!$N$24+1,10,12,14,16,18,20)+(IF(AND(Inputs!$B$39&lt;&gt;"pvp",Inputs!$B$44=0),1,IF(IF(Inputs!$B$39="pvp",15,Inputs!$B$44)-(B2665)&lt;=0,1,MAX(0,IF(Inputs!$B$39="pvp",15,Inputs!$B$44)-MAX(5,B2665))/(IF(Inputs!$B$39="pvp",15,Inputs!$B$44)-(B2665))))*IF(AND(ArtifactsInput!$M$42,((Inputs!$B$9+((C2646=TRUE)*(F2646-Calc!F26))+B2654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2634*(MIN(100,(Inputs!$B$9+((C2646=TRUE)*(F2646-Calc!F26))+B2654+(ArtifactsInput!$M$24-ArtifactsInput!$M$24)*CHOOSE(ArtifactsInput!$N$24+1,10,12,14,16,18,20)+(IF(AND(Inputs!$B$39&lt;&gt;"pvp",Inputs!$B$44=0),1,IF(IF(Inputs!$B$39="pvp",15,Inputs!$B$44)-(B2665)&lt;=0,1,MAX(0,IF(Inputs!$B$39="pvp",15,Inputs!$B$44)-MAX(5,B2665))/(IF(Inputs!$B$39="pvp",15,Inputs!$B$44)-(B2665))))*IF(AND(ArtifactsInput!$M$42,((Inputs!$B$9+((C2646=TRUE)*(F2646-Calc!F26))+B2654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634">
        <f>IF(C2634,(H2634*N2634*IF(AND(Inputs!$B$39&lt;&gt;"pvp",Inputs!$B$44&gt;0),((Skills!G14*((R2634-1)*IF(Skills!H14&gt;0,Skills!I14/Skills!H14,1)+IF(Skills!H14&gt;0,MIN(Skills!I14,MAX(0,MAX(0,Inputs!$B$44-B2665)-((R2634-1)*IF(Inputs!$B$39="pvp",15,MAX(0.1,Skills!D14-IF(TRUE=TRUE,Inputs!$B$32,0))))))/Skills!H14,1)))/Inputs!$B$44),G2634*Q2634))*IF(Inputs!$B$39="pvp",1,(1+(Inputs!$B$21+Skills!Q14+B2655+(IF(ArtifactsInput!$M$33,CHOOSE(ArtifactsInput!$N$33+1,30,36,42,48,54,60),0))+(IF(AND(ArtifactsInput!$M$35,Inputs!$B$4&lt;&gt;"Chapter Hunt"),CHOOSE(ArtifactsInput!$N$35+1,15,18,21,24,27,30)*(1-EXP(-(0.2*B2658)*5)),0)+IF(AND(ArtifactsInput!$M$22,Inputs!$B$4&lt;&gt;"Chapter Hunt"),CHOOSE(ArtifactsInput!$N$22+1,10,12,14,16,18,20)*((0*(((0.15*B2658*5))^0/1)+1*(((0.15*B2658*5))^1/1)+2*(((0.15*B2658*5))^2/2)+3*(((0.15*B2658*5))^3/6)+4*(((0.15*B2658*5))^4/24)+5*(((0.15*B2658*5))^5/120))/((((0.15*B2658*5))^0/1)+(((0.15*B2658*5))^1/1)+(((0.15*B2658*5))^2/2)+(((0.15*B2658*5))^3/6)+(((0.15*B2658*5))^4/24)+(((0.15*B2658*5))^5/120))),0)))/100)*(MIN(Skills!W14,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635">
      <c r="A2635">
        <f>Skills!A15</f>
        <v/>
      </c>
      <c r="B2635">
        <f>Skills!B15</f>
        <v/>
      </c>
      <c r="C2635">
        <f>Inputs!$B$3&gt;=107</f>
        <v/>
      </c>
      <c r="D2635">
        <f>IF(Skills!C15=1,60+Inputs!$B$25+Inputs!$B$29,IF(Skills!C15=2,90+Inputs!$B$26+Inputs!$B$29,IF(Skills!C15=3,120+Inputs!$B$27+Inputs!$B$29,MAX(0,(Inputs!$B$3-100)*3)+Inputs!$B$28+Inputs!$B$29)))</f>
        <v/>
      </c>
      <c r="E2635">
        <f>INDEX(FactorTable!$B$2:$Y$301, MATCH(ROUND(MIN(300,MAX(1,D2635)),0), FactorTable!$A$2:$A$301,0), Skills!M15+1)</f>
        <v/>
      </c>
      <c r="F2635">
        <f>IF(Skills!N15=TRUE,(Skills!L15/10)*(E2635/1000),Skills!L15/10)+Skills!O15</f>
        <v/>
      </c>
      <c r="G2635">
        <f>Skills!G15*IF(Skills!H15&gt;0,IF(Inputs!$B$39="pvp",MIN(Skills!I15,15),Skills!I15)/Skills!H15,1)</f>
        <v/>
      </c>
      <c r="H2635">
        <f>1-(1-Skills!J15/100)^Skills!K15</f>
        <v/>
      </c>
      <c r="I2635" t="inlineStr">
        <is>
          <t>1</t>
        </is>
      </c>
      <c r="J2635">
        <f>((Inputs!$B$6*(1+Inputs!$B$7/100))+(((Inputs!$B$12*(1+Inputs!$B$13/100))-(Inputs!$B$12*(1+Inputs!$B$13/100)))+0.25*(Inputs!$B$14-Inputs!$B$14))*(1+Inputs!$B$7/100))*(F2635/100)</f>
        <v/>
      </c>
      <c r="K2635">
        <f>J2635*(1+((Inputs!$B$12*(1+Inputs!$B$13/100))*0.01+Inputs!$B$14*0.0025)/100)*(1+Inputs!$B$15/100)*(1+Inputs!$B$16/100)*(5000/(6000+Inputs!$B$43*(1-(100*(1-(1-Inputs!$B$19/100)*(1-CHOOSE(ArtifactsInput!$N$40+1,5,6,7,8,9,10)/100)^(ArtifactsInput!$M$40-ArtifactsInput!$M$40)))/100)))*(1+(Inputs!$B$24+((C2651=TRUE)*(F2651-Calc!F31))+((C2638=TRUE)*(F2638-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15="CRUEL_STAB",Inputs!$B$17+((C2648=TRUE)*(F2648-Calc!F28))+((IF(AND(Inputs!$B$39&lt;&gt;"pvp",Inputs!$B$44=0),1,IF(IF(Inputs!$B$39="pvp",15,Inputs!$B$44)-(B2665)&lt;=0,1,MAX(0,IF(Inputs!$B$39="pvp",15,Inputs!$B$44)-MAX(5,B2665))/(IF(Inputs!$B$39="pvp",15,Inputs!$B$44)-(B2665))))*(IF(AND(ArtifactsInput!$M$42,((Inputs!$B$9+((C2646=TRUE)*(F2646-Calc!F26))+B2654+(ArtifactsInput!$M$24-ArtifactsInput!$M$24)*CHOOSE(ArtifactsInput!$N$24+1,10,12,14,16,18,20)+IF(ArtifactsInput!$M$10,CHOOSE(ArtifactsInput!$N$10+1,15,18,21,24,27,30)*(IF(Inputs!$B$39="pvp",MIN(15,15)/15,IF(AND(Inputs!$B$39&lt;&gt;"pvp",Inputs!$B$44&gt;0),MIN(15,Inputs!$B$44)/(Inputs!$B$44),0))),0)))&gt;=100),MIN(100,((Inputs!$B$9+((C2646=TRUE)*(F2646-Calc!F26))+B2654+(ArtifactsInput!$M$24-ArtifactsInput!$M$24)*CHOOSE(ArtifactsInput!$N$24+1,10,12,14,16,18,20)+IF(ArtifactsInput!$M$10,CHOOSE(ArtifactsInput!$N$10+1,15,18,21,24,27,30)*(IF(Inputs!$B$39="pvp",MIN(15,15)/15,IF(AND(Inputs!$B$39&lt;&gt;"pvp",Inputs!$B$44&gt;0),MIN(15,Inputs!$B$44)/(Inputs!$B$44),0))),0)))-100),0))*CHOOSE(ArtifactsInput!$N$42+1,0.6,0.72,0.84,0.96,1.08,1.2))),Inputs!$B$18+((C2649=TRUE)*(F2649-Calc!F29))+(IF(AND(Inputs!$B$39&lt;&gt;"pvp",Inputs!$B$44=0),1,IF(IF(Inputs!$B$39="pvp",15,Inputs!$B$44)-(B2665)&lt;=0,1,MAX(0,IF(Inputs!$B$39="pvp",15,Inputs!$B$44)-MAX(5,B2665))/(IF(Inputs!$B$39="pvp",15,Inputs!$B$44)-(B2665))))*IF(AND(ArtifactsInput!$M$42,((Inputs!$B$9+((C2646=TRUE)*(F2646-Calc!F26))+B2654+(ArtifactsInput!$M$24-ArtifactsInput!$M$24)*CHOOSE(ArtifactsInput!$N$24+1,10,12,14,16,18,20)+IF(ArtifactsInput!$M$10,CHOOSE(ArtifactsInput!$N$10+1,15,18,21,24,27,30)*(IF(Inputs!$B$39="pvp",MIN(15,15)/15,IF(AND(Inputs!$B$39&lt;&gt;"pvp",Inputs!$B$44&gt;0),MIN(15,Inputs!$B$44)/(Inputs!$B$44),0))),0)))&gt;=100),CHOOSE(ArtifactsInput!$N$42+1,40,48,56,64,72,80),0))))/100)*(((1+(((C2642=TRUE)*F2642*IF(AND(Inputs!$B$39&lt;&gt;"pvp",Inputs!$B$44&gt;0),(((R2642-1)*MIN((Skills!Y22*(1+Inputs!$B$34/100)),(1/Q2642))+MIN((Skills!Y22*(1+Inputs!$B$34/100)),MAX(0,Inputs!$B$44-((R2642-1)*(1/Q2642)))))/Inputs!$B$44),IF(Inputs!$B$39="pvp",MIN((Skills!Y22*(1+Inputs!$B$34/100)),15)/15,MIN(1,(Skills!Y22*(1+Inputs!$B$34/100))/(1/Q2642)))))+((C2623=TRUE)*F2623*3)+((C2625=TRUE)*F2625*(1-EXP(-0.75*B2658*5)))+((C2644=TRUE)*(F2644-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2631=TRUE)*F2631*IF(AND(Inputs!$B$39&lt;&gt;"pvp",Inputs!$B$44&gt;0),(((R2631-1)*MIN((Skills!Y11*(1+Inputs!$B$34/100)),(1/Q2631))+MIN((Skills!Y11*(1+Inputs!$B$34/100)),MAX(0,Inputs!$B$44-((R2631-1)*(1/Q2631)))))/Inputs!$B$44),IF(Inputs!$B$39="pvp",MIN((Skills!Y11*(1+Inputs!$B$34/100)),15)/15,MIN(1,(Skills!Y11*(1+Inputs!$B$34/100))/(1/Q2631)))))/100)*(1+((C2636=TRUE)*F2636*IF(AND(Inputs!$B$39&lt;&gt;"pvp",Inputs!$B$44&gt;0),(((R2636-1)*MIN((Skills!Y16*(1+Inputs!$B$34/100)),(1/Q2636))+MIN((Skills!Y16*(1+Inputs!$B$34/100)),MAX(0,Inputs!$B$44-((R2636-1)*(1/Q2636)))))/Inputs!$B$44),IF(Inputs!$B$39="pvp",MIN((Skills!Y16*(1+Inputs!$B$34/100)),15)/15,MIN(1,(Skills!Y16*(1+Inputs!$B$34/100))/(1/Q2636)))))/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2656*I2635)</f>
        <v/>
      </c>
      <c r="L2635">
        <f>K2635*(MIN(Inputs!$B$22+((C2645=TRUE)*(F2645-Calc!F25)),(Inputs!$B$23+((C2650=TRUE)*(F2650-Calc!F30))+IF(ArtifactsInput!$M$15,CHOOSE(ArtifactsInput!$N$15+1,25,30,35,40,45,50)/100*(Inputs!$B$11-Inputs!$B$11),0)))/100+(Inputs!$B$23+((C2650=TRUE)*(F2650-Calc!F30))+IF(ArtifactsInput!$M$15,CHOOSE(ArtifactsInput!$N$15+1,25,30,35,40,45,50)/100*(Inputs!$B$11-Inputs!$B$11),0))/100)/2</f>
        <v/>
      </c>
      <c r="M2635">
        <f>L2635*(1+(Inputs!$B$10+((C2647=TRUE)*(F2647-Calc!F27))+B2661+(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2635">
        <f>L2635*(1-MIN((Inputs!$B$9+((C2646=TRUE)*(F2646-Calc!F26))+B2654+(ArtifactsInput!$M$24-ArtifactsInput!$M$24)*CHOOSE(ArtifactsInput!$N$24+1,10,12,14,16,18,20)+(IF(AND(Inputs!$B$39&lt;&gt;"pvp",Inputs!$B$44=0),1,IF(IF(Inputs!$B$39="pvp",15,Inputs!$B$44)-(B2665)&lt;=0,1,MAX(0,IF(Inputs!$B$39="pvp",15,Inputs!$B$44)-MAX(5,B2665))/(IF(Inputs!$B$39="pvp",15,Inputs!$B$44)-(B2665))))*IF(AND(ArtifactsInput!$M$42,((Inputs!$B$9+((C2646=TRUE)*(F2646-Calc!F26))+B2654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2635*(MIN((Inputs!$B$9+((C2646=TRUE)*(F2646-Calc!F26))+B2654+(ArtifactsInput!$M$24-ArtifactsInput!$M$24)*CHOOSE(ArtifactsInput!$N$24+1,10,12,14,16,18,20)+(IF(AND(Inputs!$B$39&lt;&gt;"pvp",Inputs!$B$44=0),1,IF(IF(Inputs!$B$39="pvp",15,Inputs!$B$44)-(B2665)&lt;=0,1,MAX(0,IF(Inputs!$B$39="pvp",15,Inputs!$B$44)-MAX(5,B2665))/(IF(Inputs!$B$39="pvp",15,Inputs!$B$44)-(B2665))))*IF(AND(ArtifactsInput!$M$42,((Inputs!$B$9+((C2646=TRUE)*(F2646-Calc!F26))+B2654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635">
        <f>(1-Summary!$B$11)*T2635+Summary!$B$11*V2635</f>
        <v/>
      </c>
      <c r="P2635">
        <f>IF(B2666=0,0,O2635/B2666)</f>
        <v/>
      </c>
      <c r="Q2635">
        <f>IFERROR(1/IF(Inputs!$B$39="pvp",15,MAX(0.1,Skills!D15-IF(TRUE=TRUE,Inputs!$B$32,0))),0)</f>
        <v/>
      </c>
      <c r="R2635">
        <f>IF(AND(Inputs!$B$39&lt;&gt;"pvp",Inputs!$B$44&gt;0),IF(MAX(0,Inputs!$B$44-B2665)&lt;=0,0,(INT(MAX(0,Inputs!$B$44-B2665)/IF(Inputs!$B$39="pvp",15,MAX(0.1,Skills!D15-IF(TRUE=TRUE,Inputs!$B$32,0))))+1)),0)</f>
        <v/>
      </c>
      <c r="S2635">
        <f>IFERROR(O2635/N2635,0)</f>
        <v/>
      </c>
      <c r="T2635">
        <f>IF(C2635,(H2635*N2635*IF(AND(Inputs!$B$39&lt;&gt;"pvp",Inputs!$B$44&gt;0),((Skills!G15*((R2635-1)*IF(Skills!H15&gt;0,Skills!I15/Skills!H15,1)+IF(Skills!H15&gt;0,MIN(Skills!I15,MAX(0,MAX(0,Inputs!$B$44-B2665)-((R2635-1)*IF(Inputs!$B$39="pvp",15,MAX(0.1,Skills!D15-IF(TRUE=TRUE,Inputs!$B$32,0))))))/Skills!H15,1)))/Inputs!$B$44),G2635*Q2635))*IF(Inputs!$B$39="pvp",1,1+(Inputs!$B$20+0+Skills!P15+B2655+(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Hunt"),CHOOSE(ArtifactsInput!$N$35+1,15,18,21,24,27,30)*(1-EXP(-(0.2*B2658)*5)),0)+IF(AND(ArtifactsInput!$M$22,Inputs!$B$4&lt;&gt;"Chapter Hunt"),CHOOSE(ArtifactsInput!$N$22+1,10,12,14,16,18,20)*((0*(((0.15*B2658*5))^0/1)+1*(((0.15*B2658*5))^1/1)+2*(((0.15*B2658*5))^2/2)+3*(((0.15*B2658*5))^3/6)+4*(((0.15*B2658*5))^4/24)+5*(((0.15*B2658*5))^5/120))/((((0.15*B2658*5))^0/1)+(((0.15*B2658*5))^1/1)+(((0.15*B2658*5))^2/2)+(((0.15*B2658*5))^3/6)+(((0.15*B2658*5))^4/24)+(((0.15*B2658*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2635*(1-MIN(100,(Inputs!$B$9+((C2646=TRUE)*(F2646-Calc!F26))+B2654+(ArtifactsInput!$M$24-ArtifactsInput!$M$24)*CHOOSE(ArtifactsInput!$N$24+1,10,12,14,16,18,20)+(IF(AND(Inputs!$B$39&lt;&gt;"pvp",Inputs!$B$44=0),1,IF(IF(Inputs!$B$39="pvp",15,Inputs!$B$44)-(B2665)&lt;=0,1,MAX(0,IF(Inputs!$B$39="pvp",15,Inputs!$B$44)-MAX(5,B2665))/(IF(Inputs!$B$39="pvp",15,Inputs!$B$44)-(B2665))))*IF(AND(ArtifactsInput!$M$42,((Inputs!$B$9+((C2646=TRUE)*(F2646-Calc!F26))+B2654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2635*(MIN(100,(Inputs!$B$9+((C2646=TRUE)*(F2646-Calc!F26))+B2654+(ArtifactsInput!$M$24-ArtifactsInput!$M$24)*CHOOSE(ArtifactsInput!$N$24+1,10,12,14,16,18,20)+(IF(AND(Inputs!$B$39&lt;&gt;"pvp",Inputs!$B$44=0),1,IF(IF(Inputs!$B$39="pvp",15,Inputs!$B$44)-(B2665)&lt;=0,1,MAX(0,IF(Inputs!$B$39="pvp",15,Inputs!$B$44)-MAX(5,B2665))/(IF(Inputs!$B$39="pvp",15,Inputs!$B$44)-(B2665))))*IF(AND(ArtifactsInput!$M$42,((Inputs!$B$9+((C2646=TRUE)*(F2646-Calc!F26))+B2654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2635*(1-MIN(100,(Inputs!$B$9+((C2646=TRUE)*(F2646-Calc!F26))+B2654+(ArtifactsInput!$M$24-ArtifactsInput!$M$24)*CHOOSE(ArtifactsInput!$N$24+1,10,12,14,16,18,20)+(IF(AND(Inputs!$B$39&lt;&gt;"pvp",Inputs!$B$44=0),1,IF(IF(Inputs!$B$39="pvp",15,Inputs!$B$44)-(B2665)&lt;=0,1,MAX(0,IF(Inputs!$B$39="pvp",15,Inputs!$B$44)-MAX(5,B2665))/(IF(Inputs!$B$39="pvp",15,Inputs!$B$44)-(B2665))))*IF(AND(ArtifactsInput!$M$42,((Inputs!$B$9+((C2646=TRUE)*(F2646-Calc!F26))+B2654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2635*(MIN(100,(Inputs!$B$9+((C2646=TRUE)*(F2646-Calc!F26))+B2654+(ArtifactsInput!$M$24-ArtifactsInput!$M$24)*CHOOSE(ArtifactsInput!$N$24+1,10,12,14,16,18,20)+(IF(AND(Inputs!$B$39&lt;&gt;"pvp",Inputs!$B$44=0),1,IF(IF(Inputs!$B$39="pvp",15,Inputs!$B$44)-(B2665)&lt;=0,1,MAX(0,IF(Inputs!$B$39="pvp",15,Inputs!$B$44)-MAX(5,B2665))/(IF(Inputs!$B$39="pvp",15,Inputs!$B$44)-(B2665))))*IF(AND(ArtifactsInput!$M$42,((Inputs!$B$9+((C2646=TRUE)*(F2646-Calc!F26))+B2654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635">
        <f>IF(C2635,(H2635*N2635*IF(AND(Inputs!$B$39&lt;&gt;"pvp",Inputs!$B$44&gt;0),((Skills!G15*((R2635-1)*IF(Skills!H15&gt;0,Skills!I15/Skills!H15,1)+IF(Skills!H15&gt;0,MIN(Skills!I15,MAX(0,MAX(0,Inputs!$B$44-B2665)-((R2635-1)*IF(Inputs!$B$39="pvp",15,MAX(0.1,Skills!D15-IF(TRUE=TRUE,Inputs!$B$32,0))))))/Skills!H15,1)))/Inputs!$B$44),G2635*Q2635))*IF(Inputs!$B$39="pvp",1,(1+(Inputs!$B$21+Skills!Q15+B2655+(IF(ArtifactsInput!$M$33,CHOOSE(ArtifactsInput!$N$33+1,30,36,42,48,54,60),0))+(IF(AND(ArtifactsInput!$M$35,Inputs!$B$4&lt;&gt;"Chapter Hunt"),CHOOSE(ArtifactsInput!$N$35+1,15,18,21,24,27,30)*(1-EXP(-(0.2*B2658)*5)),0)+IF(AND(ArtifactsInput!$M$22,Inputs!$B$4&lt;&gt;"Chapter Hunt"),CHOOSE(ArtifactsInput!$N$22+1,10,12,14,16,18,20)*((0*(((0.15*B2658*5))^0/1)+1*(((0.15*B2658*5))^1/1)+2*(((0.15*B2658*5))^2/2)+3*(((0.15*B2658*5))^3/6)+4*(((0.15*B2658*5))^4/24)+5*(((0.15*B2658*5))^5/120))/((((0.15*B2658*5))^0/1)+(((0.15*B2658*5))^1/1)+(((0.15*B2658*5))^2/2)+(((0.15*B2658*5))^3/6)+(((0.15*B2658*5))^4/24)+(((0.15*B2658*5))^5/120))),0)))/100)*(MIN(MIN(5,0.5*IF(Inputs!$B$3&gt;=75,0.75,0.5)*B2658*(1/Q2624))*Skills!V15,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636">
      <c r="A2636">
        <f>Skills!A16</f>
        <v/>
      </c>
      <c r="B2636">
        <f>Skills!B16</f>
        <v/>
      </c>
      <c r="C2636">
        <f>Inputs!$B$3&gt;=110</f>
        <v/>
      </c>
      <c r="D2636">
        <f>IF(Skills!C16=1,60+Inputs!$B$25+Inputs!$B$29,IF(Skills!C16=2,90+Inputs!$B$26+Inputs!$B$29,IF(Skills!C16=3,120+Inputs!$B$27+Inputs!$B$29,MAX(0,(Inputs!$B$3-100)*3)+Inputs!$B$28+Inputs!$B$29)))</f>
        <v/>
      </c>
      <c r="E2636">
        <f>INDEX(FactorTable!$B$2:$Y$301, MATCH(ROUND(MIN(300,MAX(1,D2636)),0), FactorTable!$A$2:$A$301,0), Skills!M16+1)</f>
        <v/>
      </c>
      <c r="F2636">
        <f>IF(Skills!N16=TRUE,(Skills!L16/10)*(E2636/1000),Skills!L16/10)+Skills!O16</f>
        <v/>
      </c>
      <c r="G2636">
        <f>Skills!G16*IF(Skills!H16&gt;0,IF(Inputs!$B$39="pvp",MIN(Skills!I16,15),Skills!I16)/Skills!H16,1)</f>
        <v/>
      </c>
      <c r="H2636">
        <f>1-(1-Skills!J16/100)^Skills!K16</f>
        <v/>
      </c>
      <c r="I2636" t="inlineStr">
        <is>
          <t>1</t>
        </is>
      </c>
      <c r="J2636" t="inlineStr"/>
      <c r="K2636" t="inlineStr"/>
      <c r="L2636" t="inlineStr"/>
      <c r="M2636" t="inlineStr"/>
      <c r="N2636" t="inlineStr"/>
      <c r="O2636">
        <f>(1-Summary!$B$11)*T2636+Summary!$B$11*V2636</f>
        <v/>
      </c>
      <c r="P2636">
        <f>IF(B2666=0,0,O2636/B2666)</f>
        <v/>
      </c>
      <c r="Q2636">
        <f>IFERROR(1/IF(Inputs!$B$39="pvp",15,MAX(0.1,Skills!D16-IF(TRUE=TRUE,Inputs!$B$32,0))),0)</f>
        <v/>
      </c>
      <c r="R2636">
        <f>IF(AND(Inputs!$B$39&lt;&gt;"pvp",Inputs!$B$44&gt;0),IF(Inputs!$B$44&lt;=0,0,(INT(Inputs!$B$44/IF(Inputs!$B$39="pvp",15,MAX(0.1,Skills!D16-IF(TRUE=TRUE,Inputs!$B$32,0))))+1)),0)</f>
        <v/>
      </c>
      <c r="S2636">
        <f>IFERROR(O2636/N2636,0)</f>
        <v/>
      </c>
      <c r="T2636" t="n">
        <v>0</v>
      </c>
      <c r="V2636" t="n">
        <v>0</v>
      </c>
    </row>
    <row r="2637">
      <c r="A2637">
        <f>Skills!A17</f>
        <v/>
      </c>
      <c r="B2637">
        <f>Skills!B17</f>
        <v/>
      </c>
      <c r="C2637">
        <f>Inputs!$B$3&gt;=115</f>
        <v/>
      </c>
      <c r="D2637">
        <f>IF(Skills!C17=1,60+Inputs!$B$25+Inputs!$B$29,IF(Skills!C17=2,90+Inputs!$B$26+Inputs!$B$29,IF(Skills!C17=3,120+Inputs!$B$27+Inputs!$B$29,MAX(0,(Inputs!$B$3-100)*3)+Inputs!$B$28+Inputs!$B$29)))</f>
        <v/>
      </c>
      <c r="E2637">
        <f>INDEX(FactorTable!$B$2:$Y$301, MATCH(ROUND(MIN(300,MAX(1,D2637)),0), FactorTable!$A$2:$A$301,0), Skills!M17+1)</f>
        <v/>
      </c>
      <c r="F2637">
        <f>IF(Skills!N17=TRUE,(Skills!L17/10)*(E2637/1000),Skills!L17/10)+Skills!O17</f>
        <v/>
      </c>
      <c r="G2637">
        <f>Skills!G17*IF(Skills!H17&gt;0,IF(Inputs!$B$39="pvp",MIN(Skills!I17,15),Skills!I17)/Skills!H17,1)</f>
        <v/>
      </c>
      <c r="H2637">
        <f>1-(1-Skills!J17/100)^Skills!K17</f>
        <v/>
      </c>
      <c r="I2637" t="inlineStr">
        <is>
          <t>1</t>
        </is>
      </c>
      <c r="J2637">
        <f>((Inputs!$B$6*(1+Inputs!$B$7/100))+(((Inputs!$B$12*(1+Inputs!$B$13/100))-(Inputs!$B$12*(1+Inputs!$B$13/100)))+0.25*(Inputs!$B$14-Inputs!$B$14))*(1+Inputs!$B$7/100))*(F2637/100)</f>
        <v/>
      </c>
      <c r="K2637">
        <f>J2637*(1+((Inputs!$B$12*(1+Inputs!$B$13/100))*0.01+Inputs!$B$14*0.0025)/100)*(1+Inputs!$B$15/100)*(1+Inputs!$B$16/100)*(5000/(6000+Inputs!$B$43*(1-(100*(1-(1-Inputs!$B$19/100)*(1-CHOOSE(ArtifactsInput!$N$40+1,5,6,7,8,9,10)/100)^(ArtifactsInput!$M$40-ArtifactsInput!$M$40)))/100)))*(1+(Inputs!$B$24+((C2651=TRUE)*(F2651-Calc!F31))+((C2638=TRUE)*(F2638-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17="CRUEL_STAB",Inputs!$B$17+((C2648=TRUE)*(F2648-Calc!F28))+((IF(AND(Inputs!$B$39&lt;&gt;"pvp",Inputs!$B$44=0),1,IF(IF(Inputs!$B$39="pvp",15,Inputs!$B$44)-(B2665)&lt;=0,1,MAX(0,IF(Inputs!$B$39="pvp",15,Inputs!$B$44)-MAX(5,B2665))/(IF(Inputs!$B$39="pvp",15,Inputs!$B$44)-(B2665))))*(IF(AND(ArtifactsInput!$M$42,((Inputs!$B$9+((C2646=TRUE)*(F2646-Calc!F26))+B2654+(ArtifactsInput!$M$24-ArtifactsInput!$M$24)*CHOOSE(ArtifactsInput!$N$24+1,10,12,14,16,18,20)+IF(ArtifactsInput!$M$10,CHOOSE(ArtifactsInput!$N$10+1,15,18,21,24,27,30)*(IF(Inputs!$B$39="pvp",MIN(15,15)/15,IF(AND(Inputs!$B$39&lt;&gt;"pvp",Inputs!$B$44&gt;0),MIN(15,Inputs!$B$44)/(Inputs!$B$44),0))),0)))&gt;=100),MIN(100,((Inputs!$B$9+((C2646=TRUE)*(F2646-Calc!F26))+B2654+(ArtifactsInput!$M$24-ArtifactsInput!$M$24)*CHOOSE(ArtifactsInput!$N$24+1,10,12,14,16,18,20)+IF(ArtifactsInput!$M$10,CHOOSE(ArtifactsInput!$N$10+1,15,18,21,24,27,30)*(IF(Inputs!$B$39="pvp",MIN(15,15)/15,IF(AND(Inputs!$B$39&lt;&gt;"pvp",Inputs!$B$44&gt;0),MIN(15,Inputs!$B$44)/(Inputs!$B$44),0))),0)))-100),0))*CHOOSE(ArtifactsInput!$N$42+1,0.6,0.72,0.84,0.96,1.08,1.2))),Inputs!$B$18+((C2649=TRUE)*(F2649-Calc!F29))+(IF(AND(Inputs!$B$39&lt;&gt;"pvp",Inputs!$B$44=0),1,IF(IF(Inputs!$B$39="pvp",15,Inputs!$B$44)-(B2665)&lt;=0,1,MAX(0,IF(Inputs!$B$39="pvp",15,Inputs!$B$44)-MAX(5,B2665))/(IF(Inputs!$B$39="pvp",15,Inputs!$B$44)-(B2665))))*IF(AND(ArtifactsInput!$M$42,((Inputs!$B$9+((C2646=TRUE)*(F2646-Calc!F26))+B2654+(ArtifactsInput!$M$24-ArtifactsInput!$M$24)*CHOOSE(ArtifactsInput!$N$24+1,10,12,14,16,18,20)+IF(ArtifactsInput!$M$10,CHOOSE(ArtifactsInput!$N$10+1,15,18,21,24,27,30)*(IF(Inputs!$B$39="pvp",MIN(15,15)/15,IF(AND(Inputs!$B$39&lt;&gt;"pvp",Inputs!$B$44&gt;0),MIN(15,Inputs!$B$44)/(Inputs!$B$44),0))),0)))&gt;=100),CHOOSE(ArtifactsInput!$N$42+1,40,48,56,64,72,80),0))))/100)*(((1+(((C2642=TRUE)*F2642*IF(AND(Inputs!$B$39&lt;&gt;"pvp",Inputs!$B$44&gt;0),(((R2642-1)*MIN((Skills!Y22*(1+Inputs!$B$34/100)),(1/Q2642))+MIN((Skills!Y22*(1+Inputs!$B$34/100)),MAX(0,Inputs!$B$44-((R2642-1)*(1/Q2642)))))/Inputs!$B$44),IF(Inputs!$B$39="pvp",MIN((Skills!Y22*(1+Inputs!$B$34/100)),15)/15,MIN(1,(Skills!Y22*(1+Inputs!$B$34/100))/(1/Q2642)))))+((C2623=TRUE)*F2623*3)+((C2625=TRUE)*F2625*(1-EXP(-0.75*B2658*5)))+((C2644=TRUE)*(F2644-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2631=TRUE)*F2631*IF(AND(Inputs!$B$39&lt;&gt;"pvp",Inputs!$B$44&gt;0),(((R2631-1)*MIN((Skills!Y11*(1+Inputs!$B$34/100)),(1/Q2631))+MIN((Skills!Y11*(1+Inputs!$B$34/100)),MAX(0,Inputs!$B$44-((R2631-1)*(1/Q2631)))))/Inputs!$B$44),IF(Inputs!$B$39="pvp",MIN((Skills!Y11*(1+Inputs!$B$34/100)),15)/15,MIN(1,(Skills!Y11*(1+Inputs!$B$34/100))/(1/Q2631)))))/100)*(1+((C2636=TRUE)*F2636*IF(AND(Inputs!$B$39&lt;&gt;"pvp",Inputs!$B$44&gt;0),(((R2636-1)*MIN((Skills!Y16*(1+Inputs!$B$34/100)),(1/Q2636))+MIN((Skills!Y16*(1+Inputs!$B$34/100)),MAX(0,Inputs!$B$44-((R2636-1)*(1/Q2636)))))/Inputs!$B$44),IF(Inputs!$B$39="pvp",MIN((Skills!Y16*(1+Inputs!$B$34/100)),15)/15,MIN(1,(Skills!Y16*(1+Inputs!$B$34/100))/(1/Q2636)))))/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2656*I2637)</f>
        <v/>
      </c>
      <c r="L2637">
        <f>K2637*(MIN(Inputs!$B$22+((C2645=TRUE)*(F2645-Calc!F25)),(Inputs!$B$23+((C2650=TRUE)*(F2650-Calc!F30))+IF(ArtifactsInput!$M$15,CHOOSE(ArtifactsInput!$N$15+1,25,30,35,40,45,50)/100*(Inputs!$B$11-Inputs!$B$11),0)))/100+(Inputs!$B$23+((C2650=TRUE)*(F2650-Calc!F30))+IF(ArtifactsInput!$M$15,CHOOSE(ArtifactsInput!$N$15+1,25,30,35,40,45,50)/100*(Inputs!$B$11-Inputs!$B$11),0))/100)/2</f>
        <v/>
      </c>
      <c r="M2637">
        <f>L2637*(1+(Inputs!$B$10+((C2647=TRUE)*(F2647-Calc!F27))+B2661+(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2637">
        <f>L2637*(1-MIN((Inputs!$B$9+((C2646=TRUE)*(F2646-Calc!F26))+B2654+(ArtifactsInput!$M$24-ArtifactsInput!$M$24)*CHOOSE(ArtifactsInput!$N$24+1,10,12,14,16,18,20)+(IF(AND(Inputs!$B$39&lt;&gt;"pvp",Inputs!$B$44=0),1,IF(IF(Inputs!$B$39="pvp",15,Inputs!$B$44)-(B2665)&lt;=0,1,MAX(0,IF(Inputs!$B$39="pvp",15,Inputs!$B$44)-MAX(5,B2665))/(IF(Inputs!$B$39="pvp",15,Inputs!$B$44)-(B2665))))*IF(AND(ArtifactsInput!$M$42,((Inputs!$B$9+((C2646=TRUE)*(F2646-Calc!F26))+B2654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2637*(MIN((Inputs!$B$9+((C2646=TRUE)*(F2646-Calc!F26))+B2654+(ArtifactsInput!$M$24-ArtifactsInput!$M$24)*CHOOSE(ArtifactsInput!$N$24+1,10,12,14,16,18,20)+(IF(AND(Inputs!$B$39&lt;&gt;"pvp",Inputs!$B$44=0),1,IF(IF(Inputs!$B$39="pvp",15,Inputs!$B$44)-(B2665)&lt;=0,1,MAX(0,IF(Inputs!$B$39="pvp",15,Inputs!$B$44)-MAX(5,B2665))/(IF(Inputs!$B$39="pvp",15,Inputs!$B$44)-(B2665))))*IF(AND(ArtifactsInput!$M$42,((Inputs!$B$9+((C2646=TRUE)*(F2646-Calc!F26))+B2654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637">
        <f>(1-Summary!$B$11)*T2637+Summary!$B$11*V2637</f>
        <v/>
      </c>
      <c r="P2637">
        <f>IF(B2666=0,0,O2637/B2666)</f>
        <v/>
      </c>
      <c r="Q2637" t="n">
        <v>0</v>
      </c>
      <c r="R2637" t="n">
        <v>0</v>
      </c>
      <c r="S2637">
        <f>IFERROR(O2637/N2637,0)</f>
        <v/>
      </c>
      <c r="T2637">
        <f>IF(C2637,(Inputs!$B$38*0.2*N2637)*IF(Inputs!$B$39="pvp",1,1+(Inputs!$B$20+0+Skills!P17+B2655+(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Hunt"),CHOOSE(ArtifactsInput!$N$35+1,15,18,21,24,27,30)*(1-EXP(-(0.2*B2658)*5)),0)+IF(AND(ArtifactsInput!$M$22,Inputs!$B$4&lt;&gt;"Chapter Hunt"),CHOOSE(ArtifactsInput!$N$22+1,10,12,14,16,18,20)*((0*(((0.15*B2658*5))^0/1)+1*(((0.15*B2658*5))^1/1)+2*(((0.15*B2658*5))^2/2)+3*(((0.15*B2658*5))^3/6)+4*(((0.15*B2658*5))^4/24)+5*(((0.15*B2658*5))^5/120))/((((0.15*B2658*5))^0/1)+(((0.15*B2658*5))^1/1)+(((0.15*B2658*5))^2/2)+(((0.15*B2658*5))^3/6)+(((0.15*B2658*5))^4/24)+(((0.15*B2658*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2637*(1-MIN(100,(Inputs!$B$9+((C2646=TRUE)*(F2646-Calc!F26))+B2654+(ArtifactsInput!$M$24-ArtifactsInput!$M$24)*CHOOSE(ArtifactsInput!$N$24+1,10,12,14,16,18,20)+(IF(AND(Inputs!$B$39&lt;&gt;"pvp",Inputs!$B$44=0),1,IF(IF(Inputs!$B$39="pvp",15,Inputs!$B$44)-(B2665)&lt;=0,1,MAX(0,IF(Inputs!$B$39="pvp",15,Inputs!$B$44)-MAX(5,B2665))/(IF(Inputs!$B$39="pvp",15,Inputs!$B$44)-(B2665))))*IF(AND(ArtifactsInput!$M$42,((Inputs!$B$9+((C2646=TRUE)*(F2646-Calc!F26))+B2654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2637*(MIN(100,(Inputs!$B$9+((C2646=TRUE)*(F2646-Calc!F26))+B2654+(ArtifactsInput!$M$24-ArtifactsInput!$M$24)*CHOOSE(ArtifactsInput!$N$24+1,10,12,14,16,18,20)+(IF(AND(Inputs!$B$39&lt;&gt;"pvp",Inputs!$B$44=0),1,IF(IF(Inputs!$B$39="pvp",15,Inputs!$B$44)-(B2665)&lt;=0,1,MAX(0,IF(Inputs!$B$39="pvp",15,Inputs!$B$44)-MAX(5,B2665))/(IF(Inputs!$B$39="pvp",15,Inputs!$B$44)-(B2665))))*IF(AND(ArtifactsInput!$M$42,((Inputs!$B$9+((C2646=TRUE)*(F2646-Calc!F26))+B2654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2637*(1-MIN(100,(Inputs!$B$9+((C2646=TRUE)*(F2646-Calc!F26))+B2654+(ArtifactsInput!$M$24-ArtifactsInput!$M$24)*CHOOSE(ArtifactsInput!$N$24+1,10,12,14,16,18,20)+(IF(AND(Inputs!$B$39&lt;&gt;"pvp",Inputs!$B$44=0),1,IF(IF(Inputs!$B$39="pvp",15,Inputs!$B$44)-(B2665)&lt;=0,1,MAX(0,IF(Inputs!$B$39="pvp",15,Inputs!$B$44)-MAX(5,B2665))/(IF(Inputs!$B$39="pvp",15,Inputs!$B$44)-(B2665))))*IF(AND(ArtifactsInput!$M$42,((Inputs!$B$9+((C2646=TRUE)*(F2646-Calc!F26))+B2654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2637*(MIN(100,(Inputs!$B$9+((C2646=TRUE)*(F2646-Calc!F26))+B2654+(ArtifactsInput!$M$24-ArtifactsInput!$M$24)*CHOOSE(ArtifactsInput!$N$24+1,10,12,14,16,18,20)+(IF(AND(Inputs!$B$39&lt;&gt;"pvp",Inputs!$B$44=0),1,IF(IF(Inputs!$B$39="pvp",15,Inputs!$B$44)-(B2665)&lt;=0,1,MAX(0,IF(Inputs!$B$39="pvp",15,Inputs!$B$44)-MAX(5,B2665))/(IF(Inputs!$B$39="pvp",15,Inputs!$B$44)-(B2665))))*IF(AND(ArtifactsInput!$M$42,((Inputs!$B$9+((C2646=TRUE)*(F2646-Calc!F26))+B2654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637">
        <f>IF(C2637,(Inputs!$B$38*0.2*N2637)*IF(Inputs!$B$39="pvp",1,(1+(Inputs!$B$21+Skills!Q17+B2655+(IF(ArtifactsInput!$M$33,CHOOSE(ArtifactsInput!$N$33+1,30,36,42,48,54,60),0))+(IF(AND(ArtifactsInput!$M$35,Inputs!$B$4&lt;&gt;"Chapter Hunt"),CHOOSE(ArtifactsInput!$N$35+1,15,18,21,24,27,30)*(1-EXP(-(0.2*B2658)*5)),0)+IF(AND(ArtifactsInput!$M$22,Inputs!$B$4&lt;&gt;"Chapter Hunt"),CHOOSE(ArtifactsInput!$N$22+1,10,12,14,16,18,20)*((0*(((0.15*B2658*5))^0/1)+1*(((0.15*B2658*5))^1/1)+2*(((0.15*B2658*5))^2/2)+3*(((0.15*B2658*5))^3/6)+4*(((0.15*B2658*5))^4/24)+5*(((0.15*B2658*5))^5/120))/((((0.15*B2658*5))^0/1)+(((0.15*B2658*5))^1/1)+(((0.15*B2658*5))^2/2)+(((0.15*B2658*5))^3/6)+(((0.15*B2658*5))^4/24)+(((0.15*B2658*5))^5/120))),0)))/100)*(MIN(Skills!W17,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638">
      <c r="A2638">
        <f>Skills!A18</f>
        <v/>
      </c>
      <c r="B2638">
        <f>Skills!B18</f>
        <v/>
      </c>
      <c r="C2638">
        <f>Inputs!$B$3&gt;=115</f>
        <v/>
      </c>
      <c r="D2638">
        <f>IF(Skills!C18=1,60+Inputs!$B$25+Inputs!$B$29,IF(Skills!C18=2,90+Inputs!$B$26+Inputs!$B$29,IF(Skills!C18=3,120+Inputs!$B$27+Inputs!$B$29,MAX(0,(Inputs!$B$3-100)*3)+Inputs!$B$28+Inputs!$B$29)))</f>
        <v/>
      </c>
      <c r="E2638">
        <f>INDEX(FactorTable!$B$2:$Y$301, MATCH(ROUND(MIN(300,MAX(1,D2638)),0), FactorTable!$A$2:$A$301,0), Skills!M18+1)</f>
        <v/>
      </c>
      <c r="F2638">
        <f>IF(Skills!N18=TRUE,(Skills!L18/10)*(E2638/1000),Skills!L18/10)+Skills!O18</f>
        <v/>
      </c>
      <c r="G2638">
        <f>Skills!G18*IF(Skills!H18&gt;0,IF(Inputs!$B$39="pvp",MIN(Skills!I18,15),Skills!I18)/Skills!H18,1)</f>
        <v/>
      </c>
      <c r="H2638">
        <f>1-(1-Skills!J18/100)^Skills!K18</f>
        <v/>
      </c>
      <c r="I2638" t="inlineStr">
        <is>
          <t>1</t>
        </is>
      </c>
      <c r="J2638" t="inlineStr"/>
      <c r="K2638" t="inlineStr"/>
      <c r="L2638" t="inlineStr"/>
      <c r="M2638" t="inlineStr"/>
      <c r="N2638" t="inlineStr"/>
      <c r="O2638">
        <f>(1-Summary!$B$11)*T2638+Summary!$B$11*V2638</f>
        <v/>
      </c>
      <c r="P2638">
        <f>IF(B2666=0,0,O2638/B2666)</f>
        <v/>
      </c>
      <c r="Q2638" t="n">
        <v>0</v>
      </c>
      <c r="R2638" t="n">
        <v>0</v>
      </c>
      <c r="S2638">
        <f>IFERROR(O2638/N2638,0)</f>
        <v/>
      </c>
      <c r="T2638" t="n">
        <v>0</v>
      </c>
      <c r="V2638" t="n">
        <v>0</v>
      </c>
    </row>
    <row r="2639">
      <c r="A2639">
        <f>Skills!A19</f>
        <v/>
      </c>
      <c r="B2639">
        <f>Skills!B19</f>
        <v/>
      </c>
      <c r="C2639">
        <f>Inputs!$B$3&gt;=100</f>
        <v/>
      </c>
      <c r="D2639">
        <f>IF(Skills!C19=1,60+Inputs!$B$25+Inputs!$B$29,IF(Skills!C19=2,90+Inputs!$B$26+Inputs!$B$29,IF(Skills!C19=3,120+Inputs!$B$27+Inputs!$B$29,MAX(0,(Inputs!$B$3-100)*3)+Inputs!$B$28+Inputs!$B$29)))</f>
        <v/>
      </c>
      <c r="E2639">
        <f>INDEX(FactorTable!$B$2:$Y$301, MATCH(ROUND(MIN(300,MAX(1,D2639)),0), FactorTable!$A$2:$A$301,0), Skills!M19+1)</f>
        <v/>
      </c>
      <c r="F2639">
        <f>IF(Skills!N19=TRUE,(Skills!L19/10)*(E2639/1000),Skills!L19/10)+Skills!O19</f>
        <v/>
      </c>
      <c r="G2639">
        <f>Skills!G19*IF(Skills!H19&gt;0,IF(Inputs!$B$39="pvp",MIN(Skills!I19,15),Skills!I19)/Skills!H19,1)</f>
        <v/>
      </c>
      <c r="H2639">
        <f>1-(1-Skills!J19/100)^Skills!K19</f>
        <v/>
      </c>
      <c r="I2639" t="inlineStr">
        <is>
          <t>1</t>
        </is>
      </c>
      <c r="J2639" t="inlineStr"/>
      <c r="K2639" t="inlineStr"/>
      <c r="L2639" t="inlineStr"/>
      <c r="M2639" t="inlineStr"/>
      <c r="N2639" t="inlineStr"/>
      <c r="O2639">
        <f>(1-Summary!$B$11)*T2639+Summary!$B$11*V2639</f>
        <v/>
      </c>
      <c r="P2639">
        <f>IF(B2666=0,0,O2639/B2666)</f>
        <v/>
      </c>
      <c r="Q2639" t="n">
        <v>0</v>
      </c>
      <c r="R2639" t="n">
        <v>0</v>
      </c>
      <c r="S2639">
        <f>IFERROR(O2639/N2639,0)</f>
        <v/>
      </c>
      <c r="T2639" t="n">
        <v>0</v>
      </c>
      <c r="V2639" t="n">
        <v>0</v>
      </c>
    </row>
    <row r="2640">
      <c r="A2640">
        <f>Skills!A20</f>
        <v/>
      </c>
      <c r="B2640">
        <f>Skills!B20</f>
        <v/>
      </c>
      <c r="C2640">
        <f>TRUE</f>
        <v/>
      </c>
      <c r="D2640">
        <f>IF(Skills!C20=1,60+Inputs!$B$25+Inputs!$B$29,IF(Skills!C20=2,90+Inputs!$B$26+Inputs!$B$29,IF(Skills!C20=3,120+Inputs!$B$27+Inputs!$B$29,MAX(0,(Inputs!$B$3-100)*3)+Inputs!$B$28+Inputs!$B$29)))</f>
        <v/>
      </c>
      <c r="E2640">
        <f>INDEX(FactorTable!$B$2:$Y$301, MATCH(ROUND(MIN(300,MAX(1,D2640)),0), FactorTable!$A$2:$A$301,0), Skills!M20+1)</f>
        <v/>
      </c>
      <c r="F2640">
        <f>IF(Skills!N20=TRUE,(Skills!L20/10)*(E2640/1000),Skills!L20/10)+Skills!O20</f>
        <v/>
      </c>
      <c r="G2640">
        <f>Skills!G20*IF(Skills!H20&gt;0,IF(Inputs!$B$39="pvp",MIN(Skills!I20,15),Skills!I20)/Skills!H20,1)</f>
        <v/>
      </c>
      <c r="H2640">
        <f>1-(1-Skills!J20/100)^Skills!K20</f>
        <v/>
      </c>
      <c r="I2640" t="inlineStr">
        <is>
          <t>1</t>
        </is>
      </c>
      <c r="J2640" t="inlineStr"/>
      <c r="K2640" t="inlineStr"/>
      <c r="L2640" t="inlineStr"/>
      <c r="M2640" t="inlineStr"/>
      <c r="N2640" t="inlineStr"/>
      <c r="O2640">
        <f>(1-Summary!$B$11)*T2640+Summary!$B$11*V2640</f>
        <v/>
      </c>
      <c r="P2640">
        <f>IF(B2666=0,0,O2640/B2666)</f>
        <v/>
      </c>
      <c r="Q2640">
        <f>IFERROR(1/IF(Inputs!$B$39="pvp",15,MAX(0.1,Skills!D20-IF(TRUE=TRUE,Inputs!$B$32,0))),0)</f>
        <v/>
      </c>
      <c r="R2640">
        <f>IF(AND(Inputs!$B$39&lt;&gt;"pvp",Inputs!$B$44&gt;0),IF(Inputs!$B$44&lt;=0,0,(INT(Inputs!$B$44/IF(Inputs!$B$39="pvp",15,MAX(0.1,Skills!D20-IF(TRUE=TRUE,Inputs!$B$32,0))))+1)),0)</f>
        <v/>
      </c>
      <c r="S2640">
        <f>IFERROR(O2640/N2640,0)</f>
        <v/>
      </c>
      <c r="T2640" t="n">
        <v>0</v>
      </c>
      <c r="V2640" t="n">
        <v>0</v>
      </c>
    </row>
    <row r="2641">
      <c r="A2641">
        <f>Skills!A21</f>
        <v/>
      </c>
      <c r="B2641">
        <f>Skills!B21</f>
        <v/>
      </c>
      <c r="C2641">
        <f>Inputs!$B$3&gt;=15</f>
        <v/>
      </c>
      <c r="D2641">
        <f>IF(Skills!C21=1,60+Inputs!$B$25+Inputs!$B$29,IF(Skills!C21=2,90+Inputs!$B$26+Inputs!$B$29,IF(Skills!C21=3,120+Inputs!$B$27+Inputs!$B$29,MAX(0,(Inputs!$B$3-100)*3)+Inputs!$B$28+Inputs!$B$29)))</f>
        <v/>
      </c>
      <c r="E2641">
        <f>INDEX(FactorTable!$B$2:$Y$301, MATCH(ROUND(MIN(300,MAX(1,D2641)),0), FactorTable!$A$2:$A$301,0), Skills!M21+1)</f>
        <v/>
      </c>
      <c r="F2641">
        <f>IF(Skills!N21=TRUE,(Skills!L21/10)*(E2641/1000),Skills!L21/10)+Skills!O21</f>
        <v/>
      </c>
      <c r="G2641">
        <f>Skills!G21*IF(Skills!H21&gt;0,IF(Inputs!$B$39="pvp",MIN(Skills!I21,15),Skills!I21)/Skills!H21,1)</f>
        <v/>
      </c>
      <c r="H2641">
        <f>1-(1-Skills!J21/100)^Skills!K21</f>
        <v/>
      </c>
      <c r="I2641" t="inlineStr">
        <is>
          <t>1</t>
        </is>
      </c>
      <c r="J2641" t="inlineStr"/>
      <c r="K2641" t="inlineStr"/>
      <c r="L2641" t="inlineStr"/>
      <c r="M2641" t="inlineStr"/>
      <c r="N2641" t="inlineStr"/>
      <c r="O2641">
        <f>(1-Summary!$B$11)*T2641+Summary!$B$11*V2641</f>
        <v/>
      </c>
      <c r="P2641">
        <f>IF(B2666=0,0,O2641/B2666)</f>
        <v/>
      </c>
      <c r="Q2641">
        <f>IFERROR(1/IF(Inputs!$B$39="pvp",15,MAX(0.1,Skills!D21-IF(TRUE=TRUE,Inputs!$B$32,0))),0)</f>
        <v/>
      </c>
      <c r="R2641">
        <f>IF(AND(Inputs!$B$39&lt;&gt;"pvp",Inputs!$B$44&gt;0),IF(Inputs!$B$44&lt;=0,0,(INT(Inputs!$B$44/IF(Inputs!$B$39="pvp",15,MAX(0.1,Skills!D21-IF(TRUE=TRUE,Inputs!$B$32,0))))+1)),0)</f>
        <v/>
      </c>
      <c r="S2641">
        <f>IFERROR(O2641/N2641,0)</f>
        <v/>
      </c>
      <c r="T2641" t="n">
        <v>0</v>
      </c>
      <c r="V2641" t="n">
        <v>0</v>
      </c>
    </row>
    <row r="2642">
      <c r="A2642">
        <f>Skills!A22</f>
        <v/>
      </c>
      <c r="B2642">
        <f>Skills!B22</f>
        <v/>
      </c>
      <c r="C2642">
        <f>Inputs!$B$3&gt;=15</f>
        <v/>
      </c>
      <c r="D2642">
        <f>IF(Skills!C22=1,60+Inputs!$B$25+Inputs!$B$29,IF(Skills!C22=2,90+Inputs!$B$26+Inputs!$B$29,IF(Skills!C22=3,120+Inputs!$B$27+Inputs!$B$29,MAX(0,(Inputs!$B$3-100)*3)+Inputs!$B$28+Inputs!$B$29)))</f>
        <v/>
      </c>
      <c r="E2642">
        <f>INDEX(FactorTable!$B$2:$Y$301, MATCH(ROUND(MIN(300,MAX(1,D2642)),0), FactorTable!$A$2:$A$301,0), Skills!M22+1)</f>
        <v/>
      </c>
      <c r="F2642">
        <f>IF(Skills!N22=TRUE,(Skills!L22/10)*(E2642/1000),Skills!L22/10)+Skills!O22</f>
        <v/>
      </c>
      <c r="G2642">
        <f>Skills!G22*IF(Skills!H22&gt;0,IF(Inputs!$B$39="pvp",MIN(Skills!I22,15),Skills!I22)/Skills!H22,1)</f>
        <v/>
      </c>
      <c r="H2642">
        <f>1-(1-Skills!J22/100)^Skills!K22</f>
        <v/>
      </c>
      <c r="I2642" t="inlineStr">
        <is>
          <t>1</t>
        </is>
      </c>
      <c r="J2642" t="inlineStr"/>
      <c r="K2642" t="inlineStr"/>
      <c r="L2642" t="inlineStr"/>
      <c r="M2642" t="inlineStr"/>
      <c r="N2642" t="inlineStr"/>
      <c r="O2642">
        <f>(1-Summary!$B$11)*T2642+Summary!$B$11*V2642</f>
        <v/>
      </c>
      <c r="P2642">
        <f>IF(B2666=0,0,O2642/B2666)</f>
        <v/>
      </c>
      <c r="Q2642">
        <f>IFERROR(1/IF(Inputs!$B$39="pvp",15,MAX(0.1,Skills!D22-IF(TRUE=TRUE,Inputs!$B$32,0))),0)</f>
        <v/>
      </c>
      <c r="R2642">
        <f>IF(AND(Inputs!$B$39&lt;&gt;"pvp",Inputs!$B$44&gt;0),IF(Inputs!$B$44&lt;=0,0,(INT(Inputs!$B$44/IF(Inputs!$B$39="pvp",15,MAX(0.1,Skills!D22-IF(TRUE=TRUE,Inputs!$B$32,0))))+1)),0)</f>
        <v/>
      </c>
      <c r="S2642">
        <f>IFERROR(O2642/N2642,0)</f>
        <v/>
      </c>
      <c r="T2642" t="n">
        <v>0</v>
      </c>
      <c r="V2642" t="n">
        <v>0</v>
      </c>
    </row>
    <row r="2643">
      <c r="A2643">
        <f>Skills!A23</f>
        <v/>
      </c>
      <c r="B2643">
        <f>Skills!B23</f>
        <v/>
      </c>
      <c r="C2643">
        <f>Inputs!$B$3&gt;=33</f>
        <v/>
      </c>
      <c r="D2643">
        <f>IF(Skills!C23=1,60+Inputs!$B$25+Inputs!$B$29,IF(Skills!C23=2,90+Inputs!$B$26+Inputs!$B$29,IF(Skills!C23=3,120+Inputs!$B$27+Inputs!$B$29,MAX(0,(Inputs!$B$3-100)*3)+Inputs!$B$28+Inputs!$B$29)))</f>
        <v/>
      </c>
      <c r="E2643">
        <f>INDEX(FactorTable!$B$2:$Y$301, MATCH(ROUND(MIN(300,MAX(1,D2643)),0), FactorTable!$A$2:$A$301,0), Skills!M23+1)</f>
        <v/>
      </c>
      <c r="F2643">
        <f>IF(Skills!N23=TRUE,(Skills!L23/10)*(E2643/1000),Skills!L23/10)+Skills!O23</f>
        <v/>
      </c>
      <c r="G2643">
        <f>Skills!G23*IF(Skills!H23&gt;0,IF(Inputs!$B$39="pvp",MIN(Skills!I23,15),Skills!I23)/Skills!H23,1)</f>
        <v/>
      </c>
      <c r="H2643">
        <f>1-(1-Skills!J23/100)^Skills!K23</f>
        <v/>
      </c>
      <c r="I2643" t="inlineStr">
        <is>
          <t>1</t>
        </is>
      </c>
      <c r="J2643" t="inlineStr"/>
      <c r="K2643" t="inlineStr"/>
      <c r="L2643" t="inlineStr"/>
      <c r="M2643" t="inlineStr"/>
      <c r="N2643" t="inlineStr"/>
      <c r="O2643">
        <f>(1-Summary!$B$11)*T2643+Summary!$B$11*V2643</f>
        <v/>
      </c>
      <c r="P2643">
        <f>IF(B2666=0,0,O2643/B2666)</f>
        <v/>
      </c>
      <c r="Q2643" t="n">
        <v>0</v>
      </c>
      <c r="R2643" t="n">
        <v>0</v>
      </c>
      <c r="S2643">
        <f>IFERROR(O2643/N2643,0)</f>
        <v/>
      </c>
      <c r="T2643" t="n">
        <v>0</v>
      </c>
      <c r="V2643" t="n">
        <v>0</v>
      </c>
    </row>
    <row r="2644">
      <c r="A2644">
        <f>Skills!A24</f>
        <v/>
      </c>
      <c r="B2644">
        <f>Skills!B24</f>
        <v/>
      </c>
      <c r="C2644">
        <f>Inputs!$B$3&gt;=40</f>
        <v/>
      </c>
      <c r="D2644">
        <f>IF(Skills!C24=1,60+Inputs!$B$25+Inputs!$B$29,IF(Skills!C24=2,90+Inputs!$B$26+Inputs!$B$29,IF(Skills!C24=3,120+Inputs!$B$27+Inputs!$B$29,MAX(0,(Inputs!$B$3-100)*3)+Inputs!$B$28+Inputs!$B$29)))</f>
        <v/>
      </c>
      <c r="E2644">
        <f>INDEX(FactorTable!$B$2:$Y$301, MATCH(ROUND(MIN(300,MAX(1,D2644)),0), FactorTable!$A$2:$A$301,0), Skills!M24+1)</f>
        <v/>
      </c>
      <c r="F2644">
        <f>IF(Skills!N24=TRUE,(Skills!L24/10)*(E2644/1000),Skills!L24/10)+Skills!O24</f>
        <v/>
      </c>
      <c r="G2644">
        <f>Skills!G24*IF(Skills!H24&gt;0,IF(Inputs!$B$39="pvp",MIN(Skills!I24,15),Skills!I24)/Skills!H24,1)</f>
        <v/>
      </c>
      <c r="H2644">
        <f>1-(1-Skills!J24/100)^Skills!K24</f>
        <v/>
      </c>
      <c r="I2644" t="inlineStr">
        <is>
          <t>1</t>
        </is>
      </c>
      <c r="J2644" t="inlineStr"/>
      <c r="K2644" t="inlineStr"/>
      <c r="L2644" t="inlineStr"/>
      <c r="M2644" t="inlineStr"/>
      <c r="N2644" t="inlineStr"/>
      <c r="O2644">
        <f>(1-Summary!$B$11)*T2644+Summary!$B$11*V2644</f>
        <v/>
      </c>
      <c r="P2644">
        <f>IF(B2666=0,0,O2644/B2666)</f>
        <v/>
      </c>
      <c r="Q2644" t="n">
        <v>0</v>
      </c>
      <c r="R2644" t="n">
        <v>0</v>
      </c>
      <c r="S2644">
        <f>IFERROR(O2644/N2644,0)</f>
        <v/>
      </c>
      <c r="T2644" t="n">
        <v>0</v>
      </c>
      <c r="V2644" t="n">
        <v>0</v>
      </c>
    </row>
    <row r="2645">
      <c r="A2645">
        <f>Skills!A25</f>
        <v/>
      </c>
      <c r="B2645">
        <f>Skills!B25</f>
        <v/>
      </c>
      <c r="C2645">
        <f>Inputs!$B$3&gt;=43</f>
        <v/>
      </c>
      <c r="D2645">
        <f>IF(Skills!C25=1,60+Inputs!$B$25+Inputs!$B$29,IF(Skills!C25=2,90+Inputs!$B$26+Inputs!$B$29,IF(Skills!C25=3,120+Inputs!$B$27+Inputs!$B$29,MAX(0,(Inputs!$B$3-100)*3)+Inputs!$B$28+Inputs!$B$29)))</f>
        <v/>
      </c>
      <c r="E2645">
        <f>INDEX(FactorTable!$B$2:$Y$301, MATCH(ROUND(MIN(300,MAX(1,D2645)),0), FactorTable!$A$2:$A$301,0), Skills!M25+1)</f>
        <v/>
      </c>
      <c r="F2645">
        <f>IF(Skills!N25=TRUE,(Skills!L25/10)*(E2645/1000),Skills!L25/10)+Skills!O25</f>
        <v/>
      </c>
      <c r="G2645">
        <f>Skills!G25*IF(Skills!H25&gt;0,IF(Inputs!$B$39="pvp",MIN(Skills!I25,15),Skills!I25)/Skills!H25,1)</f>
        <v/>
      </c>
      <c r="H2645">
        <f>1-(1-Skills!J25/100)^Skills!K25</f>
        <v/>
      </c>
      <c r="I2645" t="inlineStr">
        <is>
          <t>1</t>
        </is>
      </c>
      <c r="J2645" t="inlineStr"/>
      <c r="K2645" t="inlineStr"/>
      <c r="L2645" t="inlineStr"/>
      <c r="M2645" t="inlineStr"/>
      <c r="N2645" t="inlineStr"/>
      <c r="O2645">
        <f>(1-Summary!$B$11)*T2645+Summary!$B$11*V2645</f>
        <v/>
      </c>
      <c r="P2645">
        <f>IF(B2666=0,0,O2645/B2666)</f>
        <v/>
      </c>
      <c r="Q2645" t="n">
        <v>0</v>
      </c>
      <c r="R2645" t="n">
        <v>0</v>
      </c>
      <c r="S2645">
        <f>IFERROR(O2645/N2645,0)</f>
        <v/>
      </c>
      <c r="T2645" t="n">
        <v>0</v>
      </c>
      <c r="V2645" t="n">
        <v>0</v>
      </c>
    </row>
    <row r="2646">
      <c r="A2646">
        <f>Skills!A26</f>
        <v/>
      </c>
      <c r="B2646">
        <f>Skills!B26</f>
        <v/>
      </c>
      <c r="C2646">
        <f>Inputs!$B$3&gt;=50</f>
        <v/>
      </c>
      <c r="D2646">
        <f>IF(Skills!C26=1,60+Inputs!$B$25+Inputs!$B$29,IF(Skills!C26=2,90+Inputs!$B$26+Inputs!$B$29,IF(Skills!C26=3,120+Inputs!$B$27+Inputs!$B$29,MAX(0,(Inputs!$B$3-100)*3)+Inputs!$B$28+Inputs!$B$29)))</f>
        <v/>
      </c>
      <c r="E2646">
        <f>INDEX(FactorTable!$B$2:$Y$301, MATCH(ROUND(MIN(300,MAX(1,D2646)),0), FactorTable!$A$2:$A$301,0), Skills!M26+1)</f>
        <v/>
      </c>
      <c r="F2646">
        <f>IF(Skills!N26=TRUE,(Skills!L26/10)*(E2646/1000),Skills!L26/10)+Skills!O26</f>
        <v/>
      </c>
      <c r="G2646">
        <f>Skills!G26*IF(Skills!H26&gt;0,IF(Inputs!$B$39="pvp",MIN(Skills!I26,15),Skills!I26)/Skills!H26,1)</f>
        <v/>
      </c>
      <c r="H2646">
        <f>1-(1-Skills!J26/100)^Skills!K26</f>
        <v/>
      </c>
      <c r="I2646" t="inlineStr">
        <is>
          <t>1</t>
        </is>
      </c>
      <c r="J2646" t="inlineStr"/>
      <c r="K2646" t="inlineStr"/>
      <c r="L2646" t="inlineStr"/>
      <c r="M2646" t="inlineStr"/>
      <c r="N2646" t="inlineStr"/>
      <c r="O2646">
        <f>(1-Summary!$B$11)*T2646+Summary!$B$11*V2646</f>
        <v/>
      </c>
      <c r="P2646">
        <f>IF(B2666=0,0,O2646/B2666)</f>
        <v/>
      </c>
      <c r="Q2646" t="n">
        <v>0</v>
      </c>
      <c r="R2646" t="n">
        <v>0</v>
      </c>
      <c r="S2646">
        <f>IFERROR(O2646/N2646,0)</f>
        <v/>
      </c>
      <c r="T2646" t="n">
        <v>0</v>
      </c>
      <c r="V2646" t="n">
        <v>0</v>
      </c>
    </row>
    <row r="2647">
      <c r="A2647">
        <f>Skills!A27</f>
        <v/>
      </c>
      <c r="B2647">
        <f>Skills!B27</f>
        <v/>
      </c>
      <c r="C2647">
        <f>Inputs!$B$3&gt;=50</f>
        <v/>
      </c>
      <c r="D2647">
        <f>IF(Skills!C27=1,60+Inputs!$B$25+Inputs!$B$29,IF(Skills!C27=2,90+Inputs!$B$26+Inputs!$B$29,IF(Skills!C27=3,120+Inputs!$B$27+Inputs!$B$29,MAX(0,(Inputs!$B$3-100)*3)+Inputs!$B$28+Inputs!$B$29)))</f>
        <v/>
      </c>
      <c r="E2647">
        <f>INDEX(FactorTable!$B$2:$Y$301, MATCH(ROUND(MIN(300,MAX(1,D2647)),0), FactorTable!$A$2:$A$301,0), Skills!M27+1)</f>
        <v/>
      </c>
      <c r="F2647">
        <f>IF(Skills!N27=TRUE,(Skills!L27/10)*(E2647/1000),Skills!L27/10)+Skills!O27</f>
        <v/>
      </c>
      <c r="G2647">
        <f>Skills!G27*IF(Skills!H27&gt;0,IF(Inputs!$B$39="pvp",MIN(Skills!I27,15),Skills!I27)/Skills!H27,1)</f>
        <v/>
      </c>
      <c r="H2647">
        <f>1-(1-Skills!J27/100)^Skills!K27</f>
        <v/>
      </c>
      <c r="I2647" t="inlineStr">
        <is>
          <t>1</t>
        </is>
      </c>
      <c r="J2647" t="inlineStr"/>
      <c r="K2647" t="inlineStr"/>
      <c r="L2647" t="inlineStr"/>
      <c r="M2647" t="inlineStr"/>
      <c r="N2647" t="inlineStr"/>
      <c r="O2647">
        <f>(1-Summary!$B$11)*T2647+Summary!$B$11*V2647</f>
        <v/>
      </c>
      <c r="P2647">
        <f>IF(B2666=0,0,O2647/B2666)</f>
        <v/>
      </c>
      <c r="Q2647" t="n">
        <v>0</v>
      </c>
      <c r="R2647" t="n">
        <v>0</v>
      </c>
      <c r="S2647">
        <f>IFERROR(O2647/N2647,0)</f>
        <v/>
      </c>
      <c r="T2647" t="n">
        <v>0</v>
      </c>
      <c r="V2647" t="n">
        <v>0</v>
      </c>
    </row>
    <row r="2648">
      <c r="A2648">
        <f>Skills!A28</f>
        <v/>
      </c>
      <c r="B2648">
        <f>Skills!B28</f>
        <v/>
      </c>
      <c r="C2648">
        <f>Inputs!$B$3&gt;=38</f>
        <v/>
      </c>
      <c r="D2648">
        <f>IF(Skills!C28=1,60+Inputs!$B$25+Inputs!$B$29,IF(Skills!C28=2,90+Inputs!$B$26+Inputs!$B$29,IF(Skills!C28=3,120+Inputs!$B$27+Inputs!$B$29,MAX(0,(Inputs!$B$3-100)*3)+Inputs!$B$28+Inputs!$B$29)))</f>
        <v/>
      </c>
      <c r="E2648">
        <f>INDEX(FactorTable!$B$2:$Y$301, MATCH(ROUND(MIN(300,MAX(1,D2648)),0), FactorTable!$A$2:$A$301,0), Skills!M28+1)</f>
        <v/>
      </c>
      <c r="F2648">
        <f>IF(Skills!N28=TRUE,(Skills!L28/10)*(E2648/1000),Skills!L28/10)+Skills!O28</f>
        <v/>
      </c>
      <c r="G2648">
        <f>Skills!G28*IF(Skills!H28&gt;0,IF(Inputs!$B$39="pvp",MIN(Skills!I28,15),Skills!I28)/Skills!H28,1)</f>
        <v/>
      </c>
      <c r="H2648">
        <f>1-(1-Skills!J28/100)^Skills!K28</f>
        <v/>
      </c>
      <c r="I2648" t="inlineStr">
        <is>
          <t>1</t>
        </is>
      </c>
      <c r="J2648" t="inlineStr"/>
      <c r="K2648" t="inlineStr"/>
      <c r="L2648" t="inlineStr"/>
      <c r="M2648" t="inlineStr"/>
      <c r="N2648" t="inlineStr"/>
      <c r="O2648">
        <f>(1-Summary!$B$11)*T2648+Summary!$B$11*V2648</f>
        <v/>
      </c>
      <c r="P2648">
        <f>IF(B2666=0,0,O2648/B2666)</f>
        <v/>
      </c>
      <c r="Q2648" t="n">
        <v>0</v>
      </c>
      <c r="R2648" t="n">
        <v>0</v>
      </c>
      <c r="S2648">
        <f>IFERROR(O2648/N2648,0)</f>
        <v/>
      </c>
      <c r="T2648" t="n">
        <v>0</v>
      </c>
      <c r="V2648" t="n">
        <v>0</v>
      </c>
    </row>
    <row r="2649">
      <c r="A2649">
        <f>Skills!A29</f>
        <v/>
      </c>
      <c r="B2649">
        <f>Skills!B29</f>
        <v/>
      </c>
      <c r="C2649">
        <f>Inputs!$B$3&gt;=120</f>
        <v/>
      </c>
      <c r="D2649">
        <f>IF(Skills!C29=1,60+Inputs!$B$25+Inputs!$B$29,IF(Skills!C29=2,90+Inputs!$B$26+Inputs!$B$29,IF(Skills!C29=3,120+Inputs!$B$27+Inputs!$B$29,MAX(0,(Inputs!$B$3-100)*3)+Inputs!$B$28+Inputs!$B$29)))</f>
        <v/>
      </c>
      <c r="E2649">
        <f>INDEX(FactorTable!$B$2:$Y$301, MATCH(ROUND(MIN(300,MAX(1,D2649)),0), FactorTable!$A$2:$A$301,0), Skills!M29+1)</f>
        <v/>
      </c>
      <c r="F2649">
        <f>IF(Skills!N29=TRUE,(Skills!L29/10)*(E2649/1000),Skills!L29/10)+Skills!O29</f>
        <v/>
      </c>
      <c r="G2649">
        <f>Skills!G29*IF(Skills!H29&gt;0,IF(Inputs!$B$39="pvp",MIN(Skills!I29,15),Skills!I29)/Skills!H29,1)</f>
        <v/>
      </c>
      <c r="H2649">
        <f>1-(1-Skills!J29/100)^Skills!K29</f>
        <v/>
      </c>
      <c r="I2649" t="inlineStr">
        <is>
          <t>1</t>
        </is>
      </c>
      <c r="J2649" t="inlineStr"/>
      <c r="K2649" t="inlineStr"/>
      <c r="L2649" t="inlineStr"/>
      <c r="M2649" t="inlineStr"/>
      <c r="N2649" t="inlineStr"/>
      <c r="O2649">
        <f>(1-Summary!$B$11)*T2649+Summary!$B$11*V2649</f>
        <v/>
      </c>
      <c r="P2649">
        <f>IF(B2666=0,0,O2649/B2666)</f>
        <v/>
      </c>
      <c r="Q2649" t="n">
        <v>0</v>
      </c>
      <c r="R2649" t="n">
        <v>0</v>
      </c>
      <c r="S2649">
        <f>IFERROR(O2649/N2649,0)</f>
        <v/>
      </c>
      <c r="T2649" t="n">
        <v>0</v>
      </c>
      <c r="V2649" t="n">
        <v>0</v>
      </c>
    </row>
    <row r="2650">
      <c r="A2650">
        <f>Skills!A30</f>
        <v/>
      </c>
      <c r="B2650">
        <f>Skills!B30</f>
        <v/>
      </c>
      <c r="C2650">
        <f>Inputs!$B$3&gt;=120</f>
        <v/>
      </c>
      <c r="D2650">
        <f>IF(Skills!C30=1,60+Inputs!$B$25+Inputs!$B$29,IF(Skills!C30=2,90+Inputs!$B$26+Inputs!$B$29,IF(Skills!C30=3,120+Inputs!$B$27+Inputs!$B$29,MAX(0,(Inputs!$B$3-100)*3)+Inputs!$B$28+Inputs!$B$29)))</f>
        <v/>
      </c>
      <c r="E2650">
        <f>INDEX(FactorTable!$B$2:$Y$301, MATCH(ROUND(MIN(300,MAX(1,D2650)),0), FactorTable!$A$2:$A$301,0), Skills!M30+1)</f>
        <v/>
      </c>
      <c r="F2650">
        <f>IF(Skills!N30=TRUE,(Skills!L30/10)*(E2650/1000),Skills!L30/10)+Skills!O30</f>
        <v/>
      </c>
      <c r="G2650">
        <f>Skills!G30*IF(Skills!H30&gt;0,IF(Inputs!$B$39="pvp",MIN(Skills!I30,15),Skills!I30)/Skills!H30,1)</f>
        <v/>
      </c>
      <c r="H2650">
        <f>1-(1-Skills!J30/100)^Skills!K30</f>
        <v/>
      </c>
      <c r="I2650" t="inlineStr">
        <is>
          <t>1</t>
        </is>
      </c>
      <c r="J2650" t="inlineStr"/>
      <c r="K2650" t="inlineStr"/>
      <c r="L2650" t="inlineStr"/>
      <c r="M2650" t="inlineStr"/>
      <c r="N2650" t="inlineStr"/>
      <c r="O2650">
        <f>(1-Summary!$B$11)*T2650+Summary!$B$11*V2650</f>
        <v/>
      </c>
      <c r="P2650">
        <f>IF(B2666=0,0,O2650/B2666)</f>
        <v/>
      </c>
      <c r="Q2650" t="n">
        <v>0</v>
      </c>
      <c r="R2650" t="n">
        <v>0</v>
      </c>
      <c r="S2650">
        <f>IFERROR(O2650/N2650,0)</f>
        <v/>
      </c>
      <c r="T2650" t="n">
        <v>0</v>
      </c>
      <c r="V2650" t="n">
        <v>0</v>
      </c>
    </row>
    <row r="2651">
      <c r="A2651">
        <f>Skills!A31</f>
        <v/>
      </c>
      <c r="B2651">
        <f>Skills!B31</f>
        <v/>
      </c>
      <c r="C2651">
        <f>Inputs!$B$3&gt;=125</f>
        <v/>
      </c>
      <c r="D2651">
        <f>IF(Skills!C31=1,60+Inputs!$B$25+Inputs!$B$29,IF(Skills!C31=2,90+Inputs!$B$26+Inputs!$B$29,IF(Skills!C31=3,120+Inputs!$B$27+Inputs!$B$29,MAX(0,(Inputs!$B$3-100)*3)+Inputs!$B$28+Inputs!$B$29)))</f>
        <v/>
      </c>
      <c r="E2651">
        <f>INDEX(FactorTable!$B$2:$Y$301, MATCH(ROUND(MIN(300,MAX(1,D2651)),0), FactorTable!$A$2:$A$301,0), Skills!M31+1)</f>
        <v/>
      </c>
      <c r="F2651">
        <f>IF(Skills!N31=TRUE,(Skills!L31/10)*(E2651/1000),Skills!L31/10)+Skills!O31</f>
        <v/>
      </c>
      <c r="G2651">
        <f>Skills!G31*IF(Skills!H31&gt;0,IF(Inputs!$B$39="pvp",MIN(Skills!I31,15),Skills!I31)/Skills!H31,1)</f>
        <v/>
      </c>
      <c r="H2651">
        <f>1-(1-Skills!J31/100)^Skills!K31</f>
        <v/>
      </c>
      <c r="I2651" t="inlineStr">
        <is>
          <t>1</t>
        </is>
      </c>
      <c r="J2651" t="inlineStr"/>
      <c r="K2651" t="inlineStr"/>
      <c r="L2651" t="inlineStr"/>
      <c r="M2651" t="inlineStr"/>
      <c r="N2651" t="inlineStr"/>
      <c r="O2651">
        <f>(1-Summary!$B$11)*T2651+Summary!$B$11*V2651</f>
        <v/>
      </c>
      <c r="P2651">
        <f>IF(B2666=0,0,O2651/B2666)</f>
        <v/>
      </c>
      <c r="Q2651" t="n">
        <v>0</v>
      </c>
      <c r="R2651" t="n">
        <v>0</v>
      </c>
      <c r="S2651">
        <f>IFERROR(O2651/N2651,0)</f>
        <v/>
      </c>
      <c r="T2651" t="n">
        <v>0</v>
      </c>
      <c r="V2651" t="n">
        <v>0</v>
      </c>
    </row>
    <row r="2653">
      <c r="A2653" t="inlineStr">
        <is>
          <t>Average Buff Multiplier</t>
        </is>
      </c>
      <c r="B2653">
        <f>(1+(((C2642=TRUE)*F2642*IF(AND(Inputs!$B$39&lt;&gt;"pvp",Inputs!$B$44&gt;0),(((R2642-1)*MIN((Skills!Y22*(1+Inputs!$B$34/100)),(1/Q2642))+MIN((Skills!Y22*(1+Inputs!$B$34/100)),MAX(0,Inputs!$B$44-((R2642-1)*(1/Q2642)))))/Inputs!$B$44),IF(Inputs!$B$39="pvp",MIN((Skills!Y22*(1+Inputs!$B$34/100)),15)/15,MIN(1,(Skills!Y22*(1+Inputs!$B$34/100))/(1/Q2642)))))+((C2623=TRUE)*F2623*3)+((C2625=TRUE)*F2625*(1-EXP(-0.75*B2658*5)))+((C2644=TRUE)*(F2644-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2631=TRUE)*F2631*IF(AND(Inputs!$B$39&lt;&gt;"pvp",Inputs!$B$44&gt;0),(((R2631-1)*MIN((Skills!Y11*(1+Inputs!$B$34/100)),(1/Q2631))+MIN((Skills!Y11*(1+Inputs!$B$34/100)),MAX(0,Inputs!$B$44-((R2631-1)*(1/Q2631)))))/Inputs!$B$44),IF(Inputs!$B$39="pvp",MIN((Skills!Y11*(1+Inputs!$B$34/100)),15)/15,MIN(1,(Skills!Y11*(1+Inputs!$B$34/100))/(1/Q2631)))))/100)*(1+((C2636=TRUE)*F2636*IF(AND(Inputs!$B$39&lt;&gt;"pvp",Inputs!$B$44&gt;0),(((R2636-1)*MIN((Skills!Y16*(1+Inputs!$B$34/100)),(1/Q2636))+MIN((Skills!Y16*(1+Inputs!$B$34/100)),MAX(0,Inputs!$B$44-((R2636-1)*(1/Q2636)))))/Inputs!$B$44),IF(Inputs!$B$39="pvp",MIN((Skills!Y16*(1+Inputs!$B$34/100)),15)/15,MIN(1,(Skills!Y16*(1+Inputs!$B$34/100))/(1/Q2636)))))/100)</f>
        <v/>
      </c>
    </row>
    <row r="2654">
      <c r="A2654" t="inlineStr">
        <is>
          <t>Global Crit Rate Bonus %</t>
        </is>
      </c>
      <c r="B2654">
        <f>((C2641=TRUE)*F2641*IF(AND(Inputs!$B$39&lt;&gt;"pvp",Inputs!$B$44&gt;0),(((R2641-1)*MIN((Skills!Y21*(1+Inputs!$B$34/100)),(1/Q2641))+MIN((Skills!Y21*(1+Inputs!$B$34/100)),MAX(0,Inputs!$B$44-((R2641-1)*(1/Q2641)))))/Inputs!$B$44),IF(Inputs!$B$39="pvp",MIN((Skills!Y21*(1+Inputs!$B$34/100)),15)/15,MIN(1,(Skills!Y21*(1+Inputs!$B$34/100))/(1/Q2641)))))</f>
        <v/>
      </c>
    </row>
    <row r="2655">
      <c r="A2655" t="inlineStr">
        <is>
          <t>Global Monster Damage-Taken Bonus %</t>
        </is>
      </c>
      <c r="B2655">
        <f>IF(Inputs!$B$3&gt;=82,15,0)</f>
        <v/>
      </c>
    </row>
    <row r="2656">
      <c r="A2656" t="inlineStr">
        <is>
          <t>Shadow Partner Average Multiplier</t>
        </is>
      </c>
      <c r="B2656">
        <f>1+((C2628=TRUE)*F2628*(1+3.3333333333333335*IF(C2639=TRUE,F2639,0)/100)*I2628*Skills!J8/100)/100</f>
        <v/>
      </c>
    </row>
    <row r="2657">
      <c r="A2657" t="inlineStr">
        <is>
          <t>Attack Speed Buff Bonus %</t>
        </is>
      </c>
      <c r="B2657">
        <f>((C2640=TRUE)*F2640*IF(AND(Inputs!$B$39&lt;&gt;"pvp",Inputs!$B$44&gt;0),(((R2640-1)*MIN((Skills!Y20*(1+Inputs!$B$34/100)),(1/Q2640))+MIN((Skills!Y20*(1+Inputs!$B$34/100)),MAX(0,Inputs!$B$44-((R2640-1)*(1/Q2640)))))/Inputs!$B$44),IF(Inputs!$B$39="pvp",MIN((Skills!Y20*(1+Inputs!$B$34/100)),15)/15,MIN(1,(Skills!Y20*(1+Inputs!$B$34/100))/(1/Q2640)))))</f>
        <v/>
      </c>
    </row>
    <row r="2658">
      <c r="A2658" t="inlineStr">
        <is>
          <t>Actions Per Second</t>
        </is>
      </c>
      <c r="B2658">
        <f>1+MIN(150,150*(1-(1-(Inputs!$B$11+((C2643=TRUE)*(F2643-Calc!F23)))/150)*(1-B2657/150)))/100</f>
        <v/>
      </c>
    </row>
    <row r="2659">
      <c r="A2659" t="inlineStr">
        <is>
          <t>Skill + Buff Cast Rate</t>
        </is>
      </c>
      <c r="B2659">
        <f>IF(AND(Inputs!$B$39&lt;&gt;"pvp",Inputs!$B$44&gt;0),SUMPRODUCT((Skills!E2:E31=TRUE)*(C2622:C2651=TRUE)*R2622:R2651*Skills!F2:F31)/Inputs!$B$44,SUMPRODUCT((Skills!E2:E31=TRUE)*(C2622:C2651=TRUE)*Q2622:Q2651*Skills!F2:F31))</f>
        <v/>
      </c>
    </row>
    <row r="2660">
      <c r="A2660" t="inlineStr">
        <is>
          <t>Cruel Stab Casts Per Second</t>
        </is>
      </c>
      <c r="B2660">
        <f>MAX(0,B2658-B2659)</f>
        <v/>
      </c>
    </row>
    <row r="2661">
      <c r="A2661" t="inlineStr">
        <is>
          <t>Global Critical Damage Bonus % (Smokescreen Mastery Lv.113)</t>
        </is>
      </c>
      <c r="B2661">
        <f>IF(Inputs!$B$3&gt;=113,30,0)*IF(AND(Inputs!$B$39&lt;&gt;"pvp",Inputs!$B$44&gt;0),(((R2636-1)*MIN((Skills!Y16*(1+Inputs!$B$34/100)),(1/Q2636))+MIN((Skills!Y16*(1+Inputs!$B$34/100)),MAX(0,Inputs!$B$44-((R2636-1)*(1/Q2636)))))/Inputs!$B$44),IF(Inputs!$B$39="pvp",MIN((Skills!Y16*(1+Inputs!$B$34/100)),15)/15,MIN(1,(Skills!Y16*(1+Inputs!$B$34/100))/(1/Q2636))))</f>
        <v/>
      </c>
    </row>
    <row r="2662">
      <c r="A2662" t="inlineStr">
        <is>
          <t>Meso Explosion average stack count</t>
        </is>
      </c>
      <c r="B2662">
        <f>MIN(10,IF(Inputs!$B$3&gt;=75,0.75,0.5)*B2658*(1/Q2624))</f>
        <v/>
      </c>
    </row>
    <row r="2663">
      <c r="A2663" t="inlineStr">
        <is>
          <t>Blood Money average stack count</t>
        </is>
      </c>
      <c r="B2663">
        <f>MIN(5,0.5*IF(Inputs!$B$3&gt;=75,0.75,0.5)*B2658*(1/Q2624))</f>
        <v/>
      </c>
    </row>
    <row r="2664">
      <c r="A2664" t="inlineStr">
        <is>
          <t>Assassinate Murderous Intent Multiplier</t>
        </is>
      </c>
      <c r="B2664">
        <f>1+IFERROR(MIN(1,Q2635*2/Q2632),0)</f>
        <v/>
      </c>
    </row>
    <row r="2665">
      <c r="A2665" t="inlineStr">
        <is>
          <t>Buff-Casting Startup Delay (s, fixed-duration only)</t>
        </is>
      </c>
      <c r="B2665">
        <f>IF(AND(Inputs!$B$39&lt;&gt;"pvp",Inputs!$B$44&gt;0),SUMPRODUCT((Skills!Y2:Y31&gt;0)*(Skills!E2:E31=TRUE)*(C2622:C2651=TRUE))/B2658,0)</f>
        <v/>
      </c>
    </row>
    <row r="2666">
      <c r="A2666" s="6" t="inlineStr">
        <is>
          <t>TOTAL DPS</t>
        </is>
      </c>
      <c r="B2666" s="6">
        <f>SUM(O2622:O2651)</f>
        <v/>
      </c>
    </row>
    <row r="2667">
      <c r="A2667" t="inlineStr">
        <is>
          <t>Boss-Only Total DPS (this block's swept value)</t>
        </is>
      </c>
      <c r="B2667">
        <f>SUM(T2622:T2651)</f>
        <v/>
      </c>
    </row>
    <row r="2668">
      <c r="A2668" t="inlineStr">
        <is>
          <t>Normal-Only Total DPS (this block's swept value)</t>
        </is>
      </c>
      <c r="B2668">
        <f>SUM(V2622:V2651)</f>
        <v/>
      </c>
    </row>
    <row r="2671">
      <c r="A2671" s="6" t="inlineStr">
        <is>
          <t>Stat: Icy Soul Rock (Equip)</t>
        </is>
      </c>
    </row>
    <row r="2672">
      <c r="A2672" s="5" t="inlineStr">
        <is>
          <t>Key</t>
        </is>
      </c>
      <c r="B2672" s="5" t="inlineStr">
        <is>
          <t>Name</t>
        </is>
      </c>
      <c r="C2672" s="5" t="inlineStr">
        <is>
          <t>Unlocked</t>
        </is>
      </c>
      <c r="D2672" s="5" t="inlineStr">
        <is>
          <t>InputLevel</t>
        </is>
      </c>
      <c r="E2672" s="5" t="inlineStr">
        <is>
          <t>Factor</t>
        </is>
      </c>
      <c r="F2672" s="5" t="inlineStr">
        <is>
          <t>CoefficientPercent</t>
        </is>
      </c>
      <c r="G2672" s="5" t="inlineStr">
        <is>
          <t>EffectiveHits</t>
        </is>
      </c>
      <c r="H2672" s="5" t="inlineStr">
        <is>
          <t>ProcProbability</t>
        </is>
      </c>
      <c r="I2672" s="5" t="inlineStr">
        <is>
          <t>MapleHeroMultiplier</t>
        </is>
      </c>
      <c r="J2672" s="5" t="inlineStr">
        <is>
          <t>BaseDamage</t>
        </is>
      </c>
      <c r="K2672" s="5" t="inlineStr">
        <is>
          <t>BaseHitDamage</t>
        </is>
      </c>
      <c r="L2672" s="5" t="inlineStr">
        <is>
          <t>NonCritAvg</t>
        </is>
      </c>
      <c r="M2672" s="5" t="inlineStr">
        <is>
          <t>CritAvg</t>
        </is>
      </c>
      <c r="N2672" s="5" t="inlineStr">
        <is>
          <t>ExpectedDamage(perHit)</t>
        </is>
      </c>
      <c r="O2672" s="5" t="inlineStr">
        <is>
          <t>DPS</t>
        </is>
      </c>
      <c r="P2672" s="5" t="inlineStr">
        <is>
          <t>% of Total</t>
        </is>
      </c>
      <c r="Q2672" s="5" t="inlineStr">
        <is>
          <t>InvCooldown</t>
        </is>
      </c>
      <c r="R2672" s="5" t="inlineStr">
        <is>
          <t>CastsInFight</t>
        </is>
      </c>
      <c r="S2672" s="5" t="inlineStr">
        <is>
          <t>HitRate(perSec)</t>
        </is>
      </c>
      <c r="U2672" t="inlineStr">
        <is>
          <t>helpers</t>
        </is>
      </c>
    </row>
    <row r="2673">
      <c r="A2673">
        <f>Skills!A2</f>
        <v/>
      </c>
      <c r="B2673">
        <f>Skills!B2</f>
        <v/>
      </c>
      <c r="C2673">
        <f>Inputs!$B$3&gt;=100</f>
        <v/>
      </c>
      <c r="D2673" t="inlineStr"/>
      <c r="E2673" t="inlineStr"/>
      <c r="F2673">
        <f>U2675+Skills!O2</f>
        <v/>
      </c>
      <c r="G2673">
        <f>Skills!G2*IF(Skills!H2&gt;0,IF(Inputs!$B$39="pvp",MIN(Skills!I2,15),Skills!I2)/Skills!H2,1)</f>
        <v/>
      </c>
      <c r="H2673">
        <f>1-(1-Skills!J2/100)^Skills!K2</f>
        <v/>
      </c>
      <c r="I2673" t="inlineStr">
        <is>
          <t>1</t>
        </is>
      </c>
      <c r="J2673">
        <f>((Inputs!$B$6*(1+Inputs!$B$7/100))+(((Inputs!$B$12*(1+Inputs!$B$13/100))-(Inputs!$B$12*(1+Inputs!$B$13/100)))+0.25*(Inputs!$B$14-Inputs!$B$14))*(1+Inputs!$B$7/100))*(F2673/100)</f>
        <v/>
      </c>
      <c r="K2673">
        <f>J2673*(1+((Inputs!$B$12*(1+Inputs!$B$13/100))*0.01+Inputs!$B$14*0.0025)/100)*(1+Inputs!$B$15/100)*(1+Inputs!$B$16/100)*(5000/(6000+Inputs!$B$43*(1-(100*(1-(1-Inputs!$B$19/100)*(1-CHOOSE(ArtifactsInput!$N$40+1,5,6,7,8,9,10)/100)^(ArtifactsInput!$M$40-ArtifactsInput!$M$40)))/100)))*(1+(Inputs!$B$24+((C2702=TRUE)*(F2702-Calc!F31))+((C2689=TRUE)*(F2689-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CRUEL_STAB",Inputs!$B$17+((C2699=TRUE)*(F2699-Calc!F28))+((IF(AND(Inputs!$B$39&lt;&gt;"pvp",Inputs!$B$44=0),1,IF(IF(Inputs!$B$39="pvp",15,Inputs!$B$44)-(B2716)&lt;=0,1,MAX(0,IF(Inputs!$B$39="pvp",15,Inputs!$B$44)-MAX(5,B2716))/(IF(Inputs!$B$39="pvp",15,Inputs!$B$44)-(B2716))))*(IF(AND(ArtifactsInput!$M$42,((Inputs!$B$9+((C2697=TRUE)*(F2697-Calc!F26))+B2705+(ArtifactsInput!$M$24-ArtifactsInput!$M$24)*CHOOSE(ArtifactsInput!$N$24+1,10,12,14,16,18,20)+IF(ArtifactsInput!$M$10,CHOOSE(ArtifactsInput!$N$10+1,15,18,21,24,27,30)*(IF(Inputs!$B$39="pvp",MIN(15,15)/15,IF(AND(Inputs!$B$39&lt;&gt;"pvp",Inputs!$B$44&gt;0),MIN(15,Inputs!$B$44)/(Inputs!$B$44),0))),0)))&gt;=100),MIN(100,((Inputs!$B$9+((C2697=TRUE)*(F2697-Calc!F26))+B2705+(ArtifactsInput!$M$24-ArtifactsInput!$M$24)*CHOOSE(ArtifactsInput!$N$24+1,10,12,14,16,18,20)+IF(ArtifactsInput!$M$10,CHOOSE(ArtifactsInput!$N$10+1,15,18,21,24,27,30)*(IF(Inputs!$B$39="pvp",MIN(15,15)/15,IF(AND(Inputs!$B$39&lt;&gt;"pvp",Inputs!$B$44&gt;0),MIN(15,Inputs!$B$44)/(Inputs!$B$44),0))),0)))-100),0))*CHOOSE(ArtifactsInput!$N$42+1,0.6,0.72,0.84,0.96,1.08,1.2))),Inputs!$B$18+((C2700=TRUE)*(F2700-Calc!F29))+(IF(AND(Inputs!$B$39&lt;&gt;"pvp",Inputs!$B$44=0),1,IF(IF(Inputs!$B$39="pvp",15,Inputs!$B$44)-(B2716)&lt;=0,1,MAX(0,IF(Inputs!$B$39="pvp",15,Inputs!$B$44)-MAX(5,B2716))/(IF(Inputs!$B$39="pvp",15,Inputs!$B$44)-(B2716))))*IF(AND(ArtifactsInput!$M$42,((Inputs!$B$9+((C2697=TRUE)*(F2697-Calc!F26))+B2705+(ArtifactsInput!$M$24-ArtifactsInput!$M$24)*CHOOSE(ArtifactsInput!$N$24+1,10,12,14,16,18,20)+IF(ArtifactsInput!$M$10,CHOOSE(ArtifactsInput!$N$10+1,15,18,21,24,27,30)*(IF(Inputs!$B$39="pvp",MIN(15,15)/15,IF(AND(Inputs!$B$39&lt;&gt;"pvp",Inputs!$B$44&gt;0),MIN(15,Inputs!$B$44)/(Inputs!$B$44),0))),0)))&gt;=100),CHOOSE(ArtifactsInput!$N$42+1,40,48,56,64,72,80),0))))/100)*(((1+(((C2693=TRUE)*F2693*IF(AND(Inputs!$B$39&lt;&gt;"pvp",Inputs!$B$44&gt;0),(((R2693-1)*MIN((Skills!Y22*(1+Inputs!$B$34/100)),(1/Q2693))+MIN((Skills!Y22*(1+Inputs!$B$34/100)),MAX(0,Inputs!$B$44-((R2693-1)*(1/Q2693)))))/Inputs!$B$44),IF(Inputs!$B$39="pvp",MIN((Skills!Y22*(1+Inputs!$B$34/100)),15)/15,MIN(1,(Skills!Y22*(1+Inputs!$B$34/100))/(1/Q2693)))))+((C2674=TRUE)*F2674*3)+((C2676=TRUE)*F2676*(1-EXP(-0.75*B2709*5)))+((C2695=TRUE)*(F2695-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2682=TRUE)*F2682*IF(AND(Inputs!$B$39&lt;&gt;"pvp",Inputs!$B$44&gt;0),(((R2682-1)*MIN((Skills!Y11*(1+Inputs!$B$34/100)),(1/Q2682))+MIN((Skills!Y11*(1+Inputs!$B$34/100)),MAX(0,Inputs!$B$44-((R2682-1)*(1/Q2682)))))/Inputs!$B$44),IF(Inputs!$B$39="pvp",MIN((Skills!Y11*(1+Inputs!$B$34/100)),15)/15,MIN(1,(Skills!Y11*(1+Inputs!$B$34/100))/(1/Q2682)))))/100)*(1+((C2687=TRUE)*F2687*IF(AND(Inputs!$B$39&lt;&gt;"pvp",Inputs!$B$44&gt;0),(((R2687-1)*MIN((Skills!Y16*(1+Inputs!$B$34/100)),(1/Q2687))+MIN((Skills!Y16*(1+Inputs!$B$34/100)),MAX(0,Inputs!$B$44-((R2687-1)*(1/Q2687)))))/Inputs!$B$44),IF(Inputs!$B$39="pvp",MIN((Skills!Y16*(1+Inputs!$B$34/100)),15)/15,MIN(1,(Skills!Y16*(1+Inputs!$B$34/100))/(1/Q2687)))))/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2707*I2673)</f>
        <v/>
      </c>
      <c r="L2673">
        <f>K2673*(MIN(Inputs!$B$22+((C2696=TRUE)*(F2696-Calc!F25)),(Inputs!$B$23+((C2701=TRUE)*(F2701-Calc!F30))+IF(ArtifactsInput!$M$15,CHOOSE(ArtifactsInput!$N$15+1,25,30,35,40,45,50)/100*(Inputs!$B$11-Inputs!$B$11),0)))/100+(Inputs!$B$23+((C2701=TRUE)*(F2701-Calc!F30))+IF(ArtifactsInput!$M$15,CHOOSE(ArtifactsInput!$N$15+1,25,30,35,40,45,50)/100*(Inputs!$B$11-Inputs!$B$11),0))/100)/2</f>
        <v/>
      </c>
      <c r="M2673">
        <f>L2673*(1+(Inputs!$B$10+((C2698=TRUE)*(F2698-Calc!F27))+B2712+(IF(ArtifactsInput!$M$24,CHOOSE(ArtifactsInput!$N$24+1,30,36,42,48,54,60)/100*(Inputs!$B$9-Inputs!$B$9),0)+IF(ArtifactsInput!$M$10,CHOOSE(ArtifactsInput!$N$10+1,20,24,28,32,36,40)*(IF(Inputs!$B$39="pvp",MIN(15,15)/15,IF(AND(Inputs!$B$39&lt;&gt;"pvp",Inputs!$B$44&gt;0),MIN(15,Inputs!$B$44)/(Inputs!$B$44),0))),0)+IF(IF(ArtifactsInput!$M$31,FALSE,TRUE),1.5*CHOOSE(ArtifactsInput!$N$31+1,20,24,28,32,36,40),0)))/100)</f>
        <v/>
      </c>
      <c r="N2673">
        <f>L2673*(1-MIN((Inputs!$B$9+((C2697=TRUE)*(F2697-Calc!F26))+B2705+(ArtifactsInput!$M$24-ArtifactsInput!$M$24)*CHOOSE(ArtifactsInput!$N$24+1,10,12,14,16,18,20)+(IF(AND(Inputs!$B$39&lt;&gt;"pvp",Inputs!$B$44=0),1,IF(IF(Inputs!$B$39="pvp",15,Inputs!$B$44)-(B2716)&lt;=0,1,MAX(0,IF(Inputs!$B$39="pvp",15,Inputs!$B$44)-MAX(5,B2716))/(IF(Inputs!$B$39="pvp",15,Inputs!$B$44)-(B2716))))*IF(AND(ArtifactsInput!$M$42,((Inputs!$B$9+((C2697=TRUE)*(F2697-Calc!F26))+B2705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2673*(MIN((Inputs!$B$9+((C2697=TRUE)*(F2697-Calc!F26))+B2705+(ArtifactsInput!$M$24-ArtifactsInput!$M$24)*CHOOSE(ArtifactsInput!$N$24+1,10,12,14,16,18,20)+(IF(AND(Inputs!$B$39&lt;&gt;"pvp",Inputs!$B$44=0),1,IF(IF(Inputs!$B$39="pvp",15,Inputs!$B$44)-(B2716)&lt;=0,1,MAX(0,IF(Inputs!$B$39="pvp",15,Inputs!$B$44)-MAX(5,B2716))/(IF(Inputs!$B$39="pvp",15,Inputs!$B$44)-(B2716))))*IF(AND(ArtifactsInput!$M$42,((Inputs!$B$9+((C2697=TRUE)*(F2697-Calc!F26))+B2705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673">
        <f>(1-Summary!$B$11)*T2673+Summary!$B$11*V2673</f>
        <v/>
      </c>
      <c r="P2673">
        <f>IF(B2717=0,0,O2673/B2717)</f>
        <v/>
      </c>
      <c r="Q2673" t="n">
        <v>0</v>
      </c>
      <c r="R2673" t="n">
        <v>0</v>
      </c>
      <c r="S2673">
        <f>IFERROR(O2673/N2673,0)</f>
        <v/>
      </c>
      <c r="T2673">
        <f>IF(C2673,(Skills!G2*N2673*B2711)*IF(Inputs!$B$39="pvp",1,1+(Inputs!$B$20+0+Skills!P2+B2706+(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Hunt"),CHOOSE(ArtifactsInput!$N$35+1,15,18,21,24,27,30)*(1-EXP(-(0.2*B2709)*5)),0)+IF(AND(ArtifactsInput!$M$22,Inputs!$B$4&lt;&gt;"Chapter Hunt"),CHOOSE(ArtifactsInput!$N$22+1,10,12,14,16,18,20)*((0*(((0.15*B2709*5))^0/1)+1*(((0.15*B2709*5))^1/1)+2*(((0.15*B2709*5))^2/2)+3*(((0.15*B2709*5))^3/6)+4*(((0.15*B2709*5))^4/24)+5*(((0.15*B2709*5))^5/120))/((((0.15*B2709*5))^0/1)+(((0.15*B2709*5))^1/1)+(((0.15*B2709*5))^2/2)+(((0.15*B2709*5))^3/6)+(((0.15*B2709*5))^4/24)+(((0.15*B2709*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2673*(1-MIN(100,(Inputs!$B$9+((C2697=TRUE)*(F2697-Calc!F26))+B2705+(ArtifactsInput!$M$24-ArtifactsInput!$M$24)*CHOOSE(ArtifactsInput!$N$24+1,10,12,14,16,18,20)+(IF(AND(Inputs!$B$39&lt;&gt;"pvp",Inputs!$B$44=0),1,IF(IF(Inputs!$B$39="pvp",15,Inputs!$B$44)-(B2716)&lt;=0,1,MAX(0,IF(Inputs!$B$39="pvp",15,Inputs!$B$44)-MAX(5,B2716))/(IF(Inputs!$B$39="pvp",15,Inputs!$B$44)-(B2716))))*IF(AND(ArtifactsInput!$M$42,((Inputs!$B$9+((C2697=TRUE)*(F2697-Calc!F26))+B2705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2673*(MIN(100,(Inputs!$B$9+((C2697=TRUE)*(F2697-Calc!F26))+B2705+(ArtifactsInput!$M$24-ArtifactsInput!$M$24)*CHOOSE(ArtifactsInput!$N$24+1,10,12,14,16,18,20)+(IF(AND(Inputs!$B$39&lt;&gt;"pvp",Inputs!$B$44=0),1,IF(IF(Inputs!$B$39="pvp",15,Inputs!$B$44)-(B2716)&lt;=0,1,MAX(0,IF(Inputs!$B$39="pvp",15,Inputs!$B$44)-MAX(5,B2716))/(IF(Inputs!$B$39="pvp",15,Inputs!$B$44)-(B2716))))*IF(AND(ArtifactsInput!$M$42,((Inputs!$B$9+((C2697=TRUE)*(F2697-Calc!F26))+B2705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2673*(1-MIN(100,(Inputs!$B$9+((C2697=TRUE)*(F2697-Calc!F26))+B2705+(ArtifactsInput!$M$24-ArtifactsInput!$M$24)*CHOOSE(ArtifactsInput!$N$24+1,10,12,14,16,18,20)+(IF(AND(Inputs!$B$39&lt;&gt;"pvp",Inputs!$B$44=0),1,IF(IF(Inputs!$B$39="pvp",15,Inputs!$B$44)-(B2716)&lt;=0,1,MAX(0,IF(Inputs!$B$39="pvp",15,Inputs!$B$44)-MAX(5,B2716))/(IF(Inputs!$B$39="pvp",15,Inputs!$B$44)-(B2716))))*IF(AND(ArtifactsInput!$M$42,((Inputs!$B$9+((C2697=TRUE)*(F2697-Calc!F26))+B2705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2673*(MIN(100,(Inputs!$B$9+((C2697=TRUE)*(F2697-Calc!F26))+B2705+(ArtifactsInput!$M$24-ArtifactsInput!$M$24)*CHOOSE(ArtifactsInput!$N$24+1,10,12,14,16,18,20)+(IF(AND(Inputs!$B$39&lt;&gt;"pvp",Inputs!$B$44=0),1,IF(IF(Inputs!$B$39="pvp",15,Inputs!$B$44)-(B2716)&lt;=0,1,MAX(0,IF(Inputs!$B$39="pvp",15,Inputs!$B$44)-MAX(5,B2716))/(IF(Inputs!$B$39="pvp",15,Inputs!$B$44)-(B2716))))*IF(AND(ArtifactsInput!$M$42,((Inputs!$B$9+((C2697=TRUE)*(F2697-Calc!F26))+B2705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2673">
        <f>MAX(0,(Inputs!$B$3-100)*3)+Inputs!$B$28+Inputs!$B$29</f>
        <v/>
      </c>
      <c r="V2673">
        <f>IF(C2673,(Skills!G2*N2673*B2711)*IF(Inputs!$B$39="pvp",1,(1+(Inputs!$B$21+Skills!Q2+B2706+(IF(ArtifactsInput!$M$33,CHOOSE(ArtifactsInput!$N$33+1,30,36,42,48,54,60),0))+(IF(AND(ArtifactsInput!$M$35,Inputs!$B$4&lt;&gt;"Chapter Hunt"),CHOOSE(ArtifactsInput!$N$35+1,15,18,21,24,27,30)*(1-EXP(-(0.2*B2709)*5)),0)+IF(AND(ArtifactsInput!$M$22,Inputs!$B$4&lt;&gt;"Chapter Hunt"),CHOOSE(ArtifactsInput!$N$22+1,10,12,14,16,18,20)*((0*(((0.15*B2709*5))^0/1)+1*(((0.15*B2709*5))^1/1)+2*(((0.15*B2709*5))^2/2)+3*(((0.15*B2709*5))^3/6)+4*(((0.15*B2709*5))^4/24)+5*(((0.15*B2709*5))^5/120))/((((0.15*B2709*5))^0/1)+(((0.15*B2709*5))^1/1)+(((0.15*B2709*5))^2/2)+(((0.15*B2709*5))^3/6)+(((0.15*B2709*5))^4/24)+(((0.15*B2709*5))^5/120))),0)))/100)*(MIN((6+Inputs!$B$33),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674">
      <c r="A2674">
        <f>Skills!A3</f>
        <v/>
      </c>
      <c r="B2674">
        <f>Skills!B3</f>
        <v/>
      </c>
      <c r="C2674">
        <f>Inputs!$B$3&gt;=35</f>
        <v/>
      </c>
      <c r="D2674">
        <f>IF(Skills!C3=1,60+Inputs!$B$25+Inputs!$B$29,IF(Skills!C3=2,90+Inputs!$B$26+Inputs!$B$29,IF(Skills!C3=3,120+Inputs!$B$27+Inputs!$B$29,MAX(0,(Inputs!$B$3-100)*3)+Inputs!$B$28+Inputs!$B$29)))</f>
        <v/>
      </c>
      <c r="E2674">
        <f>INDEX(FactorTable!$B$2:$Y$301, MATCH(ROUND(MIN(300,MAX(1,D2674)),0), FactorTable!$A$2:$A$301,0), Skills!M3+1)</f>
        <v/>
      </c>
      <c r="F2674">
        <f>IF(Skills!N3=TRUE,(Skills!L3/10)*(E2674/1000),Skills!L3/10)+Skills!O3</f>
        <v/>
      </c>
      <c r="G2674">
        <f>Skills!G3*IF(Skills!H3&gt;0,IF(Inputs!$B$39="pvp",MIN(Skills!I3,15),Skills!I3)/Skills!H3,1)</f>
        <v/>
      </c>
      <c r="H2674">
        <f>1-(1-Skills!J3/100)^Skills!K3</f>
        <v/>
      </c>
      <c r="I2674" t="inlineStr">
        <is>
          <t>1</t>
        </is>
      </c>
      <c r="J2674" t="inlineStr"/>
      <c r="K2674" t="inlineStr"/>
      <c r="L2674" t="inlineStr"/>
      <c r="M2674" t="inlineStr"/>
      <c r="N2674" t="inlineStr"/>
      <c r="O2674">
        <f>(1-Summary!$B$11)*T2674+Summary!$B$11*V2674</f>
        <v/>
      </c>
      <c r="P2674">
        <f>IF(B2717=0,0,O2674/B2717)</f>
        <v/>
      </c>
      <c r="Q2674" t="n">
        <v>0</v>
      </c>
      <c r="R2674" t="n">
        <v>0</v>
      </c>
      <c r="S2674">
        <f>IFERROR(O2674/N2674,0)</f>
        <v/>
      </c>
      <c r="T2674" t="n">
        <v>0</v>
      </c>
      <c r="U2674">
        <f>INDEX(FactorTable!$B$2:$Y$301, MATCH(ROUND(MIN(300,MAX(1,U2673)),0), FactorTable!$A$2:$A$301,0), 22)</f>
        <v/>
      </c>
      <c r="V2674" t="n">
        <v>0</v>
      </c>
    </row>
    <row r="2675">
      <c r="A2675">
        <f>Skills!A4</f>
        <v/>
      </c>
      <c r="B2675">
        <f>Skills!B4</f>
        <v/>
      </c>
      <c r="C2675">
        <f>Inputs!$B$3&gt;=66</f>
        <v/>
      </c>
      <c r="D2675">
        <f>IF(Skills!C4=1,60+Inputs!$B$25+Inputs!$B$29,IF(Skills!C4=2,90+Inputs!$B$26+Inputs!$B$29,IF(Skills!C4=3,120+Inputs!$B$27+Inputs!$B$29,MAX(0,(Inputs!$B$3-100)*3)+Inputs!$B$28+Inputs!$B$29)))</f>
        <v/>
      </c>
      <c r="E2675">
        <f>INDEX(FactorTable!$B$2:$Y$301, MATCH(ROUND(MIN(300,MAX(1,D2675)),0), FactorTable!$A$2:$A$301,0), Skills!M4+1)</f>
        <v/>
      </c>
      <c r="F2675">
        <f>IF(Skills!N4=TRUE,(Skills!L4/10)*(E2675/1000),Skills!L4/10)+Skills!O4</f>
        <v/>
      </c>
      <c r="G2675">
        <f>Skills!G4*IF(Skills!H4&gt;0,IF(Inputs!$B$39="pvp",MIN(Skills!I4,15),Skills!I4)/Skills!H4,1)</f>
        <v/>
      </c>
      <c r="H2675">
        <f>1-(1-Skills!J4/100)^Skills!K4</f>
        <v/>
      </c>
      <c r="I2675" t="inlineStr">
        <is>
          <t>1</t>
        </is>
      </c>
      <c r="J2675">
        <f>((Inputs!$B$6*(1+Inputs!$B$7/100))+(((Inputs!$B$12*(1+Inputs!$B$13/100))-(Inputs!$B$12*(1+Inputs!$B$13/100)))+0.25*(Inputs!$B$14-Inputs!$B$14))*(1+Inputs!$B$7/100))*(F2675/100)</f>
        <v/>
      </c>
      <c r="K2675">
        <f>J2675*(1+((Inputs!$B$12*(1+Inputs!$B$13/100))*0.01+Inputs!$B$14*0.0025)/100)*(1+Inputs!$B$15/100)*(1+Inputs!$B$16/100)*(5000/(6000+Inputs!$B$43*(1-(100*(1-(1-Inputs!$B$19/100)*(1-CHOOSE(ArtifactsInput!$N$40+1,5,6,7,8,9,10)/100)^(ArtifactsInput!$M$40-ArtifactsInput!$M$40)))/100)))*(1+(Inputs!$B$24+((C2702=TRUE)*(F2702-Calc!F31))+((C2689=TRUE)*(F2689-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4="CRUEL_STAB",Inputs!$B$17+((C2699=TRUE)*(F2699-Calc!F28))+((IF(AND(Inputs!$B$39&lt;&gt;"pvp",Inputs!$B$44=0),1,IF(IF(Inputs!$B$39="pvp",15,Inputs!$B$44)-(B2716)&lt;=0,1,MAX(0,IF(Inputs!$B$39="pvp",15,Inputs!$B$44)-MAX(5,B2716))/(IF(Inputs!$B$39="pvp",15,Inputs!$B$44)-(B2716))))*(IF(AND(ArtifactsInput!$M$42,((Inputs!$B$9+((C2697=TRUE)*(F2697-Calc!F26))+B2705+(ArtifactsInput!$M$24-ArtifactsInput!$M$24)*CHOOSE(ArtifactsInput!$N$24+1,10,12,14,16,18,20)+IF(ArtifactsInput!$M$10,CHOOSE(ArtifactsInput!$N$10+1,15,18,21,24,27,30)*(IF(Inputs!$B$39="pvp",MIN(15,15)/15,IF(AND(Inputs!$B$39&lt;&gt;"pvp",Inputs!$B$44&gt;0),MIN(15,Inputs!$B$44)/(Inputs!$B$44),0))),0)))&gt;=100),MIN(100,((Inputs!$B$9+((C2697=TRUE)*(F2697-Calc!F26))+B2705+(ArtifactsInput!$M$24-ArtifactsInput!$M$24)*CHOOSE(ArtifactsInput!$N$24+1,10,12,14,16,18,20)+IF(ArtifactsInput!$M$10,CHOOSE(ArtifactsInput!$N$10+1,15,18,21,24,27,30)*(IF(Inputs!$B$39="pvp",MIN(15,15)/15,IF(AND(Inputs!$B$39&lt;&gt;"pvp",Inputs!$B$44&gt;0),MIN(15,Inputs!$B$44)/(Inputs!$B$44),0))),0)))-100),0))*CHOOSE(ArtifactsInput!$N$42+1,0.6,0.72,0.84,0.96,1.08,1.2))),Inputs!$B$18+((C2700=TRUE)*(F2700-Calc!F29))+(IF(AND(Inputs!$B$39&lt;&gt;"pvp",Inputs!$B$44=0),1,IF(IF(Inputs!$B$39="pvp",15,Inputs!$B$44)-(B2716)&lt;=0,1,MAX(0,IF(Inputs!$B$39="pvp",15,Inputs!$B$44)-MAX(5,B2716))/(IF(Inputs!$B$39="pvp",15,Inputs!$B$44)-(B2716))))*IF(AND(ArtifactsInput!$M$42,((Inputs!$B$9+((C2697=TRUE)*(F2697-Calc!F26))+B2705+(ArtifactsInput!$M$24-ArtifactsInput!$M$24)*CHOOSE(ArtifactsInput!$N$24+1,10,12,14,16,18,20)+IF(ArtifactsInput!$M$10,CHOOSE(ArtifactsInput!$N$10+1,15,18,21,24,27,30)*(IF(Inputs!$B$39="pvp",MIN(15,15)/15,IF(AND(Inputs!$B$39&lt;&gt;"pvp",Inputs!$B$44&gt;0),MIN(15,Inputs!$B$44)/(Inputs!$B$44),0))),0)))&gt;=100),CHOOSE(ArtifactsInput!$N$42+1,40,48,56,64,72,80),0))))/100)*(((1+(((C2693=TRUE)*F2693*IF(AND(Inputs!$B$39&lt;&gt;"pvp",Inputs!$B$44&gt;0),(((R2693-1)*MIN((Skills!Y22*(1+Inputs!$B$34/100)),(1/Q2693))+MIN((Skills!Y22*(1+Inputs!$B$34/100)),MAX(0,Inputs!$B$44-((R2693-1)*(1/Q2693)))))/Inputs!$B$44),IF(Inputs!$B$39="pvp",MIN((Skills!Y22*(1+Inputs!$B$34/100)),15)/15,MIN(1,(Skills!Y22*(1+Inputs!$B$34/100))/(1/Q2693)))))+((C2674=TRUE)*F2674*3)+((C2676=TRUE)*F2676*(1-EXP(-0.75*B2709*5)))+((C2695=TRUE)*(F2695-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2682=TRUE)*F2682*IF(AND(Inputs!$B$39&lt;&gt;"pvp",Inputs!$B$44&gt;0),(((R2682-1)*MIN((Skills!Y11*(1+Inputs!$B$34/100)),(1/Q2682))+MIN((Skills!Y11*(1+Inputs!$B$34/100)),MAX(0,Inputs!$B$44-((R2682-1)*(1/Q2682)))))/Inputs!$B$44),IF(Inputs!$B$39="pvp",MIN((Skills!Y11*(1+Inputs!$B$34/100)),15)/15,MIN(1,(Skills!Y11*(1+Inputs!$B$34/100))/(1/Q2682)))))/100)*(1+((C2687=TRUE)*F2687*IF(AND(Inputs!$B$39&lt;&gt;"pvp",Inputs!$B$44&gt;0),(((R2687-1)*MIN((Skills!Y16*(1+Inputs!$B$34/100)),(1/Q2687))+MIN((Skills!Y16*(1+Inputs!$B$34/100)),MAX(0,Inputs!$B$44-((R2687-1)*(1/Q2687)))))/Inputs!$B$44),IF(Inputs!$B$39="pvp",MIN((Skills!Y16*(1+Inputs!$B$34/100)),15)/15,MIN(1,(Skills!Y16*(1+Inputs!$B$34/100))/(1/Q2687)))))/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2707*I2675)</f>
        <v/>
      </c>
      <c r="L2675">
        <f>K2675*(MIN(Inputs!$B$22+((C2696=TRUE)*(F2696-Calc!F25)),(Inputs!$B$23+((C2701=TRUE)*(F2701-Calc!F30))+IF(ArtifactsInput!$M$15,CHOOSE(ArtifactsInput!$N$15+1,25,30,35,40,45,50)/100*(Inputs!$B$11-Inputs!$B$11),0)))/100+(Inputs!$B$23+((C2701=TRUE)*(F2701-Calc!F30))+IF(ArtifactsInput!$M$15,CHOOSE(ArtifactsInput!$N$15+1,25,30,35,40,45,50)/100*(Inputs!$B$11-Inputs!$B$11),0))/100)/2</f>
        <v/>
      </c>
      <c r="M2675">
        <f>L2675*(1+(Inputs!$B$10+((C2698=TRUE)*(F2698-Calc!F27))+B2712+(IF(ArtifactsInput!$M$24,CHOOSE(ArtifactsInput!$N$24+1,30,36,42,48,54,60)/100*(Inputs!$B$9-Inputs!$B$9),0)+IF(ArtifactsInput!$M$10,CHOOSE(ArtifactsInput!$N$10+1,20,24,28,32,36,40)*(IF(Inputs!$B$39="pvp",MIN(15,15)/15,IF(AND(Inputs!$B$39&lt;&gt;"pvp",Inputs!$B$44&gt;0),MIN(15,Inputs!$B$44)/(Inputs!$B$44),0))),0)+IF(IF(ArtifactsInput!$M$31,FALSE,TRUE),1.5*CHOOSE(ArtifactsInput!$N$31+1,20,24,28,32,36,40),0)))/100)</f>
        <v/>
      </c>
      <c r="N2675">
        <f>L2675*(1-MIN((Inputs!$B$9+((C2697=TRUE)*(F2697-Calc!F26))+B2705+(ArtifactsInput!$M$24-ArtifactsInput!$M$24)*CHOOSE(ArtifactsInput!$N$24+1,10,12,14,16,18,20)+(IF(AND(Inputs!$B$39&lt;&gt;"pvp",Inputs!$B$44=0),1,IF(IF(Inputs!$B$39="pvp",15,Inputs!$B$44)-(B2716)&lt;=0,1,MAX(0,IF(Inputs!$B$39="pvp",15,Inputs!$B$44)-MAX(5,B2716))/(IF(Inputs!$B$39="pvp",15,Inputs!$B$44)-(B2716))))*IF(AND(ArtifactsInput!$M$42,((Inputs!$B$9+((C2697=TRUE)*(F2697-Calc!F26))+B2705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2675*(MIN((Inputs!$B$9+((C2697=TRUE)*(F2697-Calc!F26))+B2705+(ArtifactsInput!$M$24-ArtifactsInput!$M$24)*CHOOSE(ArtifactsInput!$N$24+1,10,12,14,16,18,20)+(IF(AND(Inputs!$B$39&lt;&gt;"pvp",Inputs!$B$44=0),1,IF(IF(Inputs!$B$39="pvp",15,Inputs!$B$44)-(B2716)&lt;=0,1,MAX(0,IF(Inputs!$B$39="pvp",15,Inputs!$B$44)-MAX(5,B2716))/(IF(Inputs!$B$39="pvp",15,Inputs!$B$44)-(B2716))))*IF(AND(ArtifactsInput!$M$42,((Inputs!$B$9+((C2697=TRUE)*(F2697-Calc!F26))+B2705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675">
        <f>(1-Summary!$B$11)*T2675+Summary!$B$11*V2675</f>
        <v/>
      </c>
      <c r="P2675">
        <f>IF(B2717=0,0,O2675/B2717)</f>
        <v/>
      </c>
      <c r="Q2675">
        <f>IFERROR(1/IF(Inputs!$B$39="pvp",15,MAX(0.1,Skills!D4-IF(TRUE=TRUE,Inputs!$B$32,0))),0)</f>
        <v/>
      </c>
      <c r="R2675">
        <f>IF(AND(Inputs!$B$39&lt;&gt;"pvp",Inputs!$B$44&gt;0),IF(MAX(0,Inputs!$B$44-B2716)&lt;=0,0,(INT(MAX(0,Inputs!$B$44-B2716)/IF(Inputs!$B$39="pvp",15,MAX(0.1,Skills!D4-IF(TRUE=TRUE,Inputs!$B$32,0))))+1)),0)</f>
        <v/>
      </c>
      <c r="S2675">
        <f>IFERROR(O2675/N2675,0)</f>
        <v/>
      </c>
      <c r="T2675">
        <f>IF(C2675,(H2675*N2675*IF(AND(Inputs!$B$39&lt;&gt;"pvp",Inputs!$B$44&gt;0),((Skills!G4*((R2675-1)*IF(Skills!H4&gt;0,Skills!I4/Skills!H4,1)+IF(Skills!H4&gt;0,MIN(Skills!I4,MAX(0,MAX(0,Inputs!$B$44-B2716)-((R2675-1)*IF(Inputs!$B$39="pvp",15,MAX(0.1,Skills!D4-IF(TRUE=TRUE,Inputs!$B$32,0))))))/Skills!H4,1)))/Inputs!$B$44),G2675*Q2675))*IF(Inputs!$B$39="pvp",1,1+(Inputs!$B$20+0+Skills!P4+B2706+(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Hunt"),CHOOSE(ArtifactsInput!$N$35+1,15,18,21,24,27,30)*(1-EXP(-(0.2*B2709)*5)),0)+IF(AND(ArtifactsInput!$M$22,Inputs!$B$4&lt;&gt;"Chapter Hunt"),CHOOSE(ArtifactsInput!$N$22+1,10,12,14,16,18,20)*((0*(((0.15*B2709*5))^0/1)+1*(((0.15*B2709*5))^1/1)+2*(((0.15*B2709*5))^2/2)+3*(((0.15*B2709*5))^3/6)+4*(((0.15*B2709*5))^4/24)+5*(((0.15*B2709*5))^5/120))/((((0.15*B2709*5))^0/1)+(((0.15*B2709*5))^1/1)+(((0.15*B2709*5))^2/2)+(((0.15*B2709*5))^3/6)+(((0.15*B2709*5))^4/24)+(((0.15*B2709*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2675*(1-MIN(100,(Inputs!$B$9+((C2697=TRUE)*(F2697-Calc!F26))+B2705+(ArtifactsInput!$M$24-ArtifactsInput!$M$24)*CHOOSE(ArtifactsInput!$N$24+1,10,12,14,16,18,20)+(IF(AND(Inputs!$B$39&lt;&gt;"pvp",Inputs!$B$44=0),1,IF(IF(Inputs!$B$39="pvp",15,Inputs!$B$44)-(B2716)&lt;=0,1,MAX(0,IF(Inputs!$B$39="pvp",15,Inputs!$B$44)-MAX(5,B2716))/(IF(Inputs!$B$39="pvp",15,Inputs!$B$44)-(B2716))))*IF(AND(ArtifactsInput!$M$42,((Inputs!$B$9+((C2697=TRUE)*(F2697-Calc!F26))+B2705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2675*(MIN(100,(Inputs!$B$9+((C2697=TRUE)*(F2697-Calc!F26))+B2705+(ArtifactsInput!$M$24-ArtifactsInput!$M$24)*CHOOSE(ArtifactsInput!$N$24+1,10,12,14,16,18,20)+(IF(AND(Inputs!$B$39&lt;&gt;"pvp",Inputs!$B$44=0),1,IF(IF(Inputs!$B$39="pvp",15,Inputs!$B$44)-(B2716)&lt;=0,1,MAX(0,IF(Inputs!$B$39="pvp",15,Inputs!$B$44)-MAX(5,B2716))/(IF(Inputs!$B$39="pvp",15,Inputs!$B$44)-(B2716))))*IF(AND(ArtifactsInput!$M$42,((Inputs!$B$9+((C2697=TRUE)*(F2697-Calc!F26))+B2705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2675*(1-MIN(100,(Inputs!$B$9+((C2697=TRUE)*(F2697-Calc!F26))+B2705+(ArtifactsInput!$M$24-ArtifactsInput!$M$24)*CHOOSE(ArtifactsInput!$N$24+1,10,12,14,16,18,20)+(IF(AND(Inputs!$B$39&lt;&gt;"pvp",Inputs!$B$44=0),1,IF(IF(Inputs!$B$39="pvp",15,Inputs!$B$44)-(B2716)&lt;=0,1,MAX(0,IF(Inputs!$B$39="pvp",15,Inputs!$B$44)-MAX(5,B2716))/(IF(Inputs!$B$39="pvp",15,Inputs!$B$44)-(B2716))))*IF(AND(ArtifactsInput!$M$42,((Inputs!$B$9+((C2697=TRUE)*(F2697-Calc!F26))+B2705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2675*(MIN(100,(Inputs!$B$9+((C2697=TRUE)*(F2697-Calc!F26))+B2705+(ArtifactsInput!$M$24-ArtifactsInput!$M$24)*CHOOSE(ArtifactsInput!$N$24+1,10,12,14,16,18,20)+(IF(AND(Inputs!$B$39&lt;&gt;"pvp",Inputs!$B$44=0),1,IF(IF(Inputs!$B$39="pvp",15,Inputs!$B$44)-(B2716)&lt;=0,1,MAX(0,IF(Inputs!$B$39="pvp",15,Inputs!$B$44)-MAX(5,B2716))/(IF(Inputs!$B$39="pvp",15,Inputs!$B$44)-(B2716))))*IF(AND(ArtifactsInput!$M$42,((Inputs!$B$9+((C2697=TRUE)*(F2697-Calc!F26))+B2705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2675">
        <f>290*U2674/1000</f>
        <v/>
      </c>
      <c r="V2675">
        <f>IF(C2675,(H2675*N2675*IF(AND(Inputs!$B$39&lt;&gt;"pvp",Inputs!$B$44&gt;0),((Skills!G4*((R2675-1)*IF(Skills!H4&gt;0,Skills!I4/Skills!H4,1)+IF(Skills!H4&gt;0,MIN(Skills!I4,MAX(0,MAX(0,Inputs!$B$44-B2716)-((R2675-1)*IF(Inputs!$B$39="pvp",15,MAX(0.1,Skills!D4-IF(TRUE=TRUE,Inputs!$B$32,0))))))/Skills!H4,1)))/Inputs!$B$44),G2675*Q2675))*IF(Inputs!$B$39="pvp",1,(1+(Inputs!$B$21+Skills!Q4+B2706+(IF(ArtifactsInput!$M$33,CHOOSE(ArtifactsInput!$N$33+1,30,36,42,48,54,60),0))+(IF(AND(ArtifactsInput!$M$35,Inputs!$B$4&lt;&gt;"Chapter Hunt"),CHOOSE(ArtifactsInput!$N$35+1,15,18,21,24,27,30)*(1-EXP(-(0.2*B2709)*5)),0)+IF(AND(ArtifactsInput!$M$22,Inputs!$B$4&lt;&gt;"Chapter Hunt"),CHOOSE(ArtifactsInput!$N$22+1,10,12,14,16,18,20)*((0*(((0.15*B2709*5))^0/1)+1*(((0.15*B2709*5))^1/1)+2*(((0.15*B2709*5))^2/2)+3*(((0.15*B2709*5))^3/6)+4*(((0.15*B2709*5))^4/24)+5*(((0.15*B2709*5))^5/120))/((((0.15*B2709*5))^0/1)+(((0.15*B2709*5))^1/1)+(((0.15*B2709*5))^2/2)+(((0.15*B2709*5))^3/6)+(((0.15*B2709*5))^4/24)+(((0.15*B2709*5))^5/120))),0)))/100)*(MIN(MIN(10,IF(Inputs!$B$3&gt;=75,0.75,0.5)*B2709*(1/Q2675)),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676">
      <c r="A2676">
        <f>Skills!A5</f>
        <v/>
      </c>
      <c r="B2676">
        <f>Skills!B5</f>
        <v/>
      </c>
      <c r="C2676">
        <f>Inputs!$B$3&gt;=75</f>
        <v/>
      </c>
      <c r="D2676">
        <f>IF(Skills!C5=1,60+Inputs!$B$25+Inputs!$B$29,IF(Skills!C5=2,90+Inputs!$B$26+Inputs!$B$29,IF(Skills!C5=3,120+Inputs!$B$27+Inputs!$B$29,MAX(0,(Inputs!$B$3-100)*3)+Inputs!$B$28+Inputs!$B$29)))</f>
        <v/>
      </c>
      <c r="E2676">
        <f>INDEX(FactorTable!$B$2:$Y$301, MATCH(ROUND(MIN(300,MAX(1,D2676)),0), FactorTable!$A$2:$A$301,0), Skills!M5+1)</f>
        <v/>
      </c>
      <c r="F2676">
        <f>IF(Skills!N5=TRUE,(Skills!L5/10)*(E2676/1000),Skills!L5/10)+Skills!O5</f>
        <v/>
      </c>
      <c r="G2676">
        <f>Skills!G5*IF(Skills!H5&gt;0,IF(Inputs!$B$39="pvp",MIN(Skills!I5,15),Skills!I5)/Skills!H5,1)</f>
        <v/>
      </c>
      <c r="H2676">
        <f>1-(1-Skills!J5/100)^Skills!K5</f>
        <v/>
      </c>
      <c r="I2676" t="inlineStr">
        <is>
          <t>1</t>
        </is>
      </c>
      <c r="J2676" t="inlineStr"/>
      <c r="K2676" t="inlineStr"/>
      <c r="L2676" t="inlineStr"/>
      <c r="M2676" t="inlineStr"/>
      <c r="N2676" t="inlineStr"/>
      <c r="O2676">
        <f>(1-Summary!$B$11)*T2676+Summary!$B$11*V2676</f>
        <v/>
      </c>
      <c r="P2676">
        <f>IF(B2717=0,0,O2676/B2717)</f>
        <v/>
      </c>
      <c r="Q2676" t="n">
        <v>0</v>
      </c>
      <c r="R2676" t="n">
        <v>0</v>
      </c>
      <c r="S2676">
        <f>IFERROR(O2676/N2676,0)</f>
        <v/>
      </c>
      <c r="T2676" t="n">
        <v>0</v>
      </c>
      <c r="V2676" t="n">
        <v>0</v>
      </c>
    </row>
    <row r="2677">
      <c r="A2677">
        <f>Skills!A6</f>
        <v/>
      </c>
      <c r="B2677">
        <f>Skills!B6</f>
        <v/>
      </c>
      <c r="C2677">
        <f>Inputs!$B$3&gt;=63</f>
        <v/>
      </c>
      <c r="D2677">
        <f>IF(Skills!C6=1,60+Inputs!$B$25+Inputs!$B$29,IF(Skills!C6=2,90+Inputs!$B$26+Inputs!$B$29,IF(Skills!C6=3,120+Inputs!$B$27+Inputs!$B$29,MAX(0,(Inputs!$B$3-100)*3)+Inputs!$B$28+Inputs!$B$29)))</f>
        <v/>
      </c>
      <c r="E2677">
        <f>INDEX(FactorTable!$B$2:$Y$301, MATCH(ROUND(MIN(300,MAX(1,D2677)),0), FactorTable!$A$2:$A$301,0), Skills!M6+1)</f>
        <v/>
      </c>
      <c r="F2677">
        <f>IF(Skills!N6=TRUE,(Skills!L6/10)*(E2677/1000),Skills!L6/10)+Skills!O6</f>
        <v/>
      </c>
      <c r="G2677">
        <f>Skills!G6*IF(Skills!H6&gt;0,IF(Inputs!$B$39="pvp",MIN(Skills!I6,15),Skills!I6)/Skills!H6,1)</f>
        <v/>
      </c>
      <c r="H2677">
        <f>1-(1-Skills!J6/100)^Skills!K6</f>
        <v/>
      </c>
      <c r="I2677" t="inlineStr">
        <is>
          <t>1</t>
        </is>
      </c>
      <c r="J2677">
        <f>((Inputs!$B$6*(1+Inputs!$B$7/100))+(((Inputs!$B$12*(1+Inputs!$B$13/100))-(Inputs!$B$12*(1+Inputs!$B$13/100)))+0.25*(Inputs!$B$14-Inputs!$B$14))*(1+Inputs!$B$7/100))*(F2677/100)</f>
        <v/>
      </c>
      <c r="K2677">
        <f>J2677*(1+((Inputs!$B$12*(1+Inputs!$B$13/100))*0.01+Inputs!$B$14*0.0025)/100)*(1+Inputs!$B$15/100)*(1+Inputs!$B$16/100)*(5000/(6000+Inputs!$B$43*(1-(100*(1-(1-Inputs!$B$19/100)*(1-CHOOSE(ArtifactsInput!$N$40+1,5,6,7,8,9,10)/100)^(ArtifactsInput!$M$40-ArtifactsInput!$M$40)))/100)))*(1+(Inputs!$B$24+((C2702=TRUE)*(F2702-Calc!F31))+((C2689=TRUE)*(F2689-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+2.6666666666666665*IF(C2690=TRUE,F2690,0)/100)*(1+(IF(Skills!A6="CRUEL_STAB",Inputs!$B$17+((C2699=TRUE)*(F2699-Calc!F28))+((IF(AND(Inputs!$B$39&lt;&gt;"pvp",Inputs!$B$44=0),1,IF(IF(Inputs!$B$39="pvp",15,Inputs!$B$44)-(B2716)&lt;=0,1,MAX(0,IF(Inputs!$B$39="pvp",15,Inputs!$B$44)-MAX(5,B2716))/(IF(Inputs!$B$39="pvp",15,Inputs!$B$44)-(B2716))))*(IF(AND(ArtifactsInput!$M$42,((Inputs!$B$9+((C2697=TRUE)*(F2697-Calc!F26))+B2705+(ArtifactsInput!$M$24-ArtifactsInput!$M$24)*CHOOSE(ArtifactsInput!$N$24+1,10,12,14,16,18,20)+IF(ArtifactsInput!$M$10,CHOOSE(ArtifactsInput!$N$10+1,15,18,21,24,27,30)*(IF(Inputs!$B$39="pvp",MIN(15,15)/15,IF(AND(Inputs!$B$39&lt;&gt;"pvp",Inputs!$B$44&gt;0),MIN(15,Inputs!$B$44)/(Inputs!$B$44),0))),0)))&gt;=100),MIN(100,((Inputs!$B$9+((C2697=TRUE)*(F2697-Calc!F26))+B2705+(ArtifactsInput!$M$24-ArtifactsInput!$M$24)*CHOOSE(ArtifactsInput!$N$24+1,10,12,14,16,18,20)+IF(ArtifactsInput!$M$10,CHOOSE(ArtifactsInput!$N$10+1,15,18,21,24,27,30)*(IF(Inputs!$B$39="pvp",MIN(15,15)/15,IF(AND(Inputs!$B$39&lt;&gt;"pvp",Inputs!$B$44&gt;0),MIN(15,Inputs!$B$44)/(Inputs!$B$44),0))),0)))-100),0))*CHOOSE(ArtifactsInput!$N$42+1,0.6,0.72,0.84,0.96,1.08,1.2))),Inputs!$B$18+((C2700=TRUE)*(F2700-Calc!F29))+(IF(AND(Inputs!$B$39&lt;&gt;"pvp",Inputs!$B$44=0),1,IF(IF(Inputs!$B$39="pvp",15,Inputs!$B$44)-(B2716)&lt;=0,1,MAX(0,IF(Inputs!$B$39="pvp",15,Inputs!$B$44)-MAX(5,B2716))/(IF(Inputs!$B$39="pvp",15,Inputs!$B$44)-(B2716))))*IF(AND(ArtifactsInput!$M$42,((Inputs!$B$9+((C2697=TRUE)*(F2697-Calc!F26))+B2705+(ArtifactsInput!$M$24-ArtifactsInput!$M$24)*CHOOSE(ArtifactsInput!$N$24+1,10,12,14,16,18,20)+IF(ArtifactsInput!$M$10,CHOOSE(ArtifactsInput!$N$10+1,15,18,21,24,27,30)*(IF(Inputs!$B$39="pvp",MIN(15,15)/15,IF(AND(Inputs!$B$39&lt;&gt;"pvp",Inputs!$B$44&gt;0),MIN(15,Inputs!$B$44)/(Inputs!$B$44),0))),0)))&gt;=100),CHOOSE(ArtifactsInput!$N$42+1,40,48,56,64,72,80),0))))/100)*(((1+(((C2693=TRUE)*F2693*IF(AND(Inputs!$B$39&lt;&gt;"pvp",Inputs!$B$44&gt;0),(((R2693-1)*MIN((Skills!Y22*(1+Inputs!$B$34/100)),(1/Q2693))+MIN((Skills!Y22*(1+Inputs!$B$34/100)),MAX(0,Inputs!$B$44-((R2693-1)*(1/Q2693)))))/Inputs!$B$44),IF(Inputs!$B$39="pvp",MIN((Skills!Y22*(1+Inputs!$B$34/100)),15)/15,MIN(1,(Skills!Y22*(1+Inputs!$B$34/100))/(1/Q2693)))))+((C2674=TRUE)*F2674*3)+((C2676=TRUE)*F2676*(1-EXP(-0.75*B2709*5)))+((C2695=TRUE)*(F2695-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2682=TRUE)*F2682*IF(AND(Inputs!$B$39&lt;&gt;"pvp",Inputs!$B$44&gt;0),(((R2682-1)*MIN((Skills!Y11*(1+Inputs!$B$34/100)),(1/Q2682))+MIN((Skills!Y11*(1+Inputs!$B$34/100)),MAX(0,Inputs!$B$44-((R2682-1)*(1/Q2682)))))/Inputs!$B$44),IF(Inputs!$B$39="pvp",MIN((Skills!Y11*(1+Inputs!$B$34/100)),15)/15,MIN(1,(Skills!Y11*(1+Inputs!$B$34/100))/(1/Q2682)))))/100)*(1+((C2687=TRUE)*F2687*IF(AND(Inputs!$B$39&lt;&gt;"pvp",Inputs!$B$44&gt;0),(((R2687-1)*MIN((Skills!Y16*(1+Inputs!$B$34/100)),(1/Q2687))+MIN((Skills!Y16*(1+Inputs!$B$34/100)),MAX(0,Inputs!$B$44-((R2687-1)*(1/Q2687)))))/Inputs!$B$44),IF(Inputs!$B$39="pvp",MIN((Skills!Y16*(1+Inputs!$B$34/100)),15)/15,MIN(1,(Skills!Y16*(1+Inputs!$B$34/100))/(1/Q2687)))))/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2707*I2677)</f>
        <v/>
      </c>
      <c r="L2677">
        <f>K2677*(MIN(Inputs!$B$22+((C2696=TRUE)*(F2696-Calc!F25)),(Inputs!$B$23+((C2701=TRUE)*(F2701-Calc!F30))+IF(ArtifactsInput!$M$15,CHOOSE(ArtifactsInput!$N$15+1,25,30,35,40,45,50)/100*(Inputs!$B$11-Inputs!$B$11),0)))/100+(Inputs!$B$23+((C2701=TRUE)*(F2701-Calc!F30))+IF(ArtifactsInput!$M$15,CHOOSE(ArtifactsInput!$N$15+1,25,30,35,40,45,50)/100*(Inputs!$B$11-Inputs!$B$11),0))/100)/2</f>
        <v/>
      </c>
      <c r="M2677">
        <f>L2677*(1+(Inputs!$B$10+((C2698=TRUE)*(F2698-Calc!F27))+B2712+(IF(ArtifactsInput!$M$24,CHOOSE(ArtifactsInput!$N$24+1,30,36,42,48,54,60)/100*(Inputs!$B$9-Inputs!$B$9),0)+IF(ArtifactsInput!$M$10,CHOOSE(ArtifactsInput!$N$10+1,20,24,28,32,36,40)*(IF(Inputs!$B$39="pvp",MIN(15,15)/15,IF(AND(Inputs!$B$39&lt;&gt;"pvp",Inputs!$B$44&gt;0),MIN(15,Inputs!$B$44)/(Inputs!$B$44),0))),0)+IF(IF(ArtifactsInput!$M$31,FALSE,TRUE),1.5*CHOOSE(ArtifactsInput!$N$31+1,20,24,28,32,36,40),0)))/100)</f>
        <v/>
      </c>
      <c r="N2677">
        <f>L2677*(1-MIN((Inputs!$B$9+((C2697=TRUE)*(F2697-Calc!F26))+B2705+(ArtifactsInput!$M$24-ArtifactsInput!$M$24)*CHOOSE(ArtifactsInput!$N$24+1,10,12,14,16,18,20)+(IF(AND(Inputs!$B$39&lt;&gt;"pvp",Inputs!$B$44=0),1,IF(IF(Inputs!$B$39="pvp",15,Inputs!$B$44)-(B2716)&lt;=0,1,MAX(0,IF(Inputs!$B$39="pvp",15,Inputs!$B$44)-MAX(5,B2716))/(IF(Inputs!$B$39="pvp",15,Inputs!$B$44)-(B2716))))*IF(AND(ArtifactsInput!$M$42,((Inputs!$B$9+((C2697=TRUE)*(F2697-Calc!F26))+B2705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2677*(MIN((Inputs!$B$9+((C2697=TRUE)*(F2697-Calc!F26))+B2705+(ArtifactsInput!$M$24-ArtifactsInput!$M$24)*CHOOSE(ArtifactsInput!$N$24+1,10,12,14,16,18,20)+(IF(AND(Inputs!$B$39&lt;&gt;"pvp",Inputs!$B$44=0),1,IF(IF(Inputs!$B$39="pvp",15,Inputs!$B$44)-(B2716)&lt;=0,1,MAX(0,IF(Inputs!$B$39="pvp",15,Inputs!$B$44)-MAX(5,B2716))/(IF(Inputs!$B$39="pvp",15,Inputs!$B$44)-(B2716))))*IF(AND(ArtifactsInput!$M$42,((Inputs!$B$9+((C2697=TRUE)*(F2697-Calc!F26))+B2705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677">
        <f>(1-Summary!$B$11)*T2677+Summary!$B$11*V2677</f>
        <v/>
      </c>
      <c r="P2677">
        <f>IF(B2717=0,0,O2677/B2717)</f>
        <v/>
      </c>
      <c r="Q2677">
        <f>IFERROR(1/IF(Inputs!$B$39="pvp",15,MAX(0.1,Skills!D6-IF(TRUE=TRUE,Inputs!$B$32,0))),0)</f>
        <v/>
      </c>
      <c r="R2677">
        <f>IF(AND(Inputs!$B$39&lt;&gt;"pvp",Inputs!$B$44&gt;0),IF(MAX(0,Inputs!$B$44-B2716)&lt;=0,0,(INT(MAX(0,Inputs!$B$44-B2716)/IF(Inputs!$B$39="pvp",15,MAX(0.1,Skills!D6-IF(TRUE=TRUE,Inputs!$B$32,0))))+1)),0)</f>
        <v/>
      </c>
      <c r="S2677">
        <f>IFERROR(O2677/N2677,0)</f>
        <v/>
      </c>
      <c r="T2677">
        <f>IF(C2677,(H2677*N2677*IF(AND(Inputs!$B$39&lt;&gt;"pvp",Inputs!$B$44&gt;0),((Skills!G6*((R2677-1)*IF(Skills!H6&gt;0,Skills!I6/Skills!H6,1)+IF(Skills!H6&gt;0,MIN(Skills!I6,MAX(0,MAX(0,Inputs!$B$44-B2716)-((R2677-1)*IF(Inputs!$B$39="pvp",15,MAX(0.1,Skills!D6-IF(TRUE=TRUE,Inputs!$B$32,0))))))/Skills!H6,1)))/Inputs!$B$44),G2677*Q2677))*IF(Inputs!$B$39="pvp",1,1+(Inputs!$B$20+0+Skills!P6+B2706+(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Hunt"),CHOOSE(ArtifactsInput!$N$35+1,15,18,21,24,27,30)*(1-EXP(-(0.2*B2709)*5)),0)+IF(AND(ArtifactsInput!$M$22,Inputs!$B$4&lt;&gt;"Chapter Hunt"),CHOOSE(ArtifactsInput!$N$22+1,10,12,14,16,18,20)*((0*(((0.15*B2709*5))^0/1)+1*(((0.15*B2709*5))^1/1)+2*(((0.15*B2709*5))^2/2)+3*(((0.15*B2709*5))^3/6)+4*(((0.15*B2709*5))^4/24)+5*(((0.15*B2709*5))^5/120))/((((0.15*B2709*5))^0/1)+(((0.15*B2709*5))^1/1)+(((0.15*B2709*5))^2/2)+(((0.15*B2709*5))^3/6)+(((0.15*B2709*5))^4/24)+(((0.15*B2709*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2677*(1-MIN(100,(Inputs!$B$9+((C2697=TRUE)*(F2697-Calc!F26))+B2705+(ArtifactsInput!$M$24-ArtifactsInput!$M$24)*CHOOSE(ArtifactsInput!$N$24+1,10,12,14,16,18,20)+(IF(AND(Inputs!$B$39&lt;&gt;"pvp",Inputs!$B$44=0),1,IF(IF(Inputs!$B$39="pvp",15,Inputs!$B$44)-(B2716)&lt;=0,1,MAX(0,IF(Inputs!$B$39="pvp",15,Inputs!$B$44)-MAX(5,B2716))/(IF(Inputs!$B$39="pvp",15,Inputs!$B$44)-(B2716))))*IF(AND(ArtifactsInput!$M$42,((Inputs!$B$9+((C2697=TRUE)*(F2697-Calc!F26))+B2705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2677*(MIN(100,(Inputs!$B$9+((C2697=TRUE)*(F2697-Calc!F26))+B2705+(ArtifactsInput!$M$24-ArtifactsInput!$M$24)*CHOOSE(ArtifactsInput!$N$24+1,10,12,14,16,18,20)+(IF(AND(Inputs!$B$39&lt;&gt;"pvp",Inputs!$B$44=0),1,IF(IF(Inputs!$B$39="pvp",15,Inputs!$B$44)-(B2716)&lt;=0,1,MAX(0,IF(Inputs!$B$39="pvp",15,Inputs!$B$44)-MAX(5,B2716))/(IF(Inputs!$B$39="pvp",15,Inputs!$B$44)-(B2716))))*IF(AND(ArtifactsInput!$M$42,((Inputs!$B$9+((C2697=TRUE)*(F2697-Calc!F26))+B2705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2677*(1-MIN(100,(Inputs!$B$9+((C2697=TRUE)*(F2697-Calc!F26))+B2705+(ArtifactsInput!$M$24-ArtifactsInput!$M$24)*CHOOSE(ArtifactsInput!$N$24+1,10,12,14,16,18,20)+(IF(AND(Inputs!$B$39&lt;&gt;"pvp",Inputs!$B$44=0),1,IF(IF(Inputs!$B$39="pvp",15,Inputs!$B$44)-(B2716)&lt;=0,1,MAX(0,IF(Inputs!$B$39="pvp",15,Inputs!$B$44)-MAX(5,B2716))/(IF(Inputs!$B$39="pvp",15,Inputs!$B$44)-(B2716))))*IF(AND(ArtifactsInput!$M$42,((Inputs!$B$9+((C2697=TRUE)*(F2697-Calc!F26))+B2705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2677*(MIN(100,(Inputs!$B$9+((C2697=TRUE)*(F2697-Calc!F26))+B2705+(ArtifactsInput!$M$24-ArtifactsInput!$M$24)*CHOOSE(ArtifactsInput!$N$24+1,10,12,14,16,18,20)+(IF(AND(Inputs!$B$39&lt;&gt;"pvp",Inputs!$B$44=0),1,IF(IF(Inputs!$B$39="pvp",15,Inputs!$B$44)-(B2716)&lt;=0,1,MAX(0,IF(Inputs!$B$39="pvp",15,Inputs!$B$44)-MAX(5,B2716))/(IF(Inputs!$B$39="pvp",15,Inputs!$B$44)-(B2716))))*IF(AND(ArtifactsInput!$M$42,((Inputs!$B$9+((C2697=TRUE)*(F2697-Calc!F26))+B2705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677">
        <f>IF(C2677,(H2677*N2677*IF(AND(Inputs!$B$39&lt;&gt;"pvp",Inputs!$B$44&gt;0),((Skills!G6*((R2677-1)*IF(Skills!H6&gt;0,Skills!I6/Skills!H6,1)+IF(Skills!H6&gt;0,MIN(Skills!I6,MAX(0,MAX(0,Inputs!$B$44-B2716)-((R2677-1)*IF(Inputs!$B$39="pvp",15,MAX(0.1,Skills!D6-IF(TRUE=TRUE,Inputs!$B$32,0))))))/Skills!H6,1)))/Inputs!$B$44),G2677*Q2677))*IF(Inputs!$B$39="pvp",1,(1+(Inputs!$B$21+Skills!Q6+B2706+(IF(ArtifactsInput!$M$33,CHOOSE(ArtifactsInput!$N$33+1,30,36,42,48,54,60),0))+(IF(AND(ArtifactsInput!$M$35,Inputs!$B$4&lt;&gt;"Chapter Hunt"),CHOOSE(ArtifactsInput!$N$35+1,15,18,21,24,27,30)*(1-EXP(-(0.2*B2709)*5)),0)+IF(AND(ArtifactsInput!$M$22,Inputs!$B$4&lt;&gt;"Chapter Hunt"),CHOOSE(ArtifactsInput!$N$22+1,10,12,14,16,18,20)*((0*(((0.15*B2709*5))^0/1)+1*(((0.15*B2709*5))^1/1)+2*(((0.15*B2709*5))^2/2)+3*(((0.15*B2709*5))^3/6)+4*(((0.15*B2709*5))^4/24)+5*(((0.15*B2709*5))^5/120))/((((0.15*B2709*5))^0/1)+(((0.15*B2709*5))^1/1)+(((0.15*B2709*5))^2/2)+(((0.15*B2709*5))^3/6)+(((0.15*B2709*5))^4/24)+(((0.15*B2709*5))^5/120))),0)))/100)*(MIN(Skills!W6,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678">
      <c r="A2678">
        <f>Skills!A7</f>
        <v/>
      </c>
      <c r="B2678">
        <f>Skills!B7</f>
        <v/>
      </c>
      <c r="C2678">
        <f>Inputs!$B$3&gt;=69</f>
        <v/>
      </c>
      <c r="D2678">
        <f>IF(Skills!C7=1,60+Inputs!$B$25+Inputs!$B$29,IF(Skills!C7=2,90+Inputs!$B$26+Inputs!$B$29,IF(Skills!C7=3,120+Inputs!$B$27+Inputs!$B$29,MAX(0,(Inputs!$B$3-100)*3)+Inputs!$B$28+Inputs!$B$29)))</f>
        <v/>
      </c>
      <c r="E2678">
        <f>INDEX(FactorTable!$B$2:$Y$301, MATCH(ROUND(MIN(300,MAX(1,D2678)),0), FactorTable!$A$2:$A$301,0), Skills!M7+1)</f>
        <v/>
      </c>
      <c r="F2678">
        <f>IF(Skills!N7=TRUE,(Skills!L7/10)*(E2678/1000),Skills!L7/10)+Skills!O7</f>
        <v/>
      </c>
      <c r="G2678">
        <f>Skills!G7*IF(Skills!H7&gt;0,IF(Inputs!$B$39="pvp",MIN(Skills!I7,15),Skills!I7)/Skills!H7,1)</f>
        <v/>
      </c>
      <c r="H2678">
        <f>1-(1-Skills!J7/100)^Skills!K7</f>
        <v/>
      </c>
      <c r="I2678" t="inlineStr">
        <is>
          <t>1</t>
        </is>
      </c>
      <c r="J2678">
        <f>((Inputs!$B$6*(1+Inputs!$B$7/100))+(((Inputs!$B$12*(1+Inputs!$B$13/100))-(Inputs!$B$12*(1+Inputs!$B$13/100)))+0.25*(Inputs!$B$14-Inputs!$B$14))*(1+Inputs!$B$7/100))*(F2678/100)</f>
        <v/>
      </c>
      <c r="K2678">
        <f>J2678*(1+((Inputs!$B$12*(1+Inputs!$B$13/100))*0.01+Inputs!$B$14*0.0025)/100)*(1+Inputs!$B$15/100)*(1+Inputs!$B$16/100)*(5000/(6000+Inputs!$B$43*(1-(100*(1-(1-Inputs!$B$19/100)*(1-CHOOSE(ArtifactsInput!$N$40+1,5,6,7,8,9,10)/100)^(ArtifactsInput!$M$40-ArtifactsInput!$M$40)))/100)))*(1+(Inputs!$B$24+((C2702=TRUE)*(F2702-Calc!F31))+((C2689=TRUE)*(F2689-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2690=TRUE,F2690,0)/100)*(1+(IF(Skills!A7="CRUEL_STAB",Inputs!$B$17+((C2699=TRUE)*(F2699-Calc!F28))+((IF(AND(Inputs!$B$39&lt;&gt;"pvp",Inputs!$B$44=0),1,IF(IF(Inputs!$B$39="pvp",15,Inputs!$B$44)-(B2716)&lt;=0,1,MAX(0,IF(Inputs!$B$39="pvp",15,Inputs!$B$44)-MAX(5,B2716))/(IF(Inputs!$B$39="pvp",15,Inputs!$B$44)-(B2716))))*(IF(AND(ArtifactsInput!$M$42,((Inputs!$B$9+((C2697=TRUE)*(F2697-Calc!F26))+B2705+(ArtifactsInput!$M$24-ArtifactsInput!$M$24)*CHOOSE(ArtifactsInput!$N$24+1,10,12,14,16,18,20)+IF(ArtifactsInput!$M$10,CHOOSE(ArtifactsInput!$N$10+1,15,18,21,24,27,30)*(IF(Inputs!$B$39="pvp",MIN(15,15)/15,IF(AND(Inputs!$B$39&lt;&gt;"pvp",Inputs!$B$44&gt;0),MIN(15,Inputs!$B$44)/(Inputs!$B$44),0))),0)))&gt;=100),MIN(100,((Inputs!$B$9+((C2697=TRUE)*(F2697-Calc!F26))+B2705+(ArtifactsInput!$M$24-ArtifactsInput!$M$24)*CHOOSE(ArtifactsInput!$N$24+1,10,12,14,16,18,20)+IF(ArtifactsInput!$M$10,CHOOSE(ArtifactsInput!$N$10+1,15,18,21,24,27,30)*(IF(Inputs!$B$39="pvp",MIN(15,15)/15,IF(AND(Inputs!$B$39&lt;&gt;"pvp",Inputs!$B$44&gt;0),MIN(15,Inputs!$B$44)/(Inputs!$B$44),0))),0)))-100),0))*CHOOSE(ArtifactsInput!$N$42+1,0.6,0.72,0.84,0.96,1.08,1.2))),Inputs!$B$18+((C2700=TRUE)*(F2700-Calc!F29))+(IF(AND(Inputs!$B$39&lt;&gt;"pvp",Inputs!$B$44=0),1,IF(IF(Inputs!$B$39="pvp",15,Inputs!$B$44)-(B2716)&lt;=0,1,MAX(0,IF(Inputs!$B$39="pvp",15,Inputs!$B$44)-MAX(5,B2716))/(IF(Inputs!$B$39="pvp",15,Inputs!$B$44)-(B2716))))*IF(AND(ArtifactsInput!$M$42,((Inputs!$B$9+((C2697=TRUE)*(F2697-Calc!F26))+B2705+(ArtifactsInput!$M$24-ArtifactsInput!$M$24)*CHOOSE(ArtifactsInput!$N$24+1,10,12,14,16,18,20)+IF(ArtifactsInput!$M$10,CHOOSE(ArtifactsInput!$N$10+1,15,18,21,24,27,30)*(IF(Inputs!$B$39="pvp",MIN(15,15)/15,IF(AND(Inputs!$B$39&lt;&gt;"pvp",Inputs!$B$44&gt;0),MIN(15,Inputs!$B$44)/(Inputs!$B$44),0))),0)))&gt;=100),CHOOSE(ArtifactsInput!$N$42+1,40,48,56,64,72,80),0))))/100)*(((1+(((C2693=TRUE)*F2693*IF(AND(Inputs!$B$39&lt;&gt;"pvp",Inputs!$B$44&gt;0),(((R2693-1)*MIN((Skills!Y22*(1+Inputs!$B$34/100)),(1/Q2693))+MIN((Skills!Y22*(1+Inputs!$B$34/100)),MAX(0,Inputs!$B$44-((R2693-1)*(1/Q2693)))))/Inputs!$B$44),IF(Inputs!$B$39="pvp",MIN((Skills!Y22*(1+Inputs!$B$34/100)),15)/15,MIN(1,(Skills!Y22*(1+Inputs!$B$34/100))/(1/Q2693)))))+((C2674=TRUE)*F2674*3)+((C2676=TRUE)*F2676*(1-EXP(-0.75*B2709*5)))+((C2695=TRUE)*(F2695-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2682=TRUE)*F2682*IF(AND(Inputs!$B$39&lt;&gt;"pvp",Inputs!$B$44&gt;0),(((R2682-1)*MIN((Skills!Y11*(1+Inputs!$B$34/100)),(1/Q2682))+MIN((Skills!Y11*(1+Inputs!$B$34/100)),MAX(0,Inputs!$B$44-((R2682-1)*(1/Q2682)))))/Inputs!$B$44),IF(Inputs!$B$39="pvp",MIN((Skills!Y11*(1+Inputs!$B$34/100)),15)/15,MIN(1,(Skills!Y11*(1+Inputs!$B$34/100))/(1/Q2682)))))/100)*(1+((C2687=TRUE)*F2687*IF(AND(Inputs!$B$39&lt;&gt;"pvp",Inputs!$B$44&gt;0),(((R2687-1)*MIN((Skills!Y16*(1+Inputs!$B$34/100)),(1/Q2687))+MIN((Skills!Y16*(1+Inputs!$B$34/100)),MAX(0,Inputs!$B$44-((R2687-1)*(1/Q2687)))))/Inputs!$B$44),IF(Inputs!$B$39="pvp",MIN((Skills!Y16*(1+Inputs!$B$34/100)),15)/15,MIN(1,(Skills!Y16*(1+Inputs!$B$34/100))/(1/Q2687)))))/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2707*I2678)</f>
        <v/>
      </c>
      <c r="L2678">
        <f>K2678*(MIN(Inputs!$B$22+((C2696=TRUE)*(F2696-Calc!F25)),(Inputs!$B$23+((C2701=TRUE)*(F2701-Calc!F30))+IF(ArtifactsInput!$M$15,CHOOSE(ArtifactsInput!$N$15+1,25,30,35,40,45,50)/100*(Inputs!$B$11-Inputs!$B$11),0)))/100+(Inputs!$B$23+((C2701=TRUE)*(F2701-Calc!F30))+IF(ArtifactsInput!$M$15,CHOOSE(ArtifactsInput!$N$15+1,25,30,35,40,45,50)/100*(Inputs!$B$11-Inputs!$B$11),0))/100)/2</f>
        <v/>
      </c>
      <c r="M2678">
        <f>L2678*(1+(Inputs!$B$10+((C2698=TRUE)*(F2698-Calc!F27))+B2712+(IF(ArtifactsInput!$M$24,CHOOSE(ArtifactsInput!$N$24+1,30,36,42,48,54,60)/100*(Inputs!$B$9-Inputs!$B$9),0)+IF(ArtifactsInput!$M$10,CHOOSE(ArtifactsInput!$N$10+1,20,24,28,32,36,40)*(IF(Inputs!$B$39="pvp",MIN(15,15)/15,IF(AND(Inputs!$B$39&lt;&gt;"pvp",Inputs!$B$44&gt;0),MIN(15,Inputs!$B$44)/(Inputs!$B$44),0))),0)+IF(IF(ArtifactsInput!$M$31,FALSE,TRUE),1.5*CHOOSE(ArtifactsInput!$N$31+1,20,24,28,32,36,40),0)))/100)</f>
        <v/>
      </c>
      <c r="N2678">
        <f>L2678*(1-MIN((Inputs!$B$9+((C2697=TRUE)*(F2697-Calc!F26))+B2705+(ArtifactsInput!$M$24-ArtifactsInput!$M$24)*CHOOSE(ArtifactsInput!$N$24+1,10,12,14,16,18,20)+(IF(AND(Inputs!$B$39&lt;&gt;"pvp",Inputs!$B$44=0),1,IF(IF(Inputs!$B$39="pvp",15,Inputs!$B$44)-(B2716)&lt;=0,1,MAX(0,IF(Inputs!$B$39="pvp",15,Inputs!$B$44)-MAX(5,B2716))/(IF(Inputs!$B$39="pvp",15,Inputs!$B$44)-(B2716))))*IF(AND(ArtifactsInput!$M$42,((Inputs!$B$9+((C2697=TRUE)*(F2697-Calc!F26))+B2705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2678*(MIN((Inputs!$B$9+((C2697=TRUE)*(F2697-Calc!F26))+B2705+(ArtifactsInput!$M$24-ArtifactsInput!$M$24)*CHOOSE(ArtifactsInput!$N$24+1,10,12,14,16,18,20)+(IF(AND(Inputs!$B$39&lt;&gt;"pvp",Inputs!$B$44=0),1,IF(IF(Inputs!$B$39="pvp",15,Inputs!$B$44)-(B2716)&lt;=0,1,MAX(0,IF(Inputs!$B$39="pvp",15,Inputs!$B$44)-MAX(5,B2716))/(IF(Inputs!$B$39="pvp",15,Inputs!$B$44)-(B2716))))*IF(AND(ArtifactsInput!$M$42,((Inputs!$B$9+((C2697=TRUE)*(F2697-Calc!F26))+B2705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678">
        <f>(1-Summary!$B$11)*T2678+Summary!$B$11*V2678</f>
        <v/>
      </c>
      <c r="P2678">
        <f>IF(B2717=0,0,O2678/B2717)</f>
        <v/>
      </c>
      <c r="Q2678">
        <f>IFERROR(1/IF(Inputs!$B$39="pvp",15,MAX(0.1,Skills!D7-IF(TRUE=TRUE,Inputs!$B$32,0))),0)</f>
        <v/>
      </c>
      <c r="R2678">
        <f>IF(AND(Inputs!$B$39&lt;&gt;"pvp",Inputs!$B$44&gt;0),IF(MAX(0,Inputs!$B$44-B2716)&lt;=0,0,(INT(MAX(0,Inputs!$B$44-B2716)/IF(Inputs!$B$39="pvp",15,MAX(0.1,Skills!D7-IF(TRUE=TRUE,Inputs!$B$32,0))))+1)),0)</f>
        <v/>
      </c>
      <c r="S2678">
        <f>IFERROR(O2678/N2678,0)</f>
        <v/>
      </c>
      <c r="T2678">
        <f>IF(C2678,(H2678*N2678*IF(AND(Inputs!$B$39&lt;&gt;"pvp",Inputs!$B$44&gt;0),((Skills!G7*((R2678-1)*IF(Skills!H7&gt;0,Skills!I7/Skills!H7,1)+IF(Skills!H7&gt;0,MIN(Skills!I7,MAX(0,MAX(0,Inputs!$B$44-B2716)-((R2678-1)*IF(Inputs!$B$39="pvp",15,MAX(0.1,Skills!D7-IF(TRUE=TRUE,Inputs!$B$32,0))))))/Skills!H7,1)))/Inputs!$B$44),G2678*Q2678))*IF(Inputs!$B$39="pvp",1,1+(Inputs!$B$20+0+Skills!P7+B2706+(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Hunt"),CHOOSE(ArtifactsInput!$N$35+1,15,18,21,24,27,30)*(1-EXP(-(0.2*B2709)*5)),0)+IF(AND(ArtifactsInput!$M$22,Inputs!$B$4&lt;&gt;"Chapter Hunt"),CHOOSE(ArtifactsInput!$N$22+1,10,12,14,16,18,20)*((0*(((0.15*B2709*5))^0/1)+1*(((0.15*B2709*5))^1/1)+2*(((0.15*B2709*5))^2/2)+3*(((0.15*B2709*5))^3/6)+4*(((0.15*B2709*5))^4/24)+5*(((0.15*B2709*5))^5/120))/((((0.15*B2709*5))^0/1)+(((0.15*B2709*5))^1/1)+(((0.15*B2709*5))^2/2)+(((0.15*B2709*5))^3/6)+(((0.15*B2709*5))^4/24)+(((0.15*B2709*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2678*(1-MIN(100,(Inputs!$B$9+((C2697=TRUE)*(F2697-Calc!F26))+B2705+(ArtifactsInput!$M$24-ArtifactsInput!$M$24)*CHOOSE(ArtifactsInput!$N$24+1,10,12,14,16,18,20)+(IF(AND(Inputs!$B$39&lt;&gt;"pvp",Inputs!$B$44=0),1,IF(IF(Inputs!$B$39="pvp",15,Inputs!$B$44)-(B2716)&lt;=0,1,MAX(0,IF(Inputs!$B$39="pvp",15,Inputs!$B$44)-MAX(5,B2716))/(IF(Inputs!$B$39="pvp",15,Inputs!$B$44)-(B2716))))*IF(AND(ArtifactsInput!$M$42,((Inputs!$B$9+((C2697=TRUE)*(F2697-Calc!F26))+B2705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2678*(MIN(100,(Inputs!$B$9+((C2697=TRUE)*(F2697-Calc!F26))+B2705+(ArtifactsInput!$M$24-ArtifactsInput!$M$24)*CHOOSE(ArtifactsInput!$N$24+1,10,12,14,16,18,20)+(IF(AND(Inputs!$B$39&lt;&gt;"pvp",Inputs!$B$44=0),1,IF(IF(Inputs!$B$39="pvp",15,Inputs!$B$44)-(B2716)&lt;=0,1,MAX(0,IF(Inputs!$B$39="pvp",15,Inputs!$B$44)-MAX(5,B2716))/(IF(Inputs!$B$39="pvp",15,Inputs!$B$44)-(B2716))))*IF(AND(ArtifactsInput!$M$42,((Inputs!$B$9+((C2697=TRUE)*(F2697-Calc!F26))+B2705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2678*(1-MIN(100,(Inputs!$B$9+((C2697=TRUE)*(F2697-Calc!F26))+B2705+(ArtifactsInput!$M$24-ArtifactsInput!$M$24)*CHOOSE(ArtifactsInput!$N$24+1,10,12,14,16,18,20)+(IF(AND(Inputs!$B$39&lt;&gt;"pvp",Inputs!$B$44=0),1,IF(IF(Inputs!$B$39="pvp",15,Inputs!$B$44)-(B2716)&lt;=0,1,MAX(0,IF(Inputs!$B$39="pvp",15,Inputs!$B$44)-MAX(5,B2716))/(IF(Inputs!$B$39="pvp",15,Inputs!$B$44)-(B2716))))*IF(AND(ArtifactsInput!$M$42,((Inputs!$B$9+((C2697=TRUE)*(F2697-Calc!F26))+B2705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2678*(MIN(100,(Inputs!$B$9+((C2697=TRUE)*(F2697-Calc!F26))+B2705+(ArtifactsInput!$M$24-ArtifactsInput!$M$24)*CHOOSE(ArtifactsInput!$N$24+1,10,12,14,16,18,20)+(IF(AND(Inputs!$B$39&lt;&gt;"pvp",Inputs!$B$44=0),1,IF(IF(Inputs!$B$39="pvp",15,Inputs!$B$44)-(B2716)&lt;=0,1,MAX(0,IF(Inputs!$B$39="pvp",15,Inputs!$B$44)-MAX(5,B2716))/(IF(Inputs!$B$39="pvp",15,Inputs!$B$44)-(B2716))))*IF(AND(ArtifactsInput!$M$42,((Inputs!$B$9+((C2697=TRUE)*(F2697-Calc!F26))+B2705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678">
        <f>IF(C2678,(H2678*N2678*IF(AND(Inputs!$B$39&lt;&gt;"pvp",Inputs!$B$44&gt;0),((Skills!G7*((R2678-1)*IF(Skills!H7&gt;0,Skills!I7/Skills!H7,1)+IF(Skills!H7&gt;0,MIN(Skills!I7,MAX(0,MAX(0,Inputs!$B$44-B2716)-((R2678-1)*IF(Inputs!$B$39="pvp",15,MAX(0.1,Skills!D7-IF(TRUE=TRUE,Inputs!$B$32,0))))))/Skills!H7,1)))/Inputs!$B$44),G2678*Q2678))*IF(Inputs!$B$39="pvp",1,(1+(Inputs!$B$21+Skills!Q7+B2706+(IF(ArtifactsInput!$M$33,CHOOSE(ArtifactsInput!$N$33+1,30,36,42,48,54,60),0))+(IF(AND(ArtifactsInput!$M$35,Inputs!$B$4&lt;&gt;"Chapter Hunt"),CHOOSE(ArtifactsInput!$N$35+1,15,18,21,24,27,30)*(1-EXP(-(0.2*B2709)*5)),0)+IF(AND(ArtifactsInput!$M$22,Inputs!$B$4&lt;&gt;"Chapter Hunt"),CHOOSE(ArtifactsInput!$N$22+1,10,12,14,16,18,20)*((0*(((0.15*B2709*5))^0/1)+1*(((0.15*B2709*5))^1/1)+2*(((0.15*B2709*5))^2/2)+3*(((0.15*B2709*5))^3/6)+4*(((0.15*B2709*5))^4/24)+5*(((0.15*B2709*5))^5/120))/((((0.15*B2709*5))^0/1)+(((0.15*B2709*5))^1/1)+(((0.15*B2709*5))^2/2)+(((0.15*B2709*5))^3/6)+(((0.15*B2709*5))^4/24)+(((0.15*B2709*5))^5/120))),0)))/100)*(MIN(Skills!W7,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679">
      <c r="A2679">
        <f>Skills!A8</f>
        <v/>
      </c>
      <c r="B2679">
        <f>Skills!B8</f>
        <v/>
      </c>
      <c r="C2679">
        <f>Inputs!$B$3&gt;=60</f>
        <v/>
      </c>
      <c r="D2679">
        <f>IF(Skills!C8=1,60+Inputs!$B$25+Inputs!$B$29,IF(Skills!C8=2,90+Inputs!$B$26+Inputs!$B$29,IF(Skills!C8=3,120+Inputs!$B$27+Inputs!$B$29,MAX(0,(Inputs!$B$3-100)*3)+Inputs!$B$28+Inputs!$B$29)))</f>
        <v/>
      </c>
      <c r="E2679">
        <f>INDEX(FactorTable!$B$2:$Y$301, MATCH(ROUND(MIN(300,MAX(1,D2679)),0), FactorTable!$A$2:$A$301,0), Skills!M8+1)</f>
        <v/>
      </c>
      <c r="F2679">
        <f>IF(Skills!N8=TRUE,(Skills!L8/10)*(E2679/1000),Skills!L8/10)+Skills!O8</f>
        <v/>
      </c>
      <c r="G2679">
        <f>Skills!G8*IF(Skills!H8&gt;0,IF(Inputs!$B$39="pvp",MIN(Skills!I8,15),Skills!I8)/Skills!H8,1)</f>
        <v/>
      </c>
      <c r="H2679">
        <f>1-(1-Skills!J8/100)^Skills!K8</f>
        <v/>
      </c>
      <c r="I2679" t="inlineStr">
        <is>
          <t>1</t>
        </is>
      </c>
      <c r="J2679" t="inlineStr"/>
      <c r="K2679" t="inlineStr"/>
      <c r="L2679" t="inlineStr"/>
      <c r="M2679" t="inlineStr"/>
      <c r="N2679" t="inlineStr"/>
      <c r="O2679">
        <f>(1-Summary!$B$11)*T2679+Summary!$B$11*V2679</f>
        <v/>
      </c>
      <c r="P2679">
        <f>IF(B2717=0,0,O2679/B2717)</f>
        <v/>
      </c>
      <c r="Q2679" t="n">
        <v>0</v>
      </c>
      <c r="R2679" t="n">
        <v>0</v>
      </c>
      <c r="S2679">
        <f>IFERROR(O2679/N2679,0)</f>
        <v/>
      </c>
      <c r="T2679" t="n">
        <v>0</v>
      </c>
      <c r="V2679" t="n">
        <v>0</v>
      </c>
    </row>
    <row r="2680">
      <c r="A2680">
        <f>Skills!A9</f>
        <v/>
      </c>
      <c r="B2680">
        <f>Skills!B9</f>
        <v/>
      </c>
      <c r="C2680">
        <f>Inputs!$B$3&gt;=72</f>
        <v/>
      </c>
      <c r="D2680">
        <f>IF(Skills!C9=1,60+Inputs!$B$25+Inputs!$B$29,IF(Skills!C9=2,90+Inputs!$B$26+Inputs!$B$29,IF(Skills!C9=3,120+Inputs!$B$27+Inputs!$B$29,MAX(0,(Inputs!$B$3-100)*3)+Inputs!$B$28+Inputs!$B$29)))</f>
        <v/>
      </c>
      <c r="E2680">
        <f>INDEX(FactorTable!$B$2:$Y$301, MATCH(ROUND(MIN(300,MAX(1,D2680)),0), FactorTable!$A$2:$A$301,0), Skills!M9+1)</f>
        <v/>
      </c>
      <c r="F2680">
        <f>IF(Skills!N9=TRUE,(Skills!L9/10)*(E2680/1000),Skills!L9/10)+Skills!O9</f>
        <v/>
      </c>
      <c r="G2680">
        <f>Skills!G9*IF(Skills!H9&gt;0,IF(Inputs!$B$39="pvp",MIN(Skills!I9,15),Skills!I9)/Skills!H9,1)</f>
        <v/>
      </c>
      <c r="H2680">
        <f>1-(1-Skills!J9/100)^Skills!K9</f>
        <v/>
      </c>
      <c r="I2680" t="inlineStr">
        <is>
          <t>1</t>
        </is>
      </c>
      <c r="J2680">
        <f>((Inputs!$B$6*(1+Inputs!$B$7/100))+(((Inputs!$B$12*(1+Inputs!$B$13/100))-(Inputs!$B$12*(1+Inputs!$B$13/100)))+0.25*(Inputs!$B$14-Inputs!$B$14))*(1+Inputs!$B$7/100))*(F2680/100)</f>
        <v/>
      </c>
      <c r="K2680">
        <f>J2680*(1+((Inputs!$B$12*(1+Inputs!$B$13/100))*0.01+Inputs!$B$14*0.0025)/100)*(1+Inputs!$B$15/100)*(1+Inputs!$B$16/100)*(5000/(6000+Inputs!$B$43*(1-(100*(1-(1-Inputs!$B$19/100)*(1-CHOOSE(ArtifactsInput!$N$40+1,5,6,7,8,9,10)/100)^(ArtifactsInput!$M$40-ArtifactsInput!$M$40)))/100)))*(1+(Inputs!$B$24+((C2702=TRUE)*(F2702-Calc!F31))+((C2689=TRUE)*(F2689-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+3.3333333333333335*IF(C2690=TRUE,F2690,0)/100)*(1+(IF(Skills!A9="CRUEL_STAB",Inputs!$B$17+((C2699=TRUE)*(F2699-Calc!F28))+((IF(AND(Inputs!$B$39&lt;&gt;"pvp",Inputs!$B$44=0),1,IF(IF(Inputs!$B$39="pvp",15,Inputs!$B$44)-(B2716)&lt;=0,1,MAX(0,IF(Inputs!$B$39="pvp",15,Inputs!$B$44)-MAX(5,B2716))/(IF(Inputs!$B$39="pvp",15,Inputs!$B$44)-(B2716))))*(IF(AND(ArtifactsInput!$M$42,((Inputs!$B$9+((C2697=TRUE)*(F2697-Calc!F26))+B2705+(ArtifactsInput!$M$24-ArtifactsInput!$M$24)*CHOOSE(ArtifactsInput!$N$24+1,10,12,14,16,18,20)+IF(ArtifactsInput!$M$10,CHOOSE(ArtifactsInput!$N$10+1,15,18,21,24,27,30)*(IF(Inputs!$B$39="pvp",MIN(15,15)/15,IF(AND(Inputs!$B$39&lt;&gt;"pvp",Inputs!$B$44&gt;0),MIN(15,Inputs!$B$44)/(Inputs!$B$44),0))),0)))&gt;=100),MIN(100,((Inputs!$B$9+((C2697=TRUE)*(F2697-Calc!F26))+B2705+(ArtifactsInput!$M$24-ArtifactsInput!$M$24)*CHOOSE(ArtifactsInput!$N$24+1,10,12,14,16,18,20)+IF(ArtifactsInput!$M$10,CHOOSE(ArtifactsInput!$N$10+1,15,18,21,24,27,30)*(IF(Inputs!$B$39="pvp",MIN(15,15)/15,IF(AND(Inputs!$B$39&lt;&gt;"pvp",Inputs!$B$44&gt;0),MIN(15,Inputs!$B$44)/(Inputs!$B$44),0))),0)))-100),0))*CHOOSE(ArtifactsInput!$N$42+1,0.6,0.72,0.84,0.96,1.08,1.2))),Inputs!$B$18+((C2700=TRUE)*(F2700-Calc!F29))+(IF(AND(Inputs!$B$39&lt;&gt;"pvp",Inputs!$B$44=0),1,IF(IF(Inputs!$B$39="pvp",15,Inputs!$B$44)-(B2716)&lt;=0,1,MAX(0,IF(Inputs!$B$39="pvp",15,Inputs!$B$44)-MAX(5,B2716))/(IF(Inputs!$B$39="pvp",15,Inputs!$B$44)-(B2716))))*IF(AND(ArtifactsInput!$M$42,((Inputs!$B$9+((C2697=TRUE)*(F2697-Calc!F26))+B2705+(ArtifactsInput!$M$24-ArtifactsInput!$M$24)*CHOOSE(ArtifactsInput!$N$24+1,10,12,14,16,18,20)+IF(ArtifactsInput!$M$10,CHOOSE(ArtifactsInput!$N$10+1,15,18,21,24,27,30)*(IF(Inputs!$B$39="pvp",MIN(15,15)/15,IF(AND(Inputs!$B$39&lt;&gt;"pvp",Inputs!$B$44&gt;0),MIN(15,Inputs!$B$44)/(Inputs!$B$44),0))),0)))&gt;=100),CHOOSE(ArtifactsInput!$N$42+1,40,48,56,64,72,80),0))))/100)*(((1+(((C2693=TRUE)*F2693*IF(AND(Inputs!$B$39&lt;&gt;"pvp",Inputs!$B$44&gt;0),(((R2693-1)*MIN((Skills!Y22*(1+Inputs!$B$34/100)),(1/Q2693))+MIN((Skills!Y22*(1+Inputs!$B$34/100)),MAX(0,Inputs!$B$44-((R2693-1)*(1/Q2693)))))/Inputs!$B$44),IF(Inputs!$B$39="pvp",MIN((Skills!Y22*(1+Inputs!$B$34/100)),15)/15,MIN(1,(Skills!Y22*(1+Inputs!$B$34/100))/(1/Q2693)))))+((C2674=TRUE)*F2674*3)+((C2676=TRUE)*F2676*(1-EXP(-0.75*B2709*5)))+((C2695=TRUE)*(F2695-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2682=TRUE)*F2682*IF(AND(Inputs!$B$39&lt;&gt;"pvp",Inputs!$B$44&gt;0),(((R2682-1)*MIN((Skills!Y11*(1+Inputs!$B$34/100)),(1/Q2682))+MIN((Skills!Y11*(1+Inputs!$B$34/100)),MAX(0,Inputs!$B$44-((R2682-1)*(1/Q2682)))))/Inputs!$B$44),IF(Inputs!$B$39="pvp",MIN((Skills!Y11*(1+Inputs!$B$34/100)),15)/15,MIN(1,(Skills!Y11*(1+Inputs!$B$34/100))/(1/Q2682)))))/100)*(1+((C2687=TRUE)*F2687*IF(AND(Inputs!$B$39&lt;&gt;"pvp",Inputs!$B$44&gt;0),(((R2687-1)*MIN((Skills!Y16*(1+Inputs!$B$34/100)),(1/Q2687))+MIN((Skills!Y16*(1+Inputs!$B$34/100)),MAX(0,Inputs!$B$44-((R2687-1)*(1/Q2687)))))/Inputs!$B$44),IF(Inputs!$B$39="pvp",MIN((Skills!Y16*(1+Inputs!$B$34/100)),15)/15,MIN(1,(Skills!Y16*(1+Inputs!$B$34/100))/(1/Q2687)))))/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2707*I2680)</f>
        <v/>
      </c>
      <c r="L2680">
        <f>K2680*(MIN(Inputs!$B$22+((C2696=TRUE)*(F2696-Calc!F25)),(Inputs!$B$23+((C2701=TRUE)*(F2701-Calc!F30))+IF(ArtifactsInput!$M$15,CHOOSE(ArtifactsInput!$N$15+1,25,30,35,40,45,50)/100*(Inputs!$B$11-Inputs!$B$11),0)))/100+(Inputs!$B$23+((C2701=TRUE)*(F2701-Calc!F30))+IF(ArtifactsInput!$M$15,CHOOSE(ArtifactsInput!$N$15+1,25,30,35,40,45,50)/100*(Inputs!$B$11-Inputs!$B$11),0))/100)/2</f>
        <v/>
      </c>
      <c r="M2680">
        <f>L2680*(1+(Inputs!$B$10+((C2698=TRUE)*(F2698-Calc!F27))+B2712+(IF(ArtifactsInput!$M$24,CHOOSE(ArtifactsInput!$N$24+1,30,36,42,48,54,60)/100*(Inputs!$B$9-Inputs!$B$9),0)+IF(ArtifactsInput!$M$10,CHOOSE(ArtifactsInput!$N$10+1,20,24,28,32,36,40)*(IF(Inputs!$B$39="pvp",MIN(15,15)/15,IF(AND(Inputs!$B$39&lt;&gt;"pvp",Inputs!$B$44&gt;0),MIN(15,Inputs!$B$44)/(Inputs!$B$44),0))),0)+IF(IF(ArtifactsInput!$M$31,FALSE,TRUE),1.5*CHOOSE(ArtifactsInput!$N$31+1,20,24,28,32,36,40),0)))/100)</f>
        <v/>
      </c>
      <c r="N2680">
        <f>L2680*(1-MIN((Inputs!$B$9+((C2697=TRUE)*(F2697-Calc!F26))+B2705+(ArtifactsInput!$M$24-ArtifactsInput!$M$24)*CHOOSE(ArtifactsInput!$N$24+1,10,12,14,16,18,20)+(IF(AND(Inputs!$B$39&lt;&gt;"pvp",Inputs!$B$44=0),1,IF(IF(Inputs!$B$39="pvp",15,Inputs!$B$44)-(B2716)&lt;=0,1,MAX(0,IF(Inputs!$B$39="pvp",15,Inputs!$B$44)-MAX(5,B2716))/(IF(Inputs!$B$39="pvp",15,Inputs!$B$44)-(B2716))))*IF(AND(ArtifactsInput!$M$42,((Inputs!$B$9+((C2697=TRUE)*(F2697-Calc!F26))+B2705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2680*(MIN((Inputs!$B$9+((C2697=TRUE)*(F2697-Calc!F26))+B2705+(ArtifactsInput!$M$24-ArtifactsInput!$M$24)*CHOOSE(ArtifactsInput!$N$24+1,10,12,14,16,18,20)+(IF(AND(Inputs!$B$39&lt;&gt;"pvp",Inputs!$B$44=0),1,IF(IF(Inputs!$B$39="pvp",15,Inputs!$B$44)-(B2716)&lt;=0,1,MAX(0,IF(Inputs!$B$39="pvp",15,Inputs!$B$44)-MAX(5,B2716))/(IF(Inputs!$B$39="pvp",15,Inputs!$B$44)-(B2716))))*IF(AND(ArtifactsInput!$M$42,((Inputs!$B$9+((C2697=TRUE)*(F2697-Calc!F26))+B2705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680">
        <f>(1-Summary!$B$11)*T2680+Summary!$B$11*V2680</f>
        <v/>
      </c>
      <c r="P2680">
        <f>IF(B2717=0,0,O2680/B2717)</f>
        <v/>
      </c>
      <c r="Q2680">
        <f>IFERROR(1/IF(Inputs!$B$39="pvp",15,MAX(0.1,Skills!D9-IF(FALSE=TRUE,Inputs!$B$32,0))),0)</f>
        <v/>
      </c>
      <c r="R2680">
        <f>IF(AND(Inputs!$B$39&lt;&gt;"pvp",Inputs!$B$44&gt;0),IF(MAX(0,Inputs!$B$44-B2716)&lt;=0,0,(INT(MAX(0,Inputs!$B$44-B2716)/IF(Inputs!$B$39="pvp",15,MAX(0.1,Skills!D9-IF(FALSE=TRUE,Inputs!$B$32,0))))+1)),0)</f>
        <v/>
      </c>
      <c r="S2680">
        <f>IFERROR(O2680/N2680,0)</f>
        <v/>
      </c>
      <c r="T2680">
        <f>IF(C2680,(H2680*N2680*IF(AND(Inputs!$B$39&lt;&gt;"pvp",Inputs!$B$44&gt;0),((Skills!G9*((R2680-1)*IF(Skills!H9&gt;0,Skills!I9/Skills!H9,1)+IF(Skills!H9&gt;0,MIN(Skills!I9,MAX(0,MAX(0,Inputs!$B$44-B2716)-((R2680-1)*IF(Inputs!$B$39="pvp",15,MAX(0.1,Skills!D9-IF(FALSE=TRUE,Inputs!$B$32,0))))))/Skills!H9,1)))/Inputs!$B$44),G2680*Q2680))*IF(Inputs!$B$39="pvp",1,1+(Inputs!$B$20+0+Skills!P9+B2706+(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Hunt"),CHOOSE(ArtifactsInput!$N$35+1,15,18,21,24,27,30)*(1-EXP(-(0.2*B2709)*5)),0)+IF(AND(ArtifactsInput!$M$22,Inputs!$B$4&lt;&gt;"Chapter Hunt"),CHOOSE(ArtifactsInput!$N$22+1,10,12,14,16,18,20)*((0*(((0.15*B2709*5))^0/1)+1*(((0.15*B2709*5))^1/1)+2*(((0.15*B2709*5))^2/2)+3*(((0.15*B2709*5))^3/6)+4*(((0.15*B2709*5))^4/24)+5*(((0.15*B2709*5))^5/120))/((((0.15*B2709*5))^0/1)+(((0.15*B2709*5))^1/1)+(((0.15*B2709*5))^2/2)+(((0.15*B2709*5))^3/6)+(((0.15*B2709*5))^4/24)+(((0.15*B2709*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2680*(1-MIN(100,(Inputs!$B$9+((C2697=TRUE)*(F2697-Calc!F26))+B2705+(ArtifactsInput!$M$24-ArtifactsInput!$M$24)*CHOOSE(ArtifactsInput!$N$24+1,10,12,14,16,18,20)+(IF(AND(Inputs!$B$39&lt;&gt;"pvp",Inputs!$B$44=0),1,IF(IF(Inputs!$B$39="pvp",15,Inputs!$B$44)-(B2716)&lt;=0,1,MAX(0,IF(Inputs!$B$39="pvp",15,Inputs!$B$44)-MAX(5,B2716))/(IF(Inputs!$B$39="pvp",15,Inputs!$B$44)-(B2716))))*IF(AND(ArtifactsInput!$M$42,((Inputs!$B$9+((C2697=TRUE)*(F2697-Calc!F26))+B2705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2680*(MIN(100,(Inputs!$B$9+((C2697=TRUE)*(F2697-Calc!F26))+B2705+(ArtifactsInput!$M$24-ArtifactsInput!$M$24)*CHOOSE(ArtifactsInput!$N$24+1,10,12,14,16,18,20)+(IF(AND(Inputs!$B$39&lt;&gt;"pvp",Inputs!$B$44=0),1,IF(IF(Inputs!$B$39="pvp",15,Inputs!$B$44)-(B2716)&lt;=0,1,MAX(0,IF(Inputs!$B$39="pvp",15,Inputs!$B$44)-MAX(5,B2716))/(IF(Inputs!$B$39="pvp",15,Inputs!$B$44)-(B2716))))*IF(AND(ArtifactsInput!$M$42,((Inputs!$B$9+((C2697=TRUE)*(F2697-Calc!F26))+B2705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2680*(1-MIN(100,(Inputs!$B$9+((C2697=TRUE)*(F2697-Calc!F26))+B2705+(ArtifactsInput!$M$24-ArtifactsInput!$M$24)*CHOOSE(ArtifactsInput!$N$24+1,10,12,14,16,18,20)+(IF(AND(Inputs!$B$39&lt;&gt;"pvp",Inputs!$B$44=0),1,IF(IF(Inputs!$B$39="pvp",15,Inputs!$B$44)-(B2716)&lt;=0,1,MAX(0,IF(Inputs!$B$39="pvp",15,Inputs!$B$44)-MAX(5,B2716))/(IF(Inputs!$B$39="pvp",15,Inputs!$B$44)-(B2716))))*IF(AND(ArtifactsInput!$M$42,((Inputs!$B$9+((C2697=TRUE)*(F2697-Calc!F26))+B2705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2680*(MIN(100,(Inputs!$B$9+((C2697=TRUE)*(F2697-Calc!F26))+B2705+(ArtifactsInput!$M$24-ArtifactsInput!$M$24)*CHOOSE(ArtifactsInput!$N$24+1,10,12,14,16,18,20)+(IF(AND(Inputs!$B$39&lt;&gt;"pvp",Inputs!$B$44=0),1,IF(IF(Inputs!$B$39="pvp",15,Inputs!$B$44)-(B2716)&lt;=0,1,MAX(0,IF(Inputs!$B$39="pvp",15,Inputs!$B$44)-MAX(5,B2716))/(IF(Inputs!$B$39="pvp",15,Inputs!$B$44)-(B2716))))*IF(AND(ArtifactsInput!$M$42,((Inputs!$B$9+((C2697=TRUE)*(F2697-Calc!F26))+B2705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680">
        <f>IF(C2680,(H2680*N2680*IF(AND(Inputs!$B$39&lt;&gt;"pvp",Inputs!$B$44&gt;0),((Skills!G9*((R2680-1)*IF(Skills!H9&gt;0,Skills!I9/Skills!H9,1)+IF(Skills!H9&gt;0,MIN(Skills!I9,MAX(0,MAX(0,Inputs!$B$44-B2716)-((R2680-1)*IF(Inputs!$B$39="pvp",15,MAX(0.1,Skills!D9-IF(FALSE=TRUE,Inputs!$B$32,0))))))/Skills!H9,1)))/Inputs!$B$44),G2680*Q2680))*IF(Inputs!$B$39="pvp",1,(1+(Inputs!$B$21+Skills!Q9+B2706+(IF(ArtifactsInput!$M$33,CHOOSE(ArtifactsInput!$N$33+1,30,36,42,48,54,60),0))+(IF(AND(ArtifactsInput!$M$35,Inputs!$B$4&lt;&gt;"Chapter Hunt"),CHOOSE(ArtifactsInput!$N$35+1,15,18,21,24,27,30)*(1-EXP(-(0.2*B2709)*5)),0)+IF(AND(ArtifactsInput!$M$22,Inputs!$B$4&lt;&gt;"Chapter Hunt"),CHOOSE(ArtifactsInput!$N$22+1,10,12,14,16,18,20)*((0*(((0.15*B2709*5))^0/1)+1*(((0.15*B2709*5))^1/1)+2*(((0.15*B2709*5))^2/2)+3*(((0.15*B2709*5))^3/6)+4*(((0.15*B2709*5))^4/24)+5*(((0.15*B2709*5))^5/120))/((((0.15*B2709*5))^0/1)+(((0.15*B2709*5))^1/1)+(((0.15*B2709*5))^2/2)+(((0.15*B2709*5))^3/6)+(((0.15*B2709*5))^4/24)+(((0.15*B2709*5))^5/120))),0)))/100)*(MIN(Skills!W9,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681">
      <c r="A2681">
        <f>Skills!A10</f>
        <v/>
      </c>
      <c r="B2681">
        <f>Skills!B10</f>
        <v/>
      </c>
      <c r="C2681">
        <f>Inputs!$B$3&gt;=117</f>
        <v/>
      </c>
      <c r="D2681">
        <f>IF(Skills!C10=1,60+Inputs!$B$25+Inputs!$B$29,IF(Skills!C10=2,90+Inputs!$B$26+Inputs!$B$29,IF(Skills!C10=3,120+Inputs!$B$27+Inputs!$B$29,MAX(0,(Inputs!$B$3-100)*3)+Inputs!$B$28+Inputs!$B$29)))</f>
        <v/>
      </c>
      <c r="E2681">
        <f>INDEX(FactorTable!$B$2:$Y$301, MATCH(ROUND(MIN(300,MAX(1,D2681)),0), FactorTable!$A$2:$A$301,0), Skills!M10+1)</f>
        <v/>
      </c>
      <c r="F2681">
        <f>IF(Skills!N10=TRUE,(Skills!L10/10)*(E2681/1000),Skills!L10/10)+Skills!O10</f>
        <v/>
      </c>
      <c r="G2681">
        <f>Skills!G10*IF(Skills!H10&gt;0,IF(Inputs!$B$39="pvp",MIN(Skills!I10,15),Skills!I10)/Skills!H10,1)</f>
        <v/>
      </c>
      <c r="H2681">
        <f>1-(1-Skills!J10/100)^Skills!K10</f>
        <v/>
      </c>
      <c r="I2681" t="inlineStr">
        <is>
          <t>1</t>
        </is>
      </c>
      <c r="J2681">
        <f>((Inputs!$B$6*(1+Inputs!$B$7/100))+(((Inputs!$B$12*(1+Inputs!$B$13/100))-(Inputs!$B$12*(1+Inputs!$B$13/100)))+0.25*(Inputs!$B$14-Inputs!$B$14))*(1+Inputs!$B$7/100))*(F2681/100)</f>
        <v/>
      </c>
      <c r="K2681">
        <f>J2681*(1+((Inputs!$B$12*(1+Inputs!$B$13/100))*0.01+Inputs!$B$14*0.0025)/100)*(1+Inputs!$B$15/100)*(1+Inputs!$B$16/100)*(5000/(6000+Inputs!$B$43*(1-(100*(1-(1-Inputs!$B$19/100)*(1-CHOOSE(ArtifactsInput!$N$40+1,5,6,7,8,9,10)/100)^(ArtifactsInput!$M$40-ArtifactsInput!$M$40)))/100)))*(1+(Inputs!$B$24+((C2702=TRUE)*(F2702-Calc!F31))+((C2689=TRUE)*(F2689-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10="CRUEL_STAB",Inputs!$B$17+((C2699=TRUE)*(F2699-Calc!F28))+((IF(AND(Inputs!$B$39&lt;&gt;"pvp",Inputs!$B$44=0),1,IF(IF(Inputs!$B$39="pvp",15,Inputs!$B$44)-(B2716)&lt;=0,1,MAX(0,IF(Inputs!$B$39="pvp",15,Inputs!$B$44)-MAX(5,B2716))/(IF(Inputs!$B$39="pvp",15,Inputs!$B$44)-(B2716))))*(IF(AND(ArtifactsInput!$M$42,((Inputs!$B$9+((C2697=TRUE)*(F2697-Calc!F26))+B2705+(ArtifactsInput!$M$24-ArtifactsInput!$M$24)*CHOOSE(ArtifactsInput!$N$24+1,10,12,14,16,18,20)+IF(ArtifactsInput!$M$10,CHOOSE(ArtifactsInput!$N$10+1,15,18,21,24,27,30)*(IF(Inputs!$B$39="pvp",MIN(15,15)/15,IF(AND(Inputs!$B$39&lt;&gt;"pvp",Inputs!$B$44&gt;0),MIN(15,Inputs!$B$44)/(Inputs!$B$44),0))),0)))&gt;=100),MIN(100,((Inputs!$B$9+((C2697=TRUE)*(F2697-Calc!F26))+B2705+(ArtifactsInput!$M$24-ArtifactsInput!$M$24)*CHOOSE(ArtifactsInput!$N$24+1,10,12,14,16,18,20)+IF(ArtifactsInput!$M$10,CHOOSE(ArtifactsInput!$N$10+1,15,18,21,24,27,30)*(IF(Inputs!$B$39="pvp",MIN(15,15)/15,IF(AND(Inputs!$B$39&lt;&gt;"pvp",Inputs!$B$44&gt;0),MIN(15,Inputs!$B$44)/(Inputs!$B$44),0))),0)))-100),0))*CHOOSE(ArtifactsInput!$N$42+1,0.6,0.72,0.84,0.96,1.08,1.2))),Inputs!$B$18+((C2700=TRUE)*(F2700-Calc!F29))+(IF(AND(Inputs!$B$39&lt;&gt;"pvp",Inputs!$B$44=0),1,IF(IF(Inputs!$B$39="pvp",15,Inputs!$B$44)-(B2716)&lt;=0,1,MAX(0,IF(Inputs!$B$39="pvp",15,Inputs!$B$44)-MAX(5,B2716))/(IF(Inputs!$B$39="pvp",15,Inputs!$B$44)-(B2716))))*IF(AND(ArtifactsInput!$M$42,((Inputs!$B$9+((C2697=TRUE)*(F2697-Calc!F26))+B2705+(ArtifactsInput!$M$24-ArtifactsInput!$M$24)*CHOOSE(ArtifactsInput!$N$24+1,10,12,14,16,18,20)+IF(ArtifactsInput!$M$10,CHOOSE(ArtifactsInput!$N$10+1,15,18,21,24,27,30)*(IF(Inputs!$B$39="pvp",MIN(15,15)/15,IF(AND(Inputs!$B$39&lt;&gt;"pvp",Inputs!$B$44&gt;0),MIN(15,Inputs!$B$44)/(Inputs!$B$44),0))),0)))&gt;=100),CHOOSE(ArtifactsInput!$N$42+1,40,48,56,64,72,80),0))))/100)*(((1+(((C2693=TRUE)*F2693*IF(AND(Inputs!$B$39&lt;&gt;"pvp",Inputs!$B$44&gt;0),(((R2693-1)*MIN((Skills!Y22*(1+Inputs!$B$34/100)),(1/Q2693))+MIN((Skills!Y22*(1+Inputs!$B$34/100)),MAX(0,Inputs!$B$44-((R2693-1)*(1/Q2693)))))/Inputs!$B$44),IF(Inputs!$B$39="pvp",MIN((Skills!Y22*(1+Inputs!$B$34/100)),15)/15,MIN(1,(Skills!Y22*(1+Inputs!$B$34/100))/(1/Q2693)))))+((C2674=TRUE)*F2674*3)+((C2676=TRUE)*F2676*(1-EXP(-0.75*B2709*5)))+((C2695=TRUE)*(F2695-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2682=TRUE)*F2682*IF(AND(Inputs!$B$39&lt;&gt;"pvp",Inputs!$B$44&gt;0),(((R2682-1)*MIN((Skills!Y11*(1+Inputs!$B$34/100)),(1/Q2682))+MIN((Skills!Y11*(1+Inputs!$B$34/100)),MAX(0,Inputs!$B$44-((R2682-1)*(1/Q2682)))))/Inputs!$B$44),IF(Inputs!$B$39="pvp",MIN((Skills!Y11*(1+Inputs!$B$34/100)),15)/15,MIN(1,(Skills!Y11*(1+Inputs!$B$34/100))/(1/Q2682)))))/100)*(1+((C2687=TRUE)*F2687*IF(AND(Inputs!$B$39&lt;&gt;"pvp",Inputs!$B$44&gt;0),(((R2687-1)*MIN((Skills!Y16*(1+Inputs!$B$34/100)),(1/Q2687))+MIN((Skills!Y16*(1+Inputs!$B$34/100)),MAX(0,Inputs!$B$44-((R2687-1)*(1/Q2687)))))/Inputs!$B$44),IF(Inputs!$B$39="pvp",MIN((Skills!Y16*(1+Inputs!$B$34/100)),15)/15,MIN(1,(Skills!Y16*(1+Inputs!$B$34/100))/(1/Q2687)))))/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2707*I2681)</f>
        <v/>
      </c>
      <c r="L2681">
        <f>K2681*(MIN(Inputs!$B$22+((C2696=TRUE)*(F2696-Calc!F25)),(Inputs!$B$23+((C2701=TRUE)*(F2701-Calc!F30))+IF(ArtifactsInput!$M$15,CHOOSE(ArtifactsInput!$N$15+1,25,30,35,40,45,50)/100*(Inputs!$B$11-Inputs!$B$11),0)))/100+(Inputs!$B$23+((C2701=TRUE)*(F2701-Calc!F30))+IF(ArtifactsInput!$M$15,CHOOSE(ArtifactsInput!$N$15+1,25,30,35,40,45,50)/100*(Inputs!$B$11-Inputs!$B$11),0))/100)/2</f>
        <v/>
      </c>
      <c r="M2681">
        <f>L2681*(1+(Inputs!$B$10+((C2698=TRUE)*(F2698-Calc!F27))+B2712+(IF(ArtifactsInput!$M$24,CHOOSE(ArtifactsInput!$N$24+1,30,36,42,48,54,60)/100*(Inputs!$B$9-Inputs!$B$9),0)+IF(ArtifactsInput!$M$10,CHOOSE(ArtifactsInput!$N$10+1,20,24,28,32,36,40)*(IF(Inputs!$B$39="pvp",MIN(15,15)/15,IF(AND(Inputs!$B$39&lt;&gt;"pvp",Inputs!$B$44&gt;0),MIN(15,Inputs!$B$44)/(Inputs!$B$44),0))),0)+IF(IF(ArtifactsInput!$M$31,FALSE,TRUE),1.5*CHOOSE(ArtifactsInput!$N$31+1,20,24,28,32,36,40),0)))/100)</f>
        <v/>
      </c>
      <c r="N2681">
        <f>L2681*(1-MIN((Inputs!$B$9+((C2697=TRUE)*(F2697-Calc!F26))+B2705+(ArtifactsInput!$M$24-ArtifactsInput!$M$24)*CHOOSE(ArtifactsInput!$N$24+1,10,12,14,16,18,20)+(IF(AND(Inputs!$B$39&lt;&gt;"pvp",Inputs!$B$44=0),1,IF(IF(Inputs!$B$39="pvp",15,Inputs!$B$44)-(B2716)&lt;=0,1,MAX(0,IF(Inputs!$B$39="pvp",15,Inputs!$B$44)-MAX(5,B2716))/(IF(Inputs!$B$39="pvp",15,Inputs!$B$44)-(B2716))))*IF(AND(ArtifactsInput!$M$42,((Inputs!$B$9+((C2697=TRUE)*(F2697-Calc!F26))+B2705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2681*(MIN((Inputs!$B$9+((C2697=TRUE)*(F2697-Calc!F26))+B2705+(ArtifactsInput!$M$24-ArtifactsInput!$M$24)*CHOOSE(ArtifactsInput!$N$24+1,10,12,14,16,18,20)+(IF(AND(Inputs!$B$39&lt;&gt;"pvp",Inputs!$B$44=0),1,IF(IF(Inputs!$B$39="pvp",15,Inputs!$B$44)-(B2716)&lt;=0,1,MAX(0,IF(Inputs!$B$39="pvp",15,Inputs!$B$44)-MAX(5,B2716))/(IF(Inputs!$B$39="pvp",15,Inputs!$B$44)-(B2716))))*IF(AND(ArtifactsInput!$M$42,((Inputs!$B$9+((C2697=TRUE)*(F2697-Calc!F26))+B2705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681">
        <f>(1-Summary!$B$11)*T2681+Summary!$B$11*V2681</f>
        <v/>
      </c>
      <c r="P2681">
        <f>IF(B2717=0,0,O2681/B2717)</f>
        <v/>
      </c>
      <c r="Q2681" t="n">
        <v>0</v>
      </c>
      <c r="R2681" t="n">
        <v>0</v>
      </c>
      <c r="S2681" t="n">
        <v>0</v>
      </c>
      <c r="T2681">
        <f>IF(C2681,(0.2*SUMPRODUCT((Skills!Z2:Z31=TRUE)*(C2673:C2702=TRUE)*S2673:S2702)*N2681)*IF(Inputs!$B$39="pvp",1,1+(Inputs!$B$20+0+Skills!P10+B2706+(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Hunt"),CHOOSE(ArtifactsInput!$N$35+1,15,18,21,24,27,30)*(1-EXP(-(0.2*B2709)*5)),0)+IF(AND(ArtifactsInput!$M$22,Inputs!$B$4&lt;&gt;"Chapter Hunt"),CHOOSE(ArtifactsInput!$N$22+1,10,12,14,16,18,20)*((0*(((0.15*B2709*5))^0/1)+1*(((0.15*B2709*5))^1/1)+2*(((0.15*B2709*5))^2/2)+3*(((0.15*B2709*5))^3/6)+4*(((0.15*B2709*5))^4/24)+5*(((0.15*B2709*5))^5/120))/((((0.15*B2709*5))^0/1)+(((0.15*B2709*5))^1/1)+(((0.15*B2709*5))^2/2)+(((0.15*B2709*5))^3/6)+(((0.15*B2709*5))^4/24)+(((0.15*B2709*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2681*(1-MIN(100,(Inputs!$B$9+((C2697=TRUE)*(F2697-Calc!F26))+B2705+(ArtifactsInput!$M$24-ArtifactsInput!$M$24)*CHOOSE(ArtifactsInput!$N$24+1,10,12,14,16,18,20)+(IF(AND(Inputs!$B$39&lt;&gt;"pvp",Inputs!$B$44=0),1,IF(IF(Inputs!$B$39="pvp",15,Inputs!$B$44)-(B2716)&lt;=0,1,MAX(0,IF(Inputs!$B$39="pvp",15,Inputs!$B$44)-MAX(5,B2716))/(IF(Inputs!$B$39="pvp",15,Inputs!$B$44)-(B2716))))*IF(AND(ArtifactsInput!$M$42,((Inputs!$B$9+((C2697=TRUE)*(F2697-Calc!F26))+B2705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2681*(MIN(100,(Inputs!$B$9+((C2697=TRUE)*(F2697-Calc!F26))+B2705+(ArtifactsInput!$M$24-ArtifactsInput!$M$24)*CHOOSE(ArtifactsInput!$N$24+1,10,12,14,16,18,20)+(IF(AND(Inputs!$B$39&lt;&gt;"pvp",Inputs!$B$44=0),1,IF(IF(Inputs!$B$39="pvp",15,Inputs!$B$44)-(B2716)&lt;=0,1,MAX(0,IF(Inputs!$B$39="pvp",15,Inputs!$B$44)-MAX(5,B2716))/(IF(Inputs!$B$39="pvp",15,Inputs!$B$44)-(B2716))))*IF(AND(ArtifactsInput!$M$42,((Inputs!$B$9+((C2697=TRUE)*(F2697-Calc!F26))+B2705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2681*(1-MIN(100,(Inputs!$B$9+((C2697=TRUE)*(F2697-Calc!F26))+B2705+(ArtifactsInput!$M$24-ArtifactsInput!$M$24)*CHOOSE(ArtifactsInput!$N$24+1,10,12,14,16,18,20)+(IF(AND(Inputs!$B$39&lt;&gt;"pvp",Inputs!$B$44=0),1,IF(IF(Inputs!$B$39="pvp",15,Inputs!$B$44)-(B2716)&lt;=0,1,MAX(0,IF(Inputs!$B$39="pvp",15,Inputs!$B$44)-MAX(5,B2716))/(IF(Inputs!$B$39="pvp",15,Inputs!$B$44)-(B2716))))*IF(AND(ArtifactsInput!$M$42,((Inputs!$B$9+((C2697=TRUE)*(F2697-Calc!F26))+B2705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2681*(MIN(100,(Inputs!$B$9+((C2697=TRUE)*(F2697-Calc!F26))+B2705+(ArtifactsInput!$M$24-ArtifactsInput!$M$24)*CHOOSE(ArtifactsInput!$N$24+1,10,12,14,16,18,20)+(IF(AND(Inputs!$B$39&lt;&gt;"pvp",Inputs!$B$44=0),1,IF(IF(Inputs!$B$39="pvp",15,Inputs!$B$44)-(B2716)&lt;=0,1,MAX(0,IF(Inputs!$B$39="pvp",15,Inputs!$B$44)-MAX(5,B2716))/(IF(Inputs!$B$39="pvp",15,Inputs!$B$44)-(B2716))))*IF(AND(ArtifactsInput!$M$42,((Inputs!$B$9+((C2697=TRUE)*(F2697-Calc!F26))+B2705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681">
        <f>IF(C2681,(0.2*SUMPRODUCT((Skills!Z2:Z31=TRUE)*(C2673:C2702=TRUE)*S2673:S2702)*N2681)*IF(Inputs!$B$39="pvp",1,(1+(Inputs!$B$21+Skills!Q10+B2706+(IF(ArtifactsInput!$M$33,CHOOSE(ArtifactsInput!$N$33+1,30,36,42,48,54,60),0))+(IF(AND(ArtifactsInput!$M$35,Inputs!$B$4&lt;&gt;"Chapter Hunt"),CHOOSE(ArtifactsInput!$N$35+1,15,18,21,24,27,30)*(1-EXP(-(0.2*B2709)*5)),0)+IF(AND(ArtifactsInput!$M$22,Inputs!$B$4&lt;&gt;"Chapter Hunt"),CHOOSE(ArtifactsInput!$N$22+1,10,12,14,16,18,20)*((0*(((0.15*B2709*5))^0/1)+1*(((0.15*B2709*5))^1/1)+2*(((0.15*B2709*5))^2/2)+3*(((0.15*B2709*5))^3/6)+4*(((0.15*B2709*5))^4/24)+5*(((0.15*B2709*5))^5/120))/((((0.15*B2709*5))^0/1)+(((0.15*B2709*5))^1/1)+(((0.15*B2709*5))^2/2)+(((0.15*B2709*5))^3/6)+(((0.15*B2709*5))^4/24)+(((0.15*B2709*5))^5/120))),0)))/100)*(MIN(Skills!W10,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682">
      <c r="A2682">
        <f>Skills!A11</f>
        <v/>
      </c>
      <c r="B2682">
        <f>Skills!B11</f>
        <v/>
      </c>
      <c r="C2682">
        <f>Inputs!$B$3&gt;=74</f>
        <v/>
      </c>
      <c r="D2682">
        <f>IF(Skills!C11=1,60+Inputs!$B$25+Inputs!$B$29,IF(Skills!C11=2,90+Inputs!$B$26+Inputs!$B$29,IF(Skills!C11=3,120+Inputs!$B$27+Inputs!$B$29,MAX(0,(Inputs!$B$3-100)*3)+Inputs!$B$28+Inputs!$B$29)))</f>
        <v/>
      </c>
      <c r="E2682">
        <f>INDEX(FactorTable!$B$2:$Y$301, MATCH(ROUND(MIN(300,MAX(1,D2682)),0), FactorTable!$A$2:$A$301,0), Skills!M11+1)</f>
        <v/>
      </c>
      <c r="F2682">
        <f>IF(Skills!N11=TRUE,(Skills!L11/10)*(E2682/1000),Skills!L11/10)+Skills!O11</f>
        <v/>
      </c>
      <c r="G2682">
        <f>Skills!G11*IF(Skills!H11&gt;0,IF(Inputs!$B$39="pvp",MIN(Skills!I11,15),Skills!I11)/Skills!H11,1)</f>
        <v/>
      </c>
      <c r="H2682">
        <f>1-(1-Skills!J11/100)^Skills!K11</f>
        <v/>
      </c>
      <c r="I2682" t="inlineStr">
        <is>
          <t>1</t>
        </is>
      </c>
      <c r="J2682" t="inlineStr"/>
      <c r="K2682" t="inlineStr"/>
      <c r="L2682" t="inlineStr"/>
      <c r="M2682" t="inlineStr"/>
      <c r="N2682" t="inlineStr"/>
      <c r="O2682">
        <f>(1-Summary!$B$11)*T2682+Summary!$B$11*V2682</f>
        <v/>
      </c>
      <c r="P2682">
        <f>IF(B2717=0,0,O2682/B2717)</f>
        <v/>
      </c>
      <c r="Q2682">
        <f>IFERROR(1/IF(Inputs!$B$39="pvp",15,MAX(0.1,Skills!D11-IF(TRUE=TRUE,Inputs!$B$32,0))),0)</f>
        <v/>
      </c>
      <c r="R2682">
        <f>IF(AND(Inputs!$B$39&lt;&gt;"pvp",Inputs!$B$44&gt;0),IF(Inputs!$B$44&lt;=0,0,(INT(Inputs!$B$44/IF(Inputs!$B$39="pvp",15,MAX(0.1,Skills!D11-IF(TRUE=TRUE,Inputs!$B$32,0))))+1)),0)</f>
        <v/>
      </c>
      <c r="S2682">
        <f>IFERROR(O2682/N2682,0)</f>
        <v/>
      </c>
      <c r="T2682" t="n">
        <v>0</v>
      </c>
      <c r="V2682" t="n">
        <v>0</v>
      </c>
    </row>
    <row r="2683">
      <c r="A2683">
        <f>Skills!A12</f>
        <v/>
      </c>
      <c r="B2683">
        <f>Skills!B12</f>
        <v/>
      </c>
      <c r="C2683">
        <f>Inputs!$B$3&gt;=103</f>
        <v/>
      </c>
      <c r="D2683">
        <f>IF(Skills!C12=1,60+Inputs!$B$25+Inputs!$B$29,IF(Skills!C12=2,90+Inputs!$B$26+Inputs!$B$29,IF(Skills!C12=3,120+Inputs!$B$27+Inputs!$B$29,MAX(0,(Inputs!$B$3-100)*3)+Inputs!$B$28+Inputs!$B$29)))</f>
        <v/>
      </c>
      <c r="E2683">
        <f>INDEX(FactorTable!$B$2:$Y$301, MATCH(ROUND(MIN(300,MAX(1,D2683)),0), FactorTable!$A$2:$A$301,0), Skills!M12+1)</f>
        <v/>
      </c>
      <c r="F2683">
        <f>(Skills!L12/10)*(E2683/1000)+IF(Inputs!$B$3&gt;=134,50,0)+0.5*(30000/10)*(INDEX(FactorTable!$B$2:$Y$301, MATCH(ROUND(MIN(300,MAX(1,D2683)),0), FactorTable!$A$2:$A$301,0), 13)/1000)*B2715</f>
        <v/>
      </c>
      <c r="G2683">
        <f>Skills!G12*IF(Skills!H12&gt;0,IF(Inputs!$B$39="pvp",MIN(Skills!I12,15),Skills!I12)/Skills!H12,1)</f>
        <v/>
      </c>
      <c r="H2683">
        <f>1-(1-Skills!J12/100)^Skills!K12</f>
        <v/>
      </c>
      <c r="I2683" t="inlineStr">
        <is>
          <t>1</t>
        </is>
      </c>
      <c r="J2683">
        <f>((Inputs!$B$6*(1+Inputs!$B$7/100))+(((Inputs!$B$12*(1+Inputs!$B$13/100))-(Inputs!$B$12*(1+Inputs!$B$13/100)))+0.25*(Inputs!$B$14-Inputs!$B$14))*(1+Inputs!$B$7/100))*(F2683/100)</f>
        <v/>
      </c>
      <c r="K2683">
        <f>J2683*(1+((Inputs!$B$12*(1+Inputs!$B$13/100))*0.01+Inputs!$B$14*0.0025)/100)*(1+Inputs!$B$15/100)*(1+Inputs!$B$16/100)*(5000/(6000+Inputs!$B$43*(1-(100*(1-(1-Inputs!$B$19/100)*(1-CHOOSE(ArtifactsInput!$N$40+1,5,6,7,8,9,10)/100)^(ArtifactsInput!$M$40-ArtifactsInput!$M$40)))/100)))*(1+(Inputs!$B$24+((C2702=TRUE)*(F2702-Calc!F31))+((C2689=TRUE)*(F2689-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12="CRUEL_STAB",Inputs!$B$17+((C2699=TRUE)*(F2699-Calc!F28))+((IF(AND(Inputs!$B$39&lt;&gt;"pvp",Inputs!$B$44=0),1,IF(IF(Inputs!$B$39="pvp",15,Inputs!$B$44)-(B2716)&lt;=0,1,MAX(0,IF(Inputs!$B$39="pvp",15,Inputs!$B$44)-MAX(5,B2716))/(IF(Inputs!$B$39="pvp",15,Inputs!$B$44)-(B2716))))*(IF(AND(ArtifactsInput!$M$42,((Inputs!$B$9+((C2697=TRUE)*(F2697-Calc!F26))+B2705+(ArtifactsInput!$M$24-ArtifactsInput!$M$24)*CHOOSE(ArtifactsInput!$N$24+1,10,12,14,16,18,20)+IF(ArtifactsInput!$M$10,CHOOSE(ArtifactsInput!$N$10+1,15,18,21,24,27,30)*(IF(Inputs!$B$39="pvp",MIN(15,15)/15,IF(AND(Inputs!$B$39&lt;&gt;"pvp",Inputs!$B$44&gt;0),MIN(15,Inputs!$B$44)/(Inputs!$B$44),0))),0)))&gt;=100),MIN(100,((Inputs!$B$9+((C2697=TRUE)*(F2697-Calc!F26))+B2705+(ArtifactsInput!$M$24-ArtifactsInput!$M$24)*CHOOSE(ArtifactsInput!$N$24+1,10,12,14,16,18,20)+IF(ArtifactsInput!$M$10,CHOOSE(ArtifactsInput!$N$10+1,15,18,21,24,27,30)*(IF(Inputs!$B$39="pvp",MIN(15,15)/15,IF(AND(Inputs!$B$39&lt;&gt;"pvp",Inputs!$B$44&gt;0),MIN(15,Inputs!$B$44)/(Inputs!$B$44),0))),0)))-100),0))*CHOOSE(ArtifactsInput!$N$42+1,0.6,0.72,0.84,0.96,1.08,1.2))),Inputs!$B$18+((C2700=TRUE)*(F2700-Calc!F29))+(IF(AND(Inputs!$B$39&lt;&gt;"pvp",Inputs!$B$44=0),1,IF(IF(Inputs!$B$39="pvp",15,Inputs!$B$44)-(B2716)&lt;=0,1,MAX(0,IF(Inputs!$B$39="pvp",15,Inputs!$B$44)-MAX(5,B2716))/(IF(Inputs!$B$39="pvp",15,Inputs!$B$44)-(B2716))))*IF(AND(ArtifactsInput!$M$42,((Inputs!$B$9+((C2697=TRUE)*(F2697-Calc!F26))+B2705+(ArtifactsInput!$M$24-ArtifactsInput!$M$24)*CHOOSE(ArtifactsInput!$N$24+1,10,12,14,16,18,20)+IF(ArtifactsInput!$M$10,CHOOSE(ArtifactsInput!$N$10+1,15,18,21,24,27,30)*(IF(Inputs!$B$39="pvp",MIN(15,15)/15,IF(AND(Inputs!$B$39&lt;&gt;"pvp",Inputs!$B$44&gt;0),MIN(15,Inputs!$B$44)/(Inputs!$B$44),0))),0)))&gt;=100),CHOOSE(ArtifactsInput!$N$42+1,40,48,56,64,72,80),0))))/100)*(((1+(((C2693=TRUE)*F2693*IF(AND(Inputs!$B$39&lt;&gt;"pvp",Inputs!$B$44&gt;0),(((R2693-1)*MIN((Skills!Y22*(1+Inputs!$B$34/100)),(1/Q2693))+MIN((Skills!Y22*(1+Inputs!$B$34/100)),MAX(0,Inputs!$B$44-((R2693-1)*(1/Q2693)))))/Inputs!$B$44),IF(Inputs!$B$39="pvp",MIN((Skills!Y22*(1+Inputs!$B$34/100)),15)/15,MIN(1,(Skills!Y22*(1+Inputs!$B$34/100))/(1/Q2693)))))+((C2674=TRUE)*F2674*3)+((C2676=TRUE)*F2676*(1-EXP(-0.75*B2709*5)))+((C2695=TRUE)*(F2695-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2682=TRUE)*F2682*IF(AND(Inputs!$B$39&lt;&gt;"pvp",Inputs!$B$44&gt;0),(((R2682-1)*MIN((Skills!Y11*(1+Inputs!$B$34/100)),(1/Q2682))+MIN((Skills!Y11*(1+Inputs!$B$34/100)),MAX(0,Inputs!$B$44-((R2682-1)*(1/Q2682)))))/Inputs!$B$44),IF(Inputs!$B$39="pvp",MIN((Skills!Y11*(1+Inputs!$B$34/100)),15)/15,MIN(1,(Skills!Y11*(1+Inputs!$B$34/100))/(1/Q2682)))))/100)*(1+((C2687=TRUE)*F2687*IF(AND(Inputs!$B$39&lt;&gt;"pvp",Inputs!$B$44&gt;0),(((R2687-1)*MIN((Skills!Y16*(1+Inputs!$B$34/100)),(1/Q2687))+MIN((Skills!Y16*(1+Inputs!$B$34/100)),MAX(0,Inputs!$B$44-((R2687-1)*(1/Q2687)))))/Inputs!$B$44),IF(Inputs!$B$39="pvp",MIN((Skills!Y16*(1+Inputs!$B$34/100)),15)/15,MIN(1,(Skills!Y16*(1+Inputs!$B$34/100))/(1/Q2687)))))/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2707*I2683)</f>
        <v/>
      </c>
      <c r="L2683">
        <f>K2683*(MIN(Inputs!$B$22+((C2696=TRUE)*(F2696-Calc!F25)),(Inputs!$B$23+((C2701=TRUE)*(F2701-Calc!F30))+IF(ArtifactsInput!$M$15,CHOOSE(ArtifactsInput!$N$15+1,25,30,35,40,45,50)/100*(Inputs!$B$11-Inputs!$B$11),0)))/100+(Inputs!$B$23+((C2701=TRUE)*(F2701-Calc!F30))+IF(ArtifactsInput!$M$15,CHOOSE(ArtifactsInput!$N$15+1,25,30,35,40,45,50)/100*(Inputs!$B$11-Inputs!$B$11),0))/100)/2</f>
        <v/>
      </c>
      <c r="M2683">
        <f>L2683*(1+(Inputs!$B$10+((C2698=TRUE)*(F2698-Calc!F27))+B2712+(IF(ArtifactsInput!$M$24,CHOOSE(ArtifactsInput!$N$24+1,30,36,42,48,54,60)/100*(Inputs!$B$9-Inputs!$B$9),0)+IF(ArtifactsInput!$M$10,CHOOSE(ArtifactsInput!$N$10+1,20,24,28,32,36,40)*(IF(Inputs!$B$39="pvp",MIN(15,15)/15,IF(AND(Inputs!$B$39&lt;&gt;"pvp",Inputs!$B$44&gt;0),MIN(15,Inputs!$B$44)/(Inputs!$B$44),0))),0)+IF(IF(ArtifactsInput!$M$31,FALSE,TRUE),1.5*CHOOSE(ArtifactsInput!$N$31+1,20,24,28,32,36,40),0)))/100)</f>
        <v/>
      </c>
      <c r="N2683">
        <f>L2683*(1-MIN((Inputs!$B$9+((C2697=TRUE)*(F2697-Calc!F26))+B2705+(ArtifactsInput!$M$24-ArtifactsInput!$M$24)*CHOOSE(ArtifactsInput!$N$24+1,10,12,14,16,18,20)+(IF(AND(Inputs!$B$39&lt;&gt;"pvp",Inputs!$B$44=0),1,IF(IF(Inputs!$B$39="pvp",15,Inputs!$B$44)-(B2716)&lt;=0,1,MAX(0,IF(Inputs!$B$39="pvp",15,Inputs!$B$44)-MAX(5,B2716))/(IF(Inputs!$B$39="pvp",15,Inputs!$B$44)-(B2716))))*IF(AND(ArtifactsInput!$M$42,((Inputs!$B$9+((C2697=TRUE)*(F2697-Calc!F26))+B2705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2683*(MIN((Inputs!$B$9+((C2697=TRUE)*(F2697-Calc!F26))+B2705+(ArtifactsInput!$M$24-ArtifactsInput!$M$24)*CHOOSE(ArtifactsInput!$N$24+1,10,12,14,16,18,20)+(IF(AND(Inputs!$B$39&lt;&gt;"pvp",Inputs!$B$44=0),1,IF(IF(Inputs!$B$39="pvp",15,Inputs!$B$44)-(B2716)&lt;=0,1,MAX(0,IF(Inputs!$B$39="pvp",15,Inputs!$B$44)-MAX(5,B2716))/(IF(Inputs!$B$39="pvp",15,Inputs!$B$44)-(B2716))))*IF(AND(ArtifactsInput!$M$42,((Inputs!$B$9+((C2697=TRUE)*(F2697-Calc!F26))+B2705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683">
        <f>(1-Summary!$B$11)*T2683+Summary!$B$11*V2683</f>
        <v/>
      </c>
      <c r="P2683">
        <f>IF(B2717=0,0,O2683/B2717)</f>
        <v/>
      </c>
      <c r="Q2683">
        <f>IFERROR(1/IF(Inputs!$B$39="pvp",15,MAX(0.1,Skills!D12-IF(TRUE=TRUE,Inputs!$B$32,0))),0)</f>
        <v/>
      </c>
      <c r="R2683">
        <f>IF(AND(Inputs!$B$39&lt;&gt;"pvp",Inputs!$B$44&gt;0),IF(MAX(0,Inputs!$B$44-B2716)&lt;=0,0,(INT(MAX(0,Inputs!$B$44-B2716)/IF(Inputs!$B$39="pvp",15,MAX(0.1,Skills!D12-IF(TRUE=TRUE,Inputs!$B$32,0))))+1)),0)</f>
        <v/>
      </c>
      <c r="S2683">
        <f>IFERROR(O2683/N2683,0)</f>
        <v/>
      </c>
      <c r="T2683">
        <f>IF(C2683,(H2683*N2683*IF(AND(Inputs!$B$39&lt;&gt;"pvp",Inputs!$B$44&gt;0),((Skills!G12*((R2683-1)*IF(Skills!H12&gt;0,Skills!I12/Skills!H12,1)+IF(Skills!H12&gt;0,MIN(Skills!I12,MAX(0,MAX(0,Inputs!$B$44-B2716)-((R2683-1)*IF(Inputs!$B$39="pvp",15,MAX(0.1,Skills!D12-IF(TRUE=TRUE,Inputs!$B$32,0))))))/Skills!H12,1)))/Inputs!$B$44),G2683*Q2683))*IF(Inputs!$B$39="pvp",1,1+(Inputs!$B$20+0+Skills!P12+B2706+(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Hunt"),CHOOSE(ArtifactsInput!$N$35+1,15,18,21,24,27,30)*(1-EXP(-(0.2*B2709)*5)),0)+IF(AND(ArtifactsInput!$M$22,Inputs!$B$4&lt;&gt;"Chapter Hunt"),CHOOSE(ArtifactsInput!$N$22+1,10,12,14,16,18,20)*((0*(((0.15*B2709*5))^0/1)+1*(((0.15*B2709*5))^1/1)+2*(((0.15*B2709*5))^2/2)+3*(((0.15*B2709*5))^3/6)+4*(((0.15*B2709*5))^4/24)+5*(((0.15*B2709*5))^5/120))/((((0.15*B2709*5))^0/1)+(((0.15*B2709*5))^1/1)+(((0.15*B2709*5))^2/2)+(((0.15*B2709*5))^3/6)+(((0.15*B2709*5))^4/24)+(((0.15*B2709*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2683*(1-MIN(100,(Inputs!$B$9+((C2697=TRUE)*(F2697-Calc!F26))+B2705+(ArtifactsInput!$M$24-ArtifactsInput!$M$24)*CHOOSE(ArtifactsInput!$N$24+1,10,12,14,16,18,20)+(IF(AND(Inputs!$B$39&lt;&gt;"pvp",Inputs!$B$44=0),1,IF(IF(Inputs!$B$39="pvp",15,Inputs!$B$44)-(B2716)&lt;=0,1,MAX(0,IF(Inputs!$B$39="pvp",15,Inputs!$B$44)-MAX(5,B2716))/(IF(Inputs!$B$39="pvp",15,Inputs!$B$44)-(B2716))))*IF(AND(ArtifactsInput!$M$42,((Inputs!$B$9+((C2697=TRUE)*(F2697-Calc!F26))+B2705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2683*(MIN(100,(Inputs!$B$9+((C2697=TRUE)*(F2697-Calc!F26))+B2705+(ArtifactsInput!$M$24-ArtifactsInput!$M$24)*CHOOSE(ArtifactsInput!$N$24+1,10,12,14,16,18,20)+(IF(AND(Inputs!$B$39&lt;&gt;"pvp",Inputs!$B$44=0),1,IF(IF(Inputs!$B$39="pvp",15,Inputs!$B$44)-(B2716)&lt;=0,1,MAX(0,IF(Inputs!$B$39="pvp",15,Inputs!$B$44)-MAX(5,B2716))/(IF(Inputs!$B$39="pvp",15,Inputs!$B$44)-(B2716))))*IF(AND(ArtifactsInput!$M$42,((Inputs!$B$9+((C2697=TRUE)*(F2697-Calc!F26))+B2705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2683*(1-MIN(100,(Inputs!$B$9+((C2697=TRUE)*(F2697-Calc!F26))+B2705+(ArtifactsInput!$M$24-ArtifactsInput!$M$24)*CHOOSE(ArtifactsInput!$N$24+1,10,12,14,16,18,20)+(IF(AND(Inputs!$B$39&lt;&gt;"pvp",Inputs!$B$44=0),1,IF(IF(Inputs!$B$39="pvp",15,Inputs!$B$44)-(B2716)&lt;=0,1,MAX(0,IF(Inputs!$B$39="pvp",15,Inputs!$B$44)-MAX(5,B2716))/(IF(Inputs!$B$39="pvp",15,Inputs!$B$44)-(B2716))))*IF(AND(ArtifactsInput!$M$42,((Inputs!$B$9+((C2697=TRUE)*(F2697-Calc!F26))+B2705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2683*(MIN(100,(Inputs!$B$9+((C2697=TRUE)*(F2697-Calc!F26))+B2705+(ArtifactsInput!$M$24-ArtifactsInput!$M$24)*CHOOSE(ArtifactsInput!$N$24+1,10,12,14,16,18,20)+(IF(AND(Inputs!$B$39&lt;&gt;"pvp",Inputs!$B$44=0),1,IF(IF(Inputs!$B$39="pvp",15,Inputs!$B$44)-(B2716)&lt;=0,1,MAX(0,IF(Inputs!$B$39="pvp",15,Inputs!$B$44)-MAX(5,B2716))/(IF(Inputs!$B$39="pvp",15,Inputs!$B$44)-(B2716))))*IF(AND(ArtifactsInput!$M$42,((Inputs!$B$9+((C2697=TRUE)*(F2697-Calc!F26))+B2705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683">
        <f>IF(C2683,(H2683*N2683*IF(AND(Inputs!$B$39&lt;&gt;"pvp",Inputs!$B$44&gt;0),((Skills!G12*((R2683-1)*IF(Skills!H12&gt;0,Skills!I12/Skills!H12,1)+IF(Skills!H12&gt;0,MIN(Skills!I12,MAX(0,MAX(0,Inputs!$B$44-B2716)-((R2683-1)*IF(Inputs!$B$39="pvp",15,MAX(0.1,Skills!D12-IF(TRUE=TRUE,Inputs!$B$32,0))))))/Skills!H12,1)))/Inputs!$B$44),G2683*Q2683))*IF(Inputs!$B$39="pvp",1,(1+(Inputs!$B$21+Skills!Q12+B2706+(IF(ArtifactsInput!$M$33,CHOOSE(ArtifactsInput!$N$33+1,30,36,42,48,54,60),0))+(IF(AND(ArtifactsInput!$M$35,Inputs!$B$4&lt;&gt;"Chapter Hunt"),CHOOSE(ArtifactsInput!$N$35+1,15,18,21,24,27,30)*(1-EXP(-(0.2*B2709)*5)),0)+IF(AND(ArtifactsInput!$M$22,Inputs!$B$4&lt;&gt;"Chapter Hunt"),CHOOSE(ArtifactsInput!$N$22+1,10,12,14,16,18,20)*((0*(((0.15*B2709*5))^0/1)+1*(((0.15*B2709*5))^1/1)+2*(((0.15*B2709*5))^2/2)+3*(((0.15*B2709*5))^3/6)+4*(((0.15*B2709*5))^4/24)+5*(((0.15*B2709*5))^5/120))/((((0.15*B2709*5))^0/1)+(((0.15*B2709*5))^1/1)+(((0.15*B2709*5))^2/2)+(((0.15*B2709*5))^3/6)+(((0.15*B2709*5))^4/24)+(((0.15*B2709*5))^5/120))),0)))/100)*(MIN(Skills!W12,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684">
      <c r="A2684">
        <f>Skills!A13</f>
        <v/>
      </c>
      <c r="B2684">
        <f>Skills!B13</f>
        <v/>
      </c>
      <c r="C2684">
        <f>Inputs!$B$3&gt;=105</f>
        <v/>
      </c>
      <c r="D2684">
        <f>IF(Skills!C13=1,60+Inputs!$B$25+Inputs!$B$29,IF(Skills!C13=2,90+Inputs!$B$26+Inputs!$B$29,IF(Skills!C13=3,120+Inputs!$B$27+Inputs!$B$29,MAX(0,(Inputs!$B$3-100)*3)+Inputs!$B$28+Inputs!$B$29)))</f>
        <v/>
      </c>
      <c r="E2684">
        <f>INDEX(FactorTable!$B$2:$Y$301, MATCH(ROUND(MIN(300,MAX(1,D2684)),0), FactorTable!$A$2:$A$301,0), Skills!M13+1)</f>
        <v/>
      </c>
      <c r="F2684">
        <f>IF(Skills!N13=TRUE,(Skills!L13/10)*(E2684/1000),Skills!L13/10)+Skills!O13</f>
        <v/>
      </c>
      <c r="G2684">
        <f>Skills!G13*IF(Skills!H13&gt;0,IF(Inputs!$B$39="pvp",MIN(Skills!I13,15),Skills!I13)/Skills!H13,1)</f>
        <v/>
      </c>
      <c r="H2684">
        <f>1-(1-Skills!J13/100)^Skills!K13</f>
        <v/>
      </c>
      <c r="I2684" t="inlineStr">
        <is>
          <t>1</t>
        </is>
      </c>
      <c r="J2684">
        <f>((Inputs!$B$6*(1+Inputs!$B$7/100))+(((Inputs!$B$12*(1+Inputs!$B$13/100))-(Inputs!$B$12*(1+Inputs!$B$13/100)))+0.25*(Inputs!$B$14-Inputs!$B$14))*(1+Inputs!$B$7/100))*(F2684/100)</f>
        <v/>
      </c>
      <c r="K2684">
        <f>J2684*(1+((Inputs!$B$12*(1+Inputs!$B$13/100))*0.01+Inputs!$B$14*0.0025)/100)*(1+Inputs!$B$15/100)*(1+Inputs!$B$16/100)*(5000/(6000+Inputs!$B$43*(1-(100*(1-(1-Inputs!$B$19/100)*(1-CHOOSE(ArtifactsInput!$N$40+1,5,6,7,8,9,10)/100)^(ArtifactsInput!$M$40-ArtifactsInput!$M$40)))/100)))*(1+(Inputs!$B$24+((C2702=TRUE)*(F2702-Calc!F31))+((C2689=TRUE)*(F2689-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13="CRUEL_STAB",Inputs!$B$17+((C2699=TRUE)*(F2699-Calc!F28))+((IF(AND(Inputs!$B$39&lt;&gt;"pvp",Inputs!$B$44=0),1,IF(IF(Inputs!$B$39="pvp",15,Inputs!$B$44)-(B2716)&lt;=0,1,MAX(0,IF(Inputs!$B$39="pvp",15,Inputs!$B$44)-MAX(5,B2716))/(IF(Inputs!$B$39="pvp",15,Inputs!$B$44)-(B2716))))*(IF(AND(ArtifactsInput!$M$42,((Inputs!$B$9+((C2697=TRUE)*(F2697-Calc!F26))+B2705+(ArtifactsInput!$M$24-ArtifactsInput!$M$24)*CHOOSE(ArtifactsInput!$N$24+1,10,12,14,16,18,20)+IF(ArtifactsInput!$M$10,CHOOSE(ArtifactsInput!$N$10+1,15,18,21,24,27,30)*(IF(Inputs!$B$39="pvp",MIN(15,15)/15,IF(AND(Inputs!$B$39&lt;&gt;"pvp",Inputs!$B$44&gt;0),MIN(15,Inputs!$B$44)/(Inputs!$B$44),0))),0)))&gt;=100),MIN(100,((Inputs!$B$9+((C2697=TRUE)*(F2697-Calc!F26))+B2705+(ArtifactsInput!$M$24-ArtifactsInput!$M$24)*CHOOSE(ArtifactsInput!$N$24+1,10,12,14,16,18,20)+IF(ArtifactsInput!$M$10,CHOOSE(ArtifactsInput!$N$10+1,15,18,21,24,27,30)*(IF(Inputs!$B$39="pvp",MIN(15,15)/15,IF(AND(Inputs!$B$39&lt;&gt;"pvp",Inputs!$B$44&gt;0),MIN(15,Inputs!$B$44)/(Inputs!$B$44),0))),0)))-100),0))*CHOOSE(ArtifactsInput!$N$42+1,0.6,0.72,0.84,0.96,1.08,1.2))),Inputs!$B$18+((C2700=TRUE)*(F2700-Calc!F29))+(IF(AND(Inputs!$B$39&lt;&gt;"pvp",Inputs!$B$44=0),1,IF(IF(Inputs!$B$39="pvp",15,Inputs!$B$44)-(B2716)&lt;=0,1,MAX(0,IF(Inputs!$B$39="pvp",15,Inputs!$B$44)-MAX(5,B2716))/(IF(Inputs!$B$39="pvp",15,Inputs!$B$44)-(B2716))))*IF(AND(ArtifactsInput!$M$42,((Inputs!$B$9+((C2697=TRUE)*(F2697-Calc!F26))+B2705+(ArtifactsInput!$M$24-ArtifactsInput!$M$24)*CHOOSE(ArtifactsInput!$N$24+1,10,12,14,16,18,20)+IF(ArtifactsInput!$M$10,CHOOSE(ArtifactsInput!$N$10+1,15,18,21,24,27,30)*(IF(Inputs!$B$39="pvp",MIN(15,15)/15,IF(AND(Inputs!$B$39&lt;&gt;"pvp",Inputs!$B$44&gt;0),MIN(15,Inputs!$B$44)/(Inputs!$B$44),0))),0)))&gt;=100),CHOOSE(ArtifactsInput!$N$42+1,40,48,56,64,72,80),0))))/100)*(((1+(((C2693=TRUE)*F2693*IF(AND(Inputs!$B$39&lt;&gt;"pvp",Inputs!$B$44&gt;0),(((R2693-1)*MIN((Skills!Y22*(1+Inputs!$B$34/100)),(1/Q2693))+MIN((Skills!Y22*(1+Inputs!$B$34/100)),MAX(0,Inputs!$B$44-((R2693-1)*(1/Q2693)))))/Inputs!$B$44),IF(Inputs!$B$39="pvp",MIN((Skills!Y22*(1+Inputs!$B$34/100)),15)/15,MIN(1,(Skills!Y22*(1+Inputs!$B$34/100))/(1/Q2693)))))+((C2674=TRUE)*F2674*3)+((C2676=TRUE)*F2676*(1-EXP(-0.75*B2709*5)))+((C2695=TRUE)*(F2695-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2682=TRUE)*F2682*IF(AND(Inputs!$B$39&lt;&gt;"pvp",Inputs!$B$44&gt;0),(((R2682-1)*MIN((Skills!Y11*(1+Inputs!$B$34/100)),(1/Q2682))+MIN((Skills!Y11*(1+Inputs!$B$34/100)),MAX(0,Inputs!$B$44-((R2682-1)*(1/Q2682)))))/Inputs!$B$44),IF(Inputs!$B$39="pvp",MIN((Skills!Y11*(1+Inputs!$B$34/100)),15)/15,MIN(1,(Skills!Y11*(1+Inputs!$B$34/100))/(1/Q2682)))))/100)*(1+((C2687=TRUE)*F2687*IF(AND(Inputs!$B$39&lt;&gt;"pvp",Inputs!$B$44&gt;0),(((R2687-1)*MIN((Skills!Y16*(1+Inputs!$B$34/100)),(1/Q2687))+MIN((Skills!Y16*(1+Inputs!$B$34/100)),MAX(0,Inputs!$B$44-((R2687-1)*(1/Q2687)))))/Inputs!$B$44),IF(Inputs!$B$39="pvp",MIN((Skills!Y16*(1+Inputs!$B$34/100)),15)/15,MIN(1,(Skills!Y16*(1+Inputs!$B$34/100))/(1/Q2687)))))/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2707*I2684)</f>
        <v/>
      </c>
      <c r="L2684">
        <f>K2684*(MIN(Inputs!$B$22+((C2696=TRUE)*(F2696-Calc!F25)),(Inputs!$B$23+((C2701=TRUE)*(F2701-Calc!F30))+IF(ArtifactsInput!$M$15,CHOOSE(ArtifactsInput!$N$15+1,25,30,35,40,45,50)/100*(Inputs!$B$11-Inputs!$B$11),0)))/100+(Inputs!$B$23+((C2701=TRUE)*(F2701-Calc!F30))+IF(ArtifactsInput!$M$15,CHOOSE(ArtifactsInput!$N$15+1,25,30,35,40,45,50)/100*(Inputs!$B$11-Inputs!$B$11),0))/100)/2</f>
        <v/>
      </c>
      <c r="M2684">
        <f>L2684*(1+(Inputs!$B$10+((C2698=TRUE)*(F2698-Calc!F27))+B2712+(IF(ArtifactsInput!$M$24,CHOOSE(ArtifactsInput!$N$24+1,30,36,42,48,54,60)/100*(Inputs!$B$9-Inputs!$B$9),0)+IF(ArtifactsInput!$M$10,CHOOSE(ArtifactsInput!$N$10+1,20,24,28,32,36,40)*(IF(Inputs!$B$39="pvp",MIN(15,15)/15,IF(AND(Inputs!$B$39&lt;&gt;"pvp",Inputs!$B$44&gt;0),MIN(15,Inputs!$B$44)/(Inputs!$B$44),0))),0)+IF(IF(ArtifactsInput!$M$31,FALSE,TRUE),1.5*CHOOSE(ArtifactsInput!$N$31+1,20,24,28,32,36,40),0)))/100)</f>
        <v/>
      </c>
      <c r="N2684">
        <f>L2684*(1-MIN((Inputs!$B$9+((C2697=TRUE)*(F2697-Calc!F26))+B2705+(ArtifactsInput!$M$24-ArtifactsInput!$M$24)*CHOOSE(ArtifactsInput!$N$24+1,10,12,14,16,18,20)+(IF(AND(Inputs!$B$39&lt;&gt;"pvp",Inputs!$B$44=0),1,IF(IF(Inputs!$B$39="pvp",15,Inputs!$B$44)-(B2716)&lt;=0,1,MAX(0,IF(Inputs!$B$39="pvp",15,Inputs!$B$44)-MAX(5,B2716))/(IF(Inputs!$B$39="pvp",15,Inputs!$B$44)-(B2716))))*IF(AND(ArtifactsInput!$M$42,((Inputs!$B$9+((C2697=TRUE)*(F2697-Calc!F26))+B2705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2684*(MIN((Inputs!$B$9+((C2697=TRUE)*(F2697-Calc!F26))+B2705+(ArtifactsInput!$M$24-ArtifactsInput!$M$24)*CHOOSE(ArtifactsInput!$N$24+1,10,12,14,16,18,20)+(IF(AND(Inputs!$B$39&lt;&gt;"pvp",Inputs!$B$44=0),1,IF(IF(Inputs!$B$39="pvp",15,Inputs!$B$44)-(B2716)&lt;=0,1,MAX(0,IF(Inputs!$B$39="pvp",15,Inputs!$B$44)-MAX(5,B2716))/(IF(Inputs!$B$39="pvp",15,Inputs!$B$44)-(B2716))))*IF(AND(ArtifactsInput!$M$42,((Inputs!$B$9+((C2697=TRUE)*(F2697-Calc!F26))+B2705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684">
        <f>(1-Summary!$B$11)*T2684+Summary!$B$11*V2684</f>
        <v/>
      </c>
      <c r="P2684">
        <f>IF(B2717=0,0,O2684/B2717)</f>
        <v/>
      </c>
      <c r="Q2684">
        <f>IFERROR(1/IF(Inputs!$B$39="pvp",15,MAX(0.1,Skills!D13-IF(TRUE=TRUE,Inputs!$B$32,0))),0)</f>
        <v/>
      </c>
      <c r="R2684">
        <f>IF(AND(Inputs!$B$39&lt;&gt;"pvp",Inputs!$B$44&gt;0),IF(MAX(0,Inputs!$B$44-B2716)&lt;=0,0,(INT(MAX(0,Inputs!$B$44-B2716)/IF(Inputs!$B$39="pvp",15,MAX(0.1,Skills!D13-IF(TRUE=TRUE,Inputs!$B$32,0))))+1)),0)</f>
        <v/>
      </c>
      <c r="S2684">
        <f>IFERROR(O2684/N2684,0)</f>
        <v/>
      </c>
      <c r="T2684">
        <f>IF(C2684,(H2684*N2684*IF(AND(Inputs!$B$39&lt;&gt;"pvp",Inputs!$B$44&gt;0),((Skills!G13*((R2684-1)*IF(Skills!H13&gt;0,Skills!I13/Skills!H13,1)+IF(Skills!H13&gt;0,MIN(Skills!I13,MAX(0,MAX(0,Inputs!$B$44-B2716)-((R2684-1)*IF(Inputs!$B$39="pvp",15,MAX(0.1,Skills!D13-IF(TRUE=TRUE,Inputs!$B$32,0))))))/Skills!H13,1)))/Inputs!$B$44),G2684*Q2684))*IF(Inputs!$B$39="pvp",1,1+(Inputs!$B$20+0+Skills!P13+B2706+(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Hunt"),CHOOSE(ArtifactsInput!$N$35+1,15,18,21,24,27,30)*(1-EXP(-(0.2*B2709)*5)),0)+IF(AND(ArtifactsInput!$M$22,Inputs!$B$4&lt;&gt;"Chapter Hunt"),CHOOSE(ArtifactsInput!$N$22+1,10,12,14,16,18,20)*((0*(((0.15*B2709*5))^0/1)+1*(((0.15*B2709*5))^1/1)+2*(((0.15*B2709*5))^2/2)+3*(((0.15*B2709*5))^3/6)+4*(((0.15*B2709*5))^4/24)+5*(((0.15*B2709*5))^5/120))/((((0.15*B2709*5))^0/1)+(((0.15*B2709*5))^1/1)+(((0.15*B2709*5))^2/2)+(((0.15*B2709*5))^3/6)+(((0.15*B2709*5))^4/24)+(((0.15*B2709*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2684*(1-MIN(100,(Inputs!$B$9+((C2697=TRUE)*(F2697-Calc!F26))+B2705+(ArtifactsInput!$M$24-ArtifactsInput!$M$24)*CHOOSE(ArtifactsInput!$N$24+1,10,12,14,16,18,20)+(IF(AND(Inputs!$B$39&lt;&gt;"pvp",Inputs!$B$44=0),1,IF(IF(Inputs!$B$39="pvp",15,Inputs!$B$44)-(B2716)&lt;=0,1,MAX(0,IF(Inputs!$B$39="pvp",15,Inputs!$B$44)-MAX(5,B2716))/(IF(Inputs!$B$39="pvp",15,Inputs!$B$44)-(B2716))))*IF(AND(ArtifactsInput!$M$42,((Inputs!$B$9+((C2697=TRUE)*(F2697-Calc!F26))+B2705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2684*(MIN(100,(Inputs!$B$9+((C2697=TRUE)*(F2697-Calc!F26))+B2705+(ArtifactsInput!$M$24-ArtifactsInput!$M$24)*CHOOSE(ArtifactsInput!$N$24+1,10,12,14,16,18,20)+(IF(AND(Inputs!$B$39&lt;&gt;"pvp",Inputs!$B$44=0),1,IF(IF(Inputs!$B$39="pvp",15,Inputs!$B$44)-(B2716)&lt;=0,1,MAX(0,IF(Inputs!$B$39="pvp",15,Inputs!$B$44)-MAX(5,B2716))/(IF(Inputs!$B$39="pvp",15,Inputs!$B$44)-(B2716))))*IF(AND(ArtifactsInput!$M$42,((Inputs!$B$9+((C2697=TRUE)*(F2697-Calc!F26))+B2705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2684*(1-MIN(100,(Inputs!$B$9+((C2697=TRUE)*(F2697-Calc!F26))+B2705+(ArtifactsInput!$M$24-ArtifactsInput!$M$24)*CHOOSE(ArtifactsInput!$N$24+1,10,12,14,16,18,20)+(IF(AND(Inputs!$B$39&lt;&gt;"pvp",Inputs!$B$44=0),1,IF(IF(Inputs!$B$39="pvp",15,Inputs!$B$44)-(B2716)&lt;=0,1,MAX(0,IF(Inputs!$B$39="pvp",15,Inputs!$B$44)-MAX(5,B2716))/(IF(Inputs!$B$39="pvp",15,Inputs!$B$44)-(B2716))))*IF(AND(ArtifactsInput!$M$42,((Inputs!$B$9+((C2697=TRUE)*(F2697-Calc!F26))+B2705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2684*(MIN(100,(Inputs!$B$9+((C2697=TRUE)*(F2697-Calc!F26))+B2705+(ArtifactsInput!$M$24-ArtifactsInput!$M$24)*CHOOSE(ArtifactsInput!$N$24+1,10,12,14,16,18,20)+(IF(AND(Inputs!$B$39&lt;&gt;"pvp",Inputs!$B$44=0),1,IF(IF(Inputs!$B$39="pvp",15,Inputs!$B$44)-(B2716)&lt;=0,1,MAX(0,IF(Inputs!$B$39="pvp",15,Inputs!$B$44)-MAX(5,B2716))/(IF(Inputs!$B$39="pvp",15,Inputs!$B$44)-(B2716))))*IF(AND(ArtifactsInput!$M$42,((Inputs!$B$9+((C2697=TRUE)*(F2697-Calc!F26))+B2705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684">
        <f>IF(C2684,(H2684*N2684*IF(AND(Inputs!$B$39&lt;&gt;"pvp",Inputs!$B$44&gt;0),((Skills!G13*((R2684-1)*IF(Skills!H13&gt;0,Skills!I13/Skills!H13,1)+IF(Skills!H13&gt;0,MIN(Skills!I13,MAX(0,MAX(0,Inputs!$B$44-B2716)-((R2684-1)*IF(Inputs!$B$39="pvp",15,MAX(0.1,Skills!D13-IF(TRUE=TRUE,Inputs!$B$32,0))))))/Skills!H13,1)))/Inputs!$B$44),G2684*Q2684))*IF(Inputs!$B$39="pvp",1,(1+(Inputs!$B$21+Skills!Q13+B2706+(IF(ArtifactsInput!$M$33,CHOOSE(ArtifactsInput!$N$33+1,30,36,42,48,54,60),0))+(IF(AND(ArtifactsInput!$M$35,Inputs!$B$4&lt;&gt;"Chapter Hunt"),CHOOSE(ArtifactsInput!$N$35+1,15,18,21,24,27,30)*(1-EXP(-(0.2*B2709)*5)),0)+IF(AND(ArtifactsInput!$M$22,Inputs!$B$4&lt;&gt;"Chapter Hunt"),CHOOSE(ArtifactsInput!$N$22+1,10,12,14,16,18,20)*((0*(((0.15*B2709*5))^0/1)+1*(((0.15*B2709*5))^1/1)+2*(((0.15*B2709*5))^2/2)+3*(((0.15*B2709*5))^3/6)+4*(((0.15*B2709*5))^4/24)+5*(((0.15*B2709*5))^5/120))/((((0.15*B2709*5))^0/1)+(((0.15*B2709*5))^1/1)+(((0.15*B2709*5))^2/2)+(((0.15*B2709*5))^3/6)+(((0.15*B2709*5))^4/24)+(((0.15*B2709*5))^5/120))),0)))/100)*(MIN(Skills!W13,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685">
      <c r="A2685">
        <f>Skills!A14</f>
        <v/>
      </c>
      <c r="B2685">
        <f>Skills!B14</f>
        <v/>
      </c>
      <c r="C2685">
        <f>Inputs!$B$3&gt;=105</f>
        <v/>
      </c>
      <c r="D2685">
        <f>IF(Skills!C14=1,60+Inputs!$B$25+Inputs!$B$29,IF(Skills!C14=2,90+Inputs!$B$26+Inputs!$B$29,IF(Skills!C14=3,120+Inputs!$B$27+Inputs!$B$29,MAX(0,(Inputs!$B$3-100)*3)+Inputs!$B$28+Inputs!$B$29)))</f>
        <v/>
      </c>
      <c r="E2685">
        <f>INDEX(FactorTable!$B$2:$Y$301, MATCH(ROUND(MIN(300,MAX(1,D2685)),0), FactorTable!$A$2:$A$301,0), Skills!M14+1)</f>
        <v/>
      </c>
      <c r="F2685">
        <f>IF(Skills!N14=TRUE,(Skills!L14/10)*(E2685/1000),Skills!L14/10)+Skills!O14</f>
        <v/>
      </c>
      <c r="G2685">
        <f>Skills!G14*IF(Skills!H14&gt;0,IF(Inputs!$B$39="pvp",MIN(Skills!I14,15),Skills!I14)/Skills!H14,1)</f>
        <v/>
      </c>
      <c r="H2685">
        <f>1-(1-Skills!J14/100)^Skills!K14</f>
        <v/>
      </c>
      <c r="I2685" t="inlineStr">
        <is>
          <t>1</t>
        </is>
      </c>
      <c r="J2685">
        <f>((Inputs!$B$6*(1+Inputs!$B$7/100))+(((Inputs!$B$12*(1+Inputs!$B$13/100))-(Inputs!$B$12*(1+Inputs!$B$13/100)))+0.25*(Inputs!$B$14-Inputs!$B$14))*(1+Inputs!$B$7/100))*(F2685/100)</f>
        <v/>
      </c>
      <c r="K2685">
        <f>J2685*(1+((Inputs!$B$12*(1+Inputs!$B$13/100))*0.01+Inputs!$B$14*0.0025)/100)*(1+Inputs!$B$15/100)*(1+Inputs!$B$16/100)*(5000/(6000+Inputs!$B$43*(1-(100*(1-(1-Inputs!$B$19/100)*(1-CHOOSE(ArtifactsInput!$N$40+1,5,6,7,8,9,10)/100)^(ArtifactsInput!$M$40-ArtifactsInput!$M$40)))/100)))*(1+(Inputs!$B$24+((C2702=TRUE)*(F2702-Calc!F31))+((C2689=TRUE)*(F2689-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14="CRUEL_STAB",Inputs!$B$17+((C2699=TRUE)*(F2699-Calc!F28))+((IF(AND(Inputs!$B$39&lt;&gt;"pvp",Inputs!$B$44=0),1,IF(IF(Inputs!$B$39="pvp",15,Inputs!$B$44)-(B2716)&lt;=0,1,MAX(0,IF(Inputs!$B$39="pvp",15,Inputs!$B$44)-MAX(5,B2716))/(IF(Inputs!$B$39="pvp",15,Inputs!$B$44)-(B2716))))*(IF(AND(ArtifactsInput!$M$42,((Inputs!$B$9+((C2697=TRUE)*(F2697-Calc!F26))+B2705+(ArtifactsInput!$M$24-ArtifactsInput!$M$24)*CHOOSE(ArtifactsInput!$N$24+1,10,12,14,16,18,20)+IF(ArtifactsInput!$M$10,CHOOSE(ArtifactsInput!$N$10+1,15,18,21,24,27,30)*(IF(Inputs!$B$39="pvp",MIN(15,15)/15,IF(AND(Inputs!$B$39&lt;&gt;"pvp",Inputs!$B$44&gt;0),MIN(15,Inputs!$B$44)/(Inputs!$B$44),0))),0)))&gt;=100),MIN(100,((Inputs!$B$9+((C2697=TRUE)*(F2697-Calc!F26))+B2705+(ArtifactsInput!$M$24-ArtifactsInput!$M$24)*CHOOSE(ArtifactsInput!$N$24+1,10,12,14,16,18,20)+IF(ArtifactsInput!$M$10,CHOOSE(ArtifactsInput!$N$10+1,15,18,21,24,27,30)*(IF(Inputs!$B$39="pvp",MIN(15,15)/15,IF(AND(Inputs!$B$39&lt;&gt;"pvp",Inputs!$B$44&gt;0),MIN(15,Inputs!$B$44)/(Inputs!$B$44),0))),0)))-100),0))*CHOOSE(ArtifactsInput!$N$42+1,0.6,0.72,0.84,0.96,1.08,1.2))),Inputs!$B$18+((C2700=TRUE)*(F2700-Calc!F29))+(IF(AND(Inputs!$B$39&lt;&gt;"pvp",Inputs!$B$44=0),1,IF(IF(Inputs!$B$39="pvp",15,Inputs!$B$44)-(B2716)&lt;=0,1,MAX(0,IF(Inputs!$B$39="pvp",15,Inputs!$B$44)-MAX(5,B2716))/(IF(Inputs!$B$39="pvp",15,Inputs!$B$44)-(B2716))))*IF(AND(ArtifactsInput!$M$42,((Inputs!$B$9+((C2697=TRUE)*(F2697-Calc!F26))+B2705+(ArtifactsInput!$M$24-ArtifactsInput!$M$24)*CHOOSE(ArtifactsInput!$N$24+1,10,12,14,16,18,20)+IF(ArtifactsInput!$M$10,CHOOSE(ArtifactsInput!$N$10+1,15,18,21,24,27,30)*(IF(Inputs!$B$39="pvp",MIN(15,15)/15,IF(AND(Inputs!$B$39&lt;&gt;"pvp",Inputs!$B$44&gt;0),MIN(15,Inputs!$B$44)/(Inputs!$B$44),0))),0)))&gt;=100),CHOOSE(ArtifactsInput!$N$42+1,40,48,56,64,72,80),0))))/100)*(((1+(((C2693=TRUE)*F2693*IF(AND(Inputs!$B$39&lt;&gt;"pvp",Inputs!$B$44&gt;0),(((R2693-1)*MIN((Skills!Y22*(1+Inputs!$B$34/100)),(1/Q2693))+MIN((Skills!Y22*(1+Inputs!$B$34/100)),MAX(0,Inputs!$B$44-((R2693-1)*(1/Q2693)))))/Inputs!$B$44),IF(Inputs!$B$39="pvp",MIN((Skills!Y22*(1+Inputs!$B$34/100)),15)/15,MIN(1,(Skills!Y22*(1+Inputs!$B$34/100))/(1/Q2693)))))+((C2674=TRUE)*F2674*3)+((C2676=TRUE)*F2676*(1-EXP(-0.75*B2709*5)))+((C2695=TRUE)*(F2695-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2682=TRUE)*F2682*IF(AND(Inputs!$B$39&lt;&gt;"pvp",Inputs!$B$44&gt;0),(((R2682-1)*MIN((Skills!Y11*(1+Inputs!$B$34/100)),(1/Q2682))+MIN((Skills!Y11*(1+Inputs!$B$34/100)),MAX(0,Inputs!$B$44-((R2682-1)*(1/Q2682)))))/Inputs!$B$44),IF(Inputs!$B$39="pvp",MIN((Skills!Y11*(1+Inputs!$B$34/100)),15)/15,MIN(1,(Skills!Y11*(1+Inputs!$B$34/100))/(1/Q2682)))))/100)*(1+((C2687=TRUE)*F2687*IF(AND(Inputs!$B$39&lt;&gt;"pvp",Inputs!$B$44&gt;0),(((R2687-1)*MIN((Skills!Y16*(1+Inputs!$B$34/100)),(1/Q2687))+MIN((Skills!Y16*(1+Inputs!$B$34/100)),MAX(0,Inputs!$B$44-((R2687-1)*(1/Q2687)))))/Inputs!$B$44),IF(Inputs!$B$39="pvp",MIN((Skills!Y16*(1+Inputs!$B$34/100)),15)/15,MIN(1,(Skills!Y16*(1+Inputs!$B$34/100))/(1/Q2687)))))/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2707*I2685)</f>
        <v/>
      </c>
      <c r="L2685">
        <f>K2685*(MIN(Inputs!$B$22+((C2696=TRUE)*(F2696-Calc!F25)),(Inputs!$B$23+((C2701=TRUE)*(F2701-Calc!F30))+IF(ArtifactsInput!$M$15,CHOOSE(ArtifactsInput!$N$15+1,25,30,35,40,45,50)/100*(Inputs!$B$11-Inputs!$B$11),0)))/100+(Inputs!$B$23+((C2701=TRUE)*(F2701-Calc!F30))+IF(ArtifactsInput!$M$15,CHOOSE(ArtifactsInput!$N$15+1,25,30,35,40,45,50)/100*(Inputs!$B$11-Inputs!$B$11),0))/100)/2</f>
        <v/>
      </c>
      <c r="M2685">
        <f>L2685*(1+(Inputs!$B$10+((C2698=TRUE)*(F2698-Calc!F27))+B2712+(IF(ArtifactsInput!$M$24,CHOOSE(ArtifactsInput!$N$24+1,30,36,42,48,54,60)/100*(Inputs!$B$9-Inputs!$B$9),0)+IF(ArtifactsInput!$M$10,CHOOSE(ArtifactsInput!$N$10+1,20,24,28,32,36,40)*(IF(Inputs!$B$39="pvp",MIN(15,15)/15,IF(AND(Inputs!$B$39&lt;&gt;"pvp",Inputs!$B$44&gt;0),MIN(15,Inputs!$B$44)/(Inputs!$B$44),0))),0)+IF(IF(ArtifactsInput!$M$31,FALSE,TRUE),1.5*CHOOSE(ArtifactsInput!$N$31+1,20,24,28,32,36,40),0)))/100)</f>
        <v/>
      </c>
      <c r="N2685">
        <f>L2685*(1-MIN((Inputs!$B$9+((C2697=TRUE)*(F2697-Calc!F26))+B2705+(ArtifactsInput!$M$24-ArtifactsInput!$M$24)*CHOOSE(ArtifactsInput!$N$24+1,10,12,14,16,18,20)+(IF(AND(Inputs!$B$39&lt;&gt;"pvp",Inputs!$B$44=0),1,IF(IF(Inputs!$B$39="pvp",15,Inputs!$B$44)-(B2716)&lt;=0,1,MAX(0,IF(Inputs!$B$39="pvp",15,Inputs!$B$44)-MAX(5,B2716))/(IF(Inputs!$B$39="pvp",15,Inputs!$B$44)-(B2716))))*IF(AND(ArtifactsInput!$M$42,((Inputs!$B$9+((C2697=TRUE)*(F2697-Calc!F26))+B2705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2685*(MIN((Inputs!$B$9+((C2697=TRUE)*(F2697-Calc!F26))+B2705+(ArtifactsInput!$M$24-ArtifactsInput!$M$24)*CHOOSE(ArtifactsInput!$N$24+1,10,12,14,16,18,20)+(IF(AND(Inputs!$B$39&lt;&gt;"pvp",Inputs!$B$44=0),1,IF(IF(Inputs!$B$39="pvp",15,Inputs!$B$44)-(B2716)&lt;=0,1,MAX(0,IF(Inputs!$B$39="pvp",15,Inputs!$B$44)-MAX(5,B2716))/(IF(Inputs!$B$39="pvp",15,Inputs!$B$44)-(B2716))))*IF(AND(ArtifactsInput!$M$42,((Inputs!$B$9+((C2697=TRUE)*(F2697-Calc!F26))+B2705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685">
        <f>(1-Summary!$B$11)*T2685+Summary!$B$11*V2685</f>
        <v/>
      </c>
      <c r="P2685">
        <f>IF(B2717=0,0,O2685/B2717)</f>
        <v/>
      </c>
      <c r="Q2685">
        <f>IFERROR(1/IF(Inputs!$B$39="pvp",15,MAX(0.1,Skills!D14-IF(TRUE=TRUE,Inputs!$B$32,0))),0)</f>
        <v/>
      </c>
      <c r="R2685">
        <f>IF(AND(Inputs!$B$39&lt;&gt;"pvp",Inputs!$B$44&gt;0),IF(MAX(0,Inputs!$B$44-B2716)&lt;=0,0,(INT(MAX(0,Inputs!$B$44-B2716)/IF(Inputs!$B$39="pvp",15,MAX(0.1,Skills!D14-IF(TRUE=TRUE,Inputs!$B$32,0))))+1)),0)</f>
        <v/>
      </c>
      <c r="S2685">
        <f>IFERROR(O2685/N2685,0)</f>
        <v/>
      </c>
      <c r="T2685">
        <f>IF(C2685,(H2685*N2685*IF(AND(Inputs!$B$39&lt;&gt;"pvp",Inputs!$B$44&gt;0),((Skills!G14*((R2685-1)*IF(Skills!H14&gt;0,Skills!I14/Skills!H14,1)+IF(Skills!H14&gt;0,MIN(Skills!I14,MAX(0,MAX(0,Inputs!$B$44-B2716)-((R2685-1)*IF(Inputs!$B$39="pvp",15,MAX(0.1,Skills!D14-IF(TRUE=TRUE,Inputs!$B$32,0))))))/Skills!H14,1)))/Inputs!$B$44),G2685*Q2685))*IF(Inputs!$B$39="pvp",1,1+(Inputs!$B$20+0+Skills!P14+B2706+(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Hunt"),CHOOSE(ArtifactsInput!$N$35+1,15,18,21,24,27,30)*(1-EXP(-(0.2*B2709)*5)),0)+IF(AND(ArtifactsInput!$M$22,Inputs!$B$4&lt;&gt;"Chapter Hunt"),CHOOSE(ArtifactsInput!$N$22+1,10,12,14,16,18,20)*((0*(((0.15*B2709*5))^0/1)+1*(((0.15*B2709*5))^1/1)+2*(((0.15*B2709*5))^2/2)+3*(((0.15*B2709*5))^3/6)+4*(((0.15*B2709*5))^4/24)+5*(((0.15*B2709*5))^5/120))/((((0.15*B2709*5))^0/1)+(((0.15*B2709*5))^1/1)+(((0.15*B2709*5))^2/2)+(((0.15*B2709*5))^3/6)+(((0.15*B2709*5))^4/24)+(((0.15*B2709*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2685*(1-MIN(100,(Inputs!$B$9+((C2697=TRUE)*(F2697-Calc!F26))+B2705+(ArtifactsInput!$M$24-ArtifactsInput!$M$24)*CHOOSE(ArtifactsInput!$N$24+1,10,12,14,16,18,20)+(IF(AND(Inputs!$B$39&lt;&gt;"pvp",Inputs!$B$44=0),1,IF(IF(Inputs!$B$39="pvp",15,Inputs!$B$44)-(B2716)&lt;=0,1,MAX(0,IF(Inputs!$B$39="pvp",15,Inputs!$B$44)-MAX(5,B2716))/(IF(Inputs!$B$39="pvp",15,Inputs!$B$44)-(B2716))))*IF(AND(ArtifactsInput!$M$42,((Inputs!$B$9+((C2697=TRUE)*(F2697-Calc!F26))+B2705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2685*(MIN(100,(Inputs!$B$9+((C2697=TRUE)*(F2697-Calc!F26))+B2705+(ArtifactsInput!$M$24-ArtifactsInput!$M$24)*CHOOSE(ArtifactsInput!$N$24+1,10,12,14,16,18,20)+(IF(AND(Inputs!$B$39&lt;&gt;"pvp",Inputs!$B$44=0),1,IF(IF(Inputs!$B$39="pvp",15,Inputs!$B$44)-(B2716)&lt;=0,1,MAX(0,IF(Inputs!$B$39="pvp",15,Inputs!$B$44)-MAX(5,B2716))/(IF(Inputs!$B$39="pvp",15,Inputs!$B$44)-(B2716))))*IF(AND(ArtifactsInput!$M$42,((Inputs!$B$9+((C2697=TRUE)*(F2697-Calc!F26))+B2705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2685*(1-MIN(100,(Inputs!$B$9+((C2697=TRUE)*(F2697-Calc!F26))+B2705+(ArtifactsInput!$M$24-ArtifactsInput!$M$24)*CHOOSE(ArtifactsInput!$N$24+1,10,12,14,16,18,20)+(IF(AND(Inputs!$B$39&lt;&gt;"pvp",Inputs!$B$44=0),1,IF(IF(Inputs!$B$39="pvp",15,Inputs!$B$44)-(B2716)&lt;=0,1,MAX(0,IF(Inputs!$B$39="pvp",15,Inputs!$B$44)-MAX(5,B2716))/(IF(Inputs!$B$39="pvp",15,Inputs!$B$44)-(B2716))))*IF(AND(ArtifactsInput!$M$42,((Inputs!$B$9+((C2697=TRUE)*(F2697-Calc!F26))+B2705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2685*(MIN(100,(Inputs!$B$9+((C2697=TRUE)*(F2697-Calc!F26))+B2705+(ArtifactsInput!$M$24-ArtifactsInput!$M$24)*CHOOSE(ArtifactsInput!$N$24+1,10,12,14,16,18,20)+(IF(AND(Inputs!$B$39&lt;&gt;"pvp",Inputs!$B$44=0),1,IF(IF(Inputs!$B$39="pvp",15,Inputs!$B$44)-(B2716)&lt;=0,1,MAX(0,IF(Inputs!$B$39="pvp",15,Inputs!$B$44)-MAX(5,B2716))/(IF(Inputs!$B$39="pvp",15,Inputs!$B$44)-(B2716))))*IF(AND(ArtifactsInput!$M$42,((Inputs!$B$9+((C2697=TRUE)*(F2697-Calc!F26))+B2705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685">
        <f>IF(C2685,(H2685*N2685*IF(AND(Inputs!$B$39&lt;&gt;"pvp",Inputs!$B$44&gt;0),((Skills!G14*((R2685-1)*IF(Skills!H14&gt;0,Skills!I14/Skills!H14,1)+IF(Skills!H14&gt;0,MIN(Skills!I14,MAX(0,MAX(0,Inputs!$B$44-B2716)-((R2685-1)*IF(Inputs!$B$39="pvp",15,MAX(0.1,Skills!D14-IF(TRUE=TRUE,Inputs!$B$32,0))))))/Skills!H14,1)))/Inputs!$B$44),G2685*Q2685))*IF(Inputs!$B$39="pvp",1,(1+(Inputs!$B$21+Skills!Q14+B2706+(IF(ArtifactsInput!$M$33,CHOOSE(ArtifactsInput!$N$33+1,30,36,42,48,54,60),0))+(IF(AND(ArtifactsInput!$M$35,Inputs!$B$4&lt;&gt;"Chapter Hunt"),CHOOSE(ArtifactsInput!$N$35+1,15,18,21,24,27,30)*(1-EXP(-(0.2*B2709)*5)),0)+IF(AND(ArtifactsInput!$M$22,Inputs!$B$4&lt;&gt;"Chapter Hunt"),CHOOSE(ArtifactsInput!$N$22+1,10,12,14,16,18,20)*((0*(((0.15*B2709*5))^0/1)+1*(((0.15*B2709*5))^1/1)+2*(((0.15*B2709*5))^2/2)+3*(((0.15*B2709*5))^3/6)+4*(((0.15*B2709*5))^4/24)+5*(((0.15*B2709*5))^5/120))/((((0.15*B2709*5))^0/1)+(((0.15*B2709*5))^1/1)+(((0.15*B2709*5))^2/2)+(((0.15*B2709*5))^3/6)+(((0.15*B2709*5))^4/24)+(((0.15*B2709*5))^5/120))),0)))/100)*(MIN(Skills!W14,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686">
      <c r="A2686">
        <f>Skills!A15</f>
        <v/>
      </c>
      <c r="B2686">
        <f>Skills!B15</f>
        <v/>
      </c>
      <c r="C2686">
        <f>Inputs!$B$3&gt;=107</f>
        <v/>
      </c>
      <c r="D2686">
        <f>IF(Skills!C15=1,60+Inputs!$B$25+Inputs!$B$29,IF(Skills!C15=2,90+Inputs!$B$26+Inputs!$B$29,IF(Skills!C15=3,120+Inputs!$B$27+Inputs!$B$29,MAX(0,(Inputs!$B$3-100)*3)+Inputs!$B$28+Inputs!$B$29)))</f>
        <v/>
      </c>
      <c r="E2686">
        <f>INDEX(FactorTable!$B$2:$Y$301, MATCH(ROUND(MIN(300,MAX(1,D2686)),0), FactorTable!$A$2:$A$301,0), Skills!M15+1)</f>
        <v/>
      </c>
      <c r="F2686">
        <f>IF(Skills!N15=TRUE,(Skills!L15/10)*(E2686/1000),Skills!L15/10)+Skills!O15</f>
        <v/>
      </c>
      <c r="G2686">
        <f>Skills!G15*IF(Skills!H15&gt;0,IF(Inputs!$B$39="pvp",MIN(Skills!I15,15),Skills!I15)/Skills!H15,1)</f>
        <v/>
      </c>
      <c r="H2686">
        <f>1-(1-Skills!J15/100)^Skills!K15</f>
        <v/>
      </c>
      <c r="I2686" t="inlineStr">
        <is>
          <t>1</t>
        </is>
      </c>
      <c r="J2686">
        <f>((Inputs!$B$6*(1+Inputs!$B$7/100))+(((Inputs!$B$12*(1+Inputs!$B$13/100))-(Inputs!$B$12*(1+Inputs!$B$13/100)))+0.25*(Inputs!$B$14-Inputs!$B$14))*(1+Inputs!$B$7/100))*(F2686/100)</f>
        <v/>
      </c>
      <c r="K2686">
        <f>J2686*(1+((Inputs!$B$12*(1+Inputs!$B$13/100))*0.01+Inputs!$B$14*0.0025)/100)*(1+Inputs!$B$15/100)*(1+Inputs!$B$16/100)*(5000/(6000+Inputs!$B$43*(1-(100*(1-(1-Inputs!$B$19/100)*(1-CHOOSE(ArtifactsInput!$N$40+1,5,6,7,8,9,10)/100)^(ArtifactsInput!$M$40-ArtifactsInput!$M$40)))/100)))*(1+(Inputs!$B$24+((C2702=TRUE)*(F2702-Calc!F31))+((C2689=TRUE)*(F2689-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15="CRUEL_STAB",Inputs!$B$17+((C2699=TRUE)*(F2699-Calc!F28))+((IF(AND(Inputs!$B$39&lt;&gt;"pvp",Inputs!$B$44=0),1,IF(IF(Inputs!$B$39="pvp",15,Inputs!$B$44)-(B2716)&lt;=0,1,MAX(0,IF(Inputs!$B$39="pvp",15,Inputs!$B$44)-MAX(5,B2716))/(IF(Inputs!$B$39="pvp",15,Inputs!$B$44)-(B2716))))*(IF(AND(ArtifactsInput!$M$42,((Inputs!$B$9+((C2697=TRUE)*(F2697-Calc!F26))+B2705+(ArtifactsInput!$M$24-ArtifactsInput!$M$24)*CHOOSE(ArtifactsInput!$N$24+1,10,12,14,16,18,20)+IF(ArtifactsInput!$M$10,CHOOSE(ArtifactsInput!$N$10+1,15,18,21,24,27,30)*(IF(Inputs!$B$39="pvp",MIN(15,15)/15,IF(AND(Inputs!$B$39&lt;&gt;"pvp",Inputs!$B$44&gt;0),MIN(15,Inputs!$B$44)/(Inputs!$B$44),0))),0)))&gt;=100),MIN(100,((Inputs!$B$9+((C2697=TRUE)*(F2697-Calc!F26))+B2705+(ArtifactsInput!$M$24-ArtifactsInput!$M$24)*CHOOSE(ArtifactsInput!$N$24+1,10,12,14,16,18,20)+IF(ArtifactsInput!$M$10,CHOOSE(ArtifactsInput!$N$10+1,15,18,21,24,27,30)*(IF(Inputs!$B$39="pvp",MIN(15,15)/15,IF(AND(Inputs!$B$39&lt;&gt;"pvp",Inputs!$B$44&gt;0),MIN(15,Inputs!$B$44)/(Inputs!$B$44),0))),0)))-100),0))*CHOOSE(ArtifactsInput!$N$42+1,0.6,0.72,0.84,0.96,1.08,1.2))),Inputs!$B$18+((C2700=TRUE)*(F2700-Calc!F29))+(IF(AND(Inputs!$B$39&lt;&gt;"pvp",Inputs!$B$44=0),1,IF(IF(Inputs!$B$39="pvp",15,Inputs!$B$44)-(B2716)&lt;=0,1,MAX(0,IF(Inputs!$B$39="pvp",15,Inputs!$B$44)-MAX(5,B2716))/(IF(Inputs!$B$39="pvp",15,Inputs!$B$44)-(B2716))))*IF(AND(ArtifactsInput!$M$42,((Inputs!$B$9+((C2697=TRUE)*(F2697-Calc!F26))+B2705+(ArtifactsInput!$M$24-ArtifactsInput!$M$24)*CHOOSE(ArtifactsInput!$N$24+1,10,12,14,16,18,20)+IF(ArtifactsInput!$M$10,CHOOSE(ArtifactsInput!$N$10+1,15,18,21,24,27,30)*(IF(Inputs!$B$39="pvp",MIN(15,15)/15,IF(AND(Inputs!$B$39&lt;&gt;"pvp",Inputs!$B$44&gt;0),MIN(15,Inputs!$B$44)/(Inputs!$B$44),0))),0)))&gt;=100),CHOOSE(ArtifactsInput!$N$42+1,40,48,56,64,72,80),0))))/100)*(((1+(((C2693=TRUE)*F2693*IF(AND(Inputs!$B$39&lt;&gt;"pvp",Inputs!$B$44&gt;0),(((R2693-1)*MIN((Skills!Y22*(1+Inputs!$B$34/100)),(1/Q2693))+MIN((Skills!Y22*(1+Inputs!$B$34/100)),MAX(0,Inputs!$B$44-((R2693-1)*(1/Q2693)))))/Inputs!$B$44),IF(Inputs!$B$39="pvp",MIN((Skills!Y22*(1+Inputs!$B$34/100)),15)/15,MIN(1,(Skills!Y22*(1+Inputs!$B$34/100))/(1/Q2693)))))+((C2674=TRUE)*F2674*3)+((C2676=TRUE)*F2676*(1-EXP(-0.75*B2709*5)))+((C2695=TRUE)*(F2695-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2682=TRUE)*F2682*IF(AND(Inputs!$B$39&lt;&gt;"pvp",Inputs!$B$44&gt;0),(((R2682-1)*MIN((Skills!Y11*(1+Inputs!$B$34/100)),(1/Q2682))+MIN((Skills!Y11*(1+Inputs!$B$34/100)),MAX(0,Inputs!$B$44-((R2682-1)*(1/Q2682)))))/Inputs!$B$44),IF(Inputs!$B$39="pvp",MIN((Skills!Y11*(1+Inputs!$B$34/100)),15)/15,MIN(1,(Skills!Y11*(1+Inputs!$B$34/100))/(1/Q2682)))))/100)*(1+((C2687=TRUE)*F2687*IF(AND(Inputs!$B$39&lt;&gt;"pvp",Inputs!$B$44&gt;0),(((R2687-1)*MIN((Skills!Y16*(1+Inputs!$B$34/100)),(1/Q2687))+MIN((Skills!Y16*(1+Inputs!$B$34/100)),MAX(0,Inputs!$B$44-((R2687-1)*(1/Q2687)))))/Inputs!$B$44),IF(Inputs!$B$39="pvp",MIN((Skills!Y16*(1+Inputs!$B$34/100)),15)/15,MIN(1,(Skills!Y16*(1+Inputs!$B$34/100))/(1/Q2687)))))/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2707*I2686)</f>
        <v/>
      </c>
      <c r="L2686">
        <f>K2686*(MIN(Inputs!$B$22+((C2696=TRUE)*(F2696-Calc!F25)),(Inputs!$B$23+((C2701=TRUE)*(F2701-Calc!F30))+IF(ArtifactsInput!$M$15,CHOOSE(ArtifactsInput!$N$15+1,25,30,35,40,45,50)/100*(Inputs!$B$11-Inputs!$B$11),0)))/100+(Inputs!$B$23+((C2701=TRUE)*(F2701-Calc!F30))+IF(ArtifactsInput!$M$15,CHOOSE(ArtifactsInput!$N$15+1,25,30,35,40,45,50)/100*(Inputs!$B$11-Inputs!$B$11),0))/100)/2</f>
        <v/>
      </c>
      <c r="M2686">
        <f>L2686*(1+(Inputs!$B$10+((C2698=TRUE)*(F2698-Calc!F27))+B2712+(IF(ArtifactsInput!$M$24,CHOOSE(ArtifactsInput!$N$24+1,30,36,42,48,54,60)/100*(Inputs!$B$9-Inputs!$B$9),0)+IF(ArtifactsInput!$M$10,CHOOSE(ArtifactsInput!$N$10+1,20,24,28,32,36,40)*(IF(Inputs!$B$39="pvp",MIN(15,15)/15,IF(AND(Inputs!$B$39&lt;&gt;"pvp",Inputs!$B$44&gt;0),MIN(15,Inputs!$B$44)/(Inputs!$B$44),0))),0)+IF(IF(ArtifactsInput!$M$31,FALSE,TRUE),1.5*CHOOSE(ArtifactsInput!$N$31+1,20,24,28,32,36,40),0)))/100)</f>
        <v/>
      </c>
      <c r="N2686">
        <f>L2686*(1-MIN((Inputs!$B$9+((C2697=TRUE)*(F2697-Calc!F26))+B2705+(ArtifactsInput!$M$24-ArtifactsInput!$M$24)*CHOOSE(ArtifactsInput!$N$24+1,10,12,14,16,18,20)+(IF(AND(Inputs!$B$39&lt;&gt;"pvp",Inputs!$B$44=0),1,IF(IF(Inputs!$B$39="pvp",15,Inputs!$B$44)-(B2716)&lt;=0,1,MAX(0,IF(Inputs!$B$39="pvp",15,Inputs!$B$44)-MAX(5,B2716))/(IF(Inputs!$B$39="pvp",15,Inputs!$B$44)-(B2716))))*IF(AND(ArtifactsInput!$M$42,((Inputs!$B$9+((C2697=TRUE)*(F2697-Calc!F26))+B2705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2686*(MIN((Inputs!$B$9+((C2697=TRUE)*(F2697-Calc!F26))+B2705+(ArtifactsInput!$M$24-ArtifactsInput!$M$24)*CHOOSE(ArtifactsInput!$N$24+1,10,12,14,16,18,20)+(IF(AND(Inputs!$B$39&lt;&gt;"pvp",Inputs!$B$44=0),1,IF(IF(Inputs!$B$39="pvp",15,Inputs!$B$44)-(B2716)&lt;=0,1,MAX(0,IF(Inputs!$B$39="pvp",15,Inputs!$B$44)-MAX(5,B2716))/(IF(Inputs!$B$39="pvp",15,Inputs!$B$44)-(B2716))))*IF(AND(ArtifactsInput!$M$42,((Inputs!$B$9+((C2697=TRUE)*(F2697-Calc!F26))+B2705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686">
        <f>(1-Summary!$B$11)*T2686+Summary!$B$11*V2686</f>
        <v/>
      </c>
      <c r="P2686">
        <f>IF(B2717=0,0,O2686/B2717)</f>
        <v/>
      </c>
      <c r="Q2686">
        <f>IFERROR(1/IF(Inputs!$B$39="pvp",15,MAX(0.1,Skills!D15-IF(TRUE=TRUE,Inputs!$B$32,0))),0)</f>
        <v/>
      </c>
      <c r="R2686">
        <f>IF(AND(Inputs!$B$39&lt;&gt;"pvp",Inputs!$B$44&gt;0),IF(MAX(0,Inputs!$B$44-B2716)&lt;=0,0,(INT(MAX(0,Inputs!$B$44-B2716)/IF(Inputs!$B$39="pvp",15,MAX(0.1,Skills!D15-IF(TRUE=TRUE,Inputs!$B$32,0))))+1)),0)</f>
        <v/>
      </c>
      <c r="S2686">
        <f>IFERROR(O2686/N2686,0)</f>
        <v/>
      </c>
      <c r="T2686">
        <f>IF(C2686,(H2686*N2686*IF(AND(Inputs!$B$39&lt;&gt;"pvp",Inputs!$B$44&gt;0),((Skills!G15*((R2686-1)*IF(Skills!H15&gt;0,Skills!I15/Skills!H15,1)+IF(Skills!H15&gt;0,MIN(Skills!I15,MAX(0,MAX(0,Inputs!$B$44-B2716)-((R2686-1)*IF(Inputs!$B$39="pvp",15,MAX(0.1,Skills!D15-IF(TRUE=TRUE,Inputs!$B$32,0))))))/Skills!H15,1)))/Inputs!$B$44),G2686*Q2686))*IF(Inputs!$B$39="pvp",1,1+(Inputs!$B$20+0+Skills!P15+B2706+(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Hunt"),CHOOSE(ArtifactsInput!$N$35+1,15,18,21,24,27,30)*(1-EXP(-(0.2*B2709)*5)),0)+IF(AND(ArtifactsInput!$M$22,Inputs!$B$4&lt;&gt;"Chapter Hunt"),CHOOSE(ArtifactsInput!$N$22+1,10,12,14,16,18,20)*((0*(((0.15*B2709*5))^0/1)+1*(((0.15*B2709*5))^1/1)+2*(((0.15*B2709*5))^2/2)+3*(((0.15*B2709*5))^3/6)+4*(((0.15*B2709*5))^4/24)+5*(((0.15*B2709*5))^5/120))/((((0.15*B2709*5))^0/1)+(((0.15*B2709*5))^1/1)+(((0.15*B2709*5))^2/2)+(((0.15*B2709*5))^3/6)+(((0.15*B2709*5))^4/24)+(((0.15*B2709*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2686*(1-MIN(100,(Inputs!$B$9+((C2697=TRUE)*(F2697-Calc!F26))+B2705+(ArtifactsInput!$M$24-ArtifactsInput!$M$24)*CHOOSE(ArtifactsInput!$N$24+1,10,12,14,16,18,20)+(IF(AND(Inputs!$B$39&lt;&gt;"pvp",Inputs!$B$44=0),1,IF(IF(Inputs!$B$39="pvp",15,Inputs!$B$44)-(B2716)&lt;=0,1,MAX(0,IF(Inputs!$B$39="pvp",15,Inputs!$B$44)-MAX(5,B2716))/(IF(Inputs!$B$39="pvp",15,Inputs!$B$44)-(B2716))))*IF(AND(ArtifactsInput!$M$42,((Inputs!$B$9+((C2697=TRUE)*(F2697-Calc!F26))+B2705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2686*(MIN(100,(Inputs!$B$9+((C2697=TRUE)*(F2697-Calc!F26))+B2705+(ArtifactsInput!$M$24-ArtifactsInput!$M$24)*CHOOSE(ArtifactsInput!$N$24+1,10,12,14,16,18,20)+(IF(AND(Inputs!$B$39&lt;&gt;"pvp",Inputs!$B$44=0),1,IF(IF(Inputs!$B$39="pvp",15,Inputs!$B$44)-(B2716)&lt;=0,1,MAX(0,IF(Inputs!$B$39="pvp",15,Inputs!$B$44)-MAX(5,B2716))/(IF(Inputs!$B$39="pvp",15,Inputs!$B$44)-(B2716))))*IF(AND(ArtifactsInput!$M$42,((Inputs!$B$9+((C2697=TRUE)*(F2697-Calc!F26))+B2705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2686*(1-MIN(100,(Inputs!$B$9+((C2697=TRUE)*(F2697-Calc!F26))+B2705+(ArtifactsInput!$M$24-ArtifactsInput!$M$24)*CHOOSE(ArtifactsInput!$N$24+1,10,12,14,16,18,20)+(IF(AND(Inputs!$B$39&lt;&gt;"pvp",Inputs!$B$44=0),1,IF(IF(Inputs!$B$39="pvp",15,Inputs!$B$44)-(B2716)&lt;=0,1,MAX(0,IF(Inputs!$B$39="pvp",15,Inputs!$B$44)-MAX(5,B2716))/(IF(Inputs!$B$39="pvp",15,Inputs!$B$44)-(B2716))))*IF(AND(ArtifactsInput!$M$42,((Inputs!$B$9+((C2697=TRUE)*(F2697-Calc!F26))+B2705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2686*(MIN(100,(Inputs!$B$9+((C2697=TRUE)*(F2697-Calc!F26))+B2705+(ArtifactsInput!$M$24-ArtifactsInput!$M$24)*CHOOSE(ArtifactsInput!$N$24+1,10,12,14,16,18,20)+(IF(AND(Inputs!$B$39&lt;&gt;"pvp",Inputs!$B$44=0),1,IF(IF(Inputs!$B$39="pvp",15,Inputs!$B$44)-(B2716)&lt;=0,1,MAX(0,IF(Inputs!$B$39="pvp",15,Inputs!$B$44)-MAX(5,B2716))/(IF(Inputs!$B$39="pvp",15,Inputs!$B$44)-(B2716))))*IF(AND(ArtifactsInput!$M$42,((Inputs!$B$9+((C2697=TRUE)*(F2697-Calc!F26))+B2705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686">
        <f>IF(C2686,(H2686*N2686*IF(AND(Inputs!$B$39&lt;&gt;"pvp",Inputs!$B$44&gt;0),((Skills!G15*((R2686-1)*IF(Skills!H15&gt;0,Skills!I15/Skills!H15,1)+IF(Skills!H15&gt;0,MIN(Skills!I15,MAX(0,MAX(0,Inputs!$B$44-B2716)-((R2686-1)*IF(Inputs!$B$39="pvp",15,MAX(0.1,Skills!D15-IF(TRUE=TRUE,Inputs!$B$32,0))))))/Skills!H15,1)))/Inputs!$B$44),G2686*Q2686))*IF(Inputs!$B$39="pvp",1,(1+(Inputs!$B$21+Skills!Q15+B2706+(IF(ArtifactsInput!$M$33,CHOOSE(ArtifactsInput!$N$33+1,30,36,42,48,54,60),0))+(IF(AND(ArtifactsInput!$M$35,Inputs!$B$4&lt;&gt;"Chapter Hunt"),CHOOSE(ArtifactsInput!$N$35+1,15,18,21,24,27,30)*(1-EXP(-(0.2*B2709)*5)),0)+IF(AND(ArtifactsInput!$M$22,Inputs!$B$4&lt;&gt;"Chapter Hunt"),CHOOSE(ArtifactsInput!$N$22+1,10,12,14,16,18,20)*((0*(((0.15*B2709*5))^0/1)+1*(((0.15*B2709*5))^1/1)+2*(((0.15*B2709*5))^2/2)+3*(((0.15*B2709*5))^3/6)+4*(((0.15*B2709*5))^4/24)+5*(((0.15*B2709*5))^5/120))/((((0.15*B2709*5))^0/1)+(((0.15*B2709*5))^1/1)+(((0.15*B2709*5))^2/2)+(((0.15*B2709*5))^3/6)+(((0.15*B2709*5))^4/24)+(((0.15*B2709*5))^5/120))),0)))/100)*(MIN(MIN(5,0.5*IF(Inputs!$B$3&gt;=75,0.75,0.5)*B2709*(1/Q2675))*Skills!V15,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687">
      <c r="A2687">
        <f>Skills!A16</f>
        <v/>
      </c>
      <c r="B2687">
        <f>Skills!B16</f>
        <v/>
      </c>
      <c r="C2687">
        <f>Inputs!$B$3&gt;=110</f>
        <v/>
      </c>
      <c r="D2687">
        <f>IF(Skills!C16=1,60+Inputs!$B$25+Inputs!$B$29,IF(Skills!C16=2,90+Inputs!$B$26+Inputs!$B$29,IF(Skills!C16=3,120+Inputs!$B$27+Inputs!$B$29,MAX(0,(Inputs!$B$3-100)*3)+Inputs!$B$28+Inputs!$B$29)))</f>
        <v/>
      </c>
      <c r="E2687">
        <f>INDEX(FactorTable!$B$2:$Y$301, MATCH(ROUND(MIN(300,MAX(1,D2687)),0), FactorTable!$A$2:$A$301,0), Skills!M16+1)</f>
        <v/>
      </c>
      <c r="F2687">
        <f>IF(Skills!N16=TRUE,(Skills!L16/10)*(E2687/1000),Skills!L16/10)+Skills!O16</f>
        <v/>
      </c>
      <c r="G2687">
        <f>Skills!G16*IF(Skills!H16&gt;0,IF(Inputs!$B$39="pvp",MIN(Skills!I16,15),Skills!I16)/Skills!H16,1)</f>
        <v/>
      </c>
      <c r="H2687">
        <f>1-(1-Skills!J16/100)^Skills!K16</f>
        <v/>
      </c>
      <c r="I2687" t="inlineStr">
        <is>
          <t>1</t>
        </is>
      </c>
      <c r="J2687" t="inlineStr"/>
      <c r="K2687" t="inlineStr"/>
      <c r="L2687" t="inlineStr"/>
      <c r="M2687" t="inlineStr"/>
      <c r="N2687" t="inlineStr"/>
      <c r="O2687">
        <f>(1-Summary!$B$11)*T2687+Summary!$B$11*V2687</f>
        <v/>
      </c>
      <c r="P2687">
        <f>IF(B2717=0,0,O2687/B2717)</f>
        <v/>
      </c>
      <c r="Q2687">
        <f>IFERROR(1/IF(Inputs!$B$39="pvp",15,MAX(0.1,Skills!D16-IF(TRUE=TRUE,Inputs!$B$32,0))),0)</f>
        <v/>
      </c>
      <c r="R2687">
        <f>IF(AND(Inputs!$B$39&lt;&gt;"pvp",Inputs!$B$44&gt;0),IF(Inputs!$B$44&lt;=0,0,(INT(Inputs!$B$44/IF(Inputs!$B$39="pvp",15,MAX(0.1,Skills!D16-IF(TRUE=TRUE,Inputs!$B$32,0))))+1)),0)</f>
        <v/>
      </c>
      <c r="S2687">
        <f>IFERROR(O2687/N2687,0)</f>
        <v/>
      </c>
      <c r="T2687" t="n">
        <v>0</v>
      </c>
      <c r="V2687" t="n">
        <v>0</v>
      </c>
    </row>
    <row r="2688">
      <c r="A2688">
        <f>Skills!A17</f>
        <v/>
      </c>
      <c r="B2688">
        <f>Skills!B17</f>
        <v/>
      </c>
      <c r="C2688">
        <f>Inputs!$B$3&gt;=115</f>
        <v/>
      </c>
      <c r="D2688">
        <f>IF(Skills!C17=1,60+Inputs!$B$25+Inputs!$B$29,IF(Skills!C17=2,90+Inputs!$B$26+Inputs!$B$29,IF(Skills!C17=3,120+Inputs!$B$27+Inputs!$B$29,MAX(0,(Inputs!$B$3-100)*3)+Inputs!$B$28+Inputs!$B$29)))</f>
        <v/>
      </c>
      <c r="E2688">
        <f>INDEX(FactorTable!$B$2:$Y$301, MATCH(ROUND(MIN(300,MAX(1,D2688)),0), FactorTable!$A$2:$A$301,0), Skills!M17+1)</f>
        <v/>
      </c>
      <c r="F2688">
        <f>IF(Skills!N17=TRUE,(Skills!L17/10)*(E2688/1000),Skills!L17/10)+Skills!O17</f>
        <v/>
      </c>
      <c r="G2688">
        <f>Skills!G17*IF(Skills!H17&gt;0,IF(Inputs!$B$39="pvp",MIN(Skills!I17,15),Skills!I17)/Skills!H17,1)</f>
        <v/>
      </c>
      <c r="H2688">
        <f>1-(1-Skills!J17/100)^Skills!K17</f>
        <v/>
      </c>
      <c r="I2688" t="inlineStr">
        <is>
          <t>1</t>
        </is>
      </c>
      <c r="J2688">
        <f>((Inputs!$B$6*(1+Inputs!$B$7/100))+(((Inputs!$B$12*(1+Inputs!$B$13/100))-(Inputs!$B$12*(1+Inputs!$B$13/100)))+0.25*(Inputs!$B$14-Inputs!$B$14))*(1+Inputs!$B$7/100))*(F2688/100)</f>
        <v/>
      </c>
      <c r="K2688">
        <f>J2688*(1+((Inputs!$B$12*(1+Inputs!$B$13/100))*0.01+Inputs!$B$14*0.0025)/100)*(1+Inputs!$B$15/100)*(1+Inputs!$B$16/100)*(5000/(6000+Inputs!$B$43*(1-(100*(1-(1-Inputs!$B$19/100)*(1-CHOOSE(ArtifactsInput!$N$40+1,5,6,7,8,9,10)/100)^(ArtifactsInput!$M$40-ArtifactsInput!$M$40)))/100)))*(1+(Inputs!$B$24+((C2702=TRUE)*(F2702-Calc!F31))+((C2689=TRUE)*(F2689-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17="CRUEL_STAB",Inputs!$B$17+((C2699=TRUE)*(F2699-Calc!F28))+((IF(AND(Inputs!$B$39&lt;&gt;"pvp",Inputs!$B$44=0),1,IF(IF(Inputs!$B$39="pvp",15,Inputs!$B$44)-(B2716)&lt;=0,1,MAX(0,IF(Inputs!$B$39="pvp",15,Inputs!$B$44)-MAX(5,B2716))/(IF(Inputs!$B$39="pvp",15,Inputs!$B$44)-(B2716))))*(IF(AND(ArtifactsInput!$M$42,((Inputs!$B$9+((C2697=TRUE)*(F2697-Calc!F26))+B2705+(ArtifactsInput!$M$24-ArtifactsInput!$M$24)*CHOOSE(ArtifactsInput!$N$24+1,10,12,14,16,18,20)+IF(ArtifactsInput!$M$10,CHOOSE(ArtifactsInput!$N$10+1,15,18,21,24,27,30)*(IF(Inputs!$B$39="pvp",MIN(15,15)/15,IF(AND(Inputs!$B$39&lt;&gt;"pvp",Inputs!$B$44&gt;0),MIN(15,Inputs!$B$44)/(Inputs!$B$44),0))),0)))&gt;=100),MIN(100,((Inputs!$B$9+((C2697=TRUE)*(F2697-Calc!F26))+B2705+(ArtifactsInput!$M$24-ArtifactsInput!$M$24)*CHOOSE(ArtifactsInput!$N$24+1,10,12,14,16,18,20)+IF(ArtifactsInput!$M$10,CHOOSE(ArtifactsInput!$N$10+1,15,18,21,24,27,30)*(IF(Inputs!$B$39="pvp",MIN(15,15)/15,IF(AND(Inputs!$B$39&lt;&gt;"pvp",Inputs!$B$44&gt;0),MIN(15,Inputs!$B$44)/(Inputs!$B$44),0))),0)))-100),0))*CHOOSE(ArtifactsInput!$N$42+1,0.6,0.72,0.84,0.96,1.08,1.2))),Inputs!$B$18+((C2700=TRUE)*(F2700-Calc!F29))+(IF(AND(Inputs!$B$39&lt;&gt;"pvp",Inputs!$B$44=0),1,IF(IF(Inputs!$B$39="pvp",15,Inputs!$B$44)-(B2716)&lt;=0,1,MAX(0,IF(Inputs!$B$39="pvp",15,Inputs!$B$44)-MAX(5,B2716))/(IF(Inputs!$B$39="pvp",15,Inputs!$B$44)-(B2716))))*IF(AND(ArtifactsInput!$M$42,((Inputs!$B$9+((C2697=TRUE)*(F2697-Calc!F26))+B2705+(ArtifactsInput!$M$24-ArtifactsInput!$M$24)*CHOOSE(ArtifactsInput!$N$24+1,10,12,14,16,18,20)+IF(ArtifactsInput!$M$10,CHOOSE(ArtifactsInput!$N$10+1,15,18,21,24,27,30)*(IF(Inputs!$B$39="pvp",MIN(15,15)/15,IF(AND(Inputs!$B$39&lt;&gt;"pvp",Inputs!$B$44&gt;0),MIN(15,Inputs!$B$44)/(Inputs!$B$44),0))),0)))&gt;=100),CHOOSE(ArtifactsInput!$N$42+1,40,48,56,64,72,80),0))))/100)*(((1+(((C2693=TRUE)*F2693*IF(AND(Inputs!$B$39&lt;&gt;"pvp",Inputs!$B$44&gt;0),(((R2693-1)*MIN((Skills!Y22*(1+Inputs!$B$34/100)),(1/Q2693))+MIN((Skills!Y22*(1+Inputs!$B$34/100)),MAX(0,Inputs!$B$44-((R2693-1)*(1/Q2693)))))/Inputs!$B$44),IF(Inputs!$B$39="pvp",MIN((Skills!Y22*(1+Inputs!$B$34/100)),15)/15,MIN(1,(Skills!Y22*(1+Inputs!$B$34/100))/(1/Q2693)))))+((C2674=TRUE)*F2674*3)+((C2676=TRUE)*F2676*(1-EXP(-0.75*B2709*5)))+((C2695=TRUE)*(F2695-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2682=TRUE)*F2682*IF(AND(Inputs!$B$39&lt;&gt;"pvp",Inputs!$B$44&gt;0),(((R2682-1)*MIN((Skills!Y11*(1+Inputs!$B$34/100)),(1/Q2682))+MIN((Skills!Y11*(1+Inputs!$B$34/100)),MAX(0,Inputs!$B$44-((R2682-1)*(1/Q2682)))))/Inputs!$B$44),IF(Inputs!$B$39="pvp",MIN((Skills!Y11*(1+Inputs!$B$34/100)),15)/15,MIN(1,(Skills!Y11*(1+Inputs!$B$34/100))/(1/Q2682)))))/100)*(1+((C2687=TRUE)*F2687*IF(AND(Inputs!$B$39&lt;&gt;"pvp",Inputs!$B$44&gt;0),(((R2687-1)*MIN((Skills!Y16*(1+Inputs!$B$34/100)),(1/Q2687))+MIN((Skills!Y16*(1+Inputs!$B$34/100)),MAX(0,Inputs!$B$44-((R2687-1)*(1/Q2687)))))/Inputs!$B$44),IF(Inputs!$B$39="pvp",MIN((Skills!Y16*(1+Inputs!$B$34/100)),15)/15,MIN(1,(Skills!Y16*(1+Inputs!$B$34/100))/(1/Q2687)))))/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2707*I2688)</f>
        <v/>
      </c>
      <c r="L2688">
        <f>K2688*(MIN(Inputs!$B$22+((C2696=TRUE)*(F2696-Calc!F25)),(Inputs!$B$23+((C2701=TRUE)*(F2701-Calc!F30))+IF(ArtifactsInput!$M$15,CHOOSE(ArtifactsInput!$N$15+1,25,30,35,40,45,50)/100*(Inputs!$B$11-Inputs!$B$11),0)))/100+(Inputs!$B$23+((C2701=TRUE)*(F2701-Calc!F30))+IF(ArtifactsInput!$M$15,CHOOSE(ArtifactsInput!$N$15+1,25,30,35,40,45,50)/100*(Inputs!$B$11-Inputs!$B$11),0))/100)/2</f>
        <v/>
      </c>
      <c r="M2688">
        <f>L2688*(1+(Inputs!$B$10+((C2698=TRUE)*(F2698-Calc!F27))+B2712+(IF(ArtifactsInput!$M$24,CHOOSE(ArtifactsInput!$N$24+1,30,36,42,48,54,60)/100*(Inputs!$B$9-Inputs!$B$9),0)+IF(ArtifactsInput!$M$10,CHOOSE(ArtifactsInput!$N$10+1,20,24,28,32,36,40)*(IF(Inputs!$B$39="pvp",MIN(15,15)/15,IF(AND(Inputs!$B$39&lt;&gt;"pvp",Inputs!$B$44&gt;0),MIN(15,Inputs!$B$44)/(Inputs!$B$44),0))),0)+IF(IF(ArtifactsInput!$M$31,FALSE,TRUE),1.5*CHOOSE(ArtifactsInput!$N$31+1,20,24,28,32,36,40),0)))/100)</f>
        <v/>
      </c>
      <c r="N2688">
        <f>L2688*(1-MIN((Inputs!$B$9+((C2697=TRUE)*(F2697-Calc!F26))+B2705+(ArtifactsInput!$M$24-ArtifactsInput!$M$24)*CHOOSE(ArtifactsInput!$N$24+1,10,12,14,16,18,20)+(IF(AND(Inputs!$B$39&lt;&gt;"pvp",Inputs!$B$44=0),1,IF(IF(Inputs!$B$39="pvp",15,Inputs!$B$44)-(B2716)&lt;=0,1,MAX(0,IF(Inputs!$B$39="pvp",15,Inputs!$B$44)-MAX(5,B2716))/(IF(Inputs!$B$39="pvp",15,Inputs!$B$44)-(B2716))))*IF(AND(ArtifactsInput!$M$42,((Inputs!$B$9+((C2697=TRUE)*(F2697-Calc!F26))+B2705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2688*(MIN((Inputs!$B$9+((C2697=TRUE)*(F2697-Calc!F26))+B2705+(ArtifactsInput!$M$24-ArtifactsInput!$M$24)*CHOOSE(ArtifactsInput!$N$24+1,10,12,14,16,18,20)+(IF(AND(Inputs!$B$39&lt;&gt;"pvp",Inputs!$B$44=0),1,IF(IF(Inputs!$B$39="pvp",15,Inputs!$B$44)-(B2716)&lt;=0,1,MAX(0,IF(Inputs!$B$39="pvp",15,Inputs!$B$44)-MAX(5,B2716))/(IF(Inputs!$B$39="pvp",15,Inputs!$B$44)-(B2716))))*IF(AND(ArtifactsInput!$M$42,((Inputs!$B$9+((C2697=TRUE)*(F2697-Calc!F26))+B2705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688">
        <f>(1-Summary!$B$11)*T2688+Summary!$B$11*V2688</f>
        <v/>
      </c>
      <c r="P2688">
        <f>IF(B2717=0,0,O2688/B2717)</f>
        <v/>
      </c>
      <c r="Q2688" t="n">
        <v>0</v>
      </c>
      <c r="R2688" t="n">
        <v>0</v>
      </c>
      <c r="S2688">
        <f>IFERROR(O2688/N2688,0)</f>
        <v/>
      </c>
      <c r="T2688">
        <f>IF(C2688,(Inputs!$B$38*0.2*N2688)*IF(Inputs!$B$39="pvp",1,1+(Inputs!$B$20+0+Skills!P17+B2706+(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Hunt"),CHOOSE(ArtifactsInput!$N$35+1,15,18,21,24,27,30)*(1-EXP(-(0.2*B2709)*5)),0)+IF(AND(ArtifactsInput!$M$22,Inputs!$B$4&lt;&gt;"Chapter Hunt"),CHOOSE(ArtifactsInput!$N$22+1,10,12,14,16,18,20)*((0*(((0.15*B2709*5))^0/1)+1*(((0.15*B2709*5))^1/1)+2*(((0.15*B2709*5))^2/2)+3*(((0.15*B2709*5))^3/6)+4*(((0.15*B2709*5))^4/24)+5*(((0.15*B2709*5))^5/120))/((((0.15*B2709*5))^0/1)+(((0.15*B2709*5))^1/1)+(((0.15*B2709*5))^2/2)+(((0.15*B2709*5))^3/6)+(((0.15*B2709*5))^4/24)+(((0.15*B2709*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2688*(1-MIN(100,(Inputs!$B$9+((C2697=TRUE)*(F2697-Calc!F26))+B2705+(ArtifactsInput!$M$24-ArtifactsInput!$M$24)*CHOOSE(ArtifactsInput!$N$24+1,10,12,14,16,18,20)+(IF(AND(Inputs!$B$39&lt;&gt;"pvp",Inputs!$B$44=0),1,IF(IF(Inputs!$B$39="pvp",15,Inputs!$B$44)-(B2716)&lt;=0,1,MAX(0,IF(Inputs!$B$39="pvp",15,Inputs!$B$44)-MAX(5,B2716))/(IF(Inputs!$B$39="pvp",15,Inputs!$B$44)-(B2716))))*IF(AND(ArtifactsInput!$M$42,((Inputs!$B$9+((C2697=TRUE)*(F2697-Calc!F26))+B2705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2688*(MIN(100,(Inputs!$B$9+((C2697=TRUE)*(F2697-Calc!F26))+B2705+(ArtifactsInput!$M$24-ArtifactsInput!$M$24)*CHOOSE(ArtifactsInput!$N$24+1,10,12,14,16,18,20)+(IF(AND(Inputs!$B$39&lt;&gt;"pvp",Inputs!$B$44=0),1,IF(IF(Inputs!$B$39="pvp",15,Inputs!$B$44)-(B2716)&lt;=0,1,MAX(0,IF(Inputs!$B$39="pvp",15,Inputs!$B$44)-MAX(5,B2716))/(IF(Inputs!$B$39="pvp",15,Inputs!$B$44)-(B2716))))*IF(AND(ArtifactsInput!$M$42,((Inputs!$B$9+((C2697=TRUE)*(F2697-Calc!F26))+B2705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2688*(1-MIN(100,(Inputs!$B$9+((C2697=TRUE)*(F2697-Calc!F26))+B2705+(ArtifactsInput!$M$24-ArtifactsInput!$M$24)*CHOOSE(ArtifactsInput!$N$24+1,10,12,14,16,18,20)+(IF(AND(Inputs!$B$39&lt;&gt;"pvp",Inputs!$B$44=0),1,IF(IF(Inputs!$B$39="pvp",15,Inputs!$B$44)-(B2716)&lt;=0,1,MAX(0,IF(Inputs!$B$39="pvp",15,Inputs!$B$44)-MAX(5,B2716))/(IF(Inputs!$B$39="pvp",15,Inputs!$B$44)-(B2716))))*IF(AND(ArtifactsInput!$M$42,((Inputs!$B$9+((C2697=TRUE)*(F2697-Calc!F26))+B2705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2688*(MIN(100,(Inputs!$B$9+((C2697=TRUE)*(F2697-Calc!F26))+B2705+(ArtifactsInput!$M$24-ArtifactsInput!$M$24)*CHOOSE(ArtifactsInput!$N$24+1,10,12,14,16,18,20)+(IF(AND(Inputs!$B$39&lt;&gt;"pvp",Inputs!$B$44=0),1,IF(IF(Inputs!$B$39="pvp",15,Inputs!$B$44)-(B2716)&lt;=0,1,MAX(0,IF(Inputs!$B$39="pvp",15,Inputs!$B$44)-MAX(5,B2716))/(IF(Inputs!$B$39="pvp",15,Inputs!$B$44)-(B2716))))*IF(AND(ArtifactsInput!$M$42,((Inputs!$B$9+((C2697=TRUE)*(F2697-Calc!F26))+B2705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688">
        <f>IF(C2688,(Inputs!$B$38*0.2*N2688)*IF(Inputs!$B$39="pvp",1,(1+(Inputs!$B$21+Skills!Q17+B2706+(IF(ArtifactsInput!$M$33,CHOOSE(ArtifactsInput!$N$33+1,30,36,42,48,54,60),0))+(IF(AND(ArtifactsInput!$M$35,Inputs!$B$4&lt;&gt;"Chapter Hunt"),CHOOSE(ArtifactsInput!$N$35+1,15,18,21,24,27,30)*(1-EXP(-(0.2*B2709)*5)),0)+IF(AND(ArtifactsInput!$M$22,Inputs!$B$4&lt;&gt;"Chapter Hunt"),CHOOSE(ArtifactsInput!$N$22+1,10,12,14,16,18,20)*((0*(((0.15*B2709*5))^0/1)+1*(((0.15*B2709*5))^1/1)+2*(((0.15*B2709*5))^2/2)+3*(((0.15*B2709*5))^3/6)+4*(((0.15*B2709*5))^4/24)+5*(((0.15*B2709*5))^5/120))/((((0.15*B2709*5))^0/1)+(((0.15*B2709*5))^1/1)+(((0.15*B2709*5))^2/2)+(((0.15*B2709*5))^3/6)+(((0.15*B2709*5))^4/24)+(((0.15*B2709*5))^5/120))),0)))/100)*(MIN(Skills!W17,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689">
      <c r="A2689">
        <f>Skills!A18</f>
        <v/>
      </c>
      <c r="B2689">
        <f>Skills!B18</f>
        <v/>
      </c>
      <c r="C2689">
        <f>Inputs!$B$3&gt;=115</f>
        <v/>
      </c>
      <c r="D2689">
        <f>IF(Skills!C18=1,60+Inputs!$B$25+Inputs!$B$29,IF(Skills!C18=2,90+Inputs!$B$26+Inputs!$B$29,IF(Skills!C18=3,120+Inputs!$B$27+Inputs!$B$29,MAX(0,(Inputs!$B$3-100)*3)+Inputs!$B$28+Inputs!$B$29)))</f>
        <v/>
      </c>
      <c r="E2689">
        <f>INDEX(FactorTable!$B$2:$Y$301, MATCH(ROUND(MIN(300,MAX(1,D2689)),0), FactorTable!$A$2:$A$301,0), Skills!M18+1)</f>
        <v/>
      </c>
      <c r="F2689">
        <f>IF(Skills!N18=TRUE,(Skills!L18/10)*(E2689/1000),Skills!L18/10)+Skills!O18</f>
        <v/>
      </c>
      <c r="G2689">
        <f>Skills!G18*IF(Skills!H18&gt;0,IF(Inputs!$B$39="pvp",MIN(Skills!I18,15),Skills!I18)/Skills!H18,1)</f>
        <v/>
      </c>
      <c r="H2689">
        <f>1-(1-Skills!J18/100)^Skills!K18</f>
        <v/>
      </c>
      <c r="I2689" t="inlineStr">
        <is>
          <t>1</t>
        </is>
      </c>
      <c r="J2689" t="inlineStr"/>
      <c r="K2689" t="inlineStr"/>
      <c r="L2689" t="inlineStr"/>
      <c r="M2689" t="inlineStr"/>
      <c r="N2689" t="inlineStr"/>
      <c r="O2689">
        <f>(1-Summary!$B$11)*T2689+Summary!$B$11*V2689</f>
        <v/>
      </c>
      <c r="P2689">
        <f>IF(B2717=0,0,O2689/B2717)</f>
        <v/>
      </c>
      <c r="Q2689" t="n">
        <v>0</v>
      </c>
      <c r="R2689" t="n">
        <v>0</v>
      </c>
      <c r="S2689">
        <f>IFERROR(O2689/N2689,0)</f>
        <v/>
      </c>
      <c r="T2689" t="n">
        <v>0</v>
      </c>
      <c r="V2689" t="n">
        <v>0</v>
      </c>
    </row>
    <row r="2690">
      <c r="A2690">
        <f>Skills!A19</f>
        <v/>
      </c>
      <c r="B2690">
        <f>Skills!B19</f>
        <v/>
      </c>
      <c r="C2690">
        <f>Inputs!$B$3&gt;=100</f>
        <v/>
      </c>
      <c r="D2690">
        <f>IF(Skills!C19=1,60+Inputs!$B$25+Inputs!$B$29,IF(Skills!C19=2,90+Inputs!$B$26+Inputs!$B$29,IF(Skills!C19=3,120+Inputs!$B$27+Inputs!$B$29,MAX(0,(Inputs!$B$3-100)*3)+Inputs!$B$28+Inputs!$B$29)))</f>
        <v/>
      </c>
      <c r="E2690">
        <f>INDEX(FactorTable!$B$2:$Y$301, MATCH(ROUND(MIN(300,MAX(1,D2690)),0), FactorTable!$A$2:$A$301,0), Skills!M19+1)</f>
        <v/>
      </c>
      <c r="F2690">
        <f>IF(Skills!N19=TRUE,(Skills!L19/10)*(E2690/1000),Skills!L19/10)+Skills!O19</f>
        <v/>
      </c>
      <c r="G2690">
        <f>Skills!G19*IF(Skills!H19&gt;0,IF(Inputs!$B$39="pvp",MIN(Skills!I19,15),Skills!I19)/Skills!H19,1)</f>
        <v/>
      </c>
      <c r="H2690">
        <f>1-(1-Skills!J19/100)^Skills!K19</f>
        <v/>
      </c>
      <c r="I2690" t="inlineStr">
        <is>
          <t>1</t>
        </is>
      </c>
      <c r="J2690" t="inlineStr"/>
      <c r="K2690" t="inlineStr"/>
      <c r="L2690" t="inlineStr"/>
      <c r="M2690" t="inlineStr"/>
      <c r="N2690" t="inlineStr"/>
      <c r="O2690">
        <f>(1-Summary!$B$11)*T2690+Summary!$B$11*V2690</f>
        <v/>
      </c>
      <c r="P2690">
        <f>IF(B2717=0,0,O2690/B2717)</f>
        <v/>
      </c>
      <c r="Q2690" t="n">
        <v>0</v>
      </c>
      <c r="R2690" t="n">
        <v>0</v>
      </c>
      <c r="S2690">
        <f>IFERROR(O2690/N2690,0)</f>
        <v/>
      </c>
      <c r="T2690" t="n">
        <v>0</v>
      </c>
      <c r="V2690" t="n">
        <v>0</v>
      </c>
    </row>
    <row r="2691">
      <c r="A2691">
        <f>Skills!A20</f>
        <v/>
      </c>
      <c r="B2691">
        <f>Skills!B20</f>
        <v/>
      </c>
      <c r="C2691">
        <f>TRUE</f>
        <v/>
      </c>
      <c r="D2691">
        <f>IF(Skills!C20=1,60+Inputs!$B$25+Inputs!$B$29,IF(Skills!C20=2,90+Inputs!$B$26+Inputs!$B$29,IF(Skills!C20=3,120+Inputs!$B$27+Inputs!$B$29,MAX(0,(Inputs!$B$3-100)*3)+Inputs!$B$28+Inputs!$B$29)))</f>
        <v/>
      </c>
      <c r="E2691">
        <f>INDEX(FactorTable!$B$2:$Y$301, MATCH(ROUND(MIN(300,MAX(1,D2691)),0), FactorTable!$A$2:$A$301,0), Skills!M20+1)</f>
        <v/>
      </c>
      <c r="F2691">
        <f>IF(Skills!N20=TRUE,(Skills!L20/10)*(E2691/1000),Skills!L20/10)+Skills!O20</f>
        <v/>
      </c>
      <c r="G2691">
        <f>Skills!G20*IF(Skills!H20&gt;0,IF(Inputs!$B$39="pvp",MIN(Skills!I20,15),Skills!I20)/Skills!H20,1)</f>
        <v/>
      </c>
      <c r="H2691">
        <f>1-(1-Skills!J20/100)^Skills!K20</f>
        <v/>
      </c>
      <c r="I2691" t="inlineStr">
        <is>
          <t>1</t>
        </is>
      </c>
      <c r="J2691" t="inlineStr"/>
      <c r="K2691" t="inlineStr"/>
      <c r="L2691" t="inlineStr"/>
      <c r="M2691" t="inlineStr"/>
      <c r="N2691" t="inlineStr"/>
      <c r="O2691">
        <f>(1-Summary!$B$11)*T2691+Summary!$B$11*V2691</f>
        <v/>
      </c>
      <c r="P2691">
        <f>IF(B2717=0,0,O2691/B2717)</f>
        <v/>
      </c>
      <c r="Q2691">
        <f>IFERROR(1/IF(Inputs!$B$39="pvp",15,MAX(0.1,Skills!D20-IF(TRUE=TRUE,Inputs!$B$32,0))),0)</f>
        <v/>
      </c>
      <c r="R2691">
        <f>IF(AND(Inputs!$B$39&lt;&gt;"pvp",Inputs!$B$44&gt;0),IF(Inputs!$B$44&lt;=0,0,(INT(Inputs!$B$44/IF(Inputs!$B$39="pvp",15,MAX(0.1,Skills!D20-IF(TRUE=TRUE,Inputs!$B$32,0))))+1)),0)</f>
        <v/>
      </c>
      <c r="S2691">
        <f>IFERROR(O2691/N2691,0)</f>
        <v/>
      </c>
      <c r="T2691" t="n">
        <v>0</v>
      </c>
      <c r="V2691" t="n">
        <v>0</v>
      </c>
    </row>
    <row r="2692">
      <c r="A2692">
        <f>Skills!A21</f>
        <v/>
      </c>
      <c r="B2692">
        <f>Skills!B21</f>
        <v/>
      </c>
      <c r="C2692">
        <f>Inputs!$B$3&gt;=15</f>
        <v/>
      </c>
      <c r="D2692">
        <f>IF(Skills!C21=1,60+Inputs!$B$25+Inputs!$B$29,IF(Skills!C21=2,90+Inputs!$B$26+Inputs!$B$29,IF(Skills!C21=3,120+Inputs!$B$27+Inputs!$B$29,MAX(0,(Inputs!$B$3-100)*3)+Inputs!$B$28+Inputs!$B$29)))</f>
        <v/>
      </c>
      <c r="E2692">
        <f>INDEX(FactorTable!$B$2:$Y$301, MATCH(ROUND(MIN(300,MAX(1,D2692)),0), FactorTable!$A$2:$A$301,0), Skills!M21+1)</f>
        <v/>
      </c>
      <c r="F2692">
        <f>IF(Skills!N21=TRUE,(Skills!L21/10)*(E2692/1000),Skills!L21/10)+Skills!O21</f>
        <v/>
      </c>
      <c r="G2692">
        <f>Skills!G21*IF(Skills!H21&gt;0,IF(Inputs!$B$39="pvp",MIN(Skills!I21,15),Skills!I21)/Skills!H21,1)</f>
        <v/>
      </c>
      <c r="H2692">
        <f>1-(1-Skills!J21/100)^Skills!K21</f>
        <v/>
      </c>
      <c r="I2692" t="inlineStr">
        <is>
          <t>1</t>
        </is>
      </c>
      <c r="J2692" t="inlineStr"/>
      <c r="K2692" t="inlineStr"/>
      <c r="L2692" t="inlineStr"/>
      <c r="M2692" t="inlineStr"/>
      <c r="N2692" t="inlineStr"/>
      <c r="O2692">
        <f>(1-Summary!$B$11)*T2692+Summary!$B$11*V2692</f>
        <v/>
      </c>
      <c r="P2692">
        <f>IF(B2717=0,0,O2692/B2717)</f>
        <v/>
      </c>
      <c r="Q2692">
        <f>IFERROR(1/IF(Inputs!$B$39="pvp",15,MAX(0.1,Skills!D21-IF(TRUE=TRUE,Inputs!$B$32,0))),0)</f>
        <v/>
      </c>
      <c r="R2692">
        <f>IF(AND(Inputs!$B$39&lt;&gt;"pvp",Inputs!$B$44&gt;0),IF(Inputs!$B$44&lt;=0,0,(INT(Inputs!$B$44/IF(Inputs!$B$39="pvp",15,MAX(0.1,Skills!D21-IF(TRUE=TRUE,Inputs!$B$32,0))))+1)),0)</f>
        <v/>
      </c>
      <c r="S2692">
        <f>IFERROR(O2692/N2692,0)</f>
        <v/>
      </c>
      <c r="T2692" t="n">
        <v>0</v>
      </c>
      <c r="V2692" t="n">
        <v>0</v>
      </c>
    </row>
    <row r="2693">
      <c r="A2693">
        <f>Skills!A22</f>
        <v/>
      </c>
      <c r="B2693">
        <f>Skills!B22</f>
        <v/>
      </c>
      <c r="C2693">
        <f>Inputs!$B$3&gt;=15</f>
        <v/>
      </c>
      <c r="D2693">
        <f>IF(Skills!C22=1,60+Inputs!$B$25+Inputs!$B$29,IF(Skills!C22=2,90+Inputs!$B$26+Inputs!$B$29,IF(Skills!C22=3,120+Inputs!$B$27+Inputs!$B$29,MAX(0,(Inputs!$B$3-100)*3)+Inputs!$B$28+Inputs!$B$29)))</f>
        <v/>
      </c>
      <c r="E2693">
        <f>INDEX(FactorTable!$B$2:$Y$301, MATCH(ROUND(MIN(300,MAX(1,D2693)),0), FactorTable!$A$2:$A$301,0), Skills!M22+1)</f>
        <v/>
      </c>
      <c r="F2693">
        <f>IF(Skills!N22=TRUE,(Skills!L22/10)*(E2693/1000),Skills!L22/10)+Skills!O22</f>
        <v/>
      </c>
      <c r="G2693">
        <f>Skills!G22*IF(Skills!H22&gt;0,IF(Inputs!$B$39="pvp",MIN(Skills!I22,15),Skills!I22)/Skills!H22,1)</f>
        <v/>
      </c>
      <c r="H2693">
        <f>1-(1-Skills!J22/100)^Skills!K22</f>
        <v/>
      </c>
      <c r="I2693" t="inlineStr">
        <is>
          <t>1</t>
        </is>
      </c>
      <c r="J2693" t="inlineStr"/>
      <c r="K2693" t="inlineStr"/>
      <c r="L2693" t="inlineStr"/>
      <c r="M2693" t="inlineStr"/>
      <c r="N2693" t="inlineStr"/>
      <c r="O2693">
        <f>(1-Summary!$B$11)*T2693+Summary!$B$11*V2693</f>
        <v/>
      </c>
      <c r="P2693">
        <f>IF(B2717=0,0,O2693/B2717)</f>
        <v/>
      </c>
      <c r="Q2693">
        <f>IFERROR(1/IF(Inputs!$B$39="pvp",15,MAX(0.1,Skills!D22-IF(TRUE=TRUE,Inputs!$B$32,0))),0)</f>
        <v/>
      </c>
      <c r="R2693">
        <f>IF(AND(Inputs!$B$39&lt;&gt;"pvp",Inputs!$B$44&gt;0),IF(Inputs!$B$44&lt;=0,0,(INT(Inputs!$B$44/IF(Inputs!$B$39="pvp",15,MAX(0.1,Skills!D22-IF(TRUE=TRUE,Inputs!$B$32,0))))+1)),0)</f>
        <v/>
      </c>
      <c r="S2693">
        <f>IFERROR(O2693/N2693,0)</f>
        <v/>
      </c>
      <c r="T2693" t="n">
        <v>0</v>
      </c>
      <c r="V2693" t="n">
        <v>0</v>
      </c>
    </row>
    <row r="2694">
      <c r="A2694">
        <f>Skills!A23</f>
        <v/>
      </c>
      <c r="B2694">
        <f>Skills!B23</f>
        <v/>
      </c>
      <c r="C2694">
        <f>Inputs!$B$3&gt;=33</f>
        <v/>
      </c>
      <c r="D2694">
        <f>IF(Skills!C23=1,60+Inputs!$B$25+Inputs!$B$29,IF(Skills!C23=2,90+Inputs!$B$26+Inputs!$B$29,IF(Skills!C23=3,120+Inputs!$B$27+Inputs!$B$29,MAX(0,(Inputs!$B$3-100)*3)+Inputs!$B$28+Inputs!$B$29)))</f>
        <v/>
      </c>
      <c r="E2694">
        <f>INDEX(FactorTable!$B$2:$Y$301, MATCH(ROUND(MIN(300,MAX(1,D2694)),0), FactorTable!$A$2:$A$301,0), Skills!M23+1)</f>
        <v/>
      </c>
      <c r="F2694">
        <f>IF(Skills!N23=TRUE,(Skills!L23/10)*(E2694/1000),Skills!L23/10)+Skills!O23</f>
        <v/>
      </c>
      <c r="G2694">
        <f>Skills!G23*IF(Skills!H23&gt;0,IF(Inputs!$B$39="pvp",MIN(Skills!I23,15),Skills!I23)/Skills!H23,1)</f>
        <v/>
      </c>
      <c r="H2694">
        <f>1-(1-Skills!J23/100)^Skills!K23</f>
        <v/>
      </c>
      <c r="I2694" t="inlineStr">
        <is>
          <t>1</t>
        </is>
      </c>
      <c r="J2694" t="inlineStr"/>
      <c r="K2694" t="inlineStr"/>
      <c r="L2694" t="inlineStr"/>
      <c r="M2694" t="inlineStr"/>
      <c r="N2694" t="inlineStr"/>
      <c r="O2694">
        <f>(1-Summary!$B$11)*T2694+Summary!$B$11*V2694</f>
        <v/>
      </c>
      <c r="P2694">
        <f>IF(B2717=0,0,O2694/B2717)</f>
        <v/>
      </c>
      <c r="Q2694" t="n">
        <v>0</v>
      </c>
      <c r="R2694" t="n">
        <v>0</v>
      </c>
      <c r="S2694">
        <f>IFERROR(O2694/N2694,0)</f>
        <v/>
      </c>
      <c r="T2694" t="n">
        <v>0</v>
      </c>
      <c r="V2694" t="n">
        <v>0</v>
      </c>
    </row>
    <row r="2695">
      <c r="A2695">
        <f>Skills!A24</f>
        <v/>
      </c>
      <c r="B2695">
        <f>Skills!B24</f>
        <v/>
      </c>
      <c r="C2695">
        <f>Inputs!$B$3&gt;=40</f>
        <v/>
      </c>
      <c r="D2695">
        <f>IF(Skills!C24=1,60+Inputs!$B$25+Inputs!$B$29,IF(Skills!C24=2,90+Inputs!$B$26+Inputs!$B$29,IF(Skills!C24=3,120+Inputs!$B$27+Inputs!$B$29,MAX(0,(Inputs!$B$3-100)*3)+Inputs!$B$28+Inputs!$B$29)))</f>
        <v/>
      </c>
      <c r="E2695">
        <f>INDEX(FactorTable!$B$2:$Y$301, MATCH(ROUND(MIN(300,MAX(1,D2695)),0), FactorTable!$A$2:$A$301,0), Skills!M24+1)</f>
        <v/>
      </c>
      <c r="F2695">
        <f>IF(Skills!N24=TRUE,(Skills!L24/10)*(E2695/1000),Skills!L24/10)+Skills!O24</f>
        <v/>
      </c>
      <c r="G2695">
        <f>Skills!G24*IF(Skills!H24&gt;0,IF(Inputs!$B$39="pvp",MIN(Skills!I24,15),Skills!I24)/Skills!H24,1)</f>
        <v/>
      </c>
      <c r="H2695">
        <f>1-(1-Skills!J24/100)^Skills!K24</f>
        <v/>
      </c>
      <c r="I2695" t="inlineStr">
        <is>
          <t>1</t>
        </is>
      </c>
      <c r="J2695" t="inlineStr"/>
      <c r="K2695" t="inlineStr"/>
      <c r="L2695" t="inlineStr"/>
      <c r="M2695" t="inlineStr"/>
      <c r="N2695" t="inlineStr"/>
      <c r="O2695">
        <f>(1-Summary!$B$11)*T2695+Summary!$B$11*V2695</f>
        <v/>
      </c>
      <c r="P2695">
        <f>IF(B2717=0,0,O2695/B2717)</f>
        <v/>
      </c>
      <c r="Q2695" t="n">
        <v>0</v>
      </c>
      <c r="R2695" t="n">
        <v>0</v>
      </c>
      <c r="S2695">
        <f>IFERROR(O2695/N2695,0)</f>
        <v/>
      </c>
      <c r="T2695" t="n">
        <v>0</v>
      </c>
      <c r="V2695" t="n">
        <v>0</v>
      </c>
    </row>
    <row r="2696">
      <c r="A2696">
        <f>Skills!A25</f>
        <v/>
      </c>
      <c r="B2696">
        <f>Skills!B25</f>
        <v/>
      </c>
      <c r="C2696">
        <f>Inputs!$B$3&gt;=43</f>
        <v/>
      </c>
      <c r="D2696">
        <f>IF(Skills!C25=1,60+Inputs!$B$25+Inputs!$B$29,IF(Skills!C25=2,90+Inputs!$B$26+Inputs!$B$29,IF(Skills!C25=3,120+Inputs!$B$27+Inputs!$B$29,MAX(0,(Inputs!$B$3-100)*3)+Inputs!$B$28+Inputs!$B$29)))</f>
        <v/>
      </c>
      <c r="E2696">
        <f>INDEX(FactorTable!$B$2:$Y$301, MATCH(ROUND(MIN(300,MAX(1,D2696)),0), FactorTable!$A$2:$A$301,0), Skills!M25+1)</f>
        <v/>
      </c>
      <c r="F2696">
        <f>IF(Skills!N25=TRUE,(Skills!L25/10)*(E2696/1000),Skills!L25/10)+Skills!O25</f>
        <v/>
      </c>
      <c r="G2696">
        <f>Skills!G25*IF(Skills!H25&gt;0,IF(Inputs!$B$39="pvp",MIN(Skills!I25,15),Skills!I25)/Skills!H25,1)</f>
        <v/>
      </c>
      <c r="H2696">
        <f>1-(1-Skills!J25/100)^Skills!K25</f>
        <v/>
      </c>
      <c r="I2696" t="inlineStr">
        <is>
          <t>1</t>
        </is>
      </c>
      <c r="J2696" t="inlineStr"/>
      <c r="K2696" t="inlineStr"/>
      <c r="L2696" t="inlineStr"/>
      <c r="M2696" t="inlineStr"/>
      <c r="N2696" t="inlineStr"/>
      <c r="O2696">
        <f>(1-Summary!$B$11)*T2696+Summary!$B$11*V2696</f>
        <v/>
      </c>
      <c r="P2696">
        <f>IF(B2717=0,0,O2696/B2717)</f>
        <v/>
      </c>
      <c r="Q2696" t="n">
        <v>0</v>
      </c>
      <c r="R2696" t="n">
        <v>0</v>
      </c>
      <c r="S2696">
        <f>IFERROR(O2696/N2696,0)</f>
        <v/>
      </c>
      <c r="T2696" t="n">
        <v>0</v>
      </c>
      <c r="V2696" t="n">
        <v>0</v>
      </c>
    </row>
    <row r="2697">
      <c r="A2697">
        <f>Skills!A26</f>
        <v/>
      </c>
      <c r="B2697">
        <f>Skills!B26</f>
        <v/>
      </c>
      <c r="C2697">
        <f>Inputs!$B$3&gt;=50</f>
        <v/>
      </c>
      <c r="D2697">
        <f>IF(Skills!C26=1,60+Inputs!$B$25+Inputs!$B$29,IF(Skills!C26=2,90+Inputs!$B$26+Inputs!$B$29,IF(Skills!C26=3,120+Inputs!$B$27+Inputs!$B$29,MAX(0,(Inputs!$B$3-100)*3)+Inputs!$B$28+Inputs!$B$29)))</f>
        <v/>
      </c>
      <c r="E2697">
        <f>INDEX(FactorTable!$B$2:$Y$301, MATCH(ROUND(MIN(300,MAX(1,D2697)),0), FactorTable!$A$2:$A$301,0), Skills!M26+1)</f>
        <v/>
      </c>
      <c r="F2697">
        <f>IF(Skills!N26=TRUE,(Skills!L26/10)*(E2697/1000),Skills!L26/10)+Skills!O26</f>
        <v/>
      </c>
      <c r="G2697">
        <f>Skills!G26*IF(Skills!H26&gt;0,IF(Inputs!$B$39="pvp",MIN(Skills!I26,15),Skills!I26)/Skills!H26,1)</f>
        <v/>
      </c>
      <c r="H2697">
        <f>1-(1-Skills!J26/100)^Skills!K26</f>
        <v/>
      </c>
      <c r="I2697" t="inlineStr">
        <is>
          <t>1</t>
        </is>
      </c>
      <c r="J2697" t="inlineStr"/>
      <c r="K2697" t="inlineStr"/>
      <c r="L2697" t="inlineStr"/>
      <c r="M2697" t="inlineStr"/>
      <c r="N2697" t="inlineStr"/>
      <c r="O2697">
        <f>(1-Summary!$B$11)*T2697+Summary!$B$11*V2697</f>
        <v/>
      </c>
      <c r="P2697">
        <f>IF(B2717=0,0,O2697/B2717)</f>
        <v/>
      </c>
      <c r="Q2697" t="n">
        <v>0</v>
      </c>
      <c r="R2697" t="n">
        <v>0</v>
      </c>
      <c r="S2697">
        <f>IFERROR(O2697/N2697,0)</f>
        <v/>
      </c>
      <c r="T2697" t="n">
        <v>0</v>
      </c>
      <c r="V2697" t="n">
        <v>0</v>
      </c>
    </row>
    <row r="2698">
      <c r="A2698">
        <f>Skills!A27</f>
        <v/>
      </c>
      <c r="B2698">
        <f>Skills!B27</f>
        <v/>
      </c>
      <c r="C2698">
        <f>Inputs!$B$3&gt;=50</f>
        <v/>
      </c>
      <c r="D2698">
        <f>IF(Skills!C27=1,60+Inputs!$B$25+Inputs!$B$29,IF(Skills!C27=2,90+Inputs!$B$26+Inputs!$B$29,IF(Skills!C27=3,120+Inputs!$B$27+Inputs!$B$29,MAX(0,(Inputs!$B$3-100)*3)+Inputs!$B$28+Inputs!$B$29)))</f>
        <v/>
      </c>
      <c r="E2698">
        <f>INDEX(FactorTable!$B$2:$Y$301, MATCH(ROUND(MIN(300,MAX(1,D2698)),0), FactorTable!$A$2:$A$301,0), Skills!M27+1)</f>
        <v/>
      </c>
      <c r="F2698">
        <f>IF(Skills!N27=TRUE,(Skills!L27/10)*(E2698/1000),Skills!L27/10)+Skills!O27</f>
        <v/>
      </c>
      <c r="G2698">
        <f>Skills!G27*IF(Skills!H27&gt;0,IF(Inputs!$B$39="pvp",MIN(Skills!I27,15),Skills!I27)/Skills!H27,1)</f>
        <v/>
      </c>
      <c r="H2698">
        <f>1-(1-Skills!J27/100)^Skills!K27</f>
        <v/>
      </c>
      <c r="I2698" t="inlineStr">
        <is>
          <t>1</t>
        </is>
      </c>
      <c r="J2698" t="inlineStr"/>
      <c r="K2698" t="inlineStr"/>
      <c r="L2698" t="inlineStr"/>
      <c r="M2698" t="inlineStr"/>
      <c r="N2698" t="inlineStr"/>
      <c r="O2698">
        <f>(1-Summary!$B$11)*T2698+Summary!$B$11*V2698</f>
        <v/>
      </c>
      <c r="P2698">
        <f>IF(B2717=0,0,O2698/B2717)</f>
        <v/>
      </c>
      <c r="Q2698" t="n">
        <v>0</v>
      </c>
      <c r="R2698" t="n">
        <v>0</v>
      </c>
      <c r="S2698">
        <f>IFERROR(O2698/N2698,0)</f>
        <v/>
      </c>
      <c r="T2698" t="n">
        <v>0</v>
      </c>
      <c r="V2698" t="n">
        <v>0</v>
      </c>
    </row>
    <row r="2699">
      <c r="A2699">
        <f>Skills!A28</f>
        <v/>
      </c>
      <c r="B2699">
        <f>Skills!B28</f>
        <v/>
      </c>
      <c r="C2699">
        <f>Inputs!$B$3&gt;=38</f>
        <v/>
      </c>
      <c r="D2699">
        <f>IF(Skills!C28=1,60+Inputs!$B$25+Inputs!$B$29,IF(Skills!C28=2,90+Inputs!$B$26+Inputs!$B$29,IF(Skills!C28=3,120+Inputs!$B$27+Inputs!$B$29,MAX(0,(Inputs!$B$3-100)*3)+Inputs!$B$28+Inputs!$B$29)))</f>
        <v/>
      </c>
      <c r="E2699">
        <f>INDEX(FactorTable!$B$2:$Y$301, MATCH(ROUND(MIN(300,MAX(1,D2699)),0), FactorTable!$A$2:$A$301,0), Skills!M28+1)</f>
        <v/>
      </c>
      <c r="F2699">
        <f>IF(Skills!N28=TRUE,(Skills!L28/10)*(E2699/1000),Skills!L28/10)+Skills!O28</f>
        <v/>
      </c>
      <c r="G2699">
        <f>Skills!G28*IF(Skills!H28&gt;0,IF(Inputs!$B$39="pvp",MIN(Skills!I28,15),Skills!I28)/Skills!H28,1)</f>
        <v/>
      </c>
      <c r="H2699">
        <f>1-(1-Skills!J28/100)^Skills!K28</f>
        <v/>
      </c>
      <c r="I2699" t="inlineStr">
        <is>
          <t>1</t>
        </is>
      </c>
      <c r="J2699" t="inlineStr"/>
      <c r="K2699" t="inlineStr"/>
      <c r="L2699" t="inlineStr"/>
      <c r="M2699" t="inlineStr"/>
      <c r="N2699" t="inlineStr"/>
      <c r="O2699">
        <f>(1-Summary!$B$11)*T2699+Summary!$B$11*V2699</f>
        <v/>
      </c>
      <c r="P2699">
        <f>IF(B2717=0,0,O2699/B2717)</f>
        <v/>
      </c>
      <c r="Q2699" t="n">
        <v>0</v>
      </c>
      <c r="R2699" t="n">
        <v>0</v>
      </c>
      <c r="S2699">
        <f>IFERROR(O2699/N2699,0)</f>
        <v/>
      </c>
      <c r="T2699" t="n">
        <v>0</v>
      </c>
      <c r="V2699" t="n">
        <v>0</v>
      </c>
    </row>
    <row r="2700">
      <c r="A2700">
        <f>Skills!A29</f>
        <v/>
      </c>
      <c r="B2700">
        <f>Skills!B29</f>
        <v/>
      </c>
      <c r="C2700">
        <f>Inputs!$B$3&gt;=120</f>
        <v/>
      </c>
      <c r="D2700">
        <f>IF(Skills!C29=1,60+Inputs!$B$25+Inputs!$B$29,IF(Skills!C29=2,90+Inputs!$B$26+Inputs!$B$29,IF(Skills!C29=3,120+Inputs!$B$27+Inputs!$B$29,MAX(0,(Inputs!$B$3-100)*3)+Inputs!$B$28+Inputs!$B$29)))</f>
        <v/>
      </c>
      <c r="E2700">
        <f>INDEX(FactorTable!$B$2:$Y$301, MATCH(ROUND(MIN(300,MAX(1,D2700)),0), FactorTable!$A$2:$A$301,0), Skills!M29+1)</f>
        <v/>
      </c>
      <c r="F2700">
        <f>IF(Skills!N29=TRUE,(Skills!L29/10)*(E2700/1000),Skills!L29/10)+Skills!O29</f>
        <v/>
      </c>
      <c r="G2700">
        <f>Skills!G29*IF(Skills!H29&gt;0,IF(Inputs!$B$39="pvp",MIN(Skills!I29,15),Skills!I29)/Skills!H29,1)</f>
        <v/>
      </c>
      <c r="H2700">
        <f>1-(1-Skills!J29/100)^Skills!K29</f>
        <v/>
      </c>
      <c r="I2700" t="inlineStr">
        <is>
          <t>1</t>
        </is>
      </c>
      <c r="J2700" t="inlineStr"/>
      <c r="K2700" t="inlineStr"/>
      <c r="L2700" t="inlineStr"/>
      <c r="M2700" t="inlineStr"/>
      <c r="N2700" t="inlineStr"/>
      <c r="O2700">
        <f>(1-Summary!$B$11)*T2700+Summary!$B$11*V2700</f>
        <v/>
      </c>
      <c r="P2700">
        <f>IF(B2717=0,0,O2700/B2717)</f>
        <v/>
      </c>
      <c r="Q2700" t="n">
        <v>0</v>
      </c>
      <c r="R2700" t="n">
        <v>0</v>
      </c>
      <c r="S2700">
        <f>IFERROR(O2700/N2700,0)</f>
        <v/>
      </c>
      <c r="T2700" t="n">
        <v>0</v>
      </c>
      <c r="V2700" t="n">
        <v>0</v>
      </c>
    </row>
    <row r="2701">
      <c r="A2701">
        <f>Skills!A30</f>
        <v/>
      </c>
      <c r="B2701">
        <f>Skills!B30</f>
        <v/>
      </c>
      <c r="C2701">
        <f>Inputs!$B$3&gt;=120</f>
        <v/>
      </c>
      <c r="D2701">
        <f>IF(Skills!C30=1,60+Inputs!$B$25+Inputs!$B$29,IF(Skills!C30=2,90+Inputs!$B$26+Inputs!$B$29,IF(Skills!C30=3,120+Inputs!$B$27+Inputs!$B$29,MAX(0,(Inputs!$B$3-100)*3)+Inputs!$B$28+Inputs!$B$29)))</f>
        <v/>
      </c>
      <c r="E2701">
        <f>INDEX(FactorTable!$B$2:$Y$301, MATCH(ROUND(MIN(300,MAX(1,D2701)),0), FactorTable!$A$2:$A$301,0), Skills!M30+1)</f>
        <v/>
      </c>
      <c r="F2701">
        <f>IF(Skills!N30=TRUE,(Skills!L30/10)*(E2701/1000),Skills!L30/10)+Skills!O30</f>
        <v/>
      </c>
      <c r="G2701">
        <f>Skills!G30*IF(Skills!H30&gt;0,IF(Inputs!$B$39="pvp",MIN(Skills!I30,15),Skills!I30)/Skills!H30,1)</f>
        <v/>
      </c>
      <c r="H2701">
        <f>1-(1-Skills!J30/100)^Skills!K30</f>
        <v/>
      </c>
      <c r="I2701" t="inlineStr">
        <is>
          <t>1</t>
        </is>
      </c>
      <c r="J2701" t="inlineStr"/>
      <c r="K2701" t="inlineStr"/>
      <c r="L2701" t="inlineStr"/>
      <c r="M2701" t="inlineStr"/>
      <c r="N2701" t="inlineStr"/>
      <c r="O2701">
        <f>(1-Summary!$B$11)*T2701+Summary!$B$11*V2701</f>
        <v/>
      </c>
      <c r="P2701">
        <f>IF(B2717=0,0,O2701/B2717)</f>
        <v/>
      </c>
      <c r="Q2701" t="n">
        <v>0</v>
      </c>
      <c r="R2701" t="n">
        <v>0</v>
      </c>
      <c r="S2701">
        <f>IFERROR(O2701/N2701,0)</f>
        <v/>
      </c>
      <c r="T2701" t="n">
        <v>0</v>
      </c>
      <c r="V2701" t="n">
        <v>0</v>
      </c>
    </row>
    <row r="2702">
      <c r="A2702">
        <f>Skills!A31</f>
        <v/>
      </c>
      <c r="B2702">
        <f>Skills!B31</f>
        <v/>
      </c>
      <c r="C2702">
        <f>Inputs!$B$3&gt;=125</f>
        <v/>
      </c>
      <c r="D2702">
        <f>IF(Skills!C31=1,60+Inputs!$B$25+Inputs!$B$29,IF(Skills!C31=2,90+Inputs!$B$26+Inputs!$B$29,IF(Skills!C31=3,120+Inputs!$B$27+Inputs!$B$29,MAX(0,(Inputs!$B$3-100)*3)+Inputs!$B$28+Inputs!$B$29)))</f>
        <v/>
      </c>
      <c r="E2702">
        <f>INDEX(FactorTable!$B$2:$Y$301, MATCH(ROUND(MIN(300,MAX(1,D2702)),0), FactorTable!$A$2:$A$301,0), Skills!M31+1)</f>
        <v/>
      </c>
      <c r="F2702">
        <f>IF(Skills!N31=TRUE,(Skills!L31/10)*(E2702/1000),Skills!L31/10)+Skills!O31</f>
        <v/>
      </c>
      <c r="G2702">
        <f>Skills!G31*IF(Skills!H31&gt;0,IF(Inputs!$B$39="pvp",MIN(Skills!I31,15),Skills!I31)/Skills!H31,1)</f>
        <v/>
      </c>
      <c r="H2702">
        <f>1-(1-Skills!J31/100)^Skills!K31</f>
        <v/>
      </c>
      <c r="I2702" t="inlineStr">
        <is>
          <t>1</t>
        </is>
      </c>
      <c r="J2702" t="inlineStr"/>
      <c r="K2702" t="inlineStr"/>
      <c r="L2702" t="inlineStr"/>
      <c r="M2702" t="inlineStr"/>
      <c r="N2702" t="inlineStr"/>
      <c r="O2702">
        <f>(1-Summary!$B$11)*T2702+Summary!$B$11*V2702</f>
        <v/>
      </c>
      <c r="P2702">
        <f>IF(B2717=0,0,O2702/B2717)</f>
        <v/>
      </c>
      <c r="Q2702" t="n">
        <v>0</v>
      </c>
      <c r="R2702" t="n">
        <v>0</v>
      </c>
      <c r="S2702">
        <f>IFERROR(O2702/N2702,0)</f>
        <v/>
      </c>
      <c r="T2702" t="n">
        <v>0</v>
      </c>
      <c r="V2702" t="n">
        <v>0</v>
      </c>
    </row>
    <row r="2704">
      <c r="A2704" t="inlineStr">
        <is>
          <t>Average Buff Multiplier</t>
        </is>
      </c>
      <c r="B2704">
        <f>(1+(((C2693=TRUE)*F2693*IF(AND(Inputs!$B$39&lt;&gt;"pvp",Inputs!$B$44&gt;0),(((R2693-1)*MIN((Skills!Y22*(1+Inputs!$B$34/100)),(1/Q2693))+MIN((Skills!Y22*(1+Inputs!$B$34/100)),MAX(0,Inputs!$B$44-((R2693-1)*(1/Q2693)))))/Inputs!$B$44),IF(Inputs!$B$39="pvp",MIN((Skills!Y22*(1+Inputs!$B$34/100)),15)/15,MIN(1,(Skills!Y22*(1+Inputs!$B$34/100))/(1/Q2693)))))+((C2674=TRUE)*F2674*3)+((C2676=TRUE)*F2676*(1-EXP(-0.75*B2709*5)))+((C2695=TRUE)*(F2695-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2682=TRUE)*F2682*IF(AND(Inputs!$B$39&lt;&gt;"pvp",Inputs!$B$44&gt;0),(((R2682-1)*MIN((Skills!Y11*(1+Inputs!$B$34/100)),(1/Q2682))+MIN((Skills!Y11*(1+Inputs!$B$34/100)),MAX(0,Inputs!$B$44-((R2682-1)*(1/Q2682)))))/Inputs!$B$44),IF(Inputs!$B$39="pvp",MIN((Skills!Y11*(1+Inputs!$B$34/100)),15)/15,MIN(1,(Skills!Y11*(1+Inputs!$B$34/100))/(1/Q2682)))))/100)*(1+((C2687=TRUE)*F2687*IF(AND(Inputs!$B$39&lt;&gt;"pvp",Inputs!$B$44&gt;0),(((R2687-1)*MIN((Skills!Y16*(1+Inputs!$B$34/100)),(1/Q2687))+MIN((Skills!Y16*(1+Inputs!$B$34/100)),MAX(0,Inputs!$B$44-((R2687-1)*(1/Q2687)))))/Inputs!$B$44),IF(Inputs!$B$39="pvp",MIN((Skills!Y16*(1+Inputs!$B$34/100)),15)/15,MIN(1,(Skills!Y16*(1+Inputs!$B$34/100))/(1/Q2687)))))/100)</f>
        <v/>
      </c>
    </row>
    <row r="2705">
      <c r="A2705" t="inlineStr">
        <is>
          <t>Global Crit Rate Bonus %</t>
        </is>
      </c>
      <c r="B2705">
        <f>((C2692=TRUE)*F2692*IF(AND(Inputs!$B$39&lt;&gt;"pvp",Inputs!$B$44&gt;0),(((R2692-1)*MIN((Skills!Y21*(1+Inputs!$B$34/100)),(1/Q2692))+MIN((Skills!Y21*(1+Inputs!$B$34/100)),MAX(0,Inputs!$B$44-((R2692-1)*(1/Q2692)))))/Inputs!$B$44),IF(Inputs!$B$39="pvp",MIN((Skills!Y21*(1+Inputs!$B$34/100)),15)/15,MIN(1,(Skills!Y21*(1+Inputs!$B$34/100))/(1/Q2692)))))</f>
        <v/>
      </c>
    </row>
    <row r="2706">
      <c r="A2706" t="inlineStr">
        <is>
          <t>Global Monster Damage-Taken Bonus %</t>
        </is>
      </c>
      <c r="B2706">
        <f>IF(Inputs!$B$3&gt;=82,15,0)</f>
        <v/>
      </c>
    </row>
    <row r="2707">
      <c r="A2707" t="inlineStr">
        <is>
          <t>Shadow Partner Average Multiplier</t>
        </is>
      </c>
      <c r="B2707">
        <f>1+((C2679=TRUE)*F2679*(1+3.3333333333333335*IF(C2690=TRUE,F2690,0)/100)*I2679*Skills!J8/100)/100</f>
        <v/>
      </c>
    </row>
    <row r="2708">
      <c r="A2708" t="inlineStr">
        <is>
          <t>Attack Speed Buff Bonus %</t>
        </is>
      </c>
      <c r="B2708">
        <f>((C2691=TRUE)*F2691*IF(AND(Inputs!$B$39&lt;&gt;"pvp",Inputs!$B$44&gt;0),(((R2691-1)*MIN((Skills!Y20*(1+Inputs!$B$34/100)),(1/Q2691))+MIN((Skills!Y20*(1+Inputs!$B$34/100)),MAX(0,Inputs!$B$44-((R2691-1)*(1/Q2691)))))/Inputs!$B$44),IF(Inputs!$B$39="pvp",MIN((Skills!Y20*(1+Inputs!$B$34/100)),15)/15,MIN(1,(Skills!Y20*(1+Inputs!$B$34/100))/(1/Q2691)))))</f>
        <v/>
      </c>
    </row>
    <row r="2709">
      <c r="A2709" t="inlineStr">
        <is>
          <t>Actions Per Second</t>
        </is>
      </c>
      <c r="B2709">
        <f>1+MIN(150,150*(1-(1-(Inputs!$B$11+((C2694=TRUE)*(F2694-Calc!F23)))/150)*(1-B2708/150)))/100</f>
        <v/>
      </c>
    </row>
    <row r="2710">
      <c r="A2710" t="inlineStr">
        <is>
          <t>Skill + Buff Cast Rate</t>
        </is>
      </c>
      <c r="B2710">
        <f>IF(AND(Inputs!$B$39&lt;&gt;"pvp",Inputs!$B$44&gt;0),SUMPRODUCT((Skills!E2:E31=TRUE)*(C2673:C2702=TRUE)*R2673:R2702*Skills!F2:F31)/Inputs!$B$44,SUMPRODUCT((Skills!E2:E31=TRUE)*(C2673:C2702=TRUE)*Q2673:Q2702*Skills!F2:F31))</f>
        <v/>
      </c>
    </row>
    <row r="2711">
      <c r="A2711" t="inlineStr">
        <is>
          <t>Cruel Stab Casts Per Second</t>
        </is>
      </c>
      <c r="B2711">
        <f>MAX(0,B2709-B2710)</f>
        <v/>
      </c>
    </row>
    <row r="2712">
      <c r="A2712" t="inlineStr">
        <is>
          <t>Global Critical Damage Bonus % (Smokescreen Mastery Lv.113)</t>
        </is>
      </c>
      <c r="B2712">
        <f>IF(Inputs!$B$3&gt;=113,30,0)*IF(AND(Inputs!$B$39&lt;&gt;"pvp",Inputs!$B$44&gt;0),(((R2687-1)*MIN((Skills!Y16*(1+Inputs!$B$34/100)),(1/Q2687))+MIN((Skills!Y16*(1+Inputs!$B$34/100)),MAX(0,Inputs!$B$44-((R2687-1)*(1/Q2687)))))/Inputs!$B$44),IF(Inputs!$B$39="pvp",MIN((Skills!Y16*(1+Inputs!$B$34/100)),15)/15,MIN(1,(Skills!Y16*(1+Inputs!$B$34/100))/(1/Q2687))))</f>
        <v/>
      </c>
    </row>
    <row r="2713">
      <c r="A2713" t="inlineStr">
        <is>
          <t>Meso Explosion average stack count</t>
        </is>
      </c>
      <c r="B2713">
        <f>MIN(10,IF(Inputs!$B$3&gt;=75,0.75,0.5)*B2709*(1/Q2675))</f>
        <v/>
      </c>
    </row>
    <row r="2714">
      <c r="A2714" t="inlineStr">
        <is>
          <t>Blood Money average stack count</t>
        </is>
      </c>
      <c r="B2714">
        <f>MIN(5,0.5*IF(Inputs!$B$3&gt;=75,0.75,0.5)*B2709*(1/Q2675))</f>
        <v/>
      </c>
    </row>
    <row r="2715">
      <c r="A2715" t="inlineStr">
        <is>
          <t>Assassinate Murderous Intent Multiplier</t>
        </is>
      </c>
      <c r="B2715">
        <f>1+IFERROR(MIN(1,Q2686*2/Q2683),0)</f>
        <v/>
      </c>
    </row>
    <row r="2716">
      <c r="A2716" t="inlineStr">
        <is>
          <t>Buff-Casting Startup Delay (s, fixed-duration only)</t>
        </is>
      </c>
      <c r="B2716">
        <f>IF(AND(Inputs!$B$39&lt;&gt;"pvp",Inputs!$B$44&gt;0),SUMPRODUCT((Skills!Y2:Y31&gt;0)*(Skills!E2:E31=TRUE)*(C2673:C2702=TRUE))/B2709,0)</f>
        <v/>
      </c>
    </row>
    <row r="2717">
      <c r="A2717" s="6" t="inlineStr">
        <is>
          <t>TOTAL DPS</t>
        </is>
      </c>
      <c r="B2717" s="6">
        <f>SUM(O2673:O2702)</f>
        <v/>
      </c>
    </row>
    <row r="2718">
      <c r="A2718" t="inlineStr">
        <is>
          <t>Boss-Only Total DPS (this block's swept value)</t>
        </is>
      </c>
      <c r="B2718">
        <f>SUM(T2673:T2702)</f>
        <v/>
      </c>
    </row>
    <row r="2719">
      <c r="A2719" t="inlineStr">
        <is>
          <t>Normal-Only Total DPS (this block's swept value)</t>
        </is>
      </c>
      <c r="B2719">
        <f>SUM(V2673:V2702)</f>
        <v/>
      </c>
    </row>
    <row r="2722">
      <c r="A2722" s="6" t="inlineStr">
        <is>
          <t>Stat: Flaming Lava (Equip)</t>
        </is>
      </c>
    </row>
    <row r="2723">
      <c r="A2723" s="5" t="inlineStr">
        <is>
          <t>Key</t>
        </is>
      </c>
      <c r="B2723" s="5" t="inlineStr">
        <is>
          <t>Name</t>
        </is>
      </c>
      <c r="C2723" s="5" t="inlineStr">
        <is>
          <t>Unlocked</t>
        </is>
      </c>
      <c r="D2723" s="5" t="inlineStr">
        <is>
          <t>InputLevel</t>
        </is>
      </c>
      <c r="E2723" s="5" t="inlineStr">
        <is>
          <t>Factor</t>
        </is>
      </c>
      <c r="F2723" s="5" t="inlineStr">
        <is>
          <t>CoefficientPercent</t>
        </is>
      </c>
      <c r="G2723" s="5" t="inlineStr">
        <is>
          <t>EffectiveHits</t>
        </is>
      </c>
      <c r="H2723" s="5" t="inlineStr">
        <is>
          <t>ProcProbability</t>
        </is>
      </c>
      <c r="I2723" s="5" t="inlineStr">
        <is>
          <t>MapleHeroMultiplier</t>
        </is>
      </c>
      <c r="J2723" s="5" t="inlineStr">
        <is>
          <t>BaseDamage</t>
        </is>
      </c>
      <c r="K2723" s="5" t="inlineStr">
        <is>
          <t>BaseHitDamage</t>
        </is>
      </c>
      <c r="L2723" s="5" t="inlineStr">
        <is>
          <t>NonCritAvg</t>
        </is>
      </c>
      <c r="M2723" s="5" t="inlineStr">
        <is>
          <t>CritAvg</t>
        </is>
      </c>
      <c r="N2723" s="5" t="inlineStr">
        <is>
          <t>ExpectedDamage(perHit)</t>
        </is>
      </c>
      <c r="O2723" s="5" t="inlineStr">
        <is>
          <t>DPS</t>
        </is>
      </c>
      <c r="P2723" s="5" t="inlineStr">
        <is>
          <t>% of Total</t>
        </is>
      </c>
      <c r="Q2723" s="5" t="inlineStr">
        <is>
          <t>InvCooldown</t>
        </is>
      </c>
      <c r="R2723" s="5" t="inlineStr">
        <is>
          <t>CastsInFight</t>
        </is>
      </c>
      <c r="S2723" s="5" t="inlineStr">
        <is>
          <t>HitRate(perSec)</t>
        </is>
      </c>
      <c r="U2723" t="inlineStr">
        <is>
          <t>helpers</t>
        </is>
      </c>
    </row>
    <row r="2724">
      <c r="A2724">
        <f>Skills!A2</f>
        <v/>
      </c>
      <c r="B2724">
        <f>Skills!B2</f>
        <v/>
      </c>
      <c r="C2724">
        <f>Inputs!$B$3&gt;=100</f>
        <v/>
      </c>
      <c r="D2724" t="inlineStr"/>
      <c r="E2724" t="inlineStr"/>
      <c r="F2724">
        <f>U2726+Skills!O2</f>
        <v/>
      </c>
      <c r="G2724">
        <f>Skills!G2*IF(Skills!H2&gt;0,IF(Inputs!$B$39="pvp",MIN(Skills!I2,15),Skills!I2)/Skills!H2,1)</f>
        <v/>
      </c>
      <c r="H2724">
        <f>1-(1-Skills!J2/100)^Skills!K2</f>
        <v/>
      </c>
      <c r="I2724" t="inlineStr">
        <is>
          <t>1</t>
        </is>
      </c>
      <c r="J2724">
        <f>((Inputs!$B$6*(1+Inputs!$B$7/100))+(((Inputs!$B$12*(1+Inputs!$B$13/100))-(Inputs!$B$12*(1+Inputs!$B$13/100)))+0.25*(Inputs!$B$14-Inputs!$B$14))*(1+Inputs!$B$7/100))*(F2724/100)</f>
        <v/>
      </c>
      <c r="K2724">
        <f>J2724*(1+((Inputs!$B$12*(1+Inputs!$B$13/100))*0.01+Inputs!$B$14*0.0025)/100)*(1+Inputs!$B$15/100)*(1+Inputs!$B$16/100)*(5000/(6000+Inputs!$B$43*(1-(100*(1-(1-Inputs!$B$19/100)*(1-CHOOSE(ArtifactsInput!$N$40+1,5,6,7,8,9,10)/100)^(ArtifactsInput!$M$40-ArtifactsInput!$M$40)))/100)))*(1+(Inputs!$B$24+((C2753=TRUE)*(F2753-Calc!F31))+((C2740=TRUE)*(F2740-Calc!F18)))/100)*(1+(((1+IF(AND(ArtifactsInput!$M$36,IF(Inputs!$B$39="pvp",TRUE,AND(Inputs!$B$39&lt;&gt;"pvp",Inputs!$B$44&gt;0))),CHOOSE(ArtifactsInput!$N$36+1,8,9.6,11.2,12.8,14.4,16),0)/100)*(1+IF(AND(IF(ArtifactsInput!$M$32,FALSE,TRUE),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CRUEL_STAB",Inputs!$B$17+((C2750=TRUE)*(F2750-Calc!F28))+((IF(AND(Inputs!$B$39&lt;&gt;"pvp",Inputs!$B$44=0),1,IF(IF(Inputs!$B$39="pvp",15,Inputs!$B$44)-(B2767)&lt;=0,1,MAX(0,IF(Inputs!$B$39="pvp",15,Inputs!$B$44)-MAX(5,B2767))/(IF(Inputs!$B$39="pvp",15,Inputs!$B$44)-(B2767))))*(IF(AND(ArtifactsInput!$M$42,((Inputs!$B$9+((C2748=TRUE)*(F2748-Calc!F26))+B2756+(ArtifactsInput!$M$24-ArtifactsInput!$M$24)*CHOOSE(ArtifactsInput!$N$24+1,10,12,14,16,18,20)+IF(ArtifactsInput!$M$10,CHOOSE(ArtifactsInput!$N$10+1,15,18,21,24,27,30)*(IF(Inputs!$B$39="pvp",MIN(15,15)/15,IF(AND(Inputs!$B$39&lt;&gt;"pvp",Inputs!$B$44&gt;0),MIN(15,Inputs!$B$44)/(Inputs!$B$44),0))),0)))&gt;=100),MIN(100,((Inputs!$B$9+((C2748=TRUE)*(F2748-Calc!F26))+B2756+(ArtifactsInput!$M$24-ArtifactsInput!$M$24)*CHOOSE(ArtifactsInput!$N$24+1,10,12,14,16,18,20)+IF(ArtifactsInput!$M$10,CHOOSE(ArtifactsInput!$N$10+1,15,18,21,24,27,30)*(IF(Inputs!$B$39="pvp",MIN(15,15)/15,IF(AND(Inputs!$B$39&lt;&gt;"pvp",Inputs!$B$44&gt;0),MIN(15,Inputs!$B$44)/(Inputs!$B$44),0))),0)))-100),0))*CHOOSE(ArtifactsInput!$N$42+1,0.6,0.72,0.84,0.96,1.08,1.2))),Inputs!$B$18+((C2751=TRUE)*(F2751-Calc!F29))+(IF(AND(Inputs!$B$39&lt;&gt;"pvp",Inputs!$B$44=0),1,IF(IF(Inputs!$B$39="pvp",15,Inputs!$B$44)-(B2767)&lt;=0,1,MAX(0,IF(Inputs!$B$39="pvp",15,Inputs!$B$44)-MAX(5,B2767))/(IF(Inputs!$B$39="pvp",15,Inputs!$B$44)-(B2767))))*IF(AND(ArtifactsInput!$M$42,((Inputs!$B$9+((C2748=TRUE)*(F2748-Calc!F26))+B2756+(ArtifactsInput!$M$24-ArtifactsInput!$M$24)*CHOOSE(ArtifactsInput!$N$24+1,10,12,14,16,18,20)+IF(ArtifactsInput!$M$10,CHOOSE(ArtifactsInput!$N$10+1,15,18,21,24,27,30)*(IF(Inputs!$B$39="pvp",MIN(15,15)/15,IF(AND(Inputs!$B$39&lt;&gt;"pvp",Inputs!$B$44&gt;0),MIN(15,Inputs!$B$44)/(Inputs!$B$44),0))),0)))&gt;=100),CHOOSE(ArtifactsInput!$N$42+1,40,48,56,64,72,80),0))))/100)*(((1+(((C2744=TRUE)*F2744*IF(AND(Inputs!$B$39&lt;&gt;"pvp",Inputs!$B$44&gt;0),(((R2744-1)*MIN((Skills!Y22*(1+Inputs!$B$34/100)),(1/Q2744))+MIN((Skills!Y22*(1+Inputs!$B$34/100)),MAX(0,Inputs!$B$44-((R2744-1)*(1/Q2744)))))/Inputs!$B$44),IF(Inputs!$B$39="pvp",MIN((Skills!Y22*(1+Inputs!$B$34/100)),15)/15,MIN(1,(Skills!Y22*(1+Inputs!$B$34/100))/(1/Q2744)))))+((C2725=TRUE)*F2725*3)+((C2727=TRUE)*F2727*(1-EXP(-0.75*B2760*5)))+((C2746=TRUE)*(F2746-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2733=TRUE)*F2733*IF(AND(Inputs!$B$39&lt;&gt;"pvp",Inputs!$B$44&gt;0),(((R2733-1)*MIN((Skills!Y11*(1+Inputs!$B$34/100)),(1/Q2733))+MIN((Skills!Y11*(1+Inputs!$B$34/100)),MAX(0,Inputs!$B$44-((R2733-1)*(1/Q2733)))))/Inputs!$B$44),IF(Inputs!$B$39="pvp",MIN((Skills!Y11*(1+Inputs!$B$34/100)),15)/15,MIN(1,(Skills!Y11*(1+Inputs!$B$34/100))/(1/Q2733)))))/100)*(1+((C2738=TRUE)*F2738*IF(AND(Inputs!$B$39&lt;&gt;"pvp",Inputs!$B$44&gt;0),(((R2738-1)*MIN((Skills!Y16*(1+Inputs!$B$34/100)),(1/Q2738))+MIN((Skills!Y16*(1+Inputs!$B$34/100)),MAX(0,Inputs!$B$44-((R2738-1)*(1/Q2738)))))/Inputs!$B$44),IF(Inputs!$B$39="pvp",MIN((Skills!Y16*(1+Inputs!$B$34/100)),15)/15,MIN(1,(Skills!Y16*(1+Inputs!$B$34/100))/(1/Q2738)))))/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2758*I2724)</f>
        <v/>
      </c>
      <c r="L2724">
        <f>K2724*(MIN(Inputs!$B$22+((C2747=TRUE)*(F2747-Calc!F25)),(Inputs!$B$23+((C2752=TRUE)*(F2752-Calc!F30))+IF(ArtifactsInput!$M$15,CHOOSE(ArtifactsInput!$N$15+1,25,30,35,40,45,50)/100*(Inputs!$B$11-Inputs!$B$11),0)))/100+(Inputs!$B$23+((C2752=TRUE)*(F2752-Calc!F30))+IF(ArtifactsInput!$M$15,CHOOSE(ArtifactsInput!$N$15+1,25,30,35,40,45,50)/100*(Inputs!$B$11-Inputs!$B$11),0))/100)/2</f>
        <v/>
      </c>
      <c r="M2724">
        <f>L2724*(1+(Inputs!$B$10+((C2749=TRUE)*(F2749-Calc!F27))+B2763+(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2724">
        <f>L2724*(1-MIN((Inputs!$B$9+((C2748=TRUE)*(F2748-Calc!F26))+B2756+(ArtifactsInput!$M$24-ArtifactsInput!$M$24)*CHOOSE(ArtifactsInput!$N$24+1,10,12,14,16,18,20)+(IF(AND(Inputs!$B$39&lt;&gt;"pvp",Inputs!$B$44=0),1,IF(IF(Inputs!$B$39="pvp",15,Inputs!$B$44)-(B2767)&lt;=0,1,MAX(0,IF(Inputs!$B$39="pvp",15,Inputs!$B$44)-MAX(5,B2767))/(IF(Inputs!$B$39="pvp",15,Inputs!$B$44)-(B2767))))*IF(AND(ArtifactsInput!$M$42,((Inputs!$B$9+((C2748=TRUE)*(F2748-Calc!F26))+B2756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2724*(MIN((Inputs!$B$9+((C2748=TRUE)*(F2748-Calc!F26))+B2756+(ArtifactsInput!$M$24-ArtifactsInput!$M$24)*CHOOSE(ArtifactsInput!$N$24+1,10,12,14,16,18,20)+(IF(AND(Inputs!$B$39&lt;&gt;"pvp",Inputs!$B$44=0),1,IF(IF(Inputs!$B$39="pvp",15,Inputs!$B$44)-(B2767)&lt;=0,1,MAX(0,IF(Inputs!$B$39="pvp",15,Inputs!$B$44)-MAX(5,B2767))/(IF(Inputs!$B$39="pvp",15,Inputs!$B$44)-(B2767))))*IF(AND(ArtifactsInput!$M$42,((Inputs!$B$9+((C2748=TRUE)*(F2748-Calc!F26))+B2756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724">
        <f>(1-Summary!$B$11)*T2724+Summary!$B$11*V2724</f>
        <v/>
      </c>
      <c r="P2724">
        <f>IF(B2768=0,0,O2724/B2768)</f>
        <v/>
      </c>
      <c r="Q2724" t="n">
        <v>0</v>
      </c>
      <c r="R2724" t="n">
        <v>0</v>
      </c>
      <c r="S2724">
        <f>IFERROR(O2724/N2724,0)</f>
        <v/>
      </c>
      <c r="T2724">
        <f>IF(C2724,(Skills!G2*N2724*B2762)*IF(Inputs!$B$39="pvp",1,1+(Inputs!$B$20+0+Skills!P2+B2757+(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Hunt"),CHOOSE(ArtifactsInput!$N$35+1,15,18,21,24,27,30)*(1-EXP(-(0.2*B2760)*5)),0)+IF(AND(ArtifactsInput!$M$22,Inputs!$B$4&lt;&gt;"Chapter Hunt"),CHOOSE(ArtifactsInput!$N$22+1,10,12,14,16,18,20)*((0*(((0.15*B2760*5))^0/1)+1*(((0.15*B2760*5))^1/1)+2*(((0.15*B2760*5))^2/2)+3*(((0.15*B2760*5))^3/6)+4*(((0.15*B2760*5))^4/24)+5*(((0.15*B2760*5))^5/120))/((((0.15*B2760*5))^0/1)+(((0.15*B2760*5))^1/1)+(((0.15*B2760*5))^2/2)+(((0.15*B2760*5))^3/6)+(((0.15*B2760*5))^4/24)+(((0.15*B2760*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2724*(1-MIN(100,(Inputs!$B$9+((C2748=TRUE)*(F2748-Calc!F26))+B2756+(ArtifactsInput!$M$24-ArtifactsInput!$M$24)*CHOOSE(ArtifactsInput!$N$24+1,10,12,14,16,18,20)+(IF(AND(Inputs!$B$39&lt;&gt;"pvp",Inputs!$B$44=0),1,IF(IF(Inputs!$B$39="pvp",15,Inputs!$B$44)-(B2767)&lt;=0,1,MAX(0,IF(Inputs!$B$39="pvp",15,Inputs!$B$44)-MAX(5,B2767))/(IF(Inputs!$B$39="pvp",15,Inputs!$B$44)-(B2767))))*IF(AND(ArtifactsInput!$M$42,((Inputs!$B$9+((C2748=TRUE)*(F2748-Calc!F26))+B2756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2724*(MIN(100,(Inputs!$B$9+((C2748=TRUE)*(F2748-Calc!F26))+B2756+(ArtifactsInput!$M$24-ArtifactsInput!$M$24)*CHOOSE(ArtifactsInput!$N$24+1,10,12,14,16,18,20)+(IF(AND(Inputs!$B$39&lt;&gt;"pvp",Inputs!$B$44=0),1,IF(IF(Inputs!$B$39="pvp",15,Inputs!$B$44)-(B2767)&lt;=0,1,MAX(0,IF(Inputs!$B$39="pvp",15,Inputs!$B$44)-MAX(5,B2767))/(IF(Inputs!$B$39="pvp",15,Inputs!$B$44)-(B2767))))*IF(AND(ArtifactsInput!$M$42,((Inputs!$B$9+((C2748=TRUE)*(F2748-Calc!F26))+B2756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2724*(1-MIN(100,(Inputs!$B$9+((C2748=TRUE)*(F2748-Calc!F26))+B2756+(ArtifactsInput!$M$24-ArtifactsInput!$M$24)*CHOOSE(ArtifactsInput!$N$24+1,10,12,14,16,18,20)+(IF(AND(Inputs!$B$39&lt;&gt;"pvp",Inputs!$B$44=0),1,IF(IF(Inputs!$B$39="pvp",15,Inputs!$B$44)-(B2767)&lt;=0,1,MAX(0,IF(Inputs!$B$39="pvp",15,Inputs!$B$44)-MAX(5,B2767))/(IF(Inputs!$B$39="pvp",15,Inputs!$B$44)-(B2767))))*IF(AND(ArtifactsInput!$M$42,((Inputs!$B$9+((C2748=TRUE)*(F2748-Calc!F26))+B2756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2724*(MIN(100,(Inputs!$B$9+((C2748=TRUE)*(F2748-Calc!F26))+B2756+(ArtifactsInput!$M$24-ArtifactsInput!$M$24)*CHOOSE(ArtifactsInput!$N$24+1,10,12,14,16,18,20)+(IF(AND(Inputs!$B$39&lt;&gt;"pvp",Inputs!$B$44=0),1,IF(IF(Inputs!$B$39="pvp",15,Inputs!$B$44)-(B2767)&lt;=0,1,MAX(0,IF(Inputs!$B$39="pvp",15,Inputs!$B$44)-MAX(5,B2767))/(IF(Inputs!$B$39="pvp",15,Inputs!$B$44)-(B2767))))*IF(AND(ArtifactsInput!$M$42,((Inputs!$B$9+((C2748=TRUE)*(F2748-Calc!F26))+B2756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2724">
        <f>MAX(0,(Inputs!$B$3-100)*3)+Inputs!$B$28+Inputs!$B$29</f>
        <v/>
      </c>
      <c r="V2724">
        <f>IF(C2724,(Skills!G2*N2724*B2762)*IF(Inputs!$B$39="pvp",1,(1+(Inputs!$B$21+Skills!Q2+B2757+(IF(ArtifactsInput!$M$33,CHOOSE(ArtifactsInput!$N$33+1,30,36,42,48,54,60),0))+(IF(AND(ArtifactsInput!$M$35,Inputs!$B$4&lt;&gt;"Chapter Hunt"),CHOOSE(ArtifactsInput!$N$35+1,15,18,21,24,27,30)*(1-EXP(-(0.2*B2760)*5)),0)+IF(AND(ArtifactsInput!$M$22,Inputs!$B$4&lt;&gt;"Chapter Hunt"),CHOOSE(ArtifactsInput!$N$22+1,10,12,14,16,18,20)*((0*(((0.15*B2760*5))^0/1)+1*(((0.15*B2760*5))^1/1)+2*(((0.15*B2760*5))^2/2)+3*(((0.15*B2760*5))^3/6)+4*(((0.15*B2760*5))^4/24)+5*(((0.15*B2760*5))^5/120))/((((0.15*B2760*5))^0/1)+(((0.15*B2760*5))^1/1)+(((0.15*B2760*5))^2/2)+(((0.15*B2760*5))^3/6)+(((0.15*B2760*5))^4/24)+(((0.15*B2760*5))^5/120))),0)))/100)*(MIN((6+Inputs!$B$33),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725">
      <c r="A2725">
        <f>Skills!A3</f>
        <v/>
      </c>
      <c r="B2725">
        <f>Skills!B3</f>
        <v/>
      </c>
      <c r="C2725">
        <f>Inputs!$B$3&gt;=35</f>
        <v/>
      </c>
      <c r="D2725">
        <f>IF(Skills!C3=1,60+Inputs!$B$25+Inputs!$B$29,IF(Skills!C3=2,90+Inputs!$B$26+Inputs!$B$29,IF(Skills!C3=3,120+Inputs!$B$27+Inputs!$B$29,MAX(0,(Inputs!$B$3-100)*3)+Inputs!$B$28+Inputs!$B$29)))</f>
        <v/>
      </c>
      <c r="E2725">
        <f>INDEX(FactorTable!$B$2:$Y$301, MATCH(ROUND(MIN(300,MAX(1,D2725)),0), FactorTable!$A$2:$A$301,0), Skills!M3+1)</f>
        <v/>
      </c>
      <c r="F2725">
        <f>IF(Skills!N3=TRUE,(Skills!L3/10)*(E2725/1000),Skills!L3/10)+Skills!O3</f>
        <v/>
      </c>
      <c r="G2725">
        <f>Skills!G3*IF(Skills!H3&gt;0,IF(Inputs!$B$39="pvp",MIN(Skills!I3,15),Skills!I3)/Skills!H3,1)</f>
        <v/>
      </c>
      <c r="H2725">
        <f>1-(1-Skills!J3/100)^Skills!K3</f>
        <v/>
      </c>
      <c r="I2725" t="inlineStr">
        <is>
          <t>1</t>
        </is>
      </c>
      <c r="J2725" t="inlineStr"/>
      <c r="K2725" t="inlineStr"/>
      <c r="L2725" t="inlineStr"/>
      <c r="M2725" t="inlineStr"/>
      <c r="N2725" t="inlineStr"/>
      <c r="O2725">
        <f>(1-Summary!$B$11)*T2725+Summary!$B$11*V2725</f>
        <v/>
      </c>
      <c r="P2725">
        <f>IF(B2768=0,0,O2725/B2768)</f>
        <v/>
      </c>
      <c r="Q2725" t="n">
        <v>0</v>
      </c>
      <c r="R2725" t="n">
        <v>0</v>
      </c>
      <c r="S2725">
        <f>IFERROR(O2725/N2725,0)</f>
        <v/>
      </c>
      <c r="T2725" t="n">
        <v>0</v>
      </c>
      <c r="U2725">
        <f>INDEX(FactorTable!$B$2:$Y$301, MATCH(ROUND(MIN(300,MAX(1,U2724)),0), FactorTable!$A$2:$A$301,0), 22)</f>
        <v/>
      </c>
      <c r="V2725" t="n">
        <v>0</v>
      </c>
    </row>
    <row r="2726">
      <c r="A2726">
        <f>Skills!A4</f>
        <v/>
      </c>
      <c r="B2726">
        <f>Skills!B4</f>
        <v/>
      </c>
      <c r="C2726">
        <f>Inputs!$B$3&gt;=66</f>
        <v/>
      </c>
      <c r="D2726">
        <f>IF(Skills!C4=1,60+Inputs!$B$25+Inputs!$B$29,IF(Skills!C4=2,90+Inputs!$B$26+Inputs!$B$29,IF(Skills!C4=3,120+Inputs!$B$27+Inputs!$B$29,MAX(0,(Inputs!$B$3-100)*3)+Inputs!$B$28+Inputs!$B$29)))</f>
        <v/>
      </c>
      <c r="E2726">
        <f>INDEX(FactorTable!$B$2:$Y$301, MATCH(ROUND(MIN(300,MAX(1,D2726)),0), FactorTable!$A$2:$A$301,0), Skills!M4+1)</f>
        <v/>
      </c>
      <c r="F2726">
        <f>IF(Skills!N4=TRUE,(Skills!L4/10)*(E2726/1000),Skills!L4/10)+Skills!O4</f>
        <v/>
      </c>
      <c r="G2726">
        <f>Skills!G4*IF(Skills!H4&gt;0,IF(Inputs!$B$39="pvp",MIN(Skills!I4,15),Skills!I4)/Skills!H4,1)</f>
        <v/>
      </c>
      <c r="H2726">
        <f>1-(1-Skills!J4/100)^Skills!K4</f>
        <v/>
      </c>
      <c r="I2726" t="inlineStr">
        <is>
          <t>1</t>
        </is>
      </c>
      <c r="J2726">
        <f>((Inputs!$B$6*(1+Inputs!$B$7/100))+(((Inputs!$B$12*(1+Inputs!$B$13/100))-(Inputs!$B$12*(1+Inputs!$B$13/100)))+0.25*(Inputs!$B$14-Inputs!$B$14))*(1+Inputs!$B$7/100))*(F2726/100)</f>
        <v/>
      </c>
      <c r="K2726">
        <f>J2726*(1+((Inputs!$B$12*(1+Inputs!$B$13/100))*0.01+Inputs!$B$14*0.0025)/100)*(1+Inputs!$B$15/100)*(1+Inputs!$B$16/100)*(5000/(6000+Inputs!$B$43*(1-(100*(1-(1-Inputs!$B$19/100)*(1-CHOOSE(ArtifactsInput!$N$40+1,5,6,7,8,9,10)/100)^(ArtifactsInput!$M$40-ArtifactsInput!$M$40)))/100)))*(1+(Inputs!$B$24+((C2753=TRUE)*(F2753-Calc!F31))+((C2740=TRUE)*(F2740-Calc!F18)))/100)*(1+(((1+IF(AND(ArtifactsInput!$M$36,IF(Inputs!$B$39="pvp",TRUE,AND(Inputs!$B$39&lt;&gt;"pvp",Inputs!$B$44&gt;0))),CHOOSE(ArtifactsInput!$N$36+1,8,9.6,11.2,12.8,14.4,16),0)/100)*(1+IF(AND(IF(ArtifactsInput!$M$32,FALSE,TRUE),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4="CRUEL_STAB",Inputs!$B$17+((C2750=TRUE)*(F2750-Calc!F28))+((IF(AND(Inputs!$B$39&lt;&gt;"pvp",Inputs!$B$44=0),1,IF(IF(Inputs!$B$39="pvp",15,Inputs!$B$44)-(B2767)&lt;=0,1,MAX(0,IF(Inputs!$B$39="pvp",15,Inputs!$B$44)-MAX(5,B2767))/(IF(Inputs!$B$39="pvp",15,Inputs!$B$44)-(B2767))))*(IF(AND(ArtifactsInput!$M$42,((Inputs!$B$9+((C2748=TRUE)*(F2748-Calc!F26))+B2756+(ArtifactsInput!$M$24-ArtifactsInput!$M$24)*CHOOSE(ArtifactsInput!$N$24+1,10,12,14,16,18,20)+IF(ArtifactsInput!$M$10,CHOOSE(ArtifactsInput!$N$10+1,15,18,21,24,27,30)*(IF(Inputs!$B$39="pvp",MIN(15,15)/15,IF(AND(Inputs!$B$39&lt;&gt;"pvp",Inputs!$B$44&gt;0),MIN(15,Inputs!$B$44)/(Inputs!$B$44),0))),0)))&gt;=100),MIN(100,((Inputs!$B$9+((C2748=TRUE)*(F2748-Calc!F26))+B2756+(ArtifactsInput!$M$24-ArtifactsInput!$M$24)*CHOOSE(ArtifactsInput!$N$24+1,10,12,14,16,18,20)+IF(ArtifactsInput!$M$10,CHOOSE(ArtifactsInput!$N$10+1,15,18,21,24,27,30)*(IF(Inputs!$B$39="pvp",MIN(15,15)/15,IF(AND(Inputs!$B$39&lt;&gt;"pvp",Inputs!$B$44&gt;0),MIN(15,Inputs!$B$44)/(Inputs!$B$44),0))),0)))-100),0))*CHOOSE(ArtifactsInput!$N$42+1,0.6,0.72,0.84,0.96,1.08,1.2))),Inputs!$B$18+((C2751=TRUE)*(F2751-Calc!F29))+(IF(AND(Inputs!$B$39&lt;&gt;"pvp",Inputs!$B$44=0),1,IF(IF(Inputs!$B$39="pvp",15,Inputs!$B$44)-(B2767)&lt;=0,1,MAX(0,IF(Inputs!$B$39="pvp",15,Inputs!$B$44)-MAX(5,B2767))/(IF(Inputs!$B$39="pvp",15,Inputs!$B$44)-(B2767))))*IF(AND(ArtifactsInput!$M$42,((Inputs!$B$9+((C2748=TRUE)*(F2748-Calc!F26))+B2756+(ArtifactsInput!$M$24-ArtifactsInput!$M$24)*CHOOSE(ArtifactsInput!$N$24+1,10,12,14,16,18,20)+IF(ArtifactsInput!$M$10,CHOOSE(ArtifactsInput!$N$10+1,15,18,21,24,27,30)*(IF(Inputs!$B$39="pvp",MIN(15,15)/15,IF(AND(Inputs!$B$39&lt;&gt;"pvp",Inputs!$B$44&gt;0),MIN(15,Inputs!$B$44)/(Inputs!$B$44),0))),0)))&gt;=100),CHOOSE(ArtifactsInput!$N$42+1,40,48,56,64,72,80),0))))/100)*(((1+(((C2744=TRUE)*F2744*IF(AND(Inputs!$B$39&lt;&gt;"pvp",Inputs!$B$44&gt;0),(((R2744-1)*MIN((Skills!Y22*(1+Inputs!$B$34/100)),(1/Q2744))+MIN((Skills!Y22*(1+Inputs!$B$34/100)),MAX(0,Inputs!$B$44-((R2744-1)*(1/Q2744)))))/Inputs!$B$44),IF(Inputs!$B$39="pvp",MIN((Skills!Y22*(1+Inputs!$B$34/100)),15)/15,MIN(1,(Skills!Y22*(1+Inputs!$B$34/100))/(1/Q2744)))))+((C2725=TRUE)*F2725*3)+((C2727=TRUE)*F2727*(1-EXP(-0.75*B2760*5)))+((C2746=TRUE)*(F2746-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2733=TRUE)*F2733*IF(AND(Inputs!$B$39&lt;&gt;"pvp",Inputs!$B$44&gt;0),(((R2733-1)*MIN((Skills!Y11*(1+Inputs!$B$34/100)),(1/Q2733))+MIN((Skills!Y11*(1+Inputs!$B$34/100)),MAX(0,Inputs!$B$44-((R2733-1)*(1/Q2733)))))/Inputs!$B$44),IF(Inputs!$B$39="pvp",MIN((Skills!Y11*(1+Inputs!$B$34/100)),15)/15,MIN(1,(Skills!Y11*(1+Inputs!$B$34/100))/(1/Q2733)))))/100)*(1+((C2738=TRUE)*F2738*IF(AND(Inputs!$B$39&lt;&gt;"pvp",Inputs!$B$44&gt;0),(((R2738-1)*MIN((Skills!Y16*(1+Inputs!$B$34/100)),(1/Q2738))+MIN((Skills!Y16*(1+Inputs!$B$34/100)),MAX(0,Inputs!$B$44-((R2738-1)*(1/Q2738)))))/Inputs!$B$44),IF(Inputs!$B$39="pvp",MIN((Skills!Y16*(1+Inputs!$B$34/100)),15)/15,MIN(1,(Skills!Y16*(1+Inputs!$B$34/100))/(1/Q2738)))))/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2758*I2726)</f>
        <v/>
      </c>
      <c r="L2726">
        <f>K2726*(MIN(Inputs!$B$22+((C2747=TRUE)*(F2747-Calc!F25)),(Inputs!$B$23+((C2752=TRUE)*(F2752-Calc!F30))+IF(ArtifactsInput!$M$15,CHOOSE(ArtifactsInput!$N$15+1,25,30,35,40,45,50)/100*(Inputs!$B$11-Inputs!$B$11),0)))/100+(Inputs!$B$23+((C2752=TRUE)*(F2752-Calc!F30))+IF(ArtifactsInput!$M$15,CHOOSE(ArtifactsInput!$N$15+1,25,30,35,40,45,50)/100*(Inputs!$B$11-Inputs!$B$11),0))/100)/2</f>
        <v/>
      </c>
      <c r="M2726">
        <f>L2726*(1+(Inputs!$B$10+((C2749=TRUE)*(F2749-Calc!F27))+B2763+(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2726">
        <f>L2726*(1-MIN((Inputs!$B$9+((C2748=TRUE)*(F2748-Calc!F26))+B2756+(ArtifactsInput!$M$24-ArtifactsInput!$M$24)*CHOOSE(ArtifactsInput!$N$24+1,10,12,14,16,18,20)+(IF(AND(Inputs!$B$39&lt;&gt;"pvp",Inputs!$B$44=0),1,IF(IF(Inputs!$B$39="pvp",15,Inputs!$B$44)-(B2767)&lt;=0,1,MAX(0,IF(Inputs!$B$39="pvp",15,Inputs!$B$44)-MAX(5,B2767))/(IF(Inputs!$B$39="pvp",15,Inputs!$B$44)-(B2767))))*IF(AND(ArtifactsInput!$M$42,((Inputs!$B$9+((C2748=TRUE)*(F2748-Calc!F26))+B2756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2726*(MIN((Inputs!$B$9+((C2748=TRUE)*(F2748-Calc!F26))+B2756+(ArtifactsInput!$M$24-ArtifactsInput!$M$24)*CHOOSE(ArtifactsInput!$N$24+1,10,12,14,16,18,20)+(IF(AND(Inputs!$B$39&lt;&gt;"pvp",Inputs!$B$44=0),1,IF(IF(Inputs!$B$39="pvp",15,Inputs!$B$44)-(B2767)&lt;=0,1,MAX(0,IF(Inputs!$B$39="pvp",15,Inputs!$B$44)-MAX(5,B2767))/(IF(Inputs!$B$39="pvp",15,Inputs!$B$44)-(B2767))))*IF(AND(ArtifactsInput!$M$42,((Inputs!$B$9+((C2748=TRUE)*(F2748-Calc!F26))+B2756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726">
        <f>(1-Summary!$B$11)*T2726+Summary!$B$11*V2726</f>
        <v/>
      </c>
      <c r="P2726">
        <f>IF(B2768=0,0,O2726/B2768)</f>
        <v/>
      </c>
      <c r="Q2726">
        <f>IFERROR(1/IF(Inputs!$B$39="pvp",15,MAX(0.1,Skills!D4-IF(TRUE=TRUE,Inputs!$B$32,0))),0)</f>
        <v/>
      </c>
      <c r="R2726">
        <f>IF(AND(Inputs!$B$39&lt;&gt;"pvp",Inputs!$B$44&gt;0),IF(MAX(0,Inputs!$B$44-B2767)&lt;=0,0,(INT(MAX(0,Inputs!$B$44-B2767)/IF(Inputs!$B$39="pvp",15,MAX(0.1,Skills!D4-IF(TRUE=TRUE,Inputs!$B$32,0))))+1)),0)</f>
        <v/>
      </c>
      <c r="S2726">
        <f>IFERROR(O2726/N2726,0)</f>
        <v/>
      </c>
      <c r="T2726">
        <f>IF(C2726,(H2726*N2726*IF(AND(Inputs!$B$39&lt;&gt;"pvp",Inputs!$B$44&gt;0),((Skills!G4*((R2726-1)*IF(Skills!H4&gt;0,Skills!I4/Skills!H4,1)+IF(Skills!H4&gt;0,MIN(Skills!I4,MAX(0,MAX(0,Inputs!$B$44-B2767)-((R2726-1)*IF(Inputs!$B$39="pvp",15,MAX(0.1,Skills!D4-IF(TRUE=TRUE,Inputs!$B$32,0))))))/Skills!H4,1)))/Inputs!$B$44),G2726*Q2726))*IF(Inputs!$B$39="pvp",1,1+(Inputs!$B$20+0+Skills!P4+B2757+(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Hunt"),CHOOSE(ArtifactsInput!$N$35+1,15,18,21,24,27,30)*(1-EXP(-(0.2*B2760)*5)),0)+IF(AND(ArtifactsInput!$M$22,Inputs!$B$4&lt;&gt;"Chapter Hunt"),CHOOSE(ArtifactsInput!$N$22+1,10,12,14,16,18,20)*((0*(((0.15*B2760*5))^0/1)+1*(((0.15*B2760*5))^1/1)+2*(((0.15*B2760*5))^2/2)+3*(((0.15*B2760*5))^3/6)+4*(((0.15*B2760*5))^4/24)+5*(((0.15*B2760*5))^5/120))/((((0.15*B2760*5))^0/1)+(((0.15*B2760*5))^1/1)+(((0.15*B2760*5))^2/2)+(((0.15*B2760*5))^3/6)+(((0.15*B2760*5))^4/24)+(((0.15*B2760*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2726*(1-MIN(100,(Inputs!$B$9+((C2748=TRUE)*(F2748-Calc!F26))+B2756+(ArtifactsInput!$M$24-ArtifactsInput!$M$24)*CHOOSE(ArtifactsInput!$N$24+1,10,12,14,16,18,20)+(IF(AND(Inputs!$B$39&lt;&gt;"pvp",Inputs!$B$44=0),1,IF(IF(Inputs!$B$39="pvp",15,Inputs!$B$44)-(B2767)&lt;=0,1,MAX(0,IF(Inputs!$B$39="pvp",15,Inputs!$B$44)-MAX(5,B2767))/(IF(Inputs!$B$39="pvp",15,Inputs!$B$44)-(B2767))))*IF(AND(ArtifactsInput!$M$42,((Inputs!$B$9+((C2748=TRUE)*(F2748-Calc!F26))+B2756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2726*(MIN(100,(Inputs!$B$9+((C2748=TRUE)*(F2748-Calc!F26))+B2756+(ArtifactsInput!$M$24-ArtifactsInput!$M$24)*CHOOSE(ArtifactsInput!$N$24+1,10,12,14,16,18,20)+(IF(AND(Inputs!$B$39&lt;&gt;"pvp",Inputs!$B$44=0),1,IF(IF(Inputs!$B$39="pvp",15,Inputs!$B$44)-(B2767)&lt;=0,1,MAX(0,IF(Inputs!$B$39="pvp",15,Inputs!$B$44)-MAX(5,B2767))/(IF(Inputs!$B$39="pvp",15,Inputs!$B$44)-(B2767))))*IF(AND(ArtifactsInput!$M$42,((Inputs!$B$9+((C2748=TRUE)*(F2748-Calc!F26))+B2756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2726*(1-MIN(100,(Inputs!$B$9+((C2748=TRUE)*(F2748-Calc!F26))+B2756+(ArtifactsInput!$M$24-ArtifactsInput!$M$24)*CHOOSE(ArtifactsInput!$N$24+1,10,12,14,16,18,20)+(IF(AND(Inputs!$B$39&lt;&gt;"pvp",Inputs!$B$44=0),1,IF(IF(Inputs!$B$39="pvp",15,Inputs!$B$44)-(B2767)&lt;=0,1,MAX(0,IF(Inputs!$B$39="pvp",15,Inputs!$B$44)-MAX(5,B2767))/(IF(Inputs!$B$39="pvp",15,Inputs!$B$44)-(B2767))))*IF(AND(ArtifactsInput!$M$42,((Inputs!$B$9+((C2748=TRUE)*(F2748-Calc!F26))+B2756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2726*(MIN(100,(Inputs!$B$9+((C2748=TRUE)*(F2748-Calc!F26))+B2756+(ArtifactsInput!$M$24-ArtifactsInput!$M$24)*CHOOSE(ArtifactsInput!$N$24+1,10,12,14,16,18,20)+(IF(AND(Inputs!$B$39&lt;&gt;"pvp",Inputs!$B$44=0),1,IF(IF(Inputs!$B$39="pvp",15,Inputs!$B$44)-(B2767)&lt;=0,1,MAX(0,IF(Inputs!$B$39="pvp",15,Inputs!$B$44)-MAX(5,B2767))/(IF(Inputs!$B$39="pvp",15,Inputs!$B$44)-(B2767))))*IF(AND(ArtifactsInput!$M$42,((Inputs!$B$9+((C2748=TRUE)*(F2748-Calc!F26))+B2756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2726">
        <f>290*U2725/1000</f>
        <v/>
      </c>
      <c r="V2726">
        <f>IF(C2726,(H2726*N2726*IF(AND(Inputs!$B$39&lt;&gt;"pvp",Inputs!$B$44&gt;0),((Skills!G4*((R2726-1)*IF(Skills!H4&gt;0,Skills!I4/Skills!H4,1)+IF(Skills!H4&gt;0,MIN(Skills!I4,MAX(0,MAX(0,Inputs!$B$44-B2767)-((R2726-1)*IF(Inputs!$B$39="pvp",15,MAX(0.1,Skills!D4-IF(TRUE=TRUE,Inputs!$B$32,0))))))/Skills!H4,1)))/Inputs!$B$44),G2726*Q2726))*IF(Inputs!$B$39="pvp",1,(1+(Inputs!$B$21+Skills!Q4+B2757+(IF(ArtifactsInput!$M$33,CHOOSE(ArtifactsInput!$N$33+1,30,36,42,48,54,60),0))+(IF(AND(ArtifactsInput!$M$35,Inputs!$B$4&lt;&gt;"Chapter Hunt"),CHOOSE(ArtifactsInput!$N$35+1,15,18,21,24,27,30)*(1-EXP(-(0.2*B2760)*5)),0)+IF(AND(ArtifactsInput!$M$22,Inputs!$B$4&lt;&gt;"Chapter Hunt"),CHOOSE(ArtifactsInput!$N$22+1,10,12,14,16,18,20)*((0*(((0.15*B2760*5))^0/1)+1*(((0.15*B2760*5))^1/1)+2*(((0.15*B2760*5))^2/2)+3*(((0.15*B2760*5))^3/6)+4*(((0.15*B2760*5))^4/24)+5*(((0.15*B2760*5))^5/120))/((((0.15*B2760*5))^0/1)+(((0.15*B2760*5))^1/1)+(((0.15*B2760*5))^2/2)+(((0.15*B2760*5))^3/6)+(((0.15*B2760*5))^4/24)+(((0.15*B2760*5))^5/120))),0)))/100)*(MIN(MIN(10,IF(Inputs!$B$3&gt;=75,0.75,0.5)*B2760*(1/Q2726)),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727">
      <c r="A2727">
        <f>Skills!A5</f>
        <v/>
      </c>
      <c r="B2727">
        <f>Skills!B5</f>
        <v/>
      </c>
      <c r="C2727">
        <f>Inputs!$B$3&gt;=75</f>
        <v/>
      </c>
      <c r="D2727">
        <f>IF(Skills!C5=1,60+Inputs!$B$25+Inputs!$B$29,IF(Skills!C5=2,90+Inputs!$B$26+Inputs!$B$29,IF(Skills!C5=3,120+Inputs!$B$27+Inputs!$B$29,MAX(0,(Inputs!$B$3-100)*3)+Inputs!$B$28+Inputs!$B$29)))</f>
        <v/>
      </c>
      <c r="E2727">
        <f>INDEX(FactorTable!$B$2:$Y$301, MATCH(ROUND(MIN(300,MAX(1,D2727)),0), FactorTable!$A$2:$A$301,0), Skills!M5+1)</f>
        <v/>
      </c>
      <c r="F2727">
        <f>IF(Skills!N5=TRUE,(Skills!L5/10)*(E2727/1000),Skills!L5/10)+Skills!O5</f>
        <v/>
      </c>
      <c r="G2727">
        <f>Skills!G5*IF(Skills!H5&gt;0,IF(Inputs!$B$39="pvp",MIN(Skills!I5,15),Skills!I5)/Skills!H5,1)</f>
        <v/>
      </c>
      <c r="H2727">
        <f>1-(1-Skills!J5/100)^Skills!K5</f>
        <v/>
      </c>
      <c r="I2727" t="inlineStr">
        <is>
          <t>1</t>
        </is>
      </c>
      <c r="J2727" t="inlineStr"/>
      <c r="K2727" t="inlineStr"/>
      <c r="L2727" t="inlineStr"/>
      <c r="M2727" t="inlineStr"/>
      <c r="N2727" t="inlineStr"/>
      <c r="O2727">
        <f>(1-Summary!$B$11)*T2727+Summary!$B$11*V2727</f>
        <v/>
      </c>
      <c r="P2727">
        <f>IF(B2768=0,0,O2727/B2768)</f>
        <v/>
      </c>
      <c r="Q2727" t="n">
        <v>0</v>
      </c>
      <c r="R2727" t="n">
        <v>0</v>
      </c>
      <c r="S2727">
        <f>IFERROR(O2727/N2727,0)</f>
        <v/>
      </c>
      <c r="T2727" t="n">
        <v>0</v>
      </c>
      <c r="V2727" t="n">
        <v>0</v>
      </c>
    </row>
    <row r="2728">
      <c r="A2728">
        <f>Skills!A6</f>
        <v/>
      </c>
      <c r="B2728">
        <f>Skills!B6</f>
        <v/>
      </c>
      <c r="C2728">
        <f>Inputs!$B$3&gt;=63</f>
        <v/>
      </c>
      <c r="D2728">
        <f>IF(Skills!C6=1,60+Inputs!$B$25+Inputs!$B$29,IF(Skills!C6=2,90+Inputs!$B$26+Inputs!$B$29,IF(Skills!C6=3,120+Inputs!$B$27+Inputs!$B$29,MAX(0,(Inputs!$B$3-100)*3)+Inputs!$B$28+Inputs!$B$29)))</f>
        <v/>
      </c>
      <c r="E2728">
        <f>INDEX(FactorTable!$B$2:$Y$301, MATCH(ROUND(MIN(300,MAX(1,D2728)),0), FactorTable!$A$2:$A$301,0), Skills!M6+1)</f>
        <v/>
      </c>
      <c r="F2728">
        <f>IF(Skills!N6=TRUE,(Skills!L6/10)*(E2728/1000),Skills!L6/10)+Skills!O6</f>
        <v/>
      </c>
      <c r="G2728">
        <f>Skills!G6*IF(Skills!H6&gt;0,IF(Inputs!$B$39="pvp",MIN(Skills!I6,15),Skills!I6)/Skills!H6,1)</f>
        <v/>
      </c>
      <c r="H2728">
        <f>1-(1-Skills!J6/100)^Skills!K6</f>
        <v/>
      </c>
      <c r="I2728" t="inlineStr">
        <is>
          <t>1</t>
        </is>
      </c>
      <c r="J2728">
        <f>((Inputs!$B$6*(1+Inputs!$B$7/100))+(((Inputs!$B$12*(1+Inputs!$B$13/100))-(Inputs!$B$12*(1+Inputs!$B$13/100)))+0.25*(Inputs!$B$14-Inputs!$B$14))*(1+Inputs!$B$7/100))*(F2728/100)</f>
        <v/>
      </c>
      <c r="K2728">
        <f>J2728*(1+((Inputs!$B$12*(1+Inputs!$B$13/100))*0.01+Inputs!$B$14*0.0025)/100)*(1+Inputs!$B$15/100)*(1+Inputs!$B$16/100)*(5000/(6000+Inputs!$B$43*(1-(100*(1-(1-Inputs!$B$19/100)*(1-CHOOSE(ArtifactsInput!$N$40+1,5,6,7,8,9,10)/100)^(ArtifactsInput!$M$40-ArtifactsInput!$M$40)))/100)))*(1+(Inputs!$B$24+((C2753=TRUE)*(F2753-Calc!F31))+((C2740=TRUE)*(F2740-Calc!F18)))/100)*(1+(((1+IF(AND(ArtifactsInput!$M$36,IF(Inputs!$B$39="pvp",TRUE,AND(Inputs!$B$39&lt;&gt;"pvp",Inputs!$B$44&gt;0))),CHOOSE(ArtifactsInput!$N$36+1,8,9.6,11.2,12.8,14.4,16),0)/100)*(1+IF(AND(IF(ArtifactsInput!$M$32,FALSE,TRUE),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+2.6666666666666665*IF(C2741=TRUE,F2741,0)/100)*(1+(IF(Skills!A6="CRUEL_STAB",Inputs!$B$17+((C2750=TRUE)*(F2750-Calc!F28))+((IF(AND(Inputs!$B$39&lt;&gt;"pvp",Inputs!$B$44=0),1,IF(IF(Inputs!$B$39="pvp",15,Inputs!$B$44)-(B2767)&lt;=0,1,MAX(0,IF(Inputs!$B$39="pvp",15,Inputs!$B$44)-MAX(5,B2767))/(IF(Inputs!$B$39="pvp",15,Inputs!$B$44)-(B2767))))*(IF(AND(ArtifactsInput!$M$42,((Inputs!$B$9+((C2748=TRUE)*(F2748-Calc!F26))+B2756+(ArtifactsInput!$M$24-ArtifactsInput!$M$24)*CHOOSE(ArtifactsInput!$N$24+1,10,12,14,16,18,20)+IF(ArtifactsInput!$M$10,CHOOSE(ArtifactsInput!$N$10+1,15,18,21,24,27,30)*(IF(Inputs!$B$39="pvp",MIN(15,15)/15,IF(AND(Inputs!$B$39&lt;&gt;"pvp",Inputs!$B$44&gt;0),MIN(15,Inputs!$B$44)/(Inputs!$B$44),0))),0)))&gt;=100),MIN(100,((Inputs!$B$9+((C2748=TRUE)*(F2748-Calc!F26))+B2756+(ArtifactsInput!$M$24-ArtifactsInput!$M$24)*CHOOSE(ArtifactsInput!$N$24+1,10,12,14,16,18,20)+IF(ArtifactsInput!$M$10,CHOOSE(ArtifactsInput!$N$10+1,15,18,21,24,27,30)*(IF(Inputs!$B$39="pvp",MIN(15,15)/15,IF(AND(Inputs!$B$39&lt;&gt;"pvp",Inputs!$B$44&gt;0),MIN(15,Inputs!$B$44)/(Inputs!$B$44),0))),0)))-100),0))*CHOOSE(ArtifactsInput!$N$42+1,0.6,0.72,0.84,0.96,1.08,1.2))),Inputs!$B$18+((C2751=TRUE)*(F2751-Calc!F29))+(IF(AND(Inputs!$B$39&lt;&gt;"pvp",Inputs!$B$44=0),1,IF(IF(Inputs!$B$39="pvp",15,Inputs!$B$44)-(B2767)&lt;=0,1,MAX(0,IF(Inputs!$B$39="pvp",15,Inputs!$B$44)-MAX(5,B2767))/(IF(Inputs!$B$39="pvp",15,Inputs!$B$44)-(B2767))))*IF(AND(ArtifactsInput!$M$42,((Inputs!$B$9+((C2748=TRUE)*(F2748-Calc!F26))+B2756+(ArtifactsInput!$M$24-ArtifactsInput!$M$24)*CHOOSE(ArtifactsInput!$N$24+1,10,12,14,16,18,20)+IF(ArtifactsInput!$M$10,CHOOSE(ArtifactsInput!$N$10+1,15,18,21,24,27,30)*(IF(Inputs!$B$39="pvp",MIN(15,15)/15,IF(AND(Inputs!$B$39&lt;&gt;"pvp",Inputs!$B$44&gt;0),MIN(15,Inputs!$B$44)/(Inputs!$B$44),0))),0)))&gt;=100),CHOOSE(ArtifactsInput!$N$42+1,40,48,56,64,72,80),0))))/100)*(((1+(((C2744=TRUE)*F2744*IF(AND(Inputs!$B$39&lt;&gt;"pvp",Inputs!$B$44&gt;0),(((R2744-1)*MIN((Skills!Y22*(1+Inputs!$B$34/100)),(1/Q2744))+MIN((Skills!Y22*(1+Inputs!$B$34/100)),MAX(0,Inputs!$B$44-((R2744-1)*(1/Q2744)))))/Inputs!$B$44),IF(Inputs!$B$39="pvp",MIN((Skills!Y22*(1+Inputs!$B$34/100)),15)/15,MIN(1,(Skills!Y22*(1+Inputs!$B$34/100))/(1/Q2744)))))+((C2725=TRUE)*F2725*3)+((C2727=TRUE)*F2727*(1-EXP(-0.75*B2760*5)))+((C2746=TRUE)*(F2746-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2733=TRUE)*F2733*IF(AND(Inputs!$B$39&lt;&gt;"pvp",Inputs!$B$44&gt;0),(((R2733-1)*MIN((Skills!Y11*(1+Inputs!$B$34/100)),(1/Q2733))+MIN((Skills!Y11*(1+Inputs!$B$34/100)),MAX(0,Inputs!$B$44-((R2733-1)*(1/Q2733)))))/Inputs!$B$44),IF(Inputs!$B$39="pvp",MIN((Skills!Y11*(1+Inputs!$B$34/100)),15)/15,MIN(1,(Skills!Y11*(1+Inputs!$B$34/100))/(1/Q2733)))))/100)*(1+((C2738=TRUE)*F2738*IF(AND(Inputs!$B$39&lt;&gt;"pvp",Inputs!$B$44&gt;0),(((R2738-1)*MIN((Skills!Y16*(1+Inputs!$B$34/100)),(1/Q2738))+MIN((Skills!Y16*(1+Inputs!$B$34/100)),MAX(0,Inputs!$B$44-((R2738-1)*(1/Q2738)))))/Inputs!$B$44),IF(Inputs!$B$39="pvp",MIN((Skills!Y16*(1+Inputs!$B$34/100)),15)/15,MIN(1,(Skills!Y16*(1+Inputs!$B$34/100))/(1/Q2738)))))/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2758*I2728)</f>
        <v/>
      </c>
      <c r="L2728">
        <f>K2728*(MIN(Inputs!$B$22+((C2747=TRUE)*(F2747-Calc!F25)),(Inputs!$B$23+((C2752=TRUE)*(F2752-Calc!F30))+IF(ArtifactsInput!$M$15,CHOOSE(ArtifactsInput!$N$15+1,25,30,35,40,45,50)/100*(Inputs!$B$11-Inputs!$B$11),0)))/100+(Inputs!$B$23+((C2752=TRUE)*(F2752-Calc!F30))+IF(ArtifactsInput!$M$15,CHOOSE(ArtifactsInput!$N$15+1,25,30,35,40,45,50)/100*(Inputs!$B$11-Inputs!$B$11),0))/100)/2</f>
        <v/>
      </c>
      <c r="M2728">
        <f>L2728*(1+(Inputs!$B$10+((C2749=TRUE)*(F2749-Calc!F27))+B2763+(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2728">
        <f>L2728*(1-MIN((Inputs!$B$9+((C2748=TRUE)*(F2748-Calc!F26))+B2756+(ArtifactsInput!$M$24-ArtifactsInput!$M$24)*CHOOSE(ArtifactsInput!$N$24+1,10,12,14,16,18,20)+(IF(AND(Inputs!$B$39&lt;&gt;"pvp",Inputs!$B$44=0),1,IF(IF(Inputs!$B$39="pvp",15,Inputs!$B$44)-(B2767)&lt;=0,1,MAX(0,IF(Inputs!$B$39="pvp",15,Inputs!$B$44)-MAX(5,B2767))/(IF(Inputs!$B$39="pvp",15,Inputs!$B$44)-(B2767))))*IF(AND(ArtifactsInput!$M$42,((Inputs!$B$9+((C2748=TRUE)*(F2748-Calc!F26))+B2756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2728*(MIN((Inputs!$B$9+((C2748=TRUE)*(F2748-Calc!F26))+B2756+(ArtifactsInput!$M$24-ArtifactsInput!$M$24)*CHOOSE(ArtifactsInput!$N$24+1,10,12,14,16,18,20)+(IF(AND(Inputs!$B$39&lt;&gt;"pvp",Inputs!$B$44=0),1,IF(IF(Inputs!$B$39="pvp",15,Inputs!$B$44)-(B2767)&lt;=0,1,MAX(0,IF(Inputs!$B$39="pvp",15,Inputs!$B$44)-MAX(5,B2767))/(IF(Inputs!$B$39="pvp",15,Inputs!$B$44)-(B2767))))*IF(AND(ArtifactsInput!$M$42,((Inputs!$B$9+((C2748=TRUE)*(F2748-Calc!F26))+B2756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728">
        <f>(1-Summary!$B$11)*T2728+Summary!$B$11*V2728</f>
        <v/>
      </c>
      <c r="P2728">
        <f>IF(B2768=0,0,O2728/B2768)</f>
        <v/>
      </c>
      <c r="Q2728">
        <f>IFERROR(1/IF(Inputs!$B$39="pvp",15,MAX(0.1,Skills!D6-IF(TRUE=TRUE,Inputs!$B$32,0))),0)</f>
        <v/>
      </c>
      <c r="R2728">
        <f>IF(AND(Inputs!$B$39&lt;&gt;"pvp",Inputs!$B$44&gt;0),IF(MAX(0,Inputs!$B$44-B2767)&lt;=0,0,(INT(MAX(0,Inputs!$B$44-B2767)/IF(Inputs!$B$39="pvp",15,MAX(0.1,Skills!D6-IF(TRUE=TRUE,Inputs!$B$32,0))))+1)),0)</f>
        <v/>
      </c>
      <c r="S2728">
        <f>IFERROR(O2728/N2728,0)</f>
        <v/>
      </c>
      <c r="T2728">
        <f>IF(C2728,(H2728*N2728*IF(AND(Inputs!$B$39&lt;&gt;"pvp",Inputs!$B$44&gt;0),((Skills!G6*((R2728-1)*IF(Skills!H6&gt;0,Skills!I6/Skills!H6,1)+IF(Skills!H6&gt;0,MIN(Skills!I6,MAX(0,MAX(0,Inputs!$B$44-B2767)-((R2728-1)*IF(Inputs!$B$39="pvp",15,MAX(0.1,Skills!D6-IF(TRUE=TRUE,Inputs!$B$32,0))))))/Skills!H6,1)))/Inputs!$B$44),G2728*Q2728))*IF(Inputs!$B$39="pvp",1,1+(Inputs!$B$20+0+Skills!P6+B2757+(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Hunt"),CHOOSE(ArtifactsInput!$N$35+1,15,18,21,24,27,30)*(1-EXP(-(0.2*B2760)*5)),0)+IF(AND(ArtifactsInput!$M$22,Inputs!$B$4&lt;&gt;"Chapter Hunt"),CHOOSE(ArtifactsInput!$N$22+1,10,12,14,16,18,20)*((0*(((0.15*B2760*5))^0/1)+1*(((0.15*B2760*5))^1/1)+2*(((0.15*B2760*5))^2/2)+3*(((0.15*B2760*5))^3/6)+4*(((0.15*B2760*5))^4/24)+5*(((0.15*B2760*5))^5/120))/((((0.15*B2760*5))^0/1)+(((0.15*B2760*5))^1/1)+(((0.15*B2760*5))^2/2)+(((0.15*B2760*5))^3/6)+(((0.15*B2760*5))^4/24)+(((0.15*B2760*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2728*(1-MIN(100,(Inputs!$B$9+((C2748=TRUE)*(F2748-Calc!F26))+B2756+(ArtifactsInput!$M$24-ArtifactsInput!$M$24)*CHOOSE(ArtifactsInput!$N$24+1,10,12,14,16,18,20)+(IF(AND(Inputs!$B$39&lt;&gt;"pvp",Inputs!$B$44=0),1,IF(IF(Inputs!$B$39="pvp",15,Inputs!$B$44)-(B2767)&lt;=0,1,MAX(0,IF(Inputs!$B$39="pvp",15,Inputs!$B$44)-MAX(5,B2767))/(IF(Inputs!$B$39="pvp",15,Inputs!$B$44)-(B2767))))*IF(AND(ArtifactsInput!$M$42,((Inputs!$B$9+((C2748=TRUE)*(F2748-Calc!F26))+B2756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2728*(MIN(100,(Inputs!$B$9+((C2748=TRUE)*(F2748-Calc!F26))+B2756+(ArtifactsInput!$M$24-ArtifactsInput!$M$24)*CHOOSE(ArtifactsInput!$N$24+1,10,12,14,16,18,20)+(IF(AND(Inputs!$B$39&lt;&gt;"pvp",Inputs!$B$44=0),1,IF(IF(Inputs!$B$39="pvp",15,Inputs!$B$44)-(B2767)&lt;=0,1,MAX(0,IF(Inputs!$B$39="pvp",15,Inputs!$B$44)-MAX(5,B2767))/(IF(Inputs!$B$39="pvp",15,Inputs!$B$44)-(B2767))))*IF(AND(ArtifactsInput!$M$42,((Inputs!$B$9+((C2748=TRUE)*(F2748-Calc!F26))+B2756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2728*(1-MIN(100,(Inputs!$B$9+((C2748=TRUE)*(F2748-Calc!F26))+B2756+(ArtifactsInput!$M$24-ArtifactsInput!$M$24)*CHOOSE(ArtifactsInput!$N$24+1,10,12,14,16,18,20)+(IF(AND(Inputs!$B$39&lt;&gt;"pvp",Inputs!$B$44=0),1,IF(IF(Inputs!$B$39="pvp",15,Inputs!$B$44)-(B2767)&lt;=0,1,MAX(0,IF(Inputs!$B$39="pvp",15,Inputs!$B$44)-MAX(5,B2767))/(IF(Inputs!$B$39="pvp",15,Inputs!$B$44)-(B2767))))*IF(AND(ArtifactsInput!$M$42,((Inputs!$B$9+((C2748=TRUE)*(F2748-Calc!F26))+B2756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2728*(MIN(100,(Inputs!$B$9+((C2748=TRUE)*(F2748-Calc!F26))+B2756+(ArtifactsInput!$M$24-ArtifactsInput!$M$24)*CHOOSE(ArtifactsInput!$N$24+1,10,12,14,16,18,20)+(IF(AND(Inputs!$B$39&lt;&gt;"pvp",Inputs!$B$44=0),1,IF(IF(Inputs!$B$39="pvp",15,Inputs!$B$44)-(B2767)&lt;=0,1,MAX(0,IF(Inputs!$B$39="pvp",15,Inputs!$B$44)-MAX(5,B2767))/(IF(Inputs!$B$39="pvp",15,Inputs!$B$44)-(B2767))))*IF(AND(ArtifactsInput!$M$42,((Inputs!$B$9+((C2748=TRUE)*(F2748-Calc!F26))+B2756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728">
        <f>IF(C2728,(H2728*N2728*IF(AND(Inputs!$B$39&lt;&gt;"pvp",Inputs!$B$44&gt;0),((Skills!G6*((R2728-1)*IF(Skills!H6&gt;0,Skills!I6/Skills!H6,1)+IF(Skills!H6&gt;0,MIN(Skills!I6,MAX(0,MAX(0,Inputs!$B$44-B2767)-((R2728-1)*IF(Inputs!$B$39="pvp",15,MAX(0.1,Skills!D6-IF(TRUE=TRUE,Inputs!$B$32,0))))))/Skills!H6,1)))/Inputs!$B$44),G2728*Q2728))*IF(Inputs!$B$39="pvp",1,(1+(Inputs!$B$21+Skills!Q6+B2757+(IF(ArtifactsInput!$M$33,CHOOSE(ArtifactsInput!$N$33+1,30,36,42,48,54,60),0))+(IF(AND(ArtifactsInput!$M$35,Inputs!$B$4&lt;&gt;"Chapter Hunt"),CHOOSE(ArtifactsInput!$N$35+1,15,18,21,24,27,30)*(1-EXP(-(0.2*B2760)*5)),0)+IF(AND(ArtifactsInput!$M$22,Inputs!$B$4&lt;&gt;"Chapter Hunt"),CHOOSE(ArtifactsInput!$N$22+1,10,12,14,16,18,20)*((0*(((0.15*B2760*5))^0/1)+1*(((0.15*B2760*5))^1/1)+2*(((0.15*B2760*5))^2/2)+3*(((0.15*B2760*5))^3/6)+4*(((0.15*B2760*5))^4/24)+5*(((0.15*B2760*5))^5/120))/((((0.15*B2760*5))^0/1)+(((0.15*B2760*5))^1/1)+(((0.15*B2760*5))^2/2)+(((0.15*B2760*5))^3/6)+(((0.15*B2760*5))^4/24)+(((0.15*B2760*5))^5/120))),0)))/100)*(MIN(Skills!W6,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729">
      <c r="A2729">
        <f>Skills!A7</f>
        <v/>
      </c>
      <c r="B2729">
        <f>Skills!B7</f>
        <v/>
      </c>
      <c r="C2729">
        <f>Inputs!$B$3&gt;=69</f>
        <v/>
      </c>
      <c r="D2729">
        <f>IF(Skills!C7=1,60+Inputs!$B$25+Inputs!$B$29,IF(Skills!C7=2,90+Inputs!$B$26+Inputs!$B$29,IF(Skills!C7=3,120+Inputs!$B$27+Inputs!$B$29,MAX(0,(Inputs!$B$3-100)*3)+Inputs!$B$28+Inputs!$B$29)))</f>
        <v/>
      </c>
      <c r="E2729">
        <f>INDEX(FactorTable!$B$2:$Y$301, MATCH(ROUND(MIN(300,MAX(1,D2729)),0), FactorTable!$A$2:$A$301,0), Skills!M7+1)</f>
        <v/>
      </c>
      <c r="F2729">
        <f>IF(Skills!N7=TRUE,(Skills!L7/10)*(E2729/1000),Skills!L7/10)+Skills!O7</f>
        <v/>
      </c>
      <c r="G2729">
        <f>Skills!G7*IF(Skills!H7&gt;0,IF(Inputs!$B$39="pvp",MIN(Skills!I7,15),Skills!I7)/Skills!H7,1)</f>
        <v/>
      </c>
      <c r="H2729">
        <f>1-(1-Skills!J7/100)^Skills!K7</f>
        <v/>
      </c>
      <c r="I2729" t="inlineStr">
        <is>
          <t>1</t>
        </is>
      </c>
      <c r="J2729">
        <f>((Inputs!$B$6*(1+Inputs!$B$7/100))+(((Inputs!$B$12*(1+Inputs!$B$13/100))-(Inputs!$B$12*(1+Inputs!$B$13/100)))+0.25*(Inputs!$B$14-Inputs!$B$14))*(1+Inputs!$B$7/100))*(F2729/100)</f>
        <v/>
      </c>
      <c r="K2729">
        <f>J2729*(1+((Inputs!$B$12*(1+Inputs!$B$13/100))*0.01+Inputs!$B$14*0.0025)/100)*(1+Inputs!$B$15/100)*(1+Inputs!$B$16/100)*(5000/(6000+Inputs!$B$43*(1-(100*(1-(1-Inputs!$B$19/100)*(1-CHOOSE(ArtifactsInput!$N$40+1,5,6,7,8,9,10)/100)^(ArtifactsInput!$M$40-ArtifactsInput!$M$40)))/100)))*(1+(Inputs!$B$24+((C2753=TRUE)*(F2753-Calc!F31))+((C2740=TRUE)*(F2740-Calc!F18)))/100)*(1+(((1+IF(AND(ArtifactsInput!$M$36,IF(Inputs!$B$39="pvp",TRUE,AND(Inputs!$B$39&lt;&gt;"pvp",Inputs!$B$44&gt;0))),CHOOSE(ArtifactsInput!$N$36+1,8,9.6,11.2,12.8,14.4,16),0)/100)*(1+IF(AND(IF(ArtifactsInput!$M$32,FALSE,TRUE),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2741=TRUE,F2741,0)/100)*(1+(IF(Skills!A7="CRUEL_STAB",Inputs!$B$17+((C2750=TRUE)*(F2750-Calc!F28))+((IF(AND(Inputs!$B$39&lt;&gt;"pvp",Inputs!$B$44=0),1,IF(IF(Inputs!$B$39="pvp",15,Inputs!$B$44)-(B2767)&lt;=0,1,MAX(0,IF(Inputs!$B$39="pvp",15,Inputs!$B$44)-MAX(5,B2767))/(IF(Inputs!$B$39="pvp",15,Inputs!$B$44)-(B2767))))*(IF(AND(ArtifactsInput!$M$42,((Inputs!$B$9+((C2748=TRUE)*(F2748-Calc!F26))+B2756+(ArtifactsInput!$M$24-ArtifactsInput!$M$24)*CHOOSE(ArtifactsInput!$N$24+1,10,12,14,16,18,20)+IF(ArtifactsInput!$M$10,CHOOSE(ArtifactsInput!$N$10+1,15,18,21,24,27,30)*(IF(Inputs!$B$39="pvp",MIN(15,15)/15,IF(AND(Inputs!$B$39&lt;&gt;"pvp",Inputs!$B$44&gt;0),MIN(15,Inputs!$B$44)/(Inputs!$B$44),0))),0)))&gt;=100),MIN(100,((Inputs!$B$9+((C2748=TRUE)*(F2748-Calc!F26))+B2756+(ArtifactsInput!$M$24-ArtifactsInput!$M$24)*CHOOSE(ArtifactsInput!$N$24+1,10,12,14,16,18,20)+IF(ArtifactsInput!$M$10,CHOOSE(ArtifactsInput!$N$10+1,15,18,21,24,27,30)*(IF(Inputs!$B$39="pvp",MIN(15,15)/15,IF(AND(Inputs!$B$39&lt;&gt;"pvp",Inputs!$B$44&gt;0),MIN(15,Inputs!$B$44)/(Inputs!$B$44),0))),0)))-100),0))*CHOOSE(ArtifactsInput!$N$42+1,0.6,0.72,0.84,0.96,1.08,1.2))),Inputs!$B$18+((C2751=TRUE)*(F2751-Calc!F29))+(IF(AND(Inputs!$B$39&lt;&gt;"pvp",Inputs!$B$44=0),1,IF(IF(Inputs!$B$39="pvp",15,Inputs!$B$44)-(B2767)&lt;=0,1,MAX(0,IF(Inputs!$B$39="pvp",15,Inputs!$B$44)-MAX(5,B2767))/(IF(Inputs!$B$39="pvp",15,Inputs!$B$44)-(B2767))))*IF(AND(ArtifactsInput!$M$42,((Inputs!$B$9+((C2748=TRUE)*(F2748-Calc!F26))+B2756+(ArtifactsInput!$M$24-ArtifactsInput!$M$24)*CHOOSE(ArtifactsInput!$N$24+1,10,12,14,16,18,20)+IF(ArtifactsInput!$M$10,CHOOSE(ArtifactsInput!$N$10+1,15,18,21,24,27,30)*(IF(Inputs!$B$39="pvp",MIN(15,15)/15,IF(AND(Inputs!$B$39&lt;&gt;"pvp",Inputs!$B$44&gt;0),MIN(15,Inputs!$B$44)/(Inputs!$B$44),0))),0)))&gt;=100),CHOOSE(ArtifactsInput!$N$42+1,40,48,56,64,72,80),0))))/100)*(((1+(((C2744=TRUE)*F2744*IF(AND(Inputs!$B$39&lt;&gt;"pvp",Inputs!$B$44&gt;0),(((R2744-1)*MIN((Skills!Y22*(1+Inputs!$B$34/100)),(1/Q2744))+MIN((Skills!Y22*(1+Inputs!$B$34/100)),MAX(0,Inputs!$B$44-((R2744-1)*(1/Q2744)))))/Inputs!$B$44),IF(Inputs!$B$39="pvp",MIN((Skills!Y22*(1+Inputs!$B$34/100)),15)/15,MIN(1,(Skills!Y22*(1+Inputs!$B$34/100))/(1/Q2744)))))+((C2725=TRUE)*F2725*3)+((C2727=TRUE)*F2727*(1-EXP(-0.75*B2760*5)))+((C2746=TRUE)*(F2746-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2733=TRUE)*F2733*IF(AND(Inputs!$B$39&lt;&gt;"pvp",Inputs!$B$44&gt;0),(((R2733-1)*MIN((Skills!Y11*(1+Inputs!$B$34/100)),(1/Q2733))+MIN((Skills!Y11*(1+Inputs!$B$34/100)),MAX(0,Inputs!$B$44-((R2733-1)*(1/Q2733)))))/Inputs!$B$44),IF(Inputs!$B$39="pvp",MIN((Skills!Y11*(1+Inputs!$B$34/100)),15)/15,MIN(1,(Skills!Y11*(1+Inputs!$B$34/100))/(1/Q2733)))))/100)*(1+((C2738=TRUE)*F2738*IF(AND(Inputs!$B$39&lt;&gt;"pvp",Inputs!$B$44&gt;0),(((R2738-1)*MIN((Skills!Y16*(1+Inputs!$B$34/100)),(1/Q2738))+MIN((Skills!Y16*(1+Inputs!$B$34/100)),MAX(0,Inputs!$B$44-((R2738-1)*(1/Q2738)))))/Inputs!$B$44),IF(Inputs!$B$39="pvp",MIN((Skills!Y16*(1+Inputs!$B$34/100)),15)/15,MIN(1,(Skills!Y16*(1+Inputs!$B$34/100))/(1/Q2738)))))/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2758*I2729)</f>
        <v/>
      </c>
      <c r="L2729">
        <f>K2729*(MIN(Inputs!$B$22+((C2747=TRUE)*(F2747-Calc!F25)),(Inputs!$B$23+((C2752=TRUE)*(F2752-Calc!F30))+IF(ArtifactsInput!$M$15,CHOOSE(ArtifactsInput!$N$15+1,25,30,35,40,45,50)/100*(Inputs!$B$11-Inputs!$B$11),0)))/100+(Inputs!$B$23+((C2752=TRUE)*(F2752-Calc!F30))+IF(ArtifactsInput!$M$15,CHOOSE(ArtifactsInput!$N$15+1,25,30,35,40,45,50)/100*(Inputs!$B$11-Inputs!$B$11),0))/100)/2</f>
        <v/>
      </c>
      <c r="M2729">
        <f>L2729*(1+(Inputs!$B$10+((C2749=TRUE)*(F2749-Calc!F27))+B2763+(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2729">
        <f>L2729*(1-MIN((Inputs!$B$9+((C2748=TRUE)*(F2748-Calc!F26))+B2756+(ArtifactsInput!$M$24-ArtifactsInput!$M$24)*CHOOSE(ArtifactsInput!$N$24+1,10,12,14,16,18,20)+(IF(AND(Inputs!$B$39&lt;&gt;"pvp",Inputs!$B$44=0),1,IF(IF(Inputs!$B$39="pvp",15,Inputs!$B$44)-(B2767)&lt;=0,1,MAX(0,IF(Inputs!$B$39="pvp",15,Inputs!$B$44)-MAX(5,B2767))/(IF(Inputs!$B$39="pvp",15,Inputs!$B$44)-(B2767))))*IF(AND(ArtifactsInput!$M$42,((Inputs!$B$9+((C2748=TRUE)*(F2748-Calc!F26))+B2756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2729*(MIN((Inputs!$B$9+((C2748=TRUE)*(F2748-Calc!F26))+B2756+(ArtifactsInput!$M$24-ArtifactsInput!$M$24)*CHOOSE(ArtifactsInput!$N$24+1,10,12,14,16,18,20)+(IF(AND(Inputs!$B$39&lt;&gt;"pvp",Inputs!$B$44=0),1,IF(IF(Inputs!$B$39="pvp",15,Inputs!$B$44)-(B2767)&lt;=0,1,MAX(0,IF(Inputs!$B$39="pvp",15,Inputs!$B$44)-MAX(5,B2767))/(IF(Inputs!$B$39="pvp",15,Inputs!$B$44)-(B2767))))*IF(AND(ArtifactsInput!$M$42,((Inputs!$B$9+((C2748=TRUE)*(F2748-Calc!F26))+B2756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729">
        <f>(1-Summary!$B$11)*T2729+Summary!$B$11*V2729</f>
        <v/>
      </c>
      <c r="P2729">
        <f>IF(B2768=0,0,O2729/B2768)</f>
        <v/>
      </c>
      <c r="Q2729">
        <f>IFERROR(1/IF(Inputs!$B$39="pvp",15,MAX(0.1,Skills!D7-IF(TRUE=TRUE,Inputs!$B$32,0))),0)</f>
        <v/>
      </c>
      <c r="R2729">
        <f>IF(AND(Inputs!$B$39&lt;&gt;"pvp",Inputs!$B$44&gt;0),IF(MAX(0,Inputs!$B$44-B2767)&lt;=0,0,(INT(MAX(0,Inputs!$B$44-B2767)/IF(Inputs!$B$39="pvp",15,MAX(0.1,Skills!D7-IF(TRUE=TRUE,Inputs!$B$32,0))))+1)),0)</f>
        <v/>
      </c>
      <c r="S2729">
        <f>IFERROR(O2729/N2729,0)</f>
        <v/>
      </c>
      <c r="T2729">
        <f>IF(C2729,(H2729*N2729*IF(AND(Inputs!$B$39&lt;&gt;"pvp",Inputs!$B$44&gt;0),((Skills!G7*((R2729-1)*IF(Skills!H7&gt;0,Skills!I7/Skills!H7,1)+IF(Skills!H7&gt;0,MIN(Skills!I7,MAX(0,MAX(0,Inputs!$B$44-B2767)-((R2729-1)*IF(Inputs!$B$39="pvp",15,MAX(0.1,Skills!D7-IF(TRUE=TRUE,Inputs!$B$32,0))))))/Skills!H7,1)))/Inputs!$B$44),G2729*Q2729))*IF(Inputs!$B$39="pvp",1,1+(Inputs!$B$20+0+Skills!P7+B2757+(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Hunt"),CHOOSE(ArtifactsInput!$N$35+1,15,18,21,24,27,30)*(1-EXP(-(0.2*B2760)*5)),0)+IF(AND(ArtifactsInput!$M$22,Inputs!$B$4&lt;&gt;"Chapter Hunt"),CHOOSE(ArtifactsInput!$N$22+1,10,12,14,16,18,20)*((0*(((0.15*B2760*5))^0/1)+1*(((0.15*B2760*5))^1/1)+2*(((0.15*B2760*5))^2/2)+3*(((0.15*B2760*5))^3/6)+4*(((0.15*B2760*5))^4/24)+5*(((0.15*B2760*5))^5/120))/((((0.15*B2760*5))^0/1)+(((0.15*B2760*5))^1/1)+(((0.15*B2760*5))^2/2)+(((0.15*B2760*5))^3/6)+(((0.15*B2760*5))^4/24)+(((0.15*B2760*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2729*(1-MIN(100,(Inputs!$B$9+((C2748=TRUE)*(F2748-Calc!F26))+B2756+(ArtifactsInput!$M$24-ArtifactsInput!$M$24)*CHOOSE(ArtifactsInput!$N$24+1,10,12,14,16,18,20)+(IF(AND(Inputs!$B$39&lt;&gt;"pvp",Inputs!$B$44=0),1,IF(IF(Inputs!$B$39="pvp",15,Inputs!$B$44)-(B2767)&lt;=0,1,MAX(0,IF(Inputs!$B$39="pvp",15,Inputs!$B$44)-MAX(5,B2767))/(IF(Inputs!$B$39="pvp",15,Inputs!$B$44)-(B2767))))*IF(AND(ArtifactsInput!$M$42,((Inputs!$B$9+((C2748=TRUE)*(F2748-Calc!F26))+B2756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2729*(MIN(100,(Inputs!$B$9+((C2748=TRUE)*(F2748-Calc!F26))+B2756+(ArtifactsInput!$M$24-ArtifactsInput!$M$24)*CHOOSE(ArtifactsInput!$N$24+1,10,12,14,16,18,20)+(IF(AND(Inputs!$B$39&lt;&gt;"pvp",Inputs!$B$44=0),1,IF(IF(Inputs!$B$39="pvp",15,Inputs!$B$44)-(B2767)&lt;=0,1,MAX(0,IF(Inputs!$B$39="pvp",15,Inputs!$B$44)-MAX(5,B2767))/(IF(Inputs!$B$39="pvp",15,Inputs!$B$44)-(B2767))))*IF(AND(ArtifactsInput!$M$42,((Inputs!$B$9+((C2748=TRUE)*(F2748-Calc!F26))+B2756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2729*(1-MIN(100,(Inputs!$B$9+((C2748=TRUE)*(F2748-Calc!F26))+B2756+(ArtifactsInput!$M$24-ArtifactsInput!$M$24)*CHOOSE(ArtifactsInput!$N$24+1,10,12,14,16,18,20)+(IF(AND(Inputs!$B$39&lt;&gt;"pvp",Inputs!$B$44=0),1,IF(IF(Inputs!$B$39="pvp",15,Inputs!$B$44)-(B2767)&lt;=0,1,MAX(0,IF(Inputs!$B$39="pvp",15,Inputs!$B$44)-MAX(5,B2767))/(IF(Inputs!$B$39="pvp",15,Inputs!$B$44)-(B2767))))*IF(AND(ArtifactsInput!$M$42,((Inputs!$B$9+((C2748=TRUE)*(F2748-Calc!F26))+B2756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2729*(MIN(100,(Inputs!$B$9+((C2748=TRUE)*(F2748-Calc!F26))+B2756+(ArtifactsInput!$M$24-ArtifactsInput!$M$24)*CHOOSE(ArtifactsInput!$N$24+1,10,12,14,16,18,20)+(IF(AND(Inputs!$B$39&lt;&gt;"pvp",Inputs!$B$44=0),1,IF(IF(Inputs!$B$39="pvp",15,Inputs!$B$44)-(B2767)&lt;=0,1,MAX(0,IF(Inputs!$B$39="pvp",15,Inputs!$B$44)-MAX(5,B2767))/(IF(Inputs!$B$39="pvp",15,Inputs!$B$44)-(B2767))))*IF(AND(ArtifactsInput!$M$42,((Inputs!$B$9+((C2748=TRUE)*(F2748-Calc!F26))+B2756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729">
        <f>IF(C2729,(H2729*N2729*IF(AND(Inputs!$B$39&lt;&gt;"pvp",Inputs!$B$44&gt;0),((Skills!G7*((R2729-1)*IF(Skills!H7&gt;0,Skills!I7/Skills!H7,1)+IF(Skills!H7&gt;0,MIN(Skills!I7,MAX(0,MAX(0,Inputs!$B$44-B2767)-((R2729-1)*IF(Inputs!$B$39="pvp",15,MAX(0.1,Skills!D7-IF(TRUE=TRUE,Inputs!$B$32,0))))))/Skills!H7,1)))/Inputs!$B$44),G2729*Q2729))*IF(Inputs!$B$39="pvp",1,(1+(Inputs!$B$21+Skills!Q7+B2757+(IF(ArtifactsInput!$M$33,CHOOSE(ArtifactsInput!$N$33+1,30,36,42,48,54,60),0))+(IF(AND(ArtifactsInput!$M$35,Inputs!$B$4&lt;&gt;"Chapter Hunt"),CHOOSE(ArtifactsInput!$N$35+1,15,18,21,24,27,30)*(1-EXP(-(0.2*B2760)*5)),0)+IF(AND(ArtifactsInput!$M$22,Inputs!$B$4&lt;&gt;"Chapter Hunt"),CHOOSE(ArtifactsInput!$N$22+1,10,12,14,16,18,20)*((0*(((0.15*B2760*5))^0/1)+1*(((0.15*B2760*5))^1/1)+2*(((0.15*B2760*5))^2/2)+3*(((0.15*B2760*5))^3/6)+4*(((0.15*B2760*5))^4/24)+5*(((0.15*B2760*5))^5/120))/((((0.15*B2760*5))^0/1)+(((0.15*B2760*5))^1/1)+(((0.15*B2760*5))^2/2)+(((0.15*B2760*5))^3/6)+(((0.15*B2760*5))^4/24)+(((0.15*B2760*5))^5/120))),0)))/100)*(MIN(Skills!W7,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730">
      <c r="A2730">
        <f>Skills!A8</f>
        <v/>
      </c>
      <c r="B2730">
        <f>Skills!B8</f>
        <v/>
      </c>
      <c r="C2730">
        <f>Inputs!$B$3&gt;=60</f>
        <v/>
      </c>
      <c r="D2730">
        <f>IF(Skills!C8=1,60+Inputs!$B$25+Inputs!$B$29,IF(Skills!C8=2,90+Inputs!$B$26+Inputs!$B$29,IF(Skills!C8=3,120+Inputs!$B$27+Inputs!$B$29,MAX(0,(Inputs!$B$3-100)*3)+Inputs!$B$28+Inputs!$B$29)))</f>
        <v/>
      </c>
      <c r="E2730">
        <f>INDEX(FactorTable!$B$2:$Y$301, MATCH(ROUND(MIN(300,MAX(1,D2730)),0), FactorTable!$A$2:$A$301,0), Skills!M8+1)</f>
        <v/>
      </c>
      <c r="F2730">
        <f>IF(Skills!N8=TRUE,(Skills!L8/10)*(E2730/1000),Skills!L8/10)+Skills!O8</f>
        <v/>
      </c>
      <c r="G2730">
        <f>Skills!G8*IF(Skills!H8&gt;0,IF(Inputs!$B$39="pvp",MIN(Skills!I8,15),Skills!I8)/Skills!H8,1)</f>
        <v/>
      </c>
      <c r="H2730">
        <f>1-(1-Skills!J8/100)^Skills!K8</f>
        <v/>
      </c>
      <c r="I2730" t="inlineStr">
        <is>
          <t>1</t>
        </is>
      </c>
      <c r="J2730" t="inlineStr"/>
      <c r="K2730" t="inlineStr"/>
      <c r="L2730" t="inlineStr"/>
      <c r="M2730" t="inlineStr"/>
      <c r="N2730" t="inlineStr"/>
      <c r="O2730">
        <f>(1-Summary!$B$11)*T2730+Summary!$B$11*V2730</f>
        <v/>
      </c>
      <c r="P2730">
        <f>IF(B2768=0,0,O2730/B2768)</f>
        <v/>
      </c>
      <c r="Q2730" t="n">
        <v>0</v>
      </c>
      <c r="R2730" t="n">
        <v>0</v>
      </c>
      <c r="S2730">
        <f>IFERROR(O2730/N2730,0)</f>
        <v/>
      </c>
      <c r="T2730" t="n">
        <v>0</v>
      </c>
      <c r="V2730" t="n">
        <v>0</v>
      </c>
    </row>
    <row r="2731">
      <c r="A2731">
        <f>Skills!A9</f>
        <v/>
      </c>
      <c r="B2731">
        <f>Skills!B9</f>
        <v/>
      </c>
      <c r="C2731">
        <f>Inputs!$B$3&gt;=72</f>
        <v/>
      </c>
      <c r="D2731">
        <f>IF(Skills!C9=1,60+Inputs!$B$25+Inputs!$B$29,IF(Skills!C9=2,90+Inputs!$B$26+Inputs!$B$29,IF(Skills!C9=3,120+Inputs!$B$27+Inputs!$B$29,MAX(0,(Inputs!$B$3-100)*3)+Inputs!$B$28+Inputs!$B$29)))</f>
        <v/>
      </c>
      <c r="E2731">
        <f>INDEX(FactorTable!$B$2:$Y$301, MATCH(ROUND(MIN(300,MAX(1,D2731)),0), FactorTable!$A$2:$A$301,0), Skills!M9+1)</f>
        <v/>
      </c>
      <c r="F2731">
        <f>IF(Skills!N9=TRUE,(Skills!L9/10)*(E2731/1000),Skills!L9/10)+Skills!O9</f>
        <v/>
      </c>
      <c r="G2731">
        <f>Skills!G9*IF(Skills!H9&gt;0,IF(Inputs!$B$39="pvp",MIN(Skills!I9,15),Skills!I9)/Skills!H9,1)</f>
        <v/>
      </c>
      <c r="H2731">
        <f>1-(1-Skills!J9/100)^Skills!K9</f>
        <v/>
      </c>
      <c r="I2731" t="inlineStr">
        <is>
          <t>1</t>
        </is>
      </c>
      <c r="J2731">
        <f>((Inputs!$B$6*(1+Inputs!$B$7/100))+(((Inputs!$B$12*(1+Inputs!$B$13/100))-(Inputs!$B$12*(1+Inputs!$B$13/100)))+0.25*(Inputs!$B$14-Inputs!$B$14))*(1+Inputs!$B$7/100))*(F2731/100)</f>
        <v/>
      </c>
      <c r="K2731">
        <f>J2731*(1+((Inputs!$B$12*(1+Inputs!$B$13/100))*0.01+Inputs!$B$14*0.0025)/100)*(1+Inputs!$B$15/100)*(1+Inputs!$B$16/100)*(5000/(6000+Inputs!$B$43*(1-(100*(1-(1-Inputs!$B$19/100)*(1-CHOOSE(ArtifactsInput!$N$40+1,5,6,7,8,9,10)/100)^(ArtifactsInput!$M$40-ArtifactsInput!$M$40)))/100)))*(1+(Inputs!$B$24+((C2753=TRUE)*(F2753-Calc!F31))+((C2740=TRUE)*(F2740-Calc!F18)))/100)*(1+(((1+IF(AND(ArtifactsInput!$M$36,IF(Inputs!$B$39="pvp",TRUE,AND(Inputs!$B$39&lt;&gt;"pvp",Inputs!$B$44&gt;0))),CHOOSE(ArtifactsInput!$N$36+1,8,9.6,11.2,12.8,14.4,16),0)/100)*(1+IF(AND(IF(ArtifactsInput!$M$32,FALSE,TRUE),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+3.3333333333333335*IF(C2741=TRUE,F2741,0)/100)*(1+(IF(Skills!A9="CRUEL_STAB",Inputs!$B$17+((C2750=TRUE)*(F2750-Calc!F28))+((IF(AND(Inputs!$B$39&lt;&gt;"pvp",Inputs!$B$44=0),1,IF(IF(Inputs!$B$39="pvp",15,Inputs!$B$44)-(B2767)&lt;=0,1,MAX(0,IF(Inputs!$B$39="pvp",15,Inputs!$B$44)-MAX(5,B2767))/(IF(Inputs!$B$39="pvp",15,Inputs!$B$44)-(B2767))))*(IF(AND(ArtifactsInput!$M$42,((Inputs!$B$9+((C2748=TRUE)*(F2748-Calc!F26))+B2756+(ArtifactsInput!$M$24-ArtifactsInput!$M$24)*CHOOSE(ArtifactsInput!$N$24+1,10,12,14,16,18,20)+IF(ArtifactsInput!$M$10,CHOOSE(ArtifactsInput!$N$10+1,15,18,21,24,27,30)*(IF(Inputs!$B$39="pvp",MIN(15,15)/15,IF(AND(Inputs!$B$39&lt;&gt;"pvp",Inputs!$B$44&gt;0),MIN(15,Inputs!$B$44)/(Inputs!$B$44),0))),0)))&gt;=100),MIN(100,((Inputs!$B$9+((C2748=TRUE)*(F2748-Calc!F26))+B2756+(ArtifactsInput!$M$24-ArtifactsInput!$M$24)*CHOOSE(ArtifactsInput!$N$24+1,10,12,14,16,18,20)+IF(ArtifactsInput!$M$10,CHOOSE(ArtifactsInput!$N$10+1,15,18,21,24,27,30)*(IF(Inputs!$B$39="pvp",MIN(15,15)/15,IF(AND(Inputs!$B$39&lt;&gt;"pvp",Inputs!$B$44&gt;0),MIN(15,Inputs!$B$44)/(Inputs!$B$44),0))),0)))-100),0))*CHOOSE(ArtifactsInput!$N$42+1,0.6,0.72,0.84,0.96,1.08,1.2))),Inputs!$B$18+((C2751=TRUE)*(F2751-Calc!F29))+(IF(AND(Inputs!$B$39&lt;&gt;"pvp",Inputs!$B$44=0),1,IF(IF(Inputs!$B$39="pvp",15,Inputs!$B$44)-(B2767)&lt;=0,1,MAX(0,IF(Inputs!$B$39="pvp",15,Inputs!$B$44)-MAX(5,B2767))/(IF(Inputs!$B$39="pvp",15,Inputs!$B$44)-(B2767))))*IF(AND(ArtifactsInput!$M$42,((Inputs!$B$9+((C2748=TRUE)*(F2748-Calc!F26))+B2756+(ArtifactsInput!$M$24-ArtifactsInput!$M$24)*CHOOSE(ArtifactsInput!$N$24+1,10,12,14,16,18,20)+IF(ArtifactsInput!$M$10,CHOOSE(ArtifactsInput!$N$10+1,15,18,21,24,27,30)*(IF(Inputs!$B$39="pvp",MIN(15,15)/15,IF(AND(Inputs!$B$39&lt;&gt;"pvp",Inputs!$B$44&gt;0),MIN(15,Inputs!$B$44)/(Inputs!$B$44),0))),0)))&gt;=100),CHOOSE(ArtifactsInput!$N$42+1,40,48,56,64,72,80),0))))/100)*(((1+(((C2744=TRUE)*F2744*IF(AND(Inputs!$B$39&lt;&gt;"pvp",Inputs!$B$44&gt;0),(((R2744-1)*MIN((Skills!Y22*(1+Inputs!$B$34/100)),(1/Q2744))+MIN((Skills!Y22*(1+Inputs!$B$34/100)),MAX(0,Inputs!$B$44-((R2744-1)*(1/Q2744)))))/Inputs!$B$44),IF(Inputs!$B$39="pvp",MIN((Skills!Y22*(1+Inputs!$B$34/100)),15)/15,MIN(1,(Skills!Y22*(1+Inputs!$B$34/100))/(1/Q2744)))))+((C2725=TRUE)*F2725*3)+((C2727=TRUE)*F2727*(1-EXP(-0.75*B2760*5)))+((C2746=TRUE)*(F2746-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2733=TRUE)*F2733*IF(AND(Inputs!$B$39&lt;&gt;"pvp",Inputs!$B$44&gt;0),(((R2733-1)*MIN((Skills!Y11*(1+Inputs!$B$34/100)),(1/Q2733))+MIN((Skills!Y11*(1+Inputs!$B$34/100)),MAX(0,Inputs!$B$44-((R2733-1)*(1/Q2733)))))/Inputs!$B$44),IF(Inputs!$B$39="pvp",MIN((Skills!Y11*(1+Inputs!$B$34/100)),15)/15,MIN(1,(Skills!Y11*(1+Inputs!$B$34/100))/(1/Q2733)))))/100)*(1+((C2738=TRUE)*F2738*IF(AND(Inputs!$B$39&lt;&gt;"pvp",Inputs!$B$44&gt;0),(((R2738-1)*MIN((Skills!Y16*(1+Inputs!$B$34/100)),(1/Q2738))+MIN((Skills!Y16*(1+Inputs!$B$34/100)),MAX(0,Inputs!$B$44-((R2738-1)*(1/Q2738)))))/Inputs!$B$44),IF(Inputs!$B$39="pvp",MIN((Skills!Y16*(1+Inputs!$B$34/100)),15)/15,MIN(1,(Skills!Y16*(1+Inputs!$B$34/100))/(1/Q2738)))))/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2758*I2731)</f>
        <v/>
      </c>
      <c r="L2731">
        <f>K2731*(MIN(Inputs!$B$22+((C2747=TRUE)*(F2747-Calc!F25)),(Inputs!$B$23+((C2752=TRUE)*(F2752-Calc!F30))+IF(ArtifactsInput!$M$15,CHOOSE(ArtifactsInput!$N$15+1,25,30,35,40,45,50)/100*(Inputs!$B$11-Inputs!$B$11),0)))/100+(Inputs!$B$23+((C2752=TRUE)*(F2752-Calc!F30))+IF(ArtifactsInput!$M$15,CHOOSE(ArtifactsInput!$N$15+1,25,30,35,40,45,50)/100*(Inputs!$B$11-Inputs!$B$11),0))/100)/2</f>
        <v/>
      </c>
      <c r="M2731">
        <f>L2731*(1+(Inputs!$B$10+((C2749=TRUE)*(F2749-Calc!F27))+B2763+(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2731">
        <f>L2731*(1-MIN((Inputs!$B$9+((C2748=TRUE)*(F2748-Calc!F26))+B2756+(ArtifactsInput!$M$24-ArtifactsInput!$M$24)*CHOOSE(ArtifactsInput!$N$24+1,10,12,14,16,18,20)+(IF(AND(Inputs!$B$39&lt;&gt;"pvp",Inputs!$B$44=0),1,IF(IF(Inputs!$B$39="pvp",15,Inputs!$B$44)-(B2767)&lt;=0,1,MAX(0,IF(Inputs!$B$39="pvp",15,Inputs!$B$44)-MAX(5,B2767))/(IF(Inputs!$B$39="pvp",15,Inputs!$B$44)-(B2767))))*IF(AND(ArtifactsInput!$M$42,((Inputs!$B$9+((C2748=TRUE)*(F2748-Calc!F26))+B2756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2731*(MIN((Inputs!$B$9+((C2748=TRUE)*(F2748-Calc!F26))+B2756+(ArtifactsInput!$M$24-ArtifactsInput!$M$24)*CHOOSE(ArtifactsInput!$N$24+1,10,12,14,16,18,20)+(IF(AND(Inputs!$B$39&lt;&gt;"pvp",Inputs!$B$44=0),1,IF(IF(Inputs!$B$39="pvp",15,Inputs!$B$44)-(B2767)&lt;=0,1,MAX(0,IF(Inputs!$B$39="pvp",15,Inputs!$B$44)-MAX(5,B2767))/(IF(Inputs!$B$39="pvp",15,Inputs!$B$44)-(B2767))))*IF(AND(ArtifactsInput!$M$42,((Inputs!$B$9+((C2748=TRUE)*(F2748-Calc!F26))+B2756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731">
        <f>(1-Summary!$B$11)*T2731+Summary!$B$11*V2731</f>
        <v/>
      </c>
      <c r="P2731">
        <f>IF(B2768=0,0,O2731/B2768)</f>
        <v/>
      </c>
      <c r="Q2731">
        <f>IFERROR(1/IF(Inputs!$B$39="pvp",15,MAX(0.1,Skills!D9-IF(FALSE=TRUE,Inputs!$B$32,0))),0)</f>
        <v/>
      </c>
      <c r="R2731">
        <f>IF(AND(Inputs!$B$39&lt;&gt;"pvp",Inputs!$B$44&gt;0),IF(MAX(0,Inputs!$B$44-B2767)&lt;=0,0,(INT(MAX(0,Inputs!$B$44-B2767)/IF(Inputs!$B$39="pvp",15,MAX(0.1,Skills!D9-IF(FALSE=TRUE,Inputs!$B$32,0))))+1)),0)</f>
        <v/>
      </c>
      <c r="S2731">
        <f>IFERROR(O2731/N2731,0)</f>
        <v/>
      </c>
      <c r="T2731">
        <f>IF(C2731,(H2731*N2731*IF(AND(Inputs!$B$39&lt;&gt;"pvp",Inputs!$B$44&gt;0),((Skills!G9*((R2731-1)*IF(Skills!H9&gt;0,Skills!I9/Skills!H9,1)+IF(Skills!H9&gt;0,MIN(Skills!I9,MAX(0,MAX(0,Inputs!$B$44-B2767)-((R2731-1)*IF(Inputs!$B$39="pvp",15,MAX(0.1,Skills!D9-IF(FALSE=TRUE,Inputs!$B$32,0))))))/Skills!H9,1)))/Inputs!$B$44),G2731*Q2731))*IF(Inputs!$B$39="pvp",1,1+(Inputs!$B$20+0+Skills!P9+B2757+(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Hunt"),CHOOSE(ArtifactsInput!$N$35+1,15,18,21,24,27,30)*(1-EXP(-(0.2*B2760)*5)),0)+IF(AND(ArtifactsInput!$M$22,Inputs!$B$4&lt;&gt;"Chapter Hunt"),CHOOSE(ArtifactsInput!$N$22+1,10,12,14,16,18,20)*((0*(((0.15*B2760*5))^0/1)+1*(((0.15*B2760*5))^1/1)+2*(((0.15*B2760*5))^2/2)+3*(((0.15*B2760*5))^3/6)+4*(((0.15*B2760*5))^4/24)+5*(((0.15*B2760*5))^5/120))/((((0.15*B2760*5))^0/1)+(((0.15*B2760*5))^1/1)+(((0.15*B2760*5))^2/2)+(((0.15*B2760*5))^3/6)+(((0.15*B2760*5))^4/24)+(((0.15*B2760*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2731*(1-MIN(100,(Inputs!$B$9+((C2748=TRUE)*(F2748-Calc!F26))+B2756+(ArtifactsInput!$M$24-ArtifactsInput!$M$24)*CHOOSE(ArtifactsInput!$N$24+1,10,12,14,16,18,20)+(IF(AND(Inputs!$B$39&lt;&gt;"pvp",Inputs!$B$44=0),1,IF(IF(Inputs!$B$39="pvp",15,Inputs!$B$44)-(B2767)&lt;=0,1,MAX(0,IF(Inputs!$B$39="pvp",15,Inputs!$B$44)-MAX(5,B2767))/(IF(Inputs!$B$39="pvp",15,Inputs!$B$44)-(B2767))))*IF(AND(ArtifactsInput!$M$42,((Inputs!$B$9+((C2748=TRUE)*(F2748-Calc!F26))+B2756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2731*(MIN(100,(Inputs!$B$9+((C2748=TRUE)*(F2748-Calc!F26))+B2756+(ArtifactsInput!$M$24-ArtifactsInput!$M$24)*CHOOSE(ArtifactsInput!$N$24+1,10,12,14,16,18,20)+(IF(AND(Inputs!$B$39&lt;&gt;"pvp",Inputs!$B$44=0),1,IF(IF(Inputs!$B$39="pvp",15,Inputs!$B$44)-(B2767)&lt;=0,1,MAX(0,IF(Inputs!$B$39="pvp",15,Inputs!$B$44)-MAX(5,B2767))/(IF(Inputs!$B$39="pvp",15,Inputs!$B$44)-(B2767))))*IF(AND(ArtifactsInput!$M$42,((Inputs!$B$9+((C2748=TRUE)*(F2748-Calc!F26))+B2756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2731*(1-MIN(100,(Inputs!$B$9+((C2748=TRUE)*(F2748-Calc!F26))+B2756+(ArtifactsInput!$M$24-ArtifactsInput!$M$24)*CHOOSE(ArtifactsInput!$N$24+1,10,12,14,16,18,20)+(IF(AND(Inputs!$B$39&lt;&gt;"pvp",Inputs!$B$44=0),1,IF(IF(Inputs!$B$39="pvp",15,Inputs!$B$44)-(B2767)&lt;=0,1,MAX(0,IF(Inputs!$B$39="pvp",15,Inputs!$B$44)-MAX(5,B2767))/(IF(Inputs!$B$39="pvp",15,Inputs!$B$44)-(B2767))))*IF(AND(ArtifactsInput!$M$42,((Inputs!$B$9+((C2748=TRUE)*(F2748-Calc!F26))+B2756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2731*(MIN(100,(Inputs!$B$9+((C2748=TRUE)*(F2748-Calc!F26))+B2756+(ArtifactsInput!$M$24-ArtifactsInput!$M$24)*CHOOSE(ArtifactsInput!$N$24+1,10,12,14,16,18,20)+(IF(AND(Inputs!$B$39&lt;&gt;"pvp",Inputs!$B$44=0),1,IF(IF(Inputs!$B$39="pvp",15,Inputs!$B$44)-(B2767)&lt;=0,1,MAX(0,IF(Inputs!$B$39="pvp",15,Inputs!$B$44)-MAX(5,B2767))/(IF(Inputs!$B$39="pvp",15,Inputs!$B$44)-(B2767))))*IF(AND(ArtifactsInput!$M$42,((Inputs!$B$9+((C2748=TRUE)*(F2748-Calc!F26))+B2756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731">
        <f>IF(C2731,(H2731*N2731*IF(AND(Inputs!$B$39&lt;&gt;"pvp",Inputs!$B$44&gt;0),((Skills!G9*((R2731-1)*IF(Skills!H9&gt;0,Skills!I9/Skills!H9,1)+IF(Skills!H9&gt;0,MIN(Skills!I9,MAX(0,MAX(0,Inputs!$B$44-B2767)-((R2731-1)*IF(Inputs!$B$39="pvp",15,MAX(0.1,Skills!D9-IF(FALSE=TRUE,Inputs!$B$32,0))))))/Skills!H9,1)))/Inputs!$B$44),G2731*Q2731))*IF(Inputs!$B$39="pvp",1,(1+(Inputs!$B$21+Skills!Q9+B2757+(IF(ArtifactsInput!$M$33,CHOOSE(ArtifactsInput!$N$33+1,30,36,42,48,54,60),0))+(IF(AND(ArtifactsInput!$M$35,Inputs!$B$4&lt;&gt;"Chapter Hunt"),CHOOSE(ArtifactsInput!$N$35+1,15,18,21,24,27,30)*(1-EXP(-(0.2*B2760)*5)),0)+IF(AND(ArtifactsInput!$M$22,Inputs!$B$4&lt;&gt;"Chapter Hunt"),CHOOSE(ArtifactsInput!$N$22+1,10,12,14,16,18,20)*((0*(((0.15*B2760*5))^0/1)+1*(((0.15*B2760*5))^1/1)+2*(((0.15*B2760*5))^2/2)+3*(((0.15*B2760*5))^3/6)+4*(((0.15*B2760*5))^4/24)+5*(((0.15*B2760*5))^5/120))/((((0.15*B2760*5))^0/1)+(((0.15*B2760*5))^1/1)+(((0.15*B2760*5))^2/2)+(((0.15*B2760*5))^3/6)+(((0.15*B2760*5))^4/24)+(((0.15*B2760*5))^5/120))),0)))/100)*(MIN(Skills!W9,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732">
      <c r="A2732">
        <f>Skills!A10</f>
        <v/>
      </c>
      <c r="B2732">
        <f>Skills!B10</f>
        <v/>
      </c>
      <c r="C2732">
        <f>Inputs!$B$3&gt;=117</f>
        <v/>
      </c>
      <c r="D2732">
        <f>IF(Skills!C10=1,60+Inputs!$B$25+Inputs!$B$29,IF(Skills!C10=2,90+Inputs!$B$26+Inputs!$B$29,IF(Skills!C10=3,120+Inputs!$B$27+Inputs!$B$29,MAX(0,(Inputs!$B$3-100)*3)+Inputs!$B$28+Inputs!$B$29)))</f>
        <v/>
      </c>
      <c r="E2732">
        <f>INDEX(FactorTable!$B$2:$Y$301, MATCH(ROUND(MIN(300,MAX(1,D2732)),0), FactorTable!$A$2:$A$301,0), Skills!M10+1)</f>
        <v/>
      </c>
      <c r="F2732">
        <f>IF(Skills!N10=TRUE,(Skills!L10/10)*(E2732/1000),Skills!L10/10)+Skills!O10</f>
        <v/>
      </c>
      <c r="G2732">
        <f>Skills!G10*IF(Skills!H10&gt;0,IF(Inputs!$B$39="pvp",MIN(Skills!I10,15),Skills!I10)/Skills!H10,1)</f>
        <v/>
      </c>
      <c r="H2732">
        <f>1-(1-Skills!J10/100)^Skills!K10</f>
        <v/>
      </c>
      <c r="I2732" t="inlineStr">
        <is>
          <t>1</t>
        </is>
      </c>
      <c r="J2732">
        <f>((Inputs!$B$6*(1+Inputs!$B$7/100))+(((Inputs!$B$12*(1+Inputs!$B$13/100))-(Inputs!$B$12*(1+Inputs!$B$13/100)))+0.25*(Inputs!$B$14-Inputs!$B$14))*(1+Inputs!$B$7/100))*(F2732/100)</f>
        <v/>
      </c>
      <c r="K2732">
        <f>J2732*(1+((Inputs!$B$12*(1+Inputs!$B$13/100))*0.01+Inputs!$B$14*0.0025)/100)*(1+Inputs!$B$15/100)*(1+Inputs!$B$16/100)*(5000/(6000+Inputs!$B$43*(1-(100*(1-(1-Inputs!$B$19/100)*(1-CHOOSE(ArtifactsInput!$N$40+1,5,6,7,8,9,10)/100)^(ArtifactsInput!$M$40-ArtifactsInput!$M$40)))/100)))*(1+(Inputs!$B$24+((C2753=TRUE)*(F2753-Calc!F31))+((C2740=TRUE)*(F2740-Calc!F18)))/100)*(1+(((1+IF(AND(ArtifactsInput!$M$36,IF(Inputs!$B$39="pvp",TRUE,AND(Inputs!$B$39&lt;&gt;"pvp",Inputs!$B$44&gt;0))),CHOOSE(ArtifactsInput!$N$36+1,8,9.6,11.2,12.8,14.4,16),0)/100)*(1+IF(AND(IF(ArtifactsInput!$M$32,FALSE,TRUE),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10="CRUEL_STAB",Inputs!$B$17+((C2750=TRUE)*(F2750-Calc!F28))+((IF(AND(Inputs!$B$39&lt;&gt;"pvp",Inputs!$B$44=0),1,IF(IF(Inputs!$B$39="pvp",15,Inputs!$B$44)-(B2767)&lt;=0,1,MAX(0,IF(Inputs!$B$39="pvp",15,Inputs!$B$44)-MAX(5,B2767))/(IF(Inputs!$B$39="pvp",15,Inputs!$B$44)-(B2767))))*(IF(AND(ArtifactsInput!$M$42,((Inputs!$B$9+((C2748=TRUE)*(F2748-Calc!F26))+B2756+(ArtifactsInput!$M$24-ArtifactsInput!$M$24)*CHOOSE(ArtifactsInput!$N$24+1,10,12,14,16,18,20)+IF(ArtifactsInput!$M$10,CHOOSE(ArtifactsInput!$N$10+1,15,18,21,24,27,30)*(IF(Inputs!$B$39="pvp",MIN(15,15)/15,IF(AND(Inputs!$B$39&lt;&gt;"pvp",Inputs!$B$44&gt;0),MIN(15,Inputs!$B$44)/(Inputs!$B$44),0))),0)))&gt;=100),MIN(100,((Inputs!$B$9+((C2748=TRUE)*(F2748-Calc!F26))+B2756+(ArtifactsInput!$M$24-ArtifactsInput!$M$24)*CHOOSE(ArtifactsInput!$N$24+1,10,12,14,16,18,20)+IF(ArtifactsInput!$M$10,CHOOSE(ArtifactsInput!$N$10+1,15,18,21,24,27,30)*(IF(Inputs!$B$39="pvp",MIN(15,15)/15,IF(AND(Inputs!$B$39&lt;&gt;"pvp",Inputs!$B$44&gt;0),MIN(15,Inputs!$B$44)/(Inputs!$B$44),0))),0)))-100),0))*CHOOSE(ArtifactsInput!$N$42+1,0.6,0.72,0.84,0.96,1.08,1.2))),Inputs!$B$18+((C2751=TRUE)*(F2751-Calc!F29))+(IF(AND(Inputs!$B$39&lt;&gt;"pvp",Inputs!$B$44=0),1,IF(IF(Inputs!$B$39="pvp",15,Inputs!$B$44)-(B2767)&lt;=0,1,MAX(0,IF(Inputs!$B$39="pvp",15,Inputs!$B$44)-MAX(5,B2767))/(IF(Inputs!$B$39="pvp",15,Inputs!$B$44)-(B2767))))*IF(AND(ArtifactsInput!$M$42,((Inputs!$B$9+((C2748=TRUE)*(F2748-Calc!F26))+B2756+(ArtifactsInput!$M$24-ArtifactsInput!$M$24)*CHOOSE(ArtifactsInput!$N$24+1,10,12,14,16,18,20)+IF(ArtifactsInput!$M$10,CHOOSE(ArtifactsInput!$N$10+1,15,18,21,24,27,30)*(IF(Inputs!$B$39="pvp",MIN(15,15)/15,IF(AND(Inputs!$B$39&lt;&gt;"pvp",Inputs!$B$44&gt;0),MIN(15,Inputs!$B$44)/(Inputs!$B$44),0))),0)))&gt;=100),CHOOSE(ArtifactsInput!$N$42+1,40,48,56,64,72,80),0))))/100)*(((1+(((C2744=TRUE)*F2744*IF(AND(Inputs!$B$39&lt;&gt;"pvp",Inputs!$B$44&gt;0),(((R2744-1)*MIN((Skills!Y22*(1+Inputs!$B$34/100)),(1/Q2744))+MIN((Skills!Y22*(1+Inputs!$B$34/100)),MAX(0,Inputs!$B$44-((R2744-1)*(1/Q2744)))))/Inputs!$B$44),IF(Inputs!$B$39="pvp",MIN((Skills!Y22*(1+Inputs!$B$34/100)),15)/15,MIN(1,(Skills!Y22*(1+Inputs!$B$34/100))/(1/Q2744)))))+((C2725=TRUE)*F2725*3)+((C2727=TRUE)*F2727*(1-EXP(-0.75*B2760*5)))+((C2746=TRUE)*(F2746-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2733=TRUE)*F2733*IF(AND(Inputs!$B$39&lt;&gt;"pvp",Inputs!$B$44&gt;0),(((R2733-1)*MIN((Skills!Y11*(1+Inputs!$B$34/100)),(1/Q2733))+MIN((Skills!Y11*(1+Inputs!$B$34/100)),MAX(0,Inputs!$B$44-((R2733-1)*(1/Q2733)))))/Inputs!$B$44),IF(Inputs!$B$39="pvp",MIN((Skills!Y11*(1+Inputs!$B$34/100)),15)/15,MIN(1,(Skills!Y11*(1+Inputs!$B$34/100))/(1/Q2733)))))/100)*(1+((C2738=TRUE)*F2738*IF(AND(Inputs!$B$39&lt;&gt;"pvp",Inputs!$B$44&gt;0),(((R2738-1)*MIN((Skills!Y16*(1+Inputs!$B$34/100)),(1/Q2738))+MIN((Skills!Y16*(1+Inputs!$B$34/100)),MAX(0,Inputs!$B$44-((R2738-1)*(1/Q2738)))))/Inputs!$B$44),IF(Inputs!$B$39="pvp",MIN((Skills!Y16*(1+Inputs!$B$34/100)),15)/15,MIN(1,(Skills!Y16*(1+Inputs!$B$34/100))/(1/Q2738)))))/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2758*I2732)</f>
        <v/>
      </c>
      <c r="L2732">
        <f>K2732*(MIN(Inputs!$B$22+((C2747=TRUE)*(F2747-Calc!F25)),(Inputs!$B$23+((C2752=TRUE)*(F2752-Calc!F30))+IF(ArtifactsInput!$M$15,CHOOSE(ArtifactsInput!$N$15+1,25,30,35,40,45,50)/100*(Inputs!$B$11-Inputs!$B$11),0)))/100+(Inputs!$B$23+((C2752=TRUE)*(F2752-Calc!F30))+IF(ArtifactsInput!$M$15,CHOOSE(ArtifactsInput!$N$15+1,25,30,35,40,45,50)/100*(Inputs!$B$11-Inputs!$B$11),0))/100)/2</f>
        <v/>
      </c>
      <c r="M2732">
        <f>L2732*(1+(Inputs!$B$10+((C2749=TRUE)*(F2749-Calc!F27))+B2763+(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2732">
        <f>L2732*(1-MIN((Inputs!$B$9+((C2748=TRUE)*(F2748-Calc!F26))+B2756+(ArtifactsInput!$M$24-ArtifactsInput!$M$24)*CHOOSE(ArtifactsInput!$N$24+1,10,12,14,16,18,20)+(IF(AND(Inputs!$B$39&lt;&gt;"pvp",Inputs!$B$44=0),1,IF(IF(Inputs!$B$39="pvp",15,Inputs!$B$44)-(B2767)&lt;=0,1,MAX(0,IF(Inputs!$B$39="pvp",15,Inputs!$B$44)-MAX(5,B2767))/(IF(Inputs!$B$39="pvp",15,Inputs!$B$44)-(B2767))))*IF(AND(ArtifactsInput!$M$42,((Inputs!$B$9+((C2748=TRUE)*(F2748-Calc!F26))+B2756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2732*(MIN((Inputs!$B$9+((C2748=TRUE)*(F2748-Calc!F26))+B2756+(ArtifactsInput!$M$24-ArtifactsInput!$M$24)*CHOOSE(ArtifactsInput!$N$24+1,10,12,14,16,18,20)+(IF(AND(Inputs!$B$39&lt;&gt;"pvp",Inputs!$B$44=0),1,IF(IF(Inputs!$B$39="pvp",15,Inputs!$B$44)-(B2767)&lt;=0,1,MAX(0,IF(Inputs!$B$39="pvp",15,Inputs!$B$44)-MAX(5,B2767))/(IF(Inputs!$B$39="pvp",15,Inputs!$B$44)-(B2767))))*IF(AND(ArtifactsInput!$M$42,((Inputs!$B$9+((C2748=TRUE)*(F2748-Calc!F26))+B2756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732">
        <f>(1-Summary!$B$11)*T2732+Summary!$B$11*V2732</f>
        <v/>
      </c>
      <c r="P2732">
        <f>IF(B2768=0,0,O2732/B2768)</f>
        <v/>
      </c>
      <c r="Q2732" t="n">
        <v>0</v>
      </c>
      <c r="R2732" t="n">
        <v>0</v>
      </c>
      <c r="S2732" t="n">
        <v>0</v>
      </c>
      <c r="T2732">
        <f>IF(C2732,(0.2*SUMPRODUCT((Skills!Z2:Z31=TRUE)*(C2724:C2753=TRUE)*S2724:S2753)*N2732)*IF(Inputs!$B$39="pvp",1,1+(Inputs!$B$20+0+Skills!P10+B2757+(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Hunt"),CHOOSE(ArtifactsInput!$N$35+1,15,18,21,24,27,30)*(1-EXP(-(0.2*B2760)*5)),0)+IF(AND(ArtifactsInput!$M$22,Inputs!$B$4&lt;&gt;"Chapter Hunt"),CHOOSE(ArtifactsInput!$N$22+1,10,12,14,16,18,20)*((0*(((0.15*B2760*5))^0/1)+1*(((0.15*B2760*5))^1/1)+2*(((0.15*B2760*5))^2/2)+3*(((0.15*B2760*5))^3/6)+4*(((0.15*B2760*5))^4/24)+5*(((0.15*B2760*5))^5/120))/((((0.15*B2760*5))^0/1)+(((0.15*B2760*5))^1/1)+(((0.15*B2760*5))^2/2)+(((0.15*B2760*5))^3/6)+(((0.15*B2760*5))^4/24)+(((0.15*B2760*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2732*(1-MIN(100,(Inputs!$B$9+((C2748=TRUE)*(F2748-Calc!F26))+B2756+(ArtifactsInput!$M$24-ArtifactsInput!$M$24)*CHOOSE(ArtifactsInput!$N$24+1,10,12,14,16,18,20)+(IF(AND(Inputs!$B$39&lt;&gt;"pvp",Inputs!$B$44=0),1,IF(IF(Inputs!$B$39="pvp",15,Inputs!$B$44)-(B2767)&lt;=0,1,MAX(0,IF(Inputs!$B$39="pvp",15,Inputs!$B$44)-MAX(5,B2767))/(IF(Inputs!$B$39="pvp",15,Inputs!$B$44)-(B2767))))*IF(AND(ArtifactsInput!$M$42,((Inputs!$B$9+((C2748=TRUE)*(F2748-Calc!F26))+B2756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2732*(MIN(100,(Inputs!$B$9+((C2748=TRUE)*(F2748-Calc!F26))+B2756+(ArtifactsInput!$M$24-ArtifactsInput!$M$24)*CHOOSE(ArtifactsInput!$N$24+1,10,12,14,16,18,20)+(IF(AND(Inputs!$B$39&lt;&gt;"pvp",Inputs!$B$44=0),1,IF(IF(Inputs!$B$39="pvp",15,Inputs!$B$44)-(B2767)&lt;=0,1,MAX(0,IF(Inputs!$B$39="pvp",15,Inputs!$B$44)-MAX(5,B2767))/(IF(Inputs!$B$39="pvp",15,Inputs!$B$44)-(B2767))))*IF(AND(ArtifactsInput!$M$42,((Inputs!$B$9+((C2748=TRUE)*(F2748-Calc!F26))+B2756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2732*(1-MIN(100,(Inputs!$B$9+((C2748=TRUE)*(F2748-Calc!F26))+B2756+(ArtifactsInput!$M$24-ArtifactsInput!$M$24)*CHOOSE(ArtifactsInput!$N$24+1,10,12,14,16,18,20)+(IF(AND(Inputs!$B$39&lt;&gt;"pvp",Inputs!$B$44=0),1,IF(IF(Inputs!$B$39="pvp",15,Inputs!$B$44)-(B2767)&lt;=0,1,MAX(0,IF(Inputs!$B$39="pvp",15,Inputs!$B$44)-MAX(5,B2767))/(IF(Inputs!$B$39="pvp",15,Inputs!$B$44)-(B2767))))*IF(AND(ArtifactsInput!$M$42,((Inputs!$B$9+((C2748=TRUE)*(F2748-Calc!F26))+B2756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2732*(MIN(100,(Inputs!$B$9+((C2748=TRUE)*(F2748-Calc!F26))+B2756+(ArtifactsInput!$M$24-ArtifactsInput!$M$24)*CHOOSE(ArtifactsInput!$N$24+1,10,12,14,16,18,20)+(IF(AND(Inputs!$B$39&lt;&gt;"pvp",Inputs!$B$44=0),1,IF(IF(Inputs!$B$39="pvp",15,Inputs!$B$44)-(B2767)&lt;=0,1,MAX(0,IF(Inputs!$B$39="pvp",15,Inputs!$B$44)-MAX(5,B2767))/(IF(Inputs!$B$39="pvp",15,Inputs!$B$44)-(B2767))))*IF(AND(ArtifactsInput!$M$42,((Inputs!$B$9+((C2748=TRUE)*(F2748-Calc!F26))+B2756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732">
        <f>IF(C2732,(0.2*SUMPRODUCT((Skills!Z2:Z31=TRUE)*(C2724:C2753=TRUE)*S2724:S2753)*N2732)*IF(Inputs!$B$39="pvp",1,(1+(Inputs!$B$21+Skills!Q10+B2757+(IF(ArtifactsInput!$M$33,CHOOSE(ArtifactsInput!$N$33+1,30,36,42,48,54,60),0))+(IF(AND(ArtifactsInput!$M$35,Inputs!$B$4&lt;&gt;"Chapter Hunt"),CHOOSE(ArtifactsInput!$N$35+1,15,18,21,24,27,30)*(1-EXP(-(0.2*B2760)*5)),0)+IF(AND(ArtifactsInput!$M$22,Inputs!$B$4&lt;&gt;"Chapter Hunt"),CHOOSE(ArtifactsInput!$N$22+1,10,12,14,16,18,20)*((0*(((0.15*B2760*5))^0/1)+1*(((0.15*B2760*5))^1/1)+2*(((0.15*B2760*5))^2/2)+3*(((0.15*B2760*5))^3/6)+4*(((0.15*B2760*5))^4/24)+5*(((0.15*B2760*5))^5/120))/((((0.15*B2760*5))^0/1)+(((0.15*B2760*5))^1/1)+(((0.15*B2760*5))^2/2)+(((0.15*B2760*5))^3/6)+(((0.15*B2760*5))^4/24)+(((0.15*B2760*5))^5/120))),0)))/100)*(MIN(Skills!W10,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733">
      <c r="A2733">
        <f>Skills!A11</f>
        <v/>
      </c>
      <c r="B2733">
        <f>Skills!B11</f>
        <v/>
      </c>
      <c r="C2733">
        <f>Inputs!$B$3&gt;=74</f>
        <v/>
      </c>
      <c r="D2733">
        <f>IF(Skills!C11=1,60+Inputs!$B$25+Inputs!$B$29,IF(Skills!C11=2,90+Inputs!$B$26+Inputs!$B$29,IF(Skills!C11=3,120+Inputs!$B$27+Inputs!$B$29,MAX(0,(Inputs!$B$3-100)*3)+Inputs!$B$28+Inputs!$B$29)))</f>
        <v/>
      </c>
      <c r="E2733">
        <f>INDEX(FactorTable!$B$2:$Y$301, MATCH(ROUND(MIN(300,MAX(1,D2733)),0), FactorTable!$A$2:$A$301,0), Skills!M11+1)</f>
        <v/>
      </c>
      <c r="F2733">
        <f>IF(Skills!N11=TRUE,(Skills!L11/10)*(E2733/1000),Skills!L11/10)+Skills!O11</f>
        <v/>
      </c>
      <c r="G2733">
        <f>Skills!G11*IF(Skills!H11&gt;0,IF(Inputs!$B$39="pvp",MIN(Skills!I11,15),Skills!I11)/Skills!H11,1)</f>
        <v/>
      </c>
      <c r="H2733">
        <f>1-(1-Skills!J11/100)^Skills!K11</f>
        <v/>
      </c>
      <c r="I2733" t="inlineStr">
        <is>
          <t>1</t>
        </is>
      </c>
      <c r="J2733" t="inlineStr"/>
      <c r="K2733" t="inlineStr"/>
      <c r="L2733" t="inlineStr"/>
      <c r="M2733" t="inlineStr"/>
      <c r="N2733" t="inlineStr"/>
      <c r="O2733">
        <f>(1-Summary!$B$11)*T2733+Summary!$B$11*V2733</f>
        <v/>
      </c>
      <c r="P2733">
        <f>IF(B2768=0,0,O2733/B2768)</f>
        <v/>
      </c>
      <c r="Q2733">
        <f>IFERROR(1/IF(Inputs!$B$39="pvp",15,MAX(0.1,Skills!D11-IF(TRUE=TRUE,Inputs!$B$32,0))),0)</f>
        <v/>
      </c>
      <c r="R2733">
        <f>IF(AND(Inputs!$B$39&lt;&gt;"pvp",Inputs!$B$44&gt;0),IF(Inputs!$B$44&lt;=0,0,(INT(Inputs!$B$44/IF(Inputs!$B$39="pvp",15,MAX(0.1,Skills!D11-IF(TRUE=TRUE,Inputs!$B$32,0))))+1)),0)</f>
        <v/>
      </c>
      <c r="S2733">
        <f>IFERROR(O2733/N2733,0)</f>
        <v/>
      </c>
      <c r="T2733" t="n">
        <v>0</v>
      </c>
      <c r="V2733" t="n">
        <v>0</v>
      </c>
    </row>
    <row r="2734">
      <c r="A2734">
        <f>Skills!A12</f>
        <v/>
      </c>
      <c r="B2734">
        <f>Skills!B12</f>
        <v/>
      </c>
      <c r="C2734">
        <f>Inputs!$B$3&gt;=103</f>
        <v/>
      </c>
      <c r="D2734">
        <f>IF(Skills!C12=1,60+Inputs!$B$25+Inputs!$B$29,IF(Skills!C12=2,90+Inputs!$B$26+Inputs!$B$29,IF(Skills!C12=3,120+Inputs!$B$27+Inputs!$B$29,MAX(0,(Inputs!$B$3-100)*3)+Inputs!$B$28+Inputs!$B$29)))</f>
        <v/>
      </c>
      <c r="E2734">
        <f>INDEX(FactorTable!$B$2:$Y$301, MATCH(ROUND(MIN(300,MAX(1,D2734)),0), FactorTable!$A$2:$A$301,0), Skills!M12+1)</f>
        <v/>
      </c>
      <c r="F2734">
        <f>(Skills!L12/10)*(E2734/1000)+IF(Inputs!$B$3&gt;=134,50,0)+0.5*(30000/10)*(INDEX(FactorTable!$B$2:$Y$301, MATCH(ROUND(MIN(300,MAX(1,D2734)),0), FactorTable!$A$2:$A$301,0), 13)/1000)*B2766</f>
        <v/>
      </c>
      <c r="G2734">
        <f>Skills!G12*IF(Skills!H12&gt;0,IF(Inputs!$B$39="pvp",MIN(Skills!I12,15),Skills!I12)/Skills!H12,1)</f>
        <v/>
      </c>
      <c r="H2734">
        <f>1-(1-Skills!J12/100)^Skills!K12</f>
        <v/>
      </c>
      <c r="I2734" t="inlineStr">
        <is>
          <t>1</t>
        </is>
      </c>
      <c r="J2734">
        <f>((Inputs!$B$6*(1+Inputs!$B$7/100))+(((Inputs!$B$12*(1+Inputs!$B$13/100))-(Inputs!$B$12*(1+Inputs!$B$13/100)))+0.25*(Inputs!$B$14-Inputs!$B$14))*(1+Inputs!$B$7/100))*(F2734/100)</f>
        <v/>
      </c>
      <c r="K2734">
        <f>J2734*(1+((Inputs!$B$12*(1+Inputs!$B$13/100))*0.01+Inputs!$B$14*0.0025)/100)*(1+Inputs!$B$15/100)*(1+Inputs!$B$16/100)*(5000/(6000+Inputs!$B$43*(1-(100*(1-(1-Inputs!$B$19/100)*(1-CHOOSE(ArtifactsInput!$N$40+1,5,6,7,8,9,10)/100)^(ArtifactsInput!$M$40-ArtifactsInput!$M$40)))/100)))*(1+(Inputs!$B$24+((C2753=TRUE)*(F2753-Calc!F31))+((C2740=TRUE)*(F2740-Calc!F18)))/100)*(1+(((1+IF(AND(ArtifactsInput!$M$36,IF(Inputs!$B$39="pvp",TRUE,AND(Inputs!$B$39&lt;&gt;"pvp",Inputs!$B$44&gt;0))),CHOOSE(ArtifactsInput!$N$36+1,8,9.6,11.2,12.8,14.4,16),0)/100)*(1+IF(AND(IF(ArtifactsInput!$M$32,FALSE,TRUE),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12="CRUEL_STAB",Inputs!$B$17+((C2750=TRUE)*(F2750-Calc!F28))+((IF(AND(Inputs!$B$39&lt;&gt;"pvp",Inputs!$B$44=0),1,IF(IF(Inputs!$B$39="pvp",15,Inputs!$B$44)-(B2767)&lt;=0,1,MAX(0,IF(Inputs!$B$39="pvp",15,Inputs!$B$44)-MAX(5,B2767))/(IF(Inputs!$B$39="pvp",15,Inputs!$B$44)-(B2767))))*(IF(AND(ArtifactsInput!$M$42,((Inputs!$B$9+((C2748=TRUE)*(F2748-Calc!F26))+B2756+(ArtifactsInput!$M$24-ArtifactsInput!$M$24)*CHOOSE(ArtifactsInput!$N$24+1,10,12,14,16,18,20)+IF(ArtifactsInput!$M$10,CHOOSE(ArtifactsInput!$N$10+1,15,18,21,24,27,30)*(IF(Inputs!$B$39="pvp",MIN(15,15)/15,IF(AND(Inputs!$B$39&lt;&gt;"pvp",Inputs!$B$44&gt;0),MIN(15,Inputs!$B$44)/(Inputs!$B$44),0))),0)))&gt;=100),MIN(100,((Inputs!$B$9+((C2748=TRUE)*(F2748-Calc!F26))+B2756+(ArtifactsInput!$M$24-ArtifactsInput!$M$24)*CHOOSE(ArtifactsInput!$N$24+1,10,12,14,16,18,20)+IF(ArtifactsInput!$M$10,CHOOSE(ArtifactsInput!$N$10+1,15,18,21,24,27,30)*(IF(Inputs!$B$39="pvp",MIN(15,15)/15,IF(AND(Inputs!$B$39&lt;&gt;"pvp",Inputs!$B$44&gt;0),MIN(15,Inputs!$B$44)/(Inputs!$B$44),0))),0)))-100),0))*CHOOSE(ArtifactsInput!$N$42+1,0.6,0.72,0.84,0.96,1.08,1.2))),Inputs!$B$18+((C2751=TRUE)*(F2751-Calc!F29))+(IF(AND(Inputs!$B$39&lt;&gt;"pvp",Inputs!$B$44=0),1,IF(IF(Inputs!$B$39="pvp",15,Inputs!$B$44)-(B2767)&lt;=0,1,MAX(0,IF(Inputs!$B$39="pvp",15,Inputs!$B$44)-MAX(5,B2767))/(IF(Inputs!$B$39="pvp",15,Inputs!$B$44)-(B2767))))*IF(AND(ArtifactsInput!$M$42,((Inputs!$B$9+((C2748=TRUE)*(F2748-Calc!F26))+B2756+(ArtifactsInput!$M$24-ArtifactsInput!$M$24)*CHOOSE(ArtifactsInput!$N$24+1,10,12,14,16,18,20)+IF(ArtifactsInput!$M$10,CHOOSE(ArtifactsInput!$N$10+1,15,18,21,24,27,30)*(IF(Inputs!$B$39="pvp",MIN(15,15)/15,IF(AND(Inputs!$B$39&lt;&gt;"pvp",Inputs!$B$44&gt;0),MIN(15,Inputs!$B$44)/(Inputs!$B$44),0))),0)))&gt;=100),CHOOSE(ArtifactsInput!$N$42+1,40,48,56,64,72,80),0))))/100)*(((1+(((C2744=TRUE)*F2744*IF(AND(Inputs!$B$39&lt;&gt;"pvp",Inputs!$B$44&gt;0),(((R2744-1)*MIN((Skills!Y22*(1+Inputs!$B$34/100)),(1/Q2744))+MIN((Skills!Y22*(1+Inputs!$B$34/100)),MAX(0,Inputs!$B$44-((R2744-1)*(1/Q2744)))))/Inputs!$B$44),IF(Inputs!$B$39="pvp",MIN((Skills!Y22*(1+Inputs!$B$34/100)),15)/15,MIN(1,(Skills!Y22*(1+Inputs!$B$34/100))/(1/Q2744)))))+((C2725=TRUE)*F2725*3)+((C2727=TRUE)*F2727*(1-EXP(-0.75*B2760*5)))+((C2746=TRUE)*(F2746-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2733=TRUE)*F2733*IF(AND(Inputs!$B$39&lt;&gt;"pvp",Inputs!$B$44&gt;0),(((R2733-1)*MIN((Skills!Y11*(1+Inputs!$B$34/100)),(1/Q2733))+MIN((Skills!Y11*(1+Inputs!$B$34/100)),MAX(0,Inputs!$B$44-((R2733-1)*(1/Q2733)))))/Inputs!$B$44),IF(Inputs!$B$39="pvp",MIN((Skills!Y11*(1+Inputs!$B$34/100)),15)/15,MIN(1,(Skills!Y11*(1+Inputs!$B$34/100))/(1/Q2733)))))/100)*(1+((C2738=TRUE)*F2738*IF(AND(Inputs!$B$39&lt;&gt;"pvp",Inputs!$B$44&gt;0),(((R2738-1)*MIN((Skills!Y16*(1+Inputs!$B$34/100)),(1/Q2738))+MIN((Skills!Y16*(1+Inputs!$B$34/100)),MAX(0,Inputs!$B$44-((R2738-1)*(1/Q2738)))))/Inputs!$B$44),IF(Inputs!$B$39="pvp",MIN((Skills!Y16*(1+Inputs!$B$34/100)),15)/15,MIN(1,(Skills!Y16*(1+Inputs!$B$34/100))/(1/Q2738)))))/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2758*I2734)</f>
        <v/>
      </c>
      <c r="L2734">
        <f>K2734*(MIN(Inputs!$B$22+((C2747=TRUE)*(F2747-Calc!F25)),(Inputs!$B$23+((C2752=TRUE)*(F2752-Calc!F30))+IF(ArtifactsInput!$M$15,CHOOSE(ArtifactsInput!$N$15+1,25,30,35,40,45,50)/100*(Inputs!$B$11-Inputs!$B$11),0)))/100+(Inputs!$B$23+((C2752=TRUE)*(F2752-Calc!F30))+IF(ArtifactsInput!$M$15,CHOOSE(ArtifactsInput!$N$15+1,25,30,35,40,45,50)/100*(Inputs!$B$11-Inputs!$B$11),0))/100)/2</f>
        <v/>
      </c>
      <c r="M2734">
        <f>L2734*(1+(Inputs!$B$10+((C2749=TRUE)*(F2749-Calc!F27))+B2763+(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2734">
        <f>L2734*(1-MIN((Inputs!$B$9+((C2748=TRUE)*(F2748-Calc!F26))+B2756+(ArtifactsInput!$M$24-ArtifactsInput!$M$24)*CHOOSE(ArtifactsInput!$N$24+1,10,12,14,16,18,20)+(IF(AND(Inputs!$B$39&lt;&gt;"pvp",Inputs!$B$44=0),1,IF(IF(Inputs!$B$39="pvp",15,Inputs!$B$44)-(B2767)&lt;=0,1,MAX(0,IF(Inputs!$B$39="pvp",15,Inputs!$B$44)-MAX(5,B2767))/(IF(Inputs!$B$39="pvp",15,Inputs!$B$44)-(B2767))))*IF(AND(ArtifactsInput!$M$42,((Inputs!$B$9+((C2748=TRUE)*(F2748-Calc!F26))+B2756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2734*(MIN((Inputs!$B$9+((C2748=TRUE)*(F2748-Calc!F26))+B2756+(ArtifactsInput!$M$24-ArtifactsInput!$M$24)*CHOOSE(ArtifactsInput!$N$24+1,10,12,14,16,18,20)+(IF(AND(Inputs!$B$39&lt;&gt;"pvp",Inputs!$B$44=0),1,IF(IF(Inputs!$B$39="pvp",15,Inputs!$B$44)-(B2767)&lt;=0,1,MAX(0,IF(Inputs!$B$39="pvp",15,Inputs!$B$44)-MAX(5,B2767))/(IF(Inputs!$B$39="pvp",15,Inputs!$B$44)-(B2767))))*IF(AND(ArtifactsInput!$M$42,((Inputs!$B$9+((C2748=TRUE)*(F2748-Calc!F26))+B2756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734">
        <f>(1-Summary!$B$11)*T2734+Summary!$B$11*V2734</f>
        <v/>
      </c>
      <c r="P2734">
        <f>IF(B2768=0,0,O2734/B2768)</f>
        <v/>
      </c>
      <c r="Q2734">
        <f>IFERROR(1/IF(Inputs!$B$39="pvp",15,MAX(0.1,Skills!D12-IF(TRUE=TRUE,Inputs!$B$32,0))),0)</f>
        <v/>
      </c>
      <c r="R2734">
        <f>IF(AND(Inputs!$B$39&lt;&gt;"pvp",Inputs!$B$44&gt;0),IF(MAX(0,Inputs!$B$44-B2767)&lt;=0,0,(INT(MAX(0,Inputs!$B$44-B2767)/IF(Inputs!$B$39="pvp",15,MAX(0.1,Skills!D12-IF(TRUE=TRUE,Inputs!$B$32,0))))+1)),0)</f>
        <v/>
      </c>
      <c r="S2734">
        <f>IFERROR(O2734/N2734,0)</f>
        <v/>
      </c>
      <c r="T2734">
        <f>IF(C2734,(H2734*N2734*IF(AND(Inputs!$B$39&lt;&gt;"pvp",Inputs!$B$44&gt;0),((Skills!G12*((R2734-1)*IF(Skills!H12&gt;0,Skills!I12/Skills!H12,1)+IF(Skills!H12&gt;0,MIN(Skills!I12,MAX(0,MAX(0,Inputs!$B$44-B2767)-((R2734-1)*IF(Inputs!$B$39="pvp",15,MAX(0.1,Skills!D12-IF(TRUE=TRUE,Inputs!$B$32,0))))))/Skills!H12,1)))/Inputs!$B$44),G2734*Q2734))*IF(Inputs!$B$39="pvp",1,1+(Inputs!$B$20+0+Skills!P12+B2757+(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Hunt"),CHOOSE(ArtifactsInput!$N$35+1,15,18,21,24,27,30)*(1-EXP(-(0.2*B2760)*5)),0)+IF(AND(ArtifactsInput!$M$22,Inputs!$B$4&lt;&gt;"Chapter Hunt"),CHOOSE(ArtifactsInput!$N$22+1,10,12,14,16,18,20)*((0*(((0.15*B2760*5))^0/1)+1*(((0.15*B2760*5))^1/1)+2*(((0.15*B2760*5))^2/2)+3*(((0.15*B2760*5))^3/6)+4*(((0.15*B2760*5))^4/24)+5*(((0.15*B2760*5))^5/120))/((((0.15*B2760*5))^0/1)+(((0.15*B2760*5))^1/1)+(((0.15*B2760*5))^2/2)+(((0.15*B2760*5))^3/6)+(((0.15*B2760*5))^4/24)+(((0.15*B2760*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2734*(1-MIN(100,(Inputs!$B$9+((C2748=TRUE)*(F2748-Calc!F26))+B2756+(ArtifactsInput!$M$24-ArtifactsInput!$M$24)*CHOOSE(ArtifactsInput!$N$24+1,10,12,14,16,18,20)+(IF(AND(Inputs!$B$39&lt;&gt;"pvp",Inputs!$B$44=0),1,IF(IF(Inputs!$B$39="pvp",15,Inputs!$B$44)-(B2767)&lt;=0,1,MAX(0,IF(Inputs!$B$39="pvp",15,Inputs!$B$44)-MAX(5,B2767))/(IF(Inputs!$B$39="pvp",15,Inputs!$B$44)-(B2767))))*IF(AND(ArtifactsInput!$M$42,((Inputs!$B$9+((C2748=TRUE)*(F2748-Calc!F26))+B2756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2734*(MIN(100,(Inputs!$B$9+((C2748=TRUE)*(F2748-Calc!F26))+B2756+(ArtifactsInput!$M$24-ArtifactsInput!$M$24)*CHOOSE(ArtifactsInput!$N$24+1,10,12,14,16,18,20)+(IF(AND(Inputs!$B$39&lt;&gt;"pvp",Inputs!$B$44=0),1,IF(IF(Inputs!$B$39="pvp",15,Inputs!$B$44)-(B2767)&lt;=0,1,MAX(0,IF(Inputs!$B$39="pvp",15,Inputs!$B$44)-MAX(5,B2767))/(IF(Inputs!$B$39="pvp",15,Inputs!$B$44)-(B2767))))*IF(AND(ArtifactsInput!$M$42,((Inputs!$B$9+((C2748=TRUE)*(F2748-Calc!F26))+B2756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2734*(1-MIN(100,(Inputs!$B$9+((C2748=TRUE)*(F2748-Calc!F26))+B2756+(ArtifactsInput!$M$24-ArtifactsInput!$M$24)*CHOOSE(ArtifactsInput!$N$24+1,10,12,14,16,18,20)+(IF(AND(Inputs!$B$39&lt;&gt;"pvp",Inputs!$B$44=0),1,IF(IF(Inputs!$B$39="pvp",15,Inputs!$B$44)-(B2767)&lt;=0,1,MAX(0,IF(Inputs!$B$39="pvp",15,Inputs!$B$44)-MAX(5,B2767))/(IF(Inputs!$B$39="pvp",15,Inputs!$B$44)-(B2767))))*IF(AND(ArtifactsInput!$M$42,((Inputs!$B$9+((C2748=TRUE)*(F2748-Calc!F26))+B2756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2734*(MIN(100,(Inputs!$B$9+((C2748=TRUE)*(F2748-Calc!F26))+B2756+(ArtifactsInput!$M$24-ArtifactsInput!$M$24)*CHOOSE(ArtifactsInput!$N$24+1,10,12,14,16,18,20)+(IF(AND(Inputs!$B$39&lt;&gt;"pvp",Inputs!$B$44=0),1,IF(IF(Inputs!$B$39="pvp",15,Inputs!$B$44)-(B2767)&lt;=0,1,MAX(0,IF(Inputs!$B$39="pvp",15,Inputs!$B$44)-MAX(5,B2767))/(IF(Inputs!$B$39="pvp",15,Inputs!$B$44)-(B2767))))*IF(AND(ArtifactsInput!$M$42,((Inputs!$B$9+((C2748=TRUE)*(F2748-Calc!F26))+B2756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734">
        <f>IF(C2734,(H2734*N2734*IF(AND(Inputs!$B$39&lt;&gt;"pvp",Inputs!$B$44&gt;0),((Skills!G12*((R2734-1)*IF(Skills!H12&gt;0,Skills!I12/Skills!H12,1)+IF(Skills!H12&gt;0,MIN(Skills!I12,MAX(0,MAX(0,Inputs!$B$44-B2767)-((R2734-1)*IF(Inputs!$B$39="pvp",15,MAX(0.1,Skills!D12-IF(TRUE=TRUE,Inputs!$B$32,0))))))/Skills!H12,1)))/Inputs!$B$44),G2734*Q2734))*IF(Inputs!$B$39="pvp",1,(1+(Inputs!$B$21+Skills!Q12+B2757+(IF(ArtifactsInput!$M$33,CHOOSE(ArtifactsInput!$N$33+1,30,36,42,48,54,60),0))+(IF(AND(ArtifactsInput!$M$35,Inputs!$B$4&lt;&gt;"Chapter Hunt"),CHOOSE(ArtifactsInput!$N$35+1,15,18,21,24,27,30)*(1-EXP(-(0.2*B2760)*5)),0)+IF(AND(ArtifactsInput!$M$22,Inputs!$B$4&lt;&gt;"Chapter Hunt"),CHOOSE(ArtifactsInput!$N$22+1,10,12,14,16,18,20)*((0*(((0.15*B2760*5))^0/1)+1*(((0.15*B2760*5))^1/1)+2*(((0.15*B2760*5))^2/2)+3*(((0.15*B2760*5))^3/6)+4*(((0.15*B2760*5))^4/24)+5*(((0.15*B2760*5))^5/120))/((((0.15*B2760*5))^0/1)+(((0.15*B2760*5))^1/1)+(((0.15*B2760*5))^2/2)+(((0.15*B2760*5))^3/6)+(((0.15*B2760*5))^4/24)+(((0.15*B2760*5))^5/120))),0)))/100)*(MIN(Skills!W12,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735">
      <c r="A2735">
        <f>Skills!A13</f>
        <v/>
      </c>
      <c r="B2735">
        <f>Skills!B13</f>
        <v/>
      </c>
      <c r="C2735">
        <f>Inputs!$B$3&gt;=105</f>
        <v/>
      </c>
      <c r="D2735">
        <f>IF(Skills!C13=1,60+Inputs!$B$25+Inputs!$B$29,IF(Skills!C13=2,90+Inputs!$B$26+Inputs!$B$29,IF(Skills!C13=3,120+Inputs!$B$27+Inputs!$B$29,MAX(0,(Inputs!$B$3-100)*3)+Inputs!$B$28+Inputs!$B$29)))</f>
        <v/>
      </c>
      <c r="E2735">
        <f>INDEX(FactorTable!$B$2:$Y$301, MATCH(ROUND(MIN(300,MAX(1,D2735)),0), FactorTable!$A$2:$A$301,0), Skills!M13+1)</f>
        <v/>
      </c>
      <c r="F2735">
        <f>IF(Skills!N13=TRUE,(Skills!L13/10)*(E2735/1000),Skills!L13/10)+Skills!O13</f>
        <v/>
      </c>
      <c r="G2735">
        <f>Skills!G13*IF(Skills!H13&gt;0,IF(Inputs!$B$39="pvp",MIN(Skills!I13,15),Skills!I13)/Skills!H13,1)</f>
        <v/>
      </c>
      <c r="H2735">
        <f>1-(1-Skills!J13/100)^Skills!K13</f>
        <v/>
      </c>
      <c r="I2735" t="inlineStr">
        <is>
          <t>1</t>
        </is>
      </c>
      <c r="J2735">
        <f>((Inputs!$B$6*(1+Inputs!$B$7/100))+(((Inputs!$B$12*(1+Inputs!$B$13/100))-(Inputs!$B$12*(1+Inputs!$B$13/100)))+0.25*(Inputs!$B$14-Inputs!$B$14))*(1+Inputs!$B$7/100))*(F2735/100)</f>
        <v/>
      </c>
      <c r="K2735">
        <f>J2735*(1+((Inputs!$B$12*(1+Inputs!$B$13/100))*0.01+Inputs!$B$14*0.0025)/100)*(1+Inputs!$B$15/100)*(1+Inputs!$B$16/100)*(5000/(6000+Inputs!$B$43*(1-(100*(1-(1-Inputs!$B$19/100)*(1-CHOOSE(ArtifactsInput!$N$40+1,5,6,7,8,9,10)/100)^(ArtifactsInput!$M$40-ArtifactsInput!$M$40)))/100)))*(1+(Inputs!$B$24+((C2753=TRUE)*(F2753-Calc!F31))+((C2740=TRUE)*(F2740-Calc!F18)))/100)*(1+(((1+IF(AND(ArtifactsInput!$M$36,IF(Inputs!$B$39="pvp",TRUE,AND(Inputs!$B$39&lt;&gt;"pvp",Inputs!$B$44&gt;0))),CHOOSE(ArtifactsInput!$N$36+1,8,9.6,11.2,12.8,14.4,16),0)/100)*(1+IF(AND(IF(ArtifactsInput!$M$32,FALSE,TRUE),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13="CRUEL_STAB",Inputs!$B$17+((C2750=TRUE)*(F2750-Calc!F28))+((IF(AND(Inputs!$B$39&lt;&gt;"pvp",Inputs!$B$44=0),1,IF(IF(Inputs!$B$39="pvp",15,Inputs!$B$44)-(B2767)&lt;=0,1,MAX(0,IF(Inputs!$B$39="pvp",15,Inputs!$B$44)-MAX(5,B2767))/(IF(Inputs!$B$39="pvp",15,Inputs!$B$44)-(B2767))))*(IF(AND(ArtifactsInput!$M$42,((Inputs!$B$9+((C2748=TRUE)*(F2748-Calc!F26))+B2756+(ArtifactsInput!$M$24-ArtifactsInput!$M$24)*CHOOSE(ArtifactsInput!$N$24+1,10,12,14,16,18,20)+IF(ArtifactsInput!$M$10,CHOOSE(ArtifactsInput!$N$10+1,15,18,21,24,27,30)*(IF(Inputs!$B$39="pvp",MIN(15,15)/15,IF(AND(Inputs!$B$39&lt;&gt;"pvp",Inputs!$B$44&gt;0),MIN(15,Inputs!$B$44)/(Inputs!$B$44),0))),0)))&gt;=100),MIN(100,((Inputs!$B$9+((C2748=TRUE)*(F2748-Calc!F26))+B2756+(ArtifactsInput!$M$24-ArtifactsInput!$M$24)*CHOOSE(ArtifactsInput!$N$24+1,10,12,14,16,18,20)+IF(ArtifactsInput!$M$10,CHOOSE(ArtifactsInput!$N$10+1,15,18,21,24,27,30)*(IF(Inputs!$B$39="pvp",MIN(15,15)/15,IF(AND(Inputs!$B$39&lt;&gt;"pvp",Inputs!$B$44&gt;0),MIN(15,Inputs!$B$44)/(Inputs!$B$44),0))),0)))-100),0))*CHOOSE(ArtifactsInput!$N$42+1,0.6,0.72,0.84,0.96,1.08,1.2))),Inputs!$B$18+((C2751=TRUE)*(F2751-Calc!F29))+(IF(AND(Inputs!$B$39&lt;&gt;"pvp",Inputs!$B$44=0),1,IF(IF(Inputs!$B$39="pvp",15,Inputs!$B$44)-(B2767)&lt;=0,1,MAX(0,IF(Inputs!$B$39="pvp",15,Inputs!$B$44)-MAX(5,B2767))/(IF(Inputs!$B$39="pvp",15,Inputs!$B$44)-(B2767))))*IF(AND(ArtifactsInput!$M$42,((Inputs!$B$9+((C2748=TRUE)*(F2748-Calc!F26))+B2756+(ArtifactsInput!$M$24-ArtifactsInput!$M$24)*CHOOSE(ArtifactsInput!$N$24+1,10,12,14,16,18,20)+IF(ArtifactsInput!$M$10,CHOOSE(ArtifactsInput!$N$10+1,15,18,21,24,27,30)*(IF(Inputs!$B$39="pvp",MIN(15,15)/15,IF(AND(Inputs!$B$39&lt;&gt;"pvp",Inputs!$B$44&gt;0),MIN(15,Inputs!$B$44)/(Inputs!$B$44),0))),0)))&gt;=100),CHOOSE(ArtifactsInput!$N$42+1,40,48,56,64,72,80),0))))/100)*(((1+(((C2744=TRUE)*F2744*IF(AND(Inputs!$B$39&lt;&gt;"pvp",Inputs!$B$44&gt;0),(((R2744-1)*MIN((Skills!Y22*(1+Inputs!$B$34/100)),(1/Q2744))+MIN((Skills!Y22*(1+Inputs!$B$34/100)),MAX(0,Inputs!$B$44-((R2744-1)*(1/Q2744)))))/Inputs!$B$44),IF(Inputs!$B$39="pvp",MIN((Skills!Y22*(1+Inputs!$B$34/100)),15)/15,MIN(1,(Skills!Y22*(1+Inputs!$B$34/100))/(1/Q2744)))))+((C2725=TRUE)*F2725*3)+((C2727=TRUE)*F2727*(1-EXP(-0.75*B2760*5)))+((C2746=TRUE)*(F2746-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2733=TRUE)*F2733*IF(AND(Inputs!$B$39&lt;&gt;"pvp",Inputs!$B$44&gt;0),(((R2733-1)*MIN((Skills!Y11*(1+Inputs!$B$34/100)),(1/Q2733))+MIN((Skills!Y11*(1+Inputs!$B$34/100)),MAX(0,Inputs!$B$44-((R2733-1)*(1/Q2733)))))/Inputs!$B$44),IF(Inputs!$B$39="pvp",MIN((Skills!Y11*(1+Inputs!$B$34/100)),15)/15,MIN(1,(Skills!Y11*(1+Inputs!$B$34/100))/(1/Q2733)))))/100)*(1+((C2738=TRUE)*F2738*IF(AND(Inputs!$B$39&lt;&gt;"pvp",Inputs!$B$44&gt;0),(((R2738-1)*MIN((Skills!Y16*(1+Inputs!$B$34/100)),(1/Q2738))+MIN((Skills!Y16*(1+Inputs!$B$34/100)),MAX(0,Inputs!$B$44-((R2738-1)*(1/Q2738)))))/Inputs!$B$44),IF(Inputs!$B$39="pvp",MIN((Skills!Y16*(1+Inputs!$B$34/100)),15)/15,MIN(1,(Skills!Y16*(1+Inputs!$B$34/100))/(1/Q2738)))))/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2758*I2735)</f>
        <v/>
      </c>
      <c r="L2735">
        <f>K2735*(MIN(Inputs!$B$22+((C2747=TRUE)*(F2747-Calc!F25)),(Inputs!$B$23+((C2752=TRUE)*(F2752-Calc!F30))+IF(ArtifactsInput!$M$15,CHOOSE(ArtifactsInput!$N$15+1,25,30,35,40,45,50)/100*(Inputs!$B$11-Inputs!$B$11),0)))/100+(Inputs!$B$23+((C2752=TRUE)*(F2752-Calc!F30))+IF(ArtifactsInput!$M$15,CHOOSE(ArtifactsInput!$N$15+1,25,30,35,40,45,50)/100*(Inputs!$B$11-Inputs!$B$11),0))/100)/2</f>
        <v/>
      </c>
      <c r="M2735">
        <f>L2735*(1+(Inputs!$B$10+((C2749=TRUE)*(F2749-Calc!F27))+B2763+(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2735">
        <f>L2735*(1-MIN((Inputs!$B$9+((C2748=TRUE)*(F2748-Calc!F26))+B2756+(ArtifactsInput!$M$24-ArtifactsInput!$M$24)*CHOOSE(ArtifactsInput!$N$24+1,10,12,14,16,18,20)+(IF(AND(Inputs!$B$39&lt;&gt;"pvp",Inputs!$B$44=0),1,IF(IF(Inputs!$B$39="pvp",15,Inputs!$B$44)-(B2767)&lt;=0,1,MAX(0,IF(Inputs!$B$39="pvp",15,Inputs!$B$44)-MAX(5,B2767))/(IF(Inputs!$B$39="pvp",15,Inputs!$B$44)-(B2767))))*IF(AND(ArtifactsInput!$M$42,((Inputs!$B$9+((C2748=TRUE)*(F2748-Calc!F26))+B2756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2735*(MIN((Inputs!$B$9+((C2748=TRUE)*(F2748-Calc!F26))+B2756+(ArtifactsInput!$M$24-ArtifactsInput!$M$24)*CHOOSE(ArtifactsInput!$N$24+1,10,12,14,16,18,20)+(IF(AND(Inputs!$B$39&lt;&gt;"pvp",Inputs!$B$44=0),1,IF(IF(Inputs!$B$39="pvp",15,Inputs!$B$44)-(B2767)&lt;=0,1,MAX(0,IF(Inputs!$B$39="pvp",15,Inputs!$B$44)-MAX(5,B2767))/(IF(Inputs!$B$39="pvp",15,Inputs!$B$44)-(B2767))))*IF(AND(ArtifactsInput!$M$42,((Inputs!$B$9+((C2748=TRUE)*(F2748-Calc!F26))+B2756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735">
        <f>(1-Summary!$B$11)*T2735+Summary!$B$11*V2735</f>
        <v/>
      </c>
      <c r="P2735">
        <f>IF(B2768=0,0,O2735/B2768)</f>
        <v/>
      </c>
      <c r="Q2735">
        <f>IFERROR(1/IF(Inputs!$B$39="pvp",15,MAX(0.1,Skills!D13-IF(TRUE=TRUE,Inputs!$B$32,0))),0)</f>
        <v/>
      </c>
      <c r="R2735">
        <f>IF(AND(Inputs!$B$39&lt;&gt;"pvp",Inputs!$B$44&gt;0),IF(MAX(0,Inputs!$B$44-B2767)&lt;=0,0,(INT(MAX(0,Inputs!$B$44-B2767)/IF(Inputs!$B$39="pvp",15,MAX(0.1,Skills!D13-IF(TRUE=TRUE,Inputs!$B$32,0))))+1)),0)</f>
        <v/>
      </c>
      <c r="S2735">
        <f>IFERROR(O2735/N2735,0)</f>
        <v/>
      </c>
      <c r="T2735">
        <f>IF(C2735,(H2735*N2735*IF(AND(Inputs!$B$39&lt;&gt;"pvp",Inputs!$B$44&gt;0),((Skills!G13*((R2735-1)*IF(Skills!H13&gt;0,Skills!I13/Skills!H13,1)+IF(Skills!H13&gt;0,MIN(Skills!I13,MAX(0,MAX(0,Inputs!$B$44-B2767)-((R2735-1)*IF(Inputs!$B$39="pvp",15,MAX(0.1,Skills!D13-IF(TRUE=TRUE,Inputs!$B$32,0))))))/Skills!H13,1)))/Inputs!$B$44),G2735*Q2735))*IF(Inputs!$B$39="pvp",1,1+(Inputs!$B$20+0+Skills!P13+B2757+(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Hunt"),CHOOSE(ArtifactsInput!$N$35+1,15,18,21,24,27,30)*(1-EXP(-(0.2*B2760)*5)),0)+IF(AND(ArtifactsInput!$M$22,Inputs!$B$4&lt;&gt;"Chapter Hunt"),CHOOSE(ArtifactsInput!$N$22+1,10,12,14,16,18,20)*((0*(((0.15*B2760*5))^0/1)+1*(((0.15*B2760*5))^1/1)+2*(((0.15*B2760*5))^2/2)+3*(((0.15*B2760*5))^3/6)+4*(((0.15*B2760*5))^4/24)+5*(((0.15*B2760*5))^5/120))/((((0.15*B2760*5))^0/1)+(((0.15*B2760*5))^1/1)+(((0.15*B2760*5))^2/2)+(((0.15*B2760*5))^3/6)+(((0.15*B2760*5))^4/24)+(((0.15*B2760*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2735*(1-MIN(100,(Inputs!$B$9+((C2748=TRUE)*(F2748-Calc!F26))+B2756+(ArtifactsInput!$M$24-ArtifactsInput!$M$24)*CHOOSE(ArtifactsInput!$N$24+1,10,12,14,16,18,20)+(IF(AND(Inputs!$B$39&lt;&gt;"pvp",Inputs!$B$44=0),1,IF(IF(Inputs!$B$39="pvp",15,Inputs!$B$44)-(B2767)&lt;=0,1,MAX(0,IF(Inputs!$B$39="pvp",15,Inputs!$B$44)-MAX(5,B2767))/(IF(Inputs!$B$39="pvp",15,Inputs!$B$44)-(B2767))))*IF(AND(ArtifactsInput!$M$42,((Inputs!$B$9+((C2748=TRUE)*(F2748-Calc!F26))+B2756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2735*(MIN(100,(Inputs!$B$9+((C2748=TRUE)*(F2748-Calc!F26))+B2756+(ArtifactsInput!$M$24-ArtifactsInput!$M$24)*CHOOSE(ArtifactsInput!$N$24+1,10,12,14,16,18,20)+(IF(AND(Inputs!$B$39&lt;&gt;"pvp",Inputs!$B$44=0),1,IF(IF(Inputs!$B$39="pvp",15,Inputs!$B$44)-(B2767)&lt;=0,1,MAX(0,IF(Inputs!$B$39="pvp",15,Inputs!$B$44)-MAX(5,B2767))/(IF(Inputs!$B$39="pvp",15,Inputs!$B$44)-(B2767))))*IF(AND(ArtifactsInput!$M$42,((Inputs!$B$9+((C2748=TRUE)*(F2748-Calc!F26))+B2756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2735*(1-MIN(100,(Inputs!$B$9+((C2748=TRUE)*(F2748-Calc!F26))+B2756+(ArtifactsInput!$M$24-ArtifactsInput!$M$24)*CHOOSE(ArtifactsInput!$N$24+1,10,12,14,16,18,20)+(IF(AND(Inputs!$B$39&lt;&gt;"pvp",Inputs!$B$44=0),1,IF(IF(Inputs!$B$39="pvp",15,Inputs!$B$44)-(B2767)&lt;=0,1,MAX(0,IF(Inputs!$B$39="pvp",15,Inputs!$B$44)-MAX(5,B2767))/(IF(Inputs!$B$39="pvp",15,Inputs!$B$44)-(B2767))))*IF(AND(ArtifactsInput!$M$42,((Inputs!$B$9+((C2748=TRUE)*(F2748-Calc!F26))+B2756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2735*(MIN(100,(Inputs!$B$9+((C2748=TRUE)*(F2748-Calc!F26))+B2756+(ArtifactsInput!$M$24-ArtifactsInput!$M$24)*CHOOSE(ArtifactsInput!$N$24+1,10,12,14,16,18,20)+(IF(AND(Inputs!$B$39&lt;&gt;"pvp",Inputs!$B$44=0),1,IF(IF(Inputs!$B$39="pvp",15,Inputs!$B$44)-(B2767)&lt;=0,1,MAX(0,IF(Inputs!$B$39="pvp",15,Inputs!$B$44)-MAX(5,B2767))/(IF(Inputs!$B$39="pvp",15,Inputs!$B$44)-(B2767))))*IF(AND(ArtifactsInput!$M$42,((Inputs!$B$9+((C2748=TRUE)*(F2748-Calc!F26))+B2756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735">
        <f>IF(C2735,(H2735*N2735*IF(AND(Inputs!$B$39&lt;&gt;"pvp",Inputs!$B$44&gt;0),((Skills!G13*((R2735-1)*IF(Skills!H13&gt;0,Skills!I13/Skills!H13,1)+IF(Skills!H13&gt;0,MIN(Skills!I13,MAX(0,MAX(0,Inputs!$B$44-B2767)-((R2735-1)*IF(Inputs!$B$39="pvp",15,MAX(0.1,Skills!D13-IF(TRUE=TRUE,Inputs!$B$32,0))))))/Skills!H13,1)))/Inputs!$B$44),G2735*Q2735))*IF(Inputs!$B$39="pvp",1,(1+(Inputs!$B$21+Skills!Q13+B2757+(IF(ArtifactsInput!$M$33,CHOOSE(ArtifactsInput!$N$33+1,30,36,42,48,54,60),0))+(IF(AND(ArtifactsInput!$M$35,Inputs!$B$4&lt;&gt;"Chapter Hunt"),CHOOSE(ArtifactsInput!$N$35+1,15,18,21,24,27,30)*(1-EXP(-(0.2*B2760)*5)),0)+IF(AND(ArtifactsInput!$M$22,Inputs!$B$4&lt;&gt;"Chapter Hunt"),CHOOSE(ArtifactsInput!$N$22+1,10,12,14,16,18,20)*((0*(((0.15*B2760*5))^0/1)+1*(((0.15*B2760*5))^1/1)+2*(((0.15*B2760*5))^2/2)+3*(((0.15*B2760*5))^3/6)+4*(((0.15*B2760*5))^4/24)+5*(((0.15*B2760*5))^5/120))/((((0.15*B2760*5))^0/1)+(((0.15*B2760*5))^1/1)+(((0.15*B2760*5))^2/2)+(((0.15*B2760*5))^3/6)+(((0.15*B2760*5))^4/24)+(((0.15*B2760*5))^5/120))),0)))/100)*(MIN(Skills!W13,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736">
      <c r="A2736">
        <f>Skills!A14</f>
        <v/>
      </c>
      <c r="B2736">
        <f>Skills!B14</f>
        <v/>
      </c>
      <c r="C2736">
        <f>Inputs!$B$3&gt;=105</f>
        <v/>
      </c>
      <c r="D2736">
        <f>IF(Skills!C14=1,60+Inputs!$B$25+Inputs!$B$29,IF(Skills!C14=2,90+Inputs!$B$26+Inputs!$B$29,IF(Skills!C14=3,120+Inputs!$B$27+Inputs!$B$29,MAX(0,(Inputs!$B$3-100)*3)+Inputs!$B$28+Inputs!$B$29)))</f>
        <v/>
      </c>
      <c r="E2736">
        <f>INDEX(FactorTable!$B$2:$Y$301, MATCH(ROUND(MIN(300,MAX(1,D2736)),0), FactorTable!$A$2:$A$301,0), Skills!M14+1)</f>
        <v/>
      </c>
      <c r="F2736">
        <f>IF(Skills!N14=TRUE,(Skills!L14/10)*(E2736/1000),Skills!L14/10)+Skills!O14</f>
        <v/>
      </c>
      <c r="G2736">
        <f>Skills!G14*IF(Skills!H14&gt;0,IF(Inputs!$B$39="pvp",MIN(Skills!I14,15),Skills!I14)/Skills!H14,1)</f>
        <v/>
      </c>
      <c r="H2736">
        <f>1-(1-Skills!J14/100)^Skills!K14</f>
        <v/>
      </c>
      <c r="I2736" t="inlineStr">
        <is>
          <t>1</t>
        </is>
      </c>
      <c r="J2736">
        <f>((Inputs!$B$6*(1+Inputs!$B$7/100))+(((Inputs!$B$12*(1+Inputs!$B$13/100))-(Inputs!$B$12*(1+Inputs!$B$13/100)))+0.25*(Inputs!$B$14-Inputs!$B$14))*(1+Inputs!$B$7/100))*(F2736/100)</f>
        <v/>
      </c>
      <c r="K2736">
        <f>J2736*(1+((Inputs!$B$12*(1+Inputs!$B$13/100))*0.01+Inputs!$B$14*0.0025)/100)*(1+Inputs!$B$15/100)*(1+Inputs!$B$16/100)*(5000/(6000+Inputs!$B$43*(1-(100*(1-(1-Inputs!$B$19/100)*(1-CHOOSE(ArtifactsInput!$N$40+1,5,6,7,8,9,10)/100)^(ArtifactsInput!$M$40-ArtifactsInput!$M$40)))/100)))*(1+(Inputs!$B$24+((C2753=TRUE)*(F2753-Calc!F31))+((C2740=TRUE)*(F2740-Calc!F18)))/100)*(1+(((1+IF(AND(ArtifactsInput!$M$36,IF(Inputs!$B$39="pvp",TRUE,AND(Inputs!$B$39&lt;&gt;"pvp",Inputs!$B$44&gt;0))),CHOOSE(ArtifactsInput!$N$36+1,8,9.6,11.2,12.8,14.4,16),0)/100)*(1+IF(AND(IF(ArtifactsInput!$M$32,FALSE,TRUE),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14="CRUEL_STAB",Inputs!$B$17+((C2750=TRUE)*(F2750-Calc!F28))+((IF(AND(Inputs!$B$39&lt;&gt;"pvp",Inputs!$B$44=0),1,IF(IF(Inputs!$B$39="pvp",15,Inputs!$B$44)-(B2767)&lt;=0,1,MAX(0,IF(Inputs!$B$39="pvp",15,Inputs!$B$44)-MAX(5,B2767))/(IF(Inputs!$B$39="pvp",15,Inputs!$B$44)-(B2767))))*(IF(AND(ArtifactsInput!$M$42,((Inputs!$B$9+((C2748=TRUE)*(F2748-Calc!F26))+B2756+(ArtifactsInput!$M$24-ArtifactsInput!$M$24)*CHOOSE(ArtifactsInput!$N$24+1,10,12,14,16,18,20)+IF(ArtifactsInput!$M$10,CHOOSE(ArtifactsInput!$N$10+1,15,18,21,24,27,30)*(IF(Inputs!$B$39="pvp",MIN(15,15)/15,IF(AND(Inputs!$B$39&lt;&gt;"pvp",Inputs!$B$44&gt;0),MIN(15,Inputs!$B$44)/(Inputs!$B$44),0))),0)))&gt;=100),MIN(100,((Inputs!$B$9+((C2748=TRUE)*(F2748-Calc!F26))+B2756+(ArtifactsInput!$M$24-ArtifactsInput!$M$24)*CHOOSE(ArtifactsInput!$N$24+1,10,12,14,16,18,20)+IF(ArtifactsInput!$M$10,CHOOSE(ArtifactsInput!$N$10+1,15,18,21,24,27,30)*(IF(Inputs!$B$39="pvp",MIN(15,15)/15,IF(AND(Inputs!$B$39&lt;&gt;"pvp",Inputs!$B$44&gt;0),MIN(15,Inputs!$B$44)/(Inputs!$B$44),0))),0)))-100),0))*CHOOSE(ArtifactsInput!$N$42+1,0.6,0.72,0.84,0.96,1.08,1.2))),Inputs!$B$18+((C2751=TRUE)*(F2751-Calc!F29))+(IF(AND(Inputs!$B$39&lt;&gt;"pvp",Inputs!$B$44=0),1,IF(IF(Inputs!$B$39="pvp",15,Inputs!$B$44)-(B2767)&lt;=0,1,MAX(0,IF(Inputs!$B$39="pvp",15,Inputs!$B$44)-MAX(5,B2767))/(IF(Inputs!$B$39="pvp",15,Inputs!$B$44)-(B2767))))*IF(AND(ArtifactsInput!$M$42,((Inputs!$B$9+((C2748=TRUE)*(F2748-Calc!F26))+B2756+(ArtifactsInput!$M$24-ArtifactsInput!$M$24)*CHOOSE(ArtifactsInput!$N$24+1,10,12,14,16,18,20)+IF(ArtifactsInput!$M$10,CHOOSE(ArtifactsInput!$N$10+1,15,18,21,24,27,30)*(IF(Inputs!$B$39="pvp",MIN(15,15)/15,IF(AND(Inputs!$B$39&lt;&gt;"pvp",Inputs!$B$44&gt;0),MIN(15,Inputs!$B$44)/(Inputs!$B$44),0))),0)))&gt;=100),CHOOSE(ArtifactsInput!$N$42+1,40,48,56,64,72,80),0))))/100)*(((1+(((C2744=TRUE)*F2744*IF(AND(Inputs!$B$39&lt;&gt;"pvp",Inputs!$B$44&gt;0),(((R2744-1)*MIN((Skills!Y22*(1+Inputs!$B$34/100)),(1/Q2744))+MIN((Skills!Y22*(1+Inputs!$B$34/100)),MAX(0,Inputs!$B$44-((R2744-1)*(1/Q2744)))))/Inputs!$B$44),IF(Inputs!$B$39="pvp",MIN((Skills!Y22*(1+Inputs!$B$34/100)),15)/15,MIN(1,(Skills!Y22*(1+Inputs!$B$34/100))/(1/Q2744)))))+((C2725=TRUE)*F2725*3)+((C2727=TRUE)*F2727*(1-EXP(-0.75*B2760*5)))+((C2746=TRUE)*(F2746-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2733=TRUE)*F2733*IF(AND(Inputs!$B$39&lt;&gt;"pvp",Inputs!$B$44&gt;0),(((R2733-1)*MIN((Skills!Y11*(1+Inputs!$B$34/100)),(1/Q2733))+MIN((Skills!Y11*(1+Inputs!$B$34/100)),MAX(0,Inputs!$B$44-((R2733-1)*(1/Q2733)))))/Inputs!$B$44),IF(Inputs!$B$39="pvp",MIN((Skills!Y11*(1+Inputs!$B$34/100)),15)/15,MIN(1,(Skills!Y11*(1+Inputs!$B$34/100))/(1/Q2733)))))/100)*(1+((C2738=TRUE)*F2738*IF(AND(Inputs!$B$39&lt;&gt;"pvp",Inputs!$B$44&gt;0),(((R2738-1)*MIN((Skills!Y16*(1+Inputs!$B$34/100)),(1/Q2738))+MIN((Skills!Y16*(1+Inputs!$B$34/100)),MAX(0,Inputs!$B$44-((R2738-1)*(1/Q2738)))))/Inputs!$B$44),IF(Inputs!$B$39="pvp",MIN((Skills!Y16*(1+Inputs!$B$34/100)),15)/15,MIN(1,(Skills!Y16*(1+Inputs!$B$34/100))/(1/Q2738)))))/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2758*I2736)</f>
        <v/>
      </c>
      <c r="L2736">
        <f>K2736*(MIN(Inputs!$B$22+((C2747=TRUE)*(F2747-Calc!F25)),(Inputs!$B$23+((C2752=TRUE)*(F2752-Calc!F30))+IF(ArtifactsInput!$M$15,CHOOSE(ArtifactsInput!$N$15+1,25,30,35,40,45,50)/100*(Inputs!$B$11-Inputs!$B$11),0)))/100+(Inputs!$B$23+((C2752=TRUE)*(F2752-Calc!F30))+IF(ArtifactsInput!$M$15,CHOOSE(ArtifactsInput!$N$15+1,25,30,35,40,45,50)/100*(Inputs!$B$11-Inputs!$B$11),0))/100)/2</f>
        <v/>
      </c>
      <c r="M2736">
        <f>L2736*(1+(Inputs!$B$10+((C2749=TRUE)*(F2749-Calc!F27))+B2763+(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2736">
        <f>L2736*(1-MIN((Inputs!$B$9+((C2748=TRUE)*(F2748-Calc!F26))+B2756+(ArtifactsInput!$M$24-ArtifactsInput!$M$24)*CHOOSE(ArtifactsInput!$N$24+1,10,12,14,16,18,20)+(IF(AND(Inputs!$B$39&lt;&gt;"pvp",Inputs!$B$44=0),1,IF(IF(Inputs!$B$39="pvp",15,Inputs!$B$44)-(B2767)&lt;=0,1,MAX(0,IF(Inputs!$B$39="pvp",15,Inputs!$B$44)-MAX(5,B2767))/(IF(Inputs!$B$39="pvp",15,Inputs!$B$44)-(B2767))))*IF(AND(ArtifactsInput!$M$42,((Inputs!$B$9+((C2748=TRUE)*(F2748-Calc!F26))+B2756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2736*(MIN((Inputs!$B$9+((C2748=TRUE)*(F2748-Calc!F26))+B2756+(ArtifactsInput!$M$24-ArtifactsInput!$M$24)*CHOOSE(ArtifactsInput!$N$24+1,10,12,14,16,18,20)+(IF(AND(Inputs!$B$39&lt;&gt;"pvp",Inputs!$B$44=0),1,IF(IF(Inputs!$B$39="pvp",15,Inputs!$B$44)-(B2767)&lt;=0,1,MAX(0,IF(Inputs!$B$39="pvp",15,Inputs!$B$44)-MAX(5,B2767))/(IF(Inputs!$B$39="pvp",15,Inputs!$B$44)-(B2767))))*IF(AND(ArtifactsInput!$M$42,((Inputs!$B$9+((C2748=TRUE)*(F2748-Calc!F26))+B2756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736">
        <f>(1-Summary!$B$11)*T2736+Summary!$B$11*V2736</f>
        <v/>
      </c>
      <c r="P2736">
        <f>IF(B2768=0,0,O2736/B2768)</f>
        <v/>
      </c>
      <c r="Q2736">
        <f>IFERROR(1/IF(Inputs!$B$39="pvp",15,MAX(0.1,Skills!D14-IF(TRUE=TRUE,Inputs!$B$32,0))),0)</f>
        <v/>
      </c>
      <c r="R2736">
        <f>IF(AND(Inputs!$B$39&lt;&gt;"pvp",Inputs!$B$44&gt;0),IF(MAX(0,Inputs!$B$44-B2767)&lt;=0,0,(INT(MAX(0,Inputs!$B$44-B2767)/IF(Inputs!$B$39="pvp",15,MAX(0.1,Skills!D14-IF(TRUE=TRUE,Inputs!$B$32,0))))+1)),0)</f>
        <v/>
      </c>
      <c r="S2736">
        <f>IFERROR(O2736/N2736,0)</f>
        <v/>
      </c>
      <c r="T2736">
        <f>IF(C2736,(H2736*N2736*IF(AND(Inputs!$B$39&lt;&gt;"pvp",Inputs!$B$44&gt;0),((Skills!G14*((R2736-1)*IF(Skills!H14&gt;0,Skills!I14/Skills!H14,1)+IF(Skills!H14&gt;0,MIN(Skills!I14,MAX(0,MAX(0,Inputs!$B$44-B2767)-((R2736-1)*IF(Inputs!$B$39="pvp",15,MAX(0.1,Skills!D14-IF(TRUE=TRUE,Inputs!$B$32,0))))))/Skills!H14,1)))/Inputs!$B$44),G2736*Q2736))*IF(Inputs!$B$39="pvp",1,1+(Inputs!$B$20+0+Skills!P14+B2757+(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Hunt"),CHOOSE(ArtifactsInput!$N$35+1,15,18,21,24,27,30)*(1-EXP(-(0.2*B2760)*5)),0)+IF(AND(ArtifactsInput!$M$22,Inputs!$B$4&lt;&gt;"Chapter Hunt"),CHOOSE(ArtifactsInput!$N$22+1,10,12,14,16,18,20)*((0*(((0.15*B2760*5))^0/1)+1*(((0.15*B2760*5))^1/1)+2*(((0.15*B2760*5))^2/2)+3*(((0.15*B2760*5))^3/6)+4*(((0.15*B2760*5))^4/24)+5*(((0.15*B2760*5))^5/120))/((((0.15*B2760*5))^0/1)+(((0.15*B2760*5))^1/1)+(((0.15*B2760*5))^2/2)+(((0.15*B2760*5))^3/6)+(((0.15*B2760*5))^4/24)+(((0.15*B2760*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2736*(1-MIN(100,(Inputs!$B$9+((C2748=TRUE)*(F2748-Calc!F26))+B2756+(ArtifactsInput!$M$24-ArtifactsInput!$M$24)*CHOOSE(ArtifactsInput!$N$24+1,10,12,14,16,18,20)+(IF(AND(Inputs!$B$39&lt;&gt;"pvp",Inputs!$B$44=0),1,IF(IF(Inputs!$B$39="pvp",15,Inputs!$B$44)-(B2767)&lt;=0,1,MAX(0,IF(Inputs!$B$39="pvp",15,Inputs!$B$44)-MAX(5,B2767))/(IF(Inputs!$B$39="pvp",15,Inputs!$B$44)-(B2767))))*IF(AND(ArtifactsInput!$M$42,((Inputs!$B$9+((C2748=TRUE)*(F2748-Calc!F26))+B2756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2736*(MIN(100,(Inputs!$B$9+((C2748=TRUE)*(F2748-Calc!F26))+B2756+(ArtifactsInput!$M$24-ArtifactsInput!$M$24)*CHOOSE(ArtifactsInput!$N$24+1,10,12,14,16,18,20)+(IF(AND(Inputs!$B$39&lt;&gt;"pvp",Inputs!$B$44=0),1,IF(IF(Inputs!$B$39="pvp",15,Inputs!$B$44)-(B2767)&lt;=0,1,MAX(0,IF(Inputs!$B$39="pvp",15,Inputs!$B$44)-MAX(5,B2767))/(IF(Inputs!$B$39="pvp",15,Inputs!$B$44)-(B2767))))*IF(AND(ArtifactsInput!$M$42,((Inputs!$B$9+((C2748=TRUE)*(F2748-Calc!F26))+B2756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2736*(1-MIN(100,(Inputs!$B$9+((C2748=TRUE)*(F2748-Calc!F26))+B2756+(ArtifactsInput!$M$24-ArtifactsInput!$M$24)*CHOOSE(ArtifactsInput!$N$24+1,10,12,14,16,18,20)+(IF(AND(Inputs!$B$39&lt;&gt;"pvp",Inputs!$B$44=0),1,IF(IF(Inputs!$B$39="pvp",15,Inputs!$B$44)-(B2767)&lt;=0,1,MAX(0,IF(Inputs!$B$39="pvp",15,Inputs!$B$44)-MAX(5,B2767))/(IF(Inputs!$B$39="pvp",15,Inputs!$B$44)-(B2767))))*IF(AND(ArtifactsInput!$M$42,((Inputs!$B$9+((C2748=TRUE)*(F2748-Calc!F26))+B2756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2736*(MIN(100,(Inputs!$B$9+((C2748=TRUE)*(F2748-Calc!F26))+B2756+(ArtifactsInput!$M$24-ArtifactsInput!$M$24)*CHOOSE(ArtifactsInput!$N$24+1,10,12,14,16,18,20)+(IF(AND(Inputs!$B$39&lt;&gt;"pvp",Inputs!$B$44=0),1,IF(IF(Inputs!$B$39="pvp",15,Inputs!$B$44)-(B2767)&lt;=0,1,MAX(0,IF(Inputs!$B$39="pvp",15,Inputs!$B$44)-MAX(5,B2767))/(IF(Inputs!$B$39="pvp",15,Inputs!$B$44)-(B2767))))*IF(AND(ArtifactsInput!$M$42,((Inputs!$B$9+((C2748=TRUE)*(F2748-Calc!F26))+B2756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736">
        <f>IF(C2736,(H2736*N2736*IF(AND(Inputs!$B$39&lt;&gt;"pvp",Inputs!$B$44&gt;0),((Skills!G14*((R2736-1)*IF(Skills!H14&gt;0,Skills!I14/Skills!H14,1)+IF(Skills!H14&gt;0,MIN(Skills!I14,MAX(0,MAX(0,Inputs!$B$44-B2767)-((R2736-1)*IF(Inputs!$B$39="pvp",15,MAX(0.1,Skills!D14-IF(TRUE=TRUE,Inputs!$B$32,0))))))/Skills!H14,1)))/Inputs!$B$44),G2736*Q2736))*IF(Inputs!$B$39="pvp",1,(1+(Inputs!$B$21+Skills!Q14+B2757+(IF(ArtifactsInput!$M$33,CHOOSE(ArtifactsInput!$N$33+1,30,36,42,48,54,60),0))+(IF(AND(ArtifactsInput!$M$35,Inputs!$B$4&lt;&gt;"Chapter Hunt"),CHOOSE(ArtifactsInput!$N$35+1,15,18,21,24,27,30)*(1-EXP(-(0.2*B2760)*5)),0)+IF(AND(ArtifactsInput!$M$22,Inputs!$B$4&lt;&gt;"Chapter Hunt"),CHOOSE(ArtifactsInput!$N$22+1,10,12,14,16,18,20)*((0*(((0.15*B2760*5))^0/1)+1*(((0.15*B2760*5))^1/1)+2*(((0.15*B2760*5))^2/2)+3*(((0.15*B2760*5))^3/6)+4*(((0.15*B2760*5))^4/24)+5*(((0.15*B2760*5))^5/120))/((((0.15*B2760*5))^0/1)+(((0.15*B2760*5))^1/1)+(((0.15*B2760*5))^2/2)+(((0.15*B2760*5))^3/6)+(((0.15*B2760*5))^4/24)+(((0.15*B2760*5))^5/120))),0)))/100)*(MIN(Skills!W14,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737">
      <c r="A2737">
        <f>Skills!A15</f>
        <v/>
      </c>
      <c r="B2737">
        <f>Skills!B15</f>
        <v/>
      </c>
      <c r="C2737">
        <f>Inputs!$B$3&gt;=107</f>
        <v/>
      </c>
      <c r="D2737">
        <f>IF(Skills!C15=1,60+Inputs!$B$25+Inputs!$B$29,IF(Skills!C15=2,90+Inputs!$B$26+Inputs!$B$29,IF(Skills!C15=3,120+Inputs!$B$27+Inputs!$B$29,MAX(0,(Inputs!$B$3-100)*3)+Inputs!$B$28+Inputs!$B$29)))</f>
        <v/>
      </c>
      <c r="E2737">
        <f>INDEX(FactorTable!$B$2:$Y$301, MATCH(ROUND(MIN(300,MAX(1,D2737)),0), FactorTable!$A$2:$A$301,0), Skills!M15+1)</f>
        <v/>
      </c>
      <c r="F2737">
        <f>IF(Skills!N15=TRUE,(Skills!L15/10)*(E2737/1000),Skills!L15/10)+Skills!O15</f>
        <v/>
      </c>
      <c r="G2737">
        <f>Skills!G15*IF(Skills!H15&gt;0,IF(Inputs!$B$39="pvp",MIN(Skills!I15,15),Skills!I15)/Skills!H15,1)</f>
        <v/>
      </c>
      <c r="H2737">
        <f>1-(1-Skills!J15/100)^Skills!K15</f>
        <v/>
      </c>
      <c r="I2737" t="inlineStr">
        <is>
          <t>1</t>
        </is>
      </c>
      <c r="J2737">
        <f>((Inputs!$B$6*(1+Inputs!$B$7/100))+(((Inputs!$B$12*(1+Inputs!$B$13/100))-(Inputs!$B$12*(1+Inputs!$B$13/100)))+0.25*(Inputs!$B$14-Inputs!$B$14))*(1+Inputs!$B$7/100))*(F2737/100)</f>
        <v/>
      </c>
      <c r="K2737">
        <f>J2737*(1+((Inputs!$B$12*(1+Inputs!$B$13/100))*0.01+Inputs!$B$14*0.0025)/100)*(1+Inputs!$B$15/100)*(1+Inputs!$B$16/100)*(5000/(6000+Inputs!$B$43*(1-(100*(1-(1-Inputs!$B$19/100)*(1-CHOOSE(ArtifactsInput!$N$40+1,5,6,7,8,9,10)/100)^(ArtifactsInput!$M$40-ArtifactsInput!$M$40)))/100)))*(1+(Inputs!$B$24+((C2753=TRUE)*(F2753-Calc!F31))+((C2740=TRUE)*(F2740-Calc!F18)))/100)*(1+(((1+IF(AND(ArtifactsInput!$M$36,IF(Inputs!$B$39="pvp",TRUE,AND(Inputs!$B$39&lt;&gt;"pvp",Inputs!$B$44&gt;0))),CHOOSE(ArtifactsInput!$N$36+1,8,9.6,11.2,12.8,14.4,16),0)/100)*(1+IF(AND(IF(ArtifactsInput!$M$32,FALSE,TRUE),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15="CRUEL_STAB",Inputs!$B$17+((C2750=TRUE)*(F2750-Calc!F28))+((IF(AND(Inputs!$B$39&lt;&gt;"pvp",Inputs!$B$44=0),1,IF(IF(Inputs!$B$39="pvp",15,Inputs!$B$44)-(B2767)&lt;=0,1,MAX(0,IF(Inputs!$B$39="pvp",15,Inputs!$B$44)-MAX(5,B2767))/(IF(Inputs!$B$39="pvp",15,Inputs!$B$44)-(B2767))))*(IF(AND(ArtifactsInput!$M$42,((Inputs!$B$9+((C2748=TRUE)*(F2748-Calc!F26))+B2756+(ArtifactsInput!$M$24-ArtifactsInput!$M$24)*CHOOSE(ArtifactsInput!$N$24+1,10,12,14,16,18,20)+IF(ArtifactsInput!$M$10,CHOOSE(ArtifactsInput!$N$10+1,15,18,21,24,27,30)*(IF(Inputs!$B$39="pvp",MIN(15,15)/15,IF(AND(Inputs!$B$39&lt;&gt;"pvp",Inputs!$B$44&gt;0),MIN(15,Inputs!$B$44)/(Inputs!$B$44),0))),0)))&gt;=100),MIN(100,((Inputs!$B$9+((C2748=TRUE)*(F2748-Calc!F26))+B2756+(ArtifactsInput!$M$24-ArtifactsInput!$M$24)*CHOOSE(ArtifactsInput!$N$24+1,10,12,14,16,18,20)+IF(ArtifactsInput!$M$10,CHOOSE(ArtifactsInput!$N$10+1,15,18,21,24,27,30)*(IF(Inputs!$B$39="pvp",MIN(15,15)/15,IF(AND(Inputs!$B$39&lt;&gt;"pvp",Inputs!$B$44&gt;0),MIN(15,Inputs!$B$44)/(Inputs!$B$44),0))),0)))-100),0))*CHOOSE(ArtifactsInput!$N$42+1,0.6,0.72,0.84,0.96,1.08,1.2))),Inputs!$B$18+((C2751=TRUE)*(F2751-Calc!F29))+(IF(AND(Inputs!$B$39&lt;&gt;"pvp",Inputs!$B$44=0),1,IF(IF(Inputs!$B$39="pvp",15,Inputs!$B$44)-(B2767)&lt;=0,1,MAX(0,IF(Inputs!$B$39="pvp",15,Inputs!$B$44)-MAX(5,B2767))/(IF(Inputs!$B$39="pvp",15,Inputs!$B$44)-(B2767))))*IF(AND(ArtifactsInput!$M$42,((Inputs!$B$9+((C2748=TRUE)*(F2748-Calc!F26))+B2756+(ArtifactsInput!$M$24-ArtifactsInput!$M$24)*CHOOSE(ArtifactsInput!$N$24+1,10,12,14,16,18,20)+IF(ArtifactsInput!$M$10,CHOOSE(ArtifactsInput!$N$10+1,15,18,21,24,27,30)*(IF(Inputs!$B$39="pvp",MIN(15,15)/15,IF(AND(Inputs!$B$39&lt;&gt;"pvp",Inputs!$B$44&gt;0),MIN(15,Inputs!$B$44)/(Inputs!$B$44),0))),0)))&gt;=100),CHOOSE(ArtifactsInput!$N$42+1,40,48,56,64,72,80),0))))/100)*(((1+(((C2744=TRUE)*F2744*IF(AND(Inputs!$B$39&lt;&gt;"pvp",Inputs!$B$44&gt;0),(((R2744-1)*MIN((Skills!Y22*(1+Inputs!$B$34/100)),(1/Q2744))+MIN((Skills!Y22*(1+Inputs!$B$34/100)),MAX(0,Inputs!$B$44-((R2744-1)*(1/Q2744)))))/Inputs!$B$44),IF(Inputs!$B$39="pvp",MIN((Skills!Y22*(1+Inputs!$B$34/100)),15)/15,MIN(1,(Skills!Y22*(1+Inputs!$B$34/100))/(1/Q2744)))))+((C2725=TRUE)*F2725*3)+((C2727=TRUE)*F2727*(1-EXP(-0.75*B2760*5)))+((C2746=TRUE)*(F2746-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2733=TRUE)*F2733*IF(AND(Inputs!$B$39&lt;&gt;"pvp",Inputs!$B$44&gt;0),(((R2733-1)*MIN((Skills!Y11*(1+Inputs!$B$34/100)),(1/Q2733))+MIN((Skills!Y11*(1+Inputs!$B$34/100)),MAX(0,Inputs!$B$44-((R2733-1)*(1/Q2733)))))/Inputs!$B$44),IF(Inputs!$B$39="pvp",MIN((Skills!Y11*(1+Inputs!$B$34/100)),15)/15,MIN(1,(Skills!Y11*(1+Inputs!$B$34/100))/(1/Q2733)))))/100)*(1+((C2738=TRUE)*F2738*IF(AND(Inputs!$B$39&lt;&gt;"pvp",Inputs!$B$44&gt;0),(((R2738-1)*MIN((Skills!Y16*(1+Inputs!$B$34/100)),(1/Q2738))+MIN((Skills!Y16*(1+Inputs!$B$34/100)),MAX(0,Inputs!$B$44-((R2738-1)*(1/Q2738)))))/Inputs!$B$44),IF(Inputs!$B$39="pvp",MIN((Skills!Y16*(1+Inputs!$B$34/100)),15)/15,MIN(1,(Skills!Y16*(1+Inputs!$B$34/100))/(1/Q2738)))))/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2758*I2737)</f>
        <v/>
      </c>
      <c r="L2737">
        <f>K2737*(MIN(Inputs!$B$22+((C2747=TRUE)*(F2747-Calc!F25)),(Inputs!$B$23+((C2752=TRUE)*(F2752-Calc!F30))+IF(ArtifactsInput!$M$15,CHOOSE(ArtifactsInput!$N$15+1,25,30,35,40,45,50)/100*(Inputs!$B$11-Inputs!$B$11),0)))/100+(Inputs!$B$23+((C2752=TRUE)*(F2752-Calc!F30))+IF(ArtifactsInput!$M$15,CHOOSE(ArtifactsInput!$N$15+1,25,30,35,40,45,50)/100*(Inputs!$B$11-Inputs!$B$11),0))/100)/2</f>
        <v/>
      </c>
      <c r="M2737">
        <f>L2737*(1+(Inputs!$B$10+((C2749=TRUE)*(F2749-Calc!F27))+B2763+(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2737">
        <f>L2737*(1-MIN((Inputs!$B$9+((C2748=TRUE)*(F2748-Calc!F26))+B2756+(ArtifactsInput!$M$24-ArtifactsInput!$M$24)*CHOOSE(ArtifactsInput!$N$24+1,10,12,14,16,18,20)+(IF(AND(Inputs!$B$39&lt;&gt;"pvp",Inputs!$B$44=0),1,IF(IF(Inputs!$B$39="pvp",15,Inputs!$B$44)-(B2767)&lt;=0,1,MAX(0,IF(Inputs!$B$39="pvp",15,Inputs!$B$44)-MAX(5,B2767))/(IF(Inputs!$B$39="pvp",15,Inputs!$B$44)-(B2767))))*IF(AND(ArtifactsInput!$M$42,((Inputs!$B$9+((C2748=TRUE)*(F2748-Calc!F26))+B2756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2737*(MIN((Inputs!$B$9+((C2748=TRUE)*(F2748-Calc!F26))+B2756+(ArtifactsInput!$M$24-ArtifactsInput!$M$24)*CHOOSE(ArtifactsInput!$N$24+1,10,12,14,16,18,20)+(IF(AND(Inputs!$B$39&lt;&gt;"pvp",Inputs!$B$44=0),1,IF(IF(Inputs!$B$39="pvp",15,Inputs!$B$44)-(B2767)&lt;=0,1,MAX(0,IF(Inputs!$B$39="pvp",15,Inputs!$B$44)-MAX(5,B2767))/(IF(Inputs!$B$39="pvp",15,Inputs!$B$44)-(B2767))))*IF(AND(ArtifactsInput!$M$42,((Inputs!$B$9+((C2748=TRUE)*(F2748-Calc!F26))+B2756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737">
        <f>(1-Summary!$B$11)*T2737+Summary!$B$11*V2737</f>
        <v/>
      </c>
      <c r="P2737">
        <f>IF(B2768=0,0,O2737/B2768)</f>
        <v/>
      </c>
      <c r="Q2737">
        <f>IFERROR(1/IF(Inputs!$B$39="pvp",15,MAX(0.1,Skills!D15-IF(TRUE=TRUE,Inputs!$B$32,0))),0)</f>
        <v/>
      </c>
      <c r="R2737">
        <f>IF(AND(Inputs!$B$39&lt;&gt;"pvp",Inputs!$B$44&gt;0),IF(MAX(0,Inputs!$B$44-B2767)&lt;=0,0,(INT(MAX(0,Inputs!$B$44-B2767)/IF(Inputs!$B$39="pvp",15,MAX(0.1,Skills!D15-IF(TRUE=TRUE,Inputs!$B$32,0))))+1)),0)</f>
        <v/>
      </c>
      <c r="S2737">
        <f>IFERROR(O2737/N2737,0)</f>
        <v/>
      </c>
      <c r="T2737">
        <f>IF(C2737,(H2737*N2737*IF(AND(Inputs!$B$39&lt;&gt;"pvp",Inputs!$B$44&gt;0),((Skills!G15*((R2737-1)*IF(Skills!H15&gt;0,Skills!I15/Skills!H15,1)+IF(Skills!H15&gt;0,MIN(Skills!I15,MAX(0,MAX(0,Inputs!$B$44-B2767)-((R2737-1)*IF(Inputs!$B$39="pvp",15,MAX(0.1,Skills!D15-IF(TRUE=TRUE,Inputs!$B$32,0))))))/Skills!H15,1)))/Inputs!$B$44),G2737*Q2737))*IF(Inputs!$B$39="pvp",1,1+(Inputs!$B$20+0+Skills!P15+B2757+(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Hunt"),CHOOSE(ArtifactsInput!$N$35+1,15,18,21,24,27,30)*(1-EXP(-(0.2*B2760)*5)),0)+IF(AND(ArtifactsInput!$M$22,Inputs!$B$4&lt;&gt;"Chapter Hunt"),CHOOSE(ArtifactsInput!$N$22+1,10,12,14,16,18,20)*((0*(((0.15*B2760*5))^0/1)+1*(((0.15*B2760*5))^1/1)+2*(((0.15*B2760*5))^2/2)+3*(((0.15*B2760*5))^3/6)+4*(((0.15*B2760*5))^4/24)+5*(((0.15*B2760*5))^5/120))/((((0.15*B2760*5))^0/1)+(((0.15*B2760*5))^1/1)+(((0.15*B2760*5))^2/2)+(((0.15*B2760*5))^3/6)+(((0.15*B2760*5))^4/24)+(((0.15*B2760*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2737*(1-MIN(100,(Inputs!$B$9+((C2748=TRUE)*(F2748-Calc!F26))+B2756+(ArtifactsInput!$M$24-ArtifactsInput!$M$24)*CHOOSE(ArtifactsInput!$N$24+1,10,12,14,16,18,20)+(IF(AND(Inputs!$B$39&lt;&gt;"pvp",Inputs!$B$44=0),1,IF(IF(Inputs!$B$39="pvp",15,Inputs!$B$44)-(B2767)&lt;=0,1,MAX(0,IF(Inputs!$B$39="pvp",15,Inputs!$B$44)-MAX(5,B2767))/(IF(Inputs!$B$39="pvp",15,Inputs!$B$44)-(B2767))))*IF(AND(ArtifactsInput!$M$42,((Inputs!$B$9+((C2748=TRUE)*(F2748-Calc!F26))+B2756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2737*(MIN(100,(Inputs!$B$9+((C2748=TRUE)*(F2748-Calc!F26))+B2756+(ArtifactsInput!$M$24-ArtifactsInput!$M$24)*CHOOSE(ArtifactsInput!$N$24+1,10,12,14,16,18,20)+(IF(AND(Inputs!$B$39&lt;&gt;"pvp",Inputs!$B$44=0),1,IF(IF(Inputs!$B$39="pvp",15,Inputs!$B$44)-(B2767)&lt;=0,1,MAX(0,IF(Inputs!$B$39="pvp",15,Inputs!$B$44)-MAX(5,B2767))/(IF(Inputs!$B$39="pvp",15,Inputs!$B$44)-(B2767))))*IF(AND(ArtifactsInput!$M$42,((Inputs!$B$9+((C2748=TRUE)*(F2748-Calc!F26))+B2756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2737*(1-MIN(100,(Inputs!$B$9+((C2748=TRUE)*(F2748-Calc!F26))+B2756+(ArtifactsInput!$M$24-ArtifactsInput!$M$24)*CHOOSE(ArtifactsInput!$N$24+1,10,12,14,16,18,20)+(IF(AND(Inputs!$B$39&lt;&gt;"pvp",Inputs!$B$44=0),1,IF(IF(Inputs!$B$39="pvp",15,Inputs!$B$44)-(B2767)&lt;=0,1,MAX(0,IF(Inputs!$B$39="pvp",15,Inputs!$B$44)-MAX(5,B2767))/(IF(Inputs!$B$39="pvp",15,Inputs!$B$44)-(B2767))))*IF(AND(ArtifactsInput!$M$42,((Inputs!$B$9+((C2748=TRUE)*(F2748-Calc!F26))+B2756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2737*(MIN(100,(Inputs!$B$9+((C2748=TRUE)*(F2748-Calc!F26))+B2756+(ArtifactsInput!$M$24-ArtifactsInput!$M$24)*CHOOSE(ArtifactsInput!$N$24+1,10,12,14,16,18,20)+(IF(AND(Inputs!$B$39&lt;&gt;"pvp",Inputs!$B$44=0),1,IF(IF(Inputs!$B$39="pvp",15,Inputs!$B$44)-(B2767)&lt;=0,1,MAX(0,IF(Inputs!$B$39="pvp",15,Inputs!$B$44)-MAX(5,B2767))/(IF(Inputs!$B$39="pvp",15,Inputs!$B$44)-(B2767))))*IF(AND(ArtifactsInput!$M$42,((Inputs!$B$9+((C2748=TRUE)*(F2748-Calc!F26))+B2756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737">
        <f>IF(C2737,(H2737*N2737*IF(AND(Inputs!$B$39&lt;&gt;"pvp",Inputs!$B$44&gt;0),((Skills!G15*((R2737-1)*IF(Skills!H15&gt;0,Skills!I15/Skills!H15,1)+IF(Skills!H15&gt;0,MIN(Skills!I15,MAX(0,MAX(0,Inputs!$B$44-B2767)-((R2737-1)*IF(Inputs!$B$39="pvp",15,MAX(0.1,Skills!D15-IF(TRUE=TRUE,Inputs!$B$32,0))))))/Skills!H15,1)))/Inputs!$B$44),G2737*Q2737))*IF(Inputs!$B$39="pvp",1,(1+(Inputs!$B$21+Skills!Q15+B2757+(IF(ArtifactsInput!$M$33,CHOOSE(ArtifactsInput!$N$33+1,30,36,42,48,54,60),0))+(IF(AND(ArtifactsInput!$M$35,Inputs!$B$4&lt;&gt;"Chapter Hunt"),CHOOSE(ArtifactsInput!$N$35+1,15,18,21,24,27,30)*(1-EXP(-(0.2*B2760)*5)),0)+IF(AND(ArtifactsInput!$M$22,Inputs!$B$4&lt;&gt;"Chapter Hunt"),CHOOSE(ArtifactsInput!$N$22+1,10,12,14,16,18,20)*((0*(((0.15*B2760*5))^0/1)+1*(((0.15*B2760*5))^1/1)+2*(((0.15*B2760*5))^2/2)+3*(((0.15*B2760*5))^3/6)+4*(((0.15*B2760*5))^4/24)+5*(((0.15*B2760*5))^5/120))/((((0.15*B2760*5))^0/1)+(((0.15*B2760*5))^1/1)+(((0.15*B2760*5))^2/2)+(((0.15*B2760*5))^3/6)+(((0.15*B2760*5))^4/24)+(((0.15*B2760*5))^5/120))),0)))/100)*(MIN(MIN(5,0.5*IF(Inputs!$B$3&gt;=75,0.75,0.5)*B2760*(1/Q2726))*Skills!V15,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738">
      <c r="A2738">
        <f>Skills!A16</f>
        <v/>
      </c>
      <c r="B2738">
        <f>Skills!B16</f>
        <v/>
      </c>
      <c r="C2738">
        <f>Inputs!$B$3&gt;=110</f>
        <v/>
      </c>
      <c r="D2738">
        <f>IF(Skills!C16=1,60+Inputs!$B$25+Inputs!$B$29,IF(Skills!C16=2,90+Inputs!$B$26+Inputs!$B$29,IF(Skills!C16=3,120+Inputs!$B$27+Inputs!$B$29,MAX(0,(Inputs!$B$3-100)*3)+Inputs!$B$28+Inputs!$B$29)))</f>
        <v/>
      </c>
      <c r="E2738">
        <f>INDEX(FactorTable!$B$2:$Y$301, MATCH(ROUND(MIN(300,MAX(1,D2738)),0), FactorTable!$A$2:$A$301,0), Skills!M16+1)</f>
        <v/>
      </c>
      <c r="F2738">
        <f>IF(Skills!N16=TRUE,(Skills!L16/10)*(E2738/1000),Skills!L16/10)+Skills!O16</f>
        <v/>
      </c>
      <c r="G2738">
        <f>Skills!G16*IF(Skills!H16&gt;0,IF(Inputs!$B$39="pvp",MIN(Skills!I16,15),Skills!I16)/Skills!H16,1)</f>
        <v/>
      </c>
      <c r="H2738">
        <f>1-(1-Skills!J16/100)^Skills!K16</f>
        <v/>
      </c>
      <c r="I2738" t="inlineStr">
        <is>
          <t>1</t>
        </is>
      </c>
      <c r="J2738" t="inlineStr"/>
      <c r="K2738" t="inlineStr"/>
      <c r="L2738" t="inlineStr"/>
      <c r="M2738" t="inlineStr"/>
      <c r="N2738" t="inlineStr"/>
      <c r="O2738">
        <f>(1-Summary!$B$11)*T2738+Summary!$B$11*V2738</f>
        <v/>
      </c>
      <c r="P2738">
        <f>IF(B2768=0,0,O2738/B2768)</f>
        <v/>
      </c>
      <c r="Q2738">
        <f>IFERROR(1/IF(Inputs!$B$39="pvp",15,MAX(0.1,Skills!D16-IF(TRUE=TRUE,Inputs!$B$32,0))),0)</f>
        <v/>
      </c>
      <c r="R2738">
        <f>IF(AND(Inputs!$B$39&lt;&gt;"pvp",Inputs!$B$44&gt;0),IF(Inputs!$B$44&lt;=0,0,(INT(Inputs!$B$44/IF(Inputs!$B$39="pvp",15,MAX(0.1,Skills!D16-IF(TRUE=TRUE,Inputs!$B$32,0))))+1)),0)</f>
        <v/>
      </c>
      <c r="S2738">
        <f>IFERROR(O2738/N2738,0)</f>
        <v/>
      </c>
      <c r="T2738" t="n">
        <v>0</v>
      </c>
      <c r="V2738" t="n">
        <v>0</v>
      </c>
    </row>
    <row r="2739">
      <c r="A2739">
        <f>Skills!A17</f>
        <v/>
      </c>
      <c r="B2739">
        <f>Skills!B17</f>
        <v/>
      </c>
      <c r="C2739">
        <f>Inputs!$B$3&gt;=115</f>
        <v/>
      </c>
      <c r="D2739">
        <f>IF(Skills!C17=1,60+Inputs!$B$25+Inputs!$B$29,IF(Skills!C17=2,90+Inputs!$B$26+Inputs!$B$29,IF(Skills!C17=3,120+Inputs!$B$27+Inputs!$B$29,MAX(0,(Inputs!$B$3-100)*3)+Inputs!$B$28+Inputs!$B$29)))</f>
        <v/>
      </c>
      <c r="E2739">
        <f>INDEX(FactorTable!$B$2:$Y$301, MATCH(ROUND(MIN(300,MAX(1,D2739)),0), FactorTable!$A$2:$A$301,0), Skills!M17+1)</f>
        <v/>
      </c>
      <c r="F2739">
        <f>IF(Skills!N17=TRUE,(Skills!L17/10)*(E2739/1000),Skills!L17/10)+Skills!O17</f>
        <v/>
      </c>
      <c r="G2739">
        <f>Skills!G17*IF(Skills!H17&gt;0,IF(Inputs!$B$39="pvp",MIN(Skills!I17,15),Skills!I17)/Skills!H17,1)</f>
        <v/>
      </c>
      <c r="H2739">
        <f>1-(1-Skills!J17/100)^Skills!K17</f>
        <v/>
      </c>
      <c r="I2739" t="inlineStr">
        <is>
          <t>1</t>
        </is>
      </c>
      <c r="J2739">
        <f>((Inputs!$B$6*(1+Inputs!$B$7/100))+(((Inputs!$B$12*(1+Inputs!$B$13/100))-(Inputs!$B$12*(1+Inputs!$B$13/100)))+0.25*(Inputs!$B$14-Inputs!$B$14))*(1+Inputs!$B$7/100))*(F2739/100)</f>
        <v/>
      </c>
      <c r="K2739">
        <f>J2739*(1+((Inputs!$B$12*(1+Inputs!$B$13/100))*0.01+Inputs!$B$14*0.0025)/100)*(1+Inputs!$B$15/100)*(1+Inputs!$B$16/100)*(5000/(6000+Inputs!$B$43*(1-(100*(1-(1-Inputs!$B$19/100)*(1-CHOOSE(ArtifactsInput!$N$40+1,5,6,7,8,9,10)/100)^(ArtifactsInput!$M$40-ArtifactsInput!$M$40)))/100)))*(1+(Inputs!$B$24+((C2753=TRUE)*(F2753-Calc!F31))+((C2740=TRUE)*(F2740-Calc!F18)))/100)*(1+(((1+IF(AND(ArtifactsInput!$M$36,IF(Inputs!$B$39="pvp",TRUE,AND(Inputs!$B$39&lt;&gt;"pvp",Inputs!$B$44&gt;0))),CHOOSE(ArtifactsInput!$N$36+1,8,9.6,11.2,12.8,14.4,16),0)/100)*(1+IF(AND(IF(ArtifactsInput!$M$32,FALSE,TRUE),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17="CRUEL_STAB",Inputs!$B$17+((C2750=TRUE)*(F2750-Calc!F28))+((IF(AND(Inputs!$B$39&lt;&gt;"pvp",Inputs!$B$44=0),1,IF(IF(Inputs!$B$39="pvp",15,Inputs!$B$44)-(B2767)&lt;=0,1,MAX(0,IF(Inputs!$B$39="pvp",15,Inputs!$B$44)-MAX(5,B2767))/(IF(Inputs!$B$39="pvp",15,Inputs!$B$44)-(B2767))))*(IF(AND(ArtifactsInput!$M$42,((Inputs!$B$9+((C2748=TRUE)*(F2748-Calc!F26))+B2756+(ArtifactsInput!$M$24-ArtifactsInput!$M$24)*CHOOSE(ArtifactsInput!$N$24+1,10,12,14,16,18,20)+IF(ArtifactsInput!$M$10,CHOOSE(ArtifactsInput!$N$10+1,15,18,21,24,27,30)*(IF(Inputs!$B$39="pvp",MIN(15,15)/15,IF(AND(Inputs!$B$39&lt;&gt;"pvp",Inputs!$B$44&gt;0),MIN(15,Inputs!$B$44)/(Inputs!$B$44),0))),0)))&gt;=100),MIN(100,((Inputs!$B$9+((C2748=TRUE)*(F2748-Calc!F26))+B2756+(ArtifactsInput!$M$24-ArtifactsInput!$M$24)*CHOOSE(ArtifactsInput!$N$24+1,10,12,14,16,18,20)+IF(ArtifactsInput!$M$10,CHOOSE(ArtifactsInput!$N$10+1,15,18,21,24,27,30)*(IF(Inputs!$B$39="pvp",MIN(15,15)/15,IF(AND(Inputs!$B$39&lt;&gt;"pvp",Inputs!$B$44&gt;0),MIN(15,Inputs!$B$44)/(Inputs!$B$44),0))),0)))-100),0))*CHOOSE(ArtifactsInput!$N$42+1,0.6,0.72,0.84,0.96,1.08,1.2))),Inputs!$B$18+((C2751=TRUE)*(F2751-Calc!F29))+(IF(AND(Inputs!$B$39&lt;&gt;"pvp",Inputs!$B$44=0),1,IF(IF(Inputs!$B$39="pvp",15,Inputs!$B$44)-(B2767)&lt;=0,1,MAX(0,IF(Inputs!$B$39="pvp",15,Inputs!$B$44)-MAX(5,B2767))/(IF(Inputs!$B$39="pvp",15,Inputs!$B$44)-(B2767))))*IF(AND(ArtifactsInput!$M$42,((Inputs!$B$9+((C2748=TRUE)*(F2748-Calc!F26))+B2756+(ArtifactsInput!$M$24-ArtifactsInput!$M$24)*CHOOSE(ArtifactsInput!$N$24+1,10,12,14,16,18,20)+IF(ArtifactsInput!$M$10,CHOOSE(ArtifactsInput!$N$10+1,15,18,21,24,27,30)*(IF(Inputs!$B$39="pvp",MIN(15,15)/15,IF(AND(Inputs!$B$39&lt;&gt;"pvp",Inputs!$B$44&gt;0),MIN(15,Inputs!$B$44)/(Inputs!$B$44),0))),0)))&gt;=100),CHOOSE(ArtifactsInput!$N$42+1,40,48,56,64,72,80),0))))/100)*(((1+(((C2744=TRUE)*F2744*IF(AND(Inputs!$B$39&lt;&gt;"pvp",Inputs!$B$44&gt;0),(((R2744-1)*MIN((Skills!Y22*(1+Inputs!$B$34/100)),(1/Q2744))+MIN((Skills!Y22*(1+Inputs!$B$34/100)),MAX(0,Inputs!$B$44-((R2744-1)*(1/Q2744)))))/Inputs!$B$44),IF(Inputs!$B$39="pvp",MIN((Skills!Y22*(1+Inputs!$B$34/100)),15)/15,MIN(1,(Skills!Y22*(1+Inputs!$B$34/100))/(1/Q2744)))))+((C2725=TRUE)*F2725*3)+((C2727=TRUE)*F2727*(1-EXP(-0.75*B2760*5)))+((C2746=TRUE)*(F2746-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2733=TRUE)*F2733*IF(AND(Inputs!$B$39&lt;&gt;"pvp",Inputs!$B$44&gt;0),(((R2733-1)*MIN((Skills!Y11*(1+Inputs!$B$34/100)),(1/Q2733))+MIN((Skills!Y11*(1+Inputs!$B$34/100)),MAX(0,Inputs!$B$44-((R2733-1)*(1/Q2733)))))/Inputs!$B$44),IF(Inputs!$B$39="pvp",MIN((Skills!Y11*(1+Inputs!$B$34/100)),15)/15,MIN(1,(Skills!Y11*(1+Inputs!$B$34/100))/(1/Q2733)))))/100)*(1+((C2738=TRUE)*F2738*IF(AND(Inputs!$B$39&lt;&gt;"pvp",Inputs!$B$44&gt;0),(((R2738-1)*MIN((Skills!Y16*(1+Inputs!$B$34/100)),(1/Q2738))+MIN((Skills!Y16*(1+Inputs!$B$34/100)),MAX(0,Inputs!$B$44-((R2738-1)*(1/Q2738)))))/Inputs!$B$44),IF(Inputs!$B$39="pvp",MIN((Skills!Y16*(1+Inputs!$B$34/100)),15)/15,MIN(1,(Skills!Y16*(1+Inputs!$B$34/100))/(1/Q2738)))))/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2758*I2739)</f>
        <v/>
      </c>
      <c r="L2739">
        <f>K2739*(MIN(Inputs!$B$22+((C2747=TRUE)*(F2747-Calc!F25)),(Inputs!$B$23+((C2752=TRUE)*(F2752-Calc!F30))+IF(ArtifactsInput!$M$15,CHOOSE(ArtifactsInput!$N$15+1,25,30,35,40,45,50)/100*(Inputs!$B$11-Inputs!$B$11),0)))/100+(Inputs!$B$23+((C2752=TRUE)*(F2752-Calc!F30))+IF(ArtifactsInput!$M$15,CHOOSE(ArtifactsInput!$N$15+1,25,30,35,40,45,50)/100*(Inputs!$B$11-Inputs!$B$11),0))/100)/2</f>
        <v/>
      </c>
      <c r="M2739">
        <f>L2739*(1+(Inputs!$B$10+((C2749=TRUE)*(F2749-Calc!F27))+B2763+(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2739">
        <f>L2739*(1-MIN((Inputs!$B$9+((C2748=TRUE)*(F2748-Calc!F26))+B2756+(ArtifactsInput!$M$24-ArtifactsInput!$M$24)*CHOOSE(ArtifactsInput!$N$24+1,10,12,14,16,18,20)+(IF(AND(Inputs!$B$39&lt;&gt;"pvp",Inputs!$B$44=0),1,IF(IF(Inputs!$B$39="pvp",15,Inputs!$B$44)-(B2767)&lt;=0,1,MAX(0,IF(Inputs!$B$39="pvp",15,Inputs!$B$44)-MAX(5,B2767))/(IF(Inputs!$B$39="pvp",15,Inputs!$B$44)-(B2767))))*IF(AND(ArtifactsInput!$M$42,((Inputs!$B$9+((C2748=TRUE)*(F2748-Calc!F26))+B2756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2739*(MIN((Inputs!$B$9+((C2748=TRUE)*(F2748-Calc!F26))+B2756+(ArtifactsInput!$M$24-ArtifactsInput!$M$24)*CHOOSE(ArtifactsInput!$N$24+1,10,12,14,16,18,20)+(IF(AND(Inputs!$B$39&lt;&gt;"pvp",Inputs!$B$44=0),1,IF(IF(Inputs!$B$39="pvp",15,Inputs!$B$44)-(B2767)&lt;=0,1,MAX(0,IF(Inputs!$B$39="pvp",15,Inputs!$B$44)-MAX(5,B2767))/(IF(Inputs!$B$39="pvp",15,Inputs!$B$44)-(B2767))))*IF(AND(ArtifactsInput!$M$42,((Inputs!$B$9+((C2748=TRUE)*(F2748-Calc!F26))+B2756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739">
        <f>(1-Summary!$B$11)*T2739+Summary!$B$11*V2739</f>
        <v/>
      </c>
      <c r="P2739">
        <f>IF(B2768=0,0,O2739/B2768)</f>
        <v/>
      </c>
      <c r="Q2739" t="n">
        <v>0</v>
      </c>
      <c r="R2739" t="n">
        <v>0</v>
      </c>
      <c r="S2739">
        <f>IFERROR(O2739/N2739,0)</f>
        <v/>
      </c>
      <c r="T2739">
        <f>IF(C2739,(Inputs!$B$38*0.2*N2739)*IF(Inputs!$B$39="pvp",1,1+(Inputs!$B$20+0+Skills!P17+B2757+(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Hunt"),CHOOSE(ArtifactsInput!$N$35+1,15,18,21,24,27,30)*(1-EXP(-(0.2*B2760)*5)),0)+IF(AND(ArtifactsInput!$M$22,Inputs!$B$4&lt;&gt;"Chapter Hunt"),CHOOSE(ArtifactsInput!$N$22+1,10,12,14,16,18,20)*((0*(((0.15*B2760*5))^0/1)+1*(((0.15*B2760*5))^1/1)+2*(((0.15*B2760*5))^2/2)+3*(((0.15*B2760*5))^3/6)+4*(((0.15*B2760*5))^4/24)+5*(((0.15*B2760*5))^5/120))/((((0.15*B2760*5))^0/1)+(((0.15*B2760*5))^1/1)+(((0.15*B2760*5))^2/2)+(((0.15*B2760*5))^3/6)+(((0.15*B2760*5))^4/24)+(((0.15*B2760*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2739*(1-MIN(100,(Inputs!$B$9+((C2748=TRUE)*(F2748-Calc!F26))+B2756+(ArtifactsInput!$M$24-ArtifactsInput!$M$24)*CHOOSE(ArtifactsInput!$N$24+1,10,12,14,16,18,20)+(IF(AND(Inputs!$B$39&lt;&gt;"pvp",Inputs!$B$44=0),1,IF(IF(Inputs!$B$39="pvp",15,Inputs!$B$44)-(B2767)&lt;=0,1,MAX(0,IF(Inputs!$B$39="pvp",15,Inputs!$B$44)-MAX(5,B2767))/(IF(Inputs!$B$39="pvp",15,Inputs!$B$44)-(B2767))))*IF(AND(ArtifactsInput!$M$42,((Inputs!$B$9+((C2748=TRUE)*(F2748-Calc!F26))+B2756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2739*(MIN(100,(Inputs!$B$9+((C2748=TRUE)*(F2748-Calc!F26))+B2756+(ArtifactsInput!$M$24-ArtifactsInput!$M$24)*CHOOSE(ArtifactsInput!$N$24+1,10,12,14,16,18,20)+(IF(AND(Inputs!$B$39&lt;&gt;"pvp",Inputs!$B$44=0),1,IF(IF(Inputs!$B$39="pvp",15,Inputs!$B$44)-(B2767)&lt;=0,1,MAX(0,IF(Inputs!$B$39="pvp",15,Inputs!$B$44)-MAX(5,B2767))/(IF(Inputs!$B$39="pvp",15,Inputs!$B$44)-(B2767))))*IF(AND(ArtifactsInput!$M$42,((Inputs!$B$9+((C2748=TRUE)*(F2748-Calc!F26))+B2756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2739*(1-MIN(100,(Inputs!$B$9+((C2748=TRUE)*(F2748-Calc!F26))+B2756+(ArtifactsInput!$M$24-ArtifactsInput!$M$24)*CHOOSE(ArtifactsInput!$N$24+1,10,12,14,16,18,20)+(IF(AND(Inputs!$B$39&lt;&gt;"pvp",Inputs!$B$44=0),1,IF(IF(Inputs!$B$39="pvp",15,Inputs!$B$44)-(B2767)&lt;=0,1,MAX(0,IF(Inputs!$B$39="pvp",15,Inputs!$B$44)-MAX(5,B2767))/(IF(Inputs!$B$39="pvp",15,Inputs!$B$44)-(B2767))))*IF(AND(ArtifactsInput!$M$42,((Inputs!$B$9+((C2748=TRUE)*(F2748-Calc!F26))+B2756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2739*(MIN(100,(Inputs!$B$9+((C2748=TRUE)*(F2748-Calc!F26))+B2756+(ArtifactsInput!$M$24-ArtifactsInput!$M$24)*CHOOSE(ArtifactsInput!$N$24+1,10,12,14,16,18,20)+(IF(AND(Inputs!$B$39&lt;&gt;"pvp",Inputs!$B$44=0),1,IF(IF(Inputs!$B$39="pvp",15,Inputs!$B$44)-(B2767)&lt;=0,1,MAX(0,IF(Inputs!$B$39="pvp",15,Inputs!$B$44)-MAX(5,B2767))/(IF(Inputs!$B$39="pvp",15,Inputs!$B$44)-(B2767))))*IF(AND(ArtifactsInput!$M$42,((Inputs!$B$9+((C2748=TRUE)*(F2748-Calc!F26))+B2756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739">
        <f>IF(C2739,(Inputs!$B$38*0.2*N2739)*IF(Inputs!$B$39="pvp",1,(1+(Inputs!$B$21+Skills!Q17+B2757+(IF(ArtifactsInput!$M$33,CHOOSE(ArtifactsInput!$N$33+1,30,36,42,48,54,60),0))+(IF(AND(ArtifactsInput!$M$35,Inputs!$B$4&lt;&gt;"Chapter Hunt"),CHOOSE(ArtifactsInput!$N$35+1,15,18,21,24,27,30)*(1-EXP(-(0.2*B2760)*5)),0)+IF(AND(ArtifactsInput!$M$22,Inputs!$B$4&lt;&gt;"Chapter Hunt"),CHOOSE(ArtifactsInput!$N$22+1,10,12,14,16,18,20)*((0*(((0.15*B2760*5))^0/1)+1*(((0.15*B2760*5))^1/1)+2*(((0.15*B2760*5))^2/2)+3*(((0.15*B2760*5))^3/6)+4*(((0.15*B2760*5))^4/24)+5*(((0.15*B2760*5))^5/120))/((((0.15*B2760*5))^0/1)+(((0.15*B2760*5))^1/1)+(((0.15*B2760*5))^2/2)+(((0.15*B2760*5))^3/6)+(((0.15*B2760*5))^4/24)+(((0.15*B2760*5))^5/120))),0)))/100)*(MIN(Skills!W17,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740">
      <c r="A2740">
        <f>Skills!A18</f>
        <v/>
      </c>
      <c r="B2740">
        <f>Skills!B18</f>
        <v/>
      </c>
      <c r="C2740">
        <f>Inputs!$B$3&gt;=115</f>
        <v/>
      </c>
      <c r="D2740">
        <f>IF(Skills!C18=1,60+Inputs!$B$25+Inputs!$B$29,IF(Skills!C18=2,90+Inputs!$B$26+Inputs!$B$29,IF(Skills!C18=3,120+Inputs!$B$27+Inputs!$B$29,MAX(0,(Inputs!$B$3-100)*3)+Inputs!$B$28+Inputs!$B$29)))</f>
        <v/>
      </c>
      <c r="E2740">
        <f>INDEX(FactorTable!$B$2:$Y$301, MATCH(ROUND(MIN(300,MAX(1,D2740)),0), FactorTable!$A$2:$A$301,0), Skills!M18+1)</f>
        <v/>
      </c>
      <c r="F2740">
        <f>IF(Skills!N18=TRUE,(Skills!L18/10)*(E2740/1000),Skills!L18/10)+Skills!O18</f>
        <v/>
      </c>
      <c r="G2740">
        <f>Skills!G18*IF(Skills!H18&gt;0,IF(Inputs!$B$39="pvp",MIN(Skills!I18,15),Skills!I18)/Skills!H18,1)</f>
        <v/>
      </c>
      <c r="H2740">
        <f>1-(1-Skills!J18/100)^Skills!K18</f>
        <v/>
      </c>
      <c r="I2740" t="inlineStr">
        <is>
          <t>1</t>
        </is>
      </c>
      <c r="J2740" t="inlineStr"/>
      <c r="K2740" t="inlineStr"/>
      <c r="L2740" t="inlineStr"/>
      <c r="M2740" t="inlineStr"/>
      <c r="N2740" t="inlineStr"/>
      <c r="O2740">
        <f>(1-Summary!$B$11)*T2740+Summary!$B$11*V2740</f>
        <v/>
      </c>
      <c r="P2740">
        <f>IF(B2768=0,0,O2740/B2768)</f>
        <v/>
      </c>
      <c r="Q2740" t="n">
        <v>0</v>
      </c>
      <c r="R2740" t="n">
        <v>0</v>
      </c>
      <c r="S2740">
        <f>IFERROR(O2740/N2740,0)</f>
        <v/>
      </c>
      <c r="T2740" t="n">
        <v>0</v>
      </c>
      <c r="V2740" t="n">
        <v>0</v>
      </c>
    </row>
    <row r="2741">
      <c r="A2741">
        <f>Skills!A19</f>
        <v/>
      </c>
      <c r="B2741">
        <f>Skills!B19</f>
        <v/>
      </c>
      <c r="C2741">
        <f>Inputs!$B$3&gt;=100</f>
        <v/>
      </c>
      <c r="D2741">
        <f>IF(Skills!C19=1,60+Inputs!$B$25+Inputs!$B$29,IF(Skills!C19=2,90+Inputs!$B$26+Inputs!$B$29,IF(Skills!C19=3,120+Inputs!$B$27+Inputs!$B$29,MAX(0,(Inputs!$B$3-100)*3)+Inputs!$B$28+Inputs!$B$29)))</f>
        <v/>
      </c>
      <c r="E2741">
        <f>INDEX(FactorTable!$B$2:$Y$301, MATCH(ROUND(MIN(300,MAX(1,D2741)),0), FactorTable!$A$2:$A$301,0), Skills!M19+1)</f>
        <v/>
      </c>
      <c r="F2741">
        <f>IF(Skills!N19=TRUE,(Skills!L19/10)*(E2741/1000),Skills!L19/10)+Skills!O19</f>
        <v/>
      </c>
      <c r="G2741">
        <f>Skills!G19*IF(Skills!H19&gt;0,IF(Inputs!$B$39="pvp",MIN(Skills!I19,15),Skills!I19)/Skills!H19,1)</f>
        <v/>
      </c>
      <c r="H2741">
        <f>1-(1-Skills!J19/100)^Skills!K19</f>
        <v/>
      </c>
      <c r="I2741" t="inlineStr">
        <is>
          <t>1</t>
        </is>
      </c>
      <c r="J2741" t="inlineStr"/>
      <c r="K2741" t="inlineStr"/>
      <c r="L2741" t="inlineStr"/>
      <c r="M2741" t="inlineStr"/>
      <c r="N2741" t="inlineStr"/>
      <c r="O2741">
        <f>(1-Summary!$B$11)*T2741+Summary!$B$11*V2741</f>
        <v/>
      </c>
      <c r="P2741">
        <f>IF(B2768=0,0,O2741/B2768)</f>
        <v/>
      </c>
      <c r="Q2741" t="n">
        <v>0</v>
      </c>
      <c r="R2741" t="n">
        <v>0</v>
      </c>
      <c r="S2741">
        <f>IFERROR(O2741/N2741,0)</f>
        <v/>
      </c>
      <c r="T2741" t="n">
        <v>0</v>
      </c>
      <c r="V2741" t="n">
        <v>0</v>
      </c>
    </row>
    <row r="2742">
      <c r="A2742">
        <f>Skills!A20</f>
        <v/>
      </c>
      <c r="B2742">
        <f>Skills!B20</f>
        <v/>
      </c>
      <c r="C2742">
        <f>TRUE</f>
        <v/>
      </c>
      <c r="D2742">
        <f>IF(Skills!C20=1,60+Inputs!$B$25+Inputs!$B$29,IF(Skills!C20=2,90+Inputs!$B$26+Inputs!$B$29,IF(Skills!C20=3,120+Inputs!$B$27+Inputs!$B$29,MAX(0,(Inputs!$B$3-100)*3)+Inputs!$B$28+Inputs!$B$29)))</f>
        <v/>
      </c>
      <c r="E2742">
        <f>INDEX(FactorTable!$B$2:$Y$301, MATCH(ROUND(MIN(300,MAX(1,D2742)),0), FactorTable!$A$2:$A$301,0), Skills!M20+1)</f>
        <v/>
      </c>
      <c r="F2742">
        <f>IF(Skills!N20=TRUE,(Skills!L20/10)*(E2742/1000),Skills!L20/10)+Skills!O20</f>
        <v/>
      </c>
      <c r="G2742">
        <f>Skills!G20*IF(Skills!H20&gt;0,IF(Inputs!$B$39="pvp",MIN(Skills!I20,15),Skills!I20)/Skills!H20,1)</f>
        <v/>
      </c>
      <c r="H2742">
        <f>1-(1-Skills!J20/100)^Skills!K20</f>
        <v/>
      </c>
      <c r="I2742" t="inlineStr">
        <is>
          <t>1</t>
        </is>
      </c>
      <c r="J2742" t="inlineStr"/>
      <c r="K2742" t="inlineStr"/>
      <c r="L2742" t="inlineStr"/>
      <c r="M2742" t="inlineStr"/>
      <c r="N2742" t="inlineStr"/>
      <c r="O2742">
        <f>(1-Summary!$B$11)*T2742+Summary!$B$11*V2742</f>
        <v/>
      </c>
      <c r="P2742">
        <f>IF(B2768=0,0,O2742/B2768)</f>
        <v/>
      </c>
      <c r="Q2742">
        <f>IFERROR(1/IF(Inputs!$B$39="pvp",15,MAX(0.1,Skills!D20-IF(TRUE=TRUE,Inputs!$B$32,0))),0)</f>
        <v/>
      </c>
      <c r="R2742">
        <f>IF(AND(Inputs!$B$39&lt;&gt;"pvp",Inputs!$B$44&gt;0),IF(Inputs!$B$44&lt;=0,0,(INT(Inputs!$B$44/IF(Inputs!$B$39="pvp",15,MAX(0.1,Skills!D20-IF(TRUE=TRUE,Inputs!$B$32,0))))+1)),0)</f>
        <v/>
      </c>
      <c r="S2742">
        <f>IFERROR(O2742/N2742,0)</f>
        <v/>
      </c>
      <c r="T2742" t="n">
        <v>0</v>
      </c>
      <c r="V2742" t="n">
        <v>0</v>
      </c>
    </row>
    <row r="2743">
      <c r="A2743">
        <f>Skills!A21</f>
        <v/>
      </c>
      <c r="B2743">
        <f>Skills!B21</f>
        <v/>
      </c>
      <c r="C2743">
        <f>Inputs!$B$3&gt;=15</f>
        <v/>
      </c>
      <c r="D2743">
        <f>IF(Skills!C21=1,60+Inputs!$B$25+Inputs!$B$29,IF(Skills!C21=2,90+Inputs!$B$26+Inputs!$B$29,IF(Skills!C21=3,120+Inputs!$B$27+Inputs!$B$29,MAX(0,(Inputs!$B$3-100)*3)+Inputs!$B$28+Inputs!$B$29)))</f>
        <v/>
      </c>
      <c r="E2743">
        <f>INDEX(FactorTable!$B$2:$Y$301, MATCH(ROUND(MIN(300,MAX(1,D2743)),0), FactorTable!$A$2:$A$301,0), Skills!M21+1)</f>
        <v/>
      </c>
      <c r="F2743">
        <f>IF(Skills!N21=TRUE,(Skills!L21/10)*(E2743/1000),Skills!L21/10)+Skills!O21</f>
        <v/>
      </c>
      <c r="G2743">
        <f>Skills!G21*IF(Skills!H21&gt;0,IF(Inputs!$B$39="pvp",MIN(Skills!I21,15),Skills!I21)/Skills!H21,1)</f>
        <v/>
      </c>
      <c r="H2743">
        <f>1-(1-Skills!J21/100)^Skills!K21</f>
        <v/>
      </c>
      <c r="I2743" t="inlineStr">
        <is>
          <t>1</t>
        </is>
      </c>
      <c r="J2743" t="inlineStr"/>
      <c r="K2743" t="inlineStr"/>
      <c r="L2743" t="inlineStr"/>
      <c r="M2743" t="inlineStr"/>
      <c r="N2743" t="inlineStr"/>
      <c r="O2743">
        <f>(1-Summary!$B$11)*T2743+Summary!$B$11*V2743</f>
        <v/>
      </c>
      <c r="P2743">
        <f>IF(B2768=0,0,O2743/B2768)</f>
        <v/>
      </c>
      <c r="Q2743">
        <f>IFERROR(1/IF(Inputs!$B$39="pvp",15,MAX(0.1,Skills!D21-IF(TRUE=TRUE,Inputs!$B$32,0))),0)</f>
        <v/>
      </c>
      <c r="R2743">
        <f>IF(AND(Inputs!$B$39&lt;&gt;"pvp",Inputs!$B$44&gt;0),IF(Inputs!$B$44&lt;=0,0,(INT(Inputs!$B$44/IF(Inputs!$B$39="pvp",15,MAX(0.1,Skills!D21-IF(TRUE=TRUE,Inputs!$B$32,0))))+1)),0)</f>
        <v/>
      </c>
      <c r="S2743">
        <f>IFERROR(O2743/N2743,0)</f>
        <v/>
      </c>
      <c r="T2743" t="n">
        <v>0</v>
      </c>
      <c r="V2743" t="n">
        <v>0</v>
      </c>
    </row>
    <row r="2744">
      <c r="A2744">
        <f>Skills!A22</f>
        <v/>
      </c>
      <c r="B2744">
        <f>Skills!B22</f>
        <v/>
      </c>
      <c r="C2744">
        <f>Inputs!$B$3&gt;=15</f>
        <v/>
      </c>
      <c r="D2744">
        <f>IF(Skills!C22=1,60+Inputs!$B$25+Inputs!$B$29,IF(Skills!C22=2,90+Inputs!$B$26+Inputs!$B$29,IF(Skills!C22=3,120+Inputs!$B$27+Inputs!$B$29,MAX(0,(Inputs!$B$3-100)*3)+Inputs!$B$28+Inputs!$B$29)))</f>
        <v/>
      </c>
      <c r="E2744">
        <f>INDEX(FactorTable!$B$2:$Y$301, MATCH(ROUND(MIN(300,MAX(1,D2744)),0), FactorTable!$A$2:$A$301,0), Skills!M22+1)</f>
        <v/>
      </c>
      <c r="F2744">
        <f>IF(Skills!N22=TRUE,(Skills!L22/10)*(E2744/1000),Skills!L22/10)+Skills!O22</f>
        <v/>
      </c>
      <c r="G2744">
        <f>Skills!G22*IF(Skills!H22&gt;0,IF(Inputs!$B$39="pvp",MIN(Skills!I22,15),Skills!I22)/Skills!H22,1)</f>
        <v/>
      </c>
      <c r="H2744">
        <f>1-(1-Skills!J22/100)^Skills!K22</f>
        <v/>
      </c>
      <c r="I2744" t="inlineStr">
        <is>
          <t>1</t>
        </is>
      </c>
      <c r="J2744" t="inlineStr"/>
      <c r="K2744" t="inlineStr"/>
      <c r="L2744" t="inlineStr"/>
      <c r="M2744" t="inlineStr"/>
      <c r="N2744" t="inlineStr"/>
      <c r="O2744">
        <f>(1-Summary!$B$11)*T2744+Summary!$B$11*V2744</f>
        <v/>
      </c>
      <c r="P2744">
        <f>IF(B2768=0,0,O2744/B2768)</f>
        <v/>
      </c>
      <c r="Q2744">
        <f>IFERROR(1/IF(Inputs!$B$39="pvp",15,MAX(0.1,Skills!D22-IF(TRUE=TRUE,Inputs!$B$32,0))),0)</f>
        <v/>
      </c>
      <c r="R2744">
        <f>IF(AND(Inputs!$B$39&lt;&gt;"pvp",Inputs!$B$44&gt;0),IF(Inputs!$B$44&lt;=0,0,(INT(Inputs!$B$44/IF(Inputs!$B$39="pvp",15,MAX(0.1,Skills!D22-IF(TRUE=TRUE,Inputs!$B$32,0))))+1)),0)</f>
        <v/>
      </c>
      <c r="S2744">
        <f>IFERROR(O2744/N2744,0)</f>
        <v/>
      </c>
      <c r="T2744" t="n">
        <v>0</v>
      </c>
      <c r="V2744" t="n">
        <v>0</v>
      </c>
    </row>
    <row r="2745">
      <c r="A2745">
        <f>Skills!A23</f>
        <v/>
      </c>
      <c r="B2745">
        <f>Skills!B23</f>
        <v/>
      </c>
      <c r="C2745">
        <f>Inputs!$B$3&gt;=33</f>
        <v/>
      </c>
      <c r="D2745">
        <f>IF(Skills!C23=1,60+Inputs!$B$25+Inputs!$B$29,IF(Skills!C23=2,90+Inputs!$B$26+Inputs!$B$29,IF(Skills!C23=3,120+Inputs!$B$27+Inputs!$B$29,MAX(0,(Inputs!$B$3-100)*3)+Inputs!$B$28+Inputs!$B$29)))</f>
        <v/>
      </c>
      <c r="E2745">
        <f>INDEX(FactorTable!$B$2:$Y$301, MATCH(ROUND(MIN(300,MAX(1,D2745)),0), FactorTable!$A$2:$A$301,0), Skills!M23+1)</f>
        <v/>
      </c>
      <c r="F2745">
        <f>IF(Skills!N23=TRUE,(Skills!L23/10)*(E2745/1000),Skills!L23/10)+Skills!O23</f>
        <v/>
      </c>
      <c r="G2745">
        <f>Skills!G23*IF(Skills!H23&gt;0,IF(Inputs!$B$39="pvp",MIN(Skills!I23,15),Skills!I23)/Skills!H23,1)</f>
        <v/>
      </c>
      <c r="H2745">
        <f>1-(1-Skills!J23/100)^Skills!K23</f>
        <v/>
      </c>
      <c r="I2745" t="inlineStr">
        <is>
          <t>1</t>
        </is>
      </c>
      <c r="J2745" t="inlineStr"/>
      <c r="K2745" t="inlineStr"/>
      <c r="L2745" t="inlineStr"/>
      <c r="M2745" t="inlineStr"/>
      <c r="N2745" t="inlineStr"/>
      <c r="O2745">
        <f>(1-Summary!$B$11)*T2745+Summary!$B$11*V2745</f>
        <v/>
      </c>
      <c r="P2745">
        <f>IF(B2768=0,0,O2745/B2768)</f>
        <v/>
      </c>
      <c r="Q2745" t="n">
        <v>0</v>
      </c>
      <c r="R2745" t="n">
        <v>0</v>
      </c>
      <c r="S2745">
        <f>IFERROR(O2745/N2745,0)</f>
        <v/>
      </c>
      <c r="T2745" t="n">
        <v>0</v>
      </c>
      <c r="V2745" t="n">
        <v>0</v>
      </c>
    </row>
    <row r="2746">
      <c r="A2746">
        <f>Skills!A24</f>
        <v/>
      </c>
      <c r="B2746">
        <f>Skills!B24</f>
        <v/>
      </c>
      <c r="C2746">
        <f>Inputs!$B$3&gt;=40</f>
        <v/>
      </c>
      <c r="D2746">
        <f>IF(Skills!C24=1,60+Inputs!$B$25+Inputs!$B$29,IF(Skills!C24=2,90+Inputs!$B$26+Inputs!$B$29,IF(Skills!C24=3,120+Inputs!$B$27+Inputs!$B$29,MAX(0,(Inputs!$B$3-100)*3)+Inputs!$B$28+Inputs!$B$29)))</f>
        <v/>
      </c>
      <c r="E2746">
        <f>INDEX(FactorTable!$B$2:$Y$301, MATCH(ROUND(MIN(300,MAX(1,D2746)),0), FactorTable!$A$2:$A$301,0), Skills!M24+1)</f>
        <v/>
      </c>
      <c r="F2746">
        <f>IF(Skills!N24=TRUE,(Skills!L24/10)*(E2746/1000),Skills!L24/10)+Skills!O24</f>
        <v/>
      </c>
      <c r="G2746">
        <f>Skills!G24*IF(Skills!H24&gt;0,IF(Inputs!$B$39="pvp",MIN(Skills!I24,15),Skills!I24)/Skills!H24,1)</f>
        <v/>
      </c>
      <c r="H2746">
        <f>1-(1-Skills!J24/100)^Skills!K24</f>
        <v/>
      </c>
      <c r="I2746" t="inlineStr">
        <is>
          <t>1</t>
        </is>
      </c>
      <c r="J2746" t="inlineStr"/>
      <c r="K2746" t="inlineStr"/>
      <c r="L2746" t="inlineStr"/>
      <c r="M2746" t="inlineStr"/>
      <c r="N2746" t="inlineStr"/>
      <c r="O2746">
        <f>(1-Summary!$B$11)*T2746+Summary!$B$11*V2746</f>
        <v/>
      </c>
      <c r="P2746">
        <f>IF(B2768=0,0,O2746/B2768)</f>
        <v/>
      </c>
      <c r="Q2746" t="n">
        <v>0</v>
      </c>
      <c r="R2746" t="n">
        <v>0</v>
      </c>
      <c r="S2746">
        <f>IFERROR(O2746/N2746,0)</f>
        <v/>
      </c>
      <c r="T2746" t="n">
        <v>0</v>
      </c>
      <c r="V2746" t="n">
        <v>0</v>
      </c>
    </row>
    <row r="2747">
      <c r="A2747">
        <f>Skills!A25</f>
        <v/>
      </c>
      <c r="B2747">
        <f>Skills!B25</f>
        <v/>
      </c>
      <c r="C2747">
        <f>Inputs!$B$3&gt;=43</f>
        <v/>
      </c>
      <c r="D2747">
        <f>IF(Skills!C25=1,60+Inputs!$B$25+Inputs!$B$29,IF(Skills!C25=2,90+Inputs!$B$26+Inputs!$B$29,IF(Skills!C25=3,120+Inputs!$B$27+Inputs!$B$29,MAX(0,(Inputs!$B$3-100)*3)+Inputs!$B$28+Inputs!$B$29)))</f>
        <v/>
      </c>
      <c r="E2747">
        <f>INDEX(FactorTable!$B$2:$Y$301, MATCH(ROUND(MIN(300,MAX(1,D2747)),0), FactorTable!$A$2:$A$301,0), Skills!M25+1)</f>
        <v/>
      </c>
      <c r="F2747">
        <f>IF(Skills!N25=TRUE,(Skills!L25/10)*(E2747/1000),Skills!L25/10)+Skills!O25</f>
        <v/>
      </c>
      <c r="G2747">
        <f>Skills!G25*IF(Skills!H25&gt;0,IF(Inputs!$B$39="pvp",MIN(Skills!I25,15),Skills!I25)/Skills!H25,1)</f>
        <v/>
      </c>
      <c r="H2747">
        <f>1-(1-Skills!J25/100)^Skills!K25</f>
        <v/>
      </c>
      <c r="I2747" t="inlineStr">
        <is>
          <t>1</t>
        </is>
      </c>
      <c r="J2747" t="inlineStr"/>
      <c r="K2747" t="inlineStr"/>
      <c r="L2747" t="inlineStr"/>
      <c r="M2747" t="inlineStr"/>
      <c r="N2747" t="inlineStr"/>
      <c r="O2747">
        <f>(1-Summary!$B$11)*T2747+Summary!$B$11*V2747</f>
        <v/>
      </c>
      <c r="P2747">
        <f>IF(B2768=0,0,O2747/B2768)</f>
        <v/>
      </c>
      <c r="Q2747" t="n">
        <v>0</v>
      </c>
      <c r="R2747" t="n">
        <v>0</v>
      </c>
      <c r="S2747">
        <f>IFERROR(O2747/N2747,0)</f>
        <v/>
      </c>
      <c r="T2747" t="n">
        <v>0</v>
      </c>
      <c r="V2747" t="n">
        <v>0</v>
      </c>
    </row>
    <row r="2748">
      <c r="A2748">
        <f>Skills!A26</f>
        <v/>
      </c>
      <c r="B2748">
        <f>Skills!B26</f>
        <v/>
      </c>
      <c r="C2748">
        <f>Inputs!$B$3&gt;=50</f>
        <v/>
      </c>
      <c r="D2748">
        <f>IF(Skills!C26=1,60+Inputs!$B$25+Inputs!$B$29,IF(Skills!C26=2,90+Inputs!$B$26+Inputs!$B$29,IF(Skills!C26=3,120+Inputs!$B$27+Inputs!$B$29,MAX(0,(Inputs!$B$3-100)*3)+Inputs!$B$28+Inputs!$B$29)))</f>
        <v/>
      </c>
      <c r="E2748">
        <f>INDEX(FactorTable!$B$2:$Y$301, MATCH(ROUND(MIN(300,MAX(1,D2748)),0), FactorTable!$A$2:$A$301,0), Skills!M26+1)</f>
        <v/>
      </c>
      <c r="F2748">
        <f>IF(Skills!N26=TRUE,(Skills!L26/10)*(E2748/1000),Skills!L26/10)+Skills!O26</f>
        <v/>
      </c>
      <c r="G2748">
        <f>Skills!G26*IF(Skills!H26&gt;0,IF(Inputs!$B$39="pvp",MIN(Skills!I26,15),Skills!I26)/Skills!H26,1)</f>
        <v/>
      </c>
      <c r="H2748">
        <f>1-(1-Skills!J26/100)^Skills!K26</f>
        <v/>
      </c>
      <c r="I2748" t="inlineStr">
        <is>
          <t>1</t>
        </is>
      </c>
      <c r="J2748" t="inlineStr"/>
      <c r="K2748" t="inlineStr"/>
      <c r="L2748" t="inlineStr"/>
      <c r="M2748" t="inlineStr"/>
      <c r="N2748" t="inlineStr"/>
      <c r="O2748">
        <f>(1-Summary!$B$11)*T2748+Summary!$B$11*V2748</f>
        <v/>
      </c>
      <c r="P2748">
        <f>IF(B2768=0,0,O2748/B2768)</f>
        <v/>
      </c>
      <c r="Q2748" t="n">
        <v>0</v>
      </c>
      <c r="R2748" t="n">
        <v>0</v>
      </c>
      <c r="S2748">
        <f>IFERROR(O2748/N2748,0)</f>
        <v/>
      </c>
      <c r="T2748" t="n">
        <v>0</v>
      </c>
      <c r="V2748" t="n">
        <v>0</v>
      </c>
    </row>
    <row r="2749">
      <c r="A2749">
        <f>Skills!A27</f>
        <v/>
      </c>
      <c r="B2749">
        <f>Skills!B27</f>
        <v/>
      </c>
      <c r="C2749">
        <f>Inputs!$B$3&gt;=50</f>
        <v/>
      </c>
      <c r="D2749">
        <f>IF(Skills!C27=1,60+Inputs!$B$25+Inputs!$B$29,IF(Skills!C27=2,90+Inputs!$B$26+Inputs!$B$29,IF(Skills!C27=3,120+Inputs!$B$27+Inputs!$B$29,MAX(0,(Inputs!$B$3-100)*3)+Inputs!$B$28+Inputs!$B$29)))</f>
        <v/>
      </c>
      <c r="E2749">
        <f>INDEX(FactorTable!$B$2:$Y$301, MATCH(ROUND(MIN(300,MAX(1,D2749)),0), FactorTable!$A$2:$A$301,0), Skills!M27+1)</f>
        <v/>
      </c>
      <c r="F2749">
        <f>IF(Skills!N27=TRUE,(Skills!L27/10)*(E2749/1000),Skills!L27/10)+Skills!O27</f>
        <v/>
      </c>
      <c r="G2749">
        <f>Skills!G27*IF(Skills!H27&gt;0,IF(Inputs!$B$39="pvp",MIN(Skills!I27,15),Skills!I27)/Skills!H27,1)</f>
        <v/>
      </c>
      <c r="H2749">
        <f>1-(1-Skills!J27/100)^Skills!K27</f>
        <v/>
      </c>
      <c r="I2749" t="inlineStr">
        <is>
          <t>1</t>
        </is>
      </c>
      <c r="J2749" t="inlineStr"/>
      <c r="K2749" t="inlineStr"/>
      <c r="L2749" t="inlineStr"/>
      <c r="M2749" t="inlineStr"/>
      <c r="N2749" t="inlineStr"/>
      <c r="O2749">
        <f>(1-Summary!$B$11)*T2749+Summary!$B$11*V2749</f>
        <v/>
      </c>
      <c r="P2749">
        <f>IF(B2768=0,0,O2749/B2768)</f>
        <v/>
      </c>
      <c r="Q2749" t="n">
        <v>0</v>
      </c>
      <c r="R2749" t="n">
        <v>0</v>
      </c>
      <c r="S2749">
        <f>IFERROR(O2749/N2749,0)</f>
        <v/>
      </c>
      <c r="T2749" t="n">
        <v>0</v>
      </c>
      <c r="V2749" t="n">
        <v>0</v>
      </c>
    </row>
    <row r="2750">
      <c r="A2750">
        <f>Skills!A28</f>
        <v/>
      </c>
      <c r="B2750">
        <f>Skills!B28</f>
        <v/>
      </c>
      <c r="C2750">
        <f>Inputs!$B$3&gt;=38</f>
        <v/>
      </c>
      <c r="D2750">
        <f>IF(Skills!C28=1,60+Inputs!$B$25+Inputs!$B$29,IF(Skills!C28=2,90+Inputs!$B$26+Inputs!$B$29,IF(Skills!C28=3,120+Inputs!$B$27+Inputs!$B$29,MAX(0,(Inputs!$B$3-100)*3)+Inputs!$B$28+Inputs!$B$29)))</f>
        <v/>
      </c>
      <c r="E2750">
        <f>INDEX(FactorTable!$B$2:$Y$301, MATCH(ROUND(MIN(300,MAX(1,D2750)),0), FactorTable!$A$2:$A$301,0), Skills!M28+1)</f>
        <v/>
      </c>
      <c r="F2750">
        <f>IF(Skills!N28=TRUE,(Skills!L28/10)*(E2750/1000),Skills!L28/10)+Skills!O28</f>
        <v/>
      </c>
      <c r="G2750">
        <f>Skills!G28*IF(Skills!H28&gt;0,IF(Inputs!$B$39="pvp",MIN(Skills!I28,15),Skills!I28)/Skills!H28,1)</f>
        <v/>
      </c>
      <c r="H2750">
        <f>1-(1-Skills!J28/100)^Skills!K28</f>
        <v/>
      </c>
      <c r="I2750" t="inlineStr">
        <is>
          <t>1</t>
        </is>
      </c>
      <c r="J2750" t="inlineStr"/>
      <c r="K2750" t="inlineStr"/>
      <c r="L2750" t="inlineStr"/>
      <c r="M2750" t="inlineStr"/>
      <c r="N2750" t="inlineStr"/>
      <c r="O2750">
        <f>(1-Summary!$B$11)*T2750+Summary!$B$11*V2750</f>
        <v/>
      </c>
      <c r="P2750">
        <f>IF(B2768=0,0,O2750/B2768)</f>
        <v/>
      </c>
      <c r="Q2750" t="n">
        <v>0</v>
      </c>
      <c r="R2750" t="n">
        <v>0</v>
      </c>
      <c r="S2750">
        <f>IFERROR(O2750/N2750,0)</f>
        <v/>
      </c>
      <c r="T2750" t="n">
        <v>0</v>
      </c>
      <c r="V2750" t="n">
        <v>0</v>
      </c>
    </row>
    <row r="2751">
      <c r="A2751">
        <f>Skills!A29</f>
        <v/>
      </c>
      <c r="B2751">
        <f>Skills!B29</f>
        <v/>
      </c>
      <c r="C2751">
        <f>Inputs!$B$3&gt;=120</f>
        <v/>
      </c>
      <c r="D2751">
        <f>IF(Skills!C29=1,60+Inputs!$B$25+Inputs!$B$29,IF(Skills!C29=2,90+Inputs!$B$26+Inputs!$B$29,IF(Skills!C29=3,120+Inputs!$B$27+Inputs!$B$29,MAX(0,(Inputs!$B$3-100)*3)+Inputs!$B$28+Inputs!$B$29)))</f>
        <v/>
      </c>
      <c r="E2751">
        <f>INDEX(FactorTable!$B$2:$Y$301, MATCH(ROUND(MIN(300,MAX(1,D2751)),0), FactorTable!$A$2:$A$301,0), Skills!M29+1)</f>
        <v/>
      </c>
      <c r="F2751">
        <f>IF(Skills!N29=TRUE,(Skills!L29/10)*(E2751/1000),Skills!L29/10)+Skills!O29</f>
        <v/>
      </c>
      <c r="G2751">
        <f>Skills!G29*IF(Skills!H29&gt;0,IF(Inputs!$B$39="pvp",MIN(Skills!I29,15),Skills!I29)/Skills!H29,1)</f>
        <v/>
      </c>
      <c r="H2751">
        <f>1-(1-Skills!J29/100)^Skills!K29</f>
        <v/>
      </c>
      <c r="I2751" t="inlineStr">
        <is>
          <t>1</t>
        </is>
      </c>
      <c r="J2751" t="inlineStr"/>
      <c r="K2751" t="inlineStr"/>
      <c r="L2751" t="inlineStr"/>
      <c r="M2751" t="inlineStr"/>
      <c r="N2751" t="inlineStr"/>
      <c r="O2751">
        <f>(1-Summary!$B$11)*T2751+Summary!$B$11*V2751</f>
        <v/>
      </c>
      <c r="P2751">
        <f>IF(B2768=0,0,O2751/B2768)</f>
        <v/>
      </c>
      <c r="Q2751" t="n">
        <v>0</v>
      </c>
      <c r="R2751" t="n">
        <v>0</v>
      </c>
      <c r="S2751">
        <f>IFERROR(O2751/N2751,0)</f>
        <v/>
      </c>
      <c r="T2751" t="n">
        <v>0</v>
      </c>
      <c r="V2751" t="n">
        <v>0</v>
      </c>
    </row>
    <row r="2752">
      <c r="A2752">
        <f>Skills!A30</f>
        <v/>
      </c>
      <c r="B2752">
        <f>Skills!B30</f>
        <v/>
      </c>
      <c r="C2752">
        <f>Inputs!$B$3&gt;=120</f>
        <v/>
      </c>
      <c r="D2752">
        <f>IF(Skills!C30=1,60+Inputs!$B$25+Inputs!$B$29,IF(Skills!C30=2,90+Inputs!$B$26+Inputs!$B$29,IF(Skills!C30=3,120+Inputs!$B$27+Inputs!$B$29,MAX(0,(Inputs!$B$3-100)*3)+Inputs!$B$28+Inputs!$B$29)))</f>
        <v/>
      </c>
      <c r="E2752">
        <f>INDEX(FactorTable!$B$2:$Y$301, MATCH(ROUND(MIN(300,MAX(1,D2752)),0), FactorTable!$A$2:$A$301,0), Skills!M30+1)</f>
        <v/>
      </c>
      <c r="F2752">
        <f>IF(Skills!N30=TRUE,(Skills!L30/10)*(E2752/1000),Skills!L30/10)+Skills!O30</f>
        <v/>
      </c>
      <c r="G2752">
        <f>Skills!G30*IF(Skills!H30&gt;0,IF(Inputs!$B$39="pvp",MIN(Skills!I30,15),Skills!I30)/Skills!H30,1)</f>
        <v/>
      </c>
      <c r="H2752">
        <f>1-(1-Skills!J30/100)^Skills!K30</f>
        <v/>
      </c>
      <c r="I2752" t="inlineStr">
        <is>
          <t>1</t>
        </is>
      </c>
      <c r="J2752" t="inlineStr"/>
      <c r="K2752" t="inlineStr"/>
      <c r="L2752" t="inlineStr"/>
      <c r="M2752" t="inlineStr"/>
      <c r="N2752" t="inlineStr"/>
      <c r="O2752">
        <f>(1-Summary!$B$11)*T2752+Summary!$B$11*V2752</f>
        <v/>
      </c>
      <c r="P2752">
        <f>IF(B2768=0,0,O2752/B2768)</f>
        <v/>
      </c>
      <c r="Q2752" t="n">
        <v>0</v>
      </c>
      <c r="R2752" t="n">
        <v>0</v>
      </c>
      <c r="S2752">
        <f>IFERROR(O2752/N2752,0)</f>
        <v/>
      </c>
      <c r="T2752" t="n">
        <v>0</v>
      </c>
      <c r="V2752" t="n">
        <v>0</v>
      </c>
    </row>
    <row r="2753">
      <c r="A2753">
        <f>Skills!A31</f>
        <v/>
      </c>
      <c r="B2753">
        <f>Skills!B31</f>
        <v/>
      </c>
      <c r="C2753">
        <f>Inputs!$B$3&gt;=125</f>
        <v/>
      </c>
      <c r="D2753">
        <f>IF(Skills!C31=1,60+Inputs!$B$25+Inputs!$B$29,IF(Skills!C31=2,90+Inputs!$B$26+Inputs!$B$29,IF(Skills!C31=3,120+Inputs!$B$27+Inputs!$B$29,MAX(0,(Inputs!$B$3-100)*3)+Inputs!$B$28+Inputs!$B$29)))</f>
        <v/>
      </c>
      <c r="E2753">
        <f>INDEX(FactorTable!$B$2:$Y$301, MATCH(ROUND(MIN(300,MAX(1,D2753)),0), FactorTable!$A$2:$A$301,0), Skills!M31+1)</f>
        <v/>
      </c>
      <c r="F2753">
        <f>IF(Skills!N31=TRUE,(Skills!L31/10)*(E2753/1000),Skills!L31/10)+Skills!O31</f>
        <v/>
      </c>
      <c r="G2753">
        <f>Skills!G31*IF(Skills!H31&gt;0,IF(Inputs!$B$39="pvp",MIN(Skills!I31,15),Skills!I31)/Skills!H31,1)</f>
        <v/>
      </c>
      <c r="H2753">
        <f>1-(1-Skills!J31/100)^Skills!K31</f>
        <v/>
      </c>
      <c r="I2753" t="inlineStr">
        <is>
          <t>1</t>
        </is>
      </c>
      <c r="J2753" t="inlineStr"/>
      <c r="K2753" t="inlineStr"/>
      <c r="L2753" t="inlineStr"/>
      <c r="M2753" t="inlineStr"/>
      <c r="N2753" t="inlineStr"/>
      <c r="O2753">
        <f>(1-Summary!$B$11)*T2753+Summary!$B$11*V2753</f>
        <v/>
      </c>
      <c r="P2753">
        <f>IF(B2768=0,0,O2753/B2768)</f>
        <v/>
      </c>
      <c r="Q2753" t="n">
        <v>0</v>
      </c>
      <c r="R2753" t="n">
        <v>0</v>
      </c>
      <c r="S2753">
        <f>IFERROR(O2753/N2753,0)</f>
        <v/>
      </c>
      <c r="T2753" t="n">
        <v>0</v>
      </c>
      <c r="V2753" t="n">
        <v>0</v>
      </c>
    </row>
    <row r="2755">
      <c r="A2755" t="inlineStr">
        <is>
          <t>Average Buff Multiplier</t>
        </is>
      </c>
      <c r="B2755">
        <f>(1+(((C2744=TRUE)*F2744*IF(AND(Inputs!$B$39&lt;&gt;"pvp",Inputs!$B$44&gt;0),(((R2744-1)*MIN((Skills!Y22*(1+Inputs!$B$34/100)),(1/Q2744))+MIN((Skills!Y22*(1+Inputs!$B$34/100)),MAX(0,Inputs!$B$44-((R2744-1)*(1/Q2744)))))/Inputs!$B$44),IF(Inputs!$B$39="pvp",MIN((Skills!Y22*(1+Inputs!$B$34/100)),15)/15,MIN(1,(Skills!Y22*(1+Inputs!$B$34/100))/(1/Q2744)))))+((C2725=TRUE)*F2725*3)+((C2727=TRUE)*F2727*(1-EXP(-0.75*B2760*5)))+((C2746=TRUE)*(F2746-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2733=TRUE)*F2733*IF(AND(Inputs!$B$39&lt;&gt;"pvp",Inputs!$B$44&gt;0),(((R2733-1)*MIN((Skills!Y11*(1+Inputs!$B$34/100)),(1/Q2733))+MIN((Skills!Y11*(1+Inputs!$B$34/100)),MAX(0,Inputs!$B$44-((R2733-1)*(1/Q2733)))))/Inputs!$B$44),IF(Inputs!$B$39="pvp",MIN((Skills!Y11*(1+Inputs!$B$34/100)),15)/15,MIN(1,(Skills!Y11*(1+Inputs!$B$34/100))/(1/Q2733)))))/100)*(1+((C2738=TRUE)*F2738*IF(AND(Inputs!$B$39&lt;&gt;"pvp",Inputs!$B$44&gt;0),(((R2738-1)*MIN((Skills!Y16*(1+Inputs!$B$34/100)),(1/Q2738))+MIN((Skills!Y16*(1+Inputs!$B$34/100)),MAX(0,Inputs!$B$44-((R2738-1)*(1/Q2738)))))/Inputs!$B$44),IF(Inputs!$B$39="pvp",MIN((Skills!Y16*(1+Inputs!$B$34/100)),15)/15,MIN(1,(Skills!Y16*(1+Inputs!$B$34/100))/(1/Q2738)))))/100)</f>
        <v/>
      </c>
    </row>
    <row r="2756">
      <c r="A2756" t="inlineStr">
        <is>
          <t>Global Crit Rate Bonus %</t>
        </is>
      </c>
      <c r="B2756">
        <f>((C2743=TRUE)*F2743*IF(AND(Inputs!$B$39&lt;&gt;"pvp",Inputs!$B$44&gt;0),(((R2743-1)*MIN((Skills!Y21*(1+Inputs!$B$34/100)),(1/Q2743))+MIN((Skills!Y21*(1+Inputs!$B$34/100)),MAX(0,Inputs!$B$44-((R2743-1)*(1/Q2743)))))/Inputs!$B$44),IF(Inputs!$B$39="pvp",MIN((Skills!Y21*(1+Inputs!$B$34/100)),15)/15,MIN(1,(Skills!Y21*(1+Inputs!$B$34/100))/(1/Q2743)))))</f>
        <v/>
      </c>
    </row>
    <row r="2757">
      <c r="A2757" t="inlineStr">
        <is>
          <t>Global Monster Damage-Taken Bonus %</t>
        </is>
      </c>
      <c r="B2757">
        <f>IF(Inputs!$B$3&gt;=82,15,0)</f>
        <v/>
      </c>
    </row>
    <row r="2758">
      <c r="A2758" t="inlineStr">
        <is>
          <t>Shadow Partner Average Multiplier</t>
        </is>
      </c>
      <c r="B2758">
        <f>1+((C2730=TRUE)*F2730*(1+3.3333333333333335*IF(C2741=TRUE,F2741,0)/100)*I2730*Skills!J8/100)/100</f>
        <v/>
      </c>
    </row>
    <row r="2759">
      <c r="A2759" t="inlineStr">
        <is>
          <t>Attack Speed Buff Bonus %</t>
        </is>
      </c>
      <c r="B2759">
        <f>((C2742=TRUE)*F2742*IF(AND(Inputs!$B$39&lt;&gt;"pvp",Inputs!$B$44&gt;0),(((R2742-1)*MIN((Skills!Y20*(1+Inputs!$B$34/100)),(1/Q2742))+MIN((Skills!Y20*(1+Inputs!$B$34/100)),MAX(0,Inputs!$B$44-((R2742-1)*(1/Q2742)))))/Inputs!$B$44),IF(Inputs!$B$39="pvp",MIN((Skills!Y20*(1+Inputs!$B$34/100)),15)/15,MIN(1,(Skills!Y20*(1+Inputs!$B$34/100))/(1/Q2742)))))</f>
        <v/>
      </c>
    </row>
    <row r="2760">
      <c r="A2760" t="inlineStr">
        <is>
          <t>Actions Per Second</t>
        </is>
      </c>
      <c r="B2760">
        <f>1+MIN(150,150*(1-(1-(Inputs!$B$11+((C2745=TRUE)*(F2745-Calc!F23)))/150)*(1-B2759/150)))/100</f>
        <v/>
      </c>
    </row>
    <row r="2761">
      <c r="A2761" t="inlineStr">
        <is>
          <t>Skill + Buff Cast Rate</t>
        </is>
      </c>
      <c r="B2761">
        <f>IF(AND(Inputs!$B$39&lt;&gt;"pvp",Inputs!$B$44&gt;0),SUMPRODUCT((Skills!E2:E31=TRUE)*(C2724:C2753=TRUE)*R2724:R2753*Skills!F2:F31)/Inputs!$B$44,SUMPRODUCT((Skills!E2:E31=TRUE)*(C2724:C2753=TRUE)*Q2724:Q2753*Skills!F2:F31))</f>
        <v/>
      </c>
    </row>
    <row r="2762">
      <c r="A2762" t="inlineStr">
        <is>
          <t>Cruel Stab Casts Per Second</t>
        </is>
      </c>
      <c r="B2762">
        <f>MAX(0,B2760-B2761)</f>
        <v/>
      </c>
    </row>
    <row r="2763">
      <c r="A2763" t="inlineStr">
        <is>
          <t>Global Critical Damage Bonus % (Smokescreen Mastery Lv.113)</t>
        </is>
      </c>
      <c r="B2763">
        <f>IF(Inputs!$B$3&gt;=113,30,0)*IF(AND(Inputs!$B$39&lt;&gt;"pvp",Inputs!$B$44&gt;0),(((R2738-1)*MIN((Skills!Y16*(1+Inputs!$B$34/100)),(1/Q2738))+MIN((Skills!Y16*(1+Inputs!$B$34/100)),MAX(0,Inputs!$B$44-((R2738-1)*(1/Q2738)))))/Inputs!$B$44),IF(Inputs!$B$39="pvp",MIN((Skills!Y16*(1+Inputs!$B$34/100)),15)/15,MIN(1,(Skills!Y16*(1+Inputs!$B$34/100))/(1/Q2738))))</f>
        <v/>
      </c>
    </row>
    <row r="2764">
      <c r="A2764" t="inlineStr">
        <is>
          <t>Meso Explosion average stack count</t>
        </is>
      </c>
      <c r="B2764">
        <f>MIN(10,IF(Inputs!$B$3&gt;=75,0.75,0.5)*B2760*(1/Q2726))</f>
        <v/>
      </c>
    </row>
    <row r="2765">
      <c r="A2765" t="inlineStr">
        <is>
          <t>Blood Money average stack count</t>
        </is>
      </c>
      <c r="B2765">
        <f>MIN(5,0.5*IF(Inputs!$B$3&gt;=75,0.75,0.5)*B2760*(1/Q2726))</f>
        <v/>
      </c>
    </row>
    <row r="2766">
      <c r="A2766" t="inlineStr">
        <is>
          <t>Assassinate Murderous Intent Multiplier</t>
        </is>
      </c>
      <c r="B2766">
        <f>1+IFERROR(MIN(1,Q2737*2/Q2734),0)</f>
        <v/>
      </c>
    </row>
    <row r="2767">
      <c r="A2767" t="inlineStr">
        <is>
          <t>Buff-Casting Startup Delay (s, fixed-duration only)</t>
        </is>
      </c>
      <c r="B2767">
        <f>IF(AND(Inputs!$B$39&lt;&gt;"pvp",Inputs!$B$44&gt;0),SUMPRODUCT((Skills!Y2:Y31&gt;0)*(Skills!E2:E31=TRUE)*(C2724:C2753=TRUE))/B2760,0)</f>
        <v/>
      </c>
    </row>
    <row r="2768">
      <c r="A2768" s="6" t="inlineStr">
        <is>
          <t>TOTAL DPS</t>
        </is>
      </c>
      <c r="B2768" s="6">
        <f>SUM(O2724:O2753)</f>
        <v/>
      </c>
    </row>
    <row r="2769">
      <c r="A2769" t="inlineStr">
        <is>
          <t>Boss-Only Total DPS (this block's swept value)</t>
        </is>
      </c>
      <c r="B2769">
        <f>SUM(T2724:T2753)</f>
        <v/>
      </c>
    </row>
    <row r="2770">
      <c r="A2770" t="inlineStr">
        <is>
          <t>Normal-Only Total DPS (this block's swept value)</t>
        </is>
      </c>
      <c r="B2770">
        <f>SUM(V2724:V2753)</f>
        <v/>
      </c>
    </row>
    <row r="2773">
      <c r="A2773" s="6" t="inlineStr">
        <is>
          <t>Stat: Sayram's Necklace (Equip)</t>
        </is>
      </c>
    </row>
    <row r="2774">
      <c r="A2774" s="5" t="inlineStr">
        <is>
          <t>Key</t>
        </is>
      </c>
      <c r="B2774" s="5" t="inlineStr">
        <is>
          <t>Name</t>
        </is>
      </c>
      <c r="C2774" s="5" t="inlineStr">
        <is>
          <t>Unlocked</t>
        </is>
      </c>
      <c r="D2774" s="5" t="inlineStr">
        <is>
          <t>InputLevel</t>
        </is>
      </c>
      <c r="E2774" s="5" t="inlineStr">
        <is>
          <t>Factor</t>
        </is>
      </c>
      <c r="F2774" s="5" t="inlineStr">
        <is>
          <t>CoefficientPercent</t>
        </is>
      </c>
      <c r="G2774" s="5" t="inlineStr">
        <is>
          <t>EffectiveHits</t>
        </is>
      </c>
      <c r="H2774" s="5" t="inlineStr">
        <is>
          <t>ProcProbability</t>
        </is>
      </c>
      <c r="I2774" s="5" t="inlineStr">
        <is>
          <t>MapleHeroMultiplier</t>
        </is>
      </c>
      <c r="J2774" s="5" t="inlineStr">
        <is>
          <t>BaseDamage</t>
        </is>
      </c>
      <c r="K2774" s="5" t="inlineStr">
        <is>
          <t>BaseHitDamage</t>
        </is>
      </c>
      <c r="L2774" s="5" t="inlineStr">
        <is>
          <t>NonCritAvg</t>
        </is>
      </c>
      <c r="M2774" s="5" t="inlineStr">
        <is>
          <t>CritAvg</t>
        </is>
      </c>
      <c r="N2774" s="5" t="inlineStr">
        <is>
          <t>ExpectedDamage(perHit)</t>
        </is>
      </c>
      <c r="O2774" s="5" t="inlineStr">
        <is>
          <t>DPS</t>
        </is>
      </c>
      <c r="P2774" s="5" t="inlineStr">
        <is>
          <t>% of Total</t>
        </is>
      </c>
      <c r="Q2774" s="5" t="inlineStr">
        <is>
          <t>InvCooldown</t>
        </is>
      </c>
      <c r="R2774" s="5" t="inlineStr">
        <is>
          <t>CastsInFight</t>
        </is>
      </c>
      <c r="S2774" s="5" t="inlineStr">
        <is>
          <t>HitRate(perSec)</t>
        </is>
      </c>
      <c r="U2774" t="inlineStr">
        <is>
          <t>helpers</t>
        </is>
      </c>
    </row>
    <row r="2775">
      <c r="A2775">
        <f>Skills!A2</f>
        <v/>
      </c>
      <c r="B2775">
        <f>Skills!B2</f>
        <v/>
      </c>
      <c r="C2775">
        <f>Inputs!$B$3&gt;=100</f>
        <v/>
      </c>
      <c r="D2775" t="inlineStr"/>
      <c r="E2775" t="inlineStr"/>
      <c r="F2775">
        <f>U2777+Skills!O2</f>
        <v/>
      </c>
      <c r="G2775">
        <f>Skills!G2*IF(Skills!H2&gt;0,IF(Inputs!$B$39="pvp",MIN(Skills!I2,15),Skills!I2)/Skills!H2,1)</f>
        <v/>
      </c>
      <c r="H2775">
        <f>1-(1-Skills!J2/100)^Skills!K2</f>
        <v/>
      </c>
      <c r="I2775" t="inlineStr">
        <is>
          <t>1</t>
        </is>
      </c>
      <c r="J2775">
        <f>((Inputs!$B$6*(1+Inputs!$B$7/100))+(((Inputs!$B$12*(1+Inputs!$B$13/100))-(Inputs!$B$12*(1+Inputs!$B$13/100)))+0.25*(Inputs!$B$14-Inputs!$B$14))*(1+Inputs!$B$7/100))*(F2775/100)</f>
        <v/>
      </c>
      <c r="K2775">
        <f>J2775*(1+((Inputs!$B$12*(1+Inputs!$B$13/100))*0.01+Inputs!$B$14*0.0025)/100)*(1+Inputs!$B$15/100)*(1+Inputs!$B$16/100)*(5000/(6000+Inputs!$B$43*(1-(100*(1-(1-Inputs!$B$19/100)*(1-CHOOSE(ArtifactsInput!$N$40+1,5,6,7,8,9,10)/100)^(ArtifactsInput!$M$40-ArtifactsInput!$M$40)))/100)))*(1+(Inputs!$B$24+((C2804=TRUE)*(F2804-Calc!F31))+((C2791=TRUE)*(F2791-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CRUEL_STAB",Inputs!$B$17+((C2801=TRUE)*(F2801-Calc!F28))+((IF(AND(Inputs!$B$39&lt;&gt;"pvp",Inputs!$B$44=0),1,IF(IF(Inputs!$B$39="pvp",15,Inputs!$B$44)-(B2818)&lt;=0,1,MAX(0,IF(Inputs!$B$39="pvp",15,Inputs!$B$44)-MAX(5,B2818))/(IF(Inputs!$B$39="pvp",15,Inputs!$B$44)-(B2818))))*(IF(AND(ArtifactsInput!$M$42,((Inputs!$B$9+((C2799=TRUE)*(F2799-Calc!F26))+B2807+(ArtifactsInput!$M$24-ArtifactsInput!$M$24)*CHOOSE(ArtifactsInput!$N$24+1,10,12,14,16,18,20)+IF(ArtifactsInput!$M$10,CHOOSE(ArtifactsInput!$N$10+1,15,18,21,24,27,30)*(IF(Inputs!$B$39="pvp",MIN(15,15)/15,IF(AND(Inputs!$B$39&lt;&gt;"pvp",Inputs!$B$44&gt;0),MIN(15,Inputs!$B$44)/(Inputs!$B$44),0))),0)))&gt;=100),MIN(100,((Inputs!$B$9+((C2799=TRUE)*(F2799-Calc!F26))+B2807+(ArtifactsInput!$M$24-ArtifactsInput!$M$24)*CHOOSE(ArtifactsInput!$N$24+1,10,12,14,16,18,20)+IF(ArtifactsInput!$M$10,CHOOSE(ArtifactsInput!$N$10+1,15,18,21,24,27,30)*(IF(Inputs!$B$39="pvp",MIN(15,15)/15,IF(AND(Inputs!$B$39&lt;&gt;"pvp",Inputs!$B$44&gt;0),MIN(15,Inputs!$B$44)/(Inputs!$B$44),0))),0)))-100),0))*CHOOSE(ArtifactsInput!$N$42+1,0.6,0.72,0.84,0.96,1.08,1.2))),Inputs!$B$18+((C2802=TRUE)*(F2802-Calc!F29))+(IF(AND(Inputs!$B$39&lt;&gt;"pvp",Inputs!$B$44=0),1,IF(IF(Inputs!$B$39="pvp",15,Inputs!$B$44)-(B2818)&lt;=0,1,MAX(0,IF(Inputs!$B$39="pvp",15,Inputs!$B$44)-MAX(5,B2818))/(IF(Inputs!$B$39="pvp",15,Inputs!$B$44)-(B2818))))*IF(AND(ArtifactsInput!$M$42,((Inputs!$B$9+((C2799=TRUE)*(F2799-Calc!F26))+B2807+(ArtifactsInput!$M$24-ArtifactsInput!$M$24)*CHOOSE(ArtifactsInput!$N$24+1,10,12,14,16,18,20)+IF(ArtifactsInput!$M$10,CHOOSE(ArtifactsInput!$N$10+1,15,18,21,24,27,30)*(IF(Inputs!$B$39="pvp",MIN(15,15)/15,IF(AND(Inputs!$B$39&lt;&gt;"pvp",Inputs!$B$44&gt;0),MIN(15,Inputs!$B$44)/(Inputs!$B$44),0))),0)))&gt;=100),CHOOSE(ArtifactsInput!$N$42+1,40,48,56,64,72,80),0))))/100)*(((1+(((C2795=TRUE)*F2795*IF(AND(Inputs!$B$39&lt;&gt;"pvp",Inputs!$B$44&gt;0),(((R2795-1)*MIN((Skills!Y22*(1+Inputs!$B$34/100)),(1/Q2795))+MIN((Skills!Y22*(1+Inputs!$B$34/100)),MAX(0,Inputs!$B$44-((R2795-1)*(1/Q2795)))))/Inputs!$B$44),IF(Inputs!$B$39="pvp",MIN((Skills!Y22*(1+Inputs!$B$34/100)),15)/15,MIN(1,(Skills!Y22*(1+Inputs!$B$34/100))/(1/Q2795)))))+((C2776=TRUE)*F2776*3)+((C2778=TRUE)*F2778*(1-EXP(-0.75*B2811*5)))+((C2797=TRUE)*(F2797-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2784=TRUE)*F2784*IF(AND(Inputs!$B$39&lt;&gt;"pvp",Inputs!$B$44&gt;0),(((R2784-1)*MIN((Skills!Y11*(1+Inputs!$B$34/100)),(1/Q2784))+MIN((Skills!Y11*(1+Inputs!$B$34/100)),MAX(0,Inputs!$B$44-((R2784-1)*(1/Q2784)))))/Inputs!$B$44),IF(Inputs!$B$39="pvp",MIN((Skills!Y11*(1+Inputs!$B$34/100)),15)/15,MIN(1,(Skills!Y11*(1+Inputs!$B$34/100))/(1/Q2784)))))/100)*(1+((C2789=TRUE)*F2789*IF(AND(Inputs!$B$39&lt;&gt;"pvp",Inputs!$B$44&gt;0),(((R2789-1)*MIN((Skills!Y16*(1+Inputs!$B$34/100)),(1/Q2789))+MIN((Skills!Y16*(1+Inputs!$B$34/100)),MAX(0,Inputs!$B$44-((R2789-1)*(1/Q2789)))))/Inputs!$B$44),IF(Inputs!$B$39="pvp",MIN((Skills!Y16*(1+Inputs!$B$34/100)),15)/15,MIN(1,(Skills!Y16*(1+Inputs!$B$34/100))/(1/Q2789)))))/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2809*I2775)</f>
        <v/>
      </c>
      <c r="L2775">
        <f>K2775*(MIN(Inputs!$B$22+((C2798=TRUE)*(F2798-Calc!F25)),(Inputs!$B$23+((C2803=TRUE)*(F2803-Calc!F30))+IF(ArtifactsInput!$M$15,CHOOSE(ArtifactsInput!$N$15+1,25,30,35,40,45,50)/100*(Inputs!$B$11-Inputs!$B$11),0)))/100+(Inputs!$B$23+((C2803=TRUE)*(F2803-Calc!F30))+IF(ArtifactsInput!$M$15,CHOOSE(ArtifactsInput!$N$15+1,25,30,35,40,45,50)/100*(Inputs!$B$11-Inputs!$B$11),0))/100)/2</f>
        <v/>
      </c>
      <c r="M2775">
        <f>L2775*(1+(Inputs!$B$10+((C2800=TRUE)*(F2800-Calc!F27))+B2814+(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2775">
        <f>L2775*(1-MIN((Inputs!$B$9+((C2799=TRUE)*(F2799-Calc!F26))+B2807+(ArtifactsInput!$M$24-ArtifactsInput!$M$24)*CHOOSE(ArtifactsInput!$N$24+1,10,12,14,16,18,20)+(IF(AND(Inputs!$B$39&lt;&gt;"pvp",Inputs!$B$44=0),1,IF(IF(Inputs!$B$39="pvp",15,Inputs!$B$44)-(B2818)&lt;=0,1,MAX(0,IF(Inputs!$B$39="pvp",15,Inputs!$B$44)-MAX(5,B2818))/(IF(Inputs!$B$39="pvp",15,Inputs!$B$44)-(B2818))))*IF(AND(ArtifactsInput!$M$42,((Inputs!$B$9+((C2799=TRUE)*(F2799-Calc!F26))+B2807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2775*(MIN((Inputs!$B$9+((C2799=TRUE)*(F2799-Calc!F26))+B2807+(ArtifactsInput!$M$24-ArtifactsInput!$M$24)*CHOOSE(ArtifactsInput!$N$24+1,10,12,14,16,18,20)+(IF(AND(Inputs!$B$39&lt;&gt;"pvp",Inputs!$B$44=0),1,IF(IF(Inputs!$B$39="pvp",15,Inputs!$B$44)-(B2818)&lt;=0,1,MAX(0,IF(Inputs!$B$39="pvp",15,Inputs!$B$44)-MAX(5,B2818))/(IF(Inputs!$B$39="pvp",15,Inputs!$B$44)-(B2818))))*IF(AND(ArtifactsInput!$M$42,((Inputs!$B$9+((C2799=TRUE)*(F2799-Calc!F26))+B2807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775">
        <f>(1-Summary!$B$11)*T2775+Summary!$B$11*V2775</f>
        <v/>
      </c>
      <c r="P2775">
        <f>IF(B2819=0,0,O2775/B2819)</f>
        <v/>
      </c>
      <c r="Q2775" t="n">
        <v>0</v>
      </c>
      <c r="R2775" t="n">
        <v>0</v>
      </c>
      <c r="S2775">
        <f>IFERROR(O2775/N2775,0)</f>
        <v/>
      </c>
      <c r="T2775">
        <f>IF(C2775,(Skills!G2*N2775*B2813)*IF(Inputs!$B$39="pvp",1,1+(Inputs!$B$20+0+Skills!P2+B2808+(IF(AND(ArtifactsInput!$M$36,IF(Inputs!$B$39="pvp",TRUE,AND(Inputs!$B$39&lt;&gt;"pvp",Inputs!$B$44&gt;0))),MAX(0,MIN(40,IF(Inputs!$B$39="pvp",15,Inputs!$B$44))-MAX(20,IF(Inputs!$B$4="Breakthrough",20,IF(Inputs!$B$4="Hero Dungeon",30,0))))/(IF(Inputs!$B$39="pvp",15,Inputs!$B$44)-IF(Inputs!$B$4="Breakthrough",20,IF(Inputs!$B$4="Hero Dungeon",30,0)))*CHOOSE(ArtifactsInput!$N$36+1,30,36,42,48,54,60),0)+IF(IF(ArtifactsInput!$M$33,FALSE,TRUE),CHOOSE(ArtifactsInput!$N$33+1,10,12,14,16,18,20),0)+(ArtifactsInput!$M$23-ArtifactsInput!$M$23)*CHOOSE(ArtifactsInput!$N$23+1,50,60,70,80,90,100))+(IF(AND(ArtifactsInput!$M$35,Inputs!$B$4&lt;&gt;"Chapter Hunt"),CHOOSE(ArtifactsInput!$N$35+1,15,18,21,24,27,30)*(1-EXP(-(0.2*B2811)*5)),0)+IF(AND(ArtifactsInput!$M$22,Inputs!$B$4&lt;&gt;"Chapter Hunt"),CHOOSE(ArtifactsInput!$N$22+1,10,12,14,16,18,20)*((0*(((0.15*B2811*5))^0/1)+1*(((0.15*B2811*5))^1/1)+2*(((0.15*B2811*5))^2/2)+3*(((0.15*B2811*5))^3/6)+4*(((0.15*B2811*5))^4/24)+5*(((0.15*B2811*5))^5/120))/((((0.15*B2811*5))^0/1)+(((0.15*B2811*5))^1/1)+(((0.15*B2811*5))^2/2)+(((0.15*B2811*5))^3/6)+(((0.15*B2811*5))^4/24)+(((0.15*B2811*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2775*(1-MIN(100,(Inputs!$B$9+((C2799=TRUE)*(F2799-Calc!F26))+B2807+(ArtifactsInput!$M$24-ArtifactsInput!$M$24)*CHOOSE(ArtifactsInput!$N$24+1,10,12,14,16,18,20)+(IF(AND(Inputs!$B$39&lt;&gt;"pvp",Inputs!$B$44=0),1,IF(IF(Inputs!$B$39="pvp",15,Inputs!$B$44)-(B2818)&lt;=0,1,MAX(0,IF(Inputs!$B$39="pvp",15,Inputs!$B$44)-MAX(5,B2818))/(IF(Inputs!$B$39="pvp",15,Inputs!$B$44)-(B2818))))*IF(AND(ArtifactsInput!$M$42,((Inputs!$B$9+((C2799=TRUE)*(F2799-Calc!F26))+B2807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2775*(MIN(100,(Inputs!$B$9+((C2799=TRUE)*(F2799-Calc!F26))+B2807+(ArtifactsInput!$M$24-ArtifactsInput!$M$24)*CHOOSE(ArtifactsInput!$N$24+1,10,12,14,16,18,20)+(IF(AND(Inputs!$B$39&lt;&gt;"pvp",Inputs!$B$44=0),1,IF(IF(Inputs!$B$39="pvp",15,Inputs!$B$44)-(B2818)&lt;=0,1,MAX(0,IF(Inputs!$B$39="pvp",15,Inputs!$B$44)-MAX(5,B2818))/(IF(Inputs!$B$39="pvp",15,Inputs!$B$44)-(B2818))))*IF(AND(ArtifactsInput!$M$42,((Inputs!$B$9+((C2799=TRUE)*(F2799-Calc!F26))+B2807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2775*(1-MIN(100,(Inputs!$B$9+((C2799=TRUE)*(F2799-Calc!F26))+B2807+(ArtifactsInput!$M$24-ArtifactsInput!$M$24)*CHOOSE(ArtifactsInput!$N$24+1,10,12,14,16,18,20)+(IF(AND(Inputs!$B$39&lt;&gt;"pvp",Inputs!$B$44=0),1,IF(IF(Inputs!$B$39="pvp",15,Inputs!$B$44)-(B2818)&lt;=0,1,MAX(0,IF(Inputs!$B$39="pvp",15,Inputs!$B$44)-MAX(5,B2818))/(IF(Inputs!$B$39="pvp",15,Inputs!$B$44)-(B2818))))*IF(AND(ArtifactsInput!$M$42,((Inputs!$B$9+((C2799=TRUE)*(F2799-Calc!F26))+B2807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2775*(MIN(100,(Inputs!$B$9+((C2799=TRUE)*(F2799-Calc!F26))+B2807+(ArtifactsInput!$M$24-ArtifactsInput!$M$24)*CHOOSE(ArtifactsInput!$N$24+1,10,12,14,16,18,20)+(IF(AND(Inputs!$B$39&lt;&gt;"pvp",Inputs!$B$44=0),1,IF(IF(Inputs!$B$39="pvp",15,Inputs!$B$44)-(B2818)&lt;=0,1,MAX(0,IF(Inputs!$B$39="pvp",15,Inputs!$B$44)-MAX(5,B2818))/(IF(Inputs!$B$39="pvp",15,Inputs!$B$44)-(B2818))))*IF(AND(ArtifactsInput!$M$42,((Inputs!$B$9+((C2799=TRUE)*(F2799-Calc!F26))+B2807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2775">
        <f>MAX(0,(Inputs!$B$3-100)*3)+Inputs!$B$28+Inputs!$B$29</f>
        <v/>
      </c>
      <c r="V2775">
        <f>IF(C2775,(Skills!G2*N2775*B2813)*IF(Inputs!$B$39="pvp",1,(1+(Inputs!$B$21+Skills!Q2+B2808+(IF(IF(ArtifactsInput!$M$33,FALSE,TRUE),CHOOSE(ArtifactsInput!$N$33+1,30,36,42,48,54,60),0))+(IF(AND(ArtifactsInput!$M$35,Inputs!$B$4&lt;&gt;"Chapter Hunt"),CHOOSE(ArtifactsInput!$N$35+1,15,18,21,24,27,30)*(1-EXP(-(0.2*B2811)*5)),0)+IF(AND(ArtifactsInput!$M$22,Inputs!$B$4&lt;&gt;"Chapter Hunt"),CHOOSE(ArtifactsInput!$N$22+1,10,12,14,16,18,20)*((0*(((0.15*B2811*5))^0/1)+1*(((0.15*B2811*5))^1/1)+2*(((0.15*B2811*5))^2/2)+3*(((0.15*B2811*5))^3/6)+4*(((0.15*B2811*5))^4/24)+5*(((0.15*B2811*5))^5/120))/((((0.15*B2811*5))^0/1)+(((0.15*B2811*5))^1/1)+(((0.15*B2811*5))^2/2)+(((0.15*B2811*5))^3/6)+(((0.15*B2811*5))^4/24)+(((0.15*B2811*5))^5/120))),0)))/100)*(MIN((6+Inputs!$B$33),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776">
      <c r="A2776">
        <f>Skills!A3</f>
        <v/>
      </c>
      <c r="B2776">
        <f>Skills!B3</f>
        <v/>
      </c>
      <c r="C2776">
        <f>Inputs!$B$3&gt;=35</f>
        <v/>
      </c>
      <c r="D2776">
        <f>IF(Skills!C3=1,60+Inputs!$B$25+Inputs!$B$29,IF(Skills!C3=2,90+Inputs!$B$26+Inputs!$B$29,IF(Skills!C3=3,120+Inputs!$B$27+Inputs!$B$29,MAX(0,(Inputs!$B$3-100)*3)+Inputs!$B$28+Inputs!$B$29)))</f>
        <v/>
      </c>
      <c r="E2776">
        <f>INDEX(FactorTable!$B$2:$Y$301, MATCH(ROUND(MIN(300,MAX(1,D2776)),0), FactorTable!$A$2:$A$301,0), Skills!M3+1)</f>
        <v/>
      </c>
      <c r="F2776">
        <f>IF(Skills!N3=TRUE,(Skills!L3/10)*(E2776/1000),Skills!L3/10)+Skills!O3</f>
        <v/>
      </c>
      <c r="G2776">
        <f>Skills!G3*IF(Skills!H3&gt;0,IF(Inputs!$B$39="pvp",MIN(Skills!I3,15),Skills!I3)/Skills!H3,1)</f>
        <v/>
      </c>
      <c r="H2776">
        <f>1-(1-Skills!J3/100)^Skills!K3</f>
        <v/>
      </c>
      <c r="I2776" t="inlineStr">
        <is>
          <t>1</t>
        </is>
      </c>
      <c r="J2776" t="inlineStr"/>
      <c r="K2776" t="inlineStr"/>
      <c r="L2776" t="inlineStr"/>
      <c r="M2776" t="inlineStr"/>
      <c r="N2776" t="inlineStr"/>
      <c r="O2776">
        <f>(1-Summary!$B$11)*T2776+Summary!$B$11*V2776</f>
        <v/>
      </c>
      <c r="P2776">
        <f>IF(B2819=0,0,O2776/B2819)</f>
        <v/>
      </c>
      <c r="Q2776" t="n">
        <v>0</v>
      </c>
      <c r="R2776" t="n">
        <v>0</v>
      </c>
      <c r="S2776">
        <f>IFERROR(O2776/N2776,0)</f>
        <v/>
      </c>
      <c r="T2776" t="n">
        <v>0</v>
      </c>
      <c r="U2776">
        <f>INDEX(FactorTable!$B$2:$Y$301, MATCH(ROUND(MIN(300,MAX(1,U2775)),0), FactorTable!$A$2:$A$301,0), 22)</f>
        <v/>
      </c>
      <c r="V2776" t="n">
        <v>0</v>
      </c>
    </row>
    <row r="2777">
      <c r="A2777">
        <f>Skills!A4</f>
        <v/>
      </c>
      <c r="B2777">
        <f>Skills!B4</f>
        <v/>
      </c>
      <c r="C2777">
        <f>Inputs!$B$3&gt;=66</f>
        <v/>
      </c>
      <c r="D2777">
        <f>IF(Skills!C4=1,60+Inputs!$B$25+Inputs!$B$29,IF(Skills!C4=2,90+Inputs!$B$26+Inputs!$B$29,IF(Skills!C4=3,120+Inputs!$B$27+Inputs!$B$29,MAX(0,(Inputs!$B$3-100)*3)+Inputs!$B$28+Inputs!$B$29)))</f>
        <v/>
      </c>
      <c r="E2777">
        <f>INDEX(FactorTable!$B$2:$Y$301, MATCH(ROUND(MIN(300,MAX(1,D2777)),0), FactorTable!$A$2:$A$301,0), Skills!M4+1)</f>
        <v/>
      </c>
      <c r="F2777">
        <f>IF(Skills!N4=TRUE,(Skills!L4/10)*(E2777/1000),Skills!L4/10)+Skills!O4</f>
        <v/>
      </c>
      <c r="G2777">
        <f>Skills!G4*IF(Skills!H4&gt;0,IF(Inputs!$B$39="pvp",MIN(Skills!I4,15),Skills!I4)/Skills!H4,1)</f>
        <v/>
      </c>
      <c r="H2777">
        <f>1-(1-Skills!J4/100)^Skills!K4</f>
        <v/>
      </c>
      <c r="I2777" t="inlineStr">
        <is>
          <t>1</t>
        </is>
      </c>
      <c r="J2777">
        <f>((Inputs!$B$6*(1+Inputs!$B$7/100))+(((Inputs!$B$12*(1+Inputs!$B$13/100))-(Inputs!$B$12*(1+Inputs!$B$13/100)))+0.25*(Inputs!$B$14-Inputs!$B$14))*(1+Inputs!$B$7/100))*(F2777/100)</f>
        <v/>
      </c>
      <c r="K2777">
        <f>J2777*(1+((Inputs!$B$12*(1+Inputs!$B$13/100))*0.01+Inputs!$B$14*0.0025)/100)*(1+Inputs!$B$15/100)*(1+Inputs!$B$16/100)*(5000/(6000+Inputs!$B$43*(1-(100*(1-(1-Inputs!$B$19/100)*(1-CHOOSE(ArtifactsInput!$N$40+1,5,6,7,8,9,10)/100)^(ArtifactsInput!$M$40-ArtifactsInput!$M$40)))/100)))*(1+(Inputs!$B$24+((C2804=TRUE)*(F2804-Calc!F31))+((C2791=TRUE)*(F2791-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4="CRUEL_STAB",Inputs!$B$17+((C2801=TRUE)*(F2801-Calc!F28))+((IF(AND(Inputs!$B$39&lt;&gt;"pvp",Inputs!$B$44=0),1,IF(IF(Inputs!$B$39="pvp",15,Inputs!$B$44)-(B2818)&lt;=0,1,MAX(0,IF(Inputs!$B$39="pvp",15,Inputs!$B$44)-MAX(5,B2818))/(IF(Inputs!$B$39="pvp",15,Inputs!$B$44)-(B2818))))*(IF(AND(ArtifactsInput!$M$42,((Inputs!$B$9+((C2799=TRUE)*(F2799-Calc!F26))+B2807+(ArtifactsInput!$M$24-ArtifactsInput!$M$24)*CHOOSE(ArtifactsInput!$N$24+1,10,12,14,16,18,20)+IF(ArtifactsInput!$M$10,CHOOSE(ArtifactsInput!$N$10+1,15,18,21,24,27,30)*(IF(Inputs!$B$39="pvp",MIN(15,15)/15,IF(AND(Inputs!$B$39&lt;&gt;"pvp",Inputs!$B$44&gt;0),MIN(15,Inputs!$B$44)/(Inputs!$B$44),0))),0)))&gt;=100),MIN(100,((Inputs!$B$9+((C2799=TRUE)*(F2799-Calc!F26))+B2807+(ArtifactsInput!$M$24-ArtifactsInput!$M$24)*CHOOSE(ArtifactsInput!$N$24+1,10,12,14,16,18,20)+IF(ArtifactsInput!$M$10,CHOOSE(ArtifactsInput!$N$10+1,15,18,21,24,27,30)*(IF(Inputs!$B$39="pvp",MIN(15,15)/15,IF(AND(Inputs!$B$39&lt;&gt;"pvp",Inputs!$B$44&gt;0),MIN(15,Inputs!$B$44)/(Inputs!$B$44),0))),0)))-100),0))*CHOOSE(ArtifactsInput!$N$42+1,0.6,0.72,0.84,0.96,1.08,1.2))),Inputs!$B$18+((C2802=TRUE)*(F2802-Calc!F29))+(IF(AND(Inputs!$B$39&lt;&gt;"pvp",Inputs!$B$44=0),1,IF(IF(Inputs!$B$39="pvp",15,Inputs!$B$44)-(B2818)&lt;=0,1,MAX(0,IF(Inputs!$B$39="pvp",15,Inputs!$B$44)-MAX(5,B2818))/(IF(Inputs!$B$39="pvp",15,Inputs!$B$44)-(B2818))))*IF(AND(ArtifactsInput!$M$42,((Inputs!$B$9+((C2799=TRUE)*(F2799-Calc!F26))+B2807+(ArtifactsInput!$M$24-ArtifactsInput!$M$24)*CHOOSE(ArtifactsInput!$N$24+1,10,12,14,16,18,20)+IF(ArtifactsInput!$M$10,CHOOSE(ArtifactsInput!$N$10+1,15,18,21,24,27,30)*(IF(Inputs!$B$39="pvp",MIN(15,15)/15,IF(AND(Inputs!$B$39&lt;&gt;"pvp",Inputs!$B$44&gt;0),MIN(15,Inputs!$B$44)/(Inputs!$B$44),0))),0)))&gt;=100),CHOOSE(ArtifactsInput!$N$42+1,40,48,56,64,72,80),0))))/100)*(((1+(((C2795=TRUE)*F2795*IF(AND(Inputs!$B$39&lt;&gt;"pvp",Inputs!$B$44&gt;0),(((R2795-1)*MIN((Skills!Y22*(1+Inputs!$B$34/100)),(1/Q2795))+MIN((Skills!Y22*(1+Inputs!$B$34/100)),MAX(0,Inputs!$B$44-((R2795-1)*(1/Q2795)))))/Inputs!$B$44),IF(Inputs!$B$39="pvp",MIN((Skills!Y22*(1+Inputs!$B$34/100)),15)/15,MIN(1,(Skills!Y22*(1+Inputs!$B$34/100))/(1/Q2795)))))+((C2776=TRUE)*F2776*3)+((C2778=TRUE)*F2778*(1-EXP(-0.75*B2811*5)))+((C2797=TRUE)*(F2797-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2784=TRUE)*F2784*IF(AND(Inputs!$B$39&lt;&gt;"pvp",Inputs!$B$44&gt;0),(((R2784-1)*MIN((Skills!Y11*(1+Inputs!$B$34/100)),(1/Q2784))+MIN((Skills!Y11*(1+Inputs!$B$34/100)),MAX(0,Inputs!$B$44-((R2784-1)*(1/Q2784)))))/Inputs!$B$44),IF(Inputs!$B$39="pvp",MIN((Skills!Y11*(1+Inputs!$B$34/100)),15)/15,MIN(1,(Skills!Y11*(1+Inputs!$B$34/100))/(1/Q2784)))))/100)*(1+((C2789=TRUE)*F2789*IF(AND(Inputs!$B$39&lt;&gt;"pvp",Inputs!$B$44&gt;0),(((R2789-1)*MIN((Skills!Y16*(1+Inputs!$B$34/100)),(1/Q2789))+MIN((Skills!Y16*(1+Inputs!$B$34/100)),MAX(0,Inputs!$B$44-((R2789-1)*(1/Q2789)))))/Inputs!$B$44),IF(Inputs!$B$39="pvp",MIN((Skills!Y16*(1+Inputs!$B$34/100)),15)/15,MIN(1,(Skills!Y16*(1+Inputs!$B$34/100))/(1/Q2789)))))/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2809*I2777)</f>
        <v/>
      </c>
      <c r="L2777">
        <f>K2777*(MIN(Inputs!$B$22+((C2798=TRUE)*(F2798-Calc!F25)),(Inputs!$B$23+((C2803=TRUE)*(F2803-Calc!F30))+IF(ArtifactsInput!$M$15,CHOOSE(ArtifactsInput!$N$15+1,25,30,35,40,45,50)/100*(Inputs!$B$11-Inputs!$B$11),0)))/100+(Inputs!$B$23+((C2803=TRUE)*(F2803-Calc!F30))+IF(ArtifactsInput!$M$15,CHOOSE(ArtifactsInput!$N$15+1,25,30,35,40,45,50)/100*(Inputs!$B$11-Inputs!$B$11),0))/100)/2</f>
        <v/>
      </c>
      <c r="M2777">
        <f>L2777*(1+(Inputs!$B$10+((C2800=TRUE)*(F2800-Calc!F27))+B2814+(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2777">
        <f>L2777*(1-MIN((Inputs!$B$9+((C2799=TRUE)*(F2799-Calc!F26))+B2807+(ArtifactsInput!$M$24-ArtifactsInput!$M$24)*CHOOSE(ArtifactsInput!$N$24+1,10,12,14,16,18,20)+(IF(AND(Inputs!$B$39&lt;&gt;"pvp",Inputs!$B$44=0),1,IF(IF(Inputs!$B$39="pvp",15,Inputs!$B$44)-(B2818)&lt;=0,1,MAX(0,IF(Inputs!$B$39="pvp",15,Inputs!$B$44)-MAX(5,B2818))/(IF(Inputs!$B$39="pvp",15,Inputs!$B$44)-(B2818))))*IF(AND(ArtifactsInput!$M$42,((Inputs!$B$9+((C2799=TRUE)*(F2799-Calc!F26))+B2807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2777*(MIN((Inputs!$B$9+((C2799=TRUE)*(F2799-Calc!F26))+B2807+(ArtifactsInput!$M$24-ArtifactsInput!$M$24)*CHOOSE(ArtifactsInput!$N$24+1,10,12,14,16,18,20)+(IF(AND(Inputs!$B$39&lt;&gt;"pvp",Inputs!$B$44=0),1,IF(IF(Inputs!$B$39="pvp",15,Inputs!$B$44)-(B2818)&lt;=0,1,MAX(0,IF(Inputs!$B$39="pvp",15,Inputs!$B$44)-MAX(5,B2818))/(IF(Inputs!$B$39="pvp",15,Inputs!$B$44)-(B2818))))*IF(AND(ArtifactsInput!$M$42,((Inputs!$B$9+((C2799=TRUE)*(F2799-Calc!F26))+B2807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777">
        <f>(1-Summary!$B$11)*T2777+Summary!$B$11*V2777</f>
        <v/>
      </c>
      <c r="P2777">
        <f>IF(B2819=0,0,O2777/B2819)</f>
        <v/>
      </c>
      <c r="Q2777">
        <f>IFERROR(1/IF(Inputs!$B$39="pvp",15,MAX(0.1,Skills!D4-IF(TRUE=TRUE,Inputs!$B$32,0))),0)</f>
        <v/>
      </c>
      <c r="R2777">
        <f>IF(AND(Inputs!$B$39&lt;&gt;"pvp",Inputs!$B$44&gt;0),IF(MAX(0,Inputs!$B$44-B2818)&lt;=0,0,(INT(MAX(0,Inputs!$B$44-B2818)/IF(Inputs!$B$39="pvp",15,MAX(0.1,Skills!D4-IF(TRUE=TRUE,Inputs!$B$32,0))))+1)),0)</f>
        <v/>
      </c>
      <c r="S2777">
        <f>IFERROR(O2777/N2777,0)</f>
        <v/>
      </c>
      <c r="T2777">
        <f>IF(C2777,(H2777*N2777*IF(AND(Inputs!$B$39&lt;&gt;"pvp",Inputs!$B$44&gt;0),((Skills!G4*((R2777-1)*IF(Skills!H4&gt;0,Skills!I4/Skills!H4,1)+IF(Skills!H4&gt;0,MIN(Skills!I4,MAX(0,MAX(0,Inputs!$B$44-B2818)-((R2777-1)*IF(Inputs!$B$39="pvp",15,MAX(0.1,Skills!D4-IF(TRUE=TRUE,Inputs!$B$32,0))))))/Skills!H4,1)))/Inputs!$B$44),G2777*Q2777))*IF(Inputs!$B$39="pvp",1,1+(Inputs!$B$20+0+Skills!P4+B2808+(IF(AND(ArtifactsInput!$M$36,IF(Inputs!$B$39="pvp",TRUE,AND(Inputs!$B$39&lt;&gt;"pvp",Inputs!$B$44&gt;0))),MAX(0,MIN(40,IF(Inputs!$B$39="pvp",15,Inputs!$B$44))-MAX(20,IF(Inputs!$B$4="Breakthrough",20,IF(Inputs!$B$4="Hero Dungeon",30,0))))/(IF(Inputs!$B$39="pvp",15,Inputs!$B$44)-IF(Inputs!$B$4="Breakthrough",20,IF(Inputs!$B$4="Hero Dungeon",30,0)))*CHOOSE(ArtifactsInput!$N$36+1,30,36,42,48,54,60),0)+IF(IF(ArtifactsInput!$M$33,FALSE,TRUE),CHOOSE(ArtifactsInput!$N$33+1,10,12,14,16,18,20),0)+(ArtifactsInput!$M$23-ArtifactsInput!$M$23)*CHOOSE(ArtifactsInput!$N$23+1,50,60,70,80,90,100))+(IF(AND(ArtifactsInput!$M$35,Inputs!$B$4&lt;&gt;"Chapter Hunt"),CHOOSE(ArtifactsInput!$N$35+1,15,18,21,24,27,30)*(1-EXP(-(0.2*B2811)*5)),0)+IF(AND(ArtifactsInput!$M$22,Inputs!$B$4&lt;&gt;"Chapter Hunt"),CHOOSE(ArtifactsInput!$N$22+1,10,12,14,16,18,20)*((0*(((0.15*B2811*5))^0/1)+1*(((0.15*B2811*5))^1/1)+2*(((0.15*B2811*5))^2/2)+3*(((0.15*B2811*5))^3/6)+4*(((0.15*B2811*5))^4/24)+5*(((0.15*B2811*5))^5/120))/((((0.15*B2811*5))^0/1)+(((0.15*B2811*5))^1/1)+(((0.15*B2811*5))^2/2)+(((0.15*B2811*5))^3/6)+(((0.15*B2811*5))^4/24)+(((0.15*B2811*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2777*(1-MIN(100,(Inputs!$B$9+((C2799=TRUE)*(F2799-Calc!F26))+B2807+(ArtifactsInput!$M$24-ArtifactsInput!$M$24)*CHOOSE(ArtifactsInput!$N$24+1,10,12,14,16,18,20)+(IF(AND(Inputs!$B$39&lt;&gt;"pvp",Inputs!$B$44=0),1,IF(IF(Inputs!$B$39="pvp",15,Inputs!$B$44)-(B2818)&lt;=0,1,MAX(0,IF(Inputs!$B$39="pvp",15,Inputs!$B$44)-MAX(5,B2818))/(IF(Inputs!$B$39="pvp",15,Inputs!$B$44)-(B2818))))*IF(AND(ArtifactsInput!$M$42,((Inputs!$B$9+((C2799=TRUE)*(F2799-Calc!F26))+B2807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2777*(MIN(100,(Inputs!$B$9+((C2799=TRUE)*(F2799-Calc!F26))+B2807+(ArtifactsInput!$M$24-ArtifactsInput!$M$24)*CHOOSE(ArtifactsInput!$N$24+1,10,12,14,16,18,20)+(IF(AND(Inputs!$B$39&lt;&gt;"pvp",Inputs!$B$44=0),1,IF(IF(Inputs!$B$39="pvp",15,Inputs!$B$44)-(B2818)&lt;=0,1,MAX(0,IF(Inputs!$B$39="pvp",15,Inputs!$B$44)-MAX(5,B2818))/(IF(Inputs!$B$39="pvp",15,Inputs!$B$44)-(B2818))))*IF(AND(ArtifactsInput!$M$42,((Inputs!$B$9+((C2799=TRUE)*(F2799-Calc!F26))+B2807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2777*(1-MIN(100,(Inputs!$B$9+((C2799=TRUE)*(F2799-Calc!F26))+B2807+(ArtifactsInput!$M$24-ArtifactsInput!$M$24)*CHOOSE(ArtifactsInput!$N$24+1,10,12,14,16,18,20)+(IF(AND(Inputs!$B$39&lt;&gt;"pvp",Inputs!$B$44=0),1,IF(IF(Inputs!$B$39="pvp",15,Inputs!$B$44)-(B2818)&lt;=0,1,MAX(0,IF(Inputs!$B$39="pvp",15,Inputs!$B$44)-MAX(5,B2818))/(IF(Inputs!$B$39="pvp",15,Inputs!$B$44)-(B2818))))*IF(AND(ArtifactsInput!$M$42,((Inputs!$B$9+((C2799=TRUE)*(F2799-Calc!F26))+B2807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2777*(MIN(100,(Inputs!$B$9+((C2799=TRUE)*(F2799-Calc!F26))+B2807+(ArtifactsInput!$M$24-ArtifactsInput!$M$24)*CHOOSE(ArtifactsInput!$N$24+1,10,12,14,16,18,20)+(IF(AND(Inputs!$B$39&lt;&gt;"pvp",Inputs!$B$44=0),1,IF(IF(Inputs!$B$39="pvp",15,Inputs!$B$44)-(B2818)&lt;=0,1,MAX(0,IF(Inputs!$B$39="pvp",15,Inputs!$B$44)-MAX(5,B2818))/(IF(Inputs!$B$39="pvp",15,Inputs!$B$44)-(B2818))))*IF(AND(ArtifactsInput!$M$42,((Inputs!$B$9+((C2799=TRUE)*(F2799-Calc!F26))+B2807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2777">
        <f>290*U2776/1000</f>
        <v/>
      </c>
      <c r="V2777">
        <f>IF(C2777,(H2777*N2777*IF(AND(Inputs!$B$39&lt;&gt;"pvp",Inputs!$B$44&gt;0),((Skills!G4*((R2777-1)*IF(Skills!H4&gt;0,Skills!I4/Skills!H4,1)+IF(Skills!H4&gt;0,MIN(Skills!I4,MAX(0,MAX(0,Inputs!$B$44-B2818)-((R2777-1)*IF(Inputs!$B$39="pvp",15,MAX(0.1,Skills!D4-IF(TRUE=TRUE,Inputs!$B$32,0))))))/Skills!H4,1)))/Inputs!$B$44),G2777*Q2777))*IF(Inputs!$B$39="pvp",1,(1+(Inputs!$B$21+Skills!Q4+B2808+(IF(IF(ArtifactsInput!$M$33,FALSE,TRUE),CHOOSE(ArtifactsInput!$N$33+1,30,36,42,48,54,60),0))+(IF(AND(ArtifactsInput!$M$35,Inputs!$B$4&lt;&gt;"Chapter Hunt"),CHOOSE(ArtifactsInput!$N$35+1,15,18,21,24,27,30)*(1-EXP(-(0.2*B2811)*5)),0)+IF(AND(ArtifactsInput!$M$22,Inputs!$B$4&lt;&gt;"Chapter Hunt"),CHOOSE(ArtifactsInput!$N$22+1,10,12,14,16,18,20)*((0*(((0.15*B2811*5))^0/1)+1*(((0.15*B2811*5))^1/1)+2*(((0.15*B2811*5))^2/2)+3*(((0.15*B2811*5))^3/6)+4*(((0.15*B2811*5))^4/24)+5*(((0.15*B2811*5))^5/120))/((((0.15*B2811*5))^0/1)+(((0.15*B2811*5))^1/1)+(((0.15*B2811*5))^2/2)+(((0.15*B2811*5))^3/6)+(((0.15*B2811*5))^4/24)+(((0.15*B2811*5))^5/120))),0)))/100)*(MIN(MIN(10,IF(Inputs!$B$3&gt;=75,0.75,0.5)*B2811*(1/Q2777)),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778">
      <c r="A2778">
        <f>Skills!A5</f>
        <v/>
      </c>
      <c r="B2778">
        <f>Skills!B5</f>
        <v/>
      </c>
      <c r="C2778">
        <f>Inputs!$B$3&gt;=75</f>
        <v/>
      </c>
      <c r="D2778">
        <f>IF(Skills!C5=1,60+Inputs!$B$25+Inputs!$B$29,IF(Skills!C5=2,90+Inputs!$B$26+Inputs!$B$29,IF(Skills!C5=3,120+Inputs!$B$27+Inputs!$B$29,MAX(0,(Inputs!$B$3-100)*3)+Inputs!$B$28+Inputs!$B$29)))</f>
        <v/>
      </c>
      <c r="E2778">
        <f>INDEX(FactorTable!$B$2:$Y$301, MATCH(ROUND(MIN(300,MAX(1,D2778)),0), FactorTable!$A$2:$A$301,0), Skills!M5+1)</f>
        <v/>
      </c>
      <c r="F2778">
        <f>IF(Skills!N5=TRUE,(Skills!L5/10)*(E2778/1000),Skills!L5/10)+Skills!O5</f>
        <v/>
      </c>
      <c r="G2778">
        <f>Skills!G5*IF(Skills!H5&gt;0,IF(Inputs!$B$39="pvp",MIN(Skills!I5,15),Skills!I5)/Skills!H5,1)</f>
        <v/>
      </c>
      <c r="H2778">
        <f>1-(1-Skills!J5/100)^Skills!K5</f>
        <v/>
      </c>
      <c r="I2778" t="inlineStr">
        <is>
          <t>1</t>
        </is>
      </c>
      <c r="J2778" t="inlineStr"/>
      <c r="K2778" t="inlineStr"/>
      <c r="L2778" t="inlineStr"/>
      <c r="M2778" t="inlineStr"/>
      <c r="N2778" t="inlineStr"/>
      <c r="O2778">
        <f>(1-Summary!$B$11)*T2778+Summary!$B$11*V2778</f>
        <v/>
      </c>
      <c r="P2778">
        <f>IF(B2819=0,0,O2778/B2819)</f>
        <v/>
      </c>
      <c r="Q2778" t="n">
        <v>0</v>
      </c>
      <c r="R2778" t="n">
        <v>0</v>
      </c>
      <c r="S2778">
        <f>IFERROR(O2778/N2778,0)</f>
        <v/>
      </c>
      <c r="T2778" t="n">
        <v>0</v>
      </c>
      <c r="V2778" t="n">
        <v>0</v>
      </c>
    </row>
    <row r="2779">
      <c r="A2779">
        <f>Skills!A6</f>
        <v/>
      </c>
      <c r="B2779">
        <f>Skills!B6</f>
        <v/>
      </c>
      <c r="C2779">
        <f>Inputs!$B$3&gt;=63</f>
        <v/>
      </c>
      <c r="D2779">
        <f>IF(Skills!C6=1,60+Inputs!$B$25+Inputs!$B$29,IF(Skills!C6=2,90+Inputs!$B$26+Inputs!$B$29,IF(Skills!C6=3,120+Inputs!$B$27+Inputs!$B$29,MAX(0,(Inputs!$B$3-100)*3)+Inputs!$B$28+Inputs!$B$29)))</f>
        <v/>
      </c>
      <c r="E2779">
        <f>INDEX(FactorTable!$B$2:$Y$301, MATCH(ROUND(MIN(300,MAX(1,D2779)),0), FactorTable!$A$2:$A$301,0), Skills!M6+1)</f>
        <v/>
      </c>
      <c r="F2779">
        <f>IF(Skills!N6=TRUE,(Skills!L6/10)*(E2779/1000),Skills!L6/10)+Skills!O6</f>
        <v/>
      </c>
      <c r="G2779">
        <f>Skills!G6*IF(Skills!H6&gt;0,IF(Inputs!$B$39="pvp",MIN(Skills!I6,15),Skills!I6)/Skills!H6,1)</f>
        <v/>
      </c>
      <c r="H2779">
        <f>1-(1-Skills!J6/100)^Skills!K6</f>
        <v/>
      </c>
      <c r="I2779" t="inlineStr">
        <is>
          <t>1</t>
        </is>
      </c>
      <c r="J2779">
        <f>((Inputs!$B$6*(1+Inputs!$B$7/100))+(((Inputs!$B$12*(1+Inputs!$B$13/100))-(Inputs!$B$12*(1+Inputs!$B$13/100)))+0.25*(Inputs!$B$14-Inputs!$B$14))*(1+Inputs!$B$7/100))*(F2779/100)</f>
        <v/>
      </c>
      <c r="K2779">
        <f>J2779*(1+((Inputs!$B$12*(1+Inputs!$B$13/100))*0.01+Inputs!$B$14*0.0025)/100)*(1+Inputs!$B$15/100)*(1+Inputs!$B$16/100)*(5000/(6000+Inputs!$B$43*(1-(100*(1-(1-Inputs!$B$19/100)*(1-CHOOSE(ArtifactsInput!$N$40+1,5,6,7,8,9,10)/100)^(ArtifactsInput!$M$40-ArtifactsInput!$M$40)))/100)))*(1+(Inputs!$B$24+((C2804=TRUE)*(F2804-Calc!F31))+((C2791=TRUE)*(F2791-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+2.6666666666666665*IF(C2792=TRUE,F2792,0)/100)*(1+(IF(Skills!A6="CRUEL_STAB",Inputs!$B$17+((C2801=TRUE)*(F2801-Calc!F28))+((IF(AND(Inputs!$B$39&lt;&gt;"pvp",Inputs!$B$44=0),1,IF(IF(Inputs!$B$39="pvp",15,Inputs!$B$44)-(B2818)&lt;=0,1,MAX(0,IF(Inputs!$B$39="pvp",15,Inputs!$B$44)-MAX(5,B2818))/(IF(Inputs!$B$39="pvp",15,Inputs!$B$44)-(B2818))))*(IF(AND(ArtifactsInput!$M$42,((Inputs!$B$9+((C2799=TRUE)*(F2799-Calc!F26))+B2807+(ArtifactsInput!$M$24-ArtifactsInput!$M$24)*CHOOSE(ArtifactsInput!$N$24+1,10,12,14,16,18,20)+IF(ArtifactsInput!$M$10,CHOOSE(ArtifactsInput!$N$10+1,15,18,21,24,27,30)*(IF(Inputs!$B$39="pvp",MIN(15,15)/15,IF(AND(Inputs!$B$39&lt;&gt;"pvp",Inputs!$B$44&gt;0),MIN(15,Inputs!$B$44)/(Inputs!$B$44),0))),0)))&gt;=100),MIN(100,((Inputs!$B$9+((C2799=TRUE)*(F2799-Calc!F26))+B2807+(ArtifactsInput!$M$24-ArtifactsInput!$M$24)*CHOOSE(ArtifactsInput!$N$24+1,10,12,14,16,18,20)+IF(ArtifactsInput!$M$10,CHOOSE(ArtifactsInput!$N$10+1,15,18,21,24,27,30)*(IF(Inputs!$B$39="pvp",MIN(15,15)/15,IF(AND(Inputs!$B$39&lt;&gt;"pvp",Inputs!$B$44&gt;0),MIN(15,Inputs!$B$44)/(Inputs!$B$44),0))),0)))-100),0))*CHOOSE(ArtifactsInput!$N$42+1,0.6,0.72,0.84,0.96,1.08,1.2))),Inputs!$B$18+((C2802=TRUE)*(F2802-Calc!F29))+(IF(AND(Inputs!$B$39&lt;&gt;"pvp",Inputs!$B$44=0),1,IF(IF(Inputs!$B$39="pvp",15,Inputs!$B$44)-(B2818)&lt;=0,1,MAX(0,IF(Inputs!$B$39="pvp",15,Inputs!$B$44)-MAX(5,B2818))/(IF(Inputs!$B$39="pvp",15,Inputs!$B$44)-(B2818))))*IF(AND(ArtifactsInput!$M$42,((Inputs!$B$9+((C2799=TRUE)*(F2799-Calc!F26))+B2807+(ArtifactsInput!$M$24-ArtifactsInput!$M$24)*CHOOSE(ArtifactsInput!$N$24+1,10,12,14,16,18,20)+IF(ArtifactsInput!$M$10,CHOOSE(ArtifactsInput!$N$10+1,15,18,21,24,27,30)*(IF(Inputs!$B$39="pvp",MIN(15,15)/15,IF(AND(Inputs!$B$39&lt;&gt;"pvp",Inputs!$B$44&gt;0),MIN(15,Inputs!$B$44)/(Inputs!$B$44),0))),0)))&gt;=100),CHOOSE(ArtifactsInput!$N$42+1,40,48,56,64,72,80),0))))/100)*(((1+(((C2795=TRUE)*F2795*IF(AND(Inputs!$B$39&lt;&gt;"pvp",Inputs!$B$44&gt;0),(((R2795-1)*MIN((Skills!Y22*(1+Inputs!$B$34/100)),(1/Q2795))+MIN((Skills!Y22*(1+Inputs!$B$34/100)),MAX(0,Inputs!$B$44-((R2795-1)*(1/Q2795)))))/Inputs!$B$44),IF(Inputs!$B$39="pvp",MIN((Skills!Y22*(1+Inputs!$B$34/100)),15)/15,MIN(1,(Skills!Y22*(1+Inputs!$B$34/100))/(1/Q2795)))))+((C2776=TRUE)*F2776*3)+((C2778=TRUE)*F2778*(1-EXP(-0.75*B2811*5)))+((C2797=TRUE)*(F2797-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2784=TRUE)*F2784*IF(AND(Inputs!$B$39&lt;&gt;"pvp",Inputs!$B$44&gt;0),(((R2784-1)*MIN((Skills!Y11*(1+Inputs!$B$34/100)),(1/Q2784))+MIN((Skills!Y11*(1+Inputs!$B$34/100)),MAX(0,Inputs!$B$44-((R2784-1)*(1/Q2784)))))/Inputs!$B$44),IF(Inputs!$B$39="pvp",MIN((Skills!Y11*(1+Inputs!$B$34/100)),15)/15,MIN(1,(Skills!Y11*(1+Inputs!$B$34/100))/(1/Q2784)))))/100)*(1+((C2789=TRUE)*F2789*IF(AND(Inputs!$B$39&lt;&gt;"pvp",Inputs!$B$44&gt;0),(((R2789-1)*MIN((Skills!Y16*(1+Inputs!$B$34/100)),(1/Q2789))+MIN((Skills!Y16*(1+Inputs!$B$34/100)),MAX(0,Inputs!$B$44-((R2789-1)*(1/Q2789)))))/Inputs!$B$44),IF(Inputs!$B$39="pvp",MIN((Skills!Y16*(1+Inputs!$B$34/100)),15)/15,MIN(1,(Skills!Y16*(1+Inputs!$B$34/100))/(1/Q2789)))))/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2809*I2779)</f>
        <v/>
      </c>
      <c r="L2779">
        <f>K2779*(MIN(Inputs!$B$22+((C2798=TRUE)*(F2798-Calc!F25)),(Inputs!$B$23+((C2803=TRUE)*(F2803-Calc!F30))+IF(ArtifactsInput!$M$15,CHOOSE(ArtifactsInput!$N$15+1,25,30,35,40,45,50)/100*(Inputs!$B$11-Inputs!$B$11),0)))/100+(Inputs!$B$23+((C2803=TRUE)*(F2803-Calc!F30))+IF(ArtifactsInput!$M$15,CHOOSE(ArtifactsInput!$N$15+1,25,30,35,40,45,50)/100*(Inputs!$B$11-Inputs!$B$11),0))/100)/2</f>
        <v/>
      </c>
      <c r="M2779">
        <f>L2779*(1+(Inputs!$B$10+((C2800=TRUE)*(F2800-Calc!F27))+B2814+(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2779">
        <f>L2779*(1-MIN((Inputs!$B$9+((C2799=TRUE)*(F2799-Calc!F26))+B2807+(ArtifactsInput!$M$24-ArtifactsInput!$M$24)*CHOOSE(ArtifactsInput!$N$24+1,10,12,14,16,18,20)+(IF(AND(Inputs!$B$39&lt;&gt;"pvp",Inputs!$B$44=0),1,IF(IF(Inputs!$B$39="pvp",15,Inputs!$B$44)-(B2818)&lt;=0,1,MAX(0,IF(Inputs!$B$39="pvp",15,Inputs!$B$44)-MAX(5,B2818))/(IF(Inputs!$B$39="pvp",15,Inputs!$B$44)-(B2818))))*IF(AND(ArtifactsInput!$M$42,((Inputs!$B$9+((C2799=TRUE)*(F2799-Calc!F26))+B2807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2779*(MIN((Inputs!$B$9+((C2799=TRUE)*(F2799-Calc!F26))+B2807+(ArtifactsInput!$M$24-ArtifactsInput!$M$24)*CHOOSE(ArtifactsInput!$N$24+1,10,12,14,16,18,20)+(IF(AND(Inputs!$B$39&lt;&gt;"pvp",Inputs!$B$44=0),1,IF(IF(Inputs!$B$39="pvp",15,Inputs!$B$44)-(B2818)&lt;=0,1,MAX(0,IF(Inputs!$B$39="pvp",15,Inputs!$B$44)-MAX(5,B2818))/(IF(Inputs!$B$39="pvp",15,Inputs!$B$44)-(B2818))))*IF(AND(ArtifactsInput!$M$42,((Inputs!$B$9+((C2799=TRUE)*(F2799-Calc!F26))+B2807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779">
        <f>(1-Summary!$B$11)*T2779+Summary!$B$11*V2779</f>
        <v/>
      </c>
      <c r="P2779">
        <f>IF(B2819=0,0,O2779/B2819)</f>
        <v/>
      </c>
      <c r="Q2779">
        <f>IFERROR(1/IF(Inputs!$B$39="pvp",15,MAX(0.1,Skills!D6-IF(TRUE=TRUE,Inputs!$B$32,0))),0)</f>
        <v/>
      </c>
      <c r="R2779">
        <f>IF(AND(Inputs!$B$39&lt;&gt;"pvp",Inputs!$B$44&gt;0),IF(MAX(0,Inputs!$B$44-B2818)&lt;=0,0,(INT(MAX(0,Inputs!$B$44-B2818)/IF(Inputs!$B$39="pvp",15,MAX(0.1,Skills!D6-IF(TRUE=TRUE,Inputs!$B$32,0))))+1)),0)</f>
        <v/>
      </c>
      <c r="S2779">
        <f>IFERROR(O2779/N2779,0)</f>
        <v/>
      </c>
      <c r="T2779">
        <f>IF(C2779,(H2779*N2779*IF(AND(Inputs!$B$39&lt;&gt;"pvp",Inputs!$B$44&gt;0),((Skills!G6*((R2779-1)*IF(Skills!H6&gt;0,Skills!I6/Skills!H6,1)+IF(Skills!H6&gt;0,MIN(Skills!I6,MAX(0,MAX(0,Inputs!$B$44-B2818)-((R2779-1)*IF(Inputs!$B$39="pvp",15,MAX(0.1,Skills!D6-IF(TRUE=TRUE,Inputs!$B$32,0))))))/Skills!H6,1)))/Inputs!$B$44),G2779*Q2779))*IF(Inputs!$B$39="pvp",1,1+(Inputs!$B$20+0+Skills!P6+B2808+(IF(AND(ArtifactsInput!$M$36,IF(Inputs!$B$39="pvp",TRUE,AND(Inputs!$B$39&lt;&gt;"pvp",Inputs!$B$44&gt;0))),MAX(0,MIN(40,IF(Inputs!$B$39="pvp",15,Inputs!$B$44))-MAX(20,IF(Inputs!$B$4="Breakthrough",20,IF(Inputs!$B$4="Hero Dungeon",30,0))))/(IF(Inputs!$B$39="pvp",15,Inputs!$B$44)-IF(Inputs!$B$4="Breakthrough",20,IF(Inputs!$B$4="Hero Dungeon",30,0)))*CHOOSE(ArtifactsInput!$N$36+1,30,36,42,48,54,60),0)+IF(IF(ArtifactsInput!$M$33,FALSE,TRUE),CHOOSE(ArtifactsInput!$N$33+1,10,12,14,16,18,20),0)+(ArtifactsInput!$M$23-ArtifactsInput!$M$23)*CHOOSE(ArtifactsInput!$N$23+1,50,60,70,80,90,100))+(IF(AND(ArtifactsInput!$M$35,Inputs!$B$4&lt;&gt;"Chapter Hunt"),CHOOSE(ArtifactsInput!$N$35+1,15,18,21,24,27,30)*(1-EXP(-(0.2*B2811)*5)),0)+IF(AND(ArtifactsInput!$M$22,Inputs!$B$4&lt;&gt;"Chapter Hunt"),CHOOSE(ArtifactsInput!$N$22+1,10,12,14,16,18,20)*((0*(((0.15*B2811*5))^0/1)+1*(((0.15*B2811*5))^1/1)+2*(((0.15*B2811*5))^2/2)+3*(((0.15*B2811*5))^3/6)+4*(((0.15*B2811*5))^4/24)+5*(((0.15*B2811*5))^5/120))/((((0.15*B2811*5))^0/1)+(((0.15*B2811*5))^1/1)+(((0.15*B2811*5))^2/2)+(((0.15*B2811*5))^3/6)+(((0.15*B2811*5))^4/24)+(((0.15*B2811*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2779*(1-MIN(100,(Inputs!$B$9+((C2799=TRUE)*(F2799-Calc!F26))+B2807+(ArtifactsInput!$M$24-ArtifactsInput!$M$24)*CHOOSE(ArtifactsInput!$N$24+1,10,12,14,16,18,20)+(IF(AND(Inputs!$B$39&lt;&gt;"pvp",Inputs!$B$44=0),1,IF(IF(Inputs!$B$39="pvp",15,Inputs!$B$44)-(B2818)&lt;=0,1,MAX(0,IF(Inputs!$B$39="pvp",15,Inputs!$B$44)-MAX(5,B2818))/(IF(Inputs!$B$39="pvp",15,Inputs!$B$44)-(B2818))))*IF(AND(ArtifactsInput!$M$42,((Inputs!$B$9+((C2799=TRUE)*(F2799-Calc!F26))+B2807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2779*(MIN(100,(Inputs!$B$9+((C2799=TRUE)*(F2799-Calc!F26))+B2807+(ArtifactsInput!$M$24-ArtifactsInput!$M$24)*CHOOSE(ArtifactsInput!$N$24+1,10,12,14,16,18,20)+(IF(AND(Inputs!$B$39&lt;&gt;"pvp",Inputs!$B$44=0),1,IF(IF(Inputs!$B$39="pvp",15,Inputs!$B$44)-(B2818)&lt;=0,1,MAX(0,IF(Inputs!$B$39="pvp",15,Inputs!$B$44)-MAX(5,B2818))/(IF(Inputs!$B$39="pvp",15,Inputs!$B$44)-(B2818))))*IF(AND(ArtifactsInput!$M$42,((Inputs!$B$9+((C2799=TRUE)*(F2799-Calc!F26))+B2807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2779*(1-MIN(100,(Inputs!$B$9+((C2799=TRUE)*(F2799-Calc!F26))+B2807+(ArtifactsInput!$M$24-ArtifactsInput!$M$24)*CHOOSE(ArtifactsInput!$N$24+1,10,12,14,16,18,20)+(IF(AND(Inputs!$B$39&lt;&gt;"pvp",Inputs!$B$44=0),1,IF(IF(Inputs!$B$39="pvp",15,Inputs!$B$44)-(B2818)&lt;=0,1,MAX(0,IF(Inputs!$B$39="pvp",15,Inputs!$B$44)-MAX(5,B2818))/(IF(Inputs!$B$39="pvp",15,Inputs!$B$44)-(B2818))))*IF(AND(ArtifactsInput!$M$42,((Inputs!$B$9+((C2799=TRUE)*(F2799-Calc!F26))+B2807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2779*(MIN(100,(Inputs!$B$9+((C2799=TRUE)*(F2799-Calc!F26))+B2807+(ArtifactsInput!$M$24-ArtifactsInput!$M$24)*CHOOSE(ArtifactsInput!$N$24+1,10,12,14,16,18,20)+(IF(AND(Inputs!$B$39&lt;&gt;"pvp",Inputs!$B$44=0),1,IF(IF(Inputs!$B$39="pvp",15,Inputs!$B$44)-(B2818)&lt;=0,1,MAX(0,IF(Inputs!$B$39="pvp",15,Inputs!$B$44)-MAX(5,B2818))/(IF(Inputs!$B$39="pvp",15,Inputs!$B$44)-(B2818))))*IF(AND(ArtifactsInput!$M$42,((Inputs!$B$9+((C2799=TRUE)*(F2799-Calc!F26))+B2807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779">
        <f>IF(C2779,(H2779*N2779*IF(AND(Inputs!$B$39&lt;&gt;"pvp",Inputs!$B$44&gt;0),((Skills!G6*((R2779-1)*IF(Skills!H6&gt;0,Skills!I6/Skills!H6,1)+IF(Skills!H6&gt;0,MIN(Skills!I6,MAX(0,MAX(0,Inputs!$B$44-B2818)-((R2779-1)*IF(Inputs!$B$39="pvp",15,MAX(0.1,Skills!D6-IF(TRUE=TRUE,Inputs!$B$32,0))))))/Skills!H6,1)))/Inputs!$B$44),G2779*Q2779))*IF(Inputs!$B$39="pvp",1,(1+(Inputs!$B$21+Skills!Q6+B2808+(IF(IF(ArtifactsInput!$M$33,FALSE,TRUE),CHOOSE(ArtifactsInput!$N$33+1,30,36,42,48,54,60),0))+(IF(AND(ArtifactsInput!$M$35,Inputs!$B$4&lt;&gt;"Chapter Hunt"),CHOOSE(ArtifactsInput!$N$35+1,15,18,21,24,27,30)*(1-EXP(-(0.2*B2811)*5)),0)+IF(AND(ArtifactsInput!$M$22,Inputs!$B$4&lt;&gt;"Chapter Hunt"),CHOOSE(ArtifactsInput!$N$22+1,10,12,14,16,18,20)*((0*(((0.15*B2811*5))^0/1)+1*(((0.15*B2811*5))^1/1)+2*(((0.15*B2811*5))^2/2)+3*(((0.15*B2811*5))^3/6)+4*(((0.15*B2811*5))^4/24)+5*(((0.15*B2811*5))^5/120))/((((0.15*B2811*5))^0/1)+(((0.15*B2811*5))^1/1)+(((0.15*B2811*5))^2/2)+(((0.15*B2811*5))^3/6)+(((0.15*B2811*5))^4/24)+(((0.15*B2811*5))^5/120))),0)))/100)*(MIN(Skills!W6,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780">
      <c r="A2780">
        <f>Skills!A7</f>
        <v/>
      </c>
      <c r="B2780">
        <f>Skills!B7</f>
        <v/>
      </c>
      <c r="C2780">
        <f>Inputs!$B$3&gt;=69</f>
        <v/>
      </c>
      <c r="D2780">
        <f>IF(Skills!C7=1,60+Inputs!$B$25+Inputs!$B$29,IF(Skills!C7=2,90+Inputs!$B$26+Inputs!$B$29,IF(Skills!C7=3,120+Inputs!$B$27+Inputs!$B$29,MAX(0,(Inputs!$B$3-100)*3)+Inputs!$B$28+Inputs!$B$29)))</f>
        <v/>
      </c>
      <c r="E2780">
        <f>INDEX(FactorTable!$B$2:$Y$301, MATCH(ROUND(MIN(300,MAX(1,D2780)),0), FactorTable!$A$2:$A$301,0), Skills!M7+1)</f>
        <v/>
      </c>
      <c r="F2780">
        <f>IF(Skills!N7=TRUE,(Skills!L7/10)*(E2780/1000),Skills!L7/10)+Skills!O7</f>
        <v/>
      </c>
      <c r="G2780">
        <f>Skills!G7*IF(Skills!H7&gt;0,IF(Inputs!$B$39="pvp",MIN(Skills!I7,15),Skills!I7)/Skills!H7,1)</f>
        <v/>
      </c>
      <c r="H2780">
        <f>1-(1-Skills!J7/100)^Skills!K7</f>
        <v/>
      </c>
      <c r="I2780" t="inlineStr">
        <is>
          <t>1</t>
        </is>
      </c>
      <c r="J2780">
        <f>((Inputs!$B$6*(1+Inputs!$B$7/100))+(((Inputs!$B$12*(1+Inputs!$B$13/100))-(Inputs!$B$12*(1+Inputs!$B$13/100)))+0.25*(Inputs!$B$14-Inputs!$B$14))*(1+Inputs!$B$7/100))*(F2780/100)</f>
        <v/>
      </c>
      <c r="K2780">
        <f>J2780*(1+((Inputs!$B$12*(1+Inputs!$B$13/100))*0.01+Inputs!$B$14*0.0025)/100)*(1+Inputs!$B$15/100)*(1+Inputs!$B$16/100)*(5000/(6000+Inputs!$B$43*(1-(100*(1-(1-Inputs!$B$19/100)*(1-CHOOSE(ArtifactsInput!$N$40+1,5,6,7,8,9,10)/100)^(ArtifactsInput!$M$40-ArtifactsInput!$M$40)))/100)))*(1+(Inputs!$B$24+((C2804=TRUE)*(F2804-Calc!F31))+((C2791=TRUE)*(F2791-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2792=TRUE,F2792,0)/100)*(1+(IF(Skills!A7="CRUEL_STAB",Inputs!$B$17+((C2801=TRUE)*(F2801-Calc!F28))+((IF(AND(Inputs!$B$39&lt;&gt;"pvp",Inputs!$B$44=0),1,IF(IF(Inputs!$B$39="pvp",15,Inputs!$B$44)-(B2818)&lt;=0,1,MAX(0,IF(Inputs!$B$39="pvp",15,Inputs!$B$44)-MAX(5,B2818))/(IF(Inputs!$B$39="pvp",15,Inputs!$B$44)-(B2818))))*(IF(AND(ArtifactsInput!$M$42,((Inputs!$B$9+((C2799=TRUE)*(F2799-Calc!F26))+B2807+(ArtifactsInput!$M$24-ArtifactsInput!$M$24)*CHOOSE(ArtifactsInput!$N$24+1,10,12,14,16,18,20)+IF(ArtifactsInput!$M$10,CHOOSE(ArtifactsInput!$N$10+1,15,18,21,24,27,30)*(IF(Inputs!$B$39="pvp",MIN(15,15)/15,IF(AND(Inputs!$B$39&lt;&gt;"pvp",Inputs!$B$44&gt;0),MIN(15,Inputs!$B$44)/(Inputs!$B$44),0))),0)))&gt;=100),MIN(100,((Inputs!$B$9+((C2799=TRUE)*(F2799-Calc!F26))+B2807+(ArtifactsInput!$M$24-ArtifactsInput!$M$24)*CHOOSE(ArtifactsInput!$N$24+1,10,12,14,16,18,20)+IF(ArtifactsInput!$M$10,CHOOSE(ArtifactsInput!$N$10+1,15,18,21,24,27,30)*(IF(Inputs!$B$39="pvp",MIN(15,15)/15,IF(AND(Inputs!$B$39&lt;&gt;"pvp",Inputs!$B$44&gt;0),MIN(15,Inputs!$B$44)/(Inputs!$B$44),0))),0)))-100),0))*CHOOSE(ArtifactsInput!$N$42+1,0.6,0.72,0.84,0.96,1.08,1.2))),Inputs!$B$18+((C2802=TRUE)*(F2802-Calc!F29))+(IF(AND(Inputs!$B$39&lt;&gt;"pvp",Inputs!$B$44=0),1,IF(IF(Inputs!$B$39="pvp",15,Inputs!$B$44)-(B2818)&lt;=0,1,MAX(0,IF(Inputs!$B$39="pvp",15,Inputs!$B$44)-MAX(5,B2818))/(IF(Inputs!$B$39="pvp",15,Inputs!$B$44)-(B2818))))*IF(AND(ArtifactsInput!$M$42,((Inputs!$B$9+((C2799=TRUE)*(F2799-Calc!F26))+B2807+(ArtifactsInput!$M$24-ArtifactsInput!$M$24)*CHOOSE(ArtifactsInput!$N$24+1,10,12,14,16,18,20)+IF(ArtifactsInput!$M$10,CHOOSE(ArtifactsInput!$N$10+1,15,18,21,24,27,30)*(IF(Inputs!$B$39="pvp",MIN(15,15)/15,IF(AND(Inputs!$B$39&lt;&gt;"pvp",Inputs!$B$44&gt;0),MIN(15,Inputs!$B$44)/(Inputs!$B$44),0))),0)))&gt;=100),CHOOSE(ArtifactsInput!$N$42+1,40,48,56,64,72,80),0))))/100)*(((1+(((C2795=TRUE)*F2795*IF(AND(Inputs!$B$39&lt;&gt;"pvp",Inputs!$B$44&gt;0),(((R2795-1)*MIN((Skills!Y22*(1+Inputs!$B$34/100)),(1/Q2795))+MIN((Skills!Y22*(1+Inputs!$B$34/100)),MAX(0,Inputs!$B$44-((R2795-1)*(1/Q2795)))))/Inputs!$B$44),IF(Inputs!$B$39="pvp",MIN((Skills!Y22*(1+Inputs!$B$34/100)),15)/15,MIN(1,(Skills!Y22*(1+Inputs!$B$34/100))/(1/Q2795)))))+((C2776=TRUE)*F2776*3)+((C2778=TRUE)*F2778*(1-EXP(-0.75*B2811*5)))+((C2797=TRUE)*(F2797-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2784=TRUE)*F2784*IF(AND(Inputs!$B$39&lt;&gt;"pvp",Inputs!$B$44&gt;0),(((R2784-1)*MIN((Skills!Y11*(1+Inputs!$B$34/100)),(1/Q2784))+MIN((Skills!Y11*(1+Inputs!$B$34/100)),MAX(0,Inputs!$B$44-((R2784-1)*(1/Q2784)))))/Inputs!$B$44),IF(Inputs!$B$39="pvp",MIN((Skills!Y11*(1+Inputs!$B$34/100)),15)/15,MIN(1,(Skills!Y11*(1+Inputs!$B$34/100))/(1/Q2784)))))/100)*(1+((C2789=TRUE)*F2789*IF(AND(Inputs!$B$39&lt;&gt;"pvp",Inputs!$B$44&gt;0),(((R2789-1)*MIN((Skills!Y16*(1+Inputs!$B$34/100)),(1/Q2789))+MIN((Skills!Y16*(1+Inputs!$B$34/100)),MAX(0,Inputs!$B$44-((R2789-1)*(1/Q2789)))))/Inputs!$B$44),IF(Inputs!$B$39="pvp",MIN((Skills!Y16*(1+Inputs!$B$34/100)),15)/15,MIN(1,(Skills!Y16*(1+Inputs!$B$34/100))/(1/Q2789)))))/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2809*I2780)</f>
        <v/>
      </c>
      <c r="L2780">
        <f>K2780*(MIN(Inputs!$B$22+((C2798=TRUE)*(F2798-Calc!F25)),(Inputs!$B$23+((C2803=TRUE)*(F2803-Calc!F30))+IF(ArtifactsInput!$M$15,CHOOSE(ArtifactsInput!$N$15+1,25,30,35,40,45,50)/100*(Inputs!$B$11-Inputs!$B$11),0)))/100+(Inputs!$B$23+((C2803=TRUE)*(F2803-Calc!F30))+IF(ArtifactsInput!$M$15,CHOOSE(ArtifactsInput!$N$15+1,25,30,35,40,45,50)/100*(Inputs!$B$11-Inputs!$B$11),0))/100)/2</f>
        <v/>
      </c>
      <c r="M2780">
        <f>L2780*(1+(Inputs!$B$10+((C2800=TRUE)*(F2800-Calc!F27))+B2814+(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2780">
        <f>L2780*(1-MIN((Inputs!$B$9+((C2799=TRUE)*(F2799-Calc!F26))+B2807+(ArtifactsInput!$M$24-ArtifactsInput!$M$24)*CHOOSE(ArtifactsInput!$N$24+1,10,12,14,16,18,20)+(IF(AND(Inputs!$B$39&lt;&gt;"pvp",Inputs!$B$44=0),1,IF(IF(Inputs!$B$39="pvp",15,Inputs!$B$44)-(B2818)&lt;=0,1,MAX(0,IF(Inputs!$B$39="pvp",15,Inputs!$B$44)-MAX(5,B2818))/(IF(Inputs!$B$39="pvp",15,Inputs!$B$44)-(B2818))))*IF(AND(ArtifactsInput!$M$42,((Inputs!$B$9+((C2799=TRUE)*(F2799-Calc!F26))+B2807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2780*(MIN((Inputs!$B$9+((C2799=TRUE)*(F2799-Calc!F26))+B2807+(ArtifactsInput!$M$24-ArtifactsInput!$M$24)*CHOOSE(ArtifactsInput!$N$24+1,10,12,14,16,18,20)+(IF(AND(Inputs!$B$39&lt;&gt;"pvp",Inputs!$B$44=0),1,IF(IF(Inputs!$B$39="pvp",15,Inputs!$B$44)-(B2818)&lt;=0,1,MAX(0,IF(Inputs!$B$39="pvp",15,Inputs!$B$44)-MAX(5,B2818))/(IF(Inputs!$B$39="pvp",15,Inputs!$B$44)-(B2818))))*IF(AND(ArtifactsInput!$M$42,((Inputs!$B$9+((C2799=TRUE)*(F2799-Calc!F26))+B2807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780">
        <f>(1-Summary!$B$11)*T2780+Summary!$B$11*V2780</f>
        <v/>
      </c>
      <c r="P2780">
        <f>IF(B2819=0,0,O2780/B2819)</f>
        <v/>
      </c>
      <c r="Q2780">
        <f>IFERROR(1/IF(Inputs!$B$39="pvp",15,MAX(0.1,Skills!D7-IF(TRUE=TRUE,Inputs!$B$32,0))),0)</f>
        <v/>
      </c>
      <c r="R2780">
        <f>IF(AND(Inputs!$B$39&lt;&gt;"pvp",Inputs!$B$44&gt;0),IF(MAX(0,Inputs!$B$44-B2818)&lt;=0,0,(INT(MAX(0,Inputs!$B$44-B2818)/IF(Inputs!$B$39="pvp",15,MAX(0.1,Skills!D7-IF(TRUE=TRUE,Inputs!$B$32,0))))+1)),0)</f>
        <v/>
      </c>
      <c r="S2780">
        <f>IFERROR(O2780/N2780,0)</f>
        <v/>
      </c>
      <c r="T2780">
        <f>IF(C2780,(H2780*N2780*IF(AND(Inputs!$B$39&lt;&gt;"pvp",Inputs!$B$44&gt;0),((Skills!G7*((R2780-1)*IF(Skills!H7&gt;0,Skills!I7/Skills!H7,1)+IF(Skills!H7&gt;0,MIN(Skills!I7,MAX(0,MAX(0,Inputs!$B$44-B2818)-((R2780-1)*IF(Inputs!$B$39="pvp",15,MAX(0.1,Skills!D7-IF(TRUE=TRUE,Inputs!$B$32,0))))))/Skills!H7,1)))/Inputs!$B$44),G2780*Q2780))*IF(Inputs!$B$39="pvp",1,1+(Inputs!$B$20+0+Skills!P7+B2808+(IF(AND(ArtifactsInput!$M$36,IF(Inputs!$B$39="pvp",TRUE,AND(Inputs!$B$39&lt;&gt;"pvp",Inputs!$B$44&gt;0))),MAX(0,MIN(40,IF(Inputs!$B$39="pvp",15,Inputs!$B$44))-MAX(20,IF(Inputs!$B$4="Breakthrough",20,IF(Inputs!$B$4="Hero Dungeon",30,0))))/(IF(Inputs!$B$39="pvp",15,Inputs!$B$44)-IF(Inputs!$B$4="Breakthrough",20,IF(Inputs!$B$4="Hero Dungeon",30,0)))*CHOOSE(ArtifactsInput!$N$36+1,30,36,42,48,54,60),0)+IF(IF(ArtifactsInput!$M$33,FALSE,TRUE),CHOOSE(ArtifactsInput!$N$33+1,10,12,14,16,18,20),0)+(ArtifactsInput!$M$23-ArtifactsInput!$M$23)*CHOOSE(ArtifactsInput!$N$23+1,50,60,70,80,90,100))+(IF(AND(ArtifactsInput!$M$35,Inputs!$B$4&lt;&gt;"Chapter Hunt"),CHOOSE(ArtifactsInput!$N$35+1,15,18,21,24,27,30)*(1-EXP(-(0.2*B2811)*5)),0)+IF(AND(ArtifactsInput!$M$22,Inputs!$B$4&lt;&gt;"Chapter Hunt"),CHOOSE(ArtifactsInput!$N$22+1,10,12,14,16,18,20)*((0*(((0.15*B2811*5))^0/1)+1*(((0.15*B2811*5))^1/1)+2*(((0.15*B2811*5))^2/2)+3*(((0.15*B2811*5))^3/6)+4*(((0.15*B2811*5))^4/24)+5*(((0.15*B2811*5))^5/120))/((((0.15*B2811*5))^0/1)+(((0.15*B2811*5))^1/1)+(((0.15*B2811*5))^2/2)+(((0.15*B2811*5))^3/6)+(((0.15*B2811*5))^4/24)+(((0.15*B2811*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2780*(1-MIN(100,(Inputs!$B$9+((C2799=TRUE)*(F2799-Calc!F26))+B2807+(ArtifactsInput!$M$24-ArtifactsInput!$M$24)*CHOOSE(ArtifactsInput!$N$24+1,10,12,14,16,18,20)+(IF(AND(Inputs!$B$39&lt;&gt;"pvp",Inputs!$B$44=0),1,IF(IF(Inputs!$B$39="pvp",15,Inputs!$B$44)-(B2818)&lt;=0,1,MAX(0,IF(Inputs!$B$39="pvp",15,Inputs!$B$44)-MAX(5,B2818))/(IF(Inputs!$B$39="pvp",15,Inputs!$B$44)-(B2818))))*IF(AND(ArtifactsInput!$M$42,((Inputs!$B$9+((C2799=TRUE)*(F2799-Calc!F26))+B2807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2780*(MIN(100,(Inputs!$B$9+((C2799=TRUE)*(F2799-Calc!F26))+B2807+(ArtifactsInput!$M$24-ArtifactsInput!$M$24)*CHOOSE(ArtifactsInput!$N$24+1,10,12,14,16,18,20)+(IF(AND(Inputs!$B$39&lt;&gt;"pvp",Inputs!$B$44=0),1,IF(IF(Inputs!$B$39="pvp",15,Inputs!$B$44)-(B2818)&lt;=0,1,MAX(0,IF(Inputs!$B$39="pvp",15,Inputs!$B$44)-MAX(5,B2818))/(IF(Inputs!$B$39="pvp",15,Inputs!$B$44)-(B2818))))*IF(AND(ArtifactsInput!$M$42,((Inputs!$B$9+((C2799=TRUE)*(F2799-Calc!F26))+B2807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2780*(1-MIN(100,(Inputs!$B$9+((C2799=TRUE)*(F2799-Calc!F26))+B2807+(ArtifactsInput!$M$24-ArtifactsInput!$M$24)*CHOOSE(ArtifactsInput!$N$24+1,10,12,14,16,18,20)+(IF(AND(Inputs!$B$39&lt;&gt;"pvp",Inputs!$B$44=0),1,IF(IF(Inputs!$B$39="pvp",15,Inputs!$B$44)-(B2818)&lt;=0,1,MAX(0,IF(Inputs!$B$39="pvp",15,Inputs!$B$44)-MAX(5,B2818))/(IF(Inputs!$B$39="pvp",15,Inputs!$B$44)-(B2818))))*IF(AND(ArtifactsInput!$M$42,((Inputs!$B$9+((C2799=TRUE)*(F2799-Calc!F26))+B2807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2780*(MIN(100,(Inputs!$B$9+((C2799=TRUE)*(F2799-Calc!F26))+B2807+(ArtifactsInput!$M$24-ArtifactsInput!$M$24)*CHOOSE(ArtifactsInput!$N$24+1,10,12,14,16,18,20)+(IF(AND(Inputs!$B$39&lt;&gt;"pvp",Inputs!$B$44=0),1,IF(IF(Inputs!$B$39="pvp",15,Inputs!$B$44)-(B2818)&lt;=0,1,MAX(0,IF(Inputs!$B$39="pvp",15,Inputs!$B$44)-MAX(5,B2818))/(IF(Inputs!$B$39="pvp",15,Inputs!$B$44)-(B2818))))*IF(AND(ArtifactsInput!$M$42,((Inputs!$B$9+((C2799=TRUE)*(F2799-Calc!F26))+B2807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780">
        <f>IF(C2780,(H2780*N2780*IF(AND(Inputs!$B$39&lt;&gt;"pvp",Inputs!$B$44&gt;0),((Skills!G7*((R2780-1)*IF(Skills!H7&gt;0,Skills!I7/Skills!H7,1)+IF(Skills!H7&gt;0,MIN(Skills!I7,MAX(0,MAX(0,Inputs!$B$44-B2818)-((R2780-1)*IF(Inputs!$B$39="pvp",15,MAX(0.1,Skills!D7-IF(TRUE=TRUE,Inputs!$B$32,0))))))/Skills!H7,1)))/Inputs!$B$44),G2780*Q2780))*IF(Inputs!$B$39="pvp",1,(1+(Inputs!$B$21+Skills!Q7+B2808+(IF(IF(ArtifactsInput!$M$33,FALSE,TRUE),CHOOSE(ArtifactsInput!$N$33+1,30,36,42,48,54,60),0))+(IF(AND(ArtifactsInput!$M$35,Inputs!$B$4&lt;&gt;"Chapter Hunt"),CHOOSE(ArtifactsInput!$N$35+1,15,18,21,24,27,30)*(1-EXP(-(0.2*B2811)*5)),0)+IF(AND(ArtifactsInput!$M$22,Inputs!$B$4&lt;&gt;"Chapter Hunt"),CHOOSE(ArtifactsInput!$N$22+1,10,12,14,16,18,20)*((0*(((0.15*B2811*5))^0/1)+1*(((0.15*B2811*5))^1/1)+2*(((0.15*B2811*5))^2/2)+3*(((0.15*B2811*5))^3/6)+4*(((0.15*B2811*5))^4/24)+5*(((0.15*B2811*5))^5/120))/((((0.15*B2811*5))^0/1)+(((0.15*B2811*5))^1/1)+(((0.15*B2811*5))^2/2)+(((0.15*B2811*5))^3/6)+(((0.15*B2811*5))^4/24)+(((0.15*B2811*5))^5/120))),0)))/100)*(MIN(Skills!W7,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781">
      <c r="A2781">
        <f>Skills!A8</f>
        <v/>
      </c>
      <c r="B2781">
        <f>Skills!B8</f>
        <v/>
      </c>
      <c r="C2781">
        <f>Inputs!$B$3&gt;=60</f>
        <v/>
      </c>
      <c r="D2781">
        <f>IF(Skills!C8=1,60+Inputs!$B$25+Inputs!$B$29,IF(Skills!C8=2,90+Inputs!$B$26+Inputs!$B$29,IF(Skills!C8=3,120+Inputs!$B$27+Inputs!$B$29,MAX(0,(Inputs!$B$3-100)*3)+Inputs!$B$28+Inputs!$B$29)))</f>
        <v/>
      </c>
      <c r="E2781">
        <f>INDEX(FactorTable!$B$2:$Y$301, MATCH(ROUND(MIN(300,MAX(1,D2781)),0), FactorTable!$A$2:$A$301,0), Skills!M8+1)</f>
        <v/>
      </c>
      <c r="F2781">
        <f>IF(Skills!N8=TRUE,(Skills!L8/10)*(E2781/1000),Skills!L8/10)+Skills!O8</f>
        <v/>
      </c>
      <c r="G2781">
        <f>Skills!G8*IF(Skills!H8&gt;0,IF(Inputs!$B$39="pvp",MIN(Skills!I8,15),Skills!I8)/Skills!H8,1)</f>
        <v/>
      </c>
      <c r="H2781">
        <f>1-(1-Skills!J8/100)^Skills!K8</f>
        <v/>
      </c>
      <c r="I2781" t="inlineStr">
        <is>
          <t>1</t>
        </is>
      </c>
      <c r="J2781" t="inlineStr"/>
      <c r="K2781" t="inlineStr"/>
      <c r="L2781" t="inlineStr"/>
      <c r="M2781" t="inlineStr"/>
      <c r="N2781" t="inlineStr"/>
      <c r="O2781">
        <f>(1-Summary!$B$11)*T2781+Summary!$B$11*V2781</f>
        <v/>
      </c>
      <c r="P2781">
        <f>IF(B2819=0,0,O2781/B2819)</f>
        <v/>
      </c>
      <c r="Q2781" t="n">
        <v>0</v>
      </c>
      <c r="R2781" t="n">
        <v>0</v>
      </c>
      <c r="S2781">
        <f>IFERROR(O2781/N2781,0)</f>
        <v/>
      </c>
      <c r="T2781" t="n">
        <v>0</v>
      </c>
      <c r="V2781" t="n">
        <v>0</v>
      </c>
    </row>
    <row r="2782">
      <c r="A2782">
        <f>Skills!A9</f>
        <v/>
      </c>
      <c r="B2782">
        <f>Skills!B9</f>
        <v/>
      </c>
      <c r="C2782">
        <f>Inputs!$B$3&gt;=72</f>
        <v/>
      </c>
      <c r="D2782">
        <f>IF(Skills!C9=1,60+Inputs!$B$25+Inputs!$B$29,IF(Skills!C9=2,90+Inputs!$B$26+Inputs!$B$29,IF(Skills!C9=3,120+Inputs!$B$27+Inputs!$B$29,MAX(0,(Inputs!$B$3-100)*3)+Inputs!$B$28+Inputs!$B$29)))</f>
        <v/>
      </c>
      <c r="E2782">
        <f>INDEX(FactorTable!$B$2:$Y$301, MATCH(ROUND(MIN(300,MAX(1,D2782)),0), FactorTable!$A$2:$A$301,0), Skills!M9+1)</f>
        <v/>
      </c>
      <c r="F2782">
        <f>IF(Skills!N9=TRUE,(Skills!L9/10)*(E2782/1000),Skills!L9/10)+Skills!O9</f>
        <v/>
      </c>
      <c r="G2782">
        <f>Skills!G9*IF(Skills!H9&gt;0,IF(Inputs!$B$39="pvp",MIN(Skills!I9,15),Skills!I9)/Skills!H9,1)</f>
        <v/>
      </c>
      <c r="H2782">
        <f>1-(1-Skills!J9/100)^Skills!K9</f>
        <v/>
      </c>
      <c r="I2782" t="inlineStr">
        <is>
          <t>1</t>
        </is>
      </c>
      <c r="J2782">
        <f>((Inputs!$B$6*(1+Inputs!$B$7/100))+(((Inputs!$B$12*(1+Inputs!$B$13/100))-(Inputs!$B$12*(1+Inputs!$B$13/100)))+0.25*(Inputs!$B$14-Inputs!$B$14))*(1+Inputs!$B$7/100))*(F2782/100)</f>
        <v/>
      </c>
      <c r="K2782">
        <f>J2782*(1+((Inputs!$B$12*(1+Inputs!$B$13/100))*0.01+Inputs!$B$14*0.0025)/100)*(1+Inputs!$B$15/100)*(1+Inputs!$B$16/100)*(5000/(6000+Inputs!$B$43*(1-(100*(1-(1-Inputs!$B$19/100)*(1-CHOOSE(ArtifactsInput!$N$40+1,5,6,7,8,9,10)/100)^(ArtifactsInput!$M$40-ArtifactsInput!$M$40)))/100)))*(1+(Inputs!$B$24+((C2804=TRUE)*(F2804-Calc!F31))+((C2791=TRUE)*(F2791-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+3.3333333333333335*IF(C2792=TRUE,F2792,0)/100)*(1+(IF(Skills!A9="CRUEL_STAB",Inputs!$B$17+((C2801=TRUE)*(F2801-Calc!F28))+((IF(AND(Inputs!$B$39&lt;&gt;"pvp",Inputs!$B$44=0),1,IF(IF(Inputs!$B$39="pvp",15,Inputs!$B$44)-(B2818)&lt;=0,1,MAX(0,IF(Inputs!$B$39="pvp",15,Inputs!$B$44)-MAX(5,B2818))/(IF(Inputs!$B$39="pvp",15,Inputs!$B$44)-(B2818))))*(IF(AND(ArtifactsInput!$M$42,((Inputs!$B$9+((C2799=TRUE)*(F2799-Calc!F26))+B2807+(ArtifactsInput!$M$24-ArtifactsInput!$M$24)*CHOOSE(ArtifactsInput!$N$24+1,10,12,14,16,18,20)+IF(ArtifactsInput!$M$10,CHOOSE(ArtifactsInput!$N$10+1,15,18,21,24,27,30)*(IF(Inputs!$B$39="pvp",MIN(15,15)/15,IF(AND(Inputs!$B$39&lt;&gt;"pvp",Inputs!$B$44&gt;0),MIN(15,Inputs!$B$44)/(Inputs!$B$44),0))),0)))&gt;=100),MIN(100,((Inputs!$B$9+((C2799=TRUE)*(F2799-Calc!F26))+B2807+(ArtifactsInput!$M$24-ArtifactsInput!$M$24)*CHOOSE(ArtifactsInput!$N$24+1,10,12,14,16,18,20)+IF(ArtifactsInput!$M$10,CHOOSE(ArtifactsInput!$N$10+1,15,18,21,24,27,30)*(IF(Inputs!$B$39="pvp",MIN(15,15)/15,IF(AND(Inputs!$B$39&lt;&gt;"pvp",Inputs!$B$44&gt;0),MIN(15,Inputs!$B$44)/(Inputs!$B$44),0))),0)))-100),0))*CHOOSE(ArtifactsInput!$N$42+1,0.6,0.72,0.84,0.96,1.08,1.2))),Inputs!$B$18+((C2802=TRUE)*(F2802-Calc!F29))+(IF(AND(Inputs!$B$39&lt;&gt;"pvp",Inputs!$B$44=0),1,IF(IF(Inputs!$B$39="pvp",15,Inputs!$B$44)-(B2818)&lt;=0,1,MAX(0,IF(Inputs!$B$39="pvp",15,Inputs!$B$44)-MAX(5,B2818))/(IF(Inputs!$B$39="pvp",15,Inputs!$B$44)-(B2818))))*IF(AND(ArtifactsInput!$M$42,((Inputs!$B$9+((C2799=TRUE)*(F2799-Calc!F26))+B2807+(ArtifactsInput!$M$24-ArtifactsInput!$M$24)*CHOOSE(ArtifactsInput!$N$24+1,10,12,14,16,18,20)+IF(ArtifactsInput!$M$10,CHOOSE(ArtifactsInput!$N$10+1,15,18,21,24,27,30)*(IF(Inputs!$B$39="pvp",MIN(15,15)/15,IF(AND(Inputs!$B$39&lt;&gt;"pvp",Inputs!$B$44&gt;0),MIN(15,Inputs!$B$44)/(Inputs!$B$44),0))),0)))&gt;=100),CHOOSE(ArtifactsInput!$N$42+1,40,48,56,64,72,80),0))))/100)*(((1+(((C2795=TRUE)*F2795*IF(AND(Inputs!$B$39&lt;&gt;"pvp",Inputs!$B$44&gt;0),(((R2795-1)*MIN((Skills!Y22*(1+Inputs!$B$34/100)),(1/Q2795))+MIN((Skills!Y22*(1+Inputs!$B$34/100)),MAX(0,Inputs!$B$44-((R2795-1)*(1/Q2795)))))/Inputs!$B$44),IF(Inputs!$B$39="pvp",MIN((Skills!Y22*(1+Inputs!$B$34/100)),15)/15,MIN(1,(Skills!Y22*(1+Inputs!$B$34/100))/(1/Q2795)))))+((C2776=TRUE)*F2776*3)+((C2778=TRUE)*F2778*(1-EXP(-0.75*B2811*5)))+((C2797=TRUE)*(F2797-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2784=TRUE)*F2784*IF(AND(Inputs!$B$39&lt;&gt;"pvp",Inputs!$B$44&gt;0),(((R2784-1)*MIN((Skills!Y11*(1+Inputs!$B$34/100)),(1/Q2784))+MIN((Skills!Y11*(1+Inputs!$B$34/100)),MAX(0,Inputs!$B$44-((R2784-1)*(1/Q2784)))))/Inputs!$B$44),IF(Inputs!$B$39="pvp",MIN((Skills!Y11*(1+Inputs!$B$34/100)),15)/15,MIN(1,(Skills!Y11*(1+Inputs!$B$34/100))/(1/Q2784)))))/100)*(1+((C2789=TRUE)*F2789*IF(AND(Inputs!$B$39&lt;&gt;"pvp",Inputs!$B$44&gt;0),(((R2789-1)*MIN((Skills!Y16*(1+Inputs!$B$34/100)),(1/Q2789))+MIN((Skills!Y16*(1+Inputs!$B$34/100)),MAX(0,Inputs!$B$44-((R2789-1)*(1/Q2789)))))/Inputs!$B$44),IF(Inputs!$B$39="pvp",MIN((Skills!Y16*(1+Inputs!$B$34/100)),15)/15,MIN(1,(Skills!Y16*(1+Inputs!$B$34/100))/(1/Q2789)))))/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2809*I2782)</f>
        <v/>
      </c>
      <c r="L2782">
        <f>K2782*(MIN(Inputs!$B$22+((C2798=TRUE)*(F2798-Calc!F25)),(Inputs!$B$23+((C2803=TRUE)*(F2803-Calc!F30))+IF(ArtifactsInput!$M$15,CHOOSE(ArtifactsInput!$N$15+1,25,30,35,40,45,50)/100*(Inputs!$B$11-Inputs!$B$11),0)))/100+(Inputs!$B$23+((C2803=TRUE)*(F2803-Calc!F30))+IF(ArtifactsInput!$M$15,CHOOSE(ArtifactsInput!$N$15+1,25,30,35,40,45,50)/100*(Inputs!$B$11-Inputs!$B$11),0))/100)/2</f>
        <v/>
      </c>
      <c r="M2782">
        <f>L2782*(1+(Inputs!$B$10+((C2800=TRUE)*(F2800-Calc!F27))+B2814+(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2782">
        <f>L2782*(1-MIN((Inputs!$B$9+((C2799=TRUE)*(F2799-Calc!F26))+B2807+(ArtifactsInput!$M$24-ArtifactsInput!$M$24)*CHOOSE(ArtifactsInput!$N$24+1,10,12,14,16,18,20)+(IF(AND(Inputs!$B$39&lt;&gt;"pvp",Inputs!$B$44=0),1,IF(IF(Inputs!$B$39="pvp",15,Inputs!$B$44)-(B2818)&lt;=0,1,MAX(0,IF(Inputs!$B$39="pvp",15,Inputs!$B$44)-MAX(5,B2818))/(IF(Inputs!$B$39="pvp",15,Inputs!$B$44)-(B2818))))*IF(AND(ArtifactsInput!$M$42,((Inputs!$B$9+((C2799=TRUE)*(F2799-Calc!F26))+B2807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2782*(MIN((Inputs!$B$9+((C2799=TRUE)*(F2799-Calc!F26))+B2807+(ArtifactsInput!$M$24-ArtifactsInput!$M$24)*CHOOSE(ArtifactsInput!$N$24+1,10,12,14,16,18,20)+(IF(AND(Inputs!$B$39&lt;&gt;"pvp",Inputs!$B$44=0),1,IF(IF(Inputs!$B$39="pvp",15,Inputs!$B$44)-(B2818)&lt;=0,1,MAX(0,IF(Inputs!$B$39="pvp",15,Inputs!$B$44)-MAX(5,B2818))/(IF(Inputs!$B$39="pvp",15,Inputs!$B$44)-(B2818))))*IF(AND(ArtifactsInput!$M$42,((Inputs!$B$9+((C2799=TRUE)*(F2799-Calc!F26))+B2807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782">
        <f>(1-Summary!$B$11)*T2782+Summary!$B$11*V2782</f>
        <v/>
      </c>
      <c r="P2782">
        <f>IF(B2819=0,0,O2782/B2819)</f>
        <v/>
      </c>
      <c r="Q2782">
        <f>IFERROR(1/IF(Inputs!$B$39="pvp",15,MAX(0.1,Skills!D9-IF(FALSE=TRUE,Inputs!$B$32,0))),0)</f>
        <v/>
      </c>
      <c r="R2782">
        <f>IF(AND(Inputs!$B$39&lt;&gt;"pvp",Inputs!$B$44&gt;0),IF(MAX(0,Inputs!$B$44-B2818)&lt;=0,0,(INT(MAX(0,Inputs!$B$44-B2818)/IF(Inputs!$B$39="pvp",15,MAX(0.1,Skills!D9-IF(FALSE=TRUE,Inputs!$B$32,0))))+1)),0)</f>
        <v/>
      </c>
      <c r="S2782">
        <f>IFERROR(O2782/N2782,0)</f>
        <v/>
      </c>
      <c r="T2782">
        <f>IF(C2782,(H2782*N2782*IF(AND(Inputs!$B$39&lt;&gt;"pvp",Inputs!$B$44&gt;0),((Skills!G9*((R2782-1)*IF(Skills!H9&gt;0,Skills!I9/Skills!H9,1)+IF(Skills!H9&gt;0,MIN(Skills!I9,MAX(0,MAX(0,Inputs!$B$44-B2818)-((R2782-1)*IF(Inputs!$B$39="pvp",15,MAX(0.1,Skills!D9-IF(FALSE=TRUE,Inputs!$B$32,0))))))/Skills!H9,1)))/Inputs!$B$44),G2782*Q2782))*IF(Inputs!$B$39="pvp",1,1+(Inputs!$B$20+0+Skills!P9+B2808+(IF(AND(ArtifactsInput!$M$36,IF(Inputs!$B$39="pvp",TRUE,AND(Inputs!$B$39&lt;&gt;"pvp",Inputs!$B$44&gt;0))),MAX(0,MIN(40,IF(Inputs!$B$39="pvp",15,Inputs!$B$44))-MAX(20,IF(Inputs!$B$4="Breakthrough",20,IF(Inputs!$B$4="Hero Dungeon",30,0))))/(IF(Inputs!$B$39="pvp",15,Inputs!$B$44)-IF(Inputs!$B$4="Breakthrough",20,IF(Inputs!$B$4="Hero Dungeon",30,0)))*CHOOSE(ArtifactsInput!$N$36+1,30,36,42,48,54,60),0)+IF(IF(ArtifactsInput!$M$33,FALSE,TRUE),CHOOSE(ArtifactsInput!$N$33+1,10,12,14,16,18,20),0)+(ArtifactsInput!$M$23-ArtifactsInput!$M$23)*CHOOSE(ArtifactsInput!$N$23+1,50,60,70,80,90,100))+(IF(AND(ArtifactsInput!$M$35,Inputs!$B$4&lt;&gt;"Chapter Hunt"),CHOOSE(ArtifactsInput!$N$35+1,15,18,21,24,27,30)*(1-EXP(-(0.2*B2811)*5)),0)+IF(AND(ArtifactsInput!$M$22,Inputs!$B$4&lt;&gt;"Chapter Hunt"),CHOOSE(ArtifactsInput!$N$22+1,10,12,14,16,18,20)*((0*(((0.15*B2811*5))^0/1)+1*(((0.15*B2811*5))^1/1)+2*(((0.15*B2811*5))^2/2)+3*(((0.15*B2811*5))^3/6)+4*(((0.15*B2811*5))^4/24)+5*(((0.15*B2811*5))^5/120))/((((0.15*B2811*5))^0/1)+(((0.15*B2811*5))^1/1)+(((0.15*B2811*5))^2/2)+(((0.15*B2811*5))^3/6)+(((0.15*B2811*5))^4/24)+(((0.15*B2811*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2782*(1-MIN(100,(Inputs!$B$9+((C2799=TRUE)*(F2799-Calc!F26))+B2807+(ArtifactsInput!$M$24-ArtifactsInput!$M$24)*CHOOSE(ArtifactsInput!$N$24+1,10,12,14,16,18,20)+(IF(AND(Inputs!$B$39&lt;&gt;"pvp",Inputs!$B$44=0),1,IF(IF(Inputs!$B$39="pvp",15,Inputs!$B$44)-(B2818)&lt;=0,1,MAX(0,IF(Inputs!$B$39="pvp",15,Inputs!$B$44)-MAX(5,B2818))/(IF(Inputs!$B$39="pvp",15,Inputs!$B$44)-(B2818))))*IF(AND(ArtifactsInput!$M$42,((Inputs!$B$9+((C2799=TRUE)*(F2799-Calc!F26))+B2807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2782*(MIN(100,(Inputs!$B$9+((C2799=TRUE)*(F2799-Calc!F26))+B2807+(ArtifactsInput!$M$24-ArtifactsInput!$M$24)*CHOOSE(ArtifactsInput!$N$24+1,10,12,14,16,18,20)+(IF(AND(Inputs!$B$39&lt;&gt;"pvp",Inputs!$B$44=0),1,IF(IF(Inputs!$B$39="pvp",15,Inputs!$B$44)-(B2818)&lt;=0,1,MAX(0,IF(Inputs!$B$39="pvp",15,Inputs!$B$44)-MAX(5,B2818))/(IF(Inputs!$B$39="pvp",15,Inputs!$B$44)-(B2818))))*IF(AND(ArtifactsInput!$M$42,((Inputs!$B$9+((C2799=TRUE)*(F2799-Calc!F26))+B2807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2782*(1-MIN(100,(Inputs!$B$9+((C2799=TRUE)*(F2799-Calc!F26))+B2807+(ArtifactsInput!$M$24-ArtifactsInput!$M$24)*CHOOSE(ArtifactsInput!$N$24+1,10,12,14,16,18,20)+(IF(AND(Inputs!$B$39&lt;&gt;"pvp",Inputs!$B$44=0),1,IF(IF(Inputs!$B$39="pvp",15,Inputs!$B$44)-(B2818)&lt;=0,1,MAX(0,IF(Inputs!$B$39="pvp",15,Inputs!$B$44)-MAX(5,B2818))/(IF(Inputs!$B$39="pvp",15,Inputs!$B$44)-(B2818))))*IF(AND(ArtifactsInput!$M$42,((Inputs!$B$9+((C2799=TRUE)*(F2799-Calc!F26))+B2807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2782*(MIN(100,(Inputs!$B$9+((C2799=TRUE)*(F2799-Calc!F26))+B2807+(ArtifactsInput!$M$24-ArtifactsInput!$M$24)*CHOOSE(ArtifactsInput!$N$24+1,10,12,14,16,18,20)+(IF(AND(Inputs!$B$39&lt;&gt;"pvp",Inputs!$B$44=0),1,IF(IF(Inputs!$B$39="pvp",15,Inputs!$B$44)-(B2818)&lt;=0,1,MAX(0,IF(Inputs!$B$39="pvp",15,Inputs!$B$44)-MAX(5,B2818))/(IF(Inputs!$B$39="pvp",15,Inputs!$B$44)-(B2818))))*IF(AND(ArtifactsInput!$M$42,((Inputs!$B$9+((C2799=TRUE)*(F2799-Calc!F26))+B2807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782">
        <f>IF(C2782,(H2782*N2782*IF(AND(Inputs!$B$39&lt;&gt;"pvp",Inputs!$B$44&gt;0),((Skills!G9*((R2782-1)*IF(Skills!H9&gt;0,Skills!I9/Skills!H9,1)+IF(Skills!H9&gt;0,MIN(Skills!I9,MAX(0,MAX(0,Inputs!$B$44-B2818)-((R2782-1)*IF(Inputs!$B$39="pvp",15,MAX(0.1,Skills!D9-IF(FALSE=TRUE,Inputs!$B$32,0))))))/Skills!H9,1)))/Inputs!$B$44),G2782*Q2782))*IF(Inputs!$B$39="pvp",1,(1+(Inputs!$B$21+Skills!Q9+B2808+(IF(IF(ArtifactsInput!$M$33,FALSE,TRUE),CHOOSE(ArtifactsInput!$N$33+1,30,36,42,48,54,60),0))+(IF(AND(ArtifactsInput!$M$35,Inputs!$B$4&lt;&gt;"Chapter Hunt"),CHOOSE(ArtifactsInput!$N$35+1,15,18,21,24,27,30)*(1-EXP(-(0.2*B2811)*5)),0)+IF(AND(ArtifactsInput!$M$22,Inputs!$B$4&lt;&gt;"Chapter Hunt"),CHOOSE(ArtifactsInput!$N$22+1,10,12,14,16,18,20)*((0*(((0.15*B2811*5))^0/1)+1*(((0.15*B2811*5))^1/1)+2*(((0.15*B2811*5))^2/2)+3*(((0.15*B2811*5))^3/6)+4*(((0.15*B2811*5))^4/24)+5*(((0.15*B2811*5))^5/120))/((((0.15*B2811*5))^0/1)+(((0.15*B2811*5))^1/1)+(((0.15*B2811*5))^2/2)+(((0.15*B2811*5))^3/6)+(((0.15*B2811*5))^4/24)+(((0.15*B2811*5))^5/120))),0)))/100)*(MIN(Skills!W9,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783">
      <c r="A2783">
        <f>Skills!A10</f>
        <v/>
      </c>
      <c r="B2783">
        <f>Skills!B10</f>
        <v/>
      </c>
      <c r="C2783">
        <f>Inputs!$B$3&gt;=117</f>
        <v/>
      </c>
      <c r="D2783">
        <f>IF(Skills!C10=1,60+Inputs!$B$25+Inputs!$B$29,IF(Skills!C10=2,90+Inputs!$B$26+Inputs!$B$29,IF(Skills!C10=3,120+Inputs!$B$27+Inputs!$B$29,MAX(0,(Inputs!$B$3-100)*3)+Inputs!$B$28+Inputs!$B$29)))</f>
        <v/>
      </c>
      <c r="E2783">
        <f>INDEX(FactorTable!$B$2:$Y$301, MATCH(ROUND(MIN(300,MAX(1,D2783)),0), FactorTable!$A$2:$A$301,0), Skills!M10+1)</f>
        <v/>
      </c>
      <c r="F2783">
        <f>IF(Skills!N10=TRUE,(Skills!L10/10)*(E2783/1000),Skills!L10/10)+Skills!O10</f>
        <v/>
      </c>
      <c r="G2783">
        <f>Skills!G10*IF(Skills!H10&gt;0,IF(Inputs!$B$39="pvp",MIN(Skills!I10,15),Skills!I10)/Skills!H10,1)</f>
        <v/>
      </c>
      <c r="H2783">
        <f>1-(1-Skills!J10/100)^Skills!K10</f>
        <v/>
      </c>
      <c r="I2783" t="inlineStr">
        <is>
          <t>1</t>
        </is>
      </c>
      <c r="J2783">
        <f>((Inputs!$B$6*(1+Inputs!$B$7/100))+(((Inputs!$B$12*(1+Inputs!$B$13/100))-(Inputs!$B$12*(1+Inputs!$B$13/100)))+0.25*(Inputs!$B$14-Inputs!$B$14))*(1+Inputs!$B$7/100))*(F2783/100)</f>
        <v/>
      </c>
      <c r="K2783">
        <f>J2783*(1+((Inputs!$B$12*(1+Inputs!$B$13/100))*0.01+Inputs!$B$14*0.0025)/100)*(1+Inputs!$B$15/100)*(1+Inputs!$B$16/100)*(5000/(6000+Inputs!$B$43*(1-(100*(1-(1-Inputs!$B$19/100)*(1-CHOOSE(ArtifactsInput!$N$40+1,5,6,7,8,9,10)/100)^(ArtifactsInput!$M$40-ArtifactsInput!$M$40)))/100)))*(1+(Inputs!$B$24+((C2804=TRUE)*(F2804-Calc!F31))+((C2791=TRUE)*(F2791-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10="CRUEL_STAB",Inputs!$B$17+((C2801=TRUE)*(F2801-Calc!F28))+((IF(AND(Inputs!$B$39&lt;&gt;"pvp",Inputs!$B$44=0),1,IF(IF(Inputs!$B$39="pvp",15,Inputs!$B$44)-(B2818)&lt;=0,1,MAX(0,IF(Inputs!$B$39="pvp",15,Inputs!$B$44)-MAX(5,B2818))/(IF(Inputs!$B$39="pvp",15,Inputs!$B$44)-(B2818))))*(IF(AND(ArtifactsInput!$M$42,((Inputs!$B$9+((C2799=TRUE)*(F2799-Calc!F26))+B2807+(ArtifactsInput!$M$24-ArtifactsInput!$M$24)*CHOOSE(ArtifactsInput!$N$24+1,10,12,14,16,18,20)+IF(ArtifactsInput!$M$10,CHOOSE(ArtifactsInput!$N$10+1,15,18,21,24,27,30)*(IF(Inputs!$B$39="pvp",MIN(15,15)/15,IF(AND(Inputs!$B$39&lt;&gt;"pvp",Inputs!$B$44&gt;0),MIN(15,Inputs!$B$44)/(Inputs!$B$44),0))),0)))&gt;=100),MIN(100,((Inputs!$B$9+((C2799=TRUE)*(F2799-Calc!F26))+B2807+(ArtifactsInput!$M$24-ArtifactsInput!$M$24)*CHOOSE(ArtifactsInput!$N$24+1,10,12,14,16,18,20)+IF(ArtifactsInput!$M$10,CHOOSE(ArtifactsInput!$N$10+1,15,18,21,24,27,30)*(IF(Inputs!$B$39="pvp",MIN(15,15)/15,IF(AND(Inputs!$B$39&lt;&gt;"pvp",Inputs!$B$44&gt;0),MIN(15,Inputs!$B$44)/(Inputs!$B$44),0))),0)))-100),0))*CHOOSE(ArtifactsInput!$N$42+1,0.6,0.72,0.84,0.96,1.08,1.2))),Inputs!$B$18+((C2802=TRUE)*(F2802-Calc!F29))+(IF(AND(Inputs!$B$39&lt;&gt;"pvp",Inputs!$B$44=0),1,IF(IF(Inputs!$B$39="pvp",15,Inputs!$B$44)-(B2818)&lt;=0,1,MAX(0,IF(Inputs!$B$39="pvp",15,Inputs!$B$44)-MAX(5,B2818))/(IF(Inputs!$B$39="pvp",15,Inputs!$B$44)-(B2818))))*IF(AND(ArtifactsInput!$M$42,((Inputs!$B$9+((C2799=TRUE)*(F2799-Calc!F26))+B2807+(ArtifactsInput!$M$24-ArtifactsInput!$M$24)*CHOOSE(ArtifactsInput!$N$24+1,10,12,14,16,18,20)+IF(ArtifactsInput!$M$10,CHOOSE(ArtifactsInput!$N$10+1,15,18,21,24,27,30)*(IF(Inputs!$B$39="pvp",MIN(15,15)/15,IF(AND(Inputs!$B$39&lt;&gt;"pvp",Inputs!$B$44&gt;0),MIN(15,Inputs!$B$44)/(Inputs!$B$44),0))),0)))&gt;=100),CHOOSE(ArtifactsInput!$N$42+1,40,48,56,64,72,80),0))))/100)*(((1+(((C2795=TRUE)*F2795*IF(AND(Inputs!$B$39&lt;&gt;"pvp",Inputs!$B$44&gt;0),(((R2795-1)*MIN((Skills!Y22*(1+Inputs!$B$34/100)),(1/Q2795))+MIN((Skills!Y22*(1+Inputs!$B$34/100)),MAX(0,Inputs!$B$44-((R2795-1)*(1/Q2795)))))/Inputs!$B$44),IF(Inputs!$B$39="pvp",MIN((Skills!Y22*(1+Inputs!$B$34/100)),15)/15,MIN(1,(Skills!Y22*(1+Inputs!$B$34/100))/(1/Q2795)))))+((C2776=TRUE)*F2776*3)+((C2778=TRUE)*F2778*(1-EXP(-0.75*B2811*5)))+((C2797=TRUE)*(F2797-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2784=TRUE)*F2784*IF(AND(Inputs!$B$39&lt;&gt;"pvp",Inputs!$B$44&gt;0),(((R2784-1)*MIN((Skills!Y11*(1+Inputs!$B$34/100)),(1/Q2784))+MIN((Skills!Y11*(1+Inputs!$B$34/100)),MAX(0,Inputs!$B$44-((R2784-1)*(1/Q2784)))))/Inputs!$B$44),IF(Inputs!$B$39="pvp",MIN((Skills!Y11*(1+Inputs!$B$34/100)),15)/15,MIN(1,(Skills!Y11*(1+Inputs!$B$34/100))/(1/Q2784)))))/100)*(1+((C2789=TRUE)*F2789*IF(AND(Inputs!$B$39&lt;&gt;"pvp",Inputs!$B$44&gt;0),(((R2789-1)*MIN((Skills!Y16*(1+Inputs!$B$34/100)),(1/Q2789))+MIN((Skills!Y16*(1+Inputs!$B$34/100)),MAX(0,Inputs!$B$44-((R2789-1)*(1/Q2789)))))/Inputs!$B$44),IF(Inputs!$B$39="pvp",MIN((Skills!Y16*(1+Inputs!$B$34/100)),15)/15,MIN(1,(Skills!Y16*(1+Inputs!$B$34/100))/(1/Q2789)))))/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2809*I2783)</f>
        <v/>
      </c>
      <c r="L2783">
        <f>K2783*(MIN(Inputs!$B$22+((C2798=TRUE)*(F2798-Calc!F25)),(Inputs!$B$23+((C2803=TRUE)*(F2803-Calc!F30))+IF(ArtifactsInput!$M$15,CHOOSE(ArtifactsInput!$N$15+1,25,30,35,40,45,50)/100*(Inputs!$B$11-Inputs!$B$11),0)))/100+(Inputs!$B$23+((C2803=TRUE)*(F2803-Calc!F30))+IF(ArtifactsInput!$M$15,CHOOSE(ArtifactsInput!$N$15+1,25,30,35,40,45,50)/100*(Inputs!$B$11-Inputs!$B$11),0))/100)/2</f>
        <v/>
      </c>
      <c r="M2783">
        <f>L2783*(1+(Inputs!$B$10+((C2800=TRUE)*(F2800-Calc!F27))+B2814+(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2783">
        <f>L2783*(1-MIN((Inputs!$B$9+((C2799=TRUE)*(F2799-Calc!F26))+B2807+(ArtifactsInput!$M$24-ArtifactsInput!$M$24)*CHOOSE(ArtifactsInput!$N$24+1,10,12,14,16,18,20)+(IF(AND(Inputs!$B$39&lt;&gt;"pvp",Inputs!$B$44=0),1,IF(IF(Inputs!$B$39="pvp",15,Inputs!$B$44)-(B2818)&lt;=0,1,MAX(0,IF(Inputs!$B$39="pvp",15,Inputs!$B$44)-MAX(5,B2818))/(IF(Inputs!$B$39="pvp",15,Inputs!$B$44)-(B2818))))*IF(AND(ArtifactsInput!$M$42,((Inputs!$B$9+((C2799=TRUE)*(F2799-Calc!F26))+B2807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2783*(MIN((Inputs!$B$9+((C2799=TRUE)*(F2799-Calc!F26))+B2807+(ArtifactsInput!$M$24-ArtifactsInput!$M$24)*CHOOSE(ArtifactsInput!$N$24+1,10,12,14,16,18,20)+(IF(AND(Inputs!$B$39&lt;&gt;"pvp",Inputs!$B$44=0),1,IF(IF(Inputs!$B$39="pvp",15,Inputs!$B$44)-(B2818)&lt;=0,1,MAX(0,IF(Inputs!$B$39="pvp",15,Inputs!$B$44)-MAX(5,B2818))/(IF(Inputs!$B$39="pvp",15,Inputs!$B$44)-(B2818))))*IF(AND(ArtifactsInput!$M$42,((Inputs!$B$9+((C2799=TRUE)*(F2799-Calc!F26))+B2807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783">
        <f>(1-Summary!$B$11)*T2783+Summary!$B$11*V2783</f>
        <v/>
      </c>
      <c r="P2783">
        <f>IF(B2819=0,0,O2783/B2819)</f>
        <v/>
      </c>
      <c r="Q2783" t="n">
        <v>0</v>
      </c>
      <c r="R2783" t="n">
        <v>0</v>
      </c>
      <c r="S2783" t="n">
        <v>0</v>
      </c>
      <c r="T2783">
        <f>IF(C2783,(0.2*SUMPRODUCT((Skills!Z2:Z31=TRUE)*(C2775:C2804=TRUE)*S2775:S2804)*N2783)*IF(Inputs!$B$39="pvp",1,1+(Inputs!$B$20+0+Skills!P10+B2808+(IF(AND(ArtifactsInput!$M$36,IF(Inputs!$B$39="pvp",TRUE,AND(Inputs!$B$39&lt;&gt;"pvp",Inputs!$B$44&gt;0))),MAX(0,MIN(40,IF(Inputs!$B$39="pvp",15,Inputs!$B$44))-MAX(20,IF(Inputs!$B$4="Breakthrough",20,IF(Inputs!$B$4="Hero Dungeon",30,0))))/(IF(Inputs!$B$39="pvp",15,Inputs!$B$44)-IF(Inputs!$B$4="Breakthrough",20,IF(Inputs!$B$4="Hero Dungeon",30,0)))*CHOOSE(ArtifactsInput!$N$36+1,30,36,42,48,54,60),0)+IF(IF(ArtifactsInput!$M$33,FALSE,TRUE),CHOOSE(ArtifactsInput!$N$33+1,10,12,14,16,18,20),0)+(ArtifactsInput!$M$23-ArtifactsInput!$M$23)*CHOOSE(ArtifactsInput!$N$23+1,50,60,70,80,90,100))+(IF(AND(ArtifactsInput!$M$35,Inputs!$B$4&lt;&gt;"Chapter Hunt"),CHOOSE(ArtifactsInput!$N$35+1,15,18,21,24,27,30)*(1-EXP(-(0.2*B2811)*5)),0)+IF(AND(ArtifactsInput!$M$22,Inputs!$B$4&lt;&gt;"Chapter Hunt"),CHOOSE(ArtifactsInput!$N$22+1,10,12,14,16,18,20)*((0*(((0.15*B2811*5))^0/1)+1*(((0.15*B2811*5))^1/1)+2*(((0.15*B2811*5))^2/2)+3*(((0.15*B2811*5))^3/6)+4*(((0.15*B2811*5))^4/24)+5*(((0.15*B2811*5))^5/120))/((((0.15*B2811*5))^0/1)+(((0.15*B2811*5))^1/1)+(((0.15*B2811*5))^2/2)+(((0.15*B2811*5))^3/6)+(((0.15*B2811*5))^4/24)+(((0.15*B2811*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2783*(1-MIN(100,(Inputs!$B$9+((C2799=TRUE)*(F2799-Calc!F26))+B2807+(ArtifactsInput!$M$24-ArtifactsInput!$M$24)*CHOOSE(ArtifactsInput!$N$24+1,10,12,14,16,18,20)+(IF(AND(Inputs!$B$39&lt;&gt;"pvp",Inputs!$B$44=0),1,IF(IF(Inputs!$B$39="pvp",15,Inputs!$B$44)-(B2818)&lt;=0,1,MAX(0,IF(Inputs!$B$39="pvp",15,Inputs!$B$44)-MAX(5,B2818))/(IF(Inputs!$B$39="pvp",15,Inputs!$B$44)-(B2818))))*IF(AND(ArtifactsInput!$M$42,((Inputs!$B$9+((C2799=TRUE)*(F2799-Calc!F26))+B2807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2783*(MIN(100,(Inputs!$B$9+((C2799=TRUE)*(F2799-Calc!F26))+B2807+(ArtifactsInput!$M$24-ArtifactsInput!$M$24)*CHOOSE(ArtifactsInput!$N$24+1,10,12,14,16,18,20)+(IF(AND(Inputs!$B$39&lt;&gt;"pvp",Inputs!$B$44=0),1,IF(IF(Inputs!$B$39="pvp",15,Inputs!$B$44)-(B2818)&lt;=0,1,MAX(0,IF(Inputs!$B$39="pvp",15,Inputs!$B$44)-MAX(5,B2818))/(IF(Inputs!$B$39="pvp",15,Inputs!$B$44)-(B2818))))*IF(AND(ArtifactsInput!$M$42,((Inputs!$B$9+((C2799=TRUE)*(F2799-Calc!F26))+B2807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2783*(1-MIN(100,(Inputs!$B$9+((C2799=TRUE)*(F2799-Calc!F26))+B2807+(ArtifactsInput!$M$24-ArtifactsInput!$M$24)*CHOOSE(ArtifactsInput!$N$24+1,10,12,14,16,18,20)+(IF(AND(Inputs!$B$39&lt;&gt;"pvp",Inputs!$B$44=0),1,IF(IF(Inputs!$B$39="pvp",15,Inputs!$B$44)-(B2818)&lt;=0,1,MAX(0,IF(Inputs!$B$39="pvp",15,Inputs!$B$44)-MAX(5,B2818))/(IF(Inputs!$B$39="pvp",15,Inputs!$B$44)-(B2818))))*IF(AND(ArtifactsInput!$M$42,((Inputs!$B$9+((C2799=TRUE)*(F2799-Calc!F26))+B2807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2783*(MIN(100,(Inputs!$B$9+((C2799=TRUE)*(F2799-Calc!F26))+B2807+(ArtifactsInput!$M$24-ArtifactsInput!$M$24)*CHOOSE(ArtifactsInput!$N$24+1,10,12,14,16,18,20)+(IF(AND(Inputs!$B$39&lt;&gt;"pvp",Inputs!$B$44=0),1,IF(IF(Inputs!$B$39="pvp",15,Inputs!$B$44)-(B2818)&lt;=0,1,MAX(0,IF(Inputs!$B$39="pvp",15,Inputs!$B$44)-MAX(5,B2818))/(IF(Inputs!$B$39="pvp",15,Inputs!$B$44)-(B2818))))*IF(AND(ArtifactsInput!$M$42,((Inputs!$B$9+((C2799=TRUE)*(F2799-Calc!F26))+B2807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783">
        <f>IF(C2783,(0.2*SUMPRODUCT((Skills!Z2:Z31=TRUE)*(C2775:C2804=TRUE)*S2775:S2804)*N2783)*IF(Inputs!$B$39="pvp",1,(1+(Inputs!$B$21+Skills!Q10+B2808+(IF(IF(ArtifactsInput!$M$33,FALSE,TRUE),CHOOSE(ArtifactsInput!$N$33+1,30,36,42,48,54,60),0))+(IF(AND(ArtifactsInput!$M$35,Inputs!$B$4&lt;&gt;"Chapter Hunt"),CHOOSE(ArtifactsInput!$N$35+1,15,18,21,24,27,30)*(1-EXP(-(0.2*B2811)*5)),0)+IF(AND(ArtifactsInput!$M$22,Inputs!$B$4&lt;&gt;"Chapter Hunt"),CHOOSE(ArtifactsInput!$N$22+1,10,12,14,16,18,20)*((0*(((0.15*B2811*5))^0/1)+1*(((0.15*B2811*5))^1/1)+2*(((0.15*B2811*5))^2/2)+3*(((0.15*B2811*5))^3/6)+4*(((0.15*B2811*5))^4/24)+5*(((0.15*B2811*5))^5/120))/((((0.15*B2811*5))^0/1)+(((0.15*B2811*5))^1/1)+(((0.15*B2811*5))^2/2)+(((0.15*B2811*5))^3/6)+(((0.15*B2811*5))^4/24)+(((0.15*B2811*5))^5/120))),0)))/100)*(MIN(Skills!W10,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784">
      <c r="A2784">
        <f>Skills!A11</f>
        <v/>
      </c>
      <c r="B2784">
        <f>Skills!B11</f>
        <v/>
      </c>
      <c r="C2784">
        <f>Inputs!$B$3&gt;=74</f>
        <v/>
      </c>
      <c r="D2784">
        <f>IF(Skills!C11=1,60+Inputs!$B$25+Inputs!$B$29,IF(Skills!C11=2,90+Inputs!$B$26+Inputs!$B$29,IF(Skills!C11=3,120+Inputs!$B$27+Inputs!$B$29,MAX(0,(Inputs!$B$3-100)*3)+Inputs!$B$28+Inputs!$B$29)))</f>
        <v/>
      </c>
      <c r="E2784">
        <f>INDEX(FactorTable!$B$2:$Y$301, MATCH(ROUND(MIN(300,MAX(1,D2784)),0), FactorTable!$A$2:$A$301,0), Skills!M11+1)</f>
        <v/>
      </c>
      <c r="F2784">
        <f>IF(Skills!N11=TRUE,(Skills!L11/10)*(E2784/1000),Skills!L11/10)+Skills!O11</f>
        <v/>
      </c>
      <c r="G2784">
        <f>Skills!G11*IF(Skills!H11&gt;0,IF(Inputs!$B$39="pvp",MIN(Skills!I11,15),Skills!I11)/Skills!H11,1)</f>
        <v/>
      </c>
      <c r="H2784">
        <f>1-(1-Skills!J11/100)^Skills!K11</f>
        <v/>
      </c>
      <c r="I2784" t="inlineStr">
        <is>
          <t>1</t>
        </is>
      </c>
      <c r="J2784" t="inlineStr"/>
      <c r="K2784" t="inlineStr"/>
      <c r="L2784" t="inlineStr"/>
      <c r="M2784" t="inlineStr"/>
      <c r="N2784" t="inlineStr"/>
      <c r="O2784">
        <f>(1-Summary!$B$11)*T2784+Summary!$B$11*V2784</f>
        <v/>
      </c>
      <c r="P2784">
        <f>IF(B2819=0,0,O2784/B2819)</f>
        <v/>
      </c>
      <c r="Q2784">
        <f>IFERROR(1/IF(Inputs!$B$39="pvp",15,MAX(0.1,Skills!D11-IF(TRUE=TRUE,Inputs!$B$32,0))),0)</f>
        <v/>
      </c>
      <c r="R2784">
        <f>IF(AND(Inputs!$B$39&lt;&gt;"pvp",Inputs!$B$44&gt;0),IF(Inputs!$B$44&lt;=0,0,(INT(Inputs!$B$44/IF(Inputs!$B$39="pvp",15,MAX(0.1,Skills!D11-IF(TRUE=TRUE,Inputs!$B$32,0))))+1)),0)</f>
        <v/>
      </c>
      <c r="S2784">
        <f>IFERROR(O2784/N2784,0)</f>
        <v/>
      </c>
      <c r="T2784" t="n">
        <v>0</v>
      </c>
      <c r="V2784" t="n">
        <v>0</v>
      </c>
    </row>
    <row r="2785">
      <c r="A2785">
        <f>Skills!A12</f>
        <v/>
      </c>
      <c r="B2785">
        <f>Skills!B12</f>
        <v/>
      </c>
      <c r="C2785">
        <f>Inputs!$B$3&gt;=103</f>
        <v/>
      </c>
      <c r="D2785">
        <f>IF(Skills!C12=1,60+Inputs!$B$25+Inputs!$B$29,IF(Skills!C12=2,90+Inputs!$B$26+Inputs!$B$29,IF(Skills!C12=3,120+Inputs!$B$27+Inputs!$B$29,MAX(0,(Inputs!$B$3-100)*3)+Inputs!$B$28+Inputs!$B$29)))</f>
        <v/>
      </c>
      <c r="E2785">
        <f>INDEX(FactorTable!$B$2:$Y$301, MATCH(ROUND(MIN(300,MAX(1,D2785)),0), FactorTable!$A$2:$A$301,0), Skills!M12+1)</f>
        <v/>
      </c>
      <c r="F2785">
        <f>(Skills!L12/10)*(E2785/1000)+IF(Inputs!$B$3&gt;=134,50,0)+0.5*(30000/10)*(INDEX(FactorTable!$B$2:$Y$301, MATCH(ROUND(MIN(300,MAX(1,D2785)),0), FactorTable!$A$2:$A$301,0), 13)/1000)*B2817</f>
        <v/>
      </c>
      <c r="G2785">
        <f>Skills!G12*IF(Skills!H12&gt;0,IF(Inputs!$B$39="pvp",MIN(Skills!I12,15),Skills!I12)/Skills!H12,1)</f>
        <v/>
      </c>
      <c r="H2785">
        <f>1-(1-Skills!J12/100)^Skills!K12</f>
        <v/>
      </c>
      <c r="I2785" t="inlineStr">
        <is>
          <t>1</t>
        </is>
      </c>
      <c r="J2785">
        <f>((Inputs!$B$6*(1+Inputs!$B$7/100))+(((Inputs!$B$12*(1+Inputs!$B$13/100))-(Inputs!$B$12*(1+Inputs!$B$13/100)))+0.25*(Inputs!$B$14-Inputs!$B$14))*(1+Inputs!$B$7/100))*(F2785/100)</f>
        <v/>
      </c>
      <c r="K2785">
        <f>J2785*(1+((Inputs!$B$12*(1+Inputs!$B$13/100))*0.01+Inputs!$B$14*0.0025)/100)*(1+Inputs!$B$15/100)*(1+Inputs!$B$16/100)*(5000/(6000+Inputs!$B$43*(1-(100*(1-(1-Inputs!$B$19/100)*(1-CHOOSE(ArtifactsInput!$N$40+1,5,6,7,8,9,10)/100)^(ArtifactsInput!$M$40-ArtifactsInput!$M$40)))/100)))*(1+(Inputs!$B$24+((C2804=TRUE)*(F2804-Calc!F31))+((C2791=TRUE)*(F2791-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12="CRUEL_STAB",Inputs!$B$17+((C2801=TRUE)*(F2801-Calc!F28))+((IF(AND(Inputs!$B$39&lt;&gt;"pvp",Inputs!$B$44=0),1,IF(IF(Inputs!$B$39="pvp",15,Inputs!$B$44)-(B2818)&lt;=0,1,MAX(0,IF(Inputs!$B$39="pvp",15,Inputs!$B$44)-MAX(5,B2818))/(IF(Inputs!$B$39="pvp",15,Inputs!$B$44)-(B2818))))*(IF(AND(ArtifactsInput!$M$42,((Inputs!$B$9+((C2799=TRUE)*(F2799-Calc!F26))+B2807+(ArtifactsInput!$M$24-ArtifactsInput!$M$24)*CHOOSE(ArtifactsInput!$N$24+1,10,12,14,16,18,20)+IF(ArtifactsInput!$M$10,CHOOSE(ArtifactsInput!$N$10+1,15,18,21,24,27,30)*(IF(Inputs!$B$39="pvp",MIN(15,15)/15,IF(AND(Inputs!$B$39&lt;&gt;"pvp",Inputs!$B$44&gt;0),MIN(15,Inputs!$B$44)/(Inputs!$B$44),0))),0)))&gt;=100),MIN(100,((Inputs!$B$9+((C2799=TRUE)*(F2799-Calc!F26))+B2807+(ArtifactsInput!$M$24-ArtifactsInput!$M$24)*CHOOSE(ArtifactsInput!$N$24+1,10,12,14,16,18,20)+IF(ArtifactsInput!$M$10,CHOOSE(ArtifactsInput!$N$10+1,15,18,21,24,27,30)*(IF(Inputs!$B$39="pvp",MIN(15,15)/15,IF(AND(Inputs!$B$39&lt;&gt;"pvp",Inputs!$B$44&gt;0),MIN(15,Inputs!$B$44)/(Inputs!$B$44),0))),0)))-100),0))*CHOOSE(ArtifactsInput!$N$42+1,0.6,0.72,0.84,0.96,1.08,1.2))),Inputs!$B$18+((C2802=TRUE)*(F2802-Calc!F29))+(IF(AND(Inputs!$B$39&lt;&gt;"pvp",Inputs!$B$44=0),1,IF(IF(Inputs!$B$39="pvp",15,Inputs!$B$44)-(B2818)&lt;=0,1,MAX(0,IF(Inputs!$B$39="pvp",15,Inputs!$B$44)-MAX(5,B2818))/(IF(Inputs!$B$39="pvp",15,Inputs!$B$44)-(B2818))))*IF(AND(ArtifactsInput!$M$42,((Inputs!$B$9+((C2799=TRUE)*(F2799-Calc!F26))+B2807+(ArtifactsInput!$M$24-ArtifactsInput!$M$24)*CHOOSE(ArtifactsInput!$N$24+1,10,12,14,16,18,20)+IF(ArtifactsInput!$M$10,CHOOSE(ArtifactsInput!$N$10+1,15,18,21,24,27,30)*(IF(Inputs!$B$39="pvp",MIN(15,15)/15,IF(AND(Inputs!$B$39&lt;&gt;"pvp",Inputs!$B$44&gt;0),MIN(15,Inputs!$B$44)/(Inputs!$B$44),0))),0)))&gt;=100),CHOOSE(ArtifactsInput!$N$42+1,40,48,56,64,72,80),0))))/100)*(((1+(((C2795=TRUE)*F2795*IF(AND(Inputs!$B$39&lt;&gt;"pvp",Inputs!$B$44&gt;0),(((R2795-1)*MIN((Skills!Y22*(1+Inputs!$B$34/100)),(1/Q2795))+MIN((Skills!Y22*(1+Inputs!$B$34/100)),MAX(0,Inputs!$B$44-((R2795-1)*(1/Q2795)))))/Inputs!$B$44),IF(Inputs!$B$39="pvp",MIN((Skills!Y22*(1+Inputs!$B$34/100)),15)/15,MIN(1,(Skills!Y22*(1+Inputs!$B$34/100))/(1/Q2795)))))+((C2776=TRUE)*F2776*3)+((C2778=TRUE)*F2778*(1-EXP(-0.75*B2811*5)))+((C2797=TRUE)*(F2797-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2784=TRUE)*F2784*IF(AND(Inputs!$B$39&lt;&gt;"pvp",Inputs!$B$44&gt;0),(((R2784-1)*MIN((Skills!Y11*(1+Inputs!$B$34/100)),(1/Q2784))+MIN((Skills!Y11*(1+Inputs!$B$34/100)),MAX(0,Inputs!$B$44-((R2784-1)*(1/Q2784)))))/Inputs!$B$44),IF(Inputs!$B$39="pvp",MIN((Skills!Y11*(1+Inputs!$B$34/100)),15)/15,MIN(1,(Skills!Y11*(1+Inputs!$B$34/100))/(1/Q2784)))))/100)*(1+((C2789=TRUE)*F2789*IF(AND(Inputs!$B$39&lt;&gt;"pvp",Inputs!$B$44&gt;0),(((R2789-1)*MIN((Skills!Y16*(1+Inputs!$B$34/100)),(1/Q2789))+MIN((Skills!Y16*(1+Inputs!$B$34/100)),MAX(0,Inputs!$B$44-((R2789-1)*(1/Q2789)))))/Inputs!$B$44),IF(Inputs!$B$39="pvp",MIN((Skills!Y16*(1+Inputs!$B$34/100)),15)/15,MIN(1,(Skills!Y16*(1+Inputs!$B$34/100))/(1/Q2789)))))/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2809*I2785)</f>
        <v/>
      </c>
      <c r="L2785">
        <f>K2785*(MIN(Inputs!$B$22+((C2798=TRUE)*(F2798-Calc!F25)),(Inputs!$B$23+((C2803=TRUE)*(F2803-Calc!F30))+IF(ArtifactsInput!$M$15,CHOOSE(ArtifactsInput!$N$15+1,25,30,35,40,45,50)/100*(Inputs!$B$11-Inputs!$B$11),0)))/100+(Inputs!$B$23+((C2803=TRUE)*(F2803-Calc!F30))+IF(ArtifactsInput!$M$15,CHOOSE(ArtifactsInput!$N$15+1,25,30,35,40,45,50)/100*(Inputs!$B$11-Inputs!$B$11),0))/100)/2</f>
        <v/>
      </c>
      <c r="M2785">
        <f>L2785*(1+(Inputs!$B$10+((C2800=TRUE)*(F2800-Calc!F27))+B2814+(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2785">
        <f>L2785*(1-MIN((Inputs!$B$9+((C2799=TRUE)*(F2799-Calc!F26))+B2807+(ArtifactsInput!$M$24-ArtifactsInput!$M$24)*CHOOSE(ArtifactsInput!$N$24+1,10,12,14,16,18,20)+(IF(AND(Inputs!$B$39&lt;&gt;"pvp",Inputs!$B$44=0),1,IF(IF(Inputs!$B$39="pvp",15,Inputs!$B$44)-(B2818)&lt;=0,1,MAX(0,IF(Inputs!$B$39="pvp",15,Inputs!$B$44)-MAX(5,B2818))/(IF(Inputs!$B$39="pvp",15,Inputs!$B$44)-(B2818))))*IF(AND(ArtifactsInput!$M$42,((Inputs!$B$9+((C2799=TRUE)*(F2799-Calc!F26))+B2807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2785*(MIN((Inputs!$B$9+((C2799=TRUE)*(F2799-Calc!F26))+B2807+(ArtifactsInput!$M$24-ArtifactsInput!$M$24)*CHOOSE(ArtifactsInput!$N$24+1,10,12,14,16,18,20)+(IF(AND(Inputs!$B$39&lt;&gt;"pvp",Inputs!$B$44=0),1,IF(IF(Inputs!$B$39="pvp",15,Inputs!$B$44)-(B2818)&lt;=0,1,MAX(0,IF(Inputs!$B$39="pvp",15,Inputs!$B$44)-MAX(5,B2818))/(IF(Inputs!$B$39="pvp",15,Inputs!$B$44)-(B2818))))*IF(AND(ArtifactsInput!$M$42,((Inputs!$B$9+((C2799=TRUE)*(F2799-Calc!F26))+B2807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785">
        <f>(1-Summary!$B$11)*T2785+Summary!$B$11*V2785</f>
        <v/>
      </c>
      <c r="P2785">
        <f>IF(B2819=0,0,O2785/B2819)</f>
        <v/>
      </c>
      <c r="Q2785">
        <f>IFERROR(1/IF(Inputs!$B$39="pvp",15,MAX(0.1,Skills!D12-IF(TRUE=TRUE,Inputs!$B$32,0))),0)</f>
        <v/>
      </c>
      <c r="R2785">
        <f>IF(AND(Inputs!$B$39&lt;&gt;"pvp",Inputs!$B$44&gt;0),IF(MAX(0,Inputs!$B$44-B2818)&lt;=0,0,(INT(MAX(0,Inputs!$B$44-B2818)/IF(Inputs!$B$39="pvp",15,MAX(0.1,Skills!D12-IF(TRUE=TRUE,Inputs!$B$32,0))))+1)),0)</f>
        <v/>
      </c>
      <c r="S2785">
        <f>IFERROR(O2785/N2785,0)</f>
        <v/>
      </c>
      <c r="T2785">
        <f>IF(C2785,(H2785*N2785*IF(AND(Inputs!$B$39&lt;&gt;"pvp",Inputs!$B$44&gt;0),((Skills!G12*((R2785-1)*IF(Skills!H12&gt;0,Skills!I12/Skills!H12,1)+IF(Skills!H12&gt;0,MIN(Skills!I12,MAX(0,MAX(0,Inputs!$B$44-B2818)-((R2785-1)*IF(Inputs!$B$39="pvp",15,MAX(0.1,Skills!D12-IF(TRUE=TRUE,Inputs!$B$32,0))))))/Skills!H12,1)))/Inputs!$B$44),G2785*Q2785))*IF(Inputs!$B$39="pvp",1,1+(Inputs!$B$20+0+Skills!P12+B2808+(IF(AND(ArtifactsInput!$M$36,IF(Inputs!$B$39="pvp",TRUE,AND(Inputs!$B$39&lt;&gt;"pvp",Inputs!$B$44&gt;0))),MAX(0,MIN(40,IF(Inputs!$B$39="pvp",15,Inputs!$B$44))-MAX(20,IF(Inputs!$B$4="Breakthrough",20,IF(Inputs!$B$4="Hero Dungeon",30,0))))/(IF(Inputs!$B$39="pvp",15,Inputs!$B$44)-IF(Inputs!$B$4="Breakthrough",20,IF(Inputs!$B$4="Hero Dungeon",30,0)))*CHOOSE(ArtifactsInput!$N$36+1,30,36,42,48,54,60),0)+IF(IF(ArtifactsInput!$M$33,FALSE,TRUE),CHOOSE(ArtifactsInput!$N$33+1,10,12,14,16,18,20),0)+(ArtifactsInput!$M$23-ArtifactsInput!$M$23)*CHOOSE(ArtifactsInput!$N$23+1,50,60,70,80,90,100))+(IF(AND(ArtifactsInput!$M$35,Inputs!$B$4&lt;&gt;"Chapter Hunt"),CHOOSE(ArtifactsInput!$N$35+1,15,18,21,24,27,30)*(1-EXP(-(0.2*B2811)*5)),0)+IF(AND(ArtifactsInput!$M$22,Inputs!$B$4&lt;&gt;"Chapter Hunt"),CHOOSE(ArtifactsInput!$N$22+1,10,12,14,16,18,20)*((0*(((0.15*B2811*5))^0/1)+1*(((0.15*B2811*5))^1/1)+2*(((0.15*B2811*5))^2/2)+3*(((0.15*B2811*5))^3/6)+4*(((0.15*B2811*5))^4/24)+5*(((0.15*B2811*5))^5/120))/((((0.15*B2811*5))^0/1)+(((0.15*B2811*5))^1/1)+(((0.15*B2811*5))^2/2)+(((0.15*B2811*5))^3/6)+(((0.15*B2811*5))^4/24)+(((0.15*B2811*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2785*(1-MIN(100,(Inputs!$B$9+((C2799=TRUE)*(F2799-Calc!F26))+B2807+(ArtifactsInput!$M$24-ArtifactsInput!$M$24)*CHOOSE(ArtifactsInput!$N$24+1,10,12,14,16,18,20)+(IF(AND(Inputs!$B$39&lt;&gt;"pvp",Inputs!$B$44=0),1,IF(IF(Inputs!$B$39="pvp",15,Inputs!$B$44)-(B2818)&lt;=0,1,MAX(0,IF(Inputs!$B$39="pvp",15,Inputs!$B$44)-MAX(5,B2818))/(IF(Inputs!$B$39="pvp",15,Inputs!$B$44)-(B2818))))*IF(AND(ArtifactsInput!$M$42,((Inputs!$B$9+((C2799=TRUE)*(F2799-Calc!F26))+B2807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2785*(MIN(100,(Inputs!$B$9+((C2799=TRUE)*(F2799-Calc!F26))+B2807+(ArtifactsInput!$M$24-ArtifactsInput!$M$24)*CHOOSE(ArtifactsInput!$N$24+1,10,12,14,16,18,20)+(IF(AND(Inputs!$B$39&lt;&gt;"pvp",Inputs!$B$44=0),1,IF(IF(Inputs!$B$39="pvp",15,Inputs!$B$44)-(B2818)&lt;=0,1,MAX(0,IF(Inputs!$B$39="pvp",15,Inputs!$B$44)-MAX(5,B2818))/(IF(Inputs!$B$39="pvp",15,Inputs!$B$44)-(B2818))))*IF(AND(ArtifactsInput!$M$42,((Inputs!$B$9+((C2799=TRUE)*(F2799-Calc!F26))+B2807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2785*(1-MIN(100,(Inputs!$B$9+((C2799=TRUE)*(F2799-Calc!F26))+B2807+(ArtifactsInput!$M$24-ArtifactsInput!$M$24)*CHOOSE(ArtifactsInput!$N$24+1,10,12,14,16,18,20)+(IF(AND(Inputs!$B$39&lt;&gt;"pvp",Inputs!$B$44=0),1,IF(IF(Inputs!$B$39="pvp",15,Inputs!$B$44)-(B2818)&lt;=0,1,MAX(0,IF(Inputs!$B$39="pvp",15,Inputs!$B$44)-MAX(5,B2818))/(IF(Inputs!$B$39="pvp",15,Inputs!$B$44)-(B2818))))*IF(AND(ArtifactsInput!$M$42,((Inputs!$B$9+((C2799=TRUE)*(F2799-Calc!F26))+B2807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2785*(MIN(100,(Inputs!$B$9+((C2799=TRUE)*(F2799-Calc!F26))+B2807+(ArtifactsInput!$M$24-ArtifactsInput!$M$24)*CHOOSE(ArtifactsInput!$N$24+1,10,12,14,16,18,20)+(IF(AND(Inputs!$B$39&lt;&gt;"pvp",Inputs!$B$44=0),1,IF(IF(Inputs!$B$39="pvp",15,Inputs!$B$44)-(B2818)&lt;=0,1,MAX(0,IF(Inputs!$B$39="pvp",15,Inputs!$B$44)-MAX(5,B2818))/(IF(Inputs!$B$39="pvp",15,Inputs!$B$44)-(B2818))))*IF(AND(ArtifactsInput!$M$42,((Inputs!$B$9+((C2799=TRUE)*(F2799-Calc!F26))+B2807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785">
        <f>IF(C2785,(H2785*N2785*IF(AND(Inputs!$B$39&lt;&gt;"pvp",Inputs!$B$44&gt;0),((Skills!G12*((R2785-1)*IF(Skills!H12&gt;0,Skills!I12/Skills!H12,1)+IF(Skills!H12&gt;0,MIN(Skills!I12,MAX(0,MAX(0,Inputs!$B$44-B2818)-((R2785-1)*IF(Inputs!$B$39="pvp",15,MAX(0.1,Skills!D12-IF(TRUE=TRUE,Inputs!$B$32,0))))))/Skills!H12,1)))/Inputs!$B$44),G2785*Q2785))*IF(Inputs!$B$39="pvp",1,(1+(Inputs!$B$21+Skills!Q12+B2808+(IF(IF(ArtifactsInput!$M$33,FALSE,TRUE),CHOOSE(ArtifactsInput!$N$33+1,30,36,42,48,54,60),0))+(IF(AND(ArtifactsInput!$M$35,Inputs!$B$4&lt;&gt;"Chapter Hunt"),CHOOSE(ArtifactsInput!$N$35+1,15,18,21,24,27,30)*(1-EXP(-(0.2*B2811)*5)),0)+IF(AND(ArtifactsInput!$M$22,Inputs!$B$4&lt;&gt;"Chapter Hunt"),CHOOSE(ArtifactsInput!$N$22+1,10,12,14,16,18,20)*((0*(((0.15*B2811*5))^0/1)+1*(((0.15*B2811*5))^1/1)+2*(((0.15*B2811*5))^2/2)+3*(((0.15*B2811*5))^3/6)+4*(((0.15*B2811*5))^4/24)+5*(((0.15*B2811*5))^5/120))/((((0.15*B2811*5))^0/1)+(((0.15*B2811*5))^1/1)+(((0.15*B2811*5))^2/2)+(((0.15*B2811*5))^3/6)+(((0.15*B2811*5))^4/24)+(((0.15*B2811*5))^5/120))),0)))/100)*(MIN(Skills!W12,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786">
      <c r="A2786">
        <f>Skills!A13</f>
        <v/>
      </c>
      <c r="B2786">
        <f>Skills!B13</f>
        <v/>
      </c>
      <c r="C2786">
        <f>Inputs!$B$3&gt;=105</f>
        <v/>
      </c>
      <c r="D2786">
        <f>IF(Skills!C13=1,60+Inputs!$B$25+Inputs!$B$29,IF(Skills!C13=2,90+Inputs!$B$26+Inputs!$B$29,IF(Skills!C13=3,120+Inputs!$B$27+Inputs!$B$29,MAX(0,(Inputs!$B$3-100)*3)+Inputs!$B$28+Inputs!$B$29)))</f>
        <v/>
      </c>
      <c r="E2786">
        <f>INDEX(FactorTable!$B$2:$Y$301, MATCH(ROUND(MIN(300,MAX(1,D2786)),0), FactorTable!$A$2:$A$301,0), Skills!M13+1)</f>
        <v/>
      </c>
      <c r="F2786">
        <f>IF(Skills!N13=TRUE,(Skills!L13/10)*(E2786/1000),Skills!L13/10)+Skills!O13</f>
        <v/>
      </c>
      <c r="G2786">
        <f>Skills!G13*IF(Skills!H13&gt;0,IF(Inputs!$B$39="pvp",MIN(Skills!I13,15),Skills!I13)/Skills!H13,1)</f>
        <v/>
      </c>
      <c r="H2786">
        <f>1-(1-Skills!J13/100)^Skills!K13</f>
        <v/>
      </c>
      <c r="I2786" t="inlineStr">
        <is>
          <t>1</t>
        </is>
      </c>
      <c r="J2786">
        <f>((Inputs!$B$6*(1+Inputs!$B$7/100))+(((Inputs!$B$12*(1+Inputs!$B$13/100))-(Inputs!$B$12*(1+Inputs!$B$13/100)))+0.25*(Inputs!$B$14-Inputs!$B$14))*(1+Inputs!$B$7/100))*(F2786/100)</f>
        <v/>
      </c>
      <c r="K2786">
        <f>J2786*(1+((Inputs!$B$12*(1+Inputs!$B$13/100))*0.01+Inputs!$B$14*0.0025)/100)*(1+Inputs!$B$15/100)*(1+Inputs!$B$16/100)*(5000/(6000+Inputs!$B$43*(1-(100*(1-(1-Inputs!$B$19/100)*(1-CHOOSE(ArtifactsInput!$N$40+1,5,6,7,8,9,10)/100)^(ArtifactsInput!$M$40-ArtifactsInput!$M$40)))/100)))*(1+(Inputs!$B$24+((C2804=TRUE)*(F2804-Calc!F31))+((C2791=TRUE)*(F2791-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13="CRUEL_STAB",Inputs!$B$17+((C2801=TRUE)*(F2801-Calc!F28))+((IF(AND(Inputs!$B$39&lt;&gt;"pvp",Inputs!$B$44=0),1,IF(IF(Inputs!$B$39="pvp",15,Inputs!$B$44)-(B2818)&lt;=0,1,MAX(0,IF(Inputs!$B$39="pvp",15,Inputs!$B$44)-MAX(5,B2818))/(IF(Inputs!$B$39="pvp",15,Inputs!$B$44)-(B2818))))*(IF(AND(ArtifactsInput!$M$42,((Inputs!$B$9+((C2799=TRUE)*(F2799-Calc!F26))+B2807+(ArtifactsInput!$M$24-ArtifactsInput!$M$24)*CHOOSE(ArtifactsInput!$N$24+1,10,12,14,16,18,20)+IF(ArtifactsInput!$M$10,CHOOSE(ArtifactsInput!$N$10+1,15,18,21,24,27,30)*(IF(Inputs!$B$39="pvp",MIN(15,15)/15,IF(AND(Inputs!$B$39&lt;&gt;"pvp",Inputs!$B$44&gt;0),MIN(15,Inputs!$B$44)/(Inputs!$B$44),0))),0)))&gt;=100),MIN(100,((Inputs!$B$9+((C2799=TRUE)*(F2799-Calc!F26))+B2807+(ArtifactsInput!$M$24-ArtifactsInput!$M$24)*CHOOSE(ArtifactsInput!$N$24+1,10,12,14,16,18,20)+IF(ArtifactsInput!$M$10,CHOOSE(ArtifactsInput!$N$10+1,15,18,21,24,27,30)*(IF(Inputs!$B$39="pvp",MIN(15,15)/15,IF(AND(Inputs!$B$39&lt;&gt;"pvp",Inputs!$B$44&gt;0),MIN(15,Inputs!$B$44)/(Inputs!$B$44),0))),0)))-100),0))*CHOOSE(ArtifactsInput!$N$42+1,0.6,0.72,0.84,0.96,1.08,1.2))),Inputs!$B$18+((C2802=TRUE)*(F2802-Calc!F29))+(IF(AND(Inputs!$B$39&lt;&gt;"pvp",Inputs!$B$44=0),1,IF(IF(Inputs!$B$39="pvp",15,Inputs!$B$44)-(B2818)&lt;=0,1,MAX(0,IF(Inputs!$B$39="pvp",15,Inputs!$B$44)-MAX(5,B2818))/(IF(Inputs!$B$39="pvp",15,Inputs!$B$44)-(B2818))))*IF(AND(ArtifactsInput!$M$42,((Inputs!$B$9+((C2799=TRUE)*(F2799-Calc!F26))+B2807+(ArtifactsInput!$M$24-ArtifactsInput!$M$24)*CHOOSE(ArtifactsInput!$N$24+1,10,12,14,16,18,20)+IF(ArtifactsInput!$M$10,CHOOSE(ArtifactsInput!$N$10+1,15,18,21,24,27,30)*(IF(Inputs!$B$39="pvp",MIN(15,15)/15,IF(AND(Inputs!$B$39&lt;&gt;"pvp",Inputs!$B$44&gt;0),MIN(15,Inputs!$B$44)/(Inputs!$B$44),0))),0)))&gt;=100),CHOOSE(ArtifactsInput!$N$42+1,40,48,56,64,72,80),0))))/100)*(((1+(((C2795=TRUE)*F2795*IF(AND(Inputs!$B$39&lt;&gt;"pvp",Inputs!$B$44&gt;0),(((R2795-1)*MIN((Skills!Y22*(1+Inputs!$B$34/100)),(1/Q2795))+MIN((Skills!Y22*(1+Inputs!$B$34/100)),MAX(0,Inputs!$B$44-((R2795-1)*(1/Q2795)))))/Inputs!$B$44),IF(Inputs!$B$39="pvp",MIN((Skills!Y22*(1+Inputs!$B$34/100)),15)/15,MIN(1,(Skills!Y22*(1+Inputs!$B$34/100))/(1/Q2795)))))+((C2776=TRUE)*F2776*3)+((C2778=TRUE)*F2778*(1-EXP(-0.75*B2811*5)))+((C2797=TRUE)*(F2797-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2784=TRUE)*F2784*IF(AND(Inputs!$B$39&lt;&gt;"pvp",Inputs!$B$44&gt;0),(((R2784-1)*MIN((Skills!Y11*(1+Inputs!$B$34/100)),(1/Q2784))+MIN((Skills!Y11*(1+Inputs!$B$34/100)),MAX(0,Inputs!$B$44-((R2784-1)*(1/Q2784)))))/Inputs!$B$44),IF(Inputs!$B$39="pvp",MIN((Skills!Y11*(1+Inputs!$B$34/100)),15)/15,MIN(1,(Skills!Y11*(1+Inputs!$B$34/100))/(1/Q2784)))))/100)*(1+((C2789=TRUE)*F2789*IF(AND(Inputs!$B$39&lt;&gt;"pvp",Inputs!$B$44&gt;0),(((R2789-1)*MIN((Skills!Y16*(1+Inputs!$B$34/100)),(1/Q2789))+MIN((Skills!Y16*(1+Inputs!$B$34/100)),MAX(0,Inputs!$B$44-((R2789-1)*(1/Q2789)))))/Inputs!$B$44),IF(Inputs!$B$39="pvp",MIN((Skills!Y16*(1+Inputs!$B$34/100)),15)/15,MIN(1,(Skills!Y16*(1+Inputs!$B$34/100))/(1/Q2789)))))/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2809*I2786)</f>
        <v/>
      </c>
      <c r="L2786">
        <f>K2786*(MIN(Inputs!$B$22+((C2798=TRUE)*(F2798-Calc!F25)),(Inputs!$B$23+((C2803=TRUE)*(F2803-Calc!F30))+IF(ArtifactsInput!$M$15,CHOOSE(ArtifactsInput!$N$15+1,25,30,35,40,45,50)/100*(Inputs!$B$11-Inputs!$B$11),0)))/100+(Inputs!$B$23+((C2803=TRUE)*(F2803-Calc!F30))+IF(ArtifactsInput!$M$15,CHOOSE(ArtifactsInput!$N$15+1,25,30,35,40,45,50)/100*(Inputs!$B$11-Inputs!$B$11),0))/100)/2</f>
        <v/>
      </c>
      <c r="M2786">
        <f>L2786*(1+(Inputs!$B$10+((C2800=TRUE)*(F2800-Calc!F27))+B2814+(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2786">
        <f>L2786*(1-MIN((Inputs!$B$9+((C2799=TRUE)*(F2799-Calc!F26))+B2807+(ArtifactsInput!$M$24-ArtifactsInput!$M$24)*CHOOSE(ArtifactsInput!$N$24+1,10,12,14,16,18,20)+(IF(AND(Inputs!$B$39&lt;&gt;"pvp",Inputs!$B$44=0),1,IF(IF(Inputs!$B$39="pvp",15,Inputs!$B$44)-(B2818)&lt;=0,1,MAX(0,IF(Inputs!$B$39="pvp",15,Inputs!$B$44)-MAX(5,B2818))/(IF(Inputs!$B$39="pvp",15,Inputs!$B$44)-(B2818))))*IF(AND(ArtifactsInput!$M$42,((Inputs!$B$9+((C2799=TRUE)*(F2799-Calc!F26))+B2807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2786*(MIN((Inputs!$B$9+((C2799=TRUE)*(F2799-Calc!F26))+B2807+(ArtifactsInput!$M$24-ArtifactsInput!$M$24)*CHOOSE(ArtifactsInput!$N$24+1,10,12,14,16,18,20)+(IF(AND(Inputs!$B$39&lt;&gt;"pvp",Inputs!$B$44=0),1,IF(IF(Inputs!$B$39="pvp",15,Inputs!$B$44)-(B2818)&lt;=0,1,MAX(0,IF(Inputs!$B$39="pvp",15,Inputs!$B$44)-MAX(5,B2818))/(IF(Inputs!$B$39="pvp",15,Inputs!$B$44)-(B2818))))*IF(AND(ArtifactsInput!$M$42,((Inputs!$B$9+((C2799=TRUE)*(F2799-Calc!F26))+B2807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786">
        <f>(1-Summary!$B$11)*T2786+Summary!$B$11*V2786</f>
        <v/>
      </c>
      <c r="P2786">
        <f>IF(B2819=0,0,O2786/B2819)</f>
        <v/>
      </c>
      <c r="Q2786">
        <f>IFERROR(1/IF(Inputs!$B$39="pvp",15,MAX(0.1,Skills!D13-IF(TRUE=TRUE,Inputs!$B$32,0))),0)</f>
        <v/>
      </c>
      <c r="R2786">
        <f>IF(AND(Inputs!$B$39&lt;&gt;"pvp",Inputs!$B$44&gt;0),IF(MAX(0,Inputs!$B$44-B2818)&lt;=0,0,(INT(MAX(0,Inputs!$B$44-B2818)/IF(Inputs!$B$39="pvp",15,MAX(0.1,Skills!D13-IF(TRUE=TRUE,Inputs!$B$32,0))))+1)),0)</f>
        <v/>
      </c>
      <c r="S2786">
        <f>IFERROR(O2786/N2786,0)</f>
        <v/>
      </c>
      <c r="T2786">
        <f>IF(C2786,(H2786*N2786*IF(AND(Inputs!$B$39&lt;&gt;"pvp",Inputs!$B$44&gt;0),((Skills!G13*((R2786-1)*IF(Skills!H13&gt;0,Skills!I13/Skills!H13,1)+IF(Skills!H13&gt;0,MIN(Skills!I13,MAX(0,MAX(0,Inputs!$B$44-B2818)-((R2786-1)*IF(Inputs!$B$39="pvp",15,MAX(0.1,Skills!D13-IF(TRUE=TRUE,Inputs!$B$32,0))))))/Skills!H13,1)))/Inputs!$B$44),G2786*Q2786))*IF(Inputs!$B$39="pvp",1,1+(Inputs!$B$20+0+Skills!P13+B2808+(IF(AND(ArtifactsInput!$M$36,IF(Inputs!$B$39="pvp",TRUE,AND(Inputs!$B$39&lt;&gt;"pvp",Inputs!$B$44&gt;0))),MAX(0,MIN(40,IF(Inputs!$B$39="pvp",15,Inputs!$B$44))-MAX(20,IF(Inputs!$B$4="Breakthrough",20,IF(Inputs!$B$4="Hero Dungeon",30,0))))/(IF(Inputs!$B$39="pvp",15,Inputs!$B$44)-IF(Inputs!$B$4="Breakthrough",20,IF(Inputs!$B$4="Hero Dungeon",30,0)))*CHOOSE(ArtifactsInput!$N$36+1,30,36,42,48,54,60),0)+IF(IF(ArtifactsInput!$M$33,FALSE,TRUE),CHOOSE(ArtifactsInput!$N$33+1,10,12,14,16,18,20),0)+(ArtifactsInput!$M$23-ArtifactsInput!$M$23)*CHOOSE(ArtifactsInput!$N$23+1,50,60,70,80,90,100))+(IF(AND(ArtifactsInput!$M$35,Inputs!$B$4&lt;&gt;"Chapter Hunt"),CHOOSE(ArtifactsInput!$N$35+1,15,18,21,24,27,30)*(1-EXP(-(0.2*B2811)*5)),0)+IF(AND(ArtifactsInput!$M$22,Inputs!$B$4&lt;&gt;"Chapter Hunt"),CHOOSE(ArtifactsInput!$N$22+1,10,12,14,16,18,20)*((0*(((0.15*B2811*5))^0/1)+1*(((0.15*B2811*5))^1/1)+2*(((0.15*B2811*5))^2/2)+3*(((0.15*B2811*5))^3/6)+4*(((0.15*B2811*5))^4/24)+5*(((0.15*B2811*5))^5/120))/((((0.15*B2811*5))^0/1)+(((0.15*B2811*5))^1/1)+(((0.15*B2811*5))^2/2)+(((0.15*B2811*5))^3/6)+(((0.15*B2811*5))^4/24)+(((0.15*B2811*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2786*(1-MIN(100,(Inputs!$B$9+((C2799=TRUE)*(F2799-Calc!F26))+B2807+(ArtifactsInput!$M$24-ArtifactsInput!$M$24)*CHOOSE(ArtifactsInput!$N$24+1,10,12,14,16,18,20)+(IF(AND(Inputs!$B$39&lt;&gt;"pvp",Inputs!$B$44=0),1,IF(IF(Inputs!$B$39="pvp",15,Inputs!$B$44)-(B2818)&lt;=0,1,MAX(0,IF(Inputs!$B$39="pvp",15,Inputs!$B$44)-MAX(5,B2818))/(IF(Inputs!$B$39="pvp",15,Inputs!$B$44)-(B2818))))*IF(AND(ArtifactsInput!$M$42,((Inputs!$B$9+((C2799=TRUE)*(F2799-Calc!F26))+B2807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2786*(MIN(100,(Inputs!$B$9+((C2799=TRUE)*(F2799-Calc!F26))+B2807+(ArtifactsInput!$M$24-ArtifactsInput!$M$24)*CHOOSE(ArtifactsInput!$N$24+1,10,12,14,16,18,20)+(IF(AND(Inputs!$B$39&lt;&gt;"pvp",Inputs!$B$44=0),1,IF(IF(Inputs!$B$39="pvp",15,Inputs!$B$44)-(B2818)&lt;=0,1,MAX(0,IF(Inputs!$B$39="pvp",15,Inputs!$B$44)-MAX(5,B2818))/(IF(Inputs!$B$39="pvp",15,Inputs!$B$44)-(B2818))))*IF(AND(ArtifactsInput!$M$42,((Inputs!$B$9+((C2799=TRUE)*(F2799-Calc!F26))+B2807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2786*(1-MIN(100,(Inputs!$B$9+((C2799=TRUE)*(F2799-Calc!F26))+B2807+(ArtifactsInput!$M$24-ArtifactsInput!$M$24)*CHOOSE(ArtifactsInput!$N$24+1,10,12,14,16,18,20)+(IF(AND(Inputs!$B$39&lt;&gt;"pvp",Inputs!$B$44=0),1,IF(IF(Inputs!$B$39="pvp",15,Inputs!$B$44)-(B2818)&lt;=0,1,MAX(0,IF(Inputs!$B$39="pvp",15,Inputs!$B$44)-MAX(5,B2818))/(IF(Inputs!$B$39="pvp",15,Inputs!$B$44)-(B2818))))*IF(AND(ArtifactsInput!$M$42,((Inputs!$B$9+((C2799=TRUE)*(F2799-Calc!F26))+B2807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2786*(MIN(100,(Inputs!$B$9+((C2799=TRUE)*(F2799-Calc!F26))+B2807+(ArtifactsInput!$M$24-ArtifactsInput!$M$24)*CHOOSE(ArtifactsInput!$N$24+1,10,12,14,16,18,20)+(IF(AND(Inputs!$B$39&lt;&gt;"pvp",Inputs!$B$44=0),1,IF(IF(Inputs!$B$39="pvp",15,Inputs!$B$44)-(B2818)&lt;=0,1,MAX(0,IF(Inputs!$B$39="pvp",15,Inputs!$B$44)-MAX(5,B2818))/(IF(Inputs!$B$39="pvp",15,Inputs!$B$44)-(B2818))))*IF(AND(ArtifactsInput!$M$42,((Inputs!$B$9+((C2799=TRUE)*(F2799-Calc!F26))+B2807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786">
        <f>IF(C2786,(H2786*N2786*IF(AND(Inputs!$B$39&lt;&gt;"pvp",Inputs!$B$44&gt;0),((Skills!G13*((R2786-1)*IF(Skills!H13&gt;0,Skills!I13/Skills!H13,1)+IF(Skills!H13&gt;0,MIN(Skills!I13,MAX(0,MAX(0,Inputs!$B$44-B2818)-((R2786-1)*IF(Inputs!$B$39="pvp",15,MAX(0.1,Skills!D13-IF(TRUE=TRUE,Inputs!$B$32,0))))))/Skills!H13,1)))/Inputs!$B$44),G2786*Q2786))*IF(Inputs!$B$39="pvp",1,(1+(Inputs!$B$21+Skills!Q13+B2808+(IF(IF(ArtifactsInput!$M$33,FALSE,TRUE),CHOOSE(ArtifactsInput!$N$33+1,30,36,42,48,54,60),0))+(IF(AND(ArtifactsInput!$M$35,Inputs!$B$4&lt;&gt;"Chapter Hunt"),CHOOSE(ArtifactsInput!$N$35+1,15,18,21,24,27,30)*(1-EXP(-(0.2*B2811)*5)),0)+IF(AND(ArtifactsInput!$M$22,Inputs!$B$4&lt;&gt;"Chapter Hunt"),CHOOSE(ArtifactsInput!$N$22+1,10,12,14,16,18,20)*((0*(((0.15*B2811*5))^0/1)+1*(((0.15*B2811*5))^1/1)+2*(((0.15*B2811*5))^2/2)+3*(((0.15*B2811*5))^3/6)+4*(((0.15*B2811*5))^4/24)+5*(((0.15*B2811*5))^5/120))/((((0.15*B2811*5))^0/1)+(((0.15*B2811*5))^1/1)+(((0.15*B2811*5))^2/2)+(((0.15*B2811*5))^3/6)+(((0.15*B2811*5))^4/24)+(((0.15*B2811*5))^5/120))),0)))/100)*(MIN(Skills!W13,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787">
      <c r="A2787">
        <f>Skills!A14</f>
        <v/>
      </c>
      <c r="B2787">
        <f>Skills!B14</f>
        <v/>
      </c>
      <c r="C2787">
        <f>Inputs!$B$3&gt;=105</f>
        <v/>
      </c>
      <c r="D2787">
        <f>IF(Skills!C14=1,60+Inputs!$B$25+Inputs!$B$29,IF(Skills!C14=2,90+Inputs!$B$26+Inputs!$B$29,IF(Skills!C14=3,120+Inputs!$B$27+Inputs!$B$29,MAX(0,(Inputs!$B$3-100)*3)+Inputs!$B$28+Inputs!$B$29)))</f>
        <v/>
      </c>
      <c r="E2787">
        <f>INDEX(FactorTable!$B$2:$Y$301, MATCH(ROUND(MIN(300,MAX(1,D2787)),0), FactorTable!$A$2:$A$301,0), Skills!M14+1)</f>
        <v/>
      </c>
      <c r="F2787">
        <f>IF(Skills!N14=TRUE,(Skills!L14/10)*(E2787/1000),Skills!L14/10)+Skills!O14</f>
        <v/>
      </c>
      <c r="G2787">
        <f>Skills!G14*IF(Skills!H14&gt;0,IF(Inputs!$B$39="pvp",MIN(Skills!I14,15),Skills!I14)/Skills!H14,1)</f>
        <v/>
      </c>
      <c r="H2787">
        <f>1-(1-Skills!J14/100)^Skills!K14</f>
        <v/>
      </c>
      <c r="I2787" t="inlineStr">
        <is>
          <t>1</t>
        </is>
      </c>
      <c r="J2787">
        <f>((Inputs!$B$6*(1+Inputs!$B$7/100))+(((Inputs!$B$12*(1+Inputs!$B$13/100))-(Inputs!$B$12*(1+Inputs!$B$13/100)))+0.25*(Inputs!$B$14-Inputs!$B$14))*(1+Inputs!$B$7/100))*(F2787/100)</f>
        <v/>
      </c>
      <c r="K2787">
        <f>J2787*(1+((Inputs!$B$12*(1+Inputs!$B$13/100))*0.01+Inputs!$B$14*0.0025)/100)*(1+Inputs!$B$15/100)*(1+Inputs!$B$16/100)*(5000/(6000+Inputs!$B$43*(1-(100*(1-(1-Inputs!$B$19/100)*(1-CHOOSE(ArtifactsInput!$N$40+1,5,6,7,8,9,10)/100)^(ArtifactsInput!$M$40-ArtifactsInput!$M$40)))/100)))*(1+(Inputs!$B$24+((C2804=TRUE)*(F2804-Calc!F31))+((C2791=TRUE)*(F2791-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14="CRUEL_STAB",Inputs!$B$17+((C2801=TRUE)*(F2801-Calc!F28))+((IF(AND(Inputs!$B$39&lt;&gt;"pvp",Inputs!$B$44=0),1,IF(IF(Inputs!$B$39="pvp",15,Inputs!$B$44)-(B2818)&lt;=0,1,MAX(0,IF(Inputs!$B$39="pvp",15,Inputs!$B$44)-MAX(5,B2818))/(IF(Inputs!$B$39="pvp",15,Inputs!$B$44)-(B2818))))*(IF(AND(ArtifactsInput!$M$42,((Inputs!$B$9+((C2799=TRUE)*(F2799-Calc!F26))+B2807+(ArtifactsInput!$M$24-ArtifactsInput!$M$24)*CHOOSE(ArtifactsInput!$N$24+1,10,12,14,16,18,20)+IF(ArtifactsInput!$M$10,CHOOSE(ArtifactsInput!$N$10+1,15,18,21,24,27,30)*(IF(Inputs!$B$39="pvp",MIN(15,15)/15,IF(AND(Inputs!$B$39&lt;&gt;"pvp",Inputs!$B$44&gt;0),MIN(15,Inputs!$B$44)/(Inputs!$B$44),0))),0)))&gt;=100),MIN(100,((Inputs!$B$9+((C2799=TRUE)*(F2799-Calc!F26))+B2807+(ArtifactsInput!$M$24-ArtifactsInput!$M$24)*CHOOSE(ArtifactsInput!$N$24+1,10,12,14,16,18,20)+IF(ArtifactsInput!$M$10,CHOOSE(ArtifactsInput!$N$10+1,15,18,21,24,27,30)*(IF(Inputs!$B$39="pvp",MIN(15,15)/15,IF(AND(Inputs!$B$39&lt;&gt;"pvp",Inputs!$B$44&gt;0),MIN(15,Inputs!$B$44)/(Inputs!$B$44),0))),0)))-100),0))*CHOOSE(ArtifactsInput!$N$42+1,0.6,0.72,0.84,0.96,1.08,1.2))),Inputs!$B$18+((C2802=TRUE)*(F2802-Calc!F29))+(IF(AND(Inputs!$B$39&lt;&gt;"pvp",Inputs!$B$44=0),1,IF(IF(Inputs!$B$39="pvp",15,Inputs!$B$44)-(B2818)&lt;=0,1,MAX(0,IF(Inputs!$B$39="pvp",15,Inputs!$B$44)-MAX(5,B2818))/(IF(Inputs!$B$39="pvp",15,Inputs!$B$44)-(B2818))))*IF(AND(ArtifactsInput!$M$42,((Inputs!$B$9+((C2799=TRUE)*(F2799-Calc!F26))+B2807+(ArtifactsInput!$M$24-ArtifactsInput!$M$24)*CHOOSE(ArtifactsInput!$N$24+1,10,12,14,16,18,20)+IF(ArtifactsInput!$M$10,CHOOSE(ArtifactsInput!$N$10+1,15,18,21,24,27,30)*(IF(Inputs!$B$39="pvp",MIN(15,15)/15,IF(AND(Inputs!$B$39&lt;&gt;"pvp",Inputs!$B$44&gt;0),MIN(15,Inputs!$B$44)/(Inputs!$B$44),0))),0)))&gt;=100),CHOOSE(ArtifactsInput!$N$42+1,40,48,56,64,72,80),0))))/100)*(((1+(((C2795=TRUE)*F2795*IF(AND(Inputs!$B$39&lt;&gt;"pvp",Inputs!$B$44&gt;0),(((R2795-1)*MIN((Skills!Y22*(1+Inputs!$B$34/100)),(1/Q2795))+MIN((Skills!Y22*(1+Inputs!$B$34/100)),MAX(0,Inputs!$B$44-((R2795-1)*(1/Q2795)))))/Inputs!$B$44),IF(Inputs!$B$39="pvp",MIN((Skills!Y22*(1+Inputs!$B$34/100)),15)/15,MIN(1,(Skills!Y22*(1+Inputs!$B$34/100))/(1/Q2795)))))+((C2776=TRUE)*F2776*3)+((C2778=TRUE)*F2778*(1-EXP(-0.75*B2811*5)))+((C2797=TRUE)*(F2797-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2784=TRUE)*F2784*IF(AND(Inputs!$B$39&lt;&gt;"pvp",Inputs!$B$44&gt;0),(((R2784-1)*MIN((Skills!Y11*(1+Inputs!$B$34/100)),(1/Q2784))+MIN((Skills!Y11*(1+Inputs!$B$34/100)),MAX(0,Inputs!$B$44-((R2784-1)*(1/Q2784)))))/Inputs!$B$44),IF(Inputs!$B$39="pvp",MIN((Skills!Y11*(1+Inputs!$B$34/100)),15)/15,MIN(1,(Skills!Y11*(1+Inputs!$B$34/100))/(1/Q2784)))))/100)*(1+((C2789=TRUE)*F2789*IF(AND(Inputs!$B$39&lt;&gt;"pvp",Inputs!$B$44&gt;0),(((R2789-1)*MIN((Skills!Y16*(1+Inputs!$B$34/100)),(1/Q2789))+MIN((Skills!Y16*(1+Inputs!$B$34/100)),MAX(0,Inputs!$B$44-((R2789-1)*(1/Q2789)))))/Inputs!$B$44),IF(Inputs!$B$39="pvp",MIN((Skills!Y16*(1+Inputs!$B$34/100)),15)/15,MIN(1,(Skills!Y16*(1+Inputs!$B$34/100))/(1/Q2789)))))/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2809*I2787)</f>
        <v/>
      </c>
      <c r="L2787">
        <f>K2787*(MIN(Inputs!$B$22+((C2798=TRUE)*(F2798-Calc!F25)),(Inputs!$B$23+((C2803=TRUE)*(F2803-Calc!F30))+IF(ArtifactsInput!$M$15,CHOOSE(ArtifactsInput!$N$15+1,25,30,35,40,45,50)/100*(Inputs!$B$11-Inputs!$B$11),0)))/100+(Inputs!$B$23+((C2803=TRUE)*(F2803-Calc!F30))+IF(ArtifactsInput!$M$15,CHOOSE(ArtifactsInput!$N$15+1,25,30,35,40,45,50)/100*(Inputs!$B$11-Inputs!$B$11),0))/100)/2</f>
        <v/>
      </c>
      <c r="M2787">
        <f>L2787*(1+(Inputs!$B$10+((C2800=TRUE)*(F2800-Calc!F27))+B2814+(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2787">
        <f>L2787*(1-MIN((Inputs!$B$9+((C2799=TRUE)*(F2799-Calc!F26))+B2807+(ArtifactsInput!$M$24-ArtifactsInput!$M$24)*CHOOSE(ArtifactsInput!$N$24+1,10,12,14,16,18,20)+(IF(AND(Inputs!$B$39&lt;&gt;"pvp",Inputs!$B$44=0),1,IF(IF(Inputs!$B$39="pvp",15,Inputs!$B$44)-(B2818)&lt;=0,1,MAX(0,IF(Inputs!$B$39="pvp",15,Inputs!$B$44)-MAX(5,B2818))/(IF(Inputs!$B$39="pvp",15,Inputs!$B$44)-(B2818))))*IF(AND(ArtifactsInput!$M$42,((Inputs!$B$9+((C2799=TRUE)*(F2799-Calc!F26))+B2807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2787*(MIN((Inputs!$B$9+((C2799=TRUE)*(F2799-Calc!F26))+B2807+(ArtifactsInput!$M$24-ArtifactsInput!$M$24)*CHOOSE(ArtifactsInput!$N$24+1,10,12,14,16,18,20)+(IF(AND(Inputs!$B$39&lt;&gt;"pvp",Inputs!$B$44=0),1,IF(IF(Inputs!$B$39="pvp",15,Inputs!$B$44)-(B2818)&lt;=0,1,MAX(0,IF(Inputs!$B$39="pvp",15,Inputs!$B$44)-MAX(5,B2818))/(IF(Inputs!$B$39="pvp",15,Inputs!$B$44)-(B2818))))*IF(AND(ArtifactsInput!$M$42,((Inputs!$B$9+((C2799=TRUE)*(F2799-Calc!F26))+B2807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787">
        <f>(1-Summary!$B$11)*T2787+Summary!$B$11*V2787</f>
        <v/>
      </c>
      <c r="P2787">
        <f>IF(B2819=0,0,O2787/B2819)</f>
        <v/>
      </c>
      <c r="Q2787">
        <f>IFERROR(1/IF(Inputs!$B$39="pvp",15,MAX(0.1,Skills!D14-IF(TRUE=TRUE,Inputs!$B$32,0))),0)</f>
        <v/>
      </c>
      <c r="R2787">
        <f>IF(AND(Inputs!$B$39&lt;&gt;"pvp",Inputs!$B$44&gt;0),IF(MAX(0,Inputs!$B$44-B2818)&lt;=0,0,(INT(MAX(0,Inputs!$B$44-B2818)/IF(Inputs!$B$39="pvp",15,MAX(0.1,Skills!D14-IF(TRUE=TRUE,Inputs!$B$32,0))))+1)),0)</f>
        <v/>
      </c>
      <c r="S2787">
        <f>IFERROR(O2787/N2787,0)</f>
        <v/>
      </c>
      <c r="T2787">
        <f>IF(C2787,(H2787*N2787*IF(AND(Inputs!$B$39&lt;&gt;"pvp",Inputs!$B$44&gt;0),((Skills!G14*((R2787-1)*IF(Skills!H14&gt;0,Skills!I14/Skills!H14,1)+IF(Skills!H14&gt;0,MIN(Skills!I14,MAX(0,MAX(0,Inputs!$B$44-B2818)-((R2787-1)*IF(Inputs!$B$39="pvp",15,MAX(0.1,Skills!D14-IF(TRUE=TRUE,Inputs!$B$32,0))))))/Skills!H14,1)))/Inputs!$B$44),G2787*Q2787))*IF(Inputs!$B$39="pvp",1,1+(Inputs!$B$20+0+Skills!P14+B2808+(IF(AND(ArtifactsInput!$M$36,IF(Inputs!$B$39="pvp",TRUE,AND(Inputs!$B$39&lt;&gt;"pvp",Inputs!$B$44&gt;0))),MAX(0,MIN(40,IF(Inputs!$B$39="pvp",15,Inputs!$B$44))-MAX(20,IF(Inputs!$B$4="Breakthrough",20,IF(Inputs!$B$4="Hero Dungeon",30,0))))/(IF(Inputs!$B$39="pvp",15,Inputs!$B$44)-IF(Inputs!$B$4="Breakthrough",20,IF(Inputs!$B$4="Hero Dungeon",30,0)))*CHOOSE(ArtifactsInput!$N$36+1,30,36,42,48,54,60),0)+IF(IF(ArtifactsInput!$M$33,FALSE,TRUE),CHOOSE(ArtifactsInput!$N$33+1,10,12,14,16,18,20),0)+(ArtifactsInput!$M$23-ArtifactsInput!$M$23)*CHOOSE(ArtifactsInput!$N$23+1,50,60,70,80,90,100))+(IF(AND(ArtifactsInput!$M$35,Inputs!$B$4&lt;&gt;"Chapter Hunt"),CHOOSE(ArtifactsInput!$N$35+1,15,18,21,24,27,30)*(1-EXP(-(0.2*B2811)*5)),0)+IF(AND(ArtifactsInput!$M$22,Inputs!$B$4&lt;&gt;"Chapter Hunt"),CHOOSE(ArtifactsInput!$N$22+1,10,12,14,16,18,20)*((0*(((0.15*B2811*5))^0/1)+1*(((0.15*B2811*5))^1/1)+2*(((0.15*B2811*5))^2/2)+3*(((0.15*B2811*5))^3/6)+4*(((0.15*B2811*5))^4/24)+5*(((0.15*B2811*5))^5/120))/((((0.15*B2811*5))^0/1)+(((0.15*B2811*5))^1/1)+(((0.15*B2811*5))^2/2)+(((0.15*B2811*5))^3/6)+(((0.15*B2811*5))^4/24)+(((0.15*B2811*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2787*(1-MIN(100,(Inputs!$B$9+((C2799=TRUE)*(F2799-Calc!F26))+B2807+(ArtifactsInput!$M$24-ArtifactsInput!$M$24)*CHOOSE(ArtifactsInput!$N$24+1,10,12,14,16,18,20)+(IF(AND(Inputs!$B$39&lt;&gt;"pvp",Inputs!$B$44=0),1,IF(IF(Inputs!$B$39="pvp",15,Inputs!$B$44)-(B2818)&lt;=0,1,MAX(0,IF(Inputs!$B$39="pvp",15,Inputs!$B$44)-MAX(5,B2818))/(IF(Inputs!$B$39="pvp",15,Inputs!$B$44)-(B2818))))*IF(AND(ArtifactsInput!$M$42,((Inputs!$B$9+((C2799=TRUE)*(F2799-Calc!F26))+B2807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2787*(MIN(100,(Inputs!$B$9+((C2799=TRUE)*(F2799-Calc!F26))+B2807+(ArtifactsInput!$M$24-ArtifactsInput!$M$24)*CHOOSE(ArtifactsInput!$N$24+1,10,12,14,16,18,20)+(IF(AND(Inputs!$B$39&lt;&gt;"pvp",Inputs!$B$44=0),1,IF(IF(Inputs!$B$39="pvp",15,Inputs!$B$44)-(B2818)&lt;=0,1,MAX(0,IF(Inputs!$B$39="pvp",15,Inputs!$B$44)-MAX(5,B2818))/(IF(Inputs!$B$39="pvp",15,Inputs!$B$44)-(B2818))))*IF(AND(ArtifactsInput!$M$42,((Inputs!$B$9+((C2799=TRUE)*(F2799-Calc!F26))+B2807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2787*(1-MIN(100,(Inputs!$B$9+((C2799=TRUE)*(F2799-Calc!F26))+B2807+(ArtifactsInput!$M$24-ArtifactsInput!$M$24)*CHOOSE(ArtifactsInput!$N$24+1,10,12,14,16,18,20)+(IF(AND(Inputs!$B$39&lt;&gt;"pvp",Inputs!$B$44=0),1,IF(IF(Inputs!$B$39="pvp",15,Inputs!$B$44)-(B2818)&lt;=0,1,MAX(0,IF(Inputs!$B$39="pvp",15,Inputs!$B$44)-MAX(5,B2818))/(IF(Inputs!$B$39="pvp",15,Inputs!$B$44)-(B2818))))*IF(AND(ArtifactsInput!$M$42,((Inputs!$B$9+((C2799=TRUE)*(F2799-Calc!F26))+B2807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2787*(MIN(100,(Inputs!$B$9+((C2799=TRUE)*(F2799-Calc!F26))+B2807+(ArtifactsInput!$M$24-ArtifactsInput!$M$24)*CHOOSE(ArtifactsInput!$N$24+1,10,12,14,16,18,20)+(IF(AND(Inputs!$B$39&lt;&gt;"pvp",Inputs!$B$44=0),1,IF(IF(Inputs!$B$39="pvp",15,Inputs!$B$44)-(B2818)&lt;=0,1,MAX(0,IF(Inputs!$B$39="pvp",15,Inputs!$B$44)-MAX(5,B2818))/(IF(Inputs!$B$39="pvp",15,Inputs!$B$44)-(B2818))))*IF(AND(ArtifactsInput!$M$42,((Inputs!$B$9+((C2799=TRUE)*(F2799-Calc!F26))+B2807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787">
        <f>IF(C2787,(H2787*N2787*IF(AND(Inputs!$B$39&lt;&gt;"pvp",Inputs!$B$44&gt;0),((Skills!G14*((R2787-1)*IF(Skills!H14&gt;0,Skills!I14/Skills!H14,1)+IF(Skills!H14&gt;0,MIN(Skills!I14,MAX(0,MAX(0,Inputs!$B$44-B2818)-((R2787-1)*IF(Inputs!$B$39="pvp",15,MAX(0.1,Skills!D14-IF(TRUE=TRUE,Inputs!$B$32,0))))))/Skills!H14,1)))/Inputs!$B$44),G2787*Q2787))*IF(Inputs!$B$39="pvp",1,(1+(Inputs!$B$21+Skills!Q14+B2808+(IF(IF(ArtifactsInput!$M$33,FALSE,TRUE),CHOOSE(ArtifactsInput!$N$33+1,30,36,42,48,54,60),0))+(IF(AND(ArtifactsInput!$M$35,Inputs!$B$4&lt;&gt;"Chapter Hunt"),CHOOSE(ArtifactsInput!$N$35+1,15,18,21,24,27,30)*(1-EXP(-(0.2*B2811)*5)),0)+IF(AND(ArtifactsInput!$M$22,Inputs!$B$4&lt;&gt;"Chapter Hunt"),CHOOSE(ArtifactsInput!$N$22+1,10,12,14,16,18,20)*((0*(((0.15*B2811*5))^0/1)+1*(((0.15*B2811*5))^1/1)+2*(((0.15*B2811*5))^2/2)+3*(((0.15*B2811*5))^3/6)+4*(((0.15*B2811*5))^4/24)+5*(((0.15*B2811*5))^5/120))/((((0.15*B2811*5))^0/1)+(((0.15*B2811*5))^1/1)+(((0.15*B2811*5))^2/2)+(((0.15*B2811*5))^3/6)+(((0.15*B2811*5))^4/24)+(((0.15*B2811*5))^5/120))),0)))/100)*(MIN(Skills!W14,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788">
      <c r="A2788">
        <f>Skills!A15</f>
        <v/>
      </c>
      <c r="B2788">
        <f>Skills!B15</f>
        <v/>
      </c>
      <c r="C2788">
        <f>Inputs!$B$3&gt;=107</f>
        <v/>
      </c>
      <c r="D2788">
        <f>IF(Skills!C15=1,60+Inputs!$B$25+Inputs!$B$29,IF(Skills!C15=2,90+Inputs!$B$26+Inputs!$B$29,IF(Skills!C15=3,120+Inputs!$B$27+Inputs!$B$29,MAX(0,(Inputs!$B$3-100)*3)+Inputs!$B$28+Inputs!$B$29)))</f>
        <v/>
      </c>
      <c r="E2788">
        <f>INDEX(FactorTable!$B$2:$Y$301, MATCH(ROUND(MIN(300,MAX(1,D2788)),0), FactorTable!$A$2:$A$301,0), Skills!M15+1)</f>
        <v/>
      </c>
      <c r="F2788">
        <f>IF(Skills!N15=TRUE,(Skills!L15/10)*(E2788/1000),Skills!L15/10)+Skills!O15</f>
        <v/>
      </c>
      <c r="G2788">
        <f>Skills!G15*IF(Skills!H15&gt;0,IF(Inputs!$B$39="pvp",MIN(Skills!I15,15),Skills!I15)/Skills!H15,1)</f>
        <v/>
      </c>
      <c r="H2788">
        <f>1-(1-Skills!J15/100)^Skills!K15</f>
        <v/>
      </c>
      <c r="I2788" t="inlineStr">
        <is>
          <t>1</t>
        </is>
      </c>
      <c r="J2788">
        <f>((Inputs!$B$6*(1+Inputs!$B$7/100))+(((Inputs!$B$12*(1+Inputs!$B$13/100))-(Inputs!$B$12*(1+Inputs!$B$13/100)))+0.25*(Inputs!$B$14-Inputs!$B$14))*(1+Inputs!$B$7/100))*(F2788/100)</f>
        <v/>
      </c>
      <c r="K2788">
        <f>J2788*(1+((Inputs!$B$12*(1+Inputs!$B$13/100))*0.01+Inputs!$B$14*0.0025)/100)*(1+Inputs!$B$15/100)*(1+Inputs!$B$16/100)*(5000/(6000+Inputs!$B$43*(1-(100*(1-(1-Inputs!$B$19/100)*(1-CHOOSE(ArtifactsInput!$N$40+1,5,6,7,8,9,10)/100)^(ArtifactsInput!$M$40-ArtifactsInput!$M$40)))/100)))*(1+(Inputs!$B$24+((C2804=TRUE)*(F2804-Calc!F31))+((C2791=TRUE)*(F2791-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15="CRUEL_STAB",Inputs!$B$17+((C2801=TRUE)*(F2801-Calc!F28))+((IF(AND(Inputs!$B$39&lt;&gt;"pvp",Inputs!$B$44=0),1,IF(IF(Inputs!$B$39="pvp",15,Inputs!$B$44)-(B2818)&lt;=0,1,MAX(0,IF(Inputs!$B$39="pvp",15,Inputs!$B$44)-MAX(5,B2818))/(IF(Inputs!$B$39="pvp",15,Inputs!$B$44)-(B2818))))*(IF(AND(ArtifactsInput!$M$42,((Inputs!$B$9+((C2799=TRUE)*(F2799-Calc!F26))+B2807+(ArtifactsInput!$M$24-ArtifactsInput!$M$24)*CHOOSE(ArtifactsInput!$N$24+1,10,12,14,16,18,20)+IF(ArtifactsInput!$M$10,CHOOSE(ArtifactsInput!$N$10+1,15,18,21,24,27,30)*(IF(Inputs!$B$39="pvp",MIN(15,15)/15,IF(AND(Inputs!$B$39&lt;&gt;"pvp",Inputs!$B$44&gt;0),MIN(15,Inputs!$B$44)/(Inputs!$B$44),0))),0)))&gt;=100),MIN(100,((Inputs!$B$9+((C2799=TRUE)*(F2799-Calc!F26))+B2807+(ArtifactsInput!$M$24-ArtifactsInput!$M$24)*CHOOSE(ArtifactsInput!$N$24+1,10,12,14,16,18,20)+IF(ArtifactsInput!$M$10,CHOOSE(ArtifactsInput!$N$10+1,15,18,21,24,27,30)*(IF(Inputs!$B$39="pvp",MIN(15,15)/15,IF(AND(Inputs!$B$39&lt;&gt;"pvp",Inputs!$B$44&gt;0),MIN(15,Inputs!$B$44)/(Inputs!$B$44),0))),0)))-100),0))*CHOOSE(ArtifactsInput!$N$42+1,0.6,0.72,0.84,0.96,1.08,1.2))),Inputs!$B$18+((C2802=TRUE)*(F2802-Calc!F29))+(IF(AND(Inputs!$B$39&lt;&gt;"pvp",Inputs!$B$44=0),1,IF(IF(Inputs!$B$39="pvp",15,Inputs!$B$44)-(B2818)&lt;=0,1,MAX(0,IF(Inputs!$B$39="pvp",15,Inputs!$B$44)-MAX(5,B2818))/(IF(Inputs!$B$39="pvp",15,Inputs!$B$44)-(B2818))))*IF(AND(ArtifactsInput!$M$42,((Inputs!$B$9+((C2799=TRUE)*(F2799-Calc!F26))+B2807+(ArtifactsInput!$M$24-ArtifactsInput!$M$24)*CHOOSE(ArtifactsInput!$N$24+1,10,12,14,16,18,20)+IF(ArtifactsInput!$M$10,CHOOSE(ArtifactsInput!$N$10+1,15,18,21,24,27,30)*(IF(Inputs!$B$39="pvp",MIN(15,15)/15,IF(AND(Inputs!$B$39&lt;&gt;"pvp",Inputs!$B$44&gt;0),MIN(15,Inputs!$B$44)/(Inputs!$B$44),0))),0)))&gt;=100),CHOOSE(ArtifactsInput!$N$42+1,40,48,56,64,72,80),0))))/100)*(((1+(((C2795=TRUE)*F2795*IF(AND(Inputs!$B$39&lt;&gt;"pvp",Inputs!$B$44&gt;0),(((R2795-1)*MIN((Skills!Y22*(1+Inputs!$B$34/100)),(1/Q2795))+MIN((Skills!Y22*(1+Inputs!$B$34/100)),MAX(0,Inputs!$B$44-((R2795-1)*(1/Q2795)))))/Inputs!$B$44),IF(Inputs!$B$39="pvp",MIN((Skills!Y22*(1+Inputs!$B$34/100)),15)/15,MIN(1,(Skills!Y22*(1+Inputs!$B$34/100))/(1/Q2795)))))+((C2776=TRUE)*F2776*3)+((C2778=TRUE)*F2778*(1-EXP(-0.75*B2811*5)))+((C2797=TRUE)*(F2797-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2784=TRUE)*F2784*IF(AND(Inputs!$B$39&lt;&gt;"pvp",Inputs!$B$44&gt;0),(((R2784-1)*MIN((Skills!Y11*(1+Inputs!$B$34/100)),(1/Q2784))+MIN((Skills!Y11*(1+Inputs!$B$34/100)),MAX(0,Inputs!$B$44-((R2784-1)*(1/Q2784)))))/Inputs!$B$44),IF(Inputs!$B$39="pvp",MIN((Skills!Y11*(1+Inputs!$B$34/100)),15)/15,MIN(1,(Skills!Y11*(1+Inputs!$B$34/100))/(1/Q2784)))))/100)*(1+((C2789=TRUE)*F2789*IF(AND(Inputs!$B$39&lt;&gt;"pvp",Inputs!$B$44&gt;0),(((R2789-1)*MIN((Skills!Y16*(1+Inputs!$B$34/100)),(1/Q2789))+MIN((Skills!Y16*(1+Inputs!$B$34/100)),MAX(0,Inputs!$B$44-((R2789-1)*(1/Q2789)))))/Inputs!$B$44),IF(Inputs!$B$39="pvp",MIN((Skills!Y16*(1+Inputs!$B$34/100)),15)/15,MIN(1,(Skills!Y16*(1+Inputs!$B$34/100))/(1/Q2789)))))/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2809*I2788)</f>
        <v/>
      </c>
      <c r="L2788">
        <f>K2788*(MIN(Inputs!$B$22+((C2798=TRUE)*(F2798-Calc!F25)),(Inputs!$B$23+((C2803=TRUE)*(F2803-Calc!F30))+IF(ArtifactsInput!$M$15,CHOOSE(ArtifactsInput!$N$15+1,25,30,35,40,45,50)/100*(Inputs!$B$11-Inputs!$B$11),0)))/100+(Inputs!$B$23+((C2803=TRUE)*(F2803-Calc!F30))+IF(ArtifactsInput!$M$15,CHOOSE(ArtifactsInput!$N$15+1,25,30,35,40,45,50)/100*(Inputs!$B$11-Inputs!$B$11),0))/100)/2</f>
        <v/>
      </c>
      <c r="M2788">
        <f>L2788*(1+(Inputs!$B$10+((C2800=TRUE)*(F2800-Calc!F27))+B2814+(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2788">
        <f>L2788*(1-MIN((Inputs!$B$9+((C2799=TRUE)*(F2799-Calc!F26))+B2807+(ArtifactsInput!$M$24-ArtifactsInput!$M$24)*CHOOSE(ArtifactsInput!$N$24+1,10,12,14,16,18,20)+(IF(AND(Inputs!$B$39&lt;&gt;"pvp",Inputs!$B$44=0),1,IF(IF(Inputs!$B$39="pvp",15,Inputs!$B$44)-(B2818)&lt;=0,1,MAX(0,IF(Inputs!$B$39="pvp",15,Inputs!$B$44)-MAX(5,B2818))/(IF(Inputs!$B$39="pvp",15,Inputs!$B$44)-(B2818))))*IF(AND(ArtifactsInput!$M$42,((Inputs!$B$9+((C2799=TRUE)*(F2799-Calc!F26))+B2807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2788*(MIN((Inputs!$B$9+((C2799=TRUE)*(F2799-Calc!F26))+B2807+(ArtifactsInput!$M$24-ArtifactsInput!$M$24)*CHOOSE(ArtifactsInput!$N$24+1,10,12,14,16,18,20)+(IF(AND(Inputs!$B$39&lt;&gt;"pvp",Inputs!$B$44=0),1,IF(IF(Inputs!$B$39="pvp",15,Inputs!$B$44)-(B2818)&lt;=0,1,MAX(0,IF(Inputs!$B$39="pvp",15,Inputs!$B$44)-MAX(5,B2818))/(IF(Inputs!$B$39="pvp",15,Inputs!$B$44)-(B2818))))*IF(AND(ArtifactsInput!$M$42,((Inputs!$B$9+((C2799=TRUE)*(F2799-Calc!F26))+B2807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788">
        <f>(1-Summary!$B$11)*T2788+Summary!$B$11*V2788</f>
        <v/>
      </c>
      <c r="P2788">
        <f>IF(B2819=0,0,O2788/B2819)</f>
        <v/>
      </c>
      <c r="Q2788">
        <f>IFERROR(1/IF(Inputs!$B$39="pvp",15,MAX(0.1,Skills!D15-IF(TRUE=TRUE,Inputs!$B$32,0))),0)</f>
        <v/>
      </c>
      <c r="R2788">
        <f>IF(AND(Inputs!$B$39&lt;&gt;"pvp",Inputs!$B$44&gt;0),IF(MAX(0,Inputs!$B$44-B2818)&lt;=0,0,(INT(MAX(0,Inputs!$B$44-B2818)/IF(Inputs!$B$39="pvp",15,MAX(0.1,Skills!D15-IF(TRUE=TRUE,Inputs!$B$32,0))))+1)),0)</f>
        <v/>
      </c>
      <c r="S2788">
        <f>IFERROR(O2788/N2788,0)</f>
        <v/>
      </c>
      <c r="T2788">
        <f>IF(C2788,(H2788*N2788*IF(AND(Inputs!$B$39&lt;&gt;"pvp",Inputs!$B$44&gt;0),((Skills!G15*((R2788-1)*IF(Skills!H15&gt;0,Skills!I15/Skills!H15,1)+IF(Skills!H15&gt;0,MIN(Skills!I15,MAX(0,MAX(0,Inputs!$B$44-B2818)-((R2788-1)*IF(Inputs!$B$39="pvp",15,MAX(0.1,Skills!D15-IF(TRUE=TRUE,Inputs!$B$32,0))))))/Skills!H15,1)))/Inputs!$B$44),G2788*Q2788))*IF(Inputs!$B$39="pvp",1,1+(Inputs!$B$20+0+Skills!P15+B2808+(IF(AND(ArtifactsInput!$M$36,IF(Inputs!$B$39="pvp",TRUE,AND(Inputs!$B$39&lt;&gt;"pvp",Inputs!$B$44&gt;0))),MAX(0,MIN(40,IF(Inputs!$B$39="pvp",15,Inputs!$B$44))-MAX(20,IF(Inputs!$B$4="Breakthrough",20,IF(Inputs!$B$4="Hero Dungeon",30,0))))/(IF(Inputs!$B$39="pvp",15,Inputs!$B$44)-IF(Inputs!$B$4="Breakthrough",20,IF(Inputs!$B$4="Hero Dungeon",30,0)))*CHOOSE(ArtifactsInput!$N$36+1,30,36,42,48,54,60),0)+IF(IF(ArtifactsInput!$M$33,FALSE,TRUE),CHOOSE(ArtifactsInput!$N$33+1,10,12,14,16,18,20),0)+(ArtifactsInput!$M$23-ArtifactsInput!$M$23)*CHOOSE(ArtifactsInput!$N$23+1,50,60,70,80,90,100))+(IF(AND(ArtifactsInput!$M$35,Inputs!$B$4&lt;&gt;"Chapter Hunt"),CHOOSE(ArtifactsInput!$N$35+1,15,18,21,24,27,30)*(1-EXP(-(0.2*B2811)*5)),0)+IF(AND(ArtifactsInput!$M$22,Inputs!$B$4&lt;&gt;"Chapter Hunt"),CHOOSE(ArtifactsInput!$N$22+1,10,12,14,16,18,20)*((0*(((0.15*B2811*5))^0/1)+1*(((0.15*B2811*5))^1/1)+2*(((0.15*B2811*5))^2/2)+3*(((0.15*B2811*5))^3/6)+4*(((0.15*B2811*5))^4/24)+5*(((0.15*B2811*5))^5/120))/((((0.15*B2811*5))^0/1)+(((0.15*B2811*5))^1/1)+(((0.15*B2811*5))^2/2)+(((0.15*B2811*5))^3/6)+(((0.15*B2811*5))^4/24)+(((0.15*B2811*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2788*(1-MIN(100,(Inputs!$B$9+((C2799=TRUE)*(F2799-Calc!F26))+B2807+(ArtifactsInput!$M$24-ArtifactsInput!$M$24)*CHOOSE(ArtifactsInput!$N$24+1,10,12,14,16,18,20)+(IF(AND(Inputs!$B$39&lt;&gt;"pvp",Inputs!$B$44=0),1,IF(IF(Inputs!$B$39="pvp",15,Inputs!$B$44)-(B2818)&lt;=0,1,MAX(0,IF(Inputs!$B$39="pvp",15,Inputs!$B$44)-MAX(5,B2818))/(IF(Inputs!$B$39="pvp",15,Inputs!$B$44)-(B2818))))*IF(AND(ArtifactsInput!$M$42,((Inputs!$B$9+((C2799=TRUE)*(F2799-Calc!F26))+B2807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2788*(MIN(100,(Inputs!$B$9+((C2799=TRUE)*(F2799-Calc!F26))+B2807+(ArtifactsInput!$M$24-ArtifactsInput!$M$24)*CHOOSE(ArtifactsInput!$N$24+1,10,12,14,16,18,20)+(IF(AND(Inputs!$B$39&lt;&gt;"pvp",Inputs!$B$44=0),1,IF(IF(Inputs!$B$39="pvp",15,Inputs!$B$44)-(B2818)&lt;=0,1,MAX(0,IF(Inputs!$B$39="pvp",15,Inputs!$B$44)-MAX(5,B2818))/(IF(Inputs!$B$39="pvp",15,Inputs!$B$44)-(B2818))))*IF(AND(ArtifactsInput!$M$42,((Inputs!$B$9+((C2799=TRUE)*(F2799-Calc!F26))+B2807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2788*(1-MIN(100,(Inputs!$B$9+((C2799=TRUE)*(F2799-Calc!F26))+B2807+(ArtifactsInput!$M$24-ArtifactsInput!$M$24)*CHOOSE(ArtifactsInput!$N$24+1,10,12,14,16,18,20)+(IF(AND(Inputs!$B$39&lt;&gt;"pvp",Inputs!$B$44=0),1,IF(IF(Inputs!$B$39="pvp",15,Inputs!$B$44)-(B2818)&lt;=0,1,MAX(0,IF(Inputs!$B$39="pvp",15,Inputs!$B$44)-MAX(5,B2818))/(IF(Inputs!$B$39="pvp",15,Inputs!$B$44)-(B2818))))*IF(AND(ArtifactsInput!$M$42,((Inputs!$B$9+((C2799=TRUE)*(F2799-Calc!F26))+B2807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2788*(MIN(100,(Inputs!$B$9+((C2799=TRUE)*(F2799-Calc!F26))+B2807+(ArtifactsInput!$M$24-ArtifactsInput!$M$24)*CHOOSE(ArtifactsInput!$N$24+1,10,12,14,16,18,20)+(IF(AND(Inputs!$B$39&lt;&gt;"pvp",Inputs!$B$44=0),1,IF(IF(Inputs!$B$39="pvp",15,Inputs!$B$44)-(B2818)&lt;=0,1,MAX(0,IF(Inputs!$B$39="pvp",15,Inputs!$B$44)-MAX(5,B2818))/(IF(Inputs!$B$39="pvp",15,Inputs!$B$44)-(B2818))))*IF(AND(ArtifactsInput!$M$42,((Inputs!$B$9+((C2799=TRUE)*(F2799-Calc!F26))+B2807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788">
        <f>IF(C2788,(H2788*N2788*IF(AND(Inputs!$B$39&lt;&gt;"pvp",Inputs!$B$44&gt;0),((Skills!G15*((R2788-1)*IF(Skills!H15&gt;0,Skills!I15/Skills!H15,1)+IF(Skills!H15&gt;0,MIN(Skills!I15,MAX(0,MAX(0,Inputs!$B$44-B2818)-((R2788-1)*IF(Inputs!$B$39="pvp",15,MAX(0.1,Skills!D15-IF(TRUE=TRUE,Inputs!$B$32,0))))))/Skills!H15,1)))/Inputs!$B$44),G2788*Q2788))*IF(Inputs!$B$39="pvp",1,(1+(Inputs!$B$21+Skills!Q15+B2808+(IF(IF(ArtifactsInput!$M$33,FALSE,TRUE),CHOOSE(ArtifactsInput!$N$33+1,30,36,42,48,54,60),0))+(IF(AND(ArtifactsInput!$M$35,Inputs!$B$4&lt;&gt;"Chapter Hunt"),CHOOSE(ArtifactsInput!$N$35+1,15,18,21,24,27,30)*(1-EXP(-(0.2*B2811)*5)),0)+IF(AND(ArtifactsInput!$M$22,Inputs!$B$4&lt;&gt;"Chapter Hunt"),CHOOSE(ArtifactsInput!$N$22+1,10,12,14,16,18,20)*((0*(((0.15*B2811*5))^0/1)+1*(((0.15*B2811*5))^1/1)+2*(((0.15*B2811*5))^2/2)+3*(((0.15*B2811*5))^3/6)+4*(((0.15*B2811*5))^4/24)+5*(((0.15*B2811*5))^5/120))/((((0.15*B2811*5))^0/1)+(((0.15*B2811*5))^1/1)+(((0.15*B2811*5))^2/2)+(((0.15*B2811*5))^3/6)+(((0.15*B2811*5))^4/24)+(((0.15*B2811*5))^5/120))),0)))/100)*(MIN(MIN(5,0.5*IF(Inputs!$B$3&gt;=75,0.75,0.5)*B2811*(1/Q2777))*Skills!V15,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789">
      <c r="A2789">
        <f>Skills!A16</f>
        <v/>
      </c>
      <c r="B2789">
        <f>Skills!B16</f>
        <v/>
      </c>
      <c r="C2789">
        <f>Inputs!$B$3&gt;=110</f>
        <v/>
      </c>
      <c r="D2789">
        <f>IF(Skills!C16=1,60+Inputs!$B$25+Inputs!$B$29,IF(Skills!C16=2,90+Inputs!$B$26+Inputs!$B$29,IF(Skills!C16=3,120+Inputs!$B$27+Inputs!$B$29,MAX(0,(Inputs!$B$3-100)*3)+Inputs!$B$28+Inputs!$B$29)))</f>
        <v/>
      </c>
      <c r="E2789">
        <f>INDEX(FactorTable!$B$2:$Y$301, MATCH(ROUND(MIN(300,MAX(1,D2789)),0), FactorTable!$A$2:$A$301,0), Skills!M16+1)</f>
        <v/>
      </c>
      <c r="F2789">
        <f>IF(Skills!N16=TRUE,(Skills!L16/10)*(E2789/1000),Skills!L16/10)+Skills!O16</f>
        <v/>
      </c>
      <c r="G2789">
        <f>Skills!G16*IF(Skills!H16&gt;0,IF(Inputs!$B$39="pvp",MIN(Skills!I16,15),Skills!I16)/Skills!H16,1)</f>
        <v/>
      </c>
      <c r="H2789">
        <f>1-(1-Skills!J16/100)^Skills!K16</f>
        <v/>
      </c>
      <c r="I2789" t="inlineStr">
        <is>
          <t>1</t>
        </is>
      </c>
      <c r="J2789" t="inlineStr"/>
      <c r="K2789" t="inlineStr"/>
      <c r="L2789" t="inlineStr"/>
      <c r="M2789" t="inlineStr"/>
      <c r="N2789" t="inlineStr"/>
      <c r="O2789">
        <f>(1-Summary!$B$11)*T2789+Summary!$B$11*V2789</f>
        <v/>
      </c>
      <c r="P2789">
        <f>IF(B2819=0,0,O2789/B2819)</f>
        <v/>
      </c>
      <c r="Q2789">
        <f>IFERROR(1/IF(Inputs!$B$39="pvp",15,MAX(0.1,Skills!D16-IF(TRUE=TRUE,Inputs!$B$32,0))),0)</f>
        <v/>
      </c>
      <c r="R2789">
        <f>IF(AND(Inputs!$B$39&lt;&gt;"pvp",Inputs!$B$44&gt;0),IF(Inputs!$B$44&lt;=0,0,(INT(Inputs!$B$44/IF(Inputs!$B$39="pvp",15,MAX(0.1,Skills!D16-IF(TRUE=TRUE,Inputs!$B$32,0))))+1)),0)</f>
        <v/>
      </c>
      <c r="S2789">
        <f>IFERROR(O2789/N2789,0)</f>
        <v/>
      </c>
      <c r="T2789" t="n">
        <v>0</v>
      </c>
      <c r="V2789" t="n">
        <v>0</v>
      </c>
    </row>
    <row r="2790">
      <c r="A2790">
        <f>Skills!A17</f>
        <v/>
      </c>
      <c r="B2790">
        <f>Skills!B17</f>
        <v/>
      </c>
      <c r="C2790">
        <f>Inputs!$B$3&gt;=115</f>
        <v/>
      </c>
      <c r="D2790">
        <f>IF(Skills!C17=1,60+Inputs!$B$25+Inputs!$B$29,IF(Skills!C17=2,90+Inputs!$B$26+Inputs!$B$29,IF(Skills!C17=3,120+Inputs!$B$27+Inputs!$B$29,MAX(0,(Inputs!$B$3-100)*3)+Inputs!$B$28+Inputs!$B$29)))</f>
        <v/>
      </c>
      <c r="E2790">
        <f>INDEX(FactorTable!$B$2:$Y$301, MATCH(ROUND(MIN(300,MAX(1,D2790)),0), FactorTable!$A$2:$A$301,0), Skills!M17+1)</f>
        <v/>
      </c>
      <c r="F2790">
        <f>IF(Skills!N17=TRUE,(Skills!L17/10)*(E2790/1000),Skills!L17/10)+Skills!O17</f>
        <v/>
      </c>
      <c r="G2790">
        <f>Skills!G17*IF(Skills!H17&gt;0,IF(Inputs!$B$39="pvp",MIN(Skills!I17,15),Skills!I17)/Skills!H17,1)</f>
        <v/>
      </c>
      <c r="H2790">
        <f>1-(1-Skills!J17/100)^Skills!K17</f>
        <v/>
      </c>
      <c r="I2790" t="inlineStr">
        <is>
          <t>1</t>
        </is>
      </c>
      <c r="J2790">
        <f>((Inputs!$B$6*(1+Inputs!$B$7/100))+(((Inputs!$B$12*(1+Inputs!$B$13/100))-(Inputs!$B$12*(1+Inputs!$B$13/100)))+0.25*(Inputs!$B$14-Inputs!$B$14))*(1+Inputs!$B$7/100))*(F2790/100)</f>
        <v/>
      </c>
      <c r="K2790">
        <f>J2790*(1+((Inputs!$B$12*(1+Inputs!$B$13/100))*0.01+Inputs!$B$14*0.0025)/100)*(1+Inputs!$B$15/100)*(1+Inputs!$B$16/100)*(5000/(6000+Inputs!$B$43*(1-(100*(1-(1-Inputs!$B$19/100)*(1-CHOOSE(ArtifactsInput!$N$40+1,5,6,7,8,9,10)/100)^(ArtifactsInput!$M$40-ArtifactsInput!$M$40)))/100)))*(1+(Inputs!$B$24+((C2804=TRUE)*(F2804-Calc!F31))+((C2791=TRUE)*(F2791-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17="CRUEL_STAB",Inputs!$B$17+((C2801=TRUE)*(F2801-Calc!F28))+((IF(AND(Inputs!$B$39&lt;&gt;"pvp",Inputs!$B$44=0),1,IF(IF(Inputs!$B$39="pvp",15,Inputs!$B$44)-(B2818)&lt;=0,1,MAX(0,IF(Inputs!$B$39="pvp",15,Inputs!$B$44)-MAX(5,B2818))/(IF(Inputs!$B$39="pvp",15,Inputs!$B$44)-(B2818))))*(IF(AND(ArtifactsInput!$M$42,((Inputs!$B$9+((C2799=TRUE)*(F2799-Calc!F26))+B2807+(ArtifactsInput!$M$24-ArtifactsInput!$M$24)*CHOOSE(ArtifactsInput!$N$24+1,10,12,14,16,18,20)+IF(ArtifactsInput!$M$10,CHOOSE(ArtifactsInput!$N$10+1,15,18,21,24,27,30)*(IF(Inputs!$B$39="pvp",MIN(15,15)/15,IF(AND(Inputs!$B$39&lt;&gt;"pvp",Inputs!$B$44&gt;0),MIN(15,Inputs!$B$44)/(Inputs!$B$44),0))),0)))&gt;=100),MIN(100,((Inputs!$B$9+((C2799=TRUE)*(F2799-Calc!F26))+B2807+(ArtifactsInput!$M$24-ArtifactsInput!$M$24)*CHOOSE(ArtifactsInput!$N$24+1,10,12,14,16,18,20)+IF(ArtifactsInput!$M$10,CHOOSE(ArtifactsInput!$N$10+1,15,18,21,24,27,30)*(IF(Inputs!$B$39="pvp",MIN(15,15)/15,IF(AND(Inputs!$B$39&lt;&gt;"pvp",Inputs!$B$44&gt;0),MIN(15,Inputs!$B$44)/(Inputs!$B$44),0))),0)))-100),0))*CHOOSE(ArtifactsInput!$N$42+1,0.6,0.72,0.84,0.96,1.08,1.2))),Inputs!$B$18+((C2802=TRUE)*(F2802-Calc!F29))+(IF(AND(Inputs!$B$39&lt;&gt;"pvp",Inputs!$B$44=0),1,IF(IF(Inputs!$B$39="pvp",15,Inputs!$B$44)-(B2818)&lt;=0,1,MAX(0,IF(Inputs!$B$39="pvp",15,Inputs!$B$44)-MAX(5,B2818))/(IF(Inputs!$B$39="pvp",15,Inputs!$B$44)-(B2818))))*IF(AND(ArtifactsInput!$M$42,((Inputs!$B$9+((C2799=TRUE)*(F2799-Calc!F26))+B2807+(ArtifactsInput!$M$24-ArtifactsInput!$M$24)*CHOOSE(ArtifactsInput!$N$24+1,10,12,14,16,18,20)+IF(ArtifactsInput!$M$10,CHOOSE(ArtifactsInput!$N$10+1,15,18,21,24,27,30)*(IF(Inputs!$B$39="pvp",MIN(15,15)/15,IF(AND(Inputs!$B$39&lt;&gt;"pvp",Inputs!$B$44&gt;0),MIN(15,Inputs!$B$44)/(Inputs!$B$44),0))),0)))&gt;=100),CHOOSE(ArtifactsInput!$N$42+1,40,48,56,64,72,80),0))))/100)*(((1+(((C2795=TRUE)*F2795*IF(AND(Inputs!$B$39&lt;&gt;"pvp",Inputs!$B$44&gt;0),(((R2795-1)*MIN((Skills!Y22*(1+Inputs!$B$34/100)),(1/Q2795))+MIN((Skills!Y22*(1+Inputs!$B$34/100)),MAX(0,Inputs!$B$44-((R2795-1)*(1/Q2795)))))/Inputs!$B$44),IF(Inputs!$B$39="pvp",MIN((Skills!Y22*(1+Inputs!$B$34/100)),15)/15,MIN(1,(Skills!Y22*(1+Inputs!$B$34/100))/(1/Q2795)))))+((C2776=TRUE)*F2776*3)+((C2778=TRUE)*F2778*(1-EXP(-0.75*B2811*5)))+((C2797=TRUE)*(F2797-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2784=TRUE)*F2784*IF(AND(Inputs!$B$39&lt;&gt;"pvp",Inputs!$B$44&gt;0),(((R2784-1)*MIN((Skills!Y11*(1+Inputs!$B$34/100)),(1/Q2784))+MIN((Skills!Y11*(1+Inputs!$B$34/100)),MAX(0,Inputs!$B$44-((R2784-1)*(1/Q2784)))))/Inputs!$B$44),IF(Inputs!$B$39="pvp",MIN((Skills!Y11*(1+Inputs!$B$34/100)),15)/15,MIN(1,(Skills!Y11*(1+Inputs!$B$34/100))/(1/Q2784)))))/100)*(1+((C2789=TRUE)*F2789*IF(AND(Inputs!$B$39&lt;&gt;"pvp",Inputs!$B$44&gt;0),(((R2789-1)*MIN((Skills!Y16*(1+Inputs!$B$34/100)),(1/Q2789))+MIN((Skills!Y16*(1+Inputs!$B$34/100)),MAX(0,Inputs!$B$44-((R2789-1)*(1/Q2789)))))/Inputs!$B$44),IF(Inputs!$B$39="pvp",MIN((Skills!Y16*(1+Inputs!$B$34/100)),15)/15,MIN(1,(Skills!Y16*(1+Inputs!$B$34/100))/(1/Q2789)))))/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2809*I2790)</f>
        <v/>
      </c>
      <c r="L2790">
        <f>K2790*(MIN(Inputs!$B$22+((C2798=TRUE)*(F2798-Calc!F25)),(Inputs!$B$23+((C2803=TRUE)*(F2803-Calc!F30))+IF(ArtifactsInput!$M$15,CHOOSE(ArtifactsInput!$N$15+1,25,30,35,40,45,50)/100*(Inputs!$B$11-Inputs!$B$11),0)))/100+(Inputs!$B$23+((C2803=TRUE)*(F2803-Calc!F30))+IF(ArtifactsInput!$M$15,CHOOSE(ArtifactsInput!$N$15+1,25,30,35,40,45,50)/100*(Inputs!$B$11-Inputs!$B$11),0))/100)/2</f>
        <v/>
      </c>
      <c r="M2790">
        <f>L2790*(1+(Inputs!$B$10+((C2800=TRUE)*(F2800-Calc!F27))+B2814+(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2790">
        <f>L2790*(1-MIN((Inputs!$B$9+((C2799=TRUE)*(F2799-Calc!F26))+B2807+(ArtifactsInput!$M$24-ArtifactsInput!$M$24)*CHOOSE(ArtifactsInput!$N$24+1,10,12,14,16,18,20)+(IF(AND(Inputs!$B$39&lt;&gt;"pvp",Inputs!$B$44=0),1,IF(IF(Inputs!$B$39="pvp",15,Inputs!$B$44)-(B2818)&lt;=0,1,MAX(0,IF(Inputs!$B$39="pvp",15,Inputs!$B$44)-MAX(5,B2818))/(IF(Inputs!$B$39="pvp",15,Inputs!$B$44)-(B2818))))*IF(AND(ArtifactsInput!$M$42,((Inputs!$B$9+((C2799=TRUE)*(F2799-Calc!F26))+B2807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2790*(MIN((Inputs!$B$9+((C2799=TRUE)*(F2799-Calc!F26))+B2807+(ArtifactsInput!$M$24-ArtifactsInput!$M$24)*CHOOSE(ArtifactsInput!$N$24+1,10,12,14,16,18,20)+(IF(AND(Inputs!$B$39&lt;&gt;"pvp",Inputs!$B$44=0),1,IF(IF(Inputs!$B$39="pvp",15,Inputs!$B$44)-(B2818)&lt;=0,1,MAX(0,IF(Inputs!$B$39="pvp",15,Inputs!$B$44)-MAX(5,B2818))/(IF(Inputs!$B$39="pvp",15,Inputs!$B$44)-(B2818))))*IF(AND(ArtifactsInput!$M$42,((Inputs!$B$9+((C2799=TRUE)*(F2799-Calc!F26))+B2807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790">
        <f>(1-Summary!$B$11)*T2790+Summary!$B$11*V2790</f>
        <v/>
      </c>
      <c r="P2790">
        <f>IF(B2819=0,0,O2790/B2819)</f>
        <v/>
      </c>
      <c r="Q2790" t="n">
        <v>0</v>
      </c>
      <c r="R2790" t="n">
        <v>0</v>
      </c>
      <c r="S2790">
        <f>IFERROR(O2790/N2790,0)</f>
        <v/>
      </c>
      <c r="T2790">
        <f>IF(C2790,(Inputs!$B$38*0.2*N2790)*IF(Inputs!$B$39="pvp",1,1+(Inputs!$B$20+0+Skills!P17+B2808+(IF(AND(ArtifactsInput!$M$36,IF(Inputs!$B$39="pvp",TRUE,AND(Inputs!$B$39&lt;&gt;"pvp",Inputs!$B$44&gt;0))),MAX(0,MIN(40,IF(Inputs!$B$39="pvp",15,Inputs!$B$44))-MAX(20,IF(Inputs!$B$4="Breakthrough",20,IF(Inputs!$B$4="Hero Dungeon",30,0))))/(IF(Inputs!$B$39="pvp",15,Inputs!$B$44)-IF(Inputs!$B$4="Breakthrough",20,IF(Inputs!$B$4="Hero Dungeon",30,0)))*CHOOSE(ArtifactsInput!$N$36+1,30,36,42,48,54,60),0)+IF(IF(ArtifactsInput!$M$33,FALSE,TRUE),CHOOSE(ArtifactsInput!$N$33+1,10,12,14,16,18,20),0)+(ArtifactsInput!$M$23-ArtifactsInput!$M$23)*CHOOSE(ArtifactsInput!$N$23+1,50,60,70,80,90,100))+(IF(AND(ArtifactsInput!$M$35,Inputs!$B$4&lt;&gt;"Chapter Hunt"),CHOOSE(ArtifactsInput!$N$35+1,15,18,21,24,27,30)*(1-EXP(-(0.2*B2811)*5)),0)+IF(AND(ArtifactsInput!$M$22,Inputs!$B$4&lt;&gt;"Chapter Hunt"),CHOOSE(ArtifactsInput!$N$22+1,10,12,14,16,18,20)*((0*(((0.15*B2811*5))^0/1)+1*(((0.15*B2811*5))^1/1)+2*(((0.15*B2811*5))^2/2)+3*(((0.15*B2811*5))^3/6)+4*(((0.15*B2811*5))^4/24)+5*(((0.15*B2811*5))^5/120))/((((0.15*B2811*5))^0/1)+(((0.15*B2811*5))^1/1)+(((0.15*B2811*5))^2/2)+(((0.15*B2811*5))^3/6)+(((0.15*B2811*5))^4/24)+(((0.15*B2811*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2790*(1-MIN(100,(Inputs!$B$9+((C2799=TRUE)*(F2799-Calc!F26))+B2807+(ArtifactsInput!$M$24-ArtifactsInput!$M$24)*CHOOSE(ArtifactsInput!$N$24+1,10,12,14,16,18,20)+(IF(AND(Inputs!$B$39&lt;&gt;"pvp",Inputs!$B$44=0),1,IF(IF(Inputs!$B$39="pvp",15,Inputs!$B$44)-(B2818)&lt;=0,1,MAX(0,IF(Inputs!$B$39="pvp",15,Inputs!$B$44)-MAX(5,B2818))/(IF(Inputs!$B$39="pvp",15,Inputs!$B$44)-(B2818))))*IF(AND(ArtifactsInput!$M$42,((Inputs!$B$9+((C2799=TRUE)*(F2799-Calc!F26))+B2807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2790*(MIN(100,(Inputs!$B$9+((C2799=TRUE)*(F2799-Calc!F26))+B2807+(ArtifactsInput!$M$24-ArtifactsInput!$M$24)*CHOOSE(ArtifactsInput!$N$24+1,10,12,14,16,18,20)+(IF(AND(Inputs!$B$39&lt;&gt;"pvp",Inputs!$B$44=0),1,IF(IF(Inputs!$B$39="pvp",15,Inputs!$B$44)-(B2818)&lt;=0,1,MAX(0,IF(Inputs!$B$39="pvp",15,Inputs!$B$44)-MAX(5,B2818))/(IF(Inputs!$B$39="pvp",15,Inputs!$B$44)-(B2818))))*IF(AND(ArtifactsInput!$M$42,((Inputs!$B$9+((C2799=TRUE)*(F2799-Calc!F26))+B2807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2790*(1-MIN(100,(Inputs!$B$9+((C2799=TRUE)*(F2799-Calc!F26))+B2807+(ArtifactsInput!$M$24-ArtifactsInput!$M$24)*CHOOSE(ArtifactsInput!$N$24+1,10,12,14,16,18,20)+(IF(AND(Inputs!$B$39&lt;&gt;"pvp",Inputs!$B$44=0),1,IF(IF(Inputs!$B$39="pvp",15,Inputs!$B$44)-(B2818)&lt;=0,1,MAX(0,IF(Inputs!$B$39="pvp",15,Inputs!$B$44)-MAX(5,B2818))/(IF(Inputs!$B$39="pvp",15,Inputs!$B$44)-(B2818))))*IF(AND(ArtifactsInput!$M$42,((Inputs!$B$9+((C2799=TRUE)*(F2799-Calc!F26))+B2807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2790*(MIN(100,(Inputs!$B$9+((C2799=TRUE)*(F2799-Calc!F26))+B2807+(ArtifactsInput!$M$24-ArtifactsInput!$M$24)*CHOOSE(ArtifactsInput!$N$24+1,10,12,14,16,18,20)+(IF(AND(Inputs!$B$39&lt;&gt;"pvp",Inputs!$B$44=0),1,IF(IF(Inputs!$B$39="pvp",15,Inputs!$B$44)-(B2818)&lt;=0,1,MAX(0,IF(Inputs!$B$39="pvp",15,Inputs!$B$44)-MAX(5,B2818))/(IF(Inputs!$B$39="pvp",15,Inputs!$B$44)-(B2818))))*IF(AND(ArtifactsInput!$M$42,((Inputs!$B$9+((C2799=TRUE)*(F2799-Calc!F26))+B2807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790">
        <f>IF(C2790,(Inputs!$B$38*0.2*N2790)*IF(Inputs!$B$39="pvp",1,(1+(Inputs!$B$21+Skills!Q17+B2808+(IF(IF(ArtifactsInput!$M$33,FALSE,TRUE),CHOOSE(ArtifactsInput!$N$33+1,30,36,42,48,54,60),0))+(IF(AND(ArtifactsInput!$M$35,Inputs!$B$4&lt;&gt;"Chapter Hunt"),CHOOSE(ArtifactsInput!$N$35+1,15,18,21,24,27,30)*(1-EXP(-(0.2*B2811)*5)),0)+IF(AND(ArtifactsInput!$M$22,Inputs!$B$4&lt;&gt;"Chapter Hunt"),CHOOSE(ArtifactsInput!$N$22+1,10,12,14,16,18,20)*((0*(((0.15*B2811*5))^0/1)+1*(((0.15*B2811*5))^1/1)+2*(((0.15*B2811*5))^2/2)+3*(((0.15*B2811*5))^3/6)+4*(((0.15*B2811*5))^4/24)+5*(((0.15*B2811*5))^5/120))/((((0.15*B2811*5))^0/1)+(((0.15*B2811*5))^1/1)+(((0.15*B2811*5))^2/2)+(((0.15*B2811*5))^3/6)+(((0.15*B2811*5))^4/24)+(((0.15*B2811*5))^5/120))),0)))/100)*(MIN(Skills!W17,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791">
      <c r="A2791">
        <f>Skills!A18</f>
        <v/>
      </c>
      <c r="B2791">
        <f>Skills!B18</f>
        <v/>
      </c>
      <c r="C2791">
        <f>Inputs!$B$3&gt;=115</f>
        <v/>
      </c>
      <c r="D2791">
        <f>IF(Skills!C18=1,60+Inputs!$B$25+Inputs!$B$29,IF(Skills!C18=2,90+Inputs!$B$26+Inputs!$B$29,IF(Skills!C18=3,120+Inputs!$B$27+Inputs!$B$29,MAX(0,(Inputs!$B$3-100)*3)+Inputs!$B$28+Inputs!$B$29)))</f>
        <v/>
      </c>
      <c r="E2791">
        <f>INDEX(FactorTable!$B$2:$Y$301, MATCH(ROUND(MIN(300,MAX(1,D2791)),0), FactorTable!$A$2:$A$301,0), Skills!M18+1)</f>
        <v/>
      </c>
      <c r="F2791">
        <f>IF(Skills!N18=TRUE,(Skills!L18/10)*(E2791/1000),Skills!L18/10)+Skills!O18</f>
        <v/>
      </c>
      <c r="G2791">
        <f>Skills!G18*IF(Skills!H18&gt;0,IF(Inputs!$B$39="pvp",MIN(Skills!I18,15),Skills!I18)/Skills!H18,1)</f>
        <v/>
      </c>
      <c r="H2791">
        <f>1-(1-Skills!J18/100)^Skills!K18</f>
        <v/>
      </c>
      <c r="I2791" t="inlineStr">
        <is>
          <t>1</t>
        </is>
      </c>
      <c r="J2791" t="inlineStr"/>
      <c r="K2791" t="inlineStr"/>
      <c r="L2791" t="inlineStr"/>
      <c r="M2791" t="inlineStr"/>
      <c r="N2791" t="inlineStr"/>
      <c r="O2791">
        <f>(1-Summary!$B$11)*T2791+Summary!$B$11*V2791</f>
        <v/>
      </c>
      <c r="P2791">
        <f>IF(B2819=0,0,O2791/B2819)</f>
        <v/>
      </c>
      <c r="Q2791" t="n">
        <v>0</v>
      </c>
      <c r="R2791" t="n">
        <v>0</v>
      </c>
      <c r="S2791">
        <f>IFERROR(O2791/N2791,0)</f>
        <v/>
      </c>
      <c r="T2791" t="n">
        <v>0</v>
      </c>
      <c r="V2791" t="n">
        <v>0</v>
      </c>
    </row>
    <row r="2792">
      <c r="A2792">
        <f>Skills!A19</f>
        <v/>
      </c>
      <c r="B2792">
        <f>Skills!B19</f>
        <v/>
      </c>
      <c r="C2792">
        <f>Inputs!$B$3&gt;=100</f>
        <v/>
      </c>
      <c r="D2792">
        <f>IF(Skills!C19=1,60+Inputs!$B$25+Inputs!$B$29,IF(Skills!C19=2,90+Inputs!$B$26+Inputs!$B$29,IF(Skills!C19=3,120+Inputs!$B$27+Inputs!$B$29,MAX(0,(Inputs!$B$3-100)*3)+Inputs!$B$28+Inputs!$B$29)))</f>
        <v/>
      </c>
      <c r="E2792">
        <f>INDEX(FactorTable!$B$2:$Y$301, MATCH(ROUND(MIN(300,MAX(1,D2792)),0), FactorTable!$A$2:$A$301,0), Skills!M19+1)</f>
        <v/>
      </c>
      <c r="F2792">
        <f>IF(Skills!N19=TRUE,(Skills!L19/10)*(E2792/1000),Skills!L19/10)+Skills!O19</f>
        <v/>
      </c>
      <c r="G2792">
        <f>Skills!G19*IF(Skills!H19&gt;0,IF(Inputs!$B$39="pvp",MIN(Skills!I19,15),Skills!I19)/Skills!H19,1)</f>
        <v/>
      </c>
      <c r="H2792">
        <f>1-(1-Skills!J19/100)^Skills!K19</f>
        <v/>
      </c>
      <c r="I2792" t="inlineStr">
        <is>
          <t>1</t>
        </is>
      </c>
      <c r="J2792" t="inlineStr"/>
      <c r="K2792" t="inlineStr"/>
      <c r="L2792" t="inlineStr"/>
      <c r="M2792" t="inlineStr"/>
      <c r="N2792" t="inlineStr"/>
      <c r="O2792">
        <f>(1-Summary!$B$11)*T2792+Summary!$B$11*V2792</f>
        <v/>
      </c>
      <c r="P2792">
        <f>IF(B2819=0,0,O2792/B2819)</f>
        <v/>
      </c>
      <c r="Q2792" t="n">
        <v>0</v>
      </c>
      <c r="R2792" t="n">
        <v>0</v>
      </c>
      <c r="S2792">
        <f>IFERROR(O2792/N2792,0)</f>
        <v/>
      </c>
      <c r="T2792" t="n">
        <v>0</v>
      </c>
      <c r="V2792" t="n">
        <v>0</v>
      </c>
    </row>
    <row r="2793">
      <c r="A2793">
        <f>Skills!A20</f>
        <v/>
      </c>
      <c r="B2793">
        <f>Skills!B20</f>
        <v/>
      </c>
      <c r="C2793">
        <f>TRUE</f>
        <v/>
      </c>
      <c r="D2793">
        <f>IF(Skills!C20=1,60+Inputs!$B$25+Inputs!$B$29,IF(Skills!C20=2,90+Inputs!$B$26+Inputs!$B$29,IF(Skills!C20=3,120+Inputs!$B$27+Inputs!$B$29,MAX(0,(Inputs!$B$3-100)*3)+Inputs!$B$28+Inputs!$B$29)))</f>
        <v/>
      </c>
      <c r="E2793">
        <f>INDEX(FactorTable!$B$2:$Y$301, MATCH(ROUND(MIN(300,MAX(1,D2793)),0), FactorTable!$A$2:$A$301,0), Skills!M20+1)</f>
        <v/>
      </c>
      <c r="F2793">
        <f>IF(Skills!N20=TRUE,(Skills!L20/10)*(E2793/1000),Skills!L20/10)+Skills!O20</f>
        <v/>
      </c>
      <c r="G2793">
        <f>Skills!G20*IF(Skills!H20&gt;0,IF(Inputs!$B$39="pvp",MIN(Skills!I20,15),Skills!I20)/Skills!H20,1)</f>
        <v/>
      </c>
      <c r="H2793">
        <f>1-(1-Skills!J20/100)^Skills!K20</f>
        <v/>
      </c>
      <c r="I2793" t="inlineStr">
        <is>
          <t>1</t>
        </is>
      </c>
      <c r="J2793" t="inlineStr"/>
      <c r="K2793" t="inlineStr"/>
      <c r="L2793" t="inlineStr"/>
      <c r="M2793" t="inlineStr"/>
      <c r="N2793" t="inlineStr"/>
      <c r="O2793">
        <f>(1-Summary!$B$11)*T2793+Summary!$B$11*V2793</f>
        <v/>
      </c>
      <c r="P2793">
        <f>IF(B2819=0,0,O2793/B2819)</f>
        <v/>
      </c>
      <c r="Q2793">
        <f>IFERROR(1/IF(Inputs!$B$39="pvp",15,MAX(0.1,Skills!D20-IF(TRUE=TRUE,Inputs!$B$32,0))),0)</f>
        <v/>
      </c>
      <c r="R2793">
        <f>IF(AND(Inputs!$B$39&lt;&gt;"pvp",Inputs!$B$44&gt;0),IF(Inputs!$B$44&lt;=0,0,(INT(Inputs!$B$44/IF(Inputs!$B$39="pvp",15,MAX(0.1,Skills!D20-IF(TRUE=TRUE,Inputs!$B$32,0))))+1)),0)</f>
        <v/>
      </c>
      <c r="S2793">
        <f>IFERROR(O2793/N2793,0)</f>
        <v/>
      </c>
      <c r="T2793" t="n">
        <v>0</v>
      </c>
      <c r="V2793" t="n">
        <v>0</v>
      </c>
    </row>
    <row r="2794">
      <c r="A2794">
        <f>Skills!A21</f>
        <v/>
      </c>
      <c r="B2794">
        <f>Skills!B21</f>
        <v/>
      </c>
      <c r="C2794">
        <f>Inputs!$B$3&gt;=15</f>
        <v/>
      </c>
      <c r="D2794">
        <f>IF(Skills!C21=1,60+Inputs!$B$25+Inputs!$B$29,IF(Skills!C21=2,90+Inputs!$B$26+Inputs!$B$29,IF(Skills!C21=3,120+Inputs!$B$27+Inputs!$B$29,MAX(0,(Inputs!$B$3-100)*3)+Inputs!$B$28+Inputs!$B$29)))</f>
        <v/>
      </c>
      <c r="E2794">
        <f>INDEX(FactorTable!$B$2:$Y$301, MATCH(ROUND(MIN(300,MAX(1,D2794)),0), FactorTable!$A$2:$A$301,0), Skills!M21+1)</f>
        <v/>
      </c>
      <c r="F2794">
        <f>IF(Skills!N21=TRUE,(Skills!L21/10)*(E2794/1000),Skills!L21/10)+Skills!O21</f>
        <v/>
      </c>
      <c r="G2794">
        <f>Skills!G21*IF(Skills!H21&gt;0,IF(Inputs!$B$39="pvp",MIN(Skills!I21,15),Skills!I21)/Skills!H21,1)</f>
        <v/>
      </c>
      <c r="H2794">
        <f>1-(1-Skills!J21/100)^Skills!K21</f>
        <v/>
      </c>
      <c r="I2794" t="inlineStr">
        <is>
          <t>1</t>
        </is>
      </c>
      <c r="J2794" t="inlineStr"/>
      <c r="K2794" t="inlineStr"/>
      <c r="L2794" t="inlineStr"/>
      <c r="M2794" t="inlineStr"/>
      <c r="N2794" t="inlineStr"/>
      <c r="O2794">
        <f>(1-Summary!$B$11)*T2794+Summary!$B$11*V2794</f>
        <v/>
      </c>
      <c r="P2794">
        <f>IF(B2819=0,0,O2794/B2819)</f>
        <v/>
      </c>
      <c r="Q2794">
        <f>IFERROR(1/IF(Inputs!$B$39="pvp",15,MAX(0.1,Skills!D21-IF(TRUE=TRUE,Inputs!$B$32,0))),0)</f>
        <v/>
      </c>
      <c r="R2794">
        <f>IF(AND(Inputs!$B$39&lt;&gt;"pvp",Inputs!$B$44&gt;0),IF(Inputs!$B$44&lt;=0,0,(INT(Inputs!$B$44/IF(Inputs!$B$39="pvp",15,MAX(0.1,Skills!D21-IF(TRUE=TRUE,Inputs!$B$32,0))))+1)),0)</f>
        <v/>
      </c>
      <c r="S2794">
        <f>IFERROR(O2794/N2794,0)</f>
        <v/>
      </c>
      <c r="T2794" t="n">
        <v>0</v>
      </c>
      <c r="V2794" t="n">
        <v>0</v>
      </c>
    </row>
    <row r="2795">
      <c r="A2795">
        <f>Skills!A22</f>
        <v/>
      </c>
      <c r="B2795">
        <f>Skills!B22</f>
        <v/>
      </c>
      <c r="C2795">
        <f>Inputs!$B$3&gt;=15</f>
        <v/>
      </c>
      <c r="D2795">
        <f>IF(Skills!C22=1,60+Inputs!$B$25+Inputs!$B$29,IF(Skills!C22=2,90+Inputs!$B$26+Inputs!$B$29,IF(Skills!C22=3,120+Inputs!$B$27+Inputs!$B$29,MAX(0,(Inputs!$B$3-100)*3)+Inputs!$B$28+Inputs!$B$29)))</f>
        <v/>
      </c>
      <c r="E2795">
        <f>INDEX(FactorTable!$B$2:$Y$301, MATCH(ROUND(MIN(300,MAX(1,D2795)),0), FactorTable!$A$2:$A$301,0), Skills!M22+1)</f>
        <v/>
      </c>
      <c r="F2795">
        <f>IF(Skills!N22=TRUE,(Skills!L22/10)*(E2795/1000),Skills!L22/10)+Skills!O22</f>
        <v/>
      </c>
      <c r="G2795">
        <f>Skills!G22*IF(Skills!H22&gt;0,IF(Inputs!$B$39="pvp",MIN(Skills!I22,15),Skills!I22)/Skills!H22,1)</f>
        <v/>
      </c>
      <c r="H2795">
        <f>1-(1-Skills!J22/100)^Skills!K22</f>
        <v/>
      </c>
      <c r="I2795" t="inlineStr">
        <is>
          <t>1</t>
        </is>
      </c>
      <c r="J2795" t="inlineStr"/>
      <c r="K2795" t="inlineStr"/>
      <c r="L2795" t="inlineStr"/>
      <c r="M2795" t="inlineStr"/>
      <c r="N2795" t="inlineStr"/>
      <c r="O2795">
        <f>(1-Summary!$B$11)*T2795+Summary!$B$11*V2795</f>
        <v/>
      </c>
      <c r="P2795">
        <f>IF(B2819=0,0,O2795/B2819)</f>
        <v/>
      </c>
      <c r="Q2795">
        <f>IFERROR(1/IF(Inputs!$B$39="pvp",15,MAX(0.1,Skills!D22-IF(TRUE=TRUE,Inputs!$B$32,0))),0)</f>
        <v/>
      </c>
      <c r="R2795">
        <f>IF(AND(Inputs!$B$39&lt;&gt;"pvp",Inputs!$B$44&gt;0),IF(Inputs!$B$44&lt;=0,0,(INT(Inputs!$B$44/IF(Inputs!$B$39="pvp",15,MAX(0.1,Skills!D22-IF(TRUE=TRUE,Inputs!$B$32,0))))+1)),0)</f>
        <v/>
      </c>
      <c r="S2795">
        <f>IFERROR(O2795/N2795,0)</f>
        <v/>
      </c>
      <c r="T2795" t="n">
        <v>0</v>
      </c>
      <c r="V2795" t="n">
        <v>0</v>
      </c>
    </row>
    <row r="2796">
      <c r="A2796">
        <f>Skills!A23</f>
        <v/>
      </c>
      <c r="B2796">
        <f>Skills!B23</f>
        <v/>
      </c>
      <c r="C2796">
        <f>Inputs!$B$3&gt;=33</f>
        <v/>
      </c>
      <c r="D2796">
        <f>IF(Skills!C23=1,60+Inputs!$B$25+Inputs!$B$29,IF(Skills!C23=2,90+Inputs!$B$26+Inputs!$B$29,IF(Skills!C23=3,120+Inputs!$B$27+Inputs!$B$29,MAX(0,(Inputs!$B$3-100)*3)+Inputs!$B$28+Inputs!$B$29)))</f>
        <v/>
      </c>
      <c r="E2796">
        <f>INDEX(FactorTable!$B$2:$Y$301, MATCH(ROUND(MIN(300,MAX(1,D2796)),0), FactorTable!$A$2:$A$301,0), Skills!M23+1)</f>
        <v/>
      </c>
      <c r="F2796">
        <f>IF(Skills!N23=TRUE,(Skills!L23/10)*(E2796/1000),Skills!L23/10)+Skills!O23</f>
        <v/>
      </c>
      <c r="G2796">
        <f>Skills!G23*IF(Skills!H23&gt;0,IF(Inputs!$B$39="pvp",MIN(Skills!I23,15),Skills!I23)/Skills!H23,1)</f>
        <v/>
      </c>
      <c r="H2796">
        <f>1-(1-Skills!J23/100)^Skills!K23</f>
        <v/>
      </c>
      <c r="I2796" t="inlineStr">
        <is>
          <t>1</t>
        </is>
      </c>
      <c r="J2796" t="inlineStr"/>
      <c r="K2796" t="inlineStr"/>
      <c r="L2796" t="inlineStr"/>
      <c r="M2796" t="inlineStr"/>
      <c r="N2796" t="inlineStr"/>
      <c r="O2796">
        <f>(1-Summary!$B$11)*T2796+Summary!$B$11*V2796</f>
        <v/>
      </c>
      <c r="P2796">
        <f>IF(B2819=0,0,O2796/B2819)</f>
        <v/>
      </c>
      <c r="Q2796" t="n">
        <v>0</v>
      </c>
      <c r="R2796" t="n">
        <v>0</v>
      </c>
      <c r="S2796">
        <f>IFERROR(O2796/N2796,0)</f>
        <v/>
      </c>
      <c r="T2796" t="n">
        <v>0</v>
      </c>
      <c r="V2796" t="n">
        <v>0</v>
      </c>
    </row>
    <row r="2797">
      <c r="A2797">
        <f>Skills!A24</f>
        <v/>
      </c>
      <c r="B2797">
        <f>Skills!B24</f>
        <v/>
      </c>
      <c r="C2797">
        <f>Inputs!$B$3&gt;=40</f>
        <v/>
      </c>
      <c r="D2797">
        <f>IF(Skills!C24=1,60+Inputs!$B$25+Inputs!$B$29,IF(Skills!C24=2,90+Inputs!$B$26+Inputs!$B$29,IF(Skills!C24=3,120+Inputs!$B$27+Inputs!$B$29,MAX(0,(Inputs!$B$3-100)*3)+Inputs!$B$28+Inputs!$B$29)))</f>
        <v/>
      </c>
      <c r="E2797">
        <f>INDEX(FactorTable!$B$2:$Y$301, MATCH(ROUND(MIN(300,MAX(1,D2797)),0), FactorTable!$A$2:$A$301,0), Skills!M24+1)</f>
        <v/>
      </c>
      <c r="F2797">
        <f>IF(Skills!N24=TRUE,(Skills!L24/10)*(E2797/1000),Skills!L24/10)+Skills!O24</f>
        <v/>
      </c>
      <c r="G2797">
        <f>Skills!G24*IF(Skills!H24&gt;0,IF(Inputs!$B$39="pvp",MIN(Skills!I24,15),Skills!I24)/Skills!H24,1)</f>
        <v/>
      </c>
      <c r="H2797">
        <f>1-(1-Skills!J24/100)^Skills!K24</f>
        <v/>
      </c>
      <c r="I2797" t="inlineStr">
        <is>
          <t>1</t>
        </is>
      </c>
      <c r="J2797" t="inlineStr"/>
      <c r="K2797" t="inlineStr"/>
      <c r="L2797" t="inlineStr"/>
      <c r="M2797" t="inlineStr"/>
      <c r="N2797" t="inlineStr"/>
      <c r="O2797">
        <f>(1-Summary!$B$11)*T2797+Summary!$B$11*V2797</f>
        <v/>
      </c>
      <c r="P2797">
        <f>IF(B2819=0,0,O2797/B2819)</f>
        <v/>
      </c>
      <c r="Q2797" t="n">
        <v>0</v>
      </c>
      <c r="R2797" t="n">
        <v>0</v>
      </c>
      <c r="S2797">
        <f>IFERROR(O2797/N2797,0)</f>
        <v/>
      </c>
      <c r="T2797" t="n">
        <v>0</v>
      </c>
      <c r="V2797" t="n">
        <v>0</v>
      </c>
    </row>
    <row r="2798">
      <c r="A2798">
        <f>Skills!A25</f>
        <v/>
      </c>
      <c r="B2798">
        <f>Skills!B25</f>
        <v/>
      </c>
      <c r="C2798">
        <f>Inputs!$B$3&gt;=43</f>
        <v/>
      </c>
      <c r="D2798">
        <f>IF(Skills!C25=1,60+Inputs!$B$25+Inputs!$B$29,IF(Skills!C25=2,90+Inputs!$B$26+Inputs!$B$29,IF(Skills!C25=3,120+Inputs!$B$27+Inputs!$B$29,MAX(0,(Inputs!$B$3-100)*3)+Inputs!$B$28+Inputs!$B$29)))</f>
        <v/>
      </c>
      <c r="E2798">
        <f>INDEX(FactorTable!$B$2:$Y$301, MATCH(ROUND(MIN(300,MAX(1,D2798)),0), FactorTable!$A$2:$A$301,0), Skills!M25+1)</f>
        <v/>
      </c>
      <c r="F2798">
        <f>IF(Skills!N25=TRUE,(Skills!L25/10)*(E2798/1000),Skills!L25/10)+Skills!O25</f>
        <v/>
      </c>
      <c r="G2798">
        <f>Skills!G25*IF(Skills!H25&gt;0,IF(Inputs!$B$39="pvp",MIN(Skills!I25,15),Skills!I25)/Skills!H25,1)</f>
        <v/>
      </c>
      <c r="H2798">
        <f>1-(1-Skills!J25/100)^Skills!K25</f>
        <v/>
      </c>
      <c r="I2798" t="inlineStr">
        <is>
          <t>1</t>
        </is>
      </c>
      <c r="J2798" t="inlineStr"/>
      <c r="K2798" t="inlineStr"/>
      <c r="L2798" t="inlineStr"/>
      <c r="M2798" t="inlineStr"/>
      <c r="N2798" t="inlineStr"/>
      <c r="O2798">
        <f>(1-Summary!$B$11)*T2798+Summary!$B$11*V2798</f>
        <v/>
      </c>
      <c r="P2798">
        <f>IF(B2819=0,0,O2798/B2819)</f>
        <v/>
      </c>
      <c r="Q2798" t="n">
        <v>0</v>
      </c>
      <c r="R2798" t="n">
        <v>0</v>
      </c>
      <c r="S2798">
        <f>IFERROR(O2798/N2798,0)</f>
        <v/>
      </c>
      <c r="T2798" t="n">
        <v>0</v>
      </c>
      <c r="V2798" t="n">
        <v>0</v>
      </c>
    </row>
    <row r="2799">
      <c r="A2799">
        <f>Skills!A26</f>
        <v/>
      </c>
      <c r="B2799">
        <f>Skills!B26</f>
        <v/>
      </c>
      <c r="C2799">
        <f>Inputs!$B$3&gt;=50</f>
        <v/>
      </c>
      <c r="D2799">
        <f>IF(Skills!C26=1,60+Inputs!$B$25+Inputs!$B$29,IF(Skills!C26=2,90+Inputs!$B$26+Inputs!$B$29,IF(Skills!C26=3,120+Inputs!$B$27+Inputs!$B$29,MAX(0,(Inputs!$B$3-100)*3)+Inputs!$B$28+Inputs!$B$29)))</f>
        <v/>
      </c>
      <c r="E2799">
        <f>INDEX(FactorTable!$B$2:$Y$301, MATCH(ROUND(MIN(300,MAX(1,D2799)),0), FactorTable!$A$2:$A$301,0), Skills!M26+1)</f>
        <v/>
      </c>
      <c r="F2799">
        <f>IF(Skills!N26=TRUE,(Skills!L26/10)*(E2799/1000),Skills!L26/10)+Skills!O26</f>
        <v/>
      </c>
      <c r="G2799">
        <f>Skills!G26*IF(Skills!H26&gt;0,IF(Inputs!$B$39="pvp",MIN(Skills!I26,15),Skills!I26)/Skills!H26,1)</f>
        <v/>
      </c>
      <c r="H2799">
        <f>1-(1-Skills!J26/100)^Skills!K26</f>
        <v/>
      </c>
      <c r="I2799" t="inlineStr">
        <is>
          <t>1</t>
        </is>
      </c>
      <c r="J2799" t="inlineStr"/>
      <c r="K2799" t="inlineStr"/>
      <c r="L2799" t="inlineStr"/>
      <c r="M2799" t="inlineStr"/>
      <c r="N2799" t="inlineStr"/>
      <c r="O2799">
        <f>(1-Summary!$B$11)*T2799+Summary!$B$11*V2799</f>
        <v/>
      </c>
      <c r="P2799">
        <f>IF(B2819=0,0,O2799/B2819)</f>
        <v/>
      </c>
      <c r="Q2799" t="n">
        <v>0</v>
      </c>
      <c r="R2799" t="n">
        <v>0</v>
      </c>
      <c r="S2799">
        <f>IFERROR(O2799/N2799,0)</f>
        <v/>
      </c>
      <c r="T2799" t="n">
        <v>0</v>
      </c>
      <c r="V2799" t="n">
        <v>0</v>
      </c>
    </row>
    <row r="2800">
      <c r="A2800">
        <f>Skills!A27</f>
        <v/>
      </c>
      <c r="B2800">
        <f>Skills!B27</f>
        <v/>
      </c>
      <c r="C2800">
        <f>Inputs!$B$3&gt;=50</f>
        <v/>
      </c>
      <c r="D2800">
        <f>IF(Skills!C27=1,60+Inputs!$B$25+Inputs!$B$29,IF(Skills!C27=2,90+Inputs!$B$26+Inputs!$B$29,IF(Skills!C27=3,120+Inputs!$B$27+Inputs!$B$29,MAX(0,(Inputs!$B$3-100)*3)+Inputs!$B$28+Inputs!$B$29)))</f>
        <v/>
      </c>
      <c r="E2800">
        <f>INDEX(FactorTable!$B$2:$Y$301, MATCH(ROUND(MIN(300,MAX(1,D2800)),0), FactorTable!$A$2:$A$301,0), Skills!M27+1)</f>
        <v/>
      </c>
      <c r="F2800">
        <f>IF(Skills!N27=TRUE,(Skills!L27/10)*(E2800/1000),Skills!L27/10)+Skills!O27</f>
        <v/>
      </c>
      <c r="G2800">
        <f>Skills!G27*IF(Skills!H27&gt;0,IF(Inputs!$B$39="pvp",MIN(Skills!I27,15),Skills!I27)/Skills!H27,1)</f>
        <v/>
      </c>
      <c r="H2800">
        <f>1-(1-Skills!J27/100)^Skills!K27</f>
        <v/>
      </c>
      <c r="I2800" t="inlineStr">
        <is>
          <t>1</t>
        </is>
      </c>
      <c r="J2800" t="inlineStr"/>
      <c r="K2800" t="inlineStr"/>
      <c r="L2800" t="inlineStr"/>
      <c r="M2800" t="inlineStr"/>
      <c r="N2800" t="inlineStr"/>
      <c r="O2800">
        <f>(1-Summary!$B$11)*T2800+Summary!$B$11*V2800</f>
        <v/>
      </c>
      <c r="P2800">
        <f>IF(B2819=0,0,O2800/B2819)</f>
        <v/>
      </c>
      <c r="Q2800" t="n">
        <v>0</v>
      </c>
      <c r="R2800" t="n">
        <v>0</v>
      </c>
      <c r="S2800">
        <f>IFERROR(O2800/N2800,0)</f>
        <v/>
      </c>
      <c r="T2800" t="n">
        <v>0</v>
      </c>
      <c r="V2800" t="n">
        <v>0</v>
      </c>
    </row>
    <row r="2801">
      <c r="A2801">
        <f>Skills!A28</f>
        <v/>
      </c>
      <c r="B2801">
        <f>Skills!B28</f>
        <v/>
      </c>
      <c r="C2801">
        <f>Inputs!$B$3&gt;=38</f>
        <v/>
      </c>
      <c r="D2801">
        <f>IF(Skills!C28=1,60+Inputs!$B$25+Inputs!$B$29,IF(Skills!C28=2,90+Inputs!$B$26+Inputs!$B$29,IF(Skills!C28=3,120+Inputs!$B$27+Inputs!$B$29,MAX(0,(Inputs!$B$3-100)*3)+Inputs!$B$28+Inputs!$B$29)))</f>
        <v/>
      </c>
      <c r="E2801">
        <f>INDEX(FactorTable!$B$2:$Y$301, MATCH(ROUND(MIN(300,MAX(1,D2801)),0), FactorTable!$A$2:$A$301,0), Skills!M28+1)</f>
        <v/>
      </c>
      <c r="F2801">
        <f>IF(Skills!N28=TRUE,(Skills!L28/10)*(E2801/1000),Skills!L28/10)+Skills!O28</f>
        <v/>
      </c>
      <c r="G2801">
        <f>Skills!G28*IF(Skills!H28&gt;0,IF(Inputs!$B$39="pvp",MIN(Skills!I28,15),Skills!I28)/Skills!H28,1)</f>
        <v/>
      </c>
      <c r="H2801">
        <f>1-(1-Skills!J28/100)^Skills!K28</f>
        <v/>
      </c>
      <c r="I2801" t="inlineStr">
        <is>
          <t>1</t>
        </is>
      </c>
      <c r="J2801" t="inlineStr"/>
      <c r="K2801" t="inlineStr"/>
      <c r="L2801" t="inlineStr"/>
      <c r="M2801" t="inlineStr"/>
      <c r="N2801" t="inlineStr"/>
      <c r="O2801">
        <f>(1-Summary!$B$11)*T2801+Summary!$B$11*V2801</f>
        <v/>
      </c>
      <c r="P2801">
        <f>IF(B2819=0,0,O2801/B2819)</f>
        <v/>
      </c>
      <c r="Q2801" t="n">
        <v>0</v>
      </c>
      <c r="R2801" t="n">
        <v>0</v>
      </c>
      <c r="S2801">
        <f>IFERROR(O2801/N2801,0)</f>
        <v/>
      </c>
      <c r="T2801" t="n">
        <v>0</v>
      </c>
      <c r="V2801" t="n">
        <v>0</v>
      </c>
    </row>
    <row r="2802">
      <c r="A2802">
        <f>Skills!A29</f>
        <v/>
      </c>
      <c r="B2802">
        <f>Skills!B29</f>
        <v/>
      </c>
      <c r="C2802">
        <f>Inputs!$B$3&gt;=120</f>
        <v/>
      </c>
      <c r="D2802">
        <f>IF(Skills!C29=1,60+Inputs!$B$25+Inputs!$B$29,IF(Skills!C29=2,90+Inputs!$B$26+Inputs!$B$29,IF(Skills!C29=3,120+Inputs!$B$27+Inputs!$B$29,MAX(0,(Inputs!$B$3-100)*3)+Inputs!$B$28+Inputs!$B$29)))</f>
        <v/>
      </c>
      <c r="E2802">
        <f>INDEX(FactorTable!$B$2:$Y$301, MATCH(ROUND(MIN(300,MAX(1,D2802)),0), FactorTable!$A$2:$A$301,0), Skills!M29+1)</f>
        <v/>
      </c>
      <c r="F2802">
        <f>IF(Skills!N29=TRUE,(Skills!L29/10)*(E2802/1000),Skills!L29/10)+Skills!O29</f>
        <v/>
      </c>
      <c r="G2802">
        <f>Skills!G29*IF(Skills!H29&gt;0,IF(Inputs!$B$39="pvp",MIN(Skills!I29,15),Skills!I29)/Skills!H29,1)</f>
        <v/>
      </c>
      <c r="H2802">
        <f>1-(1-Skills!J29/100)^Skills!K29</f>
        <v/>
      </c>
      <c r="I2802" t="inlineStr">
        <is>
          <t>1</t>
        </is>
      </c>
      <c r="J2802" t="inlineStr"/>
      <c r="K2802" t="inlineStr"/>
      <c r="L2802" t="inlineStr"/>
      <c r="M2802" t="inlineStr"/>
      <c r="N2802" t="inlineStr"/>
      <c r="O2802">
        <f>(1-Summary!$B$11)*T2802+Summary!$B$11*V2802</f>
        <v/>
      </c>
      <c r="P2802">
        <f>IF(B2819=0,0,O2802/B2819)</f>
        <v/>
      </c>
      <c r="Q2802" t="n">
        <v>0</v>
      </c>
      <c r="R2802" t="n">
        <v>0</v>
      </c>
      <c r="S2802">
        <f>IFERROR(O2802/N2802,0)</f>
        <v/>
      </c>
      <c r="T2802" t="n">
        <v>0</v>
      </c>
      <c r="V2802" t="n">
        <v>0</v>
      </c>
    </row>
    <row r="2803">
      <c r="A2803">
        <f>Skills!A30</f>
        <v/>
      </c>
      <c r="B2803">
        <f>Skills!B30</f>
        <v/>
      </c>
      <c r="C2803">
        <f>Inputs!$B$3&gt;=120</f>
        <v/>
      </c>
      <c r="D2803">
        <f>IF(Skills!C30=1,60+Inputs!$B$25+Inputs!$B$29,IF(Skills!C30=2,90+Inputs!$B$26+Inputs!$B$29,IF(Skills!C30=3,120+Inputs!$B$27+Inputs!$B$29,MAX(0,(Inputs!$B$3-100)*3)+Inputs!$B$28+Inputs!$B$29)))</f>
        <v/>
      </c>
      <c r="E2803">
        <f>INDEX(FactorTable!$B$2:$Y$301, MATCH(ROUND(MIN(300,MAX(1,D2803)),0), FactorTable!$A$2:$A$301,0), Skills!M30+1)</f>
        <v/>
      </c>
      <c r="F2803">
        <f>IF(Skills!N30=TRUE,(Skills!L30/10)*(E2803/1000),Skills!L30/10)+Skills!O30</f>
        <v/>
      </c>
      <c r="G2803">
        <f>Skills!G30*IF(Skills!H30&gt;0,IF(Inputs!$B$39="pvp",MIN(Skills!I30,15),Skills!I30)/Skills!H30,1)</f>
        <v/>
      </c>
      <c r="H2803">
        <f>1-(1-Skills!J30/100)^Skills!K30</f>
        <v/>
      </c>
      <c r="I2803" t="inlineStr">
        <is>
          <t>1</t>
        </is>
      </c>
      <c r="J2803" t="inlineStr"/>
      <c r="K2803" t="inlineStr"/>
      <c r="L2803" t="inlineStr"/>
      <c r="M2803" t="inlineStr"/>
      <c r="N2803" t="inlineStr"/>
      <c r="O2803">
        <f>(1-Summary!$B$11)*T2803+Summary!$B$11*V2803</f>
        <v/>
      </c>
      <c r="P2803">
        <f>IF(B2819=0,0,O2803/B2819)</f>
        <v/>
      </c>
      <c r="Q2803" t="n">
        <v>0</v>
      </c>
      <c r="R2803" t="n">
        <v>0</v>
      </c>
      <c r="S2803">
        <f>IFERROR(O2803/N2803,0)</f>
        <v/>
      </c>
      <c r="T2803" t="n">
        <v>0</v>
      </c>
      <c r="V2803" t="n">
        <v>0</v>
      </c>
    </row>
    <row r="2804">
      <c r="A2804">
        <f>Skills!A31</f>
        <v/>
      </c>
      <c r="B2804">
        <f>Skills!B31</f>
        <v/>
      </c>
      <c r="C2804">
        <f>Inputs!$B$3&gt;=125</f>
        <v/>
      </c>
      <c r="D2804">
        <f>IF(Skills!C31=1,60+Inputs!$B$25+Inputs!$B$29,IF(Skills!C31=2,90+Inputs!$B$26+Inputs!$B$29,IF(Skills!C31=3,120+Inputs!$B$27+Inputs!$B$29,MAX(0,(Inputs!$B$3-100)*3)+Inputs!$B$28+Inputs!$B$29)))</f>
        <v/>
      </c>
      <c r="E2804">
        <f>INDEX(FactorTable!$B$2:$Y$301, MATCH(ROUND(MIN(300,MAX(1,D2804)),0), FactorTable!$A$2:$A$301,0), Skills!M31+1)</f>
        <v/>
      </c>
      <c r="F2804">
        <f>IF(Skills!N31=TRUE,(Skills!L31/10)*(E2804/1000),Skills!L31/10)+Skills!O31</f>
        <v/>
      </c>
      <c r="G2804">
        <f>Skills!G31*IF(Skills!H31&gt;0,IF(Inputs!$B$39="pvp",MIN(Skills!I31,15),Skills!I31)/Skills!H31,1)</f>
        <v/>
      </c>
      <c r="H2804">
        <f>1-(1-Skills!J31/100)^Skills!K31</f>
        <v/>
      </c>
      <c r="I2804" t="inlineStr">
        <is>
          <t>1</t>
        </is>
      </c>
      <c r="J2804" t="inlineStr"/>
      <c r="K2804" t="inlineStr"/>
      <c r="L2804" t="inlineStr"/>
      <c r="M2804" t="inlineStr"/>
      <c r="N2804" t="inlineStr"/>
      <c r="O2804">
        <f>(1-Summary!$B$11)*T2804+Summary!$B$11*V2804</f>
        <v/>
      </c>
      <c r="P2804">
        <f>IF(B2819=0,0,O2804/B2819)</f>
        <v/>
      </c>
      <c r="Q2804" t="n">
        <v>0</v>
      </c>
      <c r="R2804" t="n">
        <v>0</v>
      </c>
      <c r="S2804">
        <f>IFERROR(O2804/N2804,0)</f>
        <v/>
      </c>
      <c r="T2804" t="n">
        <v>0</v>
      </c>
      <c r="V2804" t="n">
        <v>0</v>
      </c>
    </row>
    <row r="2806">
      <c r="A2806" t="inlineStr">
        <is>
          <t>Average Buff Multiplier</t>
        </is>
      </c>
      <c r="B2806">
        <f>(1+(((C2795=TRUE)*F2795*IF(AND(Inputs!$B$39&lt;&gt;"pvp",Inputs!$B$44&gt;0),(((R2795-1)*MIN((Skills!Y22*(1+Inputs!$B$34/100)),(1/Q2795))+MIN((Skills!Y22*(1+Inputs!$B$34/100)),MAX(0,Inputs!$B$44-((R2795-1)*(1/Q2795)))))/Inputs!$B$44),IF(Inputs!$B$39="pvp",MIN((Skills!Y22*(1+Inputs!$B$34/100)),15)/15,MIN(1,(Skills!Y22*(1+Inputs!$B$34/100))/(1/Q2795)))))+((C2776=TRUE)*F2776*3)+((C2778=TRUE)*F2778*(1-EXP(-0.75*B2811*5)))+((C2797=TRUE)*(F2797-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2784=TRUE)*F2784*IF(AND(Inputs!$B$39&lt;&gt;"pvp",Inputs!$B$44&gt;0),(((R2784-1)*MIN((Skills!Y11*(1+Inputs!$B$34/100)),(1/Q2784))+MIN((Skills!Y11*(1+Inputs!$B$34/100)),MAX(0,Inputs!$B$44-((R2784-1)*(1/Q2784)))))/Inputs!$B$44),IF(Inputs!$B$39="pvp",MIN((Skills!Y11*(1+Inputs!$B$34/100)),15)/15,MIN(1,(Skills!Y11*(1+Inputs!$B$34/100))/(1/Q2784)))))/100)*(1+((C2789=TRUE)*F2789*IF(AND(Inputs!$B$39&lt;&gt;"pvp",Inputs!$B$44&gt;0),(((R2789-1)*MIN((Skills!Y16*(1+Inputs!$B$34/100)),(1/Q2789))+MIN((Skills!Y16*(1+Inputs!$B$34/100)),MAX(0,Inputs!$B$44-((R2789-1)*(1/Q2789)))))/Inputs!$B$44),IF(Inputs!$B$39="pvp",MIN((Skills!Y16*(1+Inputs!$B$34/100)),15)/15,MIN(1,(Skills!Y16*(1+Inputs!$B$34/100))/(1/Q2789)))))/100)</f>
        <v/>
      </c>
    </row>
    <row r="2807">
      <c r="A2807" t="inlineStr">
        <is>
          <t>Global Crit Rate Bonus %</t>
        </is>
      </c>
      <c r="B2807">
        <f>((C2794=TRUE)*F2794*IF(AND(Inputs!$B$39&lt;&gt;"pvp",Inputs!$B$44&gt;0),(((R2794-1)*MIN((Skills!Y21*(1+Inputs!$B$34/100)),(1/Q2794))+MIN((Skills!Y21*(1+Inputs!$B$34/100)),MAX(0,Inputs!$B$44-((R2794-1)*(1/Q2794)))))/Inputs!$B$44),IF(Inputs!$B$39="pvp",MIN((Skills!Y21*(1+Inputs!$B$34/100)),15)/15,MIN(1,(Skills!Y21*(1+Inputs!$B$34/100))/(1/Q2794)))))</f>
        <v/>
      </c>
    </row>
    <row r="2808">
      <c r="A2808" t="inlineStr">
        <is>
          <t>Global Monster Damage-Taken Bonus %</t>
        </is>
      </c>
      <c r="B2808">
        <f>IF(Inputs!$B$3&gt;=82,15,0)</f>
        <v/>
      </c>
    </row>
    <row r="2809">
      <c r="A2809" t="inlineStr">
        <is>
          <t>Shadow Partner Average Multiplier</t>
        </is>
      </c>
      <c r="B2809">
        <f>1+((C2781=TRUE)*F2781*(1+3.3333333333333335*IF(C2792=TRUE,F2792,0)/100)*I2781*Skills!J8/100)/100</f>
        <v/>
      </c>
    </row>
    <row r="2810">
      <c r="A2810" t="inlineStr">
        <is>
          <t>Attack Speed Buff Bonus %</t>
        </is>
      </c>
      <c r="B2810">
        <f>((C2793=TRUE)*F2793*IF(AND(Inputs!$B$39&lt;&gt;"pvp",Inputs!$B$44&gt;0),(((R2793-1)*MIN((Skills!Y20*(1+Inputs!$B$34/100)),(1/Q2793))+MIN((Skills!Y20*(1+Inputs!$B$34/100)),MAX(0,Inputs!$B$44-((R2793-1)*(1/Q2793)))))/Inputs!$B$44),IF(Inputs!$B$39="pvp",MIN((Skills!Y20*(1+Inputs!$B$34/100)),15)/15,MIN(1,(Skills!Y20*(1+Inputs!$B$34/100))/(1/Q2793)))))</f>
        <v/>
      </c>
    </row>
    <row r="2811">
      <c r="A2811" t="inlineStr">
        <is>
          <t>Actions Per Second</t>
        </is>
      </c>
      <c r="B2811">
        <f>1+MIN(150,150*(1-(1-(Inputs!$B$11+((C2796=TRUE)*(F2796-Calc!F23)))/150)*(1-B2810/150)))/100</f>
        <v/>
      </c>
    </row>
    <row r="2812">
      <c r="A2812" t="inlineStr">
        <is>
          <t>Skill + Buff Cast Rate</t>
        </is>
      </c>
      <c r="B2812">
        <f>IF(AND(Inputs!$B$39&lt;&gt;"pvp",Inputs!$B$44&gt;0),SUMPRODUCT((Skills!E2:E31=TRUE)*(C2775:C2804=TRUE)*R2775:R2804*Skills!F2:F31)/Inputs!$B$44,SUMPRODUCT((Skills!E2:E31=TRUE)*(C2775:C2804=TRUE)*Q2775:Q2804*Skills!F2:F31))</f>
        <v/>
      </c>
    </row>
    <row r="2813">
      <c r="A2813" t="inlineStr">
        <is>
          <t>Cruel Stab Casts Per Second</t>
        </is>
      </c>
      <c r="B2813">
        <f>MAX(0,B2811-B2812)</f>
        <v/>
      </c>
    </row>
    <row r="2814">
      <c r="A2814" t="inlineStr">
        <is>
          <t>Global Critical Damage Bonus % (Smokescreen Mastery Lv.113)</t>
        </is>
      </c>
      <c r="B2814">
        <f>IF(Inputs!$B$3&gt;=113,30,0)*IF(AND(Inputs!$B$39&lt;&gt;"pvp",Inputs!$B$44&gt;0),(((R2789-1)*MIN((Skills!Y16*(1+Inputs!$B$34/100)),(1/Q2789))+MIN((Skills!Y16*(1+Inputs!$B$34/100)),MAX(0,Inputs!$B$44-((R2789-1)*(1/Q2789)))))/Inputs!$B$44),IF(Inputs!$B$39="pvp",MIN((Skills!Y16*(1+Inputs!$B$34/100)),15)/15,MIN(1,(Skills!Y16*(1+Inputs!$B$34/100))/(1/Q2789))))</f>
        <v/>
      </c>
    </row>
    <row r="2815">
      <c r="A2815" t="inlineStr">
        <is>
          <t>Meso Explosion average stack count</t>
        </is>
      </c>
      <c r="B2815">
        <f>MIN(10,IF(Inputs!$B$3&gt;=75,0.75,0.5)*B2811*(1/Q2777))</f>
        <v/>
      </c>
    </row>
    <row r="2816">
      <c r="A2816" t="inlineStr">
        <is>
          <t>Blood Money average stack count</t>
        </is>
      </c>
      <c r="B2816">
        <f>MIN(5,0.5*IF(Inputs!$B$3&gt;=75,0.75,0.5)*B2811*(1/Q2777))</f>
        <v/>
      </c>
    </row>
    <row r="2817">
      <c r="A2817" t="inlineStr">
        <is>
          <t>Assassinate Murderous Intent Multiplier</t>
        </is>
      </c>
      <c r="B2817">
        <f>1+IFERROR(MIN(1,Q2788*2/Q2785),0)</f>
        <v/>
      </c>
    </row>
    <row r="2818">
      <c r="A2818" t="inlineStr">
        <is>
          <t>Buff-Casting Startup Delay (s, fixed-duration only)</t>
        </is>
      </c>
      <c r="B2818">
        <f>IF(AND(Inputs!$B$39&lt;&gt;"pvp",Inputs!$B$44&gt;0),SUMPRODUCT((Skills!Y2:Y31&gt;0)*(Skills!E2:E31=TRUE)*(C2775:C2804=TRUE))/B2811,0)</f>
        <v/>
      </c>
    </row>
    <row r="2819">
      <c r="A2819" s="6" t="inlineStr">
        <is>
          <t>TOTAL DPS</t>
        </is>
      </c>
      <c r="B2819" s="6">
        <f>SUM(O2775:O2804)</f>
        <v/>
      </c>
    </row>
    <row r="2820">
      <c r="A2820" t="inlineStr">
        <is>
          <t>Boss-Only Total DPS (this block's swept value)</t>
        </is>
      </c>
      <c r="B2820">
        <f>SUM(T2775:T2804)</f>
        <v/>
      </c>
    </row>
    <row r="2821">
      <c r="A2821" t="inlineStr">
        <is>
          <t>Normal-Only Total DPS (this block's swept value)</t>
        </is>
      </c>
      <c r="B2821">
        <f>SUM(V2775:V2804)</f>
        <v/>
      </c>
    </row>
    <row r="2824">
      <c r="A2824" s="6" t="inlineStr">
        <is>
          <t>Stat: Bottle of Emotion (Equip)</t>
        </is>
      </c>
    </row>
    <row r="2825">
      <c r="A2825" s="5" t="inlineStr">
        <is>
          <t>Key</t>
        </is>
      </c>
      <c r="B2825" s="5" t="inlineStr">
        <is>
          <t>Name</t>
        </is>
      </c>
      <c r="C2825" s="5" t="inlineStr">
        <is>
          <t>Unlocked</t>
        </is>
      </c>
      <c r="D2825" s="5" t="inlineStr">
        <is>
          <t>InputLevel</t>
        </is>
      </c>
      <c r="E2825" s="5" t="inlineStr">
        <is>
          <t>Factor</t>
        </is>
      </c>
      <c r="F2825" s="5" t="inlineStr">
        <is>
          <t>CoefficientPercent</t>
        </is>
      </c>
      <c r="G2825" s="5" t="inlineStr">
        <is>
          <t>EffectiveHits</t>
        </is>
      </c>
      <c r="H2825" s="5" t="inlineStr">
        <is>
          <t>ProcProbability</t>
        </is>
      </c>
      <c r="I2825" s="5" t="inlineStr">
        <is>
          <t>MapleHeroMultiplier</t>
        </is>
      </c>
      <c r="J2825" s="5" t="inlineStr">
        <is>
          <t>BaseDamage</t>
        </is>
      </c>
      <c r="K2825" s="5" t="inlineStr">
        <is>
          <t>BaseHitDamage</t>
        </is>
      </c>
      <c r="L2825" s="5" t="inlineStr">
        <is>
          <t>NonCritAvg</t>
        </is>
      </c>
      <c r="M2825" s="5" t="inlineStr">
        <is>
          <t>CritAvg</t>
        </is>
      </c>
      <c r="N2825" s="5" t="inlineStr">
        <is>
          <t>ExpectedDamage(perHit)</t>
        </is>
      </c>
      <c r="O2825" s="5" t="inlineStr">
        <is>
          <t>DPS</t>
        </is>
      </c>
      <c r="P2825" s="5" t="inlineStr">
        <is>
          <t>% of Total</t>
        </is>
      </c>
      <c r="Q2825" s="5" t="inlineStr">
        <is>
          <t>InvCooldown</t>
        </is>
      </c>
      <c r="R2825" s="5" t="inlineStr">
        <is>
          <t>CastsInFight</t>
        </is>
      </c>
      <c r="S2825" s="5" t="inlineStr">
        <is>
          <t>HitRate(perSec)</t>
        </is>
      </c>
      <c r="U2825" t="inlineStr">
        <is>
          <t>helpers</t>
        </is>
      </c>
    </row>
    <row r="2826">
      <c r="A2826">
        <f>Skills!A2</f>
        <v/>
      </c>
      <c r="B2826">
        <f>Skills!B2</f>
        <v/>
      </c>
      <c r="C2826">
        <f>Inputs!$B$3&gt;=100</f>
        <v/>
      </c>
      <c r="D2826" t="inlineStr"/>
      <c r="E2826" t="inlineStr"/>
      <c r="F2826">
        <f>U2828+Skills!O2</f>
        <v/>
      </c>
      <c r="G2826">
        <f>Skills!G2*IF(Skills!H2&gt;0,IF(Inputs!$B$39="pvp",MIN(Skills!I2,15),Skills!I2)/Skills!H2,1)</f>
        <v/>
      </c>
      <c r="H2826">
        <f>1-(1-Skills!J2/100)^Skills!K2</f>
        <v/>
      </c>
      <c r="I2826" t="inlineStr">
        <is>
          <t>1</t>
        </is>
      </c>
      <c r="J2826">
        <f>((Inputs!$B$6*(1+Inputs!$B$7/100))+(((Inputs!$B$12*(1+Inputs!$B$13/100))-(Inputs!$B$12*(1+Inputs!$B$13/100)))+0.25*(Inputs!$B$14-Inputs!$B$14))*(1+Inputs!$B$7/100))*(F2826/100)</f>
        <v/>
      </c>
      <c r="K2826">
        <f>J2826*(1+((Inputs!$B$12*(1+Inputs!$B$13/100))*0.01+Inputs!$B$14*0.0025)/100)*(1+Inputs!$B$15/100)*(1+Inputs!$B$16/100)*(5000/(6000+Inputs!$B$43*(1-(100*(1-(1-Inputs!$B$19/100)*(1-CHOOSE(ArtifactsInput!$N$40+1,5,6,7,8,9,10)/100)^(ArtifactsInput!$M$40-ArtifactsInput!$M$40)))/100)))*(1+(Inputs!$B$24+((C2855=TRUE)*(F2855-Calc!F31))+((C2842=TRUE)*(F2842-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IF(ArtifactsInput!$M$34,FALSE,TRUE),1,-1)*IF(TRUE,MIN(CHOOSE(ArtifactsInput!$N$34+1,10,12,14,16,18,20),MAX(0,(CHOOSE(ArtifactsInput!$N$34+1,0.5,0.6,0.7,0.8,0.9,1)/3)*(Inputs!$B$11-60))),0)))/100)*(1+(IF(Skills!A2="CRUEL_STAB",Inputs!$B$17+((C2852=TRUE)*(F2852-Calc!F28))+((IF(AND(Inputs!$B$39&lt;&gt;"pvp",Inputs!$B$44=0),1,IF(IF(Inputs!$B$39="pvp",15,Inputs!$B$44)-(B2869)&lt;=0,1,MAX(0,IF(Inputs!$B$39="pvp",15,Inputs!$B$44)-MAX(5,B2869))/(IF(Inputs!$B$39="pvp",15,Inputs!$B$44)-(B2869))))*(IF(AND(ArtifactsInput!$M$42,((Inputs!$B$9+((C2850=TRUE)*(F2850-Calc!F26))+B2858+(ArtifactsInput!$M$24-ArtifactsInput!$M$24)*CHOOSE(ArtifactsInput!$N$24+1,10,12,14,16,18,20)+IF(ArtifactsInput!$M$10,CHOOSE(ArtifactsInput!$N$10+1,15,18,21,24,27,30)*(IF(Inputs!$B$39="pvp",MIN(15,15)/15,IF(AND(Inputs!$B$39&lt;&gt;"pvp",Inputs!$B$44&gt;0),MIN(15,Inputs!$B$44)/(Inputs!$B$44),0))),0)))&gt;=100),MIN(100,((Inputs!$B$9+((C2850=TRUE)*(F2850-Calc!F26))+B2858+(ArtifactsInput!$M$24-ArtifactsInput!$M$24)*CHOOSE(ArtifactsInput!$N$24+1,10,12,14,16,18,20)+IF(ArtifactsInput!$M$10,CHOOSE(ArtifactsInput!$N$10+1,15,18,21,24,27,30)*(IF(Inputs!$B$39="pvp",MIN(15,15)/15,IF(AND(Inputs!$B$39&lt;&gt;"pvp",Inputs!$B$44&gt;0),MIN(15,Inputs!$B$44)/(Inputs!$B$44),0))),0)))-100),0))*CHOOSE(ArtifactsInput!$N$42+1,0.6,0.72,0.84,0.96,1.08,1.2))),Inputs!$B$18+((C2853=TRUE)*(F2853-Calc!F29))+(IF(AND(Inputs!$B$39&lt;&gt;"pvp",Inputs!$B$44=0),1,IF(IF(Inputs!$B$39="pvp",15,Inputs!$B$44)-(B2869)&lt;=0,1,MAX(0,IF(Inputs!$B$39="pvp",15,Inputs!$B$44)-MAX(5,B2869))/(IF(Inputs!$B$39="pvp",15,Inputs!$B$44)-(B2869))))*IF(AND(ArtifactsInput!$M$42,((Inputs!$B$9+((C2850=TRUE)*(F2850-Calc!F26))+B2858+(ArtifactsInput!$M$24-ArtifactsInput!$M$24)*CHOOSE(ArtifactsInput!$N$24+1,10,12,14,16,18,20)+IF(ArtifactsInput!$M$10,CHOOSE(ArtifactsInput!$N$10+1,15,18,21,24,27,30)*(IF(Inputs!$B$39="pvp",MIN(15,15)/15,IF(AND(Inputs!$B$39&lt;&gt;"pvp",Inputs!$B$44&gt;0),MIN(15,Inputs!$B$44)/(Inputs!$B$44),0))),0)))&gt;=100),CHOOSE(ArtifactsInput!$N$42+1,40,48,56,64,72,80),0))))/100)*(((1+(((C2846=TRUE)*F2846*IF(AND(Inputs!$B$39&lt;&gt;"pvp",Inputs!$B$44&gt;0),(((R2846-1)*MIN((Skills!Y22*(1+Inputs!$B$34/100)),(1/Q2846))+MIN((Skills!Y22*(1+Inputs!$B$34/100)),MAX(0,Inputs!$B$44-((R2846-1)*(1/Q2846)))))/Inputs!$B$44),IF(Inputs!$B$39="pvp",MIN((Skills!Y22*(1+Inputs!$B$34/100)),15)/15,MIN(1,(Skills!Y22*(1+Inputs!$B$34/100))/(1/Q2846)))))+((C2827=TRUE)*F2827*3)+((C2829=TRUE)*F2829*(1-EXP(-0.75*B2862*5)))+((C2848=TRUE)*(F2848-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IF(ArtifactsInput!$M$34,FALSE,TRUE),CHOOSE(ArtifactsInput!$N$34+1,15,18,21,24,27,30),0)+IF(ArtifactsInput!$M$5,CHOOSE(ArtifactsInput!$N$5+1,10,12,14,16,18,20)*(IF(AND(Inputs!$B$39&lt;&gt;"pvp",Inputs!$B$44=0),0.5,(5*INT(MAX(0,IF(Inputs!$B$39="pvp",15,Inputs!$B$44)-10)/10)+MIN((MAX(0,IF(Inputs!$B$39="pvp",15,Inputs!$B$44)-10)-10*INT(MAX(0,IF(Inputs!$B$39="pvp",15,Inputs!$B$44)-10)/10)),5))/IF(Inputs!$B$39="pvp",15,Inputs!$B$44))),0)))/100)*(1+((C2835=TRUE)*F2835*IF(AND(Inputs!$B$39&lt;&gt;"pvp",Inputs!$B$44&gt;0),(((R2835-1)*MIN((Skills!Y11*(1+Inputs!$B$34/100)),(1/Q2835))+MIN((Skills!Y11*(1+Inputs!$B$34/100)),MAX(0,Inputs!$B$44-((R2835-1)*(1/Q2835)))))/Inputs!$B$44),IF(Inputs!$B$39="pvp",MIN((Skills!Y11*(1+Inputs!$B$34/100)),15)/15,MIN(1,(Skills!Y11*(1+Inputs!$B$34/100))/(1/Q2835)))))/100)*(1+((C2840=TRUE)*F2840*IF(AND(Inputs!$B$39&lt;&gt;"pvp",Inputs!$B$44&gt;0),(((R2840-1)*MIN((Skills!Y16*(1+Inputs!$B$34/100)),(1/Q2840))+MIN((Skills!Y16*(1+Inputs!$B$34/100)),MAX(0,Inputs!$B$44-((R2840-1)*(1/Q2840)))))/Inputs!$B$44),IF(Inputs!$B$39="pvp",MIN((Skills!Y16*(1+Inputs!$B$34/100)),15)/15,MIN(1,(Skills!Y16*(1+Inputs!$B$34/100))/(1/Q2840)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2860*I2826)</f>
        <v/>
      </c>
      <c r="L2826">
        <f>K2826*(MIN(Inputs!$B$22+((C2849=TRUE)*(F2849-Calc!F25)),(Inputs!$B$23+((C2854=TRUE)*(F2854-Calc!F30))+IF(ArtifactsInput!$M$15,CHOOSE(ArtifactsInput!$N$15+1,25,30,35,40,45,50)/100*(Inputs!$B$11-Inputs!$B$11),0)))/100+(Inputs!$B$23+((C2854=TRUE)*(F2854-Calc!F30))+IF(ArtifactsInput!$M$15,CHOOSE(ArtifactsInput!$N$15+1,25,30,35,40,45,50)/100*(Inputs!$B$11-Inputs!$B$11),0))/100)/2</f>
        <v/>
      </c>
      <c r="M2826">
        <f>L2826*(1+(Inputs!$B$10+((C2851=TRUE)*(F2851-Calc!F27))+B2865+(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2826">
        <f>L2826*(1-MIN((Inputs!$B$9+((C2850=TRUE)*(F2850-Calc!F26))+B2858+(ArtifactsInput!$M$24-ArtifactsInput!$M$24)*CHOOSE(ArtifactsInput!$N$24+1,10,12,14,16,18,20)+(IF(AND(Inputs!$B$39&lt;&gt;"pvp",Inputs!$B$44=0),1,IF(IF(Inputs!$B$39="pvp",15,Inputs!$B$44)-(B2869)&lt;=0,1,MAX(0,IF(Inputs!$B$39="pvp",15,Inputs!$B$44)-MAX(5,B2869))/(IF(Inputs!$B$39="pvp",15,Inputs!$B$44)-(B2869))))*IF(AND(ArtifactsInput!$M$42,((Inputs!$B$9+((C2850=TRUE)*(F2850-Calc!F26))+B2858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2826*(MIN((Inputs!$B$9+((C2850=TRUE)*(F2850-Calc!F26))+B2858+(ArtifactsInput!$M$24-ArtifactsInput!$M$24)*CHOOSE(ArtifactsInput!$N$24+1,10,12,14,16,18,20)+(IF(AND(Inputs!$B$39&lt;&gt;"pvp",Inputs!$B$44=0),1,IF(IF(Inputs!$B$39="pvp",15,Inputs!$B$44)-(B2869)&lt;=0,1,MAX(0,IF(Inputs!$B$39="pvp",15,Inputs!$B$44)-MAX(5,B2869))/(IF(Inputs!$B$39="pvp",15,Inputs!$B$44)-(B2869))))*IF(AND(ArtifactsInput!$M$42,((Inputs!$B$9+((C2850=TRUE)*(F2850-Calc!F26))+B2858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826">
        <f>(1-Summary!$B$11)*T2826+Summary!$B$11*V2826</f>
        <v/>
      </c>
      <c r="P2826">
        <f>IF(B2870=0,0,O2826/B2870)</f>
        <v/>
      </c>
      <c r="Q2826" t="n">
        <v>0</v>
      </c>
      <c r="R2826" t="n">
        <v>0</v>
      </c>
      <c r="S2826">
        <f>IFERROR(O2826/N2826,0)</f>
        <v/>
      </c>
      <c r="T2826">
        <f>IF(C2826,(Skills!G2*N2826*B2864)*IF(Inputs!$B$39="pvp",1,1+(Inputs!$B$20+0+Skills!P2+B2859+(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Hunt"),CHOOSE(ArtifactsInput!$N$35+1,15,18,21,24,27,30)*(1-EXP(-(0.2*B2862)*5)),0)+IF(AND(ArtifactsInput!$M$22,Inputs!$B$4&lt;&gt;"Chapter Hunt"),CHOOSE(ArtifactsInput!$N$22+1,10,12,14,16,18,20)*((0*(((0.15*B2862*5))^0/1)+1*(((0.15*B2862*5))^1/1)+2*(((0.15*B2862*5))^2/2)+3*(((0.15*B2862*5))^3/6)+4*(((0.15*B2862*5))^4/24)+5*(((0.15*B2862*5))^5/120))/((((0.15*B2862*5))^0/1)+(((0.15*B2862*5))^1/1)+(((0.15*B2862*5))^2/2)+(((0.15*B2862*5))^3/6)+(((0.15*B2862*5))^4/24)+(((0.15*B2862*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2826*(1-MIN(100,(Inputs!$B$9+((C2850=TRUE)*(F2850-Calc!F26))+B2858+(ArtifactsInput!$M$24-ArtifactsInput!$M$24)*CHOOSE(ArtifactsInput!$N$24+1,10,12,14,16,18,20)+(IF(AND(Inputs!$B$39&lt;&gt;"pvp",Inputs!$B$44=0),1,IF(IF(Inputs!$B$39="pvp",15,Inputs!$B$44)-(B2869)&lt;=0,1,MAX(0,IF(Inputs!$B$39="pvp",15,Inputs!$B$44)-MAX(5,B2869))/(IF(Inputs!$B$39="pvp",15,Inputs!$B$44)-(B2869))))*IF(AND(ArtifactsInput!$M$42,((Inputs!$B$9+((C2850=TRUE)*(F2850-Calc!F26))+B2858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2826*(MIN(100,(Inputs!$B$9+((C2850=TRUE)*(F2850-Calc!F26))+B2858+(ArtifactsInput!$M$24-ArtifactsInput!$M$24)*CHOOSE(ArtifactsInput!$N$24+1,10,12,14,16,18,20)+(IF(AND(Inputs!$B$39&lt;&gt;"pvp",Inputs!$B$44=0),1,IF(IF(Inputs!$B$39="pvp",15,Inputs!$B$44)-(B2869)&lt;=0,1,MAX(0,IF(Inputs!$B$39="pvp",15,Inputs!$B$44)-MAX(5,B2869))/(IF(Inputs!$B$39="pvp",15,Inputs!$B$44)-(B2869))))*IF(AND(ArtifactsInput!$M$42,((Inputs!$B$9+((C2850=TRUE)*(F2850-Calc!F26))+B2858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2826*(1-MIN(100,(Inputs!$B$9+((C2850=TRUE)*(F2850-Calc!F26))+B2858+(ArtifactsInput!$M$24-ArtifactsInput!$M$24)*CHOOSE(ArtifactsInput!$N$24+1,10,12,14,16,18,20)+(IF(AND(Inputs!$B$39&lt;&gt;"pvp",Inputs!$B$44=0),1,IF(IF(Inputs!$B$39="pvp",15,Inputs!$B$44)-(B2869)&lt;=0,1,MAX(0,IF(Inputs!$B$39="pvp",15,Inputs!$B$44)-MAX(5,B2869))/(IF(Inputs!$B$39="pvp",15,Inputs!$B$44)-(B2869))))*IF(AND(ArtifactsInput!$M$42,((Inputs!$B$9+((C2850=TRUE)*(F2850-Calc!F26))+B2858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2826*(MIN(100,(Inputs!$B$9+((C2850=TRUE)*(F2850-Calc!F26))+B2858+(ArtifactsInput!$M$24-ArtifactsInput!$M$24)*CHOOSE(ArtifactsInput!$N$24+1,10,12,14,16,18,20)+(IF(AND(Inputs!$B$39&lt;&gt;"pvp",Inputs!$B$44=0),1,IF(IF(Inputs!$B$39="pvp",15,Inputs!$B$44)-(B2869)&lt;=0,1,MAX(0,IF(Inputs!$B$39="pvp",15,Inputs!$B$44)-MAX(5,B2869))/(IF(Inputs!$B$39="pvp",15,Inputs!$B$44)-(B2869))))*IF(AND(ArtifactsInput!$M$42,((Inputs!$B$9+((C2850=TRUE)*(F2850-Calc!F26))+B2858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2826">
        <f>MAX(0,(Inputs!$B$3-100)*3)+Inputs!$B$28+Inputs!$B$29</f>
        <v/>
      </c>
      <c r="V2826">
        <f>IF(C2826,(Skills!G2*N2826*B2864)*IF(Inputs!$B$39="pvp",1,(1+(Inputs!$B$21+Skills!Q2+B2859+(IF(ArtifactsInput!$M$33,CHOOSE(ArtifactsInput!$N$33+1,30,36,42,48,54,60),0))+(IF(AND(ArtifactsInput!$M$35,Inputs!$B$4&lt;&gt;"Chapter Hunt"),CHOOSE(ArtifactsInput!$N$35+1,15,18,21,24,27,30)*(1-EXP(-(0.2*B2862)*5)),0)+IF(AND(ArtifactsInput!$M$22,Inputs!$B$4&lt;&gt;"Chapter Hunt"),CHOOSE(ArtifactsInput!$N$22+1,10,12,14,16,18,20)*((0*(((0.15*B2862*5))^0/1)+1*(((0.15*B2862*5))^1/1)+2*(((0.15*B2862*5))^2/2)+3*(((0.15*B2862*5))^3/6)+4*(((0.15*B2862*5))^4/24)+5*(((0.15*B2862*5))^5/120))/((((0.15*B2862*5))^0/1)+(((0.15*B2862*5))^1/1)+(((0.15*B2862*5))^2/2)+(((0.15*B2862*5))^3/6)+(((0.15*B2862*5))^4/24)+(((0.15*B2862*5))^5/120))),0)))/100)*(MIN((6+Inputs!$B$33),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827">
      <c r="A2827">
        <f>Skills!A3</f>
        <v/>
      </c>
      <c r="B2827">
        <f>Skills!B3</f>
        <v/>
      </c>
      <c r="C2827">
        <f>Inputs!$B$3&gt;=35</f>
        <v/>
      </c>
      <c r="D2827">
        <f>IF(Skills!C3=1,60+Inputs!$B$25+Inputs!$B$29,IF(Skills!C3=2,90+Inputs!$B$26+Inputs!$B$29,IF(Skills!C3=3,120+Inputs!$B$27+Inputs!$B$29,MAX(0,(Inputs!$B$3-100)*3)+Inputs!$B$28+Inputs!$B$29)))</f>
        <v/>
      </c>
      <c r="E2827">
        <f>INDEX(FactorTable!$B$2:$Y$301, MATCH(ROUND(MIN(300,MAX(1,D2827)),0), FactorTable!$A$2:$A$301,0), Skills!M3+1)</f>
        <v/>
      </c>
      <c r="F2827">
        <f>IF(Skills!N3=TRUE,(Skills!L3/10)*(E2827/1000),Skills!L3/10)+Skills!O3</f>
        <v/>
      </c>
      <c r="G2827">
        <f>Skills!G3*IF(Skills!H3&gt;0,IF(Inputs!$B$39="pvp",MIN(Skills!I3,15),Skills!I3)/Skills!H3,1)</f>
        <v/>
      </c>
      <c r="H2827">
        <f>1-(1-Skills!J3/100)^Skills!K3</f>
        <v/>
      </c>
      <c r="I2827" t="inlineStr">
        <is>
          <t>1</t>
        </is>
      </c>
      <c r="J2827" t="inlineStr"/>
      <c r="K2827" t="inlineStr"/>
      <c r="L2827" t="inlineStr"/>
      <c r="M2827" t="inlineStr"/>
      <c r="N2827" t="inlineStr"/>
      <c r="O2827">
        <f>(1-Summary!$B$11)*T2827+Summary!$B$11*V2827</f>
        <v/>
      </c>
      <c r="P2827">
        <f>IF(B2870=0,0,O2827/B2870)</f>
        <v/>
      </c>
      <c r="Q2827" t="n">
        <v>0</v>
      </c>
      <c r="R2827" t="n">
        <v>0</v>
      </c>
      <c r="S2827">
        <f>IFERROR(O2827/N2827,0)</f>
        <v/>
      </c>
      <c r="T2827" t="n">
        <v>0</v>
      </c>
      <c r="U2827">
        <f>INDEX(FactorTable!$B$2:$Y$301, MATCH(ROUND(MIN(300,MAX(1,U2826)),0), FactorTable!$A$2:$A$301,0), 22)</f>
        <v/>
      </c>
      <c r="V2827" t="n">
        <v>0</v>
      </c>
    </row>
    <row r="2828">
      <c r="A2828">
        <f>Skills!A4</f>
        <v/>
      </c>
      <c r="B2828">
        <f>Skills!B4</f>
        <v/>
      </c>
      <c r="C2828">
        <f>Inputs!$B$3&gt;=66</f>
        <v/>
      </c>
      <c r="D2828">
        <f>IF(Skills!C4=1,60+Inputs!$B$25+Inputs!$B$29,IF(Skills!C4=2,90+Inputs!$B$26+Inputs!$B$29,IF(Skills!C4=3,120+Inputs!$B$27+Inputs!$B$29,MAX(0,(Inputs!$B$3-100)*3)+Inputs!$B$28+Inputs!$B$29)))</f>
        <v/>
      </c>
      <c r="E2828">
        <f>INDEX(FactorTable!$B$2:$Y$301, MATCH(ROUND(MIN(300,MAX(1,D2828)),0), FactorTable!$A$2:$A$301,0), Skills!M4+1)</f>
        <v/>
      </c>
      <c r="F2828">
        <f>IF(Skills!N4=TRUE,(Skills!L4/10)*(E2828/1000),Skills!L4/10)+Skills!O4</f>
        <v/>
      </c>
      <c r="G2828">
        <f>Skills!G4*IF(Skills!H4&gt;0,IF(Inputs!$B$39="pvp",MIN(Skills!I4,15),Skills!I4)/Skills!H4,1)</f>
        <v/>
      </c>
      <c r="H2828">
        <f>1-(1-Skills!J4/100)^Skills!K4</f>
        <v/>
      </c>
      <c r="I2828" t="inlineStr">
        <is>
          <t>1</t>
        </is>
      </c>
      <c r="J2828">
        <f>((Inputs!$B$6*(1+Inputs!$B$7/100))+(((Inputs!$B$12*(1+Inputs!$B$13/100))-(Inputs!$B$12*(1+Inputs!$B$13/100)))+0.25*(Inputs!$B$14-Inputs!$B$14))*(1+Inputs!$B$7/100))*(F2828/100)</f>
        <v/>
      </c>
      <c r="K2828">
        <f>J2828*(1+((Inputs!$B$12*(1+Inputs!$B$13/100))*0.01+Inputs!$B$14*0.0025)/100)*(1+Inputs!$B$15/100)*(1+Inputs!$B$16/100)*(5000/(6000+Inputs!$B$43*(1-(100*(1-(1-Inputs!$B$19/100)*(1-CHOOSE(ArtifactsInput!$N$40+1,5,6,7,8,9,10)/100)^(ArtifactsInput!$M$40-ArtifactsInput!$M$40)))/100)))*(1+(Inputs!$B$24+((C2855=TRUE)*(F2855-Calc!F31))+((C2842=TRUE)*(F2842-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IF(ArtifactsInput!$M$34,FALSE,TRUE),1,-1)*IF(TRUE,MIN(CHOOSE(ArtifactsInput!$N$34+1,10,12,14,16,18,20),MAX(0,(CHOOSE(ArtifactsInput!$N$34+1,0.5,0.6,0.7,0.8,0.9,1)/3)*(Inputs!$B$11-60))),0)))/100)*(1+(IF(Skills!A4="CRUEL_STAB",Inputs!$B$17+((C2852=TRUE)*(F2852-Calc!F28))+((IF(AND(Inputs!$B$39&lt;&gt;"pvp",Inputs!$B$44=0),1,IF(IF(Inputs!$B$39="pvp",15,Inputs!$B$44)-(B2869)&lt;=0,1,MAX(0,IF(Inputs!$B$39="pvp",15,Inputs!$B$44)-MAX(5,B2869))/(IF(Inputs!$B$39="pvp",15,Inputs!$B$44)-(B2869))))*(IF(AND(ArtifactsInput!$M$42,((Inputs!$B$9+((C2850=TRUE)*(F2850-Calc!F26))+B2858+(ArtifactsInput!$M$24-ArtifactsInput!$M$24)*CHOOSE(ArtifactsInput!$N$24+1,10,12,14,16,18,20)+IF(ArtifactsInput!$M$10,CHOOSE(ArtifactsInput!$N$10+1,15,18,21,24,27,30)*(IF(Inputs!$B$39="pvp",MIN(15,15)/15,IF(AND(Inputs!$B$39&lt;&gt;"pvp",Inputs!$B$44&gt;0),MIN(15,Inputs!$B$44)/(Inputs!$B$44),0))),0)))&gt;=100),MIN(100,((Inputs!$B$9+((C2850=TRUE)*(F2850-Calc!F26))+B2858+(ArtifactsInput!$M$24-ArtifactsInput!$M$24)*CHOOSE(ArtifactsInput!$N$24+1,10,12,14,16,18,20)+IF(ArtifactsInput!$M$10,CHOOSE(ArtifactsInput!$N$10+1,15,18,21,24,27,30)*(IF(Inputs!$B$39="pvp",MIN(15,15)/15,IF(AND(Inputs!$B$39&lt;&gt;"pvp",Inputs!$B$44&gt;0),MIN(15,Inputs!$B$44)/(Inputs!$B$44),0))),0)))-100),0))*CHOOSE(ArtifactsInput!$N$42+1,0.6,0.72,0.84,0.96,1.08,1.2))),Inputs!$B$18+((C2853=TRUE)*(F2853-Calc!F29))+(IF(AND(Inputs!$B$39&lt;&gt;"pvp",Inputs!$B$44=0),1,IF(IF(Inputs!$B$39="pvp",15,Inputs!$B$44)-(B2869)&lt;=0,1,MAX(0,IF(Inputs!$B$39="pvp",15,Inputs!$B$44)-MAX(5,B2869))/(IF(Inputs!$B$39="pvp",15,Inputs!$B$44)-(B2869))))*IF(AND(ArtifactsInput!$M$42,((Inputs!$B$9+((C2850=TRUE)*(F2850-Calc!F26))+B2858+(ArtifactsInput!$M$24-ArtifactsInput!$M$24)*CHOOSE(ArtifactsInput!$N$24+1,10,12,14,16,18,20)+IF(ArtifactsInput!$M$10,CHOOSE(ArtifactsInput!$N$10+1,15,18,21,24,27,30)*(IF(Inputs!$B$39="pvp",MIN(15,15)/15,IF(AND(Inputs!$B$39&lt;&gt;"pvp",Inputs!$B$44&gt;0),MIN(15,Inputs!$B$44)/(Inputs!$B$44),0))),0)))&gt;=100),CHOOSE(ArtifactsInput!$N$42+1,40,48,56,64,72,80),0))))/100)*(((1+(((C2846=TRUE)*F2846*IF(AND(Inputs!$B$39&lt;&gt;"pvp",Inputs!$B$44&gt;0),(((R2846-1)*MIN((Skills!Y22*(1+Inputs!$B$34/100)),(1/Q2846))+MIN((Skills!Y22*(1+Inputs!$B$34/100)),MAX(0,Inputs!$B$44-((R2846-1)*(1/Q2846)))))/Inputs!$B$44),IF(Inputs!$B$39="pvp",MIN((Skills!Y22*(1+Inputs!$B$34/100)),15)/15,MIN(1,(Skills!Y22*(1+Inputs!$B$34/100))/(1/Q2846)))))+((C2827=TRUE)*F2827*3)+((C2829=TRUE)*F2829*(1-EXP(-0.75*B2862*5)))+((C2848=TRUE)*(F2848-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IF(ArtifactsInput!$M$34,FALSE,TRUE),CHOOSE(ArtifactsInput!$N$34+1,15,18,21,24,27,30),0)+IF(ArtifactsInput!$M$5,CHOOSE(ArtifactsInput!$N$5+1,10,12,14,16,18,20)*(IF(AND(Inputs!$B$39&lt;&gt;"pvp",Inputs!$B$44=0),0.5,(5*INT(MAX(0,IF(Inputs!$B$39="pvp",15,Inputs!$B$44)-10)/10)+MIN((MAX(0,IF(Inputs!$B$39="pvp",15,Inputs!$B$44)-10)-10*INT(MAX(0,IF(Inputs!$B$39="pvp",15,Inputs!$B$44)-10)/10)),5))/IF(Inputs!$B$39="pvp",15,Inputs!$B$44))),0)))/100)*(1+((C2835=TRUE)*F2835*IF(AND(Inputs!$B$39&lt;&gt;"pvp",Inputs!$B$44&gt;0),(((R2835-1)*MIN((Skills!Y11*(1+Inputs!$B$34/100)),(1/Q2835))+MIN((Skills!Y11*(1+Inputs!$B$34/100)),MAX(0,Inputs!$B$44-((R2835-1)*(1/Q2835)))))/Inputs!$B$44),IF(Inputs!$B$39="pvp",MIN((Skills!Y11*(1+Inputs!$B$34/100)),15)/15,MIN(1,(Skills!Y11*(1+Inputs!$B$34/100))/(1/Q2835)))))/100)*(1+((C2840=TRUE)*F2840*IF(AND(Inputs!$B$39&lt;&gt;"pvp",Inputs!$B$44&gt;0),(((R2840-1)*MIN((Skills!Y16*(1+Inputs!$B$34/100)),(1/Q2840))+MIN((Skills!Y16*(1+Inputs!$B$34/100)),MAX(0,Inputs!$B$44-((R2840-1)*(1/Q2840)))))/Inputs!$B$44),IF(Inputs!$B$39="pvp",MIN((Skills!Y16*(1+Inputs!$B$34/100)),15)/15,MIN(1,(Skills!Y16*(1+Inputs!$B$34/100))/(1/Q2840)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2860*I2828)</f>
        <v/>
      </c>
      <c r="L2828">
        <f>K2828*(MIN(Inputs!$B$22+((C2849=TRUE)*(F2849-Calc!F25)),(Inputs!$B$23+((C2854=TRUE)*(F2854-Calc!F30))+IF(ArtifactsInput!$M$15,CHOOSE(ArtifactsInput!$N$15+1,25,30,35,40,45,50)/100*(Inputs!$B$11-Inputs!$B$11),0)))/100+(Inputs!$B$23+((C2854=TRUE)*(F2854-Calc!F30))+IF(ArtifactsInput!$M$15,CHOOSE(ArtifactsInput!$N$15+1,25,30,35,40,45,50)/100*(Inputs!$B$11-Inputs!$B$11),0))/100)/2</f>
        <v/>
      </c>
      <c r="M2828">
        <f>L2828*(1+(Inputs!$B$10+((C2851=TRUE)*(F2851-Calc!F27))+B2865+(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2828">
        <f>L2828*(1-MIN((Inputs!$B$9+((C2850=TRUE)*(F2850-Calc!F26))+B2858+(ArtifactsInput!$M$24-ArtifactsInput!$M$24)*CHOOSE(ArtifactsInput!$N$24+1,10,12,14,16,18,20)+(IF(AND(Inputs!$B$39&lt;&gt;"pvp",Inputs!$B$44=0),1,IF(IF(Inputs!$B$39="pvp",15,Inputs!$B$44)-(B2869)&lt;=0,1,MAX(0,IF(Inputs!$B$39="pvp",15,Inputs!$B$44)-MAX(5,B2869))/(IF(Inputs!$B$39="pvp",15,Inputs!$B$44)-(B2869))))*IF(AND(ArtifactsInput!$M$42,((Inputs!$B$9+((C2850=TRUE)*(F2850-Calc!F26))+B2858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2828*(MIN((Inputs!$B$9+((C2850=TRUE)*(F2850-Calc!F26))+B2858+(ArtifactsInput!$M$24-ArtifactsInput!$M$24)*CHOOSE(ArtifactsInput!$N$24+1,10,12,14,16,18,20)+(IF(AND(Inputs!$B$39&lt;&gt;"pvp",Inputs!$B$44=0),1,IF(IF(Inputs!$B$39="pvp",15,Inputs!$B$44)-(B2869)&lt;=0,1,MAX(0,IF(Inputs!$B$39="pvp",15,Inputs!$B$44)-MAX(5,B2869))/(IF(Inputs!$B$39="pvp",15,Inputs!$B$44)-(B2869))))*IF(AND(ArtifactsInput!$M$42,((Inputs!$B$9+((C2850=TRUE)*(F2850-Calc!F26))+B2858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828">
        <f>(1-Summary!$B$11)*T2828+Summary!$B$11*V2828</f>
        <v/>
      </c>
      <c r="P2828">
        <f>IF(B2870=0,0,O2828/B2870)</f>
        <v/>
      </c>
      <c r="Q2828">
        <f>IFERROR(1/IF(Inputs!$B$39="pvp",15,MAX(0.1,Skills!D4-IF(TRUE=TRUE,Inputs!$B$32,0))),0)</f>
        <v/>
      </c>
      <c r="R2828">
        <f>IF(AND(Inputs!$B$39&lt;&gt;"pvp",Inputs!$B$44&gt;0),IF(MAX(0,Inputs!$B$44-B2869)&lt;=0,0,(INT(MAX(0,Inputs!$B$44-B2869)/IF(Inputs!$B$39="pvp",15,MAX(0.1,Skills!D4-IF(TRUE=TRUE,Inputs!$B$32,0))))+1)),0)</f>
        <v/>
      </c>
      <c r="S2828">
        <f>IFERROR(O2828/N2828,0)</f>
        <v/>
      </c>
      <c r="T2828">
        <f>IF(C2828,(H2828*N2828*IF(AND(Inputs!$B$39&lt;&gt;"pvp",Inputs!$B$44&gt;0),((Skills!G4*((R2828-1)*IF(Skills!H4&gt;0,Skills!I4/Skills!H4,1)+IF(Skills!H4&gt;0,MIN(Skills!I4,MAX(0,MAX(0,Inputs!$B$44-B2869)-((R2828-1)*IF(Inputs!$B$39="pvp",15,MAX(0.1,Skills!D4-IF(TRUE=TRUE,Inputs!$B$32,0))))))/Skills!H4,1)))/Inputs!$B$44),G2828*Q2828))*IF(Inputs!$B$39="pvp",1,1+(Inputs!$B$20+0+Skills!P4+B2859+(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Hunt"),CHOOSE(ArtifactsInput!$N$35+1,15,18,21,24,27,30)*(1-EXP(-(0.2*B2862)*5)),0)+IF(AND(ArtifactsInput!$M$22,Inputs!$B$4&lt;&gt;"Chapter Hunt"),CHOOSE(ArtifactsInput!$N$22+1,10,12,14,16,18,20)*((0*(((0.15*B2862*5))^0/1)+1*(((0.15*B2862*5))^1/1)+2*(((0.15*B2862*5))^2/2)+3*(((0.15*B2862*5))^3/6)+4*(((0.15*B2862*5))^4/24)+5*(((0.15*B2862*5))^5/120))/((((0.15*B2862*5))^0/1)+(((0.15*B2862*5))^1/1)+(((0.15*B2862*5))^2/2)+(((0.15*B2862*5))^3/6)+(((0.15*B2862*5))^4/24)+(((0.15*B2862*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2828*(1-MIN(100,(Inputs!$B$9+((C2850=TRUE)*(F2850-Calc!F26))+B2858+(ArtifactsInput!$M$24-ArtifactsInput!$M$24)*CHOOSE(ArtifactsInput!$N$24+1,10,12,14,16,18,20)+(IF(AND(Inputs!$B$39&lt;&gt;"pvp",Inputs!$B$44=0),1,IF(IF(Inputs!$B$39="pvp",15,Inputs!$B$44)-(B2869)&lt;=0,1,MAX(0,IF(Inputs!$B$39="pvp",15,Inputs!$B$44)-MAX(5,B2869))/(IF(Inputs!$B$39="pvp",15,Inputs!$B$44)-(B2869))))*IF(AND(ArtifactsInput!$M$42,((Inputs!$B$9+((C2850=TRUE)*(F2850-Calc!F26))+B2858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2828*(MIN(100,(Inputs!$B$9+((C2850=TRUE)*(F2850-Calc!F26))+B2858+(ArtifactsInput!$M$24-ArtifactsInput!$M$24)*CHOOSE(ArtifactsInput!$N$24+1,10,12,14,16,18,20)+(IF(AND(Inputs!$B$39&lt;&gt;"pvp",Inputs!$B$44=0),1,IF(IF(Inputs!$B$39="pvp",15,Inputs!$B$44)-(B2869)&lt;=0,1,MAX(0,IF(Inputs!$B$39="pvp",15,Inputs!$B$44)-MAX(5,B2869))/(IF(Inputs!$B$39="pvp",15,Inputs!$B$44)-(B2869))))*IF(AND(ArtifactsInput!$M$42,((Inputs!$B$9+((C2850=TRUE)*(F2850-Calc!F26))+B2858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2828*(1-MIN(100,(Inputs!$B$9+((C2850=TRUE)*(F2850-Calc!F26))+B2858+(ArtifactsInput!$M$24-ArtifactsInput!$M$24)*CHOOSE(ArtifactsInput!$N$24+1,10,12,14,16,18,20)+(IF(AND(Inputs!$B$39&lt;&gt;"pvp",Inputs!$B$44=0),1,IF(IF(Inputs!$B$39="pvp",15,Inputs!$B$44)-(B2869)&lt;=0,1,MAX(0,IF(Inputs!$B$39="pvp",15,Inputs!$B$44)-MAX(5,B2869))/(IF(Inputs!$B$39="pvp",15,Inputs!$B$44)-(B2869))))*IF(AND(ArtifactsInput!$M$42,((Inputs!$B$9+((C2850=TRUE)*(F2850-Calc!F26))+B2858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2828*(MIN(100,(Inputs!$B$9+((C2850=TRUE)*(F2850-Calc!F26))+B2858+(ArtifactsInput!$M$24-ArtifactsInput!$M$24)*CHOOSE(ArtifactsInput!$N$24+1,10,12,14,16,18,20)+(IF(AND(Inputs!$B$39&lt;&gt;"pvp",Inputs!$B$44=0),1,IF(IF(Inputs!$B$39="pvp",15,Inputs!$B$44)-(B2869)&lt;=0,1,MAX(0,IF(Inputs!$B$39="pvp",15,Inputs!$B$44)-MAX(5,B2869))/(IF(Inputs!$B$39="pvp",15,Inputs!$B$44)-(B2869))))*IF(AND(ArtifactsInput!$M$42,((Inputs!$B$9+((C2850=TRUE)*(F2850-Calc!F26))+B2858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2828">
        <f>290*U2827/1000</f>
        <v/>
      </c>
      <c r="V2828">
        <f>IF(C2828,(H2828*N2828*IF(AND(Inputs!$B$39&lt;&gt;"pvp",Inputs!$B$44&gt;0),((Skills!G4*((R2828-1)*IF(Skills!H4&gt;0,Skills!I4/Skills!H4,1)+IF(Skills!H4&gt;0,MIN(Skills!I4,MAX(0,MAX(0,Inputs!$B$44-B2869)-((R2828-1)*IF(Inputs!$B$39="pvp",15,MAX(0.1,Skills!D4-IF(TRUE=TRUE,Inputs!$B$32,0))))))/Skills!H4,1)))/Inputs!$B$44),G2828*Q2828))*IF(Inputs!$B$39="pvp",1,(1+(Inputs!$B$21+Skills!Q4+B2859+(IF(ArtifactsInput!$M$33,CHOOSE(ArtifactsInput!$N$33+1,30,36,42,48,54,60),0))+(IF(AND(ArtifactsInput!$M$35,Inputs!$B$4&lt;&gt;"Chapter Hunt"),CHOOSE(ArtifactsInput!$N$35+1,15,18,21,24,27,30)*(1-EXP(-(0.2*B2862)*5)),0)+IF(AND(ArtifactsInput!$M$22,Inputs!$B$4&lt;&gt;"Chapter Hunt"),CHOOSE(ArtifactsInput!$N$22+1,10,12,14,16,18,20)*((0*(((0.15*B2862*5))^0/1)+1*(((0.15*B2862*5))^1/1)+2*(((0.15*B2862*5))^2/2)+3*(((0.15*B2862*5))^3/6)+4*(((0.15*B2862*5))^4/24)+5*(((0.15*B2862*5))^5/120))/((((0.15*B2862*5))^0/1)+(((0.15*B2862*5))^1/1)+(((0.15*B2862*5))^2/2)+(((0.15*B2862*5))^3/6)+(((0.15*B2862*5))^4/24)+(((0.15*B2862*5))^5/120))),0)))/100)*(MIN(MIN(10,IF(Inputs!$B$3&gt;=75,0.75,0.5)*B2862*(1/Q2828)),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829">
      <c r="A2829">
        <f>Skills!A5</f>
        <v/>
      </c>
      <c r="B2829">
        <f>Skills!B5</f>
        <v/>
      </c>
      <c r="C2829">
        <f>Inputs!$B$3&gt;=75</f>
        <v/>
      </c>
      <c r="D2829">
        <f>IF(Skills!C5=1,60+Inputs!$B$25+Inputs!$B$29,IF(Skills!C5=2,90+Inputs!$B$26+Inputs!$B$29,IF(Skills!C5=3,120+Inputs!$B$27+Inputs!$B$29,MAX(0,(Inputs!$B$3-100)*3)+Inputs!$B$28+Inputs!$B$29)))</f>
        <v/>
      </c>
      <c r="E2829">
        <f>INDEX(FactorTable!$B$2:$Y$301, MATCH(ROUND(MIN(300,MAX(1,D2829)),0), FactorTable!$A$2:$A$301,0), Skills!M5+1)</f>
        <v/>
      </c>
      <c r="F2829">
        <f>IF(Skills!N5=TRUE,(Skills!L5/10)*(E2829/1000),Skills!L5/10)+Skills!O5</f>
        <v/>
      </c>
      <c r="G2829">
        <f>Skills!G5*IF(Skills!H5&gt;0,IF(Inputs!$B$39="pvp",MIN(Skills!I5,15),Skills!I5)/Skills!H5,1)</f>
        <v/>
      </c>
      <c r="H2829">
        <f>1-(1-Skills!J5/100)^Skills!K5</f>
        <v/>
      </c>
      <c r="I2829" t="inlineStr">
        <is>
          <t>1</t>
        </is>
      </c>
      <c r="J2829" t="inlineStr"/>
      <c r="K2829" t="inlineStr"/>
      <c r="L2829" t="inlineStr"/>
      <c r="M2829" t="inlineStr"/>
      <c r="N2829" t="inlineStr"/>
      <c r="O2829">
        <f>(1-Summary!$B$11)*T2829+Summary!$B$11*V2829</f>
        <v/>
      </c>
      <c r="P2829">
        <f>IF(B2870=0,0,O2829/B2870)</f>
        <v/>
      </c>
      <c r="Q2829" t="n">
        <v>0</v>
      </c>
      <c r="R2829" t="n">
        <v>0</v>
      </c>
      <c r="S2829">
        <f>IFERROR(O2829/N2829,0)</f>
        <v/>
      </c>
      <c r="T2829" t="n">
        <v>0</v>
      </c>
      <c r="V2829" t="n">
        <v>0</v>
      </c>
    </row>
    <row r="2830">
      <c r="A2830">
        <f>Skills!A6</f>
        <v/>
      </c>
      <c r="B2830">
        <f>Skills!B6</f>
        <v/>
      </c>
      <c r="C2830">
        <f>Inputs!$B$3&gt;=63</f>
        <v/>
      </c>
      <c r="D2830">
        <f>IF(Skills!C6=1,60+Inputs!$B$25+Inputs!$B$29,IF(Skills!C6=2,90+Inputs!$B$26+Inputs!$B$29,IF(Skills!C6=3,120+Inputs!$B$27+Inputs!$B$29,MAX(0,(Inputs!$B$3-100)*3)+Inputs!$B$28+Inputs!$B$29)))</f>
        <v/>
      </c>
      <c r="E2830">
        <f>INDEX(FactorTable!$B$2:$Y$301, MATCH(ROUND(MIN(300,MAX(1,D2830)),0), FactorTable!$A$2:$A$301,0), Skills!M6+1)</f>
        <v/>
      </c>
      <c r="F2830">
        <f>IF(Skills!N6=TRUE,(Skills!L6/10)*(E2830/1000),Skills!L6/10)+Skills!O6</f>
        <v/>
      </c>
      <c r="G2830">
        <f>Skills!G6*IF(Skills!H6&gt;0,IF(Inputs!$B$39="pvp",MIN(Skills!I6,15),Skills!I6)/Skills!H6,1)</f>
        <v/>
      </c>
      <c r="H2830">
        <f>1-(1-Skills!J6/100)^Skills!K6</f>
        <v/>
      </c>
      <c r="I2830" t="inlineStr">
        <is>
          <t>1</t>
        </is>
      </c>
      <c r="J2830">
        <f>((Inputs!$B$6*(1+Inputs!$B$7/100))+(((Inputs!$B$12*(1+Inputs!$B$13/100))-(Inputs!$B$12*(1+Inputs!$B$13/100)))+0.25*(Inputs!$B$14-Inputs!$B$14))*(1+Inputs!$B$7/100))*(F2830/100)</f>
        <v/>
      </c>
      <c r="K2830">
        <f>J2830*(1+((Inputs!$B$12*(1+Inputs!$B$13/100))*0.01+Inputs!$B$14*0.0025)/100)*(1+Inputs!$B$15/100)*(1+Inputs!$B$16/100)*(5000/(6000+Inputs!$B$43*(1-(100*(1-(1-Inputs!$B$19/100)*(1-CHOOSE(ArtifactsInput!$N$40+1,5,6,7,8,9,10)/100)^(ArtifactsInput!$M$40-ArtifactsInput!$M$40)))/100)))*(1+(Inputs!$B$24+((C2855=TRUE)*(F2855-Calc!F31))+((C2842=TRUE)*(F2842-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IF(ArtifactsInput!$M$34,FALSE,TRUE),1,-1)*IF(TRUE,MIN(CHOOSE(ArtifactsInput!$N$34+1,10,12,14,16,18,20),MAX(0,(CHOOSE(ArtifactsInput!$N$34+1,0.5,0.6,0.7,0.8,0.9,1)/3)*(Inputs!$B$11-60))),0)))/100)*(1+2.6666666666666665*IF(C2843=TRUE,F2843,0)/100)*(1+(IF(Skills!A6="CRUEL_STAB",Inputs!$B$17+((C2852=TRUE)*(F2852-Calc!F28))+((IF(AND(Inputs!$B$39&lt;&gt;"pvp",Inputs!$B$44=0),1,IF(IF(Inputs!$B$39="pvp",15,Inputs!$B$44)-(B2869)&lt;=0,1,MAX(0,IF(Inputs!$B$39="pvp",15,Inputs!$B$44)-MAX(5,B2869))/(IF(Inputs!$B$39="pvp",15,Inputs!$B$44)-(B2869))))*(IF(AND(ArtifactsInput!$M$42,((Inputs!$B$9+((C2850=TRUE)*(F2850-Calc!F26))+B2858+(ArtifactsInput!$M$24-ArtifactsInput!$M$24)*CHOOSE(ArtifactsInput!$N$24+1,10,12,14,16,18,20)+IF(ArtifactsInput!$M$10,CHOOSE(ArtifactsInput!$N$10+1,15,18,21,24,27,30)*(IF(Inputs!$B$39="pvp",MIN(15,15)/15,IF(AND(Inputs!$B$39&lt;&gt;"pvp",Inputs!$B$44&gt;0),MIN(15,Inputs!$B$44)/(Inputs!$B$44),0))),0)))&gt;=100),MIN(100,((Inputs!$B$9+((C2850=TRUE)*(F2850-Calc!F26))+B2858+(ArtifactsInput!$M$24-ArtifactsInput!$M$24)*CHOOSE(ArtifactsInput!$N$24+1,10,12,14,16,18,20)+IF(ArtifactsInput!$M$10,CHOOSE(ArtifactsInput!$N$10+1,15,18,21,24,27,30)*(IF(Inputs!$B$39="pvp",MIN(15,15)/15,IF(AND(Inputs!$B$39&lt;&gt;"pvp",Inputs!$B$44&gt;0),MIN(15,Inputs!$B$44)/(Inputs!$B$44),0))),0)))-100),0))*CHOOSE(ArtifactsInput!$N$42+1,0.6,0.72,0.84,0.96,1.08,1.2))),Inputs!$B$18+((C2853=TRUE)*(F2853-Calc!F29))+(IF(AND(Inputs!$B$39&lt;&gt;"pvp",Inputs!$B$44=0),1,IF(IF(Inputs!$B$39="pvp",15,Inputs!$B$44)-(B2869)&lt;=0,1,MAX(0,IF(Inputs!$B$39="pvp",15,Inputs!$B$44)-MAX(5,B2869))/(IF(Inputs!$B$39="pvp",15,Inputs!$B$44)-(B2869))))*IF(AND(ArtifactsInput!$M$42,((Inputs!$B$9+((C2850=TRUE)*(F2850-Calc!F26))+B2858+(ArtifactsInput!$M$24-ArtifactsInput!$M$24)*CHOOSE(ArtifactsInput!$N$24+1,10,12,14,16,18,20)+IF(ArtifactsInput!$M$10,CHOOSE(ArtifactsInput!$N$10+1,15,18,21,24,27,30)*(IF(Inputs!$B$39="pvp",MIN(15,15)/15,IF(AND(Inputs!$B$39&lt;&gt;"pvp",Inputs!$B$44&gt;0),MIN(15,Inputs!$B$44)/(Inputs!$B$44),0))),0)))&gt;=100),CHOOSE(ArtifactsInput!$N$42+1,40,48,56,64,72,80),0))))/100)*(((1+(((C2846=TRUE)*F2846*IF(AND(Inputs!$B$39&lt;&gt;"pvp",Inputs!$B$44&gt;0),(((R2846-1)*MIN((Skills!Y22*(1+Inputs!$B$34/100)),(1/Q2846))+MIN((Skills!Y22*(1+Inputs!$B$34/100)),MAX(0,Inputs!$B$44-((R2846-1)*(1/Q2846)))))/Inputs!$B$44),IF(Inputs!$B$39="pvp",MIN((Skills!Y22*(1+Inputs!$B$34/100)),15)/15,MIN(1,(Skills!Y22*(1+Inputs!$B$34/100))/(1/Q2846)))))+((C2827=TRUE)*F2827*3)+((C2829=TRUE)*F2829*(1-EXP(-0.75*B2862*5)))+((C2848=TRUE)*(F2848-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IF(ArtifactsInput!$M$34,FALSE,TRUE),CHOOSE(ArtifactsInput!$N$34+1,15,18,21,24,27,30),0)+IF(ArtifactsInput!$M$5,CHOOSE(ArtifactsInput!$N$5+1,10,12,14,16,18,20)*(IF(AND(Inputs!$B$39&lt;&gt;"pvp",Inputs!$B$44=0),0.5,(5*INT(MAX(0,IF(Inputs!$B$39="pvp",15,Inputs!$B$44)-10)/10)+MIN((MAX(0,IF(Inputs!$B$39="pvp",15,Inputs!$B$44)-10)-10*INT(MAX(0,IF(Inputs!$B$39="pvp",15,Inputs!$B$44)-10)/10)),5))/IF(Inputs!$B$39="pvp",15,Inputs!$B$44))),0)))/100)*(1+((C2835=TRUE)*F2835*IF(AND(Inputs!$B$39&lt;&gt;"pvp",Inputs!$B$44&gt;0),(((R2835-1)*MIN((Skills!Y11*(1+Inputs!$B$34/100)),(1/Q2835))+MIN((Skills!Y11*(1+Inputs!$B$34/100)),MAX(0,Inputs!$B$44-((R2835-1)*(1/Q2835)))))/Inputs!$B$44),IF(Inputs!$B$39="pvp",MIN((Skills!Y11*(1+Inputs!$B$34/100)),15)/15,MIN(1,(Skills!Y11*(1+Inputs!$B$34/100))/(1/Q2835)))))/100)*(1+((C2840=TRUE)*F2840*IF(AND(Inputs!$B$39&lt;&gt;"pvp",Inputs!$B$44&gt;0),(((R2840-1)*MIN((Skills!Y16*(1+Inputs!$B$34/100)),(1/Q2840))+MIN((Skills!Y16*(1+Inputs!$B$34/100)),MAX(0,Inputs!$B$44-((R2840-1)*(1/Q2840)))))/Inputs!$B$44),IF(Inputs!$B$39="pvp",MIN((Skills!Y16*(1+Inputs!$B$34/100)),15)/15,MIN(1,(Skills!Y16*(1+Inputs!$B$34/100))/(1/Q2840)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2860*I2830)</f>
        <v/>
      </c>
      <c r="L2830">
        <f>K2830*(MIN(Inputs!$B$22+((C2849=TRUE)*(F2849-Calc!F25)),(Inputs!$B$23+((C2854=TRUE)*(F2854-Calc!F30))+IF(ArtifactsInput!$M$15,CHOOSE(ArtifactsInput!$N$15+1,25,30,35,40,45,50)/100*(Inputs!$B$11-Inputs!$B$11),0)))/100+(Inputs!$B$23+((C2854=TRUE)*(F2854-Calc!F30))+IF(ArtifactsInput!$M$15,CHOOSE(ArtifactsInput!$N$15+1,25,30,35,40,45,50)/100*(Inputs!$B$11-Inputs!$B$11),0))/100)/2</f>
        <v/>
      </c>
      <c r="M2830">
        <f>L2830*(1+(Inputs!$B$10+((C2851=TRUE)*(F2851-Calc!F27))+B2865+(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2830">
        <f>L2830*(1-MIN((Inputs!$B$9+((C2850=TRUE)*(F2850-Calc!F26))+B2858+(ArtifactsInput!$M$24-ArtifactsInput!$M$24)*CHOOSE(ArtifactsInput!$N$24+1,10,12,14,16,18,20)+(IF(AND(Inputs!$B$39&lt;&gt;"pvp",Inputs!$B$44=0),1,IF(IF(Inputs!$B$39="pvp",15,Inputs!$B$44)-(B2869)&lt;=0,1,MAX(0,IF(Inputs!$B$39="pvp",15,Inputs!$B$44)-MAX(5,B2869))/(IF(Inputs!$B$39="pvp",15,Inputs!$B$44)-(B2869))))*IF(AND(ArtifactsInput!$M$42,((Inputs!$B$9+((C2850=TRUE)*(F2850-Calc!F26))+B2858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2830*(MIN((Inputs!$B$9+((C2850=TRUE)*(F2850-Calc!F26))+B2858+(ArtifactsInput!$M$24-ArtifactsInput!$M$24)*CHOOSE(ArtifactsInput!$N$24+1,10,12,14,16,18,20)+(IF(AND(Inputs!$B$39&lt;&gt;"pvp",Inputs!$B$44=0),1,IF(IF(Inputs!$B$39="pvp",15,Inputs!$B$44)-(B2869)&lt;=0,1,MAX(0,IF(Inputs!$B$39="pvp",15,Inputs!$B$44)-MAX(5,B2869))/(IF(Inputs!$B$39="pvp",15,Inputs!$B$44)-(B2869))))*IF(AND(ArtifactsInput!$M$42,((Inputs!$B$9+((C2850=TRUE)*(F2850-Calc!F26))+B2858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830">
        <f>(1-Summary!$B$11)*T2830+Summary!$B$11*V2830</f>
        <v/>
      </c>
      <c r="P2830">
        <f>IF(B2870=0,0,O2830/B2870)</f>
        <v/>
      </c>
      <c r="Q2830">
        <f>IFERROR(1/IF(Inputs!$B$39="pvp",15,MAX(0.1,Skills!D6-IF(TRUE=TRUE,Inputs!$B$32,0))),0)</f>
        <v/>
      </c>
      <c r="R2830">
        <f>IF(AND(Inputs!$B$39&lt;&gt;"pvp",Inputs!$B$44&gt;0),IF(MAX(0,Inputs!$B$44-B2869)&lt;=0,0,(INT(MAX(0,Inputs!$B$44-B2869)/IF(Inputs!$B$39="pvp",15,MAX(0.1,Skills!D6-IF(TRUE=TRUE,Inputs!$B$32,0))))+1)),0)</f>
        <v/>
      </c>
      <c r="S2830">
        <f>IFERROR(O2830/N2830,0)</f>
        <v/>
      </c>
      <c r="T2830">
        <f>IF(C2830,(H2830*N2830*IF(AND(Inputs!$B$39&lt;&gt;"pvp",Inputs!$B$44&gt;0),((Skills!G6*((R2830-1)*IF(Skills!H6&gt;0,Skills!I6/Skills!H6,1)+IF(Skills!H6&gt;0,MIN(Skills!I6,MAX(0,MAX(0,Inputs!$B$44-B2869)-((R2830-1)*IF(Inputs!$B$39="pvp",15,MAX(0.1,Skills!D6-IF(TRUE=TRUE,Inputs!$B$32,0))))))/Skills!H6,1)))/Inputs!$B$44),G2830*Q2830))*IF(Inputs!$B$39="pvp",1,1+(Inputs!$B$20+0+Skills!P6+B2859+(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Hunt"),CHOOSE(ArtifactsInput!$N$35+1,15,18,21,24,27,30)*(1-EXP(-(0.2*B2862)*5)),0)+IF(AND(ArtifactsInput!$M$22,Inputs!$B$4&lt;&gt;"Chapter Hunt"),CHOOSE(ArtifactsInput!$N$22+1,10,12,14,16,18,20)*((0*(((0.15*B2862*5))^0/1)+1*(((0.15*B2862*5))^1/1)+2*(((0.15*B2862*5))^2/2)+3*(((0.15*B2862*5))^3/6)+4*(((0.15*B2862*5))^4/24)+5*(((0.15*B2862*5))^5/120))/((((0.15*B2862*5))^0/1)+(((0.15*B2862*5))^1/1)+(((0.15*B2862*5))^2/2)+(((0.15*B2862*5))^3/6)+(((0.15*B2862*5))^4/24)+(((0.15*B2862*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2830*(1-MIN(100,(Inputs!$B$9+((C2850=TRUE)*(F2850-Calc!F26))+B2858+(ArtifactsInput!$M$24-ArtifactsInput!$M$24)*CHOOSE(ArtifactsInput!$N$24+1,10,12,14,16,18,20)+(IF(AND(Inputs!$B$39&lt;&gt;"pvp",Inputs!$B$44=0),1,IF(IF(Inputs!$B$39="pvp",15,Inputs!$B$44)-(B2869)&lt;=0,1,MAX(0,IF(Inputs!$B$39="pvp",15,Inputs!$B$44)-MAX(5,B2869))/(IF(Inputs!$B$39="pvp",15,Inputs!$B$44)-(B2869))))*IF(AND(ArtifactsInput!$M$42,((Inputs!$B$9+((C2850=TRUE)*(F2850-Calc!F26))+B2858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2830*(MIN(100,(Inputs!$B$9+((C2850=TRUE)*(F2850-Calc!F26))+B2858+(ArtifactsInput!$M$24-ArtifactsInput!$M$24)*CHOOSE(ArtifactsInput!$N$24+1,10,12,14,16,18,20)+(IF(AND(Inputs!$B$39&lt;&gt;"pvp",Inputs!$B$44=0),1,IF(IF(Inputs!$B$39="pvp",15,Inputs!$B$44)-(B2869)&lt;=0,1,MAX(0,IF(Inputs!$B$39="pvp",15,Inputs!$B$44)-MAX(5,B2869))/(IF(Inputs!$B$39="pvp",15,Inputs!$B$44)-(B2869))))*IF(AND(ArtifactsInput!$M$42,((Inputs!$B$9+((C2850=TRUE)*(F2850-Calc!F26))+B2858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2830*(1-MIN(100,(Inputs!$B$9+((C2850=TRUE)*(F2850-Calc!F26))+B2858+(ArtifactsInput!$M$24-ArtifactsInput!$M$24)*CHOOSE(ArtifactsInput!$N$24+1,10,12,14,16,18,20)+(IF(AND(Inputs!$B$39&lt;&gt;"pvp",Inputs!$B$44=0),1,IF(IF(Inputs!$B$39="pvp",15,Inputs!$B$44)-(B2869)&lt;=0,1,MAX(0,IF(Inputs!$B$39="pvp",15,Inputs!$B$44)-MAX(5,B2869))/(IF(Inputs!$B$39="pvp",15,Inputs!$B$44)-(B2869))))*IF(AND(ArtifactsInput!$M$42,((Inputs!$B$9+((C2850=TRUE)*(F2850-Calc!F26))+B2858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2830*(MIN(100,(Inputs!$B$9+((C2850=TRUE)*(F2850-Calc!F26))+B2858+(ArtifactsInput!$M$24-ArtifactsInput!$M$24)*CHOOSE(ArtifactsInput!$N$24+1,10,12,14,16,18,20)+(IF(AND(Inputs!$B$39&lt;&gt;"pvp",Inputs!$B$44=0),1,IF(IF(Inputs!$B$39="pvp",15,Inputs!$B$44)-(B2869)&lt;=0,1,MAX(0,IF(Inputs!$B$39="pvp",15,Inputs!$B$44)-MAX(5,B2869))/(IF(Inputs!$B$39="pvp",15,Inputs!$B$44)-(B2869))))*IF(AND(ArtifactsInput!$M$42,((Inputs!$B$9+((C2850=TRUE)*(F2850-Calc!F26))+B2858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830">
        <f>IF(C2830,(H2830*N2830*IF(AND(Inputs!$B$39&lt;&gt;"pvp",Inputs!$B$44&gt;0),((Skills!G6*((R2830-1)*IF(Skills!H6&gt;0,Skills!I6/Skills!H6,1)+IF(Skills!H6&gt;0,MIN(Skills!I6,MAX(0,MAX(0,Inputs!$B$44-B2869)-((R2830-1)*IF(Inputs!$B$39="pvp",15,MAX(0.1,Skills!D6-IF(TRUE=TRUE,Inputs!$B$32,0))))))/Skills!H6,1)))/Inputs!$B$44),G2830*Q2830))*IF(Inputs!$B$39="pvp",1,(1+(Inputs!$B$21+Skills!Q6+B2859+(IF(ArtifactsInput!$M$33,CHOOSE(ArtifactsInput!$N$33+1,30,36,42,48,54,60),0))+(IF(AND(ArtifactsInput!$M$35,Inputs!$B$4&lt;&gt;"Chapter Hunt"),CHOOSE(ArtifactsInput!$N$35+1,15,18,21,24,27,30)*(1-EXP(-(0.2*B2862)*5)),0)+IF(AND(ArtifactsInput!$M$22,Inputs!$B$4&lt;&gt;"Chapter Hunt"),CHOOSE(ArtifactsInput!$N$22+1,10,12,14,16,18,20)*((0*(((0.15*B2862*5))^0/1)+1*(((0.15*B2862*5))^1/1)+2*(((0.15*B2862*5))^2/2)+3*(((0.15*B2862*5))^3/6)+4*(((0.15*B2862*5))^4/24)+5*(((0.15*B2862*5))^5/120))/((((0.15*B2862*5))^0/1)+(((0.15*B2862*5))^1/1)+(((0.15*B2862*5))^2/2)+(((0.15*B2862*5))^3/6)+(((0.15*B2862*5))^4/24)+(((0.15*B2862*5))^5/120))),0)))/100)*(MIN(Skills!W6,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831">
      <c r="A2831">
        <f>Skills!A7</f>
        <v/>
      </c>
      <c r="B2831">
        <f>Skills!B7</f>
        <v/>
      </c>
      <c r="C2831">
        <f>Inputs!$B$3&gt;=69</f>
        <v/>
      </c>
      <c r="D2831">
        <f>IF(Skills!C7=1,60+Inputs!$B$25+Inputs!$B$29,IF(Skills!C7=2,90+Inputs!$B$26+Inputs!$B$29,IF(Skills!C7=3,120+Inputs!$B$27+Inputs!$B$29,MAX(0,(Inputs!$B$3-100)*3)+Inputs!$B$28+Inputs!$B$29)))</f>
        <v/>
      </c>
      <c r="E2831">
        <f>INDEX(FactorTable!$B$2:$Y$301, MATCH(ROUND(MIN(300,MAX(1,D2831)),0), FactorTable!$A$2:$A$301,0), Skills!M7+1)</f>
        <v/>
      </c>
      <c r="F2831">
        <f>IF(Skills!N7=TRUE,(Skills!L7/10)*(E2831/1000),Skills!L7/10)+Skills!O7</f>
        <v/>
      </c>
      <c r="G2831">
        <f>Skills!G7*IF(Skills!H7&gt;0,IF(Inputs!$B$39="pvp",MIN(Skills!I7,15),Skills!I7)/Skills!H7,1)</f>
        <v/>
      </c>
      <c r="H2831">
        <f>1-(1-Skills!J7/100)^Skills!K7</f>
        <v/>
      </c>
      <c r="I2831" t="inlineStr">
        <is>
          <t>1</t>
        </is>
      </c>
      <c r="J2831">
        <f>((Inputs!$B$6*(1+Inputs!$B$7/100))+(((Inputs!$B$12*(1+Inputs!$B$13/100))-(Inputs!$B$12*(1+Inputs!$B$13/100)))+0.25*(Inputs!$B$14-Inputs!$B$14))*(1+Inputs!$B$7/100))*(F2831/100)</f>
        <v/>
      </c>
      <c r="K2831">
        <f>J2831*(1+((Inputs!$B$12*(1+Inputs!$B$13/100))*0.01+Inputs!$B$14*0.0025)/100)*(1+Inputs!$B$15/100)*(1+Inputs!$B$16/100)*(5000/(6000+Inputs!$B$43*(1-(100*(1-(1-Inputs!$B$19/100)*(1-CHOOSE(ArtifactsInput!$N$40+1,5,6,7,8,9,10)/100)^(ArtifactsInput!$M$40-ArtifactsInput!$M$40)))/100)))*(1+(Inputs!$B$24+((C2855=TRUE)*(F2855-Calc!F31))+((C2842=TRUE)*(F2842-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IF(ArtifactsInput!$M$34,FALSE,TRUE),1,-1)*IF(TRUE,MIN(CHOOSE(ArtifactsInput!$N$34+1,10,12,14,16,18,20),MAX(0,(CHOOSE(ArtifactsInput!$N$34+1,0.5,0.6,0.7,0.8,0.9,1)/3)*(Inputs!$B$11-60))),0)))/100)*(1+1.0*IF(C2843=TRUE,F2843,0)/100)*(1+(IF(Skills!A7="CRUEL_STAB",Inputs!$B$17+((C2852=TRUE)*(F2852-Calc!F28))+((IF(AND(Inputs!$B$39&lt;&gt;"pvp",Inputs!$B$44=0),1,IF(IF(Inputs!$B$39="pvp",15,Inputs!$B$44)-(B2869)&lt;=0,1,MAX(0,IF(Inputs!$B$39="pvp",15,Inputs!$B$44)-MAX(5,B2869))/(IF(Inputs!$B$39="pvp",15,Inputs!$B$44)-(B2869))))*(IF(AND(ArtifactsInput!$M$42,((Inputs!$B$9+((C2850=TRUE)*(F2850-Calc!F26))+B2858+(ArtifactsInput!$M$24-ArtifactsInput!$M$24)*CHOOSE(ArtifactsInput!$N$24+1,10,12,14,16,18,20)+IF(ArtifactsInput!$M$10,CHOOSE(ArtifactsInput!$N$10+1,15,18,21,24,27,30)*(IF(Inputs!$B$39="pvp",MIN(15,15)/15,IF(AND(Inputs!$B$39&lt;&gt;"pvp",Inputs!$B$44&gt;0),MIN(15,Inputs!$B$44)/(Inputs!$B$44),0))),0)))&gt;=100),MIN(100,((Inputs!$B$9+((C2850=TRUE)*(F2850-Calc!F26))+B2858+(ArtifactsInput!$M$24-ArtifactsInput!$M$24)*CHOOSE(ArtifactsInput!$N$24+1,10,12,14,16,18,20)+IF(ArtifactsInput!$M$10,CHOOSE(ArtifactsInput!$N$10+1,15,18,21,24,27,30)*(IF(Inputs!$B$39="pvp",MIN(15,15)/15,IF(AND(Inputs!$B$39&lt;&gt;"pvp",Inputs!$B$44&gt;0),MIN(15,Inputs!$B$44)/(Inputs!$B$44),0))),0)))-100),0))*CHOOSE(ArtifactsInput!$N$42+1,0.6,0.72,0.84,0.96,1.08,1.2))),Inputs!$B$18+((C2853=TRUE)*(F2853-Calc!F29))+(IF(AND(Inputs!$B$39&lt;&gt;"pvp",Inputs!$B$44=0),1,IF(IF(Inputs!$B$39="pvp",15,Inputs!$B$44)-(B2869)&lt;=0,1,MAX(0,IF(Inputs!$B$39="pvp",15,Inputs!$B$44)-MAX(5,B2869))/(IF(Inputs!$B$39="pvp",15,Inputs!$B$44)-(B2869))))*IF(AND(ArtifactsInput!$M$42,((Inputs!$B$9+((C2850=TRUE)*(F2850-Calc!F26))+B2858+(ArtifactsInput!$M$24-ArtifactsInput!$M$24)*CHOOSE(ArtifactsInput!$N$24+1,10,12,14,16,18,20)+IF(ArtifactsInput!$M$10,CHOOSE(ArtifactsInput!$N$10+1,15,18,21,24,27,30)*(IF(Inputs!$B$39="pvp",MIN(15,15)/15,IF(AND(Inputs!$B$39&lt;&gt;"pvp",Inputs!$B$44&gt;0),MIN(15,Inputs!$B$44)/(Inputs!$B$44),0))),0)))&gt;=100),CHOOSE(ArtifactsInput!$N$42+1,40,48,56,64,72,80),0))))/100)*(((1+(((C2846=TRUE)*F2846*IF(AND(Inputs!$B$39&lt;&gt;"pvp",Inputs!$B$44&gt;0),(((R2846-1)*MIN((Skills!Y22*(1+Inputs!$B$34/100)),(1/Q2846))+MIN((Skills!Y22*(1+Inputs!$B$34/100)),MAX(0,Inputs!$B$44-((R2846-1)*(1/Q2846)))))/Inputs!$B$44),IF(Inputs!$B$39="pvp",MIN((Skills!Y22*(1+Inputs!$B$34/100)),15)/15,MIN(1,(Skills!Y22*(1+Inputs!$B$34/100))/(1/Q2846)))))+((C2827=TRUE)*F2827*3)+((C2829=TRUE)*F2829*(1-EXP(-0.75*B2862*5)))+((C2848=TRUE)*(F2848-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IF(ArtifactsInput!$M$34,FALSE,TRUE),CHOOSE(ArtifactsInput!$N$34+1,15,18,21,24,27,30),0)+IF(ArtifactsInput!$M$5,CHOOSE(ArtifactsInput!$N$5+1,10,12,14,16,18,20)*(IF(AND(Inputs!$B$39&lt;&gt;"pvp",Inputs!$B$44=0),0.5,(5*INT(MAX(0,IF(Inputs!$B$39="pvp",15,Inputs!$B$44)-10)/10)+MIN((MAX(0,IF(Inputs!$B$39="pvp",15,Inputs!$B$44)-10)-10*INT(MAX(0,IF(Inputs!$B$39="pvp",15,Inputs!$B$44)-10)/10)),5))/IF(Inputs!$B$39="pvp",15,Inputs!$B$44))),0)))/100)*(1+((C2835=TRUE)*F2835*IF(AND(Inputs!$B$39&lt;&gt;"pvp",Inputs!$B$44&gt;0),(((R2835-1)*MIN((Skills!Y11*(1+Inputs!$B$34/100)),(1/Q2835))+MIN((Skills!Y11*(1+Inputs!$B$34/100)),MAX(0,Inputs!$B$44-((R2835-1)*(1/Q2835)))))/Inputs!$B$44),IF(Inputs!$B$39="pvp",MIN((Skills!Y11*(1+Inputs!$B$34/100)),15)/15,MIN(1,(Skills!Y11*(1+Inputs!$B$34/100))/(1/Q2835)))))/100)*(1+((C2840=TRUE)*F2840*IF(AND(Inputs!$B$39&lt;&gt;"pvp",Inputs!$B$44&gt;0),(((R2840-1)*MIN((Skills!Y16*(1+Inputs!$B$34/100)),(1/Q2840))+MIN((Skills!Y16*(1+Inputs!$B$34/100)),MAX(0,Inputs!$B$44-((R2840-1)*(1/Q2840)))))/Inputs!$B$44),IF(Inputs!$B$39="pvp",MIN((Skills!Y16*(1+Inputs!$B$34/100)),15)/15,MIN(1,(Skills!Y16*(1+Inputs!$B$34/100))/(1/Q2840)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2860*I2831)</f>
        <v/>
      </c>
      <c r="L2831">
        <f>K2831*(MIN(Inputs!$B$22+((C2849=TRUE)*(F2849-Calc!F25)),(Inputs!$B$23+((C2854=TRUE)*(F2854-Calc!F30))+IF(ArtifactsInput!$M$15,CHOOSE(ArtifactsInput!$N$15+1,25,30,35,40,45,50)/100*(Inputs!$B$11-Inputs!$B$11),0)))/100+(Inputs!$B$23+((C2854=TRUE)*(F2854-Calc!F30))+IF(ArtifactsInput!$M$15,CHOOSE(ArtifactsInput!$N$15+1,25,30,35,40,45,50)/100*(Inputs!$B$11-Inputs!$B$11),0))/100)/2</f>
        <v/>
      </c>
      <c r="M2831">
        <f>L2831*(1+(Inputs!$B$10+((C2851=TRUE)*(F2851-Calc!F27))+B2865+(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2831">
        <f>L2831*(1-MIN((Inputs!$B$9+((C2850=TRUE)*(F2850-Calc!F26))+B2858+(ArtifactsInput!$M$24-ArtifactsInput!$M$24)*CHOOSE(ArtifactsInput!$N$24+1,10,12,14,16,18,20)+(IF(AND(Inputs!$B$39&lt;&gt;"pvp",Inputs!$B$44=0),1,IF(IF(Inputs!$B$39="pvp",15,Inputs!$B$44)-(B2869)&lt;=0,1,MAX(0,IF(Inputs!$B$39="pvp",15,Inputs!$B$44)-MAX(5,B2869))/(IF(Inputs!$B$39="pvp",15,Inputs!$B$44)-(B2869))))*IF(AND(ArtifactsInput!$M$42,((Inputs!$B$9+((C2850=TRUE)*(F2850-Calc!F26))+B2858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2831*(MIN((Inputs!$B$9+((C2850=TRUE)*(F2850-Calc!F26))+B2858+(ArtifactsInput!$M$24-ArtifactsInput!$M$24)*CHOOSE(ArtifactsInput!$N$24+1,10,12,14,16,18,20)+(IF(AND(Inputs!$B$39&lt;&gt;"pvp",Inputs!$B$44=0),1,IF(IF(Inputs!$B$39="pvp",15,Inputs!$B$44)-(B2869)&lt;=0,1,MAX(0,IF(Inputs!$B$39="pvp",15,Inputs!$B$44)-MAX(5,B2869))/(IF(Inputs!$B$39="pvp",15,Inputs!$B$44)-(B2869))))*IF(AND(ArtifactsInput!$M$42,((Inputs!$B$9+((C2850=TRUE)*(F2850-Calc!F26))+B2858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831">
        <f>(1-Summary!$B$11)*T2831+Summary!$B$11*V2831</f>
        <v/>
      </c>
      <c r="P2831">
        <f>IF(B2870=0,0,O2831/B2870)</f>
        <v/>
      </c>
      <c r="Q2831">
        <f>IFERROR(1/IF(Inputs!$B$39="pvp",15,MAX(0.1,Skills!D7-IF(TRUE=TRUE,Inputs!$B$32,0))),0)</f>
        <v/>
      </c>
      <c r="R2831">
        <f>IF(AND(Inputs!$B$39&lt;&gt;"pvp",Inputs!$B$44&gt;0),IF(MAX(0,Inputs!$B$44-B2869)&lt;=0,0,(INT(MAX(0,Inputs!$B$44-B2869)/IF(Inputs!$B$39="pvp",15,MAX(0.1,Skills!D7-IF(TRUE=TRUE,Inputs!$B$32,0))))+1)),0)</f>
        <v/>
      </c>
      <c r="S2831">
        <f>IFERROR(O2831/N2831,0)</f>
        <v/>
      </c>
      <c r="T2831">
        <f>IF(C2831,(H2831*N2831*IF(AND(Inputs!$B$39&lt;&gt;"pvp",Inputs!$B$44&gt;0),((Skills!G7*((R2831-1)*IF(Skills!H7&gt;0,Skills!I7/Skills!H7,1)+IF(Skills!H7&gt;0,MIN(Skills!I7,MAX(0,MAX(0,Inputs!$B$44-B2869)-((R2831-1)*IF(Inputs!$B$39="pvp",15,MAX(0.1,Skills!D7-IF(TRUE=TRUE,Inputs!$B$32,0))))))/Skills!H7,1)))/Inputs!$B$44),G2831*Q2831))*IF(Inputs!$B$39="pvp",1,1+(Inputs!$B$20+0+Skills!P7+B2859+(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Hunt"),CHOOSE(ArtifactsInput!$N$35+1,15,18,21,24,27,30)*(1-EXP(-(0.2*B2862)*5)),0)+IF(AND(ArtifactsInput!$M$22,Inputs!$B$4&lt;&gt;"Chapter Hunt"),CHOOSE(ArtifactsInput!$N$22+1,10,12,14,16,18,20)*((0*(((0.15*B2862*5))^0/1)+1*(((0.15*B2862*5))^1/1)+2*(((0.15*B2862*5))^2/2)+3*(((0.15*B2862*5))^3/6)+4*(((0.15*B2862*5))^4/24)+5*(((0.15*B2862*5))^5/120))/((((0.15*B2862*5))^0/1)+(((0.15*B2862*5))^1/1)+(((0.15*B2862*5))^2/2)+(((0.15*B2862*5))^3/6)+(((0.15*B2862*5))^4/24)+(((0.15*B2862*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2831*(1-MIN(100,(Inputs!$B$9+((C2850=TRUE)*(F2850-Calc!F26))+B2858+(ArtifactsInput!$M$24-ArtifactsInput!$M$24)*CHOOSE(ArtifactsInput!$N$24+1,10,12,14,16,18,20)+(IF(AND(Inputs!$B$39&lt;&gt;"pvp",Inputs!$B$44=0),1,IF(IF(Inputs!$B$39="pvp",15,Inputs!$B$44)-(B2869)&lt;=0,1,MAX(0,IF(Inputs!$B$39="pvp",15,Inputs!$B$44)-MAX(5,B2869))/(IF(Inputs!$B$39="pvp",15,Inputs!$B$44)-(B2869))))*IF(AND(ArtifactsInput!$M$42,((Inputs!$B$9+((C2850=TRUE)*(F2850-Calc!F26))+B2858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2831*(MIN(100,(Inputs!$B$9+((C2850=TRUE)*(F2850-Calc!F26))+B2858+(ArtifactsInput!$M$24-ArtifactsInput!$M$24)*CHOOSE(ArtifactsInput!$N$24+1,10,12,14,16,18,20)+(IF(AND(Inputs!$B$39&lt;&gt;"pvp",Inputs!$B$44=0),1,IF(IF(Inputs!$B$39="pvp",15,Inputs!$B$44)-(B2869)&lt;=0,1,MAX(0,IF(Inputs!$B$39="pvp",15,Inputs!$B$44)-MAX(5,B2869))/(IF(Inputs!$B$39="pvp",15,Inputs!$B$44)-(B2869))))*IF(AND(ArtifactsInput!$M$42,((Inputs!$B$9+((C2850=TRUE)*(F2850-Calc!F26))+B2858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2831*(1-MIN(100,(Inputs!$B$9+((C2850=TRUE)*(F2850-Calc!F26))+B2858+(ArtifactsInput!$M$24-ArtifactsInput!$M$24)*CHOOSE(ArtifactsInput!$N$24+1,10,12,14,16,18,20)+(IF(AND(Inputs!$B$39&lt;&gt;"pvp",Inputs!$B$44=0),1,IF(IF(Inputs!$B$39="pvp",15,Inputs!$B$44)-(B2869)&lt;=0,1,MAX(0,IF(Inputs!$B$39="pvp",15,Inputs!$B$44)-MAX(5,B2869))/(IF(Inputs!$B$39="pvp",15,Inputs!$B$44)-(B2869))))*IF(AND(ArtifactsInput!$M$42,((Inputs!$B$9+((C2850=TRUE)*(F2850-Calc!F26))+B2858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2831*(MIN(100,(Inputs!$B$9+((C2850=TRUE)*(F2850-Calc!F26))+B2858+(ArtifactsInput!$M$24-ArtifactsInput!$M$24)*CHOOSE(ArtifactsInput!$N$24+1,10,12,14,16,18,20)+(IF(AND(Inputs!$B$39&lt;&gt;"pvp",Inputs!$B$44=0),1,IF(IF(Inputs!$B$39="pvp",15,Inputs!$B$44)-(B2869)&lt;=0,1,MAX(0,IF(Inputs!$B$39="pvp",15,Inputs!$B$44)-MAX(5,B2869))/(IF(Inputs!$B$39="pvp",15,Inputs!$B$44)-(B2869))))*IF(AND(ArtifactsInput!$M$42,((Inputs!$B$9+((C2850=TRUE)*(F2850-Calc!F26))+B2858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831">
        <f>IF(C2831,(H2831*N2831*IF(AND(Inputs!$B$39&lt;&gt;"pvp",Inputs!$B$44&gt;0),((Skills!G7*((R2831-1)*IF(Skills!H7&gt;0,Skills!I7/Skills!H7,1)+IF(Skills!H7&gt;0,MIN(Skills!I7,MAX(0,MAX(0,Inputs!$B$44-B2869)-((R2831-1)*IF(Inputs!$B$39="pvp",15,MAX(0.1,Skills!D7-IF(TRUE=TRUE,Inputs!$B$32,0))))))/Skills!H7,1)))/Inputs!$B$44),G2831*Q2831))*IF(Inputs!$B$39="pvp",1,(1+(Inputs!$B$21+Skills!Q7+B2859+(IF(ArtifactsInput!$M$33,CHOOSE(ArtifactsInput!$N$33+1,30,36,42,48,54,60),0))+(IF(AND(ArtifactsInput!$M$35,Inputs!$B$4&lt;&gt;"Chapter Hunt"),CHOOSE(ArtifactsInput!$N$35+1,15,18,21,24,27,30)*(1-EXP(-(0.2*B2862)*5)),0)+IF(AND(ArtifactsInput!$M$22,Inputs!$B$4&lt;&gt;"Chapter Hunt"),CHOOSE(ArtifactsInput!$N$22+1,10,12,14,16,18,20)*((0*(((0.15*B2862*5))^0/1)+1*(((0.15*B2862*5))^1/1)+2*(((0.15*B2862*5))^2/2)+3*(((0.15*B2862*5))^3/6)+4*(((0.15*B2862*5))^4/24)+5*(((0.15*B2862*5))^5/120))/((((0.15*B2862*5))^0/1)+(((0.15*B2862*5))^1/1)+(((0.15*B2862*5))^2/2)+(((0.15*B2862*5))^3/6)+(((0.15*B2862*5))^4/24)+(((0.15*B2862*5))^5/120))),0)))/100)*(MIN(Skills!W7,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832">
      <c r="A2832">
        <f>Skills!A8</f>
        <v/>
      </c>
      <c r="B2832">
        <f>Skills!B8</f>
        <v/>
      </c>
      <c r="C2832">
        <f>Inputs!$B$3&gt;=60</f>
        <v/>
      </c>
      <c r="D2832">
        <f>IF(Skills!C8=1,60+Inputs!$B$25+Inputs!$B$29,IF(Skills!C8=2,90+Inputs!$B$26+Inputs!$B$29,IF(Skills!C8=3,120+Inputs!$B$27+Inputs!$B$29,MAX(0,(Inputs!$B$3-100)*3)+Inputs!$B$28+Inputs!$B$29)))</f>
        <v/>
      </c>
      <c r="E2832">
        <f>INDEX(FactorTable!$B$2:$Y$301, MATCH(ROUND(MIN(300,MAX(1,D2832)),0), FactorTable!$A$2:$A$301,0), Skills!M8+1)</f>
        <v/>
      </c>
      <c r="F2832">
        <f>IF(Skills!N8=TRUE,(Skills!L8/10)*(E2832/1000),Skills!L8/10)+Skills!O8</f>
        <v/>
      </c>
      <c r="G2832">
        <f>Skills!G8*IF(Skills!H8&gt;0,IF(Inputs!$B$39="pvp",MIN(Skills!I8,15),Skills!I8)/Skills!H8,1)</f>
        <v/>
      </c>
      <c r="H2832">
        <f>1-(1-Skills!J8/100)^Skills!K8</f>
        <v/>
      </c>
      <c r="I2832" t="inlineStr">
        <is>
          <t>1</t>
        </is>
      </c>
      <c r="J2832" t="inlineStr"/>
      <c r="K2832" t="inlineStr"/>
      <c r="L2832" t="inlineStr"/>
      <c r="M2832" t="inlineStr"/>
      <c r="N2832" t="inlineStr"/>
      <c r="O2832">
        <f>(1-Summary!$B$11)*T2832+Summary!$B$11*V2832</f>
        <v/>
      </c>
      <c r="P2832">
        <f>IF(B2870=0,0,O2832/B2870)</f>
        <v/>
      </c>
      <c r="Q2832" t="n">
        <v>0</v>
      </c>
      <c r="R2832" t="n">
        <v>0</v>
      </c>
      <c r="S2832">
        <f>IFERROR(O2832/N2832,0)</f>
        <v/>
      </c>
      <c r="T2832" t="n">
        <v>0</v>
      </c>
      <c r="V2832" t="n">
        <v>0</v>
      </c>
    </row>
    <row r="2833">
      <c r="A2833">
        <f>Skills!A9</f>
        <v/>
      </c>
      <c r="B2833">
        <f>Skills!B9</f>
        <v/>
      </c>
      <c r="C2833">
        <f>Inputs!$B$3&gt;=72</f>
        <v/>
      </c>
      <c r="D2833">
        <f>IF(Skills!C9=1,60+Inputs!$B$25+Inputs!$B$29,IF(Skills!C9=2,90+Inputs!$B$26+Inputs!$B$29,IF(Skills!C9=3,120+Inputs!$B$27+Inputs!$B$29,MAX(0,(Inputs!$B$3-100)*3)+Inputs!$B$28+Inputs!$B$29)))</f>
        <v/>
      </c>
      <c r="E2833">
        <f>INDEX(FactorTable!$B$2:$Y$301, MATCH(ROUND(MIN(300,MAX(1,D2833)),0), FactorTable!$A$2:$A$301,0), Skills!M9+1)</f>
        <v/>
      </c>
      <c r="F2833">
        <f>IF(Skills!N9=TRUE,(Skills!L9/10)*(E2833/1000),Skills!L9/10)+Skills!O9</f>
        <v/>
      </c>
      <c r="G2833">
        <f>Skills!G9*IF(Skills!H9&gt;0,IF(Inputs!$B$39="pvp",MIN(Skills!I9,15),Skills!I9)/Skills!H9,1)</f>
        <v/>
      </c>
      <c r="H2833">
        <f>1-(1-Skills!J9/100)^Skills!K9</f>
        <v/>
      </c>
      <c r="I2833" t="inlineStr">
        <is>
          <t>1</t>
        </is>
      </c>
      <c r="J2833">
        <f>((Inputs!$B$6*(1+Inputs!$B$7/100))+(((Inputs!$B$12*(1+Inputs!$B$13/100))-(Inputs!$B$12*(1+Inputs!$B$13/100)))+0.25*(Inputs!$B$14-Inputs!$B$14))*(1+Inputs!$B$7/100))*(F2833/100)</f>
        <v/>
      </c>
      <c r="K2833">
        <f>J2833*(1+((Inputs!$B$12*(1+Inputs!$B$13/100))*0.01+Inputs!$B$14*0.0025)/100)*(1+Inputs!$B$15/100)*(1+Inputs!$B$16/100)*(5000/(6000+Inputs!$B$43*(1-(100*(1-(1-Inputs!$B$19/100)*(1-CHOOSE(ArtifactsInput!$N$40+1,5,6,7,8,9,10)/100)^(ArtifactsInput!$M$40-ArtifactsInput!$M$40)))/100)))*(1+(Inputs!$B$24+((C2855=TRUE)*(F2855-Calc!F31))+((C2842=TRUE)*(F2842-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IF(ArtifactsInput!$M$34,FALSE,TRUE),1,-1)*IF(TRUE,MIN(CHOOSE(ArtifactsInput!$N$34+1,10,12,14,16,18,20),MAX(0,(CHOOSE(ArtifactsInput!$N$34+1,0.5,0.6,0.7,0.8,0.9,1)/3)*(Inputs!$B$11-60))),0)))/100)*(1+3.3333333333333335*IF(C2843=TRUE,F2843,0)/100)*(1+(IF(Skills!A9="CRUEL_STAB",Inputs!$B$17+((C2852=TRUE)*(F2852-Calc!F28))+((IF(AND(Inputs!$B$39&lt;&gt;"pvp",Inputs!$B$44=0),1,IF(IF(Inputs!$B$39="pvp",15,Inputs!$B$44)-(B2869)&lt;=0,1,MAX(0,IF(Inputs!$B$39="pvp",15,Inputs!$B$44)-MAX(5,B2869))/(IF(Inputs!$B$39="pvp",15,Inputs!$B$44)-(B2869))))*(IF(AND(ArtifactsInput!$M$42,((Inputs!$B$9+((C2850=TRUE)*(F2850-Calc!F26))+B2858+(ArtifactsInput!$M$24-ArtifactsInput!$M$24)*CHOOSE(ArtifactsInput!$N$24+1,10,12,14,16,18,20)+IF(ArtifactsInput!$M$10,CHOOSE(ArtifactsInput!$N$10+1,15,18,21,24,27,30)*(IF(Inputs!$B$39="pvp",MIN(15,15)/15,IF(AND(Inputs!$B$39&lt;&gt;"pvp",Inputs!$B$44&gt;0),MIN(15,Inputs!$B$44)/(Inputs!$B$44),0))),0)))&gt;=100),MIN(100,((Inputs!$B$9+((C2850=TRUE)*(F2850-Calc!F26))+B2858+(ArtifactsInput!$M$24-ArtifactsInput!$M$24)*CHOOSE(ArtifactsInput!$N$24+1,10,12,14,16,18,20)+IF(ArtifactsInput!$M$10,CHOOSE(ArtifactsInput!$N$10+1,15,18,21,24,27,30)*(IF(Inputs!$B$39="pvp",MIN(15,15)/15,IF(AND(Inputs!$B$39&lt;&gt;"pvp",Inputs!$B$44&gt;0),MIN(15,Inputs!$B$44)/(Inputs!$B$44),0))),0)))-100),0))*CHOOSE(ArtifactsInput!$N$42+1,0.6,0.72,0.84,0.96,1.08,1.2))),Inputs!$B$18+((C2853=TRUE)*(F2853-Calc!F29))+(IF(AND(Inputs!$B$39&lt;&gt;"pvp",Inputs!$B$44=0),1,IF(IF(Inputs!$B$39="pvp",15,Inputs!$B$44)-(B2869)&lt;=0,1,MAX(0,IF(Inputs!$B$39="pvp",15,Inputs!$B$44)-MAX(5,B2869))/(IF(Inputs!$B$39="pvp",15,Inputs!$B$44)-(B2869))))*IF(AND(ArtifactsInput!$M$42,((Inputs!$B$9+((C2850=TRUE)*(F2850-Calc!F26))+B2858+(ArtifactsInput!$M$24-ArtifactsInput!$M$24)*CHOOSE(ArtifactsInput!$N$24+1,10,12,14,16,18,20)+IF(ArtifactsInput!$M$10,CHOOSE(ArtifactsInput!$N$10+1,15,18,21,24,27,30)*(IF(Inputs!$B$39="pvp",MIN(15,15)/15,IF(AND(Inputs!$B$39&lt;&gt;"pvp",Inputs!$B$44&gt;0),MIN(15,Inputs!$B$44)/(Inputs!$B$44),0))),0)))&gt;=100),CHOOSE(ArtifactsInput!$N$42+1,40,48,56,64,72,80),0))))/100)*(((1+(((C2846=TRUE)*F2846*IF(AND(Inputs!$B$39&lt;&gt;"pvp",Inputs!$B$44&gt;0),(((R2846-1)*MIN((Skills!Y22*(1+Inputs!$B$34/100)),(1/Q2846))+MIN((Skills!Y22*(1+Inputs!$B$34/100)),MAX(0,Inputs!$B$44-((R2846-1)*(1/Q2846)))))/Inputs!$B$44),IF(Inputs!$B$39="pvp",MIN((Skills!Y22*(1+Inputs!$B$34/100)),15)/15,MIN(1,(Skills!Y22*(1+Inputs!$B$34/100))/(1/Q2846)))))+((C2827=TRUE)*F2827*3)+((C2829=TRUE)*F2829*(1-EXP(-0.75*B2862*5)))+((C2848=TRUE)*(F2848-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IF(ArtifactsInput!$M$34,FALSE,TRUE),CHOOSE(ArtifactsInput!$N$34+1,15,18,21,24,27,30),0)+IF(ArtifactsInput!$M$5,CHOOSE(ArtifactsInput!$N$5+1,10,12,14,16,18,20)*(IF(AND(Inputs!$B$39&lt;&gt;"pvp",Inputs!$B$44=0),0.5,(5*INT(MAX(0,IF(Inputs!$B$39="pvp",15,Inputs!$B$44)-10)/10)+MIN((MAX(0,IF(Inputs!$B$39="pvp",15,Inputs!$B$44)-10)-10*INT(MAX(0,IF(Inputs!$B$39="pvp",15,Inputs!$B$44)-10)/10)),5))/IF(Inputs!$B$39="pvp",15,Inputs!$B$44))),0)))/100)*(1+((C2835=TRUE)*F2835*IF(AND(Inputs!$B$39&lt;&gt;"pvp",Inputs!$B$44&gt;0),(((R2835-1)*MIN((Skills!Y11*(1+Inputs!$B$34/100)),(1/Q2835))+MIN((Skills!Y11*(1+Inputs!$B$34/100)),MAX(0,Inputs!$B$44-((R2835-1)*(1/Q2835)))))/Inputs!$B$44),IF(Inputs!$B$39="pvp",MIN((Skills!Y11*(1+Inputs!$B$34/100)),15)/15,MIN(1,(Skills!Y11*(1+Inputs!$B$34/100))/(1/Q2835)))))/100)*(1+((C2840=TRUE)*F2840*IF(AND(Inputs!$B$39&lt;&gt;"pvp",Inputs!$B$44&gt;0),(((R2840-1)*MIN((Skills!Y16*(1+Inputs!$B$34/100)),(1/Q2840))+MIN((Skills!Y16*(1+Inputs!$B$34/100)),MAX(0,Inputs!$B$44-((R2840-1)*(1/Q2840)))))/Inputs!$B$44),IF(Inputs!$B$39="pvp",MIN((Skills!Y16*(1+Inputs!$B$34/100)),15)/15,MIN(1,(Skills!Y16*(1+Inputs!$B$34/100))/(1/Q2840)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2860*I2833)</f>
        <v/>
      </c>
      <c r="L2833">
        <f>K2833*(MIN(Inputs!$B$22+((C2849=TRUE)*(F2849-Calc!F25)),(Inputs!$B$23+((C2854=TRUE)*(F2854-Calc!F30))+IF(ArtifactsInput!$M$15,CHOOSE(ArtifactsInput!$N$15+1,25,30,35,40,45,50)/100*(Inputs!$B$11-Inputs!$B$11),0)))/100+(Inputs!$B$23+((C2854=TRUE)*(F2854-Calc!F30))+IF(ArtifactsInput!$M$15,CHOOSE(ArtifactsInput!$N$15+1,25,30,35,40,45,50)/100*(Inputs!$B$11-Inputs!$B$11),0))/100)/2</f>
        <v/>
      </c>
      <c r="M2833">
        <f>L2833*(1+(Inputs!$B$10+((C2851=TRUE)*(F2851-Calc!F27))+B2865+(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2833">
        <f>L2833*(1-MIN((Inputs!$B$9+((C2850=TRUE)*(F2850-Calc!F26))+B2858+(ArtifactsInput!$M$24-ArtifactsInput!$M$24)*CHOOSE(ArtifactsInput!$N$24+1,10,12,14,16,18,20)+(IF(AND(Inputs!$B$39&lt;&gt;"pvp",Inputs!$B$44=0),1,IF(IF(Inputs!$B$39="pvp",15,Inputs!$B$44)-(B2869)&lt;=0,1,MAX(0,IF(Inputs!$B$39="pvp",15,Inputs!$B$44)-MAX(5,B2869))/(IF(Inputs!$B$39="pvp",15,Inputs!$B$44)-(B2869))))*IF(AND(ArtifactsInput!$M$42,((Inputs!$B$9+((C2850=TRUE)*(F2850-Calc!F26))+B2858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2833*(MIN((Inputs!$B$9+((C2850=TRUE)*(F2850-Calc!F26))+B2858+(ArtifactsInput!$M$24-ArtifactsInput!$M$24)*CHOOSE(ArtifactsInput!$N$24+1,10,12,14,16,18,20)+(IF(AND(Inputs!$B$39&lt;&gt;"pvp",Inputs!$B$44=0),1,IF(IF(Inputs!$B$39="pvp",15,Inputs!$B$44)-(B2869)&lt;=0,1,MAX(0,IF(Inputs!$B$39="pvp",15,Inputs!$B$44)-MAX(5,B2869))/(IF(Inputs!$B$39="pvp",15,Inputs!$B$44)-(B2869))))*IF(AND(ArtifactsInput!$M$42,((Inputs!$B$9+((C2850=TRUE)*(F2850-Calc!F26))+B2858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833">
        <f>(1-Summary!$B$11)*T2833+Summary!$B$11*V2833</f>
        <v/>
      </c>
      <c r="P2833">
        <f>IF(B2870=0,0,O2833/B2870)</f>
        <v/>
      </c>
      <c r="Q2833">
        <f>IFERROR(1/IF(Inputs!$B$39="pvp",15,MAX(0.1,Skills!D9-IF(FALSE=TRUE,Inputs!$B$32,0))),0)</f>
        <v/>
      </c>
      <c r="R2833">
        <f>IF(AND(Inputs!$B$39&lt;&gt;"pvp",Inputs!$B$44&gt;0),IF(MAX(0,Inputs!$B$44-B2869)&lt;=0,0,(INT(MAX(0,Inputs!$B$44-B2869)/IF(Inputs!$B$39="pvp",15,MAX(0.1,Skills!D9-IF(FALSE=TRUE,Inputs!$B$32,0))))+1)),0)</f>
        <v/>
      </c>
      <c r="S2833">
        <f>IFERROR(O2833/N2833,0)</f>
        <v/>
      </c>
      <c r="T2833">
        <f>IF(C2833,(H2833*N2833*IF(AND(Inputs!$B$39&lt;&gt;"pvp",Inputs!$B$44&gt;0),((Skills!G9*((R2833-1)*IF(Skills!H9&gt;0,Skills!I9/Skills!H9,1)+IF(Skills!H9&gt;0,MIN(Skills!I9,MAX(0,MAX(0,Inputs!$B$44-B2869)-((R2833-1)*IF(Inputs!$B$39="pvp",15,MAX(0.1,Skills!D9-IF(FALSE=TRUE,Inputs!$B$32,0))))))/Skills!H9,1)))/Inputs!$B$44),G2833*Q2833))*IF(Inputs!$B$39="pvp",1,1+(Inputs!$B$20+0+Skills!P9+B2859+(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Hunt"),CHOOSE(ArtifactsInput!$N$35+1,15,18,21,24,27,30)*(1-EXP(-(0.2*B2862)*5)),0)+IF(AND(ArtifactsInput!$M$22,Inputs!$B$4&lt;&gt;"Chapter Hunt"),CHOOSE(ArtifactsInput!$N$22+1,10,12,14,16,18,20)*((0*(((0.15*B2862*5))^0/1)+1*(((0.15*B2862*5))^1/1)+2*(((0.15*B2862*5))^2/2)+3*(((0.15*B2862*5))^3/6)+4*(((0.15*B2862*5))^4/24)+5*(((0.15*B2862*5))^5/120))/((((0.15*B2862*5))^0/1)+(((0.15*B2862*5))^1/1)+(((0.15*B2862*5))^2/2)+(((0.15*B2862*5))^3/6)+(((0.15*B2862*5))^4/24)+(((0.15*B2862*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2833*(1-MIN(100,(Inputs!$B$9+((C2850=TRUE)*(F2850-Calc!F26))+B2858+(ArtifactsInput!$M$24-ArtifactsInput!$M$24)*CHOOSE(ArtifactsInput!$N$24+1,10,12,14,16,18,20)+(IF(AND(Inputs!$B$39&lt;&gt;"pvp",Inputs!$B$44=0),1,IF(IF(Inputs!$B$39="pvp",15,Inputs!$B$44)-(B2869)&lt;=0,1,MAX(0,IF(Inputs!$B$39="pvp",15,Inputs!$B$44)-MAX(5,B2869))/(IF(Inputs!$B$39="pvp",15,Inputs!$B$44)-(B2869))))*IF(AND(ArtifactsInput!$M$42,((Inputs!$B$9+((C2850=TRUE)*(F2850-Calc!F26))+B2858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2833*(MIN(100,(Inputs!$B$9+((C2850=TRUE)*(F2850-Calc!F26))+B2858+(ArtifactsInput!$M$24-ArtifactsInput!$M$24)*CHOOSE(ArtifactsInput!$N$24+1,10,12,14,16,18,20)+(IF(AND(Inputs!$B$39&lt;&gt;"pvp",Inputs!$B$44=0),1,IF(IF(Inputs!$B$39="pvp",15,Inputs!$B$44)-(B2869)&lt;=0,1,MAX(0,IF(Inputs!$B$39="pvp",15,Inputs!$B$44)-MAX(5,B2869))/(IF(Inputs!$B$39="pvp",15,Inputs!$B$44)-(B2869))))*IF(AND(ArtifactsInput!$M$42,((Inputs!$B$9+((C2850=TRUE)*(F2850-Calc!F26))+B2858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2833*(1-MIN(100,(Inputs!$B$9+((C2850=TRUE)*(F2850-Calc!F26))+B2858+(ArtifactsInput!$M$24-ArtifactsInput!$M$24)*CHOOSE(ArtifactsInput!$N$24+1,10,12,14,16,18,20)+(IF(AND(Inputs!$B$39&lt;&gt;"pvp",Inputs!$B$44=0),1,IF(IF(Inputs!$B$39="pvp",15,Inputs!$B$44)-(B2869)&lt;=0,1,MAX(0,IF(Inputs!$B$39="pvp",15,Inputs!$B$44)-MAX(5,B2869))/(IF(Inputs!$B$39="pvp",15,Inputs!$B$44)-(B2869))))*IF(AND(ArtifactsInput!$M$42,((Inputs!$B$9+((C2850=TRUE)*(F2850-Calc!F26))+B2858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2833*(MIN(100,(Inputs!$B$9+((C2850=TRUE)*(F2850-Calc!F26))+B2858+(ArtifactsInput!$M$24-ArtifactsInput!$M$24)*CHOOSE(ArtifactsInput!$N$24+1,10,12,14,16,18,20)+(IF(AND(Inputs!$B$39&lt;&gt;"pvp",Inputs!$B$44=0),1,IF(IF(Inputs!$B$39="pvp",15,Inputs!$B$44)-(B2869)&lt;=0,1,MAX(0,IF(Inputs!$B$39="pvp",15,Inputs!$B$44)-MAX(5,B2869))/(IF(Inputs!$B$39="pvp",15,Inputs!$B$44)-(B2869))))*IF(AND(ArtifactsInput!$M$42,((Inputs!$B$9+((C2850=TRUE)*(F2850-Calc!F26))+B2858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833">
        <f>IF(C2833,(H2833*N2833*IF(AND(Inputs!$B$39&lt;&gt;"pvp",Inputs!$B$44&gt;0),((Skills!G9*((R2833-1)*IF(Skills!H9&gt;0,Skills!I9/Skills!H9,1)+IF(Skills!H9&gt;0,MIN(Skills!I9,MAX(0,MAX(0,Inputs!$B$44-B2869)-((R2833-1)*IF(Inputs!$B$39="pvp",15,MAX(0.1,Skills!D9-IF(FALSE=TRUE,Inputs!$B$32,0))))))/Skills!H9,1)))/Inputs!$B$44),G2833*Q2833))*IF(Inputs!$B$39="pvp",1,(1+(Inputs!$B$21+Skills!Q9+B2859+(IF(ArtifactsInput!$M$33,CHOOSE(ArtifactsInput!$N$33+1,30,36,42,48,54,60),0))+(IF(AND(ArtifactsInput!$M$35,Inputs!$B$4&lt;&gt;"Chapter Hunt"),CHOOSE(ArtifactsInput!$N$35+1,15,18,21,24,27,30)*(1-EXP(-(0.2*B2862)*5)),0)+IF(AND(ArtifactsInput!$M$22,Inputs!$B$4&lt;&gt;"Chapter Hunt"),CHOOSE(ArtifactsInput!$N$22+1,10,12,14,16,18,20)*((0*(((0.15*B2862*5))^0/1)+1*(((0.15*B2862*5))^1/1)+2*(((0.15*B2862*5))^2/2)+3*(((0.15*B2862*5))^3/6)+4*(((0.15*B2862*5))^4/24)+5*(((0.15*B2862*5))^5/120))/((((0.15*B2862*5))^0/1)+(((0.15*B2862*5))^1/1)+(((0.15*B2862*5))^2/2)+(((0.15*B2862*5))^3/6)+(((0.15*B2862*5))^4/24)+(((0.15*B2862*5))^5/120))),0)))/100)*(MIN(Skills!W9,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834">
      <c r="A2834">
        <f>Skills!A10</f>
        <v/>
      </c>
      <c r="B2834">
        <f>Skills!B10</f>
        <v/>
      </c>
      <c r="C2834">
        <f>Inputs!$B$3&gt;=117</f>
        <v/>
      </c>
      <c r="D2834">
        <f>IF(Skills!C10=1,60+Inputs!$B$25+Inputs!$B$29,IF(Skills!C10=2,90+Inputs!$B$26+Inputs!$B$29,IF(Skills!C10=3,120+Inputs!$B$27+Inputs!$B$29,MAX(0,(Inputs!$B$3-100)*3)+Inputs!$B$28+Inputs!$B$29)))</f>
        <v/>
      </c>
      <c r="E2834">
        <f>INDEX(FactorTable!$B$2:$Y$301, MATCH(ROUND(MIN(300,MAX(1,D2834)),0), FactorTable!$A$2:$A$301,0), Skills!M10+1)</f>
        <v/>
      </c>
      <c r="F2834">
        <f>IF(Skills!N10=TRUE,(Skills!L10/10)*(E2834/1000),Skills!L10/10)+Skills!O10</f>
        <v/>
      </c>
      <c r="G2834">
        <f>Skills!G10*IF(Skills!H10&gt;0,IF(Inputs!$B$39="pvp",MIN(Skills!I10,15),Skills!I10)/Skills!H10,1)</f>
        <v/>
      </c>
      <c r="H2834">
        <f>1-(1-Skills!J10/100)^Skills!K10</f>
        <v/>
      </c>
      <c r="I2834" t="inlineStr">
        <is>
          <t>1</t>
        </is>
      </c>
      <c r="J2834">
        <f>((Inputs!$B$6*(1+Inputs!$B$7/100))+(((Inputs!$B$12*(1+Inputs!$B$13/100))-(Inputs!$B$12*(1+Inputs!$B$13/100)))+0.25*(Inputs!$B$14-Inputs!$B$14))*(1+Inputs!$B$7/100))*(F2834/100)</f>
        <v/>
      </c>
      <c r="K2834">
        <f>J2834*(1+((Inputs!$B$12*(1+Inputs!$B$13/100))*0.01+Inputs!$B$14*0.0025)/100)*(1+Inputs!$B$15/100)*(1+Inputs!$B$16/100)*(5000/(6000+Inputs!$B$43*(1-(100*(1-(1-Inputs!$B$19/100)*(1-CHOOSE(ArtifactsInput!$N$40+1,5,6,7,8,9,10)/100)^(ArtifactsInput!$M$40-ArtifactsInput!$M$40)))/100)))*(1+(Inputs!$B$24+((C2855=TRUE)*(F2855-Calc!F31))+((C2842=TRUE)*(F2842-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IF(ArtifactsInput!$M$34,FALSE,TRUE),1,-1)*IF(TRUE,MIN(CHOOSE(ArtifactsInput!$N$34+1,10,12,14,16,18,20),MAX(0,(CHOOSE(ArtifactsInput!$N$34+1,0.5,0.6,0.7,0.8,0.9,1)/3)*(Inputs!$B$11-60))),0)))/100)*(1+(IF(Skills!A10="CRUEL_STAB",Inputs!$B$17+((C2852=TRUE)*(F2852-Calc!F28))+((IF(AND(Inputs!$B$39&lt;&gt;"pvp",Inputs!$B$44=0),1,IF(IF(Inputs!$B$39="pvp",15,Inputs!$B$44)-(B2869)&lt;=0,1,MAX(0,IF(Inputs!$B$39="pvp",15,Inputs!$B$44)-MAX(5,B2869))/(IF(Inputs!$B$39="pvp",15,Inputs!$B$44)-(B2869))))*(IF(AND(ArtifactsInput!$M$42,((Inputs!$B$9+((C2850=TRUE)*(F2850-Calc!F26))+B2858+(ArtifactsInput!$M$24-ArtifactsInput!$M$24)*CHOOSE(ArtifactsInput!$N$24+1,10,12,14,16,18,20)+IF(ArtifactsInput!$M$10,CHOOSE(ArtifactsInput!$N$10+1,15,18,21,24,27,30)*(IF(Inputs!$B$39="pvp",MIN(15,15)/15,IF(AND(Inputs!$B$39&lt;&gt;"pvp",Inputs!$B$44&gt;0),MIN(15,Inputs!$B$44)/(Inputs!$B$44),0))),0)))&gt;=100),MIN(100,((Inputs!$B$9+((C2850=TRUE)*(F2850-Calc!F26))+B2858+(ArtifactsInput!$M$24-ArtifactsInput!$M$24)*CHOOSE(ArtifactsInput!$N$24+1,10,12,14,16,18,20)+IF(ArtifactsInput!$M$10,CHOOSE(ArtifactsInput!$N$10+1,15,18,21,24,27,30)*(IF(Inputs!$B$39="pvp",MIN(15,15)/15,IF(AND(Inputs!$B$39&lt;&gt;"pvp",Inputs!$B$44&gt;0),MIN(15,Inputs!$B$44)/(Inputs!$B$44),0))),0)))-100),0))*CHOOSE(ArtifactsInput!$N$42+1,0.6,0.72,0.84,0.96,1.08,1.2))),Inputs!$B$18+((C2853=TRUE)*(F2853-Calc!F29))+(IF(AND(Inputs!$B$39&lt;&gt;"pvp",Inputs!$B$44=0),1,IF(IF(Inputs!$B$39="pvp",15,Inputs!$B$44)-(B2869)&lt;=0,1,MAX(0,IF(Inputs!$B$39="pvp",15,Inputs!$B$44)-MAX(5,B2869))/(IF(Inputs!$B$39="pvp",15,Inputs!$B$44)-(B2869))))*IF(AND(ArtifactsInput!$M$42,((Inputs!$B$9+((C2850=TRUE)*(F2850-Calc!F26))+B2858+(ArtifactsInput!$M$24-ArtifactsInput!$M$24)*CHOOSE(ArtifactsInput!$N$24+1,10,12,14,16,18,20)+IF(ArtifactsInput!$M$10,CHOOSE(ArtifactsInput!$N$10+1,15,18,21,24,27,30)*(IF(Inputs!$B$39="pvp",MIN(15,15)/15,IF(AND(Inputs!$B$39&lt;&gt;"pvp",Inputs!$B$44&gt;0),MIN(15,Inputs!$B$44)/(Inputs!$B$44),0))),0)))&gt;=100),CHOOSE(ArtifactsInput!$N$42+1,40,48,56,64,72,80),0))))/100)*(((1+(((C2846=TRUE)*F2846*IF(AND(Inputs!$B$39&lt;&gt;"pvp",Inputs!$B$44&gt;0),(((R2846-1)*MIN((Skills!Y22*(1+Inputs!$B$34/100)),(1/Q2846))+MIN((Skills!Y22*(1+Inputs!$B$34/100)),MAX(0,Inputs!$B$44-((R2846-1)*(1/Q2846)))))/Inputs!$B$44),IF(Inputs!$B$39="pvp",MIN((Skills!Y22*(1+Inputs!$B$34/100)),15)/15,MIN(1,(Skills!Y22*(1+Inputs!$B$34/100))/(1/Q2846)))))+((C2827=TRUE)*F2827*3)+((C2829=TRUE)*F2829*(1-EXP(-0.75*B2862*5)))+((C2848=TRUE)*(F2848-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IF(ArtifactsInput!$M$34,FALSE,TRUE),CHOOSE(ArtifactsInput!$N$34+1,15,18,21,24,27,30),0)+IF(ArtifactsInput!$M$5,CHOOSE(ArtifactsInput!$N$5+1,10,12,14,16,18,20)*(IF(AND(Inputs!$B$39&lt;&gt;"pvp",Inputs!$B$44=0),0.5,(5*INT(MAX(0,IF(Inputs!$B$39="pvp",15,Inputs!$B$44)-10)/10)+MIN((MAX(0,IF(Inputs!$B$39="pvp",15,Inputs!$B$44)-10)-10*INT(MAX(0,IF(Inputs!$B$39="pvp",15,Inputs!$B$44)-10)/10)),5))/IF(Inputs!$B$39="pvp",15,Inputs!$B$44))),0)))/100)*(1+((C2835=TRUE)*F2835*IF(AND(Inputs!$B$39&lt;&gt;"pvp",Inputs!$B$44&gt;0),(((R2835-1)*MIN((Skills!Y11*(1+Inputs!$B$34/100)),(1/Q2835))+MIN((Skills!Y11*(1+Inputs!$B$34/100)),MAX(0,Inputs!$B$44-((R2835-1)*(1/Q2835)))))/Inputs!$B$44),IF(Inputs!$B$39="pvp",MIN((Skills!Y11*(1+Inputs!$B$34/100)),15)/15,MIN(1,(Skills!Y11*(1+Inputs!$B$34/100))/(1/Q2835)))))/100)*(1+((C2840=TRUE)*F2840*IF(AND(Inputs!$B$39&lt;&gt;"pvp",Inputs!$B$44&gt;0),(((R2840-1)*MIN((Skills!Y16*(1+Inputs!$B$34/100)),(1/Q2840))+MIN((Skills!Y16*(1+Inputs!$B$34/100)),MAX(0,Inputs!$B$44-((R2840-1)*(1/Q2840)))))/Inputs!$B$44),IF(Inputs!$B$39="pvp",MIN((Skills!Y16*(1+Inputs!$B$34/100)),15)/15,MIN(1,(Skills!Y16*(1+Inputs!$B$34/100))/(1/Q2840)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2860*I2834)</f>
        <v/>
      </c>
      <c r="L2834">
        <f>K2834*(MIN(Inputs!$B$22+((C2849=TRUE)*(F2849-Calc!F25)),(Inputs!$B$23+((C2854=TRUE)*(F2854-Calc!F30))+IF(ArtifactsInput!$M$15,CHOOSE(ArtifactsInput!$N$15+1,25,30,35,40,45,50)/100*(Inputs!$B$11-Inputs!$B$11),0)))/100+(Inputs!$B$23+((C2854=TRUE)*(F2854-Calc!F30))+IF(ArtifactsInput!$M$15,CHOOSE(ArtifactsInput!$N$15+1,25,30,35,40,45,50)/100*(Inputs!$B$11-Inputs!$B$11),0))/100)/2</f>
        <v/>
      </c>
      <c r="M2834">
        <f>L2834*(1+(Inputs!$B$10+((C2851=TRUE)*(F2851-Calc!F27))+B2865+(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2834">
        <f>L2834*(1-MIN((Inputs!$B$9+((C2850=TRUE)*(F2850-Calc!F26))+B2858+(ArtifactsInput!$M$24-ArtifactsInput!$M$24)*CHOOSE(ArtifactsInput!$N$24+1,10,12,14,16,18,20)+(IF(AND(Inputs!$B$39&lt;&gt;"pvp",Inputs!$B$44=0),1,IF(IF(Inputs!$B$39="pvp",15,Inputs!$B$44)-(B2869)&lt;=0,1,MAX(0,IF(Inputs!$B$39="pvp",15,Inputs!$B$44)-MAX(5,B2869))/(IF(Inputs!$B$39="pvp",15,Inputs!$B$44)-(B2869))))*IF(AND(ArtifactsInput!$M$42,((Inputs!$B$9+((C2850=TRUE)*(F2850-Calc!F26))+B2858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2834*(MIN((Inputs!$B$9+((C2850=TRUE)*(F2850-Calc!F26))+B2858+(ArtifactsInput!$M$24-ArtifactsInput!$M$24)*CHOOSE(ArtifactsInput!$N$24+1,10,12,14,16,18,20)+(IF(AND(Inputs!$B$39&lt;&gt;"pvp",Inputs!$B$44=0),1,IF(IF(Inputs!$B$39="pvp",15,Inputs!$B$44)-(B2869)&lt;=0,1,MAX(0,IF(Inputs!$B$39="pvp",15,Inputs!$B$44)-MAX(5,B2869))/(IF(Inputs!$B$39="pvp",15,Inputs!$B$44)-(B2869))))*IF(AND(ArtifactsInput!$M$42,((Inputs!$B$9+((C2850=TRUE)*(F2850-Calc!F26))+B2858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834">
        <f>(1-Summary!$B$11)*T2834+Summary!$B$11*V2834</f>
        <v/>
      </c>
      <c r="P2834">
        <f>IF(B2870=0,0,O2834/B2870)</f>
        <v/>
      </c>
      <c r="Q2834" t="n">
        <v>0</v>
      </c>
      <c r="R2834" t="n">
        <v>0</v>
      </c>
      <c r="S2834" t="n">
        <v>0</v>
      </c>
      <c r="T2834">
        <f>IF(C2834,(0.2*SUMPRODUCT((Skills!Z2:Z31=TRUE)*(C2826:C2855=TRUE)*S2826:S2855)*N2834)*IF(Inputs!$B$39="pvp",1,1+(Inputs!$B$20+0+Skills!P10+B2859+(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Hunt"),CHOOSE(ArtifactsInput!$N$35+1,15,18,21,24,27,30)*(1-EXP(-(0.2*B2862)*5)),0)+IF(AND(ArtifactsInput!$M$22,Inputs!$B$4&lt;&gt;"Chapter Hunt"),CHOOSE(ArtifactsInput!$N$22+1,10,12,14,16,18,20)*((0*(((0.15*B2862*5))^0/1)+1*(((0.15*B2862*5))^1/1)+2*(((0.15*B2862*5))^2/2)+3*(((0.15*B2862*5))^3/6)+4*(((0.15*B2862*5))^4/24)+5*(((0.15*B2862*5))^5/120))/((((0.15*B2862*5))^0/1)+(((0.15*B2862*5))^1/1)+(((0.15*B2862*5))^2/2)+(((0.15*B2862*5))^3/6)+(((0.15*B2862*5))^4/24)+(((0.15*B2862*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2834*(1-MIN(100,(Inputs!$B$9+((C2850=TRUE)*(F2850-Calc!F26))+B2858+(ArtifactsInput!$M$24-ArtifactsInput!$M$24)*CHOOSE(ArtifactsInput!$N$24+1,10,12,14,16,18,20)+(IF(AND(Inputs!$B$39&lt;&gt;"pvp",Inputs!$B$44=0),1,IF(IF(Inputs!$B$39="pvp",15,Inputs!$B$44)-(B2869)&lt;=0,1,MAX(0,IF(Inputs!$B$39="pvp",15,Inputs!$B$44)-MAX(5,B2869))/(IF(Inputs!$B$39="pvp",15,Inputs!$B$44)-(B2869))))*IF(AND(ArtifactsInput!$M$42,((Inputs!$B$9+((C2850=TRUE)*(F2850-Calc!F26))+B2858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2834*(MIN(100,(Inputs!$B$9+((C2850=TRUE)*(F2850-Calc!F26))+B2858+(ArtifactsInput!$M$24-ArtifactsInput!$M$24)*CHOOSE(ArtifactsInput!$N$24+1,10,12,14,16,18,20)+(IF(AND(Inputs!$B$39&lt;&gt;"pvp",Inputs!$B$44=0),1,IF(IF(Inputs!$B$39="pvp",15,Inputs!$B$44)-(B2869)&lt;=0,1,MAX(0,IF(Inputs!$B$39="pvp",15,Inputs!$B$44)-MAX(5,B2869))/(IF(Inputs!$B$39="pvp",15,Inputs!$B$44)-(B2869))))*IF(AND(ArtifactsInput!$M$42,((Inputs!$B$9+((C2850=TRUE)*(F2850-Calc!F26))+B2858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2834*(1-MIN(100,(Inputs!$B$9+((C2850=TRUE)*(F2850-Calc!F26))+B2858+(ArtifactsInput!$M$24-ArtifactsInput!$M$24)*CHOOSE(ArtifactsInput!$N$24+1,10,12,14,16,18,20)+(IF(AND(Inputs!$B$39&lt;&gt;"pvp",Inputs!$B$44=0),1,IF(IF(Inputs!$B$39="pvp",15,Inputs!$B$44)-(B2869)&lt;=0,1,MAX(0,IF(Inputs!$B$39="pvp",15,Inputs!$B$44)-MAX(5,B2869))/(IF(Inputs!$B$39="pvp",15,Inputs!$B$44)-(B2869))))*IF(AND(ArtifactsInput!$M$42,((Inputs!$B$9+((C2850=TRUE)*(F2850-Calc!F26))+B2858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2834*(MIN(100,(Inputs!$B$9+((C2850=TRUE)*(F2850-Calc!F26))+B2858+(ArtifactsInput!$M$24-ArtifactsInput!$M$24)*CHOOSE(ArtifactsInput!$N$24+1,10,12,14,16,18,20)+(IF(AND(Inputs!$B$39&lt;&gt;"pvp",Inputs!$B$44=0),1,IF(IF(Inputs!$B$39="pvp",15,Inputs!$B$44)-(B2869)&lt;=0,1,MAX(0,IF(Inputs!$B$39="pvp",15,Inputs!$B$44)-MAX(5,B2869))/(IF(Inputs!$B$39="pvp",15,Inputs!$B$44)-(B2869))))*IF(AND(ArtifactsInput!$M$42,((Inputs!$B$9+((C2850=TRUE)*(F2850-Calc!F26))+B2858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834">
        <f>IF(C2834,(0.2*SUMPRODUCT((Skills!Z2:Z31=TRUE)*(C2826:C2855=TRUE)*S2826:S2855)*N2834)*IF(Inputs!$B$39="pvp",1,(1+(Inputs!$B$21+Skills!Q10+B2859+(IF(ArtifactsInput!$M$33,CHOOSE(ArtifactsInput!$N$33+1,30,36,42,48,54,60),0))+(IF(AND(ArtifactsInput!$M$35,Inputs!$B$4&lt;&gt;"Chapter Hunt"),CHOOSE(ArtifactsInput!$N$35+1,15,18,21,24,27,30)*(1-EXP(-(0.2*B2862)*5)),0)+IF(AND(ArtifactsInput!$M$22,Inputs!$B$4&lt;&gt;"Chapter Hunt"),CHOOSE(ArtifactsInput!$N$22+1,10,12,14,16,18,20)*((0*(((0.15*B2862*5))^0/1)+1*(((0.15*B2862*5))^1/1)+2*(((0.15*B2862*5))^2/2)+3*(((0.15*B2862*5))^3/6)+4*(((0.15*B2862*5))^4/24)+5*(((0.15*B2862*5))^5/120))/((((0.15*B2862*5))^0/1)+(((0.15*B2862*5))^1/1)+(((0.15*B2862*5))^2/2)+(((0.15*B2862*5))^3/6)+(((0.15*B2862*5))^4/24)+(((0.15*B2862*5))^5/120))),0)))/100)*(MIN(Skills!W10,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835">
      <c r="A2835">
        <f>Skills!A11</f>
        <v/>
      </c>
      <c r="B2835">
        <f>Skills!B11</f>
        <v/>
      </c>
      <c r="C2835">
        <f>Inputs!$B$3&gt;=74</f>
        <v/>
      </c>
      <c r="D2835">
        <f>IF(Skills!C11=1,60+Inputs!$B$25+Inputs!$B$29,IF(Skills!C11=2,90+Inputs!$B$26+Inputs!$B$29,IF(Skills!C11=3,120+Inputs!$B$27+Inputs!$B$29,MAX(0,(Inputs!$B$3-100)*3)+Inputs!$B$28+Inputs!$B$29)))</f>
        <v/>
      </c>
      <c r="E2835">
        <f>INDEX(FactorTable!$B$2:$Y$301, MATCH(ROUND(MIN(300,MAX(1,D2835)),0), FactorTable!$A$2:$A$301,0), Skills!M11+1)</f>
        <v/>
      </c>
      <c r="F2835">
        <f>IF(Skills!N11=TRUE,(Skills!L11/10)*(E2835/1000),Skills!L11/10)+Skills!O11</f>
        <v/>
      </c>
      <c r="G2835">
        <f>Skills!G11*IF(Skills!H11&gt;0,IF(Inputs!$B$39="pvp",MIN(Skills!I11,15),Skills!I11)/Skills!H11,1)</f>
        <v/>
      </c>
      <c r="H2835">
        <f>1-(1-Skills!J11/100)^Skills!K11</f>
        <v/>
      </c>
      <c r="I2835" t="inlineStr">
        <is>
          <t>1</t>
        </is>
      </c>
      <c r="J2835" t="inlineStr"/>
      <c r="K2835" t="inlineStr"/>
      <c r="L2835" t="inlineStr"/>
      <c r="M2835" t="inlineStr"/>
      <c r="N2835" t="inlineStr"/>
      <c r="O2835">
        <f>(1-Summary!$B$11)*T2835+Summary!$B$11*V2835</f>
        <v/>
      </c>
      <c r="P2835">
        <f>IF(B2870=0,0,O2835/B2870)</f>
        <v/>
      </c>
      <c r="Q2835">
        <f>IFERROR(1/IF(Inputs!$B$39="pvp",15,MAX(0.1,Skills!D11-IF(TRUE=TRUE,Inputs!$B$32,0))),0)</f>
        <v/>
      </c>
      <c r="R2835">
        <f>IF(AND(Inputs!$B$39&lt;&gt;"pvp",Inputs!$B$44&gt;0),IF(Inputs!$B$44&lt;=0,0,(INT(Inputs!$B$44/IF(Inputs!$B$39="pvp",15,MAX(0.1,Skills!D11-IF(TRUE=TRUE,Inputs!$B$32,0))))+1)),0)</f>
        <v/>
      </c>
      <c r="S2835">
        <f>IFERROR(O2835/N2835,0)</f>
        <v/>
      </c>
      <c r="T2835" t="n">
        <v>0</v>
      </c>
      <c r="V2835" t="n">
        <v>0</v>
      </c>
    </row>
    <row r="2836">
      <c r="A2836">
        <f>Skills!A12</f>
        <v/>
      </c>
      <c r="B2836">
        <f>Skills!B12</f>
        <v/>
      </c>
      <c r="C2836">
        <f>Inputs!$B$3&gt;=103</f>
        <v/>
      </c>
      <c r="D2836">
        <f>IF(Skills!C12=1,60+Inputs!$B$25+Inputs!$B$29,IF(Skills!C12=2,90+Inputs!$B$26+Inputs!$B$29,IF(Skills!C12=3,120+Inputs!$B$27+Inputs!$B$29,MAX(0,(Inputs!$B$3-100)*3)+Inputs!$B$28+Inputs!$B$29)))</f>
        <v/>
      </c>
      <c r="E2836">
        <f>INDEX(FactorTable!$B$2:$Y$301, MATCH(ROUND(MIN(300,MAX(1,D2836)),0), FactorTable!$A$2:$A$301,0), Skills!M12+1)</f>
        <v/>
      </c>
      <c r="F2836">
        <f>(Skills!L12/10)*(E2836/1000)+IF(Inputs!$B$3&gt;=134,50,0)+0.5*(30000/10)*(INDEX(FactorTable!$B$2:$Y$301, MATCH(ROUND(MIN(300,MAX(1,D2836)),0), FactorTable!$A$2:$A$301,0), 13)/1000)*B2868</f>
        <v/>
      </c>
      <c r="G2836">
        <f>Skills!G12*IF(Skills!H12&gt;0,IF(Inputs!$B$39="pvp",MIN(Skills!I12,15),Skills!I12)/Skills!H12,1)</f>
        <v/>
      </c>
      <c r="H2836">
        <f>1-(1-Skills!J12/100)^Skills!K12</f>
        <v/>
      </c>
      <c r="I2836" t="inlineStr">
        <is>
          <t>1</t>
        </is>
      </c>
      <c r="J2836">
        <f>((Inputs!$B$6*(1+Inputs!$B$7/100))+(((Inputs!$B$12*(1+Inputs!$B$13/100))-(Inputs!$B$12*(1+Inputs!$B$13/100)))+0.25*(Inputs!$B$14-Inputs!$B$14))*(1+Inputs!$B$7/100))*(F2836/100)</f>
        <v/>
      </c>
      <c r="K2836">
        <f>J2836*(1+((Inputs!$B$12*(1+Inputs!$B$13/100))*0.01+Inputs!$B$14*0.0025)/100)*(1+Inputs!$B$15/100)*(1+Inputs!$B$16/100)*(5000/(6000+Inputs!$B$43*(1-(100*(1-(1-Inputs!$B$19/100)*(1-CHOOSE(ArtifactsInput!$N$40+1,5,6,7,8,9,10)/100)^(ArtifactsInput!$M$40-ArtifactsInput!$M$40)))/100)))*(1+(Inputs!$B$24+((C2855=TRUE)*(F2855-Calc!F31))+((C2842=TRUE)*(F2842-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IF(ArtifactsInput!$M$34,FALSE,TRUE),1,-1)*IF(TRUE,MIN(CHOOSE(ArtifactsInput!$N$34+1,10,12,14,16,18,20),MAX(0,(CHOOSE(ArtifactsInput!$N$34+1,0.5,0.6,0.7,0.8,0.9,1)/3)*(Inputs!$B$11-60))),0)))/100)*(1+(IF(Skills!A12="CRUEL_STAB",Inputs!$B$17+((C2852=TRUE)*(F2852-Calc!F28))+((IF(AND(Inputs!$B$39&lt;&gt;"pvp",Inputs!$B$44=0),1,IF(IF(Inputs!$B$39="pvp",15,Inputs!$B$44)-(B2869)&lt;=0,1,MAX(0,IF(Inputs!$B$39="pvp",15,Inputs!$B$44)-MAX(5,B2869))/(IF(Inputs!$B$39="pvp",15,Inputs!$B$44)-(B2869))))*(IF(AND(ArtifactsInput!$M$42,((Inputs!$B$9+((C2850=TRUE)*(F2850-Calc!F26))+B2858+(ArtifactsInput!$M$24-ArtifactsInput!$M$24)*CHOOSE(ArtifactsInput!$N$24+1,10,12,14,16,18,20)+IF(ArtifactsInput!$M$10,CHOOSE(ArtifactsInput!$N$10+1,15,18,21,24,27,30)*(IF(Inputs!$B$39="pvp",MIN(15,15)/15,IF(AND(Inputs!$B$39&lt;&gt;"pvp",Inputs!$B$44&gt;0),MIN(15,Inputs!$B$44)/(Inputs!$B$44),0))),0)))&gt;=100),MIN(100,((Inputs!$B$9+((C2850=TRUE)*(F2850-Calc!F26))+B2858+(ArtifactsInput!$M$24-ArtifactsInput!$M$24)*CHOOSE(ArtifactsInput!$N$24+1,10,12,14,16,18,20)+IF(ArtifactsInput!$M$10,CHOOSE(ArtifactsInput!$N$10+1,15,18,21,24,27,30)*(IF(Inputs!$B$39="pvp",MIN(15,15)/15,IF(AND(Inputs!$B$39&lt;&gt;"pvp",Inputs!$B$44&gt;0),MIN(15,Inputs!$B$44)/(Inputs!$B$44),0))),0)))-100),0))*CHOOSE(ArtifactsInput!$N$42+1,0.6,0.72,0.84,0.96,1.08,1.2))),Inputs!$B$18+((C2853=TRUE)*(F2853-Calc!F29))+(IF(AND(Inputs!$B$39&lt;&gt;"pvp",Inputs!$B$44=0),1,IF(IF(Inputs!$B$39="pvp",15,Inputs!$B$44)-(B2869)&lt;=0,1,MAX(0,IF(Inputs!$B$39="pvp",15,Inputs!$B$44)-MAX(5,B2869))/(IF(Inputs!$B$39="pvp",15,Inputs!$B$44)-(B2869))))*IF(AND(ArtifactsInput!$M$42,((Inputs!$B$9+((C2850=TRUE)*(F2850-Calc!F26))+B2858+(ArtifactsInput!$M$24-ArtifactsInput!$M$24)*CHOOSE(ArtifactsInput!$N$24+1,10,12,14,16,18,20)+IF(ArtifactsInput!$M$10,CHOOSE(ArtifactsInput!$N$10+1,15,18,21,24,27,30)*(IF(Inputs!$B$39="pvp",MIN(15,15)/15,IF(AND(Inputs!$B$39&lt;&gt;"pvp",Inputs!$B$44&gt;0),MIN(15,Inputs!$B$44)/(Inputs!$B$44),0))),0)))&gt;=100),CHOOSE(ArtifactsInput!$N$42+1,40,48,56,64,72,80),0))))/100)*(((1+(((C2846=TRUE)*F2846*IF(AND(Inputs!$B$39&lt;&gt;"pvp",Inputs!$B$44&gt;0),(((R2846-1)*MIN((Skills!Y22*(1+Inputs!$B$34/100)),(1/Q2846))+MIN((Skills!Y22*(1+Inputs!$B$34/100)),MAX(0,Inputs!$B$44-((R2846-1)*(1/Q2846)))))/Inputs!$B$44),IF(Inputs!$B$39="pvp",MIN((Skills!Y22*(1+Inputs!$B$34/100)),15)/15,MIN(1,(Skills!Y22*(1+Inputs!$B$34/100))/(1/Q2846)))))+((C2827=TRUE)*F2827*3)+((C2829=TRUE)*F2829*(1-EXP(-0.75*B2862*5)))+((C2848=TRUE)*(F2848-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IF(ArtifactsInput!$M$34,FALSE,TRUE),CHOOSE(ArtifactsInput!$N$34+1,15,18,21,24,27,30),0)+IF(ArtifactsInput!$M$5,CHOOSE(ArtifactsInput!$N$5+1,10,12,14,16,18,20)*(IF(AND(Inputs!$B$39&lt;&gt;"pvp",Inputs!$B$44=0),0.5,(5*INT(MAX(0,IF(Inputs!$B$39="pvp",15,Inputs!$B$44)-10)/10)+MIN((MAX(0,IF(Inputs!$B$39="pvp",15,Inputs!$B$44)-10)-10*INT(MAX(0,IF(Inputs!$B$39="pvp",15,Inputs!$B$44)-10)/10)),5))/IF(Inputs!$B$39="pvp",15,Inputs!$B$44))),0)))/100)*(1+((C2835=TRUE)*F2835*IF(AND(Inputs!$B$39&lt;&gt;"pvp",Inputs!$B$44&gt;0),(((R2835-1)*MIN((Skills!Y11*(1+Inputs!$B$34/100)),(1/Q2835))+MIN((Skills!Y11*(1+Inputs!$B$34/100)),MAX(0,Inputs!$B$44-((R2835-1)*(1/Q2835)))))/Inputs!$B$44),IF(Inputs!$B$39="pvp",MIN((Skills!Y11*(1+Inputs!$B$34/100)),15)/15,MIN(1,(Skills!Y11*(1+Inputs!$B$34/100))/(1/Q2835)))))/100)*(1+((C2840=TRUE)*F2840*IF(AND(Inputs!$B$39&lt;&gt;"pvp",Inputs!$B$44&gt;0),(((R2840-1)*MIN((Skills!Y16*(1+Inputs!$B$34/100)),(1/Q2840))+MIN((Skills!Y16*(1+Inputs!$B$34/100)),MAX(0,Inputs!$B$44-((R2840-1)*(1/Q2840)))))/Inputs!$B$44),IF(Inputs!$B$39="pvp",MIN((Skills!Y16*(1+Inputs!$B$34/100)),15)/15,MIN(1,(Skills!Y16*(1+Inputs!$B$34/100))/(1/Q2840)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2860*I2836)</f>
        <v/>
      </c>
      <c r="L2836">
        <f>K2836*(MIN(Inputs!$B$22+((C2849=TRUE)*(F2849-Calc!F25)),(Inputs!$B$23+((C2854=TRUE)*(F2854-Calc!F30))+IF(ArtifactsInput!$M$15,CHOOSE(ArtifactsInput!$N$15+1,25,30,35,40,45,50)/100*(Inputs!$B$11-Inputs!$B$11),0)))/100+(Inputs!$B$23+((C2854=TRUE)*(F2854-Calc!F30))+IF(ArtifactsInput!$M$15,CHOOSE(ArtifactsInput!$N$15+1,25,30,35,40,45,50)/100*(Inputs!$B$11-Inputs!$B$11),0))/100)/2</f>
        <v/>
      </c>
      <c r="M2836">
        <f>L2836*(1+(Inputs!$B$10+((C2851=TRUE)*(F2851-Calc!F27))+B2865+(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2836">
        <f>L2836*(1-MIN((Inputs!$B$9+((C2850=TRUE)*(F2850-Calc!F26))+B2858+(ArtifactsInput!$M$24-ArtifactsInput!$M$24)*CHOOSE(ArtifactsInput!$N$24+1,10,12,14,16,18,20)+(IF(AND(Inputs!$B$39&lt;&gt;"pvp",Inputs!$B$44=0),1,IF(IF(Inputs!$B$39="pvp",15,Inputs!$B$44)-(B2869)&lt;=0,1,MAX(0,IF(Inputs!$B$39="pvp",15,Inputs!$B$44)-MAX(5,B2869))/(IF(Inputs!$B$39="pvp",15,Inputs!$B$44)-(B2869))))*IF(AND(ArtifactsInput!$M$42,((Inputs!$B$9+((C2850=TRUE)*(F2850-Calc!F26))+B2858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2836*(MIN((Inputs!$B$9+((C2850=TRUE)*(F2850-Calc!F26))+B2858+(ArtifactsInput!$M$24-ArtifactsInput!$M$24)*CHOOSE(ArtifactsInput!$N$24+1,10,12,14,16,18,20)+(IF(AND(Inputs!$B$39&lt;&gt;"pvp",Inputs!$B$44=0),1,IF(IF(Inputs!$B$39="pvp",15,Inputs!$B$44)-(B2869)&lt;=0,1,MAX(0,IF(Inputs!$B$39="pvp",15,Inputs!$B$44)-MAX(5,B2869))/(IF(Inputs!$B$39="pvp",15,Inputs!$B$44)-(B2869))))*IF(AND(ArtifactsInput!$M$42,((Inputs!$B$9+((C2850=TRUE)*(F2850-Calc!F26))+B2858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836">
        <f>(1-Summary!$B$11)*T2836+Summary!$B$11*V2836</f>
        <v/>
      </c>
      <c r="P2836">
        <f>IF(B2870=0,0,O2836/B2870)</f>
        <v/>
      </c>
      <c r="Q2836">
        <f>IFERROR(1/IF(Inputs!$B$39="pvp",15,MAX(0.1,Skills!D12-IF(TRUE=TRUE,Inputs!$B$32,0))),0)</f>
        <v/>
      </c>
      <c r="R2836">
        <f>IF(AND(Inputs!$B$39&lt;&gt;"pvp",Inputs!$B$44&gt;0),IF(MAX(0,Inputs!$B$44-B2869)&lt;=0,0,(INT(MAX(0,Inputs!$B$44-B2869)/IF(Inputs!$B$39="pvp",15,MAX(0.1,Skills!D12-IF(TRUE=TRUE,Inputs!$B$32,0))))+1)),0)</f>
        <v/>
      </c>
      <c r="S2836">
        <f>IFERROR(O2836/N2836,0)</f>
        <v/>
      </c>
      <c r="T2836">
        <f>IF(C2836,(H2836*N2836*IF(AND(Inputs!$B$39&lt;&gt;"pvp",Inputs!$B$44&gt;0),((Skills!G12*((R2836-1)*IF(Skills!H12&gt;0,Skills!I12/Skills!H12,1)+IF(Skills!H12&gt;0,MIN(Skills!I12,MAX(0,MAX(0,Inputs!$B$44-B2869)-((R2836-1)*IF(Inputs!$B$39="pvp",15,MAX(0.1,Skills!D12-IF(TRUE=TRUE,Inputs!$B$32,0))))))/Skills!H12,1)))/Inputs!$B$44),G2836*Q2836))*IF(Inputs!$B$39="pvp",1,1+(Inputs!$B$20+0+Skills!P12+B2859+(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Hunt"),CHOOSE(ArtifactsInput!$N$35+1,15,18,21,24,27,30)*(1-EXP(-(0.2*B2862)*5)),0)+IF(AND(ArtifactsInput!$M$22,Inputs!$B$4&lt;&gt;"Chapter Hunt"),CHOOSE(ArtifactsInput!$N$22+1,10,12,14,16,18,20)*((0*(((0.15*B2862*5))^0/1)+1*(((0.15*B2862*5))^1/1)+2*(((0.15*B2862*5))^2/2)+3*(((0.15*B2862*5))^3/6)+4*(((0.15*B2862*5))^4/24)+5*(((0.15*B2862*5))^5/120))/((((0.15*B2862*5))^0/1)+(((0.15*B2862*5))^1/1)+(((0.15*B2862*5))^2/2)+(((0.15*B2862*5))^3/6)+(((0.15*B2862*5))^4/24)+(((0.15*B2862*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2836*(1-MIN(100,(Inputs!$B$9+((C2850=TRUE)*(F2850-Calc!F26))+B2858+(ArtifactsInput!$M$24-ArtifactsInput!$M$24)*CHOOSE(ArtifactsInput!$N$24+1,10,12,14,16,18,20)+(IF(AND(Inputs!$B$39&lt;&gt;"pvp",Inputs!$B$44=0),1,IF(IF(Inputs!$B$39="pvp",15,Inputs!$B$44)-(B2869)&lt;=0,1,MAX(0,IF(Inputs!$B$39="pvp",15,Inputs!$B$44)-MAX(5,B2869))/(IF(Inputs!$B$39="pvp",15,Inputs!$B$44)-(B2869))))*IF(AND(ArtifactsInput!$M$42,((Inputs!$B$9+((C2850=TRUE)*(F2850-Calc!F26))+B2858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2836*(MIN(100,(Inputs!$B$9+((C2850=TRUE)*(F2850-Calc!F26))+B2858+(ArtifactsInput!$M$24-ArtifactsInput!$M$24)*CHOOSE(ArtifactsInput!$N$24+1,10,12,14,16,18,20)+(IF(AND(Inputs!$B$39&lt;&gt;"pvp",Inputs!$B$44=0),1,IF(IF(Inputs!$B$39="pvp",15,Inputs!$B$44)-(B2869)&lt;=0,1,MAX(0,IF(Inputs!$B$39="pvp",15,Inputs!$B$44)-MAX(5,B2869))/(IF(Inputs!$B$39="pvp",15,Inputs!$B$44)-(B2869))))*IF(AND(ArtifactsInput!$M$42,((Inputs!$B$9+((C2850=TRUE)*(F2850-Calc!F26))+B2858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2836*(1-MIN(100,(Inputs!$B$9+((C2850=TRUE)*(F2850-Calc!F26))+B2858+(ArtifactsInput!$M$24-ArtifactsInput!$M$24)*CHOOSE(ArtifactsInput!$N$24+1,10,12,14,16,18,20)+(IF(AND(Inputs!$B$39&lt;&gt;"pvp",Inputs!$B$44=0),1,IF(IF(Inputs!$B$39="pvp",15,Inputs!$B$44)-(B2869)&lt;=0,1,MAX(0,IF(Inputs!$B$39="pvp",15,Inputs!$B$44)-MAX(5,B2869))/(IF(Inputs!$B$39="pvp",15,Inputs!$B$44)-(B2869))))*IF(AND(ArtifactsInput!$M$42,((Inputs!$B$9+((C2850=TRUE)*(F2850-Calc!F26))+B2858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2836*(MIN(100,(Inputs!$B$9+((C2850=TRUE)*(F2850-Calc!F26))+B2858+(ArtifactsInput!$M$24-ArtifactsInput!$M$24)*CHOOSE(ArtifactsInput!$N$24+1,10,12,14,16,18,20)+(IF(AND(Inputs!$B$39&lt;&gt;"pvp",Inputs!$B$44=0),1,IF(IF(Inputs!$B$39="pvp",15,Inputs!$B$44)-(B2869)&lt;=0,1,MAX(0,IF(Inputs!$B$39="pvp",15,Inputs!$B$44)-MAX(5,B2869))/(IF(Inputs!$B$39="pvp",15,Inputs!$B$44)-(B2869))))*IF(AND(ArtifactsInput!$M$42,((Inputs!$B$9+((C2850=TRUE)*(F2850-Calc!F26))+B2858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836">
        <f>IF(C2836,(H2836*N2836*IF(AND(Inputs!$B$39&lt;&gt;"pvp",Inputs!$B$44&gt;0),((Skills!G12*((R2836-1)*IF(Skills!H12&gt;0,Skills!I12/Skills!H12,1)+IF(Skills!H12&gt;0,MIN(Skills!I12,MAX(0,MAX(0,Inputs!$B$44-B2869)-((R2836-1)*IF(Inputs!$B$39="pvp",15,MAX(0.1,Skills!D12-IF(TRUE=TRUE,Inputs!$B$32,0))))))/Skills!H12,1)))/Inputs!$B$44),G2836*Q2836))*IF(Inputs!$B$39="pvp",1,(1+(Inputs!$B$21+Skills!Q12+B2859+(IF(ArtifactsInput!$M$33,CHOOSE(ArtifactsInput!$N$33+1,30,36,42,48,54,60),0))+(IF(AND(ArtifactsInput!$M$35,Inputs!$B$4&lt;&gt;"Chapter Hunt"),CHOOSE(ArtifactsInput!$N$35+1,15,18,21,24,27,30)*(1-EXP(-(0.2*B2862)*5)),0)+IF(AND(ArtifactsInput!$M$22,Inputs!$B$4&lt;&gt;"Chapter Hunt"),CHOOSE(ArtifactsInput!$N$22+1,10,12,14,16,18,20)*((0*(((0.15*B2862*5))^0/1)+1*(((0.15*B2862*5))^1/1)+2*(((0.15*B2862*5))^2/2)+3*(((0.15*B2862*5))^3/6)+4*(((0.15*B2862*5))^4/24)+5*(((0.15*B2862*5))^5/120))/((((0.15*B2862*5))^0/1)+(((0.15*B2862*5))^1/1)+(((0.15*B2862*5))^2/2)+(((0.15*B2862*5))^3/6)+(((0.15*B2862*5))^4/24)+(((0.15*B2862*5))^5/120))),0)))/100)*(MIN(Skills!W12,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837">
      <c r="A2837">
        <f>Skills!A13</f>
        <v/>
      </c>
      <c r="B2837">
        <f>Skills!B13</f>
        <v/>
      </c>
      <c r="C2837">
        <f>Inputs!$B$3&gt;=105</f>
        <v/>
      </c>
      <c r="D2837">
        <f>IF(Skills!C13=1,60+Inputs!$B$25+Inputs!$B$29,IF(Skills!C13=2,90+Inputs!$B$26+Inputs!$B$29,IF(Skills!C13=3,120+Inputs!$B$27+Inputs!$B$29,MAX(0,(Inputs!$B$3-100)*3)+Inputs!$B$28+Inputs!$B$29)))</f>
        <v/>
      </c>
      <c r="E2837">
        <f>INDEX(FactorTable!$B$2:$Y$301, MATCH(ROUND(MIN(300,MAX(1,D2837)),0), FactorTable!$A$2:$A$301,0), Skills!M13+1)</f>
        <v/>
      </c>
      <c r="F2837">
        <f>IF(Skills!N13=TRUE,(Skills!L13/10)*(E2837/1000),Skills!L13/10)+Skills!O13</f>
        <v/>
      </c>
      <c r="G2837">
        <f>Skills!G13*IF(Skills!H13&gt;0,IF(Inputs!$B$39="pvp",MIN(Skills!I13,15),Skills!I13)/Skills!H13,1)</f>
        <v/>
      </c>
      <c r="H2837">
        <f>1-(1-Skills!J13/100)^Skills!K13</f>
        <v/>
      </c>
      <c r="I2837" t="inlineStr">
        <is>
          <t>1</t>
        </is>
      </c>
      <c r="J2837">
        <f>((Inputs!$B$6*(1+Inputs!$B$7/100))+(((Inputs!$B$12*(1+Inputs!$B$13/100))-(Inputs!$B$12*(1+Inputs!$B$13/100)))+0.25*(Inputs!$B$14-Inputs!$B$14))*(1+Inputs!$B$7/100))*(F2837/100)</f>
        <v/>
      </c>
      <c r="K2837">
        <f>J2837*(1+((Inputs!$B$12*(1+Inputs!$B$13/100))*0.01+Inputs!$B$14*0.0025)/100)*(1+Inputs!$B$15/100)*(1+Inputs!$B$16/100)*(5000/(6000+Inputs!$B$43*(1-(100*(1-(1-Inputs!$B$19/100)*(1-CHOOSE(ArtifactsInput!$N$40+1,5,6,7,8,9,10)/100)^(ArtifactsInput!$M$40-ArtifactsInput!$M$40)))/100)))*(1+(Inputs!$B$24+((C2855=TRUE)*(F2855-Calc!F31))+((C2842=TRUE)*(F2842-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IF(ArtifactsInput!$M$34,FALSE,TRUE),1,-1)*IF(TRUE,MIN(CHOOSE(ArtifactsInput!$N$34+1,10,12,14,16,18,20),MAX(0,(CHOOSE(ArtifactsInput!$N$34+1,0.5,0.6,0.7,0.8,0.9,1)/3)*(Inputs!$B$11-60))),0)))/100)*(1+(IF(Skills!A13="CRUEL_STAB",Inputs!$B$17+((C2852=TRUE)*(F2852-Calc!F28))+((IF(AND(Inputs!$B$39&lt;&gt;"pvp",Inputs!$B$44=0),1,IF(IF(Inputs!$B$39="pvp",15,Inputs!$B$44)-(B2869)&lt;=0,1,MAX(0,IF(Inputs!$B$39="pvp",15,Inputs!$B$44)-MAX(5,B2869))/(IF(Inputs!$B$39="pvp",15,Inputs!$B$44)-(B2869))))*(IF(AND(ArtifactsInput!$M$42,((Inputs!$B$9+((C2850=TRUE)*(F2850-Calc!F26))+B2858+(ArtifactsInput!$M$24-ArtifactsInput!$M$24)*CHOOSE(ArtifactsInput!$N$24+1,10,12,14,16,18,20)+IF(ArtifactsInput!$M$10,CHOOSE(ArtifactsInput!$N$10+1,15,18,21,24,27,30)*(IF(Inputs!$B$39="pvp",MIN(15,15)/15,IF(AND(Inputs!$B$39&lt;&gt;"pvp",Inputs!$B$44&gt;0),MIN(15,Inputs!$B$44)/(Inputs!$B$44),0))),0)))&gt;=100),MIN(100,((Inputs!$B$9+((C2850=TRUE)*(F2850-Calc!F26))+B2858+(ArtifactsInput!$M$24-ArtifactsInput!$M$24)*CHOOSE(ArtifactsInput!$N$24+1,10,12,14,16,18,20)+IF(ArtifactsInput!$M$10,CHOOSE(ArtifactsInput!$N$10+1,15,18,21,24,27,30)*(IF(Inputs!$B$39="pvp",MIN(15,15)/15,IF(AND(Inputs!$B$39&lt;&gt;"pvp",Inputs!$B$44&gt;0),MIN(15,Inputs!$B$44)/(Inputs!$B$44),0))),0)))-100),0))*CHOOSE(ArtifactsInput!$N$42+1,0.6,0.72,0.84,0.96,1.08,1.2))),Inputs!$B$18+((C2853=TRUE)*(F2853-Calc!F29))+(IF(AND(Inputs!$B$39&lt;&gt;"pvp",Inputs!$B$44=0),1,IF(IF(Inputs!$B$39="pvp",15,Inputs!$B$44)-(B2869)&lt;=0,1,MAX(0,IF(Inputs!$B$39="pvp",15,Inputs!$B$44)-MAX(5,B2869))/(IF(Inputs!$B$39="pvp",15,Inputs!$B$44)-(B2869))))*IF(AND(ArtifactsInput!$M$42,((Inputs!$B$9+((C2850=TRUE)*(F2850-Calc!F26))+B2858+(ArtifactsInput!$M$24-ArtifactsInput!$M$24)*CHOOSE(ArtifactsInput!$N$24+1,10,12,14,16,18,20)+IF(ArtifactsInput!$M$10,CHOOSE(ArtifactsInput!$N$10+1,15,18,21,24,27,30)*(IF(Inputs!$B$39="pvp",MIN(15,15)/15,IF(AND(Inputs!$B$39&lt;&gt;"pvp",Inputs!$B$44&gt;0),MIN(15,Inputs!$B$44)/(Inputs!$B$44),0))),0)))&gt;=100),CHOOSE(ArtifactsInput!$N$42+1,40,48,56,64,72,80),0))))/100)*(((1+(((C2846=TRUE)*F2846*IF(AND(Inputs!$B$39&lt;&gt;"pvp",Inputs!$B$44&gt;0),(((R2846-1)*MIN((Skills!Y22*(1+Inputs!$B$34/100)),(1/Q2846))+MIN((Skills!Y22*(1+Inputs!$B$34/100)),MAX(0,Inputs!$B$44-((R2846-1)*(1/Q2846)))))/Inputs!$B$44),IF(Inputs!$B$39="pvp",MIN((Skills!Y22*(1+Inputs!$B$34/100)),15)/15,MIN(1,(Skills!Y22*(1+Inputs!$B$34/100))/(1/Q2846)))))+((C2827=TRUE)*F2827*3)+((C2829=TRUE)*F2829*(1-EXP(-0.75*B2862*5)))+((C2848=TRUE)*(F2848-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IF(ArtifactsInput!$M$34,FALSE,TRUE),CHOOSE(ArtifactsInput!$N$34+1,15,18,21,24,27,30),0)+IF(ArtifactsInput!$M$5,CHOOSE(ArtifactsInput!$N$5+1,10,12,14,16,18,20)*(IF(AND(Inputs!$B$39&lt;&gt;"pvp",Inputs!$B$44=0),0.5,(5*INT(MAX(0,IF(Inputs!$B$39="pvp",15,Inputs!$B$44)-10)/10)+MIN((MAX(0,IF(Inputs!$B$39="pvp",15,Inputs!$B$44)-10)-10*INT(MAX(0,IF(Inputs!$B$39="pvp",15,Inputs!$B$44)-10)/10)),5))/IF(Inputs!$B$39="pvp",15,Inputs!$B$44))),0)))/100)*(1+((C2835=TRUE)*F2835*IF(AND(Inputs!$B$39&lt;&gt;"pvp",Inputs!$B$44&gt;0),(((R2835-1)*MIN((Skills!Y11*(1+Inputs!$B$34/100)),(1/Q2835))+MIN((Skills!Y11*(1+Inputs!$B$34/100)),MAX(0,Inputs!$B$44-((R2835-1)*(1/Q2835)))))/Inputs!$B$44),IF(Inputs!$B$39="pvp",MIN((Skills!Y11*(1+Inputs!$B$34/100)),15)/15,MIN(1,(Skills!Y11*(1+Inputs!$B$34/100))/(1/Q2835)))))/100)*(1+((C2840=TRUE)*F2840*IF(AND(Inputs!$B$39&lt;&gt;"pvp",Inputs!$B$44&gt;0),(((R2840-1)*MIN((Skills!Y16*(1+Inputs!$B$34/100)),(1/Q2840))+MIN((Skills!Y16*(1+Inputs!$B$34/100)),MAX(0,Inputs!$B$44-((R2840-1)*(1/Q2840)))))/Inputs!$B$44),IF(Inputs!$B$39="pvp",MIN((Skills!Y16*(1+Inputs!$B$34/100)),15)/15,MIN(1,(Skills!Y16*(1+Inputs!$B$34/100))/(1/Q2840)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2860*I2837)</f>
        <v/>
      </c>
      <c r="L2837">
        <f>K2837*(MIN(Inputs!$B$22+((C2849=TRUE)*(F2849-Calc!F25)),(Inputs!$B$23+((C2854=TRUE)*(F2854-Calc!F30))+IF(ArtifactsInput!$M$15,CHOOSE(ArtifactsInput!$N$15+1,25,30,35,40,45,50)/100*(Inputs!$B$11-Inputs!$B$11),0)))/100+(Inputs!$B$23+((C2854=TRUE)*(F2854-Calc!F30))+IF(ArtifactsInput!$M$15,CHOOSE(ArtifactsInput!$N$15+1,25,30,35,40,45,50)/100*(Inputs!$B$11-Inputs!$B$11),0))/100)/2</f>
        <v/>
      </c>
      <c r="M2837">
        <f>L2837*(1+(Inputs!$B$10+((C2851=TRUE)*(F2851-Calc!F27))+B2865+(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2837">
        <f>L2837*(1-MIN((Inputs!$B$9+((C2850=TRUE)*(F2850-Calc!F26))+B2858+(ArtifactsInput!$M$24-ArtifactsInput!$M$24)*CHOOSE(ArtifactsInput!$N$24+1,10,12,14,16,18,20)+(IF(AND(Inputs!$B$39&lt;&gt;"pvp",Inputs!$B$44=0),1,IF(IF(Inputs!$B$39="pvp",15,Inputs!$B$44)-(B2869)&lt;=0,1,MAX(0,IF(Inputs!$B$39="pvp",15,Inputs!$B$44)-MAX(5,B2869))/(IF(Inputs!$B$39="pvp",15,Inputs!$B$44)-(B2869))))*IF(AND(ArtifactsInput!$M$42,((Inputs!$B$9+((C2850=TRUE)*(F2850-Calc!F26))+B2858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2837*(MIN((Inputs!$B$9+((C2850=TRUE)*(F2850-Calc!F26))+B2858+(ArtifactsInput!$M$24-ArtifactsInput!$M$24)*CHOOSE(ArtifactsInput!$N$24+1,10,12,14,16,18,20)+(IF(AND(Inputs!$B$39&lt;&gt;"pvp",Inputs!$B$44=0),1,IF(IF(Inputs!$B$39="pvp",15,Inputs!$B$44)-(B2869)&lt;=0,1,MAX(0,IF(Inputs!$B$39="pvp",15,Inputs!$B$44)-MAX(5,B2869))/(IF(Inputs!$B$39="pvp",15,Inputs!$B$44)-(B2869))))*IF(AND(ArtifactsInput!$M$42,((Inputs!$B$9+((C2850=TRUE)*(F2850-Calc!F26))+B2858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837">
        <f>(1-Summary!$B$11)*T2837+Summary!$B$11*V2837</f>
        <v/>
      </c>
      <c r="P2837">
        <f>IF(B2870=0,0,O2837/B2870)</f>
        <v/>
      </c>
      <c r="Q2837">
        <f>IFERROR(1/IF(Inputs!$B$39="pvp",15,MAX(0.1,Skills!D13-IF(TRUE=TRUE,Inputs!$B$32,0))),0)</f>
        <v/>
      </c>
      <c r="R2837">
        <f>IF(AND(Inputs!$B$39&lt;&gt;"pvp",Inputs!$B$44&gt;0),IF(MAX(0,Inputs!$B$44-B2869)&lt;=0,0,(INT(MAX(0,Inputs!$B$44-B2869)/IF(Inputs!$B$39="pvp",15,MAX(0.1,Skills!D13-IF(TRUE=TRUE,Inputs!$B$32,0))))+1)),0)</f>
        <v/>
      </c>
      <c r="S2837">
        <f>IFERROR(O2837/N2837,0)</f>
        <v/>
      </c>
      <c r="T2837">
        <f>IF(C2837,(H2837*N2837*IF(AND(Inputs!$B$39&lt;&gt;"pvp",Inputs!$B$44&gt;0),((Skills!G13*((R2837-1)*IF(Skills!H13&gt;0,Skills!I13/Skills!H13,1)+IF(Skills!H13&gt;0,MIN(Skills!I13,MAX(0,MAX(0,Inputs!$B$44-B2869)-((R2837-1)*IF(Inputs!$B$39="pvp",15,MAX(0.1,Skills!D13-IF(TRUE=TRUE,Inputs!$B$32,0))))))/Skills!H13,1)))/Inputs!$B$44),G2837*Q2837))*IF(Inputs!$B$39="pvp",1,1+(Inputs!$B$20+0+Skills!P13+B2859+(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Hunt"),CHOOSE(ArtifactsInput!$N$35+1,15,18,21,24,27,30)*(1-EXP(-(0.2*B2862)*5)),0)+IF(AND(ArtifactsInput!$M$22,Inputs!$B$4&lt;&gt;"Chapter Hunt"),CHOOSE(ArtifactsInput!$N$22+1,10,12,14,16,18,20)*((0*(((0.15*B2862*5))^0/1)+1*(((0.15*B2862*5))^1/1)+2*(((0.15*B2862*5))^2/2)+3*(((0.15*B2862*5))^3/6)+4*(((0.15*B2862*5))^4/24)+5*(((0.15*B2862*5))^5/120))/((((0.15*B2862*5))^0/1)+(((0.15*B2862*5))^1/1)+(((0.15*B2862*5))^2/2)+(((0.15*B2862*5))^3/6)+(((0.15*B2862*5))^4/24)+(((0.15*B2862*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2837*(1-MIN(100,(Inputs!$B$9+((C2850=TRUE)*(F2850-Calc!F26))+B2858+(ArtifactsInput!$M$24-ArtifactsInput!$M$24)*CHOOSE(ArtifactsInput!$N$24+1,10,12,14,16,18,20)+(IF(AND(Inputs!$B$39&lt;&gt;"pvp",Inputs!$B$44=0),1,IF(IF(Inputs!$B$39="pvp",15,Inputs!$B$44)-(B2869)&lt;=0,1,MAX(0,IF(Inputs!$B$39="pvp",15,Inputs!$B$44)-MAX(5,B2869))/(IF(Inputs!$B$39="pvp",15,Inputs!$B$44)-(B2869))))*IF(AND(ArtifactsInput!$M$42,((Inputs!$B$9+((C2850=TRUE)*(F2850-Calc!F26))+B2858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2837*(MIN(100,(Inputs!$B$9+((C2850=TRUE)*(F2850-Calc!F26))+B2858+(ArtifactsInput!$M$24-ArtifactsInput!$M$24)*CHOOSE(ArtifactsInput!$N$24+1,10,12,14,16,18,20)+(IF(AND(Inputs!$B$39&lt;&gt;"pvp",Inputs!$B$44=0),1,IF(IF(Inputs!$B$39="pvp",15,Inputs!$B$44)-(B2869)&lt;=0,1,MAX(0,IF(Inputs!$B$39="pvp",15,Inputs!$B$44)-MAX(5,B2869))/(IF(Inputs!$B$39="pvp",15,Inputs!$B$44)-(B2869))))*IF(AND(ArtifactsInput!$M$42,((Inputs!$B$9+((C2850=TRUE)*(F2850-Calc!F26))+B2858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2837*(1-MIN(100,(Inputs!$B$9+((C2850=TRUE)*(F2850-Calc!F26))+B2858+(ArtifactsInput!$M$24-ArtifactsInput!$M$24)*CHOOSE(ArtifactsInput!$N$24+1,10,12,14,16,18,20)+(IF(AND(Inputs!$B$39&lt;&gt;"pvp",Inputs!$B$44=0),1,IF(IF(Inputs!$B$39="pvp",15,Inputs!$B$44)-(B2869)&lt;=0,1,MAX(0,IF(Inputs!$B$39="pvp",15,Inputs!$B$44)-MAX(5,B2869))/(IF(Inputs!$B$39="pvp",15,Inputs!$B$44)-(B2869))))*IF(AND(ArtifactsInput!$M$42,((Inputs!$B$9+((C2850=TRUE)*(F2850-Calc!F26))+B2858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2837*(MIN(100,(Inputs!$B$9+((C2850=TRUE)*(F2850-Calc!F26))+B2858+(ArtifactsInput!$M$24-ArtifactsInput!$M$24)*CHOOSE(ArtifactsInput!$N$24+1,10,12,14,16,18,20)+(IF(AND(Inputs!$B$39&lt;&gt;"pvp",Inputs!$B$44=0),1,IF(IF(Inputs!$B$39="pvp",15,Inputs!$B$44)-(B2869)&lt;=0,1,MAX(0,IF(Inputs!$B$39="pvp",15,Inputs!$B$44)-MAX(5,B2869))/(IF(Inputs!$B$39="pvp",15,Inputs!$B$44)-(B2869))))*IF(AND(ArtifactsInput!$M$42,((Inputs!$B$9+((C2850=TRUE)*(F2850-Calc!F26))+B2858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837">
        <f>IF(C2837,(H2837*N2837*IF(AND(Inputs!$B$39&lt;&gt;"pvp",Inputs!$B$44&gt;0),((Skills!G13*((R2837-1)*IF(Skills!H13&gt;0,Skills!I13/Skills!H13,1)+IF(Skills!H13&gt;0,MIN(Skills!I13,MAX(0,MAX(0,Inputs!$B$44-B2869)-((R2837-1)*IF(Inputs!$B$39="pvp",15,MAX(0.1,Skills!D13-IF(TRUE=TRUE,Inputs!$B$32,0))))))/Skills!H13,1)))/Inputs!$B$44),G2837*Q2837))*IF(Inputs!$B$39="pvp",1,(1+(Inputs!$B$21+Skills!Q13+B2859+(IF(ArtifactsInput!$M$33,CHOOSE(ArtifactsInput!$N$33+1,30,36,42,48,54,60),0))+(IF(AND(ArtifactsInput!$M$35,Inputs!$B$4&lt;&gt;"Chapter Hunt"),CHOOSE(ArtifactsInput!$N$35+1,15,18,21,24,27,30)*(1-EXP(-(0.2*B2862)*5)),0)+IF(AND(ArtifactsInput!$M$22,Inputs!$B$4&lt;&gt;"Chapter Hunt"),CHOOSE(ArtifactsInput!$N$22+1,10,12,14,16,18,20)*((0*(((0.15*B2862*5))^0/1)+1*(((0.15*B2862*5))^1/1)+2*(((0.15*B2862*5))^2/2)+3*(((0.15*B2862*5))^3/6)+4*(((0.15*B2862*5))^4/24)+5*(((0.15*B2862*5))^5/120))/((((0.15*B2862*5))^0/1)+(((0.15*B2862*5))^1/1)+(((0.15*B2862*5))^2/2)+(((0.15*B2862*5))^3/6)+(((0.15*B2862*5))^4/24)+(((0.15*B2862*5))^5/120))),0)))/100)*(MIN(Skills!W13,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838">
      <c r="A2838">
        <f>Skills!A14</f>
        <v/>
      </c>
      <c r="B2838">
        <f>Skills!B14</f>
        <v/>
      </c>
      <c r="C2838">
        <f>Inputs!$B$3&gt;=105</f>
        <v/>
      </c>
      <c r="D2838">
        <f>IF(Skills!C14=1,60+Inputs!$B$25+Inputs!$B$29,IF(Skills!C14=2,90+Inputs!$B$26+Inputs!$B$29,IF(Skills!C14=3,120+Inputs!$B$27+Inputs!$B$29,MAX(0,(Inputs!$B$3-100)*3)+Inputs!$B$28+Inputs!$B$29)))</f>
        <v/>
      </c>
      <c r="E2838">
        <f>INDEX(FactorTable!$B$2:$Y$301, MATCH(ROUND(MIN(300,MAX(1,D2838)),0), FactorTable!$A$2:$A$301,0), Skills!M14+1)</f>
        <v/>
      </c>
      <c r="F2838">
        <f>IF(Skills!N14=TRUE,(Skills!L14/10)*(E2838/1000),Skills!L14/10)+Skills!O14</f>
        <v/>
      </c>
      <c r="G2838">
        <f>Skills!G14*IF(Skills!H14&gt;0,IF(Inputs!$B$39="pvp",MIN(Skills!I14,15),Skills!I14)/Skills!H14,1)</f>
        <v/>
      </c>
      <c r="H2838">
        <f>1-(1-Skills!J14/100)^Skills!K14</f>
        <v/>
      </c>
      <c r="I2838" t="inlineStr">
        <is>
          <t>1</t>
        </is>
      </c>
      <c r="J2838">
        <f>((Inputs!$B$6*(1+Inputs!$B$7/100))+(((Inputs!$B$12*(1+Inputs!$B$13/100))-(Inputs!$B$12*(1+Inputs!$B$13/100)))+0.25*(Inputs!$B$14-Inputs!$B$14))*(1+Inputs!$B$7/100))*(F2838/100)</f>
        <v/>
      </c>
      <c r="K2838">
        <f>J2838*(1+((Inputs!$B$12*(1+Inputs!$B$13/100))*0.01+Inputs!$B$14*0.0025)/100)*(1+Inputs!$B$15/100)*(1+Inputs!$B$16/100)*(5000/(6000+Inputs!$B$43*(1-(100*(1-(1-Inputs!$B$19/100)*(1-CHOOSE(ArtifactsInput!$N$40+1,5,6,7,8,9,10)/100)^(ArtifactsInput!$M$40-ArtifactsInput!$M$40)))/100)))*(1+(Inputs!$B$24+((C2855=TRUE)*(F2855-Calc!F31))+((C2842=TRUE)*(F2842-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IF(ArtifactsInput!$M$34,FALSE,TRUE),1,-1)*IF(TRUE,MIN(CHOOSE(ArtifactsInput!$N$34+1,10,12,14,16,18,20),MAX(0,(CHOOSE(ArtifactsInput!$N$34+1,0.5,0.6,0.7,0.8,0.9,1)/3)*(Inputs!$B$11-60))),0)))/100)*(1+(IF(Skills!A14="CRUEL_STAB",Inputs!$B$17+((C2852=TRUE)*(F2852-Calc!F28))+((IF(AND(Inputs!$B$39&lt;&gt;"pvp",Inputs!$B$44=0),1,IF(IF(Inputs!$B$39="pvp",15,Inputs!$B$44)-(B2869)&lt;=0,1,MAX(0,IF(Inputs!$B$39="pvp",15,Inputs!$B$44)-MAX(5,B2869))/(IF(Inputs!$B$39="pvp",15,Inputs!$B$44)-(B2869))))*(IF(AND(ArtifactsInput!$M$42,((Inputs!$B$9+((C2850=TRUE)*(F2850-Calc!F26))+B2858+(ArtifactsInput!$M$24-ArtifactsInput!$M$24)*CHOOSE(ArtifactsInput!$N$24+1,10,12,14,16,18,20)+IF(ArtifactsInput!$M$10,CHOOSE(ArtifactsInput!$N$10+1,15,18,21,24,27,30)*(IF(Inputs!$B$39="pvp",MIN(15,15)/15,IF(AND(Inputs!$B$39&lt;&gt;"pvp",Inputs!$B$44&gt;0),MIN(15,Inputs!$B$44)/(Inputs!$B$44),0))),0)))&gt;=100),MIN(100,((Inputs!$B$9+((C2850=TRUE)*(F2850-Calc!F26))+B2858+(ArtifactsInput!$M$24-ArtifactsInput!$M$24)*CHOOSE(ArtifactsInput!$N$24+1,10,12,14,16,18,20)+IF(ArtifactsInput!$M$10,CHOOSE(ArtifactsInput!$N$10+1,15,18,21,24,27,30)*(IF(Inputs!$B$39="pvp",MIN(15,15)/15,IF(AND(Inputs!$B$39&lt;&gt;"pvp",Inputs!$B$44&gt;0),MIN(15,Inputs!$B$44)/(Inputs!$B$44),0))),0)))-100),0))*CHOOSE(ArtifactsInput!$N$42+1,0.6,0.72,0.84,0.96,1.08,1.2))),Inputs!$B$18+((C2853=TRUE)*(F2853-Calc!F29))+(IF(AND(Inputs!$B$39&lt;&gt;"pvp",Inputs!$B$44=0),1,IF(IF(Inputs!$B$39="pvp",15,Inputs!$B$44)-(B2869)&lt;=0,1,MAX(0,IF(Inputs!$B$39="pvp",15,Inputs!$B$44)-MAX(5,B2869))/(IF(Inputs!$B$39="pvp",15,Inputs!$B$44)-(B2869))))*IF(AND(ArtifactsInput!$M$42,((Inputs!$B$9+((C2850=TRUE)*(F2850-Calc!F26))+B2858+(ArtifactsInput!$M$24-ArtifactsInput!$M$24)*CHOOSE(ArtifactsInput!$N$24+1,10,12,14,16,18,20)+IF(ArtifactsInput!$M$10,CHOOSE(ArtifactsInput!$N$10+1,15,18,21,24,27,30)*(IF(Inputs!$B$39="pvp",MIN(15,15)/15,IF(AND(Inputs!$B$39&lt;&gt;"pvp",Inputs!$B$44&gt;0),MIN(15,Inputs!$B$44)/(Inputs!$B$44),0))),0)))&gt;=100),CHOOSE(ArtifactsInput!$N$42+1,40,48,56,64,72,80),0))))/100)*(((1+(((C2846=TRUE)*F2846*IF(AND(Inputs!$B$39&lt;&gt;"pvp",Inputs!$B$44&gt;0),(((R2846-1)*MIN((Skills!Y22*(1+Inputs!$B$34/100)),(1/Q2846))+MIN((Skills!Y22*(1+Inputs!$B$34/100)),MAX(0,Inputs!$B$44-((R2846-1)*(1/Q2846)))))/Inputs!$B$44),IF(Inputs!$B$39="pvp",MIN((Skills!Y22*(1+Inputs!$B$34/100)),15)/15,MIN(1,(Skills!Y22*(1+Inputs!$B$34/100))/(1/Q2846)))))+((C2827=TRUE)*F2827*3)+((C2829=TRUE)*F2829*(1-EXP(-0.75*B2862*5)))+((C2848=TRUE)*(F2848-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IF(ArtifactsInput!$M$34,FALSE,TRUE),CHOOSE(ArtifactsInput!$N$34+1,15,18,21,24,27,30),0)+IF(ArtifactsInput!$M$5,CHOOSE(ArtifactsInput!$N$5+1,10,12,14,16,18,20)*(IF(AND(Inputs!$B$39&lt;&gt;"pvp",Inputs!$B$44=0),0.5,(5*INT(MAX(0,IF(Inputs!$B$39="pvp",15,Inputs!$B$44)-10)/10)+MIN((MAX(0,IF(Inputs!$B$39="pvp",15,Inputs!$B$44)-10)-10*INT(MAX(0,IF(Inputs!$B$39="pvp",15,Inputs!$B$44)-10)/10)),5))/IF(Inputs!$B$39="pvp",15,Inputs!$B$44))),0)))/100)*(1+((C2835=TRUE)*F2835*IF(AND(Inputs!$B$39&lt;&gt;"pvp",Inputs!$B$44&gt;0),(((R2835-1)*MIN((Skills!Y11*(1+Inputs!$B$34/100)),(1/Q2835))+MIN((Skills!Y11*(1+Inputs!$B$34/100)),MAX(0,Inputs!$B$44-((R2835-1)*(1/Q2835)))))/Inputs!$B$44),IF(Inputs!$B$39="pvp",MIN((Skills!Y11*(1+Inputs!$B$34/100)),15)/15,MIN(1,(Skills!Y11*(1+Inputs!$B$34/100))/(1/Q2835)))))/100)*(1+((C2840=TRUE)*F2840*IF(AND(Inputs!$B$39&lt;&gt;"pvp",Inputs!$B$44&gt;0),(((R2840-1)*MIN((Skills!Y16*(1+Inputs!$B$34/100)),(1/Q2840))+MIN((Skills!Y16*(1+Inputs!$B$34/100)),MAX(0,Inputs!$B$44-((R2840-1)*(1/Q2840)))))/Inputs!$B$44),IF(Inputs!$B$39="pvp",MIN((Skills!Y16*(1+Inputs!$B$34/100)),15)/15,MIN(1,(Skills!Y16*(1+Inputs!$B$34/100))/(1/Q2840)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2860*I2838)</f>
        <v/>
      </c>
      <c r="L2838">
        <f>K2838*(MIN(Inputs!$B$22+((C2849=TRUE)*(F2849-Calc!F25)),(Inputs!$B$23+((C2854=TRUE)*(F2854-Calc!F30))+IF(ArtifactsInput!$M$15,CHOOSE(ArtifactsInput!$N$15+1,25,30,35,40,45,50)/100*(Inputs!$B$11-Inputs!$B$11),0)))/100+(Inputs!$B$23+((C2854=TRUE)*(F2854-Calc!F30))+IF(ArtifactsInput!$M$15,CHOOSE(ArtifactsInput!$N$15+1,25,30,35,40,45,50)/100*(Inputs!$B$11-Inputs!$B$11),0))/100)/2</f>
        <v/>
      </c>
      <c r="M2838">
        <f>L2838*(1+(Inputs!$B$10+((C2851=TRUE)*(F2851-Calc!F27))+B2865+(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2838">
        <f>L2838*(1-MIN((Inputs!$B$9+((C2850=TRUE)*(F2850-Calc!F26))+B2858+(ArtifactsInput!$M$24-ArtifactsInput!$M$24)*CHOOSE(ArtifactsInput!$N$24+1,10,12,14,16,18,20)+(IF(AND(Inputs!$B$39&lt;&gt;"pvp",Inputs!$B$44=0),1,IF(IF(Inputs!$B$39="pvp",15,Inputs!$B$44)-(B2869)&lt;=0,1,MAX(0,IF(Inputs!$B$39="pvp",15,Inputs!$B$44)-MAX(5,B2869))/(IF(Inputs!$B$39="pvp",15,Inputs!$B$44)-(B2869))))*IF(AND(ArtifactsInput!$M$42,((Inputs!$B$9+((C2850=TRUE)*(F2850-Calc!F26))+B2858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2838*(MIN((Inputs!$B$9+((C2850=TRUE)*(F2850-Calc!F26))+B2858+(ArtifactsInput!$M$24-ArtifactsInput!$M$24)*CHOOSE(ArtifactsInput!$N$24+1,10,12,14,16,18,20)+(IF(AND(Inputs!$B$39&lt;&gt;"pvp",Inputs!$B$44=0),1,IF(IF(Inputs!$B$39="pvp",15,Inputs!$B$44)-(B2869)&lt;=0,1,MAX(0,IF(Inputs!$B$39="pvp",15,Inputs!$B$44)-MAX(5,B2869))/(IF(Inputs!$B$39="pvp",15,Inputs!$B$44)-(B2869))))*IF(AND(ArtifactsInput!$M$42,((Inputs!$B$9+((C2850=TRUE)*(F2850-Calc!F26))+B2858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838">
        <f>(1-Summary!$B$11)*T2838+Summary!$B$11*V2838</f>
        <v/>
      </c>
      <c r="P2838">
        <f>IF(B2870=0,0,O2838/B2870)</f>
        <v/>
      </c>
      <c r="Q2838">
        <f>IFERROR(1/IF(Inputs!$B$39="pvp",15,MAX(0.1,Skills!D14-IF(TRUE=TRUE,Inputs!$B$32,0))),0)</f>
        <v/>
      </c>
      <c r="R2838">
        <f>IF(AND(Inputs!$B$39&lt;&gt;"pvp",Inputs!$B$44&gt;0),IF(MAX(0,Inputs!$B$44-B2869)&lt;=0,0,(INT(MAX(0,Inputs!$B$44-B2869)/IF(Inputs!$B$39="pvp",15,MAX(0.1,Skills!D14-IF(TRUE=TRUE,Inputs!$B$32,0))))+1)),0)</f>
        <v/>
      </c>
      <c r="S2838">
        <f>IFERROR(O2838/N2838,0)</f>
        <v/>
      </c>
      <c r="T2838">
        <f>IF(C2838,(H2838*N2838*IF(AND(Inputs!$B$39&lt;&gt;"pvp",Inputs!$B$44&gt;0),((Skills!G14*((R2838-1)*IF(Skills!H14&gt;0,Skills!I14/Skills!H14,1)+IF(Skills!H14&gt;0,MIN(Skills!I14,MAX(0,MAX(0,Inputs!$B$44-B2869)-((R2838-1)*IF(Inputs!$B$39="pvp",15,MAX(0.1,Skills!D14-IF(TRUE=TRUE,Inputs!$B$32,0))))))/Skills!H14,1)))/Inputs!$B$44),G2838*Q2838))*IF(Inputs!$B$39="pvp",1,1+(Inputs!$B$20+0+Skills!P14+B2859+(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Hunt"),CHOOSE(ArtifactsInput!$N$35+1,15,18,21,24,27,30)*(1-EXP(-(0.2*B2862)*5)),0)+IF(AND(ArtifactsInput!$M$22,Inputs!$B$4&lt;&gt;"Chapter Hunt"),CHOOSE(ArtifactsInput!$N$22+1,10,12,14,16,18,20)*((0*(((0.15*B2862*5))^0/1)+1*(((0.15*B2862*5))^1/1)+2*(((0.15*B2862*5))^2/2)+3*(((0.15*B2862*5))^3/6)+4*(((0.15*B2862*5))^4/24)+5*(((0.15*B2862*5))^5/120))/((((0.15*B2862*5))^0/1)+(((0.15*B2862*5))^1/1)+(((0.15*B2862*5))^2/2)+(((0.15*B2862*5))^3/6)+(((0.15*B2862*5))^4/24)+(((0.15*B2862*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2838*(1-MIN(100,(Inputs!$B$9+((C2850=TRUE)*(F2850-Calc!F26))+B2858+(ArtifactsInput!$M$24-ArtifactsInput!$M$24)*CHOOSE(ArtifactsInput!$N$24+1,10,12,14,16,18,20)+(IF(AND(Inputs!$B$39&lt;&gt;"pvp",Inputs!$B$44=0),1,IF(IF(Inputs!$B$39="pvp",15,Inputs!$B$44)-(B2869)&lt;=0,1,MAX(0,IF(Inputs!$B$39="pvp",15,Inputs!$B$44)-MAX(5,B2869))/(IF(Inputs!$B$39="pvp",15,Inputs!$B$44)-(B2869))))*IF(AND(ArtifactsInput!$M$42,((Inputs!$B$9+((C2850=TRUE)*(F2850-Calc!F26))+B2858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2838*(MIN(100,(Inputs!$B$9+((C2850=TRUE)*(F2850-Calc!F26))+B2858+(ArtifactsInput!$M$24-ArtifactsInput!$M$24)*CHOOSE(ArtifactsInput!$N$24+1,10,12,14,16,18,20)+(IF(AND(Inputs!$B$39&lt;&gt;"pvp",Inputs!$B$44=0),1,IF(IF(Inputs!$B$39="pvp",15,Inputs!$B$44)-(B2869)&lt;=0,1,MAX(0,IF(Inputs!$B$39="pvp",15,Inputs!$B$44)-MAX(5,B2869))/(IF(Inputs!$B$39="pvp",15,Inputs!$B$44)-(B2869))))*IF(AND(ArtifactsInput!$M$42,((Inputs!$B$9+((C2850=TRUE)*(F2850-Calc!F26))+B2858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2838*(1-MIN(100,(Inputs!$B$9+((C2850=TRUE)*(F2850-Calc!F26))+B2858+(ArtifactsInput!$M$24-ArtifactsInput!$M$24)*CHOOSE(ArtifactsInput!$N$24+1,10,12,14,16,18,20)+(IF(AND(Inputs!$B$39&lt;&gt;"pvp",Inputs!$B$44=0),1,IF(IF(Inputs!$B$39="pvp",15,Inputs!$B$44)-(B2869)&lt;=0,1,MAX(0,IF(Inputs!$B$39="pvp",15,Inputs!$B$44)-MAX(5,B2869))/(IF(Inputs!$B$39="pvp",15,Inputs!$B$44)-(B2869))))*IF(AND(ArtifactsInput!$M$42,((Inputs!$B$9+((C2850=TRUE)*(F2850-Calc!F26))+B2858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2838*(MIN(100,(Inputs!$B$9+((C2850=TRUE)*(F2850-Calc!F26))+B2858+(ArtifactsInput!$M$24-ArtifactsInput!$M$24)*CHOOSE(ArtifactsInput!$N$24+1,10,12,14,16,18,20)+(IF(AND(Inputs!$B$39&lt;&gt;"pvp",Inputs!$B$44=0),1,IF(IF(Inputs!$B$39="pvp",15,Inputs!$B$44)-(B2869)&lt;=0,1,MAX(0,IF(Inputs!$B$39="pvp",15,Inputs!$B$44)-MAX(5,B2869))/(IF(Inputs!$B$39="pvp",15,Inputs!$B$44)-(B2869))))*IF(AND(ArtifactsInput!$M$42,((Inputs!$B$9+((C2850=TRUE)*(F2850-Calc!F26))+B2858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838">
        <f>IF(C2838,(H2838*N2838*IF(AND(Inputs!$B$39&lt;&gt;"pvp",Inputs!$B$44&gt;0),((Skills!G14*((R2838-1)*IF(Skills!H14&gt;0,Skills!I14/Skills!H14,1)+IF(Skills!H14&gt;0,MIN(Skills!I14,MAX(0,MAX(0,Inputs!$B$44-B2869)-((R2838-1)*IF(Inputs!$B$39="pvp",15,MAX(0.1,Skills!D14-IF(TRUE=TRUE,Inputs!$B$32,0))))))/Skills!H14,1)))/Inputs!$B$44),G2838*Q2838))*IF(Inputs!$B$39="pvp",1,(1+(Inputs!$B$21+Skills!Q14+B2859+(IF(ArtifactsInput!$M$33,CHOOSE(ArtifactsInput!$N$33+1,30,36,42,48,54,60),0))+(IF(AND(ArtifactsInput!$M$35,Inputs!$B$4&lt;&gt;"Chapter Hunt"),CHOOSE(ArtifactsInput!$N$35+1,15,18,21,24,27,30)*(1-EXP(-(0.2*B2862)*5)),0)+IF(AND(ArtifactsInput!$M$22,Inputs!$B$4&lt;&gt;"Chapter Hunt"),CHOOSE(ArtifactsInput!$N$22+1,10,12,14,16,18,20)*((0*(((0.15*B2862*5))^0/1)+1*(((0.15*B2862*5))^1/1)+2*(((0.15*B2862*5))^2/2)+3*(((0.15*B2862*5))^3/6)+4*(((0.15*B2862*5))^4/24)+5*(((0.15*B2862*5))^5/120))/((((0.15*B2862*5))^0/1)+(((0.15*B2862*5))^1/1)+(((0.15*B2862*5))^2/2)+(((0.15*B2862*5))^3/6)+(((0.15*B2862*5))^4/24)+(((0.15*B2862*5))^5/120))),0)))/100)*(MIN(Skills!W14,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839">
      <c r="A2839">
        <f>Skills!A15</f>
        <v/>
      </c>
      <c r="B2839">
        <f>Skills!B15</f>
        <v/>
      </c>
      <c r="C2839">
        <f>Inputs!$B$3&gt;=107</f>
        <v/>
      </c>
      <c r="D2839">
        <f>IF(Skills!C15=1,60+Inputs!$B$25+Inputs!$B$29,IF(Skills!C15=2,90+Inputs!$B$26+Inputs!$B$29,IF(Skills!C15=3,120+Inputs!$B$27+Inputs!$B$29,MAX(0,(Inputs!$B$3-100)*3)+Inputs!$B$28+Inputs!$B$29)))</f>
        <v/>
      </c>
      <c r="E2839">
        <f>INDEX(FactorTable!$B$2:$Y$301, MATCH(ROUND(MIN(300,MAX(1,D2839)),0), FactorTable!$A$2:$A$301,0), Skills!M15+1)</f>
        <v/>
      </c>
      <c r="F2839">
        <f>IF(Skills!N15=TRUE,(Skills!L15/10)*(E2839/1000),Skills!L15/10)+Skills!O15</f>
        <v/>
      </c>
      <c r="G2839">
        <f>Skills!G15*IF(Skills!H15&gt;0,IF(Inputs!$B$39="pvp",MIN(Skills!I15,15),Skills!I15)/Skills!H15,1)</f>
        <v/>
      </c>
      <c r="H2839">
        <f>1-(1-Skills!J15/100)^Skills!K15</f>
        <v/>
      </c>
      <c r="I2839" t="inlineStr">
        <is>
          <t>1</t>
        </is>
      </c>
      <c r="J2839">
        <f>((Inputs!$B$6*(1+Inputs!$B$7/100))+(((Inputs!$B$12*(1+Inputs!$B$13/100))-(Inputs!$B$12*(1+Inputs!$B$13/100)))+0.25*(Inputs!$B$14-Inputs!$B$14))*(1+Inputs!$B$7/100))*(F2839/100)</f>
        <v/>
      </c>
      <c r="K2839">
        <f>J2839*(1+((Inputs!$B$12*(1+Inputs!$B$13/100))*0.01+Inputs!$B$14*0.0025)/100)*(1+Inputs!$B$15/100)*(1+Inputs!$B$16/100)*(5000/(6000+Inputs!$B$43*(1-(100*(1-(1-Inputs!$B$19/100)*(1-CHOOSE(ArtifactsInput!$N$40+1,5,6,7,8,9,10)/100)^(ArtifactsInput!$M$40-ArtifactsInput!$M$40)))/100)))*(1+(Inputs!$B$24+((C2855=TRUE)*(F2855-Calc!F31))+((C2842=TRUE)*(F2842-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IF(ArtifactsInput!$M$34,FALSE,TRUE),1,-1)*IF(TRUE,MIN(CHOOSE(ArtifactsInput!$N$34+1,10,12,14,16,18,20),MAX(0,(CHOOSE(ArtifactsInput!$N$34+1,0.5,0.6,0.7,0.8,0.9,1)/3)*(Inputs!$B$11-60))),0)))/100)*(1+(IF(Skills!A15="CRUEL_STAB",Inputs!$B$17+((C2852=TRUE)*(F2852-Calc!F28))+((IF(AND(Inputs!$B$39&lt;&gt;"pvp",Inputs!$B$44=0),1,IF(IF(Inputs!$B$39="pvp",15,Inputs!$B$44)-(B2869)&lt;=0,1,MAX(0,IF(Inputs!$B$39="pvp",15,Inputs!$B$44)-MAX(5,B2869))/(IF(Inputs!$B$39="pvp",15,Inputs!$B$44)-(B2869))))*(IF(AND(ArtifactsInput!$M$42,((Inputs!$B$9+((C2850=TRUE)*(F2850-Calc!F26))+B2858+(ArtifactsInput!$M$24-ArtifactsInput!$M$24)*CHOOSE(ArtifactsInput!$N$24+1,10,12,14,16,18,20)+IF(ArtifactsInput!$M$10,CHOOSE(ArtifactsInput!$N$10+1,15,18,21,24,27,30)*(IF(Inputs!$B$39="pvp",MIN(15,15)/15,IF(AND(Inputs!$B$39&lt;&gt;"pvp",Inputs!$B$44&gt;0),MIN(15,Inputs!$B$44)/(Inputs!$B$44),0))),0)))&gt;=100),MIN(100,((Inputs!$B$9+((C2850=TRUE)*(F2850-Calc!F26))+B2858+(ArtifactsInput!$M$24-ArtifactsInput!$M$24)*CHOOSE(ArtifactsInput!$N$24+1,10,12,14,16,18,20)+IF(ArtifactsInput!$M$10,CHOOSE(ArtifactsInput!$N$10+1,15,18,21,24,27,30)*(IF(Inputs!$B$39="pvp",MIN(15,15)/15,IF(AND(Inputs!$B$39&lt;&gt;"pvp",Inputs!$B$44&gt;0),MIN(15,Inputs!$B$44)/(Inputs!$B$44),0))),0)))-100),0))*CHOOSE(ArtifactsInput!$N$42+1,0.6,0.72,0.84,0.96,1.08,1.2))),Inputs!$B$18+((C2853=TRUE)*(F2853-Calc!F29))+(IF(AND(Inputs!$B$39&lt;&gt;"pvp",Inputs!$B$44=0),1,IF(IF(Inputs!$B$39="pvp",15,Inputs!$B$44)-(B2869)&lt;=0,1,MAX(0,IF(Inputs!$B$39="pvp",15,Inputs!$B$44)-MAX(5,B2869))/(IF(Inputs!$B$39="pvp",15,Inputs!$B$44)-(B2869))))*IF(AND(ArtifactsInput!$M$42,((Inputs!$B$9+((C2850=TRUE)*(F2850-Calc!F26))+B2858+(ArtifactsInput!$M$24-ArtifactsInput!$M$24)*CHOOSE(ArtifactsInput!$N$24+1,10,12,14,16,18,20)+IF(ArtifactsInput!$M$10,CHOOSE(ArtifactsInput!$N$10+1,15,18,21,24,27,30)*(IF(Inputs!$B$39="pvp",MIN(15,15)/15,IF(AND(Inputs!$B$39&lt;&gt;"pvp",Inputs!$B$44&gt;0),MIN(15,Inputs!$B$44)/(Inputs!$B$44),0))),0)))&gt;=100),CHOOSE(ArtifactsInput!$N$42+1,40,48,56,64,72,80),0))))/100)*(((1+(((C2846=TRUE)*F2846*IF(AND(Inputs!$B$39&lt;&gt;"pvp",Inputs!$B$44&gt;0),(((R2846-1)*MIN((Skills!Y22*(1+Inputs!$B$34/100)),(1/Q2846))+MIN((Skills!Y22*(1+Inputs!$B$34/100)),MAX(0,Inputs!$B$44-((R2846-1)*(1/Q2846)))))/Inputs!$B$44),IF(Inputs!$B$39="pvp",MIN((Skills!Y22*(1+Inputs!$B$34/100)),15)/15,MIN(1,(Skills!Y22*(1+Inputs!$B$34/100))/(1/Q2846)))))+((C2827=TRUE)*F2827*3)+((C2829=TRUE)*F2829*(1-EXP(-0.75*B2862*5)))+((C2848=TRUE)*(F2848-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IF(ArtifactsInput!$M$34,FALSE,TRUE),CHOOSE(ArtifactsInput!$N$34+1,15,18,21,24,27,30),0)+IF(ArtifactsInput!$M$5,CHOOSE(ArtifactsInput!$N$5+1,10,12,14,16,18,20)*(IF(AND(Inputs!$B$39&lt;&gt;"pvp",Inputs!$B$44=0),0.5,(5*INT(MAX(0,IF(Inputs!$B$39="pvp",15,Inputs!$B$44)-10)/10)+MIN((MAX(0,IF(Inputs!$B$39="pvp",15,Inputs!$B$44)-10)-10*INT(MAX(0,IF(Inputs!$B$39="pvp",15,Inputs!$B$44)-10)/10)),5))/IF(Inputs!$B$39="pvp",15,Inputs!$B$44))),0)))/100)*(1+((C2835=TRUE)*F2835*IF(AND(Inputs!$B$39&lt;&gt;"pvp",Inputs!$B$44&gt;0),(((R2835-1)*MIN((Skills!Y11*(1+Inputs!$B$34/100)),(1/Q2835))+MIN((Skills!Y11*(1+Inputs!$B$34/100)),MAX(0,Inputs!$B$44-((R2835-1)*(1/Q2835)))))/Inputs!$B$44),IF(Inputs!$B$39="pvp",MIN((Skills!Y11*(1+Inputs!$B$34/100)),15)/15,MIN(1,(Skills!Y11*(1+Inputs!$B$34/100))/(1/Q2835)))))/100)*(1+((C2840=TRUE)*F2840*IF(AND(Inputs!$B$39&lt;&gt;"pvp",Inputs!$B$44&gt;0),(((R2840-1)*MIN((Skills!Y16*(1+Inputs!$B$34/100)),(1/Q2840))+MIN((Skills!Y16*(1+Inputs!$B$34/100)),MAX(0,Inputs!$B$44-((R2840-1)*(1/Q2840)))))/Inputs!$B$44),IF(Inputs!$B$39="pvp",MIN((Skills!Y16*(1+Inputs!$B$34/100)),15)/15,MIN(1,(Skills!Y16*(1+Inputs!$B$34/100))/(1/Q2840)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2860*I2839)</f>
        <v/>
      </c>
      <c r="L2839">
        <f>K2839*(MIN(Inputs!$B$22+((C2849=TRUE)*(F2849-Calc!F25)),(Inputs!$B$23+((C2854=TRUE)*(F2854-Calc!F30))+IF(ArtifactsInput!$M$15,CHOOSE(ArtifactsInput!$N$15+1,25,30,35,40,45,50)/100*(Inputs!$B$11-Inputs!$B$11),0)))/100+(Inputs!$B$23+((C2854=TRUE)*(F2854-Calc!F30))+IF(ArtifactsInput!$M$15,CHOOSE(ArtifactsInput!$N$15+1,25,30,35,40,45,50)/100*(Inputs!$B$11-Inputs!$B$11),0))/100)/2</f>
        <v/>
      </c>
      <c r="M2839">
        <f>L2839*(1+(Inputs!$B$10+((C2851=TRUE)*(F2851-Calc!F27))+B2865+(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2839">
        <f>L2839*(1-MIN((Inputs!$B$9+((C2850=TRUE)*(F2850-Calc!F26))+B2858+(ArtifactsInput!$M$24-ArtifactsInput!$M$24)*CHOOSE(ArtifactsInput!$N$24+1,10,12,14,16,18,20)+(IF(AND(Inputs!$B$39&lt;&gt;"pvp",Inputs!$B$44=0),1,IF(IF(Inputs!$B$39="pvp",15,Inputs!$B$44)-(B2869)&lt;=0,1,MAX(0,IF(Inputs!$B$39="pvp",15,Inputs!$B$44)-MAX(5,B2869))/(IF(Inputs!$B$39="pvp",15,Inputs!$B$44)-(B2869))))*IF(AND(ArtifactsInput!$M$42,((Inputs!$B$9+((C2850=TRUE)*(F2850-Calc!F26))+B2858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2839*(MIN((Inputs!$B$9+((C2850=TRUE)*(F2850-Calc!F26))+B2858+(ArtifactsInput!$M$24-ArtifactsInput!$M$24)*CHOOSE(ArtifactsInput!$N$24+1,10,12,14,16,18,20)+(IF(AND(Inputs!$B$39&lt;&gt;"pvp",Inputs!$B$44=0),1,IF(IF(Inputs!$B$39="pvp",15,Inputs!$B$44)-(B2869)&lt;=0,1,MAX(0,IF(Inputs!$B$39="pvp",15,Inputs!$B$44)-MAX(5,B2869))/(IF(Inputs!$B$39="pvp",15,Inputs!$B$44)-(B2869))))*IF(AND(ArtifactsInput!$M$42,((Inputs!$B$9+((C2850=TRUE)*(F2850-Calc!F26))+B2858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839">
        <f>(1-Summary!$B$11)*T2839+Summary!$B$11*V2839</f>
        <v/>
      </c>
      <c r="P2839">
        <f>IF(B2870=0,0,O2839/B2870)</f>
        <v/>
      </c>
      <c r="Q2839">
        <f>IFERROR(1/IF(Inputs!$B$39="pvp",15,MAX(0.1,Skills!D15-IF(TRUE=TRUE,Inputs!$B$32,0))),0)</f>
        <v/>
      </c>
      <c r="R2839">
        <f>IF(AND(Inputs!$B$39&lt;&gt;"pvp",Inputs!$B$44&gt;0),IF(MAX(0,Inputs!$B$44-B2869)&lt;=0,0,(INT(MAX(0,Inputs!$B$44-B2869)/IF(Inputs!$B$39="pvp",15,MAX(0.1,Skills!D15-IF(TRUE=TRUE,Inputs!$B$32,0))))+1)),0)</f>
        <v/>
      </c>
      <c r="S2839">
        <f>IFERROR(O2839/N2839,0)</f>
        <v/>
      </c>
      <c r="T2839">
        <f>IF(C2839,(H2839*N2839*IF(AND(Inputs!$B$39&lt;&gt;"pvp",Inputs!$B$44&gt;0),((Skills!G15*((R2839-1)*IF(Skills!H15&gt;0,Skills!I15/Skills!H15,1)+IF(Skills!H15&gt;0,MIN(Skills!I15,MAX(0,MAX(0,Inputs!$B$44-B2869)-((R2839-1)*IF(Inputs!$B$39="pvp",15,MAX(0.1,Skills!D15-IF(TRUE=TRUE,Inputs!$B$32,0))))))/Skills!H15,1)))/Inputs!$B$44),G2839*Q2839))*IF(Inputs!$B$39="pvp",1,1+(Inputs!$B$20+0+Skills!P15+B2859+(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Hunt"),CHOOSE(ArtifactsInput!$N$35+1,15,18,21,24,27,30)*(1-EXP(-(0.2*B2862)*5)),0)+IF(AND(ArtifactsInput!$M$22,Inputs!$B$4&lt;&gt;"Chapter Hunt"),CHOOSE(ArtifactsInput!$N$22+1,10,12,14,16,18,20)*((0*(((0.15*B2862*5))^0/1)+1*(((0.15*B2862*5))^1/1)+2*(((0.15*B2862*5))^2/2)+3*(((0.15*B2862*5))^3/6)+4*(((0.15*B2862*5))^4/24)+5*(((0.15*B2862*5))^5/120))/((((0.15*B2862*5))^0/1)+(((0.15*B2862*5))^1/1)+(((0.15*B2862*5))^2/2)+(((0.15*B2862*5))^3/6)+(((0.15*B2862*5))^4/24)+(((0.15*B2862*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2839*(1-MIN(100,(Inputs!$B$9+((C2850=TRUE)*(F2850-Calc!F26))+B2858+(ArtifactsInput!$M$24-ArtifactsInput!$M$24)*CHOOSE(ArtifactsInput!$N$24+1,10,12,14,16,18,20)+(IF(AND(Inputs!$B$39&lt;&gt;"pvp",Inputs!$B$44=0),1,IF(IF(Inputs!$B$39="pvp",15,Inputs!$B$44)-(B2869)&lt;=0,1,MAX(0,IF(Inputs!$B$39="pvp",15,Inputs!$B$44)-MAX(5,B2869))/(IF(Inputs!$B$39="pvp",15,Inputs!$B$44)-(B2869))))*IF(AND(ArtifactsInput!$M$42,((Inputs!$B$9+((C2850=TRUE)*(F2850-Calc!F26))+B2858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2839*(MIN(100,(Inputs!$B$9+((C2850=TRUE)*(F2850-Calc!F26))+B2858+(ArtifactsInput!$M$24-ArtifactsInput!$M$24)*CHOOSE(ArtifactsInput!$N$24+1,10,12,14,16,18,20)+(IF(AND(Inputs!$B$39&lt;&gt;"pvp",Inputs!$B$44=0),1,IF(IF(Inputs!$B$39="pvp",15,Inputs!$B$44)-(B2869)&lt;=0,1,MAX(0,IF(Inputs!$B$39="pvp",15,Inputs!$B$44)-MAX(5,B2869))/(IF(Inputs!$B$39="pvp",15,Inputs!$B$44)-(B2869))))*IF(AND(ArtifactsInput!$M$42,((Inputs!$B$9+((C2850=TRUE)*(F2850-Calc!F26))+B2858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2839*(1-MIN(100,(Inputs!$B$9+((C2850=TRUE)*(F2850-Calc!F26))+B2858+(ArtifactsInput!$M$24-ArtifactsInput!$M$24)*CHOOSE(ArtifactsInput!$N$24+1,10,12,14,16,18,20)+(IF(AND(Inputs!$B$39&lt;&gt;"pvp",Inputs!$B$44=0),1,IF(IF(Inputs!$B$39="pvp",15,Inputs!$B$44)-(B2869)&lt;=0,1,MAX(0,IF(Inputs!$B$39="pvp",15,Inputs!$B$44)-MAX(5,B2869))/(IF(Inputs!$B$39="pvp",15,Inputs!$B$44)-(B2869))))*IF(AND(ArtifactsInput!$M$42,((Inputs!$B$9+((C2850=TRUE)*(F2850-Calc!F26))+B2858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2839*(MIN(100,(Inputs!$B$9+((C2850=TRUE)*(F2850-Calc!F26))+B2858+(ArtifactsInput!$M$24-ArtifactsInput!$M$24)*CHOOSE(ArtifactsInput!$N$24+1,10,12,14,16,18,20)+(IF(AND(Inputs!$B$39&lt;&gt;"pvp",Inputs!$B$44=0),1,IF(IF(Inputs!$B$39="pvp",15,Inputs!$B$44)-(B2869)&lt;=0,1,MAX(0,IF(Inputs!$B$39="pvp",15,Inputs!$B$44)-MAX(5,B2869))/(IF(Inputs!$B$39="pvp",15,Inputs!$B$44)-(B2869))))*IF(AND(ArtifactsInput!$M$42,((Inputs!$B$9+((C2850=TRUE)*(F2850-Calc!F26))+B2858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839">
        <f>IF(C2839,(H2839*N2839*IF(AND(Inputs!$B$39&lt;&gt;"pvp",Inputs!$B$44&gt;0),((Skills!G15*((R2839-1)*IF(Skills!H15&gt;0,Skills!I15/Skills!H15,1)+IF(Skills!H15&gt;0,MIN(Skills!I15,MAX(0,MAX(0,Inputs!$B$44-B2869)-((R2839-1)*IF(Inputs!$B$39="pvp",15,MAX(0.1,Skills!D15-IF(TRUE=TRUE,Inputs!$B$32,0))))))/Skills!H15,1)))/Inputs!$B$44),G2839*Q2839))*IF(Inputs!$B$39="pvp",1,(1+(Inputs!$B$21+Skills!Q15+B2859+(IF(ArtifactsInput!$M$33,CHOOSE(ArtifactsInput!$N$33+1,30,36,42,48,54,60),0))+(IF(AND(ArtifactsInput!$M$35,Inputs!$B$4&lt;&gt;"Chapter Hunt"),CHOOSE(ArtifactsInput!$N$35+1,15,18,21,24,27,30)*(1-EXP(-(0.2*B2862)*5)),0)+IF(AND(ArtifactsInput!$M$22,Inputs!$B$4&lt;&gt;"Chapter Hunt"),CHOOSE(ArtifactsInput!$N$22+1,10,12,14,16,18,20)*((0*(((0.15*B2862*5))^0/1)+1*(((0.15*B2862*5))^1/1)+2*(((0.15*B2862*5))^2/2)+3*(((0.15*B2862*5))^3/6)+4*(((0.15*B2862*5))^4/24)+5*(((0.15*B2862*5))^5/120))/((((0.15*B2862*5))^0/1)+(((0.15*B2862*5))^1/1)+(((0.15*B2862*5))^2/2)+(((0.15*B2862*5))^3/6)+(((0.15*B2862*5))^4/24)+(((0.15*B2862*5))^5/120))),0)))/100)*(MIN(MIN(5,0.5*IF(Inputs!$B$3&gt;=75,0.75,0.5)*B2862*(1/Q2828))*Skills!V15,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840">
      <c r="A2840">
        <f>Skills!A16</f>
        <v/>
      </c>
      <c r="B2840">
        <f>Skills!B16</f>
        <v/>
      </c>
      <c r="C2840">
        <f>Inputs!$B$3&gt;=110</f>
        <v/>
      </c>
      <c r="D2840">
        <f>IF(Skills!C16=1,60+Inputs!$B$25+Inputs!$B$29,IF(Skills!C16=2,90+Inputs!$B$26+Inputs!$B$29,IF(Skills!C16=3,120+Inputs!$B$27+Inputs!$B$29,MAX(0,(Inputs!$B$3-100)*3)+Inputs!$B$28+Inputs!$B$29)))</f>
        <v/>
      </c>
      <c r="E2840">
        <f>INDEX(FactorTable!$B$2:$Y$301, MATCH(ROUND(MIN(300,MAX(1,D2840)),0), FactorTable!$A$2:$A$301,0), Skills!M16+1)</f>
        <v/>
      </c>
      <c r="F2840">
        <f>IF(Skills!N16=TRUE,(Skills!L16/10)*(E2840/1000),Skills!L16/10)+Skills!O16</f>
        <v/>
      </c>
      <c r="G2840">
        <f>Skills!G16*IF(Skills!H16&gt;0,IF(Inputs!$B$39="pvp",MIN(Skills!I16,15),Skills!I16)/Skills!H16,1)</f>
        <v/>
      </c>
      <c r="H2840">
        <f>1-(1-Skills!J16/100)^Skills!K16</f>
        <v/>
      </c>
      <c r="I2840" t="inlineStr">
        <is>
          <t>1</t>
        </is>
      </c>
      <c r="J2840" t="inlineStr"/>
      <c r="K2840" t="inlineStr"/>
      <c r="L2840" t="inlineStr"/>
      <c r="M2840" t="inlineStr"/>
      <c r="N2840" t="inlineStr"/>
      <c r="O2840">
        <f>(1-Summary!$B$11)*T2840+Summary!$B$11*V2840</f>
        <v/>
      </c>
      <c r="P2840">
        <f>IF(B2870=0,0,O2840/B2870)</f>
        <v/>
      </c>
      <c r="Q2840">
        <f>IFERROR(1/IF(Inputs!$B$39="pvp",15,MAX(0.1,Skills!D16-IF(TRUE=TRUE,Inputs!$B$32,0))),0)</f>
        <v/>
      </c>
      <c r="R2840">
        <f>IF(AND(Inputs!$B$39&lt;&gt;"pvp",Inputs!$B$44&gt;0),IF(Inputs!$B$44&lt;=0,0,(INT(Inputs!$B$44/IF(Inputs!$B$39="pvp",15,MAX(0.1,Skills!D16-IF(TRUE=TRUE,Inputs!$B$32,0))))+1)),0)</f>
        <v/>
      </c>
      <c r="S2840">
        <f>IFERROR(O2840/N2840,0)</f>
        <v/>
      </c>
      <c r="T2840" t="n">
        <v>0</v>
      </c>
      <c r="V2840" t="n">
        <v>0</v>
      </c>
    </row>
    <row r="2841">
      <c r="A2841">
        <f>Skills!A17</f>
        <v/>
      </c>
      <c r="B2841">
        <f>Skills!B17</f>
        <v/>
      </c>
      <c r="C2841">
        <f>Inputs!$B$3&gt;=115</f>
        <v/>
      </c>
      <c r="D2841">
        <f>IF(Skills!C17=1,60+Inputs!$B$25+Inputs!$B$29,IF(Skills!C17=2,90+Inputs!$B$26+Inputs!$B$29,IF(Skills!C17=3,120+Inputs!$B$27+Inputs!$B$29,MAX(0,(Inputs!$B$3-100)*3)+Inputs!$B$28+Inputs!$B$29)))</f>
        <v/>
      </c>
      <c r="E2841">
        <f>INDEX(FactorTable!$B$2:$Y$301, MATCH(ROUND(MIN(300,MAX(1,D2841)),0), FactorTable!$A$2:$A$301,0), Skills!M17+1)</f>
        <v/>
      </c>
      <c r="F2841">
        <f>IF(Skills!N17=TRUE,(Skills!L17/10)*(E2841/1000),Skills!L17/10)+Skills!O17</f>
        <v/>
      </c>
      <c r="G2841">
        <f>Skills!G17*IF(Skills!H17&gt;0,IF(Inputs!$B$39="pvp",MIN(Skills!I17,15),Skills!I17)/Skills!H17,1)</f>
        <v/>
      </c>
      <c r="H2841">
        <f>1-(1-Skills!J17/100)^Skills!K17</f>
        <v/>
      </c>
      <c r="I2841" t="inlineStr">
        <is>
          <t>1</t>
        </is>
      </c>
      <c r="J2841">
        <f>((Inputs!$B$6*(1+Inputs!$B$7/100))+(((Inputs!$B$12*(1+Inputs!$B$13/100))-(Inputs!$B$12*(1+Inputs!$B$13/100)))+0.25*(Inputs!$B$14-Inputs!$B$14))*(1+Inputs!$B$7/100))*(F2841/100)</f>
        <v/>
      </c>
      <c r="K2841">
        <f>J2841*(1+((Inputs!$B$12*(1+Inputs!$B$13/100))*0.01+Inputs!$B$14*0.0025)/100)*(1+Inputs!$B$15/100)*(1+Inputs!$B$16/100)*(5000/(6000+Inputs!$B$43*(1-(100*(1-(1-Inputs!$B$19/100)*(1-CHOOSE(ArtifactsInput!$N$40+1,5,6,7,8,9,10)/100)^(ArtifactsInput!$M$40-ArtifactsInput!$M$40)))/100)))*(1+(Inputs!$B$24+((C2855=TRUE)*(F2855-Calc!F31))+((C2842=TRUE)*(F2842-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IF(ArtifactsInput!$M$34,FALSE,TRUE),1,-1)*IF(TRUE,MIN(CHOOSE(ArtifactsInput!$N$34+1,10,12,14,16,18,20),MAX(0,(CHOOSE(ArtifactsInput!$N$34+1,0.5,0.6,0.7,0.8,0.9,1)/3)*(Inputs!$B$11-60))),0)))/100)*(1+(IF(Skills!A17="CRUEL_STAB",Inputs!$B$17+((C2852=TRUE)*(F2852-Calc!F28))+((IF(AND(Inputs!$B$39&lt;&gt;"pvp",Inputs!$B$44=0),1,IF(IF(Inputs!$B$39="pvp",15,Inputs!$B$44)-(B2869)&lt;=0,1,MAX(0,IF(Inputs!$B$39="pvp",15,Inputs!$B$44)-MAX(5,B2869))/(IF(Inputs!$B$39="pvp",15,Inputs!$B$44)-(B2869))))*(IF(AND(ArtifactsInput!$M$42,((Inputs!$B$9+((C2850=TRUE)*(F2850-Calc!F26))+B2858+(ArtifactsInput!$M$24-ArtifactsInput!$M$24)*CHOOSE(ArtifactsInput!$N$24+1,10,12,14,16,18,20)+IF(ArtifactsInput!$M$10,CHOOSE(ArtifactsInput!$N$10+1,15,18,21,24,27,30)*(IF(Inputs!$B$39="pvp",MIN(15,15)/15,IF(AND(Inputs!$B$39&lt;&gt;"pvp",Inputs!$B$44&gt;0),MIN(15,Inputs!$B$44)/(Inputs!$B$44),0))),0)))&gt;=100),MIN(100,((Inputs!$B$9+((C2850=TRUE)*(F2850-Calc!F26))+B2858+(ArtifactsInput!$M$24-ArtifactsInput!$M$24)*CHOOSE(ArtifactsInput!$N$24+1,10,12,14,16,18,20)+IF(ArtifactsInput!$M$10,CHOOSE(ArtifactsInput!$N$10+1,15,18,21,24,27,30)*(IF(Inputs!$B$39="pvp",MIN(15,15)/15,IF(AND(Inputs!$B$39&lt;&gt;"pvp",Inputs!$B$44&gt;0),MIN(15,Inputs!$B$44)/(Inputs!$B$44),0))),0)))-100),0))*CHOOSE(ArtifactsInput!$N$42+1,0.6,0.72,0.84,0.96,1.08,1.2))),Inputs!$B$18+((C2853=TRUE)*(F2853-Calc!F29))+(IF(AND(Inputs!$B$39&lt;&gt;"pvp",Inputs!$B$44=0),1,IF(IF(Inputs!$B$39="pvp",15,Inputs!$B$44)-(B2869)&lt;=0,1,MAX(0,IF(Inputs!$B$39="pvp",15,Inputs!$B$44)-MAX(5,B2869))/(IF(Inputs!$B$39="pvp",15,Inputs!$B$44)-(B2869))))*IF(AND(ArtifactsInput!$M$42,((Inputs!$B$9+((C2850=TRUE)*(F2850-Calc!F26))+B2858+(ArtifactsInput!$M$24-ArtifactsInput!$M$24)*CHOOSE(ArtifactsInput!$N$24+1,10,12,14,16,18,20)+IF(ArtifactsInput!$M$10,CHOOSE(ArtifactsInput!$N$10+1,15,18,21,24,27,30)*(IF(Inputs!$B$39="pvp",MIN(15,15)/15,IF(AND(Inputs!$B$39&lt;&gt;"pvp",Inputs!$B$44&gt;0),MIN(15,Inputs!$B$44)/(Inputs!$B$44),0))),0)))&gt;=100),CHOOSE(ArtifactsInput!$N$42+1,40,48,56,64,72,80),0))))/100)*(((1+(((C2846=TRUE)*F2846*IF(AND(Inputs!$B$39&lt;&gt;"pvp",Inputs!$B$44&gt;0),(((R2846-1)*MIN((Skills!Y22*(1+Inputs!$B$34/100)),(1/Q2846))+MIN((Skills!Y22*(1+Inputs!$B$34/100)),MAX(0,Inputs!$B$44-((R2846-1)*(1/Q2846)))))/Inputs!$B$44),IF(Inputs!$B$39="pvp",MIN((Skills!Y22*(1+Inputs!$B$34/100)),15)/15,MIN(1,(Skills!Y22*(1+Inputs!$B$34/100))/(1/Q2846)))))+((C2827=TRUE)*F2827*3)+((C2829=TRUE)*F2829*(1-EXP(-0.75*B2862*5)))+((C2848=TRUE)*(F2848-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IF(ArtifactsInput!$M$34,FALSE,TRUE),CHOOSE(ArtifactsInput!$N$34+1,15,18,21,24,27,30),0)+IF(ArtifactsInput!$M$5,CHOOSE(ArtifactsInput!$N$5+1,10,12,14,16,18,20)*(IF(AND(Inputs!$B$39&lt;&gt;"pvp",Inputs!$B$44=0),0.5,(5*INT(MAX(0,IF(Inputs!$B$39="pvp",15,Inputs!$B$44)-10)/10)+MIN((MAX(0,IF(Inputs!$B$39="pvp",15,Inputs!$B$44)-10)-10*INT(MAX(0,IF(Inputs!$B$39="pvp",15,Inputs!$B$44)-10)/10)),5))/IF(Inputs!$B$39="pvp",15,Inputs!$B$44))),0)))/100)*(1+((C2835=TRUE)*F2835*IF(AND(Inputs!$B$39&lt;&gt;"pvp",Inputs!$B$44&gt;0),(((R2835-1)*MIN((Skills!Y11*(1+Inputs!$B$34/100)),(1/Q2835))+MIN((Skills!Y11*(1+Inputs!$B$34/100)),MAX(0,Inputs!$B$44-((R2835-1)*(1/Q2835)))))/Inputs!$B$44),IF(Inputs!$B$39="pvp",MIN((Skills!Y11*(1+Inputs!$B$34/100)),15)/15,MIN(1,(Skills!Y11*(1+Inputs!$B$34/100))/(1/Q2835)))))/100)*(1+((C2840=TRUE)*F2840*IF(AND(Inputs!$B$39&lt;&gt;"pvp",Inputs!$B$44&gt;0),(((R2840-1)*MIN((Skills!Y16*(1+Inputs!$B$34/100)),(1/Q2840))+MIN((Skills!Y16*(1+Inputs!$B$34/100)),MAX(0,Inputs!$B$44-((R2840-1)*(1/Q2840)))))/Inputs!$B$44),IF(Inputs!$B$39="pvp",MIN((Skills!Y16*(1+Inputs!$B$34/100)),15)/15,MIN(1,(Skills!Y16*(1+Inputs!$B$34/100))/(1/Q2840)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2860*I2841)</f>
        <v/>
      </c>
      <c r="L2841">
        <f>K2841*(MIN(Inputs!$B$22+((C2849=TRUE)*(F2849-Calc!F25)),(Inputs!$B$23+((C2854=TRUE)*(F2854-Calc!F30))+IF(ArtifactsInput!$M$15,CHOOSE(ArtifactsInput!$N$15+1,25,30,35,40,45,50)/100*(Inputs!$B$11-Inputs!$B$11),0)))/100+(Inputs!$B$23+((C2854=TRUE)*(F2854-Calc!F30))+IF(ArtifactsInput!$M$15,CHOOSE(ArtifactsInput!$N$15+1,25,30,35,40,45,50)/100*(Inputs!$B$11-Inputs!$B$11),0))/100)/2</f>
        <v/>
      </c>
      <c r="M2841">
        <f>L2841*(1+(Inputs!$B$10+((C2851=TRUE)*(F2851-Calc!F27))+B2865+(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2841">
        <f>L2841*(1-MIN((Inputs!$B$9+((C2850=TRUE)*(F2850-Calc!F26))+B2858+(ArtifactsInput!$M$24-ArtifactsInput!$M$24)*CHOOSE(ArtifactsInput!$N$24+1,10,12,14,16,18,20)+(IF(AND(Inputs!$B$39&lt;&gt;"pvp",Inputs!$B$44=0),1,IF(IF(Inputs!$B$39="pvp",15,Inputs!$B$44)-(B2869)&lt;=0,1,MAX(0,IF(Inputs!$B$39="pvp",15,Inputs!$B$44)-MAX(5,B2869))/(IF(Inputs!$B$39="pvp",15,Inputs!$B$44)-(B2869))))*IF(AND(ArtifactsInput!$M$42,((Inputs!$B$9+((C2850=TRUE)*(F2850-Calc!F26))+B2858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2841*(MIN((Inputs!$B$9+((C2850=TRUE)*(F2850-Calc!F26))+B2858+(ArtifactsInput!$M$24-ArtifactsInput!$M$24)*CHOOSE(ArtifactsInput!$N$24+1,10,12,14,16,18,20)+(IF(AND(Inputs!$B$39&lt;&gt;"pvp",Inputs!$B$44=0),1,IF(IF(Inputs!$B$39="pvp",15,Inputs!$B$44)-(B2869)&lt;=0,1,MAX(0,IF(Inputs!$B$39="pvp",15,Inputs!$B$44)-MAX(5,B2869))/(IF(Inputs!$B$39="pvp",15,Inputs!$B$44)-(B2869))))*IF(AND(ArtifactsInput!$M$42,((Inputs!$B$9+((C2850=TRUE)*(F2850-Calc!F26))+B2858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841">
        <f>(1-Summary!$B$11)*T2841+Summary!$B$11*V2841</f>
        <v/>
      </c>
      <c r="P2841">
        <f>IF(B2870=0,0,O2841/B2870)</f>
        <v/>
      </c>
      <c r="Q2841" t="n">
        <v>0</v>
      </c>
      <c r="R2841" t="n">
        <v>0</v>
      </c>
      <c r="S2841">
        <f>IFERROR(O2841/N2841,0)</f>
        <v/>
      </c>
      <c r="T2841">
        <f>IF(C2841,(Inputs!$B$38*0.2*N2841)*IF(Inputs!$B$39="pvp",1,1+(Inputs!$B$20+0+Skills!P17+B2859+(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Hunt"),CHOOSE(ArtifactsInput!$N$35+1,15,18,21,24,27,30)*(1-EXP(-(0.2*B2862)*5)),0)+IF(AND(ArtifactsInput!$M$22,Inputs!$B$4&lt;&gt;"Chapter Hunt"),CHOOSE(ArtifactsInput!$N$22+1,10,12,14,16,18,20)*((0*(((0.15*B2862*5))^0/1)+1*(((0.15*B2862*5))^1/1)+2*(((0.15*B2862*5))^2/2)+3*(((0.15*B2862*5))^3/6)+4*(((0.15*B2862*5))^4/24)+5*(((0.15*B2862*5))^5/120))/((((0.15*B2862*5))^0/1)+(((0.15*B2862*5))^1/1)+(((0.15*B2862*5))^2/2)+(((0.15*B2862*5))^3/6)+(((0.15*B2862*5))^4/24)+(((0.15*B2862*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2841*(1-MIN(100,(Inputs!$B$9+((C2850=TRUE)*(F2850-Calc!F26))+B2858+(ArtifactsInput!$M$24-ArtifactsInput!$M$24)*CHOOSE(ArtifactsInput!$N$24+1,10,12,14,16,18,20)+(IF(AND(Inputs!$B$39&lt;&gt;"pvp",Inputs!$B$44=0),1,IF(IF(Inputs!$B$39="pvp",15,Inputs!$B$44)-(B2869)&lt;=0,1,MAX(0,IF(Inputs!$B$39="pvp",15,Inputs!$B$44)-MAX(5,B2869))/(IF(Inputs!$B$39="pvp",15,Inputs!$B$44)-(B2869))))*IF(AND(ArtifactsInput!$M$42,((Inputs!$B$9+((C2850=TRUE)*(F2850-Calc!F26))+B2858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2841*(MIN(100,(Inputs!$B$9+((C2850=TRUE)*(F2850-Calc!F26))+B2858+(ArtifactsInput!$M$24-ArtifactsInput!$M$24)*CHOOSE(ArtifactsInput!$N$24+1,10,12,14,16,18,20)+(IF(AND(Inputs!$B$39&lt;&gt;"pvp",Inputs!$B$44=0),1,IF(IF(Inputs!$B$39="pvp",15,Inputs!$B$44)-(B2869)&lt;=0,1,MAX(0,IF(Inputs!$B$39="pvp",15,Inputs!$B$44)-MAX(5,B2869))/(IF(Inputs!$B$39="pvp",15,Inputs!$B$44)-(B2869))))*IF(AND(ArtifactsInput!$M$42,((Inputs!$B$9+((C2850=TRUE)*(F2850-Calc!F26))+B2858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2841*(1-MIN(100,(Inputs!$B$9+((C2850=TRUE)*(F2850-Calc!F26))+B2858+(ArtifactsInput!$M$24-ArtifactsInput!$M$24)*CHOOSE(ArtifactsInput!$N$24+1,10,12,14,16,18,20)+(IF(AND(Inputs!$B$39&lt;&gt;"pvp",Inputs!$B$44=0),1,IF(IF(Inputs!$B$39="pvp",15,Inputs!$B$44)-(B2869)&lt;=0,1,MAX(0,IF(Inputs!$B$39="pvp",15,Inputs!$B$44)-MAX(5,B2869))/(IF(Inputs!$B$39="pvp",15,Inputs!$B$44)-(B2869))))*IF(AND(ArtifactsInput!$M$42,((Inputs!$B$9+((C2850=TRUE)*(F2850-Calc!F26))+B2858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2841*(MIN(100,(Inputs!$B$9+((C2850=TRUE)*(F2850-Calc!F26))+B2858+(ArtifactsInput!$M$24-ArtifactsInput!$M$24)*CHOOSE(ArtifactsInput!$N$24+1,10,12,14,16,18,20)+(IF(AND(Inputs!$B$39&lt;&gt;"pvp",Inputs!$B$44=0),1,IF(IF(Inputs!$B$39="pvp",15,Inputs!$B$44)-(B2869)&lt;=0,1,MAX(0,IF(Inputs!$B$39="pvp",15,Inputs!$B$44)-MAX(5,B2869))/(IF(Inputs!$B$39="pvp",15,Inputs!$B$44)-(B2869))))*IF(AND(ArtifactsInput!$M$42,((Inputs!$B$9+((C2850=TRUE)*(F2850-Calc!F26))+B2858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841">
        <f>IF(C2841,(Inputs!$B$38*0.2*N2841)*IF(Inputs!$B$39="pvp",1,(1+(Inputs!$B$21+Skills!Q17+B2859+(IF(ArtifactsInput!$M$33,CHOOSE(ArtifactsInput!$N$33+1,30,36,42,48,54,60),0))+(IF(AND(ArtifactsInput!$M$35,Inputs!$B$4&lt;&gt;"Chapter Hunt"),CHOOSE(ArtifactsInput!$N$35+1,15,18,21,24,27,30)*(1-EXP(-(0.2*B2862)*5)),0)+IF(AND(ArtifactsInput!$M$22,Inputs!$B$4&lt;&gt;"Chapter Hunt"),CHOOSE(ArtifactsInput!$N$22+1,10,12,14,16,18,20)*((0*(((0.15*B2862*5))^0/1)+1*(((0.15*B2862*5))^1/1)+2*(((0.15*B2862*5))^2/2)+3*(((0.15*B2862*5))^3/6)+4*(((0.15*B2862*5))^4/24)+5*(((0.15*B2862*5))^5/120))/((((0.15*B2862*5))^0/1)+(((0.15*B2862*5))^1/1)+(((0.15*B2862*5))^2/2)+(((0.15*B2862*5))^3/6)+(((0.15*B2862*5))^4/24)+(((0.15*B2862*5))^5/120))),0)))/100)*(MIN(Skills!W17,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842">
      <c r="A2842">
        <f>Skills!A18</f>
        <v/>
      </c>
      <c r="B2842">
        <f>Skills!B18</f>
        <v/>
      </c>
      <c r="C2842">
        <f>Inputs!$B$3&gt;=115</f>
        <v/>
      </c>
      <c r="D2842">
        <f>IF(Skills!C18=1,60+Inputs!$B$25+Inputs!$B$29,IF(Skills!C18=2,90+Inputs!$B$26+Inputs!$B$29,IF(Skills!C18=3,120+Inputs!$B$27+Inputs!$B$29,MAX(0,(Inputs!$B$3-100)*3)+Inputs!$B$28+Inputs!$B$29)))</f>
        <v/>
      </c>
      <c r="E2842">
        <f>INDEX(FactorTable!$B$2:$Y$301, MATCH(ROUND(MIN(300,MAX(1,D2842)),0), FactorTable!$A$2:$A$301,0), Skills!M18+1)</f>
        <v/>
      </c>
      <c r="F2842">
        <f>IF(Skills!N18=TRUE,(Skills!L18/10)*(E2842/1000),Skills!L18/10)+Skills!O18</f>
        <v/>
      </c>
      <c r="G2842">
        <f>Skills!G18*IF(Skills!H18&gt;0,IF(Inputs!$B$39="pvp",MIN(Skills!I18,15),Skills!I18)/Skills!H18,1)</f>
        <v/>
      </c>
      <c r="H2842">
        <f>1-(1-Skills!J18/100)^Skills!K18</f>
        <v/>
      </c>
      <c r="I2842" t="inlineStr">
        <is>
          <t>1</t>
        </is>
      </c>
      <c r="J2842" t="inlineStr"/>
      <c r="K2842" t="inlineStr"/>
      <c r="L2842" t="inlineStr"/>
      <c r="M2842" t="inlineStr"/>
      <c r="N2842" t="inlineStr"/>
      <c r="O2842">
        <f>(1-Summary!$B$11)*T2842+Summary!$B$11*V2842</f>
        <v/>
      </c>
      <c r="P2842">
        <f>IF(B2870=0,0,O2842/B2870)</f>
        <v/>
      </c>
      <c r="Q2842" t="n">
        <v>0</v>
      </c>
      <c r="R2842" t="n">
        <v>0</v>
      </c>
      <c r="S2842">
        <f>IFERROR(O2842/N2842,0)</f>
        <v/>
      </c>
      <c r="T2842" t="n">
        <v>0</v>
      </c>
      <c r="V2842" t="n">
        <v>0</v>
      </c>
    </row>
    <row r="2843">
      <c r="A2843">
        <f>Skills!A19</f>
        <v/>
      </c>
      <c r="B2843">
        <f>Skills!B19</f>
        <v/>
      </c>
      <c r="C2843">
        <f>Inputs!$B$3&gt;=100</f>
        <v/>
      </c>
      <c r="D2843">
        <f>IF(Skills!C19=1,60+Inputs!$B$25+Inputs!$B$29,IF(Skills!C19=2,90+Inputs!$B$26+Inputs!$B$29,IF(Skills!C19=3,120+Inputs!$B$27+Inputs!$B$29,MAX(0,(Inputs!$B$3-100)*3)+Inputs!$B$28+Inputs!$B$29)))</f>
        <v/>
      </c>
      <c r="E2843">
        <f>INDEX(FactorTable!$B$2:$Y$301, MATCH(ROUND(MIN(300,MAX(1,D2843)),0), FactorTable!$A$2:$A$301,0), Skills!M19+1)</f>
        <v/>
      </c>
      <c r="F2843">
        <f>IF(Skills!N19=TRUE,(Skills!L19/10)*(E2843/1000),Skills!L19/10)+Skills!O19</f>
        <v/>
      </c>
      <c r="G2843">
        <f>Skills!G19*IF(Skills!H19&gt;0,IF(Inputs!$B$39="pvp",MIN(Skills!I19,15),Skills!I19)/Skills!H19,1)</f>
        <v/>
      </c>
      <c r="H2843">
        <f>1-(1-Skills!J19/100)^Skills!K19</f>
        <v/>
      </c>
      <c r="I2843" t="inlineStr">
        <is>
          <t>1</t>
        </is>
      </c>
      <c r="J2843" t="inlineStr"/>
      <c r="K2843" t="inlineStr"/>
      <c r="L2843" t="inlineStr"/>
      <c r="M2843" t="inlineStr"/>
      <c r="N2843" t="inlineStr"/>
      <c r="O2843">
        <f>(1-Summary!$B$11)*T2843+Summary!$B$11*V2843</f>
        <v/>
      </c>
      <c r="P2843">
        <f>IF(B2870=0,0,O2843/B2870)</f>
        <v/>
      </c>
      <c r="Q2843" t="n">
        <v>0</v>
      </c>
      <c r="R2843" t="n">
        <v>0</v>
      </c>
      <c r="S2843">
        <f>IFERROR(O2843/N2843,0)</f>
        <v/>
      </c>
      <c r="T2843" t="n">
        <v>0</v>
      </c>
      <c r="V2843" t="n">
        <v>0</v>
      </c>
    </row>
    <row r="2844">
      <c r="A2844">
        <f>Skills!A20</f>
        <v/>
      </c>
      <c r="B2844">
        <f>Skills!B20</f>
        <v/>
      </c>
      <c r="C2844">
        <f>TRUE</f>
        <v/>
      </c>
      <c r="D2844">
        <f>IF(Skills!C20=1,60+Inputs!$B$25+Inputs!$B$29,IF(Skills!C20=2,90+Inputs!$B$26+Inputs!$B$29,IF(Skills!C20=3,120+Inputs!$B$27+Inputs!$B$29,MAX(0,(Inputs!$B$3-100)*3)+Inputs!$B$28+Inputs!$B$29)))</f>
        <v/>
      </c>
      <c r="E2844">
        <f>INDEX(FactorTable!$B$2:$Y$301, MATCH(ROUND(MIN(300,MAX(1,D2844)),0), FactorTable!$A$2:$A$301,0), Skills!M20+1)</f>
        <v/>
      </c>
      <c r="F2844">
        <f>IF(Skills!N20=TRUE,(Skills!L20/10)*(E2844/1000),Skills!L20/10)+Skills!O20</f>
        <v/>
      </c>
      <c r="G2844">
        <f>Skills!G20*IF(Skills!H20&gt;0,IF(Inputs!$B$39="pvp",MIN(Skills!I20,15),Skills!I20)/Skills!H20,1)</f>
        <v/>
      </c>
      <c r="H2844">
        <f>1-(1-Skills!J20/100)^Skills!K20</f>
        <v/>
      </c>
      <c r="I2844" t="inlineStr">
        <is>
          <t>1</t>
        </is>
      </c>
      <c r="J2844" t="inlineStr"/>
      <c r="K2844" t="inlineStr"/>
      <c r="L2844" t="inlineStr"/>
      <c r="M2844" t="inlineStr"/>
      <c r="N2844" t="inlineStr"/>
      <c r="O2844">
        <f>(1-Summary!$B$11)*T2844+Summary!$B$11*V2844</f>
        <v/>
      </c>
      <c r="P2844">
        <f>IF(B2870=0,0,O2844/B2870)</f>
        <v/>
      </c>
      <c r="Q2844">
        <f>IFERROR(1/IF(Inputs!$B$39="pvp",15,MAX(0.1,Skills!D20-IF(TRUE=TRUE,Inputs!$B$32,0))),0)</f>
        <v/>
      </c>
      <c r="R2844">
        <f>IF(AND(Inputs!$B$39&lt;&gt;"pvp",Inputs!$B$44&gt;0),IF(Inputs!$B$44&lt;=0,0,(INT(Inputs!$B$44/IF(Inputs!$B$39="pvp",15,MAX(0.1,Skills!D20-IF(TRUE=TRUE,Inputs!$B$32,0))))+1)),0)</f>
        <v/>
      </c>
      <c r="S2844">
        <f>IFERROR(O2844/N2844,0)</f>
        <v/>
      </c>
      <c r="T2844" t="n">
        <v>0</v>
      </c>
      <c r="V2844" t="n">
        <v>0</v>
      </c>
    </row>
    <row r="2845">
      <c r="A2845">
        <f>Skills!A21</f>
        <v/>
      </c>
      <c r="B2845">
        <f>Skills!B21</f>
        <v/>
      </c>
      <c r="C2845">
        <f>Inputs!$B$3&gt;=15</f>
        <v/>
      </c>
      <c r="D2845">
        <f>IF(Skills!C21=1,60+Inputs!$B$25+Inputs!$B$29,IF(Skills!C21=2,90+Inputs!$B$26+Inputs!$B$29,IF(Skills!C21=3,120+Inputs!$B$27+Inputs!$B$29,MAX(0,(Inputs!$B$3-100)*3)+Inputs!$B$28+Inputs!$B$29)))</f>
        <v/>
      </c>
      <c r="E2845">
        <f>INDEX(FactorTable!$B$2:$Y$301, MATCH(ROUND(MIN(300,MAX(1,D2845)),0), FactorTable!$A$2:$A$301,0), Skills!M21+1)</f>
        <v/>
      </c>
      <c r="F2845">
        <f>IF(Skills!N21=TRUE,(Skills!L21/10)*(E2845/1000),Skills!L21/10)+Skills!O21</f>
        <v/>
      </c>
      <c r="G2845">
        <f>Skills!G21*IF(Skills!H21&gt;0,IF(Inputs!$B$39="pvp",MIN(Skills!I21,15),Skills!I21)/Skills!H21,1)</f>
        <v/>
      </c>
      <c r="H2845">
        <f>1-(1-Skills!J21/100)^Skills!K21</f>
        <v/>
      </c>
      <c r="I2845" t="inlineStr">
        <is>
          <t>1</t>
        </is>
      </c>
      <c r="J2845" t="inlineStr"/>
      <c r="K2845" t="inlineStr"/>
      <c r="L2845" t="inlineStr"/>
      <c r="M2845" t="inlineStr"/>
      <c r="N2845" t="inlineStr"/>
      <c r="O2845">
        <f>(1-Summary!$B$11)*T2845+Summary!$B$11*V2845</f>
        <v/>
      </c>
      <c r="P2845">
        <f>IF(B2870=0,0,O2845/B2870)</f>
        <v/>
      </c>
      <c r="Q2845">
        <f>IFERROR(1/IF(Inputs!$B$39="pvp",15,MAX(0.1,Skills!D21-IF(TRUE=TRUE,Inputs!$B$32,0))),0)</f>
        <v/>
      </c>
      <c r="R2845">
        <f>IF(AND(Inputs!$B$39&lt;&gt;"pvp",Inputs!$B$44&gt;0),IF(Inputs!$B$44&lt;=0,0,(INT(Inputs!$B$44/IF(Inputs!$B$39="pvp",15,MAX(0.1,Skills!D21-IF(TRUE=TRUE,Inputs!$B$32,0))))+1)),0)</f>
        <v/>
      </c>
      <c r="S2845">
        <f>IFERROR(O2845/N2845,0)</f>
        <v/>
      </c>
      <c r="T2845" t="n">
        <v>0</v>
      </c>
      <c r="V2845" t="n">
        <v>0</v>
      </c>
    </row>
    <row r="2846">
      <c r="A2846">
        <f>Skills!A22</f>
        <v/>
      </c>
      <c r="B2846">
        <f>Skills!B22</f>
        <v/>
      </c>
      <c r="C2846">
        <f>Inputs!$B$3&gt;=15</f>
        <v/>
      </c>
      <c r="D2846">
        <f>IF(Skills!C22=1,60+Inputs!$B$25+Inputs!$B$29,IF(Skills!C22=2,90+Inputs!$B$26+Inputs!$B$29,IF(Skills!C22=3,120+Inputs!$B$27+Inputs!$B$29,MAX(0,(Inputs!$B$3-100)*3)+Inputs!$B$28+Inputs!$B$29)))</f>
        <v/>
      </c>
      <c r="E2846">
        <f>INDEX(FactorTable!$B$2:$Y$301, MATCH(ROUND(MIN(300,MAX(1,D2846)),0), FactorTable!$A$2:$A$301,0), Skills!M22+1)</f>
        <v/>
      </c>
      <c r="F2846">
        <f>IF(Skills!N22=TRUE,(Skills!L22/10)*(E2846/1000),Skills!L22/10)+Skills!O22</f>
        <v/>
      </c>
      <c r="G2846">
        <f>Skills!G22*IF(Skills!H22&gt;0,IF(Inputs!$B$39="pvp",MIN(Skills!I22,15),Skills!I22)/Skills!H22,1)</f>
        <v/>
      </c>
      <c r="H2846">
        <f>1-(1-Skills!J22/100)^Skills!K22</f>
        <v/>
      </c>
      <c r="I2846" t="inlineStr">
        <is>
          <t>1</t>
        </is>
      </c>
      <c r="J2846" t="inlineStr"/>
      <c r="K2846" t="inlineStr"/>
      <c r="L2846" t="inlineStr"/>
      <c r="M2846" t="inlineStr"/>
      <c r="N2846" t="inlineStr"/>
      <c r="O2846">
        <f>(1-Summary!$B$11)*T2846+Summary!$B$11*V2846</f>
        <v/>
      </c>
      <c r="P2846">
        <f>IF(B2870=0,0,O2846/B2870)</f>
        <v/>
      </c>
      <c r="Q2846">
        <f>IFERROR(1/IF(Inputs!$B$39="pvp",15,MAX(0.1,Skills!D22-IF(TRUE=TRUE,Inputs!$B$32,0))),0)</f>
        <v/>
      </c>
      <c r="R2846">
        <f>IF(AND(Inputs!$B$39&lt;&gt;"pvp",Inputs!$B$44&gt;0),IF(Inputs!$B$44&lt;=0,0,(INT(Inputs!$B$44/IF(Inputs!$B$39="pvp",15,MAX(0.1,Skills!D22-IF(TRUE=TRUE,Inputs!$B$32,0))))+1)),0)</f>
        <v/>
      </c>
      <c r="S2846">
        <f>IFERROR(O2846/N2846,0)</f>
        <v/>
      </c>
      <c r="T2846" t="n">
        <v>0</v>
      </c>
      <c r="V2846" t="n">
        <v>0</v>
      </c>
    </row>
    <row r="2847">
      <c r="A2847">
        <f>Skills!A23</f>
        <v/>
      </c>
      <c r="B2847">
        <f>Skills!B23</f>
        <v/>
      </c>
      <c r="C2847">
        <f>Inputs!$B$3&gt;=33</f>
        <v/>
      </c>
      <c r="D2847">
        <f>IF(Skills!C23=1,60+Inputs!$B$25+Inputs!$B$29,IF(Skills!C23=2,90+Inputs!$B$26+Inputs!$B$29,IF(Skills!C23=3,120+Inputs!$B$27+Inputs!$B$29,MAX(0,(Inputs!$B$3-100)*3)+Inputs!$B$28+Inputs!$B$29)))</f>
        <v/>
      </c>
      <c r="E2847">
        <f>INDEX(FactorTable!$B$2:$Y$301, MATCH(ROUND(MIN(300,MAX(1,D2847)),0), FactorTable!$A$2:$A$301,0), Skills!M23+1)</f>
        <v/>
      </c>
      <c r="F2847">
        <f>IF(Skills!N23=TRUE,(Skills!L23/10)*(E2847/1000),Skills!L23/10)+Skills!O23</f>
        <v/>
      </c>
      <c r="G2847">
        <f>Skills!G23*IF(Skills!H23&gt;0,IF(Inputs!$B$39="pvp",MIN(Skills!I23,15),Skills!I23)/Skills!H23,1)</f>
        <v/>
      </c>
      <c r="H2847">
        <f>1-(1-Skills!J23/100)^Skills!K23</f>
        <v/>
      </c>
      <c r="I2847" t="inlineStr">
        <is>
          <t>1</t>
        </is>
      </c>
      <c r="J2847" t="inlineStr"/>
      <c r="K2847" t="inlineStr"/>
      <c r="L2847" t="inlineStr"/>
      <c r="M2847" t="inlineStr"/>
      <c r="N2847" t="inlineStr"/>
      <c r="O2847">
        <f>(1-Summary!$B$11)*T2847+Summary!$B$11*V2847</f>
        <v/>
      </c>
      <c r="P2847">
        <f>IF(B2870=0,0,O2847/B2870)</f>
        <v/>
      </c>
      <c r="Q2847" t="n">
        <v>0</v>
      </c>
      <c r="R2847" t="n">
        <v>0</v>
      </c>
      <c r="S2847">
        <f>IFERROR(O2847/N2847,0)</f>
        <v/>
      </c>
      <c r="T2847" t="n">
        <v>0</v>
      </c>
      <c r="V2847" t="n">
        <v>0</v>
      </c>
    </row>
    <row r="2848">
      <c r="A2848">
        <f>Skills!A24</f>
        <v/>
      </c>
      <c r="B2848">
        <f>Skills!B24</f>
        <v/>
      </c>
      <c r="C2848">
        <f>Inputs!$B$3&gt;=40</f>
        <v/>
      </c>
      <c r="D2848">
        <f>IF(Skills!C24=1,60+Inputs!$B$25+Inputs!$B$29,IF(Skills!C24=2,90+Inputs!$B$26+Inputs!$B$29,IF(Skills!C24=3,120+Inputs!$B$27+Inputs!$B$29,MAX(0,(Inputs!$B$3-100)*3)+Inputs!$B$28+Inputs!$B$29)))</f>
        <v/>
      </c>
      <c r="E2848">
        <f>INDEX(FactorTable!$B$2:$Y$301, MATCH(ROUND(MIN(300,MAX(1,D2848)),0), FactorTable!$A$2:$A$301,0), Skills!M24+1)</f>
        <v/>
      </c>
      <c r="F2848">
        <f>IF(Skills!N24=TRUE,(Skills!L24/10)*(E2848/1000),Skills!L24/10)+Skills!O24</f>
        <v/>
      </c>
      <c r="G2848">
        <f>Skills!G24*IF(Skills!H24&gt;0,IF(Inputs!$B$39="pvp",MIN(Skills!I24,15),Skills!I24)/Skills!H24,1)</f>
        <v/>
      </c>
      <c r="H2848">
        <f>1-(1-Skills!J24/100)^Skills!K24</f>
        <v/>
      </c>
      <c r="I2848" t="inlineStr">
        <is>
          <t>1</t>
        </is>
      </c>
      <c r="J2848" t="inlineStr"/>
      <c r="K2848" t="inlineStr"/>
      <c r="L2848" t="inlineStr"/>
      <c r="M2848" t="inlineStr"/>
      <c r="N2848" t="inlineStr"/>
      <c r="O2848">
        <f>(1-Summary!$B$11)*T2848+Summary!$B$11*V2848</f>
        <v/>
      </c>
      <c r="P2848">
        <f>IF(B2870=0,0,O2848/B2870)</f>
        <v/>
      </c>
      <c r="Q2848" t="n">
        <v>0</v>
      </c>
      <c r="R2848" t="n">
        <v>0</v>
      </c>
      <c r="S2848">
        <f>IFERROR(O2848/N2848,0)</f>
        <v/>
      </c>
      <c r="T2848" t="n">
        <v>0</v>
      </c>
      <c r="V2848" t="n">
        <v>0</v>
      </c>
    </row>
    <row r="2849">
      <c r="A2849">
        <f>Skills!A25</f>
        <v/>
      </c>
      <c r="B2849">
        <f>Skills!B25</f>
        <v/>
      </c>
      <c r="C2849">
        <f>Inputs!$B$3&gt;=43</f>
        <v/>
      </c>
      <c r="D2849">
        <f>IF(Skills!C25=1,60+Inputs!$B$25+Inputs!$B$29,IF(Skills!C25=2,90+Inputs!$B$26+Inputs!$B$29,IF(Skills!C25=3,120+Inputs!$B$27+Inputs!$B$29,MAX(0,(Inputs!$B$3-100)*3)+Inputs!$B$28+Inputs!$B$29)))</f>
        <v/>
      </c>
      <c r="E2849">
        <f>INDEX(FactorTable!$B$2:$Y$301, MATCH(ROUND(MIN(300,MAX(1,D2849)),0), FactorTable!$A$2:$A$301,0), Skills!M25+1)</f>
        <v/>
      </c>
      <c r="F2849">
        <f>IF(Skills!N25=TRUE,(Skills!L25/10)*(E2849/1000),Skills!L25/10)+Skills!O25</f>
        <v/>
      </c>
      <c r="G2849">
        <f>Skills!G25*IF(Skills!H25&gt;0,IF(Inputs!$B$39="pvp",MIN(Skills!I25,15),Skills!I25)/Skills!H25,1)</f>
        <v/>
      </c>
      <c r="H2849">
        <f>1-(1-Skills!J25/100)^Skills!K25</f>
        <v/>
      </c>
      <c r="I2849" t="inlineStr">
        <is>
          <t>1</t>
        </is>
      </c>
      <c r="J2849" t="inlineStr"/>
      <c r="K2849" t="inlineStr"/>
      <c r="L2849" t="inlineStr"/>
      <c r="M2849" t="inlineStr"/>
      <c r="N2849" t="inlineStr"/>
      <c r="O2849">
        <f>(1-Summary!$B$11)*T2849+Summary!$B$11*V2849</f>
        <v/>
      </c>
      <c r="P2849">
        <f>IF(B2870=0,0,O2849/B2870)</f>
        <v/>
      </c>
      <c r="Q2849" t="n">
        <v>0</v>
      </c>
      <c r="R2849" t="n">
        <v>0</v>
      </c>
      <c r="S2849">
        <f>IFERROR(O2849/N2849,0)</f>
        <v/>
      </c>
      <c r="T2849" t="n">
        <v>0</v>
      </c>
      <c r="V2849" t="n">
        <v>0</v>
      </c>
    </row>
    <row r="2850">
      <c r="A2850">
        <f>Skills!A26</f>
        <v/>
      </c>
      <c r="B2850">
        <f>Skills!B26</f>
        <v/>
      </c>
      <c r="C2850">
        <f>Inputs!$B$3&gt;=50</f>
        <v/>
      </c>
      <c r="D2850">
        <f>IF(Skills!C26=1,60+Inputs!$B$25+Inputs!$B$29,IF(Skills!C26=2,90+Inputs!$B$26+Inputs!$B$29,IF(Skills!C26=3,120+Inputs!$B$27+Inputs!$B$29,MAX(0,(Inputs!$B$3-100)*3)+Inputs!$B$28+Inputs!$B$29)))</f>
        <v/>
      </c>
      <c r="E2850">
        <f>INDEX(FactorTable!$B$2:$Y$301, MATCH(ROUND(MIN(300,MAX(1,D2850)),0), FactorTable!$A$2:$A$301,0), Skills!M26+1)</f>
        <v/>
      </c>
      <c r="F2850">
        <f>IF(Skills!N26=TRUE,(Skills!L26/10)*(E2850/1000),Skills!L26/10)+Skills!O26</f>
        <v/>
      </c>
      <c r="G2850">
        <f>Skills!G26*IF(Skills!H26&gt;0,IF(Inputs!$B$39="pvp",MIN(Skills!I26,15),Skills!I26)/Skills!H26,1)</f>
        <v/>
      </c>
      <c r="H2850">
        <f>1-(1-Skills!J26/100)^Skills!K26</f>
        <v/>
      </c>
      <c r="I2850" t="inlineStr">
        <is>
          <t>1</t>
        </is>
      </c>
      <c r="J2850" t="inlineStr"/>
      <c r="K2850" t="inlineStr"/>
      <c r="L2850" t="inlineStr"/>
      <c r="M2850" t="inlineStr"/>
      <c r="N2850" t="inlineStr"/>
      <c r="O2850">
        <f>(1-Summary!$B$11)*T2850+Summary!$B$11*V2850</f>
        <v/>
      </c>
      <c r="P2850">
        <f>IF(B2870=0,0,O2850/B2870)</f>
        <v/>
      </c>
      <c r="Q2850" t="n">
        <v>0</v>
      </c>
      <c r="R2850" t="n">
        <v>0</v>
      </c>
      <c r="S2850">
        <f>IFERROR(O2850/N2850,0)</f>
        <v/>
      </c>
      <c r="T2850" t="n">
        <v>0</v>
      </c>
      <c r="V2850" t="n">
        <v>0</v>
      </c>
    </row>
    <row r="2851">
      <c r="A2851">
        <f>Skills!A27</f>
        <v/>
      </c>
      <c r="B2851">
        <f>Skills!B27</f>
        <v/>
      </c>
      <c r="C2851">
        <f>Inputs!$B$3&gt;=50</f>
        <v/>
      </c>
      <c r="D2851">
        <f>IF(Skills!C27=1,60+Inputs!$B$25+Inputs!$B$29,IF(Skills!C27=2,90+Inputs!$B$26+Inputs!$B$29,IF(Skills!C27=3,120+Inputs!$B$27+Inputs!$B$29,MAX(0,(Inputs!$B$3-100)*3)+Inputs!$B$28+Inputs!$B$29)))</f>
        <v/>
      </c>
      <c r="E2851">
        <f>INDEX(FactorTable!$B$2:$Y$301, MATCH(ROUND(MIN(300,MAX(1,D2851)),0), FactorTable!$A$2:$A$301,0), Skills!M27+1)</f>
        <v/>
      </c>
      <c r="F2851">
        <f>IF(Skills!N27=TRUE,(Skills!L27/10)*(E2851/1000),Skills!L27/10)+Skills!O27</f>
        <v/>
      </c>
      <c r="G2851">
        <f>Skills!G27*IF(Skills!H27&gt;0,IF(Inputs!$B$39="pvp",MIN(Skills!I27,15),Skills!I27)/Skills!H27,1)</f>
        <v/>
      </c>
      <c r="H2851">
        <f>1-(1-Skills!J27/100)^Skills!K27</f>
        <v/>
      </c>
      <c r="I2851" t="inlineStr">
        <is>
          <t>1</t>
        </is>
      </c>
      <c r="J2851" t="inlineStr"/>
      <c r="K2851" t="inlineStr"/>
      <c r="L2851" t="inlineStr"/>
      <c r="M2851" t="inlineStr"/>
      <c r="N2851" t="inlineStr"/>
      <c r="O2851">
        <f>(1-Summary!$B$11)*T2851+Summary!$B$11*V2851</f>
        <v/>
      </c>
      <c r="P2851">
        <f>IF(B2870=0,0,O2851/B2870)</f>
        <v/>
      </c>
      <c r="Q2851" t="n">
        <v>0</v>
      </c>
      <c r="R2851" t="n">
        <v>0</v>
      </c>
      <c r="S2851">
        <f>IFERROR(O2851/N2851,0)</f>
        <v/>
      </c>
      <c r="T2851" t="n">
        <v>0</v>
      </c>
      <c r="V2851" t="n">
        <v>0</v>
      </c>
    </row>
    <row r="2852">
      <c r="A2852">
        <f>Skills!A28</f>
        <v/>
      </c>
      <c r="B2852">
        <f>Skills!B28</f>
        <v/>
      </c>
      <c r="C2852">
        <f>Inputs!$B$3&gt;=38</f>
        <v/>
      </c>
      <c r="D2852">
        <f>IF(Skills!C28=1,60+Inputs!$B$25+Inputs!$B$29,IF(Skills!C28=2,90+Inputs!$B$26+Inputs!$B$29,IF(Skills!C28=3,120+Inputs!$B$27+Inputs!$B$29,MAX(0,(Inputs!$B$3-100)*3)+Inputs!$B$28+Inputs!$B$29)))</f>
        <v/>
      </c>
      <c r="E2852">
        <f>INDEX(FactorTable!$B$2:$Y$301, MATCH(ROUND(MIN(300,MAX(1,D2852)),0), FactorTable!$A$2:$A$301,0), Skills!M28+1)</f>
        <v/>
      </c>
      <c r="F2852">
        <f>IF(Skills!N28=TRUE,(Skills!L28/10)*(E2852/1000),Skills!L28/10)+Skills!O28</f>
        <v/>
      </c>
      <c r="G2852">
        <f>Skills!G28*IF(Skills!H28&gt;0,IF(Inputs!$B$39="pvp",MIN(Skills!I28,15),Skills!I28)/Skills!H28,1)</f>
        <v/>
      </c>
      <c r="H2852">
        <f>1-(1-Skills!J28/100)^Skills!K28</f>
        <v/>
      </c>
      <c r="I2852" t="inlineStr">
        <is>
          <t>1</t>
        </is>
      </c>
      <c r="J2852" t="inlineStr"/>
      <c r="K2852" t="inlineStr"/>
      <c r="L2852" t="inlineStr"/>
      <c r="M2852" t="inlineStr"/>
      <c r="N2852" t="inlineStr"/>
      <c r="O2852">
        <f>(1-Summary!$B$11)*T2852+Summary!$B$11*V2852</f>
        <v/>
      </c>
      <c r="P2852">
        <f>IF(B2870=0,0,O2852/B2870)</f>
        <v/>
      </c>
      <c r="Q2852" t="n">
        <v>0</v>
      </c>
      <c r="R2852" t="n">
        <v>0</v>
      </c>
      <c r="S2852">
        <f>IFERROR(O2852/N2852,0)</f>
        <v/>
      </c>
      <c r="T2852" t="n">
        <v>0</v>
      </c>
      <c r="V2852" t="n">
        <v>0</v>
      </c>
    </row>
    <row r="2853">
      <c r="A2853">
        <f>Skills!A29</f>
        <v/>
      </c>
      <c r="B2853">
        <f>Skills!B29</f>
        <v/>
      </c>
      <c r="C2853">
        <f>Inputs!$B$3&gt;=120</f>
        <v/>
      </c>
      <c r="D2853">
        <f>IF(Skills!C29=1,60+Inputs!$B$25+Inputs!$B$29,IF(Skills!C29=2,90+Inputs!$B$26+Inputs!$B$29,IF(Skills!C29=3,120+Inputs!$B$27+Inputs!$B$29,MAX(0,(Inputs!$B$3-100)*3)+Inputs!$B$28+Inputs!$B$29)))</f>
        <v/>
      </c>
      <c r="E2853">
        <f>INDEX(FactorTable!$B$2:$Y$301, MATCH(ROUND(MIN(300,MAX(1,D2853)),0), FactorTable!$A$2:$A$301,0), Skills!M29+1)</f>
        <v/>
      </c>
      <c r="F2853">
        <f>IF(Skills!N29=TRUE,(Skills!L29/10)*(E2853/1000),Skills!L29/10)+Skills!O29</f>
        <v/>
      </c>
      <c r="G2853">
        <f>Skills!G29*IF(Skills!H29&gt;0,IF(Inputs!$B$39="pvp",MIN(Skills!I29,15),Skills!I29)/Skills!H29,1)</f>
        <v/>
      </c>
      <c r="H2853">
        <f>1-(1-Skills!J29/100)^Skills!K29</f>
        <v/>
      </c>
      <c r="I2853" t="inlineStr">
        <is>
          <t>1</t>
        </is>
      </c>
      <c r="J2853" t="inlineStr"/>
      <c r="K2853" t="inlineStr"/>
      <c r="L2853" t="inlineStr"/>
      <c r="M2853" t="inlineStr"/>
      <c r="N2853" t="inlineStr"/>
      <c r="O2853">
        <f>(1-Summary!$B$11)*T2853+Summary!$B$11*V2853</f>
        <v/>
      </c>
      <c r="P2853">
        <f>IF(B2870=0,0,O2853/B2870)</f>
        <v/>
      </c>
      <c r="Q2853" t="n">
        <v>0</v>
      </c>
      <c r="R2853" t="n">
        <v>0</v>
      </c>
      <c r="S2853">
        <f>IFERROR(O2853/N2853,0)</f>
        <v/>
      </c>
      <c r="T2853" t="n">
        <v>0</v>
      </c>
      <c r="V2853" t="n">
        <v>0</v>
      </c>
    </row>
    <row r="2854">
      <c r="A2854">
        <f>Skills!A30</f>
        <v/>
      </c>
      <c r="B2854">
        <f>Skills!B30</f>
        <v/>
      </c>
      <c r="C2854">
        <f>Inputs!$B$3&gt;=120</f>
        <v/>
      </c>
      <c r="D2854">
        <f>IF(Skills!C30=1,60+Inputs!$B$25+Inputs!$B$29,IF(Skills!C30=2,90+Inputs!$B$26+Inputs!$B$29,IF(Skills!C30=3,120+Inputs!$B$27+Inputs!$B$29,MAX(0,(Inputs!$B$3-100)*3)+Inputs!$B$28+Inputs!$B$29)))</f>
        <v/>
      </c>
      <c r="E2854">
        <f>INDEX(FactorTable!$B$2:$Y$301, MATCH(ROUND(MIN(300,MAX(1,D2854)),0), FactorTable!$A$2:$A$301,0), Skills!M30+1)</f>
        <v/>
      </c>
      <c r="F2854">
        <f>IF(Skills!N30=TRUE,(Skills!L30/10)*(E2854/1000),Skills!L30/10)+Skills!O30</f>
        <v/>
      </c>
      <c r="G2854">
        <f>Skills!G30*IF(Skills!H30&gt;0,IF(Inputs!$B$39="pvp",MIN(Skills!I30,15),Skills!I30)/Skills!H30,1)</f>
        <v/>
      </c>
      <c r="H2854">
        <f>1-(1-Skills!J30/100)^Skills!K30</f>
        <v/>
      </c>
      <c r="I2854" t="inlineStr">
        <is>
          <t>1</t>
        </is>
      </c>
      <c r="J2854" t="inlineStr"/>
      <c r="K2854" t="inlineStr"/>
      <c r="L2854" t="inlineStr"/>
      <c r="M2854" t="inlineStr"/>
      <c r="N2854" t="inlineStr"/>
      <c r="O2854">
        <f>(1-Summary!$B$11)*T2854+Summary!$B$11*V2854</f>
        <v/>
      </c>
      <c r="P2854">
        <f>IF(B2870=0,0,O2854/B2870)</f>
        <v/>
      </c>
      <c r="Q2854" t="n">
        <v>0</v>
      </c>
      <c r="R2854" t="n">
        <v>0</v>
      </c>
      <c r="S2854">
        <f>IFERROR(O2854/N2854,0)</f>
        <v/>
      </c>
      <c r="T2854" t="n">
        <v>0</v>
      </c>
      <c r="V2854" t="n">
        <v>0</v>
      </c>
    </row>
    <row r="2855">
      <c r="A2855">
        <f>Skills!A31</f>
        <v/>
      </c>
      <c r="B2855">
        <f>Skills!B31</f>
        <v/>
      </c>
      <c r="C2855">
        <f>Inputs!$B$3&gt;=125</f>
        <v/>
      </c>
      <c r="D2855">
        <f>IF(Skills!C31=1,60+Inputs!$B$25+Inputs!$B$29,IF(Skills!C31=2,90+Inputs!$B$26+Inputs!$B$29,IF(Skills!C31=3,120+Inputs!$B$27+Inputs!$B$29,MAX(0,(Inputs!$B$3-100)*3)+Inputs!$B$28+Inputs!$B$29)))</f>
        <v/>
      </c>
      <c r="E2855">
        <f>INDEX(FactorTable!$B$2:$Y$301, MATCH(ROUND(MIN(300,MAX(1,D2855)),0), FactorTable!$A$2:$A$301,0), Skills!M31+1)</f>
        <v/>
      </c>
      <c r="F2855">
        <f>IF(Skills!N31=TRUE,(Skills!L31/10)*(E2855/1000),Skills!L31/10)+Skills!O31</f>
        <v/>
      </c>
      <c r="G2855">
        <f>Skills!G31*IF(Skills!H31&gt;0,IF(Inputs!$B$39="pvp",MIN(Skills!I31,15),Skills!I31)/Skills!H31,1)</f>
        <v/>
      </c>
      <c r="H2855">
        <f>1-(1-Skills!J31/100)^Skills!K31</f>
        <v/>
      </c>
      <c r="I2855" t="inlineStr">
        <is>
          <t>1</t>
        </is>
      </c>
      <c r="J2855" t="inlineStr"/>
      <c r="K2855" t="inlineStr"/>
      <c r="L2855" t="inlineStr"/>
      <c r="M2855" t="inlineStr"/>
      <c r="N2855" t="inlineStr"/>
      <c r="O2855">
        <f>(1-Summary!$B$11)*T2855+Summary!$B$11*V2855</f>
        <v/>
      </c>
      <c r="P2855">
        <f>IF(B2870=0,0,O2855/B2870)</f>
        <v/>
      </c>
      <c r="Q2855" t="n">
        <v>0</v>
      </c>
      <c r="R2855" t="n">
        <v>0</v>
      </c>
      <c r="S2855">
        <f>IFERROR(O2855/N2855,0)</f>
        <v/>
      </c>
      <c r="T2855" t="n">
        <v>0</v>
      </c>
      <c r="V2855" t="n">
        <v>0</v>
      </c>
    </row>
    <row r="2857">
      <c r="A2857" t="inlineStr">
        <is>
          <t>Average Buff Multiplier</t>
        </is>
      </c>
      <c r="B2857">
        <f>(1+(((C2846=TRUE)*F2846*IF(AND(Inputs!$B$39&lt;&gt;"pvp",Inputs!$B$44&gt;0),(((R2846-1)*MIN((Skills!Y22*(1+Inputs!$B$34/100)),(1/Q2846))+MIN((Skills!Y22*(1+Inputs!$B$34/100)),MAX(0,Inputs!$B$44-((R2846-1)*(1/Q2846)))))/Inputs!$B$44),IF(Inputs!$B$39="pvp",MIN((Skills!Y22*(1+Inputs!$B$34/100)),15)/15,MIN(1,(Skills!Y22*(1+Inputs!$B$34/100))/(1/Q2846)))))+((C2827=TRUE)*F2827*3)+((C2829=TRUE)*F2829*(1-EXP(-0.75*B2862*5)))+((C2848=TRUE)*(F2848-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IF(ArtifactsInput!$M$34,FALSE,TRUE),CHOOSE(ArtifactsInput!$N$34+1,15,18,21,24,27,30),0)+IF(ArtifactsInput!$M$5,CHOOSE(ArtifactsInput!$N$5+1,10,12,14,16,18,20)*(IF(AND(Inputs!$B$39&lt;&gt;"pvp",Inputs!$B$44=0),0.5,(5*INT(MAX(0,IF(Inputs!$B$39="pvp",15,Inputs!$B$44)-10)/10)+MIN((MAX(0,IF(Inputs!$B$39="pvp",15,Inputs!$B$44)-10)-10*INT(MAX(0,IF(Inputs!$B$39="pvp",15,Inputs!$B$44)-10)/10)),5))/IF(Inputs!$B$39="pvp",15,Inputs!$B$44))),0)))/100)*(1+((C2835=TRUE)*F2835*IF(AND(Inputs!$B$39&lt;&gt;"pvp",Inputs!$B$44&gt;0),(((R2835-1)*MIN((Skills!Y11*(1+Inputs!$B$34/100)),(1/Q2835))+MIN((Skills!Y11*(1+Inputs!$B$34/100)),MAX(0,Inputs!$B$44-((R2835-1)*(1/Q2835)))))/Inputs!$B$44),IF(Inputs!$B$39="pvp",MIN((Skills!Y11*(1+Inputs!$B$34/100)),15)/15,MIN(1,(Skills!Y11*(1+Inputs!$B$34/100))/(1/Q2835)))))/100)*(1+((C2840=TRUE)*F2840*IF(AND(Inputs!$B$39&lt;&gt;"pvp",Inputs!$B$44&gt;0),(((R2840-1)*MIN((Skills!Y16*(1+Inputs!$B$34/100)),(1/Q2840))+MIN((Skills!Y16*(1+Inputs!$B$34/100)),MAX(0,Inputs!$B$44-((R2840-1)*(1/Q2840)))))/Inputs!$B$44),IF(Inputs!$B$39="pvp",MIN((Skills!Y16*(1+Inputs!$B$34/100)),15)/15,MIN(1,(Skills!Y16*(1+Inputs!$B$34/100))/(1/Q2840)))))/100)</f>
        <v/>
      </c>
    </row>
    <row r="2858">
      <c r="A2858" t="inlineStr">
        <is>
          <t>Global Crit Rate Bonus %</t>
        </is>
      </c>
      <c r="B2858">
        <f>((C2845=TRUE)*F2845*IF(AND(Inputs!$B$39&lt;&gt;"pvp",Inputs!$B$44&gt;0),(((R2845-1)*MIN((Skills!Y21*(1+Inputs!$B$34/100)),(1/Q2845))+MIN((Skills!Y21*(1+Inputs!$B$34/100)),MAX(0,Inputs!$B$44-((R2845-1)*(1/Q2845)))))/Inputs!$B$44),IF(Inputs!$B$39="pvp",MIN((Skills!Y21*(1+Inputs!$B$34/100)),15)/15,MIN(1,(Skills!Y21*(1+Inputs!$B$34/100))/(1/Q2845)))))</f>
        <v/>
      </c>
    </row>
    <row r="2859">
      <c r="A2859" t="inlineStr">
        <is>
          <t>Global Monster Damage-Taken Bonus %</t>
        </is>
      </c>
      <c r="B2859">
        <f>IF(Inputs!$B$3&gt;=82,15,0)</f>
        <v/>
      </c>
    </row>
    <row r="2860">
      <c r="A2860" t="inlineStr">
        <is>
          <t>Shadow Partner Average Multiplier</t>
        </is>
      </c>
      <c r="B2860">
        <f>1+((C2832=TRUE)*F2832*(1+3.3333333333333335*IF(C2843=TRUE,F2843,0)/100)*I2832*Skills!J8/100)/100</f>
        <v/>
      </c>
    </row>
    <row r="2861">
      <c r="A2861" t="inlineStr">
        <is>
          <t>Attack Speed Buff Bonus %</t>
        </is>
      </c>
      <c r="B2861">
        <f>((C2844=TRUE)*F2844*IF(AND(Inputs!$B$39&lt;&gt;"pvp",Inputs!$B$44&gt;0),(((R2844-1)*MIN((Skills!Y20*(1+Inputs!$B$34/100)),(1/Q2844))+MIN((Skills!Y20*(1+Inputs!$B$34/100)),MAX(0,Inputs!$B$44-((R2844-1)*(1/Q2844)))))/Inputs!$B$44),IF(Inputs!$B$39="pvp",MIN((Skills!Y20*(1+Inputs!$B$34/100)),15)/15,MIN(1,(Skills!Y20*(1+Inputs!$B$34/100))/(1/Q2844)))))</f>
        <v/>
      </c>
    </row>
    <row r="2862">
      <c r="A2862" t="inlineStr">
        <is>
          <t>Actions Per Second</t>
        </is>
      </c>
      <c r="B2862">
        <f>1+MIN(150,150*(1-(1-(Inputs!$B$11+((C2847=TRUE)*(F2847-Calc!F23)))/150)*(1-B2861/150)))/100</f>
        <v/>
      </c>
    </row>
    <row r="2863">
      <c r="A2863" t="inlineStr">
        <is>
          <t>Skill + Buff Cast Rate</t>
        </is>
      </c>
      <c r="B2863">
        <f>IF(AND(Inputs!$B$39&lt;&gt;"pvp",Inputs!$B$44&gt;0),SUMPRODUCT((Skills!E2:E31=TRUE)*(C2826:C2855=TRUE)*R2826:R2855*Skills!F2:F31)/Inputs!$B$44,SUMPRODUCT((Skills!E2:E31=TRUE)*(C2826:C2855=TRUE)*Q2826:Q2855*Skills!F2:F31))</f>
        <v/>
      </c>
    </row>
    <row r="2864">
      <c r="A2864" t="inlineStr">
        <is>
          <t>Cruel Stab Casts Per Second</t>
        </is>
      </c>
      <c r="B2864">
        <f>MAX(0,B2862-B2863)</f>
        <v/>
      </c>
    </row>
    <row r="2865">
      <c r="A2865" t="inlineStr">
        <is>
          <t>Global Critical Damage Bonus % (Smokescreen Mastery Lv.113)</t>
        </is>
      </c>
      <c r="B2865">
        <f>IF(Inputs!$B$3&gt;=113,30,0)*IF(AND(Inputs!$B$39&lt;&gt;"pvp",Inputs!$B$44&gt;0),(((R2840-1)*MIN((Skills!Y16*(1+Inputs!$B$34/100)),(1/Q2840))+MIN((Skills!Y16*(1+Inputs!$B$34/100)),MAX(0,Inputs!$B$44-((R2840-1)*(1/Q2840)))))/Inputs!$B$44),IF(Inputs!$B$39="pvp",MIN((Skills!Y16*(1+Inputs!$B$34/100)),15)/15,MIN(1,(Skills!Y16*(1+Inputs!$B$34/100))/(1/Q2840))))</f>
        <v/>
      </c>
    </row>
    <row r="2866">
      <c r="A2866" t="inlineStr">
        <is>
          <t>Meso Explosion average stack count</t>
        </is>
      </c>
      <c r="B2866">
        <f>MIN(10,IF(Inputs!$B$3&gt;=75,0.75,0.5)*B2862*(1/Q2828))</f>
        <v/>
      </c>
    </row>
    <row r="2867">
      <c r="A2867" t="inlineStr">
        <is>
          <t>Blood Money average stack count</t>
        </is>
      </c>
      <c r="B2867">
        <f>MIN(5,0.5*IF(Inputs!$B$3&gt;=75,0.75,0.5)*B2862*(1/Q2828))</f>
        <v/>
      </c>
    </row>
    <row r="2868">
      <c r="A2868" t="inlineStr">
        <is>
          <t>Assassinate Murderous Intent Multiplier</t>
        </is>
      </c>
      <c r="B2868">
        <f>1+IFERROR(MIN(1,Q2839*2/Q2836),0)</f>
        <v/>
      </c>
    </row>
    <row r="2869">
      <c r="A2869" t="inlineStr">
        <is>
          <t>Buff-Casting Startup Delay (s, fixed-duration only)</t>
        </is>
      </c>
      <c r="B2869">
        <f>IF(AND(Inputs!$B$39&lt;&gt;"pvp",Inputs!$B$44&gt;0),SUMPRODUCT((Skills!Y2:Y31&gt;0)*(Skills!E2:E31=TRUE)*(C2826:C2855=TRUE))/B2862,0)</f>
        <v/>
      </c>
    </row>
    <row r="2870">
      <c r="A2870" s="6" t="inlineStr">
        <is>
          <t>TOTAL DPS</t>
        </is>
      </c>
      <c r="B2870" s="6">
        <f>SUM(O2826:O2855)</f>
        <v/>
      </c>
    </row>
    <row r="2871">
      <c r="A2871" t="inlineStr">
        <is>
          <t>Boss-Only Total DPS (this block's swept value)</t>
        </is>
      </c>
      <c r="B2871">
        <f>SUM(T2826:T2855)</f>
        <v/>
      </c>
    </row>
    <row r="2872">
      <c r="A2872" t="inlineStr">
        <is>
          <t>Normal-Only Total DPS (this block's swept value)</t>
        </is>
      </c>
      <c r="B2872">
        <f>SUM(V2826:V2855)</f>
        <v/>
      </c>
    </row>
    <row r="2875">
      <c r="A2875" s="6" t="inlineStr">
        <is>
          <t>Stat: Peach Tree Herb Pouch (Equip)</t>
        </is>
      </c>
    </row>
    <row r="2876">
      <c r="A2876" s="5" t="inlineStr">
        <is>
          <t>Key</t>
        </is>
      </c>
      <c r="B2876" s="5" t="inlineStr">
        <is>
          <t>Name</t>
        </is>
      </c>
      <c r="C2876" s="5" t="inlineStr">
        <is>
          <t>Unlocked</t>
        </is>
      </c>
      <c r="D2876" s="5" t="inlineStr">
        <is>
          <t>InputLevel</t>
        </is>
      </c>
      <c r="E2876" s="5" t="inlineStr">
        <is>
          <t>Factor</t>
        </is>
      </c>
      <c r="F2876" s="5" t="inlineStr">
        <is>
          <t>CoefficientPercent</t>
        </is>
      </c>
      <c r="G2876" s="5" t="inlineStr">
        <is>
          <t>EffectiveHits</t>
        </is>
      </c>
      <c r="H2876" s="5" t="inlineStr">
        <is>
          <t>ProcProbability</t>
        </is>
      </c>
      <c r="I2876" s="5" t="inlineStr">
        <is>
          <t>MapleHeroMultiplier</t>
        </is>
      </c>
      <c r="J2876" s="5" t="inlineStr">
        <is>
          <t>BaseDamage</t>
        </is>
      </c>
      <c r="K2876" s="5" t="inlineStr">
        <is>
          <t>BaseHitDamage</t>
        </is>
      </c>
      <c r="L2876" s="5" t="inlineStr">
        <is>
          <t>NonCritAvg</t>
        </is>
      </c>
      <c r="M2876" s="5" t="inlineStr">
        <is>
          <t>CritAvg</t>
        </is>
      </c>
      <c r="N2876" s="5" t="inlineStr">
        <is>
          <t>ExpectedDamage(perHit)</t>
        </is>
      </c>
      <c r="O2876" s="5" t="inlineStr">
        <is>
          <t>DPS</t>
        </is>
      </c>
      <c r="P2876" s="5" t="inlineStr">
        <is>
          <t>% of Total</t>
        </is>
      </c>
      <c r="Q2876" s="5" t="inlineStr">
        <is>
          <t>InvCooldown</t>
        </is>
      </c>
      <c r="R2876" s="5" t="inlineStr">
        <is>
          <t>CastsInFight</t>
        </is>
      </c>
      <c r="S2876" s="5" t="inlineStr">
        <is>
          <t>HitRate(perSec)</t>
        </is>
      </c>
      <c r="U2876" t="inlineStr">
        <is>
          <t>helpers</t>
        </is>
      </c>
    </row>
    <row r="2877">
      <c r="A2877">
        <f>Skills!A2</f>
        <v/>
      </c>
      <c r="B2877">
        <f>Skills!B2</f>
        <v/>
      </c>
      <c r="C2877">
        <f>Inputs!$B$3&gt;=100</f>
        <v/>
      </c>
      <c r="D2877" t="inlineStr"/>
      <c r="E2877" t="inlineStr"/>
      <c r="F2877">
        <f>U2879+Skills!O2</f>
        <v/>
      </c>
      <c r="G2877">
        <f>Skills!G2*IF(Skills!H2&gt;0,IF(Inputs!$B$39="pvp",MIN(Skills!I2,15),Skills!I2)/Skills!H2,1)</f>
        <v/>
      </c>
      <c r="H2877">
        <f>1-(1-Skills!J2/100)^Skills!K2</f>
        <v/>
      </c>
      <c r="I2877" t="inlineStr">
        <is>
          <t>1</t>
        </is>
      </c>
      <c r="J2877">
        <f>((Inputs!$B$6*(1+Inputs!$B$7/100))+(((Inputs!$B$12*(1+Inputs!$B$13/100))-(Inputs!$B$12*(1+Inputs!$B$13/100)))+0.25*(Inputs!$B$14-Inputs!$B$14))*(1+Inputs!$B$7/100))*(F2877/100)</f>
        <v/>
      </c>
      <c r="K2877">
        <f>J2877*(1+((Inputs!$B$12*(1+Inputs!$B$13/100))*0.01+Inputs!$B$14*0.0025)/100)*(1+Inputs!$B$15/100)*(1+Inputs!$B$16/100)*(5000/(6000+Inputs!$B$43*(1-(100*(1-(1-Inputs!$B$19/100)*(1-CHOOSE(ArtifactsInput!$N$40+1,5,6,7,8,9,10)/100)^(ArtifactsInput!$M$40-ArtifactsInput!$M$40)))/100)))*(1+(Inputs!$B$24+((C2906=TRUE)*(F2906-Calc!F31))+((C2893=TRUE)*(F2893-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CRUEL_STAB",Inputs!$B$17+((C2903=TRUE)*(F2903-Calc!F28))+((IF(AND(Inputs!$B$39&lt;&gt;"pvp",Inputs!$B$44=0),1,IF(IF(Inputs!$B$39="pvp",15,Inputs!$B$44)-(B2920)&lt;=0,1,MAX(0,IF(Inputs!$B$39="pvp",15,Inputs!$B$44)-MAX(5,B2920))/(IF(Inputs!$B$39="pvp",15,Inputs!$B$44)-(B2920))))*(IF(AND(ArtifactsInput!$M$42,((Inputs!$B$9+((C2901=TRUE)*(F2901-Calc!F26))+B2909+(ArtifactsInput!$M$24-ArtifactsInput!$M$24)*CHOOSE(ArtifactsInput!$N$24+1,10,12,14,16,18,20)+IF(ArtifactsInput!$M$10,CHOOSE(ArtifactsInput!$N$10+1,15,18,21,24,27,30)*(IF(Inputs!$B$39="pvp",MIN(15,15)/15,IF(AND(Inputs!$B$39&lt;&gt;"pvp",Inputs!$B$44&gt;0),MIN(15,Inputs!$B$44)/(Inputs!$B$44),0))),0)))&gt;=100),MIN(100,((Inputs!$B$9+((C2901=TRUE)*(F2901-Calc!F26))+B2909+(ArtifactsInput!$M$24-ArtifactsInput!$M$24)*CHOOSE(ArtifactsInput!$N$24+1,10,12,14,16,18,20)+IF(ArtifactsInput!$M$10,CHOOSE(ArtifactsInput!$N$10+1,15,18,21,24,27,30)*(IF(Inputs!$B$39="pvp",MIN(15,15)/15,IF(AND(Inputs!$B$39&lt;&gt;"pvp",Inputs!$B$44&gt;0),MIN(15,Inputs!$B$44)/(Inputs!$B$44),0))),0)))-100),0))*CHOOSE(ArtifactsInput!$N$42+1,0.6,0.72,0.84,0.96,1.08,1.2))),Inputs!$B$18+((C2904=TRUE)*(F2904-Calc!F29))+(IF(AND(Inputs!$B$39&lt;&gt;"pvp",Inputs!$B$44=0),1,IF(IF(Inputs!$B$39="pvp",15,Inputs!$B$44)-(B2920)&lt;=0,1,MAX(0,IF(Inputs!$B$39="pvp",15,Inputs!$B$44)-MAX(5,B2920))/(IF(Inputs!$B$39="pvp",15,Inputs!$B$44)-(B2920))))*IF(AND(ArtifactsInput!$M$42,((Inputs!$B$9+((C2901=TRUE)*(F2901-Calc!F26))+B2909+(ArtifactsInput!$M$24-ArtifactsInput!$M$24)*CHOOSE(ArtifactsInput!$N$24+1,10,12,14,16,18,20)+IF(ArtifactsInput!$M$10,CHOOSE(ArtifactsInput!$N$10+1,15,18,21,24,27,30)*(IF(Inputs!$B$39="pvp",MIN(15,15)/15,IF(AND(Inputs!$B$39&lt;&gt;"pvp",Inputs!$B$44&gt;0),MIN(15,Inputs!$B$44)/(Inputs!$B$44),0))),0)))&gt;=100),CHOOSE(ArtifactsInput!$N$42+1,40,48,56,64,72,80),0))))/100)*(((1+(((C2897=TRUE)*F2897*IF(AND(Inputs!$B$39&lt;&gt;"pvp",Inputs!$B$44&gt;0),(((R2897-1)*MIN((Skills!Y22*(1+Inputs!$B$34/100)),(1/Q2897))+MIN((Skills!Y22*(1+Inputs!$B$34/100)),MAX(0,Inputs!$B$44-((R2897-1)*(1/Q2897)))))/Inputs!$B$44),IF(Inputs!$B$39="pvp",MIN((Skills!Y22*(1+Inputs!$B$34/100)),15)/15,MIN(1,(Skills!Y22*(1+Inputs!$B$34/100))/(1/Q2897)))))+((C2878=TRUE)*F2878*3)+((C2880=TRUE)*F2880*(1-EXP(-0.75*B2913*5)))+((C2899=TRUE)*(F2899-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2886=TRUE)*F2886*IF(AND(Inputs!$B$39&lt;&gt;"pvp",Inputs!$B$44&gt;0),(((R2886-1)*MIN((Skills!Y11*(1+Inputs!$B$34/100)),(1/Q2886))+MIN((Skills!Y11*(1+Inputs!$B$34/100)),MAX(0,Inputs!$B$44-((R2886-1)*(1/Q2886)))))/Inputs!$B$44),IF(Inputs!$B$39="pvp",MIN((Skills!Y11*(1+Inputs!$B$34/100)),15)/15,MIN(1,(Skills!Y11*(1+Inputs!$B$34/100))/(1/Q2886)))))/100)*(1+((C2891=TRUE)*F2891*IF(AND(Inputs!$B$39&lt;&gt;"pvp",Inputs!$B$44&gt;0),(((R2891-1)*MIN((Skills!Y16*(1+Inputs!$B$34/100)),(1/Q2891))+MIN((Skills!Y16*(1+Inputs!$B$34/100)),MAX(0,Inputs!$B$44-((R2891-1)*(1/Q2891)))))/Inputs!$B$44),IF(Inputs!$B$39="pvp",MIN((Skills!Y16*(1+Inputs!$B$34/100)),15)/15,MIN(1,(Skills!Y16*(1+Inputs!$B$34/100))/(1/Q2891)))))/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2911*I2877)</f>
        <v/>
      </c>
      <c r="L2877">
        <f>K2877*(MIN(Inputs!$B$22+((C2900=TRUE)*(F2900-Calc!F25)),(Inputs!$B$23+((C2905=TRUE)*(F2905-Calc!F30))+IF(ArtifactsInput!$M$15,CHOOSE(ArtifactsInput!$N$15+1,25,30,35,40,45,50)/100*(Inputs!$B$11-Inputs!$B$11),0)))/100+(Inputs!$B$23+((C2905=TRUE)*(F2905-Calc!F30))+IF(ArtifactsInput!$M$15,CHOOSE(ArtifactsInput!$N$15+1,25,30,35,40,45,50)/100*(Inputs!$B$11-Inputs!$B$11),0))/100)/2</f>
        <v/>
      </c>
      <c r="M2877">
        <f>L2877*(1+(Inputs!$B$10+((C2902=TRUE)*(F2902-Calc!F27))+B2916+(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2877">
        <f>L2877*(1-MIN((Inputs!$B$9+((C2901=TRUE)*(F2901-Calc!F26))+B2909+(ArtifactsInput!$M$24-ArtifactsInput!$M$24)*CHOOSE(ArtifactsInput!$N$24+1,10,12,14,16,18,20)+(IF(AND(Inputs!$B$39&lt;&gt;"pvp",Inputs!$B$44=0),1,IF(IF(Inputs!$B$39="pvp",15,Inputs!$B$44)-(B2920)&lt;=0,1,MAX(0,IF(Inputs!$B$39="pvp",15,Inputs!$B$44)-MAX(5,B2920))/(IF(Inputs!$B$39="pvp",15,Inputs!$B$44)-(B2920))))*IF(AND(ArtifactsInput!$M$42,((Inputs!$B$9+((C2901=TRUE)*(F2901-Calc!F26))+B2909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2877*(MIN((Inputs!$B$9+((C2901=TRUE)*(F2901-Calc!F26))+B2909+(ArtifactsInput!$M$24-ArtifactsInput!$M$24)*CHOOSE(ArtifactsInput!$N$24+1,10,12,14,16,18,20)+(IF(AND(Inputs!$B$39&lt;&gt;"pvp",Inputs!$B$44=0),1,IF(IF(Inputs!$B$39="pvp",15,Inputs!$B$44)-(B2920)&lt;=0,1,MAX(0,IF(Inputs!$B$39="pvp",15,Inputs!$B$44)-MAX(5,B2920))/(IF(Inputs!$B$39="pvp",15,Inputs!$B$44)-(B2920))))*IF(AND(ArtifactsInput!$M$42,((Inputs!$B$9+((C2901=TRUE)*(F2901-Calc!F26))+B2909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877">
        <f>(1-Summary!$B$11)*T2877+Summary!$B$11*V2877</f>
        <v/>
      </c>
      <c r="P2877">
        <f>IF(B2921=0,0,O2877/B2921)</f>
        <v/>
      </c>
      <c r="Q2877" t="n">
        <v>0</v>
      </c>
      <c r="R2877" t="n">
        <v>0</v>
      </c>
      <c r="S2877">
        <f>IFERROR(O2877/N2877,0)</f>
        <v/>
      </c>
      <c r="T2877">
        <f>IF(C2877,(Skills!G2*N2877*B2915)*IF(Inputs!$B$39="pvp",1,1+(Inputs!$B$20+0+Skills!P2+B2910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IF(ArtifactsInput!$M$35,FALSE,TRUE),Inputs!$B$4&lt;&gt;"Chapter Hunt"),CHOOSE(ArtifactsInput!$N$35+1,15,18,21,24,27,30)*(1-EXP(-(0.2*B2913)*5)),0)+IF(AND(ArtifactsInput!$M$22,Inputs!$B$4&lt;&gt;"Chapter Hunt"),CHOOSE(ArtifactsInput!$N$22+1,10,12,14,16,18,20)*((0*(((0.15*B2913*5))^0/1)+1*(((0.15*B2913*5))^1/1)+2*(((0.15*B2913*5))^2/2)+3*(((0.15*B2913*5))^3/6)+4*(((0.15*B2913*5))^4/24)+5*(((0.15*B2913*5))^5/120))/((((0.15*B2913*5))^0/1)+(((0.15*B2913*5))^1/1)+(((0.15*B2913*5))^2/2)+(((0.15*B2913*5))^3/6)+(((0.15*B2913*5))^4/24)+(((0.15*B2913*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2877*(1-MIN(100,(Inputs!$B$9+((C2901=TRUE)*(F2901-Calc!F26))+B2909+(ArtifactsInput!$M$24-ArtifactsInput!$M$24)*CHOOSE(ArtifactsInput!$N$24+1,10,12,14,16,18,20)+(IF(AND(Inputs!$B$39&lt;&gt;"pvp",Inputs!$B$44=0),1,IF(IF(Inputs!$B$39="pvp",15,Inputs!$B$44)-(B2920)&lt;=0,1,MAX(0,IF(Inputs!$B$39="pvp",15,Inputs!$B$44)-MAX(5,B2920))/(IF(Inputs!$B$39="pvp",15,Inputs!$B$44)-(B2920))))*IF(AND(ArtifactsInput!$M$42,((Inputs!$B$9+((C2901=TRUE)*(F2901-Calc!F26))+B2909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2877*(MIN(100,(Inputs!$B$9+((C2901=TRUE)*(F2901-Calc!F26))+B2909+(ArtifactsInput!$M$24-ArtifactsInput!$M$24)*CHOOSE(ArtifactsInput!$N$24+1,10,12,14,16,18,20)+(IF(AND(Inputs!$B$39&lt;&gt;"pvp",Inputs!$B$44=0),1,IF(IF(Inputs!$B$39="pvp",15,Inputs!$B$44)-(B2920)&lt;=0,1,MAX(0,IF(Inputs!$B$39="pvp",15,Inputs!$B$44)-MAX(5,B2920))/(IF(Inputs!$B$39="pvp",15,Inputs!$B$44)-(B2920))))*IF(AND(ArtifactsInput!$M$42,((Inputs!$B$9+((C2901=TRUE)*(F2901-Calc!F26))+B2909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2877*(1-MIN(100,(Inputs!$B$9+((C2901=TRUE)*(F2901-Calc!F26))+B2909+(ArtifactsInput!$M$24-ArtifactsInput!$M$24)*CHOOSE(ArtifactsInput!$N$24+1,10,12,14,16,18,20)+(IF(AND(Inputs!$B$39&lt;&gt;"pvp",Inputs!$B$44=0),1,IF(IF(Inputs!$B$39="pvp",15,Inputs!$B$44)-(B2920)&lt;=0,1,MAX(0,IF(Inputs!$B$39="pvp",15,Inputs!$B$44)-MAX(5,B2920))/(IF(Inputs!$B$39="pvp",15,Inputs!$B$44)-(B2920))))*IF(AND(ArtifactsInput!$M$42,((Inputs!$B$9+((C2901=TRUE)*(F2901-Calc!F26))+B2909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2877*(MIN(100,(Inputs!$B$9+((C2901=TRUE)*(F2901-Calc!F26))+B2909+(ArtifactsInput!$M$24-ArtifactsInput!$M$24)*CHOOSE(ArtifactsInput!$N$24+1,10,12,14,16,18,20)+(IF(AND(Inputs!$B$39&lt;&gt;"pvp",Inputs!$B$44=0),1,IF(IF(Inputs!$B$39="pvp",15,Inputs!$B$44)-(B2920)&lt;=0,1,MAX(0,IF(Inputs!$B$39="pvp",15,Inputs!$B$44)-MAX(5,B2920))/(IF(Inputs!$B$39="pvp",15,Inputs!$B$44)-(B2920))))*IF(AND(ArtifactsInput!$M$42,((Inputs!$B$9+((C2901=TRUE)*(F2901-Calc!F26))+B2909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2877">
        <f>MAX(0,(Inputs!$B$3-100)*3)+Inputs!$B$28+Inputs!$B$29</f>
        <v/>
      </c>
      <c r="V2877">
        <f>IF(C2877,(Skills!G2*N2877*B2915)*IF(Inputs!$B$39="pvp",1,(1+(Inputs!$B$21+Skills!Q2+B2910+(IF(ArtifactsInput!$M$33,CHOOSE(ArtifactsInput!$N$33+1,30,36,42,48,54,60),0))+(IF(AND(IF(ArtifactsInput!$M$35,FALSE,TRUE),Inputs!$B$4&lt;&gt;"Chapter Hunt"),CHOOSE(ArtifactsInput!$N$35+1,15,18,21,24,27,30)*(1-EXP(-(0.2*B2913)*5)),0)+IF(AND(ArtifactsInput!$M$22,Inputs!$B$4&lt;&gt;"Chapter Hunt"),CHOOSE(ArtifactsInput!$N$22+1,10,12,14,16,18,20)*((0*(((0.15*B2913*5))^0/1)+1*(((0.15*B2913*5))^1/1)+2*(((0.15*B2913*5))^2/2)+3*(((0.15*B2913*5))^3/6)+4*(((0.15*B2913*5))^4/24)+5*(((0.15*B2913*5))^5/120))/((((0.15*B2913*5))^0/1)+(((0.15*B2913*5))^1/1)+(((0.15*B2913*5))^2/2)+(((0.15*B2913*5))^3/6)+(((0.15*B2913*5))^4/24)+(((0.15*B2913*5))^5/120))),0)))/100)*(MIN((6+Inputs!$B$33),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878">
      <c r="A2878">
        <f>Skills!A3</f>
        <v/>
      </c>
      <c r="B2878">
        <f>Skills!B3</f>
        <v/>
      </c>
      <c r="C2878">
        <f>Inputs!$B$3&gt;=35</f>
        <v/>
      </c>
      <c r="D2878">
        <f>IF(Skills!C3=1,60+Inputs!$B$25+Inputs!$B$29,IF(Skills!C3=2,90+Inputs!$B$26+Inputs!$B$29,IF(Skills!C3=3,120+Inputs!$B$27+Inputs!$B$29,MAX(0,(Inputs!$B$3-100)*3)+Inputs!$B$28+Inputs!$B$29)))</f>
        <v/>
      </c>
      <c r="E2878">
        <f>INDEX(FactorTable!$B$2:$Y$301, MATCH(ROUND(MIN(300,MAX(1,D2878)),0), FactorTable!$A$2:$A$301,0), Skills!M3+1)</f>
        <v/>
      </c>
      <c r="F2878">
        <f>IF(Skills!N3=TRUE,(Skills!L3/10)*(E2878/1000),Skills!L3/10)+Skills!O3</f>
        <v/>
      </c>
      <c r="G2878">
        <f>Skills!G3*IF(Skills!H3&gt;0,IF(Inputs!$B$39="pvp",MIN(Skills!I3,15),Skills!I3)/Skills!H3,1)</f>
        <v/>
      </c>
      <c r="H2878">
        <f>1-(1-Skills!J3/100)^Skills!K3</f>
        <v/>
      </c>
      <c r="I2878" t="inlineStr">
        <is>
          <t>1</t>
        </is>
      </c>
      <c r="J2878" t="inlineStr"/>
      <c r="K2878" t="inlineStr"/>
      <c r="L2878" t="inlineStr"/>
      <c r="M2878" t="inlineStr"/>
      <c r="N2878" t="inlineStr"/>
      <c r="O2878">
        <f>(1-Summary!$B$11)*T2878+Summary!$B$11*V2878</f>
        <v/>
      </c>
      <c r="P2878">
        <f>IF(B2921=0,0,O2878/B2921)</f>
        <v/>
      </c>
      <c r="Q2878" t="n">
        <v>0</v>
      </c>
      <c r="R2878" t="n">
        <v>0</v>
      </c>
      <c r="S2878">
        <f>IFERROR(O2878/N2878,0)</f>
        <v/>
      </c>
      <c r="T2878" t="n">
        <v>0</v>
      </c>
      <c r="U2878">
        <f>INDEX(FactorTable!$B$2:$Y$301, MATCH(ROUND(MIN(300,MAX(1,U2877)),0), FactorTable!$A$2:$A$301,0), 22)</f>
        <v/>
      </c>
      <c r="V2878" t="n">
        <v>0</v>
      </c>
    </row>
    <row r="2879">
      <c r="A2879">
        <f>Skills!A4</f>
        <v/>
      </c>
      <c r="B2879">
        <f>Skills!B4</f>
        <v/>
      </c>
      <c r="C2879">
        <f>Inputs!$B$3&gt;=66</f>
        <v/>
      </c>
      <c r="D2879">
        <f>IF(Skills!C4=1,60+Inputs!$B$25+Inputs!$B$29,IF(Skills!C4=2,90+Inputs!$B$26+Inputs!$B$29,IF(Skills!C4=3,120+Inputs!$B$27+Inputs!$B$29,MAX(0,(Inputs!$B$3-100)*3)+Inputs!$B$28+Inputs!$B$29)))</f>
        <v/>
      </c>
      <c r="E2879">
        <f>INDEX(FactorTable!$B$2:$Y$301, MATCH(ROUND(MIN(300,MAX(1,D2879)),0), FactorTable!$A$2:$A$301,0), Skills!M4+1)</f>
        <v/>
      </c>
      <c r="F2879">
        <f>IF(Skills!N4=TRUE,(Skills!L4/10)*(E2879/1000),Skills!L4/10)+Skills!O4</f>
        <v/>
      </c>
      <c r="G2879">
        <f>Skills!G4*IF(Skills!H4&gt;0,IF(Inputs!$B$39="pvp",MIN(Skills!I4,15),Skills!I4)/Skills!H4,1)</f>
        <v/>
      </c>
      <c r="H2879">
        <f>1-(1-Skills!J4/100)^Skills!K4</f>
        <v/>
      </c>
      <c r="I2879" t="inlineStr">
        <is>
          <t>1</t>
        </is>
      </c>
      <c r="J2879">
        <f>((Inputs!$B$6*(1+Inputs!$B$7/100))+(((Inputs!$B$12*(1+Inputs!$B$13/100))-(Inputs!$B$12*(1+Inputs!$B$13/100)))+0.25*(Inputs!$B$14-Inputs!$B$14))*(1+Inputs!$B$7/100))*(F2879/100)</f>
        <v/>
      </c>
      <c r="K2879">
        <f>J2879*(1+((Inputs!$B$12*(1+Inputs!$B$13/100))*0.01+Inputs!$B$14*0.0025)/100)*(1+Inputs!$B$15/100)*(1+Inputs!$B$16/100)*(5000/(6000+Inputs!$B$43*(1-(100*(1-(1-Inputs!$B$19/100)*(1-CHOOSE(ArtifactsInput!$N$40+1,5,6,7,8,9,10)/100)^(ArtifactsInput!$M$40-ArtifactsInput!$M$40)))/100)))*(1+(Inputs!$B$24+((C2906=TRUE)*(F2906-Calc!F31))+((C2893=TRUE)*(F2893-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4="CRUEL_STAB",Inputs!$B$17+((C2903=TRUE)*(F2903-Calc!F28))+((IF(AND(Inputs!$B$39&lt;&gt;"pvp",Inputs!$B$44=0),1,IF(IF(Inputs!$B$39="pvp",15,Inputs!$B$44)-(B2920)&lt;=0,1,MAX(0,IF(Inputs!$B$39="pvp",15,Inputs!$B$44)-MAX(5,B2920))/(IF(Inputs!$B$39="pvp",15,Inputs!$B$44)-(B2920))))*(IF(AND(ArtifactsInput!$M$42,((Inputs!$B$9+((C2901=TRUE)*(F2901-Calc!F26))+B2909+(ArtifactsInput!$M$24-ArtifactsInput!$M$24)*CHOOSE(ArtifactsInput!$N$24+1,10,12,14,16,18,20)+IF(ArtifactsInput!$M$10,CHOOSE(ArtifactsInput!$N$10+1,15,18,21,24,27,30)*(IF(Inputs!$B$39="pvp",MIN(15,15)/15,IF(AND(Inputs!$B$39&lt;&gt;"pvp",Inputs!$B$44&gt;0),MIN(15,Inputs!$B$44)/(Inputs!$B$44),0))),0)))&gt;=100),MIN(100,((Inputs!$B$9+((C2901=TRUE)*(F2901-Calc!F26))+B2909+(ArtifactsInput!$M$24-ArtifactsInput!$M$24)*CHOOSE(ArtifactsInput!$N$24+1,10,12,14,16,18,20)+IF(ArtifactsInput!$M$10,CHOOSE(ArtifactsInput!$N$10+1,15,18,21,24,27,30)*(IF(Inputs!$B$39="pvp",MIN(15,15)/15,IF(AND(Inputs!$B$39&lt;&gt;"pvp",Inputs!$B$44&gt;0),MIN(15,Inputs!$B$44)/(Inputs!$B$44),0))),0)))-100),0))*CHOOSE(ArtifactsInput!$N$42+1,0.6,0.72,0.84,0.96,1.08,1.2))),Inputs!$B$18+((C2904=TRUE)*(F2904-Calc!F29))+(IF(AND(Inputs!$B$39&lt;&gt;"pvp",Inputs!$B$44=0),1,IF(IF(Inputs!$B$39="pvp",15,Inputs!$B$44)-(B2920)&lt;=0,1,MAX(0,IF(Inputs!$B$39="pvp",15,Inputs!$B$44)-MAX(5,B2920))/(IF(Inputs!$B$39="pvp",15,Inputs!$B$44)-(B2920))))*IF(AND(ArtifactsInput!$M$42,((Inputs!$B$9+((C2901=TRUE)*(F2901-Calc!F26))+B2909+(ArtifactsInput!$M$24-ArtifactsInput!$M$24)*CHOOSE(ArtifactsInput!$N$24+1,10,12,14,16,18,20)+IF(ArtifactsInput!$M$10,CHOOSE(ArtifactsInput!$N$10+1,15,18,21,24,27,30)*(IF(Inputs!$B$39="pvp",MIN(15,15)/15,IF(AND(Inputs!$B$39&lt;&gt;"pvp",Inputs!$B$44&gt;0),MIN(15,Inputs!$B$44)/(Inputs!$B$44),0))),0)))&gt;=100),CHOOSE(ArtifactsInput!$N$42+1,40,48,56,64,72,80),0))))/100)*(((1+(((C2897=TRUE)*F2897*IF(AND(Inputs!$B$39&lt;&gt;"pvp",Inputs!$B$44&gt;0),(((R2897-1)*MIN((Skills!Y22*(1+Inputs!$B$34/100)),(1/Q2897))+MIN((Skills!Y22*(1+Inputs!$B$34/100)),MAX(0,Inputs!$B$44-((R2897-1)*(1/Q2897)))))/Inputs!$B$44),IF(Inputs!$B$39="pvp",MIN((Skills!Y22*(1+Inputs!$B$34/100)),15)/15,MIN(1,(Skills!Y22*(1+Inputs!$B$34/100))/(1/Q2897)))))+((C2878=TRUE)*F2878*3)+((C2880=TRUE)*F2880*(1-EXP(-0.75*B2913*5)))+((C2899=TRUE)*(F2899-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2886=TRUE)*F2886*IF(AND(Inputs!$B$39&lt;&gt;"pvp",Inputs!$B$44&gt;0),(((R2886-1)*MIN((Skills!Y11*(1+Inputs!$B$34/100)),(1/Q2886))+MIN((Skills!Y11*(1+Inputs!$B$34/100)),MAX(0,Inputs!$B$44-((R2886-1)*(1/Q2886)))))/Inputs!$B$44),IF(Inputs!$B$39="pvp",MIN((Skills!Y11*(1+Inputs!$B$34/100)),15)/15,MIN(1,(Skills!Y11*(1+Inputs!$B$34/100))/(1/Q2886)))))/100)*(1+((C2891=TRUE)*F2891*IF(AND(Inputs!$B$39&lt;&gt;"pvp",Inputs!$B$44&gt;0),(((R2891-1)*MIN((Skills!Y16*(1+Inputs!$B$34/100)),(1/Q2891))+MIN((Skills!Y16*(1+Inputs!$B$34/100)),MAX(0,Inputs!$B$44-((R2891-1)*(1/Q2891)))))/Inputs!$B$44),IF(Inputs!$B$39="pvp",MIN((Skills!Y16*(1+Inputs!$B$34/100)),15)/15,MIN(1,(Skills!Y16*(1+Inputs!$B$34/100))/(1/Q2891)))))/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2911*I2879)</f>
        <v/>
      </c>
      <c r="L2879">
        <f>K2879*(MIN(Inputs!$B$22+((C2900=TRUE)*(F2900-Calc!F25)),(Inputs!$B$23+((C2905=TRUE)*(F2905-Calc!F30))+IF(ArtifactsInput!$M$15,CHOOSE(ArtifactsInput!$N$15+1,25,30,35,40,45,50)/100*(Inputs!$B$11-Inputs!$B$11),0)))/100+(Inputs!$B$23+((C2905=TRUE)*(F2905-Calc!F30))+IF(ArtifactsInput!$M$15,CHOOSE(ArtifactsInput!$N$15+1,25,30,35,40,45,50)/100*(Inputs!$B$11-Inputs!$B$11),0))/100)/2</f>
        <v/>
      </c>
      <c r="M2879">
        <f>L2879*(1+(Inputs!$B$10+((C2902=TRUE)*(F2902-Calc!F27))+B2916+(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2879">
        <f>L2879*(1-MIN((Inputs!$B$9+((C2901=TRUE)*(F2901-Calc!F26))+B2909+(ArtifactsInput!$M$24-ArtifactsInput!$M$24)*CHOOSE(ArtifactsInput!$N$24+1,10,12,14,16,18,20)+(IF(AND(Inputs!$B$39&lt;&gt;"pvp",Inputs!$B$44=0),1,IF(IF(Inputs!$B$39="pvp",15,Inputs!$B$44)-(B2920)&lt;=0,1,MAX(0,IF(Inputs!$B$39="pvp",15,Inputs!$B$44)-MAX(5,B2920))/(IF(Inputs!$B$39="pvp",15,Inputs!$B$44)-(B2920))))*IF(AND(ArtifactsInput!$M$42,((Inputs!$B$9+((C2901=TRUE)*(F2901-Calc!F26))+B2909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2879*(MIN((Inputs!$B$9+((C2901=TRUE)*(F2901-Calc!F26))+B2909+(ArtifactsInput!$M$24-ArtifactsInput!$M$24)*CHOOSE(ArtifactsInput!$N$24+1,10,12,14,16,18,20)+(IF(AND(Inputs!$B$39&lt;&gt;"pvp",Inputs!$B$44=0),1,IF(IF(Inputs!$B$39="pvp",15,Inputs!$B$44)-(B2920)&lt;=0,1,MAX(0,IF(Inputs!$B$39="pvp",15,Inputs!$B$44)-MAX(5,B2920))/(IF(Inputs!$B$39="pvp",15,Inputs!$B$44)-(B2920))))*IF(AND(ArtifactsInput!$M$42,((Inputs!$B$9+((C2901=TRUE)*(F2901-Calc!F26))+B2909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879">
        <f>(1-Summary!$B$11)*T2879+Summary!$B$11*V2879</f>
        <v/>
      </c>
      <c r="P2879">
        <f>IF(B2921=0,0,O2879/B2921)</f>
        <v/>
      </c>
      <c r="Q2879">
        <f>IFERROR(1/IF(Inputs!$B$39="pvp",15,MAX(0.1,Skills!D4-IF(TRUE=TRUE,Inputs!$B$32,0))),0)</f>
        <v/>
      </c>
      <c r="R2879">
        <f>IF(AND(Inputs!$B$39&lt;&gt;"pvp",Inputs!$B$44&gt;0),IF(MAX(0,Inputs!$B$44-B2920)&lt;=0,0,(INT(MAX(0,Inputs!$B$44-B2920)/IF(Inputs!$B$39="pvp",15,MAX(0.1,Skills!D4-IF(TRUE=TRUE,Inputs!$B$32,0))))+1)),0)</f>
        <v/>
      </c>
      <c r="S2879">
        <f>IFERROR(O2879/N2879,0)</f>
        <v/>
      </c>
      <c r="T2879">
        <f>IF(C2879,(H2879*N2879*IF(AND(Inputs!$B$39&lt;&gt;"pvp",Inputs!$B$44&gt;0),((Skills!G4*((R2879-1)*IF(Skills!H4&gt;0,Skills!I4/Skills!H4,1)+IF(Skills!H4&gt;0,MIN(Skills!I4,MAX(0,MAX(0,Inputs!$B$44-B2920)-((R2879-1)*IF(Inputs!$B$39="pvp",15,MAX(0.1,Skills!D4-IF(TRUE=TRUE,Inputs!$B$32,0))))))/Skills!H4,1)))/Inputs!$B$44),G2879*Q2879))*IF(Inputs!$B$39="pvp",1,1+(Inputs!$B$20+0+Skills!P4+B2910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IF(ArtifactsInput!$M$35,FALSE,TRUE),Inputs!$B$4&lt;&gt;"Chapter Hunt"),CHOOSE(ArtifactsInput!$N$35+1,15,18,21,24,27,30)*(1-EXP(-(0.2*B2913)*5)),0)+IF(AND(ArtifactsInput!$M$22,Inputs!$B$4&lt;&gt;"Chapter Hunt"),CHOOSE(ArtifactsInput!$N$22+1,10,12,14,16,18,20)*((0*(((0.15*B2913*5))^0/1)+1*(((0.15*B2913*5))^1/1)+2*(((0.15*B2913*5))^2/2)+3*(((0.15*B2913*5))^3/6)+4*(((0.15*B2913*5))^4/24)+5*(((0.15*B2913*5))^5/120))/((((0.15*B2913*5))^0/1)+(((0.15*B2913*5))^1/1)+(((0.15*B2913*5))^2/2)+(((0.15*B2913*5))^3/6)+(((0.15*B2913*5))^4/24)+(((0.15*B2913*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2879*(1-MIN(100,(Inputs!$B$9+((C2901=TRUE)*(F2901-Calc!F26))+B2909+(ArtifactsInput!$M$24-ArtifactsInput!$M$24)*CHOOSE(ArtifactsInput!$N$24+1,10,12,14,16,18,20)+(IF(AND(Inputs!$B$39&lt;&gt;"pvp",Inputs!$B$44=0),1,IF(IF(Inputs!$B$39="pvp",15,Inputs!$B$44)-(B2920)&lt;=0,1,MAX(0,IF(Inputs!$B$39="pvp",15,Inputs!$B$44)-MAX(5,B2920))/(IF(Inputs!$B$39="pvp",15,Inputs!$B$44)-(B2920))))*IF(AND(ArtifactsInput!$M$42,((Inputs!$B$9+((C2901=TRUE)*(F2901-Calc!F26))+B2909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2879*(MIN(100,(Inputs!$B$9+((C2901=TRUE)*(F2901-Calc!F26))+B2909+(ArtifactsInput!$M$24-ArtifactsInput!$M$24)*CHOOSE(ArtifactsInput!$N$24+1,10,12,14,16,18,20)+(IF(AND(Inputs!$B$39&lt;&gt;"pvp",Inputs!$B$44=0),1,IF(IF(Inputs!$B$39="pvp",15,Inputs!$B$44)-(B2920)&lt;=0,1,MAX(0,IF(Inputs!$B$39="pvp",15,Inputs!$B$44)-MAX(5,B2920))/(IF(Inputs!$B$39="pvp",15,Inputs!$B$44)-(B2920))))*IF(AND(ArtifactsInput!$M$42,((Inputs!$B$9+((C2901=TRUE)*(F2901-Calc!F26))+B2909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2879*(1-MIN(100,(Inputs!$B$9+((C2901=TRUE)*(F2901-Calc!F26))+B2909+(ArtifactsInput!$M$24-ArtifactsInput!$M$24)*CHOOSE(ArtifactsInput!$N$24+1,10,12,14,16,18,20)+(IF(AND(Inputs!$B$39&lt;&gt;"pvp",Inputs!$B$44=0),1,IF(IF(Inputs!$B$39="pvp",15,Inputs!$B$44)-(B2920)&lt;=0,1,MAX(0,IF(Inputs!$B$39="pvp",15,Inputs!$B$44)-MAX(5,B2920))/(IF(Inputs!$B$39="pvp",15,Inputs!$B$44)-(B2920))))*IF(AND(ArtifactsInput!$M$42,((Inputs!$B$9+((C2901=TRUE)*(F2901-Calc!F26))+B2909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2879*(MIN(100,(Inputs!$B$9+((C2901=TRUE)*(F2901-Calc!F26))+B2909+(ArtifactsInput!$M$24-ArtifactsInput!$M$24)*CHOOSE(ArtifactsInput!$N$24+1,10,12,14,16,18,20)+(IF(AND(Inputs!$B$39&lt;&gt;"pvp",Inputs!$B$44=0),1,IF(IF(Inputs!$B$39="pvp",15,Inputs!$B$44)-(B2920)&lt;=0,1,MAX(0,IF(Inputs!$B$39="pvp",15,Inputs!$B$44)-MAX(5,B2920))/(IF(Inputs!$B$39="pvp",15,Inputs!$B$44)-(B2920))))*IF(AND(ArtifactsInput!$M$42,((Inputs!$B$9+((C2901=TRUE)*(F2901-Calc!F26))+B2909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2879">
        <f>290*U2878/1000</f>
        <v/>
      </c>
      <c r="V2879">
        <f>IF(C2879,(H2879*N2879*IF(AND(Inputs!$B$39&lt;&gt;"pvp",Inputs!$B$44&gt;0),((Skills!G4*((R2879-1)*IF(Skills!H4&gt;0,Skills!I4/Skills!H4,1)+IF(Skills!H4&gt;0,MIN(Skills!I4,MAX(0,MAX(0,Inputs!$B$44-B2920)-((R2879-1)*IF(Inputs!$B$39="pvp",15,MAX(0.1,Skills!D4-IF(TRUE=TRUE,Inputs!$B$32,0))))))/Skills!H4,1)))/Inputs!$B$44),G2879*Q2879))*IF(Inputs!$B$39="pvp",1,(1+(Inputs!$B$21+Skills!Q4+B2910+(IF(ArtifactsInput!$M$33,CHOOSE(ArtifactsInput!$N$33+1,30,36,42,48,54,60),0))+(IF(AND(IF(ArtifactsInput!$M$35,FALSE,TRUE),Inputs!$B$4&lt;&gt;"Chapter Hunt"),CHOOSE(ArtifactsInput!$N$35+1,15,18,21,24,27,30)*(1-EXP(-(0.2*B2913)*5)),0)+IF(AND(ArtifactsInput!$M$22,Inputs!$B$4&lt;&gt;"Chapter Hunt"),CHOOSE(ArtifactsInput!$N$22+1,10,12,14,16,18,20)*((0*(((0.15*B2913*5))^0/1)+1*(((0.15*B2913*5))^1/1)+2*(((0.15*B2913*5))^2/2)+3*(((0.15*B2913*5))^3/6)+4*(((0.15*B2913*5))^4/24)+5*(((0.15*B2913*5))^5/120))/((((0.15*B2913*5))^0/1)+(((0.15*B2913*5))^1/1)+(((0.15*B2913*5))^2/2)+(((0.15*B2913*5))^3/6)+(((0.15*B2913*5))^4/24)+(((0.15*B2913*5))^5/120))),0)))/100)*(MIN(MIN(10,IF(Inputs!$B$3&gt;=75,0.75,0.5)*B2913*(1/Q2879)),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880">
      <c r="A2880">
        <f>Skills!A5</f>
        <v/>
      </c>
      <c r="B2880">
        <f>Skills!B5</f>
        <v/>
      </c>
      <c r="C2880">
        <f>Inputs!$B$3&gt;=75</f>
        <v/>
      </c>
      <c r="D2880">
        <f>IF(Skills!C5=1,60+Inputs!$B$25+Inputs!$B$29,IF(Skills!C5=2,90+Inputs!$B$26+Inputs!$B$29,IF(Skills!C5=3,120+Inputs!$B$27+Inputs!$B$29,MAX(0,(Inputs!$B$3-100)*3)+Inputs!$B$28+Inputs!$B$29)))</f>
        <v/>
      </c>
      <c r="E2880">
        <f>INDEX(FactorTable!$B$2:$Y$301, MATCH(ROUND(MIN(300,MAX(1,D2880)),0), FactorTable!$A$2:$A$301,0), Skills!M5+1)</f>
        <v/>
      </c>
      <c r="F2880">
        <f>IF(Skills!N5=TRUE,(Skills!L5/10)*(E2880/1000),Skills!L5/10)+Skills!O5</f>
        <v/>
      </c>
      <c r="G2880">
        <f>Skills!G5*IF(Skills!H5&gt;0,IF(Inputs!$B$39="pvp",MIN(Skills!I5,15),Skills!I5)/Skills!H5,1)</f>
        <v/>
      </c>
      <c r="H2880">
        <f>1-(1-Skills!J5/100)^Skills!K5</f>
        <v/>
      </c>
      <c r="I2880" t="inlineStr">
        <is>
          <t>1</t>
        </is>
      </c>
      <c r="J2880" t="inlineStr"/>
      <c r="K2880" t="inlineStr"/>
      <c r="L2880" t="inlineStr"/>
      <c r="M2880" t="inlineStr"/>
      <c r="N2880" t="inlineStr"/>
      <c r="O2880">
        <f>(1-Summary!$B$11)*T2880+Summary!$B$11*V2880</f>
        <v/>
      </c>
      <c r="P2880">
        <f>IF(B2921=0,0,O2880/B2921)</f>
        <v/>
      </c>
      <c r="Q2880" t="n">
        <v>0</v>
      </c>
      <c r="R2880" t="n">
        <v>0</v>
      </c>
      <c r="S2880">
        <f>IFERROR(O2880/N2880,0)</f>
        <v/>
      </c>
      <c r="T2880" t="n">
        <v>0</v>
      </c>
      <c r="V2880" t="n">
        <v>0</v>
      </c>
    </row>
    <row r="2881">
      <c r="A2881">
        <f>Skills!A6</f>
        <v/>
      </c>
      <c r="B2881">
        <f>Skills!B6</f>
        <v/>
      </c>
      <c r="C2881">
        <f>Inputs!$B$3&gt;=63</f>
        <v/>
      </c>
      <c r="D2881">
        <f>IF(Skills!C6=1,60+Inputs!$B$25+Inputs!$B$29,IF(Skills!C6=2,90+Inputs!$B$26+Inputs!$B$29,IF(Skills!C6=3,120+Inputs!$B$27+Inputs!$B$29,MAX(0,(Inputs!$B$3-100)*3)+Inputs!$B$28+Inputs!$B$29)))</f>
        <v/>
      </c>
      <c r="E2881">
        <f>INDEX(FactorTable!$B$2:$Y$301, MATCH(ROUND(MIN(300,MAX(1,D2881)),0), FactorTable!$A$2:$A$301,0), Skills!M6+1)</f>
        <v/>
      </c>
      <c r="F2881">
        <f>IF(Skills!N6=TRUE,(Skills!L6/10)*(E2881/1000),Skills!L6/10)+Skills!O6</f>
        <v/>
      </c>
      <c r="G2881">
        <f>Skills!G6*IF(Skills!H6&gt;0,IF(Inputs!$B$39="pvp",MIN(Skills!I6,15),Skills!I6)/Skills!H6,1)</f>
        <v/>
      </c>
      <c r="H2881">
        <f>1-(1-Skills!J6/100)^Skills!K6</f>
        <v/>
      </c>
      <c r="I2881" t="inlineStr">
        <is>
          <t>1</t>
        </is>
      </c>
      <c r="J2881">
        <f>((Inputs!$B$6*(1+Inputs!$B$7/100))+(((Inputs!$B$12*(1+Inputs!$B$13/100))-(Inputs!$B$12*(1+Inputs!$B$13/100)))+0.25*(Inputs!$B$14-Inputs!$B$14))*(1+Inputs!$B$7/100))*(F2881/100)</f>
        <v/>
      </c>
      <c r="K2881">
        <f>J2881*(1+((Inputs!$B$12*(1+Inputs!$B$13/100))*0.01+Inputs!$B$14*0.0025)/100)*(1+Inputs!$B$15/100)*(1+Inputs!$B$16/100)*(5000/(6000+Inputs!$B$43*(1-(100*(1-(1-Inputs!$B$19/100)*(1-CHOOSE(ArtifactsInput!$N$40+1,5,6,7,8,9,10)/100)^(ArtifactsInput!$M$40-ArtifactsInput!$M$40)))/100)))*(1+(Inputs!$B$24+((C2906=TRUE)*(F2906-Calc!F31))+((C2893=TRUE)*(F2893-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+2.6666666666666665*IF(C2894=TRUE,F2894,0)/100)*(1+(IF(Skills!A6="CRUEL_STAB",Inputs!$B$17+((C2903=TRUE)*(F2903-Calc!F28))+((IF(AND(Inputs!$B$39&lt;&gt;"pvp",Inputs!$B$44=0),1,IF(IF(Inputs!$B$39="pvp",15,Inputs!$B$44)-(B2920)&lt;=0,1,MAX(0,IF(Inputs!$B$39="pvp",15,Inputs!$B$44)-MAX(5,B2920))/(IF(Inputs!$B$39="pvp",15,Inputs!$B$44)-(B2920))))*(IF(AND(ArtifactsInput!$M$42,((Inputs!$B$9+((C2901=TRUE)*(F2901-Calc!F26))+B2909+(ArtifactsInput!$M$24-ArtifactsInput!$M$24)*CHOOSE(ArtifactsInput!$N$24+1,10,12,14,16,18,20)+IF(ArtifactsInput!$M$10,CHOOSE(ArtifactsInput!$N$10+1,15,18,21,24,27,30)*(IF(Inputs!$B$39="pvp",MIN(15,15)/15,IF(AND(Inputs!$B$39&lt;&gt;"pvp",Inputs!$B$44&gt;0),MIN(15,Inputs!$B$44)/(Inputs!$B$44),0))),0)))&gt;=100),MIN(100,((Inputs!$B$9+((C2901=TRUE)*(F2901-Calc!F26))+B2909+(ArtifactsInput!$M$24-ArtifactsInput!$M$24)*CHOOSE(ArtifactsInput!$N$24+1,10,12,14,16,18,20)+IF(ArtifactsInput!$M$10,CHOOSE(ArtifactsInput!$N$10+1,15,18,21,24,27,30)*(IF(Inputs!$B$39="pvp",MIN(15,15)/15,IF(AND(Inputs!$B$39&lt;&gt;"pvp",Inputs!$B$44&gt;0),MIN(15,Inputs!$B$44)/(Inputs!$B$44),0))),0)))-100),0))*CHOOSE(ArtifactsInput!$N$42+1,0.6,0.72,0.84,0.96,1.08,1.2))),Inputs!$B$18+((C2904=TRUE)*(F2904-Calc!F29))+(IF(AND(Inputs!$B$39&lt;&gt;"pvp",Inputs!$B$44=0),1,IF(IF(Inputs!$B$39="pvp",15,Inputs!$B$44)-(B2920)&lt;=0,1,MAX(0,IF(Inputs!$B$39="pvp",15,Inputs!$B$44)-MAX(5,B2920))/(IF(Inputs!$B$39="pvp",15,Inputs!$B$44)-(B2920))))*IF(AND(ArtifactsInput!$M$42,((Inputs!$B$9+((C2901=TRUE)*(F2901-Calc!F26))+B2909+(ArtifactsInput!$M$24-ArtifactsInput!$M$24)*CHOOSE(ArtifactsInput!$N$24+1,10,12,14,16,18,20)+IF(ArtifactsInput!$M$10,CHOOSE(ArtifactsInput!$N$10+1,15,18,21,24,27,30)*(IF(Inputs!$B$39="pvp",MIN(15,15)/15,IF(AND(Inputs!$B$39&lt;&gt;"pvp",Inputs!$B$44&gt;0),MIN(15,Inputs!$B$44)/(Inputs!$B$44),0))),0)))&gt;=100),CHOOSE(ArtifactsInput!$N$42+1,40,48,56,64,72,80),0))))/100)*(((1+(((C2897=TRUE)*F2897*IF(AND(Inputs!$B$39&lt;&gt;"pvp",Inputs!$B$44&gt;0),(((R2897-1)*MIN((Skills!Y22*(1+Inputs!$B$34/100)),(1/Q2897))+MIN((Skills!Y22*(1+Inputs!$B$34/100)),MAX(0,Inputs!$B$44-((R2897-1)*(1/Q2897)))))/Inputs!$B$44),IF(Inputs!$B$39="pvp",MIN((Skills!Y22*(1+Inputs!$B$34/100)),15)/15,MIN(1,(Skills!Y22*(1+Inputs!$B$34/100))/(1/Q2897)))))+((C2878=TRUE)*F2878*3)+((C2880=TRUE)*F2880*(1-EXP(-0.75*B2913*5)))+((C2899=TRUE)*(F2899-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2886=TRUE)*F2886*IF(AND(Inputs!$B$39&lt;&gt;"pvp",Inputs!$B$44&gt;0),(((R2886-1)*MIN((Skills!Y11*(1+Inputs!$B$34/100)),(1/Q2886))+MIN((Skills!Y11*(1+Inputs!$B$34/100)),MAX(0,Inputs!$B$44-((R2886-1)*(1/Q2886)))))/Inputs!$B$44),IF(Inputs!$B$39="pvp",MIN((Skills!Y11*(1+Inputs!$B$34/100)),15)/15,MIN(1,(Skills!Y11*(1+Inputs!$B$34/100))/(1/Q2886)))))/100)*(1+((C2891=TRUE)*F2891*IF(AND(Inputs!$B$39&lt;&gt;"pvp",Inputs!$B$44&gt;0),(((R2891-1)*MIN((Skills!Y16*(1+Inputs!$B$34/100)),(1/Q2891))+MIN((Skills!Y16*(1+Inputs!$B$34/100)),MAX(0,Inputs!$B$44-((R2891-1)*(1/Q2891)))))/Inputs!$B$44),IF(Inputs!$B$39="pvp",MIN((Skills!Y16*(1+Inputs!$B$34/100)),15)/15,MIN(1,(Skills!Y16*(1+Inputs!$B$34/100))/(1/Q2891)))))/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2911*I2881)</f>
        <v/>
      </c>
      <c r="L2881">
        <f>K2881*(MIN(Inputs!$B$22+((C2900=TRUE)*(F2900-Calc!F25)),(Inputs!$B$23+((C2905=TRUE)*(F2905-Calc!F30))+IF(ArtifactsInput!$M$15,CHOOSE(ArtifactsInput!$N$15+1,25,30,35,40,45,50)/100*(Inputs!$B$11-Inputs!$B$11),0)))/100+(Inputs!$B$23+((C2905=TRUE)*(F2905-Calc!F30))+IF(ArtifactsInput!$M$15,CHOOSE(ArtifactsInput!$N$15+1,25,30,35,40,45,50)/100*(Inputs!$B$11-Inputs!$B$11),0))/100)/2</f>
        <v/>
      </c>
      <c r="M2881">
        <f>L2881*(1+(Inputs!$B$10+((C2902=TRUE)*(F2902-Calc!F27))+B2916+(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2881">
        <f>L2881*(1-MIN((Inputs!$B$9+((C2901=TRUE)*(F2901-Calc!F26))+B2909+(ArtifactsInput!$M$24-ArtifactsInput!$M$24)*CHOOSE(ArtifactsInput!$N$24+1,10,12,14,16,18,20)+(IF(AND(Inputs!$B$39&lt;&gt;"pvp",Inputs!$B$44=0),1,IF(IF(Inputs!$B$39="pvp",15,Inputs!$B$44)-(B2920)&lt;=0,1,MAX(0,IF(Inputs!$B$39="pvp",15,Inputs!$B$44)-MAX(5,B2920))/(IF(Inputs!$B$39="pvp",15,Inputs!$B$44)-(B2920))))*IF(AND(ArtifactsInput!$M$42,((Inputs!$B$9+((C2901=TRUE)*(F2901-Calc!F26))+B2909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2881*(MIN((Inputs!$B$9+((C2901=TRUE)*(F2901-Calc!F26))+B2909+(ArtifactsInput!$M$24-ArtifactsInput!$M$24)*CHOOSE(ArtifactsInput!$N$24+1,10,12,14,16,18,20)+(IF(AND(Inputs!$B$39&lt;&gt;"pvp",Inputs!$B$44=0),1,IF(IF(Inputs!$B$39="pvp",15,Inputs!$B$44)-(B2920)&lt;=0,1,MAX(0,IF(Inputs!$B$39="pvp",15,Inputs!$B$44)-MAX(5,B2920))/(IF(Inputs!$B$39="pvp",15,Inputs!$B$44)-(B2920))))*IF(AND(ArtifactsInput!$M$42,((Inputs!$B$9+((C2901=TRUE)*(F2901-Calc!F26))+B2909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881">
        <f>(1-Summary!$B$11)*T2881+Summary!$B$11*V2881</f>
        <v/>
      </c>
      <c r="P2881">
        <f>IF(B2921=0,0,O2881/B2921)</f>
        <v/>
      </c>
      <c r="Q2881">
        <f>IFERROR(1/IF(Inputs!$B$39="pvp",15,MAX(0.1,Skills!D6-IF(TRUE=TRUE,Inputs!$B$32,0))),0)</f>
        <v/>
      </c>
      <c r="R2881">
        <f>IF(AND(Inputs!$B$39&lt;&gt;"pvp",Inputs!$B$44&gt;0),IF(MAX(0,Inputs!$B$44-B2920)&lt;=0,0,(INT(MAX(0,Inputs!$B$44-B2920)/IF(Inputs!$B$39="pvp",15,MAX(0.1,Skills!D6-IF(TRUE=TRUE,Inputs!$B$32,0))))+1)),0)</f>
        <v/>
      </c>
      <c r="S2881">
        <f>IFERROR(O2881/N2881,0)</f>
        <v/>
      </c>
      <c r="T2881">
        <f>IF(C2881,(H2881*N2881*IF(AND(Inputs!$B$39&lt;&gt;"pvp",Inputs!$B$44&gt;0),((Skills!G6*((R2881-1)*IF(Skills!H6&gt;0,Skills!I6/Skills!H6,1)+IF(Skills!H6&gt;0,MIN(Skills!I6,MAX(0,MAX(0,Inputs!$B$44-B2920)-((R2881-1)*IF(Inputs!$B$39="pvp",15,MAX(0.1,Skills!D6-IF(TRUE=TRUE,Inputs!$B$32,0))))))/Skills!H6,1)))/Inputs!$B$44),G2881*Q2881))*IF(Inputs!$B$39="pvp",1,1+(Inputs!$B$20+0+Skills!P6+B2910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IF(ArtifactsInput!$M$35,FALSE,TRUE),Inputs!$B$4&lt;&gt;"Chapter Hunt"),CHOOSE(ArtifactsInput!$N$35+1,15,18,21,24,27,30)*(1-EXP(-(0.2*B2913)*5)),0)+IF(AND(ArtifactsInput!$M$22,Inputs!$B$4&lt;&gt;"Chapter Hunt"),CHOOSE(ArtifactsInput!$N$22+1,10,12,14,16,18,20)*((0*(((0.15*B2913*5))^0/1)+1*(((0.15*B2913*5))^1/1)+2*(((0.15*B2913*5))^2/2)+3*(((0.15*B2913*5))^3/6)+4*(((0.15*B2913*5))^4/24)+5*(((0.15*B2913*5))^5/120))/((((0.15*B2913*5))^0/1)+(((0.15*B2913*5))^1/1)+(((0.15*B2913*5))^2/2)+(((0.15*B2913*5))^3/6)+(((0.15*B2913*5))^4/24)+(((0.15*B2913*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2881*(1-MIN(100,(Inputs!$B$9+((C2901=TRUE)*(F2901-Calc!F26))+B2909+(ArtifactsInput!$M$24-ArtifactsInput!$M$24)*CHOOSE(ArtifactsInput!$N$24+1,10,12,14,16,18,20)+(IF(AND(Inputs!$B$39&lt;&gt;"pvp",Inputs!$B$44=0),1,IF(IF(Inputs!$B$39="pvp",15,Inputs!$B$44)-(B2920)&lt;=0,1,MAX(0,IF(Inputs!$B$39="pvp",15,Inputs!$B$44)-MAX(5,B2920))/(IF(Inputs!$B$39="pvp",15,Inputs!$B$44)-(B2920))))*IF(AND(ArtifactsInput!$M$42,((Inputs!$B$9+((C2901=TRUE)*(F2901-Calc!F26))+B2909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2881*(MIN(100,(Inputs!$B$9+((C2901=TRUE)*(F2901-Calc!F26))+B2909+(ArtifactsInput!$M$24-ArtifactsInput!$M$24)*CHOOSE(ArtifactsInput!$N$24+1,10,12,14,16,18,20)+(IF(AND(Inputs!$B$39&lt;&gt;"pvp",Inputs!$B$44=0),1,IF(IF(Inputs!$B$39="pvp",15,Inputs!$B$44)-(B2920)&lt;=0,1,MAX(0,IF(Inputs!$B$39="pvp",15,Inputs!$B$44)-MAX(5,B2920))/(IF(Inputs!$B$39="pvp",15,Inputs!$B$44)-(B2920))))*IF(AND(ArtifactsInput!$M$42,((Inputs!$B$9+((C2901=TRUE)*(F2901-Calc!F26))+B2909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2881*(1-MIN(100,(Inputs!$B$9+((C2901=TRUE)*(F2901-Calc!F26))+B2909+(ArtifactsInput!$M$24-ArtifactsInput!$M$24)*CHOOSE(ArtifactsInput!$N$24+1,10,12,14,16,18,20)+(IF(AND(Inputs!$B$39&lt;&gt;"pvp",Inputs!$B$44=0),1,IF(IF(Inputs!$B$39="pvp",15,Inputs!$B$44)-(B2920)&lt;=0,1,MAX(0,IF(Inputs!$B$39="pvp",15,Inputs!$B$44)-MAX(5,B2920))/(IF(Inputs!$B$39="pvp",15,Inputs!$B$44)-(B2920))))*IF(AND(ArtifactsInput!$M$42,((Inputs!$B$9+((C2901=TRUE)*(F2901-Calc!F26))+B2909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2881*(MIN(100,(Inputs!$B$9+((C2901=TRUE)*(F2901-Calc!F26))+B2909+(ArtifactsInput!$M$24-ArtifactsInput!$M$24)*CHOOSE(ArtifactsInput!$N$24+1,10,12,14,16,18,20)+(IF(AND(Inputs!$B$39&lt;&gt;"pvp",Inputs!$B$44=0),1,IF(IF(Inputs!$B$39="pvp",15,Inputs!$B$44)-(B2920)&lt;=0,1,MAX(0,IF(Inputs!$B$39="pvp",15,Inputs!$B$44)-MAX(5,B2920))/(IF(Inputs!$B$39="pvp",15,Inputs!$B$44)-(B2920))))*IF(AND(ArtifactsInput!$M$42,((Inputs!$B$9+((C2901=TRUE)*(F2901-Calc!F26))+B2909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881">
        <f>IF(C2881,(H2881*N2881*IF(AND(Inputs!$B$39&lt;&gt;"pvp",Inputs!$B$44&gt;0),((Skills!G6*((R2881-1)*IF(Skills!H6&gt;0,Skills!I6/Skills!H6,1)+IF(Skills!H6&gt;0,MIN(Skills!I6,MAX(0,MAX(0,Inputs!$B$44-B2920)-((R2881-1)*IF(Inputs!$B$39="pvp",15,MAX(0.1,Skills!D6-IF(TRUE=TRUE,Inputs!$B$32,0))))))/Skills!H6,1)))/Inputs!$B$44),G2881*Q2881))*IF(Inputs!$B$39="pvp",1,(1+(Inputs!$B$21+Skills!Q6+B2910+(IF(ArtifactsInput!$M$33,CHOOSE(ArtifactsInput!$N$33+1,30,36,42,48,54,60),0))+(IF(AND(IF(ArtifactsInput!$M$35,FALSE,TRUE),Inputs!$B$4&lt;&gt;"Chapter Hunt"),CHOOSE(ArtifactsInput!$N$35+1,15,18,21,24,27,30)*(1-EXP(-(0.2*B2913)*5)),0)+IF(AND(ArtifactsInput!$M$22,Inputs!$B$4&lt;&gt;"Chapter Hunt"),CHOOSE(ArtifactsInput!$N$22+1,10,12,14,16,18,20)*((0*(((0.15*B2913*5))^0/1)+1*(((0.15*B2913*5))^1/1)+2*(((0.15*B2913*5))^2/2)+3*(((0.15*B2913*5))^3/6)+4*(((0.15*B2913*5))^4/24)+5*(((0.15*B2913*5))^5/120))/((((0.15*B2913*5))^0/1)+(((0.15*B2913*5))^1/1)+(((0.15*B2913*5))^2/2)+(((0.15*B2913*5))^3/6)+(((0.15*B2913*5))^4/24)+(((0.15*B2913*5))^5/120))),0)))/100)*(MIN(Skills!W6,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882">
      <c r="A2882">
        <f>Skills!A7</f>
        <v/>
      </c>
      <c r="B2882">
        <f>Skills!B7</f>
        <v/>
      </c>
      <c r="C2882">
        <f>Inputs!$B$3&gt;=69</f>
        <v/>
      </c>
      <c r="D2882">
        <f>IF(Skills!C7=1,60+Inputs!$B$25+Inputs!$B$29,IF(Skills!C7=2,90+Inputs!$B$26+Inputs!$B$29,IF(Skills!C7=3,120+Inputs!$B$27+Inputs!$B$29,MAX(0,(Inputs!$B$3-100)*3)+Inputs!$B$28+Inputs!$B$29)))</f>
        <v/>
      </c>
      <c r="E2882">
        <f>INDEX(FactorTable!$B$2:$Y$301, MATCH(ROUND(MIN(300,MAX(1,D2882)),0), FactorTable!$A$2:$A$301,0), Skills!M7+1)</f>
        <v/>
      </c>
      <c r="F2882">
        <f>IF(Skills!N7=TRUE,(Skills!L7/10)*(E2882/1000),Skills!L7/10)+Skills!O7</f>
        <v/>
      </c>
      <c r="G2882">
        <f>Skills!G7*IF(Skills!H7&gt;0,IF(Inputs!$B$39="pvp",MIN(Skills!I7,15),Skills!I7)/Skills!H7,1)</f>
        <v/>
      </c>
      <c r="H2882">
        <f>1-(1-Skills!J7/100)^Skills!K7</f>
        <v/>
      </c>
      <c r="I2882" t="inlineStr">
        <is>
          <t>1</t>
        </is>
      </c>
      <c r="J2882">
        <f>((Inputs!$B$6*(1+Inputs!$B$7/100))+(((Inputs!$B$12*(1+Inputs!$B$13/100))-(Inputs!$B$12*(1+Inputs!$B$13/100)))+0.25*(Inputs!$B$14-Inputs!$B$14))*(1+Inputs!$B$7/100))*(F2882/100)</f>
        <v/>
      </c>
      <c r="K2882">
        <f>J2882*(1+((Inputs!$B$12*(1+Inputs!$B$13/100))*0.01+Inputs!$B$14*0.0025)/100)*(1+Inputs!$B$15/100)*(1+Inputs!$B$16/100)*(5000/(6000+Inputs!$B$43*(1-(100*(1-(1-Inputs!$B$19/100)*(1-CHOOSE(ArtifactsInput!$N$40+1,5,6,7,8,9,10)/100)^(ArtifactsInput!$M$40-ArtifactsInput!$M$40)))/100)))*(1+(Inputs!$B$24+((C2906=TRUE)*(F2906-Calc!F31))+((C2893=TRUE)*(F2893-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2894=TRUE,F2894,0)/100)*(1+(IF(Skills!A7="CRUEL_STAB",Inputs!$B$17+((C2903=TRUE)*(F2903-Calc!F28))+((IF(AND(Inputs!$B$39&lt;&gt;"pvp",Inputs!$B$44=0),1,IF(IF(Inputs!$B$39="pvp",15,Inputs!$B$44)-(B2920)&lt;=0,1,MAX(0,IF(Inputs!$B$39="pvp",15,Inputs!$B$44)-MAX(5,B2920))/(IF(Inputs!$B$39="pvp",15,Inputs!$B$44)-(B2920))))*(IF(AND(ArtifactsInput!$M$42,((Inputs!$B$9+((C2901=TRUE)*(F2901-Calc!F26))+B2909+(ArtifactsInput!$M$24-ArtifactsInput!$M$24)*CHOOSE(ArtifactsInput!$N$24+1,10,12,14,16,18,20)+IF(ArtifactsInput!$M$10,CHOOSE(ArtifactsInput!$N$10+1,15,18,21,24,27,30)*(IF(Inputs!$B$39="pvp",MIN(15,15)/15,IF(AND(Inputs!$B$39&lt;&gt;"pvp",Inputs!$B$44&gt;0),MIN(15,Inputs!$B$44)/(Inputs!$B$44),0))),0)))&gt;=100),MIN(100,((Inputs!$B$9+((C2901=TRUE)*(F2901-Calc!F26))+B2909+(ArtifactsInput!$M$24-ArtifactsInput!$M$24)*CHOOSE(ArtifactsInput!$N$24+1,10,12,14,16,18,20)+IF(ArtifactsInput!$M$10,CHOOSE(ArtifactsInput!$N$10+1,15,18,21,24,27,30)*(IF(Inputs!$B$39="pvp",MIN(15,15)/15,IF(AND(Inputs!$B$39&lt;&gt;"pvp",Inputs!$B$44&gt;0),MIN(15,Inputs!$B$44)/(Inputs!$B$44),0))),0)))-100),0))*CHOOSE(ArtifactsInput!$N$42+1,0.6,0.72,0.84,0.96,1.08,1.2))),Inputs!$B$18+((C2904=TRUE)*(F2904-Calc!F29))+(IF(AND(Inputs!$B$39&lt;&gt;"pvp",Inputs!$B$44=0),1,IF(IF(Inputs!$B$39="pvp",15,Inputs!$B$44)-(B2920)&lt;=0,1,MAX(0,IF(Inputs!$B$39="pvp",15,Inputs!$B$44)-MAX(5,B2920))/(IF(Inputs!$B$39="pvp",15,Inputs!$B$44)-(B2920))))*IF(AND(ArtifactsInput!$M$42,((Inputs!$B$9+((C2901=TRUE)*(F2901-Calc!F26))+B2909+(ArtifactsInput!$M$24-ArtifactsInput!$M$24)*CHOOSE(ArtifactsInput!$N$24+1,10,12,14,16,18,20)+IF(ArtifactsInput!$M$10,CHOOSE(ArtifactsInput!$N$10+1,15,18,21,24,27,30)*(IF(Inputs!$B$39="pvp",MIN(15,15)/15,IF(AND(Inputs!$B$39&lt;&gt;"pvp",Inputs!$B$44&gt;0),MIN(15,Inputs!$B$44)/(Inputs!$B$44),0))),0)))&gt;=100),CHOOSE(ArtifactsInput!$N$42+1,40,48,56,64,72,80),0))))/100)*(((1+(((C2897=TRUE)*F2897*IF(AND(Inputs!$B$39&lt;&gt;"pvp",Inputs!$B$44&gt;0),(((R2897-1)*MIN((Skills!Y22*(1+Inputs!$B$34/100)),(1/Q2897))+MIN((Skills!Y22*(1+Inputs!$B$34/100)),MAX(0,Inputs!$B$44-((R2897-1)*(1/Q2897)))))/Inputs!$B$44),IF(Inputs!$B$39="pvp",MIN((Skills!Y22*(1+Inputs!$B$34/100)),15)/15,MIN(1,(Skills!Y22*(1+Inputs!$B$34/100))/(1/Q2897)))))+((C2878=TRUE)*F2878*3)+((C2880=TRUE)*F2880*(1-EXP(-0.75*B2913*5)))+((C2899=TRUE)*(F2899-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2886=TRUE)*F2886*IF(AND(Inputs!$B$39&lt;&gt;"pvp",Inputs!$B$44&gt;0),(((R2886-1)*MIN((Skills!Y11*(1+Inputs!$B$34/100)),(1/Q2886))+MIN((Skills!Y11*(1+Inputs!$B$34/100)),MAX(0,Inputs!$B$44-((R2886-1)*(1/Q2886)))))/Inputs!$B$44),IF(Inputs!$B$39="pvp",MIN((Skills!Y11*(1+Inputs!$B$34/100)),15)/15,MIN(1,(Skills!Y11*(1+Inputs!$B$34/100))/(1/Q2886)))))/100)*(1+((C2891=TRUE)*F2891*IF(AND(Inputs!$B$39&lt;&gt;"pvp",Inputs!$B$44&gt;0),(((R2891-1)*MIN((Skills!Y16*(1+Inputs!$B$34/100)),(1/Q2891))+MIN((Skills!Y16*(1+Inputs!$B$34/100)),MAX(0,Inputs!$B$44-((R2891-1)*(1/Q2891)))))/Inputs!$B$44),IF(Inputs!$B$39="pvp",MIN((Skills!Y16*(1+Inputs!$B$34/100)),15)/15,MIN(1,(Skills!Y16*(1+Inputs!$B$34/100))/(1/Q2891)))))/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2911*I2882)</f>
        <v/>
      </c>
      <c r="L2882">
        <f>K2882*(MIN(Inputs!$B$22+((C2900=TRUE)*(F2900-Calc!F25)),(Inputs!$B$23+((C2905=TRUE)*(F2905-Calc!F30))+IF(ArtifactsInput!$M$15,CHOOSE(ArtifactsInput!$N$15+1,25,30,35,40,45,50)/100*(Inputs!$B$11-Inputs!$B$11),0)))/100+(Inputs!$B$23+((C2905=TRUE)*(F2905-Calc!F30))+IF(ArtifactsInput!$M$15,CHOOSE(ArtifactsInput!$N$15+1,25,30,35,40,45,50)/100*(Inputs!$B$11-Inputs!$B$11),0))/100)/2</f>
        <v/>
      </c>
      <c r="M2882">
        <f>L2882*(1+(Inputs!$B$10+((C2902=TRUE)*(F2902-Calc!F27))+B2916+(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2882">
        <f>L2882*(1-MIN((Inputs!$B$9+((C2901=TRUE)*(F2901-Calc!F26))+B2909+(ArtifactsInput!$M$24-ArtifactsInput!$M$24)*CHOOSE(ArtifactsInput!$N$24+1,10,12,14,16,18,20)+(IF(AND(Inputs!$B$39&lt;&gt;"pvp",Inputs!$B$44=0),1,IF(IF(Inputs!$B$39="pvp",15,Inputs!$B$44)-(B2920)&lt;=0,1,MAX(0,IF(Inputs!$B$39="pvp",15,Inputs!$B$44)-MAX(5,B2920))/(IF(Inputs!$B$39="pvp",15,Inputs!$B$44)-(B2920))))*IF(AND(ArtifactsInput!$M$42,((Inputs!$B$9+((C2901=TRUE)*(F2901-Calc!F26))+B2909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2882*(MIN((Inputs!$B$9+((C2901=TRUE)*(F2901-Calc!F26))+B2909+(ArtifactsInput!$M$24-ArtifactsInput!$M$24)*CHOOSE(ArtifactsInput!$N$24+1,10,12,14,16,18,20)+(IF(AND(Inputs!$B$39&lt;&gt;"pvp",Inputs!$B$44=0),1,IF(IF(Inputs!$B$39="pvp",15,Inputs!$B$44)-(B2920)&lt;=0,1,MAX(0,IF(Inputs!$B$39="pvp",15,Inputs!$B$44)-MAX(5,B2920))/(IF(Inputs!$B$39="pvp",15,Inputs!$B$44)-(B2920))))*IF(AND(ArtifactsInput!$M$42,((Inputs!$B$9+((C2901=TRUE)*(F2901-Calc!F26))+B2909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882">
        <f>(1-Summary!$B$11)*T2882+Summary!$B$11*V2882</f>
        <v/>
      </c>
      <c r="P2882">
        <f>IF(B2921=0,0,O2882/B2921)</f>
        <v/>
      </c>
      <c r="Q2882">
        <f>IFERROR(1/IF(Inputs!$B$39="pvp",15,MAX(0.1,Skills!D7-IF(TRUE=TRUE,Inputs!$B$32,0))),0)</f>
        <v/>
      </c>
      <c r="R2882">
        <f>IF(AND(Inputs!$B$39&lt;&gt;"pvp",Inputs!$B$44&gt;0),IF(MAX(0,Inputs!$B$44-B2920)&lt;=0,0,(INT(MAX(0,Inputs!$B$44-B2920)/IF(Inputs!$B$39="pvp",15,MAX(0.1,Skills!D7-IF(TRUE=TRUE,Inputs!$B$32,0))))+1)),0)</f>
        <v/>
      </c>
      <c r="S2882">
        <f>IFERROR(O2882/N2882,0)</f>
        <v/>
      </c>
      <c r="T2882">
        <f>IF(C2882,(H2882*N2882*IF(AND(Inputs!$B$39&lt;&gt;"pvp",Inputs!$B$44&gt;0),((Skills!G7*((R2882-1)*IF(Skills!H7&gt;0,Skills!I7/Skills!H7,1)+IF(Skills!H7&gt;0,MIN(Skills!I7,MAX(0,MAX(0,Inputs!$B$44-B2920)-((R2882-1)*IF(Inputs!$B$39="pvp",15,MAX(0.1,Skills!D7-IF(TRUE=TRUE,Inputs!$B$32,0))))))/Skills!H7,1)))/Inputs!$B$44),G2882*Q2882))*IF(Inputs!$B$39="pvp",1,1+(Inputs!$B$20+0+Skills!P7+B2910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IF(ArtifactsInput!$M$35,FALSE,TRUE),Inputs!$B$4&lt;&gt;"Chapter Hunt"),CHOOSE(ArtifactsInput!$N$35+1,15,18,21,24,27,30)*(1-EXP(-(0.2*B2913)*5)),0)+IF(AND(ArtifactsInput!$M$22,Inputs!$B$4&lt;&gt;"Chapter Hunt"),CHOOSE(ArtifactsInput!$N$22+1,10,12,14,16,18,20)*((0*(((0.15*B2913*5))^0/1)+1*(((0.15*B2913*5))^1/1)+2*(((0.15*B2913*5))^2/2)+3*(((0.15*B2913*5))^3/6)+4*(((0.15*B2913*5))^4/24)+5*(((0.15*B2913*5))^5/120))/((((0.15*B2913*5))^0/1)+(((0.15*B2913*5))^1/1)+(((0.15*B2913*5))^2/2)+(((0.15*B2913*5))^3/6)+(((0.15*B2913*5))^4/24)+(((0.15*B2913*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2882*(1-MIN(100,(Inputs!$B$9+((C2901=TRUE)*(F2901-Calc!F26))+B2909+(ArtifactsInput!$M$24-ArtifactsInput!$M$24)*CHOOSE(ArtifactsInput!$N$24+1,10,12,14,16,18,20)+(IF(AND(Inputs!$B$39&lt;&gt;"pvp",Inputs!$B$44=0),1,IF(IF(Inputs!$B$39="pvp",15,Inputs!$B$44)-(B2920)&lt;=0,1,MAX(0,IF(Inputs!$B$39="pvp",15,Inputs!$B$44)-MAX(5,B2920))/(IF(Inputs!$B$39="pvp",15,Inputs!$B$44)-(B2920))))*IF(AND(ArtifactsInput!$M$42,((Inputs!$B$9+((C2901=TRUE)*(F2901-Calc!F26))+B2909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2882*(MIN(100,(Inputs!$B$9+((C2901=TRUE)*(F2901-Calc!F26))+B2909+(ArtifactsInput!$M$24-ArtifactsInput!$M$24)*CHOOSE(ArtifactsInput!$N$24+1,10,12,14,16,18,20)+(IF(AND(Inputs!$B$39&lt;&gt;"pvp",Inputs!$B$44=0),1,IF(IF(Inputs!$B$39="pvp",15,Inputs!$B$44)-(B2920)&lt;=0,1,MAX(0,IF(Inputs!$B$39="pvp",15,Inputs!$B$44)-MAX(5,B2920))/(IF(Inputs!$B$39="pvp",15,Inputs!$B$44)-(B2920))))*IF(AND(ArtifactsInput!$M$42,((Inputs!$B$9+((C2901=TRUE)*(F2901-Calc!F26))+B2909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2882*(1-MIN(100,(Inputs!$B$9+((C2901=TRUE)*(F2901-Calc!F26))+B2909+(ArtifactsInput!$M$24-ArtifactsInput!$M$24)*CHOOSE(ArtifactsInput!$N$24+1,10,12,14,16,18,20)+(IF(AND(Inputs!$B$39&lt;&gt;"pvp",Inputs!$B$44=0),1,IF(IF(Inputs!$B$39="pvp",15,Inputs!$B$44)-(B2920)&lt;=0,1,MAX(0,IF(Inputs!$B$39="pvp",15,Inputs!$B$44)-MAX(5,B2920))/(IF(Inputs!$B$39="pvp",15,Inputs!$B$44)-(B2920))))*IF(AND(ArtifactsInput!$M$42,((Inputs!$B$9+((C2901=TRUE)*(F2901-Calc!F26))+B2909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2882*(MIN(100,(Inputs!$B$9+((C2901=TRUE)*(F2901-Calc!F26))+B2909+(ArtifactsInput!$M$24-ArtifactsInput!$M$24)*CHOOSE(ArtifactsInput!$N$24+1,10,12,14,16,18,20)+(IF(AND(Inputs!$B$39&lt;&gt;"pvp",Inputs!$B$44=0),1,IF(IF(Inputs!$B$39="pvp",15,Inputs!$B$44)-(B2920)&lt;=0,1,MAX(0,IF(Inputs!$B$39="pvp",15,Inputs!$B$44)-MAX(5,B2920))/(IF(Inputs!$B$39="pvp",15,Inputs!$B$44)-(B2920))))*IF(AND(ArtifactsInput!$M$42,((Inputs!$B$9+((C2901=TRUE)*(F2901-Calc!F26))+B2909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882">
        <f>IF(C2882,(H2882*N2882*IF(AND(Inputs!$B$39&lt;&gt;"pvp",Inputs!$B$44&gt;0),((Skills!G7*((R2882-1)*IF(Skills!H7&gt;0,Skills!I7/Skills!H7,1)+IF(Skills!H7&gt;0,MIN(Skills!I7,MAX(0,MAX(0,Inputs!$B$44-B2920)-((R2882-1)*IF(Inputs!$B$39="pvp",15,MAX(0.1,Skills!D7-IF(TRUE=TRUE,Inputs!$B$32,0))))))/Skills!H7,1)))/Inputs!$B$44),G2882*Q2882))*IF(Inputs!$B$39="pvp",1,(1+(Inputs!$B$21+Skills!Q7+B2910+(IF(ArtifactsInput!$M$33,CHOOSE(ArtifactsInput!$N$33+1,30,36,42,48,54,60),0))+(IF(AND(IF(ArtifactsInput!$M$35,FALSE,TRUE),Inputs!$B$4&lt;&gt;"Chapter Hunt"),CHOOSE(ArtifactsInput!$N$35+1,15,18,21,24,27,30)*(1-EXP(-(0.2*B2913)*5)),0)+IF(AND(ArtifactsInput!$M$22,Inputs!$B$4&lt;&gt;"Chapter Hunt"),CHOOSE(ArtifactsInput!$N$22+1,10,12,14,16,18,20)*((0*(((0.15*B2913*5))^0/1)+1*(((0.15*B2913*5))^1/1)+2*(((0.15*B2913*5))^2/2)+3*(((0.15*B2913*5))^3/6)+4*(((0.15*B2913*5))^4/24)+5*(((0.15*B2913*5))^5/120))/((((0.15*B2913*5))^0/1)+(((0.15*B2913*5))^1/1)+(((0.15*B2913*5))^2/2)+(((0.15*B2913*5))^3/6)+(((0.15*B2913*5))^4/24)+(((0.15*B2913*5))^5/120))),0)))/100)*(MIN(Skills!W7,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883">
      <c r="A2883">
        <f>Skills!A8</f>
        <v/>
      </c>
      <c r="B2883">
        <f>Skills!B8</f>
        <v/>
      </c>
      <c r="C2883">
        <f>Inputs!$B$3&gt;=60</f>
        <v/>
      </c>
      <c r="D2883">
        <f>IF(Skills!C8=1,60+Inputs!$B$25+Inputs!$B$29,IF(Skills!C8=2,90+Inputs!$B$26+Inputs!$B$29,IF(Skills!C8=3,120+Inputs!$B$27+Inputs!$B$29,MAX(0,(Inputs!$B$3-100)*3)+Inputs!$B$28+Inputs!$B$29)))</f>
        <v/>
      </c>
      <c r="E2883">
        <f>INDEX(FactorTable!$B$2:$Y$301, MATCH(ROUND(MIN(300,MAX(1,D2883)),0), FactorTable!$A$2:$A$301,0), Skills!M8+1)</f>
        <v/>
      </c>
      <c r="F2883">
        <f>IF(Skills!N8=TRUE,(Skills!L8/10)*(E2883/1000),Skills!L8/10)+Skills!O8</f>
        <v/>
      </c>
      <c r="G2883">
        <f>Skills!G8*IF(Skills!H8&gt;0,IF(Inputs!$B$39="pvp",MIN(Skills!I8,15),Skills!I8)/Skills!H8,1)</f>
        <v/>
      </c>
      <c r="H2883">
        <f>1-(1-Skills!J8/100)^Skills!K8</f>
        <v/>
      </c>
      <c r="I2883" t="inlineStr">
        <is>
          <t>1</t>
        </is>
      </c>
      <c r="J2883" t="inlineStr"/>
      <c r="K2883" t="inlineStr"/>
      <c r="L2883" t="inlineStr"/>
      <c r="M2883" t="inlineStr"/>
      <c r="N2883" t="inlineStr"/>
      <c r="O2883">
        <f>(1-Summary!$B$11)*T2883+Summary!$B$11*V2883</f>
        <v/>
      </c>
      <c r="P2883">
        <f>IF(B2921=0,0,O2883/B2921)</f>
        <v/>
      </c>
      <c r="Q2883" t="n">
        <v>0</v>
      </c>
      <c r="R2883" t="n">
        <v>0</v>
      </c>
      <c r="S2883">
        <f>IFERROR(O2883/N2883,0)</f>
        <v/>
      </c>
      <c r="T2883" t="n">
        <v>0</v>
      </c>
      <c r="V2883" t="n">
        <v>0</v>
      </c>
    </row>
    <row r="2884">
      <c r="A2884">
        <f>Skills!A9</f>
        <v/>
      </c>
      <c r="B2884">
        <f>Skills!B9</f>
        <v/>
      </c>
      <c r="C2884">
        <f>Inputs!$B$3&gt;=72</f>
        <v/>
      </c>
      <c r="D2884">
        <f>IF(Skills!C9=1,60+Inputs!$B$25+Inputs!$B$29,IF(Skills!C9=2,90+Inputs!$B$26+Inputs!$B$29,IF(Skills!C9=3,120+Inputs!$B$27+Inputs!$B$29,MAX(0,(Inputs!$B$3-100)*3)+Inputs!$B$28+Inputs!$B$29)))</f>
        <v/>
      </c>
      <c r="E2884">
        <f>INDEX(FactorTable!$B$2:$Y$301, MATCH(ROUND(MIN(300,MAX(1,D2884)),0), FactorTable!$A$2:$A$301,0), Skills!M9+1)</f>
        <v/>
      </c>
      <c r="F2884">
        <f>IF(Skills!N9=TRUE,(Skills!L9/10)*(E2884/1000),Skills!L9/10)+Skills!O9</f>
        <v/>
      </c>
      <c r="G2884">
        <f>Skills!G9*IF(Skills!H9&gt;0,IF(Inputs!$B$39="pvp",MIN(Skills!I9,15),Skills!I9)/Skills!H9,1)</f>
        <v/>
      </c>
      <c r="H2884">
        <f>1-(1-Skills!J9/100)^Skills!K9</f>
        <v/>
      </c>
      <c r="I2884" t="inlineStr">
        <is>
          <t>1</t>
        </is>
      </c>
      <c r="J2884">
        <f>((Inputs!$B$6*(1+Inputs!$B$7/100))+(((Inputs!$B$12*(1+Inputs!$B$13/100))-(Inputs!$B$12*(1+Inputs!$B$13/100)))+0.25*(Inputs!$B$14-Inputs!$B$14))*(1+Inputs!$B$7/100))*(F2884/100)</f>
        <v/>
      </c>
      <c r="K2884">
        <f>J2884*(1+((Inputs!$B$12*(1+Inputs!$B$13/100))*0.01+Inputs!$B$14*0.0025)/100)*(1+Inputs!$B$15/100)*(1+Inputs!$B$16/100)*(5000/(6000+Inputs!$B$43*(1-(100*(1-(1-Inputs!$B$19/100)*(1-CHOOSE(ArtifactsInput!$N$40+1,5,6,7,8,9,10)/100)^(ArtifactsInput!$M$40-ArtifactsInput!$M$40)))/100)))*(1+(Inputs!$B$24+((C2906=TRUE)*(F2906-Calc!F31))+((C2893=TRUE)*(F2893-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+3.3333333333333335*IF(C2894=TRUE,F2894,0)/100)*(1+(IF(Skills!A9="CRUEL_STAB",Inputs!$B$17+((C2903=TRUE)*(F2903-Calc!F28))+((IF(AND(Inputs!$B$39&lt;&gt;"pvp",Inputs!$B$44=0),1,IF(IF(Inputs!$B$39="pvp",15,Inputs!$B$44)-(B2920)&lt;=0,1,MAX(0,IF(Inputs!$B$39="pvp",15,Inputs!$B$44)-MAX(5,B2920))/(IF(Inputs!$B$39="pvp",15,Inputs!$B$44)-(B2920))))*(IF(AND(ArtifactsInput!$M$42,((Inputs!$B$9+((C2901=TRUE)*(F2901-Calc!F26))+B2909+(ArtifactsInput!$M$24-ArtifactsInput!$M$24)*CHOOSE(ArtifactsInput!$N$24+1,10,12,14,16,18,20)+IF(ArtifactsInput!$M$10,CHOOSE(ArtifactsInput!$N$10+1,15,18,21,24,27,30)*(IF(Inputs!$B$39="pvp",MIN(15,15)/15,IF(AND(Inputs!$B$39&lt;&gt;"pvp",Inputs!$B$44&gt;0),MIN(15,Inputs!$B$44)/(Inputs!$B$44),0))),0)))&gt;=100),MIN(100,((Inputs!$B$9+((C2901=TRUE)*(F2901-Calc!F26))+B2909+(ArtifactsInput!$M$24-ArtifactsInput!$M$24)*CHOOSE(ArtifactsInput!$N$24+1,10,12,14,16,18,20)+IF(ArtifactsInput!$M$10,CHOOSE(ArtifactsInput!$N$10+1,15,18,21,24,27,30)*(IF(Inputs!$B$39="pvp",MIN(15,15)/15,IF(AND(Inputs!$B$39&lt;&gt;"pvp",Inputs!$B$44&gt;0),MIN(15,Inputs!$B$44)/(Inputs!$B$44),0))),0)))-100),0))*CHOOSE(ArtifactsInput!$N$42+1,0.6,0.72,0.84,0.96,1.08,1.2))),Inputs!$B$18+((C2904=TRUE)*(F2904-Calc!F29))+(IF(AND(Inputs!$B$39&lt;&gt;"pvp",Inputs!$B$44=0),1,IF(IF(Inputs!$B$39="pvp",15,Inputs!$B$44)-(B2920)&lt;=0,1,MAX(0,IF(Inputs!$B$39="pvp",15,Inputs!$B$44)-MAX(5,B2920))/(IF(Inputs!$B$39="pvp",15,Inputs!$B$44)-(B2920))))*IF(AND(ArtifactsInput!$M$42,((Inputs!$B$9+((C2901=TRUE)*(F2901-Calc!F26))+B2909+(ArtifactsInput!$M$24-ArtifactsInput!$M$24)*CHOOSE(ArtifactsInput!$N$24+1,10,12,14,16,18,20)+IF(ArtifactsInput!$M$10,CHOOSE(ArtifactsInput!$N$10+1,15,18,21,24,27,30)*(IF(Inputs!$B$39="pvp",MIN(15,15)/15,IF(AND(Inputs!$B$39&lt;&gt;"pvp",Inputs!$B$44&gt;0),MIN(15,Inputs!$B$44)/(Inputs!$B$44),0))),0)))&gt;=100),CHOOSE(ArtifactsInput!$N$42+1,40,48,56,64,72,80),0))))/100)*(((1+(((C2897=TRUE)*F2897*IF(AND(Inputs!$B$39&lt;&gt;"pvp",Inputs!$B$44&gt;0),(((R2897-1)*MIN((Skills!Y22*(1+Inputs!$B$34/100)),(1/Q2897))+MIN((Skills!Y22*(1+Inputs!$B$34/100)),MAX(0,Inputs!$B$44-((R2897-1)*(1/Q2897)))))/Inputs!$B$44),IF(Inputs!$B$39="pvp",MIN((Skills!Y22*(1+Inputs!$B$34/100)),15)/15,MIN(1,(Skills!Y22*(1+Inputs!$B$34/100))/(1/Q2897)))))+((C2878=TRUE)*F2878*3)+((C2880=TRUE)*F2880*(1-EXP(-0.75*B2913*5)))+((C2899=TRUE)*(F2899-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2886=TRUE)*F2886*IF(AND(Inputs!$B$39&lt;&gt;"pvp",Inputs!$B$44&gt;0),(((R2886-1)*MIN((Skills!Y11*(1+Inputs!$B$34/100)),(1/Q2886))+MIN((Skills!Y11*(1+Inputs!$B$34/100)),MAX(0,Inputs!$B$44-((R2886-1)*(1/Q2886)))))/Inputs!$B$44),IF(Inputs!$B$39="pvp",MIN((Skills!Y11*(1+Inputs!$B$34/100)),15)/15,MIN(1,(Skills!Y11*(1+Inputs!$B$34/100))/(1/Q2886)))))/100)*(1+((C2891=TRUE)*F2891*IF(AND(Inputs!$B$39&lt;&gt;"pvp",Inputs!$B$44&gt;0),(((R2891-1)*MIN((Skills!Y16*(1+Inputs!$B$34/100)),(1/Q2891))+MIN((Skills!Y16*(1+Inputs!$B$34/100)),MAX(0,Inputs!$B$44-((R2891-1)*(1/Q2891)))))/Inputs!$B$44),IF(Inputs!$B$39="pvp",MIN((Skills!Y16*(1+Inputs!$B$34/100)),15)/15,MIN(1,(Skills!Y16*(1+Inputs!$B$34/100))/(1/Q2891)))))/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2911*I2884)</f>
        <v/>
      </c>
      <c r="L2884">
        <f>K2884*(MIN(Inputs!$B$22+((C2900=TRUE)*(F2900-Calc!F25)),(Inputs!$B$23+((C2905=TRUE)*(F2905-Calc!F30))+IF(ArtifactsInput!$M$15,CHOOSE(ArtifactsInput!$N$15+1,25,30,35,40,45,50)/100*(Inputs!$B$11-Inputs!$B$11),0)))/100+(Inputs!$B$23+((C2905=TRUE)*(F2905-Calc!F30))+IF(ArtifactsInput!$M$15,CHOOSE(ArtifactsInput!$N$15+1,25,30,35,40,45,50)/100*(Inputs!$B$11-Inputs!$B$11),0))/100)/2</f>
        <v/>
      </c>
      <c r="M2884">
        <f>L2884*(1+(Inputs!$B$10+((C2902=TRUE)*(F2902-Calc!F27))+B2916+(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2884">
        <f>L2884*(1-MIN((Inputs!$B$9+((C2901=TRUE)*(F2901-Calc!F26))+B2909+(ArtifactsInput!$M$24-ArtifactsInput!$M$24)*CHOOSE(ArtifactsInput!$N$24+1,10,12,14,16,18,20)+(IF(AND(Inputs!$B$39&lt;&gt;"pvp",Inputs!$B$44=0),1,IF(IF(Inputs!$B$39="pvp",15,Inputs!$B$44)-(B2920)&lt;=0,1,MAX(0,IF(Inputs!$B$39="pvp",15,Inputs!$B$44)-MAX(5,B2920))/(IF(Inputs!$B$39="pvp",15,Inputs!$B$44)-(B2920))))*IF(AND(ArtifactsInput!$M$42,((Inputs!$B$9+((C2901=TRUE)*(F2901-Calc!F26))+B2909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2884*(MIN((Inputs!$B$9+((C2901=TRUE)*(F2901-Calc!F26))+B2909+(ArtifactsInput!$M$24-ArtifactsInput!$M$24)*CHOOSE(ArtifactsInput!$N$24+1,10,12,14,16,18,20)+(IF(AND(Inputs!$B$39&lt;&gt;"pvp",Inputs!$B$44=0),1,IF(IF(Inputs!$B$39="pvp",15,Inputs!$B$44)-(B2920)&lt;=0,1,MAX(0,IF(Inputs!$B$39="pvp",15,Inputs!$B$44)-MAX(5,B2920))/(IF(Inputs!$B$39="pvp",15,Inputs!$B$44)-(B2920))))*IF(AND(ArtifactsInput!$M$42,((Inputs!$B$9+((C2901=TRUE)*(F2901-Calc!F26))+B2909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884">
        <f>(1-Summary!$B$11)*T2884+Summary!$B$11*V2884</f>
        <v/>
      </c>
      <c r="P2884">
        <f>IF(B2921=0,0,O2884/B2921)</f>
        <v/>
      </c>
      <c r="Q2884">
        <f>IFERROR(1/IF(Inputs!$B$39="pvp",15,MAX(0.1,Skills!D9-IF(FALSE=TRUE,Inputs!$B$32,0))),0)</f>
        <v/>
      </c>
      <c r="R2884">
        <f>IF(AND(Inputs!$B$39&lt;&gt;"pvp",Inputs!$B$44&gt;0),IF(MAX(0,Inputs!$B$44-B2920)&lt;=0,0,(INT(MAX(0,Inputs!$B$44-B2920)/IF(Inputs!$B$39="pvp",15,MAX(0.1,Skills!D9-IF(FALSE=TRUE,Inputs!$B$32,0))))+1)),0)</f>
        <v/>
      </c>
      <c r="S2884">
        <f>IFERROR(O2884/N2884,0)</f>
        <v/>
      </c>
      <c r="T2884">
        <f>IF(C2884,(H2884*N2884*IF(AND(Inputs!$B$39&lt;&gt;"pvp",Inputs!$B$44&gt;0),((Skills!G9*((R2884-1)*IF(Skills!H9&gt;0,Skills!I9/Skills!H9,1)+IF(Skills!H9&gt;0,MIN(Skills!I9,MAX(0,MAX(0,Inputs!$B$44-B2920)-((R2884-1)*IF(Inputs!$B$39="pvp",15,MAX(0.1,Skills!D9-IF(FALSE=TRUE,Inputs!$B$32,0))))))/Skills!H9,1)))/Inputs!$B$44),G2884*Q2884))*IF(Inputs!$B$39="pvp",1,1+(Inputs!$B$20+0+Skills!P9+B2910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IF(ArtifactsInput!$M$35,FALSE,TRUE),Inputs!$B$4&lt;&gt;"Chapter Hunt"),CHOOSE(ArtifactsInput!$N$35+1,15,18,21,24,27,30)*(1-EXP(-(0.2*B2913)*5)),0)+IF(AND(ArtifactsInput!$M$22,Inputs!$B$4&lt;&gt;"Chapter Hunt"),CHOOSE(ArtifactsInput!$N$22+1,10,12,14,16,18,20)*((0*(((0.15*B2913*5))^0/1)+1*(((0.15*B2913*5))^1/1)+2*(((0.15*B2913*5))^2/2)+3*(((0.15*B2913*5))^3/6)+4*(((0.15*B2913*5))^4/24)+5*(((0.15*B2913*5))^5/120))/((((0.15*B2913*5))^0/1)+(((0.15*B2913*5))^1/1)+(((0.15*B2913*5))^2/2)+(((0.15*B2913*5))^3/6)+(((0.15*B2913*5))^4/24)+(((0.15*B2913*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2884*(1-MIN(100,(Inputs!$B$9+((C2901=TRUE)*(F2901-Calc!F26))+B2909+(ArtifactsInput!$M$24-ArtifactsInput!$M$24)*CHOOSE(ArtifactsInput!$N$24+1,10,12,14,16,18,20)+(IF(AND(Inputs!$B$39&lt;&gt;"pvp",Inputs!$B$44=0),1,IF(IF(Inputs!$B$39="pvp",15,Inputs!$B$44)-(B2920)&lt;=0,1,MAX(0,IF(Inputs!$B$39="pvp",15,Inputs!$B$44)-MAX(5,B2920))/(IF(Inputs!$B$39="pvp",15,Inputs!$B$44)-(B2920))))*IF(AND(ArtifactsInput!$M$42,((Inputs!$B$9+((C2901=TRUE)*(F2901-Calc!F26))+B2909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2884*(MIN(100,(Inputs!$B$9+((C2901=TRUE)*(F2901-Calc!F26))+B2909+(ArtifactsInput!$M$24-ArtifactsInput!$M$24)*CHOOSE(ArtifactsInput!$N$24+1,10,12,14,16,18,20)+(IF(AND(Inputs!$B$39&lt;&gt;"pvp",Inputs!$B$44=0),1,IF(IF(Inputs!$B$39="pvp",15,Inputs!$B$44)-(B2920)&lt;=0,1,MAX(0,IF(Inputs!$B$39="pvp",15,Inputs!$B$44)-MAX(5,B2920))/(IF(Inputs!$B$39="pvp",15,Inputs!$B$44)-(B2920))))*IF(AND(ArtifactsInput!$M$42,((Inputs!$B$9+((C2901=TRUE)*(F2901-Calc!F26))+B2909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2884*(1-MIN(100,(Inputs!$B$9+((C2901=TRUE)*(F2901-Calc!F26))+B2909+(ArtifactsInput!$M$24-ArtifactsInput!$M$24)*CHOOSE(ArtifactsInput!$N$24+1,10,12,14,16,18,20)+(IF(AND(Inputs!$B$39&lt;&gt;"pvp",Inputs!$B$44=0),1,IF(IF(Inputs!$B$39="pvp",15,Inputs!$B$44)-(B2920)&lt;=0,1,MAX(0,IF(Inputs!$B$39="pvp",15,Inputs!$B$44)-MAX(5,B2920))/(IF(Inputs!$B$39="pvp",15,Inputs!$B$44)-(B2920))))*IF(AND(ArtifactsInput!$M$42,((Inputs!$B$9+((C2901=TRUE)*(F2901-Calc!F26))+B2909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2884*(MIN(100,(Inputs!$B$9+((C2901=TRUE)*(F2901-Calc!F26))+B2909+(ArtifactsInput!$M$24-ArtifactsInput!$M$24)*CHOOSE(ArtifactsInput!$N$24+1,10,12,14,16,18,20)+(IF(AND(Inputs!$B$39&lt;&gt;"pvp",Inputs!$B$44=0),1,IF(IF(Inputs!$B$39="pvp",15,Inputs!$B$44)-(B2920)&lt;=0,1,MAX(0,IF(Inputs!$B$39="pvp",15,Inputs!$B$44)-MAX(5,B2920))/(IF(Inputs!$B$39="pvp",15,Inputs!$B$44)-(B2920))))*IF(AND(ArtifactsInput!$M$42,((Inputs!$B$9+((C2901=TRUE)*(F2901-Calc!F26))+B2909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884">
        <f>IF(C2884,(H2884*N2884*IF(AND(Inputs!$B$39&lt;&gt;"pvp",Inputs!$B$44&gt;0),((Skills!G9*((R2884-1)*IF(Skills!H9&gt;0,Skills!I9/Skills!H9,1)+IF(Skills!H9&gt;0,MIN(Skills!I9,MAX(0,MAX(0,Inputs!$B$44-B2920)-((R2884-1)*IF(Inputs!$B$39="pvp",15,MAX(0.1,Skills!D9-IF(FALSE=TRUE,Inputs!$B$32,0))))))/Skills!H9,1)))/Inputs!$B$44),G2884*Q2884))*IF(Inputs!$B$39="pvp",1,(1+(Inputs!$B$21+Skills!Q9+B2910+(IF(ArtifactsInput!$M$33,CHOOSE(ArtifactsInput!$N$33+1,30,36,42,48,54,60),0))+(IF(AND(IF(ArtifactsInput!$M$35,FALSE,TRUE),Inputs!$B$4&lt;&gt;"Chapter Hunt"),CHOOSE(ArtifactsInput!$N$35+1,15,18,21,24,27,30)*(1-EXP(-(0.2*B2913)*5)),0)+IF(AND(ArtifactsInput!$M$22,Inputs!$B$4&lt;&gt;"Chapter Hunt"),CHOOSE(ArtifactsInput!$N$22+1,10,12,14,16,18,20)*((0*(((0.15*B2913*5))^0/1)+1*(((0.15*B2913*5))^1/1)+2*(((0.15*B2913*5))^2/2)+3*(((0.15*B2913*5))^3/6)+4*(((0.15*B2913*5))^4/24)+5*(((0.15*B2913*5))^5/120))/((((0.15*B2913*5))^0/1)+(((0.15*B2913*5))^1/1)+(((0.15*B2913*5))^2/2)+(((0.15*B2913*5))^3/6)+(((0.15*B2913*5))^4/24)+(((0.15*B2913*5))^5/120))),0)))/100)*(MIN(Skills!W9,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885">
      <c r="A2885">
        <f>Skills!A10</f>
        <v/>
      </c>
      <c r="B2885">
        <f>Skills!B10</f>
        <v/>
      </c>
      <c r="C2885">
        <f>Inputs!$B$3&gt;=117</f>
        <v/>
      </c>
      <c r="D2885">
        <f>IF(Skills!C10=1,60+Inputs!$B$25+Inputs!$B$29,IF(Skills!C10=2,90+Inputs!$B$26+Inputs!$B$29,IF(Skills!C10=3,120+Inputs!$B$27+Inputs!$B$29,MAX(0,(Inputs!$B$3-100)*3)+Inputs!$B$28+Inputs!$B$29)))</f>
        <v/>
      </c>
      <c r="E2885">
        <f>INDEX(FactorTable!$B$2:$Y$301, MATCH(ROUND(MIN(300,MAX(1,D2885)),0), FactorTable!$A$2:$A$301,0), Skills!M10+1)</f>
        <v/>
      </c>
      <c r="F2885">
        <f>IF(Skills!N10=TRUE,(Skills!L10/10)*(E2885/1000),Skills!L10/10)+Skills!O10</f>
        <v/>
      </c>
      <c r="G2885">
        <f>Skills!G10*IF(Skills!H10&gt;0,IF(Inputs!$B$39="pvp",MIN(Skills!I10,15),Skills!I10)/Skills!H10,1)</f>
        <v/>
      </c>
      <c r="H2885">
        <f>1-(1-Skills!J10/100)^Skills!K10</f>
        <v/>
      </c>
      <c r="I2885" t="inlineStr">
        <is>
          <t>1</t>
        </is>
      </c>
      <c r="J2885">
        <f>((Inputs!$B$6*(1+Inputs!$B$7/100))+(((Inputs!$B$12*(1+Inputs!$B$13/100))-(Inputs!$B$12*(1+Inputs!$B$13/100)))+0.25*(Inputs!$B$14-Inputs!$B$14))*(1+Inputs!$B$7/100))*(F2885/100)</f>
        <v/>
      </c>
      <c r="K2885">
        <f>J2885*(1+((Inputs!$B$12*(1+Inputs!$B$13/100))*0.01+Inputs!$B$14*0.0025)/100)*(1+Inputs!$B$15/100)*(1+Inputs!$B$16/100)*(5000/(6000+Inputs!$B$43*(1-(100*(1-(1-Inputs!$B$19/100)*(1-CHOOSE(ArtifactsInput!$N$40+1,5,6,7,8,9,10)/100)^(ArtifactsInput!$M$40-ArtifactsInput!$M$40)))/100)))*(1+(Inputs!$B$24+((C2906=TRUE)*(F2906-Calc!F31))+((C2893=TRUE)*(F2893-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10="CRUEL_STAB",Inputs!$B$17+((C2903=TRUE)*(F2903-Calc!F28))+((IF(AND(Inputs!$B$39&lt;&gt;"pvp",Inputs!$B$44=0),1,IF(IF(Inputs!$B$39="pvp",15,Inputs!$B$44)-(B2920)&lt;=0,1,MAX(0,IF(Inputs!$B$39="pvp",15,Inputs!$B$44)-MAX(5,B2920))/(IF(Inputs!$B$39="pvp",15,Inputs!$B$44)-(B2920))))*(IF(AND(ArtifactsInput!$M$42,((Inputs!$B$9+((C2901=TRUE)*(F2901-Calc!F26))+B2909+(ArtifactsInput!$M$24-ArtifactsInput!$M$24)*CHOOSE(ArtifactsInput!$N$24+1,10,12,14,16,18,20)+IF(ArtifactsInput!$M$10,CHOOSE(ArtifactsInput!$N$10+1,15,18,21,24,27,30)*(IF(Inputs!$B$39="pvp",MIN(15,15)/15,IF(AND(Inputs!$B$39&lt;&gt;"pvp",Inputs!$B$44&gt;0),MIN(15,Inputs!$B$44)/(Inputs!$B$44),0))),0)))&gt;=100),MIN(100,((Inputs!$B$9+((C2901=TRUE)*(F2901-Calc!F26))+B2909+(ArtifactsInput!$M$24-ArtifactsInput!$M$24)*CHOOSE(ArtifactsInput!$N$24+1,10,12,14,16,18,20)+IF(ArtifactsInput!$M$10,CHOOSE(ArtifactsInput!$N$10+1,15,18,21,24,27,30)*(IF(Inputs!$B$39="pvp",MIN(15,15)/15,IF(AND(Inputs!$B$39&lt;&gt;"pvp",Inputs!$B$44&gt;0),MIN(15,Inputs!$B$44)/(Inputs!$B$44),0))),0)))-100),0))*CHOOSE(ArtifactsInput!$N$42+1,0.6,0.72,0.84,0.96,1.08,1.2))),Inputs!$B$18+((C2904=TRUE)*(F2904-Calc!F29))+(IF(AND(Inputs!$B$39&lt;&gt;"pvp",Inputs!$B$44=0),1,IF(IF(Inputs!$B$39="pvp",15,Inputs!$B$44)-(B2920)&lt;=0,1,MAX(0,IF(Inputs!$B$39="pvp",15,Inputs!$B$44)-MAX(5,B2920))/(IF(Inputs!$B$39="pvp",15,Inputs!$B$44)-(B2920))))*IF(AND(ArtifactsInput!$M$42,((Inputs!$B$9+((C2901=TRUE)*(F2901-Calc!F26))+B2909+(ArtifactsInput!$M$24-ArtifactsInput!$M$24)*CHOOSE(ArtifactsInput!$N$24+1,10,12,14,16,18,20)+IF(ArtifactsInput!$M$10,CHOOSE(ArtifactsInput!$N$10+1,15,18,21,24,27,30)*(IF(Inputs!$B$39="pvp",MIN(15,15)/15,IF(AND(Inputs!$B$39&lt;&gt;"pvp",Inputs!$B$44&gt;0),MIN(15,Inputs!$B$44)/(Inputs!$B$44),0))),0)))&gt;=100),CHOOSE(ArtifactsInput!$N$42+1,40,48,56,64,72,80),0))))/100)*(((1+(((C2897=TRUE)*F2897*IF(AND(Inputs!$B$39&lt;&gt;"pvp",Inputs!$B$44&gt;0),(((R2897-1)*MIN((Skills!Y22*(1+Inputs!$B$34/100)),(1/Q2897))+MIN((Skills!Y22*(1+Inputs!$B$34/100)),MAX(0,Inputs!$B$44-((R2897-1)*(1/Q2897)))))/Inputs!$B$44),IF(Inputs!$B$39="pvp",MIN((Skills!Y22*(1+Inputs!$B$34/100)),15)/15,MIN(1,(Skills!Y22*(1+Inputs!$B$34/100))/(1/Q2897)))))+((C2878=TRUE)*F2878*3)+((C2880=TRUE)*F2880*(1-EXP(-0.75*B2913*5)))+((C2899=TRUE)*(F2899-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2886=TRUE)*F2886*IF(AND(Inputs!$B$39&lt;&gt;"pvp",Inputs!$B$44&gt;0),(((R2886-1)*MIN((Skills!Y11*(1+Inputs!$B$34/100)),(1/Q2886))+MIN((Skills!Y11*(1+Inputs!$B$34/100)),MAX(0,Inputs!$B$44-((R2886-1)*(1/Q2886)))))/Inputs!$B$44),IF(Inputs!$B$39="pvp",MIN((Skills!Y11*(1+Inputs!$B$34/100)),15)/15,MIN(1,(Skills!Y11*(1+Inputs!$B$34/100))/(1/Q2886)))))/100)*(1+((C2891=TRUE)*F2891*IF(AND(Inputs!$B$39&lt;&gt;"pvp",Inputs!$B$44&gt;0),(((R2891-1)*MIN((Skills!Y16*(1+Inputs!$B$34/100)),(1/Q2891))+MIN((Skills!Y16*(1+Inputs!$B$34/100)),MAX(0,Inputs!$B$44-((R2891-1)*(1/Q2891)))))/Inputs!$B$44),IF(Inputs!$B$39="pvp",MIN((Skills!Y16*(1+Inputs!$B$34/100)),15)/15,MIN(1,(Skills!Y16*(1+Inputs!$B$34/100))/(1/Q2891)))))/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2911*I2885)</f>
        <v/>
      </c>
      <c r="L2885">
        <f>K2885*(MIN(Inputs!$B$22+((C2900=TRUE)*(F2900-Calc!F25)),(Inputs!$B$23+((C2905=TRUE)*(F2905-Calc!F30))+IF(ArtifactsInput!$M$15,CHOOSE(ArtifactsInput!$N$15+1,25,30,35,40,45,50)/100*(Inputs!$B$11-Inputs!$B$11),0)))/100+(Inputs!$B$23+((C2905=TRUE)*(F2905-Calc!F30))+IF(ArtifactsInput!$M$15,CHOOSE(ArtifactsInput!$N$15+1,25,30,35,40,45,50)/100*(Inputs!$B$11-Inputs!$B$11),0))/100)/2</f>
        <v/>
      </c>
      <c r="M2885">
        <f>L2885*(1+(Inputs!$B$10+((C2902=TRUE)*(F2902-Calc!F27))+B2916+(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2885">
        <f>L2885*(1-MIN((Inputs!$B$9+((C2901=TRUE)*(F2901-Calc!F26))+B2909+(ArtifactsInput!$M$24-ArtifactsInput!$M$24)*CHOOSE(ArtifactsInput!$N$24+1,10,12,14,16,18,20)+(IF(AND(Inputs!$B$39&lt;&gt;"pvp",Inputs!$B$44=0),1,IF(IF(Inputs!$B$39="pvp",15,Inputs!$B$44)-(B2920)&lt;=0,1,MAX(0,IF(Inputs!$B$39="pvp",15,Inputs!$B$44)-MAX(5,B2920))/(IF(Inputs!$B$39="pvp",15,Inputs!$B$44)-(B2920))))*IF(AND(ArtifactsInput!$M$42,((Inputs!$B$9+((C2901=TRUE)*(F2901-Calc!F26))+B2909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2885*(MIN((Inputs!$B$9+((C2901=TRUE)*(F2901-Calc!F26))+B2909+(ArtifactsInput!$M$24-ArtifactsInput!$M$24)*CHOOSE(ArtifactsInput!$N$24+1,10,12,14,16,18,20)+(IF(AND(Inputs!$B$39&lt;&gt;"pvp",Inputs!$B$44=0),1,IF(IF(Inputs!$B$39="pvp",15,Inputs!$B$44)-(B2920)&lt;=0,1,MAX(0,IF(Inputs!$B$39="pvp",15,Inputs!$B$44)-MAX(5,B2920))/(IF(Inputs!$B$39="pvp",15,Inputs!$B$44)-(B2920))))*IF(AND(ArtifactsInput!$M$42,((Inputs!$B$9+((C2901=TRUE)*(F2901-Calc!F26))+B2909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885">
        <f>(1-Summary!$B$11)*T2885+Summary!$B$11*V2885</f>
        <v/>
      </c>
      <c r="P2885">
        <f>IF(B2921=0,0,O2885/B2921)</f>
        <v/>
      </c>
      <c r="Q2885" t="n">
        <v>0</v>
      </c>
      <c r="R2885" t="n">
        <v>0</v>
      </c>
      <c r="S2885" t="n">
        <v>0</v>
      </c>
      <c r="T2885">
        <f>IF(C2885,(0.2*SUMPRODUCT((Skills!Z2:Z31=TRUE)*(C2877:C2906=TRUE)*S2877:S2906)*N2885)*IF(Inputs!$B$39="pvp",1,1+(Inputs!$B$20+0+Skills!P10+B2910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IF(ArtifactsInput!$M$35,FALSE,TRUE),Inputs!$B$4&lt;&gt;"Chapter Hunt"),CHOOSE(ArtifactsInput!$N$35+1,15,18,21,24,27,30)*(1-EXP(-(0.2*B2913)*5)),0)+IF(AND(ArtifactsInput!$M$22,Inputs!$B$4&lt;&gt;"Chapter Hunt"),CHOOSE(ArtifactsInput!$N$22+1,10,12,14,16,18,20)*((0*(((0.15*B2913*5))^0/1)+1*(((0.15*B2913*5))^1/1)+2*(((0.15*B2913*5))^2/2)+3*(((0.15*B2913*5))^3/6)+4*(((0.15*B2913*5))^4/24)+5*(((0.15*B2913*5))^5/120))/((((0.15*B2913*5))^0/1)+(((0.15*B2913*5))^1/1)+(((0.15*B2913*5))^2/2)+(((0.15*B2913*5))^3/6)+(((0.15*B2913*5))^4/24)+(((0.15*B2913*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2885*(1-MIN(100,(Inputs!$B$9+((C2901=TRUE)*(F2901-Calc!F26))+B2909+(ArtifactsInput!$M$24-ArtifactsInput!$M$24)*CHOOSE(ArtifactsInput!$N$24+1,10,12,14,16,18,20)+(IF(AND(Inputs!$B$39&lt;&gt;"pvp",Inputs!$B$44=0),1,IF(IF(Inputs!$B$39="pvp",15,Inputs!$B$44)-(B2920)&lt;=0,1,MAX(0,IF(Inputs!$B$39="pvp",15,Inputs!$B$44)-MAX(5,B2920))/(IF(Inputs!$B$39="pvp",15,Inputs!$B$44)-(B2920))))*IF(AND(ArtifactsInput!$M$42,((Inputs!$B$9+((C2901=TRUE)*(F2901-Calc!F26))+B2909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2885*(MIN(100,(Inputs!$B$9+((C2901=TRUE)*(F2901-Calc!F26))+B2909+(ArtifactsInput!$M$24-ArtifactsInput!$M$24)*CHOOSE(ArtifactsInput!$N$24+1,10,12,14,16,18,20)+(IF(AND(Inputs!$B$39&lt;&gt;"pvp",Inputs!$B$44=0),1,IF(IF(Inputs!$B$39="pvp",15,Inputs!$B$44)-(B2920)&lt;=0,1,MAX(0,IF(Inputs!$B$39="pvp",15,Inputs!$B$44)-MAX(5,B2920))/(IF(Inputs!$B$39="pvp",15,Inputs!$B$44)-(B2920))))*IF(AND(ArtifactsInput!$M$42,((Inputs!$B$9+((C2901=TRUE)*(F2901-Calc!F26))+B2909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2885*(1-MIN(100,(Inputs!$B$9+((C2901=TRUE)*(F2901-Calc!F26))+B2909+(ArtifactsInput!$M$24-ArtifactsInput!$M$24)*CHOOSE(ArtifactsInput!$N$24+1,10,12,14,16,18,20)+(IF(AND(Inputs!$B$39&lt;&gt;"pvp",Inputs!$B$44=0),1,IF(IF(Inputs!$B$39="pvp",15,Inputs!$B$44)-(B2920)&lt;=0,1,MAX(0,IF(Inputs!$B$39="pvp",15,Inputs!$B$44)-MAX(5,B2920))/(IF(Inputs!$B$39="pvp",15,Inputs!$B$44)-(B2920))))*IF(AND(ArtifactsInput!$M$42,((Inputs!$B$9+((C2901=TRUE)*(F2901-Calc!F26))+B2909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2885*(MIN(100,(Inputs!$B$9+((C2901=TRUE)*(F2901-Calc!F26))+B2909+(ArtifactsInput!$M$24-ArtifactsInput!$M$24)*CHOOSE(ArtifactsInput!$N$24+1,10,12,14,16,18,20)+(IF(AND(Inputs!$B$39&lt;&gt;"pvp",Inputs!$B$44=0),1,IF(IF(Inputs!$B$39="pvp",15,Inputs!$B$44)-(B2920)&lt;=0,1,MAX(0,IF(Inputs!$B$39="pvp",15,Inputs!$B$44)-MAX(5,B2920))/(IF(Inputs!$B$39="pvp",15,Inputs!$B$44)-(B2920))))*IF(AND(ArtifactsInput!$M$42,((Inputs!$B$9+((C2901=TRUE)*(F2901-Calc!F26))+B2909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885">
        <f>IF(C2885,(0.2*SUMPRODUCT((Skills!Z2:Z31=TRUE)*(C2877:C2906=TRUE)*S2877:S2906)*N2885)*IF(Inputs!$B$39="pvp",1,(1+(Inputs!$B$21+Skills!Q10+B2910+(IF(ArtifactsInput!$M$33,CHOOSE(ArtifactsInput!$N$33+1,30,36,42,48,54,60),0))+(IF(AND(IF(ArtifactsInput!$M$35,FALSE,TRUE),Inputs!$B$4&lt;&gt;"Chapter Hunt"),CHOOSE(ArtifactsInput!$N$35+1,15,18,21,24,27,30)*(1-EXP(-(0.2*B2913)*5)),0)+IF(AND(ArtifactsInput!$M$22,Inputs!$B$4&lt;&gt;"Chapter Hunt"),CHOOSE(ArtifactsInput!$N$22+1,10,12,14,16,18,20)*((0*(((0.15*B2913*5))^0/1)+1*(((0.15*B2913*5))^1/1)+2*(((0.15*B2913*5))^2/2)+3*(((0.15*B2913*5))^3/6)+4*(((0.15*B2913*5))^4/24)+5*(((0.15*B2913*5))^5/120))/((((0.15*B2913*5))^0/1)+(((0.15*B2913*5))^1/1)+(((0.15*B2913*5))^2/2)+(((0.15*B2913*5))^3/6)+(((0.15*B2913*5))^4/24)+(((0.15*B2913*5))^5/120))),0)))/100)*(MIN(Skills!W10,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886">
      <c r="A2886">
        <f>Skills!A11</f>
        <v/>
      </c>
      <c r="B2886">
        <f>Skills!B11</f>
        <v/>
      </c>
      <c r="C2886">
        <f>Inputs!$B$3&gt;=74</f>
        <v/>
      </c>
      <c r="D2886">
        <f>IF(Skills!C11=1,60+Inputs!$B$25+Inputs!$B$29,IF(Skills!C11=2,90+Inputs!$B$26+Inputs!$B$29,IF(Skills!C11=3,120+Inputs!$B$27+Inputs!$B$29,MAX(0,(Inputs!$B$3-100)*3)+Inputs!$B$28+Inputs!$B$29)))</f>
        <v/>
      </c>
      <c r="E2886">
        <f>INDEX(FactorTable!$B$2:$Y$301, MATCH(ROUND(MIN(300,MAX(1,D2886)),0), FactorTable!$A$2:$A$301,0), Skills!M11+1)</f>
        <v/>
      </c>
      <c r="F2886">
        <f>IF(Skills!N11=TRUE,(Skills!L11/10)*(E2886/1000),Skills!L11/10)+Skills!O11</f>
        <v/>
      </c>
      <c r="G2886">
        <f>Skills!G11*IF(Skills!H11&gt;0,IF(Inputs!$B$39="pvp",MIN(Skills!I11,15),Skills!I11)/Skills!H11,1)</f>
        <v/>
      </c>
      <c r="H2886">
        <f>1-(1-Skills!J11/100)^Skills!K11</f>
        <v/>
      </c>
      <c r="I2886" t="inlineStr">
        <is>
          <t>1</t>
        </is>
      </c>
      <c r="J2886" t="inlineStr"/>
      <c r="K2886" t="inlineStr"/>
      <c r="L2886" t="inlineStr"/>
      <c r="M2886" t="inlineStr"/>
      <c r="N2886" t="inlineStr"/>
      <c r="O2886">
        <f>(1-Summary!$B$11)*T2886+Summary!$B$11*V2886</f>
        <v/>
      </c>
      <c r="P2886">
        <f>IF(B2921=0,0,O2886/B2921)</f>
        <v/>
      </c>
      <c r="Q2886">
        <f>IFERROR(1/IF(Inputs!$B$39="pvp",15,MAX(0.1,Skills!D11-IF(TRUE=TRUE,Inputs!$B$32,0))),0)</f>
        <v/>
      </c>
      <c r="R2886">
        <f>IF(AND(Inputs!$B$39&lt;&gt;"pvp",Inputs!$B$44&gt;0),IF(Inputs!$B$44&lt;=0,0,(INT(Inputs!$B$44/IF(Inputs!$B$39="pvp",15,MAX(0.1,Skills!D11-IF(TRUE=TRUE,Inputs!$B$32,0))))+1)),0)</f>
        <v/>
      </c>
      <c r="S2886">
        <f>IFERROR(O2886/N2886,0)</f>
        <v/>
      </c>
      <c r="T2886" t="n">
        <v>0</v>
      </c>
      <c r="V2886" t="n">
        <v>0</v>
      </c>
    </row>
    <row r="2887">
      <c r="A2887">
        <f>Skills!A12</f>
        <v/>
      </c>
      <c r="B2887">
        <f>Skills!B12</f>
        <v/>
      </c>
      <c r="C2887">
        <f>Inputs!$B$3&gt;=103</f>
        <v/>
      </c>
      <c r="D2887">
        <f>IF(Skills!C12=1,60+Inputs!$B$25+Inputs!$B$29,IF(Skills!C12=2,90+Inputs!$B$26+Inputs!$B$29,IF(Skills!C12=3,120+Inputs!$B$27+Inputs!$B$29,MAX(0,(Inputs!$B$3-100)*3)+Inputs!$B$28+Inputs!$B$29)))</f>
        <v/>
      </c>
      <c r="E2887">
        <f>INDEX(FactorTable!$B$2:$Y$301, MATCH(ROUND(MIN(300,MAX(1,D2887)),0), FactorTable!$A$2:$A$301,0), Skills!M12+1)</f>
        <v/>
      </c>
      <c r="F2887">
        <f>(Skills!L12/10)*(E2887/1000)+IF(Inputs!$B$3&gt;=134,50,0)+0.5*(30000/10)*(INDEX(FactorTable!$B$2:$Y$301, MATCH(ROUND(MIN(300,MAX(1,D2887)),0), FactorTable!$A$2:$A$301,0), 13)/1000)*B2919</f>
        <v/>
      </c>
      <c r="G2887">
        <f>Skills!G12*IF(Skills!H12&gt;0,IF(Inputs!$B$39="pvp",MIN(Skills!I12,15),Skills!I12)/Skills!H12,1)</f>
        <v/>
      </c>
      <c r="H2887">
        <f>1-(1-Skills!J12/100)^Skills!K12</f>
        <v/>
      </c>
      <c r="I2887" t="inlineStr">
        <is>
          <t>1</t>
        </is>
      </c>
      <c r="J2887">
        <f>((Inputs!$B$6*(1+Inputs!$B$7/100))+(((Inputs!$B$12*(1+Inputs!$B$13/100))-(Inputs!$B$12*(1+Inputs!$B$13/100)))+0.25*(Inputs!$B$14-Inputs!$B$14))*(1+Inputs!$B$7/100))*(F2887/100)</f>
        <v/>
      </c>
      <c r="K2887">
        <f>J2887*(1+((Inputs!$B$12*(1+Inputs!$B$13/100))*0.01+Inputs!$B$14*0.0025)/100)*(1+Inputs!$B$15/100)*(1+Inputs!$B$16/100)*(5000/(6000+Inputs!$B$43*(1-(100*(1-(1-Inputs!$B$19/100)*(1-CHOOSE(ArtifactsInput!$N$40+1,5,6,7,8,9,10)/100)^(ArtifactsInput!$M$40-ArtifactsInput!$M$40)))/100)))*(1+(Inputs!$B$24+((C2906=TRUE)*(F2906-Calc!F31))+((C2893=TRUE)*(F2893-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12="CRUEL_STAB",Inputs!$B$17+((C2903=TRUE)*(F2903-Calc!F28))+((IF(AND(Inputs!$B$39&lt;&gt;"pvp",Inputs!$B$44=0),1,IF(IF(Inputs!$B$39="pvp",15,Inputs!$B$44)-(B2920)&lt;=0,1,MAX(0,IF(Inputs!$B$39="pvp",15,Inputs!$B$44)-MAX(5,B2920))/(IF(Inputs!$B$39="pvp",15,Inputs!$B$44)-(B2920))))*(IF(AND(ArtifactsInput!$M$42,((Inputs!$B$9+((C2901=TRUE)*(F2901-Calc!F26))+B2909+(ArtifactsInput!$M$24-ArtifactsInput!$M$24)*CHOOSE(ArtifactsInput!$N$24+1,10,12,14,16,18,20)+IF(ArtifactsInput!$M$10,CHOOSE(ArtifactsInput!$N$10+1,15,18,21,24,27,30)*(IF(Inputs!$B$39="pvp",MIN(15,15)/15,IF(AND(Inputs!$B$39&lt;&gt;"pvp",Inputs!$B$44&gt;0),MIN(15,Inputs!$B$44)/(Inputs!$B$44),0))),0)))&gt;=100),MIN(100,((Inputs!$B$9+((C2901=TRUE)*(F2901-Calc!F26))+B2909+(ArtifactsInput!$M$24-ArtifactsInput!$M$24)*CHOOSE(ArtifactsInput!$N$24+1,10,12,14,16,18,20)+IF(ArtifactsInput!$M$10,CHOOSE(ArtifactsInput!$N$10+1,15,18,21,24,27,30)*(IF(Inputs!$B$39="pvp",MIN(15,15)/15,IF(AND(Inputs!$B$39&lt;&gt;"pvp",Inputs!$B$44&gt;0),MIN(15,Inputs!$B$44)/(Inputs!$B$44),0))),0)))-100),0))*CHOOSE(ArtifactsInput!$N$42+1,0.6,0.72,0.84,0.96,1.08,1.2))),Inputs!$B$18+((C2904=TRUE)*(F2904-Calc!F29))+(IF(AND(Inputs!$B$39&lt;&gt;"pvp",Inputs!$B$44=0),1,IF(IF(Inputs!$B$39="pvp",15,Inputs!$B$44)-(B2920)&lt;=0,1,MAX(0,IF(Inputs!$B$39="pvp",15,Inputs!$B$44)-MAX(5,B2920))/(IF(Inputs!$B$39="pvp",15,Inputs!$B$44)-(B2920))))*IF(AND(ArtifactsInput!$M$42,((Inputs!$B$9+((C2901=TRUE)*(F2901-Calc!F26))+B2909+(ArtifactsInput!$M$24-ArtifactsInput!$M$24)*CHOOSE(ArtifactsInput!$N$24+1,10,12,14,16,18,20)+IF(ArtifactsInput!$M$10,CHOOSE(ArtifactsInput!$N$10+1,15,18,21,24,27,30)*(IF(Inputs!$B$39="pvp",MIN(15,15)/15,IF(AND(Inputs!$B$39&lt;&gt;"pvp",Inputs!$B$44&gt;0),MIN(15,Inputs!$B$44)/(Inputs!$B$44),0))),0)))&gt;=100),CHOOSE(ArtifactsInput!$N$42+1,40,48,56,64,72,80),0))))/100)*(((1+(((C2897=TRUE)*F2897*IF(AND(Inputs!$B$39&lt;&gt;"pvp",Inputs!$B$44&gt;0),(((R2897-1)*MIN((Skills!Y22*(1+Inputs!$B$34/100)),(1/Q2897))+MIN((Skills!Y22*(1+Inputs!$B$34/100)),MAX(0,Inputs!$B$44-((R2897-1)*(1/Q2897)))))/Inputs!$B$44),IF(Inputs!$B$39="pvp",MIN((Skills!Y22*(1+Inputs!$B$34/100)),15)/15,MIN(1,(Skills!Y22*(1+Inputs!$B$34/100))/(1/Q2897)))))+((C2878=TRUE)*F2878*3)+((C2880=TRUE)*F2880*(1-EXP(-0.75*B2913*5)))+((C2899=TRUE)*(F2899-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2886=TRUE)*F2886*IF(AND(Inputs!$B$39&lt;&gt;"pvp",Inputs!$B$44&gt;0),(((R2886-1)*MIN((Skills!Y11*(1+Inputs!$B$34/100)),(1/Q2886))+MIN((Skills!Y11*(1+Inputs!$B$34/100)),MAX(0,Inputs!$B$44-((R2886-1)*(1/Q2886)))))/Inputs!$B$44),IF(Inputs!$B$39="pvp",MIN((Skills!Y11*(1+Inputs!$B$34/100)),15)/15,MIN(1,(Skills!Y11*(1+Inputs!$B$34/100))/(1/Q2886)))))/100)*(1+((C2891=TRUE)*F2891*IF(AND(Inputs!$B$39&lt;&gt;"pvp",Inputs!$B$44&gt;0),(((R2891-1)*MIN((Skills!Y16*(1+Inputs!$B$34/100)),(1/Q2891))+MIN((Skills!Y16*(1+Inputs!$B$34/100)),MAX(0,Inputs!$B$44-((R2891-1)*(1/Q2891)))))/Inputs!$B$44),IF(Inputs!$B$39="pvp",MIN((Skills!Y16*(1+Inputs!$B$34/100)),15)/15,MIN(1,(Skills!Y16*(1+Inputs!$B$34/100))/(1/Q2891)))))/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2911*I2887)</f>
        <v/>
      </c>
      <c r="L2887">
        <f>K2887*(MIN(Inputs!$B$22+((C2900=TRUE)*(F2900-Calc!F25)),(Inputs!$B$23+((C2905=TRUE)*(F2905-Calc!F30))+IF(ArtifactsInput!$M$15,CHOOSE(ArtifactsInput!$N$15+1,25,30,35,40,45,50)/100*(Inputs!$B$11-Inputs!$B$11),0)))/100+(Inputs!$B$23+((C2905=TRUE)*(F2905-Calc!F30))+IF(ArtifactsInput!$M$15,CHOOSE(ArtifactsInput!$N$15+1,25,30,35,40,45,50)/100*(Inputs!$B$11-Inputs!$B$11),0))/100)/2</f>
        <v/>
      </c>
      <c r="M2887">
        <f>L2887*(1+(Inputs!$B$10+((C2902=TRUE)*(F2902-Calc!F27))+B2916+(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2887">
        <f>L2887*(1-MIN((Inputs!$B$9+((C2901=TRUE)*(F2901-Calc!F26))+B2909+(ArtifactsInput!$M$24-ArtifactsInput!$M$24)*CHOOSE(ArtifactsInput!$N$24+1,10,12,14,16,18,20)+(IF(AND(Inputs!$B$39&lt;&gt;"pvp",Inputs!$B$44=0),1,IF(IF(Inputs!$B$39="pvp",15,Inputs!$B$44)-(B2920)&lt;=0,1,MAX(0,IF(Inputs!$B$39="pvp",15,Inputs!$B$44)-MAX(5,B2920))/(IF(Inputs!$B$39="pvp",15,Inputs!$B$44)-(B2920))))*IF(AND(ArtifactsInput!$M$42,((Inputs!$B$9+((C2901=TRUE)*(F2901-Calc!F26))+B2909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2887*(MIN((Inputs!$B$9+((C2901=TRUE)*(F2901-Calc!F26))+B2909+(ArtifactsInput!$M$24-ArtifactsInput!$M$24)*CHOOSE(ArtifactsInput!$N$24+1,10,12,14,16,18,20)+(IF(AND(Inputs!$B$39&lt;&gt;"pvp",Inputs!$B$44=0),1,IF(IF(Inputs!$B$39="pvp",15,Inputs!$B$44)-(B2920)&lt;=0,1,MAX(0,IF(Inputs!$B$39="pvp",15,Inputs!$B$44)-MAX(5,B2920))/(IF(Inputs!$B$39="pvp",15,Inputs!$B$44)-(B2920))))*IF(AND(ArtifactsInput!$M$42,((Inputs!$B$9+((C2901=TRUE)*(F2901-Calc!F26))+B2909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887">
        <f>(1-Summary!$B$11)*T2887+Summary!$B$11*V2887</f>
        <v/>
      </c>
      <c r="P2887">
        <f>IF(B2921=0,0,O2887/B2921)</f>
        <v/>
      </c>
      <c r="Q2887">
        <f>IFERROR(1/IF(Inputs!$B$39="pvp",15,MAX(0.1,Skills!D12-IF(TRUE=TRUE,Inputs!$B$32,0))),0)</f>
        <v/>
      </c>
      <c r="R2887">
        <f>IF(AND(Inputs!$B$39&lt;&gt;"pvp",Inputs!$B$44&gt;0),IF(MAX(0,Inputs!$B$44-B2920)&lt;=0,0,(INT(MAX(0,Inputs!$B$44-B2920)/IF(Inputs!$B$39="pvp",15,MAX(0.1,Skills!D12-IF(TRUE=TRUE,Inputs!$B$32,0))))+1)),0)</f>
        <v/>
      </c>
      <c r="S2887">
        <f>IFERROR(O2887/N2887,0)</f>
        <v/>
      </c>
      <c r="T2887">
        <f>IF(C2887,(H2887*N2887*IF(AND(Inputs!$B$39&lt;&gt;"pvp",Inputs!$B$44&gt;0),((Skills!G12*((R2887-1)*IF(Skills!H12&gt;0,Skills!I12/Skills!H12,1)+IF(Skills!H12&gt;0,MIN(Skills!I12,MAX(0,MAX(0,Inputs!$B$44-B2920)-((R2887-1)*IF(Inputs!$B$39="pvp",15,MAX(0.1,Skills!D12-IF(TRUE=TRUE,Inputs!$B$32,0))))))/Skills!H12,1)))/Inputs!$B$44),G2887*Q2887))*IF(Inputs!$B$39="pvp",1,1+(Inputs!$B$20+0+Skills!P12+B2910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IF(ArtifactsInput!$M$35,FALSE,TRUE),Inputs!$B$4&lt;&gt;"Chapter Hunt"),CHOOSE(ArtifactsInput!$N$35+1,15,18,21,24,27,30)*(1-EXP(-(0.2*B2913)*5)),0)+IF(AND(ArtifactsInput!$M$22,Inputs!$B$4&lt;&gt;"Chapter Hunt"),CHOOSE(ArtifactsInput!$N$22+1,10,12,14,16,18,20)*((0*(((0.15*B2913*5))^0/1)+1*(((0.15*B2913*5))^1/1)+2*(((0.15*B2913*5))^2/2)+3*(((0.15*B2913*5))^3/6)+4*(((0.15*B2913*5))^4/24)+5*(((0.15*B2913*5))^5/120))/((((0.15*B2913*5))^0/1)+(((0.15*B2913*5))^1/1)+(((0.15*B2913*5))^2/2)+(((0.15*B2913*5))^3/6)+(((0.15*B2913*5))^4/24)+(((0.15*B2913*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2887*(1-MIN(100,(Inputs!$B$9+((C2901=TRUE)*(F2901-Calc!F26))+B2909+(ArtifactsInput!$M$24-ArtifactsInput!$M$24)*CHOOSE(ArtifactsInput!$N$24+1,10,12,14,16,18,20)+(IF(AND(Inputs!$B$39&lt;&gt;"pvp",Inputs!$B$44=0),1,IF(IF(Inputs!$B$39="pvp",15,Inputs!$B$44)-(B2920)&lt;=0,1,MAX(0,IF(Inputs!$B$39="pvp",15,Inputs!$B$44)-MAX(5,B2920))/(IF(Inputs!$B$39="pvp",15,Inputs!$B$44)-(B2920))))*IF(AND(ArtifactsInput!$M$42,((Inputs!$B$9+((C2901=TRUE)*(F2901-Calc!F26))+B2909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2887*(MIN(100,(Inputs!$B$9+((C2901=TRUE)*(F2901-Calc!F26))+B2909+(ArtifactsInput!$M$24-ArtifactsInput!$M$24)*CHOOSE(ArtifactsInput!$N$24+1,10,12,14,16,18,20)+(IF(AND(Inputs!$B$39&lt;&gt;"pvp",Inputs!$B$44=0),1,IF(IF(Inputs!$B$39="pvp",15,Inputs!$B$44)-(B2920)&lt;=0,1,MAX(0,IF(Inputs!$B$39="pvp",15,Inputs!$B$44)-MAX(5,B2920))/(IF(Inputs!$B$39="pvp",15,Inputs!$B$44)-(B2920))))*IF(AND(ArtifactsInput!$M$42,((Inputs!$B$9+((C2901=TRUE)*(F2901-Calc!F26))+B2909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2887*(1-MIN(100,(Inputs!$B$9+((C2901=TRUE)*(F2901-Calc!F26))+B2909+(ArtifactsInput!$M$24-ArtifactsInput!$M$24)*CHOOSE(ArtifactsInput!$N$24+1,10,12,14,16,18,20)+(IF(AND(Inputs!$B$39&lt;&gt;"pvp",Inputs!$B$44=0),1,IF(IF(Inputs!$B$39="pvp",15,Inputs!$B$44)-(B2920)&lt;=0,1,MAX(0,IF(Inputs!$B$39="pvp",15,Inputs!$B$44)-MAX(5,B2920))/(IF(Inputs!$B$39="pvp",15,Inputs!$B$44)-(B2920))))*IF(AND(ArtifactsInput!$M$42,((Inputs!$B$9+((C2901=TRUE)*(F2901-Calc!F26))+B2909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2887*(MIN(100,(Inputs!$B$9+((C2901=TRUE)*(F2901-Calc!F26))+B2909+(ArtifactsInput!$M$24-ArtifactsInput!$M$24)*CHOOSE(ArtifactsInput!$N$24+1,10,12,14,16,18,20)+(IF(AND(Inputs!$B$39&lt;&gt;"pvp",Inputs!$B$44=0),1,IF(IF(Inputs!$B$39="pvp",15,Inputs!$B$44)-(B2920)&lt;=0,1,MAX(0,IF(Inputs!$B$39="pvp",15,Inputs!$B$44)-MAX(5,B2920))/(IF(Inputs!$B$39="pvp",15,Inputs!$B$44)-(B2920))))*IF(AND(ArtifactsInput!$M$42,((Inputs!$B$9+((C2901=TRUE)*(F2901-Calc!F26))+B2909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887">
        <f>IF(C2887,(H2887*N2887*IF(AND(Inputs!$B$39&lt;&gt;"pvp",Inputs!$B$44&gt;0),((Skills!G12*((R2887-1)*IF(Skills!H12&gt;0,Skills!I12/Skills!H12,1)+IF(Skills!H12&gt;0,MIN(Skills!I12,MAX(0,MAX(0,Inputs!$B$44-B2920)-((R2887-1)*IF(Inputs!$B$39="pvp",15,MAX(0.1,Skills!D12-IF(TRUE=TRUE,Inputs!$B$32,0))))))/Skills!H12,1)))/Inputs!$B$44),G2887*Q2887))*IF(Inputs!$B$39="pvp",1,(1+(Inputs!$B$21+Skills!Q12+B2910+(IF(ArtifactsInput!$M$33,CHOOSE(ArtifactsInput!$N$33+1,30,36,42,48,54,60),0))+(IF(AND(IF(ArtifactsInput!$M$35,FALSE,TRUE),Inputs!$B$4&lt;&gt;"Chapter Hunt"),CHOOSE(ArtifactsInput!$N$35+1,15,18,21,24,27,30)*(1-EXP(-(0.2*B2913)*5)),0)+IF(AND(ArtifactsInput!$M$22,Inputs!$B$4&lt;&gt;"Chapter Hunt"),CHOOSE(ArtifactsInput!$N$22+1,10,12,14,16,18,20)*((0*(((0.15*B2913*5))^0/1)+1*(((0.15*B2913*5))^1/1)+2*(((0.15*B2913*5))^2/2)+3*(((0.15*B2913*5))^3/6)+4*(((0.15*B2913*5))^4/24)+5*(((0.15*B2913*5))^5/120))/((((0.15*B2913*5))^0/1)+(((0.15*B2913*5))^1/1)+(((0.15*B2913*5))^2/2)+(((0.15*B2913*5))^3/6)+(((0.15*B2913*5))^4/24)+(((0.15*B2913*5))^5/120))),0)))/100)*(MIN(Skills!W12,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888">
      <c r="A2888">
        <f>Skills!A13</f>
        <v/>
      </c>
      <c r="B2888">
        <f>Skills!B13</f>
        <v/>
      </c>
      <c r="C2888">
        <f>Inputs!$B$3&gt;=105</f>
        <v/>
      </c>
      <c r="D2888">
        <f>IF(Skills!C13=1,60+Inputs!$B$25+Inputs!$B$29,IF(Skills!C13=2,90+Inputs!$B$26+Inputs!$B$29,IF(Skills!C13=3,120+Inputs!$B$27+Inputs!$B$29,MAX(0,(Inputs!$B$3-100)*3)+Inputs!$B$28+Inputs!$B$29)))</f>
        <v/>
      </c>
      <c r="E2888">
        <f>INDEX(FactorTable!$B$2:$Y$301, MATCH(ROUND(MIN(300,MAX(1,D2888)),0), FactorTable!$A$2:$A$301,0), Skills!M13+1)</f>
        <v/>
      </c>
      <c r="F2888">
        <f>IF(Skills!N13=TRUE,(Skills!L13/10)*(E2888/1000),Skills!L13/10)+Skills!O13</f>
        <v/>
      </c>
      <c r="G2888">
        <f>Skills!G13*IF(Skills!H13&gt;0,IF(Inputs!$B$39="pvp",MIN(Skills!I13,15),Skills!I13)/Skills!H13,1)</f>
        <v/>
      </c>
      <c r="H2888">
        <f>1-(1-Skills!J13/100)^Skills!K13</f>
        <v/>
      </c>
      <c r="I2888" t="inlineStr">
        <is>
          <t>1</t>
        </is>
      </c>
      <c r="J2888">
        <f>((Inputs!$B$6*(1+Inputs!$B$7/100))+(((Inputs!$B$12*(1+Inputs!$B$13/100))-(Inputs!$B$12*(1+Inputs!$B$13/100)))+0.25*(Inputs!$B$14-Inputs!$B$14))*(1+Inputs!$B$7/100))*(F2888/100)</f>
        <v/>
      </c>
      <c r="K2888">
        <f>J2888*(1+((Inputs!$B$12*(1+Inputs!$B$13/100))*0.01+Inputs!$B$14*0.0025)/100)*(1+Inputs!$B$15/100)*(1+Inputs!$B$16/100)*(5000/(6000+Inputs!$B$43*(1-(100*(1-(1-Inputs!$B$19/100)*(1-CHOOSE(ArtifactsInput!$N$40+1,5,6,7,8,9,10)/100)^(ArtifactsInput!$M$40-ArtifactsInput!$M$40)))/100)))*(1+(Inputs!$B$24+((C2906=TRUE)*(F2906-Calc!F31))+((C2893=TRUE)*(F2893-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13="CRUEL_STAB",Inputs!$B$17+((C2903=TRUE)*(F2903-Calc!F28))+((IF(AND(Inputs!$B$39&lt;&gt;"pvp",Inputs!$B$44=0),1,IF(IF(Inputs!$B$39="pvp",15,Inputs!$B$44)-(B2920)&lt;=0,1,MAX(0,IF(Inputs!$B$39="pvp",15,Inputs!$B$44)-MAX(5,B2920))/(IF(Inputs!$B$39="pvp",15,Inputs!$B$44)-(B2920))))*(IF(AND(ArtifactsInput!$M$42,((Inputs!$B$9+((C2901=TRUE)*(F2901-Calc!F26))+B2909+(ArtifactsInput!$M$24-ArtifactsInput!$M$24)*CHOOSE(ArtifactsInput!$N$24+1,10,12,14,16,18,20)+IF(ArtifactsInput!$M$10,CHOOSE(ArtifactsInput!$N$10+1,15,18,21,24,27,30)*(IF(Inputs!$B$39="pvp",MIN(15,15)/15,IF(AND(Inputs!$B$39&lt;&gt;"pvp",Inputs!$B$44&gt;0),MIN(15,Inputs!$B$44)/(Inputs!$B$44),0))),0)))&gt;=100),MIN(100,((Inputs!$B$9+((C2901=TRUE)*(F2901-Calc!F26))+B2909+(ArtifactsInput!$M$24-ArtifactsInput!$M$24)*CHOOSE(ArtifactsInput!$N$24+1,10,12,14,16,18,20)+IF(ArtifactsInput!$M$10,CHOOSE(ArtifactsInput!$N$10+1,15,18,21,24,27,30)*(IF(Inputs!$B$39="pvp",MIN(15,15)/15,IF(AND(Inputs!$B$39&lt;&gt;"pvp",Inputs!$B$44&gt;0),MIN(15,Inputs!$B$44)/(Inputs!$B$44),0))),0)))-100),0))*CHOOSE(ArtifactsInput!$N$42+1,0.6,0.72,0.84,0.96,1.08,1.2))),Inputs!$B$18+((C2904=TRUE)*(F2904-Calc!F29))+(IF(AND(Inputs!$B$39&lt;&gt;"pvp",Inputs!$B$44=0),1,IF(IF(Inputs!$B$39="pvp",15,Inputs!$B$44)-(B2920)&lt;=0,1,MAX(0,IF(Inputs!$B$39="pvp",15,Inputs!$B$44)-MAX(5,B2920))/(IF(Inputs!$B$39="pvp",15,Inputs!$B$44)-(B2920))))*IF(AND(ArtifactsInput!$M$42,((Inputs!$B$9+((C2901=TRUE)*(F2901-Calc!F26))+B2909+(ArtifactsInput!$M$24-ArtifactsInput!$M$24)*CHOOSE(ArtifactsInput!$N$24+1,10,12,14,16,18,20)+IF(ArtifactsInput!$M$10,CHOOSE(ArtifactsInput!$N$10+1,15,18,21,24,27,30)*(IF(Inputs!$B$39="pvp",MIN(15,15)/15,IF(AND(Inputs!$B$39&lt;&gt;"pvp",Inputs!$B$44&gt;0),MIN(15,Inputs!$B$44)/(Inputs!$B$44),0))),0)))&gt;=100),CHOOSE(ArtifactsInput!$N$42+1,40,48,56,64,72,80),0))))/100)*(((1+(((C2897=TRUE)*F2897*IF(AND(Inputs!$B$39&lt;&gt;"pvp",Inputs!$B$44&gt;0),(((R2897-1)*MIN((Skills!Y22*(1+Inputs!$B$34/100)),(1/Q2897))+MIN((Skills!Y22*(1+Inputs!$B$34/100)),MAX(0,Inputs!$B$44-((R2897-1)*(1/Q2897)))))/Inputs!$B$44),IF(Inputs!$B$39="pvp",MIN((Skills!Y22*(1+Inputs!$B$34/100)),15)/15,MIN(1,(Skills!Y22*(1+Inputs!$B$34/100))/(1/Q2897)))))+((C2878=TRUE)*F2878*3)+((C2880=TRUE)*F2880*(1-EXP(-0.75*B2913*5)))+((C2899=TRUE)*(F2899-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2886=TRUE)*F2886*IF(AND(Inputs!$B$39&lt;&gt;"pvp",Inputs!$B$44&gt;0),(((R2886-1)*MIN((Skills!Y11*(1+Inputs!$B$34/100)),(1/Q2886))+MIN((Skills!Y11*(1+Inputs!$B$34/100)),MAX(0,Inputs!$B$44-((R2886-1)*(1/Q2886)))))/Inputs!$B$44),IF(Inputs!$B$39="pvp",MIN((Skills!Y11*(1+Inputs!$B$34/100)),15)/15,MIN(1,(Skills!Y11*(1+Inputs!$B$34/100))/(1/Q2886)))))/100)*(1+((C2891=TRUE)*F2891*IF(AND(Inputs!$B$39&lt;&gt;"pvp",Inputs!$B$44&gt;0),(((R2891-1)*MIN((Skills!Y16*(1+Inputs!$B$34/100)),(1/Q2891))+MIN((Skills!Y16*(1+Inputs!$B$34/100)),MAX(0,Inputs!$B$44-((R2891-1)*(1/Q2891)))))/Inputs!$B$44),IF(Inputs!$B$39="pvp",MIN((Skills!Y16*(1+Inputs!$B$34/100)),15)/15,MIN(1,(Skills!Y16*(1+Inputs!$B$34/100))/(1/Q2891)))))/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2911*I2888)</f>
        <v/>
      </c>
      <c r="L2888">
        <f>K2888*(MIN(Inputs!$B$22+((C2900=TRUE)*(F2900-Calc!F25)),(Inputs!$B$23+((C2905=TRUE)*(F2905-Calc!F30))+IF(ArtifactsInput!$M$15,CHOOSE(ArtifactsInput!$N$15+1,25,30,35,40,45,50)/100*(Inputs!$B$11-Inputs!$B$11),0)))/100+(Inputs!$B$23+((C2905=TRUE)*(F2905-Calc!F30))+IF(ArtifactsInput!$M$15,CHOOSE(ArtifactsInput!$N$15+1,25,30,35,40,45,50)/100*(Inputs!$B$11-Inputs!$B$11),0))/100)/2</f>
        <v/>
      </c>
      <c r="M2888">
        <f>L2888*(1+(Inputs!$B$10+((C2902=TRUE)*(F2902-Calc!F27))+B2916+(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2888">
        <f>L2888*(1-MIN((Inputs!$B$9+((C2901=TRUE)*(F2901-Calc!F26))+B2909+(ArtifactsInput!$M$24-ArtifactsInput!$M$24)*CHOOSE(ArtifactsInput!$N$24+1,10,12,14,16,18,20)+(IF(AND(Inputs!$B$39&lt;&gt;"pvp",Inputs!$B$44=0),1,IF(IF(Inputs!$B$39="pvp",15,Inputs!$B$44)-(B2920)&lt;=0,1,MAX(0,IF(Inputs!$B$39="pvp",15,Inputs!$B$44)-MAX(5,B2920))/(IF(Inputs!$B$39="pvp",15,Inputs!$B$44)-(B2920))))*IF(AND(ArtifactsInput!$M$42,((Inputs!$B$9+((C2901=TRUE)*(F2901-Calc!F26))+B2909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2888*(MIN((Inputs!$B$9+((C2901=TRUE)*(F2901-Calc!F26))+B2909+(ArtifactsInput!$M$24-ArtifactsInput!$M$24)*CHOOSE(ArtifactsInput!$N$24+1,10,12,14,16,18,20)+(IF(AND(Inputs!$B$39&lt;&gt;"pvp",Inputs!$B$44=0),1,IF(IF(Inputs!$B$39="pvp",15,Inputs!$B$44)-(B2920)&lt;=0,1,MAX(0,IF(Inputs!$B$39="pvp",15,Inputs!$B$44)-MAX(5,B2920))/(IF(Inputs!$B$39="pvp",15,Inputs!$B$44)-(B2920))))*IF(AND(ArtifactsInput!$M$42,((Inputs!$B$9+((C2901=TRUE)*(F2901-Calc!F26))+B2909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888">
        <f>(1-Summary!$B$11)*T2888+Summary!$B$11*V2888</f>
        <v/>
      </c>
      <c r="P2888">
        <f>IF(B2921=0,0,O2888/B2921)</f>
        <v/>
      </c>
      <c r="Q2888">
        <f>IFERROR(1/IF(Inputs!$B$39="pvp",15,MAX(0.1,Skills!D13-IF(TRUE=TRUE,Inputs!$B$32,0))),0)</f>
        <v/>
      </c>
      <c r="R2888">
        <f>IF(AND(Inputs!$B$39&lt;&gt;"pvp",Inputs!$B$44&gt;0),IF(MAX(0,Inputs!$B$44-B2920)&lt;=0,0,(INT(MAX(0,Inputs!$B$44-B2920)/IF(Inputs!$B$39="pvp",15,MAX(0.1,Skills!D13-IF(TRUE=TRUE,Inputs!$B$32,0))))+1)),0)</f>
        <v/>
      </c>
      <c r="S2888">
        <f>IFERROR(O2888/N2888,0)</f>
        <v/>
      </c>
      <c r="T2888">
        <f>IF(C2888,(H2888*N2888*IF(AND(Inputs!$B$39&lt;&gt;"pvp",Inputs!$B$44&gt;0),((Skills!G13*((R2888-1)*IF(Skills!H13&gt;0,Skills!I13/Skills!H13,1)+IF(Skills!H13&gt;0,MIN(Skills!I13,MAX(0,MAX(0,Inputs!$B$44-B2920)-((R2888-1)*IF(Inputs!$B$39="pvp",15,MAX(0.1,Skills!D13-IF(TRUE=TRUE,Inputs!$B$32,0))))))/Skills!H13,1)))/Inputs!$B$44),G2888*Q2888))*IF(Inputs!$B$39="pvp",1,1+(Inputs!$B$20+0+Skills!P13+B2910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IF(ArtifactsInput!$M$35,FALSE,TRUE),Inputs!$B$4&lt;&gt;"Chapter Hunt"),CHOOSE(ArtifactsInput!$N$35+1,15,18,21,24,27,30)*(1-EXP(-(0.2*B2913)*5)),0)+IF(AND(ArtifactsInput!$M$22,Inputs!$B$4&lt;&gt;"Chapter Hunt"),CHOOSE(ArtifactsInput!$N$22+1,10,12,14,16,18,20)*((0*(((0.15*B2913*5))^0/1)+1*(((0.15*B2913*5))^1/1)+2*(((0.15*B2913*5))^2/2)+3*(((0.15*B2913*5))^3/6)+4*(((0.15*B2913*5))^4/24)+5*(((0.15*B2913*5))^5/120))/((((0.15*B2913*5))^0/1)+(((0.15*B2913*5))^1/1)+(((0.15*B2913*5))^2/2)+(((0.15*B2913*5))^3/6)+(((0.15*B2913*5))^4/24)+(((0.15*B2913*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2888*(1-MIN(100,(Inputs!$B$9+((C2901=TRUE)*(F2901-Calc!F26))+B2909+(ArtifactsInput!$M$24-ArtifactsInput!$M$24)*CHOOSE(ArtifactsInput!$N$24+1,10,12,14,16,18,20)+(IF(AND(Inputs!$B$39&lt;&gt;"pvp",Inputs!$B$44=0),1,IF(IF(Inputs!$B$39="pvp",15,Inputs!$B$44)-(B2920)&lt;=0,1,MAX(0,IF(Inputs!$B$39="pvp",15,Inputs!$B$44)-MAX(5,B2920))/(IF(Inputs!$B$39="pvp",15,Inputs!$B$44)-(B2920))))*IF(AND(ArtifactsInput!$M$42,((Inputs!$B$9+((C2901=TRUE)*(F2901-Calc!F26))+B2909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2888*(MIN(100,(Inputs!$B$9+((C2901=TRUE)*(F2901-Calc!F26))+B2909+(ArtifactsInput!$M$24-ArtifactsInput!$M$24)*CHOOSE(ArtifactsInput!$N$24+1,10,12,14,16,18,20)+(IF(AND(Inputs!$B$39&lt;&gt;"pvp",Inputs!$B$44=0),1,IF(IF(Inputs!$B$39="pvp",15,Inputs!$B$44)-(B2920)&lt;=0,1,MAX(0,IF(Inputs!$B$39="pvp",15,Inputs!$B$44)-MAX(5,B2920))/(IF(Inputs!$B$39="pvp",15,Inputs!$B$44)-(B2920))))*IF(AND(ArtifactsInput!$M$42,((Inputs!$B$9+((C2901=TRUE)*(F2901-Calc!F26))+B2909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2888*(1-MIN(100,(Inputs!$B$9+((C2901=TRUE)*(F2901-Calc!F26))+B2909+(ArtifactsInput!$M$24-ArtifactsInput!$M$24)*CHOOSE(ArtifactsInput!$N$24+1,10,12,14,16,18,20)+(IF(AND(Inputs!$B$39&lt;&gt;"pvp",Inputs!$B$44=0),1,IF(IF(Inputs!$B$39="pvp",15,Inputs!$B$44)-(B2920)&lt;=0,1,MAX(0,IF(Inputs!$B$39="pvp",15,Inputs!$B$44)-MAX(5,B2920))/(IF(Inputs!$B$39="pvp",15,Inputs!$B$44)-(B2920))))*IF(AND(ArtifactsInput!$M$42,((Inputs!$B$9+((C2901=TRUE)*(F2901-Calc!F26))+B2909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2888*(MIN(100,(Inputs!$B$9+((C2901=TRUE)*(F2901-Calc!F26))+B2909+(ArtifactsInput!$M$24-ArtifactsInput!$M$24)*CHOOSE(ArtifactsInput!$N$24+1,10,12,14,16,18,20)+(IF(AND(Inputs!$B$39&lt;&gt;"pvp",Inputs!$B$44=0),1,IF(IF(Inputs!$B$39="pvp",15,Inputs!$B$44)-(B2920)&lt;=0,1,MAX(0,IF(Inputs!$B$39="pvp",15,Inputs!$B$44)-MAX(5,B2920))/(IF(Inputs!$B$39="pvp",15,Inputs!$B$44)-(B2920))))*IF(AND(ArtifactsInput!$M$42,((Inputs!$B$9+((C2901=TRUE)*(F2901-Calc!F26))+B2909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888">
        <f>IF(C2888,(H2888*N2888*IF(AND(Inputs!$B$39&lt;&gt;"pvp",Inputs!$B$44&gt;0),((Skills!G13*((R2888-1)*IF(Skills!H13&gt;0,Skills!I13/Skills!H13,1)+IF(Skills!H13&gt;0,MIN(Skills!I13,MAX(0,MAX(0,Inputs!$B$44-B2920)-((R2888-1)*IF(Inputs!$B$39="pvp",15,MAX(0.1,Skills!D13-IF(TRUE=TRUE,Inputs!$B$32,0))))))/Skills!H13,1)))/Inputs!$B$44),G2888*Q2888))*IF(Inputs!$B$39="pvp",1,(1+(Inputs!$B$21+Skills!Q13+B2910+(IF(ArtifactsInput!$M$33,CHOOSE(ArtifactsInput!$N$33+1,30,36,42,48,54,60),0))+(IF(AND(IF(ArtifactsInput!$M$35,FALSE,TRUE),Inputs!$B$4&lt;&gt;"Chapter Hunt"),CHOOSE(ArtifactsInput!$N$35+1,15,18,21,24,27,30)*(1-EXP(-(0.2*B2913)*5)),0)+IF(AND(ArtifactsInput!$M$22,Inputs!$B$4&lt;&gt;"Chapter Hunt"),CHOOSE(ArtifactsInput!$N$22+1,10,12,14,16,18,20)*((0*(((0.15*B2913*5))^0/1)+1*(((0.15*B2913*5))^1/1)+2*(((0.15*B2913*5))^2/2)+3*(((0.15*B2913*5))^3/6)+4*(((0.15*B2913*5))^4/24)+5*(((0.15*B2913*5))^5/120))/((((0.15*B2913*5))^0/1)+(((0.15*B2913*5))^1/1)+(((0.15*B2913*5))^2/2)+(((0.15*B2913*5))^3/6)+(((0.15*B2913*5))^4/24)+(((0.15*B2913*5))^5/120))),0)))/100)*(MIN(Skills!W13,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889">
      <c r="A2889">
        <f>Skills!A14</f>
        <v/>
      </c>
      <c r="B2889">
        <f>Skills!B14</f>
        <v/>
      </c>
      <c r="C2889">
        <f>Inputs!$B$3&gt;=105</f>
        <v/>
      </c>
      <c r="D2889">
        <f>IF(Skills!C14=1,60+Inputs!$B$25+Inputs!$B$29,IF(Skills!C14=2,90+Inputs!$B$26+Inputs!$B$29,IF(Skills!C14=3,120+Inputs!$B$27+Inputs!$B$29,MAX(0,(Inputs!$B$3-100)*3)+Inputs!$B$28+Inputs!$B$29)))</f>
        <v/>
      </c>
      <c r="E2889">
        <f>INDEX(FactorTable!$B$2:$Y$301, MATCH(ROUND(MIN(300,MAX(1,D2889)),0), FactorTable!$A$2:$A$301,0), Skills!M14+1)</f>
        <v/>
      </c>
      <c r="F2889">
        <f>IF(Skills!N14=TRUE,(Skills!L14/10)*(E2889/1000),Skills!L14/10)+Skills!O14</f>
        <v/>
      </c>
      <c r="G2889">
        <f>Skills!G14*IF(Skills!H14&gt;0,IF(Inputs!$B$39="pvp",MIN(Skills!I14,15),Skills!I14)/Skills!H14,1)</f>
        <v/>
      </c>
      <c r="H2889">
        <f>1-(1-Skills!J14/100)^Skills!K14</f>
        <v/>
      </c>
      <c r="I2889" t="inlineStr">
        <is>
          <t>1</t>
        </is>
      </c>
      <c r="J2889">
        <f>((Inputs!$B$6*(1+Inputs!$B$7/100))+(((Inputs!$B$12*(1+Inputs!$B$13/100))-(Inputs!$B$12*(1+Inputs!$B$13/100)))+0.25*(Inputs!$B$14-Inputs!$B$14))*(1+Inputs!$B$7/100))*(F2889/100)</f>
        <v/>
      </c>
      <c r="K2889">
        <f>J2889*(1+((Inputs!$B$12*(1+Inputs!$B$13/100))*0.01+Inputs!$B$14*0.0025)/100)*(1+Inputs!$B$15/100)*(1+Inputs!$B$16/100)*(5000/(6000+Inputs!$B$43*(1-(100*(1-(1-Inputs!$B$19/100)*(1-CHOOSE(ArtifactsInput!$N$40+1,5,6,7,8,9,10)/100)^(ArtifactsInput!$M$40-ArtifactsInput!$M$40)))/100)))*(1+(Inputs!$B$24+((C2906=TRUE)*(F2906-Calc!F31))+((C2893=TRUE)*(F2893-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14="CRUEL_STAB",Inputs!$B$17+((C2903=TRUE)*(F2903-Calc!F28))+((IF(AND(Inputs!$B$39&lt;&gt;"pvp",Inputs!$B$44=0),1,IF(IF(Inputs!$B$39="pvp",15,Inputs!$B$44)-(B2920)&lt;=0,1,MAX(0,IF(Inputs!$B$39="pvp",15,Inputs!$B$44)-MAX(5,B2920))/(IF(Inputs!$B$39="pvp",15,Inputs!$B$44)-(B2920))))*(IF(AND(ArtifactsInput!$M$42,((Inputs!$B$9+((C2901=TRUE)*(F2901-Calc!F26))+B2909+(ArtifactsInput!$M$24-ArtifactsInput!$M$24)*CHOOSE(ArtifactsInput!$N$24+1,10,12,14,16,18,20)+IF(ArtifactsInput!$M$10,CHOOSE(ArtifactsInput!$N$10+1,15,18,21,24,27,30)*(IF(Inputs!$B$39="pvp",MIN(15,15)/15,IF(AND(Inputs!$B$39&lt;&gt;"pvp",Inputs!$B$44&gt;0),MIN(15,Inputs!$B$44)/(Inputs!$B$44),0))),0)))&gt;=100),MIN(100,((Inputs!$B$9+((C2901=TRUE)*(F2901-Calc!F26))+B2909+(ArtifactsInput!$M$24-ArtifactsInput!$M$24)*CHOOSE(ArtifactsInput!$N$24+1,10,12,14,16,18,20)+IF(ArtifactsInput!$M$10,CHOOSE(ArtifactsInput!$N$10+1,15,18,21,24,27,30)*(IF(Inputs!$B$39="pvp",MIN(15,15)/15,IF(AND(Inputs!$B$39&lt;&gt;"pvp",Inputs!$B$44&gt;0),MIN(15,Inputs!$B$44)/(Inputs!$B$44),0))),0)))-100),0))*CHOOSE(ArtifactsInput!$N$42+1,0.6,0.72,0.84,0.96,1.08,1.2))),Inputs!$B$18+((C2904=TRUE)*(F2904-Calc!F29))+(IF(AND(Inputs!$B$39&lt;&gt;"pvp",Inputs!$B$44=0),1,IF(IF(Inputs!$B$39="pvp",15,Inputs!$B$44)-(B2920)&lt;=0,1,MAX(0,IF(Inputs!$B$39="pvp",15,Inputs!$B$44)-MAX(5,B2920))/(IF(Inputs!$B$39="pvp",15,Inputs!$B$44)-(B2920))))*IF(AND(ArtifactsInput!$M$42,((Inputs!$B$9+((C2901=TRUE)*(F2901-Calc!F26))+B2909+(ArtifactsInput!$M$24-ArtifactsInput!$M$24)*CHOOSE(ArtifactsInput!$N$24+1,10,12,14,16,18,20)+IF(ArtifactsInput!$M$10,CHOOSE(ArtifactsInput!$N$10+1,15,18,21,24,27,30)*(IF(Inputs!$B$39="pvp",MIN(15,15)/15,IF(AND(Inputs!$B$39&lt;&gt;"pvp",Inputs!$B$44&gt;0),MIN(15,Inputs!$B$44)/(Inputs!$B$44),0))),0)))&gt;=100),CHOOSE(ArtifactsInput!$N$42+1,40,48,56,64,72,80),0))))/100)*(((1+(((C2897=TRUE)*F2897*IF(AND(Inputs!$B$39&lt;&gt;"pvp",Inputs!$B$44&gt;0),(((R2897-1)*MIN((Skills!Y22*(1+Inputs!$B$34/100)),(1/Q2897))+MIN((Skills!Y22*(1+Inputs!$B$34/100)),MAX(0,Inputs!$B$44-((R2897-1)*(1/Q2897)))))/Inputs!$B$44),IF(Inputs!$B$39="pvp",MIN((Skills!Y22*(1+Inputs!$B$34/100)),15)/15,MIN(1,(Skills!Y22*(1+Inputs!$B$34/100))/(1/Q2897)))))+((C2878=TRUE)*F2878*3)+((C2880=TRUE)*F2880*(1-EXP(-0.75*B2913*5)))+((C2899=TRUE)*(F2899-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2886=TRUE)*F2886*IF(AND(Inputs!$B$39&lt;&gt;"pvp",Inputs!$B$44&gt;0),(((R2886-1)*MIN((Skills!Y11*(1+Inputs!$B$34/100)),(1/Q2886))+MIN((Skills!Y11*(1+Inputs!$B$34/100)),MAX(0,Inputs!$B$44-((R2886-1)*(1/Q2886)))))/Inputs!$B$44),IF(Inputs!$B$39="pvp",MIN((Skills!Y11*(1+Inputs!$B$34/100)),15)/15,MIN(1,(Skills!Y11*(1+Inputs!$B$34/100))/(1/Q2886)))))/100)*(1+((C2891=TRUE)*F2891*IF(AND(Inputs!$B$39&lt;&gt;"pvp",Inputs!$B$44&gt;0),(((R2891-1)*MIN((Skills!Y16*(1+Inputs!$B$34/100)),(1/Q2891))+MIN((Skills!Y16*(1+Inputs!$B$34/100)),MAX(0,Inputs!$B$44-((R2891-1)*(1/Q2891)))))/Inputs!$B$44),IF(Inputs!$B$39="pvp",MIN((Skills!Y16*(1+Inputs!$B$34/100)),15)/15,MIN(1,(Skills!Y16*(1+Inputs!$B$34/100))/(1/Q2891)))))/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2911*I2889)</f>
        <v/>
      </c>
      <c r="L2889">
        <f>K2889*(MIN(Inputs!$B$22+((C2900=TRUE)*(F2900-Calc!F25)),(Inputs!$B$23+((C2905=TRUE)*(F2905-Calc!F30))+IF(ArtifactsInput!$M$15,CHOOSE(ArtifactsInput!$N$15+1,25,30,35,40,45,50)/100*(Inputs!$B$11-Inputs!$B$11),0)))/100+(Inputs!$B$23+((C2905=TRUE)*(F2905-Calc!F30))+IF(ArtifactsInput!$M$15,CHOOSE(ArtifactsInput!$N$15+1,25,30,35,40,45,50)/100*(Inputs!$B$11-Inputs!$B$11),0))/100)/2</f>
        <v/>
      </c>
      <c r="M2889">
        <f>L2889*(1+(Inputs!$B$10+((C2902=TRUE)*(F2902-Calc!F27))+B2916+(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2889">
        <f>L2889*(1-MIN((Inputs!$B$9+((C2901=TRUE)*(F2901-Calc!F26))+B2909+(ArtifactsInput!$M$24-ArtifactsInput!$M$24)*CHOOSE(ArtifactsInput!$N$24+1,10,12,14,16,18,20)+(IF(AND(Inputs!$B$39&lt;&gt;"pvp",Inputs!$B$44=0),1,IF(IF(Inputs!$B$39="pvp",15,Inputs!$B$44)-(B2920)&lt;=0,1,MAX(0,IF(Inputs!$B$39="pvp",15,Inputs!$B$44)-MAX(5,B2920))/(IF(Inputs!$B$39="pvp",15,Inputs!$B$44)-(B2920))))*IF(AND(ArtifactsInput!$M$42,((Inputs!$B$9+((C2901=TRUE)*(F2901-Calc!F26))+B2909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2889*(MIN((Inputs!$B$9+((C2901=TRUE)*(F2901-Calc!F26))+B2909+(ArtifactsInput!$M$24-ArtifactsInput!$M$24)*CHOOSE(ArtifactsInput!$N$24+1,10,12,14,16,18,20)+(IF(AND(Inputs!$B$39&lt;&gt;"pvp",Inputs!$B$44=0),1,IF(IF(Inputs!$B$39="pvp",15,Inputs!$B$44)-(B2920)&lt;=0,1,MAX(0,IF(Inputs!$B$39="pvp",15,Inputs!$B$44)-MAX(5,B2920))/(IF(Inputs!$B$39="pvp",15,Inputs!$B$44)-(B2920))))*IF(AND(ArtifactsInput!$M$42,((Inputs!$B$9+((C2901=TRUE)*(F2901-Calc!F26))+B2909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889">
        <f>(1-Summary!$B$11)*T2889+Summary!$B$11*V2889</f>
        <v/>
      </c>
      <c r="P2889">
        <f>IF(B2921=0,0,O2889/B2921)</f>
        <v/>
      </c>
      <c r="Q2889">
        <f>IFERROR(1/IF(Inputs!$B$39="pvp",15,MAX(0.1,Skills!D14-IF(TRUE=TRUE,Inputs!$B$32,0))),0)</f>
        <v/>
      </c>
      <c r="R2889">
        <f>IF(AND(Inputs!$B$39&lt;&gt;"pvp",Inputs!$B$44&gt;0),IF(MAX(0,Inputs!$B$44-B2920)&lt;=0,0,(INT(MAX(0,Inputs!$B$44-B2920)/IF(Inputs!$B$39="pvp",15,MAX(0.1,Skills!D14-IF(TRUE=TRUE,Inputs!$B$32,0))))+1)),0)</f>
        <v/>
      </c>
      <c r="S2889">
        <f>IFERROR(O2889/N2889,0)</f>
        <v/>
      </c>
      <c r="T2889">
        <f>IF(C2889,(H2889*N2889*IF(AND(Inputs!$B$39&lt;&gt;"pvp",Inputs!$B$44&gt;0),((Skills!G14*((R2889-1)*IF(Skills!H14&gt;0,Skills!I14/Skills!H14,1)+IF(Skills!H14&gt;0,MIN(Skills!I14,MAX(0,MAX(0,Inputs!$B$44-B2920)-((R2889-1)*IF(Inputs!$B$39="pvp",15,MAX(0.1,Skills!D14-IF(TRUE=TRUE,Inputs!$B$32,0))))))/Skills!H14,1)))/Inputs!$B$44),G2889*Q2889))*IF(Inputs!$B$39="pvp",1,1+(Inputs!$B$20+0+Skills!P14+B2910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IF(ArtifactsInput!$M$35,FALSE,TRUE),Inputs!$B$4&lt;&gt;"Chapter Hunt"),CHOOSE(ArtifactsInput!$N$35+1,15,18,21,24,27,30)*(1-EXP(-(0.2*B2913)*5)),0)+IF(AND(ArtifactsInput!$M$22,Inputs!$B$4&lt;&gt;"Chapter Hunt"),CHOOSE(ArtifactsInput!$N$22+1,10,12,14,16,18,20)*((0*(((0.15*B2913*5))^0/1)+1*(((0.15*B2913*5))^1/1)+2*(((0.15*B2913*5))^2/2)+3*(((0.15*B2913*5))^3/6)+4*(((0.15*B2913*5))^4/24)+5*(((0.15*B2913*5))^5/120))/((((0.15*B2913*5))^0/1)+(((0.15*B2913*5))^1/1)+(((0.15*B2913*5))^2/2)+(((0.15*B2913*5))^3/6)+(((0.15*B2913*5))^4/24)+(((0.15*B2913*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2889*(1-MIN(100,(Inputs!$B$9+((C2901=TRUE)*(F2901-Calc!F26))+B2909+(ArtifactsInput!$M$24-ArtifactsInput!$M$24)*CHOOSE(ArtifactsInput!$N$24+1,10,12,14,16,18,20)+(IF(AND(Inputs!$B$39&lt;&gt;"pvp",Inputs!$B$44=0),1,IF(IF(Inputs!$B$39="pvp",15,Inputs!$B$44)-(B2920)&lt;=0,1,MAX(0,IF(Inputs!$B$39="pvp",15,Inputs!$B$44)-MAX(5,B2920))/(IF(Inputs!$B$39="pvp",15,Inputs!$B$44)-(B2920))))*IF(AND(ArtifactsInput!$M$42,((Inputs!$B$9+((C2901=TRUE)*(F2901-Calc!F26))+B2909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2889*(MIN(100,(Inputs!$B$9+((C2901=TRUE)*(F2901-Calc!F26))+B2909+(ArtifactsInput!$M$24-ArtifactsInput!$M$24)*CHOOSE(ArtifactsInput!$N$24+1,10,12,14,16,18,20)+(IF(AND(Inputs!$B$39&lt;&gt;"pvp",Inputs!$B$44=0),1,IF(IF(Inputs!$B$39="pvp",15,Inputs!$B$44)-(B2920)&lt;=0,1,MAX(0,IF(Inputs!$B$39="pvp",15,Inputs!$B$44)-MAX(5,B2920))/(IF(Inputs!$B$39="pvp",15,Inputs!$B$44)-(B2920))))*IF(AND(ArtifactsInput!$M$42,((Inputs!$B$9+((C2901=TRUE)*(F2901-Calc!F26))+B2909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2889*(1-MIN(100,(Inputs!$B$9+((C2901=TRUE)*(F2901-Calc!F26))+B2909+(ArtifactsInput!$M$24-ArtifactsInput!$M$24)*CHOOSE(ArtifactsInput!$N$24+1,10,12,14,16,18,20)+(IF(AND(Inputs!$B$39&lt;&gt;"pvp",Inputs!$B$44=0),1,IF(IF(Inputs!$B$39="pvp",15,Inputs!$B$44)-(B2920)&lt;=0,1,MAX(0,IF(Inputs!$B$39="pvp",15,Inputs!$B$44)-MAX(5,B2920))/(IF(Inputs!$B$39="pvp",15,Inputs!$B$44)-(B2920))))*IF(AND(ArtifactsInput!$M$42,((Inputs!$B$9+((C2901=TRUE)*(F2901-Calc!F26))+B2909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2889*(MIN(100,(Inputs!$B$9+((C2901=TRUE)*(F2901-Calc!F26))+B2909+(ArtifactsInput!$M$24-ArtifactsInput!$M$24)*CHOOSE(ArtifactsInput!$N$24+1,10,12,14,16,18,20)+(IF(AND(Inputs!$B$39&lt;&gt;"pvp",Inputs!$B$44=0),1,IF(IF(Inputs!$B$39="pvp",15,Inputs!$B$44)-(B2920)&lt;=0,1,MAX(0,IF(Inputs!$B$39="pvp",15,Inputs!$B$44)-MAX(5,B2920))/(IF(Inputs!$B$39="pvp",15,Inputs!$B$44)-(B2920))))*IF(AND(ArtifactsInput!$M$42,((Inputs!$B$9+((C2901=TRUE)*(F2901-Calc!F26))+B2909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889">
        <f>IF(C2889,(H2889*N2889*IF(AND(Inputs!$B$39&lt;&gt;"pvp",Inputs!$B$44&gt;0),((Skills!G14*((R2889-1)*IF(Skills!H14&gt;0,Skills!I14/Skills!H14,1)+IF(Skills!H14&gt;0,MIN(Skills!I14,MAX(0,MAX(0,Inputs!$B$44-B2920)-((R2889-1)*IF(Inputs!$B$39="pvp",15,MAX(0.1,Skills!D14-IF(TRUE=TRUE,Inputs!$B$32,0))))))/Skills!H14,1)))/Inputs!$B$44),G2889*Q2889))*IF(Inputs!$B$39="pvp",1,(1+(Inputs!$B$21+Skills!Q14+B2910+(IF(ArtifactsInput!$M$33,CHOOSE(ArtifactsInput!$N$33+1,30,36,42,48,54,60),0))+(IF(AND(IF(ArtifactsInput!$M$35,FALSE,TRUE),Inputs!$B$4&lt;&gt;"Chapter Hunt"),CHOOSE(ArtifactsInput!$N$35+1,15,18,21,24,27,30)*(1-EXP(-(0.2*B2913)*5)),0)+IF(AND(ArtifactsInput!$M$22,Inputs!$B$4&lt;&gt;"Chapter Hunt"),CHOOSE(ArtifactsInput!$N$22+1,10,12,14,16,18,20)*((0*(((0.15*B2913*5))^0/1)+1*(((0.15*B2913*5))^1/1)+2*(((0.15*B2913*5))^2/2)+3*(((0.15*B2913*5))^3/6)+4*(((0.15*B2913*5))^4/24)+5*(((0.15*B2913*5))^5/120))/((((0.15*B2913*5))^0/1)+(((0.15*B2913*5))^1/1)+(((0.15*B2913*5))^2/2)+(((0.15*B2913*5))^3/6)+(((0.15*B2913*5))^4/24)+(((0.15*B2913*5))^5/120))),0)))/100)*(MIN(Skills!W14,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890">
      <c r="A2890">
        <f>Skills!A15</f>
        <v/>
      </c>
      <c r="B2890">
        <f>Skills!B15</f>
        <v/>
      </c>
      <c r="C2890">
        <f>Inputs!$B$3&gt;=107</f>
        <v/>
      </c>
      <c r="D2890">
        <f>IF(Skills!C15=1,60+Inputs!$B$25+Inputs!$B$29,IF(Skills!C15=2,90+Inputs!$B$26+Inputs!$B$29,IF(Skills!C15=3,120+Inputs!$B$27+Inputs!$B$29,MAX(0,(Inputs!$B$3-100)*3)+Inputs!$B$28+Inputs!$B$29)))</f>
        <v/>
      </c>
      <c r="E2890">
        <f>INDEX(FactorTable!$B$2:$Y$301, MATCH(ROUND(MIN(300,MAX(1,D2890)),0), FactorTable!$A$2:$A$301,0), Skills!M15+1)</f>
        <v/>
      </c>
      <c r="F2890">
        <f>IF(Skills!N15=TRUE,(Skills!L15/10)*(E2890/1000),Skills!L15/10)+Skills!O15</f>
        <v/>
      </c>
      <c r="G2890">
        <f>Skills!G15*IF(Skills!H15&gt;0,IF(Inputs!$B$39="pvp",MIN(Skills!I15,15),Skills!I15)/Skills!H15,1)</f>
        <v/>
      </c>
      <c r="H2890">
        <f>1-(1-Skills!J15/100)^Skills!K15</f>
        <v/>
      </c>
      <c r="I2890" t="inlineStr">
        <is>
          <t>1</t>
        </is>
      </c>
      <c r="J2890">
        <f>((Inputs!$B$6*(1+Inputs!$B$7/100))+(((Inputs!$B$12*(1+Inputs!$B$13/100))-(Inputs!$B$12*(1+Inputs!$B$13/100)))+0.25*(Inputs!$B$14-Inputs!$B$14))*(1+Inputs!$B$7/100))*(F2890/100)</f>
        <v/>
      </c>
      <c r="K2890">
        <f>J2890*(1+((Inputs!$B$12*(1+Inputs!$B$13/100))*0.01+Inputs!$B$14*0.0025)/100)*(1+Inputs!$B$15/100)*(1+Inputs!$B$16/100)*(5000/(6000+Inputs!$B$43*(1-(100*(1-(1-Inputs!$B$19/100)*(1-CHOOSE(ArtifactsInput!$N$40+1,5,6,7,8,9,10)/100)^(ArtifactsInput!$M$40-ArtifactsInput!$M$40)))/100)))*(1+(Inputs!$B$24+((C2906=TRUE)*(F2906-Calc!F31))+((C2893=TRUE)*(F2893-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15="CRUEL_STAB",Inputs!$B$17+((C2903=TRUE)*(F2903-Calc!F28))+((IF(AND(Inputs!$B$39&lt;&gt;"pvp",Inputs!$B$44=0),1,IF(IF(Inputs!$B$39="pvp",15,Inputs!$B$44)-(B2920)&lt;=0,1,MAX(0,IF(Inputs!$B$39="pvp",15,Inputs!$B$44)-MAX(5,B2920))/(IF(Inputs!$B$39="pvp",15,Inputs!$B$44)-(B2920))))*(IF(AND(ArtifactsInput!$M$42,((Inputs!$B$9+((C2901=TRUE)*(F2901-Calc!F26))+B2909+(ArtifactsInput!$M$24-ArtifactsInput!$M$24)*CHOOSE(ArtifactsInput!$N$24+1,10,12,14,16,18,20)+IF(ArtifactsInput!$M$10,CHOOSE(ArtifactsInput!$N$10+1,15,18,21,24,27,30)*(IF(Inputs!$B$39="pvp",MIN(15,15)/15,IF(AND(Inputs!$B$39&lt;&gt;"pvp",Inputs!$B$44&gt;0),MIN(15,Inputs!$B$44)/(Inputs!$B$44),0))),0)))&gt;=100),MIN(100,((Inputs!$B$9+((C2901=TRUE)*(F2901-Calc!F26))+B2909+(ArtifactsInput!$M$24-ArtifactsInput!$M$24)*CHOOSE(ArtifactsInput!$N$24+1,10,12,14,16,18,20)+IF(ArtifactsInput!$M$10,CHOOSE(ArtifactsInput!$N$10+1,15,18,21,24,27,30)*(IF(Inputs!$B$39="pvp",MIN(15,15)/15,IF(AND(Inputs!$B$39&lt;&gt;"pvp",Inputs!$B$44&gt;0),MIN(15,Inputs!$B$44)/(Inputs!$B$44),0))),0)))-100),0))*CHOOSE(ArtifactsInput!$N$42+1,0.6,0.72,0.84,0.96,1.08,1.2))),Inputs!$B$18+((C2904=TRUE)*(F2904-Calc!F29))+(IF(AND(Inputs!$B$39&lt;&gt;"pvp",Inputs!$B$44=0),1,IF(IF(Inputs!$B$39="pvp",15,Inputs!$B$44)-(B2920)&lt;=0,1,MAX(0,IF(Inputs!$B$39="pvp",15,Inputs!$B$44)-MAX(5,B2920))/(IF(Inputs!$B$39="pvp",15,Inputs!$B$44)-(B2920))))*IF(AND(ArtifactsInput!$M$42,((Inputs!$B$9+((C2901=TRUE)*(F2901-Calc!F26))+B2909+(ArtifactsInput!$M$24-ArtifactsInput!$M$24)*CHOOSE(ArtifactsInput!$N$24+1,10,12,14,16,18,20)+IF(ArtifactsInput!$M$10,CHOOSE(ArtifactsInput!$N$10+1,15,18,21,24,27,30)*(IF(Inputs!$B$39="pvp",MIN(15,15)/15,IF(AND(Inputs!$B$39&lt;&gt;"pvp",Inputs!$B$44&gt;0),MIN(15,Inputs!$B$44)/(Inputs!$B$44),0))),0)))&gt;=100),CHOOSE(ArtifactsInput!$N$42+1,40,48,56,64,72,80),0))))/100)*(((1+(((C2897=TRUE)*F2897*IF(AND(Inputs!$B$39&lt;&gt;"pvp",Inputs!$B$44&gt;0),(((R2897-1)*MIN((Skills!Y22*(1+Inputs!$B$34/100)),(1/Q2897))+MIN((Skills!Y22*(1+Inputs!$B$34/100)),MAX(0,Inputs!$B$44-((R2897-1)*(1/Q2897)))))/Inputs!$B$44),IF(Inputs!$B$39="pvp",MIN((Skills!Y22*(1+Inputs!$B$34/100)),15)/15,MIN(1,(Skills!Y22*(1+Inputs!$B$34/100))/(1/Q2897)))))+((C2878=TRUE)*F2878*3)+((C2880=TRUE)*F2880*(1-EXP(-0.75*B2913*5)))+((C2899=TRUE)*(F2899-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2886=TRUE)*F2886*IF(AND(Inputs!$B$39&lt;&gt;"pvp",Inputs!$B$44&gt;0),(((R2886-1)*MIN((Skills!Y11*(1+Inputs!$B$34/100)),(1/Q2886))+MIN((Skills!Y11*(1+Inputs!$B$34/100)),MAX(0,Inputs!$B$44-((R2886-1)*(1/Q2886)))))/Inputs!$B$44),IF(Inputs!$B$39="pvp",MIN((Skills!Y11*(1+Inputs!$B$34/100)),15)/15,MIN(1,(Skills!Y11*(1+Inputs!$B$34/100))/(1/Q2886)))))/100)*(1+((C2891=TRUE)*F2891*IF(AND(Inputs!$B$39&lt;&gt;"pvp",Inputs!$B$44&gt;0),(((R2891-1)*MIN((Skills!Y16*(1+Inputs!$B$34/100)),(1/Q2891))+MIN((Skills!Y16*(1+Inputs!$B$34/100)),MAX(0,Inputs!$B$44-((R2891-1)*(1/Q2891)))))/Inputs!$B$44),IF(Inputs!$B$39="pvp",MIN((Skills!Y16*(1+Inputs!$B$34/100)),15)/15,MIN(1,(Skills!Y16*(1+Inputs!$B$34/100))/(1/Q2891)))))/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2911*I2890)</f>
        <v/>
      </c>
      <c r="L2890">
        <f>K2890*(MIN(Inputs!$B$22+((C2900=TRUE)*(F2900-Calc!F25)),(Inputs!$B$23+((C2905=TRUE)*(F2905-Calc!F30))+IF(ArtifactsInput!$M$15,CHOOSE(ArtifactsInput!$N$15+1,25,30,35,40,45,50)/100*(Inputs!$B$11-Inputs!$B$11),0)))/100+(Inputs!$B$23+((C2905=TRUE)*(F2905-Calc!F30))+IF(ArtifactsInput!$M$15,CHOOSE(ArtifactsInput!$N$15+1,25,30,35,40,45,50)/100*(Inputs!$B$11-Inputs!$B$11),0))/100)/2</f>
        <v/>
      </c>
      <c r="M2890">
        <f>L2890*(1+(Inputs!$B$10+((C2902=TRUE)*(F2902-Calc!F27))+B2916+(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2890">
        <f>L2890*(1-MIN((Inputs!$B$9+((C2901=TRUE)*(F2901-Calc!F26))+B2909+(ArtifactsInput!$M$24-ArtifactsInput!$M$24)*CHOOSE(ArtifactsInput!$N$24+1,10,12,14,16,18,20)+(IF(AND(Inputs!$B$39&lt;&gt;"pvp",Inputs!$B$44=0),1,IF(IF(Inputs!$B$39="pvp",15,Inputs!$B$44)-(B2920)&lt;=0,1,MAX(0,IF(Inputs!$B$39="pvp",15,Inputs!$B$44)-MAX(5,B2920))/(IF(Inputs!$B$39="pvp",15,Inputs!$B$44)-(B2920))))*IF(AND(ArtifactsInput!$M$42,((Inputs!$B$9+((C2901=TRUE)*(F2901-Calc!F26))+B2909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2890*(MIN((Inputs!$B$9+((C2901=TRUE)*(F2901-Calc!F26))+B2909+(ArtifactsInput!$M$24-ArtifactsInput!$M$24)*CHOOSE(ArtifactsInput!$N$24+1,10,12,14,16,18,20)+(IF(AND(Inputs!$B$39&lt;&gt;"pvp",Inputs!$B$44=0),1,IF(IF(Inputs!$B$39="pvp",15,Inputs!$B$44)-(B2920)&lt;=0,1,MAX(0,IF(Inputs!$B$39="pvp",15,Inputs!$B$44)-MAX(5,B2920))/(IF(Inputs!$B$39="pvp",15,Inputs!$B$44)-(B2920))))*IF(AND(ArtifactsInput!$M$42,((Inputs!$B$9+((C2901=TRUE)*(F2901-Calc!F26))+B2909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890">
        <f>(1-Summary!$B$11)*T2890+Summary!$B$11*V2890</f>
        <v/>
      </c>
      <c r="P2890">
        <f>IF(B2921=0,0,O2890/B2921)</f>
        <v/>
      </c>
      <c r="Q2890">
        <f>IFERROR(1/IF(Inputs!$B$39="pvp",15,MAX(0.1,Skills!D15-IF(TRUE=TRUE,Inputs!$B$32,0))),0)</f>
        <v/>
      </c>
      <c r="R2890">
        <f>IF(AND(Inputs!$B$39&lt;&gt;"pvp",Inputs!$B$44&gt;0),IF(MAX(0,Inputs!$B$44-B2920)&lt;=0,0,(INT(MAX(0,Inputs!$B$44-B2920)/IF(Inputs!$B$39="pvp",15,MAX(0.1,Skills!D15-IF(TRUE=TRUE,Inputs!$B$32,0))))+1)),0)</f>
        <v/>
      </c>
      <c r="S2890">
        <f>IFERROR(O2890/N2890,0)</f>
        <v/>
      </c>
      <c r="T2890">
        <f>IF(C2890,(H2890*N2890*IF(AND(Inputs!$B$39&lt;&gt;"pvp",Inputs!$B$44&gt;0),((Skills!G15*((R2890-1)*IF(Skills!H15&gt;0,Skills!I15/Skills!H15,1)+IF(Skills!H15&gt;0,MIN(Skills!I15,MAX(0,MAX(0,Inputs!$B$44-B2920)-((R2890-1)*IF(Inputs!$B$39="pvp",15,MAX(0.1,Skills!D15-IF(TRUE=TRUE,Inputs!$B$32,0))))))/Skills!H15,1)))/Inputs!$B$44),G2890*Q2890))*IF(Inputs!$B$39="pvp",1,1+(Inputs!$B$20+0+Skills!P15+B2910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IF(ArtifactsInput!$M$35,FALSE,TRUE),Inputs!$B$4&lt;&gt;"Chapter Hunt"),CHOOSE(ArtifactsInput!$N$35+1,15,18,21,24,27,30)*(1-EXP(-(0.2*B2913)*5)),0)+IF(AND(ArtifactsInput!$M$22,Inputs!$B$4&lt;&gt;"Chapter Hunt"),CHOOSE(ArtifactsInput!$N$22+1,10,12,14,16,18,20)*((0*(((0.15*B2913*5))^0/1)+1*(((0.15*B2913*5))^1/1)+2*(((0.15*B2913*5))^2/2)+3*(((0.15*B2913*5))^3/6)+4*(((0.15*B2913*5))^4/24)+5*(((0.15*B2913*5))^5/120))/((((0.15*B2913*5))^0/1)+(((0.15*B2913*5))^1/1)+(((0.15*B2913*5))^2/2)+(((0.15*B2913*5))^3/6)+(((0.15*B2913*5))^4/24)+(((0.15*B2913*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2890*(1-MIN(100,(Inputs!$B$9+((C2901=TRUE)*(F2901-Calc!F26))+B2909+(ArtifactsInput!$M$24-ArtifactsInput!$M$24)*CHOOSE(ArtifactsInput!$N$24+1,10,12,14,16,18,20)+(IF(AND(Inputs!$B$39&lt;&gt;"pvp",Inputs!$B$44=0),1,IF(IF(Inputs!$B$39="pvp",15,Inputs!$B$44)-(B2920)&lt;=0,1,MAX(0,IF(Inputs!$B$39="pvp",15,Inputs!$B$44)-MAX(5,B2920))/(IF(Inputs!$B$39="pvp",15,Inputs!$B$44)-(B2920))))*IF(AND(ArtifactsInput!$M$42,((Inputs!$B$9+((C2901=TRUE)*(F2901-Calc!F26))+B2909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2890*(MIN(100,(Inputs!$B$9+((C2901=TRUE)*(F2901-Calc!F26))+B2909+(ArtifactsInput!$M$24-ArtifactsInput!$M$24)*CHOOSE(ArtifactsInput!$N$24+1,10,12,14,16,18,20)+(IF(AND(Inputs!$B$39&lt;&gt;"pvp",Inputs!$B$44=0),1,IF(IF(Inputs!$B$39="pvp",15,Inputs!$B$44)-(B2920)&lt;=0,1,MAX(0,IF(Inputs!$B$39="pvp",15,Inputs!$B$44)-MAX(5,B2920))/(IF(Inputs!$B$39="pvp",15,Inputs!$B$44)-(B2920))))*IF(AND(ArtifactsInput!$M$42,((Inputs!$B$9+((C2901=TRUE)*(F2901-Calc!F26))+B2909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2890*(1-MIN(100,(Inputs!$B$9+((C2901=TRUE)*(F2901-Calc!F26))+B2909+(ArtifactsInput!$M$24-ArtifactsInput!$M$24)*CHOOSE(ArtifactsInput!$N$24+1,10,12,14,16,18,20)+(IF(AND(Inputs!$B$39&lt;&gt;"pvp",Inputs!$B$44=0),1,IF(IF(Inputs!$B$39="pvp",15,Inputs!$B$44)-(B2920)&lt;=0,1,MAX(0,IF(Inputs!$B$39="pvp",15,Inputs!$B$44)-MAX(5,B2920))/(IF(Inputs!$B$39="pvp",15,Inputs!$B$44)-(B2920))))*IF(AND(ArtifactsInput!$M$42,((Inputs!$B$9+((C2901=TRUE)*(F2901-Calc!F26))+B2909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2890*(MIN(100,(Inputs!$B$9+((C2901=TRUE)*(F2901-Calc!F26))+B2909+(ArtifactsInput!$M$24-ArtifactsInput!$M$24)*CHOOSE(ArtifactsInput!$N$24+1,10,12,14,16,18,20)+(IF(AND(Inputs!$B$39&lt;&gt;"pvp",Inputs!$B$44=0),1,IF(IF(Inputs!$B$39="pvp",15,Inputs!$B$44)-(B2920)&lt;=0,1,MAX(0,IF(Inputs!$B$39="pvp",15,Inputs!$B$44)-MAX(5,B2920))/(IF(Inputs!$B$39="pvp",15,Inputs!$B$44)-(B2920))))*IF(AND(ArtifactsInput!$M$42,((Inputs!$B$9+((C2901=TRUE)*(F2901-Calc!F26))+B2909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890">
        <f>IF(C2890,(H2890*N2890*IF(AND(Inputs!$B$39&lt;&gt;"pvp",Inputs!$B$44&gt;0),((Skills!G15*((R2890-1)*IF(Skills!H15&gt;0,Skills!I15/Skills!H15,1)+IF(Skills!H15&gt;0,MIN(Skills!I15,MAX(0,MAX(0,Inputs!$B$44-B2920)-((R2890-1)*IF(Inputs!$B$39="pvp",15,MAX(0.1,Skills!D15-IF(TRUE=TRUE,Inputs!$B$32,0))))))/Skills!H15,1)))/Inputs!$B$44),G2890*Q2890))*IF(Inputs!$B$39="pvp",1,(1+(Inputs!$B$21+Skills!Q15+B2910+(IF(ArtifactsInput!$M$33,CHOOSE(ArtifactsInput!$N$33+1,30,36,42,48,54,60),0))+(IF(AND(IF(ArtifactsInput!$M$35,FALSE,TRUE),Inputs!$B$4&lt;&gt;"Chapter Hunt"),CHOOSE(ArtifactsInput!$N$35+1,15,18,21,24,27,30)*(1-EXP(-(0.2*B2913)*5)),0)+IF(AND(ArtifactsInput!$M$22,Inputs!$B$4&lt;&gt;"Chapter Hunt"),CHOOSE(ArtifactsInput!$N$22+1,10,12,14,16,18,20)*((0*(((0.15*B2913*5))^0/1)+1*(((0.15*B2913*5))^1/1)+2*(((0.15*B2913*5))^2/2)+3*(((0.15*B2913*5))^3/6)+4*(((0.15*B2913*5))^4/24)+5*(((0.15*B2913*5))^5/120))/((((0.15*B2913*5))^0/1)+(((0.15*B2913*5))^1/1)+(((0.15*B2913*5))^2/2)+(((0.15*B2913*5))^3/6)+(((0.15*B2913*5))^4/24)+(((0.15*B2913*5))^5/120))),0)))/100)*(MIN(MIN(5,0.5*IF(Inputs!$B$3&gt;=75,0.75,0.5)*B2913*(1/Q2879))*Skills!V15,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891">
      <c r="A2891">
        <f>Skills!A16</f>
        <v/>
      </c>
      <c r="B2891">
        <f>Skills!B16</f>
        <v/>
      </c>
      <c r="C2891">
        <f>Inputs!$B$3&gt;=110</f>
        <v/>
      </c>
      <c r="D2891">
        <f>IF(Skills!C16=1,60+Inputs!$B$25+Inputs!$B$29,IF(Skills!C16=2,90+Inputs!$B$26+Inputs!$B$29,IF(Skills!C16=3,120+Inputs!$B$27+Inputs!$B$29,MAX(0,(Inputs!$B$3-100)*3)+Inputs!$B$28+Inputs!$B$29)))</f>
        <v/>
      </c>
      <c r="E2891">
        <f>INDEX(FactorTable!$B$2:$Y$301, MATCH(ROUND(MIN(300,MAX(1,D2891)),0), FactorTable!$A$2:$A$301,0), Skills!M16+1)</f>
        <v/>
      </c>
      <c r="F2891">
        <f>IF(Skills!N16=TRUE,(Skills!L16/10)*(E2891/1000),Skills!L16/10)+Skills!O16</f>
        <v/>
      </c>
      <c r="G2891">
        <f>Skills!G16*IF(Skills!H16&gt;0,IF(Inputs!$B$39="pvp",MIN(Skills!I16,15),Skills!I16)/Skills!H16,1)</f>
        <v/>
      </c>
      <c r="H2891">
        <f>1-(1-Skills!J16/100)^Skills!K16</f>
        <v/>
      </c>
      <c r="I2891" t="inlineStr">
        <is>
          <t>1</t>
        </is>
      </c>
      <c r="J2891" t="inlineStr"/>
      <c r="K2891" t="inlineStr"/>
      <c r="L2891" t="inlineStr"/>
      <c r="M2891" t="inlineStr"/>
      <c r="N2891" t="inlineStr"/>
      <c r="O2891">
        <f>(1-Summary!$B$11)*T2891+Summary!$B$11*V2891</f>
        <v/>
      </c>
      <c r="P2891">
        <f>IF(B2921=0,0,O2891/B2921)</f>
        <v/>
      </c>
      <c r="Q2891">
        <f>IFERROR(1/IF(Inputs!$B$39="pvp",15,MAX(0.1,Skills!D16-IF(TRUE=TRUE,Inputs!$B$32,0))),0)</f>
        <v/>
      </c>
      <c r="R2891">
        <f>IF(AND(Inputs!$B$39&lt;&gt;"pvp",Inputs!$B$44&gt;0),IF(Inputs!$B$44&lt;=0,0,(INT(Inputs!$B$44/IF(Inputs!$B$39="pvp",15,MAX(0.1,Skills!D16-IF(TRUE=TRUE,Inputs!$B$32,0))))+1)),0)</f>
        <v/>
      </c>
      <c r="S2891">
        <f>IFERROR(O2891/N2891,0)</f>
        <v/>
      </c>
      <c r="T2891" t="n">
        <v>0</v>
      </c>
      <c r="V2891" t="n">
        <v>0</v>
      </c>
    </row>
    <row r="2892">
      <c r="A2892">
        <f>Skills!A17</f>
        <v/>
      </c>
      <c r="B2892">
        <f>Skills!B17</f>
        <v/>
      </c>
      <c r="C2892">
        <f>Inputs!$B$3&gt;=115</f>
        <v/>
      </c>
      <c r="D2892">
        <f>IF(Skills!C17=1,60+Inputs!$B$25+Inputs!$B$29,IF(Skills!C17=2,90+Inputs!$B$26+Inputs!$B$29,IF(Skills!C17=3,120+Inputs!$B$27+Inputs!$B$29,MAX(0,(Inputs!$B$3-100)*3)+Inputs!$B$28+Inputs!$B$29)))</f>
        <v/>
      </c>
      <c r="E2892">
        <f>INDEX(FactorTable!$B$2:$Y$301, MATCH(ROUND(MIN(300,MAX(1,D2892)),0), FactorTable!$A$2:$A$301,0), Skills!M17+1)</f>
        <v/>
      </c>
      <c r="F2892">
        <f>IF(Skills!N17=TRUE,(Skills!L17/10)*(E2892/1000),Skills!L17/10)+Skills!O17</f>
        <v/>
      </c>
      <c r="G2892">
        <f>Skills!G17*IF(Skills!H17&gt;0,IF(Inputs!$B$39="pvp",MIN(Skills!I17,15),Skills!I17)/Skills!H17,1)</f>
        <v/>
      </c>
      <c r="H2892">
        <f>1-(1-Skills!J17/100)^Skills!K17</f>
        <v/>
      </c>
      <c r="I2892" t="inlineStr">
        <is>
          <t>1</t>
        </is>
      </c>
      <c r="J2892">
        <f>((Inputs!$B$6*(1+Inputs!$B$7/100))+(((Inputs!$B$12*(1+Inputs!$B$13/100))-(Inputs!$B$12*(1+Inputs!$B$13/100)))+0.25*(Inputs!$B$14-Inputs!$B$14))*(1+Inputs!$B$7/100))*(F2892/100)</f>
        <v/>
      </c>
      <c r="K2892">
        <f>J2892*(1+((Inputs!$B$12*(1+Inputs!$B$13/100))*0.01+Inputs!$B$14*0.0025)/100)*(1+Inputs!$B$15/100)*(1+Inputs!$B$16/100)*(5000/(6000+Inputs!$B$43*(1-(100*(1-(1-Inputs!$B$19/100)*(1-CHOOSE(ArtifactsInput!$N$40+1,5,6,7,8,9,10)/100)^(ArtifactsInput!$M$40-ArtifactsInput!$M$40)))/100)))*(1+(Inputs!$B$24+((C2906=TRUE)*(F2906-Calc!F31))+((C2893=TRUE)*(F2893-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17="CRUEL_STAB",Inputs!$B$17+((C2903=TRUE)*(F2903-Calc!F28))+((IF(AND(Inputs!$B$39&lt;&gt;"pvp",Inputs!$B$44=0),1,IF(IF(Inputs!$B$39="pvp",15,Inputs!$B$44)-(B2920)&lt;=0,1,MAX(0,IF(Inputs!$B$39="pvp",15,Inputs!$B$44)-MAX(5,B2920))/(IF(Inputs!$B$39="pvp",15,Inputs!$B$44)-(B2920))))*(IF(AND(ArtifactsInput!$M$42,((Inputs!$B$9+((C2901=TRUE)*(F2901-Calc!F26))+B2909+(ArtifactsInput!$M$24-ArtifactsInput!$M$24)*CHOOSE(ArtifactsInput!$N$24+1,10,12,14,16,18,20)+IF(ArtifactsInput!$M$10,CHOOSE(ArtifactsInput!$N$10+1,15,18,21,24,27,30)*(IF(Inputs!$B$39="pvp",MIN(15,15)/15,IF(AND(Inputs!$B$39&lt;&gt;"pvp",Inputs!$B$44&gt;0),MIN(15,Inputs!$B$44)/(Inputs!$B$44),0))),0)))&gt;=100),MIN(100,((Inputs!$B$9+((C2901=TRUE)*(F2901-Calc!F26))+B2909+(ArtifactsInput!$M$24-ArtifactsInput!$M$24)*CHOOSE(ArtifactsInput!$N$24+1,10,12,14,16,18,20)+IF(ArtifactsInput!$M$10,CHOOSE(ArtifactsInput!$N$10+1,15,18,21,24,27,30)*(IF(Inputs!$B$39="pvp",MIN(15,15)/15,IF(AND(Inputs!$B$39&lt;&gt;"pvp",Inputs!$B$44&gt;0),MIN(15,Inputs!$B$44)/(Inputs!$B$44),0))),0)))-100),0))*CHOOSE(ArtifactsInput!$N$42+1,0.6,0.72,0.84,0.96,1.08,1.2))),Inputs!$B$18+((C2904=TRUE)*(F2904-Calc!F29))+(IF(AND(Inputs!$B$39&lt;&gt;"pvp",Inputs!$B$44=0),1,IF(IF(Inputs!$B$39="pvp",15,Inputs!$B$44)-(B2920)&lt;=0,1,MAX(0,IF(Inputs!$B$39="pvp",15,Inputs!$B$44)-MAX(5,B2920))/(IF(Inputs!$B$39="pvp",15,Inputs!$B$44)-(B2920))))*IF(AND(ArtifactsInput!$M$42,((Inputs!$B$9+((C2901=TRUE)*(F2901-Calc!F26))+B2909+(ArtifactsInput!$M$24-ArtifactsInput!$M$24)*CHOOSE(ArtifactsInput!$N$24+1,10,12,14,16,18,20)+IF(ArtifactsInput!$M$10,CHOOSE(ArtifactsInput!$N$10+1,15,18,21,24,27,30)*(IF(Inputs!$B$39="pvp",MIN(15,15)/15,IF(AND(Inputs!$B$39&lt;&gt;"pvp",Inputs!$B$44&gt;0),MIN(15,Inputs!$B$44)/(Inputs!$B$44),0))),0)))&gt;=100),CHOOSE(ArtifactsInput!$N$42+1,40,48,56,64,72,80),0))))/100)*(((1+(((C2897=TRUE)*F2897*IF(AND(Inputs!$B$39&lt;&gt;"pvp",Inputs!$B$44&gt;0),(((R2897-1)*MIN((Skills!Y22*(1+Inputs!$B$34/100)),(1/Q2897))+MIN((Skills!Y22*(1+Inputs!$B$34/100)),MAX(0,Inputs!$B$44-((R2897-1)*(1/Q2897)))))/Inputs!$B$44),IF(Inputs!$B$39="pvp",MIN((Skills!Y22*(1+Inputs!$B$34/100)),15)/15,MIN(1,(Skills!Y22*(1+Inputs!$B$34/100))/(1/Q2897)))))+((C2878=TRUE)*F2878*3)+((C2880=TRUE)*F2880*(1-EXP(-0.75*B2913*5)))+((C2899=TRUE)*(F2899-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2886=TRUE)*F2886*IF(AND(Inputs!$B$39&lt;&gt;"pvp",Inputs!$B$44&gt;0),(((R2886-1)*MIN((Skills!Y11*(1+Inputs!$B$34/100)),(1/Q2886))+MIN((Skills!Y11*(1+Inputs!$B$34/100)),MAX(0,Inputs!$B$44-((R2886-1)*(1/Q2886)))))/Inputs!$B$44),IF(Inputs!$B$39="pvp",MIN((Skills!Y11*(1+Inputs!$B$34/100)),15)/15,MIN(1,(Skills!Y11*(1+Inputs!$B$34/100))/(1/Q2886)))))/100)*(1+((C2891=TRUE)*F2891*IF(AND(Inputs!$B$39&lt;&gt;"pvp",Inputs!$B$44&gt;0),(((R2891-1)*MIN((Skills!Y16*(1+Inputs!$B$34/100)),(1/Q2891))+MIN((Skills!Y16*(1+Inputs!$B$34/100)),MAX(0,Inputs!$B$44-((R2891-1)*(1/Q2891)))))/Inputs!$B$44),IF(Inputs!$B$39="pvp",MIN((Skills!Y16*(1+Inputs!$B$34/100)),15)/15,MIN(1,(Skills!Y16*(1+Inputs!$B$34/100))/(1/Q2891)))))/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2911*I2892)</f>
        <v/>
      </c>
      <c r="L2892">
        <f>K2892*(MIN(Inputs!$B$22+((C2900=TRUE)*(F2900-Calc!F25)),(Inputs!$B$23+((C2905=TRUE)*(F2905-Calc!F30))+IF(ArtifactsInput!$M$15,CHOOSE(ArtifactsInput!$N$15+1,25,30,35,40,45,50)/100*(Inputs!$B$11-Inputs!$B$11),0)))/100+(Inputs!$B$23+((C2905=TRUE)*(F2905-Calc!F30))+IF(ArtifactsInput!$M$15,CHOOSE(ArtifactsInput!$N$15+1,25,30,35,40,45,50)/100*(Inputs!$B$11-Inputs!$B$11),0))/100)/2</f>
        <v/>
      </c>
      <c r="M2892">
        <f>L2892*(1+(Inputs!$B$10+((C2902=TRUE)*(F2902-Calc!F27))+B2916+(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2892">
        <f>L2892*(1-MIN((Inputs!$B$9+((C2901=TRUE)*(F2901-Calc!F26))+B2909+(ArtifactsInput!$M$24-ArtifactsInput!$M$24)*CHOOSE(ArtifactsInput!$N$24+1,10,12,14,16,18,20)+(IF(AND(Inputs!$B$39&lt;&gt;"pvp",Inputs!$B$44=0),1,IF(IF(Inputs!$B$39="pvp",15,Inputs!$B$44)-(B2920)&lt;=0,1,MAX(0,IF(Inputs!$B$39="pvp",15,Inputs!$B$44)-MAX(5,B2920))/(IF(Inputs!$B$39="pvp",15,Inputs!$B$44)-(B2920))))*IF(AND(ArtifactsInput!$M$42,((Inputs!$B$9+((C2901=TRUE)*(F2901-Calc!F26))+B2909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2892*(MIN((Inputs!$B$9+((C2901=TRUE)*(F2901-Calc!F26))+B2909+(ArtifactsInput!$M$24-ArtifactsInput!$M$24)*CHOOSE(ArtifactsInput!$N$24+1,10,12,14,16,18,20)+(IF(AND(Inputs!$B$39&lt;&gt;"pvp",Inputs!$B$44=0),1,IF(IF(Inputs!$B$39="pvp",15,Inputs!$B$44)-(B2920)&lt;=0,1,MAX(0,IF(Inputs!$B$39="pvp",15,Inputs!$B$44)-MAX(5,B2920))/(IF(Inputs!$B$39="pvp",15,Inputs!$B$44)-(B2920))))*IF(AND(ArtifactsInput!$M$42,((Inputs!$B$9+((C2901=TRUE)*(F2901-Calc!F26))+B2909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892">
        <f>(1-Summary!$B$11)*T2892+Summary!$B$11*V2892</f>
        <v/>
      </c>
      <c r="P2892">
        <f>IF(B2921=0,0,O2892/B2921)</f>
        <v/>
      </c>
      <c r="Q2892" t="n">
        <v>0</v>
      </c>
      <c r="R2892" t="n">
        <v>0</v>
      </c>
      <c r="S2892">
        <f>IFERROR(O2892/N2892,0)</f>
        <v/>
      </c>
      <c r="T2892">
        <f>IF(C2892,(Inputs!$B$38*0.2*N2892)*IF(Inputs!$B$39="pvp",1,1+(Inputs!$B$20+0+Skills!P17+B2910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IF(ArtifactsInput!$M$35,FALSE,TRUE),Inputs!$B$4&lt;&gt;"Chapter Hunt"),CHOOSE(ArtifactsInput!$N$35+1,15,18,21,24,27,30)*(1-EXP(-(0.2*B2913)*5)),0)+IF(AND(ArtifactsInput!$M$22,Inputs!$B$4&lt;&gt;"Chapter Hunt"),CHOOSE(ArtifactsInput!$N$22+1,10,12,14,16,18,20)*((0*(((0.15*B2913*5))^0/1)+1*(((0.15*B2913*5))^1/1)+2*(((0.15*B2913*5))^2/2)+3*(((0.15*B2913*5))^3/6)+4*(((0.15*B2913*5))^4/24)+5*(((0.15*B2913*5))^5/120))/((((0.15*B2913*5))^0/1)+(((0.15*B2913*5))^1/1)+(((0.15*B2913*5))^2/2)+(((0.15*B2913*5))^3/6)+(((0.15*B2913*5))^4/24)+(((0.15*B2913*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2892*(1-MIN(100,(Inputs!$B$9+((C2901=TRUE)*(F2901-Calc!F26))+B2909+(ArtifactsInput!$M$24-ArtifactsInput!$M$24)*CHOOSE(ArtifactsInput!$N$24+1,10,12,14,16,18,20)+(IF(AND(Inputs!$B$39&lt;&gt;"pvp",Inputs!$B$44=0),1,IF(IF(Inputs!$B$39="pvp",15,Inputs!$B$44)-(B2920)&lt;=0,1,MAX(0,IF(Inputs!$B$39="pvp",15,Inputs!$B$44)-MAX(5,B2920))/(IF(Inputs!$B$39="pvp",15,Inputs!$B$44)-(B2920))))*IF(AND(ArtifactsInput!$M$42,((Inputs!$B$9+((C2901=TRUE)*(F2901-Calc!F26))+B2909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2892*(MIN(100,(Inputs!$B$9+((C2901=TRUE)*(F2901-Calc!F26))+B2909+(ArtifactsInput!$M$24-ArtifactsInput!$M$24)*CHOOSE(ArtifactsInput!$N$24+1,10,12,14,16,18,20)+(IF(AND(Inputs!$B$39&lt;&gt;"pvp",Inputs!$B$44=0),1,IF(IF(Inputs!$B$39="pvp",15,Inputs!$B$44)-(B2920)&lt;=0,1,MAX(0,IF(Inputs!$B$39="pvp",15,Inputs!$B$44)-MAX(5,B2920))/(IF(Inputs!$B$39="pvp",15,Inputs!$B$44)-(B2920))))*IF(AND(ArtifactsInput!$M$42,((Inputs!$B$9+((C2901=TRUE)*(F2901-Calc!F26))+B2909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2892*(1-MIN(100,(Inputs!$B$9+((C2901=TRUE)*(F2901-Calc!F26))+B2909+(ArtifactsInput!$M$24-ArtifactsInput!$M$24)*CHOOSE(ArtifactsInput!$N$24+1,10,12,14,16,18,20)+(IF(AND(Inputs!$B$39&lt;&gt;"pvp",Inputs!$B$44=0),1,IF(IF(Inputs!$B$39="pvp",15,Inputs!$B$44)-(B2920)&lt;=0,1,MAX(0,IF(Inputs!$B$39="pvp",15,Inputs!$B$44)-MAX(5,B2920))/(IF(Inputs!$B$39="pvp",15,Inputs!$B$44)-(B2920))))*IF(AND(ArtifactsInput!$M$42,((Inputs!$B$9+((C2901=TRUE)*(F2901-Calc!F26))+B2909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2892*(MIN(100,(Inputs!$B$9+((C2901=TRUE)*(F2901-Calc!F26))+B2909+(ArtifactsInput!$M$24-ArtifactsInput!$M$24)*CHOOSE(ArtifactsInput!$N$24+1,10,12,14,16,18,20)+(IF(AND(Inputs!$B$39&lt;&gt;"pvp",Inputs!$B$44=0),1,IF(IF(Inputs!$B$39="pvp",15,Inputs!$B$44)-(B2920)&lt;=0,1,MAX(0,IF(Inputs!$B$39="pvp",15,Inputs!$B$44)-MAX(5,B2920))/(IF(Inputs!$B$39="pvp",15,Inputs!$B$44)-(B2920))))*IF(AND(ArtifactsInput!$M$42,((Inputs!$B$9+((C2901=TRUE)*(F2901-Calc!F26))+B2909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892">
        <f>IF(C2892,(Inputs!$B$38*0.2*N2892)*IF(Inputs!$B$39="pvp",1,(1+(Inputs!$B$21+Skills!Q17+B2910+(IF(ArtifactsInput!$M$33,CHOOSE(ArtifactsInput!$N$33+1,30,36,42,48,54,60),0))+(IF(AND(IF(ArtifactsInput!$M$35,FALSE,TRUE),Inputs!$B$4&lt;&gt;"Chapter Hunt"),CHOOSE(ArtifactsInput!$N$35+1,15,18,21,24,27,30)*(1-EXP(-(0.2*B2913)*5)),0)+IF(AND(ArtifactsInput!$M$22,Inputs!$B$4&lt;&gt;"Chapter Hunt"),CHOOSE(ArtifactsInput!$N$22+1,10,12,14,16,18,20)*((0*(((0.15*B2913*5))^0/1)+1*(((0.15*B2913*5))^1/1)+2*(((0.15*B2913*5))^2/2)+3*(((0.15*B2913*5))^3/6)+4*(((0.15*B2913*5))^4/24)+5*(((0.15*B2913*5))^5/120))/((((0.15*B2913*5))^0/1)+(((0.15*B2913*5))^1/1)+(((0.15*B2913*5))^2/2)+(((0.15*B2913*5))^3/6)+(((0.15*B2913*5))^4/24)+(((0.15*B2913*5))^5/120))),0)))/100)*(MIN(Skills!W17,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893">
      <c r="A2893">
        <f>Skills!A18</f>
        <v/>
      </c>
      <c r="B2893">
        <f>Skills!B18</f>
        <v/>
      </c>
      <c r="C2893">
        <f>Inputs!$B$3&gt;=115</f>
        <v/>
      </c>
      <c r="D2893">
        <f>IF(Skills!C18=1,60+Inputs!$B$25+Inputs!$B$29,IF(Skills!C18=2,90+Inputs!$B$26+Inputs!$B$29,IF(Skills!C18=3,120+Inputs!$B$27+Inputs!$B$29,MAX(0,(Inputs!$B$3-100)*3)+Inputs!$B$28+Inputs!$B$29)))</f>
        <v/>
      </c>
      <c r="E2893">
        <f>INDEX(FactorTable!$B$2:$Y$301, MATCH(ROUND(MIN(300,MAX(1,D2893)),0), FactorTable!$A$2:$A$301,0), Skills!M18+1)</f>
        <v/>
      </c>
      <c r="F2893">
        <f>IF(Skills!N18=TRUE,(Skills!L18/10)*(E2893/1000),Skills!L18/10)+Skills!O18</f>
        <v/>
      </c>
      <c r="G2893">
        <f>Skills!G18*IF(Skills!H18&gt;0,IF(Inputs!$B$39="pvp",MIN(Skills!I18,15),Skills!I18)/Skills!H18,1)</f>
        <v/>
      </c>
      <c r="H2893">
        <f>1-(1-Skills!J18/100)^Skills!K18</f>
        <v/>
      </c>
      <c r="I2893" t="inlineStr">
        <is>
          <t>1</t>
        </is>
      </c>
      <c r="J2893" t="inlineStr"/>
      <c r="K2893" t="inlineStr"/>
      <c r="L2893" t="inlineStr"/>
      <c r="M2893" t="inlineStr"/>
      <c r="N2893" t="inlineStr"/>
      <c r="O2893">
        <f>(1-Summary!$B$11)*T2893+Summary!$B$11*V2893</f>
        <v/>
      </c>
      <c r="P2893">
        <f>IF(B2921=0,0,O2893/B2921)</f>
        <v/>
      </c>
      <c r="Q2893" t="n">
        <v>0</v>
      </c>
      <c r="R2893" t="n">
        <v>0</v>
      </c>
      <c r="S2893">
        <f>IFERROR(O2893/N2893,0)</f>
        <v/>
      </c>
      <c r="T2893" t="n">
        <v>0</v>
      </c>
      <c r="V2893" t="n">
        <v>0</v>
      </c>
    </row>
    <row r="2894">
      <c r="A2894">
        <f>Skills!A19</f>
        <v/>
      </c>
      <c r="B2894">
        <f>Skills!B19</f>
        <v/>
      </c>
      <c r="C2894">
        <f>Inputs!$B$3&gt;=100</f>
        <v/>
      </c>
      <c r="D2894">
        <f>IF(Skills!C19=1,60+Inputs!$B$25+Inputs!$B$29,IF(Skills!C19=2,90+Inputs!$B$26+Inputs!$B$29,IF(Skills!C19=3,120+Inputs!$B$27+Inputs!$B$29,MAX(0,(Inputs!$B$3-100)*3)+Inputs!$B$28+Inputs!$B$29)))</f>
        <v/>
      </c>
      <c r="E2894">
        <f>INDEX(FactorTable!$B$2:$Y$301, MATCH(ROUND(MIN(300,MAX(1,D2894)),0), FactorTable!$A$2:$A$301,0), Skills!M19+1)</f>
        <v/>
      </c>
      <c r="F2894">
        <f>IF(Skills!N19=TRUE,(Skills!L19/10)*(E2894/1000),Skills!L19/10)+Skills!O19</f>
        <v/>
      </c>
      <c r="G2894">
        <f>Skills!G19*IF(Skills!H19&gt;0,IF(Inputs!$B$39="pvp",MIN(Skills!I19,15),Skills!I19)/Skills!H19,1)</f>
        <v/>
      </c>
      <c r="H2894">
        <f>1-(1-Skills!J19/100)^Skills!K19</f>
        <v/>
      </c>
      <c r="I2894" t="inlineStr">
        <is>
          <t>1</t>
        </is>
      </c>
      <c r="J2894" t="inlineStr"/>
      <c r="K2894" t="inlineStr"/>
      <c r="L2894" t="inlineStr"/>
      <c r="M2894" t="inlineStr"/>
      <c r="N2894" t="inlineStr"/>
      <c r="O2894">
        <f>(1-Summary!$B$11)*T2894+Summary!$B$11*V2894</f>
        <v/>
      </c>
      <c r="P2894">
        <f>IF(B2921=0,0,O2894/B2921)</f>
        <v/>
      </c>
      <c r="Q2894" t="n">
        <v>0</v>
      </c>
      <c r="R2894" t="n">
        <v>0</v>
      </c>
      <c r="S2894">
        <f>IFERROR(O2894/N2894,0)</f>
        <v/>
      </c>
      <c r="T2894" t="n">
        <v>0</v>
      </c>
      <c r="V2894" t="n">
        <v>0</v>
      </c>
    </row>
    <row r="2895">
      <c r="A2895">
        <f>Skills!A20</f>
        <v/>
      </c>
      <c r="B2895">
        <f>Skills!B20</f>
        <v/>
      </c>
      <c r="C2895">
        <f>TRUE</f>
        <v/>
      </c>
      <c r="D2895">
        <f>IF(Skills!C20=1,60+Inputs!$B$25+Inputs!$B$29,IF(Skills!C20=2,90+Inputs!$B$26+Inputs!$B$29,IF(Skills!C20=3,120+Inputs!$B$27+Inputs!$B$29,MAX(0,(Inputs!$B$3-100)*3)+Inputs!$B$28+Inputs!$B$29)))</f>
        <v/>
      </c>
      <c r="E2895">
        <f>INDEX(FactorTable!$B$2:$Y$301, MATCH(ROUND(MIN(300,MAX(1,D2895)),0), FactorTable!$A$2:$A$301,0), Skills!M20+1)</f>
        <v/>
      </c>
      <c r="F2895">
        <f>IF(Skills!N20=TRUE,(Skills!L20/10)*(E2895/1000),Skills!L20/10)+Skills!O20</f>
        <v/>
      </c>
      <c r="G2895">
        <f>Skills!G20*IF(Skills!H20&gt;0,IF(Inputs!$B$39="pvp",MIN(Skills!I20,15),Skills!I20)/Skills!H20,1)</f>
        <v/>
      </c>
      <c r="H2895">
        <f>1-(1-Skills!J20/100)^Skills!K20</f>
        <v/>
      </c>
      <c r="I2895" t="inlineStr">
        <is>
          <t>1</t>
        </is>
      </c>
      <c r="J2895" t="inlineStr"/>
      <c r="K2895" t="inlineStr"/>
      <c r="L2895" t="inlineStr"/>
      <c r="M2895" t="inlineStr"/>
      <c r="N2895" t="inlineStr"/>
      <c r="O2895">
        <f>(1-Summary!$B$11)*T2895+Summary!$B$11*V2895</f>
        <v/>
      </c>
      <c r="P2895">
        <f>IF(B2921=0,0,O2895/B2921)</f>
        <v/>
      </c>
      <c r="Q2895">
        <f>IFERROR(1/IF(Inputs!$B$39="pvp",15,MAX(0.1,Skills!D20-IF(TRUE=TRUE,Inputs!$B$32,0))),0)</f>
        <v/>
      </c>
      <c r="R2895">
        <f>IF(AND(Inputs!$B$39&lt;&gt;"pvp",Inputs!$B$44&gt;0),IF(Inputs!$B$44&lt;=0,0,(INT(Inputs!$B$44/IF(Inputs!$B$39="pvp",15,MAX(0.1,Skills!D20-IF(TRUE=TRUE,Inputs!$B$32,0))))+1)),0)</f>
        <v/>
      </c>
      <c r="S2895">
        <f>IFERROR(O2895/N2895,0)</f>
        <v/>
      </c>
      <c r="T2895" t="n">
        <v>0</v>
      </c>
      <c r="V2895" t="n">
        <v>0</v>
      </c>
    </row>
    <row r="2896">
      <c r="A2896">
        <f>Skills!A21</f>
        <v/>
      </c>
      <c r="B2896">
        <f>Skills!B21</f>
        <v/>
      </c>
      <c r="C2896">
        <f>Inputs!$B$3&gt;=15</f>
        <v/>
      </c>
      <c r="D2896">
        <f>IF(Skills!C21=1,60+Inputs!$B$25+Inputs!$B$29,IF(Skills!C21=2,90+Inputs!$B$26+Inputs!$B$29,IF(Skills!C21=3,120+Inputs!$B$27+Inputs!$B$29,MAX(0,(Inputs!$B$3-100)*3)+Inputs!$B$28+Inputs!$B$29)))</f>
        <v/>
      </c>
      <c r="E2896">
        <f>INDEX(FactorTable!$B$2:$Y$301, MATCH(ROUND(MIN(300,MAX(1,D2896)),0), FactorTable!$A$2:$A$301,0), Skills!M21+1)</f>
        <v/>
      </c>
      <c r="F2896">
        <f>IF(Skills!N21=TRUE,(Skills!L21/10)*(E2896/1000),Skills!L21/10)+Skills!O21</f>
        <v/>
      </c>
      <c r="G2896">
        <f>Skills!G21*IF(Skills!H21&gt;0,IF(Inputs!$B$39="pvp",MIN(Skills!I21,15),Skills!I21)/Skills!H21,1)</f>
        <v/>
      </c>
      <c r="H2896">
        <f>1-(1-Skills!J21/100)^Skills!K21</f>
        <v/>
      </c>
      <c r="I2896" t="inlineStr">
        <is>
          <t>1</t>
        </is>
      </c>
      <c r="J2896" t="inlineStr"/>
      <c r="K2896" t="inlineStr"/>
      <c r="L2896" t="inlineStr"/>
      <c r="M2896" t="inlineStr"/>
      <c r="N2896" t="inlineStr"/>
      <c r="O2896">
        <f>(1-Summary!$B$11)*T2896+Summary!$B$11*V2896</f>
        <v/>
      </c>
      <c r="P2896">
        <f>IF(B2921=0,0,O2896/B2921)</f>
        <v/>
      </c>
      <c r="Q2896">
        <f>IFERROR(1/IF(Inputs!$B$39="pvp",15,MAX(0.1,Skills!D21-IF(TRUE=TRUE,Inputs!$B$32,0))),0)</f>
        <v/>
      </c>
      <c r="R2896">
        <f>IF(AND(Inputs!$B$39&lt;&gt;"pvp",Inputs!$B$44&gt;0),IF(Inputs!$B$44&lt;=0,0,(INT(Inputs!$B$44/IF(Inputs!$B$39="pvp",15,MAX(0.1,Skills!D21-IF(TRUE=TRUE,Inputs!$B$32,0))))+1)),0)</f>
        <v/>
      </c>
      <c r="S2896">
        <f>IFERROR(O2896/N2896,0)</f>
        <v/>
      </c>
      <c r="T2896" t="n">
        <v>0</v>
      </c>
      <c r="V2896" t="n">
        <v>0</v>
      </c>
    </row>
    <row r="2897">
      <c r="A2897">
        <f>Skills!A22</f>
        <v/>
      </c>
      <c r="B2897">
        <f>Skills!B22</f>
        <v/>
      </c>
      <c r="C2897">
        <f>Inputs!$B$3&gt;=15</f>
        <v/>
      </c>
      <c r="D2897">
        <f>IF(Skills!C22=1,60+Inputs!$B$25+Inputs!$B$29,IF(Skills!C22=2,90+Inputs!$B$26+Inputs!$B$29,IF(Skills!C22=3,120+Inputs!$B$27+Inputs!$B$29,MAX(0,(Inputs!$B$3-100)*3)+Inputs!$B$28+Inputs!$B$29)))</f>
        <v/>
      </c>
      <c r="E2897">
        <f>INDEX(FactorTable!$B$2:$Y$301, MATCH(ROUND(MIN(300,MAX(1,D2897)),0), FactorTable!$A$2:$A$301,0), Skills!M22+1)</f>
        <v/>
      </c>
      <c r="F2897">
        <f>IF(Skills!N22=TRUE,(Skills!L22/10)*(E2897/1000),Skills!L22/10)+Skills!O22</f>
        <v/>
      </c>
      <c r="G2897">
        <f>Skills!G22*IF(Skills!H22&gt;0,IF(Inputs!$B$39="pvp",MIN(Skills!I22,15),Skills!I22)/Skills!H22,1)</f>
        <v/>
      </c>
      <c r="H2897">
        <f>1-(1-Skills!J22/100)^Skills!K22</f>
        <v/>
      </c>
      <c r="I2897" t="inlineStr">
        <is>
          <t>1</t>
        </is>
      </c>
      <c r="J2897" t="inlineStr"/>
      <c r="K2897" t="inlineStr"/>
      <c r="L2897" t="inlineStr"/>
      <c r="M2897" t="inlineStr"/>
      <c r="N2897" t="inlineStr"/>
      <c r="O2897">
        <f>(1-Summary!$B$11)*T2897+Summary!$B$11*V2897</f>
        <v/>
      </c>
      <c r="P2897">
        <f>IF(B2921=0,0,O2897/B2921)</f>
        <v/>
      </c>
      <c r="Q2897">
        <f>IFERROR(1/IF(Inputs!$B$39="pvp",15,MAX(0.1,Skills!D22-IF(TRUE=TRUE,Inputs!$B$32,0))),0)</f>
        <v/>
      </c>
      <c r="R2897">
        <f>IF(AND(Inputs!$B$39&lt;&gt;"pvp",Inputs!$B$44&gt;0),IF(Inputs!$B$44&lt;=0,0,(INT(Inputs!$B$44/IF(Inputs!$B$39="pvp",15,MAX(0.1,Skills!D22-IF(TRUE=TRUE,Inputs!$B$32,0))))+1)),0)</f>
        <v/>
      </c>
      <c r="S2897">
        <f>IFERROR(O2897/N2897,0)</f>
        <v/>
      </c>
      <c r="T2897" t="n">
        <v>0</v>
      </c>
      <c r="V2897" t="n">
        <v>0</v>
      </c>
    </row>
    <row r="2898">
      <c r="A2898">
        <f>Skills!A23</f>
        <v/>
      </c>
      <c r="B2898">
        <f>Skills!B23</f>
        <v/>
      </c>
      <c r="C2898">
        <f>Inputs!$B$3&gt;=33</f>
        <v/>
      </c>
      <c r="D2898">
        <f>IF(Skills!C23=1,60+Inputs!$B$25+Inputs!$B$29,IF(Skills!C23=2,90+Inputs!$B$26+Inputs!$B$29,IF(Skills!C23=3,120+Inputs!$B$27+Inputs!$B$29,MAX(0,(Inputs!$B$3-100)*3)+Inputs!$B$28+Inputs!$B$29)))</f>
        <v/>
      </c>
      <c r="E2898">
        <f>INDEX(FactorTable!$B$2:$Y$301, MATCH(ROUND(MIN(300,MAX(1,D2898)),0), FactorTable!$A$2:$A$301,0), Skills!M23+1)</f>
        <v/>
      </c>
      <c r="F2898">
        <f>IF(Skills!N23=TRUE,(Skills!L23/10)*(E2898/1000),Skills!L23/10)+Skills!O23</f>
        <v/>
      </c>
      <c r="G2898">
        <f>Skills!G23*IF(Skills!H23&gt;0,IF(Inputs!$B$39="pvp",MIN(Skills!I23,15),Skills!I23)/Skills!H23,1)</f>
        <v/>
      </c>
      <c r="H2898">
        <f>1-(1-Skills!J23/100)^Skills!K23</f>
        <v/>
      </c>
      <c r="I2898" t="inlineStr">
        <is>
          <t>1</t>
        </is>
      </c>
      <c r="J2898" t="inlineStr"/>
      <c r="K2898" t="inlineStr"/>
      <c r="L2898" t="inlineStr"/>
      <c r="M2898" t="inlineStr"/>
      <c r="N2898" t="inlineStr"/>
      <c r="O2898">
        <f>(1-Summary!$B$11)*T2898+Summary!$B$11*V2898</f>
        <v/>
      </c>
      <c r="P2898">
        <f>IF(B2921=0,0,O2898/B2921)</f>
        <v/>
      </c>
      <c r="Q2898" t="n">
        <v>0</v>
      </c>
      <c r="R2898" t="n">
        <v>0</v>
      </c>
      <c r="S2898">
        <f>IFERROR(O2898/N2898,0)</f>
        <v/>
      </c>
      <c r="T2898" t="n">
        <v>0</v>
      </c>
      <c r="V2898" t="n">
        <v>0</v>
      </c>
    </row>
    <row r="2899">
      <c r="A2899">
        <f>Skills!A24</f>
        <v/>
      </c>
      <c r="B2899">
        <f>Skills!B24</f>
        <v/>
      </c>
      <c r="C2899">
        <f>Inputs!$B$3&gt;=40</f>
        <v/>
      </c>
      <c r="D2899">
        <f>IF(Skills!C24=1,60+Inputs!$B$25+Inputs!$B$29,IF(Skills!C24=2,90+Inputs!$B$26+Inputs!$B$29,IF(Skills!C24=3,120+Inputs!$B$27+Inputs!$B$29,MAX(0,(Inputs!$B$3-100)*3)+Inputs!$B$28+Inputs!$B$29)))</f>
        <v/>
      </c>
      <c r="E2899">
        <f>INDEX(FactorTable!$B$2:$Y$301, MATCH(ROUND(MIN(300,MAX(1,D2899)),0), FactorTable!$A$2:$A$301,0), Skills!M24+1)</f>
        <v/>
      </c>
      <c r="F2899">
        <f>IF(Skills!N24=TRUE,(Skills!L24/10)*(E2899/1000),Skills!L24/10)+Skills!O24</f>
        <v/>
      </c>
      <c r="G2899">
        <f>Skills!G24*IF(Skills!H24&gt;0,IF(Inputs!$B$39="pvp",MIN(Skills!I24,15),Skills!I24)/Skills!H24,1)</f>
        <v/>
      </c>
      <c r="H2899">
        <f>1-(1-Skills!J24/100)^Skills!K24</f>
        <v/>
      </c>
      <c r="I2899" t="inlineStr">
        <is>
          <t>1</t>
        </is>
      </c>
      <c r="J2899" t="inlineStr"/>
      <c r="K2899" t="inlineStr"/>
      <c r="L2899" t="inlineStr"/>
      <c r="M2899" t="inlineStr"/>
      <c r="N2899" t="inlineStr"/>
      <c r="O2899">
        <f>(1-Summary!$B$11)*T2899+Summary!$B$11*V2899</f>
        <v/>
      </c>
      <c r="P2899">
        <f>IF(B2921=0,0,O2899/B2921)</f>
        <v/>
      </c>
      <c r="Q2899" t="n">
        <v>0</v>
      </c>
      <c r="R2899" t="n">
        <v>0</v>
      </c>
      <c r="S2899">
        <f>IFERROR(O2899/N2899,0)</f>
        <v/>
      </c>
      <c r="T2899" t="n">
        <v>0</v>
      </c>
      <c r="V2899" t="n">
        <v>0</v>
      </c>
    </row>
    <row r="2900">
      <c r="A2900">
        <f>Skills!A25</f>
        <v/>
      </c>
      <c r="B2900">
        <f>Skills!B25</f>
        <v/>
      </c>
      <c r="C2900">
        <f>Inputs!$B$3&gt;=43</f>
        <v/>
      </c>
      <c r="D2900">
        <f>IF(Skills!C25=1,60+Inputs!$B$25+Inputs!$B$29,IF(Skills!C25=2,90+Inputs!$B$26+Inputs!$B$29,IF(Skills!C25=3,120+Inputs!$B$27+Inputs!$B$29,MAX(0,(Inputs!$B$3-100)*3)+Inputs!$B$28+Inputs!$B$29)))</f>
        <v/>
      </c>
      <c r="E2900">
        <f>INDEX(FactorTable!$B$2:$Y$301, MATCH(ROUND(MIN(300,MAX(1,D2900)),0), FactorTable!$A$2:$A$301,0), Skills!M25+1)</f>
        <v/>
      </c>
      <c r="F2900">
        <f>IF(Skills!N25=TRUE,(Skills!L25/10)*(E2900/1000),Skills!L25/10)+Skills!O25</f>
        <v/>
      </c>
      <c r="G2900">
        <f>Skills!G25*IF(Skills!H25&gt;0,IF(Inputs!$B$39="pvp",MIN(Skills!I25,15),Skills!I25)/Skills!H25,1)</f>
        <v/>
      </c>
      <c r="H2900">
        <f>1-(1-Skills!J25/100)^Skills!K25</f>
        <v/>
      </c>
      <c r="I2900" t="inlineStr">
        <is>
          <t>1</t>
        </is>
      </c>
      <c r="J2900" t="inlineStr"/>
      <c r="K2900" t="inlineStr"/>
      <c r="L2900" t="inlineStr"/>
      <c r="M2900" t="inlineStr"/>
      <c r="N2900" t="inlineStr"/>
      <c r="O2900">
        <f>(1-Summary!$B$11)*T2900+Summary!$B$11*V2900</f>
        <v/>
      </c>
      <c r="P2900">
        <f>IF(B2921=0,0,O2900/B2921)</f>
        <v/>
      </c>
      <c r="Q2900" t="n">
        <v>0</v>
      </c>
      <c r="R2900" t="n">
        <v>0</v>
      </c>
      <c r="S2900">
        <f>IFERROR(O2900/N2900,0)</f>
        <v/>
      </c>
      <c r="T2900" t="n">
        <v>0</v>
      </c>
      <c r="V2900" t="n">
        <v>0</v>
      </c>
    </row>
    <row r="2901">
      <c r="A2901">
        <f>Skills!A26</f>
        <v/>
      </c>
      <c r="B2901">
        <f>Skills!B26</f>
        <v/>
      </c>
      <c r="C2901">
        <f>Inputs!$B$3&gt;=50</f>
        <v/>
      </c>
      <c r="D2901">
        <f>IF(Skills!C26=1,60+Inputs!$B$25+Inputs!$B$29,IF(Skills!C26=2,90+Inputs!$B$26+Inputs!$B$29,IF(Skills!C26=3,120+Inputs!$B$27+Inputs!$B$29,MAX(0,(Inputs!$B$3-100)*3)+Inputs!$B$28+Inputs!$B$29)))</f>
        <v/>
      </c>
      <c r="E2901">
        <f>INDEX(FactorTable!$B$2:$Y$301, MATCH(ROUND(MIN(300,MAX(1,D2901)),0), FactorTable!$A$2:$A$301,0), Skills!M26+1)</f>
        <v/>
      </c>
      <c r="F2901">
        <f>IF(Skills!N26=TRUE,(Skills!L26/10)*(E2901/1000),Skills!L26/10)+Skills!O26</f>
        <v/>
      </c>
      <c r="G2901">
        <f>Skills!G26*IF(Skills!H26&gt;0,IF(Inputs!$B$39="pvp",MIN(Skills!I26,15),Skills!I26)/Skills!H26,1)</f>
        <v/>
      </c>
      <c r="H2901">
        <f>1-(1-Skills!J26/100)^Skills!K26</f>
        <v/>
      </c>
      <c r="I2901" t="inlineStr">
        <is>
          <t>1</t>
        </is>
      </c>
      <c r="J2901" t="inlineStr"/>
      <c r="K2901" t="inlineStr"/>
      <c r="L2901" t="inlineStr"/>
      <c r="M2901" t="inlineStr"/>
      <c r="N2901" t="inlineStr"/>
      <c r="O2901">
        <f>(1-Summary!$B$11)*T2901+Summary!$B$11*V2901</f>
        <v/>
      </c>
      <c r="P2901">
        <f>IF(B2921=0,0,O2901/B2921)</f>
        <v/>
      </c>
      <c r="Q2901" t="n">
        <v>0</v>
      </c>
      <c r="R2901" t="n">
        <v>0</v>
      </c>
      <c r="S2901">
        <f>IFERROR(O2901/N2901,0)</f>
        <v/>
      </c>
      <c r="T2901" t="n">
        <v>0</v>
      </c>
      <c r="V2901" t="n">
        <v>0</v>
      </c>
    </row>
    <row r="2902">
      <c r="A2902">
        <f>Skills!A27</f>
        <v/>
      </c>
      <c r="B2902">
        <f>Skills!B27</f>
        <v/>
      </c>
      <c r="C2902">
        <f>Inputs!$B$3&gt;=50</f>
        <v/>
      </c>
      <c r="D2902">
        <f>IF(Skills!C27=1,60+Inputs!$B$25+Inputs!$B$29,IF(Skills!C27=2,90+Inputs!$B$26+Inputs!$B$29,IF(Skills!C27=3,120+Inputs!$B$27+Inputs!$B$29,MAX(0,(Inputs!$B$3-100)*3)+Inputs!$B$28+Inputs!$B$29)))</f>
        <v/>
      </c>
      <c r="E2902">
        <f>INDEX(FactorTable!$B$2:$Y$301, MATCH(ROUND(MIN(300,MAX(1,D2902)),0), FactorTable!$A$2:$A$301,0), Skills!M27+1)</f>
        <v/>
      </c>
      <c r="F2902">
        <f>IF(Skills!N27=TRUE,(Skills!L27/10)*(E2902/1000),Skills!L27/10)+Skills!O27</f>
        <v/>
      </c>
      <c r="G2902">
        <f>Skills!G27*IF(Skills!H27&gt;0,IF(Inputs!$B$39="pvp",MIN(Skills!I27,15),Skills!I27)/Skills!H27,1)</f>
        <v/>
      </c>
      <c r="H2902">
        <f>1-(1-Skills!J27/100)^Skills!K27</f>
        <v/>
      </c>
      <c r="I2902" t="inlineStr">
        <is>
          <t>1</t>
        </is>
      </c>
      <c r="J2902" t="inlineStr"/>
      <c r="K2902" t="inlineStr"/>
      <c r="L2902" t="inlineStr"/>
      <c r="M2902" t="inlineStr"/>
      <c r="N2902" t="inlineStr"/>
      <c r="O2902">
        <f>(1-Summary!$B$11)*T2902+Summary!$B$11*V2902</f>
        <v/>
      </c>
      <c r="P2902">
        <f>IF(B2921=0,0,O2902/B2921)</f>
        <v/>
      </c>
      <c r="Q2902" t="n">
        <v>0</v>
      </c>
      <c r="R2902" t="n">
        <v>0</v>
      </c>
      <c r="S2902">
        <f>IFERROR(O2902/N2902,0)</f>
        <v/>
      </c>
      <c r="T2902" t="n">
        <v>0</v>
      </c>
      <c r="V2902" t="n">
        <v>0</v>
      </c>
    </row>
    <row r="2903">
      <c r="A2903">
        <f>Skills!A28</f>
        <v/>
      </c>
      <c r="B2903">
        <f>Skills!B28</f>
        <v/>
      </c>
      <c r="C2903">
        <f>Inputs!$B$3&gt;=38</f>
        <v/>
      </c>
      <c r="D2903">
        <f>IF(Skills!C28=1,60+Inputs!$B$25+Inputs!$B$29,IF(Skills!C28=2,90+Inputs!$B$26+Inputs!$B$29,IF(Skills!C28=3,120+Inputs!$B$27+Inputs!$B$29,MAX(0,(Inputs!$B$3-100)*3)+Inputs!$B$28+Inputs!$B$29)))</f>
        <v/>
      </c>
      <c r="E2903">
        <f>INDEX(FactorTable!$B$2:$Y$301, MATCH(ROUND(MIN(300,MAX(1,D2903)),0), FactorTable!$A$2:$A$301,0), Skills!M28+1)</f>
        <v/>
      </c>
      <c r="F2903">
        <f>IF(Skills!N28=TRUE,(Skills!L28/10)*(E2903/1000),Skills!L28/10)+Skills!O28</f>
        <v/>
      </c>
      <c r="G2903">
        <f>Skills!G28*IF(Skills!H28&gt;0,IF(Inputs!$B$39="pvp",MIN(Skills!I28,15),Skills!I28)/Skills!H28,1)</f>
        <v/>
      </c>
      <c r="H2903">
        <f>1-(1-Skills!J28/100)^Skills!K28</f>
        <v/>
      </c>
      <c r="I2903" t="inlineStr">
        <is>
          <t>1</t>
        </is>
      </c>
      <c r="J2903" t="inlineStr"/>
      <c r="K2903" t="inlineStr"/>
      <c r="L2903" t="inlineStr"/>
      <c r="M2903" t="inlineStr"/>
      <c r="N2903" t="inlineStr"/>
      <c r="O2903">
        <f>(1-Summary!$B$11)*T2903+Summary!$B$11*V2903</f>
        <v/>
      </c>
      <c r="P2903">
        <f>IF(B2921=0,0,O2903/B2921)</f>
        <v/>
      </c>
      <c r="Q2903" t="n">
        <v>0</v>
      </c>
      <c r="R2903" t="n">
        <v>0</v>
      </c>
      <c r="S2903">
        <f>IFERROR(O2903/N2903,0)</f>
        <v/>
      </c>
      <c r="T2903" t="n">
        <v>0</v>
      </c>
      <c r="V2903" t="n">
        <v>0</v>
      </c>
    </row>
    <row r="2904">
      <c r="A2904">
        <f>Skills!A29</f>
        <v/>
      </c>
      <c r="B2904">
        <f>Skills!B29</f>
        <v/>
      </c>
      <c r="C2904">
        <f>Inputs!$B$3&gt;=120</f>
        <v/>
      </c>
      <c r="D2904">
        <f>IF(Skills!C29=1,60+Inputs!$B$25+Inputs!$B$29,IF(Skills!C29=2,90+Inputs!$B$26+Inputs!$B$29,IF(Skills!C29=3,120+Inputs!$B$27+Inputs!$B$29,MAX(0,(Inputs!$B$3-100)*3)+Inputs!$B$28+Inputs!$B$29)))</f>
        <v/>
      </c>
      <c r="E2904">
        <f>INDEX(FactorTable!$B$2:$Y$301, MATCH(ROUND(MIN(300,MAX(1,D2904)),0), FactorTable!$A$2:$A$301,0), Skills!M29+1)</f>
        <v/>
      </c>
      <c r="F2904">
        <f>IF(Skills!N29=TRUE,(Skills!L29/10)*(E2904/1000),Skills!L29/10)+Skills!O29</f>
        <v/>
      </c>
      <c r="G2904">
        <f>Skills!G29*IF(Skills!H29&gt;0,IF(Inputs!$B$39="pvp",MIN(Skills!I29,15),Skills!I29)/Skills!H29,1)</f>
        <v/>
      </c>
      <c r="H2904">
        <f>1-(1-Skills!J29/100)^Skills!K29</f>
        <v/>
      </c>
      <c r="I2904" t="inlineStr">
        <is>
          <t>1</t>
        </is>
      </c>
      <c r="J2904" t="inlineStr"/>
      <c r="K2904" t="inlineStr"/>
      <c r="L2904" t="inlineStr"/>
      <c r="M2904" t="inlineStr"/>
      <c r="N2904" t="inlineStr"/>
      <c r="O2904">
        <f>(1-Summary!$B$11)*T2904+Summary!$B$11*V2904</f>
        <v/>
      </c>
      <c r="P2904">
        <f>IF(B2921=0,0,O2904/B2921)</f>
        <v/>
      </c>
      <c r="Q2904" t="n">
        <v>0</v>
      </c>
      <c r="R2904" t="n">
        <v>0</v>
      </c>
      <c r="S2904">
        <f>IFERROR(O2904/N2904,0)</f>
        <v/>
      </c>
      <c r="T2904" t="n">
        <v>0</v>
      </c>
      <c r="V2904" t="n">
        <v>0</v>
      </c>
    </row>
    <row r="2905">
      <c r="A2905">
        <f>Skills!A30</f>
        <v/>
      </c>
      <c r="B2905">
        <f>Skills!B30</f>
        <v/>
      </c>
      <c r="C2905">
        <f>Inputs!$B$3&gt;=120</f>
        <v/>
      </c>
      <c r="D2905">
        <f>IF(Skills!C30=1,60+Inputs!$B$25+Inputs!$B$29,IF(Skills!C30=2,90+Inputs!$B$26+Inputs!$B$29,IF(Skills!C30=3,120+Inputs!$B$27+Inputs!$B$29,MAX(0,(Inputs!$B$3-100)*3)+Inputs!$B$28+Inputs!$B$29)))</f>
        <v/>
      </c>
      <c r="E2905">
        <f>INDEX(FactorTable!$B$2:$Y$301, MATCH(ROUND(MIN(300,MAX(1,D2905)),0), FactorTable!$A$2:$A$301,0), Skills!M30+1)</f>
        <v/>
      </c>
      <c r="F2905">
        <f>IF(Skills!N30=TRUE,(Skills!L30/10)*(E2905/1000),Skills!L30/10)+Skills!O30</f>
        <v/>
      </c>
      <c r="G2905">
        <f>Skills!G30*IF(Skills!H30&gt;0,IF(Inputs!$B$39="pvp",MIN(Skills!I30,15),Skills!I30)/Skills!H30,1)</f>
        <v/>
      </c>
      <c r="H2905">
        <f>1-(1-Skills!J30/100)^Skills!K30</f>
        <v/>
      </c>
      <c r="I2905" t="inlineStr">
        <is>
          <t>1</t>
        </is>
      </c>
      <c r="J2905" t="inlineStr"/>
      <c r="K2905" t="inlineStr"/>
      <c r="L2905" t="inlineStr"/>
      <c r="M2905" t="inlineStr"/>
      <c r="N2905" t="inlineStr"/>
      <c r="O2905">
        <f>(1-Summary!$B$11)*T2905+Summary!$B$11*V2905</f>
        <v/>
      </c>
      <c r="P2905">
        <f>IF(B2921=0,0,O2905/B2921)</f>
        <v/>
      </c>
      <c r="Q2905" t="n">
        <v>0</v>
      </c>
      <c r="R2905" t="n">
        <v>0</v>
      </c>
      <c r="S2905">
        <f>IFERROR(O2905/N2905,0)</f>
        <v/>
      </c>
      <c r="T2905" t="n">
        <v>0</v>
      </c>
      <c r="V2905" t="n">
        <v>0</v>
      </c>
    </row>
    <row r="2906">
      <c r="A2906">
        <f>Skills!A31</f>
        <v/>
      </c>
      <c r="B2906">
        <f>Skills!B31</f>
        <v/>
      </c>
      <c r="C2906">
        <f>Inputs!$B$3&gt;=125</f>
        <v/>
      </c>
      <c r="D2906">
        <f>IF(Skills!C31=1,60+Inputs!$B$25+Inputs!$B$29,IF(Skills!C31=2,90+Inputs!$B$26+Inputs!$B$29,IF(Skills!C31=3,120+Inputs!$B$27+Inputs!$B$29,MAX(0,(Inputs!$B$3-100)*3)+Inputs!$B$28+Inputs!$B$29)))</f>
        <v/>
      </c>
      <c r="E2906">
        <f>INDEX(FactorTable!$B$2:$Y$301, MATCH(ROUND(MIN(300,MAX(1,D2906)),0), FactorTable!$A$2:$A$301,0), Skills!M31+1)</f>
        <v/>
      </c>
      <c r="F2906">
        <f>IF(Skills!N31=TRUE,(Skills!L31/10)*(E2906/1000),Skills!L31/10)+Skills!O31</f>
        <v/>
      </c>
      <c r="G2906">
        <f>Skills!G31*IF(Skills!H31&gt;0,IF(Inputs!$B$39="pvp",MIN(Skills!I31,15),Skills!I31)/Skills!H31,1)</f>
        <v/>
      </c>
      <c r="H2906">
        <f>1-(1-Skills!J31/100)^Skills!K31</f>
        <v/>
      </c>
      <c r="I2906" t="inlineStr">
        <is>
          <t>1</t>
        </is>
      </c>
      <c r="J2906" t="inlineStr"/>
      <c r="K2906" t="inlineStr"/>
      <c r="L2906" t="inlineStr"/>
      <c r="M2906" t="inlineStr"/>
      <c r="N2906" t="inlineStr"/>
      <c r="O2906">
        <f>(1-Summary!$B$11)*T2906+Summary!$B$11*V2906</f>
        <v/>
      </c>
      <c r="P2906">
        <f>IF(B2921=0,0,O2906/B2921)</f>
        <v/>
      </c>
      <c r="Q2906" t="n">
        <v>0</v>
      </c>
      <c r="R2906" t="n">
        <v>0</v>
      </c>
      <c r="S2906">
        <f>IFERROR(O2906/N2906,0)</f>
        <v/>
      </c>
      <c r="T2906" t="n">
        <v>0</v>
      </c>
      <c r="V2906" t="n">
        <v>0</v>
      </c>
    </row>
    <row r="2908">
      <c r="A2908" t="inlineStr">
        <is>
          <t>Average Buff Multiplier</t>
        </is>
      </c>
      <c r="B2908">
        <f>(1+(((C2897=TRUE)*F2897*IF(AND(Inputs!$B$39&lt;&gt;"pvp",Inputs!$B$44&gt;0),(((R2897-1)*MIN((Skills!Y22*(1+Inputs!$B$34/100)),(1/Q2897))+MIN((Skills!Y22*(1+Inputs!$B$34/100)),MAX(0,Inputs!$B$44-((R2897-1)*(1/Q2897)))))/Inputs!$B$44),IF(Inputs!$B$39="pvp",MIN((Skills!Y22*(1+Inputs!$B$34/100)),15)/15,MIN(1,(Skills!Y22*(1+Inputs!$B$34/100))/(1/Q2897)))))+((C2878=TRUE)*F2878*3)+((C2880=TRUE)*F2880*(1-EXP(-0.75*B2913*5)))+((C2899=TRUE)*(F2899-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2886=TRUE)*F2886*IF(AND(Inputs!$B$39&lt;&gt;"pvp",Inputs!$B$44&gt;0),(((R2886-1)*MIN((Skills!Y11*(1+Inputs!$B$34/100)),(1/Q2886))+MIN((Skills!Y11*(1+Inputs!$B$34/100)),MAX(0,Inputs!$B$44-((R2886-1)*(1/Q2886)))))/Inputs!$B$44),IF(Inputs!$B$39="pvp",MIN((Skills!Y11*(1+Inputs!$B$34/100)),15)/15,MIN(1,(Skills!Y11*(1+Inputs!$B$34/100))/(1/Q2886)))))/100)*(1+((C2891=TRUE)*F2891*IF(AND(Inputs!$B$39&lt;&gt;"pvp",Inputs!$B$44&gt;0),(((R2891-1)*MIN((Skills!Y16*(1+Inputs!$B$34/100)),(1/Q2891))+MIN((Skills!Y16*(1+Inputs!$B$34/100)),MAX(0,Inputs!$B$44-((R2891-1)*(1/Q2891)))))/Inputs!$B$44),IF(Inputs!$B$39="pvp",MIN((Skills!Y16*(1+Inputs!$B$34/100)),15)/15,MIN(1,(Skills!Y16*(1+Inputs!$B$34/100))/(1/Q2891)))))/100)</f>
        <v/>
      </c>
    </row>
    <row r="2909">
      <c r="A2909" t="inlineStr">
        <is>
          <t>Global Crit Rate Bonus %</t>
        </is>
      </c>
      <c r="B2909">
        <f>((C2896=TRUE)*F2896*IF(AND(Inputs!$B$39&lt;&gt;"pvp",Inputs!$B$44&gt;0),(((R2896-1)*MIN((Skills!Y21*(1+Inputs!$B$34/100)),(1/Q2896))+MIN((Skills!Y21*(1+Inputs!$B$34/100)),MAX(0,Inputs!$B$44-((R2896-1)*(1/Q2896)))))/Inputs!$B$44),IF(Inputs!$B$39="pvp",MIN((Skills!Y21*(1+Inputs!$B$34/100)),15)/15,MIN(1,(Skills!Y21*(1+Inputs!$B$34/100))/(1/Q2896)))))</f>
        <v/>
      </c>
    </row>
    <row r="2910">
      <c r="A2910" t="inlineStr">
        <is>
          <t>Global Monster Damage-Taken Bonus %</t>
        </is>
      </c>
      <c r="B2910">
        <f>IF(Inputs!$B$3&gt;=82,15,0)</f>
        <v/>
      </c>
    </row>
    <row r="2911">
      <c r="A2911" t="inlineStr">
        <is>
          <t>Shadow Partner Average Multiplier</t>
        </is>
      </c>
      <c r="B2911">
        <f>1+((C2883=TRUE)*F2883*(1+3.3333333333333335*IF(C2894=TRUE,F2894,0)/100)*I2883*Skills!J8/100)/100</f>
        <v/>
      </c>
    </row>
    <row r="2912">
      <c r="A2912" t="inlineStr">
        <is>
          <t>Attack Speed Buff Bonus %</t>
        </is>
      </c>
      <c r="B2912">
        <f>((C2895=TRUE)*F2895*IF(AND(Inputs!$B$39&lt;&gt;"pvp",Inputs!$B$44&gt;0),(((R2895-1)*MIN((Skills!Y20*(1+Inputs!$B$34/100)),(1/Q2895))+MIN((Skills!Y20*(1+Inputs!$B$34/100)),MAX(0,Inputs!$B$44-((R2895-1)*(1/Q2895)))))/Inputs!$B$44),IF(Inputs!$B$39="pvp",MIN((Skills!Y20*(1+Inputs!$B$34/100)),15)/15,MIN(1,(Skills!Y20*(1+Inputs!$B$34/100))/(1/Q2895)))))</f>
        <v/>
      </c>
    </row>
    <row r="2913">
      <c r="A2913" t="inlineStr">
        <is>
          <t>Actions Per Second</t>
        </is>
      </c>
      <c r="B2913">
        <f>1+MIN(150,150*(1-(1-(Inputs!$B$11+((C2898=TRUE)*(F2898-Calc!F23)))/150)*(1-B2912/150)))/100</f>
        <v/>
      </c>
    </row>
    <row r="2914">
      <c r="A2914" t="inlineStr">
        <is>
          <t>Skill + Buff Cast Rate</t>
        </is>
      </c>
      <c r="B2914">
        <f>IF(AND(Inputs!$B$39&lt;&gt;"pvp",Inputs!$B$44&gt;0),SUMPRODUCT((Skills!E2:E31=TRUE)*(C2877:C2906=TRUE)*R2877:R2906*Skills!F2:F31)/Inputs!$B$44,SUMPRODUCT((Skills!E2:E31=TRUE)*(C2877:C2906=TRUE)*Q2877:Q2906*Skills!F2:F31))</f>
        <v/>
      </c>
    </row>
    <row r="2915">
      <c r="A2915" t="inlineStr">
        <is>
          <t>Cruel Stab Casts Per Second</t>
        </is>
      </c>
      <c r="B2915">
        <f>MAX(0,B2913-B2914)</f>
        <v/>
      </c>
    </row>
    <row r="2916">
      <c r="A2916" t="inlineStr">
        <is>
          <t>Global Critical Damage Bonus % (Smokescreen Mastery Lv.113)</t>
        </is>
      </c>
      <c r="B2916">
        <f>IF(Inputs!$B$3&gt;=113,30,0)*IF(AND(Inputs!$B$39&lt;&gt;"pvp",Inputs!$B$44&gt;0),(((R2891-1)*MIN((Skills!Y16*(1+Inputs!$B$34/100)),(1/Q2891))+MIN((Skills!Y16*(1+Inputs!$B$34/100)),MAX(0,Inputs!$B$44-((R2891-1)*(1/Q2891)))))/Inputs!$B$44),IF(Inputs!$B$39="pvp",MIN((Skills!Y16*(1+Inputs!$B$34/100)),15)/15,MIN(1,(Skills!Y16*(1+Inputs!$B$34/100))/(1/Q2891))))</f>
        <v/>
      </c>
    </row>
    <row r="2917">
      <c r="A2917" t="inlineStr">
        <is>
          <t>Meso Explosion average stack count</t>
        </is>
      </c>
      <c r="B2917">
        <f>MIN(10,IF(Inputs!$B$3&gt;=75,0.75,0.5)*B2913*(1/Q2879))</f>
        <v/>
      </c>
    </row>
    <row r="2918">
      <c r="A2918" t="inlineStr">
        <is>
          <t>Blood Money average stack count</t>
        </is>
      </c>
      <c r="B2918">
        <f>MIN(5,0.5*IF(Inputs!$B$3&gt;=75,0.75,0.5)*B2913*(1/Q2879))</f>
        <v/>
      </c>
    </row>
    <row r="2919">
      <c r="A2919" t="inlineStr">
        <is>
          <t>Assassinate Murderous Intent Multiplier</t>
        </is>
      </c>
      <c r="B2919">
        <f>1+IFERROR(MIN(1,Q2890*2/Q2887),0)</f>
        <v/>
      </c>
    </row>
    <row r="2920">
      <c r="A2920" t="inlineStr">
        <is>
          <t>Buff-Casting Startup Delay (s, fixed-duration only)</t>
        </is>
      </c>
      <c r="B2920">
        <f>IF(AND(Inputs!$B$39&lt;&gt;"pvp",Inputs!$B$44&gt;0),SUMPRODUCT((Skills!Y2:Y31&gt;0)*(Skills!E2:E31=TRUE)*(C2877:C2906=TRUE))/B2913,0)</f>
        <v/>
      </c>
    </row>
    <row r="2921">
      <c r="A2921" s="6" t="inlineStr">
        <is>
          <t>TOTAL DPS</t>
        </is>
      </c>
      <c r="B2921" s="6">
        <f>SUM(O2877:O2906)</f>
        <v/>
      </c>
    </row>
    <row r="2922">
      <c r="A2922" t="inlineStr">
        <is>
          <t>Boss-Only Total DPS (this block's swept value)</t>
        </is>
      </c>
      <c r="B2922">
        <f>SUM(T2877:T2906)</f>
        <v/>
      </c>
    </row>
    <row r="2923">
      <c r="A2923" t="inlineStr">
        <is>
          <t>Normal-Only Total DPS (this block's swept value)</t>
        </is>
      </c>
      <c r="B2923">
        <f>SUM(V2877:V2906)</f>
        <v/>
      </c>
    </row>
    <row r="2926">
      <c r="A2926" s="6" t="inlineStr">
        <is>
          <t>Stat: Candle (Equip)</t>
        </is>
      </c>
    </row>
    <row r="2927">
      <c r="A2927" s="5" t="inlineStr">
        <is>
          <t>Key</t>
        </is>
      </c>
      <c r="B2927" s="5" t="inlineStr">
        <is>
          <t>Name</t>
        </is>
      </c>
      <c r="C2927" s="5" t="inlineStr">
        <is>
          <t>Unlocked</t>
        </is>
      </c>
      <c r="D2927" s="5" t="inlineStr">
        <is>
          <t>InputLevel</t>
        </is>
      </c>
      <c r="E2927" s="5" t="inlineStr">
        <is>
          <t>Factor</t>
        </is>
      </c>
      <c r="F2927" s="5" t="inlineStr">
        <is>
          <t>CoefficientPercent</t>
        </is>
      </c>
      <c r="G2927" s="5" t="inlineStr">
        <is>
          <t>EffectiveHits</t>
        </is>
      </c>
      <c r="H2927" s="5" t="inlineStr">
        <is>
          <t>ProcProbability</t>
        </is>
      </c>
      <c r="I2927" s="5" t="inlineStr">
        <is>
          <t>MapleHeroMultiplier</t>
        </is>
      </c>
      <c r="J2927" s="5" t="inlineStr">
        <is>
          <t>BaseDamage</t>
        </is>
      </c>
      <c r="K2927" s="5" t="inlineStr">
        <is>
          <t>BaseHitDamage</t>
        </is>
      </c>
      <c r="L2927" s="5" t="inlineStr">
        <is>
          <t>NonCritAvg</t>
        </is>
      </c>
      <c r="M2927" s="5" t="inlineStr">
        <is>
          <t>CritAvg</t>
        </is>
      </c>
      <c r="N2927" s="5" t="inlineStr">
        <is>
          <t>ExpectedDamage(perHit)</t>
        </is>
      </c>
      <c r="O2927" s="5" t="inlineStr">
        <is>
          <t>DPS</t>
        </is>
      </c>
      <c r="P2927" s="5" t="inlineStr">
        <is>
          <t>% of Total</t>
        </is>
      </c>
      <c r="Q2927" s="5" t="inlineStr">
        <is>
          <t>InvCooldown</t>
        </is>
      </c>
      <c r="R2927" s="5" t="inlineStr">
        <is>
          <t>CastsInFight</t>
        </is>
      </c>
      <c r="S2927" s="5" t="inlineStr">
        <is>
          <t>HitRate(perSec)</t>
        </is>
      </c>
      <c r="U2927" t="inlineStr">
        <is>
          <t>helpers</t>
        </is>
      </c>
    </row>
    <row r="2928">
      <c r="A2928">
        <f>Skills!A2</f>
        <v/>
      </c>
      <c r="B2928">
        <f>Skills!B2</f>
        <v/>
      </c>
      <c r="C2928">
        <f>Inputs!$B$3&gt;=100</f>
        <v/>
      </c>
      <c r="D2928" t="inlineStr"/>
      <c r="E2928" t="inlineStr"/>
      <c r="F2928">
        <f>U2930+Skills!O2</f>
        <v/>
      </c>
      <c r="G2928">
        <f>Skills!G2*IF(Skills!H2&gt;0,IF(Inputs!$B$39="pvp",MIN(Skills!I2,15),Skills!I2)/Skills!H2,1)</f>
        <v/>
      </c>
      <c r="H2928">
        <f>1-(1-Skills!J2/100)^Skills!K2</f>
        <v/>
      </c>
      <c r="I2928" t="inlineStr">
        <is>
          <t>1</t>
        </is>
      </c>
      <c r="J2928">
        <f>((Inputs!$B$6*(1+Inputs!$B$7/100))+(((Inputs!$B$12*(1+Inputs!$B$13/100))-(Inputs!$B$12*(1+Inputs!$B$13/100)))+0.25*(Inputs!$B$14-Inputs!$B$14))*(1+Inputs!$B$7/100))*(F2928/100)</f>
        <v/>
      </c>
      <c r="K2928">
        <f>J2928*(1+((Inputs!$B$12*(1+Inputs!$B$13/100))*0.01+Inputs!$B$14*0.0025)/100)*(1+Inputs!$B$15/100)*(1+Inputs!$B$16/100)*(5000/(6000+Inputs!$B$43*(1-(100*(1-(1-Inputs!$B$19/100)*(1-CHOOSE(ArtifactsInput!$N$40+1,5,6,7,8,9,10)/100)^(ArtifactsInput!$M$40-ArtifactsInput!$M$40)))/100)))*(1+(Inputs!$B$24+((C2957=TRUE)*(F2957-Calc!F31))+((C2944=TRUE)*(F2944-Calc!F18)))/100)*(1+(((1+IF(AND(IF(ArtifactsInput!$M$36,FALSE,TRUE),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CRUEL_STAB",Inputs!$B$17+((C2954=TRUE)*(F2954-Calc!F28))+((IF(AND(Inputs!$B$39&lt;&gt;"pvp",Inputs!$B$44=0),1,IF(IF(Inputs!$B$39="pvp",15,Inputs!$B$44)-(B2971)&lt;=0,1,MAX(0,IF(Inputs!$B$39="pvp",15,Inputs!$B$44)-MAX(5,B2971))/(IF(Inputs!$B$39="pvp",15,Inputs!$B$44)-(B2971))))*(IF(AND(ArtifactsInput!$M$42,((Inputs!$B$9+((C2952=TRUE)*(F2952-Calc!F26))+B2960+(ArtifactsInput!$M$24-ArtifactsInput!$M$24)*CHOOSE(ArtifactsInput!$N$24+1,10,12,14,16,18,20)+IF(ArtifactsInput!$M$10,CHOOSE(ArtifactsInput!$N$10+1,15,18,21,24,27,30)*(IF(Inputs!$B$39="pvp",MIN(15,15)/15,IF(AND(Inputs!$B$39&lt;&gt;"pvp",Inputs!$B$44&gt;0),MIN(15,Inputs!$B$44)/(Inputs!$B$44),0))),0)))&gt;=100),MIN(100,((Inputs!$B$9+((C2952=TRUE)*(F2952-Calc!F26))+B2960+(ArtifactsInput!$M$24-ArtifactsInput!$M$24)*CHOOSE(ArtifactsInput!$N$24+1,10,12,14,16,18,20)+IF(ArtifactsInput!$M$10,CHOOSE(ArtifactsInput!$N$10+1,15,18,21,24,27,30)*(IF(Inputs!$B$39="pvp",MIN(15,15)/15,IF(AND(Inputs!$B$39&lt;&gt;"pvp",Inputs!$B$44&gt;0),MIN(15,Inputs!$B$44)/(Inputs!$B$44),0))),0)))-100),0))*CHOOSE(ArtifactsInput!$N$42+1,0.6,0.72,0.84,0.96,1.08,1.2))),Inputs!$B$18+((C2955=TRUE)*(F2955-Calc!F29))+(IF(AND(Inputs!$B$39&lt;&gt;"pvp",Inputs!$B$44=0),1,IF(IF(Inputs!$B$39="pvp",15,Inputs!$B$44)-(B2971)&lt;=0,1,MAX(0,IF(Inputs!$B$39="pvp",15,Inputs!$B$44)-MAX(5,B2971))/(IF(Inputs!$B$39="pvp",15,Inputs!$B$44)-(B2971))))*IF(AND(ArtifactsInput!$M$42,((Inputs!$B$9+((C2952=TRUE)*(F2952-Calc!F26))+B2960+(ArtifactsInput!$M$24-ArtifactsInput!$M$24)*CHOOSE(ArtifactsInput!$N$24+1,10,12,14,16,18,20)+IF(ArtifactsInput!$M$10,CHOOSE(ArtifactsInput!$N$10+1,15,18,21,24,27,30)*(IF(Inputs!$B$39="pvp",MIN(15,15)/15,IF(AND(Inputs!$B$39&lt;&gt;"pvp",Inputs!$B$44&gt;0),MIN(15,Inputs!$B$44)/(Inputs!$B$44),0))),0)))&gt;=100),CHOOSE(ArtifactsInput!$N$42+1,40,48,56,64,72,80),0))))/100)*(((1+(((C2948=TRUE)*F2948*IF(AND(Inputs!$B$39&lt;&gt;"pvp",Inputs!$B$44&gt;0),(((R2948-1)*MIN((Skills!Y22*(1+Inputs!$B$34/100)),(1/Q2948))+MIN((Skills!Y22*(1+Inputs!$B$34/100)),MAX(0,Inputs!$B$44-((R2948-1)*(1/Q2948)))))/Inputs!$B$44),IF(Inputs!$B$39="pvp",MIN((Skills!Y22*(1+Inputs!$B$34/100)),15)/15,MIN(1,(Skills!Y22*(1+Inputs!$B$34/100))/(1/Q2948)))))+((C2929=TRUE)*F2929*3)+((C2931=TRUE)*F2931*(1-EXP(-0.75*B2964*5)))+((C2950=TRUE)*(F2950-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2937=TRUE)*F2937*IF(AND(Inputs!$B$39&lt;&gt;"pvp",Inputs!$B$44&gt;0),(((R2937-1)*MIN((Skills!Y11*(1+Inputs!$B$34/100)),(1/Q2937))+MIN((Skills!Y11*(1+Inputs!$B$34/100)),MAX(0,Inputs!$B$44-((R2937-1)*(1/Q2937)))))/Inputs!$B$44),IF(Inputs!$B$39="pvp",MIN((Skills!Y11*(1+Inputs!$B$34/100)),15)/15,MIN(1,(Skills!Y11*(1+Inputs!$B$34/100))/(1/Q2937)))))/100)*(1+((C2942=TRUE)*F2942*IF(AND(Inputs!$B$39&lt;&gt;"pvp",Inputs!$B$44&gt;0),(((R2942-1)*MIN((Skills!Y16*(1+Inputs!$B$34/100)),(1/Q2942))+MIN((Skills!Y16*(1+Inputs!$B$34/100)),MAX(0,Inputs!$B$44-((R2942-1)*(1/Q2942)))))/Inputs!$B$44),IF(Inputs!$B$39="pvp",MIN((Skills!Y16*(1+Inputs!$B$34/100)),15)/15,MIN(1,(Skills!Y16*(1+Inputs!$B$34/100))/(1/Q2942)))))/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2962*I2928)</f>
        <v/>
      </c>
      <c r="L2928">
        <f>K2928*(MIN(Inputs!$B$22+((C2951=TRUE)*(F2951-Calc!F25)),(Inputs!$B$23+((C2956=TRUE)*(F2956-Calc!F30))+IF(ArtifactsInput!$M$15,CHOOSE(ArtifactsInput!$N$15+1,25,30,35,40,45,50)/100*(Inputs!$B$11-Inputs!$B$11),0)))/100+(Inputs!$B$23+((C2956=TRUE)*(F2956-Calc!F30))+IF(ArtifactsInput!$M$15,CHOOSE(ArtifactsInput!$N$15+1,25,30,35,40,45,50)/100*(Inputs!$B$11-Inputs!$B$11),0))/100)/2</f>
        <v/>
      </c>
      <c r="M2928">
        <f>L2928*(1+(Inputs!$B$10+((C2953=TRUE)*(F2953-Calc!F27))+B2967+(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2928">
        <f>L2928*(1-MIN((Inputs!$B$9+((C2952=TRUE)*(F2952-Calc!F26))+B2960+(ArtifactsInput!$M$24-ArtifactsInput!$M$24)*CHOOSE(ArtifactsInput!$N$24+1,10,12,14,16,18,20)+(IF(AND(Inputs!$B$39&lt;&gt;"pvp",Inputs!$B$44=0),1,IF(IF(Inputs!$B$39="pvp",15,Inputs!$B$44)-(B2971)&lt;=0,1,MAX(0,IF(Inputs!$B$39="pvp",15,Inputs!$B$44)-MAX(5,B2971))/(IF(Inputs!$B$39="pvp",15,Inputs!$B$44)-(B2971))))*IF(AND(ArtifactsInput!$M$42,((Inputs!$B$9+((C2952=TRUE)*(F2952-Calc!F26))+B2960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2928*(MIN((Inputs!$B$9+((C2952=TRUE)*(F2952-Calc!F26))+B2960+(ArtifactsInput!$M$24-ArtifactsInput!$M$24)*CHOOSE(ArtifactsInput!$N$24+1,10,12,14,16,18,20)+(IF(AND(Inputs!$B$39&lt;&gt;"pvp",Inputs!$B$44=0),1,IF(IF(Inputs!$B$39="pvp",15,Inputs!$B$44)-(B2971)&lt;=0,1,MAX(0,IF(Inputs!$B$39="pvp",15,Inputs!$B$44)-MAX(5,B2971))/(IF(Inputs!$B$39="pvp",15,Inputs!$B$44)-(B2971))))*IF(AND(ArtifactsInput!$M$42,((Inputs!$B$9+((C2952=TRUE)*(F2952-Calc!F26))+B2960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928">
        <f>(1-Summary!$B$11)*T2928+Summary!$B$11*V2928</f>
        <v/>
      </c>
      <c r="P2928">
        <f>IF(B2972=0,0,O2928/B2972)</f>
        <v/>
      </c>
      <c r="Q2928" t="n">
        <v>0</v>
      </c>
      <c r="R2928" t="n">
        <v>0</v>
      </c>
      <c r="S2928">
        <f>IFERROR(O2928/N2928,0)</f>
        <v/>
      </c>
      <c r="T2928">
        <f>IF(C2928,(Skills!G2*N2928*B2966)*IF(Inputs!$B$39="pvp",1,1+(Inputs!$B$20+0+Skills!P2+B2961+(IF(AND(IF(ArtifactsInput!$M$36,FALSE,TRUE),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Hunt"),CHOOSE(ArtifactsInput!$N$35+1,15,18,21,24,27,30)*(1-EXP(-(0.2*B2964)*5)),0)+IF(AND(ArtifactsInput!$M$22,Inputs!$B$4&lt;&gt;"Chapter Hunt"),CHOOSE(ArtifactsInput!$N$22+1,10,12,14,16,18,20)*((0*(((0.15*B2964*5))^0/1)+1*(((0.15*B2964*5))^1/1)+2*(((0.15*B2964*5))^2/2)+3*(((0.15*B2964*5))^3/6)+4*(((0.15*B2964*5))^4/24)+5*(((0.15*B2964*5))^5/120))/((((0.15*B2964*5))^0/1)+(((0.15*B2964*5))^1/1)+(((0.15*B2964*5))^2/2)+(((0.15*B2964*5))^3/6)+(((0.15*B2964*5))^4/24)+(((0.15*B2964*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2928*(1-MIN(100,(Inputs!$B$9+((C2952=TRUE)*(F2952-Calc!F26))+B2960+(ArtifactsInput!$M$24-ArtifactsInput!$M$24)*CHOOSE(ArtifactsInput!$N$24+1,10,12,14,16,18,20)+(IF(AND(Inputs!$B$39&lt;&gt;"pvp",Inputs!$B$44=0),1,IF(IF(Inputs!$B$39="pvp",15,Inputs!$B$44)-(B2971)&lt;=0,1,MAX(0,IF(Inputs!$B$39="pvp",15,Inputs!$B$44)-MAX(5,B2971))/(IF(Inputs!$B$39="pvp",15,Inputs!$B$44)-(B2971))))*IF(AND(ArtifactsInput!$M$42,((Inputs!$B$9+((C2952=TRUE)*(F2952-Calc!F26))+B2960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2928*(MIN(100,(Inputs!$B$9+((C2952=TRUE)*(F2952-Calc!F26))+B2960+(ArtifactsInput!$M$24-ArtifactsInput!$M$24)*CHOOSE(ArtifactsInput!$N$24+1,10,12,14,16,18,20)+(IF(AND(Inputs!$B$39&lt;&gt;"pvp",Inputs!$B$44=0),1,IF(IF(Inputs!$B$39="pvp",15,Inputs!$B$44)-(B2971)&lt;=0,1,MAX(0,IF(Inputs!$B$39="pvp",15,Inputs!$B$44)-MAX(5,B2971))/(IF(Inputs!$B$39="pvp",15,Inputs!$B$44)-(B2971))))*IF(AND(ArtifactsInput!$M$42,((Inputs!$B$9+((C2952=TRUE)*(F2952-Calc!F26))+B2960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2928*(1-MIN(100,(Inputs!$B$9+((C2952=TRUE)*(F2952-Calc!F26))+B2960+(ArtifactsInput!$M$24-ArtifactsInput!$M$24)*CHOOSE(ArtifactsInput!$N$24+1,10,12,14,16,18,20)+(IF(AND(Inputs!$B$39&lt;&gt;"pvp",Inputs!$B$44=0),1,IF(IF(Inputs!$B$39="pvp",15,Inputs!$B$44)-(B2971)&lt;=0,1,MAX(0,IF(Inputs!$B$39="pvp",15,Inputs!$B$44)-MAX(5,B2971))/(IF(Inputs!$B$39="pvp",15,Inputs!$B$44)-(B2971))))*IF(AND(ArtifactsInput!$M$42,((Inputs!$B$9+((C2952=TRUE)*(F2952-Calc!F26))+B2960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2928*(MIN(100,(Inputs!$B$9+((C2952=TRUE)*(F2952-Calc!F26))+B2960+(ArtifactsInput!$M$24-ArtifactsInput!$M$24)*CHOOSE(ArtifactsInput!$N$24+1,10,12,14,16,18,20)+(IF(AND(Inputs!$B$39&lt;&gt;"pvp",Inputs!$B$44=0),1,IF(IF(Inputs!$B$39="pvp",15,Inputs!$B$44)-(B2971)&lt;=0,1,MAX(0,IF(Inputs!$B$39="pvp",15,Inputs!$B$44)-MAX(5,B2971))/(IF(Inputs!$B$39="pvp",15,Inputs!$B$44)-(B2971))))*IF(AND(ArtifactsInput!$M$42,((Inputs!$B$9+((C2952=TRUE)*(F2952-Calc!F26))+B2960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2928">
        <f>MAX(0,(Inputs!$B$3-100)*3)+Inputs!$B$28+Inputs!$B$29</f>
        <v/>
      </c>
      <c r="V2928">
        <f>IF(C2928,(Skills!G2*N2928*B2966)*IF(Inputs!$B$39="pvp",1,(1+(Inputs!$B$21+Skills!Q2+B2961+(IF(ArtifactsInput!$M$33,CHOOSE(ArtifactsInput!$N$33+1,30,36,42,48,54,60),0))+(IF(AND(ArtifactsInput!$M$35,Inputs!$B$4&lt;&gt;"Chapter Hunt"),CHOOSE(ArtifactsInput!$N$35+1,15,18,21,24,27,30)*(1-EXP(-(0.2*B2964)*5)),0)+IF(AND(ArtifactsInput!$M$22,Inputs!$B$4&lt;&gt;"Chapter Hunt"),CHOOSE(ArtifactsInput!$N$22+1,10,12,14,16,18,20)*((0*(((0.15*B2964*5))^0/1)+1*(((0.15*B2964*5))^1/1)+2*(((0.15*B2964*5))^2/2)+3*(((0.15*B2964*5))^3/6)+4*(((0.15*B2964*5))^4/24)+5*(((0.15*B2964*5))^5/120))/((((0.15*B2964*5))^0/1)+(((0.15*B2964*5))^1/1)+(((0.15*B2964*5))^2/2)+(((0.15*B2964*5))^3/6)+(((0.15*B2964*5))^4/24)+(((0.15*B2964*5))^5/120))),0)))/100)*(MIN((6+Inputs!$B$33),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929">
      <c r="A2929">
        <f>Skills!A3</f>
        <v/>
      </c>
      <c r="B2929">
        <f>Skills!B3</f>
        <v/>
      </c>
      <c r="C2929">
        <f>Inputs!$B$3&gt;=35</f>
        <v/>
      </c>
      <c r="D2929">
        <f>IF(Skills!C3=1,60+Inputs!$B$25+Inputs!$B$29,IF(Skills!C3=2,90+Inputs!$B$26+Inputs!$B$29,IF(Skills!C3=3,120+Inputs!$B$27+Inputs!$B$29,MAX(0,(Inputs!$B$3-100)*3)+Inputs!$B$28+Inputs!$B$29)))</f>
        <v/>
      </c>
      <c r="E2929">
        <f>INDEX(FactorTable!$B$2:$Y$301, MATCH(ROUND(MIN(300,MAX(1,D2929)),0), FactorTable!$A$2:$A$301,0), Skills!M3+1)</f>
        <v/>
      </c>
      <c r="F2929">
        <f>IF(Skills!N3=TRUE,(Skills!L3/10)*(E2929/1000),Skills!L3/10)+Skills!O3</f>
        <v/>
      </c>
      <c r="G2929">
        <f>Skills!G3*IF(Skills!H3&gt;0,IF(Inputs!$B$39="pvp",MIN(Skills!I3,15),Skills!I3)/Skills!H3,1)</f>
        <v/>
      </c>
      <c r="H2929">
        <f>1-(1-Skills!J3/100)^Skills!K3</f>
        <v/>
      </c>
      <c r="I2929" t="inlineStr">
        <is>
          <t>1</t>
        </is>
      </c>
      <c r="J2929" t="inlineStr"/>
      <c r="K2929" t="inlineStr"/>
      <c r="L2929" t="inlineStr"/>
      <c r="M2929" t="inlineStr"/>
      <c r="N2929" t="inlineStr"/>
      <c r="O2929">
        <f>(1-Summary!$B$11)*T2929+Summary!$B$11*V2929</f>
        <v/>
      </c>
      <c r="P2929">
        <f>IF(B2972=0,0,O2929/B2972)</f>
        <v/>
      </c>
      <c r="Q2929" t="n">
        <v>0</v>
      </c>
      <c r="R2929" t="n">
        <v>0</v>
      </c>
      <c r="S2929">
        <f>IFERROR(O2929/N2929,0)</f>
        <v/>
      </c>
      <c r="T2929" t="n">
        <v>0</v>
      </c>
      <c r="U2929">
        <f>INDEX(FactorTable!$B$2:$Y$301, MATCH(ROUND(MIN(300,MAX(1,U2928)),0), FactorTable!$A$2:$A$301,0), 22)</f>
        <v/>
      </c>
      <c r="V2929" t="n">
        <v>0</v>
      </c>
    </row>
    <row r="2930">
      <c r="A2930">
        <f>Skills!A4</f>
        <v/>
      </c>
      <c r="B2930">
        <f>Skills!B4</f>
        <v/>
      </c>
      <c r="C2930">
        <f>Inputs!$B$3&gt;=66</f>
        <v/>
      </c>
      <c r="D2930">
        <f>IF(Skills!C4=1,60+Inputs!$B$25+Inputs!$B$29,IF(Skills!C4=2,90+Inputs!$B$26+Inputs!$B$29,IF(Skills!C4=3,120+Inputs!$B$27+Inputs!$B$29,MAX(0,(Inputs!$B$3-100)*3)+Inputs!$B$28+Inputs!$B$29)))</f>
        <v/>
      </c>
      <c r="E2930">
        <f>INDEX(FactorTable!$B$2:$Y$301, MATCH(ROUND(MIN(300,MAX(1,D2930)),0), FactorTable!$A$2:$A$301,0), Skills!M4+1)</f>
        <v/>
      </c>
      <c r="F2930">
        <f>IF(Skills!N4=TRUE,(Skills!L4/10)*(E2930/1000),Skills!L4/10)+Skills!O4</f>
        <v/>
      </c>
      <c r="G2930">
        <f>Skills!G4*IF(Skills!H4&gt;0,IF(Inputs!$B$39="pvp",MIN(Skills!I4,15),Skills!I4)/Skills!H4,1)</f>
        <v/>
      </c>
      <c r="H2930">
        <f>1-(1-Skills!J4/100)^Skills!K4</f>
        <v/>
      </c>
      <c r="I2930" t="inlineStr">
        <is>
          <t>1</t>
        </is>
      </c>
      <c r="J2930">
        <f>((Inputs!$B$6*(1+Inputs!$B$7/100))+(((Inputs!$B$12*(1+Inputs!$B$13/100))-(Inputs!$B$12*(1+Inputs!$B$13/100)))+0.25*(Inputs!$B$14-Inputs!$B$14))*(1+Inputs!$B$7/100))*(F2930/100)</f>
        <v/>
      </c>
      <c r="K2930">
        <f>J2930*(1+((Inputs!$B$12*(1+Inputs!$B$13/100))*0.01+Inputs!$B$14*0.0025)/100)*(1+Inputs!$B$15/100)*(1+Inputs!$B$16/100)*(5000/(6000+Inputs!$B$43*(1-(100*(1-(1-Inputs!$B$19/100)*(1-CHOOSE(ArtifactsInput!$N$40+1,5,6,7,8,9,10)/100)^(ArtifactsInput!$M$40-ArtifactsInput!$M$40)))/100)))*(1+(Inputs!$B$24+((C2957=TRUE)*(F2957-Calc!F31))+((C2944=TRUE)*(F2944-Calc!F18)))/100)*(1+(((1+IF(AND(IF(ArtifactsInput!$M$36,FALSE,TRUE),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4="CRUEL_STAB",Inputs!$B$17+((C2954=TRUE)*(F2954-Calc!F28))+((IF(AND(Inputs!$B$39&lt;&gt;"pvp",Inputs!$B$44=0),1,IF(IF(Inputs!$B$39="pvp",15,Inputs!$B$44)-(B2971)&lt;=0,1,MAX(0,IF(Inputs!$B$39="pvp",15,Inputs!$B$44)-MAX(5,B2971))/(IF(Inputs!$B$39="pvp",15,Inputs!$B$44)-(B2971))))*(IF(AND(ArtifactsInput!$M$42,((Inputs!$B$9+((C2952=TRUE)*(F2952-Calc!F26))+B2960+(ArtifactsInput!$M$24-ArtifactsInput!$M$24)*CHOOSE(ArtifactsInput!$N$24+1,10,12,14,16,18,20)+IF(ArtifactsInput!$M$10,CHOOSE(ArtifactsInput!$N$10+1,15,18,21,24,27,30)*(IF(Inputs!$B$39="pvp",MIN(15,15)/15,IF(AND(Inputs!$B$39&lt;&gt;"pvp",Inputs!$B$44&gt;0),MIN(15,Inputs!$B$44)/(Inputs!$B$44),0))),0)))&gt;=100),MIN(100,((Inputs!$B$9+((C2952=TRUE)*(F2952-Calc!F26))+B2960+(ArtifactsInput!$M$24-ArtifactsInput!$M$24)*CHOOSE(ArtifactsInput!$N$24+1,10,12,14,16,18,20)+IF(ArtifactsInput!$M$10,CHOOSE(ArtifactsInput!$N$10+1,15,18,21,24,27,30)*(IF(Inputs!$B$39="pvp",MIN(15,15)/15,IF(AND(Inputs!$B$39&lt;&gt;"pvp",Inputs!$B$44&gt;0),MIN(15,Inputs!$B$44)/(Inputs!$B$44),0))),0)))-100),0))*CHOOSE(ArtifactsInput!$N$42+1,0.6,0.72,0.84,0.96,1.08,1.2))),Inputs!$B$18+((C2955=TRUE)*(F2955-Calc!F29))+(IF(AND(Inputs!$B$39&lt;&gt;"pvp",Inputs!$B$44=0),1,IF(IF(Inputs!$B$39="pvp",15,Inputs!$B$44)-(B2971)&lt;=0,1,MAX(0,IF(Inputs!$B$39="pvp",15,Inputs!$B$44)-MAX(5,B2971))/(IF(Inputs!$B$39="pvp",15,Inputs!$B$44)-(B2971))))*IF(AND(ArtifactsInput!$M$42,((Inputs!$B$9+((C2952=TRUE)*(F2952-Calc!F26))+B2960+(ArtifactsInput!$M$24-ArtifactsInput!$M$24)*CHOOSE(ArtifactsInput!$N$24+1,10,12,14,16,18,20)+IF(ArtifactsInput!$M$10,CHOOSE(ArtifactsInput!$N$10+1,15,18,21,24,27,30)*(IF(Inputs!$B$39="pvp",MIN(15,15)/15,IF(AND(Inputs!$B$39&lt;&gt;"pvp",Inputs!$B$44&gt;0),MIN(15,Inputs!$B$44)/(Inputs!$B$44),0))),0)))&gt;=100),CHOOSE(ArtifactsInput!$N$42+1,40,48,56,64,72,80),0))))/100)*(((1+(((C2948=TRUE)*F2948*IF(AND(Inputs!$B$39&lt;&gt;"pvp",Inputs!$B$44&gt;0),(((R2948-1)*MIN((Skills!Y22*(1+Inputs!$B$34/100)),(1/Q2948))+MIN((Skills!Y22*(1+Inputs!$B$34/100)),MAX(0,Inputs!$B$44-((R2948-1)*(1/Q2948)))))/Inputs!$B$44),IF(Inputs!$B$39="pvp",MIN((Skills!Y22*(1+Inputs!$B$34/100)),15)/15,MIN(1,(Skills!Y22*(1+Inputs!$B$34/100))/(1/Q2948)))))+((C2929=TRUE)*F2929*3)+((C2931=TRUE)*F2931*(1-EXP(-0.75*B2964*5)))+((C2950=TRUE)*(F2950-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2937=TRUE)*F2937*IF(AND(Inputs!$B$39&lt;&gt;"pvp",Inputs!$B$44&gt;0),(((R2937-1)*MIN((Skills!Y11*(1+Inputs!$B$34/100)),(1/Q2937))+MIN((Skills!Y11*(1+Inputs!$B$34/100)),MAX(0,Inputs!$B$44-((R2937-1)*(1/Q2937)))))/Inputs!$B$44),IF(Inputs!$B$39="pvp",MIN((Skills!Y11*(1+Inputs!$B$34/100)),15)/15,MIN(1,(Skills!Y11*(1+Inputs!$B$34/100))/(1/Q2937)))))/100)*(1+((C2942=TRUE)*F2942*IF(AND(Inputs!$B$39&lt;&gt;"pvp",Inputs!$B$44&gt;0),(((R2942-1)*MIN((Skills!Y16*(1+Inputs!$B$34/100)),(1/Q2942))+MIN((Skills!Y16*(1+Inputs!$B$34/100)),MAX(0,Inputs!$B$44-((R2942-1)*(1/Q2942)))))/Inputs!$B$44),IF(Inputs!$B$39="pvp",MIN((Skills!Y16*(1+Inputs!$B$34/100)),15)/15,MIN(1,(Skills!Y16*(1+Inputs!$B$34/100))/(1/Q2942)))))/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2962*I2930)</f>
        <v/>
      </c>
      <c r="L2930">
        <f>K2930*(MIN(Inputs!$B$22+((C2951=TRUE)*(F2951-Calc!F25)),(Inputs!$B$23+((C2956=TRUE)*(F2956-Calc!F30))+IF(ArtifactsInput!$M$15,CHOOSE(ArtifactsInput!$N$15+1,25,30,35,40,45,50)/100*(Inputs!$B$11-Inputs!$B$11),0)))/100+(Inputs!$B$23+((C2956=TRUE)*(F2956-Calc!F30))+IF(ArtifactsInput!$M$15,CHOOSE(ArtifactsInput!$N$15+1,25,30,35,40,45,50)/100*(Inputs!$B$11-Inputs!$B$11),0))/100)/2</f>
        <v/>
      </c>
      <c r="M2930">
        <f>L2930*(1+(Inputs!$B$10+((C2953=TRUE)*(F2953-Calc!F27))+B2967+(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2930">
        <f>L2930*(1-MIN((Inputs!$B$9+((C2952=TRUE)*(F2952-Calc!F26))+B2960+(ArtifactsInput!$M$24-ArtifactsInput!$M$24)*CHOOSE(ArtifactsInput!$N$24+1,10,12,14,16,18,20)+(IF(AND(Inputs!$B$39&lt;&gt;"pvp",Inputs!$B$44=0),1,IF(IF(Inputs!$B$39="pvp",15,Inputs!$B$44)-(B2971)&lt;=0,1,MAX(0,IF(Inputs!$B$39="pvp",15,Inputs!$B$44)-MAX(5,B2971))/(IF(Inputs!$B$39="pvp",15,Inputs!$B$44)-(B2971))))*IF(AND(ArtifactsInput!$M$42,((Inputs!$B$9+((C2952=TRUE)*(F2952-Calc!F26))+B2960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2930*(MIN((Inputs!$B$9+((C2952=TRUE)*(F2952-Calc!F26))+B2960+(ArtifactsInput!$M$24-ArtifactsInput!$M$24)*CHOOSE(ArtifactsInput!$N$24+1,10,12,14,16,18,20)+(IF(AND(Inputs!$B$39&lt;&gt;"pvp",Inputs!$B$44=0),1,IF(IF(Inputs!$B$39="pvp",15,Inputs!$B$44)-(B2971)&lt;=0,1,MAX(0,IF(Inputs!$B$39="pvp",15,Inputs!$B$44)-MAX(5,B2971))/(IF(Inputs!$B$39="pvp",15,Inputs!$B$44)-(B2971))))*IF(AND(ArtifactsInput!$M$42,((Inputs!$B$9+((C2952=TRUE)*(F2952-Calc!F26))+B2960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930">
        <f>(1-Summary!$B$11)*T2930+Summary!$B$11*V2930</f>
        <v/>
      </c>
      <c r="P2930">
        <f>IF(B2972=0,0,O2930/B2972)</f>
        <v/>
      </c>
      <c r="Q2930">
        <f>IFERROR(1/IF(Inputs!$B$39="pvp",15,MAX(0.1,Skills!D4-IF(TRUE=TRUE,Inputs!$B$32,0))),0)</f>
        <v/>
      </c>
      <c r="R2930">
        <f>IF(AND(Inputs!$B$39&lt;&gt;"pvp",Inputs!$B$44&gt;0),IF(MAX(0,Inputs!$B$44-B2971)&lt;=0,0,(INT(MAX(0,Inputs!$B$44-B2971)/IF(Inputs!$B$39="pvp",15,MAX(0.1,Skills!D4-IF(TRUE=TRUE,Inputs!$B$32,0))))+1)),0)</f>
        <v/>
      </c>
      <c r="S2930">
        <f>IFERROR(O2930/N2930,0)</f>
        <v/>
      </c>
      <c r="T2930">
        <f>IF(C2930,(H2930*N2930*IF(AND(Inputs!$B$39&lt;&gt;"pvp",Inputs!$B$44&gt;0),((Skills!G4*((R2930-1)*IF(Skills!H4&gt;0,Skills!I4/Skills!H4,1)+IF(Skills!H4&gt;0,MIN(Skills!I4,MAX(0,MAX(0,Inputs!$B$44-B2971)-((R2930-1)*IF(Inputs!$B$39="pvp",15,MAX(0.1,Skills!D4-IF(TRUE=TRUE,Inputs!$B$32,0))))))/Skills!H4,1)))/Inputs!$B$44),G2930*Q2930))*IF(Inputs!$B$39="pvp",1,1+(Inputs!$B$20+0+Skills!P4+B2961+(IF(AND(IF(ArtifactsInput!$M$36,FALSE,TRUE),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Hunt"),CHOOSE(ArtifactsInput!$N$35+1,15,18,21,24,27,30)*(1-EXP(-(0.2*B2964)*5)),0)+IF(AND(ArtifactsInput!$M$22,Inputs!$B$4&lt;&gt;"Chapter Hunt"),CHOOSE(ArtifactsInput!$N$22+1,10,12,14,16,18,20)*((0*(((0.15*B2964*5))^0/1)+1*(((0.15*B2964*5))^1/1)+2*(((0.15*B2964*5))^2/2)+3*(((0.15*B2964*5))^3/6)+4*(((0.15*B2964*5))^4/24)+5*(((0.15*B2964*5))^5/120))/((((0.15*B2964*5))^0/1)+(((0.15*B2964*5))^1/1)+(((0.15*B2964*5))^2/2)+(((0.15*B2964*5))^3/6)+(((0.15*B2964*5))^4/24)+(((0.15*B2964*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2930*(1-MIN(100,(Inputs!$B$9+((C2952=TRUE)*(F2952-Calc!F26))+B2960+(ArtifactsInput!$M$24-ArtifactsInput!$M$24)*CHOOSE(ArtifactsInput!$N$24+1,10,12,14,16,18,20)+(IF(AND(Inputs!$B$39&lt;&gt;"pvp",Inputs!$B$44=0),1,IF(IF(Inputs!$B$39="pvp",15,Inputs!$B$44)-(B2971)&lt;=0,1,MAX(0,IF(Inputs!$B$39="pvp",15,Inputs!$B$44)-MAX(5,B2971))/(IF(Inputs!$B$39="pvp",15,Inputs!$B$44)-(B2971))))*IF(AND(ArtifactsInput!$M$42,((Inputs!$B$9+((C2952=TRUE)*(F2952-Calc!F26))+B2960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2930*(MIN(100,(Inputs!$B$9+((C2952=TRUE)*(F2952-Calc!F26))+B2960+(ArtifactsInput!$M$24-ArtifactsInput!$M$24)*CHOOSE(ArtifactsInput!$N$24+1,10,12,14,16,18,20)+(IF(AND(Inputs!$B$39&lt;&gt;"pvp",Inputs!$B$44=0),1,IF(IF(Inputs!$B$39="pvp",15,Inputs!$B$44)-(B2971)&lt;=0,1,MAX(0,IF(Inputs!$B$39="pvp",15,Inputs!$B$44)-MAX(5,B2971))/(IF(Inputs!$B$39="pvp",15,Inputs!$B$44)-(B2971))))*IF(AND(ArtifactsInput!$M$42,((Inputs!$B$9+((C2952=TRUE)*(F2952-Calc!F26))+B2960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2930*(1-MIN(100,(Inputs!$B$9+((C2952=TRUE)*(F2952-Calc!F26))+B2960+(ArtifactsInput!$M$24-ArtifactsInput!$M$24)*CHOOSE(ArtifactsInput!$N$24+1,10,12,14,16,18,20)+(IF(AND(Inputs!$B$39&lt;&gt;"pvp",Inputs!$B$44=0),1,IF(IF(Inputs!$B$39="pvp",15,Inputs!$B$44)-(B2971)&lt;=0,1,MAX(0,IF(Inputs!$B$39="pvp",15,Inputs!$B$44)-MAX(5,B2971))/(IF(Inputs!$B$39="pvp",15,Inputs!$B$44)-(B2971))))*IF(AND(ArtifactsInput!$M$42,((Inputs!$B$9+((C2952=TRUE)*(F2952-Calc!F26))+B2960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2930*(MIN(100,(Inputs!$B$9+((C2952=TRUE)*(F2952-Calc!F26))+B2960+(ArtifactsInput!$M$24-ArtifactsInput!$M$24)*CHOOSE(ArtifactsInput!$N$24+1,10,12,14,16,18,20)+(IF(AND(Inputs!$B$39&lt;&gt;"pvp",Inputs!$B$44=0),1,IF(IF(Inputs!$B$39="pvp",15,Inputs!$B$44)-(B2971)&lt;=0,1,MAX(0,IF(Inputs!$B$39="pvp",15,Inputs!$B$44)-MAX(5,B2971))/(IF(Inputs!$B$39="pvp",15,Inputs!$B$44)-(B2971))))*IF(AND(ArtifactsInput!$M$42,((Inputs!$B$9+((C2952=TRUE)*(F2952-Calc!F26))+B2960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2930">
        <f>290*U2929/1000</f>
        <v/>
      </c>
      <c r="V2930">
        <f>IF(C2930,(H2930*N2930*IF(AND(Inputs!$B$39&lt;&gt;"pvp",Inputs!$B$44&gt;0),((Skills!G4*((R2930-1)*IF(Skills!H4&gt;0,Skills!I4/Skills!H4,1)+IF(Skills!H4&gt;0,MIN(Skills!I4,MAX(0,MAX(0,Inputs!$B$44-B2971)-((R2930-1)*IF(Inputs!$B$39="pvp",15,MAX(0.1,Skills!D4-IF(TRUE=TRUE,Inputs!$B$32,0))))))/Skills!H4,1)))/Inputs!$B$44),G2930*Q2930))*IF(Inputs!$B$39="pvp",1,(1+(Inputs!$B$21+Skills!Q4+B2961+(IF(ArtifactsInput!$M$33,CHOOSE(ArtifactsInput!$N$33+1,30,36,42,48,54,60),0))+(IF(AND(ArtifactsInput!$M$35,Inputs!$B$4&lt;&gt;"Chapter Hunt"),CHOOSE(ArtifactsInput!$N$35+1,15,18,21,24,27,30)*(1-EXP(-(0.2*B2964)*5)),0)+IF(AND(ArtifactsInput!$M$22,Inputs!$B$4&lt;&gt;"Chapter Hunt"),CHOOSE(ArtifactsInput!$N$22+1,10,12,14,16,18,20)*((0*(((0.15*B2964*5))^0/1)+1*(((0.15*B2964*5))^1/1)+2*(((0.15*B2964*5))^2/2)+3*(((0.15*B2964*5))^3/6)+4*(((0.15*B2964*5))^4/24)+5*(((0.15*B2964*5))^5/120))/((((0.15*B2964*5))^0/1)+(((0.15*B2964*5))^1/1)+(((0.15*B2964*5))^2/2)+(((0.15*B2964*5))^3/6)+(((0.15*B2964*5))^4/24)+(((0.15*B2964*5))^5/120))),0)))/100)*(MIN(MIN(10,IF(Inputs!$B$3&gt;=75,0.75,0.5)*B2964*(1/Q2930)),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931">
      <c r="A2931">
        <f>Skills!A5</f>
        <v/>
      </c>
      <c r="B2931">
        <f>Skills!B5</f>
        <v/>
      </c>
      <c r="C2931">
        <f>Inputs!$B$3&gt;=75</f>
        <v/>
      </c>
      <c r="D2931">
        <f>IF(Skills!C5=1,60+Inputs!$B$25+Inputs!$B$29,IF(Skills!C5=2,90+Inputs!$B$26+Inputs!$B$29,IF(Skills!C5=3,120+Inputs!$B$27+Inputs!$B$29,MAX(0,(Inputs!$B$3-100)*3)+Inputs!$B$28+Inputs!$B$29)))</f>
        <v/>
      </c>
      <c r="E2931">
        <f>INDEX(FactorTable!$B$2:$Y$301, MATCH(ROUND(MIN(300,MAX(1,D2931)),0), FactorTable!$A$2:$A$301,0), Skills!M5+1)</f>
        <v/>
      </c>
      <c r="F2931">
        <f>IF(Skills!N5=TRUE,(Skills!L5/10)*(E2931/1000),Skills!L5/10)+Skills!O5</f>
        <v/>
      </c>
      <c r="G2931">
        <f>Skills!G5*IF(Skills!H5&gt;0,IF(Inputs!$B$39="pvp",MIN(Skills!I5,15),Skills!I5)/Skills!H5,1)</f>
        <v/>
      </c>
      <c r="H2931">
        <f>1-(1-Skills!J5/100)^Skills!K5</f>
        <v/>
      </c>
      <c r="I2931" t="inlineStr">
        <is>
          <t>1</t>
        </is>
      </c>
      <c r="J2931" t="inlineStr"/>
      <c r="K2931" t="inlineStr"/>
      <c r="L2931" t="inlineStr"/>
      <c r="M2931" t="inlineStr"/>
      <c r="N2931" t="inlineStr"/>
      <c r="O2931">
        <f>(1-Summary!$B$11)*T2931+Summary!$B$11*V2931</f>
        <v/>
      </c>
      <c r="P2931">
        <f>IF(B2972=0,0,O2931/B2972)</f>
        <v/>
      </c>
      <c r="Q2931" t="n">
        <v>0</v>
      </c>
      <c r="R2931" t="n">
        <v>0</v>
      </c>
      <c r="S2931">
        <f>IFERROR(O2931/N2931,0)</f>
        <v/>
      </c>
      <c r="T2931" t="n">
        <v>0</v>
      </c>
      <c r="V2931" t="n">
        <v>0</v>
      </c>
    </row>
    <row r="2932">
      <c r="A2932">
        <f>Skills!A6</f>
        <v/>
      </c>
      <c r="B2932">
        <f>Skills!B6</f>
        <v/>
      </c>
      <c r="C2932">
        <f>Inputs!$B$3&gt;=63</f>
        <v/>
      </c>
      <c r="D2932">
        <f>IF(Skills!C6=1,60+Inputs!$B$25+Inputs!$B$29,IF(Skills!C6=2,90+Inputs!$B$26+Inputs!$B$29,IF(Skills!C6=3,120+Inputs!$B$27+Inputs!$B$29,MAX(0,(Inputs!$B$3-100)*3)+Inputs!$B$28+Inputs!$B$29)))</f>
        <v/>
      </c>
      <c r="E2932">
        <f>INDEX(FactorTable!$B$2:$Y$301, MATCH(ROUND(MIN(300,MAX(1,D2932)),0), FactorTable!$A$2:$A$301,0), Skills!M6+1)</f>
        <v/>
      </c>
      <c r="F2932">
        <f>IF(Skills!N6=TRUE,(Skills!L6/10)*(E2932/1000),Skills!L6/10)+Skills!O6</f>
        <v/>
      </c>
      <c r="G2932">
        <f>Skills!G6*IF(Skills!H6&gt;0,IF(Inputs!$B$39="pvp",MIN(Skills!I6,15),Skills!I6)/Skills!H6,1)</f>
        <v/>
      </c>
      <c r="H2932">
        <f>1-(1-Skills!J6/100)^Skills!K6</f>
        <v/>
      </c>
      <c r="I2932" t="inlineStr">
        <is>
          <t>1</t>
        </is>
      </c>
      <c r="J2932">
        <f>((Inputs!$B$6*(1+Inputs!$B$7/100))+(((Inputs!$B$12*(1+Inputs!$B$13/100))-(Inputs!$B$12*(1+Inputs!$B$13/100)))+0.25*(Inputs!$B$14-Inputs!$B$14))*(1+Inputs!$B$7/100))*(F2932/100)</f>
        <v/>
      </c>
      <c r="K2932">
        <f>J2932*(1+((Inputs!$B$12*(1+Inputs!$B$13/100))*0.01+Inputs!$B$14*0.0025)/100)*(1+Inputs!$B$15/100)*(1+Inputs!$B$16/100)*(5000/(6000+Inputs!$B$43*(1-(100*(1-(1-Inputs!$B$19/100)*(1-CHOOSE(ArtifactsInput!$N$40+1,5,6,7,8,9,10)/100)^(ArtifactsInput!$M$40-ArtifactsInput!$M$40)))/100)))*(1+(Inputs!$B$24+((C2957=TRUE)*(F2957-Calc!F31))+((C2944=TRUE)*(F2944-Calc!F18)))/100)*(1+(((1+IF(AND(IF(ArtifactsInput!$M$36,FALSE,TRUE),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+2.6666666666666665*IF(C2945=TRUE,F2945,0)/100)*(1+(IF(Skills!A6="CRUEL_STAB",Inputs!$B$17+((C2954=TRUE)*(F2954-Calc!F28))+((IF(AND(Inputs!$B$39&lt;&gt;"pvp",Inputs!$B$44=0),1,IF(IF(Inputs!$B$39="pvp",15,Inputs!$B$44)-(B2971)&lt;=0,1,MAX(0,IF(Inputs!$B$39="pvp",15,Inputs!$B$44)-MAX(5,B2971))/(IF(Inputs!$B$39="pvp",15,Inputs!$B$44)-(B2971))))*(IF(AND(ArtifactsInput!$M$42,((Inputs!$B$9+((C2952=TRUE)*(F2952-Calc!F26))+B2960+(ArtifactsInput!$M$24-ArtifactsInput!$M$24)*CHOOSE(ArtifactsInput!$N$24+1,10,12,14,16,18,20)+IF(ArtifactsInput!$M$10,CHOOSE(ArtifactsInput!$N$10+1,15,18,21,24,27,30)*(IF(Inputs!$B$39="pvp",MIN(15,15)/15,IF(AND(Inputs!$B$39&lt;&gt;"pvp",Inputs!$B$44&gt;0),MIN(15,Inputs!$B$44)/(Inputs!$B$44),0))),0)))&gt;=100),MIN(100,((Inputs!$B$9+((C2952=TRUE)*(F2952-Calc!F26))+B2960+(ArtifactsInput!$M$24-ArtifactsInput!$M$24)*CHOOSE(ArtifactsInput!$N$24+1,10,12,14,16,18,20)+IF(ArtifactsInput!$M$10,CHOOSE(ArtifactsInput!$N$10+1,15,18,21,24,27,30)*(IF(Inputs!$B$39="pvp",MIN(15,15)/15,IF(AND(Inputs!$B$39&lt;&gt;"pvp",Inputs!$B$44&gt;0),MIN(15,Inputs!$B$44)/(Inputs!$B$44),0))),0)))-100),0))*CHOOSE(ArtifactsInput!$N$42+1,0.6,0.72,0.84,0.96,1.08,1.2))),Inputs!$B$18+((C2955=TRUE)*(F2955-Calc!F29))+(IF(AND(Inputs!$B$39&lt;&gt;"pvp",Inputs!$B$44=0),1,IF(IF(Inputs!$B$39="pvp",15,Inputs!$B$44)-(B2971)&lt;=0,1,MAX(0,IF(Inputs!$B$39="pvp",15,Inputs!$B$44)-MAX(5,B2971))/(IF(Inputs!$B$39="pvp",15,Inputs!$B$44)-(B2971))))*IF(AND(ArtifactsInput!$M$42,((Inputs!$B$9+((C2952=TRUE)*(F2952-Calc!F26))+B2960+(ArtifactsInput!$M$24-ArtifactsInput!$M$24)*CHOOSE(ArtifactsInput!$N$24+1,10,12,14,16,18,20)+IF(ArtifactsInput!$M$10,CHOOSE(ArtifactsInput!$N$10+1,15,18,21,24,27,30)*(IF(Inputs!$B$39="pvp",MIN(15,15)/15,IF(AND(Inputs!$B$39&lt;&gt;"pvp",Inputs!$B$44&gt;0),MIN(15,Inputs!$B$44)/(Inputs!$B$44),0))),0)))&gt;=100),CHOOSE(ArtifactsInput!$N$42+1,40,48,56,64,72,80),0))))/100)*(((1+(((C2948=TRUE)*F2948*IF(AND(Inputs!$B$39&lt;&gt;"pvp",Inputs!$B$44&gt;0),(((R2948-1)*MIN((Skills!Y22*(1+Inputs!$B$34/100)),(1/Q2948))+MIN((Skills!Y22*(1+Inputs!$B$34/100)),MAX(0,Inputs!$B$44-((R2948-1)*(1/Q2948)))))/Inputs!$B$44),IF(Inputs!$B$39="pvp",MIN((Skills!Y22*(1+Inputs!$B$34/100)),15)/15,MIN(1,(Skills!Y22*(1+Inputs!$B$34/100))/(1/Q2948)))))+((C2929=TRUE)*F2929*3)+((C2931=TRUE)*F2931*(1-EXP(-0.75*B2964*5)))+((C2950=TRUE)*(F2950-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2937=TRUE)*F2937*IF(AND(Inputs!$B$39&lt;&gt;"pvp",Inputs!$B$44&gt;0),(((R2937-1)*MIN((Skills!Y11*(1+Inputs!$B$34/100)),(1/Q2937))+MIN((Skills!Y11*(1+Inputs!$B$34/100)),MAX(0,Inputs!$B$44-((R2937-1)*(1/Q2937)))))/Inputs!$B$44),IF(Inputs!$B$39="pvp",MIN((Skills!Y11*(1+Inputs!$B$34/100)),15)/15,MIN(1,(Skills!Y11*(1+Inputs!$B$34/100))/(1/Q2937)))))/100)*(1+((C2942=TRUE)*F2942*IF(AND(Inputs!$B$39&lt;&gt;"pvp",Inputs!$B$44&gt;0),(((R2942-1)*MIN((Skills!Y16*(1+Inputs!$B$34/100)),(1/Q2942))+MIN((Skills!Y16*(1+Inputs!$B$34/100)),MAX(0,Inputs!$B$44-((R2942-1)*(1/Q2942)))))/Inputs!$B$44),IF(Inputs!$B$39="pvp",MIN((Skills!Y16*(1+Inputs!$B$34/100)),15)/15,MIN(1,(Skills!Y16*(1+Inputs!$B$34/100))/(1/Q2942)))))/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2962*I2932)</f>
        <v/>
      </c>
      <c r="L2932">
        <f>K2932*(MIN(Inputs!$B$22+((C2951=TRUE)*(F2951-Calc!F25)),(Inputs!$B$23+((C2956=TRUE)*(F2956-Calc!F30))+IF(ArtifactsInput!$M$15,CHOOSE(ArtifactsInput!$N$15+1,25,30,35,40,45,50)/100*(Inputs!$B$11-Inputs!$B$11),0)))/100+(Inputs!$B$23+((C2956=TRUE)*(F2956-Calc!F30))+IF(ArtifactsInput!$M$15,CHOOSE(ArtifactsInput!$N$15+1,25,30,35,40,45,50)/100*(Inputs!$B$11-Inputs!$B$11),0))/100)/2</f>
        <v/>
      </c>
      <c r="M2932">
        <f>L2932*(1+(Inputs!$B$10+((C2953=TRUE)*(F2953-Calc!F27))+B2967+(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2932">
        <f>L2932*(1-MIN((Inputs!$B$9+((C2952=TRUE)*(F2952-Calc!F26))+B2960+(ArtifactsInput!$M$24-ArtifactsInput!$M$24)*CHOOSE(ArtifactsInput!$N$24+1,10,12,14,16,18,20)+(IF(AND(Inputs!$B$39&lt;&gt;"pvp",Inputs!$B$44=0),1,IF(IF(Inputs!$B$39="pvp",15,Inputs!$B$44)-(B2971)&lt;=0,1,MAX(0,IF(Inputs!$B$39="pvp",15,Inputs!$B$44)-MAX(5,B2971))/(IF(Inputs!$B$39="pvp",15,Inputs!$B$44)-(B2971))))*IF(AND(ArtifactsInput!$M$42,((Inputs!$B$9+((C2952=TRUE)*(F2952-Calc!F26))+B2960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2932*(MIN((Inputs!$B$9+((C2952=TRUE)*(F2952-Calc!F26))+B2960+(ArtifactsInput!$M$24-ArtifactsInput!$M$24)*CHOOSE(ArtifactsInput!$N$24+1,10,12,14,16,18,20)+(IF(AND(Inputs!$B$39&lt;&gt;"pvp",Inputs!$B$44=0),1,IF(IF(Inputs!$B$39="pvp",15,Inputs!$B$44)-(B2971)&lt;=0,1,MAX(0,IF(Inputs!$B$39="pvp",15,Inputs!$B$44)-MAX(5,B2971))/(IF(Inputs!$B$39="pvp",15,Inputs!$B$44)-(B2971))))*IF(AND(ArtifactsInput!$M$42,((Inputs!$B$9+((C2952=TRUE)*(F2952-Calc!F26))+B2960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932">
        <f>(1-Summary!$B$11)*T2932+Summary!$B$11*V2932</f>
        <v/>
      </c>
      <c r="P2932">
        <f>IF(B2972=0,0,O2932/B2972)</f>
        <v/>
      </c>
      <c r="Q2932">
        <f>IFERROR(1/IF(Inputs!$B$39="pvp",15,MAX(0.1,Skills!D6-IF(TRUE=TRUE,Inputs!$B$32,0))),0)</f>
        <v/>
      </c>
      <c r="R2932">
        <f>IF(AND(Inputs!$B$39&lt;&gt;"pvp",Inputs!$B$44&gt;0),IF(MAX(0,Inputs!$B$44-B2971)&lt;=0,0,(INT(MAX(0,Inputs!$B$44-B2971)/IF(Inputs!$B$39="pvp",15,MAX(0.1,Skills!D6-IF(TRUE=TRUE,Inputs!$B$32,0))))+1)),0)</f>
        <v/>
      </c>
      <c r="S2932">
        <f>IFERROR(O2932/N2932,0)</f>
        <v/>
      </c>
      <c r="T2932">
        <f>IF(C2932,(H2932*N2932*IF(AND(Inputs!$B$39&lt;&gt;"pvp",Inputs!$B$44&gt;0),((Skills!G6*((R2932-1)*IF(Skills!H6&gt;0,Skills!I6/Skills!H6,1)+IF(Skills!H6&gt;0,MIN(Skills!I6,MAX(0,MAX(0,Inputs!$B$44-B2971)-((R2932-1)*IF(Inputs!$B$39="pvp",15,MAX(0.1,Skills!D6-IF(TRUE=TRUE,Inputs!$B$32,0))))))/Skills!H6,1)))/Inputs!$B$44),G2932*Q2932))*IF(Inputs!$B$39="pvp",1,1+(Inputs!$B$20+0+Skills!P6+B2961+(IF(AND(IF(ArtifactsInput!$M$36,FALSE,TRUE),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Hunt"),CHOOSE(ArtifactsInput!$N$35+1,15,18,21,24,27,30)*(1-EXP(-(0.2*B2964)*5)),0)+IF(AND(ArtifactsInput!$M$22,Inputs!$B$4&lt;&gt;"Chapter Hunt"),CHOOSE(ArtifactsInput!$N$22+1,10,12,14,16,18,20)*((0*(((0.15*B2964*5))^0/1)+1*(((0.15*B2964*5))^1/1)+2*(((0.15*B2964*5))^2/2)+3*(((0.15*B2964*5))^3/6)+4*(((0.15*B2964*5))^4/24)+5*(((0.15*B2964*5))^5/120))/((((0.15*B2964*5))^0/1)+(((0.15*B2964*5))^1/1)+(((0.15*B2964*5))^2/2)+(((0.15*B2964*5))^3/6)+(((0.15*B2964*5))^4/24)+(((0.15*B2964*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2932*(1-MIN(100,(Inputs!$B$9+((C2952=TRUE)*(F2952-Calc!F26))+B2960+(ArtifactsInput!$M$24-ArtifactsInput!$M$24)*CHOOSE(ArtifactsInput!$N$24+1,10,12,14,16,18,20)+(IF(AND(Inputs!$B$39&lt;&gt;"pvp",Inputs!$B$44=0),1,IF(IF(Inputs!$B$39="pvp",15,Inputs!$B$44)-(B2971)&lt;=0,1,MAX(0,IF(Inputs!$B$39="pvp",15,Inputs!$B$44)-MAX(5,B2971))/(IF(Inputs!$B$39="pvp",15,Inputs!$B$44)-(B2971))))*IF(AND(ArtifactsInput!$M$42,((Inputs!$B$9+((C2952=TRUE)*(F2952-Calc!F26))+B2960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2932*(MIN(100,(Inputs!$B$9+((C2952=TRUE)*(F2952-Calc!F26))+B2960+(ArtifactsInput!$M$24-ArtifactsInput!$M$24)*CHOOSE(ArtifactsInput!$N$24+1,10,12,14,16,18,20)+(IF(AND(Inputs!$B$39&lt;&gt;"pvp",Inputs!$B$44=0),1,IF(IF(Inputs!$B$39="pvp",15,Inputs!$B$44)-(B2971)&lt;=0,1,MAX(0,IF(Inputs!$B$39="pvp",15,Inputs!$B$44)-MAX(5,B2971))/(IF(Inputs!$B$39="pvp",15,Inputs!$B$44)-(B2971))))*IF(AND(ArtifactsInput!$M$42,((Inputs!$B$9+((C2952=TRUE)*(F2952-Calc!F26))+B2960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2932*(1-MIN(100,(Inputs!$B$9+((C2952=TRUE)*(F2952-Calc!F26))+B2960+(ArtifactsInput!$M$24-ArtifactsInput!$M$24)*CHOOSE(ArtifactsInput!$N$24+1,10,12,14,16,18,20)+(IF(AND(Inputs!$B$39&lt;&gt;"pvp",Inputs!$B$44=0),1,IF(IF(Inputs!$B$39="pvp",15,Inputs!$B$44)-(B2971)&lt;=0,1,MAX(0,IF(Inputs!$B$39="pvp",15,Inputs!$B$44)-MAX(5,B2971))/(IF(Inputs!$B$39="pvp",15,Inputs!$B$44)-(B2971))))*IF(AND(ArtifactsInput!$M$42,((Inputs!$B$9+((C2952=TRUE)*(F2952-Calc!F26))+B2960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2932*(MIN(100,(Inputs!$B$9+((C2952=TRUE)*(F2952-Calc!F26))+B2960+(ArtifactsInput!$M$24-ArtifactsInput!$M$24)*CHOOSE(ArtifactsInput!$N$24+1,10,12,14,16,18,20)+(IF(AND(Inputs!$B$39&lt;&gt;"pvp",Inputs!$B$44=0),1,IF(IF(Inputs!$B$39="pvp",15,Inputs!$B$44)-(B2971)&lt;=0,1,MAX(0,IF(Inputs!$B$39="pvp",15,Inputs!$B$44)-MAX(5,B2971))/(IF(Inputs!$B$39="pvp",15,Inputs!$B$44)-(B2971))))*IF(AND(ArtifactsInput!$M$42,((Inputs!$B$9+((C2952=TRUE)*(F2952-Calc!F26))+B2960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932">
        <f>IF(C2932,(H2932*N2932*IF(AND(Inputs!$B$39&lt;&gt;"pvp",Inputs!$B$44&gt;0),((Skills!G6*((R2932-1)*IF(Skills!H6&gt;0,Skills!I6/Skills!H6,1)+IF(Skills!H6&gt;0,MIN(Skills!I6,MAX(0,MAX(0,Inputs!$B$44-B2971)-((R2932-1)*IF(Inputs!$B$39="pvp",15,MAX(0.1,Skills!D6-IF(TRUE=TRUE,Inputs!$B$32,0))))))/Skills!H6,1)))/Inputs!$B$44),G2932*Q2932))*IF(Inputs!$B$39="pvp",1,(1+(Inputs!$B$21+Skills!Q6+B2961+(IF(ArtifactsInput!$M$33,CHOOSE(ArtifactsInput!$N$33+1,30,36,42,48,54,60),0))+(IF(AND(ArtifactsInput!$M$35,Inputs!$B$4&lt;&gt;"Chapter Hunt"),CHOOSE(ArtifactsInput!$N$35+1,15,18,21,24,27,30)*(1-EXP(-(0.2*B2964)*5)),0)+IF(AND(ArtifactsInput!$M$22,Inputs!$B$4&lt;&gt;"Chapter Hunt"),CHOOSE(ArtifactsInput!$N$22+1,10,12,14,16,18,20)*((0*(((0.15*B2964*5))^0/1)+1*(((0.15*B2964*5))^1/1)+2*(((0.15*B2964*5))^2/2)+3*(((0.15*B2964*5))^3/6)+4*(((0.15*B2964*5))^4/24)+5*(((0.15*B2964*5))^5/120))/((((0.15*B2964*5))^0/1)+(((0.15*B2964*5))^1/1)+(((0.15*B2964*5))^2/2)+(((0.15*B2964*5))^3/6)+(((0.15*B2964*5))^4/24)+(((0.15*B2964*5))^5/120))),0)))/100)*(MIN(Skills!W6,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933">
      <c r="A2933">
        <f>Skills!A7</f>
        <v/>
      </c>
      <c r="B2933">
        <f>Skills!B7</f>
        <v/>
      </c>
      <c r="C2933">
        <f>Inputs!$B$3&gt;=69</f>
        <v/>
      </c>
      <c r="D2933">
        <f>IF(Skills!C7=1,60+Inputs!$B$25+Inputs!$B$29,IF(Skills!C7=2,90+Inputs!$B$26+Inputs!$B$29,IF(Skills!C7=3,120+Inputs!$B$27+Inputs!$B$29,MAX(0,(Inputs!$B$3-100)*3)+Inputs!$B$28+Inputs!$B$29)))</f>
        <v/>
      </c>
      <c r="E2933">
        <f>INDEX(FactorTable!$B$2:$Y$301, MATCH(ROUND(MIN(300,MAX(1,D2933)),0), FactorTable!$A$2:$A$301,0), Skills!M7+1)</f>
        <v/>
      </c>
      <c r="F2933">
        <f>IF(Skills!N7=TRUE,(Skills!L7/10)*(E2933/1000),Skills!L7/10)+Skills!O7</f>
        <v/>
      </c>
      <c r="G2933">
        <f>Skills!G7*IF(Skills!H7&gt;0,IF(Inputs!$B$39="pvp",MIN(Skills!I7,15),Skills!I7)/Skills!H7,1)</f>
        <v/>
      </c>
      <c r="H2933">
        <f>1-(1-Skills!J7/100)^Skills!K7</f>
        <v/>
      </c>
      <c r="I2933" t="inlineStr">
        <is>
          <t>1</t>
        </is>
      </c>
      <c r="J2933">
        <f>((Inputs!$B$6*(1+Inputs!$B$7/100))+(((Inputs!$B$12*(1+Inputs!$B$13/100))-(Inputs!$B$12*(1+Inputs!$B$13/100)))+0.25*(Inputs!$B$14-Inputs!$B$14))*(1+Inputs!$B$7/100))*(F2933/100)</f>
        <v/>
      </c>
      <c r="K2933">
        <f>J2933*(1+((Inputs!$B$12*(1+Inputs!$B$13/100))*0.01+Inputs!$B$14*0.0025)/100)*(1+Inputs!$B$15/100)*(1+Inputs!$B$16/100)*(5000/(6000+Inputs!$B$43*(1-(100*(1-(1-Inputs!$B$19/100)*(1-CHOOSE(ArtifactsInput!$N$40+1,5,6,7,8,9,10)/100)^(ArtifactsInput!$M$40-ArtifactsInput!$M$40)))/100)))*(1+(Inputs!$B$24+((C2957=TRUE)*(F2957-Calc!F31))+((C2944=TRUE)*(F2944-Calc!F18)))/100)*(1+(((1+IF(AND(IF(ArtifactsInput!$M$36,FALSE,TRUE),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2945=TRUE,F2945,0)/100)*(1+(IF(Skills!A7="CRUEL_STAB",Inputs!$B$17+((C2954=TRUE)*(F2954-Calc!F28))+((IF(AND(Inputs!$B$39&lt;&gt;"pvp",Inputs!$B$44=0),1,IF(IF(Inputs!$B$39="pvp",15,Inputs!$B$44)-(B2971)&lt;=0,1,MAX(0,IF(Inputs!$B$39="pvp",15,Inputs!$B$44)-MAX(5,B2971))/(IF(Inputs!$B$39="pvp",15,Inputs!$B$44)-(B2971))))*(IF(AND(ArtifactsInput!$M$42,((Inputs!$B$9+((C2952=TRUE)*(F2952-Calc!F26))+B2960+(ArtifactsInput!$M$24-ArtifactsInput!$M$24)*CHOOSE(ArtifactsInput!$N$24+1,10,12,14,16,18,20)+IF(ArtifactsInput!$M$10,CHOOSE(ArtifactsInput!$N$10+1,15,18,21,24,27,30)*(IF(Inputs!$B$39="pvp",MIN(15,15)/15,IF(AND(Inputs!$B$39&lt;&gt;"pvp",Inputs!$B$44&gt;0),MIN(15,Inputs!$B$44)/(Inputs!$B$44),0))),0)))&gt;=100),MIN(100,((Inputs!$B$9+((C2952=TRUE)*(F2952-Calc!F26))+B2960+(ArtifactsInput!$M$24-ArtifactsInput!$M$24)*CHOOSE(ArtifactsInput!$N$24+1,10,12,14,16,18,20)+IF(ArtifactsInput!$M$10,CHOOSE(ArtifactsInput!$N$10+1,15,18,21,24,27,30)*(IF(Inputs!$B$39="pvp",MIN(15,15)/15,IF(AND(Inputs!$B$39&lt;&gt;"pvp",Inputs!$B$44&gt;0),MIN(15,Inputs!$B$44)/(Inputs!$B$44),0))),0)))-100),0))*CHOOSE(ArtifactsInput!$N$42+1,0.6,0.72,0.84,0.96,1.08,1.2))),Inputs!$B$18+((C2955=TRUE)*(F2955-Calc!F29))+(IF(AND(Inputs!$B$39&lt;&gt;"pvp",Inputs!$B$44=0),1,IF(IF(Inputs!$B$39="pvp",15,Inputs!$B$44)-(B2971)&lt;=0,1,MAX(0,IF(Inputs!$B$39="pvp",15,Inputs!$B$44)-MAX(5,B2971))/(IF(Inputs!$B$39="pvp",15,Inputs!$B$44)-(B2971))))*IF(AND(ArtifactsInput!$M$42,((Inputs!$B$9+((C2952=TRUE)*(F2952-Calc!F26))+B2960+(ArtifactsInput!$M$24-ArtifactsInput!$M$24)*CHOOSE(ArtifactsInput!$N$24+1,10,12,14,16,18,20)+IF(ArtifactsInput!$M$10,CHOOSE(ArtifactsInput!$N$10+1,15,18,21,24,27,30)*(IF(Inputs!$B$39="pvp",MIN(15,15)/15,IF(AND(Inputs!$B$39&lt;&gt;"pvp",Inputs!$B$44&gt;0),MIN(15,Inputs!$B$44)/(Inputs!$B$44),0))),0)))&gt;=100),CHOOSE(ArtifactsInput!$N$42+1,40,48,56,64,72,80),0))))/100)*(((1+(((C2948=TRUE)*F2948*IF(AND(Inputs!$B$39&lt;&gt;"pvp",Inputs!$B$44&gt;0),(((R2948-1)*MIN((Skills!Y22*(1+Inputs!$B$34/100)),(1/Q2948))+MIN((Skills!Y22*(1+Inputs!$B$34/100)),MAX(0,Inputs!$B$44-((R2948-1)*(1/Q2948)))))/Inputs!$B$44),IF(Inputs!$B$39="pvp",MIN((Skills!Y22*(1+Inputs!$B$34/100)),15)/15,MIN(1,(Skills!Y22*(1+Inputs!$B$34/100))/(1/Q2948)))))+((C2929=TRUE)*F2929*3)+((C2931=TRUE)*F2931*(1-EXP(-0.75*B2964*5)))+((C2950=TRUE)*(F2950-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2937=TRUE)*F2937*IF(AND(Inputs!$B$39&lt;&gt;"pvp",Inputs!$B$44&gt;0),(((R2937-1)*MIN((Skills!Y11*(1+Inputs!$B$34/100)),(1/Q2937))+MIN((Skills!Y11*(1+Inputs!$B$34/100)),MAX(0,Inputs!$B$44-((R2937-1)*(1/Q2937)))))/Inputs!$B$44),IF(Inputs!$B$39="pvp",MIN((Skills!Y11*(1+Inputs!$B$34/100)),15)/15,MIN(1,(Skills!Y11*(1+Inputs!$B$34/100))/(1/Q2937)))))/100)*(1+((C2942=TRUE)*F2942*IF(AND(Inputs!$B$39&lt;&gt;"pvp",Inputs!$B$44&gt;0),(((R2942-1)*MIN((Skills!Y16*(1+Inputs!$B$34/100)),(1/Q2942))+MIN((Skills!Y16*(1+Inputs!$B$34/100)),MAX(0,Inputs!$B$44-((R2942-1)*(1/Q2942)))))/Inputs!$B$44),IF(Inputs!$B$39="pvp",MIN((Skills!Y16*(1+Inputs!$B$34/100)),15)/15,MIN(1,(Skills!Y16*(1+Inputs!$B$34/100))/(1/Q2942)))))/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2962*I2933)</f>
        <v/>
      </c>
      <c r="L2933">
        <f>K2933*(MIN(Inputs!$B$22+((C2951=TRUE)*(F2951-Calc!F25)),(Inputs!$B$23+((C2956=TRUE)*(F2956-Calc!F30))+IF(ArtifactsInput!$M$15,CHOOSE(ArtifactsInput!$N$15+1,25,30,35,40,45,50)/100*(Inputs!$B$11-Inputs!$B$11),0)))/100+(Inputs!$B$23+((C2956=TRUE)*(F2956-Calc!F30))+IF(ArtifactsInput!$M$15,CHOOSE(ArtifactsInput!$N$15+1,25,30,35,40,45,50)/100*(Inputs!$B$11-Inputs!$B$11),0))/100)/2</f>
        <v/>
      </c>
      <c r="M2933">
        <f>L2933*(1+(Inputs!$B$10+((C2953=TRUE)*(F2953-Calc!F27))+B2967+(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2933">
        <f>L2933*(1-MIN((Inputs!$B$9+((C2952=TRUE)*(F2952-Calc!F26))+B2960+(ArtifactsInput!$M$24-ArtifactsInput!$M$24)*CHOOSE(ArtifactsInput!$N$24+1,10,12,14,16,18,20)+(IF(AND(Inputs!$B$39&lt;&gt;"pvp",Inputs!$B$44=0),1,IF(IF(Inputs!$B$39="pvp",15,Inputs!$B$44)-(B2971)&lt;=0,1,MAX(0,IF(Inputs!$B$39="pvp",15,Inputs!$B$44)-MAX(5,B2971))/(IF(Inputs!$B$39="pvp",15,Inputs!$B$44)-(B2971))))*IF(AND(ArtifactsInput!$M$42,((Inputs!$B$9+((C2952=TRUE)*(F2952-Calc!F26))+B2960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2933*(MIN((Inputs!$B$9+((C2952=TRUE)*(F2952-Calc!F26))+B2960+(ArtifactsInput!$M$24-ArtifactsInput!$M$24)*CHOOSE(ArtifactsInput!$N$24+1,10,12,14,16,18,20)+(IF(AND(Inputs!$B$39&lt;&gt;"pvp",Inputs!$B$44=0),1,IF(IF(Inputs!$B$39="pvp",15,Inputs!$B$44)-(B2971)&lt;=0,1,MAX(0,IF(Inputs!$B$39="pvp",15,Inputs!$B$44)-MAX(5,B2971))/(IF(Inputs!$B$39="pvp",15,Inputs!$B$44)-(B2971))))*IF(AND(ArtifactsInput!$M$42,((Inputs!$B$9+((C2952=TRUE)*(F2952-Calc!F26))+B2960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933">
        <f>(1-Summary!$B$11)*T2933+Summary!$B$11*V2933</f>
        <v/>
      </c>
      <c r="P2933">
        <f>IF(B2972=0,0,O2933/B2972)</f>
        <v/>
      </c>
      <c r="Q2933">
        <f>IFERROR(1/IF(Inputs!$B$39="pvp",15,MAX(0.1,Skills!D7-IF(TRUE=TRUE,Inputs!$B$32,0))),0)</f>
        <v/>
      </c>
      <c r="R2933">
        <f>IF(AND(Inputs!$B$39&lt;&gt;"pvp",Inputs!$B$44&gt;0),IF(MAX(0,Inputs!$B$44-B2971)&lt;=0,0,(INT(MAX(0,Inputs!$B$44-B2971)/IF(Inputs!$B$39="pvp",15,MAX(0.1,Skills!D7-IF(TRUE=TRUE,Inputs!$B$32,0))))+1)),0)</f>
        <v/>
      </c>
      <c r="S2933">
        <f>IFERROR(O2933/N2933,0)</f>
        <v/>
      </c>
      <c r="T2933">
        <f>IF(C2933,(H2933*N2933*IF(AND(Inputs!$B$39&lt;&gt;"pvp",Inputs!$B$44&gt;0),((Skills!G7*((R2933-1)*IF(Skills!H7&gt;0,Skills!I7/Skills!H7,1)+IF(Skills!H7&gt;0,MIN(Skills!I7,MAX(0,MAX(0,Inputs!$B$44-B2971)-((R2933-1)*IF(Inputs!$B$39="pvp",15,MAX(0.1,Skills!D7-IF(TRUE=TRUE,Inputs!$B$32,0))))))/Skills!H7,1)))/Inputs!$B$44),G2933*Q2933))*IF(Inputs!$B$39="pvp",1,1+(Inputs!$B$20+0+Skills!P7+B2961+(IF(AND(IF(ArtifactsInput!$M$36,FALSE,TRUE),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Hunt"),CHOOSE(ArtifactsInput!$N$35+1,15,18,21,24,27,30)*(1-EXP(-(0.2*B2964)*5)),0)+IF(AND(ArtifactsInput!$M$22,Inputs!$B$4&lt;&gt;"Chapter Hunt"),CHOOSE(ArtifactsInput!$N$22+1,10,12,14,16,18,20)*((0*(((0.15*B2964*5))^0/1)+1*(((0.15*B2964*5))^1/1)+2*(((0.15*B2964*5))^2/2)+3*(((0.15*B2964*5))^3/6)+4*(((0.15*B2964*5))^4/24)+5*(((0.15*B2964*5))^5/120))/((((0.15*B2964*5))^0/1)+(((0.15*B2964*5))^1/1)+(((0.15*B2964*5))^2/2)+(((0.15*B2964*5))^3/6)+(((0.15*B2964*5))^4/24)+(((0.15*B2964*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2933*(1-MIN(100,(Inputs!$B$9+((C2952=TRUE)*(F2952-Calc!F26))+B2960+(ArtifactsInput!$M$24-ArtifactsInput!$M$24)*CHOOSE(ArtifactsInput!$N$24+1,10,12,14,16,18,20)+(IF(AND(Inputs!$B$39&lt;&gt;"pvp",Inputs!$B$44=0),1,IF(IF(Inputs!$B$39="pvp",15,Inputs!$B$44)-(B2971)&lt;=0,1,MAX(0,IF(Inputs!$B$39="pvp",15,Inputs!$B$44)-MAX(5,B2971))/(IF(Inputs!$B$39="pvp",15,Inputs!$B$44)-(B2971))))*IF(AND(ArtifactsInput!$M$42,((Inputs!$B$9+((C2952=TRUE)*(F2952-Calc!F26))+B2960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2933*(MIN(100,(Inputs!$B$9+((C2952=TRUE)*(F2952-Calc!F26))+B2960+(ArtifactsInput!$M$24-ArtifactsInput!$M$24)*CHOOSE(ArtifactsInput!$N$24+1,10,12,14,16,18,20)+(IF(AND(Inputs!$B$39&lt;&gt;"pvp",Inputs!$B$44=0),1,IF(IF(Inputs!$B$39="pvp",15,Inputs!$B$44)-(B2971)&lt;=0,1,MAX(0,IF(Inputs!$B$39="pvp",15,Inputs!$B$44)-MAX(5,B2971))/(IF(Inputs!$B$39="pvp",15,Inputs!$B$44)-(B2971))))*IF(AND(ArtifactsInput!$M$42,((Inputs!$B$9+((C2952=TRUE)*(F2952-Calc!F26))+B2960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2933*(1-MIN(100,(Inputs!$B$9+((C2952=TRUE)*(F2952-Calc!F26))+B2960+(ArtifactsInput!$M$24-ArtifactsInput!$M$24)*CHOOSE(ArtifactsInput!$N$24+1,10,12,14,16,18,20)+(IF(AND(Inputs!$B$39&lt;&gt;"pvp",Inputs!$B$44=0),1,IF(IF(Inputs!$B$39="pvp",15,Inputs!$B$44)-(B2971)&lt;=0,1,MAX(0,IF(Inputs!$B$39="pvp",15,Inputs!$B$44)-MAX(5,B2971))/(IF(Inputs!$B$39="pvp",15,Inputs!$B$44)-(B2971))))*IF(AND(ArtifactsInput!$M$42,((Inputs!$B$9+((C2952=TRUE)*(F2952-Calc!F26))+B2960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2933*(MIN(100,(Inputs!$B$9+((C2952=TRUE)*(F2952-Calc!F26))+B2960+(ArtifactsInput!$M$24-ArtifactsInput!$M$24)*CHOOSE(ArtifactsInput!$N$24+1,10,12,14,16,18,20)+(IF(AND(Inputs!$B$39&lt;&gt;"pvp",Inputs!$B$44=0),1,IF(IF(Inputs!$B$39="pvp",15,Inputs!$B$44)-(B2971)&lt;=0,1,MAX(0,IF(Inputs!$B$39="pvp",15,Inputs!$B$44)-MAX(5,B2971))/(IF(Inputs!$B$39="pvp",15,Inputs!$B$44)-(B2971))))*IF(AND(ArtifactsInput!$M$42,((Inputs!$B$9+((C2952=TRUE)*(F2952-Calc!F26))+B2960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933">
        <f>IF(C2933,(H2933*N2933*IF(AND(Inputs!$B$39&lt;&gt;"pvp",Inputs!$B$44&gt;0),((Skills!G7*((R2933-1)*IF(Skills!H7&gt;0,Skills!I7/Skills!H7,1)+IF(Skills!H7&gt;0,MIN(Skills!I7,MAX(0,MAX(0,Inputs!$B$44-B2971)-((R2933-1)*IF(Inputs!$B$39="pvp",15,MAX(0.1,Skills!D7-IF(TRUE=TRUE,Inputs!$B$32,0))))))/Skills!H7,1)))/Inputs!$B$44),G2933*Q2933))*IF(Inputs!$B$39="pvp",1,(1+(Inputs!$B$21+Skills!Q7+B2961+(IF(ArtifactsInput!$M$33,CHOOSE(ArtifactsInput!$N$33+1,30,36,42,48,54,60),0))+(IF(AND(ArtifactsInput!$M$35,Inputs!$B$4&lt;&gt;"Chapter Hunt"),CHOOSE(ArtifactsInput!$N$35+1,15,18,21,24,27,30)*(1-EXP(-(0.2*B2964)*5)),0)+IF(AND(ArtifactsInput!$M$22,Inputs!$B$4&lt;&gt;"Chapter Hunt"),CHOOSE(ArtifactsInput!$N$22+1,10,12,14,16,18,20)*((0*(((0.15*B2964*5))^0/1)+1*(((0.15*B2964*5))^1/1)+2*(((0.15*B2964*5))^2/2)+3*(((0.15*B2964*5))^3/6)+4*(((0.15*B2964*5))^4/24)+5*(((0.15*B2964*5))^5/120))/((((0.15*B2964*5))^0/1)+(((0.15*B2964*5))^1/1)+(((0.15*B2964*5))^2/2)+(((0.15*B2964*5))^3/6)+(((0.15*B2964*5))^4/24)+(((0.15*B2964*5))^5/120))),0)))/100)*(MIN(Skills!W7,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934">
      <c r="A2934">
        <f>Skills!A8</f>
        <v/>
      </c>
      <c r="B2934">
        <f>Skills!B8</f>
        <v/>
      </c>
      <c r="C2934">
        <f>Inputs!$B$3&gt;=60</f>
        <v/>
      </c>
      <c r="D2934">
        <f>IF(Skills!C8=1,60+Inputs!$B$25+Inputs!$B$29,IF(Skills!C8=2,90+Inputs!$B$26+Inputs!$B$29,IF(Skills!C8=3,120+Inputs!$B$27+Inputs!$B$29,MAX(0,(Inputs!$B$3-100)*3)+Inputs!$B$28+Inputs!$B$29)))</f>
        <v/>
      </c>
      <c r="E2934">
        <f>INDEX(FactorTable!$B$2:$Y$301, MATCH(ROUND(MIN(300,MAX(1,D2934)),0), FactorTable!$A$2:$A$301,0), Skills!M8+1)</f>
        <v/>
      </c>
      <c r="F2934">
        <f>IF(Skills!N8=TRUE,(Skills!L8/10)*(E2934/1000),Skills!L8/10)+Skills!O8</f>
        <v/>
      </c>
      <c r="G2934">
        <f>Skills!G8*IF(Skills!H8&gt;0,IF(Inputs!$B$39="pvp",MIN(Skills!I8,15),Skills!I8)/Skills!H8,1)</f>
        <v/>
      </c>
      <c r="H2934">
        <f>1-(1-Skills!J8/100)^Skills!K8</f>
        <v/>
      </c>
      <c r="I2934" t="inlineStr">
        <is>
          <t>1</t>
        </is>
      </c>
      <c r="J2934" t="inlineStr"/>
      <c r="K2934" t="inlineStr"/>
      <c r="L2934" t="inlineStr"/>
      <c r="M2934" t="inlineStr"/>
      <c r="N2934" t="inlineStr"/>
      <c r="O2934">
        <f>(1-Summary!$B$11)*T2934+Summary!$B$11*V2934</f>
        <v/>
      </c>
      <c r="P2934">
        <f>IF(B2972=0,0,O2934/B2972)</f>
        <v/>
      </c>
      <c r="Q2934" t="n">
        <v>0</v>
      </c>
      <c r="R2934" t="n">
        <v>0</v>
      </c>
      <c r="S2934">
        <f>IFERROR(O2934/N2934,0)</f>
        <v/>
      </c>
      <c r="T2934" t="n">
        <v>0</v>
      </c>
      <c r="V2934" t="n">
        <v>0</v>
      </c>
    </row>
    <row r="2935">
      <c r="A2935">
        <f>Skills!A9</f>
        <v/>
      </c>
      <c r="B2935">
        <f>Skills!B9</f>
        <v/>
      </c>
      <c r="C2935">
        <f>Inputs!$B$3&gt;=72</f>
        <v/>
      </c>
      <c r="D2935">
        <f>IF(Skills!C9=1,60+Inputs!$B$25+Inputs!$B$29,IF(Skills!C9=2,90+Inputs!$B$26+Inputs!$B$29,IF(Skills!C9=3,120+Inputs!$B$27+Inputs!$B$29,MAX(0,(Inputs!$B$3-100)*3)+Inputs!$B$28+Inputs!$B$29)))</f>
        <v/>
      </c>
      <c r="E2935">
        <f>INDEX(FactorTable!$B$2:$Y$301, MATCH(ROUND(MIN(300,MAX(1,D2935)),0), FactorTable!$A$2:$A$301,0), Skills!M9+1)</f>
        <v/>
      </c>
      <c r="F2935">
        <f>IF(Skills!N9=TRUE,(Skills!L9/10)*(E2935/1000),Skills!L9/10)+Skills!O9</f>
        <v/>
      </c>
      <c r="G2935">
        <f>Skills!G9*IF(Skills!H9&gt;0,IF(Inputs!$B$39="pvp",MIN(Skills!I9,15),Skills!I9)/Skills!H9,1)</f>
        <v/>
      </c>
      <c r="H2935">
        <f>1-(1-Skills!J9/100)^Skills!K9</f>
        <v/>
      </c>
      <c r="I2935" t="inlineStr">
        <is>
          <t>1</t>
        </is>
      </c>
      <c r="J2935">
        <f>((Inputs!$B$6*(1+Inputs!$B$7/100))+(((Inputs!$B$12*(1+Inputs!$B$13/100))-(Inputs!$B$12*(1+Inputs!$B$13/100)))+0.25*(Inputs!$B$14-Inputs!$B$14))*(1+Inputs!$B$7/100))*(F2935/100)</f>
        <v/>
      </c>
      <c r="K2935">
        <f>J2935*(1+((Inputs!$B$12*(1+Inputs!$B$13/100))*0.01+Inputs!$B$14*0.0025)/100)*(1+Inputs!$B$15/100)*(1+Inputs!$B$16/100)*(5000/(6000+Inputs!$B$43*(1-(100*(1-(1-Inputs!$B$19/100)*(1-CHOOSE(ArtifactsInput!$N$40+1,5,6,7,8,9,10)/100)^(ArtifactsInput!$M$40-ArtifactsInput!$M$40)))/100)))*(1+(Inputs!$B$24+((C2957=TRUE)*(F2957-Calc!F31))+((C2944=TRUE)*(F2944-Calc!F18)))/100)*(1+(((1+IF(AND(IF(ArtifactsInput!$M$36,FALSE,TRUE),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+3.3333333333333335*IF(C2945=TRUE,F2945,0)/100)*(1+(IF(Skills!A9="CRUEL_STAB",Inputs!$B$17+((C2954=TRUE)*(F2954-Calc!F28))+((IF(AND(Inputs!$B$39&lt;&gt;"pvp",Inputs!$B$44=0),1,IF(IF(Inputs!$B$39="pvp",15,Inputs!$B$44)-(B2971)&lt;=0,1,MAX(0,IF(Inputs!$B$39="pvp",15,Inputs!$B$44)-MAX(5,B2971))/(IF(Inputs!$B$39="pvp",15,Inputs!$B$44)-(B2971))))*(IF(AND(ArtifactsInput!$M$42,((Inputs!$B$9+((C2952=TRUE)*(F2952-Calc!F26))+B2960+(ArtifactsInput!$M$24-ArtifactsInput!$M$24)*CHOOSE(ArtifactsInput!$N$24+1,10,12,14,16,18,20)+IF(ArtifactsInput!$M$10,CHOOSE(ArtifactsInput!$N$10+1,15,18,21,24,27,30)*(IF(Inputs!$B$39="pvp",MIN(15,15)/15,IF(AND(Inputs!$B$39&lt;&gt;"pvp",Inputs!$B$44&gt;0),MIN(15,Inputs!$B$44)/(Inputs!$B$44),0))),0)))&gt;=100),MIN(100,((Inputs!$B$9+((C2952=TRUE)*(F2952-Calc!F26))+B2960+(ArtifactsInput!$M$24-ArtifactsInput!$M$24)*CHOOSE(ArtifactsInput!$N$24+1,10,12,14,16,18,20)+IF(ArtifactsInput!$M$10,CHOOSE(ArtifactsInput!$N$10+1,15,18,21,24,27,30)*(IF(Inputs!$B$39="pvp",MIN(15,15)/15,IF(AND(Inputs!$B$39&lt;&gt;"pvp",Inputs!$B$44&gt;0),MIN(15,Inputs!$B$44)/(Inputs!$B$44),0))),0)))-100),0))*CHOOSE(ArtifactsInput!$N$42+1,0.6,0.72,0.84,0.96,1.08,1.2))),Inputs!$B$18+((C2955=TRUE)*(F2955-Calc!F29))+(IF(AND(Inputs!$B$39&lt;&gt;"pvp",Inputs!$B$44=0),1,IF(IF(Inputs!$B$39="pvp",15,Inputs!$B$44)-(B2971)&lt;=0,1,MAX(0,IF(Inputs!$B$39="pvp",15,Inputs!$B$44)-MAX(5,B2971))/(IF(Inputs!$B$39="pvp",15,Inputs!$B$44)-(B2971))))*IF(AND(ArtifactsInput!$M$42,((Inputs!$B$9+((C2952=TRUE)*(F2952-Calc!F26))+B2960+(ArtifactsInput!$M$24-ArtifactsInput!$M$24)*CHOOSE(ArtifactsInput!$N$24+1,10,12,14,16,18,20)+IF(ArtifactsInput!$M$10,CHOOSE(ArtifactsInput!$N$10+1,15,18,21,24,27,30)*(IF(Inputs!$B$39="pvp",MIN(15,15)/15,IF(AND(Inputs!$B$39&lt;&gt;"pvp",Inputs!$B$44&gt;0),MIN(15,Inputs!$B$44)/(Inputs!$B$44),0))),0)))&gt;=100),CHOOSE(ArtifactsInput!$N$42+1,40,48,56,64,72,80),0))))/100)*(((1+(((C2948=TRUE)*F2948*IF(AND(Inputs!$B$39&lt;&gt;"pvp",Inputs!$B$44&gt;0),(((R2948-1)*MIN((Skills!Y22*(1+Inputs!$B$34/100)),(1/Q2948))+MIN((Skills!Y22*(1+Inputs!$B$34/100)),MAX(0,Inputs!$B$44-((R2948-1)*(1/Q2948)))))/Inputs!$B$44),IF(Inputs!$B$39="pvp",MIN((Skills!Y22*(1+Inputs!$B$34/100)),15)/15,MIN(1,(Skills!Y22*(1+Inputs!$B$34/100))/(1/Q2948)))))+((C2929=TRUE)*F2929*3)+((C2931=TRUE)*F2931*(1-EXP(-0.75*B2964*5)))+((C2950=TRUE)*(F2950-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2937=TRUE)*F2937*IF(AND(Inputs!$B$39&lt;&gt;"pvp",Inputs!$B$44&gt;0),(((R2937-1)*MIN((Skills!Y11*(1+Inputs!$B$34/100)),(1/Q2937))+MIN((Skills!Y11*(1+Inputs!$B$34/100)),MAX(0,Inputs!$B$44-((R2937-1)*(1/Q2937)))))/Inputs!$B$44),IF(Inputs!$B$39="pvp",MIN((Skills!Y11*(1+Inputs!$B$34/100)),15)/15,MIN(1,(Skills!Y11*(1+Inputs!$B$34/100))/(1/Q2937)))))/100)*(1+((C2942=TRUE)*F2942*IF(AND(Inputs!$B$39&lt;&gt;"pvp",Inputs!$B$44&gt;0),(((R2942-1)*MIN((Skills!Y16*(1+Inputs!$B$34/100)),(1/Q2942))+MIN((Skills!Y16*(1+Inputs!$B$34/100)),MAX(0,Inputs!$B$44-((R2942-1)*(1/Q2942)))))/Inputs!$B$44),IF(Inputs!$B$39="pvp",MIN((Skills!Y16*(1+Inputs!$B$34/100)),15)/15,MIN(1,(Skills!Y16*(1+Inputs!$B$34/100))/(1/Q2942)))))/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2962*I2935)</f>
        <v/>
      </c>
      <c r="L2935">
        <f>K2935*(MIN(Inputs!$B$22+((C2951=TRUE)*(F2951-Calc!F25)),(Inputs!$B$23+((C2956=TRUE)*(F2956-Calc!F30))+IF(ArtifactsInput!$M$15,CHOOSE(ArtifactsInput!$N$15+1,25,30,35,40,45,50)/100*(Inputs!$B$11-Inputs!$B$11),0)))/100+(Inputs!$B$23+((C2956=TRUE)*(F2956-Calc!F30))+IF(ArtifactsInput!$M$15,CHOOSE(ArtifactsInput!$N$15+1,25,30,35,40,45,50)/100*(Inputs!$B$11-Inputs!$B$11),0))/100)/2</f>
        <v/>
      </c>
      <c r="M2935">
        <f>L2935*(1+(Inputs!$B$10+((C2953=TRUE)*(F2953-Calc!F27))+B2967+(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2935">
        <f>L2935*(1-MIN((Inputs!$B$9+((C2952=TRUE)*(F2952-Calc!F26))+B2960+(ArtifactsInput!$M$24-ArtifactsInput!$M$24)*CHOOSE(ArtifactsInput!$N$24+1,10,12,14,16,18,20)+(IF(AND(Inputs!$B$39&lt;&gt;"pvp",Inputs!$B$44=0),1,IF(IF(Inputs!$B$39="pvp",15,Inputs!$B$44)-(B2971)&lt;=0,1,MAX(0,IF(Inputs!$B$39="pvp",15,Inputs!$B$44)-MAX(5,B2971))/(IF(Inputs!$B$39="pvp",15,Inputs!$B$44)-(B2971))))*IF(AND(ArtifactsInput!$M$42,((Inputs!$B$9+((C2952=TRUE)*(F2952-Calc!F26))+B2960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2935*(MIN((Inputs!$B$9+((C2952=TRUE)*(F2952-Calc!F26))+B2960+(ArtifactsInput!$M$24-ArtifactsInput!$M$24)*CHOOSE(ArtifactsInput!$N$24+1,10,12,14,16,18,20)+(IF(AND(Inputs!$B$39&lt;&gt;"pvp",Inputs!$B$44=0),1,IF(IF(Inputs!$B$39="pvp",15,Inputs!$B$44)-(B2971)&lt;=0,1,MAX(0,IF(Inputs!$B$39="pvp",15,Inputs!$B$44)-MAX(5,B2971))/(IF(Inputs!$B$39="pvp",15,Inputs!$B$44)-(B2971))))*IF(AND(ArtifactsInput!$M$42,((Inputs!$B$9+((C2952=TRUE)*(F2952-Calc!F26))+B2960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935">
        <f>(1-Summary!$B$11)*T2935+Summary!$B$11*V2935</f>
        <v/>
      </c>
      <c r="P2935">
        <f>IF(B2972=0,0,O2935/B2972)</f>
        <v/>
      </c>
      <c r="Q2935">
        <f>IFERROR(1/IF(Inputs!$B$39="pvp",15,MAX(0.1,Skills!D9-IF(FALSE=TRUE,Inputs!$B$32,0))),0)</f>
        <v/>
      </c>
      <c r="R2935">
        <f>IF(AND(Inputs!$B$39&lt;&gt;"pvp",Inputs!$B$44&gt;0),IF(MAX(0,Inputs!$B$44-B2971)&lt;=0,0,(INT(MAX(0,Inputs!$B$44-B2971)/IF(Inputs!$B$39="pvp",15,MAX(0.1,Skills!D9-IF(FALSE=TRUE,Inputs!$B$32,0))))+1)),0)</f>
        <v/>
      </c>
      <c r="S2935">
        <f>IFERROR(O2935/N2935,0)</f>
        <v/>
      </c>
      <c r="T2935">
        <f>IF(C2935,(H2935*N2935*IF(AND(Inputs!$B$39&lt;&gt;"pvp",Inputs!$B$44&gt;0),((Skills!G9*((R2935-1)*IF(Skills!H9&gt;0,Skills!I9/Skills!H9,1)+IF(Skills!H9&gt;0,MIN(Skills!I9,MAX(0,MAX(0,Inputs!$B$44-B2971)-((R2935-1)*IF(Inputs!$B$39="pvp",15,MAX(0.1,Skills!D9-IF(FALSE=TRUE,Inputs!$B$32,0))))))/Skills!H9,1)))/Inputs!$B$44),G2935*Q2935))*IF(Inputs!$B$39="pvp",1,1+(Inputs!$B$20+0+Skills!P9+B2961+(IF(AND(IF(ArtifactsInput!$M$36,FALSE,TRUE),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Hunt"),CHOOSE(ArtifactsInput!$N$35+1,15,18,21,24,27,30)*(1-EXP(-(0.2*B2964)*5)),0)+IF(AND(ArtifactsInput!$M$22,Inputs!$B$4&lt;&gt;"Chapter Hunt"),CHOOSE(ArtifactsInput!$N$22+1,10,12,14,16,18,20)*((0*(((0.15*B2964*5))^0/1)+1*(((0.15*B2964*5))^1/1)+2*(((0.15*B2964*5))^2/2)+3*(((0.15*B2964*5))^3/6)+4*(((0.15*B2964*5))^4/24)+5*(((0.15*B2964*5))^5/120))/((((0.15*B2964*5))^0/1)+(((0.15*B2964*5))^1/1)+(((0.15*B2964*5))^2/2)+(((0.15*B2964*5))^3/6)+(((0.15*B2964*5))^4/24)+(((0.15*B2964*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2935*(1-MIN(100,(Inputs!$B$9+((C2952=TRUE)*(F2952-Calc!F26))+B2960+(ArtifactsInput!$M$24-ArtifactsInput!$M$24)*CHOOSE(ArtifactsInput!$N$24+1,10,12,14,16,18,20)+(IF(AND(Inputs!$B$39&lt;&gt;"pvp",Inputs!$B$44=0),1,IF(IF(Inputs!$B$39="pvp",15,Inputs!$B$44)-(B2971)&lt;=0,1,MAX(0,IF(Inputs!$B$39="pvp",15,Inputs!$B$44)-MAX(5,B2971))/(IF(Inputs!$B$39="pvp",15,Inputs!$B$44)-(B2971))))*IF(AND(ArtifactsInput!$M$42,((Inputs!$B$9+((C2952=TRUE)*(F2952-Calc!F26))+B2960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2935*(MIN(100,(Inputs!$B$9+((C2952=TRUE)*(F2952-Calc!F26))+B2960+(ArtifactsInput!$M$24-ArtifactsInput!$M$24)*CHOOSE(ArtifactsInput!$N$24+1,10,12,14,16,18,20)+(IF(AND(Inputs!$B$39&lt;&gt;"pvp",Inputs!$B$44=0),1,IF(IF(Inputs!$B$39="pvp",15,Inputs!$B$44)-(B2971)&lt;=0,1,MAX(0,IF(Inputs!$B$39="pvp",15,Inputs!$B$44)-MAX(5,B2971))/(IF(Inputs!$B$39="pvp",15,Inputs!$B$44)-(B2971))))*IF(AND(ArtifactsInput!$M$42,((Inputs!$B$9+((C2952=TRUE)*(F2952-Calc!F26))+B2960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2935*(1-MIN(100,(Inputs!$B$9+((C2952=TRUE)*(F2952-Calc!F26))+B2960+(ArtifactsInput!$M$24-ArtifactsInput!$M$24)*CHOOSE(ArtifactsInput!$N$24+1,10,12,14,16,18,20)+(IF(AND(Inputs!$B$39&lt;&gt;"pvp",Inputs!$B$44=0),1,IF(IF(Inputs!$B$39="pvp",15,Inputs!$B$44)-(B2971)&lt;=0,1,MAX(0,IF(Inputs!$B$39="pvp",15,Inputs!$B$44)-MAX(5,B2971))/(IF(Inputs!$B$39="pvp",15,Inputs!$B$44)-(B2971))))*IF(AND(ArtifactsInput!$M$42,((Inputs!$B$9+((C2952=TRUE)*(F2952-Calc!F26))+B2960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2935*(MIN(100,(Inputs!$B$9+((C2952=TRUE)*(F2952-Calc!F26))+B2960+(ArtifactsInput!$M$24-ArtifactsInput!$M$24)*CHOOSE(ArtifactsInput!$N$24+1,10,12,14,16,18,20)+(IF(AND(Inputs!$B$39&lt;&gt;"pvp",Inputs!$B$44=0),1,IF(IF(Inputs!$B$39="pvp",15,Inputs!$B$44)-(B2971)&lt;=0,1,MAX(0,IF(Inputs!$B$39="pvp",15,Inputs!$B$44)-MAX(5,B2971))/(IF(Inputs!$B$39="pvp",15,Inputs!$B$44)-(B2971))))*IF(AND(ArtifactsInput!$M$42,((Inputs!$B$9+((C2952=TRUE)*(F2952-Calc!F26))+B2960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935">
        <f>IF(C2935,(H2935*N2935*IF(AND(Inputs!$B$39&lt;&gt;"pvp",Inputs!$B$44&gt;0),((Skills!G9*((R2935-1)*IF(Skills!H9&gt;0,Skills!I9/Skills!H9,1)+IF(Skills!H9&gt;0,MIN(Skills!I9,MAX(0,MAX(0,Inputs!$B$44-B2971)-((R2935-1)*IF(Inputs!$B$39="pvp",15,MAX(0.1,Skills!D9-IF(FALSE=TRUE,Inputs!$B$32,0))))))/Skills!H9,1)))/Inputs!$B$44),G2935*Q2935))*IF(Inputs!$B$39="pvp",1,(1+(Inputs!$B$21+Skills!Q9+B2961+(IF(ArtifactsInput!$M$33,CHOOSE(ArtifactsInput!$N$33+1,30,36,42,48,54,60),0))+(IF(AND(ArtifactsInput!$M$35,Inputs!$B$4&lt;&gt;"Chapter Hunt"),CHOOSE(ArtifactsInput!$N$35+1,15,18,21,24,27,30)*(1-EXP(-(0.2*B2964)*5)),0)+IF(AND(ArtifactsInput!$M$22,Inputs!$B$4&lt;&gt;"Chapter Hunt"),CHOOSE(ArtifactsInput!$N$22+1,10,12,14,16,18,20)*((0*(((0.15*B2964*5))^0/1)+1*(((0.15*B2964*5))^1/1)+2*(((0.15*B2964*5))^2/2)+3*(((0.15*B2964*5))^3/6)+4*(((0.15*B2964*5))^4/24)+5*(((0.15*B2964*5))^5/120))/((((0.15*B2964*5))^0/1)+(((0.15*B2964*5))^1/1)+(((0.15*B2964*5))^2/2)+(((0.15*B2964*5))^3/6)+(((0.15*B2964*5))^4/24)+(((0.15*B2964*5))^5/120))),0)))/100)*(MIN(Skills!W9,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936">
      <c r="A2936">
        <f>Skills!A10</f>
        <v/>
      </c>
      <c r="B2936">
        <f>Skills!B10</f>
        <v/>
      </c>
      <c r="C2936">
        <f>Inputs!$B$3&gt;=117</f>
        <v/>
      </c>
      <c r="D2936">
        <f>IF(Skills!C10=1,60+Inputs!$B$25+Inputs!$B$29,IF(Skills!C10=2,90+Inputs!$B$26+Inputs!$B$29,IF(Skills!C10=3,120+Inputs!$B$27+Inputs!$B$29,MAX(0,(Inputs!$B$3-100)*3)+Inputs!$B$28+Inputs!$B$29)))</f>
        <v/>
      </c>
      <c r="E2936">
        <f>INDEX(FactorTable!$B$2:$Y$301, MATCH(ROUND(MIN(300,MAX(1,D2936)),0), FactorTable!$A$2:$A$301,0), Skills!M10+1)</f>
        <v/>
      </c>
      <c r="F2936">
        <f>IF(Skills!N10=TRUE,(Skills!L10/10)*(E2936/1000),Skills!L10/10)+Skills!O10</f>
        <v/>
      </c>
      <c r="G2936">
        <f>Skills!G10*IF(Skills!H10&gt;0,IF(Inputs!$B$39="pvp",MIN(Skills!I10,15),Skills!I10)/Skills!H10,1)</f>
        <v/>
      </c>
      <c r="H2936">
        <f>1-(1-Skills!J10/100)^Skills!K10</f>
        <v/>
      </c>
      <c r="I2936" t="inlineStr">
        <is>
          <t>1</t>
        </is>
      </c>
      <c r="J2936">
        <f>((Inputs!$B$6*(1+Inputs!$B$7/100))+(((Inputs!$B$12*(1+Inputs!$B$13/100))-(Inputs!$B$12*(1+Inputs!$B$13/100)))+0.25*(Inputs!$B$14-Inputs!$B$14))*(1+Inputs!$B$7/100))*(F2936/100)</f>
        <v/>
      </c>
      <c r="K2936">
        <f>J2936*(1+((Inputs!$B$12*(1+Inputs!$B$13/100))*0.01+Inputs!$B$14*0.0025)/100)*(1+Inputs!$B$15/100)*(1+Inputs!$B$16/100)*(5000/(6000+Inputs!$B$43*(1-(100*(1-(1-Inputs!$B$19/100)*(1-CHOOSE(ArtifactsInput!$N$40+1,5,6,7,8,9,10)/100)^(ArtifactsInput!$M$40-ArtifactsInput!$M$40)))/100)))*(1+(Inputs!$B$24+((C2957=TRUE)*(F2957-Calc!F31))+((C2944=TRUE)*(F2944-Calc!F18)))/100)*(1+(((1+IF(AND(IF(ArtifactsInput!$M$36,FALSE,TRUE),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10="CRUEL_STAB",Inputs!$B$17+((C2954=TRUE)*(F2954-Calc!F28))+((IF(AND(Inputs!$B$39&lt;&gt;"pvp",Inputs!$B$44=0),1,IF(IF(Inputs!$B$39="pvp",15,Inputs!$B$44)-(B2971)&lt;=0,1,MAX(0,IF(Inputs!$B$39="pvp",15,Inputs!$B$44)-MAX(5,B2971))/(IF(Inputs!$B$39="pvp",15,Inputs!$B$44)-(B2971))))*(IF(AND(ArtifactsInput!$M$42,((Inputs!$B$9+((C2952=TRUE)*(F2952-Calc!F26))+B2960+(ArtifactsInput!$M$24-ArtifactsInput!$M$24)*CHOOSE(ArtifactsInput!$N$24+1,10,12,14,16,18,20)+IF(ArtifactsInput!$M$10,CHOOSE(ArtifactsInput!$N$10+1,15,18,21,24,27,30)*(IF(Inputs!$B$39="pvp",MIN(15,15)/15,IF(AND(Inputs!$B$39&lt;&gt;"pvp",Inputs!$B$44&gt;0),MIN(15,Inputs!$B$44)/(Inputs!$B$44),0))),0)))&gt;=100),MIN(100,((Inputs!$B$9+((C2952=TRUE)*(F2952-Calc!F26))+B2960+(ArtifactsInput!$M$24-ArtifactsInput!$M$24)*CHOOSE(ArtifactsInput!$N$24+1,10,12,14,16,18,20)+IF(ArtifactsInput!$M$10,CHOOSE(ArtifactsInput!$N$10+1,15,18,21,24,27,30)*(IF(Inputs!$B$39="pvp",MIN(15,15)/15,IF(AND(Inputs!$B$39&lt;&gt;"pvp",Inputs!$B$44&gt;0),MIN(15,Inputs!$B$44)/(Inputs!$B$44),0))),0)))-100),0))*CHOOSE(ArtifactsInput!$N$42+1,0.6,0.72,0.84,0.96,1.08,1.2))),Inputs!$B$18+((C2955=TRUE)*(F2955-Calc!F29))+(IF(AND(Inputs!$B$39&lt;&gt;"pvp",Inputs!$B$44=0),1,IF(IF(Inputs!$B$39="pvp",15,Inputs!$B$44)-(B2971)&lt;=0,1,MAX(0,IF(Inputs!$B$39="pvp",15,Inputs!$B$44)-MAX(5,B2971))/(IF(Inputs!$B$39="pvp",15,Inputs!$B$44)-(B2971))))*IF(AND(ArtifactsInput!$M$42,((Inputs!$B$9+((C2952=TRUE)*(F2952-Calc!F26))+B2960+(ArtifactsInput!$M$24-ArtifactsInput!$M$24)*CHOOSE(ArtifactsInput!$N$24+1,10,12,14,16,18,20)+IF(ArtifactsInput!$M$10,CHOOSE(ArtifactsInput!$N$10+1,15,18,21,24,27,30)*(IF(Inputs!$B$39="pvp",MIN(15,15)/15,IF(AND(Inputs!$B$39&lt;&gt;"pvp",Inputs!$B$44&gt;0),MIN(15,Inputs!$B$44)/(Inputs!$B$44),0))),0)))&gt;=100),CHOOSE(ArtifactsInput!$N$42+1,40,48,56,64,72,80),0))))/100)*(((1+(((C2948=TRUE)*F2948*IF(AND(Inputs!$B$39&lt;&gt;"pvp",Inputs!$B$44&gt;0),(((R2948-1)*MIN((Skills!Y22*(1+Inputs!$B$34/100)),(1/Q2948))+MIN((Skills!Y22*(1+Inputs!$B$34/100)),MAX(0,Inputs!$B$44-((R2948-1)*(1/Q2948)))))/Inputs!$B$44),IF(Inputs!$B$39="pvp",MIN((Skills!Y22*(1+Inputs!$B$34/100)),15)/15,MIN(1,(Skills!Y22*(1+Inputs!$B$34/100))/(1/Q2948)))))+((C2929=TRUE)*F2929*3)+((C2931=TRUE)*F2931*(1-EXP(-0.75*B2964*5)))+((C2950=TRUE)*(F2950-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2937=TRUE)*F2937*IF(AND(Inputs!$B$39&lt;&gt;"pvp",Inputs!$B$44&gt;0),(((R2937-1)*MIN((Skills!Y11*(1+Inputs!$B$34/100)),(1/Q2937))+MIN((Skills!Y11*(1+Inputs!$B$34/100)),MAX(0,Inputs!$B$44-((R2937-1)*(1/Q2937)))))/Inputs!$B$44),IF(Inputs!$B$39="pvp",MIN((Skills!Y11*(1+Inputs!$B$34/100)),15)/15,MIN(1,(Skills!Y11*(1+Inputs!$B$34/100))/(1/Q2937)))))/100)*(1+((C2942=TRUE)*F2942*IF(AND(Inputs!$B$39&lt;&gt;"pvp",Inputs!$B$44&gt;0),(((R2942-1)*MIN((Skills!Y16*(1+Inputs!$B$34/100)),(1/Q2942))+MIN((Skills!Y16*(1+Inputs!$B$34/100)),MAX(0,Inputs!$B$44-((R2942-1)*(1/Q2942)))))/Inputs!$B$44),IF(Inputs!$B$39="pvp",MIN((Skills!Y16*(1+Inputs!$B$34/100)),15)/15,MIN(1,(Skills!Y16*(1+Inputs!$B$34/100))/(1/Q2942)))))/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2962*I2936)</f>
        <v/>
      </c>
      <c r="L2936">
        <f>K2936*(MIN(Inputs!$B$22+((C2951=TRUE)*(F2951-Calc!F25)),(Inputs!$B$23+((C2956=TRUE)*(F2956-Calc!F30))+IF(ArtifactsInput!$M$15,CHOOSE(ArtifactsInput!$N$15+1,25,30,35,40,45,50)/100*(Inputs!$B$11-Inputs!$B$11),0)))/100+(Inputs!$B$23+((C2956=TRUE)*(F2956-Calc!F30))+IF(ArtifactsInput!$M$15,CHOOSE(ArtifactsInput!$N$15+1,25,30,35,40,45,50)/100*(Inputs!$B$11-Inputs!$B$11),0))/100)/2</f>
        <v/>
      </c>
      <c r="M2936">
        <f>L2936*(1+(Inputs!$B$10+((C2953=TRUE)*(F2953-Calc!F27))+B2967+(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2936">
        <f>L2936*(1-MIN((Inputs!$B$9+((C2952=TRUE)*(F2952-Calc!F26))+B2960+(ArtifactsInput!$M$24-ArtifactsInput!$M$24)*CHOOSE(ArtifactsInput!$N$24+1,10,12,14,16,18,20)+(IF(AND(Inputs!$B$39&lt;&gt;"pvp",Inputs!$B$44=0),1,IF(IF(Inputs!$B$39="pvp",15,Inputs!$B$44)-(B2971)&lt;=0,1,MAX(0,IF(Inputs!$B$39="pvp",15,Inputs!$B$44)-MAX(5,B2971))/(IF(Inputs!$B$39="pvp",15,Inputs!$B$44)-(B2971))))*IF(AND(ArtifactsInput!$M$42,((Inputs!$B$9+((C2952=TRUE)*(F2952-Calc!F26))+B2960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2936*(MIN((Inputs!$B$9+((C2952=TRUE)*(F2952-Calc!F26))+B2960+(ArtifactsInput!$M$24-ArtifactsInput!$M$24)*CHOOSE(ArtifactsInput!$N$24+1,10,12,14,16,18,20)+(IF(AND(Inputs!$B$39&lt;&gt;"pvp",Inputs!$B$44=0),1,IF(IF(Inputs!$B$39="pvp",15,Inputs!$B$44)-(B2971)&lt;=0,1,MAX(0,IF(Inputs!$B$39="pvp",15,Inputs!$B$44)-MAX(5,B2971))/(IF(Inputs!$B$39="pvp",15,Inputs!$B$44)-(B2971))))*IF(AND(ArtifactsInput!$M$42,((Inputs!$B$9+((C2952=TRUE)*(F2952-Calc!F26))+B2960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936">
        <f>(1-Summary!$B$11)*T2936+Summary!$B$11*V2936</f>
        <v/>
      </c>
      <c r="P2936">
        <f>IF(B2972=0,0,O2936/B2972)</f>
        <v/>
      </c>
      <c r="Q2936" t="n">
        <v>0</v>
      </c>
      <c r="R2936" t="n">
        <v>0</v>
      </c>
      <c r="S2936" t="n">
        <v>0</v>
      </c>
      <c r="T2936">
        <f>IF(C2936,(0.2*SUMPRODUCT((Skills!Z2:Z31=TRUE)*(C2928:C2957=TRUE)*S2928:S2957)*N2936)*IF(Inputs!$B$39="pvp",1,1+(Inputs!$B$20+0+Skills!P10+B2961+(IF(AND(IF(ArtifactsInput!$M$36,FALSE,TRUE),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Hunt"),CHOOSE(ArtifactsInput!$N$35+1,15,18,21,24,27,30)*(1-EXP(-(0.2*B2964)*5)),0)+IF(AND(ArtifactsInput!$M$22,Inputs!$B$4&lt;&gt;"Chapter Hunt"),CHOOSE(ArtifactsInput!$N$22+1,10,12,14,16,18,20)*((0*(((0.15*B2964*5))^0/1)+1*(((0.15*B2964*5))^1/1)+2*(((0.15*B2964*5))^2/2)+3*(((0.15*B2964*5))^3/6)+4*(((0.15*B2964*5))^4/24)+5*(((0.15*B2964*5))^5/120))/((((0.15*B2964*5))^0/1)+(((0.15*B2964*5))^1/1)+(((0.15*B2964*5))^2/2)+(((0.15*B2964*5))^3/6)+(((0.15*B2964*5))^4/24)+(((0.15*B2964*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2936*(1-MIN(100,(Inputs!$B$9+((C2952=TRUE)*(F2952-Calc!F26))+B2960+(ArtifactsInput!$M$24-ArtifactsInput!$M$24)*CHOOSE(ArtifactsInput!$N$24+1,10,12,14,16,18,20)+(IF(AND(Inputs!$B$39&lt;&gt;"pvp",Inputs!$B$44=0),1,IF(IF(Inputs!$B$39="pvp",15,Inputs!$B$44)-(B2971)&lt;=0,1,MAX(0,IF(Inputs!$B$39="pvp",15,Inputs!$B$44)-MAX(5,B2971))/(IF(Inputs!$B$39="pvp",15,Inputs!$B$44)-(B2971))))*IF(AND(ArtifactsInput!$M$42,((Inputs!$B$9+((C2952=TRUE)*(F2952-Calc!F26))+B2960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2936*(MIN(100,(Inputs!$B$9+((C2952=TRUE)*(F2952-Calc!F26))+B2960+(ArtifactsInput!$M$24-ArtifactsInput!$M$24)*CHOOSE(ArtifactsInput!$N$24+1,10,12,14,16,18,20)+(IF(AND(Inputs!$B$39&lt;&gt;"pvp",Inputs!$B$44=0),1,IF(IF(Inputs!$B$39="pvp",15,Inputs!$B$44)-(B2971)&lt;=0,1,MAX(0,IF(Inputs!$B$39="pvp",15,Inputs!$B$44)-MAX(5,B2971))/(IF(Inputs!$B$39="pvp",15,Inputs!$B$44)-(B2971))))*IF(AND(ArtifactsInput!$M$42,((Inputs!$B$9+((C2952=TRUE)*(F2952-Calc!F26))+B2960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2936*(1-MIN(100,(Inputs!$B$9+((C2952=TRUE)*(F2952-Calc!F26))+B2960+(ArtifactsInput!$M$24-ArtifactsInput!$M$24)*CHOOSE(ArtifactsInput!$N$24+1,10,12,14,16,18,20)+(IF(AND(Inputs!$B$39&lt;&gt;"pvp",Inputs!$B$44=0),1,IF(IF(Inputs!$B$39="pvp",15,Inputs!$B$44)-(B2971)&lt;=0,1,MAX(0,IF(Inputs!$B$39="pvp",15,Inputs!$B$44)-MAX(5,B2971))/(IF(Inputs!$B$39="pvp",15,Inputs!$B$44)-(B2971))))*IF(AND(ArtifactsInput!$M$42,((Inputs!$B$9+((C2952=TRUE)*(F2952-Calc!F26))+B2960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2936*(MIN(100,(Inputs!$B$9+((C2952=TRUE)*(F2952-Calc!F26))+B2960+(ArtifactsInput!$M$24-ArtifactsInput!$M$24)*CHOOSE(ArtifactsInput!$N$24+1,10,12,14,16,18,20)+(IF(AND(Inputs!$B$39&lt;&gt;"pvp",Inputs!$B$44=0),1,IF(IF(Inputs!$B$39="pvp",15,Inputs!$B$44)-(B2971)&lt;=0,1,MAX(0,IF(Inputs!$B$39="pvp",15,Inputs!$B$44)-MAX(5,B2971))/(IF(Inputs!$B$39="pvp",15,Inputs!$B$44)-(B2971))))*IF(AND(ArtifactsInput!$M$42,((Inputs!$B$9+((C2952=TRUE)*(F2952-Calc!F26))+B2960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936">
        <f>IF(C2936,(0.2*SUMPRODUCT((Skills!Z2:Z31=TRUE)*(C2928:C2957=TRUE)*S2928:S2957)*N2936)*IF(Inputs!$B$39="pvp",1,(1+(Inputs!$B$21+Skills!Q10+B2961+(IF(ArtifactsInput!$M$33,CHOOSE(ArtifactsInput!$N$33+1,30,36,42,48,54,60),0))+(IF(AND(ArtifactsInput!$M$35,Inputs!$B$4&lt;&gt;"Chapter Hunt"),CHOOSE(ArtifactsInput!$N$35+1,15,18,21,24,27,30)*(1-EXP(-(0.2*B2964)*5)),0)+IF(AND(ArtifactsInput!$M$22,Inputs!$B$4&lt;&gt;"Chapter Hunt"),CHOOSE(ArtifactsInput!$N$22+1,10,12,14,16,18,20)*((0*(((0.15*B2964*5))^0/1)+1*(((0.15*B2964*5))^1/1)+2*(((0.15*B2964*5))^2/2)+3*(((0.15*B2964*5))^3/6)+4*(((0.15*B2964*5))^4/24)+5*(((0.15*B2964*5))^5/120))/((((0.15*B2964*5))^0/1)+(((0.15*B2964*5))^1/1)+(((0.15*B2964*5))^2/2)+(((0.15*B2964*5))^3/6)+(((0.15*B2964*5))^4/24)+(((0.15*B2964*5))^5/120))),0)))/100)*(MIN(Skills!W10,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937">
      <c r="A2937">
        <f>Skills!A11</f>
        <v/>
      </c>
      <c r="B2937">
        <f>Skills!B11</f>
        <v/>
      </c>
      <c r="C2937">
        <f>Inputs!$B$3&gt;=74</f>
        <v/>
      </c>
      <c r="D2937">
        <f>IF(Skills!C11=1,60+Inputs!$B$25+Inputs!$B$29,IF(Skills!C11=2,90+Inputs!$B$26+Inputs!$B$29,IF(Skills!C11=3,120+Inputs!$B$27+Inputs!$B$29,MAX(0,(Inputs!$B$3-100)*3)+Inputs!$B$28+Inputs!$B$29)))</f>
        <v/>
      </c>
      <c r="E2937">
        <f>INDEX(FactorTable!$B$2:$Y$301, MATCH(ROUND(MIN(300,MAX(1,D2937)),0), FactorTable!$A$2:$A$301,0), Skills!M11+1)</f>
        <v/>
      </c>
      <c r="F2937">
        <f>IF(Skills!N11=TRUE,(Skills!L11/10)*(E2937/1000),Skills!L11/10)+Skills!O11</f>
        <v/>
      </c>
      <c r="G2937">
        <f>Skills!G11*IF(Skills!H11&gt;0,IF(Inputs!$B$39="pvp",MIN(Skills!I11,15),Skills!I11)/Skills!H11,1)</f>
        <v/>
      </c>
      <c r="H2937">
        <f>1-(1-Skills!J11/100)^Skills!K11</f>
        <v/>
      </c>
      <c r="I2937" t="inlineStr">
        <is>
          <t>1</t>
        </is>
      </c>
      <c r="J2937" t="inlineStr"/>
      <c r="K2937" t="inlineStr"/>
      <c r="L2937" t="inlineStr"/>
      <c r="M2937" t="inlineStr"/>
      <c r="N2937" t="inlineStr"/>
      <c r="O2937">
        <f>(1-Summary!$B$11)*T2937+Summary!$B$11*V2937</f>
        <v/>
      </c>
      <c r="P2937">
        <f>IF(B2972=0,0,O2937/B2972)</f>
        <v/>
      </c>
      <c r="Q2937">
        <f>IFERROR(1/IF(Inputs!$B$39="pvp",15,MAX(0.1,Skills!D11-IF(TRUE=TRUE,Inputs!$B$32,0))),0)</f>
        <v/>
      </c>
      <c r="R2937">
        <f>IF(AND(Inputs!$B$39&lt;&gt;"pvp",Inputs!$B$44&gt;0),IF(Inputs!$B$44&lt;=0,0,(INT(Inputs!$B$44/IF(Inputs!$B$39="pvp",15,MAX(0.1,Skills!D11-IF(TRUE=TRUE,Inputs!$B$32,0))))+1)),0)</f>
        <v/>
      </c>
      <c r="S2937">
        <f>IFERROR(O2937/N2937,0)</f>
        <v/>
      </c>
      <c r="T2937" t="n">
        <v>0</v>
      </c>
      <c r="V2937" t="n">
        <v>0</v>
      </c>
    </row>
    <row r="2938">
      <c r="A2938">
        <f>Skills!A12</f>
        <v/>
      </c>
      <c r="B2938">
        <f>Skills!B12</f>
        <v/>
      </c>
      <c r="C2938">
        <f>Inputs!$B$3&gt;=103</f>
        <v/>
      </c>
      <c r="D2938">
        <f>IF(Skills!C12=1,60+Inputs!$B$25+Inputs!$B$29,IF(Skills!C12=2,90+Inputs!$B$26+Inputs!$B$29,IF(Skills!C12=3,120+Inputs!$B$27+Inputs!$B$29,MAX(0,(Inputs!$B$3-100)*3)+Inputs!$B$28+Inputs!$B$29)))</f>
        <v/>
      </c>
      <c r="E2938">
        <f>INDEX(FactorTable!$B$2:$Y$301, MATCH(ROUND(MIN(300,MAX(1,D2938)),0), FactorTable!$A$2:$A$301,0), Skills!M12+1)</f>
        <v/>
      </c>
      <c r="F2938">
        <f>(Skills!L12/10)*(E2938/1000)+IF(Inputs!$B$3&gt;=134,50,0)+0.5*(30000/10)*(INDEX(FactorTable!$B$2:$Y$301, MATCH(ROUND(MIN(300,MAX(1,D2938)),0), FactorTable!$A$2:$A$301,0), 13)/1000)*B2970</f>
        <v/>
      </c>
      <c r="G2938">
        <f>Skills!G12*IF(Skills!H12&gt;0,IF(Inputs!$B$39="pvp",MIN(Skills!I12,15),Skills!I12)/Skills!H12,1)</f>
        <v/>
      </c>
      <c r="H2938">
        <f>1-(1-Skills!J12/100)^Skills!K12</f>
        <v/>
      </c>
      <c r="I2938" t="inlineStr">
        <is>
          <t>1</t>
        </is>
      </c>
      <c r="J2938">
        <f>((Inputs!$B$6*(1+Inputs!$B$7/100))+(((Inputs!$B$12*(1+Inputs!$B$13/100))-(Inputs!$B$12*(1+Inputs!$B$13/100)))+0.25*(Inputs!$B$14-Inputs!$B$14))*(1+Inputs!$B$7/100))*(F2938/100)</f>
        <v/>
      </c>
      <c r="K2938">
        <f>J2938*(1+((Inputs!$B$12*(1+Inputs!$B$13/100))*0.01+Inputs!$B$14*0.0025)/100)*(1+Inputs!$B$15/100)*(1+Inputs!$B$16/100)*(5000/(6000+Inputs!$B$43*(1-(100*(1-(1-Inputs!$B$19/100)*(1-CHOOSE(ArtifactsInput!$N$40+1,5,6,7,8,9,10)/100)^(ArtifactsInput!$M$40-ArtifactsInput!$M$40)))/100)))*(1+(Inputs!$B$24+((C2957=TRUE)*(F2957-Calc!F31))+((C2944=TRUE)*(F2944-Calc!F18)))/100)*(1+(((1+IF(AND(IF(ArtifactsInput!$M$36,FALSE,TRUE),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12="CRUEL_STAB",Inputs!$B$17+((C2954=TRUE)*(F2954-Calc!F28))+((IF(AND(Inputs!$B$39&lt;&gt;"pvp",Inputs!$B$44=0),1,IF(IF(Inputs!$B$39="pvp",15,Inputs!$B$44)-(B2971)&lt;=0,1,MAX(0,IF(Inputs!$B$39="pvp",15,Inputs!$B$44)-MAX(5,B2971))/(IF(Inputs!$B$39="pvp",15,Inputs!$B$44)-(B2971))))*(IF(AND(ArtifactsInput!$M$42,((Inputs!$B$9+((C2952=TRUE)*(F2952-Calc!F26))+B2960+(ArtifactsInput!$M$24-ArtifactsInput!$M$24)*CHOOSE(ArtifactsInput!$N$24+1,10,12,14,16,18,20)+IF(ArtifactsInput!$M$10,CHOOSE(ArtifactsInput!$N$10+1,15,18,21,24,27,30)*(IF(Inputs!$B$39="pvp",MIN(15,15)/15,IF(AND(Inputs!$B$39&lt;&gt;"pvp",Inputs!$B$44&gt;0),MIN(15,Inputs!$B$44)/(Inputs!$B$44),0))),0)))&gt;=100),MIN(100,((Inputs!$B$9+((C2952=TRUE)*(F2952-Calc!F26))+B2960+(ArtifactsInput!$M$24-ArtifactsInput!$M$24)*CHOOSE(ArtifactsInput!$N$24+1,10,12,14,16,18,20)+IF(ArtifactsInput!$M$10,CHOOSE(ArtifactsInput!$N$10+1,15,18,21,24,27,30)*(IF(Inputs!$B$39="pvp",MIN(15,15)/15,IF(AND(Inputs!$B$39&lt;&gt;"pvp",Inputs!$B$44&gt;0),MIN(15,Inputs!$B$44)/(Inputs!$B$44),0))),0)))-100),0))*CHOOSE(ArtifactsInput!$N$42+1,0.6,0.72,0.84,0.96,1.08,1.2))),Inputs!$B$18+((C2955=TRUE)*(F2955-Calc!F29))+(IF(AND(Inputs!$B$39&lt;&gt;"pvp",Inputs!$B$44=0),1,IF(IF(Inputs!$B$39="pvp",15,Inputs!$B$44)-(B2971)&lt;=0,1,MAX(0,IF(Inputs!$B$39="pvp",15,Inputs!$B$44)-MAX(5,B2971))/(IF(Inputs!$B$39="pvp",15,Inputs!$B$44)-(B2971))))*IF(AND(ArtifactsInput!$M$42,((Inputs!$B$9+((C2952=TRUE)*(F2952-Calc!F26))+B2960+(ArtifactsInput!$M$24-ArtifactsInput!$M$24)*CHOOSE(ArtifactsInput!$N$24+1,10,12,14,16,18,20)+IF(ArtifactsInput!$M$10,CHOOSE(ArtifactsInput!$N$10+1,15,18,21,24,27,30)*(IF(Inputs!$B$39="pvp",MIN(15,15)/15,IF(AND(Inputs!$B$39&lt;&gt;"pvp",Inputs!$B$44&gt;0),MIN(15,Inputs!$B$44)/(Inputs!$B$44),0))),0)))&gt;=100),CHOOSE(ArtifactsInput!$N$42+1,40,48,56,64,72,80),0))))/100)*(((1+(((C2948=TRUE)*F2948*IF(AND(Inputs!$B$39&lt;&gt;"pvp",Inputs!$B$44&gt;0),(((R2948-1)*MIN((Skills!Y22*(1+Inputs!$B$34/100)),(1/Q2948))+MIN((Skills!Y22*(1+Inputs!$B$34/100)),MAX(0,Inputs!$B$44-((R2948-1)*(1/Q2948)))))/Inputs!$B$44),IF(Inputs!$B$39="pvp",MIN((Skills!Y22*(1+Inputs!$B$34/100)),15)/15,MIN(1,(Skills!Y22*(1+Inputs!$B$34/100))/(1/Q2948)))))+((C2929=TRUE)*F2929*3)+((C2931=TRUE)*F2931*(1-EXP(-0.75*B2964*5)))+((C2950=TRUE)*(F2950-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2937=TRUE)*F2937*IF(AND(Inputs!$B$39&lt;&gt;"pvp",Inputs!$B$44&gt;0),(((R2937-1)*MIN((Skills!Y11*(1+Inputs!$B$34/100)),(1/Q2937))+MIN((Skills!Y11*(1+Inputs!$B$34/100)),MAX(0,Inputs!$B$44-((R2937-1)*(1/Q2937)))))/Inputs!$B$44),IF(Inputs!$B$39="pvp",MIN((Skills!Y11*(1+Inputs!$B$34/100)),15)/15,MIN(1,(Skills!Y11*(1+Inputs!$B$34/100))/(1/Q2937)))))/100)*(1+((C2942=TRUE)*F2942*IF(AND(Inputs!$B$39&lt;&gt;"pvp",Inputs!$B$44&gt;0),(((R2942-1)*MIN((Skills!Y16*(1+Inputs!$B$34/100)),(1/Q2942))+MIN((Skills!Y16*(1+Inputs!$B$34/100)),MAX(0,Inputs!$B$44-((R2942-1)*(1/Q2942)))))/Inputs!$B$44),IF(Inputs!$B$39="pvp",MIN((Skills!Y16*(1+Inputs!$B$34/100)),15)/15,MIN(1,(Skills!Y16*(1+Inputs!$B$34/100))/(1/Q2942)))))/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2962*I2938)</f>
        <v/>
      </c>
      <c r="L2938">
        <f>K2938*(MIN(Inputs!$B$22+((C2951=TRUE)*(F2951-Calc!F25)),(Inputs!$B$23+((C2956=TRUE)*(F2956-Calc!F30))+IF(ArtifactsInput!$M$15,CHOOSE(ArtifactsInput!$N$15+1,25,30,35,40,45,50)/100*(Inputs!$B$11-Inputs!$B$11),0)))/100+(Inputs!$B$23+((C2956=TRUE)*(F2956-Calc!F30))+IF(ArtifactsInput!$M$15,CHOOSE(ArtifactsInput!$N$15+1,25,30,35,40,45,50)/100*(Inputs!$B$11-Inputs!$B$11),0))/100)/2</f>
        <v/>
      </c>
      <c r="M2938">
        <f>L2938*(1+(Inputs!$B$10+((C2953=TRUE)*(F2953-Calc!F27))+B2967+(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2938">
        <f>L2938*(1-MIN((Inputs!$B$9+((C2952=TRUE)*(F2952-Calc!F26))+B2960+(ArtifactsInput!$M$24-ArtifactsInput!$M$24)*CHOOSE(ArtifactsInput!$N$24+1,10,12,14,16,18,20)+(IF(AND(Inputs!$B$39&lt;&gt;"pvp",Inputs!$B$44=0),1,IF(IF(Inputs!$B$39="pvp",15,Inputs!$B$44)-(B2971)&lt;=0,1,MAX(0,IF(Inputs!$B$39="pvp",15,Inputs!$B$44)-MAX(5,B2971))/(IF(Inputs!$B$39="pvp",15,Inputs!$B$44)-(B2971))))*IF(AND(ArtifactsInput!$M$42,((Inputs!$B$9+((C2952=TRUE)*(F2952-Calc!F26))+B2960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2938*(MIN((Inputs!$B$9+((C2952=TRUE)*(F2952-Calc!F26))+B2960+(ArtifactsInput!$M$24-ArtifactsInput!$M$24)*CHOOSE(ArtifactsInput!$N$24+1,10,12,14,16,18,20)+(IF(AND(Inputs!$B$39&lt;&gt;"pvp",Inputs!$B$44=0),1,IF(IF(Inputs!$B$39="pvp",15,Inputs!$B$44)-(B2971)&lt;=0,1,MAX(0,IF(Inputs!$B$39="pvp",15,Inputs!$B$44)-MAX(5,B2971))/(IF(Inputs!$B$39="pvp",15,Inputs!$B$44)-(B2971))))*IF(AND(ArtifactsInput!$M$42,((Inputs!$B$9+((C2952=TRUE)*(F2952-Calc!F26))+B2960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938">
        <f>(1-Summary!$B$11)*T2938+Summary!$B$11*V2938</f>
        <v/>
      </c>
      <c r="P2938">
        <f>IF(B2972=0,0,O2938/B2972)</f>
        <v/>
      </c>
      <c r="Q2938">
        <f>IFERROR(1/IF(Inputs!$B$39="pvp",15,MAX(0.1,Skills!D12-IF(TRUE=TRUE,Inputs!$B$32,0))),0)</f>
        <v/>
      </c>
      <c r="R2938">
        <f>IF(AND(Inputs!$B$39&lt;&gt;"pvp",Inputs!$B$44&gt;0),IF(MAX(0,Inputs!$B$44-B2971)&lt;=0,0,(INT(MAX(0,Inputs!$B$44-B2971)/IF(Inputs!$B$39="pvp",15,MAX(0.1,Skills!D12-IF(TRUE=TRUE,Inputs!$B$32,0))))+1)),0)</f>
        <v/>
      </c>
      <c r="S2938">
        <f>IFERROR(O2938/N2938,0)</f>
        <v/>
      </c>
      <c r="T2938">
        <f>IF(C2938,(H2938*N2938*IF(AND(Inputs!$B$39&lt;&gt;"pvp",Inputs!$B$44&gt;0),((Skills!G12*((R2938-1)*IF(Skills!H12&gt;0,Skills!I12/Skills!H12,1)+IF(Skills!H12&gt;0,MIN(Skills!I12,MAX(0,MAX(0,Inputs!$B$44-B2971)-((R2938-1)*IF(Inputs!$B$39="pvp",15,MAX(0.1,Skills!D12-IF(TRUE=TRUE,Inputs!$B$32,0))))))/Skills!H12,1)))/Inputs!$B$44),G2938*Q2938))*IF(Inputs!$B$39="pvp",1,1+(Inputs!$B$20+0+Skills!P12+B2961+(IF(AND(IF(ArtifactsInput!$M$36,FALSE,TRUE),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Hunt"),CHOOSE(ArtifactsInput!$N$35+1,15,18,21,24,27,30)*(1-EXP(-(0.2*B2964)*5)),0)+IF(AND(ArtifactsInput!$M$22,Inputs!$B$4&lt;&gt;"Chapter Hunt"),CHOOSE(ArtifactsInput!$N$22+1,10,12,14,16,18,20)*((0*(((0.15*B2964*5))^0/1)+1*(((0.15*B2964*5))^1/1)+2*(((0.15*B2964*5))^2/2)+3*(((0.15*B2964*5))^3/6)+4*(((0.15*B2964*5))^4/24)+5*(((0.15*B2964*5))^5/120))/((((0.15*B2964*5))^0/1)+(((0.15*B2964*5))^1/1)+(((0.15*B2964*5))^2/2)+(((0.15*B2964*5))^3/6)+(((0.15*B2964*5))^4/24)+(((0.15*B2964*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2938*(1-MIN(100,(Inputs!$B$9+((C2952=TRUE)*(F2952-Calc!F26))+B2960+(ArtifactsInput!$M$24-ArtifactsInput!$M$24)*CHOOSE(ArtifactsInput!$N$24+1,10,12,14,16,18,20)+(IF(AND(Inputs!$B$39&lt;&gt;"pvp",Inputs!$B$44=0),1,IF(IF(Inputs!$B$39="pvp",15,Inputs!$B$44)-(B2971)&lt;=0,1,MAX(0,IF(Inputs!$B$39="pvp",15,Inputs!$B$44)-MAX(5,B2971))/(IF(Inputs!$B$39="pvp",15,Inputs!$B$44)-(B2971))))*IF(AND(ArtifactsInput!$M$42,((Inputs!$B$9+((C2952=TRUE)*(F2952-Calc!F26))+B2960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2938*(MIN(100,(Inputs!$B$9+((C2952=TRUE)*(F2952-Calc!F26))+B2960+(ArtifactsInput!$M$24-ArtifactsInput!$M$24)*CHOOSE(ArtifactsInput!$N$24+1,10,12,14,16,18,20)+(IF(AND(Inputs!$B$39&lt;&gt;"pvp",Inputs!$B$44=0),1,IF(IF(Inputs!$B$39="pvp",15,Inputs!$B$44)-(B2971)&lt;=0,1,MAX(0,IF(Inputs!$B$39="pvp",15,Inputs!$B$44)-MAX(5,B2971))/(IF(Inputs!$B$39="pvp",15,Inputs!$B$44)-(B2971))))*IF(AND(ArtifactsInput!$M$42,((Inputs!$B$9+((C2952=TRUE)*(F2952-Calc!F26))+B2960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2938*(1-MIN(100,(Inputs!$B$9+((C2952=TRUE)*(F2952-Calc!F26))+B2960+(ArtifactsInput!$M$24-ArtifactsInput!$M$24)*CHOOSE(ArtifactsInput!$N$24+1,10,12,14,16,18,20)+(IF(AND(Inputs!$B$39&lt;&gt;"pvp",Inputs!$B$44=0),1,IF(IF(Inputs!$B$39="pvp",15,Inputs!$B$44)-(B2971)&lt;=0,1,MAX(0,IF(Inputs!$B$39="pvp",15,Inputs!$B$44)-MAX(5,B2971))/(IF(Inputs!$B$39="pvp",15,Inputs!$B$44)-(B2971))))*IF(AND(ArtifactsInput!$M$42,((Inputs!$B$9+((C2952=TRUE)*(F2952-Calc!F26))+B2960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2938*(MIN(100,(Inputs!$B$9+((C2952=TRUE)*(F2952-Calc!F26))+B2960+(ArtifactsInput!$M$24-ArtifactsInput!$M$24)*CHOOSE(ArtifactsInput!$N$24+1,10,12,14,16,18,20)+(IF(AND(Inputs!$B$39&lt;&gt;"pvp",Inputs!$B$44=0),1,IF(IF(Inputs!$B$39="pvp",15,Inputs!$B$44)-(B2971)&lt;=0,1,MAX(0,IF(Inputs!$B$39="pvp",15,Inputs!$B$44)-MAX(5,B2971))/(IF(Inputs!$B$39="pvp",15,Inputs!$B$44)-(B2971))))*IF(AND(ArtifactsInput!$M$42,((Inputs!$B$9+((C2952=TRUE)*(F2952-Calc!F26))+B2960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938">
        <f>IF(C2938,(H2938*N2938*IF(AND(Inputs!$B$39&lt;&gt;"pvp",Inputs!$B$44&gt;0),((Skills!G12*((R2938-1)*IF(Skills!H12&gt;0,Skills!I12/Skills!H12,1)+IF(Skills!H12&gt;0,MIN(Skills!I12,MAX(0,MAX(0,Inputs!$B$44-B2971)-((R2938-1)*IF(Inputs!$B$39="pvp",15,MAX(0.1,Skills!D12-IF(TRUE=TRUE,Inputs!$B$32,0))))))/Skills!H12,1)))/Inputs!$B$44),G2938*Q2938))*IF(Inputs!$B$39="pvp",1,(1+(Inputs!$B$21+Skills!Q12+B2961+(IF(ArtifactsInput!$M$33,CHOOSE(ArtifactsInput!$N$33+1,30,36,42,48,54,60),0))+(IF(AND(ArtifactsInput!$M$35,Inputs!$B$4&lt;&gt;"Chapter Hunt"),CHOOSE(ArtifactsInput!$N$35+1,15,18,21,24,27,30)*(1-EXP(-(0.2*B2964)*5)),0)+IF(AND(ArtifactsInput!$M$22,Inputs!$B$4&lt;&gt;"Chapter Hunt"),CHOOSE(ArtifactsInput!$N$22+1,10,12,14,16,18,20)*((0*(((0.15*B2964*5))^0/1)+1*(((0.15*B2964*5))^1/1)+2*(((0.15*B2964*5))^2/2)+3*(((0.15*B2964*5))^3/6)+4*(((0.15*B2964*5))^4/24)+5*(((0.15*B2964*5))^5/120))/((((0.15*B2964*5))^0/1)+(((0.15*B2964*5))^1/1)+(((0.15*B2964*5))^2/2)+(((0.15*B2964*5))^3/6)+(((0.15*B2964*5))^4/24)+(((0.15*B2964*5))^5/120))),0)))/100)*(MIN(Skills!W12,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939">
      <c r="A2939">
        <f>Skills!A13</f>
        <v/>
      </c>
      <c r="B2939">
        <f>Skills!B13</f>
        <v/>
      </c>
      <c r="C2939">
        <f>Inputs!$B$3&gt;=105</f>
        <v/>
      </c>
      <c r="D2939">
        <f>IF(Skills!C13=1,60+Inputs!$B$25+Inputs!$B$29,IF(Skills!C13=2,90+Inputs!$B$26+Inputs!$B$29,IF(Skills!C13=3,120+Inputs!$B$27+Inputs!$B$29,MAX(0,(Inputs!$B$3-100)*3)+Inputs!$B$28+Inputs!$B$29)))</f>
        <v/>
      </c>
      <c r="E2939">
        <f>INDEX(FactorTable!$B$2:$Y$301, MATCH(ROUND(MIN(300,MAX(1,D2939)),0), FactorTable!$A$2:$A$301,0), Skills!M13+1)</f>
        <v/>
      </c>
      <c r="F2939">
        <f>IF(Skills!N13=TRUE,(Skills!L13/10)*(E2939/1000),Skills!L13/10)+Skills!O13</f>
        <v/>
      </c>
      <c r="G2939">
        <f>Skills!G13*IF(Skills!H13&gt;0,IF(Inputs!$B$39="pvp",MIN(Skills!I13,15),Skills!I13)/Skills!H13,1)</f>
        <v/>
      </c>
      <c r="H2939">
        <f>1-(1-Skills!J13/100)^Skills!K13</f>
        <v/>
      </c>
      <c r="I2939" t="inlineStr">
        <is>
          <t>1</t>
        </is>
      </c>
      <c r="J2939">
        <f>((Inputs!$B$6*(1+Inputs!$B$7/100))+(((Inputs!$B$12*(1+Inputs!$B$13/100))-(Inputs!$B$12*(1+Inputs!$B$13/100)))+0.25*(Inputs!$B$14-Inputs!$B$14))*(1+Inputs!$B$7/100))*(F2939/100)</f>
        <v/>
      </c>
      <c r="K2939">
        <f>J2939*(1+((Inputs!$B$12*(1+Inputs!$B$13/100))*0.01+Inputs!$B$14*0.0025)/100)*(1+Inputs!$B$15/100)*(1+Inputs!$B$16/100)*(5000/(6000+Inputs!$B$43*(1-(100*(1-(1-Inputs!$B$19/100)*(1-CHOOSE(ArtifactsInput!$N$40+1,5,6,7,8,9,10)/100)^(ArtifactsInput!$M$40-ArtifactsInput!$M$40)))/100)))*(1+(Inputs!$B$24+((C2957=TRUE)*(F2957-Calc!F31))+((C2944=TRUE)*(F2944-Calc!F18)))/100)*(1+(((1+IF(AND(IF(ArtifactsInput!$M$36,FALSE,TRUE),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13="CRUEL_STAB",Inputs!$B$17+((C2954=TRUE)*(F2954-Calc!F28))+((IF(AND(Inputs!$B$39&lt;&gt;"pvp",Inputs!$B$44=0),1,IF(IF(Inputs!$B$39="pvp",15,Inputs!$B$44)-(B2971)&lt;=0,1,MAX(0,IF(Inputs!$B$39="pvp",15,Inputs!$B$44)-MAX(5,B2971))/(IF(Inputs!$B$39="pvp",15,Inputs!$B$44)-(B2971))))*(IF(AND(ArtifactsInput!$M$42,((Inputs!$B$9+((C2952=TRUE)*(F2952-Calc!F26))+B2960+(ArtifactsInput!$M$24-ArtifactsInput!$M$24)*CHOOSE(ArtifactsInput!$N$24+1,10,12,14,16,18,20)+IF(ArtifactsInput!$M$10,CHOOSE(ArtifactsInput!$N$10+1,15,18,21,24,27,30)*(IF(Inputs!$B$39="pvp",MIN(15,15)/15,IF(AND(Inputs!$B$39&lt;&gt;"pvp",Inputs!$B$44&gt;0),MIN(15,Inputs!$B$44)/(Inputs!$B$44),0))),0)))&gt;=100),MIN(100,((Inputs!$B$9+((C2952=TRUE)*(F2952-Calc!F26))+B2960+(ArtifactsInput!$M$24-ArtifactsInput!$M$24)*CHOOSE(ArtifactsInput!$N$24+1,10,12,14,16,18,20)+IF(ArtifactsInput!$M$10,CHOOSE(ArtifactsInput!$N$10+1,15,18,21,24,27,30)*(IF(Inputs!$B$39="pvp",MIN(15,15)/15,IF(AND(Inputs!$B$39&lt;&gt;"pvp",Inputs!$B$44&gt;0),MIN(15,Inputs!$B$44)/(Inputs!$B$44),0))),0)))-100),0))*CHOOSE(ArtifactsInput!$N$42+1,0.6,0.72,0.84,0.96,1.08,1.2))),Inputs!$B$18+((C2955=TRUE)*(F2955-Calc!F29))+(IF(AND(Inputs!$B$39&lt;&gt;"pvp",Inputs!$B$44=0),1,IF(IF(Inputs!$B$39="pvp",15,Inputs!$B$44)-(B2971)&lt;=0,1,MAX(0,IF(Inputs!$B$39="pvp",15,Inputs!$B$44)-MAX(5,B2971))/(IF(Inputs!$B$39="pvp",15,Inputs!$B$44)-(B2971))))*IF(AND(ArtifactsInput!$M$42,((Inputs!$B$9+((C2952=TRUE)*(F2952-Calc!F26))+B2960+(ArtifactsInput!$M$24-ArtifactsInput!$M$24)*CHOOSE(ArtifactsInput!$N$24+1,10,12,14,16,18,20)+IF(ArtifactsInput!$M$10,CHOOSE(ArtifactsInput!$N$10+1,15,18,21,24,27,30)*(IF(Inputs!$B$39="pvp",MIN(15,15)/15,IF(AND(Inputs!$B$39&lt;&gt;"pvp",Inputs!$B$44&gt;0),MIN(15,Inputs!$B$44)/(Inputs!$B$44),0))),0)))&gt;=100),CHOOSE(ArtifactsInput!$N$42+1,40,48,56,64,72,80),0))))/100)*(((1+(((C2948=TRUE)*F2948*IF(AND(Inputs!$B$39&lt;&gt;"pvp",Inputs!$B$44&gt;0),(((R2948-1)*MIN((Skills!Y22*(1+Inputs!$B$34/100)),(1/Q2948))+MIN((Skills!Y22*(1+Inputs!$B$34/100)),MAX(0,Inputs!$B$44-((R2948-1)*(1/Q2948)))))/Inputs!$B$44),IF(Inputs!$B$39="pvp",MIN((Skills!Y22*(1+Inputs!$B$34/100)),15)/15,MIN(1,(Skills!Y22*(1+Inputs!$B$34/100))/(1/Q2948)))))+((C2929=TRUE)*F2929*3)+((C2931=TRUE)*F2931*(1-EXP(-0.75*B2964*5)))+((C2950=TRUE)*(F2950-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2937=TRUE)*F2937*IF(AND(Inputs!$B$39&lt;&gt;"pvp",Inputs!$B$44&gt;0),(((R2937-1)*MIN((Skills!Y11*(1+Inputs!$B$34/100)),(1/Q2937))+MIN((Skills!Y11*(1+Inputs!$B$34/100)),MAX(0,Inputs!$B$44-((R2937-1)*(1/Q2937)))))/Inputs!$B$44),IF(Inputs!$B$39="pvp",MIN((Skills!Y11*(1+Inputs!$B$34/100)),15)/15,MIN(1,(Skills!Y11*(1+Inputs!$B$34/100))/(1/Q2937)))))/100)*(1+((C2942=TRUE)*F2942*IF(AND(Inputs!$B$39&lt;&gt;"pvp",Inputs!$B$44&gt;0),(((R2942-1)*MIN((Skills!Y16*(1+Inputs!$B$34/100)),(1/Q2942))+MIN((Skills!Y16*(1+Inputs!$B$34/100)),MAX(0,Inputs!$B$44-((R2942-1)*(1/Q2942)))))/Inputs!$B$44),IF(Inputs!$B$39="pvp",MIN((Skills!Y16*(1+Inputs!$B$34/100)),15)/15,MIN(1,(Skills!Y16*(1+Inputs!$B$34/100))/(1/Q2942)))))/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2962*I2939)</f>
        <v/>
      </c>
      <c r="L2939">
        <f>K2939*(MIN(Inputs!$B$22+((C2951=TRUE)*(F2951-Calc!F25)),(Inputs!$B$23+((C2956=TRUE)*(F2956-Calc!F30))+IF(ArtifactsInput!$M$15,CHOOSE(ArtifactsInput!$N$15+1,25,30,35,40,45,50)/100*(Inputs!$B$11-Inputs!$B$11),0)))/100+(Inputs!$B$23+((C2956=TRUE)*(F2956-Calc!F30))+IF(ArtifactsInput!$M$15,CHOOSE(ArtifactsInput!$N$15+1,25,30,35,40,45,50)/100*(Inputs!$B$11-Inputs!$B$11),0))/100)/2</f>
        <v/>
      </c>
      <c r="M2939">
        <f>L2939*(1+(Inputs!$B$10+((C2953=TRUE)*(F2953-Calc!F27))+B2967+(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2939">
        <f>L2939*(1-MIN((Inputs!$B$9+((C2952=TRUE)*(F2952-Calc!F26))+B2960+(ArtifactsInput!$M$24-ArtifactsInput!$M$24)*CHOOSE(ArtifactsInput!$N$24+1,10,12,14,16,18,20)+(IF(AND(Inputs!$B$39&lt;&gt;"pvp",Inputs!$B$44=0),1,IF(IF(Inputs!$B$39="pvp",15,Inputs!$B$44)-(B2971)&lt;=0,1,MAX(0,IF(Inputs!$B$39="pvp",15,Inputs!$B$44)-MAX(5,B2971))/(IF(Inputs!$B$39="pvp",15,Inputs!$B$44)-(B2971))))*IF(AND(ArtifactsInput!$M$42,((Inputs!$B$9+((C2952=TRUE)*(F2952-Calc!F26))+B2960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2939*(MIN((Inputs!$B$9+((C2952=TRUE)*(F2952-Calc!F26))+B2960+(ArtifactsInput!$M$24-ArtifactsInput!$M$24)*CHOOSE(ArtifactsInput!$N$24+1,10,12,14,16,18,20)+(IF(AND(Inputs!$B$39&lt;&gt;"pvp",Inputs!$B$44=0),1,IF(IF(Inputs!$B$39="pvp",15,Inputs!$B$44)-(B2971)&lt;=0,1,MAX(0,IF(Inputs!$B$39="pvp",15,Inputs!$B$44)-MAX(5,B2971))/(IF(Inputs!$B$39="pvp",15,Inputs!$B$44)-(B2971))))*IF(AND(ArtifactsInput!$M$42,((Inputs!$B$9+((C2952=TRUE)*(F2952-Calc!F26))+B2960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939">
        <f>(1-Summary!$B$11)*T2939+Summary!$B$11*V2939</f>
        <v/>
      </c>
      <c r="P2939">
        <f>IF(B2972=0,0,O2939/B2972)</f>
        <v/>
      </c>
      <c r="Q2939">
        <f>IFERROR(1/IF(Inputs!$B$39="pvp",15,MAX(0.1,Skills!D13-IF(TRUE=TRUE,Inputs!$B$32,0))),0)</f>
        <v/>
      </c>
      <c r="R2939">
        <f>IF(AND(Inputs!$B$39&lt;&gt;"pvp",Inputs!$B$44&gt;0),IF(MAX(0,Inputs!$B$44-B2971)&lt;=0,0,(INT(MAX(0,Inputs!$B$44-B2971)/IF(Inputs!$B$39="pvp",15,MAX(0.1,Skills!D13-IF(TRUE=TRUE,Inputs!$B$32,0))))+1)),0)</f>
        <v/>
      </c>
      <c r="S2939">
        <f>IFERROR(O2939/N2939,0)</f>
        <v/>
      </c>
      <c r="T2939">
        <f>IF(C2939,(H2939*N2939*IF(AND(Inputs!$B$39&lt;&gt;"pvp",Inputs!$B$44&gt;0),((Skills!G13*((R2939-1)*IF(Skills!H13&gt;0,Skills!I13/Skills!H13,1)+IF(Skills!H13&gt;0,MIN(Skills!I13,MAX(0,MAX(0,Inputs!$B$44-B2971)-((R2939-1)*IF(Inputs!$B$39="pvp",15,MAX(0.1,Skills!D13-IF(TRUE=TRUE,Inputs!$B$32,0))))))/Skills!H13,1)))/Inputs!$B$44),G2939*Q2939))*IF(Inputs!$B$39="pvp",1,1+(Inputs!$B$20+0+Skills!P13+B2961+(IF(AND(IF(ArtifactsInput!$M$36,FALSE,TRUE),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Hunt"),CHOOSE(ArtifactsInput!$N$35+1,15,18,21,24,27,30)*(1-EXP(-(0.2*B2964)*5)),0)+IF(AND(ArtifactsInput!$M$22,Inputs!$B$4&lt;&gt;"Chapter Hunt"),CHOOSE(ArtifactsInput!$N$22+1,10,12,14,16,18,20)*((0*(((0.15*B2964*5))^0/1)+1*(((0.15*B2964*5))^1/1)+2*(((0.15*B2964*5))^2/2)+3*(((0.15*B2964*5))^3/6)+4*(((0.15*B2964*5))^4/24)+5*(((0.15*B2964*5))^5/120))/((((0.15*B2964*5))^0/1)+(((0.15*B2964*5))^1/1)+(((0.15*B2964*5))^2/2)+(((0.15*B2964*5))^3/6)+(((0.15*B2964*5))^4/24)+(((0.15*B2964*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2939*(1-MIN(100,(Inputs!$B$9+((C2952=TRUE)*(F2952-Calc!F26))+B2960+(ArtifactsInput!$M$24-ArtifactsInput!$M$24)*CHOOSE(ArtifactsInput!$N$24+1,10,12,14,16,18,20)+(IF(AND(Inputs!$B$39&lt;&gt;"pvp",Inputs!$B$44=0),1,IF(IF(Inputs!$B$39="pvp",15,Inputs!$B$44)-(B2971)&lt;=0,1,MAX(0,IF(Inputs!$B$39="pvp",15,Inputs!$B$44)-MAX(5,B2971))/(IF(Inputs!$B$39="pvp",15,Inputs!$B$44)-(B2971))))*IF(AND(ArtifactsInput!$M$42,((Inputs!$B$9+((C2952=TRUE)*(F2952-Calc!F26))+B2960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2939*(MIN(100,(Inputs!$B$9+((C2952=TRUE)*(F2952-Calc!F26))+B2960+(ArtifactsInput!$M$24-ArtifactsInput!$M$24)*CHOOSE(ArtifactsInput!$N$24+1,10,12,14,16,18,20)+(IF(AND(Inputs!$B$39&lt;&gt;"pvp",Inputs!$B$44=0),1,IF(IF(Inputs!$B$39="pvp",15,Inputs!$B$44)-(B2971)&lt;=0,1,MAX(0,IF(Inputs!$B$39="pvp",15,Inputs!$B$44)-MAX(5,B2971))/(IF(Inputs!$B$39="pvp",15,Inputs!$B$44)-(B2971))))*IF(AND(ArtifactsInput!$M$42,((Inputs!$B$9+((C2952=TRUE)*(F2952-Calc!F26))+B2960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2939*(1-MIN(100,(Inputs!$B$9+((C2952=TRUE)*(F2952-Calc!F26))+B2960+(ArtifactsInput!$M$24-ArtifactsInput!$M$24)*CHOOSE(ArtifactsInput!$N$24+1,10,12,14,16,18,20)+(IF(AND(Inputs!$B$39&lt;&gt;"pvp",Inputs!$B$44=0),1,IF(IF(Inputs!$B$39="pvp",15,Inputs!$B$44)-(B2971)&lt;=0,1,MAX(0,IF(Inputs!$B$39="pvp",15,Inputs!$B$44)-MAX(5,B2971))/(IF(Inputs!$B$39="pvp",15,Inputs!$B$44)-(B2971))))*IF(AND(ArtifactsInput!$M$42,((Inputs!$B$9+((C2952=TRUE)*(F2952-Calc!F26))+B2960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2939*(MIN(100,(Inputs!$B$9+((C2952=TRUE)*(F2952-Calc!F26))+B2960+(ArtifactsInput!$M$24-ArtifactsInput!$M$24)*CHOOSE(ArtifactsInput!$N$24+1,10,12,14,16,18,20)+(IF(AND(Inputs!$B$39&lt;&gt;"pvp",Inputs!$B$44=0),1,IF(IF(Inputs!$B$39="pvp",15,Inputs!$B$44)-(B2971)&lt;=0,1,MAX(0,IF(Inputs!$B$39="pvp",15,Inputs!$B$44)-MAX(5,B2971))/(IF(Inputs!$B$39="pvp",15,Inputs!$B$44)-(B2971))))*IF(AND(ArtifactsInput!$M$42,((Inputs!$B$9+((C2952=TRUE)*(F2952-Calc!F26))+B2960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939">
        <f>IF(C2939,(H2939*N2939*IF(AND(Inputs!$B$39&lt;&gt;"pvp",Inputs!$B$44&gt;0),((Skills!G13*((R2939-1)*IF(Skills!H13&gt;0,Skills!I13/Skills!H13,1)+IF(Skills!H13&gt;0,MIN(Skills!I13,MAX(0,MAX(0,Inputs!$B$44-B2971)-((R2939-1)*IF(Inputs!$B$39="pvp",15,MAX(0.1,Skills!D13-IF(TRUE=TRUE,Inputs!$B$32,0))))))/Skills!H13,1)))/Inputs!$B$44),G2939*Q2939))*IF(Inputs!$B$39="pvp",1,(1+(Inputs!$B$21+Skills!Q13+B2961+(IF(ArtifactsInput!$M$33,CHOOSE(ArtifactsInput!$N$33+1,30,36,42,48,54,60),0))+(IF(AND(ArtifactsInput!$M$35,Inputs!$B$4&lt;&gt;"Chapter Hunt"),CHOOSE(ArtifactsInput!$N$35+1,15,18,21,24,27,30)*(1-EXP(-(0.2*B2964)*5)),0)+IF(AND(ArtifactsInput!$M$22,Inputs!$B$4&lt;&gt;"Chapter Hunt"),CHOOSE(ArtifactsInput!$N$22+1,10,12,14,16,18,20)*((0*(((0.15*B2964*5))^0/1)+1*(((0.15*B2964*5))^1/1)+2*(((0.15*B2964*5))^2/2)+3*(((0.15*B2964*5))^3/6)+4*(((0.15*B2964*5))^4/24)+5*(((0.15*B2964*5))^5/120))/((((0.15*B2964*5))^0/1)+(((0.15*B2964*5))^1/1)+(((0.15*B2964*5))^2/2)+(((0.15*B2964*5))^3/6)+(((0.15*B2964*5))^4/24)+(((0.15*B2964*5))^5/120))),0)))/100)*(MIN(Skills!W13,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940">
      <c r="A2940">
        <f>Skills!A14</f>
        <v/>
      </c>
      <c r="B2940">
        <f>Skills!B14</f>
        <v/>
      </c>
      <c r="C2940">
        <f>Inputs!$B$3&gt;=105</f>
        <v/>
      </c>
      <c r="D2940">
        <f>IF(Skills!C14=1,60+Inputs!$B$25+Inputs!$B$29,IF(Skills!C14=2,90+Inputs!$B$26+Inputs!$B$29,IF(Skills!C14=3,120+Inputs!$B$27+Inputs!$B$29,MAX(0,(Inputs!$B$3-100)*3)+Inputs!$B$28+Inputs!$B$29)))</f>
        <v/>
      </c>
      <c r="E2940">
        <f>INDEX(FactorTable!$B$2:$Y$301, MATCH(ROUND(MIN(300,MAX(1,D2940)),0), FactorTable!$A$2:$A$301,0), Skills!M14+1)</f>
        <v/>
      </c>
      <c r="F2940">
        <f>IF(Skills!N14=TRUE,(Skills!L14/10)*(E2940/1000),Skills!L14/10)+Skills!O14</f>
        <v/>
      </c>
      <c r="G2940">
        <f>Skills!G14*IF(Skills!H14&gt;0,IF(Inputs!$B$39="pvp",MIN(Skills!I14,15),Skills!I14)/Skills!H14,1)</f>
        <v/>
      </c>
      <c r="H2940">
        <f>1-(1-Skills!J14/100)^Skills!K14</f>
        <v/>
      </c>
      <c r="I2940" t="inlineStr">
        <is>
          <t>1</t>
        </is>
      </c>
      <c r="J2940">
        <f>((Inputs!$B$6*(1+Inputs!$B$7/100))+(((Inputs!$B$12*(1+Inputs!$B$13/100))-(Inputs!$B$12*(1+Inputs!$B$13/100)))+0.25*(Inputs!$B$14-Inputs!$B$14))*(1+Inputs!$B$7/100))*(F2940/100)</f>
        <v/>
      </c>
      <c r="K2940">
        <f>J2940*(1+((Inputs!$B$12*(1+Inputs!$B$13/100))*0.01+Inputs!$B$14*0.0025)/100)*(1+Inputs!$B$15/100)*(1+Inputs!$B$16/100)*(5000/(6000+Inputs!$B$43*(1-(100*(1-(1-Inputs!$B$19/100)*(1-CHOOSE(ArtifactsInput!$N$40+1,5,6,7,8,9,10)/100)^(ArtifactsInput!$M$40-ArtifactsInput!$M$40)))/100)))*(1+(Inputs!$B$24+((C2957=TRUE)*(F2957-Calc!F31))+((C2944=TRUE)*(F2944-Calc!F18)))/100)*(1+(((1+IF(AND(IF(ArtifactsInput!$M$36,FALSE,TRUE),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14="CRUEL_STAB",Inputs!$B$17+((C2954=TRUE)*(F2954-Calc!F28))+((IF(AND(Inputs!$B$39&lt;&gt;"pvp",Inputs!$B$44=0),1,IF(IF(Inputs!$B$39="pvp",15,Inputs!$B$44)-(B2971)&lt;=0,1,MAX(0,IF(Inputs!$B$39="pvp",15,Inputs!$B$44)-MAX(5,B2971))/(IF(Inputs!$B$39="pvp",15,Inputs!$B$44)-(B2971))))*(IF(AND(ArtifactsInput!$M$42,((Inputs!$B$9+((C2952=TRUE)*(F2952-Calc!F26))+B2960+(ArtifactsInput!$M$24-ArtifactsInput!$M$24)*CHOOSE(ArtifactsInput!$N$24+1,10,12,14,16,18,20)+IF(ArtifactsInput!$M$10,CHOOSE(ArtifactsInput!$N$10+1,15,18,21,24,27,30)*(IF(Inputs!$B$39="pvp",MIN(15,15)/15,IF(AND(Inputs!$B$39&lt;&gt;"pvp",Inputs!$B$44&gt;0),MIN(15,Inputs!$B$44)/(Inputs!$B$44),0))),0)))&gt;=100),MIN(100,((Inputs!$B$9+((C2952=TRUE)*(F2952-Calc!F26))+B2960+(ArtifactsInput!$M$24-ArtifactsInput!$M$24)*CHOOSE(ArtifactsInput!$N$24+1,10,12,14,16,18,20)+IF(ArtifactsInput!$M$10,CHOOSE(ArtifactsInput!$N$10+1,15,18,21,24,27,30)*(IF(Inputs!$B$39="pvp",MIN(15,15)/15,IF(AND(Inputs!$B$39&lt;&gt;"pvp",Inputs!$B$44&gt;0),MIN(15,Inputs!$B$44)/(Inputs!$B$44),0))),0)))-100),0))*CHOOSE(ArtifactsInput!$N$42+1,0.6,0.72,0.84,0.96,1.08,1.2))),Inputs!$B$18+((C2955=TRUE)*(F2955-Calc!F29))+(IF(AND(Inputs!$B$39&lt;&gt;"pvp",Inputs!$B$44=0),1,IF(IF(Inputs!$B$39="pvp",15,Inputs!$B$44)-(B2971)&lt;=0,1,MAX(0,IF(Inputs!$B$39="pvp",15,Inputs!$B$44)-MAX(5,B2971))/(IF(Inputs!$B$39="pvp",15,Inputs!$B$44)-(B2971))))*IF(AND(ArtifactsInput!$M$42,((Inputs!$B$9+((C2952=TRUE)*(F2952-Calc!F26))+B2960+(ArtifactsInput!$M$24-ArtifactsInput!$M$24)*CHOOSE(ArtifactsInput!$N$24+1,10,12,14,16,18,20)+IF(ArtifactsInput!$M$10,CHOOSE(ArtifactsInput!$N$10+1,15,18,21,24,27,30)*(IF(Inputs!$B$39="pvp",MIN(15,15)/15,IF(AND(Inputs!$B$39&lt;&gt;"pvp",Inputs!$B$44&gt;0),MIN(15,Inputs!$B$44)/(Inputs!$B$44),0))),0)))&gt;=100),CHOOSE(ArtifactsInput!$N$42+1,40,48,56,64,72,80),0))))/100)*(((1+(((C2948=TRUE)*F2948*IF(AND(Inputs!$B$39&lt;&gt;"pvp",Inputs!$B$44&gt;0),(((R2948-1)*MIN((Skills!Y22*(1+Inputs!$B$34/100)),(1/Q2948))+MIN((Skills!Y22*(1+Inputs!$B$34/100)),MAX(0,Inputs!$B$44-((R2948-1)*(1/Q2948)))))/Inputs!$B$44),IF(Inputs!$B$39="pvp",MIN((Skills!Y22*(1+Inputs!$B$34/100)),15)/15,MIN(1,(Skills!Y22*(1+Inputs!$B$34/100))/(1/Q2948)))))+((C2929=TRUE)*F2929*3)+((C2931=TRUE)*F2931*(1-EXP(-0.75*B2964*5)))+((C2950=TRUE)*(F2950-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2937=TRUE)*F2937*IF(AND(Inputs!$B$39&lt;&gt;"pvp",Inputs!$B$44&gt;0),(((R2937-1)*MIN((Skills!Y11*(1+Inputs!$B$34/100)),(1/Q2937))+MIN((Skills!Y11*(1+Inputs!$B$34/100)),MAX(0,Inputs!$B$44-((R2937-1)*(1/Q2937)))))/Inputs!$B$44),IF(Inputs!$B$39="pvp",MIN((Skills!Y11*(1+Inputs!$B$34/100)),15)/15,MIN(1,(Skills!Y11*(1+Inputs!$B$34/100))/(1/Q2937)))))/100)*(1+((C2942=TRUE)*F2942*IF(AND(Inputs!$B$39&lt;&gt;"pvp",Inputs!$B$44&gt;0),(((R2942-1)*MIN((Skills!Y16*(1+Inputs!$B$34/100)),(1/Q2942))+MIN((Skills!Y16*(1+Inputs!$B$34/100)),MAX(0,Inputs!$B$44-((R2942-1)*(1/Q2942)))))/Inputs!$B$44),IF(Inputs!$B$39="pvp",MIN((Skills!Y16*(1+Inputs!$B$34/100)),15)/15,MIN(1,(Skills!Y16*(1+Inputs!$B$34/100))/(1/Q2942)))))/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2962*I2940)</f>
        <v/>
      </c>
      <c r="L2940">
        <f>K2940*(MIN(Inputs!$B$22+((C2951=TRUE)*(F2951-Calc!F25)),(Inputs!$B$23+((C2956=TRUE)*(F2956-Calc!F30))+IF(ArtifactsInput!$M$15,CHOOSE(ArtifactsInput!$N$15+1,25,30,35,40,45,50)/100*(Inputs!$B$11-Inputs!$B$11),0)))/100+(Inputs!$B$23+((C2956=TRUE)*(F2956-Calc!F30))+IF(ArtifactsInput!$M$15,CHOOSE(ArtifactsInput!$N$15+1,25,30,35,40,45,50)/100*(Inputs!$B$11-Inputs!$B$11),0))/100)/2</f>
        <v/>
      </c>
      <c r="M2940">
        <f>L2940*(1+(Inputs!$B$10+((C2953=TRUE)*(F2953-Calc!F27))+B2967+(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2940">
        <f>L2940*(1-MIN((Inputs!$B$9+((C2952=TRUE)*(F2952-Calc!F26))+B2960+(ArtifactsInput!$M$24-ArtifactsInput!$M$24)*CHOOSE(ArtifactsInput!$N$24+1,10,12,14,16,18,20)+(IF(AND(Inputs!$B$39&lt;&gt;"pvp",Inputs!$B$44=0),1,IF(IF(Inputs!$B$39="pvp",15,Inputs!$B$44)-(B2971)&lt;=0,1,MAX(0,IF(Inputs!$B$39="pvp",15,Inputs!$B$44)-MAX(5,B2971))/(IF(Inputs!$B$39="pvp",15,Inputs!$B$44)-(B2971))))*IF(AND(ArtifactsInput!$M$42,((Inputs!$B$9+((C2952=TRUE)*(F2952-Calc!F26))+B2960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2940*(MIN((Inputs!$B$9+((C2952=TRUE)*(F2952-Calc!F26))+B2960+(ArtifactsInput!$M$24-ArtifactsInput!$M$24)*CHOOSE(ArtifactsInput!$N$24+1,10,12,14,16,18,20)+(IF(AND(Inputs!$B$39&lt;&gt;"pvp",Inputs!$B$44=0),1,IF(IF(Inputs!$B$39="pvp",15,Inputs!$B$44)-(B2971)&lt;=0,1,MAX(0,IF(Inputs!$B$39="pvp",15,Inputs!$B$44)-MAX(5,B2971))/(IF(Inputs!$B$39="pvp",15,Inputs!$B$44)-(B2971))))*IF(AND(ArtifactsInput!$M$42,((Inputs!$B$9+((C2952=TRUE)*(F2952-Calc!F26))+B2960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940">
        <f>(1-Summary!$B$11)*T2940+Summary!$B$11*V2940</f>
        <v/>
      </c>
      <c r="P2940">
        <f>IF(B2972=0,0,O2940/B2972)</f>
        <v/>
      </c>
      <c r="Q2940">
        <f>IFERROR(1/IF(Inputs!$B$39="pvp",15,MAX(0.1,Skills!D14-IF(TRUE=TRUE,Inputs!$B$32,0))),0)</f>
        <v/>
      </c>
      <c r="R2940">
        <f>IF(AND(Inputs!$B$39&lt;&gt;"pvp",Inputs!$B$44&gt;0),IF(MAX(0,Inputs!$B$44-B2971)&lt;=0,0,(INT(MAX(0,Inputs!$B$44-B2971)/IF(Inputs!$B$39="pvp",15,MAX(0.1,Skills!D14-IF(TRUE=TRUE,Inputs!$B$32,0))))+1)),0)</f>
        <v/>
      </c>
      <c r="S2940">
        <f>IFERROR(O2940/N2940,0)</f>
        <v/>
      </c>
      <c r="T2940">
        <f>IF(C2940,(H2940*N2940*IF(AND(Inputs!$B$39&lt;&gt;"pvp",Inputs!$B$44&gt;0),((Skills!G14*((R2940-1)*IF(Skills!H14&gt;0,Skills!I14/Skills!H14,1)+IF(Skills!H14&gt;0,MIN(Skills!I14,MAX(0,MAX(0,Inputs!$B$44-B2971)-((R2940-1)*IF(Inputs!$B$39="pvp",15,MAX(0.1,Skills!D14-IF(TRUE=TRUE,Inputs!$B$32,0))))))/Skills!H14,1)))/Inputs!$B$44),G2940*Q2940))*IF(Inputs!$B$39="pvp",1,1+(Inputs!$B$20+0+Skills!P14+B2961+(IF(AND(IF(ArtifactsInput!$M$36,FALSE,TRUE),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Hunt"),CHOOSE(ArtifactsInput!$N$35+1,15,18,21,24,27,30)*(1-EXP(-(0.2*B2964)*5)),0)+IF(AND(ArtifactsInput!$M$22,Inputs!$B$4&lt;&gt;"Chapter Hunt"),CHOOSE(ArtifactsInput!$N$22+1,10,12,14,16,18,20)*((0*(((0.15*B2964*5))^0/1)+1*(((0.15*B2964*5))^1/1)+2*(((0.15*B2964*5))^2/2)+3*(((0.15*B2964*5))^3/6)+4*(((0.15*B2964*5))^4/24)+5*(((0.15*B2964*5))^5/120))/((((0.15*B2964*5))^0/1)+(((0.15*B2964*5))^1/1)+(((0.15*B2964*5))^2/2)+(((0.15*B2964*5))^3/6)+(((0.15*B2964*5))^4/24)+(((0.15*B2964*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2940*(1-MIN(100,(Inputs!$B$9+((C2952=TRUE)*(F2952-Calc!F26))+B2960+(ArtifactsInput!$M$24-ArtifactsInput!$M$24)*CHOOSE(ArtifactsInput!$N$24+1,10,12,14,16,18,20)+(IF(AND(Inputs!$B$39&lt;&gt;"pvp",Inputs!$B$44=0),1,IF(IF(Inputs!$B$39="pvp",15,Inputs!$B$44)-(B2971)&lt;=0,1,MAX(0,IF(Inputs!$B$39="pvp",15,Inputs!$B$44)-MAX(5,B2971))/(IF(Inputs!$B$39="pvp",15,Inputs!$B$44)-(B2971))))*IF(AND(ArtifactsInput!$M$42,((Inputs!$B$9+((C2952=TRUE)*(F2952-Calc!F26))+B2960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2940*(MIN(100,(Inputs!$B$9+((C2952=TRUE)*(F2952-Calc!F26))+B2960+(ArtifactsInput!$M$24-ArtifactsInput!$M$24)*CHOOSE(ArtifactsInput!$N$24+1,10,12,14,16,18,20)+(IF(AND(Inputs!$B$39&lt;&gt;"pvp",Inputs!$B$44=0),1,IF(IF(Inputs!$B$39="pvp",15,Inputs!$B$44)-(B2971)&lt;=0,1,MAX(0,IF(Inputs!$B$39="pvp",15,Inputs!$B$44)-MAX(5,B2971))/(IF(Inputs!$B$39="pvp",15,Inputs!$B$44)-(B2971))))*IF(AND(ArtifactsInput!$M$42,((Inputs!$B$9+((C2952=TRUE)*(F2952-Calc!F26))+B2960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2940*(1-MIN(100,(Inputs!$B$9+((C2952=TRUE)*(F2952-Calc!F26))+B2960+(ArtifactsInput!$M$24-ArtifactsInput!$M$24)*CHOOSE(ArtifactsInput!$N$24+1,10,12,14,16,18,20)+(IF(AND(Inputs!$B$39&lt;&gt;"pvp",Inputs!$B$44=0),1,IF(IF(Inputs!$B$39="pvp",15,Inputs!$B$44)-(B2971)&lt;=0,1,MAX(0,IF(Inputs!$B$39="pvp",15,Inputs!$B$44)-MAX(5,B2971))/(IF(Inputs!$B$39="pvp",15,Inputs!$B$44)-(B2971))))*IF(AND(ArtifactsInput!$M$42,((Inputs!$B$9+((C2952=TRUE)*(F2952-Calc!F26))+B2960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2940*(MIN(100,(Inputs!$B$9+((C2952=TRUE)*(F2952-Calc!F26))+B2960+(ArtifactsInput!$M$24-ArtifactsInput!$M$24)*CHOOSE(ArtifactsInput!$N$24+1,10,12,14,16,18,20)+(IF(AND(Inputs!$B$39&lt;&gt;"pvp",Inputs!$B$44=0),1,IF(IF(Inputs!$B$39="pvp",15,Inputs!$B$44)-(B2971)&lt;=0,1,MAX(0,IF(Inputs!$B$39="pvp",15,Inputs!$B$44)-MAX(5,B2971))/(IF(Inputs!$B$39="pvp",15,Inputs!$B$44)-(B2971))))*IF(AND(ArtifactsInput!$M$42,((Inputs!$B$9+((C2952=TRUE)*(F2952-Calc!F26))+B2960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940">
        <f>IF(C2940,(H2940*N2940*IF(AND(Inputs!$B$39&lt;&gt;"pvp",Inputs!$B$44&gt;0),((Skills!G14*((R2940-1)*IF(Skills!H14&gt;0,Skills!I14/Skills!H14,1)+IF(Skills!H14&gt;0,MIN(Skills!I14,MAX(0,MAX(0,Inputs!$B$44-B2971)-((R2940-1)*IF(Inputs!$B$39="pvp",15,MAX(0.1,Skills!D14-IF(TRUE=TRUE,Inputs!$B$32,0))))))/Skills!H14,1)))/Inputs!$B$44),G2940*Q2940))*IF(Inputs!$B$39="pvp",1,(1+(Inputs!$B$21+Skills!Q14+B2961+(IF(ArtifactsInput!$M$33,CHOOSE(ArtifactsInput!$N$33+1,30,36,42,48,54,60),0))+(IF(AND(ArtifactsInput!$M$35,Inputs!$B$4&lt;&gt;"Chapter Hunt"),CHOOSE(ArtifactsInput!$N$35+1,15,18,21,24,27,30)*(1-EXP(-(0.2*B2964)*5)),0)+IF(AND(ArtifactsInput!$M$22,Inputs!$B$4&lt;&gt;"Chapter Hunt"),CHOOSE(ArtifactsInput!$N$22+1,10,12,14,16,18,20)*((0*(((0.15*B2964*5))^0/1)+1*(((0.15*B2964*5))^1/1)+2*(((0.15*B2964*5))^2/2)+3*(((0.15*B2964*5))^3/6)+4*(((0.15*B2964*5))^4/24)+5*(((0.15*B2964*5))^5/120))/((((0.15*B2964*5))^0/1)+(((0.15*B2964*5))^1/1)+(((0.15*B2964*5))^2/2)+(((0.15*B2964*5))^3/6)+(((0.15*B2964*5))^4/24)+(((0.15*B2964*5))^5/120))),0)))/100)*(MIN(Skills!W14,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941">
      <c r="A2941">
        <f>Skills!A15</f>
        <v/>
      </c>
      <c r="B2941">
        <f>Skills!B15</f>
        <v/>
      </c>
      <c r="C2941">
        <f>Inputs!$B$3&gt;=107</f>
        <v/>
      </c>
      <c r="D2941">
        <f>IF(Skills!C15=1,60+Inputs!$B$25+Inputs!$B$29,IF(Skills!C15=2,90+Inputs!$B$26+Inputs!$B$29,IF(Skills!C15=3,120+Inputs!$B$27+Inputs!$B$29,MAX(0,(Inputs!$B$3-100)*3)+Inputs!$B$28+Inputs!$B$29)))</f>
        <v/>
      </c>
      <c r="E2941">
        <f>INDEX(FactorTable!$B$2:$Y$301, MATCH(ROUND(MIN(300,MAX(1,D2941)),0), FactorTable!$A$2:$A$301,0), Skills!M15+1)</f>
        <v/>
      </c>
      <c r="F2941">
        <f>IF(Skills!N15=TRUE,(Skills!L15/10)*(E2941/1000),Skills!L15/10)+Skills!O15</f>
        <v/>
      </c>
      <c r="G2941">
        <f>Skills!G15*IF(Skills!H15&gt;0,IF(Inputs!$B$39="pvp",MIN(Skills!I15,15),Skills!I15)/Skills!H15,1)</f>
        <v/>
      </c>
      <c r="H2941">
        <f>1-(1-Skills!J15/100)^Skills!K15</f>
        <v/>
      </c>
      <c r="I2941" t="inlineStr">
        <is>
          <t>1</t>
        </is>
      </c>
      <c r="J2941">
        <f>((Inputs!$B$6*(1+Inputs!$B$7/100))+(((Inputs!$B$12*(1+Inputs!$B$13/100))-(Inputs!$B$12*(1+Inputs!$B$13/100)))+0.25*(Inputs!$B$14-Inputs!$B$14))*(1+Inputs!$B$7/100))*(F2941/100)</f>
        <v/>
      </c>
      <c r="K2941">
        <f>J2941*(1+((Inputs!$B$12*(1+Inputs!$B$13/100))*0.01+Inputs!$B$14*0.0025)/100)*(1+Inputs!$B$15/100)*(1+Inputs!$B$16/100)*(5000/(6000+Inputs!$B$43*(1-(100*(1-(1-Inputs!$B$19/100)*(1-CHOOSE(ArtifactsInput!$N$40+1,5,6,7,8,9,10)/100)^(ArtifactsInput!$M$40-ArtifactsInput!$M$40)))/100)))*(1+(Inputs!$B$24+((C2957=TRUE)*(F2957-Calc!F31))+((C2944=TRUE)*(F2944-Calc!F18)))/100)*(1+(((1+IF(AND(IF(ArtifactsInput!$M$36,FALSE,TRUE),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15="CRUEL_STAB",Inputs!$B$17+((C2954=TRUE)*(F2954-Calc!F28))+((IF(AND(Inputs!$B$39&lt;&gt;"pvp",Inputs!$B$44=0),1,IF(IF(Inputs!$B$39="pvp",15,Inputs!$B$44)-(B2971)&lt;=0,1,MAX(0,IF(Inputs!$B$39="pvp",15,Inputs!$B$44)-MAX(5,B2971))/(IF(Inputs!$B$39="pvp",15,Inputs!$B$44)-(B2971))))*(IF(AND(ArtifactsInput!$M$42,((Inputs!$B$9+((C2952=TRUE)*(F2952-Calc!F26))+B2960+(ArtifactsInput!$M$24-ArtifactsInput!$M$24)*CHOOSE(ArtifactsInput!$N$24+1,10,12,14,16,18,20)+IF(ArtifactsInput!$M$10,CHOOSE(ArtifactsInput!$N$10+1,15,18,21,24,27,30)*(IF(Inputs!$B$39="pvp",MIN(15,15)/15,IF(AND(Inputs!$B$39&lt;&gt;"pvp",Inputs!$B$44&gt;0),MIN(15,Inputs!$B$44)/(Inputs!$B$44),0))),0)))&gt;=100),MIN(100,((Inputs!$B$9+((C2952=TRUE)*(F2952-Calc!F26))+B2960+(ArtifactsInput!$M$24-ArtifactsInput!$M$24)*CHOOSE(ArtifactsInput!$N$24+1,10,12,14,16,18,20)+IF(ArtifactsInput!$M$10,CHOOSE(ArtifactsInput!$N$10+1,15,18,21,24,27,30)*(IF(Inputs!$B$39="pvp",MIN(15,15)/15,IF(AND(Inputs!$B$39&lt;&gt;"pvp",Inputs!$B$44&gt;0),MIN(15,Inputs!$B$44)/(Inputs!$B$44),0))),0)))-100),0))*CHOOSE(ArtifactsInput!$N$42+1,0.6,0.72,0.84,0.96,1.08,1.2))),Inputs!$B$18+((C2955=TRUE)*(F2955-Calc!F29))+(IF(AND(Inputs!$B$39&lt;&gt;"pvp",Inputs!$B$44=0),1,IF(IF(Inputs!$B$39="pvp",15,Inputs!$B$44)-(B2971)&lt;=0,1,MAX(0,IF(Inputs!$B$39="pvp",15,Inputs!$B$44)-MAX(5,B2971))/(IF(Inputs!$B$39="pvp",15,Inputs!$B$44)-(B2971))))*IF(AND(ArtifactsInput!$M$42,((Inputs!$B$9+((C2952=TRUE)*(F2952-Calc!F26))+B2960+(ArtifactsInput!$M$24-ArtifactsInput!$M$24)*CHOOSE(ArtifactsInput!$N$24+1,10,12,14,16,18,20)+IF(ArtifactsInput!$M$10,CHOOSE(ArtifactsInput!$N$10+1,15,18,21,24,27,30)*(IF(Inputs!$B$39="pvp",MIN(15,15)/15,IF(AND(Inputs!$B$39&lt;&gt;"pvp",Inputs!$B$44&gt;0),MIN(15,Inputs!$B$44)/(Inputs!$B$44),0))),0)))&gt;=100),CHOOSE(ArtifactsInput!$N$42+1,40,48,56,64,72,80),0))))/100)*(((1+(((C2948=TRUE)*F2948*IF(AND(Inputs!$B$39&lt;&gt;"pvp",Inputs!$B$44&gt;0),(((R2948-1)*MIN((Skills!Y22*(1+Inputs!$B$34/100)),(1/Q2948))+MIN((Skills!Y22*(1+Inputs!$B$34/100)),MAX(0,Inputs!$B$44-((R2948-1)*(1/Q2948)))))/Inputs!$B$44),IF(Inputs!$B$39="pvp",MIN((Skills!Y22*(1+Inputs!$B$34/100)),15)/15,MIN(1,(Skills!Y22*(1+Inputs!$B$34/100))/(1/Q2948)))))+((C2929=TRUE)*F2929*3)+((C2931=TRUE)*F2931*(1-EXP(-0.75*B2964*5)))+((C2950=TRUE)*(F2950-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2937=TRUE)*F2937*IF(AND(Inputs!$B$39&lt;&gt;"pvp",Inputs!$B$44&gt;0),(((R2937-1)*MIN((Skills!Y11*(1+Inputs!$B$34/100)),(1/Q2937))+MIN((Skills!Y11*(1+Inputs!$B$34/100)),MAX(0,Inputs!$B$44-((R2937-1)*(1/Q2937)))))/Inputs!$B$44),IF(Inputs!$B$39="pvp",MIN((Skills!Y11*(1+Inputs!$B$34/100)),15)/15,MIN(1,(Skills!Y11*(1+Inputs!$B$34/100))/(1/Q2937)))))/100)*(1+((C2942=TRUE)*F2942*IF(AND(Inputs!$B$39&lt;&gt;"pvp",Inputs!$B$44&gt;0),(((R2942-1)*MIN((Skills!Y16*(1+Inputs!$B$34/100)),(1/Q2942))+MIN((Skills!Y16*(1+Inputs!$B$34/100)),MAX(0,Inputs!$B$44-((R2942-1)*(1/Q2942)))))/Inputs!$B$44),IF(Inputs!$B$39="pvp",MIN((Skills!Y16*(1+Inputs!$B$34/100)),15)/15,MIN(1,(Skills!Y16*(1+Inputs!$B$34/100))/(1/Q2942)))))/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2962*I2941)</f>
        <v/>
      </c>
      <c r="L2941">
        <f>K2941*(MIN(Inputs!$B$22+((C2951=TRUE)*(F2951-Calc!F25)),(Inputs!$B$23+((C2956=TRUE)*(F2956-Calc!F30))+IF(ArtifactsInput!$M$15,CHOOSE(ArtifactsInput!$N$15+1,25,30,35,40,45,50)/100*(Inputs!$B$11-Inputs!$B$11),0)))/100+(Inputs!$B$23+((C2956=TRUE)*(F2956-Calc!F30))+IF(ArtifactsInput!$M$15,CHOOSE(ArtifactsInput!$N$15+1,25,30,35,40,45,50)/100*(Inputs!$B$11-Inputs!$B$11),0))/100)/2</f>
        <v/>
      </c>
      <c r="M2941">
        <f>L2941*(1+(Inputs!$B$10+((C2953=TRUE)*(F2953-Calc!F27))+B2967+(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2941">
        <f>L2941*(1-MIN((Inputs!$B$9+((C2952=TRUE)*(F2952-Calc!F26))+B2960+(ArtifactsInput!$M$24-ArtifactsInput!$M$24)*CHOOSE(ArtifactsInput!$N$24+1,10,12,14,16,18,20)+(IF(AND(Inputs!$B$39&lt;&gt;"pvp",Inputs!$B$44=0),1,IF(IF(Inputs!$B$39="pvp",15,Inputs!$B$44)-(B2971)&lt;=0,1,MAX(0,IF(Inputs!$B$39="pvp",15,Inputs!$B$44)-MAX(5,B2971))/(IF(Inputs!$B$39="pvp",15,Inputs!$B$44)-(B2971))))*IF(AND(ArtifactsInput!$M$42,((Inputs!$B$9+((C2952=TRUE)*(F2952-Calc!F26))+B2960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2941*(MIN((Inputs!$B$9+((C2952=TRUE)*(F2952-Calc!F26))+B2960+(ArtifactsInput!$M$24-ArtifactsInput!$M$24)*CHOOSE(ArtifactsInput!$N$24+1,10,12,14,16,18,20)+(IF(AND(Inputs!$B$39&lt;&gt;"pvp",Inputs!$B$44=0),1,IF(IF(Inputs!$B$39="pvp",15,Inputs!$B$44)-(B2971)&lt;=0,1,MAX(0,IF(Inputs!$B$39="pvp",15,Inputs!$B$44)-MAX(5,B2971))/(IF(Inputs!$B$39="pvp",15,Inputs!$B$44)-(B2971))))*IF(AND(ArtifactsInput!$M$42,((Inputs!$B$9+((C2952=TRUE)*(F2952-Calc!F26))+B2960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941">
        <f>(1-Summary!$B$11)*T2941+Summary!$B$11*V2941</f>
        <v/>
      </c>
      <c r="P2941">
        <f>IF(B2972=0,0,O2941/B2972)</f>
        <v/>
      </c>
      <c r="Q2941">
        <f>IFERROR(1/IF(Inputs!$B$39="pvp",15,MAX(0.1,Skills!D15-IF(TRUE=TRUE,Inputs!$B$32,0))),0)</f>
        <v/>
      </c>
      <c r="R2941">
        <f>IF(AND(Inputs!$B$39&lt;&gt;"pvp",Inputs!$B$44&gt;0),IF(MAX(0,Inputs!$B$44-B2971)&lt;=0,0,(INT(MAX(0,Inputs!$B$44-B2971)/IF(Inputs!$B$39="pvp",15,MAX(0.1,Skills!D15-IF(TRUE=TRUE,Inputs!$B$32,0))))+1)),0)</f>
        <v/>
      </c>
      <c r="S2941">
        <f>IFERROR(O2941/N2941,0)</f>
        <v/>
      </c>
      <c r="T2941">
        <f>IF(C2941,(H2941*N2941*IF(AND(Inputs!$B$39&lt;&gt;"pvp",Inputs!$B$44&gt;0),((Skills!G15*((R2941-1)*IF(Skills!H15&gt;0,Skills!I15/Skills!H15,1)+IF(Skills!H15&gt;0,MIN(Skills!I15,MAX(0,MAX(0,Inputs!$B$44-B2971)-((R2941-1)*IF(Inputs!$B$39="pvp",15,MAX(0.1,Skills!D15-IF(TRUE=TRUE,Inputs!$B$32,0))))))/Skills!H15,1)))/Inputs!$B$44),G2941*Q2941))*IF(Inputs!$B$39="pvp",1,1+(Inputs!$B$20+0+Skills!P15+B2961+(IF(AND(IF(ArtifactsInput!$M$36,FALSE,TRUE),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Hunt"),CHOOSE(ArtifactsInput!$N$35+1,15,18,21,24,27,30)*(1-EXP(-(0.2*B2964)*5)),0)+IF(AND(ArtifactsInput!$M$22,Inputs!$B$4&lt;&gt;"Chapter Hunt"),CHOOSE(ArtifactsInput!$N$22+1,10,12,14,16,18,20)*((0*(((0.15*B2964*5))^0/1)+1*(((0.15*B2964*5))^1/1)+2*(((0.15*B2964*5))^2/2)+3*(((0.15*B2964*5))^3/6)+4*(((0.15*B2964*5))^4/24)+5*(((0.15*B2964*5))^5/120))/((((0.15*B2964*5))^0/1)+(((0.15*B2964*5))^1/1)+(((0.15*B2964*5))^2/2)+(((0.15*B2964*5))^3/6)+(((0.15*B2964*5))^4/24)+(((0.15*B2964*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2941*(1-MIN(100,(Inputs!$B$9+((C2952=TRUE)*(F2952-Calc!F26))+B2960+(ArtifactsInput!$M$24-ArtifactsInput!$M$24)*CHOOSE(ArtifactsInput!$N$24+1,10,12,14,16,18,20)+(IF(AND(Inputs!$B$39&lt;&gt;"pvp",Inputs!$B$44=0),1,IF(IF(Inputs!$B$39="pvp",15,Inputs!$B$44)-(B2971)&lt;=0,1,MAX(0,IF(Inputs!$B$39="pvp",15,Inputs!$B$44)-MAX(5,B2971))/(IF(Inputs!$B$39="pvp",15,Inputs!$B$44)-(B2971))))*IF(AND(ArtifactsInput!$M$42,((Inputs!$B$9+((C2952=TRUE)*(F2952-Calc!F26))+B2960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2941*(MIN(100,(Inputs!$B$9+((C2952=TRUE)*(F2952-Calc!F26))+B2960+(ArtifactsInput!$M$24-ArtifactsInput!$M$24)*CHOOSE(ArtifactsInput!$N$24+1,10,12,14,16,18,20)+(IF(AND(Inputs!$B$39&lt;&gt;"pvp",Inputs!$B$44=0),1,IF(IF(Inputs!$B$39="pvp",15,Inputs!$B$44)-(B2971)&lt;=0,1,MAX(0,IF(Inputs!$B$39="pvp",15,Inputs!$B$44)-MAX(5,B2971))/(IF(Inputs!$B$39="pvp",15,Inputs!$B$44)-(B2971))))*IF(AND(ArtifactsInput!$M$42,((Inputs!$B$9+((C2952=TRUE)*(F2952-Calc!F26))+B2960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2941*(1-MIN(100,(Inputs!$B$9+((C2952=TRUE)*(F2952-Calc!F26))+B2960+(ArtifactsInput!$M$24-ArtifactsInput!$M$24)*CHOOSE(ArtifactsInput!$N$24+1,10,12,14,16,18,20)+(IF(AND(Inputs!$B$39&lt;&gt;"pvp",Inputs!$B$44=0),1,IF(IF(Inputs!$B$39="pvp",15,Inputs!$B$44)-(B2971)&lt;=0,1,MAX(0,IF(Inputs!$B$39="pvp",15,Inputs!$B$44)-MAX(5,B2971))/(IF(Inputs!$B$39="pvp",15,Inputs!$B$44)-(B2971))))*IF(AND(ArtifactsInput!$M$42,((Inputs!$B$9+((C2952=TRUE)*(F2952-Calc!F26))+B2960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2941*(MIN(100,(Inputs!$B$9+((C2952=TRUE)*(F2952-Calc!F26))+B2960+(ArtifactsInput!$M$24-ArtifactsInput!$M$24)*CHOOSE(ArtifactsInput!$N$24+1,10,12,14,16,18,20)+(IF(AND(Inputs!$B$39&lt;&gt;"pvp",Inputs!$B$44=0),1,IF(IF(Inputs!$B$39="pvp",15,Inputs!$B$44)-(B2971)&lt;=0,1,MAX(0,IF(Inputs!$B$39="pvp",15,Inputs!$B$44)-MAX(5,B2971))/(IF(Inputs!$B$39="pvp",15,Inputs!$B$44)-(B2971))))*IF(AND(ArtifactsInput!$M$42,((Inputs!$B$9+((C2952=TRUE)*(F2952-Calc!F26))+B2960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941">
        <f>IF(C2941,(H2941*N2941*IF(AND(Inputs!$B$39&lt;&gt;"pvp",Inputs!$B$44&gt;0),((Skills!G15*((R2941-1)*IF(Skills!H15&gt;0,Skills!I15/Skills!H15,1)+IF(Skills!H15&gt;0,MIN(Skills!I15,MAX(0,MAX(0,Inputs!$B$44-B2971)-((R2941-1)*IF(Inputs!$B$39="pvp",15,MAX(0.1,Skills!D15-IF(TRUE=TRUE,Inputs!$B$32,0))))))/Skills!H15,1)))/Inputs!$B$44),G2941*Q2941))*IF(Inputs!$B$39="pvp",1,(1+(Inputs!$B$21+Skills!Q15+B2961+(IF(ArtifactsInput!$M$33,CHOOSE(ArtifactsInput!$N$33+1,30,36,42,48,54,60),0))+(IF(AND(ArtifactsInput!$M$35,Inputs!$B$4&lt;&gt;"Chapter Hunt"),CHOOSE(ArtifactsInput!$N$35+1,15,18,21,24,27,30)*(1-EXP(-(0.2*B2964)*5)),0)+IF(AND(ArtifactsInput!$M$22,Inputs!$B$4&lt;&gt;"Chapter Hunt"),CHOOSE(ArtifactsInput!$N$22+1,10,12,14,16,18,20)*((0*(((0.15*B2964*5))^0/1)+1*(((0.15*B2964*5))^1/1)+2*(((0.15*B2964*5))^2/2)+3*(((0.15*B2964*5))^3/6)+4*(((0.15*B2964*5))^4/24)+5*(((0.15*B2964*5))^5/120))/((((0.15*B2964*5))^0/1)+(((0.15*B2964*5))^1/1)+(((0.15*B2964*5))^2/2)+(((0.15*B2964*5))^3/6)+(((0.15*B2964*5))^4/24)+(((0.15*B2964*5))^5/120))),0)))/100)*(MIN(MIN(5,0.5*IF(Inputs!$B$3&gt;=75,0.75,0.5)*B2964*(1/Q2930))*Skills!V15,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942">
      <c r="A2942">
        <f>Skills!A16</f>
        <v/>
      </c>
      <c r="B2942">
        <f>Skills!B16</f>
        <v/>
      </c>
      <c r="C2942">
        <f>Inputs!$B$3&gt;=110</f>
        <v/>
      </c>
      <c r="D2942">
        <f>IF(Skills!C16=1,60+Inputs!$B$25+Inputs!$B$29,IF(Skills!C16=2,90+Inputs!$B$26+Inputs!$B$29,IF(Skills!C16=3,120+Inputs!$B$27+Inputs!$B$29,MAX(0,(Inputs!$B$3-100)*3)+Inputs!$B$28+Inputs!$B$29)))</f>
        <v/>
      </c>
      <c r="E2942">
        <f>INDEX(FactorTable!$B$2:$Y$301, MATCH(ROUND(MIN(300,MAX(1,D2942)),0), FactorTable!$A$2:$A$301,0), Skills!M16+1)</f>
        <v/>
      </c>
      <c r="F2942">
        <f>IF(Skills!N16=TRUE,(Skills!L16/10)*(E2942/1000),Skills!L16/10)+Skills!O16</f>
        <v/>
      </c>
      <c r="G2942">
        <f>Skills!G16*IF(Skills!H16&gt;0,IF(Inputs!$B$39="pvp",MIN(Skills!I16,15),Skills!I16)/Skills!H16,1)</f>
        <v/>
      </c>
      <c r="H2942">
        <f>1-(1-Skills!J16/100)^Skills!K16</f>
        <v/>
      </c>
      <c r="I2942" t="inlineStr">
        <is>
          <t>1</t>
        </is>
      </c>
      <c r="J2942" t="inlineStr"/>
      <c r="K2942" t="inlineStr"/>
      <c r="L2942" t="inlineStr"/>
      <c r="M2942" t="inlineStr"/>
      <c r="N2942" t="inlineStr"/>
      <c r="O2942">
        <f>(1-Summary!$B$11)*T2942+Summary!$B$11*V2942</f>
        <v/>
      </c>
      <c r="P2942">
        <f>IF(B2972=0,0,O2942/B2972)</f>
        <v/>
      </c>
      <c r="Q2942">
        <f>IFERROR(1/IF(Inputs!$B$39="pvp",15,MAX(0.1,Skills!D16-IF(TRUE=TRUE,Inputs!$B$32,0))),0)</f>
        <v/>
      </c>
      <c r="R2942">
        <f>IF(AND(Inputs!$B$39&lt;&gt;"pvp",Inputs!$B$44&gt;0),IF(Inputs!$B$44&lt;=0,0,(INT(Inputs!$B$44/IF(Inputs!$B$39="pvp",15,MAX(0.1,Skills!D16-IF(TRUE=TRUE,Inputs!$B$32,0))))+1)),0)</f>
        <v/>
      </c>
      <c r="S2942">
        <f>IFERROR(O2942/N2942,0)</f>
        <v/>
      </c>
      <c r="T2942" t="n">
        <v>0</v>
      </c>
      <c r="V2942" t="n">
        <v>0</v>
      </c>
    </row>
    <row r="2943">
      <c r="A2943">
        <f>Skills!A17</f>
        <v/>
      </c>
      <c r="B2943">
        <f>Skills!B17</f>
        <v/>
      </c>
      <c r="C2943">
        <f>Inputs!$B$3&gt;=115</f>
        <v/>
      </c>
      <c r="D2943">
        <f>IF(Skills!C17=1,60+Inputs!$B$25+Inputs!$B$29,IF(Skills!C17=2,90+Inputs!$B$26+Inputs!$B$29,IF(Skills!C17=3,120+Inputs!$B$27+Inputs!$B$29,MAX(0,(Inputs!$B$3-100)*3)+Inputs!$B$28+Inputs!$B$29)))</f>
        <v/>
      </c>
      <c r="E2943">
        <f>INDEX(FactorTable!$B$2:$Y$301, MATCH(ROUND(MIN(300,MAX(1,D2943)),0), FactorTable!$A$2:$A$301,0), Skills!M17+1)</f>
        <v/>
      </c>
      <c r="F2943">
        <f>IF(Skills!N17=TRUE,(Skills!L17/10)*(E2943/1000),Skills!L17/10)+Skills!O17</f>
        <v/>
      </c>
      <c r="G2943">
        <f>Skills!G17*IF(Skills!H17&gt;0,IF(Inputs!$B$39="pvp",MIN(Skills!I17,15),Skills!I17)/Skills!H17,1)</f>
        <v/>
      </c>
      <c r="H2943">
        <f>1-(1-Skills!J17/100)^Skills!K17</f>
        <v/>
      </c>
      <c r="I2943" t="inlineStr">
        <is>
          <t>1</t>
        </is>
      </c>
      <c r="J2943">
        <f>((Inputs!$B$6*(1+Inputs!$B$7/100))+(((Inputs!$B$12*(1+Inputs!$B$13/100))-(Inputs!$B$12*(1+Inputs!$B$13/100)))+0.25*(Inputs!$B$14-Inputs!$B$14))*(1+Inputs!$B$7/100))*(F2943/100)</f>
        <v/>
      </c>
      <c r="K2943">
        <f>J2943*(1+((Inputs!$B$12*(1+Inputs!$B$13/100))*0.01+Inputs!$B$14*0.0025)/100)*(1+Inputs!$B$15/100)*(1+Inputs!$B$16/100)*(5000/(6000+Inputs!$B$43*(1-(100*(1-(1-Inputs!$B$19/100)*(1-CHOOSE(ArtifactsInput!$N$40+1,5,6,7,8,9,10)/100)^(ArtifactsInput!$M$40-ArtifactsInput!$M$40)))/100)))*(1+(Inputs!$B$24+((C2957=TRUE)*(F2957-Calc!F31))+((C2944=TRUE)*(F2944-Calc!F18)))/100)*(1+(((1+IF(AND(IF(ArtifactsInput!$M$36,FALSE,TRUE),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17="CRUEL_STAB",Inputs!$B$17+((C2954=TRUE)*(F2954-Calc!F28))+((IF(AND(Inputs!$B$39&lt;&gt;"pvp",Inputs!$B$44=0),1,IF(IF(Inputs!$B$39="pvp",15,Inputs!$B$44)-(B2971)&lt;=0,1,MAX(0,IF(Inputs!$B$39="pvp",15,Inputs!$B$44)-MAX(5,B2971))/(IF(Inputs!$B$39="pvp",15,Inputs!$B$44)-(B2971))))*(IF(AND(ArtifactsInput!$M$42,((Inputs!$B$9+((C2952=TRUE)*(F2952-Calc!F26))+B2960+(ArtifactsInput!$M$24-ArtifactsInput!$M$24)*CHOOSE(ArtifactsInput!$N$24+1,10,12,14,16,18,20)+IF(ArtifactsInput!$M$10,CHOOSE(ArtifactsInput!$N$10+1,15,18,21,24,27,30)*(IF(Inputs!$B$39="pvp",MIN(15,15)/15,IF(AND(Inputs!$B$39&lt;&gt;"pvp",Inputs!$B$44&gt;0),MIN(15,Inputs!$B$44)/(Inputs!$B$44),0))),0)))&gt;=100),MIN(100,((Inputs!$B$9+((C2952=TRUE)*(F2952-Calc!F26))+B2960+(ArtifactsInput!$M$24-ArtifactsInput!$M$24)*CHOOSE(ArtifactsInput!$N$24+1,10,12,14,16,18,20)+IF(ArtifactsInput!$M$10,CHOOSE(ArtifactsInput!$N$10+1,15,18,21,24,27,30)*(IF(Inputs!$B$39="pvp",MIN(15,15)/15,IF(AND(Inputs!$B$39&lt;&gt;"pvp",Inputs!$B$44&gt;0),MIN(15,Inputs!$B$44)/(Inputs!$B$44),0))),0)))-100),0))*CHOOSE(ArtifactsInput!$N$42+1,0.6,0.72,0.84,0.96,1.08,1.2))),Inputs!$B$18+((C2955=TRUE)*(F2955-Calc!F29))+(IF(AND(Inputs!$B$39&lt;&gt;"pvp",Inputs!$B$44=0),1,IF(IF(Inputs!$B$39="pvp",15,Inputs!$B$44)-(B2971)&lt;=0,1,MAX(0,IF(Inputs!$B$39="pvp",15,Inputs!$B$44)-MAX(5,B2971))/(IF(Inputs!$B$39="pvp",15,Inputs!$B$44)-(B2971))))*IF(AND(ArtifactsInput!$M$42,((Inputs!$B$9+((C2952=TRUE)*(F2952-Calc!F26))+B2960+(ArtifactsInput!$M$24-ArtifactsInput!$M$24)*CHOOSE(ArtifactsInput!$N$24+1,10,12,14,16,18,20)+IF(ArtifactsInput!$M$10,CHOOSE(ArtifactsInput!$N$10+1,15,18,21,24,27,30)*(IF(Inputs!$B$39="pvp",MIN(15,15)/15,IF(AND(Inputs!$B$39&lt;&gt;"pvp",Inputs!$B$44&gt;0),MIN(15,Inputs!$B$44)/(Inputs!$B$44),0))),0)))&gt;=100),CHOOSE(ArtifactsInput!$N$42+1,40,48,56,64,72,80),0))))/100)*(((1+(((C2948=TRUE)*F2948*IF(AND(Inputs!$B$39&lt;&gt;"pvp",Inputs!$B$44&gt;0),(((R2948-1)*MIN((Skills!Y22*(1+Inputs!$B$34/100)),(1/Q2948))+MIN((Skills!Y22*(1+Inputs!$B$34/100)),MAX(0,Inputs!$B$44-((R2948-1)*(1/Q2948)))))/Inputs!$B$44),IF(Inputs!$B$39="pvp",MIN((Skills!Y22*(1+Inputs!$B$34/100)),15)/15,MIN(1,(Skills!Y22*(1+Inputs!$B$34/100))/(1/Q2948)))))+((C2929=TRUE)*F2929*3)+((C2931=TRUE)*F2931*(1-EXP(-0.75*B2964*5)))+((C2950=TRUE)*(F2950-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2937=TRUE)*F2937*IF(AND(Inputs!$B$39&lt;&gt;"pvp",Inputs!$B$44&gt;0),(((R2937-1)*MIN((Skills!Y11*(1+Inputs!$B$34/100)),(1/Q2937))+MIN((Skills!Y11*(1+Inputs!$B$34/100)),MAX(0,Inputs!$B$44-((R2937-1)*(1/Q2937)))))/Inputs!$B$44),IF(Inputs!$B$39="pvp",MIN((Skills!Y11*(1+Inputs!$B$34/100)),15)/15,MIN(1,(Skills!Y11*(1+Inputs!$B$34/100))/(1/Q2937)))))/100)*(1+((C2942=TRUE)*F2942*IF(AND(Inputs!$B$39&lt;&gt;"pvp",Inputs!$B$44&gt;0),(((R2942-1)*MIN((Skills!Y16*(1+Inputs!$B$34/100)),(1/Q2942))+MIN((Skills!Y16*(1+Inputs!$B$34/100)),MAX(0,Inputs!$B$44-((R2942-1)*(1/Q2942)))))/Inputs!$B$44),IF(Inputs!$B$39="pvp",MIN((Skills!Y16*(1+Inputs!$B$34/100)),15)/15,MIN(1,(Skills!Y16*(1+Inputs!$B$34/100))/(1/Q2942)))))/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2962*I2943)</f>
        <v/>
      </c>
      <c r="L2943">
        <f>K2943*(MIN(Inputs!$B$22+((C2951=TRUE)*(F2951-Calc!F25)),(Inputs!$B$23+((C2956=TRUE)*(F2956-Calc!F30))+IF(ArtifactsInput!$M$15,CHOOSE(ArtifactsInput!$N$15+1,25,30,35,40,45,50)/100*(Inputs!$B$11-Inputs!$B$11),0)))/100+(Inputs!$B$23+((C2956=TRUE)*(F2956-Calc!F30))+IF(ArtifactsInput!$M$15,CHOOSE(ArtifactsInput!$N$15+1,25,30,35,40,45,50)/100*(Inputs!$B$11-Inputs!$B$11),0))/100)/2</f>
        <v/>
      </c>
      <c r="M2943">
        <f>L2943*(1+(Inputs!$B$10+((C2953=TRUE)*(F2953-Calc!F27))+B2967+(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2943">
        <f>L2943*(1-MIN((Inputs!$B$9+((C2952=TRUE)*(F2952-Calc!F26))+B2960+(ArtifactsInput!$M$24-ArtifactsInput!$M$24)*CHOOSE(ArtifactsInput!$N$24+1,10,12,14,16,18,20)+(IF(AND(Inputs!$B$39&lt;&gt;"pvp",Inputs!$B$44=0),1,IF(IF(Inputs!$B$39="pvp",15,Inputs!$B$44)-(B2971)&lt;=0,1,MAX(0,IF(Inputs!$B$39="pvp",15,Inputs!$B$44)-MAX(5,B2971))/(IF(Inputs!$B$39="pvp",15,Inputs!$B$44)-(B2971))))*IF(AND(ArtifactsInput!$M$42,((Inputs!$B$9+((C2952=TRUE)*(F2952-Calc!F26))+B2960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2943*(MIN((Inputs!$B$9+((C2952=TRUE)*(F2952-Calc!F26))+B2960+(ArtifactsInput!$M$24-ArtifactsInput!$M$24)*CHOOSE(ArtifactsInput!$N$24+1,10,12,14,16,18,20)+(IF(AND(Inputs!$B$39&lt;&gt;"pvp",Inputs!$B$44=0),1,IF(IF(Inputs!$B$39="pvp",15,Inputs!$B$44)-(B2971)&lt;=0,1,MAX(0,IF(Inputs!$B$39="pvp",15,Inputs!$B$44)-MAX(5,B2971))/(IF(Inputs!$B$39="pvp",15,Inputs!$B$44)-(B2971))))*IF(AND(ArtifactsInput!$M$42,((Inputs!$B$9+((C2952=TRUE)*(F2952-Calc!F26))+B2960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943">
        <f>(1-Summary!$B$11)*T2943+Summary!$B$11*V2943</f>
        <v/>
      </c>
      <c r="P2943">
        <f>IF(B2972=0,0,O2943/B2972)</f>
        <v/>
      </c>
      <c r="Q2943" t="n">
        <v>0</v>
      </c>
      <c r="R2943" t="n">
        <v>0</v>
      </c>
      <c r="S2943">
        <f>IFERROR(O2943/N2943,0)</f>
        <v/>
      </c>
      <c r="T2943">
        <f>IF(C2943,(Inputs!$B$38*0.2*N2943)*IF(Inputs!$B$39="pvp",1,1+(Inputs!$B$20+0+Skills!P17+B2961+(IF(AND(IF(ArtifactsInput!$M$36,FALSE,TRUE),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Hunt"),CHOOSE(ArtifactsInput!$N$35+1,15,18,21,24,27,30)*(1-EXP(-(0.2*B2964)*5)),0)+IF(AND(ArtifactsInput!$M$22,Inputs!$B$4&lt;&gt;"Chapter Hunt"),CHOOSE(ArtifactsInput!$N$22+1,10,12,14,16,18,20)*((0*(((0.15*B2964*5))^0/1)+1*(((0.15*B2964*5))^1/1)+2*(((0.15*B2964*5))^2/2)+3*(((0.15*B2964*5))^3/6)+4*(((0.15*B2964*5))^4/24)+5*(((0.15*B2964*5))^5/120))/((((0.15*B2964*5))^0/1)+(((0.15*B2964*5))^1/1)+(((0.15*B2964*5))^2/2)+(((0.15*B2964*5))^3/6)+(((0.15*B2964*5))^4/24)+(((0.15*B2964*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2943*(1-MIN(100,(Inputs!$B$9+((C2952=TRUE)*(F2952-Calc!F26))+B2960+(ArtifactsInput!$M$24-ArtifactsInput!$M$24)*CHOOSE(ArtifactsInput!$N$24+1,10,12,14,16,18,20)+(IF(AND(Inputs!$B$39&lt;&gt;"pvp",Inputs!$B$44=0),1,IF(IF(Inputs!$B$39="pvp",15,Inputs!$B$44)-(B2971)&lt;=0,1,MAX(0,IF(Inputs!$B$39="pvp",15,Inputs!$B$44)-MAX(5,B2971))/(IF(Inputs!$B$39="pvp",15,Inputs!$B$44)-(B2971))))*IF(AND(ArtifactsInput!$M$42,((Inputs!$B$9+((C2952=TRUE)*(F2952-Calc!F26))+B2960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2943*(MIN(100,(Inputs!$B$9+((C2952=TRUE)*(F2952-Calc!F26))+B2960+(ArtifactsInput!$M$24-ArtifactsInput!$M$24)*CHOOSE(ArtifactsInput!$N$24+1,10,12,14,16,18,20)+(IF(AND(Inputs!$B$39&lt;&gt;"pvp",Inputs!$B$44=0),1,IF(IF(Inputs!$B$39="pvp",15,Inputs!$B$44)-(B2971)&lt;=0,1,MAX(0,IF(Inputs!$B$39="pvp",15,Inputs!$B$44)-MAX(5,B2971))/(IF(Inputs!$B$39="pvp",15,Inputs!$B$44)-(B2971))))*IF(AND(ArtifactsInput!$M$42,((Inputs!$B$9+((C2952=TRUE)*(F2952-Calc!F26))+B2960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2943*(1-MIN(100,(Inputs!$B$9+((C2952=TRUE)*(F2952-Calc!F26))+B2960+(ArtifactsInput!$M$24-ArtifactsInput!$M$24)*CHOOSE(ArtifactsInput!$N$24+1,10,12,14,16,18,20)+(IF(AND(Inputs!$B$39&lt;&gt;"pvp",Inputs!$B$44=0),1,IF(IF(Inputs!$B$39="pvp",15,Inputs!$B$44)-(B2971)&lt;=0,1,MAX(0,IF(Inputs!$B$39="pvp",15,Inputs!$B$44)-MAX(5,B2971))/(IF(Inputs!$B$39="pvp",15,Inputs!$B$44)-(B2971))))*IF(AND(ArtifactsInput!$M$42,((Inputs!$B$9+((C2952=TRUE)*(F2952-Calc!F26))+B2960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2943*(MIN(100,(Inputs!$B$9+((C2952=TRUE)*(F2952-Calc!F26))+B2960+(ArtifactsInput!$M$24-ArtifactsInput!$M$24)*CHOOSE(ArtifactsInput!$N$24+1,10,12,14,16,18,20)+(IF(AND(Inputs!$B$39&lt;&gt;"pvp",Inputs!$B$44=0),1,IF(IF(Inputs!$B$39="pvp",15,Inputs!$B$44)-(B2971)&lt;=0,1,MAX(0,IF(Inputs!$B$39="pvp",15,Inputs!$B$44)-MAX(5,B2971))/(IF(Inputs!$B$39="pvp",15,Inputs!$B$44)-(B2971))))*IF(AND(ArtifactsInput!$M$42,((Inputs!$B$9+((C2952=TRUE)*(F2952-Calc!F26))+B2960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943">
        <f>IF(C2943,(Inputs!$B$38*0.2*N2943)*IF(Inputs!$B$39="pvp",1,(1+(Inputs!$B$21+Skills!Q17+B2961+(IF(ArtifactsInput!$M$33,CHOOSE(ArtifactsInput!$N$33+1,30,36,42,48,54,60),0))+(IF(AND(ArtifactsInput!$M$35,Inputs!$B$4&lt;&gt;"Chapter Hunt"),CHOOSE(ArtifactsInput!$N$35+1,15,18,21,24,27,30)*(1-EXP(-(0.2*B2964)*5)),0)+IF(AND(ArtifactsInput!$M$22,Inputs!$B$4&lt;&gt;"Chapter Hunt"),CHOOSE(ArtifactsInput!$N$22+1,10,12,14,16,18,20)*((0*(((0.15*B2964*5))^0/1)+1*(((0.15*B2964*5))^1/1)+2*(((0.15*B2964*5))^2/2)+3*(((0.15*B2964*5))^3/6)+4*(((0.15*B2964*5))^4/24)+5*(((0.15*B2964*5))^5/120))/((((0.15*B2964*5))^0/1)+(((0.15*B2964*5))^1/1)+(((0.15*B2964*5))^2/2)+(((0.15*B2964*5))^3/6)+(((0.15*B2964*5))^4/24)+(((0.15*B2964*5))^5/120))),0)))/100)*(MIN(Skills!W17,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944">
      <c r="A2944">
        <f>Skills!A18</f>
        <v/>
      </c>
      <c r="B2944">
        <f>Skills!B18</f>
        <v/>
      </c>
      <c r="C2944">
        <f>Inputs!$B$3&gt;=115</f>
        <v/>
      </c>
      <c r="D2944">
        <f>IF(Skills!C18=1,60+Inputs!$B$25+Inputs!$B$29,IF(Skills!C18=2,90+Inputs!$B$26+Inputs!$B$29,IF(Skills!C18=3,120+Inputs!$B$27+Inputs!$B$29,MAX(0,(Inputs!$B$3-100)*3)+Inputs!$B$28+Inputs!$B$29)))</f>
        <v/>
      </c>
      <c r="E2944">
        <f>INDEX(FactorTable!$B$2:$Y$301, MATCH(ROUND(MIN(300,MAX(1,D2944)),0), FactorTable!$A$2:$A$301,0), Skills!M18+1)</f>
        <v/>
      </c>
      <c r="F2944">
        <f>IF(Skills!N18=TRUE,(Skills!L18/10)*(E2944/1000),Skills!L18/10)+Skills!O18</f>
        <v/>
      </c>
      <c r="G2944">
        <f>Skills!G18*IF(Skills!H18&gt;0,IF(Inputs!$B$39="pvp",MIN(Skills!I18,15),Skills!I18)/Skills!H18,1)</f>
        <v/>
      </c>
      <c r="H2944">
        <f>1-(1-Skills!J18/100)^Skills!K18</f>
        <v/>
      </c>
      <c r="I2944" t="inlineStr">
        <is>
          <t>1</t>
        </is>
      </c>
      <c r="J2944" t="inlineStr"/>
      <c r="K2944" t="inlineStr"/>
      <c r="L2944" t="inlineStr"/>
      <c r="M2944" t="inlineStr"/>
      <c r="N2944" t="inlineStr"/>
      <c r="O2944">
        <f>(1-Summary!$B$11)*T2944+Summary!$B$11*V2944</f>
        <v/>
      </c>
      <c r="P2944">
        <f>IF(B2972=0,0,O2944/B2972)</f>
        <v/>
      </c>
      <c r="Q2944" t="n">
        <v>0</v>
      </c>
      <c r="R2944" t="n">
        <v>0</v>
      </c>
      <c r="S2944">
        <f>IFERROR(O2944/N2944,0)</f>
        <v/>
      </c>
      <c r="T2944" t="n">
        <v>0</v>
      </c>
      <c r="V2944" t="n">
        <v>0</v>
      </c>
    </row>
    <row r="2945">
      <c r="A2945">
        <f>Skills!A19</f>
        <v/>
      </c>
      <c r="B2945">
        <f>Skills!B19</f>
        <v/>
      </c>
      <c r="C2945">
        <f>Inputs!$B$3&gt;=100</f>
        <v/>
      </c>
      <c r="D2945">
        <f>IF(Skills!C19=1,60+Inputs!$B$25+Inputs!$B$29,IF(Skills!C19=2,90+Inputs!$B$26+Inputs!$B$29,IF(Skills!C19=3,120+Inputs!$B$27+Inputs!$B$29,MAX(0,(Inputs!$B$3-100)*3)+Inputs!$B$28+Inputs!$B$29)))</f>
        <v/>
      </c>
      <c r="E2945">
        <f>INDEX(FactorTable!$B$2:$Y$301, MATCH(ROUND(MIN(300,MAX(1,D2945)),0), FactorTable!$A$2:$A$301,0), Skills!M19+1)</f>
        <v/>
      </c>
      <c r="F2945">
        <f>IF(Skills!N19=TRUE,(Skills!L19/10)*(E2945/1000),Skills!L19/10)+Skills!O19</f>
        <v/>
      </c>
      <c r="G2945">
        <f>Skills!G19*IF(Skills!H19&gt;0,IF(Inputs!$B$39="pvp",MIN(Skills!I19,15),Skills!I19)/Skills!H19,1)</f>
        <v/>
      </c>
      <c r="H2945">
        <f>1-(1-Skills!J19/100)^Skills!K19</f>
        <v/>
      </c>
      <c r="I2945" t="inlineStr">
        <is>
          <t>1</t>
        </is>
      </c>
      <c r="J2945" t="inlineStr"/>
      <c r="K2945" t="inlineStr"/>
      <c r="L2945" t="inlineStr"/>
      <c r="M2945" t="inlineStr"/>
      <c r="N2945" t="inlineStr"/>
      <c r="O2945">
        <f>(1-Summary!$B$11)*T2945+Summary!$B$11*V2945</f>
        <v/>
      </c>
      <c r="P2945">
        <f>IF(B2972=0,0,O2945/B2972)</f>
        <v/>
      </c>
      <c r="Q2945" t="n">
        <v>0</v>
      </c>
      <c r="R2945" t="n">
        <v>0</v>
      </c>
      <c r="S2945">
        <f>IFERROR(O2945/N2945,0)</f>
        <v/>
      </c>
      <c r="T2945" t="n">
        <v>0</v>
      </c>
      <c r="V2945" t="n">
        <v>0</v>
      </c>
    </row>
    <row r="2946">
      <c r="A2946">
        <f>Skills!A20</f>
        <v/>
      </c>
      <c r="B2946">
        <f>Skills!B20</f>
        <v/>
      </c>
      <c r="C2946">
        <f>TRUE</f>
        <v/>
      </c>
      <c r="D2946">
        <f>IF(Skills!C20=1,60+Inputs!$B$25+Inputs!$B$29,IF(Skills!C20=2,90+Inputs!$B$26+Inputs!$B$29,IF(Skills!C20=3,120+Inputs!$B$27+Inputs!$B$29,MAX(0,(Inputs!$B$3-100)*3)+Inputs!$B$28+Inputs!$B$29)))</f>
        <v/>
      </c>
      <c r="E2946">
        <f>INDEX(FactorTable!$B$2:$Y$301, MATCH(ROUND(MIN(300,MAX(1,D2946)),0), FactorTable!$A$2:$A$301,0), Skills!M20+1)</f>
        <v/>
      </c>
      <c r="F2946">
        <f>IF(Skills!N20=TRUE,(Skills!L20/10)*(E2946/1000),Skills!L20/10)+Skills!O20</f>
        <v/>
      </c>
      <c r="G2946">
        <f>Skills!G20*IF(Skills!H20&gt;0,IF(Inputs!$B$39="pvp",MIN(Skills!I20,15),Skills!I20)/Skills!H20,1)</f>
        <v/>
      </c>
      <c r="H2946">
        <f>1-(1-Skills!J20/100)^Skills!K20</f>
        <v/>
      </c>
      <c r="I2946" t="inlineStr">
        <is>
          <t>1</t>
        </is>
      </c>
      <c r="J2946" t="inlineStr"/>
      <c r="K2946" t="inlineStr"/>
      <c r="L2946" t="inlineStr"/>
      <c r="M2946" t="inlineStr"/>
      <c r="N2946" t="inlineStr"/>
      <c r="O2946">
        <f>(1-Summary!$B$11)*T2946+Summary!$B$11*V2946</f>
        <v/>
      </c>
      <c r="P2946">
        <f>IF(B2972=0,0,O2946/B2972)</f>
        <v/>
      </c>
      <c r="Q2946">
        <f>IFERROR(1/IF(Inputs!$B$39="pvp",15,MAX(0.1,Skills!D20-IF(TRUE=TRUE,Inputs!$B$32,0))),0)</f>
        <v/>
      </c>
      <c r="R2946">
        <f>IF(AND(Inputs!$B$39&lt;&gt;"pvp",Inputs!$B$44&gt;0),IF(Inputs!$B$44&lt;=0,0,(INT(Inputs!$B$44/IF(Inputs!$B$39="pvp",15,MAX(0.1,Skills!D20-IF(TRUE=TRUE,Inputs!$B$32,0))))+1)),0)</f>
        <v/>
      </c>
      <c r="S2946">
        <f>IFERROR(O2946/N2946,0)</f>
        <v/>
      </c>
      <c r="T2946" t="n">
        <v>0</v>
      </c>
      <c r="V2946" t="n">
        <v>0</v>
      </c>
    </row>
    <row r="2947">
      <c r="A2947">
        <f>Skills!A21</f>
        <v/>
      </c>
      <c r="B2947">
        <f>Skills!B21</f>
        <v/>
      </c>
      <c r="C2947">
        <f>Inputs!$B$3&gt;=15</f>
        <v/>
      </c>
      <c r="D2947">
        <f>IF(Skills!C21=1,60+Inputs!$B$25+Inputs!$B$29,IF(Skills!C21=2,90+Inputs!$B$26+Inputs!$B$29,IF(Skills!C21=3,120+Inputs!$B$27+Inputs!$B$29,MAX(0,(Inputs!$B$3-100)*3)+Inputs!$B$28+Inputs!$B$29)))</f>
        <v/>
      </c>
      <c r="E2947">
        <f>INDEX(FactorTable!$B$2:$Y$301, MATCH(ROUND(MIN(300,MAX(1,D2947)),0), FactorTable!$A$2:$A$301,0), Skills!M21+1)</f>
        <v/>
      </c>
      <c r="F2947">
        <f>IF(Skills!N21=TRUE,(Skills!L21/10)*(E2947/1000),Skills!L21/10)+Skills!O21</f>
        <v/>
      </c>
      <c r="G2947">
        <f>Skills!G21*IF(Skills!H21&gt;0,IF(Inputs!$B$39="pvp",MIN(Skills!I21,15),Skills!I21)/Skills!H21,1)</f>
        <v/>
      </c>
      <c r="H2947">
        <f>1-(1-Skills!J21/100)^Skills!K21</f>
        <v/>
      </c>
      <c r="I2947" t="inlineStr">
        <is>
          <t>1</t>
        </is>
      </c>
      <c r="J2947" t="inlineStr"/>
      <c r="K2947" t="inlineStr"/>
      <c r="L2947" t="inlineStr"/>
      <c r="M2947" t="inlineStr"/>
      <c r="N2947" t="inlineStr"/>
      <c r="O2947">
        <f>(1-Summary!$B$11)*T2947+Summary!$B$11*V2947</f>
        <v/>
      </c>
      <c r="P2947">
        <f>IF(B2972=0,0,O2947/B2972)</f>
        <v/>
      </c>
      <c r="Q2947">
        <f>IFERROR(1/IF(Inputs!$B$39="pvp",15,MAX(0.1,Skills!D21-IF(TRUE=TRUE,Inputs!$B$32,0))),0)</f>
        <v/>
      </c>
      <c r="R2947">
        <f>IF(AND(Inputs!$B$39&lt;&gt;"pvp",Inputs!$B$44&gt;0),IF(Inputs!$B$44&lt;=0,0,(INT(Inputs!$B$44/IF(Inputs!$B$39="pvp",15,MAX(0.1,Skills!D21-IF(TRUE=TRUE,Inputs!$B$32,0))))+1)),0)</f>
        <v/>
      </c>
      <c r="S2947">
        <f>IFERROR(O2947/N2947,0)</f>
        <v/>
      </c>
      <c r="T2947" t="n">
        <v>0</v>
      </c>
      <c r="V2947" t="n">
        <v>0</v>
      </c>
    </row>
    <row r="2948">
      <c r="A2948">
        <f>Skills!A22</f>
        <v/>
      </c>
      <c r="B2948">
        <f>Skills!B22</f>
        <v/>
      </c>
      <c r="C2948">
        <f>Inputs!$B$3&gt;=15</f>
        <v/>
      </c>
      <c r="D2948">
        <f>IF(Skills!C22=1,60+Inputs!$B$25+Inputs!$B$29,IF(Skills!C22=2,90+Inputs!$B$26+Inputs!$B$29,IF(Skills!C22=3,120+Inputs!$B$27+Inputs!$B$29,MAX(0,(Inputs!$B$3-100)*3)+Inputs!$B$28+Inputs!$B$29)))</f>
        <v/>
      </c>
      <c r="E2948">
        <f>INDEX(FactorTable!$B$2:$Y$301, MATCH(ROUND(MIN(300,MAX(1,D2948)),0), FactorTable!$A$2:$A$301,0), Skills!M22+1)</f>
        <v/>
      </c>
      <c r="F2948">
        <f>IF(Skills!N22=TRUE,(Skills!L22/10)*(E2948/1000),Skills!L22/10)+Skills!O22</f>
        <v/>
      </c>
      <c r="G2948">
        <f>Skills!G22*IF(Skills!H22&gt;0,IF(Inputs!$B$39="pvp",MIN(Skills!I22,15),Skills!I22)/Skills!H22,1)</f>
        <v/>
      </c>
      <c r="H2948">
        <f>1-(1-Skills!J22/100)^Skills!K22</f>
        <v/>
      </c>
      <c r="I2948" t="inlineStr">
        <is>
          <t>1</t>
        </is>
      </c>
      <c r="J2948" t="inlineStr"/>
      <c r="K2948" t="inlineStr"/>
      <c r="L2948" t="inlineStr"/>
      <c r="M2948" t="inlineStr"/>
      <c r="N2948" t="inlineStr"/>
      <c r="O2948">
        <f>(1-Summary!$B$11)*T2948+Summary!$B$11*V2948</f>
        <v/>
      </c>
      <c r="P2948">
        <f>IF(B2972=0,0,O2948/B2972)</f>
        <v/>
      </c>
      <c r="Q2948">
        <f>IFERROR(1/IF(Inputs!$B$39="pvp",15,MAX(0.1,Skills!D22-IF(TRUE=TRUE,Inputs!$B$32,0))),0)</f>
        <v/>
      </c>
      <c r="R2948">
        <f>IF(AND(Inputs!$B$39&lt;&gt;"pvp",Inputs!$B$44&gt;0),IF(Inputs!$B$44&lt;=0,0,(INT(Inputs!$B$44/IF(Inputs!$B$39="pvp",15,MAX(0.1,Skills!D22-IF(TRUE=TRUE,Inputs!$B$32,0))))+1)),0)</f>
        <v/>
      </c>
      <c r="S2948">
        <f>IFERROR(O2948/N2948,0)</f>
        <v/>
      </c>
      <c r="T2948" t="n">
        <v>0</v>
      </c>
      <c r="V2948" t="n">
        <v>0</v>
      </c>
    </row>
    <row r="2949">
      <c r="A2949">
        <f>Skills!A23</f>
        <v/>
      </c>
      <c r="B2949">
        <f>Skills!B23</f>
        <v/>
      </c>
      <c r="C2949">
        <f>Inputs!$B$3&gt;=33</f>
        <v/>
      </c>
      <c r="D2949">
        <f>IF(Skills!C23=1,60+Inputs!$B$25+Inputs!$B$29,IF(Skills!C23=2,90+Inputs!$B$26+Inputs!$B$29,IF(Skills!C23=3,120+Inputs!$B$27+Inputs!$B$29,MAX(0,(Inputs!$B$3-100)*3)+Inputs!$B$28+Inputs!$B$29)))</f>
        <v/>
      </c>
      <c r="E2949">
        <f>INDEX(FactorTable!$B$2:$Y$301, MATCH(ROUND(MIN(300,MAX(1,D2949)),0), FactorTable!$A$2:$A$301,0), Skills!M23+1)</f>
        <v/>
      </c>
      <c r="F2949">
        <f>IF(Skills!N23=TRUE,(Skills!L23/10)*(E2949/1000),Skills!L23/10)+Skills!O23</f>
        <v/>
      </c>
      <c r="G2949">
        <f>Skills!G23*IF(Skills!H23&gt;0,IF(Inputs!$B$39="pvp",MIN(Skills!I23,15),Skills!I23)/Skills!H23,1)</f>
        <v/>
      </c>
      <c r="H2949">
        <f>1-(1-Skills!J23/100)^Skills!K23</f>
        <v/>
      </c>
      <c r="I2949" t="inlineStr">
        <is>
          <t>1</t>
        </is>
      </c>
      <c r="J2949" t="inlineStr"/>
      <c r="K2949" t="inlineStr"/>
      <c r="L2949" t="inlineStr"/>
      <c r="M2949" t="inlineStr"/>
      <c r="N2949" t="inlineStr"/>
      <c r="O2949">
        <f>(1-Summary!$B$11)*T2949+Summary!$B$11*V2949</f>
        <v/>
      </c>
      <c r="P2949">
        <f>IF(B2972=0,0,O2949/B2972)</f>
        <v/>
      </c>
      <c r="Q2949" t="n">
        <v>0</v>
      </c>
      <c r="R2949" t="n">
        <v>0</v>
      </c>
      <c r="S2949">
        <f>IFERROR(O2949/N2949,0)</f>
        <v/>
      </c>
      <c r="T2949" t="n">
        <v>0</v>
      </c>
      <c r="V2949" t="n">
        <v>0</v>
      </c>
    </row>
    <row r="2950">
      <c r="A2950">
        <f>Skills!A24</f>
        <v/>
      </c>
      <c r="B2950">
        <f>Skills!B24</f>
        <v/>
      </c>
      <c r="C2950">
        <f>Inputs!$B$3&gt;=40</f>
        <v/>
      </c>
      <c r="D2950">
        <f>IF(Skills!C24=1,60+Inputs!$B$25+Inputs!$B$29,IF(Skills!C24=2,90+Inputs!$B$26+Inputs!$B$29,IF(Skills!C24=3,120+Inputs!$B$27+Inputs!$B$29,MAX(0,(Inputs!$B$3-100)*3)+Inputs!$B$28+Inputs!$B$29)))</f>
        <v/>
      </c>
      <c r="E2950">
        <f>INDEX(FactorTable!$B$2:$Y$301, MATCH(ROUND(MIN(300,MAX(1,D2950)),0), FactorTable!$A$2:$A$301,0), Skills!M24+1)</f>
        <v/>
      </c>
      <c r="F2950">
        <f>IF(Skills!N24=TRUE,(Skills!L24/10)*(E2950/1000),Skills!L24/10)+Skills!O24</f>
        <v/>
      </c>
      <c r="G2950">
        <f>Skills!G24*IF(Skills!H24&gt;0,IF(Inputs!$B$39="pvp",MIN(Skills!I24,15),Skills!I24)/Skills!H24,1)</f>
        <v/>
      </c>
      <c r="H2950">
        <f>1-(1-Skills!J24/100)^Skills!K24</f>
        <v/>
      </c>
      <c r="I2950" t="inlineStr">
        <is>
          <t>1</t>
        </is>
      </c>
      <c r="J2950" t="inlineStr"/>
      <c r="K2950" t="inlineStr"/>
      <c r="L2950" t="inlineStr"/>
      <c r="M2950" t="inlineStr"/>
      <c r="N2950" t="inlineStr"/>
      <c r="O2950">
        <f>(1-Summary!$B$11)*T2950+Summary!$B$11*V2950</f>
        <v/>
      </c>
      <c r="P2950">
        <f>IF(B2972=0,0,O2950/B2972)</f>
        <v/>
      </c>
      <c r="Q2950" t="n">
        <v>0</v>
      </c>
      <c r="R2950" t="n">
        <v>0</v>
      </c>
      <c r="S2950">
        <f>IFERROR(O2950/N2950,0)</f>
        <v/>
      </c>
      <c r="T2950" t="n">
        <v>0</v>
      </c>
      <c r="V2950" t="n">
        <v>0</v>
      </c>
    </row>
    <row r="2951">
      <c r="A2951">
        <f>Skills!A25</f>
        <v/>
      </c>
      <c r="B2951">
        <f>Skills!B25</f>
        <v/>
      </c>
      <c r="C2951">
        <f>Inputs!$B$3&gt;=43</f>
        <v/>
      </c>
      <c r="D2951">
        <f>IF(Skills!C25=1,60+Inputs!$B$25+Inputs!$B$29,IF(Skills!C25=2,90+Inputs!$B$26+Inputs!$B$29,IF(Skills!C25=3,120+Inputs!$B$27+Inputs!$B$29,MAX(0,(Inputs!$B$3-100)*3)+Inputs!$B$28+Inputs!$B$29)))</f>
        <v/>
      </c>
      <c r="E2951">
        <f>INDEX(FactorTable!$B$2:$Y$301, MATCH(ROUND(MIN(300,MAX(1,D2951)),0), FactorTable!$A$2:$A$301,0), Skills!M25+1)</f>
        <v/>
      </c>
      <c r="F2951">
        <f>IF(Skills!N25=TRUE,(Skills!L25/10)*(E2951/1000),Skills!L25/10)+Skills!O25</f>
        <v/>
      </c>
      <c r="G2951">
        <f>Skills!G25*IF(Skills!H25&gt;0,IF(Inputs!$B$39="pvp",MIN(Skills!I25,15),Skills!I25)/Skills!H25,1)</f>
        <v/>
      </c>
      <c r="H2951">
        <f>1-(1-Skills!J25/100)^Skills!K25</f>
        <v/>
      </c>
      <c r="I2951" t="inlineStr">
        <is>
          <t>1</t>
        </is>
      </c>
      <c r="J2951" t="inlineStr"/>
      <c r="K2951" t="inlineStr"/>
      <c r="L2951" t="inlineStr"/>
      <c r="M2951" t="inlineStr"/>
      <c r="N2951" t="inlineStr"/>
      <c r="O2951">
        <f>(1-Summary!$B$11)*T2951+Summary!$B$11*V2951</f>
        <v/>
      </c>
      <c r="P2951">
        <f>IF(B2972=0,0,O2951/B2972)</f>
        <v/>
      </c>
      <c r="Q2951" t="n">
        <v>0</v>
      </c>
      <c r="R2951" t="n">
        <v>0</v>
      </c>
      <c r="S2951">
        <f>IFERROR(O2951/N2951,0)</f>
        <v/>
      </c>
      <c r="T2951" t="n">
        <v>0</v>
      </c>
      <c r="V2951" t="n">
        <v>0</v>
      </c>
    </row>
    <row r="2952">
      <c r="A2952">
        <f>Skills!A26</f>
        <v/>
      </c>
      <c r="B2952">
        <f>Skills!B26</f>
        <v/>
      </c>
      <c r="C2952">
        <f>Inputs!$B$3&gt;=50</f>
        <v/>
      </c>
      <c r="D2952">
        <f>IF(Skills!C26=1,60+Inputs!$B$25+Inputs!$B$29,IF(Skills!C26=2,90+Inputs!$B$26+Inputs!$B$29,IF(Skills!C26=3,120+Inputs!$B$27+Inputs!$B$29,MAX(0,(Inputs!$B$3-100)*3)+Inputs!$B$28+Inputs!$B$29)))</f>
        <v/>
      </c>
      <c r="E2952">
        <f>INDEX(FactorTable!$B$2:$Y$301, MATCH(ROUND(MIN(300,MAX(1,D2952)),0), FactorTable!$A$2:$A$301,0), Skills!M26+1)</f>
        <v/>
      </c>
      <c r="F2952">
        <f>IF(Skills!N26=TRUE,(Skills!L26/10)*(E2952/1000),Skills!L26/10)+Skills!O26</f>
        <v/>
      </c>
      <c r="G2952">
        <f>Skills!G26*IF(Skills!H26&gt;0,IF(Inputs!$B$39="pvp",MIN(Skills!I26,15),Skills!I26)/Skills!H26,1)</f>
        <v/>
      </c>
      <c r="H2952">
        <f>1-(1-Skills!J26/100)^Skills!K26</f>
        <v/>
      </c>
      <c r="I2952" t="inlineStr">
        <is>
          <t>1</t>
        </is>
      </c>
      <c r="J2952" t="inlineStr"/>
      <c r="K2952" t="inlineStr"/>
      <c r="L2952" t="inlineStr"/>
      <c r="M2952" t="inlineStr"/>
      <c r="N2952" t="inlineStr"/>
      <c r="O2952">
        <f>(1-Summary!$B$11)*T2952+Summary!$B$11*V2952</f>
        <v/>
      </c>
      <c r="P2952">
        <f>IF(B2972=0,0,O2952/B2972)</f>
        <v/>
      </c>
      <c r="Q2952" t="n">
        <v>0</v>
      </c>
      <c r="R2952" t="n">
        <v>0</v>
      </c>
      <c r="S2952">
        <f>IFERROR(O2952/N2952,0)</f>
        <v/>
      </c>
      <c r="T2952" t="n">
        <v>0</v>
      </c>
      <c r="V2952" t="n">
        <v>0</v>
      </c>
    </row>
    <row r="2953">
      <c r="A2953">
        <f>Skills!A27</f>
        <v/>
      </c>
      <c r="B2953">
        <f>Skills!B27</f>
        <v/>
      </c>
      <c r="C2953">
        <f>Inputs!$B$3&gt;=50</f>
        <v/>
      </c>
      <c r="D2953">
        <f>IF(Skills!C27=1,60+Inputs!$B$25+Inputs!$B$29,IF(Skills!C27=2,90+Inputs!$B$26+Inputs!$B$29,IF(Skills!C27=3,120+Inputs!$B$27+Inputs!$B$29,MAX(0,(Inputs!$B$3-100)*3)+Inputs!$B$28+Inputs!$B$29)))</f>
        <v/>
      </c>
      <c r="E2953">
        <f>INDEX(FactorTable!$B$2:$Y$301, MATCH(ROUND(MIN(300,MAX(1,D2953)),0), FactorTable!$A$2:$A$301,0), Skills!M27+1)</f>
        <v/>
      </c>
      <c r="F2953">
        <f>IF(Skills!N27=TRUE,(Skills!L27/10)*(E2953/1000),Skills!L27/10)+Skills!O27</f>
        <v/>
      </c>
      <c r="G2953">
        <f>Skills!G27*IF(Skills!H27&gt;0,IF(Inputs!$B$39="pvp",MIN(Skills!I27,15),Skills!I27)/Skills!H27,1)</f>
        <v/>
      </c>
      <c r="H2953">
        <f>1-(1-Skills!J27/100)^Skills!K27</f>
        <v/>
      </c>
      <c r="I2953" t="inlineStr">
        <is>
          <t>1</t>
        </is>
      </c>
      <c r="J2953" t="inlineStr"/>
      <c r="K2953" t="inlineStr"/>
      <c r="L2953" t="inlineStr"/>
      <c r="M2953" t="inlineStr"/>
      <c r="N2953" t="inlineStr"/>
      <c r="O2953">
        <f>(1-Summary!$B$11)*T2953+Summary!$B$11*V2953</f>
        <v/>
      </c>
      <c r="P2953">
        <f>IF(B2972=0,0,O2953/B2972)</f>
        <v/>
      </c>
      <c r="Q2953" t="n">
        <v>0</v>
      </c>
      <c r="R2953" t="n">
        <v>0</v>
      </c>
      <c r="S2953">
        <f>IFERROR(O2953/N2953,0)</f>
        <v/>
      </c>
      <c r="T2953" t="n">
        <v>0</v>
      </c>
      <c r="V2953" t="n">
        <v>0</v>
      </c>
    </row>
    <row r="2954">
      <c r="A2954">
        <f>Skills!A28</f>
        <v/>
      </c>
      <c r="B2954">
        <f>Skills!B28</f>
        <v/>
      </c>
      <c r="C2954">
        <f>Inputs!$B$3&gt;=38</f>
        <v/>
      </c>
      <c r="D2954">
        <f>IF(Skills!C28=1,60+Inputs!$B$25+Inputs!$B$29,IF(Skills!C28=2,90+Inputs!$B$26+Inputs!$B$29,IF(Skills!C28=3,120+Inputs!$B$27+Inputs!$B$29,MAX(0,(Inputs!$B$3-100)*3)+Inputs!$B$28+Inputs!$B$29)))</f>
        <v/>
      </c>
      <c r="E2954">
        <f>INDEX(FactorTable!$B$2:$Y$301, MATCH(ROUND(MIN(300,MAX(1,D2954)),0), FactorTable!$A$2:$A$301,0), Skills!M28+1)</f>
        <v/>
      </c>
      <c r="F2954">
        <f>IF(Skills!N28=TRUE,(Skills!L28/10)*(E2954/1000),Skills!L28/10)+Skills!O28</f>
        <v/>
      </c>
      <c r="G2954">
        <f>Skills!G28*IF(Skills!H28&gt;0,IF(Inputs!$B$39="pvp",MIN(Skills!I28,15),Skills!I28)/Skills!H28,1)</f>
        <v/>
      </c>
      <c r="H2954">
        <f>1-(1-Skills!J28/100)^Skills!K28</f>
        <v/>
      </c>
      <c r="I2954" t="inlineStr">
        <is>
          <t>1</t>
        </is>
      </c>
      <c r="J2954" t="inlineStr"/>
      <c r="K2954" t="inlineStr"/>
      <c r="L2954" t="inlineStr"/>
      <c r="M2954" t="inlineStr"/>
      <c r="N2954" t="inlineStr"/>
      <c r="O2954">
        <f>(1-Summary!$B$11)*T2954+Summary!$B$11*V2954</f>
        <v/>
      </c>
      <c r="P2954">
        <f>IF(B2972=0,0,O2954/B2972)</f>
        <v/>
      </c>
      <c r="Q2954" t="n">
        <v>0</v>
      </c>
      <c r="R2954" t="n">
        <v>0</v>
      </c>
      <c r="S2954">
        <f>IFERROR(O2954/N2954,0)</f>
        <v/>
      </c>
      <c r="T2954" t="n">
        <v>0</v>
      </c>
      <c r="V2954" t="n">
        <v>0</v>
      </c>
    </row>
    <row r="2955">
      <c r="A2955">
        <f>Skills!A29</f>
        <v/>
      </c>
      <c r="B2955">
        <f>Skills!B29</f>
        <v/>
      </c>
      <c r="C2955">
        <f>Inputs!$B$3&gt;=120</f>
        <v/>
      </c>
      <c r="D2955">
        <f>IF(Skills!C29=1,60+Inputs!$B$25+Inputs!$B$29,IF(Skills!C29=2,90+Inputs!$B$26+Inputs!$B$29,IF(Skills!C29=3,120+Inputs!$B$27+Inputs!$B$29,MAX(0,(Inputs!$B$3-100)*3)+Inputs!$B$28+Inputs!$B$29)))</f>
        <v/>
      </c>
      <c r="E2955">
        <f>INDEX(FactorTable!$B$2:$Y$301, MATCH(ROUND(MIN(300,MAX(1,D2955)),0), FactorTable!$A$2:$A$301,0), Skills!M29+1)</f>
        <v/>
      </c>
      <c r="F2955">
        <f>IF(Skills!N29=TRUE,(Skills!L29/10)*(E2955/1000),Skills!L29/10)+Skills!O29</f>
        <v/>
      </c>
      <c r="G2955">
        <f>Skills!G29*IF(Skills!H29&gt;0,IF(Inputs!$B$39="pvp",MIN(Skills!I29,15),Skills!I29)/Skills!H29,1)</f>
        <v/>
      </c>
      <c r="H2955">
        <f>1-(1-Skills!J29/100)^Skills!K29</f>
        <v/>
      </c>
      <c r="I2955" t="inlineStr">
        <is>
          <t>1</t>
        </is>
      </c>
      <c r="J2955" t="inlineStr"/>
      <c r="K2955" t="inlineStr"/>
      <c r="L2955" t="inlineStr"/>
      <c r="M2955" t="inlineStr"/>
      <c r="N2955" t="inlineStr"/>
      <c r="O2955">
        <f>(1-Summary!$B$11)*T2955+Summary!$B$11*V2955</f>
        <v/>
      </c>
      <c r="P2955">
        <f>IF(B2972=0,0,O2955/B2972)</f>
        <v/>
      </c>
      <c r="Q2955" t="n">
        <v>0</v>
      </c>
      <c r="R2955" t="n">
        <v>0</v>
      </c>
      <c r="S2955">
        <f>IFERROR(O2955/N2955,0)</f>
        <v/>
      </c>
      <c r="T2955" t="n">
        <v>0</v>
      </c>
      <c r="V2955" t="n">
        <v>0</v>
      </c>
    </row>
    <row r="2956">
      <c r="A2956">
        <f>Skills!A30</f>
        <v/>
      </c>
      <c r="B2956">
        <f>Skills!B30</f>
        <v/>
      </c>
      <c r="C2956">
        <f>Inputs!$B$3&gt;=120</f>
        <v/>
      </c>
      <c r="D2956">
        <f>IF(Skills!C30=1,60+Inputs!$B$25+Inputs!$B$29,IF(Skills!C30=2,90+Inputs!$B$26+Inputs!$B$29,IF(Skills!C30=3,120+Inputs!$B$27+Inputs!$B$29,MAX(0,(Inputs!$B$3-100)*3)+Inputs!$B$28+Inputs!$B$29)))</f>
        <v/>
      </c>
      <c r="E2956">
        <f>INDEX(FactorTable!$B$2:$Y$301, MATCH(ROUND(MIN(300,MAX(1,D2956)),0), FactorTable!$A$2:$A$301,0), Skills!M30+1)</f>
        <v/>
      </c>
      <c r="F2956">
        <f>IF(Skills!N30=TRUE,(Skills!L30/10)*(E2956/1000),Skills!L30/10)+Skills!O30</f>
        <v/>
      </c>
      <c r="G2956">
        <f>Skills!G30*IF(Skills!H30&gt;0,IF(Inputs!$B$39="pvp",MIN(Skills!I30,15),Skills!I30)/Skills!H30,1)</f>
        <v/>
      </c>
      <c r="H2956">
        <f>1-(1-Skills!J30/100)^Skills!K30</f>
        <v/>
      </c>
      <c r="I2956" t="inlineStr">
        <is>
          <t>1</t>
        </is>
      </c>
      <c r="J2956" t="inlineStr"/>
      <c r="K2956" t="inlineStr"/>
      <c r="L2956" t="inlineStr"/>
      <c r="M2956" t="inlineStr"/>
      <c r="N2956" t="inlineStr"/>
      <c r="O2956">
        <f>(1-Summary!$B$11)*T2956+Summary!$B$11*V2956</f>
        <v/>
      </c>
      <c r="P2956">
        <f>IF(B2972=0,0,O2956/B2972)</f>
        <v/>
      </c>
      <c r="Q2956" t="n">
        <v>0</v>
      </c>
      <c r="R2956" t="n">
        <v>0</v>
      </c>
      <c r="S2956">
        <f>IFERROR(O2956/N2956,0)</f>
        <v/>
      </c>
      <c r="T2956" t="n">
        <v>0</v>
      </c>
      <c r="V2956" t="n">
        <v>0</v>
      </c>
    </row>
    <row r="2957">
      <c r="A2957">
        <f>Skills!A31</f>
        <v/>
      </c>
      <c r="B2957">
        <f>Skills!B31</f>
        <v/>
      </c>
      <c r="C2957">
        <f>Inputs!$B$3&gt;=125</f>
        <v/>
      </c>
      <c r="D2957">
        <f>IF(Skills!C31=1,60+Inputs!$B$25+Inputs!$B$29,IF(Skills!C31=2,90+Inputs!$B$26+Inputs!$B$29,IF(Skills!C31=3,120+Inputs!$B$27+Inputs!$B$29,MAX(0,(Inputs!$B$3-100)*3)+Inputs!$B$28+Inputs!$B$29)))</f>
        <v/>
      </c>
      <c r="E2957">
        <f>INDEX(FactorTable!$B$2:$Y$301, MATCH(ROUND(MIN(300,MAX(1,D2957)),0), FactorTable!$A$2:$A$301,0), Skills!M31+1)</f>
        <v/>
      </c>
      <c r="F2957">
        <f>IF(Skills!N31=TRUE,(Skills!L31/10)*(E2957/1000),Skills!L31/10)+Skills!O31</f>
        <v/>
      </c>
      <c r="G2957">
        <f>Skills!G31*IF(Skills!H31&gt;0,IF(Inputs!$B$39="pvp",MIN(Skills!I31,15),Skills!I31)/Skills!H31,1)</f>
        <v/>
      </c>
      <c r="H2957">
        <f>1-(1-Skills!J31/100)^Skills!K31</f>
        <v/>
      </c>
      <c r="I2957" t="inlineStr">
        <is>
          <t>1</t>
        </is>
      </c>
      <c r="J2957" t="inlineStr"/>
      <c r="K2957" t="inlineStr"/>
      <c r="L2957" t="inlineStr"/>
      <c r="M2957" t="inlineStr"/>
      <c r="N2957" t="inlineStr"/>
      <c r="O2957">
        <f>(1-Summary!$B$11)*T2957+Summary!$B$11*V2957</f>
        <v/>
      </c>
      <c r="P2957">
        <f>IF(B2972=0,0,O2957/B2972)</f>
        <v/>
      </c>
      <c r="Q2957" t="n">
        <v>0</v>
      </c>
      <c r="R2957" t="n">
        <v>0</v>
      </c>
      <c r="S2957">
        <f>IFERROR(O2957/N2957,0)</f>
        <v/>
      </c>
      <c r="T2957" t="n">
        <v>0</v>
      </c>
      <c r="V2957" t="n">
        <v>0</v>
      </c>
    </row>
    <row r="2959">
      <c r="A2959" t="inlineStr">
        <is>
          <t>Average Buff Multiplier</t>
        </is>
      </c>
      <c r="B2959">
        <f>(1+(((C2948=TRUE)*F2948*IF(AND(Inputs!$B$39&lt;&gt;"pvp",Inputs!$B$44&gt;0),(((R2948-1)*MIN((Skills!Y22*(1+Inputs!$B$34/100)),(1/Q2948))+MIN((Skills!Y22*(1+Inputs!$B$34/100)),MAX(0,Inputs!$B$44-((R2948-1)*(1/Q2948)))))/Inputs!$B$44),IF(Inputs!$B$39="pvp",MIN((Skills!Y22*(1+Inputs!$B$34/100)),15)/15,MIN(1,(Skills!Y22*(1+Inputs!$B$34/100))/(1/Q2948)))))+((C2929=TRUE)*F2929*3)+((C2931=TRUE)*F2931*(1-EXP(-0.75*B2964*5)))+((C2950=TRUE)*(F2950-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2937=TRUE)*F2937*IF(AND(Inputs!$B$39&lt;&gt;"pvp",Inputs!$B$44&gt;0),(((R2937-1)*MIN((Skills!Y11*(1+Inputs!$B$34/100)),(1/Q2937))+MIN((Skills!Y11*(1+Inputs!$B$34/100)),MAX(0,Inputs!$B$44-((R2937-1)*(1/Q2937)))))/Inputs!$B$44),IF(Inputs!$B$39="pvp",MIN((Skills!Y11*(1+Inputs!$B$34/100)),15)/15,MIN(1,(Skills!Y11*(1+Inputs!$B$34/100))/(1/Q2937)))))/100)*(1+((C2942=TRUE)*F2942*IF(AND(Inputs!$B$39&lt;&gt;"pvp",Inputs!$B$44&gt;0),(((R2942-1)*MIN((Skills!Y16*(1+Inputs!$B$34/100)),(1/Q2942))+MIN((Skills!Y16*(1+Inputs!$B$34/100)),MAX(0,Inputs!$B$44-((R2942-1)*(1/Q2942)))))/Inputs!$B$44),IF(Inputs!$B$39="pvp",MIN((Skills!Y16*(1+Inputs!$B$34/100)),15)/15,MIN(1,(Skills!Y16*(1+Inputs!$B$34/100))/(1/Q2942)))))/100)</f>
        <v/>
      </c>
    </row>
    <row r="2960">
      <c r="A2960" t="inlineStr">
        <is>
          <t>Global Crit Rate Bonus %</t>
        </is>
      </c>
      <c r="B2960">
        <f>((C2947=TRUE)*F2947*IF(AND(Inputs!$B$39&lt;&gt;"pvp",Inputs!$B$44&gt;0),(((R2947-1)*MIN((Skills!Y21*(1+Inputs!$B$34/100)),(1/Q2947))+MIN((Skills!Y21*(1+Inputs!$B$34/100)),MAX(0,Inputs!$B$44-((R2947-1)*(1/Q2947)))))/Inputs!$B$44),IF(Inputs!$B$39="pvp",MIN((Skills!Y21*(1+Inputs!$B$34/100)),15)/15,MIN(1,(Skills!Y21*(1+Inputs!$B$34/100))/(1/Q2947)))))</f>
        <v/>
      </c>
    </row>
    <row r="2961">
      <c r="A2961" t="inlineStr">
        <is>
          <t>Global Monster Damage-Taken Bonus %</t>
        </is>
      </c>
      <c r="B2961">
        <f>IF(Inputs!$B$3&gt;=82,15,0)</f>
        <v/>
      </c>
    </row>
    <row r="2962">
      <c r="A2962" t="inlineStr">
        <is>
          <t>Shadow Partner Average Multiplier</t>
        </is>
      </c>
      <c r="B2962">
        <f>1+((C2934=TRUE)*F2934*(1+3.3333333333333335*IF(C2945=TRUE,F2945,0)/100)*I2934*Skills!J8/100)/100</f>
        <v/>
      </c>
    </row>
    <row r="2963">
      <c r="A2963" t="inlineStr">
        <is>
          <t>Attack Speed Buff Bonus %</t>
        </is>
      </c>
      <c r="B2963">
        <f>((C2946=TRUE)*F2946*IF(AND(Inputs!$B$39&lt;&gt;"pvp",Inputs!$B$44&gt;0),(((R2946-1)*MIN((Skills!Y20*(1+Inputs!$B$34/100)),(1/Q2946))+MIN((Skills!Y20*(1+Inputs!$B$34/100)),MAX(0,Inputs!$B$44-((R2946-1)*(1/Q2946)))))/Inputs!$B$44),IF(Inputs!$B$39="pvp",MIN((Skills!Y20*(1+Inputs!$B$34/100)),15)/15,MIN(1,(Skills!Y20*(1+Inputs!$B$34/100))/(1/Q2946)))))</f>
        <v/>
      </c>
    </row>
    <row r="2964">
      <c r="A2964" t="inlineStr">
        <is>
          <t>Actions Per Second</t>
        </is>
      </c>
      <c r="B2964">
        <f>1+MIN(150,150*(1-(1-(Inputs!$B$11+((C2949=TRUE)*(F2949-Calc!F23)))/150)*(1-B2963/150)))/100</f>
        <v/>
      </c>
    </row>
    <row r="2965">
      <c r="A2965" t="inlineStr">
        <is>
          <t>Skill + Buff Cast Rate</t>
        </is>
      </c>
      <c r="B2965">
        <f>IF(AND(Inputs!$B$39&lt;&gt;"pvp",Inputs!$B$44&gt;0),SUMPRODUCT((Skills!E2:E31=TRUE)*(C2928:C2957=TRUE)*R2928:R2957*Skills!F2:F31)/Inputs!$B$44,SUMPRODUCT((Skills!E2:E31=TRUE)*(C2928:C2957=TRUE)*Q2928:Q2957*Skills!F2:F31))</f>
        <v/>
      </c>
    </row>
    <row r="2966">
      <c r="A2966" t="inlineStr">
        <is>
          <t>Cruel Stab Casts Per Second</t>
        </is>
      </c>
      <c r="B2966">
        <f>MAX(0,B2964-B2965)</f>
        <v/>
      </c>
    </row>
    <row r="2967">
      <c r="A2967" t="inlineStr">
        <is>
          <t>Global Critical Damage Bonus % (Smokescreen Mastery Lv.113)</t>
        </is>
      </c>
      <c r="B2967">
        <f>IF(Inputs!$B$3&gt;=113,30,0)*IF(AND(Inputs!$B$39&lt;&gt;"pvp",Inputs!$B$44&gt;0),(((R2942-1)*MIN((Skills!Y16*(1+Inputs!$B$34/100)),(1/Q2942))+MIN((Skills!Y16*(1+Inputs!$B$34/100)),MAX(0,Inputs!$B$44-((R2942-1)*(1/Q2942)))))/Inputs!$B$44),IF(Inputs!$B$39="pvp",MIN((Skills!Y16*(1+Inputs!$B$34/100)),15)/15,MIN(1,(Skills!Y16*(1+Inputs!$B$34/100))/(1/Q2942))))</f>
        <v/>
      </c>
    </row>
    <row r="2968">
      <c r="A2968" t="inlineStr">
        <is>
          <t>Meso Explosion average stack count</t>
        </is>
      </c>
      <c r="B2968">
        <f>MIN(10,IF(Inputs!$B$3&gt;=75,0.75,0.5)*B2964*(1/Q2930))</f>
        <v/>
      </c>
    </row>
    <row r="2969">
      <c r="A2969" t="inlineStr">
        <is>
          <t>Blood Money average stack count</t>
        </is>
      </c>
      <c r="B2969">
        <f>MIN(5,0.5*IF(Inputs!$B$3&gt;=75,0.75,0.5)*B2964*(1/Q2930))</f>
        <v/>
      </c>
    </row>
    <row r="2970">
      <c r="A2970" t="inlineStr">
        <is>
          <t>Assassinate Murderous Intent Multiplier</t>
        </is>
      </c>
      <c r="B2970">
        <f>1+IFERROR(MIN(1,Q2941*2/Q2938),0)</f>
        <v/>
      </c>
    </row>
    <row r="2971">
      <c r="A2971" t="inlineStr">
        <is>
          <t>Buff-Casting Startup Delay (s, fixed-duration only)</t>
        </is>
      </c>
      <c r="B2971">
        <f>IF(AND(Inputs!$B$39&lt;&gt;"pvp",Inputs!$B$44&gt;0),SUMPRODUCT((Skills!Y2:Y31&gt;0)*(Skills!E2:E31=TRUE)*(C2928:C2957=TRUE))/B2964,0)</f>
        <v/>
      </c>
    </row>
    <row r="2972">
      <c r="A2972" s="6" t="inlineStr">
        <is>
          <t>TOTAL DPS</t>
        </is>
      </c>
      <c r="B2972" s="6">
        <f>SUM(O2928:O2957)</f>
        <v/>
      </c>
    </row>
    <row r="2973">
      <c r="A2973" t="inlineStr">
        <is>
          <t>Boss-Only Total DPS (this block's swept value)</t>
        </is>
      </c>
      <c r="B2973">
        <f>SUM(T2928:T2957)</f>
        <v/>
      </c>
    </row>
    <row r="2974">
      <c r="A2974" t="inlineStr">
        <is>
          <t>Normal-Only Total DPS (this block's swept value)</t>
        </is>
      </c>
      <c r="B2974">
        <f>SUM(V2928:V2957)</f>
        <v/>
      </c>
    </row>
    <row r="2977">
      <c r="A2977" s="6" t="inlineStr">
        <is>
          <t>Stat: Alliance Badge (Equip)</t>
        </is>
      </c>
    </row>
    <row r="2978">
      <c r="A2978" s="5" t="inlineStr">
        <is>
          <t>Key</t>
        </is>
      </c>
      <c r="B2978" s="5" t="inlineStr">
        <is>
          <t>Name</t>
        </is>
      </c>
      <c r="C2978" s="5" t="inlineStr">
        <is>
          <t>Unlocked</t>
        </is>
      </c>
      <c r="D2978" s="5" t="inlineStr">
        <is>
          <t>InputLevel</t>
        </is>
      </c>
      <c r="E2978" s="5" t="inlineStr">
        <is>
          <t>Factor</t>
        </is>
      </c>
      <c r="F2978" s="5" t="inlineStr">
        <is>
          <t>CoefficientPercent</t>
        </is>
      </c>
      <c r="G2978" s="5" t="inlineStr">
        <is>
          <t>EffectiveHits</t>
        </is>
      </c>
      <c r="H2978" s="5" t="inlineStr">
        <is>
          <t>ProcProbability</t>
        </is>
      </c>
      <c r="I2978" s="5" t="inlineStr">
        <is>
          <t>MapleHeroMultiplier</t>
        </is>
      </c>
      <c r="J2978" s="5" t="inlineStr">
        <is>
          <t>BaseDamage</t>
        </is>
      </c>
      <c r="K2978" s="5" t="inlineStr">
        <is>
          <t>BaseHitDamage</t>
        </is>
      </c>
      <c r="L2978" s="5" t="inlineStr">
        <is>
          <t>NonCritAvg</t>
        </is>
      </c>
      <c r="M2978" s="5" t="inlineStr">
        <is>
          <t>CritAvg</t>
        </is>
      </c>
      <c r="N2978" s="5" t="inlineStr">
        <is>
          <t>ExpectedDamage(perHit)</t>
        </is>
      </c>
      <c r="O2978" s="5" t="inlineStr">
        <is>
          <t>DPS</t>
        </is>
      </c>
      <c r="P2978" s="5" t="inlineStr">
        <is>
          <t>% of Total</t>
        </is>
      </c>
      <c r="Q2978" s="5" t="inlineStr">
        <is>
          <t>InvCooldown</t>
        </is>
      </c>
      <c r="R2978" s="5" t="inlineStr">
        <is>
          <t>CastsInFight</t>
        </is>
      </c>
      <c r="S2978" s="5" t="inlineStr">
        <is>
          <t>HitRate(perSec)</t>
        </is>
      </c>
      <c r="U2978" t="inlineStr">
        <is>
          <t>helpers</t>
        </is>
      </c>
    </row>
    <row r="2979">
      <c r="A2979">
        <f>Skills!A2</f>
        <v/>
      </c>
      <c r="B2979">
        <f>Skills!B2</f>
        <v/>
      </c>
      <c r="C2979">
        <f>Inputs!$B$3&gt;=100</f>
        <v/>
      </c>
      <c r="D2979" t="inlineStr"/>
      <c r="E2979" t="inlineStr"/>
      <c r="F2979">
        <f>U2981+Skills!O2</f>
        <v/>
      </c>
      <c r="G2979">
        <f>Skills!G2*IF(Skills!H2&gt;0,IF(Inputs!$B$39="pvp",MIN(Skills!I2,15),Skills!I2)/Skills!H2,1)</f>
        <v/>
      </c>
      <c r="H2979">
        <f>1-(1-Skills!J2/100)^Skills!K2</f>
        <v/>
      </c>
      <c r="I2979" t="inlineStr">
        <is>
          <t>1</t>
        </is>
      </c>
      <c r="J2979">
        <f>((Inputs!$B$6*(1+Inputs!$B$7/100))+(((Inputs!$B$12*(1+Inputs!$B$13/100))-(Inputs!$B$12*(1+Inputs!$B$13/100)))+0.25*(Inputs!$B$14-Inputs!$B$14))*(1+Inputs!$B$7/100))*(F2979/100)</f>
        <v/>
      </c>
      <c r="K2979">
        <f>J2979*(1+((Inputs!$B$12*(1+Inputs!$B$13/100))*0.01+Inputs!$B$14*0.0025)/100)*(1+Inputs!$B$15/100)*(1+Inputs!$B$16/100)*(5000/(6000+Inputs!$B$43*(1-(100*(1-(1-Inputs!$B$19/100)*(1-CHOOSE(ArtifactsInput!$N$40+1,5,6,7,8,9,10)/100)^(ArtifactsInput!$M$40-ArtifactsInput!$M$40)))/100)))*(1+(Inputs!$B$24+((C3008=TRUE)*(F3008-Calc!F31))+((C2995=TRUE)*(F2995-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CRUEL_STAB",Inputs!$B$17+((C3005=TRUE)*(F3005-Calc!F28))+((IF(AND(Inputs!$B$39&lt;&gt;"pvp",Inputs!$B$44=0),1,IF(IF(Inputs!$B$39="pvp",15,Inputs!$B$44)-(B3022)&lt;=0,1,MAX(0,IF(Inputs!$B$39="pvp",15,Inputs!$B$44)-MAX(5,B3022))/(IF(Inputs!$B$39="pvp",15,Inputs!$B$44)-(B3022))))*(IF(AND(ArtifactsInput!$M$42,((Inputs!$B$9+((C3003=TRUE)*(F3003-Calc!F26))+B3011+(ArtifactsInput!$M$24-ArtifactsInput!$M$24)*CHOOSE(ArtifactsInput!$N$24+1,10,12,14,16,18,20)+IF(ArtifactsInput!$M$10,CHOOSE(ArtifactsInput!$N$10+1,15,18,21,24,27,30)*(IF(Inputs!$B$39="pvp",MIN(15,15)/15,IF(AND(Inputs!$B$39&lt;&gt;"pvp",Inputs!$B$44&gt;0),MIN(15,Inputs!$B$44)/(Inputs!$B$44),0))),0)))&gt;=100),MIN(100,((Inputs!$B$9+((C3003=TRUE)*(F3003-Calc!F26))+B3011+(ArtifactsInput!$M$24-ArtifactsInput!$M$24)*CHOOSE(ArtifactsInput!$N$24+1,10,12,14,16,18,20)+IF(ArtifactsInput!$M$10,CHOOSE(ArtifactsInput!$N$10+1,15,18,21,24,27,30)*(IF(Inputs!$B$39="pvp",MIN(15,15)/15,IF(AND(Inputs!$B$39&lt;&gt;"pvp",Inputs!$B$44&gt;0),MIN(15,Inputs!$B$44)/(Inputs!$B$44),0))),0)))-100),0))*CHOOSE(ArtifactsInput!$N$42+1,0.6,0.72,0.84,0.96,1.08,1.2))),Inputs!$B$18+((C3006=TRUE)*(F3006-Calc!F29))+(IF(AND(Inputs!$B$39&lt;&gt;"pvp",Inputs!$B$44=0),1,IF(IF(Inputs!$B$39="pvp",15,Inputs!$B$44)-(B3022)&lt;=0,1,MAX(0,IF(Inputs!$B$39="pvp",15,Inputs!$B$44)-MAX(5,B3022))/(IF(Inputs!$B$39="pvp",15,Inputs!$B$44)-(B3022))))*IF(AND(ArtifactsInput!$M$42,((Inputs!$B$9+((C3003=TRUE)*(F3003-Calc!F26))+B3011+(ArtifactsInput!$M$24-ArtifactsInput!$M$24)*CHOOSE(ArtifactsInput!$N$24+1,10,12,14,16,18,20)+IF(ArtifactsInput!$M$10,CHOOSE(ArtifactsInput!$N$10+1,15,18,21,24,27,30)*(IF(Inputs!$B$39="pvp",MIN(15,15)/15,IF(AND(Inputs!$B$39&lt;&gt;"pvp",Inputs!$B$44&gt;0),MIN(15,Inputs!$B$44)/(Inputs!$B$44),0))),0)))&gt;=100),CHOOSE(ArtifactsInput!$N$42+1,40,48,56,64,72,80),0))))/100)*(((1+(((C2999=TRUE)*F2999*IF(AND(Inputs!$B$39&lt;&gt;"pvp",Inputs!$B$44&gt;0),(((R2999-1)*MIN((Skills!Y22*(1+Inputs!$B$34/100)),(1/Q2999))+MIN((Skills!Y22*(1+Inputs!$B$34/100)),MAX(0,Inputs!$B$44-((R2999-1)*(1/Q2999)))))/Inputs!$B$44),IF(Inputs!$B$39="pvp",MIN((Skills!Y22*(1+Inputs!$B$34/100)),15)/15,MIN(1,(Skills!Y22*(1+Inputs!$B$34/100))/(1/Q2999)))))+((C2980=TRUE)*F2980*3)+((C2982=TRUE)*F2982*(1-EXP(-0.75*B3015*5)))+((C3001=TRUE)*(F3001-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IF(ArtifactsInput!$M$37,FALSE,TRUE),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2988=TRUE)*F2988*IF(AND(Inputs!$B$39&lt;&gt;"pvp",Inputs!$B$44&gt;0),(((R2988-1)*MIN((Skills!Y11*(1+Inputs!$B$34/100)),(1/Q2988))+MIN((Skills!Y11*(1+Inputs!$B$34/100)),MAX(0,Inputs!$B$44-((R2988-1)*(1/Q2988)))))/Inputs!$B$44),IF(Inputs!$B$39="pvp",MIN((Skills!Y11*(1+Inputs!$B$34/100)),15)/15,MIN(1,(Skills!Y11*(1+Inputs!$B$34/100))/(1/Q2988)))))/100)*(1+((C2993=TRUE)*F2993*IF(AND(Inputs!$B$39&lt;&gt;"pvp",Inputs!$B$44&gt;0),(((R2993-1)*MIN((Skills!Y16*(1+Inputs!$B$34/100)),(1/Q2993))+MIN((Skills!Y16*(1+Inputs!$B$34/100)),MAX(0,Inputs!$B$44-((R2993-1)*(1/Q2993)))))/Inputs!$B$44),IF(Inputs!$B$39="pvp",MIN((Skills!Y16*(1+Inputs!$B$34/100)),15)/15,MIN(1,(Skills!Y16*(1+Inputs!$B$34/100))/(1/Q2993)))))/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3013*I2979)</f>
        <v/>
      </c>
      <c r="L2979">
        <f>K2979*(MIN(Inputs!$B$22+((C3002=TRUE)*(F3002-Calc!F25)),(Inputs!$B$23+((C3007=TRUE)*(F3007-Calc!F30))+IF(ArtifactsInput!$M$15,CHOOSE(ArtifactsInput!$N$15+1,25,30,35,40,45,50)/100*(Inputs!$B$11-Inputs!$B$11),0)))/100+(Inputs!$B$23+((C3007=TRUE)*(F3007-Calc!F30))+IF(ArtifactsInput!$M$15,CHOOSE(ArtifactsInput!$N$15+1,25,30,35,40,45,50)/100*(Inputs!$B$11-Inputs!$B$11),0))/100)/2</f>
        <v/>
      </c>
      <c r="M2979">
        <f>L2979*(1+(Inputs!$B$10+((C3004=TRUE)*(F3004-Calc!F27))+B3018+(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2979">
        <f>L2979*(1-MIN((Inputs!$B$9+((C3003=TRUE)*(F3003-Calc!F26))+B3011+(ArtifactsInput!$M$24-ArtifactsInput!$M$24)*CHOOSE(ArtifactsInput!$N$24+1,10,12,14,16,18,20)+(IF(AND(Inputs!$B$39&lt;&gt;"pvp",Inputs!$B$44=0),1,IF(IF(Inputs!$B$39="pvp",15,Inputs!$B$44)-(B3022)&lt;=0,1,MAX(0,IF(Inputs!$B$39="pvp",15,Inputs!$B$44)-MAX(5,B3022))/(IF(Inputs!$B$39="pvp",15,Inputs!$B$44)-(B3022))))*IF(AND(ArtifactsInput!$M$42,((Inputs!$B$9+((C3003=TRUE)*(F3003-Calc!F26))+B3011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2979*(MIN((Inputs!$B$9+((C3003=TRUE)*(F3003-Calc!F26))+B3011+(ArtifactsInput!$M$24-ArtifactsInput!$M$24)*CHOOSE(ArtifactsInput!$N$24+1,10,12,14,16,18,20)+(IF(AND(Inputs!$B$39&lt;&gt;"pvp",Inputs!$B$44=0),1,IF(IF(Inputs!$B$39="pvp",15,Inputs!$B$44)-(B3022)&lt;=0,1,MAX(0,IF(Inputs!$B$39="pvp",15,Inputs!$B$44)-MAX(5,B3022))/(IF(Inputs!$B$39="pvp",15,Inputs!$B$44)-(B3022))))*IF(AND(ArtifactsInput!$M$42,((Inputs!$B$9+((C3003=TRUE)*(F3003-Calc!F26))+B3011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979">
        <f>(1-Summary!$B$11)*T2979+Summary!$B$11*V2979</f>
        <v/>
      </c>
      <c r="P2979">
        <f>IF(B3023=0,0,O2979/B3023)</f>
        <v/>
      </c>
      <c r="Q2979" t="n">
        <v>0</v>
      </c>
      <c r="R2979" t="n">
        <v>0</v>
      </c>
      <c r="S2979">
        <f>IFERROR(O2979/N2979,0)</f>
        <v/>
      </c>
      <c r="T2979">
        <f>IF(C2979,(Skills!G2*N2979*B3017)*IF(Inputs!$B$39="pvp",1,1+(Inputs!$B$20+0+Skills!P2+B3012+(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Hunt"),CHOOSE(ArtifactsInput!$N$35+1,15,18,21,24,27,30)*(1-EXP(-(0.2*B3015)*5)),0)+IF(AND(ArtifactsInput!$M$22,Inputs!$B$4&lt;&gt;"Chapter Hunt"),CHOOSE(ArtifactsInput!$N$22+1,10,12,14,16,18,20)*((0*(((0.15*B3015*5))^0/1)+1*(((0.15*B3015*5))^1/1)+2*(((0.15*B3015*5))^2/2)+3*(((0.15*B3015*5))^3/6)+4*(((0.15*B3015*5))^4/24)+5*(((0.15*B3015*5))^5/120))/((((0.15*B3015*5))^0/1)+(((0.15*B3015*5))^1/1)+(((0.15*B3015*5))^2/2)+(((0.15*B3015*5))^3/6)+(((0.15*B3015*5))^4/24)+(((0.15*B3015*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2979*(1-MIN(100,(Inputs!$B$9+((C3003=TRUE)*(F3003-Calc!F26))+B3011+(ArtifactsInput!$M$24-ArtifactsInput!$M$24)*CHOOSE(ArtifactsInput!$N$24+1,10,12,14,16,18,20)+(IF(AND(Inputs!$B$39&lt;&gt;"pvp",Inputs!$B$44=0),1,IF(IF(Inputs!$B$39="pvp",15,Inputs!$B$44)-(B3022)&lt;=0,1,MAX(0,IF(Inputs!$B$39="pvp",15,Inputs!$B$44)-MAX(5,B3022))/(IF(Inputs!$B$39="pvp",15,Inputs!$B$44)-(B3022))))*IF(AND(ArtifactsInput!$M$42,((Inputs!$B$9+((C3003=TRUE)*(F3003-Calc!F26))+B3011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2979*(MIN(100,(Inputs!$B$9+((C3003=TRUE)*(F3003-Calc!F26))+B3011+(ArtifactsInput!$M$24-ArtifactsInput!$M$24)*CHOOSE(ArtifactsInput!$N$24+1,10,12,14,16,18,20)+(IF(AND(Inputs!$B$39&lt;&gt;"pvp",Inputs!$B$44=0),1,IF(IF(Inputs!$B$39="pvp",15,Inputs!$B$44)-(B3022)&lt;=0,1,MAX(0,IF(Inputs!$B$39="pvp",15,Inputs!$B$44)-MAX(5,B3022))/(IF(Inputs!$B$39="pvp",15,Inputs!$B$44)-(B3022))))*IF(AND(ArtifactsInput!$M$42,((Inputs!$B$9+((C3003=TRUE)*(F3003-Calc!F26))+B3011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2979*(1-MIN(100,(Inputs!$B$9+((C3003=TRUE)*(F3003-Calc!F26))+B3011+(ArtifactsInput!$M$24-ArtifactsInput!$M$24)*CHOOSE(ArtifactsInput!$N$24+1,10,12,14,16,18,20)+(IF(AND(Inputs!$B$39&lt;&gt;"pvp",Inputs!$B$44=0),1,IF(IF(Inputs!$B$39="pvp",15,Inputs!$B$44)-(B3022)&lt;=0,1,MAX(0,IF(Inputs!$B$39="pvp",15,Inputs!$B$44)-MAX(5,B3022))/(IF(Inputs!$B$39="pvp",15,Inputs!$B$44)-(B3022))))*IF(AND(ArtifactsInput!$M$42,((Inputs!$B$9+((C3003=TRUE)*(F3003-Calc!F26))+B3011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2979*(MIN(100,(Inputs!$B$9+((C3003=TRUE)*(F3003-Calc!F26))+B3011+(ArtifactsInput!$M$24-ArtifactsInput!$M$24)*CHOOSE(ArtifactsInput!$N$24+1,10,12,14,16,18,20)+(IF(AND(Inputs!$B$39&lt;&gt;"pvp",Inputs!$B$44=0),1,IF(IF(Inputs!$B$39="pvp",15,Inputs!$B$44)-(B3022)&lt;=0,1,MAX(0,IF(Inputs!$B$39="pvp",15,Inputs!$B$44)-MAX(5,B3022))/(IF(Inputs!$B$39="pvp",15,Inputs!$B$44)-(B3022))))*IF(AND(ArtifactsInput!$M$42,((Inputs!$B$9+((C3003=TRUE)*(F3003-Calc!F26))+B3011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2979">
        <f>MAX(0,(Inputs!$B$3-100)*3)+Inputs!$B$28+Inputs!$B$29</f>
        <v/>
      </c>
      <c r="V2979">
        <f>IF(C2979,(Skills!G2*N2979*B3017)*IF(Inputs!$B$39="pvp",1,(1+(Inputs!$B$21+Skills!Q2+B3012+(IF(ArtifactsInput!$M$33,CHOOSE(ArtifactsInput!$N$33+1,30,36,42,48,54,60),0))+(IF(AND(ArtifactsInput!$M$35,Inputs!$B$4&lt;&gt;"Chapter Hunt"),CHOOSE(ArtifactsInput!$N$35+1,15,18,21,24,27,30)*(1-EXP(-(0.2*B3015)*5)),0)+IF(AND(ArtifactsInput!$M$22,Inputs!$B$4&lt;&gt;"Chapter Hunt"),CHOOSE(ArtifactsInput!$N$22+1,10,12,14,16,18,20)*((0*(((0.15*B3015*5))^0/1)+1*(((0.15*B3015*5))^1/1)+2*(((0.15*B3015*5))^2/2)+3*(((0.15*B3015*5))^3/6)+4*(((0.15*B3015*5))^4/24)+5*(((0.15*B3015*5))^5/120))/((((0.15*B3015*5))^0/1)+(((0.15*B3015*5))^1/1)+(((0.15*B3015*5))^2/2)+(((0.15*B3015*5))^3/6)+(((0.15*B3015*5))^4/24)+(((0.15*B3015*5))^5/120))),0)))/100)*(MIN((6+Inputs!$B$33),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980">
      <c r="A2980">
        <f>Skills!A3</f>
        <v/>
      </c>
      <c r="B2980">
        <f>Skills!B3</f>
        <v/>
      </c>
      <c r="C2980">
        <f>Inputs!$B$3&gt;=35</f>
        <v/>
      </c>
      <c r="D2980">
        <f>IF(Skills!C3=1,60+Inputs!$B$25+Inputs!$B$29,IF(Skills!C3=2,90+Inputs!$B$26+Inputs!$B$29,IF(Skills!C3=3,120+Inputs!$B$27+Inputs!$B$29,MAX(0,(Inputs!$B$3-100)*3)+Inputs!$B$28+Inputs!$B$29)))</f>
        <v/>
      </c>
      <c r="E2980">
        <f>INDEX(FactorTable!$B$2:$Y$301, MATCH(ROUND(MIN(300,MAX(1,D2980)),0), FactorTable!$A$2:$A$301,0), Skills!M3+1)</f>
        <v/>
      </c>
      <c r="F2980">
        <f>IF(Skills!N3=TRUE,(Skills!L3/10)*(E2980/1000),Skills!L3/10)+Skills!O3</f>
        <v/>
      </c>
      <c r="G2980">
        <f>Skills!G3*IF(Skills!H3&gt;0,IF(Inputs!$B$39="pvp",MIN(Skills!I3,15),Skills!I3)/Skills!H3,1)</f>
        <v/>
      </c>
      <c r="H2980">
        <f>1-(1-Skills!J3/100)^Skills!K3</f>
        <v/>
      </c>
      <c r="I2980" t="inlineStr">
        <is>
          <t>1</t>
        </is>
      </c>
      <c r="J2980" t="inlineStr"/>
      <c r="K2980" t="inlineStr"/>
      <c r="L2980" t="inlineStr"/>
      <c r="M2980" t="inlineStr"/>
      <c r="N2980" t="inlineStr"/>
      <c r="O2980">
        <f>(1-Summary!$B$11)*T2980+Summary!$B$11*V2980</f>
        <v/>
      </c>
      <c r="P2980">
        <f>IF(B3023=0,0,O2980/B3023)</f>
        <v/>
      </c>
      <c r="Q2980" t="n">
        <v>0</v>
      </c>
      <c r="R2980" t="n">
        <v>0</v>
      </c>
      <c r="S2980">
        <f>IFERROR(O2980/N2980,0)</f>
        <v/>
      </c>
      <c r="T2980" t="n">
        <v>0</v>
      </c>
      <c r="U2980">
        <f>INDEX(FactorTable!$B$2:$Y$301, MATCH(ROUND(MIN(300,MAX(1,U2979)),0), FactorTable!$A$2:$A$301,0), 22)</f>
        <v/>
      </c>
      <c r="V2980" t="n">
        <v>0</v>
      </c>
    </row>
    <row r="2981">
      <c r="A2981">
        <f>Skills!A4</f>
        <v/>
      </c>
      <c r="B2981">
        <f>Skills!B4</f>
        <v/>
      </c>
      <c r="C2981">
        <f>Inputs!$B$3&gt;=66</f>
        <v/>
      </c>
      <c r="D2981">
        <f>IF(Skills!C4=1,60+Inputs!$B$25+Inputs!$B$29,IF(Skills!C4=2,90+Inputs!$B$26+Inputs!$B$29,IF(Skills!C4=3,120+Inputs!$B$27+Inputs!$B$29,MAX(0,(Inputs!$B$3-100)*3)+Inputs!$B$28+Inputs!$B$29)))</f>
        <v/>
      </c>
      <c r="E2981">
        <f>INDEX(FactorTable!$B$2:$Y$301, MATCH(ROUND(MIN(300,MAX(1,D2981)),0), FactorTable!$A$2:$A$301,0), Skills!M4+1)</f>
        <v/>
      </c>
      <c r="F2981">
        <f>IF(Skills!N4=TRUE,(Skills!L4/10)*(E2981/1000),Skills!L4/10)+Skills!O4</f>
        <v/>
      </c>
      <c r="G2981">
        <f>Skills!G4*IF(Skills!H4&gt;0,IF(Inputs!$B$39="pvp",MIN(Skills!I4,15),Skills!I4)/Skills!H4,1)</f>
        <v/>
      </c>
      <c r="H2981">
        <f>1-(1-Skills!J4/100)^Skills!K4</f>
        <v/>
      </c>
      <c r="I2981" t="inlineStr">
        <is>
          <t>1</t>
        </is>
      </c>
      <c r="J2981">
        <f>((Inputs!$B$6*(1+Inputs!$B$7/100))+(((Inputs!$B$12*(1+Inputs!$B$13/100))-(Inputs!$B$12*(1+Inputs!$B$13/100)))+0.25*(Inputs!$B$14-Inputs!$B$14))*(1+Inputs!$B$7/100))*(F2981/100)</f>
        <v/>
      </c>
      <c r="K2981">
        <f>J2981*(1+((Inputs!$B$12*(1+Inputs!$B$13/100))*0.01+Inputs!$B$14*0.0025)/100)*(1+Inputs!$B$15/100)*(1+Inputs!$B$16/100)*(5000/(6000+Inputs!$B$43*(1-(100*(1-(1-Inputs!$B$19/100)*(1-CHOOSE(ArtifactsInput!$N$40+1,5,6,7,8,9,10)/100)^(ArtifactsInput!$M$40-ArtifactsInput!$M$40)))/100)))*(1+(Inputs!$B$24+((C3008=TRUE)*(F3008-Calc!F31))+((C2995=TRUE)*(F2995-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4="CRUEL_STAB",Inputs!$B$17+((C3005=TRUE)*(F3005-Calc!F28))+((IF(AND(Inputs!$B$39&lt;&gt;"pvp",Inputs!$B$44=0),1,IF(IF(Inputs!$B$39="pvp",15,Inputs!$B$44)-(B3022)&lt;=0,1,MAX(0,IF(Inputs!$B$39="pvp",15,Inputs!$B$44)-MAX(5,B3022))/(IF(Inputs!$B$39="pvp",15,Inputs!$B$44)-(B3022))))*(IF(AND(ArtifactsInput!$M$42,((Inputs!$B$9+((C3003=TRUE)*(F3003-Calc!F26))+B3011+(ArtifactsInput!$M$24-ArtifactsInput!$M$24)*CHOOSE(ArtifactsInput!$N$24+1,10,12,14,16,18,20)+IF(ArtifactsInput!$M$10,CHOOSE(ArtifactsInput!$N$10+1,15,18,21,24,27,30)*(IF(Inputs!$B$39="pvp",MIN(15,15)/15,IF(AND(Inputs!$B$39&lt;&gt;"pvp",Inputs!$B$44&gt;0),MIN(15,Inputs!$B$44)/(Inputs!$B$44),0))),0)))&gt;=100),MIN(100,((Inputs!$B$9+((C3003=TRUE)*(F3003-Calc!F26))+B3011+(ArtifactsInput!$M$24-ArtifactsInput!$M$24)*CHOOSE(ArtifactsInput!$N$24+1,10,12,14,16,18,20)+IF(ArtifactsInput!$M$10,CHOOSE(ArtifactsInput!$N$10+1,15,18,21,24,27,30)*(IF(Inputs!$B$39="pvp",MIN(15,15)/15,IF(AND(Inputs!$B$39&lt;&gt;"pvp",Inputs!$B$44&gt;0),MIN(15,Inputs!$B$44)/(Inputs!$B$44),0))),0)))-100),0))*CHOOSE(ArtifactsInput!$N$42+1,0.6,0.72,0.84,0.96,1.08,1.2))),Inputs!$B$18+((C3006=TRUE)*(F3006-Calc!F29))+(IF(AND(Inputs!$B$39&lt;&gt;"pvp",Inputs!$B$44=0),1,IF(IF(Inputs!$B$39="pvp",15,Inputs!$B$44)-(B3022)&lt;=0,1,MAX(0,IF(Inputs!$B$39="pvp",15,Inputs!$B$44)-MAX(5,B3022))/(IF(Inputs!$B$39="pvp",15,Inputs!$B$44)-(B3022))))*IF(AND(ArtifactsInput!$M$42,((Inputs!$B$9+((C3003=TRUE)*(F3003-Calc!F26))+B3011+(ArtifactsInput!$M$24-ArtifactsInput!$M$24)*CHOOSE(ArtifactsInput!$N$24+1,10,12,14,16,18,20)+IF(ArtifactsInput!$M$10,CHOOSE(ArtifactsInput!$N$10+1,15,18,21,24,27,30)*(IF(Inputs!$B$39="pvp",MIN(15,15)/15,IF(AND(Inputs!$B$39&lt;&gt;"pvp",Inputs!$B$44&gt;0),MIN(15,Inputs!$B$44)/(Inputs!$B$44),0))),0)))&gt;=100),CHOOSE(ArtifactsInput!$N$42+1,40,48,56,64,72,80),0))))/100)*(((1+(((C2999=TRUE)*F2999*IF(AND(Inputs!$B$39&lt;&gt;"pvp",Inputs!$B$44&gt;0),(((R2999-1)*MIN((Skills!Y22*(1+Inputs!$B$34/100)),(1/Q2999))+MIN((Skills!Y22*(1+Inputs!$B$34/100)),MAX(0,Inputs!$B$44-((R2999-1)*(1/Q2999)))))/Inputs!$B$44),IF(Inputs!$B$39="pvp",MIN((Skills!Y22*(1+Inputs!$B$34/100)),15)/15,MIN(1,(Skills!Y22*(1+Inputs!$B$34/100))/(1/Q2999)))))+((C2980=TRUE)*F2980*3)+((C2982=TRUE)*F2982*(1-EXP(-0.75*B3015*5)))+((C3001=TRUE)*(F3001-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IF(ArtifactsInput!$M$37,FALSE,TRUE),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2988=TRUE)*F2988*IF(AND(Inputs!$B$39&lt;&gt;"pvp",Inputs!$B$44&gt;0),(((R2988-1)*MIN((Skills!Y11*(1+Inputs!$B$34/100)),(1/Q2988))+MIN((Skills!Y11*(1+Inputs!$B$34/100)),MAX(0,Inputs!$B$44-((R2988-1)*(1/Q2988)))))/Inputs!$B$44),IF(Inputs!$B$39="pvp",MIN((Skills!Y11*(1+Inputs!$B$34/100)),15)/15,MIN(1,(Skills!Y11*(1+Inputs!$B$34/100))/(1/Q2988)))))/100)*(1+((C2993=TRUE)*F2993*IF(AND(Inputs!$B$39&lt;&gt;"pvp",Inputs!$B$44&gt;0),(((R2993-1)*MIN((Skills!Y16*(1+Inputs!$B$34/100)),(1/Q2993))+MIN((Skills!Y16*(1+Inputs!$B$34/100)),MAX(0,Inputs!$B$44-((R2993-1)*(1/Q2993)))))/Inputs!$B$44),IF(Inputs!$B$39="pvp",MIN((Skills!Y16*(1+Inputs!$B$34/100)),15)/15,MIN(1,(Skills!Y16*(1+Inputs!$B$34/100))/(1/Q2993)))))/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3013*I2981)</f>
        <v/>
      </c>
      <c r="L2981">
        <f>K2981*(MIN(Inputs!$B$22+((C3002=TRUE)*(F3002-Calc!F25)),(Inputs!$B$23+((C3007=TRUE)*(F3007-Calc!F30))+IF(ArtifactsInput!$M$15,CHOOSE(ArtifactsInput!$N$15+1,25,30,35,40,45,50)/100*(Inputs!$B$11-Inputs!$B$11),0)))/100+(Inputs!$B$23+((C3007=TRUE)*(F3007-Calc!F30))+IF(ArtifactsInput!$M$15,CHOOSE(ArtifactsInput!$N$15+1,25,30,35,40,45,50)/100*(Inputs!$B$11-Inputs!$B$11),0))/100)/2</f>
        <v/>
      </c>
      <c r="M2981">
        <f>L2981*(1+(Inputs!$B$10+((C3004=TRUE)*(F3004-Calc!F27))+B3018+(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2981">
        <f>L2981*(1-MIN((Inputs!$B$9+((C3003=TRUE)*(F3003-Calc!F26))+B3011+(ArtifactsInput!$M$24-ArtifactsInput!$M$24)*CHOOSE(ArtifactsInput!$N$24+1,10,12,14,16,18,20)+(IF(AND(Inputs!$B$39&lt;&gt;"pvp",Inputs!$B$44=0),1,IF(IF(Inputs!$B$39="pvp",15,Inputs!$B$44)-(B3022)&lt;=0,1,MAX(0,IF(Inputs!$B$39="pvp",15,Inputs!$B$44)-MAX(5,B3022))/(IF(Inputs!$B$39="pvp",15,Inputs!$B$44)-(B3022))))*IF(AND(ArtifactsInput!$M$42,((Inputs!$B$9+((C3003=TRUE)*(F3003-Calc!F26))+B3011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2981*(MIN((Inputs!$B$9+((C3003=TRUE)*(F3003-Calc!F26))+B3011+(ArtifactsInput!$M$24-ArtifactsInput!$M$24)*CHOOSE(ArtifactsInput!$N$24+1,10,12,14,16,18,20)+(IF(AND(Inputs!$B$39&lt;&gt;"pvp",Inputs!$B$44=0),1,IF(IF(Inputs!$B$39="pvp",15,Inputs!$B$44)-(B3022)&lt;=0,1,MAX(0,IF(Inputs!$B$39="pvp",15,Inputs!$B$44)-MAX(5,B3022))/(IF(Inputs!$B$39="pvp",15,Inputs!$B$44)-(B3022))))*IF(AND(ArtifactsInput!$M$42,((Inputs!$B$9+((C3003=TRUE)*(F3003-Calc!F26))+B3011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981">
        <f>(1-Summary!$B$11)*T2981+Summary!$B$11*V2981</f>
        <v/>
      </c>
      <c r="P2981">
        <f>IF(B3023=0,0,O2981/B3023)</f>
        <v/>
      </c>
      <c r="Q2981">
        <f>IFERROR(1/IF(Inputs!$B$39="pvp",15,MAX(0.1,Skills!D4-IF(TRUE=TRUE,Inputs!$B$32,0))),0)</f>
        <v/>
      </c>
      <c r="R2981">
        <f>IF(AND(Inputs!$B$39&lt;&gt;"pvp",Inputs!$B$44&gt;0),IF(MAX(0,Inputs!$B$44-B3022)&lt;=0,0,(INT(MAX(0,Inputs!$B$44-B3022)/IF(Inputs!$B$39="pvp",15,MAX(0.1,Skills!D4-IF(TRUE=TRUE,Inputs!$B$32,0))))+1)),0)</f>
        <v/>
      </c>
      <c r="S2981">
        <f>IFERROR(O2981/N2981,0)</f>
        <v/>
      </c>
      <c r="T2981">
        <f>IF(C2981,(H2981*N2981*IF(AND(Inputs!$B$39&lt;&gt;"pvp",Inputs!$B$44&gt;0),((Skills!G4*((R2981-1)*IF(Skills!H4&gt;0,Skills!I4/Skills!H4,1)+IF(Skills!H4&gt;0,MIN(Skills!I4,MAX(0,MAX(0,Inputs!$B$44-B3022)-((R2981-1)*IF(Inputs!$B$39="pvp",15,MAX(0.1,Skills!D4-IF(TRUE=TRUE,Inputs!$B$32,0))))))/Skills!H4,1)))/Inputs!$B$44),G2981*Q2981))*IF(Inputs!$B$39="pvp",1,1+(Inputs!$B$20+0+Skills!P4+B3012+(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Hunt"),CHOOSE(ArtifactsInput!$N$35+1,15,18,21,24,27,30)*(1-EXP(-(0.2*B3015)*5)),0)+IF(AND(ArtifactsInput!$M$22,Inputs!$B$4&lt;&gt;"Chapter Hunt"),CHOOSE(ArtifactsInput!$N$22+1,10,12,14,16,18,20)*((0*(((0.15*B3015*5))^0/1)+1*(((0.15*B3015*5))^1/1)+2*(((0.15*B3015*5))^2/2)+3*(((0.15*B3015*5))^3/6)+4*(((0.15*B3015*5))^4/24)+5*(((0.15*B3015*5))^5/120))/((((0.15*B3015*5))^0/1)+(((0.15*B3015*5))^1/1)+(((0.15*B3015*5))^2/2)+(((0.15*B3015*5))^3/6)+(((0.15*B3015*5))^4/24)+(((0.15*B3015*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2981*(1-MIN(100,(Inputs!$B$9+((C3003=TRUE)*(F3003-Calc!F26))+B3011+(ArtifactsInput!$M$24-ArtifactsInput!$M$24)*CHOOSE(ArtifactsInput!$N$24+1,10,12,14,16,18,20)+(IF(AND(Inputs!$B$39&lt;&gt;"pvp",Inputs!$B$44=0),1,IF(IF(Inputs!$B$39="pvp",15,Inputs!$B$44)-(B3022)&lt;=0,1,MAX(0,IF(Inputs!$B$39="pvp",15,Inputs!$B$44)-MAX(5,B3022))/(IF(Inputs!$B$39="pvp",15,Inputs!$B$44)-(B3022))))*IF(AND(ArtifactsInput!$M$42,((Inputs!$B$9+((C3003=TRUE)*(F3003-Calc!F26))+B3011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2981*(MIN(100,(Inputs!$B$9+((C3003=TRUE)*(F3003-Calc!F26))+B3011+(ArtifactsInput!$M$24-ArtifactsInput!$M$24)*CHOOSE(ArtifactsInput!$N$24+1,10,12,14,16,18,20)+(IF(AND(Inputs!$B$39&lt;&gt;"pvp",Inputs!$B$44=0),1,IF(IF(Inputs!$B$39="pvp",15,Inputs!$B$44)-(B3022)&lt;=0,1,MAX(0,IF(Inputs!$B$39="pvp",15,Inputs!$B$44)-MAX(5,B3022))/(IF(Inputs!$B$39="pvp",15,Inputs!$B$44)-(B3022))))*IF(AND(ArtifactsInput!$M$42,((Inputs!$B$9+((C3003=TRUE)*(F3003-Calc!F26))+B3011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2981*(1-MIN(100,(Inputs!$B$9+((C3003=TRUE)*(F3003-Calc!F26))+B3011+(ArtifactsInput!$M$24-ArtifactsInput!$M$24)*CHOOSE(ArtifactsInput!$N$24+1,10,12,14,16,18,20)+(IF(AND(Inputs!$B$39&lt;&gt;"pvp",Inputs!$B$44=0),1,IF(IF(Inputs!$B$39="pvp",15,Inputs!$B$44)-(B3022)&lt;=0,1,MAX(0,IF(Inputs!$B$39="pvp",15,Inputs!$B$44)-MAX(5,B3022))/(IF(Inputs!$B$39="pvp",15,Inputs!$B$44)-(B3022))))*IF(AND(ArtifactsInput!$M$42,((Inputs!$B$9+((C3003=TRUE)*(F3003-Calc!F26))+B3011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2981*(MIN(100,(Inputs!$B$9+((C3003=TRUE)*(F3003-Calc!F26))+B3011+(ArtifactsInput!$M$24-ArtifactsInput!$M$24)*CHOOSE(ArtifactsInput!$N$24+1,10,12,14,16,18,20)+(IF(AND(Inputs!$B$39&lt;&gt;"pvp",Inputs!$B$44=0),1,IF(IF(Inputs!$B$39="pvp",15,Inputs!$B$44)-(B3022)&lt;=0,1,MAX(0,IF(Inputs!$B$39="pvp",15,Inputs!$B$44)-MAX(5,B3022))/(IF(Inputs!$B$39="pvp",15,Inputs!$B$44)-(B3022))))*IF(AND(ArtifactsInput!$M$42,((Inputs!$B$9+((C3003=TRUE)*(F3003-Calc!F26))+B3011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2981">
        <f>290*U2980/1000</f>
        <v/>
      </c>
      <c r="V2981">
        <f>IF(C2981,(H2981*N2981*IF(AND(Inputs!$B$39&lt;&gt;"pvp",Inputs!$B$44&gt;0),((Skills!G4*((R2981-1)*IF(Skills!H4&gt;0,Skills!I4/Skills!H4,1)+IF(Skills!H4&gt;0,MIN(Skills!I4,MAX(0,MAX(0,Inputs!$B$44-B3022)-((R2981-1)*IF(Inputs!$B$39="pvp",15,MAX(0.1,Skills!D4-IF(TRUE=TRUE,Inputs!$B$32,0))))))/Skills!H4,1)))/Inputs!$B$44),G2981*Q2981))*IF(Inputs!$B$39="pvp",1,(1+(Inputs!$B$21+Skills!Q4+B3012+(IF(ArtifactsInput!$M$33,CHOOSE(ArtifactsInput!$N$33+1,30,36,42,48,54,60),0))+(IF(AND(ArtifactsInput!$M$35,Inputs!$B$4&lt;&gt;"Chapter Hunt"),CHOOSE(ArtifactsInput!$N$35+1,15,18,21,24,27,30)*(1-EXP(-(0.2*B3015)*5)),0)+IF(AND(ArtifactsInput!$M$22,Inputs!$B$4&lt;&gt;"Chapter Hunt"),CHOOSE(ArtifactsInput!$N$22+1,10,12,14,16,18,20)*((0*(((0.15*B3015*5))^0/1)+1*(((0.15*B3015*5))^1/1)+2*(((0.15*B3015*5))^2/2)+3*(((0.15*B3015*5))^3/6)+4*(((0.15*B3015*5))^4/24)+5*(((0.15*B3015*5))^5/120))/((((0.15*B3015*5))^0/1)+(((0.15*B3015*5))^1/1)+(((0.15*B3015*5))^2/2)+(((0.15*B3015*5))^3/6)+(((0.15*B3015*5))^4/24)+(((0.15*B3015*5))^5/120))),0)))/100)*(MIN(MIN(10,IF(Inputs!$B$3&gt;=75,0.75,0.5)*B3015*(1/Q2981)),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982">
      <c r="A2982">
        <f>Skills!A5</f>
        <v/>
      </c>
      <c r="B2982">
        <f>Skills!B5</f>
        <v/>
      </c>
      <c r="C2982">
        <f>Inputs!$B$3&gt;=75</f>
        <v/>
      </c>
      <c r="D2982">
        <f>IF(Skills!C5=1,60+Inputs!$B$25+Inputs!$B$29,IF(Skills!C5=2,90+Inputs!$B$26+Inputs!$B$29,IF(Skills!C5=3,120+Inputs!$B$27+Inputs!$B$29,MAX(0,(Inputs!$B$3-100)*3)+Inputs!$B$28+Inputs!$B$29)))</f>
        <v/>
      </c>
      <c r="E2982">
        <f>INDEX(FactorTable!$B$2:$Y$301, MATCH(ROUND(MIN(300,MAX(1,D2982)),0), FactorTable!$A$2:$A$301,0), Skills!M5+1)</f>
        <v/>
      </c>
      <c r="F2982">
        <f>IF(Skills!N5=TRUE,(Skills!L5/10)*(E2982/1000),Skills!L5/10)+Skills!O5</f>
        <v/>
      </c>
      <c r="G2982">
        <f>Skills!G5*IF(Skills!H5&gt;0,IF(Inputs!$B$39="pvp",MIN(Skills!I5,15),Skills!I5)/Skills!H5,1)</f>
        <v/>
      </c>
      <c r="H2982">
        <f>1-(1-Skills!J5/100)^Skills!K5</f>
        <v/>
      </c>
      <c r="I2982" t="inlineStr">
        <is>
          <t>1</t>
        </is>
      </c>
      <c r="J2982" t="inlineStr"/>
      <c r="K2982" t="inlineStr"/>
      <c r="L2982" t="inlineStr"/>
      <c r="M2982" t="inlineStr"/>
      <c r="N2982" t="inlineStr"/>
      <c r="O2982">
        <f>(1-Summary!$B$11)*T2982+Summary!$B$11*V2982</f>
        <v/>
      </c>
      <c r="P2982">
        <f>IF(B3023=0,0,O2982/B3023)</f>
        <v/>
      </c>
      <c r="Q2982" t="n">
        <v>0</v>
      </c>
      <c r="R2982" t="n">
        <v>0</v>
      </c>
      <c r="S2982">
        <f>IFERROR(O2982/N2982,0)</f>
        <v/>
      </c>
      <c r="T2982" t="n">
        <v>0</v>
      </c>
      <c r="V2982" t="n">
        <v>0</v>
      </c>
    </row>
    <row r="2983">
      <c r="A2983">
        <f>Skills!A6</f>
        <v/>
      </c>
      <c r="B2983">
        <f>Skills!B6</f>
        <v/>
      </c>
      <c r="C2983">
        <f>Inputs!$B$3&gt;=63</f>
        <v/>
      </c>
      <c r="D2983">
        <f>IF(Skills!C6=1,60+Inputs!$B$25+Inputs!$B$29,IF(Skills!C6=2,90+Inputs!$B$26+Inputs!$B$29,IF(Skills!C6=3,120+Inputs!$B$27+Inputs!$B$29,MAX(0,(Inputs!$B$3-100)*3)+Inputs!$B$28+Inputs!$B$29)))</f>
        <v/>
      </c>
      <c r="E2983">
        <f>INDEX(FactorTable!$B$2:$Y$301, MATCH(ROUND(MIN(300,MAX(1,D2983)),0), FactorTable!$A$2:$A$301,0), Skills!M6+1)</f>
        <v/>
      </c>
      <c r="F2983">
        <f>IF(Skills!N6=TRUE,(Skills!L6/10)*(E2983/1000),Skills!L6/10)+Skills!O6</f>
        <v/>
      </c>
      <c r="G2983">
        <f>Skills!G6*IF(Skills!H6&gt;0,IF(Inputs!$B$39="pvp",MIN(Skills!I6,15),Skills!I6)/Skills!H6,1)</f>
        <v/>
      </c>
      <c r="H2983">
        <f>1-(1-Skills!J6/100)^Skills!K6</f>
        <v/>
      </c>
      <c r="I2983" t="inlineStr">
        <is>
          <t>1</t>
        </is>
      </c>
      <c r="J2983">
        <f>((Inputs!$B$6*(1+Inputs!$B$7/100))+(((Inputs!$B$12*(1+Inputs!$B$13/100))-(Inputs!$B$12*(1+Inputs!$B$13/100)))+0.25*(Inputs!$B$14-Inputs!$B$14))*(1+Inputs!$B$7/100))*(F2983/100)</f>
        <v/>
      </c>
      <c r="K2983">
        <f>J2983*(1+((Inputs!$B$12*(1+Inputs!$B$13/100))*0.01+Inputs!$B$14*0.0025)/100)*(1+Inputs!$B$15/100)*(1+Inputs!$B$16/100)*(5000/(6000+Inputs!$B$43*(1-(100*(1-(1-Inputs!$B$19/100)*(1-CHOOSE(ArtifactsInput!$N$40+1,5,6,7,8,9,10)/100)^(ArtifactsInput!$M$40-ArtifactsInput!$M$40)))/100)))*(1+(Inputs!$B$24+((C3008=TRUE)*(F3008-Calc!F31))+((C2995=TRUE)*(F2995-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+2.6666666666666665*IF(C2996=TRUE,F2996,0)/100)*(1+(IF(Skills!A6="CRUEL_STAB",Inputs!$B$17+((C3005=TRUE)*(F3005-Calc!F28))+((IF(AND(Inputs!$B$39&lt;&gt;"pvp",Inputs!$B$44=0),1,IF(IF(Inputs!$B$39="pvp",15,Inputs!$B$44)-(B3022)&lt;=0,1,MAX(0,IF(Inputs!$B$39="pvp",15,Inputs!$B$44)-MAX(5,B3022))/(IF(Inputs!$B$39="pvp",15,Inputs!$B$44)-(B3022))))*(IF(AND(ArtifactsInput!$M$42,((Inputs!$B$9+((C3003=TRUE)*(F3003-Calc!F26))+B3011+(ArtifactsInput!$M$24-ArtifactsInput!$M$24)*CHOOSE(ArtifactsInput!$N$24+1,10,12,14,16,18,20)+IF(ArtifactsInput!$M$10,CHOOSE(ArtifactsInput!$N$10+1,15,18,21,24,27,30)*(IF(Inputs!$B$39="pvp",MIN(15,15)/15,IF(AND(Inputs!$B$39&lt;&gt;"pvp",Inputs!$B$44&gt;0),MIN(15,Inputs!$B$44)/(Inputs!$B$44),0))),0)))&gt;=100),MIN(100,((Inputs!$B$9+((C3003=TRUE)*(F3003-Calc!F26))+B3011+(ArtifactsInput!$M$24-ArtifactsInput!$M$24)*CHOOSE(ArtifactsInput!$N$24+1,10,12,14,16,18,20)+IF(ArtifactsInput!$M$10,CHOOSE(ArtifactsInput!$N$10+1,15,18,21,24,27,30)*(IF(Inputs!$B$39="pvp",MIN(15,15)/15,IF(AND(Inputs!$B$39&lt;&gt;"pvp",Inputs!$B$44&gt;0),MIN(15,Inputs!$B$44)/(Inputs!$B$44),0))),0)))-100),0))*CHOOSE(ArtifactsInput!$N$42+1,0.6,0.72,0.84,0.96,1.08,1.2))),Inputs!$B$18+((C3006=TRUE)*(F3006-Calc!F29))+(IF(AND(Inputs!$B$39&lt;&gt;"pvp",Inputs!$B$44=0),1,IF(IF(Inputs!$B$39="pvp",15,Inputs!$B$44)-(B3022)&lt;=0,1,MAX(0,IF(Inputs!$B$39="pvp",15,Inputs!$B$44)-MAX(5,B3022))/(IF(Inputs!$B$39="pvp",15,Inputs!$B$44)-(B3022))))*IF(AND(ArtifactsInput!$M$42,((Inputs!$B$9+((C3003=TRUE)*(F3003-Calc!F26))+B3011+(ArtifactsInput!$M$24-ArtifactsInput!$M$24)*CHOOSE(ArtifactsInput!$N$24+1,10,12,14,16,18,20)+IF(ArtifactsInput!$M$10,CHOOSE(ArtifactsInput!$N$10+1,15,18,21,24,27,30)*(IF(Inputs!$B$39="pvp",MIN(15,15)/15,IF(AND(Inputs!$B$39&lt;&gt;"pvp",Inputs!$B$44&gt;0),MIN(15,Inputs!$B$44)/(Inputs!$B$44),0))),0)))&gt;=100),CHOOSE(ArtifactsInput!$N$42+1,40,48,56,64,72,80),0))))/100)*(((1+(((C2999=TRUE)*F2999*IF(AND(Inputs!$B$39&lt;&gt;"pvp",Inputs!$B$44&gt;0),(((R2999-1)*MIN((Skills!Y22*(1+Inputs!$B$34/100)),(1/Q2999))+MIN((Skills!Y22*(1+Inputs!$B$34/100)),MAX(0,Inputs!$B$44-((R2999-1)*(1/Q2999)))))/Inputs!$B$44),IF(Inputs!$B$39="pvp",MIN((Skills!Y22*(1+Inputs!$B$34/100)),15)/15,MIN(1,(Skills!Y22*(1+Inputs!$B$34/100))/(1/Q2999)))))+((C2980=TRUE)*F2980*3)+((C2982=TRUE)*F2982*(1-EXP(-0.75*B3015*5)))+((C3001=TRUE)*(F3001-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IF(ArtifactsInput!$M$37,FALSE,TRUE),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2988=TRUE)*F2988*IF(AND(Inputs!$B$39&lt;&gt;"pvp",Inputs!$B$44&gt;0),(((R2988-1)*MIN((Skills!Y11*(1+Inputs!$B$34/100)),(1/Q2988))+MIN((Skills!Y11*(1+Inputs!$B$34/100)),MAX(0,Inputs!$B$44-((R2988-1)*(1/Q2988)))))/Inputs!$B$44),IF(Inputs!$B$39="pvp",MIN((Skills!Y11*(1+Inputs!$B$34/100)),15)/15,MIN(1,(Skills!Y11*(1+Inputs!$B$34/100))/(1/Q2988)))))/100)*(1+((C2993=TRUE)*F2993*IF(AND(Inputs!$B$39&lt;&gt;"pvp",Inputs!$B$44&gt;0),(((R2993-1)*MIN((Skills!Y16*(1+Inputs!$B$34/100)),(1/Q2993))+MIN((Skills!Y16*(1+Inputs!$B$34/100)),MAX(0,Inputs!$B$44-((R2993-1)*(1/Q2993)))))/Inputs!$B$44),IF(Inputs!$B$39="pvp",MIN((Skills!Y16*(1+Inputs!$B$34/100)),15)/15,MIN(1,(Skills!Y16*(1+Inputs!$B$34/100))/(1/Q2993)))))/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3013*I2983)</f>
        <v/>
      </c>
      <c r="L2983">
        <f>K2983*(MIN(Inputs!$B$22+((C3002=TRUE)*(F3002-Calc!F25)),(Inputs!$B$23+((C3007=TRUE)*(F3007-Calc!F30))+IF(ArtifactsInput!$M$15,CHOOSE(ArtifactsInput!$N$15+1,25,30,35,40,45,50)/100*(Inputs!$B$11-Inputs!$B$11),0)))/100+(Inputs!$B$23+((C3007=TRUE)*(F3007-Calc!F30))+IF(ArtifactsInput!$M$15,CHOOSE(ArtifactsInput!$N$15+1,25,30,35,40,45,50)/100*(Inputs!$B$11-Inputs!$B$11),0))/100)/2</f>
        <v/>
      </c>
      <c r="M2983">
        <f>L2983*(1+(Inputs!$B$10+((C3004=TRUE)*(F3004-Calc!F27))+B3018+(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2983">
        <f>L2983*(1-MIN((Inputs!$B$9+((C3003=TRUE)*(F3003-Calc!F26))+B3011+(ArtifactsInput!$M$24-ArtifactsInput!$M$24)*CHOOSE(ArtifactsInput!$N$24+1,10,12,14,16,18,20)+(IF(AND(Inputs!$B$39&lt;&gt;"pvp",Inputs!$B$44=0),1,IF(IF(Inputs!$B$39="pvp",15,Inputs!$B$44)-(B3022)&lt;=0,1,MAX(0,IF(Inputs!$B$39="pvp",15,Inputs!$B$44)-MAX(5,B3022))/(IF(Inputs!$B$39="pvp",15,Inputs!$B$44)-(B3022))))*IF(AND(ArtifactsInput!$M$42,((Inputs!$B$9+((C3003=TRUE)*(F3003-Calc!F26))+B3011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2983*(MIN((Inputs!$B$9+((C3003=TRUE)*(F3003-Calc!F26))+B3011+(ArtifactsInput!$M$24-ArtifactsInput!$M$24)*CHOOSE(ArtifactsInput!$N$24+1,10,12,14,16,18,20)+(IF(AND(Inputs!$B$39&lt;&gt;"pvp",Inputs!$B$44=0),1,IF(IF(Inputs!$B$39="pvp",15,Inputs!$B$44)-(B3022)&lt;=0,1,MAX(0,IF(Inputs!$B$39="pvp",15,Inputs!$B$44)-MAX(5,B3022))/(IF(Inputs!$B$39="pvp",15,Inputs!$B$44)-(B3022))))*IF(AND(ArtifactsInput!$M$42,((Inputs!$B$9+((C3003=TRUE)*(F3003-Calc!F26))+B3011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983">
        <f>(1-Summary!$B$11)*T2983+Summary!$B$11*V2983</f>
        <v/>
      </c>
      <c r="P2983">
        <f>IF(B3023=0,0,O2983/B3023)</f>
        <v/>
      </c>
      <c r="Q2983">
        <f>IFERROR(1/IF(Inputs!$B$39="pvp",15,MAX(0.1,Skills!D6-IF(TRUE=TRUE,Inputs!$B$32,0))),0)</f>
        <v/>
      </c>
      <c r="R2983">
        <f>IF(AND(Inputs!$B$39&lt;&gt;"pvp",Inputs!$B$44&gt;0),IF(MAX(0,Inputs!$B$44-B3022)&lt;=0,0,(INT(MAX(0,Inputs!$B$44-B3022)/IF(Inputs!$B$39="pvp",15,MAX(0.1,Skills!D6-IF(TRUE=TRUE,Inputs!$B$32,0))))+1)),0)</f>
        <v/>
      </c>
      <c r="S2983">
        <f>IFERROR(O2983/N2983,0)</f>
        <v/>
      </c>
      <c r="T2983">
        <f>IF(C2983,(H2983*N2983*IF(AND(Inputs!$B$39&lt;&gt;"pvp",Inputs!$B$44&gt;0),((Skills!G6*((R2983-1)*IF(Skills!H6&gt;0,Skills!I6/Skills!H6,1)+IF(Skills!H6&gt;0,MIN(Skills!I6,MAX(0,MAX(0,Inputs!$B$44-B3022)-((R2983-1)*IF(Inputs!$B$39="pvp",15,MAX(0.1,Skills!D6-IF(TRUE=TRUE,Inputs!$B$32,0))))))/Skills!H6,1)))/Inputs!$B$44),G2983*Q2983))*IF(Inputs!$B$39="pvp",1,1+(Inputs!$B$20+0+Skills!P6+B3012+(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Hunt"),CHOOSE(ArtifactsInput!$N$35+1,15,18,21,24,27,30)*(1-EXP(-(0.2*B3015)*5)),0)+IF(AND(ArtifactsInput!$M$22,Inputs!$B$4&lt;&gt;"Chapter Hunt"),CHOOSE(ArtifactsInput!$N$22+1,10,12,14,16,18,20)*((0*(((0.15*B3015*5))^0/1)+1*(((0.15*B3015*5))^1/1)+2*(((0.15*B3015*5))^2/2)+3*(((0.15*B3015*5))^3/6)+4*(((0.15*B3015*5))^4/24)+5*(((0.15*B3015*5))^5/120))/((((0.15*B3015*5))^0/1)+(((0.15*B3015*5))^1/1)+(((0.15*B3015*5))^2/2)+(((0.15*B3015*5))^3/6)+(((0.15*B3015*5))^4/24)+(((0.15*B3015*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2983*(1-MIN(100,(Inputs!$B$9+((C3003=TRUE)*(F3003-Calc!F26))+B3011+(ArtifactsInput!$M$24-ArtifactsInput!$M$24)*CHOOSE(ArtifactsInput!$N$24+1,10,12,14,16,18,20)+(IF(AND(Inputs!$B$39&lt;&gt;"pvp",Inputs!$B$44=0),1,IF(IF(Inputs!$B$39="pvp",15,Inputs!$B$44)-(B3022)&lt;=0,1,MAX(0,IF(Inputs!$B$39="pvp",15,Inputs!$B$44)-MAX(5,B3022))/(IF(Inputs!$B$39="pvp",15,Inputs!$B$44)-(B3022))))*IF(AND(ArtifactsInput!$M$42,((Inputs!$B$9+((C3003=TRUE)*(F3003-Calc!F26))+B3011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2983*(MIN(100,(Inputs!$B$9+((C3003=TRUE)*(F3003-Calc!F26))+B3011+(ArtifactsInput!$M$24-ArtifactsInput!$M$24)*CHOOSE(ArtifactsInput!$N$24+1,10,12,14,16,18,20)+(IF(AND(Inputs!$B$39&lt;&gt;"pvp",Inputs!$B$44=0),1,IF(IF(Inputs!$B$39="pvp",15,Inputs!$B$44)-(B3022)&lt;=0,1,MAX(0,IF(Inputs!$B$39="pvp",15,Inputs!$B$44)-MAX(5,B3022))/(IF(Inputs!$B$39="pvp",15,Inputs!$B$44)-(B3022))))*IF(AND(ArtifactsInput!$M$42,((Inputs!$B$9+((C3003=TRUE)*(F3003-Calc!F26))+B3011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2983*(1-MIN(100,(Inputs!$B$9+((C3003=TRUE)*(F3003-Calc!F26))+B3011+(ArtifactsInput!$M$24-ArtifactsInput!$M$24)*CHOOSE(ArtifactsInput!$N$24+1,10,12,14,16,18,20)+(IF(AND(Inputs!$B$39&lt;&gt;"pvp",Inputs!$B$44=0),1,IF(IF(Inputs!$B$39="pvp",15,Inputs!$B$44)-(B3022)&lt;=0,1,MAX(0,IF(Inputs!$B$39="pvp",15,Inputs!$B$44)-MAX(5,B3022))/(IF(Inputs!$B$39="pvp",15,Inputs!$B$44)-(B3022))))*IF(AND(ArtifactsInput!$M$42,((Inputs!$B$9+((C3003=TRUE)*(F3003-Calc!F26))+B3011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2983*(MIN(100,(Inputs!$B$9+((C3003=TRUE)*(F3003-Calc!F26))+B3011+(ArtifactsInput!$M$24-ArtifactsInput!$M$24)*CHOOSE(ArtifactsInput!$N$24+1,10,12,14,16,18,20)+(IF(AND(Inputs!$B$39&lt;&gt;"pvp",Inputs!$B$44=0),1,IF(IF(Inputs!$B$39="pvp",15,Inputs!$B$44)-(B3022)&lt;=0,1,MAX(0,IF(Inputs!$B$39="pvp",15,Inputs!$B$44)-MAX(5,B3022))/(IF(Inputs!$B$39="pvp",15,Inputs!$B$44)-(B3022))))*IF(AND(ArtifactsInput!$M$42,((Inputs!$B$9+((C3003=TRUE)*(F3003-Calc!F26))+B3011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983">
        <f>IF(C2983,(H2983*N2983*IF(AND(Inputs!$B$39&lt;&gt;"pvp",Inputs!$B$44&gt;0),((Skills!G6*((R2983-1)*IF(Skills!H6&gt;0,Skills!I6/Skills!H6,1)+IF(Skills!H6&gt;0,MIN(Skills!I6,MAX(0,MAX(0,Inputs!$B$44-B3022)-((R2983-1)*IF(Inputs!$B$39="pvp",15,MAX(0.1,Skills!D6-IF(TRUE=TRUE,Inputs!$B$32,0))))))/Skills!H6,1)))/Inputs!$B$44),G2983*Q2983))*IF(Inputs!$B$39="pvp",1,(1+(Inputs!$B$21+Skills!Q6+B3012+(IF(ArtifactsInput!$M$33,CHOOSE(ArtifactsInput!$N$33+1,30,36,42,48,54,60),0))+(IF(AND(ArtifactsInput!$M$35,Inputs!$B$4&lt;&gt;"Chapter Hunt"),CHOOSE(ArtifactsInput!$N$35+1,15,18,21,24,27,30)*(1-EXP(-(0.2*B3015)*5)),0)+IF(AND(ArtifactsInput!$M$22,Inputs!$B$4&lt;&gt;"Chapter Hunt"),CHOOSE(ArtifactsInput!$N$22+1,10,12,14,16,18,20)*((0*(((0.15*B3015*5))^0/1)+1*(((0.15*B3015*5))^1/1)+2*(((0.15*B3015*5))^2/2)+3*(((0.15*B3015*5))^3/6)+4*(((0.15*B3015*5))^4/24)+5*(((0.15*B3015*5))^5/120))/((((0.15*B3015*5))^0/1)+(((0.15*B3015*5))^1/1)+(((0.15*B3015*5))^2/2)+(((0.15*B3015*5))^3/6)+(((0.15*B3015*5))^4/24)+(((0.15*B3015*5))^5/120))),0)))/100)*(MIN(Skills!W6,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984">
      <c r="A2984">
        <f>Skills!A7</f>
        <v/>
      </c>
      <c r="B2984">
        <f>Skills!B7</f>
        <v/>
      </c>
      <c r="C2984">
        <f>Inputs!$B$3&gt;=69</f>
        <v/>
      </c>
      <c r="D2984">
        <f>IF(Skills!C7=1,60+Inputs!$B$25+Inputs!$B$29,IF(Skills!C7=2,90+Inputs!$B$26+Inputs!$B$29,IF(Skills!C7=3,120+Inputs!$B$27+Inputs!$B$29,MAX(0,(Inputs!$B$3-100)*3)+Inputs!$B$28+Inputs!$B$29)))</f>
        <v/>
      </c>
      <c r="E2984">
        <f>INDEX(FactorTable!$B$2:$Y$301, MATCH(ROUND(MIN(300,MAX(1,D2984)),0), FactorTable!$A$2:$A$301,0), Skills!M7+1)</f>
        <v/>
      </c>
      <c r="F2984">
        <f>IF(Skills!N7=TRUE,(Skills!L7/10)*(E2984/1000),Skills!L7/10)+Skills!O7</f>
        <v/>
      </c>
      <c r="G2984">
        <f>Skills!G7*IF(Skills!H7&gt;0,IF(Inputs!$B$39="pvp",MIN(Skills!I7,15),Skills!I7)/Skills!H7,1)</f>
        <v/>
      </c>
      <c r="H2984">
        <f>1-(1-Skills!J7/100)^Skills!K7</f>
        <v/>
      </c>
      <c r="I2984" t="inlineStr">
        <is>
          <t>1</t>
        </is>
      </c>
      <c r="J2984">
        <f>((Inputs!$B$6*(1+Inputs!$B$7/100))+(((Inputs!$B$12*(1+Inputs!$B$13/100))-(Inputs!$B$12*(1+Inputs!$B$13/100)))+0.25*(Inputs!$B$14-Inputs!$B$14))*(1+Inputs!$B$7/100))*(F2984/100)</f>
        <v/>
      </c>
      <c r="K2984">
        <f>J2984*(1+((Inputs!$B$12*(1+Inputs!$B$13/100))*0.01+Inputs!$B$14*0.0025)/100)*(1+Inputs!$B$15/100)*(1+Inputs!$B$16/100)*(5000/(6000+Inputs!$B$43*(1-(100*(1-(1-Inputs!$B$19/100)*(1-CHOOSE(ArtifactsInput!$N$40+1,5,6,7,8,9,10)/100)^(ArtifactsInput!$M$40-ArtifactsInput!$M$40)))/100)))*(1+(Inputs!$B$24+((C3008=TRUE)*(F3008-Calc!F31))+((C2995=TRUE)*(F2995-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2996=TRUE,F2996,0)/100)*(1+(IF(Skills!A7="CRUEL_STAB",Inputs!$B$17+((C3005=TRUE)*(F3005-Calc!F28))+((IF(AND(Inputs!$B$39&lt;&gt;"pvp",Inputs!$B$44=0),1,IF(IF(Inputs!$B$39="pvp",15,Inputs!$B$44)-(B3022)&lt;=0,1,MAX(0,IF(Inputs!$B$39="pvp",15,Inputs!$B$44)-MAX(5,B3022))/(IF(Inputs!$B$39="pvp",15,Inputs!$B$44)-(B3022))))*(IF(AND(ArtifactsInput!$M$42,((Inputs!$B$9+((C3003=TRUE)*(F3003-Calc!F26))+B3011+(ArtifactsInput!$M$24-ArtifactsInput!$M$24)*CHOOSE(ArtifactsInput!$N$24+1,10,12,14,16,18,20)+IF(ArtifactsInput!$M$10,CHOOSE(ArtifactsInput!$N$10+1,15,18,21,24,27,30)*(IF(Inputs!$B$39="pvp",MIN(15,15)/15,IF(AND(Inputs!$B$39&lt;&gt;"pvp",Inputs!$B$44&gt;0),MIN(15,Inputs!$B$44)/(Inputs!$B$44),0))),0)))&gt;=100),MIN(100,((Inputs!$B$9+((C3003=TRUE)*(F3003-Calc!F26))+B3011+(ArtifactsInput!$M$24-ArtifactsInput!$M$24)*CHOOSE(ArtifactsInput!$N$24+1,10,12,14,16,18,20)+IF(ArtifactsInput!$M$10,CHOOSE(ArtifactsInput!$N$10+1,15,18,21,24,27,30)*(IF(Inputs!$B$39="pvp",MIN(15,15)/15,IF(AND(Inputs!$B$39&lt;&gt;"pvp",Inputs!$B$44&gt;0),MIN(15,Inputs!$B$44)/(Inputs!$B$44),0))),0)))-100),0))*CHOOSE(ArtifactsInput!$N$42+1,0.6,0.72,0.84,0.96,1.08,1.2))),Inputs!$B$18+((C3006=TRUE)*(F3006-Calc!F29))+(IF(AND(Inputs!$B$39&lt;&gt;"pvp",Inputs!$B$44=0),1,IF(IF(Inputs!$B$39="pvp",15,Inputs!$B$44)-(B3022)&lt;=0,1,MAX(0,IF(Inputs!$B$39="pvp",15,Inputs!$B$44)-MAX(5,B3022))/(IF(Inputs!$B$39="pvp",15,Inputs!$B$44)-(B3022))))*IF(AND(ArtifactsInput!$M$42,((Inputs!$B$9+((C3003=TRUE)*(F3003-Calc!F26))+B3011+(ArtifactsInput!$M$24-ArtifactsInput!$M$24)*CHOOSE(ArtifactsInput!$N$24+1,10,12,14,16,18,20)+IF(ArtifactsInput!$M$10,CHOOSE(ArtifactsInput!$N$10+1,15,18,21,24,27,30)*(IF(Inputs!$B$39="pvp",MIN(15,15)/15,IF(AND(Inputs!$B$39&lt;&gt;"pvp",Inputs!$B$44&gt;0),MIN(15,Inputs!$B$44)/(Inputs!$B$44),0))),0)))&gt;=100),CHOOSE(ArtifactsInput!$N$42+1,40,48,56,64,72,80),0))))/100)*(((1+(((C2999=TRUE)*F2999*IF(AND(Inputs!$B$39&lt;&gt;"pvp",Inputs!$B$44&gt;0),(((R2999-1)*MIN((Skills!Y22*(1+Inputs!$B$34/100)),(1/Q2999))+MIN((Skills!Y22*(1+Inputs!$B$34/100)),MAX(0,Inputs!$B$44-((R2999-1)*(1/Q2999)))))/Inputs!$B$44),IF(Inputs!$B$39="pvp",MIN((Skills!Y22*(1+Inputs!$B$34/100)),15)/15,MIN(1,(Skills!Y22*(1+Inputs!$B$34/100))/(1/Q2999)))))+((C2980=TRUE)*F2980*3)+((C2982=TRUE)*F2982*(1-EXP(-0.75*B3015*5)))+((C3001=TRUE)*(F3001-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IF(ArtifactsInput!$M$37,FALSE,TRUE),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2988=TRUE)*F2988*IF(AND(Inputs!$B$39&lt;&gt;"pvp",Inputs!$B$44&gt;0),(((R2988-1)*MIN((Skills!Y11*(1+Inputs!$B$34/100)),(1/Q2988))+MIN((Skills!Y11*(1+Inputs!$B$34/100)),MAX(0,Inputs!$B$44-((R2988-1)*(1/Q2988)))))/Inputs!$B$44),IF(Inputs!$B$39="pvp",MIN((Skills!Y11*(1+Inputs!$B$34/100)),15)/15,MIN(1,(Skills!Y11*(1+Inputs!$B$34/100))/(1/Q2988)))))/100)*(1+((C2993=TRUE)*F2993*IF(AND(Inputs!$B$39&lt;&gt;"pvp",Inputs!$B$44&gt;0),(((R2993-1)*MIN((Skills!Y16*(1+Inputs!$B$34/100)),(1/Q2993))+MIN((Skills!Y16*(1+Inputs!$B$34/100)),MAX(0,Inputs!$B$44-((R2993-1)*(1/Q2993)))))/Inputs!$B$44),IF(Inputs!$B$39="pvp",MIN((Skills!Y16*(1+Inputs!$B$34/100)),15)/15,MIN(1,(Skills!Y16*(1+Inputs!$B$34/100))/(1/Q2993)))))/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3013*I2984)</f>
        <v/>
      </c>
      <c r="L2984">
        <f>K2984*(MIN(Inputs!$B$22+((C3002=TRUE)*(F3002-Calc!F25)),(Inputs!$B$23+((C3007=TRUE)*(F3007-Calc!F30))+IF(ArtifactsInput!$M$15,CHOOSE(ArtifactsInput!$N$15+1,25,30,35,40,45,50)/100*(Inputs!$B$11-Inputs!$B$11),0)))/100+(Inputs!$B$23+((C3007=TRUE)*(F3007-Calc!F30))+IF(ArtifactsInput!$M$15,CHOOSE(ArtifactsInput!$N$15+1,25,30,35,40,45,50)/100*(Inputs!$B$11-Inputs!$B$11),0))/100)/2</f>
        <v/>
      </c>
      <c r="M2984">
        <f>L2984*(1+(Inputs!$B$10+((C3004=TRUE)*(F3004-Calc!F27))+B3018+(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2984">
        <f>L2984*(1-MIN((Inputs!$B$9+((C3003=TRUE)*(F3003-Calc!F26))+B3011+(ArtifactsInput!$M$24-ArtifactsInput!$M$24)*CHOOSE(ArtifactsInput!$N$24+1,10,12,14,16,18,20)+(IF(AND(Inputs!$B$39&lt;&gt;"pvp",Inputs!$B$44=0),1,IF(IF(Inputs!$B$39="pvp",15,Inputs!$B$44)-(B3022)&lt;=0,1,MAX(0,IF(Inputs!$B$39="pvp",15,Inputs!$B$44)-MAX(5,B3022))/(IF(Inputs!$B$39="pvp",15,Inputs!$B$44)-(B3022))))*IF(AND(ArtifactsInput!$M$42,((Inputs!$B$9+((C3003=TRUE)*(F3003-Calc!F26))+B3011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2984*(MIN((Inputs!$B$9+((C3003=TRUE)*(F3003-Calc!F26))+B3011+(ArtifactsInput!$M$24-ArtifactsInput!$M$24)*CHOOSE(ArtifactsInput!$N$24+1,10,12,14,16,18,20)+(IF(AND(Inputs!$B$39&lt;&gt;"pvp",Inputs!$B$44=0),1,IF(IF(Inputs!$B$39="pvp",15,Inputs!$B$44)-(B3022)&lt;=0,1,MAX(0,IF(Inputs!$B$39="pvp",15,Inputs!$B$44)-MAX(5,B3022))/(IF(Inputs!$B$39="pvp",15,Inputs!$B$44)-(B3022))))*IF(AND(ArtifactsInput!$M$42,((Inputs!$B$9+((C3003=TRUE)*(F3003-Calc!F26))+B3011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984">
        <f>(1-Summary!$B$11)*T2984+Summary!$B$11*V2984</f>
        <v/>
      </c>
      <c r="P2984">
        <f>IF(B3023=0,0,O2984/B3023)</f>
        <v/>
      </c>
      <c r="Q2984">
        <f>IFERROR(1/IF(Inputs!$B$39="pvp",15,MAX(0.1,Skills!D7-IF(TRUE=TRUE,Inputs!$B$32,0))),0)</f>
        <v/>
      </c>
      <c r="R2984">
        <f>IF(AND(Inputs!$B$39&lt;&gt;"pvp",Inputs!$B$44&gt;0),IF(MAX(0,Inputs!$B$44-B3022)&lt;=0,0,(INT(MAX(0,Inputs!$B$44-B3022)/IF(Inputs!$B$39="pvp",15,MAX(0.1,Skills!D7-IF(TRUE=TRUE,Inputs!$B$32,0))))+1)),0)</f>
        <v/>
      </c>
      <c r="S2984">
        <f>IFERROR(O2984/N2984,0)</f>
        <v/>
      </c>
      <c r="T2984">
        <f>IF(C2984,(H2984*N2984*IF(AND(Inputs!$B$39&lt;&gt;"pvp",Inputs!$B$44&gt;0),((Skills!G7*((R2984-1)*IF(Skills!H7&gt;0,Skills!I7/Skills!H7,1)+IF(Skills!H7&gt;0,MIN(Skills!I7,MAX(0,MAX(0,Inputs!$B$44-B3022)-((R2984-1)*IF(Inputs!$B$39="pvp",15,MAX(0.1,Skills!D7-IF(TRUE=TRUE,Inputs!$B$32,0))))))/Skills!H7,1)))/Inputs!$B$44),G2984*Q2984))*IF(Inputs!$B$39="pvp",1,1+(Inputs!$B$20+0+Skills!P7+B3012+(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Hunt"),CHOOSE(ArtifactsInput!$N$35+1,15,18,21,24,27,30)*(1-EXP(-(0.2*B3015)*5)),0)+IF(AND(ArtifactsInput!$M$22,Inputs!$B$4&lt;&gt;"Chapter Hunt"),CHOOSE(ArtifactsInput!$N$22+1,10,12,14,16,18,20)*((0*(((0.15*B3015*5))^0/1)+1*(((0.15*B3015*5))^1/1)+2*(((0.15*B3015*5))^2/2)+3*(((0.15*B3015*5))^3/6)+4*(((0.15*B3015*5))^4/24)+5*(((0.15*B3015*5))^5/120))/((((0.15*B3015*5))^0/1)+(((0.15*B3015*5))^1/1)+(((0.15*B3015*5))^2/2)+(((0.15*B3015*5))^3/6)+(((0.15*B3015*5))^4/24)+(((0.15*B3015*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2984*(1-MIN(100,(Inputs!$B$9+((C3003=TRUE)*(F3003-Calc!F26))+B3011+(ArtifactsInput!$M$24-ArtifactsInput!$M$24)*CHOOSE(ArtifactsInput!$N$24+1,10,12,14,16,18,20)+(IF(AND(Inputs!$B$39&lt;&gt;"pvp",Inputs!$B$44=0),1,IF(IF(Inputs!$B$39="pvp",15,Inputs!$B$44)-(B3022)&lt;=0,1,MAX(0,IF(Inputs!$B$39="pvp",15,Inputs!$B$44)-MAX(5,B3022))/(IF(Inputs!$B$39="pvp",15,Inputs!$B$44)-(B3022))))*IF(AND(ArtifactsInput!$M$42,((Inputs!$B$9+((C3003=TRUE)*(F3003-Calc!F26))+B3011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2984*(MIN(100,(Inputs!$B$9+((C3003=TRUE)*(F3003-Calc!F26))+B3011+(ArtifactsInput!$M$24-ArtifactsInput!$M$24)*CHOOSE(ArtifactsInput!$N$24+1,10,12,14,16,18,20)+(IF(AND(Inputs!$B$39&lt;&gt;"pvp",Inputs!$B$44=0),1,IF(IF(Inputs!$B$39="pvp",15,Inputs!$B$44)-(B3022)&lt;=0,1,MAX(0,IF(Inputs!$B$39="pvp",15,Inputs!$B$44)-MAX(5,B3022))/(IF(Inputs!$B$39="pvp",15,Inputs!$B$44)-(B3022))))*IF(AND(ArtifactsInput!$M$42,((Inputs!$B$9+((C3003=TRUE)*(F3003-Calc!F26))+B3011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2984*(1-MIN(100,(Inputs!$B$9+((C3003=TRUE)*(F3003-Calc!F26))+B3011+(ArtifactsInput!$M$24-ArtifactsInput!$M$24)*CHOOSE(ArtifactsInput!$N$24+1,10,12,14,16,18,20)+(IF(AND(Inputs!$B$39&lt;&gt;"pvp",Inputs!$B$44=0),1,IF(IF(Inputs!$B$39="pvp",15,Inputs!$B$44)-(B3022)&lt;=0,1,MAX(0,IF(Inputs!$B$39="pvp",15,Inputs!$B$44)-MAX(5,B3022))/(IF(Inputs!$B$39="pvp",15,Inputs!$B$44)-(B3022))))*IF(AND(ArtifactsInput!$M$42,((Inputs!$B$9+((C3003=TRUE)*(F3003-Calc!F26))+B3011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2984*(MIN(100,(Inputs!$B$9+((C3003=TRUE)*(F3003-Calc!F26))+B3011+(ArtifactsInput!$M$24-ArtifactsInput!$M$24)*CHOOSE(ArtifactsInput!$N$24+1,10,12,14,16,18,20)+(IF(AND(Inputs!$B$39&lt;&gt;"pvp",Inputs!$B$44=0),1,IF(IF(Inputs!$B$39="pvp",15,Inputs!$B$44)-(B3022)&lt;=0,1,MAX(0,IF(Inputs!$B$39="pvp",15,Inputs!$B$44)-MAX(5,B3022))/(IF(Inputs!$B$39="pvp",15,Inputs!$B$44)-(B3022))))*IF(AND(ArtifactsInput!$M$42,((Inputs!$B$9+((C3003=TRUE)*(F3003-Calc!F26))+B3011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984">
        <f>IF(C2984,(H2984*N2984*IF(AND(Inputs!$B$39&lt;&gt;"pvp",Inputs!$B$44&gt;0),((Skills!G7*((R2984-1)*IF(Skills!H7&gt;0,Skills!I7/Skills!H7,1)+IF(Skills!H7&gt;0,MIN(Skills!I7,MAX(0,MAX(0,Inputs!$B$44-B3022)-((R2984-1)*IF(Inputs!$B$39="pvp",15,MAX(0.1,Skills!D7-IF(TRUE=TRUE,Inputs!$B$32,0))))))/Skills!H7,1)))/Inputs!$B$44),G2984*Q2984))*IF(Inputs!$B$39="pvp",1,(1+(Inputs!$B$21+Skills!Q7+B3012+(IF(ArtifactsInput!$M$33,CHOOSE(ArtifactsInput!$N$33+1,30,36,42,48,54,60),0))+(IF(AND(ArtifactsInput!$M$35,Inputs!$B$4&lt;&gt;"Chapter Hunt"),CHOOSE(ArtifactsInput!$N$35+1,15,18,21,24,27,30)*(1-EXP(-(0.2*B3015)*5)),0)+IF(AND(ArtifactsInput!$M$22,Inputs!$B$4&lt;&gt;"Chapter Hunt"),CHOOSE(ArtifactsInput!$N$22+1,10,12,14,16,18,20)*((0*(((0.15*B3015*5))^0/1)+1*(((0.15*B3015*5))^1/1)+2*(((0.15*B3015*5))^2/2)+3*(((0.15*B3015*5))^3/6)+4*(((0.15*B3015*5))^4/24)+5*(((0.15*B3015*5))^5/120))/((((0.15*B3015*5))^0/1)+(((0.15*B3015*5))^1/1)+(((0.15*B3015*5))^2/2)+(((0.15*B3015*5))^3/6)+(((0.15*B3015*5))^4/24)+(((0.15*B3015*5))^5/120))),0)))/100)*(MIN(Skills!W7,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985">
      <c r="A2985">
        <f>Skills!A8</f>
        <v/>
      </c>
      <c r="B2985">
        <f>Skills!B8</f>
        <v/>
      </c>
      <c r="C2985">
        <f>Inputs!$B$3&gt;=60</f>
        <v/>
      </c>
      <c r="D2985">
        <f>IF(Skills!C8=1,60+Inputs!$B$25+Inputs!$B$29,IF(Skills!C8=2,90+Inputs!$B$26+Inputs!$B$29,IF(Skills!C8=3,120+Inputs!$B$27+Inputs!$B$29,MAX(0,(Inputs!$B$3-100)*3)+Inputs!$B$28+Inputs!$B$29)))</f>
        <v/>
      </c>
      <c r="E2985">
        <f>INDEX(FactorTable!$B$2:$Y$301, MATCH(ROUND(MIN(300,MAX(1,D2985)),0), FactorTable!$A$2:$A$301,0), Skills!M8+1)</f>
        <v/>
      </c>
      <c r="F2985">
        <f>IF(Skills!N8=TRUE,(Skills!L8/10)*(E2985/1000),Skills!L8/10)+Skills!O8</f>
        <v/>
      </c>
      <c r="G2985">
        <f>Skills!G8*IF(Skills!H8&gt;0,IF(Inputs!$B$39="pvp",MIN(Skills!I8,15),Skills!I8)/Skills!H8,1)</f>
        <v/>
      </c>
      <c r="H2985">
        <f>1-(1-Skills!J8/100)^Skills!K8</f>
        <v/>
      </c>
      <c r="I2985" t="inlineStr">
        <is>
          <t>1</t>
        </is>
      </c>
      <c r="J2985" t="inlineStr"/>
      <c r="K2985" t="inlineStr"/>
      <c r="L2985" t="inlineStr"/>
      <c r="M2985" t="inlineStr"/>
      <c r="N2985" t="inlineStr"/>
      <c r="O2985">
        <f>(1-Summary!$B$11)*T2985+Summary!$B$11*V2985</f>
        <v/>
      </c>
      <c r="P2985">
        <f>IF(B3023=0,0,O2985/B3023)</f>
        <v/>
      </c>
      <c r="Q2985" t="n">
        <v>0</v>
      </c>
      <c r="R2985" t="n">
        <v>0</v>
      </c>
      <c r="S2985">
        <f>IFERROR(O2985/N2985,0)</f>
        <v/>
      </c>
      <c r="T2985" t="n">
        <v>0</v>
      </c>
      <c r="V2985" t="n">
        <v>0</v>
      </c>
    </row>
    <row r="2986">
      <c r="A2986">
        <f>Skills!A9</f>
        <v/>
      </c>
      <c r="B2986">
        <f>Skills!B9</f>
        <v/>
      </c>
      <c r="C2986">
        <f>Inputs!$B$3&gt;=72</f>
        <v/>
      </c>
      <c r="D2986">
        <f>IF(Skills!C9=1,60+Inputs!$B$25+Inputs!$B$29,IF(Skills!C9=2,90+Inputs!$B$26+Inputs!$B$29,IF(Skills!C9=3,120+Inputs!$B$27+Inputs!$B$29,MAX(0,(Inputs!$B$3-100)*3)+Inputs!$B$28+Inputs!$B$29)))</f>
        <v/>
      </c>
      <c r="E2986">
        <f>INDEX(FactorTable!$B$2:$Y$301, MATCH(ROUND(MIN(300,MAX(1,D2986)),0), FactorTable!$A$2:$A$301,0), Skills!M9+1)</f>
        <v/>
      </c>
      <c r="F2986">
        <f>IF(Skills!N9=TRUE,(Skills!L9/10)*(E2986/1000),Skills!L9/10)+Skills!O9</f>
        <v/>
      </c>
      <c r="G2986">
        <f>Skills!G9*IF(Skills!H9&gt;0,IF(Inputs!$B$39="pvp",MIN(Skills!I9,15),Skills!I9)/Skills!H9,1)</f>
        <v/>
      </c>
      <c r="H2986">
        <f>1-(1-Skills!J9/100)^Skills!K9</f>
        <v/>
      </c>
      <c r="I2986" t="inlineStr">
        <is>
          <t>1</t>
        </is>
      </c>
      <c r="J2986">
        <f>((Inputs!$B$6*(1+Inputs!$B$7/100))+(((Inputs!$B$12*(1+Inputs!$B$13/100))-(Inputs!$B$12*(1+Inputs!$B$13/100)))+0.25*(Inputs!$B$14-Inputs!$B$14))*(1+Inputs!$B$7/100))*(F2986/100)</f>
        <v/>
      </c>
      <c r="K2986">
        <f>J2986*(1+((Inputs!$B$12*(1+Inputs!$B$13/100))*0.01+Inputs!$B$14*0.0025)/100)*(1+Inputs!$B$15/100)*(1+Inputs!$B$16/100)*(5000/(6000+Inputs!$B$43*(1-(100*(1-(1-Inputs!$B$19/100)*(1-CHOOSE(ArtifactsInput!$N$40+1,5,6,7,8,9,10)/100)^(ArtifactsInput!$M$40-ArtifactsInput!$M$40)))/100)))*(1+(Inputs!$B$24+((C3008=TRUE)*(F3008-Calc!F31))+((C2995=TRUE)*(F2995-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+3.3333333333333335*IF(C2996=TRUE,F2996,0)/100)*(1+(IF(Skills!A9="CRUEL_STAB",Inputs!$B$17+((C3005=TRUE)*(F3005-Calc!F28))+((IF(AND(Inputs!$B$39&lt;&gt;"pvp",Inputs!$B$44=0),1,IF(IF(Inputs!$B$39="pvp",15,Inputs!$B$44)-(B3022)&lt;=0,1,MAX(0,IF(Inputs!$B$39="pvp",15,Inputs!$B$44)-MAX(5,B3022))/(IF(Inputs!$B$39="pvp",15,Inputs!$B$44)-(B3022))))*(IF(AND(ArtifactsInput!$M$42,((Inputs!$B$9+((C3003=TRUE)*(F3003-Calc!F26))+B3011+(ArtifactsInput!$M$24-ArtifactsInput!$M$24)*CHOOSE(ArtifactsInput!$N$24+1,10,12,14,16,18,20)+IF(ArtifactsInput!$M$10,CHOOSE(ArtifactsInput!$N$10+1,15,18,21,24,27,30)*(IF(Inputs!$B$39="pvp",MIN(15,15)/15,IF(AND(Inputs!$B$39&lt;&gt;"pvp",Inputs!$B$44&gt;0),MIN(15,Inputs!$B$44)/(Inputs!$B$44),0))),0)))&gt;=100),MIN(100,((Inputs!$B$9+((C3003=TRUE)*(F3003-Calc!F26))+B3011+(ArtifactsInput!$M$24-ArtifactsInput!$M$24)*CHOOSE(ArtifactsInput!$N$24+1,10,12,14,16,18,20)+IF(ArtifactsInput!$M$10,CHOOSE(ArtifactsInput!$N$10+1,15,18,21,24,27,30)*(IF(Inputs!$B$39="pvp",MIN(15,15)/15,IF(AND(Inputs!$B$39&lt;&gt;"pvp",Inputs!$B$44&gt;0),MIN(15,Inputs!$B$44)/(Inputs!$B$44),0))),0)))-100),0))*CHOOSE(ArtifactsInput!$N$42+1,0.6,0.72,0.84,0.96,1.08,1.2))),Inputs!$B$18+((C3006=TRUE)*(F3006-Calc!F29))+(IF(AND(Inputs!$B$39&lt;&gt;"pvp",Inputs!$B$44=0),1,IF(IF(Inputs!$B$39="pvp",15,Inputs!$B$44)-(B3022)&lt;=0,1,MAX(0,IF(Inputs!$B$39="pvp",15,Inputs!$B$44)-MAX(5,B3022))/(IF(Inputs!$B$39="pvp",15,Inputs!$B$44)-(B3022))))*IF(AND(ArtifactsInput!$M$42,((Inputs!$B$9+((C3003=TRUE)*(F3003-Calc!F26))+B3011+(ArtifactsInput!$M$24-ArtifactsInput!$M$24)*CHOOSE(ArtifactsInput!$N$24+1,10,12,14,16,18,20)+IF(ArtifactsInput!$M$10,CHOOSE(ArtifactsInput!$N$10+1,15,18,21,24,27,30)*(IF(Inputs!$B$39="pvp",MIN(15,15)/15,IF(AND(Inputs!$B$39&lt;&gt;"pvp",Inputs!$B$44&gt;0),MIN(15,Inputs!$B$44)/(Inputs!$B$44),0))),0)))&gt;=100),CHOOSE(ArtifactsInput!$N$42+1,40,48,56,64,72,80),0))))/100)*(((1+(((C2999=TRUE)*F2999*IF(AND(Inputs!$B$39&lt;&gt;"pvp",Inputs!$B$44&gt;0),(((R2999-1)*MIN((Skills!Y22*(1+Inputs!$B$34/100)),(1/Q2999))+MIN((Skills!Y22*(1+Inputs!$B$34/100)),MAX(0,Inputs!$B$44-((R2999-1)*(1/Q2999)))))/Inputs!$B$44),IF(Inputs!$B$39="pvp",MIN((Skills!Y22*(1+Inputs!$B$34/100)),15)/15,MIN(1,(Skills!Y22*(1+Inputs!$B$34/100))/(1/Q2999)))))+((C2980=TRUE)*F2980*3)+((C2982=TRUE)*F2982*(1-EXP(-0.75*B3015*5)))+((C3001=TRUE)*(F3001-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IF(ArtifactsInput!$M$37,FALSE,TRUE),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2988=TRUE)*F2988*IF(AND(Inputs!$B$39&lt;&gt;"pvp",Inputs!$B$44&gt;0),(((R2988-1)*MIN((Skills!Y11*(1+Inputs!$B$34/100)),(1/Q2988))+MIN((Skills!Y11*(1+Inputs!$B$34/100)),MAX(0,Inputs!$B$44-((R2988-1)*(1/Q2988)))))/Inputs!$B$44),IF(Inputs!$B$39="pvp",MIN((Skills!Y11*(1+Inputs!$B$34/100)),15)/15,MIN(1,(Skills!Y11*(1+Inputs!$B$34/100))/(1/Q2988)))))/100)*(1+((C2993=TRUE)*F2993*IF(AND(Inputs!$B$39&lt;&gt;"pvp",Inputs!$B$44&gt;0),(((R2993-1)*MIN((Skills!Y16*(1+Inputs!$B$34/100)),(1/Q2993))+MIN((Skills!Y16*(1+Inputs!$B$34/100)),MAX(0,Inputs!$B$44-((R2993-1)*(1/Q2993)))))/Inputs!$B$44),IF(Inputs!$B$39="pvp",MIN((Skills!Y16*(1+Inputs!$B$34/100)),15)/15,MIN(1,(Skills!Y16*(1+Inputs!$B$34/100))/(1/Q2993)))))/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3013*I2986)</f>
        <v/>
      </c>
      <c r="L2986">
        <f>K2986*(MIN(Inputs!$B$22+((C3002=TRUE)*(F3002-Calc!F25)),(Inputs!$B$23+((C3007=TRUE)*(F3007-Calc!F30))+IF(ArtifactsInput!$M$15,CHOOSE(ArtifactsInput!$N$15+1,25,30,35,40,45,50)/100*(Inputs!$B$11-Inputs!$B$11),0)))/100+(Inputs!$B$23+((C3007=TRUE)*(F3007-Calc!F30))+IF(ArtifactsInput!$M$15,CHOOSE(ArtifactsInput!$N$15+1,25,30,35,40,45,50)/100*(Inputs!$B$11-Inputs!$B$11),0))/100)/2</f>
        <v/>
      </c>
      <c r="M2986">
        <f>L2986*(1+(Inputs!$B$10+((C3004=TRUE)*(F3004-Calc!F27))+B3018+(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2986">
        <f>L2986*(1-MIN((Inputs!$B$9+((C3003=TRUE)*(F3003-Calc!F26))+B3011+(ArtifactsInput!$M$24-ArtifactsInput!$M$24)*CHOOSE(ArtifactsInput!$N$24+1,10,12,14,16,18,20)+(IF(AND(Inputs!$B$39&lt;&gt;"pvp",Inputs!$B$44=0),1,IF(IF(Inputs!$B$39="pvp",15,Inputs!$B$44)-(B3022)&lt;=0,1,MAX(0,IF(Inputs!$B$39="pvp",15,Inputs!$B$44)-MAX(5,B3022))/(IF(Inputs!$B$39="pvp",15,Inputs!$B$44)-(B3022))))*IF(AND(ArtifactsInput!$M$42,((Inputs!$B$9+((C3003=TRUE)*(F3003-Calc!F26))+B3011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2986*(MIN((Inputs!$B$9+((C3003=TRUE)*(F3003-Calc!F26))+B3011+(ArtifactsInput!$M$24-ArtifactsInput!$M$24)*CHOOSE(ArtifactsInput!$N$24+1,10,12,14,16,18,20)+(IF(AND(Inputs!$B$39&lt;&gt;"pvp",Inputs!$B$44=0),1,IF(IF(Inputs!$B$39="pvp",15,Inputs!$B$44)-(B3022)&lt;=0,1,MAX(0,IF(Inputs!$B$39="pvp",15,Inputs!$B$44)-MAX(5,B3022))/(IF(Inputs!$B$39="pvp",15,Inputs!$B$44)-(B3022))))*IF(AND(ArtifactsInput!$M$42,((Inputs!$B$9+((C3003=TRUE)*(F3003-Calc!F26))+B3011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986">
        <f>(1-Summary!$B$11)*T2986+Summary!$B$11*V2986</f>
        <v/>
      </c>
      <c r="P2986">
        <f>IF(B3023=0,0,O2986/B3023)</f>
        <v/>
      </c>
      <c r="Q2986">
        <f>IFERROR(1/IF(Inputs!$B$39="pvp",15,MAX(0.1,Skills!D9-IF(FALSE=TRUE,Inputs!$B$32,0))),0)</f>
        <v/>
      </c>
      <c r="R2986">
        <f>IF(AND(Inputs!$B$39&lt;&gt;"pvp",Inputs!$B$44&gt;0),IF(MAX(0,Inputs!$B$44-B3022)&lt;=0,0,(INT(MAX(0,Inputs!$B$44-B3022)/IF(Inputs!$B$39="pvp",15,MAX(0.1,Skills!D9-IF(FALSE=TRUE,Inputs!$B$32,0))))+1)),0)</f>
        <v/>
      </c>
      <c r="S2986">
        <f>IFERROR(O2986/N2986,0)</f>
        <v/>
      </c>
      <c r="T2986">
        <f>IF(C2986,(H2986*N2986*IF(AND(Inputs!$B$39&lt;&gt;"pvp",Inputs!$B$44&gt;0),((Skills!G9*((R2986-1)*IF(Skills!H9&gt;0,Skills!I9/Skills!H9,1)+IF(Skills!H9&gt;0,MIN(Skills!I9,MAX(0,MAX(0,Inputs!$B$44-B3022)-((R2986-1)*IF(Inputs!$B$39="pvp",15,MAX(0.1,Skills!D9-IF(FALSE=TRUE,Inputs!$B$32,0))))))/Skills!H9,1)))/Inputs!$B$44),G2986*Q2986))*IF(Inputs!$B$39="pvp",1,1+(Inputs!$B$20+0+Skills!P9+B3012+(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Hunt"),CHOOSE(ArtifactsInput!$N$35+1,15,18,21,24,27,30)*(1-EXP(-(0.2*B3015)*5)),0)+IF(AND(ArtifactsInput!$M$22,Inputs!$B$4&lt;&gt;"Chapter Hunt"),CHOOSE(ArtifactsInput!$N$22+1,10,12,14,16,18,20)*((0*(((0.15*B3015*5))^0/1)+1*(((0.15*B3015*5))^1/1)+2*(((0.15*B3015*5))^2/2)+3*(((0.15*B3015*5))^3/6)+4*(((0.15*B3015*5))^4/24)+5*(((0.15*B3015*5))^5/120))/((((0.15*B3015*5))^0/1)+(((0.15*B3015*5))^1/1)+(((0.15*B3015*5))^2/2)+(((0.15*B3015*5))^3/6)+(((0.15*B3015*5))^4/24)+(((0.15*B3015*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2986*(1-MIN(100,(Inputs!$B$9+((C3003=TRUE)*(F3003-Calc!F26))+B3011+(ArtifactsInput!$M$24-ArtifactsInput!$M$24)*CHOOSE(ArtifactsInput!$N$24+1,10,12,14,16,18,20)+(IF(AND(Inputs!$B$39&lt;&gt;"pvp",Inputs!$B$44=0),1,IF(IF(Inputs!$B$39="pvp",15,Inputs!$B$44)-(B3022)&lt;=0,1,MAX(0,IF(Inputs!$B$39="pvp",15,Inputs!$B$44)-MAX(5,B3022))/(IF(Inputs!$B$39="pvp",15,Inputs!$B$44)-(B3022))))*IF(AND(ArtifactsInput!$M$42,((Inputs!$B$9+((C3003=TRUE)*(F3003-Calc!F26))+B3011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2986*(MIN(100,(Inputs!$B$9+((C3003=TRUE)*(F3003-Calc!F26))+B3011+(ArtifactsInput!$M$24-ArtifactsInput!$M$24)*CHOOSE(ArtifactsInput!$N$24+1,10,12,14,16,18,20)+(IF(AND(Inputs!$B$39&lt;&gt;"pvp",Inputs!$B$44=0),1,IF(IF(Inputs!$B$39="pvp",15,Inputs!$B$44)-(B3022)&lt;=0,1,MAX(0,IF(Inputs!$B$39="pvp",15,Inputs!$B$44)-MAX(5,B3022))/(IF(Inputs!$B$39="pvp",15,Inputs!$B$44)-(B3022))))*IF(AND(ArtifactsInput!$M$42,((Inputs!$B$9+((C3003=TRUE)*(F3003-Calc!F26))+B3011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2986*(1-MIN(100,(Inputs!$B$9+((C3003=TRUE)*(F3003-Calc!F26))+B3011+(ArtifactsInput!$M$24-ArtifactsInput!$M$24)*CHOOSE(ArtifactsInput!$N$24+1,10,12,14,16,18,20)+(IF(AND(Inputs!$B$39&lt;&gt;"pvp",Inputs!$B$44=0),1,IF(IF(Inputs!$B$39="pvp",15,Inputs!$B$44)-(B3022)&lt;=0,1,MAX(0,IF(Inputs!$B$39="pvp",15,Inputs!$B$44)-MAX(5,B3022))/(IF(Inputs!$B$39="pvp",15,Inputs!$B$44)-(B3022))))*IF(AND(ArtifactsInput!$M$42,((Inputs!$B$9+((C3003=TRUE)*(F3003-Calc!F26))+B3011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2986*(MIN(100,(Inputs!$B$9+((C3003=TRUE)*(F3003-Calc!F26))+B3011+(ArtifactsInput!$M$24-ArtifactsInput!$M$24)*CHOOSE(ArtifactsInput!$N$24+1,10,12,14,16,18,20)+(IF(AND(Inputs!$B$39&lt;&gt;"pvp",Inputs!$B$44=0),1,IF(IF(Inputs!$B$39="pvp",15,Inputs!$B$44)-(B3022)&lt;=0,1,MAX(0,IF(Inputs!$B$39="pvp",15,Inputs!$B$44)-MAX(5,B3022))/(IF(Inputs!$B$39="pvp",15,Inputs!$B$44)-(B3022))))*IF(AND(ArtifactsInput!$M$42,((Inputs!$B$9+((C3003=TRUE)*(F3003-Calc!F26))+B3011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986">
        <f>IF(C2986,(H2986*N2986*IF(AND(Inputs!$B$39&lt;&gt;"pvp",Inputs!$B$44&gt;0),((Skills!G9*((R2986-1)*IF(Skills!H9&gt;0,Skills!I9/Skills!H9,1)+IF(Skills!H9&gt;0,MIN(Skills!I9,MAX(0,MAX(0,Inputs!$B$44-B3022)-((R2986-1)*IF(Inputs!$B$39="pvp",15,MAX(0.1,Skills!D9-IF(FALSE=TRUE,Inputs!$B$32,0))))))/Skills!H9,1)))/Inputs!$B$44),G2986*Q2986))*IF(Inputs!$B$39="pvp",1,(1+(Inputs!$B$21+Skills!Q9+B3012+(IF(ArtifactsInput!$M$33,CHOOSE(ArtifactsInput!$N$33+1,30,36,42,48,54,60),0))+(IF(AND(ArtifactsInput!$M$35,Inputs!$B$4&lt;&gt;"Chapter Hunt"),CHOOSE(ArtifactsInput!$N$35+1,15,18,21,24,27,30)*(1-EXP(-(0.2*B3015)*5)),0)+IF(AND(ArtifactsInput!$M$22,Inputs!$B$4&lt;&gt;"Chapter Hunt"),CHOOSE(ArtifactsInput!$N$22+1,10,12,14,16,18,20)*((0*(((0.15*B3015*5))^0/1)+1*(((0.15*B3015*5))^1/1)+2*(((0.15*B3015*5))^2/2)+3*(((0.15*B3015*5))^3/6)+4*(((0.15*B3015*5))^4/24)+5*(((0.15*B3015*5))^5/120))/((((0.15*B3015*5))^0/1)+(((0.15*B3015*5))^1/1)+(((0.15*B3015*5))^2/2)+(((0.15*B3015*5))^3/6)+(((0.15*B3015*5))^4/24)+(((0.15*B3015*5))^5/120))),0)))/100)*(MIN(Skills!W9,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987">
      <c r="A2987">
        <f>Skills!A10</f>
        <v/>
      </c>
      <c r="B2987">
        <f>Skills!B10</f>
        <v/>
      </c>
      <c r="C2987">
        <f>Inputs!$B$3&gt;=117</f>
        <v/>
      </c>
      <c r="D2987">
        <f>IF(Skills!C10=1,60+Inputs!$B$25+Inputs!$B$29,IF(Skills!C10=2,90+Inputs!$B$26+Inputs!$B$29,IF(Skills!C10=3,120+Inputs!$B$27+Inputs!$B$29,MAX(0,(Inputs!$B$3-100)*3)+Inputs!$B$28+Inputs!$B$29)))</f>
        <v/>
      </c>
      <c r="E2987">
        <f>INDEX(FactorTable!$B$2:$Y$301, MATCH(ROUND(MIN(300,MAX(1,D2987)),0), FactorTable!$A$2:$A$301,0), Skills!M10+1)</f>
        <v/>
      </c>
      <c r="F2987">
        <f>IF(Skills!N10=TRUE,(Skills!L10/10)*(E2987/1000),Skills!L10/10)+Skills!O10</f>
        <v/>
      </c>
      <c r="G2987">
        <f>Skills!G10*IF(Skills!H10&gt;0,IF(Inputs!$B$39="pvp",MIN(Skills!I10,15),Skills!I10)/Skills!H10,1)</f>
        <v/>
      </c>
      <c r="H2987">
        <f>1-(1-Skills!J10/100)^Skills!K10</f>
        <v/>
      </c>
      <c r="I2987" t="inlineStr">
        <is>
          <t>1</t>
        </is>
      </c>
      <c r="J2987">
        <f>((Inputs!$B$6*(1+Inputs!$B$7/100))+(((Inputs!$B$12*(1+Inputs!$B$13/100))-(Inputs!$B$12*(1+Inputs!$B$13/100)))+0.25*(Inputs!$B$14-Inputs!$B$14))*(1+Inputs!$B$7/100))*(F2987/100)</f>
        <v/>
      </c>
      <c r="K2987">
        <f>J2987*(1+((Inputs!$B$12*(1+Inputs!$B$13/100))*0.01+Inputs!$B$14*0.0025)/100)*(1+Inputs!$B$15/100)*(1+Inputs!$B$16/100)*(5000/(6000+Inputs!$B$43*(1-(100*(1-(1-Inputs!$B$19/100)*(1-CHOOSE(ArtifactsInput!$N$40+1,5,6,7,8,9,10)/100)^(ArtifactsInput!$M$40-ArtifactsInput!$M$40)))/100)))*(1+(Inputs!$B$24+((C3008=TRUE)*(F3008-Calc!F31))+((C2995=TRUE)*(F2995-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10="CRUEL_STAB",Inputs!$B$17+((C3005=TRUE)*(F3005-Calc!F28))+((IF(AND(Inputs!$B$39&lt;&gt;"pvp",Inputs!$B$44=0),1,IF(IF(Inputs!$B$39="pvp",15,Inputs!$B$44)-(B3022)&lt;=0,1,MAX(0,IF(Inputs!$B$39="pvp",15,Inputs!$B$44)-MAX(5,B3022))/(IF(Inputs!$B$39="pvp",15,Inputs!$B$44)-(B3022))))*(IF(AND(ArtifactsInput!$M$42,((Inputs!$B$9+((C3003=TRUE)*(F3003-Calc!F26))+B3011+(ArtifactsInput!$M$24-ArtifactsInput!$M$24)*CHOOSE(ArtifactsInput!$N$24+1,10,12,14,16,18,20)+IF(ArtifactsInput!$M$10,CHOOSE(ArtifactsInput!$N$10+1,15,18,21,24,27,30)*(IF(Inputs!$B$39="pvp",MIN(15,15)/15,IF(AND(Inputs!$B$39&lt;&gt;"pvp",Inputs!$B$44&gt;0),MIN(15,Inputs!$B$44)/(Inputs!$B$44),0))),0)))&gt;=100),MIN(100,((Inputs!$B$9+((C3003=TRUE)*(F3003-Calc!F26))+B3011+(ArtifactsInput!$M$24-ArtifactsInput!$M$24)*CHOOSE(ArtifactsInput!$N$24+1,10,12,14,16,18,20)+IF(ArtifactsInput!$M$10,CHOOSE(ArtifactsInput!$N$10+1,15,18,21,24,27,30)*(IF(Inputs!$B$39="pvp",MIN(15,15)/15,IF(AND(Inputs!$B$39&lt;&gt;"pvp",Inputs!$B$44&gt;0),MIN(15,Inputs!$B$44)/(Inputs!$B$44),0))),0)))-100),0))*CHOOSE(ArtifactsInput!$N$42+1,0.6,0.72,0.84,0.96,1.08,1.2))),Inputs!$B$18+((C3006=TRUE)*(F3006-Calc!F29))+(IF(AND(Inputs!$B$39&lt;&gt;"pvp",Inputs!$B$44=0),1,IF(IF(Inputs!$B$39="pvp",15,Inputs!$B$44)-(B3022)&lt;=0,1,MAX(0,IF(Inputs!$B$39="pvp",15,Inputs!$B$44)-MAX(5,B3022))/(IF(Inputs!$B$39="pvp",15,Inputs!$B$44)-(B3022))))*IF(AND(ArtifactsInput!$M$42,((Inputs!$B$9+((C3003=TRUE)*(F3003-Calc!F26))+B3011+(ArtifactsInput!$M$24-ArtifactsInput!$M$24)*CHOOSE(ArtifactsInput!$N$24+1,10,12,14,16,18,20)+IF(ArtifactsInput!$M$10,CHOOSE(ArtifactsInput!$N$10+1,15,18,21,24,27,30)*(IF(Inputs!$B$39="pvp",MIN(15,15)/15,IF(AND(Inputs!$B$39&lt;&gt;"pvp",Inputs!$B$44&gt;0),MIN(15,Inputs!$B$44)/(Inputs!$B$44),0))),0)))&gt;=100),CHOOSE(ArtifactsInput!$N$42+1,40,48,56,64,72,80),0))))/100)*(((1+(((C2999=TRUE)*F2999*IF(AND(Inputs!$B$39&lt;&gt;"pvp",Inputs!$B$44&gt;0),(((R2999-1)*MIN((Skills!Y22*(1+Inputs!$B$34/100)),(1/Q2999))+MIN((Skills!Y22*(1+Inputs!$B$34/100)),MAX(0,Inputs!$B$44-((R2999-1)*(1/Q2999)))))/Inputs!$B$44),IF(Inputs!$B$39="pvp",MIN((Skills!Y22*(1+Inputs!$B$34/100)),15)/15,MIN(1,(Skills!Y22*(1+Inputs!$B$34/100))/(1/Q2999)))))+((C2980=TRUE)*F2980*3)+((C2982=TRUE)*F2982*(1-EXP(-0.75*B3015*5)))+((C3001=TRUE)*(F3001-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IF(ArtifactsInput!$M$37,FALSE,TRUE),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2988=TRUE)*F2988*IF(AND(Inputs!$B$39&lt;&gt;"pvp",Inputs!$B$44&gt;0),(((R2988-1)*MIN((Skills!Y11*(1+Inputs!$B$34/100)),(1/Q2988))+MIN((Skills!Y11*(1+Inputs!$B$34/100)),MAX(0,Inputs!$B$44-((R2988-1)*(1/Q2988)))))/Inputs!$B$44),IF(Inputs!$B$39="pvp",MIN((Skills!Y11*(1+Inputs!$B$34/100)),15)/15,MIN(1,(Skills!Y11*(1+Inputs!$B$34/100))/(1/Q2988)))))/100)*(1+((C2993=TRUE)*F2993*IF(AND(Inputs!$B$39&lt;&gt;"pvp",Inputs!$B$44&gt;0),(((R2993-1)*MIN((Skills!Y16*(1+Inputs!$B$34/100)),(1/Q2993))+MIN((Skills!Y16*(1+Inputs!$B$34/100)),MAX(0,Inputs!$B$44-((R2993-1)*(1/Q2993)))))/Inputs!$B$44),IF(Inputs!$B$39="pvp",MIN((Skills!Y16*(1+Inputs!$B$34/100)),15)/15,MIN(1,(Skills!Y16*(1+Inputs!$B$34/100))/(1/Q2993)))))/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3013*I2987)</f>
        <v/>
      </c>
      <c r="L2987">
        <f>K2987*(MIN(Inputs!$B$22+((C3002=TRUE)*(F3002-Calc!F25)),(Inputs!$B$23+((C3007=TRUE)*(F3007-Calc!F30))+IF(ArtifactsInput!$M$15,CHOOSE(ArtifactsInput!$N$15+1,25,30,35,40,45,50)/100*(Inputs!$B$11-Inputs!$B$11),0)))/100+(Inputs!$B$23+((C3007=TRUE)*(F3007-Calc!F30))+IF(ArtifactsInput!$M$15,CHOOSE(ArtifactsInput!$N$15+1,25,30,35,40,45,50)/100*(Inputs!$B$11-Inputs!$B$11),0))/100)/2</f>
        <v/>
      </c>
      <c r="M2987">
        <f>L2987*(1+(Inputs!$B$10+((C3004=TRUE)*(F3004-Calc!F27))+B3018+(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2987">
        <f>L2987*(1-MIN((Inputs!$B$9+((C3003=TRUE)*(F3003-Calc!F26))+B3011+(ArtifactsInput!$M$24-ArtifactsInput!$M$24)*CHOOSE(ArtifactsInput!$N$24+1,10,12,14,16,18,20)+(IF(AND(Inputs!$B$39&lt;&gt;"pvp",Inputs!$B$44=0),1,IF(IF(Inputs!$B$39="pvp",15,Inputs!$B$44)-(B3022)&lt;=0,1,MAX(0,IF(Inputs!$B$39="pvp",15,Inputs!$B$44)-MAX(5,B3022))/(IF(Inputs!$B$39="pvp",15,Inputs!$B$44)-(B3022))))*IF(AND(ArtifactsInput!$M$42,((Inputs!$B$9+((C3003=TRUE)*(F3003-Calc!F26))+B3011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2987*(MIN((Inputs!$B$9+((C3003=TRUE)*(F3003-Calc!F26))+B3011+(ArtifactsInput!$M$24-ArtifactsInput!$M$24)*CHOOSE(ArtifactsInput!$N$24+1,10,12,14,16,18,20)+(IF(AND(Inputs!$B$39&lt;&gt;"pvp",Inputs!$B$44=0),1,IF(IF(Inputs!$B$39="pvp",15,Inputs!$B$44)-(B3022)&lt;=0,1,MAX(0,IF(Inputs!$B$39="pvp",15,Inputs!$B$44)-MAX(5,B3022))/(IF(Inputs!$B$39="pvp",15,Inputs!$B$44)-(B3022))))*IF(AND(ArtifactsInput!$M$42,((Inputs!$B$9+((C3003=TRUE)*(F3003-Calc!F26))+B3011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987">
        <f>(1-Summary!$B$11)*T2987+Summary!$B$11*V2987</f>
        <v/>
      </c>
      <c r="P2987">
        <f>IF(B3023=0,0,O2987/B3023)</f>
        <v/>
      </c>
      <c r="Q2987" t="n">
        <v>0</v>
      </c>
      <c r="R2987" t="n">
        <v>0</v>
      </c>
      <c r="S2987" t="n">
        <v>0</v>
      </c>
      <c r="T2987">
        <f>IF(C2987,(0.2*SUMPRODUCT((Skills!Z2:Z31=TRUE)*(C2979:C3008=TRUE)*S2979:S3008)*N2987)*IF(Inputs!$B$39="pvp",1,1+(Inputs!$B$20+0+Skills!P10+B3012+(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Hunt"),CHOOSE(ArtifactsInput!$N$35+1,15,18,21,24,27,30)*(1-EXP(-(0.2*B3015)*5)),0)+IF(AND(ArtifactsInput!$M$22,Inputs!$B$4&lt;&gt;"Chapter Hunt"),CHOOSE(ArtifactsInput!$N$22+1,10,12,14,16,18,20)*((0*(((0.15*B3015*5))^0/1)+1*(((0.15*B3015*5))^1/1)+2*(((0.15*B3015*5))^2/2)+3*(((0.15*B3015*5))^3/6)+4*(((0.15*B3015*5))^4/24)+5*(((0.15*B3015*5))^5/120))/((((0.15*B3015*5))^0/1)+(((0.15*B3015*5))^1/1)+(((0.15*B3015*5))^2/2)+(((0.15*B3015*5))^3/6)+(((0.15*B3015*5))^4/24)+(((0.15*B3015*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2987*(1-MIN(100,(Inputs!$B$9+((C3003=TRUE)*(F3003-Calc!F26))+B3011+(ArtifactsInput!$M$24-ArtifactsInput!$M$24)*CHOOSE(ArtifactsInput!$N$24+1,10,12,14,16,18,20)+(IF(AND(Inputs!$B$39&lt;&gt;"pvp",Inputs!$B$44=0),1,IF(IF(Inputs!$B$39="pvp",15,Inputs!$B$44)-(B3022)&lt;=0,1,MAX(0,IF(Inputs!$B$39="pvp",15,Inputs!$B$44)-MAX(5,B3022))/(IF(Inputs!$B$39="pvp",15,Inputs!$B$44)-(B3022))))*IF(AND(ArtifactsInput!$M$42,((Inputs!$B$9+((C3003=TRUE)*(F3003-Calc!F26))+B3011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2987*(MIN(100,(Inputs!$B$9+((C3003=TRUE)*(F3003-Calc!F26))+B3011+(ArtifactsInput!$M$24-ArtifactsInput!$M$24)*CHOOSE(ArtifactsInput!$N$24+1,10,12,14,16,18,20)+(IF(AND(Inputs!$B$39&lt;&gt;"pvp",Inputs!$B$44=0),1,IF(IF(Inputs!$B$39="pvp",15,Inputs!$B$44)-(B3022)&lt;=0,1,MAX(0,IF(Inputs!$B$39="pvp",15,Inputs!$B$44)-MAX(5,B3022))/(IF(Inputs!$B$39="pvp",15,Inputs!$B$44)-(B3022))))*IF(AND(ArtifactsInput!$M$42,((Inputs!$B$9+((C3003=TRUE)*(F3003-Calc!F26))+B3011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2987*(1-MIN(100,(Inputs!$B$9+((C3003=TRUE)*(F3003-Calc!F26))+B3011+(ArtifactsInput!$M$24-ArtifactsInput!$M$24)*CHOOSE(ArtifactsInput!$N$24+1,10,12,14,16,18,20)+(IF(AND(Inputs!$B$39&lt;&gt;"pvp",Inputs!$B$44=0),1,IF(IF(Inputs!$B$39="pvp",15,Inputs!$B$44)-(B3022)&lt;=0,1,MAX(0,IF(Inputs!$B$39="pvp",15,Inputs!$B$44)-MAX(5,B3022))/(IF(Inputs!$B$39="pvp",15,Inputs!$B$44)-(B3022))))*IF(AND(ArtifactsInput!$M$42,((Inputs!$B$9+((C3003=TRUE)*(F3003-Calc!F26))+B3011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2987*(MIN(100,(Inputs!$B$9+((C3003=TRUE)*(F3003-Calc!F26))+B3011+(ArtifactsInput!$M$24-ArtifactsInput!$M$24)*CHOOSE(ArtifactsInput!$N$24+1,10,12,14,16,18,20)+(IF(AND(Inputs!$B$39&lt;&gt;"pvp",Inputs!$B$44=0),1,IF(IF(Inputs!$B$39="pvp",15,Inputs!$B$44)-(B3022)&lt;=0,1,MAX(0,IF(Inputs!$B$39="pvp",15,Inputs!$B$44)-MAX(5,B3022))/(IF(Inputs!$B$39="pvp",15,Inputs!$B$44)-(B3022))))*IF(AND(ArtifactsInput!$M$42,((Inputs!$B$9+((C3003=TRUE)*(F3003-Calc!F26))+B3011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987">
        <f>IF(C2987,(0.2*SUMPRODUCT((Skills!Z2:Z31=TRUE)*(C2979:C3008=TRUE)*S2979:S3008)*N2987)*IF(Inputs!$B$39="pvp",1,(1+(Inputs!$B$21+Skills!Q10+B3012+(IF(ArtifactsInput!$M$33,CHOOSE(ArtifactsInput!$N$33+1,30,36,42,48,54,60),0))+(IF(AND(ArtifactsInput!$M$35,Inputs!$B$4&lt;&gt;"Chapter Hunt"),CHOOSE(ArtifactsInput!$N$35+1,15,18,21,24,27,30)*(1-EXP(-(0.2*B3015)*5)),0)+IF(AND(ArtifactsInput!$M$22,Inputs!$B$4&lt;&gt;"Chapter Hunt"),CHOOSE(ArtifactsInput!$N$22+1,10,12,14,16,18,20)*((0*(((0.15*B3015*5))^0/1)+1*(((0.15*B3015*5))^1/1)+2*(((0.15*B3015*5))^2/2)+3*(((0.15*B3015*5))^3/6)+4*(((0.15*B3015*5))^4/24)+5*(((0.15*B3015*5))^5/120))/((((0.15*B3015*5))^0/1)+(((0.15*B3015*5))^1/1)+(((0.15*B3015*5))^2/2)+(((0.15*B3015*5))^3/6)+(((0.15*B3015*5))^4/24)+(((0.15*B3015*5))^5/120))),0)))/100)*(MIN(Skills!W10,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988">
      <c r="A2988">
        <f>Skills!A11</f>
        <v/>
      </c>
      <c r="B2988">
        <f>Skills!B11</f>
        <v/>
      </c>
      <c r="C2988">
        <f>Inputs!$B$3&gt;=74</f>
        <v/>
      </c>
      <c r="D2988">
        <f>IF(Skills!C11=1,60+Inputs!$B$25+Inputs!$B$29,IF(Skills!C11=2,90+Inputs!$B$26+Inputs!$B$29,IF(Skills!C11=3,120+Inputs!$B$27+Inputs!$B$29,MAX(0,(Inputs!$B$3-100)*3)+Inputs!$B$28+Inputs!$B$29)))</f>
        <v/>
      </c>
      <c r="E2988">
        <f>INDEX(FactorTable!$B$2:$Y$301, MATCH(ROUND(MIN(300,MAX(1,D2988)),0), FactorTable!$A$2:$A$301,0), Skills!M11+1)</f>
        <v/>
      </c>
      <c r="F2988">
        <f>IF(Skills!N11=TRUE,(Skills!L11/10)*(E2988/1000),Skills!L11/10)+Skills!O11</f>
        <v/>
      </c>
      <c r="G2988">
        <f>Skills!G11*IF(Skills!H11&gt;0,IF(Inputs!$B$39="pvp",MIN(Skills!I11,15),Skills!I11)/Skills!H11,1)</f>
        <v/>
      </c>
      <c r="H2988">
        <f>1-(1-Skills!J11/100)^Skills!K11</f>
        <v/>
      </c>
      <c r="I2988" t="inlineStr">
        <is>
          <t>1</t>
        </is>
      </c>
      <c r="J2988" t="inlineStr"/>
      <c r="K2988" t="inlineStr"/>
      <c r="L2988" t="inlineStr"/>
      <c r="M2988" t="inlineStr"/>
      <c r="N2988" t="inlineStr"/>
      <c r="O2988">
        <f>(1-Summary!$B$11)*T2988+Summary!$B$11*V2988</f>
        <v/>
      </c>
      <c r="P2988">
        <f>IF(B3023=0,0,O2988/B3023)</f>
        <v/>
      </c>
      <c r="Q2988">
        <f>IFERROR(1/IF(Inputs!$B$39="pvp",15,MAX(0.1,Skills!D11-IF(TRUE=TRUE,Inputs!$B$32,0))),0)</f>
        <v/>
      </c>
      <c r="R2988">
        <f>IF(AND(Inputs!$B$39&lt;&gt;"pvp",Inputs!$B$44&gt;0),IF(Inputs!$B$44&lt;=0,0,(INT(Inputs!$B$44/IF(Inputs!$B$39="pvp",15,MAX(0.1,Skills!D11-IF(TRUE=TRUE,Inputs!$B$32,0))))+1)),0)</f>
        <v/>
      </c>
      <c r="S2988">
        <f>IFERROR(O2988/N2988,0)</f>
        <v/>
      </c>
      <c r="T2988" t="n">
        <v>0</v>
      </c>
      <c r="V2988" t="n">
        <v>0</v>
      </c>
    </row>
    <row r="2989">
      <c r="A2989">
        <f>Skills!A12</f>
        <v/>
      </c>
      <c r="B2989">
        <f>Skills!B12</f>
        <v/>
      </c>
      <c r="C2989">
        <f>Inputs!$B$3&gt;=103</f>
        <v/>
      </c>
      <c r="D2989">
        <f>IF(Skills!C12=1,60+Inputs!$B$25+Inputs!$B$29,IF(Skills!C12=2,90+Inputs!$B$26+Inputs!$B$29,IF(Skills!C12=3,120+Inputs!$B$27+Inputs!$B$29,MAX(0,(Inputs!$B$3-100)*3)+Inputs!$B$28+Inputs!$B$29)))</f>
        <v/>
      </c>
      <c r="E2989">
        <f>INDEX(FactorTable!$B$2:$Y$301, MATCH(ROUND(MIN(300,MAX(1,D2989)),0), FactorTable!$A$2:$A$301,0), Skills!M12+1)</f>
        <v/>
      </c>
      <c r="F2989">
        <f>(Skills!L12/10)*(E2989/1000)+IF(Inputs!$B$3&gt;=134,50,0)+0.5*(30000/10)*(INDEX(FactorTable!$B$2:$Y$301, MATCH(ROUND(MIN(300,MAX(1,D2989)),0), FactorTable!$A$2:$A$301,0), 13)/1000)*B3021</f>
        <v/>
      </c>
      <c r="G2989">
        <f>Skills!G12*IF(Skills!H12&gt;0,IF(Inputs!$B$39="pvp",MIN(Skills!I12,15),Skills!I12)/Skills!H12,1)</f>
        <v/>
      </c>
      <c r="H2989">
        <f>1-(1-Skills!J12/100)^Skills!K12</f>
        <v/>
      </c>
      <c r="I2989" t="inlineStr">
        <is>
          <t>1</t>
        </is>
      </c>
      <c r="J2989">
        <f>((Inputs!$B$6*(1+Inputs!$B$7/100))+(((Inputs!$B$12*(1+Inputs!$B$13/100))-(Inputs!$B$12*(1+Inputs!$B$13/100)))+0.25*(Inputs!$B$14-Inputs!$B$14))*(1+Inputs!$B$7/100))*(F2989/100)</f>
        <v/>
      </c>
      <c r="K2989">
        <f>J2989*(1+((Inputs!$B$12*(1+Inputs!$B$13/100))*0.01+Inputs!$B$14*0.0025)/100)*(1+Inputs!$B$15/100)*(1+Inputs!$B$16/100)*(5000/(6000+Inputs!$B$43*(1-(100*(1-(1-Inputs!$B$19/100)*(1-CHOOSE(ArtifactsInput!$N$40+1,5,6,7,8,9,10)/100)^(ArtifactsInput!$M$40-ArtifactsInput!$M$40)))/100)))*(1+(Inputs!$B$24+((C3008=TRUE)*(F3008-Calc!F31))+((C2995=TRUE)*(F2995-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12="CRUEL_STAB",Inputs!$B$17+((C3005=TRUE)*(F3005-Calc!F28))+((IF(AND(Inputs!$B$39&lt;&gt;"pvp",Inputs!$B$44=0),1,IF(IF(Inputs!$B$39="pvp",15,Inputs!$B$44)-(B3022)&lt;=0,1,MAX(0,IF(Inputs!$B$39="pvp",15,Inputs!$B$44)-MAX(5,B3022))/(IF(Inputs!$B$39="pvp",15,Inputs!$B$44)-(B3022))))*(IF(AND(ArtifactsInput!$M$42,((Inputs!$B$9+((C3003=TRUE)*(F3003-Calc!F26))+B3011+(ArtifactsInput!$M$24-ArtifactsInput!$M$24)*CHOOSE(ArtifactsInput!$N$24+1,10,12,14,16,18,20)+IF(ArtifactsInput!$M$10,CHOOSE(ArtifactsInput!$N$10+1,15,18,21,24,27,30)*(IF(Inputs!$B$39="pvp",MIN(15,15)/15,IF(AND(Inputs!$B$39&lt;&gt;"pvp",Inputs!$B$44&gt;0),MIN(15,Inputs!$B$44)/(Inputs!$B$44),0))),0)))&gt;=100),MIN(100,((Inputs!$B$9+((C3003=TRUE)*(F3003-Calc!F26))+B3011+(ArtifactsInput!$M$24-ArtifactsInput!$M$24)*CHOOSE(ArtifactsInput!$N$24+1,10,12,14,16,18,20)+IF(ArtifactsInput!$M$10,CHOOSE(ArtifactsInput!$N$10+1,15,18,21,24,27,30)*(IF(Inputs!$B$39="pvp",MIN(15,15)/15,IF(AND(Inputs!$B$39&lt;&gt;"pvp",Inputs!$B$44&gt;0),MIN(15,Inputs!$B$44)/(Inputs!$B$44),0))),0)))-100),0))*CHOOSE(ArtifactsInput!$N$42+1,0.6,0.72,0.84,0.96,1.08,1.2))),Inputs!$B$18+((C3006=TRUE)*(F3006-Calc!F29))+(IF(AND(Inputs!$B$39&lt;&gt;"pvp",Inputs!$B$44=0),1,IF(IF(Inputs!$B$39="pvp",15,Inputs!$B$44)-(B3022)&lt;=0,1,MAX(0,IF(Inputs!$B$39="pvp",15,Inputs!$B$44)-MAX(5,B3022))/(IF(Inputs!$B$39="pvp",15,Inputs!$B$44)-(B3022))))*IF(AND(ArtifactsInput!$M$42,((Inputs!$B$9+((C3003=TRUE)*(F3003-Calc!F26))+B3011+(ArtifactsInput!$M$24-ArtifactsInput!$M$24)*CHOOSE(ArtifactsInput!$N$24+1,10,12,14,16,18,20)+IF(ArtifactsInput!$M$10,CHOOSE(ArtifactsInput!$N$10+1,15,18,21,24,27,30)*(IF(Inputs!$B$39="pvp",MIN(15,15)/15,IF(AND(Inputs!$B$39&lt;&gt;"pvp",Inputs!$B$44&gt;0),MIN(15,Inputs!$B$44)/(Inputs!$B$44),0))),0)))&gt;=100),CHOOSE(ArtifactsInput!$N$42+1,40,48,56,64,72,80),0))))/100)*(((1+(((C2999=TRUE)*F2999*IF(AND(Inputs!$B$39&lt;&gt;"pvp",Inputs!$B$44&gt;0),(((R2999-1)*MIN((Skills!Y22*(1+Inputs!$B$34/100)),(1/Q2999))+MIN((Skills!Y22*(1+Inputs!$B$34/100)),MAX(0,Inputs!$B$44-((R2999-1)*(1/Q2999)))))/Inputs!$B$44),IF(Inputs!$B$39="pvp",MIN((Skills!Y22*(1+Inputs!$B$34/100)),15)/15,MIN(1,(Skills!Y22*(1+Inputs!$B$34/100))/(1/Q2999)))))+((C2980=TRUE)*F2980*3)+((C2982=TRUE)*F2982*(1-EXP(-0.75*B3015*5)))+((C3001=TRUE)*(F3001-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IF(ArtifactsInput!$M$37,FALSE,TRUE),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2988=TRUE)*F2988*IF(AND(Inputs!$B$39&lt;&gt;"pvp",Inputs!$B$44&gt;0),(((R2988-1)*MIN((Skills!Y11*(1+Inputs!$B$34/100)),(1/Q2988))+MIN((Skills!Y11*(1+Inputs!$B$34/100)),MAX(0,Inputs!$B$44-((R2988-1)*(1/Q2988)))))/Inputs!$B$44),IF(Inputs!$B$39="pvp",MIN((Skills!Y11*(1+Inputs!$B$34/100)),15)/15,MIN(1,(Skills!Y11*(1+Inputs!$B$34/100))/(1/Q2988)))))/100)*(1+((C2993=TRUE)*F2993*IF(AND(Inputs!$B$39&lt;&gt;"pvp",Inputs!$B$44&gt;0),(((R2993-1)*MIN((Skills!Y16*(1+Inputs!$B$34/100)),(1/Q2993))+MIN((Skills!Y16*(1+Inputs!$B$34/100)),MAX(0,Inputs!$B$44-((R2993-1)*(1/Q2993)))))/Inputs!$B$44),IF(Inputs!$B$39="pvp",MIN((Skills!Y16*(1+Inputs!$B$34/100)),15)/15,MIN(1,(Skills!Y16*(1+Inputs!$B$34/100))/(1/Q2993)))))/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3013*I2989)</f>
        <v/>
      </c>
      <c r="L2989">
        <f>K2989*(MIN(Inputs!$B$22+((C3002=TRUE)*(F3002-Calc!F25)),(Inputs!$B$23+((C3007=TRUE)*(F3007-Calc!F30))+IF(ArtifactsInput!$M$15,CHOOSE(ArtifactsInput!$N$15+1,25,30,35,40,45,50)/100*(Inputs!$B$11-Inputs!$B$11),0)))/100+(Inputs!$B$23+((C3007=TRUE)*(F3007-Calc!F30))+IF(ArtifactsInput!$M$15,CHOOSE(ArtifactsInput!$N$15+1,25,30,35,40,45,50)/100*(Inputs!$B$11-Inputs!$B$11),0))/100)/2</f>
        <v/>
      </c>
      <c r="M2989">
        <f>L2989*(1+(Inputs!$B$10+((C3004=TRUE)*(F3004-Calc!F27))+B3018+(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2989">
        <f>L2989*(1-MIN((Inputs!$B$9+((C3003=TRUE)*(F3003-Calc!F26))+B3011+(ArtifactsInput!$M$24-ArtifactsInput!$M$24)*CHOOSE(ArtifactsInput!$N$24+1,10,12,14,16,18,20)+(IF(AND(Inputs!$B$39&lt;&gt;"pvp",Inputs!$B$44=0),1,IF(IF(Inputs!$B$39="pvp",15,Inputs!$B$44)-(B3022)&lt;=0,1,MAX(0,IF(Inputs!$B$39="pvp",15,Inputs!$B$44)-MAX(5,B3022))/(IF(Inputs!$B$39="pvp",15,Inputs!$B$44)-(B3022))))*IF(AND(ArtifactsInput!$M$42,((Inputs!$B$9+((C3003=TRUE)*(F3003-Calc!F26))+B3011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2989*(MIN((Inputs!$B$9+((C3003=TRUE)*(F3003-Calc!F26))+B3011+(ArtifactsInput!$M$24-ArtifactsInput!$M$24)*CHOOSE(ArtifactsInput!$N$24+1,10,12,14,16,18,20)+(IF(AND(Inputs!$B$39&lt;&gt;"pvp",Inputs!$B$44=0),1,IF(IF(Inputs!$B$39="pvp",15,Inputs!$B$44)-(B3022)&lt;=0,1,MAX(0,IF(Inputs!$B$39="pvp",15,Inputs!$B$44)-MAX(5,B3022))/(IF(Inputs!$B$39="pvp",15,Inputs!$B$44)-(B3022))))*IF(AND(ArtifactsInput!$M$42,((Inputs!$B$9+((C3003=TRUE)*(F3003-Calc!F26))+B3011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989">
        <f>(1-Summary!$B$11)*T2989+Summary!$B$11*V2989</f>
        <v/>
      </c>
      <c r="P2989">
        <f>IF(B3023=0,0,O2989/B3023)</f>
        <v/>
      </c>
      <c r="Q2989">
        <f>IFERROR(1/IF(Inputs!$B$39="pvp",15,MAX(0.1,Skills!D12-IF(TRUE=TRUE,Inputs!$B$32,0))),0)</f>
        <v/>
      </c>
      <c r="R2989">
        <f>IF(AND(Inputs!$B$39&lt;&gt;"pvp",Inputs!$B$44&gt;0),IF(MAX(0,Inputs!$B$44-B3022)&lt;=0,0,(INT(MAX(0,Inputs!$B$44-B3022)/IF(Inputs!$B$39="pvp",15,MAX(0.1,Skills!D12-IF(TRUE=TRUE,Inputs!$B$32,0))))+1)),0)</f>
        <v/>
      </c>
      <c r="S2989">
        <f>IFERROR(O2989/N2989,0)</f>
        <v/>
      </c>
      <c r="T2989">
        <f>IF(C2989,(H2989*N2989*IF(AND(Inputs!$B$39&lt;&gt;"pvp",Inputs!$B$44&gt;0),((Skills!G12*((R2989-1)*IF(Skills!H12&gt;0,Skills!I12/Skills!H12,1)+IF(Skills!H12&gt;0,MIN(Skills!I12,MAX(0,MAX(0,Inputs!$B$44-B3022)-((R2989-1)*IF(Inputs!$B$39="pvp",15,MAX(0.1,Skills!D12-IF(TRUE=TRUE,Inputs!$B$32,0))))))/Skills!H12,1)))/Inputs!$B$44),G2989*Q2989))*IF(Inputs!$B$39="pvp",1,1+(Inputs!$B$20+0+Skills!P12+B3012+(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Hunt"),CHOOSE(ArtifactsInput!$N$35+1,15,18,21,24,27,30)*(1-EXP(-(0.2*B3015)*5)),0)+IF(AND(ArtifactsInput!$M$22,Inputs!$B$4&lt;&gt;"Chapter Hunt"),CHOOSE(ArtifactsInput!$N$22+1,10,12,14,16,18,20)*((0*(((0.15*B3015*5))^0/1)+1*(((0.15*B3015*5))^1/1)+2*(((0.15*B3015*5))^2/2)+3*(((0.15*B3015*5))^3/6)+4*(((0.15*B3015*5))^4/24)+5*(((0.15*B3015*5))^5/120))/((((0.15*B3015*5))^0/1)+(((0.15*B3015*5))^1/1)+(((0.15*B3015*5))^2/2)+(((0.15*B3015*5))^3/6)+(((0.15*B3015*5))^4/24)+(((0.15*B3015*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2989*(1-MIN(100,(Inputs!$B$9+((C3003=TRUE)*(F3003-Calc!F26))+B3011+(ArtifactsInput!$M$24-ArtifactsInput!$M$24)*CHOOSE(ArtifactsInput!$N$24+1,10,12,14,16,18,20)+(IF(AND(Inputs!$B$39&lt;&gt;"pvp",Inputs!$B$44=0),1,IF(IF(Inputs!$B$39="pvp",15,Inputs!$B$44)-(B3022)&lt;=0,1,MAX(0,IF(Inputs!$B$39="pvp",15,Inputs!$B$44)-MAX(5,B3022))/(IF(Inputs!$B$39="pvp",15,Inputs!$B$44)-(B3022))))*IF(AND(ArtifactsInput!$M$42,((Inputs!$B$9+((C3003=TRUE)*(F3003-Calc!F26))+B3011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2989*(MIN(100,(Inputs!$B$9+((C3003=TRUE)*(F3003-Calc!F26))+B3011+(ArtifactsInput!$M$24-ArtifactsInput!$M$24)*CHOOSE(ArtifactsInput!$N$24+1,10,12,14,16,18,20)+(IF(AND(Inputs!$B$39&lt;&gt;"pvp",Inputs!$B$44=0),1,IF(IF(Inputs!$B$39="pvp",15,Inputs!$B$44)-(B3022)&lt;=0,1,MAX(0,IF(Inputs!$B$39="pvp",15,Inputs!$B$44)-MAX(5,B3022))/(IF(Inputs!$B$39="pvp",15,Inputs!$B$44)-(B3022))))*IF(AND(ArtifactsInput!$M$42,((Inputs!$B$9+((C3003=TRUE)*(F3003-Calc!F26))+B3011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2989*(1-MIN(100,(Inputs!$B$9+((C3003=TRUE)*(F3003-Calc!F26))+B3011+(ArtifactsInput!$M$24-ArtifactsInput!$M$24)*CHOOSE(ArtifactsInput!$N$24+1,10,12,14,16,18,20)+(IF(AND(Inputs!$B$39&lt;&gt;"pvp",Inputs!$B$44=0),1,IF(IF(Inputs!$B$39="pvp",15,Inputs!$B$44)-(B3022)&lt;=0,1,MAX(0,IF(Inputs!$B$39="pvp",15,Inputs!$B$44)-MAX(5,B3022))/(IF(Inputs!$B$39="pvp",15,Inputs!$B$44)-(B3022))))*IF(AND(ArtifactsInput!$M$42,((Inputs!$B$9+((C3003=TRUE)*(F3003-Calc!F26))+B3011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2989*(MIN(100,(Inputs!$B$9+((C3003=TRUE)*(F3003-Calc!F26))+B3011+(ArtifactsInput!$M$24-ArtifactsInput!$M$24)*CHOOSE(ArtifactsInput!$N$24+1,10,12,14,16,18,20)+(IF(AND(Inputs!$B$39&lt;&gt;"pvp",Inputs!$B$44=0),1,IF(IF(Inputs!$B$39="pvp",15,Inputs!$B$44)-(B3022)&lt;=0,1,MAX(0,IF(Inputs!$B$39="pvp",15,Inputs!$B$44)-MAX(5,B3022))/(IF(Inputs!$B$39="pvp",15,Inputs!$B$44)-(B3022))))*IF(AND(ArtifactsInput!$M$42,((Inputs!$B$9+((C3003=TRUE)*(F3003-Calc!F26))+B3011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989">
        <f>IF(C2989,(H2989*N2989*IF(AND(Inputs!$B$39&lt;&gt;"pvp",Inputs!$B$44&gt;0),((Skills!G12*((R2989-1)*IF(Skills!H12&gt;0,Skills!I12/Skills!H12,1)+IF(Skills!H12&gt;0,MIN(Skills!I12,MAX(0,MAX(0,Inputs!$B$44-B3022)-((R2989-1)*IF(Inputs!$B$39="pvp",15,MAX(0.1,Skills!D12-IF(TRUE=TRUE,Inputs!$B$32,0))))))/Skills!H12,1)))/Inputs!$B$44),G2989*Q2989))*IF(Inputs!$B$39="pvp",1,(1+(Inputs!$B$21+Skills!Q12+B3012+(IF(ArtifactsInput!$M$33,CHOOSE(ArtifactsInput!$N$33+1,30,36,42,48,54,60),0))+(IF(AND(ArtifactsInput!$M$35,Inputs!$B$4&lt;&gt;"Chapter Hunt"),CHOOSE(ArtifactsInput!$N$35+1,15,18,21,24,27,30)*(1-EXP(-(0.2*B3015)*5)),0)+IF(AND(ArtifactsInput!$M$22,Inputs!$B$4&lt;&gt;"Chapter Hunt"),CHOOSE(ArtifactsInput!$N$22+1,10,12,14,16,18,20)*((0*(((0.15*B3015*5))^0/1)+1*(((0.15*B3015*5))^1/1)+2*(((0.15*B3015*5))^2/2)+3*(((0.15*B3015*5))^3/6)+4*(((0.15*B3015*5))^4/24)+5*(((0.15*B3015*5))^5/120))/((((0.15*B3015*5))^0/1)+(((0.15*B3015*5))^1/1)+(((0.15*B3015*5))^2/2)+(((0.15*B3015*5))^3/6)+(((0.15*B3015*5))^4/24)+(((0.15*B3015*5))^5/120))),0)))/100)*(MIN(Skills!W12,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990">
      <c r="A2990">
        <f>Skills!A13</f>
        <v/>
      </c>
      <c r="B2990">
        <f>Skills!B13</f>
        <v/>
      </c>
      <c r="C2990">
        <f>Inputs!$B$3&gt;=105</f>
        <v/>
      </c>
      <c r="D2990">
        <f>IF(Skills!C13=1,60+Inputs!$B$25+Inputs!$B$29,IF(Skills!C13=2,90+Inputs!$B$26+Inputs!$B$29,IF(Skills!C13=3,120+Inputs!$B$27+Inputs!$B$29,MAX(0,(Inputs!$B$3-100)*3)+Inputs!$B$28+Inputs!$B$29)))</f>
        <v/>
      </c>
      <c r="E2990">
        <f>INDEX(FactorTable!$B$2:$Y$301, MATCH(ROUND(MIN(300,MAX(1,D2990)),0), FactorTable!$A$2:$A$301,0), Skills!M13+1)</f>
        <v/>
      </c>
      <c r="F2990">
        <f>IF(Skills!N13=TRUE,(Skills!L13/10)*(E2990/1000),Skills!L13/10)+Skills!O13</f>
        <v/>
      </c>
      <c r="G2990">
        <f>Skills!G13*IF(Skills!H13&gt;0,IF(Inputs!$B$39="pvp",MIN(Skills!I13,15),Skills!I13)/Skills!H13,1)</f>
        <v/>
      </c>
      <c r="H2990">
        <f>1-(1-Skills!J13/100)^Skills!K13</f>
        <v/>
      </c>
      <c r="I2990" t="inlineStr">
        <is>
          <t>1</t>
        </is>
      </c>
      <c r="J2990">
        <f>((Inputs!$B$6*(1+Inputs!$B$7/100))+(((Inputs!$B$12*(1+Inputs!$B$13/100))-(Inputs!$B$12*(1+Inputs!$B$13/100)))+0.25*(Inputs!$B$14-Inputs!$B$14))*(1+Inputs!$B$7/100))*(F2990/100)</f>
        <v/>
      </c>
      <c r="K2990">
        <f>J2990*(1+((Inputs!$B$12*(1+Inputs!$B$13/100))*0.01+Inputs!$B$14*0.0025)/100)*(1+Inputs!$B$15/100)*(1+Inputs!$B$16/100)*(5000/(6000+Inputs!$B$43*(1-(100*(1-(1-Inputs!$B$19/100)*(1-CHOOSE(ArtifactsInput!$N$40+1,5,6,7,8,9,10)/100)^(ArtifactsInput!$M$40-ArtifactsInput!$M$40)))/100)))*(1+(Inputs!$B$24+((C3008=TRUE)*(F3008-Calc!F31))+((C2995=TRUE)*(F2995-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13="CRUEL_STAB",Inputs!$B$17+((C3005=TRUE)*(F3005-Calc!F28))+((IF(AND(Inputs!$B$39&lt;&gt;"pvp",Inputs!$B$44=0),1,IF(IF(Inputs!$B$39="pvp",15,Inputs!$B$44)-(B3022)&lt;=0,1,MAX(0,IF(Inputs!$B$39="pvp",15,Inputs!$B$44)-MAX(5,B3022))/(IF(Inputs!$B$39="pvp",15,Inputs!$B$44)-(B3022))))*(IF(AND(ArtifactsInput!$M$42,((Inputs!$B$9+((C3003=TRUE)*(F3003-Calc!F26))+B3011+(ArtifactsInput!$M$24-ArtifactsInput!$M$24)*CHOOSE(ArtifactsInput!$N$24+1,10,12,14,16,18,20)+IF(ArtifactsInput!$M$10,CHOOSE(ArtifactsInput!$N$10+1,15,18,21,24,27,30)*(IF(Inputs!$B$39="pvp",MIN(15,15)/15,IF(AND(Inputs!$B$39&lt;&gt;"pvp",Inputs!$B$44&gt;0),MIN(15,Inputs!$B$44)/(Inputs!$B$44),0))),0)))&gt;=100),MIN(100,((Inputs!$B$9+((C3003=TRUE)*(F3003-Calc!F26))+B3011+(ArtifactsInput!$M$24-ArtifactsInput!$M$24)*CHOOSE(ArtifactsInput!$N$24+1,10,12,14,16,18,20)+IF(ArtifactsInput!$M$10,CHOOSE(ArtifactsInput!$N$10+1,15,18,21,24,27,30)*(IF(Inputs!$B$39="pvp",MIN(15,15)/15,IF(AND(Inputs!$B$39&lt;&gt;"pvp",Inputs!$B$44&gt;0),MIN(15,Inputs!$B$44)/(Inputs!$B$44),0))),0)))-100),0))*CHOOSE(ArtifactsInput!$N$42+1,0.6,0.72,0.84,0.96,1.08,1.2))),Inputs!$B$18+((C3006=TRUE)*(F3006-Calc!F29))+(IF(AND(Inputs!$B$39&lt;&gt;"pvp",Inputs!$B$44=0),1,IF(IF(Inputs!$B$39="pvp",15,Inputs!$B$44)-(B3022)&lt;=0,1,MAX(0,IF(Inputs!$B$39="pvp",15,Inputs!$B$44)-MAX(5,B3022))/(IF(Inputs!$B$39="pvp",15,Inputs!$B$44)-(B3022))))*IF(AND(ArtifactsInput!$M$42,((Inputs!$B$9+((C3003=TRUE)*(F3003-Calc!F26))+B3011+(ArtifactsInput!$M$24-ArtifactsInput!$M$24)*CHOOSE(ArtifactsInput!$N$24+1,10,12,14,16,18,20)+IF(ArtifactsInput!$M$10,CHOOSE(ArtifactsInput!$N$10+1,15,18,21,24,27,30)*(IF(Inputs!$B$39="pvp",MIN(15,15)/15,IF(AND(Inputs!$B$39&lt;&gt;"pvp",Inputs!$B$44&gt;0),MIN(15,Inputs!$B$44)/(Inputs!$B$44),0))),0)))&gt;=100),CHOOSE(ArtifactsInput!$N$42+1,40,48,56,64,72,80),0))))/100)*(((1+(((C2999=TRUE)*F2999*IF(AND(Inputs!$B$39&lt;&gt;"pvp",Inputs!$B$44&gt;0),(((R2999-1)*MIN((Skills!Y22*(1+Inputs!$B$34/100)),(1/Q2999))+MIN((Skills!Y22*(1+Inputs!$B$34/100)),MAX(0,Inputs!$B$44-((R2999-1)*(1/Q2999)))))/Inputs!$B$44),IF(Inputs!$B$39="pvp",MIN((Skills!Y22*(1+Inputs!$B$34/100)),15)/15,MIN(1,(Skills!Y22*(1+Inputs!$B$34/100))/(1/Q2999)))))+((C2980=TRUE)*F2980*3)+((C2982=TRUE)*F2982*(1-EXP(-0.75*B3015*5)))+((C3001=TRUE)*(F3001-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IF(ArtifactsInput!$M$37,FALSE,TRUE),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2988=TRUE)*F2988*IF(AND(Inputs!$B$39&lt;&gt;"pvp",Inputs!$B$44&gt;0),(((R2988-1)*MIN((Skills!Y11*(1+Inputs!$B$34/100)),(1/Q2988))+MIN((Skills!Y11*(1+Inputs!$B$34/100)),MAX(0,Inputs!$B$44-((R2988-1)*(1/Q2988)))))/Inputs!$B$44),IF(Inputs!$B$39="pvp",MIN((Skills!Y11*(1+Inputs!$B$34/100)),15)/15,MIN(1,(Skills!Y11*(1+Inputs!$B$34/100))/(1/Q2988)))))/100)*(1+((C2993=TRUE)*F2993*IF(AND(Inputs!$B$39&lt;&gt;"pvp",Inputs!$B$44&gt;0),(((R2993-1)*MIN((Skills!Y16*(1+Inputs!$B$34/100)),(1/Q2993))+MIN((Skills!Y16*(1+Inputs!$B$34/100)),MAX(0,Inputs!$B$44-((R2993-1)*(1/Q2993)))))/Inputs!$B$44),IF(Inputs!$B$39="pvp",MIN((Skills!Y16*(1+Inputs!$B$34/100)),15)/15,MIN(1,(Skills!Y16*(1+Inputs!$B$34/100))/(1/Q2993)))))/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3013*I2990)</f>
        <v/>
      </c>
      <c r="L2990">
        <f>K2990*(MIN(Inputs!$B$22+((C3002=TRUE)*(F3002-Calc!F25)),(Inputs!$B$23+((C3007=TRUE)*(F3007-Calc!F30))+IF(ArtifactsInput!$M$15,CHOOSE(ArtifactsInput!$N$15+1,25,30,35,40,45,50)/100*(Inputs!$B$11-Inputs!$B$11),0)))/100+(Inputs!$B$23+((C3007=TRUE)*(F3007-Calc!F30))+IF(ArtifactsInput!$M$15,CHOOSE(ArtifactsInput!$N$15+1,25,30,35,40,45,50)/100*(Inputs!$B$11-Inputs!$B$11),0))/100)/2</f>
        <v/>
      </c>
      <c r="M2990">
        <f>L2990*(1+(Inputs!$B$10+((C3004=TRUE)*(F3004-Calc!F27))+B3018+(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2990">
        <f>L2990*(1-MIN((Inputs!$B$9+((C3003=TRUE)*(F3003-Calc!F26))+B3011+(ArtifactsInput!$M$24-ArtifactsInput!$M$24)*CHOOSE(ArtifactsInput!$N$24+1,10,12,14,16,18,20)+(IF(AND(Inputs!$B$39&lt;&gt;"pvp",Inputs!$B$44=0),1,IF(IF(Inputs!$B$39="pvp",15,Inputs!$B$44)-(B3022)&lt;=0,1,MAX(0,IF(Inputs!$B$39="pvp",15,Inputs!$B$44)-MAX(5,B3022))/(IF(Inputs!$B$39="pvp",15,Inputs!$B$44)-(B3022))))*IF(AND(ArtifactsInput!$M$42,((Inputs!$B$9+((C3003=TRUE)*(F3003-Calc!F26))+B3011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2990*(MIN((Inputs!$B$9+((C3003=TRUE)*(F3003-Calc!F26))+B3011+(ArtifactsInput!$M$24-ArtifactsInput!$M$24)*CHOOSE(ArtifactsInput!$N$24+1,10,12,14,16,18,20)+(IF(AND(Inputs!$B$39&lt;&gt;"pvp",Inputs!$B$44=0),1,IF(IF(Inputs!$B$39="pvp",15,Inputs!$B$44)-(B3022)&lt;=0,1,MAX(0,IF(Inputs!$B$39="pvp",15,Inputs!$B$44)-MAX(5,B3022))/(IF(Inputs!$B$39="pvp",15,Inputs!$B$44)-(B3022))))*IF(AND(ArtifactsInput!$M$42,((Inputs!$B$9+((C3003=TRUE)*(F3003-Calc!F26))+B3011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990">
        <f>(1-Summary!$B$11)*T2990+Summary!$B$11*V2990</f>
        <v/>
      </c>
      <c r="P2990">
        <f>IF(B3023=0,0,O2990/B3023)</f>
        <v/>
      </c>
      <c r="Q2990">
        <f>IFERROR(1/IF(Inputs!$B$39="pvp",15,MAX(0.1,Skills!D13-IF(TRUE=TRUE,Inputs!$B$32,0))),0)</f>
        <v/>
      </c>
      <c r="R2990">
        <f>IF(AND(Inputs!$B$39&lt;&gt;"pvp",Inputs!$B$44&gt;0),IF(MAX(0,Inputs!$B$44-B3022)&lt;=0,0,(INT(MAX(0,Inputs!$B$44-B3022)/IF(Inputs!$B$39="pvp",15,MAX(0.1,Skills!D13-IF(TRUE=TRUE,Inputs!$B$32,0))))+1)),0)</f>
        <v/>
      </c>
      <c r="S2990">
        <f>IFERROR(O2990/N2990,0)</f>
        <v/>
      </c>
      <c r="T2990">
        <f>IF(C2990,(H2990*N2990*IF(AND(Inputs!$B$39&lt;&gt;"pvp",Inputs!$B$44&gt;0),((Skills!G13*((R2990-1)*IF(Skills!H13&gt;0,Skills!I13/Skills!H13,1)+IF(Skills!H13&gt;0,MIN(Skills!I13,MAX(0,MAX(0,Inputs!$B$44-B3022)-((R2990-1)*IF(Inputs!$B$39="pvp",15,MAX(0.1,Skills!D13-IF(TRUE=TRUE,Inputs!$B$32,0))))))/Skills!H13,1)))/Inputs!$B$44),G2990*Q2990))*IF(Inputs!$B$39="pvp",1,1+(Inputs!$B$20+0+Skills!P13+B3012+(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Hunt"),CHOOSE(ArtifactsInput!$N$35+1,15,18,21,24,27,30)*(1-EXP(-(0.2*B3015)*5)),0)+IF(AND(ArtifactsInput!$M$22,Inputs!$B$4&lt;&gt;"Chapter Hunt"),CHOOSE(ArtifactsInput!$N$22+1,10,12,14,16,18,20)*((0*(((0.15*B3015*5))^0/1)+1*(((0.15*B3015*5))^1/1)+2*(((0.15*B3015*5))^2/2)+3*(((0.15*B3015*5))^3/6)+4*(((0.15*B3015*5))^4/24)+5*(((0.15*B3015*5))^5/120))/((((0.15*B3015*5))^0/1)+(((0.15*B3015*5))^1/1)+(((0.15*B3015*5))^2/2)+(((0.15*B3015*5))^3/6)+(((0.15*B3015*5))^4/24)+(((0.15*B3015*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2990*(1-MIN(100,(Inputs!$B$9+((C3003=TRUE)*(F3003-Calc!F26))+B3011+(ArtifactsInput!$M$24-ArtifactsInput!$M$24)*CHOOSE(ArtifactsInput!$N$24+1,10,12,14,16,18,20)+(IF(AND(Inputs!$B$39&lt;&gt;"pvp",Inputs!$B$44=0),1,IF(IF(Inputs!$B$39="pvp",15,Inputs!$B$44)-(B3022)&lt;=0,1,MAX(0,IF(Inputs!$B$39="pvp",15,Inputs!$B$44)-MAX(5,B3022))/(IF(Inputs!$B$39="pvp",15,Inputs!$B$44)-(B3022))))*IF(AND(ArtifactsInput!$M$42,((Inputs!$B$9+((C3003=TRUE)*(F3003-Calc!F26))+B3011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2990*(MIN(100,(Inputs!$B$9+((C3003=TRUE)*(F3003-Calc!F26))+B3011+(ArtifactsInput!$M$24-ArtifactsInput!$M$24)*CHOOSE(ArtifactsInput!$N$24+1,10,12,14,16,18,20)+(IF(AND(Inputs!$B$39&lt;&gt;"pvp",Inputs!$B$44=0),1,IF(IF(Inputs!$B$39="pvp",15,Inputs!$B$44)-(B3022)&lt;=0,1,MAX(0,IF(Inputs!$B$39="pvp",15,Inputs!$B$44)-MAX(5,B3022))/(IF(Inputs!$B$39="pvp",15,Inputs!$B$44)-(B3022))))*IF(AND(ArtifactsInput!$M$42,((Inputs!$B$9+((C3003=TRUE)*(F3003-Calc!F26))+B3011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2990*(1-MIN(100,(Inputs!$B$9+((C3003=TRUE)*(F3003-Calc!F26))+B3011+(ArtifactsInput!$M$24-ArtifactsInput!$M$24)*CHOOSE(ArtifactsInput!$N$24+1,10,12,14,16,18,20)+(IF(AND(Inputs!$B$39&lt;&gt;"pvp",Inputs!$B$44=0),1,IF(IF(Inputs!$B$39="pvp",15,Inputs!$B$44)-(B3022)&lt;=0,1,MAX(0,IF(Inputs!$B$39="pvp",15,Inputs!$B$44)-MAX(5,B3022))/(IF(Inputs!$B$39="pvp",15,Inputs!$B$44)-(B3022))))*IF(AND(ArtifactsInput!$M$42,((Inputs!$B$9+((C3003=TRUE)*(F3003-Calc!F26))+B3011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2990*(MIN(100,(Inputs!$B$9+((C3003=TRUE)*(F3003-Calc!F26))+B3011+(ArtifactsInput!$M$24-ArtifactsInput!$M$24)*CHOOSE(ArtifactsInput!$N$24+1,10,12,14,16,18,20)+(IF(AND(Inputs!$B$39&lt;&gt;"pvp",Inputs!$B$44=0),1,IF(IF(Inputs!$B$39="pvp",15,Inputs!$B$44)-(B3022)&lt;=0,1,MAX(0,IF(Inputs!$B$39="pvp",15,Inputs!$B$44)-MAX(5,B3022))/(IF(Inputs!$B$39="pvp",15,Inputs!$B$44)-(B3022))))*IF(AND(ArtifactsInput!$M$42,((Inputs!$B$9+((C3003=TRUE)*(F3003-Calc!F26))+B3011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990">
        <f>IF(C2990,(H2990*N2990*IF(AND(Inputs!$B$39&lt;&gt;"pvp",Inputs!$B$44&gt;0),((Skills!G13*((R2990-1)*IF(Skills!H13&gt;0,Skills!I13/Skills!H13,1)+IF(Skills!H13&gt;0,MIN(Skills!I13,MAX(0,MAX(0,Inputs!$B$44-B3022)-((R2990-1)*IF(Inputs!$B$39="pvp",15,MAX(0.1,Skills!D13-IF(TRUE=TRUE,Inputs!$B$32,0))))))/Skills!H13,1)))/Inputs!$B$44),G2990*Q2990))*IF(Inputs!$B$39="pvp",1,(1+(Inputs!$B$21+Skills!Q13+B3012+(IF(ArtifactsInput!$M$33,CHOOSE(ArtifactsInput!$N$33+1,30,36,42,48,54,60),0))+(IF(AND(ArtifactsInput!$M$35,Inputs!$B$4&lt;&gt;"Chapter Hunt"),CHOOSE(ArtifactsInput!$N$35+1,15,18,21,24,27,30)*(1-EXP(-(0.2*B3015)*5)),0)+IF(AND(ArtifactsInput!$M$22,Inputs!$B$4&lt;&gt;"Chapter Hunt"),CHOOSE(ArtifactsInput!$N$22+1,10,12,14,16,18,20)*((0*(((0.15*B3015*5))^0/1)+1*(((0.15*B3015*5))^1/1)+2*(((0.15*B3015*5))^2/2)+3*(((0.15*B3015*5))^3/6)+4*(((0.15*B3015*5))^4/24)+5*(((0.15*B3015*5))^5/120))/((((0.15*B3015*5))^0/1)+(((0.15*B3015*5))^1/1)+(((0.15*B3015*5))^2/2)+(((0.15*B3015*5))^3/6)+(((0.15*B3015*5))^4/24)+(((0.15*B3015*5))^5/120))),0)))/100)*(MIN(Skills!W13,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991">
      <c r="A2991">
        <f>Skills!A14</f>
        <v/>
      </c>
      <c r="B2991">
        <f>Skills!B14</f>
        <v/>
      </c>
      <c r="C2991">
        <f>Inputs!$B$3&gt;=105</f>
        <v/>
      </c>
      <c r="D2991">
        <f>IF(Skills!C14=1,60+Inputs!$B$25+Inputs!$B$29,IF(Skills!C14=2,90+Inputs!$B$26+Inputs!$B$29,IF(Skills!C14=3,120+Inputs!$B$27+Inputs!$B$29,MAX(0,(Inputs!$B$3-100)*3)+Inputs!$B$28+Inputs!$B$29)))</f>
        <v/>
      </c>
      <c r="E2991">
        <f>INDEX(FactorTable!$B$2:$Y$301, MATCH(ROUND(MIN(300,MAX(1,D2991)),0), FactorTable!$A$2:$A$301,0), Skills!M14+1)</f>
        <v/>
      </c>
      <c r="F2991">
        <f>IF(Skills!N14=TRUE,(Skills!L14/10)*(E2991/1000),Skills!L14/10)+Skills!O14</f>
        <v/>
      </c>
      <c r="G2991">
        <f>Skills!G14*IF(Skills!H14&gt;0,IF(Inputs!$B$39="pvp",MIN(Skills!I14,15),Skills!I14)/Skills!H14,1)</f>
        <v/>
      </c>
      <c r="H2991">
        <f>1-(1-Skills!J14/100)^Skills!K14</f>
        <v/>
      </c>
      <c r="I2991" t="inlineStr">
        <is>
          <t>1</t>
        </is>
      </c>
      <c r="J2991">
        <f>((Inputs!$B$6*(1+Inputs!$B$7/100))+(((Inputs!$B$12*(1+Inputs!$B$13/100))-(Inputs!$B$12*(1+Inputs!$B$13/100)))+0.25*(Inputs!$B$14-Inputs!$B$14))*(1+Inputs!$B$7/100))*(F2991/100)</f>
        <v/>
      </c>
      <c r="K2991">
        <f>J2991*(1+((Inputs!$B$12*(1+Inputs!$B$13/100))*0.01+Inputs!$B$14*0.0025)/100)*(1+Inputs!$B$15/100)*(1+Inputs!$B$16/100)*(5000/(6000+Inputs!$B$43*(1-(100*(1-(1-Inputs!$B$19/100)*(1-CHOOSE(ArtifactsInput!$N$40+1,5,6,7,8,9,10)/100)^(ArtifactsInput!$M$40-ArtifactsInput!$M$40)))/100)))*(1+(Inputs!$B$24+((C3008=TRUE)*(F3008-Calc!F31))+((C2995=TRUE)*(F2995-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14="CRUEL_STAB",Inputs!$B$17+((C3005=TRUE)*(F3005-Calc!F28))+((IF(AND(Inputs!$B$39&lt;&gt;"pvp",Inputs!$B$44=0),1,IF(IF(Inputs!$B$39="pvp",15,Inputs!$B$44)-(B3022)&lt;=0,1,MAX(0,IF(Inputs!$B$39="pvp",15,Inputs!$B$44)-MAX(5,B3022))/(IF(Inputs!$B$39="pvp",15,Inputs!$B$44)-(B3022))))*(IF(AND(ArtifactsInput!$M$42,((Inputs!$B$9+((C3003=TRUE)*(F3003-Calc!F26))+B3011+(ArtifactsInput!$M$24-ArtifactsInput!$M$24)*CHOOSE(ArtifactsInput!$N$24+1,10,12,14,16,18,20)+IF(ArtifactsInput!$M$10,CHOOSE(ArtifactsInput!$N$10+1,15,18,21,24,27,30)*(IF(Inputs!$B$39="pvp",MIN(15,15)/15,IF(AND(Inputs!$B$39&lt;&gt;"pvp",Inputs!$B$44&gt;0),MIN(15,Inputs!$B$44)/(Inputs!$B$44),0))),0)))&gt;=100),MIN(100,((Inputs!$B$9+((C3003=TRUE)*(F3003-Calc!F26))+B3011+(ArtifactsInput!$M$24-ArtifactsInput!$M$24)*CHOOSE(ArtifactsInput!$N$24+1,10,12,14,16,18,20)+IF(ArtifactsInput!$M$10,CHOOSE(ArtifactsInput!$N$10+1,15,18,21,24,27,30)*(IF(Inputs!$B$39="pvp",MIN(15,15)/15,IF(AND(Inputs!$B$39&lt;&gt;"pvp",Inputs!$B$44&gt;0),MIN(15,Inputs!$B$44)/(Inputs!$B$44),0))),0)))-100),0))*CHOOSE(ArtifactsInput!$N$42+1,0.6,0.72,0.84,0.96,1.08,1.2))),Inputs!$B$18+((C3006=TRUE)*(F3006-Calc!F29))+(IF(AND(Inputs!$B$39&lt;&gt;"pvp",Inputs!$B$44=0),1,IF(IF(Inputs!$B$39="pvp",15,Inputs!$B$44)-(B3022)&lt;=0,1,MAX(0,IF(Inputs!$B$39="pvp",15,Inputs!$B$44)-MAX(5,B3022))/(IF(Inputs!$B$39="pvp",15,Inputs!$B$44)-(B3022))))*IF(AND(ArtifactsInput!$M$42,((Inputs!$B$9+((C3003=TRUE)*(F3003-Calc!F26))+B3011+(ArtifactsInput!$M$24-ArtifactsInput!$M$24)*CHOOSE(ArtifactsInput!$N$24+1,10,12,14,16,18,20)+IF(ArtifactsInput!$M$10,CHOOSE(ArtifactsInput!$N$10+1,15,18,21,24,27,30)*(IF(Inputs!$B$39="pvp",MIN(15,15)/15,IF(AND(Inputs!$B$39&lt;&gt;"pvp",Inputs!$B$44&gt;0),MIN(15,Inputs!$B$44)/(Inputs!$B$44),0))),0)))&gt;=100),CHOOSE(ArtifactsInput!$N$42+1,40,48,56,64,72,80),0))))/100)*(((1+(((C2999=TRUE)*F2999*IF(AND(Inputs!$B$39&lt;&gt;"pvp",Inputs!$B$44&gt;0),(((R2999-1)*MIN((Skills!Y22*(1+Inputs!$B$34/100)),(1/Q2999))+MIN((Skills!Y22*(1+Inputs!$B$34/100)),MAX(0,Inputs!$B$44-((R2999-1)*(1/Q2999)))))/Inputs!$B$44),IF(Inputs!$B$39="pvp",MIN((Skills!Y22*(1+Inputs!$B$34/100)),15)/15,MIN(1,(Skills!Y22*(1+Inputs!$B$34/100))/(1/Q2999)))))+((C2980=TRUE)*F2980*3)+((C2982=TRUE)*F2982*(1-EXP(-0.75*B3015*5)))+((C3001=TRUE)*(F3001-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IF(ArtifactsInput!$M$37,FALSE,TRUE),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2988=TRUE)*F2988*IF(AND(Inputs!$B$39&lt;&gt;"pvp",Inputs!$B$44&gt;0),(((R2988-1)*MIN((Skills!Y11*(1+Inputs!$B$34/100)),(1/Q2988))+MIN((Skills!Y11*(1+Inputs!$B$34/100)),MAX(0,Inputs!$B$44-((R2988-1)*(1/Q2988)))))/Inputs!$B$44),IF(Inputs!$B$39="pvp",MIN((Skills!Y11*(1+Inputs!$B$34/100)),15)/15,MIN(1,(Skills!Y11*(1+Inputs!$B$34/100))/(1/Q2988)))))/100)*(1+((C2993=TRUE)*F2993*IF(AND(Inputs!$B$39&lt;&gt;"pvp",Inputs!$B$44&gt;0),(((R2993-1)*MIN((Skills!Y16*(1+Inputs!$B$34/100)),(1/Q2993))+MIN((Skills!Y16*(1+Inputs!$B$34/100)),MAX(0,Inputs!$B$44-((R2993-1)*(1/Q2993)))))/Inputs!$B$44),IF(Inputs!$B$39="pvp",MIN((Skills!Y16*(1+Inputs!$B$34/100)),15)/15,MIN(1,(Skills!Y16*(1+Inputs!$B$34/100))/(1/Q2993)))))/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3013*I2991)</f>
        <v/>
      </c>
      <c r="L2991">
        <f>K2991*(MIN(Inputs!$B$22+((C3002=TRUE)*(F3002-Calc!F25)),(Inputs!$B$23+((C3007=TRUE)*(F3007-Calc!F30))+IF(ArtifactsInput!$M$15,CHOOSE(ArtifactsInput!$N$15+1,25,30,35,40,45,50)/100*(Inputs!$B$11-Inputs!$B$11),0)))/100+(Inputs!$B$23+((C3007=TRUE)*(F3007-Calc!F30))+IF(ArtifactsInput!$M$15,CHOOSE(ArtifactsInput!$N$15+1,25,30,35,40,45,50)/100*(Inputs!$B$11-Inputs!$B$11),0))/100)/2</f>
        <v/>
      </c>
      <c r="M2991">
        <f>L2991*(1+(Inputs!$B$10+((C3004=TRUE)*(F3004-Calc!F27))+B3018+(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2991">
        <f>L2991*(1-MIN((Inputs!$B$9+((C3003=TRUE)*(F3003-Calc!F26))+B3011+(ArtifactsInput!$M$24-ArtifactsInput!$M$24)*CHOOSE(ArtifactsInput!$N$24+1,10,12,14,16,18,20)+(IF(AND(Inputs!$B$39&lt;&gt;"pvp",Inputs!$B$44=0),1,IF(IF(Inputs!$B$39="pvp",15,Inputs!$B$44)-(B3022)&lt;=0,1,MAX(0,IF(Inputs!$B$39="pvp",15,Inputs!$B$44)-MAX(5,B3022))/(IF(Inputs!$B$39="pvp",15,Inputs!$B$44)-(B3022))))*IF(AND(ArtifactsInput!$M$42,((Inputs!$B$9+((C3003=TRUE)*(F3003-Calc!F26))+B3011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2991*(MIN((Inputs!$B$9+((C3003=TRUE)*(F3003-Calc!F26))+B3011+(ArtifactsInput!$M$24-ArtifactsInput!$M$24)*CHOOSE(ArtifactsInput!$N$24+1,10,12,14,16,18,20)+(IF(AND(Inputs!$B$39&lt;&gt;"pvp",Inputs!$B$44=0),1,IF(IF(Inputs!$B$39="pvp",15,Inputs!$B$44)-(B3022)&lt;=0,1,MAX(0,IF(Inputs!$B$39="pvp",15,Inputs!$B$44)-MAX(5,B3022))/(IF(Inputs!$B$39="pvp",15,Inputs!$B$44)-(B3022))))*IF(AND(ArtifactsInput!$M$42,((Inputs!$B$9+((C3003=TRUE)*(F3003-Calc!F26))+B3011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991">
        <f>(1-Summary!$B$11)*T2991+Summary!$B$11*V2991</f>
        <v/>
      </c>
      <c r="P2991">
        <f>IF(B3023=0,0,O2991/B3023)</f>
        <v/>
      </c>
      <c r="Q2991">
        <f>IFERROR(1/IF(Inputs!$B$39="pvp",15,MAX(0.1,Skills!D14-IF(TRUE=TRUE,Inputs!$B$32,0))),0)</f>
        <v/>
      </c>
      <c r="R2991">
        <f>IF(AND(Inputs!$B$39&lt;&gt;"pvp",Inputs!$B$44&gt;0),IF(MAX(0,Inputs!$B$44-B3022)&lt;=0,0,(INT(MAX(0,Inputs!$B$44-B3022)/IF(Inputs!$B$39="pvp",15,MAX(0.1,Skills!D14-IF(TRUE=TRUE,Inputs!$B$32,0))))+1)),0)</f>
        <v/>
      </c>
      <c r="S2991">
        <f>IFERROR(O2991/N2991,0)</f>
        <v/>
      </c>
      <c r="T2991">
        <f>IF(C2991,(H2991*N2991*IF(AND(Inputs!$B$39&lt;&gt;"pvp",Inputs!$B$44&gt;0),((Skills!G14*((R2991-1)*IF(Skills!H14&gt;0,Skills!I14/Skills!H14,1)+IF(Skills!H14&gt;0,MIN(Skills!I14,MAX(0,MAX(0,Inputs!$B$44-B3022)-((R2991-1)*IF(Inputs!$B$39="pvp",15,MAX(0.1,Skills!D14-IF(TRUE=TRUE,Inputs!$B$32,0))))))/Skills!H14,1)))/Inputs!$B$44),G2991*Q2991))*IF(Inputs!$B$39="pvp",1,1+(Inputs!$B$20+0+Skills!P14+B3012+(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Hunt"),CHOOSE(ArtifactsInput!$N$35+1,15,18,21,24,27,30)*(1-EXP(-(0.2*B3015)*5)),0)+IF(AND(ArtifactsInput!$M$22,Inputs!$B$4&lt;&gt;"Chapter Hunt"),CHOOSE(ArtifactsInput!$N$22+1,10,12,14,16,18,20)*((0*(((0.15*B3015*5))^0/1)+1*(((0.15*B3015*5))^1/1)+2*(((0.15*B3015*5))^2/2)+3*(((0.15*B3015*5))^3/6)+4*(((0.15*B3015*5))^4/24)+5*(((0.15*B3015*5))^5/120))/((((0.15*B3015*5))^0/1)+(((0.15*B3015*5))^1/1)+(((0.15*B3015*5))^2/2)+(((0.15*B3015*5))^3/6)+(((0.15*B3015*5))^4/24)+(((0.15*B3015*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2991*(1-MIN(100,(Inputs!$B$9+((C3003=TRUE)*(F3003-Calc!F26))+B3011+(ArtifactsInput!$M$24-ArtifactsInput!$M$24)*CHOOSE(ArtifactsInput!$N$24+1,10,12,14,16,18,20)+(IF(AND(Inputs!$B$39&lt;&gt;"pvp",Inputs!$B$44=0),1,IF(IF(Inputs!$B$39="pvp",15,Inputs!$B$44)-(B3022)&lt;=0,1,MAX(0,IF(Inputs!$B$39="pvp",15,Inputs!$B$44)-MAX(5,B3022))/(IF(Inputs!$B$39="pvp",15,Inputs!$B$44)-(B3022))))*IF(AND(ArtifactsInput!$M$42,((Inputs!$B$9+((C3003=TRUE)*(F3003-Calc!F26))+B3011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2991*(MIN(100,(Inputs!$B$9+((C3003=TRUE)*(F3003-Calc!F26))+B3011+(ArtifactsInput!$M$24-ArtifactsInput!$M$24)*CHOOSE(ArtifactsInput!$N$24+1,10,12,14,16,18,20)+(IF(AND(Inputs!$B$39&lt;&gt;"pvp",Inputs!$B$44=0),1,IF(IF(Inputs!$B$39="pvp",15,Inputs!$B$44)-(B3022)&lt;=0,1,MAX(0,IF(Inputs!$B$39="pvp",15,Inputs!$B$44)-MAX(5,B3022))/(IF(Inputs!$B$39="pvp",15,Inputs!$B$44)-(B3022))))*IF(AND(ArtifactsInput!$M$42,((Inputs!$B$9+((C3003=TRUE)*(F3003-Calc!F26))+B3011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2991*(1-MIN(100,(Inputs!$B$9+((C3003=TRUE)*(F3003-Calc!F26))+B3011+(ArtifactsInput!$M$24-ArtifactsInput!$M$24)*CHOOSE(ArtifactsInput!$N$24+1,10,12,14,16,18,20)+(IF(AND(Inputs!$B$39&lt;&gt;"pvp",Inputs!$B$44=0),1,IF(IF(Inputs!$B$39="pvp",15,Inputs!$B$44)-(B3022)&lt;=0,1,MAX(0,IF(Inputs!$B$39="pvp",15,Inputs!$B$44)-MAX(5,B3022))/(IF(Inputs!$B$39="pvp",15,Inputs!$B$44)-(B3022))))*IF(AND(ArtifactsInput!$M$42,((Inputs!$B$9+((C3003=TRUE)*(F3003-Calc!F26))+B3011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2991*(MIN(100,(Inputs!$B$9+((C3003=TRUE)*(F3003-Calc!F26))+B3011+(ArtifactsInput!$M$24-ArtifactsInput!$M$24)*CHOOSE(ArtifactsInput!$N$24+1,10,12,14,16,18,20)+(IF(AND(Inputs!$B$39&lt;&gt;"pvp",Inputs!$B$44=0),1,IF(IF(Inputs!$B$39="pvp",15,Inputs!$B$44)-(B3022)&lt;=0,1,MAX(0,IF(Inputs!$B$39="pvp",15,Inputs!$B$44)-MAX(5,B3022))/(IF(Inputs!$B$39="pvp",15,Inputs!$B$44)-(B3022))))*IF(AND(ArtifactsInput!$M$42,((Inputs!$B$9+((C3003=TRUE)*(F3003-Calc!F26))+B3011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991">
        <f>IF(C2991,(H2991*N2991*IF(AND(Inputs!$B$39&lt;&gt;"pvp",Inputs!$B$44&gt;0),((Skills!G14*((R2991-1)*IF(Skills!H14&gt;0,Skills!I14/Skills!H14,1)+IF(Skills!H14&gt;0,MIN(Skills!I14,MAX(0,MAX(0,Inputs!$B$44-B3022)-((R2991-1)*IF(Inputs!$B$39="pvp",15,MAX(0.1,Skills!D14-IF(TRUE=TRUE,Inputs!$B$32,0))))))/Skills!H14,1)))/Inputs!$B$44),G2991*Q2991))*IF(Inputs!$B$39="pvp",1,(1+(Inputs!$B$21+Skills!Q14+B3012+(IF(ArtifactsInput!$M$33,CHOOSE(ArtifactsInput!$N$33+1,30,36,42,48,54,60),0))+(IF(AND(ArtifactsInput!$M$35,Inputs!$B$4&lt;&gt;"Chapter Hunt"),CHOOSE(ArtifactsInput!$N$35+1,15,18,21,24,27,30)*(1-EXP(-(0.2*B3015)*5)),0)+IF(AND(ArtifactsInput!$M$22,Inputs!$B$4&lt;&gt;"Chapter Hunt"),CHOOSE(ArtifactsInput!$N$22+1,10,12,14,16,18,20)*((0*(((0.15*B3015*5))^0/1)+1*(((0.15*B3015*5))^1/1)+2*(((0.15*B3015*5))^2/2)+3*(((0.15*B3015*5))^3/6)+4*(((0.15*B3015*5))^4/24)+5*(((0.15*B3015*5))^5/120))/((((0.15*B3015*5))^0/1)+(((0.15*B3015*5))^1/1)+(((0.15*B3015*5))^2/2)+(((0.15*B3015*5))^3/6)+(((0.15*B3015*5))^4/24)+(((0.15*B3015*5))^5/120))),0)))/100)*(MIN(Skills!W14,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992">
      <c r="A2992">
        <f>Skills!A15</f>
        <v/>
      </c>
      <c r="B2992">
        <f>Skills!B15</f>
        <v/>
      </c>
      <c r="C2992">
        <f>Inputs!$B$3&gt;=107</f>
        <v/>
      </c>
      <c r="D2992">
        <f>IF(Skills!C15=1,60+Inputs!$B$25+Inputs!$B$29,IF(Skills!C15=2,90+Inputs!$B$26+Inputs!$B$29,IF(Skills!C15=3,120+Inputs!$B$27+Inputs!$B$29,MAX(0,(Inputs!$B$3-100)*3)+Inputs!$B$28+Inputs!$B$29)))</f>
        <v/>
      </c>
      <c r="E2992">
        <f>INDEX(FactorTable!$B$2:$Y$301, MATCH(ROUND(MIN(300,MAX(1,D2992)),0), FactorTable!$A$2:$A$301,0), Skills!M15+1)</f>
        <v/>
      </c>
      <c r="F2992">
        <f>IF(Skills!N15=TRUE,(Skills!L15/10)*(E2992/1000),Skills!L15/10)+Skills!O15</f>
        <v/>
      </c>
      <c r="G2992">
        <f>Skills!G15*IF(Skills!H15&gt;0,IF(Inputs!$B$39="pvp",MIN(Skills!I15,15),Skills!I15)/Skills!H15,1)</f>
        <v/>
      </c>
      <c r="H2992">
        <f>1-(1-Skills!J15/100)^Skills!K15</f>
        <v/>
      </c>
      <c r="I2992" t="inlineStr">
        <is>
          <t>1</t>
        </is>
      </c>
      <c r="J2992">
        <f>((Inputs!$B$6*(1+Inputs!$B$7/100))+(((Inputs!$B$12*(1+Inputs!$B$13/100))-(Inputs!$B$12*(1+Inputs!$B$13/100)))+0.25*(Inputs!$B$14-Inputs!$B$14))*(1+Inputs!$B$7/100))*(F2992/100)</f>
        <v/>
      </c>
      <c r="K2992">
        <f>J2992*(1+((Inputs!$B$12*(1+Inputs!$B$13/100))*0.01+Inputs!$B$14*0.0025)/100)*(1+Inputs!$B$15/100)*(1+Inputs!$B$16/100)*(5000/(6000+Inputs!$B$43*(1-(100*(1-(1-Inputs!$B$19/100)*(1-CHOOSE(ArtifactsInput!$N$40+1,5,6,7,8,9,10)/100)^(ArtifactsInput!$M$40-ArtifactsInput!$M$40)))/100)))*(1+(Inputs!$B$24+((C3008=TRUE)*(F3008-Calc!F31))+((C2995=TRUE)*(F2995-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15="CRUEL_STAB",Inputs!$B$17+((C3005=TRUE)*(F3005-Calc!F28))+((IF(AND(Inputs!$B$39&lt;&gt;"pvp",Inputs!$B$44=0),1,IF(IF(Inputs!$B$39="pvp",15,Inputs!$B$44)-(B3022)&lt;=0,1,MAX(0,IF(Inputs!$B$39="pvp",15,Inputs!$B$44)-MAX(5,B3022))/(IF(Inputs!$B$39="pvp",15,Inputs!$B$44)-(B3022))))*(IF(AND(ArtifactsInput!$M$42,((Inputs!$B$9+((C3003=TRUE)*(F3003-Calc!F26))+B3011+(ArtifactsInput!$M$24-ArtifactsInput!$M$24)*CHOOSE(ArtifactsInput!$N$24+1,10,12,14,16,18,20)+IF(ArtifactsInput!$M$10,CHOOSE(ArtifactsInput!$N$10+1,15,18,21,24,27,30)*(IF(Inputs!$B$39="pvp",MIN(15,15)/15,IF(AND(Inputs!$B$39&lt;&gt;"pvp",Inputs!$B$44&gt;0),MIN(15,Inputs!$B$44)/(Inputs!$B$44),0))),0)))&gt;=100),MIN(100,((Inputs!$B$9+((C3003=TRUE)*(F3003-Calc!F26))+B3011+(ArtifactsInput!$M$24-ArtifactsInput!$M$24)*CHOOSE(ArtifactsInput!$N$24+1,10,12,14,16,18,20)+IF(ArtifactsInput!$M$10,CHOOSE(ArtifactsInput!$N$10+1,15,18,21,24,27,30)*(IF(Inputs!$B$39="pvp",MIN(15,15)/15,IF(AND(Inputs!$B$39&lt;&gt;"pvp",Inputs!$B$44&gt;0),MIN(15,Inputs!$B$44)/(Inputs!$B$44),0))),0)))-100),0))*CHOOSE(ArtifactsInput!$N$42+1,0.6,0.72,0.84,0.96,1.08,1.2))),Inputs!$B$18+((C3006=TRUE)*(F3006-Calc!F29))+(IF(AND(Inputs!$B$39&lt;&gt;"pvp",Inputs!$B$44=0),1,IF(IF(Inputs!$B$39="pvp",15,Inputs!$B$44)-(B3022)&lt;=0,1,MAX(0,IF(Inputs!$B$39="pvp",15,Inputs!$B$44)-MAX(5,B3022))/(IF(Inputs!$B$39="pvp",15,Inputs!$B$44)-(B3022))))*IF(AND(ArtifactsInput!$M$42,((Inputs!$B$9+((C3003=TRUE)*(F3003-Calc!F26))+B3011+(ArtifactsInput!$M$24-ArtifactsInput!$M$24)*CHOOSE(ArtifactsInput!$N$24+1,10,12,14,16,18,20)+IF(ArtifactsInput!$M$10,CHOOSE(ArtifactsInput!$N$10+1,15,18,21,24,27,30)*(IF(Inputs!$B$39="pvp",MIN(15,15)/15,IF(AND(Inputs!$B$39&lt;&gt;"pvp",Inputs!$B$44&gt;0),MIN(15,Inputs!$B$44)/(Inputs!$B$44),0))),0)))&gt;=100),CHOOSE(ArtifactsInput!$N$42+1,40,48,56,64,72,80),0))))/100)*(((1+(((C2999=TRUE)*F2999*IF(AND(Inputs!$B$39&lt;&gt;"pvp",Inputs!$B$44&gt;0),(((R2999-1)*MIN((Skills!Y22*(1+Inputs!$B$34/100)),(1/Q2999))+MIN((Skills!Y22*(1+Inputs!$B$34/100)),MAX(0,Inputs!$B$44-((R2999-1)*(1/Q2999)))))/Inputs!$B$44),IF(Inputs!$B$39="pvp",MIN((Skills!Y22*(1+Inputs!$B$34/100)),15)/15,MIN(1,(Skills!Y22*(1+Inputs!$B$34/100))/(1/Q2999)))))+((C2980=TRUE)*F2980*3)+((C2982=TRUE)*F2982*(1-EXP(-0.75*B3015*5)))+((C3001=TRUE)*(F3001-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IF(ArtifactsInput!$M$37,FALSE,TRUE),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2988=TRUE)*F2988*IF(AND(Inputs!$B$39&lt;&gt;"pvp",Inputs!$B$44&gt;0),(((R2988-1)*MIN((Skills!Y11*(1+Inputs!$B$34/100)),(1/Q2988))+MIN((Skills!Y11*(1+Inputs!$B$34/100)),MAX(0,Inputs!$B$44-((R2988-1)*(1/Q2988)))))/Inputs!$B$44),IF(Inputs!$B$39="pvp",MIN((Skills!Y11*(1+Inputs!$B$34/100)),15)/15,MIN(1,(Skills!Y11*(1+Inputs!$B$34/100))/(1/Q2988)))))/100)*(1+((C2993=TRUE)*F2993*IF(AND(Inputs!$B$39&lt;&gt;"pvp",Inputs!$B$44&gt;0),(((R2993-1)*MIN((Skills!Y16*(1+Inputs!$B$34/100)),(1/Q2993))+MIN((Skills!Y16*(1+Inputs!$B$34/100)),MAX(0,Inputs!$B$44-((R2993-1)*(1/Q2993)))))/Inputs!$B$44),IF(Inputs!$B$39="pvp",MIN((Skills!Y16*(1+Inputs!$B$34/100)),15)/15,MIN(1,(Skills!Y16*(1+Inputs!$B$34/100))/(1/Q2993)))))/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3013*I2992)</f>
        <v/>
      </c>
      <c r="L2992">
        <f>K2992*(MIN(Inputs!$B$22+((C3002=TRUE)*(F3002-Calc!F25)),(Inputs!$B$23+((C3007=TRUE)*(F3007-Calc!F30))+IF(ArtifactsInput!$M$15,CHOOSE(ArtifactsInput!$N$15+1,25,30,35,40,45,50)/100*(Inputs!$B$11-Inputs!$B$11),0)))/100+(Inputs!$B$23+((C3007=TRUE)*(F3007-Calc!F30))+IF(ArtifactsInput!$M$15,CHOOSE(ArtifactsInput!$N$15+1,25,30,35,40,45,50)/100*(Inputs!$B$11-Inputs!$B$11),0))/100)/2</f>
        <v/>
      </c>
      <c r="M2992">
        <f>L2992*(1+(Inputs!$B$10+((C3004=TRUE)*(F3004-Calc!F27))+B3018+(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2992">
        <f>L2992*(1-MIN((Inputs!$B$9+((C3003=TRUE)*(F3003-Calc!F26))+B3011+(ArtifactsInput!$M$24-ArtifactsInput!$M$24)*CHOOSE(ArtifactsInput!$N$24+1,10,12,14,16,18,20)+(IF(AND(Inputs!$B$39&lt;&gt;"pvp",Inputs!$B$44=0),1,IF(IF(Inputs!$B$39="pvp",15,Inputs!$B$44)-(B3022)&lt;=0,1,MAX(0,IF(Inputs!$B$39="pvp",15,Inputs!$B$44)-MAX(5,B3022))/(IF(Inputs!$B$39="pvp",15,Inputs!$B$44)-(B3022))))*IF(AND(ArtifactsInput!$M$42,((Inputs!$B$9+((C3003=TRUE)*(F3003-Calc!F26))+B3011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2992*(MIN((Inputs!$B$9+((C3003=TRUE)*(F3003-Calc!F26))+B3011+(ArtifactsInput!$M$24-ArtifactsInput!$M$24)*CHOOSE(ArtifactsInput!$N$24+1,10,12,14,16,18,20)+(IF(AND(Inputs!$B$39&lt;&gt;"pvp",Inputs!$B$44=0),1,IF(IF(Inputs!$B$39="pvp",15,Inputs!$B$44)-(B3022)&lt;=0,1,MAX(0,IF(Inputs!$B$39="pvp",15,Inputs!$B$44)-MAX(5,B3022))/(IF(Inputs!$B$39="pvp",15,Inputs!$B$44)-(B3022))))*IF(AND(ArtifactsInput!$M$42,((Inputs!$B$9+((C3003=TRUE)*(F3003-Calc!F26))+B3011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992">
        <f>(1-Summary!$B$11)*T2992+Summary!$B$11*V2992</f>
        <v/>
      </c>
      <c r="P2992">
        <f>IF(B3023=0,0,O2992/B3023)</f>
        <v/>
      </c>
      <c r="Q2992">
        <f>IFERROR(1/IF(Inputs!$B$39="pvp",15,MAX(0.1,Skills!D15-IF(TRUE=TRUE,Inputs!$B$32,0))),0)</f>
        <v/>
      </c>
      <c r="R2992">
        <f>IF(AND(Inputs!$B$39&lt;&gt;"pvp",Inputs!$B$44&gt;0),IF(MAX(0,Inputs!$B$44-B3022)&lt;=0,0,(INT(MAX(0,Inputs!$B$44-B3022)/IF(Inputs!$B$39="pvp",15,MAX(0.1,Skills!D15-IF(TRUE=TRUE,Inputs!$B$32,0))))+1)),0)</f>
        <v/>
      </c>
      <c r="S2992">
        <f>IFERROR(O2992/N2992,0)</f>
        <v/>
      </c>
      <c r="T2992">
        <f>IF(C2992,(H2992*N2992*IF(AND(Inputs!$B$39&lt;&gt;"pvp",Inputs!$B$44&gt;0),((Skills!G15*((R2992-1)*IF(Skills!H15&gt;0,Skills!I15/Skills!H15,1)+IF(Skills!H15&gt;0,MIN(Skills!I15,MAX(0,MAX(0,Inputs!$B$44-B3022)-((R2992-1)*IF(Inputs!$B$39="pvp",15,MAX(0.1,Skills!D15-IF(TRUE=TRUE,Inputs!$B$32,0))))))/Skills!H15,1)))/Inputs!$B$44),G2992*Q2992))*IF(Inputs!$B$39="pvp",1,1+(Inputs!$B$20+0+Skills!P15+B3012+(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Hunt"),CHOOSE(ArtifactsInput!$N$35+1,15,18,21,24,27,30)*(1-EXP(-(0.2*B3015)*5)),0)+IF(AND(ArtifactsInput!$M$22,Inputs!$B$4&lt;&gt;"Chapter Hunt"),CHOOSE(ArtifactsInput!$N$22+1,10,12,14,16,18,20)*((0*(((0.15*B3015*5))^0/1)+1*(((0.15*B3015*5))^1/1)+2*(((0.15*B3015*5))^2/2)+3*(((0.15*B3015*5))^3/6)+4*(((0.15*B3015*5))^4/24)+5*(((0.15*B3015*5))^5/120))/((((0.15*B3015*5))^0/1)+(((0.15*B3015*5))^1/1)+(((0.15*B3015*5))^2/2)+(((0.15*B3015*5))^3/6)+(((0.15*B3015*5))^4/24)+(((0.15*B3015*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2992*(1-MIN(100,(Inputs!$B$9+((C3003=TRUE)*(F3003-Calc!F26))+B3011+(ArtifactsInput!$M$24-ArtifactsInput!$M$24)*CHOOSE(ArtifactsInput!$N$24+1,10,12,14,16,18,20)+(IF(AND(Inputs!$B$39&lt;&gt;"pvp",Inputs!$B$44=0),1,IF(IF(Inputs!$B$39="pvp",15,Inputs!$B$44)-(B3022)&lt;=0,1,MAX(0,IF(Inputs!$B$39="pvp",15,Inputs!$B$44)-MAX(5,B3022))/(IF(Inputs!$B$39="pvp",15,Inputs!$B$44)-(B3022))))*IF(AND(ArtifactsInput!$M$42,((Inputs!$B$9+((C3003=TRUE)*(F3003-Calc!F26))+B3011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2992*(MIN(100,(Inputs!$B$9+((C3003=TRUE)*(F3003-Calc!F26))+B3011+(ArtifactsInput!$M$24-ArtifactsInput!$M$24)*CHOOSE(ArtifactsInput!$N$24+1,10,12,14,16,18,20)+(IF(AND(Inputs!$B$39&lt;&gt;"pvp",Inputs!$B$44=0),1,IF(IF(Inputs!$B$39="pvp",15,Inputs!$B$44)-(B3022)&lt;=0,1,MAX(0,IF(Inputs!$B$39="pvp",15,Inputs!$B$44)-MAX(5,B3022))/(IF(Inputs!$B$39="pvp",15,Inputs!$B$44)-(B3022))))*IF(AND(ArtifactsInput!$M$42,((Inputs!$B$9+((C3003=TRUE)*(F3003-Calc!F26))+B3011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2992*(1-MIN(100,(Inputs!$B$9+((C3003=TRUE)*(F3003-Calc!F26))+B3011+(ArtifactsInput!$M$24-ArtifactsInput!$M$24)*CHOOSE(ArtifactsInput!$N$24+1,10,12,14,16,18,20)+(IF(AND(Inputs!$B$39&lt;&gt;"pvp",Inputs!$B$44=0),1,IF(IF(Inputs!$B$39="pvp",15,Inputs!$B$44)-(B3022)&lt;=0,1,MAX(0,IF(Inputs!$B$39="pvp",15,Inputs!$B$44)-MAX(5,B3022))/(IF(Inputs!$B$39="pvp",15,Inputs!$B$44)-(B3022))))*IF(AND(ArtifactsInput!$M$42,((Inputs!$B$9+((C3003=TRUE)*(F3003-Calc!F26))+B3011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2992*(MIN(100,(Inputs!$B$9+((C3003=TRUE)*(F3003-Calc!F26))+B3011+(ArtifactsInput!$M$24-ArtifactsInput!$M$24)*CHOOSE(ArtifactsInput!$N$24+1,10,12,14,16,18,20)+(IF(AND(Inputs!$B$39&lt;&gt;"pvp",Inputs!$B$44=0),1,IF(IF(Inputs!$B$39="pvp",15,Inputs!$B$44)-(B3022)&lt;=0,1,MAX(0,IF(Inputs!$B$39="pvp",15,Inputs!$B$44)-MAX(5,B3022))/(IF(Inputs!$B$39="pvp",15,Inputs!$B$44)-(B3022))))*IF(AND(ArtifactsInput!$M$42,((Inputs!$B$9+((C3003=TRUE)*(F3003-Calc!F26))+B3011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992">
        <f>IF(C2992,(H2992*N2992*IF(AND(Inputs!$B$39&lt;&gt;"pvp",Inputs!$B$44&gt;0),((Skills!G15*((R2992-1)*IF(Skills!H15&gt;0,Skills!I15/Skills!H15,1)+IF(Skills!H15&gt;0,MIN(Skills!I15,MAX(0,MAX(0,Inputs!$B$44-B3022)-((R2992-1)*IF(Inputs!$B$39="pvp",15,MAX(0.1,Skills!D15-IF(TRUE=TRUE,Inputs!$B$32,0))))))/Skills!H15,1)))/Inputs!$B$44),G2992*Q2992))*IF(Inputs!$B$39="pvp",1,(1+(Inputs!$B$21+Skills!Q15+B3012+(IF(ArtifactsInput!$M$33,CHOOSE(ArtifactsInput!$N$33+1,30,36,42,48,54,60),0))+(IF(AND(ArtifactsInput!$M$35,Inputs!$B$4&lt;&gt;"Chapter Hunt"),CHOOSE(ArtifactsInput!$N$35+1,15,18,21,24,27,30)*(1-EXP(-(0.2*B3015)*5)),0)+IF(AND(ArtifactsInput!$M$22,Inputs!$B$4&lt;&gt;"Chapter Hunt"),CHOOSE(ArtifactsInput!$N$22+1,10,12,14,16,18,20)*((0*(((0.15*B3015*5))^0/1)+1*(((0.15*B3015*5))^1/1)+2*(((0.15*B3015*5))^2/2)+3*(((0.15*B3015*5))^3/6)+4*(((0.15*B3015*5))^4/24)+5*(((0.15*B3015*5))^5/120))/((((0.15*B3015*5))^0/1)+(((0.15*B3015*5))^1/1)+(((0.15*B3015*5))^2/2)+(((0.15*B3015*5))^3/6)+(((0.15*B3015*5))^4/24)+(((0.15*B3015*5))^5/120))),0)))/100)*(MIN(MIN(5,0.5*IF(Inputs!$B$3&gt;=75,0.75,0.5)*B3015*(1/Q2981))*Skills!V15,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993">
      <c r="A2993">
        <f>Skills!A16</f>
        <v/>
      </c>
      <c r="B2993">
        <f>Skills!B16</f>
        <v/>
      </c>
      <c r="C2993">
        <f>Inputs!$B$3&gt;=110</f>
        <v/>
      </c>
      <c r="D2993">
        <f>IF(Skills!C16=1,60+Inputs!$B$25+Inputs!$B$29,IF(Skills!C16=2,90+Inputs!$B$26+Inputs!$B$29,IF(Skills!C16=3,120+Inputs!$B$27+Inputs!$B$29,MAX(0,(Inputs!$B$3-100)*3)+Inputs!$B$28+Inputs!$B$29)))</f>
        <v/>
      </c>
      <c r="E2993">
        <f>INDEX(FactorTable!$B$2:$Y$301, MATCH(ROUND(MIN(300,MAX(1,D2993)),0), FactorTable!$A$2:$A$301,0), Skills!M16+1)</f>
        <v/>
      </c>
      <c r="F2993">
        <f>IF(Skills!N16=TRUE,(Skills!L16/10)*(E2993/1000),Skills!L16/10)+Skills!O16</f>
        <v/>
      </c>
      <c r="G2993">
        <f>Skills!G16*IF(Skills!H16&gt;0,IF(Inputs!$B$39="pvp",MIN(Skills!I16,15),Skills!I16)/Skills!H16,1)</f>
        <v/>
      </c>
      <c r="H2993">
        <f>1-(1-Skills!J16/100)^Skills!K16</f>
        <v/>
      </c>
      <c r="I2993" t="inlineStr">
        <is>
          <t>1</t>
        </is>
      </c>
      <c r="J2993" t="inlineStr"/>
      <c r="K2993" t="inlineStr"/>
      <c r="L2993" t="inlineStr"/>
      <c r="M2993" t="inlineStr"/>
      <c r="N2993" t="inlineStr"/>
      <c r="O2993">
        <f>(1-Summary!$B$11)*T2993+Summary!$B$11*V2993</f>
        <v/>
      </c>
      <c r="P2993">
        <f>IF(B3023=0,0,O2993/B3023)</f>
        <v/>
      </c>
      <c r="Q2993">
        <f>IFERROR(1/IF(Inputs!$B$39="pvp",15,MAX(0.1,Skills!D16-IF(TRUE=TRUE,Inputs!$B$32,0))),0)</f>
        <v/>
      </c>
      <c r="R2993">
        <f>IF(AND(Inputs!$B$39&lt;&gt;"pvp",Inputs!$B$44&gt;0),IF(Inputs!$B$44&lt;=0,0,(INT(Inputs!$B$44/IF(Inputs!$B$39="pvp",15,MAX(0.1,Skills!D16-IF(TRUE=TRUE,Inputs!$B$32,0))))+1)),0)</f>
        <v/>
      </c>
      <c r="S2993">
        <f>IFERROR(O2993/N2993,0)</f>
        <v/>
      </c>
      <c r="T2993" t="n">
        <v>0</v>
      </c>
      <c r="V2993" t="n">
        <v>0</v>
      </c>
    </row>
    <row r="2994">
      <c r="A2994">
        <f>Skills!A17</f>
        <v/>
      </c>
      <c r="B2994">
        <f>Skills!B17</f>
        <v/>
      </c>
      <c r="C2994">
        <f>Inputs!$B$3&gt;=115</f>
        <v/>
      </c>
      <c r="D2994">
        <f>IF(Skills!C17=1,60+Inputs!$B$25+Inputs!$B$29,IF(Skills!C17=2,90+Inputs!$B$26+Inputs!$B$29,IF(Skills!C17=3,120+Inputs!$B$27+Inputs!$B$29,MAX(0,(Inputs!$B$3-100)*3)+Inputs!$B$28+Inputs!$B$29)))</f>
        <v/>
      </c>
      <c r="E2994">
        <f>INDEX(FactorTable!$B$2:$Y$301, MATCH(ROUND(MIN(300,MAX(1,D2994)),0), FactorTable!$A$2:$A$301,0), Skills!M17+1)</f>
        <v/>
      </c>
      <c r="F2994">
        <f>IF(Skills!N17=TRUE,(Skills!L17/10)*(E2994/1000),Skills!L17/10)+Skills!O17</f>
        <v/>
      </c>
      <c r="G2994">
        <f>Skills!G17*IF(Skills!H17&gt;0,IF(Inputs!$B$39="pvp",MIN(Skills!I17,15),Skills!I17)/Skills!H17,1)</f>
        <v/>
      </c>
      <c r="H2994">
        <f>1-(1-Skills!J17/100)^Skills!K17</f>
        <v/>
      </c>
      <c r="I2994" t="inlineStr">
        <is>
          <t>1</t>
        </is>
      </c>
      <c r="J2994">
        <f>((Inputs!$B$6*(1+Inputs!$B$7/100))+(((Inputs!$B$12*(1+Inputs!$B$13/100))-(Inputs!$B$12*(1+Inputs!$B$13/100)))+0.25*(Inputs!$B$14-Inputs!$B$14))*(1+Inputs!$B$7/100))*(F2994/100)</f>
        <v/>
      </c>
      <c r="K2994">
        <f>J2994*(1+((Inputs!$B$12*(1+Inputs!$B$13/100))*0.01+Inputs!$B$14*0.0025)/100)*(1+Inputs!$B$15/100)*(1+Inputs!$B$16/100)*(5000/(6000+Inputs!$B$43*(1-(100*(1-(1-Inputs!$B$19/100)*(1-CHOOSE(ArtifactsInput!$N$40+1,5,6,7,8,9,10)/100)^(ArtifactsInput!$M$40-ArtifactsInput!$M$40)))/100)))*(1+(Inputs!$B$24+((C3008=TRUE)*(F3008-Calc!F31))+((C2995=TRUE)*(F2995-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17="CRUEL_STAB",Inputs!$B$17+((C3005=TRUE)*(F3005-Calc!F28))+((IF(AND(Inputs!$B$39&lt;&gt;"pvp",Inputs!$B$44=0),1,IF(IF(Inputs!$B$39="pvp",15,Inputs!$B$44)-(B3022)&lt;=0,1,MAX(0,IF(Inputs!$B$39="pvp",15,Inputs!$B$44)-MAX(5,B3022))/(IF(Inputs!$B$39="pvp",15,Inputs!$B$44)-(B3022))))*(IF(AND(ArtifactsInput!$M$42,((Inputs!$B$9+((C3003=TRUE)*(F3003-Calc!F26))+B3011+(ArtifactsInput!$M$24-ArtifactsInput!$M$24)*CHOOSE(ArtifactsInput!$N$24+1,10,12,14,16,18,20)+IF(ArtifactsInput!$M$10,CHOOSE(ArtifactsInput!$N$10+1,15,18,21,24,27,30)*(IF(Inputs!$B$39="pvp",MIN(15,15)/15,IF(AND(Inputs!$B$39&lt;&gt;"pvp",Inputs!$B$44&gt;0),MIN(15,Inputs!$B$44)/(Inputs!$B$44),0))),0)))&gt;=100),MIN(100,((Inputs!$B$9+((C3003=TRUE)*(F3003-Calc!F26))+B3011+(ArtifactsInput!$M$24-ArtifactsInput!$M$24)*CHOOSE(ArtifactsInput!$N$24+1,10,12,14,16,18,20)+IF(ArtifactsInput!$M$10,CHOOSE(ArtifactsInput!$N$10+1,15,18,21,24,27,30)*(IF(Inputs!$B$39="pvp",MIN(15,15)/15,IF(AND(Inputs!$B$39&lt;&gt;"pvp",Inputs!$B$44&gt;0),MIN(15,Inputs!$B$44)/(Inputs!$B$44),0))),0)))-100),0))*CHOOSE(ArtifactsInput!$N$42+1,0.6,0.72,0.84,0.96,1.08,1.2))),Inputs!$B$18+((C3006=TRUE)*(F3006-Calc!F29))+(IF(AND(Inputs!$B$39&lt;&gt;"pvp",Inputs!$B$44=0),1,IF(IF(Inputs!$B$39="pvp",15,Inputs!$B$44)-(B3022)&lt;=0,1,MAX(0,IF(Inputs!$B$39="pvp",15,Inputs!$B$44)-MAX(5,B3022))/(IF(Inputs!$B$39="pvp",15,Inputs!$B$44)-(B3022))))*IF(AND(ArtifactsInput!$M$42,((Inputs!$B$9+((C3003=TRUE)*(F3003-Calc!F26))+B3011+(ArtifactsInput!$M$24-ArtifactsInput!$M$24)*CHOOSE(ArtifactsInput!$N$24+1,10,12,14,16,18,20)+IF(ArtifactsInput!$M$10,CHOOSE(ArtifactsInput!$N$10+1,15,18,21,24,27,30)*(IF(Inputs!$B$39="pvp",MIN(15,15)/15,IF(AND(Inputs!$B$39&lt;&gt;"pvp",Inputs!$B$44&gt;0),MIN(15,Inputs!$B$44)/(Inputs!$B$44),0))),0)))&gt;=100),CHOOSE(ArtifactsInput!$N$42+1,40,48,56,64,72,80),0))))/100)*(((1+(((C2999=TRUE)*F2999*IF(AND(Inputs!$B$39&lt;&gt;"pvp",Inputs!$B$44&gt;0),(((R2999-1)*MIN((Skills!Y22*(1+Inputs!$B$34/100)),(1/Q2999))+MIN((Skills!Y22*(1+Inputs!$B$34/100)),MAX(0,Inputs!$B$44-((R2999-1)*(1/Q2999)))))/Inputs!$B$44),IF(Inputs!$B$39="pvp",MIN((Skills!Y22*(1+Inputs!$B$34/100)),15)/15,MIN(1,(Skills!Y22*(1+Inputs!$B$34/100))/(1/Q2999)))))+((C2980=TRUE)*F2980*3)+((C2982=TRUE)*F2982*(1-EXP(-0.75*B3015*5)))+((C3001=TRUE)*(F3001-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IF(ArtifactsInput!$M$37,FALSE,TRUE),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2988=TRUE)*F2988*IF(AND(Inputs!$B$39&lt;&gt;"pvp",Inputs!$B$44&gt;0),(((R2988-1)*MIN((Skills!Y11*(1+Inputs!$B$34/100)),(1/Q2988))+MIN((Skills!Y11*(1+Inputs!$B$34/100)),MAX(0,Inputs!$B$44-((R2988-1)*(1/Q2988)))))/Inputs!$B$44),IF(Inputs!$B$39="pvp",MIN((Skills!Y11*(1+Inputs!$B$34/100)),15)/15,MIN(1,(Skills!Y11*(1+Inputs!$B$34/100))/(1/Q2988)))))/100)*(1+((C2993=TRUE)*F2993*IF(AND(Inputs!$B$39&lt;&gt;"pvp",Inputs!$B$44&gt;0),(((R2993-1)*MIN((Skills!Y16*(1+Inputs!$B$34/100)),(1/Q2993))+MIN((Skills!Y16*(1+Inputs!$B$34/100)),MAX(0,Inputs!$B$44-((R2993-1)*(1/Q2993)))))/Inputs!$B$44),IF(Inputs!$B$39="pvp",MIN((Skills!Y16*(1+Inputs!$B$34/100)),15)/15,MIN(1,(Skills!Y16*(1+Inputs!$B$34/100))/(1/Q2993)))))/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3013*I2994)</f>
        <v/>
      </c>
      <c r="L2994">
        <f>K2994*(MIN(Inputs!$B$22+((C3002=TRUE)*(F3002-Calc!F25)),(Inputs!$B$23+((C3007=TRUE)*(F3007-Calc!F30))+IF(ArtifactsInput!$M$15,CHOOSE(ArtifactsInput!$N$15+1,25,30,35,40,45,50)/100*(Inputs!$B$11-Inputs!$B$11),0)))/100+(Inputs!$B$23+((C3007=TRUE)*(F3007-Calc!F30))+IF(ArtifactsInput!$M$15,CHOOSE(ArtifactsInput!$N$15+1,25,30,35,40,45,50)/100*(Inputs!$B$11-Inputs!$B$11),0))/100)/2</f>
        <v/>
      </c>
      <c r="M2994">
        <f>L2994*(1+(Inputs!$B$10+((C3004=TRUE)*(F3004-Calc!F27))+B3018+(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2994">
        <f>L2994*(1-MIN((Inputs!$B$9+((C3003=TRUE)*(F3003-Calc!F26))+B3011+(ArtifactsInput!$M$24-ArtifactsInput!$M$24)*CHOOSE(ArtifactsInput!$N$24+1,10,12,14,16,18,20)+(IF(AND(Inputs!$B$39&lt;&gt;"pvp",Inputs!$B$44=0),1,IF(IF(Inputs!$B$39="pvp",15,Inputs!$B$44)-(B3022)&lt;=0,1,MAX(0,IF(Inputs!$B$39="pvp",15,Inputs!$B$44)-MAX(5,B3022))/(IF(Inputs!$B$39="pvp",15,Inputs!$B$44)-(B3022))))*IF(AND(ArtifactsInput!$M$42,((Inputs!$B$9+((C3003=TRUE)*(F3003-Calc!F26))+B3011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2994*(MIN((Inputs!$B$9+((C3003=TRUE)*(F3003-Calc!F26))+B3011+(ArtifactsInput!$M$24-ArtifactsInput!$M$24)*CHOOSE(ArtifactsInput!$N$24+1,10,12,14,16,18,20)+(IF(AND(Inputs!$B$39&lt;&gt;"pvp",Inputs!$B$44=0),1,IF(IF(Inputs!$B$39="pvp",15,Inputs!$B$44)-(B3022)&lt;=0,1,MAX(0,IF(Inputs!$B$39="pvp",15,Inputs!$B$44)-MAX(5,B3022))/(IF(Inputs!$B$39="pvp",15,Inputs!$B$44)-(B3022))))*IF(AND(ArtifactsInput!$M$42,((Inputs!$B$9+((C3003=TRUE)*(F3003-Calc!F26))+B3011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994">
        <f>(1-Summary!$B$11)*T2994+Summary!$B$11*V2994</f>
        <v/>
      </c>
      <c r="P2994">
        <f>IF(B3023=0,0,O2994/B3023)</f>
        <v/>
      </c>
      <c r="Q2994" t="n">
        <v>0</v>
      </c>
      <c r="R2994" t="n">
        <v>0</v>
      </c>
      <c r="S2994">
        <f>IFERROR(O2994/N2994,0)</f>
        <v/>
      </c>
      <c r="T2994">
        <f>IF(C2994,(Inputs!$B$38*0.2*N2994)*IF(Inputs!$B$39="pvp",1,1+(Inputs!$B$20+0+Skills!P17+B3012+(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Hunt"),CHOOSE(ArtifactsInput!$N$35+1,15,18,21,24,27,30)*(1-EXP(-(0.2*B3015)*5)),0)+IF(AND(ArtifactsInput!$M$22,Inputs!$B$4&lt;&gt;"Chapter Hunt"),CHOOSE(ArtifactsInput!$N$22+1,10,12,14,16,18,20)*((0*(((0.15*B3015*5))^0/1)+1*(((0.15*B3015*5))^1/1)+2*(((0.15*B3015*5))^2/2)+3*(((0.15*B3015*5))^3/6)+4*(((0.15*B3015*5))^4/24)+5*(((0.15*B3015*5))^5/120))/((((0.15*B3015*5))^0/1)+(((0.15*B3015*5))^1/1)+(((0.15*B3015*5))^2/2)+(((0.15*B3015*5))^3/6)+(((0.15*B3015*5))^4/24)+(((0.15*B3015*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2994*(1-MIN(100,(Inputs!$B$9+((C3003=TRUE)*(F3003-Calc!F26))+B3011+(ArtifactsInput!$M$24-ArtifactsInput!$M$24)*CHOOSE(ArtifactsInput!$N$24+1,10,12,14,16,18,20)+(IF(AND(Inputs!$B$39&lt;&gt;"pvp",Inputs!$B$44=0),1,IF(IF(Inputs!$B$39="pvp",15,Inputs!$B$44)-(B3022)&lt;=0,1,MAX(0,IF(Inputs!$B$39="pvp",15,Inputs!$B$44)-MAX(5,B3022))/(IF(Inputs!$B$39="pvp",15,Inputs!$B$44)-(B3022))))*IF(AND(ArtifactsInput!$M$42,((Inputs!$B$9+((C3003=TRUE)*(F3003-Calc!F26))+B3011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2994*(MIN(100,(Inputs!$B$9+((C3003=TRUE)*(F3003-Calc!F26))+B3011+(ArtifactsInput!$M$24-ArtifactsInput!$M$24)*CHOOSE(ArtifactsInput!$N$24+1,10,12,14,16,18,20)+(IF(AND(Inputs!$B$39&lt;&gt;"pvp",Inputs!$B$44=0),1,IF(IF(Inputs!$B$39="pvp",15,Inputs!$B$44)-(B3022)&lt;=0,1,MAX(0,IF(Inputs!$B$39="pvp",15,Inputs!$B$44)-MAX(5,B3022))/(IF(Inputs!$B$39="pvp",15,Inputs!$B$44)-(B3022))))*IF(AND(ArtifactsInput!$M$42,((Inputs!$B$9+((C3003=TRUE)*(F3003-Calc!F26))+B3011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2994*(1-MIN(100,(Inputs!$B$9+((C3003=TRUE)*(F3003-Calc!F26))+B3011+(ArtifactsInput!$M$24-ArtifactsInput!$M$24)*CHOOSE(ArtifactsInput!$N$24+1,10,12,14,16,18,20)+(IF(AND(Inputs!$B$39&lt;&gt;"pvp",Inputs!$B$44=0),1,IF(IF(Inputs!$B$39="pvp",15,Inputs!$B$44)-(B3022)&lt;=0,1,MAX(0,IF(Inputs!$B$39="pvp",15,Inputs!$B$44)-MAX(5,B3022))/(IF(Inputs!$B$39="pvp",15,Inputs!$B$44)-(B3022))))*IF(AND(ArtifactsInput!$M$42,((Inputs!$B$9+((C3003=TRUE)*(F3003-Calc!F26))+B3011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2994*(MIN(100,(Inputs!$B$9+((C3003=TRUE)*(F3003-Calc!F26))+B3011+(ArtifactsInput!$M$24-ArtifactsInput!$M$24)*CHOOSE(ArtifactsInput!$N$24+1,10,12,14,16,18,20)+(IF(AND(Inputs!$B$39&lt;&gt;"pvp",Inputs!$B$44=0),1,IF(IF(Inputs!$B$39="pvp",15,Inputs!$B$44)-(B3022)&lt;=0,1,MAX(0,IF(Inputs!$B$39="pvp",15,Inputs!$B$44)-MAX(5,B3022))/(IF(Inputs!$B$39="pvp",15,Inputs!$B$44)-(B3022))))*IF(AND(ArtifactsInput!$M$42,((Inputs!$B$9+((C3003=TRUE)*(F3003-Calc!F26))+B3011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994">
        <f>IF(C2994,(Inputs!$B$38*0.2*N2994)*IF(Inputs!$B$39="pvp",1,(1+(Inputs!$B$21+Skills!Q17+B3012+(IF(ArtifactsInput!$M$33,CHOOSE(ArtifactsInput!$N$33+1,30,36,42,48,54,60),0))+(IF(AND(ArtifactsInput!$M$35,Inputs!$B$4&lt;&gt;"Chapter Hunt"),CHOOSE(ArtifactsInput!$N$35+1,15,18,21,24,27,30)*(1-EXP(-(0.2*B3015)*5)),0)+IF(AND(ArtifactsInput!$M$22,Inputs!$B$4&lt;&gt;"Chapter Hunt"),CHOOSE(ArtifactsInput!$N$22+1,10,12,14,16,18,20)*((0*(((0.15*B3015*5))^0/1)+1*(((0.15*B3015*5))^1/1)+2*(((0.15*B3015*5))^2/2)+3*(((0.15*B3015*5))^3/6)+4*(((0.15*B3015*5))^4/24)+5*(((0.15*B3015*5))^5/120))/((((0.15*B3015*5))^0/1)+(((0.15*B3015*5))^1/1)+(((0.15*B3015*5))^2/2)+(((0.15*B3015*5))^3/6)+(((0.15*B3015*5))^4/24)+(((0.15*B3015*5))^5/120))),0)))/100)*(MIN(Skills!W17,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995">
      <c r="A2995">
        <f>Skills!A18</f>
        <v/>
      </c>
      <c r="B2995">
        <f>Skills!B18</f>
        <v/>
      </c>
      <c r="C2995">
        <f>Inputs!$B$3&gt;=115</f>
        <v/>
      </c>
      <c r="D2995">
        <f>IF(Skills!C18=1,60+Inputs!$B$25+Inputs!$B$29,IF(Skills!C18=2,90+Inputs!$B$26+Inputs!$B$29,IF(Skills!C18=3,120+Inputs!$B$27+Inputs!$B$29,MAX(0,(Inputs!$B$3-100)*3)+Inputs!$B$28+Inputs!$B$29)))</f>
        <v/>
      </c>
      <c r="E2995">
        <f>INDEX(FactorTable!$B$2:$Y$301, MATCH(ROUND(MIN(300,MAX(1,D2995)),0), FactorTable!$A$2:$A$301,0), Skills!M18+1)</f>
        <v/>
      </c>
      <c r="F2995">
        <f>IF(Skills!N18=TRUE,(Skills!L18/10)*(E2995/1000),Skills!L18/10)+Skills!O18</f>
        <v/>
      </c>
      <c r="G2995">
        <f>Skills!G18*IF(Skills!H18&gt;0,IF(Inputs!$B$39="pvp",MIN(Skills!I18,15),Skills!I18)/Skills!H18,1)</f>
        <v/>
      </c>
      <c r="H2995">
        <f>1-(1-Skills!J18/100)^Skills!K18</f>
        <v/>
      </c>
      <c r="I2995" t="inlineStr">
        <is>
          <t>1</t>
        </is>
      </c>
      <c r="J2995" t="inlineStr"/>
      <c r="K2995" t="inlineStr"/>
      <c r="L2995" t="inlineStr"/>
      <c r="M2995" t="inlineStr"/>
      <c r="N2995" t="inlineStr"/>
      <c r="O2995">
        <f>(1-Summary!$B$11)*T2995+Summary!$B$11*V2995</f>
        <v/>
      </c>
      <c r="P2995">
        <f>IF(B3023=0,0,O2995/B3023)</f>
        <v/>
      </c>
      <c r="Q2995" t="n">
        <v>0</v>
      </c>
      <c r="R2995" t="n">
        <v>0</v>
      </c>
      <c r="S2995">
        <f>IFERROR(O2995/N2995,0)</f>
        <v/>
      </c>
      <c r="T2995" t="n">
        <v>0</v>
      </c>
      <c r="V2995" t="n">
        <v>0</v>
      </c>
    </row>
    <row r="2996">
      <c r="A2996">
        <f>Skills!A19</f>
        <v/>
      </c>
      <c r="B2996">
        <f>Skills!B19</f>
        <v/>
      </c>
      <c r="C2996">
        <f>Inputs!$B$3&gt;=100</f>
        <v/>
      </c>
      <c r="D2996">
        <f>IF(Skills!C19=1,60+Inputs!$B$25+Inputs!$B$29,IF(Skills!C19=2,90+Inputs!$B$26+Inputs!$B$29,IF(Skills!C19=3,120+Inputs!$B$27+Inputs!$B$29,MAX(0,(Inputs!$B$3-100)*3)+Inputs!$B$28+Inputs!$B$29)))</f>
        <v/>
      </c>
      <c r="E2996">
        <f>INDEX(FactorTable!$B$2:$Y$301, MATCH(ROUND(MIN(300,MAX(1,D2996)),0), FactorTable!$A$2:$A$301,0), Skills!M19+1)</f>
        <v/>
      </c>
      <c r="F2996">
        <f>IF(Skills!N19=TRUE,(Skills!L19/10)*(E2996/1000),Skills!L19/10)+Skills!O19</f>
        <v/>
      </c>
      <c r="G2996">
        <f>Skills!G19*IF(Skills!H19&gt;0,IF(Inputs!$B$39="pvp",MIN(Skills!I19,15),Skills!I19)/Skills!H19,1)</f>
        <v/>
      </c>
      <c r="H2996">
        <f>1-(1-Skills!J19/100)^Skills!K19</f>
        <v/>
      </c>
      <c r="I2996" t="inlineStr">
        <is>
          <t>1</t>
        </is>
      </c>
      <c r="J2996" t="inlineStr"/>
      <c r="K2996" t="inlineStr"/>
      <c r="L2996" t="inlineStr"/>
      <c r="M2996" t="inlineStr"/>
      <c r="N2996" t="inlineStr"/>
      <c r="O2996">
        <f>(1-Summary!$B$11)*T2996+Summary!$B$11*V2996</f>
        <v/>
      </c>
      <c r="P2996">
        <f>IF(B3023=0,0,O2996/B3023)</f>
        <v/>
      </c>
      <c r="Q2996" t="n">
        <v>0</v>
      </c>
      <c r="R2996" t="n">
        <v>0</v>
      </c>
      <c r="S2996">
        <f>IFERROR(O2996/N2996,0)</f>
        <v/>
      </c>
      <c r="T2996" t="n">
        <v>0</v>
      </c>
      <c r="V2996" t="n">
        <v>0</v>
      </c>
    </row>
    <row r="2997">
      <c r="A2997">
        <f>Skills!A20</f>
        <v/>
      </c>
      <c r="B2997">
        <f>Skills!B20</f>
        <v/>
      </c>
      <c r="C2997">
        <f>TRUE</f>
        <v/>
      </c>
      <c r="D2997">
        <f>IF(Skills!C20=1,60+Inputs!$B$25+Inputs!$B$29,IF(Skills!C20=2,90+Inputs!$B$26+Inputs!$B$29,IF(Skills!C20=3,120+Inputs!$B$27+Inputs!$B$29,MAX(0,(Inputs!$B$3-100)*3)+Inputs!$B$28+Inputs!$B$29)))</f>
        <v/>
      </c>
      <c r="E2997">
        <f>INDEX(FactorTable!$B$2:$Y$301, MATCH(ROUND(MIN(300,MAX(1,D2997)),0), FactorTable!$A$2:$A$301,0), Skills!M20+1)</f>
        <v/>
      </c>
      <c r="F2997">
        <f>IF(Skills!N20=TRUE,(Skills!L20/10)*(E2997/1000),Skills!L20/10)+Skills!O20</f>
        <v/>
      </c>
      <c r="G2997">
        <f>Skills!G20*IF(Skills!H20&gt;0,IF(Inputs!$B$39="pvp",MIN(Skills!I20,15),Skills!I20)/Skills!H20,1)</f>
        <v/>
      </c>
      <c r="H2997">
        <f>1-(1-Skills!J20/100)^Skills!K20</f>
        <v/>
      </c>
      <c r="I2997" t="inlineStr">
        <is>
          <t>1</t>
        </is>
      </c>
      <c r="J2997" t="inlineStr"/>
      <c r="K2997" t="inlineStr"/>
      <c r="L2997" t="inlineStr"/>
      <c r="M2997" t="inlineStr"/>
      <c r="N2997" t="inlineStr"/>
      <c r="O2997">
        <f>(1-Summary!$B$11)*T2997+Summary!$B$11*V2997</f>
        <v/>
      </c>
      <c r="P2997">
        <f>IF(B3023=0,0,O2997/B3023)</f>
        <v/>
      </c>
      <c r="Q2997">
        <f>IFERROR(1/IF(Inputs!$B$39="pvp",15,MAX(0.1,Skills!D20-IF(TRUE=TRUE,Inputs!$B$32,0))),0)</f>
        <v/>
      </c>
      <c r="R2997">
        <f>IF(AND(Inputs!$B$39&lt;&gt;"pvp",Inputs!$B$44&gt;0),IF(Inputs!$B$44&lt;=0,0,(INT(Inputs!$B$44/IF(Inputs!$B$39="pvp",15,MAX(0.1,Skills!D20-IF(TRUE=TRUE,Inputs!$B$32,0))))+1)),0)</f>
        <v/>
      </c>
      <c r="S2997">
        <f>IFERROR(O2997/N2997,0)</f>
        <v/>
      </c>
      <c r="T2997" t="n">
        <v>0</v>
      </c>
      <c r="V2997" t="n">
        <v>0</v>
      </c>
    </row>
    <row r="2998">
      <c r="A2998">
        <f>Skills!A21</f>
        <v/>
      </c>
      <c r="B2998">
        <f>Skills!B21</f>
        <v/>
      </c>
      <c r="C2998">
        <f>Inputs!$B$3&gt;=15</f>
        <v/>
      </c>
      <c r="D2998">
        <f>IF(Skills!C21=1,60+Inputs!$B$25+Inputs!$B$29,IF(Skills!C21=2,90+Inputs!$B$26+Inputs!$B$29,IF(Skills!C21=3,120+Inputs!$B$27+Inputs!$B$29,MAX(0,(Inputs!$B$3-100)*3)+Inputs!$B$28+Inputs!$B$29)))</f>
        <v/>
      </c>
      <c r="E2998">
        <f>INDEX(FactorTable!$B$2:$Y$301, MATCH(ROUND(MIN(300,MAX(1,D2998)),0), FactorTable!$A$2:$A$301,0), Skills!M21+1)</f>
        <v/>
      </c>
      <c r="F2998">
        <f>IF(Skills!N21=TRUE,(Skills!L21/10)*(E2998/1000),Skills!L21/10)+Skills!O21</f>
        <v/>
      </c>
      <c r="G2998">
        <f>Skills!G21*IF(Skills!H21&gt;0,IF(Inputs!$B$39="pvp",MIN(Skills!I21,15),Skills!I21)/Skills!H21,1)</f>
        <v/>
      </c>
      <c r="H2998">
        <f>1-(1-Skills!J21/100)^Skills!K21</f>
        <v/>
      </c>
      <c r="I2998" t="inlineStr">
        <is>
          <t>1</t>
        </is>
      </c>
      <c r="J2998" t="inlineStr"/>
      <c r="K2998" t="inlineStr"/>
      <c r="L2998" t="inlineStr"/>
      <c r="M2998" t="inlineStr"/>
      <c r="N2998" t="inlineStr"/>
      <c r="O2998">
        <f>(1-Summary!$B$11)*T2998+Summary!$B$11*V2998</f>
        <v/>
      </c>
      <c r="P2998">
        <f>IF(B3023=0,0,O2998/B3023)</f>
        <v/>
      </c>
      <c r="Q2998">
        <f>IFERROR(1/IF(Inputs!$B$39="pvp",15,MAX(0.1,Skills!D21-IF(TRUE=TRUE,Inputs!$B$32,0))),0)</f>
        <v/>
      </c>
      <c r="R2998">
        <f>IF(AND(Inputs!$B$39&lt;&gt;"pvp",Inputs!$B$44&gt;0),IF(Inputs!$B$44&lt;=0,0,(INT(Inputs!$B$44/IF(Inputs!$B$39="pvp",15,MAX(0.1,Skills!D21-IF(TRUE=TRUE,Inputs!$B$32,0))))+1)),0)</f>
        <v/>
      </c>
      <c r="S2998">
        <f>IFERROR(O2998/N2998,0)</f>
        <v/>
      </c>
      <c r="T2998" t="n">
        <v>0</v>
      </c>
      <c r="V2998" t="n">
        <v>0</v>
      </c>
    </row>
    <row r="2999">
      <c r="A2999">
        <f>Skills!A22</f>
        <v/>
      </c>
      <c r="B2999">
        <f>Skills!B22</f>
        <v/>
      </c>
      <c r="C2999">
        <f>Inputs!$B$3&gt;=15</f>
        <v/>
      </c>
      <c r="D2999">
        <f>IF(Skills!C22=1,60+Inputs!$B$25+Inputs!$B$29,IF(Skills!C22=2,90+Inputs!$B$26+Inputs!$B$29,IF(Skills!C22=3,120+Inputs!$B$27+Inputs!$B$29,MAX(0,(Inputs!$B$3-100)*3)+Inputs!$B$28+Inputs!$B$29)))</f>
        <v/>
      </c>
      <c r="E2999">
        <f>INDEX(FactorTable!$B$2:$Y$301, MATCH(ROUND(MIN(300,MAX(1,D2999)),0), FactorTable!$A$2:$A$301,0), Skills!M22+1)</f>
        <v/>
      </c>
      <c r="F2999">
        <f>IF(Skills!N22=TRUE,(Skills!L22/10)*(E2999/1000),Skills!L22/10)+Skills!O22</f>
        <v/>
      </c>
      <c r="G2999">
        <f>Skills!G22*IF(Skills!H22&gt;0,IF(Inputs!$B$39="pvp",MIN(Skills!I22,15),Skills!I22)/Skills!H22,1)</f>
        <v/>
      </c>
      <c r="H2999">
        <f>1-(1-Skills!J22/100)^Skills!K22</f>
        <v/>
      </c>
      <c r="I2999" t="inlineStr">
        <is>
          <t>1</t>
        </is>
      </c>
      <c r="J2999" t="inlineStr"/>
      <c r="K2999" t="inlineStr"/>
      <c r="L2999" t="inlineStr"/>
      <c r="M2999" t="inlineStr"/>
      <c r="N2999" t="inlineStr"/>
      <c r="O2999">
        <f>(1-Summary!$B$11)*T2999+Summary!$B$11*V2999</f>
        <v/>
      </c>
      <c r="P2999">
        <f>IF(B3023=0,0,O2999/B3023)</f>
        <v/>
      </c>
      <c r="Q2999">
        <f>IFERROR(1/IF(Inputs!$B$39="pvp",15,MAX(0.1,Skills!D22-IF(TRUE=TRUE,Inputs!$B$32,0))),0)</f>
        <v/>
      </c>
      <c r="R2999">
        <f>IF(AND(Inputs!$B$39&lt;&gt;"pvp",Inputs!$B$44&gt;0),IF(Inputs!$B$44&lt;=0,0,(INT(Inputs!$B$44/IF(Inputs!$B$39="pvp",15,MAX(0.1,Skills!D22-IF(TRUE=TRUE,Inputs!$B$32,0))))+1)),0)</f>
        <v/>
      </c>
      <c r="S2999">
        <f>IFERROR(O2999/N2999,0)</f>
        <v/>
      </c>
      <c r="T2999" t="n">
        <v>0</v>
      </c>
      <c r="V2999" t="n">
        <v>0</v>
      </c>
    </row>
    <row r="3000">
      <c r="A3000">
        <f>Skills!A23</f>
        <v/>
      </c>
      <c r="B3000">
        <f>Skills!B23</f>
        <v/>
      </c>
      <c r="C3000">
        <f>Inputs!$B$3&gt;=33</f>
        <v/>
      </c>
      <c r="D3000">
        <f>IF(Skills!C23=1,60+Inputs!$B$25+Inputs!$B$29,IF(Skills!C23=2,90+Inputs!$B$26+Inputs!$B$29,IF(Skills!C23=3,120+Inputs!$B$27+Inputs!$B$29,MAX(0,(Inputs!$B$3-100)*3)+Inputs!$B$28+Inputs!$B$29)))</f>
        <v/>
      </c>
      <c r="E3000">
        <f>INDEX(FactorTable!$B$2:$Y$301, MATCH(ROUND(MIN(300,MAX(1,D3000)),0), FactorTable!$A$2:$A$301,0), Skills!M23+1)</f>
        <v/>
      </c>
      <c r="F3000">
        <f>IF(Skills!N23=TRUE,(Skills!L23/10)*(E3000/1000),Skills!L23/10)+Skills!O23</f>
        <v/>
      </c>
      <c r="G3000">
        <f>Skills!G23*IF(Skills!H23&gt;0,IF(Inputs!$B$39="pvp",MIN(Skills!I23,15),Skills!I23)/Skills!H23,1)</f>
        <v/>
      </c>
      <c r="H3000">
        <f>1-(1-Skills!J23/100)^Skills!K23</f>
        <v/>
      </c>
      <c r="I3000" t="inlineStr">
        <is>
          <t>1</t>
        </is>
      </c>
      <c r="J3000" t="inlineStr"/>
      <c r="K3000" t="inlineStr"/>
      <c r="L3000" t="inlineStr"/>
      <c r="M3000" t="inlineStr"/>
      <c r="N3000" t="inlineStr"/>
      <c r="O3000">
        <f>(1-Summary!$B$11)*T3000+Summary!$B$11*V3000</f>
        <v/>
      </c>
      <c r="P3000">
        <f>IF(B3023=0,0,O3000/B3023)</f>
        <v/>
      </c>
      <c r="Q3000" t="n">
        <v>0</v>
      </c>
      <c r="R3000" t="n">
        <v>0</v>
      </c>
      <c r="S3000">
        <f>IFERROR(O3000/N3000,0)</f>
        <v/>
      </c>
      <c r="T3000" t="n">
        <v>0</v>
      </c>
      <c r="V3000" t="n">
        <v>0</v>
      </c>
    </row>
    <row r="3001">
      <c r="A3001">
        <f>Skills!A24</f>
        <v/>
      </c>
      <c r="B3001">
        <f>Skills!B24</f>
        <v/>
      </c>
      <c r="C3001">
        <f>Inputs!$B$3&gt;=40</f>
        <v/>
      </c>
      <c r="D3001">
        <f>IF(Skills!C24=1,60+Inputs!$B$25+Inputs!$B$29,IF(Skills!C24=2,90+Inputs!$B$26+Inputs!$B$29,IF(Skills!C24=3,120+Inputs!$B$27+Inputs!$B$29,MAX(0,(Inputs!$B$3-100)*3)+Inputs!$B$28+Inputs!$B$29)))</f>
        <v/>
      </c>
      <c r="E3001">
        <f>INDEX(FactorTable!$B$2:$Y$301, MATCH(ROUND(MIN(300,MAX(1,D3001)),0), FactorTable!$A$2:$A$301,0), Skills!M24+1)</f>
        <v/>
      </c>
      <c r="F3001">
        <f>IF(Skills!N24=TRUE,(Skills!L24/10)*(E3001/1000),Skills!L24/10)+Skills!O24</f>
        <v/>
      </c>
      <c r="G3001">
        <f>Skills!G24*IF(Skills!H24&gt;0,IF(Inputs!$B$39="pvp",MIN(Skills!I24,15),Skills!I24)/Skills!H24,1)</f>
        <v/>
      </c>
      <c r="H3001">
        <f>1-(1-Skills!J24/100)^Skills!K24</f>
        <v/>
      </c>
      <c r="I3001" t="inlineStr">
        <is>
          <t>1</t>
        </is>
      </c>
      <c r="J3001" t="inlineStr"/>
      <c r="K3001" t="inlineStr"/>
      <c r="L3001" t="inlineStr"/>
      <c r="M3001" t="inlineStr"/>
      <c r="N3001" t="inlineStr"/>
      <c r="O3001">
        <f>(1-Summary!$B$11)*T3001+Summary!$B$11*V3001</f>
        <v/>
      </c>
      <c r="P3001">
        <f>IF(B3023=0,0,O3001/B3023)</f>
        <v/>
      </c>
      <c r="Q3001" t="n">
        <v>0</v>
      </c>
      <c r="R3001" t="n">
        <v>0</v>
      </c>
      <c r="S3001">
        <f>IFERROR(O3001/N3001,0)</f>
        <v/>
      </c>
      <c r="T3001" t="n">
        <v>0</v>
      </c>
      <c r="V3001" t="n">
        <v>0</v>
      </c>
    </row>
    <row r="3002">
      <c r="A3002">
        <f>Skills!A25</f>
        <v/>
      </c>
      <c r="B3002">
        <f>Skills!B25</f>
        <v/>
      </c>
      <c r="C3002">
        <f>Inputs!$B$3&gt;=43</f>
        <v/>
      </c>
      <c r="D3002">
        <f>IF(Skills!C25=1,60+Inputs!$B$25+Inputs!$B$29,IF(Skills!C25=2,90+Inputs!$B$26+Inputs!$B$29,IF(Skills!C25=3,120+Inputs!$B$27+Inputs!$B$29,MAX(0,(Inputs!$B$3-100)*3)+Inputs!$B$28+Inputs!$B$29)))</f>
        <v/>
      </c>
      <c r="E3002">
        <f>INDEX(FactorTable!$B$2:$Y$301, MATCH(ROUND(MIN(300,MAX(1,D3002)),0), FactorTable!$A$2:$A$301,0), Skills!M25+1)</f>
        <v/>
      </c>
      <c r="F3002">
        <f>IF(Skills!N25=TRUE,(Skills!L25/10)*(E3002/1000),Skills!L25/10)+Skills!O25</f>
        <v/>
      </c>
      <c r="G3002">
        <f>Skills!G25*IF(Skills!H25&gt;0,IF(Inputs!$B$39="pvp",MIN(Skills!I25,15),Skills!I25)/Skills!H25,1)</f>
        <v/>
      </c>
      <c r="H3002">
        <f>1-(1-Skills!J25/100)^Skills!K25</f>
        <v/>
      </c>
      <c r="I3002" t="inlineStr">
        <is>
          <t>1</t>
        </is>
      </c>
      <c r="J3002" t="inlineStr"/>
      <c r="K3002" t="inlineStr"/>
      <c r="L3002" t="inlineStr"/>
      <c r="M3002" t="inlineStr"/>
      <c r="N3002" t="inlineStr"/>
      <c r="O3002">
        <f>(1-Summary!$B$11)*T3002+Summary!$B$11*V3002</f>
        <v/>
      </c>
      <c r="P3002">
        <f>IF(B3023=0,0,O3002/B3023)</f>
        <v/>
      </c>
      <c r="Q3002" t="n">
        <v>0</v>
      </c>
      <c r="R3002" t="n">
        <v>0</v>
      </c>
      <c r="S3002">
        <f>IFERROR(O3002/N3002,0)</f>
        <v/>
      </c>
      <c r="T3002" t="n">
        <v>0</v>
      </c>
      <c r="V3002" t="n">
        <v>0</v>
      </c>
    </row>
    <row r="3003">
      <c r="A3003">
        <f>Skills!A26</f>
        <v/>
      </c>
      <c r="B3003">
        <f>Skills!B26</f>
        <v/>
      </c>
      <c r="C3003">
        <f>Inputs!$B$3&gt;=50</f>
        <v/>
      </c>
      <c r="D3003">
        <f>IF(Skills!C26=1,60+Inputs!$B$25+Inputs!$B$29,IF(Skills!C26=2,90+Inputs!$B$26+Inputs!$B$29,IF(Skills!C26=3,120+Inputs!$B$27+Inputs!$B$29,MAX(0,(Inputs!$B$3-100)*3)+Inputs!$B$28+Inputs!$B$29)))</f>
        <v/>
      </c>
      <c r="E3003">
        <f>INDEX(FactorTable!$B$2:$Y$301, MATCH(ROUND(MIN(300,MAX(1,D3003)),0), FactorTable!$A$2:$A$301,0), Skills!M26+1)</f>
        <v/>
      </c>
      <c r="F3003">
        <f>IF(Skills!N26=TRUE,(Skills!L26/10)*(E3003/1000),Skills!L26/10)+Skills!O26</f>
        <v/>
      </c>
      <c r="G3003">
        <f>Skills!G26*IF(Skills!H26&gt;0,IF(Inputs!$B$39="pvp",MIN(Skills!I26,15),Skills!I26)/Skills!H26,1)</f>
        <v/>
      </c>
      <c r="H3003">
        <f>1-(1-Skills!J26/100)^Skills!K26</f>
        <v/>
      </c>
      <c r="I3003" t="inlineStr">
        <is>
          <t>1</t>
        </is>
      </c>
      <c r="J3003" t="inlineStr"/>
      <c r="K3003" t="inlineStr"/>
      <c r="L3003" t="inlineStr"/>
      <c r="M3003" t="inlineStr"/>
      <c r="N3003" t="inlineStr"/>
      <c r="O3003">
        <f>(1-Summary!$B$11)*T3003+Summary!$B$11*V3003</f>
        <v/>
      </c>
      <c r="P3003">
        <f>IF(B3023=0,0,O3003/B3023)</f>
        <v/>
      </c>
      <c r="Q3003" t="n">
        <v>0</v>
      </c>
      <c r="R3003" t="n">
        <v>0</v>
      </c>
      <c r="S3003">
        <f>IFERROR(O3003/N3003,0)</f>
        <v/>
      </c>
      <c r="T3003" t="n">
        <v>0</v>
      </c>
      <c r="V3003" t="n">
        <v>0</v>
      </c>
    </row>
    <row r="3004">
      <c r="A3004">
        <f>Skills!A27</f>
        <v/>
      </c>
      <c r="B3004">
        <f>Skills!B27</f>
        <v/>
      </c>
      <c r="C3004">
        <f>Inputs!$B$3&gt;=50</f>
        <v/>
      </c>
      <c r="D3004">
        <f>IF(Skills!C27=1,60+Inputs!$B$25+Inputs!$B$29,IF(Skills!C27=2,90+Inputs!$B$26+Inputs!$B$29,IF(Skills!C27=3,120+Inputs!$B$27+Inputs!$B$29,MAX(0,(Inputs!$B$3-100)*3)+Inputs!$B$28+Inputs!$B$29)))</f>
        <v/>
      </c>
      <c r="E3004">
        <f>INDEX(FactorTable!$B$2:$Y$301, MATCH(ROUND(MIN(300,MAX(1,D3004)),0), FactorTable!$A$2:$A$301,0), Skills!M27+1)</f>
        <v/>
      </c>
      <c r="F3004">
        <f>IF(Skills!N27=TRUE,(Skills!L27/10)*(E3004/1000),Skills!L27/10)+Skills!O27</f>
        <v/>
      </c>
      <c r="G3004">
        <f>Skills!G27*IF(Skills!H27&gt;0,IF(Inputs!$B$39="pvp",MIN(Skills!I27,15),Skills!I27)/Skills!H27,1)</f>
        <v/>
      </c>
      <c r="H3004">
        <f>1-(1-Skills!J27/100)^Skills!K27</f>
        <v/>
      </c>
      <c r="I3004" t="inlineStr">
        <is>
          <t>1</t>
        </is>
      </c>
      <c r="J3004" t="inlineStr"/>
      <c r="K3004" t="inlineStr"/>
      <c r="L3004" t="inlineStr"/>
      <c r="M3004" t="inlineStr"/>
      <c r="N3004" t="inlineStr"/>
      <c r="O3004">
        <f>(1-Summary!$B$11)*T3004+Summary!$B$11*V3004</f>
        <v/>
      </c>
      <c r="P3004">
        <f>IF(B3023=0,0,O3004/B3023)</f>
        <v/>
      </c>
      <c r="Q3004" t="n">
        <v>0</v>
      </c>
      <c r="R3004" t="n">
        <v>0</v>
      </c>
      <c r="S3004">
        <f>IFERROR(O3004/N3004,0)</f>
        <v/>
      </c>
      <c r="T3004" t="n">
        <v>0</v>
      </c>
      <c r="V3004" t="n">
        <v>0</v>
      </c>
    </row>
    <row r="3005">
      <c r="A3005">
        <f>Skills!A28</f>
        <v/>
      </c>
      <c r="B3005">
        <f>Skills!B28</f>
        <v/>
      </c>
      <c r="C3005">
        <f>Inputs!$B$3&gt;=38</f>
        <v/>
      </c>
      <c r="D3005">
        <f>IF(Skills!C28=1,60+Inputs!$B$25+Inputs!$B$29,IF(Skills!C28=2,90+Inputs!$B$26+Inputs!$B$29,IF(Skills!C28=3,120+Inputs!$B$27+Inputs!$B$29,MAX(0,(Inputs!$B$3-100)*3)+Inputs!$B$28+Inputs!$B$29)))</f>
        <v/>
      </c>
      <c r="E3005">
        <f>INDEX(FactorTable!$B$2:$Y$301, MATCH(ROUND(MIN(300,MAX(1,D3005)),0), FactorTable!$A$2:$A$301,0), Skills!M28+1)</f>
        <v/>
      </c>
      <c r="F3005">
        <f>IF(Skills!N28=TRUE,(Skills!L28/10)*(E3005/1000),Skills!L28/10)+Skills!O28</f>
        <v/>
      </c>
      <c r="G3005">
        <f>Skills!G28*IF(Skills!H28&gt;0,IF(Inputs!$B$39="pvp",MIN(Skills!I28,15),Skills!I28)/Skills!H28,1)</f>
        <v/>
      </c>
      <c r="H3005">
        <f>1-(1-Skills!J28/100)^Skills!K28</f>
        <v/>
      </c>
      <c r="I3005" t="inlineStr">
        <is>
          <t>1</t>
        </is>
      </c>
      <c r="J3005" t="inlineStr"/>
      <c r="K3005" t="inlineStr"/>
      <c r="L3005" t="inlineStr"/>
      <c r="M3005" t="inlineStr"/>
      <c r="N3005" t="inlineStr"/>
      <c r="O3005">
        <f>(1-Summary!$B$11)*T3005+Summary!$B$11*V3005</f>
        <v/>
      </c>
      <c r="P3005">
        <f>IF(B3023=0,0,O3005/B3023)</f>
        <v/>
      </c>
      <c r="Q3005" t="n">
        <v>0</v>
      </c>
      <c r="R3005" t="n">
        <v>0</v>
      </c>
      <c r="S3005">
        <f>IFERROR(O3005/N3005,0)</f>
        <v/>
      </c>
      <c r="T3005" t="n">
        <v>0</v>
      </c>
      <c r="V3005" t="n">
        <v>0</v>
      </c>
    </row>
    <row r="3006">
      <c r="A3006">
        <f>Skills!A29</f>
        <v/>
      </c>
      <c r="B3006">
        <f>Skills!B29</f>
        <v/>
      </c>
      <c r="C3006">
        <f>Inputs!$B$3&gt;=120</f>
        <v/>
      </c>
      <c r="D3006">
        <f>IF(Skills!C29=1,60+Inputs!$B$25+Inputs!$B$29,IF(Skills!C29=2,90+Inputs!$B$26+Inputs!$B$29,IF(Skills!C29=3,120+Inputs!$B$27+Inputs!$B$29,MAX(0,(Inputs!$B$3-100)*3)+Inputs!$B$28+Inputs!$B$29)))</f>
        <v/>
      </c>
      <c r="E3006">
        <f>INDEX(FactorTable!$B$2:$Y$301, MATCH(ROUND(MIN(300,MAX(1,D3006)),0), FactorTable!$A$2:$A$301,0), Skills!M29+1)</f>
        <v/>
      </c>
      <c r="F3006">
        <f>IF(Skills!N29=TRUE,(Skills!L29/10)*(E3006/1000),Skills!L29/10)+Skills!O29</f>
        <v/>
      </c>
      <c r="G3006">
        <f>Skills!G29*IF(Skills!H29&gt;0,IF(Inputs!$B$39="pvp",MIN(Skills!I29,15),Skills!I29)/Skills!H29,1)</f>
        <v/>
      </c>
      <c r="H3006">
        <f>1-(1-Skills!J29/100)^Skills!K29</f>
        <v/>
      </c>
      <c r="I3006" t="inlineStr">
        <is>
          <t>1</t>
        </is>
      </c>
      <c r="J3006" t="inlineStr"/>
      <c r="K3006" t="inlineStr"/>
      <c r="L3006" t="inlineStr"/>
      <c r="M3006" t="inlineStr"/>
      <c r="N3006" t="inlineStr"/>
      <c r="O3006">
        <f>(1-Summary!$B$11)*T3006+Summary!$B$11*V3006</f>
        <v/>
      </c>
      <c r="P3006">
        <f>IF(B3023=0,0,O3006/B3023)</f>
        <v/>
      </c>
      <c r="Q3006" t="n">
        <v>0</v>
      </c>
      <c r="R3006" t="n">
        <v>0</v>
      </c>
      <c r="S3006">
        <f>IFERROR(O3006/N3006,0)</f>
        <v/>
      </c>
      <c r="T3006" t="n">
        <v>0</v>
      </c>
      <c r="V3006" t="n">
        <v>0</v>
      </c>
    </row>
    <row r="3007">
      <c r="A3007">
        <f>Skills!A30</f>
        <v/>
      </c>
      <c r="B3007">
        <f>Skills!B30</f>
        <v/>
      </c>
      <c r="C3007">
        <f>Inputs!$B$3&gt;=120</f>
        <v/>
      </c>
      <c r="D3007">
        <f>IF(Skills!C30=1,60+Inputs!$B$25+Inputs!$B$29,IF(Skills!C30=2,90+Inputs!$B$26+Inputs!$B$29,IF(Skills!C30=3,120+Inputs!$B$27+Inputs!$B$29,MAX(0,(Inputs!$B$3-100)*3)+Inputs!$B$28+Inputs!$B$29)))</f>
        <v/>
      </c>
      <c r="E3007">
        <f>INDEX(FactorTable!$B$2:$Y$301, MATCH(ROUND(MIN(300,MAX(1,D3007)),0), FactorTable!$A$2:$A$301,0), Skills!M30+1)</f>
        <v/>
      </c>
      <c r="F3007">
        <f>IF(Skills!N30=TRUE,(Skills!L30/10)*(E3007/1000),Skills!L30/10)+Skills!O30</f>
        <v/>
      </c>
      <c r="G3007">
        <f>Skills!G30*IF(Skills!H30&gt;0,IF(Inputs!$B$39="pvp",MIN(Skills!I30,15),Skills!I30)/Skills!H30,1)</f>
        <v/>
      </c>
      <c r="H3007">
        <f>1-(1-Skills!J30/100)^Skills!K30</f>
        <v/>
      </c>
      <c r="I3007" t="inlineStr">
        <is>
          <t>1</t>
        </is>
      </c>
      <c r="J3007" t="inlineStr"/>
      <c r="K3007" t="inlineStr"/>
      <c r="L3007" t="inlineStr"/>
      <c r="M3007" t="inlineStr"/>
      <c r="N3007" t="inlineStr"/>
      <c r="O3007">
        <f>(1-Summary!$B$11)*T3007+Summary!$B$11*V3007</f>
        <v/>
      </c>
      <c r="P3007">
        <f>IF(B3023=0,0,O3007/B3023)</f>
        <v/>
      </c>
      <c r="Q3007" t="n">
        <v>0</v>
      </c>
      <c r="R3007" t="n">
        <v>0</v>
      </c>
      <c r="S3007">
        <f>IFERROR(O3007/N3007,0)</f>
        <v/>
      </c>
      <c r="T3007" t="n">
        <v>0</v>
      </c>
      <c r="V3007" t="n">
        <v>0</v>
      </c>
    </row>
    <row r="3008">
      <c r="A3008">
        <f>Skills!A31</f>
        <v/>
      </c>
      <c r="B3008">
        <f>Skills!B31</f>
        <v/>
      </c>
      <c r="C3008">
        <f>Inputs!$B$3&gt;=125</f>
        <v/>
      </c>
      <c r="D3008">
        <f>IF(Skills!C31=1,60+Inputs!$B$25+Inputs!$B$29,IF(Skills!C31=2,90+Inputs!$B$26+Inputs!$B$29,IF(Skills!C31=3,120+Inputs!$B$27+Inputs!$B$29,MAX(0,(Inputs!$B$3-100)*3)+Inputs!$B$28+Inputs!$B$29)))</f>
        <v/>
      </c>
      <c r="E3008">
        <f>INDEX(FactorTable!$B$2:$Y$301, MATCH(ROUND(MIN(300,MAX(1,D3008)),0), FactorTable!$A$2:$A$301,0), Skills!M31+1)</f>
        <v/>
      </c>
      <c r="F3008">
        <f>IF(Skills!N31=TRUE,(Skills!L31/10)*(E3008/1000),Skills!L31/10)+Skills!O31</f>
        <v/>
      </c>
      <c r="G3008">
        <f>Skills!G31*IF(Skills!H31&gt;0,IF(Inputs!$B$39="pvp",MIN(Skills!I31,15),Skills!I31)/Skills!H31,1)</f>
        <v/>
      </c>
      <c r="H3008">
        <f>1-(1-Skills!J31/100)^Skills!K31</f>
        <v/>
      </c>
      <c r="I3008" t="inlineStr">
        <is>
          <t>1</t>
        </is>
      </c>
      <c r="J3008" t="inlineStr"/>
      <c r="K3008" t="inlineStr"/>
      <c r="L3008" t="inlineStr"/>
      <c r="M3008" t="inlineStr"/>
      <c r="N3008" t="inlineStr"/>
      <c r="O3008">
        <f>(1-Summary!$B$11)*T3008+Summary!$B$11*V3008</f>
        <v/>
      </c>
      <c r="P3008">
        <f>IF(B3023=0,0,O3008/B3023)</f>
        <v/>
      </c>
      <c r="Q3008" t="n">
        <v>0</v>
      </c>
      <c r="R3008" t="n">
        <v>0</v>
      </c>
      <c r="S3008">
        <f>IFERROR(O3008/N3008,0)</f>
        <v/>
      </c>
      <c r="T3008" t="n">
        <v>0</v>
      </c>
      <c r="V3008" t="n">
        <v>0</v>
      </c>
    </row>
    <row r="3010">
      <c r="A3010" t="inlineStr">
        <is>
          <t>Average Buff Multiplier</t>
        </is>
      </c>
      <c r="B3010">
        <f>(1+(((C2999=TRUE)*F2999*IF(AND(Inputs!$B$39&lt;&gt;"pvp",Inputs!$B$44&gt;0),(((R2999-1)*MIN((Skills!Y22*(1+Inputs!$B$34/100)),(1/Q2999))+MIN((Skills!Y22*(1+Inputs!$B$34/100)),MAX(0,Inputs!$B$44-((R2999-1)*(1/Q2999)))))/Inputs!$B$44),IF(Inputs!$B$39="pvp",MIN((Skills!Y22*(1+Inputs!$B$34/100)),15)/15,MIN(1,(Skills!Y22*(1+Inputs!$B$34/100))/(1/Q2999)))))+((C2980=TRUE)*F2980*3)+((C2982=TRUE)*F2982*(1-EXP(-0.75*B3015*5)))+((C3001=TRUE)*(F3001-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IF(ArtifactsInput!$M$37,FALSE,TRUE),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2988=TRUE)*F2988*IF(AND(Inputs!$B$39&lt;&gt;"pvp",Inputs!$B$44&gt;0),(((R2988-1)*MIN((Skills!Y11*(1+Inputs!$B$34/100)),(1/Q2988))+MIN((Skills!Y11*(1+Inputs!$B$34/100)),MAX(0,Inputs!$B$44-((R2988-1)*(1/Q2988)))))/Inputs!$B$44),IF(Inputs!$B$39="pvp",MIN((Skills!Y11*(1+Inputs!$B$34/100)),15)/15,MIN(1,(Skills!Y11*(1+Inputs!$B$34/100))/(1/Q2988)))))/100)*(1+((C2993=TRUE)*F2993*IF(AND(Inputs!$B$39&lt;&gt;"pvp",Inputs!$B$44&gt;0),(((R2993-1)*MIN((Skills!Y16*(1+Inputs!$B$34/100)),(1/Q2993))+MIN((Skills!Y16*(1+Inputs!$B$34/100)),MAX(0,Inputs!$B$44-((R2993-1)*(1/Q2993)))))/Inputs!$B$44),IF(Inputs!$B$39="pvp",MIN((Skills!Y16*(1+Inputs!$B$34/100)),15)/15,MIN(1,(Skills!Y16*(1+Inputs!$B$34/100))/(1/Q2993)))))/100)</f>
        <v/>
      </c>
    </row>
    <row r="3011">
      <c r="A3011" t="inlineStr">
        <is>
          <t>Global Crit Rate Bonus %</t>
        </is>
      </c>
      <c r="B3011">
        <f>((C2998=TRUE)*F2998*IF(AND(Inputs!$B$39&lt;&gt;"pvp",Inputs!$B$44&gt;0),(((R2998-1)*MIN((Skills!Y21*(1+Inputs!$B$34/100)),(1/Q2998))+MIN((Skills!Y21*(1+Inputs!$B$34/100)),MAX(0,Inputs!$B$44-((R2998-1)*(1/Q2998)))))/Inputs!$B$44),IF(Inputs!$B$39="pvp",MIN((Skills!Y21*(1+Inputs!$B$34/100)),15)/15,MIN(1,(Skills!Y21*(1+Inputs!$B$34/100))/(1/Q2998)))))</f>
        <v/>
      </c>
    </row>
    <row r="3012">
      <c r="A3012" t="inlineStr">
        <is>
          <t>Global Monster Damage-Taken Bonus %</t>
        </is>
      </c>
      <c r="B3012">
        <f>IF(Inputs!$B$3&gt;=82,15,0)</f>
        <v/>
      </c>
    </row>
    <row r="3013">
      <c r="A3013" t="inlineStr">
        <is>
          <t>Shadow Partner Average Multiplier</t>
        </is>
      </c>
      <c r="B3013">
        <f>1+((C2985=TRUE)*F2985*(1+3.3333333333333335*IF(C2996=TRUE,F2996,0)/100)*I2985*Skills!J8/100)/100</f>
        <v/>
      </c>
    </row>
    <row r="3014">
      <c r="A3014" t="inlineStr">
        <is>
          <t>Attack Speed Buff Bonus %</t>
        </is>
      </c>
      <c r="B3014">
        <f>((C2997=TRUE)*F2997*IF(AND(Inputs!$B$39&lt;&gt;"pvp",Inputs!$B$44&gt;0),(((R2997-1)*MIN((Skills!Y20*(1+Inputs!$B$34/100)),(1/Q2997))+MIN((Skills!Y20*(1+Inputs!$B$34/100)),MAX(0,Inputs!$B$44-((R2997-1)*(1/Q2997)))))/Inputs!$B$44),IF(Inputs!$B$39="pvp",MIN((Skills!Y20*(1+Inputs!$B$34/100)),15)/15,MIN(1,(Skills!Y20*(1+Inputs!$B$34/100))/(1/Q2997)))))</f>
        <v/>
      </c>
    </row>
    <row r="3015">
      <c r="A3015" t="inlineStr">
        <is>
          <t>Actions Per Second</t>
        </is>
      </c>
      <c r="B3015">
        <f>1+MIN(150,150*(1-(1-(Inputs!$B$11+((C3000=TRUE)*(F3000-Calc!F23)))/150)*(1-B3014/150)))/100</f>
        <v/>
      </c>
    </row>
    <row r="3016">
      <c r="A3016" t="inlineStr">
        <is>
          <t>Skill + Buff Cast Rate</t>
        </is>
      </c>
      <c r="B3016">
        <f>IF(AND(Inputs!$B$39&lt;&gt;"pvp",Inputs!$B$44&gt;0),SUMPRODUCT((Skills!E2:E31=TRUE)*(C2979:C3008=TRUE)*R2979:R3008*Skills!F2:F31)/Inputs!$B$44,SUMPRODUCT((Skills!E2:E31=TRUE)*(C2979:C3008=TRUE)*Q2979:Q3008*Skills!F2:F31))</f>
        <v/>
      </c>
    </row>
    <row r="3017">
      <c r="A3017" t="inlineStr">
        <is>
          <t>Cruel Stab Casts Per Second</t>
        </is>
      </c>
      <c r="B3017">
        <f>MAX(0,B3015-B3016)</f>
        <v/>
      </c>
    </row>
    <row r="3018">
      <c r="A3018" t="inlineStr">
        <is>
          <t>Global Critical Damage Bonus % (Smokescreen Mastery Lv.113)</t>
        </is>
      </c>
      <c r="B3018">
        <f>IF(Inputs!$B$3&gt;=113,30,0)*IF(AND(Inputs!$B$39&lt;&gt;"pvp",Inputs!$B$44&gt;0),(((R2993-1)*MIN((Skills!Y16*(1+Inputs!$B$34/100)),(1/Q2993))+MIN((Skills!Y16*(1+Inputs!$B$34/100)),MAX(0,Inputs!$B$44-((R2993-1)*(1/Q2993)))))/Inputs!$B$44),IF(Inputs!$B$39="pvp",MIN((Skills!Y16*(1+Inputs!$B$34/100)),15)/15,MIN(1,(Skills!Y16*(1+Inputs!$B$34/100))/(1/Q2993))))</f>
        <v/>
      </c>
    </row>
    <row r="3019">
      <c r="A3019" t="inlineStr">
        <is>
          <t>Meso Explosion average stack count</t>
        </is>
      </c>
      <c r="B3019">
        <f>MIN(10,IF(Inputs!$B$3&gt;=75,0.75,0.5)*B3015*(1/Q2981))</f>
        <v/>
      </c>
    </row>
    <row r="3020">
      <c r="A3020" t="inlineStr">
        <is>
          <t>Blood Money average stack count</t>
        </is>
      </c>
      <c r="B3020">
        <f>MIN(5,0.5*IF(Inputs!$B$3&gt;=75,0.75,0.5)*B3015*(1/Q2981))</f>
        <v/>
      </c>
    </row>
    <row r="3021">
      <c r="A3021" t="inlineStr">
        <is>
          <t>Assassinate Murderous Intent Multiplier</t>
        </is>
      </c>
      <c r="B3021">
        <f>1+IFERROR(MIN(1,Q2992*2/Q2989),0)</f>
        <v/>
      </c>
    </row>
    <row r="3022">
      <c r="A3022" t="inlineStr">
        <is>
          <t>Buff-Casting Startup Delay (s, fixed-duration only)</t>
        </is>
      </c>
      <c r="B3022">
        <f>IF(AND(Inputs!$B$39&lt;&gt;"pvp",Inputs!$B$44&gt;0),SUMPRODUCT((Skills!Y2:Y31&gt;0)*(Skills!E2:E31=TRUE)*(C2979:C3008=TRUE))/B3015,0)</f>
        <v/>
      </c>
    </row>
    <row r="3023">
      <c r="A3023" s="6" t="inlineStr">
        <is>
          <t>TOTAL DPS</t>
        </is>
      </c>
      <c r="B3023" s="6">
        <f>SUM(O2979:O3008)</f>
        <v/>
      </c>
    </row>
    <row r="3024">
      <c r="A3024" t="inlineStr">
        <is>
          <t>Boss-Only Total DPS (this block's swept value)</t>
        </is>
      </c>
      <c r="B3024">
        <f>SUM(T2979:T3008)</f>
        <v/>
      </c>
    </row>
    <row r="3025">
      <c r="A3025" t="inlineStr">
        <is>
          <t>Normal-Only Total DPS (this block's swept value)</t>
        </is>
      </c>
      <c r="B3025">
        <f>SUM(V2979:V3008)</f>
        <v/>
      </c>
    </row>
    <row r="3028">
      <c r="A3028" s="6" t="inlineStr">
        <is>
          <t>Stat: Horn Flute (Equip)</t>
        </is>
      </c>
    </row>
    <row r="3029">
      <c r="A3029" s="5" t="inlineStr">
        <is>
          <t>Key</t>
        </is>
      </c>
      <c r="B3029" s="5" t="inlineStr">
        <is>
          <t>Name</t>
        </is>
      </c>
      <c r="C3029" s="5" t="inlineStr">
        <is>
          <t>Unlocked</t>
        </is>
      </c>
      <c r="D3029" s="5" t="inlineStr">
        <is>
          <t>InputLevel</t>
        </is>
      </c>
      <c r="E3029" s="5" t="inlineStr">
        <is>
          <t>Factor</t>
        </is>
      </c>
      <c r="F3029" s="5" t="inlineStr">
        <is>
          <t>CoefficientPercent</t>
        </is>
      </c>
      <c r="G3029" s="5" t="inlineStr">
        <is>
          <t>EffectiveHits</t>
        </is>
      </c>
      <c r="H3029" s="5" t="inlineStr">
        <is>
          <t>ProcProbability</t>
        </is>
      </c>
      <c r="I3029" s="5" t="inlineStr">
        <is>
          <t>MapleHeroMultiplier</t>
        </is>
      </c>
      <c r="J3029" s="5" t="inlineStr">
        <is>
          <t>BaseDamage</t>
        </is>
      </c>
      <c r="K3029" s="5" t="inlineStr">
        <is>
          <t>BaseHitDamage</t>
        </is>
      </c>
      <c r="L3029" s="5" t="inlineStr">
        <is>
          <t>NonCritAvg</t>
        </is>
      </c>
      <c r="M3029" s="5" t="inlineStr">
        <is>
          <t>CritAvg</t>
        </is>
      </c>
      <c r="N3029" s="5" t="inlineStr">
        <is>
          <t>ExpectedDamage(perHit)</t>
        </is>
      </c>
      <c r="O3029" s="5" t="inlineStr">
        <is>
          <t>DPS</t>
        </is>
      </c>
      <c r="P3029" s="5" t="inlineStr">
        <is>
          <t>% of Total</t>
        </is>
      </c>
      <c r="Q3029" s="5" t="inlineStr">
        <is>
          <t>InvCooldown</t>
        </is>
      </c>
      <c r="R3029" s="5" t="inlineStr">
        <is>
          <t>CastsInFight</t>
        </is>
      </c>
      <c r="S3029" s="5" t="inlineStr">
        <is>
          <t>HitRate(perSec)</t>
        </is>
      </c>
      <c r="U3029" t="inlineStr">
        <is>
          <t>helpers</t>
        </is>
      </c>
    </row>
    <row r="3030">
      <c r="A3030">
        <f>Skills!A2</f>
        <v/>
      </c>
      <c r="B3030">
        <f>Skills!B2</f>
        <v/>
      </c>
      <c r="C3030">
        <f>Inputs!$B$3&gt;=100</f>
        <v/>
      </c>
      <c r="D3030" t="inlineStr"/>
      <c r="E3030" t="inlineStr"/>
      <c r="F3030">
        <f>U3032+Skills!O2</f>
        <v/>
      </c>
      <c r="G3030">
        <f>Skills!G2*IF(Skills!H2&gt;0,IF(Inputs!$B$39="pvp",MIN(Skills!I2,15),Skills!I2)/Skills!H2,1)</f>
        <v/>
      </c>
      <c r="H3030">
        <f>1-(1-Skills!J2/100)^Skills!K2</f>
        <v/>
      </c>
      <c r="I3030" t="inlineStr">
        <is>
          <t>1</t>
        </is>
      </c>
      <c r="J3030">
        <f>((Inputs!$B$6*(1+Inputs!$B$7/100))+(((Inputs!$B$12*(1+Inputs!$B$13/100))-(Inputs!$B$12*(1+Inputs!$B$13/100)))+0.25*(Inputs!$B$14-Inputs!$B$14))*(1+Inputs!$B$7/100))*(F3030/100)</f>
        <v/>
      </c>
      <c r="K3030">
        <f>J3030*(1+((Inputs!$B$12*(1+Inputs!$B$13/100))*0.01+Inputs!$B$14*0.0025)/100)*(1+Inputs!$B$15/100)*(1+Inputs!$B$16/100)*(5000/(6000+Inputs!$B$43*(1-(100*(1-(1-Inputs!$B$19/100)*(1-CHOOSE(ArtifactsInput!$N$40+1,5,6,7,8,9,10)/100)^(ArtifactsInput!$M$40-ArtifactsInput!$M$40)))/100)))*(1+(Inputs!$B$24+((C3059=TRUE)*(F3059-Calc!F31))+((C3046=TRUE)*(F3046-Calc!F18)))/100)*(1+(((1+IF(AND(ArtifactsInput!$M$36,IF(Inputs!$B$39="pvp",TRUE,AND(Inputs!$B$39&lt;&gt;"pvp",Inputs!$B$44&gt;0))),CHOOSE(ArtifactsInput!$N$36+1,8,9.6,11.2,12.8,14.4,16),0)/100)*(1+IF(AND(ArtifactsInput!$M$32,Inputs!$B$4&lt;&gt;"Chapter Hunt"),CHOOSE(ArtifactsInput!$N$32+1,8,9.6,11.2,12.8,14.4,16),0)/100)*(1+IF(AND(IF(ArtifactsInput!$M$38,FALSE,TRUE),Inputs!$B$39&lt;&gt;"pvp",Inputs!$B$44&gt;0),CHOOSE(ArtifactsInput!$N$38+1,10,12,14,16,18,20)*(MIN(30,MAX(0,Inputs!$B$44-7))/Inputs!$B$44)*IF(Inputs!$B$4="Chapter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CRUEL_STAB",Inputs!$B$17+((C3056=TRUE)*(F3056-Calc!F28))+((IF(AND(Inputs!$B$39&lt;&gt;"pvp",Inputs!$B$44=0),1,IF(IF(Inputs!$B$39="pvp",15,Inputs!$B$44)-(B3073)&lt;=0,1,MAX(0,IF(Inputs!$B$39="pvp",15,Inputs!$B$44)-MAX(5,B3073))/(IF(Inputs!$B$39="pvp",15,Inputs!$B$44)-(B3073))))*(IF(AND(ArtifactsInput!$M$42,((Inputs!$B$9+((C3054=TRUE)*(F3054-Calc!F26))+B3062+(ArtifactsInput!$M$24-ArtifactsInput!$M$24)*CHOOSE(ArtifactsInput!$N$24+1,10,12,14,16,18,20)+IF(ArtifactsInput!$M$10,CHOOSE(ArtifactsInput!$N$10+1,15,18,21,24,27,30)*(IF(Inputs!$B$39="pvp",MIN(15,15)/15,IF(AND(Inputs!$B$39&lt;&gt;"pvp",Inputs!$B$44&gt;0),MIN(15,Inputs!$B$44)/(Inputs!$B$44),0))),0)))&gt;=100),MIN(100,((Inputs!$B$9+((C3054=TRUE)*(F3054-Calc!F26))+B3062+(ArtifactsInput!$M$24-ArtifactsInput!$M$24)*CHOOSE(ArtifactsInput!$N$24+1,10,12,14,16,18,20)+IF(ArtifactsInput!$M$10,CHOOSE(ArtifactsInput!$N$10+1,15,18,21,24,27,30)*(IF(Inputs!$B$39="pvp",MIN(15,15)/15,IF(AND(Inputs!$B$39&lt;&gt;"pvp",Inputs!$B$44&gt;0),MIN(15,Inputs!$B$44)/(Inputs!$B$44),0))),0)))-100),0))*CHOOSE(ArtifactsInput!$N$42+1,0.6,0.72,0.84,0.96,1.08,1.2))),Inputs!$B$18+((C3057=TRUE)*(F3057-Calc!F29))+(IF(AND(Inputs!$B$39&lt;&gt;"pvp",Inputs!$B$44=0),1,IF(IF(Inputs!$B$39="pvp",15,Inputs!$B$44)-(B3073)&lt;=0,1,MAX(0,IF(Inputs!$B$39="pvp",15,Inputs!$B$44)-MAX(5,B3073))/(IF(Inputs!$B$39="pvp",15,Inputs!$B$44)-(B3073))))*IF(AND(ArtifactsInput!$M$42,((Inputs!$B$9+((C3054=TRUE)*(F3054-Calc!F26))+B3062+(ArtifactsInput!$M$24-ArtifactsInput!$M$24)*CHOOSE(ArtifactsInput!$N$24+1,10,12,14,16,18,20)+IF(ArtifactsInput!$M$10,CHOOSE(ArtifactsInput!$N$10+1,15,18,21,24,27,30)*(IF(Inputs!$B$39="pvp",MIN(15,15)/15,IF(AND(Inputs!$B$39&lt;&gt;"pvp",Inputs!$B$44&gt;0),MIN(15,Inputs!$B$44)/(Inputs!$B$44),0))),0)))&gt;=100),CHOOSE(ArtifactsInput!$N$42+1,40,48,56,64,72,80),0))))/100)*(((1+(((C3050=TRUE)*F3050*IF(AND(Inputs!$B$39&lt;&gt;"pvp",Inputs!$B$44&gt;0),(((R3050-1)*MIN((Skills!Y22*(1+Inputs!$B$34/100)),(1/Q3050))+MIN((Skills!Y22*(1+Inputs!$B$34/100)),MAX(0,Inputs!$B$44-((R3050-1)*(1/Q3050)))))/Inputs!$B$44),IF(Inputs!$B$39="pvp",MIN((Skills!Y22*(1+Inputs!$B$34/100)),15)/15,MIN(1,(Skills!Y22*(1+Inputs!$B$34/100))/(1/Q3050)))))+((C3031=TRUE)*F3031*3)+((C3033=TRUE)*F3033*(1-EXP(-0.75*B3066*5)))+((C3052=TRUE)*(F3052-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3039=TRUE)*F3039*IF(AND(Inputs!$B$39&lt;&gt;"pvp",Inputs!$B$44&gt;0),(((R3039-1)*MIN((Skills!Y11*(1+Inputs!$B$34/100)),(1/Q3039))+MIN((Skills!Y11*(1+Inputs!$B$34/100)),MAX(0,Inputs!$B$44-((R3039-1)*(1/Q3039)))))/Inputs!$B$44),IF(Inputs!$B$39="pvp",MIN((Skills!Y11*(1+Inputs!$B$34/100)),15)/15,MIN(1,(Skills!Y11*(1+Inputs!$B$34/100))/(1/Q3039)))))/100)*(1+((C3044=TRUE)*F3044*IF(AND(Inputs!$B$39&lt;&gt;"pvp",Inputs!$B$44&gt;0),(((R3044-1)*MIN((Skills!Y16*(1+Inputs!$B$34/100)),(1/Q3044))+MIN((Skills!Y16*(1+Inputs!$B$34/100)),MAX(0,Inputs!$B$44-((R3044-1)*(1/Q3044)))))/Inputs!$B$44),IF(Inputs!$B$39="pvp",MIN((Skills!Y16*(1+Inputs!$B$34/100)),15)/15,MIN(1,(Skills!Y16*(1+Inputs!$B$34/100))/(1/Q3044)))))/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3064*I3030)</f>
        <v/>
      </c>
      <c r="L3030">
        <f>K3030*(MIN(Inputs!$B$22+((C3053=TRUE)*(F3053-Calc!F25)),(Inputs!$B$23+((C3058=TRUE)*(F3058-Calc!F30))+IF(ArtifactsInput!$M$15,CHOOSE(ArtifactsInput!$N$15+1,25,30,35,40,45,50)/100*(Inputs!$B$11-Inputs!$B$11),0)))/100+(Inputs!$B$23+((C3058=TRUE)*(F3058-Calc!F30))+IF(ArtifactsInput!$M$15,CHOOSE(ArtifactsInput!$N$15+1,25,30,35,40,45,50)/100*(Inputs!$B$11-Inputs!$B$11),0))/100)/2</f>
        <v/>
      </c>
      <c r="M3030">
        <f>L3030*(1+(Inputs!$B$10+((C3055=TRUE)*(F3055-Calc!F27))+B3069+(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3030">
        <f>L3030*(1-MIN((Inputs!$B$9+((C3054=TRUE)*(F3054-Calc!F26))+B3062+(ArtifactsInput!$M$24-ArtifactsInput!$M$24)*CHOOSE(ArtifactsInput!$N$24+1,10,12,14,16,18,20)+(IF(AND(Inputs!$B$39&lt;&gt;"pvp",Inputs!$B$44=0),1,IF(IF(Inputs!$B$39="pvp",15,Inputs!$B$44)-(B3073)&lt;=0,1,MAX(0,IF(Inputs!$B$39="pvp",15,Inputs!$B$44)-MAX(5,B3073))/(IF(Inputs!$B$39="pvp",15,Inputs!$B$44)-(B3073))))*IF(AND(ArtifactsInput!$M$42,((Inputs!$B$9+((C3054=TRUE)*(F3054-Calc!F26))+B3062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3030*(MIN((Inputs!$B$9+((C3054=TRUE)*(F3054-Calc!F26))+B3062+(ArtifactsInput!$M$24-ArtifactsInput!$M$24)*CHOOSE(ArtifactsInput!$N$24+1,10,12,14,16,18,20)+(IF(AND(Inputs!$B$39&lt;&gt;"pvp",Inputs!$B$44=0),1,IF(IF(Inputs!$B$39="pvp",15,Inputs!$B$44)-(B3073)&lt;=0,1,MAX(0,IF(Inputs!$B$39="pvp",15,Inputs!$B$44)-MAX(5,B3073))/(IF(Inputs!$B$39="pvp",15,Inputs!$B$44)-(B3073))))*IF(AND(ArtifactsInput!$M$42,((Inputs!$B$9+((C3054=TRUE)*(F3054-Calc!F26))+B3062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3030">
        <f>(1-Summary!$B$11)*T3030+Summary!$B$11*V3030</f>
        <v/>
      </c>
      <c r="P3030">
        <f>IF(B3074=0,0,O3030/B3074)</f>
        <v/>
      </c>
      <c r="Q3030" t="n">
        <v>0</v>
      </c>
      <c r="R3030" t="n">
        <v>0</v>
      </c>
      <c r="S3030">
        <f>IFERROR(O3030/N3030,0)</f>
        <v/>
      </c>
      <c r="T3030">
        <f>IF(C3030,(Skills!G2*N3030*B3068)*IF(Inputs!$B$39="pvp",1,1+(Inputs!$B$20+0+Skills!P2+B3063+(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Hunt"),CHOOSE(ArtifactsInput!$N$35+1,15,18,21,24,27,30)*(1-EXP(-(0.2*B3066)*5)),0)+IF(AND(ArtifactsInput!$M$22,Inputs!$B$4&lt;&gt;"Chapter Hunt"),CHOOSE(ArtifactsInput!$N$22+1,10,12,14,16,18,20)*((0*(((0.15*B3066*5))^0/1)+1*(((0.15*B3066*5))^1/1)+2*(((0.15*B3066*5))^2/2)+3*(((0.15*B3066*5))^3/6)+4*(((0.15*B3066*5))^4/24)+5*(((0.15*B3066*5))^5/120))/((((0.15*B3066*5))^0/1)+(((0.15*B3066*5))^1/1)+(((0.15*B3066*5))^2/2)+(((0.15*B3066*5))^3/6)+(((0.15*B3066*5))^4/24)+(((0.15*B3066*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3030*(1-MIN(100,(Inputs!$B$9+((C3054=TRUE)*(F3054-Calc!F26))+B3062+(ArtifactsInput!$M$24-ArtifactsInput!$M$24)*CHOOSE(ArtifactsInput!$N$24+1,10,12,14,16,18,20)+(IF(AND(Inputs!$B$39&lt;&gt;"pvp",Inputs!$B$44=0),1,IF(IF(Inputs!$B$39="pvp",15,Inputs!$B$44)-(B3073)&lt;=0,1,MAX(0,IF(Inputs!$B$39="pvp",15,Inputs!$B$44)-MAX(5,B3073))/(IF(Inputs!$B$39="pvp",15,Inputs!$B$44)-(B3073))))*IF(AND(ArtifactsInput!$M$42,((Inputs!$B$9+((C3054=TRUE)*(F3054-Calc!F26))+B3062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3030*(MIN(100,(Inputs!$B$9+((C3054=TRUE)*(F3054-Calc!F26))+B3062+(ArtifactsInput!$M$24-ArtifactsInput!$M$24)*CHOOSE(ArtifactsInput!$N$24+1,10,12,14,16,18,20)+(IF(AND(Inputs!$B$39&lt;&gt;"pvp",Inputs!$B$44=0),1,IF(IF(Inputs!$B$39="pvp",15,Inputs!$B$44)-(B3073)&lt;=0,1,MAX(0,IF(Inputs!$B$39="pvp",15,Inputs!$B$44)-MAX(5,B3073))/(IF(Inputs!$B$39="pvp",15,Inputs!$B$44)-(B3073))))*IF(AND(ArtifactsInput!$M$42,((Inputs!$B$9+((C3054=TRUE)*(F3054-Calc!F26))+B3062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3030*(1-MIN(100,(Inputs!$B$9+((C3054=TRUE)*(F3054-Calc!F26))+B3062+(ArtifactsInput!$M$24-ArtifactsInput!$M$24)*CHOOSE(ArtifactsInput!$N$24+1,10,12,14,16,18,20)+(IF(AND(Inputs!$B$39&lt;&gt;"pvp",Inputs!$B$44=0),1,IF(IF(Inputs!$B$39="pvp",15,Inputs!$B$44)-(B3073)&lt;=0,1,MAX(0,IF(Inputs!$B$39="pvp",15,Inputs!$B$44)-MAX(5,B3073))/(IF(Inputs!$B$39="pvp",15,Inputs!$B$44)-(B3073))))*IF(AND(ArtifactsInput!$M$42,((Inputs!$B$9+((C3054=TRUE)*(F3054-Calc!F26))+B3062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3030*(MIN(100,(Inputs!$B$9+((C3054=TRUE)*(F3054-Calc!F26))+B3062+(ArtifactsInput!$M$24-ArtifactsInput!$M$24)*CHOOSE(ArtifactsInput!$N$24+1,10,12,14,16,18,20)+(IF(AND(Inputs!$B$39&lt;&gt;"pvp",Inputs!$B$44=0),1,IF(IF(Inputs!$B$39="pvp",15,Inputs!$B$44)-(B3073)&lt;=0,1,MAX(0,IF(Inputs!$B$39="pvp",15,Inputs!$B$44)-MAX(5,B3073))/(IF(Inputs!$B$39="pvp",15,Inputs!$B$44)-(B3073))))*IF(AND(ArtifactsInput!$M$42,((Inputs!$B$9+((C3054=TRUE)*(F3054-Calc!F26))+B3062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3030">
        <f>MAX(0,(Inputs!$B$3-100)*3)+Inputs!$B$28+Inputs!$B$29</f>
        <v/>
      </c>
      <c r="V3030">
        <f>IF(C3030,(Skills!G2*N3030*B3068)*IF(Inputs!$B$39="pvp",1,(1+(Inputs!$B$21+Skills!Q2+B3063+(IF(ArtifactsInput!$M$33,CHOOSE(ArtifactsInput!$N$33+1,30,36,42,48,54,60),0))+(IF(AND(ArtifactsInput!$M$35,Inputs!$B$4&lt;&gt;"Chapter Hunt"),CHOOSE(ArtifactsInput!$N$35+1,15,18,21,24,27,30)*(1-EXP(-(0.2*B3066)*5)),0)+IF(AND(ArtifactsInput!$M$22,Inputs!$B$4&lt;&gt;"Chapter Hunt"),CHOOSE(ArtifactsInput!$N$22+1,10,12,14,16,18,20)*((0*(((0.15*B3066*5))^0/1)+1*(((0.15*B3066*5))^1/1)+2*(((0.15*B3066*5))^2/2)+3*(((0.15*B3066*5))^3/6)+4*(((0.15*B3066*5))^4/24)+5*(((0.15*B3066*5))^5/120))/((((0.15*B3066*5))^0/1)+(((0.15*B3066*5))^1/1)+(((0.15*B3066*5))^2/2)+(((0.15*B3066*5))^3/6)+(((0.15*B3066*5))^4/24)+(((0.15*B3066*5))^5/120))),0)))/100)*(MIN((6+Inputs!$B$33),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3031">
      <c r="A3031">
        <f>Skills!A3</f>
        <v/>
      </c>
      <c r="B3031">
        <f>Skills!B3</f>
        <v/>
      </c>
      <c r="C3031">
        <f>Inputs!$B$3&gt;=35</f>
        <v/>
      </c>
      <c r="D3031">
        <f>IF(Skills!C3=1,60+Inputs!$B$25+Inputs!$B$29,IF(Skills!C3=2,90+Inputs!$B$26+Inputs!$B$29,IF(Skills!C3=3,120+Inputs!$B$27+Inputs!$B$29,MAX(0,(Inputs!$B$3-100)*3)+Inputs!$B$28+Inputs!$B$29)))</f>
        <v/>
      </c>
      <c r="E3031">
        <f>INDEX(FactorTable!$B$2:$Y$301, MATCH(ROUND(MIN(300,MAX(1,D3031)),0), FactorTable!$A$2:$A$301,0), Skills!M3+1)</f>
        <v/>
      </c>
      <c r="F3031">
        <f>IF(Skills!N3=TRUE,(Skills!L3/10)*(E3031/1000),Skills!L3/10)+Skills!O3</f>
        <v/>
      </c>
      <c r="G3031">
        <f>Skills!G3*IF(Skills!H3&gt;0,IF(Inputs!$B$39="pvp",MIN(Skills!I3,15),Skills!I3)/Skills!H3,1)</f>
        <v/>
      </c>
      <c r="H3031">
        <f>1-(1-Skills!J3/100)^Skills!K3</f>
        <v/>
      </c>
      <c r="I3031" t="inlineStr">
        <is>
          <t>1</t>
        </is>
      </c>
      <c r="J3031" t="inlineStr"/>
      <c r="K3031" t="inlineStr"/>
      <c r="L3031" t="inlineStr"/>
      <c r="M3031" t="inlineStr"/>
      <c r="N3031" t="inlineStr"/>
      <c r="O3031">
        <f>(1-Summary!$B$11)*T3031+Summary!$B$11*V3031</f>
        <v/>
      </c>
      <c r="P3031">
        <f>IF(B3074=0,0,O3031/B3074)</f>
        <v/>
      </c>
      <c r="Q3031" t="n">
        <v>0</v>
      </c>
      <c r="R3031" t="n">
        <v>0</v>
      </c>
      <c r="S3031">
        <f>IFERROR(O3031/N3031,0)</f>
        <v/>
      </c>
      <c r="T3031" t="n">
        <v>0</v>
      </c>
      <c r="U3031">
        <f>INDEX(FactorTable!$B$2:$Y$301, MATCH(ROUND(MIN(300,MAX(1,U3030)),0), FactorTable!$A$2:$A$301,0), 22)</f>
        <v/>
      </c>
      <c r="V3031" t="n">
        <v>0</v>
      </c>
    </row>
    <row r="3032">
      <c r="A3032">
        <f>Skills!A4</f>
        <v/>
      </c>
      <c r="B3032">
        <f>Skills!B4</f>
        <v/>
      </c>
      <c r="C3032">
        <f>Inputs!$B$3&gt;=66</f>
        <v/>
      </c>
      <c r="D3032">
        <f>IF(Skills!C4=1,60+Inputs!$B$25+Inputs!$B$29,IF(Skills!C4=2,90+Inputs!$B$26+Inputs!$B$29,IF(Skills!C4=3,120+Inputs!$B$27+Inputs!$B$29,MAX(0,(Inputs!$B$3-100)*3)+Inputs!$B$28+Inputs!$B$29)))</f>
        <v/>
      </c>
      <c r="E3032">
        <f>INDEX(FactorTable!$B$2:$Y$301, MATCH(ROUND(MIN(300,MAX(1,D3032)),0), FactorTable!$A$2:$A$301,0), Skills!M4+1)</f>
        <v/>
      </c>
      <c r="F3032">
        <f>IF(Skills!N4=TRUE,(Skills!L4/10)*(E3032/1000),Skills!L4/10)+Skills!O4</f>
        <v/>
      </c>
      <c r="G3032">
        <f>Skills!G4*IF(Skills!H4&gt;0,IF(Inputs!$B$39="pvp",MIN(Skills!I4,15),Skills!I4)/Skills!H4,1)</f>
        <v/>
      </c>
      <c r="H3032">
        <f>1-(1-Skills!J4/100)^Skills!K4</f>
        <v/>
      </c>
      <c r="I3032" t="inlineStr">
        <is>
          <t>1</t>
        </is>
      </c>
      <c r="J3032">
        <f>((Inputs!$B$6*(1+Inputs!$B$7/100))+(((Inputs!$B$12*(1+Inputs!$B$13/100))-(Inputs!$B$12*(1+Inputs!$B$13/100)))+0.25*(Inputs!$B$14-Inputs!$B$14))*(1+Inputs!$B$7/100))*(F3032/100)</f>
        <v/>
      </c>
      <c r="K3032">
        <f>J3032*(1+((Inputs!$B$12*(1+Inputs!$B$13/100))*0.01+Inputs!$B$14*0.0025)/100)*(1+Inputs!$B$15/100)*(1+Inputs!$B$16/100)*(5000/(6000+Inputs!$B$43*(1-(100*(1-(1-Inputs!$B$19/100)*(1-CHOOSE(ArtifactsInput!$N$40+1,5,6,7,8,9,10)/100)^(ArtifactsInput!$M$40-ArtifactsInput!$M$40)))/100)))*(1+(Inputs!$B$24+((C3059=TRUE)*(F3059-Calc!F31))+((C3046=TRUE)*(F3046-Calc!F18)))/100)*(1+(((1+IF(AND(ArtifactsInput!$M$36,IF(Inputs!$B$39="pvp",TRUE,AND(Inputs!$B$39&lt;&gt;"pvp",Inputs!$B$44&gt;0))),CHOOSE(ArtifactsInput!$N$36+1,8,9.6,11.2,12.8,14.4,16),0)/100)*(1+IF(AND(ArtifactsInput!$M$32,Inputs!$B$4&lt;&gt;"Chapter Hunt"),CHOOSE(ArtifactsInput!$N$32+1,8,9.6,11.2,12.8,14.4,16),0)/100)*(1+IF(AND(IF(ArtifactsInput!$M$38,FALSE,TRUE),Inputs!$B$39&lt;&gt;"pvp",Inputs!$B$44&gt;0),CHOOSE(ArtifactsInput!$N$38+1,10,12,14,16,18,20)*(MIN(30,MAX(0,Inputs!$B$44-7))/Inputs!$B$44)*IF(Inputs!$B$4="Chapter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4="CRUEL_STAB",Inputs!$B$17+((C3056=TRUE)*(F3056-Calc!F28))+((IF(AND(Inputs!$B$39&lt;&gt;"pvp",Inputs!$B$44=0),1,IF(IF(Inputs!$B$39="pvp",15,Inputs!$B$44)-(B3073)&lt;=0,1,MAX(0,IF(Inputs!$B$39="pvp",15,Inputs!$B$44)-MAX(5,B3073))/(IF(Inputs!$B$39="pvp",15,Inputs!$B$44)-(B3073))))*(IF(AND(ArtifactsInput!$M$42,((Inputs!$B$9+((C3054=TRUE)*(F3054-Calc!F26))+B3062+(ArtifactsInput!$M$24-ArtifactsInput!$M$24)*CHOOSE(ArtifactsInput!$N$24+1,10,12,14,16,18,20)+IF(ArtifactsInput!$M$10,CHOOSE(ArtifactsInput!$N$10+1,15,18,21,24,27,30)*(IF(Inputs!$B$39="pvp",MIN(15,15)/15,IF(AND(Inputs!$B$39&lt;&gt;"pvp",Inputs!$B$44&gt;0),MIN(15,Inputs!$B$44)/(Inputs!$B$44),0))),0)))&gt;=100),MIN(100,((Inputs!$B$9+((C3054=TRUE)*(F3054-Calc!F26))+B3062+(ArtifactsInput!$M$24-ArtifactsInput!$M$24)*CHOOSE(ArtifactsInput!$N$24+1,10,12,14,16,18,20)+IF(ArtifactsInput!$M$10,CHOOSE(ArtifactsInput!$N$10+1,15,18,21,24,27,30)*(IF(Inputs!$B$39="pvp",MIN(15,15)/15,IF(AND(Inputs!$B$39&lt;&gt;"pvp",Inputs!$B$44&gt;0),MIN(15,Inputs!$B$44)/(Inputs!$B$44),0))),0)))-100),0))*CHOOSE(ArtifactsInput!$N$42+1,0.6,0.72,0.84,0.96,1.08,1.2))),Inputs!$B$18+((C3057=TRUE)*(F3057-Calc!F29))+(IF(AND(Inputs!$B$39&lt;&gt;"pvp",Inputs!$B$44=0),1,IF(IF(Inputs!$B$39="pvp",15,Inputs!$B$44)-(B3073)&lt;=0,1,MAX(0,IF(Inputs!$B$39="pvp",15,Inputs!$B$44)-MAX(5,B3073))/(IF(Inputs!$B$39="pvp",15,Inputs!$B$44)-(B3073))))*IF(AND(ArtifactsInput!$M$42,((Inputs!$B$9+((C3054=TRUE)*(F3054-Calc!F26))+B3062+(ArtifactsInput!$M$24-ArtifactsInput!$M$24)*CHOOSE(ArtifactsInput!$N$24+1,10,12,14,16,18,20)+IF(ArtifactsInput!$M$10,CHOOSE(ArtifactsInput!$N$10+1,15,18,21,24,27,30)*(IF(Inputs!$B$39="pvp",MIN(15,15)/15,IF(AND(Inputs!$B$39&lt;&gt;"pvp",Inputs!$B$44&gt;0),MIN(15,Inputs!$B$44)/(Inputs!$B$44),0))),0)))&gt;=100),CHOOSE(ArtifactsInput!$N$42+1,40,48,56,64,72,80),0))))/100)*(((1+(((C3050=TRUE)*F3050*IF(AND(Inputs!$B$39&lt;&gt;"pvp",Inputs!$B$44&gt;0),(((R3050-1)*MIN((Skills!Y22*(1+Inputs!$B$34/100)),(1/Q3050))+MIN((Skills!Y22*(1+Inputs!$B$34/100)),MAX(0,Inputs!$B$44-((R3050-1)*(1/Q3050)))))/Inputs!$B$44),IF(Inputs!$B$39="pvp",MIN((Skills!Y22*(1+Inputs!$B$34/100)),15)/15,MIN(1,(Skills!Y22*(1+Inputs!$B$34/100))/(1/Q3050)))))+((C3031=TRUE)*F3031*3)+((C3033=TRUE)*F3033*(1-EXP(-0.75*B3066*5)))+((C3052=TRUE)*(F3052-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3039=TRUE)*F3039*IF(AND(Inputs!$B$39&lt;&gt;"pvp",Inputs!$B$44&gt;0),(((R3039-1)*MIN((Skills!Y11*(1+Inputs!$B$34/100)),(1/Q3039))+MIN((Skills!Y11*(1+Inputs!$B$34/100)),MAX(0,Inputs!$B$44-((R3039-1)*(1/Q3039)))))/Inputs!$B$44),IF(Inputs!$B$39="pvp",MIN((Skills!Y11*(1+Inputs!$B$34/100)),15)/15,MIN(1,(Skills!Y11*(1+Inputs!$B$34/100))/(1/Q3039)))))/100)*(1+((C3044=TRUE)*F3044*IF(AND(Inputs!$B$39&lt;&gt;"pvp",Inputs!$B$44&gt;0),(((R3044-1)*MIN((Skills!Y16*(1+Inputs!$B$34/100)),(1/Q3044))+MIN((Skills!Y16*(1+Inputs!$B$34/100)),MAX(0,Inputs!$B$44-((R3044-1)*(1/Q3044)))))/Inputs!$B$44),IF(Inputs!$B$39="pvp",MIN((Skills!Y16*(1+Inputs!$B$34/100)),15)/15,MIN(1,(Skills!Y16*(1+Inputs!$B$34/100))/(1/Q3044)))))/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3064*I3032)</f>
        <v/>
      </c>
      <c r="L3032">
        <f>K3032*(MIN(Inputs!$B$22+((C3053=TRUE)*(F3053-Calc!F25)),(Inputs!$B$23+((C3058=TRUE)*(F3058-Calc!F30))+IF(ArtifactsInput!$M$15,CHOOSE(ArtifactsInput!$N$15+1,25,30,35,40,45,50)/100*(Inputs!$B$11-Inputs!$B$11),0)))/100+(Inputs!$B$23+((C3058=TRUE)*(F3058-Calc!F30))+IF(ArtifactsInput!$M$15,CHOOSE(ArtifactsInput!$N$15+1,25,30,35,40,45,50)/100*(Inputs!$B$11-Inputs!$B$11),0))/100)/2</f>
        <v/>
      </c>
      <c r="M3032">
        <f>L3032*(1+(Inputs!$B$10+((C3055=TRUE)*(F3055-Calc!F27))+B3069+(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3032">
        <f>L3032*(1-MIN((Inputs!$B$9+((C3054=TRUE)*(F3054-Calc!F26))+B3062+(ArtifactsInput!$M$24-ArtifactsInput!$M$24)*CHOOSE(ArtifactsInput!$N$24+1,10,12,14,16,18,20)+(IF(AND(Inputs!$B$39&lt;&gt;"pvp",Inputs!$B$44=0),1,IF(IF(Inputs!$B$39="pvp",15,Inputs!$B$44)-(B3073)&lt;=0,1,MAX(0,IF(Inputs!$B$39="pvp",15,Inputs!$B$44)-MAX(5,B3073))/(IF(Inputs!$B$39="pvp",15,Inputs!$B$44)-(B3073))))*IF(AND(ArtifactsInput!$M$42,((Inputs!$B$9+((C3054=TRUE)*(F3054-Calc!F26))+B3062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3032*(MIN((Inputs!$B$9+((C3054=TRUE)*(F3054-Calc!F26))+B3062+(ArtifactsInput!$M$24-ArtifactsInput!$M$24)*CHOOSE(ArtifactsInput!$N$24+1,10,12,14,16,18,20)+(IF(AND(Inputs!$B$39&lt;&gt;"pvp",Inputs!$B$44=0),1,IF(IF(Inputs!$B$39="pvp",15,Inputs!$B$44)-(B3073)&lt;=0,1,MAX(0,IF(Inputs!$B$39="pvp",15,Inputs!$B$44)-MAX(5,B3073))/(IF(Inputs!$B$39="pvp",15,Inputs!$B$44)-(B3073))))*IF(AND(ArtifactsInput!$M$42,((Inputs!$B$9+((C3054=TRUE)*(F3054-Calc!F26))+B3062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3032">
        <f>(1-Summary!$B$11)*T3032+Summary!$B$11*V3032</f>
        <v/>
      </c>
      <c r="P3032">
        <f>IF(B3074=0,0,O3032/B3074)</f>
        <v/>
      </c>
      <c r="Q3032">
        <f>IFERROR(1/IF(Inputs!$B$39="pvp",15,MAX(0.1,Skills!D4-IF(TRUE=TRUE,Inputs!$B$32,0))),0)</f>
        <v/>
      </c>
      <c r="R3032">
        <f>IF(AND(Inputs!$B$39&lt;&gt;"pvp",Inputs!$B$44&gt;0),IF(MAX(0,Inputs!$B$44-B3073)&lt;=0,0,(INT(MAX(0,Inputs!$B$44-B3073)/IF(Inputs!$B$39="pvp",15,MAX(0.1,Skills!D4-IF(TRUE=TRUE,Inputs!$B$32,0))))+1)),0)</f>
        <v/>
      </c>
      <c r="S3032">
        <f>IFERROR(O3032/N3032,0)</f>
        <v/>
      </c>
      <c r="T3032">
        <f>IF(C3032,(H3032*N3032*IF(AND(Inputs!$B$39&lt;&gt;"pvp",Inputs!$B$44&gt;0),((Skills!G4*((R3032-1)*IF(Skills!H4&gt;0,Skills!I4/Skills!H4,1)+IF(Skills!H4&gt;0,MIN(Skills!I4,MAX(0,MAX(0,Inputs!$B$44-B3073)-((R3032-1)*IF(Inputs!$B$39="pvp",15,MAX(0.1,Skills!D4-IF(TRUE=TRUE,Inputs!$B$32,0))))))/Skills!H4,1)))/Inputs!$B$44),G3032*Q3032))*IF(Inputs!$B$39="pvp",1,1+(Inputs!$B$20+0+Skills!P4+B3063+(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Hunt"),CHOOSE(ArtifactsInput!$N$35+1,15,18,21,24,27,30)*(1-EXP(-(0.2*B3066)*5)),0)+IF(AND(ArtifactsInput!$M$22,Inputs!$B$4&lt;&gt;"Chapter Hunt"),CHOOSE(ArtifactsInput!$N$22+1,10,12,14,16,18,20)*((0*(((0.15*B3066*5))^0/1)+1*(((0.15*B3066*5))^1/1)+2*(((0.15*B3066*5))^2/2)+3*(((0.15*B3066*5))^3/6)+4*(((0.15*B3066*5))^4/24)+5*(((0.15*B3066*5))^5/120))/((((0.15*B3066*5))^0/1)+(((0.15*B3066*5))^1/1)+(((0.15*B3066*5))^2/2)+(((0.15*B3066*5))^3/6)+(((0.15*B3066*5))^4/24)+(((0.15*B3066*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3032*(1-MIN(100,(Inputs!$B$9+((C3054=TRUE)*(F3054-Calc!F26))+B3062+(ArtifactsInput!$M$24-ArtifactsInput!$M$24)*CHOOSE(ArtifactsInput!$N$24+1,10,12,14,16,18,20)+(IF(AND(Inputs!$B$39&lt;&gt;"pvp",Inputs!$B$44=0),1,IF(IF(Inputs!$B$39="pvp",15,Inputs!$B$44)-(B3073)&lt;=0,1,MAX(0,IF(Inputs!$B$39="pvp",15,Inputs!$B$44)-MAX(5,B3073))/(IF(Inputs!$B$39="pvp",15,Inputs!$B$44)-(B3073))))*IF(AND(ArtifactsInput!$M$42,((Inputs!$B$9+((C3054=TRUE)*(F3054-Calc!F26))+B3062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3032*(MIN(100,(Inputs!$B$9+((C3054=TRUE)*(F3054-Calc!F26))+B3062+(ArtifactsInput!$M$24-ArtifactsInput!$M$24)*CHOOSE(ArtifactsInput!$N$24+1,10,12,14,16,18,20)+(IF(AND(Inputs!$B$39&lt;&gt;"pvp",Inputs!$B$44=0),1,IF(IF(Inputs!$B$39="pvp",15,Inputs!$B$44)-(B3073)&lt;=0,1,MAX(0,IF(Inputs!$B$39="pvp",15,Inputs!$B$44)-MAX(5,B3073))/(IF(Inputs!$B$39="pvp",15,Inputs!$B$44)-(B3073))))*IF(AND(ArtifactsInput!$M$42,((Inputs!$B$9+((C3054=TRUE)*(F3054-Calc!F26))+B3062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3032*(1-MIN(100,(Inputs!$B$9+((C3054=TRUE)*(F3054-Calc!F26))+B3062+(ArtifactsInput!$M$24-ArtifactsInput!$M$24)*CHOOSE(ArtifactsInput!$N$24+1,10,12,14,16,18,20)+(IF(AND(Inputs!$B$39&lt;&gt;"pvp",Inputs!$B$44=0),1,IF(IF(Inputs!$B$39="pvp",15,Inputs!$B$44)-(B3073)&lt;=0,1,MAX(0,IF(Inputs!$B$39="pvp",15,Inputs!$B$44)-MAX(5,B3073))/(IF(Inputs!$B$39="pvp",15,Inputs!$B$44)-(B3073))))*IF(AND(ArtifactsInput!$M$42,((Inputs!$B$9+((C3054=TRUE)*(F3054-Calc!F26))+B3062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3032*(MIN(100,(Inputs!$B$9+((C3054=TRUE)*(F3054-Calc!F26))+B3062+(ArtifactsInput!$M$24-ArtifactsInput!$M$24)*CHOOSE(ArtifactsInput!$N$24+1,10,12,14,16,18,20)+(IF(AND(Inputs!$B$39&lt;&gt;"pvp",Inputs!$B$44=0),1,IF(IF(Inputs!$B$39="pvp",15,Inputs!$B$44)-(B3073)&lt;=0,1,MAX(0,IF(Inputs!$B$39="pvp",15,Inputs!$B$44)-MAX(5,B3073))/(IF(Inputs!$B$39="pvp",15,Inputs!$B$44)-(B3073))))*IF(AND(ArtifactsInput!$M$42,((Inputs!$B$9+((C3054=TRUE)*(F3054-Calc!F26))+B3062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3032">
        <f>290*U3031/1000</f>
        <v/>
      </c>
      <c r="V3032">
        <f>IF(C3032,(H3032*N3032*IF(AND(Inputs!$B$39&lt;&gt;"pvp",Inputs!$B$44&gt;0),((Skills!G4*((R3032-1)*IF(Skills!H4&gt;0,Skills!I4/Skills!H4,1)+IF(Skills!H4&gt;0,MIN(Skills!I4,MAX(0,MAX(0,Inputs!$B$44-B3073)-((R3032-1)*IF(Inputs!$B$39="pvp",15,MAX(0.1,Skills!D4-IF(TRUE=TRUE,Inputs!$B$32,0))))))/Skills!H4,1)))/Inputs!$B$44),G3032*Q3032))*IF(Inputs!$B$39="pvp",1,(1+(Inputs!$B$21+Skills!Q4+B3063+(IF(ArtifactsInput!$M$33,CHOOSE(ArtifactsInput!$N$33+1,30,36,42,48,54,60),0))+(IF(AND(ArtifactsInput!$M$35,Inputs!$B$4&lt;&gt;"Chapter Hunt"),CHOOSE(ArtifactsInput!$N$35+1,15,18,21,24,27,30)*(1-EXP(-(0.2*B3066)*5)),0)+IF(AND(ArtifactsInput!$M$22,Inputs!$B$4&lt;&gt;"Chapter Hunt"),CHOOSE(ArtifactsInput!$N$22+1,10,12,14,16,18,20)*((0*(((0.15*B3066*5))^0/1)+1*(((0.15*B3066*5))^1/1)+2*(((0.15*B3066*5))^2/2)+3*(((0.15*B3066*5))^3/6)+4*(((0.15*B3066*5))^4/24)+5*(((0.15*B3066*5))^5/120))/((((0.15*B3066*5))^0/1)+(((0.15*B3066*5))^1/1)+(((0.15*B3066*5))^2/2)+(((0.15*B3066*5))^3/6)+(((0.15*B3066*5))^4/24)+(((0.15*B3066*5))^5/120))),0)))/100)*(MIN(MIN(10,IF(Inputs!$B$3&gt;=75,0.75,0.5)*B3066*(1/Q3032)),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3033">
      <c r="A3033">
        <f>Skills!A5</f>
        <v/>
      </c>
      <c r="B3033">
        <f>Skills!B5</f>
        <v/>
      </c>
      <c r="C3033">
        <f>Inputs!$B$3&gt;=75</f>
        <v/>
      </c>
      <c r="D3033">
        <f>IF(Skills!C5=1,60+Inputs!$B$25+Inputs!$B$29,IF(Skills!C5=2,90+Inputs!$B$26+Inputs!$B$29,IF(Skills!C5=3,120+Inputs!$B$27+Inputs!$B$29,MAX(0,(Inputs!$B$3-100)*3)+Inputs!$B$28+Inputs!$B$29)))</f>
        <v/>
      </c>
      <c r="E3033">
        <f>INDEX(FactorTable!$B$2:$Y$301, MATCH(ROUND(MIN(300,MAX(1,D3033)),0), FactorTable!$A$2:$A$301,0), Skills!M5+1)</f>
        <v/>
      </c>
      <c r="F3033">
        <f>IF(Skills!N5=TRUE,(Skills!L5/10)*(E3033/1000),Skills!L5/10)+Skills!O5</f>
        <v/>
      </c>
      <c r="G3033">
        <f>Skills!G5*IF(Skills!H5&gt;0,IF(Inputs!$B$39="pvp",MIN(Skills!I5,15),Skills!I5)/Skills!H5,1)</f>
        <v/>
      </c>
      <c r="H3033">
        <f>1-(1-Skills!J5/100)^Skills!K5</f>
        <v/>
      </c>
      <c r="I3033" t="inlineStr">
        <is>
          <t>1</t>
        </is>
      </c>
      <c r="J3033" t="inlineStr"/>
      <c r="K3033" t="inlineStr"/>
      <c r="L3033" t="inlineStr"/>
      <c r="M3033" t="inlineStr"/>
      <c r="N3033" t="inlineStr"/>
      <c r="O3033">
        <f>(1-Summary!$B$11)*T3033+Summary!$B$11*V3033</f>
        <v/>
      </c>
      <c r="P3033">
        <f>IF(B3074=0,0,O3033/B3074)</f>
        <v/>
      </c>
      <c r="Q3033" t="n">
        <v>0</v>
      </c>
      <c r="R3033" t="n">
        <v>0</v>
      </c>
      <c r="S3033">
        <f>IFERROR(O3033/N3033,0)</f>
        <v/>
      </c>
      <c r="T3033" t="n">
        <v>0</v>
      </c>
      <c r="V3033" t="n">
        <v>0</v>
      </c>
    </row>
    <row r="3034">
      <c r="A3034">
        <f>Skills!A6</f>
        <v/>
      </c>
      <c r="B3034">
        <f>Skills!B6</f>
        <v/>
      </c>
      <c r="C3034">
        <f>Inputs!$B$3&gt;=63</f>
        <v/>
      </c>
      <c r="D3034">
        <f>IF(Skills!C6=1,60+Inputs!$B$25+Inputs!$B$29,IF(Skills!C6=2,90+Inputs!$B$26+Inputs!$B$29,IF(Skills!C6=3,120+Inputs!$B$27+Inputs!$B$29,MAX(0,(Inputs!$B$3-100)*3)+Inputs!$B$28+Inputs!$B$29)))</f>
        <v/>
      </c>
      <c r="E3034">
        <f>INDEX(FactorTable!$B$2:$Y$301, MATCH(ROUND(MIN(300,MAX(1,D3034)),0), FactorTable!$A$2:$A$301,0), Skills!M6+1)</f>
        <v/>
      </c>
      <c r="F3034">
        <f>IF(Skills!N6=TRUE,(Skills!L6/10)*(E3034/1000),Skills!L6/10)+Skills!O6</f>
        <v/>
      </c>
      <c r="G3034">
        <f>Skills!G6*IF(Skills!H6&gt;0,IF(Inputs!$B$39="pvp",MIN(Skills!I6,15),Skills!I6)/Skills!H6,1)</f>
        <v/>
      </c>
      <c r="H3034">
        <f>1-(1-Skills!J6/100)^Skills!K6</f>
        <v/>
      </c>
      <c r="I3034" t="inlineStr">
        <is>
          <t>1</t>
        </is>
      </c>
      <c r="J3034">
        <f>((Inputs!$B$6*(1+Inputs!$B$7/100))+(((Inputs!$B$12*(1+Inputs!$B$13/100))-(Inputs!$B$12*(1+Inputs!$B$13/100)))+0.25*(Inputs!$B$14-Inputs!$B$14))*(1+Inputs!$B$7/100))*(F3034/100)</f>
        <v/>
      </c>
      <c r="K3034">
        <f>J3034*(1+((Inputs!$B$12*(1+Inputs!$B$13/100))*0.01+Inputs!$B$14*0.0025)/100)*(1+Inputs!$B$15/100)*(1+Inputs!$B$16/100)*(5000/(6000+Inputs!$B$43*(1-(100*(1-(1-Inputs!$B$19/100)*(1-CHOOSE(ArtifactsInput!$N$40+1,5,6,7,8,9,10)/100)^(ArtifactsInput!$M$40-ArtifactsInput!$M$40)))/100)))*(1+(Inputs!$B$24+((C3059=TRUE)*(F3059-Calc!F31))+((C3046=TRUE)*(F3046-Calc!F18)))/100)*(1+(((1+IF(AND(ArtifactsInput!$M$36,IF(Inputs!$B$39="pvp",TRUE,AND(Inputs!$B$39&lt;&gt;"pvp",Inputs!$B$44&gt;0))),CHOOSE(ArtifactsInput!$N$36+1,8,9.6,11.2,12.8,14.4,16),0)/100)*(1+IF(AND(ArtifactsInput!$M$32,Inputs!$B$4&lt;&gt;"Chapter Hunt"),CHOOSE(ArtifactsInput!$N$32+1,8,9.6,11.2,12.8,14.4,16),0)/100)*(1+IF(AND(IF(ArtifactsInput!$M$38,FALSE,TRUE),Inputs!$B$39&lt;&gt;"pvp",Inputs!$B$44&gt;0),CHOOSE(ArtifactsInput!$N$38+1,10,12,14,16,18,20)*(MIN(30,MAX(0,Inputs!$B$44-7))/Inputs!$B$44)*IF(Inputs!$B$4="Chapter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+2.6666666666666665*IF(C3047=TRUE,F3047,0)/100)*(1+(IF(Skills!A6="CRUEL_STAB",Inputs!$B$17+((C3056=TRUE)*(F3056-Calc!F28))+((IF(AND(Inputs!$B$39&lt;&gt;"pvp",Inputs!$B$44=0),1,IF(IF(Inputs!$B$39="pvp",15,Inputs!$B$44)-(B3073)&lt;=0,1,MAX(0,IF(Inputs!$B$39="pvp",15,Inputs!$B$44)-MAX(5,B3073))/(IF(Inputs!$B$39="pvp",15,Inputs!$B$44)-(B3073))))*(IF(AND(ArtifactsInput!$M$42,((Inputs!$B$9+((C3054=TRUE)*(F3054-Calc!F26))+B3062+(ArtifactsInput!$M$24-ArtifactsInput!$M$24)*CHOOSE(ArtifactsInput!$N$24+1,10,12,14,16,18,20)+IF(ArtifactsInput!$M$10,CHOOSE(ArtifactsInput!$N$10+1,15,18,21,24,27,30)*(IF(Inputs!$B$39="pvp",MIN(15,15)/15,IF(AND(Inputs!$B$39&lt;&gt;"pvp",Inputs!$B$44&gt;0),MIN(15,Inputs!$B$44)/(Inputs!$B$44),0))),0)))&gt;=100),MIN(100,((Inputs!$B$9+((C3054=TRUE)*(F3054-Calc!F26))+B3062+(ArtifactsInput!$M$24-ArtifactsInput!$M$24)*CHOOSE(ArtifactsInput!$N$24+1,10,12,14,16,18,20)+IF(ArtifactsInput!$M$10,CHOOSE(ArtifactsInput!$N$10+1,15,18,21,24,27,30)*(IF(Inputs!$B$39="pvp",MIN(15,15)/15,IF(AND(Inputs!$B$39&lt;&gt;"pvp",Inputs!$B$44&gt;0),MIN(15,Inputs!$B$44)/(Inputs!$B$44),0))),0)))-100),0))*CHOOSE(ArtifactsInput!$N$42+1,0.6,0.72,0.84,0.96,1.08,1.2))),Inputs!$B$18+((C3057=TRUE)*(F3057-Calc!F29))+(IF(AND(Inputs!$B$39&lt;&gt;"pvp",Inputs!$B$44=0),1,IF(IF(Inputs!$B$39="pvp",15,Inputs!$B$44)-(B3073)&lt;=0,1,MAX(0,IF(Inputs!$B$39="pvp",15,Inputs!$B$44)-MAX(5,B3073))/(IF(Inputs!$B$39="pvp",15,Inputs!$B$44)-(B3073))))*IF(AND(ArtifactsInput!$M$42,((Inputs!$B$9+((C3054=TRUE)*(F3054-Calc!F26))+B3062+(ArtifactsInput!$M$24-ArtifactsInput!$M$24)*CHOOSE(ArtifactsInput!$N$24+1,10,12,14,16,18,20)+IF(ArtifactsInput!$M$10,CHOOSE(ArtifactsInput!$N$10+1,15,18,21,24,27,30)*(IF(Inputs!$B$39="pvp",MIN(15,15)/15,IF(AND(Inputs!$B$39&lt;&gt;"pvp",Inputs!$B$44&gt;0),MIN(15,Inputs!$B$44)/(Inputs!$B$44),0))),0)))&gt;=100),CHOOSE(ArtifactsInput!$N$42+1,40,48,56,64,72,80),0))))/100)*(((1+(((C3050=TRUE)*F3050*IF(AND(Inputs!$B$39&lt;&gt;"pvp",Inputs!$B$44&gt;0),(((R3050-1)*MIN((Skills!Y22*(1+Inputs!$B$34/100)),(1/Q3050))+MIN((Skills!Y22*(1+Inputs!$B$34/100)),MAX(0,Inputs!$B$44-((R3050-1)*(1/Q3050)))))/Inputs!$B$44),IF(Inputs!$B$39="pvp",MIN((Skills!Y22*(1+Inputs!$B$34/100)),15)/15,MIN(1,(Skills!Y22*(1+Inputs!$B$34/100))/(1/Q3050)))))+((C3031=TRUE)*F3031*3)+((C3033=TRUE)*F3033*(1-EXP(-0.75*B3066*5)))+((C3052=TRUE)*(F3052-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3039=TRUE)*F3039*IF(AND(Inputs!$B$39&lt;&gt;"pvp",Inputs!$B$44&gt;0),(((R3039-1)*MIN((Skills!Y11*(1+Inputs!$B$34/100)),(1/Q3039))+MIN((Skills!Y11*(1+Inputs!$B$34/100)),MAX(0,Inputs!$B$44-((R3039-1)*(1/Q3039)))))/Inputs!$B$44),IF(Inputs!$B$39="pvp",MIN((Skills!Y11*(1+Inputs!$B$34/100)),15)/15,MIN(1,(Skills!Y11*(1+Inputs!$B$34/100))/(1/Q3039)))))/100)*(1+((C3044=TRUE)*F3044*IF(AND(Inputs!$B$39&lt;&gt;"pvp",Inputs!$B$44&gt;0),(((R3044-1)*MIN((Skills!Y16*(1+Inputs!$B$34/100)),(1/Q3044))+MIN((Skills!Y16*(1+Inputs!$B$34/100)),MAX(0,Inputs!$B$44-((R3044-1)*(1/Q3044)))))/Inputs!$B$44),IF(Inputs!$B$39="pvp",MIN((Skills!Y16*(1+Inputs!$B$34/100)),15)/15,MIN(1,(Skills!Y16*(1+Inputs!$B$34/100))/(1/Q3044)))))/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3064*I3034)</f>
        <v/>
      </c>
      <c r="L3034">
        <f>K3034*(MIN(Inputs!$B$22+((C3053=TRUE)*(F3053-Calc!F25)),(Inputs!$B$23+((C3058=TRUE)*(F3058-Calc!F30))+IF(ArtifactsInput!$M$15,CHOOSE(ArtifactsInput!$N$15+1,25,30,35,40,45,50)/100*(Inputs!$B$11-Inputs!$B$11),0)))/100+(Inputs!$B$23+((C3058=TRUE)*(F3058-Calc!F30))+IF(ArtifactsInput!$M$15,CHOOSE(ArtifactsInput!$N$15+1,25,30,35,40,45,50)/100*(Inputs!$B$11-Inputs!$B$11),0))/100)/2</f>
        <v/>
      </c>
      <c r="M3034">
        <f>L3034*(1+(Inputs!$B$10+((C3055=TRUE)*(F3055-Calc!F27))+B3069+(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3034">
        <f>L3034*(1-MIN((Inputs!$B$9+((C3054=TRUE)*(F3054-Calc!F26))+B3062+(ArtifactsInput!$M$24-ArtifactsInput!$M$24)*CHOOSE(ArtifactsInput!$N$24+1,10,12,14,16,18,20)+(IF(AND(Inputs!$B$39&lt;&gt;"pvp",Inputs!$B$44=0),1,IF(IF(Inputs!$B$39="pvp",15,Inputs!$B$44)-(B3073)&lt;=0,1,MAX(0,IF(Inputs!$B$39="pvp",15,Inputs!$B$44)-MAX(5,B3073))/(IF(Inputs!$B$39="pvp",15,Inputs!$B$44)-(B3073))))*IF(AND(ArtifactsInput!$M$42,((Inputs!$B$9+((C3054=TRUE)*(F3054-Calc!F26))+B3062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3034*(MIN((Inputs!$B$9+((C3054=TRUE)*(F3054-Calc!F26))+B3062+(ArtifactsInput!$M$24-ArtifactsInput!$M$24)*CHOOSE(ArtifactsInput!$N$24+1,10,12,14,16,18,20)+(IF(AND(Inputs!$B$39&lt;&gt;"pvp",Inputs!$B$44=0),1,IF(IF(Inputs!$B$39="pvp",15,Inputs!$B$44)-(B3073)&lt;=0,1,MAX(0,IF(Inputs!$B$39="pvp",15,Inputs!$B$44)-MAX(5,B3073))/(IF(Inputs!$B$39="pvp",15,Inputs!$B$44)-(B3073))))*IF(AND(ArtifactsInput!$M$42,((Inputs!$B$9+((C3054=TRUE)*(F3054-Calc!F26))+B3062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3034">
        <f>(1-Summary!$B$11)*T3034+Summary!$B$11*V3034</f>
        <v/>
      </c>
      <c r="P3034">
        <f>IF(B3074=0,0,O3034/B3074)</f>
        <v/>
      </c>
      <c r="Q3034">
        <f>IFERROR(1/IF(Inputs!$B$39="pvp",15,MAX(0.1,Skills!D6-IF(TRUE=TRUE,Inputs!$B$32,0))),0)</f>
        <v/>
      </c>
      <c r="R3034">
        <f>IF(AND(Inputs!$B$39&lt;&gt;"pvp",Inputs!$B$44&gt;0),IF(MAX(0,Inputs!$B$44-B3073)&lt;=0,0,(INT(MAX(0,Inputs!$B$44-B3073)/IF(Inputs!$B$39="pvp",15,MAX(0.1,Skills!D6-IF(TRUE=TRUE,Inputs!$B$32,0))))+1)),0)</f>
        <v/>
      </c>
      <c r="S3034">
        <f>IFERROR(O3034/N3034,0)</f>
        <v/>
      </c>
      <c r="T3034">
        <f>IF(C3034,(H3034*N3034*IF(AND(Inputs!$B$39&lt;&gt;"pvp",Inputs!$B$44&gt;0),((Skills!G6*((R3034-1)*IF(Skills!H6&gt;0,Skills!I6/Skills!H6,1)+IF(Skills!H6&gt;0,MIN(Skills!I6,MAX(0,MAX(0,Inputs!$B$44-B3073)-((R3034-1)*IF(Inputs!$B$39="pvp",15,MAX(0.1,Skills!D6-IF(TRUE=TRUE,Inputs!$B$32,0))))))/Skills!H6,1)))/Inputs!$B$44),G3034*Q3034))*IF(Inputs!$B$39="pvp",1,1+(Inputs!$B$20+0+Skills!P6+B3063+(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Hunt"),CHOOSE(ArtifactsInput!$N$35+1,15,18,21,24,27,30)*(1-EXP(-(0.2*B3066)*5)),0)+IF(AND(ArtifactsInput!$M$22,Inputs!$B$4&lt;&gt;"Chapter Hunt"),CHOOSE(ArtifactsInput!$N$22+1,10,12,14,16,18,20)*((0*(((0.15*B3066*5))^0/1)+1*(((0.15*B3066*5))^1/1)+2*(((0.15*B3066*5))^2/2)+3*(((0.15*B3066*5))^3/6)+4*(((0.15*B3066*5))^4/24)+5*(((0.15*B3066*5))^5/120))/((((0.15*B3066*5))^0/1)+(((0.15*B3066*5))^1/1)+(((0.15*B3066*5))^2/2)+(((0.15*B3066*5))^3/6)+(((0.15*B3066*5))^4/24)+(((0.15*B3066*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3034*(1-MIN(100,(Inputs!$B$9+((C3054=TRUE)*(F3054-Calc!F26))+B3062+(ArtifactsInput!$M$24-ArtifactsInput!$M$24)*CHOOSE(ArtifactsInput!$N$24+1,10,12,14,16,18,20)+(IF(AND(Inputs!$B$39&lt;&gt;"pvp",Inputs!$B$44=0),1,IF(IF(Inputs!$B$39="pvp",15,Inputs!$B$44)-(B3073)&lt;=0,1,MAX(0,IF(Inputs!$B$39="pvp",15,Inputs!$B$44)-MAX(5,B3073))/(IF(Inputs!$B$39="pvp",15,Inputs!$B$44)-(B3073))))*IF(AND(ArtifactsInput!$M$42,((Inputs!$B$9+((C3054=TRUE)*(F3054-Calc!F26))+B3062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3034*(MIN(100,(Inputs!$B$9+((C3054=TRUE)*(F3054-Calc!F26))+B3062+(ArtifactsInput!$M$24-ArtifactsInput!$M$24)*CHOOSE(ArtifactsInput!$N$24+1,10,12,14,16,18,20)+(IF(AND(Inputs!$B$39&lt;&gt;"pvp",Inputs!$B$44=0),1,IF(IF(Inputs!$B$39="pvp",15,Inputs!$B$44)-(B3073)&lt;=0,1,MAX(0,IF(Inputs!$B$39="pvp",15,Inputs!$B$44)-MAX(5,B3073))/(IF(Inputs!$B$39="pvp",15,Inputs!$B$44)-(B3073))))*IF(AND(ArtifactsInput!$M$42,((Inputs!$B$9+((C3054=TRUE)*(F3054-Calc!F26))+B3062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3034*(1-MIN(100,(Inputs!$B$9+((C3054=TRUE)*(F3054-Calc!F26))+B3062+(ArtifactsInput!$M$24-ArtifactsInput!$M$24)*CHOOSE(ArtifactsInput!$N$24+1,10,12,14,16,18,20)+(IF(AND(Inputs!$B$39&lt;&gt;"pvp",Inputs!$B$44=0),1,IF(IF(Inputs!$B$39="pvp",15,Inputs!$B$44)-(B3073)&lt;=0,1,MAX(0,IF(Inputs!$B$39="pvp",15,Inputs!$B$44)-MAX(5,B3073))/(IF(Inputs!$B$39="pvp",15,Inputs!$B$44)-(B3073))))*IF(AND(ArtifactsInput!$M$42,((Inputs!$B$9+((C3054=TRUE)*(F3054-Calc!F26))+B3062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3034*(MIN(100,(Inputs!$B$9+((C3054=TRUE)*(F3054-Calc!F26))+B3062+(ArtifactsInput!$M$24-ArtifactsInput!$M$24)*CHOOSE(ArtifactsInput!$N$24+1,10,12,14,16,18,20)+(IF(AND(Inputs!$B$39&lt;&gt;"pvp",Inputs!$B$44=0),1,IF(IF(Inputs!$B$39="pvp",15,Inputs!$B$44)-(B3073)&lt;=0,1,MAX(0,IF(Inputs!$B$39="pvp",15,Inputs!$B$44)-MAX(5,B3073))/(IF(Inputs!$B$39="pvp",15,Inputs!$B$44)-(B3073))))*IF(AND(ArtifactsInput!$M$42,((Inputs!$B$9+((C3054=TRUE)*(F3054-Calc!F26))+B3062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3034">
        <f>IF(C3034,(H3034*N3034*IF(AND(Inputs!$B$39&lt;&gt;"pvp",Inputs!$B$44&gt;0),((Skills!G6*((R3034-1)*IF(Skills!H6&gt;0,Skills!I6/Skills!H6,1)+IF(Skills!H6&gt;0,MIN(Skills!I6,MAX(0,MAX(0,Inputs!$B$44-B3073)-((R3034-1)*IF(Inputs!$B$39="pvp",15,MAX(0.1,Skills!D6-IF(TRUE=TRUE,Inputs!$B$32,0))))))/Skills!H6,1)))/Inputs!$B$44),G3034*Q3034))*IF(Inputs!$B$39="pvp",1,(1+(Inputs!$B$21+Skills!Q6+B3063+(IF(ArtifactsInput!$M$33,CHOOSE(ArtifactsInput!$N$33+1,30,36,42,48,54,60),0))+(IF(AND(ArtifactsInput!$M$35,Inputs!$B$4&lt;&gt;"Chapter Hunt"),CHOOSE(ArtifactsInput!$N$35+1,15,18,21,24,27,30)*(1-EXP(-(0.2*B3066)*5)),0)+IF(AND(ArtifactsInput!$M$22,Inputs!$B$4&lt;&gt;"Chapter Hunt"),CHOOSE(ArtifactsInput!$N$22+1,10,12,14,16,18,20)*((0*(((0.15*B3066*5))^0/1)+1*(((0.15*B3066*5))^1/1)+2*(((0.15*B3066*5))^2/2)+3*(((0.15*B3066*5))^3/6)+4*(((0.15*B3066*5))^4/24)+5*(((0.15*B3066*5))^5/120))/((((0.15*B3066*5))^0/1)+(((0.15*B3066*5))^1/1)+(((0.15*B3066*5))^2/2)+(((0.15*B3066*5))^3/6)+(((0.15*B3066*5))^4/24)+(((0.15*B3066*5))^5/120))),0)))/100)*(MIN(Skills!W6,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3035">
      <c r="A3035">
        <f>Skills!A7</f>
        <v/>
      </c>
      <c r="B3035">
        <f>Skills!B7</f>
        <v/>
      </c>
      <c r="C3035">
        <f>Inputs!$B$3&gt;=69</f>
        <v/>
      </c>
      <c r="D3035">
        <f>IF(Skills!C7=1,60+Inputs!$B$25+Inputs!$B$29,IF(Skills!C7=2,90+Inputs!$B$26+Inputs!$B$29,IF(Skills!C7=3,120+Inputs!$B$27+Inputs!$B$29,MAX(0,(Inputs!$B$3-100)*3)+Inputs!$B$28+Inputs!$B$29)))</f>
        <v/>
      </c>
      <c r="E3035">
        <f>INDEX(FactorTable!$B$2:$Y$301, MATCH(ROUND(MIN(300,MAX(1,D3035)),0), FactorTable!$A$2:$A$301,0), Skills!M7+1)</f>
        <v/>
      </c>
      <c r="F3035">
        <f>IF(Skills!N7=TRUE,(Skills!L7/10)*(E3035/1000),Skills!L7/10)+Skills!O7</f>
        <v/>
      </c>
      <c r="G3035">
        <f>Skills!G7*IF(Skills!H7&gt;0,IF(Inputs!$B$39="pvp",MIN(Skills!I7,15),Skills!I7)/Skills!H7,1)</f>
        <v/>
      </c>
      <c r="H3035">
        <f>1-(1-Skills!J7/100)^Skills!K7</f>
        <v/>
      </c>
      <c r="I3035" t="inlineStr">
        <is>
          <t>1</t>
        </is>
      </c>
      <c r="J3035">
        <f>((Inputs!$B$6*(1+Inputs!$B$7/100))+(((Inputs!$B$12*(1+Inputs!$B$13/100))-(Inputs!$B$12*(1+Inputs!$B$13/100)))+0.25*(Inputs!$B$14-Inputs!$B$14))*(1+Inputs!$B$7/100))*(F3035/100)</f>
        <v/>
      </c>
      <c r="K3035">
        <f>J3035*(1+((Inputs!$B$12*(1+Inputs!$B$13/100))*0.01+Inputs!$B$14*0.0025)/100)*(1+Inputs!$B$15/100)*(1+Inputs!$B$16/100)*(5000/(6000+Inputs!$B$43*(1-(100*(1-(1-Inputs!$B$19/100)*(1-CHOOSE(ArtifactsInput!$N$40+1,5,6,7,8,9,10)/100)^(ArtifactsInput!$M$40-ArtifactsInput!$M$40)))/100)))*(1+(Inputs!$B$24+((C3059=TRUE)*(F3059-Calc!F31))+((C3046=TRUE)*(F3046-Calc!F18)))/100)*(1+(((1+IF(AND(ArtifactsInput!$M$36,IF(Inputs!$B$39="pvp",TRUE,AND(Inputs!$B$39&lt;&gt;"pvp",Inputs!$B$44&gt;0))),CHOOSE(ArtifactsInput!$N$36+1,8,9.6,11.2,12.8,14.4,16),0)/100)*(1+IF(AND(ArtifactsInput!$M$32,Inputs!$B$4&lt;&gt;"Chapter Hunt"),CHOOSE(ArtifactsInput!$N$32+1,8,9.6,11.2,12.8,14.4,16),0)/100)*(1+IF(AND(IF(ArtifactsInput!$M$38,FALSE,TRUE),Inputs!$B$39&lt;&gt;"pvp",Inputs!$B$44&gt;0),CHOOSE(ArtifactsInput!$N$38+1,10,12,14,16,18,20)*(MIN(30,MAX(0,Inputs!$B$44-7))/Inputs!$B$44)*IF(Inputs!$B$4="Chapter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3047=TRUE,F3047,0)/100)*(1+(IF(Skills!A7="CRUEL_STAB",Inputs!$B$17+((C3056=TRUE)*(F3056-Calc!F28))+((IF(AND(Inputs!$B$39&lt;&gt;"pvp",Inputs!$B$44=0),1,IF(IF(Inputs!$B$39="pvp",15,Inputs!$B$44)-(B3073)&lt;=0,1,MAX(0,IF(Inputs!$B$39="pvp",15,Inputs!$B$44)-MAX(5,B3073))/(IF(Inputs!$B$39="pvp",15,Inputs!$B$44)-(B3073))))*(IF(AND(ArtifactsInput!$M$42,((Inputs!$B$9+((C3054=TRUE)*(F3054-Calc!F26))+B3062+(ArtifactsInput!$M$24-ArtifactsInput!$M$24)*CHOOSE(ArtifactsInput!$N$24+1,10,12,14,16,18,20)+IF(ArtifactsInput!$M$10,CHOOSE(ArtifactsInput!$N$10+1,15,18,21,24,27,30)*(IF(Inputs!$B$39="pvp",MIN(15,15)/15,IF(AND(Inputs!$B$39&lt;&gt;"pvp",Inputs!$B$44&gt;0),MIN(15,Inputs!$B$44)/(Inputs!$B$44),0))),0)))&gt;=100),MIN(100,((Inputs!$B$9+((C3054=TRUE)*(F3054-Calc!F26))+B3062+(ArtifactsInput!$M$24-ArtifactsInput!$M$24)*CHOOSE(ArtifactsInput!$N$24+1,10,12,14,16,18,20)+IF(ArtifactsInput!$M$10,CHOOSE(ArtifactsInput!$N$10+1,15,18,21,24,27,30)*(IF(Inputs!$B$39="pvp",MIN(15,15)/15,IF(AND(Inputs!$B$39&lt;&gt;"pvp",Inputs!$B$44&gt;0),MIN(15,Inputs!$B$44)/(Inputs!$B$44),0))),0)))-100),0))*CHOOSE(ArtifactsInput!$N$42+1,0.6,0.72,0.84,0.96,1.08,1.2))),Inputs!$B$18+((C3057=TRUE)*(F3057-Calc!F29))+(IF(AND(Inputs!$B$39&lt;&gt;"pvp",Inputs!$B$44=0),1,IF(IF(Inputs!$B$39="pvp",15,Inputs!$B$44)-(B3073)&lt;=0,1,MAX(0,IF(Inputs!$B$39="pvp",15,Inputs!$B$44)-MAX(5,B3073))/(IF(Inputs!$B$39="pvp",15,Inputs!$B$44)-(B3073))))*IF(AND(ArtifactsInput!$M$42,((Inputs!$B$9+((C3054=TRUE)*(F3054-Calc!F26))+B3062+(ArtifactsInput!$M$24-ArtifactsInput!$M$24)*CHOOSE(ArtifactsInput!$N$24+1,10,12,14,16,18,20)+IF(ArtifactsInput!$M$10,CHOOSE(ArtifactsInput!$N$10+1,15,18,21,24,27,30)*(IF(Inputs!$B$39="pvp",MIN(15,15)/15,IF(AND(Inputs!$B$39&lt;&gt;"pvp",Inputs!$B$44&gt;0),MIN(15,Inputs!$B$44)/(Inputs!$B$44),0))),0)))&gt;=100),CHOOSE(ArtifactsInput!$N$42+1,40,48,56,64,72,80),0))))/100)*(((1+(((C3050=TRUE)*F3050*IF(AND(Inputs!$B$39&lt;&gt;"pvp",Inputs!$B$44&gt;0),(((R3050-1)*MIN((Skills!Y22*(1+Inputs!$B$34/100)),(1/Q3050))+MIN((Skills!Y22*(1+Inputs!$B$34/100)),MAX(0,Inputs!$B$44-((R3050-1)*(1/Q3050)))))/Inputs!$B$44),IF(Inputs!$B$39="pvp",MIN((Skills!Y22*(1+Inputs!$B$34/100)),15)/15,MIN(1,(Skills!Y22*(1+Inputs!$B$34/100))/(1/Q3050)))))+((C3031=TRUE)*F3031*3)+((C3033=TRUE)*F3033*(1-EXP(-0.75*B3066*5)))+((C3052=TRUE)*(F3052-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3039=TRUE)*F3039*IF(AND(Inputs!$B$39&lt;&gt;"pvp",Inputs!$B$44&gt;0),(((R3039-1)*MIN((Skills!Y11*(1+Inputs!$B$34/100)),(1/Q3039))+MIN((Skills!Y11*(1+Inputs!$B$34/100)),MAX(0,Inputs!$B$44-((R3039-1)*(1/Q3039)))))/Inputs!$B$44),IF(Inputs!$B$39="pvp",MIN((Skills!Y11*(1+Inputs!$B$34/100)),15)/15,MIN(1,(Skills!Y11*(1+Inputs!$B$34/100))/(1/Q3039)))))/100)*(1+((C3044=TRUE)*F3044*IF(AND(Inputs!$B$39&lt;&gt;"pvp",Inputs!$B$44&gt;0),(((R3044-1)*MIN((Skills!Y16*(1+Inputs!$B$34/100)),(1/Q3044))+MIN((Skills!Y16*(1+Inputs!$B$34/100)),MAX(0,Inputs!$B$44-((R3044-1)*(1/Q3044)))))/Inputs!$B$44),IF(Inputs!$B$39="pvp",MIN((Skills!Y16*(1+Inputs!$B$34/100)),15)/15,MIN(1,(Skills!Y16*(1+Inputs!$B$34/100))/(1/Q3044)))))/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3064*I3035)</f>
        <v/>
      </c>
      <c r="L3035">
        <f>K3035*(MIN(Inputs!$B$22+((C3053=TRUE)*(F3053-Calc!F25)),(Inputs!$B$23+((C3058=TRUE)*(F3058-Calc!F30))+IF(ArtifactsInput!$M$15,CHOOSE(ArtifactsInput!$N$15+1,25,30,35,40,45,50)/100*(Inputs!$B$11-Inputs!$B$11),0)))/100+(Inputs!$B$23+((C3058=TRUE)*(F3058-Calc!F30))+IF(ArtifactsInput!$M$15,CHOOSE(ArtifactsInput!$N$15+1,25,30,35,40,45,50)/100*(Inputs!$B$11-Inputs!$B$11),0))/100)/2</f>
        <v/>
      </c>
      <c r="M3035">
        <f>L3035*(1+(Inputs!$B$10+((C3055=TRUE)*(F3055-Calc!F27))+B3069+(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3035">
        <f>L3035*(1-MIN((Inputs!$B$9+((C3054=TRUE)*(F3054-Calc!F26))+B3062+(ArtifactsInput!$M$24-ArtifactsInput!$M$24)*CHOOSE(ArtifactsInput!$N$24+1,10,12,14,16,18,20)+(IF(AND(Inputs!$B$39&lt;&gt;"pvp",Inputs!$B$44=0),1,IF(IF(Inputs!$B$39="pvp",15,Inputs!$B$44)-(B3073)&lt;=0,1,MAX(0,IF(Inputs!$B$39="pvp",15,Inputs!$B$44)-MAX(5,B3073))/(IF(Inputs!$B$39="pvp",15,Inputs!$B$44)-(B3073))))*IF(AND(ArtifactsInput!$M$42,((Inputs!$B$9+((C3054=TRUE)*(F3054-Calc!F26))+B3062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3035*(MIN((Inputs!$B$9+((C3054=TRUE)*(F3054-Calc!F26))+B3062+(ArtifactsInput!$M$24-ArtifactsInput!$M$24)*CHOOSE(ArtifactsInput!$N$24+1,10,12,14,16,18,20)+(IF(AND(Inputs!$B$39&lt;&gt;"pvp",Inputs!$B$44=0),1,IF(IF(Inputs!$B$39="pvp",15,Inputs!$B$44)-(B3073)&lt;=0,1,MAX(0,IF(Inputs!$B$39="pvp",15,Inputs!$B$44)-MAX(5,B3073))/(IF(Inputs!$B$39="pvp",15,Inputs!$B$44)-(B3073))))*IF(AND(ArtifactsInput!$M$42,((Inputs!$B$9+((C3054=TRUE)*(F3054-Calc!F26))+B3062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3035">
        <f>(1-Summary!$B$11)*T3035+Summary!$B$11*V3035</f>
        <v/>
      </c>
      <c r="P3035">
        <f>IF(B3074=0,0,O3035/B3074)</f>
        <v/>
      </c>
      <c r="Q3035">
        <f>IFERROR(1/IF(Inputs!$B$39="pvp",15,MAX(0.1,Skills!D7-IF(TRUE=TRUE,Inputs!$B$32,0))),0)</f>
        <v/>
      </c>
      <c r="R3035">
        <f>IF(AND(Inputs!$B$39&lt;&gt;"pvp",Inputs!$B$44&gt;0),IF(MAX(0,Inputs!$B$44-B3073)&lt;=0,0,(INT(MAX(0,Inputs!$B$44-B3073)/IF(Inputs!$B$39="pvp",15,MAX(0.1,Skills!D7-IF(TRUE=TRUE,Inputs!$B$32,0))))+1)),0)</f>
        <v/>
      </c>
      <c r="S3035">
        <f>IFERROR(O3035/N3035,0)</f>
        <v/>
      </c>
      <c r="T3035">
        <f>IF(C3035,(H3035*N3035*IF(AND(Inputs!$B$39&lt;&gt;"pvp",Inputs!$B$44&gt;0),((Skills!G7*((R3035-1)*IF(Skills!H7&gt;0,Skills!I7/Skills!H7,1)+IF(Skills!H7&gt;0,MIN(Skills!I7,MAX(0,MAX(0,Inputs!$B$44-B3073)-((R3035-1)*IF(Inputs!$B$39="pvp",15,MAX(0.1,Skills!D7-IF(TRUE=TRUE,Inputs!$B$32,0))))))/Skills!H7,1)))/Inputs!$B$44),G3035*Q3035))*IF(Inputs!$B$39="pvp",1,1+(Inputs!$B$20+0+Skills!P7+B3063+(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Hunt"),CHOOSE(ArtifactsInput!$N$35+1,15,18,21,24,27,30)*(1-EXP(-(0.2*B3066)*5)),0)+IF(AND(ArtifactsInput!$M$22,Inputs!$B$4&lt;&gt;"Chapter Hunt"),CHOOSE(ArtifactsInput!$N$22+1,10,12,14,16,18,20)*((0*(((0.15*B3066*5))^0/1)+1*(((0.15*B3066*5))^1/1)+2*(((0.15*B3066*5))^2/2)+3*(((0.15*B3066*5))^3/6)+4*(((0.15*B3066*5))^4/24)+5*(((0.15*B3066*5))^5/120))/((((0.15*B3066*5))^0/1)+(((0.15*B3066*5))^1/1)+(((0.15*B3066*5))^2/2)+(((0.15*B3066*5))^3/6)+(((0.15*B3066*5))^4/24)+(((0.15*B3066*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3035*(1-MIN(100,(Inputs!$B$9+((C3054=TRUE)*(F3054-Calc!F26))+B3062+(ArtifactsInput!$M$24-ArtifactsInput!$M$24)*CHOOSE(ArtifactsInput!$N$24+1,10,12,14,16,18,20)+(IF(AND(Inputs!$B$39&lt;&gt;"pvp",Inputs!$B$44=0),1,IF(IF(Inputs!$B$39="pvp",15,Inputs!$B$44)-(B3073)&lt;=0,1,MAX(0,IF(Inputs!$B$39="pvp",15,Inputs!$B$44)-MAX(5,B3073))/(IF(Inputs!$B$39="pvp",15,Inputs!$B$44)-(B3073))))*IF(AND(ArtifactsInput!$M$42,((Inputs!$B$9+((C3054=TRUE)*(F3054-Calc!F26))+B3062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3035*(MIN(100,(Inputs!$B$9+((C3054=TRUE)*(F3054-Calc!F26))+B3062+(ArtifactsInput!$M$24-ArtifactsInput!$M$24)*CHOOSE(ArtifactsInput!$N$24+1,10,12,14,16,18,20)+(IF(AND(Inputs!$B$39&lt;&gt;"pvp",Inputs!$B$44=0),1,IF(IF(Inputs!$B$39="pvp",15,Inputs!$B$44)-(B3073)&lt;=0,1,MAX(0,IF(Inputs!$B$39="pvp",15,Inputs!$B$44)-MAX(5,B3073))/(IF(Inputs!$B$39="pvp",15,Inputs!$B$44)-(B3073))))*IF(AND(ArtifactsInput!$M$42,((Inputs!$B$9+((C3054=TRUE)*(F3054-Calc!F26))+B3062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3035*(1-MIN(100,(Inputs!$B$9+((C3054=TRUE)*(F3054-Calc!F26))+B3062+(ArtifactsInput!$M$24-ArtifactsInput!$M$24)*CHOOSE(ArtifactsInput!$N$24+1,10,12,14,16,18,20)+(IF(AND(Inputs!$B$39&lt;&gt;"pvp",Inputs!$B$44=0),1,IF(IF(Inputs!$B$39="pvp",15,Inputs!$B$44)-(B3073)&lt;=0,1,MAX(0,IF(Inputs!$B$39="pvp",15,Inputs!$B$44)-MAX(5,B3073))/(IF(Inputs!$B$39="pvp",15,Inputs!$B$44)-(B3073))))*IF(AND(ArtifactsInput!$M$42,((Inputs!$B$9+((C3054=TRUE)*(F3054-Calc!F26))+B3062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3035*(MIN(100,(Inputs!$B$9+((C3054=TRUE)*(F3054-Calc!F26))+B3062+(ArtifactsInput!$M$24-ArtifactsInput!$M$24)*CHOOSE(ArtifactsInput!$N$24+1,10,12,14,16,18,20)+(IF(AND(Inputs!$B$39&lt;&gt;"pvp",Inputs!$B$44=0),1,IF(IF(Inputs!$B$39="pvp",15,Inputs!$B$44)-(B3073)&lt;=0,1,MAX(0,IF(Inputs!$B$39="pvp",15,Inputs!$B$44)-MAX(5,B3073))/(IF(Inputs!$B$39="pvp",15,Inputs!$B$44)-(B3073))))*IF(AND(ArtifactsInput!$M$42,((Inputs!$B$9+((C3054=TRUE)*(F3054-Calc!F26))+B3062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3035">
        <f>IF(C3035,(H3035*N3035*IF(AND(Inputs!$B$39&lt;&gt;"pvp",Inputs!$B$44&gt;0),((Skills!G7*((R3035-1)*IF(Skills!H7&gt;0,Skills!I7/Skills!H7,1)+IF(Skills!H7&gt;0,MIN(Skills!I7,MAX(0,MAX(0,Inputs!$B$44-B3073)-((R3035-1)*IF(Inputs!$B$39="pvp",15,MAX(0.1,Skills!D7-IF(TRUE=TRUE,Inputs!$B$32,0))))))/Skills!H7,1)))/Inputs!$B$44),G3035*Q3035))*IF(Inputs!$B$39="pvp",1,(1+(Inputs!$B$21+Skills!Q7+B3063+(IF(ArtifactsInput!$M$33,CHOOSE(ArtifactsInput!$N$33+1,30,36,42,48,54,60),0))+(IF(AND(ArtifactsInput!$M$35,Inputs!$B$4&lt;&gt;"Chapter Hunt"),CHOOSE(ArtifactsInput!$N$35+1,15,18,21,24,27,30)*(1-EXP(-(0.2*B3066)*5)),0)+IF(AND(ArtifactsInput!$M$22,Inputs!$B$4&lt;&gt;"Chapter Hunt"),CHOOSE(ArtifactsInput!$N$22+1,10,12,14,16,18,20)*((0*(((0.15*B3066*5))^0/1)+1*(((0.15*B3066*5))^1/1)+2*(((0.15*B3066*5))^2/2)+3*(((0.15*B3066*5))^3/6)+4*(((0.15*B3066*5))^4/24)+5*(((0.15*B3066*5))^5/120))/((((0.15*B3066*5))^0/1)+(((0.15*B3066*5))^1/1)+(((0.15*B3066*5))^2/2)+(((0.15*B3066*5))^3/6)+(((0.15*B3066*5))^4/24)+(((0.15*B3066*5))^5/120))),0)))/100)*(MIN(Skills!W7,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3036">
      <c r="A3036">
        <f>Skills!A8</f>
        <v/>
      </c>
      <c r="B3036">
        <f>Skills!B8</f>
        <v/>
      </c>
      <c r="C3036">
        <f>Inputs!$B$3&gt;=60</f>
        <v/>
      </c>
      <c r="D3036">
        <f>IF(Skills!C8=1,60+Inputs!$B$25+Inputs!$B$29,IF(Skills!C8=2,90+Inputs!$B$26+Inputs!$B$29,IF(Skills!C8=3,120+Inputs!$B$27+Inputs!$B$29,MAX(0,(Inputs!$B$3-100)*3)+Inputs!$B$28+Inputs!$B$29)))</f>
        <v/>
      </c>
      <c r="E3036">
        <f>INDEX(FactorTable!$B$2:$Y$301, MATCH(ROUND(MIN(300,MAX(1,D3036)),0), FactorTable!$A$2:$A$301,0), Skills!M8+1)</f>
        <v/>
      </c>
      <c r="F3036">
        <f>IF(Skills!N8=TRUE,(Skills!L8/10)*(E3036/1000),Skills!L8/10)+Skills!O8</f>
        <v/>
      </c>
      <c r="G3036">
        <f>Skills!G8*IF(Skills!H8&gt;0,IF(Inputs!$B$39="pvp",MIN(Skills!I8,15),Skills!I8)/Skills!H8,1)</f>
        <v/>
      </c>
      <c r="H3036">
        <f>1-(1-Skills!J8/100)^Skills!K8</f>
        <v/>
      </c>
      <c r="I3036" t="inlineStr">
        <is>
          <t>1</t>
        </is>
      </c>
      <c r="J3036" t="inlineStr"/>
      <c r="K3036" t="inlineStr"/>
      <c r="L3036" t="inlineStr"/>
      <c r="M3036" t="inlineStr"/>
      <c r="N3036" t="inlineStr"/>
      <c r="O3036">
        <f>(1-Summary!$B$11)*T3036+Summary!$B$11*V3036</f>
        <v/>
      </c>
      <c r="P3036">
        <f>IF(B3074=0,0,O3036/B3074)</f>
        <v/>
      </c>
      <c r="Q3036" t="n">
        <v>0</v>
      </c>
      <c r="R3036" t="n">
        <v>0</v>
      </c>
      <c r="S3036">
        <f>IFERROR(O3036/N3036,0)</f>
        <v/>
      </c>
      <c r="T3036" t="n">
        <v>0</v>
      </c>
      <c r="V3036" t="n">
        <v>0</v>
      </c>
    </row>
    <row r="3037">
      <c r="A3037">
        <f>Skills!A9</f>
        <v/>
      </c>
      <c r="B3037">
        <f>Skills!B9</f>
        <v/>
      </c>
      <c r="C3037">
        <f>Inputs!$B$3&gt;=72</f>
        <v/>
      </c>
      <c r="D3037">
        <f>IF(Skills!C9=1,60+Inputs!$B$25+Inputs!$B$29,IF(Skills!C9=2,90+Inputs!$B$26+Inputs!$B$29,IF(Skills!C9=3,120+Inputs!$B$27+Inputs!$B$29,MAX(0,(Inputs!$B$3-100)*3)+Inputs!$B$28+Inputs!$B$29)))</f>
        <v/>
      </c>
      <c r="E3037">
        <f>INDEX(FactorTable!$B$2:$Y$301, MATCH(ROUND(MIN(300,MAX(1,D3037)),0), FactorTable!$A$2:$A$301,0), Skills!M9+1)</f>
        <v/>
      </c>
      <c r="F3037">
        <f>IF(Skills!N9=TRUE,(Skills!L9/10)*(E3037/1000),Skills!L9/10)+Skills!O9</f>
        <v/>
      </c>
      <c r="G3037">
        <f>Skills!G9*IF(Skills!H9&gt;0,IF(Inputs!$B$39="pvp",MIN(Skills!I9,15),Skills!I9)/Skills!H9,1)</f>
        <v/>
      </c>
      <c r="H3037">
        <f>1-(1-Skills!J9/100)^Skills!K9</f>
        <v/>
      </c>
      <c r="I3037" t="inlineStr">
        <is>
          <t>1</t>
        </is>
      </c>
      <c r="J3037">
        <f>((Inputs!$B$6*(1+Inputs!$B$7/100))+(((Inputs!$B$12*(1+Inputs!$B$13/100))-(Inputs!$B$12*(1+Inputs!$B$13/100)))+0.25*(Inputs!$B$14-Inputs!$B$14))*(1+Inputs!$B$7/100))*(F3037/100)</f>
        <v/>
      </c>
      <c r="K3037">
        <f>J3037*(1+((Inputs!$B$12*(1+Inputs!$B$13/100))*0.01+Inputs!$B$14*0.0025)/100)*(1+Inputs!$B$15/100)*(1+Inputs!$B$16/100)*(5000/(6000+Inputs!$B$43*(1-(100*(1-(1-Inputs!$B$19/100)*(1-CHOOSE(ArtifactsInput!$N$40+1,5,6,7,8,9,10)/100)^(ArtifactsInput!$M$40-ArtifactsInput!$M$40)))/100)))*(1+(Inputs!$B$24+((C3059=TRUE)*(F3059-Calc!F31))+((C3046=TRUE)*(F3046-Calc!F18)))/100)*(1+(((1+IF(AND(ArtifactsInput!$M$36,IF(Inputs!$B$39="pvp",TRUE,AND(Inputs!$B$39&lt;&gt;"pvp",Inputs!$B$44&gt;0))),CHOOSE(ArtifactsInput!$N$36+1,8,9.6,11.2,12.8,14.4,16),0)/100)*(1+IF(AND(ArtifactsInput!$M$32,Inputs!$B$4&lt;&gt;"Chapter Hunt"),CHOOSE(ArtifactsInput!$N$32+1,8,9.6,11.2,12.8,14.4,16),0)/100)*(1+IF(AND(IF(ArtifactsInput!$M$38,FALSE,TRUE),Inputs!$B$39&lt;&gt;"pvp",Inputs!$B$44&gt;0),CHOOSE(ArtifactsInput!$N$38+1,10,12,14,16,18,20)*(MIN(30,MAX(0,Inputs!$B$44-7))/Inputs!$B$44)*IF(Inputs!$B$4="Chapter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+3.3333333333333335*IF(C3047=TRUE,F3047,0)/100)*(1+(IF(Skills!A9="CRUEL_STAB",Inputs!$B$17+((C3056=TRUE)*(F3056-Calc!F28))+((IF(AND(Inputs!$B$39&lt;&gt;"pvp",Inputs!$B$44=0),1,IF(IF(Inputs!$B$39="pvp",15,Inputs!$B$44)-(B3073)&lt;=0,1,MAX(0,IF(Inputs!$B$39="pvp",15,Inputs!$B$44)-MAX(5,B3073))/(IF(Inputs!$B$39="pvp",15,Inputs!$B$44)-(B3073))))*(IF(AND(ArtifactsInput!$M$42,((Inputs!$B$9+((C3054=TRUE)*(F3054-Calc!F26))+B3062+(ArtifactsInput!$M$24-ArtifactsInput!$M$24)*CHOOSE(ArtifactsInput!$N$24+1,10,12,14,16,18,20)+IF(ArtifactsInput!$M$10,CHOOSE(ArtifactsInput!$N$10+1,15,18,21,24,27,30)*(IF(Inputs!$B$39="pvp",MIN(15,15)/15,IF(AND(Inputs!$B$39&lt;&gt;"pvp",Inputs!$B$44&gt;0),MIN(15,Inputs!$B$44)/(Inputs!$B$44),0))),0)))&gt;=100),MIN(100,((Inputs!$B$9+((C3054=TRUE)*(F3054-Calc!F26))+B3062+(ArtifactsInput!$M$24-ArtifactsInput!$M$24)*CHOOSE(ArtifactsInput!$N$24+1,10,12,14,16,18,20)+IF(ArtifactsInput!$M$10,CHOOSE(ArtifactsInput!$N$10+1,15,18,21,24,27,30)*(IF(Inputs!$B$39="pvp",MIN(15,15)/15,IF(AND(Inputs!$B$39&lt;&gt;"pvp",Inputs!$B$44&gt;0),MIN(15,Inputs!$B$44)/(Inputs!$B$44),0))),0)))-100),0))*CHOOSE(ArtifactsInput!$N$42+1,0.6,0.72,0.84,0.96,1.08,1.2))),Inputs!$B$18+((C3057=TRUE)*(F3057-Calc!F29))+(IF(AND(Inputs!$B$39&lt;&gt;"pvp",Inputs!$B$44=0),1,IF(IF(Inputs!$B$39="pvp",15,Inputs!$B$44)-(B3073)&lt;=0,1,MAX(0,IF(Inputs!$B$39="pvp",15,Inputs!$B$44)-MAX(5,B3073))/(IF(Inputs!$B$39="pvp",15,Inputs!$B$44)-(B3073))))*IF(AND(ArtifactsInput!$M$42,((Inputs!$B$9+((C3054=TRUE)*(F3054-Calc!F26))+B3062+(ArtifactsInput!$M$24-ArtifactsInput!$M$24)*CHOOSE(ArtifactsInput!$N$24+1,10,12,14,16,18,20)+IF(ArtifactsInput!$M$10,CHOOSE(ArtifactsInput!$N$10+1,15,18,21,24,27,30)*(IF(Inputs!$B$39="pvp",MIN(15,15)/15,IF(AND(Inputs!$B$39&lt;&gt;"pvp",Inputs!$B$44&gt;0),MIN(15,Inputs!$B$44)/(Inputs!$B$44),0))),0)))&gt;=100),CHOOSE(ArtifactsInput!$N$42+1,40,48,56,64,72,80),0))))/100)*(((1+(((C3050=TRUE)*F3050*IF(AND(Inputs!$B$39&lt;&gt;"pvp",Inputs!$B$44&gt;0),(((R3050-1)*MIN((Skills!Y22*(1+Inputs!$B$34/100)),(1/Q3050))+MIN((Skills!Y22*(1+Inputs!$B$34/100)),MAX(0,Inputs!$B$44-((R3050-1)*(1/Q3050)))))/Inputs!$B$44),IF(Inputs!$B$39="pvp",MIN((Skills!Y22*(1+Inputs!$B$34/100)),15)/15,MIN(1,(Skills!Y22*(1+Inputs!$B$34/100))/(1/Q3050)))))+((C3031=TRUE)*F3031*3)+((C3033=TRUE)*F3033*(1-EXP(-0.75*B3066*5)))+((C3052=TRUE)*(F3052-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3039=TRUE)*F3039*IF(AND(Inputs!$B$39&lt;&gt;"pvp",Inputs!$B$44&gt;0),(((R3039-1)*MIN((Skills!Y11*(1+Inputs!$B$34/100)),(1/Q3039))+MIN((Skills!Y11*(1+Inputs!$B$34/100)),MAX(0,Inputs!$B$44-((R3039-1)*(1/Q3039)))))/Inputs!$B$44),IF(Inputs!$B$39="pvp",MIN((Skills!Y11*(1+Inputs!$B$34/100)),15)/15,MIN(1,(Skills!Y11*(1+Inputs!$B$34/100))/(1/Q3039)))))/100)*(1+((C3044=TRUE)*F3044*IF(AND(Inputs!$B$39&lt;&gt;"pvp",Inputs!$B$44&gt;0),(((R3044-1)*MIN((Skills!Y16*(1+Inputs!$B$34/100)),(1/Q3044))+MIN((Skills!Y16*(1+Inputs!$B$34/100)),MAX(0,Inputs!$B$44-((R3044-1)*(1/Q3044)))))/Inputs!$B$44),IF(Inputs!$B$39="pvp",MIN((Skills!Y16*(1+Inputs!$B$34/100)),15)/15,MIN(1,(Skills!Y16*(1+Inputs!$B$34/100))/(1/Q3044)))))/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3064*I3037)</f>
        <v/>
      </c>
      <c r="L3037">
        <f>K3037*(MIN(Inputs!$B$22+((C3053=TRUE)*(F3053-Calc!F25)),(Inputs!$B$23+((C3058=TRUE)*(F3058-Calc!F30))+IF(ArtifactsInput!$M$15,CHOOSE(ArtifactsInput!$N$15+1,25,30,35,40,45,50)/100*(Inputs!$B$11-Inputs!$B$11),0)))/100+(Inputs!$B$23+((C3058=TRUE)*(F3058-Calc!F30))+IF(ArtifactsInput!$M$15,CHOOSE(ArtifactsInput!$N$15+1,25,30,35,40,45,50)/100*(Inputs!$B$11-Inputs!$B$11),0))/100)/2</f>
        <v/>
      </c>
      <c r="M3037">
        <f>L3037*(1+(Inputs!$B$10+((C3055=TRUE)*(F3055-Calc!F27))+B3069+(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3037">
        <f>L3037*(1-MIN((Inputs!$B$9+((C3054=TRUE)*(F3054-Calc!F26))+B3062+(ArtifactsInput!$M$24-ArtifactsInput!$M$24)*CHOOSE(ArtifactsInput!$N$24+1,10,12,14,16,18,20)+(IF(AND(Inputs!$B$39&lt;&gt;"pvp",Inputs!$B$44=0),1,IF(IF(Inputs!$B$39="pvp",15,Inputs!$B$44)-(B3073)&lt;=0,1,MAX(0,IF(Inputs!$B$39="pvp",15,Inputs!$B$44)-MAX(5,B3073))/(IF(Inputs!$B$39="pvp",15,Inputs!$B$44)-(B3073))))*IF(AND(ArtifactsInput!$M$42,((Inputs!$B$9+((C3054=TRUE)*(F3054-Calc!F26))+B3062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3037*(MIN((Inputs!$B$9+((C3054=TRUE)*(F3054-Calc!F26))+B3062+(ArtifactsInput!$M$24-ArtifactsInput!$M$24)*CHOOSE(ArtifactsInput!$N$24+1,10,12,14,16,18,20)+(IF(AND(Inputs!$B$39&lt;&gt;"pvp",Inputs!$B$44=0),1,IF(IF(Inputs!$B$39="pvp",15,Inputs!$B$44)-(B3073)&lt;=0,1,MAX(0,IF(Inputs!$B$39="pvp",15,Inputs!$B$44)-MAX(5,B3073))/(IF(Inputs!$B$39="pvp",15,Inputs!$B$44)-(B3073))))*IF(AND(ArtifactsInput!$M$42,((Inputs!$B$9+((C3054=TRUE)*(F3054-Calc!F26))+B3062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3037">
        <f>(1-Summary!$B$11)*T3037+Summary!$B$11*V3037</f>
        <v/>
      </c>
      <c r="P3037">
        <f>IF(B3074=0,0,O3037/B3074)</f>
        <v/>
      </c>
      <c r="Q3037">
        <f>IFERROR(1/IF(Inputs!$B$39="pvp",15,MAX(0.1,Skills!D9-IF(FALSE=TRUE,Inputs!$B$32,0))),0)</f>
        <v/>
      </c>
      <c r="R3037">
        <f>IF(AND(Inputs!$B$39&lt;&gt;"pvp",Inputs!$B$44&gt;0),IF(MAX(0,Inputs!$B$44-B3073)&lt;=0,0,(INT(MAX(0,Inputs!$B$44-B3073)/IF(Inputs!$B$39="pvp",15,MAX(0.1,Skills!D9-IF(FALSE=TRUE,Inputs!$B$32,0))))+1)),0)</f>
        <v/>
      </c>
      <c r="S3037">
        <f>IFERROR(O3037/N3037,0)</f>
        <v/>
      </c>
      <c r="T3037">
        <f>IF(C3037,(H3037*N3037*IF(AND(Inputs!$B$39&lt;&gt;"pvp",Inputs!$B$44&gt;0),((Skills!G9*((R3037-1)*IF(Skills!H9&gt;0,Skills!I9/Skills!H9,1)+IF(Skills!H9&gt;0,MIN(Skills!I9,MAX(0,MAX(0,Inputs!$B$44-B3073)-((R3037-1)*IF(Inputs!$B$39="pvp",15,MAX(0.1,Skills!D9-IF(FALSE=TRUE,Inputs!$B$32,0))))))/Skills!H9,1)))/Inputs!$B$44),G3037*Q3037))*IF(Inputs!$B$39="pvp",1,1+(Inputs!$B$20+0+Skills!P9+B3063+(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Hunt"),CHOOSE(ArtifactsInput!$N$35+1,15,18,21,24,27,30)*(1-EXP(-(0.2*B3066)*5)),0)+IF(AND(ArtifactsInput!$M$22,Inputs!$B$4&lt;&gt;"Chapter Hunt"),CHOOSE(ArtifactsInput!$N$22+1,10,12,14,16,18,20)*((0*(((0.15*B3066*5))^0/1)+1*(((0.15*B3066*5))^1/1)+2*(((0.15*B3066*5))^2/2)+3*(((0.15*B3066*5))^3/6)+4*(((0.15*B3066*5))^4/24)+5*(((0.15*B3066*5))^5/120))/((((0.15*B3066*5))^0/1)+(((0.15*B3066*5))^1/1)+(((0.15*B3066*5))^2/2)+(((0.15*B3066*5))^3/6)+(((0.15*B3066*5))^4/24)+(((0.15*B3066*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3037*(1-MIN(100,(Inputs!$B$9+((C3054=TRUE)*(F3054-Calc!F26))+B3062+(ArtifactsInput!$M$24-ArtifactsInput!$M$24)*CHOOSE(ArtifactsInput!$N$24+1,10,12,14,16,18,20)+(IF(AND(Inputs!$B$39&lt;&gt;"pvp",Inputs!$B$44=0),1,IF(IF(Inputs!$B$39="pvp",15,Inputs!$B$44)-(B3073)&lt;=0,1,MAX(0,IF(Inputs!$B$39="pvp",15,Inputs!$B$44)-MAX(5,B3073))/(IF(Inputs!$B$39="pvp",15,Inputs!$B$44)-(B3073))))*IF(AND(ArtifactsInput!$M$42,((Inputs!$B$9+((C3054=TRUE)*(F3054-Calc!F26))+B3062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3037*(MIN(100,(Inputs!$B$9+((C3054=TRUE)*(F3054-Calc!F26))+B3062+(ArtifactsInput!$M$24-ArtifactsInput!$M$24)*CHOOSE(ArtifactsInput!$N$24+1,10,12,14,16,18,20)+(IF(AND(Inputs!$B$39&lt;&gt;"pvp",Inputs!$B$44=0),1,IF(IF(Inputs!$B$39="pvp",15,Inputs!$B$44)-(B3073)&lt;=0,1,MAX(0,IF(Inputs!$B$39="pvp",15,Inputs!$B$44)-MAX(5,B3073))/(IF(Inputs!$B$39="pvp",15,Inputs!$B$44)-(B3073))))*IF(AND(ArtifactsInput!$M$42,((Inputs!$B$9+((C3054=TRUE)*(F3054-Calc!F26))+B3062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3037*(1-MIN(100,(Inputs!$B$9+((C3054=TRUE)*(F3054-Calc!F26))+B3062+(ArtifactsInput!$M$24-ArtifactsInput!$M$24)*CHOOSE(ArtifactsInput!$N$24+1,10,12,14,16,18,20)+(IF(AND(Inputs!$B$39&lt;&gt;"pvp",Inputs!$B$44=0),1,IF(IF(Inputs!$B$39="pvp",15,Inputs!$B$44)-(B3073)&lt;=0,1,MAX(0,IF(Inputs!$B$39="pvp",15,Inputs!$B$44)-MAX(5,B3073))/(IF(Inputs!$B$39="pvp",15,Inputs!$B$44)-(B3073))))*IF(AND(ArtifactsInput!$M$42,((Inputs!$B$9+((C3054=TRUE)*(F3054-Calc!F26))+B3062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3037*(MIN(100,(Inputs!$B$9+((C3054=TRUE)*(F3054-Calc!F26))+B3062+(ArtifactsInput!$M$24-ArtifactsInput!$M$24)*CHOOSE(ArtifactsInput!$N$24+1,10,12,14,16,18,20)+(IF(AND(Inputs!$B$39&lt;&gt;"pvp",Inputs!$B$44=0),1,IF(IF(Inputs!$B$39="pvp",15,Inputs!$B$44)-(B3073)&lt;=0,1,MAX(0,IF(Inputs!$B$39="pvp",15,Inputs!$B$44)-MAX(5,B3073))/(IF(Inputs!$B$39="pvp",15,Inputs!$B$44)-(B3073))))*IF(AND(ArtifactsInput!$M$42,((Inputs!$B$9+((C3054=TRUE)*(F3054-Calc!F26))+B3062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3037">
        <f>IF(C3037,(H3037*N3037*IF(AND(Inputs!$B$39&lt;&gt;"pvp",Inputs!$B$44&gt;0),((Skills!G9*((R3037-1)*IF(Skills!H9&gt;0,Skills!I9/Skills!H9,1)+IF(Skills!H9&gt;0,MIN(Skills!I9,MAX(0,MAX(0,Inputs!$B$44-B3073)-((R3037-1)*IF(Inputs!$B$39="pvp",15,MAX(0.1,Skills!D9-IF(FALSE=TRUE,Inputs!$B$32,0))))))/Skills!H9,1)))/Inputs!$B$44),G3037*Q3037))*IF(Inputs!$B$39="pvp",1,(1+(Inputs!$B$21+Skills!Q9+B3063+(IF(ArtifactsInput!$M$33,CHOOSE(ArtifactsInput!$N$33+1,30,36,42,48,54,60),0))+(IF(AND(ArtifactsInput!$M$35,Inputs!$B$4&lt;&gt;"Chapter Hunt"),CHOOSE(ArtifactsInput!$N$35+1,15,18,21,24,27,30)*(1-EXP(-(0.2*B3066)*5)),0)+IF(AND(ArtifactsInput!$M$22,Inputs!$B$4&lt;&gt;"Chapter Hunt"),CHOOSE(ArtifactsInput!$N$22+1,10,12,14,16,18,20)*((0*(((0.15*B3066*5))^0/1)+1*(((0.15*B3066*5))^1/1)+2*(((0.15*B3066*5))^2/2)+3*(((0.15*B3066*5))^3/6)+4*(((0.15*B3066*5))^4/24)+5*(((0.15*B3066*5))^5/120))/((((0.15*B3066*5))^0/1)+(((0.15*B3066*5))^1/1)+(((0.15*B3066*5))^2/2)+(((0.15*B3066*5))^3/6)+(((0.15*B3066*5))^4/24)+(((0.15*B3066*5))^5/120))),0)))/100)*(MIN(Skills!W9,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3038">
      <c r="A3038">
        <f>Skills!A10</f>
        <v/>
      </c>
      <c r="B3038">
        <f>Skills!B10</f>
        <v/>
      </c>
      <c r="C3038">
        <f>Inputs!$B$3&gt;=117</f>
        <v/>
      </c>
      <c r="D3038">
        <f>IF(Skills!C10=1,60+Inputs!$B$25+Inputs!$B$29,IF(Skills!C10=2,90+Inputs!$B$26+Inputs!$B$29,IF(Skills!C10=3,120+Inputs!$B$27+Inputs!$B$29,MAX(0,(Inputs!$B$3-100)*3)+Inputs!$B$28+Inputs!$B$29)))</f>
        <v/>
      </c>
      <c r="E3038">
        <f>INDEX(FactorTable!$B$2:$Y$301, MATCH(ROUND(MIN(300,MAX(1,D3038)),0), FactorTable!$A$2:$A$301,0), Skills!M10+1)</f>
        <v/>
      </c>
      <c r="F3038">
        <f>IF(Skills!N10=TRUE,(Skills!L10/10)*(E3038/1000),Skills!L10/10)+Skills!O10</f>
        <v/>
      </c>
      <c r="G3038">
        <f>Skills!G10*IF(Skills!H10&gt;0,IF(Inputs!$B$39="pvp",MIN(Skills!I10,15),Skills!I10)/Skills!H10,1)</f>
        <v/>
      </c>
      <c r="H3038">
        <f>1-(1-Skills!J10/100)^Skills!K10</f>
        <v/>
      </c>
      <c r="I3038" t="inlineStr">
        <is>
          <t>1</t>
        </is>
      </c>
      <c r="J3038">
        <f>((Inputs!$B$6*(1+Inputs!$B$7/100))+(((Inputs!$B$12*(1+Inputs!$B$13/100))-(Inputs!$B$12*(1+Inputs!$B$13/100)))+0.25*(Inputs!$B$14-Inputs!$B$14))*(1+Inputs!$B$7/100))*(F3038/100)</f>
        <v/>
      </c>
      <c r="K3038">
        <f>J3038*(1+((Inputs!$B$12*(1+Inputs!$B$13/100))*0.01+Inputs!$B$14*0.0025)/100)*(1+Inputs!$B$15/100)*(1+Inputs!$B$16/100)*(5000/(6000+Inputs!$B$43*(1-(100*(1-(1-Inputs!$B$19/100)*(1-CHOOSE(ArtifactsInput!$N$40+1,5,6,7,8,9,10)/100)^(ArtifactsInput!$M$40-ArtifactsInput!$M$40)))/100)))*(1+(Inputs!$B$24+((C3059=TRUE)*(F3059-Calc!F31))+((C3046=TRUE)*(F3046-Calc!F18)))/100)*(1+(((1+IF(AND(ArtifactsInput!$M$36,IF(Inputs!$B$39="pvp",TRUE,AND(Inputs!$B$39&lt;&gt;"pvp",Inputs!$B$44&gt;0))),CHOOSE(ArtifactsInput!$N$36+1,8,9.6,11.2,12.8,14.4,16),0)/100)*(1+IF(AND(ArtifactsInput!$M$32,Inputs!$B$4&lt;&gt;"Chapter Hunt"),CHOOSE(ArtifactsInput!$N$32+1,8,9.6,11.2,12.8,14.4,16),0)/100)*(1+IF(AND(IF(ArtifactsInput!$M$38,FALSE,TRUE),Inputs!$B$39&lt;&gt;"pvp",Inputs!$B$44&gt;0),CHOOSE(ArtifactsInput!$N$38+1,10,12,14,16,18,20)*(MIN(30,MAX(0,Inputs!$B$44-7))/Inputs!$B$44)*IF(Inputs!$B$4="Chapter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10="CRUEL_STAB",Inputs!$B$17+((C3056=TRUE)*(F3056-Calc!F28))+((IF(AND(Inputs!$B$39&lt;&gt;"pvp",Inputs!$B$44=0),1,IF(IF(Inputs!$B$39="pvp",15,Inputs!$B$44)-(B3073)&lt;=0,1,MAX(0,IF(Inputs!$B$39="pvp",15,Inputs!$B$44)-MAX(5,B3073))/(IF(Inputs!$B$39="pvp",15,Inputs!$B$44)-(B3073))))*(IF(AND(ArtifactsInput!$M$42,((Inputs!$B$9+((C3054=TRUE)*(F3054-Calc!F26))+B3062+(ArtifactsInput!$M$24-ArtifactsInput!$M$24)*CHOOSE(ArtifactsInput!$N$24+1,10,12,14,16,18,20)+IF(ArtifactsInput!$M$10,CHOOSE(ArtifactsInput!$N$10+1,15,18,21,24,27,30)*(IF(Inputs!$B$39="pvp",MIN(15,15)/15,IF(AND(Inputs!$B$39&lt;&gt;"pvp",Inputs!$B$44&gt;0),MIN(15,Inputs!$B$44)/(Inputs!$B$44),0))),0)))&gt;=100),MIN(100,((Inputs!$B$9+((C3054=TRUE)*(F3054-Calc!F26))+B3062+(ArtifactsInput!$M$24-ArtifactsInput!$M$24)*CHOOSE(ArtifactsInput!$N$24+1,10,12,14,16,18,20)+IF(ArtifactsInput!$M$10,CHOOSE(ArtifactsInput!$N$10+1,15,18,21,24,27,30)*(IF(Inputs!$B$39="pvp",MIN(15,15)/15,IF(AND(Inputs!$B$39&lt;&gt;"pvp",Inputs!$B$44&gt;0),MIN(15,Inputs!$B$44)/(Inputs!$B$44),0))),0)))-100),0))*CHOOSE(ArtifactsInput!$N$42+1,0.6,0.72,0.84,0.96,1.08,1.2))),Inputs!$B$18+((C3057=TRUE)*(F3057-Calc!F29))+(IF(AND(Inputs!$B$39&lt;&gt;"pvp",Inputs!$B$44=0),1,IF(IF(Inputs!$B$39="pvp",15,Inputs!$B$44)-(B3073)&lt;=0,1,MAX(0,IF(Inputs!$B$39="pvp",15,Inputs!$B$44)-MAX(5,B3073))/(IF(Inputs!$B$39="pvp",15,Inputs!$B$44)-(B3073))))*IF(AND(ArtifactsInput!$M$42,((Inputs!$B$9+((C3054=TRUE)*(F3054-Calc!F26))+B3062+(ArtifactsInput!$M$24-ArtifactsInput!$M$24)*CHOOSE(ArtifactsInput!$N$24+1,10,12,14,16,18,20)+IF(ArtifactsInput!$M$10,CHOOSE(ArtifactsInput!$N$10+1,15,18,21,24,27,30)*(IF(Inputs!$B$39="pvp",MIN(15,15)/15,IF(AND(Inputs!$B$39&lt;&gt;"pvp",Inputs!$B$44&gt;0),MIN(15,Inputs!$B$44)/(Inputs!$B$44),0))),0)))&gt;=100),CHOOSE(ArtifactsInput!$N$42+1,40,48,56,64,72,80),0))))/100)*(((1+(((C3050=TRUE)*F3050*IF(AND(Inputs!$B$39&lt;&gt;"pvp",Inputs!$B$44&gt;0),(((R3050-1)*MIN((Skills!Y22*(1+Inputs!$B$34/100)),(1/Q3050))+MIN((Skills!Y22*(1+Inputs!$B$34/100)),MAX(0,Inputs!$B$44-((R3050-1)*(1/Q3050)))))/Inputs!$B$44),IF(Inputs!$B$39="pvp",MIN((Skills!Y22*(1+Inputs!$B$34/100)),15)/15,MIN(1,(Skills!Y22*(1+Inputs!$B$34/100))/(1/Q3050)))))+((C3031=TRUE)*F3031*3)+((C3033=TRUE)*F3033*(1-EXP(-0.75*B3066*5)))+((C3052=TRUE)*(F3052-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3039=TRUE)*F3039*IF(AND(Inputs!$B$39&lt;&gt;"pvp",Inputs!$B$44&gt;0),(((R3039-1)*MIN((Skills!Y11*(1+Inputs!$B$34/100)),(1/Q3039))+MIN((Skills!Y11*(1+Inputs!$B$34/100)),MAX(0,Inputs!$B$44-((R3039-1)*(1/Q3039)))))/Inputs!$B$44),IF(Inputs!$B$39="pvp",MIN((Skills!Y11*(1+Inputs!$B$34/100)),15)/15,MIN(1,(Skills!Y11*(1+Inputs!$B$34/100))/(1/Q3039)))))/100)*(1+((C3044=TRUE)*F3044*IF(AND(Inputs!$B$39&lt;&gt;"pvp",Inputs!$B$44&gt;0),(((R3044-1)*MIN((Skills!Y16*(1+Inputs!$B$34/100)),(1/Q3044))+MIN((Skills!Y16*(1+Inputs!$B$34/100)),MAX(0,Inputs!$B$44-((R3044-1)*(1/Q3044)))))/Inputs!$B$44),IF(Inputs!$B$39="pvp",MIN((Skills!Y16*(1+Inputs!$B$34/100)),15)/15,MIN(1,(Skills!Y16*(1+Inputs!$B$34/100))/(1/Q3044)))))/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3064*I3038)</f>
        <v/>
      </c>
      <c r="L3038">
        <f>K3038*(MIN(Inputs!$B$22+((C3053=TRUE)*(F3053-Calc!F25)),(Inputs!$B$23+((C3058=TRUE)*(F3058-Calc!F30))+IF(ArtifactsInput!$M$15,CHOOSE(ArtifactsInput!$N$15+1,25,30,35,40,45,50)/100*(Inputs!$B$11-Inputs!$B$11),0)))/100+(Inputs!$B$23+((C3058=TRUE)*(F3058-Calc!F30))+IF(ArtifactsInput!$M$15,CHOOSE(ArtifactsInput!$N$15+1,25,30,35,40,45,50)/100*(Inputs!$B$11-Inputs!$B$11),0))/100)/2</f>
        <v/>
      </c>
      <c r="M3038">
        <f>L3038*(1+(Inputs!$B$10+((C3055=TRUE)*(F3055-Calc!F27))+B3069+(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3038">
        <f>L3038*(1-MIN((Inputs!$B$9+((C3054=TRUE)*(F3054-Calc!F26))+B3062+(ArtifactsInput!$M$24-ArtifactsInput!$M$24)*CHOOSE(ArtifactsInput!$N$24+1,10,12,14,16,18,20)+(IF(AND(Inputs!$B$39&lt;&gt;"pvp",Inputs!$B$44=0),1,IF(IF(Inputs!$B$39="pvp",15,Inputs!$B$44)-(B3073)&lt;=0,1,MAX(0,IF(Inputs!$B$39="pvp",15,Inputs!$B$44)-MAX(5,B3073))/(IF(Inputs!$B$39="pvp",15,Inputs!$B$44)-(B3073))))*IF(AND(ArtifactsInput!$M$42,((Inputs!$B$9+((C3054=TRUE)*(F3054-Calc!F26))+B3062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3038*(MIN((Inputs!$B$9+((C3054=TRUE)*(F3054-Calc!F26))+B3062+(ArtifactsInput!$M$24-ArtifactsInput!$M$24)*CHOOSE(ArtifactsInput!$N$24+1,10,12,14,16,18,20)+(IF(AND(Inputs!$B$39&lt;&gt;"pvp",Inputs!$B$44=0),1,IF(IF(Inputs!$B$39="pvp",15,Inputs!$B$44)-(B3073)&lt;=0,1,MAX(0,IF(Inputs!$B$39="pvp",15,Inputs!$B$44)-MAX(5,B3073))/(IF(Inputs!$B$39="pvp",15,Inputs!$B$44)-(B3073))))*IF(AND(ArtifactsInput!$M$42,((Inputs!$B$9+((C3054=TRUE)*(F3054-Calc!F26))+B3062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3038">
        <f>(1-Summary!$B$11)*T3038+Summary!$B$11*V3038</f>
        <v/>
      </c>
      <c r="P3038">
        <f>IF(B3074=0,0,O3038/B3074)</f>
        <v/>
      </c>
      <c r="Q3038" t="n">
        <v>0</v>
      </c>
      <c r="R3038" t="n">
        <v>0</v>
      </c>
      <c r="S3038" t="n">
        <v>0</v>
      </c>
      <c r="T3038">
        <f>IF(C3038,(0.2*SUMPRODUCT((Skills!Z2:Z31=TRUE)*(C3030:C3059=TRUE)*S3030:S3059)*N3038)*IF(Inputs!$B$39="pvp",1,1+(Inputs!$B$20+0+Skills!P10+B3063+(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Hunt"),CHOOSE(ArtifactsInput!$N$35+1,15,18,21,24,27,30)*(1-EXP(-(0.2*B3066)*5)),0)+IF(AND(ArtifactsInput!$M$22,Inputs!$B$4&lt;&gt;"Chapter Hunt"),CHOOSE(ArtifactsInput!$N$22+1,10,12,14,16,18,20)*((0*(((0.15*B3066*5))^0/1)+1*(((0.15*B3066*5))^1/1)+2*(((0.15*B3066*5))^2/2)+3*(((0.15*B3066*5))^3/6)+4*(((0.15*B3066*5))^4/24)+5*(((0.15*B3066*5))^5/120))/((((0.15*B3066*5))^0/1)+(((0.15*B3066*5))^1/1)+(((0.15*B3066*5))^2/2)+(((0.15*B3066*5))^3/6)+(((0.15*B3066*5))^4/24)+(((0.15*B3066*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3038*(1-MIN(100,(Inputs!$B$9+((C3054=TRUE)*(F3054-Calc!F26))+B3062+(ArtifactsInput!$M$24-ArtifactsInput!$M$24)*CHOOSE(ArtifactsInput!$N$24+1,10,12,14,16,18,20)+(IF(AND(Inputs!$B$39&lt;&gt;"pvp",Inputs!$B$44=0),1,IF(IF(Inputs!$B$39="pvp",15,Inputs!$B$44)-(B3073)&lt;=0,1,MAX(0,IF(Inputs!$B$39="pvp",15,Inputs!$B$44)-MAX(5,B3073))/(IF(Inputs!$B$39="pvp",15,Inputs!$B$44)-(B3073))))*IF(AND(ArtifactsInput!$M$42,((Inputs!$B$9+((C3054=TRUE)*(F3054-Calc!F26))+B3062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3038*(MIN(100,(Inputs!$B$9+((C3054=TRUE)*(F3054-Calc!F26))+B3062+(ArtifactsInput!$M$24-ArtifactsInput!$M$24)*CHOOSE(ArtifactsInput!$N$24+1,10,12,14,16,18,20)+(IF(AND(Inputs!$B$39&lt;&gt;"pvp",Inputs!$B$44=0),1,IF(IF(Inputs!$B$39="pvp",15,Inputs!$B$44)-(B3073)&lt;=0,1,MAX(0,IF(Inputs!$B$39="pvp",15,Inputs!$B$44)-MAX(5,B3073))/(IF(Inputs!$B$39="pvp",15,Inputs!$B$44)-(B3073))))*IF(AND(ArtifactsInput!$M$42,((Inputs!$B$9+((C3054=TRUE)*(F3054-Calc!F26))+B3062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3038*(1-MIN(100,(Inputs!$B$9+((C3054=TRUE)*(F3054-Calc!F26))+B3062+(ArtifactsInput!$M$24-ArtifactsInput!$M$24)*CHOOSE(ArtifactsInput!$N$24+1,10,12,14,16,18,20)+(IF(AND(Inputs!$B$39&lt;&gt;"pvp",Inputs!$B$44=0),1,IF(IF(Inputs!$B$39="pvp",15,Inputs!$B$44)-(B3073)&lt;=0,1,MAX(0,IF(Inputs!$B$39="pvp",15,Inputs!$B$44)-MAX(5,B3073))/(IF(Inputs!$B$39="pvp",15,Inputs!$B$44)-(B3073))))*IF(AND(ArtifactsInput!$M$42,((Inputs!$B$9+((C3054=TRUE)*(F3054-Calc!F26))+B3062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3038*(MIN(100,(Inputs!$B$9+((C3054=TRUE)*(F3054-Calc!F26))+B3062+(ArtifactsInput!$M$24-ArtifactsInput!$M$24)*CHOOSE(ArtifactsInput!$N$24+1,10,12,14,16,18,20)+(IF(AND(Inputs!$B$39&lt;&gt;"pvp",Inputs!$B$44=0),1,IF(IF(Inputs!$B$39="pvp",15,Inputs!$B$44)-(B3073)&lt;=0,1,MAX(0,IF(Inputs!$B$39="pvp",15,Inputs!$B$44)-MAX(5,B3073))/(IF(Inputs!$B$39="pvp",15,Inputs!$B$44)-(B3073))))*IF(AND(ArtifactsInput!$M$42,((Inputs!$B$9+((C3054=TRUE)*(F3054-Calc!F26))+B3062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3038">
        <f>IF(C3038,(0.2*SUMPRODUCT((Skills!Z2:Z31=TRUE)*(C3030:C3059=TRUE)*S3030:S3059)*N3038)*IF(Inputs!$B$39="pvp",1,(1+(Inputs!$B$21+Skills!Q10+B3063+(IF(ArtifactsInput!$M$33,CHOOSE(ArtifactsInput!$N$33+1,30,36,42,48,54,60),0))+(IF(AND(ArtifactsInput!$M$35,Inputs!$B$4&lt;&gt;"Chapter Hunt"),CHOOSE(ArtifactsInput!$N$35+1,15,18,21,24,27,30)*(1-EXP(-(0.2*B3066)*5)),0)+IF(AND(ArtifactsInput!$M$22,Inputs!$B$4&lt;&gt;"Chapter Hunt"),CHOOSE(ArtifactsInput!$N$22+1,10,12,14,16,18,20)*((0*(((0.15*B3066*5))^0/1)+1*(((0.15*B3066*5))^1/1)+2*(((0.15*B3066*5))^2/2)+3*(((0.15*B3066*5))^3/6)+4*(((0.15*B3066*5))^4/24)+5*(((0.15*B3066*5))^5/120))/((((0.15*B3066*5))^0/1)+(((0.15*B3066*5))^1/1)+(((0.15*B3066*5))^2/2)+(((0.15*B3066*5))^3/6)+(((0.15*B3066*5))^4/24)+(((0.15*B3066*5))^5/120))),0)))/100)*(MIN(Skills!W10,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3039">
      <c r="A3039">
        <f>Skills!A11</f>
        <v/>
      </c>
      <c r="B3039">
        <f>Skills!B11</f>
        <v/>
      </c>
      <c r="C3039">
        <f>Inputs!$B$3&gt;=74</f>
        <v/>
      </c>
      <c r="D3039">
        <f>IF(Skills!C11=1,60+Inputs!$B$25+Inputs!$B$29,IF(Skills!C11=2,90+Inputs!$B$26+Inputs!$B$29,IF(Skills!C11=3,120+Inputs!$B$27+Inputs!$B$29,MAX(0,(Inputs!$B$3-100)*3)+Inputs!$B$28+Inputs!$B$29)))</f>
        <v/>
      </c>
      <c r="E3039">
        <f>INDEX(FactorTable!$B$2:$Y$301, MATCH(ROUND(MIN(300,MAX(1,D3039)),0), FactorTable!$A$2:$A$301,0), Skills!M11+1)</f>
        <v/>
      </c>
      <c r="F3039">
        <f>IF(Skills!N11=TRUE,(Skills!L11/10)*(E3039/1000),Skills!L11/10)+Skills!O11</f>
        <v/>
      </c>
      <c r="G3039">
        <f>Skills!G11*IF(Skills!H11&gt;0,IF(Inputs!$B$39="pvp",MIN(Skills!I11,15),Skills!I11)/Skills!H11,1)</f>
        <v/>
      </c>
      <c r="H3039">
        <f>1-(1-Skills!J11/100)^Skills!K11</f>
        <v/>
      </c>
      <c r="I3039" t="inlineStr">
        <is>
          <t>1</t>
        </is>
      </c>
      <c r="J3039" t="inlineStr"/>
      <c r="K3039" t="inlineStr"/>
      <c r="L3039" t="inlineStr"/>
      <c r="M3039" t="inlineStr"/>
      <c r="N3039" t="inlineStr"/>
      <c r="O3039">
        <f>(1-Summary!$B$11)*T3039+Summary!$B$11*V3039</f>
        <v/>
      </c>
      <c r="P3039">
        <f>IF(B3074=0,0,O3039/B3074)</f>
        <v/>
      </c>
      <c r="Q3039">
        <f>IFERROR(1/IF(Inputs!$B$39="pvp",15,MAX(0.1,Skills!D11-IF(TRUE=TRUE,Inputs!$B$32,0))),0)</f>
        <v/>
      </c>
      <c r="R3039">
        <f>IF(AND(Inputs!$B$39&lt;&gt;"pvp",Inputs!$B$44&gt;0),IF(Inputs!$B$44&lt;=0,0,(INT(Inputs!$B$44/IF(Inputs!$B$39="pvp",15,MAX(0.1,Skills!D11-IF(TRUE=TRUE,Inputs!$B$32,0))))+1)),0)</f>
        <v/>
      </c>
      <c r="S3039">
        <f>IFERROR(O3039/N3039,0)</f>
        <v/>
      </c>
      <c r="T3039" t="n">
        <v>0</v>
      </c>
      <c r="V3039" t="n">
        <v>0</v>
      </c>
    </row>
    <row r="3040">
      <c r="A3040">
        <f>Skills!A12</f>
        <v/>
      </c>
      <c r="B3040">
        <f>Skills!B12</f>
        <v/>
      </c>
      <c r="C3040">
        <f>Inputs!$B$3&gt;=103</f>
        <v/>
      </c>
      <c r="D3040">
        <f>IF(Skills!C12=1,60+Inputs!$B$25+Inputs!$B$29,IF(Skills!C12=2,90+Inputs!$B$26+Inputs!$B$29,IF(Skills!C12=3,120+Inputs!$B$27+Inputs!$B$29,MAX(0,(Inputs!$B$3-100)*3)+Inputs!$B$28+Inputs!$B$29)))</f>
        <v/>
      </c>
      <c r="E3040">
        <f>INDEX(FactorTable!$B$2:$Y$301, MATCH(ROUND(MIN(300,MAX(1,D3040)),0), FactorTable!$A$2:$A$301,0), Skills!M12+1)</f>
        <v/>
      </c>
      <c r="F3040">
        <f>(Skills!L12/10)*(E3040/1000)+IF(Inputs!$B$3&gt;=134,50,0)+0.5*(30000/10)*(INDEX(FactorTable!$B$2:$Y$301, MATCH(ROUND(MIN(300,MAX(1,D3040)),0), FactorTable!$A$2:$A$301,0), 13)/1000)*B3072</f>
        <v/>
      </c>
      <c r="G3040">
        <f>Skills!G12*IF(Skills!H12&gt;0,IF(Inputs!$B$39="pvp",MIN(Skills!I12,15),Skills!I12)/Skills!H12,1)</f>
        <v/>
      </c>
      <c r="H3040">
        <f>1-(1-Skills!J12/100)^Skills!K12</f>
        <v/>
      </c>
      <c r="I3040" t="inlineStr">
        <is>
          <t>1</t>
        </is>
      </c>
      <c r="J3040">
        <f>((Inputs!$B$6*(1+Inputs!$B$7/100))+(((Inputs!$B$12*(1+Inputs!$B$13/100))-(Inputs!$B$12*(1+Inputs!$B$13/100)))+0.25*(Inputs!$B$14-Inputs!$B$14))*(1+Inputs!$B$7/100))*(F3040/100)</f>
        <v/>
      </c>
      <c r="K3040">
        <f>J3040*(1+((Inputs!$B$12*(1+Inputs!$B$13/100))*0.01+Inputs!$B$14*0.0025)/100)*(1+Inputs!$B$15/100)*(1+Inputs!$B$16/100)*(5000/(6000+Inputs!$B$43*(1-(100*(1-(1-Inputs!$B$19/100)*(1-CHOOSE(ArtifactsInput!$N$40+1,5,6,7,8,9,10)/100)^(ArtifactsInput!$M$40-ArtifactsInput!$M$40)))/100)))*(1+(Inputs!$B$24+((C3059=TRUE)*(F3059-Calc!F31))+((C3046=TRUE)*(F3046-Calc!F18)))/100)*(1+(((1+IF(AND(ArtifactsInput!$M$36,IF(Inputs!$B$39="pvp",TRUE,AND(Inputs!$B$39&lt;&gt;"pvp",Inputs!$B$44&gt;0))),CHOOSE(ArtifactsInput!$N$36+1,8,9.6,11.2,12.8,14.4,16),0)/100)*(1+IF(AND(ArtifactsInput!$M$32,Inputs!$B$4&lt;&gt;"Chapter Hunt"),CHOOSE(ArtifactsInput!$N$32+1,8,9.6,11.2,12.8,14.4,16),0)/100)*(1+IF(AND(IF(ArtifactsInput!$M$38,FALSE,TRUE),Inputs!$B$39&lt;&gt;"pvp",Inputs!$B$44&gt;0),CHOOSE(ArtifactsInput!$N$38+1,10,12,14,16,18,20)*(MIN(30,MAX(0,Inputs!$B$44-7))/Inputs!$B$44)*IF(Inputs!$B$4="Chapter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12="CRUEL_STAB",Inputs!$B$17+((C3056=TRUE)*(F3056-Calc!F28))+((IF(AND(Inputs!$B$39&lt;&gt;"pvp",Inputs!$B$44=0),1,IF(IF(Inputs!$B$39="pvp",15,Inputs!$B$44)-(B3073)&lt;=0,1,MAX(0,IF(Inputs!$B$39="pvp",15,Inputs!$B$44)-MAX(5,B3073))/(IF(Inputs!$B$39="pvp",15,Inputs!$B$44)-(B3073))))*(IF(AND(ArtifactsInput!$M$42,((Inputs!$B$9+((C3054=TRUE)*(F3054-Calc!F26))+B3062+(ArtifactsInput!$M$24-ArtifactsInput!$M$24)*CHOOSE(ArtifactsInput!$N$24+1,10,12,14,16,18,20)+IF(ArtifactsInput!$M$10,CHOOSE(ArtifactsInput!$N$10+1,15,18,21,24,27,30)*(IF(Inputs!$B$39="pvp",MIN(15,15)/15,IF(AND(Inputs!$B$39&lt;&gt;"pvp",Inputs!$B$44&gt;0),MIN(15,Inputs!$B$44)/(Inputs!$B$44),0))),0)))&gt;=100),MIN(100,((Inputs!$B$9+((C3054=TRUE)*(F3054-Calc!F26))+B3062+(ArtifactsInput!$M$24-ArtifactsInput!$M$24)*CHOOSE(ArtifactsInput!$N$24+1,10,12,14,16,18,20)+IF(ArtifactsInput!$M$10,CHOOSE(ArtifactsInput!$N$10+1,15,18,21,24,27,30)*(IF(Inputs!$B$39="pvp",MIN(15,15)/15,IF(AND(Inputs!$B$39&lt;&gt;"pvp",Inputs!$B$44&gt;0),MIN(15,Inputs!$B$44)/(Inputs!$B$44),0))),0)))-100),0))*CHOOSE(ArtifactsInput!$N$42+1,0.6,0.72,0.84,0.96,1.08,1.2))),Inputs!$B$18+((C3057=TRUE)*(F3057-Calc!F29))+(IF(AND(Inputs!$B$39&lt;&gt;"pvp",Inputs!$B$44=0),1,IF(IF(Inputs!$B$39="pvp",15,Inputs!$B$44)-(B3073)&lt;=0,1,MAX(0,IF(Inputs!$B$39="pvp",15,Inputs!$B$44)-MAX(5,B3073))/(IF(Inputs!$B$39="pvp",15,Inputs!$B$44)-(B3073))))*IF(AND(ArtifactsInput!$M$42,((Inputs!$B$9+((C3054=TRUE)*(F3054-Calc!F26))+B3062+(ArtifactsInput!$M$24-ArtifactsInput!$M$24)*CHOOSE(ArtifactsInput!$N$24+1,10,12,14,16,18,20)+IF(ArtifactsInput!$M$10,CHOOSE(ArtifactsInput!$N$10+1,15,18,21,24,27,30)*(IF(Inputs!$B$39="pvp",MIN(15,15)/15,IF(AND(Inputs!$B$39&lt;&gt;"pvp",Inputs!$B$44&gt;0),MIN(15,Inputs!$B$44)/(Inputs!$B$44),0))),0)))&gt;=100),CHOOSE(ArtifactsInput!$N$42+1,40,48,56,64,72,80),0))))/100)*(((1+(((C3050=TRUE)*F3050*IF(AND(Inputs!$B$39&lt;&gt;"pvp",Inputs!$B$44&gt;0),(((R3050-1)*MIN((Skills!Y22*(1+Inputs!$B$34/100)),(1/Q3050))+MIN((Skills!Y22*(1+Inputs!$B$34/100)),MAX(0,Inputs!$B$44-((R3050-1)*(1/Q3050)))))/Inputs!$B$44),IF(Inputs!$B$39="pvp",MIN((Skills!Y22*(1+Inputs!$B$34/100)),15)/15,MIN(1,(Skills!Y22*(1+Inputs!$B$34/100))/(1/Q3050)))))+((C3031=TRUE)*F3031*3)+((C3033=TRUE)*F3033*(1-EXP(-0.75*B3066*5)))+((C3052=TRUE)*(F3052-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3039=TRUE)*F3039*IF(AND(Inputs!$B$39&lt;&gt;"pvp",Inputs!$B$44&gt;0),(((R3039-1)*MIN((Skills!Y11*(1+Inputs!$B$34/100)),(1/Q3039))+MIN((Skills!Y11*(1+Inputs!$B$34/100)),MAX(0,Inputs!$B$44-((R3039-1)*(1/Q3039)))))/Inputs!$B$44),IF(Inputs!$B$39="pvp",MIN((Skills!Y11*(1+Inputs!$B$34/100)),15)/15,MIN(1,(Skills!Y11*(1+Inputs!$B$34/100))/(1/Q3039)))))/100)*(1+((C3044=TRUE)*F3044*IF(AND(Inputs!$B$39&lt;&gt;"pvp",Inputs!$B$44&gt;0),(((R3044-1)*MIN((Skills!Y16*(1+Inputs!$B$34/100)),(1/Q3044))+MIN((Skills!Y16*(1+Inputs!$B$34/100)),MAX(0,Inputs!$B$44-((R3044-1)*(1/Q3044)))))/Inputs!$B$44),IF(Inputs!$B$39="pvp",MIN((Skills!Y16*(1+Inputs!$B$34/100)),15)/15,MIN(1,(Skills!Y16*(1+Inputs!$B$34/100))/(1/Q3044)))))/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3064*I3040)</f>
        <v/>
      </c>
      <c r="L3040">
        <f>K3040*(MIN(Inputs!$B$22+((C3053=TRUE)*(F3053-Calc!F25)),(Inputs!$B$23+((C3058=TRUE)*(F3058-Calc!F30))+IF(ArtifactsInput!$M$15,CHOOSE(ArtifactsInput!$N$15+1,25,30,35,40,45,50)/100*(Inputs!$B$11-Inputs!$B$11),0)))/100+(Inputs!$B$23+((C3058=TRUE)*(F3058-Calc!F30))+IF(ArtifactsInput!$M$15,CHOOSE(ArtifactsInput!$N$15+1,25,30,35,40,45,50)/100*(Inputs!$B$11-Inputs!$B$11),0))/100)/2</f>
        <v/>
      </c>
      <c r="M3040">
        <f>L3040*(1+(Inputs!$B$10+((C3055=TRUE)*(F3055-Calc!F27))+B3069+(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3040">
        <f>L3040*(1-MIN((Inputs!$B$9+((C3054=TRUE)*(F3054-Calc!F26))+B3062+(ArtifactsInput!$M$24-ArtifactsInput!$M$24)*CHOOSE(ArtifactsInput!$N$24+1,10,12,14,16,18,20)+(IF(AND(Inputs!$B$39&lt;&gt;"pvp",Inputs!$B$44=0),1,IF(IF(Inputs!$B$39="pvp",15,Inputs!$B$44)-(B3073)&lt;=0,1,MAX(0,IF(Inputs!$B$39="pvp",15,Inputs!$B$44)-MAX(5,B3073))/(IF(Inputs!$B$39="pvp",15,Inputs!$B$44)-(B3073))))*IF(AND(ArtifactsInput!$M$42,((Inputs!$B$9+((C3054=TRUE)*(F3054-Calc!F26))+B3062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3040*(MIN((Inputs!$B$9+((C3054=TRUE)*(F3054-Calc!F26))+B3062+(ArtifactsInput!$M$24-ArtifactsInput!$M$24)*CHOOSE(ArtifactsInput!$N$24+1,10,12,14,16,18,20)+(IF(AND(Inputs!$B$39&lt;&gt;"pvp",Inputs!$B$44=0),1,IF(IF(Inputs!$B$39="pvp",15,Inputs!$B$44)-(B3073)&lt;=0,1,MAX(0,IF(Inputs!$B$39="pvp",15,Inputs!$B$44)-MAX(5,B3073))/(IF(Inputs!$B$39="pvp",15,Inputs!$B$44)-(B3073))))*IF(AND(ArtifactsInput!$M$42,((Inputs!$B$9+((C3054=TRUE)*(F3054-Calc!F26))+B3062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3040">
        <f>(1-Summary!$B$11)*T3040+Summary!$B$11*V3040</f>
        <v/>
      </c>
      <c r="P3040">
        <f>IF(B3074=0,0,O3040/B3074)</f>
        <v/>
      </c>
      <c r="Q3040">
        <f>IFERROR(1/IF(Inputs!$B$39="pvp",15,MAX(0.1,Skills!D12-IF(TRUE=TRUE,Inputs!$B$32,0))),0)</f>
        <v/>
      </c>
      <c r="R3040">
        <f>IF(AND(Inputs!$B$39&lt;&gt;"pvp",Inputs!$B$44&gt;0),IF(MAX(0,Inputs!$B$44-B3073)&lt;=0,0,(INT(MAX(0,Inputs!$B$44-B3073)/IF(Inputs!$B$39="pvp",15,MAX(0.1,Skills!D12-IF(TRUE=TRUE,Inputs!$B$32,0))))+1)),0)</f>
        <v/>
      </c>
      <c r="S3040">
        <f>IFERROR(O3040/N3040,0)</f>
        <v/>
      </c>
      <c r="T3040">
        <f>IF(C3040,(H3040*N3040*IF(AND(Inputs!$B$39&lt;&gt;"pvp",Inputs!$B$44&gt;0),((Skills!G12*((R3040-1)*IF(Skills!H12&gt;0,Skills!I12/Skills!H12,1)+IF(Skills!H12&gt;0,MIN(Skills!I12,MAX(0,MAX(0,Inputs!$B$44-B3073)-((R3040-1)*IF(Inputs!$B$39="pvp",15,MAX(0.1,Skills!D12-IF(TRUE=TRUE,Inputs!$B$32,0))))))/Skills!H12,1)))/Inputs!$B$44),G3040*Q3040))*IF(Inputs!$B$39="pvp",1,1+(Inputs!$B$20+0+Skills!P12+B3063+(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Hunt"),CHOOSE(ArtifactsInput!$N$35+1,15,18,21,24,27,30)*(1-EXP(-(0.2*B3066)*5)),0)+IF(AND(ArtifactsInput!$M$22,Inputs!$B$4&lt;&gt;"Chapter Hunt"),CHOOSE(ArtifactsInput!$N$22+1,10,12,14,16,18,20)*((0*(((0.15*B3066*5))^0/1)+1*(((0.15*B3066*5))^1/1)+2*(((0.15*B3066*5))^2/2)+3*(((0.15*B3066*5))^3/6)+4*(((0.15*B3066*5))^4/24)+5*(((0.15*B3066*5))^5/120))/((((0.15*B3066*5))^0/1)+(((0.15*B3066*5))^1/1)+(((0.15*B3066*5))^2/2)+(((0.15*B3066*5))^3/6)+(((0.15*B3066*5))^4/24)+(((0.15*B3066*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3040*(1-MIN(100,(Inputs!$B$9+((C3054=TRUE)*(F3054-Calc!F26))+B3062+(ArtifactsInput!$M$24-ArtifactsInput!$M$24)*CHOOSE(ArtifactsInput!$N$24+1,10,12,14,16,18,20)+(IF(AND(Inputs!$B$39&lt;&gt;"pvp",Inputs!$B$44=0),1,IF(IF(Inputs!$B$39="pvp",15,Inputs!$B$44)-(B3073)&lt;=0,1,MAX(0,IF(Inputs!$B$39="pvp",15,Inputs!$B$44)-MAX(5,B3073))/(IF(Inputs!$B$39="pvp",15,Inputs!$B$44)-(B3073))))*IF(AND(ArtifactsInput!$M$42,((Inputs!$B$9+((C3054=TRUE)*(F3054-Calc!F26))+B3062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3040*(MIN(100,(Inputs!$B$9+((C3054=TRUE)*(F3054-Calc!F26))+B3062+(ArtifactsInput!$M$24-ArtifactsInput!$M$24)*CHOOSE(ArtifactsInput!$N$24+1,10,12,14,16,18,20)+(IF(AND(Inputs!$B$39&lt;&gt;"pvp",Inputs!$B$44=0),1,IF(IF(Inputs!$B$39="pvp",15,Inputs!$B$44)-(B3073)&lt;=0,1,MAX(0,IF(Inputs!$B$39="pvp",15,Inputs!$B$44)-MAX(5,B3073))/(IF(Inputs!$B$39="pvp",15,Inputs!$B$44)-(B3073))))*IF(AND(ArtifactsInput!$M$42,((Inputs!$B$9+((C3054=TRUE)*(F3054-Calc!F26))+B3062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3040*(1-MIN(100,(Inputs!$B$9+((C3054=TRUE)*(F3054-Calc!F26))+B3062+(ArtifactsInput!$M$24-ArtifactsInput!$M$24)*CHOOSE(ArtifactsInput!$N$24+1,10,12,14,16,18,20)+(IF(AND(Inputs!$B$39&lt;&gt;"pvp",Inputs!$B$44=0),1,IF(IF(Inputs!$B$39="pvp",15,Inputs!$B$44)-(B3073)&lt;=0,1,MAX(0,IF(Inputs!$B$39="pvp",15,Inputs!$B$44)-MAX(5,B3073))/(IF(Inputs!$B$39="pvp",15,Inputs!$B$44)-(B3073))))*IF(AND(ArtifactsInput!$M$42,((Inputs!$B$9+((C3054=TRUE)*(F3054-Calc!F26))+B3062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3040*(MIN(100,(Inputs!$B$9+((C3054=TRUE)*(F3054-Calc!F26))+B3062+(ArtifactsInput!$M$24-ArtifactsInput!$M$24)*CHOOSE(ArtifactsInput!$N$24+1,10,12,14,16,18,20)+(IF(AND(Inputs!$B$39&lt;&gt;"pvp",Inputs!$B$44=0),1,IF(IF(Inputs!$B$39="pvp",15,Inputs!$B$44)-(B3073)&lt;=0,1,MAX(0,IF(Inputs!$B$39="pvp",15,Inputs!$B$44)-MAX(5,B3073))/(IF(Inputs!$B$39="pvp",15,Inputs!$B$44)-(B3073))))*IF(AND(ArtifactsInput!$M$42,((Inputs!$B$9+((C3054=TRUE)*(F3054-Calc!F26))+B3062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3040">
        <f>IF(C3040,(H3040*N3040*IF(AND(Inputs!$B$39&lt;&gt;"pvp",Inputs!$B$44&gt;0),((Skills!G12*((R3040-1)*IF(Skills!H12&gt;0,Skills!I12/Skills!H12,1)+IF(Skills!H12&gt;0,MIN(Skills!I12,MAX(0,MAX(0,Inputs!$B$44-B3073)-((R3040-1)*IF(Inputs!$B$39="pvp",15,MAX(0.1,Skills!D12-IF(TRUE=TRUE,Inputs!$B$32,0))))))/Skills!H12,1)))/Inputs!$B$44),G3040*Q3040))*IF(Inputs!$B$39="pvp",1,(1+(Inputs!$B$21+Skills!Q12+B3063+(IF(ArtifactsInput!$M$33,CHOOSE(ArtifactsInput!$N$33+1,30,36,42,48,54,60),0))+(IF(AND(ArtifactsInput!$M$35,Inputs!$B$4&lt;&gt;"Chapter Hunt"),CHOOSE(ArtifactsInput!$N$35+1,15,18,21,24,27,30)*(1-EXP(-(0.2*B3066)*5)),0)+IF(AND(ArtifactsInput!$M$22,Inputs!$B$4&lt;&gt;"Chapter Hunt"),CHOOSE(ArtifactsInput!$N$22+1,10,12,14,16,18,20)*((0*(((0.15*B3066*5))^0/1)+1*(((0.15*B3066*5))^1/1)+2*(((0.15*B3066*5))^2/2)+3*(((0.15*B3066*5))^3/6)+4*(((0.15*B3066*5))^4/24)+5*(((0.15*B3066*5))^5/120))/((((0.15*B3066*5))^0/1)+(((0.15*B3066*5))^1/1)+(((0.15*B3066*5))^2/2)+(((0.15*B3066*5))^3/6)+(((0.15*B3066*5))^4/24)+(((0.15*B3066*5))^5/120))),0)))/100)*(MIN(Skills!W12,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3041">
      <c r="A3041">
        <f>Skills!A13</f>
        <v/>
      </c>
      <c r="B3041">
        <f>Skills!B13</f>
        <v/>
      </c>
      <c r="C3041">
        <f>Inputs!$B$3&gt;=105</f>
        <v/>
      </c>
      <c r="D3041">
        <f>IF(Skills!C13=1,60+Inputs!$B$25+Inputs!$B$29,IF(Skills!C13=2,90+Inputs!$B$26+Inputs!$B$29,IF(Skills!C13=3,120+Inputs!$B$27+Inputs!$B$29,MAX(0,(Inputs!$B$3-100)*3)+Inputs!$B$28+Inputs!$B$29)))</f>
        <v/>
      </c>
      <c r="E3041">
        <f>INDEX(FactorTable!$B$2:$Y$301, MATCH(ROUND(MIN(300,MAX(1,D3041)),0), FactorTable!$A$2:$A$301,0), Skills!M13+1)</f>
        <v/>
      </c>
      <c r="F3041">
        <f>IF(Skills!N13=TRUE,(Skills!L13/10)*(E3041/1000),Skills!L13/10)+Skills!O13</f>
        <v/>
      </c>
      <c r="G3041">
        <f>Skills!G13*IF(Skills!H13&gt;0,IF(Inputs!$B$39="pvp",MIN(Skills!I13,15),Skills!I13)/Skills!H13,1)</f>
        <v/>
      </c>
      <c r="H3041">
        <f>1-(1-Skills!J13/100)^Skills!K13</f>
        <v/>
      </c>
      <c r="I3041" t="inlineStr">
        <is>
          <t>1</t>
        </is>
      </c>
      <c r="J3041">
        <f>((Inputs!$B$6*(1+Inputs!$B$7/100))+(((Inputs!$B$12*(1+Inputs!$B$13/100))-(Inputs!$B$12*(1+Inputs!$B$13/100)))+0.25*(Inputs!$B$14-Inputs!$B$14))*(1+Inputs!$B$7/100))*(F3041/100)</f>
        <v/>
      </c>
      <c r="K3041">
        <f>J3041*(1+((Inputs!$B$12*(1+Inputs!$B$13/100))*0.01+Inputs!$B$14*0.0025)/100)*(1+Inputs!$B$15/100)*(1+Inputs!$B$16/100)*(5000/(6000+Inputs!$B$43*(1-(100*(1-(1-Inputs!$B$19/100)*(1-CHOOSE(ArtifactsInput!$N$40+1,5,6,7,8,9,10)/100)^(ArtifactsInput!$M$40-ArtifactsInput!$M$40)))/100)))*(1+(Inputs!$B$24+((C3059=TRUE)*(F3059-Calc!F31))+((C3046=TRUE)*(F3046-Calc!F18)))/100)*(1+(((1+IF(AND(ArtifactsInput!$M$36,IF(Inputs!$B$39="pvp",TRUE,AND(Inputs!$B$39&lt;&gt;"pvp",Inputs!$B$44&gt;0))),CHOOSE(ArtifactsInput!$N$36+1,8,9.6,11.2,12.8,14.4,16),0)/100)*(1+IF(AND(ArtifactsInput!$M$32,Inputs!$B$4&lt;&gt;"Chapter Hunt"),CHOOSE(ArtifactsInput!$N$32+1,8,9.6,11.2,12.8,14.4,16),0)/100)*(1+IF(AND(IF(ArtifactsInput!$M$38,FALSE,TRUE),Inputs!$B$39&lt;&gt;"pvp",Inputs!$B$44&gt;0),CHOOSE(ArtifactsInput!$N$38+1,10,12,14,16,18,20)*(MIN(30,MAX(0,Inputs!$B$44-7))/Inputs!$B$44)*IF(Inputs!$B$4="Chapter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13="CRUEL_STAB",Inputs!$B$17+((C3056=TRUE)*(F3056-Calc!F28))+((IF(AND(Inputs!$B$39&lt;&gt;"pvp",Inputs!$B$44=0),1,IF(IF(Inputs!$B$39="pvp",15,Inputs!$B$44)-(B3073)&lt;=0,1,MAX(0,IF(Inputs!$B$39="pvp",15,Inputs!$B$44)-MAX(5,B3073))/(IF(Inputs!$B$39="pvp",15,Inputs!$B$44)-(B3073))))*(IF(AND(ArtifactsInput!$M$42,((Inputs!$B$9+((C3054=TRUE)*(F3054-Calc!F26))+B3062+(ArtifactsInput!$M$24-ArtifactsInput!$M$24)*CHOOSE(ArtifactsInput!$N$24+1,10,12,14,16,18,20)+IF(ArtifactsInput!$M$10,CHOOSE(ArtifactsInput!$N$10+1,15,18,21,24,27,30)*(IF(Inputs!$B$39="pvp",MIN(15,15)/15,IF(AND(Inputs!$B$39&lt;&gt;"pvp",Inputs!$B$44&gt;0),MIN(15,Inputs!$B$44)/(Inputs!$B$44),0))),0)))&gt;=100),MIN(100,((Inputs!$B$9+((C3054=TRUE)*(F3054-Calc!F26))+B3062+(ArtifactsInput!$M$24-ArtifactsInput!$M$24)*CHOOSE(ArtifactsInput!$N$24+1,10,12,14,16,18,20)+IF(ArtifactsInput!$M$10,CHOOSE(ArtifactsInput!$N$10+1,15,18,21,24,27,30)*(IF(Inputs!$B$39="pvp",MIN(15,15)/15,IF(AND(Inputs!$B$39&lt;&gt;"pvp",Inputs!$B$44&gt;0),MIN(15,Inputs!$B$44)/(Inputs!$B$44),0))),0)))-100),0))*CHOOSE(ArtifactsInput!$N$42+1,0.6,0.72,0.84,0.96,1.08,1.2))),Inputs!$B$18+((C3057=TRUE)*(F3057-Calc!F29))+(IF(AND(Inputs!$B$39&lt;&gt;"pvp",Inputs!$B$44=0),1,IF(IF(Inputs!$B$39="pvp",15,Inputs!$B$44)-(B3073)&lt;=0,1,MAX(0,IF(Inputs!$B$39="pvp",15,Inputs!$B$44)-MAX(5,B3073))/(IF(Inputs!$B$39="pvp",15,Inputs!$B$44)-(B3073))))*IF(AND(ArtifactsInput!$M$42,((Inputs!$B$9+((C3054=TRUE)*(F3054-Calc!F26))+B3062+(ArtifactsInput!$M$24-ArtifactsInput!$M$24)*CHOOSE(ArtifactsInput!$N$24+1,10,12,14,16,18,20)+IF(ArtifactsInput!$M$10,CHOOSE(ArtifactsInput!$N$10+1,15,18,21,24,27,30)*(IF(Inputs!$B$39="pvp",MIN(15,15)/15,IF(AND(Inputs!$B$39&lt;&gt;"pvp",Inputs!$B$44&gt;0),MIN(15,Inputs!$B$44)/(Inputs!$B$44),0))),0)))&gt;=100),CHOOSE(ArtifactsInput!$N$42+1,40,48,56,64,72,80),0))))/100)*(((1+(((C3050=TRUE)*F3050*IF(AND(Inputs!$B$39&lt;&gt;"pvp",Inputs!$B$44&gt;0),(((R3050-1)*MIN((Skills!Y22*(1+Inputs!$B$34/100)),(1/Q3050))+MIN((Skills!Y22*(1+Inputs!$B$34/100)),MAX(0,Inputs!$B$44-((R3050-1)*(1/Q3050)))))/Inputs!$B$44),IF(Inputs!$B$39="pvp",MIN((Skills!Y22*(1+Inputs!$B$34/100)),15)/15,MIN(1,(Skills!Y22*(1+Inputs!$B$34/100))/(1/Q3050)))))+((C3031=TRUE)*F3031*3)+((C3033=TRUE)*F3033*(1-EXP(-0.75*B3066*5)))+((C3052=TRUE)*(F3052-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3039=TRUE)*F3039*IF(AND(Inputs!$B$39&lt;&gt;"pvp",Inputs!$B$44&gt;0),(((R3039-1)*MIN((Skills!Y11*(1+Inputs!$B$34/100)),(1/Q3039))+MIN((Skills!Y11*(1+Inputs!$B$34/100)),MAX(0,Inputs!$B$44-((R3039-1)*(1/Q3039)))))/Inputs!$B$44),IF(Inputs!$B$39="pvp",MIN((Skills!Y11*(1+Inputs!$B$34/100)),15)/15,MIN(1,(Skills!Y11*(1+Inputs!$B$34/100))/(1/Q3039)))))/100)*(1+((C3044=TRUE)*F3044*IF(AND(Inputs!$B$39&lt;&gt;"pvp",Inputs!$B$44&gt;0),(((R3044-1)*MIN((Skills!Y16*(1+Inputs!$B$34/100)),(1/Q3044))+MIN((Skills!Y16*(1+Inputs!$B$34/100)),MAX(0,Inputs!$B$44-((R3044-1)*(1/Q3044)))))/Inputs!$B$44),IF(Inputs!$B$39="pvp",MIN((Skills!Y16*(1+Inputs!$B$34/100)),15)/15,MIN(1,(Skills!Y16*(1+Inputs!$B$34/100))/(1/Q3044)))))/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3064*I3041)</f>
        <v/>
      </c>
      <c r="L3041">
        <f>K3041*(MIN(Inputs!$B$22+((C3053=TRUE)*(F3053-Calc!F25)),(Inputs!$B$23+((C3058=TRUE)*(F3058-Calc!F30))+IF(ArtifactsInput!$M$15,CHOOSE(ArtifactsInput!$N$15+1,25,30,35,40,45,50)/100*(Inputs!$B$11-Inputs!$B$11),0)))/100+(Inputs!$B$23+((C3058=TRUE)*(F3058-Calc!F30))+IF(ArtifactsInput!$M$15,CHOOSE(ArtifactsInput!$N$15+1,25,30,35,40,45,50)/100*(Inputs!$B$11-Inputs!$B$11),0))/100)/2</f>
        <v/>
      </c>
      <c r="M3041">
        <f>L3041*(1+(Inputs!$B$10+((C3055=TRUE)*(F3055-Calc!F27))+B3069+(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3041">
        <f>L3041*(1-MIN((Inputs!$B$9+((C3054=TRUE)*(F3054-Calc!F26))+B3062+(ArtifactsInput!$M$24-ArtifactsInput!$M$24)*CHOOSE(ArtifactsInput!$N$24+1,10,12,14,16,18,20)+(IF(AND(Inputs!$B$39&lt;&gt;"pvp",Inputs!$B$44=0),1,IF(IF(Inputs!$B$39="pvp",15,Inputs!$B$44)-(B3073)&lt;=0,1,MAX(0,IF(Inputs!$B$39="pvp",15,Inputs!$B$44)-MAX(5,B3073))/(IF(Inputs!$B$39="pvp",15,Inputs!$B$44)-(B3073))))*IF(AND(ArtifactsInput!$M$42,((Inputs!$B$9+((C3054=TRUE)*(F3054-Calc!F26))+B3062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3041*(MIN((Inputs!$B$9+((C3054=TRUE)*(F3054-Calc!F26))+B3062+(ArtifactsInput!$M$24-ArtifactsInput!$M$24)*CHOOSE(ArtifactsInput!$N$24+1,10,12,14,16,18,20)+(IF(AND(Inputs!$B$39&lt;&gt;"pvp",Inputs!$B$44=0),1,IF(IF(Inputs!$B$39="pvp",15,Inputs!$B$44)-(B3073)&lt;=0,1,MAX(0,IF(Inputs!$B$39="pvp",15,Inputs!$B$44)-MAX(5,B3073))/(IF(Inputs!$B$39="pvp",15,Inputs!$B$44)-(B3073))))*IF(AND(ArtifactsInput!$M$42,((Inputs!$B$9+((C3054=TRUE)*(F3054-Calc!F26))+B3062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3041">
        <f>(1-Summary!$B$11)*T3041+Summary!$B$11*V3041</f>
        <v/>
      </c>
      <c r="P3041">
        <f>IF(B3074=0,0,O3041/B3074)</f>
        <v/>
      </c>
      <c r="Q3041">
        <f>IFERROR(1/IF(Inputs!$B$39="pvp",15,MAX(0.1,Skills!D13-IF(TRUE=TRUE,Inputs!$B$32,0))),0)</f>
        <v/>
      </c>
      <c r="R3041">
        <f>IF(AND(Inputs!$B$39&lt;&gt;"pvp",Inputs!$B$44&gt;0),IF(MAX(0,Inputs!$B$44-B3073)&lt;=0,0,(INT(MAX(0,Inputs!$B$44-B3073)/IF(Inputs!$B$39="pvp",15,MAX(0.1,Skills!D13-IF(TRUE=TRUE,Inputs!$B$32,0))))+1)),0)</f>
        <v/>
      </c>
      <c r="S3041">
        <f>IFERROR(O3041/N3041,0)</f>
        <v/>
      </c>
      <c r="T3041">
        <f>IF(C3041,(H3041*N3041*IF(AND(Inputs!$B$39&lt;&gt;"pvp",Inputs!$B$44&gt;0),((Skills!G13*((R3041-1)*IF(Skills!H13&gt;0,Skills!I13/Skills!H13,1)+IF(Skills!H13&gt;0,MIN(Skills!I13,MAX(0,MAX(0,Inputs!$B$44-B3073)-((R3041-1)*IF(Inputs!$B$39="pvp",15,MAX(0.1,Skills!D13-IF(TRUE=TRUE,Inputs!$B$32,0))))))/Skills!H13,1)))/Inputs!$B$44),G3041*Q3041))*IF(Inputs!$B$39="pvp",1,1+(Inputs!$B$20+0+Skills!P13+B3063+(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Hunt"),CHOOSE(ArtifactsInput!$N$35+1,15,18,21,24,27,30)*(1-EXP(-(0.2*B3066)*5)),0)+IF(AND(ArtifactsInput!$M$22,Inputs!$B$4&lt;&gt;"Chapter Hunt"),CHOOSE(ArtifactsInput!$N$22+1,10,12,14,16,18,20)*((0*(((0.15*B3066*5))^0/1)+1*(((0.15*B3066*5))^1/1)+2*(((0.15*B3066*5))^2/2)+3*(((0.15*B3066*5))^3/6)+4*(((0.15*B3066*5))^4/24)+5*(((0.15*B3066*5))^5/120))/((((0.15*B3066*5))^0/1)+(((0.15*B3066*5))^1/1)+(((0.15*B3066*5))^2/2)+(((0.15*B3066*5))^3/6)+(((0.15*B3066*5))^4/24)+(((0.15*B3066*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3041*(1-MIN(100,(Inputs!$B$9+((C3054=TRUE)*(F3054-Calc!F26))+B3062+(ArtifactsInput!$M$24-ArtifactsInput!$M$24)*CHOOSE(ArtifactsInput!$N$24+1,10,12,14,16,18,20)+(IF(AND(Inputs!$B$39&lt;&gt;"pvp",Inputs!$B$44=0),1,IF(IF(Inputs!$B$39="pvp",15,Inputs!$B$44)-(B3073)&lt;=0,1,MAX(0,IF(Inputs!$B$39="pvp",15,Inputs!$B$44)-MAX(5,B3073))/(IF(Inputs!$B$39="pvp",15,Inputs!$B$44)-(B3073))))*IF(AND(ArtifactsInput!$M$42,((Inputs!$B$9+((C3054=TRUE)*(F3054-Calc!F26))+B3062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3041*(MIN(100,(Inputs!$B$9+((C3054=TRUE)*(F3054-Calc!F26))+B3062+(ArtifactsInput!$M$24-ArtifactsInput!$M$24)*CHOOSE(ArtifactsInput!$N$24+1,10,12,14,16,18,20)+(IF(AND(Inputs!$B$39&lt;&gt;"pvp",Inputs!$B$44=0),1,IF(IF(Inputs!$B$39="pvp",15,Inputs!$B$44)-(B3073)&lt;=0,1,MAX(0,IF(Inputs!$B$39="pvp",15,Inputs!$B$44)-MAX(5,B3073))/(IF(Inputs!$B$39="pvp",15,Inputs!$B$44)-(B3073))))*IF(AND(ArtifactsInput!$M$42,((Inputs!$B$9+((C3054=TRUE)*(F3054-Calc!F26))+B3062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3041*(1-MIN(100,(Inputs!$B$9+((C3054=TRUE)*(F3054-Calc!F26))+B3062+(ArtifactsInput!$M$24-ArtifactsInput!$M$24)*CHOOSE(ArtifactsInput!$N$24+1,10,12,14,16,18,20)+(IF(AND(Inputs!$B$39&lt;&gt;"pvp",Inputs!$B$44=0),1,IF(IF(Inputs!$B$39="pvp",15,Inputs!$B$44)-(B3073)&lt;=0,1,MAX(0,IF(Inputs!$B$39="pvp",15,Inputs!$B$44)-MAX(5,B3073))/(IF(Inputs!$B$39="pvp",15,Inputs!$B$44)-(B3073))))*IF(AND(ArtifactsInput!$M$42,((Inputs!$B$9+((C3054=TRUE)*(F3054-Calc!F26))+B3062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3041*(MIN(100,(Inputs!$B$9+((C3054=TRUE)*(F3054-Calc!F26))+B3062+(ArtifactsInput!$M$24-ArtifactsInput!$M$24)*CHOOSE(ArtifactsInput!$N$24+1,10,12,14,16,18,20)+(IF(AND(Inputs!$B$39&lt;&gt;"pvp",Inputs!$B$44=0),1,IF(IF(Inputs!$B$39="pvp",15,Inputs!$B$44)-(B3073)&lt;=0,1,MAX(0,IF(Inputs!$B$39="pvp",15,Inputs!$B$44)-MAX(5,B3073))/(IF(Inputs!$B$39="pvp",15,Inputs!$B$44)-(B3073))))*IF(AND(ArtifactsInput!$M$42,((Inputs!$B$9+((C3054=TRUE)*(F3054-Calc!F26))+B3062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3041">
        <f>IF(C3041,(H3041*N3041*IF(AND(Inputs!$B$39&lt;&gt;"pvp",Inputs!$B$44&gt;0),((Skills!G13*((R3041-1)*IF(Skills!H13&gt;0,Skills!I13/Skills!H13,1)+IF(Skills!H13&gt;0,MIN(Skills!I13,MAX(0,MAX(0,Inputs!$B$44-B3073)-((R3041-1)*IF(Inputs!$B$39="pvp",15,MAX(0.1,Skills!D13-IF(TRUE=TRUE,Inputs!$B$32,0))))))/Skills!H13,1)))/Inputs!$B$44),G3041*Q3041))*IF(Inputs!$B$39="pvp",1,(1+(Inputs!$B$21+Skills!Q13+B3063+(IF(ArtifactsInput!$M$33,CHOOSE(ArtifactsInput!$N$33+1,30,36,42,48,54,60),0))+(IF(AND(ArtifactsInput!$M$35,Inputs!$B$4&lt;&gt;"Chapter Hunt"),CHOOSE(ArtifactsInput!$N$35+1,15,18,21,24,27,30)*(1-EXP(-(0.2*B3066)*5)),0)+IF(AND(ArtifactsInput!$M$22,Inputs!$B$4&lt;&gt;"Chapter Hunt"),CHOOSE(ArtifactsInput!$N$22+1,10,12,14,16,18,20)*((0*(((0.15*B3066*5))^0/1)+1*(((0.15*B3066*5))^1/1)+2*(((0.15*B3066*5))^2/2)+3*(((0.15*B3066*5))^3/6)+4*(((0.15*B3066*5))^4/24)+5*(((0.15*B3066*5))^5/120))/((((0.15*B3066*5))^0/1)+(((0.15*B3066*5))^1/1)+(((0.15*B3066*5))^2/2)+(((0.15*B3066*5))^3/6)+(((0.15*B3066*5))^4/24)+(((0.15*B3066*5))^5/120))),0)))/100)*(MIN(Skills!W13,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3042">
      <c r="A3042">
        <f>Skills!A14</f>
        <v/>
      </c>
      <c r="B3042">
        <f>Skills!B14</f>
        <v/>
      </c>
      <c r="C3042">
        <f>Inputs!$B$3&gt;=105</f>
        <v/>
      </c>
      <c r="D3042">
        <f>IF(Skills!C14=1,60+Inputs!$B$25+Inputs!$B$29,IF(Skills!C14=2,90+Inputs!$B$26+Inputs!$B$29,IF(Skills!C14=3,120+Inputs!$B$27+Inputs!$B$29,MAX(0,(Inputs!$B$3-100)*3)+Inputs!$B$28+Inputs!$B$29)))</f>
        <v/>
      </c>
      <c r="E3042">
        <f>INDEX(FactorTable!$B$2:$Y$301, MATCH(ROUND(MIN(300,MAX(1,D3042)),0), FactorTable!$A$2:$A$301,0), Skills!M14+1)</f>
        <v/>
      </c>
      <c r="F3042">
        <f>IF(Skills!N14=TRUE,(Skills!L14/10)*(E3042/1000),Skills!L14/10)+Skills!O14</f>
        <v/>
      </c>
      <c r="G3042">
        <f>Skills!G14*IF(Skills!H14&gt;0,IF(Inputs!$B$39="pvp",MIN(Skills!I14,15),Skills!I14)/Skills!H14,1)</f>
        <v/>
      </c>
      <c r="H3042">
        <f>1-(1-Skills!J14/100)^Skills!K14</f>
        <v/>
      </c>
      <c r="I3042" t="inlineStr">
        <is>
          <t>1</t>
        </is>
      </c>
      <c r="J3042">
        <f>((Inputs!$B$6*(1+Inputs!$B$7/100))+(((Inputs!$B$12*(1+Inputs!$B$13/100))-(Inputs!$B$12*(1+Inputs!$B$13/100)))+0.25*(Inputs!$B$14-Inputs!$B$14))*(1+Inputs!$B$7/100))*(F3042/100)</f>
        <v/>
      </c>
      <c r="K3042">
        <f>J3042*(1+((Inputs!$B$12*(1+Inputs!$B$13/100))*0.01+Inputs!$B$14*0.0025)/100)*(1+Inputs!$B$15/100)*(1+Inputs!$B$16/100)*(5000/(6000+Inputs!$B$43*(1-(100*(1-(1-Inputs!$B$19/100)*(1-CHOOSE(ArtifactsInput!$N$40+1,5,6,7,8,9,10)/100)^(ArtifactsInput!$M$40-ArtifactsInput!$M$40)))/100)))*(1+(Inputs!$B$24+((C3059=TRUE)*(F3059-Calc!F31))+((C3046=TRUE)*(F3046-Calc!F18)))/100)*(1+(((1+IF(AND(ArtifactsInput!$M$36,IF(Inputs!$B$39="pvp",TRUE,AND(Inputs!$B$39&lt;&gt;"pvp",Inputs!$B$44&gt;0))),CHOOSE(ArtifactsInput!$N$36+1,8,9.6,11.2,12.8,14.4,16),0)/100)*(1+IF(AND(ArtifactsInput!$M$32,Inputs!$B$4&lt;&gt;"Chapter Hunt"),CHOOSE(ArtifactsInput!$N$32+1,8,9.6,11.2,12.8,14.4,16),0)/100)*(1+IF(AND(IF(ArtifactsInput!$M$38,FALSE,TRUE),Inputs!$B$39&lt;&gt;"pvp",Inputs!$B$44&gt;0),CHOOSE(ArtifactsInput!$N$38+1,10,12,14,16,18,20)*(MIN(30,MAX(0,Inputs!$B$44-7))/Inputs!$B$44)*IF(Inputs!$B$4="Chapter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14="CRUEL_STAB",Inputs!$B$17+((C3056=TRUE)*(F3056-Calc!F28))+((IF(AND(Inputs!$B$39&lt;&gt;"pvp",Inputs!$B$44=0),1,IF(IF(Inputs!$B$39="pvp",15,Inputs!$B$44)-(B3073)&lt;=0,1,MAX(0,IF(Inputs!$B$39="pvp",15,Inputs!$B$44)-MAX(5,B3073))/(IF(Inputs!$B$39="pvp",15,Inputs!$B$44)-(B3073))))*(IF(AND(ArtifactsInput!$M$42,((Inputs!$B$9+((C3054=TRUE)*(F3054-Calc!F26))+B3062+(ArtifactsInput!$M$24-ArtifactsInput!$M$24)*CHOOSE(ArtifactsInput!$N$24+1,10,12,14,16,18,20)+IF(ArtifactsInput!$M$10,CHOOSE(ArtifactsInput!$N$10+1,15,18,21,24,27,30)*(IF(Inputs!$B$39="pvp",MIN(15,15)/15,IF(AND(Inputs!$B$39&lt;&gt;"pvp",Inputs!$B$44&gt;0),MIN(15,Inputs!$B$44)/(Inputs!$B$44),0))),0)))&gt;=100),MIN(100,((Inputs!$B$9+((C3054=TRUE)*(F3054-Calc!F26))+B3062+(ArtifactsInput!$M$24-ArtifactsInput!$M$24)*CHOOSE(ArtifactsInput!$N$24+1,10,12,14,16,18,20)+IF(ArtifactsInput!$M$10,CHOOSE(ArtifactsInput!$N$10+1,15,18,21,24,27,30)*(IF(Inputs!$B$39="pvp",MIN(15,15)/15,IF(AND(Inputs!$B$39&lt;&gt;"pvp",Inputs!$B$44&gt;0),MIN(15,Inputs!$B$44)/(Inputs!$B$44),0))),0)))-100),0))*CHOOSE(ArtifactsInput!$N$42+1,0.6,0.72,0.84,0.96,1.08,1.2))),Inputs!$B$18+((C3057=TRUE)*(F3057-Calc!F29))+(IF(AND(Inputs!$B$39&lt;&gt;"pvp",Inputs!$B$44=0),1,IF(IF(Inputs!$B$39="pvp",15,Inputs!$B$44)-(B3073)&lt;=0,1,MAX(0,IF(Inputs!$B$39="pvp",15,Inputs!$B$44)-MAX(5,B3073))/(IF(Inputs!$B$39="pvp",15,Inputs!$B$44)-(B3073))))*IF(AND(ArtifactsInput!$M$42,((Inputs!$B$9+((C3054=TRUE)*(F3054-Calc!F26))+B3062+(ArtifactsInput!$M$24-ArtifactsInput!$M$24)*CHOOSE(ArtifactsInput!$N$24+1,10,12,14,16,18,20)+IF(ArtifactsInput!$M$10,CHOOSE(ArtifactsInput!$N$10+1,15,18,21,24,27,30)*(IF(Inputs!$B$39="pvp",MIN(15,15)/15,IF(AND(Inputs!$B$39&lt;&gt;"pvp",Inputs!$B$44&gt;0),MIN(15,Inputs!$B$44)/(Inputs!$B$44),0))),0)))&gt;=100),CHOOSE(ArtifactsInput!$N$42+1,40,48,56,64,72,80),0))))/100)*(((1+(((C3050=TRUE)*F3050*IF(AND(Inputs!$B$39&lt;&gt;"pvp",Inputs!$B$44&gt;0),(((R3050-1)*MIN((Skills!Y22*(1+Inputs!$B$34/100)),(1/Q3050))+MIN((Skills!Y22*(1+Inputs!$B$34/100)),MAX(0,Inputs!$B$44-((R3050-1)*(1/Q3050)))))/Inputs!$B$44),IF(Inputs!$B$39="pvp",MIN((Skills!Y22*(1+Inputs!$B$34/100)),15)/15,MIN(1,(Skills!Y22*(1+Inputs!$B$34/100))/(1/Q3050)))))+((C3031=TRUE)*F3031*3)+((C3033=TRUE)*F3033*(1-EXP(-0.75*B3066*5)))+((C3052=TRUE)*(F3052-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3039=TRUE)*F3039*IF(AND(Inputs!$B$39&lt;&gt;"pvp",Inputs!$B$44&gt;0),(((R3039-1)*MIN((Skills!Y11*(1+Inputs!$B$34/100)),(1/Q3039))+MIN((Skills!Y11*(1+Inputs!$B$34/100)),MAX(0,Inputs!$B$44-((R3039-1)*(1/Q3039)))))/Inputs!$B$44),IF(Inputs!$B$39="pvp",MIN((Skills!Y11*(1+Inputs!$B$34/100)),15)/15,MIN(1,(Skills!Y11*(1+Inputs!$B$34/100))/(1/Q3039)))))/100)*(1+((C3044=TRUE)*F3044*IF(AND(Inputs!$B$39&lt;&gt;"pvp",Inputs!$B$44&gt;0),(((R3044-1)*MIN((Skills!Y16*(1+Inputs!$B$34/100)),(1/Q3044))+MIN((Skills!Y16*(1+Inputs!$B$34/100)),MAX(0,Inputs!$B$44-((R3044-1)*(1/Q3044)))))/Inputs!$B$44),IF(Inputs!$B$39="pvp",MIN((Skills!Y16*(1+Inputs!$B$34/100)),15)/15,MIN(1,(Skills!Y16*(1+Inputs!$B$34/100))/(1/Q3044)))))/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3064*I3042)</f>
        <v/>
      </c>
      <c r="L3042">
        <f>K3042*(MIN(Inputs!$B$22+((C3053=TRUE)*(F3053-Calc!F25)),(Inputs!$B$23+((C3058=TRUE)*(F3058-Calc!F30))+IF(ArtifactsInput!$M$15,CHOOSE(ArtifactsInput!$N$15+1,25,30,35,40,45,50)/100*(Inputs!$B$11-Inputs!$B$11),0)))/100+(Inputs!$B$23+((C3058=TRUE)*(F3058-Calc!F30))+IF(ArtifactsInput!$M$15,CHOOSE(ArtifactsInput!$N$15+1,25,30,35,40,45,50)/100*(Inputs!$B$11-Inputs!$B$11),0))/100)/2</f>
        <v/>
      </c>
      <c r="M3042">
        <f>L3042*(1+(Inputs!$B$10+((C3055=TRUE)*(F3055-Calc!F27))+B3069+(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3042">
        <f>L3042*(1-MIN((Inputs!$B$9+((C3054=TRUE)*(F3054-Calc!F26))+B3062+(ArtifactsInput!$M$24-ArtifactsInput!$M$24)*CHOOSE(ArtifactsInput!$N$24+1,10,12,14,16,18,20)+(IF(AND(Inputs!$B$39&lt;&gt;"pvp",Inputs!$B$44=0),1,IF(IF(Inputs!$B$39="pvp",15,Inputs!$B$44)-(B3073)&lt;=0,1,MAX(0,IF(Inputs!$B$39="pvp",15,Inputs!$B$44)-MAX(5,B3073))/(IF(Inputs!$B$39="pvp",15,Inputs!$B$44)-(B3073))))*IF(AND(ArtifactsInput!$M$42,((Inputs!$B$9+((C3054=TRUE)*(F3054-Calc!F26))+B3062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3042*(MIN((Inputs!$B$9+((C3054=TRUE)*(F3054-Calc!F26))+B3062+(ArtifactsInput!$M$24-ArtifactsInput!$M$24)*CHOOSE(ArtifactsInput!$N$24+1,10,12,14,16,18,20)+(IF(AND(Inputs!$B$39&lt;&gt;"pvp",Inputs!$B$44=0),1,IF(IF(Inputs!$B$39="pvp",15,Inputs!$B$44)-(B3073)&lt;=0,1,MAX(0,IF(Inputs!$B$39="pvp",15,Inputs!$B$44)-MAX(5,B3073))/(IF(Inputs!$B$39="pvp",15,Inputs!$B$44)-(B3073))))*IF(AND(ArtifactsInput!$M$42,((Inputs!$B$9+((C3054=TRUE)*(F3054-Calc!F26))+B3062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3042">
        <f>(1-Summary!$B$11)*T3042+Summary!$B$11*V3042</f>
        <v/>
      </c>
      <c r="P3042">
        <f>IF(B3074=0,0,O3042/B3074)</f>
        <v/>
      </c>
      <c r="Q3042">
        <f>IFERROR(1/IF(Inputs!$B$39="pvp",15,MAX(0.1,Skills!D14-IF(TRUE=TRUE,Inputs!$B$32,0))),0)</f>
        <v/>
      </c>
      <c r="R3042">
        <f>IF(AND(Inputs!$B$39&lt;&gt;"pvp",Inputs!$B$44&gt;0),IF(MAX(0,Inputs!$B$44-B3073)&lt;=0,0,(INT(MAX(0,Inputs!$B$44-B3073)/IF(Inputs!$B$39="pvp",15,MAX(0.1,Skills!D14-IF(TRUE=TRUE,Inputs!$B$32,0))))+1)),0)</f>
        <v/>
      </c>
      <c r="S3042">
        <f>IFERROR(O3042/N3042,0)</f>
        <v/>
      </c>
      <c r="T3042">
        <f>IF(C3042,(H3042*N3042*IF(AND(Inputs!$B$39&lt;&gt;"pvp",Inputs!$B$44&gt;0),((Skills!G14*((R3042-1)*IF(Skills!H14&gt;0,Skills!I14/Skills!H14,1)+IF(Skills!H14&gt;0,MIN(Skills!I14,MAX(0,MAX(0,Inputs!$B$44-B3073)-((R3042-1)*IF(Inputs!$B$39="pvp",15,MAX(0.1,Skills!D14-IF(TRUE=TRUE,Inputs!$B$32,0))))))/Skills!H14,1)))/Inputs!$B$44),G3042*Q3042))*IF(Inputs!$B$39="pvp",1,1+(Inputs!$B$20+0+Skills!P14+B3063+(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Hunt"),CHOOSE(ArtifactsInput!$N$35+1,15,18,21,24,27,30)*(1-EXP(-(0.2*B3066)*5)),0)+IF(AND(ArtifactsInput!$M$22,Inputs!$B$4&lt;&gt;"Chapter Hunt"),CHOOSE(ArtifactsInput!$N$22+1,10,12,14,16,18,20)*((0*(((0.15*B3066*5))^0/1)+1*(((0.15*B3066*5))^1/1)+2*(((0.15*B3066*5))^2/2)+3*(((0.15*B3066*5))^3/6)+4*(((0.15*B3066*5))^4/24)+5*(((0.15*B3066*5))^5/120))/((((0.15*B3066*5))^0/1)+(((0.15*B3066*5))^1/1)+(((0.15*B3066*5))^2/2)+(((0.15*B3066*5))^3/6)+(((0.15*B3066*5))^4/24)+(((0.15*B3066*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3042*(1-MIN(100,(Inputs!$B$9+((C3054=TRUE)*(F3054-Calc!F26))+B3062+(ArtifactsInput!$M$24-ArtifactsInput!$M$24)*CHOOSE(ArtifactsInput!$N$24+1,10,12,14,16,18,20)+(IF(AND(Inputs!$B$39&lt;&gt;"pvp",Inputs!$B$44=0),1,IF(IF(Inputs!$B$39="pvp",15,Inputs!$B$44)-(B3073)&lt;=0,1,MAX(0,IF(Inputs!$B$39="pvp",15,Inputs!$B$44)-MAX(5,B3073))/(IF(Inputs!$B$39="pvp",15,Inputs!$B$44)-(B3073))))*IF(AND(ArtifactsInput!$M$42,((Inputs!$B$9+((C3054=TRUE)*(F3054-Calc!F26))+B3062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3042*(MIN(100,(Inputs!$B$9+((C3054=TRUE)*(F3054-Calc!F26))+B3062+(ArtifactsInput!$M$24-ArtifactsInput!$M$24)*CHOOSE(ArtifactsInput!$N$24+1,10,12,14,16,18,20)+(IF(AND(Inputs!$B$39&lt;&gt;"pvp",Inputs!$B$44=0),1,IF(IF(Inputs!$B$39="pvp",15,Inputs!$B$44)-(B3073)&lt;=0,1,MAX(0,IF(Inputs!$B$39="pvp",15,Inputs!$B$44)-MAX(5,B3073))/(IF(Inputs!$B$39="pvp",15,Inputs!$B$44)-(B3073))))*IF(AND(ArtifactsInput!$M$42,((Inputs!$B$9+((C3054=TRUE)*(F3054-Calc!F26))+B3062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3042*(1-MIN(100,(Inputs!$B$9+((C3054=TRUE)*(F3054-Calc!F26))+B3062+(ArtifactsInput!$M$24-ArtifactsInput!$M$24)*CHOOSE(ArtifactsInput!$N$24+1,10,12,14,16,18,20)+(IF(AND(Inputs!$B$39&lt;&gt;"pvp",Inputs!$B$44=0),1,IF(IF(Inputs!$B$39="pvp",15,Inputs!$B$44)-(B3073)&lt;=0,1,MAX(0,IF(Inputs!$B$39="pvp",15,Inputs!$B$44)-MAX(5,B3073))/(IF(Inputs!$B$39="pvp",15,Inputs!$B$44)-(B3073))))*IF(AND(ArtifactsInput!$M$42,((Inputs!$B$9+((C3054=TRUE)*(F3054-Calc!F26))+B3062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3042*(MIN(100,(Inputs!$B$9+((C3054=TRUE)*(F3054-Calc!F26))+B3062+(ArtifactsInput!$M$24-ArtifactsInput!$M$24)*CHOOSE(ArtifactsInput!$N$24+1,10,12,14,16,18,20)+(IF(AND(Inputs!$B$39&lt;&gt;"pvp",Inputs!$B$44=0),1,IF(IF(Inputs!$B$39="pvp",15,Inputs!$B$44)-(B3073)&lt;=0,1,MAX(0,IF(Inputs!$B$39="pvp",15,Inputs!$B$44)-MAX(5,B3073))/(IF(Inputs!$B$39="pvp",15,Inputs!$B$44)-(B3073))))*IF(AND(ArtifactsInput!$M$42,((Inputs!$B$9+((C3054=TRUE)*(F3054-Calc!F26))+B3062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3042">
        <f>IF(C3042,(H3042*N3042*IF(AND(Inputs!$B$39&lt;&gt;"pvp",Inputs!$B$44&gt;0),((Skills!G14*((R3042-1)*IF(Skills!H14&gt;0,Skills!I14/Skills!H14,1)+IF(Skills!H14&gt;0,MIN(Skills!I14,MAX(0,MAX(0,Inputs!$B$44-B3073)-((R3042-1)*IF(Inputs!$B$39="pvp",15,MAX(0.1,Skills!D14-IF(TRUE=TRUE,Inputs!$B$32,0))))))/Skills!H14,1)))/Inputs!$B$44),G3042*Q3042))*IF(Inputs!$B$39="pvp",1,(1+(Inputs!$B$21+Skills!Q14+B3063+(IF(ArtifactsInput!$M$33,CHOOSE(ArtifactsInput!$N$33+1,30,36,42,48,54,60),0))+(IF(AND(ArtifactsInput!$M$35,Inputs!$B$4&lt;&gt;"Chapter Hunt"),CHOOSE(ArtifactsInput!$N$35+1,15,18,21,24,27,30)*(1-EXP(-(0.2*B3066)*5)),0)+IF(AND(ArtifactsInput!$M$22,Inputs!$B$4&lt;&gt;"Chapter Hunt"),CHOOSE(ArtifactsInput!$N$22+1,10,12,14,16,18,20)*((0*(((0.15*B3066*5))^0/1)+1*(((0.15*B3066*5))^1/1)+2*(((0.15*B3066*5))^2/2)+3*(((0.15*B3066*5))^3/6)+4*(((0.15*B3066*5))^4/24)+5*(((0.15*B3066*5))^5/120))/((((0.15*B3066*5))^0/1)+(((0.15*B3066*5))^1/1)+(((0.15*B3066*5))^2/2)+(((0.15*B3066*5))^3/6)+(((0.15*B3066*5))^4/24)+(((0.15*B3066*5))^5/120))),0)))/100)*(MIN(Skills!W14,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3043">
      <c r="A3043">
        <f>Skills!A15</f>
        <v/>
      </c>
      <c r="B3043">
        <f>Skills!B15</f>
        <v/>
      </c>
      <c r="C3043">
        <f>Inputs!$B$3&gt;=107</f>
        <v/>
      </c>
      <c r="D3043">
        <f>IF(Skills!C15=1,60+Inputs!$B$25+Inputs!$B$29,IF(Skills!C15=2,90+Inputs!$B$26+Inputs!$B$29,IF(Skills!C15=3,120+Inputs!$B$27+Inputs!$B$29,MAX(0,(Inputs!$B$3-100)*3)+Inputs!$B$28+Inputs!$B$29)))</f>
        <v/>
      </c>
      <c r="E3043">
        <f>INDEX(FactorTable!$B$2:$Y$301, MATCH(ROUND(MIN(300,MAX(1,D3043)),0), FactorTable!$A$2:$A$301,0), Skills!M15+1)</f>
        <v/>
      </c>
      <c r="F3043">
        <f>IF(Skills!N15=TRUE,(Skills!L15/10)*(E3043/1000),Skills!L15/10)+Skills!O15</f>
        <v/>
      </c>
      <c r="G3043">
        <f>Skills!G15*IF(Skills!H15&gt;0,IF(Inputs!$B$39="pvp",MIN(Skills!I15,15),Skills!I15)/Skills!H15,1)</f>
        <v/>
      </c>
      <c r="H3043">
        <f>1-(1-Skills!J15/100)^Skills!K15</f>
        <v/>
      </c>
      <c r="I3043" t="inlineStr">
        <is>
          <t>1</t>
        </is>
      </c>
      <c r="J3043">
        <f>((Inputs!$B$6*(1+Inputs!$B$7/100))+(((Inputs!$B$12*(1+Inputs!$B$13/100))-(Inputs!$B$12*(1+Inputs!$B$13/100)))+0.25*(Inputs!$B$14-Inputs!$B$14))*(1+Inputs!$B$7/100))*(F3043/100)</f>
        <v/>
      </c>
      <c r="K3043">
        <f>J3043*(1+((Inputs!$B$12*(1+Inputs!$B$13/100))*0.01+Inputs!$B$14*0.0025)/100)*(1+Inputs!$B$15/100)*(1+Inputs!$B$16/100)*(5000/(6000+Inputs!$B$43*(1-(100*(1-(1-Inputs!$B$19/100)*(1-CHOOSE(ArtifactsInput!$N$40+1,5,6,7,8,9,10)/100)^(ArtifactsInput!$M$40-ArtifactsInput!$M$40)))/100)))*(1+(Inputs!$B$24+((C3059=TRUE)*(F3059-Calc!F31))+((C3046=TRUE)*(F3046-Calc!F18)))/100)*(1+(((1+IF(AND(ArtifactsInput!$M$36,IF(Inputs!$B$39="pvp",TRUE,AND(Inputs!$B$39&lt;&gt;"pvp",Inputs!$B$44&gt;0))),CHOOSE(ArtifactsInput!$N$36+1,8,9.6,11.2,12.8,14.4,16),0)/100)*(1+IF(AND(ArtifactsInput!$M$32,Inputs!$B$4&lt;&gt;"Chapter Hunt"),CHOOSE(ArtifactsInput!$N$32+1,8,9.6,11.2,12.8,14.4,16),0)/100)*(1+IF(AND(IF(ArtifactsInput!$M$38,FALSE,TRUE),Inputs!$B$39&lt;&gt;"pvp",Inputs!$B$44&gt;0),CHOOSE(ArtifactsInput!$N$38+1,10,12,14,16,18,20)*(MIN(30,MAX(0,Inputs!$B$44-7))/Inputs!$B$44)*IF(Inputs!$B$4="Chapter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15="CRUEL_STAB",Inputs!$B$17+((C3056=TRUE)*(F3056-Calc!F28))+((IF(AND(Inputs!$B$39&lt;&gt;"pvp",Inputs!$B$44=0),1,IF(IF(Inputs!$B$39="pvp",15,Inputs!$B$44)-(B3073)&lt;=0,1,MAX(0,IF(Inputs!$B$39="pvp",15,Inputs!$B$44)-MAX(5,B3073))/(IF(Inputs!$B$39="pvp",15,Inputs!$B$44)-(B3073))))*(IF(AND(ArtifactsInput!$M$42,((Inputs!$B$9+((C3054=TRUE)*(F3054-Calc!F26))+B3062+(ArtifactsInput!$M$24-ArtifactsInput!$M$24)*CHOOSE(ArtifactsInput!$N$24+1,10,12,14,16,18,20)+IF(ArtifactsInput!$M$10,CHOOSE(ArtifactsInput!$N$10+1,15,18,21,24,27,30)*(IF(Inputs!$B$39="pvp",MIN(15,15)/15,IF(AND(Inputs!$B$39&lt;&gt;"pvp",Inputs!$B$44&gt;0),MIN(15,Inputs!$B$44)/(Inputs!$B$44),0))),0)))&gt;=100),MIN(100,((Inputs!$B$9+((C3054=TRUE)*(F3054-Calc!F26))+B3062+(ArtifactsInput!$M$24-ArtifactsInput!$M$24)*CHOOSE(ArtifactsInput!$N$24+1,10,12,14,16,18,20)+IF(ArtifactsInput!$M$10,CHOOSE(ArtifactsInput!$N$10+1,15,18,21,24,27,30)*(IF(Inputs!$B$39="pvp",MIN(15,15)/15,IF(AND(Inputs!$B$39&lt;&gt;"pvp",Inputs!$B$44&gt;0),MIN(15,Inputs!$B$44)/(Inputs!$B$44),0))),0)))-100),0))*CHOOSE(ArtifactsInput!$N$42+1,0.6,0.72,0.84,0.96,1.08,1.2))),Inputs!$B$18+((C3057=TRUE)*(F3057-Calc!F29))+(IF(AND(Inputs!$B$39&lt;&gt;"pvp",Inputs!$B$44=0),1,IF(IF(Inputs!$B$39="pvp",15,Inputs!$B$44)-(B3073)&lt;=0,1,MAX(0,IF(Inputs!$B$39="pvp",15,Inputs!$B$44)-MAX(5,B3073))/(IF(Inputs!$B$39="pvp",15,Inputs!$B$44)-(B3073))))*IF(AND(ArtifactsInput!$M$42,((Inputs!$B$9+((C3054=TRUE)*(F3054-Calc!F26))+B3062+(ArtifactsInput!$M$24-ArtifactsInput!$M$24)*CHOOSE(ArtifactsInput!$N$24+1,10,12,14,16,18,20)+IF(ArtifactsInput!$M$10,CHOOSE(ArtifactsInput!$N$10+1,15,18,21,24,27,30)*(IF(Inputs!$B$39="pvp",MIN(15,15)/15,IF(AND(Inputs!$B$39&lt;&gt;"pvp",Inputs!$B$44&gt;0),MIN(15,Inputs!$B$44)/(Inputs!$B$44),0))),0)))&gt;=100),CHOOSE(ArtifactsInput!$N$42+1,40,48,56,64,72,80),0))))/100)*(((1+(((C3050=TRUE)*F3050*IF(AND(Inputs!$B$39&lt;&gt;"pvp",Inputs!$B$44&gt;0),(((R3050-1)*MIN((Skills!Y22*(1+Inputs!$B$34/100)),(1/Q3050))+MIN((Skills!Y22*(1+Inputs!$B$34/100)),MAX(0,Inputs!$B$44-((R3050-1)*(1/Q3050)))))/Inputs!$B$44),IF(Inputs!$B$39="pvp",MIN((Skills!Y22*(1+Inputs!$B$34/100)),15)/15,MIN(1,(Skills!Y22*(1+Inputs!$B$34/100))/(1/Q3050)))))+((C3031=TRUE)*F3031*3)+((C3033=TRUE)*F3033*(1-EXP(-0.75*B3066*5)))+((C3052=TRUE)*(F3052-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3039=TRUE)*F3039*IF(AND(Inputs!$B$39&lt;&gt;"pvp",Inputs!$B$44&gt;0),(((R3039-1)*MIN((Skills!Y11*(1+Inputs!$B$34/100)),(1/Q3039))+MIN((Skills!Y11*(1+Inputs!$B$34/100)),MAX(0,Inputs!$B$44-((R3039-1)*(1/Q3039)))))/Inputs!$B$44),IF(Inputs!$B$39="pvp",MIN((Skills!Y11*(1+Inputs!$B$34/100)),15)/15,MIN(1,(Skills!Y11*(1+Inputs!$B$34/100))/(1/Q3039)))))/100)*(1+((C3044=TRUE)*F3044*IF(AND(Inputs!$B$39&lt;&gt;"pvp",Inputs!$B$44&gt;0),(((R3044-1)*MIN((Skills!Y16*(1+Inputs!$B$34/100)),(1/Q3044))+MIN((Skills!Y16*(1+Inputs!$B$34/100)),MAX(0,Inputs!$B$44-((R3044-1)*(1/Q3044)))))/Inputs!$B$44),IF(Inputs!$B$39="pvp",MIN((Skills!Y16*(1+Inputs!$B$34/100)),15)/15,MIN(1,(Skills!Y16*(1+Inputs!$B$34/100))/(1/Q3044)))))/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3064*I3043)</f>
        <v/>
      </c>
      <c r="L3043">
        <f>K3043*(MIN(Inputs!$B$22+((C3053=TRUE)*(F3053-Calc!F25)),(Inputs!$B$23+((C3058=TRUE)*(F3058-Calc!F30))+IF(ArtifactsInput!$M$15,CHOOSE(ArtifactsInput!$N$15+1,25,30,35,40,45,50)/100*(Inputs!$B$11-Inputs!$B$11),0)))/100+(Inputs!$B$23+((C3058=TRUE)*(F3058-Calc!F30))+IF(ArtifactsInput!$M$15,CHOOSE(ArtifactsInput!$N$15+1,25,30,35,40,45,50)/100*(Inputs!$B$11-Inputs!$B$11),0))/100)/2</f>
        <v/>
      </c>
      <c r="M3043">
        <f>L3043*(1+(Inputs!$B$10+((C3055=TRUE)*(F3055-Calc!F27))+B3069+(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3043">
        <f>L3043*(1-MIN((Inputs!$B$9+((C3054=TRUE)*(F3054-Calc!F26))+B3062+(ArtifactsInput!$M$24-ArtifactsInput!$M$24)*CHOOSE(ArtifactsInput!$N$24+1,10,12,14,16,18,20)+(IF(AND(Inputs!$B$39&lt;&gt;"pvp",Inputs!$B$44=0),1,IF(IF(Inputs!$B$39="pvp",15,Inputs!$B$44)-(B3073)&lt;=0,1,MAX(0,IF(Inputs!$B$39="pvp",15,Inputs!$B$44)-MAX(5,B3073))/(IF(Inputs!$B$39="pvp",15,Inputs!$B$44)-(B3073))))*IF(AND(ArtifactsInput!$M$42,((Inputs!$B$9+((C3054=TRUE)*(F3054-Calc!F26))+B3062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3043*(MIN((Inputs!$B$9+((C3054=TRUE)*(F3054-Calc!F26))+B3062+(ArtifactsInput!$M$24-ArtifactsInput!$M$24)*CHOOSE(ArtifactsInput!$N$24+1,10,12,14,16,18,20)+(IF(AND(Inputs!$B$39&lt;&gt;"pvp",Inputs!$B$44=0),1,IF(IF(Inputs!$B$39="pvp",15,Inputs!$B$44)-(B3073)&lt;=0,1,MAX(0,IF(Inputs!$B$39="pvp",15,Inputs!$B$44)-MAX(5,B3073))/(IF(Inputs!$B$39="pvp",15,Inputs!$B$44)-(B3073))))*IF(AND(ArtifactsInput!$M$42,((Inputs!$B$9+((C3054=TRUE)*(F3054-Calc!F26))+B3062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3043">
        <f>(1-Summary!$B$11)*T3043+Summary!$B$11*V3043</f>
        <v/>
      </c>
      <c r="P3043">
        <f>IF(B3074=0,0,O3043/B3074)</f>
        <v/>
      </c>
      <c r="Q3043">
        <f>IFERROR(1/IF(Inputs!$B$39="pvp",15,MAX(0.1,Skills!D15-IF(TRUE=TRUE,Inputs!$B$32,0))),0)</f>
        <v/>
      </c>
      <c r="R3043">
        <f>IF(AND(Inputs!$B$39&lt;&gt;"pvp",Inputs!$B$44&gt;0),IF(MAX(0,Inputs!$B$44-B3073)&lt;=0,0,(INT(MAX(0,Inputs!$B$44-B3073)/IF(Inputs!$B$39="pvp",15,MAX(0.1,Skills!D15-IF(TRUE=TRUE,Inputs!$B$32,0))))+1)),0)</f>
        <v/>
      </c>
      <c r="S3043">
        <f>IFERROR(O3043/N3043,0)</f>
        <v/>
      </c>
      <c r="T3043">
        <f>IF(C3043,(H3043*N3043*IF(AND(Inputs!$B$39&lt;&gt;"pvp",Inputs!$B$44&gt;0),((Skills!G15*((R3043-1)*IF(Skills!H15&gt;0,Skills!I15/Skills!H15,1)+IF(Skills!H15&gt;0,MIN(Skills!I15,MAX(0,MAX(0,Inputs!$B$44-B3073)-((R3043-1)*IF(Inputs!$B$39="pvp",15,MAX(0.1,Skills!D15-IF(TRUE=TRUE,Inputs!$B$32,0))))))/Skills!H15,1)))/Inputs!$B$44),G3043*Q3043))*IF(Inputs!$B$39="pvp",1,1+(Inputs!$B$20+0+Skills!P15+B3063+(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Hunt"),CHOOSE(ArtifactsInput!$N$35+1,15,18,21,24,27,30)*(1-EXP(-(0.2*B3066)*5)),0)+IF(AND(ArtifactsInput!$M$22,Inputs!$B$4&lt;&gt;"Chapter Hunt"),CHOOSE(ArtifactsInput!$N$22+1,10,12,14,16,18,20)*((0*(((0.15*B3066*5))^0/1)+1*(((0.15*B3066*5))^1/1)+2*(((0.15*B3066*5))^2/2)+3*(((0.15*B3066*5))^3/6)+4*(((0.15*B3066*5))^4/24)+5*(((0.15*B3066*5))^5/120))/((((0.15*B3066*5))^0/1)+(((0.15*B3066*5))^1/1)+(((0.15*B3066*5))^2/2)+(((0.15*B3066*5))^3/6)+(((0.15*B3066*5))^4/24)+(((0.15*B3066*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3043*(1-MIN(100,(Inputs!$B$9+((C3054=TRUE)*(F3054-Calc!F26))+B3062+(ArtifactsInput!$M$24-ArtifactsInput!$M$24)*CHOOSE(ArtifactsInput!$N$24+1,10,12,14,16,18,20)+(IF(AND(Inputs!$B$39&lt;&gt;"pvp",Inputs!$B$44=0),1,IF(IF(Inputs!$B$39="pvp",15,Inputs!$B$44)-(B3073)&lt;=0,1,MAX(0,IF(Inputs!$B$39="pvp",15,Inputs!$B$44)-MAX(5,B3073))/(IF(Inputs!$B$39="pvp",15,Inputs!$B$44)-(B3073))))*IF(AND(ArtifactsInput!$M$42,((Inputs!$B$9+((C3054=TRUE)*(F3054-Calc!F26))+B3062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3043*(MIN(100,(Inputs!$B$9+((C3054=TRUE)*(F3054-Calc!F26))+B3062+(ArtifactsInput!$M$24-ArtifactsInput!$M$24)*CHOOSE(ArtifactsInput!$N$24+1,10,12,14,16,18,20)+(IF(AND(Inputs!$B$39&lt;&gt;"pvp",Inputs!$B$44=0),1,IF(IF(Inputs!$B$39="pvp",15,Inputs!$B$44)-(B3073)&lt;=0,1,MAX(0,IF(Inputs!$B$39="pvp",15,Inputs!$B$44)-MAX(5,B3073))/(IF(Inputs!$B$39="pvp",15,Inputs!$B$44)-(B3073))))*IF(AND(ArtifactsInput!$M$42,((Inputs!$B$9+((C3054=TRUE)*(F3054-Calc!F26))+B3062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3043*(1-MIN(100,(Inputs!$B$9+((C3054=TRUE)*(F3054-Calc!F26))+B3062+(ArtifactsInput!$M$24-ArtifactsInput!$M$24)*CHOOSE(ArtifactsInput!$N$24+1,10,12,14,16,18,20)+(IF(AND(Inputs!$B$39&lt;&gt;"pvp",Inputs!$B$44=0),1,IF(IF(Inputs!$B$39="pvp",15,Inputs!$B$44)-(B3073)&lt;=0,1,MAX(0,IF(Inputs!$B$39="pvp",15,Inputs!$B$44)-MAX(5,B3073))/(IF(Inputs!$B$39="pvp",15,Inputs!$B$44)-(B3073))))*IF(AND(ArtifactsInput!$M$42,((Inputs!$B$9+((C3054=TRUE)*(F3054-Calc!F26))+B3062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3043*(MIN(100,(Inputs!$B$9+((C3054=TRUE)*(F3054-Calc!F26))+B3062+(ArtifactsInput!$M$24-ArtifactsInput!$M$24)*CHOOSE(ArtifactsInput!$N$24+1,10,12,14,16,18,20)+(IF(AND(Inputs!$B$39&lt;&gt;"pvp",Inputs!$B$44=0),1,IF(IF(Inputs!$B$39="pvp",15,Inputs!$B$44)-(B3073)&lt;=0,1,MAX(0,IF(Inputs!$B$39="pvp",15,Inputs!$B$44)-MAX(5,B3073))/(IF(Inputs!$B$39="pvp",15,Inputs!$B$44)-(B3073))))*IF(AND(ArtifactsInput!$M$42,((Inputs!$B$9+((C3054=TRUE)*(F3054-Calc!F26))+B3062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3043">
        <f>IF(C3043,(H3043*N3043*IF(AND(Inputs!$B$39&lt;&gt;"pvp",Inputs!$B$44&gt;0),((Skills!G15*((R3043-1)*IF(Skills!H15&gt;0,Skills!I15/Skills!H15,1)+IF(Skills!H15&gt;0,MIN(Skills!I15,MAX(0,MAX(0,Inputs!$B$44-B3073)-((R3043-1)*IF(Inputs!$B$39="pvp",15,MAX(0.1,Skills!D15-IF(TRUE=TRUE,Inputs!$B$32,0))))))/Skills!H15,1)))/Inputs!$B$44),G3043*Q3043))*IF(Inputs!$B$39="pvp",1,(1+(Inputs!$B$21+Skills!Q15+B3063+(IF(ArtifactsInput!$M$33,CHOOSE(ArtifactsInput!$N$33+1,30,36,42,48,54,60),0))+(IF(AND(ArtifactsInput!$M$35,Inputs!$B$4&lt;&gt;"Chapter Hunt"),CHOOSE(ArtifactsInput!$N$35+1,15,18,21,24,27,30)*(1-EXP(-(0.2*B3066)*5)),0)+IF(AND(ArtifactsInput!$M$22,Inputs!$B$4&lt;&gt;"Chapter Hunt"),CHOOSE(ArtifactsInput!$N$22+1,10,12,14,16,18,20)*((0*(((0.15*B3066*5))^0/1)+1*(((0.15*B3066*5))^1/1)+2*(((0.15*B3066*5))^2/2)+3*(((0.15*B3066*5))^3/6)+4*(((0.15*B3066*5))^4/24)+5*(((0.15*B3066*5))^5/120))/((((0.15*B3066*5))^0/1)+(((0.15*B3066*5))^1/1)+(((0.15*B3066*5))^2/2)+(((0.15*B3066*5))^3/6)+(((0.15*B3066*5))^4/24)+(((0.15*B3066*5))^5/120))),0)))/100)*(MIN(MIN(5,0.5*IF(Inputs!$B$3&gt;=75,0.75,0.5)*B3066*(1/Q3032))*Skills!V15,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3044">
      <c r="A3044">
        <f>Skills!A16</f>
        <v/>
      </c>
      <c r="B3044">
        <f>Skills!B16</f>
        <v/>
      </c>
      <c r="C3044">
        <f>Inputs!$B$3&gt;=110</f>
        <v/>
      </c>
      <c r="D3044">
        <f>IF(Skills!C16=1,60+Inputs!$B$25+Inputs!$B$29,IF(Skills!C16=2,90+Inputs!$B$26+Inputs!$B$29,IF(Skills!C16=3,120+Inputs!$B$27+Inputs!$B$29,MAX(0,(Inputs!$B$3-100)*3)+Inputs!$B$28+Inputs!$B$29)))</f>
        <v/>
      </c>
      <c r="E3044">
        <f>INDEX(FactorTable!$B$2:$Y$301, MATCH(ROUND(MIN(300,MAX(1,D3044)),0), FactorTable!$A$2:$A$301,0), Skills!M16+1)</f>
        <v/>
      </c>
      <c r="F3044">
        <f>IF(Skills!N16=TRUE,(Skills!L16/10)*(E3044/1000),Skills!L16/10)+Skills!O16</f>
        <v/>
      </c>
      <c r="G3044">
        <f>Skills!G16*IF(Skills!H16&gt;0,IF(Inputs!$B$39="pvp",MIN(Skills!I16,15),Skills!I16)/Skills!H16,1)</f>
        <v/>
      </c>
      <c r="H3044">
        <f>1-(1-Skills!J16/100)^Skills!K16</f>
        <v/>
      </c>
      <c r="I3044" t="inlineStr">
        <is>
          <t>1</t>
        </is>
      </c>
      <c r="J3044" t="inlineStr"/>
      <c r="K3044" t="inlineStr"/>
      <c r="L3044" t="inlineStr"/>
      <c r="M3044" t="inlineStr"/>
      <c r="N3044" t="inlineStr"/>
      <c r="O3044">
        <f>(1-Summary!$B$11)*T3044+Summary!$B$11*V3044</f>
        <v/>
      </c>
      <c r="P3044">
        <f>IF(B3074=0,0,O3044/B3074)</f>
        <v/>
      </c>
      <c r="Q3044">
        <f>IFERROR(1/IF(Inputs!$B$39="pvp",15,MAX(0.1,Skills!D16-IF(TRUE=TRUE,Inputs!$B$32,0))),0)</f>
        <v/>
      </c>
      <c r="R3044">
        <f>IF(AND(Inputs!$B$39&lt;&gt;"pvp",Inputs!$B$44&gt;0),IF(Inputs!$B$44&lt;=0,0,(INT(Inputs!$B$44/IF(Inputs!$B$39="pvp",15,MAX(0.1,Skills!D16-IF(TRUE=TRUE,Inputs!$B$32,0))))+1)),0)</f>
        <v/>
      </c>
      <c r="S3044">
        <f>IFERROR(O3044/N3044,0)</f>
        <v/>
      </c>
      <c r="T3044" t="n">
        <v>0</v>
      </c>
      <c r="V3044" t="n">
        <v>0</v>
      </c>
    </row>
    <row r="3045">
      <c r="A3045">
        <f>Skills!A17</f>
        <v/>
      </c>
      <c r="B3045">
        <f>Skills!B17</f>
        <v/>
      </c>
      <c r="C3045">
        <f>Inputs!$B$3&gt;=115</f>
        <v/>
      </c>
      <c r="D3045">
        <f>IF(Skills!C17=1,60+Inputs!$B$25+Inputs!$B$29,IF(Skills!C17=2,90+Inputs!$B$26+Inputs!$B$29,IF(Skills!C17=3,120+Inputs!$B$27+Inputs!$B$29,MAX(0,(Inputs!$B$3-100)*3)+Inputs!$B$28+Inputs!$B$29)))</f>
        <v/>
      </c>
      <c r="E3045">
        <f>INDEX(FactorTable!$B$2:$Y$301, MATCH(ROUND(MIN(300,MAX(1,D3045)),0), FactorTable!$A$2:$A$301,0), Skills!M17+1)</f>
        <v/>
      </c>
      <c r="F3045">
        <f>IF(Skills!N17=TRUE,(Skills!L17/10)*(E3045/1000),Skills!L17/10)+Skills!O17</f>
        <v/>
      </c>
      <c r="G3045">
        <f>Skills!G17*IF(Skills!H17&gt;0,IF(Inputs!$B$39="pvp",MIN(Skills!I17,15),Skills!I17)/Skills!H17,1)</f>
        <v/>
      </c>
      <c r="H3045">
        <f>1-(1-Skills!J17/100)^Skills!K17</f>
        <v/>
      </c>
      <c r="I3045" t="inlineStr">
        <is>
          <t>1</t>
        </is>
      </c>
      <c r="J3045">
        <f>((Inputs!$B$6*(1+Inputs!$B$7/100))+(((Inputs!$B$12*(1+Inputs!$B$13/100))-(Inputs!$B$12*(1+Inputs!$B$13/100)))+0.25*(Inputs!$B$14-Inputs!$B$14))*(1+Inputs!$B$7/100))*(F3045/100)</f>
        <v/>
      </c>
      <c r="K3045">
        <f>J3045*(1+((Inputs!$B$12*(1+Inputs!$B$13/100))*0.01+Inputs!$B$14*0.0025)/100)*(1+Inputs!$B$15/100)*(1+Inputs!$B$16/100)*(5000/(6000+Inputs!$B$43*(1-(100*(1-(1-Inputs!$B$19/100)*(1-CHOOSE(ArtifactsInput!$N$40+1,5,6,7,8,9,10)/100)^(ArtifactsInput!$M$40-ArtifactsInput!$M$40)))/100)))*(1+(Inputs!$B$24+((C3059=TRUE)*(F3059-Calc!F31))+((C3046=TRUE)*(F3046-Calc!F18)))/100)*(1+(((1+IF(AND(ArtifactsInput!$M$36,IF(Inputs!$B$39="pvp",TRUE,AND(Inputs!$B$39&lt;&gt;"pvp",Inputs!$B$44&gt;0))),CHOOSE(ArtifactsInput!$N$36+1,8,9.6,11.2,12.8,14.4,16),0)/100)*(1+IF(AND(ArtifactsInput!$M$32,Inputs!$B$4&lt;&gt;"Chapter Hunt"),CHOOSE(ArtifactsInput!$N$32+1,8,9.6,11.2,12.8,14.4,16),0)/100)*(1+IF(AND(IF(ArtifactsInput!$M$38,FALSE,TRUE),Inputs!$B$39&lt;&gt;"pvp",Inputs!$B$44&gt;0),CHOOSE(ArtifactsInput!$N$38+1,10,12,14,16,18,20)*(MIN(30,MAX(0,Inputs!$B$44-7))/Inputs!$B$44)*IF(Inputs!$B$4="Chapter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17="CRUEL_STAB",Inputs!$B$17+((C3056=TRUE)*(F3056-Calc!F28))+((IF(AND(Inputs!$B$39&lt;&gt;"pvp",Inputs!$B$44=0),1,IF(IF(Inputs!$B$39="pvp",15,Inputs!$B$44)-(B3073)&lt;=0,1,MAX(0,IF(Inputs!$B$39="pvp",15,Inputs!$B$44)-MAX(5,B3073))/(IF(Inputs!$B$39="pvp",15,Inputs!$B$44)-(B3073))))*(IF(AND(ArtifactsInput!$M$42,((Inputs!$B$9+((C3054=TRUE)*(F3054-Calc!F26))+B3062+(ArtifactsInput!$M$24-ArtifactsInput!$M$24)*CHOOSE(ArtifactsInput!$N$24+1,10,12,14,16,18,20)+IF(ArtifactsInput!$M$10,CHOOSE(ArtifactsInput!$N$10+1,15,18,21,24,27,30)*(IF(Inputs!$B$39="pvp",MIN(15,15)/15,IF(AND(Inputs!$B$39&lt;&gt;"pvp",Inputs!$B$44&gt;0),MIN(15,Inputs!$B$44)/(Inputs!$B$44),0))),0)))&gt;=100),MIN(100,((Inputs!$B$9+((C3054=TRUE)*(F3054-Calc!F26))+B3062+(ArtifactsInput!$M$24-ArtifactsInput!$M$24)*CHOOSE(ArtifactsInput!$N$24+1,10,12,14,16,18,20)+IF(ArtifactsInput!$M$10,CHOOSE(ArtifactsInput!$N$10+1,15,18,21,24,27,30)*(IF(Inputs!$B$39="pvp",MIN(15,15)/15,IF(AND(Inputs!$B$39&lt;&gt;"pvp",Inputs!$B$44&gt;0),MIN(15,Inputs!$B$44)/(Inputs!$B$44),0))),0)))-100),0))*CHOOSE(ArtifactsInput!$N$42+1,0.6,0.72,0.84,0.96,1.08,1.2))),Inputs!$B$18+((C3057=TRUE)*(F3057-Calc!F29))+(IF(AND(Inputs!$B$39&lt;&gt;"pvp",Inputs!$B$44=0),1,IF(IF(Inputs!$B$39="pvp",15,Inputs!$B$44)-(B3073)&lt;=0,1,MAX(0,IF(Inputs!$B$39="pvp",15,Inputs!$B$44)-MAX(5,B3073))/(IF(Inputs!$B$39="pvp",15,Inputs!$B$44)-(B3073))))*IF(AND(ArtifactsInput!$M$42,((Inputs!$B$9+((C3054=TRUE)*(F3054-Calc!F26))+B3062+(ArtifactsInput!$M$24-ArtifactsInput!$M$24)*CHOOSE(ArtifactsInput!$N$24+1,10,12,14,16,18,20)+IF(ArtifactsInput!$M$10,CHOOSE(ArtifactsInput!$N$10+1,15,18,21,24,27,30)*(IF(Inputs!$B$39="pvp",MIN(15,15)/15,IF(AND(Inputs!$B$39&lt;&gt;"pvp",Inputs!$B$44&gt;0),MIN(15,Inputs!$B$44)/(Inputs!$B$44),0))),0)))&gt;=100),CHOOSE(ArtifactsInput!$N$42+1,40,48,56,64,72,80),0))))/100)*(((1+(((C3050=TRUE)*F3050*IF(AND(Inputs!$B$39&lt;&gt;"pvp",Inputs!$B$44&gt;0),(((R3050-1)*MIN((Skills!Y22*(1+Inputs!$B$34/100)),(1/Q3050))+MIN((Skills!Y22*(1+Inputs!$B$34/100)),MAX(0,Inputs!$B$44-((R3050-1)*(1/Q3050)))))/Inputs!$B$44),IF(Inputs!$B$39="pvp",MIN((Skills!Y22*(1+Inputs!$B$34/100)),15)/15,MIN(1,(Skills!Y22*(1+Inputs!$B$34/100))/(1/Q3050)))))+((C3031=TRUE)*F3031*3)+((C3033=TRUE)*F3033*(1-EXP(-0.75*B3066*5)))+((C3052=TRUE)*(F3052-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3039=TRUE)*F3039*IF(AND(Inputs!$B$39&lt;&gt;"pvp",Inputs!$B$44&gt;0),(((R3039-1)*MIN((Skills!Y11*(1+Inputs!$B$34/100)),(1/Q3039))+MIN((Skills!Y11*(1+Inputs!$B$34/100)),MAX(0,Inputs!$B$44-((R3039-1)*(1/Q3039)))))/Inputs!$B$44),IF(Inputs!$B$39="pvp",MIN((Skills!Y11*(1+Inputs!$B$34/100)),15)/15,MIN(1,(Skills!Y11*(1+Inputs!$B$34/100))/(1/Q3039)))))/100)*(1+((C3044=TRUE)*F3044*IF(AND(Inputs!$B$39&lt;&gt;"pvp",Inputs!$B$44&gt;0),(((R3044-1)*MIN((Skills!Y16*(1+Inputs!$B$34/100)),(1/Q3044))+MIN((Skills!Y16*(1+Inputs!$B$34/100)),MAX(0,Inputs!$B$44-((R3044-1)*(1/Q3044)))))/Inputs!$B$44),IF(Inputs!$B$39="pvp",MIN((Skills!Y16*(1+Inputs!$B$34/100)),15)/15,MIN(1,(Skills!Y16*(1+Inputs!$B$34/100))/(1/Q3044)))))/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3064*I3045)</f>
        <v/>
      </c>
      <c r="L3045">
        <f>K3045*(MIN(Inputs!$B$22+((C3053=TRUE)*(F3053-Calc!F25)),(Inputs!$B$23+((C3058=TRUE)*(F3058-Calc!F30))+IF(ArtifactsInput!$M$15,CHOOSE(ArtifactsInput!$N$15+1,25,30,35,40,45,50)/100*(Inputs!$B$11-Inputs!$B$11),0)))/100+(Inputs!$B$23+((C3058=TRUE)*(F3058-Calc!F30))+IF(ArtifactsInput!$M$15,CHOOSE(ArtifactsInput!$N$15+1,25,30,35,40,45,50)/100*(Inputs!$B$11-Inputs!$B$11),0))/100)/2</f>
        <v/>
      </c>
      <c r="M3045">
        <f>L3045*(1+(Inputs!$B$10+((C3055=TRUE)*(F3055-Calc!F27))+B3069+(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3045">
        <f>L3045*(1-MIN((Inputs!$B$9+((C3054=TRUE)*(F3054-Calc!F26))+B3062+(ArtifactsInput!$M$24-ArtifactsInput!$M$24)*CHOOSE(ArtifactsInput!$N$24+1,10,12,14,16,18,20)+(IF(AND(Inputs!$B$39&lt;&gt;"pvp",Inputs!$B$44=0),1,IF(IF(Inputs!$B$39="pvp",15,Inputs!$B$44)-(B3073)&lt;=0,1,MAX(0,IF(Inputs!$B$39="pvp",15,Inputs!$B$44)-MAX(5,B3073))/(IF(Inputs!$B$39="pvp",15,Inputs!$B$44)-(B3073))))*IF(AND(ArtifactsInput!$M$42,((Inputs!$B$9+((C3054=TRUE)*(F3054-Calc!F26))+B3062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3045*(MIN((Inputs!$B$9+((C3054=TRUE)*(F3054-Calc!F26))+B3062+(ArtifactsInput!$M$24-ArtifactsInput!$M$24)*CHOOSE(ArtifactsInput!$N$24+1,10,12,14,16,18,20)+(IF(AND(Inputs!$B$39&lt;&gt;"pvp",Inputs!$B$44=0),1,IF(IF(Inputs!$B$39="pvp",15,Inputs!$B$44)-(B3073)&lt;=0,1,MAX(0,IF(Inputs!$B$39="pvp",15,Inputs!$B$44)-MAX(5,B3073))/(IF(Inputs!$B$39="pvp",15,Inputs!$B$44)-(B3073))))*IF(AND(ArtifactsInput!$M$42,((Inputs!$B$9+((C3054=TRUE)*(F3054-Calc!F26))+B3062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3045">
        <f>(1-Summary!$B$11)*T3045+Summary!$B$11*V3045</f>
        <v/>
      </c>
      <c r="P3045">
        <f>IF(B3074=0,0,O3045/B3074)</f>
        <v/>
      </c>
      <c r="Q3045" t="n">
        <v>0</v>
      </c>
      <c r="R3045" t="n">
        <v>0</v>
      </c>
      <c r="S3045">
        <f>IFERROR(O3045/N3045,0)</f>
        <v/>
      </c>
      <c r="T3045">
        <f>IF(C3045,(Inputs!$B$38*0.2*N3045)*IF(Inputs!$B$39="pvp",1,1+(Inputs!$B$20+0+Skills!P17+B3063+(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Hunt"),CHOOSE(ArtifactsInput!$N$35+1,15,18,21,24,27,30)*(1-EXP(-(0.2*B3066)*5)),0)+IF(AND(ArtifactsInput!$M$22,Inputs!$B$4&lt;&gt;"Chapter Hunt"),CHOOSE(ArtifactsInput!$N$22+1,10,12,14,16,18,20)*((0*(((0.15*B3066*5))^0/1)+1*(((0.15*B3066*5))^1/1)+2*(((0.15*B3066*5))^2/2)+3*(((0.15*B3066*5))^3/6)+4*(((0.15*B3066*5))^4/24)+5*(((0.15*B3066*5))^5/120))/((((0.15*B3066*5))^0/1)+(((0.15*B3066*5))^1/1)+(((0.15*B3066*5))^2/2)+(((0.15*B3066*5))^3/6)+(((0.15*B3066*5))^4/24)+(((0.15*B3066*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3045*(1-MIN(100,(Inputs!$B$9+((C3054=TRUE)*(F3054-Calc!F26))+B3062+(ArtifactsInput!$M$24-ArtifactsInput!$M$24)*CHOOSE(ArtifactsInput!$N$24+1,10,12,14,16,18,20)+(IF(AND(Inputs!$B$39&lt;&gt;"pvp",Inputs!$B$44=0),1,IF(IF(Inputs!$B$39="pvp",15,Inputs!$B$44)-(B3073)&lt;=0,1,MAX(0,IF(Inputs!$B$39="pvp",15,Inputs!$B$44)-MAX(5,B3073))/(IF(Inputs!$B$39="pvp",15,Inputs!$B$44)-(B3073))))*IF(AND(ArtifactsInput!$M$42,((Inputs!$B$9+((C3054=TRUE)*(F3054-Calc!F26))+B3062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3045*(MIN(100,(Inputs!$B$9+((C3054=TRUE)*(F3054-Calc!F26))+B3062+(ArtifactsInput!$M$24-ArtifactsInput!$M$24)*CHOOSE(ArtifactsInput!$N$24+1,10,12,14,16,18,20)+(IF(AND(Inputs!$B$39&lt;&gt;"pvp",Inputs!$B$44=0),1,IF(IF(Inputs!$B$39="pvp",15,Inputs!$B$44)-(B3073)&lt;=0,1,MAX(0,IF(Inputs!$B$39="pvp",15,Inputs!$B$44)-MAX(5,B3073))/(IF(Inputs!$B$39="pvp",15,Inputs!$B$44)-(B3073))))*IF(AND(ArtifactsInput!$M$42,((Inputs!$B$9+((C3054=TRUE)*(F3054-Calc!F26))+B3062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3045*(1-MIN(100,(Inputs!$B$9+((C3054=TRUE)*(F3054-Calc!F26))+B3062+(ArtifactsInput!$M$24-ArtifactsInput!$M$24)*CHOOSE(ArtifactsInput!$N$24+1,10,12,14,16,18,20)+(IF(AND(Inputs!$B$39&lt;&gt;"pvp",Inputs!$B$44=0),1,IF(IF(Inputs!$B$39="pvp",15,Inputs!$B$44)-(B3073)&lt;=0,1,MAX(0,IF(Inputs!$B$39="pvp",15,Inputs!$B$44)-MAX(5,B3073))/(IF(Inputs!$B$39="pvp",15,Inputs!$B$44)-(B3073))))*IF(AND(ArtifactsInput!$M$42,((Inputs!$B$9+((C3054=TRUE)*(F3054-Calc!F26))+B3062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3045*(MIN(100,(Inputs!$B$9+((C3054=TRUE)*(F3054-Calc!F26))+B3062+(ArtifactsInput!$M$24-ArtifactsInput!$M$24)*CHOOSE(ArtifactsInput!$N$24+1,10,12,14,16,18,20)+(IF(AND(Inputs!$B$39&lt;&gt;"pvp",Inputs!$B$44=0),1,IF(IF(Inputs!$B$39="pvp",15,Inputs!$B$44)-(B3073)&lt;=0,1,MAX(0,IF(Inputs!$B$39="pvp",15,Inputs!$B$44)-MAX(5,B3073))/(IF(Inputs!$B$39="pvp",15,Inputs!$B$44)-(B3073))))*IF(AND(ArtifactsInput!$M$42,((Inputs!$B$9+((C3054=TRUE)*(F3054-Calc!F26))+B3062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3045">
        <f>IF(C3045,(Inputs!$B$38*0.2*N3045)*IF(Inputs!$B$39="pvp",1,(1+(Inputs!$B$21+Skills!Q17+B3063+(IF(ArtifactsInput!$M$33,CHOOSE(ArtifactsInput!$N$33+1,30,36,42,48,54,60),0))+(IF(AND(ArtifactsInput!$M$35,Inputs!$B$4&lt;&gt;"Chapter Hunt"),CHOOSE(ArtifactsInput!$N$35+1,15,18,21,24,27,30)*(1-EXP(-(0.2*B3066)*5)),0)+IF(AND(ArtifactsInput!$M$22,Inputs!$B$4&lt;&gt;"Chapter Hunt"),CHOOSE(ArtifactsInput!$N$22+1,10,12,14,16,18,20)*((0*(((0.15*B3066*5))^0/1)+1*(((0.15*B3066*5))^1/1)+2*(((0.15*B3066*5))^2/2)+3*(((0.15*B3066*5))^3/6)+4*(((0.15*B3066*5))^4/24)+5*(((0.15*B3066*5))^5/120))/((((0.15*B3066*5))^0/1)+(((0.15*B3066*5))^1/1)+(((0.15*B3066*5))^2/2)+(((0.15*B3066*5))^3/6)+(((0.15*B3066*5))^4/24)+(((0.15*B3066*5))^5/120))),0)))/100)*(MIN(Skills!W17,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3046">
      <c r="A3046">
        <f>Skills!A18</f>
        <v/>
      </c>
      <c r="B3046">
        <f>Skills!B18</f>
        <v/>
      </c>
      <c r="C3046">
        <f>Inputs!$B$3&gt;=115</f>
        <v/>
      </c>
      <c r="D3046">
        <f>IF(Skills!C18=1,60+Inputs!$B$25+Inputs!$B$29,IF(Skills!C18=2,90+Inputs!$B$26+Inputs!$B$29,IF(Skills!C18=3,120+Inputs!$B$27+Inputs!$B$29,MAX(0,(Inputs!$B$3-100)*3)+Inputs!$B$28+Inputs!$B$29)))</f>
        <v/>
      </c>
      <c r="E3046">
        <f>INDEX(FactorTable!$B$2:$Y$301, MATCH(ROUND(MIN(300,MAX(1,D3046)),0), FactorTable!$A$2:$A$301,0), Skills!M18+1)</f>
        <v/>
      </c>
      <c r="F3046">
        <f>IF(Skills!N18=TRUE,(Skills!L18/10)*(E3046/1000),Skills!L18/10)+Skills!O18</f>
        <v/>
      </c>
      <c r="G3046">
        <f>Skills!G18*IF(Skills!H18&gt;0,IF(Inputs!$B$39="pvp",MIN(Skills!I18,15),Skills!I18)/Skills!H18,1)</f>
        <v/>
      </c>
      <c r="H3046">
        <f>1-(1-Skills!J18/100)^Skills!K18</f>
        <v/>
      </c>
      <c r="I3046" t="inlineStr">
        <is>
          <t>1</t>
        </is>
      </c>
      <c r="J3046" t="inlineStr"/>
      <c r="K3046" t="inlineStr"/>
      <c r="L3046" t="inlineStr"/>
      <c r="M3046" t="inlineStr"/>
      <c r="N3046" t="inlineStr"/>
      <c r="O3046">
        <f>(1-Summary!$B$11)*T3046+Summary!$B$11*V3046</f>
        <v/>
      </c>
      <c r="P3046">
        <f>IF(B3074=0,0,O3046/B3074)</f>
        <v/>
      </c>
      <c r="Q3046" t="n">
        <v>0</v>
      </c>
      <c r="R3046" t="n">
        <v>0</v>
      </c>
      <c r="S3046">
        <f>IFERROR(O3046/N3046,0)</f>
        <v/>
      </c>
      <c r="T3046" t="n">
        <v>0</v>
      </c>
      <c r="V3046" t="n">
        <v>0</v>
      </c>
    </row>
    <row r="3047">
      <c r="A3047">
        <f>Skills!A19</f>
        <v/>
      </c>
      <c r="B3047">
        <f>Skills!B19</f>
        <v/>
      </c>
      <c r="C3047">
        <f>Inputs!$B$3&gt;=100</f>
        <v/>
      </c>
      <c r="D3047">
        <f>IF(Skills!C19=1,60+Inputs!$B$25+Inputs!$B$29,IF(Skills!C19=2,90+Inputs!$B$26+Inputs!$B$29,IF(Skills!C19=3,120+Inputs!$B$27+Inputs!$B$29,MAX(0,(Inputs!$B$3-100)*3)+Inputs!$B$28+Inputs!$B$29)))</f>
        <v/>
      </c>
      <c r="E3047">
        <f>INDEX(FactorTable!$B$2:$Y$301, MATCH(ROUND(MIN(300,MAX(1,D3047)),0), FactorTable!$A$2:$A$301,0), Skills!M19+1)</f>
        <v/>
      </c>
      <c r="F3047">
        <f>IF(Skills!N19=TRUE,(Skills!L19/10)*(E3047/1000),Skills!L19/10)+Skills!O19</f>
        <v/>
      </c>
      <c r="G3047">
        <f>Skills!G19*IF(Skills!H19&gt;0,IF(Inputs!$B$39="pvp",MIN(Skills!I19,15),Skills!I19)/Skills!H19,1)</f>
        <v/>
      </c>
      <c r="H3047">
        <f>1-(1-Skills!J19/100)^Skills!K19</f>
        <v/>
      </c>
      <c r="I3047" t="inlineStr">
        <is>
          <t>1</t>
        </is>
      </c>
      <c r="J3047" t="inlineStr"/>
      <c r="K3047" t="inlineStr"/>
      <c r="L3047" t="inlineStr"/>
      <c r="M3047" t="inlineStr"/>
      <c r="N3047" t="inlineStr"/>
      <c r="O3047">
        <f>(1-Summary!$B$11)*T3047+Summary!$B$11*V3047</f>
        <v/>
      </c>
      <c r="P3047">
        <f>IF(B3074=0,0,O3047/B3074)</f>
        <v/>
      </c>
      <c r="Q3047" t="n">
        <v>0</v>
      </c>
      <c r="R3047" t="n">
        <v>0</v>
      </c>
      <c r="S3047">
        <f>IFERROR(O3047/N3047,0)</f>
        <v/>
      </c>
      <c r="T3047" t="n">
        <v>0</v>
      </c>
      <c r="V3047" t="n">
        <v>0</v>
      </c>
    </row>
    <row r="3048">
      <c r="A3048">
        <f>Skills!A20</f>
        <v/>
      </c>
      <c r="B3048">
        <f>Skills!B20</f>
        <v/>
      </c>
      <c r="C3048">
        <f>TRUE</f>
        <v/>
      </c>
      <c r="D3048">
        <f>IF(Skills!C20=1,60+Inputs!$B$25+Inputs!$B$29,IF(Skills!C20=2,90+Inputs!$B$26+Inputs!$B$29,IF(Skills!C20=3,120+Inputs!$B$27+Inputs!$B$29,MAX(0,(Inputs!$B$3-100)*3)+Inputs!$B$28+Inputs!$B$29)))</f>
        <v/>
      </c>
      <c r="E3048">
        <f>INDEX(FactorTable!$B$2:$Y$301, MATCH(ROUND(MIN(300,MAX(1,D3048)),0), FactorTable!$A$2:$A$301,0), Skills!M20+1)</f>
        <v/>
      </c>
      <c r="F3048">
        <f>IF(Skills!N20=TRUE,(Skills!L20/10)*(E3048/1000),Skills!L20/10)+Skills!O20</f>
        <v/>
      </c>
      <c r="G3048">
        <f>Skills!G20*IF(Skills!H20&gt;0,IF(Inputs!$B$39="pvp",MIN(Skills!I20,15),Skills!I20)/Skills!H20,1)</f>
        <v/>
      </c>
      <c r="H3048">
        <f>1-(1-Skills!J20/100)^Skills!K20</f>
        <v/>
      </c>
      <c r="I3048" t="inlineStr">
        <is>
          <t>1</t>
        </is>
      </c>
      <c r="J3048" t="inlineStr"/>
      <c r="K3048" t="inlineStr"/>
      <c r="L3048" t="inlineStr"/>
      <c r="M3048" t="inlineStr"/>
      <c r="N3048" t="inlineStr"/>
      <c r="O3048">
        <f>(1-Summary!$B$11)*T3048+Summary!$B$11*V3048</f>
        <v/>
      </c>
      <c r="P3048">
        <f>IF(B3074=0,0,O3048/B3074)</f>
        <v/>
      </c>
      <c r="Q3048">
        <f>IFERROR(1/IF(Inputs!$B$39="pvp",15,MAX(0.1,Skills!D20-IF(TRUE=TRUE,Inputs!$B$32,0))),0)</f>
        <v/>
      </c>
      <c r="R3048">
        <f>IF(AND(Inputs!$B$39&lt;&gt;"pvp",Inputs!$B$44&gt;0),IF(Inputs!$B$44&lt;=0,0,(INT(Inputs!$B$44/IF(Inputs!$B$39="pvp",15,MAX(0.1,Skills!D20-IF(TRUE=TRUE,Inputs!$B$32,0))))+1)),0)</f>
        <v/>
      </c>
      <c r="S3048">
        <f>IFERROR(O3048/N3048,0)</f>
        <v/>
      </c>
      <c r="T3048" t="n">
        <v>0</v>
      </c>
      <c r="V3048" t="n">
        <v>0</v>
      </c>
    </row>
    <row r="3049">
      <c r="A3049">
        <f>Skills!A21</f>
        <v/>
      </c>
      <c r="B3049">
        <f>Skills!B21</f>
        <v/>
      </c>
      <c r="C3049">
        <f>Inputs!$B$3&gt;=15</f>
        <v/>
      </c>
      <c r="D3049">
        <f>IF(Skills!C21=1,60+Inputs!$B$25+Inputs!$B$29,IF(Skills!C21=2,90+Inputs!$B$26+Inputs!$B$29,IF(Skills!C21=3,120+Inputs!$B$27+Inputs!$B$29,MAX(0,(Inputs!$B$3-100)*3)+Inputs!$B$28+Inputs!$B$29)))</f>
        <v/>
      </c>
      <c r="E3049">
        <f>INDEX(FactorTable!$B$2:$Y$301, MATCH(ROUND(MIN(300,MAX(1,D3049)),0), FactorTable!$A$2:$A$301,0), Skills!M21+1)</f>
        <v/>
      </c>
      <c r="F3049">
        <f>IF(Skills!N21=TRUE,(Skills!L21/10)*(E3049/1000),Skills!L21/10)+Skills!O21</f>
        <v/>
      </c>
      <c r="G3049">
        <f>Skills!G21*IF(Skills!H21&gt;0,IF(Inputs!$B$39="pvp",MIN(Skills!I21,15),Skills!I21)/Skills!H21,1)</f>
        <v/>
      </c>
      <c r="H3049">
        <f>1-(1-Skills!J21/100)^Skills!K21</f>
        <v/>
      </c>
      <c r="I3049" t="inlineStr">
        <is>
          <t>1</t>
        </is>
      </c>
      <c r="J3049" t="inlineStr"/>
      <c r="K3049" t="inlineStr"/>
      <c r="L3049" t="inlineStr"/>
      <c r="M3049" t="inlineStr"/>
      <c r="N3049" t="inlineStr"/>
      <c r="O3049">
        <f>(1-Summary!$B$11)*T3049+Summary!$B$11*V3049</f>
        <v/>
      </c>
      <c r="P3049">
        <f>IF(B3074=0,0,O3049/B3074)</f>
        <v/>
      </c>
      <c r="Q3049">
        <f>IFERROR(1/IF(Inputs!$B$39="pvp",15,MAX(0.1,Skills!D21-IF(TRUE=TRUE,Inputs!$B$32,0))),0)</f>
        <v/>
      </c>
      <c r="R3049">
        <f>IF(AND(Inputs!$B$39&lt;&gt;"pvp",Inputs!$B$44&gt;0),IF(Inputs!$B$44&lt;=0,0,(INT(Inputs!$B$44/IF(Inputs!$B$39="pvp",15,MAX(0.1,Skills!D21-IF(TRUE=TRUE,Inputs!$B$32,0))))+1)),0)</f>
        <v/>
      </c>
      <c r="S3049">
        <f>IFERROR(O3049/N3049,0)</f>
        <v/>
      </c>
      <c r="T3049" t="n">
        <v>0</v>
      </c>
      <c r="V3049" t="n">
        <v>0</v>
      </c>
    </row>
    <row r="3050">
      <c r="A3050">
        <f>Skills!A22</f>
        <v/>
      </c>
      <c r="B3050">
        <f>Skills!B22</f>
        <v/>
      </c>
      <c r="C3050">
        <f>Inputs!$B$3&gt;=15</f>
        <v/>
      </c>
      <c r="D3050">
        <f>IF(Skills!C22=1,60+Inputs!$B$25+Inputs!$B$29,IF(Skills!C22=2,90+Inputs!$B$26+Inputs!$B$29,IF(Skills!C22=3,120+Inputs!$B$27+Inputs!$B$29,MAX(0,(Inputs!$B$3-100)*3)+Inputs!$B$28+Inputs!$B$29)))</f>
        <v/>
      </c>
      <c r="E3050">
        <f>INDEX(FactorTable!$B$2:$Y$301, MATCH(ROUND(MIN(300,MAX(1,D3050)),0), FactorTable!$A$2:$A$301,0), Skills!M22+1)</f>
        <v/>
      </c>
      <c r="F3050">
        <f>IF(Skills!N22=TRUE,(Skills!L22/10)*(E3050/1000),Skills!L22/10)+Skills!O22</f>
        <v/>
      </c>
      <c r="G3050">
        <f>Skills!G22*IF(Skills!H22&gt;0,IF(Inputs!$B$39="pvp",MIN(Skills!I22,15),Skills!I22)/Skills!H22,1)</f>
        <v/>
      </c>
      <c r="H3050">
        <f>1-(1-Skills!J22/100)^Skills!K22</f>
        <v/>
      </c>
      <c r="I3050" t="inlineStr">
        <is>
          <t>1</t>
        </is>
      </c>
      <c r="J3050" t="inlineStr"/>
      <c r="K3050" t="inlineStr"/>
      <c r="L3050" t="inlineStr"/>
      <c r="M3050" t="inlineStr"/>
      <c r="N3050" t="inlineStr"/>
      <c r="O3050">
        <f>(1-Summary!$B$11)*T3050+Summary!$B$11*V3050</f>
        <v/>
      </c>
      <c r="P3050">
        <f>IF(B3074=0,0,O3050/B3074)</f>
        <v/>
      </c>
      <c r="Q3050">
        <f>IFERROR(1/IF(Inputs!$B$39="pvp",15,MAX(0.1,Skills!D22-IF(TRUE=TRUE,Inputs!$B$32,0))),0)</f>
        <v/>
      </c>
      <c r="R3050">
        <f>IF(AND(Inputs!$B$39&lt;&gt;"pvp",Inputs!$B$44&gt;0),IF(Inputs!$B$44&lt;=0,0,(INT(Inputs!$B$44/IF(Inputs!$B$39="pvp",15,MAX(0.1,Skills!D22-IF(TRUE=TRUE,Inputs!$B$32,0))))+1)),0)</f>
        <v/>
      </c>
      <c r="S3050">
        <f>IFERROR(O3050/N3050,0)</f>
        <v/>
      </c>
      <c r="T3050" t="n">
        <v>0</v>
      </c>
      <c r="V3050" t="n">
        <v>0</v>
      </c>
    </row>
    <row r="3051">
      <c r="A3051">
        <f>Skills!A23</f>
        <v/>
      </c>
      <c r="B3051">
        <f>Skills!B23</f>
        <v/>
      </c>
      <c r="C3051">
        <f>Inputs!$B$3&gt;=33</f>
        <v/>
      </c>
      <c r="D3051">
        <f>IF(Skills!C23=1,60+Inputs!$B$25+Inputs!$B$29,IF(Skills!C23=2,90+Inputs!$B$26+Inputs!$B$29,IF(Skills!C23=3,120+Inputs!$B$27+Inputs!$B$29,MAX(0,(Inputs!$B$3-100)*3)+Inputs!$B$28+Inputs!$B$29)))</f>
        <v/>
      </c>
      <c r="E3051">
        <f>INDEX(FactorTable!$B$2:$Y$301, MATCH(ROUND(MIN(300,MAX(1,D3051)),0), FactorTable!$A$2:$A$301,0), Skills!M23+1)</f>
        <v/>
      </c>
      <c r="F3051">
        <f>IF(Skills!N23=TRUE,(Skills!L23/10)*(E3051/1000),Skills!L23/10)+Skills!O23</f>
        <v/>
      </c>
      <c r="G3051">
        <f>Skills!G23*IF(Skills!H23&gt;0,IF(Inputs!$B$39="pvp",MIN(Skills!I23,15),Skills!I23)/Skills!H23,1)</f>
        <v/>
      </c>
      <c r="H3051">
        <f>1-(1-Skills!J23/100)^Skills!K23</f>
        <v/>
      </c>
      <c r="I3051" t="inlineStr">
        <is>
          <t>1</t>
        </is>
      </c>
      <c r="J3051" t="inlineStr"/>
      <c r="K3051" t="inlineStr"/>
      <c r="L3051" t="inlineStr"/>
      <c r="M3051" t="inlineStr"/>
      <c r="N3051" t="inlineStr"/>
      <c r="O3051">
        <f>(1-Summary!$B$11)*T3051+Summary!$B$11*V3051</f>
        <v/>
      </c>
      <c r="P3051">
        <f>IF(B3074=0,0,O3051/B3074)</f>
        <v/>
      </c>
      <c r="Q3051" t="n">
        <v>0</v>
      </c>
      <c r="R3051" t="n">
        <v>0</v>
      </c>
      <c r="S3051">
        <f>IFERROR(O3051/N3051,0)</f>
        <v/>
      </c>
      <c r="T3051" t="n">
        <v>0</v>
      </c>
      <c r="V3051" t="n">
        <v>0</v>
      </c>
    </row>
    <row r="3052">
      <c r="A3052">
        <f>Skills!A24</f>
        <v/>
      </c>
      <c r="B3052">
        <f>Skills!B24</f>
        <v/>
      </c>
      <c r="C3052">
        <f>Inputs!$B$3&gt;=40</f>
        <v/>
      </c>
      <c r="D3052">
        <f>IF(Skills!C24=1,60+Inputs!$B$25+Inputs!$B$29,IF(Skills!C24=2,90+Inputs!$B$26+Inputs!$B$29,IF(Skills!C24=3,120+Inputs!$B$27+Inputs!$B$29,MAX(0,(Inputs!$B$3-100)*3)+Inputs!$B$28+Inputs!$B$29)))</f>
        <v/>
      </c>
      <c r="E3052">
        <f>INDEX(FactorTable!$B$2:$Y$301, MATCH(ROUND(MIN(300,MAX(1,D3052)),0), FactorTable!$A$2:$A$301,0), Skills!M24+1)</f>
        <v/>
      </c>
      <c r="F3052">
        <f>IF(Skills!N24=TRUE,(Skills!L24/10)*(E3052/1000),Skills!L24/10)+Skills!O24</f>
        <v/>
      </c>
      <c r="G3052">
        <f>Skills!G24*IF(Skills!H24&gt;0,IF(Inputs!$B$39="pvp",MIN(Skills!I24,15),Skills!I24)/Skills!H24,1)</f>
        <v/>
      </c>
      <c r="H3052">
        <f>1-(1-Skills!J24/100)^Skills!K24</f>
        <v/>
      </c>
      <c r="I3052" t="inlineStr">
        <is>
          <t>1</t>
        </is>
      </c>
      <c r="J3052" t="inlineStr"/>
      <c r="K3052" t="inlineStr"/>
      <c r="L3052" t="inlineStr"/>
      <c r="M3052" t="inlineStr"/>
      <c r="N3052" t="inlineStr"/>
      <c r="O3052">
        <f>(1-Summary!$B$11)*T3052+Summary!$B$11*V3052</f>
        <v/>
      </c>
      <c r="P3052">
        <f>IF(B3074=0,0,O3052/B3074)</f>
        <v/>
      </c>
      <c r="Q3052" t="n">
        <v>0</v>
      </c>
      <c r="R3052" t="n">
        <v>0</v>
      </c>
      <c r="S3052">
        <f>IFERROR(O3052/N3052,0)</f>
        <v/>
      </c>
      <c r="T3052" t="n">
        <v>0</v>
      </c>
      <c r="V3052" t="n">
        <v>0</v>
      </c>
    </row>
    <row r="3053">
      <c r="A3053">
        <f>Skills!A25</f>
        <v/>
      </c>
      <c r="B3053">
        <f>Skills!B25</f>
        <v/>
      </c>
      <c r="C3053">
        <f>Inputs!$B$3&gt;=43</f>
        <v/>
      </c>
      <c r="D3053">
        <f>IF(Skills!C25=1,60+Inputs!$B$25+Inputs!$B$29,IF(Skills!C25=2,90+Inputs!$B$26+Inputs!$B$29,IF(Skills!C25=3,120+Inputs!$B$27+Inputs!$B$29,MAX(0,(Inputs!$B$3-100)*3)+Inputs!$B$28+Inputs!$B$29)))</f>
        <v/>
      </c>
      <c r="E3053">
        <f>INDEX(FactorTable!$B$2:$Y$301, MATCH(ROUND(MIN(300,MAX(1,D3053)),0), FactorTable!$A$2:$A$301,0), Skills!M25+1)</f>
        <v/>
      </c>
      <c r="F3053">
        <f>IF(Skills!N25=TRUE,(Skills!L25/10)*(E3053/1000),Skills!L25/10)+Skills!O25</f>
        <v/>
      </c>
      <c r="G3053">
        <f>Skills!G25*IF(Skills!H25&gt;0,IF(Inputs!$B$39="pvp",MIN(Skills!I25,15),Skills!I25)/Skills!H25,1)</f>
        <v/>
      </c>
      <c r="H3053">
        <f>1-(1-Skills!J25/100)^Skills!K25</f>
        <v/>
      </c>
      <c r="I3053" t="inlineStr">
        <is>
          <t>1</t>
        </is>
      </c>
      <c r="J3053" t="inlineStr"/>
      <c r="K3053" t="inlineStr"/>
      <c r="L3053" t="inlineStr"/>
      <c r="M3053" t="inlineStr"/>
      <c r="N3053" t="inlineStr"/>
      <c r="O3053">
        <f>(1-Summary!$B$11)*T3053+Summary!$B$11*V3053</f>
        <v/>
      </c>
      <c r="P3053">
        <f>IF(B3074=0,0,O3053/B3074)</f>
        <v/>
      </c>
      <c r="Q3053" t="n">
        <v>0</v>
      </c>
      <c r="R3053" t="n">
        <v>0</v>
      </c>
      <c r="S3053">
        <f>IFERROR(O3053/N3053,0)</f>
        <v/>
      </c>
      <c r="T3053" t="n">
        <v>0</v>
      </c>
      <c r="V3053" t="n">
        <v>0</v>
      </c>
    </row>
    <row r="3054">
      <c r="A3054">
        <f>Skills!A26</f>
        <v/>
      </c>
      <c r="B3054">
        <f>Skills!B26</f>
        <v/>
      </c>
      <c r="C3054">
        <f>Inputs!$B$3&gt;=50</f>
        <v/>
      </c>
      <c r="D3054">
        <f>IF(Skills!C26=1,60+Inputs!$B$25+Inputs!$B$29,IF(Skills!C26=2,90+Inputs!$B$26+Inputs!$B$29,IF(Skills!C26=3,120+Inputs!$B$27+Inputs!$B$29,MAX(0,(Inputs!$B$3-100)*3)+Inputs!$B$28+Inputs!$B$29)))</f>
        <v/>
      </c>
      <c r="E3054">
        <f>INDEX(FactorTable!$B$2:$Y$301, MATCH(ROUND(MIN(300,MAX(1,D3054)),0), FactorTable!$A$2:$A$301,0), Skills!M26+1)</f>
        <v/>
      </c>
      <c r="F3054">
        <f>IF(Skills!N26=TRUE,(Skills!L26/10)*(E3054/1000),Skills!L26/10)+Skills!O26</f>
        <v/>
      </c>
      <c r="G3054">
        <f>Skills!G26*IF(Skills!H26&gt;0,IF(Inputs!$B$39="pvp",MIN(Skills!I26,15),Skills!I26)/Skills!H26,1)</f>
        <v/>
      </c>
      <c r="H3054">
        <f>1-(1-Skills!J26/100)^Skills!K26</f>
        <v/>
      </c>
      <c r="I3054" t="inlineStr">
        <is>
          <t>1</t>
        </is>
      </c>
      <c r="J3054" t="inlineStr"/>
      <c r="K3054" t="inlineStr"/>
      <c r="L3054" t="inlineStr"/>
      <c r="M3054" t="inlineStr"/>
      <c r="N3054" t="inlineStr"/>
      <c r="O3054">
        <f>(1-Summary!$B$11)*T3054+Summary!$B$11*V3054</f>
        <v/>
      </c>
      <c r="P3054">
        <f>IF(B3074=0,0,O3054/B3074)</f>
        <v/>
      </c>
      <c r="Q3054" t="n">
        <v>0</v>
      </c>
      <c r="R3054" t="n">
        <v>0</v>
      </c>
      <c r="S3054">
        <f>IFERROR(O3054/N3054,0)</f>
        <v/>
      </c>
      <c r="T3054" t="n">
        <v>0</v>
      </c>
      <c r="V3054" t="n">
        <v>0</v>
      </c>
    </row>
    <row r="3055">
      <c r="A3055">
        <f>Skills!A27</f>
        <v/>
      </c>
      <c r="B3055">
        <f>Skills!B27</f>
        <v/>
      </c>
      <c r="C3055">
        <f>Inputs!$B$3&gt;=50</f>
        <v/>
      </c>
      <c r="D3055">
        <f>IF(Skills!C27=1,60+Inputs!$B$25+Inputs!$B$29,IF(Skills!C27=2,90+Inputs!$B$26+Inputs!$B$29,IF(Skills!C27=3,120+Inputs!$B$27+Inputs!$B$29,MAX(0,(Inputs!$B$3-100)*3)+Inputs!$B$28+Inputs!$B$29)))</f>
        <v/>
      </c>
      <c r="E3055">
        <f>INDEX(FactorTable!$B$2:$Y$301, MATCH(ROUND(MIN(300,MAX(1,D3055)),0), FactorTable!$A$2:$A$301,0), Skills!M27+1)</f>
        <v/>
      </c>
      <c r="F3055">
        <f>IF(Skills!N27=TRUE,(Skills!L27/10)*(E3055/1000),Skills!L27/10)+Skills!O27</f>
        <v/>
      </c>
      <c r="G3055">
        <f>Skills!G27*IF(Skills!H27&gt;0,IF(Inputs!$B$39="pvp",MIN(Skills!I27,15),Skills!I27)/Skills!H27,1)</f>
        <v/>
      </c>
      <c r="H3055">
        <f>1-(1-Skills!J27/100)^Skills!K27</f>
        <v/>
      </c>
      <c r="I3055" t="inlineStr">
        <is>
          <t>1</t>
        </is>
      </c>
      <c r="J3055" t="inlineStr"/>
      <c r="K3055" t="inlineStr"/>
      <c r="L3055" t="inlineStr"/>
      <c r="M3055" t="inlineStr"/>
      <c r="N3055" t="inlineStr"/>
      <c r="O3055">
        <f>(1-Summary!$B$11)*T3055+Summary!$B$11*V3055</f>
        <v/>
      </c>
      <c r="P3055">
        <f>IF(B3074=0,0,O3055/B3074)</f>
        <v/>
      </c>
      <c r="Q3055" t="n">
        <v>0</v>
      </c>
      <c r="R3055" t="n">
        <v>0</v>
      </c>
      <c r="S3055">
        <f>IFERROR(O3055/N3055,0)</f>
        <v/>
      </c>
      <c r="T3055" t="n">
        <v>0</v>
      </c>
      <c r="V3055" t="n">
        <v>0</v>
      </c>
    </row>
    <row r="3056">
      <c r="A3056">
        <f>Skills!A28</f>
        <v/>
      </c>
      <c r="B3056">
        <f>Skills!B28</f>
        <v/>
      </c>
      <c r="C3056">
        <f>Inputs!$B$3&gt;=38</f>
        <v/>
      </c>
      <c r="D3056">
        <f>IF(Skills!C28=1,60+Inputs!$B$25+Inputs!$B$29,IF(Skills!C28=2,90+Inputs!$B$26+Inputs!$B$29,IF(Skills!C28=3,120+Inputs!$B$27+Inputs!$B$29,MAX(0,(Inputs!$B$3-100)*3)+Inputs!$B$28+Inputs!$B$29)))</f>
        <v/>
      </c>
      <c r="E3056">
        <f>INDEX(FactorTable!$B$2:$Y$301, MATCH(ROUND(MIN(300,MAX(1,D3056)),0), FactorTable!$A$2:$A$301,0), Skills!M28+1)</f>
        <v/>
      </c>
      <c r="F3056">
        <f>IF(Skills!N28=TRUE,(Skills!L28/10)*(E3056/1000),Skills!L28/10)+Skills!O28</f>
        <v/>
      </c>
      <c r="G3056">
        <f>Skills!G28*IF(Skills!H28&gt;0,IF(Inputs!$B$39="pvp",MIN(Skills!I28,15),Skills!I28)/Skills!H28,1)</f>
        <v/>
      </c>
      <c r="H3056">
        <f>1-(1-Skills!J28/100)^Skills!K28</f>
        <v/>
      </c>
      <c r="I3056" t="inlineStr">
        <is>
          <t>1</t>
        </is>
      </c>
      <c r="J3056" t="inlineStr"/>
      <c r="K3056" t="inlineStr"/>
      <c r="L3056" t="inlineStr"/>
      <c r="M3056" t="inlineStr"/>
      <c r="N3056" t="inlineStr"/>
      <c r="O3056">
        <f>(1-Summary!$B$11)*T3056+Summary!$B$11*V3056</f>
        <v/>
      </c>
      <c r="P3056">
        <f>IF(B3074=0,0,O3056/B3074)</f>
        <v/>
      </c>
      <c r="Q3056" t="n">
        <v>0</v>
      </c>
      <c r="R3056" t="n">
        <v>0</v>
      </c>
      <c r="S3056">
        <f>IFERROR(O3056/N3056,0)</f>
        <v/>
      </c>
      <c r="T3056" t="n">
        <v>0</v>
      </c>
      <c r="V3056" t="n">
        <v>0</v>
      </c>
    </row>
    <row r="3057">
      <c r="A3057">
        <f>Skills!A29</f>
        <v/>
      </c>
      <c r="B3057">
        <f>Skills!B29</f>
        <v/>
      </c>
      <c r="C3057">
        <f>Inputs!$B$3&gt;=120</f>
        <v/>
      </c>
      <c r="D3057">
        <f>IF(Skills!C29=1,60+Inputs!$B$25+Inputs!$B$29,IF(Skills!C29=2,90+Inputs!$B$26+Inputs!$B$29,IF(Skills!C29=3,120+Inputs!$B$27+Inputs!$B$29,MAX(0,(Inputs!$B$3-100)*3)+Inputs!$B$28+Inputs!$B$29)))</f>
        <v/>
      </c>
      <c r="E3057">
        <f>INDEX(FactorTable!$B$2:$Y$301, MATCH(ROUND(MIN(300,MAX(1,D3057)),0), FactorTable!$A$2:$A$301,0), Skills!M29+1)</f>
        <v/>
      </c>
      <c r="F3057">
        <f>IF(Skills!N29=TRUE,(Skills!L29/10)*(E3057/1000),Skills!L29/10)+Skills!O29</f>
        <v/>
      </c>
      <c r="G3057">
        <f>Skills!G29*IF(Skills!H29&gt;0,IF(Inputs!$B$39="pvp",MIN(Skills!I29,15),Skills!I29)/Skills!H29,1)</f>
        <v/>
      </c>
      <c r="H3057">
        <f>1-(1-Skills!J29/100)^Skills!K29</f>
        <v/>
      </c>
      <c r="I3057" t="inlineStr">
        <is>
          <t>1</t>
        </is>
      </c>
      <c r="J3057" t="inlineStr"/>
      <c r="K3057" t="inlineStr"/>
      <c r="L3057" t="inlineStr"/>
      <c r="M3057" t="inlineStr"/>
      <c r="N3057" t="inlineStr"/>
      <c r="O3057">
        <f>(1-Summary!$B$11)*T3057+Summary!$B$11*V3057</f>
        <v/>
      </c>
      <c r="P3057">
        <f>IF(B3074=0,0,O3057/B3074)</f>
        <v/>
      </c>
      <c r="Q3057" t="n">
        <v>0</v>
      </c>
      <c r="R3057" t="n">
        <v>0</v>
      </c>
      <c r="S3057">
        <f>IFERROR(O3057/N3057,0)</f>
        <v/>
      </c>
      <c r="T3057" t="n">
        <v>0</v>
      </c>
      <c r="V3057" t="n">
        <v>0</v>
      </c>
    </row>
    <row r="3058">
      <c r="A3058">
        <f>Skills!A30</f>
        <v/>
      </c>
      <c r="B3058">
        <f>Skills!B30</f>
        <v/>
      </c>
      <c r="C3058">
        <f>Inputs!$B$3&gt;=120</f>
        <v/>
      </c>
      <c r="D3058">
        <f>IF(Skills!C30=1,60+Inputs!$B$25+Inputs!$B$29,IF(Skills!C30=2,90+Inputs!$B$26+Inputs!$B$29,IF(Skills!C30=3,120+Inputs!$B$27+Inputs!$B$29,MAX(0,(Inputs!$B$3-100)*3)+Inputs!$B$28+Inputs!$B$29)))</f>
        <v/>
      </c>
      <c r="E3058">
        <f>INDEX(FactorTable!$B$2:$Y$301, MATCH(ROUND(MIN(300,MAX(1,D3058)),0), FactorTable!$A$2:$A$301,0), Skills!M30+1)</f>
        <v/>
      </c>
      <c r="F3058">
        <f>IF(Skills!N30=TRUE,(Skills!L30/10)*(E3058/1000),Skills!L30/10)+Skills!O30</f>
        <v/>
      </c>
      <c r="G3058">
        <f>Skills!G30*IF(Skills!H30&gt;0,IF(Inputs!$B$39="pvp",MIN(Skills!I30,15),Skills!I30)/Skills!H30,1)</f>
        <v/>
      </c>
      <c r="H3058">
        <f>1-(1-Skills!J30/100)^Skills!K30</f>
        <v/>
      </c>
      <c r="I3058" t="inlineStr">
        <is>
          <t>1</t>
        </is>
      </c>
      <c r="J3058" t="inlineStr"/>
      <c r="K3058" t="inlineStr"/>
      <c r="L3058" t="inlineStr"/>
      <c r="M3058" t="inlineStr"/>
      <c r="N3058" t="inlineStr"/>
      <c r="O3058">
        <f>(1-Summary!$B$11)*T3058+Summary!$B$11*V3058</f>
        <v/>
      </c>
      <c r="P3058">
        <f>IF(B3074=0,0,O3058/B3074)</f>
        <v/>
      </c>
      <c r="Q3058" t="n">
        <v>0</v>
      </c>
      <c r="R3058" t="n">
        <v>0</v>
      </c>
      <c r="S3058">
        <f>IFERROR(O3058/N3058,0)</f>
        <v/>
      </c>
      <c r="T3058" t="n">
        <v>0</v>
      </c>
      <c r="V3058" t="n">
        <v>0</v>
      </c>
    </row>
    <row r="3059">
      <c r="A3059">
        <f>Skills!A31</f>
        <v/>
      </c>
      <c r="B3059">
        <f>Skills!B31</f>
        <v/>
      </c>
      <c r="C3059">
        <f>Inputs!$B$3&gt;=125</f>
        <v/>
      </c>
      <c r="D3059">
        <f>IF(Skills!C31=1,60+Inputs!$B$25+Inputs!$B$29,IF(Skills!C31=2,90+Inputs!$B$26+Inputs!$B$29,IF(Skills!C31=3,120+Inputs!$B$27+Inputs!$B$29,MAX(0,(Inputs!$B$3-100)*3)+Inputs!$B$28+Inputs!$B$29)))</f>
        <v/>
      </c>
      <c r="E3059">
        <f>INDEX(FactorTable!$B$2:$Y$301, MATCH(ROUND(MIN(300,MAX(1,D3059)),0), FactorTable!$A$2:$A$301,0), Skills!M31+1)</f>
        <v/>
      </c>
      <c r="F3059">
        <f>IF(Skills!N31=TRUE,(Skills!L31/10)*(E3059/1000),Skills!L31/10)+Skills!O31</f>
        <v/>
      </c>
      <c r="G3059">
        <f>Skills!G31*IF(Skills!H31&gt;0,IF(Inputs!$B$39="pvp",MIN(Skills!I31,15),Skills!I31)/Skills!H31,1)</f>
        <v/>
      </c>
      <c r="H3059">
        <f>1-(1-Skills!J31/100)^Skills!K31</f>
        <v/>
      </c>
      <c r="I3059" t="inlineStr">
        <is>
          <t>1</t>
        </is>
      </c>
      <c r="J3059" t="inlineStr"/>
      <c r="K3059" t="inlineStr"/>
      <c r="L3059" t="inlineStr"/>
      <c r="M3059" t="inlineStr"/>
      <c r="N3059" t="inlineStr"/>
      <c r="O3059">
        <f>(1-Summary!$B$11)*T3059+Summary!$B$11*V3059</f>
        <v/>
      </c>
      <c r="P3059">
        <f>IF(B3074=0,0,O3059/B3074)</f>
        <v/>
      </c>
      <c r="Q3059" t="n">
        <v>0</v>
      </c>
      <c r="R3059" t="n">
        <v>0</v>
      </c>
      <c r="S3059">
        <f>IFERROR(O3059/N3059,0)</f>
        <v/>
      </c>
      <c r="T3059" t="n">
        <v>0</v>
      </c>
      <c r="V3059" t="n">
        <v>0</v>
      </c>
    </row>
    <row r="3061">
      <c r="A3061" t="inlineStr">
        <is>
          <t>Average Buff Multiplier</t>
        </is>
      </c>
      <c r="B3061">
        <f>(1+(((C3050=TRUE)*F3050*IF(AND(Inputs!$B$39&lt;&gt;"pvp",Inputs!$B$44&gt;0),(((R3050-1)*MIN((Skills!Y22*(1+Inputs!$B$34/100)),(1/Q3050))+MIN((Skills!Y22*(1+Inputs!$B$34/100)),MAX(0,Inputs!$B$44-((R3050-1)*(1/Q3050)))))/Inputs!$B$44),IF(Inputs!$B$39="pvp",MIN((Skills!Y22*(1+Inputs!$B$34/100)),15)/15,MIN(1,(Skills!Y22*(1+Inputs!$B$34/100))/(1/Q3050)))))+((C3031=TRUE)*F3031*3)+((C3033=TRUE)*F3033*(1-EXP(-0.75*B3066*5)))+((C3052=TRUE)*(F3052-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3039=TRUE)*F3039*IF(AND(Inputs!$B$39&lt;&gt;"pvp",Inputs!$B$44&gt;0),(((R3039-1)*MIN((Skills!Y11*(1+Inputs!$B$34/100)),(1/Q3039))+MIN((Skills!Y11*(1+Inputs!$B$34/100)),MAX(0,Inputs!$B$44-((R3039-1)*(1/Q3039)))))/Inputs!$B$44),IF(Inputs!$B$39="pvp",MIN((Skills!Y11*(1+Inputs!$B$34/100)),15)/15,MIN(1,(Skills!Y11*(1+Inputs!$B$34/100))/(1/Q3039)))))/100)*(1+((C3044=TRUE)*F3044*IF(AND(Inputs!$B$39&lt;&gt;"pvp",Inputs!$B$44&gt;0),(((R3044-1)*MIN((Skills!Y16*(1+Inputs!$B$34/100)),(1/Q3044))+MIN((Skills!Y16*(1+Inputs!$B$34/100)),MAX(0,Inputs!$B$44-((R3044-1)*(1/Q3044)))))/Inputs!$B$44),IF(Inputs!$B$39="pvp",MIN((Skills!Y16*(1+Inputs!$B$34/100)),15)/15,MIN(1,(Skills!Y16*(1+Inputs!$B$34/100))/(1/Q3044)))))/100)</f>
        <v/>
      </c>
    </row>
    <row r="3062">
      <c r="A3062" t="inlineStr">
        <is>
          <t>Global Crit Rate Bonus %</t>
        </is>
      </c>
      <c r="B3062">
        <f>((C3049=TRUE)*F3049*IF(AND(Inputs!$B$39&lt;&gt;"pvp",Inputs!$B$44&gt;0),(((R3049-1)*MIN((Skills!Y21*(1+Inputs!$B$34/100)),(1/Q3049))+MIN((Skills!Y21*(1+Inputs!$B$34/100)),MAX(0,Inputs!$B$44-((R3049-1)*(1/Q3049)))))/Inputs!$B$44),IF(Inputs!$B$39="pvp",MIN((Skills!Y21*(1+Inputs!$B$34/100)),15)/15,MIN(1,(Skills!Y21*(1+Inputs!$B$34/100))/(1/Q3049)))))</f>
        <v/>
      </c>
    </row>
    <row r="3063">
      <c r="A3063" t="inlineStr">
        <is>
          <t>Global Monster Damage-Taken Bonus %</t>
        </is>
      </c>
      <c r="B3063">
        <f>IF(Inputs!$B$3&gt;=82,15,0)</f>
        <v/>
      </c>
    </row>
    <row r="3064">
      <c r="A3064" t="inlineStr">
        <is>
          <t>Shadow Partner Average Multiplier</t>
        </is>
      </c>
      <c r="B3064">
        <f>1+((C3036=TRUE)*F3036*(1+3.3333333333333335*IF(C3047=TRUE,F3047,0)/100)*I3036*Skills!J8/100)/100</f>
        <v/>
      </c>
    </row>
    <row r="3065">
      <c r="A3065" t="inlineStr">
        <is>
          <t>Attack Speed Buff Bonus %</t>
        </is>
      </c>
      <c r="B3065">
        <f>((C3048=TRUE)*F3048*IF(AND(Inputs!$B$39&lt;&gt;"pvp",Inputs!$B$44&gt;0),(((R3048-1)*MIN((Skills!Y20*(1+Inputs!$B$34/100)),(1/Q3048))+MIN((Skills!Y20*(1+Inputs!$B$34/100)),MAX(0,Inputs!$B$44-((R3048-1)*(1/Q3048)))))/Inputs!$B$44),IF(Inputs!$B$39="pvp",MIN((Skills!Y20*(1+Inputs!$B$34/100)),15)/15,MIN(1,(Skills!Y20*(1+Inputs!$B$34/100))/(1/Q3048)))))</f>
        <v/>
      </c>
    </row>
    <row r="3066">
      <c r="A3066" t="inlineStr">
        <is>
          <t>Actions Per Second</t>
        </is>
      </c>
      <c r="B3066">
        <f>1+MIN(150,150*(1-(1-(Inputs!$B$11+((C3051=TRUE)*(F3051-Calc!F23)))/150)*(1-B3065/150)))/100</f>
        <v/>
      </c>
    </row>
    <row r="3067">
      <c r="A3067" t="inlineStr">
        <is>
          <t>Skill + Buff Cast Rate</t>
        </is>
      </c>
      <c r="B3067">
        <f>IF(AND(Inputs!$B$39&lt;&gt;"pvp",Inputs!$B$44&gt;0),SUMPRODUCT((Skills!E2:E31=TRUE)*(C3030:C3059=TRUE)*R3030:R3059*Skills!F2:F31)/Inputs!$B$44,SUMPRODUCT((Skills!E2:E31=TRUE)*(C3030:C3059=TRUE)*Q3030:Q3059*Skills!F2:F31))</f>
        <v/>
      </c>
    </row>
    <row r="3068">
      <c r="A3068" t="inlineStr">
        <is>
          <t>Cruel Stab Casts Per Second</t>
        </is>
      </c>
      <c r="B3068">
        <f>MAX(0,B3066-B3067)</f>
        <v/>
      </c>
    </row>
    <row r="3069">
      <c r="A3069" t="inlineStr">
        <is>
          <t>Global Critical Damage Bonus % (Smokescreen Mastery Lv.113)</t>
        </is>
      </c>
      <c r="B3069">
        <f>IF(Inputs!$B$3&gt;=113,30,0)*IF(AND(Inputs!$B$39&lt;&gt;"pvp",Inputs!$B$44&gt;0),(((R3044-1)*MIN((Skills!Y16*(1+Inputs!$B$34/100)),(1/Q3044))+MIN((Skills!Y16*(1+Inputs!$B$34/100)),MAX(0,Inputs!$B$44-((R3044-1)*(1/Q3044)))))/Inputs!$B$44),IF(Inputs!$B$39="pvp",MIN((Skills!Y16*(1+Inputs!$B$34/100)),15)/15,MIN(1,(Skills!Y16*(1+Inputs!$B$34/100))/(1/Q3044))))</f>
        <v/>
      </c>
    </row>
    <row r="3070">
      <c r="A3070" t="inlineStr">
        <is>
          <t>Meso Explosion average stack count</t>
        </is>
      </c>
      <c r="B3070">
        <f>MIN(10,IF(Inputs!$B$3&gt;=75,0.75,0.5)*B3066*(1/Q3032))</f>
        <v/>
      </c>
    </row>
    <row r="3071">
      <c r="A3071" t="inlineStr">
        <is>
          <t>Blood Money average stack count</t>
        </is>
      </c>
      <c r="B3071">
        <f>MIN(5,0.5*IF(Inputs!$B$3&gt;=75,0.75,0.5)*B3066*(1/Q3032))</f>
        <v/>
      </c>
    </row>
    <row r="3072">
      <c r="A3072" t="inlineStr">
        <is>
          <t>Assassinate Murderous Intent Multiplier</t>
        </is>
      </c>
      <c r="B3072">
        <f>1+IFERROR(MIN(1,Q3043*2/Q3040),0)</f>
        <v/>
      </c>
    </row>
    <row r="3073">
      <c r="A3073" t="inlineStr">
        <is>
          <t>Buff-Casting Startup Delay (s, fixed-duration only)</t>
        </is>
      </c>
      <c r="B3073">
        <f>IF(AND(Inputs!$B$39&lt;&gt;"pvp",Inputs!$B$44&gt;0),SUMPRODUCT((Skills!Y2:Y31&gt;0)*(Skills!E2:E31=TRUE)*(C3030:C3059=TRUE))/B3066,0)</f>
        <v/>
      </c>
    </row>
    <row r="3074">
      <c r="A3074" s="6" t="inlineStr">
        <is>
          <t>TOTAL DPS</t>
        </is>
      </c>
      <c r="B3074" s="6">
        <f>SUM(O3030:O3059)</f>
        <v/>
      </c>
    </row>
    <row r="3075">
      <c r="A3075" t="inlineStr">
        <is>
          <t>Boss-Only Total DPS (this block's swept value)</t>
        </is>
      </c>
      <c r="B3075">
        <f>SUM(T3030:T3059)</f>
        <v/>
      </c>
    </row>
    <row r="3076">
      <c r="A3076" t="inlineStr">
        <is>
          <t>Normal-Only Total DPS (this block's swept value)</t>
        </is>
      </c>
      <c r="B3076">
        <f>SUM(V3030:V3059)</f>
        <v/>
      </c>
    </row>
    <row r="3079">
      <c r="A3079" s="6" t="inlineStr">
        <is>
          <t>Stat: Cursed Doll (Equip)</t>
        </is>
      </c>
    </row>
    <row r="3080">
      <c r="A3080" s="5" t="inlineStr">
        <is>
          <t>Key</t>
        </is>
      </c>
      <c r="B3080" s="5" t="inlineStr">
        <is>
          <t>Name</t>
        </is>
      </c>
      <c r="C3080" s="5" t="inlineStr">
        <is>
          <t>Unlocked</t>
        </is>
      </c>
      <c r="D3080" s="5" t="inlineStr">
        <is>
          <t>InputLevel</t>
        </is>
      </c>
      <c r="E3080" s="5" t="inlineStr">
        <is>
          <t>Factor</t>
        </is>
      </c>
      <c r="F3080" s="5" t="inlineStr">
        <is>
          <t>CoefficientPercent</t>
        </is>
      </c>
      <c r="G3080" s="5" t="inlineStr">
        <is>
          <t>EffectiveHits</t>
        </is>
      </c>
      <c r="H3080" s="5" t="inlineStr">
        <is>
          <t>ProcProbability</t>
        </is>
      </c>
      <c r="I3080" s="5" t="inlineStr">
        <is>
          <t>MapleHeroMultiplier</t>
        </is>
      </c>
      <c r="J3080" s="5" t="inlineStr">
        <is>
          <t>BaseDamage</t>
        </is>
      </c>
      <c r="K3080" s="5" t="inlineStr">
        <is>
          <t>BaseHitDamage</t>
        </is>
      </c>
      <c r="L3080" s="5" t="inlineStr">
        <is>
          <t>NonCritAvg</t>
        </is>
      </c>
      <c r="M3080" s="5" t="inlineStr">
        <is>
          <t>CritAvg</t>
        </is>
      </c>
      <c r="N3080" s="5" t="inlineStr">
        <is>
          <t>ExpectedDamage(perHit)</t>
        </is>
      </c>
      <c r="O3080" s="5" t="inlineStr">
        <is>
          <t>DPS</t>
        </is>
      </c>
      <c r="P3080" s="5" t="inlineStr">
        <is>
          <t>% of Total</t>
        </is>
      </c>
      <c r="Q3080" s="5" t="inlineStr">
        <is>
          <t>InvCooldown</t>
        </is>
      </c>
      <c r="R3080" s="5" t="inlineStr">
        <is>
          <t>CastsInFight</t>
        </is>
      </c>
      <c r="S3080" s="5" t="inlineStr">
        <is>
          <t>HitRate(perSec)</t>
        </is>
      </c>
      <c r="U3080" t="inlineStr">
        <is>
          <t>helpers</t>
        </is>
      </c>
    </row>
    <row r="3081">
      <c r="A3081">
        <f>Skills!A2</f>
        <v/>
      </c>
      <c r="B3081">
        <f>Skills!B2</f>
        <v/>
      </c>
      <c r="C3081">
        <f>Inputs!$B$3&gt;=100</f>
        <v/>
      </c>
      <c r="D3081" t="inlineStr"/>
      <c r="E3081" t="inlineStr"/>
      <c r="F3081">
        <f>U3083+Skills!O2</f>
        <v/>
      </c>
      <c r="G3081">
        <f>Skills!G2*IF(Skills!H2&gt;0,IF(Inputs!$B$39="pvp",MIN(Skills!I2,15),Skills!I2)/Skills!H2,1)</f>
        <v/>
      </c>
      <c r="H3081">
        <f>1-(1-Skills!J2/100)^Skills!K2</f>
        <v/>
      </c>
      <c r="I3081" t="inlineStr">
        <is>
          <t>1</t>
        </is>
      </c>
      <c r="J3081">
        <f>((Inputs!$B$6*(1+Inputs!$B$7/100))+(((Inputs!$B$12*(1+Inputs!$B$13/100))-(Inputs!$B$12*(1+Inputs!$B$13/100)))+0.25*(Inputs!$B$14-Inputs!$B$14))*(1+Inputs!$B$7/100))*(F3081/100)</f>
        <v/>
      </c>
      <c r="K3081">
        <f>J3081*(1+((Inputs!$B$12*(1+Inputs!$B$13/100))*0.01+Inputs!$B$14*0.0025)/100)*(1+Inputs!$B$15/100)*(1+Inputs!$B$16/100)*(5000/(6000+Inputs!$B$43*(1-(100*(1-(1-Inputs!$B$19/100)*(1-CHOOSE(ArtifactsInput!$N$40+1,5,6,7,8,9,10)/100)^(ArtifactsInput!$M$40-ArtifactsInput!$M$40)))/100)))*(1+(Inputs!$B$24+((C3110=TRUE)*(F3110-Calc!F31))+((C3097=TRUE)*(F3097-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IF(ArtifactsInput!$M$39,FALSE,TRUE)-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CRUEL_STAB",Inputs!$B$17+((C3107=TRUE)*(F3107-Calc!F28))+((IF(AND(Inputs!$B$39&lt;&gt;"pvp",Inputs!$B$44=0),1,IF(IF(Inputs!$B$39="pvp",15,Inputs!$B$44)-(B3124)&lt;=0,1,MAX(0,IF(Inputs!$B$39="pvp",15,Inputs!$B$44)-MAX(5,B3124))/(IF(Inputs!$B$39="pvp",15,Inputs!$B$44)-(B3124))))*(IF(AND(ArtifactsInput!$M$42,((Inputs!$B$9+((C3105=TRUE)*(F3105-Calc!F26))+B3113+(ArtifactsInput!$M$24-ArtifactsInput!$M$24)*CHOOSE(ArtifactsInput!$N$24+1,10,12,14,16,18,20)+IF(ArtifactsInput!$M$10,CHOOSE(ArtifactsInput!$N$10+1,15,18,21,24,27,30)*(IF(Inputs!$B$39="pvp",MIN(15,15)/15,IF(AND(Inputs!$B$39&lt;&gt;"pvp",Inputs!$B$44&gt;0),MIN(15,Inputs!$B$44)/(Inputs!$B$44),0))),0)))&gt;=100),MIN(100,((Inputs!$B$9+((C3105=TRUE)*(F3105-Calc!F26))+B3113+(ArtifactsInput!$M$24-ArtifactsInput!$M$24)*CHOOSE(ArtifactsInput!$N$24+1,10,12,14,16,18,20)+IF(ArtifactsInput!$M$10,CHOOSE(ArtifactsInput!$N$10+1,15,18,21,24,27,30)*(IF(Inputs!$B$39="pvp",MIN(15,15)/15,IF(AND(Inputs!$B$39&lt;&gt;"pvp",Inputs!$B$44&gt;0),MIN(15,Inputs!$B$44)/(Inputs!$B$44),0))),0)))-100),0))*CHOOSE(ArtifactsInput!$N$42+1,0.6,0.72,0.84,0.96,1.08,1.2))),Inputs!$B$18+((C3108=TRUE)*(F3108-Calc!F29))+(IF(AND(Inputs!$B$39&lt;&gt;"pvp",Inputs!$B$44=0),1,IF(IF(Inputs!$B$39="pvp",15,Inputs!$B$44)-(B3124)&lt;=0,1,MAX(0,IF(Inputs!$B$39="pvp",15,Inputs!$B$44)-MAX(5,B3124))/(IF(Inputs!$B$39="pvp",15,Inputs!$B$44)-(B3124))))*IF(AND(ArtifactsInput!$M$42,((Inputs!$B$9+((C3105=TRUE)*(F3105-Calc!F26))+B3113+(ArtifactsInput!$M$24-ArtifactsInput!$M$24)*CHOOSE(ArtifactsInput!$N$24+1,10,12,14,16,18,20)+IF(ArtifactsInput!$M$10,CHOOSE(ArtifactsInput!$N$10+1,15,18,21,24,27,30)*(IF(Inputs!$B$39="pvp",MIN(15,15)/15,IF(AND(Inputs!$B$39&lt;&gt;"pvp",Inputs!$B$44&gt;0),MIN(15,Inputs!$B$44)/(Inputs!$B$44),0))),0)))&gt;=100),CHOOSE(ArtifactsInput!$N$42+1,40,48,56,64,72,80),0))))/100)*(((1+(((C3101=TRUE)*F3101*IF(AND(Inputs!$B$39&lt;&gt;"pvp",Inputs!$B$44&gt;0),(((R3101-1)*MIN((Skills!Y22*(1+Inputs!$B$34/100)),(1/Q3101))+MIN((Skills!Y22*(1+Inputs!$B$34/100)),MAX(0,Inputs!$B$44-((R3101-1)*(1/Q3101)))))/Inputs!$B$44),IF(Inputs!$B$39="pvp",MIN((Skills!Y22*(1+Inputs!$B$34/100)),15)/15,MIN(1,(Skills!Y22*(1+Inputs!$B$34/100))/(1/Q3101)))))+((C3082=TRUE)*F3082*3)+((C3084=TRUE)*F3084*(1-EXP(-0.75*B3117*5)))+((C3103=TRUE)*(F3103-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3090=TRUE)*F3090*IF(AND(Inputs!$B$39&lt;&gt;"pvp",Inputs!$B$44&gt;0),(((R3090-1)*MIN((Skills!Y11*(1+Inputs!$B$34/100)),(1/Q3090))+MIN((Skills!Y11*(1+Inputs!$B$34/100)),MAX(0,Inputs!$B$44-((R3090-1)*(1/Q3090)))))/Inputs!$B$44),IF(Inputs!$B$39="pvp",MIN((Skills!Y11*(1+Inputs!$B$34/100)),15)/15,MIN(1,(Skills!Y11*(1+Inputs!$B$34/100))/(1/Q3090)))))/100)*(1+((C3095=TRUE)*F3095*IF(AND(Inputs!$B$39&lt;&gt;"pvp",Inputs!$B$44&gt;0),(((R3095-1)*MIN((Skills!Y16*(1+Inputs!$B$34/100)),(1/Q3095))+MIN((Skills!Y16*(1+Inputs!$B$34/100)),MAX(0,Inputs!$B$44-((R3095-1)*(1/Q3095)))))/Inputs!$B$44),IF(Inputs!$B$39="pvp",MIN((Skills!Y16*(1+Inputs!$B$34/100)),15)/15,MIN(1,(Skills!Y16*(1+Inputs!$B$34/100))/(1/Q3095)))))/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3115*I3081)</f>
        <v/>
      </c>
      <c r="L3081">
        <f>K3081*(MIN(Inputs!$B$22+((C3104=TRUE)*(F3104-Calc!F25)),(Inputs!$B$23+((C3109=TRUE)*(F3109-Calc!F30))+IF(ArtifactsInput!$M$15,CHOOSE(ArtifactsInput!$N$15+1,25,30,35,40,45,50)/100*(Inputs!$B$11-Inputs!$B$11),0)))/100+(Inputs!$B$23+((C3109=TRUE)*(F3109-Calc!F30))+IF(ArtifactsInput!$M$15,CHOOSE(ArtifactsInput!$N$15+1,25,30,35,40,45,50)/100*(Inputs!$B$11-Inputs!$B$11),0))/100)/2</f>
        <v/>
      </c>
      <c r="M3081">
        <f>L3081*(1+(Inputs!$B$10+((C3106=TRUE)*(F3106-Calc!F27))+B3120+(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3081">
        <f>L3081*(1-MIN((Inputs!$B$9+((C3105=TRUE)*(F3105-Calc!F26))+B3113+(ArtifactsInput!$M$24-ArtifactsInput!$M$24)*CHOOSE(ArtifactsInput!$N$24+1,10,12,14,16,18,20)+(IF(AND(Inputs!$B$39&lt;&gt;"pvp",Inputs!$B$44=0),1,IF(IF(Inputs!$B$39="pvp",15,Inputs!$B$44)-(B3124)&lt;=0,1,MAX(0,IF(Inputs!$B$39="pvp",15,Inputs!$B$44)-MAX(5,B3124))/(IF(Inputs!$B$39="pvp",15,Inputs!$B$44)-(B3124))))*IF(AND(ArtifactsInput!$M$42,((Inputs!$B$9+((C3105=TRUE)*(F3105-Calc!F26))+B3113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3081*(MIN((Inputs!$B$9+((C3105=TRUE)*(F3105-Calc!F26))+B3113+(ArtifactsInput!$M$24-ArtifactsInput!$M$24)*CHOOSE(ArtifactsInput!$N$24+1,10,12,14,16,18,20)+(IF(AND(Inputs!$B$39&lt;&gt;"pvp",Inputs!$B$44=0),1,IF(IF(Inputs!$B$39="pvp",15,Inputs!$B$44)-(B3124)&lt;=0,1,MAX(0,IF(Inputs!$B$39="pvp",15,Inputs!$B$44)-MAX(5,B3124))/(IF(Inputs!$B$39="pvp",15,Inputs!$B$44)-(B3124))))*IF(AND(ArtifactsInput!$M$42,((Inputs!$B$9+((C3105=TRUE)*(F3105-Calc!F26))+B3113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3081">
        <f>(1-Summary!$B$11)*T3081+Summary!$B$11*V3081</f>
        <v/>
      </c>
      <c r="P3081">
        <f>IF(B3125=0,0,O3081/B3125)</f>
        <v/>
      </c>
      <c r="Q3081" t="n">
        <v>0</v>
      </c>
      <c r="R3081" t="n">
        <v>0</v>
      </c>
      <c r="S3081">
        <f>IFERROR(O3081/N3081,0)</f>
        <v/>
      </c>
      <c r="T3081">
        <f>IF(C3081,(Skills!G2*N3081*B3119)*IF(Inputs!$B$39="pvp",1,1+(Inputs!$B$20+0+Skills!P2+B3114+(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Hunt"),CHOOSE(ArtifactsInput!$N$35+1,15,18,21,24,27,30)*(1-EXP(-(0.2*B3117)*5)),0)+IF(AND(ArtifactsInput!$M$22,Inputs!$B$4&lt;&gt;"Chapter Hunt"),CHOOSE(ArtifactsInput!$N$22+1,10,12,14,16,18,20)*((0*(((0.15*B3117*5))^0/1)+1*(((0.15*B3117*5))^1/1)+2*(((0.15*B3117*5))^2/2)+3*(((0.15*B3117*5))^3/6)+4*(((0.15*B3117*5))^4/24)+5*(((0.15*B3117*5))^5/120))/((((0.15*B3117*5))^0/1)+(((0.15*B3117*5))^1/1)+(((0.15*B3117*5))^2/2)+(((0.15*B3117*5))^3/6)+(((0.15*B3117*5))^4/24)+(((0.15*B3117*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3081*(1-MIN(100,(Inputs!$B$9+((C3105=TRUE)*(F3105-Calc!F26))+B3113+(ArtifactsInput!$M$24-ArtifactsInput!$M$24)*CHOOSE(ArtifactsInput!$N$24+1,10,12,14,16,18,20)+(IF(AND(Inputs!$B$39&lt;&gt;"pvp",Inputs!$B$44=0),1,IF(IF(Inputs!$B$39="pvp",15,Inputs!$B$44)-(B3124)&lt;=0,1,MAX(0,IF(Inputs!$B$39="pvp",15,Inputs!$B$44)-MAX(5,B3124))/(IF(Inputs!$B$39="pvp",15,Inputs!$B$44)-(B3124))))*IF(AND(ArtifactsInput!$M$42,((Inputs!$B$9+((C3105=TRUE)*(F3105-Calc!F26))+B3113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3081*(MIN(100,(Inputs!$B$9+((C3105=TRUE)*(F3105-Calc!F26))+B3113+(ArtifactsInput!$M$24-ArtifactsInput!$M$24)*CHOOSE(ArtifactsInput!$N$24+1,10,12,14,16,18,20)+(IF(AND(Inputs!$B$39&lt;&gt;"pvp",Inputs!$B$44=0),1,IF(IF(Inputs!$B$39="pvp",15,Inputs!$B$44)-(B3124)&lt;=0,1,MAX(0,IF(Inputs!$B$39="pvp",15,Inputs!$B$44)-MAX(5,B3124))/(IF(Inputs!$B$39="pvp",15,Inputs!$B$44)-(B3124))))*IF(AND(ArtifactsInput!$M$42,((Inputs!$B$9+((C3105=TRUE)*(F3105-Calc!F26))+B3113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3081*(1-MIN(100,(Inputs!$B$9+((C3105=TRUE)*(F3105-Calc!F26))+B3113+(ArtifactsInput!$M$24-ArtifactsInput!$M$24)*CHOOSE(ArtifactsInput!$N$24+1,10,12,14,16,18,20)+(IF(AND(Inputs!$B$39&lt;&gt;"pvp",Inputs!$B$44=0),1,IF(IF(Inputs!$B$39="pvp",15,Inputs!$B$44)-(B3124)&lt;=0,1,MAX(0,IF(Inputs!$B$39="pvp",15,Inputs!$B$44)-MAX(5,B3124))/(IF(Inputs!$B$39="pvp",15,Inputs!$B$44)-(B3124))))*IF(AND(ArtifactsInput!$M$42,((Inputs!$B$9+((C3105=TRUE)*(F3105-Calc!F26))+B3113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3081*(MIN(100,(Inputs!$B$9+((C3105=TRUE)*(F3105-Calc!F26))+B3113+(ArtifactsInput!$M$24-ArtifactsInput!$M$24)*CHOOSE(ArtifactsInput!$N$24+1,10,12,14,16,18,20)+(IF(AND(Inputs!$B$39&lt;&gt;"pvp",Inputs!$B$44=0),1,IF(IF(Inputs!$B$39="pvp",15,Inputs!$B$44)-(B3124)&lt;=0,1,MAX(0,IF(Inputs!$B$39="pvp",15,Inputs!$B$44)-MAX(5,B3124))/(IF(Inputs!$B$39="pvp",15,Inputs!$B$44)-(B3124))))*IF(AND(ArtifactsInput!$M$42,((Inputs!$B$9+((C3105=TRUE)*(F3105-Calc!F26))+B3113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3081">
        <f>MAX(0,(Inputs!$B$3-100)*3)+Inputs!$B$28+Inputs!$B$29</f>
        <v/>
      </c>
      <c r="V3081">
        <f>IF(C3081,(Skills!G2*N3081*B3119)*IF(Inputs!$B$39="pvp",1,(1+(Inputs!$B$21+Skills!Q2+B3114+(IF(ArtifactsInput!$M$33,CHOOSE(ArtifactsInput!$N$33+1,30,36,42,48,54,60),0))+(IF(AND(ArtifactsInput!$M$35,Inputs!$B$4&lt;&gt;"Chapter Hunt"),CHOOSE(ArtifactsInput!$N$35+1,15,18,21,24,27,30)*(1-EXP(-(0.2*B3117)*5)),0)+IF(AND(ArtifactsInput!$M$22,Inputs!$B$4&lt;&gt;"Chapter Hunt"),CHOOSE(ArtifactsInput!$N$22+1,10,12,14,16,18,20)*((0*(((0.15*B3117*5))^0/1)+1*(((0.15*B3117*5))^1/1)+2*(((0.15*B3117*5))^2/2)+3*(((0.15*B3117*5))^3/6)+4*(((0.15*B3117*5))^4/24)+5*(((0.15*B3117*5))^5/120))/((((0.15*B3117*5))^0/1)+(((0.15*B3117*5))^1/1)+(((0.15*B3117*5))^2/2)+(((0.15*B3117*5))^3/6)+(((0.15*B3117*5))^4/24)+(((0.15*B3117*5))^5/120))),0)))/100)*(MIN((6+Inputs!$B$33),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3082">
      <c r="A3082">
        <f>Skills!A3</f>
        <v/>
      </c>
      <c r="B3082">
        <f>Skills!B3</f>
        <v/>
      </c>
      <c r="C3082">
        <f>Inputs!$B$3&gt;=35</f>
        <v/>
      </c>
      <c r="D3082">
        <f>IF(Skills!C3=1,60+Inputs!$B$25+Inputs!$B$29,IF(Skills!C3=2,90+Inputs!$B$26+Inputs!$B$29,IF(Skills!C3=3,120+Inputs!$B$27+Inputs!$B$29,MAX(0,(Inputs!$B$3-100)*3)+Inputs!$B$28+Inputs!$B$29)))</f>
        <v/>
      </c>
      <c r="E3082">
        <f>INDEX(FactorTable!$B$2:$Y$301, MATCH(ROUND(MIN(300,MAX(1,D3082)),0), FactorTable!$A$2:$A$301,0), Skills!M3+1)</f>
        <v/>
      </c>
      <c r="F3082">
        <f>IF(Skills!N3=TRUE,(Skills!L3/10)*(E3082/1000),Skills!L3/10)+Skills!O3</f>
        <v/>
      </c>
      <c r="G3082">
        <f>Skills!G3*IF(Skills!H3&gt;0,IF(Inputs!$B$39="pvp",MIN(Skills!I3,15),Skills!I3)/Skills!H3,1)</f>
        <v/>
      </c>
      <c r="H3082">
        <f>1-(1-Skills!J3/100)^Skills!K3</f>
        <v/>
      </c>
      <c r="I3082" t="inlineStr">
        <is>
          <t>1</t>
        </is>
      </c>
      <c r="J3082" t="inlineStr"/>
      <c r="K3082" t="inlineStr"/>
      <c r="L3082" t="inlineStr"/>
      <c r="M3082" t="inlineStr"/>
      <c r="N3082" t="inlineStr"/>
      <c r="O3082">
        <f>(1-Summary!$B$11)*T3082+Summary!$B$11*V3082</f>
        <v/>
      </c>
      <c r="P3082">
        <f>IF(B3125=0,0,O3082/B3125)</f>
        <v/>
      </c>
      <c r="Q3082" t="n">
        <v>0</v>
      </c>
      <c r="R3082" t="n">
        <v>0</v>
      </c>
      <c r="S3082">
        <f>IFERROR(O3082/N3082,0)</f>
        <v/>
      </c>
      <c r="T3082" t="n">
        <v>0</v>
      </c>
      <c r="U3082">
        <f>INDEX(FactorTable!$B$2:$Y$301, MATCH(ROUND(MIN(300,MAX(1,U3081)),0), FactorTable!$A$2:$A$301,0), 22)</f>
        <v/>
      </c>
      <c r="V3082" t="n">
        <v>0</v>
      </c>
    </row>
    <row r="3083">
      <c r="A3083">
        <f>Skills!A4</f>
        <v/>
      </c>
      <c r="B3083">
        <f>Skills!B4</f>
        <v/>
      </c>
      <c r="C3083">
        <f>Inputs!$B$3&gt;=66</f>
        <v/>
      </c>
      <c r="D3083">
        <f>IF(Skills!C4=1,60+Inputs!$B$25+Inputs!$B$29,IF(Skills!C4=2,90+Inputs!$B$26+Inputs!$B$29,IF(Skills!C4=3,120+Inputs!$B$27+Inputs!$B$29,MAX(0,(Inputs!$B$3-100)*3)+Inputs!$B$28+Inputs!$B$29)))</f>
        <v/>
      </c>
      <c r="E3083">
        <f>INDEX(FactorTable!$B$2:$Y$301, MATCH(ROUND(MIN(300,MAX(1,D3083)),0), FactorTable!$A$2:$A$301,0), Skills!M4+1)</f>
        <v/>
      </c>
      <c r="F3083">
        <f>IF(Skills!N4=TRUE,(Skills!L4/10)*(E3083/1000),Skills!L4/10)+Skills!O4</f>
        <v/>
      </c>
      <c r="G3083">
        <f>Skills!G4*IF(Skills!H4&gt;0,IF(Inputs!$B$39="pvp",MIN(Skills!I4,15),Skills!I4)/Skills!H4,1)</f>
        <v/>
      </c>
      <c r="H3083">
        <f>1-(1-Skills!J4/100)^Skills!K4</f>
        <v/>
      </c>
      <c r="I3083" t="inlineStr">
        <is>
          <t>1</t>
        </is>
      </c>
      <c r="J3083">
        <f>((Inputs!$B$6*(1+Inputs!$B$7/100))+(((Inputs!$B$12*(1+Inputs!$B$13/100))-(Inputs!$B$12*(1+Inputs!$B$13/100)))+0.25*(Inputs!$B$14-Inputs!$B$14))*(1+Inputs!$B$7/100))*(F3083/100)</f>
        <v/>
      </c>
      <c r="K3083">
        <f>J3083*(1+((Inputs!$B$12*(1+Inputs!$B$13/100))*0.01+Inputs!$B$14*0.0025)/100)*(1+Inputs!$B$15/100)*(1+Inputs!$B$16/100)*(5000/(6000+Inputs!$B$43*(1-(100*(1-(1-Inputs!$B$19/100)*(1-CHOOSE(ArtifactsInput!$N$40+1,5,6,7,8,9,10)/100)^(ArtifactsInput!$M$40-ArtifactsInput!$M$40)))/100)))*(1+(Inputs!$B$24+((C3110=TRUE)*(F3110-Calc!F31))+((C3097=TRUE)*(F3097-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IF(ArtifactsInput!$M$39,FALSE,TRUE)-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4="CRUEL_STAB",Inputs!$B$17+((C3107=TRUE)*(F3107-Calc!F28))+((IF(AND(Inputs!$B$39&lt;&gt;"pvp",Inputs!$B$44=0),1,IF(IF(Inputs!$B$39="pvp",15,Inputs!$B$44)-(B3124)&lt;=0,1,MAX(0,IF(Inputs!$B$39="pvp",15,Inputs!$B$44)-MAX(5,B3124))/(IF(Inputs!$B$39="pvp",15,Inputs!$B$44)-(B3124))))*(IF(AND(ArtifactsInput!$M$42,((Inputs!$B$9+((C3105=TRUE)*(F3105-Calc!F26))+B3113+(ArtifactsInput!$M$24-ArtifactsInput!$M$24)*CHOOSE(ArtifactsInput!$N$24+1,10,12,14,16,18,20)+IF(ArtifactsInput!$M$10,CHOOSE(ArtifactsInput!$N$10+1,15,18,21,24,27,30)*(IF(Inputs!$B$39="pvp",MIN(15,15)/15,IF(AND(Inputs!$B$39&lt;&gt;"pvp",Inputs!$B$44&gt;0),MIN(15,Inputs!$B$44)/(Inputs!$B$44),0))),0)))&gt;=100),MIN(100,((Inputs!$B$9+((C3105=TRUE)*(F3105-Calc!F26))+B3113+(ArtifactsInput!$M$24-ArtifactsInput!$M$24)*CHOOSE(ArtifactsInput!$N$24+1,10,12,14,16,18,20)+IF(ArtifactsInput!$M$10,CHOOSE(ArtifactsInput!$N$10+1,15,18,21,24,27,30)*(IF(Inputs!$B$39="pvp",MIN(15,15)/15,IF(AND(Inputs!$B$39&lt;&gt;"pvp",Inputs!$B$44&gt;0),MIN(15,Inputs!$B$44)/(Inputs!$B$44),0))),0)))-100),0))*CHOOSE(ArtifactsInput!$N$42+1,0.6,0.72,0.84,0.96,1.08,1.2))),Inputs!$B$18+((C3108=TRUE)*(F3108-Calc!F29))+(IF(AND(Inputs!$B$39&lt;&gt;"pvp",Inputs!$B$44=0),1,IF(IF(Inputs!$B$39="pvp",15,Inputs!$B$44)-(B3124)&lt;=0,1,MAX(0,IF(Inputs!$B$39="pvp",15,Inputs!$B$44)-MAX(5,B3124))/(IF(Inputs!$B$39="pvp",15,Inputs!$B$44)-(B3124))))*IF(AND(ArtifactsInput!$M$42,((Inputs!$B$9+((C3105=TRUE)*(F3105-Calc!F26))+B3113+(ArtifactsInput!$M$24-ArtifactsInput!$M$24)*CHOOSE(ArtifactsInput!$N$24+1,10,12,14,16,18,20)+IF(ArtifactsInput!$M$10,CHOOSE(ArtifactsInput!$N$10+1,15,18,21,24,27,30)*(IF(Inputs!$B$39="pvp",MIN(15,15)/15,IF(AND(Inputs!$B$39&lt;&gt;"pvp",Inputs!$B$44&gt;0),MIN(15,Inputs!$B$44)/(Inputs!$B$44),0))),0)))&gt;=100),CHOOSE(ArtifactsInput!$N$42+1,40,48,56,64,72,80),0))))/100)*(((1+(((C3101=TRUE)*F3101*IF(AND(Inputs!$B$39&lt;&gt;"pvp",Inputs!$B$44&gt;0),(((R3101-1)*MIN((Skills!Y22*(1+Inputs!$B$34/100)),(1/Q3101))+MIN((Skills!Y22*(1+Inputs!$B$34/100)),MAX(0,Inputs!$B$44-((R3101-1)*(1/Q3101)))))/Inputs!$B$44),IF(Inputs!$B$39="pvp",MIN((Skills!Y22*(1+Inputs!$B$34/100)),15)/15,MIN(1,(Skills!Y22*(1+Inputs!$B$34/100))/(1/Q3101)))))+((C3082=TRUE)*F3082*3)+((C3084=TRUE)*F3084*(1-EXP(-0.75*B3117*5)))+((C3103=TRUE)*(F3103-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3090=TRUE)*F3090*IF(AND(Inputs!$B$39&lt;&gt;"pvp",Inputs!$B$44&gt;0),(((R3090-1)*MIN((Skills!Y11*(1+Inputs!$B$34/100)),(1/Q3090))+MIN((Skills!Y11*(1+Inputs!$B$34/100)),MAX(0,Inputs!$B$44-((R3090-1)*(1/Q3090)))))/Inputs!$B$44),IF(Inputs!$B$39="pvp",MIN((Skills!Y11*(1+Inputs!$B$34/100)),15)/15,MIN(1,(Skills!Y11*(1+Inputs!$B$34/100))/(1/Q3090)))))/100)*(1+((C3095=TRUE)*F3095*IF(AND(Inputs!$B$39&lt;&gt;"pvp",Inputs!$B$44&gt;0),(((R3095-1)*MIN((Skills!Y16*(1+Inputs!$B$34/100)),(1/Q3095))+MIN((Skills!Y16*(1+Inputs!$B$34/100)),MAX(0,Inputs!$B$44-((R3095-1)*(1/Q3095)))))/Inputs!$B$44),IF(Inputs!$B$39="pvp",MIN((Skills!Y16*(1+Inputs!$B$34/100)),15)/15,MIN(1,(Skills!Y16*(1+Inputs!$B$34/100))/(1/Q3095)))))/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3115*I3083)</f>
        <v/>
      </c>
      <c r="L3083">
        <f>K3083*(MIN(Inputs!$B$22+((C3104=TRUE)*(F3104-Calc!F25)),(Inputs!$B$23+((C3109=TRUE)*(F3109-Calc!F30))+IF(ArtifactsInput!$M$15,CHOOSE(ArtifactsInput!$N$15+1,25,30,35,40,45,50)/100*(Inputs!$B$11-Inputs!$B$11),0)))/100+(Inputs!$B$23+((C3109=TRUE)*(F3109-Calc!F30))+IF(ArtifactsInput!$M$15,CHOOSE(ArtifactsInput!$N$15+1,25,30,35,40,45,50)/100*(Inputs!$B$11-Inputs!$B$11),0))/100)/2</f>
        <v/>
      </c>
      <c r="M3083">
        <f>L3083*(1+(Inputs!$B$10+((C3106=TRUE)*(F3106-Calc!F27))+B3120+(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3083">
        <f>L3083*(1-MIN((Inputs!$B$9+((C3105=TRUE)*(F3105-Calc!F26))+B3113+(ArtifactsInput!$M$24-ArtifactsInput!$M$24)*CHOOSE(ArtifactsInput!$N$24+1,10,12,14,16,18,20)+(IF(AND(Inputs!$B$39&lt;&gt;"pvp",Inputs!$B$44=0),1,IF(IF(Inputs!$B$39="pvp",15,Inputs!$B$44)-(B3124)&lt;=0,1,MAX(0,IF(Inputs!$B$39="pvp",15,Inputs!$B$44)-MAX(5,B3124))/(IF(Inputs!$B$39="pvp",15,Inputs!$B$44)-(B3124))))*IF(AND(ArtifactsInput!$M$42,((Inputs!$B$9+((C3105=TRUE)*(F3105-Calc!F26))+B3113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3083*(MIN((Inputs!$B$9+((C3105=TRUE)*(F3105-Calc!F26))+B3113+(ArtifactsInput!$M$24-ArtifactsInput!$M$24)*CHOOSE(ArtifactsInput!$N$24+1,10,12,14,16,18,20)+(IF(AND(Inputs!$B$39&lt;&gt;"pvp",Inputs!$B$44=0),1,IF(IF(Inputs!$B$39="pvp",15,Inputs!$B$44)-(B3124)&lt;=0,1,MAX(0,IF(Inputs!$B$39="pvp",15,Inputs!$B$44)-MAX(5,B3124))/(IF(Inputs!$B$39="pvp",15,Inputs!$B$44)-(B3124))))*IF(AND(ArtifactsInput!$M$42,((Inputs!$B$9+((C3105=TRUE)*(F3105-Calc!F26))+B3113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3083">
        <f>(1-Summary!$B$11)*T3083+Summary!$B$11*V3083</f>
        <v/>
      </c>
      <c r="P3083">
        <f>IF(B3125=0,0,O3083/B3125)</f>
        <v/>
      </c>
      <c r="Q3083">
        <f>IFERROR(1/IF(Inputs!$B$39="pvp",15,MAX(0.1,Skills!D4-IF(TRUE=TRUE,Inputs!$B$32,0))),0)</f>
        <v/>
      </c>
      <c r="R3083">
        <f>IF(AND(Inputs!$B$39&lt;&gt;"pvp",Inputs!$B$44&gt;0),IF(MAX(0,Inputs!$B$44-B3124)&lt;=0,0,(INT(MAX(0,Inputs!$B$44-B3124)/IF(Inputs!$B$39="pvp",15,MAX(0.1,Skills!D4-IF(TRUE=TRUE,Inputs!$B$32,0))))+1)),0)</f>
        <v/>
      </c>
      <c r="S3083">
        <f>IFERROR(O3083/N3083,0)</f>
        <v/>
      </c>
      <c r="T3083">
        <f>IF(C3083,(H3083*N3083*IF(AND(Inputs!$B$39&lt;&gt;"pvp",Inputs!$B$44&gt;0),((Skills!G4*((R3083-1)*IF(Skills!H4&gt;0,Skills!I4/Skills!H4,1)+IF(Skills!H4&gt;0,MIN(Skills!I4,MAX(0,MAX(0,Inputs!$B$44-B3124)-((R3083-1)*IF(Inputs!$B$39="pvp",15,MAX(0.1,Skills!D4-IF(TRUE=TRUE,Inputs!$B$32,0))))))/Skills!H4,1)))/Inputs!$B$44),G3083*Q3083))*IF(Inputs!$B$39="pvp",1,1+(Inputs!$B$20+0+Skills!P4+B3114+(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Hunt"),CHOOSE(ArtifactsInput!$N$35+1,15,18,21,24,27,30)*(1-EXP(-(0.2*B3117)*5)),0)+IF(AND(ArtifactsInput!$M$22,Inputs!$B$4&lt;&gt;"Chapter Hunt"),CHOOSE(ArtifactsInput!$N$22+1,10,12,14,16,18,20)*((0*(((0.15*B3117*5))^0/1)+1*(((0.15*B3117*5))^1/1)+2*(((0.15*B3117*5))^2/2)+3*(((0.15*B3117*5))^3/6)+4*(((0.15*B3117*5))^4/24)+5*(((0.15*B3117*5))^5/120))/((((0.15*B3117*5))^0/1)+(((0.15*B3117*5))^1/1)+(((0.15*B3117*5))^2/2)+(((0.15*B3117*5))^3/6)+(((0.15*B3117*5))^4/24)+(((0.15*B3117*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3083*(1-MIN(100,(Inputs!$B$9+((C3105=TRUE)*(F3105-Calc!F26))+B3113+(ArtifactsInput!$M$24-ArtifactsInput!$M$24)*CHOOSE(ArtifactsInput!$N$24+1,10,12,14,16,18,20)+(IF(AND(Inputs!$B$39&lt;&gt;"pvp",Inputs!$B$44=0),1,IF(IF(Inputs!$B$39="pvp",15,Inputs!$B$44)-(B3124)&lt;=0,1,MAX(0,IF(Inputs!$B$39="pvp",15,Inputs!$B$44)-MAX(5,B3124))/(IF(Inputs!$B$39="pvp",15,Inputs!$B$44)-(B3124))))*IF(AND(ArtifactsInput!$M$42,((Inputs!$B$9+((C3105=TRUE)*(F3105-Calc!F26))+B3113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3083*(MIN(100,(Inputs!$B$9+((C3105=TRUE)*(F3105-Calc!F26))+B3113+(ArtifactsInput!$M$24-ArtifactsInput!$M$24)*CHOOSE(ArtifactsInput!$N$24+1,10,12,14,16,18,20)+(IF(AND(Inputs!$B$39&lt;&gt;"pvp",Inputs!$B$44=0),1,IF(IF(Inputs!$B$39="pvp",15,Inputs!$B$44)-(B3124)&lt;=0,1,MAX(0,IF(Inputs!$B$39="pvp",15,Inputs!$B$44)-MAX(5,B3124))/(IF(Inputs!$B$39="pvp",15,Inputs!$B$44)-(B3124))))*IF(AND(ArtifactsInput!$M$42,((Inputs!$B$9+((C3105=TRUE)*(F3105-Calc!F26))+B3113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3083*(1-MIN(100,(Inputs!$B$9+((C3105=TRUE)*(F3105-Calc!F26))+B3113+(ArtifactsInput!$M$24-ArtifactsInput!$M$24)*CHOOSE(ArtifactsInput!$N$24+1,10,12,14,16,18,20)+(IF(AND(Inputs!$B$39&lt;&gt;"pvp",Inputs!$B$44=0),1,IF(IF(Inputs!$B$39="pvp",15,Inputs!$B$44)-(B3124)&lt;=0,1,MAX(0,IF(Inputs!$B$39="pvp",15,Inputs!$B$44)-MAX(5,B3124))/(IF(Inputs!$B$39="pvp",15,Inputs!$B$44)-(B3124))))*IF(AND(ArtifactsInput!$M$42,((Inputs!$B$9+((C3105=TRUE)*(F3105-Calc!F26))+B3113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3083*(MIN(100,(Inputs!$B$9+((C3105=TRUE)*(F3105-Calc!F26))+B3113+(ArtifactsInput!$M$24-ArtifactsInput!$M$24)*CHOOSE(ArtifactsInput!$N$24+1,10,12,14,16,18,20)+(IF(AND(Inputs!$B$39&lt;&gt;"pvp",Inputs!$B$44=0),1,IF(IF(Inputs!$B$39="pvp",15,Inputs!$B$44)-(B3124)&lt;=0,1,MAX(0,IF(Inputs!$B$39="pvp",15,Inputs!$B$44)-MAX(5,B3124))/(IF(Inputs!$B$39="pvp",15,Inputs!$B$44)-(B3124))))*IF(AND(ArtifactsInput!$M$42,((Inputs!$B$9+((C3105=TRUE)*(F3105-Calc!F26))+B3113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3083">
        <f>290*U3082/1000</f>
        <v/>
      </c>
      <c r="V3083">
        <f>IF(C3083,(H3083*N3083*IF(AND(Inputs!$B$39&lt;&gt;"pvp",Inputs!$B$44&gt;0),((Skills!G4*((R3083-1)*IF(Skills!H4&gt;0,Skills!I4/Skills!H4,1)+IF(Skills!H4&gt;0,MIN(Skills!I4,MAX(0,MAX(0,Inputs!$B$44-B3124)-((R3083-1)*IF(Inputs!$B$39="pvp",15,MAX(0.1,Skills!D4-IF(TRUE=TRUE,Inputs!$B$32,0))))))/Skills!H4,1)))/Inputs!$B$44),G3083*Q3083))*IF(Inputs!$B$39="pvp",1,(1+(Inputs!$B$21+Skills!Q4+B3114+(IF(ArtifactsInput!$M$33,CHOOSE(ArtifactsInput!$N$33+1,30,36,42,48,54,60),0))+(IF(AND(ArtifactsInput!$M$35,Inputs!$B$4&lt;&gt;"Chapter Hunt"),CHOOSE(ArtifactsInput!$N$35+1,15,18,21,24,27,30)*(1-EXP(-(0.2*B3117)*5)),0)+IF(AND(ArtifactsInput!$M$22,Inputs!$B$4&lt;&gt;"Chapter Hunt"),CHOOSE(ArtifactsInput!$N$22+1,10,12,14,16,18,20)*((0*(((0.15*B3117*5))^0/1)+1*(((0.15*B3117*5))^1/1)+2*(((0.15*B3117*5))^2/2)+3*(((0.15*B3117*5))^3/6)+4*(((0.15*B3117*5))^4/24)+5*(((0.15*B3117*5))^5/120))/((((0.15*B3117*5))^0/1)+(((0.15*B3117*5))^1/1)+(((0.15*B3117*5))^2/2)+(((0.15*B3117*5))^3/6)+(((0.15*B3117*5))^4/24)+(((0.15*B3117*5))^5/120))),0)))/100)*(MIN(MIN(10,IF(Inputs!$B$3&gt;=75,0.75,0.5)*B3117*(1/Q3083)),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3084">
      <c r="A3084">
        <f>Skills!A5</f>
        <v/>
      </c>
      <c r="B3084">
        <f>Skills!B5</f>
        <v/>
      </c>
      <c r="C3084">
        <f>Inputs!$B$3&gt;=75</f>
        <v/>
      </c>
      <c r="D3084">
        <f>IF(Skills!C5=1,60+Inputs!$B$25+Inputs!$B$29,IF(Skills!C5=2,90+Inputs!$B$26+Inputs!$B$29,IF(Skills!C5=3,120+Inputs!$B$27+Inputs!$B$29,MAX(0,(Inputs!$B$3-100)*3)+Inputs!$B$28+Inputs!$B$29)))</f>
        <v/>
      </c>
      <c r="E3084">
        <f>INDEX(FactorTable!$B$2:$Y$301, MATCH(ROUND(MIN(300,MAX(1,D3084)),0), FactorTable!$A$2:$A$301,0), Skills!M5+1)</f>
        <v/>
      </c>
      <c r="F3084">
        <f>IF(Skills!N5=TRUE,(Skills!L5/10)*(E3084/1000),Skills!L5/10)+Skills!O5</f>
        <v/>
      </c>
      <c r="G3084">
        <f>Skills!G5*IF(Skills!H5&gt;0,IF(Inputs!$B$39="pvp",MIN(Skills!I5,15),Skills!I5)/Skills!H5,1)</f>
        <v/>
      </c>
      <c r="H3084">
        <f>1-(1-Skills!J5/100)^Skills!K5</f>
        <v/>
      </c>
      <c r="I3084" t="inlineStr">
        <is>
          <t>1</t>
        </is>
      </c>
      <c r="J3084" t="inlineStr"/>
      <c r="K3084" t="inlineStr"/>
      <c r="L3084" t="inlineStr"/>
      <c r="M3084" t="inlineStr"/>
      <c r="N3084" t="inlineStr"/>
      <c r="O3084">
        <f>(1-Summary!$B$11)*T3084+Summary!$B$11*V3084</f>
        <v/>
      </c>
      <c r="P3084">
        <f>IF(B3125=0,0,O3084/B3125)</f>
        <v/>
      </c>
      <c r="Q3084" t="n">
        <v>0</v>
      </c>
      <c r="R3084" t="n">
        <v>0</v>
      </c>
      <c r="S3084">
        <f>IFERROR(O3084/N3084,0)</f>
        <v/>
      </c>
      <c r="T3084" t="n">
        <v>0</v>
      </c>
      <c r="V3084" t="n">
        <v>0</v>
      </c>
    </row>
    <row r="3085">
      <c r="A3085">
        <f>Skills!A6</f>
        <v/>
      </c>
      <c r="B3085">
        <f>Skills!B6</f>
        <v/>
      </c>
      <c r="C3085">
        <f>Inputs!$B$3&gt;=63</f>
        <v/>
      </c>
      <c r="D3085">
        <f>IF(Skills!C6=1,60+Inputs!$B$25+Inputs!$B$29,IF(Skills!C6=2,90+Inputs!$B$26+Inputs!$B$29,IF(Skills!C6=3,120+Inputs!$B$27+Inputs!$B$29,MAX(0,(Inputs!$B$3-100)*3)+Inputs!$B$28+Inputs!$B$29)))</f>
        <v/>
      </c>
      <c r="E3085">
        <f>INDEX(FactorTable!$B$2:$Y$301, MATCH(ROUND(MIN(300,MAX(1,D3085)),0), FactorTable!$A$2:$A$301,0), Skills!M6+1)</f>
        <v/>
      </c>
      <c r="F3085">
        <f>IF(Skills!N6=TRUE,(Skills!L6/10)*(E3085/1000),Skills!L6/10)+Skills!O6</f>
        <v/>
      </c>
      <c r="G3085">
        <f>Skills!G6*IF(Skills!H6&gt;0,IF(Inputs!$B$39="pvp",MIN(Skills!I6,15),Skills!I6)/Skills!H6,1)</f>
        <v/>
      </c>
      <c r="H3085">
        <f>1-(1-Skills!J6/100)^Skills!K6</f>
        <v/>
      </c>
      <c r="I3085" t="inlineStr">
        <is>
          <t>1</t>
        </is>
      </c>
      <c r="J3085">
        <f>((Inputs!$B$6*(1+Inputs!$B$7/100))+(((Inputs!$B$12*(1+Inputs!$B$13/100))-(Inputs!$B$12*(1+Inputs!$B$13/100)))+0.25*(Inputs!$B$14-Inputs!$B$14))*(1+Inputs!$B$7/100))*(F3085/100)</f>
        <v/>
      </c>
      <c r="K3085">
        <f>J3085*(1+((Inputs!$B$12*(1+Inputs!$B$13/100))*0.01+Inputs!$B$14*0.0025)/100)*(1+Inputs!$B$15/100)*(1+Inputs!$B$16/100)*(5000/(6000+Inputs!$B$43*(1-(100*(1-(1-Inputs!$B$19/100)*(1-CHOOSE(ArtifactsInput!$N$40+1,5,6,7,8,9,10)/100)^(ArtifactsInput!$M$40-ArtifactsInput!$M$40)))/100)))*(1+(Inputs!$B$24+((C3110=TRUE)*(F3110-Calc!F31))+((C3097=TRUE)*(F3097-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IF(ArtifactsInput!$M$39,FALSE,TRUE)-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+2.6666666666666665*IF(C3098=TRUE,F3098,0)/100)*(1+(IF(Skills!A6="CRUEL_STAB",Inputs!$B$17+((C3107=TRUE)*(F3107-Calc!F28))+((IF(AND(Inputs!$B$39&lt;&gt;"pvp",Inputs!$B$44=0),1,IF(IF(Inputs!$B$39="pvp",15,Inputs!$B$44)-(B3124)&lt;=0,1,MAX(0,IF(Inputs!$B$39="pvp",15,Inputs!$B$44)-MAX(5,B3124))/(IF(Inputs!$B$39="pvp",15,Inputs!$B$44)-(B3124))))*(IF(AND(ArtifactsInput!$M$42,((Inputs!$B$9+((C3105=TRUE)*(F3105-Calc!F26))+B3113+(ArtifactsInput!$M$24-ArtifactsInput!$M$24)*CHOOSE(ArtifactsInput!$N$24+1,10,12,14,16,18,20)+IF(ArtifactsInput!$M$10,CHOOSE(ArtifactsInput!$N$10+1,15,18,21,24,27,30)*(IF(Inputs!$B$39="pvp",MIN(15,15)/15,IF(AND(Inputs!$B$39&lt;&gt;"pvp",Inputs!$B$44&gt;0),MIN(15,Inputs!$B$44)/(Inputs!$B$44),0))),0)))&gt;=100),MIN(100,((Inputs!$B$9+((C3105=TRUE)*(F3105-Calc!F26))+B3113+(ArtifactsInput!$M$24-ArtifactsInput!$M$24)*CHOOSE(ArtifactsInput!$N$24+1,10,12,14,16,18,20)+IF(ArtifactsInput!$M$10,CHOOSE(ArtifactsInput!$N$10+1,15,18,21,24,27,30)*(IF(Inputs!$B$39="pvp",MIN(15,15)/15,IF(AND(Inputs!$B$39&lt;&gt;"pvp",Inputs!$B$44&gt;0),MIN(15,Inputs!$B$44)/(Inputs!$B$44),0))),0)))-100),0))*CHOOSE(ArtifactsInput!$N$42+1,0.6,0.72,0.84,0.96,1.08,1.2))),Inputs!$B$18+((C3108=TRUE)*(F3108-Calc!F29))+(IF(AND(Inputs!$B$39&lt;&gt;"pvp",Inputs!$B$44=0),1,IF(IF(Inputs!$B$39="pvp",15,Inputs!$B$44)-(B3124)&lt;=0,1,MAX(0,IF(Inputs!$B$39="pvp",15,Inputs!$B$44)-MAX(5,B3124))/(IF(Inputs!$B$39="pvp",15,Inputs!$B$44)-(B3124))))*IF(AND(ArtifactsInput!$M$42,((Inputs!$B$9+((C3105=TRUE)*(F3105-Calc!F26))+B3113+(ArtifactsInput!$M$24-ArtifactsInput!$M$24)*CHOOSE(ArtifactsInput!$N$24+1,10,12,14,16,18,20)+IF(ArtifactsInput!$M$10,CHOOSE(ArtifactsInput!$N$10+1,15,18,21,24,27,30)*(IF(Inputs!$B$39="pvp",MIN(15,15)/15,IF(AND(Inputs!$B$39&lt;&gt;"pvp",Inputs!$B$44&gt;0),MIN(15,Inputs!$B$44)/(Inputs!$B$44),0))),0)))&gt;=100),CHOOSE(ArtifactsInput!$N$42+1,40,48,56,64,72,80),0))))/100)*(((1+(((C3101=TRUE)*F3101*IF(AND(Inputs!$B$39&lt;&gt;"pvp",Inputs!$B$44&gt;0),(((R3101-1)*MIN((Skills!Y22*(1+Inputs!$B$34/100)),(1/Q3101))+MIN((Skills!Y22*(1+Inputs!$B$34/100)),MAX(0,Inputs!$B$44-((R3101-1)*(1/Q3101)))))/Inputs!$B$44),IF(Inputs!$B$39="pvp",MIN((Skills!Y22*(1+Inputs!$B$34/100)),15)/15,MIN(1,(Skills!Y22*(1+Inputs!$B$34/100))/(1/Q3101)))))+((C3082=TRUE)*F3082*3)+((C3084=TRUE)*F3084*(1-EXP(-0.75*B3117*5)))+((C3103=TRUE)*(F3103-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3090=TRUE)*F3090*IF(AND(Inputs!$B$39&lt;&gt;"pvp",Inputs!$B$44&gt;0),(((R3090-1)*MIN((Skills!Y11*(1+Inputs!$B$34/100)),(1/Q3090))+MIN((Skills!Y11*(1+Inputs!$B$34/100)),MAX(0,Inputs!$B$44-((R3090-1)*(1/Q3090)))))/Inputs!$B$44),IF(Inputs!$B$39="pvp",MIN((Skills!Y11*(1+Inputs!$B$34/100)),15)/15,MIN(1,(Skills!Y11*(1+Inputs!$B$34/100))/(1/Q3090)))))/100)*(1+((C3095=TRUE)*F3095*IF(AND(Inputs!$B$39&lt;&gt;"pvp",Inputs!$B$44&gt;0),(((R3095-1)*MIN((Skills!Y16*(1+Inputs!$B$34/100)),(1/Q3095))+MIN((Skills!Y16*(1+Inputs!$B$34/100)),MAX(0,Inputs!$B$44-((R3095-1)*(1/Q3095)))))/Inputs!$B$44),IF(Inputs!$B$39="pvp",MIN((Skills!Y16*(1+Inputs!$B$34/100)),15)/15,MIN(1,(Skills!Y16*(1+Inputs!$B$34/100))/(1/Q3095)))))/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3115*I3085)</f>
        <v/>
      </c>
      <c r="L3085">
        <f>K3085*(MIN(Inputs!$B$22+((C3104=TRUE)*(F3104-Calc!F25)),(Inputs!$B$23+((C3109=TRUE)*(F3109-Calc!F30))+IF(ArtifactsInput!$M$15,CHOOSE(ArtifactsInput!$N$15+1,25,30,35,40,45,50)/100*(Inputs!$B$11-Inputs!$B$11),0)))/100+(Inputs!$B$23+((C3109=TRUE)*(F3109-Calc!F30))+IF(ArtifactsInput!$M$15,CHOOSE(ArtifactsInput!$N$15+1,25,30,35,40,45,50)/100*(Inputs!$B$11-Inputs!$B$11),0))/100)/2</f>
        <v/>
      </c>
      <c r="M3085">
        <f>L3085*(1+(Inputs!$B$10+((C3106=TRUE)*(F3106-Calc!F27))+B3120+(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3085">
        <f>L3085*(1-MIN((Inputs!$B$9+((C3105=TRUE)*(F3105-Calc!F26))+B3113+(ArtifactsInput!$M$24-ArtifactsInput!$M$24)*CHOOSE(ArtifactsInput!$N$24+1,10,12,14,16,18,20)+(IF(AND(Inputs!$B$39&lt;&gt;"pvp",Inputs!$B$44=0),1,IF(IF(Inputs!$B$39="pvp",15,Inputs!$B$44)-(B3124)&lt;=0,1,MAX(0,IF(Inputs!$B$39="pvp",15,Inputs!$B$44)-MAX(5,B3124))/(IF(Inputs!$B$39="pvp",15,Inputs!$B$44)-(B3124))))*IF(AND(ArtifactsInput!$M$42,((Inputs!$B$9+((C3105=TRUE)*(F3105-Calc!F26))+B3113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3085*(MIN((Inputs!$B$9+((C3105=TRUE)*(F3105-Calc!F26))+B3113+(ArtifactsInput!$M$24-ArtifactsInput!$M$24)*CHOOSE(ArtifactsInput!$N$24+1,10,12,14,16,18,20)+(IF(AND(Inputs!$B$39&lt;&gt;"pvp",Inputs!$B$44=0),1,IF(IF(Inputs!$B$39="pvp",15,Inputs!$B$44)-(B3124)&lt;=0,1,MAX(0,IF(Inputs!$B$39="pvp",15,Inputs!$B$44)-MAX(5,B3124))/(IF(Inputs!$B$39="pvp",15,Inputs!$B$44)-(B3124))))*IF(AND(ArtifactsInput!$M$42,((Inputs!$B$9+((C3105=TRUE)*(F3105-Calc!F26))+B3113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3085">
        <f>(1-Summary!$B$11)*T3085+Summary!$B$11*V3085</f>
        <v/>
      </c>
      <c r="P3085">
        <f>IF(B3125=0,0,O3085/B3125)</f>
        <v/>
      </c>
      <c r="Q3085">
        <f>IFERROR(1/IF(Inputs!$B$39="pvp",15,MAX(0.1,Skills!D6-IF(TRUE=TRUE,Inputs!$B$32,0))),0)</f>
        <v/>
      </c>
      <c r="R3085">
        <f>IF(AND(Inputs!$B$39&lt;&gt;"pvp",Inputs!$B$44&gt;0),IF(MAX(0,Inputs!$B$44-B3124)&lt;=0,0,(INT(MAX(0,Inputs!$B$44-B3124)/IF(Inputs!$B$39="pvp",15,MAX(0.1,Skills!D6-IF(TRUE=TRUE,Inputs!$B$32,0))))+1)),0)</f>
        <v/>
      </c>
      <c r="S3085">
        <f>IFERROR(O3085/N3085,0)</f>
        <v/>
      </c>
      <c r="T3085">
        <f>IF(C3085,(H3085*N3085*IF(AND(Inputs!$B$39&lt;&gt;"pvp",Inputs!$B$44&gt;0),((Skills!G6*((R3085-1)*IF(Skills!H6&gt;0,Skills!I6/Skills!H6,1)+IF(Skills!H6&gt;0,MIN(Skills!I6,MAX(0,MAX(0,Inputs!$B$44-B3124)-((R3085-1)*IF(Inputs!$B$39="pvp",15,MAX(0.1,Skills!D6-IF(TRUE=TRUE,Inputs!$B$32,0))))))/Skills!H6,1)))/Inputs!$B$44),G3085*Q3085))*IF(Inputs!$B$39="pvp",1,1+(Inputs!$B$20+0+Skills!P6+B3114+(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Hunt"),CHOOSE(ArtifactsInput!$N$35+1,15,18,21,24,27,30)*(1-EXP(-(0.2*B3117)*5)),0)+IF(AND(ArtifactsInput!$M$22,Inputs!$B$4&lt;&gt;"Chapter Hunt"),CHOOSE(ArtifactsInput!$N$22+1,10,12,14,16,18,20)*((0*(((0.15*B3117*5))^0/1)+1*(((0.15*B3117*5))^1/1)+2*(((0.15*B3117*5))^2/2)+3*(((0.15*B3117*5))^3/6)+4*(((0.15*B3117*5))^4/24)+5*(((0.15*B3117*5))^5/120))/((((0.15*B3117*5))^0/1)+(((0.15*B3117*5))^1/1)+(((0.15*B3117*5))^2/2)+(((0.15*B3117*5))^3/6)+(((0.15*B3117*5))^4/24)+(((0.15*B3117*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3085*(1-MIN(100,(Inputs!$B$9+((C3105=TRUE)*(F3105-Calc!F26))+B3113+(ArtifactsInput!$M$24-ArtifactsInput!$M$24)*CHOOSE(ArtifactsInput!$N$24+1,10,12,14,16,18,20)+(IF(AND(Inputs!$B$39&lt;&gt;"pvp",Inputs!$B$44=0),1,IF(IF(Inputs!$B$39="pvp",15,Inputs!$B$44)-(B3124)&lt;=0,1,MAX(0,IF(Inputs!$B$39="pvp",15,Inputs!$B$44)-MAX(5,B3124))/(IF(Inputs!$B$39="pvp",15,Inputs!$B$44)-(B3124))))*IF(AND(ArtifactsInput!$M$42,((Inputs!$B$9+((C3105=TRUE)*(F3105-Calc!F26))+B3113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3085*(MIN(100,(Inputs!$B$9+((C3105=TRUE)*(F3105-Calc!F26))+B3113+(ArtifactsInput!$M$24-ArtifactsInput!$M$24)*CHOOSE(ArtifactsInput!$N$24+1,10,12,14,16,18,20)+(IF(AND(Inputs!$B$39&lt;&gt;"pvp",Inputs!$B$44=0),1,IF(IF(Inputs!$B$39="pvp",15,Inputs!$B$44)-(B3124)&lt;=0,1,MAX(0,IF(Inputs!$B$39="pvp",15,Inputs!$B$44)-MAX(5,B3124))/(IF(Inputs!$B$39="pvp",15,Inputs!$B$44)-(B3124))))*IF(AND(ArtifactsInput!$M$42,((Inputs!$B$9+((C3105=TRUE)*(F3105-Calc!F26))+B3113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3085*(1-MIN(100,(Inputs!$B$9+((C3105=TRUE)*(F3105-Calc!F26))+B3113+(ArtifactsInput!$M$24-ArtifactsInput!$M$24)*CHOOSE(ArtifactsInput!$N$24+1,10,12,14,16,18,20)+(IF(AND(Inputs!$B$39&lt;&gt;"pvp",Inputs!$B$44=0),1,IF(IF(Inputs!$B$39="pvp",15,Inputs!$B$44)-(B3124)&lt;=0,1,MAX(0,IF(Inputs!$B$39="pvp",15,Inputs!$B$44)-MAX(5,B3124))/(IF(Inputs!$B$39="pvp",15,Inputs!$B$44)-(B3124))))*IF(AND(ArtifactsInput!$M$42,((Inputs!$B$9+((C3105=TRUE)*(F3105-Calc!F26))+B3113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3085*(MIN(100,(Inputs!$B$9+((C3105=TRUE)*(F3105-Calc!F26))+B3113+(ArtifactsInput!$M$24-ArtifactsInput!$M$24)*CHOOSE(ArtifactsInput!$N$24+1,10,12,14,16,18,20)+(IF(AND(Inputs!$B$39&lt;&gt;"pvp",Inputs!$B$44=0),1,IF(IF(Inputs!$B$39="pvp",15,Inputs!$B$44)-(B3124)&lt;=0,1,MAX(0,IF(Inputs!$B$39="pvp",15,Inputs!$B$44)-MAX(5,B3124))/(IF(Inputs!$B$39="pvp",15,Inputs!$B$44)-(B3124))))*IF(AND(ArtifactsInput!$M$42,((Inputs!$B$9+((C3105=TRUE)*(F3105-Calc!F26))+B3113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3085">
        <f>IF(C3085,(H3085*N3085*IF(AND(Inputs!$B$39&lt;&gt;"pvp",Inputs!$B$44&gt;0),((Skills!G6*((R3085-1)*IF(Skills!H6&gt;0,Skills!I6/Skills!H6,1)+IF(Skills!H6&gt;0,MIN(Skills!I6,MAX(0,MAX(0,Inputs!$B$44-B3124)-((R3085-1)*IF(Inputs!$B$39="pvp",15,MAX(0.1,Skills!D6-IF(TRUE=TRUE,Inputs!$B$32,0))))))/Skills!H6,1)))/Inputs!$B$44),G3085*Q3085))*IF(Inputs!$B$39="pvp",1,(1+(Inputs!$B$21+Skills!Q6+B3114+(IF(ArtifactsInput!$M$33,CHOOSE(ArtifactsInput!$N$33+1,30,36,42,48,54,60),0))+(IF(AND(ArtifactsInput!$M$35,Inputs!$B$4&lt;&gt;"Chapter Hunt"),CHOOSE(ArtifactsInput!$N$35+1,15,18,21,24,27,30)*(1-EXP(-(0.2*B3117)*5)),0)+IF(AND(ArtifactsInput!$M$22,Inputs!$B$4&lt;&gt;"Chapter Hunt"),CHOOSE(ArtifactsInput!$N$22+1,10,12,14,16,18,20)*((0*(((0.15*B3117*5))^0/1)+1*(((0.15*B3117*5))^1/1)+2*(((0.15*B3117*5))^2/2)+3*(((0.15*B3117*5))^3/6)+4*(((0.15*B3117*5))^4/24)+5*(((0.15*B3117*5))^5/120))/((((0.15*B3117*5))^0/1)+(((0.15*B3117*5))^1/1)+(((0.15*B3117*5))^2/2)+(((0.15*B3117*5))^3/6)+(((0.15*B3117*5))^4/24)+(((0.15*B3117*5))^5/120))),0)))/100)*(MIN(Skills!W6,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3086">
      <c r="A3086">
        <f>Skills!A7</f>
        <v/>
      </c>
      <c r="B3086">
        <f>Skills!B7</f>
        <v/>
      </c>
      <c r="C3086">
        <f>Inputs!$B$3&gt;=69</f>
        <v/>
      </c>
      <c r="D3086">
        <f>IF(Skills!C7=1,60+Inputs!$B$25+Inputs!$B$29,IF(Skills!C7=2,90+Inputs!$B$26+Inputs!$B$29,IF(Skills!C7=3,120+Inputs!$B$27+Inputs!$B$29,MAX(0,(Inputs!$B$3-100)*3)+Inputs!$B$28+Inputs!$B$29)))</f>
        <v/>
      </c>
      <c r="E3086">
        <f>INDEX(FactorTable!$B$2:$Y$301, MATCH(ROUND(MIN(300,MAX(1,D3086)),0), FactorTable!$A$2:$A$301,0), Skills!M7+1)</f>
        <v/>
      </c>
      <c r="F3086">
        <f>IF(Skills!N7=TRUE,(Skills!L7/10)*(E3086/1000),Skills!L7/10)+Skills!O7</f>
        <v/>
      </c>
      <c r="G3086">
        <f>Skills!G7*IF(Skills!H7&gt;0,IF(Inputs!$B$39="pvp",MIN(Skills!I7,15),Skills!I7)/Skills!H7,1)</f>
        <v/>
      </c>
      <c r="H3086">
        <f>1-(1-Skills!J7/100)^Skills!K7</f>
        <v/>
      </c>
      <c r="I3086" t="inlineStr">
        <is>
          <t>1</t>
        </is>
      </c>
      <c r="J3086">
        <f>((Inputs!$B$6*(1+Inputs!$B$7/100))+(((Inputs!$B$12*(1+Inputs!$B$13/100))-(Inputs!$B$12*(1+Inputs!$B$13/100)))+0.25*(Inputs!$B$14-Inputs!$B$14))*(1+Inputs!$B$7/100))*(F3086/100)</f>
        <v/>
      </c>
      <c r="K3086">
        <f>J3086*(1+((Inputs!$B$12*(1+Inputs!$B$13/100))*0.01+Inputs!$B$14*0.0025)/100)*(1+Inputs!$B$15/100)*(1+Inputs!$B$16/100)*(5000/(6000+Inputs!$B$43*(1-(100*(1-(1-Inputs!$B$19/100)*(1-CHOOSE(ArtifactsInput!$N$40+1,5,6,7,8,9,10)/100)^(ArtifactsInput!$M$40-ArtifactsInput!$M$40)))/100)))*(1+(Inputs!$B$24+((C3110=TRUE)*(F3110-Calc!F31))+((C3097=TRUE)*(F3097-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IF(ArtifactsInput!$M$39,FALSE,TRUE)-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3098=TRUE,F3098,0)/100)*(1+(IF(Skills!A7="CRUEL_STAB",Inputs!$B$17+((C3107=TRUE)*(F3107-Calc!F28))+((IF(AND(Inputs!$B$39&lt;&gt;"pvp",Inputs!$B$44=0),1,IF(IF(Inputs!$B$39="pvp",15,Inputs!$B$44)-(B3124)&lt;=0,1,MAX(0,IF(Inputs!$B$39="pvp",15,Inputs!$B$44)-MAX(5,B3124))/(IF(Inputs!$B$39="pvp",15,Inputs!$B$44)-(B3124))))*(IF(AND(ArtifactsInput!$M$42,((Inputs!$B$9+((C3105=TRUE)*(F3105-Calc!F26))+B3113+(ArtifactsInput!$M$24-ArtifactsInput!$M$24)*CHOOSE(ArtifactsInput!$N$24+1,10,12,14,16,18,20)+IF(ArtifactsInput!$M$10,CHOOSE(ArtifactsInput!$N$10+1,15,18,21,24,27,30)*(IF(Inputs!$B$39="pvp",MIN(15,15)/15,IF(AND(Inputs!$B$39&lt;&gt;"pvp",Inputs!$B$44&gt;0),MIN(15,Inputs!$B$44)/(Inputs!$B$44),0))),0)))&gt;=100),MIN(100,((Inputs!$B$9+((C3105=TRUE)*(F3105-Calc!F26))+B3113+(ArtifactsInput!$M$24-ArtifactsInput!$M$24)*CHOOSE(ArtifactsInput!$N$24+1,10,12,14,16,18,20)+IF(ArtifactsInput!$M$10,CHOOSE(ArtifactsInput!$N$10+1,15,18,21,24,27,30)*(IF(Inputs!$B$39="pvp",MIN(15,15)/15,IF(AND(Inputs!$B$39&lt;&gt;"pvp",Inputs!$B$44&gt;0),MIN(15,Inputs!$B$44)/(Inputs!$B$44),0))),0)))-100),0))*CHOOSE(ArtifactsInput!$N$42+1,0.6,0.72,0.84,0.96,1.08,1.2))),Inputs!$B$18+((C3108=TRUE)*(F3108-Calc!F29))+(IF(AND(Inputs!$B$39&lt;&gt;"pvp",Inputs!$B$44=0),1,IF(IF(Inputs!$B$39="pvp",15,Inputs!$B$44)-(B3124)&lt;=0,1,MAX(0,IF(Inputs!$B$39="pvp",15,Inputs!$B$44)-MAX(5,B3124))/(IF(Inputs!$B$39="pvp",15,Inputs!$B$44)-(B3124))))*IF(AND(ArtifactsInput!$M$42,((Inputs!$B$9+((C3105=TRUE)*(F3105-Calc!F26))+B3113+(ArtifactsInput!$M$24-ArtifactsInput!$M$24)*CHOOSE(ArtifactsInput!$N$24+1,10,12,14,16,18,20)+IF(ArtifactsInput!$M$10,CHOOSE(ArtifactsInput!$N$10+1,15,18,21,24,27,30)*(IF(Inputs!$B$39="pvp",MIN(15,15)/15,IF(AND(Inputs!$B$39&lt;&gt;"pvp",Inputs!$B$44&gt;0),MIN(15,Inputs!$B$44)/(Inputs!$B$44),0))),0)))&gt;=100),CHOOSE(ArtifactsInput!$N$42+1,40,48,56,64,72,80),0))))/100)*(((1+(((C3101=TRUE)*F3101*IF(AND(Inputs!$B$39&lt;&gt;"pvp",Inputs!$B$44&gt;0),(((R3101-1)*MIN((Skills!Y22*(1+Inputs!$B$34/100)),(1/Q3101))+MIN((Skills!Y22*(1+Inputs!$B$34/100)),MAX(0,Inputs!$B$44-((R3101-1)*(1/Q3101)))))/Inputs!$B$44),IF(Inputs!$B$39="pvp",MIN((Skills!Y22*(1+Inputs!$B$34/100)),15)/15,MIN(1,(Skills!Y22*(1+Inputs!$B$34/100))/(1/Q3101)))))+((C3082=TRUE)*F3082*3)+((C3084=TRUE)*F3084*(1-EXP(-0.75*B3117*5)))+((C3103=TRUE)*(F3103-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3090=TRUE)*F3090*IF(AND(Inputs!$B$39&lt;&gt;"pvp",Inputs!$B$44&gt;0),(((R3090-1)*MIN((Skills!Y11*(1+Inputs!$B$34/100)),(1/Q3090))+MIN((Skills!Y11*(1+Inputs!$B$34/100)),MAX(0,Inputs!$B$44-((R3090-1)*(1/Q3090)))))/Inputs!$B$44),IF(Inputs!$B$39="pvp",MIN((Skills!Y11*(1+Inputs!$B$34/100)),15)/15,MIN(1,(Skills!Y11*(1+Inputs!$B$34/100))/(1/Q3090)))))/100)*(1+((C3095=TRUE)*F3095*IF(AND(Inputs!$B$39&lt;&gt;"pvp",Inputs!$B$44&gt;0),(((R3095-1)*MIN((Skills!Y16*(1+Inputs!$B$34/100)),(1/Q3095))+MIN((Skills!Y16*(1+Inputs!$B$34/100)),MAX(0,Inputs!$B$44-((R3095-1)*(1/Q3095)))))/Inputs!$B$44),IF(Inputs!$B$39="pvp",MIN((Skills!Y16*(1+Inputs!$B$34/100)),15)/15,MIN(1,(Skills!Y16*(1+Inputs!$B$34/100))/(1/Q3095)))))/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3115*I3086)</f>
        <v/>
      </c>
      <c r="L3086">
        <f>K3086*(MIN(Inputs!$B$22+((C3104=TRUE)*(F3104-Calc!F25)),(Inputs!$B$23+((C3109=TRUE)*(F3109-Calc!F30))+IF(ArtifactsInput!$M$15,CHOOSE(ArtifactsInput!$N$15+1,25,30,35,40,45,50)/100*(Inputs!$B$11-Inputs!$B$11),0)))/100+(Inputs!$B$23+((C3109=TRUE)*(F3109-Calc!F30))+IF(ArtifactsInput!$M$15,CHOOSE(ArtifactsInput!$N$15+1,25,30,35,40,45,50)/100*(Inputs!$B$11-Inputs!$B$11),0))/100)/2</f>
        <v/>
      </c>
      <c r="M3086">
        <f>L3086*(1+(Inputs!$B$10+((C3106=TRUE)*(F3106-Calc!F27))+B3120+(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3086">
        <f>L3086*(1-MIN((Inputs!$B$9+((C3105=TRUE)*(F3105-Calc!F26))+B3113+(ArtifactsInput!$M$24-ArtifactsInput!$M$24)*CHOOSE(ArtifactsInput!$N$24+1,10,12,14,16,18,20)+(IF(AND(Inputs!$B$39&lt;&gt;"pvp",Inputs!$B$44=0),1,IF(IF(Inputs!$B$39="pvp",15,Inputs!$B$44)-(B3124)&lt;=0,1,MAX(0,IF(Inputs!$B$39="pvp",15,Inputs!$B$44)-MAX(5,B3124))/(IF(Inputs!$B$39="pvp",15,Inputs!$B$44)-(B3124))))*IF(AND(ArtifactsInput!$M$42,((Inputs!$B$9+((C3105=TRUE)*(F3105-Calc!F26))+B3113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3086*(MIN((Inputs!$B$9+((C3105=TRUE)*(F3105-Calc!F26))+B3113+(ArtifactsInput!$M$24-ArtifactsInput!$M$24)*CHOOSE(ArtifactsInput!$N$24+1,10,12,14,16,18,20)+(IF(AND(Inputs!$B$39&lt;&gt;"pvp",Inputs!$B$44=0),1,IF(IF(Inputs!$B$39="pvp",15,Inputs!$B$44)-(B3124)&lt;=0,1,MAX(0,IF(Inputs!$B$39="pvp",15,Inputs!$B$44)-MAX(5,B3124))/(IF(Inputs!$B$39="pvp",15,Inputs!$B$44)-(B3124))))*IF(AND(ArtifactsInput!$M$42,((Inputs!$B$9+((C3105=TRUE)*(F3105-Calc!F26))+B3113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3086">
        <f>(1-Summary!$B$11)*T3086+Summary!$B$11*V3086</f>
        <v/>
      </c>
      <c r="P3086">
        <f>IF(B3125=0,0,O3086/B3125)</f>
        <v/>
      </c>
      <c r="Q3086">
        <f>IFERROR(1/IF(Inputs!$B$39="pvp",15,MAX(0.1,Skills!D7-IF(TRUE=TRUE,Inputs!$B$32,0))),0)</f>
        <v/>
      </c>
      <c r="R3086">
        <f>IF(AND(Inputs!$B$39&lt;&gt;"pvp",Inputs!$B$44&gt;0),IF(MAX(0,Inputs!$B$44-B3124)&lt;=0,0,(INT(MAX(0,Inputs!$B$44-B3124)/IF(Inputs!$B$39="pvp",15,MAX(0.1,Skills!D7-IF(TRUE=TRUE,Inputs!$B$32,0))))+1)),0)</f>
        <v/>
      </c>
      <c r="S3086">
        <f>IFERROR(O3086/N3086,0)</f>
        <v/>
      </c>
      <c r="T3086">
        <f>IF(C3086,(H3086*N3086*IF(AND(Inputs!$B$39&lt;&gt;"pvp",Inputs!$B$44&gt;0),((Skills!G7*((R3086-1)*IF(Skills!H7&gt;0,Skills!I7/Skills!H7,1)+IF(Skills!H7&gt;0,MIN(Skills!I7,MAX(0,MAX(0,Inputs!$B$44-B3124)-((R3086-1)*IF(Inputs!$B$39="pvp",15,MAX(0.1,Skills!D7-IF(TRUE=TRUE,Inputs!$B$32,0))))))/Skills!H7,1)))/Inputs!$B$44),G3086*Q3086))*IF(Inputs!$B$39="pvp",1,1+(Inputs!$B$20+0+Skills!P7+B3114+(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Hunt"),CHOOSE(ArtifactsInput!$N$35+1,15,18,21,24,27,30)*(1-EXP(-(0.2*B3117)*5)),0)+IF(AND(ArtifactsInput!$M$22,Inputs!$B$4&lt;&gt;"Chapter Hunt"),CHOOSE(ArtifactsInput!$N$22+1,10,12,14,16,18,20)*((0*(((0.15*B3117*5))^0/1)+1*(((0.15*B3117*5))^1/1)+2*(((0.15*B3117*5))^2/2)+3*(((0.15*B3117*5))^3/6)+4*(((0.15*B3117*5))^4/24)+5*(((0.15*B3117*5))^5/120))/((((0.15*B3117*5))^0/1)+(((0.15*B3117*5))^1/1)+(((0.15*B3117*5))^2/2)+(((0.15*B3117*5))^3/6)+(((0.15*B3117*5))^4/24)+(((0.15*B3117*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3086*(1-MIN(100,(Inputs!$B$9+((C3105=TRUE)*(F3105-Calc!F26))+B3113+(ArtifactsInput!$M$24-ArtifactsInput!$M$24)*CHOOSE(ArtifactsInput!$N$24+1,10,12,14,16,18,20)+(IF(AND(Inputs!$B$39&lt;&gt;"pvp",Inputs!$B$44=0),1,IF(IF(Inputs!$B$39="pvp",15,Inputs!$B$44)-(B3124)&lt;=0,1,MAX(0,IF(Inputs!$B$39="pvp",15,Inputs!$B$44)-MAX(5,B3124))/(IF(Inputs!$B$39="pvp",15,Inputs!$B$44)-(B3124))))*IF(AND(ArtifactsInput!$M$42,((Inputs!$B$9+((C3105=TRUE)*(F3105-Calc!F26))+B3113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3086*(MIN(100,(Inputs!$B$9+((C3105=TRUE)*(F3105-Calc!F26))+B3113+(ArtifactsInput!$M$24-ArtifactsInput!$M$24)*CHOOSE(ArtifactsInput!$N$24+1,10,12,14,16,18,20)+(IF(AND(Inputs!$B$39&lt;&gt;"pvp",Inputs!$B$44=0),1,IF(IF(Inputs!$B$39="pvp",15,Inputs!$B$44)-(B3124)&lt;=0,1,MAX(0,IF(Inputs!$B$39="pvp",15,Inputs!$B$44)-MAX(5,B3124))/(IF(Inputs!$B$39="pvp",15,Inputs!$B$44)-(B3124))))*IF(AND(ArtifactsInput!$M$42,((Inputs!$B$9+((C3105=TRUE)*(F3105-Calc!F26))+B3113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3086*(1-MIN(100,(Inputs!$B$9+((C3105=TRUE)*(F3105-Calc!F26))+B3113+(ArtifactsInput!$M$24-ArtifactsInput!$M$24)*CHOOSE(ArtifactsInput!$N$24+1,10,12,14,16,18,20)+(IF(AND(Inputs!$B$39&lt;&gt;"pvp",Inputs!$B$44=0),1,IF(IF(Inputs!$B$39="pvp",15,Inputs!$B$44)-(B3124)&lt;=0,1,MAX(0,IF(Inputs!$B$39="pvp",15,Inputs!$B$44)-MAX(5,B3124))/(IF(Inputs!$B$39="pvp",15,Inputs!$B$44)-(B3124))))*IF(AND(ArtifactsInput!$M$42,((Inputs!$B$9+((C3105=TRUE)*(F3105-Calc!F26))+B3113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3086*(MIN(100,(Inputs!$B$9+((C3105=TRUE)*(F3105-Calc!F26))+B3113+(ArtifactsInput!$M$24-ArtifactsInput!$M$24)*CHOOSE(ArtifactsInput!$N$24+1,10,12,14,16,18,20)+(IF(AND(Inputs!$B$39&lt;&gt;"pvp",Inputs!$B$44=0),1,IF(IF(Inputs!$B$39="pvp",15,Inputs!$B$44)-(B3124)&lt;=0,1,MAX(0,IF(Inputs!$B$39="pvp",15,Inputs!$B$44)-MAX(5,B3124))/(IF(Inputs!$B$39="pvp",15,Inputs!$B$44)-(B3124))))*IF(AND(ArtifactsInput!$M$42,((Inputs!$B$9+((C3105=TRUE)*(F3105-Calc!F26))+B3113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3086">
        <f>IF(C3086,(H3086*N3086*IF(AND(Inputs!$B$39&lt;&gt;"pvp",Inputs!$B$44&gt;0),((Skills!G7*((R3086-1)*IF(Skills!H7&gt;0,Skills!I7/Skills!H7,1)+IF(Skills!H7&gt;0,MIN(Skills!I7,MAX(0,MAX(0,Inputs!$B$44-B3124)-((R3086-1)*IF(Inputs!$B$39="pvp",15,MAX(0.1,Skills!D7-IF(TRUE=TRUE,Inputs!$B$32,0))))))/Skills!H7,1)))/Inputs!$B$44),G3086*Q3086))*IF(Inputs!$B$39="pvp",1,(1+(Inputs!$B$21+Skills!Q7+B3114+(IF(ArtifactsInput!$M$33,CHOOSE(ArtifactsInput!$N$33+1,30,36,42,48,54,60),0))+(IF(AND(ArtifactsInput!$M$35,Inputs!$B$4&lt;&gt;"Chapter Hunt"),CHOOSE(ArtifactsInput!$N$35+1,15,18,21,24,27,30)*(1-EXP(-(0.2*B3117)*5)),0)+IF(AND(ArtifactsInput!$M$22,Inputs!$B$4&lt;&gt;"Chapter Hunt"),CHOOSE(ArtifactsInput!$N$22+1,10,12,14,16,18,20)*((0*(((0.15*B3117*5))^0/1)+1*(((0.15*B3117*5))^1/1)+2*(((0.15*B3117*5))^2/2)+3*(((0.15*B3117*5))^3/6)+4*(((0.15*B3117*5))^4/24)+5*(((0.15*B3117*5))^5/120))/((((0.15*B3117*5))^0/1)+(((0.15*B3117*5))^1/1)+(((0.15*B3117*5))^2/2)+(((0.15*B3117*5))^3/6)+(((0.15*B3117*5))^4/24)+(((0.15*B3117*5))^5/120))),0)))/100)*(MIN(Skills!W7,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3087">
      <c r="A3087">
        <f>Skills!A8</f>
        <v/>
      </c>
      <c r="B3087">
        <f>Skills!B8</f>
        <v/>
      </c>
      <c r="C3087">
        <f>Inputs!$B$3&gt;=60</f>
        <v/>
      </c>
      <c r="D3087">
        <f>IF(Skills!C8=1,60+Inputs!$B$25+Inputs!$B$29,IF(Skills!C8=2,90+Inputs!$B$26+Inputs!$B$29,IF(Skills!C8=3,120+Inputs!$B$27+Inputs!$B$29,MAX(0,(Inputs!$B$3-100)*3)+Inputs!$B$28+Inputs!$B$29)))</f>
        <v/>
      </c>
      <c r="E3087">
        <f>INDEX(FactorTable!$B$2:$Y$301, MATCH(ROUND(MIN(300,MAX(1,D3087)),0), FactorTable!$A$2:$A$301,0), Skills!M8+1)</f>
        <v/>
      </c>
      <c r="F3087">
        <f>IF(Skills!N8=TRUE,(Skills!L8/10)*(E3087/1000),Skills!L8/10)+Skills!O8</f>
        <v/>
      </c>
      <c r="G3087">
        <f>Skills!G8*IF(Skills!H8&gt;0,IF(Inputs!$B$39="pvp",MIN(Skills!I8,15),Skills!I8)/Skills!H8,1)</f>
        <v/>
      </c>
      <c r="H3087">
        <f>1-(1-Skills!J8/100)^Skills!K8</f>
        <v/>
      </c>
      <c r="I3087" t="inlineStr">
        <is>
          <t>1</t>
        </is>
      </c>
      <c r="J3087" t="inlineStr"/>
      <c r="K3087" t="inlineStr"/>
      <c r="L3087" t="inlineStr"/>
      <c r="M3087" t="inlineStr"/>
      <c r="N3087" t="inlineStr"/>
      <c r="O3087">
        <f>(1-Summary!$B$11)*T3087+Summary!$B$11*V3087</f>
        <v/>
      </c>
      <c r="P3087">
        <f>IF(B3125=0,0,O3087/B3125)</f>
        <v/>
      </c>
      <c r="Q3087" t="n">
        <v>0</v>
      </c>
      <c r="R3087" t="n">
        <v>0</v>
      </c>
      <c r="S3087">
        <f>IFERROR(O3087/N3087,0)</f>
        <v/>
      </c>
      <c r="T3087" t="n">
        <v>0</v>
      </c>
      <c r="V3087" t="n">
        <v>0</v>
      </c>
    </row>
    <row r="3088">
      <c r="A3088">
        <f>Skills!A9</f>
        <v/>
      </c>
      <c r="B3088">
        <f>Skills!B9</f>
        <v/>
      </c>
      <c r="C3088">
        <f>Inputs!$B$3&gt;=72</f>
        <v/>
      </c>
      <c r="D3088">
        <f>IF(Skills!C9=1,60+Inputs!$B$25+Inputs!$B$29,IF(Skills!C9=2,90+Inputs!$B$26+Inputs!$B$29,IF(Skills!C9=3,120+Inputs!$B$27+Inputs!$B$29,MAX(0,(Inputs!$B$3-100)*3)+Inputs!$B$28+Inputs!$B$29)))</f>
        <v/>
      </c>
      <c r="E3088">
        <f>INDEX(FactorTable!$B$2:$Y$301, MATCH(ROUND(MIN(300,MAX(1,D3088)),0), FactorTable!$A$2:$A$301,0), Skills!M9+1)</f>
        <v/>
      </c>
      <c r="F3088">
        <f>IF(Skills!N9=TRUE,(Skills!L9/10)*(E3088/1000),Skills!L9/10)+Skills!O9</f>
        <v/>
      </c>
      <c r="G3088">
        <f>Skills!G9*IF(Skills!H9&gt;0,IF(Inputs!$B$39="pvp",MIN(Skills!I9,15),Skills!I9)/Skills!H9,1)</f>
        <v/>
      </c>
      <c r="H3088">
        <f>1-(1-Skills!J9/100)^Skills!K9</f>
        <v/>
      </c>
      <c r="I3088" t="inlineStr">
        <is>
          <t>1</t>
        </is>
      </c>
      <c r="J3088">
        <f>((Inputs!$B$6*(1+Inputs!$B$7/100))+(((Inputs!$B$12*(1+Inputs!$B$13/100))-(Inputs!$B$12*(1+Inputs!$B$13/100)))+0.25*(Inputs!$B$14-Inputs!$B$14))*(1+Inputs!$B$7/100))*(F3088/100)</f>
        <v/>
      </c>
      <c r="K3088">
        <f>J3088*(1+((Inputs!$B$12*(1+Inputs!$B$13/100))*0.01+Inputs!$B$14*0.0025)/100)*(1+Inputs!$B$15/100)*(1+Inputs!$B$16/100)*(5000/(6000+Inputs!$B$43*(1-(100*(1-(1-Inputs!$B$19/100)*(1-CHOOSE(ArtifactsInput!$N$40+1,5,6,7,8,9,10)/100)^(ArtifactsInput!$M$40-ArtifactsInput!$M$40)))/100)))*(1+(Inputs!$B$24+((C3110=TRUE)*(F3110-Calc!F31))+((C3097=TRUE)*(F3097-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IF(ArtifactsInput!$M$39,FALSE,TRUE)-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+3.3333333333333335*IF(C3098=TRUE,F3098,0)/100)*(1+(IF(Skills!A9="CRUEL_STAB",Inputs!$B$17+((C3107=TRUE)*(F3107-Calc!F28))+((IF(AND(Inputs!$B$39&lt;&gt;"pvp",Inputs!$B$44=0),1,IF(IF(Inputs!$B$39="pvp",15,Inputs!$B$44)-(B3124)&lt;=0,1,MAX(0,IF(Inputs!$B$39="pvp",15,Inputs!$B$44)-MAX(5,B3124))/(IF(Inputs!$B$39="pvp",15,Inputs!$B$44)-(B3124))))*(IF(AND(ArtifactsInput!$M$42,((Inputs!$B$9+((C3105=TRUE)*(F3105-Calc!F26))+B3113+(ArtifactsInput!$M$24-ArtifactsInput!$M$24)*CHOOSE(ArtifactsInput!$N$24+1,10,12,14,16,18,20)+IF(ArtifactsInput!$M$10,CHOOSE(ArtifactsInput!$N$10+1,15,18,21,24,27,30)*(IF(Inputs!$B$39="pvp",MIN(15,15)/15,IF(AND(Inputs!$B$39&lt;&gt;"pvp",Inputs!$B$44&gt;0),MIN(15,Inputs!$B$44)/(Inputs!$B$44),0))),0)))&gt;=100),MIN(100,((Inputs!$B$9+((C3105=TRUE)*(F3105-Calc!F26))+B3113+(ArtifactsInput!$M$24-ArtifactsInput!$M$24)*CHOOSE(ArtifactsInput!$N$24+1,10,12,14,16,18,20)+IF(ArtifactsInput!$M$10,CHOOSE(ArtifactsInput!$N$10+1,15,18,21,24,27,30)*(IF(Inputs!$B$39="pvp",MIN(15,15)/15,IF(AND(Inputs!$B$39&lt;&gt;"pvp",Inputs!$B$44&gt;0),MIN(15,Inputs!$B$44)/(Inputs!$B$44),0))),0)))-100),0))*CHOOSE(ArtifactsInput!$N$42+1,0.6,0.72,0.84,0.96,1.08,1.2))),Inputs!$B$18+((C3108=TRUE)*(F3108-Calc!F29))+(IF(AND(Inputs!$B$39&lt;&gt;"pvp",Inputs!$B$44=0),1,IF(IF(Inputs!$B$39="pvp",15,Inputs!$B$44)-(B3124)&lt;=0,1,MAX(0,IF(Inputs!$B$39="pvp",15,Inputs!$B$44)-MAX(5,B3124))/(IF(Inputs!$B$39="pvp",15,Inputs!$B$44)-(B3124))))*IF(AND(ArtifactsInput!$M$42,((Inputs!$B$9+((C3105=TRUE)*(F3105-Calc!F26))+B3113+(ArtifactsInput!$M$24-ArtifactsInput!$M$24)*CHOOSE(ArtifactsInput!$N$24+1,10,12,14,16,18,20)+IF(ArtifactsInput!$M$10,CHOOSE(ArtifactsInput!$N$10+1,15,18,21,24,27,30)*(IF(Inputs!$B$39="pvp",MIN(15,15)/15,IF(AND(Inputs!$B$39&lt;&gt;"pvp",Inputs!$B$44&gt;0),MIN(15,Inputs!$B$44)/(Inputs!$B$44),0))),0)))&gt;=100),CHOOSE(ArtifactsInput!$N$42+1,40,48,56,64,72,80),0))))/100)*(((1+(((C3101=TRUE)*F3101*IF(AND(Inputs!$B$39&lt;&gt;"pvp",Inputs!$B$44&gt;0),(((R3101-1)*MIN((Skills!Y22*(1+Inputs!$B$34/100)),(1/Q3101))+MIN((Skills!Y22*(1+Inputs!$B$34/100)),MAX(0,Inputs!$B$44-((R3101-1)*(1/Q3101)))))/Inputs!$B$44),IF(Inputs!$B$39="pvp",MIN((Skills!Y22*(1+Inputs!$B$34/100)),15)/15,MIN(1,(Skills!Y22*(1+Inputs!$B$34/100))/(1/Q3101)))))+((C3082=TRUE)*F3082*3)+((C3084=TRUE)*F3084*(1-EXP(-0.75*B3117*5)))+((C3103=TRUE)*(F3103-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3090=TRUE)*F3090*IF(AND(Inputs!$B$39&lt;&gt;"pvp",Inputs!$B$44&gt;0),(((R3090-1)*MIN((Skills!Y11*(1+Inputs!$B$34/100)),(1/Q3090))+MIN((Skills!Y11*(1+Inputs!$B$34/100)),MAX(0,Inputs!$B$44-((R3090-1)*(1/Q3090)))))/Inputs!$B$44),IF(Inputs!$B$39="pvp",MIN((Skills!Y11*(1+Inputs!$B$34/100)),15)/15,MIN(1,(Skills!Y11*(1+Inputs!$B$34/100))/(1/Q3090)))))/100)*(1+((C3095=TRUE)*F3095*IF(AND(Inputs!$B$39&lt;&gt;"pvp",Inputs!$B$44&gt;0),(((R3095-1)*MIN((Skills!Y16*(1+Inputs!$B$34/100)),(1/Q3095))+MIN((Skills!Y16*(1+Inputs!$B$34/100)),MAX(0,Inputs!$B$44-((R3095-1)*(1/Q3095)))))/Inputs!$B$44),IF(Inputs!$B$39="pvp",MIN((Skills!Y16*(1+Inputs!$B$34/100)),15)/15,MIN(1,(Skills!Y16*(1+Inputs!$B$34/100))/(1/Q3095)))))/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3115*I3088)</f>
        <v/>
      </c>
      <c r="L3088">
        <f>K3088*(MIN(Inputs!$B$22+((C3104=TRUE)*(F3104-Calc!F25)),(Inputs!$B$23+((C3109=TRUE)*(F3109-Calc!F30))+IF(ArtifactsInput!$M$15,CHOOSE(ArtifactsInput!$N$15+1,25,30,35,40,45,50)/100*(Inputs!$B$11-Inputs!$B$11),0)))/100+(Inputs!$B$23+((C3109=TRUE)*(F3109-Calc!F30))+IF(ArtifactsInput!$M$15,CHOOSE(ArtifactsInput!$N$15+1,25,30,35,40,45,50)/100*(Inputs!$B$11-Inputs!$B$11),0))/100)/2</f>
        <v/>
      </c>
      <c r="M3088">
        <f>L3088*(1+(Inputs!$B$10+((C3106=TRUE)*(F3106-Calc!F27))+B3120+(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3088">
        <f>L3088*(1-MIN((Inputs!$B$9+((C3105=TRUE)*(F3105-Calc!F26))+B3113+(ArtifactsInput!$M$24-ArtifactsInput!$M$24)*CHOOSE(ArtifactsInput!$N$24+1,10,12,14,16,18,20)+(IF(AND(Inputs!$B$39&lt;&gt;"pvp",Inputs!$B$44=0),1,IF(IF(Inputs!$B$39="pvp",15,Inputs!$B$44)-(B3124)&lt;=0,1,MAX(0,IF(Inputs!$B$39="pvp",15,Inputs!$B$44)-MAX(5,B3124))/(IF(Inputs!$B$39="pvp",15,Inputs!$B$44)-(B3124))))*IF(AND(ArtifactsInput!$M$42,((Inputs!$B$9+((C3105=TRUE)*(F3105-Calc!F26))+B3113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3088*(MIN((Inputs!$B$9+((C3105=TRUE)*(F3105-Calc!F26))+B3113+(ArtifactsInput!$M$24-ArtifactsInput!$M$24)*CHOOSE(ArtifactsInput!$N$24+1,10,12,14,16,18,20)+(IF(AND(Inputs!$B$39&lt;&gt;"pvp",Inputs!$B$44=0),1,IF(IF(Inputs!$B$39="pvp",15,Inputs!$B$44)-(B3124)&lt;=0,1,MAX(0,IF(Inputs!$B$39="pvp",15,Inputs!$B$44)-MAX(5,B3124))/(IF(Inputs!$B$39="pvp",15,Inputs!$B$44)-(B3124))))*IF(AND(ArtifactsInput!$M$42,((Inputs!$B$9+((C3105=TRUE)*(F3105-Calc!F26))+B3113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3088">
        <f>(1-Summary!$B$11)*T3088+Summary!$B$11*V3088</f>
        <v/>
      </c>
      <c r="P3088">
        <f>IF(B3125=0,0,O3088/B3125)</f>
        <v/>
      </c>
      <c r="Q3088">
        <f>IFERROR(1/IF(Inputs!$B$39="pvp",15,MAX(0.1,Skills!D9-IF(FALSE=TRUE,Inputs!$B$32,0))),0)</f>
        <v/>
      </c>
      <c r="R3088">
        <f>IF(AND(Inputs!$B$39&lt;&gt;"pvp",Inputs!$B$44&gt;0),IF(MAX(0,Inputs!$B$44-B3124)&lt;=0,0,(INT(MAX(0,Inputs!$B$44-B3124)/IF(Inputs!$B$39="pvp",15,MAX(0.1,Skills!D9-IF(FALSE=TRUE,Inputs!$B$32,0))))+1)),0)</f>
        <v/>
      </c>
      <c r="S3088">
        <f>IFERROR(O3088/N3088,0)</f>
        <v/>
      </c>
      <c r="T3088">
        <f>IF(C3088,(H3088*N3088*IF(AND(Inputs!$B$39&lt;&gt;"pvp",Inputs!$B$44&gt;0),((Skills!G9*((R3088-1)*IF(Skills!H9&gt;0,Skills!I9/Skills!H9,1)+IF(Skills!H9&gt;0,MIN(Skills!I9,MAX(0,MAX(0,Inputs!$B$44-B3124)-((R3088-1)*IF(Inputs!$B$39="pvp",15,MAX(0.1,Skills!D9-IF(FALSE=TRUE,Inputs!$B$32,0))))))/Skills!H9,1)))/Inputs!$B$44),G3088*Q3088))*IF(Inputs!$B$39="pvp",1,1+(Inputs!$B$20+0+Skills!P9+B3114+(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Hunt"),CHOOSE(ArtifactsInput!$N$35+1,15,18,21,24,27,30)*(1-EXP(-(0.2*B3117)*5)),0)+IF(AND(ArtifactsInput!$M$22,Inputs!$B$4&lt;&gt;"Chapter Hunt"),CHOOSE(ArtifactsInput!$N$22+1,10,12,14,16,18,20)*((0*(((0.15*B3117*5))^0/1)+1*(((0.15*B3117*5))^1/1)+2*(((0.15*B3117*5))^2/2)+3*(((0.15*B3117*5))^3/6)+4*(((0.15*B3117*5))^4/24)+5*(((0.15*B3117*5))^5/120))/((((0.15*B3117*5))^0/1)+(((0.15*B3117*5))^1/1)+(((0.15*B3117*5))^2/2)+(((0.15*B3117*5))^3/6)+(((0.15*B3117*5))^4/24)+(((0.15*B3117*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3088*(1-MIN(100,(Inputs!$B$9+((C3105=TRUE)*(F3105-Calc!F26))+B3113+(ArtifactsInput!$M$24-ArtifactsInput!$M$24)*CHOOSE(ArtifactsInput!$N$24+1,10,12,14,16,18,20)+(IF(AND(Inputs!$B$39&lt;&gt;"pvp",Inputs!$B$44=0),1,IF(IF(Inputs!$B$39="pvp",15,Inputs!$B$44)-(B3124)&lt;=0,1,MAX(0,IF(Inputs!$B$39="pvp",15,Inputs!$B$44)-MAX(5,B3124))/(IF(Inputs!$B$39="pvp",15,Inputs!$B$44)-(B3124))))*IF(AND(ArtifactsInput!$M$42,((Inputs!$B$9+((C3105=TRUE)*(F3105-Calc!F26))+B3113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3088*(MIN(100,(Inputs!$B$9+((C3105=TRUE)*(F3105-Calc!F26))+B3113+(ArtifactsInput!$M$24-ArtifactsInput!$M$24)*CHOOSE(ArtifactsInput!$N$24+1,10,12,14,16,18,20)+(IF(AND(Inputs!$B$39&lt;&gt;"pvp",Inputs!$B$44=0),1,IF(IF(Inputs!$B$39="pvp",15,Inputs!$B$44)-(B3124)&lt;=0,1,MAX(0,IF(Inputs!$B$39="pvp",15,Inputs!$B$44)-MAX(5,B3124))/(IF(Inputs!$B$39="pvp",15,Inputs!$B$44)-(B3124))))*IF(AND(ArtifactsInput!$M$42,((Inputs!$B$9+((C3105=TRUE)*(F3105-Calc!F26))+B3113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3088*(1-MIN(100,(Inputs!$B$9+((C3105=TRUE)*(F3105-Calc!F26))+B3113+(ArtifactsInput!$M$24-ArtifactsInput!$M$24)*CHOOSE(ArtifactsInput!$N$24+1,10,12,14,16,18,20)+(IF(AND(Inputs!$B$39&lt;&gt;"pvp",Inputs!$B$44=0),1,IF(IF(Inputs!$B$39="pvp",15,Inputs!$B$44)-(B3124)&lt;=0,1,MAX(0,IF(Inputs!$B$39="pvp",15,Inputs!$B$44)-MAX(5,B3124))/(IF(Inputs!$B$39="pvp",15,Inputs!$B$44)-(B3124))))*IF(AND(ArtifactsInput!$M$42,((Inputs!$B$9+((C3105=TRUE)*(F3105-Calc!F26))+B3113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3088*(MIN(100,(Inputs!$B$9+((C3105=TRUE)*(F3105-Calc!F26))+B3113+(ArtifactsInput!$M$24-ArtifactsInput!$M$24)*CHOOSE(ArtifactsInput!$N$24+1,10,12,14,16,18,20)+(IF(AND(Inputs!$B$39&lt;&gt;"pvp",Inputs!$B$44=0),1,IF(IF(Inputs!$B$39="pvp",15,Inputs!$B$44)-(B3124)&lt;=0,1,MAX(0,IF(Inputs!$B$39="pvp",15,Inputs!$B$44)-MAX(5,B3124))/(IF(Inputs!$B$39="pvp",15,Inputs!$B$44)-(B3124))))*IF(AND(ArtifactsInput!$M$42,((Inputs!$B$9+((C3105=TRUE)*(F3105-Calc!F26))+B3113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3088">
        <f>IF(C3088,(H3088*N3088*IF(AND(Inputs!$B$39&lt;&gt;"pvp",Inputs!$B$44&gt;0),((Skills!G9*((R3088-1)*IF(Skills!H9&gt;0,Skills!I9/Skills!H9,1)+IF(Skills!H9&gt;0,MIN(Skills!I9,MAX(0,MAX(0,Inputs!$B$44-B3124)-((R3088-1)*IF(Inputs!$B$39="pvp",15,MAX(0.1,Skills!D9-IF(FALSE=TRUE,Inputs!$B$32,0))))))/Skills!H9,1)))/Inputs!$B$44),G3088*Q3088))*IF(Inputs!$B$39="pvp",1,(1+(Inputs!$B$21+Skills!Q9+B3114+(IF(ArtifactsInput!$M$33,CHOOSE(ArtifactsInput!$N$33+1,30,36,42,48,54,60),0))+(IF(AND(ArtifactsInput!$M$35,Inputs!$B$4&lt;&gt;"Chapter Hunt"),CHOOSE(ArtifactsInput!$N$35+1,15,18,21,24,27,30)*(1-EXP(-(0.2*B3117)*5)),0)+IF(AND(ArtifactsInput!$M$22,Inputs!$B$4&lt;&gt;"Chapter Hunt"),CHOOSE(ArtifactsInput!$N$22+1,10,12,14,16,18,20)*((0*(((0.15*B3117*5))^0/1)+1*(((0.15*B3117*5))^1/1)+2*(((0.15*B3117*5))^2/2)+3*(((0.15*B3117*5))^3/6)+4*(((0.15*B3117*5))^4/24)+5*(((0.15*B3117*5))^5/120))/((((0.15*B3117*5))^0/1)+(((0.15*B3117*5))^1/1)+(((0.15*B3117*5))^2/2)+(((0.15*B3117*5))^3/6)+(((0.15*B3117*5))^4/24)+(((0.15*B3117*5))^5/120))),0)))/100)*(MIN(Skills!W9,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3089">
      <c r="A3089">
        <f>Skills!A10</f>
        <v/>
      </c>
      <c r="B3089">
        <f>Skills!B10</f>
        <v/>
      </c>
      <c r="C3089">
        <f>Inputs!$B$3&gt;=117</f>
        <v/>
      </c>
      <c r="D3089">
        <f>IF(Skills!C10=1,60+Inputs!$B$25+Inputs!$B$29,IF(Skills!C10=2,90+Inputs!$B$26+Inputs!$B$29,IF(Skills!C10=3,120+Inputs!$B$27+Inputs!$B$29,MAX(0,(Inputs!$B$3-100)*3)+Inputs!$B$28+Inputs!$B$29)))</f>
        <v/>
      </c>
      <c r="E3089">
        <f>INDEX(FactorTable!$B$2:$Y$301, MATCH(ROUND(MIN(300,MAX(1,D3089)),0), FactorTable!$A$2:$A$301,0), Skills!M10+1)</f>
        <v/>
      </c>
      <c r="F3089">
        <f>IF(Skills!N10=TRUE,(Skills!L10/10)*(E3089/1000),Skills!L10/10)+Skills!O10</f>
        <v/>
      </c>
      <c r="G3089">
        <f>Skills!G10*IF(Skills!H10&gt;0,IF(Inputs!$B$39="pvp",MIN(Skills!I10,15),Skills!I10)/Skills!H10,1)</f>
        <v/>
      </c>
      <c r="H3089">
        <f>1-(1-Skills!J10/100)^Skills!K10</f>
        <v/>
      </c>
      <c r="I3089" t="inlineStr">
        <is>
          <t>1</t>
        </is>
      </c>
      <c r="J3089">
        <f>((Inputs!$B$6*(1+Inputs!$B$7/100))+(((Inputs!$B$12*(1+Inputs!$B$13/100))-(Inputs!$B$12*(1+Inputs!$B$13/100)))+0.25*(Inputs!$B$14-Inputs!$B$14))*(1+Inputs!$B$7/100))*(F3089/100)</f>
        <v/>
      </c>
      <c r="K3089">
        <f>J3089*(1+((Inputs!$B$12*(1+Inputs!$B$13/100))*0.01+Inputs!$B$14*0.0025)/100)*(1+Inputs!$B$15/100)*(1+Inputs!$B$16/100)*(5000/(6000+Inputs!$B$43*(1-(100*(1-(1-Inputs!$B$19/100)*(1-CHOOSE(ArtifactsInput!$N$40+1,5,6,7,8,9,10)/100)^(ArtifactsInput!$M$40-ArtifactsInput!$M$40)))/100)))*(1+(Inputs!$B$24+((C3110=TRUE)*(F3110-Calc!F31))+((C3097=TRUE)*(F3097-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IF(ArtifactsInput!$M$39,FALSE,TRUE)-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10="CRUEL_STAB",Inputs!$B$17+((C3107=TRUE)*(F3107-Calc!F28))+((IF(AND(Inputs!$B$39&lt;&gt;"pvp",Inputs!$B$44=0),1,IF(IF(Inputs!$B$39="pvp",15,Inputs!$B$44)-(B3124)&lt;=0,1,MAX(0,IF(Inputs!$B$39="pvp",15,Inputs!$B$44)-MAX(5,B3124))/(IF(Inputs!$B$39="pvp",15,Inputs!$B$44)-(B3124))))*(IF(AND(ArtifactsInput!$M$42,((Inputs!$B$9+((C3105=TRUE)*(F3105-Calc!F26))+B3113+(ArtifactsInput!$M$24-ArtifactsInput!$M$24)*CHOOSE(ArtifactsInput!$N$24+1,10,12,14,16,18,20)+IF(ArtifactsInput!$M$10,CHOOSE(ArtifactsInput!$N$10+1,15,18,21,24,27,30)*(IF(Inputs!$B$39="pvp",MIN(15,15)/15,IF(AND(Inputs!$B$39&lt;&gt;"pvp",Inputs!$B$44&gt;0),MIN(15,Inputs!$B$44)/(Inputs!$B$44),0))),0)))&gt;=100),MIN(100,((Inputs!$B$9+((C3105=TRUE)*(F3105-Calc!F26))+B3113+(ArtifactsInput!$M$24-ArtifactsInput!$M$24)*CHOOSE(ArtifactsInput!$N$24+1,10,12,14,16,18,20)+IF(ArtifactsInput!$M$10,CHOOSE(ArtifactsInput!$N$10+1,15,18,21,24,27,30)*(IF(Inputs!$B$39="pvp",MIN(15,15)/15,IF(AND(Inputs!$B$39&lt;&gt;"pvp",Inputs!$B$44&gt;0),MIN(15,Inputs!$B$44)/(Inputs!$B$44),0))),0)))-100),0))*CHOOSE(ArtifactsInput!$N$42+1,0.6,0.72,0.84,0.96,1.08,1.2))),Inputs!$B$18+((C3108=TRUE)*(F3108-Calc!F29))+(IF(AND(Inputs!$B$39&lt;&gt;"pvp",Inputs!$B$44=0),1,IF(IF(Inputs!$B$39="pvp",15,Inputs!$B$44)-(B3124)&lt;=0,1,MAX(0,IF(Inputs!$B$39="pvp",15,Inputs!$B$44)-MAX(5,B3124))/(IF(Inputs!$B$39="pvp",15,Inputs!$B$44)-(B3124))))*IF(AND(ArtifactsInput!$M$42,((Inputs!$B$9+((C3105=TRUE)*(F3105-Calc!F26))+B3113+(ArtifactsInput!$M$24-ArtifactsInput!$M$24)*CHOOSE(ArtifactsInput!$N$24+1,10,12,14,16,18,20)+IF(ArtifactsInput!$M$10,CHOOSE(ArtifactsInput!$N$10+1,15,18,21,24,27,30)*(IF(Inputs!$B$39="pvp",MIN(15,15)/15,IF(AND(Inputs!$B$39&lt;&gt;"pvp",Inputs!$B$44&gt;0),MIN(15,Inputs!$B$44)/(Inputs!$B$44),0))),0)))&gt;=100),CHOOSE(ArtifactsInput!$N$42+1,40,48,56,64,72,80),0))))/100)*(((1+(((C3101=TRUE)*F3101*IF(AND(Inputs!$B$39&lt;&gt;"pvp",Inputs!$B$44&gt;0),(((R3101-1)*MIN((Skills!Y22*(1+Inputs!$B$34/100)),(1/Q3101))+MIN((Skills!Y22*(1+Inputs!$B$34/100)),MAX(0,Inputs!$B$44-((R3101-1)*(1/Q3101)))))/Inputs!$B$44),IF(Inputs!$B$39="pvp",MIN((Skills!Y22*(1+Inputs!$B$34/100)),15)/15,MIN(1,(Skills!Y22*(1+Inputs!$B$34/100))/(1/Q3101)))))+((C3082=TRUE)*F3082*3)+((C3084=TRUE)*F3084*(1-EXP(-0.75*B3117*5)))+((C3103=TRUE)*(F3103-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3090=TRUE)*F3090*IF(AND(Inputs!$B$39&lt;&gt;"pvp",Inputs!$B$44&gt;0),(((R3090-1)*MIN((Skills!Y11*(1+Inputs!$B$34/100)),(1/Q3090))+MIN((Skills!Y11*(1+Inputs!$B$34/100)),MAX(0,Inputs!$B$44-((R3090-1)*(1/Q3090)))))/Inputs!$B$44),IF(Inputs!$B$39="pvp",MIN((Skills!Y11*(1+Inputs!$B$34/100)),15)/15,MIN(1,(Skills!Y11*(1+Inputs!$B$34/100))/(1/Q3090)))))/100)*(1+((C3095=TRUE)*F3095*IF(AND(Inputs!$B$39&lt;&gt;"pvp",Inputs!$B$44&gt;0),(((R3095-1)*MIN((Skills!Y16*(1+Inputs!$B$34/100)),(1/Q3095))+MIN((Skills!Y16*(1+Inputs!$B$34/100)),MAX(0,Inputs!$B$44-((R3095-1)*(1/Q3095)))))/Inputs!$B$44),IF(Inputs!$B$39="pvp",MIN((Skills!Y16*(1+Inputs!$B$34/100)),15)/15,MIN(1,(Skills!Y16*(1+Inputs!$B$34/100))/(1/Q3095)))))/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3115*I3089)</f>
        <v/>
      </c>
      <c r="L3089">
        <f>K3089*(MIN(Inputs!$B$22+((C3104=TRUE)*(F3104-Calc!F25)),(Inputs!$B$23+((C3109=TRUE)*(F3109-Calc!F30))+IF(ArtifactsInput!$M$15,CHOOSE(ArtifactsInput!$N$15+1,25,30,35,40,45,50)/100*(Inputs!$B$11-Inputs!$B$11),0)))/100+(Inputs!$B$23+((C3109=TRUE)*(F3109-Calc!F30))+IF(ArtifactsInput!$M$15,CHOOSE(ArtifactsInput!$N$15+1,25,30,35,40,45,50)/100*(Inputs!$B$11-Inputs!$B$11),0))/100)/2</f>
        <v/>
      </c>
      <c r="M3089">
        <f>L3089*(1+(Inputs!$B$10+((C3106=TRUE)*(F3106-Calc!F27))+B3120+(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3089">
        <f>L3089*(1-MIN((Inputs!$B$9+((C3105=TRUE)*(F3105-Calc!F26))+B3113+(ArtifactsInput!$M$24-ArtifactsInput!$M$24)*CHOOSE(ArtifactsInput!$N$24+1,10,12,14,16,18,20)+(IF(AND(Inputs!$B$39&lt;&gt;"pvp",Inputs!$B$44=0),1,IF(IF(Inputs!$B$39="pvp",15,Inputs!$B$44)-(B3124)&lt;=0,1,MAX(0,IF(Inputs!$B$39="pvp",15,Inputs!$B$44)-MAX(5,B3124))/(IF(Inputs!$B$39="pvp",15,Inputs!$B$44)-(B3124))))*IF(AND(ArtifactsInput!$M$42,((Inputs!$B$9+((C3105=TRUE)*(F3105-Calc!F26))+B3113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3089*(MIN((Inputs!$B$9+((C3105=TRUE)*(F3105-Calc!F26))+B3113+(ArtifactsInput!$M$24-ArtifactsInput!$M$24)*CHOOSE(ArtifactsInput!$N$24+1,10,12,14,16,18,20)+(IF(AND(Inputs!$B$39&lt;&gt;"pvp",Inputs!$B$44=0),1,IF(IF(Inputs!$B$39="pvp",15,Inputs!$B$44)-(B3124)&lt;=0,1,MAX(0,IF(Inputs!$B$39="pvp",15,Inputs!$B$44)-MAX(5,B3124))/(IF(Inputs!$B$39="pvp",15,Inputs!$B$44)-(B3124))))*IF(AND(ArtifactsInput!$M$42,((Inputs!$B$9+((C3105=TRUE)*(F3105-Calc!F26))+B3113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3089">
        <f>(1-Summary!$B$11)*T3089+Summary!$B$11*V3089</f>
        <v/>
      </c>
      <c r="P3089">
        <f>IF(B3125=0,0,O3089/B3125)</f>
        <v/>
      </c>
      <c r="Q3089" t="n">
        <v>0</v>
      </c>
      <c r="R3089" t="n">
        <v>0</v>
      </c>
      <c r="S3089" t="n">
        <v>0</v>
      </c>
      <c r="T3089">
        <f>IF(C3089,(0.2*SUMPRODUCT((Skills!Z2:Z31=TRUE)*(C3081:C3110=TRUE)*S3081:S3110)*N3089)*IF(Inputs!$B$39="pvp",1,1+(Inputs!$B$20+0+Skills!P10+B3114+(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Hunt"),CHOOSE(ArtifactsInput!$N$35+1,15,18,21,24,27,30)*(1-EXP(-(0.2*B3117)*5)),0)+IF(AND(ArtifactsInput!$M$22,Inputs!$B$4&lt;&gt;"Chapter Hunt"),CHOOSE(ArtifactsInput!$N$22+1,10,12,14,16,18,20)*((0*(((0.15*B3117*5))^0/1)+1*(((0.15*B3117*5))^1/1)+2*(((0.15*B3117*5))^2/2)+3*(((0.15*B3117*5))^3/6)+4*(((0.15*B3117*5))^4/24)+5*(((0.15*B3117*5))^5/120))/((((0.15*B3117*5))^0/1)+(((0.15*B3117*5))^1/1)+(((0.15*B3117*5))^2/2)+(((0.15*B3117*5))^3/6)+(((0.15*B3117*5))^4/24)+(((0.15*B3117*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3089*(1-MIN(100,(Inputs!$B$9+((C3105=TRUE)*(F3105-Calc!F26))+B3113+(ArtifactsInput!$M$24-ArtifactsInput!$M$24)*CHOOSE(ArtifactsInput!$N$24+1,10,12,14,16,18,20)+(IF(AND(Inputs!$B$39&lt;&gt;"pvp",Inputs!$B$44=0),1,IF(IF(Inputs!$B$39="pvp",15,Inputs!$B$44)-(B3124)&lt;=0,1,MAX(0,IF(Inputs!$B$39="pvp",15,Inputs!$B$44)-MAX(5,B3124))/(IF(Inputs!$B$39="pvp",15,Inputs!$B$44)-(B3124))))*IF(AND(ArtifactsInput!$M$42,((Inputs!$B$9+((C3105=TRUE)*(F3105-Calc!F26))+B3113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3089*(MIN(100,(Inputs!$B$9+((C3105=TRUE)*(F3105-Calc!F26))+B3113+(ArtifactsInput!$M$24-ArtifactsInput!$M$24)*CHOOSE(ArtifactsInput!$N$24+1,10,12,14,16,18,20)+(IF(AND(Inputs!$B$39&lt;&gt;"pvp",Inputs!$B$44=0),1,IF(IF(Inputs!$B$39="pvp",15,Inputs!$B$44)-(B3124)&lt;=0,1,MAX(0,IF(Inputs!$B$39="pvp",15,Inputs!$B$44)-MAX(5,B3124))/(IF(Inputs!$B$39="pvp",15,Inputs!$B$44)-(B3124))))*IF(AND(ArtifactsInput!$M$42,((Inputs!$B$9+((C3105=TRUE)*(F3105-Calc!F26))+B3113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3089*(1-MIN(100,(Inputs!$B$9+((C3105=TRUE)*(F3105-Calc!F26))+B3113+(ArtifactsInput!$M$24-ArtifactsInput!$M$24)*CHOOSE(ArtifactsInput!$N$24+1,10,12,14,16,18,20)+(IF(AND(Inputs!$B$39&lt;&gt;"pvp",Inputs!$B$44=0),1,IF(IF(Inputs!$B$39="pvp",15,Inputs!$B$44)-(B3124)&lt;=0,1,MAX(0,IF(Inputs!$B$39="pvp",15,Inputs!$B$44)-MAX(5,B3124))/(IF(Inputs!$B$39="pvp",15,Inputs!$B$44)-(B3124))))*IF(AND(ArtifactsInput!$M$42,((Inputs!$B$9+((C3105=TRUE)*(F3105-Calc!F26))+B3113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3089*(MIN(100,(Inputs!$B$9+((C3105=TRUE)*(F3105-Calc!F26))+B3113+(ArtifactsInput!$M$24-ArtifactsInput!$M$24)*CHOOSE(ArtifactsInput!$N$24+1,10,12,14,16,18,20)+(IF(AND(Inputs!$B$39&lt;&gt;"pvp",Inputs!$B$44=0),1,IF(IF(Inputs!$B$39="pvp",15,Inputs!$B$44)-(B3124)&lt;=0,1,MAX(0,IF(Inputs!$B$39="pvp",15,Inputs!$B$44)-MAX(5,B3124))/(IF(Inputs!$B$39="pvp",15,Inputs!$B$44)-(B3124))))*IF(AND(ArtifactsInput!$M$42,((Inputs!$B$9+((C3105=TRUE)*(F3105-Calc!F26))+B3113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3089">
        <f>IF(C3089,(0.2*SUMPRODUCT((Skills!Z2:Z31=TRUE)*(C3081:C3110=TRUE)*S3081:S3110)*N3089)*IF(Inputs!$B$39="pvp",1,(1+(Inputs!$B$21+Skills!Q10+B3114+(IF(ArtifactsInput!$M$33,CHOOSE(ArtifactsInput!$N$33+1,30,36,42,48,54,60),0))+(IF(AND(ArtifactsInput!$M$35,Inputs!$B$4&lt;&gt;"Chapter Hunt"),CHOOSE(ArtifactsInput!$N$35+1,15,18,21,24,27,30)*(1-EXP(-(0.2*B3117)*5)),0)+IF(AND(ArtifactsInput!$M$22,Inputs!$B$4&lt;&gt;"Chapter Hunt"),CHOOSE(ArtifactsInput!$N$22+1,10,12,14,16,18,20)*((0*(((0.15*B3117*5))^0/1)+1*(((0.15*B3117*5))^1/1)+2*(((0.15*B3117*5))^2/2)+3*(((0.15*B3117*5))^3/6)+4*(((0.15*B3117*5))^4/24)+5*(((0.15*B3117*5))^5/120))/((((0.15*B3117*5))^0/1)+(((0.15*B3117*5))^1/1)+(((0.15*B3117*5))^2/2)+(((0.15*B3117*5))^3/6)+(((0.15*B3117*5))^4/24)+(((0.15*B3117*5))^5/120))),0)))/100)*(MIN(Skills!W10,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3090">
      <c r="A3090">
        <f>Skills!A11</f>
        <v/>
      </c>
      <c r="B3090">
        <f>Skills!B11</f>
        <v/>
      </c>
      <c r="C3090">
        <f>Inputs!$B$3&gt;=74</f>
        <v/>
      </c>
      <c r="D3090">
        <f>IF(Skills!C11=1,60+Inputs!$B$25+Inputs!$B$29,IF(Skills!C11=2,90+Inputs!$B$26+Inputs!$B$29,IF(Skills!C11=3,120+Inputs!$B$27+Inputs!$B$29,MAX(0,(Inputs!$B$3-100)*3)+Inputs!$B$28+Inputs!$B$29)))</f>
        <v/>
      </c>
      <c r="E3090">
        <f>INDEX(FactorTable!$B$2:$Y$301, MATCH(ROUND(MIN(300,MAX(1,D3090)),0), FactorTable!$A$2:$A$301,0), Skills!M11+1)</f>
        <v/>
      </c>
      <c r="F3090">
        <f>IF(Skills!N11=TRUE,(Skills!L11/10)*(E3090/1000),Skills!L11/10)+Skills!O11</f>
        <v/>
      </c>
      <c r="G3090">
        <f>Skills!G11*IF(Skills!H11&gt;0,IF(Inputs!$B$39="pvp",MIN(Skills!I11,15),Skills!I11)/Skills!H11,1)</f>
        <v/>
      </c>
      <c r="H3090">
        <f>1-(1-Skills!J11/100)^Skills!K11</f>
        <v/>
      </c>
      <c r="I3090" t="inlineStr">
        <is>
          <t>1</t>
        </is>
      </c>
      <c r="J3090" t="inlineStr"/>
      <c r="K3090" t="inlineStr"/>
      <c r="L3090" t="inlineStr"/>
      <c r="M3090" t="inlineStr"/>
      <c r="N3090" t="inlineStr"/>
      <c r="O3090">
        <f>(1-Summary!$B$11)*T3090+Summary!$B$11*V3090</f>
        <v/>
      </c>
      <c r="P3090">
        <f>IF(B3125=0,0,O3090/B3125)</f>
        <v/>
      </c>
      <c r="Q3090">
        <f>IFERROR(1/IF(Inputs!$B$39="pvp",15,MAX(0.1,Skills!D11-IF(TRUE=TRUE,Inputs!$B$32,0))),0)</f>
        <v/>
      </c>
      <c r="R3090">
        <f>IF(AND(Inputs!$B$39&lt;&gt;"pvp",Inputs!$B$44&gt;0),IF(Inputs!$B$44&lt;=0,0,(INT(Inputs!$B$44/IF(Inputs!$B$39="pvp",15,MAX(0.1,Skills!D11-IF(TRUE=TRUE,Inputs!$B$32,0))))+1)),0)</f>
        <v/>
      </c>
      <c r="S3090">
        <f>IFERROR(O3090/N3090,0)</f>
        <v/>
      </c>
      <c r="T3090" t="n">
        <v>0</v>
      </c>
      <c r="V3090" t="n">
        <v>0</v>
      </c>
    </row>
    <row r="3091">
      <c r="A3091">
        <f>Skills!A12</f>
        <v/>
      </c>
      <c r="B3091">
        <f>Skills!B12</f>
        <v/>
      </c>
      <c r="C3091">
        <f>Inputs!$B$3&gt;=103</f>
        <v/>
      </c>
      <c r="D3091">
        <f>IF(Skills!C12=1,60+Inputs!$B$25+Inputs!$B$29,IF(Skills!C12=2,90+Inputs!$B$26+Inputs!$B$29,IF(Skills!C12=3,120+Inputs!$B$27+Inputs!$B$29,MAX(0,(Inputs!$B$3-100)*3)+Inputs!$B$28+Inputs!$B$29)))</f>
        <v/>
      </c>
      <c r="E3091">
        <f>INDEX(FactorTable!$B$2:$Y$301, MATCH(ROUND(MIN(300,MAX(1,D3091)),0), FactorTable!$A$2:$A$301,0), Skills!M12+1)</f>
        <v/>
      </c>
      <c r="F3091">
        <f>(Skills!L12/10)*(E3091/1000)+IF(Inputs!$B$3&gt;=134,50,0)+0.5*(30000/10)*(INDEX(FactorTable!$B$2:$Y$301, MATCH(ROUND(MIN(300,MAX(1,D3091)),0), FactorTable!$A$2:$A$301,0), 13)/1000)*B3123</f>
        <v/>
      </c>
      <c r="G3091">
        <f>Skills!G12*IF(Skills!H12&gt;0,IF(Inputs!$B$39="pvp",MIN(Skills!I12,15),Skills!I12)/Skills!H12,1)</f>
        <v/>
      </c>
      <c r="H3091">
        <f>1-(1-Skills!J12/100)^Skills!K12</f>
        <v/>
      </c>
      <c r="I3091" t="inlineStr">
        <is>
          <t>1</t>
        </is>
      </c>
      <c r="J3091">
        <f>((Inputs!$B$6*(1+Inputs!$B$7/100))+(((Inputs!$B$12*(1+Inputs!$B$13/100))-(Inputs!$B$12*(1+Inputs!$B$13/100)))+0.25*(Inputs!$B$14-Inputs!$B$14))*(1+Inputs!$B$7/100))*(F3091/100)</f>
        <v/>
      </c>
      <c r="K3091">
        <f>J3091*(1+((Inputs!$B$12*(1+Inputs!$B$13/100))*0.01+Inputs!$B$14*0.0025)/100)*(1+Inputs!$B$15/100)*(1+Inputs!$B$16/100)*(5000/(6000+Inputs!$B$43*(1-(100*(1-(1-Inputs!$B$19/100)*(1-CHOOSE(ArtifactsInput!$N$40+1,5,6,7,8,9,10)/100)^(ArtifactsInput!$M$40-ArtifactsInput!$M$40)))/100)))*(1+(Inputs!$B$24+((C3110=TRUE)*(F3110-Calc!F31))+((C3097=TRUE)*(F3097-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IF(ArtifactsInput!$M$39,FALSE,TRUE)-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12="CRUEL_STAB",Inputs!$B$17+((C3107=TRUE)*(F3107-Calc!F28))+((IF(AND(Inputs!$B$39&lt;&gt;"pvp",Inputs!$B$44=0),1,IF(IF(Inputs!$B$39="pvp",15,Inputs!$B$44)-(B3124)&lt;=0,1,MAX(0,IF(Inputs!$B$39="pvp",15,Inputs!$B$44)-MAX(5,B3124))/(IF(Inputs!$B$39="pvp",15,Inputs!$B$44)-(B3124))))*(IF(AND(ArtifactsInput!$M$42,((Inputs!$B$9+((C3105=TRUE)*(F3105-Calc!F26))+B3113+(ArtifactsInput!$M$24-ArtifactsInput!$M$24)*CHOOSE(ArtifactsInput!$N$24+1,10,12,14,16,18,20)+IF(ArtifactsInput!$M$10,CHOOSE(ArtifactsInput!$N$10+1,15,18,21,24,27,30)*(IF(Inputs!$B$39="pvp",MIN(15,15)/15,IF(AND(Inputs!$B$39&lt;&gt;"pvp",Inputs!$B$44&gt;0),MIN(15,Inputs!$B$44)/(Inputs!$B$44),0))),0)))&gt;=100),MIN(100,((Inputs!$B$9+((C3105=TRUE)*(F3105-Calc!F26))+B3113+(ArtifactsInput!$M$24-ArtifactsInput!$M$24)*CHOOSE(ArtifactsInput!$N$24+1,10,12,14,16,18,20)+IF(ArtifactsInput!$M$10,CHOOSE(ArtifactsInput!$N$10+1,15,18,21,24,27,30)*(IF(Inputs!$B$39="pvp",MIN(15,15)/15,IF(AND(Inputs!$B$39&lt;&gt;"pvp",Inputs!$B$44&gt;0),MIN(15,Inputs!$B$44)/(Inputs!$B$44),0))),0)))-100),0))*CHOOSE(ArtifactsInput!$N$42+1,0.6,0.72,0.84,0.96,1.08,1.2))),Inputs!$B$18+((C3108=TRUE)*(F3108-Calc!F29))+(IF(AND(Inputs!$B$39&lt;&gt;"pvp",Inputs!$B$44=0),1,IF(IF(Inputs!$B$39="pvp",15,Inputs!$B$44)-(B3124)&lt;=0,1,MAX(0,IF(Inputs!$B$39="pvp",15,Inputs!$B$44)-MAX(5,B3124))/(IF(Inputs!$B$39="pvp",15,Inputs!$B$44)-(B3124))))*IF(AND(ArtifactsInput!$M$42,((Inputs!$B$9+((C3105=TRUE)*(F3105-Calc!F26))+B3113+(ArtifactsInput!$M$24-ArtifactsInput!$M$24)*CHOOSE(ArtifactsInput!$N$24+1,10,12,14,16,18,20)+IF(ArtifactsInput!$M$10,CHOOSE(ArtifactsInput!$N$10+1,15,18,21,24,27,30)*(IF(Inputs!$B$39="pvp",MIN(15,15)/15,IF(AND(Inputs!$B$39&lt;&gt;"pvp",Inputs!$B$44&gt;0),MIN(15,Inputs!$B$44)/(Inputs!$B$44),0))),0)))&gt;=100),CHOOSE(ArtifactsInput!$N$42+1,40,48,56,64,72,80),0))))/100)*(((1+(((C3101=TRUE)*F3101*IF(AND(Inputs!$B$39&lt;&gt;"pvp",Inputs!$B$44&gt;0),(((R3101-1)*MIN((Skills!Y22*(1+Inputs!$B$34/100)),(1/Q3101))+MIN((Skills!Y22*(1+Inputs!$B$34/100)),MAX(0,Inputs!$B$44-((R3101-1)*(1/Q3101)))))/Inputs!$B$44),IF(Inputs!$B$39="pvp",MIN((Skills!Y22*(1+Inputs!$B$34/100)),15)/15,MIN(1,(Skills!Y22*(1+Inputs!$B$34/100))/(1/Q3101)))))+((C3082=TRUE)*F3082*3)+((C3084=TRUE)*F3084*(1-EXP(-0.75*B3117*5)))+((C3103=TRUE)*(F3103-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3090=TRUE)*F3090*IF(AND(Inputs!$B$39&lt;&gt;"pvp",Inputs!$B$44&gt;0),(((R3090-1)*MIN((Skills!Y11*(1+Inputs!$B$34/100)),(1/Q3090))+MIN((Skills!Y11*(1+Inputs!$B$34/100)),MAX(0,Inputs!$B$44-((R3090-1)*(1/Q3090)))))/Inputs!$B$44),IF(Inputs!$B$39="pvp",MIN((Skills!Y11*(1+Inputs!$B$34/100)),15)/15,MIN(1,(Skills!Y11*(1+Inputs!$B$34/100))/(1/Q3090)))))/100)*(1+((C3095=TRUE)*F3095*IF(AND(Inputs!$B$39&lt;&gt;"pvp",Inputs!$B$44&gt;0),(((R3095-1)*MIN((Skills!Y16*(1+Inputs!$B$34/100)),(1/Q3095))+MIN((Skills!Y16*(1+Inputs!$B$34/100)),MAX(0,Inputs!$B$44-((R3095-1)*(1/Q3095)))))/Inputs!$B$44),IF(Inputs!$B$39="pvp",MIN((Skills!Y16*(1+Inputs!$B$34/100)),15)/15,MIN(1,(Skills!Y16*(1+Inputs!$B$34/100))/(1/Q3095)))))/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3115*I3091)</f>
        <v/>
      </c>
      <c r="L3091">
        <f>K3091*(MIN(Inputs!$B$22+((C3104=TRUE)*(F3104-Calc!F25)),(Inputs!$B$23+((C3109=TRUE)*(F3109-Calc!F30))+IF(ArtifactsInput!$M$15,CHOOSE(ArtifactsInput!$N$15+1,25,30,35,40,45,50)/100*(Inputs!$B$11-Inputs!$B$11),0)))/100+(Inputs!$B$23+((C3109=TRUE)*(F3109-Calc!F30))+IF(ArtifactsInput!$M$15,CHOOSE(ArtifactsInput!$N$15+1,25,30,35,40,45,50)/100*(Inputs!$B$11-Inputs!$B$11),0))/100)/2</f>
        <v/>
      </c>
      <c r="M3091">
        <f>L3091*(1+(Inputs!$B$10+((C3106=TRUE)*(F3106-Calc!F27))+B3120+(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3091">
        <f>L3091*(1-MIN((Inputs!$B$9+((C3105=TRUE)*(F3105-Calc!F26))+B3113+(ArtifactsInput!$M$24-ArtifactsInput!$M$24)*CHOOSE(ArtifactsInput!$N$24+1,10,12,14,16,18,20)+(IF(AND(Inputs!$B$39&lt;&gt;"pvp",Inputs!$B$44=0),1,IF(IF(Inputs!$B$39="pvp",15,Inputs!$B$44)-(B3124)&lt;=0,1,MAX(0,IF(Inputs!$B$39="pvp",15,Inputs!$B$44)-MAX(5,B3124))/(IF(Inputs!$B$39="pvp",15,Inputs!$B$44)-(B3124))))*IF(AND(ArtifactsInput!$M$42,((Inputs!$B$9+((C3105=TRUE)*(F3105-Calc!F26))+B3113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3091*(MIN((Inputs!$B$9+((C3105=TRUE)*(F3105-Calc!F26))+B3113+(ArtifactsInput!$M$24-ArtifactsInput!$M$24)*CHOOSE(ArtifactsInput!$N$24+1,10,12,14,16,18,20)+(IF(AND(Inputs!$B$39&lt;&gt;"pvp",Inputs!$B$44=0),1,IF(IF(Inputs!$B$39="pvp",15,Inputs!$B$44)-(B3124)&lt;=0,1,MAX(0,IF(Inputs!$B$39="pvp",15,Inputs!$B$44)-MAX(5,B3124))/(IF(Inputs!$B$39="pvp",15,Inputs!$B$44)-(B3124))))*IF(AND(ArtifactsInput!$M$42,((Inputs!$B$9+((C3105=TRUE)*(F3105-Calc!F26))+B3113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3091">
        <f>(1-Summary!$B$11)*T3091+Summary!$B$11*V3091</f>
        <v/>
      </c>
      <c r="P3091">
        <f>IF(B3125=0,0,O3091/B3125)</f>
        <v/>
      </c>
      <c r="Q3091">
        <f>IFERROR(1/IF(Inputs!$B$39="pvp",15,MAX(0.1,Skills!D12-IF(TRUE=TRUE,Inputs!$B$32,0))),0)</f>
        <v/>
      </c>
      <c r="R3091">
        <f>IF(AND(Inputs!$B$39&lt;&gt;"pvp",Inputs!$B$44&gt;0),IF(MAX(0,Inputs!$B$44-B3124)&lt;=0,0,(INT(MAX(0,Inputs!$B$44-B3124)/IF(Inputs!$B$39="pvp",15,MAX(0.1,Skills!D12-IF(TRUE=TRUE,Inputs!$B$32,0))))+1)),0)</f>
        <v/>
      </c>
      <c r="S3091">
        <f>IFERROR(O3091/N3091,0)</f>
        <v/>
      </c>
      <c r="T3091">
        <f>IF(C3091,(H3091*N3091*IF(AND(Inputs!$B$39&lt;&gt;"pvp",Inputs!$B$44&gt;0),((Skills!G12*((R3091-1)*IF(Skills!H12&gt;0,Skills!I12/Skills!H12,1)+IF(Skills!H12&gt;0,MIN(Skills!I12,MAX(0,MAX(0,Inputs!$B$44-B3124)-((R3091-1)*IF(Inputs!$B$39="pvp",15,MAX(0.1,Skills!D12-IF(TRUE=TRUE,Inputs!$B$32,0))))))/Skills!H12,1)))/Inputs!$B$44),G3091*Q3091))*IF(Inputs!$B$39="pvp",1,1+(Inputs!$B$20+0+Skills!P12+B3114+(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Hunt"),CHOOSE(ArtifactsInput!$N$35+1,15,18,21,24,27,30)*(1-EXP(-(0.2*B3117)*5)),0)+IF(AND(ArtifactsInput!$M$22,Inputs!$B$4&lt;&gt;"Chapter Hunt"),CHOOSE(ArtifactsInput!$N$22+1,10,12,14,16,18,20)*((0*(((0.15*B3117*5))^0/1)+1*(((0.15*B3117*5))^1/1)+2*(((0.15*B3117*5))^2/2)+3*(((0.15*B3117*5))^3/6)+4*(((0.15*B3117*5))^4/24)+5*(((0.15*B3117*5))^5/120))/((((0.15*B3117*5))^0/1)+(((0.15*B3117*5))^1/1)+(((0.15*B3117*5))^2/2)+(((0.15*B3117*5))^3/6)+(((0.15*B3117*5))^4/24)+(((0.15*B3117*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3091*(1-MIN(100,(Inputs!$B$9+((C3105=TRUE)*(F3105-Calc!F26))+B3113+(ArtifactsInput!$M$24-ArtifactsInput!$M$24)*CHOOSE(ArtifactsInput!$N$24+1,10,12,14,16,18,20)+(IF(AND(Inputs!$B$39&lt;&gt;"pvp",Inputs!$B$44=0),1,IF(IF(Inputs!$B$39="pvp",15,Inputs!$B$44)-(B3124)&lt;=0,1,MAX(0,IF(Inputs!$B$39="pvp",15,Inputs!$B$44)-MAX(5,B3124))/(IF(Inputs!$B$39="pvp",15,Inputs!$B$44)-(B3124))))*IF(AND(ArtifactsInput!$M$42,((Inputs!$B$9+((C3105=TRUE)*(F3105-Calc!F26))+B3113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3091*(MIN(100,(Inputs!$B$9+((C3105=TRUE)*(F3105-Calc!F26))+B3113+(ArtifactsInput!$M$24-ArtifactsInput!$M$24)*CHOOSE(ArtifactsInput!$N$24+1,10,12,14,16,18,20)+(IF(AND(Inputs!$B$39&lt;&gt;"pvp",Inputs!$B$44=0),1,IF(IF(Inputs!$B$39="pvp",15,Inputs!$B$44)-(B3124)&lt;=0,1,MAX(0,IF(Inputs!$B$39="pvp",15,Inputs!$B$44)-MAX(5,B3124))/(IF(Inputs!$B$39="pvp",15,Inputs!$B$44)-(B3124))))*IF(AND(ArtifactsInput!$M$42,((Inputs!$B$9+((C3105=TRUE)*(F3105-Calc!F26))+B3113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3091*(1-MIN(100,(Inputs!$B$9+((C3105=TRUE)*(F3105-Calc!F26))+B3113+(ArtifactsInput!$M$24-ArtifactsInput!$M$24)*CHOOSE(ArtifactsInput!$N$24+1,10,12,14,16,18,20)+(IF(AND(Inputs!$B$39&lt;&gt;"pvp",Inputs!$B$44=0),1,IF(IF(Inputs!$B$39="pvp",15,Inputs!$B$44)-(B3124)&lt;=0,1,MAX(0,IF(Inputs!$B$39="pvp",15,Inputs!$B$44)-MAX(5,B3124))/(IF(Inputs!$B$39="pvp",15,Inputs!$B$44)-(B3124))))*IF(AND(ArtifactsInput!$M$42,((Inputs!$B$9+((C3105=TRUE)*(F3105-Calc!F26))+B3113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3091*(MIN(100,(Inputs!$B$9+((C3105=TRUE)*(F3105-Calc!F26))+B3113+(ArtifactsInput!$M$24-ArtifactsInput!$M$24)*CHOOSE(ArtifactsInput!$N$24+1,10,12,14,16,18,20)+(IF(AND(Inputs!$B$39&lt;&gt;"pvp",Inputs!$B$44=0),1,IF(IF(Inputs!$B$39="pvp",15,Inputs!$B$44)-(B3124)&lt;=0,1,MAX(0,IF(Inputs!$B$39="pvp",15,Inputs!$B$44)-MAX(5,B3124))/(IF(Inputs!$B$39="pvp",15,Inputs!$B$44)-(B3124))))*IF(AND(ArtifactsInput!$M$42,((Inputs!$B$9+((C3105=TRUE)*(F3105-Calc!F26))+B3113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3091">
        <f>IF(C3091,(H3091*N3091*IF(AND(Inputs!$B$39&lt;&gt;"pvp",Inputs!$B$44&gt;0),((Skills!G12*((R3091-1)*IF(Skills!H12&gt;0,Skills!I12/Skills!H12,1)+IF(Skills!H12&gt;0,MIN(Skills!I12,MAX(0,MAX(0,Inputs!$B$44-B3124)-((R3091-1)*IF(Inputs!$B$39="pvp",15,MAX(0.1,Skills!D12-IF(TRUE=TRUE,Inputs!$B$32,0))))))/Skills!H12,1)))/Inputs!$B$44),G3091*Q3091))*IF(Inputs!$B$39="pvp",1,(1+(Inputs!$B$21+Skills!Q12+B3114+(IF(ArtifactsInput!$M$33,CHOOSE(ArtifactsInput!$N$33+1,30,36,42,48,54,60),0))+(IF(AND(ArtifactsInput!$M$35,Inputs!$B$4&lt;&gt;"Chapter Hunt"),CHOOSE(ArtifactsInput!$N$35+1,15,18,21,24,27,30)*(1-EXP(-(0.2*B3117)*5)),0)+IF(AND(ArtifactsInput!$M$22,Inputs!$B$4&lt;&gt;"Chapter Hunt"),CHOOSE(ArtifactsInput!$N$22+1,10,12,14,16,18,20)*((0*(((0.15*B3117*5))^0/1)+1*(((0.15*B3117*5))^1/1)+2*(((0.15*B3117*5))^2/2)+3*(((0.15*B3117*5))^3/6)+4*(((0.15*B3117*5))^4/24)+5*(((0.15*B3117*5))^5/120))/((((0.15*B3117*5))^0/1)+(((0.15*B3117*5))^1/1)+(((0.15*B3117*5))^2/2)+(((0.15*B3117*5))^3/6)+(((0.15*B3117*5))^4/24)+(((0.15*B3117*5))^5/120))),0)))/100)*(MIN(Skills!W12,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3092">
      <c r="A3092">
        <f>Skills!A13</f>
        <v/>
      </c>
      <c r="B3092">
        <f>Skills!B13</f>
        <v/>
      </c>
      <c r="C3092">
        <f>Inputs!$B$3&gt;=105</f>
        <v/>
      </c>
      <c r="D3092">
        <f>IF(Skills!C13=1,60+Inputs!$B$25+Inputs!$B$29,IF(Skills!C13=2,90+Inputs!$B$26+Inputs!$B$29,IF(Skills!C13=3,120+Inputs!$B$27+Inputs!$B$29,MAX(0,(Inputs!$B$3-100)*3)+Inputs!$B$28+Inputs!$B$29)))</f>
        <v/>
      </c>
      <c r="E3092">
        <f>INDEX(FactorTable!$B$2:$Y$301, MATCH(ROUND(MIN(300,MAX(1,D3092)),0), FactorTable!$A$2:$A$301,0), Skills!M13+1)</f>
        <v/>
      </c>
      <c r="F3092">
        <f>IF(Skills!N13=TRUE,(Skills!L13/10)*(E3092/1000),Skills!L13/10)+Skills!O13</f>
        <v/>
      </c>
      <c r="G3092">
        <f>Skills!G13*IF(Skills!H13&gt;0,IF(Inputs!$B$39="pvp",MIN(Skills!I13,15),Skills!I13)/Skills!H13,1)</f>
        <v/>
      </c>
      <c r="H3092">
        <f>1-(1-Skills!J13/100)^Skills!K13</f>
        <v/>
      </c>
      <c r="I3092" t="inlineStr">
        <is>
          <t>1</t>
        </is>
      </c>
      <c r="J3092">
        <f>((Inputs!$B$6*(1+Inputs!$B$7/100))+(((Inputs!$B$12*(1+Inputs!$B$13/100))-(Inputs!$B$12*(1+Inputs!$B$13/100)))+0.25*(Inputs!$B$14-Inputs!$B$14))*(1+Inputs!$B$7/100))*(F3092/100)</f>
        <v/>
      </c>
      <c r="K3092">
        <f>J3092*(1+((Inputs!$B$12*(1+Inputs!$B$13/100))*0.01+Inputs!$B$14*0.0025)/100)*(1+Inputs!$B$15/100)*(1+Inputs!$B$16/100)*(5000/(6000+Inputs!$B$43*(1-(100*(1-(1-Inputs!$B$19/100)*(1-CHOOSE(ArtifactsInput!$N$40+1,5,6,7,8,9,10)/100)^(ArtifactsInput!$M$40-ArtifactsInput!$M$40)))/100)))*(1+(Inputs!$B$24+((C3110=TRUE)*(F3110-Calc!F31))+((C3097=TRUE)*(F3097-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IF(ArtifactsInput!$M$39,FALSE,TRUE)-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13="CRUEL_STAB",Inputs!$B$17+((C3107=TRUE)*(F3107-Calc!F28))+((IF(AND(Inputs!$B$39&lt;&gt;"pvp",Inputs!$B$44=0),1,IF(IF(Inputs!$B$39="pvp",15,Inputs!$B$44)-(B3124)&lt;=0,1,MAX(0,IF(Inputs!$B$39="pvp",15,Inputs!$B$44)-MAX(5,B3124))/(IF(Inputs!$B$39="pvp",15,Inputs!$B$44)-(B3124))))*(IF(AND(ArtifactsInput!$M$42,((Inputs!$B$9+((C3105=TRUE)*(F3105-Calc!F26))+B3113+(ArtifactsInput!$M$24-ArtifactsInput!$M$24)*CHOOSE(ArtifactsInput!$N$24+1,10,12,14,16,18,20)+IF(ArtifactsInput!$M$10,CHOOSE(ArtifactsInput!$N$10+1,15,18,21,24,27,30)*(IF(Inputs!$B$39="pvp",MIN(15,15)/15,IF(AND(Inputs!$B$39&lt;&gt;"pvp",Inputs!$B$44&gt;0),MIN(15,Inputs!$B$44)/(Inputs!$B$44),0))),0)))&gt;=100),MIN(100,((Inputs!$B$9+((C3105=TRUE)*(F3105-Calc!F26))+B3113+(ArtifactsInput!$M$24-ArtifactsInput!$M$24)*CHOOSE(ArtifactsInput!$N$24+1,10,12,14,16,18,20)+IF(ArtifactsInput!$M$10,CHOOSE(ArtifactsInput!$N$10+1,15,18,21,24,27,30)*(IF(Inputs!$B$39="pvp",MIN(15,15)/15,IF(AND(Inputs!$B$39&lt;&gt;"pvp",Inputs!$B$44&gt;0),MIN(15,Inputs!$B$44)/(Inputs!$B$44),0))),0)))-100),0))*CHOOSE(ArtifactsInput!$N$42+1,0.6,0.72,0.84,0.96,1.08,1.2))),Inputs!$B$18+((C3108=TRUE)*(F3108-Calc!F29))+(IF(AND(Inputs!$B$39&lt;&gt;"pvp",Inputs!$B$44=0),1,IF(IF(Inputs!$B$39="pvp",15,Inputs!$B$44)-(B3124)&lt;=0,1,MAX(0,IF(Inputs!$B$39="pvp",15,Inputs!$B$44)-MAX(5,B3124))/(IF(Inputs!$B$39="pvp",15,Inputs!$B$44)-(B3124))))*IF(AND(ArtifactsInput!$M$42,((Inputs!$B$9+((C3105=TRUE)*(F3105-Calc!F26))+B3113+(ArtifactsInput!$M$24-ArtifactsInput!$M$24)*CHOOSE(ArtifactsInput!$N$24+1,10,12,14,16,18,20)+IF(ArtifactsInput!$M$10,CHOOSE(ArtifactsInput!$N$10+1,15,18,21,24,27,30)*(IF(Inputs!$B$39="pvp",MIN(15,15)/15,IF(AND(Inputs!$B$39&lt;&gt;"pvp",Inputs!$B$44&gt;0),MIN(15,Inputs!$B$44)/(Inputs!$B$44),0))),0)))&gt;=100),CHOOSE(ArtifactsInput!$N$42+1,40,48,56,64,72,80),0))))/100)*(((1+(((C3101=TRUE)*F3101*IF(AND(Inputs!$B$39&lt;&gt;"pvp",Inputs!$B$44&gt;0),(((R3101-1)*MIN((Skills!Y22*(1+Inputs!$B$34/100)),(1/Q3101))+MIN((Skills!Y22*(1+Inputs!$B$34/100)),MAX(0,Inputs!$B$44-((R3101-1)*(1/Q3101)))))/Inputs!$B$44),IF(Inputs!$B$39="pvp",MIN((Skills!Y22*(1+Inputs!$B$34/100)),15)/15,MIN(1,(Skills!Y22*(1+Inputs!$B$34/100))/(1/Q3101)))))+((C3082=TRUE)*F3082*3)+((C3084=TRUE)*F3084*(1-EXP(-0.75*B3117*5)))+((C3103=TRUE)*(F3103-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3090=TRUE)*F3090*IF(AND(Inputs!$B$39&lt;&gt;"pvp",Inputs!$B$44&gt;0),(((R3090-1)*MIN((Skills!Y11*(1+Inputs!$B$34/100)),(1/Q3090))+MIN((Skills!Y11*(1+Inputs!$B$34/100)),MAX(0,Inputs!$B$44-((R3090-1)*(1/Q3090)))))/Inputs!$B$44),IF(Inputs!$B$39="pvp",MIN((Skills!Y11*(1+Inputs!$B$34/100)),15)/15,MIN(1,(Skills!Y11*(1+Inputs!$B$34/100))/(1/Q3090)))))/100)*(1+((C3095=TRUE)*F3095*IF(AND(Inputs!$B$39&lt;&gt;"pvp",Inputs!$B$44&gt;0),(((R3095-1)*MIN((Skills!Y16*(1+Inputs!$B$34/100)),(1/Q3095))+MIN((Skills!Y16*(1+Inputs!$B$34/100)),MAX(0,Inputs!$B$44-((R3095-1)*(1/Q3095)))))/Inputs!$B$44),IF(Inputs!$B$39="pvp",MIN((Skills!Y16*(1+Inputs!$B$34/100)),15)/15,MIN(1,(Skills!Y16*(1+Inputs!$B$34/100))/(1/Q3095)))))/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3115*I3092)</f>
        <v/>
      </c>
      <c r="L3092">
        <f>K3092*(MIN(Inputs!$B$22+((C3104=TRUE)*(F3104-Calc!F25)),(Inputs!$B$23+((C3109=TRUE)*(F3109-Calc!F30))+IF(ArtifactsInput!$M$15,CHOOSE(ArtifactsInput!$N$15+1,25,30,35,40,45,50)/100*(Inputs!$B$11-Inputs!$B$11),0)))/100+(Inputs!$B$23+((C3109=TRUE)*(F3109-Calc!F30))+IF(ArtifactsInput!$M$15,CHOOSE(ArtifactsInput!$N$15+1,25,30,35,40,45,50)/100*(Inputs!$B$11-Inputs!$B$11),0))/100)/2</f>
        <v/>
      </c>
      <c r="M3092">
        <f>L3092*(1+(Inputs!$B$10+((C3106=TRUE)*(F3106-Calc!F27))+B3120+(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3092">
        <f>L3092*(1-MIN((Inputs!$B$9+((C3105=TRUE)*(F3105-Calc!F26))+B3113+(ArtifactsInput!$M$24-ArtifactsInput!$M$24)*CHOOSE(ArtifactsInput!$N$24+1,10,12,14,16,18,20)+(IF(AND(Inputs!$B$39&lt;&gt;"pvp",Inputs!$B$44=0),1,IF(IF(Inputs!$B$39="pvp",15,Inputs!$B$44)-(B3124)&lt;=0,1,MAX(0,IF(Inputs!$B$39="pvp",15,Inputs!$B$44)-MAX(5,B3124))/(IF(Inputs!$B$39="pvp",15,Inputs!$B$44)-(B3124))))*IF(AND(ArtifactsInput!$M$42,((Inputs!$B$9+((C3105=TRUE)*(F3105-Calc!F26))+B3113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3092*(MIN((Inputs!$B$9+((C3105=TRUE)*(F3105-Calc!F26))+B3113+(ArtifactsInput!$M$24-ArtifactsInput!$M$24)*CHOOSE(ArtifactsInput!$N$24+1,10,12,14,16,18,20)+(IF(AND(Inputs!$B$39&lt;&gt;"pvp",Inputs!$B$44=0),1,IF(IF(Inputs!$B$39="pvp",15,Inputs!$B$44)-(B3124)&lt;=0,1,MAX(0,IF(Inputs!$B$39="pvp",15,Inputs!$B$44)-MAX(5,B3124))/(IF(Inputs!$B$39="pvp",15,Inputs!$B$44)-(B3124))))*IF(AND(ArtifactsInput!$M$42,((Inputs!$B$9+((C3105=TRUE)*(F3105-Calc!F26))+B3113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3092">
        <f>(1-Summary!$B$11)*T3092+Summary!$B$11*V3092</f>
        <v/>
      </c>
      <c r="P3092">
        <f>IF(B3125=0,0,O3092/B3125)</f>
        <v/>
      </c>
      <c r="Q3092">
        <f>IFERROR(1/IF(Inputs!$B$39="pvp",15,MAX(0.1,Skills!D13-IF(TRUE=TRUE,Inputs!$B$32,0))),0)</f>
        <v/>
      </c>
      <c r="R3092">
        <f>IF(AND(Inputs!$B$39&lt;&gt;"pvp",Inputs!$B$44&gt;0),IF(MAX(0,Inputs!$B$44-B3124)&lt;=0,0,(INT(MAX(0,Inputs!$B$44-B3124)/IF(Inputs!$B$39="pvp",15,MAX(0.1,Skills!D13-IF(TRUE=TRUE,Inputs!$B$32,0))))+1)),0)</f>
        <v/>
      </c>
      <c r="S3092">
        <f>IFERROR(O3092/N3092,0)</f>
        <v/>
      </c>
      <c r="T3092">
        <f>IF(C3092,(H3092*N3092*IF(AND(Inputs!$B$39&lt;&gt;"pvp",Inputs!$B$44&gt;0),((Skills!G13*((R3092-1)*IF(Skills!H13&gt;0,Skills!I13/Skills!H13,1)+IF(Skills!H13&gt;0,MIN(Skills!I13,MAX(0,MAX(0,Inputs!$B$44-B3124)-((R3092-1)*IF(Inputs!$B$39="pvp",15,MAX(0.1,Skills!D13-IF(TRUE=TRUE,Inputs!$B$32,0))))))/Skills!H13,1)))/Inputs!$B$44),G3092*Q3092))*IF(Inputs!$B$39="pvp",1,1+(Inputs!$B$20+0+Skills!P13+B3114+(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Hunt"),CHOOSE(ArtifactsInput!$N$35+1,15,18,21,24,27,30)*(1-EXP(-(0.2*B3117)*5)),0)+IF(AND(ArtifactsInput!$M$22,Inputs!$B$4&lt;&gt;"Chapter Hunt"),CHOOSE(ArtifactsInput!$N$22+1,10,12,14,16,18,20)*((0*(((0.15*B3117*5))^0/1)+1*(((0.15*B3117*5))^1/1)+2*(((0.15*B3117*5))^2/2)+3*(((0.15*B3117*5))^3/6)+4*(((0.15*B3117*5))^4/24)+5*(((0.15*B3117*5))^5/120))/((((0.15*B3117*5))^0/1)+(((0.15*B3117*5))^1/1)+(((0.15*B3117*5))^2/2)+(((0.15*B3117*5))^3/6)+(((0.15*B3117*5))^4/24)+(((0.15*B3117*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3092*(1-MIN(100,(Inputs!$B$9+((C3105=TRUE)*(F3105-Calc!F26))+B3113+(ArtifactsInput!$M$24-ArtifactsInput!$M$24)*CHOOSE(ArtifactsInput!$N$24+1,10,12,14,16,18,20)+(IF(AND(Inputs!$B$39&lt;&gt;"pvp",Inputs!$B$44=0),1,IF(IF(Inputs!$B$39="pvp",15,Inputs!$B$44)-(B3124)&lt;=0,1,MAX(0,IF(Inputs!$B$39="pvp",15,Inputs!$B$44)-MAX(5,B3124))/(IF(Inputs!$B$39="pvp",15,Inputs!$B$44)-(B3124))))*IF(AND(ArtifactsInput!$M$42,((Inputs!$B$9+((C3105=TRUE)*(F3105-Calc!F26))+B3113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3092*(MIN(100,(Inputs!$B$9+((C3105=TRUE)*(F3105-Calc!F26))+B3113+(ArtifactsInput!$M$24-ArtifactsInput!$M$24)*CHOOSE(ArtifactsInput!$N$24+1,10,12,14,16,18,20)+(IF(AND(Inputs!$B$39&lt;&gt;"pvp",Inputs!$B$44=0),1,IF(IF(Inputs!$B$39="pvp",15,Inputs!$B$44)-(B3124)&lt;=0,1,MAX(0,IF(Inputs!$B$39="pvp",15,Inputs!$B$44)-MAX(5,B3124))/(IF(Inputs!$B$39="pvp",15,Inputs!$B$44)-(B3124))))*IF(AND(ArtifactsInput!$M$42,((Inputs!$B$9+((C3105=TRUE)*(F3105-Calc!F26))+B3113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3092*(1-MIN(100,(Inputs!$B$9+((C3105=TRUE)*(F3105-Calc!F26))+B3113+(ArtifactsInput!$M$24-ArtifactsInput!$M$24)*CHOOSE(ArtifactsInput!$N$24+1,10,12,14,16,18,20)+(IF(AND(Inputs!$B$39&lt;&gt;"pvp",Inputs!$B$44=0),1,IF(IF(Inputs!$B$39="pvp",15,Inputs!$B$44)-(B3124)&lt;=0,1,MAX(0,IF(Inputs!$B$39="pvp",15,Inputs!$B$44)-MAX(5,B3124))/(IF(Inputs!$B$39="pvp",15,Inputs!$B$44)-(B3124))))*IF(AND(ArtifactsInput!$M$42,((Inputs!$B$9+((C3105=TRUE)*(F3105-Calc!F26))+B3113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3092*(MIN(100,(Inputs!$B$9+((C3105=TRUE)*(F3105-Calc!F26))+B3113+(ArtifactsInput!$M$24-ArtifactsInput!$M$24)*CHOOSE(ArtifactsInput!$N$24+1,10,12,14,16,18,20)+(IF(AND(Inputs!$B$39&lt;&gt;"pvp",Inputs!$B$44=0),1,IF(IF(Inputs!$B$39="pvp",15,Inputs!$B$44)-(B3124)&lt;=0,1,MAX(0,IF(Inputs!$B$39="pvp",15,Inputs!$B$44)-MAX(5,B3124))/(IF(Inputs!$B$39="pvp",15,Inputs!$B$44)-(B3124))))*IF(AND(ArtifactsInput!$M$42,((Inputs!$B$9+((C3105=TRUE)*(F3105-Calc!F26))+B3113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3092">
        <f>IF(C3092,(H3092*N3092*IF(AND(Inputs!$B$39&lt;&gt;"pvp",Inputs!$B$44&gt;0),((Skills!G13*((R3092-1)*IF(Skills!H13&gt;0,Skills!I13/Skills!H13,1)+IF(Skills!H13&gt;0,MIN(Skills!I13,MAX(0,MAX(0,Inputs!$B$44-B3124)-((R3092-1)*IF(Inputs!$B$39="pvp",15,MAX(0.1,Skills!D13-IF(TRUE=TRUE,Inputs!$B$32,0))))))/Skills!H13,1)))/Inputs!$B$44),G3092*Q3092))*IF(Inputs!$B$39="pvp",1,(1+(Inputs!$B$21+Skills!Q13+B3114+(IF(ArtifactsInput!$M$33,CHOOSE(ArtifactsInput!$N$33+1,30,36,42,48,54,60),0))+(IF(AND(ArtifactsInput!$M$35,Inputs!$B$4&lt;&gt;"Chapter Hunt"),CHOOSE(ArtifactsInput!$N$35+1,15,18,21,24,27,30)*(1-EXP(-(0.2*B3117)*5)),0)+IF(AND(ArtifactsInput!$M$22,Inputs!$B$4&lt;&gt;"Chapter Hunt"),CHOOSE(ArtifactsInput!$N$22+1,10,12,14,16,18,20)*((0*(((0.15*B3117*5))^0/1)+1*(((0.15*B3117*5))^1/1)+2*(((0.15*B3117*5))^2/2)+3*(((0.15*B3117*5))^3/6)+4*(((0.15*B3117*5))^4/24)+5*(((0.15*B3117*5))^5/120))/((((0.15*B3117*5))^0/1)+(((0.15*B3117*5))^1/1)+(((0.15*B3117*5))^2/2)+(((0.15*B3117*5))^3/6)+(((0.15*B3117*5))^4/24)+(((0.15*B3117*5))^5/120))),0)))/100)*(MIN(Skills!W13,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3093">
      <c r="A3093">
        <f>Skills!A14</f>
        <v/>
      </c>
      <c r="B3093">
        <f>Skills!B14</f>
        <v/>
      </c>
      <c r="C3093">
        <f>Inputs!$B$3&gt;=105</f>
        <v/>
      </c>
      <c r="D3093">
        <f>IF(Skills!C14=1,60+Inputs!$B$25+Inputs!$B$29,IF(Skills!C14=2,90+Inputs!$B$26+Inputs!$B$29,IF(Skills!C14=3,120+Inputs!$B$27+Inputs!$B$29,MAX(0,(Inputs!$B$3-100)*3)+Inputs!$B$28+Inputs!$B$29)))</f>
        <v/>
      </c>
      <c r="E3093">
        <f>INDEX(FactorTable!$B$2:$Y$301, MATCH(ROUND(MIN(300,MAX(1,D3093)),0), FactorTable!$A$2:$A$301,0), Skills!M14+1)</f>
        <v/>
      </c>
      <c r="F3093">
        <f>IF(Skills!N14=TRUE,(Skills!L14/10)*(E3093/1000),Skills!L14/10)+Skills!O14</f>
        <v/>
      </c>
      <c r="G3093">
        <f>Skills!G14*IF(Skills!H14&gt;0,IF(Inputs!$B$39="pvp",MIN(Skills!I14,15),Skills!I14)/Skills!H14,1)</f>
        <v/>
      </c>
      <c r="H3093">
        <f>1-(1-Skills!J14/100)^Skills!K14</f>
        <v/>
      </c>
      <c r="I3093" t="inlineStr">
        <is>
          <t>1</t>
        </is>
      </c>
      <c r="J3093">
        <f>((Inputs!$B$6*(1+Inputs!$B$7/100))+(((Inputs!$B$12*(1+Inputs!$B$13/100))-(Inputs!$B$12*(1+Inputs!$B$13/100)))+0.25*(Inputs!$B$14-Inputs!$B$14))*(1+Inputs!$B$7/100))*(F3093/100)</f>
        <v/>
      </c>
      <c r="K3093">
        <f>J3093*(1+((Inputs!$B$12*(1+Inputs!$B$13/100))*0.01+Inputs!$B$14*0.0025)/100)*(1+Inputs!$B$15/100)*(1+Inputs!$B$16/100)*(5000/(6000+Inputs!$B$43*(1-(100*(1-(1-Inputs!$B$19/100)*(1-CHOOSE(ArtifactsInput!$N$40+1,5,6,7,8,9,10)/100)^(ArtifactsInput!$M$40-ArtifactsInput!$M$40)))/100)))*(1+(Inputs!$B$24+((C3110=TRUE)*(F3110-Calc!F31))+((C3097=TRUE)*(F3097-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IF(ArtifactsInput!$M$39,FALSE,TRUE)-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14="CRUEL_STAB",Inputs!$B$17+((C3107=TRUE)*(F3107-Calc!F28))+((IF(AND(Inputs!$B$39&lt;&gt;"pvp",Inputs!$B$44=0),1,IF(IF(Inputs!$B$39="pvp",15,Inputs!$B$44)-(B3124)&lt;=0,1,MAX(0,IF(Inputs!$B$39="pvp",15,Inputs!$B$44)-MAX(5,B3124))/(IF(Inputs!$B$39="pvp",15,Inputs!$B$44)-(B3124))))*(IF(AND(ArtifactsInput!$M$42,((Inputs!$B$9+((C3105=TRUE)*(F3105-Calc!F26))+B3113+(ArtifactsInput!$M$24-ArtifactsInput!$M$24)*CHOOSE(ArtifactsInput!$N$24+1,10,12,14,16,18,20)+IF(ArtifactsInput!$M$10,CHOOSE(ArtifactsInput!$N$10+1,15,18,21,24,27,30)*(IF(Inputs!$B$39="pvp",MIN(15,15)/15,IF(AND(Inputs!$B$39&lt;&gt;"pvp",Inputs!$B$44&gt;0),MIN(15,Inputs!$B$44)/(Inputs!$B$44),0))),0)))&gt;=100),MIN(100,((Inputs!$B$9+((C3105=TRUE)*(F3105-Calc!F26))+B3113+(ArtifactsInput!$M$24-ArtifactsInput!$M$24)*CHOOSE(ArtifactsInput!$N$24+1,10,12,14,16,18,20)+IF(ArtifactsInput!$M$10,CHOOSE(ArtifactsInput!$N$10+1,15,18,21,24,27,30)*(IF(Inputs!$B$39="pvp",MIN(15,15)/15,IF(AND(Inputs!$B$39&lt;&gt;"pvp",Inputs!$B$44&gt;0),MIN(15,Inputs!$B$44)/(Inputs!$B$44),0))),0)))-100),0))*CHOOSE(ArtifactsInput!$N$42+1,0.6,0.72,0.84,0.96,1.08,1.2))),Inputs!$B$18+((C3108=TRUE)*(F3108-Calc!F29))+(IF(AND(Inputs!$B$39&lt;&gt;"pvp",Inputs!$B$44=0),1,IF(IF(Inputs!$B$39="pvp",15,Inputs!$B$44)-(B3124)&lt;=0,1,MAX(0,IF(Inputs!$B$39="pvp",15,Inputs!$B$44)-MAX(5,B3124))/(IF(Inputs!$B$39="pvp",15,Inputs!$B$44)-(B3124))))*IF(AND(ArtifactsInput!$M$42,((Inputs!$B$9+((C3105=TRUE)*(F3105-Calc!F26))+B3113+(ArtifactsInput!$M$24-ArtifactsInput!$M$24)*CHOOSE(ArtifactsInput!$N$24+1,10,12,14,16,18,20)+IF(ArtifactsInput!$M$10,CHOOSE(ArtifactsInput!$N$10+1,15,18,21,24,27,30)*(IF(Inputs!$B$39="pvp",MIN(15,15)/15,IF(AND(Inputs!$B$39&lt;&gt;"pvp",Inputs!$B$44&gt;0),MIN(15,Inputs!$B$44)/(Inputs!$B$44),0))),0)))&gt;=100),CHOOSE(ArtifactsInput!$N$42+1,40,48,56,64,72,80),0))))/100)*(((1+(((C3101=TRUE)*F3101*IF(AND(Inputs!$B$39&lt;&gt;"pvp",Inputs!$B$44&gt;0),(((R3101-1)*MIN((Skills!Y22*(1+Inputs!$B$34/100)),(1/Q3101))+MIN((Skills!Y22*(1+Inputs!$B$34/100)),MAX(0,Inputs!$B$44-((R3101-1)*(1/Q3101)))))/Inputs!$B$44),IF(Inputs!$B$39="pvp",MIN((Skills!Y22*(1+Inputs!$B$34/100)),15)/15,MIN(1,(Skills!Y22*(1+Inputs!$B$34/100))/(1/Q3101)))))+((C3082=TRUE)*F3082*3)+((C3084=TRUE)*F3084*(1-EXP(-0.75*B3117*5)))+((C3103=TRUE)*(F3103-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3090=TRUE)*F3090*IF(AND(Inputs!$B$39&lt;&gt;"pvp",Inputs!$B$44&gt;0),(((R3090-1)*MIN((Skills!Y11*(1+Inputs!$B$34/100)),(1/Q3090))+MIN((Skills!Y11*(1+Inputs!$B$34/100)),MAX(0,Inputs!$B$44-((R3090-1)*(1/Q3090)))))/Inputs!$B$44),IF(Inputs!$B$39="pvp",MIN((Skills!Y11*(1+Inputs!$B$34/100)),15)/15,MIN(1,(Skills!Y11*(1+Inputs!$B$34/100))/(1/Q3090)))))/100)*(1+((C3095=TRUE)*F3095*IF(AND(Inputs!$B$39&lt;&gt;"pvp",Inputs!$B$44&gt;0),(((R3095-1)*MIN((Skills!Y16*(1+Inputs!$B$34/100)),(1/Q3095))+MIN((Skills!Y16*(1+Inputs!$B$34/100)),MAX(0,Inputs!$B$44-((R3095-1)*(1/Q3095)))))/Inputs!$B$44),IF(Inputs!$B$39="pvp",MIN((Skills!Y16*(1+Inputs!$B$34/100)),15)/15,MIN(1,(Skills!Y16*(1+Inputs!$B$34/100))/(1/Q3095)))))/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3115*I3093)</f>
        <v/>
      </c>
      <c r="L3093">
        <f>K3093*(MIN(Inputs!$B$22+((C3104=TRUE)*(F3104-Calc!F25)),(Inputs!$B$23+((C3109=TRUE)*(F3109-Calc!F30))+IF(ArtifactsInput!$M$15,CHOOSE(ArtifactsInput!$N$15+1,25,30,35,40,45,50)/100*(Inputs!$B$11-Inputs!$B$11),0)))/100+(Inputs!$B$23+((C3109=TRUE)*(F3109-Calc!F30))+IF(ArtifactsInput!$M$15,CHOOSE(ArtifactsInput!$N$15+1,25,30,35,40,45,50)/100*(Inputs!$B$11-Inputs!$B$11),0))/100)/2</f>
        <v/>
      </c>
      <c r="M3093">
        <f>L3093*(1+(Inputs!$B$10+((C3106=TRUE)*(F3106-Calc!F27))+B3120+(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3093">
        <f>L3093*(1-MIN((Inputs!$B$9+((C3105=TRUE)*(F3105-Calc!F26))+B3113+(ArtifactsInput!$M$24-ArtifactsInput!$M$24)*CHOOSE(ArtifactsInput!$N$24+1,10,12,14,16,18,20)+(IF(AND(Inputs!$B$39&lt;&gt;"pvp",Inputs!$B$44=0),1,IF(IF(Inputs!$B$39="pvp",15,Inputs!$B$44)-(B3124)&lt;=0,1,MAX(0,IF(Inputs!$B$39="pvp",15,Inputs!$B$44)-MAX(5,B3124))/(IF(Inputs!$B$39="pvp",15,Inputs!$B$44)-(B3124))))*IF(AND(ArtifactsInput!$M$42,((Inputs!$B$9+((C3105=TRUE)*(F3105-Calc!F26))+B3113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3093*(MIN((Inputs!$B$9+((C3105=TRUE)*(F3105-Calc!F26))+B3113+(ArtifactsInput!$M$24-ArtifactsInput!$M$24)*CHOOSE(ArtifactsInput!$N$24+1,10,12,14,16,18,20)+(IF(AND(Inputs!$B$39&lt;&gt;"pvp",Inputs!$B$44=0),1,IF(IF(Inputs!$B$39="pvp",15,Inputs!$B$44)-(B3124)&lt;=0,1,MAX(0,IF(Inputs!$B$39="pvp",15,Inputs!$B$44)-MAX(5,B3124))/(IF(Inputs!$B$39="pvp",15,Inputs!$B$44)-(B3124))))*IF(AND(ArtifactsInput!$M$42,((Inputs!$B$9+((C3105=TRUE)*(F3105-Calc!F26))+B3113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3093">
        <f>(1-Summary!$B$11)*T3093+Summary!$B$11*V3093</f>
        <v/>
      </c>
      <c r="P3093">
        <f>IF(B3125=0,0,O3093/B3125)</f>
        <v/>
      </c>
      <c r="Q3093">
        <f>IFERROR(1/IF(Inputs!$B$39="pvp",15,MAX(0.1,Skills!D14-IF(TRUE=TRUE,Inputs!$B$32,0))),0)</f>
        <v/>
      </c>
      <c r="R3093">
        <f>IF(AND(Inputs!$B$39&lt;&gt;"pvp",Inputs!$B$44&gt;0),IF(MAX(0,Inputs!$B$44-B3124)&lt;=0,0,(INT(MAX(0,Inputs!$B$44-B3124)/IF(Inputs!$B$39="pvp",15,MAX(0.1,Skills!D14-IF(TRUE=TRUE,Inputs!$B$32,0))))+1)),0)</f>
        <v/>
      </c>
      <c r="S3093">
        <f>IFERROR(O3093/N3093,0)</f>
        <v/>
      </c>
      <c r="T3093">
        <f>IF(C3093,(H3093*N3093*IF(AND(Inputs!$B$39&lt;&gt;"pvp",Inputs!$B$44&gt;0),((Skills!G14*((R3093-1)*IF(Skills!H14&gt;0,Skills!I14/Skills!H14,1)+IF(Skills!H14&gt;0,MIN(Skills!I14,MAX(0,MAX(0,Inputs!$B$44-B3124)-((R3093-1)*IF(Inputs!$B$39="pvp",15,MAX(0.1,Skills!D14-IF(TRUE=TRUE,Inputs!$B$32,0))))))/Skills!H14,1)))/Inputs!$B$44),G3093*Q3093))*IF(Inputs!$B$39="pvp",1,1+(Inputs!$B$20+0+Skills!P14+B3114+(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Hunt"),CHOOSE(ArtifactsInput!$N$35+1,15,18,21,24,27,30)*(1-EXP(-(0.2*B3117)*5)),0)+IF(AND(ArtifactsInput!$M$22,Inputs!$B$4&lt;&gt;"Chapter Hunt"),CHOOSE(ArtifactsInput!$N$22+1,10,12,14,16,18,20)*((0*(((0.15*B3117*5))^0/1)+1*(((0.15*B3117*5))^1/1)+2*(((0.15*B3117*5))^2/2)+3*(((0.15*B3117*5))^3/6)+4*(((0.15*B3117*5))^4/24)+5*(((0.15*B3117*5))^5/120))/((((0.15*B3117*5))^0/1)+(((0.15*B3117*5))^1/1)+(((0.15*B3117*5))^2/2)+(((0.15*B3117*5))^3/6)+(((0.15*B3117*5))^4/24)+(((0.15*B3117*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3093*(1-MIN(100,(Inputs!$B$9+((C3105=TRUE)*(F3105-Calc!F26))+B3113+(ArtifactsInput!$M$24-ArtifactsInput!$M$24)*CHOOSE(ArtifactsInput!$N$24+1,10,12,14,16,18,20)+(IF(AND(Inputs!$B$39&lt;&gt;"pvp",Inputs!$B$44=0),1,IF(IF(Inputs!$B$39="pvp",15,Inputs!$B$44)-(B3124)&lt;=0,1,MAX(0,IF(Inputs!$B$39="pvp",15,Inputs!$B$44)-MAX(5,B3124))/(IF(Inputs!$B$39="pvp",15,Inputs!$B$44)-(B3124))))*IF(AND(ArtifactsInput!$M$42,((Inputs!$B$9+((C3105=TRUE)*(F3105-Calc!F26))+B3113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3093*(MIN(100,(Inputs!$B$9+((C3105=TRUE)*(F3105-Calc!F26))+B3113+(ArtifactsInput!$M$24-ArtifactsInput!$M$24)*CHOOSE(ArtifactsInput!$N$24+1,10,12,14,16,18,20)+(IF(AND(Inputs!$B$39&lt;&gt;"pvp",Inputs!$B$44=0),1,IF(IF(Inputs!$B$39="pvp",15,Inputs!$B$44)-(B3124)&lt;=0,1,MAX(0,IF(Inputs!$B$39="pvp",15,Inputs!$B$44)-MAX(5,B3124))/(IF(Inputs!$B$39="pvp",15,Inputs!$B$44)-(B3124))))*IF(AND(ArtifactsInput!$M$42,((Inputs!$B$9+((C3105=TRUE)*(F3105-Calc!F26))+B3113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3093*(1-MIN(100,(Inputs!$B$9+((C3105=TRUE)*(F3105-Calc!F26))+B3113+(ArtifactsInput!$M$24-ArtifactsInput!$M$24)*CHOOSE(ArtifactsInput!$N$24+1,10,12,14,16,18,20)+(IF(AND(Inputs!$B$39&lt;&gt;"pvp",Inputs!$B$44=0),1,IF(IF(Inputs!$B$39="pvp",15,Inputs!$B$44)-(B3124)&lt;=0,1,MAX(0,IF(Inputs!$B$39="pvp",15,Inputs!$B$44)-MAX(5,B3124))/(IF(Inputs!$B$39="pvp",15,Inputs!$B$44)-(B3124))))*IF(AND(ArtifactsInput!$M$42,((Inputs!$B$9+((C3105=TRUE)*(F3105-Calc!F26))+B3113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3093*(MIN(100,(Inputs!$B$9+((C3105=TRUE)*(F3105-Calc!F26))+B3113+(ArtifactsInput!$M$24-ArtifactsInput!$M$24)*CHOOSE(ArtifactsInput!$N$24+1,10,12,14,16,18,20)+(IF(AND(Inputs!$B$39&lt;&gt;"pvp",Inputs!$B$44=0),1,IF(IF(Inputs!$B$39="pvp",15,Inputs!$B$44)-(B3124)&lt;=0,1,MAX(0,IF(Inputs!$B$39="pvp",15,Inputs!$B$44)-MAX(5,B3124))/(IF(Inputs!$B$39="pvp",15,Inputs!$B$44)-(B3124))))*IF(AND(ArtifactsInput!$M$42,((Inputs!$B$9+((C3105=TRUE)*(F3105-Calc!F26))+B3113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3093">
        <f>IF(C3093,(H3093*N3093*IF(AND(Inputs!$B$39&lt;&gt;"pvp",Inputs!$B$44&gt;0),((Skills!G14*((R3093-1)*IF(Skills!H14&gt;0,Skills!I14/Skills!H14,1)+IF(Skills!H14&gt;0,MIN(Skills!I14,MAX(0,MAX(0,Inputs!$B$44-B3124)-((R3093-1)*IF(Inputs!$B$39="pvp",15,MAX(0.1,Skills!D14-IF(TRUE=TRUE,Inputs!$B$32,0))))))/Skills!H14,1)))/Inputs!$B$44),G3093*Q3093))*IF(Inputs!$B$39="pvp",1,(1+(Inputs!$B$21+Skills!Q14+B3114+(IF(ArtifactsInput!$M$33,CHOOSE(ArtifactsInput!$N$33+1,30,36,42,48,54,60),0))+(IF(AND(ArtifactsInput!$M$35,Inputs!$B$4&lt;&gt;"Chapter Hunt"),CHOOSE(ArtifactsInput!$N$35+1,15,18,21,24,27,30)*(1-EXP(-(0.2*B3117)*5)),0)+IF(AND(ArtifactsInput!$M$22,Inputs!$B$4&lt;&gt;"Chapter Hunt"),CHOOSE(ArtifactsInput!$N$22+1,10,12,14,16,18,20)*((0*(((0.15*B3117*5))^0/1)+1*(((0.15*B3117*5))^1/1)+2*(((0.15*B3117*5))^2/2)+3*(((0.15*B3117*5))^3/6)+4*(((0.15*B3117*5))^4/24)+5*(((0.15*B3117*5))^5/120))/((((0.15*B3117*5))^0/1)+(((0.15*B3117*5))^1/1)+(((0.15*B3117*5))^2/2)+(((0.15*B3117*5))^3/6)+(((0.15*B3117*5))^4/24)+(((0.15*B3117*5))^5/120))),0)))/100)*(MIN(Skills!W14,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3094">
      <c r="A3094">
        <f>Skills!A15</f>
        <v/>
      </c>
      <c r="B3094">
        <f>Skills!B15</f>
        <v/>
      </c>
      <c r="C3094">
        <f>Inputs!$B$3&gt;=107</f>
        <v/>
      </c>
      <c r="D3094">
        <f>IF(Skills!C15=1,60+Inputs!$B$25+Inputs!$B$29,IF(Skills!C15=2,90+Inputs!$B$26+Inputs!$B$29,IF(Skills!C15=3,120+Inputs!$B$27+Inputs!$B$29,MAX(0,(Inputs!$B$3-100)*3)+Inputs!$B$28+Inputs!$B$29)))</f>
        <v/>
      </c>
      <c r="E3094">
        <f>INDEX(FactorTable!$B$2:$Y$301, MATCH(ROUND(MIN(300,MAX(1,D3094)),0), FactorTable!$A$2:$A$301,0), Skills!M15+1)</f>
        <v/>
      </c>
      <c r="F3094">
        <f>IF(Skills!N15=TRUE,(Skills!L15/10)*(E3094/1000),Skills!L15/10)+Skills!O15</f>
        <v/>
      </c>
      <c r="G3094">
        <f>Skills!G15*IF(Skills!H15&gt;0,IF(Inputs!$B$39="pvp",MIN(Skills!I15,15),Skills!I15)/Skills!H15,1)</f>
        <v/>
      </c>
      <c r="H3094">
        <f>1-(1-Skills!J15/100)^Skills!K15</f>
        <v/>
      </c>
      <c r="I3094" t="inlineStr">
        <is>
          <t>1</t>
        </is>
      </c>
      <c r="J3094">
        <f>((Inputs!$B$6*(1+Inputs!$B$7/100))+(((Inputs!$B$12*(1+Inputs!$B$13/100))-(Inputs!$B$12*(1+Inputs!$B$13/100)))+0.25*(Inputs!$B$14-Inputs!$B$14))*(1+Inputs!$B$7/100))*(F3094/100)</f>
        <v/>
      </c>
      <c r="K3094">
        <f>J3094*(1+((Inputs!$B$12*(1+Inputs!$B$13/100))*0.01+Inputs!$B$14*0.0025)/100)*(1+Inputs!$B$15/100)*(1+Inputs!$B$16/100)*(5000/(6000+Inputs!$B$43*(1-(100*(1-(1-Inputs!$B$19/100)*(1-CHOOSE(ArtifactsInput!$N$40+1,5,6,7,8,9,10)/100)^(ArtifactsInput!$M$40-ArtifactsInput!$M$40)))/100)))*(1+(Inputs!$B$24+((C3110=TRUE)*(F3110-Calc!F31))+((C3097=TRUE)*(F3097-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IF(ArtifactsInput!$M$39,FALSE,TRUE)-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15="CRUEL_STAB",Inputs!$B$17+((C3107=TRUE)*(F3107-Calc!F28))+((IF(AND(Inputs!$B$39&lt;&gt;"pvp",Inputs!$B$44=0),1,IF(IF(Inputs!$B$39="pvp",15,Inputs!$B$44)-(B3124)&lt;=0,1,MAX(0,IF(Inputs!$B$39="pvp",15,Inputs!$B$44)-MAX(5,B3124))/(IF(Inputs!$B$39="pvp",15,Inputs!$B$44)-(B3124))))*(IF(AND(ArtifactsInput!$M$42,((Inputs!$B$9+((C3105=TRUE)*(F3105-Calc!F26))+B3113+(ArtifactsInput!$M$24-ArtifactsInput!$M$24)*CHOOSE(ArtifactsInput!$N$24+1,10,12,14,16,18,20)+IF(ArtifactsInput!$M$10,CHOOSE(ArtifactsInput!$N$10+1,15,18,21,24,27,30)*(IF(Inputs!$B$39="pvp",MIN(15,15)/15,IF(AND(Inputs!$B$39&lt;&gt;"pvp",Inputs!$B$44&gt;0),MIN(15,Inputs!$B$44)/(Inputs!$B$44),0))),0)))&gt;=100),MIN(100,((Inputs!$B$9+((C3105=TRUE)*(F3105-Calc!F26))+B3113+(ArtifactsInput!$M$24-ArtifactsInput!$M$24)*CHOOSE(ArtifactsInput!$N$24+1,10,12,14,16,18,20)+IF(ArtifactsInput!$M$10,CHOOSE(ArtifactsInput!$N$10+1,15,18,21,24,27,30)*(IF(Inputs!$B$39="pvp",MIN(15,15)/15,IF(AND(Inputs!$B$39&lt;&gt;"pvp",Inputs!$B$44&gt;0),MIN(15,Inputs!$B$44)/(Inputs!$B$44),0))),0)))-100),0))*CHOOSE(ArtifactsInput!$N$42+1,0.6,0.72,0.84,0.96,1.08,1.2))),Inputs!$B$18+((C3108=TRUE)*(F3108-Calc!F29))+(IF(AND(Inputs!$B$39&lt;&gt;"pvp",Inputs!$B$44=0),1,IF(IF(Inputs!$B$39="pvp",15,Inputs!$B$44)-(B3124)&lt;=0,1,MAX(0,IF(Inputs!$B$39="pvp",15,Inputs!$B$44)-MAX(5,B3124))/(IF(Inputs!$B$39="pvp",15,Inputs!$B$44)-(B3124))))*IF(AND(ArtifactsInput!$M$42,((Inputs!$B$9+((C3105=TRUE)*(F3105-Calc!F26))+B3113+(ArtifactsInput!$M$24-ArtifactsInput!$M$24)*CHOOSE(ArtifactsInput!$N$24+1,10,12,14,16,18,20)+IF(ArtifactsInput!$M$10,CHOOSE(ArtifactsInput!$N$10+1,15,18,21,24,27,30)*(IF(Inputs!$B$39="pvp",MIN(15,15)/15,IF(AND(Inputs!$B$39&lt;&gt;"pvp",Inputs!$B$44&gt;0),MIN(15,Inputs!$B$44)/(Inputs!$B$44),0))),0)))&gt;=100),CHOOSE(ArtifactsInput!$N$42+1,40,48,56,64,72,80),0))))/100)*(((1+(((C3101=TRUE)*F3101*IF(AND(Inputs!$B$39&lt;&gt;"pvp",Inputs!$B$44&gt;0),(((R3101-1)*MIN((Skills!Y22*(1+Inputs!$B$34/100)),(1/Q3101))+MIN((Skills!Y22*(1+Inputs!$B$34/100)),MAX(0,Inputs!$B$44-((R3101-1)*(1/Q3101)))))/Inputs!$B$44),IF(Inputs!$B$39="pvp",MIN((Skills!Y22*(1+Inputs!$B$34/100)),15)/15,MIN(1,(Skills!Y22*(1+Inputs!$B$34/100))/(1/Q3101)))))+((C3082=TRUE)*F3082*3)+((C3084=TRUE)*F3084*(1-EXP(-0.75*B3117*5)))+((C3103=TRUE)*(F3103-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3090=TRUE)*F3090*IF(AND(Inputs!$B$39&lt;&gt;"pvp",Inputs!$B$44&gt;0),(((R3090-1)*MIN((Skills!Y11*(1+Inputs!$B$34/100)),(1/Q3090))+MIN((Skills!Y11*(1+Inputs!$B$34/100)),MAX(0,Inputs!$B$44-((R3090-1)*(1/Q3090)))))/Inputs!$B$44),IF(Inputs!$B$39="pvp",MIN((Skills!Y11*(1+Inputs!$B$34/100)),15)/15,MIN(1,(Skills!Y11*(1+Inputs!$B$34/100))/(1/Q3090)))))/100)*(1+((C3095=TRUE)*F3095*IF(AND(Inputs!$B$39&lt;&gt;"pvp",Inputs!$B$44&gt;0),(((R3095-1)*MIN((Skills!Y16*(1+Inputs!$B$34/100)),(1/Q3095))+MIN((Skills!Y16*(1+Inputs!$B$34/100)),MAX(0,Inputs!$B$44-((R3095-1)*(1/Q3095)))))/Inputs!$B$44),IF(Inputs!$B$39="pvp",MIN((Skills!Y16*(1+Inputs!$B$34/100)),15)/15,MIN(1,(Skills!Y16*(1+Inputs!$B$34/100))/(1/Q3095)))))/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3115*I3094)</f>
        <v/>
      </c>
      <c r="L3094">
        <f>K3094*(MIN(Inputs!$B$22+((C3104=TRUE)*(F3104-Calc!F25)),(Inputs!$B$23+((C3109=TRUE)*(F3109-Calc!F30))+IF(ArtifactsInput!$M$15,CHOOSE(ArtifactsInput!$N$15+1,25,30,35,40,45,50)/100*(Inputs!$B$11-Inputs!$B$11),0)))/100+(Inputs!$B$23+((C3109=TRUE)*(F3109-Calc!F30))+IF(ArtifactsInput!$M$15,CHOOSE(ArtifactsInput!$N$15+1,25,30,35,40,45,50)/100*(Inputs!$B$11-Inputs!$B$11),0))/100)/2</f>
        <v/>
      </c>
      <c r="M3094">
        <f>L3094*(1+(Inputs!$B$10+((C3106=TRUE)*(F3106-Calc!F27))+B3120+(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3094">
        <f>L3094*(1-MIN((Inputs!$B$9+((C3105=TRUE)*(F3105-Calc!F26))+B3113+(ArtifactsInput!$M$24-ArtifactsInput!$M$24)*CHOOSE(ArtifactsInput!$N$24+1,10,12,14,16,18,20)+(IF(AND(Inputs!$B$39&lt;&gt;"pvp",Inputs!$B$44=0),1,IF(IF(Inputs!$B$39="pvp",15,Inputs!$B$44)-(B3124)&lt;=0,1,MAX(0,IF(Inputs!$B$39="pvp",15,Inputs!$B$44)-MAX(5,B3124))/(IF(Inputs!$B$39="pvp",15,Inputs!$B$44)-(B3124))))*IF(AND(ArtifactsInput!$M$42,((Inputs!$B$9+((C3105=TRUE)*(F3105-Calc!F26))+B3113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3094*(MIN((Inputs!$B$9+((C3105=TRUE)*(F3105-Calc!F26))+B3113+(ArtifactsInput!$M$24-ArtifactsInput!$M$24)*CHOOSE(ArtifactsInput!$N$24+1,10,12,14,16,18,20)+(IF(AND(Inputs!$B$39&lt;&gt;"pvp",Inputs!$B$44=0),1,IF(IF(Inputs!$B$39="pvp",15,Inputs!$B$44)-(B3124)&lt;=0,1,MAX(0,IF(Inputs!$B$39="pvp",15,Inputs!$B$44)-MAX(5,B3124))/(IF(Inputs!$B$39="pvp",15,Inputs!$B$44)-(B3124))))*IF(AND(ArtifactsInput!$M$42,((Inputs!$B$9+((C3105=TRUE)*(F3105-Calc!F26))+B3113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3094">
        <f>(1-Summary!$B$11)*T3094+Summary!$B$11*V3094</f>
        <v/>
      </c>
      <c r="P3094">
        <f>IF(B3125=0,0,O3094/B3125)</f>
        <v/>
      </c>
      <c r="Q3094">
        <f>IFERROR(1/IF(Inputs!$B$39="pvp",15,MAX(0.1,Skills!D15-IF(TRUE=TRUE,Inputs!$B$32,0))),0)</f>
        <v/>
      </c>
      <c r="R3094">
        <f>IF(AND(Inputs!$B$39&lt;&gt;"pvp",Inputs!$B$44&gt;0),IF(MAX(0,Inputs!$B$44-B3124)&lt;=0,0,(INT(MAX(0,Inputs!$B$44-B3124)/IF(Inputs!$B$39="pvp",15,MAX(0.1,Skills!D15-IF(TRUE=TRUE,Inputs!$B$32,0))))+1)),0)</f>
        <v/>
      </c>
      <c r="S3094">
        <f>IFERROR(O3094/N3094,0)</f>
        <v/>
      </c>
      <c r="T3094">
        <f>IF(C3094,(H3094*N3094*IF(AND(Inputs!$B$39&lt;&gt;"pvp",Inputs!$B$44&gt;0),((Skills!G15*((R3094-1)*IF(Skills!H15&gt;0,Skills!I15/Skills!H15,1)+IF(Skills!H15&gt;0,MIN(Skills!I15,MAX(0,MAX(0,Inputs!$B$44-B3124)-((R3094-1)*IF(Inputs!$B$39="pvp",15,MAX(0.1,Skills!D15-IF(TRUE=TRUE,Inputs!$B$32,0))))))/Skills!H15,1)))/Inputs!$B$44),G3094*Q3094))*IF(Inputs!$B$39="pvp",1,1+(Inputs!$B$20+0+Skills!P15+B3114+(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Hunt"),CHOOSE(ArtifactsInput!$N$35+1,15,18,21,24,27,30)*(1-EXP(-(0.2*B3117)*5)),0)+IF(AND(ArtifactsInput!$M$22,Inputs!$B$4&lt;&gt;"Chapter Hunt"),CHOOSE(ArtifactsInput!$N$22+1,10,12,14,16,18,20)*((0*(((0.15*B3117*5))^0/1)+1*(((0.15*B3117*5))^1/1)+2*(((0.15*B3117*5))^2/2)+3*(((0.15*B3117*5))^3/6)+4*(((0.15*B3117*5))^4/24)+5*(((0.15*B3117*5))^5/120))/((((0.15*B3117*5))^0/1)+(((0.15*B3117*5))^1/1)+(((0.15*B3117*5))^2/2)+(((0.15*B3117*5))^3/6)+(((0.15*B3117*5))^4/24)+(((0.15*B3117*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3094*(1-MIN(100,(Inputs!$B$9+((C3105=TRUE)*(F3105-Calc!F26))+B3113+(ArtifactsInput!$M$24-ArtifactsInput!$M$24)*CHOOSE(ArtifactsInput!$N$24+1,10,12,14,16,18,20)+(IF(AND(Inputs!$B$39&lt;&gt;"pvp",Inputs!$B$44=0),1,IF(IF(Inputs!$B$39="pvp",15,Inputs!$B$44)-(B3124)&lt;=0,1,MAX(0,IF(Inputs!$B$39="pvp",15,Inputs!$B$44)-MAX(5,B3124))/(IF(Inputs!$B$39="pvp",15,Inputs!$B$44)-(B3124))))*IF(AND(ArtifactsInput!$M$42,((Inputs!$B$9+((C3105=TRUE)*(F3105-Calc!F26))+B3113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3094*(MIN(100,(Inputs!$B$9+((C3105=TRUE)*(F3105-Calc!F26))+B3113+(ArtifactsInput!$M$24-ArtifactsInput!$M$24)*CHOOSE(ArtifactsInput!$N$24+1,10,12,14,16,18,20)+(IF(AND(Inputs!$B$39&lt;&gt;"pvp",Inputs!$B$44=0),1,IF(IF(Inputs!$B$39="pvp",15,Inputs!$B$44)-(B3124)&lt;=0,1,MAX(0,IF(Inputs!$B$39="pvp",15,Inputs!$B$44)-MAX(5,B3124))/(IF(Inputs!$B$39="pvp",15,Inputs!$B$44)-(B3124))))*IF(AND(ArtifactsInput!$M$42,((Inputs!$B$9+((C3105=TRUE)*(F3105-Calc!F26))+B3113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3094*(1-MIN(100,(Inputs!$B$9+((C3105=TRUE)*(F3105-Calc!F26))+B3113+(ArtifactsInput!$M$24-ArtifactsInput!$M$24)*CHOOSE(ArtifactsInput!$N$24+1,10,12,14,16,18,20)+(IF(AND(Inputs!$B$39&lt;&gt;"pvp",Inputs!$B$44=0),1,IF(IF(Inputs!$B$39="pvp",15,Inputs!$B$44)-(B3124)&lt;=0,1,MAX(0,IF(Inputs!$B$39="pvp",15,Inputs!$B$44)-MAX(5,B3124))/(IF(Inputs!$B$39="pvp",15,Inputs!$B$44)-(B3124))))*IF(AND(ArtifactsInput!$M$42,((Inputs!$B$9+((C3105=TRUE)*(F3105-Calc!F26))+B3113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3094*(MIN(100,(Inputs!$B$9+((C3105=TRUE)*(F3105-Calc!F26))+B3113+(ArtifactsInput!$M$24-ArtifactsInput!$M$24)*CHOOSE(ArtifactsInput!$N$24+1,10,12,14,16,18,20)+(IF(AND(Inputs!$B$39&lt;&gt;"pvp",Inputs!$B$44=0),1,IF(IF(Inputs!$B$39="pvp",15,Inputs!$B$44)-(B3124)&lt;=0,1,MAX(0,IF(Inputs!$B$39="pvp",15,Inputs!$B$44)-MAX(5,B3124))/(IF(Inputs!$B$39="pvp",15,Inputs!$B$44)-(B3124))))*IF(AND(ArtifactsInput!$M$42,((Inputs!$B$9+((C3105=TRUE)*(F3105-Calc!F26))+B3113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3094">
        <f>IF(C3094,(H3094*N3094*IF(AND(Inputs!$B$39&lt;&gt;"pvp",Inputs!$B$44&gt;0),((Skills!G15*((R3094-1)*IF(Skills!H15&gt;0,Skills!I15/Skills!H15,1)+IF(Skills!H15&gt;0,MIN(Skills!I15,MAX(0,MAX(0,Inputs!$B$44-B3124)-((R3094-1)*IF(Inputs!$B$39="pvp",15,MAX(0.1,Skills!D15-IF(TRUE=TRUE,Inputs!$B$32,0))))))/Skills!H15,1)))/Inputs!$B$44),G3094*Q3094))*IF(Inputs!$B$39="pvp",1,(1+(Inputs!$B$21+Skills!Q15+B3114+(IF(ArtifactsInput!$M$33,CHOOSE(ArtifactsInput!$N$33+1,30,36,42,48,54,60),0))+(IF(AND(ArtifactsInput!$M$35,Inputs!$B$4&lt;&gt;"Chapter Hunt"),CHOOSE(ArtifactsInput!$N$35+1,15,18,21,24,27,30)*(1-EXP(-(0.2*B3117)*5)),0)+IF(AND(ArtifactsInput!$M$22,Inputs!$B$4&lt;&gt;"Chapter Hunt"),CHOOSE(ArtifactsInput!$N$22+1,10,12,14,16,18,20)*((0*(((0.15*B3117*5))^0/1)+1*(((0.15*B3117*5))^1/1)+2*(((0.15*B3117*5))^2/2)+3*(((0.15*B3117*5))^3/6)+4*(((0.15*B3117*5))^4/24)+5*(((0.15*B3117*5))^5/120))/((((0.15*B3117*5))^0/1)+(((0.15*B3117*5))^1/1)+(((0.15*B3117*5))^2/2)+(((0.15*B3117*5))^3/6)+(((0.15*B3117*5))^4/24)+(((0.15*B3117*5))^5/120))),0)))/100)*(MIN(MIN(5,0.5*IF(Inputs!$B$3&gt;=75,0.75,0.5)*B3117*(1/Q3083))*Skills!V15,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3095">
      <c r="A3095">
        <f>Skills!A16</f>
        <v/>
      </c>
      <c r="B3095">
        <f>Skills!B16</f>
        <v/>
      </c>
      <c r="C3095">
        <f>Inputs!$B$3&gt;=110</f>
        <v/>
      </c>
      <c r="D3095">
        <f>IF(Skills!C16=1,60+Inputs!$B$25+Inputs!$B$29,IF(Skills!C16=2,90+Inputs!$B$26+Inputs!$B$29,IF(Skills!C16=3,120+Inputs!$B$27+Inputs!$B$29,MAX(0,(Inputs!$B$3-100)*3)+Inputs!$B$28+Inputs!$B$29)))</f>
        <v/>
      </c>
      <c r="E3095">
        <f>INDEX(FactorTable!$B$2:$Y$301, MATCH(ROUND(MIN(300,MAX(1,D3095)),0), FactorTable!$A$2:$A$301,0), Skills!M16+1)</f>
        <v/>
      </c>
      <c r="F3095">
        <f>IF(Skills!N16=TRUE,(Skills!L16/10)*(E3095/1000),Skills!L16/10)+Skills!O16</f>
        <v/>
      </c>
      <c r="G3095">
        <f>Skills!G16*IF(Skills!H16&gt;0,IF(Inputs!$B$39="pvp",MIN(Skills!I16,15),Skills!I16)/Skills!H16,1)</f>
        <v/>
      </c>
      <c r="H3095">
        <f>1-(1-Skills!J16/100)^Skills!K16</f>
        <v/>
      </c>
      <c r="I3095" t="inlineStr">
        <is>
          <t>1</t>
        </is>
      </c>
      <c r="J3095" t="inlineStr"/>
      <c r="K3095" t="inlineStr"/>
      <c r="L3095" t="inlineStr"/>
      <c r="M3095" t="inlineStr"/>
      <c r="N3095" t="inlineStr"/>
      <c r="O3095">
        <f>(1-Summary!$B$11)*T3095+Summary!$B$11*V3095</f>
        <v/>
      </c>
      <c r="P3095">
        <f>IF(B3125=0,0,O3095/B3125)</f>
        <v/>
      </c>
      <c r="Q3095">
        <f>IFERROR(1/IF(Inputs!$B$39="pvp",15,MAX(0.1,Skills!D16-IF(TRUE=TRUE,Inputs!$B$32,0))),0)</f>
        <v/>
      </c>
      <c r="R3095">
        <f>IF(AND(Inputs!$B$39&lt;&gt;"pvp",Inputs!$B$44&gt;0),IF(Inputs!$B$44&lt;=0,0,(INT(Inputs!$B$44/IF(Inputs!$B$39="pvp",15,MAX(0.1,Skills!D16-IF(TRUE=TRUE,Inputs!$B$32,0))))+1)),0)</f>
        <v/>
      </c>
      <c r="S3095">
        <f>IFERROR(O3095/N3095,0)</f>
        <v/>
      </c>
      <c r="T3095" t="n">
        <v>0</v>
      </c>
      <c r="V3095" t="n">
        <v>0</v>
      </c>
    </row>
    <row r="3096">
      <c r="A3096">
        <f>Skills!A17</f>
        <v/>
      </c>
      <c r="B3096">
        <f>Skills!B17</f>
        <v/>
      </c>
      <c r="C3096">
        <f>Inputs!$B$3&gt;=115</f>
        <v/>
      </c>
      <c r="D3096">
        <f>IF(Skills!C17=1,60+Inputs!$B$25+Inputs!$B$29,IF(Skills!C17=2,90+Inputs!$B$26+Inputs!$B$29,IF(Skills!C17=3,120+Inputs!$B$27+Inputs!$B$29,MAX(0,(Inputs!$B$3-100)*3)+Inputs!$B$28+Inputs!$B$29)))</f>
        <v/>
      </c>
      <c r="E3096">
        <f>INDEX(FactorTable!$B$2:$Y$301, MATCH(ROUND(MIN(300,MAX(1,D3096)),0), FactorTable!$A$2:$A$301,0), Skills!M17+1)</f>
        <v/>
      </c>
      <c r="F3096">
        <f>IF(Skills!N17=TRUE,(Skills!L17/10)*(E3096/1000),Skills!L17/10)+Skills!O17</f>
        <v/>
      </c>
      <c r="G3096">
        <f>Skills!G17*IF(Skills!H17&gt;0,IF(Inputs!$B$39="pvp",MIN(Skills!I17,15),Skills!I17)/Skills!H17,1)</f>
        <v/>
      </c>
      <c r="H3096">
        <f>1-(1-Skills!J17/100)^Skills!K17</f>
        <v/>
      </c>
      <c r="I3096" t="inlineStr">
        <is>
          <t>1</t>
        </is>
      </c>
      <c r="J3096">
        <f>((Inputs!$B$6*(1+Inputs!$B$7/100))+(((Inputs!$B$12*(1+Inputs!$B$13/100))-(Inputs!$B$12*(1+Inputs!$B$13/100)))+0.25*(Inputs!$B$14-Inputs!$B$14))*(1+Inputs!$B$7/100))*(F3096/100)</f>
        <v/>
      </c>
      <c r="K3096">
        <f>J3096*(1+((Inputs!$B$12*(1+Inputs!$B$13/100))*0.01+Inputs!$B$14*0.0025)/100)*(1+Inputs!$B$15/100)*(1+Inputs!$B$16/100)*(5000/(6000+Inputs!$B$43*(1-(100*(1-(1-Inputs!$B$19/100)*(1-CHOOSE(ArtifactsInput!$N$40+1,5,6,7,8,9,10)/100)^(ArtifactsInput!$M$40-ArtifactsInput!$M$40)))/100)))*(1+(Inputs!$B$24+((C3110=TRUE)*(F3110-Calc!F31))+((C3097=TRUE)*(F3097-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IF(ArtifactsInput!$M$39,FALSE,TRUE)-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17="CRUEL_STAB",Inputs!$B$17+((C3107=TRUE)*(F3107-Calc!F28))+((IF(AND(Inputs!$B$39&lt;&gt;"pvp",Inputs!$B$44=0),1,IF(IF(Inputs!$B$39="pvp",15,Inputs!$B$44)-(B3124)&lt;=0,1,MAX(0,IF(Inputs!$B$39="pvp",15,Inputs!$B$44)-MAX(5,B3124))/(IF(Inputs!$B$39="pvp",15,Inputs!$B$44)-(B3124))))*(IF(AND(ArtifactsInput!$M$42,((Inputs!$B$9+((C3105=TRUE)*(F3105-Calc!F26))+B3113+(ArtifactsInput!$M$24-ArtifactsInput!$M$24)*CHOOSE(ArtifactsInput!$N$24+1,10,12,14,16,18,20)+IF(ArtifactsInput!$M$10,CHOOSE(ArtifactsInput!$N$10+1,15,18,21,24,27,30)*(IF(Inputs!$B$39="pvp",MIN(15,15)/15,IF(AND(Inputs!$B$39&lt;&gt;"pvp",Inputs!$B$44&gt;0),MIN(15,Inputs!$B$44)/(Inputs!$B$44),0))),0)))&gt;=100),MIN(100,((Inputs!$B$9+((C3105=TRUE)*(F3105-Calc!F26))+B3113+(ArtifactsInput!$M$24-ArtifactsInput!$M$24)*CHOOSE(ArtifactsInput!$N$24+1,10,12,14,16,18,20)+IF(ArtifactsInput!$M$10,CHOOSE(ArtifactsInput!$N$10+1,15,18,21,24,27,30)*(IF(Inputs!$B$39="pvp",MIN(15,15)/15,IF(AND(Inputs!$B$39&lt;&gt;"pvp",Inputs!$B$44&gt;0),MIN(15,Inputs!$B$44)/(Inputs!$B$44),0))),0)))-100),0))*CHOOSE(ArtifactsInput!$N$42+1,0.6,0.72,0.84,0.96,1.08,1.2))),Inputs!$B$18+((C3108=TRUE)*(F3108-Calc!F29))+(IF(AND(Inputs!$B$39&lt;&gt;"pvp",Inputs!$B$44=0),1,IF(IF(Inputs!$B$39="pvp",15,Inputs!$B$44)-(B3124)&lt;=0,1,MAX(0,IF(Inputs!$B$39="pvp",15,Inputs!$B$44)-MAX(5,B3124))/(IF(Inputs!$B$39="pvp",15,Inputs!$B$44)-(B3124))))*IF(AND(ArtifactsInput!$M$42,((Inputs!$B$9+((C3105=TRUE)*(F3105-Calc!F26))+B3113+(ArtifactsInput!$M$24-ArtifactsInput!$M$24)*CHOOSE(ArtifactsInput!$N$24+1,10,12,14,16,18,20)+IF(ArtifactsInput!$M$10,CHOOSE(ArtifactsInput!$N$10+1,15,18,21,24,27,30)*(IF(Inputs!$B$39="pvp",MIN(15,15)/15,IF(AND(Inputs!$B$39&lt;&gt;"pvp",Inputs!$B$44&gt;0),MIN(15,Inputs!$B$44)/(Inputs!$B$44),0))),0)))&gt;=100),CHOOSE(ArtifactsInput!$N$42+1,40,48,56,64,72,80),0))))/100)*(((1+(((C3101=TRUE)*F3101*IF(AND(Inputs!$B$39&lt;&gt;"pvp",Inputs!$B$44&gt;0),(((R3101-1)*MIN((Skills!Y22*(1+Inputs!$B$34/100)),(1/Q3101))+MIN((Skills!Y22*(1+Inputs!$B$34/100)),MAX(0,Inputs!$B$44-((R3101-1)*(1/Q3101)))))/Inputs!$B$44),IF(Inputs!$B$39="pvp",MIN((Skills!Y22*(1+Inputs!$B$34/100)),15)/15,MIN(1,(Skills!Y22*(1+Inputs!$B$34/100))/(1/Q3101)))))+((C3082=TRUE)*F3082*3)+((C3084=TRUE)*F3084*(1-EXP(-0.75*B3117*5)))+((C3103=TRUE)*(F3103-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3090=TRUE)*F3090*IF(AND(Inputs!$B$39&lt;&gt;"pvp",Inputs!$B$44&gt;0),(((R3090-1)*MIN((Skills!Y11*(1+Inputs!$B$34/100)),(1/Q3090))+MIN((Skills!Y11*(1+Inputs!$B$34/100)),MAX(0,Inputs!$B$44-((R3090-1)*(1/Q3090)))))/Inputs!$B$44),IF(Inputs!$B$39="pvp",MIN((Skills!Y11*(1+Inputs!$B$34/100)),15)/15,MIN(1,(Skills!Y11*(1+Inputs!$B$34/100))/(1/Q3090)))))/100)*(1+((C3095=TRUE)*F3095*IF(AND(Inputs!$B$39&lt;&gt;"pvp",Inputs!$B$44&gt;0),(((R3095-1)*MIN((Skills!Y16*(1+Inputs!$B$34/100)),(1/Q3095))+MIN((Skills!Y16*(1+Inputs!$B$34/100)),MAX(0,Inputs!$B$44-((R3095-1)*(1/Q3095)))))/Inputs!$B$44),IF(Inputs!$B$39="pvp",MIN((Skills!Y16*(1+Inputs!$B$34/100)),15)/15,MIN(1,(Skills!Y16*(1+Inputs!$B$34/100))/(1/Q3095)))))/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3115*I3096)</f>
        <v/>
      </c>
      <c r="L3096">
        <f>K3096*(MIN(Inputs!$B$22+((C3104=TRUE)*(F3104-Calc!F25)),(Inputs!$B$23+((C3109=TRUE)*(F3109-Calc!F30))+IF(ArtifactsInput!$M$15,CHOOSE(ArtifactsInput!$N$15+1,25,30,35,40,45,50)/100*(Inputs!$B$11-Inputs!$B$11),0)))/100+(Inputs!$B$23+((C3109=TRUE)*(F3109-Calc!F30))+IF(ArtifactsInput!$M$15,CHOOSE(ArtifactsInput!$N$15+1,25,30,35,40,45,50)/100*(Inputs!$B$11-Inputs!$B$11),0))/100)/2</f>
        <v/>
      </c>
      <c r="M3096">
        <f>L3096*(1+(Inputs!$B$10+((C3106=TRUE)*(F3106-Calc!F27))+B3120+(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3096">
        <f>L3096*(1-MIN((Inputs!$B$9+((C3105=TRUE)*(F3105-Calc!F26))+B3113+(ArtifactsInput!$M$24-ArtifactsInput!$M$24)*CHOOSE(ArtifactsInput!$N$24+1,10,12,14,16,18,20)+(IF(AND(Inputs!$B$39&lt;&gt;"pvp",Inputs!$B$44=0),1,IF(IF(Inputs!$B$39="pvp",15,Inputs!$B$44)-(B3124)&lt;=0,1,MAX(0,IF(Inputs!$B$39="pvp",15,Inputs!$B$44)-MAX(5,B3124))/(IF(Inputs!$B$39="pvp",15,Inputs!$B$44)-(B3124))))*IF(AND(ArtifactsInput!$M$42,((Inputs!$B$9+((C3105=TRUE)*(F3105-Calc!F26))+B3113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3096*(MIN((Inputs!$B$9+((C3105=TRUE)*(F3105-Calc!F26))+B3113+(ArtifactsInput!$M$24-ArtifactsInput!$M$24)*CHOOSE(ArtifactsInput!$N$24+1,10,12,14,16,18,20)+(IF(AND(Inputs!$B$39&lt;&gt;"pvp",Inputs!$B$44=0),1,IF(IF(Inputs!$B$39="pvp",15,Inputs!$B$44)-(B3124)&lt;=0,1,MAX(0,IF(Inputs!$B$39="pvp",15,Inputs!$B$44)-MAX(5,B3124))/(IF(Inputs!$B$39="pvp",15,Inputs!$B$44)-(B3124))))*IF(AND(ArtifactsInput!$M$42,((Inputs!$B$9+((C3105=TRUE)*(F3105-Calc!F26))+B3113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3096">
        <f>(1-Summary!$B$11)*T3096+Summary!$B$11*V3096</f>
        <v/>
      </c>
      <c r="P3096">
        <f>IF(B3125=0,0,O3096/B3125)</f>
        <v/>
      </c>
      <c r="Q3096" t="n">
        <v>0</v>
      </c>
      <c r="R3096" t="n">
        <v>0</v>
      </c>
      <c r="S3096">
        <f>IFERROR(O3096/N3096,0)</f>
        <v/>
      </c>
      <c r="T3096">
        <f>IF(C3096,(Inputs!$B$38*0.2*N3096)*IF(Inputs!$B$39="pvp",1,1+(Inputs!$B$20+0+Skills!P17+B3114+(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Hunt"),CHOOSE(ArtifactsInput!$N$35+1,15,18,21,24,27,30)*(1-EXP(-(0.2*B3117)*5)),0)+IF(AND(ArtifactsInput!$M$22,Inputs!$B$4&lt;&gt;"Chapter Hunt"),CHOOSE(ArtifactsInput!$N$22+1,10,12,14,16,18,20)*((0*(((0.15*B3117*5))^0/1)+1*(((0.15*B3117*5))^1/1)+2*(((0.15*B3117*5))^2/2)+3*(((0.15*B3117*5))^3/6)+4*(((0.15*B3117*5))^4/24)+5*(((0.15*B3117*5))^5/120))/((((0.15*B3117*5))^0/1)+(((0.15*B3117*5))^1/1)+(((0.15*B3117*5))^2/2)+(((0.15*B3117*5))^3/6)+(((0.15*B3117*5))^4/24)+(((0.15*B3117*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3096*(1-MIN(100,(Inputs!$B$9+((C3105=TRUE)*(F3105-Calc!F26))+B3113+(ArtifactsInput!$M$24-ArtifactsInput!$M$24)*CHOOSE(ArtifactsInput!$N$24+1,10,12,14,16,18,20)+(IF(AND(Inputs!$B$39&lt;&gt;"pvp",Inputs!$B$44=0),1,IF(IF(Inputs!$B$39="pvp",15,Inputs!$B$44)-(B3124)&lt;=0,1,MAX(0,IF(Inputs!$B$39="pvp",15,Inputs!$B$44)-MAX(5,B3124))/(IF(Inputs!$B$39="pvp",15,Inputs!$B$44)-(B3124))))*IF(AND(ArtifactsInput!$M$42,((Inputs!$B$9+((C3105=TRUE)*(F3105-Calc!F26))+B3113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3096*(MIN(100,(Inputs!$B$9+((C3105=TRUE)*(F3105-Calc!F26))+B3113+(ArtifactsInput!$M$24-ArtifactsInput!$M$24)*CHOOSE(ArtifactsInput!$N$24+1,10,12,14,16,18,20)+(IF(AND(Inputs!$B$39&lt;&gt;"pvp",Inputs!$B$44=0),1,IF(IF(Inputs!$B$39="pvp",15,Inputs!$B$44)-(B3124)&lt;=0,1,MAX(0,IF(Inputs!$B$39="pvp",15,Inputs!$B$44)-MAX(5,B3124))/(IF(Inputs!$B$39="pvp",15,Inputs!$B$44)-(B3124))))*IF(AND(ArtifactsInput!$M$42,((Inputs!$B$9+((C3105=TRUE)*(F3105-Calc!F26))+B3113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3096*(1-MIN(100,(Inputs!$B$9+((C3105=TRUE)*(F3105-Calc!F26))+B3113+(ArtifactsInput!$M$24-ArtifactsInput!$M$24)*CHOOSE(ArtifactsInput!$N$24+1,10,12,14,16,18,20)+(IF(AND(Inputs!$B$39&lt;&gt;"pvp",Inputs!$B$44=0),1,IF(IF(Inputs!$B$39="pvp",15,Inputs!$B$44)-(B3124)&lt;=0,1,MAX(0,IF(Inputs!$B$39="pvp",15,Inputs!$B$44)-MAX(5,B3124))/(IF(Inputs!$B$39="pvp",15,Inputs!$B$44)-(B3124))))*IF(AND(ArtifactsInput!$M$42,((Inputs!$B$9+((C3105=TRUE)*(F3105-Calc!F26))+B3113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3096*(MIN(100,(Inputs!$B$9+((C3105=TRUE)*(F3105-Calc!F26))+B3113+(ArtifactsInput!$M$24-ArtifactsInput!$M$24)*CHOOSE(ArtifactsInput!$N$24+1,10,12,14,16,18,20)+(IF(AND(Inputs!$B$39&lt;&gt;"pvp",Inputs!$B$44=0),1,IF(IF(Inputs!$B$39="pvp",15,Inputs!$B$44)-(B3124)&lt;=0,1,MAX(0,IF(Inputs!$B$39="pvp",15,Inputs!$B$44)-MAX(5,B3124))/(IF(Inputs!$B$39="pvp",15,Inputs!$B$44)-(B3124))))*IF(AND(ArtifactsInput!$M$42,((Inputs!$B$9+((C3105=TRUE)*(F3105-Calc!F26))+B3113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3096">
        <f>IF(C3096,(Inputs!$B$38*0.2*N3096)*IF(Inputs!$B$39="pvp",1,(1+(Inputs!$B$21+Skills!Q17+B3114+(IF(ArtifactsInput!$M$33,CHOOSE(ArtifactsInput!$N$33+1,30,36,42,48,54,60),0))+(IF(AND(ArtifactsInput!$M$35,Inputs!$B$4&lt;&gt;"Chapter Hunt"),CHOOSE(ArtifactsInput!$N$35+1,15,18,21,24,27,30)*(1-EXP(-(0.2*B3117)*5)),0)+IF(AND(ArtifactsInput!$M$22,Inputs!$B$4&lt;&gt;"Chapter Hunt"),CHOOSE(ArtifactsInput!$N$22+1,10,12,14,16,18,20)*((0*(((0.15*B3117*5))^0/1)+1*(((0.15*B3117*5))^1/1)+2*(((0.15*B3117*5))^2/2)+3*(((0.15*B3117*5))^3/6)+4*(((0.15*B3117*5))^4/24)+5*(((0.15*B3117*5))^5/120))/((((0.15*B3117*5))^0/1)+(((0.15*B3117*5))^1/1)+(((0.15*B3117*5))^2/2)+(((0.15*B3117*5))^3/6)+(((0.15*B3117*5))^4/24)+(((0.15*B3117*5))^5/120))),0)))/100)*(MIN(Skills!W17,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3097">
      <c r="A3097">
        <f>Skills!A18</f>
        <v/>
      </c>
      <c r="B3097">
        <f>Skills!B18</f>
        <v/>
      </c>
      <c r="C3097">
        <f>Inputs!$B$3&gt;=115</f>
        <v/>
      </c>
      <c r="D3097">
        <f>IF(Skills!C18=1,60+Inputs!$B$25+Inputs!$B$29,IF(Skills!C18=2,90+Inputs!$B$26+Inputs!$B$29,IF(Skills!C18=3,120+Inputs!$B$27+Inputs!$B$29,MAX(0,(Inputs!$B$3-100)*3)+Inputs!$B$28+Inputs!$B$29)))</f>
        <v/>
      </c>
      <c r="E3097">
        <f>INDEX(FactorTable!$B$2:$Y$301, MATCH(ROUND(MIN(300,MAX(1,D3097)),0), FactorTable!$A$2:$A$301,0), Skills!M18+1)</f>
        <v/>
      </c>
      <c r="F3097">
        <f>IF(Skills!N18=TRUE,(Skills!L18/10)*(E3097/1000),Skills!L18/10)+Skills!O18</f>
        <v/>
      </c>
      <c r="G3097">
        <f>Skills!G18*IF(Skills!H18&gt;0,IF(Inputs!$B$39="pvp",MIN(Skills!I18,15),Skills!I18)/Skills!H18,1)</f>
        <v/>
      </c>
      <c r="H3097">
        <f>1-(1-Skills!J18/100)^Skills!K18</f>
        <v/>
      </c>
      <c r="I3097" t="inlineStr">
        <is>
          <t>1</t>
        </is>
      </c>
      <c r="J3097" t="inlineStr"/>
      <c r="K3097" t="inlineStr"/>
      <c r="L3097" t="inlineStr"/>
      <c r="M3097" t="inlineStr"/>
      <c r="N3097" t="inlineStr"/>
      <c r="O3097">
        <f>(1-Summary!$B$11)*T3097+Summary!$B$11*V3097</f>
        <v/>
      </c>
      <c r="P3097">
        <f>IF(B3125=0,0,O3097/B3125)</f>
        <v/>
      </c>
      <c r="Q3097" t="n">
        <v>0</v>
      </c>
      <c r="R3097" t="n">
        <v>0</v>
      </c>
      <c r="S3097">
        <f>IFERROR(O3097/N3097,0)</f>
        <v/>
      </c>
      <c r="T3097" t="n">
        <v>0</v>
      </c>
      <c r="V3097" t="n">
        <v>0</v>
      </c>
    </row>
    <row r="3098">
      <c r="A3098">
        <f>Skills!A19</f>
        <v/>
      </c>
      <c r="B3098">
        <f>Skills!B19</f>
        <v/>
      </c>
      <c r="C3098">
        <f>Inputs!$B$3&gt;=100</f>
        <v/>
      </c>
      <c r="D3098">
        <f>IF(Skills!C19=1,60+Inputs!$B$25+Inputs!$B$29,IF(Skills!C19=2,90+Inputs!$B$26+Inputs!$B$29,IF(Skills!C19=3,120+Inputs!$B$27+Inputs!$B$29,MAX(0,(Inputs!$B$3-100)*3)+Inputs!$B$28+Inputs!$B$29)))</f>
        <v/>
      </c>
      <c r="E3098">
        <f>INDEX(FactorTable!$B$2:$Y$301, MATCH(ROUND(MIN(300,MAX(1,D3098)),0), FactorTable!$A$2:$A$301,0), Skills!M19+1)</f>
        <v/>
      </c>
      <c r="F3098">
        <f>IF(Skills!N19=TRUE,(Skills!L19/10)*(E3098/1000),Skills!L19/10)+Skills!O19</f>
        <v/>
      </c>
      <c r="G3098">
        <f>Skills!G19*IF(Skills!H19&gt;0,IF(Inputs!$B$39="pvp",MIN(Skills!I19,15),Skills!I19)/Skills!H19,1)</f>
        <v/>
      </c>
      <c r="H3098">
        <f>1-(1-Skills!J19/100)^Skills!K19</f>
        <v/>
      </c>
      <c r="I3098" t="inlineStr">
        <is>
          <t>1</t>
        </is>
      </c>
      <c r="J3098" t="inlineStr"/>
      <c r="K3098" t="inlineStr"/>
      <c r="L3098" t="inlineStr"/>
      <c r="M3098" t="inlineStr"/>
      <c r="N3098" t="inlineStr"/>
      <c r="O3098">
        <f>(1-Summary!$B$11)*T3098+Summary!$B$11*V3098</f>
        <v/>
      </c>
      <c r="P3098">
        <f>IF(B3125=0,0,O3098/B3125)</f>
        <v/>
      </c>
      <c r="Q3098" t="n">
        <v>0</v>
      </c>
      <c r="R3098" t="n">
        <v>0</v>
      </c>
      <c r="S3098">
        <f>IFERROR(O3098/N3098,0)</f>
        <v/>
      </c>
      <c r="T3098" t="n">
        <v>0</v>
      </c>
      <c r="V3098" t="n">
        <v>0</v>
      </c>
    </row>
    <row r="3099">
      <c r="A3099">
        <f>Skills!A20</f>
        <v/>
      </c>
      <c r="B3099">
        <f>Skills!B20</f>
        <v/>
      </c>
      <c r="C3099">
        <f>TRUE</f>
        <v/>
      </c>
      <c r="D3099">
        <f>IF(Skills!C20=1,60+Inputs!$B$25+Inputs!$B$29,IF(Skills!C20=2,90+Inputs!$B$26+Inputs!$B$29,IF(Skills!C20=3,120+Inputs!$B$27+Inputs!$B$29,MAX(0,(Inputs!$B$3-100)*3)+Inputs!$B$28+Inputs!$B$29)))</f>
        <v/>
      </c>
      <c r="E3099">
        <f>INDEX(FactorTable!$B$2:$Y$301, MATCH(ROUND(MIN(300,MAX(1,D3099)),0), FactorTable!$A$2:$A$301,0), Skills!M20+1)</f>
        <v/>
      </c>
      <c r="F3099">
        <f>IF(Skills!N20=TRUE,(Skills!L20/10)*(E3099/1000),Skills!L20/10)+Skills!O20</f>
        <v/>
      </c>
      <c r="G3099">
        <f>Skills!G20*IF(Skills!H20&gt;0,IF(Inputs!$B$39="pvp",MIN(Skills!I20,15),Skills!I20)/Skills!H20,1)</f>
        <v/>
      </c>
      <c r="H3099">
        <f>1-(1-Skills!J20/100)^Skills!K20</f>
        <v/>
      </c>
      <c r="I3099" t="inlineStr">
        <is>
          <t>1</t>
        </is>
      </c>
      <c r="J3099" t="inlineStr"/>
      <c r="K3099" t="inlineStr"/>
      <c r="L3099" t="inlineStr"/>
      <c r="M3099" t="inlineStr"/>
      <c r="N3099" t="inlineStr"/>
      <c r="O3099">
        <f>(1-Summary!$B$11)*T3099+Summary!$B$11*V3099</f>
        <v/>
      </c>
      <c r="P3099">
        <f>IF(B3125=0,0,O3099/B3125)</f>
        <v/>
      </c>
      <c r="Q3099">
        <f>IFERROR(1/IF(Inputs!$B$39="pvp",15,MAX(0.1,Skills!D20-IF(TRUE=TRUE,Inputs!$B$32,0))),0)</f>
        <v/>
      </c>
      <c r="R3099">
        <f>IF(AND(Inputs!$B$39&lt;&gt;"pvp",Inputs!$B$44&gt;0),IF(Inputs!$B$44&lt;=0,0,(INT(Inputs!$B$44/IF(Inputs!$B$39="pvp",15,MAX(0.1,Skills!D20-IF(TRUE=TRUE,Inputs!$B$32,0))))+1)),0)</f>
        <v/>
      </c>
      <c r="S3099">
        <f>IFERROR(O3099/N3099,0)</f>
        <v/>
      </c>
      <c r="T3099" t="n">
        <v>0</v>
      </c>
      <c r="V3099" t="n">
        <v>0</v>
      </c>
    </row>
    <row r="3100">
      <c r="A3100">
        <f>Skills!A21</f>
        <v/>
      </c>
      <c r="B3100">
        <f>Skills!B21</f>
        <v/>
      </c>
      <c r="C3100">
        <f>Inputs!$B$3&gt;=15</f>
        <v/>
      </c>
      <c r="D3100">
        <f>IF(Skills!C21=1,60+Inputs!$B$25+Inputs!$B$29,IF(Skills!C21=2,90+Inputs!$B$26+Inputs!$B$29,IF(Skills!C21=3,120+Inputs!$B$27+Inputs!$B$29,MAX(0,(Inputs!$B$3-100)*3)+Inputs!$B$28+Inputs!$B$29)))</f>
        <v/>
      </c>
      <c r="E3100">
        <f>INDEX(FactorTable!$B$2:$Y$301, MATCH(ROUND(MIN(300,MAX(1,D3100)),0), FactorTable!$A$2:$A$301,0), Skills!M21+1)</f>
        <v/>
      </c>
      <c r="F3100">
        <f>IF(Skills!N21=TRUE,(Skills!L21/10)*(E3100/1000),Skills!L21/10)+Skills!O21</f>
        <v/>
      </c>
      <c r="G3100">
        <f>Skills!G21*IF(Skills!H21&gt;0,IF(Inputs!$B$39="pvp",MIN(Skills!I21,15),Skills!I21)/Skills!H21,1)</f>
        <v/>
      </c>
      <c r="H3100">
        <f>1-(1-Skills!J21/100)^Skills!K21</f>
        <v/>
      </c>
      <c r="I3100" t="inlineStr">
        <is>
          <t>1</t>
        </is>
      </c>
      <c r="J3100" t="inlineStr"/>
      <c r="K3100" t="inlineStr"/>
      <c r="L3100" t="inlineStr"/>
      <c r="M3100" t="inlineStr"/>
      <c r="N3100" t="inlineStr"/>
      <c r="O3100">
        <f>(1-Summary!$B$11)*T3100+Summary!$B$11*V3100</f>
        <v/>
      </c>
      <c r="P3100">
        <f>IF(B3125=0,0,O3100/B3125)</f>
        <v/>
      </c>
      <c r="Q3100">
        <f>IFERROR(1/IF(Inputs!$B$39="pvp",15,MAX(0.1,Skills!D21-IF(TRUE=TRUE,Inputs!$B$32,0))),0)</f>
        <v/>
      </c>
      <c r="R3100">
        <f>IF(AND(Inputs!$B$39&lt;&gt;"pvp",Inputs!$B$44&gt;0),IF(Inputs!$B$44&lt;=0,0,(INT(Inputs!$B$44/IF(Inputs!$B$39="pvp",15,MAX(0.1,Skills!D21-IF(TRUE=TRUE,Inputs!$B$32,0))))+1)),0)</f>
        <v/>
      </c>
      <c r="S3100">
        <f>IFERROR(O3100/N3100,0)</f>
        <v/>
      </c>
      <c r="T3100" t="n">
        <v>0</v>
      </c>
      <c r="V3100" t="n">
        <v>0</v>
      </c>
    </row>
    <row r="3101">
      <c r="A3101">
        <f>Skills!A22</f>
        <v/>
      </c>
      <c r="B3101">
        <f>Skills!B22</f>
        <v/>
      </c>
      <c r="C3101">
        <f>Inputs!$B$3&gt;=15</f>
        <v/>
      </c>
      <c r="D3101">
        <f>IF(Skills!C22=1,60+Inputs!$B$25+Inputs!$B$29,IF(Skills!C22=2,90+Inputs!$B$26+Inputs!$B$29,IF(Skills!C22=3,120+Inputs!$B$27+Inputs!$B$29,MAX(0,(Inputs!$B$3-100)*3)+Inputs!$B$28+Inputs!$B$29)))</f>
        <v/>
      </c>
      <c r="E3101">
        <f>INDEX(FactorTable!$B$2:$Y$301, MATCH(ROUND(MIN(300,MAX(1,D3101)),0), FactorTable!$A$2:$A$301,0), Skills!M22+1)</f>
        <v/>
      </c>
      <c r="F3101">
        <f>IF(Skills!N22=TRUE,(Skills!L22/10)*(E3101/1000),Skills!L22/10)+Skills!O22</f>
        <v/>
      </c>
      <c r="G3101">
        <f>Skills!G22*IF(Skills!H22&gt;0,IF(Inputs!$B$39="pvp",MIN(Skills!I22,15),Skills!I22)/Skills!H22,1)</f>
        <v/>
      </c>
      <c r="H3101">
        <f>1-(1-Skills!J22/100)^Skills!K22</f>
        <v/>
      </c>
      <c r="I3101" t="inlineStr">
        <is>
          <t>1</t>
        </is>
      </c>
      <c r="J3101" t="inlineStr"/>
      <c r="K3101" t="inlineStr"/>
      <c r="L3101" t="inlineStr"/>
      <c r="M3101" t="inlineStr"/>
      <c r="N3101" t="inlineStr"/>
      <c r="O3101">
        <f>(1-Summary!$B$11)*T3101+Summary!$B$11*V3101</f>
        <v/>
      </c>
      <c r="P3101">
        <f>IF(B3125=0,0,O3101/B3125)</f>
        <v/>
      </c>
      <c r="Q3101">
        <f>IFERROR(1/IF(Inputs!$B$39="pvp",15,MAX(0.1,Skills!D22-IF(TRUE=TRUE,Inputs!$B$32,0))),0)</f>
        <v/>
      </c>
      <c r="R3101">
        <f>IF(AND(Inputs!$B$39&lt;&gt;"pvp",Inputs!$B$44&gt;0),IF(Inputs!$B$44&lt;=0,0,(INT(Inputs!$B$44/IF(Inputs!$B$39="pvp",15,MAX(0.1,Skills!D22-IF(TRUE=TRUE,Inputs!$B$32,0))))+1)),0)</f>
        <v/>
      </c>
      <c r="S3101">
        <f>IFERROR(O3101/N3101,0)</f>
        <v/>
      </c>
      <c r="T3101" t="n">
        <v>0</v>
      </c>
      <c r="V3101" t="n">
        <v>0</v>
      </c>
    </row>
    <row r="3102">
      <c r="A3102">
        <f>Skills!A23</f>
        <v/>
      </c>
      <c r="B3102">
        <f>Skills!B23</f>
        <v/>
      </c>
      <c r="C3102">
        <f>Inputs!$B$3&gt;=33</f>
        <v/>
      </c>
      <c r="D3102">
        <f>IF(Skills!C23=1,60+Inputs!$B$25+Inputs!$B$29,IF(Skills!C23=2,90+Inputs!$B$26+Inputs!$B$29,IF(Skills!C23=3,120+Inputs!$B$27+Inputs!$B$29,MAX(0,(Inputs!$B$3-100)*3)+Inputs!$B$28+Inputs!$B$29)))</f>
        <v/>
      </c>
      <c r="E3102">
        <f>INDEX(FactorTable!$B$2:$Y$301, MATCH(ROUND(MIN(300,MAX(1,D3102)),0), FactorTable!$A$2:$A$301,0), Skills!M23+1)</f>
        <v/>
      </c>
      <c r="F3102">
        <f>IF(Skills!N23=TRUE,(Skills!L23/10)*(E3102/1000),Skills!L23/10)+Skills!O23</f>
        <v/>
      </c>
      <c r="G3102">
        <f>Skills!G23*IF(Skills!H23&gt;0,IF(Inputs!$B$39="pvp",MIN(Skills!I23,15),Skills!I23)/Skills!H23,1)</f>
        <v/>
      </c>
      <c r="H3102">
        <f>1-(1-Skills!J23/100)^Skills!K23</f>
        <v/>
      </c>
      <c r="I3102" t="inlineStr">
        <is>
          <t>1</t>
        </is>
      </c>
      <c r="J3102" t="inlineStr"/>
      <c r="K3102" t="inlineStr"/>
      <c r="L3102" t="inlineStr"/>
      <c r="M3102" t="inlineStr"/>
      <c r="N3102" t="inlineStr"/>
      <c r="O3102">
        <f>(1-Summary!$B$11)*T3102+Summary!$B$11*V3102</f>
        <v/>
      </c>
      <c r="P3102">
        <f>IF(B3125=0,0,O3102/B3125)</f>
        <v/>
      </c>
      <c r="Q3102" t="n">
        <v>0</v>
      </c>
      <c r="R3102" t="n">
        <v>0</v>
      </c>
      <c r="S3102">
        <f>IFERROR(O3102/N3102,0)</f>
        <v/>
      </c>
      <c r="T3102" t="n">
        <v>0</v>
      </c>
      <c r="V3102" t="n">
        <v>0</v>
      </c>
    </row>
    <row r="3103">
      <c r="A3103">
        <f>Skills!A24</f>
        <v/>
      </c>
      <c r="B3103">
        <f>Skills!B24</f>
        <v/>
      </c>
      <c r="C3103">
        <f>Inputs!$B$3&gt;=40</f>
        <v/>
      </c>
      <c r="D3103">
        <f>IF(Skills!C24=1,60+Inputs!$B$25+Inputs!$B$29,IF(Skills!C24=2,90+Inputs!$B$26+Inputs!$B$29,IF(Skills!C24=3,120+Inputs!$B$27+Inputs!$B$29,MAX(0,(Inputs!$B$3-100)*3)+Inputs!$B$28+Inputs!$B$29)))</f>
        <v/>
      </c>
      <c r="E3103">
        <f>INDEX(FactorTable!$B$2:$Y$301, MATCH(ROUND(MIN(300,MAX(1,D3103)),0), FactorTable!$A$2:$A$301,0), Skills!M24+1)</f>
        <v/>
      </c>
      <c r="F3103">
        <f>IF(Skills!N24=TRUE,(Skills!L24/10)*(E3103/1000),Skills!L24/10)+Skills!O24</f>
        <v/>
      </c>
      <c r="G3103">
        <f>Skills!G24*IF(Skills!H24&gt;0,IF(Inputs!$B$39="pvp",MIN(Skills!I24,15),Skills!I24)/Skills!H24,1)</f>
        <v/>
      </c>
      <c r="H3103">
        <f>1-(1-Skills!J24/100)^Skills!K24</f>
        <v/>
      </c>
      <c r="I3103" t="inlineStr">
        <is>
          <t>1</t>
        </is>
      </c>
      <c r="J3103" t="inlineStr"/>
      <c r="K3103" t="inlineStr"/>
      <c r="L3103" t="inlineStr"/>
      <c r="M3103" t="inlineStr"/>
      <c r="N3103" t="inlineStr"/>
      <c r="O3103">
        <f>(1-Summary!$B$11)*T3103+Summary!$B$11*V3103</f>
        <v/>
      </c>
      <c r="P3103">
        <f>IF(B3125=0,0,O3103/B3125)</f>
        <v/>
      </c>
      <c r="Q3103" t="n">
        <v>0</v>
      </c>
      <c r="R3103" t="n">
        <v>0</v>
      </c>
      <c r="S3103">
        <f>IFERROR(O3103/N3103,0)</f>
        <v/>
      </c>
      <c r="T3103" t="n">
        <v>0</v>
      </c>
      <c r="V3103" t="n">
        <v>0</v>
      </c>
    </row>
    <row r="3104">
      <c r="A3104">
        <f>Skills!A25</f>
        <v/>
      </c>
      <c r="B3104">
        <f>Skills!B25</f>
        <v/>
      </c>
      <c r="C3104">
        <f>Inputs!$B$3&gt;=43</f>
        <v/>
      </c>
      <c r="D3104">
        <f>IF(Skills!C25=1,60+Inputs!$B$25+Inputs!$B$29,IF(Skills!C25=2,90+Inputs!$B$26+Inputs!$B$29,IF(Skills!C25=3,120+Inputs!$B$27+Inputs!$B$29,MAX(0,(Inputs!$B$3-100)*3)+Inputs!$B$28+Inputs!$B$29)))</f>
        <v/>
      </c>
      <c r="E3104">
        <f>INDEX(FactorTable!$B$2:$Y$301, MATCH(ROUND(MIN(300,MAX(1,D3104)),0), FactorTable!$A$2:$A$301,0), Skills!M25+1)</f>
        <v/>
      </c>
      <c r="F3104">
        <f>IF(Skills!N25=TRUE,(Skills!L25/10)*(E3104/1000),Skills!L25/10)+Skills!O25</f>
        <v/>
      </c>
      <c r="G3104">
        <f>Skills!G25*IF(Skills!H25&gt;0,IF(Inputs!$B$39="pvp",MIN(Skills!I25,15),Skills!I25)/Skills!H25,1)</f>
        <v/>
      </c>
      <c r="H3104">
        <f>1-(1-Skills!J25/100)^Skills!K25</f>
        <v/>
      </c>
      <c r="I3104" t="inlineStr">
        <is>
          <t>1</t>
        </is>
      </c>
      <c r="J3104" t="inlineStr"/>
      <c r="K3104" t="inlineStr"/>
      <c r="L3104" t="inlineStr"/>
      <c r="M3104" t="inlineStr"/>
      <c r="N3104" t="inlineStr"/>
      <c r="O3104">
        <f>(1-Summary!$B$11)*T3104+Summary!$B$11*V3104</f>
        <v/>
      </c>
      <c r="P3104">
        <f>IF(B3125=0,0,O3104/B3125)</f>
        <v/>
      </c>
      <c r="Q3104" t="n">
        <v>0</v>
      </c>
      <c r="R3104" t="n">
        <v>0</v>
      </c>
      <c r="S3104">
        <f>IFERROR(O3104/N3104,0)</f>
        <v/>
      </c>
      <c r="T3104" t="n">
        <v>0</v>
      </c>
      <c r="V3104" t="n">
        <v>0</v>
      </c>
    </row>
    <row r="3105">
      <c r="A3105">
        <f>Skills!A26</f>
        <v/>
      </c>
      <c r="B3105">
        <f>Skills!B26</f>
        <v/>
      </c>
      <c r="C3105">
        <f>Inputs!$B$3&gt;=50</f>
        <v/>
      </c>
      <c r="D3105">
        <f>IF(Skills!C26=1,60+Inputs!$B$25+Inputs!$B$29,IF(Skills!C26=2,90+Inputs!$B$26+Inputs!$B$29,IF(Skills!C26=3,120+Inputs!$B$27+Inputs!$B$29,MAX(0,(Inputs!$B$3-100)*3)+Inputs!$B$28+Inputs!$B$29)))</f>
        <v/>
      </c>
      <c r="E3105">
        <f>INDEX(FactorTable!$B$2:$Y$301, MATCH(ROUND(MIN(300,MAX(1,D3105)),0), FactorTable!$A$2:$A$301,0), Skills!M26+1)</f>
        <v/>
      </c>
      <c r="F3105">
        <f>IF(Skills!N26=TRUE,(Skills!L26/10)*(E3105/1000),Skills!L26/10)+Skills!O26</f>
        <v/>
      </c>
      <c r="G3105">
        <f>Skills!G26*IF(Skills!H26&gt;0,IF(Inputs!$B$39="pvp",MIN(Skills!I26,15),Skills!I26)/Skills!H26,1)</f>
        <v/>
      </c>
      <c r="H3105">
        <f>1-(1-Skills!J26/100)^Skills!K26</f>
        <v/>
      </c>
      <c r="I3105" t="inlineStr">
        <is>
          <t>1</t>
        </is>
      </c>
      <c r="J3105" t="inlineStr"/>
      <c r="K3105" t="inlineStr"/>
      <c r="L3105" t="inlineStr"/>
      <c r="M3105" t="inlineStr"/>
      <c r="N3105" t="inlineStr"/>
      <c r="O3105">
        <f>(1-Summary!$B$11)*T3105+Summary!$B$11*V3105</f>
        <v/>
      </c>
      <c r="P3105">
        <f>IF(B3125=0,0,O3105/B3125)</f>
        <v/>
      </c>
      <c r="Q3105" t="n">
        <v>0</v>
      </c>
      <c r="R3105" t="n">
        <v>0</v>
      </c>
      <c r="S3105">
        <f>IFERROR(O3105/N3105,0)</f>
        <v/>
      </c>
      <c r="T3105" t="n">
        <v>0</v>
      </c>
      <c r="V3105" t="n">
        <v>0</v>
      </c>
    </row>
    <row r="3106">
      <c r="A3106">
        <f>Skills!A27</f>
        <v/>
      </c>
      <c r="B3106">
        <f>Skills!B27</f>
        <v/>
      </c>
      <c r="C3106">
        <f>Inputs!$B$3&gt;=50</f>
        <v/>
      </c>
      <c r="D3106">
        <f>IF(Skills!C27=1,60+Inputs!$B$25+Inputs!$B$29,IF(Skills!C27=2,90+Inputs!$B$26+Inputs!$B$29,IF(Skills!C27=3,120+Inputs!$B$27+Inputs!$B$29,MAX(0,(Inputs!$B$3-100)*3)+Inputs!$B$28+Inputs!$B$29)))</f>
        <v/>
      </c>
      <c r="E3106">
        <f>INDEX(FactorTable!$B$2:$Y$301, MATCH(ROUND(MIN(300,MAX(1,D3106)),0), FactorTable!$A$2:$A$301,0), Skills!M27+1)</f>
        <v/>
      </c>
      <c r="F3106">
        <f>IF(Skills!N27=TRUE,(Skills!L27/10)*(E3106/1000),Skills!L27/10)+Skills!O27</f>
        <v/>
      </c>
      <c r="G3106">
        <f>Skills!G27*IF(Skills!H27&gt;0,IF(Inputs!$B$39="pvp",MIN(Skills!I27,15),Skills!I27)/Skills!H27,1)</f>
        <v/>
      </c>
      <c r="H3106">
        <f>1-(1-Skills!J27/100)^Skills!K27</f>
        <v/>
      </c>
      <c r="I3106" t="inlineStr">
        <is>
          <t>1</t>
        </is>
      </c>
      <c r="J3106" t="inlineStr"/>
      <c r="K3106" t="inlineStr"/>
      <c r="L3106" t="inlineStr"/>
      <c r="M3106" t="inlineStr"/>
      <c r="N3106" t="inlineStr"/>
      <c r="O3106">
        <f>(1-Summary!$B$11)*T3106+Summary!$B$11*V3106</f>
        <v/>
      </c>
      <c r="P3106">
        <f>IF(B3125=0,0,O3106/B3125)</f>
        <v/>
      </c>
      <c r="Q3106" t="n">
        <v>0</v>
      </c>
      <c r="R3106" t="n">
        <v>0</v>
      </c>
      <c r="S3106">
        <f>IFERROR(O3106/N3106,0)</f>
        <v/>
      </c>
      <c r="T3106" t="n">
        <v>0</v>
      </c>
      <c r="V3106" t="n">
        <v>0</v>
      </c>
    </row>
    <row r="3107">
      <c r="A3107">
        <f>Skills!A28</f>
        <v/>
      </c>
      <c r="B3107">
        <f>Skills!B28</f>
        <v/>
      </c>
      <c r="C3107">
        <f>Inputs!$B$3&gt;=38</f>
        <v/>
      </c>
      <c r="D3107">
        <f>IF(Skills!C28=1,60+Inputs!$B$25+Inputs!$B$29,IF(Skills!C28=2,90+Inputs!$B$26+Inputs!$B$29,IF(Skills!C28=3,120+Inputs!$B$27+Inputs!$B$29,MAX(0,(Inputs!$B$3-100)*3)+Inputs!$B$28+Inputs!$B$29)))</f>
        <v/>
      </c>
      <c r="E3107">
        <f>INDEX(FactorTable!$B$2:$Y$301, MATCH(ROUND(MIN(300,MAX(1,D3107)),0), FactorTable!$A$2:$A$301,0), Skills!M28+1)</f>
        <v/>
      </c>
      <c r="F3107">
        <f>IF(Skills!N28=TRUE,(Skills!L28/10)*(E3107/1000),Skills!L28/10)+Skills!O28</f>
        <v/>
      </c>
      <c r="G3107">
        <f>Skills!G28*IF(Skills!H28&gt;0,IF(Inputs!$B$39="pvp",MIN(Skills!I28,15),Skills!I28)/Skills!H28,1)</f>
        <v/>
      </c>
      <c r="H3107">
        <f>1-(1-Skills!J28/100)^Skills!K28</f>
        <v/>
      </c>
      <c r="I3107" t="inlineStr">
        <is>
          <t>1</t>
        </is>
      </c>
      <c r="J3107" t="inlineStr"/>
      <c r="K3107" t="inlineStr"/>
      <c r="L3107" t="inlineStr"/>
      <c r="M3107" t="inlineStr"/>
      <c r="N3107" t="inlineStr"/>
      <c r="O3107">
        <f>(1-Summary!$B$11)*T3107+Summary!$B$11*V3107</f>
        <v/>
      </c>
      <c r="P3107">
        <f>IF(B3125=0,0,O3107/B3125)</f>
        <v/>
      </c>
      <c r="Q3107" t="n">
        <v>0</v>
      </c>
      <c r="R3107" t="n">
        <v>0</v>
      </c>
      <c r="S3107">
        <f>IFERROR(O3107/N3107,0)</f>
        <v/>
      </c>
      <c r="T3107" t="n">
        <v>0</v>
      </c>
      <c r="V3107" t="n">
        <v>0</v>
      </c>
    </row>
    <row r="3108">
      <c r="A3108">
        <f>Skills!A29</f>
        <v/>
      </c>
      <c r="B3108">
        <f>Skills!B29</f>
        <v/>
      </c>
      <c r="C3108">
        <f>Inputs!$B$3&gt;=120</f>
        <v/>
      </c>
      <c r="D3108">
        <f>IF(Skills!C29=1,60+Inputs!$B$25+Inputs!$B$29,IF(Skills!C29=2,90+Inputs!$B$26+Inputs!$B$29,IF(Skills!C29=3,120+Inputs!$B$27+Inputs!$B$29,MAX(0,(Inputs!$B$3-100)*3)+Inputs!$B$28+Inputs!$B$29)))</f>
        <v/>
      </c>
      <c r="E3108">
        <f>INDEX(FactorTable!$B$2:$Y$301, MATCH(ROUND(MIN(300,MAX(1,D3108)),0), FactorTable!$A$2:$A$301,0), Skills!M29+1)</f>
        <v/>
      </c>
      <c r="F3108">
        <f>IF(Skills!N29=TRUE,(Skills!L29/10)*(E3108/1000),Skills!L29/10)+Skills!O29</f>
        <v/>
      </c>
      <c r="G3108">
        <f>Skills!G29*IF(Skills!H29&gt;0,IF(Inputs!$B$39="pvp",MIN(Skills!I29,15),Skills!I29)/Skills!H29,1)</f>
        <v/>
      </c>
      <c r="H3108">
        <f>1-(1-Skills!J29/100)^Skills!K29</f>
        <v/>
      </c>
      <c r="I3108" t="inlineStr">
        <is>
          <t>1</t>
        </is>
      </c>
      <c r="J3108" t="inlineStr"/>
      <c r="K3108" t="inlineStr"/>
      <c r="L3108" t="inlineStr"/>
      <c r="M3108" t="inlineStr"/>
      <c r="N3108" t="inlineStr"/>
      <c r="O3108">
        <f>(1-Summary!$B$11)*T3108+Summary!$B$11*V3108</f>
        <v/>
      </c>
      <c r="P3108">
        <f>IF(B3125=0,0,O3108/B3125)</f>
        <v/>
      </c>
      <c r="Q3108" t="n">
        <v>0</v>
      </c>
      <c r="R3108" t="n">
        <v>0</v>
      </c>
      <c r="S3108">
        <f>IFERROR(O3108/N3108,0)</f>
        <v/>
      </c>
      <c r="T3108" t="n">
        <v>0</v>
      </c>
      <c r="V3108" t="n">
        <v>0</v>
      </c>
    </row>
    <row r="3109">
      <c r="A3109">
        <f>Skills!A30</f>
        <v/>
      </c>
      <c r="B3109">
        <f>Skills!B30</f>
        <v/>
      </c>
      <c r="C3109">
        <f>Inputs!$B$3&gt;=120</f>
        <v/>
      </c>
      <c r="D3109">
        <f>IF(Skills!C30=1,60+Inputs!$B$25+Inputs!$B$29,IF(Skills!C30=2,90+Inputs!$B$26+Inputs!$B$29,IF(Skills!C30=3,120+Inputs!$B$27+Inputs!$B$29,MAX(0,(Inputs!$B$3-100)*3)+Inputs!$B$28+Inputs!$B$29)))</f>
        <v/>
      </c>
      <c r="E3109">
        <f>INDEX(FactorTable!$B$2:$Y$301, MATCH(ROUND(MIN(300,MAX(1,D3109)),0), FactorTable!$A$2:$A$301,0), Skills!M30+1)</f>
        <v/>
      </c>
      <c r="F3109">
        <f>IF(Skills!N30=TRUE,(Skills!L30/10)*(E3109/1000),Skills!L30/10)+Skills!O30</f>
        <v/>
      </c>
      <c r="G3109">
        <f>Skills!G30*IF(Skills!H30&gt;0,IF(Inputs!$B$39="pvp",MIN(Skills!I30,15),Skills!I30)/Skills!H30,1)</f>
        <v/>
      </c>
      <c r="H3109">
        <f>1-(1-Skills!J30/100)^Skills!K30</f>
        <v/>
      </c>
      <c r="I3109" t="inlineStr">
        <is>
          <t>1</t>
        </is>
      </c>
      <c r="J3109" t="inlineStr"/>
      <c r="K3109" t="inlineStr"/>
      <c r="L3109" t="inlineStr"/>
      <c r="M3109" t="inlineStr"/>
      <c r="N3109" t="inlineStr"/>
      <c r="O3109">
        <f>(1-Summary!$B$11)*T3109+Summary!$B$11*V3109</f>
        <v/>
      </c>
      <c r="P3109">
        <f>IF(B3125=0,0,O3109/B3125)</f>
        <v/>
      </c>
      <c r="Q3109" t="n">
        <v>0</v>
      </c>
      <c r="R3109" t="n">
        <v>0</v>
      </c>
      <c r="S3109">
        <f>IFERROR(O3109/N3109,0)</f>
        <v/>
      </c>
      <c r="T3109" t="n">
        <v>0</v>
      </c>
      <c r="V3109" t="n">
        <v>0</v>
      </c>
    </row>
    <row r="3110">
      <c r="A3110">
        <f>Skills!A31</f>
        <v/>
      </c>
      <c r="B3110">
        <f>Skills!B31</f>
        <v/>
      </c>
      <c r="C3110">
        <f>Inputs!$B$3&gt;=125</f>
        <v/>
      </c>
      <c r="D3110">
        <f>IF(Skills!C31=1,60+Inputs!$B$25+Inputs!$B$29,IF(Skills!C31=2,90+Inputs!$B$26+Inputs!$B$29,IF(Skills!C31=3,120+Inputs!$B$27+Inputs!$B$29,MAX(0,(Inputs!$B$3-100)*3)+Inputs!$B$28+Inputs!$B$29)))</f>
        <v/>
      </c>
      <c r="E3110">
        <f>INDEX(FactorTable!$B$2:$Y$301, MATCH(ROUND(MIN(300,MAX(1,D3110)),0), FactorTable!$A$2:$A$301,0), Skills!M31+1)</f>
        <v/>
      </c>
      <c r="F3110">
        <f>IF(Skills!N31=TRUE,(Skills!L31/10)*(E3110/1000),Skills!L31/10)+Skills!O31</f>
        <v/>
      </c>
      <c r="G3110">
        <f>Skills!G31*IF(Skills!H31&gt;0,IF(Inputs!$B$39="pvp",MIN(Skills!I31,15),Skills!I31)/Skills!H31,1)</f>
        <v/>
      </c>
      <c r="H3110">
        <f>1-(1-Skills!J31/100)^Skills!K31</f>
        <v/>
      </c>
      <c r="I3110" t="inlineStr">
        <is>
          <t>1</t>
        </is>
      </c>
      <c r="J3110" t="inlineStr"/>
      <c r="K3110" t="inlineStr"/>
      <c r="L3110" t="inlineStr"/>
      <c r="M3110" t="inlineStr"/>
      <c r="N3110" t="inlineStr"/>
      <c r="O3110">
        <f>(1-Summary!$B$11)*T3110+Summary!$B$11*V3110</f>
        <v/>
      </c>
      <c r="P3110">
        <f>IF(B3125=0,0,O3110/B3125)</f>
        <v/>
      </c>
      <c r="Q3110" t="n">
        <v>0</v>
      </c>
      <c r="R3110" t="n">
        <v>0</v>
      </c>
      <c r="S3110">
        <f>IFERROR(O3110/N3110,0)</f>
        <v/>
      </c>
      <c r="T3110" t="n">
        <v>0</v>
      </c>
      <c r="V3110" t="n">
        <v>0</v>
      </c>
    </row>
    <row r="3112">
      <c r="A3112" t="inlineStr">
        <is>
          <t>Average Buff Multiplier</t>
        </is>
      </c>
      <c r="B3112">
        <f>(1+(((C3101=TRUE)*F3101*IF(AND(Inputs!$B$39&lt;&gt;"pvp",Inputs!$B$44&gt;0),(((R3101-1)*MIN((Skills!Y22*(1+Inputs!$B$34/100)),(1/Q3101))+MIN((Skills!Y22*(1+Inputs!$B$34/100)),MAX(0,Inputs!$B$44-((R3101-1)*(1/Q3101)))))/Inputs!$B$44),IF(Inputs!$B$39="pvp",MIN((Skills!Y22*(1+Inputs!$B$34/100)),15)/15,MIN(1,(Skills!Y22*(1+Inputs!$B$34/100))/(1/Q3101)))))+((C3082=TRUE)*F3082*3)+((C3084=TRUE)*F3084*(1-EXP(-0.75*B3117*5)))+((C3103=TRUE)*(F3103-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3090=TRUE)*F3090*IF(AND(Inputs!$B$39&lt;&gt;"pvp",Inputs!$B$44&gt;0),(((R3090-1)*MIN((Skills!Y11*(1+Inputs!$B$34/100)),(1/Q3090))+MIN((Skills!Y11*(1+Inputs!$B$34/100)),MAX(0,Inputs!$B$44-((R3090-1)*(1/Q3090)))))/Inputs!$B$44),IF(Inputs!$B$39="pvp",MIN((Skills!Y11*(1+Inputs!$B$34/100)),15)/15,MIN(1,(Skills!Y11*(1+Inputs!$B$34/100))/(1/Q3090)))))/100)*(1+((C3095=TRUE)*F3095*IF(AND(Inputs!$B$39&lt;&gt;"pvp",Inputs!$B$44&gt;0),(((R3095-1)*MIN((Skills!Y16*(1+Inputs!$B$34/100)),(1/Q3095))+MIN((Skills!Y16*(1+Inputs!$B$34/100)),MAX(0,Inputs!$B$44-((R3095-1)*(1/Q3095)))))/Inputs!$B$44),IF(Inputs!$B$39="pvp",MIN((Skills!Y16*(1+Inputs!$B$34/100)),15)/15,MIN(1,(Skills!Y16*(1+Inputs!$B$34/100))/(1/Q3095)))))/100)</f>
        <v/>
      </c>
    </row>
    <row r="3113">
      <c r="A3113" t="inlineStr">
        <is>
          <t>Global Crit Rate Bonus %</t>
        </is>
      </c>
      <c r="B3113">
        <f>((C3100=TRUE)*F3100*IF(AND(Inputs!$B$39&lt;&gt;"pvp",Inputs!$B$44&gt;0),(((R3100-1)*MIN((Skills!Y21*(1+Inputs!$B$34/100)),(1/Q3100))+MIN((Skills!Y21*(1+Inputs!$B$34/100)),MAX(0,Inputs!$B$44-((R3100-1)*(1/Q3100)))))/Inputs!$B$44),IF(Inputs!$B$39="pvp",MIN((Skills!Y21*(1+Inputs!$B$34/100)),15)/15,MIN(1,(Skills!Y21*(1+Inputs!$B$34/100))/(1/Q3100)))))</f>
        <v/>
      </c>
    </row>
    <row r="3114">
      <c r="A3114" t="inlineStr">
        <is>
          <t>Global Monster Damage-Taken Bonus %</t>
        </is>
      </c>
      <c r="B3114">
        <f>IF(Inputs!$B$3&gt;=82,15,0)</f>
        <v/>
      </c>
    </row>
    <row r="3115">
      <c r="A3115" t="inlineStr">
        <is>
          <t>Shadow Partner Average Multiplier</t>
        </is>
      </c>
      <c r="B3115">
        <f>1+((C3087=TRUE)*F3087*(1+3.3333333333333335*IF(C3098=TRUE,F3098,0)/100)*I3087*Skills!J8/100)/100</f>
        <v/>
      </c>
    </row>
    <row r="3116">
      <c r="A3116" t="inlineStr">
        <is>
          <t>Attack Speed Buff Bonus %</t>
        </is>
      </c>
      <c r="B3116">
        <f>((C3099=TRUE)*F3099*IF(AND(Inputs!$B$39&lt;&gt;"pvp",Inputs!$B$44&gt;0),(((R3099-1)*MIN((Skills!Y20*(1+Inputs!$B$34/100)),(1/Q3099))+MIN((Skills!Y20*(1+Inputs!$B$34/100)),MAX(0,Inputs!$B$44-((R3099-1)*(1/Q3099)))))/Inputs!$B$44),IF(Inputs!$B$39="pvp",MIN((Skills!Y20*(1+Inputs!$B$34/100)),15)/15,MIN(1,(Skills!Y20*(1+Inputs!$B$34/100))/(1/Q3099)))))</f>
        <v/>
      </c>
    </row>
    <row r="3117">
      <c r="A3117" t="inlineStr">
        <is>
          <t>Actions Per Second</t>
        </is>
      </c>
      <c r="B3117">
        <f>1+MIN(150,150*(1-(1-(Inputs!$B$11+((C3102=TRUE)*(F3102-Calc!F23)))/150)*(1-B3116/150)))/100</f>
        <v/>
      </c>
    </row>
    <row r="3118">
      <c r="A3118" t="inlineStr">
        <is>
          <t>Skill + Buff Cast Rate</t>
        </is>
      </c>
      <c r="B3118">
        <f>IF(AND(Inputs!$B$39&lt;&gt;"pvp",Inputs!$B$44&gt;0),SUMPRODUCT((Skills!E2:E31=TRUE)*(C3081:C3110=TRUE)*R3081:R3110*Skills!F2:F31)/Inputs!$B$44,SUMPRODUCT((Skills!E2:E31=TRUE)*(C3081:C3110=TRUE)*Q3081:Q3110*Skills!F2:F31))</f>
        <v/>
      </c>
    </row>
    <row r="3119">
      <c r="A3119" t="inlineStr">
        <is>
          <t>Cruel Stab Casts Per Second</t>
        </is>
      </c>
      <c r="B3119">
        <f>MAX(0,B3117-B3118)</f>
        <v/>
      </c>
    </row>
    <row r="3120">
      <c r="A3120" t="inlineStr">
        <is>
          <t>Global Critical Damage Bonus % (Smokescreen Mastery Lv.113)</t>
        </is>
      </c>
      <c r="B3120">
        <f>IF(Inputs!$B$3&gt;=113,30,0)*IF(AND(Inputs!$B$39&lt;&gt;"pvp",Inputs!$B$44&gt;0),(((R3095-1)*MIN((Skills!Y16*(1+Inputs!$B$34/100)),(1/Q3095))+MIN((Skills!Y16*(1+Inputs!$B$34/100)),MAX(0,Inputs!$B$44-((R3095-1)*(1/Q3095)))))/Inputs!$B$44),IF(Inputs!$B$39="pvp",MIN((Skills!Y16*(1+Inputs!$B$34/100)),15)/15,MIN(1,(Skills!Y16*(1+Inputs!$B$34/100))/(1/Q3095))))</f>
        <v/>
      </c>
    </row>
    <row r="3121">
      <c r="A3121" t="inlineStr">
        <is>
          <t>Meso Explosion average stack count</t>
        </is>
      </c>
      <c r="B3121">
        <f>MIN(10,IF(Inputs!$B$3&gt;=75,0.75,0.5)*B3117*(1/Q3083))</f>
        <v/>
      </c>
    </row>
    <row r="3122">
      <c r="A3122" t="inlineStr">
        <is>
          <t>Blood Money average stack count</t>
        </is>
      </c>
      <c r="B3122">
        <f>MIN(5,0.5*IF(Inputs!$B$3&gt;=75,0.75,0.5)*B3117*(1/Q3083))</f>
        <v/>
      </c>
    </row>
    <row r="3123">
      <c r="A3123" t="inlineStr">
        <is>
          <t>Assassinate Murderous Intent Multiplier</t>
        </is>
      </c>
      <c r="B3123">
        <f>1+IFERROR(MIN(1,Q3094*2/Q3091),0)</f>
        <v/>
      </c>
    </row>
    <row r="3124">
      <c r="A3124" t="inlineStr">
        <is>
          <t>Buff-Casting Startup Delay (s, fixed-duration only)</t>
        </is>
      </c>
      <c r="B3124">
        <f>IF(AND(Inputs!$B$39&lt;&gt;"pvp",Inputs!$B$44&gt;0),SUMPRODUCT((Skills!Y2:Y31&gt;0)*(Skills!E2:E31=TRUE)*(C3081:C3110=TRUE))/B3117,0)</f>
        <v/>
      </c>
    </row>
    <row r="3125">
      <c r="A3125" s="6" t="inlineStr">
        <is>
          <t>TOTAL DPS</t>
        </is>
      </c>
      <c r="B3125" s="6">
        <f>SUM(O3081:O3110)</f>
        <v/>
      </c>
    </row>
    <row r="3126">
      <c r="A3126" t="inlineStr">
        <is>
          <t>Boss-Only Total DPS (this block's swept value)</t>
        </is>
      </c>
      <c r="B3126">
        <f>SUM(T3081:T3110)</f>
        <v/>
      </c>
    </row>
    <row r="3127">
      <c r="A3127" t="inlineStr">
        <is>
          <t>Normal-Only Total DPS (this block's swept value)</t>
        </is>
      </c>
      <c r="B3127">
        <f>SUM(V3081:V3110)</f>
        <v/>
      </c>
    </row>
    <row r="3130">
      <c r="A3130" s="6" t="inlineStr">
        <is>
          <t>Stat: Reindeer's Spear (Equip)</t>
        </is>
      </c>
    </row>
    <row r="3131">
      <c r="A3131" s="5" t="inlineStr">
        <is>
          <t>Key</t>
        </is>
      </c>
      <c r="B3131" s="5" t="inlineStr">
        <is>
          <t>Name</t>
        </is>
      </c>
      <c r="C3131" s="5" t="inlineStr">
        <is>
          <t>Unlocked</t>
        </is>
      </c>
      <c r="D3131" s="5" t="inlineStr">
        <is>
          <t>InputLevel</t>
        </is>
      </c>
      <c r="E3131" s="5" t="inlineStr">
        <is>
          <t>Factor</t>
        </is>
      </c>
      <c r="F3131" s="5" t="inlineStr">
        <is>
          <t>CoefficientPercent</t>
        </is>
      </c>
      <c r="G3131" s="5" t="inlineStr">
        <is>
          <t>EffectiveHits</t>
        </is>
      </c>
      <c r="H3131" s="5" t="inlineStr">
        <is>
          <t>ProcProbability</t>
        </is>
      </c>
      <c r="I3131" s="5" t="inlineStr">
        <is>
          <t>MapleHeroMultiplier</t>
        </is>
      </c>
      <c r="J3131" s="5" t="inlineStr">
        <is>
          <t>BaseDamage</t>
        </is>
      </c>
      <c r="K3131" s="5" t="inlineStr">
        <is>
          <t>BaseHitDamage</t>
        </is>
      </c>
      <c r="L3131" s="5" t="inlineStr">
        <is>
          <t>NonCritAvg</t>
        </is>
      </c>
      <c r="M3131" s="5" t="inlineStr">
        <is>
          <t>CritAvg</t>
        </is>
      </c>
      <c r="N3131" s="5" t="inlineStr">
        <is>
          <t>ExpectedDamage(perHit)</t>
        </is>
      </c>
      <c r="O3131" s="5" t="inlineStr">
        <is>
          <t>DPS</t>
        </is>
      </c>
      <c r="P3131" s="5" t="inlineStr">
        <is>
          <t>% of Total</t>
        </is>
      </c>
      <c r="Q3131" s="5" t="inlineStr">
        <is>
          <t>InvCooldown</t>
        </is>
      </c>
      <c r="R3131" s="5" t="inlineStr">
        <is>
          <t>CastsInFight</t>
        </is>
      </c>
      <c r="S3131" s="5" t="inlineStr">
        <is>
          <t>HitRate(perSec)</t>
        </is>
      </c>
      <c r="U3131" t="inlineStr">
        <is>
          <t>helpers</t>
        </is>
      </c>
    </row>
    <row r="3132">
      <c r="A3132">
        <f>Skills!A2</f>
        <v/>
      </c>
      <c r="B3132">
        <f>Skills!B2</f>
        <v/>
      </c>
      <c r="C3132">
        <f>Inputs!$B$3&gt;=100</f>
        <v/>
      </c>
      <c r="D3132" t="inlineStr"/>
      <c r="E3132" t="inlineStr"/>
      <c r="F3132">
        <f>U3134+Skills!O2</f>
        <v/>
      </c>
      <c r="G3132">
        <f>Skills!G2*IF(Skills!H2&gt;0,IF(Inputs!$B$39="pvp",MIN(Skills!I2,15),Skills!I2)/Skills!H2,1)</f>
        <v/>
      </c>
      <c r="H3132">
        <f>1-(1-Skills!J2/100)^Skills!K2</f>
        <v/>
      </c>
      <c r="I3132" t="inlineStr">
        <is>
          <t>1</t>
        </is>
      </c>
      <c r="J3132">
        <f>((Inputs!$B$6*(1+Inputs!$B$7/100))+(((Inputs!$B$12*(1+Inputs!$B$13/100))-(Inputs!$B$12*(1+Inputs!$B$13/100)))+0.25*(Inputs!$B$14-Inputs!$B$14))*(1+Inputs!$B$7/100))*(F3132/100)</f>
        <v/>
      </c>
      <c r="K3132">
        <f>J3132*(1+((Inputs!$B$12*(1+Inputs!$B$13/100))*0.01+Inputs!$B$14*0.0025)/100)*(1+Inputs!$B$15/100)*(1+Inputs!$B$16/100)*(5000/(6000+Inputs!$B$43*(1-(100*(1-(1-Inputs!$B$19/100)*(1-CHOOSE(ArtifactsInput!$N$40+1,5,6,7,8,9,10)/100)^(IF(ArtifactsInput!$M$40,FALSE,TRUE)-ArtifactsInput!$M$40)))/100)))*(1+(Inputs!$B$24+((C3161=TRUE)*(F3161-Calc!F31))+((C3148=TRUE)*(F3148-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CRUEL_STAB",Inputs!$B$17+((C3158=TRUE)*(F3158-Calc!F28))+((IF(AND(Inputs!$B$39&lt;&gt;"pvp",Inputs!$B$44=0),1,IF(IF(Inputs!$B$39="pvp",15,Inputs!$B$44)-(B3175)&lt;=0,1,MAX(0,IF(Inputs!$B$39="pvp",15,Inputs!$B$44)-MAX(5,B3175))/(IF(Inputs!$B$39="pvp",15,Inputs!$B$44)-(B3175))))*(IF(AND(ArtifactsInput!$M$42,((Inputs!$B$9+((C3156=TRUE)*(F3156-Calc!F26))+B3164+(ArtifactsInput!$M$24-ArtifactsInput!$M$24)*CHOOSE(ArtifactsInput!$N$24+1,10,12,14,16,18,20)+IF(ArtifactsInput!$M$10,CHOOSE(ArtifactsInput!$N$10+1,15,18,21,24,27,30)*(IF(Inputs!$B$39="pvp",MIN(15,15)/15,IF(AND(Inputs!$B$39&lt;&gt;"pvp",Inputs!$B$44&gt;0),MIN(15,Inputs!$B$44)/(Inputs!$B$44),0))),0)))&gt;=100),MIN(100,((Inputs!$B$9+((C3156=TRUE)*(F3156-Calc!F26))+B3164+(ArtifactsInput!$M$24-ArtifactsInput!$M$24)*CHOOSE(ArtifactsInput!$N$24+1,10,12,14,16,18,20)+IF(ArtifactsInput!$M$10,CHOOSE(ArtifactsInput!$N$10+1,15,18,21,24,27,30)*(IF(Inputs!$B$39="pvp",MIN(15,15)/15,IF(AND(Inputs!$B$39&lt;&gt;"pvp",Inputs!$B$44&gt;0),MIN(15,Inputs!$B$44)/(Inputs!$B$44),0))),0)))-100),0))*CHOOSE(ArtifactsInput!$N$42+1,0.6,0.72,0.84,0.96,1.08,1.2))),Inputs!$B$18+((C3159=TRUE)*(F3159-Calc!F29))+(IF(AND(Inputs!$B$39&lt;&gt;"pvp",Inputs!$B$44=0),1,IF(IF(Inputs!$B$39="pvp",15,Inputs!$B$44)-(B3175)&lt;=0,1,MAX(0,IF(Inputs!$B$39="pvp",15,Inputs!$B$44)-MAX(5,B3175))/(IF(Inputs!$B$39="pvp",15,Inputs!$B$44)-(B3175))))*IF(AND(ArtifactsInput!$M$42,((Inputs!$B$9+((C3156=TRUE)*(F3156-Calc!F26))+B3164+(ArtifactsInput!$M$24-ArtifactsInput!$M$24)*CHOOSE(ArtifactsInput!$N$24+1,10,12,14,16,18,20)+IF(ArtifactsInput!$M$10,CHOOSE(ArtifactsInput!$N$10+1,15,18,21,24,27,30)*(IF(Inputs!$B$39="pvp",MIN(15,15)/15,IF(AND(Inputs!$B$39&lt;&gt;"pvp",Inputs!$B$44&gt;0),MIN(15,Inputs!$B$44)/(Inputs!$B$44),0))),0)))&gt;=100),CHOOSE(ArtifactsInput!$N$42+1,40,48,56,64,72,80),0))))/100)*(((1+(((C3152=TRUE)*F3152*IF(AND(Inputs!$B$39&lt;&gt;"pvp",Inputs!$B$44&gt;0),(((R3152-1)*MIN((Skills!Y22*(1+Inputs!$B$34/100)),(1/Q3152))+MIN((Skills!Y22*(1+Inputs!$B$34/100)),MAX(0,Inputs!$B$44-((R3152-1)*(1/Q3152)))))/Inputs!$B$44),IF(Inputs!$B$39="pvp",MIN((Skills!Y22*(1+Inputs!$B$34/100)),15)/15,MIN(1,(Skills!Y22*(1+Inputs!$B$34/100))/(1/Q3152)))))+((C3133=TRUE)*F3133*3)+((C3135=TRUE)*F3135*(1-EXP(-0.75*B3168*5)))+((C3154=TRUE)*(F3154-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IF(ArtifactsInput!$M$40,FALSE,TRUE),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3141=TRUE)*F3141*IF(AND(Inputs!$B$39&lt;&gt;"pvp",Inputs!$B$44&gt;0),(((R3141-1)*MIN((Skills!Y11*(1+Inputs!$B$34/100)),(1/Q3141))+MIN((Skills!Y11*(1+Inputs!$B$34/100)),MAX(0,Inputs!$B$44-((R3141-1)*(1/Q3141)))))/Inputs!$B$44),IF(Inputs!$B$39="pvp",MIN((Skills!Y11*(1+Inputs!$B$34/100)),15)/15,MIN(1,(Skills!Y11*(1+Inputs!$B$34/100))/(1/Q3141)))))/100)*(1+((C3146=TRUE)*F3146*IF(AND(Inputs!$B$39&lt;&gt;"pvp",Inputs!$B$44&gt;0),(((R3146-1)*MIN((Skills!Y16*(1+Inputs!$B$34/100)),(1/Q3146))+MIN((Skills!Y16*(1+Inputs!$B$34/100)),MAX(0,Inputs!$B$44-((R3146-1)*(1/Q3146)))))/Inputs!$B$44),IF(Inputs!$B$39="pvp",MIN((Skills!Y16*(1+Inputs!$B$34/100)),15)/15,MIN(1,(Skills!Y16*(1+Inputs!$B$34/100))/(1/Q3146)))))/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3166*I3132)</f>
        <v/>
      </c>
      <c r="L3132">
        <f>K3132*(MIN(Inputs!$B$22+((C3155=TRUE)*(F3155-Calc!F25)),(Inputs!$B$23+((C3160=TRUE)*(F3160-Calc!F30))+IF(ArtifactsInput!$M$15,CHOOSE(ArtifactsInput!$N$15+1,25,30,35,40,45,50)/100*(Inputs!$B$11-Inputs!$B$11),0)))/100+(Inputs!$B$23+((C3160=TRUE)*(F3160-Calc!F30))+IF(ArtifactsInput!$M$15,CHOOSE(ArtifactsInput!$N$15+1,25,30,35,40,45,50)/100*(Inputs!$B$11-Inputs!$B$11),0))/100)/2</f>
        <v/>
      </c>
      <c r="M3132">
        <f>L3132*(1+(Inputs!$B$10+((C3157=TRUE)*(F3157-Calc!F27))+B3171+(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3132">
        <f>L3132*(1-MIN((Inputs!$B$9+((C3156=TRUE)*(F3156-Calc!F26))+B3164+(ArtifactsInput!$M$24-ArtifactsInput!$M$24)*CHOOSE(ArtifactsInput!$N$24+1,10,12,14,16,18,20)+(IF(AND(Inputs!$B$39&lt;&gt;"pvp",Inputs!$B$44=0),1,IF(IF(Inputs!$B$39="pvp",15,Inputs!$B$44)-(B3175)&lt;=0,1,MAX(0,IF(Inputs!$B$39="pvp",15,Inputs!$B$44)-MAX(5,B3175))/(IF(Inputs!$B$39="pvp",15,Inputs!$B$44)-(B3175))))*IF(AND(ArtifactsInput!$M$42,((Inputs!$B$9+((C3156=TRUE)*(F3156-Calc!F26))+B3164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3132*(MIN((Inputs!$B$9+((C3156=TRUE)*(F3156-Calc!F26))+B3164+(ArtifactsInput!$M$24-ArtifactsInput!$M$24)*CHOOSE(ArtifactsInput!$N$24+1,10,12,14,16,18,20)+(IF(AND(Inputs!$B$39&lt;&gt;"pvp",Inputs!$B$44=0),1,IF(IF(Inputs!$B$39="pvp",15,Inputs!$B$44)-(B3175)&lt;=0,1,MAX(0,IF(Inputs!$B$39="pvp",15,Inputs!$B$44)-MAX(5,B3175))/(IF(Inputs!$B$39="pvp",15,Inputs!$B$44)-(B3175))))*IF(AND(ArtifactsInput!$M$42,((Inputs!$B$9+((C3156=TRUE)*(F3156-Calc!F26))+B3164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3132">
        <f>(1-Summary!$B$11)*T3132+Summary!$B$11*V3132</f>
        <v/>
      </c>
      <c r="P3132">
        <f>IF(B3176=0,0,O3132/B3176)</f>
        <v/>
      </c>
      <c r="Q3132" t="n">
        <v>0</v>
      </c>
      <c r="R3132" t="n">
        <v>0</v>
      </c>
      <c r="S3132">
        <f>IFERROR(O3132/N3132,0)</f>
        <v/>
      </c>
      <c r="T3132">
        <f>IF(C3132,(Skills!G2*N3132*B3170)*IF(Inputs!$B$39="pvp",1,1+(Inputs!$B$20+0+Skills!P2+B3165+(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Hunt"),CHOOSE(ArtifactsInput!$N$35+1,15,18,21,24,27,30)*(1-EXP(-(0.2*B3168)*5)),0)+IF(AND(ArtifactsInput!$M$22,Inputs!$B$4&lt;&gt;"Chapter Hunt"),CHOOSE(ArtifactsInput!$N$22+1,10,12,14,16,18,20)*((0*(((0.15*B3168*5))^0/1)+1*(((0.15*B3168*5))^1/1)+2*(((0.15*B3168*5))^2/2)+3*(((0.15*B3168*5))^3/6)+4*(((0.15*B3168*5))^4/24)+5*(((0.15*B3168*5))^5/120))/((((0.15*B3168*5))^0/1)+(((0.15*B3168*5))^1/1)+(((0.15*B3168*5))^2/2)+(((0.15*B3168*5))^3/6)+(((0.15*B3168*5))^4/24)+(((0.15*B3168*5))^5/120))),0)))/100)*((((5000/(6000+Inputs!$B$43*(1-(100*(1-(1-(100*(1-(1-Inputs!$B$19/100)*(1-CHOOSE(ArtifactsInput!$N$40+1,5,6,7,8,9,10)/100)^(IF(ArtifactsInput!$M$40,FALSE,TRUE)-ArtifactsInput!$M$40)))/100)*(1-IF(IF(ArtifactsInput!$M$40,FALSE,TRUE),CHOOSE(ArtifactsInput!$N$40+1,5,6,7,8,9,10),0)/100)^IF(Inputs!$B$39="pvp",1,2)))/100)))/(5000/(6000+Inputs!$B$43*(1-(100*(1-(1-Inputs!$B$19/100)*(1-CHOOSE(ArtifactsInput!$N$40+1,5,6,7,8,9,10)/100)^(IF(ArtifactsInput!$M$40,FALSE,TRUE)-ArtifactsInput!$M$40)))/100))))*((L3132*(1-MIN(100,(Inputs!$B$9+((C3156=TRUE)*(F3156-Calc!F26))+B3164+(ArtifactsInput!$M$24-ArtifactsInput!$M$24)*CHOOSE(ArtifactsInput!$N$24+1,10,12,14,16,18,20)+(IF(AND(Inputs!$B$39&lt;&gt;"pvp",Inputs!$B$44=0),1,IF(IF(Inputs!$B$39="pvp",15,Inputs!$B$44)-(B3175)&lt;=0,1,MAX(0,IF(Inputs!$B$39="pvp",15,Inputs!$B$44)-MAX(5,B3175))/(IF(Inputs!$B$39="pvp",15,Inputs!$B$44)-(B3175))))*IF(AND(ArtifactsInput!$M$42,((Inputs!$B$9+((C3156=TRUE)*(F3156-Calc!F26))+B3164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3132*(MIN(100,(Inputs!$B$9+((C3156=TRUE)*(F3156-Calc!F26))+B3164+(ArtifactsInput!$M$24-ArtifactsInput!$M$24)*CHOOSE(ArtifactsInput!$N$24+1,10,12,14,16,18,20)+(IF(AND(Inputs!$B$39&lt;&gt;"pvp",Inputs!$B$44=0),1,IF(IF(Inputs!$B$39="pvp",15,Inputs!$B$44)-(B3175)&lt;=0,1,MAX(0,IF(Inputs!$B$39="pvp",15,Inputs!$B$44)-MAX(5,B3175))/(IF(Inputs!$B$39="pvp",15,Inputs!$B$44)-(B3175))))*IF(AND(ArtifactsInput!$M$42,((Inputs!$B$9+((C3156=TRUE)*(F3156-Calc!F26))+B3164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3132*(1-MIN(100,(Inputs!$B$9+((C3156=TRUE)*(F3156-Calc!F26))+B3164+(ArtifactsInput!$M$24-ArtifactsInput!$M$24)*CHOOSE(ArtifactsInput!$N$24+1,10,12,14,16,18,20)+(IF(AND(Inputs!$B$39&lt;&gt;"pvp",Inputs!$B$44=0),1,IF(IF(Inputs!$B$39="pvp",15,Inputs!$B$44)-(B3175)&lt;=0,1,MAX(0,IF(Inputs!$B$39="pvp",15,Inputs!$B$44)-MAX(5,B3175))/(IF(Inputs!$B$39="pvp",15,Inputs!$B$44)-(B3175))))*IF(AND(ArtifactsInput!$M$42,((Inputs!$B$9+((C3156=TRUE)*(F3156-Calc!F26))+B3164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3132*(MIN(100,(Inputs!$B$9+((C3156=TRUE)*(F3156-Calc!F26))+B3164+(ArtifactsInput!$M$24-ArtifactsInput!$M$24)*CHOOSE(ArtifactsInput!$N$24+1,10,12,14,16,18,20)+(IF(AND(Inputs!$B$39&lt;&gt;"pvp",Inputs!$B$44=0),1,IF(IF(Inputs!$B$39="pvp",15,Inputs!$B$44)-(B3175)&lt;=0,1,MAX(0,IF(Inputs!$B$39="pvp",15,Inputs!$B$44)-MAX(5,B3175))/(IF(Inputs!$B$39="pvp",15,Inputs!$B$44)-(B3175))))*IF(AND(ArtifactsInput!$M$42,((Inputs!$B$9+((C3156=TRUE)*(F3156-Calc!F26))+B3164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3132">
        <f>MAX(0,(Inputs!$B$3-100)*3)+Inputs!$B$28+Inputs!$B$29</f>
        <v/>
      </c>
      <c r="V3132">
        <f>IF(C3132,(Skills!G2*N3132*B3170)*IF(Inputs!$B$39="pvp",1,(1+(Inputs!$B$21+Skills!Q2+B3165+(IF(ArtifactsInput!$M$33,CHOOSE(ArtifactsInput!$N$33+1,30,36,42,48,54,60),0))+(IF(AND(ArtifactsInput!$M$35,Inputs!$B$4&lt;&gt;"Chapter Hunt"),CHOOSE(ArtifactsInput!$N$35+1,15,18,21,24,27,30)*(1-EXP(-(0.2*B3168)*5)),0)+IF(AND(ArtifactsInput!$M$22,Inputs!$B$4&lt;&gt;"Chapter Hunt"),CHOOSE(ArtifactsInput!$N$22+1,10,12,14,16,18,20)*((0*(((0.15*B3168*5))^0/1)+1*(((0.15*B3168*5))^1/1)+2*(((0.15*B3168*5))^2/2)+3*(((0.15*B3168*5))^3/6)+4*(((0.15*B3168*5))^4/24)+5*(((0.15*B3168*5))^5/120))/((((0.15*B3168*5))^0/1)+(((0.15*B3168*5))^1/1)+(((0.15*B3168*5))^2/2)+(((0.15*B3168*5))^3/6)+(((0.15*B3168*5))^4/24)+(((0.15*B3168*5))^5/120))),0)))/100)*(MIN((6+Inputs!$B$33),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3133">
      <c r="A3133">
        <f>Skills!A3</f>
        <v/>
      </c>
      <c r="B3133">
        <f>Skills!B3</f>
        <v/>
      </c>
      <c r="C3133">
        <f>Inputs!$B$3&gt;=35</f>
        <v/>
      </c>
      <c r="D3133">
        <f>IF(Skills!C3=1,60+Inputs!$B$25+Inputs!$B$29,IF(Skills!C3=2,90+Inputs!$B$26+Inputs!$B$29,IF(Skills!C3=3,120+Inputs!$B$27+Inputs!$B$29,MAX(0,(Inputs!$B$3-100)*3)+Inputs!$B$28+Inputs!$B$29)))</f>
        <v/>
      </c>
      <c r="E3133">
        <f>INDEX(FactorTable!$B$2:$Y$301, MATCH(ROUND(MIN(300,MAX(1,D3133)),0), FactorTable!$A$2:$A$301,0), Skills!M3+1)</f>
        <v/>
      </c>
      <c r="F3133">
        <f>IF(Skills!N3=TRUE,(Skills!L3/10)*(E3133/1000),Skills!L3/10)+Skills!O3</f>
        <v/>
      </c>
      <c r="G3133">
        <f>Skills!G3*IF(Skills!H3&gt;0,IF(Inputs!$B$39="pvp",MIN(Skills!I3,15),Skills!I3)/Skills!H3,1)</f>
        <v/>
      </c>
      <c r="H3133">
        <f>1-(1-Skills!J3/100)^Skills!K3</f>
        <v/>
      </c>
      <c r="I3133" t="inlineStr">
        <is>
          <t>1</t>
        </is>
      </c>
      <c r="J3133" t="inlineStr"/>
      <c r="K3133" t="inlineStr"/>
      <c r="L3133" t="inlineStr"/>
      <c r="M3133" t="inlineStr"/>
      <c r="N3133" t="inlineStr"/>
      <c r="O3133">
        <f>(1-Summary!$B$11)*T3133+Summary!$B$11*V3133</f>
        <v/>
      </c>
      <c r="P3133">
        <f>IF(B3176=0,0,O3133/B3176)</f>
        <v/>
      </c>
      <c r="Q3133" t="n">
        <v>0</v>
      </c>
      <c r="R3133" t="n">
        <v>0</v>
      </c>
      <c r="S3133">
        <f>IFERROR(O3133/N3133,0)</f>
        <v/>
      </c>
      <c r="T3133" t="n">
        <v>0</v>
      </c>
      <c r="U3133">
        <f>INDEX(FactorTable!$B$2:$Y$301, MATCH(ROUND(MIN(300,MAX(1,U3132)),0), FactorTable!$A$2:$A$301,0), 22)</f>
        <v/>
      </c>
      <c r="V3133" t="n">
        <v>0</v>
      </c>
    </row>
    <row r="3134">
      <c r="A3134">
        <f>Skills!A4</f>
        <v/>
      </c>
      <c r="B3134">
        <f>Skills!B4</f>
        <v/>
      </c>
      <c r="C3134">
        <f>Inputs!$B$3&gt;=66</f>
        <v/>
      </c>
      <c r="D3134">
        <f>IF(Skills!C4=1,60+Inputs!$B$25+Inputs!$B$29,IF(Skills!C4=2,90+Inputs!$B$26+Inputs!$B$29,IF(Skills!C4=3,120+Inputs!$B$27+Inputs!$B$29,MAX(0,(Inputs!$B$3-100)*3)+Inputs!$B$28+Inputs!$B$29)))</f>
        <v/>
      </c>
      <c r="E3134">
        <f>INDEX(FactorTable!$B$2:$Y$301, MATCH(ROUND(MIN(300,MAX(1,D3134)),0), FactorTable!$A$2:$A$301,0), Skills!M4+1)</f>
        <v/>
      </c>
      <c r="F3134">
        <f>IF(Skills!N4=TRUE,(Skills!L4/10)*(E3134/1000),Skills!L4/10)+Skills!O4</f>
        <v/>
      </c>
      <c r="G3134">
        <f>Skills!G4*IF(Skills!H4&gt;0,IF(Inputs!$B$39="pvp",MIN(Skills!I4,15),Skills!I4)/Skills!H4,1)</f>
        <v/>
      </c>
      <c r="H3134">
        <f>1-(1-Skills!J4/100)^Skills!K4</f>
        <v/>
      </c>
      <c r="I3134" t="inlineStr">
        <is>
          <t>1</t>
        </is>
      </c>
      <c r="J3134">
        <f>((Inputs!$B$6*(1+Inputs!$B$7/100))+(((Inputs!$B$12*(1+Inputs!$B$13/100))-(Inputs!$B$12*(1+Inputs!$B$13/100)))+0.25*(Inputs!$B$14-Inputs!$B$14))*(1+Inputs!$B$7/100))*(F3134/100)</f>
        <v/>
      </c>
      <c r="K3134">
        <f>J3134*(1+((Inputs!$B$12*(1+Inputs!$B$13/100))*0.01+Inputs!$B$14*0.0025)/100)*(1+Inputs!$B$15/100)*(1+Inputs!$B$16/100)*(5000/(6000+Inputs!$B$43*(1-(100*(1-(1-Inputs!$B$19/100)*(1-CHOOSE(ArtifactsInput!$N$40+1,5,6,7,8,9,10)/100)^(IF(ArtifactsInput!$M$40,FALSE,TRUE)-ArtifactsInput!$M$40)))/100)))*(1+(Inputs!$B$24+((C3161=TRUE)*(F3161-Calc!F31))+((C3148=TRUE)*(F3148-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4="CRUEL_STAB",Inputs!$B$17+((C3158=TRUE)*(F3158-Calc!F28))+((IF(AND(Inputs!$B$39&lt;&gt;"pvp",Inputs!$B$44=0),1,IF(IF(Inputs!$B$39="pvp",15,Inputs!$B$44)-(B3175)&lt;=0,1,MAX(0,IF(Inputs!$B$39="pvp",15,Inputs!$B$44)-MAX(5,B3175))/(IF(Inputs!$B$39="pvp",15,Inputs!$B$44)-(B3175))))*(IF(AND(ArtifactsInput!$M$42,((Inputs!$B$9+((C3156=TRUE)*(F3156-Calc!F26))+B3164+(ArtifactsInput!$M$24-ArtifactsInput!$M$24)*CHOOSE(ArtifactsInput!$N$24+1,10,12,14,16,18,20)+IF(ArtifactsInput!$M$10,CHOOSE(ArtifactsInput!$N$10+1,15,18,21,24,27,30)*(IF(Inputs!$B$39="pvp",MIN(15,15)/15,IF(AND(Inputs!$B$39&lt;&gt;"pvp",Inputs!$B$44&gt;0),MIN(15,Inputs!$B$44)/(Inputs!$B$44),0))),0)))&gt;=100),MIN(100,((Inputs!$B$9+((C3156=TRUE)*(F3156-Calc!F26))+B3164+(ArtifactsInput!$M$24-ArtifactsInput!$M$24)*CHOOSE(ArtifactsInput!$N$24+1,10,12,14,16,18,20)+IF(ArtifactsInput!$M$10,CHOOSE(ArtifactsInput!$N$10+1,15,18,21,24,27,30)*(IF(Inputs!$B$39="pvp",MIN(15,15)/15,IF(AND(Inputs!$B$39&lt;&gt;"pvp",Inputs!$B$44&gt;0),MIN(15,Inputs!$B$44)/(Inputs!$B$44),0))),0)))-100),0))*CHOOSE(ArtifactsInput!$N$42+1,0.6,0.72,0.84,0.96,1.08,1.2))),Inputs!$B$18+((C3159=TRUE)*(F3159-Calc!F29))+(IF(AND(Inputs!$B$39&lt;&gt;"pvp",Inputs!$B$44=0),1,IF(IF(Inputs!$B$39="pvp",15,Inputs!$B$44)-(B3175)&lt;=0,1,MAX(0,IF(Inputs!$B$39="pvp",15,Inputs!$B$44)-MAX(5,B3175))/(IF(Inputs!$B$39="pvp",15,Inputs!$B$44)-(B3175))))*IF(AND(ArtifactsInput!$M$42,((Inputs!$B$9+((C3156=TRUE)*(F3156-Calc!F26))+B3164+(ArtifactsInput!$M$24-ArtifactsInput!$M$24)*CHOOSE(ArtifactsInput!$N$24+1,10,12,14,16,18,20)+IF(ArtifactsInput!$M$10,CHOOSE(ArtifactsInput!$N$10+1,15,18,21,24,27,30)*(IF(Inputs!$B$39="pvp",MIN(15,15)/15,IF(AND(Inputs!$B$39&lt;&gt;"pvp",Inputs!$B$44&gt;0),MIN(15,Inputs!$B$44)/(Inputs!$B$44),0))),0)))&gt;=100),CHOOSE(ArtifactsInput!$N$42+1,40,48,56,64,72,80),0))))/100)*(((1+(((C3152=TRUE)*F3152*IF(AND(Inputs!$B$39&lt;&gt;"pvp",Inputs!$B$44&gt;0),(((R3152-1)*MIN((Skills!Y22*(1+Inputs!$B$34/100)),(1/Q3152))+MIN((Skills!Y22*(1+Inputs!$B$34/100)),MAX(0,Inputs!$B$44-((R3152-1)*(1/Q3152)))))/Inputs!$B$44),IF(Inputs!$B$39="pvp",MIN((Skills!Y22*(1+Inputs!$B$34/100)),15)/15,MIN(1,(Skills!Y22*(1+Inputs!$B$34/100))/(1/Q3152)))))+((C3133=TRUE)*F3133*3)+((C3135=TRUE)*F3135*(1-EXP(-0.75*B3168*5)))+((C3154=TRUE)*(F3154-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IF(ArtifactsInput!$M$40,FALSE,TRUE),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3141=TRUE)*F3141*IF(AND(Inputs!$B$39&lt;&gt;"pvp",Inputs!$B$44&gt;0),(((R3141-1)*MIN((Skills!Y11*(1+Inputs!$B$34/100)),(1/Q3141))+MIN((Skills!Y11*(1+Inputs!$B$34/100)),MAX(0,Inputs!$B$44-((R3141-1)*(1/Q3141)))))/Inputs!$B$44),IF(Inputs!$B$39="pvp",MIN((Skills!Y11*(1+Inputs!$B$34/100)),15)/15,MIN(1,(Skills!Y11*(1+Inputs!$B$34/100))/(1/Q3141)))))/100)*(1+((C3146=TRUE)*F3146*IF(AND(Inputs!$B$39&lt;&gt;"pvp",Inputs!$B$44&gt;0),(((R3146-1)*MIN((Skills!Y16*(1+Inputs!$B$34/100)),(1/Q3146))+MIN((Skills!Y16*(1+Inputs!$B$34/100)),MAX(0,Inputs!$B$44-((R3146-1)*(1/Q3146)))))/Inputs!$B$44),IF(Inputs!$B$39="pvp",MIN((Skills!Y16*(1+Inputs!$B$34/100)),15)/15,MIN(1,(Skills!Y16*(1+Inputs!$B$34/100))/(1/Q3146)))))/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3166*I3134)</f>
        <v/>
      </c>
      <c r="L3134">
        <f>K3134*(MIN(Inputs!$B$22+((C3155=TRUE)*(F3155-Calc!F25)),(Inputs!$B$23+((C3160=TRUE)*(F3160-Calc!F30))+IF(ArtifactsInput!$M$15,CHOOSE(ArtifactsInput!$N$15+1,25,30,35,40,45,50)/100*(Inputs!$B$11-Inputs!$B$11),0)))/100+(Inputs!$B$23+((C3160=TRUE)*(F3160-Calc!F30))+IF(ArtifactsInput!$M$15,CHOOSE(ArtifactsInput!$N$15+1,25,30,35,40,45,50)/100*(Inputs!$B$11-Inputs!$B$11),0))/100)/2</f>
        <v/>
      </c>
      <c r="M3134">
        <f>L3134*(1+(Inputs!$B$10+((C3157=TRUE)*(F3157-Calc!F27))+B3171+(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3134">
        <f>L3134*(1-MIN((Inputs!$B$9+((C3156=TRUE)*(F3156-Calc!F26))+B3164+(ArtifactsInput!$M$24-ArtifactsInput!$M$24)*CHOOSE(ArtifactsInput!$N$24+1,10,12,14,16,18,20)+(IF(AND(Inputs!$B$39&lt;&gt;"pvp",Inputs!$B$44=0),1,IF(IF(Inputs!$B$39="pvp",15,Inputs!$B$44)-(B3175)&lt;=0,1,MAX(0,IF(Inputs!$B$39="pvp",15,Inputs!$B$44)-MAX(5,B3175))/(IF(Inputs!$B$39="pvp",15,Inputs!$B$44)-(B3175))))*IF(AND(ArtifactsInput!$M$42,((Inputs!$B$9+((C3156=TRUE)*(F3156-Calc!F26))+B3164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3134*(MIN((Inputs!$B$9+((C3156=TRUE)*(F3156-Calc!F26))+B3164+(ArtifactsInput!$M$24-ArtifactsInput!$M$24)*CHOOSE(ArtifactsInput!$N$24+1,10,12,14,16,18,20)+(IF(AND(Inputs!$B$39&lt;&gt;"pvp",Inputs!$B$44=0),1,IF(IF(Inputs!$B$39="pvp",15,Inputs!$B$44)-(B3175)&lt;=0,1,MAX(0,IF(Inputs!$B$39="pvp",15,Inputs!$B$44)-MAX(5,B3175))/(IF(Inputs!$B$39="pvp",15,Inputs!$B$44)-(B3175))))*IF(AND(ArtifactsInput!$M$42,((Inputs!$B$9+((C3156=TRUE)*(F3156-Calc!F26))+B3164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3134">
        <f>(1-Summary!$B$11)*T3134+Summary!$B$11*V3134</f>
        <v/>
      </c>
      <c r="P3134">
        <f>IF(B3176=0,0,O3134/B3176)</f>
        <v/>
      </c>
      <c r="Q3134">
        <f>IFERROR(1/IF(Inputs!$B$39="pvp",15,MAX(0.1,Skills!D4-IF(TRUE=TRUE,Inputs!$B$32,0))),0)</f>
        <v/>
      </c>
      <c r="R3134">
        <f>IF(AND(Inputs!$B$39&lt;&gt;"pvp",Inputs!$B$44&gt;0),IF(MAX(0,Inputs!$B$44-B3175)&lt;=0,0,(INT(MAX(0,Inputs!$B$44-B3175)/IF(Inputs!$B$39="pvp",15,MAX(0.1,Skills!D4-IF(TRUE=TRUE,Inputs!$B$32,0))))+1)),0)</f>
        <v/>
      </c>
      <c r="S3134">
        <f>IFERROR(O3134/N3134,0)</f>
        <v/>
      </c>
      <c r="T3134">
        <f>IF(C3134,(H3134*N3134*IF(AND(Inputs!$B$39&lt;&gt;"pvp",Inputs!$B$44&gt;0),((Skills!G4*((R3134-1)*IF(Skills!H4&gt;0,Skills!I4/Skills!H4,1)+IF(Skills!H4&gt;0,MIN(Skills!I4,MAX(0,MAX(0,Inputs!$B$44-B3175)-((R3134-1)*IF(Inputs!$B$39="pvp",15,MAX(0.1,Skills!D4-IF(TRUE=TRUE,Inputs!$B$32,0))))))/Skills!H4,1)))/Inputs!$B$44),G3134*Q3134))*IF(Inputs!$B$39="pvp",1,1+(Inputs!$B$20+0+Skills!P4+B3165+(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Hunt"),CHOOSE(ArtifactsInput!$N$35+1,15,18,21,24,27,30)*(1-EXP(-(0.2*B3168)*5)),0)+IF(AND(ArtifactsInput!$M$22,Inputs!$B$4&lt;&gt;"Chapter Hunt"),CHOOSE(ArtifactsInput!$N$22+1,10,12,14,16,18,20)*((0*(((0.15*B3168*5))^0/1)+1*(((0.15*B3168*5))^1/1)+2*(((0.15*B3168*5))^2/2)+3*(((0.15*B3168*5))^3/6)+4*(((0.15*B3168*5))^4/24)+5*(((0.15*B3168*5))^5/120))/((((0.15*B3168*5))^0/1)+(((0.15*B3168*5))^1/1)+(((0.15*B3168*5))^2/2)+(((0.15*B3168*5))^3/6)+(((0.15*B3168*5))^4/24)+(((0.15*B3168*5))^5/120))),0)))/100)*((((5000/(6000+Inputs!$B$43*(1-(100*(1-(1-(100*(1-(1-Inputs!$B$19/100)*(1-CHOOSE(ArtifactsInput!$N$40+1,5,6,7,8,9,10)/100)^(IF(ArtifactsInput!$M$40,FALSE,TRUE)-ArtifactsInput!$M$40)))/100)*(1-IF(IF(ArtifactsInput!$M$40,FALSE,TRUE),CHOOSE(ArtifactsInput!$N$40+1,5,6,7,8,9,10),0)/100)^IF(Inputs!$B$39="pvp",1,2)))/100)))/(5000/(6000+Inputs!$B$43*(1-(100*(1-(1-Inputs!$B$19/100)*(1-CHOOSE(ArtifactsInput!$N$40+1,5,6,7,8,9,10)/100)^(IF(ArtifactsInput!$M$40,FALSE,TRUE)-ArtifactsInput!$M$40)))/100))))*((L3134*(1-MIN(100,(Inputs!$B$9+((C3156=TRUE)*(F3156-Calc!F26))+B3164+(ArtifactsInput!$M$24-ArtifactsInput!$M$24)*CHOOSE(ArtifactsInput!$N$24+1,10,12,14,16,18,20)+(IF(AND(Inputs!$B$39&lt;&gt;"pvp",Inputs!$B$44=0),1,IF(IF(Inputs!$B$39="pvp",15,Inputs!$B$44)-(B3175)&lt;=0,1,MAX(0,IF(Inputs!$B$39="pvp",15,Inputs!$B$44)-MAX(5,B3175))/(IF(Inputs!$B$39="pvp",15,Inputs!$B$44)-(B3175))))*IF(AND(ArtifactsInput!$M$42,((Inputs!$B$9+((C3156=TRUE)*(F3156-Calc!F26))+B3164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3134*(MIN(100,(Inputs!$B$9+((C3156=TRUE)*(F3156-Calc!F26))+B3164+(ArtifactsInput!$M$24-ArtifactsInput!$M$24)*CHOOSE(ArtifactsInput!$N$24+1,10,12,14,16,18,20)+(IF(AND(Inputs!$B$39&lt;&gt;"pvp",Inputs!$B$44=0),1,IF(IF(Inputs!$B$39="pvp",15,Inputs!$B$44)-(B3175)&lt;=0,1,MAX(0,IF(Inputs!$B$39="pvp",15,Inputs!$B$44)-MAX(5,B3175))/(IF(Inputs!$B$39="pvp",15,Inputs!$B$44)-(B3175))))*IF(AND(ArtifactsInput!$M$42,((Inputs!$B$9+((C3156=TRUE)*(F3156-Calc!F26))+B3164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3134*(1-MIN(100,(Inputs!$B$9+((C3156=TRUE)*(F3156-Calc!F26))+B3164+(ArtifactsInput!$M$24-ArtifactsInput!$M$24)*CHOOSE(ArtifactsInput!$N$24+1,10,12,14,16,18,20)+(IF(AND(Inputs!$B$39&lt;&gt;"pvp",Inputs!$B$44=0),1,IF(IF(Inputs!$B$39="pvp",15,Inputs!$B$44)-(B3175)&lt;=0,1,MAX(0,IF(Inputs!$B$39="pvp",15,Inputs!$B$44)-MAX(5,B3175))/(IF(Inputs!$B$39="pvp",15,Inputs!$B$44)-(B3175))))*IF(AND(ArtifactsInput!$M$42,((Inputs!$B$9+((C3156=TRUE)*(F3156-Calc!F26))+B3164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3134*(MIN(100,(Inputs!$B$9+((C3156=TRUE)*(F3156-Calc!F26))+B3164+(ArtifactsInput!$M$24-ArtifactsInput!$M$24)*CHOOSE(ArtifactsInput!$N$24+1,10,12,14,16,18,20)+(IF(AND(Inputs!$B$39&lt;&gt;"pvp",Inputs!$B$44=0),1,IF(IF(Inputs!$B$39="pvp",15,Inputs!$B$44)-(B3175)&lt;=0,1,MAX(0,IF(Inputs!$B$39="pvp",15,Inputs!$B$44)-MAX(5,B3175))/(IF(Inputs!$B$39="pvp",15,Inputs!$B$44)-(B3175))))*IF(AND(ArtifactsInput!$M$42,((Inputs!$B$9+((C3156=TRUE)*(F3156-Calc!F26))+B3164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3134">
        <f>290*U3133/1000</f>
        <v/>
      </c>
      <c r="V3134">
        <f>IF(C3134,(H3134*N3134*IF(AND(Inputs!$B$39&lt;&gt;"pvp",Inputs!$B$44&gt;0),((Skills!G4*((R3134-1)*IF(Skills!H4&gt;0,Skills!I4/Skills!H4,1)+IF(Skills!H4&gt;0,MIN(Skills!I4,MAX(0,MAX(0,Inputs!$B$44-B3175)-((R3134-1)*IF(Inputs!$B$39="pvp",15,MAX(0.1,Skills!D4-IF(TRUE=TRUE,Inputs!$B$32,0))))))/Skills!H4,1)))/Inputs!$B$44),G3134*Q3134))*IF(Inputs!$B$39="pvp",1,(1+(Inputs!$B$21+Skills!Q4+B3165+(IF(ArtifactsInput!$M$33,CHOOSE(ArtifactsInput!$N$33+1,30,36,42,48,54,60),0))+(IF(AND(ArtifactsInput!$M$35,Inputs!$B$4&lt;&gt;"Chapter Hunt"),CHOOSE(ArtifactsInput!$N$35+1,15,18,21,24,27,30)*(1-EXP(-(0.2*B3168)*5)),0)+IF(AND(ArtifactsInput!$M$22,Inputs!$B$4&lt;&gt;"Chapter Hunt"),CHOOSE(ArtifactsInput!$N$22+1,10,12,14,16,18,20)*((0*(((0.15*B3168*5))^0/1)+1*(((0.15*B3168*5))^1/1)+2*(((0.15*B3168*5))^2/2)+3*(((0.15*B3168*5))^3/6)+4*(((0.15*B3168*5))^4/24)+5*(((0.15*B3168*5))^5/120))/((((0.15*B3168*5))^0/1)+(((0.15*B3168*5))^1/1)+(((0.15*B3168*5))^2/2)+(((0.15*B3168*5))^3/6)+(((0.15*B3168*5))^4/24)+(((0.15*B3168*5))^5/120))),0)))/100)*(MIN(MIN(10,IF(Inputs!$B$3&gt;=75,0.75,0.5)*B3168*(1/Q3134)),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3135">
      <c r="A3135">
        <f>Skills!A5</f>
        <v/>
      </c>
      <c r="B3135">
        <f>Skills!B5</f>
        <v/>
      </c>
      <c r="C3135">
        <f>Inputs!$B$3&gt;=75</f>
        <v/>
      </c>
      <c r="D3135">
        <f>IF(Skills!C5=1,60+Inputs!$B$25+Inputs!$B$29,IF(Skills!C5=2,90+Inputs!$B$26+Inputs!$B$29,IF(Skills!C5=3,120+Inputs!$B$27+Inputs!$B$29,MAX(0,(Inputs!$B$3-100)*3)+Inputs!$B$28+Inputs!$B$29)))</f>
        <v/>
      </c>
      <c r="E3135">
        <f>INDEX(FactorTable!$B$2:$Y$301, MATCH(ROUND(MIN(300,MAX(1,D3135)),0), FactorTable!$A$2:$A$301,0), Skills!M5+1)</f>
        <v/>
      </c>
      <c r="F3135">
        <f>IF(Skills!N5=TRUE,(Skills!L5/10)*(E3135/1000),Skills!L5/10)+Skills!O5</f>
        <v/>
      </c>
      <c r="G3135">
        <f>Skills!G5*IF(Skills!H5&gt;0,IF(Inputs!$B$39="pvp",MIN(Skills!I5,15),Skills!I5)/Skills!H5,1)</f>
        <v/>
      </c>
      <c r="H3135">
        <f>1-(1-Skills!J5/100)^Skills!K5</f>
        <v/>
      </c>
      <c r="I3135" t="inlineStr">
        <is>
          <t>1</t>
        </is>
      </c>
      <c r="J3135" t="inlineStr"/>
      <c r="K3135" t="inlineStr"/>
      <c r="L3135" t="inlineStr"/>
      <c r="M3135" t="inlineStr"/>
      <c r="N3135" t="inlineStr"/>
      <c r="O3135">
        <f>(1-Summary!$B$11)*T3135+Summary!$B$11*V3135</f>
        <v/>
      </c>
      <c r="P3135">
        <f>IF(B3176=0,0,O3135/B3176)</f>
        <v/>
      </c>
      <c r="Q3135" t="n">
        <v>0</v>
      </c>
      <c r="R3135" t="n">
        <v>0</v>
      </c>
      <c r="S3135">
        <f>IFERROR(O3135/N3135,0)</f>
        <v/>
      </c>
      <c r="T3135" t="n">
        <v>0</v>
      </c>
      <c r="V3135" t="n">
        <v>0</v>
      </c>
    </row>
    <row r="3136">
      <c r="A3136">
        <f>Skills!A6</f>
        <v/>
      </c>
      <c r="B3136">
        <f>Skills!B6</f>
        <v/>
      </c>
      <c r="C3136">
        <f>Inputs!$B$3&gt;=63</f>
        <v/>
      </c>
      <c r="D3136">
        <f>IF(Skills!C6=1,60+Inputs!$B$25+Inputs!$B$29,IF(Skills!C6=2,90+Inputs!$B$26+Inputs!$B$29,IF(Skills!C6=3,120+Inputs!$B$27+Inputs!$B$29,MAX(0,(Inputs!$B$3-100)*3)+Inputs!$B$28+Inputs!$B$29)))</f>
        <v/>
      </c>
      <c r="E3136">
        <f>INDEX(FactorTable!$B$2:$Y$301, MATCH(ROUND(MIN(300,MAX(1,D3136)),0), FactorTable!$A$2:$A$301,0), Skills!M6+1)</f>
        <v/>
      </c>
      <c r="F3136">
        <f>IF(Skills!N6=TRUE,(Skills!L6/10)*(E3136/1000),Skills!L6/10)+Skills!O6</f>
        <v/>
      </c>
      <c r="G3136">
        <f>Skills!G6*IF(Skills!H6&gt;0,IF(Inputs!$B$39="pvp",MIN(Skills!I6,15),Skills!I6)/Skills!H6,1)</f>
        <v/>
      </c>
      <c r="H3136">
        <f>1-(1-Skills!J6/100)^Skills!K6</f>
        <v/>
      </c>
      <c r="I3136" t="inlineStr">
        <is>
          <t>1</t>
        </is>
      </c>
      <c r="J3136">
        <f>((Inputs!$B$6*(1+Inputs!$B$7/100))+(((Inputs!$B$12*(1+Inputs!$B$13/100))-(Inputs!$B$12*(1+Inputs!$B$13/100)))+0.25*(Inputs!$B$14-Inputs!$B$14))*(1+Inputs!$B$7/100))*(F3136/100)</f>
        <v/>
      </c>
      <c r="K3136">
        <f>J3136*(1+((Inputs!$B$12*(1+Inputs!$B$13/100))*0.01+Inputs!$B$14*0.0025)/100)*(1+Inputs!$B$15/100)*(1+Inputs!$B$16/100)*(5000/(6000+Inputs!$B$43*(1-(100*(1-(1-Inputs!$B$19/100)*(1-CHOOSE(ArtifactsInput!$N$40+1,5,6,7,8,9,10)/100)^(IF(ArtifactsInput!$M$40,FALSE,TRUE)-ArtifactsInput!$M$40)))/100)))*(1+(Inputs!$B$24+((C3161=TRUE)*(F3161-Calc!F31))+((C3148=TRUE)*(F3148-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+2.6666666666666665*IF(C3149=TRUE,F3149,0)/100)*(1+(IF(Skills!A6="CRUEL_STAB",Inputs!$B$17+((C3158=TRUE)*(F3158-Calc!F28))+((IF(AND(Inputs!$B$39&lt;&gt;"pvp",Inputs!$B$44=0),1,IF(IF(Inputs!$B$39="pvp",15,Inputs!$B$44)-(B3175)&lt;=0,1,MAX(0,IF(Inputs!$B$39="pvp",15,Inputs!$B$44)-MAX(5,B3175))/(IF(Inputs!$B$39="pvp",15,Inputs!$B$44)-(B3175))))*(IF(AND(ArtifactsInput!$M$42,((Inputs!$B$9+((C3156=TRUE)*(F3156-Calc!F26))+B3164+(ArtifactsInput!$M$24-ArtifactsInput!$M$24)*CHOOSE(ArtifactsInput!$N$24+1,10,12,14,16,18,20)+IF(ArtifactsInput!$M$10,CHOOSE(ArtifactsInput!$N$10+1,15,18,21,24,27,30)*(IF(Inputs!$B$39="pvp",MIN(15,15)/15,IF(AND(Inputs!$B$39&lt;&gt;"pvp",Inputs!$B$44&gt;0),MIN(15,Inputs!$B$44)/(Inputs!$B$44),0))),0)))&gt;=100),MIN(100,((Inputs!$B$9+((C3156=TRUE)*(F3156-Calc!F26))+B3164+(ArtifactsInput!$M$24-ArtifactsInput!$M$24)*CHOOSE(ArtifactsInput!$N$24+1,10,12,14,16,18,20)+IF(ArtifactsInput!$M$10,CHOOSE(ArtifactsInput!$N$10+1,15,18,21,24,27,30)*(IF(Inputs!$B$39="pvp",MIN(15,15)/15,IF(AND(Inputs!$B$39&lt;&gt;"pvp",Inputs!$B$44&gt;0),MIN(15,Inputs!$B$44)/(Inputs!$B$44),0))),0)))-100),0))*CHOOSE(ArtifactsInput!$N$42+1,0.6,0.72,0.84,0.96,1.08,1.2))),Inputs!$B$18+((C3159=TRUE)*(F3159-Calc!F29))+(IF(AND(Inputs!$B$39&lt;&gt;"pvp",Inputs!$B$44=0),1,IF(IF(Inputs!$B$39="pvp",15,Inputs!$B$44)-(B3175)&lt;=0,1,MAX(0,IF(Inputs!$B$39="pvp",15,Inputs!$B$44)-MAX(5,B3175))/(IF(Inputs!$B$39="pvp",15,Inputs!$B$44)-(B3175))))*IF(AND(ArtifactsInput!$M$42,((Inputs!$B$9+((C3156=TRUE)*(F3156-Calc!F26))+B3164+(ArtifactsInput!$M$24-ArtifactsInput!$M$24)*CHOOSE(ArtifactsInput!$N$24+1,10,12,14,16,18,20)+IF(ArtifactsInput!$M$10,CHOOSE(ArtifactsInput!$N$10+1,15,18,21,24,27,30)*(IF(Inputs!$B$39="pvp",MIN(15,15)/15,IF(AND(Inputs!$B$39&lt;&gt;"pvp",Inputs!$B$44&gt;0),MIN(15,Inputs!$B$44)/(Inputs!$B$44),0))),0)))&gt;=100),CHOOSE(ArtifactsInput!$N$42+1,40,48,56,64,72,80),0))))/100)*(((1+(((C3152=TRUE)*F3152*IF(AND(Inputs!$B$39&lt;&gt;"pvp",Inputs!$B$44&gt;0),(((R3152-1)*MIN((Skills!Y22*(1+Inputs!$B$34/100)),(1/Q3152))+MIN((Skills!Y22*(1+Inputs!$B$34/100)),MAX(0,Inputs!$B$44-((R3152-1)*(1/Q3152)))))/Inputs!$B$44),IF(Inputs!$B$39="pvp",MIN((Skills!Y22*(1+Inputs!$B$34/100)),15)/15,MIN(1,(Skills!Y22*(1+Inputs!$B$34/100))/(1/Q3152)))))+((C3133=TRUE)*F3133*3)+((C3135=TRUE)*F3135*(1-EXP(-0.75*B3168*5)))+((C3154=TRUE)*(F3154-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IF(ArtifactsInput!$M$40,FALSE,TRUE),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3141=TRUE)*F3141*IF(AND(Inputs!$B$39&lt;&gt;"pvp",Inputs!$B$44&gt;0),(((R3141-1)*MIN((Skills!Y11*(1+Inputs!$B$34/100)),(1/Q3141))+MIN((Skills!Y11*(1+Inputs!$B$34/100)),MAX(0,Inputs!$B$44-((R3141-1)*(1/Q3141)))))/Inputs!$B$44),IF(Inputs!$B$39="pvp",MIN((Skills!Y11*(1+Inputs!$B$34/100)),15)/15,MIN(1,(Skills!Y11*(1+Inputs!$B$34/100))/(1/Q3141)))))/100)*(1+((C3146=TRUE)*F3146*IF(AND(Inputs!$B$39&lt;&gt;"pvp",Inputs!$B$44&gt;0),(((R3146-1)*MIN((Skills!Y16*(1+Inputs!$B$34/100)),(1/Q3146))+MIN((Skills!Y16*(1+Inputs!$B$34/100)),MAX(0,Inputs!$B$44-((R3146-1)*(1/Q3146)))))/Inputs!$B$44),IF(Inputs!$B$39="pvp",MIN((Skills!Y16*(1+Inputs!$B$34/100)),15)/15,MIN(1,(Skills!Y16*(1+Inputs!$B$34/100))/(1/Q3146)))))/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3166*I3136)</f>
        <v/>
      </c>
      <c r="L3136">
        <f>K3136*(MIN(Inputs!$B$22+((C3155=TRUE)*(F3155-Calc!F25)),(Inputs!$B$23+((C3160=TRUE)*(F3160-Calc!F30))+IF(ArtifactsInput!$M$15,CHOOSE(ArtifactsInput!$N$15+1,25,30,35,40,45,50)/100*(Inputs!$B$11-Inputs!$B$11),0)))/100+(Inputs!$B$23+((C3160=TRUE)*(F3160-Calc!F30))+IF(ArtifactsInput!$M$15,CHOOSE(ArtifactsInput!$N$15+1,25,30,35,40,45,50)/100*(Inputs!$B$11-Inputs!$B$11),0))/100)/2</f>
        <v/>
      </c>
      <c r="M3136">
        <f>L3136*(1+(Inputs!$B$10+((C3157=TRUE)*(F3157-Calc!F27))+B3171+(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3136">
        <f>L3136*(1-MIN((Inputs!$B$9+((C3156=TRUE)*(F3156-Calc!F26))+B3164+(ArtifactsInput!$M$24-ArtifactsInput!$M$24)*CHOOSE(ArtifactsInput!$N$24+1,10,12,14,16,18,20)+(IF(AND(Inputs!$B$39&lt;&gt;"pvp",Inputs!$B$44=0),1,IF(IF(Inputs!$B$39="pvp",15,Inputs!$B$44)-(B3175)&lt;=0,1,MAX(0,IF(Inputs!$B$39="pvp",15,Inputs!$B$44)-MAX(5,B3175))/(IF(Inputs!$B$39="pvp",15,Inputs!$B$44)-(B3175))))*IF(AND(ArtifactsInput!$M$42,((Inputs!$B$9+((C3156=TRUE)*(F3156-Calc!F26))+B3164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3136*(MIN((Inputs!$B$9+((C3156=TRUE)*(F3156-Calc!F26))+B3164+(ArtifactsInput!$M$24-ArtifactsInput!$M$24)*CHOOSE(ArtifactsInput!$N$24+1,10,12,14,16,18,20)+(IF(AND(Inputs!$B$39&lt;&gt;"pvp",Inputs!$B$44=0),1,IF(IF(Inputs!$B$39="pvp",15,Inputs!$B$44)-(B3175)&lt;=0,1,MAX(0,IF(Inputs!$B$39="pvp",15,Inputs!$B$44)-MAX(5,B3175))/(IF(Inputs!$B$39="pvp",15,Inputs!$B$44)-(B3175))))*IF(AND(ArtifactsInput!$M$42,((Inputs!$B$9+((C3156=TRUE)*(F3156-Calc!F26))+B3164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3136">
        <f>(1-Summary!$B$11)*T3136+Summary!$B$11*V3136</f>
        <v/>
      </c>
      <c r="P3136">
        <f>IF(B3176=0,0,O3136/B3176)</f>
        <v/>
      </c>
      <c r="Q3136">
        <f>IFERROR(1/IF(Inputs!$B$39="pvp",15,MAX(0.1,Skills!D6-IF(TRUE=TRUE,Inputs!$B$32,0))),0)</f>
        <v/>
      </c>
      <c r="R3136">
        <f>IF(AND(Inputs!$B$39&lt;&gt;"pvp",Inputs!$B$44&gt;0),IF(MAX(0,Inputs!$B$44-B3175)&lt;=0,0,(INT(MAX(0,Inputs!$B$44-B3175)/IF(Inputs!$B$39="pvp",15,MAX(0.1,Skills!D6-IF(TRUE=TRUE,Inputs!$B$32,0))))+1)),0)</f>
        <v/>
      </c>
      <c r="S3136">
        <f>IFERROR(O3136/N3136,0)</f>
        <v/>
      </c>
      <c r="T3136">
        <f>IF(C3136,(H3136*N3136*IF(AND(Inputs!$B$39&lt;&gt;"pvp",Inputs!$B$44&gt;0),((Skills!G6*((R3136-1)*IF(Skills!H6&gt;0,Skills!I6/Skills!H6,1)+IF(Skills!H6&gt;0,MIN(Skills!I6,MAX(0,MAX(0,Inputs!$B$44-B3175)-((R3136-1)*IF(Inputs!$B$39="pvp",15,MAX(0.1,Skills!D6-IF(TRUE=TRUE,Inputs!$B$32,0))))))/Skills!H6,1)))/Inputs!$B$44),G3136*Q3136))*IF(Inputs!$B$39="pvp",1,1+(Inputs!$B$20+0+Skills!P6+B3165+(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Hunt"),CHOOSE(ArtifactsInput!$N$35+1,15,18,21,24,27,30)*(1-EXP(-(0.2*B3168)*5)),0)+IF(AND(ArtifactsInput!$M$22,Inputs!$B$4&lt;&gt;"Chapter Hunt"),CHOOSE(ArtifactsInput!$N$22+1,10,12,14,16,18,20)*((0*(((0.15*B3168*5))^0/1)+1*(((0.15*B3168*5))^1/1)+2*(((0.15*B3168*5))^2/2)+3*(((0.15*B3168*5))^3/6)+4*(((0.15*B3168*5))^4/24)+5*(((0.15*B3168*5))^5/120))/((((0.15*B3168*5))^0/1)+(((0.15*B3168*5))^1/1)+(((0.15*B3168*5))^2/2)+(((0.15*B3168*5))^3/6)+(((0.15*B3168*5))^4/24)+(((0.15*B3168*5))^5/120))),0)))/100)*((((5000/(6000+Inputs!$B$43*(1-(100*(1-(1-(100*(1-(1-Inputs!$B$19/100)*(1-CHOOSE(ArtifactsInput!$N$40+1,5,6,7,8,9,10)/100)^(IF(ArtifactsInput!$M$40,FALSE,TRUE)-ArtifactsInput!$M$40)))/100)*(1-IF(IF(ArtifactsInput!$M$40,FALSE,TRUE),CHOOSE(ArtifactsInput!$N$40+1,5,6,7,8,9,10),0)/100)^IF(Inputs!$B$39="pvp",1,2)))/100)))/(5000/(6000+Inputs!$B$43*(1-(100*(1-(1-Inputs!$B$19/100)*(1-CHOOSE(ArtifactsInput!$N$40+1,5,6,7,8,9,10)/100)^(IF(ArtifactsInput!$M$40,FALSE,TRUE)-ArtifactsInput!$M$40)))/100))))*((L3136*(1-MIN(100,(Inputs!$B$9+((C3156=TRUE)*(F3156-Calc!F26))+B3164+(ArtifactsInput!$M$24-ArtifactsInput!$M$24)*CHOOSE(ArtifactsInput!$N$24+1,10,12,14,16,18,20)+(IF(AND(Inputs!$B$39&lt;&gt;"pvp",Inputs!$B$44=0),1,IF(IF(Inputs!$B$39="pvp",15,Inputs!$B$44)-(B3175)&lt;=0,1,MAX(0,IF(Inputs!$B$39="pvp",15,Inputs!$B$44)-MAX(5,B3175))/(IF(Inputs!$B$39="pvp",15,Inputs!$B$44)-(B3175))))*IF(AND(ArtifactsInput!$M$42,((Inputs!$B$9+((C3156=TRUE)*(F3156-Calc!F26))+B3164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3136*(MIN(100,(Inputs!$B$9+((C3156=TRUE)*(F3156-Calc!F26))+B3164+(ArtifactsInput!$M$24-ArtifactsInput!$M$24)*CHOOSE(ArtifactsInput!$N$24+1,10,12,14,16,18,20)+(IF(AND(Inputs!$B$39&lt;&gt;"pvp",Inputs!$B$44=0),1,IF(IF(Inputs!$B$39="pvp",15,Inputs!$B$44)-(B3175)&lt;=0,1,MAX(0,IF(Inputs!$B$39="pvp",15,Inputs!$B$44)-MAX(5,B3175))/(IF(Inputs!$B$39="pvp",15,Inputs!$B$44)-(B3175))))*IF(AND(ArtifactsInput!$M$42,((Inputs!$B$9+((C3156=TRUE)*(F3156-Calc!F26))+B3164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3136*(1-MIN(100,(Inputs!$B$9+((C3156=TRUE)*(F3156-Calc!F26))+B3164+(ArtifactsInput!$M$24-ArtifactsInput!$M$24)*CHOOSE(ArtifactsInput!$N$24+1,10,12,14,16,18,20)+(IF(AND(Inputs!$B$39&lt;&gt;"pvp",Inputs!$B$44=0),1,IF(IF(Inputs!$B$39="pvp",15,Inputs!$B$44)-(B3175)&lt;=0,1,MAX(0,IF(Inputs!$B$39="pvp",15,Inputs!$B$44)-MAX(5,B3175))/(IF(Inputs!$B$39="pvp",15,Inputs!$B$44)-(B3175))))*IF(AND(ArtifactsInput!$M$42,((Inputs!$B$9+((C3156=TRUE)*(F3156-Calc!F26))+B3164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3136*(MIN(100,(Inputs!$B$9+((C3156=TRUE)*(F3156-Calc!F26))+B3164+(ArtifactsInput!$M$24-ArtifactsInput!$M$24)*CHOOSE(ArtifactsInput!$N$24+1,10,12,14,16,18,20)+(IF(AND(Inputs!$B$39&lt;&gt;"pvp",Inputs!$B$44=0),1,IF(IF(Inputs!$B$39="pvp",15,Inputs!$B$44)-(B3175)&lt;=0,1,MAX(0,IF(Inputs!$B$39="pvp",15,Inputs!$B$44)-MAX(5,B3175))/(IF(Inputs!$B$39="pvp",15,Inputs!$B$44)-(B3175))))*IF(AND(ArtifactsInput!$M$42,((Inputs!$B$9+((C3156=TRUE)*(F3156-Calc!F26))+B3164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3136">
        <f>IF(C3136,(H3136*N3136*IF(AND(Inputs!$B$39&lt;&gt;"pvp",Inputs!$B$44&gt;0),((Skills!G6*((R3136-1)*IF(Skills!H6&gt;0,Skills!I6/Skills!H6,1)+IF(Skills!H6&gt;0,MIN(Skills!I6,MAX(0,MAX(0,Inputs!$B$44-B3175)-((R3136-1)*IF(Inputs!$B$39="pvp",15,MAX(0.1,Skills!D6-IF(TRUE=TRUE,Inputs!$B$32,0))))))/Skills!H6,1)))/Inputs!$B$44),G3136*Q3136))*IF(Inputs!$B$39="pvp",1,(1+(Inputs!$B$21+Skills!Q6+B3165+(IF(ArtifactsInput!$M$33,CHOOSE(ArtifactsInput!$N$33+1,30,36,42,48,54,60),0))+(IF(AND(ArtifactsInput!$M$35,Inputs!$B$4&lt;&gt;"Chapter Hunt"),CHOOSE(ArtifactsInput!$N$35+1,15,18,21,24,27,30)*(1-EXP(-(0.2*B3168)*5)),0)+IF(AND(ArtifactsInput!$M$22,Inputs!$B$4&lt;&gt;"Chapter Hunt"),CHOOSE(ArtifactsInput!$N$22+1,10,12,14,16,18,20)*((0*(((0.15*B3168*5))^0/1)+1*(((0.15*B3168*5))^1/1)+2*(((0.15*B3168*5))^2/2)+3*(((0.15*B3168*5))^3/6)+4*(((0.15*B3168*5))^4/24)+5*(((0.15*B3168*5))^5/120))/((((0.15*B3168*5))^0/1)+(((0.15*B3168*5))^1/1)+(((0.15*B3168*5))^2/2)+(((0.15*B3168*5))^3/6)+(((0.15*B3168*5))^4/24)+(((0.15*B3168*5))^5/120))),0)))/100)*(MIN(Skills!W6,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3137">
      <c r="A3137">
        <f>Skills!A7</f>
        <v/>
      </c>
      <c r="B3137">
        <f>Skills!B7</f>
        <v/>
      </c>
      <c r="C3137">
        <f>Inputs!$B$3&gt;=69</f>
        <v/>
      </c>
      <c r="D3137">
        <f>IF(Skills!C7=1,60+Inputs!$B$25+Inputs!$B$29,IF(Skills!C7=2,90+Inputs!$B$26+Inputs!$B$29,IF(Skills!C7=3,120+Inputs!$B$27+Inputs!$B$29,MAX(0,(Inputs!$B$3-100)*3)+Inputs!$B$28+Inputs!$B$29)))</f>
        <v/>
      </c>
      <c r="E3137">
        <f>INDEX(FactorTable!$B$2:$Y$301, MATCH(ROUND(MIN(300,MAX(1,D3137)),0), FactorTable!$A$2:$A$301,0), Skills!M7+1)</f>
        <v/>
      </c>
      <c r="F3137">
        <f>IF(Skills!N7=TRUE,(Skills!L7/10)*(E3137/1000),Skills!L7/10)+Skills!O7</f>
        <v/>
      </c>
      <c r="G3137">
        <f>Skills!G7*IF(Skills!H7&gt;0,IF(Inputs!$B$39="pvp",MIN(Skills!I7,15),Skills!I7)/Skills!H7,1)</f>
        <v/>
      </c>
      <c r="H3137">
        <f>1-(1-Skills!J7/100)^Skills!K7</f>
        <v/>
      </c>
      <c r="I3137" t="inlineStr">
        <is>
          <t>1</t>
        </is>
      </c>
      <c r="J3137">
        <f>((Inputs!$B$6*(1+Inputs!$B$7/100))+(((Inputs!$B$12*(1+Inputs!$B$13/100))-(Inputs!$B$12*(1+Inputs!$B$13/100)))+0.25*(Inputs!$B$14-Inputs!$B$14))*(1+Inputs!$B$7/100))*(F3137/100)</f>
        <v/>
      </c>
      <c r="K3137">
        <f>J3137*(1+((Inputs!$B$12*(1+Inputs!$B$13/100))*0.01+Inputs!$B$14*0.0025)/100)*(1+Inputs!$B$15/100)*(1+Inputs!$B$16/100)*(5000/(6000+Inputs!$B$43*(1-(100*(1-(1-Inputs!$B$19/100)*(1-CHOOSE(ArtifactsInput!$N$40+1,5,6,7,8,9,10)/100)^(IF(ArtifactsInput!$M$40,FALSE,TRUE)-ArtifactsInput!$M$40)))/100)))*(1+(Inputs!$B$24+((C3161=TRUE)*(F3161-Calc!F31))+((C3148=TRUE)*(F3148-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3149=TRUE,F3149,0)/100)*(1+(IF(Skills!A7="CRUEL_STAB",Inputs!$B$17+((C3158=TRUE)*(F3158-Calc!F28))+((IF(AND(Inputs!$B$39&lt;&gt;"pvp",Inputs!$B$44=0),1,IF(IF(Inputs!$B$39="pvp",15,Inputs!$B$44)-(B3175)&lt;=0,1,MAX(0,IF(Inputs!$B$39="pvp",15,Inputs!$B$44)-MAX(5,B3175))/(IF(Inputs!$B$39="pvp",15,Inputs!$B$44)-(B3175))))*(IF(AND(ArtifactsInput!$M$42,((Inputs!$B$9+((C3156=TRUE)*(F3156-Calc!F26))+B3164+(ArtifactsInput!$M$24-ArtifactsInput!$M$24)*CHOOSE(ArtifactsInput!$N$24+1,10,12,14,16,18,20)+IF(ArtifactsInput!$M$10,CHOOSE(ArtifactsInput!$N$10+1,15,18,21,24,27,30)*(IF(Inputs!$B$39="pvp",MIN(15,15)/15,IF(AND(Inputs!$B$39&lt;&gt;"pvp",Inputs!$B$44&gt;0),MIN(15,Inputs!$B$44)/(Inputs!$B$44),0))),0)))&gt;=100),MIN(100,((Inputs!$B$9+((C3156=TRUE)*(F3156-Calc!F26))+B3164+(ArtifactsInput!$M$24-ArtifactsInput!$M$24)*CHOOSE(ArtifactsInput!$N$24+1,10,12,14,16,18,20)+IF(ArtifactsInput!$M$10,CHOOSE(ArtifactsInput!$N$10+1,15,18,21,24,27,30)*(IF(Inputs!$B$39="pvp",MIN(15,15)/15,IF(AND(Inputs!$B$39&lt;&gt;"pvp",Inputs!$B$44&gt;0),MIN(15,Inputs!$B$44)/(Inputs!$B$44),0))),0)))-100),0))*CHOOSE(ArtifactsInput!$N$42+1,0.6,0.72,0.84,0.96,1.08,1.2))),Inputs!$B$18+((C3159=TRUE)*(F3159-Calc!F29))+(IF(AND(Inputs!$B$39&lt;&gt;"pvp",Inputs!$B$44=0),1,IF(IF(Inputs!$B$39="pvp",15,Inputs!$B$44)-(B3175)&lt;=0,1,MAX(0,IF(Inputs!$B$39="pvp",15,Inputs!$B$44)-MAX(5,B3175))/(IF(Inputs!$B$39="pvp",15,Inputs!$B$44)-(B3175))))*IF(AND(ArtifactsInput!$M$42,((Inputs!$B$9+((C3156=TRUE)*(F3156-Calc!F26))+B3164+(ArtifactsInput!$M$24-ArtifactsInput!$M$24)*CHOOSE(ArtifactsInput!$N$24+1,10,12,14,16,18,20)+IF(ArtifactsInput!$M$10,CHOOSE(ArtifactsInput!$N$10+1,15,18,21,24,27,30)*(IF(Inputs!$B$39="pvp",MIN(15,15)/15,IF(AND(Inputs!$B$39&lt;&gt;"pvp",Inputs!$B$44&gt;0),MIN(15,Inputs!$B$44)/(Inputs!$B$44),0))),0)))&gt;=100),CHOOSE(ArtifactsInput!$N$42+1,40,48,56,64,72,80),0))))/100)*(((1+(((C3152=TRUE)*F3152*IF(AND(Inputs!$B$39&lt;&gt;"pvp",Inputs!$B$44&gt;0),(((R3152-1)*MIN((Skills!Y22*(1+Inputs!$B$34/100)),(1/Q3152))+MIN((Skills!Y22*(1+Inputs!$B$34/100)),MAX(0,Inputs!$B$44-((R3152-1)*(1/Q3152)))))/Inputs!$B$44),IF(Inputs!$B$39="pvp",MIN((Skills!Y22*(1+Inputs!$B$34/100)),15)/15,MIN(1,(Skills!Y22*(1+Inputs!$B$34/100))/(1/Q3152)))))+((C3133=TRUE)*F3133*3)+((C3135=TRUE)*F3135*(1-EXP(-0.75*B3168*5)))+((C3154=TRUE)*(F3154-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IF(ArtifactsInput!$M$40,FALSE,TRUE),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3141=TRUE)*F3141*IF(AND(Inputs!$B$39&lt;&gt;"pvp",Inputs!$B$44&gt;0),(((R3141-1)*MIN((Skills!Y11*(1+Inputs!$B$34/100)),(1/Q3141))+MIN((Skills!Y11*(1+Inputs!$B$34/100)),MAX(0,Inputs!$B$44-((R3141-1)*(1/Q3141)))))/Inputs!$B$44),IF(Inputs!$B$39="pvp",MIN((Skills!Y11*(1+Inputs!$B$34/100)),15)/15,MIN(1,(Skills!Y11*(1+Inputs!$B$34/100))/(1/Q3141)))))/100)*(1+((C3146=TRUE)*F3146*IF(AND(Inputs!$B$39&lt;&gt;"pvp",Inputs!$B$44&gt;0),(((R3146-1)*MIN((Skills!Y16*(1+Inputs!$B$34/100)),(1/Q3146))+MIN((Skills!Y16*(1+Inputs!$B$34/100)),MAX(0,Inputs!$B$44-((R3146-1)*(1/Q3146)))))/Inputs!$B$44),IF(Inputs!$B$39="pvp",MIN((Skills!Y16*(1+Inputs!$B$34/100)),15)/15,MIN(1,(Skills!Y16*(1+Inputs!$B$34/100))/(1/Q3146)))))/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3166*I3137)</f>
        <v/>
      </c>
      <c r="L3137">
        <f>K3137*(MIN(Inputs!$B$22+((C3155=TRUE)*(F3155-Calc!F25)),(Inputs!$B$23+((C3160=TRUE)*(F3160-Calc!F30))+IF(ArtifactsInput!$M$15,CHOOSE(ArtifactsInput!$N$15+1,25,30,35,40,45,50)/100*(Inputs!$B$11-Inputs!$B$11),0)))/100+(Inputs!$B$23+((C3160=TRUE)*(F3160-Calc!F30))+IF(ArtifactsInput!$M$15,CHOOSE(ArtifactsInput!$N$15+1,25,30,35,40,45,50)/100*(Inputs!$B$11-Inputs!$B$11),0))/100)/2</f>
        <v/>
      </c>
      <c r="M3137">
        <f>L3137*(1+(Inputs!$B$10+((C3157=TRUE)*(F3157-Calc!F27))+B3171+(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3137">
        <f>L3137*(1-MIN((Inputs!$B$9+((C3156=TRUE)*(F3156-Calc!F26))+B3164+(ArtifactsInput!$M$24-ArtifactsInput!$M$24)*CHOOSE(ArtifactsInput!$N$24+1,10,12,14,16,18,20)+(IF(AND(Inputs!$B$39&lt;&gt;"pvp",Inputs!$B$44=0),1,IF(IF(Inputs!$B$39="pvp",15,Inputs!$B$44)-(B3175)&lt;=0,1,MAX(0,IF(Inputs!$B$39="pvp",15,Inputs!$B$44)-MAX(5,B3175))/(IF(Inputs!$B$39="pvp",15,Inputs!$B$44)-(B3175))))*IF(AND(ArtifactsInput!$M$42,((Inputs!$B$9+((C3156=TRUE)*(F3156-Calc!F26))+B3164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3137*(MIN((Inputs!$B$9+((C3156=TRUE)*(F3156-Calc!F26))+B3164+(ArtifactsInput!$M$24-ArtifactsInput!$M$24)*CHOOSE(ArtifactsInput!$N$24+1,10,12,14,16,18,20)+(IF(AND(Inputs!$B$39&lt;&gt;"pvp",Inputs!$B$44=0),1,IF(IF(Inputs!$B$39="pvp",15,Inputs!$B$44)-(B3175)&lt;=0,1,MAX(0,IF(Inputs!$B$39="pvp",15,Inputs!$B$44)-MAX(5,B3175))/(IF(Inputs!$B$39="pvp",15,Inputs!$B$44)-(B3175))))*IF(AND(ArtifactsInput!$M$42,((Inputs!$B$9+((C3156=TRUE)*(F3156-Calc!F26))+B3164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3137">
        <f>(1-Summary!$B$11)*T3137+Summary!$B$11*V3137</f>
        <v/>
      </c>
      <c r="P3137">
        <f>IF(B3176=0,0,O3137/B3176)</f>
        <v/>
      </c>
      <c r="Q3137">
        <f>IFERROR(1/IF(Inputs!$B$39="pvp",15,MAX(0.1,Skills!D7-IF(TRUE=TRUE,Inputs!$B$32,0))),0)</f>
        <v/>
      </c>
      <c r="R3137">
        <f>IF(AND(Inputs!$B$39&lt;&gt;"pvp",Inputs!$B$44&gt;0),IF(MAX(0,Inputs!$B$44-B3175)&lt;=0,0,(INT(MAX(0,Inputs!$B$44-B3175)/IF(Inputs!$B$39="pvp",15,MAX(0.1,Skills!D7-IF(TRUE=TRUE,Inputs!$B$32,0))))+1)),0)</f>
        <v/>
      </c>
      <c r="S3137">
        <f>IFERROR(O3137/N3137,0)</f>
        <v/>
      </c>
      <c r="T3137">
        <f>IF(C3137,(H3137*N3137*IF(AND(Inputs!$B$39&lt;&gt;"pvp",Inputs!$B$44&gt;0),((Skills!G7*((R3137-1)*IF(Skills!H7&gt;0,Skills!I7/Skills!H7,1)+IF(Skills!H7&gt;0,MIN(Skills!I7,MAX(0,MAX(0,Inputs!$B$44-B3175)-((R3137-1)*IF(Inputs!$B$39="pvp",15,MAX(0.1,Skills!D7-IF(TRUE=TRUE,Inputs!$B$32,0))))))/Skills!H7,1)))/Inputs!$B$44),G3137*Q3137))*IF(Inputs!$B$39="pvp",1,1+(Inputs!$B$20+0+Skills!P7+B3165+(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Hunt"),CHOOSE(ArtifactsInput!$N$35+1,15,18,21,24,27,30)*(1-EXP(-(0.2*B3168)*5)),0)+IF(AND(ArtifactsInput!$M$22,Inputs!$B$4&lt;&gt;"Chapter Hunt"),CHOOSE(ArtifactsInput!$N$22+1,10,12,14,16,18,20)*((0*(((0.15*B3168*5))^0/1)+1*(((0.15*B3168*5))^1/1)+2*(((0.15*B3168*5))^2/2)+3*(((0.15*B3168*5))^3/6)+4*(((0.15*B3168*5))^4/24)+5*(((0.15*B3168*5))^5/120))/((((0.15*B3168*5))^0/1)+(((0.15*B3168*5))^1/1)+(((0.15*B3168*5))^2/2)+(((0.15*B3168*5))^3/6)+(((0.15*B3168*5))^4/24)+(((0.15*B3168*5))^5/120))),0)))/100)*((((5000/(6000+Inputs!$B$43*(1-(100*(1-(1-(100*(1-(1-Inputs!$B$19/100)*(1-CHOOSE(ArtifactsInput!$N$40+1,5,6,7,8,9,10)/100)^(IF(ArtifactsInput!$M$40,FALSE,TRUE)-ArtifactsInput!$M$40)))/100)*(1-IF(IF(ArtifactsInput!$M$40,FALSE,TRUE),CHOOSE(ArtifactsInput!$N$40+1,5,6,7,8,9,10),0)/100)^IF(Inputs!$B$39="pvp",1,2)))/100)))/(5000/(6000+Inputs!$B$43*(1-(100*(1-(1-Inputs!$B$19/100)*(1-CHOOSE(ArtifactsInput!$N$40+1,5,6,7,8,9,10)/100)^(IF(ArtifactsInput!$M$40,FALSE,TRUE)-ArtifactsInput!$M$40)))/100))))*((L3137*(1-MIN(100,(Inputs!$B$9+((C3156=TRUE)*(F3156-Calc!F26))+B3164+(ArtifactsInput!$M$24-ArtifactsInput!$M$24)*CHOOSE(ArtifactsInput!$N$24+1,10,12,14,16,18,20)+(IF(AND(Inputs!$B$39&lt;&gt;"pvp",Inputs!$B$44=0),1,IF(IF(Inputs!$B$39="pvp",15,Inputs!$B$44)-(B3175)&lt;=0,1,MAX(0,IF(Inputs!$B$39="pvp",15,Inputs!$B$44)-MAX(5,B3175))/(IF(Inputs!$B$39="pvp",15,Inputs!$B$44)-(B3175))))*IF(AND(ArtifactsInput!$M$42,((Inputs!$B$9+((C3156=TRUE)*(F3156-Calc!F26))+B3164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3137*(MIN(100,(Inputs!$B$9+((C3156=TRUE)*(F3156-Calc!F26))+B3164+(ArtifactsInput!$M$24-ArtifactsInput!$M$24)*CHOOSE(ArtifactsInput!$N$24+1,10,12,14,16,18,20)+(IF(AND(Inputs!$B$39&lt;&gt;"pvp",Inputs!$B$44=0),1,IF(IF(Inputs!$B$39="pvp",15,Inputs!$B$44)-(B3175)&lt;=0,1,MAX(0,IF(Inputs!$B$39="pvp",15,Inputs!$B$44)-MAX(5,B3175))/(IF(Inputs!$B$39="pvp",15,Inputs!$B$44)-(B3175))))*IF(AND(ArtifactsInput!$M$42,((Inputs!$B$9+((C3156=TRUE)*(F3156-Calc!F26))+B3164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3137*(1-MIN(100,(Inputs!$B$9+((C3156=TRUE)*(F3156-Calc!F26))+B3164+(ArtifactsInput!$M$24-ArtifactsInput!$M$24)*CHOOSE(ArtifactsInput!$N$24+1,10,12,14,16,18,20)+(IF(AND(Inputs!$B$39&lt;&gt;"pvp",Inputs!$B$44=0),1,IF(IF(Inputs!$B$39="pvp",15,Inputs!$B$44)-(B3175)&lt;=0,1,MAX(0,IF(Inputs!$B$39="pvp",15,Inputs!$B$44)-MAX(5,B3175))/(IF(Inputs!$B$39="pvp",15,Inputs!$B$44)-(B3175))))*IF(AND(ArtifactsInput!$M$42,((Inputs!$B$9+((C3156=TRUE)*(F3156-Calc!F26))+B3164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3137*(MIN(100,(Inputs!$B$9+((C3156=TRUE)*(F3156-Calc!F26))+B3164+(ArtifactsInput!$M$24-ArtifactsInput!$M$24)*CHOOSE(ArtifactsInput!$N$24+1,10,12,14,16,18,20)+(IF(AND(Inputs!$B$39&lt;&gt;"pvp",Inputs!$B$44=0),1,IF(IF(Inputs!$B$39="pvp",15,Inputs!$B$44)-(B3175)&lt;=0,1,MAX(0,IF(Inputs!$B$39="pvp",15,Inputs!$B$44)-MAX(5,B3175))/(IF(Inputs!$B$39="pvp",15,Inputs!$B$44)-(B3175))))*IF(AND(ArtifactsInput!$M$42,((Inputs!$B$9+((C3156=TRUE)*(F3156-Calc!F26))+B3164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3137">
        <f>IF(C3137,(H3137*N3137*IF(AND(Inputs!$B$39&lt;&gt;"pvp",Inputs!$B$44&gt;0),((Skills!G7*((R3137-1)*IF(Skills!H7&gt;0,Skills!I7/Skills!H7,1)+IF(Skills!H7&gt;0,MIN(Skills!I7,MAX(0,MAX(0,Inputs!$B$44-B3175)-((R3137-1)*IF(Inputs!$B$39="pvp",15,MAX(0.1,Skills!D7-IF(TRUE=TRUE,Inputs!$B$32,0))))))/Skills!H7,1)))/Inputs!$B$44),G3137*Q3137))*IF(Inputs!$B$39="pvp",1,(1+(Inputs!$B$21+Skills!Q7+B3165+(IF(ArtifactsInput!$M$33,CHOOSE(ArtifactsInput!$N$33+1,30,36,42,48,54,60),0))+(IF(AND(ArtifactsInput!$M$35,Inputs!$B$4&lt;&gt;"Chapter Hunt"),CHOOSE(ArtifactsInput!$N$35+1,15,18,21,24,27,30)*(1-EXP(-(0.2*B3168)*5)),0)+IF(AND(ArtifactsInput!$M$22,Inputs!$B$4&lt;&gt;"Chapter Hunt"),CHOOSE(ArtifactsInput!$N$22+1,10,12,14,16,18,20)*((0*(((0.15*B3168*5))^0/1)+1*(((0.15*B3168*5))^1/1)+2*(((0.15*B3168*5))^2/2)+3*(((0.15*B3168*5))^3/6)+4*(((0.15*B3168*5))^4/24)+5*(((0.15*B3168*5))^5/120))/((((0.15*B3168*5))^0/1)+(((0.15*B3168*5))^1/1)+(((0.15*B3168*5))^2/2)+(((0.15*B3168*5))^3/6)+(((0.15*B3168*5))^4/24)+(((0.15*B3168*5))^5/120))),0)))/100)*(MIN(Skills!W7,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3138">
      <c r="A3138">
        <f>Skills!A8</f>
        <v/>
      </c>
      <c r="B3138">
        <f>Skills!B8</f>
        <v/>
      </c>
      <c r="C3138">
        <f>Inputs!$B$3&gt;=60</f>
        <v/>
      </c>
      <c r="D3138">
        <f>IF(Skills!C8=1,60+Inputs!$B$25+Inputs!$B$29,IF(Skills!C8=2,90+Inputs!$B$26+Inputs!$B$29,IF(Skills!C8=3,120+Inputs!$B$27+Inputs!$B$29,MAX(0,(Inputs!$B$3-100)*3)+Inputs!$B$28+Inputs!$B$29)))</f>
        <v/>
      </c>
      <c r="E3138">
        <f>INDEX(FactorTable!$B$2:$Y$301, MATCH(ROUND(MIN(300,MAX(1,D3138)),0), FactorTable!$A$2:$A$301,0), Skills!M8+1)</f>
        <v/>
      </c>
      <c r="F3138">
        <f>IF(Skills!N8=TRUE,(Skills!L8/10)*(E3138/1000),Skills!L8/10)+Skills!O8</f>
        <v/>
      </c>
      <c r="G3138">
        <f>Skills!G8*IF(Skills!H8&gt;0,IF(Inputs!$B$39="pvp",MIN(Skills!I8,15),Skills!I8)/Skills!H8,1)</f>
        <v/>
      </c>
      <c r="H3138">
        <f>1-(1-Skills!J8/100)^Skills!K8</f>
        <v/>
      </c>
      <c r="I3138" t="inlineStr">
        <is>
          <t>1</t>
        </is>
      </c>
      <c r="J3138" t="inlineStr"/>
      <c r="K3138" t="inlineStr"/>
      <c r="L3138" t="inlineStr"/>
      <c r="M3138" t="inlineStr"/>
      <c r="N3138" t="inlineStr"/>
      <c r="O3138">
        <f>(1-Summary!$B$11)*T3138+Summary!$B$11*V3138</f>
        <v/>
      </c>
      <c r="P3138">
        <f>IF(B3176=0,0,O3138/B3176)</f>
        <v/>
      </c>
      <c r="Q3138" t="n">
        <v>0</v>
      </c>
      <c r="R3138" t="n">
        <v>0</v>
      </c>
      <c r="S3138">
        <f>IFERROR(O3138/N3138,0)</f>
        <v/>
      </c>
      <c r="T3138" t="n">
        <v>0</v>
      </c>
      <c r="V3138" t="n">
        <v>0</v>
      </c>
    </row>
    <row r="3139">
      <c r="A3139">
        <f>Skills!A9</f>
        <v/>
      </c>
      <c r="B3139">
        <f>Skills!B9</f>
        <v/>
      </c>
      <c r="C3139">
        <f>Inputs!$B$3&gt;=72</f>
        <v/>
      </c>
      <c r="D3139">
        <f>IF(Skills!C9=1,60+Inputs!$B$25+Inputs!$B$29,IF(Skills!C9=2,90+Inputs!$B$26+Inputs!$B$29,IF(Skills!C9=3,120+Inputs!$B$27+Inputs!$B$29,MAX(0,(Inputs!$B$3-100)*3)+Inputs!$B$28+Inputs!$B$29)))</f>
        <v/>
      </c>
      <c r="E3139">
        <f>INDEX(FactorTable!$B$2:$Y$301, MATCH(ROUND(MIN(300,MAX(1,D3139)),0), FactorTable!$A$2:$A$301,0), Skills!M9+1)</f>
        <v/>
      </c>
      <c r="F3139">
        <f>IF(Skills!N9=TRUE,(Skills!L9/10)*(E3139/1000),Skills!L9/10)+Skills!O9</f>
        <v/>
      </c>
      <c r="G3139">
        <f>Skills!G9*IF(Skills!H9&gt;0,IF(Inputs!$B$39="pvp",MIN(Skills!I9,15),Skills!I9)/Skills!H9,1)</f>
        <v/>
      </c>
      <c r="H3139">
        <f>1-(1-Skills!J9/100)^Skills!K9</f>
        <v/>
      </c>
      <c r="I3139" t="inlineStr">
        <is>
          <t>1</t>
        </is>
      </c>
      <c r="J3139">
        <f>((Inputs!$B$6*(1+Inputs!$B$7/100))+(((Inputs!$B$12*(1+Inputs!$B$13/100))-(Inputs!$B$12*(1+Inputs!$B$13/100)))+0.25*(Inputs!$B$14-Inputs!$B$14))*(1+Inputs!$B$7/100))*(F3139/100)</f>
        <v/>
      </c>
      <c r="K3139">
        <f>J3139*(1+((Inputs!$B$12*(1+Inputs!$B$13/100))*0.01+Inputs!$B$14*0.0025)/100)*(1+Inputs!$B$15/100)*(1+Inputs!$B$16/100)*(5000/(6000+Inputs!$B$43*(1-(100*(1-(1-Inputs!$B$19/100)*(1-CHOOSE(ArtifactsInput!$N$40+1,5,6,7,8,9,10)/100)^(IF(ArtifactsInput!$M$40,FALSE,TRUE)-ArtifactsInput!$M$40)))/100)))*(1+(Inputs!$B$24+((C3161=TRUE)*(F3161-Calc!F31))+((C3148=TRUE)*(F3148-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+3.3333333333333335*IF(C3149=TRUE,F3149,0)/100)*(1+(IF(Skills!A9="CRUEL_STAB",Inputs!$B$17+((C3158=TRUE)*(F3158-Calc!F28))+((IF(AND(Inputs!$B$39&lt;&gt;"pvp",Inputs!$B$44=0),1,IF(IF(Inputs!$B$39="pvp",15,Inputs!$B$44)-(B3175)&lt;=0,1,MAX(0,IF(Inputs!$B$39="pvp",15,Inputs!$B$44)-MAX(5,B3175))/(IF(Inputs!$B$39="pvp",15,Inputs!$B$44)-(B3175))))*(IF(AND(ArtifactsInput!$M$42,((Inputs!$B$9+((C3156=TRUE)*(F3156-Calc!F26))+B3164+(ArtifactsInput!$M$24-ArtifactsInput!$M$24)*CHOOSE(ArtifactsInput!$N$24+1,10,12,14,16,18,20)+IF(ArtifactsInput!$M$10,CHOOSE(ArtifactsInput!$N$10+1,15,18,21,24,27,30)*(IF(Inputs!$B$39="pvp",MIN(15,15)/15,IF(AND(Inputs!$B$39&lt;&gt;"pvp",Inputs!$B$44&gt;0),MIN(15,Inputs!$B$44)/(Inputs!$B$44),0))),0)))&gt;=100),MIN(100,((Inputs!$B$9+((C3156=TRUE)*(F3156-Calc!F26))+B3164+(ArtifactsInput!$M$24-ArtifactsInput!$M$24)*CHOOSE(ArtifactsInput!$N$24+1,10,12,14,16,18,20)+IF(ArtifactsInput!$M$10,CHOOSE(ArtifactsInput!$N$10+1,15,18,21,24,27,30)*(IF(Inputs!$B$39="pvp",MIN(15,15)/15,IF(AND(Inputs!$B$39&lt;&gt;"pvp",Inputs!$B$44&gt;0),MIN(15,Inputs!$B$44)/(Inputs!$B$44),0))),0)))-100),0))*CHOOSE(ArtifactsInput!$N$42+1,0.6,0.72,0.84,0.96,1.08,1.2))),Inputs!$B$18+((C3159=TRUE)*(F3159-Calc!F29))+(IF(AND(Inputs!$B$39&lt;&gt;"pvp",Inputs!$B$44=0),1,IF(IF(Inputs!$B$39="pvp",15,Inputs!$B$44)-(B3175)&lt;=0,1,MAX(0,IF(Inputs!$B$39="pvp",15,Inputs!$B$44)-MAX(5,B3175))/(IF(Inputs!$B$39="pvp",15,Inputs!$B$44)-(B3175))))*IF(AND(ArtifactsInput!$M$42,((Inputs!$B$9+((C3156=TRUE)*(F3156-Calc!F26))+B3164+(ArtifactsInput!$M$24-ArtifactsInput!$M$24)*CHOOSE(ArtifactsInput!$N$24+1,10,12,14,16,18,20)+IF(ArtifactsInput!$M$10,CHOOSE(ArtifactsInput!$N$10+1,15,18,21,24,27,30)*(IF(Inputs!$B$39="pvp",MIN(15,15)/15,IF(AND(Inputs!$B$39&lt;&gt;"pvp",Inputs!$B$44&gt;0),MIN(15,Inputs!$B$44)/(Inputs!$B$44),0))),0)))&gt;=100),CHOOSE(ArtifactsInput!$N$42+1,40,48,56,64,72,80),0))))/100)*(((1+(((C3152=TRUE)*F3152*IF(AND(Inputs!$B$39&lt;&gt;"pvp",Inputs!$B$44&gt;0),(((R3152-1)*MIN((Skills!Y22*(1+Inputs!$B$34/100)),(1/Q3152))+MIN((Skills!Y22*(1+Inputs!$B$34/100)),MAX(0,Inputs!$B$44-((R3152-1)*(1/Q3152)))))/Inputs!$B$44),IF(Inputs!$B$39="pvp",MIN((Skills!Y22*(1+Inputs!$B$34/100)),15)/15,MIN(1,(Skills!Y22*(1+Inputs!$B$34/100))/(1/Q3152)))))+((C3133=TRUE)*F3133*3)+((C3135=TRUE)*F3135*(1-EXP(-0.75*B3168*5)))+((C3154=TRUE)*(F3154-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IF(ArtifactsInput!$M$40,FALSE,TRUE),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3141=TRUE)*F3141*IF(AND(Inputs!$B$39&lt;&gt;"pvp",Inputs!$B$44&gt;0),(((R3141-1)*MIN((Skills!Y11*(1+Inputs!$B$34/100)),(1/Q3141))+MIN((Skills!Y11*(1+Inputs!$B$34/100)),MAX(0,Inputs!$B$44-((R3141-1)*(1/Q3141)))))/Inputs!$B$44),IF(Inputs!$B$39="pvp",MIN((Skills!Y11*(1+Inputs!$B$34/100)),15)/15,MIN(1,(Skills!Y11*(1+Inputs!$B$34/100))/(1/Q3141)))))/100)*(1+((C3146=TRUE)*F3146*IF(AND(Inputs!$B$39&lt;&gt;"pvp",Inputs!$B$44&gt;0),(((R3146-1)*MIN((Skills!Y16*(1+Inputs!$B$34/100)),(1/Q3146))+MIN((Skills!Y16*(1+Inputs!$B$34/100)),MAX(0,Inputs!$B$44-((R3146-1)*(1/Q3146)))))/Inputs!$B$44),IF(Inputs!$B$39="pvp",MIN((Skills!Y16*(1+Inputs!$B$34/100)),15)/15,MIN(1,(Skills!Y16*(1+Inputs!$B$34/100))/(1/Q3146)))))/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3166*I3139)</f>
        <v/>
      </c>
      <c r="L3139">
        <f>K3139*(MIN(Inputs!$B$22+((C3155=TRUE)*(F3155-Calc!F25)),(Inputs!$B$23+((C3160=TRUE)*(F3160-Calc!F30))+IF(ArtifactsInput!$M$15,CHOOSE(ArtifactsInput!$N$15+1,25,30,35,40,45,50)/100*(Inputs!$B$11-Inputs!$B$11),0)))/100+(Inputs!$B$23+((C3160=TRUE)*(F3160-Calc!F30))+IF(ArtifactsInput!$M$15,CHOOSE(ArtifactsInput!$N$15+1,25,30,35,40,45,50)/100*(Inputs!$B$11-Inputs!$B$11),0))/100)/2</f>
        <v/>
      </c>
      <c r="M3139">
        <f>L3139*(1+(Inputs!$B$10+((C3157=TRUE)*(F3157-Calc!F27))+B3171+(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3139">
        <f>L3139*(1-MIN((Inputs!$B$9+((C3156=TRUE)*(F3156-Calc!F26))+B3164+(ArtifactsInput!$M$24-ArtifactsInput!$M$24)*CHOOSE(ArtifactsInput!$N$24+1,10,12,14,16,18,20)+(IF(AND(Inputs!$B$39&lt;&gt;"pvp",Inputs!$B$44=0),1,IF(IF(Inputs!$B$39="pvp",15,Inputs!$B$44)-(B3175)&lt;=0,1,MAX(0,IF(Inputs!$B$39="pvp",15,Inputs!$B$44)-MAX(5,B3175))/(IF(Inputs!$B$39="pvp",15,Inputs!$B$44)-(B3175))))*IF(AND(ArtifactsInput!$M$42,((Inputs!$B$9+((C3156=TRUE)*(F3156-Calc!F26))+B3164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3139*(MIN((Inputs!$B$9+((C3156=TRUE)*(F3156-Calc!F26))+B3164+(ArtifactsInput!$M$24-ArtifactsInput!$M$24)*CHOOSE(ArtifactsInput!$N$24+1,10,12,14,16,18,20)+(IF(AND(Inputs!$B$39&lt;&gt;"pvp",Inputs!$B$44=0),1,IF(IF(Inputs!$B$39="pvp",15,Inputs!$B$44)-(B3175)&lt;=0,1,MAX(0,IF(Inputs!$B$39="pvp",15,Inputs!$B$44)-MAX(5,B3175))/(IF(Inputs!$B$39="pvp",15,Inputs!$B$44)-(B3175))))*IF(AND(ArtifactsInput!$M$42,((Inputs!$B$9+((C3156=TRUE)*(F3156-Calc!F26))+B3164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3139">
        <f>(1-Summary!$B$11)*T3139+Summary!$B$11*V3139</f>
        <v/>
      </c>
      <c r="P3139">
        <f>IF(B3176=0,0,O3139/B3176)</f>
        <v/>
      </c>
      <c r="Q3139">
        <f>IFERROR(1/IF(Inputs!$B$39="pvp",15,MAX(0.1,Skills!D9-IF(FALSE=TRUE,Inputs!$B$32,0))),0)</f>
        <v/>
      </c>
      <c r="R3139">
        <f>IF(AND(Inputs!$B$39&lt;&gt;"pvp",Inputs!$B$44&gt;0),IF(MAX(0,Inputs!$B$44-B3175)&lt;=0,0,(INT(MAX(0,Inputs!$B$44-B3175)/IF(Inputs!$B$39="pvp",15,MAX(0.1,Skills!D9-IF(FALSE=TRUE,Inputs!$B$32,0))))+1)),0)</f>
        <v/>
      </c>
      <c r="S3139">
        <f>IFERROR(O3139/N3139,0)</f>
        <v/>
      </c>
      <c r="T3139">
        <f>IF(C3139,(H3139*N3139*IF(AND(Inputs!$B$39&lt;&gt;"pvp",Inputs!$B$44&gt;0),((Skills!G9*((R3139-1)*IF(Skills!H9&gt;0,Skills!I9/Skills!H9,1)+IF(Skills!H9&gt;0,MIN(Skills!I9,MAX(0,MAX(0,Inputs!$B$44-B3175)-((R3139-1)*IF(Inputs!$B$39="pvp",15,MAX(0.1,Skills!D9-IF(FALSE=TRUE,Inputs!$B$32,0))))))/Skills!H9,1)))/Inputs!$B$44),G3139*Q3139))*IF(Inputs!$B$39="pvp",1,1+(Inputs!$B$20+0+Skills!P9+B3165+(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Hunt"),CHOOSE(ArtifactsInput!$N$35+1,15,18,21,24,27,30)*(1-EXP(-(0.2*B3168)*5)),0)+IF(AND(ArtifactsInput!$M$22,Inputs!$B$4&lt;&gt;"Chapter Hunt"),CHOOSE(ArtifactsInput!$N$22+1,10,12,14,16,18,20)*((0*(((0.15*B3168*5))^0/1)+1*(((0.15*B3168*5))^1/1)+2*(((0.15*B3168*5))^2/2)+3*(((0.15*B3168*5))^3/6)+4*(((0.15*B3168*5))^4/24)+5*(((0.15*B3168*5))^5/120))/((((0.15*B3168*5))^0/1)+(((0.15*B3168*5))^1/1)+(((0.15*B3168*5))^2/2)+(((0.15*B3168*5))^3/6)+(((0.15*B3168*5))^4/24)+(((0.15*B3168*5))^5/120))),0)))/100)*((((5000/(6000+Inputs!$B$43*(1-(100*(1-(1-(100*(1-(1-Inputs!$B$19/100)*(1-CHOOSE(ArtifactsInput!$N$40+1,5,6,7,8,9,10)/100)^(IF(ArtifactsInput!$M$40,FALSE,TRUE)-ArtifactsInput!$M$40)))/100)*(1-IF(IF(ArtifactsInput!$M$40,FALSE,TRUE),CHOOSE(ArtifactsInput!$N$40+1,5,6,7,8,9,10),0)/100)^IF(Inputs!$B$39="pvp",1,2)))/100)))/(5000/(6000+Inputs!$B$43*(1-(100*(1-(1-Inputs!$B$19/100)*(1-CHOOSE(ArtifactsInput!$N$40+1,5,6,7,8,9,10)/100)^(IF(ArtifactsInput!$M$40,FALSE,TRUE)-ArtifactsInput!$M$40)))/100))))*((L3139*(1-MIN(100,(Inputs!$B$9+((C3156=TRUE)*(F3156-Calc!F26))+B3164+(ArtifactsInput!$M$24-ArtifactsInput!$M$24)*CHOOSE(ArtifactsInput!$N$24+1,10,12,14,16,18,20)+(IF(AND(Inputs!$B$39&lt;&gt;"pvp",Inputs!$B$44=0),1,IF(IF(Inputs!$B$39="pvp",15,Inputs!$B$44)-(B3175)&lt;=0,1,MAX(0,IF(Inputs!$B$39="pvp",15,Inputs!$B$44)-MAX(5,B3175))/(IF(Inputs!$B$39="pvp",15,Inputs!$B$44)-(B3175))))*IF(AND(ArtifactsInput!$M$42,((Inputs!$B$9+((C3156=TRUE)*(F3156-Calc!F26))+B3164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3139*(MIN(100,(Inputs!$B$9+((C3156=TRUE)*(F3156-Calc!F26))+B3164+(ArtifactsInput!$M$24-ArtifactsInput!$M$24)*CHOOSE(ArtifactsInput!$N$24+1,10,12,14,16,18,20)+(IF(AND(Inputs!$B$39&lt;&gt;"pvp",Inputs!$B$44=0),1,IF(IF(Inputs!$B$39="pvp",15,Inputs!$B$44)-(B3175)&lt;=0,1,MAX(0,IF(Inputs!$B$39="pvp",15,Inputs!$B$44)-MAX(5,B3175))/(IF(Inputs!$B$39="pvp",15,Inputs!$B$44)-(B3175))))*IF(AND(ArtifactsInput!$M$42,((Inputs!$B$9+((C3156=TRUE)*(F3156-Calc!F26))+B3164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3139*(1-MIN(100,(Inputs!$B$9+((C3156=TRUE)*(F3156-Calc!F26))+B3164+(ArtifactsInput!$M$24-ArtifactsInput!$M$24)*CHOOSE(ArtifactsInput!$N$24+1,10,12,14,16,18,20)+(IF(AND(Inputs!$B$39&lt;&gt;"pvp",Inputs!$B$44=0),1,IF(IF(Inputs!$B$39="pvp",15,Inputs!$B$44)-(B3175)&lt;=0,1,MAX(0,IF(Inputs!$B$39="pvp",15,Inputs!$B$44)-MAX(5,B3175))/(IF(Inputs!$B$39="pvp",15,Inputs!$B$44)-(B3175))))*IF(AND(ArtifactsInput!$M$42,((Inputs!$B$9+((C3156=TRUE)*(F3156-Calc!F26))+B3164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3139*(MIN(100,(Inputs!$B$9+((C3156=TRUE)*(F3156-Calc!F26))+B3164+(ArtifactsInput!$M$24-ArtifactsInput!$M$24)*CHOOSE(ArtifactsInput!$N$24+1,10,12,14,16,18,20)+(IF(AND(Inputs!$B$39&lt;&gt;"pvp",Inputs!$B$44=0),1,IF(IF(Inputs!$B$39="pvp",15,Inputs!$B$44)-(B3175)&lt;=0,1,MAX(0,IF(Inputs!$B$39="pvp",15,Inputs!$B$44)-MAX(5,B3175))/(IF(Inputs!$B$39="pvp",15,Inputs!$B$44)-(B3175))))*IF(AND(ArtifactsInput!$M$42,((Inputs!$B$9+((C3156=TRUE)*(F3156-Calc!F26))+B3164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3139">
        <f>IF(C3139,(H3139*N3139*IF(AND(Inputs!$B$39&lt;&gt;"pvp",Inputs!$B$44&gt;0),((Skills!G9*((R3139-1)*IF(Skills!H9&gt;0,Skills!I9/Skills!H9,1)+IF(Skills!H9&gt;0,MIN(Skills!I9,MAX(0,MAX(0,Inputs!$B$44-B3175)-((R3139-1)*IF(Inputs!$B$39="pvp",15,MAX(0.1,Skills!D9-IF(FALSE=TRUE,Inputs!$B$32,0))))))/Skills!H9,1)))/Inputs!$B$44),G3139*Q3139))*IF(Inputs!$B$39="pvp",1,(1+(Inputs!$B$21+Skills!Q9+B3165+(IF(ArtifactsInput!$M$33,CHOOSE(ArtifactsInput!$N$33+1,30,36,42,48,54,60),0))+(IF(AND(ArtifactsInput!$M$35,Inputs!$B$4&lt;&gt;"Chapter Hunt"),CHOOSE(ArtifactsInput!$N$35+1,15,18,21,24,27,30)*(1-EXP(-(0.2*B3168)*5)),0)+IF(AND(ArtifactsInput!$M$22,Inputs!$B$4&lt;&gt;"Chapter Hunt"),CHOOSE(ArtifactsInput!$N$22+1,10,12,14,16,18,20)*((0*(((0.15*B3168*5))^0/1)+1*(((0.15*B3168*5))^1/1)+2*(((0.15*B3168*5))^2/2)+3*(((0.15*B3168*5))^3/6)+4*(((0.15*B3168*5))^4/24)+5*(((0.15*B3168*5))^5/120))/((((0.15*B3168*5))^0/1)+(((0.15*B3168*5))^1/1)+(((0.15*B3168*5))^2/2)+(((0.15*B3168*5))^3/6)+(((0.15*B3168*5))^4/24)+(((0.15*B3168*5))^5/120))),0)))/100)*(MIN(Skills!W9,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3140">
      <c r="A3140">
        <f>Skills!A10</f>
        <v/>
      </c>
      <c r="B3140">
        <f>Skills!B10</f>
        <v/>
      </c>
      <c r="C3140">
        <f>Inputs!$B$3&gt;=117</f>
        <v/>
      </c>
      <c r="D3140">
        <f>IF(Skills!C10=1,60+Inputs!$B$25+Inputs!$B$29,IF(Skills!C10=2,90+Inputs!$B$26+Inputs!$B$29,IF(Skills!C10=3,120+Inputs!$B$27+Inputs!$B$29,MAX(0,(Inputs!$B$3-100)*3)+Inputs!$B$28+Inputs!$B$29)))</f>
        <v/>
      </c>
      <c r="E3140">
        <f>INDEX(FactorTable!$B$2:$Y$301, MATCH(ROUND(MIN(300,MAX(1,D3140)),0), FactorTable!$A$2:$A$301,0), Skills!M10+1)</f>
        <v/>
      </c>
      <c r="F3140">
        <f>IF(Skills!N10=TRUE,(Skills!L10/10)*(E3140/1000),Skills!L10/10)+Skills!O10</f>
        <v/>
      </c>
      <c r="G3140">
        <f>Skills!G10*IF(Skills!H10&gt;0,IF(Inputs!$B$39="pvp",MIN(Skills!I10,15),Skills!I10)/Skills!H10,1)</f>
        <v/>
      </c>
      <c r="H3140">
        <f>1-(1-Skills!J10/100)^Skills!K10</f>
        <v/>
      </c>
      <c r="I3140" t="inlineStr">
        <is>
          <t>1</t>
        </is>
      </c>
      <c r="J3140">
        <f>((Inputs!$B$6*(1+Inputs!$B$7/100))+(((Inputs!$B$12*(1+Inputs!$B$13/100))-(Inputs!$B$12*(1+Inputs!$B$13/100)))+0.25*(Inputs!$B$14-Inputs!$B$14))*(1+Inputs!$B$7/100))*(F3140/100)</f>
        <v/>
      </c>
      <c r="K3140">
        <f>J3140*(1+((Inputs!$B$12*(1+Inputs!$B$13/100))*0.01+Inputs!$B$14*0.0025)/100)*(1+Inputs!$B$15/100)*(1+Inputs!$B$16/100)*(5000/(6000+Inputs!$B$43*(1-(100*(1-(1-Inputs!$B$19/100)*(1-CHOOSE(ArtifactsInput!$N$40+1,5,6,7,8,9,10)/100)^(IF(ArtifactsInput!$M$40,FALSE,TRUE)-ArtifactsInput!$M$40)))/100)))*(1+(Inputs!$B$24+((C3161=TRUE)*(F3161-Calc!F31))+((C3148=TRUE)*(F3148-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10="CRUEL_STAB",Inputs!$B$17+((C3158=TRUE)*(F3158-Calc!F28))+((IF(AND(Inputs!$B$39&lt;&gt;"pvp",Inputs!$B$44=0),1,IF(IF(Inputs!$B$39="pvp",15,Inputs!$B$44)-(B3175)&lt;=0,1,MAX(0,IF(Inputs!$B$39="pvp",15,Inputs!$B$44)-MAX(5,B3175))/(IF(Inputs!$B$39="pvp",15,Inputs!$B$44)-(B3175))))*(IF(AND(ArtifactsInput!$M$42,((Inputs!$B$9+((C3156=TRUE)*(F3156-Calc!F26))+B3164+(ArtifactsInput!$M$24-ArtifactsInput!$M$24)*CHOOSE(ArtifactsInput!$N$24+1,10,12,14,16,18,20)+IF(ArtifactsInput!$M$10,CHOOSE(ArtifactsInput!$N$10+1,15,18,21,24,27,30)*(IF(Inputs!$B$39="pvp",MIN(15,15)/15,IF(AND(Inputs!$B$39&lt;&gt;"pvp",Inputs!$B$44&gt;0),MIN(15,Inputs!$B$44)/(Inputs!$B$44),0))),0)))&gt;=100),MIN(100,((Inputs!$B$9+((C3156=TRUE)*(F3156-Calc!F26))+B3164+(ArtifactsInput!$M$24-ArtifactsInput!$M$24)*CHOOSE(ArtifactsInput!$N$24+1,10,12,14,16,18,20)+IF(ArtifactsInput!$M$10,CHOOSE(ArtifactsInput!$N$10+1,15,18,21,24,27,30)*(IF(Inputs!$B$39="pvp",MIN(15,15)/15,IF(AND(Inputs!$B$39&lt;&gt;"pvp",Inputs!$B$44&gt;0),MIN(15,Inputs!$B$44)/(Inputs!$B$44),0))),0)))-100),0))*CHOOSE(ArtifactsInput!$N$42+1,0.6,0.72,0.84,0.96,1.08,1.2))),Inputs!$B$18+((C3159=TRUE)*(F3159-Calc!F29))+(IF(AND(Inputs!$B$39&lt;&gt;"pvp",Inputs!$B$44=0),1,IF(IF(Inputs!$B$39="pvp",15,Inputs!$B$44)-(B3175)&lt;=0,1,MAX(0,IF(Inputs!$B$39="pvp",15,Inputs!$B$44)-MAX(5,B3175))/(IF(Inputs!$B$39="pvp",15,Inputs!$B$44)-(B3175))))*IF(AND(ArtifactsInput!$M$42,((Inputs!$B$9+((C3156=TRUE)*(F3156-Calc!F26))+B3164+(ArtifactsInput!$M$24-ArtifactsInput!$M$24)*CHOOSE(ArtifactsInput!$N$24+1,10,12,14,16,18,20)+IF(ArtifactsInput!$M$10,CHOOSE(ArtifactsInput!$N$10+1,15,18,21,24,27,30)*(IF(Inputs!$B$39="pvp",MIN(15,15)/15,IF(AND(Inputs!$B$39&lt;&gt;"pvp",Inputs!$B$44&gt;0),MIN(15,Inputs!$B$44)/(Inputs!$B$44),0))),0)))&gt;=100),CHOOSE(ArtifactsInput!$N$42+1,40,48,56,64,72,80),0))))/100)*(((1+(((C3152=TRUE)*F3152*IF(AND(Inputs!$B$39&lt;&gt;"pvp",Inputs!$B$44&gt;0),(((R3152-1)*MIN((Skills!Y22*(1+Inputs!$B$34/100)),(1/Q3152))+MIN((Skills!Y22*(1+Inputs!$B$34/100)),MAX(0,Inputs!$B$44-((R3152-1)*(1/Q3152)))))/Inputs!$B$44),IF(Inputs!$B$39="pvp",MIN((Skills!Y22*(1+Inputs!$B$34/100)),15)/15,MIN(1,(Skills!Y22*(1+Inputs!$B$34/100))/(1/Q3152)))))+((C3133=TRUE)*F3133*3)+((C3135=TRUE)*F3135*(1-EXP(-0.75*B3168*5)))+((C3154=TRUE)*(F3154-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IF(ArtifactsInput!$M$40,FALSE,TRUE),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3141=TRUE)*F3141*IF(AND(Inputs!$B$39&lt;&gt;"pvp",Inputs!$B$44&gt;0),(((R3141-1)*MIN((Skills!Y11*(1+Inputs!$B$34/100)),(1/Q3141))+MIN((Skills!Y11*(1+Inputs!$B$34/100)),MAX(0,Inputs!$B$44-((R3141-1)*(1/Q3141)))))/Inputs!$B$44),IF(Inputs!$B$39="pvp",MIN((Skills!Y11*(1+Inputs!$B$34/100)),15)/15,MIN(1,(Skills!Y11*(1+Inputs!$B$34/100))/(1/Q3141)))))/100)*(1+((C3146=TRUE)*F3146*IF(AND(Inputs!$B$39&lt;&gt;"pvp",Inputs!$B$44&gt;0),(((R3146-1)*MIN((Skills!Y16*(1+Inputs!$B$34/100)),(1/Q3146))+MIN((Skills!Y16*(1+Inputs!$B$34/100)),MAX(0,Inputs!$B$44-((R3146-1)*(1/Q3146)))))/Inputs!$B$44),IF(Inputs!$B$39="pvp",MIN((Skills!Y16*(1+Inputs!$B$34/100)),15)/15,MIN(1,(Skills!Y16*(1+Inputs!$B$34/100))/(1/Q3146)))))/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3166*I3140)</f>
        <v/>
      </c>
      <c r="L3140">
        <f>K3140*(MIN(Inputs!$B$22+((C3155=TRUE)*(F3155-Calc!F25)),(Inputs!$B$23+((C3160=TRUE)*(F3160-Calc!F30))+IF(ArtifactsInput!$M$15,CHOOSE(ArtifactsInput!$N$15+1,25,30,35,40,45,50)/100*(Inputs!$B$11-Inputs!$B$11),0)))/100+(Inputs!$B$23+((C3160=TRUE)*(F3160-Calc!F30))+IF(ArtifactsInput!$M$15,CHOOSE(ArtifactsInput!$N$15+1,25,30,35,40,45,50)/100*(Inputs!$B$11-Inputs!$B$11),0))/100)/2</f>
        <v/>
      </c>
      <c r="M3140">
        <f>L3140*(1+(Inputs!$B$10+((C3157=TRUE)*(F3157-Calc!F27))+B3171+(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3140">
        <f>L3140*(1-MIN((Inputs!$B$9+((C3156=TRUE)*(F3156-Calc!F26))+B3164+(ArtifactsInput!$M$24-ArtifactsInput!$M$24)*CHOOSE(ArtifactsInput!$N$24+1,10,12,14,16,18,20)+(IF(AND(Inputs!$B$39&lt;&gt;"pvp",Inputs!$B$44=0),1,IF(IF(Inputs!$B$39="pvp",15,Inputs!$B$44)-(B3175)&lt;=0,1,MAX(0,IF(Inputs!$B$39="pvp",15,Inputs!$B$44)-MAX(5,B3175))/(IF(Inputs!$B$39="pvp",15,Inputs!$B$44)-(B3175))))*IF(AND(ArtifactsInput!$M$42,((Inputs!$B$9+((C3156=TRUE)*(F3156-Calc!F26))+B3164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3140*(MIN((Inputs!$B$9+((C3156=TRUE)*(F3156-Calc!F26))+B3164+(ArtifactsInput!$M$24-ArtifactsInput!$M$24)*CHOOSE(ArtifactsInput!$N$24+1,10,12,14,16,18,20)+(IF(AND(Inputs!$B$39&lt;&gt;"pvp",Inputs!$B$44=0),1,IF(IF(Inputs!$B$39="pvp",15,Inputs!$B$44)-(B3175)&lt;=0,1,MAX(0,IF(Inputs!$B$39="pvp",15,Inputs!$B$44)-MAX(5,B3175))/(IF(Inputs!$B$39="pvp",15,Inputs!$B$44)-(B3175))))*IF(AND(ArtifactsInput!$M$42,((Inputs!$B$9+((C3156=TRUE)*(F3156-Calc!F26))+B3164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3140">
        <f>(1-Summary!$B$11)*T3140+Summary!$B$11*V3140</f>
        <v/>
      </c>
      <c r="P3140">
        <f>IF(B3176=0,0,O3140/B3176)</f>
        <v/>
      </c>
      <c r="Q3140" t="n">
        <v>0</v>
      </c>
      <c r="R3140" t="n">
        <v>0</v>
      </c>
      <c r="S3140" t="n">
        <v>0</v>
      </c>
      <c r="T3140">
        <f>IF(C3140,(0.2*SUMPRODUCT((Skills!Z2:Z31=TRUE)*(C3132:C3161=TRUE)*S3132:S3161)*N3140)*IF(Inputs!$B$39="pvp",1,1+(Inputs!$B$20+0+Skills!P10+B3165+(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Hunt"),CHOOSE(ArtifactsInput!$N$35+1,15,18,21,24,27,30)*(1-EXP(-(0.2*B3168)*5)),0)+IF(AND(ArtifactsInput!$M$22,Inputs!$B$4&lt;&gt;"Chapter Hunt"),CHOOSE(ArtifactsInput!$N$22+1,10,12,14,16,18,20)*((0*(((0.15*B3168*5))^0/1)+1*(((0.15*B3168*5))^1/1)+2*(((0.15*B3168*5))^2/2)+3*(((0.15*B3168*5))^3/6)+4*(((0.15*B3168*5))^4/24)+5*(((0.15*B3168*5))^5/120))/((((0.15*B3168*5))^0/1)+(((0.15*B3168*5))^1/1)+(((0.15*B3168*5))^2/2)+(((0.15*B3168*5))^3/6)+(((0.15*B3168*5))^4/24)+(((0.15*B3168*5))^5/120))),0)))/100)*((((5000/(6000+Inputs!$B$43*(1-(100*(1-(1-(100*(1-(1-Inputs!$B$19/100)*(1-CHOOSE(ArtifactsInput!$N$40+1,5,6,7,8,9,10)/100)^(IF(ArtifactsInput!$M$40,FALSE,TRUE)-ArtifactsInput!$M$40)))/100)*(1-IF(IF(ArtifactsInput!$M$40,FALSE,TRUE),CHOOSE(ArtifactsInput!$N$40+1,5,6,7,8,9,10),0)/100)^IF(Inputs!$B$39="pvp",1,2)))/100)))/(5000/(6000+Inputs!$B$43*(1-(100*(1-(1-Inputs!$B$19/100)*(1-CHOOSE(ArtifactsInput!$N$40+1,5,6,7,8,9,10)/100)^(IF(ArtifactsInput!$M$40,FALSE,TRUE)-ArtifactsInput!$M$40)))/100))))*((L3140*(1-MIN(100,(Inputs!$B$9+((C3156=TRUE)*(F3156-Calc!F26))+B3164+(ArtifactsInput!$M$24-ArtifactsInput!$M$24)*CHOOSE(ArtifactsInput!$N$24+1,10,12,14,16,18,20)+(IF(AND(Inputs!$B$39&lt;&gt;"pvp",Inputs!$B$44=0),1,IF(IF(Inputs!$B$39="pvp",15,Inputs!$B$44)-(B3175)&lt;=0,1,MAX(0,IF(Inputs!$B$39="pvp",15,Inputs!$B$44)-MAX(5,B3175))/(IF(Inputs!$B$39="pvp",15,Inputs!$B$44)-(B3175))))*IF(AND(ArtifactsInput!$M$42,((Inputs!$B$9+((C3156=TRUE)*(F3156-Calc!F26))+B3164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3140*(MIN(100,(Inputs!$B$9+((C3156=TRUE)*(F3156-Calc!F26))+B3164+(ArtifactsInput!$M$24-ArtifactsInput!$M$24)*CHOOSE(ArtifactsInput!$N$24+1,10,12,14,16,18,20)+(IF(AND(Inputs!$B$39&lt;&gt;"pvp",Inputs!$B$44=0),1,IF(IF(Inputs!$B$39="pvp",15,Inputs!$B$44)-(B3175)&lt;=0,1,MAX(0,IF(Inputs!$B$39="pvp",15,Inputs!$B$44)-MAX(5,B3175))/(IF(Inputs!$B$39="pvp",15,Inputs!$B$44)-(B3175))))*IF(AND(ArtifactsInput!$M$42,((Inputs!$B$9+((C3156=TRUE)*(F3156-Calc!F26))+B3164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3140*(1-MIN(100,(Inputs!$B$9+((C3156=TRUE)*(F3156-Calc!F26))+B3164+(ArtifactsInput!$M$24-ArtifactsInput!$M$24)*CHOOSE(ArtifactsInput!$N$24+1,10,12,14,16,18,20)+(IF(AND(Inputs!$B$39&lt;&gt;"pvp",Inputs!$B$44=0),1,IF(IF(Inputs!$B$39="pvp",15,Inputs!$B$44)-(B3175)&lt;=0,1,MAX(0,IF(Inputs!$B$39="pvp",15,Inputs!$B$44)-MAX(5,B3175))/(IF(Inputs!$B$39="pvp",15,Inputs!$B$44)-(B3175))))*IF(AND(ArtifactsInput!$M$42,((Inputs!$B$9+((C3156=TRUE)*(F3156-Calc!F26))+B3164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3140*(MIN(100,(Inputs!$B$9+((C3156=TRUE)*(F3156-Calc!F26))+B3164+(ArtifactsInput!$M$24-ArtifactsInput!$M$24)*CHOOSE(ArtifactsInput!$N$24+1,10,12,14,16,18,20)+(IF(AND(Inputs!$B$39&lt;&gt;"pvp",Inputs!$B$44=0),1,IF(IF(Inputs!$B$39="pvp",15,Inputs!$B$44)-(B3175)&lt;=0,1,MAX(0,IF(Inputs!$B$39="pvp",15,Inputs!$B$44)-MAX(5,B3175))/(IF(Inputs!$B$39="pvp",15,Inputs!$B$44)-(B3175))))*IF(AND(ArtifactsInput!$M$42,((Inputs!$B$9+((C3156=TRUE)*(F3156-Calc!F26))+B3164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3140">
        <f>IF(C3140,(0.2*SUMPRODUCT((Skills!Z2:Z31=TRUE)*(C3132:C3161=TRUE)*S3132:S3161)*N3140)*IF(Inputs!$B$39="pvp",1,(1+(Inputs!$B$21+Skills!Q10+B3165+(IF(ArtifactsInput!$M$33,CHOOSE(ArtifactsInput!$N$33+1,30,36,42,48,54,60),0))+(IF(AND(ArtifactsInput!$M$35,Inputs!$B$4&lt;&gt;"Chapter Hunt"),CHOOSE(ArtifactsInput!$N$35+1,15,18,21,24,27,30)*(1-EXP(-(0.2*B3168)*5)),0)+IF(AND(ArtifactsInput!$M$22,Inputs!$B$4&lt;&gt;"Chapter Hunt"),CHOOSE(ArtifactsInput!$N$22+1,10,12,14,16,18,20)*((0*(((0.15*B3168*5))^0/1)+1*(((0.15*B3168*5))^1/1)+2*(((0.15*B3168*5))^2/2)+3*(((0.15*B3168*5))^3/6)+4*(((0.15*B3168*5))^4/24)+5*(((0.15*B3168*5))^5/120))/((((0.15*B3168*5))^0/1)+(((0.15*B3168*5))^1/1)+(((0.15*B3168*5))^2/2)+(((0.15*B3168*5))^3/6)+(((0.15*B3168*5))^4/24)+(((0.15*B3168*5))^5/120))),0)))/100)*(MIN(Skills!W10,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3141">
      <c r="A3141">
        <f>Skills!A11</f>
        <v/>
      </c>
      <c r="B3141">
        <f>Skills!B11</f>
        <v/>
      </c>
      <c r="C3141">
        <f>Inputs!$B$3&gt;=74</f>
        <v/>
      </c>
      <c r="D3141">
        <f>IF(Skills!C11=1,60+Inputs!$B$25+Inputs!$B$29,IF(Skills!C11=2,90+Inputs!$B$26+Inputs!$B$29,IF(Skills!C11=3,120+Inputs!$B$27+Inputs!$B$29,MAX(0,(Inputs!$B$3-100)*3)+Inputs!$B$28+Inputs!$B$29)))</f>
        <v/>
      </c>
      <c r="E3141">
        <f>INDEX(FactorTable!$B$2:$Y$301, MATCH(ROUND(MIN(300,MAX(1,D3141)),0), FactorTable!$A$2:$A$301,0), Skills!M11+1)</f>
        <v/>
      </c>
      <c r="F3141">
        <f>IF(Skills!N11=TRUE,(Skills!L11/10)*(E3141/1000),Skills!L11/10)+Skills!O11</f>
        <v/>
      </c>
      <c r="G3141">
        <f>Skills!G11*IF(Skills!H11&gt;0,IF(Inputs!$B$39="pvp",MIN(Skills!I11,15),Skills!I11)/Skills!H11,1)</f>
        <v/>
      </c>
      <c r="H3141">
        <f>1-(1-Skills!J11/100)^Skills!K11</f>
        <v/>
      </c>
      <c r="I3141" t="inlineStr">
        <is>
          <t>1</t>
        </is>
      </c>
      <c r="J3141" t="inlineStr"/>
      <c r="K3141" t="inlineStr"/>
      <c r="L3141" t="inlineStr"/>
      <c r="M3141" t="inlineStr"/>
      <c r="N3141" t="inlineStr"/>
      <c r="O3141">
        <f>(1-Summary!$B$11)*T3141+Summary!$B$11*V3141</f>
        <v/>
      </c>
      <c r="P3141">
        <f>IF(B3176=0,0,O3141/B3176)</f>
        <v/>
      </c>
      <c r="Q3141">
        <f>IFERROR(1/IF(Inputs!$B$39="pvp",15,MAX(0.1,Skills!D11-IF(TRUE=TRUE,Inputs!$B$32,0))),0)</f>
        <v/>
      </c>
      <c r="R3141">
        <f>IF(AND(Inputs!$B$39&lt;&gt;"pvp",Inputs!$B$44&gt;0),IF(Inputs!$B$44&lt;=0,0,(INT(Inputs!$B$44/IF(Inputs!$B$39="pvp",15,MAX(0.1,Skills!D11-IF(TRUE=TRUE,Inputs!$B$32,0))))+1)),0)</f>
        <v/>
      </c>
      <c r="S3141">
        <f>IFERROR(O3141/N3141,0)</f>
        <v/>
      </c>
      <c r="T3141" t="n">
        <v>0</v>
      </c>
      <c r="V3141" t="n">
        <v>0</v>
      </c>
    </row>
    <row r="3142">
      <c r="A3142">
        <f>Skills!A12</f>
        <v/>
      </c>
      <c r="B3142">
        <f>Skills!B12</f>
        <v/>
      </c>
      <c r="C3142">
        <f>Inputs!$B$3&gt;=103</f>
        <v/>
      </c>
      <c r="D3142">
        <f>IF(Skills!C12=1,60+Inputs!$B$25+Inputs!$B$29,IF(Skills!C12=2,90+Inputs!$B$26+Inputs!$B$29,IF(Skills!C12=3,120+Inputs!$B$27+Inputs!$B$29,MAX(0,(Inputs!$B$3-100)*3)+Inputs!$B$28+Inputs!$B$29)))</f>
        <v/>
      </c>
      <c r="E3142">
        <f>INDEX(FactorTable!$B$2:$Y$301, MATCH(ROUND(MIN(300,MAX(1,D3142)),0), FactorTable!$A$2:$A$301,0), Skills!M12+1)</f>
        <v/>
      </c>
      <c r="F3142">
        <f>(Skills!L12/10)*(E3142/1000)+IF(Inputs!$B$3&gt;=134,50,0)+0.5*(30000/10)*(INDEX(FactorTable!$B$2:$Y$301, MATCH(ROUND(MIN(300,MAX(1,D3142)),0), FactorTable!$A$2:$A$301,0), 13)/1000)*B3174</f>
        <v/>
      </c>
      <c r="G3142">
        <f>Skills!G12*IF(Skills!H12&gt;0,IF(Inputs!$B$39="pvp",MIN(Skills!I12,15),Skills!I12)/Skills!H12,1)</f>
        <v/>
      </c>
      <c r="H3142">
        <f>1-(1-Skills!J12/100)^Skills!K12</f>
        <v/>
      </c>
      <c r="I3142" t="inlineStr">
        <is>
          <t>1</t>
        </is>
      </c>
      <c r="J3142">
        <f>((Inputs!$B$6*(1+Inputs!$B$7/100))+(((Inputs!$B$12*(1+Inputs!$B$13/100))-(Inputs!$B$12*(1+Inputs!$B$13/100)))+0.25*(Inputs!$B$14-Inputs!$B$14))*(1+Inputs!$B$7/100))*(F3142/100)</f>
        <v/>
      </c>
      <c r="K3142">
        <f>J3142*(1+((Inputs!$B$12*(1+Inputs!$B$13/100))*0.01+Inputs!$B$14*0.0025)/100)*(1+Inputs!$B$15/100)*(1+Inputs!$B$16/100)*(5000/(6000+Inputs!$B$43*(1-(100*(1-(1-Inputs!$B$19/100)*(1-CHOOSE(ArtifactsInput!$N$40+1,5,6,7,8,9,10)/100)^(IF(ArtifactsInput!$M$40,FALSE,TRUE)-ArtifactsInput!$M$40)))/100)))*(1+(Inputs!$B$24+((C3161=TRUE)*(F3161-Calc!F31))+((C3148=TRUE)*(F3148-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12="CRUEL_STAB",Inputs!$B$17+((C3158=TRUE)*(F3158-Calc!F28))+((IF(AND(Inputs!$B$39&lt;&gt;"pvp",Inputs!$B$44=0),1,IF(IF(Inputs!$B$39="pvp",15,Inputs!$B$44)-(B3175)&lt;=0,1,MAX(0,IF(Inputs!$B$39="pvp",15,Inputs!$B$44)-MAX(5,B3175))/(IF(Inputs!$B$39="pvp",15,Inputs!$B$44)-(B3175))))*(IF(AND(ArtifactsInput!$M$42,((Inputs!$B$9+((C3156=TRUE)*(F3156-Calc!F26))+B3164+(ArtifactsInput!$M$24-ArtifactsInput!$M$24)*CHOOSE(ArtifactsInput!$N$24+1,10,12,14,16,18,20)+IF(ArtifactsInput!$M$10,CHOOSE(ArtifactsInput!$N$10+1,15,18,21,24,27,30)*(IF(Inputs!$B$39="pvp",MIN(15,15)/15,IF(AND(Inputs!$B$39&lt;&gt;"pvp",Inputs!$B$44&gt;0),MIN(15,Inputs!$B$44)/(Inputs!$B$44),0))),0)))&gt;=100),MIN(100,((Inputs!$B$9+((C3156=TRUE)*(F3156-Calc!F26))+B3164+(ArtifactsInput!$M$24-ArtifactsInput!$M$24)*CHOOSE(ArtifactsInput!$N$24+1,10,12,14,16,18,20)+IF(ArtifactsInput!$M$10,CHOOSE(ArtifactsInput!$N$10+1,15,18,21,24,27,30)*(IF(Inputs!$B$39="pvp",MIN(15,15)/15,IF(AND(Inputs!$B$39&lt;&gt;"pvp",Inputs!$B$44&gt;0),MIN(15,Inputs!$B$44)/(Inputs!$B$44),0))),0)))-100),0))*CHOOSE(ArtifactsInput!$N$42+1,0.6,0.72,0.84,0.96,1.08,1.2))),Inputs!$B$18+((C3159=TRUE)*(F3159-Calc!F29))+(IF(AND(Inputs!$B$39&lt;&gt;"pvp",Inputs!$B$44=0),1,IF(IF(Inputs!$B$39="pvp",15,Inputs!$B$44)-(B3175)&lt;=0,1,MAX(0,IF(Inputs!$B$39="pvp",15,Inputs!$B$44)-MAX(5,B3175))/(IF(Inputs!$B$39="pvp",15,Inputs!$B$44)-(B3175))))*IF(AND(ArtifactsInput!$M$42,((Inputs!$B$9+((C3156=TRUE)*(F3156-Calc!F26))+B3164+(ArtifactsInput!$M$24-ArtifactsInput!$M$24)*CHOOSE(ArtifactsInput!$N$24+1,10,12,14,16,18,20)+IF(ArtifactsInput!$M$10,CHOOSE(ArtifactsInput!$N$10+1,15,18,21,24,27,30)*(IF(Inputs!$B$39="pvp",MIN(15,15)/15,IF(AND(Inputs!$B$39&lt;&gt;"pvp",Inputs!$B$44&gt;0),MIN(15,Inputs!$B$44)/(Inputs!$B$44),0))),0)))&gt;=100),CHOOSE(ArtifactsInput!$N$42+1,40,48,56,64,72,80),0))))/100)*(((1+(((C3152=TRUE)*F3152*IF(AND(Inputs!$B$39&lt;&gt;"pvp",Inputs!$B$44&gt;0),(((R3152-1)*MIN((Skills!Y22*(1+Inputs!$B$34/100)),(1/Q3152))+MIN((Skills!Y22*(1+Inputs!$B$34/100)),MAX(0,Inputs!$B$44-((R3152-1)*(1/Q3152)))))/Inputs!$B$44),IF(Inputs!$B$39="pvp",MIN((Skills!Y22*(1+Inputs!$B$34/100)),15)/15,MIN(1,(Skills!Y22*(1+Inputs!$B$34/100))/(1/Q3152)))))+((C3133=TRUE)*F3133*3)+((C3135=TRUE)*F3135*(1-EXP(-0.75*B3168*5)))+((C3154=TRUE)*(F3154-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IF(ArtifactsInput!$M$40,FALSE,TRUE),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3141=TRUE)*F3141*IF(AND(Inputs!$B$39&lt;&gt;"pvp",Inputs!$B$44&gt;0),(((R3141-1)*MIN((Skills!Y11*(1+Inputs!$B$34/100)),(1/Q3141))+MIN((Skills!Y11*(1+Inputs!$B$34/100)),MAX(0,Inputs!$B$44-((R3141-1)*(1/Q3141)))))/Inputs!$B$44),IF(Inputs!$B$39="pvp",MIN((Skills!Y11*(1+Inputs!$B$34/100)),15)/15,MIN(1,(Skills!Y11*(1+Inputs!$B$34/100))/(1/Q3141)))))/100)*(1+((C3146=TRUE)*F3146*IF(AND(Inputs!$B$39&lt;&gt;"pvp",Inputs!$B$44&gt;0),(((R3146-1)*MIN((Skills!Y16*(1+Inputs!$B$34/100)),(1/Q3146))+MIN((Skills!Y16*(1+Inputs!$B$34/100)),MAX(0,Inputs!$B$44-((R3146-1)*(1/Q3146)))))/Inputs!$B$44),IF(Inputs!$B$39="pvp",MIN((Skills!Y16*(1+Inputs!$B$34/100)),15)/15,MIN(1,(Skills!Y16*(1+Inputs!$B$34/100))/(1/Q3146)))))/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3166*I3142)</f>
        <v/>
      </c>
      <c r="L3142">
        <f>K3142*(MIN(Inputs!$B$22+((C3155=TRUE)*(F3155-Calc!F25)),(Inputs!$B$23+((C3160=TRUE)*(F3160-Calc!F30))+IF(ArtifactsInput!$M$15,CHOOSE(ArtifactsInput!$N$15+1,25,30,35,40,45,50)/100*(Inputs!$B$11-Inputs!$B$11),0)))/100+(Inputs!$B$23+((C3160=TRUE)*(F3160-Calc!F30))+IF(ArtifactsInput!$M$15,CHOOSE(ArtifactsInput!$N$15+1,25,30,35,40,45,50)/100*(Inputs!$B$11-Inputs!$B$11),0))/100)/2</f>
        <v/>
      </c>
      <c r="M3142">
        <f>L3142*(1+(Inputs!$B$10+((C3157=TRUE)*(F3157-Calc!F27))+B3171+(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3142">
        <f>L3142*(1-MIN((Inputs!$B$9+((C3156=TRUE)*(F3156-Calc!F26))+B3164+(ArtifactsInput!$M$24-ArtifactsInput!$M$24)*CHOOSE(ArtifactsInput!$N$24+1,10,12,14,16,18,20)+(IF(AND(Inputs!$B$39&lt;&gt;"pvp",Inputs!$B$44=0),1,IF(IF(Inputs!$B$39="pvp",15,Inputs!$B$44)-(B3175)&lt;=0,1,MAX(0,IF(Inputs!$B$39="pvp",15,Inputs!$B$44)-MAX(5,B3175))/(IF(Inputs!$B$39="pvp",15,Inputs!$B$44)-(B3175))))*IF(AND(ArtifactsInput!$M$42,((Inputs!$B$9+((C3156=TRUE)*(F3156-Calc!F26))+B3164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3142*(MIN((Inputs!$B$9+((C3156=TRUE)*(F3156-Calc!F26))+B3164+(ArtifactsInput!$M$24-ArtifactsInput!$M$24)*CHOOSE(ArtifactsInput!$N$24+1,10,12,14,16,18,20)+(IF(AND(Inputs!$B$39&lt;&gt;"pvp",Inputs!$B$44=0),1,IF(IF(Inputs!$B$39="pvp",15,Inputs!$B$44)-(B3175)&lt;=0,1,MAX(0,IF(Inputs!$B$39="pvp",15,Inputs!$B$44)-MAX(5,B3175))/(IF(Inputs!$B$39="pvp",15,Inputs!$B$44)-(B3175))))*IF(AND(ArtifactsInput!$M$42,((Inputs!$B$9+((C3156=TRUE)*(F3156-Calc!F26))+B3164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3142">
        <f>(1-Summary!$B$11)*T3142+Summary!$B$11*V3142</f>
        <v/>
      </c>
      <c r="P3142">
        <f>IF(B3176=0,0,O3142/B3176)</f>
        <v/>
      </c>
      <c r="Q3142">
        <f>IFERROR(1/IF(Inputs!$B$39="pvp",15,MAX(0.1,Skills!D12-IF(TRUE=TRUE,Inputs!$B$32,0))),0)</f>
        <v/>
      </c>
      <c r="R3142">
        <f>IF(AND(Inputs!$B$39&lt;&gt;"pvp",Inputs!$B$44&gt;0),IF(MAX(0,Inputs!$B$44-B3175)&lt;=0,0,(INT(MAX(0,Inputs!$B$44-B3175)/IF(Inputs!$B$39="pvp",15,MAX(0.1,Skills!D12-IF(TRUE=TRUE,Inputs!$B$32,0))))+1)),0)</f>
        <v/>
      </c>
      <c r="S3142">
        <f>IFERROR(O3142/N3142,0)</f>
        <v/>
      </c>
      <c r="T3142">
        <f>IF(C3142,(H3142*N3142*IF(AND(Inputs!$B$39&lt;&gt;"pvp",Inputs!$B$44&gt;0),((Skills!G12*((R3142-1)*IF(Skills!H12&gt;0,Skills!I12/Skills!H12,1)+IF(Skills!H12&gt;0,MIN(Skills!I12,MAX(0,MAX(0,Inputs!$B$44-B3175)-((R3142-1)*IF(Inputs!$B$39="pvp",15,MAX(0.1,Skills!D12-IF(TRUE=TRUE,Inputs!$B$32,0))))))/Skills!H12,1)))/Inputs!$B$44),G3142*Q3142))*IF(Inputs!$B$39="pvp",1,1+(Inputs!$B$20+0+Skills!P12+B3165+(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Hunt"),CHOOSE(ArtifactsInput!$N$35+1,15,18,21,24,27,30)*(1-EXP(-(0.2*B3168)*5)),0)+IF(AND(ArtifactsInput!$M$22,Inputs!$B$4&lt;&gt;"Chapter Hunt"),CHOOSE(ArtifactsInput!$N$22+1,10,12,14,16,18,20)*((0*(((0.15*B3168*5))^0/1)+1*(((0.15*B3168*5))^1/1)+2*(((0.15*B3168*5))^2/2)+3*(((0.15*B3168*5))^3/6)+4*(((0.15*B3168*5))^4/24)+5*(((0.15*B3168*5))^5/120))/((((0.15*B3168*5))^0/1)+(((0.15*B3168*5))^1/1)+(((0.15*B3168*5))^2/2)+(((0.15*B3168*5))^3/6)+(((0.15*B3168*5))^4/24)+(((0.15*B3168*5))^5/120))),0)))/100)*((((5000/(6000+Inputs!$B$43*(1-(100*(1-(1-(100*(1-(1-Inputs!$B$19/100)*(1-CHOOSE(ArtifactsInput!$N$40+1,5,6,7,8,9,10)/100)^(IF(ArtifactsInput!$M$40,FALSE,TRUE)-ArtifactsInput!$M$40)))/100)*(1-IF(IF(ArtifactsInput!$M$40,FALSE,TRUE),CHOOSE(ArtifactsInput!$N$40+1,5,6,7,8,9,10),0)/100)^IF(Inputs!$B$39="pvp",1,2)))/100)))/(5000/(6000+Inputs!$B$43*(1-(100*(1-(1-Inputs!$B$19/100)*(1-CHOOSE(ArtifactsInput!$N$40+1,5,6,7,8,9,10)/100)^(IF(ArtifactsInput!$M$40,FALSE,TRUE)-ArtifactsInput!$M$40)))/100))))*((L3142*(1-MIN(100,(Inputs!$B$9+((C3156=TRUE)*(F3156-Calc!F26))+B3164+(ArtifactsInput!$M$24-ArtifactsInput!$M$24)*CHOOSE(ArtifactsInput!$N$24+1,10,12,14,16,18,20)+(IF(AND(Inputs!$B$39&lt;&gt;"pvp",Inputs!$B$44=0),1,IF(IF(Inputs!$B$39="pvp",15,Inputs!$B$44)-(B3175)&lt;=0,1,MAX(0,IF(Inputs!$B$39="pvp",15,Inputs!$B$44)-MAX(5,B3175))/(IF(Inputs!$B$39="pvp",15,Inputs!$B$44)-(B3175))))*IF(AND(ArtifactsInput!$M$42,((Inputs!$B$9+((C3156=TRUE)*(F3156-Calc!F26))+B3164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3142*(MIN(100,(Inputs!$B$9+((C3156=TRUE)*(F3156-Calc!F26))+B3164+(ArtifactsInput!$M$24-ArtifactsInput!$M$24)*CHOOSE(ArtifactsInput!$N$24+1,10,12,14,16,18,20)+(IF(AND(Inputs!$B$39&lt;&gt;"pvp",Inputs!$B$44=0),1,IF(IF(Inputs!$B$39="pvp",15,Inputs!$B$44)-(B3175)&lt;=0,1,MAX(0,IF(Inputs!$B$39="pvp",15,Inputs!$B$44)-MAX(5,B3175))/(IF(Inputs!$B$39="pvp",15,Inputs!$B$44)-(B3175))))*IF(AND(ArtifactsInput!$M$42,((Inputs!$B$9+((C3156=TRUE)*(F3156-Calc!F26))+B3164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3142*(1-MIN(100,(Inputs!$B$9+((C3156=TRUE)*(F3156-Calc!F26))+B3164+(ArtifactsInput!$M$24-ArtifactsInput!$M$24)*CHOOSE(ArtifactsInput!$N$24+1,10,12,14,16,18,20)+(IF(AND(Inputs!$B$39&lt;&gt;"pvp",Inputs!$B$44=0),1,IF(IF(Inputs!$B$39="pvp",15,Inputs!$B$44)-(B3175)&lt;=0,1,MAX(0,IF(Inputs!$B$39="pvp",15,Inputs!$B$44)-MAX(5,B3175))/(IF(Inputs!$B$39="pvp",15,Inputs!$B$44)-(B3175))))*IF(AND(ArtifactsInput!$M$42,((Inputs!$B$9+((C3156=TRUE)*(F3156-Calc!F26))+B3164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3142*(MIN(100,(Inputs!$B$9+((C3156=TRUE)*(F3156-Calc!F26))+B3164+(ArtifactsInput!$M$24-ArtifactsInput!$M$24)*CHOOSE(ArtifactsInput!$N$24+1,10,12,14,16,18,20)+(IF(AND(Inputs!$B$39&lt;&gt;"pvp",Inputs!$B$44=0),1,IF(IF(Inputs!$B$39="pvp",15,Inputs!$B$44)-(B3175)&lt;=0,1,MAX(0,IF(Inputs!$B$39="pvp",15,Inputs!$B$44)-MAX(5,B3175))/(IF(Inputs!$B$39="pvp",15,Inputs!$B$44)-(B3175))))*IF(AND(ArtifactsInput!$M$42,((Inputs!$B$9+((C3156=TRUE)*(F3156-Calc!F26))+B3164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3142">
        <f>IF(C3142,(H3142*N3142*IF(AND(Inputs!$B$39&lt;&gt;"pvp",Inputs!$B$44&gt;0),((Skills!G12*((R3142-1)*IF(Skills!H12&gt;0,Skills!I12/Skills!H12,1)+IF(Skills!H12&gt;0,MIN(Skills!I12,MAX(0,MAX(0,Inputs!$B$44-B3175)-((R3142-1)*IF(Inputs!$B$39="pvp",15,MAX(0.1,Skills!D12-IF(TRUE=TRUE,Inputs!$B$32,0))))))/Skills!H12,1)))/Inputs!$B$44),G3142*Q3142))*IF(Inputs!$B$39="pvp",1,(1+(Inputs!$B$21+Skills!Q12+B3165+(IF(ArtifactsInput!$M$33,CHOOSE(ArtifactsInput!$N$33+1,30,36,42,48,54,60),0))+(IF(AND(ArtifactsInput!$M$35,Inputs!$B$4&lt;&gt;"Chapter Hunt"),CHOOSE(ArtifactsInput!$N$35+1,15,18,21,24,27,30)*(1-EXP(-(0.2*B3168)*5)),0)+IF(AND(ArtifactsInput!$M$22,Inputs!$B$4&lt;&gt;"Chapter Hunt"),CHOOSE(ArtifactsInput!$N$22+1,10,12,14,16,18,20)*((0*(((0.15*B3168*5))^0/1)+1*(((0.15*B3168*5))^1/1)+2*(((0.15*B3168*5))^2/2)+3*(((0.15*B3168*5))^3/6)+4*(((0.15*B3168*5))^4/24)+5*(((0.15*B3168*5))^5/120))/((((0.15*B3168*5))^0/1)+(((0.15*B3168*5))^1/1)+(((0.15*B3168*5))^2/2)+(((0.15*B3168*5))^3/6)+(((0.15*B3168*5))^4/24)+(((0.15*B3168*5))^5/120))),0)))/100)*(MIN(Skills!W12,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3143">
      <c r="A3143">
        <f>Skills!A13</f>
        <v/>
      </c>
      <c r="B3143">
        <f>Skills!B13</f>
        <v/>
      </c>
      <c r="C3143">
        <f>Inputs!$B$3&gt;=105</f>
        <v/>
      </c>
      <c r="D3143">
        <f>IF(Skills!C13=1,60+Inputs!$B$25+Inputs!$B$29,IF(Skills!C13=2,90+Inputs!$B$26+Inputs!$B$29,IF(Skills!C13=3,120+Inputs!$B$27+Inputs!$B$29,MAX(0,(Inputs!$B$3-100)*3)+Inputs!$B$28+Inputs!$B$29)))</f>
        <v/>
      </c>
      <c r="E3143">
        <f>INDEX(FactorTable!$B$2:$Y$301, MATCH(ROUND(MIN(300,MAX(1,D3143)),0), FactorTable!$A$2:$A$301,0), Skills!M13+1)</f>
        <v/>
      </c>
      <c r="F3143">
        <f>IF(Skills!N13=TRUE,(Skills!L13/10)*(E3143/1000),Skills!L13/10)+Skills!O13</f>
        <v/>
      </c>
      <c r="G3143">
        <f>Skills!G13*IF(Skills!H13&gt;0,IF(Inputs!$B$39="pvp",MIN(Skills!I13,15),Skills!I13)/Skills!H13,1)</f>
        <v/>
      </c>
      <c r="H3143">
        <f>1-(1-Skills!J13/100)^Skills!K13</f>
        <v/>
      </c>
      <c r="I3143" t="inlineStr">
        <is>
          <t>1</t>
        </is>
      </c>
      <c r="J3143">
        <f>((Inputs!$B$6*(1+Inputs!$B$7/100))+(((Inputs!$B$12*(1+Inputs!$B$13/100))-(Inputs!$B$12*(1+Inputs!$B$13/100)))+0.25*(Inputs!$B$14-Inputs!$B$14))*(1+Inputs!$B$7/100))*(F3143/100)</f>
        <v/>
      </c>
      <c r="K3143">
        <f>J3143*(1+((Inputs!$B$12*(1+Inputs!$B$13/100))*0.01+Inputs!$B$14*0.0025)/100)*(1+Inputs!$B$15/100)*(1+Inputs!$B$16/100)*(5000/(6000+Inputs!$B$43*(1-(100*(1-(1-Inputs!$B$19/100)*(1-CHOOSE(ArtifactsInput!$N$40+1,5,6,7,8,9,10)/100)^(IF(ArtifactsInput!$M$40,FALSE,TRUE)-ArtifactsInput!$M$40)))/100)))*(1+(Inputs!$B$24+((C3161=TRUE)*(F3161-Calc!F31))+((C3148=TRUE)*(F3148-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13="CRUEL_STAB",Inputs!$B$17+((C3158=TRUE)*(F3158-Calc!F28))+((IF(AND(Inputs!$B$39&lt;&gt;"pvp",Inputs!$B$44=0),1,IF(IF(Inputs!$B$39="pvp",15,Inputs!$B$44)-(B3175)&lt;=0,1,MAX(0,IF(Inputs!$B$39="pvp",15,Inputs!$B$44)-MAX(5,B3175))/(IF(Inputs!$B$39="pvp",15,Inputs!$B$44)-(B3175))))*(IF(AND(ArtifactsInput!$M$42,((Inputs!$B$9+((C3156=TRUE)*(F3156-Calc!F26))+B3164+(ArtifactsInput!$M$24-ArtifactsInput!$M$24)*CHOOSE(ArtifactsInput!$N$24+1,10,12,14,16,18,20)+IF(ArtifactsInput!$M$10,CHOOSE(ArtifactsInput!$N$10+1,15,18,21,24,27,30)*(IF(Inputs!$B$39="pvp",MIN(15,15)/15,IF(AND(Inputs!$B$39&lt;&gt;"pvp",Inputs!$B$44&gt;0),MIN(15,Inputs!$B$44)/(Inputs!$B$44),0))),0)))&gt;=100),MIN(100,((Inputs!$B$9+((C3156=TRUE)*(F3156-Calc!F26))+B3164+(ArtifactsInput!$M$24-ArtifactsInput!$M$24)*CHOOSE(ArtifactsInput!$N$24+1,10,12,14,16,18,20)+IF(ArtifactsInput!$M$10,CHOOSE(ArtifactsInput!$N$10+1,15,18,21,24,27,30)*(IF(Inputs!$B$39="pvp",MIN(15,15)/15,IF(AND(Inputs!$B$39&lt;&gt;"pvp",Inputs!$B$44&gt;0),MIN(15,Inputs!$B$44)/(Inputs!$B$44),0))),0)))-100),0))*CHOOSE(ArtifactsInput!$N$42+1,0.6,0.72,0.84,0.96,1.08,1.2))),Inputs!$B$18+((C3159=TRUE)*(F3159-Calc!F29))+(IF(AND(Inputs!$B$39&lt;&gt;"pvp",Inputs!$B$44=0),1,IF(IF(Inputs!$B$39="pvp",15,Inputs!$B$44)-(B3175)&lt;=0,1,MAX(0,IF(Inputs!$B$39="pvp",15,Inputs!$B$44)-MAX(5,B3175))/(IF(Inputs!$B$39="pvp",15,Inputs!$B$44)-(B3175))))*IF(AND(ArtifactsInput!$M$42,((Inputs!$B$9+((C3156=TRUE)*(F3156-Calc!F26))+B3164+(ArtifactsInput!$M$24-ArtifactsInput!$M$24)*CHOOSE(ArtifactsInput!$N$24+1,10,12,14,16,18,20)+IF(ArtifactsInput!$M$10,CHOOSE(ArtifactsInput!$N$10+1,15,18,21,24,27,30)*(IF(Inputs!$B$39="pvp",MIN(15,15)/15,IF(AND(Inputs!$B$39&lt;&gt;"pvp",Inputs!$B$44&gt;0),MIN(15,Inputs!$B$44)/(Inputs!$B$44),0))),0)))&gt;=100),CHOOSE(ArtifactsInput!$N$42+1,40,48,56,64,72,80),0))))/100)*(((1+(((C3152=TRUE)*F3152*IF(AND(Inputs!$B$39&lt;&gt;"pvp",Inputs!$B$44&gt;0),(((R3152-1)*MIN((Skills!Y22*(1+Inputs!$B$34/100)),(1/Q3152))+MIN((Skills!Y22*(1+Inputs!$B$34/100)),MAX(0,Inputs!$B$44-((R3152-1)*(1/Q3152)))))/Inputs!$B$44),IF(Inputs!$B$39="pvp",MIN((Skills!Y22*(1+Inputs!$B$34/100)),15)/15,MIN(1,(Skills!Y22*(1+Inputs!$B$34/100))/(1/Q3152)))))+((C3133=TRUE)*F3133*3)+((C3135=TRUE)*F3135*(1-EXP(-0.75*B3168*5)))+((C3154=TRUE)*(F3154-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IF(ArtifactsInput!$M$40,FALSE,TRUE),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3141=TRUE)*F3141*IF(AND(Inputs!$B$39&lt;&gt;"pvp",Inputs!$B$44&gt;0),(((R3141-1)*MIN((Skills!Y11*(1+Inputs!$B$34/100)),(1/Q3141))+MIN((Skills!Y11*(1+Inputs!$B$34/100)),MAX(0,Inputs!$B$44-((R3141-1)*(1/Q3141)))))/Inputs!$B$44),IF(Inputs!$B$39="pvp",MIN((Skills!Y11*(1+Inputs!$B$34/100)),15)/15,MIN(1,(Skills!Y11*(1+Inputs!$B$34/100))/(1/Q3141)))))/100)*(1+((C3146=TRUE)*F3146*IF(AND(Inputs!$B$39&lt;&gt;"pvp",Inputs!$B$44&gt;0),(((R3146-1)*MIN((Skills!Y16*(1+Inputs!$B$34/100)),(1/Q3146))+MIN((Skills!Y16*(1+Inputs!$B$34/100)),MAX(0,Inputs!$B$44-((R3146-1)*(1/Q3146)))))/Inputs!$B$44),IF(Inputs!$B$39="pvp",MIN((Skills!Y16*(1+Inputs!$B$34/100)),15)/15,MIN(1,(Skills!Y16*(1+Inputs!$B$34/100))/(1/Q3146)))))/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3166*I3143)</f>
        <v/>
      </c>
      <c r="L3143">
        <f>K3143*(MIN(Inputs!$B$22+((C3155=TRUE)*(F3155-Calc!F25)),(Inputs!$B$23+((C3160=TRUE)*(F3160-Calc!F30))+IF(ArtifactsInput!$M$15,CHOOSE(ArtifactsInput!$N$15+1,25,30,35,40,45,50)/100*(Inputs!$B$11-Inputs!$B$11),0)))/100+(Inputs!$B$23+((C3160=TRUE)*(F3160-Calc!F30))+IF(ArtifactsInput!$M$15,CHOOSE(ArtifactsInput!$N$15+1,25,30,35,40,45,50)/100*(Inputs!$B$11-Inputs!$B$11),0))/100)/2</f>
        <v/>
      </c>
      <c r="M3143">
        <f>L3143*(1+(Inputs!$B$10+((C3157=TRUE)*(F3157-Calc!F27))+B3171+(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3143">
        <f>L3143*(1-MIN((Inputs!$B$9+((C3156=TRUE)*(F3156-Calc!F26))+B3164+(ArtifactsInput!$M$24-ArtifactsInput!$M$24)*CHOOSE(ArtifactsInput!$N$24+1,10,12,14,16,18,20)+(IF(AND(Inputs!$B$39&lt;&gt;"pvp",Inputs!$B$44=0),1,IF(IF(Inputs!$B$39="pvp",15,Inputs!$B$44)-(B3175)&lt;=0,1,MAX(0,IF(Inputs!$B$39="pvp",15,Inputs!$B$44)-MAX(5,B3175))/(IF(Inputs!$B$39="pvp",15,Inputs!$B$44)-(B3175))))*IF(AND(ArtifactsInput!$M$42,((Inputs!$B$9+((C3156=TRUE)*(F3156-Calc!F26))+B3164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3143*(MIN((Inputs!$B$9+((C3156=TRUE)*(F3156-Calc!F26))+B3164+(ArtifactsInput!$M$24-ArtifactsInput!$M$24)*CHOOSE(ArtifactsInput!$N$24+1,10,12,14,16,18,20)+(IF(AND(Inputs!$B$39&lt;&gt;"pvp",Inputs!$B$44=0),1,IF(IF(Inputs!$B$39="pvp",15,Inputs!$B$44)-(B3175)&lt;=0,1,MAX(0,IF(Inputs!$B$39="pvp",15,Inputs!$B$44)-MAX(5,B3175))/(IF(Inputs!$B$39="pvp",15,Inputs!$B$44)-(B3175))))*IF(AND(ArtifactsInput!$M$42,((Inputs!$B$9+((C3156=TRUE)*(F3156-Calc!F26))+B3164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3143">
        <f>(1-Summary!$B$11)*T3143+Summary!$B$11*V3143</f>
        <v/>
      </c>
      <c r="P3143">
        <f>IF(B3176=0,0,O3143/B3176)</f>
        <v/>
      </c>
      <c r="Q3143">
        <f>IFERROR(1/IF(Inputs!$B$39="pvp",15,MAX(0.1,Skills!D13-IF(TRUE=TRUE,Inputs!$B$32,0))),0)</f>
        <v/>
      </c>
      <c r="R3143">
        <f>IF(AND(Inputs!$B$39&lt;&gt;"pvp",Inputs!$B$44&gt;0),IF(MAX(0,Inputs!$B$44-B3175)&lt;=0,0,(INT(MAX(0,Inputs!$B$44-B3175)/IF(Inputs!$B$39="pvp",15,MAX(0.1,Skills!D13-IF(TRUE=TRUE,Inputs!$B$32,0))))+1)),0)</f>
        <v/>
      </c>
      <c r="S3143">
        <f>IFERROR(O3143/N3143,0)</f>
        <v/>
      </c>
      <c r="T3143">
        <f>IF(C3143,(H3143*N3143*IF(AND(Inputs!$B$39&lt;&gt;"pvp",Inputs!$B$44&gt;0),((Skills!G13*((R3143-1)*IF(Skills!H13&gt;0,Skills!I13/Skills!H13,1)+IF(Skills!H13&gt;0,MIN(Skills!I13,MAX(0,MAX(0,Inputs!$B$44-B3175)-((R3143-1)*IF(Inputs!$B$39="pvp",15,MAX(0.1,Skills!D13-IF(TRUE=TRUE,Inputs!$B$32,0))))))/Skills!H13,1)))/Inputs!$B$44),G3143*Q3143))*IF(Inputs!$B$39="pvp",1,1+(Inputs!$B$20+0+Skills!P13+B3165+(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Hunt"),CHOOSE(ArtifactsInput!$N$35+1,15,18,21,24,27,30)*(1-EXP(-(0.2*B3168)*5)),0)+IF(AND(ArtifactsInput!$M$22,Inputs!$B$4&lt;&gt;"Chapter Hunt"),CHOOSE(ArtifactsInput!$N$22+1,10,12,14,16,18,20)*((0*(((0.15*B3168*5))^0/1)+1*(((0.15*B3168*5))^1/1)+2*(((0.15*B3168*5))^2/2)+3*(((0.15*B3168*5))^3/6)+4*(((0.15*B3168*5))^4/24)+5*(((0.15*B3168*5))^5/120))/((((0.15*B3168*5))^0/1)+(((0.15*B3168*5))^1/1)+(((0.15*B3168*5))^2/2)+(((0.15*B3168*5))^3/6)+(((0.15*B3168*5))^4/24)+(((0.15*B3168*5))^5/120))),0)))/100)*((((5000/(6000+Inputs!$B$43*(1-(100*(1-(1-(100*(1-(1-Inputs!$B$19/100)*(1-CHOOSE(ArtifactsInput!$N$40+1,5,6,7,8,9,10)/100)^(IF(ArtifactsInput!$M$40,FALSE,TRUE)-ArtifactsInput!$M$40)))/100)*(1-IF(IF(ArtifactsInput!$M$40,FALSE,TRUE),CHOOSE(ArtifactsInput!$N$40+1,5,6,7,8,9,10),0)/100)^IF(Inputs!$B$39="pvp",1,2)))/100)))/(5000/(6000+Inputs!$B$43*(1-(100*(1-(1-Inputs!$B$19/100)*(1-CHOOSE(ArtifactsInput!$N$40+1,5,6,7,8,9,10)/100)^(IF(ArtifactsInput!$M$40,FALSE,TRUE)-ArtifactsInput!$M$40)))/100))))*((L3143*(1-MIN(100,(Inputs!$B$9+((C3156=TRUE)*(F3156-Calc!F26))+B3164+(ArtifactsInput!$M$24-ArtifactsInput!$M$24)*CHOOSE(ArtifactsInput!$N$24+1,10,12,14,16,18,20)+(IF(AND(Inputs!$B$39&lt;&gt;"pvp",Inputs!$B$44=0),1,IF(IF(Inputs!$B$39="pvp",15,Inputs!$B$44)-(B3175)&lt;=0,1,MAX(0,IF(Inputs!$B$39="pvp",15,Inputs!$B$44)-MAX(5,B3175))/(IF(Inputs!$B$39="pvp",15,Inputs!$B$44)-(B3175))))*IF(AND(ArtifactsInput!$M$42,((Inputs!$B$9+((C3156=TRUE)*(F3156-Calc!F26))+B3164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3143*(MIN(100,(Inputs!$B$9+((C3156=TRUE)*(F3156-Calc!F26))+B3164+(ArtifactsInput!$M$24-ArtifactsInput!$M$24)*CHOOSE(ArtifactsInput!$N$24+1,10,12,14,16,18,20)+(IF(AND(Inputs!$B$39&lt;&gt;"pvp",Inputs!$B$44=0),1,IF(IF(Inputs!$B$39="pvp",15,Inputs!$B$44)-(B3175)&lt;=0,1,MAX(0,IF(Inputs!$B$39="pvp",15,Inputs!$B$44)-MAX(5,B3175))/(IF(Inputs!$B$39="pvp",15,Inputs!$B$44)-(B3175))))*IF(AND(ArtifactsInput!$M$42,((Inputs!$B$9+((C3156=TRUE)*(F3156-Calc!F26))+B3164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3143*(1-MIN(100,(Inputs!$B$9+((C3156=TRUE)*(F3156-Calc!F26))+B3164+(ArtifactsInput!$M$24-ArtifactsInput!$M$24)*CHOOSE(ArtifactsInput!$N$24+1,10,12,14,16,18,20)+(IF(AND(Inputs!$B$39&lt;&gt;"pvp",Inputs!$B$44=0),1,IF(IF(Inputs!$B$39="pvp",15,Inputs!$B$44)-(B3175)&lt;=0,1,MAX(0,IF(Inputs!$B$39="pvp",15,Inputs!$B$44)-MAX(5,B3175))/(IF(Inputs!$B$39="pvp",15,Inputs!$B$44)-(B3175))))*IF(AND(ArtifactsInput!$M$42,((Inputs!$B$9+((C3156=TRUE)*(F3156-Calc!F26))+B3164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3143*(MIN(100,(Inputs!$B$9+((C3156=TRUE)*(F3156-Calc!F26))+B3164+(ArtifactsInput!$M$24-ArtifactsInput!$M$24)*CHOOSE(ArtifactsInput!$N$24+1,10,12,14,16,18,20)+(IF(AND(Inputs!$B$39&lt;&gt;"pvp",Inputs!$B$44=0),1,IF(IF(Inputs!$B$39="pvp",15,Inputs!$B$44)-(B3175)&lt;=0,1,MAX(0,IF(Inputs!$B$39="pvp",15,Inputs!$B$44)-MAX(5,B3175))/(IF(Inputs!$B$39="pvp",15,Inputs!$B$44)-(B3175))))*IF(AND(ArtifactsInput!$M$42,((Inputs!$B$9+((C3156=TRUE)*(F3156-Calc!F26))+B3164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3143">
        <f>IF(C3143,(H3143*N3143*IF(AND(Inputs!$B$39&lt;&gt;"pvp",Inputs!$B$44&gt;0),((Skills!G13*((R3143-1)*IF(Skills!H13&gt;0,Skills!I13/Skills!H13,1)+IF(Skills!H13&gt;0,MIN(Skills!I13,MAX(0,MAX(0,Inputs!$B$44-B3175)-((R3143-1)*IF(Inputs!$B$39="pvp",15,MAX(0.1,Skills!D13-IF(TRUE=TRUE,Inputs!$B$32,0))))))/Skills!H13,1)))/Inputs!$B$44),G3143*Q3143))*IF(Inputs!$B$39="pvp",1,(1+(Inputs!$B$21+Skills!Q13+B3165+(IF(ArtifactsInput!$M$33,CHOOSE(ArtifactsInput!$N$33+1,30,36,42,48,54,60),0))+(IF(AND(ArtifactsInput!$M$35,Inputs!$B$4&lt;&gt;"Chapter Hunt"),CHOOSE(ArtifactsInput!$N$35+1,15,18,21,24,27,30)*(1-EXP(-(0.2*B3168)*5)),0)+IF(AND(ArtifactsInput!$M$22,Inputs!$B$4&lt;&gt;"Chapter Hunt"),CHOOSE(ArtifactsInput!$N$22+1,10,12,14,16,18,20)*((0*(((0.15*B3168*5))^0/1)+1*(((0.15*B3168*5))^1/1)+2*(((0.15*B3168*5))^2/2)+3*(((0.15*B3168*5))^3/6)+4*(((0.15*B3168*5))^4/24)+5*(((0.15*B3168*5))^5/120))/((((0.15*B3168*5))^0/1)+(((0.15*B3168*5))^1/1)+(((0.15*B3168*5))^2/2)+(((0.15*B3168*5))^3/6)+(((0.15*B3168*5))^4/24)+(((0.15*B3168*5))^5/120))),0)))/100)*(MIN(Skills!W13,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3144">
      <c r="A3144">
        <f>Skills!A14</f>
        <v/>
      </c>
      <c r="B3144">
        <f>Skills!B14</f>
        <v/>
      </c>
      <c r="C3144">
        <f>Inputs!$B$3&gt;=105</f>
        <v/>
      </c>
      <c r="D3144">
        <f>IF(Skills!C14=1,60+Inputs!$B$25+Inputs!$B$29,IF(Skills!C14=2,90+Inputs!$B$26+Inputs!$B$29,IF(Skills!C14=3,120+Inputs!$B$27+Inputs!$B$29,MAX(0,(Inputs!$B$3-100)*3)+Inputs!$B$28+Inputs!$B$29)))</f>
        <v/>
      </c>
      <c r="E3144">
        <f>INDEX(FactorTable!$B$2:$Y$301, MATCH(ROUND(MIN(300,MAX(1,D3144)),0), FactorTable!$A$2:$A$301,0), Skills!M14+1)</f>
        <v/>
      </c>
      <c r="F3144">
        <f>IF(Skills!N14=TRUE,(Skills!L14/10)*(E3144/1000),Skills!L14/10)+Skills!O14</f>
        <v/>
      </c>
      <c r="G3144">
        <f>Skills!G14*IF(Skills!H14&gt;0,IF(Inputs!$B$39="pvp",MIN(Skills!I14,15),Skills!I14)/Skills!H14,1)</f>
        <v/>
      </c>
      <c r="H3144">
        <f>1-(1-Skills!J14/100)^Skills!K14</f>
        <v/>
      </c>
      <c r="I3144" t="inlineStr">
        <is>
          <t>1</t>
        </is>
      </c>
      <c r="J3144">
        <f>((Inputs!$B$6*(1+Inputs!$B$7/100))+(((Inputs!$B$12*(1+Inputs!$B$13/100))-(Inputs!$B$12*(1+Inputs!$B$13/100)))+0.25*(Inputs!$B$14-Inputs!$B$14))*(1+Inputs!$B$7/100))*(F3144/100)</f>
        <v/>
      </c>
      <c r="K3144">
        <f>J3144*(1+((Inputs!$B$12*(1+Inputs!$B$13/100))*0.01+Inputs!$B$14*0.0025)/100)*(1+Inputs!$B$15/100)*(1+Inputs!$B$16/100)*(5000/(6000+Inputs!$B$43*(1-(100*(1-(1-Inputs!$B$19/100)*(1-CHOOSE(ArtifactsInput!$N$40+1,5,6,7,8,9,10)/100)^(IF(ArtifactsInput!$M$40,FALSE,TRUE)-ArtifactsInput!$M$40)))/100)))*(1+(Inputs!$B$24+((C3161=TRUE)*(F3161-Calc!F31))+((C3148=TRUE)*(F3148-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14="CRUEL_STAB",Inputs!$B$17+((C3158=TRUE)*(F3158-Calc!F28))+((IF(AND(Inputs!$B$39&lt;&gt;"pvp",Inputs!$B$44=0),1,IF(IF(Inputs!$B$39="pvp",15,Inputs!$B$44)-(B3175)&lt;=0,1,MAX(0,IF(Inputs!$B$39="pvp",15,Inputs!$B$44)-MAX(5,B3175))/(IF(Inputs!$B$39="pvp",15,Inputs!$B$44)-(B3175))))*(IF(AND(ArtifactsInput!$M$42,((Inputs!$B$9+((C3156=TRUE)*(F3156-Calc!F26))+B3164+(ArtifactsInput!$M$24-ArtifactsInput!$M$24)*CHOOSE(ArtifactsInput!$N$24+1,10,12,14,16,18,20)+IF(ArtifactsInput!$M$10,CHOOSE(ArtifactsInput!$N$10+1,15,18,21,24,27,30)*(IF(Inputs!$B$39="pvp",MIN(15,15)/15,IF(AND(Inputs!$B$39&lt;&gt;"pvp",Inputs!$B$44&gt;0),MIN(15,Inputs!$B$44)/(Inputs!$B$44),0))),0)))&gt;=100),MIN(100,((Inputs!$B$9+((C3156=TRUE)*(F3156-Calc!F26))+B3164+(ArtifactsInput!$M$24-ArtifactsInput!$M$24)*CHOOSE(ArtifactsInput!$N$24+1,10,12,14,16,18,20)+IF(ArtifactsInput!$M$10,CHOOSE(ArtifactsInput!$N$10+1,15,18,21,24,27,30)*(IF(Inputs!$B$39="pvp",MIN(15,15)/15,IF(AND(Inputs!$B$39&lt;&gt;"pvp",Inputs!$B$44&gt;0),MIN(15,Inputs!$B$44)/(Inputs!$B$44),0))),0)))-100),0))*CHOOSE(ArtifactsInput!$N$42+1,0.6,0.72,0.84,0.96,1.08,1.2))),Inputs!$B$18+((C3159=TRUE)*(F3159-Calc!F29))+(IF(AND(Inputs!$B$39&lt;&gt;"pvp",Inputs!$B$44=0),1,IF(IF(Inputs!$B$39="pvp",15,Inputs!$B$44)-(B3175)&lt;=0,1,MAX(0,IF(Inputs!$B$39="pvp",15,Inputs!$B$44)-MAX(5,B3175))/(IF(Inputs!$B$39="pvp",15,Inputs!$B$44)-(B3175))))*IF(AND(ArtifactsInput!$M$42,((Inputs!$B$9+((C3156=TRUE)*(F3156-Calc!F26))+B3164+(ArtifactsInput!$M$24-ArtifactsInput!$M$24)*CHOOSE(ArtifactsInput!$N$24+1,10,12,14,16,18,20)+IF(ArtifactsInput!$M$10,CHOOSE(ArtifactsInput!$N$10+1,15,18,21,24,27,30)*(IF(Inputs!$B$39="pvp",MIN(15,15)/15,IF(AND(Inputs!$B$39&lt;&gt;"pvp",Inputs!$B$44&gt;0),MIN(15,Inputs!$B$44)/(Inputs!$B$44),0))),0)))&gt;=100),CHOOSE(ArtifactsInput!$N$42+1,40,48,56,64,72,80),0))))/100)*(((1+(((C3152=TRUE)*F3152*IF(AND(Inputs!$B$39&lt;&gt;"pvp",Inputs!$B$44&gt;0),(((R3152-1)*MIN((Skills!Y22*(1+Inputs!$B$34/100)),(1/Q3152))+MIN((Skills!Y22*(1+Inputs!$B$34/100)),MAX(0,Inputs!$B$44-((R3152-1)*(1/Q3152)))))/Inputs!$B$44),IF(Inputs!$B$39="pvp",MIN((Skills!Y22*(1+Inputs!$B$34/100)),15)/15,MIN(1,(Skills!Y22*(1+Inputs!$B$34/100))/(1/Q3152)))))+((C3133=TRUE)*F3133*3)+((C3135=TRUE)*F3135*(1-EXP(-0.75*B3168*5)))+((C3154=TRUE)*(F3154-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IF(ArtifactsInput!$M$40,FALSE,TRUE),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3141=TRUE)*F3141*IF(AND(Inputs!$B$39&lt;&gt;"pvp",Inputs!$B$44&gt;0),(((R3141-1)*MIN((Skills!Y11*(1+Inputs!$B$34/100)),(1/Q3141))+MIN((Skills!Y11*(1+Inputs!$B$34/100)),MAX(0,Inputs!$B$44-((R3141-1)*(1/Q3141)))))/Inputs!$B$44),IF(Inputs!$B$39="pvp",MIN((Skills!Y11*(1+Inputs!$B$34/100)),15)/15,MIN(1,(Skills!Y11*(1+Inputs!$B$34/100))/(1/Q3141)))))/100)*(1+((C3146=TRUE)*F3146*IF(AND(Inputs!$B$39&lt;&gt;"pvp",Inputs!$B$44&gt;0),(((R3146-1)*MIN((Skills!Y16*(1+Inputs!$B$34/100)),(1/Q3146))+MIN((Skills!Y16*(1+Inputs!$B$34/100)),MAX(0,Inputs!$B$44-((R3146-1)*(1/Q3146)))))/Inputs!$B$44),IF(Inputs!$B$39="pvp",MIN((Skills!Y16*(1+Inputs!$B$34/100)),15)/15,MIN(1,(Skills!Y16*(1+Inputs!$B$34/100))/(1/Q3146)))))/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3166*I3144)</f>
        <v/>
      </c>
      <c r="L3144">
        <f>K3144*(MIN(Inputs!$B$22+((C3155=TRUE)*(F3155-Calc!F25)),(Inputs!$B$23+((C3160=TRUE)*(F3160-Calc!F30))+IF(ArtifactsInput!$M$15,CHOOSE(ArtifactsInput!$N$15+1,25,30,35,40,45,50)/100*(Inputs!$B$11-Inputs!$B$11),0)))/100+(Inputs!$B$23+((C3160=TRUE)*(F3160-Calc!F30))+IF(ArtifactsInput!$M$15,CHOOSE(ArtifactsInput!$N$15+1,25,30,35,40,45,50)/100*(Inputs!$B$11-Inputs!$B$11),0))/100)/2</f>
        <v/>
      </c>
      <c r="M3144">
        <f>L3144*(1+(Inputs!$B$10+((C3157=TRUE)*(F3157-Calc!F27))+B3171+(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3144">
        <f>L3144*(1-MIN((Inputs!$B$9+((C3156=TRUE)*(F3156-Calc!F26))+B3164+(ArtifactsInput!$M$24-ArtifactsInput!$M$24)*CHOOSE(ArtifactsInput!$N$24+1,10,12,14,16,18,20)+(IF(AND(Inputs!$B$39&lt;&gt;"pvp",Inputs!$B$44=0),1,IF(IF(Inputs!$B$39="pvp",15,Inputs!$B$44)-(B3175)&lt;=0,1,MAX(0,IF(Inputs!$B$39="pvp",15,Inputs!$B$44)-MAX(5,B3175))/(IF(Inputs!$B$39="pvp",15,Inputs!$B$44)-(B3175))))*IF(AND(ArtifactsInput!$M$42,((Inputs!$B$9+((C3156=TRUE)*(F3156-Calc!F26))+B3164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3144*(MIN((Inputs!$B$9+((C3156=TRUE)*(F3156-Calc!F26))+B3164+(ArtifactsInput!$M$24-ArtifactsInput!$M$24)*CHOOSE(ArtifactsInput!$N$24+1,10,12,14,16,18,20)+(IF(AND(Inputs!$B$39&lt;&gt;"pvp",Inputs!$B$44=0),1,IF(IF(Inputs!$B$39="pvp",15,Inputs!$B$44)-(B3175)&lt;=0,1,MAX(0,IF(Inputs!$B$39="pvp",15,Inputs!$B$44)-MAX(5,B3175))/(IF(Inputs!$B$39="pvp",15,Inputs!$B$44)-(B3175))))*IF(AND(ArtifactsInput!$M$42,((Inputs!$B$9+((C3156=TRUE)*(F3156-Calc!F26))+B3164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3144">
        <f>(1-Summary!$B$11)*T3144+Summary!$B$11*V3144</f>
        <v/>
      </c>
      <c r="P3144">
        <f>IF(B3176=0,0,O3144/B3176)</f>
        <v/>
      </c>
      <c r="Q3144">
        <f>IFERROR(1/IF(Inputs!$B$39="pvp",15,MAX(0.1,Skills!D14-IF(TRUE=TRUE,Inputs!$B$32,0))),0)</f>
        <v/>
      </c>
      <c r="R3144">
        <f>IF(AND(Inputs!$B$39&lt;&gt;"pvp",Inputs!$B$44&gt;0),IF(MAX(0,Inputs!$B$44-B3175)&lt;=0,0,(INT(MAX(0,Inputs!$B$44-B3175)/IF(Inputs!$B$39="pvp",15,MAX(0.1,Skills!D14-IF(TRUE=TRUE,Inputs!$B$32,0))))+1)),0)</f>
        <v/>
      </c>
      <c r="S3144">
        <f>IFERROR(O3144/N3144,0)</f>
        <v/>
      </c>
      <c r="T3144">
        <f>IF(C3144,(H3144*N3144*IF(AND(Inputs!$B$39&lt;&gt;"pvp",Inputs!$B$44&gt;0),((Skills!G14*((R3144-1)*IF(Skills!H14&gt;0,Skills!I14/Skills!H14,1)+IF(Skills!H14&gt;0,MIN(Skills!I14,MAX(0,MAX(0,Inputs!$B$44-B3175)-((R3144-1)*IF(Inputs!$B$39="pvp",15,MAX(0.1,Skills!D14-IF(TRUE=TRUE,Inputs!$B$32,0))))))/Skills!H14,1)))/Inputs!$B$44),G3144*Q3144))*IF(Inputs!$B$39="pvp",1,1+(Inputs!$B$20+0+Skills!P14+B3165+(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Hunt"),CHOOSE(ArtifactsInput!$N$35+1,15,18,21,24,27,30)*(1-EXP(-(0.2*B3168)*5)),0)+IF(AND(ArtifactsInput!$M$22,Inputs!$B$4&lt;&gt;"Chapter Hunt"),CHOOSE(ArtifactsInput!$N$22+1,10,12,14,16,18,20)*((0*(((0.15*B3168*5))^0/1)+1*(((0.15*B3168*5))^1/1)+2*(((0.15*B3168*5))^2/2)+3*(((0.15*B3168*5))^3/6)+4*(((0.15*B3168*5))^4/24)+5*(((0.15*B3168*5))^5/120))/((((0.15*B3168*5))^0/1)+(((0.15*B3168*5))^1/1)+(((0.15*B3168*5))^2/2)+(((0.15*B3168*5))^3/6)+(((0.15*B3168*5))^4/24)+(((0.15*B3168*5))^5/120))),0)))/100)*((((5000/(6000+Inputs!$B$43*(1-(100*(1-(1-(100*(1-(1-Inputs!$B$19/100)*(1-CHOOSE(ArtifactsInput!$N$40+1,5,6,7,8,9,10)/100)^(IF(ArtifactsInput!$M$40,FALSE,TRUE)-ArtifactsInput!$M$40)))/100)*(1-IF(IF(ArtifactsInput!$M$40,FALSE,TRUE),CHOOSE(ArtifactsInput!$N$40+1,5,6,7,8,9,10),0)/100)^IF(Inputs!$B$39="pvp",1,2)))/100)))/(5000/(6000+Inputs!$B$43*(1-(100*(1-(1-Inputs!$B$19/100)*(1-CHOOSE(ArtifactsInput!$N$40+1,5,6,7,8,9,10)/100)^(IF(ArtifactsInput!$M$40,FALSE,TRUE)-ArtifactsInput!$M$40)))/100))))*((L3144*(1-MIN(100,(Inputs!$B$9+((C3156=TRUE)*(F3156-Calc!F26))+B3164+(ArtifactsInput!$M$24-ArtifactsInput!$M$24)*CHOOSE(ArtifactsInput!$N$24+1,10,12,14,16,18,20)+(IF(AND(Inputs!$B$39&lt;&gt;"pvp",Inputs!$B$44=0),1,IF(IF(Inputs!$B$39="pvp",15,Inputs!$B$44)-(B3175)&lt;=0,1,MAX(0,IF(Inputs!$B$39="pvp",15,Inputs!$B$44)-MAX(5,B3175))/(IF(Inputs!$B$39="pvp",15,Inputs!$B$44)-(B3175))))*IF(AND(ArtifactsInput!$M$42,((Inputs!$B$9+((C3156=TRUE)*(F3156-Calc!F26))+B3164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3144*(MIN(100,(Inputs!$B$9+((C3156=TRUE)*(F3156-Calc!F26))+B3164+(ArtifactsInput!$M$24-ArtifactsInput!$M$24)*CHOOSE(ArtifactsInput!$N$24+1,10,12,14,16,18,20)+(IF(AND(Inputs!$B$39&lt;&gt;"pvp",Inputs!$B$44=0),1,IF(IF(Inputs!$B$39="pvp",15,Inputs!$B$44)-(B3175)&lt;=0,1,MAX(0,IF(Inputs!$B$39="pvp",15,Inputs!$B$44)-MAX(5,B3175))/(IF(Inputs!$B$39="pvp",15,Inputs!$B$44)-(B3175))))*IF(AND(ArtifactsInput!$M$42,((Inputs!$B$9+((C3156=TRUE)*(F3156-Calc!F26))+B3164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3144*(1-MIN(100,(Inputs!$B$9+((C3156=TRUE)*(F3156-Calc!F26))+B3164+(ArtifactsInput!$M$24-ArtifactsInput!$M$24)*CHOOSE(ArtifactsInput!$N$24+1,10,12,14,16,18,20)+(IF(AND(Inputs!$B$39&lt;&gt;"pvp",Inputs!$B$44=0),1,IF(IF(Inputs!$B$39="pvp",15,Inputs!$B$44)-(B3175)&lt;=0,1,MAX(0,IF(Inputs!$B$39="pvp",15,Inputs!$B$44)-MAX(5,B3175))/(IF(Inputs!$B$39="pvp",15,Inputs!$B$44)-(B3175))))*IF(AND(ArtifactsInput!$M$42,((Inputs!$B$9+((C3156=TRUE)*(F3156-Calc!F26))+B3164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3144*(MIN(100,(Inputs!$B$9+((C3156=TRUE)*(F3156-Calc!F26))+B3164+(ArtifactsInput!$M$24-ArtifactsInput!$M$24)*CHOOSE(ArtifactsInput!$N$24+1,10,12,14,16,18,20)+(IF(AND(Inputs!$B$39&lt;&gt;"pvp",Inputs!$B$44=0),1,IF(IF(Inputs!$B$39="pvp",15,Inputs!$B$44)-(B3175)&lt;=0,1,MAX(0,IF(Inputs!$B$39="pvp",15,Inputs!$B$44)-MAX(5,B3175))/(IF(Inputs!$B$39="pvp",15,Inputs!$B$44)-(B3175))))*IF(AND(ArtifactsInput!$M$42,((Inputs!$B$9+((C3156=TRUE)*(F3156-Calc!F26))+B3164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3144">
        <f>IF(C3144,(H3144*N3144*IF(AND(Inputs!$B$39&lt;&gt;"pvp",Inputs!$B$44&gt;0),((Skills!G14*((R3144-1)*IF(Skills!H14&gt;0,Skills!I14/Skills!H14,1)+IF(Skills!H14&gt;0,MIN(Skills!I14,MAX(0,MAX(0,Inputs!$B$44-B3175)-((R3144-1)*IF(Inputs!$B$39="pvp",15,MAX(0.1,Skills!D14-IF(TRUE=TRUE,Inputs!$B$32,0))))))/Skills!H14,1)))/Inputs!$B$44),G3144*Q3144))*IF(Inputs!$B$39="pvp",1,(1+(Inputs!$B$21+Skills!Q14+B3165+(IF(ArtifactsInput!$M$33,CHOOSE(ArtifactsInput!$N$33+1,30,36,42,48,54,60),0))+(IF(AND(ArtifactsInput!$M$35,Inputs!$B$4&lt;&gt;"Chapter Hunt"),CHOOSE(ArtifactsInput!$N$35+1,15,18,21,24,27,30)*(1-EXP(-(0.2*B3168)*5)),0)+IF(AND(ArtifactsInput!$M$22,Inputs!$B$4&lt;&gt;"Chapter Hunt"),CHOOSE(ArtifactsInput!$N$22+1,10,12,14,16,18,20)*((0*(((0.15*B3168*5))^0/1)+1*(((0.15*B3168*5))^1/1)+2*(((0.15*B3168*5))^2/2)+3*(((0.15*B3168*5))^3/6)+4*(((0.15*B3168*5))^4/24)+5*(((0.15*B3168*5))^5/120))/((((0.15*B3168*5))^0/1)+(((0.15*B3168*5))^1/1)+(((0.15*B3168*5))^2/2)+(((0.15*B3168*5))^3/6)+(((0.15*B3168*5))^4/24)+(((0.15*B3168*5))^5/120))),0)))/100)*(MIN(Skills!W14,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3145">
      <c r="A3145">
        <f>Skills!A15</f>
        <v/>
      </c>
      <c r="B3145">
        <f>Skills!B15</f>
        <v/>
      </c>
      <c r="C3145">
        <f>Inputs!$B$3&gt;=107</f>
        <v/>
      </c>
      <c r="D3145">
        <f>IF(Skills!C15=1,60+Inputs!$B$25+Inputs!$B$29,IF(Skills!C15=2,90+Inputs!$B$26+Inputs!$B$29,IF(Skills!C15=3,120+Inputs!$B$27+Inputs!$B$29,MAX(0,(Inputs!$B$3-100)*3)+Inputs!$B$28+Inputs!$B$29)))</f>
        <v/>
      </c>
      <c r="E3145">
        <f>INDEX(FactorTable!$B$2:$Y$301, MATCH(ROUND(MIN(300,MAX(1,D3145)),0), FactorTable!$A$2:$A$301,0), Skills!M15+1)</f>
        <v/>
      </c>
      <c r="F3145">
        <f>IF(Skills!N15=TRUE,(Skills!L15/10)*(E3145/1000),Skills!L15/10)+Skills!O15</f>
        <v/>
      </c>
      <c r="G3145">
        <f>Skills!G15*IF(Skills!H15&gt;0,IF(Inputs!$B$39="pvp",MIN(Skills!I15,15),Skills!I15)/Skills!H15,1)</f>
        <v/>
      </c>
      <c r="H3145">
        <f>1-(1-Skills!J15/100)^Skills!K15</f>
        <v/>
      </c>
      <c r="I3145" t="inlineStr">
        <is>
          <t>1</t>
        </is>
      </c>
      <c r="J3145">
        <f>((Inputs!$B$6*(1+Inputs!$B$7/100))+(((Inputs!$B$12*(1+Inputs!$B$13/100))-(Inputs!$B$12*(1+Inputs!$B$13/100)))+0.25*(Inputs!$B$14-Inputs!$B$14))*(1+Inputs!$B$7/100))*(F3145/100)</f>
        <v/>
      </c>
      <c r="K3145">
        <f>J3145*(1+((Inputs!$B$12*(1+Inputs!$B$13/100))*0.01+Inputs!$B$14*0.0025)/100)*(1+Inputs!$B$15/100)*(1+Inputs!$B$16/100)*(5000/(6000+Inputs!$B$43*(1-(100*(1-(1-Inputs!$B$19/100)*(1-CHOOSE(ArtifactsInput!$N$40+1,5,6,7,8,9,10)/100)^(IF(ArtifactsInput!$M$40,FALSE,TRUE)-ArtifactsInput!$M$40)))/100)))*(1+(Inputs!$B$24+((C3161=TRUE)*(F3161-Calc!F31))+((C3148=TRUE)*(F3148-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15="CRUEL_STAB",Inputs!$B$17+((C3158=TRUE)*(F3158-Calc!F28))+((IF(AND(Inputs!$B$39&lt;&gt;"pvp",Inputs!$B$44=0),1,IF(IF(Inputs!$B$39="pvp",15,Inputs!$B$44)-(B3175)&lt;=0,1,MAX(0,IF(Inputs!$B$39="pvp",15,Inputs!$B$44)-MAX(5,B3175))/(IF(Inputs!$B$39="pvp",15,Inputs!$B$44)-(B3175))))*(IF(AND(ArtifactsInput!$M$42,((Inputs!$B$9+((C3156=TRUE)*(F3156-Calc!F26))+B3164+(ArtifactsInput!$M$24-ArtifactsInput!$M$24)*CHOOSE(ArtifactsInput!$N$24+1,10,12,14,16,18,20)+IF(ArtifactsInput!$M$10,CHOOSE(ArtifactsInput!$N$10+1,15,18,21,24,27,30)*(IF(Inputs!$B$39="pvp",MIN(15,15)/15,IF(AND(Inputs!$B$39&lt;&gt;"pvp",Inputs!$B$44&gt;0),MIN(15,Inputs!$B$44)/(Inputs!$B$44),0))),0)))&gt;=100),MIN(100,((Inputs!$B$9+((C3156=TRUE)*(F3156-Calc!F26))+B3164+(ArtifactsInput!$M$24-ArtifactsInput!$M$24)*CHOOSE(ArtifactsInput!$N$24+1,10,12,14,16,18,20)+IF(ArtifactsInput!$M$10,CHOOSE(ArtifactsInput!$N$10+1,15,18,21,24,27,30)*(IF(Inputs!$B$39="pvp",MIN(15,15)/15,IF(AND(Inputs!$B$39&lt;&gt;"pvp",Inputs!$B$44&gt;0),MIN(15,Inputs!$B$44)/(Inputs!$B$44),0))),0)))-100),0))*CHOOSE(ArtifactsInput!$N$42+1,0.6,0.72,0.84,0.96,1.08,1.2))),Inputs!$B$18+((C3159=TRUE)*(F3159-Calc!F29))+(IF(AND(Inputs!$B$39&lt;&gt;"pvp",Inputs!$B$44=0),1,IF(IF(Inputs!$B$39="pvp",15,Inputs!$B$44)-(B3175)&lt;=0,1,MAX(0,IF(Inputs!$B$39="pvp",15,Inputs!$B$44)-MAX(5,B3175))/(IF(Inputs!$B$39="pvp",15,Inputs!$B$44)-(B3175))))*IF(AND(ArtifactsInput!$M$42,((Inputs!$B$9+((C3156=TRUE)*(F3156-Calc!F26))+B3164+(ArtifactsInput!$M$24-ArtifactsInput!$M$24)*CHOOSE(ArtifactsInput!$N$24+1,10,12,14,16,18,20)+IF(ArtifactsInput!$M$10,CHOOSE(ArtifactsInput!$N$10+1,15,18,21,24,27,30)*(IF(Inputs!$B$39="pvp",MIN(15,15)/15,IF(AND(Inputs!$B$39&lt;&gt;"pvp",Inputs!$B$44&gt;0),MIN(15,Inputs!$B$44)/(Inputs!$B$44),0))),0)))&gt;=100),CHOOSE(ArtifactsInput!$N$42+1,40,48,56,64,72,80),0))))/100)*(((1+(((C3152=TRUE)*F3152*IF(AND(Inputs!$B$39&lt;&gt;"pvp",Inputs!$B$44&gt;0),(((R3152-1)*MIN((Skills!Y22*(1+Inputs!$B$34/100)),(1/Q3152))+MIN((Skills!Y22*(1+Inputs!$B$34/100)),MAX(0,Inputs!$B$44-((R3152-1)*(1/Q3152)))))/Inputs!$B$44),IF(Inputs!$B$39="pvp",MIN((Skills!Y22*(1+Inputs!$B$34/100)),15)/15,MIN(1,(Skills!Y22*(1+Inputs!$B$34/100))/(1/Q3152)))))+((C3133=TRUE)*F3133*3)+((C3135=TRUE)*F3135*(1-EXP(-0.75*B3168*5)))+((C3154=TRUE)*(F3154-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IF(ArtifactsInput!$M$40,FALSE,TRUE),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3141=TRUE)*F3141*IF(AND(Inputs!$B$39&lt;&gt;"pvp",Inputs!$B$44&gt;0),(((R3141-1)*MIN((Skills!Y11*(1+Inputs!$B$34/100)),(1/Q3141))+MIN((Skills!Y11*(1+Inputs!$B$34/100)),MAX(0,Inputs!$B$44-((R3141-1)*(1/Q3141)))))/Inputs!$B$44),IF(Inputs!$B$39="pvp",MIN((Skills!Y11*(1+Inputs!$B$34/100)),15)/15,MIN(1,(Skills!Y11*(1+Inputs!$B$34/100))/(1/Q3141)))))/100)*(1+((C3146=TRUE)*F3146*IF(AND(Inputs!$B$39&lt;&gt;"pvp",Inputs!$B$44&gt;0),(((R3146-1)*MIN((Skills!Y16*(1+Inputs!$B$34/100)),(1/Q3146))+MIN((Skills!Y16*(1+Inputs!$B$34/100)),MAX(0,Inputs!$B$44-((R3146-1)*(1/Q3146)))))/Inputs!$B$44),IF(Inputs!$B$39="pvp",MIN((Skills!Y16*(1+Inputs!$B$34/100)),15)/15,MIN(1,(Skills!Y16*(1+Inputs!$B$34/100))/(1/Q3146)))))/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3166*I3145)</f>
        <v/>
      </c>
      <c r="L3145">
        <f>K3145*(MIN(Inputs!$B$22+((C3155=TRUE)*(F3155-Calc!F25)),(Inputs!$B$23+((C3160=TRUE)*(F3160-Calc!F30))+IF(ArtifactsInput!$M$15,CHOOSE(ArtifactsInput!$N$15+1,25,30,35,40,45,50)/100*(Inputs!$B$11-Inputs!$B$11),0)))/100+(Inputs!$B$23+((C3160=TRUE)*(F3160-Calc!F30))+IF(ArtifactsInput!$M$15,CHOOSE(ArtifactsInput!$N$15+1,25,30,35,40,45,50)/100*(Inputs!$B$11-Inputs!$B$11),0))/100)/2</f>
        <v/>
      </c>
      <c r="M3145">
        <f>L3145*(1+(Inputs!$B$10+((C3157=TRUE)*(F3157-Calc!F27))+B3171+(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3145">
        <f>L3145*(1-MIN((Inputs!$B$9+((C3156=TRUE)*(F3156-Calc!F26))+B3164+(ArtifactsInput!$M$24-ArtifactsInput!$M$24)*CHOOSE(ArtifactsInput!$N$24+1,10,12,14,16,18,20)+(IF(AND(Inputs!$B$39&lt;&gt;"pvp",Inputs!$B$44=0),1,IF(IF(Inputs!$B$39="pvp",15,Inputs!$B$44)-(B3175)&lt;=0,1,MAX(0,IF(Inputs!$B$39="pvp",15,Inputs!$B$44)-MAX(5,B3175))/(IF(Inputs!$B$39="pvp",15,Inputs!$B$44)-(B3175))))*IF(AND(ArtifactsInput!$M$42,((Inputs!$B$9+((C3156=TRUE)*(F3156-Calc!F26))+B3164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3145*(MIN((Inputs!$B$9+((C3156=TRUE)*(F3156-Calc!F26))+B3164+(ArtifactsInput!$M$24-ArtifactsInput!$M$24)*CHOOSE(ArtifactsInput!$N$24+1,10,12,14,16,18,20)+(IF(AND(Inputs!$B$39&lt;&gt;"pvp",Inputs!$B$44=0),1,IF(IF(Inputs!$B$39="pvp",15,Inputs!$B$44)-(B3175)&lt;=0,1,MAX(0,IF(Inputs!$B$39="pvp",15,Inputs!$B$44)-MAX(5,B3175))/(IF(Inputs!$B$39="pvp",15,Inputs!$B$44)-(B3175))))*IF(AND(ArtifactsInput!$M$42,((Inputs!$B$9+((C3156=TRUE)*(F3156-Calc!F26))+B3164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3145">
        <f>(1-Summary!$B$11)*T3145+Summary!$B$11*V3145</f>
        <v/>
      </c>
      <c r="P3145">
        <f>IF(B3176=0,0,O3145/B3176)</f>
        <v/>
      </c>
      <c r="Q3145">
        <f>IFERROR(1/IF(Inputs!$B$39="pvp",15,MAX(0.1,Skills!D15-IF(TRUE=TRUE,Inputs!$B$32,0))),0)</f>
        <v/>
      </c>
      <c r="R3145">
        <f>IF(AND(Inputs!$B$39&lt;&gt;"pvp",Inputs!$B$44&gt;0),IF(MAX(0,Inputs!$B$44-B3175)&lt;=0,0,(INT(MAX(0,Inputs!$B$44-B3175)/IF(Inputs!$B$39="pvp",15,MAX(0.1,Skills!D15-IF(TRUE=TRUE,Inputs!$B$32,0))))+1)),0)</f>
        <v/>
      </c>
      <c r="S3145">
        <f>IFERROR(O3145/N3145,0)</f>
        <v/>
      </c>
      <c r="T3145">
        <f>IF(C3145,(H3145*N3145*IF(AND(Inputs!$B$39&lt;&gt;"pvp",Inputs!$B$44&gt;0),((Skills!G15*((R3145-1)*IF(Skills!H15&gt;0,Skills!I15/Skills!H15,1)+IF(Skills!H15&gt;0,MIN(Skills!I15,MAX(0,MAX(0,Inputs!$B$44-B3175)-((R3145-1)*IF(Inputs!$B$39="pvp",15,MAX(0.1,Skills!D15-IF(TRUE=TRUE,Inputs!$B$32,0))))))/Skills!H15,1)))/Inputs!$B$44),G3145*Q3145))*IF(Inputs!$B$39="pvp",1,1+(Inputs!$B$20+0+Skills!P15+B3165+(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Hunt"),CHOOSE(ArtifactsInput!$N$35+1,15,18,21,24,27,30)*(1-EXP(-(0.2*B3168)*5)),0)+IF(AND(ArtifactsInput!$M$22,Inputs!$B$4&lt;&gt;"Chapter Hunt"),CHOOSE(ArtifactsInput!$N$22+1,10,12,14,16,18,20)*((0*(((0.15*B3168*5))^0/1)+1*(((0.15*B3168*5))^1/1)+2*(((0.15*B3168*5))^2/2)+3*(((0.15*B3168*5))^3/6)+4*(((0.15*B3168*5))^4/24)+5*(((0.15*B3168*5))^5/120))/((((0.15*B3168*5))^0/1)+(((0.15*B3168*5))^1/1)+(((0.15*B3168*5))^2/2)+(((0.15*B3168*5))^3/6)+(((0.15*B3168*5))^4/24)+(((0.15*B3168*5))^5/120))),0)))/100)*((((5000/(6000+Inputs!$B$43*(1-(100*(1-(1-(100*(1-(1-Inputs!$B$19/100)*(1-CHOOSE(ArtifactsInput!$N$40+1,5,6,7,8,9,10)/100)^(IF(ArtifactsInput!$M$40,FALSE,TRUE)-ArtifactsInput!$M$40)))/100)*(1-IF(IF(ArtifactsInput!$M$40,FALSE,TRUE),CHOOSE(ArtifactsInput!$N$40+1,5,6,7,8,9,10),0)/100)^IF(Inputs!$B$39="pvp",1,2)))/100)))/(5000/(6000+Inputs!$B$43*(1-(100*(1-(1-Inputs!$B$19/100)*(1-CHOOSE(ArtifactsInput!$N$40+1,5,6,7,8,9,10)/100)^(IF(ArtifactsInput!$M$40,FALSE,TRUE)-ArtifactsInput!$M$40)))/100))))*((L3145*(1-MIN(100,(Inputs!$B$9+((C3156=TRUE)*(F3156-Calc!F26))+B3164+(ArtifactsInput!$M$24-ArtifactsInput!$M$24)*CHOOSE(ArtifactsInput!$N$24+1,10,12,14,16,18,20)+(IF(AND(Inputs!$B$39&lt;&gt;"pvp",Inputs!$B$44=0),1,IF(IF(Inputs!$B$39="pvp",15,Inputs!$B$44)-(B3175)&lt;=0,1,MAX(0,IF(Inputs!$B$39="pvp",15,Inputs!$B$44)-MAX(5,B3175))/(IF(Inputs!$B$39="pvp",15,Inputs!$B$44)-(B3175))))*IF(AND(ArtifactsInput!$M$42,((Inputs!$B$9+((C3156=TRUE)*(F3156-Calc!F26))+B3164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3145*(MIN(100,(Inputs!$B$9+((C3156=TRUE)*(F3156-Calc!F26))+B3164+(ArtifactsInput!$M$24-ArtifactsInput!$M$24)*CHOOSE(ArtifactsInput!$N$24+1,10,12,14,16,18,20)+(IF(AND(Inputs!$B$39&lt;&gt;"pvp",Inputs!$B$44=0),1,IF(IF(Inputs!$B$39="pvp",15,Inputs!$B$44)-(B3175)&lt;=0,1,MAX(0,IF(Inputs!$B$39="pvp",15,Inputs!$B$44)-MAX(5,B3175))/(IF(Inputs!$B$39="pvp",15,Inputs!$B$44)-(B3175))))*IF(AND(ArtifactsInput!$M$42,((Inputs!$B$9+((C3156=TRUE)*(F3156-Calc!F26))+B3164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3145*(1-MIN(100,(Inputs!$B$9+((C3156=TRUE)*(F3156-Calc!F26))+B3164+(ArtifactsInput!$M$24-ArtifactsInput!$M$24)*CHOOSE(ArtifactsInput!$N$24+1,10,12,14,16,18,20)+(IF(AND(Inputs!$B$39&lt;&gt;"pvp",Inputs!$B$44=0),1,IF(IF(Inputs!$B$39="pvp",15,Inputs!$B$44)-(B3175)&lt;=0,1,MAX(0,IF(Inputs!$B$39="pvp",15,Inputs!$B$44)-MAX(5,B3175))/(IF(Inputs!$B$39="pvp",15,Inputs!$B$44)-(B3175))))*IF(AND(ArtifactsInput!$M$42,((Inputs!$B$9+((C3156=TRUE)*(F3156-Calc!F26))+B3164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3145*(MIN(100,(Inputs!$B$9+((C3156=TRUE)*(F3156-Calc!F26))+B3164+(ArtifactsInput!$M$24-ArtifactsInput!$M$24)*CHOOSE(ArtifactsInput!$N$24+1,10,12,14,16,18,20)+(IF(AND(Inputs!$B$39&lt;&gt;"pvp",Inputs!$B$44=0),1,IF(IF(Inputs!$B$39="pvp",15,Inputs!$B$44)-(B3175)&lt;=0,1,MAX(0,IF(Inputs!$B$39="pvp",15,Inputs!$B$44)-MAX(5,B3175))/(IF(Inputs!$B$39="pvp",15,Inputs!$B$44)-(B3175))))*IF(AND(ArtifactsInput!$M$42,((Inputs!$B$9+((C3156=TRUE)*(F3156-Calc!F26))+B3164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3145">
        <f>IF(C3145,(H3145*N3145*IF(AND(Inputs!$B$39&lt;&gt;"pvp",Inputs!$B$44&gt;0),((Skills!G15*((R3145-1)*IF(Skills!H15&gt;0,Skills!I15/Skills!H15,1)+IF(Skills!H15&gt;0,MIN(Skills!I15,MAX(0,MAX(0,Inputs!$B$44-B3175)-((R3145-1)*IF(Inputs!$B$39="pvp",15,MAX(0.1,Skills!D15-IF(TRUE=TRUE,Inputs!$B$32,0))))))/Skills!H15,1)))/Inputs!$B$44),G3145*Q3145))*IF(Inputs!$B$39="pvp",1,(1+(Inputs!$B$21+Skills!Q15+B3165+(IF(ArtifactsInput!$M$33,CHOOSE(ArtifactsInput!$N$33+1,30,36,42,48,54,60),0))+(IF(AND(ArtifactsInput!$M$35,Inputs!$B$4&lt;&gt;"Chapter Hunt"),CHOOSE(ArtifactsInput!$N$35+1,15,18,21,24,27,30)*(1-EXP(-(0.2*B3168)*5)),0)+IF(AND(ArtifactsInput!$M$22,Inputs!$B$4&lt;&gt;"Chapter Hunt"),CHOOSE(ArtifactsInput!$N$22+1,10,12,14,16,18,20)*((0*(((0.15*B3168*5))^0/1)+1*(((0.15*B3168*5))^1/1)+2*(((0.15*B3168*5))^2/2)+3*(((0.15*B3168*5))^3/6)+4*(((0.15*B3168*5))^4/24)+5*(((0.15*B3168*5))^5/120))/((((0.15*B3168*5))^0/1)+(((0.15*B3168*5))^1/1)+(((0.15*B3168*5))^2/2)+(((0.15*B3168*5))^3/6)+(((0.15*B3168*5))^4/24)+(((0.15*B3168*5))^5/120))),0)))/100)*(MIN(MIN(5,0.5*IF(Inputs!$B$3&gt;=75,0.75,0.5)*B3168*(1/Q3134))*Skills!V15,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3146">
      <c r="A3146">
        <f>Skills!A16</f>
        <v/>
      </c>
      <c r="B3146">
        <f>Skills!B16</f>
        <v/>
      </c>
      <c r="C3146">
        <f>Inputs!$B$3&gt;=110</f>
        <v/>
      </c>
      <c r="D3146">
        <f>IF(Skills!C16=1,60+Inputs!$B$25+Inputs!$B$29,IF(Skills!C16=2,90+Inputs!$B$26+Inputs!$B$29,IF(Skills!C16=3,120+Inputs!$B$27+Inputs!$B$29,MAX(0,(Inputs!$B$3-100)*3)+Inputs!$B$28+Inputs!$B$29)))</f>
        <v/>
      </c>
      <c r="E3146">
        <f>INDEX(FactorTable!$B$2:$Y$301, MATCH(ROUND(MIN(300,MAX(1,D3146)),0), FactorTable!$A$2:$A$301,0), Skills!M16+1)</f>
        <v/>
      </c>
      <c r="F3146">
        <f>IF(Skills!N16=TRUE,(Skills!L16/10)*(E3146/1000),Skills!L16/10)+Skills!O16</f>
        <v/>
      </c>
      <c r="G3146">
        <f>Skills!G16*IF(Skills!H16&gt;0,IF(Inputs!$B$39="pvp",MIN(Skills!I16,15),Skills!I16)/Skills!H16,1)</f>
        <v/>
      </c>
      <c r="H3146">
        <f>1-(1-Skills!J16/100)^Skills!K16</f>
        <v/>
      </c>
      <c r="I3146" t="inlineStr">
        <is>
          <t>1</t>
        </is>
      </c>
      <c r="J3146" t="inlineStr"/>
      <c r="K3146" t="inlineStr"/>
      <c r="L3146" t="inlineStr"/>
      <c r="M3146" t="inlineStr"/>
      <c r="N3146" t="inlineStr"/>
      <c r="O3146">
        <f>(1-Summary!$B$11)*T3146+Summary!$B$11*V3146</f>
        <v/>
      </c>
      <c r="P3146">
        <f>IF(B3176=0,0,O3146/B3176)</f>
        <v/>
      </c>
      <c r="Q3146">
        <f>IFERROR(1/IF(Inputs!$B$39="pvp",15,MAX(0.1,Skills!D16-IF(TRUE=TRUE,Inputs!$B$32,0))),0)</f>
        <v/>
      </c>
      <c r="R3146">
        <f>IF(AND(Inputs!$B$39&lt;&gt;"pvp",Inputs!$B$44&gt;0),IF(Inputs!$B$44&lt;=0,0,(INT(Inputs!$B$44/IF(Inputs!$B$39="pvp",15,MAX(0.1,Skills!D16-IF(TRUE=TRUE,Inputs!$B$32,0))))+1)),0)</f>
        <v/>
      </c>
      <c r="S3146">
        <f>IFERROR(O3146/N3146,0)</f>
        <v/>
      </c>
      <c r="T3146" t="n">
        <v>0</v>
      </c>
      <c r="V3146" t="n">
        <v>0</v>
      </c>
    </row>
    <row r="3147">
      <c r="A3147">
        <f>Skills!A17</f>
        <v/>
      </c>
      <c r="B3147">
        <f>Skills!B17</f>
        <v/>
      </c>
      <c r="C3147">
        <f>Inputs!$B$3&gt;=115</f>
        <v/>
      </c>
      <c r="D3147">
        <f>IF(Skills!C17=1,60+Inputs!$B$25+Inputs!$B$29,IF(Skills!C17=2,90+Inputs!$B$26+Inputs!$B$29,IF(Skills!C17=3,120+Inputs!$B$27+Inputs!$B$29,MAX(0,(Inputs!$B$3-100)*3)+Inputs!$B$28+Inputs!$B$29)))</f>
        <v/>
      </c>
      <c r="E3147">
        <f>INDEX(FactorTable!$B$2:$Y$301, MATCH(ROUND(MIN(300,MAX(1,D3147)),0), FactorTable!$A$2:$A$301,0), Skills!M17+1)</f>
        <v/>
      </c>
      <c r="F3147">
        <f>IF(Skills!N17=TRUE,(Skills!L17/10)*(E3147/1000),Skills!L17/10)+Skills!O17</f>
        <v/>
      </c>
      <c r="G3147">
        <f>Skills!G17*IF(Skills!H17&gt;0,IF(Inputs!$B$39="pvp",MIN(Skills!I17,15),Skills!I17)/Skills!H17,1)</f>
        <v/>
      </c>
      <c r="H3147">
        <f>1-(1-Skills!J17/100)^Skills!K17</f>
        <v/>
      </c>
      <c r="I3147" t="inlineStr">
        <is>
          <t>1</t>
        </is>
      </c>
      <c r="J3147">
        <f>((Inputs!$B$6*(1+Inputs!$B$7/100))+(((Inputs!$B$12*(1+Inputs!$B$13/100))-(Inputs!$B$12*(1+Inputs!$B$13/100)))+0.25*(Inputs!$B$14-Inputs!$B$14))*(1+Inputs!$B$7/100))*(F3147/100)</f>
        <v/>
      </c>
      <c r="K3147">
        <f>J3147*(1+((Inputs!$B$12*(1+Inputs!$B$13/100))*0.01+Inputs!$B$14*0.0025)/100)*(1+Inputs!$B$15/100)*(1+Inputs!$B$16/100)*(5000/(6000+Inputs!$B$43*(1-(100*(1-(1-Inputs!$B$19/100)*(1-CHOOSE(ArtifactsInput!$N$40+1,5,6,7,8,9,10)/100)^(IF(ArtifactsInput!$M$40,FALSE,TRUE)-ArtifactsInput!$M$40)))/100)))*(1+(Inputs!$B$24+((C3161=TRUE)*(F3161-Calc!F31))+((C3148=TRUE)*(F3148-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17="CRUEL_STAB",Inputs!$B$17+((C3158=TRUE)*(F3158-Calc!F28))+((IF(AND(Inputs!$B$39&lt;&gt;"pvp",Inputs!$B$44=0),1,IF(IF(Inputs!$B$39="pvp",15,Inputs!$B$44)-(B3175)&lt;=0,1,MAX(0,IF(Inputs!$B$39="pvp",15,Inputs!$B$44)-MAX(5,B3175))/(IF(Inputs!$B$39="pvp",15,Inputs!$B$44)-(B3175))))*(IF(AND(ArtifactsInput!$M$42,((Inputs!$B$9+((C3156=TRUE)*(F3156-Calc!F26))+B3164+(ArtifactsInput!$M$24-ArtifactsInput!$M$24)*CHOOSE(ArtifactsInput!$N$24+1,10,12,14,16,18,20)+IF(ArtifactsInput!$M$10,CHOOSE(ArtifactsInput!$N$10+1,15,18,21,24,27,30)*(IF(Inputs!$B$39="pvp",MIN(15,15)/15,IF(AND(Inputs!$B$39&lt;&gt;"pvp",Inputs!$B$44&gt;0),MIN(15,Inputs!$B$44)/(Inputs!$B$44),0))),0)))&gt;=100),MIN(100,((Inputs!$B$9+((C3156=TRUE)*(F3156-Calc!F26))+B3164+(ArtifactsInput!$M$24-ArtifactsInput!$M$24)*CHOOSE(ArtifactsInput!$N$24+1,10,12,14,16,18,20)+IF(ArtifactsInput!$M$10,CHOOSE(ArtifactsInput!$N$10+1,15,18,21,24,27,30)*(IF(Inputs!$B$39="pvp",MIN(15,15)/15,IF(AND(Inputs!$B$39&lt;&gt;"pvp",Inputs!$B$44&gt;0),MIN(15,Inputs!$B$44)/(Inputs!$B$44),0))),0)))-100),0))*CHOOSE(ArtifactsInput!$N$42+1,0.6,0.72,0.84,0.96,1.08,1.2))),Inputs!$B$18+((C3159=TRUE)*(F3159-Calc!F29))+(IF(AND(Inputs!$B$39&lt;&gt;"pvp",Inputs!$B$44=0),1,IF(IF(Inputs!$B$39="pvp",15,Inputs!$B$44)-(B3175)&lt;=0,1,MAX(0,IF(Inputs!$B$39="pvp",15,Inputs!$B$44)-MAX(5,B3175))/(IF(Inputs!$B$39="pvp",15,Inputs!$B$44)-(B3175))))*IF(AND(ArtifactsInput!$M$42,((Inputs!$B$9+((C3156=TRUE)*(F3156-Calc!F26))+B3164+(ArtifactsInput!$M$24-ArtifactsInput!$M$24)*CHOOSE(ArtifactsInput!$N$24+1,10,12,14,16,18,20)+IF(ArtifactsInput!$M$10,CHOOSE(ArtifactsInput!$N$10+1,15,18,21,24,27,30)*(IF(Inputs!$B$39="pvp",MIN(15,15)/15,IF(AND(Inputs!$B$39&lt;&gt;"pvp",Inputs!$B$44&gt;0),MIN(15,Inputs!$B$44)/(Inputs!$B$44),0))),0)))&gt;=100),CHOOSE(ArtifactsInput!$N$42+1,40,48,56,64,72,80),0))))/100)*(((1+(((C3152=TRUE)*F3152*IF(AND(Inputs!$B$39&lt;&gt;"pvp",Inputs!$B$44&gt;0),(((R3152-1)*MIN((Skills!Y22*(1+Inputs!$B$34/100)),(1/Q3152))+MIN((Skills!Y22*(1+Inputs!$B$34/100)),MAX(0,Inputs!$B$44-((R3152-1)*(1/Q3152)))))/Inputs!$B$44),IF(Inputs!$B$39="pvp",MIN((Skills!Y22*(1+Inputs!$B$34/100)),15)/15,MIN(1,(Skills!Y22*(1+Inputs!$B$34/100))/(1/Q3152)))))+((C3133=TRUE)*F3133*3)+((C3135=TRUE)*F3135*(1-EXP(-0.75*B3168*5)))+((C3154=TRUE)*(F3154-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IF(ArtifactsInput!$M$40,FALSE,TRUE),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3141=TRUE)*F3141*IF(AND(Inputs!$B$39&lt;&gt;"pvp",Inputs!$B$44&gt;0),(((R3141-1)*MIN((Skills!Y11*(1+Inputs!$B$34/100)),(1/Q3141))+MIN((Skills!Y11*(1+Inputs!$B$34/100)),MAX(0,Inputs!$B$44-((R3141-1)*(1/Q3141)))))/Inputs!$B$44),IF(Inputs!$B$39="pvp",MIN((Skills!Y11*(1+Inputs!$B$34/100)),15)/15,MIN(1,(Skills!Y11*(1+Inputs!$B$34/100))/(1/Q3141)))))/100)*(1+((C3146=TRUE)*F3146*IF(AND(Inputs!$B$39&lt;&gt;"pvp",Inputs!$B$44&gt;0),(((R3146-1)*MIN((Skills!Y16*(1+Inputs!$B$34/100)),(1/Q3146))+MIN((Skills!Y16*(1+Inputs!$B$34/100)),MAX(0,Inputs!$B$44-((R3146-1)*(1/Q3146)))))/Inputs!$B$44),IF(Inputs!$B$39="pvp",MIN((Skills!Y16*(1+Inputs!$B$34/100)),15)/15,MIN(1,(Skills!Y16*(1+Inputs!$B$34/100))/(1/Q3146)))))/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3166*I3147)</f>
        <v/>
      </c>
      <c r="L3147">
        <f>K3147*(MIN(Inputs!$B$22+((C3155=TRUE)*(F3155-Calc!F25)),(Inputs!$B$23+((C3160=TRUE)*(F3160-Calc!F30))+IF(ArtifactsInput!$M$15,CHOOSE(ArtifactsInput!$N$15+1,25,30,35,40,45,50)/100*(Inputs!$B$11-Inputs!$B$11),0)))/100+(Inputs!$B$23+((C3160=TRUE)*(F3160-Calc!F30))+IF(ArtifactsInput!$M$15,CHOOSE(ArtifactsInput!$N$15+1,25,30,35,40,45,50)/100*(Inputs!$B$11-Inputs!$B$11),0))/100)/2</f>
        <v/>
      </c>
      <c r="M3147">
        <f>L3147*(1+(Inputs!$B$10+((C3157=TRUE)*(F3157-Calc!F27))+B3171+(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3147">
        <f>L3147*(1-MIN((Inputs!$B$9+((C3156=TRUE)*(F3156-Calc!F26))+B3164+(ArtifactsInput!$M$24-ArtifactsInput!$M$24)*CHOOSE(ArtifactsInput!$N$24+1,10,12,14,16,18,20)+(IF(AND(Inputs!$B$39&lt;&gt;"pvp",Inputs!$B$44=0),1,IF(IF(Inputs!$B$39="pvp",15,Inputs!$B$44)-(B3175)&lt;=0,1,MAX(0,IF(Inputs!$B$39="pvp",15,Inputs!$B$44)-MAX(5,B3175))/(IF(Inputs!$B$39="pvp",15,Inputs!$B$44)-(B3175))))*IF(AND(ArtifactsInput!$M$42,((Inputs!$B$9+((C3156=TRUE)*(F3156-Calc!F26))+B3164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3147*(MIN((Inputs!$B$9+((C3156=TRUE)*(F3156-Calc!F26))+B3164+(ArtifactsInput!$M$24-ArtifactsInput!$M$24)*CHOOSE(ArtifactsInput!$N$24+1,10,12,14,16,18,20)+(IF(AND(Inputs!$B$39&lt;&gt;"pvp",Inputs!$B$44=0),1,IF(IF(Inputs!$B$39="pvp",15,Inputs!$B$44)-(B3175)&lt;=0,1,MAX(0,IF(Inputs!$B$39="pvp",15,Inputs!$B$44)-MAX(5,B3175))/(IF(Inputs!$B$39="pvp",15,Inputs!$B$44)-(B3175))))*IF(AND(ArtifactsInput!$M$42,((Inputs!$B$9+((C3156=TRUE)*(F3156-Calc!F26))+B3164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3147">
        <f>(1-Summary!$B$11)*T3147+Summary!$B$11*V3147</f>
        <v/>
      </c>
      <c r="P3147">
        <f>IF(B3176=0,0,O3147/B3176)</f>
        <v/>
      </c>
      <c r="Q3147" t="n">
        <v>0</v>
      </c>
      <c r="R3147" t="n">
        <v>0</v>
      </c>
      <c r="S3147">
        <f>IFERROR(O3147/N3147,0)</f>
        <v/>
      </c>
      <c r="T3147">
        <f>IF(C3147,(Inputs!$B$38*0.2*N3147)*IF(Inputs!$B$39="pvp",1,1+(Inputs!$B$20+0+Skills!P17+B3165+(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Hunt"),CHOOSE(ArtifactsInput!$N$35+1,15,18,21,24,27,30)*(1-EXP(-(0.2*B3168)*5)),0)+IF(AND(ArtifactsInput!$M$22,Inputs!$B$4&lt;&gt;"Chapter Hunt"),CHOOSE(ArtifactsInput!$N$22+1,10,12,14,16,18,20)*((0*(((0.15*B3168*5))^0/1)+1*(((0.15*B3168*5))^1/1)+2*(((0.15*B3168*5))^2/2)+3*(((0.15*B3168*5))^3/6)+4*(((0.15*B3168*5))^4/24)+5*(((0.15*B3168*5))^5/120))/((((0.15*B3168*5))^0/1)+(((0.15*B3168*5))^1/1)+(((0.15*B3168*5))^2/2)+(((0.15*B3168*5))^3/6)+(((0.15*B3168*5))^4/24)+(((0.15*B3168*5))^5/120))),0)))/100)*((((5000/(6000+Inputs!$B$43*(1-(100*(1-(1-(100*(1-(1-Inputs!$B$19/100)*(1-CHOOSE(ArtifactsInput!$N$40+1,5,6,7,8,9,10)/100)^(IF(ArtifactsInput!$M$40,FALSE,TRUE)-ArtifactsInput!$M$40)))/100)*(1-IF(IF(ArtifactsInput!$M$40,FALSE,TRUE),CHOOSE(ArtifactsInput!$N$40+1,5,6,7,8,9,10),0)/100)^IF(Inputs!$B$39="pvp",1,2)))/100)))/(5000/(6000+Inputs!$B$43*(1-(100*(1-(1-Inputs!$B$19/100)*(1-CHOOSE(ArtifactsInput!$N$40+1,5,6,7,8,9,10)/100)^(IF(ArtifactsInput!$M$40,FALSE,TRUE)-ArtifactsInput!$M$40)))/100))))*((L3147*(1-MIN(100,(Inputs!$B$9+((C3156=TRUE)*(F3156-Calc!F26))+B3164+(ArtifactsInput!$M$24-ArtifactsInput!$M$24)*CHOOSE(ArtifactsInput!$N$24+1,10,12,14,16,18,20)+(IF(AND(Inputs!$B$39&lt;&gt;"pvp",Inputs!$B$44=0),1,IF(IF(Inputs!$B$39="pvp",15,Inputs!$B$44)-(B3175)&lt;=0,1,MAX(0,IF(Inputs!$B$39="pvp",15,Inputs!$B$44)-MAX(5,B3175))/(IF(Inputs!$B$39="pvp",15,Inputs!$B$44)-(B3175))))*IF(AND(ArtifactsInput!$M$42,((Inputs!$B$9+((C3156=TRUE)*(F3156-Calc!F26))+B3164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3147*(MIN(100,(Inputs!$B$9+((C3156=TRUE)*(F3156-Calc!F26))+B3164+(ArtifactsInput!$M$24-ArtifactsInput!$M$24)*CHOOSE(ArtifactsInput!$N$24+1,10,12,14,16,18,20)+(IF(AND(Inputs!$B$39&lt;&gt;"pvp",Inputs!$B$44=0),1,IF(IF(Inputs!$B$39="pvp",15,Inputs!$B$44)-(B3175)&lt;=0,1,MAX(0,IF(Inputs!$B$39="pvp",15,Inputs!$B$44)-MAX(5,B3175))/(IF(Inputs!$B$39="pvp",15,Inputs!$B$44)-(B3175))))*IF(AND(ArtifactsInput!$M$42,((Inputs!$B$9+((C3156=TRUE)*(F3156-Calc!F26))+B3164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3147*(1-MIN(100,(Inputs!$B$9+((C3156=TRUE)*(F3156-Calc!F26))+B3164+(ArtifactsInput!$M$24-ArtifactsInput!$M$24)*CHOOSE(ArtifactsInput!$N$24+1,10,12,14,16,18,20)+(IF(AND(Inputs!$B$39&lt;&gt;"pvp",Inputs!$B$44=0),1,IF(IF(Inputs!$B$39="pvp",15,Inputs!$B$44)-(B3175)&lt;=0,1,MAX(0,IF(Inputs!$B$39="pvp",15,Inputs!$B$44)-MAX(5,B3175))/(IF(Inputs!$B$39="pvp",15,Inputs!$B$44)-(B3175))))*IF(AND(ArtifactsInput!$M$42,((Inputs!$B$9+((C3156=TRUE)*(F3156-Calc!F26))+B3164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3147*(MIN(100,(Inputs!$B$9+((C3156=TRUE)*(F3156-Calc!F26))+B3164+(ArtifactsInput!$M$24-ArtifactsInput!$M$24)*CHOOSE(ArtifactsInput!$N$24+1,10,12,14,16,18,20)+(IF(AND(Inputs!$B$39&lt;&gt;"pvp",Inputs!$B$44=0),1,IF(IF(Inputs!$B$39="pvp",15,Inputs!$B$44)-(B3175)&lt;=0,1,MAX(0,IF(Inputs!$B$39="pvp",15,Inputs!$B$44)-MAX(5,B3175))/(IF(Inputs!$B$39="pvp",15,Inputs!$B$44)-(B3175))))*IF(AND(ArtifactsInput!$M$42,((Inputs!$B$9+((C3156=TRUE)*(F3156-Calc!F26))+B3164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3147">
        <f>IF(C3147,(Inputs!$B$38*0.2*N3147)*IF(Inputs!$B$39="pvp",1,(1+(Inputs!$B$21+Skills!Q17+B3165+(IF(ArtifactsInput!$M$33,CHOOSE(ArtifactsInput!$N$33+1,30,36,42,48,54,60),0))+(IF(AND(ArtifactsInput!$M$35,Inputs!$B$4&lt;&gt;"Chapter Hunt"),CHOOSE(ArtifactsInput!$N$35+1,15,18,21,24,27,30)*(1-EXP(-(0.2*B3168)*5)),0)+IF(AND(ArtifactsInput!$M$22,Inputs!$B$4&lt;&gt;"Chapter Hunt"),CHOOSE(ArtifactsInput!$N$22+1,10,12,14,16,18,20)*((0*(((0.15*B3168*5))^0/1)+1*(((0.15*B3168*5))^1/1)+2*(((0.15*B3168*5))^2/2)+3*(((0.15*B3168*5))^3/6)+4*(((0.15*B3168*5))^4/24)+5*(((0.15*B3168*5))^5/120))/((((0.15*B3168*5))^0/1)+(((0.15*B3168*5))^1/1)+(((0.15*B3168*5))^2/2)+(((0.15*B3168*5))^3/6)+(((0.15*B3168*5))^4/24)+(((0.15*B3168*5))^5/120))),0)))/100)*(MIN(Skills!W17,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3148">
      <c r="A3148">
        <f>Skills!A18</f>
        <v/>
      </c>
      <c r="B3148">
        <f>Skills!B18</f>
        <v/>
      </c>
      <c r="C3148">
        <f>Inputs!$B$3&gt;=115</f>
        <v/>
      </c>
      <c r="D3148">
        <f>IF(Skills!C18=1,60+Inputs!$B$25+Inputs!$B$29,IF(Skills!C18=2,90+Inputs!$B$26+Inputs!$B$29,IF(Skills!C18=3,120+Inputs!$B$27+Inputs!$B$29,MAX(0,(Inputs!$B$3-100)*3)+Inputs!$B$28+Inputs!$B$29)))</f>
        <v/>
      </c>
      <c r="E3148">
        <f>INDEX(FactorTable!$B$2:$Y$301, MATCH(ROUND(MIN(300,MAX(1,D3148)),0), FactorTable!$A$2:$A$301,0), Skills!M18+1)</f>
        <v/>
      </c>
      <c r="F3148">
        <f>IF(Skills!N18=TRUE,(Skills!L18/10)*(E3148/1000),Skills!L18/10)+Skills!O18</f>
        <v/>
      </c>
      <c r="G3148">
        <f>Skills!G18*IF(Skills!H18&gt;0,IF(Inputs!$B$39="pvp",MIN(Skills!I18,15),Skills!I18)/Skills!H18,1)</f>
        <v/>
      </c>
      <c r="H3148">
        <f>1-(1-Skills!J18/100)^Skills!K18</f>
        <v/>
      </c>
      <c r="I3148" t="inlineStr">
        <is>
          <t>1</t>
        </is>
      </c>
      <c r="J3148" t="inlineStr"/>
      <c r="K3148" t="inlineStr"/>
      <c r="L3148" t="inlineStr"/>
      <c r="M3148" t="inlineStr"/>
      <c r="N3148" t="inlineStr"/>
      <c r="O3148">
        <f>(1-Summary!$B$11)*T3148+Summary!$B$11*V3148</f>
        <v/>
      </c>
      <c r="P3148">
        <f>IF(B3176=0,0,O3148/B3176)</f>
        <v/>
      </c>
      <c r="Q3148" t="n">
        <v>0</v>
      </c>
      <c r="R3148" t="n">
        <v>0</v>
      </c>
      <c r="S3148">
        <f>IFERROR(O3148/N3148,0)</f>
        <v/>
      </c>
      <c r="T3148" t="n">
        <v>0</v>
      </c>
      <c r="V3148" t="n">
        <v>0</v>
      </c>
    </row>
    <row r="3149">
      <c r="A3149">
        <f>Skills!A19</f>
        <v/>
      </c>
      <c r="B3149">
        <f>Skills!B19</f>
        <v/>
      </c>
      <c r="C3149">
        <f>Inputs!$B$3&gt;=100</f>
        <v/>
      </c>
      <c r="D3149">
        <f>IF(Skills!C19=1,60+Inputs!$B$25+Inputs!$B$29,IF(Skills!C19=2,90+Inputs!$B$26+Inputs!$B$29,IF(Skills!C19=3,120+Inputs!$B$27+Inputs!$B$29,MAX(0,(Inputs!$B$3-100)*3)+Inputs!$B$28+Inputs!$B$29)))</f>
        <v/>
      </c>
      <c r="E3149">
        <f>INDEX(FactorTable!$B$2:$Y$301, MATCH(ROUND(MIN(300,MAX(1,D3149)),0), FactorTable!$A$2:$A$301,0), Skills!M19+1)</f>
        <v/>
      </c>
      <c r="F3149">
        <f>IF(Skills!N19=TRUE,(Skills!L19/10)*(E3149/1000),Skills!L19/10)+Skills!O19</f>
        <v/>
      </c>
      <c r="G3149">
        <f>Skills!G19*IF(Skills!H19&gt;0,IF(Inputs!$B$39="pvp",MIN(Skills!I19,15),Skills!I19)/Skills!H19,1)</f>
        <v/>
      </c>
      <c r="H3149">
        <f>1-(1-Skills!J19/100)^Skills!K19</f>
        <v/>
      </c>
      <c r="I3149" t="inlineStr">
        <is>
          <t>1</t>
        </is>
      </c>
      <c r="J3149" t="inlineStr"/>
      <c r="K3149" t="inlineStr"/>
      <c r="L3149" t="inlineStr"/>
      <c r="M3149" t="inlineStr"/>
      <c r="N3149" t="inlineStr"/>
      <c r="O3149">
        <f>(1-Summary!$B$11)*T3149+Summary!$B$11*V3149</f>
        <v/>
      </c>
      <c r="P3149">
        <f>IF(B3176=0,0,O3149/B3176)</f>
        <v/>
      </c>
      <c r="Q3149" t="n">
        <v>0</v>
      </c>
      <c r="R3149" t="n">
        <v>0</v>
      </c>
      <c r="S3149">
        <f>IFERROR(O3149/N3149,0)</f>
        <v/>
      </c>
      <c r="T3149" t="n">
        <v>0</v>
      </c>
      <c r="V3149" t="n">
        <v>0</v>
      </c>
    </row>
    <row r="3150">
      <c r="A3150">
        <f>Skills!A20</f>
        <v/>
      </c>
      <c r="B3150">
        <f>Skills!B20</f>
        <v/>
      </c>
      <c r="C3150">
        <f>TRUE</f>
        <v/>
      </c>
      <c r="D3150">
        <f>IF(Skills!C20=1,60+Inputs!$B$25+Inputs!$B$29,IF(Skills!C20=2,90+Inputs!$B$26+Inputs!$B$29,IF(Skills!C20=3,120+Inputs!$B$27+Inputs!$B$29,MAX(0,(Inputs!$B$3-100)*3)+Inputs!$B$28+Inputs!$B$29)))</f>
        <v/>
      </c>
      <c r="E3150">
        <f>INDEX(FactorTable!$B$2:$Y$301, MATCH(ROUND(MIN(300,MAX(1,D3150)),0), FactorTable!$A$2:$A$301,0), Skills!M20+1)</f>
        <v/>
      </c>
      <c r="F3150">
        <f>IF(Skills!N20=TRUE,(Skills!L20/10)*(E3150/1000),Skills!L20/10)+Skills!O20</f>
        <v/>
      </c>
      <c r="G3150">
        <f>Skills!G20*IF(Skills!H20&gt;0,IF(Inputs!$B$39="pvp",MIN(Skills!I20,15),Skills!I20)/Skills!H20,1)</f>
        <v/>
      </c>
      <c r="H3150">
        <f>1-(1-Skills!J20/100)^Skills!K20</f>
        <v/>
      </c>
      <c r="I3150" t="inlineStr">
        <is>
          <t>1</t>
        </is>
      </c>
      <c r="J3150" t="inlineStr"/>
      <c r="K3150" t="inlineStr"/>
      <c r="L3150" t="inlineStr"/>
      <c r="M3150" t="inlineStr"/>
      <c r="N3150" t="inlineStr"/>
      <c r="O3150">
        <f>(1-Summary!$B$11)*T3150+Summary!$B$11*V3150</f>
        <v/>
      </c>
      <c r="P3150">
        <f>IF(B3176=0,0,O3150/B3176)</f>
        <v/>
      </c>
      <c r="Q3150">
        <f>IFERROR(1/IF(Inputs!$B$39="pvp",15,MAX(0.1,Skills!D20-IF(TRUE=TRUE,Inputs!$B$32,0))),0)</f>
        <v/>
      </c>
      <c r="R3150">
        <f>IF(AND(Inputs!$B$39&lt;&gt;"pvp",Inputs!$B$44&gt;0),IF(Inputs!$B$44&lt;=0,0,(INT(Inputs!$B$44/IF(Inputs!$B$39="pvp",15,MAX(0.1,Skills!D20-IF(TRUE=TRUE,Inputs!$B$32,0))))+1)),0)</f>
        <v/>
      </c>
      <c r="S3150">
        <f>IFERROR(O3150/N3150,0)</f>
        <v/>
      </c>
      <c r="T3150" t="n">
        <v>0</v>
      </c>
      <c r="V3150" t="n">
        <v>0</v>
      </c>
    </row>
    <row r="3151">
      <c r="A3151">
        <f>Skills!A21</f>
        <v/>
      </c>
      <c r="B3151">
        <f>Skills!B21</f>
        <v/>
      </c>
      <c r="C3151">
        <f>Inputs!$B$3&gt;=15</f>
        <v/>
      </c>
      <c r="D3151">
        <f>IF(Skills!C21=1,60+Inputs!$B$25+Inputs!$B$29,IF(Skills!C21=2,90+Inputs!$B$26+Inputs!$B$29,IF(Skills!C21=3,120+Inputs!$B$27+Inputs!$B$29,MAX(0,(Inputs!$B$3-100)*3)+Inputs!$B$28+Inputs!$B$29)))</f>
        <v/>
      </c>
      <c r="E3151">
        <f>INDEX(FactorTable!$B$2:$Y$301, MATCH(ROUND(MIN(300,MAX(1,D3151)),0), FactorTable!$A$2:$A$301,0), Skills!M21+1)</f>
        <v/>
      </c>
      <c r="F3151">
        <f>IF(Skills!N21=TRUE,(Skills!L21/10)*(E3151/1000),Skills!L21/10)+Skills!O21</f>
        <v/>
      </c>
      <c r="G3151">
        <f>Skills!G21*IF(Skills!H21&gt;0,IF(Inputs!$B$39="pvp",MIN(Skills!I21,15),Skills!I21)/Skills!H21,1)</f>
        <v/>
      </c>
      <c r="H3151">
        <f>1-(1-Skills!J21/100)^Skills!K21</f>
        <v/>
      </c>
      <c r="I3151" t="inlineStr">
        <is>
          <t>1</t>
        </is>
      </c>
      <c r="J3151" t="inlineStr"/>
      <c r="K3151" t="inlineStr"/>
      <c r="L3151" t="inlineStr"/>
      <c r="M3151" t="inlineStr"/>
      <c r="N3151" t="inlineStr"/>
      <c r="O3151">
        <f>(1-Summary!$B$11)*T3151+Summary!$B$11*V3151</f>
        <v/>
      </c>
      <c r="P3151">
        <f>IF(B3176=0,0,O3151/B3176)</f>
        <v/>
      </c>
      <c r="Q3151">
        <f>IFERROR(1/IF(Inputs!$B$39="pvp",15,MAX(0.1,Skills!D21-IF(TRUE=TRUE,Inputs!$B$32,0))),0)</f>
        <v/>
      </c>
      <c r="R3151">
        <f>IF(AND(Inputs!$B$39&lt;&gt;"pvp",Inputs!$B$44&gt;0),IF(Inputs!$B$44&lt;=0,0,(INT(Inputs!$B$44/IF(Inputs!$B$39="pvp",15,MAX(0.1,Skills!D21-IF(TRUE=TRUE,Inputs!$B$32,0))))+1)),0)</f>
        <v/>
      </c>
      <c r="S3151">
        <f>IFERROR(O3151/N3151,0)</f>
        <v/>
      </c>
      <c r="T3151" t="n">
        <v>0</v>
      </c>
      <c r="V3151" t="n">
        <v>0</v>
      </c>
    </row>
    <row r="3152">
      <c r="A3152">
        <f>Skills!A22</f>
        <v/>
      </c>
      <c r="B3152">
        <f>Skills!B22</f>
        <v/>
      </c>
      <c r="C3152">
        <f>Inputs!$B$3&gt;=15</f>
        <v/>
      </c>
      <c r="D3152">
        <f>IF(Skills!C22=1,60+Inputs!$B$25+Inputs!$B$29,IF(Skills!C22=2,90+Inputs!$B$26+Inputs!$B$29,IF(Skills!C22=3,120+Inputs!$B$27+Inputs!$B$29,MAX(0,(Inputs!$B$3-100)*3)+Inputs!$B$28+Inputs!$B$29)))</f>
        <v/>
      </c>
      <c r="E3152">
        <f>INDEX(FactorTable!$B$2:$Y$301, MATCH(ROUND(MIN(300,MAX(1,D3152)),0), FactorTable!$A$2:$A$301,0), Skills!M22+1)</f>
        <v/>
      </c>
      <c r="F3152">
        <f>IF(Skills!N22=TRUE,(Skills!L22/10)*(E3152/1000),Skills!L22/10)+Skills!O22</f>
        <v/>
      </c>
      <c r="G3152">
        <f>Skills!G22*IF(Skills!H22&gt;0,IF(Inputs!$B$39="pvp",MIN(Skills!I22,15),Skills!I22)/Skills!H22,1)</f>
        <v/>
      </c>
      <c r="H3152">
        <f>1-(1-Skills!J22/100)^Skills!K22</f>
        <v/>
      </c>
      <c r="I3152" t="inlineStr">
        <is>
          <t>1</t>
        </is>
      </c>
      <c r="J3152" t="inlineStr"/>
      <c r="K3152" t="inlineStr"/>
      <c r="L3152" t="inlineStr"/>
      <c r="M3152" t="inlineStr"/>
      <c r="N3152" t="inlineStr"/>
      <c r="O3152">
        <f>(1-Summary!$B$11)*T3152+Summary!$B$11*V3152</f>
        <v/>
      </c>
      <c r="P3152">
        <f>IF(B3176=0,0,O3152/B3176)</f>
        <v/>
      </c>
      <c r="Q3152">
        <f>IFERROR(1/IF(Inputs!$B$39="pvp",15,MAX(0.1,Skills!D22-IF(TRUE=TRUE,Inputs!$B$32,0))),0)</f>
        <v/>
      </c>
      <c r="R3152">
        <f>IF(AND(Inputs!$B$39&lt;&gt;"pvp",Inputs!$B$44&gt;0),IF(Inputs!$B$44&lt;=0,0,(INT(Inputs!$B$44/IF(Inputs!$B$39="pvp",15,MAX(0.1,Skills!D22-IF(TRUE=TRUE,Inputs!$B$32,0))))+1)),0)</f>
        <v/>
      </c>
      <c r="S3152">
        <f>IFERROR(O3152/N3152,0)</f>
        <v/>
      </c>
      <c r="T3152" t="n">
        <v>0</v>
      </c>
      <c r="V3152" t="n">
        <v>0</v>
      </c>
    </row>
    <row r="3153">
      <c r="A3153">
        <f>Skills!A23</f>
        <v/>
      </c>
      <c r="B3153">
        <f>Skills!B23</f>
        <v/>
      </c>
      <c r="C3153">
        <f>Inputs!$B$3&gt;=33</f>
        <v/>
      </c>
      <c r="D3153">
        <f>IF(Skills!C23=1,60+Inputs!$B$25+Inputs!$B$29,IF(Skills!C23=2,90+Inputs!$B$26+Inputs!$B$29,IF(Skills!C23=3,120+Inputs!$B$27+Inputs!$B$29,MAX(0,(Inputs!$B$3-100)*3)+Inputs!$B$28+Inputs!$B$29)))</f>
        <v/>
      </c>
      <c r="E3153">
        <f>INDEX(FactorTable!$B$2:$Y$301, MATCH(ROUND(MIN(300,MAX(1,D3153)),0), FactorTable!$A$2:$A$301,0), Skills!M23+1)</f>
        <v/>
      </c>
      <c r="F3153">
        <f>IF(Skills!N23=TRUE,(Skills!L23/10)*(E3153/1000),Skills!L23/10)+Skills!O23</f>
        <v/>
      </c>
      <c r="G3153">
        <f>Skills!G23*IF(Skills!H23&gt;0,IF(Inputs!$B$39="pvp",MIN(Skills!I23,15),Skills!I23)/Skills!H23,1)</f>
        <v/>
      </c>
      <c r="H3153">
        <f>1-(1-Skills!J23/100)^Skills!K23</f>
        <v/>
      </c>
      <c r="I3153" t="inlineStr">
        <is>
          <t>1</t>
        </is>
      </c>
      <c r="J3153" t="inlineStr"/>
      <c r="K3153" t="inlineStr"/>
      <c r="L3153" t="inlineStr"/>
      <c r="M3153" t="inlineStr"/>
      <c r="N3153" t="inlineStr"/>
      <c r="O3153">
        <f>(1-Summary!$B$11)*T3153+Summary!$B$11*V3153</f>
        <v/>
      </c>
      <c r="P3153">
        <f>IF(B3176=0,0,O3153/B3176)</f>
        <v/>
      </c>
      <c r="Q3153" t="n">
        <v>0</v>
      </c>
      <c r="R3153" t="n">
        <v>0</v>
      </c>
      <c r="S3153">
        <f>IFERROR(O3153/N3153,0)</f>
        <v/>
      </c>
      <c r="T3153" t="n">
        <v>0</v>
      </c>
      <c r="V3153" t="n">
        <v>0</v>
      </c>
    </row>
    <row r="3154">
      <c r="A3154">
        <f>Skills!A24</f>
        <v/>
      </c>
      <c r="B3154">
        <f>Skills!B24</f>
        <v/>
      </c>
      <c r="C3154">
        <f>Inputs!$B$3&gt;=40</f>
        <v/>
      </c>
      <c r="D3154">
        <f>IF(Skills!C24=1,60+Inputs!$B$25+Inputs!$B$29,IF(Skills!C24=2,90+Inputs!$B$26+Inputs!$B$29,IF(Skills!C24=3,120+Inputs!$B$27+Inputs!$B$29,MAX(0,(Inputs!$B$3-100)*3)+Inputs!$B$28+Inputs!$B$29)))</f>
        <v/>
      </c>
      <c r="E3154">
        <f>INDEX(FactorTable!$B$2:$Y$301, MATCH(ROUND(MIN(300,MAX(1,D3154)),0), FactorTable!$A$2:$A$301,0), Skills!M24+1)</f>
        <v/>
      </c>
      <c r="F3154">
        <f>IF(Skills!N24=TRUE,(Skills!L24/10)*(E3154/1000),Skills!L24/10)+Skills!O24</f>
        <v/>
      </c>
      <c r="G3154">
        <f>Skills!G24*IF(Skills!H24&gt;0,IF(Inputs!$B$39="pvp",MIN(Skills!I24,15),Skills!I24)/Skills!H24,1)</f>
        <v/>
      </c>
      <c r="H3154">
        <f>1-(1-Skills!J24/100)^Skills!K24</f>
        <v/>
      </c>
      <c r="I3154" t="inlineStr">
        <is>
          <t>1</t>
        </is>
      </c>
      <c r="J3154" t="inlineStr"/>
      <c r="K3154" t="inlineStr"/>
      <c r="L3154" t="inlineStr"/>
      <c r="M3154" t="inlineStr"/>
      <c r="N3154" t="inlineStr"/>
      <c r="O3154">
        <f>(1-Summary!$B$11)*T3154+Summary!$B$11*V3154</f>
        <v/>
      </c>
      <c r="P3154">
        <f>IF(B3176=0,0,O3154/B3176)</f>
        <v/>
      </c>
      <c r="Q3154" t="n">
        <v>0</v>
      </c>
      <c r="R3154" t="n">
        <v>0</v>
      </c>
      <c r="S3154">
        <f>IFERROR(O3154/N3154,0)</f>
        <v/>
      </c>
      <c r="T3154" t="n">
        <v>0</v>
      </c>
      <c r="V3154" t="n">
        <v>0</v>
      </c>
    </row>
    <row r="3155">
      <c r="A3155">
        <f>Skills!A25</f>
        <v/>
      </c>
      <c r="B3155">
        <f>Skills!B25</f>
        <v/>
      </c>
      <c r="C3155">
        <f>Inputs!$B$3&gt;=43</f>
        <v/>
      </c>
      <c r="D3155">
        <f>IF(Skills!C25=1,60+Inputs!$B$25+Inputs!$B$29,IF(Skills!C25=2,90+Inputs!$B$26+Inputs!$B$29,IF(Skills!C25=3,120+Inputs!$B$27+Inputs!$B$29,MAX(0,(Inputs!$B$3-100)*3)+Inputs!$B$28+Inputs!$B$29)))</f>
        <v/>
      </c>
      <c r="E3155">
        <f>INDEX(FactorTable!$B$2:$Y$301, MATCH(ROUND(MIN(300,MAX(1,D3155)),0), FactorTable!$A$2:$A$301,0), Skills!M25+1)</f>
        <v/>
      </c>
      <c r="F3155">
        <f>IF(Skills!N25=TRUE,(Skills!L25/10)*(E3155/1000),Skills!L25/10)+Skills!O25</f>
        <v/>
      </c>
      <c r="G3155">
        <f>Skills!G25*IF(Skills!H25&gt;0,IF(Inputs!$B$39="pvp",MIN(Skills!I25,15),Skills!I25)/Skills!H25,1)</f>
        <v/>
      </c>
      <c r="H3155">
        <f>1-(1-Skills!J25/100)^Skills!K25</f>
        <v/>
      </c>
      <c r="I3155" t="inlineStr">
        <is>
          <t>1</t>
        </is>
      </c>
      <c r="J3155" t="inlineStr"/>
      <c r="K3155" t="inlineStr"/>
      <c r="L3155" t="inlineStr"/>
      <c r="M3155" t="inlineStr"/>
      <c r="N3155" t="inlineStr"/>
      <c r="O3155">
        <f>(1-Summary!$B$11)*T3155+Summary!$B$11*V3155</f>
        <v/>
      </c>
      <c r="P3155">
        <f>IF(B3176=0,0,O3155/B3176)</f>
        <v/>
      </c>
      <c r="Q3155" t="n">
        <v>0</v>
      </c>
      <c r="R3155" t="n">
        <v>0</v>
      </c>
      <c r="S3155">
        <f>IFERROR(O3155/N3155,0)</f>
        <v/>
      </c>
      <c r="T3155" t="n">
        <v>0</v>
      </c>
      <c r="V3155" t="n">
        <v>0</v>
      </c>
    </row>
    <row r="3156">
      <c r="A3156">
        <f>Skills!A26</f>
        <v/>
      </c>
      <c r="B3156">
        <f>Skills!B26</f>
        <v/>
      </c>
      <c r="C3156">
        <f>Inputs!$B$3&gt;=50</f>
        <v/>
      </c>
      <c r="D3156">
        <f>IF(Skills!C26=1,60+Inputs!$B$25+Inputs!$B$29,IF(Skills!C26=2,90+Inputs!$B$26+Inputs!$B$29,IF(Skills!C26=3,120+Inputs!$B$27+Inputs!$B$29,MAX(0,(Inputs!$B$3-100)*3)+Inputs!$B$28+Inputs!$B$29)))</f>
        <v/>
      </c>
      <c r="E3156">
        <f>INDEX(FactorTable!$B$2:$Y$301, MATCH(ROUND(MIN(300,MAX(1,D3156)),0), FactorTable!$A$2:$A$301,0), Skills!M26+1)</f>
        <v/>
      </c>
      <c r="F3156">
        <f>IF(Skills!N26=TRUE,(Skills!L26/10)*(E3156/1000),Skills!L26/10)+Skills!O26</f>
        <v/>
      </c>
      <c r="G3156">
        <f>Skills!G26*IF(Skills!H26&gt;0,IF(Inputs!$B$39="pvp",MIN(Skills!I26,15),Skills!I26)/Skills!H26,1)</f>
        <v/>
      </c>
      <c r="H3156">
        <f>1-(1-Skills!J26/100)^Skills!K26</f>
        <v/>
      </c>
      <c r="I3156" t="inlineStr">
        <is>
          <t>1</t>
        </is>
      </c>
      <c r="J3156" t="inlineStr"/>
      <c r="K3156" t="inlineStr"/>
      <c r="L3156" t="inlineStr"/>
      <c r="M3156" t="inlineStr"/>
      <c r="N3156" t="inlineStr"/>
      <c r="O3156">
        <f>(1-Summary!$B$11)*T3156+Summary!$B$11*V3156</f>
        <v/>
      </c>
      <c r="P3156">
        <f>IF(B3176=0,0,O3156/B3176)</f>
        <v/>
      </c>
      <c r="Q3156" t="n">
        <v>0</v>
      </c>
      <c r="R3156" t="n">
        <v>0</v>
      </c>
      <c r="S3156">
        <f>IFERROR(O3156/N3156,0)</f>
        <v/>
      </c>
      <c r="T3156" t="n">
        <v>0</v>
      </c>
      <c r="V3156" t="n">
        <v>0</v>
      </c>
    </row>
    <row r="3157">
      <c r="A3157">
        <f>Skills!A27</f>
        <v/>
      </c>
      <c r="B3157">
        <f>Skills!B27</f>
        <v/>
      </c>
      <c r="C3157">
        <f>Inputs!$B$3&gt;=50</f>
        <v/>
      </c>
      <c r="D3157">
        <f>IF(Skills!C27=1,60+Inputs!$B$25+Inputs!$B$29,IF(Skills!C27=2,90+Inputs!$B$26+Inputs!$B$29,IF(Skills!C27=3,120+Inputs!$B$27+Inputs!$B$29,MAX(0,(Inputs!$B$3-100)*3)+Inputs!$B$28+Inputs!$B$29)))</f>
        <v/>
      </c>
      <c r="E3157">
        <f>INDEX(FactorTable!$B$2:$Y$301, MATCH(ROUND(MIN(300,MAX(1,D3157)),0), FactorTable!$A$2:$A$301,0), Skills!M27+1)</f>
        <v/>
      </c>
      <c r="F3157">
        <f>IF(Skills!N27=TRUE,(Skills!L27/10)*(E3157/1000),Skills!L27/10)+Skills!O27</f>
        <v/>
      </c>
      <c r="G3157">
        <f>Skills!G27*IF(Skills!H27&gt;0,IF(Inputs!$B$39="pvp",MIN(Skills!I27,15),Skills!I27)/Skills!H27,1)</f>
        <v/>
      </c>
      <c r="H3157">
        <f>1-(1-Skills!J27/100)^Skills!K27</f>
        <v/>
      </c>
      <c r="I3157" t="inlineStr">
        <is>
          <t>1</t>
        </is>
      </c>
      <c r="J3157" t="inlineStr"/>
      <c r="K3157" t="inlineStr"/>
      <c r="L3157" t="inlineStr"/>
      <c r="M3157" t="inlineStr"/>
      <c r="N3157" t="inlineStr"/>
      <c r="O3157">
        <f>(1-Summary!$B$11)*T3157+Summary!$B$11*V3157</f>
        <v/>
      </c>
      <c r="P3157">
        <f>IF(B3176=0,0,O3157/B3176)</f>
        <v/>
      </c>
      <c r="Q3157" t="n">
        <v>0</v>
      </c>
      <c r="R3157" t="n">
        <v>0</v>
      </c>
      <c r="S3157">
        <f>IFERROR(O3157/N3157,0)</f>
        <v/>
      </c>
      <c r="T3157" t="n">
        <v>0</v>
      </c>
      <c r="V3157" t="n">
        <v>0</v>
      </c>
    </row>
    <row r="3158">
      <c r="A3158">
        <f>Skills!A28</f>
        <v/>
      </c>
      <c r="B3158">
        <f>Skills!B28</f>
        <v/>
      </c>
      <c r="C3158">
        <f>Inputs!$B$3&gt;=38</f>
        <v/>
      </c>
      <c r="D3158">
        <f>IF(Skills!C28=1,60+Inputs!$B$25+Inputs!$B$29,IF(Skills!C28=2,90+Inputs!$B$26+Inputs!$B$29,IF(Skills!C28=3,120+Inputs!$B$27+Inputs!$B$29,MAX(0,(Inputs!$B$3-100)*3)+Inputs!$B$28+Inputs!$B$29)))</f>
        <v/>
      </c>
      <c r="E3158">
        <f>INDEX(FactorTable!$B$2:$Y$301, MATCH(ROUND(MIN(300,MAX(1,D3158)),0), FactorTable!$A$2:$A$301,0), Skills!M28+1)</f>
        <v/>
      </c>
      <c r="F3158">
        <f>IF(Skills!N28=TRUE,(Skills!L28/10)*(E3158/1000),Skills!L28/10)+Skills!O28</f>
        <v/>
      </c>
      <c r="G3158">
        <f>Skills!G28*IF(Skills!H28&gt;0,IF(Inputs!$B$39="pvp",MIN(Skills!I28,15),Skills!I28)/Skills!H28,1)</f>
        <v/>
      </c>
      <c r="H3158">
        <f>1-(1-Skills!J28/100)^Skills!K28</f>
        <v/>
      </c>
      <c r="I3158" t="inlineStr">
        <is>
          <t>1</t>
        </is>
      </c>
      <c r="J3158" t="inlineStr"/>
      <c r="K3158" t="inlineStr"/>
      <c r="L3158" t="inlineStr"/>
      <c r="M3158" t="inlineStr"/>
      <c r="N3158" t="inlineStr"/>
      <c r="O3158">
        <f>(1-Summary!$B$11)*T3158+Summary!$B$11*V3158</f>
        <v/>
      </c>
      <c r="P3158">
        <f>IF(B3176=0,0,O3158/B3176)</f>
        <v/>
      </c>
      <c r="Q3158" t="n">
        <v>0</v>
      </c>
      <c r="R3158" t="n">
        <v>0</v>
      </c>
      <c r="S3158">
        <f>IFERROR(O3158/N3158,0)</f>
        <v/>
      </c>
      <c r="T3158" t="n">
        <v>0</v>
      </c>
      <c r="V3158" t="n">
        <v>0</v>
      </c>
    </row>
    <row r="3159">
      <c r="A3159">
        <f>Skills!A29</f>
        <v/>
      </c>
      <c r="B3159">
        <f>Skills!B29</f>
        <v/>
      </c>
      <c r="C3159">
        <f>Inputs!$B$3&gt;=120</f>
        <v/>
      </c>
      <c r="D3159">
        <f>IF(Skills!C29=1,60+Inputs!$B$25+Inputs!$B$29,IF(Skills!C29=2,90+Inputs!$B$26+Inputs!$B$29,IF(Skills!C29=3,120+Inputs!$B$27+Inputs!$B$29,MAX(0,(Inputs!$B$3-100)*3)+Inputs!$B$28+Inputs!$B$29)))</f>
        <v/>
      </c>
      <c r="E3159">
        <f>INDEX(FactorTable!$B$2:$Y$301, MATCH(ROUND(MIN(300,MAX(1,D3159)),0), FactorTable!$A$2:$A$301,0), Skills!M29+1)</f>
        <v/>
      </c>
      <c r="F3159">
        <f>IF(Skills!N29=TRUE,(Skills!L29/10)*(E3159/1000),Skills!L29/10)+Skills!O29</f>
        <v/>
      </c>
      <c r="G3159">
        <f>Skills!G29*IF(Skills!H29&gt;0,IF(Inputs!$B$39="pvp",MIN(Skills!I29,15),Skills!I29)/Skills!H29,1)</f>
        <v/>
      </c>
      <c r="H3159">
        <f>1-(1-Skills!J29/100)^Skills!K29</f>
        <v/>
      </c>
      <c r="I3159" t="inlineStr">
        <is>
          <t>1</t>
        </is>
      </c>
      <c r="J3159" t="inlineStr"/>
      <c r="K3159" t="inlineStr"/>
      <c r="L3159" t="inlineStr"/>
      <c r="M3159" t="inlineStr"/>
      <c r="N3159" t="inlineStr"/>
      <c r="O3159">
        <f>(1-Summary!$B$11)*T3159+Summary!$B$11*V3159</f>
        <v/>
      </c>
      <c r="P3159">
        <f>IF(B3176=0,0,O3159/B3176)</f>
        <v/>
      </c>
      <c r="Q3159" t="n">
        <v>0</v>
      </c>
      <c r="R3159" t="n">
        <v>0</v>
      </c>
      <c r="S3159">
        <f>IFERROR(O3159/N3159,0)</f>
        <v/>
      </c>
      <c r="T3159" t="n">
        <v>0</v>
      </c>
      <c r="V3159" t="n">
        <v>0</v>
      </c>
    </row>
    <row r="3160">
      <c r="A3160">
        <f>Skills!A30</f>
        <v/>
      </c>
      <c r="B3160">
        <f>Skills!B30</f>
        <v/>
      </c>
      <c r="C3160">
        <f>Inputs!$B$3&gt;=120</f>
        <v/>
      </c>
      <c r="D3160">
        <f>IF(Skills!C30=1,60+Inputs!$B$25+Inputs!$B$29,IF(Skills!C30=2,90+Inputs!$B$26+Inputs!$B$29,IF(Skills!C30=3,120+Inputs!$B$27+Inputs!$B$29,MAX(0,(Inputs!$B$3-100)*3)+Inputs!$B$28+Inputs!$B$29)))</f>
        <v/>
      </c>
      <c r="E3160">
        <f>INDEX(FactorTable!$B$2:$Y$301, MATCH(ROUND(MIN(300,MAX(1,D3160)),0), FactorTable!$A$2:$A$301,0), Skills!M30+1)</f>
        <v/>
      </c>
      <c r="F3160">
        <f>IF(Skills!N30=TRUE,(Skills!L30/10)*(E3160/1000),Skills!L30/10)+Skills!O30</f>
        <v/>
      </c>
      <c r="G3160">
        <f>Skills!G30*IF(Skills!H30&gt;0,IF(Inputs!$B$39="pvp",MIN(Skills!I30,15),Skills!I30)/Skills!H30,1)</f>
        <v/>
      </c>
      <c r="H3160">
        <f>1-(1-Skills!J30/100)^Skills!K30</f>
        <v/>
      </c>
      <c r="I3160" t="inlineStr">
        <is>
          <t>1</t>
        </is>
      </c>
      <c r="J3160" t="inlineStr"/>
      <c r="K3160" t="inlineStr"/>
      <c r="L3160" t="inlineStr"/>
      <c r="M3160" t="inlineStr"/>
      <c r="N3160" t="inlineStr"/>
      <c r="O3160">
        <f>(1-Summary!$B$11)*T3160+Summary!$B$11*V3160</f>
        <v/>
      </c>
      <c r="P3160">
        <f>IF(B3176=0,0,O3160/B3176)</f>
        <v/>
      </c>
      <c r="Q3160" t="n">
        <v>0</v>
      </c>
      <c r="R3160" t="n">
        <v>0</v>
      </c>
      <c r="S3160">
        <f>IFERROR(O3160/N3160,0)</f>
        <v/>
      </c>
      <c r="T3160" t="n">
        <v>0</v>
      </c>
      <c r="V3160" t="n">
        <v>0</v>
      </c>
    </row>
    <row r="3161">
      <c r="A3161">
        <f>Skills!A31</f>
        <v/>
      </c>
      <c r="B3161">
        <f>Skills!B31</f>
        <v/>
      </c>
      <c r="C3161">
        <f>Inputs!$B$3&gt;=125</f>
        <v/>
      </c>
      <c r="D3161">
        <f>IF(Skills!C31=1,60+Inputs!$B$25+Inputs!$B$29,IF(Skills!C31=2,90+Inputs!$B$26+Inputs!$B$29,IF(Skills!C31=3,120+Inputs!$B$27+Inputs!$B$29,MAX(0,(Inputs!$B$3-100)*3)+Inputs!$B$28+Inputs!$B$29)))</f>
        <v/>
      </c>
      <c r="E3161">
        <f>INDEX(FactorTable!$B$2:$Y$301, MATCH(ROUND(MIN(300,MAX(1,D3161)),0), FactorTable!$A$2:$A$301,0), Skills!M31+1)</f>
        <v/>
      </c>
      <c r="F3161">
        <f>IF(Skills!N31=TRUE,(Skills!L31/10)*(E3161/1000),Skills!L31/10)+Skills!O31</f>
        <v/>
      </c>
      <c r="G3161">
        <f>Skills!G31*IF(Skills!H31&gt;0,IF(Inputs!$B$39="pvp",MIN(Skills!I31,15),Skills!I31)/Skills!H31,1)</f>
        <v/>
      </c>
      <c r="H3161">
        <f>1-(1-Skills!J31/100)^Skills!K31</f>
        <v/>
      </c>
      <c r="I3161" t="inlineStr">
        <is>
          <t>1</t>
        </is>
      </c>
      <c r="J3161" t="inlineStr"/>
      <c r="K3161" t="inlineStr"/>
      <c r="L3161" t="inlineStr"/>
      <c r="M3161" t="inlineStr"/>
      <c r="N3161" t="inlineStr"/>
      <c r="O3161">
        <f>(1-Summary!$B$11)*T3161+Summary!$B$11*V3161</f>
        <v/>
      </c>
      <c r="P3161">
        <f>IF(B3176=0,0,O3161/B3176)</f>
        <v/>
      </c>
      <c r="Q3161" t="n">
        <v>0</v>
      </c>
      <c r="R3161" t="n">
        <v>0</v>
      </c>
      <c r="S3161">
        <f>IFERROR(O3161/N3161,0)</f>
        <v/>
      </c>
      <c r="T3161" t="n">
        <v>0</v>
      </c>
      <c r="V3161" t="n">
        <v>0</v>
      </c>
    </row>
    <row r="3163">
      <c r="A3163" t="inlineStr">
        <is>
          <t>Average Buff Multiplier</t>
        </is>
      </c>
      <c r="B3163">
        <f>(1+(((C3152=TRUE)*F3152*IF(AND(Inputs!$B$39&lt;&gt;"pvp",Inputs!$B$44&gt;0),(((R3152-1)*MIN((Skills!Y22*(1+Inputs!$B$34/100)),(1/Q3152))+MIN((Skills!Y22*(1+Inputs!$B$34/100)),MAX(0,Inputs!$B$44-((R3152-1)*(1/Q3152)))))/Inputs!$B$44),IF(Inputs!$B$39="pvp",MIN((Skills!Y22*(1+Inputs!$B$34/100)),15)/15,MIN(1,(Skills!Y22*(1+Inputs!$B$34/100))/(1/Q3152)))))+((C3133=TRUE)*F3133*3)+((C3135=TRUE)*F3135*(1-EXP(-0.75*B3168*5)))+((C3154=TRUE)*(F3154-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IF(ArtifactsInput!$M$40,FALSE,TRUE),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3141=TRUE)*F3141*IF(AND(Inputs!$B$39&lt;&gt;"pvp",Inputs!$B$44&gt;0),(((R3141-1)*MIN((Skills!Y11*(1+Inputs!$B$34/100)),(1/Q3141))+MIN((Skills!Y11*(1+Inputs!$B$34/100)),MAX(0,Inputs!$B$44-((R3141-1)*(1/Q3141)))))/Inputs!$B$44),IF(Inputs!$B$39="pvp",MIN((Skills!Y11*(1+Inputs!$B$34/100)),15)/15,MIN(1,(Skills!Y11*(1+Inputs!$B$34/100))/(1/Q3141)))))/100)*(1+((C3146=TRUE)*F3146*IF(AND(Inputs!$B$39&lt;&gt;"pvp",Inputs!$B$44&gt;0),(((R3146-1)*MIN((Skills!Y16*(1+Inputs!$B$34/100)),(1/Q3146))+MIN((Skills!Y16*(1+Inputs!$B$34/100)),MAX(0,Inputs!$B$44-((R3146-1)*(1/Q3146)))))/Inputs!$B$44),IF(Inputs!$B$39="pvp",MIN((Skills!Y16*(1+Inputs!$B$34/100)),15)/15,MIN(1,(Skills!Y16*(1+Inputs!$B$34/100))/(1/Q3146)))))/100)</f>
        <v/>
      </c>
    </row>
    <row r="3164">
      <c r="A3164" t="inlineStr">
        <is>
          <t>Global Crit Rate Bonus %</t>
        </is>
      </c>
      <c r="B3164">
        <f>((C3151=TRUE)*F3151*IF(AND(Inputs!$B$39&lt;&gt;"pvp",Inputs!$B$44&gt;0),(((R3151-1)*MIN((Skills!Y21*(1+Inputs!$B$34/100)),(1/Q3151))+MIN((Skills!Y21*(1+Inputs!$B$34/100)),MAX(0,Inputs!$B$44-((R3151-1)*(1/Q3151)))))/Inputs!$B$44),IF(Inputs!$B$39="pvp",MIN((Skills!Y21*(1+Inputs!$B$34/100)),15)/15,MIN(1,(Skills!Y21*(1+Inputs!$B$34/100))/(1/Q3151)))))</f>
        <v/>
      </c>
    </row>
    <row r="3165">
      <c r="A3165" t="inlineStr">
        <is>
          <t>Global Monster Damage-Taken Bonus %</t>
        </is>
      </c>
      <c r="B3165">
        <f>IF(Inputs!$B$3&gt;=82,15,0)</f>
        <v/>
      </c>
    </row>
    <row r="3166">
      <c r="A3166" t="inlineStr">
        <is>
          <t>Shadow Partner Average Multiplier</t>
        </is>
      </c>
      <c r="B3166">
        <f>1+((C3138=TRUE)*F3138*(1+3.3333333333333335*IF(C3149=TRUE,F3149,0)/100)*I3138*Skills!J8/100)/100</f>
        <v/>
      </c>
    </row>
    <row r="3167">
      <c r="A3167" t="inlineStr">
        <is>
          <t>Attack Speed Buff Bonus %</t>
        </is>
      </c>
      <c r="B3167">
        <f>((C3150=TRUE)*F3150*IF(AND(Inputs!$B$39&lt;&gt;"pvp",Inputs!$B$44&gt;0),(((R3150-1)*MIN((Skills!Y20*(1+Inputs!$B$34/100)),(1/Q3150))+MIN((Skills!Y20*(1+Inputs!$B$34/100)),MAX(0,Inputs!$B$44-((R3150-1)*(1/Q3150)))))/Inputs!$B$44),IF(Inputs!$B$39="pvp",MIN((Skills!Y20*(1+Inputs!$B$34/100)),15)/15,MIN(1,(Skills!Y20*(1+Inputs!$B$34/100))/(1/Q3150)))))</f>
        <v/>
      </c>
    </row>
    <row r="3168">
      <c r="A3168" t="inlineStr">
        <is>
          <t>Actions Per Second</t>
        </is>
      </c>
      <c r="B3168">
        <f>1+MIN(150,150*(1-(1-(Inputs!$B$11+((C3153=TRUE)*(F3153-Calc!F23)))/150)*(1-B3167/150)))/100</f>
        <v/>
      </c>
    </row>
    <row r="3169">
      <c r="A3169" t="inlineStr">
        <is>
          <t>Skill + Buff Cast Rate</t>
        </is>
      </c>
      <c r="B3169">
        <f>IF(AND(Inputs!$B$39&lt;&gt;"pvp",Inputs!$B$44&gt;0),SUMPRODUCT((Skills!E2:E31=TRUE)*(C3132:C3161=TRUE)*R3132:R3161*Skills!F2:F31)/Inputs!$B$44,SUMPRODUCT((Skills!E2:E31=TRUE)*(C3132:C3161=TRUE)*Q3132:Q3161*Skills!F2:F31))</f>
        <v/>
      </c>
    </row>
    <row r="3170">
      <c r="A3170" t="inlineStr">
        <is>
          <t>Cruel Stab Casts Per Second</t>
        </is>
      </c>
      <c r="B3170">
        <f>MAX(0,B3168-B3169)</f>
        <v/>
      </c>
    </row>
    <row r="3171">
      <c r="A3171" t="inlineStr">
        <is>
          <t>Global Critical Damage Bonus % (Smokescreen Mastery Lv.113)</t>
        </is>
      </c>
      <c r="B3171">
        <f>IF(Inputs!$B$3&gt;=113,30,0)*IF(AND(Inputs!$B$39&lt;&gt;"pvp",Inputs!$B$44&gt;0),(((R3146-1)*MIN((Skills!Y16*(1+Inputs!$B$34/100)),(1/Q3146))+MIN((Skills!Y16*(1+Inputs!$B$34/100)),MAX(0,Inputs!$B$44-((R3146-1)*(1/Q3146)))))/Inputs!$B$44),IF(Inputs!$B$39="pvp",MIN((Skills!Y16*(1+Inputs!$B$34/100)),15)/15,MIN(1,(Skills!Y16*(1+Inputs!$B$34/100))/(1/Q3146))))</f>
        <v/>
      </c>
    </row>
    <row r="3172">
      <c r="A3172" t="inlineStr">
        <is>
          <t>Meso Explosion average stack count</t>
        </is>
      </c>
      <c r="B3172">
        <f>MIN(10,IF(Inputs!$B$3&gt;=75,0.75,0.5)*B3168*(1/Q3134))</f>
        <v/>
      </c>
    </row>
    <row r="3173">
      <c r="A3173" t="inlineStr">
        <is>
          <t>Blood Money average stack count</t>
        </is>
      </c>
      <c r="B3173">
        <f>MIN(5,0.5*IF(Inputs!$B$3&gt;=75,0.75,0.5)*B3168*(1/Q3134))</f>
        <v/>
      </c>
    </row>
    <row r="3174">
      <c r="A3174" t="inlineStr">
        <is>
          <t>Assassinate Murderous Intent Multiplier</t>
        </is>
      </c>
      <c r="B3174">
        <f>1+IFERROR(MIN(1,Q3145*2/Q3142),0)</f>
        <v/>
      </c>
    </row>
    <row r="3175">
      <c r="A3175" t="inlineStr">
        <is>
          <t>Buff-Casting Startup Delay (s, fixed-duration only)</t>
        </is>
      </c>
      <c r="B3175">
        <f>IF(AND(Inputs!$B$39&lt;&gt;"pvp",Inputs!$B$44&gt;0),SUMPRODUCT((Skills!Y2:Y31&gt;0)*(Skills!E2:E31=TRUE)*(C3132:C3161=TRUE))/B3168,0)</f>
        <v/>
      </c>
    </row>
    <row r="3176">
      <c r="A3176" s="6" t="inlineStr">
        <is>
          <t>TOTAL DPS</t>
        </is>
      </c>
      <c r="B3176" s="6">
        <f>SUM(O3132:O3161)</f>
        <v/>
      </c>
    </row>
    <row r="3177">
      <c r="A3177" t="inlineStr">
        <is>
          <t>Boss-Only Total DPS (this block's swept value)</t>
        </is>
      </c>
      <c r="B3177">
        <f>SUM(T3132:T3161)</f>
        <v/>
      </c>
    </row>
    <row r="3178">
      <c r="A3178" t="inlineStr">
        <is>
          <t>Normal-Only Total DPS (this block's swept value)</t>
        </is>
      </c>
      <c r="B3178">
        <f>SUM(V3132:V3161)</f>
        <v/>
      </c>
    </row>
    <row r="3181">
      <c r="A3181" s="6" t="inlineStr">
        <is>
          <t>Stat: Secret Map (Equip)</t>
        </is>
      </c>
    </row>
    <row r="3182">
      <c r="A3182" s="5" t="inlineStr">
        <is>
          <t>Key</t>
        </is>
      </c>
      <c r="B3182" s="5" t="inlineStr">
        <is>
          <t>Name</t>
        </is>
      </c>
      <c r="C3182" s="5" t="inlineStr">
        <is>
          <t>Unlocked</t>
        </is>
      </c>
      <c r="D3182" s="5" t="inlineStr">
        <is>
          <t>InputLevel</t>
        </is>
      </c>
      <c r="E3182" s="5" t="inlineStr">
        <is>
          <t>Factor</t>
        </is>
      </c>
      <c r="F3182" s="5" t="inlineStr">
        <is>
          <t>CoefficientPercent</t>
        </is>
      </c>
      <c r="G3182" s="5" t="inlineStr">
        <is>
          <t>EffectiveHits</t>
        </is>
      </c>
      <c r="H3182" s="5" t="inlineStr">
        <is>
          <t>ProcProbability</t>
        </is>
      </c>
      <c r="I3182" s="5" t="inlineStr">
        <is>
          <t>MapleHeroMultiplier</t>
        </is>
      </c>
      <c r="J3182" s="5" t="inlineStr">
        <is>
          <t>BaseDamage</t>
        </is>
      </c>
      <c r="K3182" s="5" t="inlineStr">
        <is>
          <t>BaseHitDamage</t>
        </is>
      </c>
      <c r="L3182" s="5" t="inlineStr">
        <is>
          <t>NonCritAvg</t>
        </is>
      </c>
      <c r="M3182" s="5" t="inlineStr">
        <is>
          <t>CritAvg</t>
        </is>
      </c>
      <c r="N3182" s="5" t="inlineStr">
        <is>
          <t>ExpectedDamage(perHit)</t>
        </is>
      </c>
      <c r="O3182" s="5" t="inlineStr">
        <is>
          <t>DPS</t>
        </is>
      </c>
      <c r="P3182" s="5" t="inlineStr">
        <is>
          <t>% of Total</t>
        </is>
      </c>
      <c r="Q3182" s="5" t="inlineStr">
        <is>
          <t>InvCooldown</t>
        </is>
      </c>
      <c r="R3182" s="5" t="inlineStr">
        <is>
          <t>CastsInFight</t>
        </is>
      </c>
      <c r="S3182" s="5" t="inlineStr">
        <is>
          <t>HitRate(perSec)</t>
        </is>
      </c>
      <c r="U3182" t="inlineStr">
        <is>
          <t>helpers</t>
        </is>
      </c>
    </row>
    <row r="3183">
      <c r="A3183">
        <f>Skills!A2</f>
        <v/>
      </c>
      <c r="B3183">
        <f>Skills!B2</f>
        <v/>
      </c>
      <c r="C3183">
        <f>Inputs!$B$3&gt;=100</f>
        <v/>
      </c>
      <c r="D3183" t="inlineStr"/>
      <c r="E3183" t="inlineStr"/>
      <c r="F3183">
        <f>U3185+Skills!O2</f>
        <v/>
      </c>
      <c r="G3183">
        <f>Skills!G2*IF(Skills!H2&gt;0,IF(Inputs!$B$39="pvp",MIN(Skills!I2,15),Skills!I2)/Skills!H2,1)</f>
        <v/>
      </c>
      <c r="H3183">
        <f>1-(1-Skills!J2/100)^Skills!K2</f>
        <v/>
      </c>
      <c r="I3183" t="inlineStr">
        <is>
          <t>1</t>
        </is>
      </c>
      <c r="J3183">
        <f>((Inputs!$B$6*(1+Inputs!$B$7/100))+(((Inputs!$B$12*(1+Inputs!$B$13/100))-(Inputs!$B$12*(1+Inputs!$B$13/100)))+0.25*(Inputs!$B$14-Inputs!$B$14))*(1+Inputs!$B$7/100))*(F3183/100)</f>
        <v/>
      </c>
      <c r="K3183">
        <f>J3183*(1+((Inputs!$B$12*(1+Inputs!$B$13/100))*0.01+Inputs!$B$14*0.0025)/100)*(1+Inputs!$B$15/100)*(1+Inputs!$B$16/100)*(5000/(6000+Inputs!$B$43*(1-(100*(1-(1-Inputs!$B$19/100)*(1-CHOOSE(ArtifactsInput!$N$40+1,5,6,7,8,9,10)/100)^(ArtifactsInput!$M$40-ArtifactsInput!$M$40)))/100)))*(1+(Inputs!$B$24+((C3212=TRUE)*(F3212-Calc!F31))+((C3199=TRUE)*(F3199-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CRUEL_STAB",Inputs!$B$17+((C3209=TRUE)*(F3209-Calc!F28))+((IF(AND(Inputs!$B$39&lt;&gt;"pvp",Inputs!$B$44=0),1,IF(IF(Inputs!$B$39="pvp",15,Inputs!$B$44)-(B3226)&lt;=0,1,MAX(0,IF(Inputs!$B$39="pvp",15,Inputs!$B$44)-MAX(5,B3226))/(IF(Inputs!$B$39="pvp",15,Inputs!$B$44)-(B3226))))*(IF(AND(ArtifactsInput!$M$42,((Inputs!$B$9+((C3207=TRUE)*(F3207-Calc!F26))+B3215+(ArtifactsInput!$M$24-ArtifactsInput!$M$24)*CHOOSE(ArtifactsInput!$N$24+1,10,12,14,16,18,20)+IF(ArtifactsInput!$M$10,CHOOSE(ArtifactsInput!$N$10+1,15,18,21,24,27,30)*(IF(Inputs!$B$39="pvp",MIN(15,15)/15,IF(AND(Inputs!$B$39&lt;&gt;"pvp",Inputs!$B$44&gt;0),MIN(15,Inputs!$B$44)/(Inputs!$B$44),0))),0)))&gt;=100),MIN(100,((Inputs!$B$9+((C3207=TRUE)*(F3207-Calc!F26))+B3215+(ArtifactsInput!$M$24-ArtifactsInput!$M$24)*CHOOSE(ArtifactsInput!$N$24+1,10,12,14,16,18,20)+IF(ArtifactsInput!$M$10,CHOOSE(ArtifactsInput!$N$10+1,15,18,21,24,27,30)*(IF(Inputs!$B$39="pvp",MIN(15,15)/15,IF(AND(Inputs!$B$39&lt;&gt;"pvp",Inputs!$B$44&gt;0),MIN(15,Inputs!$B$44)/(Inputs!$B$44),0))),0)))-100),0))*CHOOSE(ArtifactsInput!$N$42+1,0.6,0.72,0.84,0.96,1.08,1.2))),Inputs!$B$18+((C3210=TRUE)*(F3210-Calc!F29))+(IF(AND(Inputs!$B$39&lt;&gt;"pvp",Inputs!$B$44=0),1,IF(IF(Inputs!$B$39="pvp",15,Inputs!$B$44)-(B3226)&lt;=0,1,MAX(0,IF(Inputs!$B$39="pvp",15,Inputs!$B$44)-MAX(5,B3226))/(IF(Inputs!$B$39="pvp",15,Inputs!$B$44)-(B3226))))*IF(AND(ArtifactsInput!$M$42,((Inputs!$B$9+((C3207=TRUE)*(F3207-Calc!F26))+B3215+(ArtifactsInput!$M$24-ArtifactsInput!$M$24)*CHOOSE(ArtifactsInput!$N$24+1,10,12,14,16,18,20)+IF(ArtifactsInput!$M$10,CHOOSE(ArtifactsInput!$N$10+1,15,18,21,24,27,30)*(IF(Inputs!$B$39="pvp",MIN(15,15)/15,IF(AND(Inputs!$B$39&lt;&gt;"pvp",Inputs!$B$44&gt;0),MIN(15,Inputs!$B$44)/(Inputs!$B$44),0))),0)))&gt;=100),CHOOSE(ArtifactsInput!$N$42+1,40,48,56,64,72,80),0))))/100)*(((1+(((C3203=TRUE)*F3203*IF(AND(Inputs!$B$39&lt;&gt;"pvp",Inputs!$B$44&gt;0),(((R3203-1)*MIN((Skills!Y22*(1+Inputs!$B$34/100)),(1/Q3203))+MIN((Skills!Y22*(1+Inputs!$B$34/100)),MAX(0,Inputs!$B$44-((R3203-1)*(1/Q3203)))))/Inputs!$B$44),IF(Inputs!$B$39="pvp",MIN((Skills!Y22*(1+Inputs!$B$34/100)),15)/15,MIN(1,(Skills!Y22*(1+Inputs!$B$34/100))/(1/Q3203)))))+((C3184=TRUE)*F3184*3)+((C3186=TRUE)*F3186*(1-EXP(-0.75*B3219*5)))+((C3205=TRUE)*(F3205-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IF(ArtifactsInput!$M$41,FALSE,TRUE),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3192=TRUE)*F3192*IF(AND(Inputs!$B$39&lt;&gt;"pvp",Inputs!$B$44&gt;0),(((R3192-1)*MIN((Skills!Y11*(1+Inputs!$B$34/100)),(1/Q3192))+MIN((Skills!Y11*(1+Inputs!$B$34/100)),MAX(0,Inputs!$B$44-((R3192-1)*(1/Q3192)))))/Inputs!$B$44),IF(Inputs!$B$39="pvp",MIN((Skills!Y11*(1+Inputs!$B$34/100)),15)/15,MIN(1,(Skills!Y11*(1+Inputs!$B$34/100))/(1/Q3192)))))/100)*(1+((C3197=TRUE)*F3197*IF(AND(Inputs!$B$39&lt;&gt;"pvp",Inputs!$B$44&gt;0),(((R3197-1)*MIN((Skills!Y16*(1+Inputs!$B$34/100)),(1/Q3197))+MIN((Skills!Y16*(1+Inputs!$B$34/100)),MAX(0,Inputs!$B$44-((R3197-1)*(1/Q3197)))))/Inputs!$B$44),IF(Inputs!$B$39="pvp",MIN((Skills!Y16*(1+Inputs!$B$34/100)),15)/15,MIN(1,(Skills!Y16*(1+Inputs!$B$34/100))/(1/Q3197)))))/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3217*I3183)</f>
        <v/>
      </c>
      <c r="L3183">
        <f>K3183*(MIN(Inputs!$B$22+((C3206=TRUE)*(F3206-Calc!F25)),(Inputs!$B$23+((C3211=TRUE)*(F3211-Calc!F30))+IF(ArtifactsInput!$M$15,CHOOSE(ArtifactsInput!$N$15+1,25,30,35,40,45,50)/100*(Inputs!$B$11-Inputs!$B$11),0)))/100+(Inputs!$B$23+((C3211=TRUE)*(F3211-Calc!F30))+IF(ArtifactsInput!$M$15,CHOOSE(ArtifactsInput!$N$15+1,25,30,35,40,45,50)/100*(Inputs!$B$11-Inputs!$B$11),0))/100)/2</f>
        <v/>
      </c>
      <c r="M3183">
        <f>L3183*(1+(Inputs!$B$10+((C3208=TRUE)*(F3208-Calc!F27))+B3222+(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3183">
        <f>L3183*(1-MIN((Inputs!$B$9+((C3207=TRUE)*(F3207-Calc!F26))+B3215+(ArtifactsInput!$M$24-ArtifactsInput!$M$24)*CHOOSE(ArtifactsInput!$N$24+1,10,12,14,16,18,20)+(IF(AND(Inputs!$B$39&lt;&gt;"pvp",Inputs!$B$44=0),1,IF(IF(Inputs!$B$39="pvp",15,Inputs!$B$44)-(B3226)&lt;=0,1,MAX(0,IF(Inputs!$B$39="pvp",15,Inputs!$B$44)-MAX(5,B3226))/(IF(Inputs!$B$39="pvp",15,Inputs!$B$44)-(B3226))))*IF(AND(ArtifactsInput!$M$42,((Inputs!$B$9+((C3207=TRUE)*(F3207-Calc!F26))+B3215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3183*(MIN((Inputs!$B$9+((C3207=TRUE)*(F3207-Calc!F26))+B3215+(ArtifactsInput!$M$24-ArtifactsInput!$M$24)*CHOOSE(ArtifactsInput!$N$24+1,10,12,14,16,18,20)+(IF(AND(Inputs!$B$39&lt;&gt;"pvp",Inputs!$B$44=0),1,IF(IF(Inputs!$B$39="pvp",15,Inputs!$B$44)-(B3226)&lt;=0,1,MAX(0,IF(Inputs!$B$39="pvp",15,Inputs!$B$44)-MAX(5,B3226))/(IF(Inputs!$B$39="pvp",15,Inputs!$B$44)-(B3226))))*IF(AND(ArtifactsInput!$M$42,((Inputs!$B$9+((C3207=TRUE)*(F3207-Calc!F26))+B3215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3183">
        <f>(1-Summary!$B$11)*T3183+Summary!$B$11*V3183</f>
        <v/>
      </c>
      <c r="P3183">
        <f>IF(B3227=0,0,O3183/B3227)</f>
        <v/>
      </c>
      <c r="Q3183" t="n">
        <v>0</v>
      </c>
      <c r="R3183" t="n">
        <v>0</v>
      </c>
      <c r="S3183">
        <f>IFERROR(O3183/N3183,0)</f>
        <v/>
      </c>
      <c r="T3183">
        <f>IF(C3183,(Skills!G2*N3183*B3221)*IF(Inputs!$B$39="pvp",1,1+(Inputs!$B$20+0+Skills!P2+B3216+(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Hunt"),CHOOSE(ArtifactsInput!$N$35+1,15,18,21,24,27,30)*(1-EXP(-(0.2*B3219)*5)),0)+IF(AND(ArtifactsInput!$M$22,Inputs!$B$4&lt;&gt;"Chapter Hunt"),CHOOSE(ArtifactsInput!$N$22+1,10,12,14,16,18,20)*((0*(((0.15*B3219*5))^0/1)+1*(((0.15*B3219*5))^1/1)+2*(((0.15*B3219*5))^2/2)+3*(((0.15*B3219*5))^3/6)+4*(((0.15*B3219*5))^4/24)+5*(((0.15*B3219*5))^5/120))/((((0.15*B3219*5))^0/1)+(((0.15*B3219*5))^1/1)+(((0.15*B3219*5))^2/2)+(((0.15*B3219*5))^3/6)+(((0.15*B3219*5))^4/24)+(((0.15*B3219*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3183*(1-MIN(100,(Inputs!$B$9+((C3207=TRUE)*(F3207-Calc!F26))+B3215+(ArtifactsInput!$M$24-ArtifactsInput!$M$24)*CHOOSE(ArtifactsInput!$N$24+1,10,12,14,16,18,20)+(IF(AND(Inputs!$B$39&lt;&gt;"pvp",Inputs!$B$44=0),1,IF(IF(Inputs!$B$39="pvp",15,Inputs!$B$44)-(B3226)&lt;=0,1,MAX(0,IF(Inputs!$B$39="pvp",15,Inputs!$B$44)-MAX(5,B3226))/(IF(Inputs!$B$39="pvp",15,Inputs!$B$44)-(B3226))))*IF(AND(ArtifactsInput!$M$42,((Inputs!$B$9+((C3207=TRUE)*(F3207-Calc!F26))+B3215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3183*(MIN(100,(Inputs!$B$9+((C3207=TRUE)*(F3207-Calc!F26))+B3215+(ArtifactsInput!$M$24-ArtifactsInput!$M$24)*CHOOSE(ArtifactsInput!$N$24+1,10,12,14,16,18,20)+(IF(AND(Inputs!$B$39&lt;&gt;"pvp",Inputs!$B$44=0),1,IF(IF(Inputs!$B$39="pvp",15,Inputs!$B$44)-(B3226)&lt;=0,1,MAX(0,IF(Inputs!$B$39="pvp",15,Inputs!$B$44)-MAX(5,B3226))/(IF(Inputs!$B$39="pvp",15,Inputs!$B$44)-(B3226))))*IF(AND(ArtifactsInput!$M$42,((Inputs!$B$9+((C3207=TRUE)*(F3207-Calc!F26))+B3215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3183*(1-MIN(100,(Inputs!$B$9+((C3207=TRUE)*(F3207-Calc!F26))+B3215+(ArtifactsInput!$M$24-ArtifactsInput!$M$24)*CHOOSE(ArtifactsInput!$N$24+1,10,12,14,16,18,20)+(IF(AND(Inputs!$B$39&lt;&gt;"pvp",Inputs!$B$44=0),1,IF(IF(Inputs!$B$39="pvp",15,Inputs!$B$44)-(B3226)&lt;=0,1,MAX(0,IF(Inputs!$B$39="pvp",15,Inputs!$B$44)-MAX(5,B3226))/(IF(Inputs!$B$39="pvp",15,Inputs!$B$44)-(B3226))))*IF(AND(ArtifactsInput!$M$42,((Inputs!$B$9+((C3207=TRUE)*(F3207-Calc!F26))+B3215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3183*(MIN(100,(Inputs!$B$9+((C3207=TRUE)*(F3207-Calc!F26))+B3215+(ArtifactsInput!$M$24-ArtifactsInput!$M$24)*CHOOSE(ArtifactsInput!$N$24+1,10,12,14,16,18,20)+(IF(AND(Inputs!$B$39&lt;&gt;"pvp",Inputs!$B$44=0),1,IF(IF(Inputs!$B$39="pvp",15,Inputs!$B$44)-(B3226)&lt;=0,1,MAX(0,IF(Inputs!$B$39="pvp",15,Inputs!$B$44)-MAX(5,B3226))/(IF(Inputs!$B$39="pvp",15,Inputs!$B$44)-(B3226))))*IF(AND(ArtifactsInput!$M$42,((Inputs!$B$9+((C3207=TRUE)*(F3207-Calc!F26))+B3215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3183">
        <f>MAX(0,(Inputs!$B$3-100)*3)+Inputs!$B$28+Inputs!$B$29</f>
        <v/>
      </c>
      <c r="V3183">
        <f>IF(C3183,(Skills!G2*N3183*B3221)*IF(Inputs!$B$39="pvp",1,(1+(Inputs!$B$21+Skills!Q2+B3216+(IF(ArtifactsInput!$M$33,CHOOSE(ArtifactsInput!$N$33+1,30,36,42,48,54,60),0))+(IF(AND(ArtifactsInput!$M$35,Inputs!$B$4&lt;&gt;"Chapter Hunt"),CHOOSE(ArtifactsInput!$N$35+1,15,18,21,24,27,30)*(1-EXP(-(0.2*B3219)*5)),0)+IF(AND(ArtifactsInput!$M$22,Inputs!$B$4&lt;&gt;"Chapter Hunt"),CHOOSE(ArtifactsInput!$N$22+1,10,12,14,16,18,20)*((0*(((0.15*B3219*5))^0/1)+1*(((0.15*B3219*5))^1/1)+2*(((0.15*B3219*5))^2/2)+3*(((0.15*B3219*5))^3/6)+4*(((0.15*B3219*5))^4/24)+5*(((0.15*B3219*5))^5/120))/((((0.15*B3219*5))^0/1)+(((0.15*B3219*5))^1/1)+(((0.15*B3219*5))^2/2)+(((0.15*B3219*5))^3/6)+(((0.15*B3219*5))^4/24)+(((0.15*B3219*5))^5/120))),0)))/100)*(MIN((6+Inputs!$B$33),Inputs!$B$37)))*((1+(IF(AND(IF(ArtifactsInput!$M$41,FALSE,TRUE),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3184">
      <c r="A3184">
        <f>Skills!A3</f>
        <v/>
      </c>
      <c r="B3184">
        <f>Skills!B3</f>
        <v/>
      </c>
      <c r="C3184">
        <f>Inputs!$B$3&gt;=35</f>
        <v/>
      </c>
      <c r="D3184">
        <f>IF(Skills!C3=1,60+Inputs!$B$25+Inputs!$B$29,IF(Skills!C3=2,90+Inputs!$B$26+Inputs!$B$29,IF(Skills!C3=3,120+Inputs!$B$27+Inputs!$B$29,MAX(0,(Inputs!$B$3-100)*3)+Inputs!$B$28+Inputs!$B$29)))</f>
        <v/>
      </c>
      <c r="E3184">
        <f>INDEX(FactorTable!$B$2:$Y$301, MATCH(ROUND(MIN(300,MAX(1,D3184)),0), FactorTable!$A$2:$A$301,0), Skills!M3+1)</f>
        <v/>
      </c>
      <c r="F3184">
        <f>IF(Skills!N3=TRUE,(Skills!L3/10)*(E3184/1000),Skills!L3/10)+Skills!O3</f>
        <v/>
      </c>
      <c r="G3184">
        <f>Skills!G3*IF(Skills!H3&gt;0,IF(Inputs!$B$39="pvp",MIN(Skills!I3,15),Skills!I3)/Skills!H3,1)</f>
        <v/>
      </c>
      <c r="H3184">
        <f>1-(1-Skills!J3/100)^Skills!K3</f>
        <v/>
      </c>
      <c r="I3184" t="inlineStr">
        <is>
          <t>1</t>
        </is>
      </c>
      <c r="J3184" t="inlineStr"/>
      <c r="K3184" t="inlineStr"/>
      <c r="L3184" t="inlineStr"/>
      <c r="M3184" t="inlineStr"/>
      <c r="N3184" t="inlineStr"/>
      <c r="O3184">
        <f>(1-Summary!$B$11)*T3184+Summary!$B$11*V3184</f>
        <v/>
      </c>
      <c r="P3184">
        <f>IF(B3227=0,0,O3184/B3227)</f>
        <v/>
      </c>
      <c r="Q3184" t="n">
        <v>0</v>
      </c>
      <c r="R3184" t="n">
        <v>0</v>
      </c>
      <c r="S3184">
        <f>IFERROR(O3184/N3184,0)</f>
        <v/>
      </c>
      <c r="T3184" t="n">
        <v>0</v>
      </c>
      <c r="U3184">
        <f>INDEX(FactorTable!$B$2:$Y$301, MATCH(ROUND(MIN(300,MAX(1,U3183)),0), FactorTable!$A$2:$A$301,0), 22)</f>
        <v/>
      </c>
      <c r="V3184" t="n">
        <v>0</v>
      </c>
    </row>
    <row r="3185">
      <c r="A3185">
        <f>Skills!A4</f>
        <v/>
      </c>
      <c r="B3185">
        <f>Skills!B4</f>
        <v/>
      </c>
      <c r="C3185">
        <f>Inputs!$B$3&gt;=66</f>
        <v/>
      </c>
      <c r="D3185">
        <f>IF(Skills!C4=1,60+Inputs!$B$25+Inputs!$B$29,IF(Skills!C4=2,90+Inputs!$B$26+Inputs!$B$29,IF(Skills!C4=3,120+Inputs!$B$27+Inputs!$B$29,MAX(0,(Inputs!$B$3-100)*3)+Inputs!$B$28+Inputs!$B$29)))</f>
        <v/>
      </c>
      <c r="E3185">
        <f>INDEX(FactorTable!$B$2:$Y$301, MATCH(ROUND(MIN(300,MAX(1,D3185)),0), FactorTable!$A$2:$A$301,0), Skills!M4+1)</f>
        <v/>
      </c>
      <c r="F3185">
        <f>IF(Skills!N4=TRUE,(Skills!L4/10)*(E3185/1000),Skills!L4/10)+Skills!O4</f>
        <v/>
      </c>
      <c r="G3185">
        <f>Skills!G4*IF(Skills!H4&gt;0,IF(Inputs!$B$39="pvp",MIN(Skills!I4,15),Skills!I4)/Skills!H4,1)</f>
        <v/>
      </c>
      <c r="H3185">
        <f>1-(1-Skills!J4/100)^Skills!K4</f>
        <v/>
      </c>
      <c r="I3185" t="inlineStr">
        <is>
          <t>1</t>
        </is>
      </c>
      <c r="J3185">
        <f>((Inputs!$B$6*(1+Inputs!$B$7/100))+(((Inputs!$B$12*(1+Inputs!$B$13/100))-(Inputs!$B$12*(1+Inputs!$B$13/100)))+0.25*(Inputs!$B$14-Inputs!$B$14))*(1+Inputs!$B$7/100))*(F3185/100)</f>
        <v/>
      </c>
      <c r="K3185">
        <f>J3185*(1+((Inputs!$B$12*(1+Inputs!$B$13/100))*0.01+Inputs!$B$14*0.0025)/100)*(1+Inputs!$B$15/100)*(1+Inputs!$B$16/100)*(5000/(6000+Inputs!$B$43*(1-(100*(1-(1-Inputs!$B$19/100)*(1-CHOOSE(ArtifactsInput!$N$40+1,5,6,7,8,9,10)/100)^(ArtifactsInput!$M$40-ArtifactsInput!$M$40)))/100)))*(1+(Inputs!$B$24+((C3212=TRUE)*(F3212-Calc!F31))+((C3199=TRUE)*(F3199-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4="CRUEL_STAB",Inputs!$B$17+((C3209=TRUE)*(F3209-Calc!F28))+((IF(AND(Inputs!$B$39&lt;&gt;"pvp",Inputs!$B$44=0),1,IF(IF(Inputs!$B$39="pvp",15,Inputs!$B$44)-(B3226)&lt;=0,1,MAX(0,IF(Inputs!$B$39="pvp",15,Inputs!$B$44)-MAX(5,B3226))/(IF(Inputs!$B$39="pvp",15,Inputs!$B$44)-(B3226))))*(IF(AND(ArtifactsInput!$M$42,((Inputs!$B$9+((C3207=TRUE)*(F3207-Calc!F26))+B3215+(ArtifactsInput!$M$24-ArtifactsInput!$M$24)*CHOOSE(ArtifactsInput!$N$24+1,10,12,14,16,18,20)+IF(ArtifactsInput!$M$10,CHOOSE(ArtifactsInput!$N$10+1,15,18,21,24,27,30)*(IF(Inputs!$B$39="pvp",MIN(15,15)/15,IF(AND(Inputs!$B$39&lt;&gt;"pvp",Inputs!$B$44&gt;0),MIN(15,Inputs!$B$44)/(Inputs!$B$44),0))),0)))&gt;=100),MIN(100,((Inputs!$B$9+((C3207=TRUE)*(F3207-Calc!F26))+B3215+(ArtifactsInput!$M$24-ArtifactsInput!$M$24)*CHOOSE(ArtifactsInput!$N$24+1,10,12,14,16,18,20)+IF(ArtifactsInput!$M$10,CHOOSE(ArtifactsInput!$N$10+1,15,18,21,24,27,30)*(IF(Inputs!$B$39="pvp",MIN(15,15)/15,IF(AND(Inputs!$B$39&lt;&gt;"pvp",Inputs!$B$44&gt;0),MIN(15,Inputs!$B$44)/(Inputs!$B$44),0))),0)))-100),0))*CHOOSE(ArtifactsInput!$N$42+1,0.6,0.72,0.84,0.96,1.08,1.2))),Inputs!$B$18+((C3210=TRUE)*(F3210-Calc!F29))+(IF(AND(Inputs!$B$39&lt;&gt;"pvp",Inputs!$B$44=0),1,IF(IF(Inputs!$B$39="pvp",15,Inputs!$B$44)-(B3226)&lt;=0,1,MAX(0,IF(Inputs!$B$39="pvp",15,Inputs!$B$44)-MAX(5,B3226))/(IF(Inputs!$B$39="pvp",15,Inputs!$B$44)-(B3226))))*IF(AND(ArtifactsInput!$M$42,((Inputs!$B$9+((C3207=TRUE)*(F3207-Calc!F26))+B3215+(ArtifactsInput!$M$24-ArtifactsInput!$M$24)*CHOOSE(ArtifactsInput!$N$24+1,10,12,14,16,18,20)+IF(ArtifactsInput!$M$10,CHOOSE(ArtifactsInput!$N$10+1,15,18,21,24,27,30)*(IF(Inputs!$B$39="pvp",MIN(15,15)/15,IF(AND(Inputs!$B$39&lt;&gt;"pvp",Inputs!$B$44&gt;0),MIN(15,Inputs!$B$44)/(Inputs!$B$44),0))),0)))&gt;=100),CHOOSE(ArtifactsInput!$N$42+1,40,48,56,64,72,80),0))))/100)*(((1+(((C3203=TRUE)*F3203*IF(AND(Inputs!$B$39&lt;&gt;"pvp",Inputs!$B$44&gt;0),(((R3203-1)*MIN((Skills!Y22*(1+Inputs!$B$34/100)),(1/Q3203))+MIN((Skills!Y22*(1+Inputs!$B$34/100)),MAX(0,Inputs!$B$44-((R3203-1)*(1/Q3203)))))/Inputs!$B$44),IF(Inputs!$B$39="pvp",MIN((Skills!Y22*(1+Inputs!$B$34/100)),15)/15,MIN(1,(Skills!Y22*(1+Inputs!$B$34/100))/(1/Q3203)))))+((C3184=TRUE)*F3184*3)+((C3186=TRUE)*F3186*(1-EXP(-0.75*B3219*5)))+((C3205=TRUE)*(F3205-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IF(ArtifactsInput!$M$41,FALSE,TRUE),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3192=TRUE)*F3192*IF(AND(Inputs!$B$39&lt;&gt;"pvp",Inputs!$B$44&gt;0),(((R3192-1)*MIN((Skills!Y11*(1+Inputs!$B$34/100)),(1/Q3192))+MIN((Skills!Y11*(1+Inputs!$B$34/100)),MAX(0,Inputs!$B$44-((R3192-1)*(1/Q3192)))))/Inputs!$B$44),IF(Inputs!$B$39="pvp",MIN((Skills!Y11*(1+Inputs!$B$34/100)),15)/15,MIN(1,(Skills!Y11*(1+Inputs!$B$34/100))/(1/Q3192)))))/100)*(1+((C3197=TRUE)*F3197*IF(AND(Inputs!$B$39&lt;&gt;"pvp",Inputs!$B$44&gt;0),(((R3197-1)*MIN((Skills!Y16*(1+Inputs!$B$34/100)),(1/Q3197))+MIN((Skills!Y16*(1+Inputs!$B$34/100)),MAX(0,Inputs!$B$44-((R3197-1)*(1/Q3197)))))/Inputs!$B$44),IF(Inputs!$B$39="pvp",MIN((Skills!Y16*(1+Inputs!$B$34/100)),15)/15,MIN(1,(Skills!Y16*(1+Inputs!$B$34/100))/(1/Q3197)))))/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3217*I3185)</f>
        <v/>
      </c>
      <c r="L3185">
        <f>K3185*(MIN(Inputs!$B$22+((C3206=TRUE)*(F3206-Calc!F25)),(Inputs!$B$23+((C3211=TRUE)*(F3211-Calc!F30))+IF(ArtifactsInput!$M$15,CHOOSE(ArtifactsInput!$N$15+1,25,30,35,40,45,50)/100*(Inputs!$B$11-Inputs!$B$11),0)))/100+(Inputs!$B$23+((C3211=TRUE)*(F3211-Calc!F30))+IF(ArtifactsInput!$M$15,CHOOSE(ArtifactsInput!$N$15+1,25,30,35,40,45,50)/100*(Inputs!$B$11-Inputs!$B$11),0))/100)/2</f>
        <v/>
      </c>
      <c r="M3185">
        <f>L3185*(1+(Inputs!$B$10+((C3208=TRUE)*(F3208-Calc!F27))+B3222+(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3185">
        <f>L3185*(1-MIN((Inputs!$B$9+((C3207=TRUE)*(F3207-Calc!F26))+B3215+(ArtifactsInput!$M$24-ArtifactsInput!$M$24)*CHOOSE(ArtifactsInput!$N$24+1,10,12,14,16,18,20)+(IF(AND(Inputs!$B$39&lt;&gt;"pvp",Inputs!$B$44=0),1,IF(IF(Inputs!$B$39="pvp",15,Inputs!$B$44)-(B3226)&lt;=0,1,MAX(0,IF(Inputs!$B$39="pvp",15,Inputs!$B$44)-MAX(5,B3226))/(IF(Inputs!$B$39="pvp",15,Inputs!$B$44)-(B3226))))*IF(AND(ArtifactsInput!$M$42,((Inputs!$B$9+((C3207=TRUE)*(F3207-Calc!F26))+B3215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3185*(MIN((Inputs!$B$9+((C3207=TRUE)*(F3207-Calc!F26))+B3215+(ArtifactsInput!$M$24-ArtifactsInput!$M$24)*CHOOSE(ArtifactsInput!$N$24+1,10,12,14,16,18,20)+(IF(AND(Inputs!$B$39&lt;&gt;"pvp",Inputs!$B$44=0),1,IF(IF(Inputs!$B$39="pvp",15,Inputs!$B$44)-(B3226)&lt;=0,1,MAX(0,IF(Inputs!$B$39="pvp",15,Inputs!$B$44)-MAX(5,B3226))/(IF(Inputs!$B$39="pvp",15,Inputs!$B$44)-(B3226))))*IF(AND(ArtifactsInput!$M$42,((Inputs!$B$9+((C3207=TRUE)*(F3207-Calc!F26))+B3215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3185">
        <f>(1-Summary!$B$11)*T3185+Summary!$B$11*V3185</f>
        <v/>
      </c>
      <c r="P3185">
        <f>IF(B3227=0,0,O3185/B3227)</f>
        <v/>
      </c>
      <c r="Q3185">
        <f>IFERROR(1/IF(Inputs!$B$39="pvp",15,MAX(0.1,Skills!D4-IF(TRUE=TRUE,Inputs!$B$32,0))),0)</f>
        <v/>
      </c>
      <c r="R3185">
        <f>IF(AND(Inputs!$B$39&lt;&gt;"pvp",Inputs!$B$44&gt;0),IF(MAX(0,Inputs!$B$44-B3226)&lt;=0,0,(INT(MAX(0,Inputs!$B$44-B3226)/IF(Inputs!$B$39="pvp",15,MAX(0.1,Skills!D4-IF(TRUE=TRUE,Inputs!$B$32,0))))+1)),0)</f>
        <v/>
      </c>
      <c r="S3185">
        <f>IFERROR(O3185/N3185,0)</f>
        <v/>
      </c>
      <c r="T3185">
        <f>IF(C3185,(H3185*N3185*IF(AND(Inputs!$B$39&lt;&gt;"pvp",Inputs!$B$44&gt;0),((Skills!G4*((R3185-1)*IF(Skills!H4&gt;0,Skills!I4/Skills!H4,1)+IF(Skills!H4&gt;0,MIN(Skills!I4,MAX(0,MAX(0,Inputs!$B$44-B3226)-((R3185-1)*IF(Inputs!$B$39="pvp",15,MAX(0.1,Skills!D4-IF(TRUE=TRUE,Inputs!$B$32,0))))))/Skills!H4,1)))/Inputs!$B$44),G3185*Q3185))*IF(Inputs!$B$39="pvp",1,1+(Inputs!$B$20+0+Skills!P4+B3216+(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Hunt"),CHOOSE(ArtifactsInput!$N$35+1,15,18,21,24,27,30)*(1-EXP(-(0.2*B3219)*5)),0)+IF(AND(ArtifactsInput!$M$22,Inputs!$B$4&lt;&gt;"Chapter Hunt"),CHOOSE(ArtifactsInput!$N$22+1,10,12,14,16,18,20)*((0*(((0.15*B3219*5))^0/1)+1*(((0.15*B3219*5))^1/1)+2*(((0.15*B3219*5))^2/2)+3*(((0.15*B3219*5))^3/6)+4*(((0.15*B3219*5))^4/24)+5*(((0.15*B3219*5))^5/120))/((((0.15*B3219*5))^0/1)+(((0.15*B3219*5))^1/1)+(((0.15*B3219*5))^2/2)+(((0.15*B3219*5))^3/6)+(((0.15*B3219*5))^4/24)+(((0.15*B3219*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3185*(1-MIN(100,(Inputs!$B$9+((C3207=TRUE)*(F3207-Calc!F26))+B3215+(ArtifactsInput!$M$24-ArtifactsInput!$M$24)*CHOOSE(ArtifactsInput!$N$24+1,10,12,14,16,18,20)+(IF(AND(Inputs!$B$39&lt;&gt;"pvp",Inputs!$B$44=0),1,IF(IF(Inputs!$B$39="pvp",15,Inputs!$B$44)-(B3226)&lt;=0,1,MAX(0,IF(Inputs!$B$39="pvp",15,Inputs!$B$44)-MAX(5,B3226))/(IF(Inputs!$B$39="pvp",15,Inputs!$B$44)-(B3226))))*IF(AND(ArtifactsInput!$M$42,((Inputs!$B$9+((C3207=TRUE)*(F3207-Calc!F26))+B3215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3185*(MIN(100,(Inputs!$B$9+((C3207=TRUE)*(F3207-Calc!F26))+B3215+(ArtifactsInput!$M$24-ArtifactsInput!$M$24)*CHOOSE(ArtifactsInput!$N$24+1,10,12,14,16,18,20)+(IF(AND(Inputs!$B$39&lt;&gt;"pvp",Inputs!$B$44=0),1,IF(IF(Inputs!$B$39="pvp",15,Inputs!$B$44)-(B3226)&lt;=0,1,MAX(0,IF(Inputs!$B$39="pvp",15,Inputs!$B$44)-MAX(5,B3226))/(IF(Inputs!$B$39="pvp",15,Inputs!$B$44)-(B3226))))*IF(AND(ArtifactsInput!$M$42,((Inputs!$B$9+((C3207=TRUE)*(F3207-Calc!F26))+B3215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3185*(1-MIN(100,(Inputs!$B$9+((C3207=TRUE)*(F3207-Calc!F26))+B3215+(ArtifactsInput!$M$24-ArtifactsInput!$M$24)*CHOOSE(ArtifactsInput!$N$24+1,10,12,14,16,18,20)+(IF(AND(Inputs!$B$39&lt;&gt;"pvp",Inputs!$B$44=0),1,IF(IF(Inputs!$B$39="pvp",15,Inputs!$B$44)-(B3226)&lt;=0,1,MAX(0,IF(Inputs!$B$39="pvp",15,Inputs!$B$44)-MAX(5,B3226))/(IF(Inputs!$B$39="pvp",15,Inputs!$B$44)-(B3226))))*IF(AND(ArtifactsInput!$M$42,((Inputs!$B$9+((C3207=TRUE)*(F3207-Calc!F26))+B3215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3185*(MIN(100,(Inputs!$B$9+((C3207=TRUE)*(F3207-Calc!F26))+B3215+(ArtifactsInput!$M$24-ArtifactsInput!$M$24)*CHOOSE(ArtifactsInput!$N$24+1,10,12,14,16,18,20)+(IF(AND(Inputs!$B$39&lt;&gt;"pvp",Inputs!$B$44=0),1,IF(IF(Inputs!$B$39="pvp",15,Inputs!$B$44)-(B3226)&lt;=0,1,MAX(0,IF(Inputs!$B$39="pvp",15,Inputs!$B$44)-MAX(5,B3226))/(IF(Inputs!$B$39="pvp",15,Inputs!$B$44)-(B3226))))*IF(AND(ArtifactsInput!$M$42,((Inputs!$B$9+((C3207=TRUE)*(F3207-Calc!F26))+B3215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3185">
        <f>290*U3184/1000</f>
        <v/>
      </c>
      <c r="V3185">
        <f>IF(C3185,(H3185*N3185*IF(AND(Inputs!$B$39&lt;&gt;"pvp",Inputs!$B$44&gt;0),((Skills!G4*((R3185-1)*IF(Skills!H4&gt;0,Skills!I4/Skills!H4,1)+IF(Skills!H4&gt;0,MIN(Skills!I4,MAX(0,MAX(0,Inputs!$B$44-B3226)-((R3185-1)*IF(Inputs!$B$39="pvp",15,MAX(0.1,Skills!D4-IF(TRUE=TRUE,Inputs!$B$32,0))))))/Skills!H4,1)))/Inputs!$B$44),G3185*Q3185))*IF(Inputs!$B$39="pvp",1,(1+(Inputs!$B$21+Skills!Q4+B3216+(IF(ArtifactsInput!$M$33,CHOOSE(ArtifactsInput!$N$33+1,30,36,42,48,54,60),0))+(IF(AND(ArtifactsInput!$M$35,Inputs!$B$4&lt;&gt;"Chapter Hunt"),CHOOSE(ArtifactsInput!$N$35+1,15,18,21,24,27,30)*(1-EXP(-(0.2*B3219)*5)),0)+IF(AND(ArtifactsInput!$M$22,Inputs!$B$4&lt;&gt;"Chapter Hunt"),CHOOSE(ArtifactsInput!$N$22+1,10,12,14,16,18,20)*((0*(((0.15*B3219*5))^0/1)+1*(((0.15*B3219*5))^1/1)+2*(((0.15*B3219*5))^2/2)+3*(((0.15*B3219*5))^3/6)+4*(((0.15*B3219*5))^4/24)+5*(((0.15*B3219*5))^5/120))/((((0.15*B3219*5))^0/1)+(((0.15*B3219*5))^1/1)+(((0.15*B3219*5))^2/2)+(((0.15*B3219*5))^3/6)+(((0.15*B3219*5))^4/24)+(((0.15*B3219*5))^5/120))),0)))/100)*(MIN(MIN(10,IF(Inputs!$B$3&gt;=75,0.75,0.5)*B3219*(1/Q3185)),Inputs!$B$37)))*((1+(IF(AND(IF(ArtifactsInput!$M$41,FALSE,TRUE),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3186">
      <c r="A3186">
        <f>Skills!A5</f>
        <v/>
      </c>
      <c r="B3186">
        <f>Skills!B5</f>
        <v/>
      </c>
      <c r="C3186">
        <f>Inputs!$B$3&gt;=75</f>
        <v/>
      </c>
      <c r="D3186">
        <f>IF(Skills!C5=1,60+Inputs!$B$25+Inputs!$B$29,IF(Skills!C5=2,90+Inputs!$B$26+Inputs!$B$29,IF(Skills!C5=3,120+Inputs!$B$27+Inputs!$B$29,MAX(0,(Inputs!$B$3-100)*3)+Inputs!$B$28+Inputs!$B$29)))</f>
        <v/>
      </c>
      <c r="E3186">
        <f>INDEX(FactorTable!$B$2:$Y$301, MATCH(ROUND(MIN(300,MAX(1,D3186)),0), FactorTable!$A$2:$A$301,0), Skills!M5+1)</f>
        <v/>
      </c>
      <c r="F3186">
        <f>IF(Skills!N5=TRUE,(Skills!L5/10)*(E3186/1000),Skills!L5/10)+Skills!O5</f>
        <v/>
      </c>
      <c r="G3186">
        <f>Skills!G5*IF(Skills!H5&gt;0,IF(Inputs!$B$39="pvp",MIN(Skills!I5,15),Skills!I5)/Skills!H5,1)</f>
        <v/>
      </c>
      <c r="H3186">
        <f>1-(1-Skills!J5/100)^Skills!K5</f>
        <v/>
      </c>
      <c r="I3186" t="inlineStr">
        <is>
          <t>1</t>
        </is>
      </c>
      <c r="J3186" t="inlineStr"/>
      <c r="K3186" t="inlineStr"/>
      <c r="L3186" t="inlineStr"/>
      <c r="M3186" t="inlineStr"/>
      <c r="N3186" t="inlineStr"/>
      <c r="O3186">
        <f>(1-Summary!$B$11)*T3186+Summary!$B$11*V3186</f>
        <v/>
      </c>
      <c r="P3186">
        <f>IF(B3227=0,0,O3186/B3227)</f>
        <v/>
      </c>
      <c r="Q3186" t="n">
        <v>0</v>
      </c>
      <c r="R3186" t="n">
        <v>0</v>
      </c>
      <c r="S3186">
        <f>IFERROR(O3186/N3186,0)</f>
        <v/>
      </c>
      <c r="T3186" t="n">
        <v>0</v>
      </c>
      <c r="V3186" t="n">
        <v>0</v>
      </c>
    </row>
    <row r="3187">
      <c r="A3187">
        <f>Skills!A6</f>
        <v/>
      </c>
      <c r="B3187">
        <f>Skills!B6</f>
        <v/>
      </c>
      <c r="C3187">
        <f>Inputs!$B$3&gt;=63</f>
        <v/>
      </c>
      <c r="D3187">
        <f>IF(Skills!C6=1,60+Inputs!$B$25+Inputs!$B$29,IF(Skills!C6=2,90+Inputs!$B$26+Inputs!$B$29,IF(Skills!C6=3,120+Inputs!$B$27+Inputs!$B$29,MAX(0,(Inputs!$B$3-100)*3)+Inputs!$B$28+Inputs!$B$29)))</f>
        <v/>
      </c>
      <c r="E3187">
        <f>INDEX(FactorTable!$B$2:$Y$301, MATCH(ROUND(MIN(300,MAX(1,D3187)),0), FactorTable!$A$2:$A$301,0), Skills!M6+1)</f>
        <v/>
      </c>
      <c r="F3187">
        <f>IF(Skills!N6=TRUE,(Skills!L6/10)*(E3187/1000),Skills!L6/10)+Skills!O6</f>
        <v/>
      </c>
      <c r="G3187">
        <f>Skills!G6*IF(Skills!H6&gt;0,IF(Inputs!$B$39="pvp",MIN(Skills!I6,15),Skills!I6)/Skills!H6,1)</f>
        <v/>
      </c>
      <c r="H3187">
        <f>1-(1-Skills!J6/100)^Skills!K6</f>
        <v/>
      </c>
      <c r="I3187" t="inlineStr">
        <is>
          <t>1</t>
        </is>
      </c>
      <c r="J3187">
        <f>((Inputs!$B$6*(1+Inputs!$B$7/100))+(((Inputs!$B$12*(1+Inputs!$B$13/100))-(Inputs!$B$12*(1+Inputs!$B$13/100)))+0.25*(Inputs!$B$14-Inputs!$B$14))*(1+Inputs!$B$7/100))*(F3187/100)</f>
        <v/>
      </c>
      <c r="K3187">
        <f>J3187*(1+((Inputs!$B$12*(1+Inputs!$B$13/100))*0.01+Inputs!$B$14*0.0025)/100)*(1+Inputs!$B$15/100)*(1+Inputs!$B$16/100)*(5000/(6000+Inputs!$B$43*(1-(100*(1-(1-Inputs!$B$19/100)*(1-CHOOSE(ArtifactsInput!$N$40+1,5,6,7,8,9,10)/100)^(ArtifactsInput!$M$40-ArtifactsInput!$M$40)))/100)))*(1+(Inputs!$B$24+((C3212=TRUE)*(F3212-Calc!F31))+((C3199=TRUE)*(F3199-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+2.6666666666666665*IF(C3200=TRUE,F3200,0)/100)*(1+(IF(Skills!A6="CRUEL_STAB",Inputs!$B$17+((C3209=TRUE)*(F3209-Calc!F28))+((IF(AND(Inputs!$B$39&lt;&gt;"pvp",Inputs!$B$44=0),1,IF(IF(Inputs!$B$39="pvp",15,Inputs!$B$44)-(B3226)&lt;=0,1,MAX(0,IF(Inputs!$B$39="pvp",15,Inputs!$B$44)-MAX(5,B3226))/(IF(Inputs!$B$39="pvp",15,Inputs!$B$44)-(B3226))))*(IF(AND(ArtifactsInput!$M$42,((Inputs!$B$9+((C3207=TRUE)*(F3207-Calc!F26))+B3215+(ArtifactsInput!$M$24-ArtifactsInput!$M$24)*CHOOSE(ArtifactsInput!$N$24+1,10,12,14,16,18,20)+IF(ArtifactsInput!$M$10,CHOOSE(ArtifactsInput!$N$10+1,15,18,21,24,27,30)*(IF(Inputs!$B$39="pvp",MIN(15,15)/15,IF(AND(Inputs!$B$39&lt;&gt;"pvp",Inputs!$B$44&gt;0),MIN(15,Inputs!$B$44)/(Inputs!$B$44),0))),0)))&gt;=100),MIN(100,((Inputs!$B$9+((C3207=TRUE)*(F3207-Calc!F26))+B3215+(ArtifactsInput!$M$24-ArtifactsInput!$M$24)*CHOOSE(ArtifactsInput!$N$24+1,10,12,14,16,18,20)+IF(ArtifactsInput!$M$10,CHOOSE(ArtifactsInput!$N$10+1,15,18,21,24,27,30)*(IF(Inputs!$B$39="pvp",MIN(15,15)/15,IF(AND(Inputs!$B$39&lt;&gt;"pvp",Inputs!$B$44&gt;0),MIN(15,Inputs!$B$44)/(Inputs!$B$44),0))),0)))-100),0))*CHOOSE(ArtifactsInput!$N$42+1,0.6,0.72,0.84,0.96,1.08,1.2))),Inputs!$B$18+((C3210=TRUE)*(F3210-Calc!F29))+(IF(AND(Inputs!$B$39&lt;&gt;"pvp",Inputs!$B$44=0),1,IF(IF(Inputs!$B$39="pvp",15,Inputs!$B$44)-(B3226)&lt;=0,1,MAX(0,IF(Inputs!$B$39="pvp",15,Inputs!$B$44)-MAX(5,B3226))/(IF(Inputs!$B$39="pvp",15,Inputs!$B$44)-(B3226))))*IF(AND(ArtifactsInput!$M$42,((Inputs!$B$9+((C3207=TRUE)*(F3207-Calc!F26))+B3215+(ArtifactsInput!$M$24-ArtifactsInput!$M$24)*CHOOSE(ArtifactsInput!$N$24+1,10,12,14,16,18,20)+IF(ArtifactsInput!$M$10,CHOOSE(ArtifactsInput!$N$10+1,15,18,21,24,27,30)*(IF(Inputs!$B$39="pvp",MIN(15,15)/15,IF(AND(Inputs!$B$39&lt;&gt;"pvp",Inputs!$B$44&gt;0),MIN(15,Inputs!$B$44)/(Inputs!$B$44),0))),0)))&gt;=100),CHOOSE(ArtifactsInput!$N$42+1,40,48,56,64,72,80),0))))/100)*(((1+(((C3203=TRUE)*F3203*IF(AND(Inputs!$B$39&lt;&gt;"pvp",Inputs!$B$44&gt;0),(((R3203-1)*MIN((Skills!Y22*(1+Inputs!$B$34/100)),(1/Q3203))+MIN((Skills!Y22*(1+Inputs!$B$34/100)),MAX(0,Inputs!$B$44-((R3203-1)*(1/Q3203)))))/Inputs!$B$44),IF(Inputs!$B$39="pvp",MIN((Skills!Y22*(1+Inputs!$B$34/100)),15)/15,MIN(1,(Skills!Y22*(1+Inputs!$B$34/100))/(1/Q3203)))))+((C3184=TRUE)*F3184*3)+((C3186=TRUE)*F3186*(1-EXP(-0.75*B3219*5)))+((C3205=TRUE)*(F3205-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IF(ArtifactsInput!$M$41,FALSE,TRUE),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3192=TRUE)*F3192*IF(AND(Inputs!$B$39&lt;&gt;"pvp",Inputs!$B$44&gt;0),(((R3192-1)*MIN((Skills!Y11*(1+Inputs!$B$34/100)),(1/Q3192))+MIN((Skills!Y11*(1+Inputs!$B$34/100)),MAX(0,Inputs!$B$44-((R3192-1)*(1/Q3192)))))/Inputs!$B$44),IF(Inputs!$B$39="pvp",MIN((Skills!Y11*(1+Inputs!$B$34/100)),15)/15,MIN(1,(Skills!Y11*(1+Inputs!$B$34/100))/(1/Q3192)))))/100)*(1+((C3197=TRUE)*F3197*IF(AND(Inputs!$B$39&lt;&gt;"pvp",Inputs!$B$44&gt;0),(((R3197-1)*MIN((Skills!Y16*(1+Inputs!$B$34/100)),(1/Q3197))+MIN((Skills!Y16*(1+Inputs!$B$34/100)),MAX(0,Inputs!$B$44-((R3197-1)*(1/Q3197)))))/Inputs!$B$44),IF(Inputs!$B$39="pvp",MIN((Skills!Y16*(1+Inputs!$B$34/100)),15)/15,MIN(1,(Skills!Y16*(1+Inputs!$B$34/100))/(1/Q3197)))))/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3217*I3187)</f>
        <v/>
      </c>
      <c r="L3187">
        <f>K3187*(MIN(Inputs!$B$22+((C3206=TRUE)*(F3206-Calc!F25)),(Inputs!$B$23+((C3211=TRUE)*(F3211-Calc!F30))+IF(ArtifactsInput!$M$15,CHOOSE(ArtifactsInput!$N$15+1,25,30,35,40,45,50)/100*(Inputs!$B$11-Inputs!$B$11),0)))/100+(Inputs!$B$23+((C3211=TRUE)*(F3211-Calc!F30))+IF(ArtifactsInput!$M$15,CHOOSE(ArtifactsInput!$N$15+1,25,30,35,40,45,50)/100*(Inputs!$B$11-Inputs!$B$11),0))/100)/2</f>
        <v/>
      </c>
      <c r="M3187">
        <f>L3187*(1+(Inputs!$B$10+((C3208=TRUE)*(F3208-Calc!F27))+B3222+(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3187">
        <f>L3187*(1-MIN((Inputs!$B$9+((C3207=TRUE)*(F3207-Calc!F26))+B3215+(ArtifactsInput!$M$24-ArtifactsInput!$M$24)*CHOOSE(ArtifactsInput!$N$24+1,10,12,14,16,18,20)+(IF(AND(Inputs!$B$39&lt;&gt;"pvp",Inputs!$B$44=0),1,IF(IF(Inputs!$B$39="pvp",15,Inputs!$B$44)-(B3226)&lt;=0,1,MAX(0,IF(Inputs!$B$39="pvp",15,Inputs!$B$44)-MAX(5,B3226))/(IF(Inputs!$B$39="pvp",15,Inputs!$B$44)-(B3226))))*IF(AND(ArtifactsInput!$M$42,((Inputs!$B$9+((C3207=TRUE)*(F3207-Calc!F26))+B3215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3187*(MIN((Inputs!$B$9+((C3207=TRUE)*(F3207-Calc!F26))+B3215+(ArtifactsInput!$M$24-ArtifactsInput!$M$24)*CHOOSE(ArtifactsInput!$N$24+1,10,12,14,16,18,20)+(IF(AND(Inputs!$B$39&lt;&gt;"pvp",Inputs!$B$44=0),1,IF(IF(Inputs!$B$39="pvp",15,Inputs!$B$44)-(B3226)&lt;=0,1,MAX(0,IF(Inputs!$B$39="pvp",15,Inputs!$B$44)-MAX(5,B3226))/(IF(Inputs!$B$39="pvp",15,Inputs!$B$44)-(B3226))))*IF(AND(ArtifactsInput!$M$42,((Inputs!$B$9+((C3207=TRUE)*(F3207-Calc!F26))+B3215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3187">
        <f>(1-Summary!$B$11)*T3187+Summary!$B$11*V3187</f>
        <v/>
      </c>
      <c r="P3187">
        <f>IF(B3227=0,0,O3187/B3227)</f>
        <v/>
      </c>
      <c r="Q3187">
        <f>IFERROR(1/IF(Inputs!$B$39="pvp",15,MAX(0.1,Skills!D6-IF(TRUE=TRUE,Inputs!$B$32,0))),0)</f>
        <v/>
      </c>
      <c r="R3187">
        <f>IF(AND(Inputs!$B$39&lt;&gt;"pvp",Inputs!$B$44&gt;0),IF(MAX(0,Inputs!$B$44-B3226)&lt;=0,0,(INT(MAX(0,Inputs!$B$44-B3226)/IF(Inputs!$B$39="pvp",15,MAX(0.1,Skills!D6-IF(TRUE=TRUE,Inputs!$B$32,0))))+1)),0)</f>
        <v/>
      </c>
      <c r="S3187">
        <f>IFERROR(O3187/N3187,0)</f>
        <v/>
      </c>
      <c r="T3187">
        <f>IF(C3187,(H3187*N3187*IF(AND(Inputs!$B$39&lt;&gt;"pvp",Inputs!$B$44&gt;0),((Skills!G6*((R3187-1)*IF(Skills!H6&gt;0,Skills!I6/Skills!H6,1)+IF(Skills!H6&gt;0,MIN(Skills!I6,MAX(0,MAX(0,Inputs!$B$44-B3226)-((R3187-1)*IF(Inputs!$B$39="pvp",15,MAX(0.1,Skills!D6-IF(TRUE=TRUE,Inputs!$B$32,0))))))/Skills!H6,1)))/Inputs!$B$44),G3187*Q3187))*IF(Inputs!$B$39="pvp",1,1+(Inputs!$B$20+0+Skills!P6+B3216+(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Hunt"),CHOOSE(ArtifactsInput!$N$35+1,15,18,21,24,27,30)*(1-EXP(-(0.2*B3219)*5)),0)+IF(AND(ArtifactsInput!$M$22,Inputs!$B$4&lt;&gt;"Chapter Hunt"),CHOOSE(ArtifactsInput!$N$22+1,10,12,14,16,18,20)*((0*(((0.15*B3219*5))^0/1)+1*(((0.15*B3219*5))^1/1)+2*(((0.15*B3219*5))^2/2)+3*(((0.15*B3219*5))^3/6)+4*(((0.15*B3219*5))^4/24)+5*(((0.15*B3219*5))^5/120))/((((0.15*B3219*5))^0/1)+(((0.15*B3219*5))^1/1)+(((0.15*B3219*5))^2/2)+(((0.15*B3219*5))^3/6)+(((0.15*B3219*5))^4/24)+(((0.15*B3219*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3187*(1-MIN(100,(Inputs!$B$9+((C3207=TRUE)*(F3207-Calc!F26))+B3215+(ArtifactsInput!$M$24-ArtifactsInput!$M$24)*CHOOSE(ArtifactsInput!$N$24+1,10,12,14,16,18,20)+(IF(AND(Inputs!$B$39&lt;&gt;"pvp",Inputs!$B$44=0),1,IF(IF(Inputs!$B$39="pvp",15,Inputs!$B$44)-(B3226)&lt;=0,1,MAX(0,IF(Inputs!$B$39="pvp",15,Inputs!$B$44)-MAX(5,B3226))/(IF(Inputs!$B$39="pvp",15,Inputs!$B$44)-(B3226))))*IF(AND(ArtifactsInput!$M$42,((Inputs!$B$9+((C3207=TRUE)*(F3207-Calc!F26))+B3215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3187*(MIN(100,(Inputs!$B$9+((C3207=TRUE)*(F3207-Calc!F26))+B3215+(ArtifactsInput!$M$24-ArtifactsInput!$M$24)*CHOOSE(ArtifactsInput!$N$24+1,10,12,14,16,18,20)+(IF(AND(Inputs!$B$39&lt;&gt;"pvp",Inputs!$B$44=0),1,IF(IF(Inputs!$B$39="pvp",15,Inputs!$B$44)-(B3226)&lt;=0,1,MAX(0,IF(Inputs!$B$39="pvp",15,Inputs!$B$44)-MAX(5,B3226))/(IF(Inputs!$B$39="pvp",15,Inputs!$B$44)-(B3226))))*IF(AND(ArtifactsInput!$M$42,((Inputs!$B$9+((C3207=TRUE)*(F3207-Calc!F26))+B3215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3187*(1-MIN(100,(Inputs!$B$9+((C3207=TRUE)*(F3207-Calc!F26))+B3215+(ArtifactsInput!$M$24-ArtifactsInput!$M$24)*CHOOSE(ArtifactsInput!$N$24+1,10,12,14,16,18,20)+(IF(AND(Inputs!$B$39&lt;&gt;"pvp",Inputs!$B$44=0),1,IF(IF(Inputs!$B$39="pvp",15,Inputs!$B$44)-(B3226)&lt;=0,1,MAX(0,IF(Inputs!$B$39="pvp",15,Inputs!$B$44)-MAX(5,B3226))/(IF(Inputs!$B$39="pvp",15,Inputs!$B$44)-(B3226))))*IF(AND(ArtifactsInput!$M$42,((Inputs!$B$9+((C3207=TRUE)*(F3207-Calc!F26))+B3215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3187*(MIN(100,(Inputs!$B$9+((C3207=TRUE)*(F3207-Calc!F26))+B3215+(ArtifactsInput!$M$24-ArtifactsInput!$M$24)*CHOOSE(ArtifactsInput!$N$24+1,10,12,14,16,18,20)+(IF(AND(Inputs!$B$39&lt;&gt;"pvp",Inputs!$B$44=0),1,IF(IF(Inputs!$B$39="pvp",15,Inputs!$B$44)-(B3226)&lt;=0,1,MAX(0,IF(Inputs!$B$39="pvp",15,Inputs!$B$44)-MAX(5,B3226))/(IF(Inputs!$B$39="pvp",15,Inputs!$B$44)-(B3226))))*IF(AND(ArtifactsInput!$M$42,((Inputs!$B$9+((C3207=TRUE)*(F3207-Calc!F26))+B3215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3187">
        <f>IF(C3187,(H3187*N3187*IF(AND(Inputs!$B$39&lt;&gt;"pvp",Inputs!$B$44&gt;0),((Skills!G6*((R3187-1)*IF(Skills!H6&gt;0,Skills!I6/Skills!H6,1)+IF(Skills!H6&gt;0,MIN(Skills!I6,MAX(0,MAX(0,Inputs!$B$44-B3226)-((R3187-1)*IF(Inputs!$B$39="pvp",15,MAX(0.1,Skills!D6-IF(TRUE=TRUE,Inputs!$B$32,0))))))/Skills!H6,1)))/Inputs!$B$44),G3187*Q3187))*IF(Inputs!$B$39="pvp",1,(1+(Inputs!$B$21+Skills!Q6+B3216+(IF(ArtifactsInput!$M$33,CHOOSE(ArtifactsInput!$N$33+1,30,36,42,48,54,60),0))+(IF(AND(ArtifactsInput!$M$35,Inputs!$B$4&lt;&gt;"Chapter Hunt"),CHOOSE(ArtifactsInput!$N$35+1,15,18,21,24,27,30)*(1-EXP(-(0.2*B3219)*5)),0)+IF(AND(ArtifactsInput!$M$22,Inputs!$B$4&lt;&gt;"Chapter Hunt"),CHOOSE(ArtifactsInput!$N$22+1,10,12,14,16,18,20)*((0*(((0.15*B3219*5))^0/1)+1*(((0.15*B3219*5))^1/1)+2*(((0.15*B3219*5))^2/2)+3*(((0.15*B3219*5))^3/6)+4*(((0.15*B3219*5))^4/24)+5*(((0.15*B3219*5))^5/120))/((((0.15*B3219*5))^0/1)+(((0.15*B3219*5))^1/1)+(((0.15*B3219*5))^2/2)+(((0.15*B3219*5))^3/6)+(((0.15*B3219*5))^4/24)+(((0.15*B3219*5))^5/120))),0)))/100)*(MIN(Skills!W6,Inputs!$B$37)))*((1+(IF(AND(IF(ArtifactsInput!$M$41,FALSE,TRUE),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3188">
      <c r="A3188">
        <f>Skills!A7</f>
        <v/>
      </c>
      <c r="B3188">
        <f>Skills!B7</f>
        <v/>
      </c>
      <c r="C3188">
        <f>Inputs!$B$3&gt;=69</f>
        <v/>
      </c>
      <c r="D3188">
        <f>IF(Skills!C7=1,60+Inputs!$B$25+Inputs!$B$29,IF(Skills!C7=2,90+Inputs!$B$26+Inputs!$B$29,IF(Skills!C7=3,120+Inputs!$B$27+Inputs!$B$29,MAX(0,(Inputs!$B$3-100)*3)+Inputs!$B$28+Inputs!$B$29)))</f>
        <v/>
      </c>
      <c r="E3188">
        <f>INDEX(FactorTable!$B$2:$Y$301, MATCH(ROUND(MIN(300,MAX(1,D3188)),0), FactorTable!$A$2:$A$301,0), Skills!M7+1)</f>
        <v/>
      </c>
      <c r="F3188">
        <f>IF(Skills!N7=TRUE,(Skills!L7/10)*(E3188/1000),Skills!L7/10)+Skills!O7</f>
        <v/>
      </c>
      <c r="G3188">
        <f>Skills!G7*IF(Skills!H7&gt;0,IF(Inputs!$B$39="pvp",MIN(Skills!I7,15),Skills!I7)/Skills!H7,1)</f>
        <v/>
      </c>
      <c r="H3188">
        <f>1-(1-Skills!J7/100)^Skills!K7</f>
        <v/>
      </c>
      <c r="I3188" t="inlineStr">
        <is>
          <t>1</t>
        </is>
      </c>
      <c r="J3188">
        <f>((Inputs!$B$6*(1+Inputs!$B$7/100))+(((Inputs!$B$12*(1+Inputs!$B$13/100))-(Inputs!$B$12*(1+Inputs!$B$13/100)))+0.25*(Inputs!$B$14-Inputs!$B$14))*(1+Inputs!$B$7/100))*(F3188/100)</f>
        <v/>
      </c>
      <c r="K3188">
        <f>J3188*(1+((Inputs!$B$12*(1+Inputs!$B$13/100))*0.01+Inputs!$B$14*0.0025)/100)*(1+Inputs!$B$15/100)*(1+Inputs!$B$16/100)*(5000/(6000+Inputs!$B$43*(1-(100*(1-(1-Inputs!$B$19/100)*(1-CHOOSE(ArtifactsInput!$N$40+1,5,6,7,8,9,10)/100)^(ArtifactsInput!$M$40-ArtifactsInput!$M$40)))/100)))*(1+(Inputs!$B$24+((C3212=TRUE)*(F3212-Calc!F31))+((C3199=TRUE)*(F3199-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3200=TRUE,F3200,0)/100)*(1+(IF(Skills!A7="CRUEL_STAB",Inputs!$B$17+((C3209=TRUE)*(F3209-Calc!F28))+((IF(AND(Inputs!$B$39&lt;&gt;"pvp",Inputs!$B$44=0),1,IF(IF(Inputs!$B$39="pvp",15,Inputs!$B$44)-(B3226)&lt;=0,1,MAX(0,IF(Inputs!$B$39="pvp",15,Inputs!$B$44)-MAX(5,B3226))/(IF(Inputs!$B$39="pvp",15,Inputs!$B$44)-(B3226))))*(IF(AND(ArtifactsInput!$M$42,((Inputs!$B$9+((C3207=TRUE)*(F3207-Calc!F26))+B3215+(ArtifactsInput!$M$24-ArtifactsInput!$M$24)*CHOOSE(ArtifactsInput!$N$24+1,10,12,14,16,18,20)+IF(ArtifactsInput!$M$10,CHOOSE(ArtifactsInput!$N$10+1,15,18,21,24,27,30)*(IF(Inputs!$B$39="pvp",MIN(15,15)/15,IF(AND(Inputs!$B$39&lt;&gt;"pvp",Inputs!$B$44&gt;0),MIN(15,Inputs!$B$44)/(Inputs!$B$44),0))),0)))&gt;=100),MIN(100,((Inputs!$B$9+((C3207=TRUE)*(F3207-Calc!F26))+B3215+(ArtifactsInput!$M$24-ArtifactsInput!$M$24)*CHOOSE(ArtifactsInput!$N$24+1,10,12,14,16,18,20)+IF(ArtifactsInput!$M$10,CHOOSE(ArtifactsInput!$N$10+1,15,18,21,24,27,30)*(IF(Inputs!$B$39="pvp",MIN(15,15)/15,IF(AND(Inputs!$B$39&lt;&gt;"pvp",Inputs!$B$44&gt;0),MIN(15,Inputs!$B$44)/(Inputs!$B$44),0))),0)))-100),0))*CHOOSE(ArtifactsInput!$N$42+1,0.6,0.72,0.84,0.96,1.08,1.2))),Inputs!$B$18+((C3210=TRUE)*(F3210-Calc!F29))+(IF(AND(Inputs!$B$39&lt;&gt;"pvp",Inputs!$B$44=0),1,IF(IF(Inputs!$B$39="pvp",15,Inputs!$B$44)-(B3226)&lt;=0,1,MAX(0,IF(Inputs!$B$39="pvp",15,Inputs!$B$44)-MAX(5,B3226))/(IF(Inputs!$B$39="pvp",15,Inputs!$B$44)-(B3226))))*IF(AND(ArtifactsInput!$M$42,((Inputs!$B$9+((C3207=TRUE)*(F3207-Calc!F26))+B3215+(ArtifactsInput!$M$24-ArtifactsInput!$M$24)*CHOOSE(ArtifactsInput!$N$24+1,10,12,14,16,18,20)+IF(ArtifactsInput!$M$10,CHOOSE(ArtifactsInput!$N$10+1,15,18,21,24,27,30)*(IF(Inputs!$B$39="pvp",MIN(15,15)/15,IF(AND(Inputs!$B$39&lt;&gt;"pvp",Inputs!$B$44&gt;0),MIN(15,Inputs!$B$44)/(Inputs!$B$44),0))),0)))&gt;=100),CHOOSE(ArtifactsInput!$N$42+1,40,48,56,64,72,80),0))))/100)*(((1+(((C3203=TRUE)*F3203*IF(AND(Inputs!$B$39&lt;&gt;"pvp",Inputs!$B$44&gt;0),(((R3203-1)*MIN((Skills!Y22*(1+Inputs!$B$34/100)),(1/Q3203))+MIN((Skills!Y22*(1+Inputs!$B$34/100)),MAX(0,Inputs!$B$44-((R3203-1)*(1/Q3203)))))/Inputs!$B$44),IF(Inputs!$B$39="pvp",MIN((Skills!Y22*(1+Inputs!$B$34/100)),15)/15,MIN(1,(Skills!Y22*(1+Inputs!$B$34/100))/(1/Q3203)))))+((C3184=TRUE)*F3184*3)+((C3186=TRUE)*F3186*(1-EXP(-0.75*B3219*5)))+((C3205=TRUE)*(F3205-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IF(ArtifactsInput!$M$41,FALSE,TRUE),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3192=TRUE)*F3192*IF(AND(Inputs!$B$39&lt;&gt;"pvp",Inputs!$B$44&gt;0),(((R3192-1)*MIN((Skills!Y11*(1+Inputs!$B$34/100)),(1/Q3192))+MIN((Skills!Y11*(1+Inputs!$B$34/100)),MAX(0,Inputs!$B$44-((R3192-1)*(1/Q3192)))))/Inputs!$B$44),IF(Inputs!$B$39="pvp",MIN((Skills!Y11*(1+Inputs!$B$34/100)),15)/15,MIN(1,(Skills!Y11*(1+Inputs!$B$34/100))/(1/Q3192)))))/100)*(1+((C3197=TRUE)*F3197*IF(AND(Inputs!$B$39&lt;&gt;"pvp",Inputs!$B$44&gt;0),(((R3197-1)*MIN((Skills!Y16*(1+Inputs!$B$34/100)),(1/Q3197))+MIN((Skills!Y16*(1+Inputs!$B$34/100)),MAX(0,Inputs!$B$44-((R3197-1)*(1/Q3197)))))/Inputs!$B$44),IF(Inputs!$B$39="pvp",MIN((Skills!Y16*(1+Inputs!$B$34/100)),15)/15,MIN(1,(Skills!Y16*(1+Inputs!$B$34/100))/(1/Q3197)))))/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3217*I3188)</f>
        <v/>
      </c>
      <c r="L3188">
        <f>K3188*(MIN(Inputs!$B$22+((C3206=TRUE)*(F3206-Calc!F25)),(Inputs!$B$23+((C3211=TRUE)*(F3211-Calc!F30))+IF(ArtifactsInput!$M$15,CHOOSE(ArtifactsInput!$N$15+1,25,30,35,40,45,50)/100*(Inputs!$B$11-Inputs!$B$11),0)))/100+(Inputs!$B$23+((C3211=TRUE)*(F3211-Calc!F30))+IF(ArtifactsInput!$M$15,CHOOSE(ArtifactsInput!$N$15+1,25,30,35,40,45,50)/100*(Inputs!$B$11-Inputs!$B$11),0))/100)/2</f>
        <v/>
      </c>
      <c r="M3188">
        <f>L3188*(1+(Inputs!$B$10+((C3208=TRUE)*(F3208-Calc!F27))+B3222+(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3188">
        <f>L3188*(1-MIN((Inputs!$B$9+((C3207=TRUE)*(F3207-Calc!F26))+B3215+(ArtifactsInput!$M$24-ArtifactsInput!$M$24)*CHOOSE(ArtifactsInput!$N$24+1,10,12,14,16,18,20)+(IF(AND(Inputs!$B$39&lt;&gt;"pvp",Inputs!$B$44=0),1,IF(IF(Inputs!$B$39="pvp",15,Inputs!$B$44)-(B3226)&lt;=0,1,MAX(0,IF(Inputs!$B$39="pvp",15,Inputs!$B$44)-MAX(5,B3226))/(IF(Inputs!$B$39="pvp",15,Inputs!$B$44)-(B3226))))*IF(AND(ArtifactsInput!$M$42,((Inputs!$B$9+((C3207=TRUE)*(F3207-Calc!F26))+B3215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3188*(MIN((Inputs!$B$9+((C3207=TRUE)*(F3207-Calc!F26))+B3215+(ArtifactsInput!$M$24-ArtifactsInput!$M$24)*CHOOSE(ArtifactsInput!$N$24+1,10,12,14,16,18,20)+(IF(AND(Inputs!$B$39&lt;&gt;"pvp",Inputs!$B$44=0),1,IF(IF(Inputs!$B$39="pvp",15,Inputs!$B$44)-(B3226)&lt;=0,1,MAX(0,IF(Inputs!$B$39="pvp",15,Inputs!$B$44)-MAX(5,B3226))/(IF(Inputs!$B$39="pvp",15,Inputs!$B$44)-(B3226))))*IF(AND(ArtifactsInput!$M$42,((Inputs!$B$9+((C3207=TRUE)*(F3207-Calc!F26))+B3215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3188">
        <f>(1-Summary!$B$11)*T3188+Summary!$B$11*V3188</f>
        <v/>
      </c>
      <c r="P3188">
        <f>IF(B3227=0,0,O3188/B3227)</f>
        <v/>
      </c>
      <c r="Q3188">
        <f>IFERROR(1/IF(Inputs!$B$39="pvp",15,MAX(0.1,Skills!D7-IF(TRUE=TRUE,Inputs!$B$32,0))),0)</f>
        <v/>
      </c>
      <c r="R3188">
        <f>IF(AND(Inputs!$B$39&lt;&gt;"pvp",Inputs!$B$44&gt;0),IF(MAX(0,Inputs!$B$44-B3226)&lt;=0,0,(INT(MAX(0,Inputs!$B$44-B3226)/IF(Inputs!$B$39="pvp",15,MAX(0.1,Skills!D7-IF(TRUE=TRUE,Inputs!$B$32,0))))+1)),0)</f>
        <v/>
      </c>
      <c r="S3188">
        <f>IFERROR(O3188/N3188,0)</f>
        <v/>
      </c>
      <c r="T3188">
        <f>IF(C3188,(H3188*N3188*IF(AND(Inputs!$B$39&lt;&gt;"pvp",Inputs!$B$44&gt;0),((Skills!G7*((R3188-1)*IF(Skills!H7&gt;0,Skills!I7/Skills!H7,1)+IF(Skills!H7&gt;0,MIN(Skills!I7,MAX(0,MAX(0,Inputs!$B$44-B3226)-((R3188-1)*IF(Inputs!$B$39="pvp",15,MAX(0.1,Skills!D7-IF(TRUE=TRUE,Inputs!$B$32,0))))))/Skills!H7,1)))/Inputs!$B$44),G3188*Q3188))*IF(Inputs!$B$39="pvp",1,1+(Inputs!$B$20+0+Skills!P7+B3216+(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Hunt"),CHOOSE(ArtifactsInput!$N$35+1,15,18,21,24,27,30)*(1-EXP(-(0.2*B3219)*5)),0)+IF(AND(ArtifactsInput!$M$22,Inputs!$B$4&lt;&gt;"Chapter Hunt"),CHOOSE(ArtifactsInput!$N$22+1,10,12,14,16,18,20)*((0*(((0.15*B3219*5))^0/1)+1*(((0.15*B3219*5))^1/1)+2*(((0.15*B3219*5))^2/2)+3*(((0.15*B3219*5))^3/6)+4*(((0.15*B3219*5))^4/24)+5*(((0.15*B3219*5))^5/120))/((((0.15*B3219*5))^0/1)+(((0.15*B3219*5))^1/1)+(((0.15*B3219*5))^2/2)+(((0.15*B3219*5))^3/6)+(((0.15*B3219*5))^4/24)+(((0.15*B3219*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3188*(1-MIN(100,(Inputs!$B$9+((C3207=TRUE)*(F3207-Calc!F26))+B3215+(ArtifactsInput!$M$24-ArtifactsInput!$M$24)*CHOOSE(ArtifactsInput!$N$24+1,10,12,14,16,18,20)+(IF(AND(Inputs!$B$39&lt;&gt;"pvp",Inputs!$B$44=0),1,IF(IF(Inputs!$B$39="pvp",15,Inputs!$B$44)-(B3226)&lt;=0,1,MAX(0,IF(Inputs!$B$39="pvp",15,Inputs!$B$44)-MAX(5,B3226))/(IF(Inputs!$B$39="pvp",15,Inputs!$B$44)-(B3226))))*IF(AND(ArtifactsInput!$M$42,((Inputs!$B$9+((C3207=TRUE)*(F3207-Calc!F26))+B3215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3188*(MIN(100,(Inputs!$B$9+((C3207=TRUE)*(F3207-Calc!F26))+B3215+(ArtifactsInput!$M$24-ArtifactsInput!$M$24)*CHOOSE(ArtifactsInput!$N$24+1,10,12,14,16,18,20)+(IF(AND(Inputs!$B$39&lt;&gt;"pvp",Inputs!$B$44=0),1,IF(IF(Inputs!$B$39="pvp",15,Inputs!$B$44)-(B3226)&lt;=0,1,MAX(0,IF(Inputs!$B$39="pvp",15,Inputs!$B$44)-MAX(5,B3226))/(IF(Inputs!$B$39="pvp",15,Inputs!$B$44)-(B3226))))*IF(AND(ArtifactsInput!$M$42,((Inputs!$B$9+((C3207=TRUE)*(F3207-Calc!F26))+B3215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3188*(1-MIN(100,(Inputs!$B$9+((C3207=TRUE)*(F3207-Calc!F26))+B3215+(ArtifactsInput!$M$24-ArtifactsInput!$M$24)*CHOOSE(ArtifactsInput!$N$24+1,10,12,14,16,18,20)+(IF(AND(Inputs!$B$39&lt;&gt;"pvp",Inputs!$B$44=0),1,IF(IF(Inputs!$B$39="pvp",15,Inputs!$B$44)-(B3226)&lt;=0,1,MAX(0,IF(Inputs!$B$39="pvp",15,Inputs!$B$44)-MAX(5,B3226))/(IF(Inputs!$B$39="pvp",15,Inputs!$B$44)-(B3226))))*IF(AND(ArtifactsInput!$M$42,((Inputs!$B$9+((C3207=TRUE)*(F3207-Calc!F26))+B3215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3188*(MIN(100,(Inputs!$B$9+((C3207=TRUE)*(F3207-Calc!F26))+B3215+(ArtifactsInput!$M$24-ArtifactsInput!$M$24)*CHOOSE(ArtifactsInput!$N$24+1,10,12,14,16,18,20)+(IF(AND(Inputs!$B$39&lt;&gt;"pvp",Inputs!$B$44=0),1,IF(IF(Inputs!$B$39="pvp",15,Inputs!$B$44)-(B3226)&lt;=0,1,MAX(0,IF(Inputs!$B$39="pvp",15,Inputs!$B$44)-MAX(5,B3226))/(IF(Inputs!$B$39="pvp",15,Inputs!$B$44)-(B3226))))*IF(AND(ArtifactsInput!$M$42,((Inputs!$B$9+((C3207=TRUE)*(F3207-Calc!F26))+B3215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3188">
        <f>IF(C3188,(H3188*N3188*IF(AND(Inputs!$B$39&lt;&gt;"pvp",Inputs!$B$44&gt;0),((Skills!G7*((R3188-1)*IF(Skills!H7&gt;0,Skills!I7/Skills!H7,1)+IF(Skills!H7&gt;0,MIN(Skills!I7,MAX(0,MAX(0,Inputs!$B$44-B3226)-((R3188-1)*IF(Inputs!$B$39="pvp",15,MAX(0.1,Skills!D7-IF(TRUE=TRUE,Inputs!$B$32,0))))))/Skills!H7,1)))/Inputs!$B$44),G3188*Q3188))*IF(Inputs!$B$39="pvp",1,(1+(Inputs!$B$21+Skills!Q7+B3216+(IF(ArtifactsInput!$M$33,CHOOSE(ArtifactsInput!$N$33+1,30,36,42,48,54,60),0))+(IF(AND(ArtifactsInput!$M$35,Inputs!$B$4&lt;&gt;"Chapter Hunt"),CHOOSE(ArtifactsInput!$N$35+1,15,18,21,24,27,30)*(1-EXP(-(0.2*B3219)*5)),0)+IF(AND(ArtifactsInput!$M$22,Inputs!$B$4&lt;&gt;"Chapter Hunt"),CHOOSE(ArtifactsInput!$N$22+1,10,12,14,16,18,20)*((0*(((0.15*B3219*5))^0/1)+1*(((0.15*B3219*5))^1/1)+2*(((0.15*B3219*5))^2/2)+3*(((0.15*B3219*5))^3/6)+4*(((0.15*B3219*5))^4/24)+5*(((0.15*B3219*5))^5/120))/((((0.15*B3219*5))^0/1)+(((0.15*B3219*5))^1/1)+(((0.15*B3219*5))^2/2)+(((0.15*B3219*5))^3/6)+(((0.15*B3219*5))^4/24)+(((0.15*B3219*5))^5/120))),0)))/100)*(MIN(Skills!W7,Inputs!$B$37)))*((1+(IF(AND(IF(ArtifactsInput!$M$41,FALSE,TRUE),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3189">
      <c r="A3189">
        <f>Skills!A8</f>
        <v/>
      </c>
      <c r="B3189">
        <f>Skills!B8</f>
        <v/>
      </c>
      <c r="C3189">
        <f>Inputs!$B$3&gt;=60</f>
        <v/>
      </c>
      <c r="D3189">
        <f>IF(Skills!C8=1,60+Inputs!$B$25+Inputs!$B$29,IF(Skills!C8=2,90+Inputs!$B$26+Inputs!$B$29,IF(Skills!C8=3,120+Inputs!$B$27+Inputs!$B$29,MAX(0,(Inputs!$B$3-100)*3)+Inputs!$B$28+Inputs!$B$29)))</f>
        <v/>
      </c>
      <c r="E3189">
        <f>INDEX(FactorTable!$B$2:$Y$301, MATCH(ROUND(MIN(300,MAX(1,D3189)),0), FactorTable!$A$2:$A$301,0), Skills!M8+1)</f>
        <v/>
      </c>
      <c r="F3189">
        <f>IF(Skills!N8=TRUE,(Skills!L8/10)*(E3189/1000),Skills!L8/10)+Skills!O8</f>
        <v/>
      </c>
      <c r="G3189">
        <f>Skills!G8*IF(Skills!H8&gt;0,IF(Inputs!$B$39="pvp",MIN(Skills!I8,15),Skills!I8)/Skills!H8,1)</f>
        <v/>
      </c>
      <c r="H3189">
        <f>1-(1-Skills!J8/100)^Skills!K8</f>
        <v/>
      </c>
      <c r="I3189" t="inlineStr">
        <is>
          <t>1</t>
        </is>
      </c>
      <c r="J3189" t="inlineStr"/>
      <c r="K3189" t="inlineStr"/>
      <c r="L3189" t="inlineStr"/>
      <c r="M3189" t="inlineStr"/>
      <c r="N3189" t="inlineStr"/>
      <c r="O3189">
        <f>(1-Summary!$B$11)*T3189+Summary!$B$11*V3189</f>
        <v/>
      </c>
      <c r="P3189">
        <f>IF(B3227=0,0,O3189/B3227)</f>
        <v/>
      </c>
      <c r="Q3189" t="n">
        <v>0</v>
      </c>
      <c r="R3189" t="n">
        <v>0</v>
      </c>
      <c r="S3189">
        <f>IFERROR(O3189/N3189,0)</f>
        <v/>
      </c>
      <c r="T3189" t="n">
        <v>0</v>
      </c>
      <c r="V3189" t="n">
        <v>0</v>
      </c>
    </row>
    <row r="3190">
      <c r="A3190">
        <f>Skills!A9</f>
        <v/>
      </c>
      <c r="B3190">
        <f>Skills!B9</f>
        <v/>
      </c>
      <c r="C3190">
        <f>Inputs!$B$3&gt;=72</f>
        <v/>
      </c>
      <c r="D3190">
        <f>IF(Skills!C9=1,60+Inputs!$B$25+Inputs!$B$29,IF(Skills!C9=2,90+Inputs!$B$26+Inputs!$B$29,IF(Skills!C9=3,120+Inputs!$B$27+Inputs!$B$29,MAX(0,(Inputs!$B$3-100)*3)+Inputs!$B$28+Inputs!$B$29)))</f>
        <v/>
      </c>
      <c r="E3190">
        <f>INDEX(FactorTable!$B$2:$Y$301, MATCH(ROUND(MIN(300,MAX(1,D3190)),0), FactorTable!$A$2:$A$301,0), Skills!M9+1)</f>
        <v/>
      </c>
      <c r="F3190">
        <f>IF(Skills!N9=TRUE,(Skills!L9/10)*(E3190/1000),Skills!L9/10)+Skills!O9</f>
        <v/>
      </c>
      <c r="G3190">
        <f>Skills!G9*IF(Skills!H9&gt;0,IF(Inputs!$B$39="pvp",MIN(Skills!I9,15),Skills!I9)/Skills!H9,1)</f>
        <v/>
      </c>
      <c r="H3190">
        <f>1-(1-Skills!J9/100)^Skills!K9</f>
        <v/>
      </c>
      <c r="I3190" t="inlineStr">
        <is>
          <t>1</t>
        </is>
      </c>
      <c r="J3190">
        <f>((Inputs!$B$6*(1+Inputs!$B$7/100))+(((Inputs!$B$12*(1+Inputs!$B$13/100))-(Inputs!$B$12*(1+Inputs!$B$13/100)))+0.25*(Inputs!$B$14-Inputs!$B$14))*(1+Inputs!$B$7/100))*(F3190/100)</f>
        <v/>
      </c>
      <c r="K3190">
        <f>J3190*(1+((Inputs!$B$12*(1+Inputs!$B$13/100))*0.01+Inputs!$B$14*0.0025)/100)*(1+Inputs!$B$15/100)*(1+Inputs!$B$16/100)*(5000/(6000+Inputs!$B$43*(1-(100*(1-(1-Inputs!$B$19/100)*(1-CHOOSE(ArtifactsInput!$N$40+1,5,6,7,8,9,10)/100)^(ArtifactsInput!$M$40-ArtifactsInput!$M$40)))/100)))*(1+(Inputs!$B$24+((C3212=TRUE)*(F3212-Calc!F31))+((C3199=TRUE)*(F3199-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+3.3333333333333335*IF(C3200=TRUE,F3200,0)/100)*(1+(IF(Skills!A9="CRUEL_STAB",Inputs!$B$17+((C3209=TRUE)*(F3209-Calc!F28))+((IF(AND(Inputs!$B$39&lt;&gt;"pvp",Inputs!$B$44=0),1,IF(IF(Inputs!$B$39="pvp",15,Inputs!$B$44)-(B3226)&lt;=0,1,MAX(0,IF(Inputs!$B$39="pvp",15,Inputs!$B$44)-MAX(5,B3226))/(IF(Inputs!$B$39="pvp",15,Inputs!$B$44)-(B3226))))*(IF(AND(ArtifactsInput!$M$42,((Inputs!$B$9+((C3207=TRUE)*(F3207-Calc!F26))+B3215+(ArtifactsInput!$M$24-ArtifactsInput!$M$24)*CHOOSE(ArtifactsInput!$N$24+1,10,12,14,16,18,20)+IF(ArtifactsInput!$M$10,CHOOSE(ArtifactsInput!$N$10+1,15,18,21,24,27,30)*(IF(Inputs!$B$39="pvp",MIN(15,15)/15,IF(AND(Inputs!$B$39&lt;&gt;"pvp",Inputs!$B$44&gt;0),MIN(15,Inputs!$B$44)/(Inputs!$B$44),0))),0)))&gt;=100),MIN(100,((Inputs!$B$9+((C3207=TRUE)*(F3207-Calc!F26))+B3215+(ArtifactsInput!$M$24-ArtifactsInput!$M$24)*CHOOSE(ArtifactsInput!$N$24+1,10,12,14,16,18,20)+IF(ArtifactsInput!$M$10,CHOOSE(ArtifactsInput!$N$10+1,15,18,21,24,27,30)*(IF(Inputs!$B$39="pvp",MIN(15,15)/15,IF(AND(Inputs!$B$39&lt;&gt;"pvp",Inputs!$B$44&gt;0),MIN(15,Inputs!$B$44)/(Inputs!$B$44),0))),0)))-100),0))*CHOOSE(ArtifactsInput!$N$42+1,0.6,0.72,0.84,0.96,1.08,1.2))),Inputs!$B$18+((C3210=TRUE)*(F3210-Calc!F29))+(IF(AND(Inputs!$B$39&lt;&gt;"pvp",Inputs!$B$44=0),1,IF(IF(Inputs!$B$39="pvp",15,Inputs!$B$44)-(B3226)&lt;=0,1,MAX(0,IF(Inputs!$B$39="pvp",15,Inputs!$B$44)-MAX(5,B3226))/(IF(Inputs!$B$39="pvp",15,Inputs!$B$44)-(B3226))))*IF(AND(ArtifactsInput!$M$42,((Inputs!$B$9+((C3207=TRUE)*(F3207-Calc!F26))+B3215+(ArtifactsInput!$M$24-ArtifactsInput!$M$24)*CHOOSE(ArtifactsInput!$N$24+1,10,12,14,16,18,20)+IF(ArtifactsInput!$M$10,CHOOSE(ArtifactsInput!$N$10+1,15,18,21,24,27,30)*(IF(Inputs!$B$39="pvp",MIN(15,15)/15,IF(AND(Inputs!$B$39&lt;&gt;"pvp",Inputs!$B$44&gt;0),MIN(15,Inputs!$B$44)/(Inputs!$B$44),0))),0)))&gt;=100),CHOOSE(ArtifactsInput!$N$42+1,40,48,56,64,72,80),0))))/100)*(((1+(((C3203=TRUE)*F3203*IF(AND(Inputs!$B$39&lt;&gt;"pvp",Inputs!$B$44&gt;0),(((R3203-1)*MIN((Skills!Y22*(1+Inputs!$B$34/100)),(1/Q3203))+MIN((Skills!Y22*(1+Inputs!$B$34/100)),MAX(0,Inputs!$B$44-((R3203-1)*(1/Q3203)))))/Inputs!$B$44),IF(Inputs!$B$39="pvp",MIN((Skills!Y22*(1+Inputs!$B$34/100)),15)/15,MIN(1,(Skills!Y22*(1+Inputs!$B$34/100))/(1/Q3203)))))+((C3184=TRUE)*F3184*3)+((C3186=TRUE)*F3186*(1-EXP(-0.75*B3219*5)))+((C3205=TRUE)*(F3205-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IF(ArtifactsInput!$M$41,FALSE,TRUE),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3192=TRUE)*F3192*IF(AND(Inputs!$B$39&lt;&gt;"pvp",Inputs!$B$44&gt;0),(((R3192-1)*MIN((Skills!Y11*(1+Inputs!$B$34/100)),(1/Q3192))+MIN((Skills!Y11*(1+Inputs!$B$34/100)),MAX(0,Inputs!$B$44-((R3192-1)*(1/Q3192)))))/Inputs!$B$44),IF(Inputs!$B$39="pvp",MIN((Skills!Y11*(1+Inputs!$B$34/100)),15)/15,MIN(1,(Skills!Y11*(1+Inputs!$B$34/100))/(1/Q3192)))))/100)*(1+((C3197=TRUE)*F3197*IF(AND(Inputs!$B$39&lt;&gt;"pvp",Inputs!$B$44&gt;0),(((R3197-1)*MIN((Skills!Y16*(1+Inputs!$B$34/100)),(1/Q3197))+MIN((Skills!Y16*(1+Inputs!$B$34/100)),MAX(0,Inputs!$B$44-((R3197-1)*(1/Q3197)))))/Inputs!$B$44),IF(Inputs!$B$39="pvp",MIN((Skills!Y16*(1+Inputs!$B$34/100)),15)/15,MIN(1,(Skills!Y16*(1+Inputs!$B$34/100))/(1/Q3197)))))/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3217*I3190)</f>
        <v/>
      </c>
      <c r="L3190">
        <f>K3190*(MIN(Inputs!$B$22+((C3206=TRUE)*(F3206-Calc!F25)),(Inputs!$B$23+((C3211=TRUE)*(F3211-Calc!F30))+IF(ArtifactsInput!$M$15,CHOOSE(ArtifactsInput!$N$15+1,25,30,35,40,45,50)/100*(Inputs!$B$11-Inputs!$B$11),0)))/100+(Inputs!$B$23+((C3211=TRUE)*(F3211-Calc!F30))+IF(ArtifactsInput!$M$15,CHOOSE(ArtifactsInput!$N$15+1,25,30,35,40,45,50)/100*(Inputs!$B$11-Inputs!$B$11),0))/100)/2</f>
        <v/>
      </c>
      <c r="M3190">
        <f>L3190*(1+(Inputs!$B$10+((C3208=TRUE)*(F3208-Calc!F27))+B3222+(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3190">
        <f>L3190*(1-MIN((Inputs!$B$9+((C3207=TRUE)*(F3207-Calc!F26))+B3215+(ArtifactsInput!$M$24-ArtifactsInput!$M$24)*CHOOSE(ArtifactsInput!$N$24+1,10,12,14,16,18,20)+(IF(AND(Inputs!$B$39&lt;&gt;"pvp",Inputs!$B$44=0),1,IF(IF(Inputs!$B$39="pvp",15,Inputs!$B$44)-(B3226)&lt;=0,1,MAX(0,IF(Inputs!$B$39="pvp",15,Inputs!$B$44)-MAX(5,B3226))/(IF(Inputs!$B$39="pvp",15,Inputs!$B$44)-(B3226))))*IF(AND(ArtifactsInput!$M$42,((Inputs!$B$9+((C3207=TRUE)*(F3207-Calc!F26))+B3215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3190*(MIN((Inputs!$B$9+((C3207=TRUE)*(F3207-Calc!F26))+B3215+(ArtifactsInput!$M$24-ArtifactsInput!$M$24)*CHOOSE(ArtifactsInput!$N$24+1,10,12,14,16,18,20)+(IF(AND(Inputs!$B$39&lt;&gt;"pvp",Inputs!$B$44=0),1,IF(IF(Inputs!$B$39="pvp",15,Inputs!$B$44)-(B3226)&lt;=0,1,MAX(0,IF(Inputs!$B$39="pvp",15,Inputs!$B$44)-MAX(5,B3226))/(IF(Inputs!$B$39="pvp",15,Inputs!$B$44)-(B3226))))*IF(AND(ArtifactsInput!$M$42,((Inputs!$B$9+((C3207=TRUE)*(F3207-Calc!F26))+B3215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3190">
        <f>(1-Summary!$B$11)*T3190+Summary!$B$11*V3190</f>
        <v/>
      </c>
      <c r="P3190">
        <f>IF(B3227=0,0,O3190/B3227)</f>
        <v/>
      </c>
      <c r="Q3190">
        <f>IFERROR(1/IF(Inputs!$B$39="pvp",15,MAX(0.1,Skills!D9-IF(FALSE=TRUE,Inputs!$B$32,0))),0)</f>
        <v/>
      </c>
      <c r="R3190">
        <f>IF(AND(Inputs!$B$39&lt;&gt;"pvp",Inputs!$B$44&gt;0),IF(MAX(0,Inputs!$B$44-B3226)&lt;=0,0,(INT(MAX(0,Inputs!$B$44-B3226)/IF(Inputs!$B$39="pvp",15,MAX(0.1,Skills!D9-IF(FALSE=TRUE,Inputs!$B$32,0))))+1)),0)</f>
        <v/>
      </c>
      <c r="S3190">
        <f>IFERROR(O3190/N3190,0)</f>
        <v/>
      </c>
      <c r="T3190">
        <f>IF(C3190,(H3190*N3190*IF(AND(Inputs!$B$39&lt;&gt;"pvp",Inputs!$B$44&gt;0),((Skills!G9*((R3190-1)*IF(Skills!H9&gt;0,Skills!I9/Skills!H9,1)+IF(Skills!H9&gt;0,MIN(Skills!I9,MAX(0,MAX(0,Inputs!$B$44-B3226)-((R3190-1)*IF(Inputs!$B$39="pvp",15,MAX(0.1,Skills!D9-IF(FALSE=TRUE,Inputs!$B$32,0))))))/Skills!H9,1)))/Inputs!$B$44),G3190*Q3190))*IF(Inputs!$B$39="pvp",1,1+(Inputs!$B$20+0+Skills!P9+B3216+(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Hunt"),CHOOSE(ArtifactsInput!$N$35+1,15,18,21,24,27,30)*(1-EXP(-(0.2*B3219)*5)),0)+IF(AND(ArtifactsInput!$M$22,Inputs!$B$4&lt;&gt;"Chapter Hunt"),CHOOSE(ArtifactsInput!$N$22+1,10,12,14,16,18,20)*((0*(((0.15*B3219*5))^0/1)+1*(((0.15*B3219*5))^1/1)+2*(((0.15*B3219*5))^2/2)+3*(((0.15*B3219*5))^3/6)+4*(((0.15*B3219*5))^4/24)+5*(((0.15*B3219*5))^5/120))/((((0.15*B3219*5))^0/1)+(((0.15*B3219*5))^1/1)+(((0.15*B3219*5))^2/2)+(((0.15*B3219*5))^3/6)+(((0.15*B3219*5))^4/24)+(((0.15*B3219*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3190*(1-MIN(100,(Inputs!$B$9+((C3207=TRUE)*(F3207-Calc!F26))+B3215+(ArtifactsInput!$M$24-ArtifactsInput!$M$24)*CHOOSE(ArtifactsInput!$N$24+1,10,12,14,16,18,20)+(IF(AND(Inputs!$B$39&lt;&gt;"pvp",Inputs!$B$44=0),1,IF(IF(Inputs!$B$39="pvp",15,Inputs!$B$44)-(B3226)&lt;=0,1,MAX(0,IF(Inputs!$B$39="pvp",15,Inputs!$B$44)-MAX(5,B3226))/(IF(Inputs!$B$39="pvp",15,Inputs!$B$44)-(B3226))))*IF(AND(ArtifactsInput!$M$42,((Inputs!$B$9+((C3207=TRUE)*(F3207-Calc!F26))+B3215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3190*(MIN(100,(Inputs!$B$9+((C3207=TRUE)*(F3207-Calc!F26))+B3215+(ArtifactsInput!$M$24-ArtifactsInput!$M$24)*CHOOSE(ArtifactsInput!$N$24+1,10,12,14,16,18,20)+(IF(AND(Inputs!$B$39&lt;&gt;"pvp",Inputs!$B$44=0),1,IF(IF(Inputs!$B$39="pvp",15,Inputs!$B$44)-(B3226)&lt;=0,1,MAX(0,IF(Inputs!$B$39="pvp",15,Inputs!$B$44)-MAX(5,B3226))/(IF(Inputs!$B$39="pvp",15,Inputs!$B$44)-(B3226))))*IF(AND(ArtifactsInput!$M$42,((Inputs!$B$9+((C3207=TRUE)*(F3207-Calc!F26))+B3215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3190*(1-MIN(100,(Inputs!$B$9+((C3207=TRUE)*(F3207-Calc!F26))+B3215+(ArtifactsInput!$M$24-ArtifactsInput!$M$24)*CHOOSE(ArtifactsInput!$N$24+1,10,12,14,16,18,20)+(IF(AND(Inputs!$B$39&lt;&gt;"pvp",Inputs!$B$44=0),1,IF(IF(Inputs!$B$39="pvp",15,Inputs!$B$44)-(B3226)&lt;=0,1,MAX(0,IF(Inputs!$B$39="pvp",15,Inputs!$B$44)-MAX(5,B3226))/(IF(Inputs!$B$39="pvp",15,Inputs!$B$44)-(B3226))))*IF(AND(ArtifactsInput!$M$42,((Inputs!$B$9+((C3207=TRUE)*(F3207-Calc!F26))+B3215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3190*(MIN(100,(Inputs!$B$9+((C3207=TRUE)*(F3207-Calc!F26))+B3215+(ArtifactsInput!$M$24-ArtifactsInput!$M$24)*CHOOSE(ArtifactsInput!$N$24+1,10,12,14,16,18,20)+(IF(AND(Inputs!$B$39&lt;&gt;"pvp",Inputs!$B$44=0),1,IF(IF(Inputs!$B$39="pvp",15,Inputs!$B$44)-(B3226)&lt;=0,1,MAX(0,IF(Inputs!$B$39="pvp",15,Inputs!$B$44)-MAX(5,B3226))/(IF(Inputs!$B$39="pvp",15,Inputs!$B$44)-(B3226))))*IF(AND(ArtifactsInput!$M$42,((Inputs!$B$9+((C3207=TRUE)*(F3207-Calc!F26))+B3215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3190">
        <f>IF(C3190,(H3190*N3190*IF(AND(Inputs!$B$39&lt;&gt;"pvp",Inputs!$B$44&gt;0),((Skills!G9*((R3190-1)*IF(Skills!H9&gt;0,Skills!I9/Skills!H9,1)+IF(Skills!H9&gt;0,MIN(Skills!I9,MAX(0,MAX(0,Inputs!$B$44-B3226)-((R3190-1)*IF(Inputs!$B$39="pvp",15,MAX(0.1,Skills!D9-IF(FALSE=TRUE,Inputs!$B$32,0))))))/Skills!H9,1)))/Inputs!$B$44),G3190*Q3190))*IF(Inputs!$B$39="pvp",1,(1+(Inputs!$B$21+Skills!Q9+B3216+(IF(ArtifactsInput!$M$33,CHOOSE(ArtifactsInput!$N$33+1,30,36,42,48,54,60),0))+(IF(AND(ArtifactsInput!$M$35,Inputs!$B$4&lt;&gt;"Chapter Hunt"),CHOOSE(ArtifactsInput!$N$35+1,15,18,21,24,27,30)*(1-EXP(-(0.2*B3219)*5)),0)+IF(AND(ArtifactsInput!$M$22,Inputs!$B$4&lt;&gt;"Chapter Hunt"),CHOOSE(ArtifactsInput!$N$22+1,10,12,14,16,18,20)*((0*(((0.15*B3219*5))^0/1)+1*(((0.15*B3219*5))^1/1)+2*(((0.15*B3219*5))^2/2)+3*(((0.15*B3219*5))^3/6)+4*(((0.15*B3219*5))^4/24)+5*(((0.15*B3219*5))^5/120))/((((0.15*B3219*5))^0/1)+(((0.15*B3219*5))^1/1)+(((0.15*B3219*5))^2/2)+(((0.15*B3219*5))^3/6)+(((0.15*B3219*5))^4/24)+(((0.15*B3219*5))^5/120))),0)))/100)*(MIN(Skills!W9,Inputs!$B$37)))*((1+(IF(AND(IF(ArtifactsInput!$M$41,FALSE,TRUE),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3191">
      <c r="A3191">
        <f>Skills!A10</f>
        <v/>
      </c>
      <c r="B3191">
        <f>Skills!B10</f>
        <v/>
      </c>
      <c r="C3191">
        <f>Inputs!$B$3&gt;=117</f>
        <v/>
      </c>
      <c r="D3191">
        <f>IF(Skills!C10=1,60+Inputs!$B$25+Inputs!$B$29,IF(Skills!C10=2,90+Inputs!$B$26+Inputs!$B$29,IF(Skills!C10=3,120+Inputs!$B$27+Inputs!$B$29,MAX(0,(Inputs!$B$3-100)*3)+Inputs!$B$28+Inputs!$B$29)))</f>
        <v/>
      </c>
      <c r="E3191">
        <f>INDEX(FactorTable!$B$2:$Y$301, MATCH(ROUND(MIN(300,MAX(1,D3191)),0), FactorTable!$A$2:$A$301,0), Skills!M10+1)</f>
        <v/>
      </c>
      <c r="F3191">
        <f>IF(Skills!N10=TRUE,(Skills!L10/10)*(E3191/1000),Skills!L10/10)+Skills!O10</f>
        <v/>
      </c>
      <c r="G3191">
        <f>Skills!G10*IF(Skills!H10&gt;0,IF(Inputs!$B$39="pvp",MIN(Skills!I10,15),Skills!I10)/Skills!H10,1)</f>
        <v/>
      </c>
      <c r="H3191">
        <f>1-(1-Skills!J10/100)^Skills!K10</f>
        <v/>
      </c>
      <c r="I3191" t="inlineStr">
        <is>
          <t>1</t>
        </is>
      </c>
      <c r="J3191">
        <f>((Inputs!$B$6*(1+Inputs!$B$7/100))+(((Inputs!$B$12*(1+Inputs!$B$13/100))-(Inputs!$B$12*(1+Inputs!$B$13/100)))+0.25*(Inputs!$B$14-Inputs!$B$14))*(1+Inputs!$B$7/100))*(F3191/100)</f>
        <v/>
      </c>
      <c r="K3191">
        <f>J3191*(1+((Inputs!$B$12*(1+Inputs!$B$13/100))*0.01+Inputs!$B$14*0.0025)/100)*(1+Inputs!$B$15/100)*(1+Inputs!$B$16/100)*(5000/(6000+Inputs!$B$43*(1-(100*(1-(1-Inputs!$B$19/100)*(1-CHOOSE(ArtifactsInput!$N$40+1,5,6,7,8,9,10)/100)^(ArtifactsInput!$M$40-ArtifactsInput!$M$40)))/100)))*(1+(Inputs!$B$24+((C3212=TRUE)*(F3212-Calc!F31))+((C3199=TRUE)*(F3199-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10="CRUEL_STAB",Inputs!$B$17+((C3209=TRUE)*(F3209-Calc!F28))+((IF(AND(Inputs!$B$39&lt;&gt;"pvp",Inputs!$B$44=0),1,IF(IF(Inputs!$B$39="pvp",15,Inputs!$B$44)-(B3226)&lt;=0,1,MAX(0,IF(Inputs!$B$39="pvp",15,Inputs!$B$44)-MAX(5,B3226))/(IF(Inputs!$B$39="pvp",15,Inputs!$B$44)-(B3226))))*(IF(AND(ArtifactsInput!$M$42,((Inputs!$B$9+((C3207=TRUE)*(F3207-Calc!F26))+B3215+(ArtifactsInput!$M$24-ArtifactsInput!$M$24)*CHOOSE(ArtifactsInput!$N$24+1,10,12,14,16,18,20)+IF(ArtifactsInput!$M$10,CHOOSE(ArtifactsInput!$N$10+1,15,18,21,24,27,30)*(IF(Inputs!$B$39="pvp",MIN(15,15)/15,IF(AND(Inputs!$B$39&lt;&gt;"pvp",Inputs!$B$44&gt;0),MIN(15,Inputs!$B$44)/(Inputs!$B$44),0))),0)))&gt;=100),MIN(100,((Inputs!$B$9+((C3207=TRUE)*(F3207-Calc!F26))+B3215+(ArtifactsInput!$M$24-ArtifactsInput!$M$24)*CHOOSE(ArtifactsInput!$N$24+1,10,12,14,16,18,20)+IF(ArtifactsInput!$M$10,CHOOSE(ArtifactsInput!$N$10+1,15,18,21,24,27,30)*(IF(Inputs!$B$39="pvp",MIN(15,15)/15,IF(AND(Inputs!$B$39&lt;&gt;"pvp",Inputs!$B$44&gt;0),MIN(15,Inputs!$B$44)/(Inputs!$B$44),0))),0)))-100),0))*CHOOSE(ArtifactsInput!$N$42+1,0.6,0.72,0.84,0.96,1.08,1.2))),Inputs!$B$18+((C3210=TRUE)*(F3210-Calc!F29))+(IF(AND(Inputs!$B$39&lt;&gt;"pvp",Inputs!$B$44=0),1,IF(IF(Inputs!$B$39="pvp",15,Inputs!$B$44)-(B3226)&lt;=0,1,MAX(0,IF(Inputs!$B$39="pvp",15,Inputs!$B$44)-MAX(5,B3226))/(IF(Inputs!$B$39="pvp",15,Inputs!$B$44)-(B3226))))*IF(AND(ArtifactsInput!$M$42,((Inputs!$B$9+((C3207=TRUE)*(F3207-Calc!F26))+B3215+(ArtifactsInput!$M$24-ArtifactsInput!$M$24)*CHOOSE(ArtifactsInput!$N$24+1,10,12,14,16,18,20)+IF(ArtifactsInput!$M$10,CHOOSE(ArtifactsInput!$N$10+1,15,18,21,24,27,30)*(IF(Inputs!$B$39="pvp",MIN(15,15)/15,IF(AND(Inputs!$B$39&lt;&gt;"pvp",Inputs!$B$44&gt;0),MIN(15,Inputs!$B$44)/(Inputs!$B$44),0))),0)))&gt;=100),CHOOSE(ArtifactsInput!$N$42+1,40,48,56,64,72,80),0))))/100)*(((1+(((C3203=TRUE)*F3203*IF(AND(Inputs!$B$39&lt;&gt;"pvp",Inputs!$B$44&gt;0),(((R3203-1)*MIN((Skills!Y22*(1+Inputs!$B$34/100)),(1/Q3203))+MIN((Skills!Y22*(1+Inputs!$B$34/100)),MAX(0,Inputs!$B$44-((R3203-1)*(1/Q3203)))))/Inputs!$B$44),IF(Inputs!$B$39="pvp",MIN((Skills!Y22*(1+Inputs!$B$34/100)),15)/15,MIN(1,(Skills!Y22*(1+Inputs!$B$34/100))/(1/Q3203)))))+((C3184=TRUE)*F3184*3)+((C3186=TRUE)*F3186*(1-EXP(-0.75*B3219*5)))+((C3205=TRUE)*(F3205-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IF(ArtifactsInput!$M$41,FALSE,TRUE),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3192=TRUE)*F3192*IF(AND(Inputs!$B$39&lt;&gt;"pvp",Inputs!$B$44&gt;0),(((R3192-1)*MIN((Skills!Y11*(1+Inputs!$B$34/100)),(1/Q3192))+MIN((Skills!Y11*(1+Inputs!$B$34/100)),MAX(0,Inputs!$B$44-((R3192-1)*(1/Q3192)))))/Inputs!$B$44),IF(Inputs!$B$39="pvp",MIN((Skills!Y11*(1+Inputs!$B$34/100)),15)/15,MIN(1,(Skills!Y11*(1+Inputs!$B$34/100))/(1/Q3192)))))/100)*(1+((C3197=TRUE)*F3197*IF(AND(Inputs!$B$39&lt;&gt;"pvp",Inputs!$B$44&gt;0),(((R3197-1)*MIN((Skills!Y16*(1+Inputs!$B$34/100)),(1/Q3197))+MIN((Skills!Y16*(1+Inputs!$B$34/100)),MAX(0,Inputs!$B$44-((R3197-1)*(1/Q3197)))))/Inputs!$B$44),IF(Inputs!$B$39="pvp",MIN((Skills!Y16*(1+Inputs!$B$34/100)),15)/15,MIN(1,(Skills!Y16*(1+Inputs!$B$34/100))/(1/Q3197)))))/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3217*I3191)</f>
        <v/>
      </c>
      <c r="L3191">
        <f>K3191*(MIN(Inputs!$B$22+((C3206=TRUE)*(F3206-Calc!F25)),(Inputs!$B$23+((C3211=TRUE)*(F3211-Calc!F30))+IF(ArtifactsInput!$M$15,CHOOSE(ArtifactsInput!$N$15+1,25,30,35,40,45,50)/100*(Inputs!$B$11-Inputs!$B$11),0)))/100+(Inputs!$B$23+((C3211=TRUE)*(F3211-Calc!F30))+IF(ArtifactsInput!$M$15,CHOOSE(ArtifactsInput!$N$15+1,25,30,35,40,45,50)/100*(Inputs!$B$11-Inputs!$B$11),0))/100)/2</f>
        <v/>
      </c>
      <c r="M3191">
        <f>L3191*(1+(Inputs!$B$10+((C3208=TRUE)*(F3208-Calc!F27))+B3222+(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3191">
        <f>L3191*(1-MIN((Inputs!$B$9+((C3207=TRUE)*(F3207-Calc!F26))+B3215+(ArtifactsInput!$M$24-ArtifactsInput!$M$24)*CHOOSE(ArtifactsInput!$N$24+1,10,12,14,16,18,20)+(IF(AND(Inputs!$B$39&lt;&gt;"pvp",Inputs!$B$44=0),1,IF(IF(Inputs!$B$39="pvp",15,Inputs!$B$44)-(B3226)&lt;=0,1,MAX(0,IF(Inputs!$B$39="pvp",15,Inputs!$B$44)-MAX(5,B3226))/(IF(Inputs!$B$39="pvp",15,Inputs!$B$44)-(B3226))))*IF(AND(ArtifactsInput!$M$42,((Inputs!$B$9+((C3207=TRUE)*(F3207-Calc!F26))+B3215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3191*(MIN((Inputs!$B$9+((C3207=TRUE)*(F3207-Calc!F26))+B3215+(ArtifactsInput!$M$24-ArtifactsInput!$M$24)*CHOOSE(ArtifactsInput!$N$24+1,10,12,14,16,18,20)+(IF(AND(Inputs!$B$39&lt;&gt;"pvp",Inputs!$B$44=0),1,IF(IF(Inputs!$B$39="pvp",15,Inputs!$B$44)-(B3226)&lt;=0,1,MAX(0,IF(Inputs!$B$39="pvp",15,Inputs!$B$44)-MAX(5,B3226))/(IF(Inputs!$B$39="pvp",15,Inputs!$B$44)-(B3226))))*IF(AND(ArtifactsInput!$M$42,((Inputs!$B$9+((C3207=TRUE)*(F3207-Calc!F26))+B3215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3191">
        <f>(1-Summary!$B$11)*T3191+Summary!$B$11*V3191</f>
        <v/>
      </c>
      <c r="P3191">
        <f>IF(B3227=0,0,O3191/B3227)</f>
        <v/>
      </c>
      <c r="Q3191" t="n">
        <v>0</v>
      </c>
      <c r="R3191" t="n">
        <v>0</v>
      </c>
      <c r="S3191" t="n">
        <v>0</v>
      </c>
      <c r="T3191">
        <f>IF(C3191,(0.2*SUMPRODUCT((Skills!Z2:Z31=TRUE)*(C3183:C3212=TRUE)*S3183:S3212)*N3191)*IF(Inputs!$B$39="pvp",1,1+(Inputs!$B$20+0+Skills!P10+B3216+(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Hunt"),CHOOSE(ArtifactsInput!$N$35+1,15,18,21,24,27,30)*(1-EXP(-(0.2*B3219)*5)),0)+IF(AND(ArtifactsInput!$M$22,Inputs!$B$4&lt;&gt;"Chapter Hunt"),CHOOSE(ArtifactsInput!$N$22+1,10,12,14,16,18,20)*((0*(((0.15*B3219*5))^0/1)+1*(((0.15*B3219*5))^1/1)+2*(((0.15*B3219*5))^2/2)+3*(((0.15*B3219*5))^3/6)+4*(((0.15*B3219*5))^4/24)+5*(((0.15*B3219*5))^5/120))/((((0.15*B3219*5))^0/1)+(((0.15*B3219*5))^1/1)+(((0.15*B3219*5))^2/2)+(((0.15*B3219*5))^3/6)+(((0.15*B3219*5))^4/24)+(((0.15*B3219*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3191*(1-MIN(100,(Inputs!$B$9+((C3207=TRUE)*(F3207-Calc!F26))+B3215+(ArtifactsInput!$M$24-ArtifactsInput!$M$24)*CHOOSE(ArtifactsInput!$N$24+1,10,12,14,16,18,20)+(IF(AND(Inputs!$B$39&lt;&gt;"pvp",Inputs!$B$44=0),1,IF(IF(Inputs!$B$39="pvp",15,Inputs!$B$44)-(B3226)&lt;=0,1,MAX(0,IF(Inputs!$B$39="pvp",15,Inputs!$B$44)-MAX(5,B3226))/(IF(Inputs!$B$39="pvp",15,Inputs!$B$44)-(B3226))))*IF(AND(ArtifactsInput!$M$42,((Inputs!$B$9+((C3207=TRUE)*(F3207-Calc!F26))+B3215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3191*(MIN(100,(Inputs!$B$9+((C3207=TRUE)*(F3207-Calc!F26))+B3215+(ArtifactsInput!$M$24-ArtifactsInput!$M$24)*CHOOSE(ArtifactsInput!$N$24+1,10,12,14,16,18,20)+(IF(AND(Inputs!$B$39&lt;&gt;"pvp",Inputs!$B$44=0),1,IF(IF(Inputs!$B$39="pvp",15,Inputs!$B$44)-(B3226)&lt;=0,1,MAX(0,IF(Inputs!$B$39="pvp",15,Inputs!$B$44)-MAX(5,B3226))/(IF(Inputs!$B$39="pvp",15,Inputs!$B$44)-(B3226))))*IF(AND(ArtifactsInput!$M$42,((Inputs!$B$9+((C3207=TRUE)*(F3207-Calc!F26))+B3215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3191*(1-MIN(100,(Inputs!$B$9+((C3207=TRUE)*(F3207-Calc!F26))+B3215+(ArtifactsInput!$M$24-ArtifactsInput!$M$24)*CHOOSE(ArtifactsInput!$N$24+1,10,12,14,16,18,20)+(IF(AND(Inputs!$B$39&lt;&gt;"pvp",Inputs!$B$44=0),1,IF(IF(Inputs!$B$39="pvp",15,Inputs!$B$44)-(B3226)&lt;=0,1,MAX(0,IF(Inputs!$B$39="pvp",15,Inputs!$B$44)-MAX(5,B3226))/(IF(Inputs!$B$39="pvp",15,Inputs!$B$44)-(B3226))))*IF(AND(ArtifactsInput!$M$42,((Inputs!$B$9+((C3207=TRUE)*(F3207-Calc!F26))+B3215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3191*(MIN(100,(Inputs!$B$9+((C3207=TRUE)*(F3207-Calc!F26))+B3215+(ArtifactsInput!$M$24-ArtifactsInput!$M$24)*CHOOSE(ArtifactsInput!$N$24+1,10,12,14,16,18,20)+(IF(AND(Inputs!$B$39&lt;&gt;"pvp",Inputs!$B$44=0),1,IF(IF(Inputs!$B$39="pvp",15,Inputs!$B$44)-(B3226)&lt;=0,1,MAX(0,IF(Inputs!$B$39="pvp",15,Inputs!$B$44)-MAX(5,B3226))/(IF(Inputs!$B$39="pvp",15,Inputs!$B$44)-(B3226))))*IF(AND(ArtifactsInput!$M$42,((Inputs!$B$9+((C3207=TRUE)*(F3207-Calc!F26))+B3215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3191">
        <f>IF(C3191,(0.2*SUMPRODUCT((Skills!Z2:Z31=TRUE)*(C3183:C3212=TRUE)*S3183:S3212)*N3191)*IF(Inputs!$B$39="pvp",1,(1+(Inputs!$B$21+Skills!Q10+B3216+(IF(ArtifactsInput!$M$33,CHOOSE(ArtifactsInput!$N$33+1,30,36,42,48,54,60),0))+(IF(AND(ArtifactsInput!$M$35,Inputs!$B$4&lt;&gt;"Chapter Hunt"),CHOOSE(ArtifactsInput!$N$35+1,15,18,21,24,27,30)*(1-EXP(-(0.2*B3219)*5)),0)+IF(AND(ArtifactsInput!$M$22,Inputs!$B$4&lt;&gt;"Chapter Hunt"),CHOOSE(ArtifactsInput!$N$22+1,10,12,14,16,18,20)*((0*(((0.15*B3219*5))^0/1)+1*(((0.15*B3219*5))^1/1)+2*(((0.15*B3219*5))^2/2)+3*(((0.15*B3219*5))^3/6)+4*(((0.15*B3219*5))^4/24)+5*(((0.15*B3219*5))^5/120))/((((0.15*B3219*5))^0/1)+(((0.15*B3219*5))^1/1)+(((0.15*B3219*5))^2/2)+(((0.15*B3219*5))^3/6)+(((0.15*B3219*5))^4/24)+(((0.15*B3219*5))^5/120))),0)))/100)*(MIN(Skills!W10,Inputs!$B$37)))*((1+(IF(AND(IF(ArtifactsInput!$M$41,FALSE,TRUE),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3192">
      <c r="A3192">
        <f>Skills!A11</f>
        <v/>
      </c>
      <c r="B3192">
        <f>Skills!B11</f>
        <v/>
      </c>
      <c r="C3192">
        <f>Inputs!$B$3&gt;=74</f>
        <v/>
      </c>
      <c r="D3192">
        <f>IF(Skills!C11=1,60+Inputs!$B$25+Inputs!$B$29,IF(Skills!C11=2,90+Inputs!$B$26+Inputs!$B$29,IF(Skills!C11=3,120+Inputs!$B$27+Inputs!$B$29,MAX(0,(Inputs!$B$3-100)*3)+Inputs!$B$28+Inputs!$B$29)))</f>
        <v/>
      </c>
      <c r="E3192">
        <f>INDEX(FactorTable!$B$2:$Y$301, MATCH(ROUND(MIN(300,MAX(1,D3192)),0), FactorTable!$A$2:$A$301,0), Skills!M11+1)</f>
        <v/>
      </c>
      <c r="F3192">
        <f>IF(Skills!N11=TRUE,(Skills!L11/10)*(E3192/1000),Skills!L11/10)+Skills!O11</f>
        <v/>
      </c>
      <c r="G3192">
        <f>Skills!G11*IF(Skills!H11&gt;0,IF(Inputs!$B$39="pvp",MIN(Skills!I11,15),Skills!I11)/Skills!H11,1)</f>
        <v/>
      </c>
      <c r="H3192">
        <f>1-(1-Skills!J11/100)^Skills!K11</f>
        <v/>
      </c>
      <c r="I3192" t="inlineStr">
        <is>
          <t>1</t>
        </is>
      </c>
      <c r="J3192" t="inlineStr"/>
      <c r="K3192" t="inlineStr"/>
      <c r="L3192" t="inlineStr"/>
      <c r="M3192" t="inlineStr"/>
      <c r="N3192" t="inlineStr"/>
      <c r="O3192">
        <f>(1-Summary!$B$11)*T3192+Summary!$B$11*V3192</f>
        <v/>
      </c>
      <c r="P3192">
        <f>IF(B3227=0,0,O3192/B3227)</f>
        <v/>
      </c>
      <c r="Q3192">
        <f>IFERROR(1/IF(Inputs!$B$39="pvp",15,MAX(0.1,Skills!D11-IF(TRUE=TRUE,Inputs!$B$32,0))),0)</f>
        <v/>
      </c>
      <c r="R3192">
        <f>IF(AND(Inputs!$B$39&lt;&gt;"pvp",Inputs!$B$44&gt;0),IF(Inputs!$B$44&lt;=0,0,(INT(Inputs!$B$44/IF(Inputs!$B$39="pvp",15,MAX(0.1,Skills!D11-IF(TRUE=TRUE,Inputs!$B$32,0))))+1)),0)</f>
        <v/>
      </c>
      <c r="S3192">
        <f>IFERROR(O3192/N3192,0)</f>
        <v/>
      </c>
      <c r="T3192" t="n">
        <v>0</v>
      </c>
      <c r="V3192" t="n">
        <v>0</v>
      </c>
    </row>
    <row r="3193">
      <c r="A3193">
        <f>Skills!A12</f>
        <v/>
      </c>
      <c r="B3193">
        <f>Skills!B12</f>
        <v/>
      </c>
      <c r="C3193">
        <f>Inputs!$B$3&gt;=103</f>
        <v/>
      </c>
      <c r="D3193">
        <f>IF(Skills!C12=1,60+Inputs!$B$25+Inputs!$B$29,IF(Skills!C12=2,90+Inputs!$B$26+Inputs!$B$29,IF(Skills!C12=3,120+Inputs!$B$27+Inputs!$B$29,MAX(0,(Inputs!$B$3-100)*3)+Inputs!$B$28+Inputs!$B$29)))</f>
        <v/>
      </c>
      <c r="E3193">
        <f>INDEX(FactorTable!$B$2:$Y$301, MATCH(ROUND(MIN(300,MAX(1,D3193)),0), FactorTable!$A$2:$A$301,0), Skills!M12+1)</f>
        <v/>
      </c>
      <c r="F3193">
        <f>(Skills!L12/10)*(E3193/1000)+IF(Inputs!$B$3&gt;=134,50,0)+0.5*(30000/10)*(INDEX(FactorTable!$B$2:$Y$301, MATCH(ROUND(MIN(300,MAX(1,D3193)),0), FactorTable!$A$2:$A$301,0), 13)/1000)*B3225</f>
        <v/>
      </c>
      <c r="G3193">
        <f>Skills!G12*IF(Skills!H12&gt;0,IF(Inputs!$B$39="pvp",MIN(Skills!I12,15),Skills!I12)/Skills!H12,1)</f>
        <v/>
      </c>
      <c r="H3193">
        <f>1-(1-Skills!J12/100)^Skills!K12</f>
        <v/>
      </c>
      <c r="I3193" t="inlineStr">
        <is>
          <t>1</t>
        </is>
      </c>
      <c r="J3193">
        <f>((Inputs!$B$6*(1+Inputs!$B$7/100))+(((Inputs!$B$12*(1+Inputs!$B$13/100))-(Inputs!$B$12*(1+Inputs!$B$13/100)))+0.25*(Inputs!$B$14-Inputs!$B$14))*(1+Inputs!$B$7/100))*(F3193/100)</f>
        <v/>
      </c>
      <c r="K3193">
        <f>J3193*(1+((Inputs!$B$12*(1+Inputs!$B$13/100))*0.01+Inputs!$B$14*0.0025)/100)*(1+Inputs!$B$15/100)*(1+Inputs!$B$16/100)*(5000/(6000+Inputs!$B$43*(1-(100*(1-(1-Inputs!$B$19/100)*(1-CHOOSE(ArtifactsInput!$N$40+1,5,6,7,8,9,10)/100)^(ArtifactsInput!$M$40-ArtifactsInput!$M$40)))/100)))*(1+(Inputs!$B$24+((C3212=TRUE)*(F3212-Calc!F31))+((C3199=TRUE)*(F3199-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12="CRUEL_STAB",Inputs!$B$17+((C3209=TRUE)*(F3209-Calc!F28))+((IF(AND(Inputs!$B$39&lt;&gt;"pvp",Inputs!$B$44=0),1,IF(IF(Inputs!$B$39="pvp",15,Inputs!$B$44)-(B3226)&lt;=0,1,MAX(0,IF(Inputs!$B$39="pvp",15,Inputs!$B$44)-MAX(5,B3226))/(IF(Inputs!$B$39="pvp",15,Inputs!$B$44)-(B3226))))*(IF(AND(ArtifactsInput!$M$42,((Inputs!$B$9+((C3207=TRUE)*(F3207-Calc!F26))+B3215+(ArtifactsInput!$M$24-ArtifactsInput!$M$24)*CHOOSE(ArtifactsInput!$N$24+1,10,12,14,16,18,20)+IF(ArtifactsInput!$M$10,CHOOSE(ArtifactsInput!$N$10+1,15,18,21,24,27,30)*(IF(Inputs!$B$39="pvp",MIN(15,15)/15,IF(AND(Inputs!$B$39&lt;&gt;"pvp",Inputs!$B$44&gt;0),MIN(15,Inputs!$B$44)/(Inputs!$B$44),0))),0)))&gt;=100),MIN(100,((Inputs!$B$9+((C3207=TRUE)*(F3207-Calc!F26))+B3215+(ArtifactsInput!$M$24-ArtifactsInput!$M$24)*CHOOSE(ArtifactsInput!$N$24+1,10,12,14,16,18,20)+IF(ArtifactsInput!$M$10,CHOOSE(ArtifactsInput!$N$10+1,15,18,21,24,27,30)*(IF(Inputs!$B$39="pvp",MIN(15,15)/15,IF(AND(Inputs!$B$39&lt;&gt;"pvp",Inputs!$B$44&gt;0),MIN(15,Inputs!$B$44)/(Inputs!$B$44),0))),0)))-100),0))*CHOOSE(ArtifactsInput!$N$42+1,0.6,0.72,0.84,0.96,1.08,1.2))),Inputs!$B$18+((C3210=TRUE)*(F3210-Calc!F29))+(IF(AND(Inputs!$B$39&lt;&gt;"pvp",Inputs!$B$44=0),1,IF(IF(Inputs!$B$39="pvp",15,Inputs!$B$44)-(B3226)&lt;=0,1,MAX(0,IF(Inputs!$B$39="pvp",15,Inputs!$B$44)-MAX(5,B3226))/(IF(Inputs!$B$39="pvp",15,Inputs!$B$44)-(B3226))))*IF(AND(ArtifactsInput!$M$42,((Inputs!$B$9+((C3207=TRUE)*(F3207-Calc!F26))+B3215+(ArtifactsInput!$M$24-ArtifactsInput!$M$24)*CHOOSE(ArtifactsInput!$N$24+1,10,12,14,16,18,20)+IF(ArtifactsInput!$M$10,CHOOSE(ArtifactsInput!$N$10+1,15,18,21,24,27,30)*(IF(Inputs!$B$39="pvp",MIN(15,15)/15,IF(AND(Inputs!$B$39&lt;&gt;"pvp",Inputs!$B$44&gt;0),MIN(15,Inputs!$B$44)/(Inputs!$B$44),0))),0)))&gt;=100),CHOOSE(ArtifactsInput!$N$42+1,40,48,56,64,72,80),0))))/100)*(((1+(((C3203=TRUE)*F3203*IF(AND(Inputs!$B$39&lt;&gt;"pvp",Inputs!$B$44&gt;0),(((R3203-1)*MIN((Skills!Y22*(1+Inputs!$B$34/100)),(1/Q3203))+MIN((Skills!Y22*(1+Inputs!$B$34/100)),MAX(0,Inputs!$B$44-((R3203-1)*(1/Q3203)))))/Inputs!$B$44),IF(Inputs!$B$39="pvp",MIN((Skills!Y22*(1+Inputs!$B$34/100)),15)/15,MIN(1,(Skills!Y22*(1+Inputs!$B$34/100))/(1/Q3203)))))+((C3184=TRUE)*F3184*3)+((C3186=TRUE)*F3186*(1-EXP(-0.75*B3219*5)))+((C3205=TRUE)*(F3205-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IF(ArtifactsInput!$M$41,FALSE,TRUE),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3192=TRUE)*F3192*IF(AND(Inputs!$B$39&lt;&gt;"pvp",Inputs!$B$44&gt;0),(((R3192-1)*MIN((Skills!Y11*(1+Inputs!$B$34/100)),(1/Q3192))+MIN((Skills!Y11*(1+Inputs!$B$34/100)),MAX(0,Inputs!$B$44-((R3192-1)*(1/Q3192)))))/Inputs!$B$44),IF(Inputs!$B$39="pvp",MIN((Skills!Y11*(1+Inputs!$B$34/100)),15)/15,MIN(1,(Skills!Y11*(1+Inputs!$B$34/100))/(1/Q3192)))))/100)*(1+((C3197=TRUE)*F3197*IF(AND(Inputs!$B$39&lt;&gt;"pvp",Inputs!$B$44&gt;0),(((R3197-1)*MIN((Skills!Y16*(1+Inputs!$B$34/100)),(1/Q3197))+MIN((Skills!Y16*(1+Inputs!$B$34/100)),MAX(0,Inputs!$B$44-((R3197-1)*(1/Q3197)))))/Inputs!$B$44),IF(Inputs!$B$39="pvp",MIN((Skills!Y16*(1+Inputs!$B$34/100)),15)/15,MIN(1,(Skills!Y16*(1+Inputs!$B$34/100))/(1/Q3197)))))/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3217*I3193)</f>
        <v/>
      </c>
      <c r="L3193">
        <f>K3193*(MIN(Inputs!$B$22+((C3206=TRUE)*(F3206-Calc!F25)),(Inputs!$B$23+((C3211=TRUE)*(F3211-Calc!F30))+IF(ArtifactsInput!$M$15,CHOOSE(ArtifactsInput!$N$15+1,25,30,35,40,45,50)/100*(Inputs!$B$11-Inputs!$B$11),0)))/100+(Inputs!$B$23+((C3211=TRUE)*(F3211-Calc!F30))+IF(ArtifactsInput!$M$15,CHOOSE(ArtifactsInput!$N$15+1,25,30,35,40,45,50)/100*(Inputs!$B$11-Inputs!$B$11),0))/100)/2</f>
        <v/>
      </c>
      <c r="M3193">
        <f>L3193*(1+(Inputs!$B$10+((C3208=TRUE)*(F3208-Calc!F27))+B3222+(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3193">
        <f>L3193*(1-MIN((Inputs!$B$9+((C3207=TRUE)*(F3207-Calc!F26))+B3215+(ArtifactsInput!$M$24-ArtifactsInput!$M$24)*CHOOSE(ArtifactsInput!$N$24+1,10,12,14,16,18,20)+(IF(AND(Inputs!$B$39&lt;&gt;"pvp",Inputs!$B$44=0),1,IF(IF(Inputs!$B$39="pvp",15,Inputs!$B$44)-(B3226)&lt;=0,1,MAX(0,IF(Inputs!$B$39="pvp",15,Inputs!$B$44)-MAX(5,B3226))/(IF(Inputs!$B$39="pvp",15,Inputs!$B$44)-(B3226))))*IF(AND(ArtifactsInput!$M$42,((Inputs!$B$9+((C3207=TRUE)*(F3207-Calc!F26))+B3215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3193*(MIN((Inputs!$B$9+((C3207=TRUE)*(F3207-Calc!F26))+B3215+(ArtifactsInput!$M$24-ArtifactsInput!$M$24)*CHOOSE(ArtifactsInput!$N$24+1,10,12,14,16,18,20)+(IF(AND(Inputs!$B$39&lt;&gt;"pvp",Inputs!$B$44=0),1,IF(IF(Inputs!$B$39="pvp",15,Inputs!$B$44)-(B3226)&lt;=0,1,MAX(0,IF(Inputs!$B$39="pvp",15,Inputs!$B$44)-MAX(5,B3226))/(IF(Inputs!$B$39="pvp",15,Inputs!$B$44)-(B3226))))*IF(AND(ArtifactsInput!$M$42,((Inputs!$B$9+((C3207=TRUE)*(F3207-Calc!F26))+B3215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3193">
        <f>(1-Summary!$B$11)*T3193+Summary!$B$11*V3193</f>
        <v/>
      </c>
      <c r="P3193">
        <f>IF(B3227=0,0,O3193/B3227)</f>
        <v/>
      </c>
      <c r="Q3193">
        <f>IFERROR(1/IF(Inputs!$B$39="pvp",15,MAX(0.1,Skills!D12-IF(TRUE=TRUE,Inputs!$B$32,0))),0)</f>
        <v/>
      </c>
      <c r="R3193">
        <f>IF(AND(Inputs!$B$39&lt;&gt;"pvp",Inputs!$B$44&gt;0),IF(MAX(0,Inputs!$B$44-B3226)&lt;=0,0,(INT(MAX(0,Inputs!$B$44-B3226)/IF(Inputs!$B$39="pvp",15,MAX(0.1,Skills!D12-IF(TRUE=TRUE,Inputs!$B$32,0))))+1)),0)</f>
        <v/>
      </c>
      <c r="S3193">
        <f>IFERROR(O3193/N3193,0)</f>
        <v/>
      </c>
      <c r="T3193">
        <f>IF(C3193,(H3193*N3193*IF(AND(Inputs!$B$39&lt;&gt;"pvp",Inputs!$B$44&gt;0),((Skills!G12*((R3193-1)*IF(Skills!H12&gt;0,Skills!I12/Skills!H12,1)+IF(Skills!H12&gt;0,MIN(Skills!I12,MAX(0,MAX(0,Inputs!$B$44-B3226)-((R3193-1)*IF(Inputs!$B$39="pvp",15,MAX(0.1,Skills!D12-IF(TRUE=TRUE,Inputs!$B$32,0))))))/Skills!H12,1)))/Inputs!$B$44),G3193*Q3193))*IF(Inputs!$B$39="pvp",1,1+(Inputs!$B$20+0+Skills!P12+B3216+(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Hunt"),CHOOSE(ArtifactsInput!$N$35+1,15,18,21,24,27,30)*(1-EXP(-(0.2*B3219)*5)),0)+IF(AND(ArtifactsInput!$M$22,Inputs!$B$4&lt;&gt;"Chapter Hunt"),CHOOSE(ArtifactsInput!$N$22+1,10,12,14,16,18,20)*((0*(((0.15*B3219*5))^0/1)+1*(((0.15*B3219*5))^1/1)+2*(((0.15*B3219*5))^2/2)+3*(((0.15*B3219*5))^3/6)+4*(((0.15*B3219*5))^4/24)+5*(((0.15*B3219*5))^5/120))/((((0.15*B3219*5))^0/1)+(((0.15*B3219*5))^1/1)+(((0.15*B3219*5))^2/2)+(((0.15*B3219*5))^3/6)+(((0.15*B3219*5))^4/24)+(((0.15*B3219*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3193*(1-MIN(100,(Inputs!$B$9+((C3207=TRUE)*(F3207-Calc!F26))+B3215+(ArtifactsInput!$M$24-ArtifactsInput!$M$24)*CHOOSE(ArtifactsInput!$N$24+1,10,12,14,16,18,20)+(IF(AND(Inputs!$B$39&lt;&gt;"pvp",Inputs!$B$44=0),1,IF(IF(Inputs!$B$39="pvp",15,Inputs!$B$44)-(B3226)&lt;=0,1,MAX(0,IF(Inputs!$B$39="pvp",15,Inputs!$B$44)-MAX(5,B3226))/(IF(Inputs!$B$39="pvp",15,Inputs!$B$44)-(B3226))))*IF(AND(ArtifactsInput!$M$42,((Inputs!$B$9+((C3207=TRUE)*(F3207-Calc!F26))+B3215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3193*(MIN(100,(Inputs!$B$9+((C3207=TRUE)*(F3207-Calc!F26))+B3215+(ArtifactsInput!$M$24-ArtifactsInput!$M$24)*CHOOSE(ArtifactsInput!$N$24+1,10,12,14,16,18,20)+(IF(AND(Inputs!$B$39&lt;&gt;"pvp",Inputs!$B$44=0),1,IF(IF(Inputs!$B$39="pvp",15,Inputs!$B$44)-(B3226)&lt;=0,1,MAX(0,IF(Inputs!$B$39="pvp",15,Inputs!$B$44)-MAX(5,B3226))/(IF(Inputs!$B$39="pvp",15,Inputs!$B$44)-(B3226))))*IF(AND(ArtifactsInput!$M$42,((Inputs!$B$9+((C3207=TRUE)*(F3207-Calc!F26))+B3215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3193*(1-MIN(100,(Inputs!$B$9+((C3207=TRUE)*(F3207-Calc!F26))+B3215+(ArtifactsInput!$M$24-ArtifactsInput!$M$24)*CHOOSE(ArtifactsInput!$N$24+1,10,12,14,16,18,20)+(IF(AND(Inputs!$B$39&lt;&gt;"pvp",Inputs!$B$44=0),1,IF(IF(Inputs!$B$39="pvp",15,Inputs!$B$44)-(B3226)&lt;=0,1,MAX(0,IF(Inputs!$B$39="pvp",15,Inputs!$B$44)-MAX(5,B3226))/(IF(Inputs!$B$39="pvp",15,Inputs!$B$44)-(B3226))))*IF(AND(ArtifactsInput!$M$42,((Inputs!$B$9+((C3207=TRUE)*(F3207-Calc!F26))+B3215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3193*(MIN(100,(Inputs!$B$9+((C3207=TRUE)*(F3207-Calc!F26))+B3215+(ArtifactsInput!$M$24-ArtifactsInput!$M$24)*CHOOSE(ArtifactsInput!$N$24+1,10,12,14,16,18,20)+(IF(AND(Inputs!$B$39&lt;&gt;"pvp",Inputs!$B$44=0),1,IF(IF(Inputs!$B$39="pvp",15,Inputs!$B$44)-(B3226)&lt;=0,1,MAX(0,IF(Inputs!$B$39="pvp",15,Inputs!$B$44)-MAX(5,B3226))/(IF(Inputs!$B$39="pvp",15,Inputs!$B$44)-(B3226))))*IF(AND(ArtifactsInput!$M$42,((Inputs!$B$9+((C3207=TRUE)*(F3207-Calc!F26))+B3215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3193">
        <f>IF(C3193,(H3193*N3193*IF(AND(Inputs!$B$39&lt;&gt;"pvp",Inputs!$B$44&gt;0),((Skills!G12*((R3193-1)*IF(Skills!H12&gt;0,Skills!I12/Skills!H12,1)+IF(Skills!H12&gt;0,MIN(Skills!I12,MAX(0,MAX(0,Inputs!$B$44-B3226)-((R3193-1)*IF(Inputs!$B$39="pvp",15,MAX(0.1,Skills!D12-IF(TRUE=TRUE,Inputs!$B$32,0))))))/Skills!H12,1)))/Inputs!$B$44),G3193*Q3193))*IF(Inputs!$B$39="pvp",1,(1+(Inputs!$B$21+Skills!Q12+B3216+(IF(ArtifactsInput!$M$33,CHOOSE(ArtifactsInput!$N$33+1,30,36,42,48,54,60),0))+(IF(AND(ArtifactsInput!$M$35,Inputs!$B$4&lt;&gt;"Chapter Hunt"),CHOOSE(ArtifactsInput!$N$35+1,15,18,21,24,27,30)*(1-EXP(-(0.2*B3219)*5)),0)+IF(AND(ArtifactsInput!$M$22,Inputs!$B$4&lt;&gt;"Chapter Hunt"),CHOOSE(ArtifactsInput!$N$22+1,10,12,14,16,18,20)*((0*(((0.15*B3219*5))^0/1)+1*(((0.15*B3219*5))^1/1)+2*(((0.15*B3219*5))^2/2)+3*(((0.15*B3219*5))^3/6)+4*(((0.15*B3219*5))^4/24)+5*(((0.15*B3219*5))^5/120))/((((0.15*B3219*5))^0/1)+(((0.15*B3219*5))^1/1)+(((0.15*B3219*5))^2/2)+(((0.15*B3219*5))^3/6)+(((0.15*B3219*5))^4/24)+(((0.15*B3219*5))^5/120))),0)))/100)*(MIN(Skills!W12,Inputs!$B$37)))*((1+(IF(AND(IF(ArtifactsInput!$M$41,FALSE,TRUE),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3194">
      <c r="A3194">
        <f>Skills!A13</f>
        <v/>
      </c>
      <c r="B3194">
        <f>Skills!B13</f>
        <v/>
      </c>
      <c r="C3194">
        <f>Inputs!$B$3&gt;=105</f>
        <v/>
      </c>
      <c r="D3194">
        <f>IF(Skills!C13=1,60+Inputs!$B$25+Inputs!$B$29,IF(Skills!C13=2,90+Inputs!$B$26+Inputs!$B$29,IF(Skills!C13=3,120+Inputs!$B$27+Inputs!$B$29,MAX(0,(Inputs!$B$3-100)*3)+Inputs!$B$28+Inputs!$B$29)))</f>
        <v/>
      </c>
      <c r="E3194">
        <f>INDEX(FactorTable!$B$2:$Y$301, MATCH(ROUND(MIN(300,MAX(1,D3194)),0), FactorTable!$A$2:$A$301,0), Skills!M13+1)</f>
        <v/>
      </c>
      <c r="F3194">
        <f>IF(Skills!N13=TRUE,(Skills!L13/10)*(E3194/1000),Skills!L13/10)+Skills!O13</f>
        <v/>
      </c>
      <c r="G3194">
        <f>Skills!G13*IF(Skills!H13&gt;0,IF(Inputs!$B$39="pvp",MIN(Skills!I13,15),Skills!I13)/Skills!H13,1)</f>
        <v/>
      </c>
      <c r="H3194">
        <f>1-(1-Skills!J13/100)^Skills!K13</f>
        <v/>
      </c>
      <c r="I3194" t="inlineStr">
        <is>
          <t>1</t>
        </is>
      </c>
      <c r="J3194">
        <f>((Inputs!$B$6*(1+Inputs!$B$7/100))+(((Inputs!$B$12*(1+Inputs!$B$13/100))-(Inputs!$B$12*(1+Inputs!$B$13/100)))+0.25*(Inputs!$B$14-Inputs!$B$14))*(1+Inputs!$B$7/100))*(F3194/100)</f>
        <v/>
      </c>
      <c r="K3194">
        <f>J3194*(1+((Inputs!$B$12*(1+Inputs!$B$13/100))*0.01+Inputs!$B$14*0.0025)/100)*(1+Inputs!$B$15/100)*(1+Inputs!$B$16/100)*(5000/(6000+Inputs!$B$43*(1-(100*(1-(1-Inputs!$B$19/100)*(1-CHOOSE(ArtifactsInput!$N$40+1,5,6,7,8,9,10)/100)^(ArtifactsInput!$M$40-ArtifactsInput!$M$40)))/100)))*(1+(Inputs!$B$24+((C3212=TRUE)*(F3212-Calc!F31))+((C3199=TRUE)*(F3199-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13="CRUEL_STAB",Inputs!$B$17+((C3209=TRUE)*(F3209-Calc!F28))+((IF(AND(Inputs!$B$39&lt;&gt;"pvp",Inputs!$B$44=0),1,IF(IF(Inputs!$B$39="pvp",15,Inputs!$B$44)-(B3226)&lt;=0,1,MAX(0,IF(Inputs!$B$39="pvp",15,Inputs!$B$44)-MAX(5,B3226))/(IF(Inputs!$B$39="pvp",15,Inputs!$B$44)-(B3226))))*(IF(AND(ArtifactsInput!$M$42,((Inputs!$B$9+((C3207=TRUE)*(F3207-Calc!F26))+B3215+(ArtifactsInput!$M$24-ArtifactsInput!$M$24)*CHOOSE(ArtifactsInput!$N$24+1,10,12,14,16,18,20)+IF(ArtifactsInput!$M$10,CHOOSE(ArtifactsInput!$N$10+1,15,18,21,24,27,30)*(IF(Inputs!$B$39="pvp",MIN(15,15)/15,IF(AND(Inputs!$B$39&lt;&gt;"pvp",Inputs!$B$44&gt;0),MIN(15,Inputs!$B$44)/(Inputs!$B$44),0))),0)))&gt;=100),MIN(100,((Inputs!$B$9+((C3207=TRUE)*(F3207-Calc!F26))+B3215+(ArtifactsInput!$M$24-ArtifactsInput!$M$24)*CHOOSE(ArtifactsInput!$N$24+1,10,12,14,16,18,20)+IF(ArtifactsInput!$M$10,CHOOSE(ArtifactsInput!$N$10+1,15,18,21,24,27,30)*(IF(Inputs!$B$39="pvp",MIN(15,15)/15,IF(AND(Inputs!$B$39&lt;&gt;"pvp",Inputs!$B$44&gt;0),MIN(15,Inputs!$B$44)/(Inputs!$B$44),0))),0)))-100),0))*CHOOSE(ArtifactsInput!$N$42+1,0.6,0.72,0.84,0.96,1.08,1.2))),Inputs!$B$18+((C3210=TRUE)*(F3210-Calc!F29))+(IF(AND(Inputs!$B$39&lt;&gt;"pvp",Inputs!$B$44=0),1,IF(IF(Inputs!$B$39="pvp",15,Inputs!$B$44)-(B3226)&lt;=0,1,MAX(0,IF(Inputs!$B$39="pvp",15,Inputs!$B$44)-MAX(5,B3226))/(IF(Inputs!$B$39="pvp",15,Inputs!$B$44)-(B3226))))*IF(AND(ArtifactsInput!$M$42,((Inputs!$B$9+((C3207=TRUE)*(F3207-Calc!F26))+B3215+(ArtifactsInput!$M$24-ArtifactsInput!$M$24)*CHOOSE(ArtifactsInput!$N$24+1,10,12,14,16,18,20)+IF(ArtifactsInput!$M$10,CHOOSE(ArtifactsInput!$N$10+1,15,18,21,24,27,30)*(IF(Inputs!$B$39="pvp",MIN(15,15)/15,IF(AND(Inputs!$B$39&lt;&gt;"pvp",Inputs!$B$44&gt;0),MIN(15,Inputs!$B$44)/(Inputs!$B$44),0))),0)))&gt;=100),CHOOSE(ArtifactsInput!$N$42+1,40,48,56,64,72,80),0))))/100)*(((1+(((C3203=TRUE)*F3203*IF(AND(Inputs!$B$39&lt;&gt;"pvp",Inputs!$B$44&gt;0),(((R3203-1)*MIN((Skills!Y22*(1+Inputs!$B$34/100)),(1/Q3203))+MIN((Skills!Y22*(1+Inputs!$B$34/100)),MAX(0,Inputs!$B$44-((R3203-1)*(1/Q3203)))))/Inputs!$B$44),IF(Inputs!$B$39="pvp",MIN((Skills!Y22*(1+Inputs!$B$34/100)),15)/15,MIN(1,(Skills!Y22*(1+Inputs!$B$34/100))/(1/Q3203)))))+((C3184=TRUE)*F3184*3)+((C3186=TRUE)*F3186*(1-EXP(-0.75*B3219*5)))+((C3205=TRUE)*(F3205-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IF(ArtifactsInput!$M$41,FALSE,TRUE),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3192=TRUE)*F3192*IF(AND(Inputs!$B$39&lt;&gt;"pvp",Inputs!$B$44&gt;0),(((R3192-1)*MIN((Skills!Y11*(1+Inputs!$B$34/100)),(1/Q3192))+MIN((Skills!Y11*(1+Inputs!$B$34/100)),MAX(0,Inputs!$B$44-((R3192-1)*(1/Q3192)))))/Inputs!$B$44),IF(Inputs!$B$39="pvp",MIN((Skills!Y11*(1+Inputs!$B$34/100)),15)/15,MIN(1,(Skills!Y11*(1+Inputs!$B$34/100))/(1/Q3192)))))/100)*(1+((C3197=TRUE)*F3197*IF(AND(Inputs!$B$39&lt;&gt;"pvp",Inputs!$B$44&gt;0),(((R3197-1)*MIN((Skills!Y16*(1+Inputs!$B$34/100)),(1/Q3197))+MIN((Skills!Y16*(1+Inputs!$B$34/100)),MAX(0,Inputs!$B$44-((R3197-1)*(1/Q3197)))))/Inputs!$B$44),IF(Inputs!$B$39="pvp",MIN((Skills!Y16*(1+Inputs!$B$34/100)),15)/15,MIN(1,(Skills!Y16*(1+Inputs!$B$34/100))/(1/Q3197)))))/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3217*I3194)</f>
        <v/>
      </c>
      <c r="L3194">
        <f>K3194*(MIN(Inputs!$B$22+((C3206=TRUE)*(F3206-Calc!F25)),(Inputs!$B$23+((C3211=TRUE)*(F3211-Calc!F30))+IF(ArtifactsInput!$M$15,CHOOSE(ArtifactsInput!$N$15+1,25,30,35,40,45,50)/100*(Inputs!$B$11-Inputs!$B$11),0)))/100+(Inputs!$B$23+((C3211=TRUE)*(F3211-Calc!F30))+IF(ArtifactsInput!$M$15,CHOOSE(ArtifactsInput!$N$15+1,25,30,35,40,45,50)/100*(Inputs!$B$11-Inputs!$B$11),0))/100)/2</f>
        <v/>
      </c>
      <c r="M3194">
        <f>L3194*(1+(Inputs!$B$10+((C3208=TRUE)*(F3208-Calc!F27))+B3222+(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3194">
        <f>L3194*(1-MIN((Inputs!$B$9+((C3207=TRUE)*(F3207-Calc!F26))+B3215+(ArtifactsInput!$M$24-ArtifactsInput!$M$24)*CHOOSE(ArtifactsInput!$N$24+1,10,12,14,16,18,20)+(IF(AND(Inputs!$B$39&lt;&gt;"pvp",Inputs!$B$44=0),1,IF(IF(Inputs!$B$39="pvp",15,Inputs!$B$44)-(B3226)&lt;=0,1,MAX(0,IF(Inputs!$B$39="pvp",15,Inputs!$B$44)-MAX(5,B3226))/(IF(Inputs!$B$39="pvp",15,Inputs!$B$44)-(B3226))))*IF(AND(ArtifactsInput!$M$42,((Inputs!$B$9+((C3207=TRUE)*(F3207-Calc!F26))+B3215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3194*(MIN((Inputs!$B$9+((C3207=TRUE)*(F3207-Calc!F26))+B3215+(ArtifactsInput!$M$24-ArtifactsInput!$M$24)*CHOOSE(ArtifactsInput!$N$24+1,10,12,14,16,18,20)+(IF(AND(Inputs!$B$39&lt;&gt;"pvp",Inputs!$B$44=0),1,IF(IF(Inputs!$B$39="pvp",15,Inputs!$B$44)-(B3226)&lt;=0,1,MAX(0,IF(Inputs!$B$39="pvp",15,Inputs!$B$44)-MAX(5,B3226))/(IF(Inputs!$B$39="pvp",15,Inputs!$B$44)-(B3226))))*IF(AND(ArtifactsInput!$M$42,((Inputs!$B$9+((C3207=TRUE)*(F3207-Calc!F26))+B3215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3194">
        <f>(1-Summary!$B$11)*T3194+Summary!$B$11*V3194</f>
        <v/>
      </c>
      <c r="P3194">
        <f>IF(B3227=0,0,O3194/B3227)</f>
        <v/>
      </c>
      <c r="Q3194">
        <f>IFERROR(1/IF(Inputs!$B$39="pvp",15,MAX(0.1,Skills!D13-IF(TRUE=TRUE,Inputs!$B$32,0))),0)</f>
        <v/>
      </c>
      <c r="R3194">
        <f>IF(AND(Inputs!$B$39&lt;&gt;"pvp",Inputs!$B$44&gt;0),IF(MAX(0,Inputs!$B$44-B3226)&lt;=0,0,(INT(MAX(0,Inputs!$B$44-B3226)/IF(Inputs!$B$39="pvp",15,MAX(0.1,Skills!D13-IF(TRUE=TRUE,Inputs!$B$32,0))))+1)),0)</f>
        <v/>
      </c>
      <c r="S3194">
        <f>IFERROR(O3194/N3194,0)</f>
        <v/>
      </c>
      <c r="T3194">
        <f>IF(C3194,(H3194*N3194*IF(AND(Inputs!$B$39&lt;&gt;"pvp",Inputs!$B$44&gt;0),((Skills!G13*((R3194-1)*IF(Skills!H13&gt;0,Skills!I13/Skills!H13,1)+IF(Skills!H13&gt;0,MIN(Skills!I13,MAX(0,MAX(0,Inputs!$B$44-B3226)-((R3194-1)*IF(Inputs!$B$39="pvp",15,MAX(0.1,Skills!D13-IF(TRUE=TRUE,Inputs!$B$32,0))))))/Skills!H13,1)))/Inputs!$B$44),G3194*Q3194))*IF(Inputs!$B$39="pvp",1,1+(Inputs!$B$20+0+Skills!P13+B3216+(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Hunt"),CHOOSE(ArtifactsInput!$N$35+1,15,18,21,24,27,30)*(1-EXP(-(0.2*B3219)*5)),0)+IF(AND(ArtifactsInput!$M$22,Inputs!$B$4&lt;&gt;"Chapter Hunt"),CHOOSE(ArtifactsInput!$N$22+1,10,12,14,16,18,20)*((0*(((0.15*B3219*5))^0/1)+1*(((0.15*B3219*5))^1/1)+2*(((0.15*B3219*5))^2/2)+3*(((0.15*B3219*5))^3/6)+4*(((0.15*B3219*5))^4/24)+5*(((0.15*B3219*5))^5/120))/((((0.15*B3219*5))^0/1)+(((0.15*B3219*5))^1/1)+(((0.15*B3219*5))^2/2)+(((0.15*B3219*5))^3/6)+(((0.15*B3219*5))^4/24)+(((0.15*B3219*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3194*(1-MIN(100,(Inputs!$B$9+((C3207=TRUE)*(F3207-Calc!F26))+B3215+(ArtifactsInput!$M$24-ArtifactsInput!$M$24)*CHOOSE(ArtifactsInput!$N$24+1,10,12,14,16,18,20)+(IF(AND(Inputs!$B$39&lt;&gt;"pvp",Inputs!$B$44=0),1,IF(IF(Inputs!$B$39="pvp",15,Inputs!$B$44)-(B3226)&lt;=0,1,MAX(0,IF(Inputs!$B$39="pvp",15,Inputs!$B$44)-MAX(5,B3226))/(IF(Inputs!$B$39="pvp",15,Inputs!$B$44)-(B3226))))*IF(AND(ArtifactsInput!$M$42,((Inputs!$B$9+((C3207=TRUE)*(F3207-Calc!F26))+B3215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3194*(MIN(100,(Inputs!$B$9+((C3207=TRUE)*(F3207-Calc!F26))+B3215+(ArtifactsInput!$M$24-ArtifactsInput!$M$24)*CHOOSE(ArtifactsInput!$N$24+1,10,12,14,16,18,20)+(IF(AND(Inputs!$B$39&lt;&gt;"pvp",Inputs!$B$44=0),1,IF(IF(Inputs!$B$39="pvp",15,Inputs!$B$44)-(B3226)&lt;=0,1,MAX(0,IF(Inputs!$B$39="pvp",15,Inputs!$B$44)-MAX(5,B3226))/(IF(Inputs!$B$39="pvp",15,Inputs!$B$44)-(B3226))))*IF(AND(ArtifactsInput!$M$42,((Inputs!$B$9+((C3207=TRUE)*(F3207-Calc!F26))+B3215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3194*(1-MIN(100,(Inputs!$B$9+((C3207=TRUE)*(F3207-Calc!F26))+B3215+(ArtifactsInput!$M$24-ArtifactsInput!$M$24)*CHOOSE(ArtifactsInput!$N$24+1,10,12,14,16,18,20)+(IF(AND(Inputs!$B$39&lt;&gt;"pvp",Inputs!$B$44=0),1,IF(IF(Inputs!$B$39="pvp",15,Inputs!$B$44)-(B3226)&lt;=0,1,MAX(0,IF(Inputs!$B$39="pvp",15,Inputs!$B$44)-MAX(5,B3226))/(IF(Inputs!$B$39="pvp",15,Inputs!$B$44)-(B3226))))*IF(AND(ArtifactsInput!$M$42,((Inputs!$B$9+((C3207=TRUE)*(F3207-Calc!F26))+B3215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3194*(MIN(100,(Inputs!$B$9+((C3207=TRUE)*(F3207-Calc!F26))+B3215+(ArtifactsInput!$M$24-ArtifactsInput!$M$24)*CHOOSE(ArtifactsInput!$N$24+1,10,12,14,16,18,20)+(IF(AND(Inputs!$B$39&lt;&gt;"pvp",Inputs!$B$44=0),1,IF(IF(Inputs!$B$39="pvp",15,Inputs!$B$44)-(B3226)&lt;=0,1,MAX(0,IF(Inputs!$B$39="pvp",15,Inputs!$B$44)-MAX(5,B3226))/(IF(Inputs!$B$39="pvp",15,Inputs!$B$44)-(B3226))))*IF(AND(ArtifactsInput!$M$42,((Inputs!$B$9+((C3207=TRUE)*(F3207-Calc!F26))+B3215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3194">
        <f>IF(C3194,(H3194*N3194*IF(AND(Inputs!$B$39&lt;&gt;"pvp",Inputs!$B$44&gt;0),((Skills!G13*((R3194-1)*IF(Skills!H13&gt;0,Skills!I13/Skills!H13,1)+IF(Skills!H13&gt;0,MIN(Skills!I13,MAX(0,MAX(0,Inputs!$B$44-B3226)-((R3194-1)*IF(Inputs!$B$39="pvp",15,MAX(0.1,Skills!D13-IF(TRUE=TRUE,Inputs!$B$32,0))))))/Skills!H13,1)))/Inputs!$B$44),G3194*Q3194))*IF(Inputs!$B$39="pvp",1,(1+(Inputs!$B$21+Skills!Q13+B3216+(IF(ArtifactsInput!$M$33,CHOOSE(ArtifactsInput!$N$33+1,30,36,42,48,54,60),0))+(IF(AND(ArtifactsInput!$M$35,Inputs!$B$4&lt;&gt;"Chapter Hunt"),CHOOSE(ArtifactsInput!$N$35+1,15,18,21,24,27,30)*(1-EXP(-(0.2*B3219)*5)),0)+IF(AND(ArtifactsInput!$M$22,Inputs!$B$4&lt;&gt;"Chapter Hunt"),CHOOSE(ArtifactsInput!$N$22+1,10,12,14,16,18,20)*((0*(((0.15*B3219*5))^0/1)+1*(((0.15*B3219*5))^1/1)+2*(((0.15*B3219*5))^2/2)+3*(((0.15*B3219*5))^3/6)+4*(((0.15*B3219*5))^4/24)+5*(((0.15*B3219*5))^5/120))/((((0.15*B3219*5))^0/1)+(((0.15*B3219*5))^1/1)+(((0.15*B3219*5))^2/2)+(((0.15*B3219*5))^3/6)+(((0.15*B3219*5))^4/24)+(((0.15*B3219*5))^5/120))),0)))/100)*(MIN(Skills!W13,Inputs!$B$37)))*((1+(IF(AND(IF(ArtifactsInput!$M$41,FALSE,TRUE),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3195">
      <c r="A3195">
        <f>Skills!A14</f>
        <v/>
      </c>
      <c r="B3195">
        <f>Skills!B14</f>
        <v/>
      </c>
      <c r="C3195">
        <f>Inputs!$B$3&gt;=105</f>
        <v/>
      </c>
      <c r="D3195">
        <f>IF(Skills!C14=1,60+Inputs!$B$25+Inputs!$B$29,IF(Skills!C14=2,90+Inputs!$B$26+Inputs!$B$29,IF(Skills!C14=3,120+Inputs!$B$27+Inputs!$B$29,MAX(0,(Inputs!$B$3-100)*3)+Inputs!$B$28+Inputs!$B$29)))</f>
        <v/>
      </c>
      <c r="E3195">
        <f>INDEX(FactorTable!$B$2:$Y$301, MATCH(ROUND(MIN(300,MAX(1,D3195)),0), FactorTable!$A$2:$A$301,0), Skills!M14+1)</f>
        <v/>
      </c>
      <c r="F3195">
        <f>IF(Skills!N14=TRUE,(Skills!L14/10)*(E3195/1000),Skills!L14/10)+Skills!O14</f>
        <v/>
      </c>
      <c r="G3195">
        <f>Skills!G14*IF(Skills!H14&gt;0,IF(Inputs!$B$39="pvp",MIN(Skills!I14,15),Skills!I14)/Skills!H14,1)</f>
        <v/>
      </c>
      <c r="H3195">
        <f>1-(1-Skills!J14/100)^Skills!K14</f>
        <v/>
      </c>
      <c r="I3195" t="inlineStr">
        <is>
          <t>1</t>
        </is>
      </c>
      <c r="J3195">
        <f>((Inputs!$B$6*(1+Inputs!$B$7/100))+(((Inputs!$B$12*(1+Inputs!$B$13/100))-(Inputs!$B$12*(1+Inputs!$B$13/100)))+0.25*(Inputs!$B$14-Inputs!$B$14))*(1+Inputs!$B$7/100))*(F3195/100)</f>
        <v/>
      </c>
      <c r="K3195">
        <f>J3195*(1+((Inputs!$B$12*(1+Inputs!$B$13/100))*0.01+Inputs!$B$14*0.0025)/100)*(1+Inputs!$B$15/100)*(1+Inputs!$B$16/100)*(5000/(6000+Inputs!$B$43*(1-(100*(1-(1-Inputs!$B$19/100)*(1-CHOOSE(ArtifactsInput!$N$40+1,5,6,7,8,9,10)/100)^(ArtifactsInput!$M$40-ArtifactsInput!$M$40)))/100)))*(1+(Inputs!$B$24+((C3212=TRUE)*(F3212-Calc!F31))+((C3199=TRUE)*(F3199-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14="CRUEL_STAB",Inputs!$B$17+((C3209=TRUE)*(F3209-Calc!F28))+((IF(AND(Inputs!$B$39&lt;&gt;"pvp",Inputs!$B$44=0),1,IF(IF(Inputs!$B$39="pvp",15,Inputs!$B$44)-(B3226)&lt;=0,1,MAX(0,IF(Inputs!$B$39="pvp",15,Inputs!$B$44)-MAX(5,B3226))/(IF(Inputs!$B$39="pvp",15,Inputs!$B$44)-(B3226))))*(IF(AND(ArtifactsInput!$M$42,((Inputs!$B$9+((C3207=TRUE)*(F3207-Calc!F26))+B3215+(ArtifactsInput!$M$24-ArtifactsInput!$M$24)*CHOOSE(ArtifactsInput!$N$24+1,10,12,14,16,18,20)+IF(ArtifactsInput!$M$10,CHOOSE(ArtifactsInput!$N$10+1,15,18,21,24,27,30)*(IF(Inputs!$B$39="pvp",MIN(15,15)/15,IF(AND(Inputs!$B$39&lt;&gt;"pvp",Inputs!$B$44&gt;0),MIN(15,Inputs!$B$44)/(Inputs!$B$44),0))),0)))&gt;=100),MIN(100,((Inputs!$B$9+((C3207=TRUE)*(F3207-Calc!F26))+B3215+(ArtifactsInput!$M$24-ArtifactsInput!$M$24)*CHOOSE(ArtifactsInput!$N$24+1,10,12,14,16,18,20)+IF(ArtifactsInput!$M$10,CHOOSE(ArtifactsInput!$N$10+1,15,18,21,24,27,30)*(IF(Inputs!$B$39="pvp",MIN(15,15)/15,IF(AND(Inputs!$B$39&lt;&gt;"pvp",Inputs!$B$44&gt;0),MIN(15,Inputs!$B$44)/(Inputs!$B$44),0))),0)))-100),0))*CHOOSE(ArtifactsInput!$N$42+1,0.6,0.72,0.84,0.96,1.08,1.2))),Inputs!$B$18+((C3210=TRUE)*(F3210-Calc!F29))+(IF(AND(Inputs!$B$39&lt;&gt;"pvp",Inputs!$B$44=0),1,IF(IF(Inputs!$B$39="pvp",15,Inputs!$B$44)-(B3226)&lt;=0,1,MAX(0,IF(Inputs!$B$39="pvp",15,Inputs!$B$44)-MAX(5,B3226))/(IF(Inputs!$B$39="pvp",15,Inputs!$B$44)-(B3226))))*IF(AND(ArtifactsInput!$M$42,((Inputs!$B$9+((C3207=TRUE)*(F3207-Calc!F26))+B3215+(ArtifactsInput!$M$24-ArtifactsInput!$M$24)*CHOOSE(ArtifactsInput!$N$24+1,10,12,14,16,18,20)+IF(ArtifactsInput!$M$10,CHOOSE(ArtifactsInput!$N$10+1,15,18,21,24,27,30)*(IF(Inputs!$B$39="pvp",MIN(15,15)/15,IF(AND(Inputs!$B$39&lt;&gt;"pvp",Inputs!$B$44&gt;0),MIN(15,Inputs!$B$44)/(Inputs!$B$44),0))),0)))&gt;=100),CHOOSE(ArtifactsInput!$N$42+1,40,48,56,64,72,80),0))))/100)*(((1+(((C3203=TRUE)*F3203*IF(AND(Inputs!$B$39&lt;&gt;"pvp",Inputs!$B$44&gt;0),(((R3203-1)*MIN((Skills!Y22*(1+Inputs!$B$34/100)),(1/Q3203))+MIN((Skills!Y22*(1+Inputs!$B$34/100)),MAX(0,Inputs!$B$44-((R3203-1)*(1/Q3203)))))/Inputs!$B$44),IF(Inputs!$B$39="pvp",MIN((Skills!Y22*(1+Inputs!$B$34/100)),15)/15,MIN(1,(Skills!Y22*(1+Inputs!$B$34/100))/(1/Q3203)))))+((C3184=TRUE)*F3184*3)+((C3186=TRUE)*F3186*(1-EXP(-0.75*B3219*5)))+((C3205=TRUE)*(F3205-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IF(ArtifactsInput!$M$41,FALSE,TRUE),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3192=TRUE)*F3192*IF(AND(Inputs!$B$39&lt;&gt;"pvp",Inputs!$B$44&gt;0),(((R3192-1)*MIN((Skills!Y11*(1+Inputs!$B$34/100)),(1/Q3192))+MIN((Skills!Y11*(1+Inputs!$B$34/100)),MAX(0,Inputs!$B$44-((R3192-1)*(1/Q3192)))))/Inputs!$B$44),IF(Inputs!$B$39="pvp",MIN((Skills!Y11*(1+Inputs!$B$34/100)),15)/15,MIN(1,(Skills!Y11*(1+Inputs!$B$34/100))/(1/Q3192)))))/100)*(1+((C3197=TRUE)*F3197*IF(AND(Inputs!$B$39&lt;&gt;"pvp",Inputs!$B$44&gt;0),(((R3197-1)*MIN((Skills!Y16*(1+Inputs!$B$34/100)),(1/Q3197))+MIN((Skills!Y16*(1+Inputs!$B$34/100)),MAX(0,Inputs!$B$44-((R3197-1)*(1/Q3197)))))/Inputs!$B$44),IF(Inputs!$B$39="pvp",MIN((Skills!Y16*(1+Inputs!$B$34/100)),15)/15,MIN(1,(Skills!Y16*(1+Inputs!$B$34/100))/(1/Q3197)))))/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3217*I3195)</f>
        <v/>
      </c>
      <c r="L3195">
        <f>K3195*(MIN(Inputs!$B$22+((C3206=TRUE)*(F3206-Calc!F25)),(Inputs!$B$23+((C3211=TRUE)*(F3211-Calc!F30))+IF(ArtifactsInput!$M$15,CHOOSE(ArtifactsInput!$N$15+1,25,30,35,40,45,50)/100*(Inputs!$B$11-Inputs!$B$11),0)))/100+(Inputs!$B$23+((C3211=TRUE)*(F3211-Calc!F30))+IF(ArtifactsInput!$M$15,CHOOSE(ArtifactsInput!$N$15+1,25,30,35,40,45,50)/100*(Inputs!$B$11-Inputs!$B$11),0))/100)/2</f>
        <v/>
      </c>
      <c r="M3195">
        <f>L3195*(1+(Inputs!$B$10+((C3208=TRUE)*(F3208-Calc!F27))+B3222+(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3195">
        <f>L3195*(1-MIN((Inputs!$B$9+((C3207=TRUE)*(F3207-Calc!F26))+B3215+(ArtifactsInput!$M$24-ArtifactsInput!$M$24)*CHOOSE(ArtifactsInput!$N$24+1,10,12,14,16,18,20)+(IF(AND(Inputs!$B$39&lt;&gt;"pvp",Inputs!$B$44=0),1,IF(IF(Inputs!$B$39="pvp",15,Inputs!$B$44)-(B3226)&lt;=0,1,MAX(0,IF(Inputs!$B$39="pvp",15,Inputs!$B$44)-MAX(5,B3226))/(IF(Inputs!$B$39="pvp",15,Inputs!$B$44)-(B3226))))*IF(AND(ArtifactsInput!$M$42,((Inputs!$B$9+((C3207=TRUE)*(F3207-Calc!F26))+B3215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3195*(MIN((Inputs!$B$9+((C3207=TRUE)*(F3207-Calc!F26))+B3215+(ArtifactsInput!$M$24-ArtifactsInput!$M$24)*CHOOSE(ArtifactsInput!$N$24+1,10,12,14,16,18,20)+(IF(AND(Inputs!$B$39&lt;&gt;"pvp",Inputs!$B$44=0),1,IF(IF(Inputs!$B$39="pvp",15,Inputs!$B$44)-(B3226)&lt;=0,1,MAX(0,IF(Inputs!$B$39="pvp",15,Inputs!$B$44)-MAX(5,B3226))/(IF(Inputs!$B$39="pvp",15,Inputs!$B$44)-(B3226))))*IF(AND(ArtifactsInput!$M$42,((Inputs!$B$9+((C3207=TRUE)*(F3207-Calc!F26))+B3215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3195">
        <f>(1-Summary!$B$11)*T3195+Summary!$B$11*V3195</f>
        <v/>
      </c>
      <c r="P3195">
        <f>IF(B3227=0,0,O3195/B3227)</f>
        <v/>
      </c>
      <c r="Q3195">
        <f>IFERROR(1/IF(Inputs!$B$39="pvp",15,MAX(0.1,Skills!D14-IF(TRUE=TRUE,Inputs!$B$32,0))),0)</f>
        <v/>
      </c>
      <c r="R3195">
        <f>IF(AND(Inputs!$B$39&lt;&gt;"pvp",Inputs!$B$44&gt;0),IF(MAX(0,Inputs!$B$44-B3226)&lt;=0,0,(INT(MAX(0,Inputs!$B$44-B3226)/IF(Inputs!$B$39="pvp",15,MAX(0.1,Skills!D14-IF(TRUE=TRUE,Inputs!$B$32,0))))+1)),0)</f>
        <v/>
      </c>
      <c r="S3195">
        <f>IFERROR(O3195/N3195,0)</f>
        <v/>
      </c>
      <c r="T3195">
        <f>IF(C3195,(H3195*N3195*IF(AND(Inputs!$B$39&lt;&gt;"pvp",Inputs!$B$44&gt;0),((Skills!G14*((R3195-1)*IF(Skills!H14&gt;0,Skills!I14/Skills!H14,1)+IF(Skills!H14&gt;0,MIN(Skills!I14,MAX(0,MAX(0,Inputs!$B$44-B3226)-((R3195-1)*IF(Inputs!$B$39="pvp",15,MAX(0.1,Skills!D14-IF(TRUE=TRUE,Inputs!$B$32,0))))))/Skills!H14,1)))/Inputs!$B$44),G3195*Q3195))*IF(Inputs!$B$39="pvp",1,1+(Inputs!$B$20+0+Skills!P14+B3216+(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Hunt"),CHOOSE(ArtifactsInput!$N$35+1,15,18,21,24,27,30)*(1-EXP(-(0.2*B3219)*5)),0)+IF(AND(ArtifactsInput!$M$22,Inputs!$B$4&lt;&gt;"Chapter Hunt"),CHOOSE(ArtifactsInput!$N$22+1,10,12,14,16,18,20)*((0*(((0.15*B3219*5))^0/1)+1*(((0.15*B3219*5))^1/1)+2*(((0.15*B3219*5))^2/2)+3*(((0.15*B3219*5))^3/6)+4*(((0.15*B3219*5))^4/24)+5*(((0.15*B3219*5))^5/120))/((((0.15*B3219*5))^0/1)+(((0.15*B3219*5))^1/1)+(((0.15*B3219*5))^2/2)+(((0.15*B3219*5))^3/6)+(((0.15*B3219*5))^4/24)+(((0.15*B3219*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3195*(1-MIN(100,(Inputs!$B$9+((C3207=TRUE)*(F3207-Calc!F26))+B3215+(ArtifactsInput!$M$24-ArtifactsInput!$M$24)*CHOOSE(ArtifactsInput!$N$24+1,10,12,14,16,18,20)+(IF(AND(Inputs!$B$39&lt;&gt;"pvp",Inputs!$B$44=0),1,IF(IF(Inputs!$B$39="pvp",15,Inputs!$B$44)-(B3226)&lt;=0,1,MAX(0,IF(Inputs!$B$39="pvp",15,Inputs!$B$44)-MAX(5,B3226))/(IF(Inputs!$B$39="pvp",15,Inputs!$B$44)-(B3226))))*IF(AND(ArtifactsInput!$M$42,((Inputs!$B$9+((C3207=TRUE)*(F3207-Calc!F26))+B3215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3195*(MIN(100,(Inputs!$B$9+((C3207=TRUE)*(F3207-Calc!F26))+B3215+(ArtifactsInput!$M$24-ArtifactsInput!$M$24)*CHOOSE(ArtifactsInput!$N$24+1,10,12,14,16,18,20)+(IF(AND(Inputs!$B$39&lt;&gt;"pvp",Inputs!$B$44=0),1,IF(IF(Inputs!$B$39="pvp",15,Inputs!$B$44)-(B3226)&lt;=0,1,MAX(0,IF(Inputs!$B$39="pvp",15,Inputs!$B$44)-MAX(5,B3226))/(IF(Inputs!$B$39="pvp",15,Inputs!$B$44)-(B3226))))*IF(AND(ArtifactsInput!$M$42,((Inputs!$B$9+((C3207=TRUE)*(F3207-Calc!F26))+B3215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3195*(1-MIN(100,(Inputs!$B$9+((C3207=TRUE)*(F3207-Calc!F26))+B3215+(ArtifactsInput!$M$24-ArtifactsInput!$M$24)*CHOOSE(ArtifactsInput!$N$24+1,10,12,14,16,18,20)+(IF(AND(Inputs!$B$39&lt;&gt;"pvp",Inputs!$B$44=0),1,IF(IF(Inputs!$B$39="pvp",15,Inputs!$B$44)-(B3226)&lt;=0,1,MAX(0,IF(Inputs!$B$39="pvp",15,Inputs!$B$44)-MAX(5,B3226))/(IF(Inputs!$B$39="pvp",15,Inputs!$B$44)-(B3226))))*IF(AND(ArtifactsInput!$M$42,((Inputs!$B$9+((C3207=TRUE)*(F3207-Calc!F26))+B3215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3195*(MIN(100,(Inputs!$B$9+((C3207=TRUE)*(F3207-Calc!F26))+B3215+(ArtifactsInput!$M$24-ArtifactsInput!$M$24)*CHOOSE(ArtifactsInput!$N$24+1,10,12,14,16,18,20)+(IF(AND(Inputs!$B$39&lt;&gt;"pvp",Inputs!$B$44=0),1,IF(IF(Inputs!$B$39="pvp",15,Inputs!$B$44)-(B3226)&lt;=0,1,MAX(0,IF(Inputs!$B$39="pvp",15,Inputs!$B$44)-MAX(5,B3226))/(IF(Inputs!$B$39="pvp",15,Inputs!$B$44)-(B3226))))*IF(AND(ArtifactsInput!$M$42,((Inputs!$B$9+((C3207=TRUE)*(F3207-Calc!F26))+B3215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3195">
        <f>IF(C3195,(H3195*N3195*IF(AND(Inputs!$B$39&lt;&gt;"pvp",Inputs!$B$44&gt;0),((Skills!G14*((R3195-1)*IF(Skills!H14&gt;0,Skills!I14/Skills!H14,1)+IF(Skills!H14&gt;0,MIN(Skills!I14,MAX(0,MAX(0,Inputs!$B$44-B3226)-((R3195-1)*IF(Inputs!$B$39="pvp",15,MAX(0.1,Skills!D14-IF(TRUE=TRUE,Inputs!$B$32,0))))))/Skills!H14,1)))/Inputs!$B$44),G3195*Q3195))*IF(Inputs!$B$39="pvp",1,(1+(Inputs!$B$21+Skills!Q14+B3216+(IF(ArtifactsInput!$M$33,CHOOSE(ArtifactsInput!$N$33+1,30,36,42,48,54,60),0))+(IF(AND(ArtifactsInput!$M$35,Inputs!$B$4&lt;&gt;"Chapter Hunt"),CHOOSE(ArtifactsInput!$N$35+1,15,18,21,24,27,30)*(1-EXP(-(0.2*B3219)*5)),0)+IF(AND(ArtifactsInput!$M$22,Inputs!$B$4&lt;&gt;"Chapter Hunt"),CHOOSE(ArtifactsInput!$N$22+1,10,12,14,16,18,20)*((0*(((0.15*B3219*5))^0/1)+1*(((0.15*B3219*5))^1/1)+2*(((0.15*B3219*5))^2/2)+3*(((0.15*B3219*5))^3/6)+4*(((0.15*B3219*5))^4/24)+5*(((0.15*B3219*5))^5/120))/((((0.15*B3219*5))^0/1)+(((0.15*B3219*5))^1/1)+(((0.15*B3219*5))^2/2)+(((0.15*B3219*5))^3/6)+(((0.15*B3219*5))^4/24)+(((0.15*B3219*5))^5/120))),0)))/100)*(MIN(Skills!W14,Inputs!$B$37)))*((1+(IF(AND(IF(ArtifactsInput!$M$41,FALSE,TRUE),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3196">
      <c r="A3196">
        <f>Skills!A15</f>
        <v/>
      </c>
      <c r="B3196">
        <f>Skills!B15</f>
        <v/>
      </c>
      <c r="C3196">
        <f>Inputs!$B$3&gt;=107</f>
        <v/>
      </c>
      <c r="D3196">
        <f>IF(Skills!C15=1,60+Inputs!$B$25+Inputs!$B$29,IF(Skills!C15=2,90+Inputs!$B$26+Inputs!$B$29,IF(Skills!C15=3,120+Inputs!$B$27+Inputs!$B$29,MAX(0,(Inputs!$B$3-100)*3)+Inputs!$B$28+Inputs!$B$29)))</f>
        <v/>
      </c>
      <c r="E3196">
        <f>INDEX(FactorTable!$B$2:$Y$301, MATCH(ROUND(MIN(300,MAX(1,D3196)),0), FactorTable!$A$2:$A$301,0), Skills!M15+1)</f>
        <v/>
      </c>
      <c r="F3196">
        <f>IF(Skills!N15=TRUE,(Skills!L15/10)*(E3196/1000),Skills!L15/10)+Skills!O15</f>
        <v/>
      </c>
      <c r="G3196">
        <f>Skills!G15*IF(Skills!H15&gt;0,IF(Inputs!$B$39="pvp",MIN(Skills!I15,15),Skills!I15)/Skills!H15,1)</f>
        <v/>
      </c>
      <c r="H3196">
        <f>1-(1-Skills!J15/100)^Skills!K15</f>
        <v/>
      </c>
      <c r="I3196" t="inlineStr">
        <is>
          <t>1</t>
        </is>
      </c>
      <c r="J3196">
        <f>((Inputs!$B$6*(1+Inputs!$B$7/100))+(((Inputs!$B$12*(1+Inputs!$B$13/100))-(Inputs!$B$12*(1+Inputs!$B$13/100)))+0.25*(Inputs!$B$14-Inputs!$B$14))*(1+Inputs!$B$7/100))*(F3196/100)</f>
        <v/>
      </c>
      <c r="K3196">
        <f>J3196*(1+((Inputs!$B$12*(1+Inputs!$B$13/100))*0.01+Inputs!$B$14*0.0025)/100)*(1+Inputs!$B$15/100)*(1+Inputs!$B$16/100)*(5000/(6000+Inputs!$B$43*(1-(100*(1-(1-Inputs!$B$19/100)*(1-CHOOSE(ArtifactsInput!$N$40+1,5,6,7,8,9,10)/100)^(ArtifactsInput!$M$40-ArtifactsInput!$M$40)))/100)))*(1+(Inputs!$B$24+((C3212=TRUE)*(F3212-Calc!F31))+((C3199=TRUE)*(F3199-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15="CRUEL_STAB",Inputs!$B$17+((C3209=TRUE)*(F3209-Calc!F28))+((IF(AND(Inputs!$B$39&lt;&gt;"pvp",Inputs!$B$44=0),1,IF(IF(Inputs!$B$39="pvp",15,Inputs!$B$44)-(B3226)&lt;=0,1,MAX(0,IF(Inputs!$B$39="pvp",15,Inputs!$B$44)-MAX(5,B3226))/(IF(Inputs!$B$39="pvp",15,Inputs!$B$44)-(B3226))))*(IF(AND(ArtifactsInput!$M$42,((Inputs!$B$9+((C3207=TRUE)*(F3207-Calc!F26))+B3215+(ArtifactsInput!$M$24-ArtifactsInput!$M$24)*CHOOSE(ArtifactsInput!$N$24+1,10,12,14,16,18,20)+IF(ArtifactsInput!$M$10,CHOOSE(ArtifactsInput!$N$10+1,15,18,21,24,27,30)*(IF(Inputs!$B$39="pvp",MIN(15,15)/15,IF(AND(Inputs!$B$39&lt;&gt;"pvp",Inputs!$B$44&gt;0),MIN(15,Inputs!$B$44)/(Inputs!$B$44),0))),0)))&gt;=100),MIN(100,((Inputs!$B$9+((C3207=TRUE)*(F3207-Calc!F26))+B3215+(ArtifactsInput!$M$24-ArtifactsInput!$M$24)*CHOOSE(ArtifactsInput!$N$24+1,10,12,14,16,18,20)+IF(ArtifactsInput!$M$10,CHOOSE(ArtifactsInput!$N$10+1,15,18,21,24,27,30)*(IF(Inputs!$B$39="pvp",MIN(15,15)/15,IF(AND(Inputs!$B$39&lt;&gt;"pvp",Inputs!$B$44&gt;0),MIN(15,Inputs!$B$44)/(Inputs!$B$44),0))),0)))-100),0))*CHOOSE(ArtifactsInput!$N$42+1,0.6,0.72,0.84,0.96,1.08,1.2))),Inputs!$B$18+((C3210=TRUE)*(F3210-Calc!F29))+(IF(AND(Inputs!$B$39&lt;&gt;"pvp",Inputs!$B$44=0),1,IF(IF(Inputs!$B$39="pvp",15,Inputs!$B$44)-(B3226)&lt;=0,1,MAX(0,IF(Inputs!$B$39="pvp",15,Inputs!$B$44)-MAX(5,B3226))/(IF(Inputs!$B$39="pvp",15,Inputs!$B$44)-(B3226))))*IF(AND(ArtifactsInput!$M$42,((Inputs!$B$9+((C3207=TRUE)*(F3207-Calc!F26))+B3215+(ArtifactsInput!$M$24-ArtifactsInput!$M$24)*CHOOSE(ArtifactsInput!$N$24+1,10,12,14,16,18,20)+IF(ArtifactsInput!$M$10,CHOOSE(ArtifactsInput!$N$10+1,15,18,21,24,27,30)*(IF(Inputs!$B$39="pvp",MIN(15,15)/15,IF(AND(Inputs!$B$39&lt;&gt;"pvp",Inputs!$B$44&gt;0),MIN(15,Inputs!$B$44)/(Inputs!$B$44),0))),0)))&gt;=100),CHOOSE(ArtifactsInput!$N$42+1,40,48,56,64,72,80),0))))/100)*(((1+(((C3203=TRUE)*F3203*IF(AND(Inputs!$B$39&lt;&gt;"pvp",Inputs!$B$44&gt;0),(((R3203-1)*MIN((Skills!Y22*(1+Inputs!$B$34/100)),(1/Q3203))+MIN((Skills!Y22*(1+Inputs!$B$34/100)),MAX(0,Inputs!$B$44-((R3203-1)*(1/Q3203)))))/Inputs!$B$44),IF(Inputs!$B$39="pvp",MIN((Skills!Y22*(1+Inputs!$B$34/100)),15)/15,MIN(1,(Skills!Y22*(1+Inputs!$B$34/100))/(1/Q3203)))))+((C3184=TRUE)*F3184*3)+((C3186=TRUE)*F3186*(1-EXP(-0.75*B3219*5)))+((C3205=TRUE)*(F3205-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IF(ArtifactsInput!$M$41,FALSE,TRUE),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3192=TRUE)*F3192*IF(AND(Inputs!$B$39&lt;&gt;"pvp",Inputs!$B$44&gt;0),(((R3192-1)*MIN((Skills!Y11*(1+Inputs!$B$34/100)),(1/Q3192))+MIN((Skills!Y11*(1+Inputs!$B$34/100)),MAX(0,Inputs!$B$44-((R3192-1)*(1/Q3192)))))/Inputs!$B$44),IF(Inputs!$B$39="pvp",MIN((Skills!Y11*(1+Inputs!$B$34/100)),15)/15,MIN(1,(Skills!Y11*(1+Inputs!$B$34/100))/(1/Q3192)))))/100)*(1+((C3197=TRUE)*F3197*IF(AND(Inputs!$B$39&lt;&gt;"pvp",Inputs!$B$44&gt;0),(((R3197-1)*MIN((Skills!Y16*(1+Inputs!$B$34/100)),(1/Q3197))+MIN((Skills!Y16*(1+Inputs!$B$34/100)),MAX(0,Inputs!$B$44-((R3197-1)*(1/Q3197)))))/Inputs!$B$44),IF(Inputs!$B$39="pvp",MIN((Skills!Y16*(1+Inputs!$B$34/100)),15)/15,MIN(1,(Skills!Y16*(1+Inputs!$B$34/100))/(1/Q3197)))))/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3217*I3196)</f>
        <v/>
      </c>
      <c r="L3196">
        <f>K3196*(MIN(Inputs!$B$22+((C3206=TRUE)*(F3206-Calc!F25)),(Inputs!$B$23+((C3211=TRUE)*(F3211-Calc!F30))+IF(ArtifactsInput!$M$15,CHOOSE(ArtifactsInput!$N$15+1,25,30,35,40,45,50)/100*(Inputs!$B$11-Inputs!$B$11),0)))/100+(Inputs!$B$23+((C3211=TRUE)*(F3211-Calc!F30))+IF(ArtifactsInput!$M$15,CHOOSE(ArtifactsInput!$N$15+1,25,30,35,40,45,50)/100*(Inputs!$B$11-Inputs!$B$11),0))/100)/2</f>
        <v/>
      </c>
      <c r="M3196">
        <f>L3196*(1+(Inputs!$B$10+((C3208=TRUE)*(F3208-Calc!F27))+B3222+(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3196">
        <f>L3196*(1-MIN((Inputs!$B$9+((C3207=TRUE)*(F3207-Calc!F26))+B3215+(ArtifactsInput!$M$24-ArtifactsInput!$M$24)*CHOOSE(ArtifactsInput!$N$24+1,10,12,14,16,18,20)+(IF(AND(Inputs!$B$39&lt;&gt;"pvp",Inputs!$B$44=0),1,IF(IF(Inputs!$B$39="pvp",15,Inputs!$B$44)-(B3226)&lt;=0,1,MAX(0,IF(Inputs!$B$39="pvp",15,Inputs!$B$44)-MAX(5,B3226))/(IF(Inputs!$B$39="pvp",15,Inputs!$B$44)-(B3226))))*IF(AND(ArtifactsInput!$M$42,((Inputs!$B$9+((C3207=TRUE)*(F3207-Calc!F26))+B3215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3196*(MIN((Inputs!$B$9+((C3207=TRUE)*(F3207-Calc!F26))+B3215+(ArtifactsInput!$M$24-ArtifactsInput!$M$24)*CHOOSE(ArtifactsInput!$N$24+1,10,12,14,16,18,20)+(IF(AND(Inputs!$B$39&lt;&gt;"pvp",Inputs!$B$44=0),1,IF(IF(Inputs!$B$39="pvp",15,Inputs!$B$44)-(B3226)&lt;=0,1,MAX(0,IF(Inputs!$B$39="pvp",15,Inputs!$B$44)-MAX(5,B3226))/(IF(Inputs!$B$39="pvp",15,Inputs!$B$44)-(B3226))))*IF(AND(ArtifactsInput!$M$42,((Inputs!$B$9+((C3207=TRUE)*(F3207-Calc!F26))+B3215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3196">
        <f>(1-Summary!$B$11)*T3196+Summary!$B$11*V3196</f>
        <v/>
      </c>
      <c r="P3196">
        <f>IF(B3227=0,0,O3196/B3227)</f>
        <v/>
      </c>
      <c r="Q3196">
        <f>IFERROR(1/IF(Inputs!$B$39="pvp",15,MAX(0.1,Skills!D15-IF(TRUE=TRUE,Inputs!$B$32,0))),0)</f>
        <v/>
      </c>
      <c r="R3196">
        <f>IF(AND(Inputs!$B$39&lt;&gt;"pvp",Inputs!$B$44&gt;0),IF(MAX(0,Inputs!$B$44-B3226)&lt;=0,0,(INT(MAX(0,Inputs!$B$44-B3226)/IF(Inputs!$B$39="pvp",15,MAX(0.1,Skills!D15-IF(TRUE=TRUE,Inputs!$B$32,0))))+1)),0)</f>
        <v/>
      </c>
      <c r="S3196">
        <f>IFERROR(O3196/N3196,0)</f>
        <v/>
      </c>
      <c r="T3196">
        <f>IF(C3196,(H3196*N3196*IF(AND(Inputs!$B$39&lt;&gt;"pvp",Inputs!$B$44&gt;0),((Skills!G15*((R3196-1)*IF(Skills!H15&gt;0,Skills!I15/Skills!H15,1)+IF(Skills!H15&gt;0,MIN(Skills!I15,MAX(0,MAX(0,Inputs!$B$44-B3226)-((R3196-1)*IF(Inputs!$B$39="pvp",15,MAX(0.1,Skills!D15-IF(TRUE=TRUE,Inputs!$B$32,0))))))/Skills!H15,1)))/Inputs!$B$44),G3196*Q3196))*IF(Inputs!$B$39="pvp",1,1+(Inputs!$B$20+0+Skills!P15+B3216+(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Hunt"),CHOOSE(ArtifactsInput!$N$35+1,15,18,21,24,27,30)*(1-EXP(-(0.2*B3219)*5)),0)+IF(AND(ArtifactsInput!$M$22,Inputs!$B$4&lt;&gt;"Chapter Hunt"),CHOOSE(ArtifactsInput!$N$22+1,10,12,14,16,18,20)*((0*(((0.15*B3219*5))^0/1)+1*(((0.15*B3219*5))^1/1)+2*(((0.15*B3219*5))^2/2)+3*(((0.15*B3219*5))^3/6)+4*(((0.15*B3219*5))^4/24)+5*(((0.15*B3219*5))^5/120))/((((0.15*B3219*5))^0/1)+(((0.15*B3219*5))^1/1)+(((0.15*B3219*5))^2/2)+(((0.15*B3219*5))^3/6)+(((0.15*B3219*5))^4/24)+(((0.15*B3219*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3196*(1-MIN(100,(Inputs!$B$9+((C3207=TRUE)*(F3207-Calc!F26))+B3215+(ArtifactsInput!$M$24-ArtifactsInput!$M$24)*CHOOSE(ArtifactsInput!$N$24+1,10,12,14,16,18,20)+(IF(AND(Inputs!$B$39&lt;&gt;"pvp",Inputs!$B$44=0),1,IF(IF(Inputs!$B$39="pvp",15,Inputs!$B$44)-(B3226)&lt;=0,1,MAX(0,IF(Inputs!$B$39="pvp",15,Inputs!$B$44)-MAX(5,B3226))/(IF(Inputs!$B$39="pvp",15,Inputs!$B$44)-(B3226))))*IF(AND(ArtifactsInput!$M$42,((Inputs!$B$9+((C3207=TRUE)*(F3207-Calc!F26))+B3215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3196*(MIN(100,(Inputs!$B$9+((C3207=TRUE)*(F3207-Calc!F26))+B3215+(ArtifactsInput!$M$24-ArtifactsInput!$M$24)*CHOOSE(ArtifactsInput!$N$24+1,10,12,14,16,18,20)+(IF(AND(Inputs!$B$39&lt;&gt;"pvp",Inputs!$B$44=0),1,IF(IF(Inputs!$B$39="pvp",15,Inputs!$B$44)-(B3226)&lt;=0,1,MAX(0,IF(Inputs!$B$39="pvp",15,Inputs!$B$44)-MAX(5,B3226))/(IF(Inputs!$B$39="pvp",15,Inputs!$B$44)-(B3226))))*IF(AND(ArtifactsInput!$M$42,((Inputs!$B$9+((C3207=TRUE)*(F3207-Calc!F26))+B3215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3196*(1-MIN(100,(Inputs!$B$9+((C3207=TRUE)*(F3207-Calc!F26))+B3215+(ArtifactsInput!$M$24-ArtifactsInput!$M$24)*CHOOSE(ArtifactsInput!$N$24+1,10,12,14,16,18,20)+(IF(AND(Inputs!$B$39&lt;&gt;"pvp",Inputs!$B$44=0),1,IF(IF(Inputs!$B$39="pvp",15,Inputs!$B$44)-(B3226)&lt;=0,1,MAX(0,IF(Inputs!$B$39="pvp",15,Inputs!$B$44)-MAX(5,B3226))/(IF(Inputs!$B$39="pvp",15,Inputs!$B$44)-(B3226))))*IF(AND(ArtifactsInput!$M$42,((Inputs!$B$9+((C3207=TRUE)*(F3207-Calc!F26))+B3215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3196*(MIN(100,(Inputs!$B$9+((C3207=TRUE)*(F3207-Calc!F26))+B3215+(ArtifactsInput!$M$24-ArtifactsInput!$M$24)*CHOOSE(ArtifactsInput!$N$24+1,10,12,14,16,18,20)+(IF(AND(Inputs!$B$39&lt;&gt;"pvp",Inputs!$B$44=0),1,IF(IF(Inputs!$B$39="pvp",15,Inputs!$B$44)-(B3226)&lt;=0,1,MAX(0,IF(Inputs!$B$39="pvp",15,Inputs!$B$44)-MAX(5,B3226))/(IF(Inputs!$B$39="pvp",15,Inputs!$B$44)-(B3226))))*IF(AND(ArtifactsInput!$M$42,((Inputs!$B$9+((C3207=TRUE)*(F3207-Calc!F26))+B3215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3196">
        <f>IF(C3196,(H3196*N3196*IF(AND(Inputs!$B$39&lt;&gt;"pvp",Inputs!$B$44&gt;0),((Skills!G15*((R3196-1)*IF(Skills!H15&gt;0,Skills!I15/Skills!H15,1)+IF(Skills!H15&gt;0,MIN(Skills!I15,MAX(0,MAX(0,Inputs!$B$44-B3226)-((R3196-1)*IF(Inputs!$B$39="pvp",15,MAX(0.1,Skills!D15-IF(TRUE=TRUE,Inputs!$B$32,0))))))/Skills!H15,1)))/Inputs!$B$44),G3196*Q3196))*IF(Inputs!$B$39="pvp",1,(1+(Inputs!$B$21+Skills!Q15+B3216+(IF(ArtifactsInput!$M$33,CHOOSE(ArtifactsInput!$N$33+1,30,36,42,48,54,60),0))+(IF(AND(ArtifactsInput!$M$35,Inputs!$B$4&lt;&gt;"Chapter Hunt"),CHOOSE(ArtifactsInput!$N$35+1,15,18,21,24,27,30)*(1-EXP(-(0.2*B3219)*5)),0)+IF(AND(ArtifactsInput!$M$22,Inputs!$B$4&lt;&gt;"Chapter Hunt"),CHOOSE(ArtifactsInput!$N$22+1,10,12,14,16,18,20)*((0*(((0.15*B3219*5))^0/1)+1*(((0.15*B3219*5))^1/1)+2*(((0.15*B3219*5))^2/2)+3*(((0.15*B3219*5))^3/6)+4*(((0.15*B3219*5))^4/24)+5*(((0.15*B3219*5))^5/120))/((((0.15*B3219*5))^0/1)+(((0.15*B3219*5))^1/1)+(((0.15*B3219*5))^2/2)+(((0.15*B3219*5))^3/6)+(((0.15*B3219*5))^4/24)+(((0.15*B3219*5))^5/120))),0)))/100)*(MIN(MIN(5,0.5*IF(Inputs!$B$3&gt;=75,0.75,0.5)*B3219*(1/Q3185))*Skills!V15,Inputs!$B$37)))*((1+(IF(AND(IF(ArtifactsInput!$M$41,FALSE,TRUE),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3197">
      <c r="A3197">
        <f>Skills!A16</f>
        <v/>
      </c>
      <c r="B3197">
        <f>Skills!B16</f>
        <v/>
      </c>
      <c r="C3197">
        <f>Inputs!$B$3&gt;=110</f>
        <v/>
      </c>
      <c r="D3197">
        <f>IF(Skills!C16=1,60+Inputs!$B$25+Inputs!$B$29,IF(Skills!C16=2,90+Inputs!$B$26+Inputs!$B$29,IF(Skills!C16=3,120+Inputs!$B$27+Inputs!$B$29,MAX(0,(Inputs!$B$3-100)*3)+Inputs!$B$28+Inputs!$B$29)))</f>
        <v/>
      </c>
      <c r="E3197">
        <f>INDEX(FactorTable!$B$2:$Y$301, MATCH(ROUND(MIN(300,MAX(1,D3197)),0), FactorTable!$A$2:$A$301,0), Skills!M16+1)</f>
        <v/>
      </c>
      <c r="F3197">
        <f>IF(Skills!N16=TRUE,(Skills!L16/10)*(E3197/1000),Skills!L16/10)+Skills!O16</f>
        <v/>
      </c>
      <c r="G3197">
        <f>Skills!G16*IF(Skills!H16&gt;0,IF(Inputs!$B$39="pvp",MIN(Skills!I16,15),Skills!I16)/Skills!H16,1)</f>
        <v/>
      </c>
      <c r="H3197">
        <f>1-(1-Skills!J16/100)^Skills!K16</f>
        <v/>
      </c>
      <c r="I3197" t="inlineStr">
        <is>
          <t>1</t>
        </is>
      </c>
      <c r="J3197" t="inlineStr"/>
      <c r="K3197" t="inlineStr"/>
      <c r="L3197" t="inlineStr"/>
      <c r="M3197" t="inlineStr"/>
      <c r="N3197" t="inlineStr"/>
      <c r="O3197">
        <f>(1-Summary!$B$11)*T3197+Summary!$B$11*V3197</f>
        <v/>
      </c>
      <c r="P3197">
        <f>IF(B3227=0,0,O3197/B3227)</f>
        <v/>
      </c>
      <c r="Q3197">
        <f>IFERROR(1/IF(Inputs!$B$39="pvp",15,MAX(0.1,Skills!D16-IF(TRUE=TRUE,Inputs!$B$32,0))),0)</f>
        <v/>
      </c>
      <c r="R3197">
        <f>IF(AND(Inputs!$B$39&lt;&gt;"pvp",Inputs!$B$44&gt;0),IF(Inputs!$B$44&lt;=0,0,(INT(Inputs!$B$44/IF(Inputs!$B$39="pvp",15,MAX(0.1,Skills!D16-IF(TRUE=TRUE,Inputs!$B$32,0))))+1)),0)</f>
        <v/>
      </c>
      <c r="S3197">
        <f>IFERROR(O3197/N3197,0)</f>
        <v/>
      </c>
      <c r="T3197" t="n">
        <v>0</v>
      </c>
      <c r="V3197" t="n">
        <v>0</v>
      </c>
    </row>
    <row r="3198">
      <c r="A3198">
        <f>Skills!A17</f>
        <v/>
      </c>
      <c r="B3198">
        <f>Skills!B17</f>
        <v/>
      </c>
      <c r="C3198">
        <f>Inputs!$B$3&gt;=115</f>
        <v/>
      </c>
      <c r="D3198">
        <f>IF(Skills!C17=1,60+Inputs!$B$25+Inputs!$B$29,IF(Skills!C17=2,90+Inputs!$B$26+Inputs!$B$29,IF(Skills!C17=3,120+Inputs!$B$27+Inputs!$B$29,MAX(0,(Inputs!$B$3-100)*3)+Inputs!$B$28+Inputs!$B$29)))</f>
        <v/>
      </c>
      <c r="E3198">
        <f>INDEX(FactorTable!$B$2:$Y$301, MATCH(ROUND(MIN(300,MAX(1,D3198)),0), FactorTable!$A$2:$A$301,0), Skills!M17+1)</f>
        <v/>
      </c>
      <c r="F3198">
        <f>IF(Skills!N17=TRUE,(Skills!L17/10)*(E3198/1000),Skills!L17/10)+Skills!O17</f>
        <v/>
      </c>
      <c r="G3198">
        <f>Skills!G17*IF(Skills!H17&gt;0,IF(Inputs!$B$39="pvp",MIN(Skills!I17,15),Skills!I17)/Skills!H17,1)</f>
        <v/>
      </c>
      <c r="H3198">
        <f>1-(1-Skills!J17/100)^Skills!K17</f>
        <v/>
      </c>
      <c r="I3198" t="inlineStr">
        <is>
          <t>1</t>
        </is>
      </c>
      <c r="J3198">
        <f>((Inputs!$B$6*(1+Inputs!$B$7/100))+(((Inputs!$B$12*(1+Inputs!$B$13/100))-(Inputs!$B$12*(1+Inputs!$B$13/100)))+0.25*(Inputs!$B$14-Inputs!$B$14))*(1+Inputs!$B$7/100))*(F3198/100)</f>
        <v/>
      </c>
      <c r="K3198">
        <f>J3198*(1+((Inputs!$B$12*(1+Inputs!$B$13/100))*0.01+Inputs!$B$14*0.0025)/100)*(1+Inputs!$B$15/100)*(1+Inputs!$B$16/100)*(5000/(6000+Inputs!$B$43*(1-(100*(1-(1-Inputs!$B$19/100)*(1-CHOOSE(ArtifactsInput!$N$40+1,5,6,7,8,9,10)/100)^(ArtifactsInput!$M$40-ArtifactsInput!$M$40)))/100)))*(1+(Inputs!$B$24+((C3212=TRUE)*(F3212-Calc!F31))+((C3199=TRUE)*(F3199-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17="CRUEL_STAB",Inputs!$B$17+((C3209=TRUE)*(F3209-Calc!F28))+((IF(AND(Inputs!$B$39&lt;&gt;"pvp",Inputs!$B$44=0),1,IF(IF(Inputs!$B$39="pvp",15,Inputs!$B$44)-(B3226)&lt;=0,1,MAX(0,IF(Inputs!$B$39="pvp",15,Inputs!$B$44)-MAX(5,B3226))/(IF(Inputs!$B$39="pvp",15,Inputs!$B$44)-(B3226))))*(IF(AND(ArtifactsInput!$M$42,((Inputs!$B$9+((C3207=TRUE)*(F3207-Calc!F26))+B3215+(ArtifactsInput!$M$24-ArtifactsInput!$M$24)*CHOOSE(ArtifactsInput!$N$24+1,10,12,14,16,18,20)+IF(ArtifactsInput!$M$10,CHOOSE(ArtifactsInput!$N$10+1,15,18,21,24,27,30)*(IF(Inputs!$B$39="pvp",MIN(15,15)/15,IF(AND(Inputs!$B$39&lt;&gt;"pvp",Inputs!$B$44&gt;0),MIN(15,Inputs!$B$44)/(Inputs!$B$44),0))),0)))&gt;=100),MIN(100,((Inputs!$B$9+((C3207=TRUE)*(F3207-Calc!F26))+B3215+(ArtifactsInput!$M$24-ArtifactsInput!$M$24)*CHOOSE(ArtifactsInput!$N$24+1,10,12,14,16,18,20)+IF(ArtifactsInput!$M$10,CHOOSE(ArtifactsInput!$N$10+1,15,18,21,24,27,30)*(IF(Inputs!$B$39="pvp",MIN(15,15)/15,IF(AND(Inputs!$B$39&lt;&gt;"pvp",Inputs!$B$44&gt;0),MIN(15,Inputs!$B$44)/(Inputs!$B$44),0))),0)))-100),0))*CHOOSE(ArtifactsInput!$N$42+1,0.6,0.72,0.84,0.96,1.08,1.2))),Inputs!$B$18+((C3210=TRUE)*(F3210-Calc!F29))+(IF(AND(Inputs!$B$39&lt;&gt;"pvp",Inputs!$B$44=0),1,IF(IF(Inputs!$B$39="pvp",15,Inputs!$B$44)-(B3226)&lt;=0,1,MAX(0,IF(Inputs!$B$39="pvp",15,Inputs!$B$44)-MAX(5,B3226))/(IF(Inputs!$B$39="pvp",15,Inputs!$B$44)-(B3226))))*IF(AND(ArtifactsInput!$M$42,((Inputs!$B$9+((C3207=TRUE)*(F3207-Calc!F26))+B3215+(ArtifactsInput!$M$24-ArtifactsInput!$M$24)*CHOOSE(ArtifactsInput!$N$24+1,10,12,14,16,18,20)+IF(ArtifactsInput!$M$10,CHOOSE(ArtifactsInput!$N$10+1,15,18,21,24,27,30)*(IF(Inputs!$B$39="pvp",MIN(15,15)/15,IF(AND(Inputs!$B$39&lt;&gt;"pvp",Inputs!$B$44&gt;0),MIN(15,Inputs!$B$44)/(Inputs!$B$44),0))),0)))&gt;=100),CHOOSE(ArtifactsInput!$N$42+1,40,48,56,64,72,80),0))))/100)*(((1+(((C3203=TRUE)*F3203*IF(AND(Inputs!$B$39&lt;&gt;"pvp",Inputs!$B$44&gt;0),(((R3203-1)*MIN((Skills!Y22*(1+Inputs!$B$34/100)),(1/Q3203))+MIN((Skills!Y22*(1+Inputs!$B$34/100)),MAX(0,Inputs!$B$44-((R3203-1)*(1/Q3203)))))/Inputs!$B$44),IF(Inputs!$B$39="pvp",MIN((Skills!Y22*(1+Inputs!$B$34/100)),15)/15,MIN(1,(Skills!Y22*(1+Inputs!$B$34/100))/(1/Q3203)))))+((C3184=TRUE)*F3184*3)+((C3186=TRUE)*F3186*(1-EXP(-0.75*B3219*5)))+((C3205=TRUE)*(F3205-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IF(ArtifactsInput!$M$41,FALSE,TRUE),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3192=TRUE)*F3192*IF(AND(Inputs!$B$39&lt;&gt;"pvp",Inputs!$B$44&gt;0),(((R3192-1)*MIN((Skills!Y11*(1+Inputs!$B$34/100)),(1/Q3192))+MIN((Skills!Y11*(1+Inputs!$B$34/100)),MAX(0,Inputs!$B$44-((R3192-1)*(1/Q3192)))))/Inputs!$B$44),IF(Inputs!$B$39="pvp",MIN((Skills!Y11*(1+Inputs!$B$34/100)),15)/15,MIN(1,(Skills!Y11*(1+Inputs!$B$34/100))/(1/Q3192)))))/100)*(1+((C3197=TRUE)*F3197*IF(AND(Inputs!$B$39&lt;&gt;"pvp",Inputs!$B$44&gt;0),(((R3197-1)*MIN((Skills!Y16*(1+Inputs!$B$34/100)),(1/Q3197))+MIN((Skills!Y16*(1+Inputs!$B$34/100)),MAX(0,Inputs!$B$44-((R3197-1)*(1/Q3197)))))/Inputs!$B$44),IF(Inputs!$B$39="pvp",MIN((Skills!Y16*(1+Inputs!$B$34/100)),15)/15,MIN(1,(Skills!Y16*(1+Inputs!$B$34/100))/(1/Q3197)))))/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3217*I3198)</f>
        <v/>
      </c>
      <c r="L3198">
        <f>K3198*(MIN(Inputs!$B$22+((C3206=TRUE)*(F3206-Calc!F25)),(Inputs!$B$23+((C3211=TRUE)*(F3211-Calc!F30))+IF(ArtifactsInput!$M$15,CHOOSE(ArtifactsInput!$N$15+1,25,30,35,40,45,50)/100*(Inputs!$B$11-Inputs!$B$11),0)))/100+(Inputs!$B$23+((C3211=TRUE)*(F3211-Calc!F30))+IF(ArtifactsInput!$M$15,CHOOSE(ArtifactsInput!$N$15+1,25,30,35,40,45,50)/100*(Inputs!$B$11-Inputs!$B$11),0))/100)/2</f>
        <v/>
      </c>
      <c r="M3198">
        <f>L3198*(1+(Inputs!$B$10+((C3208=TRUE)*(F3208-Calc!F27))+B3222+(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3198">
        <f>L3198*(1-MIN((Inputs!$B$9+((C3207=TRUE)*(F3207-Calc!F26))+B3215+(ArtifactsInput!$M$24-ArtifactsInput!$M$24)*CHOOSE(ArtifactsInput!$N$24+1,10,12,14,16,18,20)+(IF(AND(Inputs!$B$39&lt;&gt;"pvp",Inputs!$B$44=0),1,IF(IF(Inputs!$B$39="pvp",15,Inputs!$B$44)-(B3226)&lt;=0,1,MAX(0,IF(Inputs!$B$39="pvp",15,Inputs!$B$44)-MAX(5,B3226))/(IF(Inputs!$B$39="pvp",15,Inputs!$B$44)-(B3226))))*IF(AND(ArtifactsInput!$M$42,((Inputs!$B$9+((C3207=TRUE)*(F3207-Calc!F26))+B3215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3198*(MIN((Inputs!$B$9+((C3207=TRUE)*(F3207-Calc!F26))+B3215+(ArtifactsInput!$M$24-ArtifactsInput!$M$24)*CHOOSE(ArtifactsInput!$N$24+1,10,12,14,16,18,20)+(IF(AND(Inputs!$B$39&lt;&gt;"pvp",Inputs!$B$44=0),1,IF(IF(Inputs!$B$39="pvp",15,Inputs!$B$44)-(B3226)&lt;=0,1,MAX(0,IF(Inputs!$B$39="pvp",15,Inputs!$B$44)-MAX(5,B3226))/(IF(Inputs!$B$39="pvp",15,Inputs!$B$44)-(B3226))))*IF(AND(ArtifactsInput!$M$42,((Inputs!$B$9+((C3207=TRUE)*(F3207-Calc!F26))+B3215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3198">
        <f>(1-Summary!$B$11)*T3198+Summary!$B$11*V3198</f>
        <v/>
      </c>
      <c r="P3198">
        <f>IF(B3227=0,0,O3198/B3227)</f>
        <v/>
      </c>
      <c r="Q3198" t="n">
        <v>0</v>
      </c>
      <c r="R3198" t="n">
        <v>0</v>
      </c>
      <c r="S3198">
        <f>IFERROR(O3198/N3198,0)</f>
        <v/>
      </c>
      <c r="T3198">
        <f>IF(C3198,(Inputs!$B$38*0.2*N3198)*IF(Inputs!$B$39="pvp",1,1+(Inputs!$B$20+0+Skills!P17+B3216+(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Hunt"),CHOOSE(ArtifactsInput!$N$35+1,15,18,21,24,27,30)*(1-EXP(-(0.2*B3219)*5)),0)+IF(AND(ArtifactsInput!$M$22,Inputs!$B$4&lt;&gt;"Chapter Hunt"),CHOOSE(ArtifactsInput!$N$22+1,10,12,14,16,18,20)*((0*(((0.15*B3219*5))^0/1)+1*(((0.15*B3219*5))^1/1)+2*(((0.15*B3219*5))^2/2)+3*(((0.15*B3219*5))^3/6)+4*(((0.15*B3219*5))^4/24)+5*(((0.15*B3219*5))^5/120))/((((0.15*B3219*5))^0/1)+(((0.15*B3219*5))^1/1)+(((0.15*B3219*5))^2/2)+(((0.15*B3219*5))^3/6)+(((0.15*B3219*5))^4/24)+(((0.15*B3219*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3198*(1-MIN(100,(Inputs!$B$9+((C3207=TRUE)*(F3207-Calc!F26))+B3215+(ArtifactsInput!$M$24-ArtifactsInput!$M$24)*CHOOSE(ArtifactsInput!$N$24+1,10,12,14,16,18,20)+(IF(AND(Inputs!$B$39&lt;&gt;"pvp",Inputs!$B$44=0),1,IF(IF(Inputs!$B$39="pvp",15,Inputs!$B$44)-(B3226)&lt;=0,1,MAX(0,IF(Inputs!$B$39="pvp",15,Inputs!$B$44)-MAX(5,B3226))/(IF(Inputs!$B$39="pvp",15,Inputs!$B$44)-(B3226))))*IF(AND(ArtifactsInput!$M$42,((Inputs!$B$9+((C3207=TRUE)*(F3207-Calc!F26))+B3215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3198*(MIN(100,(Inputs!$B$9+((C3207=TRUE)*(F3207-Calc!F26))+B3215+(ArtifactsInput!$M$24-ArtifactsInput!$M$24)*CHOOSE(ArtifactsInput!$N$24+1,10,12,14,16,18,20)+(IF(AND(Inputs!$B$39&lt;&gt;"pvp",Inputs!$B$44=0),1,IF(IF(Inputs!$B$39="pvp",15,Inputs!$B$44)-(B3226)&lt;=0,1,MAX(0,IF(Inputs!$B$39="pvp",15,Inputs!$B$44)-MAX(5,B3226))/(IF(Inputs!$B$39="pvp",15,Inputs!$B$44)-(B3226))))*IF(AND(ArtifactsInput!$M$42,((Inputs!$B$9+((C3207=TRUE)*(F3207-Calc!F26))+B3215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3198*(1-MIN(100,(Inputs!$B$9+((C3207=TRUE)*(F3207-Calc!F26))+B3215+(ArtifactsInput!$M$24-ArtifactsInput!$M$24)*CHOOSE(ArtifactsInput!$N$24+1,10,12,14,16,18,20)+(IF(AND(Inputs!$B$39&lt;&gt;"pvp",Inputs!$B$44=0),1,IF(IF(Inputs!$B$39="pvp",15,Inputs!$B$44)-(B3226)&lt;=0,1,MAX(0,IF(Inputs!$B$39="pvp",15,Inputs!$B$44)-MAX(5,B3226))/(IF(Inputs!$B$39="pvp",15,Inputs!$B$44)-(B3226))))*IF(AND(ArtifactsInput!$M$42,((Inputs!$B$9+((C3207=TRUE)*(F3207-Calc!F26))+B3215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3198*(MIN(100,(Inputs!$B$9+((C3207=TRUE)*(F3207-Calc!F26))+B3215+(ArtifactsInput!$M$24-ArtifactsInput!$M$24)*CHOOSE(ArtifactsInput!$N$24+1,10,12,14,16,18,20)+(IF(AND(Inputs!$B$39&lt;&gt;"pvp",Inputs!$B$44=0),1,IF(IF(Inputs!$B$39="pvp",15,Inputs!$B$44)-(B3226)&lt;=0,1,MAX(0,IF(Inputs!$B$39="pvp",15,Inputs!$B$44)-MAX(5,B3226))/(IF(Inputs!$B$39="pvp",15,Inputs!$B$44)-(B3226))))*IF(AND(ArtifactsInput!$M$42,((Inputs!$B$9+((C3207=TRUE)*(F3207-Calc!F26))+B3215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3198">
        <f>IF(C3198,(Inputs!$B$38*0.2*N3198)*IF(Inputs!$B$39="pvp",1,(1+(Inputs!$B$21+Skills!Q17+B3216+(IF(ArtifactsInput!$M$33,CHOOSE(ArtifactsInput!$N$33+1,30,36,42,48,54,60),0))+(IF(AND(ArtifactsInput!$M$35,Inputs!$B$4&lt;&gt;"Chapter Hunt"),CHOOSE(ArtifactsInput!$N$35+1,15,18,21,24,27,30)*(1-EXP(-(0.2*B3219)*5)),0)+IF(AND(ArtifactsInput!$M$22,Inputs!$B$4&lt;&gt;"Chapter Hunt"),CHOOSE(ArtifactsInput!$N$22+1,10,12,14,16,18,20)*((0*(((0.15*B3219*5))^0/1)+1*(((0.15*B3219*5))^1/1)+2*(((0.15*B3219*5))^2/2)+3*(((0.15*B3219*5))^3/6)+4*(((0.15*B3219*5))^4/24)+5*(((0.15*B3219*5))^5/120))/((((0.15*B3219*5))^0/1)+(((0.15*B3219*5))^1/1)+(((0.15*B3219*5))^2/2)+(((0.15*B3219*5))^3/6)+(((0.15*B3219*5))^4/24)+(((0.15*B3219*5))^5/120))),0)))/100)*(MIN(Skills!W17,Inputs!$B$37)))*((1+(IF(AND(IF(ArtifactsInput!$M$41,FALSE,TRUE),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3199">
      <c r="A3199">
        <f>Skills!A18</f>
        <v/>
      </c>
      <c r="B3199">
        <f>Skills!B18</f>
        <v/>
      </c>
      <c r="C3199">
        <f>Inputs!$B$3&gt;=115</f>
        <v/>
      </c>
      <c r="D3199">
        <f>IF(Skills!C18=1,60+Inputs!$B$25+Inputs!$B$29,IF(Skills!C18=2,90+Inputs!$B$26+Inputs!$B$29,IF(Skills!C18=3,120+Inputs!$B$27+Inputs!$B$29,MAX(0,(Inputs!$B$3-100)*3)+Inputs!$B$28+Inputs!$B$29)))</f>
        <v/>
      </c>
      <c r="E3199">
        <f>INDEX(FactorTable!$B$2:$Y$301, MATCH(ROUND(MIN(300,MAX(1,D3199)),0), FactorTable!$A$2:$A$301,0), Skills!M18+1)</f>
        <v/>
      </c>
      <c r="F3199">
        <f>IF(Skills!N18=TRUE,(Skills!L18/10)*(E3199/1000),Skills!L18/10)+Skills!O18</f>
        <v/>
      </c>
      <c r="G3199">
        <f>Skills!G18*IF(Skills!H18&gt;0,IF(Inputs!$B$39="pvp",MIN(Skills!I18,15),Skills!I18)/Skills!H18,1)</f>
        <v/>
      </c>
      <c r="H3199">
        <f>1-(1-Skills!J18/100)^Skills!K18</f>
        <v/>
      </c>
      <c r="I3199" t="inlineStr">
        <is>
          <t>1</t>
        </is>
      </c>
      <c r="J3199" t="inlineStr"/>
      <c r="K3199" t="inlineStr"/>
      <c r="L3199" t="inlineStr"/>
      <c r="M3199" t="inlineStr"/>
      <c r="N3199" t="inlineStr"/>
      <c r="O3199">
        <f>(1-Summary!$B$11)*T3199+Summary!$B$11*V3199</f>
        <v/>
      </c>
      <c r="P3199">
        <f>IF(B3227=0,0,O3199/B3227)</f>
        <v/>
      </c>
      <c r="Q3199" t="n">
        <v>0</v>
      </c>
      <c r="R3199" t="n">
        <v>0</v>
      </c>
      <c r="S3199">
        <f>IFERROR(O3199/N3199,0)</f>
        <v/>
      </c>
      <c r="T3199" t="n">
        <v>0</v>
      </c>
      <c r="V3199" t="n">
        <v>0</v>
      </c>
    </row>
    <row r="3200">
      <c r="A3200">
        <f>Skills!A19</f>
        <v/>
      </c>
      <c r="B3200">
        <f>Skills!B19</f>
        <v/>
      </c>
      <c r="C3200">
        <f>Inputs!$B$3&gt;=100</f>
        <v/>
      </c>
      <c r="D3200">
        <f>IF(Skills!C19=1,60+Inputs!$B$25+Inputs!$B$29,IF(Skills!C19=2,90+Inputs!$B$26+Inputs!$B$29,IF(Skills!C19=3,120+Inputs!$B$27+Inputs!$B$29,MAX(0,(Inputs!$B$3-100)*3)+Inputs!$B$28+Inputs!$B$29)))</f>
        <v/>
      </c>
      <c r="E3200">
        <f>INDEX(FactorTable!$B$2:$Y$301, MATCH(ROUND(MIN(300,MAX(1,D3200)),0), FactorTable!$A$2:$A$301,0), Skills!M19+1)</f>
        <v/>
      </c>
      <c r="F3200">
        <f>IF(Skills!N19=TRUE,(Skills!L19/10)*(E3200/1000),Skills!L19/10)+Skills!O19</f>
        <v/>
      </c>
      <c r="G3200">
        <f>Skills!G19*IF(Skills!H19&gt;0,IF(Inputs!$B$39="pvp",MIN(Skills!I19,15),Skills!I19)/Skills!H19,1)</f>
        <v/>
      </c>
      <c r="H3200">
        <f>1-(1-Skills!J19/100)^Skills!K19</f>
        <v/>
      </c>
      <c r="I3200" t="inlineStr">
        <is>
          <t>1</t>
        </is>
      </c>
      <c r="J3200" t="inlineStr"/>
      <c r="K3200" t="inlineStr"/>
      <c r="L3200" t="inlineStr"/>
      <c r="M3200" t="inlineStr"/>
      <c r="N3200" t="inlineStr"/>
      <c r="O3200">
        <f>(1-Summary!$B$11)*T3200+Summary!$B$11*V3200</f>
        <v/>
      </c>
      <c r="P3200">
        <f>IF(B3227=0,0,O3200/B3227)</f>
        <v/>
      </c>
      <c r="Q3200" t="n">
        <v>0</v>
      </c>
      <c r="R3200" t="n">
        <v>0</v>
      </c>
      <c r="S3200">
        <f>IFERROR(O3200/N3200,0)</f>
        <v/>
      </c>
      <c r="T3200" t="n">
        <v>0</v>
      </c>
      <c r="V3200" t="n">
        <v>0</v>
      </c>
    </row>
    <row r="3201">
      <c r="A3201">
        <f>Skills!A20</f>
        <v/>
      </c>
      <c r="B3201">
        <f>Skills!B20</f>
        <v/>
      </c>
      <c r="C3201">
        <f>TRUE</f>
        <v/>
      </c>
      <c r="D3201">
        <f>IF(Skills!C20=1,60+Inputs!$B$25+Inputs!$B$29,IF(Skills!C20=2,90+Inputs!$B$26+Inputs!$B$29,IF(Skills!C20=3,120+Inputs!$B$27+Inputs!$B$29,MAX(0,(Inputs!$B$3-100)*3)+Inputs!$B$28+Inputs!$B$29)))</f>
        <v/>
      </c>
      <c r="E3201">
        <f>INDEX(FactorTable!$B$2:$Y$301, MATCH(ROUND(MIN(300,MAX(1,D3201)),0), FactorTable!$A$2:$A$301,0), Skills!M20+1)</f>
        <v/>
      </c>
      <c r="F3201">
        <f>IF(Skills!N20=TRUE,(Skills!L20/10)*(E3201/1000),Skills!L20/10)+Skills!O20</f>
        <v/>
      </c>
      <c r="G3201">
        <f>Skills!G20*IF(Skills!H20&gt;0,IF(Inputs!$B$39="pvp",MIN(Skills!I20,15),Skills!I20)/Skills!H20,1)</f>
        <v/>
      </c>
      <c r="H3201">
        <f>1-(1-Skills!J20/100)^Skills!K20</f>
        <v/>
      </c>
      <c r="I3201" t="inlineStr">
        <is>
          <t>1</t>
        </is>
      </c>
      <c r="J3201" t="inlineStr"/>
      <c r="K3201" t="inlineStr"/>
      <c r="L3201" t="inlineStr"/>
      <c r="M3201" t="inlineStr"/>
      <c r="N3201" t="inlineStr"/>
      <c r="O3201">
        <f>(1-Summary!$B$11)*T3201+Summary!$B$11*V3201</f>
        <v/>
      </c>
      <c r="P3201">
        <f>IF(B3227=0,0,O3201/B3227)</f>
        <v/>
      </c>
      <c r="Q3201">
        <f>IFERROR(1/IF(Inputs!$B$39="pvp",15,MAX(0.1,Skills!D20-IF(TRUE=TRUE,Inputs!$B$32,0))),0)</f>
        <v/>
      </c>
      <c r="R3201">
        <f>IF(AND(Inputs!$B$39&lt;&gt;"pvp",Inputs!$B$44&gt;0),IF(Inputs!$B$44&lt;=0,0,(INT(Inputs!$B$44/IF(Inputs!$B$39="pvp",15,MAX(0.1,Skills!D20-IF(TRUE=TRUE,Inputs!$B$32,0))))+1)),0)</f>
        <v/>
      </c>
      <c r="S3201">
        <f>IFERROR(O3201/N3201,0)</f>
        <v/>
      </c>
      <c r="T3201" t="n">
        <v>0</v>
      </c>
      <c r="V3201" t="n">
        <v>0</v>
      </c>
    </row>
    <row r="3202">
      <c r="A3202">
        <f>Skills!A21</f>
        <v/>
      </c>
      <c r="B3202">
        <f>Skills!B21</f>
        <v/>
      </c>
      <c r="C3202">
        <f>Inputs!$B$3&gt;=15</f>
        <v/>
      </c>
      <c r="D3202">
        <f>IF(Skills!C21=1,60+Inputs!$B$25+Inputs!$B$29,IF(Skills!C21=2,90+Inputs!$B$26+Inputs!$B$29,IF(Skills!C21=3,120+Inputs!$B$27+Inputs!$B$29,MAX(0,(Inputs!$B$3-100)*3)+Inputs!$B$28+Inputs!$B$29)))</f>
        <v/>
      </c>
      <c r="E3202">
        <f>INDEX(FactorTable!$B$2:$Y$301, MATCH(ROUND(MIN(300,MAX(1,D3202)),0), FactorTable!$A$2:$A$301,0), Skills!M21+1)</f>
        <v/>
      </c>
      <c r="F3202">
        <f>IF(Skills!N21=TRUE,(Skills!L21/10)*(E3202/1000),Skills!L21/10)+Skills!O21</f>
        <v/>
      </c>
      <c r="G3202">
        <f>Skills!G21*IF(Skills!H21&gt;0,IF(Inputs!$B$39="pvp",MIN(Skills!I21,15),Skills!I21)/Skills!H21,1)</f>
        <v/>
      </c>
      <c r="H3202">
        <f>1-(1-Skills!J21/100)^Skills!K21</f>
        <v/>
      </c>
      <c r="I3202" t="inlineStr">
        <is>
          <t>1</t>
        </is>
      </c>
      <c r="J3202" t="inlineStr"/>
      <c r="K3202" t="inlineStr"/>
      <c r="L3202" t="inlineStr"/>
      <c r="M3202" t="inlineStr"/>
      <c r="N3202" t="inlineStr"/>
      <c r="O3202">
        <f>(1-Summary!$B$11)*T3202+Summary!$B$11*V3202</f>
        <v/>
      </c>
      <c r="P3202">
        <f>IF(B3227=0,0,O3202/B3227)</f>
        <v/>
      </c>
      <c r="Q3202">
        <f>IFERROR(1/IF(Inputs!$B$39="pvp",15,MAX(0.1,Skills!D21-IF(TRUE=TRUE,Inputs!$B$32,0))),0)</f>
        <v/>
      </c>
      <c r="R3202">
        <f>IF(AND(Inputs!$B$39&lt;&gt;"pvp",Inputs!$B$44&gt;0),IF(Inputs!$B$44&lt;=0,0,(INT(Inputs!$B$44/IF(Inputs!$B$39="pvp",15,MAX(0.1,Skills!D21-IF(TRUE=TRUE,Inputs!$B$32,0))))+1)),0)</f>
        <v/>
      </c>
      <c r="S3202">
        <f>IFERROR(O3202/N3202,0)</f>
        <v/>
      </c>
      <c r="T3202" t="n">
        <v>0</v>
      </c>
      <c r="V3202" t="n">
        <v>0</v>
      </c>
    </row>
    <row r="3203">
      <c r="A3203">
        <f>Skills!A22</f>
        <v/>
      </c>
      <c r="B3203">
        <f>Skills!B22</f>
        <v/>
      </c>
      <c r="C3203">
        <f>Inputs!$B$3&gt;=15</f>
        <v/>
      </c>
      <c r="D3203">
        <f>IF(Skills!C22=1,60+Inputs!$B$25+Inputs!$B$29,IF(Skills!C22=2,90+Inputs!$B$26+Inputs!$B$29,IF(Skills!C22=3,120+Inputs!$B$27+Inputs!$B$29,MAX(0,(Inputs!$B$3-100)*3)+Inputs!$B$28+Inputs!$B$29)))</f>
        <v/>
      </c>
      <c r="E3203">
        <f>INDEX(FactorTable!$B$2:$Y$301, MATCH(ROUND(MIN(300,MAX(1,D3203)),0), FactorTable!$A$2:$A$301,0), Skills!M22+1)</f>
        <v/>
      </c>
      <c r="F3203">
        <f>IF(Skills!N22=TRUE,(Skills!L22/10)*(E3203/1000),Skills!L22/10)+Skills!O22</f>
        <v/>
      </c>
      <c r="G3203">
        <f>Skills!G22*IF(Skills!H22&gt;0,IF(Inputs!$B$39="pvp",MIN(Skills!I22,15),Skills!I22)/Skills!H22,1)</f>
        <v/>
      </c>
      <c r="H3203">
        <f>1-(1-Skills!J22/100)^Skills!K22</f>
        <v/>
      </c>
      <c r="I3203" t="inlineStr">
        <is>
          <t>1</t>
        </is>
      </c>
      <c r="J3203" t="inlineStr"/>
      <c r="K3203" t="inlineStr"/>
      <c r="L3203" t="inlineStr"/>
      <c r="M3203" t="inlineStr"/>
      <c r="N3203" t="inlineStr"/>
      <c r="O3203">
        <f>(1-Summary!$B$11)*T3203+Summary!$B$11*V3203</f>
        <v/>
      </c>
      <c r="P3203">
        <f>IF(B3227=0,0,O3203/B3227)</f>
        <v/>
      </c>
      <c r="Q3203">
        <f>IFERROR(1/IF(Inputs!$B$39="pvp",15,MAX(0.1,Skills!D22-IF(TRUE=TRUE,Inputs!$B$32,0))),0)</f>
        <v/>
      </c>
      <c r="R3203">
        <f>IF(AND(Inputs!$B$39&lt;&gt;"pvp",Inputs!$B$44&gt;0),IF(Inputs!$B$44&lt;=0,0,(INT(Inputs!$B$44/IF(Inputs!$B$39="pvp",15,MAX(0.1,Skills!D22-IF(TRUE=TRUE,Inputs!$B$32,0))))+1)),0)</f>
        <v/>
      </c>
      <c r="S3203">
        <f>IFERROR(O3203/N3203,0)</f>
        <v/>
      </c>
      <c r="T3203" t="n">
        <v>0</v>
      </c>
      <c r="V3203" t="n">
        <v>0</v>
      </c>
    </row>
    <row r="3204">
      <c r="A3204">
        <f>Skills!A23</f>
        <v/>
      </c>
      <c r="B3204">
        <f>Skills!B23</f>
        <v/>
      </c>
      <c r="C3204">
        <f>Inputs!$B$3&gt;=33</f>
        <v/>
      </c>
      <c r="D3204">
        <f>IF(Skills!C23=1,60+Inputs!$B$25+Inputs!$B$29,IF(Skills!C23=2,90+Inputs!$B$26+Inputs!$B$29,IF(Skills!C23=3,120+Inputs!$B$27+Inputs!$B$29,MAX(0,(Inputs!$B$3-100)*3)+Inputs!$B$28+Inputs!$B$29)))</f>
        <v/>
      </c>
      <c r="E3204">
        <f>INDEX(FactorTable!$B$2:$Y$301, MATCH(ROUND(MIN(300,MAX(1,D3204)),0), FactorTable!$A$2:$A$301,0), Skills!M23+1)</f>
        <v/>
      </c>
      <c r="F3204">
        <f>IF(Skills!N23=TRUE,(Skills!L23/10)*(E3204/1000),Skills!L23/10)+Skills!O23</f>
        <v/>
      </c>
      <c r="G3204">
        <f>Skills!G23*IF(Skills!H23&gt;0,IF(Inputs!$B$39="pvp",MIN(Skills!I23,15),Skills!I23)/Skills!H23,1)</f>
        <v/>
      </c>
      <c r="H3204">
        <f>1-(1-Skills!J23/100)^Skills!K23</f>
        <v/>
      </c>
      <c r="I3204" t="inlineStr">
        <is>
          <t>1</t>
        </is>
      </c>
      <c r="J3204" t="inlineStr"/>
      <c r="K3204" t="inlineStr"/>
      <c r="L3204" t="inlineStr"/>
      <c r="M3204" t="inlineStr"/>
      <c r="N3204" t="inlineStr"/>
      <c r="O3204">
        <f>(1-Summary!$B$11)*T3204+Summary!$B$11*V3204</f>
        <v/>
      </c>
      <c r="P3204">
        <f>IF(B3227=0,0,O3204/B3227)</f>
        <v/>
      </c>
      <c r="Q3204" t="n">
        <v>0</v>
      </c>
      <c r="R3204" t="n">
        <v>0</v>
      </c>
      <c r="S3204">
        <f>IFERROR(O3204/N3204,0)</f>
        <v/>
      </c>
      <c r="T3204" t="n">
        <v>0</v>
      </c>
      <c r="V3204" t="n">
        <v>0</v>
      </c>
    </row>
    <row r="3205">
      <c r="A3205">
        <f>Skills!A24</f>
        <v/>
      </c>
      <c r="B3205">
        <f>Skills!B24</f>
        <v/>
      </c>
      <c r="C3205">
        <f>Inputs!$B$3&gt;=40</f>
        <v/>
      </c>
      <c r="D3205">
        <f>IF(Skills!C24=1,60+Inputs!$B$25+Inputs!$B$29,IF(Skills!C24=2,90+Inputs!$B$26+Inputs!$B$29,IF(Skills!C24=3,120+Inputs!$B$27+Inputs!$B$29,MAX(0,(Inputs!$B$3-100)*3)+Inputs!$B$28+Inputs!$B$29)))</f>
        <v/>
      </c>
      <c r="E3205">
        <f>INDEX(FactorTable!$B$2:$Y$301, MATCH(ROUND(MIN(300,MAX(1,D3205)),0), FactorTable!$A$2:$A$301,0), Skills!M24+1)</f>
        <v/>
      </c>
      <c r="F3205">
        <f>IF(Skills!N24=TRUE,(Skills!L24/10)*(E3205/1000),Skills!L24/10)+Skills!O24</f>
        <v/>
      </c>
      <c r="G3205">
        <f>Skills!G24*IF(Skills!H24&gt;0,IF(Inputs!$B$39="pvp",MIN(Skills!I24,15),Skills!I24)/Skills!H24,1)</f>
        <v/>
      </c>
      <c r="H3205">
        <f>1-(1-Skills!J24/100)^Skills!K24</f>
        <v/>
      </c>
      <c r="I3205" t="inlineStr">
        <is>
          <t>1</t>
        </is>
      </c>
      <c r="J3205" t="inlineStr"/>
      <c r="K3205" t="inlineStr"/>
      <c r="L3205" t="inlineStr"/>
      <c r="M3205" t="inlineStr"/>
      <c r="N3205" t="inlineStr"/>
      <c r="O3205">
        <f>(1-Summary!$B$11)*T3205+Summary!$B$11*V3205</f>
        <v/>
      </c>
      <c r="P3205">
        <f>IF(B3227=0,0,O3205/B3227)</f>
        <v/>
      </c>
      <c r="Q3205" t="n">
        <v>0</v>
      </c>
      <c r="R3205" t="n">
        <v>0</v>
      </c>
      <c r="S3205">
        <f>IFERROR(O3205/N3205,0)</f>
        <v/>
      </c>
      <c r="T3205" t="n">
        <v>0</v>
      </c>
      <c r="V3205" t="n">
        <v>0</v>
      </c>
    </row>
    <row r="3206">
      <c r="A3206">
        <f>Skills!A25</f>
        <v/>
      </c>
      <c r="B3206">
        <f>Skills!B25</f>
        <v/>
      </c>
      <c r="C3206">
        <f>Inputs!$B$3&gt;=43</f>
        <v/>
      </c>
      <c r="D3206">
        <f>IF(Skills!C25=1,60+Inputs!$B$25+Inputs!$B$29,IF(Skills!C25=2,90+Inputs!$B$26+Inputs!$B$29,IF(Skills!C25=3,120+Inputs!$B$27+Inputs!$B$29,MAX(0,(Inputs!$B$3-100)*3)+Inputs!$B$28+Inputs!$B$29)))</f>
        <v/>
      </c>
      <c r="E3206">
        <f>INDEX(FactorTable!$B$2:$Y$301, MATCH(ROUND(MIN(300,MAX(1,D3206)),0), FactorTable!$A$2:$A$301,0), Skills!M25+1)</f>
        <v/>
      </c>
      <c r="F3206">
        <f>IF(Skills!N25=TRUE,(Skills!L25/10)*(E3206/1000),Skills!L25/10)+Skills!O25</f>
        <v/>
      </c>
      <c r="G3206">
        <f>Skills!G25*IF(Skills!H25&gt;0,IF(Inputs!$B$39="pvp",MIN(Skills!I25,15),Skills!I25)/Skills!H25,1)</f>
        <v/>
      </c>
      <c r="H3206">
        <f>1-(1-Skills!J25/100)^Skills!K25</f>
        <v/>
      </c>
      <c r="I3206" t="inlineStr">
        <is>
          <t>1</t>
        </is>
      </c>
      <c r="J3206" t="inlineStr"/>
      <c r="K3206" t="inlineStr"/>
      <c r="L3206" t="inlineStr"/>
      <c r="M3206" t="inlineStr"/>
      <c r="N3206" t="inlineStr"/>
      <c r="O3206">
        <f>(1-Summary!$B$11)*T3206+Summary!$B$11*V3206</f>
        <v/>
      </c>
      <c r="P3206">
        <f>IF(B3227=0,0,O3206/B3227)</f>
        <v/>
      </c>
      <c r="Q3206" t="n">
        <v>0</v>
      </c>
      <c r="R3206" t="n">
        <v>0</v>
      </c>
      <c r="S3206">
        <f>IFERROR(O3206/N3206,0)</f>
        <v/>
      </c>
      <c r="T3206" t="n">
        <v>0</v>
      </c>
      <c r="V3206" t="n">
        <v>0</v>
      </c>
    </row>
    <row r="3207">
      <c r="A3207">
        <f>Skills!A26</f>
        <v/>
      </c>
      <c r="B3207">
        <f>Skills!B26</f>
        <v/>
      </c>
      <c r="C3207">
        <f>Inputs!$B$3&gt;=50</f>
        <v/>
      </c>
      <c r="D3207">
        <f>IF(Skills!C26=1,60+Inputs!$B$25+Inputs!$B$29,IF(Skills!C26=2,90+Inputs!$B$26+Inputs!$B$29,IF(Skills!C26=3,120+Inputs!$B$27+Inputs!$B$29,MAX(0,(Inputs!$B$3-100)*3)+Inputs!$B$28+Inputs!$B$29)))</f>
        <v/>
      </c>
      <c r="E3207">
        <f>INDEX(FactorTable!$B$2:$Y$301, MATCH(ROUND(MIN(300,MAX(1,D3207)),0), FactorTable!$A$2:$A$301,0), Skills!M26+1)</f>
        <v/>
      </c>
      <c r="F3207">
        <f>IF(Skills!N26=TRUE,(Skills!L26/10)*(E3207/1000),Skills!L26/10)+Skills!O26</f>
        <v/>
      </c>
      <c r="G3207">
        <f>Skills!G26*IF(Skills!H26&gt;0,IF(Inputs!$B$39="pvp",MIN(Skills!I26,15),Skills!I26)/Skills!H26,1)</f>
        <v/>
      </c>
      <c r="H3207">
        <f>1-(1-Skills!J26/100)^Skills!K26</f>
        <v/>
      </c>
      <c r="I3207" t="inlineStr">
        <is>
          <t>1</t>
        </is>
      </c>
      <c r="J3207" t="inlineStr"/>
      <c r="K3207" t="inlineStr"/>
      <c r="L3207" t="inlineStr"/>
      <c r="M3207" t="inlineStr"/>
      <c r="N3207" t="inlineStr"/>
      <c r="O3207">
        <f>(1-Summary!$B$11)*T3207+Summary!$B$11*V3207</f>
        <v/>
      </c>
      <c r="P3207">
        <f>IF(B3227=0,0,O3207/B3227)</f>
        <v/>
      </c>
      <c r="Q3207" t="n">
        <v>0</v>
      </c>
      <c r="R3207" t="n">
        <v>0</v>
      </c>
      <c r="S3207">
        <f>IFERROR(O3207/N3207,0)</f>
        <v/>
      </c>
      <c r="T3207" t="n">
        <v>0</v>
      </c>
      <c r="V3207" t="n">
        <v>0</v>
      </c>
    </row>
    <row r="3208">
      <c r="A3208">
        <f>Skills!A27</f>
        <v/>
      </c>
      <c r="B3208">
        <f>Skills!B27</f>
        <v/>
      </c>
      <c r="C3208">
        <f>Inputs!$B$3&gt;=50</f>
        <v/>
      </c>
      <c r="D3208">
        <f>IF(Skills!C27=1,60+Inputs!$B$25+Inputs!$B$29,IF(Skills!C27=2,90+Inputs!$B$26+Inputs!$B$29,IF(Skills!C27=3,120+Inputs!$B$27+Inputs!$B$29,MAX(0,(Inputs!$B$3-100)*3)+Inputs!$B$28+Inputs!$B$29)))</f>
        <v/>
      </c>
      <c r="E3208">
        <f>INDEX(FactorTable!$B$2:$Y$301, MATCH(ROUND(MIN(300,MAX(1,D3208)),0), FactorTable!$A$2:$A$301,0), Skills!M27+1)</f>
        <v/>
      </c>
      <c r="F3208">
        <f>IF(Skills!N27=TRUE,(Skills!L27/10)*(E3208/1000),Skills!L27/10)+Skills!O27</f>
        <v/>
      </c>
      <c r="G3208">
        <f>Skills!G27*IF(Skills!H27&gt;0,IF(Inputs!$B$39="pvp",MIN(Skills!I27,15),Skills!I27)/Skills!H27,1)</f>
        <v/>
      </c>
      <c r="H3208">
        <f>1-(1-Skills!J27/100)^Skills!K27</f>
        <v/>
      </c>
      <c r="I3208" t="inlineStr">
        <is>
          <t>1</t>
        </is>
      </c>
      <c r="J3208" t="inlineStr"/>
      <c r="K3208" t="inlineStr"/>
      <c r="L3208" t="inlineStr"/>
      <c r="M3208" t="inlineStr"/>
      <c r="N3208" t="inlineStr"/>
      <c r="O3208">
        <f>(1-Summary!$B$11)*T3208+Summary!$B$11*V3208</f>
        <v/>
      </c>
      <c r="P3208">
        <f>IF(B3227=0,0,O3208/B3227)</f>
        <v/>
      </c>
      <c r="Q3208" t="n">
        <v>0</v>
      </c>
      <c r="R3208" t="n">
        <v>0</v>
      </c>
      <c r="S3208">
        <f>IFERROR(O3208/N3208,0)</f>
        <v/>
      </c>
      <c r="T3208" t="n">
        <v>0</v>
      </c>
      <c r="V3208" t="n">
        <v>0</v>
      </c>
    </row>
    <row r="3209">
      <c r="A3209">
        <f>Skills!A28</f>
        <v/>
      </c>
      <c r="B3209">
        <f>Skills!B28</f>
        <v/>
      </c>
      <c r="C3209">
        <f>Inputs!$B$3&gt;=38</f>
        <v/>
      </c>
      <c r="D3209">
        <f>IF(Skills!C28=1,60+Inputs!$B$25+Inputs!$B$29,IF(Skills!C28=2,90+Inputs!$B$26+Inputs!$B$29,IF(Skills!C28=3,120+Inputs!$B$27+Inputs!$B$29,MAX(0,(Inputs!$B$3-100)*3)+Inputs!$B$28+Inputs!$B$29)))</f>
        <v/>
      </c>
      <c r="E3209">
        <f>INDEX(FactorTable!$B$2:$Y$301, MATCH(ROUND(MIN(300,MAX(1,D3209)),0), FactorTable!$A$2:$A$301,0), Skills!M28+1)</f>
        <v/>
      </c>
      <c r="F3209">
        <f>IF(Skills!N28=TRUE,(Skills!L28/10)*(E3209/1000),Skills!L28/10)+Skills!O28</f>
        <v/>
      </c>
      <c r="G3209">
        <f>Skills!G28*IF(Skills!H28&gt;0,IF(Inputs!$B$39="pvp",MIN(Skills!I28,15),Skills!I28)/Skills!H28,1)</f>
        <v/>
      </c>
      <c r="H3209">
        <f>1-(1-Skills!J28/100)^Skills!K28</f>
        <v/>
      </c>
      <c r="I3209" t="inlineStr">
        <is>
          <t>1</t>
        </is>
      </c>
      <c r="J3209" t="inlineStr"/>
      <c r="K3209" t="inlineStr"/>
      <c r="L3209" t="inlineStr"/>
      <c r="M3209" t="inlineStr"/>
      <c r="N3209" t="inlineStr"/>
      <c r="O3209">
        <f>(1-Summary!$B$11)*T3209+Summary!$B$11*V3209</f>
        <v/>
      </c>
      <c r="P3209">
        <f>IF(B3227=0,0,O3209/B3227)</f>
        <v/>
      </c>
      <c r="Q3209" t="n">
        <v>0</v>
      </c>
      <c r="R3209" t="n">
        <v>0</v>
      </c>
      <c r="S3209">
        <f>IFERROR(O3209/N3209,0)</f>
        <v/>
      </c>
      <c r="T3209" t="n">
        <v>0</v>
      </c>
      <c r="V3209" t="n">
        <v>0</v>
      </c>
    </row>
    <row r="3210">
      <c r="A3210">
        <f>Skills!A29</f>
        <v/>
      </c>
      <c r="B3210">
        <f>Skills!B29</f>
        <v/>
      </c>
      <c r="C3210">
        <f>Inputs!$B$3&gt;=120</f>
        <v/>
      </c>
      <c r="D3210">
        <f>IF(Skills!C29=1,60+Inputs!$B$25+Inputs!$B$29,IF(Skills!C29=2,90+Inputs!$B$26+Inputs!$B$29,IF(Skills!C29=3,120+Inputs!$B$27+Inputs!$B$29,MAX(0,(Inputs!$B$3-100)*3)+Inputs!$B$28+Inputs!$B$29)))</f>
        <v/>
      </c>
      <c r="E3210">
        <f>INDEX(FactorTable!$B$2:$Y$301, MATCH(ROUND(MIN(300,MAX(1,D3210)),0), FactorTable!$A$2:$A$301,0), Skills!M29+1)</f>
        <v/>
      </c>
      <c r="F3210">
        <f>IF(Skills!N29=TRUE,(Skills!L29/10)*(E3210/1000),Skills!L29/10)+Skills!O29</f>
        <v/>
      </c>
      <c r="G3210">
        <f>Skills!G29*IF(Skills!H29&gt;0,IF(Inputs!$B$39="pvp",MIN(Skills!I29,15),Skills!I29)/Skills!H29,1)</f>
        <v/>
      </c>
      <c r="H3210">
        <f>1-(1-Skills!J29/100)^Skills!K29</f>
        <v/>
      </c>
      <c r="I3210" t="inlineStr">
        <is>
          <t>1</t>
        </is>
      </c>
      <c r="J3210" t="inlineStr"/>
      <c r="K3210" t="inlineStr"/>
      <c r="L3210" t="inlineStr"/>
      <c r="M3210" t="inlineStr"/>
      <c r="N3210" t="inlineStr"/>
      <c r="O3210">
        <f>(1-Summary!$B$11)*T3210+Summary!$B$11*V3210</f>
        <v/>
      </c>
      <c r="P3210">
        <f>IF(B3227=0,0,O3210/B3227)</f>
        <v/>
      </c>
      <c r="Q3210" t="n">
        <v>0</v>
      </c>
      <c r="R3210" t="n">
        <v>0</v>
      </c>
      <c r="S3210">
        <f>IFERROR(O3210/N3210,0)</f>
        <v/>
      </c>
      <c r="T3210" t="n">
        <v>0</v>
      </c>
      <c r="V3210" t="n">
        <v>0</v>
      </c>
    </row>
    <row r="3211">
      <c r="A3211">
        <f>Skills!A30</f>
        <v/>
      </c>
      <c r="B3211">
        <f>Skills!B30</f>
        <v/>
      </c>
      <c r="C3211">
        <f>Inputs!$B$3&gt;=120</f>
        <v/>
      </c>
      <c r="D3211">
        <f>IF(Skills!C30=1,60+Inputs!$B$25+Inputs!$B$29,IF(Skills!C30=2,90+Inputs!$B$26+Inputs!$B$29,IF(Skills!C30=3,120+Inputs!$B$27+Inputs!$B$29,MAX(0,(Inputs!$B$3-100)*3)+Inputs!$B$28+Inputs!$B$29)))</f>
        <v/>
      </c>
      <c r="E3211">
        <f>INDEX(FactorTable!$B$2:$Y$301, MATCH(ROUND(MIN(300,MAX(1,D3211)),0), FactorTable!$A$2:$A$301,0), Skills!M30+1)</f>
        <v/>
      </c>
      <c r="F3211">
        <f>IF(Skills!N30=TRUE,(Skills!L30/10)*(E3211/1000),Skills!L30/10)+Skills!O30</f>
        <v/>
      </c>
      <c r="G3211">
        <f>Skills!G30*IF(Skills!H30&gt;0,IF(Inputs!$B$39="pvp",MIN(Skills!I30,15),Skills!I30)/Skills!H30,1)</f>
        <v/>
      </c>
      <c r="H3211">
        <f>1-(1-Skills!J30/100)^Skills!K30</f>
        <v/>
      </c>
      <c r="I3211" t="inlineStr">
        <is>
          <t>1</t>
        </is>
      </c>
      <c r="J3211" t="inlineStr"/>
      <c r="K3211" t="inlineStr"/>
      <c r="L3211" t="inlineStr"/>
      <c r="M3211" t="inlineStr"/>
      <c r="N3211" t="inlineStr"/>
      <c r="O3211">
        <f>(1-Summary!$B$11)*T3211+Summary!$B$11*V3211</f>
        <v/>
      </c>
      <c r="P3211">
        <f>IF(B3227=0,0,O3211/B3227)</f>
        <v/>
      </c>
      <c r="Q3211" t="n">
        <v>0</v>
      </c>
      <c r="R3211" t="n">
        <v>0</v>
      </c>
      <c r="S3211">
        <f>IFERROR(O3211/N3211,0)</f>
        <v/>
      </c>
      <c r="T3211" t="n">
        <v>0</v>
      </c>
      <c r="V3211" t="n">
        <v>0</v>
      </c>
    </row>
    <row r="3212">
      <c r="A3212">
        <f>Skills!A31</f>
        <v/>
      </c>
      <c r="B3212">
        <f>Skills!B31</f>
        <v/>
      </c>
      <c r="C3212">
        <f>Inputs!$B$3&gt;=125</f>
        <v/>
      </c>
      <c r="D3212">
        <f>IF(Skills!C31=1,60+Inputs!$B$25+Inputs!$B$29,IF(Skills!C31=2,90+Inputs!$B$26+Inputs!$B$29,IF(Skills!C31=3,120+Inputs!$B$27+Inputs!$B$29,MAX(0,(Inputs!$B$3-100)*3)+Inputs!$B$28+Inputs!$B$29)))</f>
        <v/>
      </c>
      <c r="E3212">
        <f>INDEX(FactorTable!$B$2:$Y$301, MATCH(ROUND(MIN(300,MAX(1,D3212)),0), FactorTable!$A$2:$A$301,0), Skills!M31+1)</f>
        <v/>
      </c>
      <c r="F3212">
        <f>IF(Skills!N31=TRUE,(Skills!L31/10)*(E3212/1000),Skills!L31/10)+Skills!O31</f>
        <v/>
      </c>
      <c r="G3212">
        <f>Skills!G31*IF(Skills!H31&gt;0,IF(Inputs!$B$39="pvp",MIN(Skills!I31,15),Skills!I31)/Skills!H31,1)</f>
        <v/>
      </c>
      <c r="H3212">
        <f>1-(1-Skills!J31/100)^Skills!K31</f>
        <v/>
      </c>
      <c r="I3212" t="inlineStr">
        <is>
          <t>1</t>
        </is>
      </c>
      <c r="J3212" t="inlineStr"/>
      <c r="K3212" t="inlineStr"/>
      <c r="L3212" t="inlineStr"/>
      <c r="M3212" t="inlineStr"/>
      <c r="N3212" t="inlineStr"/>
      <c r="O3212">
        <f>(1-Summary!$B$11)*T3212+Summary!$B$11*V3212</f>
        <v/>
      </c>
      <c r="P3212">
        <f>IF(B3227=0,0,O3212/B3227)</f>
        <v/>
      </c>
      <c r="Q3212" t="n">
        <v>0</v>
      </c>
      <c r="R3212" t="n">
        <v>0</v>
      </c>
      <c r="S3212">
        <f>IFERROR(O3212/N3212,0)</f>
        <v/>
      </c>
      <c r="T3212" t="n">
        <v>0</v>
      </c>
      <c r="V3212" t="n">
        <v>0</v>
      </c>
    </row>
    <row r="3214">
      <c r="A3214" t="inlineStr">
        <is>
          <t>Average Buff Multiplier</t>
        </is>
      </c>
      <c r="B3214">
        <f>(1+(((C3203=TRUE)*F3203*IF(AND(Inputs!$B$39&lt;&gt;"pvp",Inputs!$B$44&gt;0),(((R3203-1)*MIN((Skills!Y22*(1+Inputs!$B$34/100)),(1/Q3203))+MIN((Skills!Y22*(1+Inputs!$B$34/100)),MAX(0,Inputs!$B$44-((R3203-1)*(1/Q3203)))))/Inputs!$B$44),IF(Inputs!$B$39="pvp",MIN((Skills!Y22*(1+Inputs!$B$34/100)),15)/15,MIN(1,(Skills!Y22*(1+Inputs!$B$34/100))/(1/Q3203)))))+((C3184=TRUE)*F3184*3)+((C3186=TRUE)*F3186*(1-EXP(-0.75*B3219*5)))+((C3205=TRUE)*(F3205-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IF(ArtifactsInput!$M$41,FALSE,TRUE),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3192=TRUE)*F3192*IF(AND(Inputs!$B$39&lt;&gt;"pvp",Inputs!$B$44&gt;0),(((R3192-1)*MIN((Skills!Y11*(1+Inputs!$B$34/100)),(1/Q3192))+MIN((Skills!Y11*(1+Inputs!$B$34/100)),MAX(0,Inputs!$B$44-((R3192-1)*(1/Q3192)))))/Inputs!$B$44),IF(Inputs!$B$39="pvp",MIN((Skills!Y11*(1+Inputs!$B$34/100)),15)/15,MIN(1,(Skills!Y11*(1+Inputs!$B$34/100))/(1/Q3192)))))/100)*(1+((C3197=TRUE)*F3197*IF(AND(Inputs!$B$39&lt;&gt;"pvp",Inputs!$B$44&gt;0),(((R3197-1)*MIN((Skills!Y16*(1+Inputs!$B$34/100)),(1/Q3197))+MIN((Skills!Y16*(1+Inputs!$B$34/100)),MAX(0,Inputs!$B$44-((R3197-1)*(1/Q3197)))))/Inputs!$B$44),IF(Inputs!$B$39="pvp",MIN((Skills!Y16*(1+Inputs!$B$34/100)),15)/15,MIN(1,(Skills!Y16*(1+Inputs!$B$34/100))/(1/Q3197)))))/100)</f>
        <v/>
      </c>
    </row>
    <row r="3215">
      <c r="A3215" t="inlineStr">
        <is>
          <t>Global Crit Rate Bonus %</t>
        </is>
      </c>
      <c r="B3215">
        <f>((C3202=TRUE)*F3202*IF(AND(Inputs!$B$39&lt;&gt;"pvp",Inputs!$B$44&gt;0),(((R3202-1)*MIN((Skills!Y21*(1+Inputs!$B$34/100)),(1/Q3202))+MIN((Skills!Y21*(1+Inputs!$B$34/100)),MAX(0,Inputs!$B$44-((R3202-1)*(1/Q3202)))))/Inputs!$B$44),IF(Inputs!$B$39="pvp",MIN((Skills!Y21*(1+Inputs!$B$34/100)),15)/15,MIN(1,(Skills!Y21*(1+Inputs!$B$34/100))/(1/Q3202)))))</f>
        <v/>
      </c>
    </row>
    <row r="3216">
      <c r="A3216" t="inlineStr">
        <is>
          <t>Global Monster Damage-Taken Bonus %</t>
        </is>
      </c>
      <c r="B3216">
        <f>IF(Inputs!$B$3&gt;=82,15,0)</f>
        <v/>
      </c>
    </row>
    <row r="3217">
      <c r="A3217" t="inlineStr">
        <is>
          <t>Shadow Partner Average Multiplier</t>
        </is>
      </c>
      <c r="B3217">
        <f>1+((C3189=TRUE)*F3189*(1+3.3333333333333335*IF(C3200=TRUE,F3200,0)/100)*I3189*Skills!J8/100)/100</f>
        <v/>
      </c>
    </row>
    <row r="3218">
      <c r="A3218" t="inlineStr">
        <is>
          <t>Attack Speed Buff Bonus %</t>
        </is>
      </c>
      <c r="B3218">
        <f>((C3201=TRUE)*F3201*IF(AND(Inputs!$B$39&lt;&gt;"pvp",Inputs!$B$44&gt;0),(((R3201-1)*MIN((Skills!Y20*(1+Inputs!$B$34/100)),(1/Q3201))+MIN((Skills!Y20*(1+Inputs!$B$34/100)),MAX(0,Inputs!$B$44-((R3201-1)*(1/Q3201)))))/Inputs!$B$44),IF(Inputs!$B$39="pvp",MIN((Skills!Y20*(1+Inputs!$B$34/100)),15)/15,MIN(1,(Skills!Y20*(1+Inputs!$B$34/100))/(1/Q3201)))))</f>
        <v/>
      </c>
    </row>
    <row r="3219">
      <c r="A3219" t="inlineStr">
        <is>
          <t>Actions Per Second</t>
        </is>
      </c>
      <c r="B3219">
        <f>1+MIN(150,150*(1-(1-(Inputs!$B$11+((C3204=TRUE)*(F3204-Calc!F23)))/150)*(1-B3218/150)))/100</f>
        <v/>
      </c>
    </row>
    <row r="3220">
      <c r="A3220" t="inlineStr">
        <is>
          <t>Skill + Buff Cast Rate</t>
        </is>
      </c>
      <c r="B3220">
        <f>IF(AND(Inputs!$B$39&lt;&gt;"pvp",Inputs!$B$44&gt;0),SUMPRODUCT((Skills!E2:E31=TRUE)*(C3183:C3212=TRUE)*R3183:R3212*Skills!F2:F31)/Inputs!$B$44,SUMPRODUCT((Skills!E2:E31=TRUE)*(C3183:C3212=TRUE)*Q3183:Q3212*Skills!F2:F31))</f>
        <v/>
      </c>
    </row>
    <row r="3221">
      <c r="A3221" t="inlineStr">
        <is>
          <t>Cruel Stab Casts Per Second</t>
        </is>
      </c>
      <c r="B3221">
        <f>MAX(0,B3219-B3220)</f>
        <v/>
      </c>
    </row>
    <row r="3222">
      <c r="A3222" t="inlineStr">
        <is>
          <t>Global Critical Damage Bonus % (Smokescreen Mastery Lv.113)</t>
        </is>
      </c>
      <c r="B3222">
        <f>IF(Inputs!$B$3&gt;=113,30,0)*IF(AND(Inputs!$B$39&lt;&gt;"pvp",Inputs!$B$44&gt;0),(((R3197-1)*MIN((Skills!Y16*(1+Inputs!$B$34/100)),(1/Q3197))+MIN((Skills!Y16*(1+Inputs!$B$34/100)),MAX(0,Inputs!$B$44-((R3197-1)*(1/Q3197)))))/Inputs!$B$44),IF(Inputs!$B$39="pvp",MIN((Skills!Y16*(1+Inputs!$B$34/100)),15)/15,MIN(1,(Skills!Y16*(1+Inputs!$B$34/100))/(1/Q3197))))</f>
        <v/>
      </c>
    </row>
    <row r="3223">
      <c r="A3223" t="inlineStr">
        <is>
          <t>Meso Explosion average stack count</t>
        </is>
      </c>
      <c r="B3223">
        <f>MIN(10,IF(Inputs!$B$3&gt;=75,0.75,0.5)*B3219*(1/Q3185))</f>
        <v/>
      </c>
    </row>
    <row r="3224">
      <c r="A3224" t="inlineStr">
        <is>
          <t>Blood Money average stack count</t>
        </is>
      </c>
      <c r="B3224">
        <f>MIN(5,0.5*IF(Inputs!$B$3&gt;=75,0.75,0.5)*B3219*(1/Q3185))</f>
        <v/>
      </c>
    </row>
    <row r="3225">
      <c r="A3225" t="inlineStr">
        <is>
          <t>Assassinate Murderous Intent Multiplier</t>
        </is>
      </c>
      <c r="B3225">
        <f>1+IFERROR(MIN(1,Q3196*2/Q3193),0)</f>
        <v/>
      </c>
    </row>
    <row r="3226">
      <c r="A3226" t="inlineStr">
        <is>
          <t>Buff-Casting Startup Delay (s, fixed-duration only)</t>
        </is>
      </c>
      <c r="B3226">
        <f>IF(AND(Inputs!$B$39&lt;&gt;"pvp",Inputs!$B$44&gt;0),SUMPRODUCT((Skills!Y2:Y31&gt;0)*(Skills!E2:E31=TRUE)*(C3183:C3212=TRUE))/B3219,0)</f>
        <v/>
      </c>
    </row>
    <row r="3227">
      <c r="A3227" s="6" t="inlineStr">
        <is>
          <t>TOTAL DPS</t>
        </is>
      </c>
      <c r="B3227" s="6">
        <f>SUM(O3183:O3212)</f>
        <v/>
      </c>
    </row>
    <row r="3228">
      <c r="A3228" t="inlineStr">
        <is>
          <t>Boss-Only Total DPS (this block's swept value)</t>
        </is>
      </c>
      <c r="B3228">
        <f>SUM(T3183:T3212)</f>
        <v/>
      </c>
    </row>
    <row r="3229">
      <c r="A3229" t="inlineStr">
        <is>
          <t>Normal-Only Total DPS (this block's swept value)</t>
        </is>
      </c>
      <c r="B3229">
        <f>SUM(V3183:V3212)</f>
        <v/>
      </c>
    </row>
    <row r="3232">
      <c r="A3232" s="6" t="inlineStr">
        <is>
          <t>Stat: Ring of Cycles (Equip)</t>
        </is>
      </c>
    </row>
    <row r="3233">
      <c r="A3233" s="5" t="inlineStr">
        <is>
          <t>Key</t>
        </is>
      </c>
      <c r="B3233" s="5" t="inlineStr">
        <is>
          <t>Name</t>
        </is>
      </c>
      <c r="C3233" s="5" t="inlineStr">
        <is>
          <t>Unlocked</t>
        </is>
      </c>
      <c r="D3233" s="5" t="inlineStr">
        <is>
          <t>InputLevel</t>
        </is>
      </c>
      <c r="E3233" s="5" t="inlineStr">
        <is>
          <t>Factor</t>
        </is>
      </c>
      <c r="F3233" s="5" t="inlineStr">
        <is>
          <t>CoefficientPercent</t>
        </is>
      </c>
      <c r="G3233" s="5" t="inlineStr">
        <is>
          <t>EffectiveHits</t>
        </is>
      </c>
      <c r="H3233" s="5" t="inlineStr">
        <is>
          <t>ProcProbability</t>
        </is>
      </c>
      <c r="I3233" s="5" t="inlineStr">
        <is>
          <t>MapleHeroMultiplier</t>
        </is>
      </c>
      <c r="J3233" s="5" t="inlineStr">
        <is>
          <t>BaseDamage</t>
        </is>
      </c>
      <c r="K3233" s="5" t="inlineStr">
        <is>
          <t>BaseHitDamage</t>
        </is>
      </c>
      <c r="L3233" s="5" t="inlineStr">
        <is>
          <t>NonCritAvg</t>
        </is>
      </c>
      <c r="M3233" s="5" t="inlineStr">
        <is>
          <t>CritAvg</t>
        </is>
      </c>
      <c r="N3233" s="5" t="inlineStr">
        <is>
          <t>ExpectedDamage(perHit)</t>
        </is>
      </c>
      <c r="O3233" s="5" t="inlineStr">
        <is>
          <t>DPS</t>
        </is>
      </c>
      <c r="P3233" s="5" t="inlineStr">
        <is>
          <t>% of Total</t>
        </is>
      </c>
      <c r="Q3233" s="5" t="inlineStr">
        <is>
          <t>InvCooldown</t>
        </is>
      </c>
      <c r="R3233" s="5" t="inlineStr">
        <is>
          <t>CastsInFight</t>
        </is>
      </c>
      <c r="S3233" s="5" t="inlineStr">
        <is>
          <t>HitRate(perSec)</t>
        </is>
      </c>
      <c r="U3233" t="inlineStr">
        <is>
          <t>helpers</t>
        </is>
      </c>
    </row>
    <row r="3234">
      <c r="A3234">
        <f>Skills!A2</f>
        <v/>
      </c>
      <c r="B3234">
        <f>Skills!B2</f>
        <v/>
      </c>
      <c r="C3234">
        <f>Inputs!$B$3&gt;=100</f>
        <v/>
      </c>
      <c r="D3234" t="inlineStr"/>
      <c r="E3234" t="inlineStr"/>
      <c r="F3234">
        <f>U3236+Skills!O2</f>
        <v/>
      </c>
      <c r="G3234">
        <f>Skills!G2*IF(Skills!H2&gt;0,IF(Inputs!$B$39="pvp",MIN(Skills!I2,15),Skills!I2)/Skills!H2,1)</f>
        <v/>
      </c>
      <c r="H3234">
        <f>1-(1-Skills!J2/100)^Skills!K2</f>
        <v/>
      </c>
      <c r="I3234" t="inlineStr">
        <is>
          <t>1</t>
        </is>
      </c>
      <c r="J3234">
        <f>((Inputs!$B$6*(1+Inputs!$B$7/100))+(((Inputs!$B$12*(1+Inputs!$B$13/100))-(Inputs!$B$12*(1+Inputs!$B$13/100)))+0.25*(Inputs!$B$14-Inputs!$B$14))*(1+Inputs!$B$7/100))*(F3234/100)</f>
        <v/>
      </c>
      <c r="K3234">
        <f>J3234*(1+((Inputs!$B$12*(1+Inputs!$B$13/100))*0.01+Inputs!$B$14*0.0025)/100)*(1+Inputs!$B$15/100)*(1+Inputs!$B$16/100)*(5000/(6000+Inputs!$B$43*(1-(100*(1-(1-Inputs!$B$19/100)*(1-CHOOSE(ArtifactsInput!$N$40+1,5,6,7,8,9,10)/100)^(ArtifactsInput!$M$40-ArtifactsInput!$M$40)))/100)))*(1+(Inputs!$B$24+((C3263=TRUE)*(F3263-Calc!F31))+((C3250=TRUE)*(F3250-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CRUEL_STAB",Inputs!$B$17+((C3260=TRUE)*(F3260-Calc!F28))+((IF(AND(Inputs!$B$39&lt;&gt;"pvp",Inputs!$B$44=0),1,IF(IF(Inputs!$B$39="pvp",15,Inputs!$B$44)-(B3277)&lt;=0,1,MAX(0,IF(Inputs!$B$39="pvp",15,Inputs!$B$44)-MAX(5,B3277))/(IF(Inputs!$B$39="pvp",15,Inputs!$B$44)-(B3277))))*(IF(AND(IF(ArtifactsInput!$M$42,FALSE,TRUE),((Inputs!$B$9+((C3258=TRUE)*(F3258-Calc!F26))+B3266+(ArtifactsInput!$M$24-ArtifactsInput!$M$24)*CHOOSE(ArtifactsInput!$N$24+1,10,12,14,16,18,20)+IF(ArtifactsInput!$M$10,CHOOSE(ArtifactsInput!$N$10+1,15,18,21,24,27,30)*(IF(Inputs!$B$39="pvp",MIN(15,15)/15,IF(AND(Inputs!$B$39&lt;&gt;"pvp",Inputs!$B$44&gt;0),MIN(15,Inputs!$B$44)/(Inputs!$B$44),0))),0)))&gt;=100),MIN(100,((Inputs!$B$9+((C3258=TRUE)*(F3258-Calc!F26))+B3266+(ArtifactsInput!$M$24-ArtifactsInput!$M$24)*CHOOSE(ArtifactsInput!$N$24+1,10,12,14,16,18,20)+IF(ArtifactsInput!$M$10,CHOOSE(ArtifactsInput!$N$10+1,15,18,21,24,27,30)*(IF(Inputs!$B$39="pvp",MIN(15,15)/15,IF(AND(Inputs!$B$39&lt;&gt;"pvp",Inputs!$B$44&gt;0),MIN(15,Inputs!$B$44)/(Inputs!$B$44),0))),0)))-100),0))*CHOOSE(ArtifactsInput!$N$42+1,0.6,0.72,0.84,0.96,1.08,1.2))),Inputs!$B$18+((C3261=TRUE)*(F3261-Calc!F29))+(IF(AND(Inputs!$B$39&lt;&gt;"pvp",Inputs!$B$44=0),1,IF(IF(Inputs!$B$39="pvp",15,Inputs!$B$44)-(B3277)&lt;=0,1,MAX(0,IF(Inputs!$B$39="pvp",15,Inputs!$B$44)-MAX(5,B3277))/(IF(Inputs!$B$39="pvp",15,Inputs!$B$44)-(B3277))))*IF(AND(IF(ArtifactsInput!$M$42,FALSE,TRUE),((Inputs!$B$9+((C3258=TRUE)*(F3258-Calc!F26))+B3266+(ArtifactsInput!$M$24-ArtifactsInput!$M$24)*CHOOSE(ArtifactsInput!$N$24+1,10,12,14,16,18,20)+IF(ArtifactsInput!$M$10,CHOOSE(ArtifactsInput!$N$10+1,15,18,21,24,27,30)*(IF(Inputs!$B$39="pvp",MIN(15,15)/15,IF(AND(Inputs!$B$39&lt;&gt;"pvp",Inputs!$B$44&gt;0),MIN(15,Inputs!$B$44)/(Inputs!$B$44),0))),0)))&gt;=100),CHOOSE(ArtifactsInput!$N$42+1,40,48,56,64,72,80),0))))/100)*(((1+(((C3254=TRUE)*F3254*IF(AND(Inputs!$B$39&lt;&gt;"pvp",Inputs!$B$44&gt;0),(((R3254-1)*MIN((Skills!Y22*(1+Inputs!$B$34/100)),(1/Q3254))+MIN((Skills!Y22*(1+Inputs!$B$34/100)),MAX(0,Inputs!$B$44-((R3254-1)*(1/Q3254)))))/Inputs!$B$44),IF(Inputs!$B$39="pvp",MIN((Skills!Y22*(1+Inputs!$B$34/100)),15)/15,MIN(1,(Skills!Y22*(1+Inputs!$B$34/100))/(1/Q3254)))))+((C3235=TRUE)*F3235*3)+((C3237=TRUE)*F3237*(1-EXP(-0.75*B3270*5)))+((C3256=TRUE)*(F3256-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3243=TRUE)*F3243*IF(AND(Inputs!$B$39&lt;&gt;"pvp",Inputs!$B$44&gt;0),(((R3243-1)*MIN((Skills!Y11*(1+Inputs!$B$34/100)),(1/Q3243))+MIN((Skills!Y11*(1+Inputs!$B$34/100)),MAX(0,Inputs!$B$44-((R3243-1)*(1/Q3243)))))/Inputs!$B$44),IF(Inputs!$B$39="pvp",MIN((Skills!Y11*(1+Inputs!$B$34/100)),15)/15,MIN(1,(Skills!Y11*(1+Inputs!$B$34/100))/(1/Q3243)))))/100)*(1+((C3248=TRUE)*F3248*IF(AND(Inputs!$B$39&lt;&gt;"pvp",Inputs!$B$44&gt;0),(((R3248-1)*MIN((Skills!Y16*(1+Inputs!$B$34/100)),(1/Q3248))+MIN((Skills!Y16*(1+Inputs!$B$34/100)),MAX(0,Inputs!$B$44-((R3248-1)*(1/Q3248)))))/Inputs!$B$44),IF(Inputs!$B$39="pvp",MIN((Skills!Y16*(1+Inputs!$B$34/100)),15)/15,MIN(1,(Skills!Y16*(1+Inputs!$B$34/100))/(1/Q3248)))))/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3268*I3234)</f>
        <v/>
      </c>
      <c r="L3234">
        <f>K3234*(MIN(Inputs!$B$22+((C3257=TRUE)*(F3257-Calc!F25)),(Inputs!$B$23+((C3262=TRUE)*(F3262-Calc!F30))+IF(ArtifactsInput!$M$15,CHOOSE(ArtifactsInput!$N$15+1,25,30,35,40,45,50)/100*(Inputs!$B$11-Inputs!$B$11),0)))/100+(Inputs!$B$23+((C3262=TRUE)*(F3262-Calc!F30))+IF(ArtifactsInput!$M$15,CHOOSE(ArtifactsInput!$N$15+1,25,30,35,40,45,50)/100*(Inputs!$B$11-Inputs!$B$11),0))/100)/2</f>
        <v/>
      </c>
      <c r="M3234">
        <f>L3234*(1+(Inputs!$B$10+((C3259=TRUE)*(F3259-Calc!F27))+B3273+(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3234">
        <f>L3234*(1-MIN((Inputs!$B$9+((C3258=TRUE)*(F3258-Calc!F26))+B3266+(ArtifactsInput!$M$24-ArtifactsInput!$M$24)*CHOOSE(ArtifactsInput!$N$24+1,10,12,14,16,18,20)+(IF(AND(Inputs!$B$39&lt;&gt;"pvp",Inputs!$B$44=0),1,IF(IF(Inputs!$B$39="pvp",15,Inputs!$B$44)-(B3277)&lt;=0,1,MAX(0,IF(Inputs!$B$39="pvp",15,Inputs!$B$44)-MAX(5,B3277))/(IF(Inputs!$B$39="pvp",15,Inputs!$B$44)-(B3277))))*IF(AND(IF(ArtifactsInput!$M$42,FALSE,TRUE),((Inputs!$B$9+((C3258=TRUE)*(F3258-Calc!F26))+B3266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3234*(MIN((Inputs!$B$9+((C3258=TRUE)*(F3258-Calc!F26))+B3266+(ArtifactsInput!$M$24-ArtifactsInput!$M$24)*CHOOSE(ArtifactsInput!$N$24+1,10,12,14,16,18,20)+(IF(AND(Inputs!$B$39&lt;&gt;"pvp",Inputs!$B$44=0),1,IF(IF(Inputs!$B$39="pvp",15,Inputs!$B$44)-(B3277)&lt;=0,1,MAX(0,IF(Inputs!$B$39="pvp",15,Inputs!$B$44)-MAX(5,B3277))/(IF(Inputs!$B$39="pvp",15,Inputs!$B$44)-(B3277))))*IF(AND(IF(ArtifactsInput!$M$42,FALSE,TRUE),((Inputs!$B$9+((C3258=TRUE)*(F3258-Calc!F26))+B3266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3234">
        <f>(1-Summary!$B$11)*T3234+Summary!$B$11*V3234</f>
        <v/>
      </c>
      <c r="P3234">
        <f>IF(B3278=0,0,O3234/B3278)</f>
        <v/>
      </c>
      <c r="Q3234" t="n">
        <v>0</v>
      </c>
      <c r="R3234" t="n">
        <v>0</v>
      </c>
      <c r="S3234">
        <f>IFERROR(O3234/N3234,0)</f>
        <v/>
      </c>
      <c r="T3234">
        <f>IF(C3234,(Skills!G2*N3234*B3272)*IF(Inputs!$B$39="pvp",1,1+(Inputs!$B$20+0+Skills!P2+B3267+(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Hunt"),CHOOSE(ArtifactsInput!$N$35+1,15,18,21,24,27,30)*(1-EXP(-(0.2*B3270)*5)),0)+IF(AND(ArtifactsInput!$M$22,Inputs!$B$4&lt;&gt;"Chapter Hunt"),CHOOSE(ArtifactsInput!$N$22+1,10,12,14,16,18,20)*((0*(((0.15*B3270*5))^0/1)+1*(((0.15*B3270*5))^1/1)+2*(((0.15*B3270*5))^2/2)+3*(((0.15*B3270*5))^3/6)+4*(((0.15*B3270*5))^4/24)+5*(((0.15*B3270*5))^5/120))/((((0.15*B3270*5))^0/1)+(((0.15*B3270*5))^1/1)+(((0.15*B3270*5))^2/2)+(((0.15*B3270*5))^3/6)+(((0.15*B3270*5))^4/24)+(((0.15*B3270*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3234*(1-MIN(100,(Inputs!$B$9+((C3258=TRUE)*(F3258-Calc!F26))+B3266+(ArtifactsInput!$M$24-ArtifactsInput!$M$24)*CHOOSE(ArtifactsInput!$N$24+1,10,12,14,16,18,20)+(IF(AND(Inputs!$B$39&lt;&gt;"pvp",Inputs!$B$44=0),1,IF(IF(Inputs!$B$39="pvp",15,Inputs!$B$44)-(B3277)&lt;=0,1,MAX(0,IF(Inputs!$B$39="pvp",15,Inputs!$B$44)-MAX(5,B3277))/(IF(Inputs!$B$39="pvp",15,Inputs!$B$44)-(B3277))))*IF(AND(IF(ArtifactsInput!$M$42,FALSE,TRUE),((Inputs!$B$9+((C3258=TRUE)*(F3258-Calc!F26))+B3266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3234*(MIN(100,(Inputs!$B$9+((C3258=TRUE)*(F3258-Calc!F26))+B3266+(ArtifactsInput!$M$24-ArtifactsInput!$M$24)*CHOOSE(ArtifactsInput!$N$24+1,10,12,14,16,18,20)+(IF(AND(Inputs!$B$39&lt;&gt;"pvp",Inputs!$B$44=0),1,IF(IF(Inputs!$B$39="pvp",15,Inputs!$B$44)-(B3277)&lt;=0,1,MAX(0,IF(Inputs!$B$39="pvp",15,Inputs!$B$44)-MAX(5,B3277))/(IF(Inputs!$B$39="pvp",15,Inputs!$B$44)-(B3277))))*IF(AND(IF(ArtifactsInput!$M$42,FALSE,TRUE),((Inputs!$B$9+((C3258=TRUE)*(F3258-Calc!F26))+B3266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3234*(1-MIN(100,(Inputs!$B$9+((C3258=TRUE)*(F3258-Calc!F26))+B3266+(ArtifactsInput!$M$24-ArtifactsInput!$M$24)*CHOOSE(ArtifactsInput!$N$24+1,10,12,14,16,18,20)+(IF(AND(Inputs!$B$39&lt;&gt;"pvp",Inputs!$B$44=0),1,IF(IF(Inputs!$B$39="pvp",15,Inputs!$B$44)-(B3277)&lt;=0,1,MAX(0,IF(Inputs!$B$39="pvp",15,Inputs!$B$44)-MAX(5,B3277))/(IF(Inputs!$B$39="pvp",15,Inputs!$B$44)-(B3277))))*IF(AND(IF(ArtifactsInput!$M$42,FALSE,TRUE),((Inputs!$B$9+((C3258=TRUE)*(F3258-Calc!F26))+B3266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3234*(MIN(100,(Inputs!$B$9+((C3258=TRUE)*(F3258-Calc!F26))+B3266+(ArtifactsInput!$M$24-ArtifactsInput!$M$24)*CHOOSE(ArtifactsInput!$N$24+1,10,12,14,16,18,20)+(IF(AND(Inputs!$B$39&lt;&gt;"pvp",Inputs!$B$44=0),1,IF(IF(Inputs!$B$39="pvp",15,Inputs!$B$44)-(B3277)&lt;=0,1,MAX(0,IF(Inputs!$B$39="pvp",15,Inputs!$B$44)-MAX(5,B3277))/(IF(Inputs!$B$39="pvp",15,Inputs!$B$44)-(B3277))))*IF(AND(IF(ArtifactsInput!$M$42,FALSE,TRUE),((Inputs!$B$9+((C3258=TRUE)*(F3258-Calc!F26))+B3266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3234">
        <f>MAX(0,(Inputs!$B$3-100)*3)+Inputs!$B$28+Inputs!$B$29</f>
        <v/>
      </c>
      <c r="V3234">
        <f>IF(C3234,(Skills!G2*N3234*B3272)*IF(Inputs!$B$39="pvp",1,(1+(Inputs!$B$21+Skills!Q2+B3267+(IF(ArtifactsInput!$M$33,CHOOSE(ArtifactsInput!$N$33+1,30,36,42,48,54,60),0))+(IF(AND(ArtifactsInput!$M$35,Inputs!$B$4&lt;&gt;"Chapter Hunt"),CHOOSE(ArtifactsInput!$N$35+1,15,18,21,24,27,30)*(1-EXP(-(0.2*B3270)*5)),0)+IF(AND(ArtifactsInput!$M$22,Inputs!$B$4&lt;&gt;"Chapter Hunt"),CHOOSE(ArtifactsInput!$N$22+1,10,12,14,16,18,20)*((0*(((0.15*B3270*5))^0/1)+1*(((0.15*B3270*5))^1/1)+2*(((0.15*B3270*5))^2/2)+3*(((0.15*B3270*5))^3/6)+4*(((0.15*B3270*5))^4/24)+5*(((0.15*B3270*5))^5/120))/((((0.15*B3270*5))^0/1)+(((0.15*B3270*5))^1/1)+(((0.15*B3270*5))^2/2)+(((0.15*B3270*5))^3/6)+(((0.15*B3270*5))^4/24)+(((0.15*B3270*5))^5/120))),0)))/100)*(MIN((6+Inputs!$B$33),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3235">
      <c r="A3235">
        <f>Skills!A3</f>
        <v/>
      </c>
      <c r="B3235">
        <f>Skills!B3</f>
        <v/>
      </c>
      <c r="C3235">
        <f>Inputs!$B$3&gt;=35</f>
        <v/>
      </c>
      <c r="D3235">
        <f>IF(Skills!C3=1,60+Inputs!$B$25+Inputs!$B$29,IF(Skills!C3=2,90+Inputs!$B$26+Inputs!$B$29,IF(Skills!C3=3,120+Inputs!$B$27+Inputs!$B$29,MAX(0,(Inputs!$B$3-100)*3)+Inputs!$B$28+Inputs!$B$29)))</f>
        <v/>
      </c>
      <c r="E3235">
        <f>INDEX(FactorTable!$B$2:$Y$301, MATCH(ROUND(MIN(300,MAX(1,D3235)),0), FactorTable!$A$2:$A$301,0), Skills!M3+1)</f>
        <v/>
      </c>
      <c r="F3235">
        <f>IF(Skills!N3=TRUE,(Skills!L3/10)*(E3235/1000),Skills!L3/10)+Skills!O3</f>
        <v/>
      </c>
      <c r="G3235">
        <f>Skills!G3*IF(Skills!H3&gt;0,IF(Inputs!$B$39="pvp",MIN(Skills!I3,15),Skills!I3)/Skills!H3,1)</f>
        <v/>
      </c>
      <c r="H3235">
        <f>1-(1-Skills!J3/100)^Skills!K3</f>
        <v/>
      </c>
      <c r="I3235" t="inlineStr">
        <is>
          <t>1</t>
        </is>
      </c>
      <c r="J3235" t="inlineStr"/>
      <c r="K3235" t="inlineStr"/>
      <c r="L3235" t="inlineStr"/>
      <c r="M3235" t="inlineStr"/>
      <c r="N3235" t="inlineStr"/>
      <c r="O3235">
        <f>(1-Summary!$B$11)*T3235+Summary!$B$11*V3235</f>
        <v/>
      </c>
      <c r="P3235">
        <f>IF(B3278=0,0,O3235/B3278)</f>
        <v/>
      </c>
      <c r="Q3235" t="n">
        <v>0</v>
      </c>
      <c r="R3235" t="n">
        <v>0</v>
      </c>
      <c r="S3235">
        <f>IFERROR(O3235/N3235,0)</f>
        <v/>
      </c>
      <c r="T3235" t="n">
        <v>0</v>
      </c>
      <c r="U3235">
        <f>INDEX(FactorTable!$B$2:$Y$301, MATCH(ROUND(MIN(300,MAX(1,U3234)),0), FactorTable!$A$2:$A$301,0), 22)</f>
        <v/>
      </c>
      <c r="V3235" t="n">
        <v>0</v>
      </c>
    </row>
    <row r="3236">
      <c r="A3236">
        <f>Skills!A4</f>
        <v/>
      </c>
      <c r="B3236">
        <f>Skills!B4</f>
        <v/>
      </c>
      <c r="C3236">
        <f>Inputs!$B$3&gt;=66</f>
        <v/>
      </c>
      <c r="D3236">
        <f>IF(Skills!C4=1,60+Inputs!$B$25+Inputs!$B$29,IF(Skills!C4=2,90+Inputs!$B$26+Inputs!$B$29,IF(Skills!C4=3,120+Inputs!$B$27+Inputs!$B$29,MAX(0,(Inputs!$B$3-100)*3)+Inputs!$B$28+Inputs!$B$29)))</f>
        <v/>
      </c>
      <c r="E3236">
        <f>INDEX(FactorTable!$B$2:$Y$301, MATCH(ROUND(MIN(300,MAX(1,D3236)),0), FactorTable!$A$2:$A$301,0), Skills!M4+1)</f>
        <v/>
      </c>
      <c r="F3236">
        <f>IF(Skills!N4=TRUE,(Skills!L4/10)*(E3236/1000),Skills!L4/10)+Skills!O4</f>
        <v/>
      </c>
      <c r="G3236">
        <f>Skills!G4*IF(Skills!H4&gt;0,IF(Inputs!$B$39="pvp",MIN(Skills!I4,15),Skills!I4)/Skills!H4,1)</f>
        <v/>
      </c>
      <c r="H3236">
        <f>1-(1-Skills!J4/100)^Skills!K4</f>
        <v/>
      </c>
      <c r="I3236" t="inlineStr">
        <is>
          <t>1</t>
        </is>
      </c>
      <c r="J3236">
        <f>((Inputs!$B$6*(1+Inputs!$B$7/100))+(((Inputs!$B$12*(1+Inputs!$B$13/100))-(Inputs!$B$12*(1+Inputs!$B$13/100)))+0.25*(Inputs!$B$14-Inputs!$B$14))*(1+Inputs!$B$7/100))*(F3236/100)</f>
        <v/>
      </c>
      <c r="K3236">
        <f>J3236*(1+((Inputs!$B$12*(1+Inputs!$B$13/100))*0.01+Inputs!$B$14*0.0025)/100)*(1+Inputs!$B$15/100)*(1+Inputs!$B$16/100)*(5000/(6000+Inputs!$B$43*(1-(100*(1-(1-Inputs!$B$19/100)*(1-CHOOSE(ArtifactsInput!$N$40+1,5,6,7,8,9,10)/100)^(ArtifactsInput!$M$40-ArtifactsInput!$M$40)))/100)))*(1+(Inputs!$B$24+((C3263=TRUE)*(F3263-Calc!F31))+((C3250=TRUE)*(F3250-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4="CRUEL_STAB",Inputs!$B$17+((C3260=TRUE)*(F3260-Calc!F28))+((IF(AND(Inputs!$B$39&lt;&gt;"pvp",Inputs!$B$44=0),1,IF(IF(Inputs!$B$39="pvp",15,Inputs!$B$44)-(B3277)&lt;=0,1,MAX(0,IF(Inputs!$B$39="pvp",15,Inputs!$B$44)-MAX(5,B3277))/(IF(Inputs!$B$39="pvp",15,Inputs!$B$44)-(B3277))))*(IF(AND(IF(ArtifactsInput!$M$42,FALSE,TRUE),((Inputs!$B$9+((C3258=TRUE)*(F3258-Calc!F26))+B3266+(ArtifactsInput!$M$24-ArtifactsInput!$M$24)*CHOOSE(ArtifactsInput!$N$24+1,10,12,14,16,18,20)+IF(ArtifactsInput!$M$10,CHOOSE(ArtifactsInput!$N$10+1,15,18,21,24,27,30)*(IF(Inputs!$B$39="pvp",MIN(15,15)/15,IF(AND(Inputs!$B$39&lt;&gt;"pvp",Inputs!$B$44&gt;0),MIN(15,Inputs!$B$44)/(Inputs!$B$44),0))),0)))&gt;=100),MIN(100,((Inputs!$B$9+((C3258=TRUE)*(F3258-Calc!F26))+B3266+(ArtifactsInput!$M$24-ArtifactsInput!$M$24)*CHOOSE(ArtifactsInput!$N$24+1,10,12,14,16,18,20)+IF(ArtifactsInput!$M$10,CHOOSE(ArtifactsInput!$N$10+1,15,18,21,24,27,30)*(IF(Inputs!$B$39="pvp",MIN(15,15)/15,IF(AND(Inputs!$B$39&lt;&gt;"pvp",Inputs!$B$44&gt;0),MIN(15,Inputs!$B$44)/(Inputs!$B$44),0))),0)))-100),0))*CHOOSE(ArtifactsInput!$N$42+1,0.6,0.72,0.84,0.96,1.08,1.2))),Inputs!$B$18+((C3261=TRUE)*(F3261-Calc!F29))+(IF(AND(Inputs!$B$39&lt;&gt;"pvp",Inputs!$B$44=0),1,IF(IF(Inputs!$B$39="pvp",15,Inputs!$B$44)-(B3277)&lt;=0,1,MAX(0,IF(Inputs!$B$39="pvp",15,Inputs!$B$44)-MAX(5,B3277))/(IF(Inputs!$B$39="pvp",15,Inputs!$B$44)-(B3277))))*IF(AND(IF(ArtifactsInput!$M$42,FALSE,TRUE),((Inputs!$B$9+((C3258=TRUE)*(F3258-Calc!F26))+B3266+(ArtifactsInput!$M$24-ArtifactsInput!$M$24)*CHOOSE(ArtifactsInput!$N$24+1,10,12,14,16,18,20)+IF(ArtifactsInput!$M$10,CHOOSE(ArtifactsInput!$N$10+1,15,18,21,24,27,30)*(IF(Inputs!$B$39="pvp",MIN(15,15)/15,IF(AND(Inputs!$B$39&lt;&gt;"pvp",Inputs!$B$44&gt;0),MIN(15,Inputs!$B$44)/(Inputs!$B$44),0))),0)))&gt;=100),CHOOSE(ArtifactsInput!$N$42+1,40,48,56,64,72,80),0))))/100)*(((1+(((C3254=TRUE)*F3254*IF(AND(Inputs!$B$39&lt;&gt;"pvp",Inputs!$B$44&gt;0),(((R3254-1)*MIN((Skills!Y22*(1+Inputs!$B$34/100)),(1/Q3254))+MIN((Skills!Y22*(1+Inputs!$B$34/100)),MAX(0,Inputs!$B$44-((R3254-1)*(1/Q3254)))))/Inputs!$B$44),IF(Inputs!$B$39="pvp",MIN((Skills!Y22*(1+Inputs!$B$34/100)),15)/15,MIN(1,(Skills!Y22*(1+Inputs!$B$34/100))/(1/Q3254)))))+((C3235=TRUE)*F3235*3)+((C3237=TRUE)*F3237*(1-EXP(-0.75*B3270*5)))+((C3256=TRUE)*(F3256-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3243=TRUE)*F3243*IF(AND(Inputs!$B$39&lt;&gt;"pvp",Inputs!$B$44&gt;0),(((R3243-1)*MIN((Skills!Y11*(1+Inputs!$B$34/100)),(1/Q3243))+MIN((Skills!Y11*(1+Inputs!$B$34/100)),MAX(0,Inputs!$B$44-((R3243-1)*(1/Q3243)))))/Inputs!$B$44),IF(Inputs!$B$39="pvp",MIN((Skills!Y11*(1+Inputs!$B$34/100)),15)/15,MIN(1,(Skills!Y11*(1+Inputs!$B$34/100))/(1/Q3243)))))/100)*(1+((C3248=TRUE)*F3248*IF(AND(Inputs!$B$39&lt;&gt;"pvp",Inputs!$B$44&gt;0),(((R3248-1)*MIN((Skills!Y16*(1+Inputs!$B$34/100)),(1/Q3248))+MIN((Skills!Y16*(1+Inputs!$B$34/100)),MAX(0,Inputs!$B$44-((R3248-1)*(1/Q3248)))))/Inputs!$B$44),IF(Inputs!$B$39="pvp",MIN((Skills!Y16*(1+Inputs!$B$34/100)),15)/15,MIN(1,(Skills!Y16*(1+Inputs!$B$34/100))/(1/Q3248)))))/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3268*I3236)</f>
        <v/>
      </c>
      <c r="L3236">
        <f>K3236*(MIN(Inputs!$B$22+((C3257=TRUE)*(F3257-Calc!F25)),(Inputs!$B$23+((C3262=TRUE)*(F3262-Calc!F30))+IF(ArtifactsInput!$M$15,CHOOSE(ArtifactsInput!$N$15+1,25,30,35,40,45,50)/100*(Inputs!$B$11-Inputs!$B$11),0)))/100+(Inputs!$B$23+((C3262=TRUE)*(F3262-Calc!F30))+IF(ArtifactsInput!$M$15,CHOOSE(ArtifactsInput!$N$15+1,25,30,35,40,45,50)/100*(Inputs!$B$11-Inputs!$B$11),0))/100)/2</f>
        <v/>
      </c>
      <c r="M3236">
        <f>L3236*(1+(Inputs!$B$10+((C3259=TRUE)*(F3259-Calc!F27))+B3273+(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3236">
        <f>L3236*(1-MIN((Inputs!$B$9+((C3258=TRUE)*(F3258-Calc!F26))+B3266+(ArtifactsInput!$M$24-ArtifactsInput!$M$24)*CHOOSE(ArtifactsInput!$N$24+1,10,12,14,16,18,20)+(IF(AND(Inputs!$B$39&lt;&gt;"pvp",Inputs!$B$44=0),1,IF(IF(Inputs!$B$39="pvp",15,Inputs!$B$44)-(B3277)&lt;=0,1,MAX(0,IF(Inputs!$B$39="pvp",15,Inputs!$B$44)-MAX(5,B3277))/(IF(Inputs!$B$39="pvp",15,Inputs!$B$44)-(B3277))))*IF(AND(IF(ArtifactsInput!$M$42,FALSE,TRUE),((Inputs!$B$9+((C3258=TRUE)*(F3258-Calc!F26))+B3266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3236*(MIN((Inputs!$B$9+((C3258=TRUE)*(F3258-Calc!F26))+B3266+(ArtifactsInput!$M$24-ArtifactsInput!$M$24)*CHOOSE(ArtifactsInput!$N$24+1,10,12,14,16,18,20)+(IF(AND(Inputs!$B$39&lt;&gt;"pvp",Inputs!$B$44=0),1,IF(IF(Inputs!$B$39="pvp",15,Inputs!$B$44)-(B3277)&lt;=0,1,MAX(0,IF(Inputs!$B$39="pvp",15,Inputs!$B$44)-MAX(5,B3277))/(IF(Inputs!$B$39="pvp",15,Inputs!$B$44)-(B3277))))*IF(AND(IF(ArtifactsInput!$M$42,FALSE,TRUE),((Inputs!$B$9+((C3258=TRUE)*(F3258-Calc!F26))+B3266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3236">
        <f>(1-Summary!$B$11)*T3236+Summary!$B$11*V3236</f>
        <v/>
      </c>
      <c r="P3236">
        <f>IF(B3278=0,0,O3236/B3278)</f>
        <v/>
      </c>
      <c r="Q3236">
        <f>IFERROR(1/IF(Inputs!$B$39="pvp",15,MAX(0.1,Skills!D4-IF(TRUE=TRUE,Inputs!$B$32,0))),0)</f>
        <v/>
      </c>
      <c r="R3236">
        <f>IF(AND(Inputs!$B$39&lt;&gt;"pvp",Inputs!$B$44&gt;0),IF(MAX(0,Inputs!$B$44-B3277)&lt;=0,0,(INT(MAX(0,Inputs!$B$44-B3277)/IF(Inputs!$B$39="pvp",15,MAX(0.1,Skills!D4-IF(TRUE=TRUE,Inputs!$B$32,0))))+1)),0)</f>
        <v/>
      </c>
      <c r="S3236">
        <f>IFERROR(O3236/N3236,0)</f>
        <v/>
      </c>
      <c r="T3236">
        <f>IF(C3236,(H3236*N3236*IF(AND(Inputs!$B$39&lt;&gt;"pvp",Inputs!$B$44&gt;0),((Skills!G4*((R3236-1)*IF(Skills!H4&gt;0,Skills!I4/Skills!H4,1)+IF(Skills!H4&gt;0,MIN(Skills!I4,MAX(0,MAX(0,Inputs!$B$44-B3277)-((R3236-1)*IF(Inputs!$B$39="pvp",15,MAX(0.1,Skills!D4-IF(TRUE=TRUE,Inputs!$B$32,0))))))/Skills!H4,1)))/Inputs!$B$44),G3236*Q3236))*IF(Inputs!$B$39="pvp",1,1+(Inputs!$B$20+0+Skills!P4+B3267+(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Hunt"),CHOOSE(ArtifactsInput!$N$35+1,15,18,21,24,27,30)*(1-EXP(-(0.2*B3270)*5)),0)+IF(AND(ArtifactsInput!$M$22,Inputs!$B$4&lt;&gt;"Chapter Hunt"),CHOOSE(ArtifactsInput!$N$22+1,10,12,14,16,18,20)*((0*(((0.15*B3270*5))^0/1)+1*(((0.15*B3270*5))^1/1)+2*(((0.15*B3270*5))^2/2)+3*(((0.15*B3270*5))^3/6)+4*(((0.15*B3270*5))^4/24)+5*(((0.15*B3270*5))^5/120))/((((0.15*B3270*5))^0/1)+(((0.15*B3270*5))^1/1)+(((0.15*B3270*5))^2/2)+(((0.15*B3270*5))^3/6)+(((0.15*B3270*5))^4/24)+(((0.15*B3270*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3236*(1-MIN(100,(Inputs!$B$9+((C3258=TRUE)*(F3258-Calc!F26))+B3266+(ArtifactsInput!$M$24-ArtifactsInput!$M$24)*CHOOSE(ArtifactsInput!$N$24+1,10,12,14,16,18,20)+(IF(AND(Inputs!$B$39&lt;&gt;"pvp",Inputs!$B$44=0),1,IF(IF(Inputs!$B$39="pvp",15,Inputs!$B$44)-(B3277)&lt;=0,1,MAX(0,IF(Inputs!$B$39="pvp",15,Inputs!$B$44)-MAX(5,B3277))/(IF(Inputs!$B$39="pvp",15,Inputs!$B$44)-(B3277))))*IF(AND(IF(ArtifactsInput!$M$42,FALSE,TRUE),((Inputs!$B$9+((C3258=TRUE)*(F3258-Calc!F26))+B3266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3236*(MIN(100,(Inputs!$B$9+((C3258=TRUE)*(F3258-Calc!F26))+B3266+(ArtifactsInput!$M$24-ArtifactsInput!$M$24)*CHOOSE(ArtifactsInput!$N$24+1,10,12,14,16,18,20)+(IF(AND(Inputs!$B$39&lt;&gt;"pvp",Inputs!$B$44=0),1,IF(IF(Inputs!$B$39="pvp",15,Inputs!$B$44)-(B3277)&lt;=0,1,MAX(0,IF(Inputs!$B$39="pvp",15,Inputs!$B$44)-MAX(5,B3277))/(IF(Inputs!$B$39="pvp",15,Inputs!$B$44)-(B3277))))*IF(AND(IF(ArtifactsInput!$M$42,FALSE,TRUE),((Inputs!$B$9+((C3258=TRUE)*(F3258-Calc!F26))+B3266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3236*(1-MIN(100,(Inputs!$B$9+((C3258=TRUE)*(F3258-Calc!F26))+B3266+(ArtifactsInput!$M$24-ArtifactsInput!$M$24)*CHOOSE(ArtifactsInput!$N$24+1,10,12,14,16,18,20)+(IF(AND(Inputs!$B$39&lt;&gt;"pvp",Inputs!$B$44=0),1,IF(IF(Inputs!$B$39="pvp",15,Inputs!$B$44)-(B3277)&lt;=0,1,MAX(0,IF(Inputs!$B$39="pvp",15,Inputs!$B$44)-MAX(5,B3277))/(IF(Inputs!$B$39="pvp",15,Inputs!$B$44)-(B3277))))*IF(AND(IF(ArtifactsInput!$M$42,FALSE,TRUE),((Inputs!$B$9+((C3258=TRUE)*(F3258-Calc!F26))+B3266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3236*(MIN(100,(Inputs!$B$9+((C3258=TRUE)*(F3258-Calc!F26))+B3266+(ArtifactsInput!$M$24-ArtifactsInput!$M$24)*CHOOSE(ArtifactsInput!$N$24+1,10,12,14,16,18,20)+(IF(AND(Inputs!$B$39&lt;&gt;"pvp",Inputs!$B$44=0),1,IF(IF(Inputs!$B$39="pvp",15,Inputs!$B$44)-(B3277)&lt;=0,1,MAX(0,IF(Inputs!$B$39="pvp",15,Inputs!$B$44)-MAX(5,B3277))/(IF(Inputs!$B$39="pvp",15,Inputs!$B$44)-(B3277))))*IF(AND(IF(ArtifactsInput!$M$42,FALSE,TRUE),((Inputs!$B$9+((C3258=TRUE)*(F3258-Calc!F26))+B3266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3236">
        <f>290*U3235/1000</f>
        <v/>
      </c>
      <c r="V3236">
        <f>IF(C3236,(H3236*N3236*IF(AND(Inputs!$B$39&lt;&gt;"pvp",Inputs!$B$44&gt;0),((Skills!G4*((R3236-1)*IF(Skills!H4&gt;0,Skills!I4/Skills!H4,1)+IF(Skills!H4&gt;0,MIN(Skills!I4,MAX(0,MAX(0,Inputs!$B$44-B3277)-((R3236-1)*IF(Inputs!$B$39="pvp",15,MAX(0.1,Skills!D4-IF(TRUE=TRUE,Inputs!$B$32,0))))))/Skills!H4,1)))/Inputs!$B$44),G3236*Q3236))*IF(Inputs!$B$39="pvp",1,(1+(Inputs!$B$21+Skills!Q4+B3267+(IF(ArtifactsInput!$M$33,CHOOSE(ArtifactsInput!$N$33+1,30,36,42,48,54,60),0))+(IF(AND(ArtifactsInput!$M$35,Inputs!$B$4&lt;&gt;"Chapter Hunt"),CHOOSE(ArtifactsInput!$N$35+1,15,18,21,24,27,30)*(1-EXP(-(0.2*B3270)*5)),0)+IF(AND(ArtifactsInput!$M$22,Inputs!$B$4&lt;&gt;"Chapter Hunt"),CHOOSE(ArtifactsInput!$N$22+1,10,12,14,16,18,20)*((0*(((0.15*B3270*5))^0/1)+1*(((0.15*B3270*5))^1/1)+2*(((0.15*B3270*5))^2/2)+3*(((0.15*B3270*5))^3/6)+4*(((0.15*B3270*5))^4/24)+5*(((0.15*B3270*5))^5/120))/((((0.15*B3270*5))^0/1)+(((0.15*B3270*5))^1/1)+(((0.15*B3270*5))^2/2)+(((0.15*B3270*5))^3/6)+(((0.15*B3270*5))^4/24)+(((0.15*B3270*5))^5/120))),0)))/100)*(MIN(MIN(10,IF(Inputs!$B$3&gt;=75,0.75,0.5)*B3270*(1/Q3236)),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3237">
      <c r="A3237">
        <f>Skills!A5</f>
        <v/>
      </c>
      <c r="B3237">
        <f>Skills!B5</f>
        <v/>
      </c>
      <c r="C3237">
        <f>Inputs!$B$3&gt;=75</f>
        <v/>
      </c>
      <c r="D3237">
        <f>IF(Skills!C5=1,60+Inputs!$B$25+Inputs!$B$29,IF(Skills!C5=2,90+Inputs!$B$26+Inputs!$B$29,IF(Skills!C5=3,120+Inputs!$B$27+Inputs!$B$29,MAX(0,(Inputs!$B$3-100)*3)+Inputs!$B$28+Inputs!$B$29)))</f>
        <v/>
      </c>
      <c r="E3237">
        <f>INDEX(FactorTable!$B$2:$Y$301, MATCH(ROUND(MIN(300,MAX(1,D3237)),0), FactorTable!$A$2:$A$301,0), Skills!M5+1)</f>
        <v/>
      </c>
      <c r="F3237">
        <f>IF(Skills!N5=TRUE,(Skills!L5/10)*(E3237/1000),Skills!L5/10)+Skills!O5</f>
        <v/>
      </c>
      <c r="G3237">
        <f>Skills!G5*IF(Skills!H5&gt;0,IF(Inputs!$B$39="pvp",MIN(Skills!I5,15),Skills!I5)/Skills!H5,1)</f>
        <v/>
      </c>
      <c r="H3237">
        <f>1-(1-Skills!J5/100)^Skills!K5</f>
        <v/>
      </c>
      <c r="I3237" t="inlineStr">
        <is>
          <t>1</t>
        </is>
      </c>
      <c r="J3237" t="inlineStr"/>
      <c r="K3237" t="inlineStr"/>
      <c r="L3237" t="inlineStr"/>
      <c r="M3237" t="inlineStr"/>
      <c r="N3237" t="inlineStr"/>
      <c r="O3237">
        <f>(1-Summary!$B$11)*T3237+Summary!$B$11*V3237</f>
        <v/>
      </c>
      <c r="P3237">
        <f>IF(B3278=0,0,O3237/B3278)</f>
        <v/>
      </c>
      <c r="Q3237" t="n">
        <v>0</v>
      </c>
      <c r="R3237" t="n">
        <v>0</v>
      </c>
      <c r="S3237">
        <f>IFERROR(O3237/N3237,0)</f>
        <v/>
      </c>
      <c r="T3237" t="n">
        <v>0</v>
      </c>
      <c r="V3237" t="n">
        <v>0</v>
      </c>
    </row>
    <row r="3238">
      <c r="A3238">
        <f>Skills!A6</f>
        <v/>
      </c>
      <c r="B3238">
        <f>Skills!B6</f>
        <v/>
      </c>
      <c r="C3238">
        <f>Inputs!$B$3&gt;=63</f>
        <v/>
      </c>
      <c r="D3238">
        <f>IF(Skills!C6=1,60+Inputs!$B$25+Inputs!$B$29,IF(Skills!C6=2,90+Inputs!$B$26+Inputs!$B$29,IF(Skills!C6=3,120+Inputs!$B$27+Inputs!$B$29,MAX(0,(Inputs!$B$3-100)*3)+Inputs!$B$28+Inputs!$B$29)))</f>
        <v/>
      </c>
      <c r="E3238">
        <f>INDEX(FactorTable!$B$2:$Y$301, MATCH(ROUND(MIN(300,MAX(1,D3238)),0), FactorTable!$A$2:$A$301,0), Skills!M6+1)</f>
        <v/>
      </c>
      <c r="F3238">
        <f>IF(Skills!N6=TRUE,(Skills!L6/10)*(E3238/1000),Skills!L6/10)+Skills!O6</f>
        <v/>
      </c>
      <c r="G3238">
        <f>Skills!G6*IF(Skills!H6&gt;0,IF(Inputs!$B$39="pvp",MIN(Skills!I6,15),Skills!I6)/Skills!H6,1)</f>
        <v/>
      </c>
      <c r="H3238">
        <f>1-(1-Skills!J6/100)^Skills!K6</f>
        <v/>
      </c>
      <c r="I3238" t="inlineStr">
        <is>
          <t>1</t>
        </is>
      </c>
      <c r="J3238">
        <f>((Inputs!$B$6*(1+Inputs!$B$7/100))+(((Inputs!$B$12*(1+Inputs!$B$13/100))-(Inputs!$B$12*(1+Inputs!$B$13/100)))+0.25*(Inputs!$B$14-Inputs!$B$14))*(1+Inputs!$B$7/100))*(F3238/100)</f>
        <v/>
      </c>
      <c r="K3238">
        <f>J3238*(1+((Inputs!$B$12*(1+Inputs!$B$13/100))*0.01+Inputs!$B$14*0.0025)/100)*(1+Inputs!$B$15/100)*(1+Inputs!$B$16/100)*(5000/(6000+Inputs!$B$43*(1-(100*(1-(1-Inputs!$B$19/100)*(1-CHOOSE(ArtifactsInput!$N$40+1,5,6,7,8,9,10)/100)^(ArtifactsInput!$M$40-ArtifactsInput!$M$40)))/100)))*(1+(Inputs!$B$24+((C3263=TRUE)*(F3263-Calc!F31))+((C3250=TRUE)*(F3250-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+2.6666666666666665*IF(C3251=TRUE,F3251,0)/100)*(1+(IF(Skills!A6="CRUEL_STAB",Inputs!$B$17+((C3260=TRUE)*(F3260-Calc!F28))+((IF(AND(Inputs!$B$39&lt;&gt;"pvp",Inputs!$B$44=0),1,IF(IF(Inputs!$B$39="pvp",15,Inputs!$B$44)-(B3277)&lt;=0,1,MAX(0,IF(Inputs!$B$39="pvp",15,Inputs!$B$44)-MAX(5,B3277))/(IF(Inputs!$B$39="pvp",15,Inputs!$B$44)-(B3277))))*(IF(AND(IF(ArtifactsInput!$M$42,FALSE,TRUE),((Inputs!$B$9+((C3258=TRUE)*(F3258-Calc!F26))+B3266+(ArtifactsInput!$M$24-ArtifactsInput!$M$24)*CHOOSE(ArtifactsInput!$N$24+1,10,12,14,16,18,20)+IF(ArtifactsInput!$M$10,CHOOSE(ArtifactsInput!$N$10+1,15,18,21,24,27,30)*(IF(Inputs!$B$39="pvp",MIN(15,15)/15,IF(AND(Inputs!$B$39&lt;&gt;"pvp",Inputs!$B$44&gt;0),MIN(15,Inputs!$B$44)/(Inputs!$B$44),0))),0)))&gt;=100),MIN(100,((Inputs!$B$9+((C3258=TRUE)*(F3258-Calc!F26))+B3266+(ArtifactsInput!$M$24-ArtifactsInput!$M$24)*CHOOSE(ArtifactsInput!$N$24+1,10,12,14,16,18,20)+IF(ArtifactsInput!$M$10,CHOOSE(ArtifactsInput!$N$10+1,15,18,21,24,27,30)*(IF(Inputs!$B$39="pvp",MIN(15,15)/15,IF(AND(Inputs!$B$39&lt;&gt;"pvp",Inputs!$B$44&gt;0),MIN(15,Inputs!$B$44)/(Inputs!$B$44),0))),0)))-100),0))*CHOOSE(ArtifactsInput!$N$42+1,0.6,0.72,0.84,0.96,1.08,1.2))),Inputs!$B$18+((C3261=TRUE)*(F3261-Calc!F29))+(IF(AND(Inputs!$B$39&lt;&gt;"pvp",Inputs!$B$44=0),1,IF(IF(Inputs!$B$39="pvp",15,Inputs!$B$44)-(B3277)&lt;=0,1,MAX(0,IF(Inputs!$B$39="pvp",15,Inputs!$B$44)-MAX(5,B3277))/(IF(Inputs!$B$39="pvp",15,Inputs!$B$44)-(B3277))))*IF(AND(IF(ArtifactsInput!$M$42,FALSE,TRUE),((Inputs!$B$9+((C3258=TRUE)*(F3258-Calc!F26))+B3266+(ArtifactsInput!$M$24-ArtifactsInput!$M$24)*CHOOSE(ArtifactsInput!$N$24+1,10,12,14,16,18,20)+IF(ArtifactsInput!$M$10,CHOOSE(ArtifactsInput!$N$10+1,15,18,21,24,27,30)*(IF(Inputs!$B$39="pvp",MIN(15,15)/15,IF(AND(Inputs!$B$39&lt;&gt;"pvp",Inputs!$B$44&gt;0),MIN(15,Inputs!$B$44)/(Inputs!$B$44),0))),0)))&gt;=100),CHOOSE(ArtifactsInput!$N$42+1,40,48,56,64,72,80),0))))/100)*(((1+(((C3254=TRUE)*F3254*IF(AND(Inputs!$B$39&lt;&gt;"pvp",Inputs!$B$44&gt;0),(((R3254-1)*MIN((Skills!Y22*(1+Inputs!$B$34/100)),(1/Q3254))+MIN((Skills!Y22*(1+Inputs!$B$34/100)),MAX(0,Inputs!$B$44-((R3254-1)*(1/Q3254)))))/Inputs!$B$44),IF(Inputs!$B$39="pvp",MIN((Skills!Y22*(1+Inputs!$B$34/100)),15)/15,MIN(1,(Skills!Y22*(1+Inputs!$B$34/100))/(1/Q3254)))))+((C3235=TRUE)*F3235*3)+((C3237=TRUE)*F3237*(1-EXP(-0.75*B3270*5)))+((C3256=TRUE)*(F3256-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3243=TRUE)*F3243*IF(AND(Inputs!$B$39&lt;&gt;"pvp",Inputs!$B$44&gt;0),(((R3243-1)*MIN((Skills!Y11*(1+Inputs!$B$34/100)),(1/Q3243))+MIN((Skills!Y11*(1+Inputs!$B$34/100)),MAX(0,Inputs!$B$44-((R3243-1)*(1/Q3243)))))/Inputs!$B$44),IF(Inputs!$B$39="pvp",MIN((Skills!Y11*(1+Inputs!$B$34/100)),15)/15,MIN(1,(Skills!Y11*(1+Inputs!$B$34/100))/(1/Q3243)))))/100)*(1+((C3248=TRUE)*F3248*IF(AND(Inputs!$B$39&lt;&gt;"pvp",Inputs!$B$44&gt;0),(((R3248-1)*MIN((Skills!Y16*(1+Inputs!$B$34/100)),(1/Q3248))+MIN((Skills!Y16*(1+Inputs!$B$34/100)),MAX(0,Inputs!$B$44-((R3248-1)*(1/Q3248)))))/Inputs!$B$44),IF(Inputs!$B$39="pvp",MIN((Skills!Y16*(1+Inputs!$B$34/100)),15)/15,MIN(1,(Skills!Y16*(1+Inputs!$B$34/100))/(1/Q3248)))))/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3268*I3238)</f>
        <v/>
      </c>
      <c r="L3238">
        <f>K3238*(MIN(Inputs!$B$22+((C3257=TRUE)*(F3257-Calc!F25)),(Inputs!$B$23+((C3262=TRUE)*(F3262-Calc!F30))+IF(ArtifactsInput!$M$15,CHOOSE(ArtifactsInput!$N$15+1,25,30,35,40,45,50)/100*(Inputs!$B$11-Inputs!$B$11),0)))/100+(Inputs!$B$23+((C3262=TRUE)*(F3262-Calc!F30))+IF(ArtifactsInput!$M$15,CHOOSE(ArtifactsInput!$N$15+1,25,30,35,40,45,50)/100*(Inputs!$B$11-Inputs!$B$11),0))/100)/2</f>
        <v/>
      </c>
      <c r="M3238">
        <f>L3238*(1+(Inputs!$B$10+((C3259=TRUE)*(F3259-Calc!F27))+B3273+(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3238">
        <f>L3238*(1-MIN((Inputs!$B$9+((C3258=TRUE)*(F3258-Calc!F26))+B3266+(ArtifactsInput!$M$24-ArtifactsInput!$M$24)*CHOOSE(ArtifactsInput!$N$24+1,10,12,14,16,18,20)+(IF(AND(Inputs!$B$39&lt;&gt;"pvp",Inputs!$B$44=0),1,IF(IF(Inputs!$B$39="pvp",15,Inputs!$B$44)-(B3277)&lt;=0,1,MAX(0,IF(Inputs!$B$39="pvp",15,Inputs!$B$44)-MAX(5,B3277))/(IF(Inputs!$B$39="pvp",15,Inputs!$B$44)-(B3277))))*IF(AND(IF(ArtifactsInput!$M$42,FALSE,TRUE),((Inputs!$B$9+((C3258=TRUE)*(F3258-Calc!F26))+B3266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3238*(MIN((Inputs!$B$9+((C3258=TRUE)*(F3258-Calc!F26))+B3266+(ArtifactsInput!$M$24-ArtifactsInput!$M$24)*CHOOSE(ArtifactsInput!$N$24+1,10,12,14,16,18,20)+(IF(AND(Inputs!$B$39&lt;&gt;"pvp",Inputs!$B$44=0),1,IF(IF(Inputs!$B$39="pvp",15,Inputs!$B$44)-(B3277)&lt;=0,1,MAX(0,IF(Inputs!$B$39="pvp",15,Inputs!$B$44)-MAX(5,B3277))/(IF(Inputs!$B$39="pvp",15,Inputs!$B$44)-(B3277))))*IF(AND(IF(ArtifactsInput!$M$42,FALSE,TRUE),((Inputs!$B$9+((C3258=TRUE)*(F3258-Calc!F26))+B3266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3238">
        <f>(1-Summary!$B$11)*T3238+Summary!$B$11*V3238</f>
        <v/>
      </c>
      <c r="P3238">
        <f>IF(B3278=0,0,O3238/B3278)</f>
        <v/>
      </c>
      <c r="Q3238">
        <f>IFERROR(1/IF(Inputs!$B$39="pvp",15,MAX(0.1,Skills!D6-IF(TRUE=TRUE,Inputs!$B$32,0))),0)</f>
        <v/>
      </c>
      <c r="R3238">
        <f>IF(AND(Inputs!$B$39&lt;&gt;"pvp",Inputs!$B$44&gt;0),IF(MAX(0,Inputs!$B$44-B3277)&lt;=0,0,(INT(MAX(0,Inputs!$B$44-B3277)/IF(Inputs!$B$39="pvp",15,MAX(0.1,Skills!D6-IF(TRUE=TRUE,Inputs!$B$32,0))))+1)),0)</f>
        <v/>
      </c>
      <c r="S3238">
        <f>IFERROR(O3238/N3238,0)</f>
        <v/>
      </c>
      <c r="T3238">
        <f>IF(C3238,(H3238*N3238*IF(AND(Inputs!$B$39&lt;&gt;"pvp",Inputs!$B$44&gt;0),((Skills!G6*((R3238-1)*IF(Skills!H6&gt;0,Skills!I6/Skills!H6,1)+IF(Skills!H6&gt;0,MIN(Skills!I6,MAX(0,MAX(0,Inputs!$B$44-B3277)-((R3238-1)*IF(Inputs!$B$39="pvp",15,MAX(0.1,Skills!D6-IF(TRUE=TRUE,Inputs!$B$32,0))))))/Skills!H6,1)))/Inputs!$B$44),G3238*Q3238))*IF(Inputs!$B$39="pvp",1,1+(Inputs!$B$20+0+Skills!P6+B3267+(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Hunt"),CHOOSE(ArtifactsInput!$N$35+1,15,18,21,24,27,30)*(1-EXP(-(0.2*B3270)*5)),0)+IF(AND(ArtifactsInput!$M$22,Inputs!$B$4&lt;&gt;"Chapter Hunt"),CHOOSE(ArtifactsInput!$N$22+1,10,12,14,16,18,20)*((0*(((0.15*B3270*5))^0/1)+1*(((0.15*B3270*5))^1/1)+2*(((0.15*B3270*5))^2/2)+3*(((0.15*B3270*5))^3/6)+4*(((0.15*B3270*5))^4/24)+5*(((0.15*B3270*5))^5/120))/((((0.15*B3270*5))^0/1)+(((0.15*B3270*5))^1/1)+(((0.15*B3270*5))^2/2)+(((0.15*B3270*5))^3/6)+(((0.15*B3270*5))^4/24)+(((0.15*B3270*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3238*(1-MIN(100,(Inputs!$B$9+((C3258=TRUE)*(F3258-Calc!F26))+B3266+(ArtifactsInput!$M$24-ArtifactsInput!$M$24)*CHOOSE(ArtifactsInput!$N$24+1,10,12,14,16,18,20)+(IF(AND(Inputs!$B$39&lt;&gt;"pvp",Inputs!$B$44=0),1,IF(IF(Inputs!$B$39="pvp",15,Inputs!$B$44)-(B3277)&lt;=0,1,MAX(0,IF(Inputs!$B$39="pvp",15,Inputs!$B$44)-MAX(5,B3277))/(IF(Inputs!$B$39="pvp",15,Inputs!$B$44)-(B3277))))*IF(AND(IF(ArtifactsInput!$M$42,FALSE,TRUE),((Inputs!$B$9+((C3258=TRUE)*(F3258-Calc!F26))+B3266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3238*(MIN(100,(Inputs!$B$9+((C3258=TRUE)*(F3258-Calc!F26))+B3266+(ArtifactsInput!$M$24-ArtifactsInput!$M$24)*CHOOSE(ArtifactsInput!$N$24+1,10,12,14,16,18,20)+(IF(AND(Inputs!$B$39&lt;&gt;"pvp",Inputs!$B$44=0),1,IF(IF(Inputs!$B$39="pvp",15,Inputs!$B$44)-(B3277)&lt;=0,1,MAX(0,IF(Inputs!$B$39="pvp",15,Inputs!$B$44)-MAX(5,B3277))/(IF(Inputs!$B$39="pvp",15,Inputs!$B$44)-(B3277))))*IF(AND(IF(ArtifactsInput!$M$42,FALSE,TRUE),((Inputs!$B$9+((C3258=TRUE)*(F3258-Calc!F26))+B3266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3238*(1-MIN(100,(Inputs!$B$9+((C3258=TRUE)*(F3258-Calc!F26))+B3266+(ArtifactsInput!$M$24-ArtifactsInput!$M$24)*CHOOSE(ArtifactsInput!$N$24+1,10,12,14,16,18,20)+(IF(AND(Inputs!$B$39&lt;&gt;"pvp",Inputs!$B$44=0),1,IF(IF(Inputs!$B$39="pvp",15,Inputs!$B$44)-(B3277)&lt;=0,1,MAX(0,IF(Inputs!$B$39="pvp",15,Inputs!$B$44)-MAX(5,B3277))/(IF(Inputs!$B$39="pvp",15,Inputs!$B$44)-(B3277))))*IF(AND(IF(ArtifactsInput!$M$42,FALSE,TRUE),((Inputs!$B$9+((C3258=TRUE)*(F3258-Calc!F26))+B3266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3238*(MIN(100,(Inputs!$B$9+((C3258=TRUE)*(F3258-Calc!F26))+B3266+(ArtifactsInput!$M$24-ArtifactsInput!$M$24)*CHOOSE(ArtifactsInput!$N$24+1,10,12,14,16,18,20)+(IF(AND(Inputs!$B$39&lt;&gt;"pvp",Inputs!$B$44=0),1,IF(IF(Inputs!$B$39="pvp",15,Inputs!$B$44)-(B3277)&lt;=0,1,MAX(0,IF(Inputs!$B$39="pvp",15,Inputs!$B$44)-MAX(5,B3277))/(IF(Inputs!$B$39="pvp",15,Inputs!$B$44)-(B3277))))*IF(AND(IF(ArtifactsInput!$M$42,FALSE,TRUE),((Inputs!$B$9+((C3258=TRUE)*(F3258-Calc!F26))+B3266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3238">
        <f>IF(C3238,(H3238*N3238*IF(AND(Inputs!$B$39&lt;&gt;"pvp",Inputs!$B$44&gt;0),((Skills!G6*((R3238-1)*IF(Skills!H6&gt;0,Skills!I6/Skills!H6,1)+IF(Skills!H6&gt;0,MIN(Skills!I6,MAX(0,MAX(0,Inputs!$B$44-B3277)-((R3238-1)*IF(Inputs!$B$39="pvp",15,MAX(0.1,Skills!D6-IF(TRUE=TRUE,Inputs!$B$32,0))))))/Skills!H6,1)))/Inputs!$B$44),G3238*Q3238))*IF(Inputs!$B$39="pvp",1,(1+(Inputs!$B$21+Skills!Q6+B3267+(IF(ArtifactsInput!$M$33,CHOOSE(ArtifactsInput!$N$33+1,30,36,42,48,54,60),0))+(IF(AND(ArtifactsInput!$M$35,Inputs!$B$4&lt;&gt;"Chapter Hunt"),CHOOSE(ArtifactsInput!$N$35+1,15,18,21,24,27,30)*(1-EXP(-(0.2*B3270)*5)),0)+IF(AND(ArtifactsInput!$M$22,Inputs!$B$4&lt;&gt;"Chapter Hunt"),CHOOSE(ArtifactsInput!$N$22+1,10,12,14,16,18,20)*((0*(((0.15*B3270*5))^0/1)+1*(((0.15*B3270*5))^1/1)+2*(((0.15*B3270*5))^2/2)+3*(((0.15*B3270*5))^3/6)+4*(((0.15*B3270*5))^4/24)+5*(((0.15*B3270*5))^5/120))/((((0.15*B3270*5))^0/1)+(((0.15*B3270*5))^1/1)+(((0.15*B3270*5))^2/2)+(((0.15*B3270*5))^3/6)+(((0.15*B3270*5))^4/24)+(((0.15*B3270*5))^5/120))),0)))/100)*(MIN(Skills!W6,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3239">
      <c r="A3239">
        <f>Skills!A7</f>
        <v/>
      </c>
      <c r="B3239">
        <f>Skills!B7</f>
        <v/>
      </c>
      <c r="C3239">
        <f>Inputs!$B$3&gt;=69</f>
        <v/>
      </c>
      <c r="D3239">
        <f>IF(Skills!C7=1,60+Inputs!$B$25+Inputs!$B$29,IF(Skills!C7=2,90+Inputs!$B$26+Inputs!$B$29,IF(Skills!C7=3,120+Inputs!$B$27+Inputs!$B$29,MAX(0,(Inputs!$B$3-100)*3)+Inputs!$B$28+Inputs!$B$29)))</f>
        <v/>
      </c>
      <c r="E3239">
        <f>INDEX(FactorTable!$B$2:$Y$301, MATCH(ROUND(MIN(300,MAX(1,D3239)),0), FactorTable!$A$2:$A$301,0), Skills!M7+1)</f>
        <v/>
      </c>
      <c r="F3239">
        <f>IF(Skills!N7=TRUE,(Skills!L7/10)*(E3239/1000),Skills!L7/10)+Skills!O7</f>
        <v/>
      </c>
      <c r="G3239">
        <f>Skills!G7*IF(Skills!H7&gt;0,IF(Inputs!$B$39="pvp",MIN(Skills!I7,15),Skills!I7)/Skills!H7,1)</f>
        <v/>
      </c>
      <c r="H3239">
        <f>1-(1-Skills!J7/100)^Skills!K7</f>
        <v/>
      </c>
      <c r="I3239" t="inlineStr">
        <is>
          <t>1</t>
        </is>
      </c>
      <c r="J3239">
        <f>((Inputs!$B$6*(1+Inputs!$B$7/100))+(((Inputs!$B$12*(1+Inputs!$B$13/100))-(Inputs!$B$12*(1+Inputs!$B$13/100)))+0.25*(Inputs!$B$14-Inputs!$B$14))*(1+Inputs!$B$7/100))*(F3239/100)</f>
        <v/>
      </c>
      <c r="K3239">
        <f>J3239*(1+((Inputs!$B$12*(1+Inputs!$B$13/100))*0.01+Inputs!$B$14*0.0025)/100)*(1+Inputs!$B$15/100)*(1+Inputs!$B$16/100)*(5000/(6000+Inputs!$B$43*(1-(100*(1-(1-Inputs!$B$19/100)*(1-CHOOSE(ArtifactsInput!$N$40+1,5,6,7,8,9,10)/100)^(ArtifactsInput!$M$40-ArtifactsInput!$M$40)))/100)))*(1+(Inputs!$B$24+((C3263=TRUE)*(F3263-Calc!F31))+((C3250=TRUE)*(F3250-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3251=TRUE,F3251,0)/100)*(1+(IF(Skills!A7="CRUEL_STAB",Inputs!$B$17+((C3260=TRUE)*(F3260-Calc!F28))+((IF(AND(Inputs!$B$39&lt;&gt;"pvp",Inputs!$B$44=0),1,IF(IF(Inputs!$B$39="pvp",15,Inputs!$B$44)-(B3277)&lt;=0,1,MAX(0,IF(Inputs!$B$39="pvp",15,Inputs!$B$44)-MAX(5,B3277))/(IF(Inputs!$B$39="pvp",15,Inputs!$B$44)-(B3277))))*(IF(AND(IF(ArtifactsInput!$M$42,FALSE,TRUE),((Inputs!$B$9+((C3258=TRUE)*(F3258-Calc!F26))+B3266+(ArtifactsInput!$M$24-ArtifactsInput!$M$24)*CHOOSE(ArtifactsInput!$N$24+1,10,12,14,16,18,20)+IF(ArtifactsInput!$M$10,CHOOSE(ArtifactsInput!$N$10+1,15,18,21,24,27,30)*(IF(Inputs!$B$39="pvp",MIN(15,15)/15,IF(AND(Inputs!$B$39&lt;&gt;"pvp",Inputs!$B$44&gt;0),MIN(15,Inputs!$B$44)/(Inputs!$B$44),0))),0)))&gt;=100),MIN(100,((Inputs!$B$9+((C3258=TRUE)*(F3258-Calc!F26))+B3266+(ArtifactsInput!$M$24-ArtifactsInput!$M$24)*CHOOSE(ArtifactsInput!$N$24+1,10,12,14,16,18,20)+IF(ArtifactsInput!$M$10,CHOOSE(ArtifactsInput!$N$10+1,15,18,21,24,27,30)*(IF(Inputs!$B$39="pvp",MIN(15,15)/15,IF(AND(Inputs!$B$39&lt;&gt;"pvp",Inputs!$B$44&gt;0),MIN(15,Inputs!$B$44)/(Inputs!$B$44),0))),0)))-100),0))*CHOOSE(ArtifactsInput!$N$42+1,0.6,0.72,0.84,0.96,1.08,1.2))),Inputs!$B$18+((C3261=TRUE)*(F3261-Calc!F29))+(IF(AND(Inputs!$B$39&lt;&gt;"pvp",Inputs!$B$44=0),1,IF(IF(Inputs!$B$39="pvp",15,Inputs!$B$44)-(B3277)&lt;=0,1,MAX(0,IF(Inputs!$B$39="pvp",15,Inputs!$B$44)-MAX(5,B3277))/(IF(Inputs!$B$39="pvp",15,Inputs!$B$44)-(B3277))))*IF(AND(IF(ArtifactsInput!$M$42,FALSE,TRUE),((Inputs!$B$9+((C3258=TRUE)*(F3258-Calc!F26))+B3266+(ArtifactsInput!$M$24-ArtifactsInput!$M$24)*CHOOSE(ArtifactsInput!$N$24+1,10,12,14,16,18,20)+IF(ArtifactsInput!$M$10,CHOOSE(ArtifactsInput!$N$10+1,15,18,21,24,27,30)*(IF(Inputs!$B$39="pvp",MIN(15,15)/15,IF(AND(Inputs!$B$39&lt;&gt;"pvp",Inputs!$B$44&gt;0),MIN(15,Inputs!$B$44)/(Inputs!$B$44),0))),0)))&gt;=100),CHOOSE(ArtifactsInput!$N$42+1,40,48,56,64,72,80),0))))/100)*(((1+(((C3254=TRUE)*F3254*IF(AND(Inputs!$B$39&lt;&gt;"pvp",Inputs!$B$44&gt;0),(((R3254-1)*MIN((Skills!Y22*(1+Inputs!$B$34/100)),(1/Q3254))+MIN((Skills!Y22*(1+Inputs!$B$34/100)),MAX(0,Inputs!$B$44-((R3254-1)*(1/Q3254)))))/Inputs!$B$44),IF(Inputs!$B$39="pvp",MIN((Skills!Y22*(1+Inputs!$B$34/100)),15)/15,MIN(1,(Skills!Y22*(1+Inputs!$B$34/100))/(1/Q3254)))))+((C3235=TRUE)*F3235*3)+((C3237=TRUE)*F3237*(1-EXP(-0.75*B3270*5)))+((C3256=TRUE)*(F3256-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3243=TRUE)*F3243*IF(AND(Inputs!$B$39&lt;&gt;"pvp",Inputs!$B$44&gt;0),(((R3243-1)*MIN((Skills!Y11*(1+Inputs!$B$34/100)),(1/Q3243))+MIN((Skills!Y11*(1+Inputs!$B$34/100)),MAX(0,Inputs!$B$44-((R3243-1)*(1/Q3243)))))/Inputs!$B$44),IF(Inputs!$B$39="pvp",MIN((Skills!Y11*(1+Inputs!$B$34/100)),15)/15,MIN(1,(Skills!Y11*(1+Inputs!$B$34/100))/(1/Q3243)))))/100)*(1+((C3248=TRUE)*F3248*IF(AND(Inputs!$B$39&lt;&gt;"pvp",Inputs!$B$44&gt;0),(((R3248-1)*MIN((Skills!Y16*(1+Inputs!$B$34/100)),(1/Q3248))+MIN((Skills!Y16*(1+Inputs!$B$34/100)),MAX(0,Inputs!$B$44-((R3248-1)*(1/Q3248)))))/Inputs!$B$44),IF(Inputs!$B$39="pvp",MIN((Skills!Y16*(1+Inputs!$B$34/100)),15)/15,MIN(1,(Skills!Y16*(1+Inputs!$B$34/100))/(1/Q3248)))))/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3268*I3239)</f>
        <v/>
      </c>
      <c r="L3239">
        <f>K3239*(MIN(Inputs!$B$22+((C3257=TRUE)*(F3257-Calc!F25)),(Inputs!$B$23+((C3262=TRUE)*(F3262-Calc!F30))+IF(ArtifactsInput!$M$15,CHOOSE(ArtifactsInput!$N$15+1,25,30,35,40,45,50)/100*(Inputs!$B$11-Inputs!$B$11),0)))/100+(Inputs!$B$23+((C3262=TRUE)*(F3262-Calc!F30))+IF(ArtifactsInput!$M$15,CHOOSE(ArtifactsInput!$N$15+1,25,30,35,40,45,50)/100*(Inputs!$B$11-Inputs!$B$11),0))/100)/2</f>
        <v/>
      </c>
      <c r="M3239">
        <f>L3239*(1+(Inputs!$B$10+((C3259=TRUE)*(F3259-Calc!F27))+B3273+(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3239">
        <f>L3239*(1-MIN((Inputs!$B$9+((C3258=TRUE)*(F3258-Calc!F26))+B3266+(ArtifactsInput!$M$24-ArtifactsInput!$M$24)*CHOOSE(ArtifactsInput!$N$24+1,10,12,14,16,18,20)+(IF(AND(Inputs!$B$39&lt;&gt;"pvp",Inputs!$B$44=0),1,IF(IF(Inputs!$B$39="pvp",15,Inputs!$B$44)-(B3277)&lt;=0,1,MAX(0,IF(Inputs!$B$39="pvp",15,Inputs!$B$44)-MAX(5,B3277))/(IF(Inputs!$B$39="pvp",15,Inputs!$B$44)-(B3277))))*IF(AND(IF(ArtifactsInput!$M$42,FALSE,TRUE),((Inputs!$B$9+((C3258=TRUE)*(F3258-Calc!F26))+B3266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3239*(MIN((Inputs!$B$9+((C3258=TRUE)*(F3258-Calc!F26))+B3266+(ArtifactsInput!$M$24-ArtifactsInput!$M$24)*CHOOSE(ArtifactsInput!$N$24+1,10,12,14,16,18,20)+(IF(AND(Inputs!$B$39&lt;&gt;"pvp",Inputs!$B$44=0),1,IF(IF(Inputs!$B$39="pvp",15,Inputs!$B$44)-(B3277)&lt;=0,1,MAX(0,IF(Inputs!$B$39="pvp",15,Inputs!$B$44)-MAX(5,B3277))/(IF(Inputs!$B$39="pvp",15,Inputs!$B$44)-(B3277))))*IF(AND(IF(ArtifactsInput!$M$42,FALSE,TRUE),((Inputs!$B$9+((C3258=TRUE)*(F3258-Calc!F26))+B3266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3239">
        <f>(1-Summary!$B$11)*T3239+Summary!$B$11*V3239</f>
        <v/>
      </c>
      <c r="P3239">
        <f>IF(B3278=0,0,O3239/B3278)</f>
        <v/>
      </c>
      <c r="Q3239">
        <f>IFERROR(1/IF(Inputs!$B$39="pvp",15,MAX(0.1,Skills!D7-IF(TRUE=TRUE,Inputs!$B$32,0))),0)</f>
        <v/>
      </c>
      <c r="R3239">
        <f>IF(AND(Inputs!$B$39&lt;&gt;"pvp",Inputs!$B$44&gt;0),IF(MAX(0,Inputs!$B$44-B3277)&lt;=0,0,(INT(MAX(0,Inputs!$B$44-B3277)/IF(Inputs!$B$39="pvp",15,MAX(0.1,Skills!D7-IF(TRUE=TRUE,Inputs!$B$32,0))))+1)),0)</f>
        <v/>
      </c>
      <c r="S3239">
        <f>IFERROR(O3239/N3239,0)</f>
        <v/>
      </c>
      <c r="T3239">
        <f>IF(C3239,(H3239*N3239*IF(AND(Inputs!$B$39&lt;&gt;"pvp",Inputs!$B$44&gt;0),((Skills!G7*((R3239-1)*IF(Skills!H7&gt;0,Skills!I7/Skills!H7,1)+IF(Skills!H7&gt;0,MIN(Skills!I7,MAX(0,MAX(0,Inputs!$B$44-B3277)-((R3239-1)*IF(Inputs!$B$39="pvp",15,MAX(0.1,Skills!D7-IF(TRUE=TRUE,Inputs!$B$32,0))))))/Skills!H7,1)))/Inputs!$B$44),G3239*Q3239))*IF(Inputs!$B$39="pvp",1,1+(Inputs!$B$20+0+Skills!P7+B3267+(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Hunt"),CHOOSE(ArtifactsInput!$N$35+1,15,18,21,24,27,30)*(1-EXP(-(0.2*B3270)*5)),0)+IF(AND(ArtifactsInput!$M$22,Inputs!$B$4&lt;&gt;"Chapter Hunt"),CHOOSE(ArtifactsInput!$N$22+1,10,12,14,16,18,20)*((0*(((0.15*B3270*5))^0/1)+1*(((0.15*B3270*5))^1/1)+2*(((0.15*B3270*5))^2/2)+3*(((0.15*B3270*5))^3/6)+4*(((0.15*B3270*5))^4/24)+5*(((0.15*B3270*5))^5/120))/((((0.15*B3270*5))^0/1)+(((0.15*B3270*5))^1/1)+(((0.15*B3270*5))^2/2)+(((0.15*B3270*5))^3/6)+(((0.15*B3270*5))^4/24)+(((0.15*B3270*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3239*(1-MIN(100,(Inputs!$B$9+((C3258=TRUE)*(F3258-Calc!F26))+B3266+(ArtifactsInput!$M$24-ArtifactsInput!$M$24)*CHOOSE(ArtifactsInput!$N$24+1,10,12,14,16,18,20)+(IF(AND(Inputs!$B$39&lt;&gt;"pvp",Inputs!$B$44=0),1,IF(IF(Inputs!$B$39="pvp",15,Inputs!$B$44)-(B3277)&lt;=0,1,MAX(0,IF(Inputs!$B$39="pvp",15,Inputs!$B$44)-MAX(5,B3277))/(IF(Inputs!$B$39="pvp",15,Inputs!$B$44)-(B3277))))*IF(AND(IF(ArtifactsInput!$M$42,FALSE,TRUE),((Inputs!$B$9+((C3258=TRUE)*(F3258-Calc!F26))+B3266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3239*(MIN(100,(Inputs!$B$9+((C3258=TRUE)*(F3258-Calc!F26))+B3266+(ArtifactsInput!$M$24-ArtifactsInput!$M$24)*CHOOSE(ArtifactsInput!$N$24+1,10,12,14,16,18,20)+(IF(AND(Inputs!$B$39&lt;&gt;"pvp",Inputs!$B$44=0),1,IF(IF(Inputs!$B$39="pvp",15,Inputs!$B$44)-(B3277)&lt;=0,1,MAX(0,IF(Inputs!$B$39="pvp",15,Inputs!$B$44)-MAX(5,B3277))/(IF(Inputs!$B$39="pvp",15,Inputs!$B$44)-(B3277))))*IF(AND(IF(ArtifactsInput!$M$42,FALSE,TRUE),((Inputs!$B$9+((C3258=TRUE)*(F3258-Calc!F26))+B3266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3239*(1-MIN(100,(Inputs!$B$9+((C3258=TRUE)*(F3258-Calc!F26))+B3266+(ArtifactsInput!$M$24-ArtifactsInput!$M$24)*CHOOSE(ArtifactsInput!$N$24+1,10,12,14,16,18,20)+(IF(AND(Inputs!$B$39&lt;&gt;"pvp",Inputs!$B$44=0),1,IF(IF(Inputs!$B$39="pvp",15,Inputs!$B$44)-(B3277)&lt;=0,1,MAX(0,IF(Inputs!$B$39="pvp",15,Inputs!$B$44)-MAX(5,B3277))/(IF(Inputs!$B$39="pvp",15,Inputs!$B$44)-(B3277))))*IF(AND(IF(ArtifactsInput!$M$42,FALSE,TRUE),((Inputs!$B$9+((C3258=TRUE)*(F3258-Calc!F26))+B3266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3239*(MIN(100,(Inputs!$B$9+((C3258=TRUE)*(F3258-Calc!F26))+B3266+(ArtifactsInput!$M$24-ArtifactsInput!$M$24)*CHOOSE(ArtifactsInput!$N$24+1,10,12,14,16,18,20)+(IF(AND(Inputs!$B$39&lt;&gt;"pvp",Inputs!$B$44=0),1,IF(IF(Inputs!$B$39="pvp",15,Inputs!$B$44)-(B3277)&lt;=0,1,MAX(0,IF(Inputs!$B$39="pvp",15,Inputs!$B$44)-MAX(5,B3277))/(IF(Inputs!$B$39="pvp",15,Inputs!$B$44)-(B3277))))*IF(AND(IF(ArtifactsInput!$M$42,FALSE,TRUE),((Inputs!$B$9+((C3258=TRUE)*(F3258-Calc!F26))+B3266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3239">
        <f>IF(C3239,(H3239*N3239*IF(AND(Inputs!$B$39&lt;&gt;"pvp",Inputs!$B$44&gt;0),((Skills!G7*((R3239-1)*IF(Skills!H7&gt;0,Skills!I7/Skills!H7,1)+IF(Skills!H7&gt;0,MIN(Skills!I7,MAX(0,MAX(0,Inputs!$B$44-B3277)-((R3239-1)*IF(Inputs!$B$39="pvp",15,MAX(0.1,Skills!D7-IF(TRUE=TRUE,Inputs!$B$32,0))))))/Skills!H7,1)))/Inputs!$B$44),G3239*Q3239))*IF(Inputs!$B$39="pvp",1,(1+(Inputs!$B$21+Skills!Q7+B3267+(IF(ArtifactsInput!$M$33,CHOOSE(ArtifactsInput!$N$33+1,30,36,42,48,54,60),0))+(IF(AND(ArtifactsInput!$M$35,Inputs!$B$4&lt;&gt;"Chapter Hunt"),CHOOSE(ArtifactsInput!$N$35+1,15,18,21,24,27,30)*(1-EXP(-(0.2*B3270)*5)),0)+IF(AND(ArtifactsInput!$M$22,Inputs!$B$4&lt;&gt;"Chapter Hunt"),CHOOSE(ArtifactsInput!$N$22+1,10,12,14,16,18,20)*((0*(((0.15*B3270*5))^0/1)+1*(((0.15*B3270*5))^1/1)+2*(((0.15*B3270*5))^2/2)+3*(((0.15*B3270*5))^3/6)+4*(((0.15*B3270*5))^4/24)+5*(((0.15*B3270*5))^5/120))/((((0.15*B3270*5))^0/1)+(((0.15*B3270*5))^1/1)+(((0.15*B3270*5))^2/2)+(((0.15*B3270*5))^3/6)+(((0.15*B3270*5))^4/24)+(((0.15*B3270*5))^5/120))),0)))/100)*(MIN(Skills!W7,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3240">
      <c r="A3240">
        <f>Skills!A8</f>
        <v/>
      </c>
      <c r="B3240">
        <f>Skills!B8</f>
        <v/>
      </c>
      <c r="C3240">
        <f>Inputs!$B$3&gt;=60</f>
        <v/>
      </c>
      <c r="D3240">
        <f>IF(Skills!C8=1,60+Inputs!$B$25+Inputs!$B$29,IF(Skills!C8=2,90+Inputs!$B$26+Inputs!$B$29,IF(Skills!C8=3,120+Inputs!$B$27+Inputs!$B$29,MAX(0,(Inputs!$B$3-100)*3)+Inputs!$B$28+Inputs!$B$29)))</f>
        <v/>
      </c>
      <c r="E3240">
        <f>INDEX(FactorTable!$B$2:$Y$301, MATCH(ROUND(MIN(300,MAX(1,D3240)),0), FactorTable!$A$2:$A$301,0), Skills!M8+1)</f>
        <v/>
      </c>
      <c r="F3240">
        <f>IF(Skills!N8=TRUE,(Skills!L8/10)*(E3240/1000),Skills!L8/10)+Skills!O8</f>
        <v/>
      </c>
      <c r="G3240">
        <f>Skills!G8*IF(Skills!H8&gt;0,IF(Inputs!$B$39="pvp",MIN(Skills!I8,15),Skills!I8)/Skills!H8,1)</f>
        <v/>
      </c>
      <c r="H3240">
        <f>1-(1-Skills!J8/100)^Skills!K8</f>
        <v/>
      </c>
      <c r="I3240" t="inlineStr">
        <is>
          <t>1</t>
        </is>
      </c>
      <c r="J3240" t="inlineStr"/>
      <c r="K3240" t="inlineStr"/>
      <c r="L3240" t="inlineStr"/>
      <c r="M3240" t="inlineStr"/>
      <c r="N3240" t="inlineStr"/>
      <c r="O3240">
        <f>(1-Summary!$B$11)*T3240+Summary!$B$11*V3240</f>
        <v/>
      </c>
      <c r="P3240">
        <f>IF(B3278=0,0,O3240/B3278)</f>
        <v/>
      </c>
      <c r="Q3240" t="n">
        <v>0</v>
      </c>
      <c r="R3240" t="n">
        <v>0</v>
      </c>
      <c r="S3240">
        <f>IFERROR(O3240/N3240,0)</f>
        <v/>
      </c>
      <c r="T3240" t="n">
        <v>0</v>
      </c>
      <c r="V3240" t="n">
        <v>0</v>
      </c>
    </row>
    <row r="3241">
      <c r="A3241">
        <f>Skills!A9</f>
        <v/>
      </c>
      <c r="B3241">
        <f>Skills!B9</f>
        <v/>
      </c>
      <c r="C3241">
        <f>Inputs!$B$3&gt;=72</f>
        <v/>
      </c>
      <c r="D3241">
        <f>IF(Skills!C9=1,60+Inputs!$B$25+Inputs!$B$29,IF(Skills!C9=2,90+Inputs!$B$26+Inputs!$B$29,IF(Skills!C9=3,120+Inputs!$B$27+Inputs!$B$29,MAX(0,(Inputs!$B$3-100)*3)+Inputs!$B$28+Inputs!$B$29)))</f>
        <v/>
      </c>
      <c r="E3241">
        <f>INDEX(FactorTable!$B$2:$Y$301, MATCH(ROUND(MIN(300,MAX(1,D3241)),0), FactorTable!$A$2:$A$301,0), Skills!M9+1)</f>
        <v/>
      </c>
      <c r="F3241">
        <f>IF(Skills!N9=TRUE,(Skills!L9/10)*(E3241/1000),Skills!L9/10)+Skills!O9</f>
        <v/>
      </c>
      <c r="G3241">
        <f>Skills!G9*IF(Skills!H9&gt;0,IF(Inputs!$B$39="pvp",MIN(Skills!I9,15),Skills!I9)/Skills!H9,1)</f>
        <v/>
      </c>
      <c r="H3241">
        <f>1-(1-Skills!J9/100)^Skills!K9</f>
        <v/>
      </c>
      <c r="I3241" t="inlineStr">
        <is>
          <t>1</t>
        </is>
      </c>
      <c r="J3241">
        <f>((Inputs!$B$6*(1+Inputs!$B$7/100))+(((Inputs!$B$12*(1+Inputs!$B$13/100))-(Inputs!$B$12*(1+Inputs!$B$13/100)))+0.25*(Inputs!$B$14-Inputs!$B$14))*(1+Inputs!$B$7/100))*(F3241/100)</f>
        <v/>
      </c>
      <c r="K3241">
        <f>J3241*(1+((Inputs!$B$12*(1+Inputs!$B$13/100))*0.01+Inputs!$B$14*0.0025)/100)*(1+Inputs!$B$15/100)*(1+Inputs!$B$16/100)*(5000/(6000+Inputs!$B$43*(1-(100*(1-(1-Inputs!$B$19/100)*(1-CHOOSE(ArtifactsInput!$N$40+1,5,6,7,8,9,10)/100)^(ArtifactsInput!$M$40-ArtifactsInput!$M$40)))/100)))*(1+(Inputs!$B$24+((C3263=TRUE)*(F3263-Calc!F31))+((C3250=TRUE)*(F3250-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+3.3333333333333335*IF(C3251=TRUE,F3251,0)/100)*(1+(IF(Skills!A9="CRUEL_STAB",Inputs!$B$17+((C3260=TRUE)*(F3260-Calc!F28))+((IF(AND(Inputs!$B$39&lt;&gt;"pvp",Inputs!$B$44=0),1,IF(IF(Inputs!$B$39="pvp",15,Inputs!$B$44)-(B3277)&lt;=0,1,MAX(0,IF(Inputs!$B$39="pvp",15,Inputs!$B$44)-MAX(5,B3277))/(IF(Inputs!$B$39="pvp",15,Inputs!$B$44)-(B3277))))*(IF(AND(IF(ArtifactsInput!$M$42,FALSE,TRUE),((Inputs!$B$9+((C3258=TRUE)*(F3258-Calc!F26))+B3266+(ArtifactsInput!$M$24-ArtifactsInput!$M$24)*CHOOSE(ArtifactsInput!$N$24+1,10,12,14,16,18,20)+IF(ArtifactsInput!$M$10,CHOOSE(ArtifactsInput!$N$10+1,15,18,21,24,27,30)*(IF(Inputs!$B$39="pvp",MIN(15,15)/15,IF(AND(Inputs!$B$39&lt;&gt;"pvp",Inputs!$B$44&gt;0),MIN(15,Inputs!$B$44)/(Inputs!$B$44),0))),0)))&gt;=100),MIN(100,((Inputs!$B$9+((C3258=TRUE)*(F3258-Calc!F26))+B3266+(ArtifactsInput!$M$24-ArtifactsInput!$M$24)*CHOOSE(ArtifactsInput!$N$24+1,10,12,14,16,18,20)+IF(ArtifactsInput!$M$10,CHOOSE(ArtifactsInput!$N$10+1,15,18,21,24,27,30)*(IF(Inputs!$B$39="pvp",MIN(15,15)/15,IF(AND(Inputs!$B$39&lt;&gt;"pvp",Inputs!$B$44&gt;0),MIN(15,Inputs!$B$44)/(Inputs!$B$44),0))),0)))-100),0))*CHOOSE(ArtifactsInput!$N$42+1,0.6,0.72,0.84,0.96,1.08,1.2))),Inputs!$B$18+((C3261=TRUE)*(F3261-Calc!F29))+(IF(AND(Inputs!$B$39&lt;&gt;"pvp",Inputs!$B$44=0),1,IF(IF(Inputs!$B$39="pvp",15,Inputs!$B$44)-(B3277)&lt;=0,1,MAX(0,IF(Inputs!$B$39="pvp",15,Inputs!$B$44)-MAX(5,B3277))/(IF(Inputs!$B$39="pvp",15,Inputs!$B$44)-(B3277))))*IF(AND(IF(ArtifactsInput!$M$42,FALSE,TRUE),((Inputs!$B$9+((C3258=TRUE)*(F3258-Calc!F26))+B3266+(ArtifactsInput!$M$24-ArtifactsInput!$M$24)*CHOOSE(ArtifactsInput!$N$24+1,10,12,14,16,18,20)+IF(ArtifactsInput!$M$10,CHOOSE(ArtifactsInput!$N$10+1,15,18,21,24,27,30)*(IF(Inputs!$B$39="pvp",MIN(15,15)/15,IF(AND(Inputs!$B$39&lt;&gt;"pvp",Inputs!$B$44&gt;0),MIN(15,Inputs!$B$44)/(Inputs!$B$44),0))),0)))&gt;=100),CHOOSE(ArtifactsInput!$N$42+1,40,48,56,64,72,80),0))))/100)*(((1+(((C3254=TRUE)*F3254*IF(AND(Inputs!$B$39&lt;&gt;"pvp",Inputs!$B$44&gt;0),(((R3254-1)*MIN((Skills!Y22*(1+Inputs!$B$34/100)),(1/Q3254))+MIN((Skills!Y22*(1+Inputs!$B$34/100)),MAX(0,Inputs!$B$44-((R3254-1)*(1/Q3254)))))/Inputs!$B$44),IF(Inputs!$B$39="pvp",MIN((Skills!Y22*(1+Inputs!$B$34/100)),15)/15,MIN(1,(Skills!Y22*(1+Inputs!$B$34/100))/(1/Q3254)))))+((C3235=TRUE)*F3235*3)+((C3237=TRUE)*F3237*(1-EXP(-0.75*B3270*5)))+((C3256=TRUE)*(F3256-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3243=TRUE)*F3243*IF(AND(Inputs!$B$39&lt;&gt;"pvp",Inputs!$B$44&gt;0),(((R3243-1)*MIN((Skills!Y11*(1+Inputs!$B$34/100)),(1/Q3243))+MIN((Skills!Y11*(1+Inputs!$B$34/100)),MAX(0,Inputs!$B$44-((R3243-1)*(1/Q3243)))))/Inputs!$B$44),IF(Inputs!$B$39="pvp",MIN((Skills!Y11*(1+Inputs!$B$34/100)),15)/15,MIN(1,(Skills!Y11*(1+Inputs!$B$34/100))/(1/Q3243)))))/100)*(1+((C3248=TRUE)*F3248*IF(AND(Inputs!$B$39&lt;&gt;"pvp",Inputs!$B$44&gt;0),(((R3248-1)*MIN((Skills!Y16*(1+Inputs!$B$34/100)),(1/Q3248))+MIN((Skills!Y16*(1+Inputs!$B$34/100)),MAX(0,Inputs!$B$44-((R3248-1)*(1/Q3248)))))/Inputs!$B$44),IF(Inputs!$B$39="pvp",MIN((Skills!Y16*(1+Inputs!$B$34/100)),15)/15,MIN(1,(Skills!Y16*(1+Inputs!$B$34/100))/(1/Q3248)))))/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3268*I3241)</f>
        <v/>
      </c>
      <c r="L3241">
        <f>K3241*(MIN(Inputs!$B$22+((C3257=TRUE)*(F3257-Calc!F25)),(Inputs!$B$23+((C3262=TRUE)*(F3262-Calc!F30))+IF(ArtifactsInput!$M$15,CHOOSE(ArtifactsInput!$N$15+1,25,30,35,40,45,50)/100*(Inputs!$B$11-Inputs!$B$11),0)))/100+(Inputs!$B$23+((C3262=TRUE)*(F3262-Calc!F30))+IF(ArtifactsInput!$M$15,CHOOSE(ArtifactsInput!$N$15+1,25,30,35,40,45,50)/100*(Inputs!$B$11-Inputs!$B$11),0))/100)/2</f>
        <v/>
      </c>
      <c r="M3241">
        <f>L3241*(1+(Inputs!$B$10+((C3259=TRUE)*(F3259-Calc!F27))+B3273+(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3241">
        <f>L3241*(1-MIN((Inputs!$B$9+((C3258=TRUE)*(F3258-Calc!F26))+B3266+(ArtifactsInput!$M$24-ArtifactsInput!$M$24)*CHOOSE(ArtifactsInput!$N$24+1,10,12,14,16,18,20)+(IF(AND(Inputs!$B$39&lt;&gt;"pvp",Inputs!$B$44=0),1,IF(IF(Inputs!$B$39="pvp",15,Inputs!$B$44)-(B3277)&lt;=0,1,MAX(0,IF(Inputs!$B$39="pvp",15,Inputs!$B$44)-MAX(5,B3277))/(IF(Inputs!$B$39="pvp",15,Inputs!$B$44)-(B3277))))*IF(AND(IF(ArtifactsInput!$M$42,FALSE,TRUE),((Inputs!$B$9+((C3258=TRUE)*(F3258-Calc!F26))+B3266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3241*(MIN((Inputs!$B$9+((C3258=TRUE)*(F3258-Calc!F26))+B3266+(ArtifactsInput!$M$24-ArtifactsInput!$M$24)*CHOOSE(ArtifactsInput!$N$24+1,10,12,14,16,18,20)+(IF(AND(Inputs!$B$39&lt;&gt;"pvp",Inputs!$B$44=0),1,IF(IF(Inputs!$B$39="pvp",15,Inputs!$B$44)-(B3277)&lt;=0,1,MAX(0,IF(Inputs!$B$39="pvp",15,Inputs!$B$44)-MAX(5,B3277))/(IF(Inputs!$B$39="pvp",15,Inputs!$B$44)-(B3277))))*IF(AND(IF(ArtifactsInput!$M$42,FALSE,TRUE),((Inputs!$B$9+((C3258=TRUE)*(F3258-Calc!F26))+B3266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3241">
        <f>(1-Summary!$B$11)*T3241+Summary!$B$11*V3241</f>
        <v/>
      </c>
      <c r="P3241">
        <f>IF(B3278=0,0,O3241/B3278)</f>
        <v/>
      </c>
      <c r="Q3241">
        <f>IFERROR(1/IF(Inputs!$B$39="pvp",15,MAX(0.1,Skills!D9-IF(FALSE=TRUE,Inputs!$B$32,0))),0)</f>
        <v/>
      </c>
      <c r="R3241">
        <f>IF(AND(Inputs!$B$39&lt;&gt;"pvp",Inputs!$B$44&gt;0),IF(MAX(0,Inputs!$B$44-B3277)&lt;=0,0,(INT(MAX(0,Inputs!$B$44-B3277)/IF(Inputs!$B$39="pvp",15,MAX(0.1,Skills!D9-IF(FALSE=TRUE,Inputs!$B$32,0))))+1)),0)</f>
        <v/>
      </c>
      <c r="S3241">
        <f>IFERROR(O3241/N3241,0)</f>
        <v/>
      </c>
      <c r="T3241">
        <f>IF(C3241,(H3241*N3241*IF(AND(Inputs!$B$39&lt;&gt;"pvp",Inputs!$B$44&gt;0),((Skills!G9*((R3241-1)*IF(Skills!H9&gt;0,Skills!I9/Skills!H9,1)+IF(Skills!H9&gt;0,MIN(Skills!I9,MAX(0,MAX(0,Inputs!$B$44-B3277)-((R3241-1)*IF(Inputs!$B$39="pvp",15,MAX(0.1,Skills!D9-IF(FALSE=TRUE,Inputs!$B$32,0))))))/Skills!H9,1)))/Inputs!$B$44),G3241*Q3241))*IF(Inputs!$B$39="pvp",1,1+(Inputs!$B$20+0+Skills!P9+B3267+(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Hunt"),CHOOSE(ArtifactsInput!$N$35+1,15,18,21,24,27,30)*(1-EXP(-(0.2*B3270)*5)),0)+IF(AND(ArtifactsInput!$M$22,Inputs!$B$4&lt;&gt;"Chapter Hunt"),CHOOSE(ArtifactsInput!$N$22+1,10,12,14,16,18,20)*((0*(((0.15*B3270*5))^0/1)+1*(((0.15*B3270*5))^1/1)+2*(((0.15*B3270*5))^2/2)+3*(((0.15*B3270*5))^3/6)+4*(((0.15*B3270*5))^4/24)+5*(((0.15*B3270*5))^5/120))/((((0.15*B3270*5))^0/1)+(((0.15*B3270*5))^1/1)+(((0.15*B3270*5))^2/2)+(((0.15*B3270*5))^3/6)+(((0.15*B3270*5))^4/24)+(((0.15*B3270*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3241*(1-MIN(100,(Inputs!$B$9+((C3258=TRUE)*(F3258-Calc!F26))+B3266+(ArtifactsInput!$M$24-ArtifactsInput!$M$24)*CHOOSE(ArtifactsInput!$N$24+1,10,12,14,16,18,20)+(IF(AND(Inputs!$B$39&lt;&gt;"pvp",Inputs!$B$44=0),1,IF(IF(Inputs!$B$39="pvp",15,Inputs!$B$44)-(B3277)&lt;=0,1,MAX(0,IF(Inputs!$B$39="pvp",15,Inputs!$B$44)-MAX(5,B3277))/(IF(Inputs!$B$39="pvp",15,Inputs!$B$44)-(B3277))))*IF(AND(IF(ArtifactsInput!$M$42,FALSE,TRUE),((Inputs!$B$9+((C3258=TRUE)*(F3258-Calc!F26))+B3266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3241*(MIN(100,(Inputs!$B$9+((C3258=TRUE)*(F3258-Calc!F26))+B3266+(ArtifactsInput!$M$24-ArtifactsInput!$M$24)*CHOOSE(ArtifactsInput!$N$24+1,10,12,14,16,18,20)+(IF(AND(Inputs!$B$39&lt;&gt;"pvp",Inputs!$B$44=0),1,IF(IF(Inputs!$B$39="pvp",15,Inputs!$B$44)-(B3277)&lt;=0,1,MAX(0,IF(Inputs!$B$39="pvp",15,Inputs!$B$44)-MAX(5,B3277))/(IF(Inputs!$B$39="pvp",15,Inputs!$B$44)-(B3277))))*IF(AND(IF(ArtifactsInput!$M$42,FALSE,TRUE),((Inputs!$B$9+((C3258=TRUE)*(F3258-Calc!F26))+B3266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3241*(1-MIN(100,(Inputs!$B$9+((C3258=TRUE)*(F3258-Calc!F26))+B3266+(ArtifactsInput!$M$24-ArtifactsInput!$M$24)*CHOOSE(ArtifactsInput!$N$24+1,10,12,14,16,18,20)+(IF(AND(Inputs!$B$39&lt;&gt;"pvp",Inputs!$B$44=0),1,IF(IF(Inputs!$B$39="pvp",15,Inputs!$B$44)-(B3277)&lt;=0,1,MAX(0,IF(Inputs!$B$39="pvp",15,Inputs!$B$44)-MAX(5,B3277))/(IF(Inputs!$B$39="pvp",15,Inputs!$B$44)-(B3277))))*IF(AND(IF(ArtifactsInput!$M$42,FALSE,TRUE),((Inputs!$B$9+((C3258=TRUE)*(F3258-Calc!F26))+B3266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3241*(MIN(100,(Inputs!$B$9+((C3258=TRUE)*(F3258-Calc!F26))+B3266+(ArtifactsInput!$M$24-ArtifactsInput!$M$24)*CHOOSE(ArtifactsInput!$N$24+1,10,12,14,16,18,20)+(IF(AND(Inputs!$B$39&lt;&gt;"pvp",Inputs!$B$44=0),1,IF(IF(Inputs!$B$39="pvp",15,Inputs!$B$44)-(B3277)&lt;=0,1,MAX(0,IF(Inputs!$B$39="pvp",15,Inputs!$B$44)-MAX(5,B3277))/(IF(Inputs!$B$39="pvp",15,Inputs!$B$44)-(B3277))))*IF(AND(IF(ArtifactsInput!$M$42,FALSE,TRUE),((Inputs!$B$9+((C3258=TRUE)*(F3258-Calc!F26))+B3266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3241">
        <f>IF(C3241,(H3241*N3241*IF(AND(Inputs!$B$39&lt;&gt;"pvp",Inputs!$B$44&gt;0),((Skills!G9*((R3241-1)*IF(Skills!H9&gt;0,Skills!I9/Skills!H9,1)+IF(Skills!H9&gt;0,MIN(Skills!I9,MAX(0,MAX(0,Inputs!$B$44-B3277)-((R3241-1)*IF(Inputs!$B$39="pvp",15,MAX(0.1,Skills!D9-IF(FALSE=TRUE,Inputs!$B$32,0))))))/Skills!H9,1)))/Inputs!$B$44),G3241*Q3241))*IF(Inputs!$B$39="pvp",1,(1+(Inputs!$B$21+Skills!Q9+B3267+(IF(ArtifactsInput!$M$33,CHOOSE(ArtifactsInput!$N$33+1,30,36,42,48,54,60),0))+(IF(AND(ArtifactsInput!$M$35,Inputs!$B$4&lt;&gt;"Chapter Hunt"),CHOOSE(ArtifactsInput!$N$35+1,15,18,21,24,27,30)*(1-EXP(-(0.2*B3270)*5)),0)+IF(AND(ArtifactsInput!$M$22,Inputs!$B$4&lt;&gt;"Chapter Hunt"),CHOOSE(ArtifactsInput!$N$22+1,10,12,14,16,18,20)*((0*(((0.15*B3270*5))^0/1)+1*(((0.15*B3270*5))^1/1)+2*(((0.15*B3270*5))^2/2)+3*(((0.15*B3270*5))^3/6)+4*(((0.15*B3270*5))^4/24)+5*(((0.15*B3270*5))^5/120))/((((0.15*B3270*5))^0/1)+(((0.15*B3270*5))^1/1)+(((0.15*B3270*5))^2/2)+(((0.15*B3270*5))^3/6)+(((0.15*B3270*5))^4/24)+(((0.15*B3270*5))^5/120))),0)))/100)*(MIN(Skills!W9,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3242">
      <c r="A3242">
        <f>Skills!A10</f>
        <v/>
      </c>
      <c r="B3242">
        <f>Skills!B10</f>
        <v/>
      </c>
      <c r="C3242">
        <f>Inputs!$B$3&gt;=117</f>
        <v/>
      </c>
      <c r="D3242">
        <f>IF(Skills!C10=1,60+Inputs!$B$25+Inputs!$B$29,IF(Skills!C10=2,90+Inputs!$B$26+Inputs!$B$29,IF(Skills!C10=3,120+Inputs!$B$27+Inputs!$B$29,MAX(0,(Inputs!$B$3-100)*3)+Inputs!$B$28+Inputs!$B$29)))</f>
        <v/>
      </c>
      <c r="E3242">
        <f>INDEX(FactorTable!$B$2:$Y$301, MATCH(ROUND(MIN(300,MAX(1,D3242)),0), FactorTable!$A$2:$A$301,0), Skills!M10+1)</f>
        <v/>
      </c>
      <c r="F3242">
        <f>IF(Skills!N10=TRUE,(Skills!L10/10)*(E3242/1000),Skills!L10/10)+Skills!O10</f>
        <v/>
      </c>
      <c r="G3242">
        <f>Skills!G10*IF(Skills!H10&gt;0,IF(Inputs!$B$39="pvp",MIN(Skills!I10,15),Skills!I10)/Skills!H10,1)</f>
        <v/>
      </c>
      <c r="H3242">
        <f>1-(1-Skills!J10/100)^Skills!K10</f>
        <v/>
      </c>
      <c r="I3242" t="inlineStr">
        <is>
          <t>1</t>
        </is>
      </c>
      <c r="J3242">
        <f>((Inputs!$B$6*(1+Inputs!$B$7/100))+(((Inputs!$B$12*(1+Inputs!$B$13/100))-(Inputs!$B$12*(1+Inputs!$B$13/100)))+0.25*(Inputs!$B$14-Inputs!$B$14))*(1+Inputs!$B$7/100))*(F3242/100)</f>
        <v/>
      </c>
      <c r="K3242">
        <f>J3242*(1+((Inputs!$B$12*(1+Inputs!$B$13/100))*0.01+Inputs!$B$14*0.0025)/100)*(1+Inputs!$B$15/100)*(1+Inputs!$B$16/100)*(5000/(6000+Inputs!$B$43*(1-(100*(1-(1-Inputs!$B$19/100)*(1-CHOOSE(ArtifactsInput!$N$40+1,5,6,7,8,9,10)/100)^(ArtifactsInput!$M$40-ArtifactsInput!$M$40)))/100)))*(1+(Inputs!$B$24+((C3263=TRUE)*(F3263-Calc!F31))+((C3250=TRUE)*(F3250-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10="CRUEL_STAB",Inputs!$B$17+((C3260=TRUE)*(F3260-Calc!F28))+((IF(AND(Inputs!$B$39&lt;&gt;"pvp",Inputs!$B$44=0),1,IF(IF(Inputs!$B$39="pvp",15,Inputs!$B$44)-(B3277)&lt;=0,1,MAX(0,IF(Inputs!$B$39="pvp",15,Inputs!$B$44)-MAX(5,B3277))/(IF(Inputs!$B$39="pvp",15,Inputs!$B$44)-(B3277))))*(IF(AND(IF(ArtifactsInput!$M$42,FALSE,TRUE),((Inputs!$B$9+((C3258=TRUE)*(F3258-Calc!F26))+B3266+(ArtifactsInput!$M$24-ArtifactsInput!$M$24)*CHOOSE(ArtifactsInput!$N$24+1,10,12,14,16,18,20)+IF(ArtifactsInput!$M$10,CHOOSE(ArtifactsInput!$N$10+1,15,18,21,24,27,30)*(IF(Inputs!$B$39="pvp",MIN(15,15)/15,IF(AND(Inputs!$B$39&lt;&gt;"pvp",Inputs!$B$44&gt;0),MIN(15,Inputs!$B$44)/(Inputs!$B$44),0))),0)))&gt;=100),MIN(100,((Inputs!$B$9+((C3258=TRUE)*(F3258-Calc!F26))+B3266+(ArtifactsInput!$M$24-ArtifactsInput!$M$24)*CHOOSE(ArtifactsInput!$N$24+1,10,12,14,16,18,20)+IF(ArtifactsInput!$M$10,CHOOSE(ArtifactsInput!$N$10+1,15,18,21,24,27,30)*(IF(Inputs!$B$39="pvp",MIN(15,15)/15,IF(AND(Inputs!$B$39&lt;&gt;"pvp",Inputs!$B$44&gt;0),MIN(15,Inputs!$B$44)/(Inputs!$B$44),0))),0)))-100),0))*CHOOSE(ArtifactsInput!$N$42+1,0.6,0.72,0.84,0.96,1.08,1.2))),Inputs!$B$18+((C3261=TRUE)*(F3261-Calc!F29))+(IF(AND(Inputs!$B$39&lt;&gt;"pvp",Inputs!$B$44=0),1,IF(IF(Inputs!$B$39="pvp",15,Inputs!$B$44)-(B3277)&lt;=0,1,MAX(0,IF(Inputs!$B$39="pvp",15,Inputs!$B$44)-MAX(5,B3277))/(IF(Inputs!$B$39="pvp",15,Inputs!$B$44)-(B3277))))*IF(AND(IF(ArtifactsInput!$M$42,FALSE,TRUE),((Inputs!$B$9+((C3258=TRUE)*(F3258-Calc!F26))+B3266+(ArtifactsInput!$M$24-ArtifactsInput!$M$24)*CHOOSE(ArtifactsInput!$N$24+1,10,12,14,16,18,20)+IF(ArtifactsInput!$M$10,CHOOSE(ArtifactsInput!$N$10+1,15,18,21,24,27,30)*(IF(Inputs!$B$39="pvp",MIN(15,15)/15,IF(AND(Inputs!$B$39&lt;&gt;"pvp",Inputs!$B$44&gt;0),MIN(15,Inputs!$B$44)/(Inputs!$B$44),0))),0)))&gt;=100),CHOOSE(ArtifactsInput!$N$42+1,40,48,56,64,72,80),0))))/100)*(((1+(((C3254=TRUE)*F3254*IF(AND(Inputs!$B$39&lt;&gt;"pvp",Inputs!$B$44&gt;0),(((R3254-1)*MIN((Skills!Y22*(1+Inputs!$B$34/100)),(1/Q3254))+MIN((Skills!Y22*(1+Inputs!$B$34/100)),MAX(0,Inputs!$B$44-((R3254-1)*(1/Q3254)))))/Inputs!$B$44),IF(Inputs!$B$39="pvp",MIN((Skills!Y22*(1+Inputs!$B$34/100)),15)/15,MIN(1,(Skills!Y22*(1+Inputs!$B$34/100))/(1/Q3254)))))+((C3235=TRUE)*F3235*3)+((C3237=TRUE)*F3237*(1-EXP(-0.75*B3270*5)))+((C3256=TRUE)*(F3256-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3243=TRUE)*F3243*IF(AND(Inputs!$B$39&lt;&gt;"pvp",Inputs!$B$44&gt;0),(((R3243-1)*MIN((Skills!Y11*(1+Inputs!$B$34/100)),(1/Q3243))+MIN((Skills!Y11*(1+Inputs!$B$34/100)),MAX(0,Inputs!$B$44-((R3243-1)*(1/Q3243)))))/Inputs!$B$44),IF(Inputs!$B$39="pvp",MIN((Skills!Y11*(1+Inputs!$B$34/100)),15)/15,MIN(1,(Skills!Y11*(1+Inputs!$B$34/100))/(1/Q3243)))))/100)*(1+((C3248=TRUE)*F3248*IF(AND(Inputs!$B$39&lt;&gt;"pvp",Inputs!$B$44&gt;0),(((R3248-1)*MIN((Skills!Y16*(1+Inputs!$B$34/100)),(1/Q3248))+MIN((Skills!Y16*(1+Inputs!$B$34/100)),MAX(0,Inputs!$B$44-((R3248-1)*(1/Q3248)))))/Inputs!$B$44),IF(Inputs!$B$39="pvp",MIN((Skills!Y16*(1+Inputs!$B$34/100)),15)/15,MIN(1,(Skills!Y16*(1+Inputs!$B$34/100))/(1/Q3248)))))/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3268*I3242)</f>
        <v/>
      </c>
      <c r="L3242">
        <f>K3242*(MIN(Inputs!$B$22+((C3257=TRUE)*(F3257-Calc!F25)),(Inputs!$B$23+((C3262=TRUE)*(F3262-Calc!F30))+IF(ArtifactsInput!$M$15,CHOOSE(ArtifactsInput!$N$15+1,25,30,35,40,45,50)/100*(Inputs!$B$11-Inputs!$B$11),0)))/100+(Inputs!$B$23+((C3262=TRUE)*(F3262-Calc!F30))+IF(ArtifactsInput!$M$15,CHOOSE(ArtifactsInput!$N$15+1,25,30,35,40,45,50)/100*(Inputs!$B$11-Inputs!$B$11),0))/100)/2</f>
        <v/>
      </c>
      <c r="M3242">
        <f>L3242*(1+(Inputs!$B$10+((C3259=TRUE)*(F3259-Calc!F27))+B3273+(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3242">
        <f>L3242*(1-MIN((Inputs!$B$9+((C3258=TRUE)*(F3258-Calc!F26))+B3266+(ArtifactsInput!$M$24-ArtifactsInput!$M$24)*CHOOSE(ArtifactsInput!$N$24+1,10,12,14,16,18,20)+(IF(AND(Inputs!$B$39&lt;&gt;"pvp",Inputs!$B$44=0),1,IF(IF(Inputs!$B$39="pvp",15,Inputs!$B$44)-(B3277)&lt;=0,1,MAX(0,IF(Inputs!$B$39="pvp",15,Inputs!$B$44)-MAX(5,B3277))/(IF(Inputs!$B$39="pvp",15,Inputs!$B$44)-(B3277))))*IF(AND(IF(ArtifactsInput!$M$42,FALSE,TRUE),((Inputs!$B$9+((C3258=TRUE)*(F3258-Calc!F26))+B3266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3242*(MIN((Inputs!$B$9+((C3258=TRUE)*(F3258-Calc!F26))+B3266+(ArtifactsInput!$M$24-ArtifactsInput!$M$24)*CHOOSE(ArtifactsInput!$N$24+1,10,12,14,16,18,20)+(IF(AND(Inputs!$B$39&lt;&gt;"pvp",Inputs!$B$44=0),1,IF(IF(Inputs!$B$39="pvp",15,Inputs!$B$44)-(B3277)&lt;=0,1,MAX(0,IF(Inputs!$B$39="pvp",15,Inputs!$B$44)-MAX(5,B3277))/(IF(Inputs!$B$39="pvp",15,Inputs!$B$44)-(B3277))))*IF(AND(IF(ArtifactsInput!$M$42,FALSE,TRUE),((Inputs!$B$9+((C3258=TRUE)*(F3258-Calc!F26))+B3266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3242">
        <f>(1-Summary!$B$11)*T3242+Summary!$B$11*V3242</f>
        <v/>
      </c>
      <c r="P3242">
        <f>IF(B3278=0,0,O3242/B3278)</f>
        <v/>
      </c>
      <c r="Q3242" t="n">
        <v>0</v>
      </c>
      <c r="R3242" t="n">
        <v>0</v>
      </c>
      <c r="S3242" t="n">
        <v>0</v>
      </c>
      <c r="T3242">
        <f>IF(C3242,(0.2*SUMPRODUCT((Skills!Z2:Z31=TRUE)*(C3234:C3263=TRUE)*S3234:S3263)*N3242)*IF(Inputs!$B$39="pvp",1,1+(Inputs!$B$20+0+Skills!P10+B3267+(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Hunt"),CHOOSE(ArtifactsInput!$N$35+1,15,18,21,24,27,30)*(1-EXP(-(0.2*B3270)*5)),0)+IF(AND(ArtifactsInput!$M$22,Inputs!$B$4&lt;&gt;"Chapter Hunt"),CHOOSE(ArtifactsInput!$N$22+1,10,12,14,16,18,20)*((0*(((0.15*B3270*5))^0/1)+1*(((0.15*B3270*5))^1/1)+2*(((0.15*B3270*5))^2/2)+3*(((0.15*B3270*5))^3/6)+4*(((0.15*B3270*5))^4/24)+5*(((0.15*B3270*5))^5/120))/((((0.15*B3270*5))^0/1)+(((0.15*B3270*5))^1/1)+(((0.15*B3270*5))^2/2)+(((0.15*B3270*5))^3/6)+(((0.15*B3270*5))^4/24)+(((0.15*B3270*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3242*(1-MIN(100,(Inputs!$B$9+((C3258=TRUE)*(F3258-Calc!F26))+B3266+(ArtifactsInput!$M$24-ArtifactsInput!$M$24)*CHOOSE(ArtifactsInput!$N$24+1,10,12,14,16,18,20)+(IF(AND(Inputs!$B$39&lt;&gt;"pvp",Inputs!$B$44=0),1,IF(IF(Inputs!$B$39="pvp",15,Inputs!$B$44)-(B3277)&lt;=0,1,MAX(0,IF(Inputs!$B$39="pvp",15,Inputs!$B$44)-MAX(5,B3277))/(IF(Inputs!$B$39="pvp",15,Inputs!$B$44)-(B3277))))*IF(AND(IF(ArtifactsInput!$M$42,FALSE,TRUE),((Inputs!$B$9+((C3258=TRUE)*(F3258-Calc!F26))+B3266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3242*(MIN(100,(Inputs!$B$9+((C3258=TRUE)*(F3258-Calc!F26))+B3266+(ArtifactsInput!$M$24-ArtifactsInput!$M$24)*CHOOSE(ArtifactsInput!$N$24+1,10,12,14,16,18,20)+(IF(AND(Inputs!$B$39&lt;&gt;"pvp",Inputs!$B$44=0),1,IF(IF(Inputs!$B$39="pvp",15,Inputs!$B$44)-(B3277)&lt;=0,1,MAX(0,IF(Inputs!$B$39="pvp",15,Inputs!$B$44)-MAX(5,B3277))/(IF(Inputs!$B$39="pvp",15,Inputs!$B$44)-(B3277))))*IF(AND(IF(ArtifactsInput!$M$42,FALSE,TRUE),((Inputs!$B$9+((C3258=TRUE)*(F3258-Calc!F26))+B3266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3242*(1-MIN(100,(Inputs!$B$9+((C3258=TRUE)*(F3258-Calc!F26))+B3266+(ArtifactsInput!$M$24-ArtifactsInput!$M$24)*CHOOSE(ArtifactsInput!$N$24+1,10,12,14,16,18,20)+(IF(AND(Inputs!$B$39&lt;&gt;"pvp",Inputs!$B$44=0),1,IF(IF(Inputs!$B$39="pvp",15,Inputs!$B$44)-(B3277)&lt;=0,1,MAX(0,IF(Inputs!$B$39="pvp",15,Inputs!$B$44)-MAX(5,B3277))/(IF(Inputs!$B$39="pvp",15,Inputs!$B$44)-(B3277))))*IF(AND(IF(ArtifactsInput!$M$42,FALSE,TRUE),((Inputs!$B$9+((C3258=TRUE)*(F3258-Calc!F26))+B3266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3242*(MIN(100,(Inputs!$B$9+((C3258=TRUE)*(F3258-Calc!F26))+B3266+(ArtifactsInput!$M$24-ArtifactsInput!$M$24)*CHOOSE(ArtifactsInput!$N$24+1,10,12,14,16,18,20)+(IF(AND(Inputs!$B$39&lt;&gt;"pvp",Inputs!$B$44=0),1,IF(IF(Inputs!$B$39="pvp",15,Inputs!$B$44)-(B3277)&lt;=0,1,MAX(0,IF(Inputs!$B$39="pvp",15,Inputs!$B$44)-MAX(5,B3277))/(IF(Inputs!$B$39="pvp",15,Inputs!$B$44)-(B3277))))*IF(AND(IF(ArtifactsInput!$M$42,FALSE,TRUE),((Inputs!$B$9+((C3258=TRUE)*(F3258-Calc!F26))+B3266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3242">
        <f>IF(C3242,(0.2*SUMPRODUCT((Skills!Z2:Z31=TRUE)*(C3234:C3263=TRUE)*S3234:S3263)*N3242)*IF(Inputs!$B$39="pvp",1,(1+(Inputs!$B$21+Skills!Q10+B3267+(IF(ArtifactsInput!$M$33,CHOOSE(ArtifactsInput!$N$33+1,30,36,42,48,54,60),0))+(IF(AND(ArtifactsInput!$M$35,Inputs!$B$4&lt;&gt;"Chapter Hunt"),CHOOSE(ArtifactsInput!$N$35+1,15,18,21,24,27,30)*(1-EXP(-(0.2*B3270)*5)),0)+IF(AND(ArtifactsInput!$M$22,Inputs!$B$4&lt;&gt;"Chapter Hunt"),CHOOSE(ArtifactsInput!$N$22+1,10,12,14,16,18,20)*((0*(((0.15*B3270*5))^0/1)+1*(((0.15*B3270*5))^1/1)+2*(((0.15*B3270*5))^2/2)+3*(((0.15*B3270*5))^3/6)+4*(((0.15*B3270*5))^4/24)+5*(((0.15*B3270*5))^5/120))/((((0.15*B3270*5))^0/1)+(((0.15*B3270*5))^1/1)+(((0.15*B3270*5))^2/2)+(((0.15*B3270*5))^3/6)+(((0.15*B3270*5))^4/24)+(((0.15*B3270*5))^5/120))),0)))/100)*(MIN(Skills!W10,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3243">
      <c r="A3243">
        <f>Skills!A11</f>
        <v/>
      </c>
      <c r="B3243">
        <f>Skills!B11</f>
        <v/>
      </c>
      <c r="C3243">
        <f>Inputs!$B$3&gt;=74</f>
        <v/>
      </c>
      <c r="D3243">
        <f>IF(Skills!C11=1,60+Inputs!$B$25+Inputs!$B$29,IF(Skills!C11=2,90+Inputs!$B$26+Inputs!$B$29,IF(Skills!C11=3,120+Inputs!$B$27+Inputs!$B$29,MAX(0,(Inputs!$B$3-100)*3)+Inputs!$B$28+Inputs!$B$29)))</f>
        <v/>
      </c>
      <c r="E3243">
        <f>INDEX(FactorTable!$B$2:$Y$301, MATCH(ROUND(MIN(300,MAX(1,D3243)),0), FactorTable!$A$2:$A$301,0), Skills!M11+1)</f>
        <v/>
      </c>
      <c r="F3243">
        <f>IF(Skills!N11=TRUE,(Skills!L11/10)*(E3243/1000),Skills!L11/10)+Skills!O11</f>
        <v/>
      </c>
      <c r="G3243">
        <f>Skills!G11*IF(Skills!H11&gt;0,IF(Inputs!$B$39="pvp",MIN(Skills!I11,15),Skills!I11)/Skills!H11,1)</f>
        <v/>
      </c>
      <c r="H3243">
        <f>1-(1-Skills!J11/100)^Skills!K11</f>
        <v/>
      </c>
      <c r="I3243" t="inlineStr">
        <is>
          <t>1</t>
        </is>
      </c>
      <c r="J3243" t="inlineStr"/>
      <c r="K3243" t="inlineStr"/>
      <c r="L3243" t="inlineStr"/>
      <c r="M3243" t="inlineStr"/>
      <c r="N3243" t="inlineStr"/>
      <c r="O3243">
        <f>(1-Summary!$B$11)*T3243+Summary!$B$11*V3243</f>
        <v/>
      </c>
      <c r="P3243">
        <f>IF(B3278=0,0,O3243/B3278)</f>
        <v/>
      </c>
      <c r="Q3243">
        <f>IFERROR(1/IF(Inputs!$B$39="pvp",15,MAX(0.1,Skills!D11-IF(TRUE=TRUE,Inputs!$B$32,0))),0)</f>
        <v/>
      </c>
      <c r="R3243">
        <f>IF(AND(Inputs!$B$39&lt;&gt;"pvp",Inputs!$B$44&gt;0),IF(Inputs!$B$44&lt;=0,0,(INT(Inputs!$B$44/IF(Inputs!$B$39="pvp",15,MAX(0.1,Skills!D11-IF(TRUE=TRUE,Inputs!$B$32,0))))+1)),0)</f>
        <v/>
      </c>
      <c r="S3243">
        <f>IFERROR(O3243/N3243,0)</f>
        <v/>
      </c>
      <c r="T3243" t="n">
        <v>0</v>
      </c>
      <c r="V3243" t="n">
        <v>0</v>
      </c>
    </row>
    <row r="3244">
      <c r="A3244">
        <f>Skills!A12</f>
        <v/>
      </c>
      <c r="B3244">
        <f>Skills!B12</f>
        <v/>
      </c>
      <c r="C3244">
        <f>Inputs!$B$3&gt;=103</f>
        <v/>
      </c>
      <c r="D3244">
        <f>IF(Skills!C12=1,60+Inputs!$B$25+Inputs!$B$29,IF(Skills!C12=2,90+Inputs!$B$26+Inputs!$B$29,IF(Skills!C12=3,120+Inputs!$B$27+Inputs!$B$29,MAX(0,(Inputs!$B$3-100)*3)+Inputs!$B$28+Inputs!$B$29)))</f>
        <v/>
      </c>
      <c r="E3244">
        <f>INDEX(FactorTable!$B$2:$Y$301, MATCH(ROUND(MIN(300,MAX(1,D3244)),0), FactorTable!$A$2:$A$301,0), Skills!M12+1)</f>
        <v/>
      </c>
      <c r="F3244">
        <f>(Skills!L12/10)*(E3244/1000)+IF(Inputs!$B$3&gt;=134,50,0)+0.5*(30000/10)*(INDEX(FactorTable!$B$2:$Y$301, MATCH(ROUND(MIN(300,MAX(1,D3244)),0), FactorTable!$A$2:$A$301,0), 13)/1000)*B3276</f>
        <v/>
      </c>
      <c r="G3244">
        <f>Skills!G12*IF(Skills!H12&gt;0,IF(Inputs!$B$39="pvp",MIN(Skills!I12,15),Skills!I12)/Skills!H12,1)</f>
        <v/>
      </c>
      <c r="H3244">
        <f>1-(1-Skills!J12/100)^Skills!K12</f>
        <v/>
      </c>
      <c r="I3244" t="inlineStr">
        <is>
          <t>1</t>
        </is>
      </c>
      <c r="J3244">
        <f>((Inputs!$B$6*(1+Inputs!$B$7/100))+(((Inputs!$B$12*(1+Inputs!$B$13/100))-(Inputs!$B$12*(1+Inputs!$B$13/100)))+0.25*(Inputs!$B$14-Inputs!$B$14))*(1+Inputs!$B$7/100))*(F3244/100)</f>
        <v/>
      </c>
      <c r="K3244">
        <f>J3244*(1+((Inputs!$B$12*(1+Inputs!$B$13/100))*0.01+Inputs!$B$14*0.0025)/100)*(1+Inputs!$B$15/100)*(1+Inputs!$B$16/100)*(5000/(6000+Inputs!$B$43*(1-(100*(1-(1-Inputs!$B$19/100)*(1-CHOOSE(ArtifactsInput!$N$40+1,5,6,7,8,9,10)/100)^(ArtifactsInput!$M$40-ArtifactsInput!$M$40)))/100)))*(1+(Inputs!$B$24+((C3263=TRUE)*(F3263-Calc!F31))+((C3250=TRUE)*(F3250-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12="CRUEL_STAB",Inputs!$B$17+((C3260=TRUE)*(F3260-Calc!F28))+((IF(AND(Inputs!$B$39&lt;&gt;"pvp",Inputs!$B$44=0),1,IF(IF(Inputs!$B$39="pvp",15,Inputs!$B$44)-(B3277)&lt;=0,1,MAX(0,IF(Inputs!$B$39="pvp",15,Inputs!$B$44)-MAX(5,B3277))/(IF(Inputs!$B$39="pvp",15,Inputs!$B$44)-(B3277))))*(IF(AND(IF(ArtifactsInput!$M$42,FALSE,TRUE),((Inputs!$B$9+((C3258=TRUE)*(F3258-Calc!F26))+B3266+(ArtifactsInput!$M$24-ArtifactsInput!$M$24)*CHOOSE(ArtifactsInput!$N$24+1,10,12,14,16,18,20)+IF(ArtifactsInput!$M$10,CHOOSE(ArtifactsInput!$N$10+1,15,18,21,24,27,30)*(IF(Inputs!$B$39="pvp",MIN(15,15)/15,IF(AND(Inputs!$B$39&lt;&gt;"pvp",Inputs!$B$44&gt;0),MIN(15,Inputs!$B$44)/(Inputs!$B$44),0))),0)))&gt;=100),MIN(100,((Inputs!$B$9+((C3258=TRUE)*(F3258-Calc!F26))+B3266+(ArtifactsInput!$M$24-ArtifactsInput!$M$24)*CHOOSE(ArtifactsInput!$N$24+1,10,12,14,16,18,20)+IF(ArtifactsInput!$M$10,CHOOSE(ArtifactsInput!$N$10+1,15,18,21,24,27,30)*(IF(Inputs!$B$39="pvp",MIN(15,15)/15,IF(AND(Inputs!$B$39&lt;&gt;"pvp",Inputs!$B$44&gt;0),MIN(15,Inputs!$B$44)/(Inputs!$B$44),0))),0)))-100),0))*CHOOSE(ArtifactsInput!$N$42+1,0.6,0.72,0.84,0.96,1.08,1.2))),Inputs!$B$18+((C3261=TRUE)*(F3261-Calc!F29))+(IF(AND(Inputs!$B$39&lt;&gt;"pvp",Inputs!$B$44=0),1,IF(IF(Inputs!$B$39="pvp",15,Inputs!$B$44)-(B3277)&lt;=0,1,MAX(0,IF(Inputs!$B$39="pvp",15,Inputs!$B$44)-MAX(5,B3277))/(IF(Inputs!$B$39="pvp",15,Inputs!$B$44)-(B3277))))*IF(AND(IF(ArtifactsInput!$M$42,FALSE,TRUE),((Inputs!$B$9+((C3258=TRUE)*(F3258-Calc!F26))+B3266+(ArtifactsInput!$M$24-ArtifactsInput!$M$24)*CHOOSE(ArtifactsInput!$N$24+1,10,12,14,16,18,20)+IF(ArtifactsInput!$M$10,CHOOSE(ArtifactsInput!$N$10+1,15,18,21,24,27,30)*(IF(Inputs!$B$39="pvp",MIN(15,15)/15,IF(AND(Inputs!$B$39&lt;&gt;"pvp",Inputs!$B$44&gt;0),MIN(15,Inputs!$B$44)/(Inputs!$B$44),0))),0)))&gt;=100),CHOOSE(ArtifactsInput!$N$42+1,40,48,56,64,72,80),0))))/100)*(((1+(((C3254=TRUE)*F3254*IF(AND(Inputs!$B$39&lt;&gt;"pvp",Inputs!$B$44&gt;0),(((R3254-1)*MIN((Skills!Y22*(1+Inputs!$B$34/100)),(1/Q3254))+MIN((Skills!Y22*(1+Inputs!$B$34/100)),MAX(0,Inputs!$B$44-((R3254-1)*(1/Q3254)))))/Inputs!$B$44),IF(Inputs!$B$39="pvp",MIN((Skills!Y22*(1+Inputs!$B$34/100)),15)/15,MIN(1,(Skills!Y22*(1+Inputs!$B$34/100))/(1/Q3254)))))+((C3235=TRUE)*F3235*3)+((C3237=TRUE)*F3237*(1-EXP(-0.75*B3270*5)))+((C3256=TRUE)*(F3256-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3243=TRUE)*F3243*IF(AND(Inputs!$B$39&lt;&gt;"pvp",Inputs!$B$44&gt;0),(((R3243-1)*MIN((Skills!Y11*(1+Inputs!$B$34/100)),(1/Q3243))+MIN((Skills!Y11*(1+Inputs!$B$34/100)),MAX(0,Inputs!$B$44-((R3243-1)*(1/Q3243)))))/Inputs!$B$44),IF(Inputs!$B$39="pvp",MIN((Skills!Y11*(1+Inputs!$B$34/100)),15)/15,MIN(1,(Skills!Y11*(1+Inputs!$B$34/100))/(1/Q3243)))))/100)*(1+((C3248=TRUE)*F3248*IF(AND(Inputs!$B$39&lt;&gt;"pvp",Inputs!$B$44&gt;0),(((R3248-1)*MIN((Skills!Y16*(1+Inputs!$B$34/100)),(1/Q3248))+MIN((Skills!Y16*(1+Inputs!$B$34/100)),MAX(0,Inputs!$B$44-((R3248-1)*(1/Q3248)))))/Inputs!$B$44),IF(Inputs!$B$39="pvp",MIN((Skills!Y16*(1+Inputs!$B$34/100)),15)/15,MIN(1,(Skills!Y16*(1+Inputs!$B$34/100))/(1/Q3248)))))/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3268*I3244)</f>
        <v/>
      </c>
      <c r="L3244">
        <f>K3244*(MIN(Inputs!$B$22+((C3257=TRUE)*(F3257-Calc!F25)),(Inputs!$B$23+((C3262=TRUE)*(F3262-Calc!F30))+IF(ArtifactsInput!$M$15,CHOOSE(ArtifactsInput!$N$15+1,25,30,35,40,45,50)/100*(Inputs!$B$11-Inputs!$B$11),0)))/100+(Inputs!$B$23+((C3262=TRUE)*(F3262-Calc!F30))+IF(ArtifactsInput!$M$15,CHOOSE(ArtifactsInput!$N$15+1,25,30,35,40,45,50)/100*(Inputs!$B$11-Inputs!$B$11),0))/100)/2</f>
        <v/>
      </c>
      <c r="M3244">
        <f>L3244*(1+(Inputs!$B$10+((C3259=TRUE)*(F3259-Calc!F27))+B3273+(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3244">
        <f>L3244*(1-MIN((Inputs!$B$9+((C3258=TRUE)*(F3258-Calc!F26))+B3266+(ArtifactsInput!$M$24-ArtifactsInput!$M$24)*CHOOSE(ArtifactsInput!$N$24+1,10,12,14,16,18,20)+(IF(AND(Inputs!$B$39&lt;&gt;"pvp",Inputs!$B$44=0),1,IF(IF(Inputs!$B$39="pvp",15,Inputs!$B$44)-(B3277)&lt;=0,1,MAX(0,IF(Inputs!$B$39="pvp",15,Inputs!$B$44)-MAX(5,B3277))/(IF(Inputs!$B$39="pvp",15,Inputs!$B$44)-(B3277))))*IF(AND(IF(ArtifactsInput!$M$42,FALSE,TRUE),((Inputs!$B$9+((C3258=TRUE)*(F3258-Calc!F26))+B3266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3244*(MIN((Inputs!$B$9+((C3258=TRUE)*(F3258-Calc!F26))+B3266+(ArtifactsInput!$M$24-ArtifactsInput!$M$24)*CHOOSE(ArtifactsInput!$N$24+1,10,12,14,16,18,20)+(IF(AND(Inputs!$B$39&lt;&gt;"pvp",Inputs!$B$44=0),1,IF(IF(Inputs!$B$39="pvp",15,Inputs!$B$44)-(B3277)&lt;=0,1,MAX(0,IF(Inputs!$B$39="pvp",15,Inputs!$B$44)-MAX(5,B3277))/(IF(Inputs!$B$39="pvp",15,Inputs!$B$44)-(B3277))))*IF(AND(IF(ArtifactsInput!$M$42,FALSE,TRUE),((Inputs!$B$9+((C3258=TRUE)*(F3258-Calc!F26))+B3266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3244">
        <f>(1-Summary!$B$11)*T3244+Summary!$B$11*V3244</f>
        <v/>
      </c>
      <c r="P3244">
        <f>IF(B3278=0,0,O3244/B3278)</f>
        <v/>
      </c>
      <c r="Q3244">
        <f>IFERROR(1/IF(Inputs!$B$39="pvp",15,MAX(0.1,Skills!D12-IF(TRUE=TRUE,Inputs!$B$32,0))),0)</f>
        <v/>
      </c>
      <c r="R3244">
        <f>IF(AND(Inputs!$B$39&lt;&gt;"pvp",Inputs!$B$44&gt;0),IF(MAX(0,Inputs!$B$44-B3277)&lt;=0,0,(INT(MAX(0,Inputs!$B$44-B3277)/IF(Inputs!$B$39="pvp",15,MAX(0.1,Skills!D12-IF(TRUE=TRUE,Inputs!$B$32,0))))+1)),0)</f>
        <v/>
      </c>
      <c r="S3244">
        <f>IFERROR(O3244/N3244,0)</f>
        <v/>
      </c>
      <c r="T3244">
        <f>IF(C3244,(H3244*N3244*IF(AND(Inputs!$B$39&lt;&gt;"pvp",Inputs!$B$44&gt;0),((Skills!G12*((R3244-1)*IF(Skills!H12&gt;0,Skills!I12/Skills!H12,1)+IF(Skills!H12&gt;0,MIN(Skills!I12,MAX(0,MAX(0,Inputs!$B$44-B3277)-((R3244-1)*IF(Inputs!$B$39="pvp",15,MAX(0.1,Skills!D12-IF(TRUE=TRUE,Inputs!$B$32,0))))))/Skills!H12,1)))/Inputs!$B$44),G3244*Q3244))*IF(Inputs!$B$39="pvp",1,1+(Inputs!$B$20+0+Skills!P12+B3267+(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Hunt"),CHOOSE(ArtifactsInput!$N$35+1,15,18,21,24,27,30)*(1-EXP(-(0.2*B3270)*5)),0)+IF(AND(ArtifactsInput!$M$22,Inputs!$B$4&lt;&gt;"Chapter Hunt"),CHOOSE(ArtifactsInput!$N$22+1,10,12,14,16,18,20)*((0*(((0.15*B3270*5))^0/1)+1*(((0.15*B3270*5))^1/1)+2*(((0.15*B3270*5))^2/2)+3*(((0.15*B3270*5))^3/6)+4*(((0.15*B3270*5))^4/24)+5*(((0.15*B3270*5))^5/120))/((((0.15*B3270*5))^0/1)+(((0.15*B3270*5))^1/1)+(((0.15*B3270*5))^2/2)+(((0.15*B3270*5))^3/6)+(((0.15*B3270*5))^4/24)+(((0.15*B3270*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3244*(1-MIN(100,(Inputs!$B$9+((C3258=TRUE)*(F3258-Calc!F26))+B3266+(ArtifactsInput!$M$24-ArtifactsInput!$M$24)*CHOOSE(ArtifactsInput!$N$24+1,10,12,14,16,18,20)+(IF(AND(Inputs!$B$39&lt;&gt;"pvp",Inputs!$B$44=0),1,IF(IF(Inputs!$B$39="pvp",15,Inputs!$B$44)-(B3277)&lt;=0,1,MAX(0,IF(Inputs!$B$39="pvp",15,Inputs!$B$44)-MAX(5,B3277))/(IF(Inputs!$B$39="pvp",15,Inputs!$B$44)-(B3277))))*IF(AND(IF(ArtifactsInput!$M$42,FALSE,TRUE),((Inputs!$B$9+((C3258=TRUE)*(F3258-Calc!F26))+B3266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3244*(MIN(100,(Inputs!$B$9+((C3258=TRUE)*(F3258-Calc!F26))+B3266+(ArtifactsInput!$M$24-ArtifactsInput!$M$24)*CHOOSE(ArtifactsInput!$N$24+1,10,12,14,16,18,20)+(IF(AND(Inputs!$B$39&lt;&gt;"pvp",Inputs!$B$44=0),1,IF(IF(Inputs!$B$39="pvp",15,Inputs!$B$44)-(B3277)&lt;=0,1,MAX(0,IF(Inputs!$B$39="pvp",15,Inputs!$B$44)-MAX(5,B3277))/(IF(Inputs!$B$39="pvp",15,Inputs!$B$44)-(B3277))))*IF(AND(IF(ArtifactsInput!$M$42,FALSE,TRUE),((Inputs!$B$9+((C3258=TRUE)*(F3258-Calc!F26))+B3266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3244*(1-MIN(100,(Inputs!$B$9+((C3258=TRUE)*(F3258-Calc!F26))+B3266+(ArtifactsInput!$M$24-ArtifactsInput!$M$24)*CHOOSE(ArtifactsInput!$N$24+1,10,12,14,16,18,20)+(IF(AND(Inputs!$B$39&lt;&gt;"pvp",Inputs!$B$44=0),1,IF(IF(Inputs!$B$39="pvp",15,Inputs!$B$44)-(B3277)&lt;=0,1,MAX(0,IF(Inputs!$B$39="pvp",15,Inputs!$B$44)-MAX(5,B3277))/(IF(Inputs!$B$39="pvp",15,Inputs!$B$44)-(B3277))))*IF(AND(IF(ArtifactsInput!$M$42,FALSE,TRUE),((Inputs!$B$9+((C3258=TRUE)*(F3258-Calc!F26))+B3266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3244*(MIN(100,(Inputs!$B$9+((C3258=TRUE)*(F3258-Calc!F26))+B3266+(ArtifactsInput!$M$24-ArtifactsInput!$M$24)*CHOOSE(ArtifactsInput!$N$24+1,10,12,14,16,18,20)+(IF(AND(Inputs!$B$39&lt;&gt;"pvp",Inputs!$B$44=0),1,IF(IF(Inputs!$B$39="pvp",15,Inputs!$B$44)-(B3277)&lt;=0,1,MAX(0,IF(Inputs!$B$39="pvp",15,Inputs!$B$44)-MAX(5,B3277))/(IF(Inputs!$B$39="pvp",15,Inputs!$B$44)-(B3277))))*IF(AND(IF(ArtifactsInput!$M$42,FALSE,TRUE),((Inputs!$B$9+((C3258=TRUE)*(F3258-Calc!F26))+B3266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3244">
        <f>IF(C3244,(H3244*N3244*IF(AND(Inputs!$B$39&lt;&gt;"pvp",Inputs!$B$44&gt;0),((Skills!G12*((R3244-1)*IF(Skills!H12&gt;0,Skills!I12/Skills!H12,1)+IF(Skills!H12&gt;0,MIN(Skills!I12,MAX(0,MAX(0,Inputs!$B$44-B3277)-((R3244-1)*IF(Inputs!$B$39="pvp",15,MAX(0.1,Skills!D12-IF(TRUE=TRUE,Inputs!$B$32,0))))))/Skills!H12,1)))/Inputs!$B$44),G3244*Q3244))*IF(Inputs!$B$39="pvp",1,(1+(Inputs!$B$21+Skills!Q12+B3267+(IF(ArtifactsInput!$M$33,CHOOSE(ArtifactsInput!$N$33+1,30,36,42,48,54,60),0))+(IF(AND(ArtifactsInput!$M$35,Inputs!$B$4&lt;&gt;"Chapter Hunt"),CHOOSE(ArtifactsInput!$N$35+1,15,18,21,24,27,30)*(1-EXP(-(0.2*B3270)*5)),0)+IF(AND(ArtifactsInput!$M$22,Inputs!$B$4&lt;&gt;"Chapter Hunt"),CHOOSE(ArtifactsInput!$N$22+1,10,12,14,16,18,20)*((0*(((0.15*B3270*5))^0/1)+1*(((0.15*B3270*5))^1/1)+2*(((0.15*B3270*5))^2/2)+3*(((0.15*B3270*5))^3/6)+4*(((0.15*B3270*5))^4/24)+5*(((0.15*B3270*5))^5/120))/((((0.15*B3270*5))^0/1)+(((0.15*B3270*5))^1/1)+(((0.15*B3270*5))^2/2)+(((0.15*B3270*5))^3/6)+(((0.15*B3270*5))^4/24)+(((0.15*B3270*5))^5/120))),0)))/100)*(MIN(Skills!W12,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3245">
      <c r="A3245">
        <f>Skills!A13</f>
        <v/>
      </c>
      <c r="B3245">
        <f>Skills!B13</f>
        <v/>
      </c>
      <c r="C3245">
        <f>Inputs!$B$3&gt;=105</f>
        <v/>
      </c>
      <c r="D3245">
        <f>IF(Skills!C13=1,60+Inputs!$B$25+Inputs!$B$29,IF(Skills!C13=2,90+Inputs!$B$26+Inputs!$B$29,IF(Skills!C13=3,120+Inputs!$B$27+Inputs!$B$29,MAX(0,(Inputs!$B$3-100)*3)+Inputs!$B$28+Inputs!$B$29)))</f>
        <v/>
      </c>
      <c r="E3245">
        <f>INDEX(FactorTable!$B$2:$Y$301, MATCH(ROUND(MIN(300,MAX(1,D3245)),0), FactorTable!$A$2:$A$301,0), Skills!M13+1)</f>
        <v/>
      </c>
      <c r="F3245">
        <f>IF(Skills!N13=TRUE,(Skills!L13/10)*(E3245/1000),Skills!L13/10)+Skills!O13</f>
        <v/>
      </c>
      <c r="G3245">
        <f>Skills!G13*IF(Skills!H13&gt;0,IF(Inputs!$B$39="pvp",MIN(Skills!I13,15),Skills!I13)/Skills!H13,1)</f>
        <v/>
      </c>
      <c r="H3245">
        <f>1-(1-Skills!J13/100)^Skills!K13</f>
        <v/>
      </c>
      <c r="I3245" t="inlineStr">
        <is>
          <t>1</t>
        </is>
      </c>
      <c r="J3245">
        <f>((Inputs!$B$6*(1+Inputs!$B$7/100))+(((Inputs!$B$12*(1+Inputs!$B$13/100))-(Inputs!$B$12*(1+Inputs!$B$13/100)))+0.25*(Inputs!$B$14-Inputs!$B$14))*(1+Inputs!$B$7/100))*(F3245/100)</f>
        <v/>
      </c>
      <c r="K3245">
        <f>J3245*(1+((Inputs!$B$12*(1+Inputs!$B$13/100))*0.01+Inputs!$B$14*0.0025)/100)*(1+Inputs!$B$15/100)*(1+Inputs!$B$16/100)*(5000/(6000+Inputs!$B$43*(1-(100*(1-(1-Inputs!$B$19/100)*(1-CHOOSE(ArtifactsInput!$N$40+1,5,6,7,8,9,10)/100)^(ArtifactsInput!$M$40-ArtifactsInput!$M$40)))/100)))*(1+(Inputs!$B$24+((C3263=TRUE)*(F3263-Calc!F31))+((C3250=TRUE)*(F3250-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13="CRUEL_STAB",Inputs!$B$17+((C3260=TRUE)*(F3260-Calc!F28))+((IF(AND(Inputs!$B$39&lt;&gt;"pvp",Inputs!$B$44=0),1,IF(IF(Inputs!$B$39="pvp",15,Inputs!$B$44)-(B3277)&lt;=0,1,MAX(0,IF(Inputs!$B$39="pvp",15,Inputs!$B$44)-MAX(5,B3277))/(IF(Inputs!$B$39="pvp",15,Inputs!$B$44)-(B3277))))*(IF(AND(IF(ArtifactsInput!$M$42,FALSE,TRUE),((Inputs!$B$9+((C3258=TRUE)*(F3258-Calc!F26))+B3266+(ArtifactsInput!$M$24-ArtifactsInput!$M$24)*CHOOSE(ArtifactsInput!$N$24+1,10,12,14,16,18,20)+IF(ArtifactsInput!$M$10,CHOOSE(ArtifactsInput!$N$10+1,15,18,21,24,27,30)*(IF(Inputs!$B$39="pvp",MIN(15,15)/15,IF(AND(Inputs!$B$39&lt;&gt;"pvp",Inputs!$B$44&gt;0),MIN(15,Inputs!$B$44)/(Inputs!$B$44),0))),0)))&gt;=100),MIN(100,((Inputs!$B$9+((C3258=TRUE)*(F3258-Calc!F26))+B3266+(ArtifactsInput!$M$24-ArtifactsInput!$M$24)*CHOOSE(ArtifactsInput!$N$24+1,10,12,14,16,18,20)+IF(ArtifactsInput!$M$10,CHOOSE(ArtifactsInput!$N$10+1,15,18,21,24,27,30)*(IF(Inputs!$B$39="pvp",MIN(15,15)/15,IF(AND(Inputs!$B$39&lt;&gt;"pvp",Inputs!$B$44&gt;0),MIN(15,Inputs!$B$44)/(Inputs!$B$44),0))),0)))-100),0))*CHOOSE(ArtifactsInput!$N$42+1,0.6,0.72,0.84,0.96,1.08,1.2))),Inputs!$B$18+((C3261=TRUE)*(F3261-Calc!F29))+(IF(AND(Inputs!$B$39&lt;&gt;"pvp",Inputs!$B$44=0),1,IF(IF(Inputs!$B$39="pvp",15,Inputs!$B$44)-(B3277)&lt;=0,1,MAX(0,IF(Inputs!$B$39="pvp",15,Inputs!$B$44)-MAX(5,B3277))/(IF(Inputs!$B$39="pvp",15,Inputs!$B$44)-(B3277))))*IF(AND(IF(ArtifactsInput!$M$42,FALSE,TRUE),((Inputs!$B$9+((C3258=TRUE)*(F3258-Calc!F26))+B3266+(ArtifactsInput!$M$24-ArtifactsInput!$M$24)*CHOOSE(ArtifactsInput!$N$24+1,10,12,14,16,18,20)+IF(ArtifactsInput!$M$10,CHOOSE(ArtifactsInput!$N$10+1,15,18,21,24,27,30)*(IF(Inputs!$B$39="pvp",MIN(15,15)/15,IF(AND(Inputs!$B$39&lt;&gt;"pvp",Inputs!$B$44&gt;0),MIN(15,Inputs!$B$44)/(Inputs!$B$44),0))),0)))&gt;=100),CHOOSE(ArtifactsInput!$N$42+1,40,48,56,64,72,80),0))))/100)*(((1+(((C3254=TRUE)*F3254*IF(AND(Inputs!$B$39&lt;&gt;"pvp",Inputs!$B$44&gt;0),(((R3254-1)*MIN((Skills!Y22*(1+Inputs!$B$34/100)),(1/Q3254))+MIN((Skills!Y22*(1+Inputs!$B$34/100)),MAX(0,Inputs!$B$44-((R3254-1)*(1/Q3254)))))/Inputs!$B$44),IF(Inputs!$B$39="pvp",MIN((Skills!Y22*(1+Inputs!$B$34/100)),15)/15,MIN(1,(Skills!Y22*(1+Inputs!$B$34/100))/(1/Q3254)))))+((C3235=TRUE)*F3235*3)+((C3237=TRUE)*F3237*(1-EXP(-0.75*B3270*5)))+((C3256=TRUE)*(F3256-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3243=TRUE)*F3243*IF(AND(Inputs!$B$39&lt;&gt;"pvp",Inputs!$B$44&gt;0),(((R3243-1)*MIN((Skills!Y11*(1+Inputs!$B$34/100)),(1/Q3243))+MIN((Skills!Y11*(1+Inputs!$B$34/100)),MAX(0,Inputs!$B$44-((R3243-1)*(1/Q3243)))))/Inputs!$B$44),IF(Inputs!$B$39="pvp",MIN((Skills!Y11*(1+Inputs!$B$34/100)),15)/15,MIN(1,(Skills!Y11*(1+Inputs!$B$34/100))/(1/Q3243)))))/100)*(1+((C3248=TRUE)*F3248*IF(AND(Inputs!$B$39&lt;&gt;"pvp",Inputs!$B$44&gt;0),(((R3248-1)*MIN((Skills!Y16*(1+Inputs!$B$34/100)),(1/Q3248))+MIN((Skills!Y16*(1+Inputs!$B$34/100)),MAX(0,Inputs!$B$44-((R3248-1)*(1/Q3248)))))/Inputs!$B$44),IF(Inputs!$B$39="pvp",MIN((Skills!Y16*(1+Inputs!$B$34/100)),15)/15,MIN(1,(Skills!Y16*(1+Inputs!$B$34/100))/(1/Q3248)))))/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3268*I3245)</f>
        <v/>
      </c>
      <c r="L3245">
        <f>K3245*(MIN(Inputs!$B$22+((C3257=TRUE)*(F3257-Calc!F25)),(Inputs!$B$23+((C3262=TRUE)*(F3262-Calc!F30))+IF(ArtifactsInput!$M$15,CHOOSE(ArtifactsInput!$N$15+1,25,30,35,40,45,50)/100*(Inputs!$B$11-Inputs!$B$11),0)))/100+(Inputs!$B$23+((C3262=TRUE)*(F3262-Calc!F30))+IF(ArtifactsInput!$M$15,CHOOSE(ArtifactsInput!$N$15+1,25,30,35,40,45,50)/100*(Inputs!$B$11-Inputs!$B$11),0))/100)/2</f>
        <v/>
      </c>
      <c r="M3245">
        <f>L3245*(1+(Inputs!$B$10+((C3259=TRUE)*(F3259-Calc!F27))+B3273+(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3245">
        <f>L3245*(1-MIN((Inputs!$B$9+((C3258=TRUE)*(F3258-Calc!F26))+B3266+(ArtifactsInput!$M$24-ArtifactsInput!$M$24)*CHOOSE(ArtifactsInput!$N$24+1,10,12,14,16,18,20)+(IF(AND(Inputs!$B$39&lt;&gt;"pvp",Inputs!$B$44=0),1,IF(IF(Inputs!$B$39="pvp",15,Inputs!$B$44)-(B3277)&lt;=0,1,MAX(0,IF(Inputs!$B$39="pvp",15,Inputs!$B$44)-MAX(5,B3277))/(IF(Inputs!$B$39="pvp",15,Inputs!$B$44)-(B3277))))*IF(AND(IF(ArtifactsInput!$M$42,FALSE,TRUE),((Inputs!$B$9+((C3258=TRUE)*(F3258-Calc!F26))+B3266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3245*(MIN((Inputs!$B$9+((C3258=TRUE)*(F3258-Calc!F26))+B3266+(ArtifactsInput!$M$24-ArtifactsInput!$M$24)*CHOOSE(ArtifactsInput!$N$24+1,10,12,14,16,18,20)+(IF(AND(Inputs!$B$39&lt;&gt;"pvp",Inputs!$B$44=0),1,IF(IF(Inputs!$B$39="pvp",15,Inputs!$B$44)-(B3277)&lt;=0,1,MAX(0,IF(Inputs!$B$39="pvp",15,Inputs!$B$44)-MAX(5,B3277))/(IF(Inputs!$B$39="pvp",15,Inputs!$B$44)-(B3277))))*IF(AND(IF(ArtifactsInput!$M$42,FALSE,TRUE),((Inputs!$B$9+((C3258=TRUE)*(F3258-Calc!F26))+B3266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3245">
        <f>(1-Summary!$B$11)*T3245+Summary!$B$11*V3245</f>
        <v/>
      </c>
      <c r="P3245">
        <f>IF(B3278=0,0,O3245/B3278)</f>
        <v/>
      </c>
      <c r="Q3245">
        <f>IFERROR(1/IF(Inputs!$B$39="pvp",15,MAX(0.1,Skills!D13-IF(TRUE=TRUE,Inputs!$B$32,0))),0)</f>
        <v/>
      </c>
      <c r="R3245">
        <f>IF(AND(Inputs!$B$39&lt;&gt;"pvp",Inputs!$B$44&gt;0),IF(MAX(0,Inputs!$B$44-B3277)&lt;=0,0,(INT(MAX(0,Inputs!$B$44-B3277)/IF(Inputs!$B$39="pvp",15,MAX(0.1,Skills!D13-IF(TRUE=TRUE,Inputs!$B$32,0))))+1)),0)</f>
        <v/>
      </c>
      <c r="S3245">
        <f>IFERROR(O3245/N3245,0)</f>
        <v/>
      </c>
      <c r="T3245">
        <f>IF(C3245,(H3245*N3245*IF(AND(Inputs!$B$39&lt;&gt;"pvp",Inputs!$B$44&gt;0),((Skills!G13*((R3245-1)*IF(Skills!H13&gt;0,Skills!I13/Skills!H13,1)+IF(Skills!H13&gt;0,MIN(Skills!I13,MAX(0,MAX(0,Inputs!$B$44-B3277)-((R3245-1)*IF(Inputs!$B$39="pvp",15,MAX(0.1,Skills!D13-IF(TRUE=TRUE,Inputs!$B$32,0))))))/Skills!H13,1)))/Inputs!$B$44),G3245*Q3245))*IF(Inputs!$B$39="pvp",1,1+(Inputs!$B$20+0+Skills!P13+B3267+(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Hunt"),CHOOSE(ArtifactsInput!$N$35+1,15,18,21,24,27,30)*(1-EXP(-(0.2*B3270)*5)),0)+IF(AND(ArtifactsInput!$M$22,Inputs!$B$4&lt;&gt;"Chapter Hunt"),CHOOSE(ArtifactsInput!$N$22+1,10,12,14,16,18,20)*((0*(((0.15*B3270*5))^0/1)+1*(((0.15*B3270*5))^1/1)+2*(((0.15*B3270*5))^2/2)+3*(((0.15*B3270*5))^3/6)+4*(((0.15*B3270*5))^4/24)+5*(((0.15*B3270*5))^5/120))/((((0.15*B3270*5))^0/1)+(((0.15*B3270*5))^1/1)+(((0.15*B3270*5))^2/2)+(((0.15*B3270*5))^3/6)+(((0.15*B3270*5))^4/24)+(((0.15*B3270*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3245*(1-MIN(100,(Inputs!$B$9+((C3258=TRUE)*(F3258-Calc!F26))+B3266+(ArtifactsInput!$M$24-ArtifactsInput!$M$24)*CHOOSE(ArtifactsInput!$N$24+1,10,12,14,16,18,20)+(IF(AND(Inputs!$B$39&lt;&gt;"pvp",Inputs!$B$44=0),1,IF(IF(Inputs!$B$39="pvp",15,Inputs!$B$44)-(B3277)&lt;=0,1,MAX(0,IF(Inputs!$B$39="pvp",15,Inputs!$B$44)-MAX(5,B3277))/(IF(Inputs!$B$39="pvp",15,Inputs!$B$44)-(B3277))))*IF(AND(IF(ArtifactsInput!$M$42,FALSE,TRUE),((Inputs!$B$9+((C3258=TRUE)*(F3258-Calc!F26))+B3266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3245*(MIN(100,(Inputs!$B$9+((C3258=TRUE)*(F3258-Calc!F26))+B3266+(ArtifactsInput!$M$24-ArtifactsInput!$M$24)*CHOOSE(ArtifactsInput!$N$24+1,10,12,14,16,18,20)+(IF(AND(Inputs!$B$39&lt;&gt;"pvp",Inputs!$B$44=0),1,IF(IF(Inputs!$B$39="pvp",15,Inputs!$B$44)-(B3277)&lt;=0,1,MAX(0,IF(Inputs!$B$39="pvp",15,Inputs!$B$44)-MAX(5,B3277))/(IF(Inputs!$B$39="pvp",15,Inputs!$B$44)-(B3277))))*IF(AND(IF(ArtifactsInput!$M$42,FALSE,TRUE),((Inputs!$B$9+((C3258=TRUE)*(F3258-Calc!F26))+B3266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3245*(1-MIN(100,(Inputs!$B$9+((C3258=TRUE)*(F3258-Calc!F26))+B3266+(ArtifactsInput!$M$24-ArtifactsInput!$M$24)*CHOOSE(ArtifactsInput!$N$24+1,10,12,14,16,18,20)+(IF(AND(Inputs!$B$39&lt;&gt;"pvp",Inputs!$B$44=0),1,IF(IF(Inputs!$B$39="pvp",15,Inputs!$B$44)-(B3277)&lt;=0,1,MAX(0,IF(Inputs!$B$39="pvp",15,Inputs!$B$44)-MAX(5,B3277))/(IF(Inputs!$B$39="pvp",15,Inputs!$B$44)-(B3277))))*IF(AND(IF(ArtifactsInput!$M$42,FALSE,TRUE),((Inputs!$B$9+((C3258=TRUE)*(F3258-Calc!F26))+B3266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3245*(MIN(100,(Inputs!$B$9+((C3258=TRUE)*(F3258-Calc!F26))+B3266+(ArtifactsInput!$M$24-ArtifactsInput!$M$24)*CHOOSE(ArtifactsInput!$N$24+1,10,12,14,16,18,20)+(IF(AND(Inputs!$B$39&lt;&gt;"pvp",Inputs!$B$44=0),1,IF(IF(Inputs!$B$39="pvp",15,Inputs!$B$44)-(B3277)&lt;=0,1,MAX(0,IF(Inputs!$B$39="pvp",15,Inputs!$B$44)-MAX(5,B3277))/(IF(Inputs!$B$39="pvp",15,Inputs!$B$44)-(B3277))))*IF(AND(IF(ArtifactsInput!$M$42,FALSE,TRUE),((Inputs!$B$9+((C3258=TRUE)*(F3258-Calc!F26))+B3266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3245">
        <f>IF(C3245,(H3245*N3245*IF(AND(Inputs!$B$39&lt;&gt;"pvp",Inputs!$B$44&gt;0),((Skills!G13*((R3245-1)*IF(Skills!H13&gt;0,Skills!I13/Skills!H13,1)+IF(Skills!H13&gt;0,MIN(Skills!I13,MAX(0,MAX(0,Inputs!$B$44-B3277)-((R3245-1)*IF(Inputs!$B$39="pvp",15,MAX(0.1,Skills!D13-IF(TRUE=TRUE,Inputs!$B$32,0))))))/Skills!H13,1)))/Inputs!$B$44),G3245*Q3245))*IF(Inputs!$B$39="pvp",1,(1+(Inputs!$B$21+Skills!Q13+B3267+(IF(ArtifactsInput!$M$33,CHOOSE(ArtifactsInput!$N$33+1,30,36,42,48,54,60),0))+(IF(AND(ArtifactsInput!$M$35,Inputs!$B$4&lt;&gt;"Chapter Hunt"),CHOOSE(ArtifactsInput!$N$35+1,15,18,21,24,27,30)*(1-EXP(-(0.2*B3270)*5)),0)+IF(AND(ArtifactsInput!$M$22,Inputs!$B$4&lt;&gt;"Chapter Hunt"),CHOOSE(ArtifactsInput!$N$22+1,10,12,14,16,18,20)*((0*(((0.15*B3270*5))^0/1)+1*(((0.15*B3270*5))^1/1)+2*(((0.15*B3270*5))^2/2)+3*(((0.15*B3270*5))^3/6)+4*(((0.15*B3270*5))^4/24)+5*(((0.15*B3270*5))^5/120))/((((0.15*B3270*5))^0/1)+(((0.15*B3270*5))^1/1)+(((0.15*B3270*5))^2/2)+(((0.15*B3270*5))^3/6)+(((0.15*B3270*5))^4/24)+(((0.15*B3270*5))^5/120))),0)))/100)*(MIN(Skills!W13,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3246">
      <c r="A3246">
        <f>Skills!A14</f>
        <v/>
      </c>
      <c r="B3246">
        <f>Skills!B14</f>
        <v/>
      </c>
      <c r="C3246">
        <f>Inputs!$B$3&gt;=105</f>
        <v/>
      </c>
      <c r="D3246">
        <f>IF(Skills!C14=1,60+Inputs!$B$25+Inputs!$B$29,IF(Skills!C14=2,90+Inputs!$B$26+Inputs!$B$29,IF(Skills!C14=3,120+Inputs!$B$27+Inputs!$B$29,MAX(0,(Inputs!$B$3-100)*3)+Inputs!$B$28+Inputs!$B$29)))</f>
        <v/>
      </c>
      <c r="E3246">
        <f>INDEX(FactorTable!$B$2:$Y$301, MATCH(ROUND(MIN(300,MAX(1,D3246)),0), FactorTable!$A$2:$A$301,0), Skills!M14+1)</f>
        <v/>
      </c>
      <c r="F3246">
        <f>IF(Skills!N14=TRUE,(Skills!L14/10)*(E3246/1000),Skills!L14/10)+Skills!O14</f>
        <v/>
      </c>
      <c r="G3246">
        <f>Skills!G14*IF(Skills!H14&gt;0,IF(Inputs!$B$39="pvp",MIN(Skills!I14,15),Skills!I14)/Skills!H14,1)</f>
        <v/>
      </c>
      <c r="H3246">
        <f>1-(1-Skills!J14/100)^Skills!K14</f>
        <v/>
      </c>
      <c r="I3246" t="inlineStr">
        <is>
          <t>1</t>
        </is>
      </c>
      <c r="J3246">
        <f>((Inputs!$B$6*(1+Inputs!$B$7/100))+(((Inputs!$B$12*(1+Inputs!$B$13/100))-(Inputs!$B$12*(1+Inputs!$B$13/100)))+0.25*(Inputs!$B$14-Inputs!$B$14))*(1+Inputs!$B$7/100))*(F3246/100)</f>
        <v/>
      </c>
      <c r="K3246">
        <f>J3246*(1+((Inputs!$B$12*(1+Inputs!$B$13/100))*0.01+Inputs!$B$14*0.0025)/100)*(1+Inputs!$B$15/100)*(1+Inputs!$B$16/100)*(5000/(6000+Inputs!$B$43*(1-(100*(1-(1-Inputs!$B$19/100)*(1-CHOOSE(ArtifactsInput!$N$40+1,5,6,7,8,9,10)/100)^(ArtifactsInput!$M$40-ArtifactsInput!$M$40)))/100)))*(1+(Inputs!$B$24+((C3263=TRUE)*(F3263-Calc!F31))+((C3250=TRUE)*(F3250-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14="CRUEL_STAB",Inputs!$B$17+((C3260=TRUE)*(F3260-Calc!F28))+((IF(AND(Inputs!$B$39&lt;&gt;"pvp",Inputs!$B$44=0),1,IF(IF(Inputs!$B$39="pvp",15,Inputs!$B$44)-(B3277)&lt;=0,1,MAX(0,IF(Inputs!$B$39="pvp",15,Inputs!$B$44)-MAX(5,B3277))/(IF(Inputs!$B$39="pvp",15,Inputs!$B$44)-(B3277))))*(IF(AND(IF(ArtifactsInput!$M$42,FALSE,TRUE),((Inputs!$B$9+((C3258=TRUE)*(F3258-Calc!F26))+B3266+(ArtifactsInput!$M$24-ArtifactsInput!$M$24)*CHOOSE(ArtifactsInput!$N$24+1,10,12,14,16,18,20)+IF(ArtifactsInput!$M$10,CHOOSE(ArtifactsInput!$N$10+1,15,18,21,24,27,30)*(IF(Inputs!$B$39="pvp",MIN(15,15)/15,IF(AND(Inputs!$B$39&lt;&gt;"pvp",Inputs!$B$44&gt;0),MIN(15,Inputs!$B$44)/(Inputs!$B$44),0))),0)))&gt;=100),MIN(100,((Inputs!$B$9+((C3258=TRUE)*(F3258-Calc!F26))+B3266+(ArtifactsInput!$M$24-ArtifactsInput!$M$24)*CHOOSE(ArtifactsInput!$N$24+1,10,12,14,16,18,20)+IF(ArtifactsInput!$M$10,CHOOSE(ArtifactsInput!$N$10+1,15,18,21,24,27,30)*(IF(Inputs!$B$39="pvp",MIN(15,15)/15,IF(AND(Inputs!$B$39&lt;&gt;"pvp",Inputs!$B$44&gt;0),MIN(15,Inputs!$B$44)/(Inputs!$B$44),0))),0)))-100),0))*CHOOSE(ArtifactsInput!$N$42+1,0.6,0.72,0.84,0.96,1.08,1.2))),Inputs!$B$18+((C3261=TRUE)*(F3261-Calc!F29))+(IF(AND(Inputs!$B$39&lt;&gt;"pvp",Inputs!$B$44=0),1,IF(IF(Inputs!$B$39="pvp",15,Inputs!$B$44)-(B3277)&lt;=0,1,MAX(0,IF(Inputs!$B$39="pvp",15,Inputs!$B$44)-MAX(5,B3277))/(IF(Inputs!$B$39="pvp",15,Inputs!$B$44)-(B3277))))*IF(AND(IF(ArtifactsInput!$M$42,FALSE,TRUE),((Inputs!$B$9+((C3258=TRUE)*(F3258-Calc!F26))+B3266+(ArtifactsInput!$M$24-ArtifactsInput!$M$24)*CHOOSE(ArtifactsInput!$N$24+1,10,12,14,16,18,20)+IF(ArtifactsInput!$M$10,CHOOSE(ArtifactsInput!$N$10+1,15,18,21,24,27,30)*(IF(Inputs!$B$39="pvp",MIN(15,15)/15,IF(AND(Inputs!$B$39&lt;&gt;"pvp",Inputs!$B$44&gt;0),MIN(15,Inputs!$B$44)/(Inputs!$B$44),0))),0)))&gt;=100),CHOOSE(ArtifactsInput!$N$42+1,40,48,56,64,72,80),0))))/100)*(((1+(((C3254=TRUE)*F3254*IF(AND(Inputs!$B$39&lt;&gt;"pvp",Inputs!$B$44&gt;0),(((R3254-1)*MIN((Skills!Y22*(1+Inputs!$B$34/100)),(1/Q3254))+MIN((Skills!Y22*(1+Inputs!$B$34/100)),MAX(0,Inputs!$B$44-((R3254-1)*(1/Q3254)))))/Inputs!$B$44),IF(Inputs!$B$39="pvp",MIN((Skills!Y22*(1+Inputs!$B$34/100)),15)/15,MIN(1,(Skills!Y22*(1+Inputs!$B$34/100))/(1/Q3254)))))+((C3235=TRUE)*F3235*3)+((C3237=TRUE)*F3237*(1-EXP(-0.75*B3270*5)))+((C3256=TRUE)*(F3256-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3243=TRUE)*F3243*IF(AND(Inputs!$B$39&lt;&gt;"pvp",Inputs!$B$44&gt;0),(((R3243-1)*MIN((Skills!Y11*(1+Inputs!$B$34/100)),(1/Q3243))+MIN((Skills!Y11*(1+Inputs!$B$34/100)),MAX(0,Inputs!$B$44-((R3243-1)*(1/Q3243)))))/Inputs!$B$44),IF(Inputs!$B$39="pvp",MIN((Skills!Y11*(1+Inputs!$B$34/100)),15)/15,MIN(1,(Skills!Y11*(1+Inputs!$B$34/100))/(1/Q3243)))))/100)*(1+((C3248=TRUE)*F3248*IF(AND(Inputs!$B$39&lt;&gt;"pvp",Inputs!$B$44&gt;0),(((R3248-1)*MIN((Skills!Y16*(1+Inputs!$B$34/100)),(1/Q3248))+MIN((Skills!Y16*(1+Inputs!$B$34/100)),MAX(0,Inputs!$B$44-((R3248-1)*(1/Q3248)))))/Inputs!$B$44),IF(Inputs!$B$39="pvp",MIN((Skills!Y16*(1+Inputs!$B$34/100)),15)/15,MIN(1,(Skills!Y16*(1+Inputs!$B$34/100))/(1/Q3248)))))/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3268*I3246)</f>
        <v/>
      </c>
      <c r="L3246">
        <f>K3246*(MIN(Inputs!$B$22+((C3257=TRUE)*(F3257-Calc!F25)),(Inputs!$B$23+((C3262=TRUE)*(F3262-Calc!F30))+IF(ArtifactsInput!$M$15,CHOOSE(ArtifactsInput!$N$15+1,25,30,35,40,45,50)/100*(Inputs!$B$11-Inputs!$B$11),0)))/100+(Inputs!$B$23+((C3262=TRUE)*(F3262-Calc!F30))+IF(ArtifactsInput!$M$15,CHOOSE(ArtifactsInput!$N$15+1,25,30,35,40,45,50)/100*(Inputs!$B$11-Inputs!$B$11),0))/100)/2</f>
        <v/>
      </c>
      <c r="M3246">
        <f>L3246*(1+(Inputs!$B$10+((C3259=TRUE)*(F3259-Calc!F27))+B3273+(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3246">
        <f>L3246*(1-MIN((Inputs!$B$9+((C3258=TRUE)*(F3258-Calc!F26))+B3266+(ArtifactsInput!$M$24-ArtifactsInput!$M$24)*CHOOSE(ArtifactsInput!$N$24+1,10,12,14,16,18,20)+(IF(AND(Inputs!$B$39&lt;&gt;"pvp",Inputs!$B$44=0),1,IF(IF(Inputs!$B$39="pvp",15,Inputs!$B$44)-(B3277)&lt;=0,1,MAX(0,IF(Inputs!$B$39="pvp",15,Inputs!$B$44)-MAX(5,B3277))/(IF(Inputs!$B$39="pvp",15,Inputs!$B$44)-(B3277))))*IF(AND(IF(ArtifactsInput!$M$42,FALSE,TRUE),((Inputs!$B$9+((C3258=TRUE)*(F3258-Calc!F26))+B3266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3246*(MIN((Inputs!$B$9+((C3258=TRUE)*(F3258-Calc!F26))+B3266+(ArtifactsInput!$M$24-ArtifactsInput!$M$24)*CHOOSE(ArtifactsInput!$N$24+1,10,12,14,16,18,20)+(IF(AND(Inputs!$B$39&lt;&gt;"pvp",Inputs!$B$44=0),1,IF(IF(Inputs!$B$39="pvp",15,Inputs!$B$44)-(B3277)&lt;=0,1,MAX(0,IF(Inputs!$B$39="pvp",15,Inputs!$B$44)-MAX(5,B3277))/(IF(Inputs!$B$39="pvp",15,Inputs!$B$44)-(B3277))))*IF(AND(IF(ArtifactsInput!$M$42,FALSE,TRUE),((Inputs!$B$9+((C3258=TRUE)*(F3258-Calc!F26))+B3266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3246">
        <f>(1-Summary!$B$11)*T3246+Summary!$B$11*V3246</f>
        <v/>
      </c>
      <c r="P3246">
        <f>IF(B3278=0,0,O3246/B3278)</f>
        <v/>
      </c>
      <c r="Q3246">
        <f>IFERROR(1/IF(Inputs!$B$39="pvp",15,MAX(0.1,Skills!D14-IF(TRUE=TRUE,Inputs!$B$32,0))),0)</f>
        <v/>
      </c>
      <c r="R3246">
        <f>IF(AND(Inputs!$B$39&lt;&gt;"pvp",Inputs!$B$44&gt;0),IF(MAX(0,Inputs!$B$44-B3277)&lt;=0,0,(INT(MAX(0,Inputs!$B$44-B3277)/IF(Inputs!$B$39="pvp",15,MAX(0.1,Skills!D14-IF(TRUE=TRUE,Inputs!$B$32,0))))+1)),0)</f>
        <v/>
      </c>
      <c r="S3246">
        <f>IFERROR(O3246/N3246,0)</f>
        <v/>
      </c>
      <c r="T3246">
        <f>IF(C3246,(H3246*N3246*IF(AND(Inputs!$B$39&lt;&gt;"pvp",Inputs!$B$44&gt;0),((Skills!G14*((R3246-1)*IF(Skills!H14&gt;0,Skills!I14/Skills!H14,1)+IF(Skills!H14&gt;0,MIN(Skills!I14,MAX(0,MAX(0,Inputs!$B$44-B3277)-((R3246-1)*IF(Inputs!$B$39="pvp",15,MAX(0.1,Skills!D14-IF(TRUE=TRUE,Inputs!$B$32,0))))))/Skills!H14,1)))/Inputs!$B$44),G3246*Q3246))*IF(Inputs!$B$39="pvp",1,1+(Inputs!$B$20+0+Skills!P14+B3267+(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Hunt"),CHOOSE(ArtifactsInput!$N$35+1,15,18,21,24,27,30)*(1-EXP(-(0.2*B3270)*5)),0)+IF(AND(ArtifactsInput!$M$22,Inputs!$B$4&lt;&gt;"Chapter Hunt"),CHOOSE(ArtifactsInput!$N$22+1,10,12,14,16,18,20)*((0*(((0.15*B3270*5))^0/1)+1*(((0.15*B3270*5))^1/1)+2*(((0.15*B3270*5))^2/2)+3*(((0.15*B3270*5))^3/6)+4*(((0.15*B3270*5))^4/24)+5*(((0.15*B3270*5))^5/120))/((((0.15*B3270*5))^0/1)+(((0.15*B3270*5))^1/1)+(((0.15*B3270*5))^2/2)+(((0.15*B3270*5))^3/6)+(((0.15*B3270*5))^4/24)+(((0.15*B3270*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3246*(1-MIN(100,(Inputs!$B$9+((C3258=TRUE)*(F3258-Calc!F26))+B3266+(ArtifactsInput!$M$24-ArtifactsInput!$M$24)*CHOOSE(ArtifactsInput!$N$24+1,10,12,14,16,18,20)+(IF(AND(Inputs!$B$39&lt;&gt;"pvp",Inputs!$B$44=0),1,IF(IF(Inputs!$B$39="pvp",15,Inputs!$B$44)-(B3277)&lt;=0,1,MAX(0,IF(Inputs!$B$39="pvp",15,Inputs!$B$44)-MAX(5,B3277))/(IF(Inputs!$B$39="pvp",15,Inputs!$B$44)-(B3277))))*IF(AND(IF(ArtifactsInput!$M$42,FALSE,TRUE),((Inputs!$B$9+((C3258=TRUE)*(F3258-Calc!F26))+B3266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3246*(MIN(100,(Inputs!$B$9+((C3258=TRUE)*(F3258-Calc!F26))+B3266+(ArtifactsInput!$M$24-ArtifactsInput!$M$24)*CHOOSE(ArtifactsInput!$N$24+1,10,12,14,16,18,20)+(IF(AND(Inputs!$B$39&lt;&gt;"pvp",Inputs!$B$44=0),1,IF(IF(Inputs!$B$39="pvp",15,Inputs!$B$44)-(B3277)&lt;=0,1,MAX(0,IF(Inputs!$B$39="pvp",15,Inputs!$B$44)-MAX(5,B3277))/(IF(Inputs!$B$39="pvp",15,Inputs!$B$44)-(B3277))))*IF(AND(IF(ArtifactsInput!$M$42,FALSE,TRUE),((Inputs!$B$9+((C3258=TRUE)*(F3258-Calc!F26))+B3266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3246*(1-MIN(100,(Inputs!$B$9+((C3258=TRUE)*(F3258-Calc!F26))+B3266+(ArtifactsInput!$M$24-ArtifactsInput!$M$24)*CHOOSE(ArtifactsInput!$N$24+1,10,12,14,16,18,20)+(IF(AND(Inputs!$B$39&lt;&gt;"pvp",Inputs!$B$44=0),1,IF(IF(Inputs!$B$39="pvp",15,Inputs!$B$44)-(B3277)&lt;=0,1,MAX(0,IF(Inputs!$B$39="pvp",15,Inputs!$B$44)-MAX(5,B3277))/(IF(Inputs!$B$39="pvp",15,Inputs!$B$44)-(B3277))))*IF(AND(IF(ArtifactsInput!$M$42,FALSE,TRUE),((Inputs!$B$9+((C3258=TRUE)*(F3258-Calc!F26))+B3266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3246*(MIN(100,(Inputs!$B$9+((C3258=TRUE)*(F3258-Calc!F26))+B3266+(ArtifactsInput!$M$24-ArtifactsInput!$M$24)*CHOOSE(ArtifactsInput!$N$24+1,10,12,14,16,18,20)+(IF(AND(Inputs!$B$39&lt;&gt;"pvp",Inputs!$B$44=0),1,IF(IF(Inputs!$B$39="pvp",15,Inputs!$B$44)-(B3277)&lt;=0,1,MAX(0,IF(Inputs!$B$39="pvp",15,Inputs!$B$44)-MAX(5,B3277))/(IF(Inputs!$B$39="pvp",15,Inputs!$B$44)-(B3277))))*IF(AND(IF(ArtifactsInput!$M$42,FALSE,TRUE),((Inputs!$B$9+((C3258=TRUE)*(F3258-Calc!F26))+B3266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3246">
        <f>IF(C3246,(H3246*N3246*IF(AND(Inputs!$B$39&lt;&gt;"pvp",Inputs!$B$44&gt;0),((Skills!G14*((R3246-1)*IF(Skills!H14&gt;0,Skills!I14/Skills!H14,1)+IF(Skills!H14&gt;0,MIN(Skills!I14,MAX(0,MAX(0,Inputs!$B$44-B3277)-((R3246-1)*IF(Inputs!$B$39="pvp",15,MAX(0.1,Skills!D14-IF(TRUE=TRUE,Inputs!$B$32,0))))))/Skills!H14,1)))/Inputs!$B$44),G3246*Q3246))*IF(Inputs!$B$39="pvp",1,(1+(Inputs!$B$21+Skills!Q14+B3267+(IF(ArtifactsInput!$M$33,CHOOSE(ArtifactsInput!$N$33+1,30,36,42,48,54,60),0))+(IF(AND(ArtifactsInput!$M$35,Inputs!$B$4&lt;&gt;"Chapter Hunt"),CHOOSE(ArtifactsInput!$N$35+1,15,18,21,24,27,30)*(1-EXP(-(0.2*B3270)*5)),0)+IF(AND(ArtifactsInput!$M$22,Inputs!$B$4&lt;&gt;"Chapter Hunt"),CHOOSE(ArtifactsInput!$N$22+1,10,12,14,16,18,20)*((0*(((0.15*B3270*5))^0/1)+1*(((0.15*B3270*5))^1/1)+2*(((0.15*B3270*5))^2/2)+3*(((0.15*B3270*5))^3/6)+4*(((0.15*B3270*5))^4/24)+5*(((0.15*B3270*5))^5/120))/((((0.15*B3270*5))^0/1)+(((0.15*B3270*5))^1/1)+(((0.15*B3270*5))^2/2)+(((0.15*B3270*5))^3/6)+(((0.15*B3270*5))^4/24)+(((0.15*B3270*5))^5/120))),0)))/100)*(MIN(Skills!W14,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3247">
      <c r="A3247">
        <f>Skills!A15</f>
        <v/>
      </c>
      <c r="B3247">
        <f>Skills!B15</f>
        <v/>
      </c>
      <c r="C3247">
        <f>Inputs!$B$3&gt;=107</f>
        <v/>
      </c>
      <c r="D3247">
        <f>IF(Skills!C15=1,60+Inputs!$B$25+Inputs!$B$29,IF(Skills!C15=2,90+Inputs!$B$26+Inputs!$B$29,IF(Skills!C15=3,120+Inputs!$B$27+Inputs!$B$29,MAX(0,(Inputs!$B$3-100)*3)+Inputs!$B$28+Inputs!$B$29)))</f>
        <v/>
      </c>
      <c r="E3247">
        <f>INDEX(FactorTable!$B$2:$Y$301, MATCH(ROUND(MIN(300,MAX(1,D3247)),0), FactorTable!$A$2:$A$301,0), Skills!M15+1)</f>
        <v/>
      </c>
      <c r="F3247">
        <f>IF(Skills!N15=TRUE,(Skills!L15/10)*(E3247/1000),Skills!L15/10)+Skills!O15</f>
        <v/>
      </c>
      <c r="G3247">
        <f>Skills!G15*IF(Skills!H15&gt;0,IF(Inputs!$B$39="pvp",MIN(Skills!I15,15),Skills!I15)/Skills!H15,1)</f>
        <v/>
      </c>
      <c r="H3247">
        <f>1-(1-Skills!J15/100)^Skills!K15</f>
        <v/>
      </c>
      <c r="I3247" t="inlineStr">
        <is>
          <t>1</t>
        </is>
      </c>
      <c r="J3247">
        <f>((Inputs!$B$6*(1+Inputs!$B$7/100))+(((Inputs!$B$12*(1+Inputs!$B$13/100))-(Inputs!$B$12*(1+Inputs!$B$13/100)))+0.25*(Inputs!$B$14-Inputs!$B$14))*(1+Inputs!$B$7/100))*(F3247/100)</f>
        <v/>
      </c>
      <c r="K3247">
        <f>J3247*(1+((Inputs!$B$12*(1+Inputs!$B$13/100))*0.01+Inputs!$B$14*0.0025)/100)*(1+Inputs!$B$15/100)*(1+Inputs!$B$16/100)*(5000/(6000+Inputs!$B$43*(1-(100*(1-(1-Inputs!$B$19/100)*(1-CHOOSE(ArtifactsInput!$N$40+1,5,6,7,8,9,10)/100)^(ArtifactsInput!$M$40-ArtifactsInput!$M$40)))/100)))*(1+(Inputs!$B$24+((C3263=TRUE)*(F3263-Calc!F31))+((C3250=TRUE)*(F3250-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15="CRUEL_STAB",Inputs!$B$17+((C3260=TRUE)*(F3260-Calc!F28))+((IF(AND(Inputs!$B$39&lt;&gt;"pvp",Inputs!$B$44=0),1,IF(IF(Inputs!$B$39="pvp",15,Inputs!$B$44)-(B3277)&lt;=0,1,MAX(0,IF(Inputs!$B$39="pvp",15,Inputs!$B$44)-MAX(5,B3277))/(IF(Inputs!$B$39="pvp",15,Inputs!$B$44)-(B3277))))*(IF(AND(IF(ArtifactsInput!$M$42,FALSE,TRUE),((Inputs!$B$9+((C3258=TRUE)*(F3258-Calc!F26))+B3266+(ArtifactsInput!$M$24-ArtifactsInput!$M$24)*CHOOSE(ArtifactsInput!$N$24+1,10,12,14,16,18,20)+IF(ArtifactsInput!$M$10,CHOOSE(ArtifactsInput!$N$10+1,15,18,21,24,27,30)*(IF(Inputs!$B$39="pvp",MIN(15,15)/15,IF(AND(Inputs!$B$39&lt;&gt;"pvp",Inputs!$B$44&gt;0),MIN(15,Inputs!$B$44)/(Inputs!$B$44),0))),0)))&gt;=100),MIN(100,((Inputs!$B$9+((C3258=TRUE)*(F3258-Calc!F26))+B3266+(ArtifactsInput!$M$24-ArtifactsInput!$M$24)*CHOOSE(ArtifactsInput!$N$24+1,10,12,14,16,18,20)+IF(ArtifactsInput!$M$10,CHOOSE(ArtifactsInput!$N$10+1,15,18,21,24,27,30)*(IF(Inputs!$B$39="pvp",MIN(15,15)/15,IF(AND(Inputs!$B$39&lt;&gt;"pvp",Inputs!$B$44&gt;0),MIN(15,Inputs!$B$44)/(Inputs!$B$44),0))),0)))-100),0))*CHOOSE(ArtifactsInput!$N$42+1,0.6,0.72,0.84,0.96,1.08,1.2))),Inputs!$B$18+((C3261=TRUE)*(F3261-Calc!F29))+(IF(AND(Inputs!$B$39&lt;&gt;"pvp",Inputs!$B$44=0),1,IF(IF(Inputs!$B$39="pvp",15,Inputs!$B$44)-(B3277)&lt;=0,1,MAX(0,IF(Inputs!$B$39="pvp",15,Inputs!$B$44)-MAX(5,B3277))/(IF(Inputs!$B$39="pvp",15,Inputs!$B$44)-(B3277))))*IF(AND(IF(ArtifactsInput!$M$42,FALSE,TRUE),((Inputs!$B$9+((C3258=TRUE)*(F3258-Calc!F26))+B3266+(ArtifactsInput!$M$24-ArtifactsInput!$M$24)*CHOOSE(ArtifactsInput!$N$24+1,10,12,14,16,18,20)+IF(ArtifactsInput!$M$10,CHOOSE(ArtifactsInput!$N$10+1,15,18,21,24,27,30)*(IF(Inputs!$B$39="pvp",MIN(15,15)/15,IF(AND(Inputs!$B$39&lt;&gt;"pvp",Inputs!$B$44&gt;0),MIN(15,Inputs!$B$44)/(Inputs!$B$44),0))),0)))&gt;=100),CHOOSE(ArtifactsInput!$N$42+1,40,48,56,64,72,80),0))))/100)*(((1+(((C3254=TRUE)*F3254*IF(AND(Inputs!$B$39&lt;&gt;"pvp",Inputs!$B$44&gt;0),(((R3254-1)*MIN((Skills!Y22*(1+Inputs!$B$34/100)),(1/Q3254))+MIN((Skills!Y22*(1+Inputs!$B$34/100)),MAX(0,Inputs!$B$44-((R3254-1)*(1/Q3254)))))/Inputs!$B$44),IF(Inputs!$B$39="pvp",MIN((Skills!Y22*(1+Inputs!$B$34/100)),15)/15,MIN(1,(Skills!Y22*(1+Inputs!$B$34/100))/(1/Q3254)))))+((C3235=TRUE)*F3235*3)+((C3237=TRUE)*F3237*(1-EXP(-0.75*B3270*5)))+((C3256=TRUE)*(F3256-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3243=TRUE)*F3243*IF(AND(Inputs!$B$39&lt;&gt;"pvp",Inputs!$B$44&gt;0),(((R3243-1)*MIN((Skills!Y11*(1+Inputs!$B$34/100)),(1/Q3243))+MIN((Skills!Y11*(1+Inputs!$B$34/100)),MAX(0,Inputs!$B$44-((R3243-1)*(1/Q3243)))))/Inputs!$B$44),IF(Inputs!$B$39="pvp",MIN((Skills!Y11*(1+Inputs!$B$34/100)),15)/15,MIN(1,(Skills!Y11*(1+Inputs!$B$34/100))/(1/Q3243)))))/100)*(1+((C3248=TRUE)*F3248*IF(AND(Inputs!$B$39&lt;&gt;"pvp",Inputs!$B$44&gt;0),(((R3248-1)*MIN((Skills!Y16*(1+Inputs!$B$34/100)),(1/Q3248))+MIN((Skills!Y16*(1+Inputs!$B$34/100)),MAX(0,Inputs!$B$44-((R3248-1)*(1/Q3248)))))/Inputs!$B$44),IF(Inputs!$B$39="pvp",MIN((Skills!Y16*(1+Inputs!$B$34/100)),15)/15,MIN(1,(Skills!Y16*(1+Inputs!$B$34/100))/(1/Q3248)))))/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3268*I3247)</f>
        <v/>
      </c>
      <c r="L3247">
        <f>K3247*(MIN(Inputs!$B$22+((C3257=TRUE)*(F3257-Calc!F25)),(Inputs!$B$23+((C3262=TRUE)*(F3262-Calc!F30))+IF(ArtifactsInput!$M$15,CHOOSE(ArtifactsInput!$N$15+1,25,30,35,40,45,50)/100*(Inputs!$B$11-Inputs!$B$11),0)))/100+(Inputs!$B$23+((C3262=TRUE)*(F3262-Calc!F30))+IF(ArtifactsInput!$M$15,CHOOSE(ArtifactsInput!$N$15+1,25,30,35,40,45,50)/100*(Inputs!$B$11-Inputs!$B$11),0))/100)/2</f>
        <v/>
      </c>
      <c r="M3247">
        <f>L3247*(1+(Inputs!$B$10+((C3259=TRUE)*(F3259-Calc!F27))+B3273+(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3247">
        <f>L3247*(1-MIN((Inputs!$B$9+((C3258=TRUE)*(F3258-Calc!F26))+B3266+(ArtifactsInput!$M$24-ArtifactsInput!$M$24)*CHOOSE(ArtifactsInput!$N$24+1,10,12,14,16,18,20)+(IF(AND(Inputs!$B$39&lt;&gt;"pvp",Inputs!$B$44=0),1,IF(IF(Inputs!$B$39="pvp",15,Inputs!$B$44)-(B3277)&lt;=0,1,MAX(0,IF(Inputs!$B$39="pvp",15,Inputs!$B$44)-MAX(5,B3277))/(IF(Inputs!$B$39="pvp",15,Inputs!$B$44)-(B3277))))*IF(AND(IF(ArtifactsInput!$M$42,FALSE,TRUE),((Inputs!$B$9+((C3258=TRUE)*(F3258-Calc!F26))+B3266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3247*(MIN((Inputs!$B$9+((C3258=TRUE)*(F3258-Calc!F26))+B3266+(ArtifactsInput!$M$24-ArtifactsInput!$M$24)*CHOOSE(ArtifactsInput!$N$24+1,10,12,14,16,18,20)+(IF(AND(Inputs!$B$39&lt;&gt;"pvp",Inputs!$B$44=0),1,IF(IF(Inputs!$B$39="pvp",15,Inputs!$B$44)-(B3277)&lt;=0,1,MAX(0,IF(Inputs!$B$39="pvp",15,Inputs!$B$44)-MAX(5,B3277))/(IF(Inputs!$B$39="pvp",15,Inputs!$B$44)-(B3277))))*IF(AND(IF(ArtifactsInput!$M$42,FALSE,TRUE),((Inputs!$B$9+((C3258=TRUE)*(F3258-Calc!F26))+B3266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3247">
        <f>(1-Summary!$B$11)*T3247+Summary!$B$11*V3247</f>
        <v/>
      </c>
      <c r="P3247">
        <f>IF(B3278=0,0,O3247/B3278)</f>
        <v/>
      </c>
      <c r="Q3247">
        <f>IFERROR(1/IF(Inputs!$B$39="pvp",15,MAX(0.1,Skills!D15-IF(TRUE=TRUE,Inputs!$B$32,0))),0)</f>
        <v/>
      </c>
      <c r="R3247">
        <f>IF(AND(Inputs!$B$39&lt;&gt;"pvp",Inputs!$B$44&gt;0),IF(MAX(0,Inputs!$B$44-B3277)&lt;=0,0,(INT(MAX(0,Inputs!$B$44-B3277)/IF(Inputs!$B$39="pvp",15,MAX(0.1,Skills!D15-IF(TRUE=TRUE,Inputs!$B$32,0))))+1)),0)</f>
        <v/>
      </c>
      <c r="S3247">
        <f>IFERROR(O3247/N3247,0)</f>
        <v/>
      </c>
      <c r="T3247">
        <f>IF(C3247,(H3247*N3247*IF(AND(Inputs!$B$39&lt;&gt;"pvp",Inputs!$B$44&gt;0),((Skills!G15*((R3247-1)*IF(Skills!H15&gt;0,Skills!I15/Skills!H15,1)+IF(Skills!H15&gt;0,MIN(Skills!I15,MAX(0,MAX(0,Inputs!$B$44-B3277)-((R3247-1)*IF(Inputs!$B$39="pvp",15,MAX(0.1,Skills!D15-IF(TRUE=TRUE,Inputs!$B$32,0))))))/Skills!H15,1)))/Inputs!$B$44),G3247*Q3247))*IF(Inputs!$B$39="pvp",1,1+(Inputs!$B$20+0+Skills!P15+B3267+(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Hunt"),CHOOSE(ArtifactsInput!$N$35+1,15,18,21,24,27,30)*(1-EXP(-(0.2*B3270)*5)),0)+IF(AND(ArtifactsInput!$M$22,Inputs!$B$4&lt;&gt;"Chapter Hunt"),CHOOSE(ArtifactsInput!$N$22+1,10,12,14,16,18,20)*((0*(((0.15*B3270*5))^0/1)+1*(((0.15*B3270*5))^1/1)+2*(((0.15*B3270*5))^2/2)+3*(((0.15*B3270*5))^3/6)+4*(((0.15*B3270*5))^4/24)+5*(((0.15*B3270*5))^5/120))/((((0.15*B3270*5))^0/1)+(((0.15*B3270*5))^1/1)+(((0.15*B3270*5))^2/2)+(((0.15*B3270*5))^3/6)+(((0.15*B3270*5))^4/24)+(((0.15*B3270*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3247*(1-MIN(100,(Inputs!$B$9+((C3258=TRUE)*(F3258-Calc!F26))+B3266+(ArtifactsInput!$M$24-ArtifactsInput!$M$24)*CHOOSE(ArtifactsInput!$N$24+1,10,12,14,16,18,20)+(IF(AND(Inputs!$B$39&lt;&gt;"pvp",Inputs!$B$44=0),1,IF(IF(Inputs!$B$39="pvp",15,Inputs!$B$44)-(B3277)&lt;=0,1,MAX(0,IF(Inputs!$B$39="pvp",15,Inputs!$B$44)-MAX(5,B3277))/(IF(Inputs!$B$39="pvp",15,Inputs!$B$44)-(B3277))))*IF(AND(IF(ArtifactsInput!$M$42,FALSE,TRUE),((Inputs!$B$9+((C3258=TRUE)*(F3258-Calc!F26))+B3266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3247*(MIN(100,(Inputs!$B$9+((C3258=TRUE)*(F3258-Calc!F26))+B3266+(ArtifactsInput!$M$24-ArtifactsInput!$M$24)*CHOOSE(ArtifactsInput!$N$24+1,10,12,14,16,18,20)+(IF(AND(Inputs!$B$39&lt;&gt;"pvp",Inputs!$B$44=0),1,IF(IF(Inputs!$B$39="pvp",15,Inputs!$B$44)-(B3277)&lt;=0,1,MAX(0,IF(Inputs!$B$39="pvp",15,Inputs!$B$44)-MAX(5,B3277))/(IF(Inputs!$B$39="pvp",15,Inputs!$B$44)-(B3277))))*IF(AND(IF(ArtifactsInput!$M$42,FALSE,TRUE),((Inputs!$B$9+((C3258=TRUE)*(F3258-Calc!F26))+B3266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3247*(1-MIN(100,(Inputs!$B$9+((C3258=TRUE)*(F3258-Calc!F26))+B3266+(ArtifactsInput!$M$24-ArtifactsInput!$M$24)*CHOOSE(ArtifactsInput!$N$24+1,10,12,14,16,18,20)+(IF(AND(Inputs!$B$39&lt;&gt;"pvp",Inputs!$B$44=0),1,IF(IF(Inputs!$B$39="pvp",15,Inputs!$B$44)-(B3277)&lt;=0,1,MAX(0,IF(Inputs!$B$39="pvp",15,Inputs!$B$44)-MAX(5,B3277))/(IF(Inputs!$B$39="pvp",15,Inputs!$B$44)-(B3277))))*IF(AND(IF(ArtifactsInput!$M$42,FALSE,TRUE),((Inputs!$B$9+((C3258=TRUE)*(F3258-Calc!F26))+B3266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3247*(MIN(100,(Inputs!$B$9+((C3258=TRUE)*(F3258-Calc!F26))+B3266+(ArtifactsInput!$M$24-ArtifactsInput!$M$24)*CHOOSE(ArtifactsInput!$N$24+1,10,12,14,16,18,20)+(IF(AND(Inputs!$B$39&lt;&gt;"pvp",Inputs!$B$44=0),1,IF(IF(Inputs!$B$39="pvp",15,Inputs!$B$44)-(B3277)&lt;=0,1,MAX(0,IF(Inputs!$B$39="pvp",15,Inputs!$B$44)-MAX(5,B3277))/(IF(Inputs!$B$39="pvp",15,Inputs!$B$44)-(B3277))))*IF(AND(IF(ArtifactsInput!$M$42,FALSE,TRUE),((Inputs!$B$9+((C3258=TRUE)*(F3258-Calc!F26))+B3266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3247">
        <f>IF(C3247,(H3247*N3247*IF(AND(Inputs!$B$39&lt;&gt;"pvp",Inputs!$B$44&gt;0),((Skills!G15*((R3247-1)*IF(Skills!H15&gt;0,Skills!I15/Skills!H15,1)+IF(Skills!H15&gt;0,MIN(Skills!I15,MAX(0,MAX(0,Inputs!$B$44-B3277)-((R3247-1)*IF(Inputs!$B$39="pvp",15,MAX(0.1,Skills!D15-IF(TRUE=TRUE,Inputs!$B$32,0))))))/Skills!H15,1)))/Inputs!$B$44),G3247*Q3247))*IF(Inputs!$B$39="pvp",1,(1+(Inputs!$B$21+Skills!Q15+B3267+(IF(ArtifactsInput!$M$33,CHOOSE(ArtifactsInput!$N$33+1,30,36,42,48,54,60),0))+(IF(AND(ArtifactsInput!$M$35,Inputs!$B$4&lt;&gt;"Chapter Hunt"),CHOOSE(ArtifactsInput!$N$35+1,15,18,21,24,27,30)*(1-EXP(-(0.2*B3270)*5)),0)+IF(AND(ArtifactsInput!$M$22,Inputs!$B$4&lt;&gt;"Chapter Hunt"),CHOOSE(ArtifactsInput!$N$22+1,10,12,14,16,18,20)*((0*(((0.15*B3270*5))^0/1)+1*(((0.15*B3270*5))^1/1)+2*(((0.15*B3270*5))^2/2)+3*(((0.15*B3270*5))^3/6)+4*(((0.15*B3270*5))^4/24)+5*(((0.15*B3270*5))^5/120))/((((0.15*B3270*5))^0/1)+(((0.15*B3270*5))^1/1)+(((0.15*B3270*5))^2/2)+(((0.15*B3270*5))^3/6)+(((0.15*B3270*5))^4/24)+(((0.15*B3270*5))^5/120))),0)))/100)*(MIN(MIN(5,0.5*IF(Inputs!$B$3&gt;=75,0.75,0.5)*B3270*(1/Q3236))*Skills!V15,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3248">
      <c r="A3248">
        <f>Skills!A16</f>
        <v/>
      </c>
      <c r="B3248">
        <f>Skills!B16</f>
        <v/>
      </c>
      <c r="C3248">
        <f>Inputs!$B$3&gt;=110</f>
        <v/>
      </c>
      <c r="D3248">
        <f>IF(Skills!C16=1,60+Inputs!$B$25+Inputs!$B$29,IF(Skills!C16=2,90+Inputs!$B$26+Inputs!$B$29,IF(Skills!C16=3,120+Inputs!$B$27+Inputs!$B$29,MAX(0,(Inputs!$B$3-100)*3)+Inputs!$B$28+Inputs!$B$29)))</f>
        <v/>
      </c>
      <c r="E3248">
        <f>INDEX(FactorTable!$B$2:$Y$301, MATCH(ROUND(MIN(300,MAX(1,D3248)),0), FactorTable!$A$2:$A$301,0), Skills!M16+1)</f>
        <v/>
      </c>
      <c r="F3248">
        <f>IF(Skills!N16=TRUE,(Skills!L16/10)*(E3248/1000),Skills!L16/10)+Skills!O16</f>
        <v/>
      </c>
      <c r="G3248">
        <f>Skills!G16*IF(Skills!H16&gt;0,IF(Inputs!$B$39="pvp",MIN(Skills!I16,15),Skills!I16)/Skills!H16,1)</f>
        <v/>
      </c>
      <c r="H3248">
        <f>1-(1-Skills!J16/100)^Skills!K16</f>
        <v/>
      </c>
      <c r="I3248" t="inlineStr">
        <is>
          <t>1</t>
        </is>
      </c>
      <c r="J3248" t="inlineStr"/>
      <c r="K3248" t="inlineStr"/>
      <c r="L3248" t="inlineStr"/>
      <c r="M3248" t="inlineStr"/>
      <c r="N3248" t="inlineStr"/>
      <c r="O3248">
        <f>(1-Summary!$B$11)*T3248+Summary!$B$11*V3248</f>
        <v/>
      </c>
      <c r="P3248">
        <f>IF(B3278=0,0,O3248/B3278)</f>
        <v/>
      </c>
      <c r="Q3248">
        <f>IFERROR(1/IF(Inputs!$B$39="pvp",15,MAX(0.1,Skills!D16-IF(TRUE=TRUE,Inputs!$B$32,0))),0)</f>
        <v/>
      </c>
      <c r="R3248">
        <f>IF(AND(Inputs!$B$39&lt;&gt;"pvp",Inputs!$B$44&gt;0),IF(Inputs!$B$44&lt;=0,0,(INT(Inputs!$B$44/IF(Inputs!$B$39="pvp",15,MAX(0.1,Skills!D16-IF(TRUE=TRUE,Inputs!$B$32,0))))+1)),0)</f>
        <v/>
      </c>
      <c r="S3248">
        <f>IFERROR(O3248/N3248,0)</f>
        <v/>
      </c>
      <c r="T3248" t="n">
        <v>0</v>
      </c>
      <c r="V3248" t="n">
        <v>0</v>
      </c>
    </row>
    <row r="3249">
      <c r="A3249">
        <f>Skills!A17</f>
        <v/>
      </c>
      <c r="B3249">
        <f>Skills!B17</f>
        <v/>
      </c>
      <c r="C3249">
        <f>Inputs!$B$3&gt;=115</f>
        <v/>
      </c>
      <c r="D3249">
        <f>IF(Skills!C17=1,60+Inputs!$B$25+Inputs!$B$29,IF(Skills!C17=2,90+Inputs!$B$26+Inputs!$B$29,IF(Skills!C17=3,120+Inputs!$B$27+Inputs!$B$29,MAX(0,(Inputs!$B$3-100)*3)+Inputs!$B$28+Inputs!$B$29)))</f>
        <v/>
      </c>
      <c r="E3249">
        <f>INDEX(FactorTable!$B$2:$Y$301, MATCH(ROUND(MIN(300,MAX(1,D3249)),0), FactorTable!$A$2:$A$301,0), Skills!M17+1)</f>
        <v/>
      </c>
      <c r="F3249">
        <f>IF(Skills!N17=TRUE,(Skills!L17/10)*(E3249/1000),Skills!L17/10)+Skills!O17</f>
        <v/>
      </c>
      <c r="G3249">
        <f>Skills!G17*IF(Skills!H17&gt;0,IF(Inputs!$B$39="pvp",MIN(Skills!I17,15),Skills!I17)/Skills!H17,1)</f>
        <v/>
      </c>
      <c r="H3249">
        <f>1-(1-Skills!J17/100)^Skills!K17</f>
        <v/>
      </c>
      <c r="I3249" t="inlineStr">
        <is>
          <t>1</t>
        </is>
      </c>
      <c r="J3249">
        <f>((Inputs!$B$6*(1+Inputs!$B$7/100))+(((Inputs!$B$12*(1+Inputs!$B$13/100))-(Inputs!$B$12*(1+Inputs!$B$13/100)))+0.25*(Inputs!$B$14-Inputs!$B$14))*(1+Inputs!$B$7/100))*(F3249/100)</f>
        <v/>
      </c>
      <c r="K3249">
        <f>J3249*(1+((Inputs!$B$12*(1+Inputs!$B$13/100))*0.01+Inputs!$B$14*0.0025)/100)*(1+Inputs!$B$15/100)*(1+Inputs!$B$16/100)*(5000/(6000+Inputs!$B$43*(1-(100*(1-(1-Inputs!$B$19/100)*(1-CHOOSE(ArtifactsInput!$N$40+1,5,6,7,8,9,10)/100)^(ArtifactsInput!$M$40-ArtifactsInput!$M$40)))/100)))*(1+(Inputs!$B$24+((C3263=TRUE)*(F3263-Calc!F31))+((C3250=TRUE)*(F3250-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17="CRUEL_STAB",Inputs!$B$17+((C3260=TRUE)*(F3260-Calc!F28))+((IF(AND(Inputs!$B$39&lt;&gt;"pvp",Inputs!$B$44=0),1,IF(IF(Inputs!$B$39="pvp",15,Inputs!$B$44)-(B3277)&lt;=0,1,MAX(0,IF(Inputs!$B$39="pvp",15,Inputs!$B$44)-MAX(5,B3277))/(IF(Inputs!$B$39="pvp",15,Inputs!$B$44)-(B3277))))*(IF(AND(IF(ArtifactsInput!$M$42,FALSE,TRUE),((Inputs!$B$9+((C3258=TRUE)*(F3258-Calc!F26))+B3266+(ArtifactsInput!$M$24-ArtifactsInput!$M$24)*CHOOSE(ArtifactsInput!$N$24+1,10,12,14,16,18,20)+IF(ArtifactsInput!$M$10,CHOOSE(ArtifactsInput!$N$10+1,15,18,21,24,27,30)*(IF(Inputs!$B$39="pvp",MIN(15,15)/15,IF(AND(Inputs!$B$39&lt;&gt;"pvp",Inputs!$B$44&gt;0),MIN(15,Inputs!$B$44)/(Inputs!$B$44),0))),0)))&gt;=100),MIN(100,((Inputs!$B$9+((C3258=TRUE)*(F3258-Calc!F26))+B3266+(ArtifactsInput!$M$24-ArtifactsInput!$M$24)*CHOOSE(ArtifactsInput!$N$24+1,10,12,14,16,18,20)+IF(ArtifactsInput!$M$10,CHOOSE(ArtifactsInput!$N$10+1,15,18,21,24,27,30)*(IF(Inputs!$B$39="pvp",MIN(15,15)/15,IF(AND(Inputs!$B$39&lt;&gt;"pvp",Inputs!$B$44&gt;0),MIN(15,Inputs!$B$44)/(Inputs!$B$44),0))),0)))-100),0))*CHOOSE(ArtifactsInput!$N$42+1,0.6,0.72,0.84,0.96,1.08,1.2))),Inputs!$B$18+((C3261=TRUE)*(F3261-Calc!F29))+(IF(AND(Inputs!$B$39&lt;&gt;"pvp",Inputs!$B$44=0),1,IF(IF(Inputs!$B$39="pvp",15,Inputs!$B$44)-(B3277)&lt;=0,1,MAX(0,IF(Inputs!$B$39="pvp",15,Inputs!$B$44)-MAX(5,B3277))/(IF(Inputs!$B$39="pvp",15,Inputs!$B$44)-(B3277))))*IF(AND(IF(ArtifactsInput!$M$42,FALSE,TRUE),((Inputs!$B$9+((C3258=TRUE)*(F3258-Calc!F26))+B3266+(ArtifactsInput!$M$24-ArtifactsInput!$M$24)*CHOOSE(ArtifactsInput!$N$24+1,10,12,14,16,18,20)+IF(ArtifactsInput!$M$10,CHOOSE(ArtifactsInput!$N$10+1,15,18,21,24,27,30)*(IF(Inputs!$B$39="pvp",MIN(15,15)/15,IF(AND(Inputs!$B$39&lt;&gt;"pvp",Inputs!$B$44&gt;0),MIN(15,Inputs!$B$44)/(Inputs!$B$44),0))),0)))&gt;=100),CHOOSE(ArtifactsInput!$N$42+1,40,48,56,64,72,80),0))))/100)*(((1+(((C3254=TRUE)*F3254*IF(AND(Inputs!$B$39&lt;&gt;"pvp",Inputs!$B$44&gt;0),(((R3254-1)*MIN((Skills!Y22*(1+Inputs!$B$34/100)),(1/Q3254))+MIN((Skills!Y22*(1+Inputs!$B$34/100)),MAX(0,Inputs!$B$44-((R3254-1)*(1/Q3254)))))/Inputs!$B$44),IF(Inputs!$B$39="pvp",MIN((Skills!Y22*(1+Inputs!$B$34/100)),15)/15,MIN(1,(Skills!Y22*(1+Inputs!$B$34/100))/(1/Q3254)))))+((C3235=TRUE)*F3235*3)+((C3237=TRUE)*F3237*(1-EXP(-0.75*B3270*5)))+((C3256=TRUE)*(F3256-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3243=TRUE)*F3243*IF(AND(Inputs!$B$39&lt;&gt;"pvp",Inputs!$B$44&gt;0),(((R3243-1)*MIN((Skills!Y11*(1+Inputs!$B$34/100)),(1/Q3243))+MIN((Skills!Y11*(1+Inputs!$B$34/100)),MAX(0,Inputs!$B$44-((R3243-1)*(1/Q3243)))))/Inputs!$B$44),IF(Inputs!$B$39="pvp",MIN((Skills!Y11*(1+Inputs!$B$34/100)),15)/15,MIN(1,(Skills!Y11*(1+Inputs!$B$34/100))/(1/Q3243)))))/100)*(1+((C3248=TRUE)*F3248*IF(AND(Inputs!$B$39&lt;&gt;"pvp",Inputs!$B$44&gt;0),(((R3248-1)*MIN((Skills!Y16*(1+Inputs!$B$34/100)),(1/Q3248))+MIN((Skills!Y16*(1+Inputs!$B$34/100)),MAX(0,Inputs!$B$44-((R3248-1)*(1/Q3248)))))/Inputs!$B$44),IF(Inputs!$B$39="pvp",MIN((Skills!Y16*(1+Inputs!$B$34/100)),15)/15,MIN(1,(Skills!Y16*(1+Inputs!$B$34/100))/(1/Q3248)))))/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3268*I3249)</f>
        <v/>
      </c>
      <c r="L3249">
        <f>K3249*(MIN(Inputs!$B$22+((C3257=TRUE)*(F3257-Calc!F25)),(Inputs!$B$23+((C3262=TRUE)*(F3262-Calc!F30))+IF(ArtifactsInput!$M$15,CHOOSE(ArtifactsInput!$N$15+1,25,30,35,40,45,50)/100*(Inputs!$B$11-Inputs!$B$11),0)))/100+(Inputs!$B$23+((C3262=TRUE)*(F3262-Calc!F30))+IF(ArtifactsInput!$M$15,CHOOSE(ArtifactsInput!$N$15+1,25,30,35,40,45,50)/100*(Inputs!$B$11-Inputs!$B$11),0))/100)/2</f>
        <v/>
      </c>
      <c r="M3249">
        <f>L3249*(1+(Inputs!$B$10+((C3259=TRUE)*(F3259-Calc!F27))+B3273+(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3249">
        <f>L3249*(1-MIN((Inputs!$B$9+((C3258=TRUE)*(F3258-Calc!F26))+B3266+(ArtifactsInput!$M$24-ArtifactsInput!$M$24)*CHOOSE(ArtifactsInput!$N$24+1,10,12,14,16,18,20)+(IF(AND(Inputs!$B$39&lt;&gt;"pvp",Inputs!$B$44=0),1,IF(IF(Inputs!$B$39="pvp",15,Inputs!$B$44)-(B3277)&lt;=0,1,MAX(0,IF(Inputs!$B$39="pvp",15,Inputs!$B$44)-MAX(5,B3277))/(IF(Inputs!$B$39="pvp",15,Inputs!$B$44)-(B3277))))*IF(AND(IF(ArtifactsInput!$M$42,FALSE,TRUE),((Inputs!$B$9+((C3258=TRUE)*(F3258-Calc!F26))+B3266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3249*(MIN((Inputs!$B$9+((C3258=TRUE)*(F3258-Calc!F26))+B3266+(ArtifactsInput!$M$24-ArtifactsInput!$M$24)*CHOOSE(ArtifactsInput!$N$24+1,10,12,14,16,18,20)+(IF(AND(Inputs!$B$39&lt;&gt;"pvp",Inputs!$B$44=0),1,IF(IF(Inputs!$B$39="pvp",15,Inputs!$B$44)-(B3277)&lt;=0,1,MAX(0,IF(Inputs!$B$39="pvp",15,Inputs!$B$44)-MAX(5,B3277))/(IF(Inputs!$B$39="pvp",15,Inputs!$B$44)-(B3277))))*IF(AND(IF(ArtifactsInput!$M$42,FALSE,TRUE),((Inputs!$B$9+((C3258=TRUE)*(F3258-Calc!F26))+B3266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3249">
        <f>(1-Summary!$B$11)*T3249+Summary!$B$11*V3249</f>
        <v/>
      </c>
      <c r="P3249">
        <f>IF(B3278=0,0,O3249/B3278)</f>
        <v/>
      </c>
      <c r="Q3249" t="n">
        <v>0</v>
      </c>
      <c r="R3249" t="n">
        <v>0</v>
      </c>
      <c r="S3249">
        <f>IFERROR(O3249/N3249,0)</f>
        <v/>
      </c>
      <c r="T3249">
        <f>IF(C3249,(Inputs!$B$38*0.2*N3249)*IF(Inputs!$B$39="pvp",1,1+(Inputs!$B$20+0+Skills!P17+B3267+(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Hunt"),CHOOSE(ArtifactsInput!$N$35+1,15,18,21,24,27,30)*(1-EXP(-(0.2*B3270)*5)),0)+IF(AND(ArtifactsInput!$M$22,Inputs!$B$4&lt;&gt;"Chapter Hunt"),CHOOSE(ArtifactsInput!$N$22+1,10,12,14,16,18,20)*((0*(((0.15*B3270*5))^0/1)+1*(((0.15*B3270*5))^1/1)+2*(((0.15*B3270*5))^2/2)+3*(((0.15*B3270*5))^3/6)+4*(((0.15*B3270*5))^4/24)+5*(((0.15*B3270*5))^5/120))/((((0.15*B3270*5))^0/1)+(((0.15*B3270*5))^1/1)+(((0.15*B3270*5))^2/2)+(((0.15*B3270*5))^3/6)+(((0.15*B3270*5))^4/24)+(((0.15*B3270*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3249*(1-MIN(100,(Inputs!$B$9+((C3258=TRUE)*(F3258-Calc!F26))+B3266+(ArtifactsInput!$M$24-ArtifactsInput!$M$24)*CHOOSE(ArtifactsInput!$N$24+1,10,12,14,16,18,20)+(IF(AND(Inputs!$B$39&lt;&gt;"pvp",Inputs!$B$44=0),1,IF(IF(Inputs!$B$39="pvp",15,Inputs!$B$44)-(B3277)&lt;=0,1,MAX(0,IF(Inputs!$B$39="pvp",15,Inputs!$B$44)-MAX(5,B3277))/(IF(Inputs!$B$39="pvp",15,Inputs!$B$44)-(B3277))))*IF(AND(IF(ArtifactsInput!$M$42,FALSE,TRUE),((Inputs!$B$9+((C3258=TRUE)*(F3258-Calc!F26))+B3266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3249*(MIN(100,(Inputs!$B$9+((C3258=TRUE)*(F3258-Calc!F26))+B3266+(ArtifactsInput!$M$24-ArtifactsInput!$M$24)*CHOOSE(ArtifactsInput!$N$24+1,10,12,14,16,18,20)+(IF(AND(Inputs!$B$39&lt;&gt;"pvp",Inputs!$B$44=0),1,IF(IF(Inputs!$B$39="pvp",15,Inputs!$B$44)-(B3277)&lt;=0,1,MAX(0,IF(Inputs!$B$39="pvp",15,Inputs!$B$44)-MAX(5,B3277))/(IF(Inputs!$B$39="pvp",15,Inputs!$B$44)-(B3277))))*IF(AND(IF(ArtifactsInput!$M$42,FALSE,TRUE),((Inputs!$B$9+((C3258=TRUE)*(F3258-Calc!F26))+B3266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3249*(1-MIN(100,(Inputs!$B$9+((C3258=TRUE)*(F3258-Calc!F26))+B3266+(ArtifactsInput!$M$24-ArtifactsInput!$M$24)*CHOOSE(ArtifactsInput!$N$24+1,10,12,14,16,18,20)+(IF(AND(Inputs!$B$39&lt;&gt;"pvp",Inputs!$B$44=0),1,IF(IF(Inputs!$B$39="pvp",15,Inputs!$B$44)-(B3277)&lt;=0,1,MAX(0,IF(Inputs!$B$39="pvp",15,Inputs!$B$44)-MAX(5,B3277))/(IF(Inputs!$B$39="pvp",15,Inputs!$B$44)-(B3277))))*IF(AND(IF(ArtifactsInput!$M$42,FALSE,TRUE),((Inputs!$B$9+((C3258=TRUE)*(F3258-Calc!F26))+B3266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3249*(MIN(100,(Inputs!$B$9+((C3258=TRUE)*(F3258-Calc!F26))+B3266+(ArtifactsInput!$M$24-ArtifactsInput!$M$24)*CHOOSE(ArtifactsInput!$N$24+1,10,12,14,16,18,20)+(IF(AND(Inputs!$B$39&lt;&gt;"pvp",Inputs!$B$44=0),1,IF(IF(Inputs!$B$39="pvp",15,Inputs!$B$44)-(B3277)&lt;=0,1,MAX(0,IF(Inputs!$B$39="pvp",15,Inputs!$B$44)-MAX(5,B3277))/(IF(Inputs!$B$39="pvp",15,Inputs!$B$44)-(B3277))))*IF(AND(IF(ArtifactsInput!$M$42,FALSE,TRUE),((Inputs!$B$9+((C3258=TRUE)*(F3258-Calc!F26))+B3266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3249">
        <f>IF(C3249,(Inputs!$B$38*0.2*N3249)*IF(Inputs!$B$39="pvp",1,(1+(Inputs!$B$21+Skills!Q17+B3267+(IF(ArtifactsInput!$M$33,CHOOSE(ArtifactsInput!$N$33+1,30,36,42,48,54,60),0))+(IF(AND(ArtifactsInput!$M$35,Inputs!$B$4&lt;&gt;"Chapter Hunt"),CHOOSE(ArtifactsInput!$N$35+1,15,18,21,24,27,30)*(1-EXP(-(0.2*B3270)*5)),0)+IF(AND(ArtifactsInput!$M$22,Inputs!$B$4&lt;&gt;"Chapter Hunt"),CHOOSE(ArtifactsInput!$N$22+1,10,12,14,16,18,20)*((0*(((0.15*B3270*5))^0/1)+1*(((0.15*B3270*5))^1/1)+2*(((0.15*B3270*5))^2/2)+3*(((0.15*B3270*5))^3/6)+4*(((0.15*B3270*5))^4/24)+5*(((0.15*B3270*5))^5/120))/((((0.15*B3270*5))^0/1)+(((0.15*B3270*5))^1/1)+(((0.15*B3270*5))^2/2)+(((0.15*B3270*5))^3/6)+(((0.15*B3270*5))^4/24)+(((0.15*B3270*5))^5/120))),0)))/100)*(MIN(Skills!W17,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3250">
      <c r="A3250">
        <f>Skills!A18</f>
        <v/>
      </c>
      <c r="B3250">
        <f>Skills!B18</f>
        <v/>
      </c>
      <c r="C3250">
        <f>Inputs!$B$3&gt;=115</f>
        <v/>
      </c>
      <c r="D3250">
        <f>IF(Skills!C18=1,60+Inputs!$B$25+Inputs!$B$29,IF(Skills!C18=2,90+Inputs!$B$26+Inputs!$B$29,IF(Skills!C18=3,120+Inputs!$B$27+Inputs!$B$29,MAX(0,(Inputs!$B$3-100)*3)+Inputs!$B$28+Inputs!$B$29)))</f>
        <v/>
      </c>
      <c r="E3250">
        <f>INDEX(FactorTable!$B$2:$Y$301, MATCH(ROUND(MIN(300,MAX(1,D3250)),0), FactorTable!$A$2:$A$301,0), Skills!M18+1)</f>
        <v/>
      </c>
      <c r="F3250">
        <f>IF(Skills!N18=TRUE,(Skills!L18/10)*(E3250/1000),Skills!L18/10)+Skills!O18</f>
        <v/>
      </c>
      <c r="G3250">
        <f>Skills!G18*IF(Skills!H18&gt;0,IF(Inputs!$B$39="pvp",MIN(Skills!I18,15),Skills!I18)/Skills!H18,1)</f>
        <v/>
      </c>
      <c r="H3250">
        <f>1-(1-Skills!J18/100)^Skills!K18</f>
        <v/>
      </c>
      <c r="I3250" t="inlineStr">
        <is>
          <t>1</t>
        </is>
      </c>
      <c r="J3250" t="inlineStr"/>
      <c r="K3250" t="inlineStr"/>
      <c r="L3250" t="inlineStr"/>
      <c r="M3250" t="inlineStr"/>
      <c r="N3250" t="inlineStr"/>
      <c r="O3250">
        <f>(1-Summary!$B$11)*T3250+Summary!$B$11*V3250</f>
        <v/>
      </c>
      <c r="P3250">
        <f>IF(B3278=0,0,O3250/B3278)</f>
        <v/>
      </c>
      <c r="Q3250" t="n">
        <v>0</v>
      </c>
      <c r="R3250" t="n">
        <v>0</v>
      </c>
      <c r="S3250">
        <f>IFERROR(O3250/N3250,0)</f>
        <v/>
      </c>
      <c r="T3250" t="n">
        <v>0</v>
      </c>
      <c r="V3250" t="n">
        <v>0</v>
      </c>
    </row>
    <row r="3251">
      <c r="A3251">
        <f>Skills!A19</f>
        <v/>
      </c>
      <c r="B3251">
        <f>Skills!B19</f>
        <v/>
      </c>
      <c r="C3251">
        <f>Inputs!$B$3&gt;=100</f>
        <v/>
      </c>
      <c r="D3251">
        <f>IF(Skills!C19=1,60+Inputs!$B$25+Inputs!$B$29,IF(Skills!C19=2,90+Inputs!$B$26+Inputs!$B$29,IF(Skills!C19=3,120+Inputs!$B$27+Inputs!$B$29,MAX(0,(Inputs!$B$3-100)*3)+Inputs!$B$28+Inputs!$B$29)))</f>
        <v/>
      </c>
      <c r="E3251">
        <f>INDEX(FactorTable!$B$2:$Y$301, MATCH(ROUND(MIN(300,MAX(1,D3251)),0), FactorTable!$A$2:$A$301,0), Skills!M19+1)</f>
        <v/>
      </c>
      <c r="F3251">
        <f>IF(Skills!N19=TRUE,(Skills!L19/10)*(E3251/1000),Skills!L19/10)+Skills!O19</f>
        <v/>
      </c>
      <c r="G3251">
        <f>Skills!G19*IF(Skills!H19&gt;0,IF(Inputs!$B$39="pvp",MIN(Skills!I19,15),Skills!I19)/Skills!H19,1)</f>
        <v/>
      </c>
      <c r="H3251">
        <f>1-(1-Skills!J19/100)^Skills!K19</f>
        <v/>
      </c>
      <c r="I3251" t="inlineStr">
        <is>
          <t>1</t>
        </is>
      </c>
      <c r="J3251" t="inlineStr"/>
      <c r="K3251" t="inlineStr"/>
      <c r="L3251" t="inlineStr"/>
      <c r="M3251" t="inlineStr"/>
      <c r="N3251" t="inlineStr"/>
      <c r="O3251">
        <f>(1-Summary!$B$11)*T3251+Summary!$B$11*V3251</f>
        <v/>
      </c>
      <c r="P3251">
        <f>IF(B3278=0,0,O3251/B3278)</f>
        <v/>
      </c>
      <c r="Q3251" t="n">
        <v>0</v>
      </c>
      <c r="R3251" t="n">
        <v>0</v>
      </c>
      <c r="S3251">
        <f>IFERROR(O3251/N3251,0)</f>
        <v/>
      </c>
      <c r="T3251" t="n">
        <v>0</v>
      </c>
      <c r="V3251" t="n">
        <v>0</v>
      </c>
    </row>
    <row r="3252">
      <c r="A3252">
        <f>Skills!A20</f>
        <v/>
      </c>
      <c r="B3252">
        <f>Skills!B20</f>
        <v/>
      </c>
      <c r="C3252">
        <f>TRUE</f>
        <v/>
      </c>
      <c r="D3252">
        <f>IF(Skills!C20=1,60+Inputs!$B$25+Inputs!$B$29,IF(Skills!C20=2,90+Inputs!$B$26+Inputs!$B$29,IF(Skills!C20=3,120+Inputs!$B$27+Inputs!$B$29,MAX(0,(Inputs!$B$3-100)*3)+Inputs!$B$28+Inputs!$B$29)))</f>
        <v/>
      </c>
      <c r="E3252">
        <f>INDEX(FactorTable!$B$2:$Y$301, MATCH(ROUND(MIN(300,MAX(1,D3252)),0), FactorTable!$A$2:$A$301,0), Skills!M20+1)</f>
        <v/>
      </c>
      <c r="F3252">
        <f>IF(Skills!N20=TRUE,(Skills!L20/10)*(E3252/1000),Skills!L20/10)+Skills!O20</f>
        <v/>
      </c>
      <c r="G3252">
        <f>Skills!G20*IF(Skills!H20&gt;0,IF(Inputs!$B$39="pvp",MIN(Skills!I20,15),Skills!I20)/Skills!H20,1)</f>
        <v/>
      </c>
      <c r="H3252">
        <f>1-(1-Skills!J20/100)^Skills!K20</f>
        <v/>
      </c>
      <c r="I3252" t="inlineStr">
        <is>
          <t>1</t>
        </is>
      </c>
      <c r="J3252" t="inlineStr"/>
      <c r="K3252" t="inlineStr"/>
      <c r="L3252" t="inlineStr"/>
      <c r="M3252" t="inlineStr"/>
      <c r="N3252" t="inlineStr"/>
      <c r="O3252">
        <f>(1-Summary!$B$11)*T3252+Summary!$B$11*V3252</f>
        <v/>
      </c>
      <c r="P3252">
        <f>IF(B3278=0,0,O3252/B3278)</f>
        <v/>
      </c>
      <c r="Q3252">
        <f>IFERROR(1/IF(Inputs!$B$39="pvp",15,MAX(0.1,Skills!D20-IF(TRUE=TRUE,Inputs!$B$32,0))),0)</f>
        <v/>
      </c>
      <c r="R3252">
        <f>IF(AND(Inputs!$B$39&lt;&gt;"pvp",Inputs!$B$44&gt;0),IF(Inputs!$B$44&lt;=0,0,(INT(Inputs!$B$44/IF(Inputs!$B$39="pvp",15,MAX(0.1,Skills!D20-IF(TRUE=TRUE,Inputs!$B$32,0))))+1)),0)</f>
        <v/>
      </c>
      <c r="S3252">
        <f>IFERROR(O3252/N3252,0)</f>
        <v/>
      </c>
      <c r="T3252" t="n">
        <v>0</v>
      </c>
      <c r="V3252" t="n">
        <v>0</v>
      </c>
    </row>
    <row r="3253">
      <c r="A3253">
        <f>Skills!A21</f>
        <v/>
      </c>
      <c r="B3253">
        <f>Skills!B21</f>
        <v/>
      </c>
      <c r="C3253">
        <f>Inputs!$B$3&gt;=15</f>
        <v/>
      </c>
      <c r="D3253">
        <f>IF(Skills!C21=1,60+Inputs!$B$25+Inputs!$B$29,IF(Skills!C21=2,90+Inputs!$B$26+Inputs!$B$29,IF(Skills!C21=3,120+Inputs!$B$27+Inputs!$B$29,MAX(0,(Inputs!$B$3-100)*3)+Inputs!$B$28+Inputs!$B$29)))</f>
        <v/>
      </c>
      <c r="E3253">
        <f>INDEX(FactorTable!$B$2:$Y$301, MATCH(ROUND(MIN(300,MAX(1,D3253)),0), FactorTable!$A$2:$A$301,0), Skills!M21+1)</f>
        <v/>
      </c>
      <c r="F3253">
        <f>IF(Skills!N21=TRUE,(Skills!L21/10)*(E3253/1000),Skills!L21/10)+Skills!O21</f>
        <v/>
      </c>
      <c r="G3253">
        <f>Skills!G21*IF(Skills!H21&gt;0,IF(Inputs!$B$39="pvp",MIN(Skills!I21,15),Skills!I21)/Skills!H21,1)</f>
        <v/>
      </c>
      <c r="H3253">
        <f>1-(1-Skills!J21/100)^Skills!K21</f>
        <v/>
      </c>
      <c r="I3253" t="inlineStr">
        <is>
          <t>1</t>
        </is>
      </c>
      <c r="J3253" t="inlineStr"/>
      <c r="K3253" t="inlineStr"/>
      <c r="L3253" t="inlineStr"/>
      <c r="M3253" t="inlineStr"/>
      <c r="N3253" t="inlineStr"/>
      <c r="O3253">
        <f>(1-Summary!$B$11)*T3253+Summary!$B$11*V3253</f>
        <v/>
      </c>
      <c r="P3253">
        <f>IF(B3278=0,0,O3253/B3278)</f>
        <v/>
      </c>
      <c r="Q3253">
        <f>IFERROR(1/IF(Inputs!$B$39="pvp",15,MAX(0.1,Skills!D21-IF(TRUE=TRUE,Inputs!$B$32,0))),0)</f>
        <v/>
      </c>
      <c r="R3253">
        <f>IF(AND(Inputs!$B$39&lt;&gt;"pvp",Inputs!$B$44&gt;0),IF(Inputs!$B$44&lt;=0,0,(INT(Inputs!$B$44/IF(Inputs!$B$39="pvp",15,MAX(0.1,Skills!D21-IF(TRUE=TRUE,Inputs!$B$32,0))))+1)),0)</f>
        <v/>
      </c>
      <c r="S3253">
        <f>IFERROR(O3253/N3253,0)</f>
        <v/>
      </c>
      <c r="T3253" t="n">
        <v>0</v>
      </c>
      <c r="V3253" t="n">
        <v>0</v>
      </c>
    </row>
    <row r="3254">
      <c r="A3254">
        <f>Skills!A22</f>
        <v/>
      </c>
      <c r="B3254">
        <f>Skills!B22</f>
        <v/>
      </c>
      <c r="C3254">
        <f>Inputs!$B$3&gt;=15</f>
        <v/>
      </c>
      <c r="D3254">
        <f>IF(Skills!C22=1,60+Inputs!$B$25+Inputs!$B$29,IF(Skills!C22=2,90+Inputs!$B$26+Inputs!$B$29,IF(Skills!C22=3,120+Inputs!$B$27+Inputs!$B$29,MAX(0,(Inputs!$B$3-100)*3)+Inputs!$B$28+Inputs!$B$29)))</f>
        <v/>
      </c>
      <c r="E3254">
        <f>INDEX(FactorTable!$B$2:$Y$301, MATCH(ROUND(MIN(300,MAX(1,D3254)),0), FactorTable!$A$2:$A$301,0), Skills!M22+1)</f>
        <v/>
      </c>
      <c r="F3254">
        <f>IF(Skills!N22=TRUE,(Skills!L22/10)*(E3254/1000),Skills!L22/10)+Skills!O22</f>
        <v/>
      </c>
      <c r="G3254">
        <f>Skills!G22*IF(Skills!H22&gt;0,IF(Inputs!$B$39="pvp",MIN(Skills!I22,15),Skills!I22)/Skills!H22,1)</f>
        <v/>
      </c>
      <c r="H3254">
        <f>1-(1-Skills!J22/100)^Skills!K22</f>
        <v/>
      </c>
      <c r="I3254" t="inlineStr">
        <is>
          <t>1</t>
        </is>
      </c>
      <c r="J3254" t="inlineStr"/>
      <c r="K3254" t="inlineStr"/>
      <c r="L3254" t="inlineStr"/>
      <c r="M3254" t="inlineStr"/>
      <c r="N3254" t="inlineStr"/>
      <c r="O3254">
        <f>(1-Summary!$B$11)*T3254+Summary!$B$11*V3254</f>
        <v/>
      </c>
      <c r="P3254">
        <f>IF(B3278=0,0,O3254/B3278)</f>
        <v/>
      </c>
      <c r="Q3254">
        <f>IFERROR(1/IF(Inputs!$B$39="pvp",15,MAX(0.1,Skills!D22-IF(TRUE=TRUE,Inputs!$B$32,0))),0)</f>
        <v/>
      </c>
      <c r="R3254">
        <f>IF(AND(Inputs!$B$39&lt;&gt;"pvp",Inputs!$B$44&gt;0),IF(Inputs!$B$44&lt;=0,0,(INT(Inputs!$B$44/IF(Inputs!$B$39="pvp",15,MAX(0.1,Skills!D22-IF(TRUE=TRUE,Inputs!$B$32,0))))+1)),0)</f>
        <v/>
      </c>
      <c r="S3254">
        <f>IFERROR(O3254/N3254,0)</f>
        <v/>
      </c>
      <c r="T3254" t="n">
        <v>0</v>
      </c>
      <c r="V3254" t="n">
        <v>0</v>
      </c>
    </row>
    <row r="3255">
      <c r="A3255">
        <f>Skills!A23</f>
        <v/>
      </c>
      <c r="B3255">
        <f>Skills!B23</f>
        <v/>
      </c>
      <c r="C3255">
        <f>Inputs!$B$3&gt;=33</f>
        <v/>
      </c>
      <c r="D3255">
        <f>IF(Skills!C23=1,60+Inputs!$B$25+Inputs!$B$29,IF(Skills!C23=2,90+Inputs!$B$26+Inputs!$B$29,IF(Skills!C23=3,120+Inputs!$B$27+Inputs!$B$29,MAX(0,(Inputs!$B$3-100)*3)+Inputs!$B$28+Inputs!$B$29)))</f>
        <v/>
      </c>
      <c r="E3255">
        <f>INDEX(FactorTable!$B$2:$Y$301, MATCH(ROUND(MIN(300,MAX(1,D3255)),0), FactorTable!$A$2:$A$301,0), Skills!M23+1)</f>
        <v/>
      </c>
      <c r="F3255">
        <f>IF(Skills!N23=TRUE,(Skills!L23/10)*(E3255/1000),Skills!L23/10)+Skills!O23</f>
        <v/>
      </c>
      <c r="G3255">
        <f>Skills!G23*IF(Skills!H23&gt;0,IF(Inputs!$B$39="pvp",MIN(Skills!I23,15),Skills!I23)/Skills!H23,1)</f>
        <v/>
      </c>
      <c r="H3255">
        <f>1-(1-Skills!J23/100)^Skills!K23</f>
        <v/>
      </c>
      <c r="I3255" t="inlineStr">
        <is>
          <t>1</t>
        </is>
      </c>
      <c r="J3255" t="inlineStr"/>
      <c r="K3255" t="inlineStr"/>
      <c r="L3255" t="inlineStr"/>
      <c r="M3255" t="inlineStr"/>
      <c r="N3255" t="inlineStr"/>
      <c r="O3255">
        <f>(1-Summary!$B$11)*T3255+Summary!$B$11*V3255</f>
        <v/>
      </c>
      <c r="P3255">
        <f>IF(B3278=0,0,O3255/B3278)</f>
        <v/>
      </c>
      <c r="Q3255" t="n">
        <v>0</v>
      </c>
      <c r="R3255" t="n">
        <v>0</v>
      </c>
      <c r="S3255">
        <f>IFERROR(O3255/N3255,0)</f>
        <v/>
      </c>
      <c r="T3255" t="n">
        <v>0</v>
      </c>
      <c r="V3255" t="n">
        <v>0</v>
      </c>
    </row>
    <row r="3256">
      <c r="A3256">
        <f>Skills!A24</f>
        <v/>
      </c>
      <c r="B3256">
        <f>Skills!B24</f>
        <v/>
      </c>
      <c r="C3256">
        <f>Inputs!$B$3&gt;=40</f>
        <v/>
      </c>
      <c r="D3256">
        <f>IF(Skills!C24=1,60+Inputs!$B$25+Inputs!$B$29,IF(Skills!C24=2,90+Inputs!$B$26+Inputs!$B$29,IF(Skills!C24=3,120+Inputs!$B$27+Inputs!$B$29,MAX(0,(Inputs!$B$3-100)*3)+Inputs!$B$28+Inputs!$B$29)))</f>
        <v/>
      </c>
      <c r="E3256">
        <f>INDEX(FactorTable!$B$2:$Y$301, MATCH(ROUND(MIN(300,MAX(1,D3256)),0), FactorTable!$A$2:$A$301,0), Skills!M24+1)</f>
        <v/>
      </c>
      <c r="F3256">
        <f>IF(Skills!N24=TRUE,(Skills!L24/10)*(E3256/1000),Skills!L24/10)+Skills!O24</f>
        <v/>
      </c>
      <c r="G3256">
        <f>Skills!G24*IF(Skills!H24&gt;0,IF(Inputs!$B$39="pvp",MIN(Skills!I24,15),Skills!I24)/Skills!H24,1)</f>
        <v/>
      </c>
      <c r="H3256">
        <f>1-(1-Skills!J24/100)^Skills!K24</f>
        <v/>
      </c>
      <c r="I3256" t="inlineStr">
        <is>
          <t>1</t>
        </is>
      </c>
      <c r="J3256" t="inlineStr"/>
      <c r="K3256" t="inlineStr"/>
      <c r="L3256" t="inlineStr"/>
      <c r="M3256" t="inlineStr"/>
      <c r="N3256" t="inlineStr"/>
      <c r="O3256">
        <f>(1-Summary!$B$11)*T3256+Summary!$B$11*V3256</f>
        <v/>
      </c>
      <c r="P3256">
        <f>IF(B3278=0,0,O3256/B3278)</f>
        <v/>
      </c>
      <c r="Q3256" t="n">
        <v>0</v>
      </c>
      <c r="R3256" t="n">
        <v>0</v>
      </c>
      <c r="S3256">
        <f>IFERROR(O3256/N3256,0)</f>
        <v/>
      </c>
      <c r="T3256" t="n">
        <v>0</v>
      </c>
      <c r="V3256" t="n">
        <v>0</v>
      </c>
    </row>
    <row r="3257">
      <c r="A3257">
        <f>Skills!A25</f>
        <v/>
      </c>
      <c r="B3257">
        <f>Skills!B25</f>
        <v/>
      </c>
      <c r="C3257">
        <f>Inputs!$B$3&gt;=43</f>
        <v/>
      </c>
      <c r="D3257">
        <f>IF(Skills!C25=1,60+Inputs!$B$25+Inputs!$B$29,IF(Skills!C25=2,90+Inputs!$B$26+Inputs!$B$29,IF(Skills!C25=3,120+Inputs!$B$27+Inputs!$B$29,MAX(0,(Inputs!$B$3-100)*3)+Inputs!$B$28+Inputs!$B$29)))</f>
        <v/>
      </c>
      <c r="E3257">
        <f>INDEX(FactorTable!$B$2:$Y$301, MATCH(ROUND(MIN(300,MAX(1,D3257)),0), FactorTable!$A$2:$A$301,0), Skills!M25+1)</f>
        <v/>
      </c>
      <c r="F3257">
        <f>IF(Skills!N25=TRUE,(Skills!L25/10)*(E3257/1000),Skills!L25/10)+Skills!O25</f>
        <v/>
      </c>
      <c r="G3257">
        <f>Skills!G25*IF(Skills!H25&gt;0,IF(Inputs!$B$39="pvp",MIN(Skills!I25,15),Skills!I25)/Skills!H25,1)</f>
        <v/>
      </c>
      <c r="H3257">
        <f>1-(1-Skills!J25/100)^Skills!K25</f>
        <v/>
      </c>
      <c r="I3257" t="inlineStr">
        <is>
          <t>1</t>
        </is>
      </c>
      <c r="J3257" t="inlineStr"/>
      <c r="K3257" t="inlineStr"/>
      <c r="L3257" t="inlineStr"/>
      <c r="M3257" t="inlineStr"/>
      <c r="N3257" t="inlineStr"/>
      <c r="O3257">
        <f>(1-Summary!$B$11)*T3257+Summary!$B$11*V3257</f>
        <v/>
      </c>
      <c r="P3257">
        <f>IF(B3278=0,0,O3257/B3278)</f>
        <v/>
      </c>
      <c r="Q3257" t="n">
        <v>0</v>
      </c>
      <c r="R3257" t="n">
        <v>0</v>
      </c>
      <c r="S3257">
        <f>IFERROR(O3257/N3257,0)</f>
        <v/>
      </c>
      <c r="T3257" t="n">
        <v>0</v>
      </c>
      <c r="V3257" t="n">
        <v>0</v>
      </c>
    </row>
    <row r="3258">
      <c r="A3258">
        <f>Skills!A26</f>
        <v/>
      </c>
      <c r="B3258">
        <f>Skills!B26</f>
        <v/>
      </c>
      <c r="C3258">
        <f>Inputs!$B$3&gt;=50</f>
        <v/>
      </c>
      <c r="D3258">
        <f>IF(Skills!C26=1,60+Inputs!$B$25+Inputs!$B$29,IF(Skills!C26=2,90+Inputs!$B$26+Inputs!$B$29,IF(Skills!C26=3,120+Inputs!$B$27+Inputs!$B$29,MAX(0,(Inputs!$B$3-100)*3)+Inputs!$B$28+Inputs!$B$29)))</f>
        <v/>
      </c>
      <c r="E3258">
        <f>INDEX(FactorTable!$B$2:$Y$301, MATCH(ROUND(MIN(300,MAX(1,D3258)),0), FactorTable!$A$2:$A$301,0), Skills!M26+1)</f>
        <v/>
      </c>
      <c r="F3258">
        <f>IF(Skills!N26=TRUE,(Skills!L26/10)*(E3258/1000),Skills!L26/10)+Skills!O26</f>
        <v/>
      </c>
      <c r="G3258">
        <f>Skills!G26*IF(Skills!H26&gt;0,IF(Inputs!$B$39="pvp",MIN(Skills!I26,15),Skills!I26)/Skills!H26,1)</f>
        <v/>
      </c>
      <c r="H3258">
        <f>1-(1-Skills!J26/100)^Skills!K26</f>
        <v/>
      </c>
      <c r="I3258" t="inlineStr">
        <is>
          <t>1</t>
        </is>
      </c>
      <c r="J3258" t="inlineStr"/>
      <c r="K3258" t="inlineStr"/>
      <c r="L3258" t="inlineStr"/>
      <c r="M3258" t="inlineStr"/>
      <c r="N3258" t="inlineStr"/>
      <c r="O3258">
        <f>(1-Summary!$B$11)*T3258+Summary!$B$11*V3258</f>
        <v/>
      </c>
      <c r="P3258">
        <f>IF(B3278=0,0,O3258/B3278)</f>
        <v/>
      </c>
      <c r="Q3258" t="n">
        <v>0</v>
      </c>
      <c r="R3258" t="n">
        <v>0</v>
      </c>
      <c r="S3258">
        <f>IFERROR(O3258/N3258,0)</f>
        <v/>
      </c>
      <c r="T3258" t="n">
        <v>0</v>
      </c>
      <c r="V3258" t="n">
        <v>0</v>
      </c>
    </row>
    <row r="3259">
      <c r="A3259">
        <f>Skills!A27</f>
        <v/>
      </c>
      <c r="B3259">
        <f>Skills!B27</f>
        <v/>
      </c>
      <c r="C3259">
        <f>Inputs!$B$3&gt;=50</f>
        <v/>
      </c>
      <c r="D3259">
        <f>IF(Skills!C27=1,60+Inputs!$B$25+Inputs!$B$29,IF(Skills!C27=2,90+Inputs!$B$26+Inputs!$B$29,IF(Skills!C27=3,120+Inputs!$B$27+Inputs!$B$29,MAX(0,(Inputs!$B$3-100)*3)+Inputs!$B$28+Inputs!$B$29)))</f>
        <v/>
      </c>
      <c r="E3259">
        <f>INDEX(FactorTable!$B$2:$Y$301, MATCH(ROUND(MIN(300,MAX(1,D3259)),0), FactorTable!$A$2:$A$301,0), Skills!M27+1)</f>
        <v/>
      </c>
      <c r="F3259">
        <f>IF(Skills!N27=TRUE,(Skills!L27/10)*(E3259/1000),Skills!L27/10)+Skills!O27</f>
        <v/>
      </c>
      <c r="G3259">
        <f>Skills!G27*IF(Skills!H27&gt;0,IF(Inputs!$B$39="pvp",MIN(Skills!I27,15),Skills!I27)/Skills!H27,1)</f>
        <v/>
      </c>
      <c r="H3259">
        <f>1-(1-Skills!J27/100)^Skills!K27</f>
        <v/>
      </c>
      <c r="I3259" t="inlineStr">
        <is>
          <t>1</t>
        </is>
      </c>
      <c r="J3259" t="inlineStr"/>
      <c r="K3259" t="inlineStr"/>
      <c r="L3259" t="inlineStr"/>
      <c r="M3259" t="inlineStr"/>
      <c r="N3259" t="inlineStr"/>
      <c r="O3259">
        <f>(1-Summary!$B$11)*T3259+Summary!$B$11*V3259</f>
        <v/>
      </c>
      <c r="P3259">
        <f>IF(B3278=0,0,O3259/B3278)</f>
        <v/>
      </c>
      <c r="Q3259" t="n">
        <v>0</v>
      </c>
      <c r="R3259" t="n">
        <v>0</v>
      </c>
      <c r="S3259">
        <f>IFERROR(O3259/N3259,0)</f>
        <v/>
      </c>
      <c r="T3259" t="n">
        <v>0</v>
      </c>
      <c r="V3259" t="n">
        <v>0</v>
      </c>
    </row>
    <row r="3260">
      <c r="A3260">
        <f>Skills!A28</f>
        <v/>
      </c>
      <c r="B3260">
        <f>Skills!B28</f>
        <v/>
      </c>
      <c r="C3260">
        <f>Inputs!$B$3&gt;=38</f>
        <v/>
      </c>
      <c r="D3260">
        <f>IF(Skills!C28=1,60+Inputs!$B$25+Inputs!$B$29,IF(Skills!C28=2,90+Inputs!$B$26+Inputs!$B$29,IF(Skills!C28=3,120+Inputs!$B$27+Inputs!$B$29,MAX(0,(Inputs!$B$3-100)*3)+Inputs!$B$28+Inputs!$B$29)))</f>
        <v/>
      </c>
      <c r="E3260">
        <f>INDEX(FactorTable!$B$2:$Y$301, MATCH(ROUND(MIN(300,MAX(1,D3260)),0), FactorTable!$A$2:$A$301,0), Skills!M28+1)</f>
        <v/>
      </c>
      <c r="F3260">
        <f>IF(Skills!N28=TRUE,(Skills!L28/10)*(E3260/1000),Skills!L28/10)+Skills!O28</f>
        <v/>
      </c>
      <c r="G3260">
        <f>Skills!G28*IF(Skills!H28&gt;0,IF(Inputs!$B$39="pvp",MIN(Skills!I28,15),Skills!I28)/Skills!H28,1)</f>
        <v/>
      </c>
      <c r="H3260">
        <f>1-(1-Skills!J28/100)^Skills!K28</f>
        <v/>
      </c>
      <c r="I3260" t="inlineStr">
        <is>
          <t>1</t>
        </is>
      </c>
      <c r="J3260" t="inlineStr"/>
      <c r="K3260" t="inlineStr"/>
      <c r="L3260" t="inlineStr"/>
      <c r="M3260" t="inlineStr"/>
      <c r="N3260" t="inlineStr"/>
      <c r="O3260">
        <f>(1-Summary!$B$11)*T3260+Summary!$B$11*V3260</f>
        <v/>
      </c>
      <c r="P3260">
        <f>IF(B3278=0,0,O3260/B3278)</f>
        <v/>
      </c>
      <c r="Q3260" t="n">
        <v>0</v>
      </c>
      <c r="R3260" t="n">
        <v>0</v>
      </c>
      <c r="S3260">
        <f>IFERROR(O3260/N3260,0)</f>
        <v/>
      </c>
      <c r="T3260" t="n">
        <v>0</v>
      </c>
      <c r="V3260" t="n">
        <v>0</v>
      </c>
    </row>
    <row r="3261">
      <c r="A3261">
        <f>Skills!A29</f>
        <v/>
      </c>
      <c r="B3261">
        <f>Skills!B29</f>
        <v/>
      </c>
      <c r="C3261">
        <f>Inputs!$B$3&gt;=120</f>
        <v/>
      </c>
      <c r="D3261">
        <f>IF(Skills!C29=1,60+Inputs!$B$25+Inputs!$B$29,IF(Skills!C29=2,90+Inputs!$B$26+Inputs!$B$29,IF(Skills!C29=3,120+Inputs!$B$27+Inputs!$B$29,MAX(0,(Inputs!$B$3-100)*3)+Inputs!$B$28+Inputs!$B$29)))</f>
        <v/>
      </c>
      <c r="E3261">
        <f>INDEX(FactorTable!$B$2:$Y$301, MATCH(ROUND(MIN(300,MAX(1,D3261)),0), FactorTable!$A$2:$A$301,0), Skills!M29+1)</f>
        <v/>
      </c>
      <c r="F3261">
        <f>IF(Skills!N29=TRUE,(Skills!L29/10)*(E3261/1000),Skills!L29/10)+Skills!O29</f>
        <v/>
      </c>
      <c r="G3261">
        <f>Skills!G29*IF(Skills!H29&gt;0,IF(Inputs!$B$39="pvp",MIN(Skills!I29,15),Skills!I29)/Skills!H29,1)</f>
        <v/>
      </c>
      <c r="H3261">
        <f>1-(1-Skills!J29/100)^Skills!K29</f>
        <v/>
      </c>
      <c r="I3261" t="inlineStr">
        <is>
          <t>1</t>
        </is>
      </c>
      <c r="J3261" t="inlineStr"/>
      <c r="K3261" t="inlineStr"/>
      <c r="L3261" t="inlineStr"/>
      <c r="M3261" t="inlineStr"/>
      <c r="N3261" t="inlineStr"/>
      <c r="O3261">
        <f>(1-Summary!$B$11)*T3261+Summary!$B$11*V3261</f>
        <v/>
      </c>
      <c r="P3261">
        <f>IF(B3278=0,0,O3261/B3278)</f>
        <v/>
      </c>
      <c r="Q3261" t="n">
        <v>0</v>
      </c>
      <c r="R3261" t="n">
        <v>0</v>
      </c>
      <c r="S3261">
        <f>IFERROR(O3261/N3261,0)</f>
        <v/>
      </c>
      <c r="T3261" t="n">
        <v>0</v>
      </c>
      <c r="V3261" t="n">
        <v>0</v>
      </c>
    </row>
    <row r="3262">
      <c r="A3262">
        <f>Skills!A30</f>
        <v/>
      </c>
      <c r="B3262">
        <f>Skills!B30</f>
        <v/>
      </c>
      <c r="C3262">
        <f>Inputs!$B$3&gt;=120</f>
        <v/>
      </c>
      <c r="D3262">
        <f>IF(Skills!C30=1,60+Inputs!$B$25+Inputs!$B$29,IF(Skills!C30=2,90+Inputs!$B$26+Inputs!$B$29,IF(Skills!C30=3,120+Inputs!$B$27+Inputs!$B$29,MAX(0,(Inputs!$B$3-100)*3)+Inputs!$B$28+Inputs!$B$29)))</f>
        <v/>
      </c>
      <c r="E3262">
        <f>INDEX(FactorTable!$B$2:$Y$301, MATCH(ROUND(MIN(300,MAX(1,D3262)),0), FactorTable!$A$2:$A$301,0), Skills!M30+1)</f>
        <v/>
      </c>
      <c r="F3262">
        <f>IF(Skills!N30=TRUE,(Skills!L30/10)*(E3262/1000),Skills!L30/10)+Skills!O30</f>
        <v/>
      </c>
      <c r="G3262">
        <f>Skills!G30*IF(Skills!H30&gt;0,IF(Inputs!$B$39="pvp",MIN(Skills!I30,15),Skills!I30)/Skills!H30,1)</f>
        <v/>
      </c>
      <c r="H3262">
        <f>1-(1-Skills!J30/100)^Skills!K30</f>
        <v/>
      </c>
      <c r="I3262" t="inlineStr">
        <is>
          <t>1</t>
        </is>
      </c>
      <c r="J3262" t="inlineStr"/>
      <c r="K3262" t="inlineStr"/>
      <c r="L3262" t="inlineStr"/>
      <c r="M3262" t="inlineStr"/>
      <c r="N3262" t="inlineStr"/>
      <c r="O3262">
        <f>(1-Summary!$B$11)*T3262+Summary!$B$11*V3262</f>
        <v/>
      </c>
      <c r="P3262">
        <f>IF(B3278=0,0,O3262/B3278)</f>
        <v/>
      </c>
      <c r="Q3262" t="n">
        <v>0</v>
      </c>
      <c r="R3262" t="n">
        <v>0</v>
      </c>
      <c r="S3262">
        <f>IFERROR(O3262/N3262,0)</f>
        <v/>
      </c>
      <c r="T3262" t="n">
        <v>0</v>
      </c>
      <c r="V3262" t="n">
        <v>0</v>
      </c>
    </row>
    <row r="3263">
      <c r="A3263">
        <f>Skills!A31</f>
        <v/>
      </c>
      <c r="B3263">
        <f>Skills!B31</f>
        <v/>
      </c>
      <c r="C3263">
        <f>Inputs!$B$3&gt;=125</f>
        <v/>
      </c>
      <c r="D3263">
        <f>IF(Skills!C31=1,60+Inputs!$B$25+Inputs!$B$29,IF(Skills!C31=2,90+Inputs!$B$26+Inputs!$B$29,IF(Skills!C31=3,120+Inputs!$B$27+Inputs!$B$29,MAX(0,(Inputs!$B$3-100)*3)+Inputs!$B$28+Inputs!$B$29)))</f>
        <v/>
      </c>
      <c r="E3263">
        <f>INDEX(FactorTable!$B$2:$Y$301, MATCH(ROUND(MIN(300,MAX(1,D3263)),0), FactorTable!$A$2:$A$301,0), Skills!M31+1)</f>
        <v/>
      </c>
      <c r="F3263">
        <f>IF(Skills!N31=TRUE,(Skills!L31/10)*(E3263/1000),Skills!L31/10)+Skills!O31</f>
        <v/>
      </c>
      <c r="G3263">
        <f>Skills!G31*IF(Skills!H31&gt;0,IF(Inputs!$B$39="pvp",MIN(Skills!I31,15),Skills!I31)/Skills!H31,1)</f>
        <v/>
      </c>
      <c r="H3263">
        <f>1-(1-Skills!J31/100)^Skills!K31</f>
        <v/>
      </c>
      <c r="I3263" t="inlineStr">
        <is>
          <t>1</t>
        </is>
      </c>
      <c r="J3263" t="inlineStr"/>
      <c r="K3263" t="inlineStr"/>
      <c r="L3263" t="inlineStr"/>
      <c r="M3263" t="inlineStr"/>
      <c r="N3263" t="inlineStr"/>
      <c r="O3263">
        <f>(1-Summary!$B$11)*T3263+Summary!$B$11*V3263</f>
        <v/>
      </c>
      <c r="P3263">
        <f>IF(B3278=0,0,O3263/B3278)</f>
        <v/>
      </c>
      <c r="Q3263" t="n">
        <v>0</v>
      </c>
      <c r="R3263" t="n">
        <v>0</v>
      </c>
      <c r="S3263">
        <f>IFERROR(O3263/N3263,0)</f>
        <v/>
      </c>
      <c r="T3263" t="n">
        <v>0</v>
      </c>
      <c r="V3263" t="n">
        <v>0</v>
      </c>
    </row>
    <row r="3265">
      <c r="A3265" t="inlineStr">
        <is>
          <t>Average Buff Multiplier</t>
        </is>
      </c>
      <c r="B3265">
        <f>(1+(((C3254=TRUE)*F3254*IF(AND(Inputs!$B$39&lt;&gt;"pvp",Inputs!$B$44&gt;0),(((R3254-1)*MIN((Skills!Y22*(1+Inputs!$B$34/100)),(1/Q3254))+MIN((Skills!Y22*(1+Inputs!$B$34/100)),MAX(0,Inputs!$B$44-((R3254-1)*(1/Q3254)))))/Inputs!$B$44),IF(Inputs!$B$39="pvp",MIN((Skills!Y22*(1+Inputs!$B$34/100)),15)/15,MIN(1,(Skills!Y22*(1+Inputs!$B$34/100))/(1/Q3254)))))+((C3235=TRUE)*F3235*3)+((C3237=TRUE)*F3237*(1-EXP(-0.75*B3270*5)))+((C3256=TRUE)*(F3256-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3243=TRUE)*F3243*IF(AND(Inputs!$B$39&lt;&gt;"pvp",Inputs!$B$44&gt;0),(((R3243-1)*MIN((Skills!Y11*(1+Inputs!$B$34/100)),(1/Q3243))+MIN((Skills!Y11*(1+Inputs!$B$34/100)),MAX(0,Inputs!$B$44-((R3243-1)*(1/Q3243)))))/Inputs!$B$44),IF(Inputs!$B$39="pvp",MIN((Skills!Y11*(1+Inputs!$B$34/100)),15)/15,MIN(1,(Skills!Y11*(1+Inputs!$B$34/100))/(1/Q3243)))))/100)*(1+((C3248=TRUE)*F3248*IF(AND(Inputs!$B$39&lt;&gt;"pvp",Inputs!$B$44&gt;0),(((R3248-1)*MIN((Skills!Y16*(1+Inputs!$B$34/100)),(1/Q3248))+MIN((Skills!Y16*(1+Inputs!$B$34/100)),MAX(0,Inputs!$B$44-((R3248-1)*(1/Q3248)))))/Inputs!$B$44),IF(Inputs!$B$39="pvp",MIN((Skills!Y16*(1+Inputs!$B$34/100)),15)/15,MIN(1,(Skills!Y16*(1+Inputs!$B$34/100))/(1/Q3248)))))/100)</f>
        <v/>
      </c>
    </row>
    <row r="3266">
      <c r="A3266" t="inlineStr">
        <is>
          <t>Global Crit Rate Bonus %</t>
        </is>
      </c>
      <c r="B3266">
        <f>((C3253=TRUE)*F3253*IF(AND(Inputs!$B$39&lt;&gt;"pvp",Inputs!$B$44&gt;0),(((R3253-1)*MIN((Skills!Y21*(1+Inputs!$B$34/100)),(1/Q3253))+MIN((Skills!Y21*(1+Inputs!$B$34/100)),MAX(0,Inputs!$B$44-((R3253-1)*(1/Q3253)))))/Inputs!$B$44),IF(Inputs!$B$39="pvp",MIN((Skills!Y21*(1+Inputs!$B$34/100)),15)/15,MIN(1,(Skills!Y21*(1+Inputs!$B$34/100))/(1/Q3253)))))</f>
        <v/>
      </c>
    </row>
    <row r="3267">
      <c r="A3267" t="inlineStr">
        <is>
          <t>Global Monster Damage-Taken Bonus %</t>
        </is>
      </c>
      <c r="B3267">
        <f>IF(Inputs!$B$3&gt;=82,15,0)</f>
        <v/>
      </c>
    </row>
    <row r="3268">
      <c r="A3268" t="inlineStr">
        <is>
          <t>Shadow Partner Average Multiplier</t>
        </is>
      </c>
      <c r="B3268">
        <f>1+((C3240=TRUE)*F3240*(1+3.3333333333333335*IF(C3251=TRUE,F3251,0)/100)*I3240*Skills!J8/100)/100</f>
        <v/>
      </c>
    </row>
    <row r="3269">
      <c r="A3269" t="inlineStr">
        <is>
          <t>Attack Speed Buff Bonus %</t>
        </is>
      </c>
      <c r="B3269">
        <f>((C3252=TRUE)*F3252*IF(AND(Inputs!$B$39&lt;&gt;"pvp",Inputs!$B$44&gt;0),(((R3252-1)*MIN((Skills!Y20*(1+Inputs!$B$34/100)),(1/Q3252))+MIN((Skills!Y20*(1+Inputs!$B$34/100)),MAX(0,Inputs!$B$44-((R3252-1)*(1/Q3252)))))/Inputs!$B$44),IF(Inputs!$B$39="pvp",MIN((Skills!Y20*(1+Inputs!$B$34/100)),15)/15,MIN(1,(Skills!Y20*(1+Inputs!$B$34/100))/(1/Q3252)))))</f>
        <v/>
      </c>
    </row>
    <row r="3270">
      <c r="A3270" t="inlineStr">
        <is>
          <t>Actions Per Second</t>
        </is>
      </c>
      <c r="B3270">
        <f>1+MIN(150,150*(1-(1-(Inputs!$B$11+((C3255=TRUE)*(F3255-Calc!F23)))/150)*(1-B3269/150)))/100</f>
        <v/>
      </c>
    </row>
    <row r="3271">
      <c r="A3271" t="inlineStr">
        <is>
          <t>Skill + Buff Cast Rate</t>
        </is>
      </c>
      <c r="B3271">
        <f>IF(AND(Inputs!$B$39&lt;&gt;"pvp",Inputs!$B$44&gt;0),SUMPRODUCT((Skills!E2:E31=TRUE)*(C3234:C3263=TRUE)*R3234:R3263*Skills!F2:F31)/Inputs!$B$44,SUMPRODUCT((Skills!E2:E31=TRUE)*(C3234:C3263=TRUE)*Q3234:Q3263*Skills!F2:F31))</f>
        <v/>
      </c>
    </row>
    <row r="3272">
      <c r="A3272" t="inlineStr">
        <is>
          <t>Cruel Stab Casts Per Second</t>
        </is>
      </c>
      <c r="B3272">
        <f>MAX(0,B3270-B3271)</f>
        <v/>
      </c>
    </row>
    <row r="3273">
      <c r="A3273" t="inlineStr">
        <is>
          <t>Global Critical Damage Bonus % (Smokescreen Mastery Lv.113)</t>
        </is>
      </c>
      <c r="B3273">
        <f>IF(Inputs!$B$3&gt;=113,30,0)*IF(AND(Inputs!$B$39&lt;&gt;"pvp",Inputs!$B$44&gt;0),(((R3248-1)*MIN((Skills!Y16*(1+Inputs!$B$34/100)),(1/Q3248))+MIN((Skills!Y16*(1+Inputs!$B$34/100)),MAX(0,Inputs!$B$44-((R3248-1)*(1/Q3248)))))/Inputs!$B$44),IF(Inputs!$B$39="pvp",MIN((Skills!Y16*(1+Inputs!$B$34/100)),15)/15,MIN(1,(Skills!Y16*(1+Inputs!$B$34/100))/(1/Q3248))))</f>
        <v/>
      </c>
    </row>
    <row r="3274">
      <c r="A3274" t="inlineStr">
        <is>
          <t>Meso Explosion average stack count</t>
        </is>
      </c>
      <c r="B3274">
        <f>MIN(10,IF(Inputs!$B$3&gt;=75,0.75,0.5)*B3270*(1/Q3236))</f>
        <v/>
      </c>
    </row>
    <row r="3275">
      <c r="A3275" t="inlineStr">
        <is>
          <t>Blood Money average stack count</t>
        </is>
      </c>
      <c r="B3275">
        <f>MIN(5,0.5*IF(Inputs!$B$3&gt;=75,0.75,0.5)*B3270*(1/Q3236))</f>
        <v/>
      </c>
    </row>
    <row r="3276">
      <c r="A3276" t="inlineStr">
        <is>
          <t>Assassinate Murderous Intent Multiplier</t>
        </is>
      </c>
      <c r="B3276">
        <f>1+IFERROR(MIN(1,Q3247*2/Q3244),0)</f>
        <v/>
      </c>
    </row>
    <row r="3277">
      <c r="A3277" t="inlineStr">
        <is>
          <t>Buff-Casting Startup Delay (s, fixed-duration only)</t>
        </is>
      </c>
      <c r="B3277">
        <f>IF(AND(Inputs!$B$39&lt;&gt;"pvp",Inputs!$B$44&gt;0),SUMPRODUCT((Skills!Y2:Y31&gt;0)*(Skills!E2:E31=TRUE)*(C3234:C3263=TRUE))/B3270,0)</f>
        <v/>
      </c>
    </row>
    <row r="3278">
      <c r="A3278" s="6" t="inlineStr">
        <is>
          <t>TOTAL DPS</t>
        </is>
      </c>
      <c r="B3278" s="6">
        <f>SUM(O3234:O3263)</f>
        <v/>
      </c>
    </row>
    <row r="3279">
      <c r="A3279" t="inlineStr">
        <is>
          <t>Boss-Only Total DPS (this block's swept value)</t>
        </is>
      </c>
      <c r="B3279">
        <f>SUM(T3234:T3263)</f>
        <v/>
      </c>
    </row>
    <row r="3280">
      <c r="A3280" t="inlineStr">
        <is>
          <t>Normal-Only Total DPS (this block's swept value)</t>
        </is>
      </c>
      <c r="B3280">
        <f>SUM(V3234:V3263)</f>
        <v/>
      </c>
    </row>
    <row r="3283">
      <c r="A3283" s="9" t="inlineStr">
        <is>
          <t>Cooldown Reduction Milestone Sweep (absolute CDR seconds, fixed-duration content only)</t>
        </is>
      </c>
    </row>
    <row r="3284">
      <c r="A3284" s="5" t="inlineStr">
        <is>
          <t>CDR (s)</t>
        </is>
      </c>
      <c r="B3284" s="5" t="inlineStr">
        <is>
          <t>Total DPS</t>
        </is>
      </c>
      <c r="C3284" s="5" t="inlineStr">
        <is>
          <t>DPS Gain (vs prior step)</t>
        </is>
      </c>
      <c r="D3284" s="5" t="inlineStr">
        <is>
          <t>% Gain (vs current CDR)</t>
        </is>
      </c>
    </row>
    <row r="3285">
      <c r="A3285" t="n">
        <v>0.5</v>
      </c>
      <c r="B3285">
        <f>B3343</f>
        <v/>
      </c>
      <c r="C3285" t="n">
        <v>0</v>
      </c>
      <c r="D3285">
        <f>IF(Summary!$B$3=0,0,(B3285-Summary!$B$3)/Summary!$B$3*100)</f>
        <v/>
      </c>
    </row>
    <row r="3286">
      <c r="A3286" t="n">
        <v>1</v>
      </c>
      <c r="B3286">
        <f>B3394</f>
        <v/>
      </c>
      <c r="C3286">
        <f>B3286-B3285</f>
        <v/>
      </c>
      <c r="D3286">
        <f>IF(Summary!$B$3=0,0,(B3286-Summary!$B$3)/Summary!$B$3*100)</f>
        <v/>
      </c>
    </row>
    <row r="3287">
      <c r="A3287" t="n">
        <v>1.5</v>
      </c>
      <c r="B3287">
        <f>B3445</f>
        <v/>
      </c>
      <c r="C3287">
        <f>B3287-B3286</f>
        <v/>
      </c>
      <c r="D3287">
        <f>IF(Summary!$B$3=0,0,(B3287-Summary!$B$3)/Summary!$B$3*100)</f>
        <v/>
      </c>
    </row>
    <row r="3288">
      <c r="A3288" t="n">
        <v>2</v>
      </c>
      <c r="B3288">
        <f>B3496</f>
        <v/>
      </c>
      <c r="C3288">
        <f>B3288-B3287</f>
        <v/>
      </c>
      <c r="D3288">
        <f>IF(Summary!$B$3=0,0,(B3288-Summary!$B$3)/Summary!$B$3*100)</f>
        <v/>
      </c>
    </row>
    <row r="3289">
      <c r="A3289" t="n">
        <v>2.5</v>
      </c>
      <c r="B3289">
        <f>B3547</f>
        <v/>
      </c>
      <c r="C3289">
        <f>B3289-B3288</f>
        <v/>
      </c>
      <c r="D3289">
        <f>IF(Summary!$B$3=0,0,(B3289-Summary!$B$3)/Summary!$B$3*100)</f>
        <v/>
      </c>
    </row>
    <row r="3290">
      <c r="A3290" t="n">
        <v>3</v>
      </c>
      <c r="B3290">
        <f>B3598</f>
        <v/>
      </c>
      <c r="C3290">
        <f>B3290-B3289</f>
        <v/>
      </c>
      <c r="D3290">
        <f>IF(Summary!$B$3=0,0,(B3290-Summary!$B$3)/Summary!$B$3*100)</f>
        <v/>
      </c>
    </row>
    <row r="3291">
      <c r="A3291" t="n">
        <v>3.5</v>
      </c>
      <c r="B3291">
        <f>B3649</f>
        <v/>
      </c>
      <c r="C3291">
        <f>B3291-B3290</f>
        <v/>
      </c>
      <c r="D3291">
        <f>IF(Summary!$B$3=0,0,(B3291-Summary!$B$3)/Summary!$B$3*100)</f>
        <v/>
      </c>
    </row>
    <row r="3292">
      <c r="A3292" t="n">
        <v>4</v>
      </c>
      <c r="B3292">
        <f>B3700</f>
        <v/>
      </c>
      <c r="C3292">
        <f>B3292-B3291</f>
        <v/>
      </c>
      <c r="D3292">
        <f>IF(Summary!$B$3=0,0,(B3292-Summary!$B$3)/Summary!$B$3*100)</f>
        <v/>
      </c>
    </row>
    <row r="3293">
      <c r="A3293" t="n">
        <v>4.5</v>
      </c>
      <c r="B3293">
        <f>B3751</f>
        <v/>
      </c>
      <c r="C3293">
        <f>B3293-B3292</f>
        <v/>
      </c>
      <c r="D3293">
        <f>IF(Summary!$B$3=0,0,(B3293-Summary!$B$3)/Summary!$B$3*100)</f>
        <v/>
      </c>
    </row>
    <row r="3294">
      <c r="A3294" t="n">
        <v>5</v>
      </c>
      <c r="B3294">
        <f>B3802</f>
        <v/>
      </c>
      <c r="C3294">
        <f>B3294-B3293</f>
        <v/>
      </c>
      <c r="D3294">
        <f>IF(Summary!$B$3=0,0,(B3294-Summary!$B$3)/Summary!$B$3*100)</f>
        <v/>
      </c>
    </row>
    <row r="3297">
      <c r="A3297" s="6" t="inlineStr">
        <is>
          <t>Stat: CDR = 0.5s</t>
        </is>
      </c>
    </row>
    <row r="3298">
      <c r="A3298" s="5" t="inlineStr">
        <is>
          <t>Key</t>
        </is>
      </c>
      <c r="B3298" s="5" t="inlineStr">
        <is>
          <t>Name</t>
        </is>
      </c>
      <c r="C3298" s="5" t="inlineStr">
        <is>
          <t>Unlocked</t>
        </is>
      </c>
      <c r="D3298" s="5" t="inlineStr">
        <is>
          <t>InputLevel</t>
        </is>
      </c>
      <c r="E3298" s="5" t="inlineStr">
        <is>
          <t>Factor</t>
        </is>
      </c>
      <c r="F3298" s="5" t="inlineStr">
        <is>
          <t>CoefficientPercent</t>
        </is>
      </c>
      <c r="G3298" s="5" t="inlineStr">
        <is>
          <t>EffectiveHits</t>
        </is>
      </c>
      <c r="H3298" s="5" t="inlineStr">
        <is>
          <t>ProcProbability</t>
        </is>
      </c>
      <c r="I3298" s="5" t="inlineStr">
        <is>
          <t>MapleHeroMultiplier</t>
        </is>
      </c>
      <c r="J3298" s="5" t="inlineStr">
        <is>
          <t>BaseDamage</t>
        </is>
      </c>
      <c r="K3298" s="5" t="inlineStr">
        <is>
          <t>BaseHitDamage</t>
        </is>
      </c>
      <c r="L3298" s="5" t="inlineStr">
        <is>
          <t>NonCritAvg</t>
        </is>
      </c>
      <c r="M3298" s="5" t="inlineStr">
        <is>
          <t>CritAvg</t>
        </is>
      </c>
      <c r="N3298" s="5" t="inlineStr">
        <is>
          <t>ExpectedDamage(perHit)</t>
        </is>
      </c>
      <c r="O3298" s="5" t="inlineStr">
        <is>
          <t>DPS</t>
        </is>
      </c>
      <c r="P3298" s="5" t="inlineStr">
        <is>
          <t>% of Total</t>
        </is>
      </c>
      <c r="Q3298" s="5" t="inlineStr">
        <is>
          <t>InvCooldown</t>
        </is>
      </c>
      <c r="R3298" s="5" t="inlineStr">
        <is>
          <t>CastsInFight</t>
        </is>
      </c>
      <c r="S3298" s="5" t="inlineStr">
        <is>
          <t>HitRate(perSec)</t>
        </is>
      </c>
      <c r="U3298" t="inlineStr">
        <is>
          <t>helpers</t>
        </is>
      </c>
    </row>
    <row r="3299">
      <c r="A3299">
        <f>Skills!A2</f>
        <v/>
      </c>
      <c r="B3299">
        <f>Skills!B2</f>
        <v/>
      </c>
      <c r="C3299">
        <f>Inputs!$B$3&gt;=100</f>
        <v/>
      </c>
      <c r="D3299" t="inlineStr"/>
      <c r="E3299" t="inlineStr"/>
      <c r="F3299">
        <f>U3301+Skills!O2</f>
        <v/>
      </c>
      <c r="G3299">
        <f>Skills!G2*IF(Skills!H2&gt;0,IF(Inputs!$B$39="pvp",MIN(Skills!I2,15),Skills!I2)/Skills!H2,1)</f>
        <v/>
      </c>
      <c r="H3299">
        <f>1-(1-Skills!J2/100)^Skills!K2</f>
        <v/>
      </c>
      <c r="I3299" t="inlineStr">
        <is>
          <t>1</t>
        </is>
      </c>
      <c r="J3299">
        <f>((Inputs!$B$6*(1+Inputs!$B$7/100))+(((Inputs!$B$12*(1+Inputs!$B$13/100))-(Inputs!$B$12*(1+Inputs!$B$13/100)))+0.25*(Inputs!$B$14-Inputs!$B$14))*(1+Inputs!$B$7/100))*(F3299/100)</f>
        <v/>
      </c>
      <c r="K3299">
        <f>J3299*(1+((Inputs!$B$12*(1+Inputs!$B$13/100))*0.01+Inputs!$B$14*0.0025)/100)*(1+Inputs!$B$15/100)*(1+Inputs!$B$16/100)*(5000/(6000+Inputs!$B$43*(1-(100*(1-(1-Inputs!$B$19/100)*(1-CHOOSE(ArtifactsInput!$N$40+1,5,6,7,8,9,10)/100)^(ArtifactsInput!$M$40-ArtifactsInput!$M$40)))/100)))*(1+(Inputs!$B$24+((C3328=TRUE)*(F3328-Calc!F31))+((C3315=TRUE)*(F3315-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CRUEL_STAB",Inputs!$B$17+((C3325=TRUE)*(F3325-Calc!F28))+((IF(AND(Inputs!$B$39&lt;&gt;"pvp",Inputs!$B$44=0),1,IF(IF(Inputs!$B$39="pvp",15,Inputs!$B$44)-(B3342)&lt;=0,1,MAX(0,IF(Inputs!$B$39="pvp",15,Inputs!$B$44)-MAX(5,B3342))/(IF(Inputs!$B$39="pvp",15,Inputs!$B$44)-(B3342))))*(IF(AND(ArtifactsInput!$M$42,((Inputs!$B$9+((C3323=TRUE)*(F3323-Calc!F26))+B3331+(ArtifactsInput!$M$24-ArtifactsInput!$M$24)*CHOOSE(ArtifactsInput!$N$24+1,10,12,14,16,18,20)+IF(ArtifactsInput!$M$10,CHOOSE(ArtifactsInput!$N$10+1,15,18,21,24,27,30)*(IF(Inputs!$B$39="pvp",MIN(15,15)/15,IF(AND(Inputs!$B$39&lt;&gt;"pvp",Inputs!$B$44&gt;0),MIN(15,Inputs!$B$44)/(Inputs!$B$44),0))),0)))&gt;=100),MIN(100,((Inputs!$B$9+((C3323=TRUE)*(F3323-Calc!F26))+B3331+(ArtifactsInput!$M$24-ArtifactsInput!$M$24)*CHOOSE(ArtifactsInput!$N$24+1,10,12,14,16,18,20)+IF(ArtifactsInput!$M$10,CHOOSE(ArtifactsInput!$N$10+1,15,18,21,24,27,30)*(IF(Inputs!$B$39="pvp",MIN(15,15)/15,IF(AND(Inputs!$B$39&lt;&gt;"pvp",Inputs!$B$44&gt;0),MIN(15,Inputs!$B$44)/(Inputs!$B$44),0))),0)))-100),0))*CHOOSE(ArtifactsInput!$N$42+1,0.6,0.72,0.84,0.96,1.08,1.2))),Inputs!$B$18+((C3326=TRUE)*(F3326-Calc!F29))+(IF(AND(Inputs!$B$39&lt;&gt;"pvp",Inputs!$B$44=0),1,IF(IF(Inputs!$B$39="pvp",15,Inputs!$B$44)-(B3342)&lt;=0,1,MAX(0,IF(Inputs!$B$39="pvp",15,Inputs!$B$44)-MAX(5,B3342))/(IF(Inputs!$B$39="pvp",15,Inputs!$B$44)-(B3342))))*IF(AND(ArtifactsInput!$M$42,((Inputs!$B$9+((C3323=TRUE)*(F3323-Calc!F26))+B3331+(ArtifactsInput!$M$24-ArtifactsInput!$M$24)*CHOOSE(ArtifactsInput!$N$24+1,10,12,14,16,18,20)+IF(ArtifactsInput!$M$10,CHOOSE(ArtifactsInput!$N$10+1,15,18,21,24,27,30)*(IF(Inputs!$B$39="pvp",MIN(15,15)/15,IF(AND(Inputs!$B$39&lt;&gt;"pvp",Inputs!$B$44&gt;0),MIN(15,Inputs!$B$44)/(Inputs!$B$44),0))),0)))&gt;=100),CHOOSE(ArtifactsInput!$N$42+1,40,48,56,64,72,80),0))))/100)*(((1+(((C3319=TRUE)*F3319*IF(AND(Inputs!$B$39&lt;&gt;"pvp",Inputs!$B$44&gt;0),(((R3319-1)*MIN((Skills!Y22*(1+Inputs!$B$34/100)),(1/Q3319))+MIN((Skills!Y22*(1+Inputs!$B$34/100)),MAX(0,Inputs!$B$44-((R3319-1)*(1/Q3319)))))/Inputs!$B$44),IF(Inputs!$B$39="pvp",MIN((Skills!Y22*(1+Inputs!$B$34/100)),15)/15,MIN(1,(Skills!Y22*(1+Inputs!$B$34/100))/(1/Q3319)))))+((C3300=TRUE)*F3300*3)+((C3302=TRUE)*F3302*(1-EXP(-0.75*B3335*5)))+((C3321=TRUE)*(F3321-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3308=TRUE)*F3308*IF(AND(Inputs!$B$39&lt;&gt;"pvp",Inputs!$B$44&gt;0),(((R3308-1)*MIN((Skills!Y11*(1+Inputs!$B$34/100)),(1/Q3308))+MIN((Skills!Y11*(1+Inputs!$B$34/100)),MAX(0,Inputs!$B$44-((R3308-1)*(1/Q3308)))))/Inputs!$B$44),IF(Inputs!$B$39="pvp",MIN((Skills!Y11*(1+Inputs!$B$34/100)),15)/15,MIN(1,(Skills!Y11*(1+Inputs!$B$34/100))/(1/Q3308)))))/100)*(1+((C3313=TRUE)*F3313*IF(AND(Inputs!$B$39&lt;&gt;"pvp",Inputs!$B$44&gt;0),(((R3313-1)*MIN((Skills!Y16*(1+Inputs!$B$34/100)),(1/Q3313))+MIN((Skills!Y16*(1+Inputs!$B$34/100)),MAX(0,Inputs!$B$44-((R3313-1)*(1/Q3313)))))/Inputs!$B$44),IF(Inputs!$B$39="pvp",MIN((Skills!Y16*(1+Inputs!$B$34/100)),15)/15,MIN(1,(Skills!Y16*(1+Inputs!$B$34/100))/(1/Q3313)))))/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3333*I3299)</f>
        <v/>
      </c>
      <c r="L3299">
        <f>K3299*(MIN(Inputs!$B$22+((C3322=TRUE)*(F3322-Calc!F25)),(Inputs!$B$23+((C3327=TRUE)*(F3327-Calc!F30))+IF(ArtifactsInput!$M$15,CHOOSE(ArtifactsInput!$N$15+1,25,30,35,40,45,50)/100*(Inputs!$B$11-Inputs!$B$11),0)))/100+(Inputs!$B$23+((C3327=TRUE)*(F3327-Calc!F30))+IF(ArtifactsInput!$M$15,CHOOSE(ArtifactsInput!$N$15+1,25,30,35,40,45,50)/100*(Inputs!$B$11-Inputs!$B$11),0))/100)/2</f>
        <v/>
      </c>
      <c r="M3299">
        <f>L3299*(1+(Inputs!$B$10+((C3324=TRUE)*(F3324-Calc!F27))+B3338+(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3299">
        <f>L3299*(1-MIN((Inputs!$B$9+((C3323=TRUE)*(F3323-Calc!F26))+B3331+(ArtifactsInput!$M$24-ArtifactsInput!$M$24)*CHOOSE(ArtifactsInput!$N$24+1,10,12,14,16,18,20)+(IF(AND(Inputs!$B$39&lt;&gt;"pvp",Inputs!$B$44=0),1,IF(IF(Inputs!$B$39="pvp",15,Inputs!$B$44)-(B3342)&lt;=0,1,MAX(0,IF(Inputs!$B$39="pvp",15,Inputs!$B$44)-MAX(5,B3342))/(IF(Inputs!$B$39="pvp",15,Inputs!$B$44)-(B3342))))*IF(AND(ArtifactsInput!$M$42,((Inputs!$B$9+((C3323=TRUE)*(F3323-Calc!F26))+B3331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3299*(MIN((Inputs!$B$9+((C3323=TRUE)*(F3323-Calc!F26))+B3331+(ArtifactsInput!$M$24-ArtifactsInput!$M$24)*CHOOSE(ArtifactsInput!$N$24+1,10,12,14,16,18,20)+(IF(AND(Inputs!$B$39&lt;&gt;"pvp",Inputs!$B$44=0),1,IF(IF(Inputs!$B$39="pvp",15,Inputs!$B$44)-(B3342)&lt;=0,1,MAX(0,IF(Inputs!$B$39="pvp",15,Inputs!$B$44)-MAX(5,B3342))/(IF(Inputs!$B$39="pvp",15,Inputs!$B$44)-(B3342))))*IF(AND(ArtifactsInput!$M$42,((Inputs!$B$9+((C3323=TRUE)*(F3323-Calc!F26))+B3331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3299">
        <f>(1-Summary!$B$11)*T3299+Summary!$B$11*V3299</f>
        <v/>
      </c>
      <c r="P3299">
        <f>IF(B3343=0,0,O3299/B3343)</f>
        <v/>
      </c>
      <c r="Q3299" t="n">
        <v>0</v>
      </c>
      <c r="R3299" t="n">
        <v>0</v>
      </c>
      <c r="S3299">
        <f>IFERROR(O3299/N3299,0)</f>
        <v/>
      </c>
      <c r="T3299">
        <f>IF(C3299,(Skills!G2*N3299*B3337)*IF(Inputs!$B$39="pvp",1,1+(Inputs!$B$20+0+Skills!P2+B3332+(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Hunt"),CHOOSE(ArtifactsInput!$N$35+1,15,18,21,24,27,30)*(1-EXP(-(0.2*B3335)*5)),0)+IF(AND(ArtifactsInput!$M$22,Inputs!$B$4&lt;&gt;"Chapter Hunt"),CHOOSE(ArtifactsInput!$N$22+1,10,12,14,16,18,20)*((0*(((0.15*B3335*5))^0/1)+1*(((0.15*B3335*5))^1/1)+2*(((0.15*B3335*5))^2/2)+3*(((0.15*B3335*5))^3/6)+4*(((0.15*B3335*5))^4/24)+5*(((0.15*B3335*5))^5/120))/((((0.15*B3335*5))^0/1)+(((0.15*B3335*5))^1/1)+(((0.15*B3335*5))^2/2)+(((0.15*B3335*5))^3/6)+(((0.15*B3335*5))^4/24)+(((0.15*B3335*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3299*(1-MIN(100,(Inputs!$B$9+((C3323=TRUE)*(F3323-Calc!F26))+B3331+(ArtifactsInput!$M$24-ArtifactsInput!$M$24)*CHOOSE(ArtifactsInput!$N$24+1,10,12,14,16,18,20)+(IF(AND(Inputs!$B$39&lt;&gt;"pvp",Inputs!$B$44=0),1,IF(IF(Inputs!$B$39="pvp",15,Inputs!$B$44)-(B3342)&lt;=0,1,MAX(0,IF(Inputs!$B$39="pvp",15,Inputs!$B$44)-MAX(5,B3342))/(IF(Inputs!$B$39="pvp",15,Inputs!$B$44)-(B3342))))*IF(AND(ArtifactsInput!$M$42,((Inputs!$B$9+((C3323=TRUE)*(F3323-Calc!F26))+B3331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3299*(MIN(100,(Inputs!$B$9+((C3323=TRUE)*(F3323-Calc!F26))+B3331+(ArtifactsInput!$M$24-ArtifactsInput!$M$24)*CHOOSE(ArtifactsInput!$N$24+1,10,12,14,16,18,20)+(IF(AND(Inputs!$B$39&lt;&gt;"pvp",Inputs!$B$44=0),1,IF(IF(Inputs!$B$39="pvp",15,Inputs!$B$44)-(B3342)&lt;=0,1,MAX(0,IF(Inputs!$B$39="pvp",15,Inputs!$B$44)-MAX(5,B3342))/(IF(Inputs!$B$39="pvp",15,Inputs!$B$44)-(B3342))))*IF(AND(ArtifactsInput!$M$42,((Inputs!$B$9+((C3323=TRUE)*(F3323-Calc!F26))+B3331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3299*(1-MIN(100,(Inputs!$B$9+((C3323=TRUE)*(F3323-Calc!F26))+B3331+(ArtifactsInput!$M$24-ArtifactsInput!$M$24)*CHOOSE(ArtifactsInput!$N$24+1,10,12,14,16,18,20)+(IF(AND(Inputs!$B$39&lt;&gt;"pvp",Inputs!$B$44=0),1,IF(IF(Inputs!$B$39="pvp",15,Inputs!$B$44)-(B3342)&lt;=0,1,MAX(0,IF(Inputs!$B$39="pvp",15,Inputs!$B$44)-MAX(5,B3342))/(IF(Inputs!$B$39="pvp",15,Inputs!$B$44)-(B3342))))*IF(AND(ArtifactsInput!$M$42,((Inputs!$B$9+((C3323=TRUE)*(F3323-Calc!F26))+B3331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3299*(MIN(100,(Inputs!$B$9+((C3323=TRUE)*(F3323-Calc!F26))+B3331+(ArtifactsInput!$M$24-ArtifactsInput!$M$24)*CHOOSE(ArtifactsInput!$N$24+1,10,12,14,16,18,20)+(IF(AND(Inputs!$B$39&lt;&gt;"pvp",Inputs!$B$44=0),1,IF(IF(Inputs!$B$39="pvp",15,Inputs!$B$44)-(B3342)&lt;=0,1,MAX(0,IF(Inputs!$B$39="pvp",15,Inputs!$B$44)-MAX(5,B3342))/(IF(Inputs!$B$39="pvp",15,Inputs!$B$44)-(B3342))))*IF(AND(ArtifactsInput!$M$42,((Inputs!$B$9+((C3323=TRUE)*(F3323-Calc!F26))+B3331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3299">
        <f>MAX(0,(Inputs!$B$3-100)*3)+Inputs!$B$28+Inputs!$B$29</f>
        <v/>
      </c>
      <c r="V3299">
        <f>IF(C3299,(Skills!G2*N3299*B3337)*IF(Inputs!$B$39="pvp",1,(1+(Inputs!$B$21+Skills!Q2+B3332+(IF(ArtifactsInput!$M$33,CHOOSE(ArtifactsInput!$N$33+1,30,36,42,48,54,60),0))+(IF(AND(ArtifactsInput!$M$35,Inputs!$B$4&lt;&gt;"Chapter Hunt"),CHOOSE(ArtifactsInput!$N$35+1,15,18,21,24,27,30)*(1-EXP(-(0.2*B3335)*5)),0)+IF(AND(ArtifactsInput!$M$22,Inputs!$B$4&lt;&gt;"Chapter Hunt"),CHOOSE(ArtifactsInput!$N$22+1,10,12,14,16,18,20)*((0*(((0.15*B3335*5))^0/1)+1*(((0.15*B3335*5))^1/1)+2*(((0.15*B3335*5))^2/2)+3*(((0.15*B3335*5))^3/6)+4*(((0.15*B3335*5))^4/24)+5*(((0.15*B3335*5))^5/120))/((((0.15*B3335*5))^0/1)+(((0.15*B3335*5))^1/1)+(((0.15*B3335*5))^2/2)+(((0.15*B3335*5))^3/6)+(((0.15*B3335*5))^4/24)+(((0.15*B3335*5))^5/120))),0)))/100)*(MIN((6+Inputs!$B$33),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3300">
      <c r="A3300">
        <f>Skills!A3</f>
        <v/>
      </c>
      <c r="B3300">
        <f>Skills!B3</f>
        <v/>
      </c>
      <c r="C3300">
        <f>Inputs!$B$3&gt;=35</f>
        <v/>
      </c>
      <c r="D3300">
        <f>IF(Skills!C3=1,60+Inputs!$B$25+Inputs!$B$29,IF(Skills!C3=2,90+Inputs!$B$26+Inputs!$B$29,IF(Skills!C3=3,120+Inputs!$B$27+Inputs!$B$29,MAX(0,(Inputs!$B$3-100)*3)+Inputs!$B$28+Inputs!$B$29)))</f>
        <v/>
      </c>
      <c r="E3300">
        <f>INDEX(FactorTable!$B$2:$Y$301, MATCH(ROUND(MIN(300,MAX(1,D3300)),0), FactorTable!$A$2:$A$301,0), Skills!M3+1)</f>
        <v/>
      </c>
      <c r="F3300">
        <f>IF(Skills!N3=TRUE,(Skills!L3/10)*(E3300/1000),Skills!L3/10)+Skills!O3</f>
        <v/>
      </c>
      <c r="G3300">
        <f>Skills!G3*IF(Skills!H3&gt;0,IF(Inputs!$B$39="pvp",MIN(Skills!I3,15),Skills!I3)/Skills!H3,1)</f>
        <v/>
      </c>
      <c r="H3300">
        <f>1-(1-Skills!J3/100)^Skills!K3</f>
        <v/>
      </c>
      <c r="I3300" t="inlineStr">
        <is>
          <t>1</t>
        </is>
      </c>
      <c r="J3300" t="inlineStr"/>
      <c r="K3300" t="inlineStr"/>
      <c r="L3300" t="inlineStr"/>
      <c r="M3300" t="inlineStr"/>
      <c r="N3300" t="inlineStr"/>
      <c r="O3300">
        <f>(1-Summary!$B$11)*T3300+Summary!$B$11*V3300</f>
        <v/>
      </c>
      <c r="P3300">
        <f>IF(B3343=0,0,O3300/B3343)</f>
        <v/>
      </c>
      <c r="Q3300" t="n">
        <v>0</v>
      </c>
      <c r="R3300" t="n">
        <v>0</v>
      </c>
      <c r="S3300">
        <f>IFERROR(O3300/N3300,0)</f>
        <v/>
      </c>
      <c r="T3300" t="n">
        <v>0</v>
      </c>
      <c r="U3300">
        <f>INDEX(FactorTable!$B$2:$Y$301, MATCH(ROUND(MIN(300,MAX(1,U3299)),0), FactorTable!$A$2:$A$301,0), 22)</f>
        <v/>
      </c>
      <c r="V3300" t="n">
        <v>0</v>
      </c>
    </row>
    <row r="3301">
      <c r="A3301">
        <f>Skills!A4</f>
        <v/>
      </c>
      <c r="B3301">
        <f>Skills!B4</f>
        <v/>
      </c>
      <c r="C3301">
        <f>Inputs!$B$3&gt;=66</f>
        <v/>
      </c>
      <c r="D3301">
        <f>IF(Skills!C4=1,60+Inputs!$B$25+Inputs!$B$29,IF(Skills!C4=2,90+Inputs!$B$26+Inputs!$B$29,IF(Skills!C4=3,120+Inputs!$B$27+Inputs!$B$29,MAX(0,(Inputs!$B$3-100)*3)+Inputs!$B$28+Inputs!$B$29)))</f>
        <v/>
      </c>
      <c r="E3301">
        <f>INDEX(FactorTable!$B$2:$Y$301, MATCH(ROUND(MIN(300,MAX(1,D3301)),0), FactorTable!$A$2:$A$301,0), Skills!M4+1)</f>
        <v/>
      </c>
      <c r="F3301">
        <f>IF(Skills!N4=TRUE,(Skills!L4/10)*(E3301/1000),Skills!L4/10)+Skills!O4</f>
        <v/>
      </c>
      <c r="G3301">
        <f>Skills!G4*IF(Skills!H4&gt;0,IF(Inputs!$B$39="pvp",MIN(Skills!I4,15),Skills!I4)/Skills!H4,1)</f>
        <v/>
      </c>
      <c r="H3301">
        <f>1-(1-Skills!J4/100)^Skills!K4</f>
        <v/>
      </c>
      <c r="I3301" t="inlineStr">
        <is>
          <t>1</t>
        </is>
      </c>
      <c r="J3301">
        <f>((Inputs!$B$6*(1+Inputs!$B$7/100))+(((Inputs!$B$12*(1+Inputs!$B$13/100))-(Inputs!$B$12*(1+Inputs!$B$13/100)))+0.25*(Inputs!$B$14-Inputs!$B$14))*(1+Inputs!$B$7/100))*(F3301/100)</f>
        <v/>
      </c>
      <c r="K3301">
        <f>J3301*(1+((Inputs!$B$12*(1+Inputs!$B$13/100))*0.01+Inputs!$B$14*0.0025)/100)*(1+Inputs!$B$15/100)*(1+Inputs!$B$16/100)*(5000/(6000+Inputs!$B$43*(1-(100*(1-(1-Inputs!$B$19/100)*(1-CHOOSE(ArtifactsInput!$N$40+1,5,6,7,8,9,10)/100)^(ArtifactsInput!$M$40-ArtifactsInput!$M$40)))/100)))*(1+(Inputs!$B$24+((C3328=TRUE)*(F3328-Calc!F31))+((C3315=TRUE)*(F3315-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4="CRUEL_STAB",Inputs!$B$17+((C3325=TRUE)*(F3325-Calc!F28))+((IF(AND(Inputs!$B$39&lt;&gt;"pvp",Inputs!$B$44=0),1,IF(IF(Inputs!$B$39="pvp",15,Inputs!$B$44)-(B3342)&lt;=0,1,MAX(0,IF(Inputs!$B$39="pvp",15,Inputs!$B$44)-MAX(5,B3342))/(IF(Inputs!$B$39="pvp",15,Inputs!$B$44)-(B3342))))*(IF(AND(ArtifactsInput!$M$42,((Inputs!$B$9+((C3323=TRUE)*(F3323-Calc!F26))+B3331+(ArtifactsInput!$M$24-ArtifactsInput!$M$24)*CHOOSE(ArtifactsInput!$N$24+1,10,12,14,16,18,20)+IF(ArtifactsInput!$M$10,CHOOSE(ArtifactsInput!$N$10+1,15,18,21,24,27,30)*(IF(Inputs!$B$39="pvp",MIN(15,15)/15,IF(AND(Inputs!$B$39&lt;&gt;"pvp",Inputs!$B$44&gt;0),MIN(15,Inputs!$B$44)/(Inputs!$B$44),0))),0)))&gt;=100),MIN(100,((Inputs!$B$9+((C3323=TRUE)*(F3323-Calc!F26))+B3331+(ArtifactsInput!$M$24-ArtifactsInput!$M$24)*CHOOSE(ArtifactsInput!$N$24+1,10,12,14,16,18,20)+IF(ArtifactsInput!$M$10,CHOOSE(ArtifactsInput!$N$10+1,15,18,21,24,27,30)*(IF(Inputs!$B$39="pvp",MIN(15,15)/15,IF(AND(Inputs!$B$39&lt;&gt;"pvp",Inputs!$B$44&gt;0),MIN(15,Inputs!$B$44)/(Inputs!$B$44),0))),0)))-100),0))*CHOOSE(ArtifactsInput!$N$42+1,0.6,0.72,0.84,0.96,1.08,1.2))),Inputs!$B$18+((C3326=TRUE)*(F3326-Calc!F29))+(IF(AND(Inputs!$B$39&lt;&gt;"pvp",Inputs!$B$44=0),1,IF(IF(Inputs!$B$39="pvp",15,Inputs!$B$44)-(B3342)&lt;=0,1,MAX(0,IF(Inputs!$B$39="pvp",15,Inputs!$B$44)-MAX(5,B3342))/(IF(Inputs!$B$39="pvp",15,Inputs!$B$44)-(B3342))))*IF(AND(ArtifactsInput!$M$42,((Inputs!$B$9+((C3323=TRUE)*(F3323-Calc!F26))+B3331+(ArtifactsInput!$M$24-ArtifactsInput!$M$24)*CHOOSE(ArtifactsInput!$N$24+1,10,12,14,16,18,20)+IF(ArtifactsInput!$M$10,CHOOSE(ArtifactsInput!$N$10+1,15,18,21,24,27,30)*(IF(Inputs!$B$39="pvp",MIN(15,15)/15,IF(AND(Inputs!$B$39&lt;&gt;"pvp",Inputs!$B$44&gt;0),MIN(15,Inputs!$B$44)/(Inputs!$B$44),0))),0)))&gt;=100),CHOOSE(ArtifactsInput!$N$42+1,40,48,56,64,72,80),0))))/100)*(((1+(((C3319=TRUE)*F3319*IF(AND(Inputs!$B$39&lt;&gt;"pvp",Inputs!$B$44&gt;0),(((R3319-1)*MIN((Skills!Y22*(1+Inputs!$B$34/100)),(1/Q3319))+MIN((Skills!Y22*(1+Inputs!$B$34/100)),MAX(0,Inputs!$B$44-((R3319-1)*(1/Q3319)))))/Inputs!$B$44),IF(Inputs!$B$39="pvp",MIN((Skills!Y22*(1+Inputs!$B$34/100)),15)/15,MIN(1,(Skills!Y22*(1+Inputs!$B$34/100))/(1/Q3319)))))+((C3300=TRUE)*F3300*3)+((C3302=TRUE)*F3302*(1-EXP(-0.75*B3335*5)))+((C3321=TRUE)*(F3321-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3308=TRUE)*F3308*IF(AND(Inputs!$B$39&lt;&gt;"pvp",Inputs!$B$44&gt;0),(((R3308-1)*MIN((Skills!Y11*(1+Inputs!$B$34/100)),(1/Q3308))+MIN((Skills!Y11*(1+Inputs!$B$34/100)),MAX(0,Inputs!$B$44-((R3308-1)*(1/Q3308)))))/Inputs!$B$44),IF(Inputs!$B$39="pvp",MIN((Skills!Y11*(1+Inputs!$B$34/100)),15)/15,MIN(1,(Skills!Y11*(1+Inputs!$B$34/100))/(1/Q3308)))))/100)*(1+((C3313=TRUE)*F3313*IF(AND(Inputs!$B$39&lt;&gt;"pvp",Inputs!$B$44&gt;0),(((R3313-1)*MIN((Skills!Y16*(1+Inputs!$B$34/100)),(1/Q3313))+MIN((Skills!Y16*(1+Inputs!$B$34/100)),MAX(0,Inputs!$B$44-((R3313-1)*(1/Q3313)))))/Inputs!$B$44),IF(Inputs!$B$39="pvp",MIN((Skills!Y16*(1+Inputs!$B$34/100)),15)/15,MIN(1,(Skills!Y16*(1+Inputs!$B$34/100))/(1/Q3313)))))/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3333*I3301)</f>
        <v/>
      </c>
      <c r="L3301">
        <f>K3301*(MIN(Inputs!$B$22+((C3322=TRUE)*(F3322-Calc!F25)),(Inputs!$B$23+((C3327=TRUE)*(F3327-Calc!F30))+IF(ArtifactsInput!$M$15,CHOOSE(ArtifactsInput!$N$15+1,25,30,35,40,45,50)/100*(Inputs!$B$11-Inputs!$B$11),0)))/100+(Inputs!$B$23+((C3327=TRUE)*(F3327-Calc!F30))+IF(ArtifactsInput!$M$15,CHOOSE(ArtifactsInput!$N$15+1,25,30,35,40,45,50)/100*(Inputs!$B$11-Inputs!$B$11),0))/100)/2</f>
        <v/>
      </c>
      <c r="M3301">
        <f>L3301*(1+(Inputs!$B$10+((C3324=TRUE)*(F3324-Calc!F27))+B3338+(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3301">
        <f>L3301*(1-MIN((Inputs!$B$9+((C3323=TRUE)*(F3323-Calc!F26))+B3331+(ArtifactsInput!$M$24-ArtifactsInput!$M$24)*CHOOSE(ArtifactsInput!$N$24+1,10,12,14,16,18,20)+(IF(AND(Inputs!$B$39&lt;&gt;"pvp",Inputs!$B$44=0),1,IF(IF(Inputs!$B$39="pvp",15,Inputs!$B$44)-(B3342)&lt;=0,1,MAX(0,IF(Inputs!$B$39="pvp",15,Inputs!$B$44)-MAX(5,B3342))/(IF(Inputs!$B$39="pvp",15,Inputs!$B$44)-(B3342))))*IF(AND(ArtifactsInput!$M$42,((Inputs!$B$9+((C3323=TRUE)*(F3323-Calc!F26))+B3331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3301*(MIN((Inputs!$B$9+((C3323=TRUE)*(F3323-Calc!F26))+B3331+(ArtifactsInput!$M$24-ArtifactsInput!$M$24)*CHOOSE(ArtifactsInput!$N$24+1,10,12,14,16,18,20)+(IF(AND(Inputs!$B$39&lt;&gt;"pvp",Inputs!$B$44=0),1,IF(IF(Inputs!$B$39="pvp",15,Inputs!$B$44)-(B3342)&lt;=0,1,MAX(0,IF(Inputs!$B$39="pvp",15,Inputs!$B$44)-MAX(5,B3342))/(IF(Inputs!$B$39="pvp",15,Inputs!$B$44)-(B3342))))*IF(AND(ArtifactsInput!$M$42,((Inputs!$B$9+((C3323=TRUE)*(F3323-Calc!F26))+B3331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3301">
        <f>(1-Summary!$B$11)*T3301+Summary!$B$11*V3301</f>
        <v/>
      </c>
      <c r="P3301">
        <f>IF(B3343=0,0,O3301/B3343)</f>
        <v/>
      </c>
      <c r="Q3301">
        <f>IFERROR(1/IF(Inputs!$B$39="pvp",15,MAX(0.1,Skills!D4-IF(TRUE=TRUE,0.5,0))),0)</f>
        <v/>
      </c>
      <c r="R3301">
        <f>IF(AND(Inputs!$B$39&lt;&gt;"pvp",Inputs!$B$44&gt;0),IF(MAX(0,Inputs!$B$44-B3342)&lt;=0,0,(INT(MAX(0,Inputs!$B$44-B3342)/IF(Inputs!$B$39="pvp",15,MAX(0.1,Skills!D4-IF(TRUE=TRUE,0.5,0))))+1)),0)</f>
        <v/>
      </c>
      <c r="S3301">
        <f>IFERROR(O3301/N3301,0)</f>
        <v/>
      </c>
      <c r="T3301">
        <f>IF(C3301,(H3301*N3301*IF(AND(Inputs!$B$39&lt;&gt;"pvp",Inputs!$B$44&gt;0),((Skills!G4*((R3301-1)*IF(Skills!H4&gt;0,Skills!I4/Skills!H4,1)+IF(Skills!H4&gt;0,MIN(Skills!I4,MAX(0,MAX(0,Inputs!$B$44-B3342)-((R3301-1)*IF(Inputs!$B$39="pvp",15,MAX(0.1,Skills!D4-IF(TRUE=TRUE,0.5,0))))))/Skills!H4,1)))/Inputs!$B$44),G3301*Q3301))*IF(Inputs!$B$39="pvp",1,1+(Inputs!$B$20+0+Skills!P4+B3332+(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Hunt"),CHOOSE(ArtifactsInput!$N$35+1,15,18,21,24,27,30)*(1-EXP(-(0.2*B3335)*5)),0)+IF(AND(ArtifactsInput!$M$22,Inputs!$B$4&lt;&gt;"Chapter Hunt"),CHOOSE(ArtifactsInput!$N$22+1,10,12,14,16,18,20)*((0*(((0.15*B3335*5))^0/1)+1*(((0.15*B3335*5))^1/1)+2*(((0.15*B3335*5))^2/2)+3*(((0.15*B3335*5))^3/6)+4*(((0.15*B3335*5))^4/24)+5*(((0.15*B3335*5))^5/120))/((((0.15*B3335*5))^0/1)+(((0.15*B3335*5))^1/1)+(((0.15*B3335*5))^2/2)+(((0.15*B3335*5))^3/6)+(((0.15*B3335*5))^4/24)+(((0.15*B3335*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3301*(1-MIN(100,(Inputs!$B$9+((C3323=TRUE)*(F3323-Calc!F26))+B3331+(ArtifactsInput!$M$24-ArtifactsInput!$M$24)*CHOOSE(ArtifactsInput!$N$24+1,10,12,14,16,18,20)+(IF(AND(Inputs!$B$39&lt;&gt;"pvp",Inputs!$B$44=0),1,IF(IF(Inputs!$B$39="pvp",15,Inputs!$B$44)-(B3342)&lt;=0,1,MAX(0,IF(Inputs!$B$39="pvp",15,Inputs!$B$44)-MAX(5,B3342))/(IF(Inputs!$B$39="pvp",15,Inputs!$B$44)-(B3342))))*IF(AND(ArtifactsInput!$M$42,((Inputs!$B$9+((C3323=TRUE)*(F3323-Calc!F26))+B3331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3301*(MIN(100,(Inputs!$B$9+((C3323=TRUE)*(F3323-Calc!F26))+B3331+(ArtifactsInput!$M$24-ArtifactsInput!$M$24)*CHOOSE(ArtifactsInput!$N$24+1,10,12,14,16,18,20)+(IF(AND(Inputs!$B$39&lt;&gt;"pvp",Inputs!$B$44=0),1,IF(IF(Inputs!$B$39="pvp",15,Inputs!$B$44)-(B3342)&lt;=0,1,MAX(0,IF(Inputs!$B$39="pvp",15,Inputs!$B$44)-MAX(5,B3342))/(IF(Inputs!$B$39="pvp",15,Inputs!$B$44)-(B3342))))*IF(AND(ArtifactsInput!$M$42,((Inputs!$B$9+((C3323=TRUE)*(F3323-Calc!F26))+B3331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3301*(1-MIN(100,(Inputs!$B$9+((C3323=TRUE)*(F3323-Calc!F26))+B3331+(ArtifactsInput!$M$24-ArtifactsInput!$M$24)*CHOOSE(ArtifactsInput!$N$24+1,10,12,14,16,18,20)+(IF(AND(Inputs!$B$39&lt;&gt;"pvp",Inputs!$B$44=0),1,IF(IF(Inputs!$B$39="pvp",15,Inputs!$B$44)-(B3342)&lt;=0,1,MAX(0,IF(Inputs!$B$39="pvp",15,Inputs!$B$44)-MAX(5,B3342))/(IF(Inputs!$B$39="pvp",15,Inputs!$B$44)-(B3342))))*IF(AND(ArtifactsInput!$M$42,((Inputs!$B$9+((C3323=TRUE)*(F3323-Calc!F26))+B3331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3301*(MIN(100,(Inputs!$B$9+((C3323=TRUE)*(F3323-Calc!F26))+B3331+(ArtifactsInput!$M$24-ArtifactsInput!$M$24)*CHOOSE(ArtifactsInput!$N$24+1,10,12,14,16,18,20)+(IF(AND(Inputs!$B$39&lt;&gt;"pvp",Inputs!$B$44=0),1,IF(IF(Inputs!$B$39="pvp",15,Inputs!$B$44)-(B3342)&lt;=0,1,MAX(0,IF(Inputs!$B$39="pvp",15,Inputs!$B$44)-MAX(5,B3342))/(IF(Inputs!$B$39="pvp",15,Inputs!$B$44)-(B3342))))*IF(AND(ArtifactsInput!$M$42,((Inputs!$B$9+((C3323=TRUE)*(F3323-Calc!F26))+B3331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3301">
        <f>290*U3300/1000</f>
        <v/>
      </c>
      <c r="V3301">
        <f>IF(C3301,(H3301*N3301*IF(AND(Inputs!$B$39&lt;&gt;"pvp",Inputs!$B$44&gt;0),((Skills!G4*((R3301-1)*IF(Skills!H4&gt;0,Skills!I4/Skills!H4,1)+IF(Skills!H4&gt;0,MIN(Skills!I4,MAX(0,MAX(0,Inputs!$B$44-B3342)-((R3301-1)*IF(Inputs!$B$39="pvp",15,MAX(0.1,Skills!D4-IF(TRUE=TRUE,0.5,0))))))/Skills!H4,1)))/Inputs!$B$44),G3301*Q3301))*IF(Inputs!$B$39="pvp",1,(1+(Inputs!$B$21+Skills!Q4+B3332+(IF(ArtifactsInput!$M$33,CHOOSE(ArtifactsInput!$N$33+1,30,36,42,48,54,60),0))+(IF(AND(ArtifactsInput!$M$35,Inputs!$B$4&lt;&gt;"Chapter Hunt"),CHOOSE(ArtifactsInput!$N$35+1,15,18,21,24,27,30)*(1-EXP(-(0.2*B3335)*5)),0)+IF(AND(ArtifactsInput!$M$22,Inputs!$B$4&lt;&gt;"Chapter Hunt"),CHOOSE(ArtifactsInput!$N$22+1,10,12,14,16,18,20)*((0*(((0.15*B3335*5))^0/1)+1*(((0.15*B3335*5))^1/1)+2*(((0.15*B3335*5))^2/2)+3*(((0.15*B3335*5))^3/6)+4*(((0.15*B3335*5))^4/24)+5*(((0.15*B3335*5))^5/120))/((((0.15*B3335*5))^0/1)+(((0.15*B3335*5))^1/1)+(((0.15*B3335*5))^2/2)+(((0.15*B3335*5))^3/6)+(((0.15*B3335*5))^4/24)+(((0.15*B3335*5))^5/120))),0)))/100)*(MIN(MIN(10,IF(Inputs!$B$3&gt;=75,0.75,0.5)*B3335*(1/Q3301)),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3302">
      <c r="A3302">
        <f>Skills!A5</f>
        <v/>
      </c>
      <c r="B3302">
        <f>Skills!B5</f>
        <v/>
      </c>
      <c r="C3302">
        <f>Inputs!$B$3&gt;=75</f>
        <v/>
      </c>
      <c r="D3302">
        <f>IF(Skills!C5=1,60+Inputs!$B$25+Inputs!$B$29,IF(Skills!C5=2,90+Inputs!$B$26+Inputs!$B$29,IF(Skills!C5=3,120+Inputs!$B$27+Inputs!$B$29,MAX(0,(Inputs!$B$3-100)*3)+Inputs!$B$28+Inputs!$B$29)))</f>
        <v/>
      </c>
      <c r="E3302">
        <f>INDEX(FactorTable!$B$2:$Y$301, MATCH(ROUND(MIN(300,MAX(1,D3302)),0), FactorTable!$A$2:$A$301,0), Skills!M5+1)</f>
        <v/>
      </c>
      <c r="F3302">
        <f>IF(Skills!N5=TRUE,(Skills!L5/10)*(E3302/1000),Skills!L5/10)+Skills!O5</f>
        <v/>
      </c>
      <c r="G3302">
        <f>Skills!G5*IF(Skills!H5&gt;0,IF(Inputs!$B$39="pvp",MIN(Skills!I5,15),Skills!I5)/Skills!H5,1)</f>
        <v/>
      </c>
      <c r="H3302">
        <f>1-(1-Skills!J5/100)^Skills!K5</f>
        <v/>
      </c>
      <c r="I3302" t="inlineStr">
        <is>
          <t>1</t>
        </is>
      </c>
      <c r="J3302" t="inlineStr"/>
      <c r="K3302" t="inlineStr"/>
      <c r="L3302" t="inlineStr"/>
      <c r="M3302" t="inlineStr"/>
      <c r="N3302" t="inlineStr"/>
      <c r="O3302">
        <f>(1-Summary!$B$11)*T3302+Summary!$B$11*V3302</f>
        <v/>
      </c>
      <c r="P3302">
        <f>IF(B3343=0,0,O3302/B3343)</f>
        <v/>
      </c>
      <c r="Q3302" t="n">
        <v>0</v>
      </c>
      <c r="R3302" t="n">
        <v>0</v>
      </c>
      <c r="S3302">
        <f>IFERROR(O3302/N3302,0)</f>
        <v/>
      </c>
      <c r="T3302" t="n">
        <v>0</v>
      </c>
      <c r="V3302" t="n">
        <v>0</v>
      </c>
    </row>
    <row r="3303">
      <c r="A3303">
        <f>Skills!A6</f>
        <v/>
      </c>
      <c r="B3303">
        <f>Skills!B6</f>
        <v/>
      </c>
      <c r="C3303">
        <f>Inputs!$B$3&gt;=63</f>
        <v/>
      </c>
      <c r="D3303">
        <f>IF(Skills!C6=1,60+Inputs!$B$25+Inputs!$B$29,IF(Skills!C6=2,90+Inputs!$B$26+Inputs!$B$29,IF(Skills!C6=3,120+Inputs!$B$27+Inputs!$B$29,MAX(0,(Inputs!$B$3-100)*3)+Inputs!$B$28+Inputs!$B$29)))</f>
        <v/>
      </c>
      <c r="E3303">
        <f>INDEX(FactorTable!$B$2:$Y$301, MATCH(ROUND(MIN(300,MAX(1,D3303)),0), FactorTable!$A$2:$A$301,0), Skills!M6+1)</f>
        <v/>
      </c>
      <c r="F3303">
        <f>IF(Skills!N6=TRUE,(Skills!L6/10)*(E3303/1000),Skills!L6/10)+Skills!O6</f>
        <v/>
      </c>
      <c r="G3303">
        <f>Skills!G6*IF(Skills!H6&gt;0,IF(Inputs!$B$39="pvp",MIN(Skills!I6,15),Skills!I6)/Skills!H6,1)</f>
        <v/>
      </c>
      <c r="H3303">
        <f>1-(1-Skills!J6/100)^Skills!K6</f>
        <v/>
      </c>
      <c r="I3303" t="inlineStr">
        <is>
          <t>1</t>
        </is>
      </c>
      <c r="J3303">
        <f>((Inputs!$B$6*(1+Inputs!$B$7/100))+(((Inputs!$B$12*(1+Inputs!$B$13/100))-(Inputs!$B$12*(1+Inputs!$B$13/100)))+0.25*(Inputs!$B$14-Inputs!$B$14))*(1+Inputs!$B$7/100))*(F3303/100)</f>
        <v/>
      </c>
      <c r="K3303">
        <f>J3303*(1+((Inputs!$B$12*(1+Inputs!$B$13/100))*0.01+Inputs!$B$14*0.0025)/100)*(1+Inputs!$B$15/100)*(1+Inputs!$B$16/100)*(5000/(6000+Inputs!$B$43*(1-(100*(1-(1-Inputs!$B$19/100)*(1-CHOOSE(ArtifactsInput!$N$40+1,5,6,7,8,9,10)/100)^(ArtifactsInput!$M$40-ArtifactsInput!$M$40)))/100)))*(1+(Inputs!$B$24+((C3328=TRUE)*(F3328-Calc!F31))+((C3315=TRUE)*(F3315-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+2.6666666666666665*IF(C3316=TRUE,F3316,0)/100)*(1+(IF(Skills!A6="CRUEL_STAB",Inputs!$B$17+((C3325=TRUE)*(F3325-Calc!F28))+((IF(AND(Inputs!$B$39&lt;&gt;"pvp",Inputs!$B$44=0),1,IF(IF(Inputs!$B$39="pvp",15,Inputs!$B$44)-(B3342)&lt;=0,1,MAX(0,IF(Inputs!$B$39="pvp",15,Inputs!$B$44)-MAX(5,B3342))/(IF(Inputs!$B$39="pvp",15,Inputs!$B$44)-(B3342))))*(IF(AND(ArtifactsInput!$M$42,((Inputs!$B$9+((C3323=TRUE)*(F3323-Calc!F26))+B3331+(ArtifactsInput!$M$24-ArtifactsInput!$M$24)*CHOOSE(ArtifactsInput!$N$24+1,10,12,14,16,18,20)+IF(ArtifactsInput!$M$10,CHOOSE(ArtifactsInput!$N$10+1,15,18,21,24,27,30)*(IF(Inputs!$B$39="pvp",MIN(15,15)/15,IF(AND(Inputs!$B$39&lt;&gt;"pvp",Inputs!$B$44&gt;0),MIN(15,Inputs!$B$44)/(Inputs!$B$44),0))),0)))&gt;=100),MIN(100,((Inputs!$B$9+((C3323=TRUE)*(F3323-Calc!F26))+B3331+(ArtifactsInput!$M$24-ArtifactsInput!$M$24)*CHOOSE(ArtifactsInput!$N$24+1,10,12,14,16,18,20)+IF(ArtifactsInput!$M$10,CHOOSE(ArtifactsInput!$N$10+1,15,18,21,24,27,30)*(IF(Inputs!$B$39="pvp",MIN(15,15)/15,IF(AND(Inputs!$B$39&lt;&gt;"pvp",Inputs!$B$44&gt;0),MIN(15,Inputs!$B$44)/(Inputs!$B$44),0))),0)))-100),0))*CHOOSE(ArtifactsInput!$N$42+1,0.6,0.72,0.84,0.96,1.08,1.2))),Inputs!$B$18+((C3326=TRUE)*(F3326-Calc!F29))+(IF(AND(Inputs!$B$39&lt;&gt;"pvp",Inputs!$B$44=0),1,IF(IF(Inputs!$B$39="pvp",15,Inputs!$B$44)-(B3342)&lt;=0,1,MAX(0,IF(Inputs!$B$39="pvp",15,Inputs!$B$44)-MAX(5,B3342))/(IF(Inputs!$B$39="pvp",15,Inputs!$B$44)-(B3342))))*IF(AND(ArtifactsInput!$M$42,((Inputs!$B$9+((C3323=TRUE)*(F3323-Calc!F26))+B3331+(ArtifactsInput!$M$24-ArtifactsInput!$M$24)*CHOOSE(ArtifactsInput!$N$24+1,10,12,14,16,18,20)+IF(ArtifactsInput!$M$10,CHOOSE(ArtifactsInput!$N$10+1,15,18,21,24,27,30)*(IF(Inputs!$B$39="pvp",MIN(15,15)/15,IF(AND(Inputs!$B$39&lt;&gt;"pvp",Inputs!$B$44&gt;0),MIN(15,Inputs!$B$44)/(Inputs!$B$44),0))),0)))&gt;=100),CHOOSE(ArtifactsInput!$N$42+1,40,48,56,64,72,80),0))))/100)*(((1+(((C3319=TRUE)*F3319*IF(AND(Inputs!$B$39&lt;&gt;"pvp",Inputs!$B$44&gt;0),(((R3319-1)*MIN((Skills!Y22*(1+Inputs!$B$34/100)),(1/Q3319))+MIN((Skills!Y22*(1+Inputs!$B$34/100)),MAX(0,Inputs!$B$44-((R3319-1)*(1/Q3319)))))/Inputs!$B$44),IF(Inputs!$B$39="pvp",MIN((Skills!Y22*(1+Inputs!$B$34/100)),15)/15,MIN(1,(Skills!Y22*(1+Inputs!$B$34/100))/(1/Q3319)))))+((C3300=TRUE)*F3300*3)+((C3302=TRUE)*F3302*(1-EXP(-0.75*B3335*5)))+((C3321=TRUE)*(F3321-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3308=TRUE)*F3308*IF(AND(Inputs!$B$39&lt;&gt;"pvp",Inputs!$B$44&gt;0),(((R3308-1)*MIN((Skills!Y11*(1+Inputs!$B$34/100)),(1/Q3308))+MIN((Skills!Y11*(1+Inputs!$B$34/100)),MAX(0,Inputs!$B$44-((R3308-1)*(1/Q3308)))))/Inputs!$B$44),IF(Inputs!$B$39="pvp",MIN((Skills!Y11*(1+Inputs!$B$34/100)),15)/15,MIN(1,(Skills!Y11*(1+Inputs!$B$34/100))/(1/Q3308)))))/100)*(1+((C3313=TRUE)*F3313*IF(AND(Inputs!$B$39&lt;&gt;"pvp",Inputs!$B$44&gt;0),(((R3313-1)*MIN((Skills!Y16*(1+Inputs!$B$34/100)),(1/Q3313))+MIN((Skills!Y16*(1+Inputs!$B$34/100)),MAX(0,Inputs!$B$44-((R3313-1)*(1/Q3313)))))/Inputs!$B$44),IF(Inputs!$B$39="pvp",MIN((Skills!Y16*(1+Inputs!$B$34/100)),15)/15,MIN(1,(Skills!Y16*(1+Inputs!$B$34/100))/(1/Q3313)))))/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3333*I3303)</f>
        <v/>
      </c>
      <c r="L3303">
        <f>K3303*(MIN(Inputs!$B$22+((C3322=TRUE)*(F3322-Calc!F25)),(Inputs!$B$23+((C3327=TRUE)*(F3327-Calc!F30))+IF(ArtifactsInput!$M$15,CHOOSE(ArtifactsInput!$N$15+1,25,30,35,40,45,50)/100*(Inputs!$B$11-Inputs!$B$11),0)))/100+(Inputs!$B$23+((C3327=TRUE)*(F3327-Calc!F30))+IF(ArtifactsInput!$M$15,CHOOSE(ArtifactsInput!$N$15+1,25,30,35,40,45,50)/100*(Inputs!$B$11-Inputs!$B$11),0))/100)/2</f>
        <v/>
      </c>
      <c r="M3303">
        <f>L3303*(1+(Inputs!$B$10+((C3324=TRUE)*(F3324-Calc!F27))+B3338+(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3303">
        <f>L3303*(1-MIN((Inputs!$B$9+((C3323=TRUE)*(F3323-Calc!F26))+B3331+(ArtifactsInput!$M$24-ArtifactsInput!$M$24)*CHOOSE(ArtifactsInput!$N$24+1,10,12,14,16,18,20)+(IF(AND(Inputs!$B$39&lt;&gt;"pvp",Inputs!$B$44=0),1,IF(IF(Inputs!$B$39="pvp",15,Inputs!$B$44)-(B3342)&lt;=0,1,MAX(0,IF(Inputs!$B$39="pvp",15,Inputs!$B$44)-MAX(5,B3342))/(IF(Inputs!$B$39="pvp",15,Inputs!$B$44)-(B3342))))*IF(AND(ArtifactsInput!$M$42,((Inputs!$B$9+((C3323=TRUE)*(F3323-Calc!F26))+B3331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3303*(MIN((Inputs!$B$9+((C3323=TRUE)*(F3323-Calc!F26))+B3331+(ArtifactsInput!$M$24-ArtifactsInput!$M$24)*CHOOSE(ArtifactsInput!$N$24+1,10,12,14,16,18,20)+(IF(AND(Inputs!$B$39&lt;&gt;"pvp",Inputs!$B$44=0),1,IF(IF(Inputs!$B$39="pvp",15,Inputs!$B$44)-(B3342)&lt;=0,1,MAX(0,IF(Inputs!$B$39="pvp",15,Inputs!$B$44)-MAX(5,B3342))/(IF(Inputs!$B$39="pvp",15,Inputs!$B$44)-(B3342))))*IF(AND(ArtifactsInput!$M$42,((Inputs!$B$9+((C3323=TRUE)*(F3323-Calc!F26))+B3331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3303">
        <f>(1-Summary!$B$11)*T3303+Summary!$B$11*V3303</f>
        <v/>
      </c>
      <c r="P3303">
        <f>IF(B3343=0,0,O3303/B3343)</f>
        <v/>
      </c>
      <c r="Q3303">
        <f>IFERROR(1/IF(Inputs!$B$39="pvp",15,MAX(0.1,Skills!D6-IF(TRUE=TRUE,0.5,0))),0)</f>
        <v/>
      </c>
      <c r="R3303">
        <f>IF(AND(Inputs!$B$39&lt;&gt;"pvp",Inputs!$B$44&gt;0),IF(MAX(0,Inputs!$B$44-B3342)&lt;=0,0,(INT(MAX(0,Inputs!$B$44-B3342)/IF(Inputs!$B$39="pvp",15,MAX(0.1,Skills!D6-IF(TRUE=TRUE,0.5,0))))+1)),0)</f>
        <v/>
      </c>
      <c r="S3303">
        <f>IFERROR(O3303/N3303,0)</f>
        <v/>
      </c>
      <c r="T3303">
        <f>IF(C3303,(H3303*N3303*IF(AND(Inputs!$B$39&lt;&gt;"pvp",Inputs!$B$44&gt;0),((Skills!G6*((R3303-1)*IF(Skills!H6&gt;0,Skills!I6/Skills!H6,1)+IF(Skills!H6&gt;0,MIN(Skills!I6,MAX(0,MAX(0,Inputs!$B$44-B3342)-((R3303-1)*IF(Inputs!$B$39="pvp",15,MAX(0.1,Skills!D6-IF(TRUE=TRUE,0.5,0))))))/Skills!H6,1)))/Inputs!$B$44),G3303*Q3303))*IF(Inputs!$B$39="pvp",1,1+(Inputs!$B$20+0+Skills!P6+B3332+(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Hunt"),CHOOSE(ArtifactsInput!$N$35+1,15,18,21,24,27,30)*(1-EXP(-(0.2*B3335)*5)),0)+IF(AND(ArtifactsInput!$M$22,Inputs!$B$4&lt;&gt;"Chapter Hunt"),CHOOSE(ArtifactsInput!$N$22+1,10,12,14,16,18,20)*((0*(((0.15*B3335*5))^0/1)+1*(((0.15*B3335*5))^1/1)+2*(((0.15*B3335*5))^2/2)+3*(((0.15*B3335*5))^3/6)+4*(((0.15*B3335*5))^4/24)+5*(((0.15*B3335*5))^5/120))/((((0.15*B3335*5))^0/1)+(((0.15*B3335*5))^1/1)+(((0.15*B3335*5))^2/2)+(((0.15*B3335*5))^3/6)+(((0.15*B3335*5))^4/24)+(((0.15*B3335*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3303*(1-MIN(100,(Inputs!$B$9+((C3323=TRUE)*(F3323-Calc!F26))+B3331+(ArtifactsInput!$M$24-ArtifactsInput!$M$24)*CHOOSE(ArtifactsInput!$N$24+1,10,12,14,16,18,20)+(IF(AND(Inputs!$B$39&lt;&gt;"pvp",Inputs!$B$44=0),1,IF(IF(Inputs!$B$39="pvp",15,Inputs!$B$44)-(B3342)&lt;=0,1,MAX(0,IF(Inputs!$B$39="pvp",15,Inputs!$B$44)-MAX(5,B3342))/(IF(Inputs!$B$39="pvp",15,Inputs!$B$44)-(B3342))))*IF(AND(ArtifactsInput!$M$42,((Inputs!$B$9+((C3323=TRUE)*(F3323-Calc!F26))+B3331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3303*(MIN(100,(Inputs!$B$9+((C3323=TRUE)*(F3323-Calc!F26))+B3331+(ArtifactsInput!$M$24-ArtifactsInput!$M$24)*CHOOSE(ArtifactsInput!$N$24+1,10,12,14,16,18,20)+(IF(AND(Inputs!$B$39&lt;&gt;"pvp",Inputs!$B$44=0),1,IF(IF(Inputs!$B$39="pvp",15,Inputs!$B$44)-(B3342)&lt;=0,1,MAX(0,IF(Inputs!$B$39="pvp",15,Inputs!$B$44)-MAX(5,B3342))/(IF(Inputs!$B$39="pvp",15,Inputs!$B$44)-(B3342))))*IF(AND(ArtifactsInput!$M$42,((Inputs!$B$9+((C3323=TRUE)*(F3323-Calc!F26))+B3331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3303*(1-MIN(100,(Inputs!$B$9+((C3323=TRUE)*(F3323-Calc!F26))+B3331+(ArtifactsInput!$M$24-ArtifactsInput!$M$24)*CHOOSE(ArtifactsInput!$N$24+1,10,12,14,16,18,20)+(IF(AND(Inputs!$B$39&lt;&gt;"pvp",Inputs!$B$44=0),1,IF(IF(Inputs!$B$39="pvp",15,Inputs!$B$44)-(B3342)&lt;=0,1,MAX(0,IF(Inputs!$B$39="pvp",15,Inputs!$B$44)-MAX(5,B3342))/(IF(Inputs!$B$39="pvp",15,Inputs!$B$44)-(B3342))))*IF(AND(ArtifactsInput!$M$42,((Inputs!$B$9+((C3323=TRUE)*(F3323-Calc!F26))+B3331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3303*(MIN(100,(Inputs!$B$9+((C3323=TRUE)*(F3323-Calc!F26))+B3331+(ArtifactsInput!$M$24-ArtifactsInput!$M$24)*CHOOSE(ArtifactsInput!$N$24+1,10,12,14,16,18,20)+(IF(AND(Inputs!$B$39&lt;&gt;"pvp",Inputs!$B$44=0),1,IF(IF(Inputs!$B$39="pvp",15,Inputs!$B$44)-(B3342)&lt;=0,1,MAX(0,IF(Inputs!$B$39="pvp",15,Inputs!$B$44)-MAX(5,B3342))/(IF(Inputs!$B$39="pvp",15,Inputs!$B$44)-(B3342))))*IF(AND(ArtifactsInput!$M$42,((Inputs!$B$9+((C3323=TRUE)*(F3323-Calc!F26))+B3331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3303">
        <f>IF(C3303,(H3303*N3303*IF(AND(Inputs!$B$39&lt;&gt;"pvp",Inputs!$B$44&gt;0),((Skills!G6*((R3303-1)*IF(Skills!H6&gt;0,Skills!I6/Skills!H6,1)+IF(Skills!H6&gt;0,MIN(Skills!I6,MAX(0,MAX(0,Inputs!$B$44-B3342)-((R3303-1)*IF(Inputs!$B$39="pvp",15,MAX(0.1,Skills!D6-IF(TRUE=TRUE,0.5,0))))))/Skills!H6,1)))/Inputs!$B$44),G3303*Q3303))*IF(Inputs!$B$39="pvp",1,(1+(Inputs!$B$21+Skills!Q6+B3332+(IF(ArtifactsInput!$M$33,CHOOSE(ArtifactsInput!$N$33+1,30,36,42,48,54,60),0))+(IF(AND(ArtifactsInput!$M$35,Inputs!$B$4&lt;&gt;"Chapter Hunt"),CHOOSE(ArtifactsInput!$N$35+1,15,18,21,24,27,30)*(1-EXP(-(0.2*B3335)*5)),0)+IF(AND(ArtifactsInput!$M$22,Inputs!$B$4&lt;&gt;"Chapter Hunt"),CHOOSE(ArtifactsInput!$N$22+1,10,12,14,16,18,20)*((0*(((0.15*B3335*5))^0/1)+1*(((0.15*B3335*5))^1/1)+2*(((0.15*B3335*5))^2/2)+3*(((0.15*B3335*5))^3/6)+4*(((0.15*B3335*5))^4/24)+5*(((0.15*B3335*5))^5/120))/((((0.15*B3335*5))^0/1)+(((0.15*B3335*5))^1/1)+(((0.15*B3335*5))^2/2)+(((0.15*B3335*5))^3/6)+(((0.15*B3335*5))^4/24)+(((0.15*B3335*5))^5/120))),0)))/100)*(MIN(Skills!W6,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3304">
      <c r="A3304">
        <f>Skills!A7</f>
        <v/>
      </c>
      <c r="B3304">
        <f>Skills!B7</f>
        <v/>
      </c>
      <c r="C3304">
        <f>Inputs!$B$3&gt;=69</f>
        <v/>
      </c>
      <c r="D3304">
        <f>IF(Skills!C7=1,60+Inputs!$B$25+Inputs!$B$29,IF(Skills!C7=2,90+Inputs!$B$26+Inputs!$B$29,IF(Skills!C7=3,120+Inputs!$B$27+Inputs!$B$29,MAX(0,(Inputs!$B$3-100)*3)+Inputs!$B$28+Inputs!$B$29)))</f>
        <v/>
      </c>
      <c r="E3304">
        <f>INDEX(FactorTable!$B$2:$Y$301, MATCH(ROUND(MIN(300,MAX(1,D3304)),0), FactorTable!$A$2:$A$301,0), Skills!M7+1)</f>
        <v/>
      </c>
      <c r="F3304">
        <f>IF(Skills!N7=TRUE,(Skills!L7/10)*(E3304/1000),Skills!L7/10)+Skills!O7</f>
        <v/>
      </c>
      <c r="G3304">
        <f>Skills!G7*IF(Skills!H7&gt;0,IF(Inputs!$B$39="pvp",MIN(Skills!I7,15),Skills!I7)/Skills!H7,1)</f>
        <v/>
      </c>
      <c r="H3304">
        <f>1-(1-Skills!J7/100)^Skills!K7</f>
        <v/>
      </c>
      <c r="I3304" t="inlineStr">
        <is>
          <t>1</t>
        </is>
      </c>
      <c r="J3304">
        <f>((Inputs!$B$6*(1+Inputs!$B$7/100))+(((Inputs!$B$12*(1+Inputs!$B$13/100))-(Inputs!$B$12*(1+Inputs!$B$13/100)))+0.25*(Inputs!$B$14-Inputs!$B$14))*(1+Inputs!$B$7/100))*(F3304/100)</f>
        <v/>
      </c>
      <c r="K3304">
        <f>J3304*(1+((Inputs!$B$12*(1+Inputs!$B$13/100))*0.01+Inputs!$B$14*0.0025)/100)*(1+Inputs!$B$15/100)*(1+Inputs!$B$16/100)*(5000/(6000+Inputs!$B$43*(1-(100*(1-(1-Inputs!$B$19/100)*(1-CHOOSE(ArtifactsInput!$N$40+1,5,6,7,8,9,10)/100)^(ArtifactsInput!$M$40-ArtifactsInput!$M$40)))/100)))*(1+(Inputs!$B$24+((C3328=TRUE)*(F3328-Calc!F31))+((C3315=TRUE)*(F3315-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3316=TRUE,F3316,0)/100)*(1+(IF(Skills!A7="CRUEL_STAB",Inputs!$B$17+((C3325=TRUE)*(F3325-Calc!F28))+((IF(AND(Inputs!$B$39&lt;&gt;"pvp",Inputs!$B$44=0),1,IF(IF(Inputs!$B$39="pvp",15,Inputs!$B$44)-(B3342)&lt;=0,1,MAX(0,IF(Inputs!$B$39="pvp",15,Inputs!$B$44)-MAX(5,B3342))/(IF(Inputs!$B$39="pvp",15,Inputs!$B$44)-(B3342))))*(IF(AND(ArtifactsInput!$M$42,((Inputs!$B$9+((C3323=TRUE)*(F3323-Calc!F26))+B3331+(ArtifactsInput!$M$24-ArtifactsInput!$M$24)*CHOOSE(ArtifactsInput!$N$24+1,10,12,14,16,18,20)+IF(ArtifactsInput!$M$10,CHOOSE(ArtifactsInput!$N$10+1,15,18,21,24,27,30)*(IF(Inputs!$B$39="pvp",MIN(15,15)/15,IF(AND(Inputs!$B$39&lt;&gt;"pvp",Inputs!$B$44&gt;0),MIN(15,Inputs!$B$44)/(Inputs!$B$44),0))),0)))&gt;=100),MIN(100,((Inputs!$B$9+((C3323=TRUE)*(F3323-Calc!F26))+B3331+(ArtifactsInput!$M$24-ArtifactsInput!$M$24)*CHOOSE(ArtifactsInput!$N$24+1,10,12,14,16,18,20)+IF(ArtifactsInput!$M$10,CHOOSE(ArtifactsInput!$N$10+1,15,18,21,24,27,30)*(IF(Inputs!$B$39="pvp",MIN(15,15)/15,IF(AND(Inputs!$B$39&lt;&gt;"pvp",Inputs!$B$44&gt;0),MIN(15,Inputs!$B$44)/(Inputs!$B$44),0))),0)))-100),0))*CHOOSE(ArtifactsInput!$N$42+1,0.6,0.72,0.84,0.96,1.08,1.2))),Inputs!$B$18+((C3326=TRUE)*(F3326-Calc!F29))+(IF(AND(Inputs!$B$39&lt;&gt;"pvp",Inputs!$B$44=0),1,IF(IF(Inputs!$B$39="pvp",15,Inputs!$B$44)-(B3342)&lt;=0,1,MAX(0,IF(Inputs!$B$39="pvp",15,Inputs!$B$44)-MAX(5,B3342))/(IF(Inputs!$B$39="pvp",15,Inputs!$B$44)-(B3342))))*IF(AND(ArtifactsInput!$M$42,((Inputs!$B$9+((C3323=TRUE)*(F3323-Calc!F26))+B3331+(ArtifactsInput!$M$24-ArtifactsInput!$M$24)*CHOOSE(ArtifactsInput!$N$24+1,10,12,14,16,18,20)+IF(ArtifactsInput!$M$10,CHOOSE(ArtifactsInput!$N$10+1,15,18,21,24,27,30)*(IF(Inputs!$B$39="pvp",MIN(15,15)/15,IF(AND(Inputs!$B$39&lt;&gt;"pvp",Inputs!$B$44&gt;0),MIN(15,Inputs!$B$44)/(Inputs!$B$44),0))),0)))&gt;=100),CHOOSE(ArtifactsInput!$N$42+1,40,48,56,64,72,80),0))))/100)*(((1+(((C3319=TRUE)*F3319*IF(AND(Inputs!$B$39&lt;&gt;"pvp",Inputs!$B$44&gt;0),(((R3319-1)*MIN((Skills!Y22*(1+Inputs!$B$34/100)),(1/Q3319))+MIN((Skills!Y22*(1+Inputs!$B$34/100)),MAX(0,Inputs!$B$44-((R3319-1)*(1/Q3319)))))/Inputs!$B$44),IF(Inputs!$B$39="pvp",MIN((Skills!Y22*(1+Inputs!$B$34/100)),15)/15,MIN(1,(Skills!Y22*(1+Inputs!$B$34/100))/(1/Q3319)))))+((C3300=TRUE)*F3300*3)+((C3302=TRUE)*F3302*(1-EXP(-0.75*B3335*5)))+((C3321=TRUE)*(F3321-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3308=TRUE)*F3308*IF(AND(Inputs!$B$39&lt;&gt;"pvp",Inputs!$B$44&gt;0),(((R3308-1)*MIN((Skills!Y11*(1+Inputs!$B$34/100)),(1/Q3308))+MIN((Skills!Y11*(1+Inputs!$B$34/100)),MAX(0,Inputs!$B$44-((R3308-1)*(1/Q3308)))))/Inputs!$B$44),IF(Inputs!$B$39="pvp",MIN((Skills!Y11*(1+Inputs!$B$34/100)),15)/15,MIN(1,(Skills!Y11*(1+Inputs!$B$34/100))/(1/Q3308)))))/100)*(1+((C3313=TRUE)*F3313*IF(AND(Inputs!$B$39&lt;&gt;"pvp",Inputs!$B$44&gt;0),(((R3313-1)*MIN((Skills!Y16*(1+Inputs!$B$34/100)),(1/Q3313))+MIN((Skills!Y16*(1+Inputs!$B$34/100)),MAX(0,Inputs!$B$44-((R3313-1)*(1/Q3313)))))/Inputs!$B$44),IF(Inputs!$B$39="pvp",MIN((Skills!Y16*(1+Inputs!$B$34/100)),15)/15,MIN(1,(Skills!Y16*(1+Inputs!$B$34/100))/(1/Q3313)))))/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3333*I3304)</f>
        <v/>
      </c>
      <c r="L3304">
        <f>K3304*(MIN(Inputs!$B$22+((C3322=TRUE)*(F3322-Calc!F25)),(Inputs!$B$23+((C3327=TRUE)*(F3327-Calc!F30))+IF(ArtifactsInput!$M$15,CHOOSE(ArtifactsInput!$N$15+1,25,30,35,40,45,50)/100*(Inputs!$B$11-Inputs!$B$11),0)))/100+(Inputs!$B$23+((C3327=TRUE)*(F3327-Calc!F30))+IF(ArtifactsInput!$M$15,CHOOSE(ArtifactsInput!$N$15+1,25,30,35,40,45,50)/100*(Inputs!$B$11-Inputs!$B$11),0))/100)/2</f>
        <v/>
      </c>
      <c r="M3304">
        <f>L3304*(1+(Inputs!$B$10+((C3324=TRUE)*(F3324-Calc!F27))+B3338+(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3304">
        <f>L3304*(1-MIN((Inputs!$B$9+((C3323=TRUE)*(F3323-Calc!F26))+B3331+(ArtifactsInput!$M$24-ArtifactsInput!$M$24)*CHOOSE(ArtifactsInput!$N$24+1,10,12,14,16,18,20)+(IF(AND(Inputs!$B$39&lt;&gt;"pvp",Inputs!$B$44=0),1,IF(IF(Inputs!$B$39="pvp",15,Inputs!$B$44)-(B3342)&lt;=0,1,MAX(0,IF(Inputs!$B$39="pvp",15,Inputs!$B$44)-MAX(5,B3342))/(IF(Inputs!$B$39="pvp",15,Inputs!$B$44)-(B3342))))*IF(AND(ArtifactsInput!$M$42,((Inputs!$B$9+((C3323=TRUE)*(F3323-Calc!F26))+B3331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3304*(MIN((Inputs!$B$9+((C3323=TRUE)*(F3323-Calc!F26))+B3331+(ArtifactsInput!$M$24-ArtifactsInput!$M$24)*CHOOSE(ArtifactsInput!$N$24+1,10,12,14,16,18,20)+(IF(AND(Inputs!$B$39&lt;&gt;"pvp",Inputs!$B$44=0),1,IF(IF(Inputs!$B$39="pvp",15,Inputs!$B$44)-(B3342)&lt;=0,1,MAX(0,IF(Inputs!$B$39="pvp",15,Inputs!$B$44)-MAX(5,B3342))/(IF(Inputs!$B$39="pvp",15,Inputs!$B$44)-(B3342))))*IF(AND(ArtifactsInput!$M$42,((Inputs!$B$9+((C3323=TRUE)*(F3323-Calc!F26))+B3331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3304">
        <f>(1-Summary!$B$11)*T3304+Summary!$B$11*V3304</f>
        <v/>
      </c>
      <c r="P3304">
        <f>IF(B3343=0,0,O3304/B3343)</f>
        <v/>
      </c>
      <c r="Q3304">
        <f>IFERROR(1/IF(Inputs!$B$39="pvp",15,MAX(0.1,Skills!D7-IF(TRUE=TRUE,0.5,0))),0)</f>
        <v/>
      </c>
      <c r="R3304">
        <f>IF(AND(Inputs!$B$39&lt;&gt;"pvp",Inputs!$B$44&gt;0),IF(MAX(0,Inputs!$B$44-B3342)&lt;=0,0,(INT(MAX(0,Inputs!$B$44-B3342)/IF(Inputs!$B$39="pvp",15,MAX(0.1,Skills!D7-IF(TRUE=TRUE,0.5,0))))+1)),0)</f>
        <v/>
      </c>
      <c r="S3304">
        <f>IFERROR(O3304/N3304,0)</f>
        <v/>
      </c>
      <c r="T3304">
        <f>IF(C3304,(H3304*N3304*IF(AND(Inputs!$B$39&lt;&gt;"pvp",Inputs!$B$44&gt;0),((Skills!G7*((R3304-1)*IF(Skills!H7&gt;0,Skills!I7/Skills!H7,1)+IF(Skills!H7&gt;0,MIN(Skills!I7,MAX(0,MAX(0,Inputs!$B$44-B3342)-((R3304-1)*IF(Inputs!$B$39="pvp",15,MAX(0.1,Skills!D7-IF(TRUE=TRUE,0.5,0))))))/Skills!H7,1)))/Inputs!$B$44),G3304*Q3304))*IF(Inputs!$B$39="pvp",1,1+(Inputs!$B$20+0+Skills!P7+B3332+(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Hunt"),CHOOSE(ArtifactsInput!$N$35+1,15,18,21,24,27,30)*(1-EXP(-(0.2*B3335)*5)),0)+IF(AND(ArtifactsInput!$M$22,Inputs!$B$4&lt;&gt;"Chapter Hunt"),CHOOSE(ArtifactsInput!$N$22+1,10,12,14,16,18,20)*((0*(((0.15*B3335*5))^0/1)+1*(((0.15*B3335*5))^1/1)+2*(((0.15*B3335*5))^2/2)+3*(((0.15*B3335*5))^3/6)+4*(((0.15*B3335*5))^4/24)+5*(((0.15*B3335*5))^5/120))/((((0.15*B3335*5))^0/1)+(((0.15*B3335*5))^1/1)+(((0.15*B3335*5))^2/2)+(((0.15*B3335*5))^3/6)+(((0.15*B3335*5))^4/24)+(((0.15*B3335*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3304*(1-MIN(100,(Inputs!$B$9+((C3323=TRUE)*(F3323-Calc!F26))+B3331+(ArtifactsInput!$M$24-ArtifactsInput!$M$24)*CHOOSE(ArtifactsInput!$N$24+1,10,12,14,16,18,20)+(IF(AND(Inputs!$B$39&lt;&gt;"pvp",Inputs!$B$44=0),1,IF(IF(Inputs!$B$39="pvp",15,Inputs!$B$44)-(B3342)&lt;=0,1,MAX(0,IF(Inputs!$B$39="pvp",15,Inputs!$B$44)-MAX(5,B3342))/(IF(Inputs!$B$39="pvp",15,Inputs!$B$44)-(B3342))))*IF(AND(ArtifactsInput!$M$42,((Inputs!$B$9+((C3323=TRUE)*(F3323-Calc!F26))+B3331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3304*(MIN(100,(Inputs!$B$9+((C3323=TRUE)*(F3323-Calc!F26))+B3331+(ArtifactsInput!$M$24-ArtifactsInput!$M$24)*CHOOSE(ArtifactsInput!$N$24+1,10,12,14,16,18,20)+(IF(AND(Inputs!$B$39&lt;&gt;"pvp",Inputs!$B$44=0),1,IF(IF(Inputs!$B$39="pvp",15,Inputs!$B$44)-(B3342)&lt;=0,1,MAX(0,IF(Inputs!$B$39="pvp",15,Inputs!$B$44)-MAX(5,B3342))/(IF(Inputs!$B$39="pvp",15,Inputs!$B$44)-(B3342))))*IF(AND(ArtifactsInput!$M$42,((Inputs!$B$9+((C3323=TRUE)*(F3323-Calc!F26))+B3331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3304*(1-MIN(100,(Inputs!$B$9+((C3323=TRUE)*(F3323-Calc!F26))+B3331+(ArtifactsInput!$M$24-ArtifactsInput!$M$24)*CHOOSE(ArtifactsInput!$N$24+1,10,12,14,16,18,20)+(IF(AND(Inputs!$B$39&lt;&gt;"pvp",Inputs!$B$44=0),1,IF(IF(Inputs!$B$39="pvp",15,Inputs!$B$44)-(B3342)&lt;=0,1,MAX(0,IF(Inputs!$B$39="pvp",15,Inputs!$B$44)-MAX(5,B3342))/(IF(Inputs!$B$39="pvp",15,Inputs!$B$44)-(B3342))))*IF(AND(ArtifactsInput!$M$42,((Inputs!$B$9+((C3323=TRUE)*(F3323-Calc!F26))+B3331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3304*(MIN(100,(Inputs!$B$9+((C3323=TRUE)*(F3323-Calc!F26))+B3331+(ArtifactsInput!$M$24-ArtifactsInput!$M$24)*CHOOSE(ArtifactsInput!$N$24+1,10,12,14,16,18,20)+(IF(AND(Inputs!$B$39&lt;&gt;"pvp",Inputs!$B$44=0),1,IF(IF(Inputs!$B$39="pvp",15,Inputs!$B$44)-(B3342)&lt;=0,1,MAX(0,IF(Inputs!$B$39="pvp",15,Inputs!$B$44)-MAX(5,B3342))/(IF(Inputs!$B$39="pvp",15,Inputs!$B$44)-(B3342))))*IF(AND(ArtifactsInput!$M$42,((Inputs!$B$9+((C3323=TRUE)*(F3323-Calc!F26))+B3331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3304">
        <f>IF(C3304,(H3304*N3304*IF(AND(Inputs!$B$39&lt;&gt;"pvp",Inputs!$B$44&gt;0),((Skills!G7*((R3304-1)*IF(Skills!H7&gt;0,Skills!I7/Skills!H7,1)+IF(Skills!H7&gt;0,MIN(Skills!I7,MAX(0,MAX(0,Inputs!$B$44-B3342)-((R3304-1)*IF(Inputs!$B$39="pvp",15,MAX(0.1,Skills!D7-IF(TRUE=TRUE,0.5,0))))))/Skills!H7,1)))/Inputs!$B$44),G3304*Q3304))*IF(Inputs!$B$39="pvp",1,(1+(Inputs!$B$21+Skills!Q7+B3332+(IF(ArtifactsInput!$M$33,CHOOSE(ArtifactsInput!$N$33+1,30,36,42,48,54,60),0))+(IF(AND(ArtifactsInput!$M$35,Inputs!$B$4&lt;&gt;"Chapter Hunt"),CHOOSE(ArtifactsInput!$N$35+1,15,18,21,24,27,30)*(1-EXP(-(0.2*B3335)*5)),0)+IF(AND(ArtifactsInput!$M$22,Inputs!$B$4&lt;&gt;"Chapter Hunt"),CHOOSE(ArtifactsInput!$N$22+1,10,12,14,16,18,20)*((0*(((0.15*B3335*5))^0/1)+1*(((0.15*B3335*5))^1/1)+2*(((0.15*B3335*5))^2/2)+3*(((0.15*B3335*5))^3/6)+4*(((0.15*B3335*5))^4/24)+5*(((0.15*B3335*5))^5/120))/((((0.15*B3335*5))^0/1)+(((0.15*B3335*5))^1/1)+(((0.15*B3335*5))^2/2)+(((0.15*B3335*5))^3/6)+(((0.15*B3335*5))^4/24)+(((0.15*B3335*5))^5/120))),0)))/100)*(MIN(Skills!W7,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3305">
      <c r="A3305">
        <f>Skills!A8</f>
        <v/>
      </c>
      <c r="B3305">
        <f>Skills!B8</f>
        <v/>
      </c>
      <c r="C3305">
        <f>Inputs!$B$3&gt;=60</f>
        <v/>
      </c>
      <c r="D3305">
        <f>IF(Skills!C8=1,60+Inputs!$B$25+Inputs!$B$29,IF(Skills!C8=2,90+Inputs!$B$26+Inputs!$B$29,IF(Skills!C8=3,120+Inputs!$B$27+Inputs!$B$29,MAX(0,(Inputs!$B$3-100)*3)+Inputs!$B$28+Inputs!$B$29)))</f>
        <v/>
      </c>
      <c r="E3305">
        <f>INDEX(FactorTable!$B$2:$Y$301, MATCH(ROUND(MIN(300,MAX(1,D3305)),0), FactorTable!$A$2:$A$301,0), Skills!M8+1)</f>
        <v/>
      </c>
      <c r="F3305">
        <f>IF(Skills!N8=TRUE,(Skills!L8/10)*(E3305/1000),Skills!L8/10)+Skills!O8</f>
        <v/>
      </c>
      <c r="G3305">
        <f>Skills!G8*IF(Skills!H8&gt;0,IF(Inputs!$B$39="pvp",MIN(Skills!I8,15),Skills!I8)/Skills!H8,1)</f>
        <v/>
      </c>
      <c r="H3305">
        <f>1-(1-Skills!J8/100)^Skills!K8</f>
        <v/>
      </c>
      <c r="I3305" t="inlineStr">
        <is>
          <t>1</t>
        </is>
      </c>
      <c r="J3305" t="inlineStr"/>
      <c r="K3305" t="inlineStr"/>
      <c r="L3305" t="inlineStr"/>
      <c r="M3305" t="inlineStr"/>
      <c r="N3305" t="inlineStr"/>
      <c r="O3305">
        <f>(1-Summary!$B$11)*T3305+Summary!$B$11*V3305</f>
        <v/>
      </c>
      <c r="P3305">
        <f>IF(B3343=0,0,O3305/B3343)</f>
        <v/>
      </c>
      <c r="Q3305" t="n">
        <v>0</v>
      </c>
      <c r="R3305" t="n">
        <v>0</v>
      </c>
      <c r="S3305">
        <f>IFERROR(O3305/N3305,0)</f>
        <v/>
      </c>
      <c r="T3305" t="n">
        <v>0</v>
      </c>
      <c r="V3305" t="n">
        <v>0</v>
      </c>
    </row>
    <row r="3306">
      <c r="A3306">
        <f>Skills!A9</f>
        <v/>
      </c>
      <c r="B3306">
        <f>Skills!B9</f>
        <v/>
      </c>
      <c r="C3306">
        <f>Inputs!$B$3&gt;=72</f>
        <v/>
      </c>
      <c r="D3306">
        <f>IF(Skills!C9=1,60+Inputs!$B$25+Inputs!$B$29,IF(Skills!C9=2,90+Inputs!$B$26+Inputs!$B$29,IF(Skills!C9=3,120+Inputs!$B$27+Inputs!$B$29,MAX(0,(Inputs!$B$3-100)*3)+Inputs!$B$28+Inputs!$B$29)))</f>
        <v/>
      </c>
      <c r="E3306">
        <f>INDEX(FactorTable!$B$2:$Y$301, MATCH(ROUND(MIN(300,MAX(1,D3306)),0), FactorTable!$A$2:$A$301,0), Skills!M9+1)</f>
        <v/>
      </c>
      <c r="F3306">
        <f>IF(Skills!N9=TRUE,(Skills!L9/10)*(E3306/1000),Skills!L9/10)+Skills!O9</f>
        <v/>
      </c>
      <c r="G3306">
        <f>Skills!G9*IF(Skills!H9&gt;0,IF(Inputs!$B$39="pvp",MIN(Skills!I9,15),Skills!I9)/Skills!H9,1)</f>
        <v/>
      </c>
      <c r="H3306">
        <f>1-(1-Skills!J9/100)^Skills!K9</f>
        <v/>
      </c>
      <c r="I3306" t="inlineStr">
        <is>
          <t>1</t>
        </is>
      </c>
      <c r="J3306">
        <f>((Inputs!$B$6*(1+Inputs!$B$7/100))+(((Inputs!$B$12*(1+Inputs!$B$13/100))-(Inputs!$B$12*(1+Inputs!$B$13/100)))+0.25*(Inputs!$B$14-Inputs!$B$14))*(1+Inputs!$B$7/100))*(F3306/100)</f>
        <v/>
      </c>
      <c r="K3306">
        <f>J3306*(1+((Inputs!$B$12*(1+Inputs!$B$13/100))*0.01+Inputs!$B$14*0.0025)/100)*(1+Inputs!$B$15/100)*(1+Inputs!$B$16/100)*(5000/(6000+Inputs!$B$43*(1-(100*(1-(1-Inputs!$B$19/100)*(1-CHOOSE(ArtifactsInput!$N$40+1,5,6,7,8,9,10)/100)^(ArtifactsInput!$M$40-ArtifactsInput!$M$40)))/100)))*(1+(Inputs!$B$24+((C3328=TRUE)*(F3328-Calc!F31))+((C3315=TRUE)*(F3315-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+3.3333333333333335*IF(C3316=TRUE,F3316,0)/100)*(1+(IF(Skills!A9="CRUEL_STAB",Inputs!$B$17+((C3325=TRUE)*(F3325-Calc!F28))+((IF(AND(Inputs!$B$39&lt;&gt;"pvp",Inputs!$B$44=0),1,IF(IF(Inputs!$B$39="pvp",15,Inputs!$B$44)-(B3342)&lt;=0,1,MAX(0,IF(Inputs!$B$39="pvp",15,Inputs!$B$44)-MAX(5,B3342))/(IF(Inputs!$B$39="pvp",15,Inputs!$B$44)-(B3342))))*(IF(AND(ArtifactsInput!$M$42,((Inputs!$B$9+((C3323=TRUE)*(F3323-Calc!F26))+B3331+(ArtifactsInput!$M$24-ArtifactsInput!$M$24)*CHOOSE(ArtifactsInput!$N$24+1,10,12,14,16,18,20)+IF(ArtifactsInput!$M$10,CHOOSE(ArtifactsInput!$N$10+1,15,18,21,24,27,30)*(IF(Inputs!$B$39="pvp",MIN(15,15)/15,IF(AND(Inputs!$B$39&lt;&gt;"pvp",Inputs!$B$44&gt;0),MIN(15,Inputs!$B$44)/(Inputs!$B$44),0))),0)))&gt;=100),MIN(100,((Inputs!$B$9+((C3323=TRUE)*(F3323-Calc!F26))+B3331+(ArtifactsInput!$M$24-ArtifactsInput!$M$24)*CHOOSE(ArtifactsInput!$N$24+1,10,12,14,16,18,20)+IF(ArtifactsInput!$M$10,CHOOSE(ArtifactsInput!$N$10+1,15,18,21,24,27,30)*(IF(Inputs!$B$39="pvp",MIN(15,15)/15,IF(AND(Inputs!$B$39&lt;&gt;"pvp",Inputs!$B$44&gt;0),MIN(15,Inputs!$B$44)/(Inputs!$B$44),0))),0)))-100),0))*CHOOSE(ArtifactsInput!$N$42+1,0.6,0.72,0.84,0.96,1.08,1.2))),Inputs!$B$18+((C3326=TRUE)*(F3326-Calc!F29))+(IF(AND(Inputs!$B$39&lt;&gt;"pvp",Inputs!$B$44=0),1,IF(IF(Inputs!$B$39="pvp",15,Inputs!$B$44)-(B3342)&lt;=0,1,MAX(0,IF(Inputs!$B$39="pvp",15,Inputs!$B$44)-MAX(5,B3342))/(IF(Inputs!$B$39="pvp",15,Inputs!$B$44)-(B3342))))*IF(AND(ArtifactsInput!$M$42,((Inputs!$B$9+((C3323=TRUE)*(F3323-Calc!F26))+B3331+(ArtifactsInput!$M$24-ArtifactsInput!$M$24)*CHOOSE(ArtifactsInput!$N$24+1,10,12,14,16,18,20)+IF(ArtifactsInput!$M$10,CHOOSE(ArtifactsInput!$N$10+1,15,18,21,24,27,30)*(IF(Inputs!$B$39="pvp",MIN(15,15)/15,IF(AND(Inputs!$B$39&lt;&gt;"pvp",Inputs!$B$44&gt;0),MIN(15,Inputs!$B$44)/(Inputs!$B$44),0))),0)))&gt;=100),CHOOSE(ArtifactsInput!$N$42+1,40,48,56,64,72,80),0))))/100)*(((1+(((C3319=TRUE)*F3319*IF(AND(Inputs!$B$39&lt;&gt;"pvp",Inputs!$B$44&gt;0),(((R3319-1)*MIN((Skills!Y22*(1+Inputs!$B$34/100)),(1/Q3319))+MIN((Skills!Y22*(1+Inputs!$B$34/100)),MAX(0,Inputs!$B$44-((R3319-1)*(1/Q3319)))))/Inputs!$B$44),IF(Inputs!$B$39="pvp",MIN((Skills!Y22*(1+Inputs!$B$34/100)),15)/15,MIN(1,(Skills!Y22*(1+Inputs!$B$34/100))/(1/Q3319)))))+((C3300=TRUE)*F3300*3)+((C3302=TRUE)*F3302*(1-EXP(-0.75*B3335*5)))+((C3321=TRUE)*(F3321-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3308=TRUE)*F3308*IF(AND(Inputs!$B$39&lt;&gt;"pvp",Inputs!$B$44&gt;0),(((R3308-1)*MIN((Skills!Y11*(1+Inputs!$B$34/100)),(1/Q3308))+MIN((Skills!Y11*(1+Inputs!$B$34/100)),MAX(0,Inputs!$B$44-((R3308-1)*(1/Q3308)))))/Inputs!$B$44),IF(Inputs!$B$39="pvp",MIN((Skills!Y11*(1+Inputs!$B$34/100)),15)/15,MIN(1,(Skills!Y11*(1+Inputs!$B$34/100))/(1/Q3308)))))/100)*(1+((C3313=TRUE)*F3313*IF(AND(Inputs!$B$39&lt;&gt;"pvp",Inputs!$B$44&gt;0),(((R3313-1)*MIN((Skills!Y16*(1+Inputs!$B$34/100)),(1/Q3313))+MIN((Skills!Y16*(1+Inputs!$B$34/100)),MAX(0,Inputs!$B$44-((R3313-1)*(1/Q3313)))))/Inputs!$B$44),IF(Inputs!$B$39="pvp",MIN((Skills!Y16*(1+Inputs!$B$34/100)),15)/15,MIN(1,(Skills!Y16*(1+Inputs!$B$34/100))/(1/Q3313)))))/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3333*I3306)</f>
        <v/>
      </c>
      <c r="L3306">
        <f>K3306*(MIN(Inputs!$B$22+((C3322=TRUE)*(F3322-Calc!F25)),(Inputs!$B$23+((C3327=TRUE)*(F3327-Calc!F30))+IF(ArtifactsInput!$M$15,CHOOSE(ArtifactsInput!$N$15+1,25,30,35,40,45,50)/100*(Inputs!$B$11-Inputs!$B$11),0)))/100+(Inputs!$B$23+((C3327=TRUE)*(F3327-Calc!F30))+IF(ArtifactsInput!$M$15,CHOOSE(ArtifactsInput!$N$15+1,25,30,35,40,45,50)/100*(Inputs!$B$11-Inputs!$B$11),0))/100)/2</f>
        <v/>
      </c>
      <c r="M3306">
        <f>L3306*(1+(Inputs!$B$10+((C3324=TRUE)*(F3324-Calc!F27))+B3338+(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3306">
        <f>L3306*(1-MIN((Inputs!$B$9+((C3323=TRUE)*(F3323-Calc!F26))+B3331+(ArtifactsInput!$M$24-ArtifactsInput!$M$24)*CHOOSE(ArtifactsInput!$N$24+1,10,12,14,16,18,20)+(IF(AND(Inputs!$B$39&lt;&gt;"pvp",Inputs!$B$44=0),1,IF(IF(Inputs!$B$39="pvp",15,Inputs!$B$44)-(B3342)&lt;=0,1,MAX(0,IF(Inputs!$B$39="pvp",15,Inputs!$B$44)-MAX(5,B3342))/(IF(Inputs!$B$39="pvp",15,Inputs!$B$44)-(B3342))))*IF(AND(ArtifactsInput!$M$42,((Inputs!$B$9+((C3323=TRUE)*(F3323-Calc!F26))+B3331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3306*(MIN((Inputs!$B$9+((C3323=TRUE)*(F3323-Calc!F26))+B3331+(ArtifactsInput!$M$24-ArtifactsInput!$M$24)*CHOOSE(ArtifactsInput!$N$24+1,10,12,14,16,18,20)+(IF(AND(Inputs!$B$39&lt;&gt;"pvp",Inputs!$B$44=0),1,IF(IF(Inputs!$B$39="pvp",15,Inputs!$B$44)-(B3342)&lt;=0,1,MAX(0,IF(Inputs!$B$39="pvp",15,Inputs!$B$44)-MAX(5,B3342))/(IF(Inputs!$B$39="pvp",15,Inputs!$B$44)-(B3342))))*IF(AND(ArtifactsInput!$M$42,((Inputs!$B$9+((C3323=TRUE)*(F3323-Calc!F26))+B3331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3306">
        <f>(1-Summary!$B$11)*T3306+Summary!$B$11*V3306</f>
        <v/>
      </c>
      <c r="P3306">
        <f>IF(B3343=0,0,O3306/B3343)</f>
        <v/>
      </c>
      <c r="Q3306">
        <f>IFERROR(1/IF(Inputs!$B$39="pvp",15,MAX(0.1,Skills!D9-IF(FALSE=TRUE,0.5,0))),0)</f>
        <v/>
      </c>
      <c r="R3306">
        <f>IF(AND(Inputs!$B$39&lt;&gt;"pvp",Inputs!$B$44&gt;0),IF(MAX(0,Inputs!$B$44-B3342)&lt;=0,0,(INT(MAX(0,Inputs!$B$44-B3342)/IF(Inputs!$B$39="pvp",15,MAX(0.1,Skills!D9-IF(FALSE=TRUE,0.5,0))))+1)),0)</f>
        <v/>
      </c>
      <c r="S3306">
        <f>IFERROR(O3306/N3306,0)</f>
        <v/>
      </c>
      <c r="T3306">
        <f>IF(C3306,(H3306*N3306*IF(AND(Inputs!$B$39&lt;&gt;"pvp",Inputs!$B$44&gt;0),((Skills!G9*((R3306-1)*IF(Skills!H9&gt;0,Skills!I9/Skills!H9,1)+IF(Skills!H9&gt;0,MIN(Skills!I9,MAX(0,MAX(0,Inputs!$B$44-B3342)-((R3306-1)*IF(Inputs!$B$39="pvp",15,MAX(0.1,Skills!D9-IF(FALSE=TRUE,0.5,0))))))/Skills!H9,1)))/Inputs!$B$44),G3306*Q3306))*IF(Inputs!$B$39="pvp",1,1+(Inputs!$B$20+0+Skills!P9+B3332+(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Hunt"),CHOOSE(ArtifactsInput!$N$35+1,15,18,21,24,27,30)*(1-EXP(-(0.2*B3335)*5)),0)+IF(AND(ArtifactsInput!$M$22,Inputs!$B$4&lt;&gt;"Chapter Hunt"),CHOOSE(ArtifactsInput!$N$22+1,10,12,14,16,18,20)*((0*(((0.15*B3335*5))^0/1)+1*(((0.15*B3335*5))^1/1)+2*(((0.15*B3335*5))^2/2)+3*(((0.15*B3335*5))^3/6)+4*(((0.15*B3335*5))^4/24)+5*(((0.15*B3335*5))^5/120))/((((0.15*B3335*5))^0/1)+(((0.15*B3335*5))^1/1)+(((0.15*B3335*5))^2/2)+(((0.15*B3335*5))^3/6)+(((0.15*B3335*5))^4/24)+(((0.15*B3335*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3306*(1-MIN(100,(Inputs!$B$9+((C3323=TRUE)*(F3323-Calc!F26))+B3331+(ArtifactsInput!$M$24-ArtifactsInput!$M$24)*CHOOSE(ArtifactsInput!$N$24+1,10,12,14,16,18,20)+(IF(AND(Inputs!$B$39&lt;&gt;"pvp",Inputs!$B$44=0),1,IF(IF(Inputs!$B$39="pvp",15,Inputs!$B$44)-(B3342)&lt;=0,1,MAX(0,IF(Inputs!$B$39="pvp",15,Inputs!$B$44)-MAX(5,B3342))/(IF(Inputs!$B$39="pvp",15,Inputs!$B$44)-(B3342))))*IF(AND(ArtifactsInput!$M$42,((Inputs!$B$9+((C3323=TRUE)*(F3323-Calc!F26))+B3331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3306*(MIN(100,(Inputs!$B$9+((C3323=TRUE)*(F3323-Calc!F26))+B3331+(ArtifactsInput!$M$24-ArtifactsInput!$M$24)*CHOOSE(ArtifactsInput!$N$24+1,10,12,14,16,18,20)+(IF(AND(Inputs!$B$39&lt;&gt;"pvp",Inputs!$B$44=0),1,IF(IF(Inputs!$B$39="pvp",15,Inputs!$B$44)-(B3342)&lt;=0,1,MAX(0,IF(Inputs!$B$39="pvp",15,Inputs!$B$44)-MAX(5,B3342))/(IF(Inputs!$B$39="pvp",15,Inputs!$B$44)-(B3342))))*IF(AND(ArtifactsInput!$M$42,((Inputs!$B$9+((C3323=TRUE)*(F3323-Calc!F26))+B3331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3306*(1-MIN(100,(Inputs!$B$9+((C3323=TRUE)*(F3323-Calc!F26))+B3331+(ArtifactsInput!$M$24-ArtifactsInput!$M$24)*CHOOSE(ArtifactsInput!$N$24+1,10,12,14,16,18,20)+(IF(AND(Inputs!$B$39&lt;&gt;"pvp",Inputs!$B$44=0),1,IF(IF(Inputs!$B$39="pvp",15,Inputs!$B$44)-(B3342)&lt;=0,1,MAX(0,IF(Inputs!$B$39="pvp",15,Inputs!$B$44)-MAX(5,B3342))/(IF(Inputs!$B$39="pvp",15,Inputs!$B$44)-(B3342))))*IF(AND(ArtifactsInput!$M$42,((Inputs!$B$9+((C3323=TRUE)*(F3323-Calc!F26))+B3331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3306*(MIN(100,(Inputs!$B$9+((C3323=TRUE)*(F3323-Calc!F26))+B3331+(ArtifactsInput!$M$24-ArtifactsInput!$M$24)*CHOOSE(ArtifactsInput!$N$24+1,10,12,14,16,18,20)+(IF(AND(Inputs!$B$39&lt;&gt;"pvp",Inputs!$B$44=0),1,IF(IF(Inputs!$B$39="pvp",15,Inputs!$B$44)-(B3342)&lt;=0,1,MAX(0,IF(Inputs!$B$39="pvp",15,Inputs!$B$44)-MAX(5,B3342))/(IF(Inputs!$B$39="pvp",15,Inputs!$B$44)-(B3342))))*IF(AND(ArtifactsInput!$M$42,((Inputs!$B$9+((C3323=TRUE)*(F3323-Calc!F26))+B3331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3306">
        <f>IF(C3306,(H3306*N3306*IF(AND(Inputs!$B$39&lt;&gt;"pvp",Inputs!$B$44&gt;0),((Skills!G9*((R3306-1)*IF(Skills!H9&gt;0,Skills!I9/Skills!H9,1)+IF(Skills!H9&gt;0,MIN(Skills!I9,MAX(0,MAX(0,Inputs!$B$44-B3342)-((R3306-1)*IF(Inputs!$B$39="pvp",15,MAX(0.1,Skills!D9-IF(FALSE=TRUE,0.5,0))))))/Skills!H9,1)))/Inputs!$B$44),G3306*Q3306))*IF(Inputs!$B$39="pvp",1,(1+(Inputs!$B$21+Skills!Q9+B3332+(IF(ArtifactsInput!$M$33,CHOOSE(ArtifactsInput!$N$33+1,30,36,42,48,54,60),0))+(IF(AND(ArtifactsInput!$M$35,Inputs!$B$4&lt;&gt;"Chapter Hunt"),CHOOSE(ArtifactsInput!$N$35+1,15,18,21,24,27,30)*(1-EXP(-(0.2*B3335)*5)),0)+IF(AND(ArtifactsInput!$M$22,Inputs!$B$4&lt;&gt;"Chapter Hunt"),CHOOSE(ArtifactsInput!$N$22+1,10,12,14,16,18,20)*((0*(((0.15*B3335*5))^0/1)+1*(((0.15*B3335*5))^1/1)+2*(((0.15*B3335*5))^2/2)+3*(((0.15*B3335*5))^3/6)+4*(((0.15*B3335*5))^4/24)+5*(((0.15*B3335*5))^5/120))/((((0.15*B3335*5))^0/1)+(((0.15*B3335*5))^1/1)+(((0.15*B3335*5))^2/2)+(((0.15*B3335*5))^3/6)+(((0.15*B3335*5))^4/24)+(((0.15*B3335*5))^5/120))),0)))/100)*(MIN(Skills!W9,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3307">
      <c r="A3307">
        <f>Skills!A10</f>
        <v/>
      </c>
      <c r="B3307">
        <f>Skills!B10</f>
        <v/>
      </c>
      <c r="C3307">
        <f>Inputs!$B$3&gt;=117</f>
        <v/>
      </c>
      <c r="D3307">
        <f>IF(Skills!C10=1,60+Inputs!$B$25+Inputs!$B$29,IF(Skills!C10=2,90+Inputs!$B$26+Inputs!$B$29,IF(Skills!C10=3,120+Inputs!$B$27+Inputs!$B$29,MAX(0,(Inputs!$B$3-100)*3)+Inputs!$B$28+Inputs!$B$29)))</f>
        <v/>
      </c>
      <c r="E3307">
        <f>INDEX(FactorTable!$B$2:$Y$301, MATCH(ROUND(MIN(300,MAX(1,D3307)),0), FactorTable!$A$2:$A$301,0), Skills!M10+1)</f>
        <v/>
      </c>
      <c r="F3307">
        <f>IF(Skills!N10=TRUE,(Skills!L10/10)*(E3307/1000),Skills!L10/10)+Skills!O10</f>
        <v/>
      </c>
      <c r="G3307">
        <f>Skills!G10*IF(Skills!H10&gt;0,IF(Inputs!$B$39="pvp",MIN(Skills!I10,15),Skills!I10)/Skills!H10,1)</f>
        <v/>
      </c>
      <c r="H3307">
        <f>1-(1-Skills!J10/100)^Skills!K10</f>
        <v/>
      </c>
      <c r="I3307" t="inlineStr">
        <is>
          <t>1</t>
        </is>
      </c>
      <c r="J3307">
        <f>((Inputs!$B$6*(1+Inputs!$B$7/100))+(((Inputs!$B$12*(1+Inputs!$B$13/100))-(Inputs!$B$12*(1+Inputs!$B$13/100)))+0.25*(Inputs!$B$14-Inputs!$B$14))*(1+Inputs!$B$7/100))*(F3307/100)</f>
        <v/>
      </c>
      <c r="K3307">
        <f>J3307*(1+((Inputs!$B$12*(1+Inputs!$B$13/100))*0.01+Inputs!$B$14*0.0025)/100)*(1+Inputs!$B$15/100)*(1+Inputs!$B$16/100)*(5000/(6000+Inputs!$B$43*(1-(100*(1-(1-Inputs!$B$19/100)*(1-CHOOSE(ArtifactsInput!$N$40+1,5,6,7,8,9,10)/100)^(ArtifactsInput!$M$40-ArtifactsInput!$M$40)))/100)))*(1+(Inputs!$B$24+((C3328=TRUE)*(F3328-Calc!F31))+((C3315=TRUE)*(F3315-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10="CRUEL_STAB",Inputs!$B$17+((C3325=TRUE)*(F3325-Calc!F28))+((IF(AND(Inputs!$B$39&lt;&gt;"pvp",Inputs!$B$44=0),1,IF(IF(Inputs!$B$39="pvp",15,Inputs!$B$44)-(B3342)&lt;=0,1,MAX(0,IF(Inputs!$B$39="pvp",15,Inputs!$B$44)-MAX(5,B3342))/(IF(Inputs!$B$39="pvp",15,Inputs!$B$44)-(B3342))))*(IF(AND(ArtifactsInput!$M$42,((Inputs!$B$9+((C3323=TRUE)*(F3323-Calc!F26))+B3331+(ArtifactsInput!$M$24-ArtifactsInput!$M$24)*CHOOSE(ArtifactsInput!$N$24+1,10,12,14,16,18,20)+IF(ArtifactsInput!$M$10,CHOOSE(ArtifactsInput!$N$10+1,15,18,21,24,27,30)*(IF(Inputs!$B$39="pvp",MIN(15,15)/15,IF(AND(Inputs!$B$39&lt;&gt;"pvp",Inputs!$B$44&gt;0),MIN(15,Inputs!$B$44)/(Inputs!$B$44),0))),0)))&gt;=100),MIN(100,((Inputs!$B$9+((C3323=TRUE)*(F3323-Calc!F26))+B3331+(ArtifactsInput!$M$24-ArtifactsInput!$M$24)*CHOOSE(ArtifactsInput!$N$24+1,10,12,14,16,18,20)+IF(ArtifactsInput!$M$10,CHOOSE(ArtifactsInput!$N$10+1,15,18,21,24,27,30)*(IF(Inputs!$B$39="pvp",MIN(15,15)/15,IF(AND(Inputs!$B$39&lt;&gt;"pvp",Inputs!$B$44&gt;0),MIN(15,Inputs!$B$44)/(Inputs!$B$44),0))),0)))-100),0))*CHOOSE(ArtifactsInput!$N$42+1,0.6,0.72,0.84,0.96,1.08,1.2))),Inputs!$B$18+((C3326=TRUE)*(F3326-Calc!F29))+(IF(AND(Inputs!$B$39&lt;&gt;"pvp",Inputs!$B$44=0),1,IF(IF(Inputs!$B$39="pvp",15,Inputs!$B$44)-(B3342)&lt;=0,1,MAX(0,IF(Inputs!$B$39="pvp",15,Inputs!$B$44)-MAX(5,B3342))/(IF(Inputs!$B$39="pvp",15,Inputs!$B$44)-(B3342))))*IF(AND(ArtifactsInput!$M$42,((Inputs!$B$9+((C3323=TRUE)*(F3323-Calc!F26))+B3331+(ArtifactsInput!$M$24-ArtifactsInput!$M$24)*CHOOSE(ArtifactsInput!$N$24+1,10,12,14,16,18,20)+IF(ArtifactsInput!$M$10,CHOOSE(ArtifactsInput!$N$10+1,15,18,21,24,27,30)*(IF(Inputs!$B$39="pvp",MIN(15,15)/15,IF(AND(Inputs!$B$39&lt;&gt;"pvp",Inputs!$B$44&gt;0),MIN(15,Inputs!$B$44)/(Inputs!$B$44),0))),0)))&gt;=100),CHOOSE(ArtifactsInput!$N$42+1,40,48,56,64,72,80),0))))/100)*(((1+(((C3319=TRUE)*F3319*IF(AND(Inputs!$B$39&lt;&gt;"pvp",Inputs!$B$44&gt;0),(((R3319-1)*MIN((Skills!Y22*(1+Inputs!$B$34/100)),(1/Q3319))+MIN((Skills!Y22*(1+Inputs!$B$34/100)),MAX(0,Inputs!$B$44-((R3319-1)*(1/Q3319)))))/Inputs!$B$44),IF(Inputs!$B$39="pvp",MIN((Skills!Y22*(1+Inputs!$B$34/100)),15)/15,MIN(1,(Skills!Y22*(1+Inputs!$B$34/100))/(1/Q3319)))))+((C3300=TRUE)*F3300*3)+((C3302=TRUE)*F3302*(1-EXP(-0.75*B3335*5)))+((C3321=TRUE)*(F3321-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3308=TRUE)*F3308*IF(AND(Inputs!$B$39&lt;&gt;"pvp",Inputs!$B$44&gt;0),(((R3308-1)*MIN((Skills!Y11*(1+Inputs!$B$34/100)),(1/Q3308))+MIN((Skills!Y11*(1+Inputs!$B$34/100)),MAX(0,Inputs!$B$44-((R3308-1)*(1/Q3308)))))/Inputs!$B$44),IF(Inputs!$B$39="pvp",MIN((Skills!Y11*(1+Inputs!$B$34/100)),15)/15,MIN(1,(Skills!Y11*(1+Inputs!$B$34/100))/(1/Q3308)))))/100)*(1+((C3313=TRUE)*F3313*IF(AND(Inputs!$B$39&lt;&gt;"pvp",Inputs!$B$44&gt;0),(((R3313-1)*MIN((Skills!Y16*(1+Inputs!$B$34/100)),(1/Q3313))+MIN((Skills!Y16*(1+Inputs!$B$34/100)),MAX(0,Inputs!$B$44-((R3313-1)*(1/Q3313)))))/Inputs!$B$44),IF(Inputs!$B$39="pvp",MIN((Skills!Y16*(1+Inputs!$B$34/100)),15)/15,MIN(1,(Skills!Y16*(1+Inputs!$B$34/100))/(1/Q3313)))))/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3333*I3307)</f>
        <v/>
      </c>
      <c r="L3307">
        <f>K3307*(MIN(Inputs!$B$22+((C3322=TRUE)*(F3322-Calc!F25)),(Inputs!$B$23+((C3327=TRUE)*(F3327-Calc!F30))+IF(ArtifactsInput!$M$15,CHOOSE(ArtifactsInput!$N$15+1,25,30,35,40,45,50)/100*(Inputs!$B$11-Inputs!$B$11),0)))/100+(Inputs!$B$23+((C3327=TRUE)*(F3327-Calc!F30))+IF(ArtifactsInput!$M$15,CHOOSE(ArtifactsInput!$N$15+1,25,30,35,40,45,50)/100*(Inputs!$B$11-Inputs!$B$11),0))/100)/2</f>
        <v/>
      </c>
      <c r="M3307">
        <f>L3307*(1+(Inputs!$B$10+((C3324=TRUE)*(F3324-Calc!F27))+B3338+(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3307">
        <f>L3307*(1-MIN((Inputs!$B$9+((C3323=TRUE)*(F3323-Calc!F26))+B3331+(ArtifactsInput!$M$24-ArtifactsInput!$M$24)*CHOOSE(ArtifactsInput!$N$24+1,10,12,14,16,18,20)+(IF(AND(Inputs!$B$39&lt;&gt;"pvp",Inputs!$B$44=0),1,IF(IF(Inputs!$B$39="pvp",15,Inputs!$B$44)-(B3342)&lt;=0,1,MAX(0,IF(Inputs!$B$39="pvp",15,Inputs!$B$44)-MAX(5,B3342))/(IF(Inputs!$B$39="pvp",15,Inputs!$B$44)-(B3342))))*IF(AND(ArtifactsInput!$M$42,((Inputs!$B$9+((C3323=TRUE)*(F3323-Calc!F26))+B3331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3307*(MIN((Inputs!$B$9+((C3323=TRUE)*(F3323-Calc!F26))+B3331+(ArtifactsInput!$M$24-ArtifactsInput!$M$24)*CHOOSE(ArtifactsInput!$N$24+1,10,12,14,16,18,20)+(IF(AND(Inputs!$B$39&lt;&gt;"pvp",Inputs!$B$44=0),1,IF(IF(Inputs!$B$39="pvp",15,Inputs!$B$44)-(B3342)&lt;=0,1,MAX(0,IF(Inputs!$B$39="pvp",15,Inputs!$B$44)-MAX(5,B3342))/(IF(Inputs!$B$39="pvp",15,Inputs!$B$44)-(B3342))))*IF(AND(ArtifactsInput!$M$42,((Inputs!$B$9+((C3323=TRUE)*(F3323-Calc!F26))+B3331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3307">
        <f>(1-Summary!$B$11)*T3307+Summary!$B$11*V3307</f>
        <v/>
      </c>
      <c r="P3307">
        <f>IF(B3343=0,0,O3307/B3343)</f>
        <v/>
      </c>
      <c r="Q3307" t="n">
        <v>0</v>
      </c>
      <c r="R3307" t="n">
        <v>0</v>
      </c>
      <c r="S3307" t="n">
        <v>0</v>
      </c>
      <c r="T3307">
        <f>IF(C3307,(0.2*SUMPRODUCT((Skills!Z2:Z31=TRUE)*(C3299:C3328=TRUE)*S3299:S3328)*N3307)*IF(Inputs!$B$39="pvp",1,1+(Inputs!$B$20+0+Skills!P10+B3332+(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Hunt"),CHOOSE(ArtifactsInput!$N$35+1,15,18,21,24,27,30)*(1-EXP(-(0.2*B3335)*5)),0)+IF(AND(ArtifactsInput!$M$22,Inputs!$B$4&lt;&gt;"Chapter Hunt"),CHOOSE(ArtifactsInput!$N$22+1,10,12,14,16,18,20)*((0*(((0.15*B3335*5))^0/1)+1*(((0.15*B3335*5))^1/1)+2*(((0.15*B3335*5))^2/2)+3*(((0.15*B3335*5))^3/6)+4*(((0.15*B3335*5))^4/24)+5*(((0.15*B3335*5))^5/120))/((((0.15*B3335*5))^0/1)+(((0.15*B3335*5))^1/1)+(((0.15*B3335*5))^2/2)+(((0.15*B3335*5))^3/6)+(((0.15*B3335*5))^4/24)+(((0.15*B3335*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3307*(1-MIN(100,(Inputs!$B$9+((C3323=TRUE)*(F3323-Calc!F26))+B3331+(ArtifactsInput!$M$24-ArtifactsInput!$M$24)*CHOOSE(ArtifactsInput!$N$24+1,10,12,14,16,18,20)+(IF(AND(Inputs!$B$39&lt;&gt;"pvp",Inputs!$B$44=0),1,IF(IF(Inputs!$B$39="pvp",15,Inputs!$B$44)-(B3342)&lt;=0,1,MAX(0,IF(Inputs!$B$39="pvp",15,Inputs!$B$44)-MAX(5,B3342))/(IF(Inputs!$B$39="pvp",15,Inputs!$B$44)-(B3342))))*IF(AND(ArtifactsInput!$M$42,((Inputs!$B$9+((C3323=TRUE)*(F3323-Calc!F26))+B3331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3307*(MIN(100,(Inputs!$B$9+((C3323=TRUE)*(F3323-Calc!F26))+B3331+(ArtifactsInput!$M$24-ArtifactsInput!$M$24)*CHOOSE(ArtifactsInput!$N$24+1,10,12,14,16,18,20)+(IF(AND(Inputs!$B$39&lt;&gt;"pvp",Inputs!$B$44=0),1,IF(IF(Inputs!$B$39="pvp",15,Inputs!$B$44)-(B3342)&lt;=0,1,MAX(0,IF(Inputs!$B$39="pvp",15,Inputs!$B$44)-MAX(5,B3342))/(IF(Inputs!$B$39="pvp",15,Inputs!$B$44)-(B3342))))*IF(AND(ArtifactsInput!$M$42,((Inputs!$B$9+((C3323=TRUE)*(F3323-Calc!F26))+B3331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3307*(1-MIN(100,(Inputs!$B$9+((C3323=TRUE)*(F3323-Calc!F26))+B3331+(ArtifactsInput!$M$24-ArtifactsInput!$M$24)*CHOOSE(ArtifactsInput!$N$24+1,10,12,14,16,18,20)+(IF(AND(Inputs!$B$39&lt;&gt;"pvp",Inputs!$B$44=0),1,IF(IF(Inputs!$B$39="pvp",15,Inputs!$B$44)-(B3342)&lt;=0,1,MAX(0,IF(Inputs!$B$39="pvp",15,Inputs!$B$44)-MAX(5,B3342))/(IF(Inputs!$B$39="pvp",15,Inputs!$B$44)-(B3342))))*IF(AND(ArtifactsInput!$M$42,((Inputs!$B$9+((C3323=TRUE)*(F3323-Calc!F26))+B3331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3307*(MIN(100,(Inputs!$B$9+((C3323=TRUE)*(F3323-Calc!F26))+B3331+(ArtifactsInput!$M$24-ArtifactsInput!$M$24)*CHOOSE(ArtifactsInput!$N$24+1,10,12,14,16,18,20)+(IF(AND(Inputs!$B$39&lt;&gt;"pvp",Inputs!$B$44=0),1,IF(IF(Inputs!$B$39="pvp",15,Inputs!$B$44)-(B3342)&lt;=0,1,MAX(0,IF(Inputs!$B$39="pvp",15,Inputs!$B$44)-MAX(5,B3342))/(IF(Inputs!$B$39="pvp",15,Inputs!$B$44)-(B3342))))*IF(AND(ArtifactsInput!$M$42,((Inputs!$B$9+((C3323=TRUE)*(F3323-Calc!F26))+B3331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3307">
        <f>IF(C3307,(0.2*SUMPRODUCT((Skills!Z2:Z31=TRUE)*(C3299:C3328=TRUE)*S3299:S3328)*N3307)*IF(Inputs!$B$39="pvp",1,(1+(Inputs!$B$21+Skills!Q10+B3332+(IF(ArtifactsInput!$M$33,CHOOSE(ArtifactsInput!$N$33+1,30,36,42,48,54,60),0))+(IF(AND(ArtifactsInput!$M$35,Inputs!$B$4&lt;&gt;"Chapter Hunt"),CHOOSE(ArtifactsInput!$N$35+1,15,18,21,24,27,30)*(1-EXP(-(0.2*B3335)*5)),0)+IF(AND(ArtifactsInput!$M$22,Inputs!$B$4&lt;&gt;"Chapter Hunt"),CHOOSE(ArtifactsInput!$N$22+1,10,12,14,16,18,20)*((0*(((0.15*B3335*5))^0/1)+1*(((0.15*B3335*5))^1/1)+2*(((0.15*B3335*5))^2/2)+3*(((0.15*B3335*5))^3/6)+4*(((0.15*B3335*5))^4/24)+5*(((0.15*B3335*5))^5/120))/((((0.15*B3335*5))^0/1)+(((0.15*B3335*5))^1/1)+(((0.15*B3335*5))^2/2)+(((0.15*B3335*5))^3/6)+(((0.15*B3335*5))^4/24)+(((0.15*B3335*5))^5/120))),0)))/100)*(MIN(Skills!W10,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3308">
      <c r="A3308">
        <f>Skills!A11</f>
        <v/>
      </c>
      <c r="B3308">
        <f>Skills!B11</f>
        <v/>
      </c>
      <c r="C3308">
        <f>Inputs!$B$3&gt;=74</f>
        <v/>
      </c>
      <c r="D3308">
        <f>IF(Skills!C11=1,60+Inputs!$B$25+Inputs!$B$29,IF(Skills!C11=2,90+Inputs!$B$26+Inputs!$B$29,IF(Skills!C11=3,120+Inputs!$B$27+Inputs!$B$29,MAX(0,(Inputs!$B$3-100)*3)+Inputs!$B$28+Inputs!$B$29)))</f>
        <v/>
      </c>
      <c r="E3308">
        <f>INDEX(FactorTable!$B$2:$Y$301, MATCH(ROUND(MIN(300,MAX(1,D3308)),0), FactorTable!$A$2:$A$301,0), Skills!M11+1)</f>
        <v/>
      </c>
      <c r="F3308">
        <f>IF(Skills!N11=TRUE,(Skills!L11/10)*(E3308/1000),Skills!L11/10)+Skills!O11</f>
        <v/>
      </c>
      <c r="G3308">
        <f>Skills!G11*IF(Skills!H11&gt;0,IF(Inputs!$B$39="pvp",MIN(Skills!I11,15),Skills!I11)/Skills!H11,1)</f>
        <v/>
      </c>
      <c r="H3308">
        <f>1-(1-Skills!J11/100)^Skills!K11</f>
        <v/>
      </c>
      <c r="I3308" t="inlineStr">
        <is>
          <t>1</t>
        </is>
      </c>
      <c r="J3308" t="inlineStr"/>
      <c r="K3308" t="inlineStr"/>
      <c r="L3308" t="inlineStr"/>
      <c r="M3308" t="inlineStr"/>
      <c r="N3308" t="inlineStr"/>
      <c r="O3308">
        <f>(1-Summary!$B$11)*T3308+Summary!$B$11*V3308</f>
        <v/>
      </c>
      <c r="P3308">
        <f>IF(B3343=0,0,O3308/B3343)</f>
        <v/>
      </c>
      <c r="Q3308">
        <f>IFERROR(1/IF(Inputs!$B$39="pvp",15,MAX(0.1,Skills!D11-IF(TRUE=TRUE,0.5,0))),0)</f>
        <v/>
      </c>
      <c r="R3308">
        <f>IF(AND(Inputs!$B$39&lt;&gt;"pvp",Inputs!$B$44&gt;0),IF(Inputs!$B$44&lt;=0,0,(INT(Inputs!$B$44/IF(Inputs!$B$39="pvp",15,MAX(0.1,Skills!D11-IF(TRUE=TRUE,0.5,0))))+1)),0)</f>
        <v/>
      </c>
      <c r="S3308">
        <f>IFERROR(O3308/N3308,0)</f>
        <v/>
      </c>
      <c r="T3308" t="n">
        <v>0</v>
      </c>
      <c r="V3308" t="n">
        <v>0</v>
      </c>
    </row>
    <row r="3309">
      <c r="A3309">
        <f>Skills!A12</f>
        <v/>
      </c>
      <c r="B3309">
        <f>Skills!B12</f>
        <v/>
      </c>
      <c r="C3309">
        <f>Inputs!$B$3&gt;=103</f>
        <v/>
      </c>
      <c r="D3309">
        <f>IF(Skills!C12=1,60+Inputs!$B$25+Inputs!$B$29,IF(Skills!C12=2,90+Inputs!$B$26+Inputs!$B$29,IF(Skills!C12=3,120+Inputs!$B$27+Inputs!$B$29,MAX(0,(Inputs!$B$3-100)*3)+Inputs!$B$28+Inputs!$B$29)))</f>
        <v/>
      </c>
      <c r="E3309">
        <f>INDEX(FactorTable!$B$2:$Y$301, MATCH(ROUND(MIN(300,MAX(1,D3309)),0), FactorTable!$A$2:$A$301,0), Skills!M12+1)</f>
        <v/>
      </c>
      <c r="F3309">
        <f>(Skills!L12/10)*(E3309/1000)+IF(Inputs!$B$3&gt;=134,50,0)+0.5*(30000/10)*(INDEX(FactorTable!$B$2:$Y$301, MATCH(ROUND(MIN(300,MAX(1,D3309)),0), FactorTable!$A$2:$A$301,0), 13)/1000)*B3341</f>
        <v/>
      </c>
      <c r="G3309">
        <f>Skills!G12*IF(Skills!H12&gt;0,IF(Inputs!$B$39="pvp",MIN(Skills!I12,15),Skills!I12)/Skills!H12,1)</f>
        <v/>
      </c>
      <c r="H3309">
        <f>1-(1-Skills!J12/100)^Skills!K12</f>
        <v/>
      </c>
      <c r="I3309" t="inlineStr">
        <is>
          <t>1</t>
        </is>
      </c>
      <c r="J3309">
        <f>((Inputs!$B$6*(1+Inputs!$B$7/100))+(((Inputs!$B$12*(1+Inputs!$B$13/100))-(Inputs!$B$12*(1+Inputs!$B$13/100)))+0.25*(Inputs!$B$14-Inputs!$B$14))*(1+Inputs!$B$7/100))*(F3309/100)</f>
        <v/>
      </c>
      <c r="K3309">
        <f>J3309*(1+((Inputs!$B$12*(1+Inputs!$B$13/100))*0.01+Inputs!$B$14*0.0025)/100)*(1+Inputs!$B$15/100)*(1+Inputs!$B$16/100)*(5000/(6000+Inputs!$B$43*(1-(100*(1-(1-Inputs!$B$19/100)*(1-CHOOSE(ArtifactsInput!$N$40+1,5,6,7,8,9,10)/100)^(ArtifactsInput!$M$40-ArtifactsInput!$M$40)))/100)))*(1+(Inputs!$B$24+((C3328=TRUE)*(F3328-Calc!F31))+((C3315=TRUE)*(F3315-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12="CRUEL_STAB",Inputs!$B$17+((C3325=TRUE)*(F3325-Calc!F28))+((IF(AND(Inputs!$B$39&lt;&gt;"pvp",Inputs!$B$44=0),1,IF(IF(Inputs!$B$39="pvp",15,Inputs!$B$44)-(B3342)&lt;=0,1,MAX(0,IF(Inputs!$B$39="pvp",15,Inputs!$B$44)-MAX(5,B3342))/(IF(Inputs!$B$39="pvp",15,Inputs!$B$44)-(B3342))))*(IF(AND(ArtifactsInput!$M$42,((Inputs!$B$9+((C3323=TRUE)*(F3323-Calc!F26))+B3331+(ArtifactsInput!$M$24-ArtifactsInput!$M$24)*CHOOSE(ArtifactsInput!$N$24+1,10,12,14,16,18,20)+IF(ArtifactsInput!$M$10,CHOOSE(ArtifactsInput!$N$10+1,15,18,21,24,27,30)*(IF(Inputs!$B$39="pvp",MIN(15,15)/15,IF(AND(Inputs!$B$39&lt;&gt;"pvp",Inputs!$B$44&gt;0),MIN(15,Inputs!$B$44)/(Inputs!$B$44),0))),0)))&gt;=100),MIN(100,((Inputs!$B$9+((C3323=TRUE)*(F3323-Calc!F26))+B3331+(ArtifactsInput!$M$24-ArtifactsInput!$M$24)*CHOOSE(ArtifactsInput!$N$24+1,10,12,14,16,18,20)+IF(ArtifactsInput!$M$10,CHOOSE(ArtifactsInput!$N$10+1,15,18,21,24,27,30)*(IF(Inputs!$B$39="pvp",MIN(15,15)/15,IF(AND(Inputs!$B$39&lt;&gt;"pvp",Inputs!$B$44&gt;0),MIN(15,Inputs!$B$44)/(Inputs!$B$44),0))),0)))-100),0))*CHOOSE(ArtifactsInput!$N$42+1,0.6,0.72,0.84,0.96,1.08,1.2))),Inputs!$B$18+((C3326=TRUE)*(F3326-Calc!F29))+(IF(AND(Inputs!$B$39&lt;&gt;"pvp",Inputs!$B$44=0),1,IF(IF(Inputs!$B$39="pvp",15,Inputs!$B$44)-(B3342)&lt;=0,1,MAX(0,IF(Inputs!$B$39="pvp",15,Inputs!$B$44)-MAX(5,B3342))/(IF(Inputs!$B$39="pvp",15,Inputs!$B$44)-(B3342))))*IF(AND(ArtifactsInput!$M$42,((Inputs!$B$9+((C3323=TRUE)*(F3323-Calc!F26))+B3331+(ArtifactsInput!$M$24-ArtifactsInput!$M$24)*CHOOSE(ArtifactsInput!$N$24+1,10,12,14,16,18,20)+IF(ArtifactsInput!$M$10,CHOOSE(ArtifactsInput!$N$10+1,15,18,21,24,27,30)*(IF(Inputs!$B$39="pvp",MIN(15,15)/15,IF(AND(Inputs!$B$39&lt;&gt;"pvp",Inputs!$B$44&gt;0),MIN(15,Inputs!$B$44)/(Inputs!$B$44),0))),0)))&gt;=100),CHOOSE(ArtifactsInput!$N$42+1,40,48,56,64,72,80),0))))/100)*(((1+(((C3319=TRUE)*F3319*IF(AND(Inputs!$B$39&lt;&gt;"pvp",Inputs!$B$44&gt;0),(((R3319-1)*MIN((Skills!Y22*(1+Inputs!$B$34/100)),(1/Q3319))+MIN((Skills!Y22*(1+Inputs!$B$34/100)),MAX(0,Inputs!$B$44-((R3319-1)*(1/Q3319)))))/Inputs!$B$44),IF(Inputs!$B$39="pvp",MIN((Skills!Y22*(1+Inputs!$B$34/100)),15)/15,MIN(1,(Skills!Y22*(1+Inputs!$B$34/100))/(1/Q3319)))))+((C3300=TRUE)*F3300*3)+((C3302=TRUE)*F3302*(1-EXP(-0.75*B3335*5)))+((C3321=TRUE)*(F3321-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3308=TRUE)*F3308*IF(AND(Inputs!$B$39&lt;&gt;"pvp",Inputs!$B$44&gt;0),(((R3308-1)*MIN((Skills!Y11*(1+Inputs!$B$34/100)),(1/Q3308))+MIN((Skills!Y11*(1+Inputs!$B$34/100)),MAX(0,Inputs!$B$44-((R3308-1)*(1/Q3308)))))/Inputs!$B$44),IF(Inputs!$B$39="pvp",MIN((Skills!Y11*(1+Inputs!$B$34/100)),15)/15,MIN(1,(Skills!Y11*(1+Inputs!$B$34/100))/(1/Q3308)))))/100)*(1+((C3313=TRUE)*F3313*IF(AND(Inputs!$B$39&lt;&gt;"pvp",Inputs!$B$44&gt;0),(((R3313-1)*MIN((Skills!Y16*(1+Inputs!$B$34/100)),(1/Q3313))+MIN((Skills!Y16*(1+Inputs!$B$34/100)),MAX(0,Inputs!$B$44-((R3313-1)*(1/Q3313)))))/Inputs!$B$44),IF(Inputs!$B$39="pvp",MIN((Skills!Y16*(1+Inputs!$B$34/100)),15)/15,MIN(1,(Skills!Y16*(1+Inputs!$B$34/100))/(1/Q3313)))))/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3333*I3309)</f>
        <v/>
      </c>
      <c r="L3309">
        <f>K3309*(MIN(Inputs!$B$22+((C3322=TRUE)*(F3322-Calc!F25)),(Inputs!$B$23+((C3327=TRUE)*(F3327-Calc!F30))+IF(ArtifactsInput!$M$15,CHOOSE(ArtifactsInput!$N$15+1,25,30,35,40,45,50)/100*(Inputs!$B$11-Inputs!$B$11),0)))/100+(Inputs!$B$23+((C3327=TRUE)*(F3327-Calc!F30))+IF(ArtifactsInput!$M$15,CHOOSE(ArtifactsInput!$N$15+1,25,30,35,40,45,50)/100*(Inputs!$B$11-Inputs!$B$11),0))/100)/2</f>
        <v/>
      </c>
      <c r="M3309">
        <f>L3309*(1+(Inputs!$B$10+((C3324=TRUE)*(F3324-Calc!F27))+B3338+(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3309">
        <f>L3309*(1-MIN((Inputs!$B$9+((C3323=TRUE)*(F3323-Calc!F26))+B3331+(ArtifactsInput!$M$24-ArtifactsInput!$M$24)*CHOOSE(ArtifactsInput!$N$24+1,10,12,14,16,18,20)+(IF(AND(Inputs!$B$39&lt;&gt;"pvp",Inputs!$B$44=0),1,IF(IF(Inputs!$B$39="pvp",15,Inputs!$B$44)-(B3342)&lt;=0,1,MAX(0,IF(Inputs!$B$39="pvp",15,Inputs!$B$44)-MAX(5,B3342))/(IF(Inputs!$B$39="pvp",15,Inputs!$B$44)-(B3342))))*IF(AND(ArtifactsInput!$M$42,((Inputs!$B$9+((C3323=TRUE)*(F3323-Calc!F26))+B3331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3309*(MIN((Inputs!$B$9+((C3323=TRUE)*(F3323-Calc!F26))+B3331+(ArtifactsInput!$M$24-ArtifactsInput!$M$24)*CHOOSE(ArtifactsInput!$N$24+1,10,12,14,16,18,20)+(IF(AND(Inputs!$B$39&lt;&gt;"pvp",Inputs!$B$44=0),1,IF(IF(Inputs!$B$39="pvp",15,Inputs!$B$44)-(B3342)&lt;=0,1,MAX(0,IF(Inputs!$B$39="pvp",15,Inputs!$B$44)-MAX(5,B3342))/(IF(Inputs!$B$39="pvp",15,Inputs!$B$44)-(B3342))))*IF(AND(ArtifactsInput!$M$42,((Inputs!$B$9+((C3323=TRUE)*(F3323-Calc!F26))+B3331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3309">
        <f>(1-Summary!$B$11)*T3309+Summary!$B$11*V3309</f>
        <v/>
      </c>
      <c r="P3309">
        <f>IF(B3343=0,0,O3309/B3343)</f>
        <v/>
      </c>
      <c r="Q3309">
        <f>IFERROR(1/IF(Inputs!$B$39="pvp",15,MAX(0.1,Skills!D12-IF(TRUE=TRUE,0.5,0))),0)</f>
        <v/>
      </c>
      <c r="R3309">
        <f>IF(AND(Inputs!$B$39&lt;&gt;"pvp",Inputs!$B$44&gt;0),IF(MAX(0,Inputs!$B$44-B3342)&lt;=0,0,(INT(MAX(0,Inputs!$B$44-B3342)/IF(Inputs!$B$39="pvp",15,MAX(0.1,Skills!D12-IF(TRUE=TRUE,0.5,0))))+1)),0)</f>
        <v/>
      </c>
      <c r="S3309">
        <f>IFERROR(O3309/N3309,0)</f>
        <v/>
      </c>
      <c r="T3309">
        <f>IF(C3309,(H3309*N3309*IF(AND(Inputs!$B$39&lt;&gt;"pvp",Inputs!$B$44&gt;0),((Skills!G12*((R3309-1)*IF(Skills!H12&gt;0,Skills!I12/Skills!H12,1)+IF(Skills!H12&gt;0,MIN(Skills!I12,MAX(0,MAX(0,Inputs!$B$44-B3342)-((R3309-1)*IF(Inputs!$B$39="pvp",15,MAX(0.1,Skills!D12-IF(TRUE=TRUE,0.5,0))))))/Skills!H12,1)))/Inputs!$B$44),G3309*Q3309))*IF(Inputs!$B$39="pvp",1,1+(Inputs!$B$20+0+Skills!P12+B3332+(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Hunt"),CHOOSE(ArtifactsInput!$N$35+1,15,18,21,24,27,30)*(1-EXP(-(0.2*B3335)*5)),0)+IF(AND(ArtifactsInput!$M$22,Inputs!$B$4&lt;&gt;"Chapter Hunt"),CHOOSE(ArtifactsInput!$N$22+1,10,12,14,16,18,20)*((0*(((0.15*B3335*5))^0/1)+1*(((0.15*B3335*5))^1/1)+2*(((0.15*B3335*5))^2/2)+3*(((0.15*B3335*5))^3/6)+4*(((0.15*B3335*5))^4/24)+5*(((0.15*B3335*5))^5/120))/((((0.15*B3335*5))^0/1)+(((0.15*B3335*5))^1/1)+(((0.15*B3335*5))^2/2)+(((0.15*B3335*5))^3/6)+(((0.15*B3335*5))^4/24)+(((0.15*B3335*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3309*(1-MIN(100,(Inputs!$B$9+((C3323=TRUE)*(F3323-Calc!F26))+B3331+(ArtifactsInput!$M$24-ArtifactsInput!$M$24)*CHOOSE(ArtifactsInput!$N$24+1,10,12,14,16,18,20)+(IF(AND(Inputs!$B$39&lt;&gt;"pvp",Inputs!$B$44=0),1,IF(IF(Inputs!$B$39="pvp",15,Inputs!$B$44)-(B3342)&lt;=0,1,MAX(0,IF(Inputs!$B$39="pvp",15,Inputs!$B$44)-MAX(5,B3342))/(IF(Inputs!$B$39="pvp",15,Inputs!$B$44)-(B3342))))*IF(AND(ArtifactsInput!$M$42,((Inputs!$B$9+((C3323=TRUE)*(F3323-Calc!F26))+B3331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3309*(MIN(100,(Inputs!$B$9+((C3323=TRUE)*(F3323-Calc!F26))+B3331+(ArtifactsInput!$M$24-ArtifactsInput!$M$24)*CHOOSE(ArtifactsInput!$N$24+1,10,12,14,16,18,20)+(IF(AND(Inputs!$B$39&lt;&gt;"pvp",Inputs!$B$44=0),1,IF(IF(Inputs!$B$39="pvp",15,Inputs!$B$44)-(B3342)&lt;=0,1,MAX(0,IF(Inputs!$B$39="pvp",15,Inputs!$B$44)-MAX(5,B3342))/(IF(Inputs!$B$39="pvp",15,Inputs!$B$44)-(B3342))))*IF(AND(ArtifactsInput!$M$42,((Inputs!$B$9+((C3323=TRUE)*(F3323-Calc!F26))+B3331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3309*(1-MIN(100,(Inputs!$B$9+((C3323=TRUE)*(F3323-Calc!F26))+B3331+(ArtifactsInput!$M$24-ArtifactsInput!$M$24)*CHOOSE(ArtifactsInput!$N$24+1,10,12,14,16,18,20)+(IF(AND(Inputs!$B$39&lt;&gt;"pvp",Inputs!$B$44=0),1,IF(IF(Inputs!$B$39="pvp",15,Inputs!$B$44)-(B3342)&lt;=0,1,MAX(0,IF(Inputs!$B$39="pvp",15,Inputs!$B$44)-MAX(5,B3342))/(IF(Inputs!$B$39="pvp",15,Inputs!$B$44)-(B3342))))*IF(AND(ArtifactsInput!$M$42,((Inputs!$B$9+((C3323=TRUE)*(F3323-Calc!F26))+B3331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3309*(MIN(100,(Inputs!$B$9+((C3323=TRUE)*(F3323-Calc!F26))+B3331+(ArtifactsInput!$M$24-ArtifactsInput!$M$24)*CHOOSE(ArtifactsInput!$N$24+1,10,12,14,16,18,20)+(IF(AND(Inputs!$B$39&lt;&gt;"pvp",Inputs!$B$44=0),1,IF(IF(Inputs!$B$39="pvp",15,Inputs!$B$44)-(B3342)&lt;=0,1,MAX(0,IF(Inputs!$B$39="pvp",15,Inputs!$B$44)-MAX(5,B3342))/(IF(Inputs!$B$39="pvp",15,Inputs!$B$44)-(B3342))))*IF(AND(ArtifactsInput!$M$42,((Inputs!$B$9+((C3323=TRUE)*(F3323-Calc!F26))+B3331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3309">
        <f>IF(C3309,(H3309*N3309*IF(AND(Inputs!$B$39&lt;&gt;"pvp",Inputs!$B$44&gt;0),((Skills!G12*((R3309-1)*IF(Skills!H12&gt;0,Skills!I12/Skills!H12,1)+IF(Skills!H12&gt;0,MIN(Skills!I12,MAX(0,MAX(0,Inputs!$B$44-B3342)-((R3309-1)*IF(Inputs!$B$39="pvp",15,MAX(0.1,Skills!D12-IF(TRUE=TRUE,0.5,0))))))/Skills!H12,1)))/Inputs!$B$44),G3309*Q3309))*IF(Inputs!$B$39="pvp",1,(1+(Inputs!$B$21+Skills!Q12+B3332+(IF(ArtifactsInput!$M$33,CHOOSE(ArtifactsInput!$N$33+1,30,36,42,48,54,60),0))+(IF(AND(ArtifactsInput!$M$35,Inputs!$B$4&lt;&gt;"Chapter Hunt"),CHOOSE(ArtifactsInput!$N$35+1,15,18,21,24,27,30)*(1-EXP(-(0.2*B3335)*5)),0)+IF(AND(ArtifactsInput!$M$22,Inputs!$B$4&lt;&gt;"Chapter Hunt"),CHOOSE(ArtifactsInput!$N$22+1,10,12,14,16,18,20)*((0*(((0.15*B3335*5))^0/1)+1*(((0.15*B3335*5))^1/1)+2*(((0.15*B3335*5))^2/2)+3*(((0.15*B3335*5))^3/6)+4*(((0.15*B3335*5))^4/24)+5*(((0.15*B3335*5))^5/120))/((((0.15*B3335*5))^0/1)+(((0.15*B3335*5))^1/1)+(((0.15*B3335*5))^2/2)+(((0.15*B3335*5))^3/6)+(((0.15*B3335*5))^4/24)+(((0.15*B3335*5))^5/120))),0)))/100)*(MIN(Skills!W12,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3310">
      <c r="A3310">
        <f>Skills!A13</f>
        <v/>
      </c>
      <c r="B3310">
        <f>Skills!B13</f>
        <v/>
      </c>
      <c r="C3310">
        <f>Inputs!$B$3&gt;=105</f>
        <v/>
      </c>
      <c r="D3310">
        <f>IF(Skills!C13=1,60+Inputs!$B$25+Inputs!$B$29,IF(Skills!C13=2,90+Inputs!$B$26+Inputs!$B$29,IF(Skills!C13=3,120+Inputs!$B$27+Inputs!$B$29,MAX(0,(Inputs!$B$3-100)*3)+Inputs!$B$28+Inputs!$B$29)))</f>
        <v/>
      </c>
      <c r="E3310">
        <f>INDEX(FactorTable!$B$2:$Y$301, MATCH(ROUND(MIN(300,MAX(1,D3310)),0), FactorTable!$A$2:$A$301,0), Skills!M13+1)</f>
        <v/>
      </c>
      <c r="F3310">
        <f>IF(Skills!N13=TRUE,(Skills!L13/10)*(E3310/1000),Skills!L13/10)+Skills!O13</f>
        <v/>
      </c>
      <c r="G3310">
        <f>Skills!G13*IF(Skills!H13&gt;0,IF(Inputs!$B$39="pvp",MIN(Skills!I13,15),Skills!I13)/Skills!H13,1)</f>
        <v/>
      </c>
      <c r="H3310">
        <f>1-(1-Skills!J13/100)^Skills!K13</f>
        <v/>
      </c>
      <c r="I3310" t="inlineStr">
        <is>
          <t>1</t>
        </is>
      </c>
      <c r="J3310">
        <f>((Inputs!$B$6*(1+Inputs!$B$7/100))+(((Inputs!$B$12*(1+Inputs!$B$13/100))-(Inputs!$B$12*(1+Inputs!$B$13/100)))+0.25*(Inputs!$B$14-Inputs!$B$14))*(1+Inputs!$B$7/100))*(F3310/100)</f>
        <v/>
      </c>
      <c r="K3310">
        <f>J3310*(1+((Inputs!$B$12*(1+Inputs!$B$13/100))*0.01+Inputs!$B$14*0.0025)/100)*(1+Inputs!$B$15/100)*(1+Inputs!$B$16/100)*(5000/(6000+Inputs!$B$43*(1-(100*(1-(1-Inputs!$B$19/100)*(1-CHOOSE(ArtifactsInput!$N$40+1,5,6,7,8,9,10)/100)^(ArtifactsInput!$M$40-ArtifactsInput!$M$40)))/100)))*(1+(Inputs!$B$24+((C3328=TRUE)*(F3328-Calc!F31))+((C3315=TRUE)*(F3315-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13="CRUEL_STAB",Inputs!$B$17+((C3325=TRUE)*(F3325-Calc!F28))+((IF(AND(Inputs!$B$39&lt;&gt;"pvp",Inputs!$B$44=0),1,IF(IF(Inputs!$B$39="pvp",15,Inputs!$B$44)-(B3342)&lt;=0,1,MAX(0,IF(Inputs!$B$39="pvp",15,Inputs!$B$44)-MAX(5,B3342))/(IF(Inputs!$B$39="pvp",15,Inputs!$B$44)-(B3342))))*(IF(AND(ArtifactsInput!$M$42,((Inputs!$B$9+((C3323=TRUE)*(F3323-Calc!F26))+B3331+(ArtifactsInput!$M$24-ArtifactsInput!$M$24)*CHOOSE(ArtifactsInput!$N$24+1,10,12,14,16,18,20)+IF(ArtifactsInput!$M$10,CHOOSE(ArtifactsInput!$N$10+1,15,18,21,24,27,30)*(IF(Inputs!$B$39="pvp",MIN(15,15)/15,IF(AND(Inputs!$B$39&lt;&gt;"pvp",Inputs!$B$44&gt;0),MIN(15,Inputs!$B$44)/(Inputs!$B$44),0))),0)))&gt;=100),MIN(100,((Inputs!$B$9+((C3323=TRUE)*(F3323-Calc!F26))+B3331+(ArtifactsInput!$M$24-ArtifactsInput!$M$24)*CHOOSE(ArtifactsInput!$N$24+1,10,12,14,16,18,20)+IF(ArtifactsInput!$M$10,CHOOSE(ArtifactsInput!$N$10+1,15,18,21,24,27,30)*(IF(Inputs!$B$39="pvp",MIN(15,15)/15,IF(AND(Inputs!$B$39&lt;&gt;"pvp",Inputs!$B$44&gt;0),MIN(15,Inputs!$B$44)/(Inputs!$B$44),0))),0)))-100),0))*CHOOSE(ArtifactsInput!$N$42+1,0.6,0.72,0.84,0.96,1.08,1.2))),Inputs!$B$18+((C3326=TRUE)*(F3326-Calc!F29))+(IF(AND(Inputs!$B$39&lt;&gt;"pvp",Inputs!$B$44=0),1,IF(IF(Inputs!$B$39="pvp",15,Inputs!$B$44)-(B3342)&lt;=0,1,MAX(0,IF(Inputs!$B$39="pvp",15,Inputs!$B$44)-MAX(5,B3342))/(IF(Inputs!$B$39="pvp",15,Inputs!$B$44)-(B3342))))*IF(AND(ArtifactsInput!$M$42,((Inputs!$B$9+((C3323=TRUE)*(F3323-Calc!F26))+B3331+(ArtifactsInput!$M$24-ArtifactsInput!$M$24)*CHOOSE(ArtifactsInput!$N$24+1,10,12,14,16,18,20)+IF(ArtifactsInput!$M$10,CHOOSE(ArtifactsInput!$N$10+1,15,18,21,24,27,30)*(IF(Inputs!$B$39="pvp",MIN(15,15)/15,IF(AND(Inputs!$B$39&lt;&gt;"pvp",Inputs!$B$44&gt;0),MIN(15,Inputs!$B$44)/(Inputs!$B$44),0))),0)))&gt;=100),CHOOSE(ArtifactsInput!$N$42+1,40,48,56,64,72,80),0))))/100)*(((1+(((C3319=TRUE)*F3319*IF(AND(Inputs!$B$39&lt;&gt;"pvp",Inputs!$B$44&gt;0),(((R3319-1)*MIN((Skills!Y22*(1+Inputs!$B$34/100)),(1/Q3319))+MIN((Skills!Y22*(1+Inputs!$B$34/100)),MAX(0,Inputs!$B$44-((R3319-1)*(1/Q3319)))))/Inputs!$B$44),IF(Inputs!$B$39="pvp",MIN((Skills!Y22*(1+Inputs!$B$34/100)),15)/15,MIN(1,(Skills!Y22*(1+Inputs!$B$34/100))/(1/Q3319)))))+((C3300=TRUE)*F3300*3)+((C3302=TRUE)*F3302*(1-EXP(-0.75*B3335*5)))+((C3321=TRUE)*(F3321-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3308=TRUE)*F3308*IF(AND(Inputs!$B$39&lt;&gt;"pvp",Inputs!$B$44&gt;0),(((R3308-1)*MIN((Skills!Y11*(1+Inputs!$B$34/100)),(1/Q3308))+MIN((Skills!Y11*(1+Inputs!$B$34/100)),MAX(0,Inputs!$B$44-((R3308-1)*(1/Q3308)))))/Inputs!$B$44),IF(Inputs!$B$39="pvp",MIN((Skills!Y11*(1+Inputs!$B$34/100)),15)/15,MIN(1,(Skills!Y11*(1+Inputs!$B$34/100))/(1/Q3308)))))/100)*(1+((C3313=TRUE)*F3313*IF(AND(Inputs!$B$39&lt;&gt;"pvp",Inputs!$B$44&gt;0),(((R3313-1)*MIN((Skills!Y16*(1+Inputs!$B$34/100)),(1/Q3313))+MIN((Skills!Y16*(1+Inputs!$B$34/100)),MAX(0,Inputs!$B$44-((R3313-1)*(1/Q3313)))))/Inputs!$B$44),IF(Inputs!$B$39="pvp",MIN((Skills!Y16*(1+Inputs!$B$34/100)),15)/15,MIN(1,(Skills!Y16*(1+Inputs!$B$34/100))/(1/Q3313)))))/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3333*I3310)</f>
        <v/>
      </c>
      <c r="L3310">
        <f>K3310*(MIN(Inputs!$B$22+((C3322=TRUE)*(F3322-Calc!F25)),(Inputs!$B$23+((C3327=TRUE)*(F3327-Calc!F30))+IF(ArtifactsInput!$M$15,CHOOSE(ArtifactsInput!$N$15+1,25,30,35,40,45,50)/100*(Inputs!$B$11-Inputs!$B$11),0)))/100+(Inputs!$B$23+((C3327=TRUE)*(F3327-Calc!F30))+IF(ArtifactsInput!$M$15,CHOOSE(ArtifactsInput!$N$15+1,25,30,35,40,45,50)/100*(Inputs!$B$11-Inputs!$B$11),0))/100)/2</f>
        <v/>
      </c>
      <c r="M3310">
        <f>L3310*(1+(Inputs!$B$10+((C3324=TRUE)*(F3324-Calc!F27))+B3338+(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3310">
        <f>L3310*(1-MIN((Inputs!$B$9+((C3323=TRUE)*(F3323-Calc!F26))+B3331+(ArtifactsInput!$M$24-ArtifactsInput!$M$24)*CHOOSE(ArtifactsInput!$N$24+1,10,12,14,16,18,20)+(IF(AND(Inputs!$B$39&lt;&gt;"pvp",Inputs!$B$44=0),1,IF(IF(Inputs!$B$39="pvp",15,Inputs!$B$44)-(B3342)&lt;=0,1,MAX(0,IF(Inputs!$B$39="pvp",15,Inputs!$B$44)-MAX(5,B3342))/(IF(Inputs!$B$39="pvp",15,Inputs!$B$44)-(B3342))))*IF(AND(ArtifactsInput!$M$42,((Inputs!$B$9+((C3323=TRUE)*(F3323-Calc!F26))+B3331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3310*(MIN((Inputs!$B$9+((C3323=TRUE)*(F3323-Calc!F26))+B3331+(ArtifactsInput!$M$24-ArtifactsInput!$M$24)*CHOOSE(ArtifactsInput!$N$24+1,10,12,14,16,18,20)+(IF(AND(Inputs!$B$39&lt;&gt;"pvp",Inputs!$B$44=0),1,IF(IF(Inputs!$B$39="pvp",15,Inputs!$B$44)-(B3342)&lt;=0,1,MAX(0,IF(Inputs!$B$39="pvp",15,Inputs!$B$44)-MAX(5,B3342))/(IF(Inputs!$B$39="pvp",15,Inputs!$B$44)-(B3342))))*IF(AND(ArtifactsInput!$M$42,((Inputs!$B$9+((C3323=TRUE)*(F3323-Calc!F26))+B3331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3310">
        <f>(1-Summary!$B$11)*T3310+Summary!$B$11*V3310</f>
        <v/>
      </c>
      <c r="P3310">
        <f>IF(B3343=0,0,O3310/B3343)</f>
        <v/>
      </c>
      <c r="Q3310">
        <f>IFERROR(1/IF(Inputs!$B$39="pvp",15,MAX(0.1,Skills!D13-IF(TRUE=TRUE,0.5,0))),0)</f>
        <v/>
      </c>
      <c r="R3310">
        <f>IF(AND(Inputs!$B$39&lt;&gt;"pvp",Inputs!$B$44&gt;0),IF(MAX(0,Inputs!$B$44-B3342)&lt;=0,0,(INT(MAX(0,Inputs!$B$44-B3342)/IF(Inputs!$B$39="pvp",15,MAX(0.1,Skills!D13-IF(TRUE=TRUE,0.5,0))))+1)),0)</f>
        <v/>
      </c>
      <c r="S3310">
        <f>IFERROR(O3310/N3310,0)</f>
        <v/>
      </c>
      <c r="T3310">
        <f>IF(C3310,(H3310*N3310*IF(AND(Inputs!$B$39&lt;&gt;"pvp",Inputs!$B$44&gt;0),((Skills!G13*((R3310-1)*IF(Skills!H13&gt;0,Skills!I13/Skills!H13,1)+IF(Skills!H13&gt;0,MIN(Skills!I13,MAX(0,MAX(0,Inputs!$B$44-B3342)-((R3310-1)*IF(Inputs!$B$39="pvp",15,MAX(0.1,Skills!D13-IF(TRUE=TRUE,0.5,0))))))/Skills!H13,1)))/Inputs!$B$44),G3310*Q3310))*IF(Inputs!$B$39="pvp",1,1+(Inputs!$B$20+0+Skills!P13+B3332+(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Hunt"),CHOOSE(ArtifactsInput!$N$35+1,15,18,21,24,27,30)*(1-EXP(-(0.2*B3335)*5)),0)+IF(AND(ArtifactsInput!$M$22,Inputs!$B$4&lt;&gt;"Chapter Hunt"),CHOOSE(ArtifactsInput!$N$22+1,10,12,14,16,18,20)*((0*(((0.15*B3335*5))^0/1)+1*(((0.15*B3335*5))^1/1)+2*(((0.15*B3335*5))^2/2)+3*(((0.15*B3335*5))^3/6)+4*(((0.15*B3335*5))^4/24)+5*(((0.15*B3335*5))^5/120))/((((0.15*B3335*5))^0/1)+(((0.15*B3335*5))^1/1)+(((0.15*B3335*5))^2/2)+(((0.15*B3335*5))^3/6)+(((0.15*B3335*5))^4/24)+(((0.15*B3335*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3310*(1-MIN(100,(Inputs!$B$9+((C3323=TRUE)*(F3323-Calc!F26))+B3331+(ArtifactsInput!$M$24-ArtifactsInput!$M$24)*CHOOSE(ArtifactsInput!$N$24+1,10,12,14,16,18,20)+(IF(AND(Inputs!$B$39&lt;&gt;"pvp",Inputs!$B$44=0),1,IF(IF(Inputs!$B$39="pvp",15,Inputs!$B$44)-(B3342)&lt;=0,1,MAX(0,IF(Inputs!$B$39="pvp",15,Inputs!$B$44)-MAX(5,B3342))/(IF(Inputs!$B$39="pvp",15,Inputs!$B$44)-(B3342))))*IF(AND(ArtifactsInput!$M$42,((Inputs!$B$9+((C3323=TRUE)*(F3323-Calc!F26))+B3331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3310*(MIN(100,(Inputs!$B$9+((C3323=TRUE)*(F3323-Calc!F26))+B3331+(ArtifactsInput!$M$24-ArtifactsInput!$M$24)*CHOOSE(ArtifactsInput!$N$24+1,10,12,14,16,18,20)+(IF(AND(Inputs!$B$39&lt;&gt;"pvp",Inputs!$B$44=0),1,IF(IF(Inputs!$B$39="pvp",15,Inputs!$B$44)-(B3342)&lt;=0,1,MAX(0,IF(Inputs!$B$39="pvp",15,Inputs!$B$44)-MAX(5,B3342))/(IF(Inputs!$B$39="pvp",15,Inputs!$B$44)-(B3342))))*IF(AND(ArtifactsInput!$M$42,((Inputs!$B$9+((C3323=TRUE)*(F3323-Calc!F26))+B3331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3310*(1-MIN(100,(Inputs!$B$9+((C3323=TRUE)*(F3323-Calc!F26))+B3331+(ArtifactsInput!$M$24-ArtifactsInput!$M$24)*CHOOSE(ArtifactsInput!$N$24+1,10,12,14,16,18,20)+(IF(AND(Inputs!$B$39&lt;&gt;"pvp",Inputs!$B$44=0),1,IF(IF(Inputs!$B$39="pvp",15,Inputs!$B$44)-(B3342)&lt;=0,1,MAX(0,IF(Inputs!$B$39="pvp",15,Inputs!$B$44)-MAX(5,B3342))/(IF(Inputs!$B$39="pvp",15,Inputs!$B$44)-(B3342))))*IF(AND(ArtifactsInput!$M$42,((Inputs!$B$9+((C3323=TRUE)*(F3323-Calc!F26))+B3331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3310*(MIN(100,(Inputs!$B$9+((C3323=TRUE)*(F3323-Calc!F26))+B3331+(ArtifactsInput!$M$24-ArtifactsInput!$M$24)*CHOOSE(ArtifactsInput!$N$24+1,10,12,14,16,18,20)+(IF(AND(Inputs!$B$39&lt;&gt;"pvp",Inputs!$B$44=0),1,IF(IF(Inputs!$B$39="pvp",15,Inputs!$B$44)-(B3342)&lt;=0,1,MAX(0,IF(Inputs!$B$39="pvp",15,Inputs!$B$44)-MAX(5,B3342))/(IF(Inputs!$B$39="pvp",15,Inputs!$B$44)-(B3342))))*IF(AND(ArtifactsInput!$M$42,((Inputs!$B$9+((C3323=TRUE)*(F3323-Calc!F26))+B3331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3310">
        <f>IF(C3310,(H3310*N3310*IF(AND(Inputs!$B$39&lt;&gt;"pvp",Inputs!$B$44&gt;0),((Skills!G13*((R3310-1)*IF(Skills!H13&gt;0,Skills!I13/Skills!H13,1)+IF(Skills!H13&gt;0,MIN(Skills!I13,MAX(0,MAX(0,Inputs!$B$44-B3342)-((R3310-1)*IF(Inputs!$B$39="pvp",15,MAX(0.1,Skills!D13-IF(TRUE=TRUE,0.5,0))))))/Skills!H13,1)))/Inputs!$B$44),G3310*Q3310))*IF(Inputs!$B$39="pvp",1,(1+(Inputs!$B$21+Skills!Q13+B3332+(IF(ArtifactsInput!$M$33,CHOOSE(ArtifactsInput!$N$33+1,30,36,42,48,54,60),0))+(IF(AND(ArtifactsInput!$M$35,Inputs!$B$4&lt;&gt;"Chapter Hunt"),CHOOSE(ArtifactsInput!$N$35+1,15,18,21,24,27,30)*(1-EXP(-(0.2*B3335)*5)),0)+IF(AND(ArtifactsInput!$M$22,Inputs!$B$4&lt;&gt;"Chapter Hunt"),CHOOSE(ArtifactsInput!$N$22+1,10,12,14,16,18,20)*((0*(((0.15*B3335*5))^0/1)+1*(((0.15*B3335*5))^1/1)+2*(((0.15*B3335*5))^2/2)+3*(((0.15*B3335*5))^3/6)+4*(((0.15*B3335*5))^4/24)+5*(((0.15*B3335*5))^5/120))/((((0.15*B3335*5))^0/1)+(((0.15*B3335*5))^1/1)+(((0.15*B3335*5))^2/2)+(((0.15*B3335*5))^3/6)+(((0.15*B3335*5))^4/24)+(((0.15*B3335*5))^5/120))),0)))/100)*(MIN(Skills!W13,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3311">
      <c r="A3311">
        <f>Skills!A14</f>
        <v/>
      </c>
      <c r="B3311">
        <f>Skills!B14</f>
        <v/>
      </c>
      <c r="C3311">
        <f>Inputs!$B$3&gt;=105</f>
        <v/>
      </c>
      <c r="D3311">
        <f>IF(Skills!C14=1,60+Inputs!$B$25+Inputs!$B$29,IF(Skills!C14=2,90+Inputs!$B$26+Inputs!$B$29,IF(Skills!C14=3,120+Inputs!$B$27+Inputs!$B$29,MAX(0,(Inputs!$B$3-100)*3)+Inputs!$B$28+Inputs!$B$29)))</f>
        <v/>
      </c>
      <c r="E3311">
        <f>INDEX(FactorTable!$B$2:$Y$301, MATCH(ROUND(MIN(300,MAX(1,D3311)),0), FactorTable!$A$2:$A$301,0), Skills!M14+1)</f>
        <v/>
      </c>
      <c r="F3311">
        <f>IF(Skills!N14=TRUE,(Skills!L14/10)*(E3311/1000),Skills!L14/10)+Skills!O14</f>
        <v/>
      </c>
      <c r="G3311">
        <f>Skills!G14*IF(Skills!H14&gt;0,IF(Inputs!$B$39="pvp",MIN(Skills!I14,15),Skills!I14)/Skills!H14,1)</f>
        <v/>
      </c>
      <c r="H3311">
        <f>1-(1-Skills!J14/100)^Skills!K14</f>
        <v/>
      </c>
      <c r="I3311" t="inlineStr">
        <is>
          <t>1</t>
        </is>
      </c>
      <c r="J3311">
        <f>((Inputs!$B$6*(1+Inputs!$B$7/100))+(((Inputs!$B$12*(1+Inputs!$B$13/100))-(Inputs!$B$12*(1+Inputs!$B$13/100)))+0.25*(Inputs!$B$14-Inputs!$B$14))*(1+Inputs!$B$7/100))*(F3311/100)</f>
        <v/>
      </c>
      <c r="K3311">
        <f>J3311*(1+((Inputs!$B$12*(1+Inputs!$B$13/100))*0.01+Inputs!$B$14*0.0025)/100)*(1+Inputs!$B$15/100)*(1+Inputs!$B$16/100)*(5000/(6000+Inputs!$B$43*(1-(100*(1-(1-Inputs!$B$19/100)*(1-CHOOSE(ArtifactsInput!$N$40+1,5,6,7,8,9,10)/100)^(ArtifactsInput!$M$40-ArtifactsInput!$M$40)))/100)))*(1+(Inputs!$B$24+((C3328=TRUE)*(F3328-Calc!F31))+((C3315=TRUE)*(F3315-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14="CRUEL_STAB",Inputs!$B$17+((C3325=TRUE)*(F3325-Calc!F28))+((IF(AND(Inputs!$B$39&lt;&gt;"pvp",Inputs!$B$44=0),1,IF(IF(Inputs!$B$39="pvp",15,Inputs!$B$44)-(B3342)&lt;=0,1,MAX(0,IF(Inputs!$B$39="pvp",15,Inputs!$B$44)-MAX(5,B3342))/(IF(Inputs!$B$39="pvp",15,Inputs!$B$44)-(B3342))))*(IF(AND(ArtifactsInput!$M$42,((Inputs!$B$9+((C3323=TRUE)*(F3323-Calc!F26))+B3331+(ArtifactsInput!$M$24-ArtifactsInput!$M$24)*CHOOSE(ArtifactsInput!$N$24+1,10,12,14,16,18,20)+IF(ArtifactsInput!$M$10,CHOOSE(ArtifactsInput!$N$10+1,15,18,21,24,27,30)*(IF(Inputs!$B$39="pvp",MIN(15,15)/15,IF(AND(Inputs!$B$39&lt;&gt;"pvp",Inputs!$B$44&gt;0),MIN(15,Inputs!$B$44)/(Inputs!$B$44),0))),0)))&gt;=100),MIN(100,((Inputs!$B$9+((C3323=TRUE)*(F3323-Calc!F26))+B3331+(ArtifactsInput!$M$24-ArtifactsInput!$M$24)*CHOOSE(ArtifactsInput!$N$24+1,10,12,14,16,18,20)+IF(ArtifactsInput!$M$10,CHOOSE(ArtifactsInput!$N$10+1,15,18,21,24,27,30)*(IF(Inputs!$B$39="pvp",MIN(15,15)/15,IF(AND(Inputs!$B$39&lt;&gt;"pvp",Inputs!$B$44&gt;0),MIN(15,Inputs!$B$44)/(Inputs!$B$44),0))),0)))-100),0))*CHOOSE(ArtifactsInput!$N$42+1,0.6,0.72,0.84,0.96,1.08,1.2))),Inputs!$B$18+((C3326=TRUE)*(F3326-Calc!F29))+(IF(AND(Inputs!$B$39&lt;&gt;"pvp",Inputs!$B$44=0),1,IF(IF(Inputs!$B$39="pvp",15,Inputs!$B$44)-(B3342)&lt;=0,1,MAX(0,IF(Inputs!$B$39="pvp",15,Inputs!$B$44)-MAX(5,B3342))/(IF(Inputs!$B$39="pvp",15,Inputs!$B$44)-(B3342))))*IF(AND(ArtifactsInput!$M$42,((Inputs!$B$9+((C3323=TRUE)*(F3323-Calc!F26))+B3331+(ArtifactsInput!$M$24-ArtifactsInput!$M$24)*CHOOSE(ArtifactsInput!$N$24+1,10,12,14,16,18,20)+IF(ArtifactsInput!$M$10,CHOOSE(ArtifactsInput!$N$10+1,15,18,21,24,27,30)*(IF(Inputs!$B$39="pvp",MIN(15,15)/15,IF(AND(Inputs!$B$39&lt;&gt;"pvp",Inputs!$B$44&gt;0),MIN(15,Inputs!$B$44)/(Inputs!$B$44),0))),0)))&gt;=100),CHOOSE(ArtifactsInput!$N$42+1,40,48,56,64,72,80),0))))/100)*(((1+(((C3319=TRUE)*F3319*IF(AND(Inputs!$B$39&lt;&gt;"pvp",Inputs!$B$44&gt;0),(((R3319-1)*MIN((Skills!Y22*(1+Inputs!$B$34/100)),(1/Q3319))+MIN((Skills!Y22*(1+Inputs!$B$34/100)),MAX(0,Inputs!$B$44-((R3319-1)*(1/Q3319)))))/Inputs!$B$44),IF(Inputs!$B$39="pvp",MIN((Skills!Y22*(1+Inputs!$B$34/100)),15)/15,MIN(1,(Skills!Y22*(1+Inputs!$B$34/100))/(1/Q3319)))))+((C3300=TRUE)*F3300*3)+((C3302=TRUE)*F3302*(1-EXP(-0.75*B3335*5)))+((C3321=TRUE)*(F3321-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3308=TRUE)*F3308*IF(AND(Inputs!$B$39&lt;&gt;"pvp",Inputs!$B$44&gt;0),(((R3308-1)*MIN((Skills!Y11*(1+Inputs!$B$34/100)),(1/Q3308))+MIN((Skills!Y11*(1+Inputs!$B$34/100)),MAX(0,Inputs!$B$44-((R3308-1)*(1/Q3308)))))/Inputs!$B$44),IF(Inputs!$B$39="pvp",MIN((Skills!Y11*(1+Inputs!$B$34/100)),15)/15,MIN(1,(Skills!Y11*(1+Inputs!$B$34/100))/(1/Q3308)))))/100)*(1+((C3313=TRUE)*F3313*IF(AND(Inputs!$B$39&lt;&gt;"pvp",Inputs!$B$44&gt;0),(((R3313-1)*MIN((Skills!Y16*(1+Inputs!$B$34/100)),(1/Q3313))+MIN((Skills!Y16*(1+Inputs!$B$34/100)),MAX(0,Inputs!$B$44-((R3313-1)*(1/Q3313)))))/Inputs!$B$44),IF(Inputs!$B$39="pvp",MIN((Skills!Y16*(1+Inputs!$B$34/100)),15)/15,MIN(1,(Skills!Y16*(1+Inputs!$B$34/100))/(1/Q3313)))))/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3333*I3311)</f>
        <v/>
      </c>
      <c r="L3311">
        <f>K3311*(MIN(Inputs!$B$22+((C3322=TRUE)*(F3322-Calc!F25)),(Inputs!$B$23+((C3327=TRUE)*(F3327-Calc!F30))+IF(ArtifactsInput!$M$15,CHOOSE(ArtifactsInput!$N$15+1,25,30,35,40,45,50)/100*(Inputs!$B$11-Inputs!$B$11),0)))/100+(Inputs!$B$23+((C3327=TRUE)*(F3327-Calc!F30))+IF(ArtifactsInput!$M$15,CHOOSE(ArtifactsInput!$N$15+1,25,30,35,40,45,50)/100*(Inputs!$B$11-Inputs!$B$11),0))/100)/2</f>
        <v/>
      </c>
      <c r="M3311">
        <f>L3311*(1+(Inputs!$B$10+((C3324=TRUE)*(F3324-Calc!F27))+B3338+(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3311">
        <f>L3311*(1-MIN((Inputs!$B$9+((C3323=TRUE)*(F3323-Calc!F26))+B3331+(ArtifactsInput!$M$24-ArtifactsInput!$M$24)*CHOOSE(ArtifactsInput!$N$24+1,10,12,14,16,18,20)+(IF(AND(Inputs!$B$39&lt;&gt;"pvp",Inputs!$B$44=0),1,IF(IF(Inputs!$B$39="pvp",15,Inputs!$B$44)-(B3342)&lt;=0,1,MAX(0,IF(Inputs!$B$39="pvp",15,Inputs!$B$44)-MAX(5,B3342))/(IF(Inputs!$B$39="pvp",15,Inputs!$B$44)-(B3342))))*IF(AND(ArtifactsInput!$M$42,((Inputs!$B$9+((C3323=TRUE)*(F3323-Calc!F26))+B3331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3311*(MIN((Inputs!$B$9+((C3323=TRUE)*(F3323-Calc!F26))+B3331+(ArtifactsInput!$M$24-ArtifactsInput!$M$24)*CHOOSE(ArtifactsInput!$N$24+1,10,12,14,16,18,20)+(IF(AND(Inputs!$B$39&lt;&gt;"pvp",Inputs!$B$44=0),1,IF(IF(Inputs!$B$39="pvp",15,Inputs!$B$44)-(B3342)&lt;=0,1,MAX(0,IF(Inputs!$B$39="pvp",15,Inputs!$B$44)-MAX(5,B3342))/(IF(Inputs!$B$39="pvp",15,Inputs!$B$44)-(B3342))))*IF(AND(ArtifactsInput!$M$42,((Inputs!$B$9+((C3323=TRUE)*(F3323-Calc!F26))+B3331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3311">
        <f>(1-Summary!$B$11)*T3311+Summary!$B$11*V3311</f>
        <v/>
      </c>
      <c r="P3311">
        <f>IF(B3343=0,0,O3311/B3343)</f>
        <v/>
      </c>
      <c r="Q3311">
        <f>IFERROR(1/IF(Inputs!$B$39="pvp",15,MAX(0.1,Skills!D14-IF(TRUE=TRUE,0.5,0))),0)</f>
        <v/>
      </c>
      <c r="R3311">
        <f>IF(AND(Inputs!$B$39&lt;&gt;"pvp",Inputs!$B$44&gt;0),IF(MAX(0,Inputs!$B$44-B3342)&lt;=0,0,(INT(MAX(0,Inputs!$B$44-B3342)/IF(Inputs!$B$39="pvp",15,MAX(0.1,Skills!D14-IF(TRUE=TRUE,0.5,0))))+1)),0)</f>
        <v/>
      </c>
      <c r="S3311">
        <f>IFERROR(O3311/N3311,0)</f>
        <v/>
      </c>
      <c r="T3311">
        <f>IF(C3311,(H3311*N3311*IF(AND(Inputs!$B$39&lt;&gt;"pvp",Inputs!$B$44&gt;0),((Skills!G14*((R3311-1)*IF(Skills!H14&gt;0,Skills!I14/Skills!H14,1)+IF(Skills!H14&gt;0,MIN(Skills!I14,MAX(0,MAX(0,Inputs!$B$44-B3342)-((R3311-1)*IF(Inputs!$B$39="pvp",15,MAX(0.1,Skills!D14-IF(TRUE=TRUE,0.5,0))))))/Skills!H14,1)))/Inputs!$B$44),G3311*Q3311))*IF(Inputs!$B$39="pvp",1,1+(Inputs!$B$20+0+Skills!P14+B3332+(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Hunt"),CHOOSE(ArtifactsInput!$N$35+1,15,18,21,24,27,30)*(1-EXP(-(0.2*B3335)*5)),0)+IF(AND(ArtifactsInput!$M$22,Inputs!$B$4&lt;&gt;"Chapter Hunt"),CHOOSE(ArtifactsInput!$N$22+1,10,12,14,16,18,20)*((0*(((0.15*B3335*5))^0/1)+1*(((0.15*B3335*5))^1/1)+2*(((0.15*B3335*5))^2/2)+3*(((0.15*B3335*5))^3/6)+4*(((0.15*B3335*5))^4/24)+5*(((0.15*B3335*5))^5/120))/((((0.15*B3335*5))^0/1)+(((0.15*B3335*5))^1/1)+(((0.15*B3335*5))^2/2)+(((0.15*B3335*5))^3/6)+(((0.15*B3335*5))^4/24)+(((0.15*B3335*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3311*(1-MIN(100,(Inputs!$B$9+((C3323=TRUE)*(F3323-Calc!F26))+B3331+(ArtifactsInput!$M$24-ArtifactsInput!$M$24)*CHOOSE(ArtifactsInput!$N$24+1,10,12,14,16,18,20)+(IF(AND(Inputs!$B$39&lt;&gt;"pvp",Inputs!$B$44=0),1,IF(IF(Inputs!$B$39="pvp",15,Inputs!$B$44)-(B3342)&lt;=0,1,MAX(0,IF(Inputs!$B$39="pvp",15,Inputs!$B$44)-MAX(5,B3342))/(IF(Inputs!$B$39="pvp",15,Inputs!$B$44)-(B3342))))*IF(AND(ArtifactsInput!$M$42,((Inputs!$B$9+((C3323=TRUE)*(F3323-Calc!F26))+B3331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3311*(MIN(100,(Inputs!$B$9+((C3323=TRUE)*(F3323-Calc!F26))+B3331+(ArtifactsInput!$M$24-ArtifactsInput!$M$24)*CHOOSE(ArtifactsInput!$N$24+1,10,12,14,16,18,20)+(IF(AND(Inputs!$B$39&lt;&gt;"pvp",Inputs!$B$44=0),1,IF(IF(Inputs!$B$39="pvp",15,Inputs!$B$44)-(B3342)&lt;=0,1,MAX(0,IF(Inputs!$B$39="pvp",15,Inputs!$B$44)-MAX(5,B3342))/(IF(Inputs!$B$39="pvp",15,Inputs!$B$44)-(B3342))))*IF(AND(ArtifactsInput!$M$42,((Inputs!$B$9+((C3323=TRUE)*(F3323-Calc!F26))+B3331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3311*(1-MIN(100,(Inputs!$B$9+((C3323=TRUE)*(F3323-Calc!F26))+B3331+(ArtifactsInput!$M$24-ArtifactsInput!$M$24)*CHOOSE(ArtifactsInput!$N$24+1,10,12,14,16,18,20)+(IF(AND(Inputs!$B$39&lt;&gt;"pvp",Inputs!$B$44=0),1,IF(IF(Inputs!$B$39="pvp",15,Inputs!$B$44)-(B3342)&lt;=0,1,MAX(0,IF(Inputs!$B$39="pvp",15,Inputs!$B$44)-MAX(5,B3342))/(IF(Inputs!$B$39="pvp",15,Inputs!$B$44)-(B3342))))*IF(AND(ArtifactsInput!$M$42,((Inputs!$B$9+((C3323=TRUE)*(F3323-Calc!F26))+B3331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3311*(MIN(100,(Inputs!$B$9+((C3323=TRUE)*(F3323-Calc!F26))+B3331+(ArtifactsInput!$M$24-ArtifactsInput!$M$24)*CHOOSE(ArtifactsInput!$N$24+1,10,12,14,16,18,20)+(IF(AND(Inputs!$B$39&lt;&gt;"pvp",Inputs!$B$44=0),1,IF(IF(Inputs!$B$39="pvp",15,Inputs!$B$44)-(B3342)&lt;=0,1,MAX(0,IF(Inputs!$B$39="pvp",15,Inputs!$B$44)-MAX(5,B3342))/(IF(Inputs!$B$39="pvp",15,Inputs!$B$44)-(B3342))))*IF(AND(ArtifactsInput!$M$42,((Inputs!$B$9+((C3323=TRUE)*(F3323-Calc!F26))+B3331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3311">
        <f>IF(C3311,(H3311*N3311*IF(AND(Inputs!$B$39&lt;&gt;"pvp",Inputs!$B$44&gt;0),((Skills!G14*((R3311-1)*IF(Skills!H14&gt;0,Skills!I14/Skills!H14,1)+IF(Skills!H14&gt;0,MIN(Skills!I14,MAX(0,MAX(0,Inputs!$B$44-B3342)-((R3311-1)*IF(Inputs!$B$39="pvp",15,MAX(0.1,Skills!D14-IF(TRUE=TRUE,0.5,0))))))/Skills!H14,1)))/Inputs!$B$44),G3311*Q3311))*IF(Inputs!$B$39="pvp",1,(1+(Inputs!$B$21+Skills!Q14+B3332+(IF(ArtifactsInput!$M$33,CHOOSE(ArtifactsInput!$N$33+1,30,36,42,48,54,60),0))+(IF(AND(ArtifactsInput!$M$35,Inputs!$B$4&lt;&gt;"Chapter Hunt"),CHOOSE(ArtifactsInput!$N$35+1,15,18,21,24,27,30)*(1-EXP(-(0.2*B3335)*5)),0)+IF(AND(ArtifactsInput!$M$22,Inputs!$B$4&lt;&gt;"Chapter Hunt"),CHOOSE(ArtifactsInput!$N$22+1,10,12,14,16,18,20)*((0*(((0.15*B3335*5))^0/1)+1*(((0.15*B3335*5))^1/1)+2*(((0.15*B3335*5))^2/2)+3*(((0.15*B3335*5))^3/6)+4*(((0.15*B3335*5))^4/24)+5*(((0.15*B3335*5))^5/120))/((((0.15*B3335*5))^0/1)+(((0.15*B3335*5))^1/1)+(((0.15*B3335*5))^2/2)+(((0.15*B3335*5))^3/6)+(((0.15*B3335*5))^4/24)+(((0.15*B3335*5))^5/120))),0)))/100)*(MIN(Skills!W14,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3312">
      <c r="A3312">
        <f>Skills!A15</f>
        <v/>
      </c>
      <c r="B3312">
        <f>Skills!B15</f>
        <v/>
      </c>
      <c r="C3312">
        <f>Inputs!$B$3&gt;=107</f>
        <v/>
      </c>
      <c r="D3312">
        <f>IF(Skills!C15=1,60+Inputs!$B$25+Inputs!$B$29,IF(Skills!C15=2,90+Inputs!$B$26+Inputs!$B$29,IF(Skills!C15=3,120+Inputs!$B$27+Inputs!$B$29,MAX(0,(Inputs!$B$3-100)*3)+Inputs!$B$28+Inputs!$B$29)))</f>
        <v/>
      </c>
      <c r="E3312">
        <f>INDEX(FactorTable!$B$2:$Y$301, MATCH(ROUND(MIN(300,MAX(1,D3312)),0), FactorTable!$A$2:$A$301,0), Skills!M15+1)</f>
        <v/>
      </c>
      <c r="F3312">
        <f>IF(Skills!N15=TRUE,(Skills!L15/10)*(E3312/1000),Skills!L15/10)+Skills!O15</f>
        <v/>
      </c>
      <c r="G3312">
        <f>Skills!G15*IF(Skills!H15&gt;0,IF(Inputs!$B$39="pvp",MIN(Skills!I15,15),Skills!I15)/Skills!H15,1)</f>
        <v/>
      </c>
      <c r="H3312">
        <f>1-(1-Skills!J15/100)^Skills!K15</f>
        <v/>
      </c>
      <c r="I3312" t="inlineStr">
        <is>
          <t>1</t>
        </is>
      </c>
      <c r="J3312">
        <f>((Inputs!$B$6*(1+Inputs!$B$7/100))+(((Inputs!$B$12*(1+Inputs!$B$13/100))-(Inputs!$B$12*(1+Inputs!$B$13/100)))+0.25*(Inputs!$B$14-Inputs!$B$14))*(1+Inputs!$B$7/100))*(F3312/100)</f>
        <v/>
      </c>
      <c r="K3312">
        <f>J3312*(1+((Inputs!$B$12*(1+Inputs!$B$13/100))*0.01+Inputs!$B$14*0.0025)/100)*(1+Inputs!$B$15/100)*(1+Inputs!$B$16/100)*(5000/(6000+Inputs!$B$43*(1-(100*(1-(1-Inputs!$B$19/100)*(1-CHOOSE(ArtifactsInput!$N$40+1,5,6,7,8,9,10)/100)^(ArtifactsInput!$M$40-ArtifactsInput!$M$40)))/100)))*(1+(Inputs!$B$24+((C3328=TRUE)*(F3328-Calc!F31))+((C3315=TRUE)*(F3315-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15="CRUEL_STAB",Inputs!$B$17+((C3325=TRUE)*(F3325-Calc!F28))+((IF(AND(Inputs!$B$39&lt;&gt;"pvp",Inputs!$B$44=0),1,IF(IF(Inputs!$B$39="pvp",15,Inputs!$B$44)-(B3342)&lt;=0,1,MAX(0,IF(Inputs!$B$39="pvp",15,Inputs!$B$44)-MAX(5,B3342))/(IF(Inputs!$B$39="pvp",15,Inputs!$B$44)-(B3342))))*(IF(AND(ArtifactsInput!$M$42,((Inputs!$B$9+((C3323=TRUE)*(F3323-Calc!F26))+B3331+(ArtifactsInput!$M$24-ArtifactsInput!$M$24)*CHOOSE(ArtifactsInput!$N$24+1,10,12,14,16,18,20)+IF(ArtifactsInput!$M$10,CHOOSE(ArtifactsInput!$N$10+1,15,18,21,24,27,30)*(IF(Inputs!$B$39="pvp",MIN(15,15)/15,IF(AND(Inputs!$B$39&lt;&gt;"pvp",Inputs!$B$44&gt;0),MIN(15,Inputs!$B$44)/(Inputs!$B$44),0))),0)))&gt;=100),MIN(100,((Inputs!$B$9+((C3323=TRUE)*(F3323-Calc!F26))+B3331+(ArtifactsInput!$M$24-ArtifactsInput!$M$24)*CHOOSE(ArtifactsInput!$N$24+1,10,12,14,16,18,20)+IF(ArtifactsInput!$M$10,CHOOSE(ArtifactsInput!$N$10+1,15,18,21,24,27,30)*(IF(Inputs!$B$39="pvp",MIN(15,15)/15,IF(AND(Inputs!$B$39&lt;&gt;"pvp",Inputs!$B$44&gt;0),MIN(15,Inputs!$B$44)/(Inputs!$B$44),0))),0)))-100),0))*CHOOSE(ArtifactsInput!$N$42+1,0.6,0.72,0.84,0.96,1.08,1.2))),Inputs!$B$18+((C3326=TRUE)*(F3326-Calc!F29))+(IF(AND(Inputs!$B$39&lt;&gt;"pvp",Inputs!$B$44=0),1,IF(IF(Inputs!$B$39="pvp",15,Inputs!$B$44)-(B3342)&lt;=0,1,MAX(0,IF(Inputs!$B$39="pvp",15,Inputs!$B$44)-MAX(5,B3342))/(IF(Inputs!$B$39="pvp",15,Inputs!$B$44)-(B3342))))*IF(AND(ArtifactsInput!$M$42,((Inputs!$B$9+((C3323=TRUE)*(F3323-Calc!F26))+B3331+(ArtifactsInput!$M$24-ArtifactsInput!$M$24)*CHOOSE(ArtifactsInput!$N$24+1,10,12,14,16,18,20)+IF(ArtifactsInput!$M$10,CHOOSE(ArtifactsInput!$N$10+1,15,18,21,24,27,30)*(IF(Inputs!$B$39="pvp",MIN(15,15)/15,IF(AND(Inputs!$B$39&lt;&gt;"pvp",Inputs!$B$44&gt;0),MIN(15,Inputs!$B$44)/(Inputs!$B$44),0))),0)))&gt;=100),CHOOSE(ArtifactsInput!$N$42+1,40,48,56,64,72,80),0))))/100)*(((1+(((C3319=TRUE)*F3319*IF(AND(Inputs!$B$39&lt;&gt;"pvp",Inputs!$B$44&gt;0),(((R3319-1)*MIN((Skills!Y22*(1+Inputs!$B$34/100)),(1/Q3319))+MIN((Skills!Y22*(1+Inputs!$B$34/100)),MAX(0,Inputs!$B$44-((R3319-1)*(1/Q3319)))))/Inputs!$B$44),IF(Inputs!$B$39="pvp",MIN((Skills!Y22*(1+Inputs!$B$34/100)),15)/15,MIN(1,(Skills!Y22*(1+Inputs!$B$34/100))/(1/Q3319)))))+((C3300=TRUE)*F3300*3)+((C3302=TRUE)*F3302*(1-EXP(-0.75*B3335*5)))+((C3321=TRUE)*(F3321-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3308=TRUE)*F3308*IF(AND(Inputs!$B$39&lt;&gt;"pvp",Inputs!$B$44&gt;0),(((R3308-1)*MIN((Skills!Y11*(1+Inputs!$B$34/100)),(1/Q3308))+MIN((Skills!Y11*(1+Inputs!$B$34/100)),MAX(0,Inputs!$B$44-((R3308-1)*(1/Q3308)))))/Inputs!$B$44),IF(Inputs!$B$39="pvp",MIN((Skills!Y11*(1+Inputs!$B$34/100)),15)/15,MIN(1,(Skills!Y11*(1+Inputs!$B$34/100))/(1/Q3308)))))/100)*(1+((C3313=TRUE)*F3313*IF(AND(Inputs!$B$39&lt;&gt;"pvp",Inputs!$B$44&gt;0),(((R3313-1)*MIN((Skills!Y16*(1+Inputs!$B$34/100)),(1/Q3313))+MIN((Skills!Y16*(1+Inputs!$B$34/100)),MAX(0,Inputs!$B$44-((R3313-1)*(1/Q3313)))))/Inputs!$B$44),IF(Inputs!$B$39="pvp",MIN((Skills!Y16*(1+Inputs!$B$34/100)),15)/15,MIN(1,(Skills!Y16*(1+Inputs!$B$34/100))/(1/Q3313)))))/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3333*I3312)</f>
        <v/>
      </c>
      <c r="L3312">
        <f>K3312*(MIN(Inputs!$B$22+((C3322=TRUE)*(F3322-Calc!F25)),(Inputs!$B$23+((C3327=TRUE)*(F3327-Calc!F30))+IF(ArtifactsInput!$M$15,CHOOSE(ArtifactsInput!$N$15+1,25,30,35,40,45,50)/100*(Inputs!$B$11-Inputs!$B$11),0)))/100+(Inputs!$B$23+((C3327=TRUE)*(F3327-Calc!F30))+IF(ArtifactsInput!$M$15,CHOOSE(ArtifactsInput!$N$15+1,25,30,35,40,45,50)/100*(Inputs!$B$11-Inputs!$B$11),0))/100)/2</f>
        <v/>
      </c>
      <c r="M3312">
        <f>L3312*(1+(Inputs!$B$10+((C3324=TRUE)*(F3324-Calc!F27))+B3338+(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3312">
        <f>L3312*(1-MIN((Inputs!$B$9+((C3323=TRUE)*(F3323-Calc!F26))+B3331+(ArtifactsInput!$M$24-ArtifactsInput!$M$24)*CHOOSE(ArtifactsInput!$N$24+1,10,12,14,16,18,20)+(IF(AND(Inputs!$B$39&lt;&gt;"pvp",Inputs!$B$44=0),1,IF(IF(Inputs!$B$39="pvp",15,Inputs!$B$44)-(B3342)&lt;=0,1,MAX(0,IF(Inputs!$B$39="pvp",15,Inputs!$B$44)-MAX(5,B3342))/(IF(Inputs!$B$39="pvp",15,Inputs!$B$44)-(B3342))))*IF(AND(ArtifactsInput!$M$42,((Inputs!$B$9+((C3323=TRUE)*(F3323-Calc!F26))+B3331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3312*(MIN((Inputs!$B$9+((C3323=TRUE)*(F3323-Calc!F26))+B3331+(ArtifactsInput!$M$24-ArtifactsInput!$M$24)*CHOOSE(ArtifactsInput!$N$24+1,10,12,14,16,18,20)+(IF(AND(Inputs!$B$39&lt;&gt;"pvp",Inputs!$B$44=0),1,IF(IF(Inputs!$B$39="pvp",15,Inputs!$B$44)-(B3342)&lt;=0,1,MAX(0,IF(Inputs!$B$39="pvp",15,Inputs!$B$44)-MAX(5,B3342))/(IF(Inputs!$B$39="pvp",15,Inputs!$B$44)-(B3342))))*IF(AND(ArtifactsInput!$M$42,((Inputs!$B$9+((C3323=TRUE)*(F3323-Calc!F26))+B3331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3312">
        <f>(1-Summary!$B$11)*T3312+Summary!$B$11*V3312</f>
        <v/>
      </c>
      <c r="P3312">
        <f>IF(B3343=0,0,O3312/B3343)</f>
        <v/>
      </c>
      <c r="Q3312">
        <f>IFERROR(1/IF(Inputs!$B$39="pvp",15,MAX(0.1,Skills!D15-IF(TRUE=TRUE,0.5,0))),0)</f>
        <v/>
      </c>
      <c r="R3312">
        <f>IF(AND(Inputs!$B$39&lt;&gt;"pvp",Inputs!$B$44&gt;0),IF(MAX(0,Inputs!$B$44-B3342)&lt;=0,0,(INT(MAX(0,Inputs!$B$44-B3342)/IF(Inputs!$B$39="pvp",15,MAX(0.1,Skills!D15-IF(TRUE=TRUE,0.5,0))))+1)),0)</f>
        <v/>
      </c>
      <c r="S3312">
        <f>IFERROR(O3312/N3312,0)</f>
        <v/>
      </c>
      <c r="T3312">
        <f>IF(C3312,(H3312*N3312*IF(AND(Inputs!$B$39&lt;&gt;"pvp",Inputs!$B$44&gt;0),((Skills!G15*((R3312-1)*IF(Skills!H15&gt;0,Skills!I15/Skills!H15,1)+IF(Skills!H15&gt;0,MIN(Skills!I15,MAX(0,MAX(0,Inputs!$B$44-B3342)-((R3312-1)*IF(Inputs!$B$39="pvp",15,MAX(0.1,Skills!D15-IF(TRUE=TRUE,0.5,0))))))/Skills!H15,1)))/Inputs!$B$44),G3312*Q3312))*IF(Inputs!$B$39="pvp",1,1+(Inputs!$B$20+0+Skills!P15+B3332+(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Hunt"),CHOOSE(ArtifactsInput!$N$35+1,15,18,21,24,27,30)*(1-EXP(-(0.2*B3335)*5)),0)+IF(AND(ArtifactsInput!$M$22,Inputs!$B$4&lt;&gt;"Chapter Hunt"),CHOOSE(ArtifactsInput!$N$22+1,10,12,14,16,18,20)*((0*(((0.15*B3335*5))^0/1)+1*(((0.15*B3335*5))^1/1)+2*(((0.15*B3335*5))^2/2)+3*(((0.15*B3335*5))^3/6)+4*(((0.15*B3335*5))^4/24)+5*(((0.15*B3335*5))^5/120))/((((0.15*B3335*5))^0/1)+(((0.15*B3335*5))^1/1)+(((0.15*B3335*5))^2/2)+(((0.15*B3335*5))^3/6)+(((0.15*B3335*5))^4/24)+(((0.15*B3335*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3312*(1-MIN(100,(Inputs!$B$9+((C3323=TRUE)*(F3323-Calc!F26))+B3331+(ArtifactsInput!$M$24-ArtifactsInput!$M$24)*CHOOSE(ArtifactsInput!$N$24+1,10,12,14,16,18,20)+(IF(AND(Inputs!$B$39&lt;&gt;"pvp",Inputs!$B$44=0),1,IF(IF(Inputs!$B$39="pvp",15,Inputs!$B$44)-(B3342)&lt;=0,1,MAX(0,IF(Inputs!$B$39="pvp",15,Inputs!$B$44)-MAX(5,B3342))/(IF(Inputs!$B$39="pvp",15,Inputs!$B$44)-(B3342))))*IF(AND(ArtifactsInput!$M$42,((Inputs!$B$9+((C3323=TRUE)*(F3323-Calc!F26))+B3331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3312*(MIN(100,(Inputs!$B$9+((C3323=TRUE)*(F3323-Calc!F26))+B3331+(ArtifactsInput!$M$24-ArtifactsInput!$M$24)*CHOOSE(ArtifactsInput!$N$24+1,10,12,14,16,18,20)+(IF(AND(Inputs!$B$39&lt;&gt;"pvp",Inputs!$B$44=0),1,IF(IF(Inputs!$B$39="pvp",15,Inputs!$B$44)-(B3342)&lt;=0,1,MAX(0,IF(Inputs!$B$39="pvp",15,Inputs!$B$44)-MAX(5,B3342))/(IF(Inputs!$B$39="pvp",15,Inputs!$B$44)-(B3342))))*IF(AND(ArtifactsInput!$M$42,((Inputs!$B$9+((C3323=TRUE)*(F3323-Calc!F26))+B3331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3312*(1-MIN(100,(Inputs!$B$9+((C3323=TRUE)*(F3323-Calc!F26))+B3331+(ArtifactsInput!$M$24-ArtifactsInput!$M$24)*CHOOSE(ArtifactsInput!$N$24+1,10,12,14,16,18,20)+(IF(AND(Inputs!$B$39&lt;&gt;"pvp",Inputs!$B$44=0),1,IF(IF(Inputs!$B$39="pvp",15,Inputs!$B$44)-(B3342)&lt;=0,1,MAX(0,IF(Inputs!$B$39="pvp",15,Inputs!$B$44)-MAX(5,B3342))/(IF(Inputs!$B$39="pvp",15,Inputs!$B$44)-(B3342))))*IF(AND(ArtifactsInput!$M$42,((Inputs!$B$9+((C3323=TRUE)*(F3323-Calc!F26))+B3331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3312*(MIN(100,(Inputs!$B$9+((C3323=TRUE)*(F3323-Calc!F26))+B3331+(ArtifactsInput!$M$24-ArtifactsInput!$M$24)*CHOOSE(ArtifactsInput!$N$24+1,10,12,14,16,18,20)+(IF(AND(Inputs!$B$39&lt;&gt;"pvp",Inputs!$B$44=0),1,IF(IF(Inputs!$B$39="pvp",15,Inputs!$B$44)-(B3342)&lt;=0,1,MAX(0,IF(Inputs!$B$39="pvp",15,Inputs!$B$44)-MAX(5,B3342))/(IF(Inputs!$B$39="pvp",15,Inputs!$B$44)-(B3342))))*IF(AND(ArtifactsInput!$M$42,((Inputs!$B$9+((C3323=TRUE)*(F3323-Calc!F26))+B3331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3312">
        <f>IF(C3312,(H3312*N3312*IF(AND(Inputs!$B$39&lt;&gt;"pvp",Inputs!$B$44&gt;0),((Skills!G15*((R3312-1)*IF(Skills!H15&gt;0,Skills!I15/Skills!H15,1)+IF(Skills!H15&gt;0,MIN(Skills!I15,MAX(0,MAX(0,Inputs!$B$44-B3342)-((R3312-1)*IF(Inputs!$B$39="pvp",15,MAX(0.1,Skills!D15-IF(TRUE=TRUE,0.5,0))))))/Skills!H15,1)))/Inputs!$B$44),G3312*Q3312))*IF(Inputs!$B$39="pvp",1,(1+(Inputs!$B$21+Skills!Q15+B3332+(IF(ArtifactsInput!$M$33,CHOOSE(ArtifactsInput!$N$33+1,30,36,42,48,54,60),0))+(IF(AND(ArtifactsInput!$M$35,Inputs!$B$4&lt;&gt;"Chapter Hunt"),CHOOSE(ArtifactsInput!$N$35+1,15,18,21,24,27,30)*(1-EXP(-(0.2*B3335)*5)),0)+IF(AND(ArtifactsInput!$M$22,Inputs!$B$4&lt;&gt;"Chapter Hunt"),CHOOSE(ArtifactsInput!$N$22+1,10,12,14,16,18,20)*((0*(((0.15*B3335*5))^0/1)+1*(((0.15*B3335*5))^1/1)+2*(((0.15*B3335*5))^2/2)+3*(((0.15*B3335*5))^3/6)+4*(((0.15*B3335*5))^4/24)+5*(((0.15*B3335*5))^5/120))/((((0.15*B3335*5))^0/1)+(((0.15*B3335*5))^1/1)+(((0.15*B3335*5))^2/2)+(((0.15*B3335*5))^3/6)+(((0.15*B3335*5))^4/24)+(((0.15*B3335*5))^5/120))),0)))/100)*(MIN(MIN(5,0.5*IF(Inputs!$B$3&gt;=75,0.75,0.5)*B3335*(1/Q3301))*Skills!V15,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3313">
      <c r="A3313">
        <f>Skills!A16</f>
        <v/>
      </c>
      <c r="B3313">
        <f>Skills!B16</f>
        <v/>
      </c>
      <c r="C3313">
        <f>Inputs!$B$3&gt;=110</f>
        <v/>
      </c>
      <c r="D3313">
        <f>IF(Skills!C16=1,60+Inputs!$B$25+Inputs!$B$29,IF(Skills!C16=2,90+Inputs!$B$26+Inputs!$B$29,IF(Skills!C16=3,120+Inputs!$B$27+Inputs!$B$29,MAX(0,(Inputs!$B$3-100)*3)+Inputs!$B$28+Inputs!$B$29)))</f>
        <v/>
      </c>
      <c r="E3313">
        <f>INDEX(FactorTable!$B$2:$Y$301, MATCH(ROUND(MIN(300,MAX(1,D3313)),0), FactorTable!$A$2:$A$301,0), Skills!M16+1)</f>
        <v/>
      </c>
      <c r="F3313">
        <f>IF(Skills!N16=TRUE,(Skills!L16/10)*(E3313/1000),Skills!L16/10)+Skills!O16</f>
        <v/>
      </c>
      <c r="G3313">
        <f>Skills!G16*IF(Skills!H16&gt;0,IF(Inputs!$B$39="pvp",MIN(Skills!I16,15),Skills!I16)/Skills!H16,1)</f>
        <v/>
      </c>
      <c r="H3313">
        <f>1-(1-Skills!J16/100)^Skills!K16</f>
        <v/>
      </c>
      <c r="I3313" t="inlineStr">
        <is>
          <t>1</t>
        </is>
      </c>
      <c r="J3313" t="inlineStr"/>
      <c r="K3313" t="inlineStr"/>
      <c r="L3313" t="inlineStr"/>
      <c r="M3313" t="inlineStr"/>
      <c r="N3313" t="inlineStr"/>
      <c r="O3313">
        <f>(1-Summary!$B$11)*T3313+Summary!$B$11*V3313</f>
        <v/>
      </c>
      <c r="P3313">
        <f>IF(B3343=0,0,O3313/B3343)</f>
        <v/>
      </c>
      <c r="Q3313">
        <f>IFERROR(1/IF(Inputs!$B$39="pvp",15,MAX(0.1,Skills!D16-IF(TRUE=TRUE,0.5,0))),0)</f>
        <v/>
      </c>
      <c r="R3313">
        <f>IF(AND(Inputs!$B$39&lt;&gt;"pvp",Inputs!$B$44&gt;0),IF(Inputs!$B$44&lt;=0,0,(INT(Inputs!$B$44/IF(Inputs!$B$39="pvp",15,MAX(0.1,Skills!D16-IF(TRUE=TRUE,0.5,0))))+1)),0)</f>
        <v/>
      </c>
      <c r="S3313">
        <f>IFERROR(O3313/N3313,0)</f>
        <v/>
      </c>
      <c r="T3313" t="n">
        <v>0</v>
      </c>
      <c r="V3313" t="n">
        <v>0</v>
      </c>
    </row>
    <row r="3314">
      <c r="A3314">
        <f>Skills!A17</f>
        <v/>
      </c>
      <c r="B3314">
        <f>Skills!B17</f>
        <v/>
      </c>
      <c r="C3314">
        <f>Inputs!$B$3&gt;=115</f>
        <v/>
      </c>
      <c r="D3314">
        <f>IF(Skills!C17=1,60+Inputs!$B$25+Inputs!$B$29,IF(Skills!C17=2,90+Inputs!$B$26+Inputs!$B$29,IF(Skills!C17=3,120+Inputs!$B$27+Inputs!$B$29,MAX(0,(Inputs!$B$3-100)*3)+Inputs!$B$28+Inputs!$B$29)))</f>
        <v/>
      </c>
      <c r="E3314">
        <f>INDEX(FactorTable!$B$2:$Y$301, MATCH(ROUND(MIN(300,MAX(1,D3314)),0), FactorTable!$A$2:$A$301,0), Skills!M17+1)</f>
        <v/>
      </c>
      <c r="F3314">
        <f>IF(Skills!N17=TRUE,(Skills!L17/10)*(E3314/1000),Skills!L17/10)+Skills!O17</f>
        <v/>
      </c>
      <c r="G3314">
        <f>Skills!G17*IF(Skills!H17&gt;0,IF(Inputs!$B$39="pvp",MIN(Skills!I17,15),Skills!I17)/Skills!H17,1)</f>
        <v/>
      </c>
      <c r="H3314">
        <f>1-(1-Skills!J17/100)^Skills!K17</f>
        <v/>
      </c>
      <c r="I3314" t="inlineStr">
        <is>
          <t>1</t>
        </is>
      </c>
      <c r="J3314">
        <f>((Inputs!$B$6*(1+Inputs!$B$7/100))+(((Inputs!$B$12*(1+Inputs!$B$13/100))-(Inputs!$B$12*(1+Inputs!$B$13/100)))+0.25*(Inputs!$B$14-Inputs!$B$14))*(1+Inputs!$B$7/100))*(F3314/100)</f>
        <v/>
      </c>
      <c r="K3314">
        <f>J3314*(1+((Inputs!$B$12*(1+Inputs!$B$13/100))*0.01+Inputs!$B$14*0.0025)/100)*(1+Inputs!$B$15/100)*(1+Inputs!$B$16/100)*(5000/(6000+Inputs!$B$43*(1-(100*(1-(1-Inputs!$B$19/100)*(1-CHOOSE(ArtifactsInput!$N$40+1,5,6,7,8,9,10)/100)^(ArtifactsInput!$M$40-ArtifactsInput!$M$40)))/100)))*(1+(Inputs!$B$24+((C3328=TRUE)*(F3328-Calc!F31))+((C3315=TRUE)*(F3315-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17="CRUEL_STAB",Inputs!$B$17+((C3325=TRUE)*(F3325-Calc!F28))+((IF(AND(Inputs!$B$39&lt;&gt;"pvp",Inputs!$B$44=0),1,IF(IF(Inputs!$B$39="pvp",15,Inputs!$B$44)-(B3342)&lt;=0,1,MAX(0,IF(Inputs!$B$39="pvp",15,Inputs!$B$44)-MAX(5,B3342))/(IF(Inputs!$B$39="pvp",15,Inputs!$B$44)-(B3342))))*(IF(AND(ArtifactsInput!$M$42,((Inputs!$B$9+((C3323=TRUE)*(F3323-Calc!F26))+B3331+(ArtifactsInput!$M$24-ArtifactsInput!$M$24)*CHOOSE(ArtifactsInput!$N$24+1,10,12,14,16,18,20)+IF(ArtifactsInput!$M$10,CHOOSE(ArtifactsInput!$N$10+1,15,18,21,24,27,30)*(IF(Inputs!$B$39="pvp",MIN(15,15)/15,IF(AND(Inputs!$B$39&lt;&gt;"pvp",Inputs!$B$44&gt;0),MIN(15,Inputs!$B$44)/(Inputs!$B$44),0))),0)))&gt;=100),MIN(100,((Inputs!$B$9+((C3323=TRUE)*(F3323-Calc!F26))+B3331+(ArtifactsInput!$M$24-ArtifactsInput!$M$24)*CHOOSE(ArtifactsInput!$N$24+1,10,12,14,16,18,20)+IF(ArtifactsInput!$M$10,CHOOSE(ArtifactsInput!$N$10+1,15,18,21,24,27,30)*(IF(Inputs!$B$39="pvp",MIN(15,15)/15,IF(AND(Inputs!$B$39&lt;&gt;"pvp",Inputs!$B$44&gt;0),MIN(15,Inputs!$B$44)/(Inputs!$B$44),0))),0)))-100),0))*CHOOSE(ArtifactsInput!$N$42+1,0.6,0.72,0.84,0.96,1.08,1.2))),Inputs!$B$18+((C3326=TRUE)*(F3326-Calc!F29))+(IF(AND(Inputs!$B$39&lt;&gt;"pvp",Inputs!$B$44=0),1,IF(IF(Inputs!$B$39="pvp",15,Inputs!$B$44)-(B3342)&lt;=0,1,MAX(0,IF(Inputs!$B$39="pvp",15,Inputs!$B$44)-MAX(5,B3342))/(IF(Inputs!$B$39="pvp",15,Inputs!$B$44)-(B3342))))*IF(AND(ArtifactsInput!$M$42,((Inputs!$B$9+((C3323=TRUE)*(F3323-Calc!F26))+B3331+(ArtifactsInput!$M$24-ArtifactsInput!$M$24)*CHOOSE(ArtifactsInput!$N$24+1,10,12,14,16,18,20)+IF(ArtifactsInput!$M$10,CHOOSE(ArtifactsInput!$N$10+1,15,18,21,24,27,30)*(IF(Inputs!$B$39="pvp",MIN(15,15)/15,IF(AND(Inputs!$B$39&lt;&gt;"pvp",Inputs!$B$44&gt;0),MIN(15,Inputs!$B$44)/(Inputs!$B$44),0))),0)))&gt;=100),CHOOSE(ArtifactsInput!$N$42+1,40,48,56,64,72,80),0))))/100)*(((1+(((C3319=TRUE)*F3319*IF(AND(Inputs!$B$39&lt;&gt;"pvp",Inputs!$B$44&gt;0),(((R3319-1)*MIN((Skills!Y22*(1+Inputs!$B$34/100)),(1/Q3319))+MIN((Skills!Y22*(1+Inputs!$B$34/100)),MAX(0,Inputs!$B$44-((R3319-1)*(1/Q3319)))))/Inputs!$B$44),IF(Inputs!$B$39="pvp",MIN((Skills!Y22*(1+Inputs!$B$34/100)),15)/15,MIN(1,(Skills!Y22*(1+Inputs!$B$34/100))/(1/Q3319)))))+((C3300=TRUE)*F3300*3)+((C3302=TRUE)*F3302*(1-EXP(-0.75*B3335*5)))+((C3321=TRUE)*(F3321-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3308=TRUE)*F3308*IF(AND(Inputs!$B$39&lt;&gt;"pvp",Inputs!$B$44&gt;0),(((R3308-1)*MIN((Skills!Y11*(1+Inputs!$B$34/100)),(1/Q3308))+MIN((Skills!Y11*(1+Inputs!$B$34/100)),MAX(0,Inputs!$B$44-((R3308-1)*(1/Q3308)))))/Inputs!$B$44),IF(Inputs!$B$39="pvp",MIN((Skills!Y11*(1+Inputs!$B$34/100)),15)/15,MIN(1,(Skills!Y11*(1+Inputs!$B$34/100))/(1/Q3308)))))/100)*(1+((C3313=TRUE)*F3313*IF(AND(Inputs!$B$39&lt;&gt;"pvp",Inputs!$B$44&gt;0),(((R3313-1)*MIN((Skills!Y16*(1+Inputs!$B$34/100)),(1/Q3313))+MIN((Skills!Y16*(1+Inputs!$B$34/100)),MAX(0,Inputs!$B$44-((R3313-1)*(1/Q3313)))))/Inputs!$B$44),IF(Inputs!$B$39="pvp",MIN((Skills!Y16*(1+Inputs!$B$34/100)),15)/15,MIN(1,(Skills!Y16*(1+Inputs!$B$34/100))/(1/Q3313)))))/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3333*I3314)</f>
        <v/>
      </c>
      <c r="L3314">
        <f>K3314*(MIN(Inputs!$B$22+((C3322=TRUE)*(F3322-Calc!F25)),(Inputs!$B$23+((C3327=TRUE)*(F3327-Calc!F30))+IF(ArtifactsInput!$M$15,CHOOSE(ArtifactsInput!$N$15+1,25,30,35,40,45,50)/100*(Inputs!$B$11-Inputs!$B$11),0)))/100+(Inputs!$B$23+((C3327=TRUE)*(F3327-Calc!F30))+IF(ArtifactsInput!$M$15,CHOOSE(ArtifactsInput!$N$15+1,25,30,35,40,45,50)/100*(Inputs!$B$11-Inputs!$B$11),0))/100)/2</f>
        <v/>
      </c>
      <c r="M3314">
        <f>L3314*(1+(Inputs!$B$10+((C3324=TRUE)*(F3324-Calc!F27))+B3338+(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3314">
        <f>L3314*(1-MIN((Inputs!$B$9+((C3323=TRUE)*(F3323-Calc!F26))+B3331+(ArtifactsInput!$M$24-ArtifactsInput!$M$24)*CHOOSE(ArtifactsInput!$N$24+1,10,12,14,16,18,20)+(IF(AND(Inputs!$B$39&lt;&gt;"pvp",Inputs!$B$44=0),1,IF(IF(Inputs!$B$39="pvp",15,Inputs!$B$44)-(B3342)&lt;=0,1,MAX(0,IF(Inputs!$B$39="pvp",15,Inputs!$B$44)-MAX(5,B3342))/(IF(Inputs!$B$39="pvp",15,Inputs!$B$44)-(B3342))))*IF(AND(ArtifactsInput!$M$42,((Inputs!$B$9+((C3323=TRUE)*(F3323-Calc!F26))+B3331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3314*(MIN((Inputs!$B$9+((C3323=TRUE)*(F3323-Calc!F26))+B3331+(ArtifactsInput!$M$24-ArtifactsInput!$M$24)*CHOOSE(ArtifactsInput!$N$24+1,10,12,14,16,18,20)+(IF(AND(Inputs!$B$39&lt;&gt;"pvp",Inputs!$B$44=0),1,IF(IF(Inputs!$B$39="pvp",15,Inputs!$B$44)-(B3342)&lt;=0,1,MAX(0,IF(Inputs!$B$39="pvp",15,Inputs!$B$44)-MAX(5,B3342))/(IF(Inputs!$B$39="pvp",15,Inputs!$B$44)-(B3342))))*IF(AND(ArtifactsInput!$M$42,((Inputs!$B$9+((C3323=TRUE)*(F3323-Calc!F26))+B3331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3314">
        <f>(1-Summary!$B$11)*T3314+Summary!$B$11*V3314</f>
        <v/>
      </c>
      <c r="P3314">
        <f>IF(B3343=0,0,O3314/B3343)</f>
        <v/>
      </c>
      <c r="Q3314" t="n">
        <v>0</v>
      </c>
      <c r="R3314" t="n">
        <v>0</v>
      </c>
      <c r="S3314">
        <f>IFERROR(O3314/N3314,0)</f>
        <v/>
      </c>
      <c r="T3314">
        <f>IF(C3314,(Inputs!$B$38*0.2*N3314)*IF(Inputs!$B$39="pvp",1,1+(Inputs!$B$20+0+Skills!P17+B3332+(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Hunt"),CHOOSE(ArtifactsInput!$N$35+1,15,18,21,24,27,30)*(1-EXP(-(0.2*B3335)*5)),0)+IF(AND(ArtifactsInput!$M$22,Inputs!$B$4&lt;&gt;"Chapter Hunt"),CHOOSE(ArtifactsInput!$N$22+1,10,12,14,16,18,20)*((0*(((0.15*B3335*5))^0/1)+1*(((0.15*B3335*5))^1/1)+2*(((0.15*B3335*5))^2/2)+3*(((0.15*B3335*5))^3/6)+4*(((0.15*B3335*5))^4/24)+5*(((0.15*B3335*5))^5/120))/((((0.15*B3335*5))^0/1)+(((0.15*B3335*5))^1/1)+(((0.15*B3335*5))^2/2)+(((0.15*B3335*5))^3/6)+(((0.15*B3335*5))^4/24)+(((0.15*B3335*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3314*(1-MIN(100,(Inputs!$B$9+((C3323=TRUE)*(F3323-Calc!F26))+B3331+(ArtifactsInput!$M$24-ArtifactsInput!$M$24)*CHOOSE(ArtifactsInput!$N$24+1,10,12,14,16,18,20)+(IF(AND(Inputs!$B$39&lt;&gt;"pvp",Inputs!$B$44=0),1,IF(IF(Inputs!$B$39="pvp",15,Inputs!$B$44)-(B3342)&lt;=0,1,MAX(0,IF(Inputs!$B$39="pvp",15,Inputs!$B$44)-MAX(5,B3342))/(IF(Inputs!$B$39="pvp",15,Inputs!$B$44)-(B3342))))*IF(AND(ArtifactsInput!$M$42,((Inputs!$B$9+((C3323=TRUE)*(F3323-Calc!F26))+B3331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3314*(MIN(100,(Inputs!$B$9+((C3323=TRUE)*(F3323-Calc!F26))+B3331+(ArtifactsInput!$M$24-ArtifactsInput!$M$24)*CHOOSE(ArtifactsInput!$N$24+1,10,12,14,16,18,20)+(IF(AND(Inputs!$B$39&lt;&gt;"pvp",Inputs!$B$44=0),1,IF(IF(Inputs!$B$39="pvp",15,Inputs!$B$44)-(B3342)&lt;=0,1,MAX(0,IF(Inputs!$B$39="pvp",15,Inputs!$B$44)-MAX(5,B3342))/(IF(Inputs!$B$39="pvp",15,Inputs!$B$44)-(B3342))))*IF(AND(ArtifactsInput!$M$42,((Inputs!$B$9+((C3323=TRUE)*(F3323-Calc!F26))+B3331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3314*(1-MIN(100,(Inputs!$B$9+((C3323=TRUE)*(F3323-Calc!F26))+B3331+(ArtifactsInput!$M$24-ArtifactsInput!$M$24)*CHOOSE(ArtifactsInput!$N$24+1,10,12,14,16,18,20)+(IF(AND(Inputs!$B$39&lt;&gt;"pvp",Inputs!$B$44=0),1,IF(IF(Inputs!$B$39="pvp",15,Inputs!$B$44)-(B3342)&lt;=0,1,MAX(0,IF(Inputs!$B$39="pvp",15,Inputs!$B$44)-MAX(5,B3342))/(IF(Inputs!$B$39="pvp",15,Inputs!$B$44)-(B3342))))*IF(AND(ArtifactsInput!$M$42,((Inputs!$B$9+((C3323=TRUE)*(F3323-Calc!F26))+B3331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3314*(MIN(100,(Inputs!$B$9+((C3323=TRUE)*(F3323-Calc!F26))+B3331+(ArtifactsInput!$M$24-ArtifactsInput!$M$24)*CHOOSE(ArtifactsInput!$N$24+1,10,12,14,16,18,20)+(IF(AND(Inputs!$B$39&lt;&gt;"pvp",Inputs!$B$44=0),1,IF(IF(Inputs!$B$39="pvp",15,Inputs!$B$44)-(B3342)&lt;=0,1,MAX(0,IF(Inputs!$B$39="pvp",15,Inputs!$B$44)-MAX(5,B3342))/(IF(Inputs!$B$39="pvp",15,Inputs!$B$44)-(B3342))))*IF(AND(ArtifactsInput!$M$42,((Inputs!$B$9+((C3323=TRUE)*(F3323-Calc!F26))+B3331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3314">
        <f>IF(C3314,(Inputs!$B$38*0.2*N3314)*IF(Inputs!$B$39="pvp",1,(1+(Inputs!$B$21+Skills!Q17+B3332+(IF(ArtifactsInput!$M$33,CHOOSE(ArtifactsInput!$N$33+1,30,36,42,48,54,60),0))+(IF(AND(ArtifactsInput!$M$35,Inputs!$B$4&lt;&gt;"Chapter Hunt"),CHOOSE(ArtifactsInput!$N$35+1,15,18,21,24,27,30)*(1-EXP(-(0.2*B3335)*5)),0)+IF(AND(ArtifactsInput!$M$22,Inputs!$B$4&lt;&gt;"Chapter Hunt"),CHOOSE(ArtifactsInput!$N$22+1,10,12,14,16,18,20)*((0*(((0.15*B3335*5))^0/1)+1*(((0.15*B3335*5))^1/1)+2*(((0.15*B3335*5))^2/2)+3*(((0.15*B3335*5))^3/6)+4*(((0.15*B3335*5))^4/24)+5*(((0.15*B3335*5))^5/120))/((((0.15*B3335*5))^0/1)+(((0.15*B3335*5))^1/1)+(((0.15*B3335*5))^2/2)+(((0.15*B3335*5))^3/6)+(((0.15*B3335*5))^4/24)+(((0.15*B3335*5))^5/120))),0)))/100)*(MIN(Skills!W17,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3315">
      <c r="A3315">
        <f>Skills!A18</f>
        <v/>
      </c>
      <c r="B3315">
        <f>Skills!B18</f>
        <v/>
      </c>
      <c r="C3315">
        <f>Inputs!$B$3&gt;=115</f>
        <v/>
      </c>
      <c r="D3315">
        <f>IF(Skills!C18=1,60+Inputs!$B$25+Inputs!$B$29,IF(Skills!C18=2,90+Inputs!$B$26+Inputs!$B$29,IF(Skills!C18=3,120+Inputs!$B$27+Inputs!$B$29,MAX(0,(Inputs!$B$3-100)*3)+Inputs!$B$28+Inputs!$B$29)))</f>
        <v/>
      </c>
      <c r="E3315">
        <f>INDEX(FactorTable!$B$2:$Y$301, MATCH(ROUND(MIN(300,MAX(1,D3315)),0), FactorTable!$A$2:$A$301,0), Skills!M18+1)</f>
        <v/>
      </c>
      <c r="F3315">
        <f>IF(Skills!N18=TRUE,(Skills!L18/10)*(E3315/1000),Skills!L18/10)+Skills!O18</f>
        <v/>
      </c>
      <c r="G3315">
        <f>Skills!G18*IF(Skills!H18&gt;0,IF(Inputs!$B$39="pvp",MIN(Skills!I18,15),Skills!I18)/Skills!H18,1)</f>
        <v/>
      </c>
      <c r="H3315">
        <f>1-(1-Skills!J18/100)^Skills!K18</f>
        <v/>
      </c>
      <c r="I3315" t="inlineStr">
        <is>
          <t>1</t>
        </is>
      </c>
      <c r="J3315" t="inlineStr"/>
      <c r="K3315" t="inlineStr"/>
      <c r="L3315" t="inlineStr"/>
      <c r="M3315" t="inlineStr"/>
      <c r="N3315" t="inlineStr"/>
      <c r="O3315">
        <f>(1-Summary!$B$11)*T3315+Summary!$B$11*V3315</f>
        <v/>
      </c>
      <c r="P3315">
        <f>IF(B3343=0,0,O3315/B3343)</f>
        <v/>
      </c>
      <c r="Q3315" t="n">
        <v>0</v>
      </c>
      <c r="R3315" t="n">
        <v>0</v>
      </c>
      <c r="S3315">
        <f>IFERROR(O3315/N3315,0)</f>
        <v/>
      </c>
      <c r="T3315" t="n">
        <v>0</v>
      </c>
      <c r="V3315" t="n">
        <v>0</v>
      </c>
    </row>
    <row r="3316">
      <c r="A3316">
        <f>Skills!A19</f>
        <v/>
      </c>
      <c r="B3316">
        <f>Skills!B19</f>
        <v/>
      </c>
      <c r="C3316">
        <f>Inputs!$B$3&gt;=100</f>
        <v/>
      </c>
      <c r="D3316">
        <f>IF(Skills!C19=1,60+Inputs!$B$25+Inputs!$B$29,IF(Skills!C19=2,90+Inputs!$B$26+Inputs!$B$29,IF(Skills!C19=3,120+Inputs!$B$27+Inputs!$B$29,MAX(0,(Inputs!$B$3-100)*3)+Inputs!$B$28+Inputs!$B$29)))</f>
        <v/>
      </c>
      <c r="E3316">
        <f>INDEX(FactorTable!$B$2:$Y$301, MATCH(ROUND(MIN(300,MAX(1,D3316)),0), FactorTable!$A$2:$A$301,0), Skills!M19+1)</f>
        <v/>
      </c>
      <c r="F3316">
        <f>IF(Skills!N19=TRUE,(Skills!L19/10)*(E3316/1000),Skills!L19/10)+Skills!O19</f>
        <v/>
      </c>
      <c r="G3316">
        <f>Skills!G19*IF(Skills!H19&gt;0,IF(Inputs!$B$39="pvp",MIN(Skills!I19,15),Skills!I19)/Skills!H19,1)</f>
        <v/>
      </c>
      <c r="H3316">
        <f>1-(1-Skills!J19/100)^Skills!K19</f>
        <v/>
      </c>
      <c r="I3316" t="inlineStr">
        <is>
          <t>1</t>
        </is>
      </c>
      <c r="J3316" t="inlineStr"/>
      <c r="K3316" t="inlineStr"/>
      <c r="L3316" t="inlineStr"/>
      <c r="M3316" t="inlineStr"/>
      <c r="N3316" t="inlineStr"/>
      <c r="O3316">
        <f>(1-Summary!$B$11)*T3316+Summary!$B$11*V3316</f>
        <v/>
      </c>
      <c r="P3316">
        <f>IF(B3343=0,0,O3316/B3343)</f>
        <v/>
      </c>
      <c r="Q3316" t="n">
        <v>0</v>
      </c>
      <c r="R3316" t="n">
        <v>0</v>
      </c>
      <c r="S3316">
        <f>IFERROR(O3316/N3316,0)</f>
        <v/>
      </c>
      <c r="T3316" t="n">
        <v>0</v>
      </c>
      <c r="V3316" t="n">
        <v>0</v>
      </c>
    </row>
    <row r="3317">
      <c r="A3317">
        <f>Skills!A20</f>
        <v/>
      </c>
      <c r="B3317">
        <f>Skills!B20</f>
        <v/>
      </c>
      <c r="C3317">
        <f>TRUE</f>
        <v/>
      </c>
      <c r="D3317">
        <f>IF(Skills!C20=1,60+Inputs!$B$25+Inputs!$B$29,IF(Skills!C20=2,90+Inputs!$B$26+Inputs!$B$29,IF(Skills!C20=3,120+Inputs!$B$27+Inputs!$B$29,MAX(0,(Inputs!$B$3-100)*3)+Inputs!$B$28+Inputs!$B$29)))</f>
        <v/>
      </c>
      <c r="E3317">
        <f>INDEX(FactorTable!$B$2:$Y$301, MATCH(ROUND(MIN(300,MAX(1,D3317)),0), FactorTable!$A$2:$A$301,0), Skills!M20+1)</f>
        <v/>
      </c>
      <c r="F3317">
        <f>IF(Skills!N20=TRUE,(Skills!L20/10)*(E3317/1000),Skills!L20/10)+Skills!O20</f>
        <v/>
      </c>
      <c r="G3317">
        <f>Skills!G20*IF(Skills!H20&gt;0,IF(Inputs!$B$39="pvp",MIN(Skills!I20,15),Skills!I20)/Skills!H20,1)</f>
        <v/>
      </c>
      <c r="H3317">
        <f>1-(1-Skills!J20/100)^Skills!K20</f>
        <v/>
      </c>
      <c r="I3317" t="inlineStr">
        <is>
          <t>1</t>
        </is>
      </c>
      <c r="J3317" t="inlineStr"/>
      <c r="K3317" t="inlineStr"/>
      <c r="L3317" t="inlineStr"/>
      <c r="M3317" t="inlineStr"/>
      <c r="N3317" t="inlineStr"/>
      <c r="O3317">
        <f>(1-Summary!$B$11)*T3317+Summary!$B$11*V3317</f>
        <v/>
      </c>
      <c r="P3317">
        <f>IF(B3343=0,0,O3317/B3343)</f>
        <v/>
      </c>
      <c r="Q3317">
        <f>IFERROR(1/IF(Inputs!$B$39="pvp",15,MAX(0.1,Skills!D20-IF(TRUE=TRUE,0.5,0))),0)</f>
        <v/>
      </c>
      <c r="R3317">
        <f>IF(AND(Inputs!$B$39&lt;&gt;"pvp",Inputs!$B$44&gt;0),IF(Inputs!$B$44&lt;=0,0,(INT(Inputs!$B$44/IF(Inputs!$B$39="pvp",15,MAX(0.1,Skills!D20-IF(TRUE=TRUE,0.5,0))))+1)),0)</f>
        <v/>
      </c>
      <c r="S3317">
        <f>IFERROR(O3317/N3317,0)</f>
        <v/>
      </c>
      <c r="T3317" t="n">
        <v>0</v>
      </c>
      <c r="V3317" t="n">
        <v>0</v>
      </c>
    </row>
    <row r="3318">
      <c r="A3318">
        <f>Skills!A21</f>
        <v/>
      </c>
      <c r="B3318">
        <f>Skills!B21</f>
        <v/>
      </c>
      <c r="C3318">
        <f>Inputs!$B$3&gt;=15</f>
        <v/>
      </c>
      <c r="D3318">
        <f>IF(Skills!C21=1,60+Inputs!$B$25+Inputs!$B$29,IF(Skills!C21=2,90+Inputs!$B$26+Inputs!$B$29,IF(Skills!C21=3,120+Inputs!$B$27+Inputs!$B$29,MAX(0,(Inputs!$B$3-100)*3)+Inputs!$B$28+Inputs!$B$29)))</f>
        <v/>
      </c>
      <c r="E3318">
        <f>INDEX(FactorTable!$B$2:$Y$301, MATCH(ROUND(MIN(300,MAX(1,D3318)),0), FactorTable!$A$2:$A$301,0), Skills!M21+1)</f>
        <v/>
      </c>
      <c r="F3318">
        <f>IF(Skills!N21=TRUE,(Skills!L21/10)*(E3318/1000),Skills!L21/10)+Skills!O21</f>
        <v/>
      </c>
      <c r="G3318">
        <f>Skills!G21*IF(Skills!H21&gt;0,IF(Inputs!$B$39="pvp",MIN(Skills!I21,15),Skills!I21)/Skills!H21,1)</f>
        <v/>
      </c>
      <c r="H3318">
        <f>1-(1-Skills!J21/100)^Skills!K21</f>
        <v/>
      </c>
      <c r="I3318" t="inlineStr">
        <is>
          <t>1</t>
        </is>
      </c>
      <c r="J3318" t="inlineStr"/>
      <c r="K3318" t="inlineStr"/>
      <c r="L3318" t="inlineStr"/>
      <c r="M3318" t="inlineStr"/>
      <c r="N3318" t="inlineStr"/>
      <c r="O3318">
        <f>(1-Summary!$B$11)*T3318+Summary!$B$11*V3318</f>
        <v/>
      </c>
      <c r="P3318">
        <f>IF(B3343=0,0,O3318/B3343)</f>
        <v/>
      </c>
      <c r="Q3318">
        <f>IFERROR(1/IF(Inputs!$B$39="pvp",15,MAX(0.1,Skills!D21-IF(TRUE=TRUE,0.5,0))),0)</f>
        <v/>
      </c>
      <c r="R3318">
        <f>IF(AND(Inputs!$B$39&lt;&gt;"pvp",Inputs!$B$44&gt;0),IF(Inputs!$B$44&lt;=0,0,(INT(Inputs!$B$44/IF(Inputs!$B$39="pvp",15,MAX(0.1,Skills!D21-IF(TRUE=TRUE,0.5,0))))+1)),0)</f>
        <v/>
      </c>
      <c r="S3318">
        <f>IFERROR(O3318/N3318,0)</f>
        <v/>
      </c>
      <c r="T3318" t="n">
        <v>0</v>
      </c>
      <c r="V3318" t="n">
        <v>0</v>
      </c>
    </row>
    <row r="3319">
      <c r="A3319">
        <f>Skills!A22</f>
        <v/>
      </c>
      <c r="B3319">
        <f>Skills!B22</f>
        <v/>
      </c>
      <c r="C3319">
        <f>Inputs!$B$3&gt;=15</f>
        <v/>
      </c>
      <c r="D3319">
        <f>IF(Skills!C22=1,60+Inputs!$B$25+Inputs!$B$29,IF(Skills!C22=2,90+Inputs!$B$26+Inputs!$B$29,IF(Skills!C22=3,120+Inputs!$B$27+Inputs!$B$29,MAX(0,(Inputs!$B$3-100)*3)+Inputs!$B$28+Inputs!$B$29)))</f>
        <v/>
      </c>
      <c r="E3319">
        <f>INDEX(FactorTable!$B$2:$Y$301, MATCH(ROUND(MIN(300,MAX(1,D3319)),0), FactorTable!$A$2:$A$301,0), Skills!M22+1)</f>
        <v/>
      </c>
      <c r="F3319">
        <f>IF(Skills!N22=TRUE,(Skills!L22/10)*(E3319/1000),Skills!L22/10)+Skills!O22</f>
        <v/>
      </c>
      <c r="G3319">
        <f>Skills!G22*IF(Skills!H22&gt;0,IF(Inputs!$B$39="pvp",MIN(Skills!I22,15),Skills!I22)/Skills!H22,1)</f>
        <v/>
      </c>
      <c r="H3319">
        <f>1-(1-Skills!J22/100)^Skills!K22</f>
        <v/>
      </c>
      <c r="I3319" t="inlineStr">
        <is>
          <t>1</t>
        </is>
      </c>
      <c r="J3319" t="inlineStr"/>
      <c r="K3319" t="inlineStr"/>
      <c r="L3319" t="inlineStr"/>
      <c r="M3319" t="inlineStr"/>
      <c r="N3319" t="inlineStr"/>
      <c r="O3319">
        <f>(1-Summary!$B$11)*T3319+Summary!$B$11*V3319</f>
        <v/>
      </c>
      <c r="P3319">
        <f>IF(B3343=0,0,O3319/B3343)</f>
        <v/>
      </c>
      <c r="Q3319">
        <f>IFERROR(1/IF(Inputs!$B$39="pvp",15,MAX(0.1,Skills!D22-IF(TRUE=TRUE,0.5,0))),0)</f>
        <v/>
      </c>
      <c r="R3319">
        <f>IF(AND(Inputs!$B$39&lt;&gt;"pvp",Inputs!$B$44&gt;0),IF(Inputs!$B$44&lt;=0,0,(INT(Inputs!$B$44/IF(Inputs!$B$39="pvp",15,MAX(0.1,Skills!D22-IF(TRUE=TRUE,0.5,0))))+1)),0)</f>
        <v/>
      </c>
      <c r="S3319">
        <f>IFERROR(O3319/N3319,0)</f>
        <v/>
      </c>
      <c r="T3319" t="n">
        <v>0</v>
      </c>
      <c r="V3319" t="n">
        <v>0</v>
      </c>
    </row>
    <row r="3320">
      <c r="A3320">
        <f>Skills!A23</f>
        <v/>
      </c>
      <c r="B3320">
        <f>Skills!B23</f>
        <v/>
      </c>
      <c r="C3320">
        <f>Inputs!$B$3&gt;=33</f>
        <v/>
      </c>
      <c r="D3320">
        <f>IF(Skills!C23=1,60+Inputs!$B$25+Inputs!$B$29,IF(Skills!C23=2,90+Inputs!$B$26+Inputs!$B$29,IF(Skills!C23=3,120+Inputs!$B$27+Inputs!$B$29,MAX(0,(Inputs!$B$3-100)*3)+Inputs!$B$28+Inputs!$B$29)))</f>
        <v/>
      </c>
      <c r="E3320">
        <f>INDEX(FactorTable!$B$2:$Y$301, MATCH(ROUND(MIN(300,MAX(1,D3320)),0), FactorTable!$A$2:$A$301,0), Skills!M23+1)</f>
        <v/>
      </c>
      <c r="F3320">
        <f>IF(Skills!N23=TRUE,(Skills!L23/10)*(E3320/1000),Skills!L23/10)+Skills!O23</f>
        <v/>
      </c>
      <c r="G3320">
        <f>Skills!G23*IF(Skills!H23&gt;0,IF(Inputs!$B$39="pvp",MIN(Skills!I23,15),Skills!I23)/Skills!H23,1)</f>
        <v/>
      </c>
      <c r="H3320">
        <f>1-(1-Skills!J23/100)^Skills!K23</f>
        <v/>
      </c>
      <c r="I3320" t="inlineStr">
        <is>
          <t>1</t>
        </is>
      </c>
      <c r="J3320" t="inlineStr"/>
      <c r="K3320" t="inlineStr"/>
      <c r="L3320" t="inlineStr"/>
      <c r="M3320" t="inlineStr"/>
      <c r="N3320" t="inlineStr"/>
      <c r="O3320">
        <f>(1-Summary!$B$11)*T3320+Summary!$B$11*V3320</f>
        <v/>
      </c>
      <c r="P3320">
        <f>IF(B3343=0,0,O3320/B3343)</f>
        <v/>
      </c>
      <c r="Q3320" t="n">
        <v>0</v>
      </c>
      <c r="R3320" t="n">
        <v>0</v>
      </c>
      <c r="S3320">
        <f>IFERROR(O3320/N3320,0)</f>
        <v/>
      </c>
      <c r="T3320" t="n">
        <v>0</v>
      </c>
      <c r="V3320" t="n">
        <v>0</v>
      </c>
    </row>
    <row r="3321">
      <c r="A3321">
        <f>Skills!A24</f>
        <v/>
      </c>
      <c r="B3321">
        <f>Skills!B24</f>
        <v/>
      </c>
      <c r="C3321">
        <f>Inputs!$B$3&gt;=40</f>
        <v/>
      </c>
      <c r="D3321">
        <f>IF(Skills!C24=1,60+Inputs!$B$25+Inputs!$B$29,IF(Skills!C24=2,90+Inputs!$B$26+Inputs!$B$29,IF(Skills!C24=3,120+Inputs!$B$27+Inputs!$B$29,MAX(0,(Inputs!$B$3-100)*3)+Inputs!$B$28+Inputs!$B$29)))</f>
        <v/>
      </c>
      <c r="E3321">
        <f>INDEX(FactorTable!$B$2:$Y$301, MATCH(ROUND(MIN(300,MAX(1,D3321)),0), FactorTable!$A$2:$A$301,0), Skills!M24+1)</f>
        <v/>
      </c>
      <c r="F3321">
        <f>IF(Skills!N24=TRUE,(Skills!L24/10)*(E3321/1000),Skills!L24/10)+Skills!O24</f>
        <v/>
      </c>
      <c r="G3321">
        <f>Skills!G24*IF(Skills!H24&gt;0,IF(Inputs!$B$39="pvp",MIN(Skills!I24,15),Skills!I24)/Skills!H24,1)</f>
        <v/>
      </c>
      <c r="H3321">
        <f>1-(1-Skills!J24/100)^Skills!K24</f>
        <v/>
      </c>
      <c r="I3321" t="inlineStr">
        <is>
          <t>1</t>
        </is>
      </c>
      <c r="J3321" t="inlineStr"/>
      <c r="K3321" t="inlineStr"/>
      <c r="L3321" t="inlineStr"/>
      <c r="M3321" t="inlineStr"/>
      <c r="N3321" t="inlineStr"/>
      <c r="O3321">
        <f>(1-Summary!$B$11)*T3321+Summary!$B$11*V3321</f>
        <v/>
      </c>
      <c r="P3321">
        <f>IF(B3343=0,0,O3321/B3343)</f>
        <v/>
      </c>
      <c r="Q3321" t="n">
        <v>0</v>
      </c>
      <c r="R3321" t="n">
        <v>0</v>
      </c>
      <c r="S3321">
        <f>IFERROR(O3321/N3321,0)</f>
        <v/>
      </c>
      <c r="T3321" t="n">
        <v>0</v>
      </c>
      <c r="V3321" t="n">
        <v>0</v>
      </c>
    </row>
    <row r="3322">
      <c r="A3322">
        <f>Skills!A25</f>
        <v/>
      </c>
      <c r="B3322">
        <f>Skills!B25</f>
        <v/>
      </c>
      <c r="C3322">
        <f>Inputs!$B$3&gt;=43</f>
        <v/>
      </c>
      <c r="D3322">
        <f>IF(Skills!C25=1,60+Inputs!$B$25+Inputs!$B$29,IF(Skills!C25=2,90+Inputs!$B$26+Inputs!$B$29,IF(Skills!C25=3,120+Inputs!$B$27+Inputs!$B$29,MAX(0,(Inputs!$B$3-100)*3)+Inputs!$B$28+Inputs!$B$29)))</f>
        <v/>
      </c>
      <c r="E3322">
        <f>INDEX(FactorTable!$B$2:$Y$301, MATCH(ROUND(MIN(300,MAX(1,D3322)),0), FactorTable!$A$2:$A$301,0), Skills!M25+1)</f>
        <v/>
      </c>
      <c r="F3322">
        <f>IF(Skills!N25=TRUE,(Skills!L25/10)*(E3322/1000),Skills!L25/10)+Skills!O25</f>
        <v/>
      </c>
      <c r="G3322">
        <f>Skills!G25*IF(Skills!H25&gt;0,IF(Inputs!$B$39="pvp",MIN(Skills!I25,15),Skills!I25)/Skills!H25,1)</f>
        <v/>
      </c>
      <c r="H3322">
        <f>1-(1-Skills!J25/100)^Skills!K25</f>
        <v/>
      </c>
      <c r="I3322" t="inlineStr">
        <is>
          <t>1</t>
        </is>
      </c>
      <c r="J3322" t="inlineStr"/>
      <c r="K3322" t="inlineStr"/>
      <c r="L3322" t="inlineStr"/>
      <c r="M3322" t="inlineStr"/>
      <c r="N3322" t="inlineStr"/>
      <c r="O3322">
        <f>(1-Summary!$B$11)*T3322+Summary!$B$11*V3322</f>
        <v/>
      </c>
      <c r="P3322">
        <f>IF(B3343=0,0,O3322/B3343)</f>
        <v/>
      </c>
      <c r="Q3322" t="n">
        <v>0</v>
      </c>
      <c r="R3322" t="n">
        <v>0</v>
      </c>
      <c r="S3322">
        <f>IFERROR(O3322/N3322,0)</f>
        <v/>
      </c>
      <c r="T3322" t="n">
        <v>0</v>
      </c>
      <c r="V3322" t="n">
        <v>0</v>
      </c>
    </row>
    <row r="3323">
      <c r="A3323">
        <f>Skills!A26</f>
        <v/>
      </c>
      <c r="B3323">
        <f>Skills!B26</f>
        <v/>
      </c>
      <c r="C3323">
        <f>Inputs!$B$3&gt;=50</f>
        <v/>
      </c>
      <c r="D3323">
        <f>IF(Skills!C26=1,60+Inputs!$B$25+Inputs!$B$29,IF(Skills!C26=2,90+Inputs!$B$26+Inputs!$B$29,IF(Skills!C26=3,120+Inputs!$B$27+Inputs!$B$29,MAX(0,(Inputs!$B$3-100)*3)+Inputs!$B$28+Inputs!$B$29)))</f>
        <v/>
      </c>
      <c r="E3323">
        <f>INDEX(FactorTable!$B$2:$Y$301, MATCH(ROUND(MIN(300,MAX(1,D3323)),0), FactorTable!$A$2:$A$301,0), Skills!M26+1)</f>
        <v/>
      </c>
      <c r="F3323">
        <f>IF(Skills!N26=TRUE,(Skills!L26/10)*(E3323/1000),Skills!L26/10)+Skills!O26</f>
        <v/>
      </c>
      <c r="G3323">
        <f>Skills!G26*IF(Skills!H26&gt;0,IF(Inputs!$B$39="pvp",MIN(Skills!I26,15),Skills!I26)/Skills!H26,1)</f>
        <v/>
      </c>
      <c r="H3323">
        <f>1-(1-Skills!J26/100)^Skills!K26</f>
        <v/>
      </c>
      <c r="I3323" t="inlineStr">
        <is>
          <t>1</t>
        </is>
      </c>
      <c r="J3323" t="inlineStr"/>
      <c r="K3323" t="inlineStr"/>
      <c r="L3323" t="inlineStr"/>
      <c r="M3323" t="inlineStr"/>
      <c r="N3323" t="inlineStr"/>
      <c r="O3323">
        <f>(1-Summary!$B$11)*T3323+Summary!$B$11*V3323</f>
        <v/>
      </c>
      <c r="P3323">
        <f>IF(B3343=0,0,O3323/B3343)</f>
        <v/>
      </c>
      <c r="Q3323" t="n">
        <v>0</v>
      </c>
      <c r="R3323" t="n">
        <v>0</v>
      </c>
      <c r="S3323">
        <f>IFERROR(O3323/N3323,0)</f>
        <v/>
      </c>
      <c r="T3323" t="n">
        <v>0</v>
      </c>
      <c r="V3323" t="n">
        <v>0</v>
      </c>
    </row>
    <row r="3324">
      <c r="A3324">
        <f>Skills!A27</f>
        <v/>
      </c>
      <c r="B3324">
        <f>Skills!B27</f>
        <v/>
      </c>
      <c r="C3324">
        <f>Inputs!$B$3&gt;=50</f>
        <v/>
      </c>
      <c r="D3324">
        <f>IF(Skills!C27=1,60+Inputs!$B$25+Inputs!$B$29,IF(Skills!C27=2,90+Inputs!$B$26+Inputs!$B$29,IF(Skills!C27=3,120+Inputs!$B$27+Inputs!$B$29,MAX(0,(Inputs!$B$3-100)*3)+Inputs!$B$28+Inputs!$B$29)))</f>
        <v/>
      </c>
      <c r="E3324">
        <f>INDEX(FactorTable!$B$2:$Y$301, MATCH(ROUND(MIN(300,MAX(1,D3324)),0), FactorTable!$A$2:$A$301,0), Skills!M27+1)</f>
        <v/>
      </c>
      <c r="F3324">
        <f>IF(Skills!N27=TRUE,(Skills!L27/10)*(E3324/1000),Skills!L27/10)+Skills!O27</f>
        <v/>
      </c>
      <c r="G3324">
        <f>Skills!G27*IF(Skills!H27&gt;0,IF(Inputs!$B$39="pvp",MIN(Skills!I27,15),Skills!I27)/Skills!H27,1)</f>
        <v/>
      </c>
      <c r="H3324">
        <f>1-(1-Skills!J27/100)^Skills!K27</f>
        <v/>
      </c>
      <c r="I3324" t="inlineStr">
        <is>
          <t>1</t>
        </is>
      </c>
      <c r="J3324" t="inlineStr"/>
      <c r="K3324" t="inlineStr"/>
      <c r="L3324" t="inlineStr"/>
      <c r="M3324" t="inlineStr"/>
      <c r="N3324" t="inlineStr"/>
      <c r="O3324">
        <f>(1-Summary!$B$11)*T3324+Summary!$B$11*V3324</f>
        <v/>
      </c>
      <c r="P3324">
        <f>IF(B3343=0,0,O3324/B3343)</f>
        <v/>
      </c>
      <c r="Q3324" t="n">
        <v>0</v>
      </c>
      <c r="R3324" t="n">
        <v>0</v>
      </c>
      <c r="S3324">
        <f>IFERROR(O3324/N3324,0)</f>
        <v/>
      </c>
      <c r="T3324" t="n">
        <v>0</v>
      </c>
      <c r="V3324" t="n">
        <v>0</v>
      </c>
    </row>
    <row r="3325">
      <c r="A3325">
        <f>Skills!A28</f>
        <v/>
      </c>
      <c r="B3325">
        <f>Skills!B28</f>
        <v/>
      </c>
      <c r="C3325">
        <f>Inputs!$B$3&gt;=38</f>
        <v/>
      </c>
      <c r="D3325">
        <f>IF(Skills!C28=1,60+Inputs!$B$25+Inputs!$B$29,IF(Skills!C28=2,90+Inputs!$B$26+Inputs!$B$29,IF(Skills!C28=3,120+Inputs!$B$27+Inputs!$B$29,MAX(0,(Inputs!$B$3-100)*3)+Inputs!$B$28+Inputs!$B$29)))</f>
        <v/>
      </c>
      <c r="E3325">
        <f>INDEX(FactorTable!$B$2:$Y$301, MATCH(ROUND(MIN(300,MAX(1,D3325)),0), FactorTable!$A$2:$A$301,0), Skills!M28+1)</f>
        <v/>
      </c>
      <c r="F3325">
        <f>IF(Skills!N28=TRUE,(Skills!L28/10)*(E3325/1000),Skills!L28/10)+Skills!O28</f>
        <v/>
      </c>
      <c r="G3325">
        <f>Skills!G28*IF(Skills!H28&gt;0,IF(Inputs!$B$39="pvp",MIN(Skills!I28,15),Skills!I28)/Skills!H28,1)</f>
        <v/>
      </c>
      <c r="H3325">
        <f>1-(1-Skills!J28/100)^Skills!K28</f>
        <v/>
      </c>
      <c r="I3325" t="inlineStr">
        <is>
          <t>1</t>
        </is>
      </c>
      <c r="J3325" t="inlineStr"/>
      <c r="K3325" t="inlineStr"/>
      <c r="L3325" t="inlineStr"/>
      <c r="M3325" t="inlineStr"/>
      <c r="N3325" t="inlineStr"/>
      <c r="O3325">
        <f>(1-Summary!$B$11)*T3325+Summary!$B$11*V3325</f>
        <v/>
      </c>
      <c r="P3325">
        <f>IF(B3343=0,0,O3325/B3343)</f>
        <v/>
      </c>
      <c r="Q3325" t="n">
        <v>0</v>
      </c>
      <c r="R3325" t="n">
        <v>0</v>
      </c>
      <c r="S3325">
        <f>IFERROR(O3325/N3325,0)</f>
        <v/>
      </c>
      <c r="T3325" t="n">
        <v>0</v>
      </c>
      <c r="V3325" t="n">
        <v>0</v>
      </c>
    </row>
    <row r="3326">
      <c r="A3326">
        <f>Skills!A29</f>
        <v/>
      </c>
      <c r="B3326">
        <f>Skills!B29</f>
        <v/>
      </c>
      <c r="C3326">
        <f>Inputs!$B$3&gt;=120</f>
        <v/>
      </c>
      <c r="D3326">
        <f>IF(Skills!C29=1,60+Inputs!$B$25+Inputs!$B$29,IF(Skills!C29=2,90+Inputs!$B$26+Inputs!$B$29,IF(Skills!C29=3,120+Inputs!$B$27+Inputs!$B$29,MAX(0,(Inputs!$B$3-100)*3)+Inputs!$B$28+Inputs!$B$29)))</f>
        <v/>
      </c>
      <c r="E3326">
        <f>INDEX(FactorTable!$B$2:$Y$301, MATCH(ROUND(MIN(300,MAX(1,D3326)),0), FactorTable!$A$2:$A$301,0), Skills!M29+1)</f>
        <v/>
      </c>
      <c r="F3326">
        <f>IF(Skills!N29=TRUE,(Skills!L29/10)*(E3326/1000),Skills!L29/10)+Skills!O29</f>
        <v/>
      </c>
      <c r="G3326">
        <f>Skills!G29*IF(Skills!H29&gt;0,IF(Inputs!$B$39="pvp",MIN(Skills!I29,15),Skills!I29)/Skills!H29,1)</f>
        <v/>
      </c>
      <c r="H3326">
        <f>1-(1-Skills!J29/100)^Skills!K29</f>
        <v/>
      </c>
      <c r="I3326" t="inlineStr">
        <is>
          <t>1</t>
        </is>
      </c>
      <c r="J3326" t="inlineStr"/>
      <c r="K3326" t="inlineStr"/>
      <c r="L3326" t="inlineStr"/>
      <c r="M3326" t="inlineStr"/>
      <c r="N3326" t="inlineStr"/>
      <c r="O3326">
        <f>(1-Summary!$B$11)*T3326+Summary!$B$11*V3326</f>
        <v/>
      </c>
      <c r="P3326">
        <f>IF(B3343=0,0,O3326/B3343)</f>
        <v/>
      </c>
      <c r="Q3326" t="n">
        <v>0</v>
      </c>
      <c r="R3326" t="n">
        <v>0</v>
      </c>
      <c r="S3326">
        <f>IFERROR(O3326/N3326,0)</f>
        <v/>
      </c>
      <c r="T3326" t="n">
        <v>0</v>
      </c>
      <c r="V3326" t="n">
        <v>0</v>
      </c>
    </row>
    <row r="3327">
      <c r="A3327">
        <f>Skills!A30</f>
        <v/>
      </c>
      <c r="B3327">
        <f>Skills!B30</f>
        <v/>
      </c>
      <c r="C3327">
        <f>Inputs!$B$3&gt;=120</f>
        <v/>
      </c>
      <c r="D3327">
        <f>IF(Skills!C30=1,60+Inputs!$B$25+Inputs!$B$29,IF(Skills!C30=2,90+Inputs!$B$26+Inputs!$B$29,IF(Skills!C30=3,120+Inputs!$B$27+Inputs!$B$29,MAX(0,(Inputs!$B$3-100)*3)+Inputs!$B$28+Inputs!$B$29)))</f>
        <v/>
      </c>
      <c r="E3327">
        <f>INDEX(FactorTable!$B$2:$Y$301, MATCH(ROUND(MIN(300,MAX(1,D3327)),0), FactorTable!$A$2:$A$301,0), Skills!M30+1)</f>
        <v/>
      </c>
      <c r="F3327">
        <f>IF(Skills!N30=TRUE,(Skills!L30/10)*(E3327/1000),Skills!L30/10)+Skills!O30</f>
        <v/>
      </c>
      <c r="G3327">
        <f>Skills!G30*IF(Skills!H30&gt;0,IF(Inputs!$B$39="pvp",MIN(Skills!I30,15),Skills!I30)/Skills!H30,1)</f>
        <v/>
      </c>
      <c r="H3327">
        <f>1-(1-Skills!J30/100)^Skills!K30</f>
        <v/>
      </c>
      <c r="I3327" t="inlineStr">
        <is>
          <t>1</t>
        </is>
      </c>
      <c r="J3327" t="inlineStr"/>
      <c r="K3327" t="inlineStr"/>
      <c r="L3327" t="inlineStr"/>
      <c r="M3327" t="inlineStr"/>
      <c r="N3327" t="inlineStr"/>
      <c r="O3327">
        <f>(1-Summary!$B$11)*T3327+Summary!$B$11*V3327</f>
        <v/>
      </c>
      <c r="P3327">
        <f>IF(B3343=0,0,O3327/B3343)</f>
        <v/>
      </c>
      <c r="Q3327" t="n">
        <v>0</v>
      </c>
      <c r="R3327" t="n">
        <v>0</v>
      </c>
      <c r="S3327">
        <f>IFERROR(O3327/N3327,0)</f>
        <v/>
      </c>
      <c r="T3327" t="n">
        <v>0</v>
      </c>
      <c r="V3327" t="n">
        <v>0</v>
      </c>
    </row>
    <row r="3328">
      <c r="A3328">
        <f>Skills!A31</f>
        <v/>
      </c>
      <c r="B3328">
        <f>Skills!B31</f>
        <v/>
      </c>
      <c r="C3328">
        <f>Inputs!$B$3&gt;=125</f>
        <v/>
      </c>
      <c r="D3328">
        <f>IF(Skills!C31=1,60+Inputs!$B$25+Inputs!$B$29,IF(Skills!C31=2,90+Inputs!$B$26+Inputs!$B$29,IF(Skills!C31=3,120+Inputs!$B$27+Inputs!$B$29,MAX(0,(Inputs!$B$3-100)*3)+Inputs!$B$28+Inputs!$B$29)))</f>
        <v/>
      </c>
      <c r="E3328">
        <f>INDEX(FactorTable!$B$2:$Y$301, MATCH(ROUND(MIN(300,MAX(1,D3328)),0), FactorTable!$A$2:$A$301,0), Skills!M31+1)</f>
        <v/>
      </c>
      <c r="F3328">
        <f>IF(Skills!N31=TRUE,(Skills!L31/10)*(E3328/1000),Skills!L31/10)+Skills!O31</f>
        <v/>
      </c>
      <c r="G3328">
        <f>Skills!G31*IF(Skills!H31&gt;0,IF(Inputs!$B$39="pvp",MIN(Skills!I31,15),Skills!I31)/Skills!H31,1)</f>
        <v/>
      </c>
      <c r="H3328">
        <f>1-(1-Skills!J31/100)^Skills!K31</f>
        <v/>
      </c>
      <c r="I3328" t="inlineStr">
        <is>
          <t>1</t>
        </is>
      </c>
      <c r="J3328" t="inlineStr"/>
      <c r="K3328" t="inlineStr"/>
      <c r="L3328" t="inlineStr"/>
      <c r="M3328" t="inlineStr"/>
      <c r="N3328" t="inlineStr"/>
      <c r="O3328">
        <f>(1-Summary!$B$11)*T3328+Summary!$B$11*V3328</f>
        <v/>
      </c>
      <c r="P3328">
        <f>IF(B3343=0,0,O3328/B3343)</f>
        <v/>
      </c>
      <c r="Q3328" t="n">
        <v>0</v>
      </c>
      <c r="R3328" t="n">
        <v>0</v>
      </c>
      <c r="S3328">
        <f>IFERROR(O3328/N3328,0)</f>
        <v/>
      </c>
      <c r="T3328" t="n">
        <v>0</v>
      </c>
      <c r="V3328" t="n">
        <v>0</v>
      </c>
    </row>
    <row r="3330">
      <c r="A3330" t="inlineStr">
        <is>
          <t>Average Buff Multiplier</t>
        </is>
      </c>
      <c r="B3330">
        <f>(1+(((C3319=TRUE)*F3319*IF(AND(Inputs!$B$39&lt;&gt;"pvp",Inputs!$B$44&gt;0),(((R3319-1)*MIN((Skills!Y22*(1+Inputs!$B$34/100)),(1/Q3319))+MIN((Skills!Y22*(1+Inputs!$B$34/100)),MAX(0,Inputs!$B$44-((R3319-1)*(1/Q3319)))))/Inputs!$B$44),IF(Inputs!$B$39="pvp",MIN((Skills!Y22*(1+Inputs!$B$34/100)),15)/15,MIN(1,(Skills!Y22*(1+Inputs!$B$34/100))/(1/Q3319)))))+((C3300=TRUE)*F3300*3)+((C3302=TRUE)*F3302*(1-EXP(-0.75*B3335*5)))+((C3321=TRUE)*(F3321-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3308=TRUE)*F3308*IF(AND(Inputs!$B$39&lt;&gt;"pvp",Inputs!$B$44&gt;0),(((R3308-1)*MIN((Skills!Y11*(1+Inputs!$B$34/100)),(1/Q3308))+MIN((Skills!Y11*(1+Inputs!$B$34/100)),MAX(0,Inputs!$B$44-((R3308-1)*(1/Q3308)))))/Inputs!$B$44),IF(Inputs!$B$39="pvp",MIN((Skills!Y11*(1+Inputs!$B$34/100)),15)/15,MIN(1,(Skills!Y11*(1+Inputs!$B$34/100))/(1/Q3308)))))/100)*(1+((C3313=TRUE)*F3313*IF(AND(Inputs!$B$39&lt;&gt;"pvp",Inputs!$B$44&gt;0),(((R3313-1)*MIN((Skills!Y16*(1+Inputs!$B$34/100)),(1/Q3313))+MIN((Skills!Y16*(1+Inputs!$B$34/100)),MAX(0,Inputs!$B$44-((R3313-1)*(1/Q3313)))))/Inputs!$B$44),IF(Inputs!$B$39="pvp",MIN((Skills!Y16*(1+Inputs!$B$34/100)),15)/15,MIN(1,(Skills!Y16*(1+Inputs!$B$34/100))/(1/Q3313)))))/100)</f>
        <v/>
      </c>
    </row>
    <row r="3331">
      <c r="A3331" t="inlineStr">
        <is>
          <t>Global Crit Rate Bonus %</t>
        </is>
      </c>
      <c r="B3331">
        <f>((C3318=TRUE)*F3318*IF(AND(Inputs!$B$39&lt;&gt;"pvp",Inputs!$B$44&gt;0),(((R3318-1)*MIN((Skills!Y21*(1+Inputs!$B$34/100)),(1/Q3318))+MIN((Skills!Y21*(1+Inputs!$B$34/100)),MAX(0,Inputs!$B$44-((R3318-1)*(1/Q3318)))))/Inputs!$B$44),IF(Inputs!$B$39="pvp",MIN((Skills!Y21*(1+Inputs!$B$34/100)),15)/15,MIN(1,(Skills!Y21*(1+Inputs!$B$34/100))/(1/Q3318)))))</f>
        <v/>
      </c>
    </row>
    <row r="3332">
      <c r="A3332" t="inlineStr">
        <is>
          <t>Global Monster Damage-Taken Bonus %</t>
        </is>
      </c>
      <c r="B3332">
        <f>IF(Inputs!$B$3&gt;=82,15,0)</f>
        <v/>
      </c>
    </row>
    <row r="3333">
      <c r="A3333" t="inlineStr">
        <is>
          <t>Shadow Partner Average Multiplier</t>
        </is>
      </c>
      <c r="B3333">
        <f>1+((C3305=TRUE)*F3305*(1+3.3333333333333335*IF(C3316=TRUE,F3316,0)/100)*I3305*Skills!J8/100)/100</f>
        <v/>
      </c>
    </row>
    <row r="3334">
      <c r="A3334" t="inlineStr">
        <is>
          <t>Attack Speed Buff Bonus %</t>
        </is>
      </c>
      <c r="B3334">
        <f>((C3317=TRUE)*F3317*IF(AND(Inputs!$B$39&lt;&gt;"pvp",Inputs!$B$44&gt;0),(((R3317-1)*MIN((Skills!Y20*(1+Inputs!$B$34/100)),(1/Q3317))+MIN((Skills!Y20*(1+Inputs!$B$34/100)),MAX(0,Inputs!$B$44-((R3317-1)*(1/Q3317)))))/Inputs!$B$44),IF(Inputs!$B$39="pvp",MIN((Skills!Y20*(1+Inputs!$B$34/100)),15)/15,MIN(1,(Skills!Y20*(1+Inputs!$B$34/100))/(1/Q3317)))))</f>
        <v/>
      </c>
    </row>
    <row r="3335">
      <c r="A3335" t="inlineStr">
        <is>
          <t>Actions Per Second</t>
        </is>
      </c>
      <c r="B3335">
        <f>1+MIN(150,150*(1-(1-(Inputs!$B$11+((C3320=TRUE)*(F3320-Calc!F23)))/150)*(1-B3334/150)))/100</f>
        <v/>
      </c>
    </row>
    <row r="3336">
      <c r="A3336" t="inlineStr">
        <is>
          <t>Skill + Buff Cast Rate</t>
        </is>
      </c>
      <c r="B3336">
        <f>IF(AND(Inputs!$B$39&lt;&gt;"pvp",Inputs!$B$44&gt;0),SUMPRODUCT((Skills!E2:E31=TRUE)*(C3299:C3328=TRUE)*R3299:R3328*Skills!F2:F31)/Inputs!$B$44,SUMPRODUCT((Skills!E2:E31=TRUE)*(C3299:C3328=TRUE)*Q3299:Q3328*Skills!F2:F31))</f>
        <v/>
      </c>
    </row>
    <row r="3337">
      <c r="A3337" t="inlineStr">
        <is>
          <t>Cruel Stab Casts Per Second</t>
        </is>
      </c>
      <c r="B3337">
        <f>MAX(0,B3335-B3336)</f>
        <v/>
      </c>
    </row>
    <row r="3338">
      <c r="A3338" t="inlineStr">
        <is>
          <t>Global Critical Damage Bonus % (Smokescreen Mastery Lv.113)</t>
        </is>
      </c>
      <c r="B3338">
        <f>IF(Inputs!$B$3&gt;=113,30,0)*IF(AND(Inputs!$B$39&lt;&gt;"pvp",Inputs!$B$44&gt;0),(((R3313-1)*MIN((Skills!Y16*(1+Inputs!$B$34/100)),(1/Q3313))+MIN((Skills!Y16*(1+Inputs!$B$34/100)),MAX(0,Inputs!$B$44-((R3313-1)*(1/Q3313)))))/Inputs!$B$44),IF(Inputs!$B$39="pvp",MIN((Skills!Y16*(1+Inputs!$B$34/100)),15)/15,MIN(1,(Skills!Y16*(1+Inputs!$B$34/100))/(1/Q3313))))</f>
        <v/>
      </c>
    </row>
    <row r="3339">
      <c r="A3339" t="inlineStr">
        <is>
          <t>Meso Explosion average stack count</t>
        </is>
      </c>
      <c r="B3339">
        <f>MIN(10,IF(Inputs!$B$3&gt;=75,0.75,0.5)*B3335*(1/Q3301))</f>
        <v/>
      </c>
    </row>
    <row r="3340">
      <c r="A3340" t="inlineStr">
        <is>
          <t>Blood Money average stack count</t>
        </is>
      </c>
      <c r="B3340">
        <f>MIN(5,0.5*IF(Inputs!$B$3&gt;=75,0.75,0.5)*B3335*(1/Q3301))</f>
        <v/>
      </c>
    </row>
    <row r="3341">
      <c r="A3341" t="inlineStr">
        <is>
          <t>Assassinate Murderous Intent Multiplier</t>
        </is>
      </c>
      <c r="B3341">
        <f>1+IFERROR(MIN(1,Q3312*2/Q3309),0)</f>
        <v/>
      </c>
    </row>
    <row r="3342">
      <c r="A3342" t="inlineStr">
        <is>
          <t>Buff-Casting Startup Delay (s, fixed-duration only)</t>
        </is>
      </c>
      <c r="B3342">
        <f>IF(AND(Inputs!$B$39&lt;&gt;"pvp",Inputs!$B$44&gt;0),SUMPRODUCT((Skills!Y2:Y31&gt;0)*(Skills!E2:E31=TRUE)*(C3299:C3328=TRUE))/B3335,0)</f>
        <v/>
      </c>
    </row>
    <row r="3343">
      <c r="A3343" s="6" t="inlineStr">
        <is>
          <t>TOTAL DPS</t>
        </is>
      </c>
      <c r="B3343" s="6">
        <f>SUM(O3299:O3328)</f>
        <v/>
      </c>
    </row>
    <row r="3344">
      <c r="A3344" t="inlineStr">
        <is>
          <t>Boss-Only Total DPS (this block's swept value)</t>
        </is>
      </c>
      <c r="B3344">
        <f>SUM(T3299:T3328)</f>
        <v/>
      </c>
    </row>
    <row r="3345">
      <c r="A3345" t="inlineStr">
        <is>
          <t>Normal-Only Total DPS (this block's swept value)</t>
        </is>
      </c>
      <c r="B3345">
        <f>SUM(V3299:V3328)</f>
        <v/>
      </c>
    </row>
    <row r="3348">
      <c r="A3348" s="6" t="inlineStr">
        <is>
          <t>Stat: CDR = 1.0s</t>
        </is>
      </c>
    </row>
    <row r="3349">
      <c r="A3349" s="5" t="inlineStr">
        <is>
          <t>Key</t>
        </is>
      </c>
      <c r="B3349" s="5" t="inlineStr">
        <is>
          <t>Name</t>
        </is>
      </c>
      <c r="C3349" s="5" t="inlineStr">
        <is>
          <t>Unlocked</t>
        </is>
      </c>
      <c r="D3349" s="5" t="inlineStr">
        <is>
          <t>InputLevel</t>
        </is>
      </c>
      <c r="E3349" s="5" t="inlineStr">
        <is>
          <t>Factor</t>
        </is>
      </c>
      <c r="F3349" s="5" t="inlineStr">
        <is>
          <t>CoefficientPercent</t>
        </is>
      </c>
      <c r="G3349" s="5" t="inlineStr">
        <is>
          <t>EffectiveHits</t>
        </is>
      </c>
      <c r="H3349" s="5" t="inlineStr">
        <is>
          <t>ProcProbability</t>
        </is>
      </c>
      <c r="I3349" s="5" t="inlineStr">
        <is>
          <t>MapleHeroMultiplier</t>
        </is>
      </c>
      <c r="J3349" s="5" t="inlineStr">
        <is>
          <t>BaseDamage</t>
        </is>
      </c>
      <c r="K3349" s="5" t="inlineStr">
        <is>
          <t>BaseHitDamage</t>
        </is>
      </c>
      <c r="L3349" s="5" t="inlineStr">
        <is>
          <t>NonCritAvg</t>
        </is>
      </c>
      <c r="M3349" s="5" t="inlineStr">
        <is>
          <t>CritAvg</t>
        </is>
      </c>
      <c r="N3349" s="5" t="inlineStr">
        <is>
          <t>ExpectedDamage(perHit)</t>
        </is>
      </c>
      <c r="O3349" s="5" t="inlineStr">
        <is>
          <t>DPS</t>
        </is>
      </c>
      <c r="P3349" s="5" t="inlineStr">
        <is>
          <t>% of Total</t>
        </is>
      </c>
      <c r="Q3349" s="5" t="inlineStr">
        <is>
          <t>InvCooldown</t>
        </is>
      </c>
      <c r="R3349" s="5" t="inlineStr">
        <is>
          <t>CastsInFight</t>
        </is>
      </c>
      <c r="S3349" s="5" t="inlineStr">
        <is>
          <t>HitRate(perSec)</t>
        </is>
      </c>
      <c r="U3349" t="inlineStr">
        <is>
          <t>helpers</t>
        </is>
      </c>
    </row>
    <row r="3350">
      <c r="A3350">
        <f>Skills!A2</f>
        <v/>
      </c>
      <c r="B3350">
        <f>Skills!B2</f>
        <v/>
      </c>
      <c r="C3350">
        <f>Inputs!$B$3&gt;=100</f>
        <v/>
      </c>
      <c r="D3350" t="inlineStr"/>
      <c r="E3350" t="inlineStr"/>
      <c r="F3350">
        <f>U3352+Skills!O2</f>
        <v/>
      </c>
      <c r="G3350">
        <f>Skills!G2*IF(Skills!H2&gt;0,IF(Inputs!$B$39="pvp",MIN(Skills!I2,15),Skills!I2)/Skills!H2,1)</f>
        <v/>
      </c>
      <c r="H3350">
        <f>1-(1-Skills!J2/100)^Skills!K2</f>
        <v/>
      </c>
      <c r="I3350" t="inlineStr">
        <is>
          <t>1</t>
        </is>
      </c>
      <c r="J3350">
        <f>((Inputs!$B$6*(1+Inputs!$B$7/100))+(((Inputs!$B$12*(1+Inputs!$B$13/100))-(Inputs!$B$12*(1+Inputs!$B$13/100)))+0.25*(Inputs!$B$14-Inputs!$B$14))*(1+Inputs!$B$7/100))*(F3350/100)</f>
        <v/>
      </c>
      <c r="K3350">
        <f>J3350*(1+((Inputs!$B$12*(1+Inputs!$B$13/100))*0.01+Inputs!$B$14*0.0025)/100)*(1+Inputs!$B$15/100)*(1+Inputs!$B$16/100)*(5000/(6000+Inputs!$B$43*(1-(100*(1-(1-Inputs!$B$19/100)*(1-CHOOSE(ArtifactsInput!$N$40+1,5,6,7,8,9,10)/100)^(ArtifactsInput!$M$40-ArtifactsInput!$M$40)))/100)))*(1+(Inputs!$B$24+((C3379=TRUE)*(F3379-Calc!F31))+((C3366=TRUE)*(F3366-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CRUEL_STAB",Inputs!$B$17+((C3376=TRUE)*(F3376-Calc!F28))+((IF(AND(Inputs!$B$39&lt;&gt;"pvp",Inputs!$B$44=0),1,IF(IF(Inputs!$B$39="pvp",15,Inputs!$B$44)-(B3393)&lt;=0,1,MAX(0,IF(Inputs!$B$39="pvp",15,Inputs!$B$44)-MAX(5,B3393))/(IF(Inputs!$B$39="pvp",15,Inputs!$B$44)-(B3393))))*(IF(AND(ArtifactsInput!$M$42,((Inputs!$B$9+((C3374=TRUE)*(F3374-Calc!F26))+B3382+(ArtifactsInput!$M$24-ArtifactsInput!$M$24)*CHOOSE(ArtifactsInput!$N$24+1,10,12,14,16,18,20)+IF(ArtifactsInput!$M$10,CHOOSE(ArtifactsInput!$N$10+1,15,18,21,24,27,30)*(IF(Inputs!$B$39="pvp",MIN(15,15)/15,IF(AND(Inputs!$B$39&lt;&gt;"pvp",Inputs!$B$44&gt;0),MIN(15,Inputs!$B$44)/(Inputs!$B$44),0))),0)))&gt;=100),MIN(100,((Inputs!$B$9+((C3374=TRUE)*(F3374-Calc!F26))+B3382+(ArtifactsInput!$M$24-ArtifactsInput!$M$24)*CHOOSE(ArtifactsInput!$N$24+1,10,12,14,16,18,20)+IF(ArtifactsInput!$M$10,CHOOSE(ArtifactsInput!$N$10+1,15,18,21,24,27,30)*(IF(Inputs!$B$39="pvp",MIN(15,15)/15,IF(AND(Inputs!$B$39&lt;&gt;"pvp",Inputs!$B$44&gt;0),MIN(15,Inputs!$B$44)/(Inputs!$B$44),0))),0)))-100),0))*CHOOSE(ArtifactsInput!$N$42+1,0.6,0.72,0.84,0.96,1.08,1.2))),Inputs!$B$18+((C3377=TRUE)*(F3377-Calc!F29))+(IF(AND(Inputs!$B$39&lt;&gt;"pvp",Inputs!$B$44=0),1,IF(IF(Inputs!$B$39="pvp",15,Inputs!$B$44)-(B3393)&lt;=0,1,MAX(0,IF(Inputs!$B$39="pvp",15,Inputs!$B$44)-MAX(5,B3393))/(IF(Inputs!$B$39="pvp",15,Inputs!$B$44)-(B3393))))*IF(AND(ArtifactsInput!$M$42,((Inputs!$B$9+((C3374=TRUE)*(F3374-Calc!F26))+B3382+(ArtifactsInput!$M$24-ArtifactsInput!$M$24)*CHOOSE(ArtifactsInput!$N$24+1,10,12,14,16,18,20)+IF(ArtifactsInput!$M$10,CHOOSE(ArtifactsInput!$N$10+1,15,18,21,24,27,30)*(IF(Inputs!$B$39="pvp",MIN(15,15)/15,IF(AND(Inputs!$B$39&lt;&gt;"pvp",Inputs!$B$44&gt;0),MIN(15,Inputs!$B$44)/(Inputs!$B$44),0))),0)))&gt;=100),CHOOSE(ArtifactsInput!$N$42+1,40,48,56,64,72,80),0))))/100)*(((1+(((C3370=TRUE)*F3370*IF(AND(Inputs!$B$39&lt;&gt;"pvp",Inputs!$B$44&gt;0),(((R3370-1)*MIN((Skills!Y22*(1+Inputs!$B$34/100)),(1/Q3370))+MIN((Skills!Y22*(1+Inputs!$B$34/100)),MAX(0,Inputs!$B$44-((R3370-1)*(1/Q3370)))))/Inputs!$B$44),IF(Inputs!$B$39="pvp",MIN((Skills!Y22*(1+Inputs!$B$34/100)),15)/15,MIN(1,(Skills!Y22*(1+Inputs!$B$34/100))/(1/Q3370)))))+((C3351=TRUE)*F3351*3)+((C3353=TRUE)*F3353*(1-EXP(-0.75*B3386*5)))+((C3372=TRUE)*(F3372-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3359=TRUE)*F3359*IF(AND(Inputs!$B$39&lt;&gt;"pvp",Inputs!$B$44&gt;0),(((R3359-1)*MIN((Skills!Y11*(1+Inputs!$B$34/100)),(1/Q3359))+MIN((Skills!Y11*(1+Inputs!$B$34/100)),MAX(0,Inputs!$B$44-((R3359-1)*(1/Q3359)))))/Inputs!$B$44),IF(Inputs!$B$39="pvp",MIN((Skills!Y11*(1+Inputs!$B$34/100)),15)/15,MIN(1,(Skills!Y11*(1+Inputs!$B$34/100))/(1/Q3359)))))/100)*(1+((C3364=TRUE)*F3364*IF(AND(Inputs!$B$39&lt;&gt;"pvp",Inputs!$B$44&gt;0),(((R3364-1)*MIN((Skills!Y16*(1+Inputs!$B$34/100)),(1/Q3364))+MIN((Skills!Y16*(1+Inputs!$B$34/100)),MAX(0,Inputs!$B$44-((R3364-1)*(1/Q3364)))))/Inputs!$B$44),IF(Inputs!$B$39="pvp",MIN((Skills!Y16*(1+Inputs!$B$34/100)),15)/15,MIN(1,(Skills!Y16*(1+Inputs!$B$34/100))/(1/Q3364)))))/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3384*I3350)</f>
        <v/>
      </c>
      <c r="L3350">
        <f>K3350*(MIN(Inputs!$B$22+((C3373=TRUE)*(F3373-Calc!F25)),(Inputs!$B$23+((C3378=TRUE)*(F3378-Calc!F30))+IF(ArtifactsInput!$M$15,CHOOSE(ArtifactsInput!$N$15+1,25,30,35,40,45,50)/100*(Inputs!$B$11-Inputs!$B$11),0)))/100+(Inputs!$B$23+((C3378=TRUE)*(F3378-Calc!F30))+IF(ArtifactsInput!$M$15,CHOOSE(ArtifactsInput!$N$15+1,25,30,35,40,45,50)/100*(Inputs!$B$11-Inputs!$B$11),0))/100)/2</f>
        <v/>
      </c>
      <c r="M3350">
        <f>L3350*(1+(Inputs!$B$10+((C3375=TRUE)*(F3375-Calc!F27))+B3389+(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3350">
        <f>L3350*(1-MIN((Inputs!$B$9+((C3374=TRUE)*(F3374-Calc!F26))+B3382+(ArtifactsInput!$M$24-ArtifactsInput!$M$24)*CHOOSE(ArtifactsInput!$N$24+1,10,12,14,16,18,20)+(IF(AND(Inputs!$B$39&lt;&gt;"pvp",Inputs!$B$44=0),1,IF(IF(Inputs!$B$39="pvp",15,Inputs!$B$44)-(B3393)&lt;=0,1,MAX(0,IF(Inputs!$B$39="pvp",15,Inputs!$B$44)-MAX(5,B3393))/(IF(Inputs!$B$39="pvp",15,Inputs!$B$44)-(B3393))))*IF(AND(ArtifactsInput!$M$42,((Inputs!$B$9+((C3374=TRUE)*(F3374-Calc!F26))+B3382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3350*(MIN((Inputs!$B$9+((C3374=TRUE)*(F3374-Calc!F26))+B3382+(ArtifactsInput!$M$24-ArtifactsInput!$M$24)*CHOOSE(ArtifactsInput!$N$24+1,10,12,14,16,18,20)+(IF(AND(Inputs!$B$39&lt;&gt;"pvp",Inputs!$B$44=0),1,IF(IF(Inputs!$B$39="pvp",15,Inputs!$B$44)-(B3393)&lt;=0,1,MAX(0,IF(Inputs!$B$39="pvp",15,Inputs!$B$44)-MAX(5,B3393))/(IF(Inputs!$B$39="pvp",15,Inputs!$B$44)-(B3393))))*IF(AND(ArtifactsInput!$M$42,((Inputs!$B$9+((C3374=TRUE)*(F3374-Calc!F26))+B3382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3350">
        <f>(1-Summary!$B$11)*T3350+Summary!$B$11*V3350</f>
        <v/>
      </c>
      <c r="P3350">
        <f>IF(B3394=0,0,O3350/B3394)</f>
        <v/>
      </c>
      <c r="Q3350" t="n">
        <v>0</v>
      </c>
      <c r="R3350" t="n">
        <v>0</v>
      </c>
      <c r="S3350">
        <f>IFERROR(O3350/N3350,0)</f>
        <v/>
      </c>
      <c r="T3350">
        <f>IF(C3350,(Skills!G2*N3350*B3388)*IF(Inputs!$B$39="pvp",1,1+(Inputs!$B$20+0+Skills!P2+B3383+(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Hunt"),CHOOSE(ArtifactsInput!$N$35+1,15,18,21,24,27,30)*(1-EXP(-(0.2*B3386)*5)),0)+IF(AND(ArtifactsInput!$M$22,Inputs!$B$4&lt;&gt;"Chapter Hunt"),CHOOSE(ArtifactsInput!$N$22+1,10,12,14,16,18,20)*((0*(((0.15*B3386*5))^0/1)+1*(((0.15*B3386*5))^1/1)+2*(((0.15*B3386*5))^2/2)+3*(((0.15*B3386*5))^3/6)+4*(((0.15*B3386*5))^4/24)+5*(((0.15*B3386*5))^5/120))/((((0.15*B3386*5))^0/1)+(((0.15*B3386*5))^1/1)+(((0.15*B3386*5))^2/2)+(((0.15*B3386*5))^3/6)+(((0.15*B3386*5))^4/24)+(((0.15*B3386*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3350*(1-MIN(100,(Inputs!$B$9+((C3374=TRUE)*(F3374-Calc!F26))+B3382+(ArtifactsInput!$M$24-ArtifactsInput!$M$24)*CHOOSE(ArtifactsInput!$N$24+1,10,12,14,16,18,20)+(IF(AND(Inputs!$B$39&lt;&gt;"pvp",Inputs!$B$44=0),1,IF(IF(Inputs!$B$39="pvp",15,Inputs!$B$44)-(B3393)&lt;=0,1,MAX(0,IF(Inputs!$B$39="pvp",15,Inputs!$B$44)-MAX(5,B3393))/(IF(Inputs!$B$39="pvp",15,Inputs!$B$44)-(B3393))))*IF(AND(ArtifactsInput!$M$42,((Inputs!$B$9+((C3374=TRUE)*(F3374-Calc!F26))+B3382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3350*(MIN(100,(Inputs!$B$9+((C3374=TRUE)*(F3374-Calc!F26))+B3382+(ArtifactsInput!$M$24-ArtifactsInput!$M$24)*CHOOSE(ArtifactsInput!$N$24+1,10,12,14,16,18,20)+(IF(AND(Inputs!$B$39&lt;&gt;"pvp",Inputs!$B$44=0),1,IF(IF(Inputs!$B$39="pvp",15,Inputs!$B$44)-(B3393)&lt;=0,1,MAX(0,IF(Inputs!$B$39="pvp",15,Inputs!$B$44)-MAX(5,B3393))/(IF(Inputs!$B$39="pvp",15,Inputs!$B$44)-(B3393))))*IF(AND(ArtifactsInput!$M$42,((Inputs!$B$9+((C3374=TRUE)*(F3374-Calc!F26))+B3382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3350*(1-MIN(100,(Inputs!$B$9+((C3374=TRUE)*(F3374-Calc!F26))+B3382+(ArtifactsInput!$M$24-ArtifactsInput!$M$24)*CHOOSE(ArtifactsInput!$N$24+1,10,12,14,16,18,20)+(IF(AND(Inputs!$B$39&lt;&gt;"pvp",Inputs!$B$44=0),1,IF(IF(Inputs!$B$39="pvp",15,Inputs!$B$44)-(B3393)&lt;=0,1,MAX(0,IF(Inputs!$B$39="pvp",15,Inputs!$B$44)-MAX(5,B3393))/(IF(Inputs!$B$39="pvp",15,Inputs!$B$44)-(B3393))))*IF(AND(ArtifactsInput!$M$42,((Inputs!$B$9+((C3374=TRUE)*(F3374-Calc!F26))+B3382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3350*(MIN(100,(Inputs!$B$9+((C3374=TRUE)*(F3374-Calc!F26))+B3382+(ArtifactsInput!$M$24-ArtifactsInput!$M$24)*CHOOSE(ArtifactsInput!$N$24+1,10,12,14,16,18,20)+(IF(AND(Inputs!$B$39&lt;&gt;"pvp",Inputs!$B$44=0),1,IF(IF(Inputs!$B$39="pvp",15,Inputs!$B$44)-(B3393)&lt;=0,1,MAX(0,IF(Inputs!$B$39="pvp",15,Inputs!$B$44)-MAX(5,B3393))/(IF(Inputs!$B$39="pvp",15,Inputs!$B$44)-(B3393))))*IF(AND(ArtifactsInput!$M$42,((Inputs!$B$9+((C3374=TRUE)*(F3374-Calc!F26))+B3382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3350">
        <f>MAX(0,(Inputs!$B$3-100)*3)+Inputs!$B$28+Inputs!$B$29</f>
        <v/>
      </c>
      <c r="V3350">
        <f>IF(C3350,(Skills!G2*N3350*B3388)*IF(Inputs!$B$39="pvp",1,(1+(Inputs!$B$21+Skills!Q2+B3383+(IF(ArtifactsInput!$M$33,CHOOSE(ArtifactsInput!$N$33+1,30,36,42,48,54,60),0))+(IF(AND(ArtifactsInput!$M$35,Inputs!$B$4&lt;&gt;"Chapter Hunt"),CHOOSE(ArtifactsInput!$N$35+1,15,18,21,24,27,30)*(1-EXP(-(0.2*B3386)*5)),0)+IF(AND(ArtifactsInput!$M$22,Inputs!$B$4&lt;&gt;"Chapter Hunt"),CHOOSE(ArtifactsInput!$N$22+1,10,12,14,16,18,20)*((0*(((0.15*B3386*5))^0/1)+1*(((0.15*B3386*5))^1/1)+2*(((0.15*B3386*5))^2/2)+3*(((0.15*B3386*5))^3/6)+4*(((0.15*B3386*5))^4/24)+5*(((0.15*B3386*5))^5/120))/((((0.15*B3386*5))^0/1)+(((0.15*B3386*5))^1/1)+(((0.15*B3386*5))^2/2)+(((0.15*B3386*5))^3/6)+(((0.15*B3386*5))^4/24)+(((0.15*B3386*5))^5/120))),0)))/100)*(MIN((6+Inputs!$B$33),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3351">
      <c r="A3351">
        <f>Skills!A3</f>
        <v/>
      </c>
      <c r="B3351">
        <f>Skills!B3</f>
        <v/>
      </c>
      <c r="C3351">
        <f>Inputs!$B$3&gt;=35</f>
        <v/>
      </c>
      <c r="D3351">
        <f>IF(Skills!C3=1,60+Inputs!$B$25+Inputs!$B$29,IF(Skills!C3=2,90+Inputs!$B$26+Inputs!$B$29,IF(Skills!C3=3,120+Inputs!$B$27+Inputs!$B$29,MAX(0,(Inputs!$B$3-100)*3)+Inputs!$B$28+Inputs!$B$29)))</f>
        <v/>
      </c>
      <c r="E3351">
        <f>INDEX(FactorTable!$B$2:$Y$301, MATCH(ROUND(MIN(300,MAX(1,D3351)),0), FactorTable!$A$2:$A$301,0), Skills!M3+1)</f>
        <v/>
      </c>
      <c r="F3351">
        <f>IF(Skills!N3=TRUE,(Skills!L3/10)*(E3351/1000),Skills!L3/10)+Skills!O3</f>
        <v/>
      </c>
      <c r="G3351">
        <f>Skills!G3*IF(Skills!H3&gt;0,IF(Inputs!$B$39="pvp",MIN(Skills!I3,15),Skills!I3)/Skills!H3,1)</f>
        <v/>
      </c>
      <c r="H3351">
        <f>1-(1-Skills!J3/100)^Skills!K3</f>
        <v/>
      </c>
      <c r="I3351" t="inlineStr">
        <is>
          <t>1</t>
        </is>
      </c>
      <c r="J3351" t="inlineStr"/>
      <c r="K3351" t="inlineStr"/>
      <c r="L3351" t="inlineStr"/>
      <c r="M3351" t="inlineStr"/>
      <c r="N3351" t="inlineStr"/>
      <c r="O3351">
        <f>(1-Summary!$B$11)*T3351+Summary!$B$11*V3351</f>
        <v/>
      </c>
      <c r="P3351">
        <f>IF(B3394=0,0,O3351/B3394)</f>
        <v/>
      </c>
      <c r="Q3351" t="n">
        <v>0</v>
      </c>
      <c r="R3351" t="n">
        <v>0</v>
      </c>
      <c r="S3351">
        <f>IFERROR(O3351/N3351,0)</f>
        <v/>
      </c>
      <c r="T3351" t="n">
        <v>0</v>
      </c>
      <c r="U3351">
        <f>INDEX(FactorTable!$B$2:$Y$301, MATCH(ROUND(MIN(300,MAX(1,U3350)),0), FactorTable!$A$2:$A$301,0), 22)</f>
        <v/>
      </c>
      <c r="V3351" t="n">
        <v>0</v>
      </c>
    </row>
    <row r="3352">
      <c r="A3352">
        <f>Skills!A4</f>
        <v/>
      </c>
      <c r="B3352">
        <f>Skills!B4</f>
        <v/>
      </c>
      <c r="C3352">
        <f>Inputs!$B$3&gt;=66</f>
        <v/>
      </c>
      <c r="D3352">
        <f>IF(Skills!C4=1,60+Inputs!$B$25+Inputs!$B$29,IF(Skills!C4=2,90+Inputs!$B$26+Inputs!$B$29,IF(Skills!C4=3,120+Inputs!$B$27+Inputs!$B$29,MAX(0,(Inputs!$B$3-100)*3)+Inputs!$B$28+Inputs!$B$29)))</f>
        <v/>
      </c>
      <c r="E3352">
        <f>INDEX(FactorTable!$B$2:$Y$301, MATCH(ROUND(MIN(300,MAX(1,D3352)),0), FactorTable!$A$2:$A$301,0), Skills!M4+1)</f>
        <v/>
      </c>
      <c r="F3352">
        <f>IF(Skills!N4=TRUE,(Skills!L4/10)*(E3352/1000),Skills!L4/10)+Skills!O4</f>
        <v/>
      </c>
      <c r="G3352">
        <f>Skills!G4*IF(Skills!H4&gt;0,IF(Inputs!$B$39="pvp",MIN(Skills!I4,15),Skills!I4)/Skills!H4,1)</f>
        <v/>
      </c>
      <c r="H3352">
        <f>1-(1-Skills!J4/100)^Skills!K4</f>
        <v/>
      </c>
      <c r="I3352" t="inlineStr">
        <is>
          <t>1</t>
        </is>
      </c>
      <c r="J3352">
        <f>((Inputs!$B$6*(1+Inputs!$B$7/100))+(((Inputs!$B$12*(1+Inputs!$B$13/100))-(Inputs!$B$12*(1+Inputs!$B$13/100)))+0.25*(Inputs!$B$14-Inputs!$B$14))*(1+Inputs!$B$7/100))*(F3352/100)</f>
        <v/>
      </c>
      <c r="K3352">
        <f>J3352*(1+((Inputs!$B$12*(1+Inputs!$B$13/100))*0.01+Inputs!$B$14*0.0025)/100)*(1+Inputs!$B$15/100)*(1+Inputs!$B$16/100)*(5000/(6000+Inputs!$B$43*(1-(100*(1-(1-Inputs!$B$19/100)*(1-CHOOSE(ArtifactsInput!$N$40+1,5,6,7,8,9,10)/100)^(ArtifactsInput!$M$40-ArtifactsInput!$M$40)))/100)))*(1+(Inputs!$B$24+((C3379=TRUE)*(F3379-Calc!F31))+((C3366=TRUE)*(F3366-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4="CRUEL_STAB",Inputs!$B$17+((C3376=TRUE)*(F3376-Calc!F28))+((IF(AND(Inputs!$B$39&lt;&gt;"pvp",Inputs!$B$44=0),1,IF(IF(Inputs!$B$39="pvp",15,Inputs!$B$44)-(B3393)&lt;=0,1,MAX(0,IF(Inputs!$B$39="pvp",15,Inputs!$B$44)-MAX(5,B3393))/(IF(Inputs!$B$39="pvp",15,Inputs!$B$44)-(B3393))))*(IF(AND(ArtifactsInput!$M$42,((Inputs!$B$9+((C3374=TRUE)*(F3374-Calc!F26))+B3382+(ArtifactsInput!$M$24-ArtifactsInput!$M$24)*CHOOSE(ArtifactsInput!$N$24+1,10,12,14,16,18,20)+IF(ArtifactsInput!$M$10,CHOOSE(ArtifactsInput!$N$10+1,15,18,21,24,27,30)*(IF(Inputs!$B$39="pvp",MIN(15,15)/15,IF(AND(Inputs!$B$39&lt;&gt;"pvp",Inputs!$B$44&gt;0),MIN(15,Inputs!$B$44)/(Inputs!$B$44),0))),0)))&gt;=100),MIN(100,((Inputs!$B$9+((C3374=TRUE)*(F3374-Calc!F26))+B3382+(ArtifactsInput!$M$24-ArtifactsInput!$M$24)*CHOOSE(ArtifactsInput!$N$24+1,10,12,14,16,18,20)+IF(ArtifactsInput!$M$10,CHOOSE(ArtifactsInput!$N$10+1,15,18,21,24,27,30)*(IF(Inputs!$B$39="pvp",MIN(15,15)/15,IF(AND(Inputs!$B$39&lt;&gt;"pvp",Inputs!$B$44&gt;0),MIN(15,Inputs!$B$44)/(Inputs!$B$44),0))),0)))-100),0))*CHOOSE(ArtifactsInput!$N$42+1,0.6,0.72,0.84,0.96,1.08,1.2))),Inputs!$B$18+((C3377=TRUE)*(F3377-Calc!F29))+(IF(AND(Inputs!$B$39&lt;&gt;"pvp",Inputs!$B$44=0),1,IF(IF(Inputs!$B$39="pvp",15,Inputs!$B$44)-(B3393)&lt;=0,1,MAX(0,IF(Inputs!$B$39="pvp",15,Inputs!$B$44)-MAX(5,B3393))/(IF(Inputs!$B$39="pvp",15,Inputs!$B$44)-(B3393))))*IF(AND(ArtifactsInput!$M$42,((Inputs!$B$9+((C3374=TRUE)*(F3374-Calc!F26))+B3382+(ArtifactsInput!$M$24-ArtifactsInput!$M$24)*CHOOSE(ArtifactsInput!$N$24+1,10,12,14,16,18,20)+IF(ArtifactsInput!$M$10,CHOOSE(ArtifactsInput!$N$10+1,15,18,21,24,27,30)*(IF(Inputs!$B$39="pvp",MIN(15,15)/15,IF(AND(Inputs!$B$39&lt;&gt;"pvp",Inputs!$B$44&gt;0),MIN(15,Inputs!$B$44)/(Inputs!$B$44),0))),0)))&gt;=100),CHOOSE(ArtifactsInput!$N$42+1,40,48,56,64,72,80),0))))/100)*(((1+(((C3370=TRUE)*F3370*IF(AND(Inputs!$B$39&lt;&gt;"pvp",Inputs!$B$44&gt;0),(((R3370-1)*MIN((Skills!Y22*(1+Inputs!$B$34/100)),(1/Q3370))+MIN((Skills!Y22*(1+Inputs!$B$34/100)),MAX(0,Inputs!$B$44-((R3370-1)*(1/Q3370)))))/Inputs!$B$44),IF(Inputs!$B$39="pvp",MIN((Skills!Y22*(1+Inputs!$B$34/100)),15)/15,MIN(1,(Skills!Y22*(1+Inputs!$B$34/100))/(1/Q3370)))))+((C3351=TRUE)*F3351*3)+((C3353=TRUE)*F3353*(1-EXP(-0.75*B3386*5)))+((C3372=TRUE)*(F3372-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3359=TRUE)*F3359*IF(AND(Inputs!$B$39&lt;&gt;"pvp",Inputs!$B$44&gt;0),(((R3359-1)*MIN((Skills!Y11*(1+Inputs!$B$34/100)),(1/Q3359))+MIN((Skills!Y11*(1+Inputs!$B$34/100)),MAX(0,Inputs!$B$44-((R3359-1)*(1/Q3359)))))/Inputs!$B$44),IF(Inputs!$B$39="pvp",MIN((Skills!Y11*(1+Inputs!$B$34/100)),15)/15,MIN(1,(Skills!Y11*(1+Inputs!$B$34/100))/(1/Q3359)))))/100)*(1+((C3364=TRUE)*F3364*IF(AND(Inputs!$B$39&lt;&gt;"pvp",Inputs!$B$44&gt;0),(((R3364-1)*MIN((Skills!Y16*(1+Inputs!$B$34/100)),(1/Q3364))+MIN((Skills!Y16*(1+Inputs!$B$34/100)),MAX(0,Inputs!$B$44-((R3364-1)*(1/Q3364)))))/Inputs!$B$44),IF(Inputs!$B$39="pvp",MIN((Skills!Y16*(1+Inputs!$B$34/100)),15)/15,MIN(1,(Skills!Y16*(1+Inputs!$B$34/100))/(1/Q3364)))))/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3384*I3352)</f>
        <v/>
      </c>
      <c r="L3352">
        <f>K3352*(MIN(Inputs!$B$22+((C3373=TRUE)*(F3373-Calc!F25)),(Inputs!$B$23+((C3378=TRUE)*(F3378-Calc!F30))+IF(ArtifactsInput!$M$15,CHOOSE(ArtifactsInput!$N$15+1,25,30,35,40,45,50)/100*(Inputs!$B$11-Inputs!$B$11),0)))/100+(Inputs!$B$23+((C3378=TRUE)*(F3378-Calc!F30))+IF(ArtifactsInput!$M$15,CHOOSE(ArtifactsInput!$N$15+1,25,30,35,40,45,50)/100*(Inputs!$B$11-Inputs!$B$11),0))/100)/2</f>
        <v/>
      </c>
      <c r="M3352">
        <f>L3352*(1+(Inputs!$B$10+((C3375=TRUE)*(F3375-Calc!F27))+B3389+(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3352">
        <f>L3352*(1-MIN((Inputs!$B$9+((C3374=TRUE)*(F3374-Calc!F26))+B3382+(ArtifactsInput!$M$24-ArtifactsInput!$M$24)*CHOOSE(ArtifactsInput!$N$24+1,10,12,14,16,18,20)+(IF(AND(Inputs!$B$39&lt;&gt;"pvp",Inputs!$B$44=0),1,IF(IF(Inputs!$B$39="pvp",15,Inputs!$B$44)-(B3393)&lt;=0,1,MAX(0,IF(Inputs!$B$39="pvp",15,Inputs!$B$44)-MAX(5,B3393))/(IF(Inputs!$B$39="pvp",15,Inputs!$B$44)-(B3393))))*IF(AND(ArtifactsInput!$M$42,((Inputs!$B$9+((C3374=TRUE)*(F3374-Calc!F26))+B3382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3352*(MIN((Inputs!$B$9+((C3374=TRUE)*(F3374-Calc!F26))+B3382+(ArtifactsInput!$M$24-ArtifactsInput!$M$24)*CHOOSE(ArtifactsInput!$N$24+1,10,12,14,16,18,20)+(IF(AND(Inputs!$B$39&lt;&gt;"pvp",Inputs!$B$44=0),1,IF(IF(Inputs!$B$39="pvp",15,Inputs!$B$44)-(B3393)&lt;=0,1,MAX(0,IF(Inputs!$B$39="pvp",15,Inputs!$B$44)-MAX(5,B3393))/(IF(Inputs!$B$39="pvp",15,Inputs!$B$44)-(B3393))))*IF(AND(ArtifactsInput!$M$42,((Inputs!$B$9+((C3374=TRUE)*(F3374-Calc!F26))+B3382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3352">
        <f>(1-Summary!$B$11)*T3352+Summary!$B$11*V3352</f>
        <v/>
      </c>
      <c r="P3352">
        <f>IF(B3394=0,0,O3352/B3394)</f>
        <v/>
      </c>
      <c r="Q3352">
        <f>IFERROR(1/IF(Inputs!$B$39="pvp",15,MAX(0.1,Skills!D4-IF(TRUE=TRUE,1.0,0))),0)</f>
        <v/>
      </c>
      <c r="R3352">
        <f>IF(AND(Inputs!$B$39&lt;&gt;"pvp",Inputs!$B$44&gt;0),IF(MAX(0,Inputs!$B$44-B3393)&lt;=0,0,(INT(MAX(0,Inputs!$B$44-B3393)/IF(Inputs!$B$39="pvp",15,MAX(0.1,Skills!D4-IF(TRUE=TRUE,1.0,0))))+1)),0)</f>
        <v/>
      </c>
      <c r="S3352">
        <f>IFERROR(O3352/N3352,0)</f>
        <v/>
      </c>
      <c r="T3352">
        <f>IF(C3352,(H3352*N3352*IF(AND(Inputs!$B$39&lt;&gt;"pvp",Inputs!$B$44&gt;0),((Skills!G4*((R3352-1)*IF(Skills!H4&gt;0,Skills!I4/Skills!H4,1)+IF(Skills!H4&gt;0,MIN(Skills!I4,MAX(0,MAX(0,Inputs!$B$44-B3393)-((R3352-1)*IF(Inputs!$B$39="pvp",15,MAX(0.1,Skills!D4-IF(TRUE=TRUE,1.0,0))))))/Skills!H4,1)))/Inputs!$B$44),G3352*Q3352))*IF(Inputs!$B$39="pvp",1,1+(Inputs!$B$20+0+Skills!P4+B3383+(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Hunt"),CHOOSE(ArtifactsInput!$N$35+1,15,18,21,24,27,30)*(1-EXP(-(0.2*B3386)*5)),0)+IF(AND(ArtifactsInput!$M$22,Inputs!$B$4&lt;&gt;"Chapter Hunt"),CHOOSE(ArtifactsInput!$N$22+1,10,12,14,16,18,20)*((0*(((0.15*B3386*5))^0/1)+1*(((0.15*B3386*5))^1/1)+2*(((0.15*B3386*5))^2/2)+3*(((0.15*B3386*5))^3/6)+4*(((0.15*B3386*5))^4/24)+5*(((0.15*B3386*5))^5/120))/((((0.15*B3386*5))^0/1)+(((0.15*B3386*5))^1/1)+(((0.15*B3386*5))^2/2)+(((0.15*B3386*5))^3/6)+(((0.15*B3386*5))^4/24)+(((0.15*B3386*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3352*(1-MIN(100,(Inputs!$B$9+((C3374=TRUE)*(F3374-Calc!F26))+B3382+(ArtifactsInput!$M$24-ArtifactsInput!$M$24)*CHOOSE(ArtifactsInput!$N$24+1,10,12,14,16,18,20)+(IF(AND(Inputs!$B$39&lt;&gt;"pvp",Inputs!$B$44=0),1,IF(IF(Inputs!$B$39="pvp",15,Inputs!$B$44)-(B3393)&lt;=0,1,MAX(0,IF(Inputs!$B$39="pvp",15,Inputs!$B$44)-MAX(5,B3393))/(IF(Inputs!$B$39="pvp",15,Inputs!$B$44)-(B3393))))*IF(AND(ArtifactsInput!$M$42,((Inputs!$B$9+((C3374=TRUE)*(F3374-Calc!F26))+B3382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3352*(MIN(100,(Inputs!$B$9+((C3374=TRUE)*(F3374-Calc!F26))+B3382+(ArtifactsInput!$M$24-ArtifactsInput!$M$24)*CHOOSE(ArtifactsInput!$N$24+1,10,12,14,16,18,20)+(IF(AND(Inputs!$B$39&lt;&gt;"pvp",Inputs!$B$44=0),1,IF(IF(Inputs!$B$39="pvp",15,Inputs!$B$44)-(B3393)&lt;=0,1,MAX(0,IF(Inputs!$B$39="pvp",15,Inputs!$B$44)-MAX(5,B3393))/(IF(Inputs!$B$39="pvp",15,Inputs!$B$44)-(B3393))))*IF(AND(ArtifactsInput!$M$42,((Inputs!$B$9+((C3374=TRUE)*(F3374-Calc!F26))+B3382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3352*(1-MIN(100,(Inputs!$B$9+((C3374=TRUE)*(F3374-Calc!F26))+B3382+(ArtifactsInput!$M$24-ArtifactsInput!$M$24)*CHOOSE(ArtifactsInput!$N$24+1,10,12,14,16,18,20)+(IF(AND(Inputs!$B$39&lt;&gt;"pvp",Inputs!$B$44=0),1,IF(IF(Inputs!$B$39="pvp",15,Inputs!$B$44)-(B3393)&lt;=0,1,MAX(0,IF(Inputs!$B$39="pvp",15,Inputs!$B$44)-MAX(5,B3393))/(IF(Inputs!$B$39="pvp",15,Inputs!$B$44)-(B3393))))*IF(AND(ArtifactsInput!$M$42,((Inputs!$B$9+((C3374=TRUE)*(F3374-Calc!F26))+B3382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3352*(MIN(100,(Inputs!$B$9+((C3374=TRUE)*(F3374-Calc!F26))+B3382+(ArtifactsInput!$M$24-ArtifactsInput!$M$24)*CHOOSE(ArtifactsInput!$N$24+1,10,12,14,16,18,20)+(IF(AND(Inputs!$B$39&lt;&gt;"pvp",Inputs!$B$44=0),1,IF(IF(Inputs!$B$39="pvp",15,Inputs!$B$44)-(B3393)&lt;=0,1,MAX(0,IF(Inputs!$B$39="pvp",15,Inputs!$B$44)-MAX(5,B3393))/(IF(Inputs!$B$39="pvp",15,Inputs!$B$44)-(B3393))))*IF(AND(ArtifactsInput!$M$42,((Inputs!$B$9+((C3374=TRUE)*(F3374-Calc!F26))+B3382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3352">
        <f>290*U3351/1000</f>
        <v/>
      </c>
      <c r="V3352">
        <f>IF(C3352,(H3352*N3352*IF(AND(Inputs!$B$39&lt;&gt;"pvp",Inputs!$B$44&gt;0),((Skills!G4*((R3352-1)*IF(Skills!H4&gt;0,Skills!I4/Skills!H4,1)+IF(Skills!H4&gt;0,MIN(Skills!I4,MAX(0,MAX(0,Inputs!$B$44-B3393)-((R3352-1)*IF(Inputs!$B$39="pvp",15,MAX(0.1,Skills!D4-IF(TRUE=TRUE,1.0,0))))))/Skills!H4,1)))/Inputs!$B$44),G3352*Q3352))*IF(Inputs!$B$39="pvp",1,(1+(Inputs!$B$21+Skills!Q4+B3383+(IF(ArtifactsInput!$M$33,CHOOSE(ArtifactsInput!$N$33+1,30,36,42,48,54,60),0))+(IF(AND(ArtifactsInput!$M$35,Inputs!$B$4&lt;&gt;"Chapter Hunt"),CHOOSE(ArtifactsInput!$N$35+1,15,18,21,24,27,30)*(1-EXP(-(0.2*B3386)*5)),0)+IF(AND(ArtifactsInput!$M$22,Inputs!$B$4&lt;&gt;"Chapter Hunt"),CHOOSE(ArtifactsInput!$N$22+1,10,12,14,16,18,20)*((0*(((0.15*B3386*5))^0/1)+1*(((0.15*B3386*5))^1/1)+2*(((0.15*B3386*5))^2/2)+3*(((0.15*B3386*5))^3/6)+4*(((0.15*B3386*5))^4/24)+5*(((0.15*B3386*5))^5/120))/((((0.15*B3386*5))^0/1)+(((0.15*B3386*5))^1/1)+(((0.15*B3386*5))^2/2)+(((0.15*B3386*5))^3/6)+(((0.15*B3386*5))^4/24)+(((0.15*B3386*5))^5/120))),0)))/100)*(MIN(MIN(10,IF(Inputs!$B$3&gt;=75,0.75,0.5)*B3386*(1/Q3352)),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3353">
      <c r="A3353">
        <f>Skills!A5</f>
        <v/>
      </c>
      <c r="B3353">
        <f>Skills!B5</f>
        <v/>
      </c>
      <c r="C3353">
        <f>Inputs!$B$3&gt;=75</f>
        <v/>
      </c>
      <c r="D3353">
        <f>IF(Skills!C5=1,60+Inputs!$B$25+Inputs!$B$29,IF(Skills!C5=2,90+Inputs!$B$26+Inputs!$B$29,IF(Skills!C5=3,120+Inputs!$B$27+Inputs!$B$29,MAX(0,(Inputs!$B$3-100)*3)+Inputs!$B$28+Inputs!$B$29)))</f>
        <v/>
      </c>
      <c r="E3353">
        <f>INDEX(FactorTable!$B$2:$Y$301, MATCH(ROUND(MIN(300,MAX(1,D3353)),0), FactorTable!$A$2:$A$301,0), Skills!M5+1)</f>
        <v/>
      </c>
      <c r="F3353">
        <f>IF(Skills!N5=TRUE,(Skills!L5/10)*(E3353/1000),Skills!L5/10)+Skills!O5</f>
        <v/>
      </c>
      <c r="G3353">
        <f>Skills!G5*IF(Skills!H5&gt;0,IF(Inputs!$B$39="pvp",MIN(Skills!I5,15),Skills!I5)/Skills!H5,1)</f>
        <v/>
      </c>
      <c r="H3353">
        <f>1-(1-Skills!J5/100)^Skills!K5</f>
        <v/>
      </c>
      <c r="I3353" t="inlineStr">
        <is>
          <t>1</t>
        </is>
      </c>
      <c r="J3353" t="inlineStr"/>
      <c r="K3353" t="inlineStr"/>
      <c r="L3353" t="inlineStr"/>
      <c r="M3353" t="inlineStr"/>
      <c r="N3353" t="inlineStr"/>
      <c r="O3353">
        <f>(1-Summary!$B$11)*T3353+Summary!$B$11*V3353</f>
        <v/>
      </c>
      <c r="P3353">
        <f>IF(B3394=0,0,O3353/B3394)</f>
        <v/>
      </c>
      <c r="Q3353" t="n">
        <v>0</v>
      </c>
      <c r="R3353" t="n">
        <v>0</v>
      </c>
      <c r="S3353">
        <f>IFERROR(O3353/N3353,0)</f>
        <v/>
      </c>
      <c r="T3353" t="n">
        <v>0</v>
      </c>
      <c r="V3353" t="n">
        <v>0</v>
      </c>
    </row>
    <row r="3354">
      <c r="A3354">
        <f>Skills!A6</f>
        <v/>
      </c>
      <c r="B3354">
        <f>Skills!B6</f>
        <v/>
      </c>
      <c r="C3354">
        <f>Inputs!$B$3&gt;=63</f>
        <v/>
      </c>
      <c r="D3354">
        <f>IF(Skills!C6=1,60+Inputs!$B$25+Inputs!$B$29,IF(Skills!C6=2,90+Inputs!$B$26+Inputs!$B$29,IF(Skills!C6=3,120+Inputs!$B$27+Inputs!$B$29,MAX(0,(Inputs!$B$3-100)*3)+Inputs!$B$28+Inputs!$B$29)))</f>
        <v/>
      </c>
      <c r="E3354">
        <f>INDEX(FactorTable!$B$2:$Y$301, MATCH(ROUND(MIN(300,MAX(1,D3354)),0), FactorTable!$A$2:$A$301,0), Skills!M6+1)</f>
        <v/>
      </c>
      <c r="F3354">
        <f>IF(Skills!N6=TRUE,(Skills!L6/10)*(E3354/1000),Skills!L6/10)+Skills!O6</f>
        <v/>
      </c>
      <c r="G3354">
        <f>Skills!G6*IF(Skills!H6&gt;0,IF(Inputs!$B$39="pvp",MIN(Skills!I6,15),Skills!I6)/Skills!H6,1)</f>
        <v/>
      </c>
      <c r="H3354">
        <f>1-(1-Skills!J6/100)^Skills!K6</f>
        <v/>
      </c>
      <c r="I3354" t="inlineStr">
        <is>
          <t>1</t>
        </is>
      </c>
      <c r="J3354">
        <f>((Inputs!$B$6*(1+Inputs!$B$7/100))+(((Inputs!$B$12*(1+Inputs!$B$13/100))-(Inputs!$B$12*(1+Inputs!$B$13/100)))+0.25*(Inputs!$B$14-Inputs!$B$14))*(1+Inputs!$B$7/100))*(F3354/100)</f>
        <v/>
      </c>
      <c r="K3354">
        <f>J3354*(1+((Inputs!$B$12*(1+Inputs!$B$13/100))*0.01+Inputs!$B$14*0.0025)/100)*(1+Inputs!$B$15/100)*(1+Inputs!$B$16/100)*(5000/(6000+Inputs!$B$43*(1-(100*(1-(1-Inputs!$B$19/100)*(1-CHOOSE(ArtifactsInput!$N$40+1,5,6,7,8,9,10)/100)^(ArtifactsInput!$M$40-ArtifactsInput!$M$40)))/100)))*(1+(Inputs!$B$24+((C3379=TRUE)*(F3379-Calc!F31))+((C3366=TRUE)*(F3366-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+2.6666666666666665*IF(C3367=TRUE,F3367,0)/100)*(1+(IF(Skills!A6="CRUEL_STAB",Inputs!$B$17+((C3376=TRUE)*(F3376-Calc!F28))+((IF(AND(Inputs!$B$39&lt;&gt;"pvp",Inputs!$B$44=0),1,IF(IF(Inputs!$B$39="pvp",15,Inputs!$B$44)-(B3393)&lt;=0,1,MAX(0,IF(Inputs!$B$39="pvp",15,Inputs!$B$44)-MAX(5,B3393))/(IF(Inputs!$B$39="pvp",15,Inputs!$B$44)-(B3393))))*(IF(AND(ArtifactsInput!$M$42,((Inputs!$B$9+((C3374=TRUE)*(F3374-Calc!F26))+B3382+(ArtifactsInput!$M$24-ArtifactsInput!$M$24)*CHOOSE(ArtifactsInput!$N$24+1,10,12,14,16,18,20)+IF(ArtifactsInput!$M$10,CHOOSE(ArtifactsInput!$N$10+1,15,18,21,24,27,30)*(IF(Inputs!$B$39="pvp",MIN(15,15)/15,IF(AND(Inputs!$B$39&lt;&gt;"pvp",Inputs!$B$44&gt;0),MIN(15,Inputs!$B$44)/(Inputs!$B$44),0))),0)))&gt;=100),MIN(100,((Inputs!$B$9+((C3374=TRUE)*(F3374-Calc!F26))+B3382+(ArtifactsInput!$M$24-ArtifactsInput!$M$24)*CHOOSE(ArtifactsInput!$N$24+1,10,12,14,16,18,20)+IF(ArtifactsInput!$M$10,CHOOSE(ArtifactsInput!$N$10+1,15,18,21,24,27,30)*(IF(Inputs!$B$39="pvp",MIN(15,15)/15,IF(AND(Inputs!$B$39&lt;&gt;"pvp",Inputs!$B$44&gt;0),MIN(15,Inputs!$B$44)/(Inputs!$B$44),0))),0)))-100),0))*CHOOSE(ArtifactsInput!$N$42+1,0.6,0.72,0.84,0.96,1.08,1.2))),Inputs!$B$18+((C3377=TRUE)*(F3377-Calc!F29))+(IF(AND(Inputs!$B$39&lt;&gt;"pvp",Inputs!$B$44=0),1,IF(IF(Inputs!$B$39="pvp",15,Inputs!$B$44)-(B3393)&lt;=0,1,MAX(0,IF(Inputs!$B$39="pvp",15,Inputs!$B$44)-MAX(5,B3393))/(IF(Inputs!$B$39="pvp",15,Inputs!$B$44)-(B3393))))*IF(AND(ArtifactsInput!$M$42,((Inputs!$B$9+((C3374=TRUE)*(F3374-Calc!F26))+B3382+(ArtifactsInput!$M$24-ArtifactsInput!$M$24)*CHOOSE(ArtifactsInput!$N$24+1,10,12,14,16,18,20)+IF(ArtifactsInput!$M$10,CHOOSE(ArtifactsInput!$N$10+1,15,18,21,24,27,30)*(IF(Inputs!$B$39="pvp",MIN(15,15)/15,IF(AND(Inputs!$B$39&lt;&gt;"pvp",Inputs!$B$44&gt;0),MIN(15,Inputs!$B$44)/(Inputs!$B$44),0))),0)))&gt;=100),CHOOSE(ArtifactsInput!$N$42+1,40,48,56,64,72,80),0))))/100)*(((1+(((C3370=TRUE)*F3370*IF(AND(Inputs!$B$39&lt;&gt;"pvp",Inputs!$B$44&gt;0),(((R3370-1)*MIN((Skills!Y22*(1+Inputs!$B$34/100)),(1/Q3370))+MIN((Skills!Y22*(1+Inputs!$B$34/100)),MAX(0,Inputs!$B$44-((R3370-1)*(1/Q3370)))))/Inputs!$B$44),IF(Inputs!$B$39="pvp",MIN((Skills!Y22*(1+Inputs!$B$34/100)),15)/15,MIN(1,(Skills!Y22*(1+Inputs!$B$34/100))/(1/Q3370)))))+((C3351=TRUE)*F3351*3)+((C3353=TRUE)*F3353*(1-EXP(-0.75*B3386*5)))+((C3372=TRUE)*(F3372-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3359=TRUE)*F3359*IF(AND(Inputs!$B$39&lt;&gt;"pvp",Inputs!$B$44&gt;0),(((R3359-1)*MIN((Skills!Y11*(1+Inputs!$B$34/100)),(1/Q3359))+MIN((Skills!Y11*(1+Inputs!$B$34/100)),MAX(0,Inputs!$B$44-((R3359-1)*(1/Q3359)))))/Inputs!$B$44),IF(Inputs!$B$39="pvp",MIN((Skills!Y11*(1+Inputs!$B$34/100)),15)/15,MIN(1,(Skills!Y11*(1+Inputs!$B$34/100))/(1/Q3359)))))/100)*(1+((C3364=TRUE)*F3364*IF(AND(Inputs!$B$39&lt;&gt;"pvp",Inputs!$B$44&gt;0),(((R3364-1)*MIN((Skills!Y16*(1+Inputs!$B$34/100)),(1/Q3364))+MIN((Skills!Y16*(1+Inputs!$B$34/100)),MAX(0,Inputs!$B$44-((R3364-1)*(1/Q3364)))))/Inputs!$B$44),IF(Inputs!$B$39="pvp",MIN((Skills!Y16*(1+Inputs!$B$34/100)),15)/15,MIN(1,(Skills!Y16*(1+Inputs!$B$34/100))/(1/Q3364)))))/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3384*I3354)</f>
        <v/>
      </c>
      <c r="L3354">
        <f>K3354*(MIN(Inputs!$B$22+((C3373=TRUE)*(F3373-Calc!F25)),(Inputs!$B$23+((C3378=TRUE)*(F3378-Calc!F30))+IF(ArtifactsInput!$M$15,CHOOSE(ArtifactsInput!$N$15+1,25,30,35,40,45,50)/100*(Inputs!$B$11-Inputs!$B$11),0)))/100+(Inputs!$B$23+((C3378=TRUE)*(F3378-Calc!F30))+IF(ArtifactsInput!$M$15,CHOOSE(ArtifactsInput!$N$15+1,25,30,35,40,45,50)/100*(Inputs!$B$11-Inputs!$B$11),0))/100)/2</f>
        <v/>
      </c>
      <c r="M3354">
        <f>L3354*(1+(Inputs!$B$10+((C3375=TRUE)*(F3375-Calc!F27))+B3389+(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3354">
        <f>L3354*(1-MIN((Inputs!$B$9+((C3374=TRUE)*(F3374-Calc!F26))+B3382+(ArtifactsInput!$M$24-ArtifactsInput!$M$24)*CHOOSE(ArtifactsInput!$N$24+1,10,12,14,16,18,20)+(IF(AND(Inputs!$B$39&lt;&gt;"pvp",Inputs!$B$44=0),1,IF(IF(Inputs!$B$39="pvp",15,Inputs!$B$44)-(B3393)&lt;=0,1,MAX(0,IF(Inputs!$B$39="pvp",15,Inputs!$B$44)-MAX(5,B3393))/(IF(Inputs!$B$39="pvp",15,Inputs!$B$44)-(B3393))))*IF(AND(ArtifactsInput!$M$42,((Inputs!$B$9+((C3374=TRUE)*(F3374-Calc!F26))+B3382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3354*(MIN((Inputs!$B$9+((C3374=TRUE)*(F3374-Calc!F26))+B3382+(ArtifactsInput!$M$24-ArtifactsInput!$M$24)*CHOOSE(ArtifactsInput!$N$24+1,10,12,14,16,18,20)+(IF(AND(Inputs!$B$39&lt;&gt;"pvp",Inputs!$B$44=0),1,IF(IF(Inputs!$B$39="pvp",15,Inputs!$B$44)-(B3393)&lt;=0,1,MAX(0,IF(Inputs!$B$39="pvp",15,Inputs!$B$44)-MAX(5,B3393))/(IF(Inputs!$B$39="pvp",15,Inputs!$B$44)-(B3393))))*IF(AND(ArtifactsInput!$M$42,((Inputs!$B$9+((C3374=TRUE)*(F3374-Calc!F26))+B3382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3354">
        <f>(1-Summary!$B$11)*T3354+Summary!$B$11*V3354</f>
        <v/>
      </c>
      <c r="P3354">
        <f>IF(B3394=0,0,O3354/B3394)</f>
        <v/>
      </c>
      <c r="Q3354">
        <f>IFERROR(1/IF(Inputs!$B$39="pvp",15,MAX(0.1,Skills!D6-IF(TRUE=TRUE,1.0,0))),0)</f>
        <v/>
      </c>
      <c r="R3354">
        <f>IF(AND(Inputs!$B$39&lt;&gt;"pvp",Inputs!$B$44&gt;0),IF(MAX(0,Inputs!$B$44-B3393)&lt;=0,0,(INT(MAX(0,Inputs!$B$44-B3393)/IF(Inputs!$B$39="pvp",15,MAX(0.1,Skills!D6-IF(TRUE=TRUE,1.0,0))))+1)),0)</f>
        <v/>
      </c>
      <c r="S3354">
        <f>IFERROR(O3354/N3354,0)</f>
        <v/>
      </c>
      <c r="T3354">
        <f>IF(C3354,(H3354*N3354*IF(AND(Inputs!$B$39&lt;&gt;"pvp",Inputs!$B$44&gt;0),((Skills!G6*((R3354-1)*IF(Skills!H6&gt;0,Skills!I6/Skills!H6,1)+IF(Skills!H6&gt;0,MIN(Skills!I6,MAX(0,MAX(0,Inputs!$B$44-B3393)-((R3354-1)*IF(Inputs!$B$39="pvp",15,MAX(0.1,Skills!D6-IF(TRUE=TRUE,1.0,0))))))/Skills!H6,1)))/Inputs!$B$44),G3354*Q3354))*IF(Inputs!$B$39="pvp",1,1+(Inputs!$B$20+0+Skills!P6+B3383+(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Hunt"),CHOOSE(ArtifactsInput!$N$35+1,15,18,21,24,27,30)*(1-EXP(-(0.2*B3386)*5)),0)+IF(AND(ArtifactsInput!$M$22,Inputs!$B$4&lt;&gt;"Chapter Hunt"),CHOOSE(ArtifactsInput!$N$22+1,10,12,14,16,18,20)*((0*(((0.15*B3386*5))^0/1)+1*(((0.15*B3386*5))^1/1)+2*(((0.15*B3386*5))^2/2)+3*(((0.15*B3386*5))^3/6)+4*(((0.15*B3386*5))^4/24)+5*(((0.15*B3386*5))^5/120))/((((0.15*B3386*5))^0/1)+(((0.15*B3386*5))^1/1)+(((0.15*B3386*5))^2/2)+(((0.15*B3386*5))^3/6)+(((0.15*B3386*5))^4/24)+(((0.15*B3386*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3354*(1-MIN(100,(Inputs!$B$9+((C3374=TRUE)*(F3374-Calc!F26))+B3382+(ArtifactsInput!$M$24-ArtifactsInput!$M$24)*CHOOSE(ArtifactsInput!$N$24+1,10,12,14,16,18,20)+(IF(AND(Inputs!$B$39&lt;&gt;"pvp",Inputs!$B$44=0),1,IF(IF(Inputs!$B$39="pvp",15,Inputs!$B$44)-(B3393)&lt;=0,1,MAX(0,IF(Inputs!$B$39="pvp",15,Inputs!$B$44)-MAX(5,B3393))/(IF(Inputs!$B$39="pvp",15,Inputs!$B$44)-(B3393))))*IF(AND(ArtifactsInput!$M$42,((Inputs!$B$9+((C3374=TRUE)*(F3374-Calc!F26))+B3382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3354*(MIN(100,(Inputs!$B$9+((C3374=TRUE)*(F3374-Calc!F26))+B3382+(ArtifactsInput!$M$24-ArtifactsInput!$M$24)*CHOOSE(ArtifactsInput!$N$24+1,10,12,14,16,18,20)+(IF(AND(Inputs!$B$39&lt;&gt;"pvp",Inputs!$B$44=0),1,IF(IF(Inputs!$B$39="pvp",15,Inputs!$B$44)-(B3393)&lt;=0,1,MAX(0,IF(Inputs!$B$39="pvp",15,Inputs!$B$44)-MAX(5,B3393))/(IF(Inputs!$B$39="pvp",15,Inputs!$B$44)-(B3393))))*IF(AND(ArtifactsInput!$M$42,((Inputs!$B$9+((C3374=TRUE)*(F3374-Calc!F26))+B3382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3354*(1-MIN(100,(Inputs!$B$9+((C3374=TRUE)*(F3374-Calc!F26))+B3382+(ArtifactsInput!$M$24-ArtifactsInput!$M$24)*CHOOSE(ArtifactsInput!$N$24+1,10,12,14,16,18,20)+(IF(AND(Inputs!$B$39&lt;&gt;"pvp",Inputs!$B$44=0),1,IF(IF(Inputs!$B$39="pvp",15,Inputs!$B$44)-(B3393)&lt;=0,1,MAX(0,IF(Inputs!$B$39="pvp",15,Inputs!$B$44)-MAX(5,B3393))/(IF(Inputs!$B$39="pvp",15,Inputs!$B$44)-(B3393))))*IF(AND(ArtifactsInput!$M$42,((Inputs!$B$9+((C3374=TRUE)*(F3374-Calc!F26))+B3382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3354*(MIN(100,(Inputs!$B$9+((C3374=TRUE)*(F3374-Calc!F26))+B3382+(ArtifactsInput!$M$24-ArtifactsInput!$M$24)*CHOOSE(ArtifactsInput!$N$24+1,10,12,14,16,18,20)+(IF(AND(Inputs!$B$39&lt;&gt;"pvp",Inputs!$B$44=0),1,IF(IF(Inputs!$B$39="pvp",15,Inputs!$B$44)-(B3393)&lt;=0,1,MAX(0,IF(Inputs!$B$39="pvp",15,Inputs!$B$44)-MAX(5,B3393))/(IF(Inputs!$B$39="pvp",15,Inputs!$B$44)-(B3393))))*IF(AND(ArtifactsInput!$M$42,((Inputs!$B$9+((C3374=TRUE)*(F3374-Calc!F26))+B3382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3354">
        <f>IF(C3354,(H3354*N3354*IF(AND(Inputs!$B$39&lt;&gt;"pvp",Inputs!$B$44&gt;0),((Skills!G6*((R3354-1)*IF(Skills!H6&gt;0,Skills!I6/Skills!H6,1)+IF(Skills!H6&gt;0,MIN(Skills!I6,MAX(0,MAX(0,Inputs!$B$44-B3393)-((R3354-1)*IF(Inputs!$B$39="pvp",15,MAX(0.1,Skills!D6-IF(TRUE=TRUE,1.0,0))))))/Skills!H6,1)))/Inputs!$B$44),G3354*Q3354))*IF(Inputs!$B$39="pvp",1,(1+(Inputs!$B$21+Skills!Q6+B3383+(IF(ArtifactsInput!$M$33,CHOOSE(ArtifactsInput!$N$33+1,30,36,42,48,54,60),0))+(IF(AND(ArtifactsInput!$M$35,Inputs!$B$4&lt;&gt;"Chapter Hunt"),CHOOSE(ArtifactsInput!$N$35+1,15,18,21,24,27,30)*(1-EXP(-(0.2*B3386)*5)),0)+IF(AND(ArtifactsInput!$M$22,Inputs!$B$4&lt;&gt;"Chapter Hunt"),CHOOSE(ArtifactsInput!$N$22+1,10,12,14,16,18,20)*((0*(((0.15*B3386*5))^0/1)+1*(((0.15*B3386*5))^1/1)+2*(((0.15*B3386*5))^2/2)+3*(((0.15*B3386*5))^3/6)+4*(((0.15*B3386*5))^4/24)+5*(((0.15*B3386*5))^5/120))/((((0.15*B3386*5))^0/1)+(((0.15*B3386*5))^1/1)+(((0.15*B3386*5))^2/2)+(((0.15*B3386*5))^3/6)+(((0.15*B3386*5))^4/24)+(((0.15*B3386*5))^5/120))),0)))/100)*(MIN(Skills!W6,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3355">
      <c r="A3355">
        <f>Skills!A7</f>
        <v/>
      </c>
      <c r="B3355">
        <f>Skills!B7</f>
        <v/>
      </c>
      <c r="C3355">
        <f>Inputs!$B$3&gt;=69</f>
        <v/>
      </c>
      <c r="D3355">
        <f>IF(Skills!C7=1,60+Inputs!$B$25+Inputs!$B$29,IF(Skills!C7=2,90+Inputs!$B$26+Inputs!$B$29,IF(Skills!C7=3,120+Inputs!$B$27+Inputs!$B$29,MAX(0,(Inputs!$B$3-100)*3)+Inputs!$B$28+Inputs!$B$29)))</f>
        <v/>
      </c>
      <c r="E3355">
        <f>INDEX(FactorTable!$B$2:$Y$301, MATCH(ROUND(MIN(300,MAX(1,D3355)),0), FactorTable!$A$2:$A$301,0), Skills!M7+1)</f>
        <v/>
      </c>
      <c r="F3355">
        <f>IF(Skills!N7=TRUE,(Skills!L7/10)*(E3355/1000),Skills!L7/10)+Skills!O7</f>
        <v/>
      </c>
      <c r="G3355">
        <f>Skills!G7*IF(Skills!H7&gt;0,IF(Inputs!$B$39="pvp",MIN(Skills!I7,15),Skills!I7)/Skills!H7,1)</f>
        <v/>
      </c>
      <c r="H3355">
        <f>1-(1-Skills!J7/100)^Skills!K7</f>
        <v/>
      </c>
      <c r="I3355" t="inlineStr">
        <is>
          <t>1</t>
        </is>
      </c>
      <c r="J3355">
        <f>((Inputs!$B$6*(1+Inputs!$B$7/100))+(((Inputs!$B$12*(1+Inputs!$B$13/100))-(Inputs!$B$12*(1+Inputs!$B$13/100)))+0.25*(Inputs!$B$14-Inputs!$B$14))*(1+Inputs!$B$7/100))*(F3355/100)</f>
        <v/>
      </c>
      <c r="K3355">
        <f>J3355*(1+((Inputs!$B$12*(1+Inputs!$B$13/100))*0.01+Inputs!$B$14*0.0025)/100)*(1+Inputs!$B$15/100)*(1+Inputs!$B$16/100)*(5000/(6000+Inputs!$B$43*(1-(100*(1-(1-Inputs!$B$19/100)*(1-CHOOSE(ArtifactsInput!$N$40+1,5,6,7,8,9,10)/100)^(ArtifactsInput!$M$40-ArtifactsInput!$M$40)))/100)))*(1+(Inputs!$B$24+((C3379=TRUE)*(F3379-Calc!F31))+((C3366=TRUE)*(F3366-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3367=TRUE,F3367,0)/100)*(1+(IF(Skills!A7="CRUEL_STAB",Inputs!$B$17+((C3376=TRUE)*(F3376-Calc!F28))+((IF(AND(Inputs!$B$39&lt;&gt;"pvp",Inputs!$B$44=0),1,IF(IF(Inputs!$B$39="pvp",15,Inputs!$B$44)-(B3393)&lt;=0,1,MAX(0,IF(Inputs!$B$39="pvp",15,Inputs!$B$44)-MAX(5,B3393))/(IF(Inputs!$B$39="pvp",15,Inputs!$B$44)-(B3393))))*(IF(AND(ArtifactsInput!$M$42,((Inputs!$B$9+((C3374=TRUE)*(F3374-Calc!F26))+B3382+(ArtifactsInput!$M$24-ArtifactsInput!$M$24)*CHOOSE(ArtifactsInput!$N$24+1,10,12,14,16,18,20)+IF(ArtifactsInput!$M$10,CHOOSE(ArtifactsInput!$N$10+1,15,18,21,24,27,30)*(IF(Inputs!$B$39="pvp",MIN(15,15)/15,IF(AND(Inputs!$B$39&lt;&gt;"pvp",Inputs!$B$44&gt;0),MIN(15,Inputs!$B$44)/(Inputs!$B$44),0))),0)))&gt;=100),MIN(100,((Inputs!$B$9+((C3374=TRUE)*(F3374-Calc!F26))+B3382+(ArtifactsInput!$M$24-ArtifactsInput!$M$24)*CHOOSE(ArtifactsInput!$N$24+1,10,12,14,16,18,20)+IF(ArtifactsInput!$M$10,CHOOSE(ArtifactsInput!$N$10+1,15,18,21,24,27,30)*(IF(Inputs!$B$39="pvp",MIN(15,15)/15,IF(AND(Inputs!$B$39&lt;&gt;"pvp",Inputs!$B$44&gt;0),MIN(15,Inputs!$B$44)/(Inputs!$B$44),0))),0)))-100),0))*CHOOSE(ArtifactsInput!$N$42+1,0.6,0.72,0.84,0.96,1.08,1.2))),Inputs!$B$18+((C3377=TRUE)*(F3377-Calc!F29))+(IF(AND(Inputs!$B$39&lt;&gt;"pvp",Inputs!$B$44=0),1,IF(IF(Inputs!$B$39="pvp",15,Inputs!$B$44)-(B3393)&lt;=0,1,MAX(0,IF(Inputs!$B$39="pvp",15,Inputs!$B$44)-MAX(5,B3393))/(IF(Inputs!$B$39="pvp",15,Inputs!$B$44)-(B3393))))*IF(AND(ArtifactsInput!$M$42,((Inputs!$B$9+((C3374=TRUE)*(F3374-Calc!F26))+B3382+(ArtifactsInput!$M$24-ArtifactsInput!$M$24)*CHOOSE(ArtifactsInput!$N$24+1,10,12,14,16,18,20)+IF(ArtifactsInput!$M$10,CHOOSE(ArtifactsInput!$N$10+1,15,18,21,24,27,30)*(IF(Inputs!$B$39="pvp",MIN(15,15)/15,IF(AND(Inputs!$B$39&lt;&gt;"pvp",Inputs!$B$44&gt;0),MIN(15,Inputs!$B$44)/(Inputs!$B$44),0))),0)))&gt;=100),CHOOSE(ArtifactsInput!$N$42+1,40,48,56,64,72,80),0))))/100)*(((1+(((C3370=TRUE)*F3370*IF(AND(Inputs!$B$39&lt;&gt;"pvp",Inputs!$B$44&gt;0),(((R3370-1)*MIN((Skills!Y22*(1+Inputs!$B$34/100)),(1/Q3370))+MIN((Skills!Y22*(1+Inputs!$B$34/100)),MAX(0,Inputs!$B$44-((R3370-1)*(1/Q3370)))))/Inputs!$B$44),IF(Inputs!$B$39="pvp",MIN((Skills!Y22*(1+Inputs!$B$34/100)),15)/15,MIN(1,(Skills!Y22*(1+Inputs!$B$34/100))/(1/Q3370)))))+((C3351=TRUE)*F3351*3)+((C3353=TRUE)*F3353*(1-EXP(-0.75*B3386*5)))+((C3372=TRUE)*(F3372-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3359=TRUE)*F3359*IF(AND(Inputs!$B$39&lt;&gt;"pvp",Inputs!$B$44&gt;0),(((R3359-1)*MIN((Skills!Y11*(1+Inputs!$B$34/100)),(1/Q3359))+MIN((Skills!Y11*(1+Inputs!$B$34/100)),MAX(0,Inputs!$B$44-((R3359-1)*(1/Q3359)))))/Inputs!$B$44),IF(Inputs!$B$39="pvp",MIN((Skills!Y11*(1+Inputs!$B$34/100)),15)/15,MIN(1,(Skills!Y11*(1+Inputs!$B$34/100))/(1/Q3359)))))/100)*(1+((C3364=TRUE)*F3364*IF(AND(Inputs!$B$39&lt;&gt;"pvp",Inputs!$B$44&gt;0),(((R3364-1)*MIN((Skills!Y16*(1+Inputs!$B$34/100)),(1/Q3364))+MIN((Skills!Y16*(1+Inputs!$B$34/100)),MAX(0,Inputs!$B$44-((R3364-1)*(1/Q3364)))))/Inputs!$B$44),IF(Inputs!$B$39="pvp",MIN((Skills!Y16*(1+Inputs!$B$34/100)),15)/15,MIN(1,(Skills!Y16*(1+Inputs!$B$34/100))/(1/Q3364)))))/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3384*I3355)</f>
        <v/>
      </c>
      <c r="L3355">
        <f>K3355*(MIN(Inputs!$B$22+((C3373=TRUE)*(F3373-Calc!F25)),(Inputs!$B$23+((C3378=TRUE)*(F3378-Calc!F30))+IF(ArtifactsInput!$M$15,CHOOSE(ArtifactsInput!$N$15+1,25,30,35,40,45,50)/100*(Inputs!$B$11-Inputs!$B$11),0)))/100+(Inputs!$B$23+((C3378=TRUE)*(F3378-Calc!F30))+IF(ArtifactsInput!$M$15,CHOOSE(ArtifactsInput!$N$15+1,25,30,35,40,45,50)/100*(Inputs!$B$11-Inputs!$B$11),0))/100)/2</f>
        <v/>
      </c>
      <c r="M3355">
        <f>L3355*(1+(Inputs!$B$10+((C3375=TRUE)*(F3375-Calc!F27))+B3389+(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3355">
        <f>L3355*(1-MIN((Inputs!$B$9+((C3374=TRUE)*(F3374-Calc!F26))+B3382+(ArtifactsInput!$M$24-ArtifactsInput!$M$24)*CHOOSE(ArtifactsInput!$N$24+1,10,12,14,16,18,20)+(IF(AND(Inputs!$B$39&lt;&gt;"pvp",Inputs!$B$44=0),1,IF(IF(Inputs!$B$39="pvp",15,Inputs!$B$44)-(B3393)&lt;=0,1,MAX(0,IF(Inputs!$B$39="pvp",15,Inputs!$B$44)-MAX(5,B3393))/(IF(Inputs!$B$39="pvp",15,Inputs!$B$44)-(B3393))))*IF(AND(ArtifactsInput!$M$42,((Inputs!$B$9+((C3374=TRUE)*(F3374-Calc!F26))+B3382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3355*(MIN((Inputs!$B$9+((C3374=TRUE)*(F3374-Calc!F26))+B3382+(ArtifactsInput!$M$24-ArtifactsInput!$M$24)*CHOOSE(ArtifactsInput!$N$24+1,10,12,14,16,18,20)+(IF(AND(Inputs!$B$39&lt;&gt;"pvp",Inputs!$B$44=0),1,IF(IF(Inputs!$B$39="pvp",15,Inputs!$B$44)-(B3393)&lt;=0,1,MAX(0,IF(Inputs!$B$39="pvp",15,Inputs!$B$44)-MAX(5,B3393))/(IF(Inputs!$B$39="pvp",15,Inputs!$B$44)-(B3393))))*IF(AND(ArtifactsInput!$M$42,((Inputs!$B$9+((C3374=TRUE)*(F3374-Calc!F26))+B3382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3355">
        <f>(1-Summary!$B$11)*T3355+Summary!$B$11*V3355</f>
        <v/>
      </c>
      <c r="P3355">
        <f>IF(B3394=0,0,O3355/B3394)</f>
        <v/>
      </c>
      <c r="Q3355">
        <f>IFERROR(1/IF(Inputs!$B$39="pvp",15,MAX(0.1,Skills!D7-IF(TRUE=TRUE,1.0,0))),0)</f>
        <v/>
      </c>
      <c r="R3355">
        <f>IF(AND(Inputs!$B$39&lt;&gt;"pvp",Inputs!$B$44&gt;0),IF(MAX(0,Inputs!$B$44-B3393)&lt;=0,0,(INT(MAX(0,Inputs!$B$44-B3393)/IF(Inputs!$B$39="pvp",15,MAX(0.1,Skills!D7-IF(TRUE=TRUE,1.0,0))))+1)),0)</f>
        <v/>
      </c>
      <c r="S3355">
        <f>IFERROR(O3355/N3355,0)</f>
        <v/>
      </c>
      <c r="T3355">
        <f>IF(C3355,(H3355*N3355*IF(AND(Inputs!$B$39&lt;&gt;"pvp",Inputs!$B$44&gt;0),((Skills!G7*((R3355-1)*IF(Skills!H7&gt;0,Skills!I7/Skills!H7,1)+IF(Skills!H7&gt;0,MIN(Skills!I7,MAX(0,MAX(0,Inputs!$B$44-B3393)-((R3355-1)*IF(Inputs!$B$39="pvp",15,MAX(0.1,Skills!D7-IF(TRUE=TRUE,1.0,0))))))/Skills!H7,1)))/Inputs!$B$44),G3355*Q3355))*IF(Inputs!$B$39="pvp",1,1+(Inputs!$B$20+0+Skills!P7+B3383+(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Hunt"),CHOOSE(ArtifactsInput!$N$35+1,15,18,21,24,27,30)*(1-EXP(-(0.2*B3386)*5)),0)+IF(AND(ArtifactsInput!$M$22,Inputs!$B$4&lt;&gt;"Chapter Hunt"),CHOOSE(ArtifactsInput!$N$22+1,10,12,14,16,18,20)*((0*(((0.15*B3386*5))^0/1)+1*(((0.15*B3386*5))^1/1)+2*(((0.15*B3386*5))^2/2)+3*(((0.15*B3386*5))^3/6)+4*(((0.15*B3386*5))^4/24)+5*(((0.15*B3386*5))^5/120))/((((0.15*B3386*5))^0/1)+(((0.15*B3386*5))^1/1)+(((0.15*B3386*5))^2/2)+(((0.15*B3386*5))^3/6)+(((0.15*B3386*5))^4/24)+(((0.15*B3386*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3355*(1-MIN(100,(Inputs!$B$9+((C3374=TRUE)*(F3374-Calc!F26))+B3382+(ArtifactsInput!$M$24-ArtifactsInput!$M$24)*CHOOSE(ArtifactsInput!$N$24+1,10,12,14,16,18,20)+(IF(AND(Inputs!$B$39&lt;&gt;"pvp",Inputs!$B$44=0),1,IF(IF(Inputs!$B$39="pvp",15,Inputs!$B$44)-(B3393)&lt;=0,1,MAX(0,IF(Inputs!$B$39="pvp",15,Inputs!$B$44)-MAX(5,B3393))/(IF(Inputs!$B$39="pvp",15,Inputs!$B$44)-(B3393))))*IF(AND(ArtifactsInput!$M$42,((Inputs!$B$9+((C3374=TRUE)*(F3374-Calc!F26))+B3382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3355*(MIN(100,(Inputs!$B$9+((C3374=TRUE)*(F3374-Calc!F26))+B3382+(ArtifactsInput!$M$24-ArtifactsInput!$M$24)*CHOOSE(ArtifactsInput!$N$24+1,10,12,14,16,18,20)+(IF(AND(Inputs!$B$39&lt;&gt;"pvp",Inputs!$B$44=0),1,IF(IF(Inputs!$B$39="pvp",15,Inputs!$B$44)-(B3393)&lt;=0,1,MAX(0,IF(Inputs!$B$39="pvp",15,Inputs!$B$44)-MAX(5,B3393))/(IF(Inputs!$B$39="pvp",15,Inputs!$B$44)-(B3393))))*IF(AND(ArtifactsInput!$M$42,((Inputs!$B$9+((C3374=TRUE)*(F3374-Calc!F26))+B3382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3355*(1-MIN(100,(Inputs!$B$9+((C3374=TRUE)*(F3374-Calc!F26))+B3382+(ArtifactsInput!$M$24-ArtifactsInput!$M$24)*CHOOSE(ArtifactsInput!$N$24+1,10,12,14,16,18,20)+(IF(AND(Inputs!$B$39&lt;&gt;"pvp",Inputs!$B$44=0),1,IF(IF(Inputs!$B$39="pvp",15,Inputs!$B$44)-(B3393)&lt;=0,1,MAX(0,IF(Inputs!$B$39="pvp",15,Inputs!$B$44)-MAX(5,B3393))/(IF(Inputs!$B$39="pvp",15,Inputs!$B$44)-(B3393))))*IF(AND(ArtifactsInput!$M$42,((Inputs!$B$9+((C3374=TRUE)*(F3374-Calc!F26))+B3382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3355*(MIN(100,(Inputs!$B$9+((C3374=TRUE)*(F3374-Calc!F26))+B3382+(ArtifactsInput!$M$24-ArtifactsInput!$M$24)*CHOOSE(ArtifactsInput!$N$24+1,10,12,14,16,18,20)+(IF(AND(Inputs!$B$39&lt;&gt;"pvp",Inputs!$B$44=0),1,IF(IF(Inputs!$B$39="pvp",15,Inputs!$B$44)-(B3393)&lt;=0,1,MAX(0,IF(Inputs!$B$39="pvp",15,Inputs!$B$44)-MAX(5,B3393))/(IF(Inputs!$B$39="pvp",15,Inputs!$B$44)-(B3393))))*IF(AND(ArtifactsInput!$M$42,((Inputs!$B$9+((C3374=TRUE)*(F3374-Calc!F26))+B3382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3355">
        <f>IF(C3355,(H3355*N3355*IF(AND(Inputs!$B$39&lt;&gt;"pvp",Inputs!$B$44&gt;0),((Skills!G7*((R3355-1)*IF(Skills!H7&gt;0,Skills!I7/Skills!H7,1)+IF(Skills!H7&gt;0,MIN(Skills!I7,MAX(0,MAX(0,Inputs!$B$44-B3393)-((R3355-1)*IF(Inputs!$B$39="pvp",15,MAX(0.1,Skills!D7-IF(TRUE=TRUE,1.0,0))))))/Skills!H7,1)))/Inputs!$B$44),G3355*Q3355))*IF(Inputs!$B$39="pvp",1,(1+(Inputs!$B$21+Skills!Q7+B3383+(IF(ArtifactsInput!$M$33,CHOOSE(ArtifactsInput!$N$33+1,30,36,42,48,54,60),0))+(IF(AND(ArtifactsInput!$M$35,Inputs!$B$4&lt;&gt;"Chapter Hunt"),CHOOSE(ArtifactsInput!$N$35+1,15,18,21,24,27,30)*(1-EXP(-(0.2*B3386)*5)),0)+IF(AND(ArtifactsInput!$M$22,Inputs!$B$4&lt;&gt;"Chapter Hunt"),CHOOSE(ArtifactsInput!$N$22+1,10,12,14,16,18,20)*((0*(((0.15*B3386*5))^0/1)+1*(((0.15*B3386*5))^1/1)+2*(((0.15*B3386*5))^2/2)+3*(((0.15*B3386*5))^3/6)+4*(((0.15*B3386*5))^4/24)+5*(((0.15*B3386*5))^5/120))/((((0.15*B3386*5))^0/1)+(((0.15*B3386*5))^1/1)+(((0.15*B3386*5))^2/2)+(((0.15*B3386*5))^3/6)+(((0.15*B3386*5))^4/24)+(((0.15*B3386*5))^5/120))),0)))/100)*(MIN(Skills!W7,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3356">
      <c r="A3356">
        <f>Skills!A8</f>
        <v/>
      </c>
      <c r="B3356">
        <f>Skills!B8</f>
        <v/>
      </c>
      <c r="C3356">
        <f>Inputs!$B$3&gt;=60</f>
        <v/>
      </c>
      <c r="D3356">
        <f>IF(Skills!C8=1,60+Inputs!$B$25+Inputs!$B$29,IF(Skills!C8=2,90+Inputs!$B$26+Inputs!$B$29,IF(Skills!C8=3,120+Inputs!$B$27+Inputs!$B$29,MAX(0,(Inputs!$B$3-100)*3)+Inputs!$B$28+Inputs!$B$29)))</f>
        <v/>
      </c>
      <c r="E3356">
        <f>INDEX(FactorTable!$B$2:$Y$301, MATCH(ROUND(MIN(300,MAX(1,D3356)),0), FactorTable!$A$2:$A$301,0), Skills!M8+1)</f>
        <v/>
      </c>
      <c r="F3356">
        <f>IF(Skills!N8=TRUE,(Skills!L8/10)*(E3356/1000),Skills!L8/10)+Skills!O8</f>
        <v/>
      </c>
      <c r="G3356">
        <f>Skills!G8*IF(Skills!H8&gt;0,IF(Inputs!$B$39="pvp",MIN(Skills!I8,15),Skills!I8)/Skills!H8,1)</f>
        <v/>
      </c>
      <c r="H3356">
        <f>1-(1-Skills!J8/100)^Skills!K8</f>
        <v/>
      </c>
      <c r="I3356" t="inlineStr">
        <is>
          <t>1</t>
        </is>
      </c>
      <c r="J3356" t="inlineStr"/>
      <c r="K3356" t="inlineStr"/>
      <c r="L3356" t="inlineStr"/>
      <c r="M3356" t="inlineStr"/>
      <c r="N3356" t="inlineStr"/>
      <c r="O3356">
        <f>(1-Summary!$B$11)*T3356+Summary!$B$11*V3356</f>
        <v/>
      </c>
      <c r="P3356">
        <f>IF(B3394=0,0,O3356/B3394)</f>
        <v/>
      </c>
      <c r="Q3356" t="n">
        <v>0</v>
      </c>
      <c r="R3356" t="n">
        <v>0</v>
      </c>
      <c r="S3356">
        <f>IFERROR(O3356/N3356,0)</f>
        <v/>
      </c>
      <c r="T3356" t="n">
        <v>0</v>
      </c>
      <c r="V3356" t="n">
        <v>0</v>
      </c>
    </row>
    <row r="3357">
      <c r="A3357">
        <f>Skills!A9</f>
        <v/>
      </c>
      <c r="B3357">
        <f>Skills!B9</f>
        <v/>
      </c>
      <c r="C3357">
        <f>Inputs!$B$3&gt;=72</f>
        <v/>
      </c>
      <c r="D3357">
        <f>IF(Skills!C9=1,60+Inputs!$B$25+Inputs!$B$29,IF(Skills!C9=2,90+Inputs!$B$26+Inputs!$B$29,IF(Skills!C9=3,120+Inputs!$B$27+Inputs!$B$29,MAX(0,(Inputs!$B$3-100)*3)+Inputs!$B$28+Inputs!$B$29)))</f>
        <v/>
      </c>
      <c r="E3357">
        <f>INDEX(FactorTable!$B$2:$Y$301, MATCH(ROUND(MIN(300,MAX(1,D3357)),0), FactorTable!$A$2:$A$301,0), Skills!M9+1)</f>
        <v/>
      </c>
      <c r="F3357">
        <f>IF(Skills!N9=TRUE,(Skills!L9/10)*(E3357/1000),Skills!L9/10)+Skills!O9</f>
        <v/>
      </c>
      <c r="G3357">
        <f>Skills!G9*IF(Skills!H9&gt;0,IF(Inputs!$B$39="pvp",MIN(Skills!I9,15),Skills!I9)/Skills!H9,1)</f>
        <v/>
      </c>
      <c r="H3357">
        <f>1-(1-Skills!J9/100)^Skills!K9</f>
        <v/>
      </c>
      <c r="I3357" t="inlineStr">
        <is>
          <t>1</t>
        </is>
      </c>
      <c r="J3357">
        <f>((Inputs!$B$6*(1+Inputs!$B$7/100))+(((Inputs!$B$12*(1+Inputs!$B$13/100))-(Inputs!$B$12*(1+Inputs!$B$13/100)))+0.25*(Inputs!$B$14-Inputs!$B$14))*(1+Inputs!$B$7/100))*(F3357/100)</f>
        <v/>
      </c>
      <c r="K3357">
        <f>J3357*(1+((Inputs!$B$12*(1+Inputs!$B$13/100))*0.01+Inputs!$B$14*0.0025)/100)*(1+Inputs!$B$15/100)*(1+Inputs!$B$16/100)*(5000/(6000+Inputs!$B$43*(1-(100*(1-(1-Inputs!$B$19/100)*(1-CHOOSE(ArtifactsInput!$N$40+1,5,6,7,8,9,10)/100)^(ArtifactsInput!$M$40-ArtifactsInput!$M$40)))/100)))*(1+(Inputs!$B$24+((C3379=TRUE)*(F3379-Calc!F31))+((C3366=TRUE)*(F3366-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+3.3333333333333335*IF(C3367=TRUE,F3367,0)/100)*(1+(IF(Skills!A9="CRUEL_STAB",Inputs!$B$17+((C3376=TRUE)*(F3376-Calc!F28))+((IF(AND(Inputs!$B$39&lt;&gt;"pvp",Inputs!$B$44=0),1,IF(IF(Inputs!$B$39="pvp",15,Inputs!$B$44)-(B3393)&lt;=0,1,MAX(0,IF(Inputs!$B$39="pvp",15,Inputs!$B$44)-MAX(5,B3393))/(IF(Inputs!$B$39="pvp",15,Inputs!$B$44)-(B3393))))*(IF(AND(ArtifactsInput!$M$42,((Inputs!$B$9+((C3374=TRUE)*(F3374-Calc!F26))+B3382+(ArtifactsInput!$M$24-ArtifactsInput!$M$24)*CHOOSE(ArtifactsInput!$N$24+1,10,12,14,16,18,20)+IF(ArtifactsInput!$M$10,CHOOSE(ArtifactsInput!$N$10+1,15,18,21,24,27,30)*(IF(Inputs!$B$39="pvp",MIN(15,15)/15,IF(AND(Inputs!$B$39&lt;&gt;"pvp",Inputs!$B$44&gt;0),MIN(15,Inputs!$B$44)/(Inputs!$B$44),0))),0)))&gt;=100),MIN(100,((Inputs!$B$9+((C3374=TRUE)*(F3374-Calc!F26))+B3382+(ArtifactsInput!$M$24-ArtifactsInput!$M$24)*CHOOSE(ArtifactsInput!$N$24+1,10,12,14,16,18,20)+IF(ArtifactsInput!$M$10,CHOOSE(ArtifactsInput!$N$10+1,15,18,21,24,27,30)*(IF(Inputs!$B$39="pvp",MIN(15,15)/15,IF(AND(Inputs!$B$39&lt;&gt;"pvp",Inputs!$B$44&gt;0),MIN(15,Inputs!$B$44)/(Inputs!$B$44),0))),0)))-100),0))*CHOOSE(ArtifactsInput!$N$42+1,0.6,0.72,0.84,0.96,1.08,1.2))),Inputs!$B$18+((C3377=TRUE)*(F3377-Calc!F29))+(IF(AND(Inputs!$B$39&lt;&gt;"pvp",Inputs!$B$44=0),1,IF(IF(Inputs!$B$39="pvp",15,Inputs!$B$44)-(B3393)&lt;=0,1,MAX(0,IF(Inputs!$B$39="pvp",15,Inputs!$B$44)-MAX(5,B3393))/(IF(Inputs!$B$39="pvp",15,Inputs!$B$44)-(B3393))))*IF(AND(ArtifactsInput!$M$42,((Inputs!$B$9+((C3374=TRUE)*(F3374-Calc!F26))+B3382+(ArtifactsInput!$M$24-ArtifactsInput!$M$24)*CHOOSE(ArtifactsInput!$N$24+1,10,12,14,16,18,20)+IF(ArtifactsInput!$M$10,CHOOSE(ArtifactsInput!$N$10+1,15,18,21,24,27,30)*(IF(Inputs!$B$39="pvp",MIN(15,15)/15,IF(AND(Inputs!$B$39&lt;&gt;"pvp",Inputs!$B$44&gt;0),MIN(15,Inputs!$B$44)/(Inputs!$B$44),0))),0)))&gt;=100),CHOOSE(ArtifactsInput!$N$42+1,40,48,56,64,72,80),0))))/100)*(((1+(((C3370=TRUE)*F3370*IF(AND(Inputs!$B$39&lt;&gt;"pvp",Inputs!$B$44&gt;0),(((R3370-1)*MIN((Skills!Y22*(1+Inputs!$B$34/100)),(1/Q3370))+MIN((Skills!Y22*(1+Inputs!$B$34/100)),MAX(0,Inputs!$B$44-((R3370-1)*(1/Q3370)))))/Inputs!$B$44),IF(Inputs!$B$39="pvp",MIN((Skills!Y22*(1+Inputs!$B$34/100)),15)/15,MIN(1,(Skills!Y22*(1+Inputs!$B$34/100))/(1/Q3370)))))+((C3351=TRUE)*F3351*3)+((C3353=TRUE)*F3353*(1-EXP(-0.75*B3386*5)))+((C3372=TRUE)*(F3372-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3359=TRUE)*F3359*IF(AND(Inputs!$B$39&lt;&gt;"pvp",Inputs!$B$44&gt;0),(((R3359-1)*MIN((Skills!Y11*(1+Inputs!$B$34/100)),(1/Q3359))+MIN((Skills!Y11*(1+Inputs!$B$34/100)),MAX(0,Inputs!$B$44-((R3359-1)*(1/Q3359)))))/Inputs!$B$44),IF(Inputs!$B$39="pvp",MIN((Skills!Y11*(1+Inputs!$B$34/100)),15)/15,MIN(1,(Skills!Y11*(1+Inputs!$B$34/100))/(1/Q3359)))))/100)*(1+((C3364=TRUE)*F3364*IF(AND(Inputs!$B$39&lt;&gt;"pvp",Inputs!$B$44&gt;0),(((R3364-1)*MIN((Skills!Y16*(1+Inputs!$B$34/100)),(1/Q3364))+MIN((Skills!Y16*(1+Inputs!$B$34/100)),MAX(0,Inputs!$B$44-((R3364-1)*(1/Q3364)))))/Inputs!$B$44),IF(Inputs!$B$39="pvp",MIN((Skills!Y16*(1+Inputs!$B$34/100)),15)/15,MIN(1,(Skills!Y16*(1+Inputs!$B$34/100))/(1/Q3364)))))/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3384*I3357)</f>
        <v/>
      </c>
      <c r="L3357">
        <f>K3357*(MIN(Inputs!$B$22+((C3373=TRUE)*(F3373-Calc!F25)),(Inputs!$B$23+((C3378=TRUE)*(F3378-Calc!F30))+IF(ArtifactsInput!$M$15,CHOOSE(ArtifactsInput!$N$15+1,25,30,35,40,45,50)/100*(Inputs!$B$11-Inputs!$B$11),0)))/100+(Inputs!$B$23+((C3378=TRUE)*(F3378-Calc!F30))+IF(ArtifactsInput!$M$15,CHOOSE(ArtifactsInput!$N$15+1,25,30,35,40,45,50)/100*(Inputs!$B$11-Inputs!$B$11),0))/100)/2</f>
        <v/>
      </c>
      <c r="M3357">
        <f>L3357*(1+(Inputs!$B$10+((C3375=TRUE)*(F3375-Calc!F27))+B3389+(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3357">
        <f>L3357*(1-MIN((Inputs!$B$9+((C3374=TRUE)*(F3374-Calc!F26))+B3382+(ArtifactsInput!$M$24-ArtifactsInput!$M$24)*CHOOSE(ArtifactsInput!$N$24+1,10,12,14,16,18,20)+(IF(AND(Inputs!$B$39&lt;&gt;"pvp",Inputs!$B$44=0),1,IF(IF(Inputs!$B$39="pvp",15,Inputs!$B$44)-(B3393)&lt;=0,1,MAX(0,IF(Inputs!$B$39="pvp",15,Inputs!$B$44)-MAX(5,B3393))/(IF(Inputs!$B$39="pvp",15,Inputs!$B$44)-(B3393))))*IF(AND(ArtifactsInput!$M$42,((Inputs!$B$9+((C3374=TRUE)*(F3374-Calc!F26))+B3382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3357*(MIN((Inputs!$B$9+((C3374=TRUE)*(F3374-Calc!F26))+B3382+(ArtifactsInput!$M$24-ArtifactsInput!$M$24)*CHOOSE(ArtifactsInput!$N$24+1,10,12,14,16,18,20)+(IF(AND(Inputs!$B$39&lt;&gt;"pvp",Inputs!$B$44=0),1,IF(IF(Inputs!$B$39="pvp",15,Inputs!$B$44)-(B3393)&lt;=0,1,MAX(0,IF(Inputs!$B$39="pvp",15,Inputs!$B$44)-MAX(5,B3393))/(IF(Inputs!$B$39="pvp",15,Inputs!$B$44)-(B3393))))*IF(AND(ArtifactsInput!$M$42,((Inputs!$B$9+((C3374=TRUE)*(F3374-Calc!F26))+B3382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3357">
        <f>(1-Summary!$B$11)*T3357+Summary!$B$11*V3357</f>
        <v/>
      </c>
      <c r="P3357">
        <f>IF(B3394=0,0,O3357/B3394)</f>
        <v/>
      </c>
      <c r="Q3357">
        <f>IFERROR(1/IF(Inputs!$B$39="pvp",15,MAX(0.1,Skills!D9-IF(FALSE=TRUE,1.0,0))),0)</f>
        <v/>
      </c>
      <c r="R3357">
        <f>IF(AND(Inputs!$B$39&lt;&gt;"pvp",Inputs!$B$44&gt;0),IF(MAX(0,Inputs!$B$44-B3393)&lt;=0,0,(INT(MAX(0,Inputs!$B$44-B3393)/IF(Inputs!$B$39="pvp",15,MAX(0.1,Skills!D9-IF(FALSE=TRUE,1.0,0))))+1)),0)</f>
        <v/>
      </c>
      <c r="S3357">
        <f>IFERROR(O3357/N3357,0)</f>
        <v/>
      </c>
      <c r="T3357">
        <f>IF(C3357,(H3357*N3357*IF(AND(Inputs!$B$39&lt;&gt;"pvp",Inputs!$B$44&gt;0),((Skills!G9*((R3357-1)*IF(Skills!H9&gt;0,Skills!I9/Skills!H9,1)+IF(Skills!H9&gt;0,MIN(Skills!I9,MAX(0,MAX(0,Inputs!$B$44-B3393)-((R3357-1)*IF(Inputs!$B$39="pvp",15,MAX(0.1,Skills!D9-IF(FALSE=TRUE,1.0,0))))))/Skills!H9,1)))/Inputs!$B$44),G3357*Q3357))*IF(Inputs!$B$39="pvp",1,1+(Inputs!$B$20+0+Skills!P9+B3383+(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Hunt"),CHOOSE(ArtifactsInput!$N$35+1,15,18,21,24,27,30)*(1-EXP(-(0.2*B3386)*5)),0)+IF(AND(ArtifactsInput!$M$22,Inputs!$B$4&lt;&gt;"Chapter Hunt"),CHOOSE(ArtifactsInput!$N$22+1,10,12,14,16,18,20)*((0*(((0.15*B3386*5))^0/1)+1*(((0.15*B3386*5))^1/1)+2*(((0.15*B3386*5))^2/2)+3*(((0.15*B3386*5))^3/6)+4*(((0.15*B3386*5))^4/24)+5*(((0.15*B3386*5))^5/120))/((((0.15*B3386*5))^0/1)+(((0.15*B3386*5))^1/1)+(((0.15*B3386*5))^2/2)+(((0.15*B3386*5))^3/6)+(((0.15*B3386*5))^4/24)+(((0.15*B3386*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3357*(1-MIN(100,(Inputs!$B$9+((C3374=TRUE)*(F3374-Calc!F26))+B3382+(ArtifactsInput!$M$24-ArtifactsInput!$M$24)*CHOOSE(ArtifactsInput!$N$24+1,10,12,14,16,18,20)+(IF(AND(Inputs!$B$39&lt;&gt;"pvp",Inputs!$B$44=0),1,IF(IF(Inputs!$B$39="pvp",15,Inputs!$B$44)-(B3393)&lt;=0,1,MAX(0,IF(Inputs!$B$39="pvp",15,Inputs!$B$44)-MAX(5,B3393))/(IF(Inputs!$B$39="pvp",15,Inputs!$B$44)-(B3393))))*IF(AND(ArtifactsInput!$M$42,((Inputs!$B$9+((C3374=TRUE)*(F3374-Calc!F26))+B3382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3357*(MIN(100,(Inputs!$B$9+((C3374=TRUE)*(F3374-Calc!F26))+B3382+(ArtifactsInput!$M$24-ArtifactsInput!$M$24)*CHOOSE(ArtifactsInput!$N$24+1,10,12,14,16,18,20)+(IF(AND(Inputs!$B$39&lt;&gt;"pvp",Inputs!$B$44=0),1,IF(IF(Inputs!$B$39="pvp",15,Inputs!$B$44)-(B3393)&lt;=0,1,MAX(0,IF(Inputs!$B$39="pvp",15,Inputs!$B$44)-MAX(5,B3393))/(IF(Inputs!$B$39="pvp",15,Inputs!$B$44)-(B3393))))*IF(AND(ArtifactsInput!$M$42,((Inputs!$B$9+((C3374=TRUE)*(F3374-Calc!F26))+B3382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3357*(1-MIN(100,(Inputs!$B$9+((C3374=TRUE)*(F3374-Calc!F26))+B3382+(ArtifactsInput!$M$24-ArtifactsInput!$M$24)*CHOOSE(ArtifactsInput!$N$24+1,10,12,14,16,18,20)+(IF(AND(Inputs!$B$39&lt;&gt;"pvp",Inputs!$B$44=0),1,IF(IF(Inputs!$B$39="pvp",15,Inputs!$B$44)-(B3393)&lt;=0,1,MAX(0,IF(Inputs!$B$39="pvp",15,Inputs!$B$44)-MAX(5,B3393))/(IF(Inputs!$B$39="pvp",15,Inputs!$B$44)-(B3393))))*IF(AND(ArtifactsInput!$M$42,((Inputs!$B$9+((C3374=TRUE)*(F3374-Calc!F26))+B3382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3357*(MIN(100,(Inputs!$B$9+((C3374=TRUE)*(F3374-Calc!F26))+B3382+(ArtifactsInput!$M$24-ArtifactsInput!$M$24)*CHOOSE(ArtifactsInput!$N$24+1,10,12,14,16,18,20)+(IF(AND(Inputs!$B$39&lt;&gt;"pvp",Inputs!$B$44=0),1,IF(IF(Inputs!$B$39="pvp",15,Inputs!$B$44)-(B3393)&lt;=0,1,MAX(0,IF(Inputs!$B$39="pvp",15,Inputs!$B$44)-MAX(5,B3393))/(IF(Inputs!$B$39="pvp",15,Inputs!$B$44)-(B3393))))*IF(AND(ArtifactsInput!$M$42,((Inputs!$B$9+((C3374=TRUE)*(F3374-Calc!F26))+B3382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3357">
        <f>IF(C3357,(H3357*N3357*IF(AND(Inputs!$B$39&lt;&gt;"pvp",Inputs!$B$44&gt;0),((Skills!G9*((R3357-1)*IF(Skills!H9&gt;0,Skills!I9/Skills!H9,1)+IF(Skills!H9&gt;0,MIN(Skills!I9,MAX(0,MAX(0,Inputs!$B$44-B3393)-((R3357-1)*IF(Inputs!$B$39="pvp",15,MAX(0.1,Skills!D9-IF(FALSE=TRUE,1.0,0))))))/Skills!H9,1)))/Inputs!$B$44),G3357*Q3357))*IF(Inputs!$B$39="pvp",1,(1+(Inputs!$B$21+Skills!Q9+B3383+(IF(ArtifactsInput!$M$33,CHOOSE(ArtifactsInput!$N$33+1,30,36,42,48,54,60),0))+(IF(AND(ArtifactsInput!$M$35,Inputs!$B$4&lt;&gt;"Chapter Hunt"),CHOOSE(ArtifactsInput!$N$35+1,15,18,21,24,27,30)*(1-EXP(-(0.2*B3386)*5)),0)+IF(AND(ArtifactsInput!$M$22,Inputs!$B$4&lt;&gt;"Chapter Hunt"),CHOOSE(ArtifactsInput!$N$22+1,10,12,14,16,18,20)*((0*(((0.15*B3386*5))^0/1)+1*(((0.15*B3386*5))^1/1)+2*(((0.15*B3386*5))^2/2)+3*(((0.15*B3386*5))^3/6)+4*(((0.15*B3386*5))^4/24)+5*(((0.15*B3386*5))^5/120))/((((0.15*B3386*5))^0/1)+(((0.15*B3386*5))^1/1)+(((0.15*B3386*5))^2/2)+(((0.15*B3386*5))^3/6)+(((0.15*B3386*5))^4/24)+(((0.15*B3386*5))^5/120))),0)))/100)*(MIN(Skills!W9,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3358">
      <c r="A3358">
        <f>Skills!A10</f>
        <v/>
      </c>
      <c r="B3358">
        <f>Skills!B10</f>
        <v/>
      </c>
      <c r="C3358">
        <f>Inputs!$B$3&gt;=117</f>
        <v/>
      </c>
      <c r="D3358">
        <f>IF(Skills!C10=1,60+Inputs!$B$25+Inputs!$B$29,IF(Skills!C10=2,90+Inputs!$B$26+Inputs!$B$29,IF(Skills!C10=3,120+Inputs!$B$27+Inputs!$B$29,MAX(0,(Inputs!$B$3-100)*3)+Inputs!$B$28+Inputs!$B$29)))</f>
        <v/>
      </c>
      <c r="E3358">
        <f>INDEX(FactorTable!$B$2:$Y$301, MATCH(ROUND(MIN(300,MAX(1,D3358)),0), FactorTable!$A$2:$A$301,0), Skills!M10+1)</f>
        <v/>
      </c>
      <c r="F3358">
        <f>IF(Skills!N10=TRUE,(Skills!L10/10)*(E3358/1000),Skills!L10/10)+Skills!O10</f>
        <v/>
      </c>
      <c r="G3358">
        <f>Skills!G10*IF(Skills!H10&gt;0,IF(Inputs!$B$39="pvp",MIN(Skills!I10,15),Skills!I10)/Skills!H10,1)</f>
        <v/>
      </c>
      <c r="H3358">
        <f>1-(1-Skills!J10/100)^Skills!K10</f>
        <v/>
      </c>
      <c r="I3358" t="inlineStr">
        <is>
          <t>1</t>
        </is>
      </c>
      <c r="J3358">
        <f>((Inputs!$B$6*(1+Inputs!$B$7/100))+(((Inputs!$B$12*(1+Inputs!$B$13/100))-(Inputs!$B$12*(1+Inputs!$B$13/100)))+0.25*(Inputs!$B$14-Inputs!$B$14))*(1+Inputs!$B$7/100))*(F3358/100)</f>
        <v/>
      </c>
      <c r="K3358">
        <f>J3358*(1+((Inputs!$B$12*(1+Inputs!$B$13/100))*0.01+Inputs!$B$14*0.0025)/100)*(1+Inputs!$B$15/100)*(1+Inputs!$B$16/100)*(5000/(6000+Inputs!$B$43*(1-(100*(1-(1-Inputs!$B$19/100)*(1-CHOOSE(ArtifactsInput!$N$40+1,5,6,7,8,9,10)/100)^(ArtifactsInput!$M$40-ArtifactsInput!$M$40)))/100)))*(1+(Inputs!$B$24+((C3379=TRUE)*(F3379-Calc!F31))+((C3366=TRUE)*(F3366-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10="CRUEL_STAB",Inputs!$B$17+((C3376=TRUE)*(F3376-Calc!F28))+((IF(AND(Inputs!$B$39&lt;&gt;"pvp",Inputs!$B$44=0),1,IF(IF(Inputs!$B$39="pvp",15,Inputs!$B$44)-(B3393)&lt;=0,1,MAX(0,IF(Inputs!$B$39="pvp",15,Inputs!$B$44)-MAX(5,B3393))/(IF(Inputs!$B$39="pvp",15,Inputs!$B$44)-(B3393))))*(IF(AND(ArtifactsInput!$M$42,((Inputs!$B$9+((C3374=TRUE)*(F3374-Calc!F26))+B3382+(ArtifactsInput!$M$24-ArtifactsInput!$M$24)*CHOOSE(ArtifactsInput!$N$24+1,10,12,14,16,18,20)+IF(ArtifactsInput!$M$10,CHOOSE(ArtifactsInput!$N$10+1,15,18,21,24,27,30)*(IF(Inputs!$B$39="pvp",MIN(15,15)/15,IF(AND(Inputs!$B$39&lt;&gt;"pvp",Inputs!$B$44&gt;0),MIN(15,Inputs!$B$44)/(Inputs!$B$44),0))),0)))&gt;=100),MIN(100,((Inputs!$B$9+((C3374=TRUE)*(F3374-Calc!F26))+B3382+(ArtifactsInput!$M$24-ArtifactsInput!$M$24)*CHOOSE(ArtifactsInput!$N$24+1,10,12,14,16,18,20)+IF(ArtifactsInput!$M$10,CHOOSE(ArtifactsInput!$N$10+1,15,18,21,24,27,30)*(IF(Inputs!$B$39="pvp",MIN(15,15)/15,IF(AND(Inputs!$B$39&lt;&gt;"pvp",Inputs!$B$44&gt;0),MIN(15,Inputs!$B$44)/(Inputs!$B$44),0))),0)))-100),0))*CHOOSE(ArtifactsInput!$N$42+1,0.6,0.72,0.84,0.96,1.08,1.2))),Inputs!$B$18+((C3377=TRUE)*(F3377-Calc!F29))+(IF(AND(Inputs!$B$39&lt;&gt;"pvp",Inputs!$B$44=0),1,IF(IF(Inputs!$B$39="pvp",15,Inputs!$B$44)-(B3393)&lt;=0,1,MAX(0,IF(Inputs!$B$39="pvp",15,Inputs!$B$44)-MAX(5,B3393))/(IF(Inputs!$B$39="pvp",15,Inputs!$B$44)-(B3393))))*IF(AND(ArtifactsInput!$M$42,((Inputs!$B$9+((C3374=TRUE)*(F3374-Calc!F26))+B3382+(ArtifactsInput!$M$24-ArtifactsInput!$M$24)*CHOOSE(ArtifactsInput!$N$24+1,10,12,14,16,18,20)+IF(ArtifactsInput!$M$10,CHOOSE(ArtifactsInput!$N$10+1,15,18,21,24,27,30)*(IF(Inputs!$B$39="pvp",MIN(15,15)/15,IF(AND(Inputs!$B$39&lt;&gt;"pvp",Inputs!$B$44&gt;0),MIN(15,Inputs!$B$44)/(Inputs!$B$44),0))),0)))&gt;=100),CHOOSE(ArtifactsInput!$N$42+1,40,48,56,64,72,80),0))))/100)*(((1+(((C3370=TRUE)*F3370*IF(AND(Inputs!$B$39&lt;&gt;"pvp",Inputs!$B$44&gt;0),(((R3370-1)*MIN((Skills!Y22*(1+Inputs!$B$34/100)),(1/Q3370))+MIN((Skills!Y22*(1+Inputs!$B$34/100)),MAX(0,Inputs!$B$44-((R3370-1)*(1/Q3370)))))/Inputs!$B$44),IF(Inputs!$B$39="pvp",MIN((Skills!Y22*(1+Inputs!$B$34/100)),15)/15,MIN(1,(Skills!Y22*(1+Inputs!$B$34/100))/(1/Q3370)))))+((C3351=TRUE)*F3351*3)+((C3353=TRUE)*F3353*(1-EXP(-0.75*B3386*5)))+((C3372=TRUE)*(F3372-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3359=TRUE)*F3359*IF(AND(Inputs!$B$39&lt;&gt;"pvp",Inputs!$B$44&gt;0),(((R3359-1)*MIN((Skills!Y11*(1+Inputs!$B$34/100)),(1/Q3359))+MIN((Skills!Y11*(1+Inputs!$B$34/100)),MAX(0,Inputs!$B$44-((R3359-1)*(1/Q3359)))))/Inputs!$B$44),IF(Inputs!$B$39="pvp",MIN((Skills!Y11*(1+Inputs!$B$34/100)),15)/15,MIN(1,(Skills!Y11*(1+Inputs!$B$34/100))/(1/Q3359)))))/100)*(1+((C3364=TRUE)*F3364*IF(AND(Inputs!$B$39&lt;&gt;"pvp",Inputs!$B$44&gt;0),(((R3364-1)*MIN((Skills!Y16*(1+Inputs!$B$34/100)),(1/Q3364))+MIN((Skills!Y16*(1+Inputs!$B$34/100)),MAX(0,Inputs!$B$44-((R3364-1)*(1/Q3364)))))/Inputs!$B$44),IF(Inputs!$B$39="pvp",MIN((Skills!Y16*(1+Inputs!$B$34/100)),15)/15,MIN(1,(Skills!Y16*(1+Inputs!$B$34/100))/(1/Q3364)))))/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3384*I3358)</f>
        <v/>
      </c>
      <c r="L3358">
        <f>K3358*(MIN(Inputs!$B$22+((C3373=TRUE)*(F3373-Calc!F25)),(Inputs!$B$23+((C3378=TRUE)*(F3378-Calc!F30))+IF(ArtifactsInput!$M$15,CHOOSE(ArtifactsInput!$N$15+1,25,30,35,40,45,50)/100*(Inputs!$B$11-Inputs!$B$11),0)))/100+(Inputs!$B$23+((C3378=TRUE)*(F3378-Calc!F30))+IF(ArtifactsInput!$M$15,CHOOSE(ArtifactsInput!$N$15+1,25,30,35,40,45,50)/100*(Inputs!$B$11-Inputs!$B$11),0))/100)/2</f>
        <v/>
      </c>
      <c r="M3358">
        <f>L3358*(1+(Inputs!$B$10+((C3375=TRUE)*(F3375-Calc!F27))+B3389+(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3358">
        <f>L3358*(1-MIN((Inputs!$B$9+((C3374=TRUE)*(F3374-Calc!F26))+B3382+(ArtifactsInput!$M$24-ArtifactsInput!$M$24)*CHOOSE(ArtifactsInput!$N$24+1,10,12,14,16,18,20)+(IF(AND(Inputs!$B$39&lt;&gt;"pvp",Inputs!$B$44=0),1,IF(IF(Inputs!$B$39="pvp",15,Inputs!$B$44)-(B3393)&lt;=0,1,MAX(0,IF(Inputs!$B$39="pvp",15,Inputs!$B$44)-MAX(5,B3393))/(IF(Inputs!$B$39="pvp",15,Inputs!$B$44)-(B3393))))*IF(AND(ArtifactsInput!$M$42,((Inputs!$B$9+((C3374=TRUE)*(F3374-Calc!F26))+B3382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3358*(MIN((Inputs!$B$9+((C3374=TRUE)*(F3374-Calc!F26))+B3382+(ArtifactsInput!$M$24-ArtifactsInput!$M$24)*CHOOSE(ArtifactsInput!$N$24+1,10,12,14,16,18,20)+(IF(AND(Inputs!$B$39&lt;&gt;"pvp",Inputs!$B$44=0),1,IF(IF(Inputs!$B$39="pvp",15,Inputs!$B$44)-(B3393)&lt;=0,1,MAX(0,IF(Inputs!$B$39="pvp",15,Inputs!$B$44)-MAX(5,B3393))/(IF(Inputs!$B$39="pvp",15,Inputs!$B$44)-(B3393))))*IF(AND(ArtifactsInput!$M$42,((Inputs!$B$9+((C3374=TRUE)*(F3374-Calc!F26))+B3382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3358">
        <f>(1-Summary!$B$11)*T3358+Summary!$B$11*V3358</f>
        <v/>
      </c>
      <c r="P3358">
        <f>IF(B3394=0,0,O3358/B3394)</f>
        <v/>
      </c>
      <c r="Q3358" t="n">
        <v>0</v>
      </c>
      <c r="R3358" t="n">
        <v>0</v>
      </c>
      <c r="S3358" t="n">
        <v>0</v>
      </c>
      <c r="T3358">
        <f>IF(C3358,(0.2*SUMPRODUCT((Skills!Z2:Z31=TRUE)*(C3350:C3379=TRUE)*S3350:S3379)*N3358)*IF(Inputs!$B$39="pvp",1,1+(Inputs!$B$20+0+Skills!P10+B3383+(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Hunt"),CHOOSE(ArtifactsInput!$N$35+1,15,18,21,24,27,30)*(1-EXP(-(0.2*B3386)*5)),0)+IF(AND(ArtifactsInput!$M$22,Inputs!$B$4&lt;&gt;"Chapter Hunt"),CHOOSE(ArtifactsInput!$N$22+1,10,12,14,16,18,20)*((0*(((0.15*B3386*5))^0/1)+1*(((0.15*B3386*5))^1/1)+2*(((0.15*B3386*5))^2/2)+3*(((0.15*B3386*5))^3/6)+4*(((0.15*B3386*5))^4/24)+5*(((0.15*B3386*5))^5/120))/((((0.15*B3386*5))^0/1)+(((0.15*B3386*5))^1/1)+(((0.15*B3386*5))^2/2)+(((0.15*B3386*5))^3/6)+(((0.15*B3386*5))^4/24)+(((0.15*B3386*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3358*(1-MIN(100,(Inputs!$B$9+((C3374=TRUE)*(F3374-Calc!F26))+B3382+(ArtifactsInput!$M$24-ArtifactsInput!$M$24)*CHOOSE(ArtifactsInput!$N$24+1,10,12,14,16,18,20)+(IF(AND(Inputs!$B$39&lt;&gt;"pvp",Inputs!$B$44=0),1,IF(IF(Inputs!$B$39="pvp",15,Inputs!$B$44)-(B3393)&lt;=0,1,MAX(0,IF(Inputs!$B$39="pvp",15,Inputs!$B$44)-MAX(5,B3393))/(IF(Inputs!$B$39="pvp",15,Inputs!$B$44)-(B3393))))*IF(AND(ArtifactsInput!$M$42,((Inputs!$B$9+((C3374=TRUE)*(F3374-Calc!F26))+B3382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3358*(MIN(100,(Inputs!$B$9+((C3374=TRUE)*(F3374-Calc!F26))+B3382+(ArtifactsInput!$M$24-ArtifactsInput!$M$24)*CHOOSE(ArtifactsInput!$N$24+1,10,12,14,16,18,20)+(IF(AND(Inputs!$B$39&lt;&gt;"pvp",Inputs!$B$44=0),1,IF(IF(Inputs!$B$39="pvp",15,Inputs!$B$44)-(B3393)&lt;=0,1,MAX(0,IF(Inputs!$B$39="pvp",15,Inputs!$B$44)-MAX(5,B3393))/(IF(Inputs!$B$39="pvp",15,Inputs!$B$44)-(B3393))))*IF(AND(ArtifactsInput!$M$42,((Inputs!$B$9+((C3374=TRUE)*(F3374-Calc!F26))+B3382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3358*(1-MIN(100,(Inputs!$B$9+((C3374=TRUE)*(F3374-Calc!F26))+B3382+(ArtifactsInput!$M$24-ArtifactsInput!$M$24)*CHOOSE(ArtifactsInput!$N$24+1,10,12,14,16,18,20)+(IF(AND(Inputs!$B$39&lt;&gt;"pvp",Inputs!$B$44=0),1,IF(IF(Inputs!$B$39="pvp",15,Inputs!$B$44)-(B3393)&lt;=0,1,MAX(0,IF(Inputs!$B$39="pvp",15,Inputs!$B$44)-MAX(5,B3393))/(IF(Inputs!$B$39="pvp",15,Inputs!$B$44)-(B3393))))*IF(AND(ArtifactsInput!$M$42,((Inputs!$B$9+((C3374=TRUE)*(F3374-Calc!F26))+B3382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3358*(MIN(100,(Inputs!$B$9+((C3374=TRUE)*(F3374-Calc!F26))+B3382+(ArtifactsInput!$M$24-ArtifactsInput!$M$24)*CHOOSE(ArtifactsInput!$N$24+1,10,12,14,16,18,20)+(IF(AND(Inputs!$B$39&lt;&gt;"pvp",Inputs!$B$44=0),1,IF(IF(Inputs!$B$39="pvp",15,Inputs!$B$44)-(B3393)&lt;=0,1,MAX(0,IF(Inputs!$B$39="pvp",15,Inputs!$B$44)-MAX(5,B3393))/(IF(Inputs!$B$39="pvp",15,Inputs!$B$44)-(B3393))))*IF(AND(ArtifactsInput!$M$42,((Inputs!$B$9+((C3374=TRUE)*(F3374-Calc!F26))+B3382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3358">
        <f>IF(C3358,(0.2*SUMPRODUCT((Skills!Z2:Z31=TRUE)*(C3350:C3379=TRUE)*S3350:S3379)*N3358)*IF(Inputs!$B$39="pvp",1,(1+(Inputs!$B$21+Skills!Q10+B3383+(IF(ArtifactsInput!$M$33,CHOOSE(ArtifactsInput!$N$33+1,30,36,42,48,54,60),0))+(IF(AND(ArtifactsInput!$M$35,Inputs!$B$4&lt;&gt;"Chapter Hunt"),CHOOSE(ArtifactsInput!$N$35+1,15,18,21,24,27,30)*(1-EXP(-(0.2*B3386)*5)),0)+IF(AND(ArtifactsInput!$M$22,Inputs!$B$4&lt;&gt;"Chapter Hunt"),CHOOSE(ArtifactsInput!$N$22+1,10,12,14,16,18,20)*((0*(((0.15*B3386*5))^0/1)+1*(((0.15*B3386*5))^1/1)+2*(((0.15*B3386*5))^2/2)+3*(((0.15*B3386*5))^3/6)+4*(((0.15*B3386*5))^4/24)+5*(((0.15*B3386*5))^5/120))/((((0.15*B3386*5))^0/1)+(((0.15*B3386*5))^1/1)+(((0.15*B3386*5))^2/2)+(((0.15*B3386*5))^3/6)+(((0.15*B3386*5))^4/24)+(((0.15*B3386*5))^5/120))),0)))/100)*(MIN(Skills!W10,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3359">
      <c r="A3359">
        <f>Skills!A11</f>
        <v/>
      </c>
      <c r="B3359">
        <f>Skills!B11</f>
        <v/>
      </c>
      <c r="C3359">
        <f>Inputs!$B$3&gt;=74</f>
        <v/>
      </c>
      <c r="D3359">
        <f>IF(Skills!C11=1,60+Inputs!$B$25+Inputs!$B$29,IF(Skills!C11=2,90+Inputs!$B$26+Inputs!$B$29,IF(Skills!C11=3,120+Inputs!$B$27+Inputs!$B$29,MAX(0,(Inputs!$B$3-100)*3)+Inputs!$B$28+Inputs!$B$29)))</f>
        <v/>
      </c>
      <c r="E3359">
        <f>INDEX(FactorTable!$B$2:$Y$301, MATCH(ROUND(MIN(300,MAX(1,D3359)),0), FactorTable!$A$2:$A$301,0), Skills!M11+1)</f>
        <v/>
      </c>
      <c r="F3359">
        <f>IF(Skills!N11=TRUE,(Skills!L11/10)*(E3359/1000),Skills!L11/10)+Skills!O11</f>
        <v/>
      </c>
      <c r="G3359">
        <f>Skills!G11*IF(Skills!H11&gt;0,IF(Inputs!$B$39="pvp",MIN(Skills!I11,15),Skills!I11)/Skills!H11,1)</f>
        <v/>
      </c>
      <c r="H3359">
        <f>1-(1-Skills!J11/100)^Skills!K11</f>
        <v/>
      </c>
      <c r="I3359" t="inlineStr">
        <is>
          <t>1</t>
        </is>
      </c>
      <c r="J3359" t="inlineStr"/>
      <c r="K3359" t="inlineStr"/>
      <c r="L3359" t="inlineStr"/>
      <c r="M3359" t="inlineStr"/>
      <c r="N3359" t="inlineStr"/>
      <c r="O3359">
        <f>(1-Summary!$B$11)*T3359+Summary!$B$11*V3359</f>
        <v/>
      </c>
      <c r="P3359">
        <f>IF(B3394=0,0,O3359/B3394)</f>
        <v/>
      </c>
      <c r="Q3359">
        <f>IFERROR(1/IF(Inputs!$B$39="pvp",15,MAX(0.1,Skills!D11-IF(TRUE=TRUE,1.0,0))),0)</f>
        <v/>
      </c>
      <c r="R3359">
        <f>IF(AND(Inputs!$B$39&lt;&gt;"pvp",Inputs!$B$44&gt;0),IF(Inputs!$B$44&lt;=0,0,(INT(Inputs!$B$44/IF(Inputs!$B$39="pvp",15,MAX(0.1,Skills!D11-IF(TRUE=TRUE,1.0,0))))+1)),0)</f>
        <v/>
      </c>
      <c r="S3359">
        <f>IFERROR(O3359/N3359,0)</f>
        <v/>
      </c>
      <c r="T3359" t="n">
        <v>0</v>
      </c>
      <c r="V3359" t="n">
        <v>0</v>
      </c>
    </row>
    <row r="3360">
      <c r="A3360">
        <f>Skills!A12</f>
        <v/>
      </c>
      <c r="B3360">
        <f>Skills!B12</f>
        <v/>
      </c>
      <c r="C3360">
        <f>Inputs!$B$3&gt;=103</f>
        <v/>
      </c>
      <c r="D3360">
        <f>IF(Skills!C12=1,60+Inputs!$B$25+Inputs!$B$29,IF(Skills!C12=2,90+Inputs!$B$26+Inputs!$B$29,IF(Skills!C12=3,120+Inputs!$B$27+Inputs!$B$29,MAX(0,(Inputs!$B$3-100)*3)+Inputs!$B$28+Inputs!$B$29)))</f>
        <v/>
      </c>
      <c r="E3360">
        <f>INDEX(FactorTable!$B$2:$Y$301, MATCH(ROUND(MIN(300,MAX(1,D3360)),0), FactorTable!$A$2:$A$301,0), Skills!M12+1)</f>
        <v/>
      </c>
      <c r="F3360">
        <f>(Skills!L12/10)*(E3360/1000)+IF(Inputs!$B$3&gt;=134,50,0)+0.5*(30000/10)*(INDEX(FactorTable!$B$2:$Y$301, MATCH(ROUND(MIN(300,MAX(1,D3360)),0), FactorTable!$A$2:$A$301,0), 13)/1000)*B3392</f>
        <v/>
      </c>
      <c r="G3360">
        <f>Skills!G12*IF(Skills!H12&gt;0,IF(Inputs!$B$39="pvp",MIN(Skills!I12,15),Skills!I12)/Skills!H12,1)</f>
        <v/>
      </c>
      <c r="H3360">
        <f>1-(1-Skills!J12/100)^Skills!K12</f>
        <v/>
      </c>
      <c r="I3360" t="inlineStr">
        <is>
          <t>1</t>
        </is>
      </c>
      <c r="J3360">
        <f>((Inputs!$B$6*(1+Inputs!$B$7/100))+(((Inputs!$B$12*(1+Inputs!$B$13/100))-(Inputs!$B$12*(1+Inputs!$B$13/100)))+0.25*(Inputs!$B$14-Inputs!$B$14))*(1+Inputs!$B$7/100))*(F3360/100)</f>
        <v/>
      </c>
      <c r="K3360">
        <f>J3360*(1+((Inputs!$B$12*(1+Inputs!$B$13/100))*0.01+Inputs!$B$14*0.0025)/100)*(1+Inputs!$B$15/100)*(1+Inputs!$B$16/100)*(5000/(6000+Inputs!$B$43*(1-(100*(1-(1-Inputs!$B$19/100)*(1-CHOOSE(ArtifactsInput!$N$40+1,5,6,7,8,9,10)/100)^(ArtifactsInput!$M$40-ArtifactsInput!$M$40)))/100)))*(1+(Inputs!$B$24+((C3379=TRUE)*(F3379-Calc!F31))+((C3366=TRUE)*(F3366-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12="CRUEL_STAB",Inputs!$B$17+((C3376=TRUE)*(F3376-Calc!F28))+((IF(AND(Inputs!$B$39&lt;&gt;"pvp",Inputs!$B$44=0),1,IF(IF(Inputs!$B$39="pvp",15,Inputs!$B$44)-(B3393)&lt;=0,1,MAX(0,IF(Inputs!$B$39="pvp",15,Inputs!$B$44)-MAX(5,B3393))/(IF(Inputs!$B$39="pvp",15,Inputs!$B$44)-(B3393))))*(IF(AND(ArtifactsInput!$M$42,((Inputs!$B$9+((C3374=TRUE)*(F3374-Calc!F26))+B3382+(ArtifactsInput!$M$24-ArtifactsInput!$M$24)*CHOOSE(ArtifactsInput!$N$24+1,10,12,14,16,18,20)+IF(ArtifactsInput!$M$10,CHOOSE(ArtifactsInput!$N$10+1,15,18,21,24,27,30)*(IF(Inputs!$B$39="pvp",MIN(15,15)/15,IF(AND(Inputs!$B$39&lt;&gt;"pvp",Inputs!$B$44&gt;0),MIN(15,Inputs!$B$44)/(Inputs!$B$44),0))),0)))&gt;=100),MIN(100,((Inputs!$B$9+((C3374=TRUE)*(F3374-Calc!F26))+B3382+(ArtifactsInput!$M$24-ArtifactsInput!$M$24)*CHOOSE(ArtifactsInput!$N$24+1,10,12,14,16,18,20)+IF(ArtifactsInput!$M$10,CHOOSE(ArtifactsInput!$N$10+1,15,18,21,24,27,30)*(IF(Inputs!$B$39="pvp",MIN(15,15)/15,IF(AND(Inputs!$B$39&lt;&gt;"pvp",Inputs!$B$44&gt;0),MIN(15,Inputs!$B$44)/(Inputs!$B$44),0))),0)))-100),0))*CHOOSE(ArtifactsInput!$N$42+1,0.6,0.72,0.84,0.96,1.08,1.2))),Inputs!$B$18+((C3377=TRUE)*(F3377-Calc!F29))+(IF(AND(Inputs!$B$39&lt;&gt;"pvp",Inputs!$B$44=0),1,IF(IF(Inputs!$B$39="pvp",15,Inputs!$B$44)-(B3393)&lt;=0,1,MAX(0,IF(Inputs!$B$39="pvp",15,Inputs!$B$44)-MAX(5,B3393))/(IF(Inputs!$B$39="pvp",15,Inputs!$B$44)-(B3393))))*IF(AND(ArtifactsInput!$M$42,((Inputs!$B$9+((C3374=TRUE)*(F3374-Calc!F26))+B3382+(ArtifactsInput!$M$24-ArtifactsInput!$M$24)*CHOOSE(ArtifactsInput!$N$24+1,10,12,14,16,18,20)+IF(ArtifactsInput!$M$10,CHOOSE(ArtifactsInput!$N$10+1,15,18,21,24,27,30)*(IF(Inputs!$B$39="pvp",MIN(15,15)/15,IF(AND(Inputs!$B$39&lt;&gt;"pvp",Inputs!$B$44&gt;0),MIN(15,Inputs!$B$44)/(Inputs!$B$44),0))),0)))&gt;=100),CHOOSE(ArtifactsInput!$N$42+1,40,48,56,64,72,80),0))))/100)*(((1+(((C3370=TRUE)*F3370*IF(AND(Inputs!$B$39&lt;&gt;"pvp",Inputs!$B$44&gt;0),(((R3370-1)*MIN((Skills!Y22*(1+Inputs!$B$34/100)),(1/Q3370))+MIN((Skills!Y22*(1+Inputs!$B$34/100)),MAX(0,Inputs!$B$44-((R3370-1)*(1/Q3370)))))/Inputs!$B$44),IF(Inputs!$B$39="pvp",MIN((Skills!Y22*(1+Inputs!$B$34/100)),15)/15,MIN(1,(Skills!Y22*(1+Inputs!$B$34/100))/(1/Q3370)))))+((C3351=TRUE)*F3351*3)+((C3353=TRUE)*F3353*(1-EXP(-0.75*B3386*5)))+((C3372=TRUE)*(F3372-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3359=TRUE)*F3359*IF(AND(Inputs!$B$39&lt;&gt;"pvp",Inputs!$B$44&gt;0),(((R3359-1)*MIN((Skills!Y11*(1+Inputs!$B$34/100)),(1/Q3359))+MIN((Skills!Y11*(1+Inputs!$B$34/100)),MAX(0,Inputs!$B$44-((R3359-1)*(1/Q3359)))))/Inputs!$B$44),IF(Inputs!$B$39="pvp",MIN((Skills!Y11*(1+Inputs!$B$34/100)),15)/15,MIN(1,(Skills!Y11*(1+Inputs!$B$34/100))/(1/Q3359)))))/100)*(1+((C3364=TRUE)*F3364*IF(AND(Inputs!$B$39&lt;&gt;"pvp",Inputs!$B$44&gt;0),(((R3364-1)*MIN((Skills!Y16*(1+Inputs!$B$34/100)),(1/Q3364))+MIN((Skills!Y16*(1+Inputs!$B$34/100)),MAX(0,Inputs!$B$44-((R3364-1)*(1/Q3364)))))/Inputs!$B$44),IF(Inputs!$B$39="pvp",MIN((Skills!Y16*(1+Inputs!$B$34/100)),15)/15,MIN(1,(Skills!Y16*(1+Inputs!$B$34/100))/(1/Q3364)))))/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3384*I3360)</f>
        <v/>
      </c>
      <c r="L3360">
        <f>K3360*(MIN(Inputs!$B$22+((C3373=TRUE)*(F3373-Calc!F25)),(Inputs!$B$23+((C3378=TRUE)*(F3378-Calc!F30))+IF(ArtifactsInput!$M$15,CHOOSE(ArtifactsInput!$N$15+1,25,30,35,40,45,50)/100*(Inputs!$B$11-Inputs!$B$11),0)))/100+(Inputs!$B$23+((C3378=TRUE)*(F3378-Calc!F30))+IF(ArtifactsInput!$M$15,CHOOSE(ArtifactsInput!$N$15+1,25,30,35,40,45,50)/100*(Inputs!$B$11-Inputs!$B$11),0))/100)/2</f>
        <v/>
      </c>
      <c r="M3360">
        <f>L3360*(1+(Inputs!$B$10+((C3375=TRUE)*(F3375-Calc!F27))+B3389+(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3360">
        <f>L3360*(1-MIN((Inputs!$B$9+((C3374=TRUE)*(F3374-Calc!F26))+B3382+(ArtifactsInput!$M$24-ArtifactsInput!$M$24)*CHOOSE(ArtifactsInput!$N$24+1,10,12,14,16,18,20)+(IF(AND(Inputs!$B$39&lt;&gt;"pvp",Inputs!$B$44=0),1,IF(IF(Inputs!$B$39="pvp",15,Inputs!$B$44)-(B3393)&lt;=0,1,MAX(0,IF(Inputs!$B$39="pvp",15,Inputs!$B$44)-MAX(5,B3393))/(IF(Inputs!$B$39="pvp",15,Inputs!$B$44)-(B3393))))*IF(AND(ArtifactsInput!$M$42,((Inputs!$B$9+((C3374=TRUE)*(F3374-Calc!F26))+B3382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3360*(MIN((Inputs!$B$9+((C3374=TRUE)*(F3374-Calc!F26))+B3382+(ArtifactsInput!$M$24-ArtifactsInput!$M$24)*CHOOSE(ArtifactsInput!$N$24+1,10,12,14,16,18,20)+(IF(AND(Inputs!$B$39&lt;&gt;"pvp",Inputs!$B$44=0),1,IF(IF(Inputs!$B$39="pvp",15,Inputs!$B$44)-(B3393)&lt;=0,1,MAX(0,IF(Inputs!$B$39="pvp",15,Inputs!$B$44)-MAX(5,B3393))/(IF(Inputs!$B$39="pvp",15,Inputs!$B$44)-(B3393))))*IF(AND(ArtifactsInput!$M$42,((Inputs!$B$9+((C3374=TRUE)*(F3374-Calc!F26))+B3382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3360">
        <f>(1-Summary!$B$11)*T3360+Summary!$B$11*V3360</f>
        <v/>
      </c>
      <c r="P3360">
        <f>IF(B3394=0,0,O3360/B3394)</f>
        <v/>
      </c>
      <c r="Q3360">
        <f>IFERROR(1/IF(Inputs!$B$39="pvp",15,MAX(0.1,Skills!D12-IF(TRUE=TRUE,1.0,0))),0)</f>
        <v/>
      </c>
      <c r="R3360">
        <f>IF(AND(Inputs!$B$39&lt;&gt;"pvp",Inputs!$B$44&gt;0),IF(MAX(0,Inputs!$B$44-B3393)&lt;=0,0,(INT(MAX(0,Inputs!$B$44-B3393)/IF(Inputs!$B$39="pvp",15,MAX(0.1,Skills!D12-IF(TRUE=TRUE,1.0,0))))+1)),0)</f>
        <v/>
      </c>
      <c r="S3360">
        <f>IFERROR(O3360/N3360,0)</f>
        <v/>
      </c>
      <c r="T3360">
        <f>IF(C3360,(H3360*N3360*IF(AND(Inputs!$B$39&lt;&gt;"pvp",Inputs!$B$44&gt;0),((Skills!G12*((R3360-1)*IF(Skills!H12&gt;0,Skills!I12/Skills!H12,1)+IF(Skills!H12&gt;0,MIN(Skills!I12,MAX(0,MAX(0,Inputs!$B$44-B3393)-((R3360-1)*IF(Inputs!$B$39="pvp",15,MAX(0.1,Skills!D12-IF(TRUE=TRUE,1.0,0))))))/Skills!H12,1)))/Inputs!$B$44),G3360*Q3360))*IF(Inputs!$B$39="pvp",1,1+(Inputs!$B$20+0+Skills!P12+B3383+(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Hunt"),CHOOSE(ArtifactsInput!$N$35+1,15,18,21,24,27,30)*(1-EXP(-(0.2*B3386)*5)),0)+IF(AND(ArtifactsInput!$M$22,Inputs!$B$4&lt;&gt;"Chapter Hunt"),CHOOSE(ArtifactsInput!$N$22+1,10,12,14,16,18,20)*((0*(((0.15*B3386*5))^0/1)+1*(((0.15*B3386*5))^1/1)+2*(((0.15*B3386*5))^2/2)+3*(((0.15*B3386*5))^3/6)+4*(((0.15*B3386*5))^4/24)+5*(((0.15*B3386*5))^5/120))/((((0.15*B3386*5))^0/1)+(((0.15*B3386*5))^1/1)+(((0.15*B3386*5))^2/2)+(((0.15*B3386*5))^3/6)+(((0.15*B3386*5))^4/24)+(((0.15*B3386*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3360*(1-MIN(100,(Inputs!$B$9+((C3374=TRUE)*(F3374-Calc!F26))+B3382+(ArtifactsInput!$M$24-ArtifactsInput!$M$24)*CHOOSE(ArtifactsInput!$N$24+1,10,12,14,16,18,20)+(IF(AND(Inputs!$B$39&lt;&gt;"pvp",Inputs!$B$44=0),1,IF(IF(Inputs!$B$39="pvp",15,Inputs!$B$44)-(B3393)&lt;=0,1,MAX(0,IF(Inputs!$B$39="pvp",15,Inputs!$B$44)-MAX(5,B3393))/(IF(Inputs!$B$39="pvp",15,Inputs!$B$44)-(B3393))))*IF(AND(ArtifactsInput!$M$42,((Inputs!$B$9+((C3374=TRUE)*(F3374-Calc!F26))+B3382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3360*(MIN(100,(Inputs!$B$9+((C3374=TRUE)*(F3374-Calc!F26))+B3382+(ArtifactsInput!$M$24-ArtifactsInput!$M$24)*CHOOSE(ArtifactsInput!$N$24+1,10,12,14,16,18,20)+(IF(AND(Inputs!$B$39&lt;&gt;"pvp",Inputs!$B$44=0),1,IF(IF(Inputs!$B$39="pvp",15,Inputs!$B$44)-(B3393)&lt;=0,1,MAX(0,IF(Inputs!$B$39="pvp",15,Inputs!$B$44)-MAX(5,B3393))/(IF(Inputs!$B$39="pvp",15,Inputs!$B$44)-(B3393))))*IF(AND(ArtifactsInput!$M$42,((Inputs!$B$9+((C3374=TRUE)*(F3374-Calc!F26))+B3382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3360*(1-MIN(100,(Inputs!$B$9+((C3374=TRUE)*(F3374-Calc!F26))+B3382+(ArtifactsInput!$M$24-ArtifactsInput!$M$24)*CHOOSE(ArtifactsInput!$N$24+1,10,12,14,16,18,20)+(IF(AND(Inputs!$B$39&lt;&gt;"pvp",Inputs!$B$44=0),1,IF(IF(Inputs!$B$39="pvp",15,Inputs!$B$44)-(B3393)&lt;=0,1,MAX(0,IF(Inputs!$B$39="pvp",15,Inputs!$B$44)-MAX(5,B3393))/(IF(Inputs!$B$39="pvp",15,Inputs!$B$44)-(B3393))))*IF(AND(ArtifactsInput!$M$42,((Inputs!$B$9+((C3374=TRUE)*(F3374-Calc!F26))+B3382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3360*(MIN(100,(Inputs!$B$9+((C3374=TRUE)*(F3374-Calc!F26))+B3382+(ArtifactsInput!$M$24-ArtifactsInput!$M$24)*CHOOSE(ArtifactsInput!$N$24+1,10,12,14,16,18,20)+(IF(AND(Inputs!$B$39&lt;&gt;"pvp",Inputs!$B$44=0),1,IF(IF(Inputs!$B$39="pvp",15,Inputs!$B$44)-(B3393)&lt;=0,1,MAX(0,IF(Inputs!$B$39="pvp",15,Inputs!$B$44)-MAX(5,B3393))/(IF(Inputs!$B$39="pvp",15,Inputs!$B$44)-(B3393))))*IF(AND(ArtifactsInput!$M$42,((Inputs!$B$9+((C3374=TRUE)*(F3374-Calc!F26))+B3382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3360">
        <f>IF(C3360,(H3360*N3360*IF(AND(Inputs!$B$39&lt;&gt;"pvp",Inputs!$B$44&gt;0),((Skills!G12*((R3360-1)*IF(Skills!H12&gt;0,Skills!I12/Skills!H12,1)+IF(Skills!H12&gt;0,MIN(Skills!I12,MAX(0,MAX(0,Inputs!$B$44-B3393)-((R3360-1)*IF(Inputs!$B$39="pvp",15,MAX(0.1,Skills!D12-IF(TRUE=TRUE,1.0,0))))))/Skills!H12,1)))/Inputs!$B$44),G3360*Q3360))*IF(Inputs!$B$39="pvp",1,(1+(Inputs!$B$21+Skills!Q12+B3383+(IF(ArtifactsInput!$M$33,CHOOSE(ArtifactsInput!$N$33+1,30,36,42,48,54,60),0))+(IF(AND(ArtifactsInput!$M$35,Inputs!$B$4&lt;&gt;"Chapter Hunt"),CHOOSE(ArtifactsInput!$N$35+1,15,18,21,24,27,30)*(1-EXP(-(0.2*B3386)*5)),0)+IF(AND(ArtifactsInput!$M$22,Inputs!$B$4&lt;&gt;"Chapter Hunt"),CHOOSE(ArtifactsInput!$N$22+1,10,12,14,16,18,20)*((0*(((0.15*B3386*5))^0/1)+1*(((0.15*B3386*5))^1/1)+2*(((0.15*B3386*5))^2/2)+3*(((0.15*B3386*5))^3/6)+4*(((0.15*B3386*5))^4/24)+5*(((0.15*B3386*5))^5/120))/((((0.15*B3386*5))^0/1)+(((0.15*B3386*5))^1/1)+(((0.15*B3386*5))^2/2)+(((0.15*B3386*5))^3/6)+(((0.15*B3386*5))^4/24)+(((0.15*B3386*5))^5/120))),0)))/100)*(MIN(Skills!W12,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3361">
      <c r="A3361">
        <f>Skills!A13</f>
        <v/>
      </c>
      <c r="B3361">
        <f>Skills!B13</f>
        <v/>
      </c>
      <c r="C3361">
        <f>Inputs!$B$3&gt;=105</f>
        <v/>
      </c>
      <c r="D3361">
        <f>IF(Skills!C13=1,60+Inputs!$B$25+Inputs!$B$29,IF(Skills!C13=2,90+Inputs!$B$26+Inputs!$B$29,IF(Skills!C13=3,120+Inputs!$B$27+Inputs!$B$29,MAX(0,(Inputs!$B$3-100)*3)+Inputs!$B$28+Inputs!$B$29)))</f>
        <v/>
      </c>
      <c r="E3361">
        <f>INDEX(FactorTable!$B$2:$Y$301, MATCH(ROUND(MIN(300,MAX(1,D3361)),0), FactorTable!$A$2:$A$301,0), Skills!M13+1)</f>
        <v/>
      </c>
      <c r="F3361">
        <f>IF(Skills!N13=TRUE,(Skills!L13/10)*(E3361/1000),Skills!L13/10)+Skills!O13</f>
        <v/>
      </c>
      <c r="G3361">
        <f>Skills!G13*IF(Skills!H13&gt;0,IF(Inputs!$B$39="pvp",MIN(Skills!I13,15),Skills!I13)/Skills!H13,1)</f>
        <v/>
      </c>
      <c r="H3361">
        <f>1-(1-Skills!J13/100)^Skills!K13</f>
        <v/>
      </c>
      <c r="I3361" t="inlineStr">
        <is>
          <t>1</t>
        </is>
      </c>
      <c r="J3361">
        <f>((Inputs!$B$6*(1+Inputs!$B$7/100))+(((Inputs!$B$12*(1+Inputs!$B$13/100))-(Inputs!$B$12*(1+Inputs!$B$13/100)))+0.25*(Inputs!$B$14-Inputs!$B$14))*(1+Inputs!$B$7/100))*(F3361/100)</f>
        <v/>
      </c>
      <c r="K3361">
        <f>J3361*(1+((Inputs!$B$12*(1+Inputs!$B$13/100))*0.01+Inputs!$B$14*0.0025)/100)*(1+Inputs!$B$15/100)*(1+Inputs!$B$16/100)*(5000/(6000+Inputs!$B$43*(1-(100*(1-(1-Inputs!$B$19/100)*(1-CHOOSE(ArtifactsInput!$N$40+1,5,6,7,8,9,10)/100)^(ArtifactsInput!$M$40-ArtifactsInput!$M$40)))/100)))*(1+(Inputs!$B$24+((C3379=TRUE)*(F3379-Calc!F31))+((C3366=TRUE)*(F3366-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13="CRUEL_STAB",Inputs!$B$17+((C3376=TRUE)*(F3376-Calc!F28))+((IF(AND(Inputs!$B$39&lt;&gt;"pvp",Inputs!$B$44=0),1,IF(IF(Inputs!$B$39="pvp",15,Inputs!$B$44)-(B3393)&lt;=0,1,MAX(0,IF(Inputs!$B$39="pvp",15,Inputs!$B$44)-MAX(5,B3393))/(IF(Inputs!$B$39="pvp",15,Inputs!$B$44)-(B3393))))*(IF(AND(ArtifactsInput!$M$42,((Inputs!$B$9+((C3374=TRUE)*(F3374-Calc!F26))+B3382+(ArtifactsInput!$M$24-ArtifactsInput!$M$24)*CHOOSE(ArtifactsInput!$N$24+1,10,12,14,16,18,20)+IF(ArtifactsInput!$M$10,CHOOSE(ArtifactsInput!$N$10+1,15,18,21,24,27,30)*(IF(Inputs!$B$39="pvp",MIN(15,15)/15,IF(AND(Inputs!$B$39&lt;&gt;"pvp",Inputs!$B$44&gt;0),MIN(15,Inputs!$B$44)/(Inputs!$B$44),0))),0)))&gt;=100),MIN(100,((Inputs!$B$9+((C3374=TRUE)*(F3374-Calc!F26))+B3382+(ArtifactsInput!$M$24-ArtifactsInput!$M$24)*CHOOSE(ArtifactsInput!$N$24+1,10,12,14,16,18,20)+IF(ArtifactsInput!$M$10,CHOOSE(ArtifactsInput!$N$10+1,15,18,21,24,27,30)*(IF(Inputs!$B$39="pvp",MIN(15,15)/15,IF(AND(Inputs!$B$39&lt;&gt;"pvp",Inputs!$B$44&gt;0),MIN(15,Inputs!$B$44)/(Inputs!$B$44),0))),0)))-100),0))*CHOOSE(ArtifactsInput!$N$42+1,0.6,0.72,0.84,0.96,1.08,1.2))),Inputs!$B$18+((C3377=TRUE)*(F3377-Calc!F29))+(IF(AND(Inputs!$B$39&lt;&gt;"pvp",Inputs!$B$44=0),1,IF(IF(Inputs!$B$39="pvp",15,Inputs!$B$44)-(B3393)&lt;=0,1,MAX(0,IF(Inputs!$B$39="pvp",15,Inputs!$B$44)-MAX(5,B3393))/(IF(Inputs!$B$39="pvp",15,Inputs!$B$44)-(B3393))))*IF(AND(ArtifactsInput!$M$42,((Inputs!$B$9+((C3374=TRUE)*(F3374-Calc!F26))+B3382+(ArtifactsInput!$M$24-ArtifactsInput!$M$24)*CHOOSE(ArtifactsInput!$N$24+1,10,12,14,16,18,20)+IF(ArtifactsInput!$M$10,CHOOSE(ArtifactsInput!$N$10+1,15,18,21,24,27,30)*(IF(Inputs!$B$39="pvp",MIN(15,15)/15,IF(AND(Inputs!$B$39&lt;&gt;"pvp",Inputs!$B$44&gt;0),MIN(15,Inputs!$B$44)/(Inputs!$B$44),0))),0)))&gt;=100),CHOOSE(ArtifactsInput!$N$42+1,40,48,56,64,72,80),0))))/100)*(((1+(((C3370=TRUE)*F3370*IF(AND(Inputs!$B$39&lt;&gt;"pvp",Inputs!$B$44&gt;0),(((R3370-1)*MIN((Skills!Y22*(1+Inputs!$B$34/100)),(1/Q3370))+MIN((Skills!Y22*(1+Inputs!$B$34/100)),MAX(0,Inputs!$B$44-((R3370-1)*(1/Q3370)))))/Inputs!$B$44),IF(Inputs!$B$39="pvp",MIN((Skills!Y22*(1+Inputs!$B$34/100)),15)/15,MIN(1,(Skills!Y22*(1+Inputs!$B$34/100))/(1/Q3370)))))+((C3351=TRUE)*F3351*3)+((C3353=TRUE)*F3353*(1-EXP(-0.75*B3386*5)))+((C3372=TRUE)*(F3372-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3359=TRUE)*F3359*IF(AND(Inputs!$B$39&lt;&gt;"pvp",Inputs!$B$44&gt;0),(((R3359-1)*MIN((Skills!Y11*(1+Inputs!$B$34/100)),(1/Q3359))+MIN((Skills!Y11*(1+Inputs!$B$34/100)),MAX(0,Inputs!$B$44-((R3359-1)*(1/Q3359)))))/Inputs!$B$44),IF(Inputs!$B$39="pvp",MIN((Skills!Y11*(1+Inputs!$B$34/100)),15)/15,MIN(1,(Skills!Y11*(1+Inputs!$B$34/100))/(1/Q3359)))))/100)*(1+((C3364=TRUE)*F3364*IF(AND(Inputs!$B$39&lt;&gt;"pvp",Inputs!$B$44&gt;0),(((R3364-1)*MIN((Skills!Y16*(1+Inputs!$B$34/100)),(1/Q3364))+MIN((Skills!Y16*(1+Inputs!$B$34/100)),MAX(0,Inputs!$B$44-((R3364-1)*(1/Q3364)))))/Inputs!$B$44),IF(Inputs!$B$39="pvp",MIN((Skills!Y16*(1+Inputs!$B$34/100)),15)/15,MIN(1,(Skills!Y16*(1+Inputs!$B$34/100))/(1/Q3364)))))/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3384*I3361)</f>
        <v/>
      </c>
      <c r="L3361">
        <f>K3361*(MIN(Inputs!$B$22+((C3373=TRUE)*(F3373-Calc!F25)),(Inputs!$B$23+((C3378=TRUE)*(F3378-Calc!F30))+IF(ArtifactsInput!$M$15,CHOOSE(ArtifactsInput!$N$15+1,25,30,35,40,45,50)/100*(Inputs!$B$11-Inputs!$B$11),0)))/100+(Inputs!$B$23+((C3378=TRUE)*(F3378-Calc!F30))+IF(ArtifactsInput!$M$15,CHOOSE(ArtifactsInput!$N$15+1,25,30,35,40,45,50)/100*(Inputs!$B$11-Inputs!$B$11),0))/100)/2</f>
        <v/>
      </c>
      <c r="M3361">
        <f>L3361*(1+(Inputs!$B$10+((C3375=TRUE)*(F3375-Calc!F27))+B3389+(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3361">
        <f>L3361*(1-MIN((Inputs!$B$9+((C3374=TRUE)*(F3374-Calc!F26))+B3382+(ArtifactsInput!$M$24-ArtifactsInput!$M$24)*CHOOSE(ArtifactsInput!$N$24+1,10,12,14,16,18,20)+(IF(AND(Inputs!$B$39&lt;&gt;"pvp",Inputs!$B$44=0),1,IF(IF(Inputs!$B$39="pvp",15,Inputs!$B$44)-(B3393)&lt;=0,1,MAX(0,IF(Inputs!$B$39="pvp",15,Inputs!$B$44)-MAX(5,B3393))/(IF(Inputs!$B$39="pvp",15,Inputs!$B$44)-(B3393))))*IF(AND(ArtifactsInput!$M$42,((Inputs!$B$9+((C3374=TRUE)*(F3374-Calc!F26))+B3382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3361*(MIN((Inputs!$B$9+((C3374=TRUE)*(F3374-Calc!F26))+B3382+(ArtifactsInput!$M$24-ArtifactsInput!$M$24)*CHOOSE(ArtifactsInput!$N$24+1,10,12,14,16,18,20)+(IF(AND(Inputs!$B$39&lt;&gt;"pvp",Inputs!$B$44=0),1,IF(IF(Inputs!$B$39="pvp",15,Inputs!$B$44)-(B3393)&lt;=0,1,MAX(0,IF(Inputs!$B$39="pvp",15,Inputs!$B$44)-MAX(5,B3393))/(IF(Inputs!$B$39="pvp",15,Inputs!$B$44)-(B3393))))*IF(AND(ArtifactsInput!$M$42,((Inputs!$B$9+((C3374=TRUE)*(F3374-Calc!F26))+B3382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3361">
        <f>(1-Summary!$B$11)*T3361+Summary!$B$11*V3361</f>
        <v/>
      </c>
      <c r="P3361">
        <f>IF(B3394=0,0,O3361/B3394)</f>
        <v/>
      </c>
      <c r="Q3361">
        <f>IFERROR(1/IF(Inputs!$B$39="pvp",15,MAX(0.1,Skills!D13-IF(TRUE=TRUE,1.0,0))),0)</f>
        <v/>
      </c>
      <c r="R3361">
        <f>IF(AND(Inputs!$B$39&lt;&gt;"pvp",Inputs!$B$44&gt;0),IF(MAX(0,Inputs!$B$44-B3393)&lt;=0,0,(INT(MAX(0,Inputs!$B$44-B3393)/IF(Inputs!$B$39="pvp",15,MAX(0.1,Skills!D13-IF(TRUE=TRUE,1.0,0))))+1)),0)</f>
        <v/>
      </c>
      <c r="S3361">
        <f>IFERROR(O3361/N3361,0)</f>
        <v/>
      </c>
      <c r="T3361">
        <f>IF(C3361,(H3361*N3361*IF(AND(Inputs!$B$39&lt;&gt;"pvp",Inputs!$B$44&gt;0),((Skills!G13*((R3361-1)*IF(Skills!H13&gt;0,Skills!I13/Skills!H13,1)+IF(Skills!H13&gt;0,MIN(Skills!I13,MAX(0,MAX(0,Inputs!$B$44-B3393)-((R3361-1)*IF(Inputs!$B$39="pvp",15,MAX(0.1,Skills!D13-IF(TRUE=TRUE,1.0,0))))))/Skills!H13,1)))/Inputs!$B$44),G3361*Q3361))*IF(Inputs!$B$39="pvp",1,1+(Inputs!$B$20+0+Skills!P13+B3383+(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Hunt"),CHOOSE(ArtifactsInput!$N$35+1,15,18,21,24,27,30)*(1-EXP(-(0.2*B3386)*5)),0)+IF(AND(ArtifactsInput!$M$22,Inputs!$B$4&lt;&gt;"Chapter Hunt"),CHOOSE(ArtifactsInput!$N$22+1,10,12,14,16,18,20)*((0*(((0.15*B3386*5))^0/1)+1*(((0.15*B3386*5))^1/1)+2*(((0.15*B3386*5))^2/2)+3*(((0.15*B3386*5))^3/6)+4*(((0.15*B3386*5))^4/24)+5*(((0.15*B3386*5))^5/120))/((((0.15*B3386*5))^0/1)+(((0.15*B3386*5))^1/1)+(((0.15*B3386*5))^2/2)+(((0.15*B3386*5))^3/6)+(((0.15*B3386*5))^4/24)+(((0.15*B3386*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3361*(1-MIN(100,(Inputs!$B$9+((C3374=TRUE)*(F3374-Calc!F26))+B3382+(ArtifactsInput!$M$24-ArtifactsInput!$M$24)*CHOOSE(ArtifactsInput!$N$24+1,10,12,14,16,18,20)+(IF(AND(Inputs!$B$39&lt;&gt;"pvp",Inputs!$B$44=0),1,IF(IF(Inputs!$B$39="pvp",15,Inputs!$B$44)-(B3393)&lt;=0,1,MAX(0,IF(Inputs!$B$39="pvp",15,Inputs!$B$44)-MAX(5,B3393))/(IF(Inputs!$B$39="pvp",15,Inputs!$B$44)-(B3393))))*IF(AND(ArtifactsInput!$M$42,((Inputs!$B$9+((C3374=TRUE)*(F3374-Calc!F26))+B3382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3361*(MIN(100,(Inputs!$B$9+((C3374=TRUE)*(F3374-Calc!F26))+B3382+(ArtifactsInput!$M$24-ArtifactsInput!$M$24)*CHOOSE(ArtifactsInput!$N$24+1,10,12,14,16,18,20)+(IF(AND(Inputs!$B$39&lt;&gt;"pvp",Inputs!$B$44=0),1,IF(IF(Inputs!$B$39="pvp",15,Inputs!$B$44)-(B3393)&lt;=0,1,MAX(0,IF(Inputs!$B$39="pvp",15,Inputs!$B$44)-MAX(5,B3393))/(IF(Inputs!$B$39="pvp",15,Inputs!$B$44)-(B3393))))*IF(AND(ArtifactsInput!$M$42,((Inputs!$B$9+((C3374=TRUE)*(F3374-Calc!F26))+B3382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3361*(1-MIN(100,(Inputs!$B$9+((C3374=TRUE)*(F3374-Calc!F26))+B3382+(ArtifactsInput!$M$24-ArtifactsInput!$M$24)*CHOOSE(ArtifactsInput!$N$24+1,10,12,14,16,18,20)+(IF(AND(Inputs!$B$39&lt;&gt;"pvp",Inputs!$B$44=0),1,IF(IF(Inputs!$B$39="pvp",15,Inputs!$B$44)-(B3393)&lt;=0,1,MAX(0,IF(Inputs!$B$39="pvp",15,Inputs!$B$44)-MAX(5,B3393))/(IF(Inputs!$B$39="pvp",15,Inputs!$B$44)-(B3393))))*IF(AND(ArtifactsInput!$M$42,((Inputs!$B$9+((C3374=TRUE)*(F3374-Calc!F26))+B3382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3361*(MIN(100,(Inputs!$B$9+((C3374=TRUE)*(F3374-Calc!F26))+B3382+(ArtifactsInput!$M$24-ArtifactsInput!$M$24)*CHOOSE(ArtifactsInput!$N$24+1,10,12,14,16,18,20)+(IF(AND(Inputs!$B$39&lt;&gt;"pvp",Inputs!$B$44=0),1,IF(IF(Inputs!$B$39="pvp",15,Inputs!$B$44)-(B3393)&lt;=0,1,MAX(0,IF(Inputs!$B$39="pvp",15,Inputs!$B$44)-MAX(5,B3393))/(IF(Inputs!$B$39="pvp",15,Inputs!$B$44)-(B3393))))*IF(AND(ArtifactsInput!$M$42,((Inputs!$B$9+((C3374=TRUE)*(F3374-Calc!F26))+B3382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3361">
        <f>IF(C3361,(H3361*N3361*IF(AND(Inputs!$B$39&lt;&gt;"pvp",Inputs!$B$44&gt;0),((Skills!G13*((R3361-1)*IF(Skills!H13&gt;0,Skills!I13/Skills!H13,1)+IF(Skills!H13&gt;0,MIN(Skills!I13,MAX(0,MAX(0,Inputs!$B$44-B3393)-((R3361-1)*IF(Inputs!$B$39="pvp",15,MAX(0.1,Skills!D13-IF(TRUE=TRUE,1.0,0))))))/Skills!H13,1)))/Inputs!$B$44),G3361*Q3361))*IF(Inputs!$B$39="pvp",1,(1+(Inputs!$B$21+Skills!Q13+B3383+(IF(ArtifactsInput!$M$33,CHOOSE(ArtifactsInput!$N$33+1,30,36,42,48,54,60),0))+(IF(AND(ArtifactsInput!$M$35,Inputs!$B$4&lt;&gt;"Chapter Hunt"),CHOOSE(ArtifactsInput!$N$35+1,15,18,21,24,27,30)*(1-EXP(-(0.2*B3386)*5)),0)+IF(AND(ArtifactsInput!$M$22,Inputs!$B$4&lt;&gt;"Chapter Hunt"),CHOOSE(ArtifactsInput!$N$22+1,10,12,14,16,18,20)*((0*(((0.15*B3386*5))^0/1)+1*(((0.15*B3386*5))^1/1)+2*(((0.15*B3386*5))^2/2)+3*(((0.15*B3386*5))^3/6)+4*(((0.15*B3386*5))^4/24)+5*(((0.15*B3386*5))^5/120))/((((0.15*B3386*5))^0/1)+(((0.15*B3386*5))^1/1)+(((0.15*B3386*5))^2/2)+(((0.15*B3386*5))^3/6)+(((0.15*B3386*5))^4/24)+(((0.15*B3386*5))^5/120))),0)))/100)*(MIN(Skills!W13,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3362">
      <c r="A3362">
        <f>Skills!A14</f>
        <v/>
      </c>
      <c r="B3362">
        <f>Skills!B14</f>
        <v/>
      </c>
      <c r="C3362">
        <f>Inputs!$B$3&gt;=105</f>
        <v/>
      </c>
      <c r="D3362">
        <f>IF(Skills!C14=1,60+Inputs!$B$25+Inputs!$B$29,IF(Skills!C14=2,90+Inputs!$B$26+Inputs!$B$29,IF(Skills!C14=3,120+Inputs!$B$27+Inputs!$B$29,MAX(0,(Inputs!$B$3-100)*3)+Inputs!$B$28+Inputs!$B$29)))</f>
        <v/>
      </c>
      <c r="E3362">
        <f>INDEX(FactorTable!$B$2:$Y$301, MATCH(ROUND(MIN(300,MAX(1,D3362)),0), FactorTable!$A$2:$A$301,0), Skills!M14+1)</f>
        <v/>
      </c>
      <c r="F3362">
        <f>IF(Skills!N14=TRUE,(Skills!L14/10)*(E3362/1000),Skills!L14/10)+Skills!O14</f>
        <v/>
      </c>
      <c r="G3362">
        <f>Skills!G14*IF(Skills!H14&gt;0,IF(Inputs!$B$39="pvp",MIN(Skills!I14,15),Skills!I14)/Skills!H14,1)</f>
        <v/>
      </c>
      <c r="H3362">
        <f>1-(1-Skills!J14/100)^Skills!K14</f>
        <v/>
      </c>
      <c r="I3362" t="inlineStr">
        <is>
          <t>1</t>
        </is>
      </c>
      <c r="J3362">
        <f>((Inputs!$B$6*(1+Inputs!$B$7/100))+(((Inputs!$B$12*(1+Inputs!$B$13/100))-(Inputs!$B$12*(1+Inputs!$B$13/100)))+0.25*(Inputs!$B$14-Inputs!$B$14))*(1+Inputs!$B$7/100))*(F3362/100)</f>
        <v/>
      </c>
      <c r="K3362">
        <f>J3362*(1+((Inputs!$B$12*(1+Inputs!$B$13/100))*0.01+Inputs!$B$14*0.0025)/100)*(1+Inputs!$B$15/100)*(1+Inputs!$B$16/100)*(5000/(6000+Inputs!$B$43*(1-(100*(1-(1-Inputs!$B$19/100)*(1-CHOOSE(ArtifactsInput!$N$40+1,5,6,7,8,9,10)/100)^(ArtifactsInput!$M$40-ArtifactsInput!$M$40)))/100)))*(1+(Inputs!$B$24+((C3379=TRUE)*(F3379-Calc!F31))+((C3366=TRUE)*(F3366-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14="CRUEL_STAB",Inputs!$B$17+((C3376=TRUE)*(F3376-Calc!F28))+((IF(AND(Inputs!$B$39&lt;&gt;"pvp",Inputs!$B$44=0),1,IF(IF(Inputs!$B$39="pvp",15,Inputs!$B$44)-(B3393)&lt;=0,1,MAX(0,IF(Inputs!$B$39="pvp",15,Inputs!$B$44)-MAX(5,B3393))/(IF(Inputs!$B$39="pvp",15,Inputs!$B$44)-(B3393))))*(IF(AND(ArtifactsInput!$M$42,((Inputs!$B$9+((C3374=TRUE)*(F3374-Calc!F26))+B3382+(ArtifactsInput!$M$24-ArtifactsInput!$M$24)*CHOOSE(ArtifactsInput!$N$24+1,10,12,14,16,18,20)+IF(ArtifactsInput!$M$10,CHOOSE(ArtifactsInput!$N$10+1,15,18,21,24,27,30)*(IF(Inputs!$B$39="pvp",MIN(15,15)/15,IF(AND(Inputs!$B$39&lt;&gt;"pvp",Inputs!$B$44&gt;0),MIN(15,Inputs!$B$44)/(Inputs!$B$44),0))),0)))&gt;=100),MIN(100,((Inputs!$B$9+((C3374=TRUE)*(F3374-Calc!F26))+B3382+(ArtifactsInput!$M$24-ArtifactsInput!$M$24)*CHOOSE(ArtifactsInput!$N$24+1,10,12,14,16,18,20)+IF(ArtifactsInput!$M$10,CHOOSE(ArtifactsInput!$N$10+1,15,18,21,24,27,30)*(IF(Inputs!$B$39="pvp",MIN(15,15)/15,IF(AND(Inputs!$B$39&lt;&gt;"pvp",Inputs!$B$44&gt;0),MIN(15,Inputs!$B$44)/(Inputs!$B$44),0))),0)))-100),0))*CHOOSE(ArtifactsInput!$N$42+1,0.6,0.72,0.84,0.96,1.08,1.2))),Inputs!$B$18+((C3377=TRUE)*(F3377-Calc!F29))+(IF(AND(Inputs!$B$39&lt;&gt;"pvp",Inputs!$B$44=0),1,IF(IF(Inputs!$B$39="pvp",15,Inputs!$B$44)-(B3393)&lt;=0,1,MAX(0,IF(Inputs!$B$39="pvp",15,Inputs!$B$44)-MAX(5,B3393))/(IF(Inputs!$B$39="pvp",15,Inputs!$B$44)-(B3393))))*IF(AND(ArtifactsInput!$M$42,((Inputs!$B$9+((C3374=TRUE)*(F3374-Calc!F26))+B3382+(ArtifactsInput!$M$24-ArtifactsInput!$M$24)*CHOOSE(ArtifactsInput!$N$24+1,10,12,14,16,18,20)+IF(ArtifactsInput!$M$10,CHOOSE(ArtifactsInput!$N$10+1,15,18,21,24,27,30)*(IF(Inputs!$B$39="pvp",MIN(15,15)/15,IF(AND(Inputs!$B$39&lt;&gt;"pvp",Inputs!$B$44&gt;0),MIN(15,Inputs!$B$44)/(Inputs!$B$44),0))),0)))&gt;=100),CHOOSE(ArtifactsInput!$N$42+1,40,48,56,64,72,80),0))))/100)*(((1+(((C3370=TRUE)*F3370*IF(AND(Inputs!$B$39&lt;&gt;"pvp",Inputs!$B$44&gt;0),(((R3370-1)*MIN((Skills!Y22*(1+Inputs!$B$34/100)),(1/Q3370))+MIN((Skills!Y22*(1+Inputs!$B$34/100)),MAX(0,Inputs!$B$44-((R3370-1)*(1/Q3370)))))/Inputs!$B$44),IF(Inputs!$B$39="pvp",MIN((Skills!Y22*(1+Inputs!$B$34/100)),15)/15,MIN(1,(Skills!Y22*(1+Inputs!$B$34/100))/(1/Q3370)))))+((C3351=TRUE)*F3351*3)+((C3353=TRUE)*F3353*(1-EXP(-0.75*B3386*5)))+((C3372=TRUE)*(F3372-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3359=TRUE)*F3359*IF(AND(Inputs!$B$39&lt;&gt;"pvp",Inputs!$B$44&gt;0),(((R3359-1)*MIN((Skills!Y11*(1+Inputs!$B$34/100)),(1/Q3359))+MIN((Skills!Y11*(1+Inputs!$B$34/100)),MAX(0,Inputs!$B$44-((R3359-1)*(1/Q3359)))))/Inputs!$B$44),IF(Inputs!$B$39="pvp",MIN((Skills!Y11*(1+Inputs!$B$34/100)),15)/15,MIN(1,(Skills!Y11*(1+Inputs!$B$34/100))/(1/Q3359)))))/100)*(1+((C3364=TRUE)*F3364*IF(AND(Inputs!$B$39&lt;&gt;"pvp",Inputs!$B$44&gt;0),(((R3364-1)*MIN((Skills!Y16*(1+Inputs!$B$34/100)),(1/Q3364))+MIN((Skills!Y16*(1+Inputs!$B$34/100)),MAX(0,Inputs!$B$44-((R3364-1)*(1/Q3364)))))/Inputs!$B$44),IF(Inputs!$B$39="pvp",MIN((Skills!Y16*(1+Inputs!$B$34/100)),15)/15,MIN(1,(Skills!Y16*(1+Inputs!$B$34/100))/(1/Q3364)))))/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3384*I3362)</f>
        <v/>
      </c>
      <c r="L3362">
        <f>K3362*(MIN(Inputs!$B$22+((C3373=TRUE)*(F3373-Calc!F25)),(Inputs!$B$23+((C3378=TRUE)*(F3378-Calc!F30))+IF(ArtifactsInput!$M$15,CHOOSE(ArtifactsInput!$N$15+1,25,30,35,40,45,50)/100*(Inputs!$B$11-Inputs!$B$11),0)))/100+(Inputs!$B$23+((C3378=TRUE)*(F3378-Calc!F30))+IF(ArtifactsInput!$M$15,CHOOSE(ArtifactsInput!$N$15+1,25,30,35,40,45,50)/100*(Inputs!$B$11-Inputs!$B$11),0))/100)/2</f>
        <v/>
      </c>
      <c r="M3362">
        <f>L3362*(1+(Inputs!$B$10+((C3375=TRUE)*(F3375-Calc!F27))+B3389+(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3362">
        <f>L3362*(1-MIN((Inputs!$B$9+((C3374=TRUE)*(F3374-Calc!F26))+B3382+(ArtifactsInput!$M$24-ArtifactsInput!$M$24)*CHOOSE(ArtifactsInput!$N$24+1,10,12,14,16,18,20)+(IF(AND(Inputs!$B$39&lt;&gt;"pvp",Inputs!$B$44=0),1,IF(IF(Inputs!$B$39="pvp",15,Inputs!$B$44)-(B3393)&lt;=0,1,MAX(0,IF(Inputs!$B$39="pvp",15,Inputs!$B$44)-MAX(5,B3393))/(IF(Inputs!$B$39="pvp",15,Inputs!$B$44)-(B3393))))*IF(AND(ArtifactsInput!$M$42,((Inputs!$B$9+((C3374=TRUE)*(F3374-Calc!F26))+B3382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3362*(MIN((Inputs!$B$9+((C3374=TRUE)*(F3374-Calc!F26))+B3382+(ArtifactsInput!$M$24-ArtifactsInput!$M$24)*CHOOSE(ArtifactsInput!$N$24+1,10,12,14,16,18,20)+(IF(AND(Inputs!$B$39&lt;&gt;"pvp",Inputs!$B$44=0),1,IF(IF(Inputs!$B$39="pvp",15,Inputs!$B$44)-(B3393)&lt;=0,1,MAX(0,IF(Inputs!$B$39="pvp",15,Inputs!$B$44)-MAX(5,B3393))/(IF(Inputs!$B$39="pvp",15,Inputs!$B$44)-(B3393))))*IF(AND(ArtifactsInput!$M$42,((Inputs!$B$9+((C3374=TRUE)*(F3374-Calc!F26))+B3382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3362">
        <f>(1-Summary!$B$11)*T3362+Summary!$B$11*V3362</f>
        <v/>
      </c>
      <c r="P3362">
        <f>IF(B3394=0,0,O3362/B3394)</f>
        <v/>
      </c>
      <c r="Q3362">
        <f>IFERROR(1/IF(Inputs!$B$39="pvp",15,MAX(0.1,Skills!D14-IF(TRUE=TRUE,1.0,0))),0)</f>
        <v/>
      </c>
      <c r="R3362">
        <f>IF(AND(Inputs!$B$39&lt;&gt;"pvp",Inputs!$B$44&gt;0),IF(MAX(0,Inputs!$B$44-B3393)&lt;=0,0,(INT(MAX(0,Inputs!$B$44-B3393)/IF(Inputs!$B$39="pvp",15,MAX(0.1,Skills!D14-IF(TRUE=TRUE,1.0,0))))+1)),0)</f>
        <v/>
      </c>
      <c r="S3362">
        <f>IFERROR(O3362/N3362,0)</f>
        <v/>
      </c>
      <c r="T3362">
        <f>IF(C3362,(H3362*N3362*IF(AND(Inputs!$B$39&lt;&gt;"pvp",Inputs!$B$44&gt;0),((Skills!G14*((R3362-1)*IF(Skills!H14&gt;0,Skills!I14/Skills!H14,1)+IF(Skills!H14&gt;0,MIN(Skills!I14,MAX(0,MAX(0,Inputs!$B$44-B3393)-((R3362-1)*IF(Inputs!$B$39="pvp",15,MAX(0.1,Skills!D14-IF(TRUE=TRUE,1.0,0))))))/Skills!H14,1)))/Inputs!$B$44),G3362*Q3362))*IF(Inputs!$B$39="pvp",1,1+(Inputs!$B$20+0+Skills!P14+B3383+(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Hunt"),CHOOSE(ArtifactsInput!$N$35+1,15,18,21,24,27,30)*(1-EXP(-(0.2*B3386)*5)),0)+IF(AND(ArtifactsInput!$M$22,Inputs!$B$4&lt;&gt;"Chapter Hunt"),CHOOSE(ArtifactsInput!$N$22+1,10,12,14,16,18,20)*((0*(((0.15*B3386*5))^0/1)+1*(((0.15*B3386*5))^1/1)+2*(((0.15*B3386*5))^2/2)+3*(((0.15*B3386*5))^3/6)+4*(((0.15*B3386*5))^4/24)+5*(((0.15*B3386*5))^5/120))/((((0.15*B3386*5))^0/1)+(((0.15*B3386*5))^1/1)+(((0.15*B3386*5))^2/2)+(((0.15*B3386*5))^3/6)+(((0.15*B3386*5))^4/24)+(((0.15*B3386*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3362*(1-MIN(100,(Inputs!$B$9+((C3374=TRUE)*(F3374-Calc!F26))+B3382+(ArtifactsInput!$M$24-ArtifactsInput!$M$24)*CHOOSE(ArtifactsInput!$N$24+1,10,12,14,16,18,20)+(IF(AND(Inputs!$B$39&lt;&gt;"pvp",Inputs!$B$44=0),1,IF(IF(Inputs!$B$39="pvp",15,Inputs!$B$44)-(B3393)&lt;=0,1,MAX(0,IF(Inputs!$B$39="pvp",15,Inputs!$B$44)-MAX(5,B3393))/(IF(Inputs!$B$39="pvp",15,Inputs!$B$44)-(B3393))))*IF(AND(ArtifactsInput!$M$42,((Inputs!$B$9+((C3374=TRUE)*(F3374-Calc!F26))+B3382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3362*(MIN(100,(Inputs!$B$9+((C3374=TRUE)*(F3374-Calc!F26))+B3382+(ArtifactsInput!$M$24-ArtifactsInput!$M$24)*CHOOSE(ArtifactsInput!$N$24+1,10,12,14,16,18,20)+(IF(AND(Inputs!$B$39&lt;&gt;"pvp",Inputs!$B$44=0),1,IF(IF(Inputs!$B$39="pvp",15,Inputs!$B$44)-(B3393)&lt;=0,1,MAX(0,IF(Inputs!$B$39="pvp",15,Inputs!$B$44)-MAX(5,B3393))/(IF(Inputs!$B$39="pvp",15,Inputs!$B$44)-(B3393))))*IF(AND(ArtifactsInput!$M$42,((Inputs!$B$9+((C3374=TRUE)*(F3374-Calc!F26))+B3382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3362*(1-MIN(100,(Inputs!$B$9+((C3374=TRUE)*(F3374-Calc!F26))+B3382+(ArtifactsInput!$M$24-ArtifactsInput!$M$24)*CHOOSE(ArtifactsInput!$N$24+1,10,12,14,16,18,20)+(IF(AND(Inputs!$B$39&lt;&gt;"pvp",Inputs!$B$44=0),1,IF(IF(Inputs!$B$39="pvp",15,Inputs!$B$44)-(B3393)&lt;=0,1,MAX(0,IF(Inputs!$B$39="pvp",15,Inputs!$B$44)-MAX(5,B3393))/(IF(Inputs!$B$39="pvp",15,Inputs!$B$44)-(B3393))))*IF(AND(ArtifactsInput!$M$42,((Inputs!$B$9+((C3374=TRUE)*(F3374-Calc!F26))+B3382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3362*(MIN(100,(Inputs!$B$9+((C3374=TRUE)*(F3374-Calc!F26))+B3382+(ArtifactsInput!$M$24-ArtifactsInput!$M$24)*CHOOSE(ArtifactsInput!$N$24+1,10,12,14,16,18,20)+(IF(AND(Inputs!$B$39&lt;&gt;"pvp",Inputs!$B$44=0),1,IF(IF(Inputs!$B$39="pvp",15,Inputs!$B$44)-(B3393)&lt;=0,1,MAX(0,IF(Inputs!$B$39="pvp",15,Inputs!$B$44)-MAX(5,B3393))/(IF(Inputs!$B$39="pvp",15,Inputs!$B$44)-(B3393))))*IF(AND(ArtifactsInput!$M$42,((Inputs!$B$9+((C3374=TRUE)*(F3374-Calc!F26))+B3382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3362">
        <f>IF(C3362,(H3362*N3362*IF(AND(Inputs!$B$39&lt;&gt;"pvp",Inputs!$B$44&gt;0),((Skills!G14*((R3362-1)*IF(Skills!H14&gt;0,Skills!I14/Skills!H14,1)+IF(Skills!H14&gt;0,MIN(Skills!I14,MAX(0,MAX(0,Inputs!$B$44-B3393)-((R3362-1)*IF(Inputs!$B$39="pvp",15,MAX(0.1,Skills!D14-IF(TRUE=TRUE,1.0,0))))))/Skills!H14,1)))/Inputs!$B$44),G3362*Q3362))*IF(Inputs!$B$39="pvp",1,(1+(Inputs!$B$21+Skills!Q14+B3383+(IF(ArtifactsInput!$M$33,CHOOSE(ArtifactsInput!$N$33+1,30,36,42,48,54,60),0))+(IF(AND(ArtifactsInput!$M$35,Inputs!$B$4&lt;&gt;"Chapter Hunt"),CHOOSE(ArtifactsInput!$N$35+1,15,18,21,24,27,30)*(1-EXP(-(0.2*B3386)*5)),0)+IF(AND(ArtifactsInput!$M$22,Inputs!$B$4&lt;&gt;"Chapter Hunt"),CHOOSE(ArtifactsInput!$N$22+1,10,12,14,16,18,20)*((0*(((0.15*B3386*5))^0/1)+1*(((0.15*B3386*5))^1/1)+2*(((0.15*B3386*5))^2/2)+3*(((0.15*B3386*5))^3/6)+4*(((0.15*B3386*5))^4/24)+5*(((0.15*B3386*5))^5/120))/((((0.15*B3386*5))^0/1)+(((0.15*B3386*5))^1/1)+(((0.15*B3386*5))^2/2)+(((0.15*B3386*5))^3/6)+(((0.15*B3386*5))^4/24)+(((0.15*B3386*5))^5/120))),0)))/100)*(MIN(Skills!W14,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3363">
      <c r="A3363">
        <f>Skills!A15</f>
        <v/>
      </c>
      <c r="B3363">
        <f>Skills!B15</f>
        <v/>
      </c>
      <c r="C3363">
        <f>Inputs!$B$3&gt;=107</f>
        <v/>
      </c>
      <c r="D3363">
        <f>IF(Skills!C15=1,60+Inputs!$B$25+Inputs!$B$29,IF(Skills!C15=2,90+Inputs!$B$26+Inputs!$B$29,IF(Skills!C15=3,120+Inputs!$B$27+Inputs!$B$29,MAX(0,(Inputs!$B$3-100)*3)+Inputs!$B$28+Inputs!$B$29)))</f>
        <v/>
      </c>
      <c r="E3363">
        <f>INDEX(FactorTable!$B$2:$Y$301, MATCH(ROUND(MIN(300,MAX(1,D3363)),0), FactorTable!$A$2:$A$301,0), Skills!M15+1)</f>
        <v/>
      </c>
      <c r="F3363">
        <f>IF(Skills!N15=TRUE,(Skills!L15/10)*(E3363/1000),Skills!L15/10)+Skills!O15</f>
        <v/>
      </c>
      <c r="G3363">
        <f>Skills!G15*IF(Skills!H15&gt;0,IF(Inputs!$B$39="pvp",MIN(Skills!I15,15),Skills!I15)/Skills!H15,1)</f>
        <v/>
      </c>
      <c r="H3363">
        <f>1-(1-Skills!J15/100)^Skills!K15</f>
        <v/>
      </c>
      <c r="I3363" t="inlineStr">
        <is>
          <t>1</t>
        </is>
      </c>
      <c r="J3363">
        <f>((Inputs!$B$6*(1+Inputs!$B$7/100))+(((Inputs!$B$12*(1+Inputs!$B$13/100))-(Inputs!$B$12*(1+Inputs!$B$13/100)))+0.25*(Inputs!$B$14-Inputs!$B$14))*(1+Inputs!$B$7/100))*(F3363/100)</f>
        <v/>
      </c>
      <c r="K3363">
        <f>J3363*(1+((Inputs!$B$12*(1+Inputs!$B$13/100))*0.01+Inputs!$B$14*0.0025)/100)*(1+Inputs!$B$15/100)*(1+Inputs!$B$16/100)*(5000/(6000+Inputs!$B$43*(1-(100*(1-(1-Inputs!$B$19/100)*(1-CHOOSE(ArtifactsInput!$N$40+1,5,6,7,8,9,10)/100)^(ArtifactsInput!$M$40-ArtifactsInput!$M$40)))/100)))*(1+(Inputs!$B$24+((C3379=TRUE)*(F3379-Calc!F31))+((C3366=TRUE)*(F3366-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15="CRUEL_STAB",Inputs!$B$17+((C3376=TRUE)*(F3376-Calc!F28))+((IF(AND(Inputs!$B$39&lt;&gt;"pvp",Inputs!$B$44=0),1,IF(IF(Inputs!$B$39="pvp",15,Inputs!$B$44)-(B3393)&lt;=0,1,MAX(0,IF(Inputs!$B$39="pvp",15,Inputs!$B$44)-MAX(5,B3393))/(IF(Inputs!$B$39="pvp",15,Inputs!$B$44)-(B3393))))*(IF(AND(ArtifactsInput!$M$42,((Inputs!$B$9+((C3374=TRUE)*(F3374-Calc!F26))+B3382+(ArtifactsInput!$M$24-ArtifactsInput!$M$24)*CHOOSE(ArtifactsInput!$N$24+1,10,12,14,16,18,20)+IF(ArtifactsInput!$M$10,CHOOSE(ArtifactsInput!$N$10+1,15,18,21,24,27,30)*(IF(Inputs!$B$39="pvp",MIN(15,15)/15,IF(AND(Inputs!$B$39&lt;&gt;"pvp",Inputs!$B$44&gt;0),MIN(15,Inputs!$B$44)/(Inputs!$B$44),0))),0)))&gt;=100),MIN(100,((Inputs!$B$9+((C3374=TRUE)*(F3374-Calc!F26))+B3382+(ArtifactsInput!$M$24-ArtifactsInput!$M$24)*CHOOSE(ArtifactsInput!$N$24+1,10,12,14,16,18,20)+IF(ArtifactsInput!$M$10,CHOOSE(ArtifactsInput!$N$10+1,15,18,21,24,27,30)*(IF(Inputs!$B$39="pvp",MIN(15,15)/15,IF(AND(Inputs!$B$39&lt;&gt;"pvp",Inputs!$B$44&gt;0),MIN(15,Inputs!$B$44)/(Inputs!$B$44),0))),0)))-100),0))*CHOOSE(ArtifactsInput!$N$42+1,0.6,0.72,0.84,0.96,1.08,1.2))),Inputs!$B$18+((C3377=TRUE)*(F3377-Calc!F29))+(IF(AND(Inputs!$B$39&lt;&gt;"pvp",Inputs!$B$44=0),1,IF(IF(Inputs!$B$39="pvp",15,Inputs!$B$44)-(B3393)&lt;=0,1,MAX(0,IF(Inputs!$B$39="pvp",15,Inputs!$B$44)-MAX(5,B3393))/(IF(Inputs!$B$39="pvp",15,Inputs!$B$44)-(B3393))))*IF(AND(ArtifactsInput!$M$42,((Inputs!$B$9+((C3374=TRUE)*(F3374-Calc!F26))+B3382+(ArtifactsInput!$M$24-ArtifactsInput!$M$24)*CHOOSE(ArtifactsInput!$N$24+1,10,12,14,16,18,20)+IF(ArtifactsInput!$M$10,CHOOSE(ArtifactsInput!$N$10+1,15,18,21,24,27,30)*(IF(Inputs!$B$39="pvp",MIN(15,15)/15,IF(AND(Inputs!$B$39&lt;&gt;"pvp",Inputs!$B$44&gt;0),MIN(15,Inputs!$B$44)/(Inputs!$B$44),0))),0)))&gt;=100),CHOOSE(ArtifactsInput!$N$42+1,40,48,56,64,72,80),0))))/100)*(((1+(((C3370=TRUE)*F3370*IF(AND(Inputs!$B$39&lt;&gt;"pvp",Inputs!$B$44&gt;0),(((R3370-1)*MIN((Skills!Y22*(1+Inputs!$B$34/100)),(1/Q3370))+MIN((Skills!Y22*(1+Inputs!$B$34/100)),MAX(0,Inputs!$B$44-((R3370-1)*(1/Q3370)))))/Inputs!$B$44),IF(Inputs!$B$39="pvp",MIN((Skills!Y22*(1+Inputs!$B$34/100)),15)/15,MIN(1,(Skills!Y22*(1+Inputs!$B$34/100))/(1/Q3370)))))+((C3351=TRUE)*F3351*3)+((C3353=TRUE)*F3353*(1-EXP(-0.75*B3386*5)))+((C3372=TRUE)*(F3372-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3359=TRUE)*F3359*IF(AND(Inputs!$B$39&lt;&gt;"pvp",Inputs!$B$44&gt;0),(((R3359-1)*MIN((Skills!Y11*(1+Inputs!$B$34/100)),(1/Q3359))+MIN((Skills!Y11*(1+Inputs!$B$34/100)),MAX(0,Inputs!$B$44-((R3359-1)*(1/Q3359)))))/Inputs!$B$44),IF(Inputs!$B$39="pvp",MIN((Skills!Y11*(1+Inputs!$B$34/100)),15)/15,MIN(1,(Skills!Y11*(1+Inputs!$B$34/100))/(1/Q3359)))))/100)*(1+((C3364=TRUE)*F3364*IF(AND(Inputs!$B$39&lt;&gt;"pvp",Inputs!$B$44&gt;0),(((R3364-1)*MIN((Skills!Y16*(1+Inputs!$B$34/100)),(1/Q3364))+MIN((Skills!Y16*(1+Inputs!$B$34/100)),MAX(0,Inputs!$B$44-((R3364-1)*(1/Q3364)))))/Inputs!$B$44),IF(Inputs!$B$39="pvp",MIN((Skills!Y16*(1+Inputs!$B$34/100)),15)/15,MIN(1,(Skills!Y16*(1+Inputs!$B$34/100))/(1/Q3364)))))/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3384*I3363)</f>
        <v/>
      </c>
      <c r="L3363">
        <f>K3363*(MIN(Inputs!$B$22+((C3373=TRUE)*(F3373-Calc!F25)),(Inputs!$B$23+((C3378=TRUE)*(F3378-Calc!F30))+IF(ArtifactsInput!$M$15,CHOOSE(ArtifactsInput!$N$15+1,25,30,35,40,45,50)/100*(Inputs!$B$11-Inputs!$B$11),0)))/100+(Inputs!$B$23+((C3378=TRUE)*(F3378-Calc!F30))+IF(ArtifactsInput!$M$15,CHOOSE(ArtifactsInput!$N$15+1,25,30,35,40,45,50)/100*(Inputs!$B$11-Inputs!$B$11),0))/100)/2</f>
        <v/>
      </c>
      <c r="M3363">
        <f>L3363*(1+(Inputs!$B$10+((C3375=TRUE)*(F3375-Calc!F27))+B3389+(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3363">
        <f>L3363*(1-MIN((Inputs!$B$9+((C3374=TRUE)*(F3374-Calc!F26))+B3382+(ArtifactsInput!$M$24-ArtifactsInput!$M$24)*CHOOSE(ArtifactsInput!$N$24+1,10,12,14,16,18,20)+(IF(AND(Inputs!$B$39&lt;&gt;"pvp",Inputs!$B$44=0),1,IF(IF(Inputs!$B$39="pvp",15,Inputs!$B$44)-(B3393)&lt;=0,1,MAX(0,IF(Inputs!$B$39="pvp",15,Inputs!$B$44)-MAX(5,B3393))/(IF(Inputs!$B$39="pvp",15,Inputs!$B$44)-(B3393))))*IF(AND(ArtifactsInput!$M$42,((Inputs!$B$9+((C3374=TRUE)*(F3374-Calc!F26))+B3382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3363*(MIN((Inputs!$B$9+((C3374=TRUE)*(F3374-Calc!F26))+B3382+(ArtifactsInput!$M$24-ArtifactsInput!$M$24)*CHOOSE(ArtifactsInput!$N$24+1,10,12,14,16,18,20)+(IF(AND(Inputs!$B$39&lt;&gt;"pvp",Inputs!$B$44=0),1,IF(IF(Inputs!$B$39="pvp",15,Inputs!$B$44)-(B3393)&lt;=0,1,MAX(0,IF(Inputs!$B$39="pvp",15,Inputs!$B$44)-MAX(5,B3393))/(IF(Inputs!$B$39="pvp",15,Inputs!$B$44)-(B3393))))*IF(AND(ArtifactsInput!$M$42,((Inputs!$B$9+((C3374=TRUE)*(F3374-Calc!F26))+B3382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3363">
        <f>(1-Summary!$B$11)*T3363+Summary!$B$11*V3363</f>
        <v/>
      </c>
      <c r="P3363">
        <f>IF(B3394=0,0,O3363/B3394)</f>
        <v/>
      </c>
      <c r="Q3363">
        <f>IFERROR(1/IF(Inputs!$B$39="pvp",15,MAX(0.1,Skills!D15-IF(TRUE=TRUE,1.0,0))),0)</f>
        <v/>
      </c>
      <c r="R3363">
        <f>IF(AND(Inputs!$B$39&lt;&gt;"pvp",Inputs!$B$44&gt;0),IF(MAX(0,Inputs!$B$44-B3393)&lt;=0,0,(INT(MAX(0,Inputs!$B$44-B3393)/IF(Inputs!$B$39="pvp",15,MAX(0.1,Skills!D15-IF(TRUE=TRUE,1.0,0))))+1)),0)</f>
        <v/>
      </c>
      <c r="S3363">
        <f>IFERROR(O3363/N3363,0)</f>
        <v/>
      </c>
      <c r="T3363">
        <f>IF(C3363,(H3363*N3363*IF(AND(Inputs!$B$39&lt;&gt;"pvp",Inputs!$B$44&gt;0),((Skills!G15*((R3363-1)*IF(Skills!H15&gt;0,Skills!I15/Skills!H15,1)+IF(Skills!H15&gt;0,MIN(Skills!I15,MAX(0,MAX(0,Inputs!$B$44-B3393)-((R3363-1)*IF(Inputs!$B$39="pvp",15,MAX(0.1,Skills!D15-IF(TRUE=TRUE,1.0,0))))))/Skills!H15,1)))/Inputs!$B$44),G3363*Q3363))*IF(Inputs!$B$39="pvp",1,1+(Inputs!$B$20+0+Skills!P15+B3383+(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Hunt"),CHOOSE(ArtifactsInput!$N$35+1,15,18,21,24,27,30)*(1-EXP(-(0.2*B3386)*5)),0)+IF(AND(ArtifactsInput!$M$22,Inputs!$B$4&lt;&gt;"Chapter Hunt"),CHOOSE(ArtifactsInput!$N$22+1,10,12,14,16,18,20)*((0*(((0.15*B3386*5))^0/1)+1*(((0.15*B3386*5))^1/1)+2*(((0.15*B3386*5))^2/2)+3*(((0.15*B3386*5))^3/6)+4*(((0.15*B3386*5))^4/24)+5*(((0.15*B3386*5))^5/120))/((((0.15*B3386*5))^0/1)+(((0.15*B3386*5))^1/1)+(((0.15*B3386*5))^2/2)+(((0.15*B3386*5))^3/6)+(((0.15*B3386*5))^4/24)+(((0.15*B3386*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3363*(1-MIN(100,(Inputs!$B$9+((C3374=TRUE)*(F3374-Calc!F26))+B3382+(ArtifactsInput!$M$24-ArtifactsInput!$M$24)*CHOOSE(ArtifactsInput!$N$24+1,10,12,14,16,18,20)+(IF(AND(Inputs!$B$39&lt;&gt;"pvp",Inputs!$B$44=0),1,IF(IF(Inputs!$B$39="pvp",15,Inputs!$B$44)-(B3393)&lt;=0,1,MAX(0,IF(Inputs!$B$39="pvp",15,Inputs!$B$44)-MAX(5,B3393))/(IF(Inputs!$B$39="pvp",15,Inputs!$B$44)-(B3393))))*IF(AND(ArtifactsInput!$M$42,((Inputs!$B$9+((C3374=TRUE)*(F3374-Calc!F26))+B3382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3363*(MIN(100,(Inputs!$B$9+((C3374=TRUE)*(F3374-Calc!F26))+B3382+(ArtifactsInput!$M$24-ArtifactsInput!$M$24)*CHOOSE(ArtifactsInput!$N$24+1,10,12,14,16,18,20)+(IF(AND(Inputs!$B$39&lt;&gt;"pvp",Inputs!$B$44=0),1,IF(IF(Inputs!$B$39="pvp",15,Inputs!$B$44)-(B3393)&lt;=0,1,MAX(0,IF(Inputs!$B$39="pvp",15,Inputs!$B$44)-MAX(5,B3393))/(IF(Inputs!$B$39="pvp",15,Inputs!$B$44)-(B3393))))*IF(AND(ArtifactsInput!$M$42,((Inputs!$B$9+((C3374=TRUE)*(F3374-Calc!F26))+B3382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3363*(1-MIN(100,(Inputs!$B$9+((C3374=TRUE)*(F3374-Calc!F26))+B3382+(ArtifactsInput!$M$24-ArtifactsInput!$M$24)*CHOOSE(ArtifactsInput!$N$24+1,10,12,14,16,18,20)+(IF(AND(Inputs!$B$39&lt;&gt;"pvp",Inputs!$B$44=0),1,IF(IF(Inputs!$B$39="pvp",15,Inputs!$B$44)-(B3393)&lt;=0,1,MAX(0,IF(Inputs!$B$39="pvp",15,Inputs!$B$44)-MAX(5,B3393))/(IF(Inputs!$B$39="pvp",15,Inputs!$B$44)-(B3393))))*IF(AND(ArtifactsInput!$M$42,((Inputs!$B$9+((C3374=TRUE)*(F3374-Calc!F26))+B3382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3363*(MIN(100,(Inputs!$B$9+((C3374=TRUE)*(F3374-Calc!F26))+B3382+(ArtifactsInput!$M$24-ArtifactsInput!$M$24)*CHOOSE(ArtifactsInput!$N$24+1,10,12,14,16,18,20)+(IF(AND(Inputs!$B$39&lt;&gt;"pvp",Inputs!$B$44=0),1,IF(IF(Inputs!$B$39="pvp",15,Inputs!$B$44)-(B3393)&lt;=0,1,MAX(0,IF(Inputs!$B$39="pvp",15,Inputs!$B$44)-MAX(5,B3393))/(IF(Inputs!$B$39="pvp",15,Inputs!$B$44)-(B3393))))*IF(AND(ArtifactsInput!$M$42,((Inputs!$B$9+((C3374=TRUE)*(F3374-Calc!F26))+B3382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3363">
        <f>IF(C3363,(H3363*N3363*IF(AND(Inputs!$B$39&lt;&gt;"pvp",Inputs!$B$44&gt;0),((Skills!G15*((R3363-1)*IF(Skills!H15&gt;0,Skills!I15/Skills!H15,1)+IF(Skills!H15&gt;0,MIN(Skills!I15,MAX(0,MAX(0,Inputs!$B$44-B3393)-((R3363-1)*IF(Inputs!$B$39="pvp",15,MAX(0.1,Skills!D15-IF(TRUE=TRUE,1.0,0))))))/Skills!H15,1)))/Inputs!$B$44),G3363*Q3363))*IF(Inputs!$B$39="pvp",1,(1+(Inputs!$B$21+Skills!Q15+B3383+(IF(ArtifactsInput!$M$33,CHOOSE(ArtifactsInput!$N$33+1,30,36,42,48,54,60),0))+(IF(AND(ArtifactsInput!$M$35,Inputs!$B$4&lt;&gt;"Chapter Hunt"),CHOOSE(ArtifactsInput!$N$35+1,15,18,21,24,27,30)*(1-EXP(-(0.2*B3386)*5)),0)+IF(AND(ArtifactsInput!$M$22,Inputs!$B$4&lt;&gt;"Chapter Hunt"),CHOOSE(ArtifactsInput!$N$22+1,10,12,14,16,18,20)*((0*(((0.15*B3386*5))^0/1)+1*(((0.15*B3386*5))^1/1)+2*(((0.15*B3386*5))^2/2)+3*(((0.15*B3386*5))^3/6)+4*(((0.15*B3386*5))^4/24)+5*(((0.15*B3386*5))^5/120))/((((0.15*B3386*5))^0/1)+(((0.15*B3386*5))^1/1)+(((0.15*B3386*5))^2/2)+(((0.15*B3386*5))^3/6)+(((0.15*B3386*5))^4/24)+(((0.15*B3386*5))^5/120))),0)))/100)*(MIN(MIN(5,0.5*IF(Inputs!$B$3&gt;=75,0.75,0.5)*B3386*(1/Q3352))*Skills!V15,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3364">
      <c r="A3364">
        <f>Skills!A16</f>
        <v/>
      </c>
      <c r="B3364">
        <f>Skills!B16</f>
        <v/>
      </c>
      <c r="C3364">
        <f>Inputs!$B$3&gt;=110</f>
        <v/>
      </c>
      <c r="D3364">
        <f>IF(Skills!C16=1,60+Inputs!$B$25+Inputs!$B$29,IF(Skills!C16=2,90+Inputs!$B$26+Inputs!$B$29,IF(Skills!C16=3,120+Inputs!$B$27+Inputs!$B$29,MAX(0,(Inputs!$B$3-100)*3)+Inputs!$B$28+Inputs!$B$29)))</f>
        <v/>
      </c>
      <c r="E3364">
        <f>INDEX(FactorTable!$B$2:$Y$301, MATCH(ROUND(MIN(300,MAX(1,D3364)),0), FactorTable!$A$2:$A$301,0), Skills!M16+1)</f>
        <v/>
      </c>
      <c r="F3364">
        <f>IF(Skills!N16=TRUE,(Skills!L16/10)*(E3364/1000),Skills!L16/10)+Skills!O16</f>
        <v/>
      </c>
      <c r="G3364">
        <f>Skills!G16*IF(Skills!H16&gt;0,IF(Inputs!$B$39="pvp",MIN(Skills!I16,15),Skills!I16)/Skills!H16,1)</f>
        <v/>
      </c>
      <c r="H3364">
        <f>1-(1-Skills!J16/100)^Skills!K16</f>
        <v/>
      </c>
      <c r="I3364" t="inlineStr">
        <is>
          <t>1</t>
        </is>
      </c>
      <c r="J3364" t="inlineStr"/>
      <c r="K3364" t="inlineStr"/>
      <c r="L3364" t="inlineStr"/>
      <c r="M3364" t="inlineStr"/>
      <c r="N3364" t="inlineStr"/>
      <c r="O3364">
        <f>(1-Summary!$B$11)*T3364+Summary!$B$11*V3364</f>
        <v/>
      </c>
      <c r="P3364">
        <f>IF(B3394=0,0,O3364/B3394)</f>
        <v/>
      </c>
      <c r="Q3364">
        <f>IFERROR(1/IF(Inputs!$B$39="pvp",15,MAX(0.1,Skills!D16-IF(TRUE=TRUE,1.0,0))),0)</f>
        <v/>
      </c>
      <c r="R3364">
        <f>IF(AND(Inputs!$B$39&lt;&gt;"pvp",Inputs!$B$44&gt;0),IF(Inputs!$B$44&lt;=0,0,(INT(Inputs!$B$44/IF(Inputs!$B$39="pvp",15,MAX(0.1,Skills!D16-IF(TRUE=TRUE,1.0,0))))+1)),0)</f>
        <v/>
      </c>
      <c r="S3364">
        <f>IFERROR(O3364/N3364,0)</f>
        <v/>
      </c>
      <c r="T3364" t="n">
        <v>0</v>
      </c>
      <c r="V3364" t="n">
        <v>0</v>
      </c>
    </row>
    <row r="3365">
      <c r="A3365">
        <f>Skills!A17</f>
        <v/>
      </c>
      <c r="B3365">
        <f>Skills!B17</f>
        <v/>
      </c>
      <c r="C3365">
        <f>Inputs!$B$3&gt;=115</f>
        <v/>
      </c>
      <c r="D3365">
        <f>IF(Skills!C17=1,60+Inputs!$B$25+Inputs!$B$29,IF(Skills!C17=2,90+Inputs!$B$26+Inputs!$B$29,IF(Skills!C17=3,120+Inputs!$B$27+Inputs!$B$29,MAX(0,(Inputs!$B$3-100)*3)+Inputs!$B$28+Inputs!$B$29)))</f>
        <v/>
      </c>
      <c r="E3365">
        <f>INDEX(FactorTable!$B$2:$Y$301, MATCH(ROUND(MIN(300,MAX(1,D3365)),0), FactorTable!$A$2:$A$301,0), Skills!M17+1)</f>
        <v/>
      </c>
      <c r="F3365">
        <f>IF(Skills!N17=TRUE,(Skills!L17/10)*(E3365/1000),Skills!L17/10)+Skills!O17</f>
        <v/>
      </c>
      <c r="G3365">
        <f>Skills!G17*IF(Skills!H17&gt;0,IF(Inputs!$B$39="pvp",MIN(Skills!I17,15),Skills!I17)/Skills!H17,1)</f>
        <v/>
      </c>
      <c r="H3365">
        <f>1-(1-Skills!J17/100)^Skills!K17</f>
        <v/>
      </c>
      <c r="I3365" t="inlineStr">
        <is>
          <t>1</t>
        </is>
      </c>
      <c r="J3365">
        <f>((Inputs!$B$6*(1+Inputs!$B$7/100))+(((Inputs!$B$12*(1+Inputs!$B$13/100))-(Inputs!$B$12*(1+Inputs!$B$13/100)))+0.25*(Inputs!$B$14-Inputs!$B$14))*(1+Inputs!$B$7/100))*(F3365/100)</f>
        <v/>
      </c>
      <c r="K3365">
        <f>J3365*(1+((Inputs!$B$12*(1+Inputs!$B$13/100))*0.01+Inputs!$B$14*0.0025)/100)*(1+Inputs!$B$15/100)*(1+Inputs!$B$16/100)*(5000/(6000+Inputs!$B$43*(1-(100*(1-(1-Inputs!$B$19/100)*(1-CHOOSE(ArtifactsInput!$N$40+1,5,6,7,8,9,10)/100)^(ArtifactsInput!$M$40-ArtifactsInput!$M$40)))/100)))*(1+(Inputs!$B$24+((C3379=TRUE)*(F3379-Calc!F31))+((C3366=TRUE)*(F3366-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17="CRUEL_STAB",Inputs!$B$17+((C3376=TRUE)*(F3376-Calc!F28))+((IF(AND(Inputs!$B$39&lt;&gt;"pvp",Inputs!$B$44=0),1,IF(IF(Inputs!$B$39="pvp",15,Inputs!$B$44)-(B3393)&lt;=0,1,MAX(0,IF(Inputs!$B$39="pvp",15,Inputs!$B$44)-MAX(5,B3393))/(IF(Inputs!$B$39="pvp",15,Inputs!$B$44)-(B3393))))*(IF(AND(ArtifactsInput!$M$42,((Inputs!$B$9+((C3374=TRUE)*(F3374-Calc!F26))+B3382+(ArtifactsInput!$M$24-ArtifactsInput!$M$24)*CHOOSE(ArtifactsInput!$N$24+1,10,12,14,16,18,20)+IF(ArtifactsInput!$M$10,CHOOSE(ArtifactsInput!$N$10+1,15,18,21,24,27,30)*(IF(Inputs!$B$39="pvp",MIN(15,15)/15,IF(AND(Inputs!$B$39&lt;&gt;"pvp",Inputs!$B$44&gt;0),MIN(15,Inputs!$B$44)/(Inputs!$B$44),0))),0)))&gt;=100),MIN(100,((Inputs!$B$9+((C3374=TRUE)*(F3374-Calc!F26))+B3382+(ArtifactsInput!$M$24-ArtifactsInput!$M$24)*CHOOSE(ArtifactsInput!$N$24+1,10,12,14,16,18,20)+IF(ArtifactsInput!$M$10,CHOOSE(ArtifactsInput!$N$10+1,15,18,21,24,27,30)*(IF(Inputs!$B$39="pvp",MIN(15,15)/15,IF(AND(Inputs!$B$39&lt;&gt;"pvp",Inputs!$B$44&gt;0),MIN(15,Inputs!$B$44)/(Inputs!$B$44),0))),0)))-100),0))*CHOOSE(ArtifactsInput!$N$42+1,0.6,0.72,0.84,0.96,1.08,1.2))),Inputs!$B$18+((C3377=TRUE)*(F3377-Calc!F29))+(IF(AND(Inputs!$B$39&lt;&gt;"pvp",Inputs!$B$44=0),1,IF(IF(Inputs!$B$39="pvp",15,Inputs!$B$44)-(B3393)&lt;=0,1,MAX(0,IF(Inputs!$B$39="pvp",15,Inputs!$B$44)-MAX(5,B3393))/(IF(Inputs!$B$39="pvp",15,Inputs!$B$44)-(B3393))))*IF(AND(ArtifactsInput!$M$42,((Inputs!$B$9+((C3374=TRUE)*(F3374-Calc!F26))+B3382+(ArtifactsInput!$M$24-ArtifactsInput!$M$24)*CHOOSE(ArtifactsInput!$N$24+1,10,12,14,16,18,20)+IF(ArtifactsInput!$M$10,CHOOSE(ArtifactsInput!$N$10+1,15,18,21,24,27,30)*(IF(Inputs!$B$39="pvp",MIN(15,15)/15,IF(AND(Inputs!$B$39&lt;&gt;"pvp",Inputs!$B$44&gt;0),MIN(15,Inputs!$B$44)/(Inputs!$B$44),0))),0)))&gt;=100),CHOOSE(ArtifactsInput!$N$42+1,40,48,56,64,72,80),0))))/100)*(((1+(((C3370=TRUE)*F3370*IF(AND(Inputs!$B$39&lt;&gt;"pvp",Inputs!$B$44&gt;0),(((R3370-1)*MIN((Skills!Y22*(1+Inputs!$B$34/100)),(1/Q3370))+MIN((Skills!Y22*(1+Inputs!$B$34/100)),MAX(0,Inputs!$B$44-((R3370-1)*(1/Q3370)))))/Inputs!$B$44),IF(Inputs!$B$39="pvp",MIN((Skills!Y22*(1+Inputs!$B$34/100)),15)/15,MIN(1,(Skills!Y22*(1+Inputs!$B$34/100))/(1/Q3370)))))+((C3351=TRUE)*F3351*3)+((C3353=TRUE)*F3353*(1-EXP(-0.75*B3386*5)))+((C3372=TRUE)*(F3372-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3359=TRUE)*F3359*IF(AND(Inputs!$B$39&lt;&gt;"pvp",Inputs!$B$44&gt;0),(((R3359-1)*MIN((Skills!Y11*(1+Inputs!$B$34/100)),(1/Q3359))+MIN((Skills!Y11*(1+Inputs!$B$34/100)),MAX(0,Inputs!$B$44-((R3359-1)*(1/Q3359)))))/Inputs!$B$44),IF(Inputs!$B$39="pvp",MIN((Skills!Y11*(1+Inputs!$B$34/100)),15)/15,MIN(1,(Skills!Y11*(1+Inputs!$B$34/100))/(1/Q3359)))))/100)*(1+((C3364=TRUE)*F3364*IF(AND(Inputs!$B$39&lt;&gt;"pvp",Inputs!$B$44&gt;0),(((R3364-1)*MIN((Skills!Y16*(1+Inputs!$B$34/100)),(1/Q3364))+MIN((Skills!Y16*(1+Inputs!$B$34/100)),MAX(0,Inputs!$B$44-((R3364-1)*(1/Q3364)))))/Inputs!$B$44),IF(Inputs!$B$39="pvp",MIN((Skills!Y16*(1+Inputs!$B$34/100)),15)/15,MIN(1,(Skills!Y16*(1+Inputs!$B$34/100))/(1/Q3364)))))/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3384*I3365)</f>
        <v/>
      </c>
      <c r="L3365">
        <f>K3365*(MIN(Inputs!$B$22+((C3373=TRUE)*(F3373-Calc!F25)),(Inputs!$B$23+((C3378=TRUE)*(F3378-Calc!F30))+IF(ArtifactsInput!$M$15,CHOOSE(ArtifactsInput!$N$15+1,25,30,35,40,45,50)/100*(Inputs!$B$11-Inputs!$B$11),0)))/100+(Inputs!$B$23+((C3378=TRUE)*(F3378-Calc!F30))+IF(ArtifactsInput!$M$15,CHOOSE(ArtifactsInput!$N$15+1,25,30,35,40,45,50)/100*(Inputs!$B$11-Inputs!$B$11),0))/100)/2</f>
        <v/>
      </c>
      <c r="M3365">
        <f>L3365*(1+(Inputs!$B$10+((C3375=TRUE)*(F3375-Calc!F27))+B3389+(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3365">
        <f>L3365*(1-MIN((Inputs!$B$9+((C3374=TRUE)*(F3374-Calc!F26))+B3382+(ArtifactsInput!$M$24-ArtifactsInput!$M$24)*CHOOSE(ArtifactsInput!$N$24+1,10,12,14,16,18,20)+(IF(AND(Inputs!$B$39&lt;&gt;"pvp",Inputs!$B$44=0),1,IF(IF(Inputs!$B$39="pvp",15,Inputs!$B$44)-(B3393)&lt;=0,1,MAX(0,IF(Inputs!$B$39="pvp",15,Inputs!$B$44)-MAX(5,B3393))/(IF(Inputs!$B$39="pvp",15,Inputs!$B$44)-(B3393))))*IF(AND(ArtifactsInput!$M$42,((Inputs!$B$9+((C3374=TRUE)*(F3374-Calc!F26))+B3382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3365*(MIN((Inputs!$B$9+((C3374=TRUE)*(F3374-Calc!F26))+B3382+(ArtifactsInput!$M$24-ArtifactsInput!$M$24)*CHOOSE(ArtifactsInput!$N$24+1,10,12,14,16,18,20)+(IF(AND(Inputs!$B$39&lt;&gt;"pvp",Inputs!$B$44=0),1,IF(IF(Inputs!$B$39="pvp",15,Inputs!$B$44)-(B3393)&lt;=0,1,MAX(0,IF(Inputs!$B$39="pvp",15,Inputs!$B$44)-MAX(5,B3393))/(IF(Inputs!$B$39="pvp",15,Inputs!$B$44)-(B3393))))*IF(AND(ArtifactsInput!$M$42,((Inputs!$B$9+((C3374=TRUE)*(F3374-Calc!F26))+B3382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3365">
        <f>(1-Summary!$B$11)*T3365+Summary!$B$11*V3365</f>
        <v/>
      </c>
      <c r="P3365">
        <f>IF(B3394=0,0,O3365/B3394)</f>
        <v/>
      </c>
      <c r="Q3365" t="n">
        <v>0</v>
      </c>
      <c r="R3365" t="n">
        <v>0</v>
      </c>
      <c r="S3365">
        <f>IFERROR(O3365/N3365,0)</f>
        <v/>
      </c>
      <c r="T3365">
        <f>IF(C3365,(Inputs!$B$38*0.2*N3365)*IF(Inputs!$B$39="pvp",1,1+(Inputs!$B$20+0+Skills!P17+B3383+(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Hunt"),CHOOSE(ArtifactsInput!$N$35+1,15,18,21,24,27,30)*(1-EXP(-(0.2*B3386)*5)),0)+IF(AND(ArtifactsInput!$M$22,Inputs!$B$4&lt;&gt;"Chapter Hunt"),CHOOSE(ArtifactsInput!$N$22+1,10,12,14,16,18,20)*((0*(((0.15*B3386*5))^0/1)+1*(((0.15*B3386*5))^1/1)+2*(((0.15*B3386*5))^2/2)+3*(((0.15*B3386*5))^3/6)+4*(((0.15*B3386*5))^4/24)+5*(((0.15*B3386*5))^5/120))/((((0.15*B3386*5))^0/1)+(((0.15*B3386*5))^1/1)+(((0.15*B3386*5))^2/2)+(((0.15*B3386*5))^3/6)+(((0.15*B3386*5))^4/24)+(((0.15*B3386*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3365*(1-MIN(100,(Inputs!$B$9+((C3374=TRUE)*(F3374-Calc!F26))+B3382+(ArtifactsInput!$M$24-ArtifactsInput!$M$24)*CHOOSE(ArtifactsInput!$N$24+1,10,12,14,16,18,20)+(IF(AND(Inputs!$B$39&lt;&gt;"pvp",Inputs!$B$44=0),1,IF(IF(Inputs!$B$39="pvp",15,Inputs!$B$44)-(B3393)&lt;=0,1,MAX(0,IF(Inputs!$B$39="pvp",15,Inputs!$B$44)-MAX(5,B3393))/(IF(Inputs!$B$39="pvp",15,Inputs!$B$44)-(B3393))))*IF(AND(ArtifactsInput!$M$42,((Inputs!$B$9+((C3374=TRUE)*(F3374-Calc!F26))+B3382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3365*(MIN(100,(Inputs!$B$9+((C3374=TRUE)*(F3374-Calc!F26))+B3382+(ArtifactsInput!$M$24-ArtifactsInput!$M$24)*CHOOSE(ArtifactsInput!$N$24+1,10,12,14,16,18,20)+(IF(AND(Inputs!$B$39&lt;&gt;"pvp",Inputs!$B$44=0),1,IF(IF(Inputs!$B$39="pvp",15,Inputs!$B$44)-(B3393)&lt;=0,1,MAX(0,IF(Inputs!$B$39="pvp",15,Inputs!$B$44)-MAX(5,B3393))/(IF(Inputs!$B$39="pvp",15,Inputs!$B$44)-(B3393))))*IF(AND(ArtifactsInput!$M$42,((Inputs!$B$9+((C3374=TRUE)*(F3374-Calc!F26))+B3382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3365*(1-MIN(100,(Inputs!$B$9+((C3374=TRUE)*(F3374-Calc!F26))+B3382+(ArtifactsInput!$M$24-ArtifactsInput!$M$24)*CHOOSE(ArtifactsInput!$N$24+1,10,12,14,16,18,20)+(IF(AND(Inputs!$B$39&lt;&gt;"pvp",Inputs!$B$44=0),1,IF(IF(Inputs!$B$39="pvp",15,Inputs!$B$44)-(B3393)&lt;=0,1,MAX(0,IF(Inputs!$B$39="pvp",15,Inputs!$B$44)-MAX(5,B3393))/(IF(Inputs!$B$39="pvp",15,Inputs!$B$44)-(B3393))))*IF(AND(ArtifactsInput!$M$42,((Inputs!$B$9+((C3374=TRUE)*(F3374-Calc!F26))+B3382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3365*(MIN(100,(Inputs!$B$9+((C3374=TRUE)*(F3374-Calc!F26))+B3382+(ArtifactsInput!$M$24-ArtifactsInput!$M$24)*CHOOSE(ArtifactsInput!$N$24+1,10,12,14,16,18,20)+(IF(AND(Inputs!$B$39&lt;&gt;"pvp",Inputs!$B$44=0),1,IF(IF(Inputs!$B$39="pvp",15,Inputs!$B$44)-(B3393)&lt;=0,1,MAX(0,IF(Inputs!$B$39="pvp",15,Inputs!$B$44)-MAX(5,B3393))/(IF(Inputs!$B$39="pvp",15,Inputs!$B$44)-(B3393))))*IF(AND(ArtifactsInput!$M$42,((Inputs!$B$9+((C3374=TRUE)*(F3374-Calc!F26))+B3382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3365">
        <f>IF(C3365,(Inputs!$B$38*0.2*N3365)*IF(Inputs!$B$39="pvp",1,(1+(Inputs!$B$21+Skills!Q17+B3383+(IF(ArtifactsInput!$M$33,CHOOSE(ArtifactsInput!$N$33+1,30,36,42,48,54,60),0))+(IF(AND(ArtifactsInput!$M$35,Inputs!$B$4&lt;&gt;"Chapter Hunt"),CHOOSE(ArtifactsInput!$N$35+1,15,18,21,24,27,30)*(1-EXP(-(0.2*B3386)*5)),0)+IF(AND(ArtifactsInput!$M$22,Inputs!$B$4&lt;&gt;"Chapter Hunt"),CHOOSE(ArtifactsInput!$N$22+1,10,12,14,16,18,20)*((0*(((0.15*B3386*5))^0/1)+1*(((0.15*B3386*5))^1/1)+2*(((0.15*B3386*5))^2/2)+3*(((0.15*B3386*5))^3/6)+4*(((0.15*B3386*5))^4/24)+5*(((0.15*B3386*5))^5/120))/((((0.15*B3386*5))^0/1)+(((0.15*B3386*5))^1/1)+(((0.15*B3386*5))^2/2)+(((0.15*B3386*5))^3/6)+(((0.15*B3386*5))^4/24)+(((0.15*B3386*5))^5/120))),0)))/100)*(MIN(Skills!W17,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3366">
      <c r="A3366">
        <f>Skills!A18</f>
        <v/>
      </c>
      <c r="B3366">
        <f>Skills!B18</f>
        <v/>
      </c>
      <c r="C3366">
        <f>Inputs!$B$3&gt;=115</f>
        <v/>
      </c>
      <c r="D3366">
        <f>IF(Skills!C18=1,60+Inputs!$B$25+Inputs!$B$29,IF(Skills!C18=2,90+Inputs!$B$26+Inputs!$B$29,IF(Skills!C18=3,120+Inputs!$B$27+Inputs!$B$29,MAX(0,(Inputs!$B$3-100)*3)+Inputs!$B$28+Inputs!$B$29)))</f>
        <v/>
      </c>
      <c r="E3366">
        <f>INDEX(FactorTable!$B$2:$Y$301, MATCH(ROUND(MIN(300,MAX(1,D3366)),0), FactorTable!$A$2:$A$301,0), Skills!M18+1)</f>
        <v/>
      </c>
      <c r="F3366">
        <f>IF(Skills!N18=TRUE,(Skills!L18/10)*(E3366/1000),Skills!L18/10)+Skills!O18</f>
        <v/>
      </c>
      <c r="G3366">
        <f>Skills!G18*IF(Skills!H18&gt;0,IF(Inputs!$B$39="pvp",MIN(Skills!I18,15),Skills!I18)/Skills!H18,1)</f>
        <v/>
      </c>
      <c r="H3366">
        <f>1-(1-Skills!J18/100)^Skills!K18</f>
        <v/>
      </c>
      <c r="I3366" t="inlineStr">
        <is>
          <t>1</t>
        </is>
      </c>
      <c r="J3366" t="inlineStr"/>
      <c r="K3366" t="inlineStr"/>
      <c r="L3366" t="inlineStr"/>
      <c r="M3366" t="inlineStr"/>
      <c r="N3366" t="inlineStr"/>
      <c r="O3366">
        <f>(1-Summary!$B$11)*T3366+Summary!$B$11*V3366</f>
        <v/>
      </c>
      <c r="P3366">
        <f>IF(B3394=0,0,O3366/B3394)</f>
        <v/>
      </c>
      <c r="Q3366" t="n">
        <v>0</v>
      </c>
      <c r="R3366" t="n">
        <v>0</v>
      </c>
      <c r="S3366">
        <f>IFERROR(O3366/N3366,0)</f>
        <v/>
      </c>
      <c r="T3366" t="n">
        <v>0</v>
      </c>
      <c r="V3366" t="n">
        <v>0</v>
      </c>
    </row>
    <row r="3367">
      <c r="A3367">
        <f>Skills!A19</f>
        <v/>
      </c>
      <c r="B3367">
        <f>Skills!B19</f>
        <v/>
      </c>
      <c r="C3367">
        <f>Inputs!$B$3&gt;=100</f>
        <v/>
      </c>
      <c r="D3367">
        <f>IF(Skills!C19=1,60+Inputs!$B$25+Inputs!$B$29,IF(Skills!C19=2,90+Inputs!$B$26+Inputs!$B$29,IF(Skills!C19=3,120+Inputs!$B$27+Inputs!$B$29,MAX(0,(Inputs!$B$3-100)*3)+Inputs!$B$28+Inputs!$B$29)))</f>
        <v/>
      </c>
      <c r="E3367">
        <f>INDEX(FactorTable!$B$2:$Y$301, MATCH(ROUND(MIN(300,MAX(1,D3367)),0), FactorTable!$A$2:$A$301,0), Skills!M19+1)</f>
        <v/>
      </c>
      <c r="F3367">
        <f>IF(Skills!N19=TRUE,(Skills!L19/10)*(E3367/1000),Skills!L19/10)+Skills!O19</f>
        <v/>
      </c>
      <c r="G3367">
        <f>Skills!G19*IF(Skills!H19&gt;0,IF(Inputs!$B$39="pvp",MIN(Skills!I19,15),Skills!I19)/Skills!H19,1)</f>
        <v/>
      </c>
      <c r="H3367">
        <f>1-(1-Skills!J19/100)^Skills!K19</f>
        <v/>
      </c>
      <c r="I3367" t="inlineStr">
        <is>
          <t>1</t>
        </is>
      </c>
      <c r="J3367" t="inlineStr"/>
      <c r="K3367" t="inlineStr"/>
      <c r="L3367" t="inlineStr"/>
      <c r="M3367" t="inlineStr"/>
      <c r="N3367" t="inlineStr"/>
      <c r="O3367">
        <f>(1-Summary!$B$11)*T3367+Summary!$B$11*V3367</f>
        <v/>
      </c>
      <c r="P3367">
        <f>IF(B3394=0,0,O3367/B3394)</f>
        <v/>
      </c>
      <c r="Q3367" t="n">
        <v>0</v>
      </c>
      <c r="R3367" t="n">
        <v>0</v>
      </c>
      <c r="S3367">
        <f>IFERROR(O3367/N3367,0)</f>
        <v/>
      </c>
      <c r="T3367" t="n">
        <v>0</v>
      </c>
      <c r="V3367" t="n">
        <v>0</v>
      </c>
    </row>
    <row r="3368">
      <c r="A3368">
        <f>Skills!A20</f>
        <v/>
      </c>
      <c r="B3368">
        <f>Skills!B20</f>
        <v/>
      </c>
      <c r="C3368">
        <f>TRUE</f>
        <v/>
      </c>
      <c r="D3368">
        <f>IF(Skills!C20=1,60+Inputs!$B$25+Inputs!$B$29,IF(Skills!C20=2,90+Inputs!$B$26+Inputs!$B$29,IF(Skills!C20=3,120+Inputs!$B$27+Inputs!$B$29,MAX(0,(Inputs!$B$3-100)*3)+Inputs!$B$28+Inputs!$B$29)))</f>
        <v/>
      </c>
      <c r="E3368">
        <f>INDEX(FactorTable!$B$2:$Y$301, MATCH(ROUND(MIN(300,MAX(1,D3368)),0), FactorTable!$A$2:$A$301,0), Skills!M20+1)</f>
        <v/>
      </c>
      <c r="F3368">
        <f>IF(Skills!N20=TRUE,(Skills!L20/10)*(E3368/1000),Skills!L20/10)+Skills!O20</f>
        <v/>
      </c>
      <c r="G3368">
        <f>Skills!G20*IF(Skills!H20&gt;0,IF(Inputs!$B$39="pvp",MIN(Skills!I20,15),Skills!I20)/Skills!H20,1)</f>
        <v/>
      </c>
      <c r="H3368">
        <f>1-(1-Skills!J20/100)^Skills!K20</f>
        <v/>
      </c>
      <c r="I3368" t="inlineStr">
        <is>
          <t>1</t>
        </is>
      </c>
      <c r="J3368" t="inlineStr"/>
      <c r="K3368" t="inlineStr"/>
      <c r="L3368" t="inlineStr"/>
      <c r="M3368" t="inlineStr"/>
      <c r="N3368" t="inlineStr"/>
      <c r="O3368">
        <f>(1-Summary!$B$11)*T3368+Summary!$B$11*V3368</f>
        <v/>
      </c>
      <c r="P3368">
        <f>IF(B3394=0,0,O3368/B3394)</f>
        <v/>
      </c>
      <c r="Q3368">
        <f>IFERROR(1/IF(Inputs!$B$39="pvp",15,MAX(0.1,Skills!D20-IF(TRUE=TRUE,1.0,0))),0)</f>
        <v/>
      </c>
      <c r="R3368">
        <f>IF(AND(Inputs!$B$39&lt;&gt;"pvp",Inputs!$B$44&gt;0),IF(Inputs!$B$44&lt;=0,0,(INT(Inputs!$B$44/IF(Inputs!$B$39="pvp",15,MAX(0.1,Skills!D20-IF(TRUE=TRUE,1.0,0))))+1)),0)</f>
        <v/>
      </c>
      <c r="S3368">
        <f>IFERROR(O3368/N3368,0)</f>
        <v/>
      </c>
      <c r="T3368" t="n">
        <v>0</v>
      </c>
      <c r="V3368" t="n">
        <v>0</v>
      </c>
    </row>
    <row r="3369">
      <c r="A3369">
        <f>Skills!A21</f>
        <v/>
      </c>
      <c r="B3369">
        <f>Skills!B21</f>
        <v/>
      </c>
      <c r="C3369">
        <f>Inputs!$B$3&gt;=15</f>
        <v/>
      </c>
      <c r="D3369">
        <f>IF(Skills!C21=1,60+Inputs!$B$25+Inputs!$B$29,IF(Skills!C21=2,90+Inputs!$B$26+Inputs!$B$29,IF(Skills!C21=3,120+Inputs!$B$27+Inputs!$B$29,MAX(0,(Inputs!$B$3-100)*3)+Inputs!$B$28+Inputs!$B$29)))</f>
        <v/>
      </c>
      <c r="E3369">
        <f>INDEX(FactorTable!$B$2:$Y$301, MATCH(ROUND(MIN(300,MAX(1,D3369)),0), FactorTable!$A$2:$A$301,0), Skills!M21+1)</f>
        <v/>
      </c>
      <c r="F3369">
        <f>IF(Skills!N21=TRUE,(Skills!L21/10)*(E3369/1000),Skills!L21/10)+Skills!O21</f>
        <v/>
      </c>
      <c r="G3369">
        <f>Skills!G21*IF(Skills!H21&gt;0,IF(Inputs!$B$39="pvp",MIN(Skills!I21,15),Skills!I21)/Skills!H21,1)</f>
        <v/>
      </c>
      <c r="H3369">
        <f>1-(1-Skills!J21/100)^Skills!K21</f>
        <v/>
      </c>
      <c r="I3369" t="inlineStr">
        <is>
          <t>1</t>
        </is>
      </c>
      <c r="J3369" t="inlineStr"/>
      <c r="K3369" t="inlineStr"/>
      <c r="L3369" t="inlineStr"/>
      <c r="M3369" t="inlineStr"/>
      <c r="N3369" t="inlineStr"/>
      <c r="O3369">
        <f>(1-Summary!$B$11)*T3369+Summary!$B$11*V3369</f>
        <v/>
      </c>
      <c r="P3369">
        <f>IF(B3394=0,0,O3369/B3394)</f>
        <v/>
      </c>
      <c r="Q3369">
        <f>IFERROR(1/IF(Inputs!$B$39="pvp",15,MAX(0.1,Skills!D21-IF(TRUE=TRUE,1.0,0))),0)</f>
        <v/>
      </c>
      <c r="R3369">
        <f>IF(AND(Inputs!$B$39&lt;&gt;"pvp",Inputs!$B$44&gt;0),IF(Inputs!$B$44&lt;=0,0,(INT(Inputs!$B$44/IF(Inputs!$B$39="pvp",15,MAX(0.1,Skills!D21-IF(TRUE=TRUE,1.0,0))))+1)),0)</f>
        <v/>
      </c>
      <c r="S3369">
        <f>IFERROR(O3369/N3369,0)</f>
        <v/>
      </c>
      <c r="T3369" t="n">
        <v>0</v>
      </c>
      <c r="V3369" t="n">
        <v>0</v>
      </c>
    </row>
    <row r="3370">
      <c r="A3370">
        <f>Skills!A22</f>
        <v/>
      </c>
      <c r="B3370">
        <f>Skills!B22</f>
        <v/>
      </c>
      <c r="C3370">
        <f>Inputs!$B$3&gt;=15</f>
        <v/>
      </c>
      <c r="D3370">
        <f>IF(Skills!C22=1,60+Inputs!$B$25+Inputs!$B$29,IF(Skills!C22=2,90+Inputs!$B$26+Inputs!$B$29,IF(Skills!C22=3,120+Inputs!$B$27+Inputs!$B$29,MAX(0,(Inputs!$B$3-100)*3)+Inputs!$B$28+Inputs!$B$29)))</f>
        <v/>
      </c>
      <c r="E3370">
        <f>INDEX(FactorTable!$B$2:$Y$301, MATCH(ROUND(MIN(300,MAX(1,D3370)),0), FactorTable!$A$2:$A$301,0), Skills!M22+1)</f>
        <v/>
      </c>
      <c r="F3370">
        <f>IF(Skills!N22=TRUE,(Skills!L22/10)*(E3370/1000),Skills!L22/10)+Skills!O22</f>
        <v/>
      </c>
      <c r="G3370">
        <f>Skills!G22*IF(Skills!H22&gt;0,IF(Inputs!$B$39="pvp",MIN(Skills!I22,15),Skills!I22)/Skills!H22,1)</f>
        <v/>
      </c>
      <c r="H3370">
        <f>1-(1-Skills!J22/100)^Skills!K22</f>
        <v/>
      </c>
      <c r="I3370" t="inlineStr">
        <is>
          <t>1</t>
        </is>
      </c>
      <c r="J3370" t="inlineStr"/>
      <c r="K3370" t="inlineStr"/>
      <c r="L3370" t="inlineStr"/>
      <c r="M3370" t="inlineStr"/>
      <c r="N3370" t="inlineStr"/>
      <c r="O3370">
        <f>(1-Summary!$B$11)*T3370+Summary!$B$11*V3370</f>
        <v/>
      </c>
      <c r="P3370">
        <f>IF(B3394=0,0,O3370/B3394)</f>
        <v/>
      </c>
      <c r="Q3370">
        <f>IFERROR(1/IF(Inputs!$B$39="pvp",15,MAX(0.1,Skills!D22-IF(TRUE=TRUE,1.0,0))),0)</f>
        <v/>
      </c>
      <c r="R3370">
        <f>IF(AND(Inputs!$B$39&lt;&gt;"pvp",Inputs!$B$44&gt;0),IF(Inputs!$B$44&lt;=0,0,(INT(Inputs!$B$44/IF(Inputs!$B$39="pvp",15,MAX(0.1,Skills!D22-IF(TRUE=TRUE,1.0,0))))+1)),0)</f>
        <v/>
      </c>
      <c r="S3370">
        <f>IFERROR(O3370/N3370,0)</f>
        <v/>
      </c>
      <c r="T3370" t="n">
        <v>0</v>
      </c>
      <c r="V3370" t="n">
        <v>0</v>
      </c>
    </row>
    <row r="3371">
      <c r="A3371">
        <f>Skills!A23</f>
        <v/>
      </c>
      <c r="B3371">
        <f>Skills!B23</f>
        <v/>
      </c>
      <c r="C3371">
        <f>Inputs!$B$3&gt;=33</f>
        <v/>
      </c>
      <c r="D3371">
        <f>IF(Skills!C23=1,60+Inputs!$B$25+Inputs!$B$29,IF(Skills!C23=2,90+Inputs!$B$26+Inputs!$B$29,IF(Skills!C23=3,120+Inputs!$B$27+Inputs!$B$29,MAX(0,(Inputs!$B$3-100)*3)+Inputs!$B$28+Inputs!$B$29)))</f>
        <v/>
      </c>
      <c r="E3371">
        <f>INDEX(FactorTable!$B$2:$Y$301, MATCH(ROUND(MIN(300,MAX(1,D3371)),0), FactorTable!$A$2:$A$301,0), Skills!M23+1)</f>
        <v/>
      </c>
      <c r="F3371">
        <f>IF(Skills!N23=TRUE,(Skills!L23/10)*(E3371/1000),Skills!L23/10)+Skills!O23</f>
        <v/>
      </c>
      <c r="G3371">
        <f>Skills!G23*IF(Skills!H23&gt;0,IF(Inputs!$B$39="pvp",MIN(Skills!I23,15),Skills!I23)/Skills!H23,1)</f>
        <v/>
      </c>
      <c r="H3371">
        <f>1-(1-Skills!J23/100)^Skills!K23</f>
        <v/>
      </c>
      <c r="I3371" t="inlineStr">
        <is>
          <t>1</t>
        </is>
      </c>
      <c r="J3371" t="inlineStr"/>
      <c r="K3371" t="inlineStr"/>
      <c r="L3371" t="inlineStr"/>
      <c r="M3371" t="inlineStr"/>
      <c r="N3371" t="inlineStr"/>
      <c r="O3371">
        <f>(1-Summary!$B$11)*T3371+Summary!$B$11*V3371</f>
        <v/>
      </c>
      <c r="P3371">
        <f>IF(B3394=0,0,O3371/B3394)</f>
        <v/>
      </c>
      <c r="Q3371" t="n">
        <v>0</v>
      </c>
      <c r="R3371" t="n">
        <v>0</v>
      </c>
      <c r="S3371">
        <f>IFERROR(O3371/N3371,0)</f>
        <v/>
      </c>
      <c r="T3371" t="n">
        <v>0</v>
      </c>
      <c r="V3371" t="n">
        <v>0</v>
      </c>
    </row>
    <row r="3372">
      <c r="A3372">
        <f>Skills!A24</f>
        <v/>
      </c>
      <c r="B3372">
        <f>Skills!B24</f>
        <v/>
      </c>
      <c r="C3372">
        <f>Inputs!$B$3&gt;=40</f>
        <v/>
      </c>
      <c r="D3372">
        <f>IF(Skills!C24=1,60+Inputs!$B$25+Inputs!$B$29,IF(Skills!C24=2,90+Inputs!$B$26+Inputs!$B$29,IF(Skills!C24=3,120+Inputs!$B$27+Inputs!$B$29,MAX(0,(Inputs!$B$3-100)*3)+Inputs!$B$28+Inputs!$B$29)))</f>
        <v/>
      </c>
      <c r="E3372">
        <f>INDEX(FactorTable!$B$2:$Y$301, MATCH(ROUND(MIN(300,MAX(1,D3372)),0), FactorTable!$A$2:$A$301,0), Skills!M24+1)</f>
        <v/>
      </c>
      <c r="F3372">
        <f>IF(Skills!N24=TRUE,(Skills!L24/10)*(E3372/1000),Skills!L24/10)+Skills!O24</f>
        <v/>
      </c>
      <c r="G3372">
        <f>Skills!G24*IF(Skills!H24&gt;0,IF(Inputs!$B$39="pvp",MIN(Skills!I24,15),Skills!I24)/Skills!H24,1)</f>
        <v/>
      </c>
      <c r="H3372">
        <f>1-(1-Skills!J24/100)^Skills!K24</f>
        <v/>
      </c>
      <c r="I3372" t="inlineStr">
        <is>
          <t>1</t>
        </is>
      </c>
      <c r="J3372" t="inlineStr"/>
      <c r="K3372" t="inlineStr"/>
      <c r="L3372" t="inlineStr"/>
      <c r="M3372" t="inlineStr"/>
      <c r="N3372" t="inlineStr"/>
      <c r="O3372">
        <f>(1-Summary!$B$11)*T3372+Summary!$B$11*V3372</f>
        <v/>
      </c>
      <c r="P3372">
        <f>IF(B3394=0,0,O3372/B3394)</f>
        <v/>
      </c>
      <c r="Q3372" t="n">
        <v>0</v>
      </c>
      <c r="R3372" t="n">
        <v>0</v>
      </c>
      <c r="S3372">
        <f>IFERROR(O3372/N3372,0)</f>
        <v/>
      </c>
      <c r="T3372" t="n">
        <v>0</v>
      </c>
      <c r="V3372" t="n">
        <v>0</v>
      </c>
    </row>
    <row r="3373">
      <c r="A3373">
        <f>Skills!A25</f>
        <v/>
      </c>
      <c r="B3373">
        <f>Skills!B25</f>
        <v/>
      </c>
      <c r="C3373">
        <f>Inputs!$B$3&gt;=43</f>
        <v/>
      </c>
      <c r="D3373">
        <f>IF(Skills!C25=1,60+Inputs!$B$25+Inputs!$B$29,IF(Skills!C25=2,90+Inputs!$B$26+Inputs!$B$29,IF(Skills!C25=3,120+Inputs!$B$27+Inputs!$B$29,MAX(0,(Inputs!$B$3-100)*3)+Inputs!$B$28+Inputs!$B$29)))</f>
        <v/>
      </c>
      <c r="E3373">
        <f>INDEX(FactorTable!$B$2:$Y$301, MATCH(ROUND(MIN(300,MAX(1,D3373)),0), FactorTable!$A$2:$A$301,0), Skills!M25+1)</f>
        <v/>
      </c>
      <c r="F3373">
        <f>IF(Skills!N25=TRUE,(Skills!L25/10)*(E3373/1000),Skills!L25/10)+Skills!O25</f>
        <v/>
      </c>
      <c r="G3373">
        <f>Skills!G25*IF(Skills!H25&gt;0,IF(Inputs!$B$39="pvp",MIN(Skills!I25,15),Skills!I25)/Skills!H25,1)</f>
        <v/>
      </c>
      <c r="H3373">
        <f>1-(1-Skills!J25/100)^Skills!K25</f>
        <v/>
      </c>
      <c r="I3373" t="inlineStr">
        <is>
          <t>1</t>
        </is>
      </c>
      <c r="J3373" t="inlineStr"/>
      <c r="K3373" t="inlineStr"/>
      <c r="L3373" t="inlineStr"/>
      <c r="M3373" t="inlineStr"/>
      <c r="N3373" t="inlineStr"/>
      <c r="O3373">
        <f>(1-Summary!$B$11)*T3373+Summary!$B$11*V3373</f>
        <v/>
      </c>
      <c r="P3373">
        <f>IF(B3394=0,0,O3373/B3394)</f>
        <v/>
      </c>
      <c r="Q3373" t="n">
        <v>0</v>
      </c>
      <c r="R3373" t="n">
        <v>0</v>
      </c>
      <c r="S3373">
        <f>IFERROR(O3373/N3373,0)</f>
        <v/>
      </c>
      <c r="T3373" t="n">
        <v>0</v>
      </c>
      <c r="V3373" t="n">
        <v>0</v>
      </c>
    </row>
    <row r="3374">
      <c r="A3374">
        <f>Skills!A26</f>
        <v/>
      </c>
      <c r="B3374">
        <f>Skills!B26</f>
        <v/>
      </c>
      <c r="C3374">
        <f>Inputs!$B$3&gt;=50</f>
        <v/>
      </c>
      <c r="D3374">
        <f>IF(Skills!C26=1,60+Inputs!$B$25+Inputs!$B$29,IF(Skills!C26=2,90+Inputs!$B$26+Inputs!$B$29,IF(Skills!C26=3,120+Inputs!$B$27+Inputs!$B$29,MAX(0,(Inputs!$B$3-100)*3)+Inputs!$B$28+Inputs!$B$29)))</f>
        <v/>
      </c>
      <c r="E3374">
        <f>INDEX(FactorTable!$B$2:$Y$301, MATCH(ROUND(MIN(300,MAX(1,D3374)),0), FactorTable!$A$2:$A$301,0), Skills!M26+1)</f>
        <v/>
      </c>
      <c r="F3374">
        <f>IF(Skills!N26=TRUE,(Skills!L26/10)*(E3374/1000),Skills!L26/10)+Skills!O26</f>
        <v/>
      </c>
      <c r="G3374">
        <f>Skills!G26*IF(Skills!H26&gt;0,IF(Inputs!$B$39="pvp",MIN(Skills!I26,15),Skills!I26)/Skills!H26,1)</f>
        <v/>
      </c>
      <c r="H3374">
        <f>1-(1-Skills!J26/100)^Skills!K26</f>
        <v/>
      </c>
      <c r="I3374" t="inlineStr">
        <is>
          <t>1</t>
        </is>
      </c>
      <c r="J3374" t="inlineStr"/>
      <c r="K3374" t="inlineStr"/>
      <c r="L3374" t="inlineStr"/>
      <c r="M3374" t="inlineStr"/>
      <c r="N3374" t="inlineStr"/>
      <c r="O3374">
        <f>(1-Summary!$B$11)*T3374+Summary!$B$11*V3374</f>
        <v/>
      </c>
      <c r="P3374">
        <f>IF(B3394=0,0,O3374/B3394)</f>
        <v/>
      </c>
      <c r="Q3374" t="n">
        <v>0</v>
      </c>
      <c r="R3374" t="n">
        <v>0</v>
      </c>
      <c r="S3374">
        <f>IFERROR(O3374/N3374,0)</f>
        <v/>
      </c>
      <c r="T3374" t="n">
        <v>0</v>
      </c>
      <c r="V3374" t="n">
        <v>0</v>
      </c>
    </row>
    <row r="3375">
      <c r="A3375">
        <f>Skills!A27</f>
        <v/>
      </c>
      <c r="B3375">
        <f>Skills!B27</f>
        <v/>
      </c>
      <c r="C3375">
        <f>Inputs!$B$3&gt;=50</f>
        <v/>
      </c>
      <c r="D3375">
        <f>IF(Skills!C27=1,60+Inputs!$B$25+Inputs!$B$29,IF(Skills!C27=2,90+Inputs!$B$26+Inputs!$B$29,IF(Skills!C27=3,120+Inputs!$B$27+Inputs!$B$29,MAX(0,(Inputs!$B$3-100)*3)+Inputs!$B$28+Inputs!$B$29)))</f>
        <v/>
      </c>
      <c r="E3375">
        <f>INDEX(FactorTable!$B$2:$Y$301, MATCH(ROUND(MIN(300,MAX(1,D3375)),0), FactorTable!$A$2:$A$301,0), Skills!M27+1)</f>
        <v/>
      </c>
      <c r="F3375">
        <f>IF(Skills!N27=TRUE,(Skills!L27/10)*(E3375/1000),Skills!L27/10)+Skills!O27</f>
        <v/>
      </c>
      <c r="G3375">
        <f>Skills!G27*IF(Skills!H27&gt;0,IF(Inputs!$B$39="pvp",MIN(Skills!I27,15),Skills!I27)/Skills!H27,1)</f>
        <v/>
      </c>
      <c r="H3375">
        <f>1-(1-Skills!J27/100)^Skills!K27</f>
        <v/>
      </c>
      <c r="I3375" t="inlineStr">
        <is>
          <t>1</t>
        </is>
      </c>
      <c r="J3375" t="inlineStr"/>
      <c r="K3375" t="inlineStr"/>
      <c r="L3375" t="inlineStr"/>
      <c r="M3375" t="inlineStr"/>
      <c r="N3375" t="inlineStr"/>
      <c r="O3375">
        <f>(1-Summary!$B$11)*T3375+Summary!$B$11*V3375</f>
        <v/>
      </c>
      <c r="P3375">
        <f>IF(B3394=0,0,O3375/B3394)</f>
        <v/>
      </c>
      <c r="Q3375" t="n">
        <v>0</v>
      </c>
      <c r="R3375" t="n">
        <v>0</v>
      </c>
      <c r="S3375">
        <f>IFERROR(O3375/N3375,0)</f>
        <v/>
      </c>
      <c r="T3375" t="n">
        <v>0</v>
      </c>
      <c r="V3375" t="n">
        <v>0</v>
      </c>
    </row>
    <row r="3376">
      <c r="A3376">
        <f>Skills!A28</f>
        <v/>
      </c>
      <c r="B3376">
        <f>Skills!B28</f>
        <v/>
      </c>
      <c r="C3376">
        <f>Inputs!$B$3&gt;=38</f>
        <v/>
      </c>
      <c r="D3376">
        <f>IF(Skills!C28=1,60+Inputs!$B$25+Inputs!$B$29,IF(Skills!C28=2,90+Inputs!$B$26+Inputs!$B$29,IF(Skills!C28=3,120+Inputs!$B$27+Inputs!$B$29,MAX(0,(Inputs!$B$3-100)*3)+Inputs!$B$28+Inputs!$B$29)))</f>
        <v/>
      </c>
      <c r="E3376">
        <f>INDEX(FactorTable!$B$2:$Y$301, MATCH(ROUND(MIN(300,MAX(1,D3376)),0), FactorTable!$A$2:$A$301,0), Skills!M28+1)</f>
        <v/>
      </c>
      <c r="F3376">
        <f>IF(Skills!N28=TRUE,(Skills!L28/10)*(E3376/1000),Skills!L28/10)+Skills!O28</f>
        <v/>
      </c>
      <c r="G3376">
        <f>Skills!G28*IF(Skills!H28&gt;0,IF(Inputs!$B$39="pvp",MIN(Skills!I28,15),Skills!I28)/Skills!H28,1)</f>
        <v/>
      </c>
      <c r="H3376">
        <f>1-(1-Skills!J28/100)^Skills!K28</f>
        <v/>
      </c>
      <c r="I3376" t="inlineStr">
        <is>
          <t>1</t>
        </is>
      </c>
      <c r="J3376" t="inlineStr"/>
      <c r="K3376" t="inlineStr"/>
      <c r="L3376" t="inlineStr"/>
      <c r="M3376" t="inlineStr"/>
      <c r="N3376" t="inlineStr"/>
      <c r="O3376">
        <f>(1-Summary!$B$11)*T3376+Summary!$B$11*V3376</f>
        <v/>
      </c>
      <c r="P3376">
        <f>IF(B3394=0,0,O3376/B3394)</f>
        <v/>
      </c>
      <c r="Q3376" t="n">
        <v>0</v>
      </c>
      <c r="R3376" t="n">
        <v>0</v>
      </c>
      <c r="S3376">
        <f>IFERROR(O3376/N3376,0)</f>
        <v/>
      </c>
      <c r="T3376" t="n">
        <v>0</v>
      </c>
      <c r="V3376" t="n">
        <v>0</v>
      </c>
    </row>
    <row r="3377">
      <c r="A3377">
        <f>Skills!A29</f>
        <v/>
      </c>
      <c r="B3377">
        <f>Skills!B29</f>
        <v/>
      </c>
      <c r="C3377">
        <f>Inputs!$B$3&gt;=120</f>
        <v/>
      </c>
      <c r="D3377">
        <f>IF(Skills!C29=1,60+Inputs!$B$25+Inputs!$B$29,IF(Skills!C29=2,90+Inputs!$B$26+Inputs!$B$29,IF(Skills!C29=3,120+Inputs!$B$27+Inputs!$B$29,MAX(0,(Inputs!$B$3-100)*3)+Inputs!$B$28+Inputs!$B$29)))</f>
        <v/>
      </c>
      <c r="E3377">
        <f>INDEX(FactorTable!$B$2:$Y$301, MATCH(ROUND(MIN(300,MAX(1,D3377)),0), FactorTable!$A$2:$A$301,0), Skills!M29+1)</f>
        <v/>
      </c>
      <c r="F3377">
        <f>IF(Skills!N29=TRUE,(Skills!L29/10)*(E3377/1000),Skills!L29/10)+Skills!O29</f>
        <v/>
      </c>
      <c r="G3377">
        <f>Skills!G29*IF(Skills!H29&gt;0,IF(Inputs!$B$39="pvp",MIN(Skills!I29,15),Skills!I29)/Skills!H29,1)</f>
        <v/>
      </c>
      <c r="H3377">
        <f>1-(1-Skills!J29/100)^Skills!K29</f>
        <v/>
      </c>
      <c r="I3377" t="inlineStr">
        <is>
          <t>1</t>
        </is>
      </c>
      <c r="J3377" t="inlineStr"/>
      <c r="K3377" t="inlineStr"/>
      <c r="L3377" t="inlineStr"/>
      <c r="M3377" t="inlineStr"/>
      <c r="N3377" t="inlineStr"/>
      <c r="O3377">
        <f>(1-Summary!$B$11)*T3377+Summary!$B$11*V3377</f>
        <v/>
      </c>
      <c r="P3377">
        <f>IF(B3394=0,0,O3377/B3394)</f>
        <v/>
      </c>
      <c r="Q3377" t="n">
        <v>0</v>
      </c>
      <c r="R3377" t="n">
        <v>0</v>
      </c>
      <c r="S3377">
        <f>IFERROR(O3377/N3377,0)</f>
        <v/>
      </c>
      <c r="T3377" t="n">
        <v>0</v>
      </c>
      <c r="V3377" t="n">
        <v>0</v>
      </c>
    </row>
    <row r="3378">
      <c r="A3378">
        <f>Skills!A30</f>
        <v/>
      </c>
      <c r="B3378">
        <f>Skills!B30</f>
        <v/>
      </c>
      <c r="C3378">
        <f>Inputs!$B$3&gt;=120</f>
        <v/>
      </c>
      <c r="D3378">
        <f>IF(Skills!C30=1,60+Inputs!$B$25+Inputs!$B$29,IF(Skills!C30=2,90+Inputs!$B$26+Inputs!$B$29,IF(Skills!C30=3,120+Inputs!$B$27+Inputs!$B$29,MAX(0,(Inputs!$B$3-100)*3)+Inputs!$B$28+Inputs!$B$29)))</f>
        <v/>
      </c>
      <c r="E3378">
        <f>INDEX(FactorTable!$B$2:$Y$301, MATCH(ROUND(MIN(300,MAX(1,D3378)),0), FactorTable!$A$2:$A$301,0), Skills!M30+1)</f>
        <v/>
      </c>
      <c r="F3378">
        <f>IF(Skills!N30=TRUE,(Skills!L30/10)*(E3378/1000),Skills!L30/10)+Skills!O30</f>
        <v/>
      </c>
      <c r="G3378">
        <f>Skills!G30*IF(Skills!H30&gt;0,IF(Inputs!$B$39="pvp",MIN(Skills!I30,15),Skills!I30)/Skills!H30,1)</f>
        <v/>
      </c>
      <c r="H3378">
        <f>1-(1-Skills!J30/100)^Skills!K30</f>
        <v/>
      </c>
      <c r="I3378" t="inlineStr">
        <is>
          <t>1</t>
        </is>
      </c>
      <c r="J3378" t="inlineStr"/>
      <c r="K3378" t="inlineStr"/>
      <c r="L3378" t="inlineStr"/>
      <c r="M3378" t="inlineStr"/>
      <c r="N3378" t="inlineStr"/>
      <c r="O3378">
        <f>(1-Summary!$B$11)*T3378+Summary!$B$11*V3378</f>
        <v/>
      </c>
      <c r="P3378">
        <f>IF(B3394=0,0,O3378/B3394)</f>
        <v/>
      </c>
      <c r="Q3378" t="n">
        <v>0</v>
      </c>
      <c r="R3378" t="n">
        <v>0</v>
      </c>
      <c r="S3378">
        <f>IFERROR(O3378/N3378,0)</f>
        <v/>
      </c>
      <c r="T3378" t="n">
        <v>0</v>
      </c>
      <c r="V3378" t="n">
        <v>0</v>
      </c>
    </row>
    <row r="3379">
      <c r="A3379">
        <f>Skills!A31</f>
        <v/>
      </c>
      <c r="B3379">
        <f>Skills!B31</f>
        <v/>
      </c>
      <c r="C3379">
        <f>Inputs!$B$3&gt;=125</f>
        <v/>
      </c>
      <c r="D3379">
        <f>IF(Skills!C31=1,60+Inputs!$B$25+Inputs!$B$29,IF(Skills!C31=2,90+Inputs!$B$26+Inputs!$B$29,IF(Skills!C31=3,120+Inputs!$B$27+Inputs!$B$29,MAX(0,(Inputs!$B$3-100)*3)+Inputs!$B$28+Inputs!$B$29)))</f>
        <v/>
      </c>
      <c r="E3379">
        <f>INDEX(FactorTable!$B$2:$Y$301, MATCH(ROUND(MIN(300,MAX(1,D3379)),0), FactorTable!$A$2:$A$301,0), Skills!M31+1)</f>
        <v/>
      </c>
      <c r="F3379">
        <f>IF(Skills!N31=TRUE,(Skills!L31/10)*(E3379/1000),Skills!L31/10)+Skills!O31</f>
        <v/>
      </c>
      <c r="G3379">
        <f>Skills!G31*IF(Skills!H31&gt;0,IF(Inputs!$B$39="pvp",MIN(Skills!I31,15),Skills!I31)/Skills!H31,1)</f>
        <v/>
      </c>
      <c r="H3379">
        <f>1-(1-Skills!J31/100)^Skills!K31</f>
        <v/>
      </c>
      <c r="I3379" t="inlineStr">
        <is>
          <t>1</t>
        </is>
      </c>
      <c r="J3379" t="inlineStr"/>
      <c r="K3379" t="inlineStr"/>
      <c r="L3379" t="inlineStr"/>
      <c r="M3379" t="inlineStr"/>
      <c r="N3379" t="inlineStr"/>
      <c r="O3379">
        <f>(1-Summary!$B$11)*T3379+Summary!$B$11*V3379</f>
        <v/>
      </c>
      <c r="P3379">
        <f>IF(B3394=0,0,O3379/B3394)</f>
        <v/>
      </c>
      <c r="Q3379" t="n">
        <v>0</v>
      </c>
      <c r="R3379" t="n">
        <v>0</v>
      </c>
      <c r="S3379">
        <f>IFERROR(O3379/N3379,0)</f>
        <v/>
      </c>
      <c r="T3379" t="n">
        <v>0</v>
      </c>
      <c r="V3379" t="n">
        <v>0</v>
      </c>
    </row>
    <row r="3381">
      <c r="A3381" t="inlineStr">
        <is>
          <t>Average Buff Multiplier</t>
        </is>
      </c>
      <c r="B3381">
        <f>(1+(((C3370=TRUE)*F3370*IF(AND(Inputs!$B$39&lt;&gt;"pvp",Inputs!$B$44&gt;0),(((R3370-1)*MIN((Skills!Y22*(1+Inputs!$B$34/100)),(1/Q3370))+MIN((Skills!Y22*(1+Inputs!$B$34/100)),MAX(0,Inputs!$B$44-((R3370-1)*(1/Q3370)))))/Inputs!$B$44),IF(Inputs!$B$39="pvp",MIN((Skills!Y22*(1+Inputs!$B$34/100)),15)/15,MIN(1,(Skills!Y22*(1+Inputs!$B$34/100))/(1/Q3370)))))+((C3351=TRUE)*F3351*3)+((C3353=TRUE)*F3353*(1-EXP(-0.75*B3386*5)))+((C3372=TRUE)*(F3372-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3359=TRUE)*F3359*IF(AND(Inputs!$B$39&lt;&gt;"pvp",Inputs!$B$44&gt;0),(((R3359-1)*MIN((Skills!Y11*(1+Inputs!$B$34/100)),(1/Q3359))+MIN((Skills!Y11*(1+Inputs!$B$34/100)),MAX(0,Inputs!$B$44-((R3359-1)*(1/Q3359)))))/Inputs!$B$44),IF(Inputs!$B$39="pvp",MIN((Skills!Y11*(1+Inputs!$B$34/100)),15)/15,MIN(1,(Skills!Y11*(1+Inputs!$B$34/100))/(1/Q3359)))))/100)*(1+((C3364=TRUE)*F3364*IF(AND(Inputs!$B$39&lt;&gt;"pvp",Inputs!$B$44&gt;0),(((R3364-1)*MIN((Skills!Y16*(1+Inputs!$B$34/100)),(1/Q3364))+MIN((Skills!Y16*(1+Inputs!$B$34/100)),MAX(0,Inputs!$B$44-((R3364-1)*(1/Q3364)))))/Inputs!$B$44),IF(Inputs!$B$39="pvp",MIN((Skills!Y16*(1+Inputs!$B$34/100)),15)/15,MIN(1,(Skills!Y16*(1+Inputs!$B$34/100))/(1/Q3364)))))/100)</f>
        <v/>
      </c>
    </row>
    <row r="3382">
      <c r="A3382" t="inlineStr">
        <is>
          <t>Global Crit Rate Bonus %</t>
        </is>
      </c>
      <c r="B3382">
        <f>((C3369=TRUE)*F3369*IF(AND(Inputs!$B$39&lt;&gt;"pvp",Inputs!$B$44&gt;0),(((R3369-1)*MIN((Skills!Y21*(1+Inputs!$B$34/100)),(1/Q3369))+MIN((Skills!Y21*(1+Inputs!$B$34/100)),MAX(0,Inputs!$B$44-((R3369-1)*(1/Q3369)))))/Inputs!$B$44),IF(Inputs!$B$39="pvp",MIN((Skills!Y21*(1+Inputs!$B$34/100)),15)/15,MIN(1,(Skills!Y21*(1+Inputs!$B$34/100))/(1/Q3369)))))</f>
        <v/>
      </c>
    </row>
    <row r="3383">
      <c r="A3383" t="inlineStr">
        <is>
          <t>Global Monster Damage-Taken Bonus %</t>
        </is>
      </c>
      <c r="B3383">
        <f>IF(Inputs!$B$3&gt;=82,15,0)</f>
        <v/>
      </c>
    </row>
    <row r="3384">
      <c r="A3384" t="inlineStr">
        <is>
          <t>Shadow Partner Average Multiplier</t>
        </is>
      </c>
      <c r="B3384">
        <f>1+((C3356=TRUE)*F3356*(1+3.3333333333333335*IF(C3367=TRUE,F3367,0)/100)*I3356*Skills!J8/100)/100</f>
        <v/>
      </c>
    </row>
    <row r="3385">
      <c r="A3385" t="inlineStr">
        <is>
          <t>Attack Speed Buff Bonus %</t>
        </is>
      </c>
      <c r="B3385">
        <f>((C3368=TRUE)*F3368*IF(AND(Inputs!$B$39&lt;&gt;"pvp",Inputs!$B$44&gt;0),(((R3368-1)*MIN((Skills!Y20*(1+Inputs!$B$34/100)),(1/Q3368))+MIN((Skills!Y20*(1+Inputs!$B$34/100)),MAX(0,Inputs!$B$44-((R3368-1)*(1/Q3368)))))/Inputs!$B$44),IF(Inputs!$B$39="pvp",MIN((Skills!Y20*(1+Inputs!$B$34/100)),15)/15,MIN(1,(Skills!Y20*(1+Inputs!$B$34/100))/(1/Q3368)))))</f>
        <v/>
      </c>
    </row>
    <row r="3386">
      <c r="A3386" t="inlineStr">
        <is>
          <t>Actions Per Second</t>
        </is>
      </c>
      <c r="B3386">
        <f>1+MIN(150,150*(1-(1-(Inputs!$B$11+((C3371=TRUE)*(F3371-Calc!F23)))/150)*(1-B3385/150)))/100</f>
        <v/>
      </c>
    </row>
    <row r="3387">
      <c r="A3387" t="inlineStr">
        <is>
          <t>Skill + Buff Cast Rate</t>
        </is>
      </c>
      <c r="B3387">
        <f>IF(AND(Inputs!$B$39&lt;&gt;"pvp",Inputs!$B$44&gt;0),SUMPRODUCT((Skills!E2:E31=TRUE)*(C3350:C3379=TRUE)*R3350:R3379*Skills!F2:F31)/Inputs!$B$44,SUMPRODUCT((Skills!E2:E31=TRUE)*(C3350:C3379=TRUE)*Q3350:Q3379*Skills!F2:F31))</f>
        <v/>
      </c>
    </row>
    <row r="3388">
      <c r="A3388" t="inlineStr">
        <is>
          <t>Cruel Stab Casts Per Second</t>
        </is>
      </c>
      <c r="B3388">
        <f>MAX(0,B3386-B3387)</f>
        <v/>
      </c>
    </row>
    <row r="3389">
      <c r="A3389" t="inlineStr">
        <is>
          <t>Global Critical Damage Bonus % (Smokescreen Mastery Lv.113)</t>
        </is>
      </c>
      <c r="B3389">
        <f>IF(Inputs!$B$3&gt;=113,30,0)*IF(AND(Inputs!$B$39&lt;&gt;"pvp",Inputs!$B$44&gt;0),(((R3364-1)*MIN((Skills!Y16*(1+Inputs!$B$34/100)),(1/Q3364))+MIN((Skills!Y16*(1+Inputs!$B$34/100)),MAX(0,Inputs!$B$44-((R3364-1)*(1/Q3364)))))/Inputs!$B$44),IF(Inputs!$B$39="pvp",MIN((Skills!Y16*(1+Inputs!$B$34/100)),15)/15,MIN(1,(Skills!Y16*(1+Inputs!$B$34/100))/(1/Q3364))))</f>
        <v/>
      </c>
    </row>
    <row r="3390">
      <c r="A3390" t="inlineStr">
        <is>
          <t>Meso Explosion average stack count</t>
        </is>
      </c>
      <c r="B3390">
        <f>MIN(10,IF(Inputs!$B$3&gt;=75,0.75,0.5)*B3386*(1/Q3352))</f>
        <v/>
      </c>
    </row>
    <row r="3391">
      <c r="A3391" t="inlineStr">
        <is>
          <t>Blood Money average stack count</t>
        </is>
      </c>
      <c r="B3391">
        <f>MIN(5,0.5*IF(Inputs!$B$3&gt;=75,0.75,0.5)*B3386*(1/Q3352))</f>
        <v/>
      </c>
    </row>
    <row r="3392">
      <c r="A3392" t="inlineStr">
        <is>
          <t>Assassinate Murderous Intent Multiplier</t>
        </is>
      </c>
      <c r="B3392">
        <f>1+IFERROR(MIN(1,Q3363*2/Q3360),0)</f>
        <v/>
      </c>
    </row>
    <row r="3393">
      <c r="A3393" t="inlineStr">
        <is>
          <t>Buff-Casting Startup Delay (s, fixed-duration only)</t>
        </is>
      </c>
      <c r="B3393">
        <f>IF(AND(Inputs!$B$39&lt;&gt;"pvp",Inputs!$B$44&gt;0),SUMPRODUCT((Skills!Y2:Y31&gt;0)*(Skills!E2:E31=TRUE)*(C3350:C3379=TRUE))/B3386,0)</f>
        <v/>
      </c>
    </row>
    <row r="3394">
      <c r="A3394" s="6" t="inlineStr">
        <is>
          <t>TOTAL DPS</t>
        </is>
      </c>
      <c r="B3394" s="6">
        <f>SUM(O3350:O3379)</f>
        <v/>
      </c>
    </row>
    <row r="3395">
      <c r="A3395" t="inlineStr">
        <is>
          <t>Boss-Only Total DPS (this block's swept value)</t>
        </is>
      </c>
      <c r="B3395">
        <f>SUM(T3350:T3379)</f>
        <v/>
      </c>
    </row>
    <row r="3396">
      <c r="A3396" t="inlineStr">
        <is>
          <t>Normal-Only Total DPS (this block's swept value)</t>
        </is>
      </c>
      <c r="B3396">
        <f>SUM(V3350:V3379)</f>
        <v/>
      </c>
    </row>
    <row r="3399">
      <c r="A3399" s="6" t="inlineStr">
        <is>
          <t>Stat: CDR = 1.5s</t>
        </is>
      </c>
    </row>
    <row r="3400">
      <c r="A3400" s="5" t="inlineStr">
        <is>
          <t>Key</t>
        </is>
      </c>
      <c r="B3400" s="5" t="inlineStr">
        <is>
          <t>Name</t>
        </is>
      </c>
      <c r="C3400" s="5" t="inlineStr">
        <is>
          <t>Unlocked</t>
        </is>
      </c>
      <c r="D3400" s="5" t="inlineStr">
        <is>
          <t>InputLevel</t>
        </is>
      </c>
      <c r="E3400" s="5" t="inlineStr">
        <is>
          <t>Factor</t>
        </is>
      </c>
      <c r="F3400" s="5" t="inlineStr">
        <is>
          <t>CoefficientPercent</t>
        </is>
      </c>
      <c r="G3400" s="5" t="inlineStr">
        <is>
          <t>EffectiveHits</t>
        </is>
      </c>
      <c r="H3400" s="5" t="inlineStr">
        <is>
          <t>ProcProbability</t>
        </is>
      </c>
      <c r="I3400" s="5" t="inlineStr">
        <is>
          <t>MapleHeroMultiplier</t>
        </is>
      </c>
      <c r="J3400" s="5" t="inlineStr">
        <is>
          <t>BaseDamage</t>
        </is>
      </c>
      <c r="K3400" s="5" t="inlineStr">
        <is>
          <t>BaseHitDamage</t>
        </is>
      </c>
      <c r="L3400" s="5" t="inlineStr">
        <is>
          <t>NonCritAvg</t>
        </is>
      </c>
      <c r="M3400" s="5" t="inlineStr">
        <is>
          <t>CritAvg</t>
        </is>
      </c>
      <c r="N3400" s="5" t="inlineStr">
        <is>
          <t>ExpectedDamage(perHit)</t>
        </is>
      </c>
      <c r="O3400" s="5" t="inlineStr">
        <is>
          <t>DPS</t>
        </is>
      </c>
      <c r="P3400" s="5" t="inlineStr">
        <is>
          <t>% of Total</t>
        </is>
      </c>
      <c r="Q3400" s="5" t="inlineStr">
        <is>
          <t>InvCooldown</t>
        </is>
      </c>
      <c r="R3400" s="5" t="inlineStr">
        <is>
          <t>CastsInFight</t>
        </is>
      </c>
      <c r="S3400" s="5" t="inlineStr">
        <is>
          <t>HitRate(perSec)</t>
        </is>
      </c>
      <c r="U3400" t="inlineStr">
        <is>
          <t>helpers</t>
        </is>
      </c>
    </row>
    <row r="3401">
      <c r="A3401">
        <f>Skills!A2</f>
        <v/>
      </c>
      <c r="B3401">
        <f>Skills!B2</f>
        <v/>
      </c>
      <c r="C3401">
        <f>Inputs!$B$3&gt;=100</f>
        <v/>
      </c>
      <c r="D3401" t="inlineStr"/>
      <c r="E3401" t="inlineStr"/>
      <c r="F3401">
        <f>U3403+Skills!O2</f>
        <v/>
      </c>
      <c r="G3401">
        <f>Skills!G2*IF(Skills!H2&gt;0,IF(Inputs!$B$39="pvp",MIN(Skills!I2,15),Skills!I2)/Skills!H2,1)</f>
        <v/>
      </c>
      <c r="H3401">
        <f>1-(1-Skills!J2/100)^Skills!K2</f>
        <v/>
      </c>
      <c r="I3401" t="inlineStr">
        <is>
          <t>1</t>
        </is>
      </c>
      <c r="J3401">
        <f>((Inputs!$B$6*(1+Inputs!$B$7/100))+(((Inputs!$B$12*(1+Inputs!$B$13/100))-(Inputs!$B$12*(1+Inputs!$B$13/100)))+0.25*(Inputs!$B$14-Inputs!$B$14))*(1+Inputs!$B$7/100))*(F3401/100)</f>
        <v/>
      </c>
      <c r="K3401">
        <f>J3401*(1+((Inputs!$B$12*(1+Inputs!$B$13/100))*0.01+Inputs!$B$14*0.0025)/100)*(1+Inputs!$B$15/100)*(1+Inputs!$B$16/100)*(5000/(6000+Inputs!$B$43*(1-(100*(1-(1-Inputs!$B$19/100)*(1-CHOOSE(ArtifactsInput!$N$40+1,5,6,7,8,9,10)/100)^(ArtifactsInput!$M$40-ArtifactsInput!$M$40)))/100)))*(1+(Inputs!$B$24+((C3430=TRUE)*(F3430-Calc!F31))+((C3417=TRUE)*(F3417-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CRUEL_STAB",Inputs!$B$17+((C3427=TRUE)*(F3427-Calc!F28))+((IF(AND(Inputs!$B$39&lt;&gt;"pvp",Inputs!$B$44=0),1,IF(IF(Inputs!$B$39="pvp",15,Inputs!$B$44)-(B3444)&lt;=0,1,MAX(0,IF(Inputs!$B$39="pvp",15,Inputs!$B$44)-MAX(5,B3444))/(IF(Inputs!$B$39="pvp",15,Inputs!$B$44)-(B3444))))*(IF(AND(ArtifactsInput!$M$42,((Inputs!$B$9+((C3425=TRUE)*(F3425-Calc!F26))+B3433+(ArtifactsInput!$M$24-ArtifactsInput!$M$24)*CHOOSE(ArtifactsInput!$N$24+1,10,12,14,16,18,20)+IF(ArtifactsInput!$M$10,CHOOSE(ArtifactsInput!$N$10+1,15,18,21,24,27,30)*(IF(Inputs!$B$39="pvp",MIN(15,15)/15,IF(AND(Inputs!$B$39&lt;&gt;"pvp",Inputs!$B$44&gt;0),MIN(15,Inputs!$B$44)/(Inputs!$B$44),0))),0)))&gt;=100),MIN(100,((Inputs!$B$9+((C3425=TRUE)*(F3425-Calc!F26))+B3433+(ArtifactsInput!$M$24-ArtifactsInput!$M$24)*CHOOSE(ArtifactsInput!$N$24+1,10,12,14,16,18,20)+IF(ArtifactsInput!$M$10,CHOOSE(ArtifactsInput!$N$10+1,15,18,21,24,27,30)*(IF(Inputs!$B$39="pvp",MIN(15,15)/15,IF(AND(Inputs!$B$39&lt;&gt;"pvp",Inputs!$B$44&gt;0),MIN(15,Inputs!$B$44)/(Inputs!$B$44),0))),0)))-100),0))*CHOOSE(ArtifactsInput!$N$42+1,0.6,0.72,0.84,0.96,1.08,1.2))),Inputs!$B$18+((C3428=TRUE)*(F3428-Calc!F29))+(IF(AND(Inputs!$B$39&lt;&gt;"pvp",Inputs!$B$44=0),1,IF(IF(Inputs!$B$39="pvp",15,Inputs!$B$44)-(B3444)&lt;=0,1,MAX(0,IF(Inputs!$B$39="pvp",15,Inputs!$B$44)-MAX(5,B3444))/(IF(Inputs!$B$39="pvp",15,Inputs!$B$44)-(B3444))))*IF(AND(ArtifactsInput!$M$42,((Inputs!$B$9+((C3425=TRUE)*(F3425-Calc!F26))+B3433+(ArtifactsInput!$M$24-ArtifactsInput!$M$24)*CHOOSE(ArtifactsInput!$N$24+1,10,12,14,16,18,20)+IF(ArtifactsInput!$M$10,CHOOSE(ArtifactsInput!$N$10+1,15,18,21,24,27,30)*(IF(Inputs!$B$39="pvp",MIN(15,15)/15,IF(AND(Inputs!$B$39&lt;&gt;"pvp",Inputs!$B$44&gt;0),MIN(15,Inputs!$B$44)/(Inputs!$B$44),0))),0)))&gt;=100),CHOOSE(ArtifactsInput!$N$42+1,40,48,56,64,72,80),0))))/100)*(((1+(((C3421=TRUE)*F3421*IF(AND(Inputs!$B$39&lt;&gt;"pvp",Inputs!$B$44&gt;0),(((R3421-1)*MIN((Skills!Y22*(1+Inputs!$B$34/100)),(1/Q3421))+MIN((Skills!Y22*(1+Inputs!$B$34/100)),MAX(0,Inputs!$B$44-((R3421-1)*(1/Q3421)))))/Inputs!$B$44),IF(Inputs!$B$39="pvp",MIN((Skills!Y22*(1+Inputs!$B$34/100)),15)/15,MIN(1,(Skills!Y22*(1+Inputs!$B$34/100))/(1/Q3421)))))+((C3402=TRUE)*F3402*3)+((C3404=TRUE)*F3404*(1-EXP(-0.75*B3437*5)))+((C3423=TRUE)*(F3423-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3410=TRUE)*F3410*IF(AND(Inputs!$B$39&lt;&gt;"pvp",Inputs!$B$44&gt;0),(((R3410-1)*MIN((Skills!Y11*(1+Inputs!$B$34/100)),(1/Q3410))+MIN((Skills!Y11*(1+Inputs!$B$34/100)),MAX(0,Inputs!$B$44-((R3410-1)*(1/Q3410)))))/Inputs!$B$44),IF(Inputs!$B$39="pvp",MIN((Skills!Y11*(1+Inputs!$B$34/100)),15)/15,MIN(1,(Skills!Y11*(1+Inputs!$B$34/100))/(1/Q3410)))))/100)*(1+((C3415=TRUE)*F3415*IF(AND(Inputs!$B$39&lt;&gt;"pvp",Inputs!$B$44&gt;0),(((R3415-1)*MIN((Skills!Y16*(1+Inputs!$B$34/100)),(1/Q3415))+MIN((Skills!Y16*(1+Inputs!$B$34/100)),MAX(0,Inputs!$B$44-((R3415-1)*(1/Q3415)))))/Inputs!$B$44),IF(Inputs!$B$39="pvp",MIN((Skills!Y16*(1+Inputs!$B$34/100)),15)/15,MIN(1,(Skills!Y16*(1+Inputs!$B$34/100))/(1/Q3415)))))/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3435*I3401)</f>
        <v/>
      </c>
      <c r="L3401">
        <f>K3401*(MIN(Inputs!$B$22+((C3424=TRUE)*(F3424-Calc!F25)),(Inputs!$B$23+((C3429=TRUE)*(F3429-Calc!F30))+IF(ArtifactsInput!$M$15,CHOOSE(ArtifactsInput!$N$15+1,25,30,35,40,45,50)/100*(Inputs!$B$11-Inputs!$B$11),0)))/100+(Inputs!$B$23+((C3429=TRUE)*(F3429-Calc!F30))+IF(ArtifactsInput!$M$15,CHOOSE(ArtifactsInput!$N$15+1,25,30,35,40,45,50)/100*(Inputs!$B$11-Inputs!$B$11),0))/100)/2</f>
        <v/>
      </c>
      <c r="M3401">
        <f>L3401*(1+(Inputs!$B$10+((C3426=TRUE)*(F3426-Calc!F27))+B3440+(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3401">
        <f>L3401*(1-MIN((Inputs!$B$9+((C3425=TRUE)*(F3425-Calc!F26))+B3433+(ArtifactsInput!$M$24-ArtifactsInput!$M$24)*CHOOSE(ArtifactsInput!$N$24+1,10,12,14,16,18,20)+(IF(AND(Inputs!$B$39&lt;&gt;"pvp",Inputs!$B$44=0),1,IF(IF(Inputs!$B$39="pvp",15,Inputs!$B$44)-(B3444)&lt;=0,1,MAX(0,IF(Inputs!$B$39="pvp",15,Inputs!$B$44)-MAX(5,B3444))/(IF(Inputs!$B$39="pvp",15,Inputs!$B$44)-(B3444))))*IF(AND(ArtifactsInput!$M$42,((Inputs!$B$9+((C3425=TRUE)*(F3425-Calc!F26))+B3433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3401*(MIN((Inputs!$B$9+((C3425=TRUE)*(F3425-Calc!F26))+B3433+(ArtifactsInput!$M$24-ArtifactsInput!$M$24)*CHOOSE(ArtifactsInput!$N$24+1,10,12,14,16,18,20)+(IF(AND(Inputs!$B$39&lt;&gt;"pvp",Inputs!$B$44=0),1,IF(IF(Inputs!$B$39="pvp",15,Inputs!$B$44)-(B3444)&lt;=0,1,MAX(0,IF(Inputs!$B$39="pvp",15,Inputs!$B$44)-MAX(5,B3444))/(IF(Inputs!$B$39="pvp",15,Inputs!$B$44)-(B3444))))*IF(AND(ArtifactsInput!$M$42,((Inputs!$B$9+((C3425=TRUE)*(F3425-Calc!F26))+B3433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3401">
        <f>(1-Summary!$B$11)*T3401+Summary!$B$11*V3401</f>
        <v/>
      </c>
      <c r="P3401">
        <f>IF(B3445=0,0,O3401/B3445)</f>
        <v/>
      </c>
      <c r="Q3401" t="n">
        <v>0</v>
      </c>
      <c r="R3401" t="n">
        <v>0</v>
      </c>
      <c r="S3401">
        <f>IFERROR(O3401/N3401,0)</f>
        <v/>
      </c>
      <c r="T3401">
        <f>IF(C3401,(Skills!G2*N3401*B3439)*IF(Inputs!$B$39="pvp",1,1+(Inputs!$B$20+0+Skills!P2+B3434+(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Hunt"),CHOOSE(ArtifactsInput!$N$35+1,15,18,21,24,27,30)*(1-EXP(-(0.2*B3437)*5)),0)+IF(AND(ArtifactsInput!$M$22,Inputs!$B$4&lt;&gt;"Chapter Hunt"),CHOOSE(ArtifactsInput!$N$22+1,10,12,14,16,18,20)*((0*(((0.15*B3437*5))^0/1)+1*(((0.15*B3437*5))^1/1)+2*(((0.15*B3437*5))^2/2)+3*(((0.15*B3437*5))^3/6)+4*(((0.15*B3437*5))^4/24)+5*(((0.15*B3437*5))^5/120))/((((0.15*B3437*5))^0/1)+(((0.15*B3437*5))^1/1)+(((0.15*B3437*5))^2/2)+(((0.15*B3437*5))^3/6)+(((0.15*B3437*5))^4/24)+(((0.15*B3437*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3401*(1-MIN(100,(Inputs!$B$9+((C3425=TRUE)*(F3425-Calc!F26))+B3433+(ArtifactsInput!$M$24-ArtifactsInput!$M$24)*CHOOSE(ArtifactsInput!$N$24+1,10,12,14,16,18,20)+(IF(AND(Inputs!$B$39&lt;&gt;"pvp",Inputs!$B$44=0),1,IF(IF(Inputs!$B$39="pvp",15,Inputs!$B$44)-(B3444)&lt;=0,1,MAX(0,IF(Inputs!$B$39="pvp",15,Inputs!$B$44)-MAX(5,B3444))/(IF(Inputs!$B$39="pvp",15,Inputs!$B$44)-(B3444))))*IF(AND(ArtifactsInput!$M$42,((Inputs!$B$9+((C3425=TRUE)*(F3425-Calc!F26))+B3433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3401*(MIN(100,(Inputs!$B$9+((C3425=TRUE)*(F3425-Calc!F26))+B3433+(ArtifactsInput!$M$24-ArtifactsInput!$M$24)*CHOOSE(ArtifactsInput!$N$24+1,10,12,14,16,18,20)+(IF(AND(Inputs!$B$39&lt;&gt;"pvp",Inputs!$B$44=0),1,IF(IF(Inputs!$B$39="pvp",15,Inputs!$B$44)-(B3444)&lt;=0,1,MAX(0,IF(Inputs!$B$39="pvp",15,Inputs!$B$44)-MAX(5,B3444))/(IF(Inputs!$B$39="pvp",15,Inputs!$B$44)-(B3444))))*IF(AND(ArtifactsInput!$M$42,((Inputs!$B$9+((C3425=TRUE)*(F3425-Calc!F26))+B3433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3401*(1-MIN(100,(Inputs!$B$9+((C3425=TRUE)*(F3425-Calc!F26))+B3433+(ArtifactsInput!$M$24-ArtifactsInput!$M$24)*CHOOSE(ArtifactsInput!$N$24+1,10,12,14,16,18,20)+(IF(AND(Inputs!$B$39&lt;&gt;"pvp",Inputs!$B$44=0),1,IF(IF(Inputs!$B$39="pvp",15,Inputs!$B$44)-(B3444)&lt;=0,1,MAX(0,IF(Inputs!$B$39="pvp",15,Inputs!$B$44)-MAX(5,B3444))/(IF(Inputs!$B$39="pvp",15,Inputs!$B$44)-(B3444))))*IF(AND(ArtifactsInput!$M$42,((Inputs!$B$9+((C3425=TRUE)*(F3425-Calc!F26))+B3433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3401*(MIN(100,(Inputs!$B$9+((C3425=TRUE)*(F3425-Calc!F26))+B3433+(ArtifactsInput!$M$24-ArtifactsInput!$M$24)*CHOOSE(ArtifactsInput!$N$24+1,10,12,14,16,18,20)+(IF(AND(Inputs!$B$39&lt;&gt;"pvp",Inputs!$B$44=0),1,IF(IF(Inputs!$B$39="pvp",15,Inputs!$B$44)-(B3444)&lt;=0,1,MAX(0,IF(Inputs!$B$39="pvp",15,Inputs!$B$44)-MAX(5,B3444))/(IF(Inputs!$B$39="pvp",15,Inputs!$B$44)-(B3444))))*IF(AND(ArtifactsInput!$M$42,((Inputs!$B$9+((C3425=TRUE)*(F3425-Calc!F26))+B3433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3401">
        <f>MAX(0,(Inputs!$B$3-100)*3)+Inputs!$B$28+Inputs!$B$29</f>
        <v/>
      </c>
      <c r="V3401">
        <f>IF(C3401,(Skills!G2*N3401*B3439)*IF(Inputs!$B$39="pvp",1,(1+(Inputs!$B$21+Skills!Q2+B3434+(IF(ArtifactsInput!$M$33,CHOOSE(ArtifactsInput!$N$33+1,30,36,42,48,54,60),0))+(IF(AND(ArtifactsInput!$M$35,Inputs!$B$4&lt;&gt;"Chapter Hunt"),CHOOSE(ArtifactsInput!$N$35+1,15,18,21,24,27,30)*(1-EXP(-(0.2*B3437)*5)),0)+IF(AND(ArtifactsInput!$M$22,Inputs!$B$4&lt;&gt;"Chapter Hunt"),CHOOSE(ArtifactsInput!$N$22+1,10,12,14,16,18,20)*((0*(((0.15*B3437*5))^0/1)+1*(((0.15*B3437*5))^1/1)+2*(((0.15*B3437*5))^2/2)+3*(((0.15*B3437*5))^3/6)+4*(((0.15*B3437*5))^4/24)+5*(((0.15*B3437*5))^5/120))/((((0.15*B3437*5))^0/1)+(((0.15*B3437*5))^1/1)+(((0.15*B3437*5))^2/2)+(((0.15*B3437*5))^3/6)+(((0.15*B3437*5))^4/24)+(((0.15*B3437*5))^5/120))),0)))/100)*(MIN((6+Inputs!$B$33),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3402">
      <c r="A3402">
        <f>Skills!A3</f>
        <v/>
      </c>
      <c r="B3402">
        <f>Skills!B3</f>
        <v/>
      </c>
      <c r="C3402">
        <f>Inputs!$B$3&gt;=35</f>
        <v/>
      </c>
      <c r="D3402">
        <f>IF(Skills!C3=1,60+Inputs!$B$25+Inputs!$B$29,IF(Skills!C3=2,90+Inputs!$B$26+Inputs!$B$29,IF(Skills!C3=3,120+Inputs!$B$27+Inputs!$B$29,MAX(0,(Inputs!$B$3-100)*3)+Inputs!$B$28+Inputs!$B$29)))</f>
        <v/>
      </c>
      <c r="E3402">
        <f>INDEX(FactorTable!$B$2:$Y$301, MATCH(ROUND(MIN(300,MAX(1,D3402)),0), FactorTable!$A$2:$A$301,0), Skills!M3+1)</f>
        <v/>
      </c>
      <c r="F3402">
        <f>IF(Skills!N3=TRUE,(Skills!L3/10)*(E3402/1000),Skills!L3/10)+Skills!O3</f>
        <v/>
      </c>
      <c r="G3402">
        <f>Skills!G3*IF(Skills!H3&gt;0,IF(Inputs!$B$39="pvp",MIN(Skills!I3,15),Skills!I3)/Skills!H3,1)</f>
        <v/>
      </c>
      <c r="H3402">
        <f>1-(1-Skills!J3/100)^Skills!K3</f>
        <v/>
      </c>
      <c r="I3402" t="inlineStr">
        <is>
          <t>1</t>
        </is>
      </c>
      <c r="J3402" t="inlineStr"/>
      <c r="K3402" t="inlineStr"/>
      <c r="L3402" t="inlineStr"/>
      <c r="M3402" t="inlineStr"/>
      <c r="N3402" t="inlineStr"/>
      <c r="O3402">
        <f>(1-Summary!$B$11)*T3402+Summary!$B$11*V3402</f>
        <v/>
      </c>
      <c r="P3402">
        <f>IF(B3445=0,0,O3402/B3445)</f>
        <v/>
      </c>
      <c r="Q3402" t="n">
        <v>0</v>
      </c>
      <c r="R3402" t="n">
        <v>0</v>
      </c>
      <c r="S3402">
        <f>IFERROR(O3402/N3402,0)</f>
        <v/>
      </c>
      <c r="T3402" t="n">
        <v>0</v>
      </c>
      <c r="U3402">
        <f>INDEX(FactorTable!$B$2:$Y$301, MATCH(ROUND(MIN(300,MAX(1,U3401)),0), FactorTable!$A$2:$A$301,0), 22)</f>
        <v/>
      </c>
      <c r="V3402" t="n">
        <v>0</v>
      </c>
    </row>
    <row r="3403">
      <c r="A3403">
        <f>Skills!A4</f>
        <v/>
      </c>
      <c r="B3403">
        <f>Skills!B4</f>
        <v/>
      </c>
      <c r="C3403">
        <f>Inputs!$B$3&gt;=66</f>
        <v/>
      </c>
      <c r="D3403">
        <f>IF(Skills!C4=1,60+Inputs!$B$25+Inputs!$B$29,IF(Skills!C4=2,90+Inputs!$B$26+Inputs!$B$29,IF(Skills!C4=3,120+Inputs!$B$27+Inputs!$B$29,MAX(0,(Inputs!$B$3-100)*3)+Inputs!$B$28+Inputs!$B$29)))</f>
        <v/>
      </c>
      <c r="E3403">
        <f>INDEX(FactorTable!$B$2:$Y$301, MATCH(ROUND(MIN(300,MAX(1,D3403)),0), FactorTable!$A$2:$A$301,0), Skills!M4+1)</f>
        <v/>
      </c>
      <c r="F3403">
        <f>IF(Skills!N4=TRUE,(Skills!L4/10)*(E3403/1000),Skills!L4/10)+Skills!O4</f>
        <v/>
      </c>
      <c r="G3403">
        <f>Skills!G4*IF(Skills!H4&gt;0,IF(Inputs!$B$39="pvp",MIN(Skills!I4,15),Skills!I4)/Skills!H4,1)</f>
        <v/>
      </c>
      <c r="H3403">
        <f>1-(1-Skills!J4/100)^Skills!K4</f>
        <v/>
      </c>
      <c r="I3403" t="inlineStr">
        <is>
          <t>1</t>
        </is>
      </c>
      <c r="J3403">
        <f>((Inputs!$B$6*(1+Inputs!$B$7/100))+(((Inputs!$B$12*(1+Inputs!$B$13/100))-(Inputs!$B$12*(1+Inputs!$B$13/100)))+0.25*(Inputs!$B$14-Inputs!$B$14))*(1+Inputs!$B$7/100))*(F3403/100)</f>
        <v/>
      </c>
      <c r="K3403">
        <f>J3403*(1+((Inputs!$B$12*(1+Inputs!$B$13/100))*0.01+Inputs!$B$14*0.0025)/100)*(1+Inputs!$B$15/100)*(1+Inputs!$B$16/100)*(5000/(6000+Inputs!$B$43*(1-(100*(1-(1-Inputs!$B$19/100)*(1-CHOOSE(ArtifactsInput!$N$40+1,5,6,7,8,9,10)/100)^(ArtifactsInput!$M$40-ArtifactsInput!$M$40)))/100)))*(1+(Inputs!$B$24+((C3430=TRUE)*(F3430-Calc!F31))+((C3417=TRUE)*(F3417-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4="CRUEL_STAB",Inputs!$B$17+((C3427=TRUE)*(F3427-Calc!F28))+((IF(AND(Inputs!$B$39&lt;&gt;"pvp",Inputs!$B$44=0),1,IF(IF(Inputs!$B$39="pvp",15,Inputs!$B$44)-(B3444)&lt;=0,1,MAX(0,IF(Inputs!$B$39="pvp",15,Inputs!$B$44)-MAX(5,B3444))/(IF(Inputs!$B$39="pvp",15,Inputs!$B$44)-(B3444))))*(IF(AND(ArtifactsInput!$M$42,((Inputs!$B$9+((C3425=TRUE)*(F3425-Calc!F26))+B3433+(ArtifactsInput!$M$24-ArtifactsInput!$M$24)*CHOOSE(ArtifactsInput!$N$24+1,10,12,14,16,18,20)+IF(ArtifactsInput!$M$10,CHOOSE(ArtifactsInput!$N$10+1,15,18,21,24,27,30)*(IF(Inputs!$B$39="pvp",MIN(15,15)/15,IF(AND(Inputs!$B$39&lt;&gt;"pvp",Inputs!$B$44&gt;0),MIN(15,Inputs!$B$44)/(Inputs!$B$44),0))),0)))&gt;=100),MIN(100,((Inputs!$B$9+((C3425=TRUE)*(F3425-Calc!F26))+B3433+(ArtifactsInput!$M$24-ArtifactsInput!$M$24)*CHOOSE(ArtifactsInput!$N$24+1,10,12,14,16,18,20)+IF(ArtifactsInput!$M$10,CHOOSE(ArtifactsInput!$N$10+1,15,18,21,24,27,30)*(IF(Inputs!$B$39="pvp",MIN(15,15)/15,IF(AND(Inputs!$B$39&lt;&gt;"pvp",Inputs!$B$44&gt;0),MIN(15,Inputs!$B$44)/(Inputs!$B$44),0))),0)))-100),0))*CHOOSE(ArtifactsInput!$N$42+1,0.6,0.72,0.84,0.96,1.08,1.2))),Inputs!$B$18+((C3428=TRUE)*(F3428-Calc!F29))+(IF(AND(Inputs!$B$39&lt;&gt;"pvp",Inputs!$B$44=0),1,IF(IF(Inputs!$B$39="pvp",15,Inputs!$B$44)-(B3444)&lt;=0,1,MAX(0,IF(Inputs!$B$39="pvp",15,Inputs!$B$44)-MAX(5,B3444))/(IF(Inputs!$B$39="pvp",15,Inputs!$B$44)-(B3444))))*IF(AND(ArtifactsInput!$M$42,((Inputs!$B$9+((C3425=TRUE)*(F3425-Calc!F26))+B3433+(ArtifactsInput!$M$24-ArtifactsInput!$M$24)*CHOOSE(ArtifactsInput!$N$24+1,10,12,14,16,18,20)+IF(ArtifactsInput!$M$10,CHOOSE(ArtifactsInput!$N$10+1,15,18,21,24,27,30)*(IF(Inputs!$B$39="pvp",MIN(15,15)/15,IF(AND(Inputs!$B$39&lt;&gt;"pvp",Inputs!$B$44&gt;0),MIN(15,Inputs!$B$44)/(Inputs!$B$44),0))),0)))&gt;=100),CHOOSE(ArtifactsInput!$N$42+1,40,48,56,64,72,80),0))))/100)*(((1+(((C3421=TRUE)*F3421*IF(AND(Inputs!$B$39&lt;&gt;"pvp",Inputs!$B$44&gt;0),(((R3421-1)*MIN((Skills!Y22*(1+Inputs!$B$34/100)),(1/Q3421))+MIN((Skills!Y22*(1+Inputs!$B$34/100)),MAX(0,Inputs!$B$44-((R3421-1)*(1/Q3421)))))/Inputs!$B$44),IF(Inputs!$B$39="pvp",MIN((Skills!Y22*(1+Inputs!$B$34/100)),15)/15,MIN(1,(Skills!Y22*(1+Inputs!$B$34/100))/(1/Q3421)))))+((C3402=TRUE)*F3402*3)+((C3404=TRUE)*F3404*(1-EXP(-0.75*B3437*5)))+((C3423=TRUE)*(F3423-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3410=TRUE)*F3410*IF(AND(Inputs!$B$39&lt;&gt;"pvp",Inputs!$B$44&gt;0),(((R3410-1)*MIN((Skills!Y11*(1+Inputs!$B$34/100)),(1/Q3410))+MIN((Skills!Y11*(1+Inputs!$B$34/100)),MAX(0,Inputs!$B$44-((R3410-1)*(1/Q3410)))))/Inputs!$B$44),IF(Inputs!$B$39="pvp",MIN((Skills!Y11*(1+Inputs!$B$34/100)),15)/15,MIN(1,(Skills!Y11*(1+Inputs!$B$34/100))/(1/Q3410)))))/100)*(1+((C3415=TRUE)*F3415*IF(AND(Inputs!$B$39&lt;&gt;"pvp",Inputs!$B$44&gt;0),(((R3415-1)*MIN((Skills!Y16*(1+Inputs!$B$34/100)),(1/Q3415))+MIN((Skills!Y16*(1+Inputs!$B$34/100)),MAX(0,Inputs!$B$44-((R3415-1)*(1/Q3415)))))/Inputs!$B$44),IF(Inputs!$B$39="pvp",MIN((Skills!Y16*(1+Inputs!$B$34/100)),15)/15,MIN(1,(Skills!Y16*(1+Inputs!$B$34/100))/(1/Q3415)))))/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3435*I3403)</f>
        <v/>
      </c>
      <c r="L3403">
        <f>K3403*(MIN(Inputs!$B$22+((C3424=TRUE)*(F3424-Calc!F25)),(Inputs!$B$23+((C3429=TRUE)*(F3429-Calc!F30))+IF(ArtifactsInput!$M$15,CHOOSE(ArtifactsInput!$N$15+1,25,30,35,40,45,50)/100*(Inputs!$B$11-Inputs!$B$11),0)))/100+(Inputs!$B$23+((C3429=TRUE)*(F3429-Calc!F30))+IF(ArtifactsInput!$M$15,CHOOSE(ArtifactsInput!$N$15+1,25,30,35,40,45,50)/100*(Inputs!$B$11-Inputs!$B$11),0))/100)/2</f>
        <v/>
      </c>
      <c r="M3403">
        <f>L3403*(1+(Inputs!$B$10+((C3426=TRUE)*(F3426-Calc!F27))+B3440+(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3403">
        <f>L3403*(1-MIN((Inputs!$B$9+((C3425=TRUE)*(F3425-Calc!F26))+B3433+(ArtifactsInput!$M$24-ArtifactsInput!$M$24)*CHOOSE(ArtifactsInput!$N$24+1,10,12,14,16,18,20)+(IF(AND(Inputs!$B$39&lt;&gt;"pvp",Inputs!$B$44=0),1,IF(IF(Inputs!$B$39="pvp",15,Inputs!$B$44)-(B3444)&lt;=0,1,MAX(0,IF(Inputs!$B$39="pvp",15,Inputs!$B$44)-MAX(5,B3444))/(IF(Inputs!$B$39="pvp",15,Inputs!$B$44)-(B3444))))*IF(AND(ArtifactsInput!$M$42,((Inputs!$B$9+((C3425=TRUE)*(F3425-Calc!F26))+B3433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3403*(MIN((Inputs!$B$9+((C3425=TRUE)*(F3425-Calc!F26))+B3433+(ArtifactsInput!$M$24-ArtifactsInput!$M$24)*CHOOSE(ArtifactsInput!$N$24+1,10,12,14,16,18,20)+(IF(AND(Inputs!$B$39&lt;&gt;"pvp",Inputs!$B$44=0),1,IF(IF(Inputs!$B$39="pvp",15,Inputs!$B$44)-(B3444)&lt;=0,1,MAX(0,IF(Inputs!$B$39="pvp",15,Inputs!$B$44)-MAX(5,B3444))/(IF(Inputs!$B$39="pvp",15,Inputs!$B$44)-(B3444))))*IF(AND(ArtifactsInput!$M$42,((Inputs!$B$9+((C3425=TRUE)*(F3425-Calc!F26))+B3433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3403">
        <f>(1-Summary!$B$11)*T3403+Summary!$B$11*V3403</f>
        <v/>
      </c>
      <c r="P3403">
        <f>IF(B3445=0,0,O3403/B3445)</f>
        <v/>
      </c>
      <c r="Q3403">
        <f>IFERROR(1/IF(Inputs!$B$39="pvp",15,MAX(0.1,Skills!D4-IF(TRUE=TRUE,1.5,0))),0)</f>
        <v/>
      </c>
      <c r="R3403">
        <f>IF(AND(Inputs!$B$39&lt;&gt;"pvp",Inputs!$B$44&gt;0),IF(MAX(0,Inputs!$B$44-B3444)&lt;=0,0,(INT(MAX(0,Inputs!$B$44-B3444)/IF(Inputs!$B$39="pvp",15,MAX(0.1,Skills!D4-IF(TRUE=TRUE,1.5,0))))+1)),0)</f>
        <v/>
      </c>
      <c r="S3403">
        <f>IFERROR(O3403/N3403,0)</f>
        <v/>
      </c>
      <c r="T3403">
        <f>IF(C3403,(H3403*N3403*IF(AND(Inputs!$B$39&lt;&gt;"pvp",Inputs!$B$44&gt;0),((Skills!G4*((R3403-1)*IF(Skills!H4&gt;0,Skills!I4/Skills!H4,1)+IF(Skills!H4&gt;0,MIN(Skills!I4,MAX(0,MAX(0,Inputs!$B$44-B3444)-((R3403-1)*IF(Inputs!$B$39="pvp",15,MAX(0.1,Skills!D4-IF(TRUE=TRUE,1.5,0))))))/Skills!H4,1)))/Inputs!$B$44),G3403*Q3403))*IF(Inputs!$B$39="pvp",1,1+(Inputs!$B$20+0+Skills!P4+B3434+(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Hunt"),CHOOSE(ArtifactsInput!$N$35+1,15,18,21,24,27,30)*(1-EXP(-(0.2*B3437)*5)),0)+IF(AND(ArtifactsInput!$M$22,Inputs!$B$4&lt;&gt;"Chapter Hunt"),CHOOSE(ArtifactsInput!$N$22+1,10,12,14,16,18,20)*((0*(((0.15*B3437*5))^0/1)+1*(((0.15*B3437*5))^1/1)+2*(((0.15*B3437*5))^2/2)+3*(((0.15*B3437*5))^3/6)+4*(((0.15*B3437*5))^4/24)+5*(((0.15*B3437*5))^5/120))/((((0.15*B3437*5))^0/1)+(((0.15*B3437*5))^1/1)+(((0.15*B3437*5))^2/2)+(((0.15*B3437*5))^3/6)+(((0.15*B3437*5))^4/24)+(((0.15*B3437*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3403*(1-MIN(100,(Inputs!$B$9+((C3425=TRUE)*(F3425-Calc!F26))+B3433+(ArtifactsInput!$M$24-ArtifactsInput!$M$24)*CHOOSE(ArtifactsInput!$N$24+1,10,12,14,16,18,20)+(IF(AND(Inputs!$B$39&lt;&gt;"pvp",Inputs!$B$44=0),1,IF(IF(Inputs!$B$39="pvp",15,Inputs!$B$44)-(B3444)&lt;=0,1,MAX(0,IF(Inputs!$B$39="pvp",15,Inputs!$B$44)-MAX(5,B3444))/(IF(Inputs!$B$39="pvp",15,Inputs!$B$44)-(B3444))))*IF(AND(ArtifactsInput!$M$42,((Inputs!$B$9+((C3425=TRUE)*(F3425-Calc!F26))+B3433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3403*(MIN(100,(Inputs!$B$9+((C3425=TRUE)*(F3425-Calc!F26))+B3433+(ArtifactsInput!$M$24-ArtifactsInput!$M$24)*CHOOSE(ArtifactsInput!$N$24+1,10,12,14,16,18,20)+(IF(AND(Inputs!$B$39&lt;&gt;"pvp",Inputs!$B$44=0),1,IF(IF(Inputs!$B$39="pvp",15,Inputs!$B$44)-(B3444)&lt;=0,1,MAX(0,IF(Inputs!$B$39="pvp",15,Inputs!$B$44)-MAX(5,B3444))/(IF(Inputs!$B$39="pvp",15,Inputs!$B$44)-(B3444))))*IF(AND(ArtifactsInput!$M$42,((Inputs!$B$9+((C3425=TRUE)*(F3425-Calc!F26))+B3433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3403*(1-MIN(100,(Inputs!$B$9+((C3425=TRUE)*(F3425-Calc!F26))+B3433+(ArtifactsInput!$M$24-ArtifactsInput!$M$24)*CHOOSE(ArtifactsInput!$N$24+1,10,12,14,16,18,20)+(IF(AND(Inputs!$B$39&lt;&gt;"pvp",Inputs!$B$44=0),1,IF(IF(Inputs!$B$39="pvp",15,Inputs!$B$44)-(B3444)&lt;=0,1,MAX(0,IF(Inputs!$B$39="pvp",15,Inputs!$B$44)-MAX(5,B3444))/(IF(Inputs!$B$39="pvp",15,Inputs!$B$44)-(B3444))))*IF(AND(ArtifactsInput!$M$42,((Inputs!$B$9+((C3425=TRUE)*(F3425-Calc!F26))+B3433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3403*(MIN(100,(Inputs!$B$9+((C3425=TRUE)*(F3425-Calc!F26))+B3433+(ArtifactsInput!$M$24-ArtifactsInput!$M$24)*CHOOSE(ArtifactsInput!$N$24+1,10,12,14,16,18,20)+(IF(AND(Inputs!$B$39&lt;&gt;"pvp",Inputs!$B$44=0),1,IF(IF(Inputs!$B$39="pvp",15,Inputs!$B$44)-(B3444)&lt;=0,1,MAX(0,IF(Inputs!$B$39="pvp",15,Inputs!$B$44)-MAX(5,B3444))/(IF(Inputs!$B$39="pvp",15,Inputs!$B$44)-(B3444))))*IF(AND(ArtifactsInput!$M$42,((Inputs!$B$9+((C3425=TRUE)*(F3425-Calc!F26))+B3433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3403">
        <f>290*U3402/1000</f>
        <v/>
      </c>
      <c r="V3403">
        <f>IF(C3403,(H3403*N3403*IF(AND(Inputs!$B$39&lt;&gt;"pvp",Inputs!$B$44&gt;0),((Skills!G4*((R3403-1)*IF(Skills!H4&gt;0,Skills!I4/Skills!H4,1)+IF(Skills!H4&gt;0,MIN(Skills!I4,MAX(0,MAX(0,Inputs!$B$44-B3444)-((R3403-1)*IF(Inputs!$B$39="pvp",15,MAX(0.1,Skills!D4-IF(TRUE=TRUE,1.5,0))))))/Skills!H4,1)))/Inputs!$B$44),G3403*Q3403))*IF(Inputs!$B$39="pvp",1,(1+(Inputs!$B$21+Skills!Q4+B3434+(IF(ArtifactsInput!$M$33,CHOOSE(ArtifactsInput!$N$33+1,30,36,42,48,54,60),0))+(IF(AND(ArtifactsInput!$M$35,Inputs!$B$4&lt;&gt;"Chapter Hunt"),CHOOSE(ArtifactsInput!$N$35+1,15,18,21,24,27,30)*(1-EXP(-(0.2*B3437)*5)),0)+IF(AND(ArtifactsInput!$M$22,Inputs!$B$4&lt;&gt;"Chapter Hunt"),CHOOSE(ArtifactsInput!$N$22+1,10,12,14,16,18,20)*((0*(((0.15*B3437*5))^0/1)+1*(((0.15*B3437*5))^1/1)+2*(((0.15*B3437*5))^2/2)+3*(((0.15*B3437*5))^3/6)+4*(((0.15*B3437*5))^4/24)+5*(((0.15*B3437*5))^5/120))/((((0.15*B3437*5))^0/1)+(((0.15*B3437*5))^1/1)+(((0.15*B3437*5))^2/2)+(((0.15*B3437*5))^3/6)+(((0.15*B3437*5))^4/24)+(((0.15*B3437*5))^5/120))),0)))/100)*(MIN(MIN(10,IF(Inputs!$B$3&gt;=75,0.75,0.5)*B3437*(1/Q3403)),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3404">
      <c r="A3404">
        <f>Skills!A5</f>
        <v/>
      </c>
      <c r="B3404">
        <f>Skills!B5</f>
        <v/>
      </c>
      <c r="C3404">
        <f>Inputs!$B$3&gt;=75</f>
        <v/>
      </c>
      <c r="D3404">
        <f>IF(Skills!C5=1,60+Inputs!$B$25+Inputs!$B$29,IF(Skills!C5=2,90+Inputs!$B$26+Inputs!$B$29,IF(Skills!C5=3,120+Inputs!$B$27+Inputs!$B$29,MAX(0,(Inputs!$B$3-100)*3)+Inputs!$B$28+Inputs!$B$29)))</f>
        <v/>
      </c>
      <c r="E3404">
        <f>INDEX(FactorTable!$B$2:$Y$301, MATCH(ROUND(MIN(300,MAX(1,D3404)),0), FactorTable!$A$2:$A$301,0), Skills!M5+1)</f>
        <v/>
      </c>
      <c r="F3404">
        <f>IF(Skills!N5=TRUE,(Skills!L5/10)*(E3404/1000),Skills!L5/10)+Skills!O5</f>
        <v/>
      </c>
      <c r="G3404">
        <f>Skills!G5*IF(Skills!H5&gt;0,IF(Inputs!$B$39="pvp",MIN(Skills!I5,15),Skills!I5)/Skills!H5,1)</f>
        <v/>
      </c>
      <c r="H3404">
        <f>1-(1-Skills!J5/100)^Skills!K5</f>
        <v/>
      </c>
      <c r="I3404" t="inlineStr">
        <is>
          <t>1</t>
        </is>
      </c>
      <c r="J3404" t="inlineStr"/>
      <c r="K3404" t="inlineStr"/>
      <c r="L3404" t="inlineStr"/>
      <c r="M3404" t="inlineStr"/>
      <c r="N3404" t="inlineStr"/>
      <c r="O3404">
        <f>(1-Summary!$B$11)*T3404+Summary!$B$11*V3404</f>
        <v/>
      </c>
      <c r="P3404">
        <f>IF(B3445=0,0,O3404/B3445)</f>
        <v/>
      </c>
      <c r="Q3404" t="n">
        <v>0</v>
      </c>
      <c r="R3404" t="n">
        <v>0</v>
      </c>
      <c r="S3404">
        <f>IFERROR(O3404/N3404,0)</f>
        <v/>
      </c>
      <c r="T3404" t="n">
        <v>0</v>
      </c>
      <c r="V3404" t="n">
        <v>0</v>
      </c>
    </row>
    <row r="3405">
      <c r="A3405">
        <f>Skills!A6</f>
        <v/>
      </c>
      <c r="B3405">
        <f>Skills!B6</f>
        <v/>
      </c>
      <c r="C3405">
        <f>Inputs!$B$3&gt;=63</f>
        <v/>
      </c>
      <c r="D3405">
        <f>IF(Skills!C6=1,60+Inputs!$B$25+Inputs!$B$29,IF(Skills!C6=2,90+Inputs!$B$26+Inputs!$B$29,IF(Skills!C6=3,120+Inputs!$B$27+Inputs!$B$29,MAX(0,(Inputs!$B$3-100)*3)+Inputs!$B$28+Inputs!$B$29)))</f>
        <v/>
      </c>
      <c r="E3405">
        <f>INDEX(FactorTable!$B$2:$Y$301, MATCH(ROUND(MIN(300,MAX(1,D3405)),0), FactorTable!$A$2:$A$301,0), Skills!M6+1)</f>
        <v/>
      </c>
      <c r="F3405">
        <f>IF(Skills!N6=TRUE,(Skills!L6/10)*(E3405/1000),Skills!L6/10)+Skills!O6</f>
        <v/>
      </c>
      <c r="G3405">
        <f>Skills!G6*IF(Skills!H6&gt;0,IF(Inputs!$B$39="pvp",MIN(Skills!I6,15),Skills!I6)/Skills!H6,1)</f>
        <v/>
      </c>
      <c r="H3405">
        <f>1-(1-Skills!J6/100)^Skills!K6</f>
        <v/>
      </c>
      <c r="I3405" t="inlineStr">
        <is>
          <t>1</t>
        </is>
      </c>
      <c r="J3405">
        <f>((Inputs!$B$6*(1+Inputs!$B$7/100))+(((Inputs!$B$12*(1+Inputs!$B$13/100))-(Inputs!$B$12*(1+Inputs!$B$13/100)))+0.25*(Inputs!$B$14-Inputs!$B$14))*(1+Inputs!$B$7/100))*(F3405/100)</f>
        <v/>
      </c>
      <c r="K3405">
        <f>J3405*(1+((Inputs!$B$12*(1+Inputs!$B$13/100))*0.01+Inputs!$B$14*0.0025)/100)*(1+Inputs!$B$15/100)*(1+Inputs!$B$16/100)*(5000/(6000+Inputs!$B$43*(1-(100*(1-(1-Inputs!$B$19/100)*(1-CHOOSE(ArtifactsInput!$N$40+1,5,6,7,8,9,10)/100)^(ArtifactsInput!$M$40-ArtifactsInput!$M$40)))/100)))*(1+(Inputs!$B$24+((C3430=TRUE)*(F3430-Calc!F31))+((C3417=TRUE)*(F3417-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+2.6666666666666665*IF(C3418=TRUE,F3418,0)/100)*(1+(IF(Skills!A6="CRUEL_STAB",Inputs!$B$17+((C3427=TRUE)*(F3427-Calc!F28))+((IF(AND(Inputs!$B$39&lt;&gt;"pvp",Inputs!$B$44=0),1,IF(IF(Inputs!$B$39="pvp",15,Inputs!$B$44)-(B3444)&lt;=0,1,MAX(0,IF(Inputs!$B$39="pvp",15,Inputs!$B$44)-MAX(5,B3444))/(IF(Inputs!$B$39="pvp",15,Inputs!$B$44)-(B3444))))*(IF(AND(ArtifactsInput!$M$42,((Inputs!$B$9+((C3425=TRUE)*(F3425-Calc!F26))+B3433+(ArtifactsInput!$M$24-ArtifactsInput!$M$24)*CHOOSE(ArtifactsInput!$N$24+1,10,12,14,16,18,20)+IF(ArtifactsInput!$M$10,CHOOSE(ArtifactsInput!$N$10+1,15,18,21,24,27,30)*(IF(Inputs!$B$39="pvp",MIN(15,15)/15,IF(AND(Inputs!$B$39&lt;&gt;"pvp",Inputs!$B$44&gt;0),MIN(15,Inputs!$B$44)/(Inputs!$B$44),0))),0)))&gt;=100),MIN(100,((Inputs!$B$9+((C3425=TRUE)*(F3425-Calc!F26))+B3433+(ArtifactsInput!$M$24-ArtifactsInput!$M$24)*CHOOSE(ArtifactsInput!$N$24+1,10,12,14,16,18,20)+IF(ArtifactsInput!$M$10,CHOOSE(ArtifactsInput!$N$10+1,15,18,21,24,27,30)*(IF(Inputs!$B$39="pvp",MIN(15,15)/15,IF(AND(Inputs!$B$39&lt;&gt;"pvp",Inputs!$B$44&gt;0),MIN(15,Inputs!$B$44)/(Inputs!$B$44),0))),0)))-100),0))*CHOOSE(ArtifactsInput!$N$42+1,0.6,0.72,0.84,0.96,1.08,1.2))),Inputs!$B$18+((C3428=TRUE)*(F3428-Calc!F29))+(IF(AND(Inputs!$B$39&lt;&gt;"pvp",Inputs!$B$44=0),1,IF(IF(Inputs!$B$39="pvp",15,Inputs!$B$44)-(B3444)&lt;=0,1,MAX(0,IF(Inputs!$B$39="pvp",15,Inputs!$B$44)-MAX(5,B3444))/(IF(Inputs!$B$39="pvp",15,Inputs!$B$44)-(B3444))))*IF(AND(ArtifactsInput!$M$42,((Inputs!$B$9+((C3425=TRUE)*(F3425-Calc!F26))+B3433+(ArtifactsInput!$M$24-ArtifactsInput!$M$24)*CHOOSE(ArtifactsInput!$N$24+1,10,12,14,16,18,20)+IF(ArtifactsInput!$M$10,CHOOSE(ArtifactsInput!$N$10+1,15,18,21,24,27,30)*(IF(Inputs!$B$39="pvp",MIN(15,15)/15,IF(AND(Inputs!$B$39&lt;&gt;"pvp",Inputs!$B$44&gt;0),MIN(15,Inputs!$B$44)/(Inputs!$B$44),0))),0)))&gt;=100),CHOOSE(ArtifactsInput!$N$42+1,40,48,56,64,72,80),0))))/100)*(((1+(((C3421=TRUE)*F3421*IF(AND(Inputs!$B$39&lt;&gt;"pvp",Inputs!$B$44&gt;0),(((R3421-1)*MIN((Skills!Y22*(1+Inputs!$B$34/100)),(1/Q3421))+MIN((Skills!Y22*(1+Inputs!$B$34/100)),MAX(0,Inputs!$B$44-((R3421-1)*(1/Q3421)))))/Inputs!$B$44),IF(Inputs!$B$39="pvp",MIN((Skills!Y22*(1+Inputs!$B$34/100)),15)/15,MIN(1,(Skills!Y22*(1+Inputs!$B$34/100))/(1/Q3421)))))+((C3402=TRUE)*F3402*3)+((C3404=TRUE)*F3404*(1-EXP(-0.75*B3437*5)))+((C3423=TRUE)*(F3423-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3410=TRUE)*F3410*IF(AND(Inputs!$B$39&lt;&gt;"pvp",Inputs!$B$44&gt;0),(((R3410-1)*MIN((Skills!Y11*(1+Inputs!$B$34/100)),(1/Q3410))+MIN((Skills!Y11*(1+Inputs!$B$34/100)),MAX(0,Inputs!$B$44-((R3410-1)*(1/Q3410)))))/Inputs!$B$44),IF(Inputs!$B$39="pvp",MIN((Skills!Y11*(1+Inputs!$B$34/100)),15)/15,MIN(1,(Skills!Y11*(1+Inputs!$B$34/100))/(1/Q3410)))))/100)*(1+((C3415=TRUE)*F3415*IF(AND(Inputs!$B$39&lt;&gt;"pvp",Inputs!$B$44&gt;0),(((R3415-1)*MIN((Skills!Y16*(1+Inputs!$B$34/100)),(1/Q3415))+MIN((Skills!Y16*(1+Inputs!$B$34/100)),MAX(0,Inputs!$B$44-((R3415-1)*(1/Q3415)))))/Inputs!$B$44),IF(Inputs!$B$39="pvp",MIN((Skills!Y16*(1+Inputs!$B$34/100)),15)/15,MIN(1,(Skills!Y16*(1+Inputs!$B$34/100))/(1/Q3415)))))/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3435*I3405)</f>
        <v/>
      </c>
      <c r="L3405">
        <f>K3405*(MIN(Inputs!$B$22+((C3424=TRUE)*(F3424-Calc!F25)),(Inputs!$B$23+((C3429=TRUE)*(F3429-Calc!F30))+IF(ArtifactsInput!$M$15,CHOOSE(ArtifactsInput!$N$15+1,25,30,35,40,45,50)/100*(Inputs!$B$11-Inputs!$B$11),0)))/100+(Inputs!$B$23+((C3429=TRUE)*(F3429-Calc!F30))+IF(ArtifactsInput!$M$15,CHOOSE(ArtifactsInput!$N$15+1,25,30,35,40,45,50)/100*(Inputs!$B$11-Inputs!$B$11),0))/100)/2</f>
        <v/>
      </c>
      <c r="M3405">
        <f>L3405*(1+(Inputs!$B$10+((C3426=TRUE)*(F3426-Calc!F27))+B3440+(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3405">
        <f>L3405*(1-MIN((Inputs!$B$9+((C3425=TRUE)*(F3425-Calc!F26))+B3433+(ArtifactsInput!$M$24-ArtifactsInput!$M$24)*CHOOSE(ArtifactsInput!$N$24+1,10,12,14,16,18,20)+(IF(AND(Inputs!$B$39&lt;&gt;"pvp",Inputs!$B$44=0),1,IF(IF(Inputs!$B$39="pvp",15,Inputs!$B$44)-(B3444)&lt;=0,1,MAX(0,IF(Inputs!$B$39="pvp",15,Inputs!$B$44)-MAX(5,B3444))/(IF(Inputs!$B$39="pvp",15,Inputs!$B$44)-(B3444))))*IF(AND(ArtifactsInput!$M$42,((Inputs!$B$9+((C3425=TRUE)*(F3425-Calc!F26))+B3433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3405*(MIN((Inputs!$B$9+((C3425=TRUE)*(F3425-Calc!F26))+B3433+(ArtifactsInput!$M$24-ArtifactsInput!$M$24)*CHOOSE(ArtifactsInput!$N$24+1,10,12,14,16,18,20)+(IF(AND(Inputs!$B$39&lt;&gt;"pvp",Inputs!$B$44=0),1,IF(IF(Inputs!$B$39="pvp",15,Inputs!$B$44)-(B3444)&lt;=0,1,MAX(0,IF(Inputs!$B$39="pvp",15,Inputs!$B$44)-MAX(5,B3444))/(IF(Inputs!$B$39="pvp",15,Inputs!$B$44)-(B3444))))*IF(AND(ArtifactsInput!$M$42,((Inputs!$B$9+((C3425=TRUE)*(F3425-Calc!F26))+B3433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3405">
        <f>(1-Summary!$B$11)*T3405+Summary!$B$11*V3405</f>
        <v/>
      </c>
      <c r="P3405">
        <f>IF(B3445=0,0,O3405/B3445)</f>
        <v/>
      </c>
      <c r="Q3405">
        <f>IFERROR(1/IF(Inputs!$B$39="pvp",15,MAX(0.1,Skills!D6-IF(TRUE=TRUE,1.5,0))),0)</f>
        <v/>
      </c>
      <c r="R3405">
        <f>IF(AND(Inputs!$B$39&lt;&gt;"pvp",Inputs!$B$44&gt;0),IF(MAX(0,Inputs!$B$44-B3444)&lt;=0,0,(INT(MAX(0,Inputs!$B$44-B3444)/IF(Inputs!$B$39="pvp",15,MAX(0.1,Skills!D6-IF(TRUE=TRUE,1.5,0))))+1)),0)</f>
        <v/>
      </c>
      <c r="S3405">
        <f>IFERROR(O3405/N3405,0)</f>
        <v/>
      </c>
      <c r="T3405">
        <f>IF(C3405,(H3405*N3405*IF(AND(Inputs!$B$39&lt;&gt;"pvp",Inputs!$B$44&gt;0),((Skills!G6*((R3405-1)*IF(Skills!H6&gt;0,Skills!I6/Skills!H6,1)+IF(Skills!H6&gt;0,MIN(Skills!I6,MAX(0,MAX(0,Inputs!$B$44-B3444)-((R3405-1)*IF(Inputs!$B$39="pvp",15,MAX(0.1,Skills!D6-IF(TRUE=TRUE,1.5,0))))))/Skills!H6,1)))/Inputs!$B$44),G3405*Q3405))*IF(Inputs!$B$39="pvp",1,1+(Inputs!$B$20+0+Skills!P6+B3434+(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Hunt"),CHOOSE(ArtifactsInput!$N$35+1,15,18,21,24,27,30)*(1-EXP(-(0.2*B3437)*5)),0)+IF(AND(ArtifactsInput!$M$22,Inputs!$B$4&lt;&gt;"Chapter Hunt"),CHOOSE(ArtifactsInput!$N$22+1,10,12,14,16,18,20)*((0*(((0.15*B3437*5))^0/1)+1*(((0.15*B3437*5))^1/1)+2*(((0.15*B3437*5))^2/2)+3*(((0.15*B3437*5))^3/6)+4*(((0.15*B3437*5))^4/24)+5*(((0.15*B3437*5))^5/120))/((((0.15*B3437*5))^0/1)+(((0.15*B3437*5))^1/1)+(((0.15*B3437*5))^2/2)+(((0.15*B3437*5))^3/6)+(((0.15*B3437*5))^4/24)+(((0.15*B3437*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3405*(1-MIN(100,(Inputs!$B$9+((C3425=TRUE)*(F3425-Calc!F26))+B3433+(ArtifactsInput!$M$24-ArtifactsInput!$M$24)*CHOOSE(ArtifactsInput!$N$24+1,10,12,14,16,18,20)+(IF(AND(Inputs!$B$39&lt;&gt;"pvp",Inputs!$B$44=0),1,IF(IF(Inputs!$B$39="pvp",15,Inputs!$B$44)-(B3444)&lt;=0,1,MAX(0,IF(Inputs!$B$39="pvp",15,Inputs!$B$44)-MAX(5,B3444))/(IF(Inputs!$B$39="pvp",15,Inputs!$B$44)-(B3444))))*IF(AND(ArtifactsInput!$M$42,((Inputs!$B$9+((C3425=TRUE)*(F3425-Calc!F26))+B3433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3405*(MIN(100,(Inputs!$B$9+((C3425=TRUE)*(F3425-Calc!F26))+B3433+(ArtifactsInput!$M$24-ArtifactsInput!$M$24)*CHOOSE(ArtifactsInput!$N$24+1,10,12,14,16,18,20)+(IF(AND(Inputs!$B$39&lt;&gt;"pvp",Inputs!$B$44=0),1,IF(IF(Inputs!$B$39="pvp",15,Inputs!$B$44)-(B3444)&lt;=0,1,MAX(0,IF(Inputs!$B$39="pvp",15,Inputs!$B$44)-MAX(5,B3444))/(IF(Inputs!$B$39="pvp",15,Inputs!$B$44)-(B3444))))*IF(AND(ArtifactsInput!$M$42,((Inputs!$B$9+((C3425=TRUE)*(F3425-Calc!F26))+B3433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3405*(1-MIN(100,(Inputs!$B$9+((C3425=TRUE)*(F3425-Calc!F26))+B3433+(ArtifactsInput!$M$24-ArtifactsInput!$M$24)*CHOOSE(ArtifactsInput!$N$24+1,10,12,14,16,18,20)+(IF(AND(Inputs!$B$39&lt;&gt;"pvp",Inputs!$B$44=0),1,IF(IF(Inputs!$B$39="pvp",15,Inputs!$B$44)-(B3444)&lt;=0,1,MAX(0,IF(Inputs!$B$39="pvp",15,Inputs!$B$44)-MAX(5,B3444))/(IF(Inputs!$B$39="pvp",15,Inputs!$B$44)-(B3444))))*IF(AND(ArtifactsInput!$M$42,((Inputs!$B$9+((C3425=TRUE)*(F3425-Calc!F26))+B3433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3405*(MIN(100,(Inputs!$B$9+((C3425=TRUE)*(F3425-Calc!F26))+B3433+(ArtifactsInput!$M$24-ArtifactsInput!$M$24)*CHOOSE(ArtifactsInput!$N$24+1,10,12,14,16,18,20)+(IF(AND(Inputs!$B$39&lt;&gt;"pvp",Inputs!$B$44=0),1,IF(IF(Inputs!$B$39="pvp",15,Inputs!$B$44)-(B3444)&lt;=0,1,MAX(0,IF(Inputs!$B$39="pvp",15,Inputs!$B$44)-MAX(5,B3444))/(IF(Inputs!$B$39="pvp",15,Inputs!$B$44)-(B3444))))*IF(AND(ArtifactsInput!$M$42,((Inputs!$B$9+((C3425=TRUE)*(F3425-Calc!F26))+B3433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3405">
        <f>IF(C3405,(H3405*N3405*IF(AND(Inputs!$B$39&lt;&gt;"pvp",Inputs!$B$44&gt;0),((Skills!G6*((R3405-1)*IF(Skills!H6&gt;0,Skills!I6/Skills!H6,1)+IF(Skills!H6&gt;0,MIN(Skills!I6,MAX(0,MAX(0,Inputs!$B$44-B3444)-((R3405-1)*IF(Inputs!$B$39="pvp",15,MAX(0.1,Skills!D6-IF(TRUE=TRUE,1.5,0))))))/Skills!H6,1)))/Inputs!$B$44),G3405*Q3405))*IF(Inputs!$B$39="pvp",1,(1+(Inputs!$B$21+Skills!Q6+B3434+(IF(ArtifactsInput!$M$33,CHOOSE(ArtifactsInput!$N$33+1,30,36,42,48,54,60),0))+(IF(AND(ArtifactsInput!$M$35,Inputs!$B$4&lt;&gt;"Chapter Hunt"),CHOOSE(ArtifactsInput!$N$35+1,15,18,21,24,27,30)*(1-EXP(-(0.2*B3437)*5)),0)+IF(AND(ArtifactsInput!$M$22,Inputs!$B$4&lt;&gt;"Chapter Hunt"),CHOOSE(ArtifactsInput!$N$22+1,10,12,14,16,18,20)*((0*(((0.15*B3437*5))^0/1)+1*(((0.15*B3437*5))^1/1)+2*(((0.15*B3437*5))^2/2)+3*(((0.15*B3437*5))^3/6)+4*(((0.15*B3437*5))^4/24)+5*(((0.15*B3437*5))^5/120))/((((0.15*B3437*5))^0/1)+(((0.15*B3437*5))^1/1)+(((0.15*B3437*5))^2/2)+(((0.15*B3437*5))^3/6)+(((0.15*B3437*5))^4/24)+(((0.15*B3437*5))^5/120))),0)))/100)*(MIN(Skills!W6,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3406">
      <c r="A3406">
        <f>Skills!A7</f>
        <v/>
      </c>
      <c r="B3406">
        <f>Skills!B7</f>
        <v/>
      </c>
      <c r="C3406">
        <f>Inputs!$B$3&gt;=69</f>
        <v/>
      </c>
      <c r="D3406">
        <f>IF(Skills!C7=1,60+Inputs!$B$25+Inputs!$B$29,IF(Skills!C7=2,90+Inputs!$B$26+Inputs!$B$29,IF(Skills!C7=3,120+Inputs!$B$27+Inputs!$B$29,MAX(0,(Inputs!$B$3-100)*3)+Inputs!$B$28+Inputs!$B$29)))</f>
        <v/>
      </c>
      <c r="E3406">
        <f>INDEX(FactorTable!$B$2:$Y$301, MATCH(ROUND(MIN(300,MAX(1,D3406)),0), FactorTable!$A$2:$A$301,0), Skills!M7+1)</f>
        <v/>
      </c>
      <c r="F3406">
        <f>IF(Skills!N7=TRUE,(Skills!L7/10)*(E3406/1000),Skills!L7/10)+Skills!O7</f>
        <v/>
      </c>
      <c r="G3406">
        <f>Skills!G7*IF(Skills!H7&gt;0,IF(Inputs!$B$39="pvp",MIN(Skills!I7,15),Skills!I7)/Skills!H7,1)</f>
        <v/>
      </c>
      <c r="H3406">
        <f>1-(1-Skills!J7/100)^Skills!K7</f>
        <v/>
      </c>
      <c r="I3406" t="inlineStr">
        <is>
          <t>1</t>
        </is>
      </c>
      <c r="J3406">
        <f>((Inputs!$B$6*(1+Inputs!$B$7/100))+(((Inputs!$B$12*(1+Inputs!$B$13/100))-(Inputs!$B$12*(1+Inputs!$B$13/100)))+0.25*(Inputs!$B$14-Inputs!$B$14))*(1+Inputs!$B$7/100))*(F3406/100)</f>
        <v/>
      </c>
      <c r="K3406">
        <f>J3406*(1+((Inputs!$B$12*(1+Inputs!$B$13/100))*0.01+Inputs!$B$14*0.0025)/100)*(1+Inputs!$B$15/100)*(1+Inputs!$B$16/100)*(5000/(6000+Inputs!$B$43*(1-(100*(1-(1-Inputs!$B$19/100)*(1-CHOOSE(ArtifactsInput!$N$40+1,5,6,7,8,9,10)/100)^(ArtifactsInput!$M$40-ArtifactsInput!$M$40)))/100)))*(1+(Inputs!$B$24+((C3430=TRUE)*(F3430-Calc!F31))+((C3417=TRUE)*(F3417-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3418=TRUE,F3418,0)/100)*(1+(IF(Skills!A7="CRUEL_STAB",Inputs!$B$17+((C3427=TRUE)*(F3427-Calc!F28))+((IF(AND(Inputs!$B$39&lt;&gt;"pvp",Inputs!$B$44=0),1,IF(IF(Inputs!$B$39="pvp",15,Inputs!$B$44)-(B3444)&lt;=0,1,MAX(0,IF(Inputs!$B$39="pvp",15,Inputs!$B$44)-MAX(5,B3444))/(IF(Inputs!$B$39="pvp",15,Inputs!$B$44)-(B3444))))*(IF(AND(ArtifactsInput!$M$42,((Inputs!$B$9+((C3425=TRUE)*(F3425-Calc!F26))+B3433+(ArtifactsInput!$M$24-ArtifactsInput!$M$24)*CHOOSE(ArtifactsInput!$N$24+1,10,12,14,16,18,20)+IF(ArtifactsInput!$M$10,CHOOSE(ArtifactsInput!$N$10+1,15,18,21,24,27,30)*(IF(Inputs!$B$39="pvp",MIN(15,15)/15,IF(AND(Inputs!$B$39&lt;&gt;"pvp",Inputs!$B$44&gt;0),MIN(15,Inputs!$B$44)/(Inputs!$B$44),0))),0)))&gt;=100),MIN(100,((Inputs!$B$9+((C3425=TRUE)*(F3425-Calc!F26))+B3433+(ArtifactsInput!$M$24-ArtifactsInput!$M$24)*CHOOSE(ArtifactsInput!$N$24+1,10,12,14,16,18,20)+IF(ArtifactsInput!$M$10,CHOOSE(ArtifactsInput!$N$10+1,15,18,21,24,27,30)*(IF(Inputs!$B$39="pvp",MIN(15,15)/15,IF(AND(Inputs!$B$39&lt;&gt;"pvp",Inputs!$B$44&gt;0),MIN(15,Inputs!$B$44)/(Inputs!$B$44),0))),0)))-100),0))*CHOOSE(ArtifactsInput!$N$42+1,0.6,0.72,0.84,0.96,1.08,1.2))),Inputs!$B$18+((C3428=TRUE)*(F3428-Calc!F29))+(IF(AND(Inputs!$B$39&lt;&gt;"pvp",Inputs!$B$44=0),1,IF(IF(Inputs!$B$39="pvp",15,Inputs!$B$44)-(B3444)&lt;=0,1,MAX(0,IF(Inputs!$B$39="pvp",15,Inputs!$B$44)-MAX(5,B3444))/(IF(Inputs!$B$39="pvp",15,Inputs!$B$44)-(B3444))))*IF(AND(ArtifactsInput!$M$42,((Inputs!$B$9+((C3425=TRUE)*(F3425-Calc!F26))+B3433+(ArtifactsInput!$M$24-ArtifactsInput!$M$24)*CHOOSE(ArtifactsInput!$N$24+1,10,12,14,16,18,20)+IF(ArtifactsInput!$M$10,CHOOSE(ArtifactsInput!$N$10+1,15,18,21,24,27,30)*(IF(Inputs!$B$39="pvp",MIN(15,15)/15,IF(AND(Inputs!$B$39&lt;&gt;"pvp",Inputs!$B$44&gt;0),MIN(15,Inputs!$B$44)/(Inputs!$B$44),0))),0)))&gt;=100),CHOOSE(ArtifactsInput!$N$42+1,40,48,56,64,72,80),0))))/100)*(((1+(((C3421=TRUE)*F3421*IF(AND(Inputs!$B$39&lt;&gt;"pvp",Inputs!$B$44&gt;0),(((R3421-1)*MIN((Skills!Y22*(1+Inputs!$B$34/100)),(1/Q3421))+MIN((Skills!Y22*(1+Inputs!$B$34/100)),MAX(0,Inputs!$B$44-((R3421-1)*(1/Q3421)))))/Inputs!$B$44),IF(Inputs!$B$39="pvp",MIN((Skills!Y22*(1+Inputs!$B$34/100)),15)/15,MIN(1,(Skills!Y22*(1+Inputs!$B$34/100))/(1/Q3421)))))+((C3402=TRUE)*F3402*3)+((C3404=TRUE)*F3404*(1-EXP(-0.75*B3437*5)))+((C3423=TRUE)*(F3423-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3410=TRUE)*F3410*IF(AND(Inputs!$B$39&lt;&gt;"pvp",Inputs!$B$44&gt;0),(((R3410-1)*MIN((Skills!Y11*(1+Inputs!$B$34/100)),(1/Q3410))+MIN((Skills!Y11*(1+Inputs!$B$34/100)),MAX(0,Inputs!$B$44-((R3410-1)*(1/Q3410)))))/Inputs!$B$44),IF(Inputs!$B$39="pvp",MIN((Skills!Y11*(1+Inputs!$B$34/100)),15)/15,MIN(1,(Skills!Y11*(1+Inputs!$B$34/100))/(1/Q3410)))))/100)*(1+((C3415=TRUE)*F3415*IF(AND(Inputs!$B$39&lt;&gt;"pvp",Inputs!$B$44&gt;0),(((R3415-1)*MIN((Skills!Y16*(1+Inputs!$B$34/100)),(1/Q3415))+MIN((Skills!Y16*(1+Inputs!$B$34/100)),MAX(0,Inputs!$B$44-((R3415-1)*(1/Q3415)))))/Inputs!$B$44),IF(Inputs!$B$39="pvp",MIN((Skills!Y16*(1+Inputs!$B$34/100)),15)/15,MIN(1,(Skills!Y16*(1+Inputs!$B$34/100))/(1/Q3415)))))/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3435*I3406)</f>
        <v/>
      </c>
      <c r="L3406">
        <f>K3406*(MIN(Inputs!$B$22+((C3424=TRUE)*(F3424-Calc!F25)),(Inputs!$B$23+((C3429=TRUE)*(F3429-Calc!F30))+IF(ArtifactsInput!$M$15,CHOOSE(ArtifactsInput!$N$15+1,25,30,35,40,45,50)/100*(Inputs!$B$11-Inputs!$B$11),0)))/100+(Inputs!$B$23+((C3429=TRUE)*(F3429-Calc!F30))+IF(ArtifactsInput!$M$15,CHOOSE(ArtifactsInput!$N$15+1,25,30,35,40,45,50)/100*(Inputs!$B$11-Inputs!$B$11),0))/100)/2</f>
        <v/>
      </c>
      <c r="M3406">
        <f>L3406*(1+(Inputs!$B$10+((C3426=TRUE)*(F3426-Calc!F27))+B3440+(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3406">
        <f>L3406*(1-MIN((Inputs!$B$9+((C3425=TRUE)*(F3425-Calc!F26))+B3433+(ArtifactsInput!$M$24-ArtifactsInput!$M$24)*CHOOSE(ArtifactsInput!$N$24+1,10,12,14,16,18,20)+(IF(AND(Inputs!$B$39&lt;&gt;"pvp",Inputs!$B$44=0),1,IF(IF(Inputs!$B$39="pvp",15,Inputs!$B$44)-(B3444)&lt;=0,1,MAX(0,IF(Inputs!$B$39="pvp",15,Inputs!$B$44)-MAX(5,B3444))/(IF(Inputs!$B$39="pvp",15,Inputs!$B$44)-(B3444))))*IF(AND(ArtifactsInput!$M$42,((Inputs!$B$9+((C3425=TRUE)*(F3425-Calc!F26))+B3433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3406*(MIN((Inputs!$B$9+((C3425=TRUE)*(F3425-Calc!F26))+B3433+(ArtifactsInput!$M$24-ArtifactsInput!$M$24)*CHOOSE(ArtifactsInput!$N$24+1,10,12,14,16,18,20)+(IF(AND(Inputs!$B$39&lt;&gt;"pvp",Inputs!$B$44=0),1,IF(IF(Inputs!$B$39="pvp",15,Inputs!$B$44)-(B3444)&lt;=0,1,MAX(0,IF(Inputs!$B$39="pvp",15,Inputs!$B$44)-MAX(5,B3444))/(IF(Inputs!$B$39="pvp",15,Inputs!$B$44)-(B3444))))*IF(AND(ArtifactsInput!$M$42,((Inputs!$B$9+((C3425=TRUE)*(F3425-Calc!F26))+B3433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3406">
        <f>(1-Summary!$B$11)*T3406+Summary!$B$11*V3406</f>
        <v/>
      </c>
      <c r="P3406">
        <f>IF(B3445=0,0,O3406/B3445)</f>
        <v/>
      </c>
      <c r="Q3406">
        <f>IFERROR(1/IF(Inputs!$B$39="pvp",15,MAX(0.1,Skills!D7-IF(TRUE=TRUE,1.5,0))),0)</f>
        <v/>
      </c>
      <c r="R3406">
        <f>IF(AND(Inputs!$B$39&lt;&gt;"pvp",Inputs!$B$44&gt;0),IF(MAX(0,Inputs!$B$44-B3444)&lt;=0,0,(INT(MAX(0,Inputs!$B$44-B3444)/IF(Inputs!$B$39="pvp",15,MAX(0.1,Skills!D7-IF(TRUE=TRUE,1.5,0))))+1)),0)</f>
        <v/>
      </c>
      <c r="S3406">
        <f>IFERROR(O3406/N3406,0)</f>
        <v/>
      </c>
      <c r="T3406">
        <f>IF(C3406,(H3406*N3406*IF(AND(Inputs!$B$39&lt;&gt;"pvp",Inputs!$B$44&gt;0),((Skills!G7*((R3406-1)*IF(Skills!H7&gt;0,Skills!I7/Skills!H7,1)+IF(Skills!H7&gt;0,MIN(Skills!I7,MAX(0,MAX(0,Inputs!$B$44-B3444)-((R3406-1)*IF(Inputs!$B$39="pvp",15,MAX(0.1,Skills!D7-IF(TRUE=TRUE,1.5,0))))))/Skills!H7,1)))/Inputs!$B$44),G3406*Q3406))*IF(Inputs!$B$39="pvp",1,1+(Inputs!$B$20+0+Skills!P7+B3434+(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Hunt"),CHOOSE(ArtifactsInput!$N$35+1,15,18,21,24,27,30)*(1-EXP(-(0.2*B3437)*5)),0)+IF(AND(ArtifactsInput!$M$22,Inputs!$B$4&lt;&gt;"Chapter Hunt"),CHOOSE(ArtifactsInput!$N$22+1,10,12,14,16,18,20)*((0*(((0.15*B3437*5))^0/1)+1*(((0.15*B3437*5))^1/1)+2*(((0.15*B3437*5))^2/2)+3*(((0.15*B3437*5))^3/6)+4*(((0.15*B3437*5))^4/24)+5*(((0.15*B3437*5))^5/120))/((((0.15*B3437*5))^0/1)+(((0.15*B3437*5))^1/1)+(((0.15*B3437*5))^2/2)+(((0.15*B3437*5))^3/6)+(((0.15*B3437*5))^4/24)+(((0.15*B3437*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3406*(1-MIN(100,(Inputs!$B$9+((C3425=TRUE)*(F3425-Calc!F26))+B3433+(ArtifactsInput!$M$24-ArtifactsInput!$M$24)*CHOOSE(ArtifactsInput!$N$24+1,10,12,14,16,18,20)+(IF(AND(Inputs!$B$39&lt;&gt;"pvp",Inputs!$B$44=0),1,IF(IF(Inputs!$B$39="pvp",15,Inputs!$B$44)-(B3444)&lt;=0,1,MAX(0,IF(Inputs!$B$39="pvp",15,Inputs!$B$44)-MAX(5,B3444))/(IF(Inputs!$B$39="pvp",15,Inputs!$B$44)-(B3444))))*IF(AND(ArtifactsInput!$M$42,((Inputs!$B$9+((C3425=TRUE)*(F3425-Calc!F26))+B3433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3406*(MIN(100,(Inputs!$B$9+((C3425=TRUE)*(F3425-Calc!F26))+B3433+(ArtifactsInput!$M$24-ArtifactsInput!$M$24)*CHOOSE(ArtifactsInput!$N$24+1,10,12,14,16,18,20)+(IF(AND(Inputs!$B$39&lt;&gt;"pvp",Inputs!$B$44=0),1,IF(IF(Inputs!$B$39="pvp",15,Inputs!$B$44)-(B3444)&lt;=0,1,MAX(0,IF(Inputs!$B$39="pvp",15,Inputs!$B$44)-MAX(5,B3444))/(IF(Inputs!$B$39="pvp",15,Inputs!$B$44)-(B3444))))*IF(AND(ArtifactsInput!$M$42,((Inputs!$B$9+((C3425=TRUE)*(F3425-Calc!F26))+B3433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3406*(1-MIN(100,(Inputs!$B$9+((C3425=TRUE)*(F3425-Calc!F26))+B3433+(ArtifactsInput!$M$24-ArtifactsInput!$M$24)*CHOOSE(ArtifactsInput!$N$24+1,10,12,14,16,18,20)+(IF(AND(Inputs!$B$39&lt;&gt;"pvp",Inputs!$B$44=0),1,IF(IF(Inputs!$B$39="pvp",15,Inputs!$B$44)-(B3444)&lt;=0,1,MAX(0,IF(Inputs!$B$39="pvp",15,Inputs!$B$44)-MAX(5,B3444))/(IF(Inputs!$B$39="pvp",15,Inputs!$B$44)-(B3444))))*IF(AND(ArtifactsInput!$M$42,((Inputs!$B$9+((C3425=TRUE)*(F3425-Calc!F26))+B3433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3406*(MIN(100,(Inputs!$B$9+((C3425=TRUE)*(F3425-Calc!F26))+B3433+(ArtifactsInput!$M$24-ArtifactsInput!$M$24)*CHOOSE(ArtifactsInput!$N$24+1,10,12,14,16,18,20)+(IF(AND(Inputs!$B$39&lt;&gt;"pvp",Inputs!$B$44=0),1,IF(IF(Inputs!$B$39="pvp",15,Inputs!$B$44)-(B3444)&lt;=0,1,MAX(0,IF(Inputs!$B$39="pvp",15,Inputs!$B$44)-MAX(5,B3444))/(IF(Inputs!$B$39="pvp",15,Inputs!$B$44)-(B3444))))*IF(AND(ArtifactsInput!$M$42,((Inputs!$B$9+((C3425=TRUE)*(F3425-Calc!F26))+B3433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3406">
        <f>IF(C3406,(H3406*N3406*IF(AND(Inputs!$B$39&lt;&gt;"pvp",Inputs!$B$44&gt;0),((Skills!G7*((R3406-1)*IF(Skills!H7&gt;0,Skills!I7/Skills!H7,1)+IF(Skills!H7&gt;0,MIN(Skills!I7,MAX(0,MAX(0,Inputs!$B$44-B3444)-((R3406-1)*IF(Inputs!$B$39="pvp",15,MAX(0.1,Skills!D7-IF(TRUE=TRUE,1.5,0))))))/Skills!H7,1)))/Inputs!$B$44),G3406*Q3406))*IF(Inputs!$B$39="pvp",1,(1+(Inputs!$B$21+Skills!Q7+B3434+(IF(ArtifactsInput!$M$33,CHOOSE(ArtifactsInput!$N$33+1,30,36,42,48,54,60),0))+(IF(AND(ArtifactsInput!$M$35,Inputs!$B$4&lt;&gt;"Chapter Hunt"),CHOOSE(ArtifactsInput!$N$35+1,15,18,21,24,27,30)*(1-EXP(-(0.2*B3437)*5)),0)+IF(AND(ArtifactsInput!$M$22,Inputs!$B$4&lt;&gt;"Chapter Hunt"),CHOOSE(ArtifactsInput!$N$22+1,10,12,14,16,18,20)*((0*(((0.15*B3437*5))^0/1)+1*(((0.15*B3437*5))^1/1)+2*(((0.15*B3437*5))^2/2)+3*(((0.15*B3437*5))^3/6)+4*(((0.15*B3437*5))^4/24)+5*(((0.15*B3437*5))^5/120))/((((0.15*B3437*5))^0/1)+(((0.15*B3437*5))^1/1)+(((0.15*B3437*5))^2/2)+(((0.15*B3437*5))^3/6)+(((0.15*B3437*5))^4/24)+(((0.15*B3437*5))^5/120))),0)))/100)*(MIN(Skills!W7,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3407">
      <c r="A3407">
        <f>Skills!A8</f>
        <v/>
      </c>
      <c r="B3407">
        <f>Skills!B8</f>
        <v/>
      </c>
      <c r="C3407">
        <f>Inputs!$B$3&gt;=60</f>
        <v/>
      </c>
      <c r="D3407">
        <f>IF(Skills!C8=1,60+Inputs!$B$25+Inputs!$B$29,IF(Skills!C8=2,90+Inputs!$B$26+Inputs!$B$29,IF(Skills!C8=3,120+Inputs!$B$27+Inputs!$B$29,MAX(0,(Inputs!$B$3-100)*3)+Inputs!$B$28+Inputs!$B$29)))</f>
        <v/>
      </c>
      <c r="E3407">
        <f>INDEX(FactorTable!$B$2:$Y$301, MATCH(ROUND(MIN(300,MAX(1,D3407)),0), FactorTable!$A$2:$A$301,0), Skills!M8+1)</f>
        <v/>
      </c>
      <c r="F3407">
        <f>IF(Skills!N8=TRUE,(Skills!L8/10)*(E3407/1000),Skills!L8/10)+Skills!O8</f>
        <v/>
      </c>
      <c r="G3407">
        <f>Skills!G8*IF(Skills!H8&gt;0,IF(Inputs!$B$39="pvp",MIN(Skills!I8,15),Skills!I8)/Skills!H8,1)</f>
        <v/>
      </c>
      <c r="H3407">
        <f>1-(1-Skills!J8/100)^Skills!K8</f>
        <v/>
      </c>
      <c r="I3407" t="inlineStr">
        <is>
          <t>1</t>
        </is>
      </c>
      <c r="J3407" t="inlineStr"/>
      <c r="K3407" t="inlineStr"/>
      <c r="L3407" t="inlineStr"/>
      <c r="M3407" t="inlineStr"/>
      <c r="N3407" t="inlineStr"/>
      <c r="O3407">
        <f>(1-Summary!$B$11)*T3407+Summary!$B$11*V3407</f>
        <v/>
      </c>
      <c r="P3407">
        <f>IF(B3445=0,0,O3407/B3445)</f>
        <v/>
      </c>
      <c r="Q3407" t="n">
        <v>0</v>
      </c>
      <c r="R3407" t="n">
        <v>0</v>
      </c>
      <c r="S3407">
        <f>IFERROR(O3407/N3407,0)</f>
        <v/>
      </c>
      <c r="T3407" t="n">
        <v>0</v>
      </c>
      <c r="V3407" t="n">
        <v>0</v>
      </c>
    </row>
    <row r="3408">
      <c r="A3408">
        <f>Skills!A9</f>
        <v/>
      </c>
      <c r="B3408">
        <f>Skills!B9</f>
        <v/>
      </c>
      <c r="C3408">
        <f>Inputs!$B$3&gt;=72</f>
        <v/>
      </c>
      <c r="D3408">
        <f>IF(Skills!C9=1,60+Inputs!$B$25+Inputs!$B$29,IF(Skills!C9=2,90+Inputs!$B$26+Inputs!$B$29,IF(Skills!C9=3,120+Inputs!$B$27+Inputs!$B$29,MAX(0,(Inputs!$B$3-100)*3)+Inputs!$B$28+Inputs!$B$29)))</f>
        <v/>
      </c>
      <c r="E3408">
        <f>INDEX(FactorTable!$B$2:$Y$301, MATCH(ROUND(MIN(300,MAX(1,D3408)),0), FactorTable!$A$2:$A$301,0), Skills!M9+1)</f>
        <v/>
      </c>
      <c r="F3408">
        <f>IF(Skills!N9=TRUE,(Skills!L9/10)*(E3408/1000),Skills!L9/10)+Skills!O9</f>
        <v/>
      </c>
      <c r="G3408">
        <f>Skills!G9*IF(Skills!H9&gt;0,IF(Inputs!$B$39="pvp",MIN(Skills!I9,15),Skills!I9)/Skills!H9,1)</f>
        <v/>
      </c>
      <c r="H3408">
        <f>1-(1-Skills!J9/100)^Skills!K9</f>
        <v/>
      </c>
      <c r="I3408" t="inlineStr">
        <is>
          <t>1</t>
        </is>
      </c>
      <c r="J3408">
        <f>((Inputs!$B$6*(1+Inputs!$B$7/100))+(((Inputs!$B$12*(1+Inputs!$B$13/100))-(Inputs!$B$12*(1+Inputs!$B$13/100)))+0.25*(Inputs!$B$14-Inputs!$B$14))*(1+Inputs!$B$7/100))*(F3408/100)</f>
        <v/>
      </c>
      <c r="K3408">
        <f>J3408*(1+((Inputs!$B$12*(1+Inputs!$B$13/100))*0.01+Inputs!$B$14*0.0025)/100)*(1+Inputs!$B$15/100)*(1+Inputs!$B$16/100)*(5000/(6000+Inputs!$B$43*(1-(100*(1-(1-Inputs!$B$19/100)*(1-CHOOSE(ArtifactsInput!$N$40+1,5,6,7,8,9,10)/100)^(ArtifactsInput!$M$40-ArtifactsInput!$M$40)))/100)))*(1+(Inputs!$B$24+((C3430=TRUE)*(F3430-Calc!F31))+((C3417=TRUE)*(F3417-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+3.3333333333333335*IF(C3418=TRUE,F3418,0)/100)*(1+(IF(Skills!A9="CRUEL_STAB",Inputs!$B$17+((C3427=TRUE)*(F3427-Calc!F28))+((IF(AND(Inputs!$B$39&lt;&gt;"pvp",Inputs!$B$44=0),1,IF(IF(Inputs!$B$39="pvp",15,Inputs!$B$44)-(B3444)&lt;=0,1,MAX(0,IF(Inputs!$B$39="pvp",15,Inputs!$B$44)-MAX(5,B3444))/(IF(Inputs!$B$39="pvp",15,Inputs!$B$44)-(B3444))))*(IF(AND(ArtifactsInput!$M$42,((Inputs!$B$9+((C3425=TRUE)*(F3425-Calc!F26))+B3433+(ArtifactsInput!$M$24-ArtifactsInput!$M$24)*CHOOSE(ArtifactsInput!$N$24+1,10,12,14,16,18,20)+IF(ArtifactsInput!$M$10,CHOOSE(ArtifactsInput!$N$10+1,15,18,21,24,27,30)*(IF(Inputs!$B$39="pvp",MIN(15,15)/15,IF(AND(Inputs!$B$39&lt;&gt;"pvp",Inputs!$B$44&gt;0),MIN(15,Inputs!$B$44)/(Inputs!$B$44),0))),0)))&gt;=100),MIN(100,((Inputs!$B$9+((C3425=TRUE)*(F3425-Calc!F26))+B3433+(ArtifactsInput!$M$24-ArtifactsInput!$M$24)*CHOOSE(ArtifactsInput!$N$24+1,10,12,14,16,18,20)+IF(ArtifactsInput!$M$10,CHOOSE(ArtifactsInput!$N$10+1,15,18,21,24,27,30)*(IF(Inputs!$B$39="pvp",MIN(15,15)/15,IF(AND(Inputs!$B$39&lt;&gt;"pvp",Inputs!$B$44&gt;0),MIN(15,Inputs!$B$44)/(Inputs!$B$44),0))),0)))-100),0))*CHOOSE(ArtifactsInput!$N$42+1,0.6,0.72,0.84,0.96,1.08,1.2))),Inputs!$B$18+((C3428=TRUE)*(F3428-Calc!F29))+(IF(AND(Inputs!$B$39&lt;&gt;"pvp",Inputs!$B$44=0),1,IF(IF(Inputs!$B$39="pvp",15,Inputs!$B$44)-(B3444)&lt;=0,1,MAX(0,IF(Inputs!$B$39="pvp",15,Inputs!$B$44)-MAX(5,B3444))/(IF(Inputs!$B$39="pvp",15,Inputs!$B$44)-(B3444))))*IF(AND(ArtifactsInput!$M$42,((Inputs!$B$9+((C3425=TRUE)*(F3425-Calc!F26))+B3433+(ArtifactsInput!$M$24-ArtifactsInput!$M$24)*CHOOSE(ArtifactsInput!$N$24+1,10,12,14,16,18,20)+IF(ArtifactsInput!$M$10,CHOOSE(ArtifactsInput!$N$10+1,15,18,21,24,27,30)*(IF(Inputs!$B$39="pvp",MIN(15,15)/15,IF(AND(Inputs!$B$39&lt;&gt;"pvp",Inputs!$B$44&gt;0),MIN(15,Inputs!$B$44)/(Inputs!$B$44),0))),0)))&gt;=100),CHOOSE(ArtifactsInput!$N$42+1,40,48,56,64,72,80),0))))/100)*(((1+(((C3421=TRUE)*F3421*IF(AND(Inputs!$B$39&lt;&gt;"pvp",Inputs!$B$44&gt;0),(((R3421-1)*MIN((Skills!Y22*(1+Inputs!$B$34/100)),(1/Q3421))+MIN((Skills!Y22*(1+Inputs!$B$34/100)),MAX(0,Inputs!$B$44-((R3421-1)*(1/Q3421)))))/Inputs!$B$44),IF(Inputs!$B$39="pvp",MIN((Skills!Y22*(1+Inputs!$B$34/100)),15)/15,MIN(1,(Skills!Y22*(1+Inputs!$B$34/100))/(1/Q3421)))))+((C3402=TRUE)*F3402*3)+((C3404=TRUE)*F3404*(1-EXP(-0.75*B3437*5)))+((C3423=TRUE)*(F3423-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3410=TRUE)*F3410*IF(AND(Inputs!$B$39&lt;&gt;"pvp",Inputs!$B$44&gt;0),(((R3410-1)*MIN((Skills!Y11*(1+Inputs!$B$34/100)),(1/Q3410))+MIN((Skills!Y11*(1+Inputs!$B$34/100)),MAX(0,Inputs!$B$44-((R3410-1)*(1/Q3410)))))/Inputs!$B$44),IF(Inputs!$B$39="pvp",MIN((Skills!Y11*(1+Inputs!$B$34/100)),15)/15,MIN(1,(Skills!Y11*(1+Inputs!$B$34/100))/(1/Q3410)))))/100)*(1+((C3415=TRUE)*F3415*IF(AND(Inputs!$B$39&lt;&gt;"pvp",Inputs!$B$44&gt;0),(((R3415-1)*MIN((Skills!Y16*(1+Inputs!$B$34/100)),(1/Q3415))+MIN((Skills!Y16*(1+Inputs!$B$34/100)),MAX(0,Inputs!$B$44-((R3415-1)*(1/Q3415)))))/Inputs!$B$44),IF(Inputs!$B$39="pvp",MIN((Skills!Y16*(1+Inputs!$B$34/100)),15)/15,MIN(1,(Skills!Y16*(1+Inputs!$B$34/100))/(1/Q3415)))))/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3435*I3408)</f>
        <v/>
      </c>
      <c r="L3408">
        <f>K3408*(MIN(Inputs!$B$22+((C3424=TRUE)*(F3424-Calc!F25)),(Inputs!$B$23+((C3429=TRUE)*(F3429-Calc!F30))+IF(ArtifactsInput!$M$15,CHOOSE(ArtifactsInput!$N$15+1,25,30,35,40,45,50)/100*(Inputs!$B$11-Inputs!$B$11),0)))/100+(Inputs!$B$23+((C3429=TRUE)*(F3429-Calc!F30))+IF(ArtifactsInput!$M$15,CHOOSE(ArtifactsInput!$N$15+1,25,30,35,40,45,50)/100*(Inputs!$B$11-Inputs!$B$11),0))/100)/2</f>
        <v/>
      </c>
      <c r="M3408">
        <f>L3408*(1+(Inputs!$B$10+((C3426=TRUE)*(F3426-Calc!F27))+B3440+(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3408">
        <f>L3408*(1-MIN((Inputs!$B$9+((C3425=TRUE)*(F3425-Calc!F26))+B3433+(ArtifactsInput!$M$24-ArtifactsInput!$M$24)*CHOOSE(ArtifactsInput!$N$24+1,10,12,14,16,18,20)+(IF(AND(Inputs!$B$39&lt;&gt;"pvp",Inputs!$B$44=0),1,IF(IF(Inputs!$B$39="pvp",15,Inputs!$B$44)-(B3444)&lt;=0,1,MAX(0,IF(Inputs!$B$39="pvp",15,Inputs!$B$44)-MAX(5,B3444))/(IF(Inputs!$B$39="pvp",15,Inputs!$B$44)-(B3444))))*IF(AND(ArtifactsInput!$M$42,((Inputs!$B$9+((C3425=TRUE)*(F3425-Calc!F26))+B3433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3408*(MIN((Inputs!$B$9+((C3425=TRUE)*(F3425-Calc!F26))+B3433+(ArtifactsInput!$M$24-ArtifactsInput!$M$24)*CHOOSE(ArtifactsInput!$N$24+1,10,12,14,16,18,20)+(IF(AND(Inputs!$B$39&lt;&gt;"pvp",Inputs!$B$44=0),1,IF(IF(Inputs!$B$39="pvp",15,Inputs!$B$44)-(B3444)&lt;=0,1,MAX(0,IF(Inputs!$B$39="pvp",15,Inputs!$B$44)-MAX(5,B3444))/(IF(Inputs!$B$39="pvp",15,Inputs!$B$44)-(B3444))))*IF(AND(ArtifactsInput!$M$42,((Inputs!$B$9+((C3425=TRUE)*(F3425-Calc!F26))+B3433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3408">
        <f>(1-Summary!$B$11)*T3408+Summary!$B$11*V3408</f>
        <v/>
      </c>
      <c r="P3408">
        <f>IF(B3445=0,0,O3408/B3445)</f>
        <v/>
      </c>
      <c r="Q3408">
        <f>IFERROR(1/IF(Inputs!$B$39="pvp",15,MAX(0.1,Skills!D9-IF(FALSE=TRUE,1.5,0))),0)</f>
        <v/>
      </c>
      <c r="R3408">
        <f>IF(AND(Inputs!$B$39&lt;&gt;"pvp",Inputs!$B$44&gt;0),IF(MAX(0,Inputs!$B$44-B3444)&lt;=0,0,(INT(MAX(0,Inputs!$B$44-B3444)/IF(Inputs!$B$39="pvp",15,MAX(0.1,Skills!D9-IF(FALSE=TRUE,1.5,0))))+1)),0)</f>
        <v/>
      </c>
      <c r="S3408">
        <f>IFERROR(O3408/N3408,0)</f>
        <v/>
      </c>
      <c r="T3408">
        <f>IF(C3408,(H3408*N3408*IF(AND(Inputs!$B$39&lt;&gt;"pvp",Inputs!$B$44&gt;0),((Skills!G9*((R3408-1)*IF(Skills!H9&gt;0,Skills!I9/Skills!H9,1)+IF(Skills!H9&gt;0,MIN(Skills!I9,MAX(0,MAX(0,Inputs!$B$44-B3444)-((R3408-1)*IF(Inputs!$B$39="pvp",15,MAX(0.1,Skills!D9-IF(FALSE=TRUE,1.5,0))))))/Skills!H9,1)))/Inputs!$B$44),G3408*Q3408))*IF(Inputs!$B$39="pvp",1,1+(Inputs!$B$20+0+Skills!P9+B3434+(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Hunt"),CHOOSE(ArtifactsInput!$N$35+1,15,18,21,24,27,30)*(1-EXP(-(0.2*B3437)*5)),0)+IF(AND(ArtifactsInput!$M$22,Inputs!$B$4&lt;&gt;"Chapter Hunt"),CHOOSE(ArtifactsInput!$N$22+1,10,12,14,16,18,20)*((0*(((0.15*B3437*5))^0/1)+1*(((0.15*B3437*5))^1/1)+2*(((0.15*B3437*5))^2/2)+3*(((0.15*B3437*5))^3/6)+4*(((0.15*B3437*5))^4/24)+5*(((0.15*B3437*5))^5/120))/((((0.15*B3437*5))^0/1)+(((0.15*B3437*5))^1/1)+(((0.15*B3437*5))^2/2)+(((0.15*B3437*5))^3/6)+(((0.15*B3437*5))^4/24)+(((0.15*B3437*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3408*(1-MIN(100,(Inputs!$B$9+((C3425=TRUE)*(F3425-Calc!F26))+B3433+(ArtifactsInput!$M$24-ArtifactsInput!$M$24)*CHOOSE(ArtifactsInput!$N$24+1,10,12,14,16,18,20)+(IF(AND(Inputs!$B$39&lt;&gt;"pvp",Inputs!$B$44=0),1,IF(IF(Inputs!$B$39="pvp",15,Inputs!$B$44)-(B3444)&lt;=0,1,MAX(0,IF(Inputs!$B$39="pvp",15,Inputs!$B$44)-MAX(5,B3444))/(IF(Inputs!$B$39="pvp",15,Inputs!$B$44)-(B3444))))*IF(AND(ArtifactsInput!$M$42,((Inputs!$B$9+((C3425=TRUE)*(F3425-Calc!F26))+B3433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3408*(MIN(100,(Inputs!$B$9+((C3425=TRUE)*(F3425-Calc!F26))+B3433+(ArtifactsInput!$M$24-ArtifactsInput!$M$24)*CHOOSE(ArtifactsInput!$N$24+1,10,12,14,16,18,20)+(IF(AND(Inputs!$B$39&lt;&gt;"pvp",Inputs!$B$44=0),1,IF(IF(Inputs!$B$39="pvp",15,Inputs!$B$44)-(B3444)&lt;=0,1,MAX(0,IF(Inputs!$B$39="pvp",15,Inputs!$B$44)-MAX(5,B3444))/(IF(Inputs!$B$39="pvp",15,Inputs!$B$44)-(B3444))))*IF(AND(ArtifactsInput!$M$42,((Inputs!$B$9+((C3425=TRUE)*(F3425-Calc!F26))+B3433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3408*(1-MIN(100,(Inputs!$B$9+((C3425=TRUE)*(F3425-Calc!F26))+B3433+(ArtifactsInput!$M$24-ArtifactsInput!$M$24)*CHOOSE(ArtifactsInput!$N$24+1,10,12,14,16,18,20)+(IF(AND(Inputs!$B$39&lt;&gt;"pvp",Inputs!$B$44=0),1,IF(IF(Inputs!$B$39="pvp",15,Inputs!$B$44)-(B3444)&lt;=0,1,MAX(0,IF(Inputs!$B$39="pvp",15,Inputs!$B$44)-MAX(5,B3444))/(IF(Inputs!$B$39="pvp",15,Inputs!$B$44)-(B3444))))*IF(AND(ArtifactsInput!$M$42,((Inputs!$B$9+((C3425=TRUE)*(F3425-Calc!F26))+B3433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3408*(MIN(100,(Inputs!$B$9+((C3425=TRUE)*(F3425-Calc!F26))+B3433+(ArtifactsInput!$M$24-ArtifactsInput!$M$24)*CHOOSE(ArtifactsInput!$N$24+1,10,12,14,16,18,20)+(IF(AND(Inputs!$B$39&lt;&gt;"pvp",Inputs!$B$44=0),1,IF(IF(Inputs!$B$39="pvp",15,Inputs!$B$44)-(B3444)&lt;=0,1,MAX(0,IF(Inputs!$B$39="pvp",15,Inputs!$B$44)-MAX(5,B3444))/(IF(Inputs!$B$39="pvp",15,Inputs!$B$44)-(B3444))))*IF(AND(ArtifactsInput!$M$42,((Inputs!$B$9+((C3425=TRUE)*(F3425-Calc!F26))+B3433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3408">
        <f>IF(C3408,(H3408*N3408*IF(AND(Inputs!$B$39&lt;&gt;"pvp",Inputs!$B$44&gt;0),((Skills!G9*((R3408-1)*IF(Skills!H9&gt;0,Skills!I9/Skills!H9,1)+IF(Skills!H9&gt;0,MIN(Skills!I9,MAX(0,MAX(0,Inputs!$B$44-B3444)-((R3408-1)*IF(Inputs!$B$39="pvp",15,MAX(0.1,Skills!D9-IF(FALSE=TRUE,1.5,0))))))/Skills!H9,1)))/Inputs!$B$44),G3408*Q3408))*IF(Inputs!$B$39="pvp",1,(1+(Inputs!$B$21+Skills!Q9+B3434+(IF(ArtifactsInput!$M$33,CHOOSE(ArtifactsInput!$N$33+1,30,36,42,48,54,60),0))+(IF(AND(ArtifactsInput!$M$35,Inputs!$B$4&lt;&gt;"Chapter Hunt"),CHOOSE(ArtifactsInput!$N$35+1,15,18,21,24,27,30)*(1-EXP(-(0.2*B3437)*5)),0)+IF(AND(ArtifactsInput!$M$22,Inputs!$B$4&lt;&gt;"Chapter Hunt"),CHOOSE(ArtifactsInput!$N$22+1,10,12,14,16,18,20)*((0*(((0.15*B3437*5))^0/1)+1*(((0.15*B3437*5))^1/1)+2*(((0.15*B3437*5))^2/2)+3*(((0.15*B3437*5))^3/6)+4*(((0.15*B3437*5))^4/24)+5*(((0.15*B3437*5))^5/120))/((((0.15*B3437*5))^0/1)+(((0.15*B3437*5))^1/1)+(((0.15*B3437*5))^2/2)+(((0.15*B3437*5))^3/6)+(((0.15*B3437*5))^4/24)+(((0.15*B3437*5))^5/120))),0)))/100)*(MIN(Skills!W9,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3409">
      <c r="A3409">
        <f>Skills!A10</f>
        <v/>
      </c>
      <c r="B3409">
        <f>Skills!B10</f>
        <v/>
      </c>
      <c r="C3409">
        <f>Inputs!$B$3&gt;=117</f>
        <v/>
      </c>
      <c r="D3409">
        <f>IF(Skills!C10=1,60+Inputs!$B$25+Inputs!$B$29,IF(Skills!C10=2,90+Inputs!$B$26+Inputs!$B$29,IF(Skills!C10=3,120+Inputs!$B$27+Inputs!$B$29,MAX(0,(Inputs!$B$3-100)*3)+Inputs!$B$28+Inputs!$B$29)))</f>
        <v/>
      </c>
      <c r="E3409">
        <f>INDEX(FactorTable!$B$2:$Y$301, MATCH(ROUND(MIN(300,MAX(1,D3409)),0), FactorTable!$A$2:$A$301,0), Skills!M10+1)</f>
        <v/>
      </c>
      <c r="F3409">
        <f>IF(Skills!N10=TRUE,(Skills!L10/10)*(E3409/1000),Skills!L10/10)+Skills!O10</f>
        <v/>
      </c>
      <c r="G3409">
        <f>Skills!G10*IF(Skills!H10&gt;0,IF(Inputs!$B$39="pvp",MIN(Skills!I10,15),Skills!I10)/Skills!H10,1)</f>
        <v/>
      </c>
      <c r="H3409">
        <f>1-(1-Skills!J10/100)^Skills!K10</f>
        <v/>
      </c>
      <c r="I3409" t="inlineStr">
        <is>
          <t>1</t>
        </is>
      </c>
      <c r="J3409">
        <f>((Inputs!$B$6*(1+Inputs!$B$7/100))+(((Inputs!$B$12*(1+Inputs!$B$13/100))-(Inputs!$B$12*(1+Inputs!$B$13/100)))+0.25*(Inputs!$B$14-Inputs!$B$14))*(1+Inputs!$B$7/100))*(F3409/100)</f>
        <v/>
      </c>
      <c r="K3409">
        <f>J3409*(1+((Inputs!$B$12*(1+Inputs!$B$13/100))*0.01+Inputs!$B$14*0.0025)/100)*(1+Inputs!$B$15/100)*(1+Inputs!$B$16/100)*(5000/(6000+Inputs!$B$43*(1-(100*(1-(1-Inputs!$B$19/100)*(1-CHOOSE(ArtifactsInput!$N$40+1,5,6,7,8,9,10)/100)^(ArtifactsInput!$M$40-ArtifactsInput!$M$40)))/100)))*(1+(Inputs!$B$24+((C3430=TRUE)*(F3430-Calc!F31))+((C3417=TRUE)*(F3417-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10="CRUEL_STAB",Inputs!$B$17+((C3427=TRUE)*(F3427-Calc!F28))+((IF(AND(Inputs!$B$39&lt;&gt;"pvp",Inputs!$B$44=0),1,IF(IF(Inputs!$B$39="pvp",15,Inputs!$B$44)-(B3444)&lt;=0,1,MAX(0,IF(Inputs!$B$39="pvp",15,Inputs!$B$44)-MAX(5,B3444))/(IF(Inputs!$B$39="pvp",15,Inputs!$B$44)-(B3444))))*(IF(AND(ArtifactsInput!$M$42,((Inputs!$B$9+((C3425=TRUE)*(F3425-Calc!F26))+B3433+(ArtifactsInput!$M$24-ArtifactsInput!$M$24)*CHOOSE(ArtifactsInput!$N$24+1,10,12,14,16,18,20)+IF(ArtifactsInput!$M$10,CHOOSE(ArtifactsInput!$N$10+1,15,18,21,24,27,30)*(IF(Inputs!$B$39="pvp",MIN(15,15)/15,IF(AND(Inputs!$B$39&lt;&gt;"pvp",Inputs!$B$44&gt;0),MIN(15,Inputs!$B$44)/(Inputs!$B$44),0))),0)))&gt;=100),MIN(100,((Inputs!$B$9+((C3425=TRUE)*(F3425-Calc!F26))+B3433+(ArtifactsInput!$M$24-ArtifactsInput!$M$24)*CHOOSE(ArtifactsInput!$N$24+1,10,12,14,16,18,20)+IF(ArtifactsInput!$M$10,CHOOSE(ArtifactsInput!$N$10+1,15,18,21,24,27,30)*(IF(Inputs!$B$39="pvp",MIN(15,15)/15,IF(AND(Inputs!$B$39&lt;&gt;"pvp",Inputs!$B$44&gt;0),MIN(15,Inputs!$B$44)/(Inputs!$B$44),0))),0)))-100),0))*CHOOSE(ArtifactsInput!$N$42+1,0.6,0.72,0.84,0.96,1.08,1.2))),Inputs!$B$18+((C3428=TRUE)*(F3428-Calc!F29))+(IF(AND(Inputs!$B$39&lt;&gt;"pvp",Inputs!$B$44=0),1,IF(IF(Inputs!$B$39="pvp",15,Inputs!$B$44)-(B3444)&lt;=0,1,MAX(0,IF(Inputs!$B$39="pvp",15,Inputs!$B$44)-MAX(5,B3444))/(IF(Inputs!$B$39="pvp",15,Inputs!$B$44)-(B3444))))*IF(AND(ArtifactsInput!$M$42,((Inputs!$B$9+((C3425=TRUE)*(F3425-Calc!F26))+B3433+(ArtifactsInput!$M$24-ArtifactsInput!$M$24)*CHOOSE(ArtifactsInput!$N$24+1,10,12,14,16,18,20)+IF(ArtifactsInput!$M$10,CHOOSE(ArtifactsInput!$N$10+1,15,18,21,24,27,30)*(IF(Inputs!$B$39="pvp",MIN(15,15)/15,IF(AND(Inputs!$B$39&lt;&gt;"pvp",Inputs!$B$44&gt;0),MIN(15,Inputs!$B$44)/(Inputs!$B$44),0))),0)))&gt;=100),CHOOSE(ArtifactsInput!$N$42+1,40,48,56,64,72,80),0))))/100)*(((1+(((C3421=TRUE)*F3421*IF(AND(Inputs!$B$39&lt;&gt;"pvp",Inputs!$B$44&gt;0),(((R3421-1)*MIN((Skills!Y22*(1+Inputs!$B$34/100)),(1/Q3421))+MIN((Skills!Y22*(1+Inputs!$B$34/100)),MAX(0,Inputs!$B$44-((R3421-1)*(1/Q3421)))))/Inputs!$B$44),IF(Inputs!$B$39="pvp",MIN((Skills!Y22*(1+Inputs!$B$34/100)),15)/15,MIN(1,(Skills!Y22*(1+Inputs!$B$34/100))/(1/Q3421)))))+((C3402=TRUE)*F3402*3)+((C3404=TRUE)*F3404*(1-EXP(-0.75*B3437*5)))+((C3423=TRUE)*(F3423-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3410=TRUE)*F3410*IF(AND(Inputs!$B$39&lt;&gt;"pvp",Inputs!$B$44&gt;0),(((R3410-1)*MIN((Skills!Y11*(1+Inputs!$B$34/100)),(1/Q3410))+MIN((Skills!Y11*(1+Inputs!$B$34/100)),MAX(0,Inputs!$B$44-((R3410-1)*(1/Q3410)))))/Inputs!$B$44),IF(Inputs!$B$39="pvp",MIN((Skills!Y11*(1+Inputs!$B$34/100)),15)/15,MIN(1,(Skills!Y11*(1+Inputs!$B$34/100))/(1/Q3410)))))/100)*(1+((C3415=TRUE)*F3415*IF(AND(Inputs!$B$39&lt;&gt;"pvp",Inputs!$B$44&gt;0),(((R3415-1)*MIN((Skills!Y16*(1+Inputs!$B$34/100)),(1/Q3415))+MIN((Skills!Y16*(1+Inputs!$B$34/100)),MAX(0,Inputs!$B$44-((R3415-1)*(1/Q3415)))))/Inputs!$B$44),IF(Inputs!$B$39="pvp",MIN((Skills!Y16*(1+Inputs!$B$34/100)),15)/15,MIN(1,(Skills!Y16*(1+Inputs!$B$34/100))/(1/Q3415)))))/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3435*I3409)</f>
        <v/>
      </c>
      <c r="L3409">
        <f>K3409*(MIN(Inputs!$B$22+((C3424=TRUE)*(F3424-Calc!F25)),(Inputs!$B$23+((C3429=TRUE)*(F3429-Calc!F30))+IF(ArtifactsInput!$M$15,CHOOSE(ArtifactsInput!$N$15+1,25,30,35,40,45,50)/100*(Inputs!$B$11-Inputs!$B$11),0)))/100+(Inputs!$B$23+((C3429=TRUE)*(F3429-Calc!F30))+IF(ArtifactsInput!$M$15,CHOOSE(ArtifactsInput!$N$15+1,25,30,35,40,45,50)/100*(Inputs!$B$11-Inputs!$B$11),0))/100)/2</f>
        <v/>
      </c>
      <c r="M3409">
        <f>L3409*(1+(Inputs!$B$10+((C3426=TRUE)*(F3426-Calc!F27))+B3440+(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3409">
        <f>L3409*(1-MIN((Inputs!$B$9+((C3425=TRUE)*(F3425-Calc!F26))+B3433+(ArtifactsInput!$M$24-ArtifactsInput!$M$24)*CHOOSE(ArtifactsInput!$N$24+1,10,12,14,16,18,20)+(IF(AND(Inputs!$B$39&lt;&gt;"pvp",Inputs!$B$44=0),1,IF(IF(Inputs!$B$39="pvp",15,Inputs!$B$44)-(B3444)&lt;=0,1,MAX(0,IF(Inputs!$B$39="pvp",15,Inputs!$B$44)-MAX(5,B3444))/(IF(Inputs!$B$39="pvp",15,Inputs!$B$44)-(B3444))))*IF(AND(ArtifactsInput!$M$42,((Inputs!$B$9+((C3425=TRUE)*(F3425-Calc!F26))+B3433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3409*(MIN((Inputs!$B$9+((C3425=TRUE)*(F3425-Calc!F26))+B3433+(ArtifactsInput!$M$24-ArtifactsInput!$M$24)*CHOOSE(ArtifactsInput!$N$24+1,10,12,14,16,18,20)+(IF(AND(Inputs!$B$39&lt;&gt;"pvp",Inputs!$B$44=0),1,IF(IF(Inputs!$B$39="pvp",15,Inputs!$B$44)-(B3444)&lt;=0,1,MAX(0,IF(Inputs!$B$39="pvp",15,Inputs!$B$44)-MAX(5,B3444))/(IF(Inputs!$B$39="pvp",15,Inputs!$B$44)-(B3444))))*IF(AND(ArtifactsInput!$M$42,((Inputs!$B$9+((C3425=TRUE)*(F3425-Calc!F26))+B3433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3409">
        <f>(1-Summary!$B$11)*T3409+Summary!$B$11*V3409</f>
        <v/>
      </c>
      <c r="P3409">
        <f>IF(B3445=0,0,O3409/B3445)</f>
        <v/>
      </c>
      <c r="Q3409" t="n">
        <v>0</v>
      </c>
      <c r="R3409" t="n">
        <v>0</v>
      </c>
      <c r="S3409" t="n">
        <v>0</v>
      </c>
      <c r="T3409">
        <f>IF(C3409,(0.2*SUMPRODUCT((Skills!Z2:Z31=TRUE)*(C3401:C3430=TRUE)*S3401:S3430)*N3409)*IF(Inputs!$B$39="pvp",1,1+(Inputs!$B$20+0+Skills!P10+B3434+(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Hunt"),CHOOSE(ArtifactsInput!$N$35+1,15,18,21,24,27,30)*(1-EXP(-(0.2*B3437)*5)),0)+IF(AND(ArtifactsInput!$M$22,Inputs!$B$4&lt;&gt;"Chapter Hunt"),CHOOSE(ArtifactsInput!$N$22+1,10,12,14,16,18,20)*((0*(((0.15*B3437*5))^0/1)+1*(((0.15*B3437*5))^1/1)+2*(((0.15*B3437*5))^2/2)+3*(((0.15*B3437*5))^3/6)+4*(((0.15*B3437*5))^4/24)+5*(((0.15*B3437*5))^5/120))/((((0.15*B3437*5))^0/1)+(((0.15*B3437*5))^1/1)+(((0.15*B3437*5))^2/2)+(((0.15*B3437*5))^3/6)+(((0.15*B3437*5))^4/24)+(((0.15*B3437*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3409*(1-MIN(100,(Inputs!$B$9+((C3425=TRUE)*(F3425-Calc!F26))+B3433+(ArtifactsInput!$M$24-ArtifactsInput!$M$24)*CHOOSE(ArtifactsInput!$N$24+1,10,12,14,16,18,20)+(IF(AND(Inputs!$B$39&lt;&gt;"pvp",Inputs!$B$44=0),1,IF(IF(Inputs!$B$39="pvp",15,Inputs!$B$44)-(B3444)&lt;=0,1,MAX(0,IF(Inputs!$B$39="pvp",15,Inputs!$B$44)-MAX(5,B3444))/(IF(Inputs!$B$39="pvp",15,Inputs!$B$44)-(B3444))))*IF(AND(ArtifactsInput!$M$42,((Inputs!$B$9+((C3425=TRUE)*(F3425-Calc!F26))+B3433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3409*(MIN(100,(Inputs!$B$9+((C3425=TRUE)*(F3425-Calc!F26))+B3433+(ArtifactsInput!$M$24-ArtifactsInput!$M$24)*CHOOSE(ArtifactsInput!$N$24+1,10,12,14,16,18,20)+(IF(AND(Inputs!$B$39&lt;&gt;"pvp",Inputs!$B$44=0),1,IF(IF(Inputs!$B$39="pvp",15,Inputs!$B$44)-(B3444)&lt;=0,1,MAX(0,IF(Inputs!$B$39="pvp",15,Inputs!$B$44)-MAX(5,B3444))/(IF(Inputs!$B$39="pvp",15,Inputs!$B$44)-(B3444))))*IF(AND(ArtifactsInput!$M$42,((Inputs!$B$9+((C3425=TRUE)*(F3425-Calc!F26))+B3433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3409*(1-MIN(100,(Inputs!$B$9+((C3425=TRUE)*(F3425-Calc!F26))+B3433+(ArtifactsInput!$M$24-ArtifactsInput!$M$24)*CHOOSE(ArtifactsInput!$N$24+1,10,12,14,16,18,20)+(IF(AND(Inputs!$B$39&lt;&gt;"pvp",Inputs!$B$44=0),1,IF(IF(Inputs!$B$39="pvp",15,Inputs!$B$44)-(B3444)&lt;=0,1,MAX(0,IF(Inputs!$B$39="pvp",15,Inputs!$B$44)-MAX(5,B3444))/(IF(Inputs!$B$39="pvp",15,Inputs!$B$44)-(B3444))))*IF(AND(ArtifactsInput!$M$42,((Inputs!$B$9+((C3425=TRUE)*(F3425-Calc!F26))+B3433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3409*(MIN(100,(Inputs!$B$9+((C3425=TRUE)*(F3425-Calc!F26))+B3433+(ArtifactsInput!$M$24-ArtifactsInput!$M$24)*CHOOSE(ArtifactsInput!$N$24+1,10,12,14,16,18,20)+(IF(AND(Inputs!$B$39&lt;&gt;"pvp",Inputs!$B$44=0),1,IF(IF(Inputs!$B$39="pvp",15,Inputs!$B$44)-(B3444)&lt;=0,1,MAX(0,IF(Inputs!$B$39="pvp",15,Inputs!$B$44)-MAX(5,B3444))/(IF(Inputs!$B$39="pvp",15,Inputs!$B$44)-(B3444))))*IF(AND(ArtifactsInput!$M$42,((Inputs!$B$9+((C3425=TRUE)*(F3425-Calc!F26))+B3433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3409">
        <f>IF(C3409,(0.2*SUMPRODUCT((Skills!Z2:Z31=TRUE)*(C3401:C3430=TRUE)*S3401:S3430)*N3409)*IF(Inputs!$B$39="pvp",1,(1+(Inputs!$B$21+Skills!Q10+B3434+(IF(ArtifactsInput!$M$33,CHOOSE(ArtifactsInput!$N$33+1,30,36,42,48,54,60),0))+(IF(AND(ArtifactsInput!$M$35,Inputs!$B$4&lt;&gt;"Chapter Hunt"),CHOOSE(ArtifactsInput!$N$35+1,15,18,21,24,27,30)*(1-EXP(-(0.2*B3437)*5)),0)+IF(AND(ArtifactsInput!$M$22,Inputs!$B$4&lt;&gt;"Chapter Hunt"),CHOOSE(ArtifactsInput!$N$22+1,10,12,14,16,18,20)*((0*(((0.15*B3437*5))^0/1)+1*(((0.15*B3437*5))^1/1)+2*(((0.15*B3437*5))^2/2)+3*(((0.15*B3437*5))^3/6)+4*(((0.15*B3437*5))^4/24)+5*(((0.15*B3437*5))^5/120))/((((0.15*B3437*5))^0/1)+(((0.15*B3437*5))^1/1)+(((0.15*B3437*5))^2/2)+(((0.15*B3437*5))^3/6)+(((0.15*B3437*5))^4/24)+(((0.15*B3437*5))^5/120))),0)))/100)*(MIN(Skills!W10,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3410">
      <c r="A3410">
        <f>Skills!A11</f>
        <v/>
      </c>
      <c r="B3410">
        <f>Skills!B11</f>
        <v/>
      </c>
      <c r="C3410">
        <f>Inputs!$B$3&gt;=74</f>
        <v/>
      </c>
      <c r="D3410">
        <f>IF(Skills!C11=1,60+Inputs!$B$25+Inputs!$B$29,IF(Skills!C11=2,90+Inputs!$B$26+Inputs!$B$29,IF(Skills!C11=3,120+Inputs!$B$27+Inputs!$B$29,MAX(0,(Inputs!$B$3-100)*3)+Inputs!$B$28+Inputs!$B$29)))</f>
        <v/>
      </c>
      <c r="E3410">
        <f>INDEX(FactorTable!$B$2:$Y$301, MATCH(ROUND(MIN(300,MAX(1,D3410)),0), FactorTable!$A$2:$A$301,0), Skills!M11+1)</f>
        <v/>
      </c>
      <c r="F3410">
        <f>IF(Skills!N11=TRUE,(Skills!L11/10)*(E3410/1000),Skills!L11/10)+Skills!O11</f>
        <v/>
      </c>
      <c r="G3410">
        <f>Skills!G11*IF(Skills!H11&gt;0,IF(Inputs!$B$39="pvp",MIN(Skills!I11,15),Skills!I11)/Skills!H11,1)</f>
        <v/>
      </c>
      <c r="H3410">
        <f>1-(1-Skills!J11/100)^Skills!K11</f>
        <v/>
      </c>
      <c r="I3410" t="inlineStr">
        <is>
          <t>1</t>
        </is>
      </c>
      <c r="J3410" t="inlineStr"/>
      <c r="K3410" t="inlineStr"/>
      <c r="L3410" t="inlineStr"/>
      <c r="M3410" t="inlineStr"/>
      <c r="N3410" t="inlineStr"/>
      <c r="O3410">
        <f>(1-Summary!$B$11)*T3410+Summary!$B$11*V3410</f>
        <v/>
      </c>
      <c r="P3410">
        <f>IF(B3445=0,0,O3410/B3445)</f>
        <v/>
      </c>
      <c r="Q3410">
        <f>IFERROR(1/IF(Inputs!$B$39="pvp",15,MAX(0.1,Skills!D11-IF(TRUE=TRUE,1.5,0))),0)</f>
        <v/>
      </c>
      <c r="R3410">
        <f>IF(AND(Inputs!$B$39&lt;&gt;"pvp",Inputs!$B$44&gt;0),IF(Inputs!$B$44&lt;=0,0,(INT(Inputs!$B$44/IF(Inputs!$B$39="pvp",15,MAX(0.1,Skills!D11-IF(TRUE=TRUE,1.5,0))))+1)),0)</f>
        <v/>
      </c>
      <c r="S3410">
        <f>IFERROR(O3410/N3410,0)</f>
        <v/>
      </c>
      <c r="T3410" t="n">
        <v>0</v>
      </c>
      <c r="V3410" t="n">
        <v>0</v>
      </c>
    </row>
    <row r="3411">
      <c r="A3411">
        <f>Skills!A12</f>
        <v/>
      </c>
      <c r="B3411">
        <f>Skills!B12</f>
        <v/>
      </c>
      <c r="C3411">
        <f>Inputs!$B$3&gt;=103</f>
        <v/>
      </c>
      <c r="D3411">
        <f>IF(Skills!C12=1,60+Inputs!$B$25+Inputs!$B$29,IF(Skills!C12=2,90+Inputs!$B$26+Inputs!$B$29,IF(Skills!C12=3,120+Inputs!$B$27+Inputs!$B$29,MAX(0,(Inputs!$B$3-100)*3)+Inputs!$B$28+Inputs!$B$29)))</f>
        <v/>
      </c>
      <c r="E3411">
        <f>INDEX(FactorTable!$B$2:$Y$301, MATCH(ROUND(MIN(300,MAX(1,D3411)),0), FactorTable!$A$2:$A$301,0), Skills!M12+1)</f>
        <v/>
      </c>
      <c r="F3411">
        <f>(Skills!L12/10)*(E3411/1000)+IF(Inputs!$B$3&gt;=134,50,0)+0.5*(30000/10)*(INDEX(FactorTable!$B$2:$Y$301, MATCH(ROUND(MIN(300,MAX(1,D3411)),0), FactorTable!$A$2:$A$301,0), 13)/1000)*B3443</f>
        <v/>
      </c>
      <c r="G3411">
        <f>Skills!G12*IF(Skills!H12&gt;0,IF(Inputs!$B$39="pvp",MIN(Skills!I12,15),Skills!I12)/Skills!H12,1)</f>
        <v/>
      </c>
      <c r="H3411">
        <f>1-(1-Skills!J12/100)^Skills!K12</f>
        <v/>
      </c>
      <c r="I3411" t="inlineStr">
        <is>
          <t>1</t>
        </is>
      </c>
      <c r="J3411">
        <f>((Inputs!$B$6*(1+Inputs!$B$7/100))+(((Inputs!$B$12*(1+Inputs!$B$13/100))-(Inputs!$B$12*(1+Inputs!$B$13/100)))+0.25*(Inputs!$B$14-Inputs!$B$14))*(1+Inputs!$B$7/100))*(F3411/100)</f>
        <v/>
      </c>
      <c r="K3411">
        <f>J3411*(1+((Inputs!$B$12*(1+Inputs!$B$13/100))*0.01+Inputs!$B$14*0.0025)/100)*(1+Inputs!$B$15/100)*(1+Inputs!$B$16/100)*(5000/(6000+Inputs!$B$43*(1-(100*(1-(1-Inputs!$B$19/100)*(1-CHOOSE(ArtifactsInput!$N$40+1,5,6,7,8,9,10)/100)^(ArtifactsInput!$M$40-ArtifactsInput!$M$40)))/100)))*(1+(Inputs!$B$24+((C3430=TRUE)*(F3430-Calc!F31))+((C3417=TRUE)*(F3417-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12="CRUEL_STAB",Inputs!$B$17+((C3427=TRUE)*(F3427-Calc!F28))+((IF(AND(Inputs!$B$39&lt;&gt;"pvp",Inputs!$B$44=0),1,IF(IF(Inputs!$B$39="pvp",15,Inputs!$B$44)-(B3444)&lt;=0,1,MAX(0,IF(Inputs!$B$39="pvp",15,Inputs!$B$44)-MAX(5,B3444))/(IF(Inputs!$B$39="pvp",15,Inputs!$B$44)-(B3444))))*(IF(AND(ArtifactsInput!$M$42,((Inputs!$B$9+((C3425=TRUE)*(F3425-Calc!F26))+B3433+(ArtifactsInput!$M$24-ArtifactsInput!$M$24)*CHOOSE(ArtifactsInput!$N$24+1,10,12,14,16,18,20)+IF(ArtifactsInput!$M$10,CHOOSE(ArtifactsInput!$N$10+1,15,18,21,24,27,30)*(IF(Inputs!$B$39="pvp",MIN(15,15)/15,IF(AND(Inputs!$B$39&lt;&gt;"pvp",Inputs!$B$44&gt;0),MIN(15,Inputs!$B$44)/(Inputs!$B$44),0))),0)))&gt;=100),MIN(100,((Inputs!$B$9+((C3425=TRUE)*(F3425-Calc!F26))+B3433+(ArtifactsInput!$M$24-ArtifactsInput!$M$24)*CHOOSE(ArtifactsInput!$N$24+1,10,12,14,16,18,20)+IF(ArtifactsInput!$M$10,CHOOSE(ArtifactsInput!$N$10+1,15,18,21,24,27,30)*(IF(Inputs!$B$39="pvp",MIN(15,15)/15,IF(AND(Inputs!$B$39&lt;&gt;"pvp",Inputs!$B$44&gt;0),MIN(15,Inputs!$B$44)/(Inputs!$B$44),0))),0)))-100),0))*CHOOSE(ArtifactsInput!$N$42+1,0.6,0.72,0.84,0.96,1.08,1.2))),Inputs!$B$18+((C3428=TRUE)*(F3428-Calc!F29))+(IF(AND(Inputs!$B$39&lt;&gt;"pvp",Inputs!$B$44=0),1,IF(IF(Inputs!$B$39="pvp",15,Inputs!$B$44)-(B3444)&lt;=0,1,MAX(0,IF(Inputs!$B$39="pvp",15,Inputs!$B$44)-MAX(5,B3444))/(IF(Inputs!$B$39="pvp",15,Inputs!$B$44)-(B3444))))*IF(AND(ArtifactsInput!$M$42,((Inputs!$B$9+((C3425=TRUE)*(F3425-Calc!F26))+B3433+(ArtifactsInput!$M$24-ArtifactsInput!$M$24)*CHOOSE(ArtifactsInput!$N$24+1,10,12,14,16,18,20)+IF(ArtifactsInput!$M$10,CHOOSE(ArtifactsInput!$N$10+1,15,18,21,24,27,30)*(IF(Inputs!$B$39="pvp",MIN(15,15)/15,IF(AND(Inputs!$B$39&lt;&gt;"pvp",Inputs!$B$44&gt;0),MIN(15,Inputs!$B$44)/(Inputs!$B$44),0))),0)))&gt;=100),CHOOSE(ArtifactsInput!$N$42+1,40,48,56,64,72,80),0))))/100)*(((1+(((C3421=TRUE)*F3421*IF(AND(Inputs!$B$39&lt;&gt;"pvp",Inputs!$B$44&gt;0),(((R3421-1)*MIN((Skills!Y22*(1+Inputs!$B$34/100)),(1/Q3421))+MIN((Skills!Y22*(1+Inputs!$B$34/100)),MAX(0,Inputs!$B$44-((R3421-1)*(1/Q3421)))))/Inputs!$B$44),IF(Inputs!$B$39="pvp",MIN((Skills!Y22*(1+Inputs!$B$34/100)),15)/15,MIN(1,(Skills!Y22*(1+Inputs!$B$34/100))/(1/Q3421)))))+((C3402=TRUE)*F3402*3)+((C3404=TRUE)*F3404*(1-EXP(-0.75*B3437*5)))+((C3423=TRUE)*(F3423-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3410=TRUE)*F3410*IF(AND(Inputs!$B$39&lt;&gt;"pvp",Inputs!$B$44&gt;0),(((R3410-1)*MIN((Skills!Y11*(1+Inputs!$B$34/100)),(1/Q3410))+MIN((Skills!Y11*(1+Inputs!$B$34/100)),MAX(0,Inputs!$B$44-((R3410-1)*(1/Q3410)))))/Inputs!$B$44),IF(Inputs!$B$39="pvp",MIN((Skills!Y11*(1+Inputs!$B$34/100)),15)/15,MIN(1,(Skills!Y11*(1+Inputs!$B$34/100))/(1/Q3410)))))/100)*(1+((C3415=TRUE)*F3415*IF(AND(Inputs!$B$39&lt;&gt;"pvp",Inputs!$B$44&gt;0),(((R3415-1)*MIN((Skills!Y16*(1+Inputs!$B$34/100)),(1/Q3415))+MIN((Skills!Y16*(1+Inputs!$B$34/100)),MAX(0,Inputs!$B$44-((R3415-1)*(1/Q3415)))))/Inputs!$B$44),IF(Inputs!$B$39="pvp",MIN((Skills!Y16*(1+Inputs!$B$34/100)),15)/15,MIN(1,(Skills!Y16*(1+Inputs!$B$34/100))/(1/Q3415)))))/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3435*I3411)</f>
        <v/>
      </c>
      <c r="L3411">
        <f>K3411*(MIN(Inputs!$B$22+((C3424=TRUE)*(F3424-Calc!F25)),(Inputs!$B$23+((C3429=TRUE)*(F3429-Calc!F30))+IF(ArtifactsInput!$M$15,CHOOSE(ArtifactsInput!$N$15+1,25,30,35,40,45,50)/100*(Inputs!$B$11-Inputs!$B$11),0)))/100+(Inputs!$B$23+((C3429=TRUE)*(F3429-Calc!F30))+IF(ArtifactsInput!$M$15,CHOOSE(ArtifactsInput!$N$15+1,25,30,35,40,45,50)/100*(Inputs!$B$11-Inputs!$B$11),0))/100)/2</f>
        <v/>
      </c>
      <c r="M3411">
        <f>L3411*(1+(Inputs!$B$10+((C3426=TRUE)*(F3426-Calc!F27))+B3440+(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3411">
        <f>L3411*(1-MIN((Inputs!$B$9+((C3425=TRUE)*(F3425-Calc!F26))+B3433+(ArtifactsInput!$M$24-ArtifactsInput!$M$24)*CHOOSE(ArtifactsInput!$N$24+1,10,12,14,16,18,20)+(IF(AND(Inputs!$B$39&lt;&gt;"pvp",Inputs!$B$44=0),1,IF(IF(Inputs!$B$39="pvp",15,Inputs!$B$44)-(B3444)&lt;=0,1,MAX(0,IF(Inputs!$B$39="pvp",15,Inputs!$B$44)-MAX(5,B3444))/(IF(Inputs!$B$39="pvp",15,Inputs!$B$44)-(B3444))))*IF(AND(ArtifactsInput!$M$42,((Inputs!$B$9+((C3425=TRUE)*(F3425-Calc!F26))+B3433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3411*(MIN((Inputs!$B$9+((C3425=TRUE)*(F3425-Calc!F26))+B3433+(ArtifactsInput!$M$24-ArtifactsInput!$M$24)*CHOOSE(ArtifactsInput!$N$24+1,10,12,14,16,18,20)+(IF(AND(Inputs!$B$39&lt;&gt;"pvp",Inputs!$B$44=0),1,IF(IF(Inputs!$B$39="pvp",15,Inputs!$B$44)-(B3444)&lt;=0,1,MAX(0,IF(Inputs!$B$39="pvp",15,Inputs!$B$44)-MAX(5,B3444))/(IF(Inputs!$B$39="pvp",15,Inputs!$B$44)-(B3444))))*IF(AND(ArtifactsInput!$M$42,((Inputs!$B$9+((C3425=TRUE)*(F3425-Calc!F26))+B3433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3411">
        <f>(1-Summary!$B$11)*T3411+Summary!$B$11*V3411</f>
        <v/>
      </c>
      <c r="P3411">
        <f>IF(B3445=0,0,O3411/B3445)</f>
        <v/>
      </c>
      <c r="Q3411">
        <f>IFERROR(1/IF(Inputs!$B$39="pvp",15,MAX(0.1,Skills!D12-IF(TRUE=TRUE,1.5,0))),0)</f>
        <v/>
      </c>
      <c r="R3411">
        <f>IF(AND(Inputs!$B$39&lt;&gt;"pvp",Inputs!$B$44&gt;0),IF(MAX(0,Inputs!$B$44-B3444)&lt;=0,0,(INT(MAX(0,Inputs!$B$44-B3444)/IF(Inputs!$B$39="pvp",15,MAX(0.1,Skills!D12-IF(TRUE=TRUE,1.5,0))))+1)),0)</f>
        <v/>
      </c>
      <c r="S3411">
        <f>IFERROR(O3411/N3411,0)</f>
        <v/>
      </c>
      <c r="T3411">
        <f>IF(C3411,(H3411*N3411*IF(AND(Inputs!$B$39&lt;&gt;"pvp",Inputs!$B$44&gt;0),((Skills!G12*((R3411-1)*IF(Skills!H12&gt;0,Skills!I12/Skills!H12,1)+IF(Skills!H12&gt;0,MIN(Skills!I12,MAX(0,MAX(0,Inputs!$B$44-B3444)-((R3411-1)*IF(Inputs!$B$39="pvp",15,MAX(0.1,Skills!D12-IF(TRUE=TRUE,1.5,0))))))/Skills!H12,1)))/Inputs!$B$44),G3411*Q3411))*IF(Inputs!$B$39="pvp",1,1+(Inputs!$B$20+0+Skills!P12+B3434+(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Hunt"),CHOOSE(ArtifactsInput!$N$35+1,15,18,21,24,27,30)*(1-EXP(-(0.2*B3437)*5)),0)+IF(AND(ArtifactsInput!$M$22,Inputs!$B$4&lt;&gt;"Chapter Hunt"),CHOOSE(ArtifactsInput!$N$22+1,10,12,14,16,18,20)*((0*(((0.15*B3437*5))^0/1)+1*(((0.15*B3437*5))^1/1)+2*(((0.15*B3437*5))^2/2)+3*(((0.15*B3437*5))^3/6)+4*(((0.15*B3437*5))^4/24)+5*(((0.15*B3437*5))^5/120))/((((0.15*B3437*5))^0/1)+(((0.15*B3437*5))^1/1)+(((0.15*B3437*5))^2/2)+(((0.15*B3437*5))^3/6)+(((0.15*B3437*5))^4/24)+(((0.15*B3437*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3411*(1-MIN(100,(Inputs!$B$9+((C3425=TRUE)*(F3425-Calc!F26))+B3433+(ArtifactsInput!$M$24-ArtifactsInput!$M$24)*CHOOSE(ArtifactsInput!$N$24+1,10,12,14,16,18,20)+(IF(AND(Inputs!$B$39&lt;&gt;"pvp",Inputs!$B$44=0),1,IF(IF(Inputs!$B$39="pvp",15,Inputs!$B$44)-(B3444)&lt;=0,1,MAX(0,IF(Inputs!$B$39="pvp",15,Inputs!$B$44)-MAX(5,B3444))/(IF(Inputs!$B$39="pvp",15,Inputs!$B$44)-(B3444))))*IF(AND(ArtifactsInput!$M$42,((Inputs!$B$9+((C3425=TRUE)*(F3425-Calc!F26))+B3433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3411*(MIN(100,(Inputs!$B$9+((C3425=TRUE)*(F3425-Calc!F26))+B3433+(ArtifactsInput!$M$24-ArtifactsInput!$M$24)*CHOOSE(ArtifactsInput!$N$24+1,10,12,14,16,18,20)+(IF(AND(Inputs!$B$39&lt;&gt;"pvp",Inputs!$B$44=0),1,IF(IF(Inputs!$B$39="pvp",15,Inputs!$B$44)-(B3444)&lt;=0,1,MAX(0,IF(Inputs!$B$39="pvp",15,Inputs!$B$44)-MAX(5,B3444))/(IF(Inputs!$B$39="pvp",15,Inputs!$B$44)-(B3444))))*IF(AND(ArtifactsInput!$M$42,((Inputs!$B$9+((C3425=TRUE)*(F3425-Calc!F26))+B3433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3411*(1-MIN(100,(Inputs!$B$9+((C3425=TRUE)*(F3425-Calc!F26))+B3433+(ArtifactsInput!$M$24-ArtifactsInput!$M$24)*CHOOSE(ArtifactsInput!$N$24+1,10,12,14,16,18,20)+(IF(AND(Inputs!$B$39&lt;&gt;"pvp",Inputs!$B$44=0),1,IF(IF(Inputs!$B$39="pvp",15,Inputs!$B$44)-(B3444)&lt;=0,1,MAX(0,IF(Inputs!$B$39="pvp",15,Inputs!$B$44)-MAX(5,B3444))/(IF(Inputs!$B$39="pvp",15,Inputs!$B$44)-(B3444))))*IF(AND(ArtifactsInput!$M$42,((Inputs!$B$9+((C3425=TRUE)*(F3425-Calc!F26))+B3433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3411*(MIN(100,(Inputs!$B$9+((C3425=TRUE)*(F3425-Calc!F26))+B3433+(ArtifactsInput!$M$24-ArtifactsInput!$M$24)*CHOOSE(ArtifactsInput!$N$24+1,10,12,14,16,18,20)+(IF(AND(Inputs!$B$39&lt;&gt;"pvp",Inputs!$B$44=0),1,IF(IF(Inputs!$B$39="pvp",15,Inputs!$B$44)-(B3444)&lt;=0,1,MAX(0,IF(Inputs!$B$39="pvp",15,Inputs!$B$44)-MAX(5,B3444))/(IF(Inputs!$B$39="pvp",15,Inputs!$B$44)-(B3444))))*IF(AND(ArtifactsInput!$M$42,((Inputs!$B$9+((C3425=TRUE)*(F3425-Calc!F26))+B3433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3411">
        <f>IF(C3411,(H3411*N3411*IF(AND(Inputs!$B$39&lt;&gt;"pvp",Inputs!$B$44&gt;0),((Skills!G12*((R3411-1)*IF(Skills!H12&gt;0,Skills!I12/Skills!H12,1)+IF(Skills!H12&gt;0,MIN(Skills!I12,MAX(0,MAX(0,Inputs!$B$44-B3444)-((R3411-1)*IF(Inputs!$B$39="pvp",15,MAX(0.1,Skills!D12-IF(TRUE=TRUE,1.5,0))))))/Skills!H12,1)))/Inputs!$B$44),G3411*Q3411))*IF(Inputs!$B$39="pvp",1,(1+(Inputs!$B$21+Skills!Q12+B3434+(IF(ArtifactsInput!$M$33,CHOOSE(ArtifactsInput!$N$33+1,30,36,42,48,54,60),0))+(IF(AND(ArtifactsInput!$M$35,Inputs!$B$4&lt;&gt;"Chapter Hunt"),CHOOSE(ArtifactsInput!$N$35+1,15,18,21,24,27,30)*(1-EXP(-(0.2*B3437)*5)),0)+IF(AND(ArtifactsInput!$M$22,Inputs!$B$4&lt;&gt;"Chapter Hunt"),CHOOSE(ArtifactsInput!$N$22+1,10,12,14,16,18,20)*((0*(((0.15*B3437*5))^0/1)+1*(((0.15*B3437*5))^1/1)+2*(((0.15*B3437*5))^2/2)+3*(((0.15*B3437*5))^3/6)+4*(((0.15*B3437*5))^4/24)+5*(((0.15*B3437*5))^5/120))/((((0.15*B3437*5))^0/1)+(((0.15*B3437*5))^1/1)+(((0.15*B3437*5))^2/2)+(((0.15*B3437*5))^3/6)+(((0.15*B3437*5))^4/24)+(((0.15*B3437*5))^5/120))),0)))/100)*(MIN(Skills!W12,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3412">
      <c r="A3412">
        <f>Skills!A13</f>
        <v/>
      </c>
      <c r="B3412">
        <f>Skills!B13</f>
        <v/>
      </c>
      <c r="C3412">
        <f>Inputs!$B$3&gt;=105</f>
        <v/>
      </c>
      <c r="D3412">
        <f>IF(Skills!C13=1,60+Inputs!$B$25+Inputs!$B$29,IF(Skills!C13=2,90+Inputs!$B$26+Inputs!$B$29,IF(Skills!C13=3,120+Inputs!$B$27+Inputs!$B$29,MAX(0,(Inputs!$B$3-100)*3)+Inputs!$B$28+Inputs!$B$29)))</f>
        <v/>
      </c>
      <c r="E3412">
        <f>INDEX(FactorTable!$B$2:$Y$301, MATCH(ROUND(MIN(300,MAX(1,D3412)),0), FactorTable!$A$2:$A$301,0), Skills!M13+1)</f>
        <v/>
      </c>
      <c r="F3412">
        <f>IF(Skills!N13=TRUE,(Skills!L13/10)*(E3412/1000),Skills!L13/10)+Skills!O13</f>
        <v/>
      </c>
      <c r="G3412">
        <f>Skills!G13*IF(Skills!H13&gt;0,IF(Inputs!$B$39="pvp",MIN(Skills!I13,15),Skills!I13)/Skills!H13,1)</f>
        <v/>
      </c>
      <c r="H3412">
        <f>1-(1-Skills!J13/100)^Skills!K13</f>
        <v/>
      </c>
      <c r="I3412" t="inlineStr">
        <is>
          <t>1</t>
        </is>
      </c>
      <c r="J3412">
        <f>((Inputs!$B$6*(1+Inputs!$B$7/100))+(((Inputs!$B$12*(1+Inputs!$B$13/100))-(Inputs!$B$12*(1+Inputs!$B$13/100)))+0.25*(Inputs!$B$14-Inputs!$B$14))*(1+Inputs!$B$7/100))*(F3412/100)</f>
        <v/>
      </c>
      <c r="K3412">
        <f>J3412*(1+((Inputs!$B$12*(1+Inputs!$B$13/100))*0.01+Inputs!$B$14*0.0025)/100)*(1+Inputs!$B$15/100)*(1+Inputs!$B$16/100)*(5000/(6000+Inputs!$B$43*(1-(100*(1-(1-Inputs!$B$19/100)*(1-CHOOSE(ArtifactsInput!$N$40+1,5,6,7,8,9,10)/100)^(ArtifactsInput!$M$40-ArtifactsInput!$M$40)))/100)))*(1+(Inputs!$B$24+((C3430=TRUE)*(F3430-Calc!F31))+((C3417=TRUE)*(F3417-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13="CRUEL_STAB",Inputs!$B$17+((C3427=TRUE)*(F3427-Calc!F28))+((IF(AND(Inputs!$B$39&lt;&gt;"pvp",Inputs!$B$44=0),1,IF(IF(Inputs!$B$39="pvp",15,Inputs!$B$44)-(B3444)&lt;=0,1,MAX(0,IF(Inputs!$B$39="pvp",15,Inputs!$B$44)-MAX(5,B3444))/(IF(Inputs!$B$39="pvp",15,Inputs!$B$44)-(B3444))))*(IF(AND(ArtifactsInput!$M$42,((Inputs!$B$9+((C3425=TRUE)*(F3425-Calc!F26))+B3433+(ArtifactsInput!$M$24-ArtifactsInput!$M$24)*CHOOSE(ArtifactsInput!$N$24+1,10,12,14,16,18,20)+IF(ArtifactsInput!$M$10,CHOOSE(ArtifactsInput!$N$10+1,15,18,21,24,27,30)*(IF(Inputs!$B$39="pvp",MIN(15,15)/15,IF(AND(Inputs!$B$39&lt;&gt;"pvp",Inputs!$B$44&gt;0),MIN(15,Inputs!$B$44)/(Inputs!$B$44),0))),0)))&gt;=100),MIN(100,((Inputs!$B$9+((C3425=TRUE)*(F3425-Calc!F26))+B3433+(ArtifactsInput!$M$24-ArtifactsInput!$M$24)*CHOOSE(ArtifactsInput!$N$24+1,10,12,14,16,18,20)+IF(ArtifactsInput!$M$10,CHOOSE(ArtifactsInput!$N$10+1,15,18,21,24,27,30)*(IF(Inputs!$B$39="pvp",MIN(15,15)/15,IF(AND(Inputs!$B$39&lt;&gt;"pvp",Inputs!$B$44&gt;0),MIN(15,Inputs!$B$44)/(Inputs!$B$44),0))),0)))-100),0))*CHOOSE(ArtifactsInput!$N$42+1,0.6,0.72,0.84,0.96,1.08,1.2))),Inputs!$B$18+((C3428=TRUE)*(F3428-Calc!F29))+(IF(AND(Inputs!$B$39&lt;&gt;"pvp",Inputs!$B$44=0),1,IF(IF(Inputs!$B$39="pvp",15,Inputs!$B$44)-(B3444)&lt;=0,1,MAX(0,IF(Inputs!$B$39="pvp",15,Inputs!$B$44)-MAX(5,B3444))/(IF(Inputs!$B$39="pvp",15,Inputs!$B$44)-(B3444))))*IF(AND(ArtifactsInput!$M$42,((Inputs!$B$9+((C3425=TRUE)*(F3425-Calc!F26))+B3433+(ArtifactsInput!$M$24-ArtifactsInput!$M$24)*CHOOSE(ArtifactsInput!$N$24+1,10,12,14,16,18,20)+IF(ArtifactsInput!$M$10,CHOOSE(ArtifactsInput!$N$10+1,15,18,21,24,27,30)*(IF(Inputs!$B$39="pvp",MIN(15,15)/15,IF(AND(Inputs!$B$39&lt;&gt;"pvp",Inputs!$B$44&gt;0),MIN(15,Inputs!$B$44)/(Inputs!$B$44),0))),0)))&gt;=100),CHOOSE(ArtifactsInput!$N$42+1,40,48,56,64,72,80),0))))/100)*(((1+(((C3421=TRUE)*F3421*IF(AND(Inputs!$B$39&lt;&gt;"pvp",Inputs!$B$44&gt;0),(((R3421-1)*MIN((Skills!Y22*(1+Inputs!$B$34/100)),(1/Q3421))+MIN((Skills!Y22*(1+Inputs!$B$34/100)),MAX(0,Inputs!$B$44-((R3421-1)*(1/Q3421)))))/Inputs!$B$44),IF(Inputs!$B$39="pvp",MIN((Skills!Y22*(1+Inputs!$B$34/100)),15)/15,MIN(1,(Skills!Y22*(1+Inputs!$B$34/100))/(1/Q3421)))))+((C3402=TRUE)*F3402*3)+((C3404=TRUE)*F3404*(1-EXP(-0.75*B3437*5)))+((C3423=TRUE)*(F3423-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3410=TRUE)*F3410*IF(AND(Inputs!$B$39&lt;&gt;"pvp",Inputs!$B$44&gt;0),(((R3410-1)*MIN((Skills!Y11*(1+Inputs!$B$34/100)),(1/Q3410))+MIN((Skills!Y11*(1+Inputs!$B$34/100)),MAX(0,Inputs!$B$44-((R3410-1)*(1/Q3410)))))/Inputs!$B$44),IF(Inputs!$B$39="pvp",MIN((Skills!Y11*(1+Inputs!$B$34/100)),15)/15,MIN(1,(Skills!Y11*(1+Inputs!$B$34/100))/(1/Q3410)))))/100)*(1+((C3415=TRUE)*F3415*IF(AND(Inputs!$B$39&lt;&gt;"pvp",Inputs!$B$44&gt;0),(((R3415-1)*MIN((Skills!Y16*(1+Inputs!$B$34/100)),(1/Q3415))+MIN((Skills!Y16*(1+Inputs!$B$34/100)),MAX(0,Inputs!$B$44-((R3415-1)*(1/Q3415)))))/Inputs!$B$44),IF(Inputs!$B$39="pvp",MIN((Skills!Y16*(1+Inputs!$B$34/100)),15)/15,MIN(1,(Skills!Y16*(1+Inputs!$B$34/100))/(1/Q3415)))))/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3435*I3412)</f>
        <v/>
      </c>
      <c r="L3412">
        <f>K3412*(MIN(Inputs!$B$22+((C3424=TRUE)*(F3424-Calc!F25)),(Inputs!$B$23+((C3429=TRUE)*(F3429-Calc!F30))+IF(ArtifactsInput!$M$15,CHOOSE(ArtifactsInput!$N$15+1,25,30,35,40,45,50)/100*(Inputs!$B$11-Inputs!$B$11),0)))/100+(Inputs!$B$23+((C3429=TRUE)*(F3429-Calc!F30))+IF(ArtifactsInput!$M$15,CHOOSE(ArtifactsInput!$N$15+1,25,30,35,40,45,50)/100*(Inputs!$B$11-Inputs!$B$11),0))/100)/2</f>
        <v/>
      </c>
      <c r="M3412">
        <f>L3412*(1+(Inputs!$B$10+((C3426=TRUE)*(F3426-Calc!F27))+B3440+(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3412">
        <f>L3412*(1-MIN((Inputs!$B$9+((C3425=TRUE)*(F3425-Calc!F26))+B3433+(ArtifactsInput!$M$24-ArtifactsInput!$M$24)*CHOOSE(ArtifactsInput!$N$24+1,10,12,14,16,18,20)+(IF(AND(Inputs!$B$39&lt;&gt;"pvp",Inputs!$B$44=0),1,IF(IF(Inputs!$B$39="pvp",15,Inputs!$B$44)-(B3444)&lt;=0,1,MAX(0,IF(Inputs!$B$39="pvp",15,Inputs!$B$44)-MAX(5,B3444))/(IF(Inputs!$B$39="pvp",15,Inputs!$B$44)-(B3444))))*IF(AND(ArtifactsInput!$M$42,((Inputs!$B$9+((C3425=TRUE)*(F3425-Calc!F26))+B3433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3412*(MIN((Inputs!$B$9+((C3425=TRUE)*(F3425-Calc!F26))+B3433+(ArtifactsInput!$M$24-ArtifactsInput!$M$24)*CHOOSE(ArtifactsInput!$N$24+1,10,12,14,16,18,20)+(IF(AND(Inputs!$B$39&lt;&gt;"pvp",Inputs!$B$44=0),1,IF(IF(Inputs!$B$39="pvp",15,Inputs!$B$44)-(B3444)&lt;=0,1,MAX(0,IF(Inputs!$B$39="pvp",15,Inputs!$B$44)-MAX(5,B3444))/(IF(Inputs!$B$39="pvp",15,Inputs!$B$44)-(B3444))))*IF(AND(ArtifactsInput!$M$42,((Inputs!$B$9+((C3425=TRUE)*(F3425-Calc!F26))+B3433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3412">
        <f>(1-Summary!$B$11)*T3412+Summary!$B$11*V3412</f>
        <v/>
      </c>
      <c r="P3412">
        <f>IF(B3445=0,0,O3412/B3445)</f>
        <v/>
      </c>
      <c r="Q3412">
        <f>IFERROR(1/IF(Inputs!$B$39="pvp",15,MAX(0.1,Skills!D13-IF(TRUE=TRUE,1.5,0))),0)</f>
        <v/>
      </c>
      <c r="R3412">
        <f>IF(AND(Inputs!$B$39&lt;&gt;"pvp",Inputs!$B$44&gt;0),IF(MAX(0,Inputs!$B$44-B3444)&lt;=0,0,(INT(MAX(0,Inputs!$B$44-B3444)/IF(Inputs!$B$39="pvp",15,MAX(0.1,Skills!D13-IF(TRUE=TRUE,1.5,0))))+1)),0)</f>
        <v/>
      </c>
      <c r="S3412">
        <f>IFERROR(O3412/N3412,0)</f>
        <v/>
      </c>
      <c r="T3412">
        <f>IF(C3412,(H3412*N3412*IF(AND(Inputs!$B$39&lt;&gt;"pvp",Inputs!$B$44&gt;0),((Skills!G13*((R3412-1)*IF(Skills!H13&gt;0,Skills!I13/Skills!H13,1)+IF(Skills!H13&gt;0,MIN(Skills!I13,MAX(0,MAX(0,Inputs!$B$44-B3444)-((R3412-1)*IF(Inputs!$B$39="pvp",15,MAX(0.1,Skills!D13-IF(TRUE=TRUE,1.5,0))))))/Skills!H13,1)))/Inputs!$B$44),G3412*Q3412))*IF(Inputs!$B$39="pvp",1,1+(Inputs!$B$20+0+Skills!P13+B3434+(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Hunt"),CHOOSE(ArtifactsInput!$N$35+1,15,18,21,24,27,30)*(1-EXP(-(0.2*B3437)*5)),0)+IF(AND(ArtifactsInput!$M$22,Inputs!$B$4&lt;&gt;"Chapter Hunt"),CHOOSE(ArtifactsInput!$N$22+1,10,12,14,16,18,20)*((0*(((0.15*B3437*5))^0/1)+1*(((0.15*B3437*5))^1/1)+2*(((0.15*B3437*5))^2/2)+3*(((0.15*B3437*5))^3/6)+4*(((0.15*B3437*5))^4/24)+5*(((0.15*B3437*5))^5/120))/((((0.15*B3437*5))^0/1)+(((0.15*B3437*5))^1/1)+(((0.15*B3437*5))^2/2)+(((0.15*B3437*5))^3/6)+(((0.15*B3437*5))^4/24)+(((0.15*B3437*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3412*(1-MIN(100,(Inputs!$B$9+((C3425=TRUE)*(F3425-Calc!F26))+B3433+(ArtifactsInput!$M$24-ArtifactsInput!$M$24)*CHOOSE(ArtifactsInput!$N$24+1,10,12,14,16,18,20)+(IF(AND(Inputs!$B$39&lt;&gt;"pvp",Inputs!$B$44=0),1,IF(IF(Inputs!$B$39="pvp",15,Inputs!$B$44)-(B3444)&lt;=0,1,MAX(0,IF(Inputs!$B$39="pvp",15,Inputs!$B$44)-MAX(5,B3444))/(IF(Inputs!$B$39="pvp",15,Inputs!$B$44)-(B3444))))*IF(AND(ArtifactsInput!$M$42,((Inputs!$B$9+((C3425=TRUE)*(F3425-Calc!F26))+B3433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3412*(MIN(100,(Inputs!$B$9+((C3425=TRUE)*(F3425-Calc!F26))+B3433+(ArtifactsInput!$M$24-ArtifactsInput!$M$24)*CHOOSE(ArtifactsInput!$N$24+1,10,12,14,16,18,20)+(IF(AND(Inputs!$B$39&lt;&gt;"pvp",Inputs!$B$44=0),1,IF(IF(Inputs!$B$39="pvp",15,Inputs!$B$44)-(B3444)&lt;=0,1,MAX(0,IF(Inputs!$B$39="pvp",15,Inputs!$B$44)-MAX(5,B3444))/(IF(Inputs!$B$39="pvp",15,Inputs!$B$44)-(B3444))))*IF(AND(ArtifactsInput!$M$42,((Inputs!$B$9+((C3425=TRUE)*(F3425-Calc!F26))+B3433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3412*(1-MIN(100,(Inputs!$B$9+((C3425=TRUE)*(F3425-Calc!F26))+B3433+(ArtifactsInput!$M$24-ArtifactsInput!$M$24)*CHOOSE(ArtifactsInput!$N$24+1,10,12,14,16,18,20)+(IF(AND(Inputs!$B$39&lt;&gt;"pvp",Inputs!$B$44=0),1,IF(IF(Inputs!$B$39="pvp",15,Inputs!$B$44)-(B3444)&lt;=0,1,MAX(0,IF(Inputs!$B$39="pvp",15,Inputs!$B$44)-MAX(5,B3444))/(IF(Inputs!$B$39="pvp",15,Inputs!$B$44)-(B3444))))*IF(AND(ArtifactsInput!$M$42,((Inputs!$B$9+((C3425=TRUE)*(F3425-Calc!F26))+B3433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3412*(MIN(100,(Inputs!$B$9+((C3425=TRUE)*(F3425-Calc!F26))+B3433+(ArtifactsInput!$M$24-ArtifactsInput!$M$24)*CHOOSE(ArtifactsInput!$N$24+1,10,12,14,16,18,20)+(IF(AND(Inputs!$B$39&lt;&gt;"pvp",Inputs!$B$44=0),1,IF(IF(Inputs!$B$39="pvp",15,Inputs!$B$44)-(B3444)&lt;=0,1,MAX(0,IF(Inputs!$B$39="pvp",15,Inputs!$B$44)-MAX(5,B3444))/(IF(Inputs!$B$39="pvp",15,Inputs!$B$44)-(B3444))))*IF(AND(ArtifactsInput!$M$42,((Inputs!$B$9+((C3425=TRUE)*(F3425-Calc!F26))+B3433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3412">
        <f>IF(C3412,(H3412*N3412*IF(AND(Inputs!$B$39&lt;&gt;"pvp",Inputs!$B$44&gt;0),((Skills!G13*((R3412-1)*IF(Skills!H13&gt;0,Skills!I13/Skills!H13,1)+IF(Skills!H13&gt;0,MIN(Skills!I13,MAX(0,MAX(0,Inputs!$B$44-B3444)-((R3412-1)*IF(Inputs!$B$39="pvp",15,MAX(0.1,Skills!D13-IF(TRUE=TRUE,1.5,0))))))/Skills!H13,1)))/Inputs!$B$44),G3412*Q3412))*IF(Inputs!$B$39="pvp",1,(1+(Inputs!$B$21+Skills!Q13+B3434+(IF(ArtifactsInput!$M$33,CHOOSE(ArtifactsInput!$N$33+1,30,36,42,48,54,60),0))+(IF(AND(ArtifactsInput!$M$35,Inputs!$B$4&lt;&gt;"Chapter Hunt"),CHOOSE(ArtifactsInput!$N$35+1,15,18,21,24,27,30)*(1-EXP(-(0.2*B3437)*5)),0)+IF(AND(ArtifactsInput!$M$22,Inputs!$B$4&lt;&gt;"Chapter Hunt"),CHOOSE(ArtifactsInput!$N$22+1,10,12,14,16,18,20)*((0*(((0.15*B3437*5))^0/1)+1*(((0.15*B3437*5))^1/1)+2*(((0.15*B3437*5))^2/2)+3*(((0.15*B3437*5))^3/6)+4*(((0.15*B3437*5))^4/24)+5*(((0.15*B3437*5))^5/120))/((((0.15*B3437*5))^0/1)+(((0.15*B3437*5))^1/1)+(((0.15*B3437*5))^2/2)+(((0.15*B3437*5))^3/6)+(((0.15*B3437*5))^4/24)+(((0.15*B3437*5))^5/120))),0)))/100)*(MIN(Skills!W13,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3413">
      <c r="A3413">
        <f>Skills!A14</f>
        <v/>
      </c>
      <c r="B3413">
        <f>Skills!B14</f>
        <v/>
      </c>
      <c r="C3413">
        <f>Inputs!$B$3&gt;=105</f>
        <v/>
      </c>
      <c r="D3413">
        <f>IF(Skills!C14=1,60+Inputs!$B$25+Inputs!$B$29,IF(Skills!C14=2,90+Inputs!$B$26+Inputs!$B$29,IF(Skills!C14=3,120+Inputs!$B$27+Inputs!$B$29,MAX(0,(Inputs!$B$3-100)*3)+Inputs!$B$28+Inputs!$B$29)))</f>
        <v/>
      </c>
      <c r="E3413">
        <f>INDEX(FactorTable!$B$2:$Y$301, MATCH(ROUND(MIN(300,MAX(1,D3413)),0), FactorTable!$A$2:$A$301,0), Skills!M14+1)</f>
        <v/>
      </c>
      <c r="F3413">
        <f>IF(Skills!N14=TRUE,(Skills!L14/10)*(E3413/1000),Skills!L14/10)+Skills!O14</f>
        <v/>
      </c>
      <c r="G3413">
        <f>Skills!G14*IF(Skills!H14&gt;0,IF(Inputs!$B$39="pvp",MIN(Skills!I14,15),Skills!I14)/Skills!H14,1)</f>
        <v/>
      </c>
      <c r="H3413">
        <f>1-(1-Skills!J14/100)^Skills!K14</f>
        <v/>
      </c>
      <c r="I3413" t="inlineStr">
        <is>
          <t>1</t>
        </is>
      </c>
      <c r="J3413">
        <f>((Inputs!$B$6*(1+Inputs!$B$7/100))+(((Inputs!$B$12*(1+Inputs!$B$13/100))-(Inputs!$B$12*(1+Inputs!$B$13/100)))+0.25*(Inputs!$B$14-Inputs!$B$14))*(1+Inputs!$B$7/100))*(F3413/100)</f>
        <v/>
      </c>
      <c r="K3413">
        <f>J3413*(1+((Inputs!$B$12*(1+Inputs!$B$13/100))*0.01+Inputs!$B$14*0.0025)/100)*(1+Inputs!$B$15/100)*(1+Inputs!$B$16/100)*(5000/(6000+Inputs!$B$43*(1-(100*(1-(1-Inputs!$B$19/100)*(1-CHOOSE(ArtifactsInput!$N$40+1,5,6,7,8,9,10)/100)^(ArtifactsInput!$M$40-ArtifactsInput!$M$40)))/100)))*(1+(Inputs!$B$24+((C3430=TRUE)*(F3430-Calc!F31))+((C3417=TRUE)*(F3417-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14="CRUEL_STAB",Inputs!$B$17+((C3427=TRUE)*(F3427-Calc!F28))+((IF(AND(Inputs!$B$39&lt;&gt;"pvp",Inputs!$B$44=0),1,IF(IF(Inputs!$B$39="pvp",15,Inputs!$B$44)-(B3444)&lt;=0,1,MAX(0,IF(Inputs!$B$39="pvp",15,Inputs!$B$44)-MAX(5,B3444))/(IF(Inputs!$B$39="pvp",15,Inputs!$B$44)-(B3444))))*(IF(AND(ArtifactsInput!$M$42,((Inputs!$B$9+((C3425=TRUE)*(F3425-Calc!F26))+B3433+(ArtifactsInput!$M$24-ArtifactsInput!$M$24)*CHOOSE(ArtifactsInput!$N$24+1,10,12,14,16,18,20)+IF(ArtifactsInput!$M$10,CHOOSE(ArtifactsInput!$N$10+1,15,18,21,24,27,30)*(IF(Inputs!$B$39="pvp",MIN(15,15)/15,IF(AND(Inputs!$B$39&lt;&gt;"pvp",Inputs!$B$44&gt;0),MIN(15,Inputs!$B$44)/(Inputs!$B$44),0))),0)))&gt;=100),MIN(100,((Inputs!$B$9+((C3425=TRUE)*(F3425-Calc!F26))+B3433+(ArtifactsInput!$M$24-ArtifactsInput!$M$24)*CHOOSE(ArtifactsInput!$N$24+1,10,12,14,16,18,20)+IF(ArtifactsInput!$M$10,CHOOSE(ArtifactsInput!$N$10+1,15,18,21,24,27,30)*(IF(Inputs!$B$39="pvp",MIN(15,15)/15,IF(AND(Inputs!$B$39&lt;&gt;"pvp",Inputs!$B$44&gt;0),MIN(15,Inputs!$B$44)/(Inputs!$B$44),0))),0)))-100),0))*CHOOSE(ArtifactsInput!$N$42+1,0.6,0.72,0.84,0.96,1.08,1.2))),Inputs!$B$18+((C3428=TRUE)*(F3428-Calc!F29))+(IF(AND(Inputs!$B$39&lt;&gt;"pvp",Inputs!$B$44=0),1,IF(IF(Inputs!$B$39="pvp",15,Inputs!$B$44)-(B3444)&lt;=0,1,MAX(0,IF(Inputs!$B$39="pvp",15,Inputs!$B$44)-MAX(5,B3444))/(IF(Inputs!$B$39="pvp",15,Inputs!$B$44)-(B3444))))*IF(AND(ArtifactsInput!$M$42,((Inputs!$B$9+((C3425=TRUE)*(F3425-Calc!F26))+B3433+(ArtifactsInput!$M$24-ArtifactsInput!$M$24)*CHOOSE(ArtifactsInput!$N$24+1,10,12,14,16,18,20)+IF(ArtifactsInput!$M$10,CHOOSE(ArtifactsInput!$N$10+1,15,18,21,24,27,30)*(IF(Inputs!$B$39="pvp",MIN(15,15)/15,IF(AND(Inputs!$B$39&lt;&gt;"pvp",Inputs!$B$44&gt;0),MIN(15,Inputs!$B$44)/(Inputs!$B$44),0))),0)))&gt;=100),CHOOSE(ArtifactsInput!$N$42+1,40,48,56,64,72,80),0))))/100)*(((1+(((C3421=TRUE)*F3421*IF(AND(Inputs!$B$39&lt;&gt;"pvp",Inputs!$B$44&gt;0),(((R3421-1)*MIN((Skills!Y22*(1+Inputs!$B$34/100)),(1/Q3421))+MIN((Skills!Y22*(1+Inputs!$B$34/100)),MAX(0,Inputs!$B$44-((R3421-1)*(1/Q3421)))))/Inputs!$B$44),IF(Inputs!$B$39="pvp",MIN((Skills!Y22*(1+Inputs!$B$34/100)),15)/15,MIN(1,(Skills!Y22*(1+Inputs!$B$34/100))/(1/Q3421)))))+((C3402=TRUE)*F3402*3)+((C3404=TRUE)*F3404*(1-EXP(-0.75*B3437*5)))+((C3423=TRUE)*(F3423-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3410=TRUE)*F3410*IF(AND(Inputs!$B$39&lt;&gt;"pvp",Inputs!$B$44&gt;0),(((R3410-1)*MIN((Skills!Y11*(1+Inputs!$B$34/100)),(1/Q3410))+MIN((Skills!Y11*(1+Inputs!$B$34/100)),MAX(0,Inputs!$B$44-((R3410-1)*(1/Q3410)))))/Inputs!$B$44),IF(Inputs!$B$39="pvp",MIN((Skills!Y11*(1+Inputs!$B$34/100)),15)/15,MIN(1,(Skills!Y11*(1+Inputs!$B$34/100))/(1/Q3410)))))/100)*(1+((C3415=TRUE)*F3415*IF(AND(Inputs!$B$39&lt;&gt;"pvp",Inputs!$B$44&gt;0),(((R3415-1)*MIN((Skills!Y16*(1+Inputs!$B$34/100)),(1/Q3415))+MIN((Skills!Y16*(1+Inputs!$B$34/100)),MAX(0,Inputs!$B$44-((R3415-1)*(1/Q3415)))))/Inputs!$B$44),IF(Inputs!$B$39="pvp",MIN((Skills!Y16*(1+Inputs!$B$34/100)),15)/15,MIN(1,(Skills!Y16*(1+Inputs!$B$34/100))/(1/Q3415)))))/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3435*I3413)</f>
        <v/>
      </c>
      <c r="L3413">
        <f>K3413*(MIN(Inputs!$B$22+((C3424=TRUE)*(F3424-Calc!F25)),(Inputs!$B$23+((C3429=TRUE)*(F3429-Calc!F30))+IF(ArtifactsInput!$M$15,CHOOSE(ArtifactsInput!$N$15+1,25,30,35,40,45,50)/100*(Inputs!$B$11-Inputs!$B$11),0)))/100+(Inputs!$B$23+((C3429=TRUE)*(F3429-Calc!F30))+IF(ArtifactsInput!$M$15,CHOOSE(ArtifactsInput!$N$15+1,25,30,35,40,45,50)/100*(Inputs!$B$11-Inputs!$B$11),0))/100)/2</f>
        <v/>
      </c>
      <c r="M3413">
        <f>L3413*(1+(Inputs!$B$10+((C3426=TRUE)*(F3426-Calc!F27))+B3440+(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3413">
        <f>L3413*(1-MIN((Inputs!$B$9+((C3425=TRUE)*(F3425-Calc!F26))+B3433+(ArtifactsInput!$M$24-ArtifactsInput!$M$24)*CHOOSE(ArtifactsInput!$N$24+1,10,12,14,16,18,20)+(IF(AND(Inputs!$B$39&lt;&gt;"pvp",Inputs!$B$44=0),1,IF(IF(Inputs!$B$39="pvp",15,Inputs!$B$44)-(B3444)&lt;=0,1,MAX(0,IF(Inputs!$B$39="pvp",15,Inputs!$B$44)-MAX(5,B3444))/(IF(Inputs!$B$39="pvp",15,Inputs!$B$44)-(B3444))))*IF(AND(ArtifactsInput!$M$42,((Inputs!$B$9+((C3425=TRUE)*(F3425-Calc!F26))+B3433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3413*(MIN((Inputs!$B$9+((C3425=TRUE)*(F3425-Calc!F26))+B3433+(ArtifactsInput!$M$24-ArtifactsInput!$M$24)*CHOOSE(ArtifactsInput!$N$24+1,10,12,14,16,18,20)+(IF(AND(Inputs!$B$39&lt;&gt;"pvp",Inputs!$B$44=0),1,IF(IF(Inputs!$B$39="pvp",15,Inputs!$B$44)-(B3444)&lt;=0,1,MAX(0,IF(Inputs!$B$39="pvp",15,Inputs!$B$44)-MAX(5,B3444))/(IF(Inputs!$B$39="pvp",15,Inputs!$B$44)-(B3444))))*IF(AND(ArtifactsInput!$M$42,((Inputs!$B$9+((C3425=TRUE)*(F3425-Calc!F26))+B3433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3413">
        <f>(1-Summary!$B$11)*T3413+Summary!$B$11*V3413</f>
        <v/>
      </c>
      <c r="P3413">
        <f>IF(B3445=0,0,O3413/B3445)</f>
        <v/>
      </c>
      <c r="Q3413">
        <f>IFERROR(1/IF(Inputs!$B$39="pvp",15,MAX(0.1,Skills!D14-IF(TRUE=TRUE,1.5,0))),0)</f>
        <v/>
      </c>
      <c r="R3413">
        <f>IF(AND(Inputs!$B$39&lt;&gt;"pvp",Inputs!$B$44&gt;0),IF(MAX(0,Inputs!$B$44-B3444)&lt;=0,0,(INT(MAX(0,Inputs!$B$44-B3444)/IF(Inputs!$B$39="pvp",15,MAX(0.1,Skills!D14-IF(TRUE=TRUE,1.5,0))))+1)),0)</f>
        <v/>
      </c>
      <c r="S3413">
        <f>IFERROR(O3413/N3413,0)</f>
        <v/>
      </c>
      <c r="T3413">
        <f>IF(C3413,(H3413*N3413*IF(AND(Inputs!$B$39&lt;&gt;"pvp",Inputs!$B$44&gt;0),((Skills!G14*((R3413-1)*IF(Skills!H14&gt;0,Skills!I14/Skills!H14,1)+IF(Skills!H14&gt;0,MIN(Skills!I14,MAX(0,MAX(0,Inputs!$B$44-B3444)-((R3413-1)*IF(Inputs!$B$39="pvp",15,MAX(0.1,Skills!D14-IF(TRUE=TRUE,1.5,0))))))/Skills!H14,1)))/Inputs!$B$44),G3413*Q3413))*IF(Inputs!$B$39="pvp",1,1+(Inputs!$B$20+0+Skills!P14+B3434+(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Hunt"),CHOOSE(ArtifactsInput!$N$35+1,15,18,21,24,27,30)*(1-EXP(-(0.2*B3437)*5)),0)+IF(AND(ArtifactsInput!$M$22,Inputs!$B$4&lt;&gt;"Chapter Hunt"),CHOOSE(ArtifactsInput!$N$22+1,10,12,14,16,18,20)*((0*(((0.15*B3437*5))^0/1)+1*(((0.15*B3437*5))^1/1)+2*(((0.15*B3437*5))^2/2)+3*(((0.15*B3437*5))^3/6)+4*(((0.15*B3437*5))^4/24)+5*(((0.15*B3437*5))^5/120))/((((0.15*B3437*5))^0/1)+(((0.15*B3437*5))^1/1)+(((0.15*B3437*5))^2/2)+(((0.15*B3437*5))^3/6)+(((0.15*B3437*5))^4/24)+(((0.15*B3437*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3413*(1-MIN(100,(Inputs!$B$9+((C3425=TRUE)*(F3425-Calc!F26))+B3433+(ArtifactsInput!$M$24-ArtifactsInput!$M$24)*CHOOSE(ArtifactsInput!$N$24+1,10,12,14,16,18,20)+(IF(AND(Inputs!$B$39&lt;&gt;"pvp",Inputs!$B$44=0),1,IF(IF(Inputs!$B$39="pvp",15,Inputs!$B$44)-(B3444)&lt;=0,1,MAX(0,IF(Inputs!$B$39="pvp",15,Inputs!$B$44)-MAX(5,B3444))/(IF(Inputs!$B$39="pvp",15,Inputs!$B$44)-(B3444))))*IF(AND(ArtifactsInput!$M$42,((Inputs!$B$9+((C3425=TRUE)*(F3425-Calc!F26))+B3433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3413*(MIN(100,(Inputs!$B$9+((C3425=TRUE)*(F3425-Calc!F26))+B3433+(ArtifactsInput!$M$24-ArtifactsInput!$M$24)*CHOOSE(ArtifactsInput!$N$24+1,10,12,14,16,18,20)+(IF(AND(Inputs!$B$39&lt;&gt;"pvp",Inputs!$B$44=0),1,IF(IF(Inputs!$B$39="pvp",15,Inputs!$B$44)-(B3444)&lt;=0,1,MAX(0,IF(Inputs!$B$39="pvp",15,Inputs!$B$44)-MAX(5,B3444))/(IF(Inputs!$B$39="pvp",15,Inputs!$B$44)-(B3444))))*IF(AND(ArtifactsInput!$M$42,((Inputs!$B$9+((C3425=TRUE)*(F3425-Calc!F26))+B3433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3413*(1-MIN(100,(Inputs!$B$9+((C3425=TRUE)*(F3425-Calc!F26))+B3433+(ArtifactsInput!$M$24-ArtifactsInput!$M$24)*CHOOSE(ArtifactsInput!$N$24+1,10,12,14,16,18,20)+(IF(AND(Inputs!$B$39&lt;&gt;"pvp",Inputs!$B$44=0),1,IF(IF(Inputs!$B$39="pvp",15,Inputs!$B$44)-(B3444)&lt;=0,1,MAX(0,IF(Inputs!$B$39="pvp",15,Inputs!$B$44)-MAX(5,B3444))/(IF(Inputs!$B$39="pvp",15,Inputs!$B$44)-(B3444))))*IF(AND(ArtifactsInput!$M$42,((Inputs!$B$9+((C3425=TRUE)*(F3425-Calc!F26))+B3433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3413*(MIN(100,(Inputs!$B$9+((C3425=TRUE)*(F3425-Calc!F26))+B3433+(ArtifactsInput!$M$24-ArtifactsInput!$M$24)*CHOOSE(ArtifactsInput!$N$24+1,10,12,14,16,18,20)+(IF(AND(Inputs!$B$39&lt;&gt;"pvp",Inputs!$B$44=0),1,IF(IF(Inputs!$B$39="pvp",15,Inputs!$B$44)-(B3444)&lt;=0,1,MAX(0,IF(Inputs!$B$39="pvp",15,Inputs!$B$44)-MAX(5,B3444))/(IF(Inputs!$B$39="pvp",15,Inputs!$B$44)-(B3444))))*IF(AND(ArtifactsInput!$M$42,((Inputs!$B$9+((C3425=TRUE)*(F3425-Calc!F26))+B3433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3413">
        <f>IF(C3413,(H3413*N3413*IF(AND(Inputs!$B$39&lt;&gt;"pvp",Inputs!$B$44&gt;0),((Skills!G14*((R3413-1)*IF(Skills!H14&gt;0,Skills!I14/Skills!H14,1)+IF(Skills!H14&gt;0,MIN(Skills!I14,MAX(0,MAX(0,Inputs!$B$44-B3444)-((R3413-1)*IF(Inputs!$B$39="pvp",15,MAX(0.1,Skills!D14-IF(TRUE=TRUE,1.5,0))))))/Skills!H14,1)))/Inputs!$B$44),G3413*Q3413))*IF(Inputs!$B$39="pvp",1,(1+(Inputs!$B$21+Skills!Q14+B3434+(IF(ArtifactsInput!$M$33,CHOOSE(ArtifactsInput!$N$33+1,30,36,42,48,54,60),0))+(IF(AND(ArtifactsInput!$M$35,Inputs!$B$4&lt;&gt;"Chapter Hunt"),CHOOSE(ArtifactsInput!$N$35+1,15,18,21,24,27,30)*(1-EXP(-(0.2*B3437)*5)),0)+IF(AND(ArtifactsInput!$M$22,Inputs!$B$4&lt;&gt;"Chapter Hunt"),CHOOSE(ArtifactsInput!$N$22+1,10,12,14,16,18,20)*((0*(((0.15*B3437*5))^0/1)+1*(((0.15*B3437*5))^1/1)+2*(((0.15*B3437*5))^2/2)+3*(((0.15*B3437*5))^3/6)+4*(((0.15*B3437*5))^4/24)+5*(((0.15*B3437*5))^5/120))/((((0.15*B3437*5))^0/1)+(((0.15*B3437*5))^1/1)+(((0.15*B3437*5))^2/2)+(((0.15*B3437*5))^3/6)+(((0.15*B3437*5))^4/24)+(((0.15*B3437*5))^5/120))),0)))/100)*(MIN(Skills!W14,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3414">
      <c r="A3414">
        <f>Skills!A15</f>
        <v/>
      </c>
      <c r="B3414">
        <f>Skills!B15</f>
        <v/>
      </c>
      <c r="C3414">
        <f>Inputs!$B$3&gt;=107</f>
        <v/>
      </c>
      <c r="D3414">
        <f>IF(Skills!C15=1,60+Inputs!$B$25+Inputs!$B$29,IF(Skills!C15=2,90+Inputs!$B$26+Inputs!$B$29,IF(Skills!C15=3,120+Inputs!$B$27+Inputs!$B$29,MAX(0,(Inputs!$B$3-100)*3)+Inputs!$B$28+Inputs!$B$29)))</f>
        <v/>
      </c>
      <c r="E3414">
        <f>INDEX(FactorTable!$B$2:$Y$301, MATCH(ROUND(MIN(300,MAX(1,D3414)),0), FactorTable!$A$2:$A$301,0), Skills!M15+1)</f>
        <v/>
      </c>
      <c r="F3414">
        <f>IF(Skills!N15=TRUE,(Skills!L15/10)*(E3414/1000),Skills!L15/10)+Skills!O15</f>
        <v/>
      </c>
      <c r="G3414">
        <f>Skills!G15*IF(Skills!H15&gt;0,IF(Inputs!$B$39="pvp",MIN(Skills!I15,15),Skills!I15)/Skills!H15,1)</f>
        <v/>
      </c>
      <c r="H3414">
        <f>1-(1-Skills!J15/100)^Skills!K15</f>
        <v/>
      </c>
      <c r="I3414" t="inlineStr">
        <is>
          <t>1</t>
        </is>
      </c>
      <c r="J3414">
        <f>((Inputs!$B$6*(1+Inputs!$B$7/100))+(((Inputs!$B$12*(1+Inputs!$B$13/100))-(Inputs!$B$12*(1+Inputs!$B$13/100)))+0.25*(Inputs!$B$14-Inputs!$B$14))*(1+Inputs!$B$7/100))*(F3414/100)</f>
        <v/>
      </c>
      <c r="K3414">
        <f>J3414*(1+((Inputs!$B$12*(1+Inputs!$B$13/100))*0.01+Inputs!$B$14*0.0025)/100)*(1+Inputs!$B$15/100)*(1+Inputs!$B$16/100)*(5000/(6000+Inputs!$B$43*(1-(100*(1-(1-Inputs!$B$19/100)*(1-CHOOSE(ArtifactsInput!$N$40+1,5,6,7,8,9,10)/100)^(ArtifactsInput!$M$40-ArtifactsInput!$M$40)))/100)))*(1+(Inputs!$B$24+((C3430=TRUE)*(F3430-Calc!F31))+((C3417=TRUE)*(F3417-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15="CRUEL_STAB",Inputs!$B$17+((C3427=TRUE)*(F3427-Calc!F28))+((IF(AND(Inputs!$B$39&lt;&gt;"pvp",Inputs!$B$44=0),1,IF(IF(Inputs!$B$39="pvp",15,Inputs!$B$44)-(B3444)&lt;=0,1,MAX(0,IF(Inputs!$B$39="pvp",15,Inputs!$B$44)-MAX(5,B3444))/(IF(Inputs!$B$39="pvp",15,Inputs!$B$44)-(B3444))))*(IF(AND(ArtifactsInput!$M$42,((Inputs!$B$9+((C3425=TRUE)*(F3425-Calc!F26))+B3433+(ArtifactsInput!$M$24-ArtifactsInput!$M$24)*CHOOSE(ArtifactsInput!$N$24+1,10,12,14,16,18,20)+IF(ArtifactsInput!$M$10,CHOOSE(ArtifactsInput!$N$10+1,15,18,21,24,27,30)*(IF(Inputs!$B$39="pvp",MIN(15,15)/15,IF(AND(Inputs!$B$39&lt;&gt;"pvp",Inputs!$B$44&gt;0),MIN(15,Inputs!$B$44)/(Inputs!$B$44),0))),0)))&gt;=100),MIN(100,((Inputs!$B$9+((C3425=TRUE)*(F3425-Calc!F26))+B3433+(ArtifactsInput!$M$24-ArtifactsInput!$M$24)*CHOOSE(ArtifactsInput!$N$24+1,10,12,14,16,18,20)+IF(ArtifactsInput!$M$10,CHOOSE(ArtifactsInput!$N$10+1,15,18,21,24,27,30)*(IF(Inputs!$B$39="pvp",MIN(15,15)/15,IF(AND(Inputs!$B$39&lt;&gt;"pvp",Inputs!$B$44&gt;0),MIN(15,Inputs!$B$44)/(Inputs!$B$44),0))),0)))-100),0))*CHOOSE(ArtifactsInput!$N$42+1,0.6,0.72,0.84,0.96,1.08,1.2))),Inputs!$B$18+((C3428=TRUE)*(F3428-Calc!F29))+(IF(AND(Inputs!$B$39&lt;&gt;"pvp",Inputs!$B$44=0),1,IF(IF(Inputs!$B$39="pvp",15,Inputs!$B$44)-(B3444)&lt;=0,1,MAX(0,IF(Inputs!$B$39="pvp",15,Inputs!$B$44)-MAX(5,B3444))/(IF(Inputs!$B$39="pvp",15,Inputs!$B$44)-(B3444))))*IF(AND(ArtifactsInput!$M$42,((Inputs!$B$9+((C3425=TRUE)*(F3425-Calc!F26))+B3433+(ArtifactsInput!$M$24-ArtifactsInput!$M$24)*CHOOSE(ArtifactsInput!$N$24+1,10,12,14,16,18,20)+IF(ArtifactsInput!$M$10,CHOOSE(ArtifactsInput!$N$10+1,15,18,21,24,27,30)*(IF(Inputs!$B$39="pvp",MIN(15,15)/15,IF(AND(Inputs!$B$39&lt;&gt;"pvp",Inputs!$B$44&gt;0),MIN(15,Inputs!$B$44)/(Inputs!$B$44),0))),0)))&gt;=100),CHOOSE(ArtifactsInput!$N$42+1,40,48,56,64,72,80),0))))/100)*(((1+(((C3421=TRUE)*F3421*IF(AND(Inputs!$B$39&lt;&gt;"pvp",Inputs!$B$44&gt;0),(((R3421-1)*MIN((Skills!Y22*(1+Inputs!$B$34/100)),(1/Q3421))+MIN((Skills!Y22*(1+Inputs!$B$34/100)),MAX(0,Inputs!$B$44-((R3421-1)*(1/Q3421)))))/Inputs!$B$44),IF(Inputs!$B$39="pvp",MIN((Skills!Y22*(1+Inputs!$B$34/100)),15)/15,MIN(1,(Skills!Y22*(1+Inputs!$B$34/100))/(1/Q3421)))))+((C3402=TRUE)*F3402*3)+((C3404=TRUE)*F3404*(1-EXP(-0.75*B3437*5)))+((C3423=TRUE)*(F3423-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3410=TRUE)*F3410*IF(AND(Inputs!$B$39&lt;&gt;"pvp",Inputs!$B$44&gt;0),(((R3410-1)*MIN((Skills!Y11*(1+Inputs!$B$34/100)),(1/Q3410))+MIN((Skills!Y11*(1+Inputs!$B$34/100)),MAX(0,Inputs!$B$44-((R3410-1)*(1/Q3410)))))/Inputs!$B$44),IF(Inputs!$B$39="pvp",MIN((Skills!Y11*(1+Inputs!$B$34/100)),15)/15,MIN(1,(Skills!Y11*(1+Inputs!$B$34/100))/(1/Q3410)))))/100)*(1+((C3415=TRUE)*F3415*IF(AND(Inputs!$B$39&lt;&gt;"pvp",Inputs!$B$44&gt;0),(((R3415-1)*MIN((Skills!Y16*(1+Inputs!$B$34/100)),(1/Q3415))+MIN((Skills!Y16*(1+Inputs!$B$34/100)),MAX(0,Inputs!$B$44-((R3415-1)*(1/Q3415)))))/Inputs!$B$44),IF(Inputs!$B$39="pvp",MIN((Skills!Y16*(1+Inputs!$B$34/100)),15)/15,MIN(1,(Skills!Y16*(1+Inputs!$B$34/100))/(1/Q3415)))))/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3435*I3414)</f>
        <v/>
      </c>
      <c r="L3414">
        <f>K3414*(MIN(Inputs!$B$22+((C3424=TRUE)*(F3424-Calc!F25)),(Inputs!$B$23+((C3429=TRUE)*(F3429-Calc!F30))+IF(ArtifactsInput!$M$15,CHOOSE(ArtifactsInput!$N$15+1,25,30,35,40,45,50)/100*(Inputs!$B$11-Inputs!$B$11),0)))/100+(Inputs!$B$23+((C3429=TRUE)*(F3429-Calc!F30))+IF(ArtifactsInput!$M$15,CHOOSE(ArtifactsInput!$N$15+1,25,30,35,40,45,50)/100*(Inputs!$B$11-Inputs!$B$11),0))/100)/2</f>
        <v/>
      </c>
      <c r="M3414">
        <f>L3414*(1+(Inputs!$B$10+((C3426=TRUE)*(F3426-Calc!F27))+B3440+(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3414">
        <f>L3414*(1-MIN((Inputs!$B$9+((C3425=TRUE)*(F3425-Calc!F26))+B3433+(ArtifactsInput!$M$24-ArtifactsInput!$M$24)*CHOOSE(ArtifactsInput!$N$24+1,10,12,14,16,18,20)+(IF(AND(Inputs!$B$39&lt;&gt;"pvp",Inputs!$B$44=0),1,IF(IF(Inputs!$B$39="pvp",15,Inputs!$B$44)-(B3444)&lt;=0,1,MAX(0,IF(Inputs!$B$39="pvp",15,Inputs!$B$44)-MAX(5,B3444))/(IF(Inputs!$B$39="pvp",15,Inputs!$B$44)-(B3444))))*IF(AND(ArtifactsInput!$M$42,((Inputs!$B$9+((C3425=TRUE)*(F3425-Calc!F26))+B3433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3414*(MIN((Inputs!$B$9+((C3425=TRUE)*(F3425-Calc!F26))+B3433+(ArtifactsInput!$M$24-ArtifactsInput!$M$24)*CHOOSE(ArtifactsInput!$N$24+1,10,12,14,16,18,20)+(IF(AND(Inputs!$B$39&lt;&gt;"pvp",Inputs!$B$44=0),1,IF(IF(Inputs!$B$39="pvp",15,Inputs!$B$44)-(B3444)&lt;=0,1,MAX(0,IF(Inputs!$B$39="pvp",15,Inputs!$B$44)-MAX(5,B3444))/(IF(Inputs!$B$39="pvp",15,Inputs!$B$44)-(B3444))))*IF(AND(ArtifactsInput!$M$42,((Inputs!$B$9+((C3425=TRUE)*(F3425-Calc!F26))+B3433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3414">
        <f>(1-Summary!$B$11)*T3414+Summary!$B$11*V3414</f>
        <v/>
      </c>
      <c r="P3414">
        <f>IF(B3445=0,0,O3414/B3445)</f>
        <v/>
      </c>
      <c r="Q3414">
        <f>IFERROR(1/IF(Inputs!$B$39="pvp",15,MAX(0.1,Skills!D15-IF(TRUE=TRUE,1.5,0))),0)</f>
        <v/>
      </c>
      <c r="R3414">
        <f>IF(AND(Inputs!$B$39&lt;&gt;"pvp",Inputs!$B$44&gt;0),IF(MAX(0,Inputs!$B$44-B3444)&lt;=0,0,(INT(MAX(0,Inputs!$B$44-B3444)/IF(Inputs!$B$39="pvp",15,MAX(0.1,Skills!D15-IF(TRUE=TRUE,1.5,0))))+1)),0)</f>
        <v/>
      </c>
      <c r="S3414">
        <f>IFERROR(O3414/N3414,0)</f>
        <v/>
      </c>
      <c r="T3414">
        <f>IF(C3414,(H3414*N3414*IF(AND(Inputs!$B$39&lt;&gt;"pvp",Inputs!$B$44&gt;0),((Skills!G15*((R3414-1)*IF(Skills!H15&gt;0,Skills!I15/Skills!H15,1)+IF(Skills!H15&gt;0,MIN(Skills!I15,MAX(0,MAX(0,Inputs!$B$44-B3444)-((R3414-1)*IF(Inputs!$B$39="pvp",15,MAX(0.1,Skills!D15-IF(TRUE=TRUE,1.5,0))))))/Skills!H15,1)))/Inputs!$B$44),G3414*Q3414))*IF(Inputs!$B$39="pvp",1,1+(Inputs!$B$20+0+Skills!P15+B3434+(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Hunt"),CHOOSE(ArtifactsInput!$N$35+1,15,18,21,24,27,30)*(1-EXP(-(0.2*B3437)*5)),0)+IF(AND(ArtifactsInput!$M$22,Inputs!$B$4&lt;&gt;"Chapter Hunt"),CHOOSE(ArtifactsInput!$N$22+1,10,12,14,16,18,20)*((0*(((0.15*B3437*5))^0/1)+1*(((0.15*B3437*5))^1/1)+2*(((0.15*B3437*5))^2/2)+3*(((0.15*B3437*5))^3/6)+4*(((0.15*B3437*5))^4/24)+5*(((0.15*B3437*5))^5/120))/((((0.15*B3437*5))^0/1)+(((0.15*B3437*5))^1/1)+(((0.15*B3437*5))^2/2)+(((0.15*B3437*5))^3/6)+(((0.15*B3437*5))^4/24)+(((0.15*B3437*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3414*(1-MIN(100,(Inputs!$B$9+((C3425=TRUE)*(F3425-Calc!F26))+B3433+(ArtifactsInput!$M$24-ArtifactsInput!$M$24)*CHOOSE(ArtifactsInput!$N$24+1,10,12,14,16,18,20)+(IF(AND(Inputs!$B$39&lt;&gt;"pvp",Inputs!$B$44=0),1,IF(IF(Inputs!$B$39="pvp",15,Inputs!$B$44)-(B3444)&lt;=0,1,MAX(0,IF(Inputs!$B$39="pvp",15,Inputs!$B$44)-MAX(5,B3444))/(IF(Inputs!$B$39="pvp",15,Inputs!$B$44)-(B3444))))*IF(AND(ArtifactsInput!$M$42,((Inputs!$B$9+((C3425=TRUE)*(F3425-Calc!F26))+B3433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3414*(MIN(100,(Inputs!$B$9+((C3425=TRUE)*(F3425-Calc!F26))+B3433+(ArtifactsInput!$M$24-ArtifactsInput!$M$24)*CHOOSE(ArtifactsInput!$N$24+1,10,12,14,16,18,20)+(IF(AND(Inputs!$B$39&lt;&gt;"pvp",Inputs!$B$44=0),1,IF(IF(Inputs!$B$39="pvp",15,Inputs!$B$44)-(B3444)&lt;=0,1,MAX(0,IF(Inputs!$B$39="pvp",15,Inputs!$B$44)-MAX(5,B3444))/(IF(Inputs!$B$39="pvp",15,Inputs!$B$44)-(B3444))))*IF(AND(ArtifactsInput!$M$42,((Inputs!$B$9+((C3425=TRUE)*(F3425-Calc!F26))+B3433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3414*(1-MIN(100,(Inputs!$B$9+((C3425=TRUE)*(F3425-Calc!F26))+B3433+(ArtifactsInput!$M$24-ArtifactsInput!$M$24)*CHOOSE(ArtifactsInput!$N$24+1,10,12,14,16,18,20)+(IF(AND(Inputs!$B$39&lt;&gt;"pvp",Inputs!$B$44=0),1,IF(IF(Inputs!$B$39="pvp",15,Inputs!$B$44)-(B3444)&lt;=0,1,MAX(0,IF(Inputs!$B$39="pvp",15,Inputs!$B$44)-MAX(5,B3444))/(IF(Inputs!$B$39="pvp",15,Inputs!$B$44)-(B3444))))*IF(AND(ArtifactsInput!$M$42,((Inputs!$B$9+((C3425=TRUE)*(F3425-Calc!F26))+B3433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3414*(MIN(100,(Inputs!$B$9+((C3425=TRUE)*(F3425-Calc!F26))+B3433+(ArtifactsInput!$M$24-ArtifactsInput!$M$24)*CHOOSE(ArtifactsInput!$N$24+1,10,12,14,16,18,20)+(IF(AND(Inputs!$B$39&lt;&gt;"pvp",Inputs!$B$44=0),1,IF(IF(Inputs!$B$39="pvp",15,Inputs!$B$44)-(B3444)&lt;=0,1,MAX(0,IF(Inputs!$B$39="pvp",15,Inputs!$B$44)-MAX(5,B3444))/(IF(Inputs!$B$39="pvp",15,Inputs!$B$44)-(B3444))))*IF(AND(ArtifactsInput!$M$42,((Inputs!$B$9+((C3425=TRUE)*(F3425-Calc!F26))+B3433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3414">
        <f>IF(C3414,(H3414*N3414*IF(AND(Inputs!$B$39&lt;&gt;"pvp",Inputs!$B$44&gt;0),((Skills!G15*((R3414-1)*IF(Skills!H15&gt;0,Skills!I15/Skills!H15,1)+IF(Skills!H15&gt;0,MIN(Skills!I15,MAX(0,MAX(0,Inputs!$B$44-B3444)-((R3414-1)*IF(Inputs!$B$39="pvp",15,MAX(0.1,Skills!D15-IF(TRUE=TRUE,1.5,0))))))/Skills!H15,1)))/Inputs!$B$44),G3414*Q3414))*IF(Inputs!$B$39="pvp",1,(1+(Inputs!$B$21+Skills!Q15+B3434+(IF(ArtifactsInput!$M$33,CHOOSE(ArtifactsInput!$N$33+1,30,36,42,48,54,60),0))+(IF(AND(ArtifactsInput!$M$35,Inputs!$B$4&lt;&gt;"Chapter Hunt"),CHOOSE(ArtifactsInput!$N$35+1,15,18,21,24,27,30)*(1-EXP(-(0.2*B3437)*5)),0)+IF(AND(ArtifactsInput!$M$22,Inputs!$B$4&lt;&gt;"Chapter Hunt"),CHOOSE(ArtifactsInput!$N$22+1,10,12,14,16,18,20)*((0*(((0.15*B3437*5))^0/1)+1*(((0.15*B3437*5))^1/1)+2*(((0.15*B3437*5))^2/2)+3*(((0.15*B3437*5))^3/6)+4*(((0.15*B3437*5))^4/24)+5*(((0.15*B3437*5))^5/120))/((((0.15*B3437*5))^0/1)+(((0.15*B3437*5))^1/1)+(((0.15*B3437*5))^2/2)+(((0.15*B3437*5))^3/6)+(((0.15*B3437*5))^4/24)+(((0.15*B3437*5))^5/120))),0)))/100)*(MIN(MIN(5,0.5*IF(Inputs!$B$3&gt;=75,0.75,0.5)*B3437*(1/Q3403))*Skills!V15,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3415">
      <c r="A3415">
        <f>Skills!A16</f>
        <v/>
      </c>
      <c r="B3415">
        <f>Skills!B16</f>
        <v/>
      </c>
      <c r="C3415">
        <f>Inputs!$B$3&gt;=110</f>
        <v/>
      </c>
      <c r="D3415">
        <f>IF(Skills!C16=1,60+Inputs!$B$25+Inputs!$B$29,IF(Skills!C16=2,90+Inputs!$B$26+Inputs!$B$29,IF(Skills!C16=3,120+Inputs!$B$27+Inputs!$B$29,MAX(0,(Inputs!$B$3-100)*3)+Inputs!$B$28+Inputs!$B$29)))</f>
        <v/>
      </c>
      <c r="E3415">
        <f>INDEX(FactorTable!$B$2:$Y$301, MATCH(ROUND(MIN(300,MAX(1,D3415)),0), FactorTable!$A$2:$A$301,0), Skills!M16+1)</f>
        <v/>
      </c>
      <c r="F3415">
        <f>IF(Skills!N16=TRUE,(Skills!L16/10)*(E3415/1000),Skills!L16/10)+Skills!O16</f>
        <v/>
      </c>
      <c r="G3415">
        <f>Skills!G16*IF(Skills!H16&gt;0,IF(Inputs!$B$39="pvp",MIN(Skills!I16,15),Skills!I16)/Skills!H16,1)</f>
        <v/>
      </c>
      <c r="H3415">
        <f>1-(1-Skills!J16/100)^Skills!K16</f>
        <v/>
      </c>
      <c r="I3415" t="inlineStr">
        <is>
          <t>1</t>
        </is>
      </c>
      <c r="J3415" t="inlineStr"/>
      <c r="K3415" t="inlineStr"/>
      <c r="L3415" t="inlineStr"/>
      <c r="M3415" t="inlineStr"/>
      <c r="N3415" t="inlineStr"/>
      <c r="O3415">
        <f>(1-Summary!$B$11)*T3415+Summary!$B$11*V3415</f>
        <v/>
      </c>
      <c r="P3415">
        <f>IF(B3445=0,0,O3415/B3445)</f>
        <v/>
      </c>
      <c r="Q3415">
        <f>IFERROR(1/IF(Inputs!$B$39="pvp",15,MAX(0.1,Skills!D16-IF(TRUE=TRUE,1.5,0))),0)</f>
        <v/>
      </c>
      <c r="R3415">
        <f>IF(AND(Inputs!$B$39&lt;&gt;"pvp",Inputs!$B$44&gt;0),IF(Inputs!$B$44&lt;=0,0,(INT(Inputs!$B$44/IF(Inputs!$B$39="pvp",15,MAX(0.1,Skills!D16-IF(TRUE=TRUE,1.5,0))))+1)),0)</f>
        <v/>
      </c>
      <c r="S3415">
        <f>IFERROR(O3415/N3415,0)</f>
        <v/>
      </c>
      <c r="T3415" t="n">
        <v>0</v>
      </c>
      <c r="V3415" t="n">
        <v>0</v>
      </c>
    </row>
    <row r="3416">
      <c r="A3416">
        <f>Skills!A17</f>
        <v/>
      </c>
      <c r="B3416">
        <f>Skills!B17</f>
        <v/>
      </c>
      <c r="C3416">
        <f>Inputs!$B$3&gt;=115</f>
        <v/>
      </c>
      <c r="D3416">
        <f>IF(Skills!C17=1,60+Inputs!$B$25+Inputs!$B$29,IF(Skills!C17=2,90+Inputs!$B$26+Inputs!$B$29,IF(Skills!C17=3,120+Inputs!$B$27+Inputs!$B$29,MAX(0,(Inputs!$B$3-100)*3)+Inputs!$B$28+Inputs!$B$29)))</f>
        <v/>
      </c>
      <c r="E3416">
        <f>INDEX(FactorTable!$B$2:$Y$301, MATCH(ROUND(MIN(300,MAX(1,D3416)),0), FactorTable!$A$2:$A$301,0), Skills!M17+1)</f>
        <v/>
      </c>
      <c r="F3416">
        <f>IF(Skills!N17=TRUE,(Skills!L17/10)*(E3416/1000),Skills!L17/10)+Skills!O17</f>
        <v/>
      </c>
      <c r="G3416">
        <f>Skills!G17*IF(Skills!H17&gt;0,IF(Inputs!$B$39="pvp",MIN(Skills!I17,15),Skills!I17)/Skills!H17,1)</f>
        <v/>
      </c>
      <c r="H3416">
        <f>1-(1-Skills!J17/100)^Skills!K17</f>
        <v/>
      </c>
      <c r="I3416" t="inlineStr">
        <is>
          <t>1</t>
        </is>
      </c>
      <c r="J3416">
        <f>((Inputs!$B$6*(1+Inputs!$B$7/100))+(((Inputs!$B$12*(1+Inputs!$B$13/100))-(Inputs!$B$12*(1+Inputs!$B$13/100)))+0.25*(Inputs!$B$14-Inputs!$B$14))*(1+Inputs!$B$7/100))*(F3416/100)</f>
        <v/>
      </c>
      <c r="K3416">
        <f>J3416*(1+((Inputs!$B$12*(1+Inputs!$B$13/100))*0.01+Inputs!$B$14*0.0025)/100)*(1+Inputs!$B$15/100)*(1+Inputs!$B$16/100)*(5000/(6000+Inputs!$B$43*(1-(100*(1-(1-Inputs!$B$19/100)*(1-CHOOSE(ArtifactsInput!$N$40+1,5,6,7,8,9,10)/100)^(ArtifactsInput!$M$40-ArtifactsInput!$M$40)))/100)))*(1+(Inputs!$B$24+((C3430=TRUE)*(F3430-Calc!F31))+((C3417=TRUE)*(F3417-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17="CRUEL_STAB",Inputs!$B$17+((C3427=TRUE)*(F3427-Calc!F28))+((IF(AND(Inputs!$B$39&lt;&gt;"pvp",Inputs!$B$44=0),1,IF(IF(Inputs!$B$39="pvp",15,Inputs!$B$44)-(B3444)&lt;=0,1,MAX(0,IF(Inputs!$B$39="pvp",15,Inputs!$B$44)-MAX(5,B3444))/(IF(Inputs!$B$39="pvp",15,Inputs!$B$44)-(B3444))))*(IF(AND(ArtifactsInput!$M$42,((Inputs!$B$9+((C3425=TRUE)*(F3425-Calc!F26))+B3433+(ArtifactsInput!$M$24-ArtifactsInput!$M$24)*CHOOSE(ArtifactsInput!$N$24+1,10,12,14,16,18,20)+IF(ArtifactsInput!$M$10,CHOOSE(ArtifactsInput!$N$10+1,15,18,21,24,27,30)*(IF(Inputs!$B$39="pvp",MIN(15,15)/15,IF(AND(Inputs!$B$39&lt;&gt;"pvp",Inputs!$B$44&gt;0),MIN(15,Inputs!$B$44)/(Inputs!$B$44),0))),0)))&gt;=100),MIN(100,((Inputs!$B$9+((C3425=TRUE)*(F3425-Calc!F26))+B3433+(ArtifactsInput!$M$24-ArtifactsInput!$M$24)*CHOOSE(ArtifactsInput!$N$24+1,10,12,14,16,18,20)+IF(ArtifactsInput!$M$10,CHOOSE(ArtifactsInput!$N$10+1,15,18,21,24,27,30)*(IF(Inputs!$B$39="pvp",MIN(15,15)/15,IF(AND(Inputs!$B$39&lt;&gt;"pvp",Inputs!$B$44&gt;0),MIN(15,Inputs!$B$44)/(Inputs!$B$44),0))),0)))-100),0))*CHOOSE(ArtifactsInput!$N$42+1,0.6,0.72,0.84,0.96,1.08,1.2))),Inputs!$B$18+((C3428=TRUE)*(F3428-Calc!F29))+(IF(AND(Inputs!$B$39&lt;&gt;"pvp",Inputs!$B$44=0),1,IF(IF(Inputs!$B$39="pvp",15,Inputs!$B$44)-(B3444)&lt;=0,1,MAX(0,IF(Inputs!$B$39="pvp",15,Inputs!$B$44)-MAX(5,B3444))/(IF(Inputs!$B$39="pvp",15,Inputs!$B$44)-(B3444))))*IF(AND(ArtifactsInput!$M$42,((Inputs!$B$9+((C3425=TRUE)*(F3425-Calc!F26))+B3433+(ArtifactsInput!$M$24-ArtifactsInput!$M$24)*CHOOSE(ArtifactsInput!$N$24+1,10,12,14,16,18,20)+IF(ArtifactsInput!$M$10,CHOOSE(ArtifactsInput!$N$10+1,15,18,21,24,27,30)*(IF(Inputs!$B$39="pvp",MIN(15,15)/15,IF(AND(Inputs!$B$39&lt;&gt;"pvp",Inputs!$B$44&gt;0),MIN(15,Inputs!$B$44)/(Inputs!$B$44),0))),0)))&gt;=100),CHOOSE(ArtifactsInput!$N$42+1,40,48,56,64,72,80),0))))/100)*(((1+(((C3421=TRUE)*F3421*IF(AND(Inputs!$B$39&lt;&gt;"pvp",Inputs!$B$44&gt;0),(((R3421-1)*MIN((Skills!Y22*(1+Inputs!$B$34/100)),(1/Q3421))+MIN((Skills!Y22*(1+Inputs!$B$34/100)),MAX(0,Inputs!$B$44-((R3421-1)*(1/Q3421)))))/Inputs!$B$44),IF(Inputs!$B$39="pvp",MIN((Skills!Y22*(1+Inputs!$B$34/100)),15)/15,MIN(1,(Skills!Y22*(1+Inputs!$B$34/100))/(1/Q3421)))))+((C3402=TRUE)*F3402*3)+((C3404=TRUE)*F3404*(1-EXP(-0.75*B3437*5)))+((C3423=TRUE)*(F3423-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3410=TRUE)*F3410*IF(AND(Inputs!$B$39&lt;&gt;"pvp",Inputs!$B$44&gt;0),(((R3410-1)*MIN((Skills!Y11*(1+Inputs!$B$34/100)),(1/Q3410))+MIN((Skills!Y11*(1+Inputs!$B$34/100)),MAX(0,Inputs!$B$44-((R3410-1)*(1/Q3410)))))/Inputs!$B$44),IF(Inputs!$B$39="pvp",MIN((Skills!Y11*(1+Inputs!$B$34/100)),15)/15,MIN(1,(Skills!Y11*(1+Inputs!$B$34/100))/(1/Q3410)))))/100)*(1+((C3415=TRUE)*F3415*IF(AND(Inputs!$B$39&lt;&gt;"pvp",Inputs!$B$44&gt;0),(((R3415-1)*MIN((Skills!Y16*(1+Inputs!$B$34/100)),(1/Q3415))+MIN((Skills!Y16*(1+Inputs!$B$34/100)),MAX(0,Inputs!$B$44-((R3415-1)*(1/Q3415)))))/Inputs!$B$44),IF(Inputs!$B$39="pvp",MIN((Skills!Y16*(1+Inputs!$B$34/100)),15)/15,MIN(1,(Skills!Y16*(1+Inputs!$B$34/100))/(1/Q3415)))))/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3435*I3416)</f>
        <v/>
      </c>
      <c r="L3416">
        <f>K3416*(MIN(Inputs!$B$22+((C3424=TRUE)*(F3424-Calc!F25)),(Inputs!$B$23+((C3429=TRUE)*(F3429-Calc!F30))+IF(ArtifactsInput!$M$15,CHOOSE(ArtifactsInput!$N$15+1,25,30,35,40,45,50)/100*(Inputs!$B$11-Inputs!$B$11),0)))/100+(Inputs!$B$23+((C3429=TRUE)*(F3429-Calc!F30))+IF(ArtifactsInput!$M$15,CHOOSE(ArtifactsInput!$N$15+1,25,30,35,40,45,50)/100*(Inputs!$B$11-Inputs!$B$11),0))/100)/2</f>
        <v/>
      </c>
      <c r="M3416">
        <f>L3416*(1+(Inputs!$B$10+((C3426=TRUE)*(F3426-Calc!F27))+B3440+(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3416">
        <f>L3416*(1-MIN((Inputs!$B$9+((C3425=TRUE)*(F3425-Calc!F26))+B3433+(ArtifactsInput!$M$24-ArtifactsInput!$M$24)*CHOOSE(ArtifactsInput!$N$24+1,10,12,14,16,18,20)+(IF(AND(Inputs!$B$39&lt;&gt;"pvp",Inputs!$B$44=0),1,IF(IF(Inputs!$B$39="pvp",15,Inputs!$B$44)-(B3444)&lt;=0,1,MAX(0,IF(Inputs!$B$39="pvp",15,Inputs!$B$44)-MAX(5,B3444))/(IF(Inputs!$B$39="pvp",15,Inputs!$B$44)-(B3444))))*IF(AND(ArtifactsInput!$M$42,((Inputs!$B$9+((C3425=TRUE)*(F3425-Calc!F26))+B3433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3416*(MIN((Inputs!$B$9+((C3425=TRUE)*(F3425-Calc!F26))+B3433+(ArtifactsInput!$M$24-ArtifactsInput!$M$24)*CHOOSE(ArtifactsInput!$N$24+1,10,12,14,16,18,20)+(IF(AND(Inputs!$B$39&lt;&gt;"pvp",Inputs!$B$44=0),1,IF(IF(Inputs!$B$39="pvp",15,Inputs!$B$44)-(B3444)&lt;=0,1,MAX(0,IF(Inputs!$B$39="pvp",15,Inputs!$B$44)-MAX(5,B3444))/(IF(Inputs!$B$39="pvp",15,Inputs!$B$44)-(B3444))))*IF(AND(ArtifactsInput!$M$42,((Inputs!$B$9+((C3425=TRUE)*(F3425-Calc!F26))+B3433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3416">
        <f>(1-Summary!$B$11)*T3416+Summary!$B$11*V3416</f>
        <v/>
      </c>
      <c r="P3416">
        <f>IF(B3445=0,0,O3416/B3445)</f>
        <v/>
      </c>
      <c r="Q3416" t="n">
        <v>0</v>
      </c>
      <c r="R3416" t="n">
        <v>0</v>
      </c>
      <c r="S3416">
        <f>IFERROR(O3416/N3416,0)</f>
        <v/>
      </c>
      <c r="T3416">
        <f>IF(C3416,(Inputs!$B$38*0.2*N3416)*IF(Inputs!$B$39="pvp",1,1+(Inputs!$B$20+0+Skills!P17+B3434+(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Hunt"),CHOOSE(ArtifactsInput!$N$35+1,15,18,21,24,27,30)*(1-EXP(-(0.2*B3437)*5)),0)+IF(AND(ArtifactsInput!$M$22,Inputs!$B$4&lt;&gt;"Chapter Hunt"),CHOOSE(ArtifactsInput!$N$22+1,10,12,14,16,18,20)*((0*(((0.15*B3437*5))^0/1)+1*(((0.15*B3437*5))^1/1)+2*(((0.15*B3437*5))^2/2)+3*(((0.15*B3437*5))^3/6)+4*(((0.15*B3437*5))^4/24)+5*(((0.15*B3437*5))^5/120))/((((0.15*B3437*5))^0/1)+(((0.15*B3437*5))^1/1)+(((0.15*B3437*5))^2/2)+(((0.15*B3437*5))^3/6)+(((0.15*B3437*5))^4/24)+(((0.15*B3437*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3416*(1-MIN(100,(Inputs!$B$9+((C3425=TRUE)*(F3425-Calc!F26))+B3433+(ArtifactsInput!$M$24-ArtifactsInput!$M$24)*CHOOSE(ArtifactsInput!$N$24+1,10,12,14,16,18,20)+(IF(AND(Inputs!$B$39&lt;&gt;"pvp",Inputs!$B$44=0),1,IF(IF(Inputs!$B$39="pvp",15,Inputs!$B$44)-(B3444)&lt;=0,1,MAX(0,IF(Inputs!$B$39="pvp",15,Inputs!$B$44)-MAX(5,B3444))/(IF(Inputs!$B$39="pvp",15,Inputs!$B$44)-(B3444))))*IF(AND(ArtifactsInput!$M$42,((Inputs!$B$9+((C3425=TRUE)*(F3425-Calc!F26))+B3433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3416*(MIN(100,(Inputs!$B$9+((C3425=TRUE)*(F3425-Calc!F26))+B3433+(ArtifactsInput!$M$24-ArtifactsInput!$M$24)*CHOOSE(ArtifactsInput!$N$24+1,10,12,14,16,18,20)+(IF(AND(Inputs!$B$39&lt;&gt;"pvp",Inputs!$B$44=0),1,IF(IF(Inputs!$B$39="pvp",15,Inputs!$B$44)-(B3444)&lt;=0,1,MAX(0,IF(Inputs!$B$39="pvp",15,Inputs!$B$44)-MAX(5,B3444))/(IF(Inputs!$B$39="pvp",15,Inputs!$B$44)-(B3444))))*IF(AND(ArtifactsInput!$M$42,((Inputs!$B$9+((C3425=TRUE)*(F3425-Calc!F26))+B3433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3416*(1-MIN(100,(Inputs!$B$9+((C3425=TRUE)*(F3425-Calc!F26))+B3433+(ArtifactsInput!$M$24-ArtifactsInput!$M$24)*CHOOSE(ArtifactsInput!$N$24+1,10,12,14,16,18,20)+(IF(AND(Inputs!$B$39&lt;&gt;"pvp",Inputs!$B$44=0),1,IF(IF(Inputs!$B$39="pvp",15,Inputs!$B$44)-(B3444)&lt;=0,1,MAX(0,IF(Inputs!$B$39="pvp",15,Inputs!$B$44)-MAX(5,B3444))/(IF(Inputs!$B$39="pvp",15,Inputs!$B$44)-(B3444))))*IF(AND(ArtifactsInput!$M$42,((Inputs!$B$9+((C3425=TRUE)*(F3425-Calc!F26))+B3433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3416*(MIN(100,(Inputs!$B$9+((C3425=TRUE)*(F3425-Calc!F26))+B3433+(ArtifactsInput!$M$24-ArtifactsInput!$M$24)*CHOOSE(ArtifactsInput!$N$24+1,10,12,14,16,18,20)+(IF(AND(Inputs!$B$39&lt;&gt;"pvp",Inputs!$B$44=0),1,IF(IF(Inputs!$B$39="pvp",15,Inputs!$B$44)-(B3444)&lt;=0,1,MAX(0,IF(Inputs!$B$39="pvp",15,Inputs!$B$44)-MAX(5,B3444))/(IF(Inputs!$B$39="pvp",15,Inputs!$B$44)-(B3444))))*IF(AND(ArtifactsInput!$M$42,((Inputs!$B$9+((C3425=TRUE)*(F3425-Calc!F26))+B3433+(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3416">
        <f>IF(C3416,(Inputs!$B$38*0.2*N3416)*IF(Inputs!$B$39="pvp",1,(1+(Inputs!$B$21+Skills!Q17+B3434+(IF(ArtifactsInput!$M$33,CHOOSE(ArtifactsInput!$N$33+1,30,36,42,48,54,60),0))+(IF(AND(ArtifactsInput!$M$35,Inputs!$B$4&lt;&gt;"Chapter Hunt"),CHOOSE(ArtifactsInput!$N$35+1,15,18,21,24,27,30)*(1-EXP(-(0.2*B3437)*5)),0)+IF(AND(ArtifactsInput!$M$22,Inputs!$B$4&lt;&gt;"Chapter Hunt"),CHOOSE(ArtifactsInput!$N$22+1,10,12,14,16,18,20)*((0*(((0.15*B3437*5))^0/1)+1*(((0.15*B3437*5))^1/1)+2*(((0.15*B3437*5))^2/2)+3*(((0.15*B3437*5))^3/6)+4*(((0.15*B3437*5))^4/24)+5*(((0.15*B3437*5))^5/120))/((((0.15*B3437*5))^0/1)+(((0.15*B3437*5))^1/1)+(((0.15*B3437*5))^2/2)+(((0.15*B3437*5))^3/6)+(((0.15*B3437*5))^4/24)+(((0.15*B3437*5))^5/120))),0)))/100)*(MIN(Skills!W17,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3417">
      <c r="A3417">
        <f>Skills!A18</f>
        <v/>
      </c>
      <c r="B3417">
        <f>Skills!B18</f>
        <v/>
      </c>
      <c r="C3417">
        <f>Inputs!$B$3&gt;=115</f>
        <v/>
      </c>
      <c r="D3417">
        <f>IF(Skills!C18=1,60+Inputs!$B$25+Inputs!$B$29,IF(Skills!C18=2,90+Inputs!$B$26+Inputs!$B$29,IF(Skills!C18=3,120+Inputs!$B$27+Inputs!$B$29,MAX(0,(Inputs!$B$3-100)*3)+Inputs!$B$28+Inputs!$B$29)))</f>
        <v/>
      </c>
      <c r="E3417">
        <f>INDEX(FactorTable!$B$2:$Y$301, MATCH(ROUND(MIN(300,MAX(1,D3417)),0), FactorTable!$A$2:$A$301,0), Skills!M18+1)</f>
        <v/>
      </c>
      <c r="F3417">
        <f>IF(Skills!N18=TRUE,(Skills!L18/10)*(E3417/1000),Skills!L18/10)+Skills!O18</f>
        <v/>
      </c>
      <c r="G3417">
        <f>Skills!G18*IF(Skills!H18&gt;0,IF(Inputs!$B$39="pvp",MIN(Skills!I18,15),Skills!I18)/Skills!H18,1)</f>
        <v/>
      </c>
      <c r="H3417">
        <f>1-(1-Skills!J18/100)^Skills!K18</f>
        <v/>
      </c>
      <c r="I3417" t="inlineStr">
        <is>
          <t>1</t>
        </is>
      </c>
      <c r="J3417" t="inlineStr"/>
      <c r="K3417" t="inlineStr"/>
      <c r="L3417" t="inlineStr"/>
      <c r="M3417" t="inlineStr"/>
      <c r="N3417" t="inlineStr"/>
      <c r="O3417">
        <f>(1-Summary!$B$11)*T3417+Summary!$B$11*V3417</f>
        <v/>
      </c>
      <c r="P3417">
        <f>IF(B3445=0,0,O3417/B3445)</f>
        <v/>
      </c>
      <c r="Q3417" t="n">
        <v>0</v>
      </c>
      <c r="R3417" t="n">
        <v>0</v>
      </c>
      <c r="S3417">
        <f>IFERROR(O3417/N3417,0)</f>
        <v/>
      </c>
      <c r="T3417" t="n">
        <v>0</v>
      </c>
      <c r="V3417" t="n">
        <v>0</v>
      </c>
    </row>
    <row r="3418">
      <c r="A3418">
        <f>Skills!A19</f>
        <v/>
      </c>
      <c r="B3418">
        <f>Skills!B19</f>
        <v/>
      </c>
      <c r="C3418">
        <f>Inputs!$B$3&gt;=100</f>
        <v/>
      </c>
      <c r="D3418">
        <f>IF(Skills!C19=1,60+Inputs!$B$25+Inputs!$B$29,IF(Skills!C19=2,90+Inputs!$B$26+Inputs!$B$29,IF(Skills!C19=3,120+Inputs!$B$27+Inputs!$B$29,MAX(0,(Inputs!$B$3-100)*3)+Inputs!$B$28+Inputs!$B$29)))</f>
        <v/>
      </c>
      <c r="E3418">
        <f>INDEX(FactorTable!$B$2:$Y$301, MATCH(ROUND(MIN(300,MAX(1,D3418)),0), FactorTable!$A$2:$A$301,0), Skills!M19+1)</f>
        <v/>
      </c>
      <c r="F3418">
        <f>IF(Skills!N19=TRUE,(Skills!L19/10)*(E3418/1000),Skills!L19/10)+Skills!O19</f>
        <v/>
      </c>
      <c r="G3418">
        <f>Skills!G19*IF(Skills!H19&gt;0,IF(Inputs!$B$39="pvp",MIN(Skills!I19,15),Skills!I19)/Skills!H19,1)</f>
        <v/>
      </c>
      <c r="H3418">
        <f>1-(1-Skills!J19/100)^Skills!K19</f>
        <v/>
      </c>
      <c r="I3418" t="inlineStr">
        <is>
          <t>1</t>
        </is>
      </c>
      <c r="J3418" t="inlineStr"/>
      <c r="K3418" t="inlineStr"/>
      <c r="L3418" t="inlineStr"/>
      <c r="M3418" t="inlineStr"/>
      <c r="N3418" t="inlineStr"/>
      <c r="O3418">
        <f>(1-Summary!$B$11)*T3418+Summary!$B$11*V3418</f>
        <v/>
      </c>
      <c r="P3418">
        <f>IF(B3445=0,0,O3418/B3445)</f>
        <v/>
      </c>
      <c r="Q3418" t="n">
        <v>0</v>
      </c>
      <c r="R3418" t="n">
        <v>0</v>
      </c>
      <c r="S3418">
        <f>IFERROR(O3418/N3418,0)</f>
        <v/>
      </c>
      <c r="T3418" t="n">
        <v>0</v>
      </c>
      <c r="V3418" t="n">
        <v>0</v>
      </c>
    </row>
    <row r="3419">
      <c r="A3419">
        <f>Skills!A20</f>
        <v/>
      </c>
      <c r="B3419">
        <f>Skills!B20</f>
        <v/>
      </c>
      <c r="C3419">
        <f>TRUE</f>
        <v/>
      </c>
      <c r="D3419">
        <f>IF(Skills!C20=1,60+Inputs!$B$25+Inputs!$B$29,IF(Skills!C20=2,90+Inputs!$B$26+Inputs!$B$29,IF(Skills!C20=3,120+Inputs!$B$27+Inputs!$B$29,MAX(0,(Inputs!$B$3-100)*3)+Inputs!$B$28+Inputs!$B$29)))</f>
        <v/>
      </c>
      <c r="E3419">
        <f>INDEX(FactorTable!$B$2:$Y$301, MATCH(ROUND(MIN(300,MAX(1,D3419)),0), FactorTable!$A$2:$A$301,0), Skills!M20+1)</f>
        <v/>
      </c>
      <c r="F3419">
        <f>IF(Skills!N20=TRUE,(Skills!L20/10)*(E3419/1000),Skills!L20/10)+Skills!O20</f>
        <v/>
      </c>
      <c r="G3419">
        <f>Skills!G20*IF(Skills!H20&gt;0,IF(Inputs!$B$39="pvp",MIN(Skills!I20,15),Skills!I20)/Skills!H20,1)</f>
        <v/>
      </c>
      <c r="H3419">
        <f>1-(1-Skills!J20/100)^Skills!K20</f>
        <v/>
      </c>
      <c r="I3419" t="inlineStr">
        <is>
          <t>1</t>
        </is>
      </c>
      <c r="J3419" t="inlineStr"/>
      <c r="K3419" t="inlineStr"/>
      <c r="L3419" t="inlineStr"/>
      <c r="M3419" t="inlineStr"/>
      <c r="N3419" t="inlineStr"/>
      <c r="O3419">
        <f>(1-Summary!$B$11)*T3419+Summary!$B$11*V3419</f>
        <v/>
      </c>
      <c r="P3419">
        <f>IF(B3445=0,0,O3419/B3445)</f>
        <v/>
      </c>
      <c r="Q3419">
        <f>IFERROR(1/IF(Inputs!$B$39="pvp",15,MAX(0.1,Skills!D20-IF(TRUE=TRUE,1.5,0))),0)</f>
        <v/>
      </c>
      <c r="R3419">
        <f>IF(AND(Inputs!$B$39&lt;&gt;"pvp",Inputs!$B$44&gt;0),IF(Inputs!$B$44&lt;=0,0,(INT(Inputs!$B$44/IF(Inputs!$B$39="pvp",15,MAX(0.1,Skills!D20-IF(TRUE=TRUE,1.5,0))))+1)),0)</f>
        <v/>
      </c>
      <c r="S3419">
        <f>IFERROR(O3419/N3419,0)</f>
        <v/>
      </c>
      <c r="T3419" t="n">
        <v>0</v>
      </c>
      <c r="V3419" t="n">
        <v>0</v>
      </c>
    </row>
    <row r="3420">
      <c r="A3420">
        <f>Skills!A21</f>
        <v/>
      </c>
      <c r="B3420">
        <f>Skills!B21</f>
        <v/>
      </c>
      <c r="C3420">
        <f>Inputs!$B$3&gt;=15</f>
        <v/>
      </c>
      <c r="D3420">
        <f>IF(Skills!C21=1,60+Inputs!$B$25+Inputs!$B$29,IF(Skills!C21=2,90+Inputs!$B$26+Inputs!$B$29,IF(Skills!C21=3,120+Inputs!$B$27+Inputs!$B$29,MAX(0,(Inputs!$B$3-100)*3)+Inputs!$B$28+Inputs!$B$29)))</f>
        <v/>
      </c>
      <c r="E3420">
        <f>INDEX(FactorTable!$B$2:$Y$301, MATCH(ROUND(MIN(300,MAX(1,D3420)),0), FactorTable!$A$2:$A$301,0), Skills!M21+1)</f>
        <v/>
      </c>
      <c r="F3420">
        <f>IF(Skills!N21=TRUE,(Skills!L21/10)*(E3420/1000),Skills!L21/10)+Skills!O21</f>
        <v/>
      </c>
      <c r="G3420">
        <f>Skills!G21*IF(Skills!H21&gt;0,IF(Inputs!$B$39="pvp",MIN(Skills!I21,15),Skills!I21)/Skills!H21,1)</f>
        <v/>
      </c>
      <c r="H3420">
        <f>1-(1-Skills!J21/100)^Skills!K21</f>
        <v/>
      </c>
      <c r="I3420" t="inlineStr">
        <is>
          <t>1</t>
        </is>
      </c>
      <c r="J3420" t="inlineStr"/>
      <c r="K3420" t="inlineStr"/>
      <c r="L3420" t="inlineStr"/>
      <c r="M3420" t="inlineStr"/>
      <c r="N3420" t="inlineStr"/>
      <c r="O3420">
        <f>(1-Summary!$B$11)*T3420+Summary!$B$11*V3420</f>
        <v/>
      </c>
      <c r="P3420">
        <f>IF(B3445=0,0,O3420/B3445)</f>
        <v/>
      </c>
      <c r="Q3420">
        <f>IFERROR(1/IF(Inputs!$B$39="pvp",15,MAX(0.1,Skills!D21-IF(TRUE=TRUE,1.5,0))),0)</f>
        <v/>
      </c>
      <c r="R3420">
        <f>IF(AND(Inputs!$B$39&lt;&gt;"pvp",Inputs!$B$44&gt;0),IF(Inputs!$B$44&lt;=0,0,(INT(Inputs!$B$44/IF(Inputs!$B$39="pvp",15,MAX(0.1,Skills!D21-IF(TRUE=TRUE,1.5,0))))+1)),0)</f>
        <v/>
      </c>
      <c r="S3420">
        <f>IFERROR(O3420/N3420,0)</f>
        <v/>
      </c>
      <c r="T3420" t="n">
        <v>0</v>
      </c>
      <c r="V3420" t="n">
        <v>0</v>
      </c>
    </row>
    <row r="3421">
      <c r="A3421">
        <f>Skills!A22</f>
        <v/>
      </c>
      <c r="B3421">
        <f>Skills!B22</f>
        <v/>
      </c>
      <c r="C3421">
        <f>Inputs!$B$3&gt;=15</f>
        <v/>
      </c>
      <c r="D3421">
        <f>IF(Skills!C22=1,60+Inputs!$B$25+Inputs!$B$29,IF(Skills!C22=2,90+Inputs!$B$26+Inputs!$B$29,IF(Skills!C22=3,120+Inputs!$B$27+Inputs!$B$29,MAX(0,(Inputs!$B$3-100)*3)+Inputs!$B$28+Inputs!$B$29)))</f>
        <v/>
      </c>
      <c r="E3421">
        <f>INDEX(FactorTable!$B$2:$Y$301, MATCH(ROUND(MIN(300,MAX(1,D3421)),0), FactorTable!$A$2:$A$301,0), Skills!M22+1)</f>
        <v/>
      </c>
      <c r="F3421">
        <f>IF(Skills!N22=TRUE,(Skills!L22/10)*(E3421/1000),Skills!L22/10)+Skills!O22</f>
        <v/>
      </c>
      <c r="G3421">
        <f>Skills!G22*IF(Skills!H22&gt;0,IF(Inputs!$B$39="pvp",MIN(Skills!I22,15),Skills!I22)/Skills!H22,1)</f>
        <v/>
      </c>
      <c r="H3421">
        <f>1-(1-Skills!J22/100)^Skills!K22</f>
        <v/>
      </c>
      <c r="I3421" t="inlineStr">
        <is>
          <t>1</t>
        </is>
      </c>
      <c r="J3421" t="inlineStr"/>
      <c r="K3421" t="inlineStr"/>
      <c r="L3421" t="inlineStr"/>
      <c r="M3421" t="inlineStr"/>
      <c r="N3421" t="inlineStr"/>
      <c r="O3421">
        <f>(1-Summary!$B$11)*T3421+Summary!$B$11*V3421</f>
        <v/>
      </c>
      <c r="P3421">
        <f>IF(B3445=0,0,O3421/B3445)</f>
        <v/>
      </c>
      <c r="Q3421">
        <f>IFERROR(1/IF(Inputs!$B$39="pvp",15,MAX(0.1,Skills!D22-IF(TRUE=TRUE,1.5,0))),0)</f>
        <v/>
      </c>
      <c r="R3421">
        <f>IF(AND(Inputs!$B$39&lt;&gt;"pvp",Inputs!$B$44&gt;0),IF(Inputs!$B$44&lt;=0,0,(INT(Inputs!$B$44/IF(Inputs!$B$39="pvp",15,MAX(0.1,Skills!D22-IF(TRUE=TRUE,1.5,0))))+1)),0)</f>
        <v/>
      </c>
      <c r="S3421">
        <f>IFERROR(O3421/N3421,0)</f>
        <v/>
      </c>
      <c r="T3421" t="n">
        <v>0</v>
      </c>
      <c r="V3421" t="n">
        <v>0</v>
      </c>
    </row>
    <row r="3422">
      <c r="A3422">
        <f>Skills!A23</f>
        <v/>
      </c>
      <c r="B3422">
        <f>Skills!B23</f>
        <v/>
      </c>
      <c r="C3422">
        <f>Inputs!$B$3&gt;=33</f>
        <v/>
      </c>
      <c r="D3422">
        <f>IF(Skills!C23=1,60+Inputs!$B$25+Inputs!$B$29,IF(Skills!C23=2,90+Inputs!$B$26+Inputs!$B$29,IF(Skills!C23=3,120+Inputs!$B$27+Inputs!$B$29,MAX(0,(Inputs!$B$3-100)*3)+Inputs!$B$28+Inputs!$B$29)))</f>
        <v/>
      </c>
      <c r="E3422">
        <f>INDEX(FactorTable!$B$2:$Y$301, MATCH(ROUND(MIN(300,MAX(1,D3422)),0), FactorTable!$A$2:$A$301,0), Skills!M23+1)</f>
        <v/>
      </c>
      <c r="F3422">
        <f>IF(Skills!N23=TRUE,(Skills!L23/10)*(E3422/1000),Skills!L23/10)+Skills!O23</f>
        <v/>
      </c>
      <c r="G3422">
        <f>Skills!G23*IF(Skills!H23&gt;0,IF(Inputs!$B$39="pvp",MIN(Skills!I23,15),Skills!I23)/Skills!H23,1)</f>
        <v/>
      </c>
      <c r="H3422">
        <f>1-(1-Skills!J23/100)^Skills!K23</f>
        <v/>
      </c>
      <c r="I3422" t="inlineStr">
        <is>
          <t>1</t>
        </is>
      </c>
      <c r="J3422" t="inlineStr"/>
      <c r="K3422" t="inlineStr"/>
      <c r="L3422" t="inlineStr"/>
      <c r="M3422" t="inlineStr"/>
      <c r="N3422" t="inlineStr"/>
      <c r="O3422">
        <f>(1-Summary!$B$11)*T3422+Summary!$B$11*V3422</f>
        <v/>
      </c>
      <c r="P3422">
        <f>IF(B3445=0,0,O3422/B3445)</f>
        <v/>
      </c>
      <c r="Q3422" t="n">
        <v>0</v>
      </c>
      <c r="R3422" t="n">
        <v>0</v>
      </c>
      <c r="S3422">
        <f>IFERROR(O3422/N3422,0)</f>
        <v/>
      </c>
      <c r="T3422" t="n">
        <v>0</v>
      </c>
      <c r="V3422" t="n">
        <v>0</v>
      </c>
    </row>
    <row r="3423">
      <c r="A3423">
        <f>Skills!A24</f>
        <v/>
      </c>
      <c r="B3423">
        <f>Skills!B24</f>
        <v/>
      </c>
      <c r="C3423">
        <f>Inputs!$B$3&gt;=40</f>
        <v/>
      </c>
      <c r="D3423">
        <f>IF(Skills!C24=1,60+Inputs!$B$25+Inputs!$B$29,IF(Skills!C24=2,90+Inputs!$B$26+Inputs!$B$29,IF(Skills!C24=3,120+Inputs!$B$27+Inputs!$B$29,MAX(0,(Inputs!$B$3-100)*3)+Inputs!$B$28+Inputs!$B$29)))</f>
        <v/>
      </c>
      <c r="E3423">
        <f>INDEX(FactorTable!$B$2:$Y$301, MATCH(ROUND(MIN(300,MAX(1,D3423)),0), FactorTable!$A$2:$A$301,0), Skills!M24+1)</f>
        <v/>
      </c>
      <c r="F3423">
        <f>IF(Skills!N24=TRUE,(Skills!L24/10)*(E3423/1000),Skills!L24/10)+Skills!O24</f>
        <v/>
      </c>
      <c r="G3423">
        <f>Skills!G24*IF(Skills!H24&gt;0,IF(Inputs!$B$39="pvp",MIN(Skills!I24,15),Skills!I24)/Skills!H24,1)</f>
        <v/>
      </c>
      <c r="H3423">
        <f>1-(1-Skills!J24/100)^Skills!K24</f>
        <v/>
      </c>
      <c r="I3423" t="inlineStr">
        <is>
          <t>1</t>
        </is>
      </c>
      <c r="J3423" t="inlineStr"/>
      <c r="K3423" t="inlineStr"/>
      <c r="L3423" t="inlineStr"/>
      <c r="M3423" t="inlineStr"/>
      <c r="N3423" t="inlineStr"/>
      <c r="O3423">
        <f>(1-Summary!$B$11)*T3423+Summary!$B$11*V3423</f>
        <v/>
      </c>
      <c r="P3423">
        <f>IF(B3445=0,0,O3423/B3445)</f>
        <v/>
      </c>
      <c r="Q3423" t="n">
        <v>0</v>
      </c>
      <c r="R3423" t="n">
        <v>0</v>
      </c>
      <c r="S3423">
        <f>IFERROR(O3423/N3423,0)</f>
        <v/>
      </c>
      <c r="T3423" t="n">
        <v>0</v>
      </c>
      <c r="V3423" t="n">
        <v>0</v>
      </c>
    </row>
    <row r="3424">
      <c r="A3424">
        <f>Skills!A25</f>
        <v/>
      </c>
      <c r="B3424">
        <f>Skills!B25</f>
        <v/>
      </c>
      <c r="C3424">
        <f>Inputs!$B$3&gt;=43</f>
        <v/>
      </c>
      <c r="D3424">
        <f>IF(Skills!C25=1,60+Inputs!$B$25+Inputs!$B$29,IF(Skills!C25=2,90+Inputs!$B$26+Inputs!$B$29,IF(Skills!C25=3,120+Inputs!$B$27+Inputs!$B$29,MAX(0,(Inputs!$B$3-100)*3)+Inputs!$B$28+Inputs!$B$29)))</f>
        <v/>
      </c>
      <c r="E3424">
        <f>INDEX(FactorTable!$B$2:$Y$301, MATCH(ROUND(MIN(300,MAX(1,D3424)),0), FactorTable!$A$2:$A$301,0), Skills!M25+1)</f>
        <v/>
      </c>
      <c r="F3424">
        <f>IF(Skills!N25=TRUE,(Skills!L25/10)*(E3424/1000),Skills!L25/10)+Skills!O25</f>
        <v/>
      </c>
      <c r="G3424">
        <f>Skills!G25*IF(Skills!H25&gt;0,IF(Inputs!$B$39="pvp",MIN(Skills!I25,15),Skills!I25)/Skills!H25,1)</f>
        <v/>
      </c>
      <c r="H3424">
        <f>1-(1-Skills!J25/100)^Skills!K25</f>
        <v/>
      </c>
      <c r="I3424" t="inlineStr">
        <is>
          <t>1</t>
        </is>
      </c>
      <c r="J3424" t="inlineStr"/>
      <c r="K3424" t="inlineStr"/>
      <c r="L3424" t="inlineStr"/>
      <c r="M3424" t="inlineStr"/>
      <c r="N3424" t="inlineStr"/>
      <c r="O3424">
        <f>(1-Summary!$B$11)*T3424+Summary!$B$11*V3424</f>
        <v/>
      </c>
      <c r="P3424">
        <f>IF(B3445=0,0,O3424/B3445)</f>
        <v/>
      </c>
      <c r="Q3424" t="n">
        <v>0</v>
      </c>
      <c r="R3424" t="n">
        <v>0</v>
      </c>
      <c r="S3424">
        <f>IFERROR(O3424/N3424,0)</f>
        <v/>
      </c>
      <c r="T3424" t="n">
        <v>0</v>
      </c>
      <c r="V3424" t="n">
        <v>0</v>
      </c>
    </row>
    <row r="3425">
      <c r="A3425">
        <f>Skills!A26</f>
        <v/>
      </c>
      <c r="B3425">
        <f>Skills!B26</f>
        <v/>
      </c>
      <c r="C3425">
        <f>Inputs!$B$3&gt;=50</f>
        <v/>
      </c>
      <c r="D3425">
        <f>IF(Skills!C26=1,60+Inputs!$B$25+Inputs!$B$29,IF(Skills!C26=2,90+Inputs!$B$26+Inputs!$B$29,IF(Skills!C26=3,120+Inputs!$B$27+Inputs!$B$29,MAX(0,(Inputs!$B$3-100)*3)+Inputs!$B$28+Inputs!$B$29)))</f>
        <v/>
      </c>
      <c r="E3425">
        <f>INDEX(FactorTable!$B$2:$Y$301, MATCH(ROUND(MIN(300,MAX(1,D3425)),0), FactorTable!$A$2:$A$301,0), Skills!M26+1)</f>
        <v/>
      </c>
      <c r="F3425">
        <f>IF(Skills!N26=TRUE,(Skills!L26/10)*(E3425/1000),Skills!L26/10)+Skills!O26</f>
        <v/>
      </c>
      <c r="G3425">
        <f>Skills!G26*IF(Skills!H26&gt;0,IF(Inputs!$B$39="pvp",MIN(Skills!I26,15),Skills!I26)/Skills!H26,1)</f>
        <v/>
      </c>
      <c r="H3425">
        <f>1-(1-Skills!J26/100)^Skills!K26</f>
        <v/>
      </c>
      <c r="I3425" t="inlineStr">
        <is>
          <t>1</t>
        </is>
      </c>
      <c r="J3425" t="inlineStr"/>
      <c r="K3425" t="inlineStr"/>
      <c r="L3425" t="inlineStr"/>
      <c r="M3425" t="inlineStr"/>
      <c r="N3425" t="inlineStr"/>
      <c r="O3425">
        <f>(1-Summary!$B$11)*T3425+Summary!$B$11*V3425</f>
        <v/>
      </c>
      <c r="P3425">
        <f>IF(B3445=0,0,O3425/B3445)</f>
        <v/>
      </c>
      <c r="Q3425" t="n">
        <v>0</v>
      </c>
      <c r="R3425" t="n">
        <v>0</v>
      </c>
      <c r="S3425">
        <f>IFERROR(O3425/N3425,0)</f>
        <v/>
      </c>
      <c r="T3425" t="n">
        <v>0</v>
      </c>
      <c r="V3425" t="n">
        <v>0</v>
      </c>
    </row>
    <row r="3426">
      <c r="A3426">
        <f>Skills!A27</f>
        <v/>
      </c>
      <c r="B3426">
        <f>Skills!B27</f>
        <v/>
      </c>
      <c r="C3426">
        <f>Inputs!$B$3&gt;=50</f>
        <v/>
      </c>
      <c r="D3426">
        <f>IF(Skills!C27=1,60+Inputs!$B$25+Inputs!$B$29,IF(Skills!C27=2,90+Inputs!$B$26+Inputs!$B$29,IF(Skills!C27=3,120+Inputs!$B$27+Inputs!$B$29,MAX(0,(Inputs!$B$3-100)*3)+Inputs!$B$28+Inputs!$B$29)))</f>
        <v/>
      </c>
      <c r="E3426">
        <f>INDEX(FactorTable!$B$2:$Y$301, MATCH(ROUND(MIN(300,MAX(1,D3426)),0), FactorTable!$A$2:$A$301,0), Skills!M27+1)</f>
        <v/>
      </c>
      <c r="F3426">
        <f>IF(Skills!N27=TRUE,(Skills!L27/10)*(E3426/1000),Skills!L27/10)+Skills!O27</f>
        <v/>
      </c>
      <c r="G3426">
        <f>Skills!G27*IF(Skills!H27&gt;0,IF(Inputs!$B$39="pvp",MIN(Skills!I27,15),Skills!I27)/Skills!H27,1)</f>
        <v/>
      </c>
      <c r="H3426">
        <f>1-(1-Skills!J27/100)^Skills!K27</f>
        <v/>
      </c>
      <c r="I3426" t="inlineStr">
        <is>
          <t>1</t>
        </is>
      </c>
      <c r="J3426" t="inlineStr"/>
      <c r="K3426" t="inlineStr"/>
      <c r="L3426" t="inlineStr"/>
      <c r="M3426" t="inlineStr"/>
      <c r="N3426" t="inlineStr"/>
      <c r="O3426">
        <f>(1-Summary!$B$11)*T3426+Summary!$B$11*V3426</f>
        <v/>
      </c>
      <c r="P3426">
        <f>IF(B3445=0,0,O3426/B3445)</f>
        <v/>
      </c>
      <c r="Q3426" t="n">
        <v>0</v>
      </c>
      <c r="R3426" t="n">
        <v>0</v>
      </c>
      <c r="S3426">
        <f>IFERROR(O3426/N3426,0)</f>
        <v/>
      </c>
      <c r="T3426" t="n">
        <v>0</v>
      </c>
      <c r="V3426" t="n">
        <v>0</v>
      </c>
    </row>
    <row r="3427">
      <c r="A3427">
        <f>Skills!A28</f>
        <v/>
      </c>
      <c r="B3427">
        <f>Skills!B28</f>
        <v/>
      </c>
      <c r="C3427">
        <f>Inputs!$B$3&gt;=38</f>
        <v/>
      </c>
      <c r="D3427">
        <f>IF(Skills!C28=1,60+Inputs!$B$25+Inputs!$B$29,IF(Skills!C28=2,90+Inputs!$B$26+Inputs!$B$29,IF(Skills!C28=3,120+Inputs!$B$27+Inputs!$B$29,MAX(0,(Inputs!$B$3-100)*3)+Inputs!$B$28+Inputs!$B$29)))</f>
        <v/>
      </c>
      <c r="E3427">
        <f>INDEX(FactorTable!$B$2:$Y$301, MATCH(ROUND(MIN(300,MAX(1,D3427)),0), FactorTable!$A$2:$A$301,0), Skills!M28+1)</f>
        <v/>
      </c>
      <c r="F3427">
        <f>IF(Skills!N28=TRUE,(Skills!L28/10)*(E3427/1000),Skills!L28/10)+Skills!O28</f>
        <v/>
      </c>
      <c r="G3427">
        <f>Skills!G28*IF(Skills!H28&gt;0,IF(Inputs!$B$39="pvp",MIN(Skills!I28,15),Skills!I28)/Skills!H28,1)</f>
        <v/>
      </c>
      <c r="H3427">
        <f>1-(1-Skills!J28/100)^Skills!K28</f>
        <v/>
      </c>
      <c r="I3427" t="inlineStr">
        <is>
          <t>1</t>
        </is>
      </c>
      <c r="J3427" t="inlineStr"/>
      <c r="K3427" t="inlineStr"/>
      <c r="L3427" t="inlineStr"/>
      <c r="M3427" t="inlineStr"/>
      <c r="N3427" t="inlineStr"/>
      <c r="O3427">
        <f>(1-Summary!$B$11)*T3427+Summary!$B$11*V3427</f>
        <v/>
      </c>
      <c r="P3427">
        <f>IF(B3445=0,0,O3427/B3445)</f>
        <v/>
      </c>
      <c r="Q3427" t="n">
        <v>0</v>
      </c>
      <c r="R3427" t="n">
        <v>0</v>
      </c>
      <c r="S3427">
        <f>IFERROR(O3427/N3427,0)</f>
        <v/>
      </c>
      <c r="T3427" t="n">
        <v>0</v>
      </c>
      <c r="V3427" t="n">
        <v>0</v>
      </c>
    </row>
    <row r="3428">
      <c r="A3428">
        <f>Skills!A29</f>
        <v/>
      </c>
      <c r="B3428">
        <f>Skills!B29</f>
        <v/>
      </c>
      <c r="C3428">
        <f>Inputs!$B$3&gt;=120</f>
        <v/>
      </c>
      <c r="D3428">
        <f>IF(Skills!C29=1,60+Inputs!$B$25+Inputs!$B$29,IF(Skills!C29=2,90+Inputs!$B$26+Inputs!$B$29,IF(Skills!C29=3,120+Inputs!$B$27+Inputs!$B$29,MAX(0,(Inputs!$B$3-100)*3)+Inputs!$B$28+Inputs!$B$29)))</f>
        <v/>
      </c>
      <c r="E3428">
        <f>INDEX(FactorTable!$B$2:$Y$301, MATCH(ROUND(MIN(300,MAX(1,D3428)),0), FactorTable!$A$2:$A$301,0), Skills!M29+1)</f>
        <v/>
      </c>
      <c r="F3428">
        <f>IF(Skills!N29=TRUE,(Skills!L29/10)*(E3428/1000),Skills!L29/10)+Skills!O29</f>
        <v/>
      </c>
      <c r="G3428">
        <f>Skills!G29*IF(Skills!H29&gt;0,IF(Inputs!$B$39="pvp",MIN(Skills!I29,15),Skills!I29)/Skills!H29,1)</f>
        <v/>
      </c>
      <c r="H3428">
        <f>1-(1-Skills!J29/100)^Skills!K29</f>
        <v/>
      </c>
      <c r="I3428" t="inlineStr">
        <is>
          <t>1</t>
        </is>
      </c>
      <c r="J3428" t="inlineStr"/>
      <c r="K3428" t="inlineStr"/>
      <c r="L3428" t="inlineStr"/>
      <c r="M3428" t="inlineStr"/>
      <c r="N3428" t="inlineStr"/>
      <c r="O3428">
        <f>(1-Summary!$B$11)*T3428+Summary!$B$11*V3428</f>
        <v/>
      </c>
      <c r="P3428">
        <f>IF(B3445=0,0,O3428/B3445)</f>
        <v/>
      </c>
      <c r="Q3428" t="n">
        <v>0</v>
      </c>
      <c r="R3428" t="n">
        <v>0</v>
      </c>
      <c r="S3428">
        <f>IFERROR(O3428/N3428,0)</f>
        <v/>
      </c>
      <c r="T3428" t="n">
        <v>0</v>
      </c>
      <c r="V3428" t="n">
        <v>0</v>
      </c>
    </row>
    <row r="3429">
      <c r="A3429">
        <f>Skills!A30</f>
        <v/>
      </c>
      <c r="B3429">
        <f>Skills!B30</f>
        <v/>
      </c>
      <c r="C3429">
        <f>Inputs!$B$3&gt;=120</f>
        <v/>
      </c>
      <c r="D3429">
        <f>IF(Skills!C30=1,60+Inputs!$B$25+Inputs!$B$29,IF(Skills!C30=2,90+Inputs!$B$26+Inputs!$B$29,IF(Skills!C30=3,120+Inputs!$B$27+Inputs!$B$29,MAX(0,(Inputs!$B$3-100)*3)+Inputs!$B$28+Inputs!$B$29)))</f>
        <v/>
      </c>
      <c r="E3429">
        <f>INDEX(FactorTable!$B$2:$Y$301, MATCH(ROUND(MIN(300,MAX(1,D3429)),0), FactorTable!$A$2:$A$301,0), Skills!M30+1)</f>
        <v/>
      </c>
      <c r="F3429">
        <f>IF(Skills!N30=TRUE,(Skills!L30/10)*(E3429/1000),Skills!L30/10)+Skills!O30</f>
        <v/>
      </c>
      <c r="G3429">
        <f>Skills!G30*IF(Skills!H30&gt;0,IF(Inputs!$B$39="pvp",MIN(Skills!I30,15),Skills!I30)/Skills!H30,1)</f>
        <v/>
      </c>
      <c r="H3429">
        <f>1-(1-Skills!J30/100)^Skills!K30</f>
        <v/>
      </c>
      <c r="I3429" t="inlineStr">
        <is>
          <t>1</t>
        </is>
      </c>
      <c r="J3429" t="inlineStr"/>
      <c r="K3429" t="inlineStr"/>
      <c r="L3429" t="inlineStr"/>
      <c r="M3429" t="inlineStr"/>
      <c r="N3429" t="inlineStr"/>
      <c r="O3429">
        <f>(1-Summary!$B$11)*T3429+Summary!$B$11*V3429</f>
        <v/>
      </c>
      <c r="P3429">
        <f>IF(B3445=0,0,O3429/B3445)</f>
        <v/>
      </c>
      <c r="Q3429" t="n">
        <v>0</v>
      </c>
      <c r="R3429" t="n">
        <v>0</v>
      </c>
      <c r="S3429">
        <f>IFERROR(O3429/N3429,0)</f>
        <v/>
      </c>
      <c r="T3429" t="n">
        <v>0</v>
      </c>
      <c r="V3429" t="n">
        <v>0</v>
      </c>
    </row>
    <row r="3430">
      <c r="A3430">
        <f>Skills!A31</f>
        <v/>
      </c>
      <c r="B3430">
        <f>Skills!B31</f>
        <v/>
      </c>
      <c r="C3430">
        <f>Inputs!$B$3&gt;=125</f>
        <v/>
      </c>
      <c r="D3430">
        <f>IF(Skills!C31=1,60+Inputs!$B$25+Inputs!$B$29,IF(Skills!C31=2,90+Inputs!$B$26+Inputs!$B$29,IF(Skills!C31=3,120+Inputs!$B$27+Inputs!$B$29,MAX(0,(Inputs!$B$3-100)*3)+Inputs!$B$28+Inputs!$B$29)))</f>
        <v/>
      </c>
      <c r="E3430">
        <f>INDEX(FactorTable!$B$2:$Y$301, MATCH(ROUND(MIN(300,MAX(1,D3430)),0), FactorTable!$A$2:$A$301,0), Skills!M31+1)</f>
        <v/>
      </c>
      <c r="F3430">
        <f>IF(Skills!N31=TRUE,(Skills!L31/10)*(E3430/1000),Skills!L31/10)+Skills!O31</f>
        <v/>
      </c>
      <c r="G3430">
        <f>Skills!G31*IF(Skills!H31&gt;0,IF(Inputs!$B$39="pvp",MIN(Skills!I31,15),Skills!I31)/Skills!H31,1)</f>
        <v/>
      </c>
      <c r="H3430">
        <f>1-(1-Skills!J31/100)^Skills!K31</f>
        <v/>
      </c>
      <c r="I3430" t="inlineStr">
        <is>
          <t>1</t>
        </is>
      </c>
      <c r="J3430" t="inlineStr"/>
      <c r="K3430" t="inlineStr"/>
      <c r="L3430" t="inlineStr"/>
      <c r="M3430" t="inlineStr"/>
      <c r="N3430" t="inlineStr"/>
      <c r="O3430">
        <f>(1-Summary!$B$11)*T3430+Summary!$B$11*V3430</f>
        <v/>
      </c>
      <c r="P3430">
        <f>IF(B3445=0,0,O3430/B3445)</f>
        <v/>
      </c>
      <c r="Q3430" t="n">
        <v>0</v>
      </c>
      <c r="R3430" t="n">
        <v>0</v>
      </c>
      <c r="S3430">
        <f>IFERROR(O3430/N3430,0)</f>
        <v/>
      </c>
      <c r="T3430" t="n">
        <v>0</v>
      </c>
      <c r="V3430" t="n">
        <v>0</v>
      </c>
    </row>
    <row r="3432">
      <c r="A3432" t="inlineStr">
        <is>
          <t>Average Buff Multiplier</t>
        </is>
      </c>
      <c r="B3432">
        <f>(1+(((C3421=TRUE)*F3421*IF(AND(Inputs!$B$39&lt;&gt;"pvp",Inputs!$B$44&gt;0),(((R3421-1)*MIN((Skills!Y22*(1+Inputs!$B$34/100)),(1/Q3421))+MIN((Skills!Y22*(1+Inputs!$B$34/100)),MAX(0,Inputs!$B$44-((R3421-1)*(1/Q3421)))))/Inputs!$B$44),IF(Inputs!$B$39="pvp",MIN((Skills!Y22*(1+Inputs!$B$34/100)),15)/15,MIN(1,(Skills!Y22*(1+Inputs!$B$34/100))/(1/Q3421)))))+((C3402=TRUE)*F3402*3)+((C3404=TRUE)*F3404*(1-EXP(-0.75*B3437*5)))+((C3423=TRUE)*(F3423-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3410=TRUE)*F3410*IF(AND(Inputs!$B$39&lt;&gt;"pvp",Inputs!$B$44&gt;0),(((R3410-1)*MIN((Skills!Y11*(1+Inputs!$B$34/100)),(1/Q3410))+MIN((Skills!Y11*(1+Inputs!$B$34/100)),MAX(0,Inputs!$B$44-((R3410-1)*(1/Q3410)))))/Inputs!$B$44),IF(Inputs!$B$39="pvp",MIN((Skills!Y11*(1+Inputs!$B$34/100)),15)/15,MIN(1,(Skills!Y11*(1+Inputs!$B$34/100))/(1/Q3410)))))/100)*(1+((C3415=TRUE)*F3415*IF(AND(Inputs!$B$39&lt;&gt;"pvp",Inputs!$B$44&gt;0),(((R3415-1)*MIN((Skills!Y16*(1+Inputs!$B$34/100)),(1/Q3415))+MIN((Skills!Y16*(1+Inputs!$B$34/100)),MAX(0,Inputs!$B$44-((R3415-1)*(1/Q3415)))))/Inputs!$B$44),IF(Inputs!$B$39="pvp",MIN((Skills!Y16*(1+Inputs!$B$34/100)),15)/15,MIN(1,(Skills!Y16*(1+Inputs!$B$34/100))/(1/Q3415)))))/100)</f>
        <v/>
      </c>
    </row>
    <row r="3433">
      <c r="A3433" t="inlineStr">
        <is>
          <t>Global Crit Rate Bonus %</t>
        </is>
      </c>
      <c r="B3433">
        <f>((C3420=TRUE)*F3420*IF(AND(Inputs!$B$39&lt;&gt;"pvp",Inputs!$B$44&gt;0),(((R3420-1)*MIN((Skills!Y21*(1+Inputs!$B$34/100)),(1/Q3420))+MIN((Skills!Y21*(1+Inputs!$B$34/100)),MAX(0,Inputs!$B$44-((R3420-1)*(1/Q3420)))))/Inputs!$B$44),IF(Inputs!$B$39="pvp",MIN((Skills!Y21*(1+Inputs!$B$34/100)),15)/15,MIN(1,(Skills!Y21*(1+Inputs!$B$34/100))/(1/Q3420)))))</f>
        <v/>
      </c>
    </row>
    <row r="3434">
      <c r="A3434" t="inlineStr">
        <is>
          <t>Global Monster Damage-Taken Bonus %</t>
        </is>
      </c>
      <c r="B3434">
        <f>IF(Inputs!$B$3&gt;=82,15,0)</f>
        <v/>
      </c>
    </row>
    <row r="3435">
      <c r="A3435" t="inlineStr">
        <is>
          <t>Shadow Partner Average Multiplier</t>
        </is>
      </c>
      <c r="B3435">
        <f>1+((C3407=TRUE)*F3407*(1+3.3333333333333335*IF(C3418=TRUE,F3418,0)/100)*I3407*Skills!J8/100)/100</f>
        <v/>
      </c>
    </row>
    <row r="3436">
      <c r="A3436" t="inlineStr">
        <is>
          <t>Attack Speed Buff Bonus %</t>
        </is>
      </c>
      <c r="B3436">
        <f>((C3419=TRUE)*F3419*IF(AND(Inputs!$B$39&lt;&gt;"pvp",Inputs!$B$44&gt;0),(((R3419-1)*MIN((Skills!Y20*(1+Inputs!$B$34/100)),(1/Q3419))+MIN((Skills!Y20*(1+Inputs!$B$34/100)),MAX(0,Inputs!$B$44-((R3419-1)*(1/Q3419)))))/Inputs!$B$44),IF(Inputs!$B$39="pvp",MIN((Skills!Y20*(1+Inputs!$B$34/100)),15)/15,MIN(1,(Skills!Y20*(1+Inputs!$B$34/100))/(1/Q3419)))))</f>
        <v/>
      </c>
    </row>
    <row r="3437">
      <c r="A3437" t="inlineStr">
        <is>
          <t>Actions Per Second</t>
        </is>
      </c>
      <c r="B3437">
        <f>1+MIN(150,150*(1-(1-(Inputs!$B$11+((C3422=TRUE)*(F3422-Calc!F23)))/150)*(1-B3436/150)))/100</f>
        <v/>
      </c>
    </row>
    <row r="3438">
      <c r="A3438" t="inlineStr">
        <is>
          <t>Skill + Buff Cast Rate</t>
        </is>
      </c>
      <c r="B3438">
        <f>IF(AND(Inputs!$B$39&lt;&gt;"pvp",Inputs!$B$44&gt;0),SUMPRODUCT((Skills!E2:E31=TRUE)*(C3401:C3430=TRUE)*R3401:R3430*Skills!F2:F31)/Inputs!$B$44,SUMPRODUCT((Skills!E2:E31=TRUE)*(C3401:C3430=TRUE)*Q3401:Q3430*Skills!F2:F31))</f>
        <v/>
      </c>
    </row>
    <row r="3439">
      <c r="A3439" t="inlineStr">
        <is>
          <t>Cruel Stab Casts Per Second</t>
        </is>
      </c>
      <c r="B3439">
        <f>MAX(0,B3437-B3438)</f>
        <v/>
      </c>
    </row>
    <row r="3440">
      <c r="A3440" t="inlineStr">
        <is>
          <t>Global Critical Damage Bonus % (Smokescreen Mastery Lv.113)</t>
        </is>
      </c>
      <c r="B3440">
        <f>IF(Inputs!$B$3&gt;=113,30,0)*IF(AND(Inputs!$B$39&lt;&gt;"pvp",Inputs!$B$44&gt;0),(((R3415-1)*MIN((Skills!Y16*(1+Inputs!$B$34/100)),(1/Q3415))+MIN((Skills!Y16*(1+Inputs!$B$34/100)),MAX(0,Inputs!$B$44-((R3415-1)*(1/Q3415)))))/Inputs!$B$44),IF(Inputs!$B$39="pvp",MIN((Skills!Y16*(1+Inputs!$B$34/100)),15)/15,MIN(1,(Skills!Y16*(1+Inputs!$B$34/100))/(1/Q3415))))</f>
        <v/>
      </c>
    </row>
    <row r="3441">
      <c r="A3441" t="inlineStr">
        <is>
          <t>Meso Explosion average stack count</t>
        </is>
      </c>
      <c r="B3441">
        <f>MIN(10,IF(Inputs!$B$3&gt;=75,0.75,0.5)*B3437*(1/Q3403))</f>
        <v/>
      </c>
    </row>
    <row r="3442">
      <c r="A3442" t="inlineStr">
        <is>
          <t>Blood Money average stack count</t>
        </is>
      </c>
      <c r="B3442">
        <f>MIN(5,0.5*IF(Inputs!$B$3&gt;=75,0.75,0.5)*B3437*(1/Q3403))</f>
        <v/>
      </c>
    </row>
    <row r="3443">
      <c r="A3443" t="inlineStr">
        <is>
          <t>Assassinate Murderous Intent Multiplier</t>
        </is>
      </c>
      <c r="B3443">
        <f>1+IFERROR(MIN(1,Q3414*2/Q3411),0)</f>
        <v/>
      </c>
    </row>
    <row r="3444">
      <c r="A3444" t="inlineStr">
        <is>
          <t>Buff-Casting Startup Delay (s, fixed-duration only)</t>
        </is>
      </c>
      <c r="B3444">
        <f>IF(AND(Inputs!$B$39&lt;&gt;"pvp",Inputs!$B$44&gt;0),SUMPRODUCT((Skills!Y2:Y31&gt;0)*(Skills!E2:E31=TRUE)*(C3401:C3430=TRUE))/B3437,0)</f>
        <v/>
      </c>
    </row>
    <row r="3445">
      <c r="A3445" s="6" t="inlineStr">
        <is>
          <t>TOTAL DPS</t>
        </is>
      </c>
      <c r="B3445" s="6">
        <f>SUM(O3401:O3430)</f>
        <v/>
      </c>
    </row>
    <row r="3446">
      <c r="A3446" t="inlineStr">
        <is>
          <t>Boss-Only Total DPS (this block's swept value)</t>
        </is>
      </c>
      <c r="B3446">
        <f>SUM(T3401:T3430)</f>
        <v/>
      </c>
    </row>
    <row r="3447">
      <c r="A3447" t="inlineStr">
        <is>
          <t>Normal-Only Total DPS (this block's swept value)</t>
        </is>
      </c>
      <c r="B3447">
        <f>SUM(V3401:V3430)</f>
        <v/>
      </c>
    </row>
    <row r="3450">
      <c r="A3450" s="6" t="inlineStr">
        <is>
          <t>Stat: CDR = 2.0s</t>
        </is>
      </c>
    </row>
    <row r="3451">
      <c r="A3451" s="5" t="inlineStr">
        <is>
          <t>Key</t>
        </is>
      </c>
      <c r="B3451" s="5" t="inlineStr">
        <is>
          <t>Name</t>
        </is>
      </c>
      <c r="C3451" s="5" t="inlineStr">
        <is>
          <t>Unlocked</t>
        </is>
      </c>
      <c r="D3451" s="5" t="inlineStr">
        <is>
          <t>InputLevel</t>
        </is>
      </c>
      <c r="E3451" s="5" t="inlineStr">
        <is>
          <t>Factor</t>
        </is>
      </c>
      <c r="F3451" s="5" t="inlineStr">
        <is>
          <t>CoefficientPercent</t>
        </is>
      </c>
      <c r="G3451" s="5" t="inlineStr">
        <is>
          <t>EffectiveHits</t>
        </is>
      </c>
      <c r="H3451" s="5" t="inlineStr">
        <is>
          <t>ProcProbability</t>
        </is>
      </c>
      <c r="I3451" s="5" t="inlineStr">
        <is>
          <t>MapleHeroMultiplier</t>
        </is>
      </c>
      <c r="J3451" s="5" t="inlineStr">
        <is>
          <t>BaseDamage</t>
        </is>
      </c>
      <c r="K3451" s="5" t="inlineStr">
        <is>
          <t>BaseHitDamage</t>
        </is>
      </c>
      <c r="L3451" s="5" t="inlineStr">
        <is>
          <t>NonCritAvg</t>
        </is>
      </c>
      <c r="M3451" s="5" t="inlineStr">
        <is>
          <t>CritAvg</t>
        </is>
      </c>
      <c r="N3451" s="5" t="inlineStr">
        <is>
          <t>ExpectedDamage(perHit)</t>
        </is>
      </c>
      <c r="O3451" s="5" t="inlineStr">
        <is>
          <t>DPS</t>
        </is>
      </c>
      <c r="P3451" s="5" t="inlineStr">
        <is>
          <t>% of Total</t>
        </is>
      </c>
      <c r="Q3451" s="5" t="inlineStr">
        <is>
          <t>InvCooldown</t>
        </is>
      </c>
      <c r="R3451" s="5" t="inlineStr">
        <is>
          <t>CastsInFight</t>
        </is>
      </c>
      <c r="S3451" s="5" t="inlineStr">
        <is>
          <t>HitRate(perSec)</t>
        </is>
      </c>
      <c r="U3451" t="inlineStr">
        <is>
          <t>helpers</t>
        </is>
      </c>
    </row>
    <row r="3452">
      <c r="A3452">
        <f>Skills!A2</f>
        <v/>
      </c>
      <c r="B3452">
        <f>Skills!B2</f>
        <v/>
      </c>
      <c r="C3452">
        <f>Inputs!$B$3&gt;=100</f>
        <v/>
      </c>
      <c r="D3452" t="inlineStr"/>
      <c r="E3452" t="inlineStr"/>
      <c r="F3452">
        <f>U3454+Skills!O2</f>
        <v/>
      </c>
      <c r="G3452">
        <f>Skills!G2*IF(Skills!H2&gt;0,IF(Inputs!$B$39="pvp",MIN(Skills!I2,15),Skills!I2)/Skills!H2,1)</f>
        <v/>
      </c>
      <c r="H3452">
        <f>1-(1-Skills!J2/100)^Skills!K2</f>
        <v/>
      </c>
      <c r="I3452" t="inlineStr">
        <is>
          <t>1</t>
        </is>
      </c>
      <c r="J3452">
        <f>((Inputs!$B$6*(1+Inputs!$B$7/100))+(((Inputs!$B$12*(1+Inputs!$B$13/100))-(Inputs!$B$12*(1+Inputs!$B$13/100)))+0.25*(Inputs!$B$14-Inputs!$B$14))*(1+Inputs!$B$7/100))*(F3452/100)</f>
        <v/>
      </c>
      <c r="K3452">
        <f>J3452*(1+((Inputs!$B$12*(1+Inputs!$B$13/100))*0.01+Inputs!$B$14*0.0025)/100)*(1+Inputs!$B$15/100)*(1+Inputs!$B$16/100)*(5000/(6000+Inputs!$B$43*(1-(100*(1-(1-Inputs!$B$19/100)*(1-CHOOSE(ArtifactsInput!$N$40+1,5,6,7,8,9,10)/100)^(ArtifactsInput!$M$40-ArtifactsInput!$M$40)))/100)))*(1+(Inputs!$B$24+((C3481=TRUE)*(F3481-Calc!F31))+((C3468=TRUE)*(F3468-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CRUEL_STAB",Inputs!$B$17+((C3478=TRUE)*(F3478-Calc!F28))+((IF(AND(Inputs!$B$39&lt;&gt;"pvp",Inputs!$B$44=0),1,IF(IF(Inputs!$B$39="pvp",15,Inputs!$B$44)-(B3495)&lt;=0,1,MAX(0,IF(Inputs!$B$39="pvp",15,Inputs!$B$44)-MAX(5,B3495))/(IF(Inputs!$B$39="pvp",15,Inputs!$B$44)-(B3495))))*(IF(AND(ArtifactsInput!$M$42,((Inputs!$B$9+((C3476=TRUE)*(F3476-Calc!F26))+B3484+(ArtifactsInput!$M$24-ArtifactsInput!$M$24)*CHOOSE(ArtifactsInput!$N$24+1,10,12,14,16,18,20)+IF(ArtifactsInput!$M$10,CHOOSE(ArtifactsInput!$N$10+1,15,18,21,24,27,30)*(IF(Inputs!$B$39="pvp",MIN(15,15)/15,IF(AND(Inputs!$B$39&lt;&gt;"pvp",Inputs!$B$44&gt;0),MIN(15,Inputs!$B$44)/(Inputs!$B$44),0))),0)))&gt;=100),MIN(100,((Inputs!$B$9+((C3476=TRUE)*(F3476-Calc!F26))+B3484+(ArtifactsInput!$M$24-ArtifactsInput!$M$24)*CHOOSE(ArtifactsInput!$N$24+1,10,12,14,16,18,20)+IF(ArtifactsInput!$M$10,CHOOSE(ArtifactsInput!$N$10+1,15,18,21,24,27,30)*(IF(Inputs!$B$39="pvp",MIN(15,15)/15,IF(AND(Inputs!$B$39&lt;&gt;"pvp",Inputs!$B$44&gt;0),MIN(15,Inputs!$B$44)/(Inputs!$B$44),0))),0)))-100),0))*CHOOSE(ArtifactsInput!$N$42+1,0.6,0.72,0.84,0.96,1.08,1.2))),Inputs!$B$18+((C3479=TRUE)*(F3479-Calc!F29))+(IF(AND(Inputs!$B$39&lt;&gt;"pvp",Inputs!$B$44=0),1,IF(IF(Inputs!$B$39="pvp",15,Inputs!$B$44)-(B3495)&lt;=0,1,MAX(0,IF(Inputs!$B$39="pvp",15,Inputs!$B$44)-MAX(5,B3495))/(IF(Inputs!$B$39="pvp",15,Inputs!$B$44)-(B3495))))*IF(AND(ArtifactsInput!$M$42,((Inputs!$B$9+((C3476=TRUE)*(F3476-Calc!F26))+B3484+(ArtifactsInput!$M$24-ArtifactsInput!$M$24)*CHOOSE(ArtifactsInput!$N$24+1,10,12,14,16,18,20)+IF(ArtifactsInput!$M$10,CHOOSE(ArtifactsInput!$N$10+1,15,18,21,24,27,30)*(IF(Inputs!$B$39="pvp",MIN(15,15)/15,IF(AND(Inputs!$B$39&lt;&gt;"pvp",Inputs!$B$44&gt;0),MIN(15,Inputs!$B$44)/(Inputs!$B$44),0))),0)))&gt;=100),CHOOSE(ArtifactsInput!$N$42+1,40,48,56,64,72,80),0))))/100)*(((1+(((C3472=TRUE)*F3472*IF(AND(Inputs!$B$39&lt;&gt;"pvp",Inputs!$B$44&gt;0),(((R3472-1)*MIN((Skills!Y22*(1+Inputs!$B$34/100)),(1/Q3472))+MIN((Skills!Y22*(1+Inputs!$B$34/100)),MAX(0,Inputs!$B$44-((R3472-1)*(1/Q3472)))))/Inputs!$B$44),IF(Inputs!$B$39="pvp",MIN((Skills!Y22*(1+Inputs!$B$34/100)),15)/15,MIN(1,(Skills!Y22*(1+Inputs!$B$34/100))/(1/Q3472)))))+((C3453=TRUE)*F3453*3)+((C3455=TRUE)*F3455*(1-EXP(-0.75*B3488*5)))+((C3474=TRUE)*(F3474-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3461=TRUE)*F3461*IF(AND(Inputs!$B$39&lt;&gt;"pvp",Inputs!$B$44&gt;0),(((R3461-1)*MIN((Skills!Y11*(1+Inputs!$B$34/100)),(1/Q3461))+MIN((Skills!Y11*(1+Inputs!$B$34/100)),MAX(0,Inputs!$B$44-((R3461-1)*(1/Q3461)))))/Inputs!$B$44),IF(Inputs!$B$39="pvp",MIN((Skills!Y11*(1+Inputs!$B$34/100)),15)/15,MIN(1,(Skills!Y11*(1+Inputs!$B$34/100))/(1/Q3461)))))/100)*(1+((C3466=TRUE)*F3466*IF(AND(Inputs!$B$39&lt;&gt;"pvp",Inputs!$B$44&gt;0),(((R3466-1)*MIN((Skills!Y16*(1+Inputs!$B$34/100)),(1/Q3466))+MIN((Skills!Y16*(1+Inputs!$B$34/100)),MAX(0,Inputs!$B$44-((R3466-1)*(1/Q3466)))))/Inputs!$B$44),IF(Inputs!$B$39="pvp",MIN((Skills!Y16*(1+Inputs!$B$34/100)),15)/15,MIN(1,(Skills!Y16*(1+Inputs!$B$34/100))/(1/Q3466)))))/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3486*I3452)</f>
        <v/>
      </c>
      <c r="L3452">
        <f>K3452*(MIN(Inputs!$B$22+((C3475=TRUE)*(F3475-Calc!F25)),(Inputs!$B$23+((C3480=TRUE)*(F3480-Calc!F30))+IF(ArtifactsInput!$M$15,CHOOSE(ArtifactsInput!$N$15+1,25,30,35,40,45,50)/100*(Inputs!$B$11-Inputs!$B$11),0)))/100+(Inputs!$B$23+((C3480=TRUE)*(F3480-Calc!F30))+IF(ArtifactsInput!$M$15,CHOOSE(ArtifactsInput!$N$15+1,25,30,35,40,45,50)/100*(Inputs!$B$11-Inputs!$B$11),0))/100)/2</f>
        <v/>
      </c>
      <c r="M3452">
        <f>L3452*(1+(Inputs!$B$10+((C3477=TRUE)*(F3477-Calc!F27))+B3491+(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3452">
        <f>L3452*(1-MIN((Inputs!$B$9+((C3476=TRUE)*(F3476-Calc!F26))+B3484+(ArtifactsInput!$M$24-ArtifactsInput!$M$24)*CHOOSE(ArtifactsInput!$N$24+1,10,12,14,16,18,20)+(IF(AND(Inputs!$B$39&lt;&gt;"pvp",Inputs!$B$44=0),1,IF(IF(Inputs!$B$39="pvp",15,Inputs!$B$44)-(B3495)&lt;=0,1,MAX(0,IF(Inputs!$B$39="pvp",15,Inputs!$B$44)-MAX(5,B3495))/(IF(Inputs!$B$39="pvp",15,Inputs!$B$44)-(B3495))))*IF(AND(ArtifactsInput!$M$42,((Inputs!$B$9+((C3476=TRUE)*(F3476-Calc!F26))+B3484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3452*(MIN((Inputs!$B$9+((C3476=TRUE)*(F3476-Calc!F26))+B3484+(ArtifactsInput!$M$24-ArtifactsInput!$M$24)*CHOOSE(ArtifactsInput!$N$24+1,10,12,14,16,18,20)+(IF(AND(Inputs!$B$39&lt;&gt;"pvp",Inputs!$B$44=0),1,IF(IF(Inputs!$B$39="pvp",15,Inputs!$B$44)-(B3495)&lt;=0,1,MAX(0,IF(Inputs!$B$39="pvp",15,Inputs!$B$44)-MAX(5,B3495))/(IF(Inputs!$B$39="pvp",15,Inputs!$B$44)-(B3495))))*IF(AND(ArtifactsInput!$M$42,((Inputs!$B$9+((C3476=TRUE)*(F3476-Calc!F26))+B3484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3452">
        <f>(1-Summary!$B$11)*T3452+Summary!$B$11*V3452</f>
        <v/>
      </c>
      <c r="P3452">
        <f>IF(B3496=0,0,O3452/B3496)</f>
        <v/>
      </c>
      <c r="Q3452" t="n">
        <v>0</v>
      </c>
      <c r="R3452" t="n">
        <v>0</v>
      </c>
      <c r="S3452">
        <f>IFERROR(O3452/N3452,0)</f>
        <v/>
      </c>
      <c r="T3452">
        <f>IF(C3452,(Skills!G2*N3452*B3490)*IF(Inputs!$B$39="pvp",1,1+(Inputs!$B$20+0+Skills!P2+B3485+(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Hunt"),CHOOSE(ArtifactsInput!$N$35+1,15,18,21,24,27,30)*(1-EXP(-(0.2*B3488)*5)),0)+IF(AND(ArtifactsInput!$M$22,Inputs!$B$4&lt;&gt;"Chapter Hunt"),CHOOSE(ArtifactsInput!$N$22+1,10,12,14,16,18,20)*((0*(((0.15*B3488*5))^0/1)+1*(((0.15*B3488*5))^1/1)+2*(((0.15*B3488*5))^2/2)+3*(((0.15*B3488*5))^3/6)+4*(((0.15*B3488*5))^4/24)+5*(((0.15*B3488*5))^5/120))/((((0.15*B3488*5))^0/1)+(((0.15*B3488*5))^1/1)+(((0.15*B3488*5))^2/2)+(((0.15*B3488*5))^3/6)+(((0.15*B3488*5))^4/24)+(((0.15*B3488*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3452*(1-MIN(100,(Inputs!$B$9+((C3476=TRUE)*(F3476-Calc!F26))+B3484+(ArtifactsInput!$M$24-ArtifactsInput!$M$24)*CHOOSE(ArtifactsInput!$N$24+1,10,12,14,16,18,20)+(IF(AND(Inputs!$B$39&lt;&gt;"pvp",Inputs!$B$44=0),1,IF(IF(Inputs!$B$39="pvp",15,Inputs!$B$44)-(B3495)&lt;=0,1,MAX(0,IF(Inputs!$B$39="pvp",15,Inputs!$B$44)-MAX(5,B3495))/(IF(Inputs!$B$39="pvp",15,Inputs!$B$44)-(B3495))))*IF(AND(ArtifactsInput!$M$42,((Inputs!$B$9+((C3476=TRUE)*(F3476-Calc!F26))+B3484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3452*(MIN(100,(Inputs!$B$9+((C3476=TRUE)*(F3476-Calc!F26))+B3484+(ArtifactsInput!$M$24-ArtifactsInput!$M$24)*CHOOSE(ArtifactsInput!$N$24+1,10,12,14,16,18,20)+(IF(AND(Inputs!$B$39&lt;&gt;"pvp",Inputs!$B$44=0),1,IF(IF(Inputs!$B$39="pvp",15,Inputs!$B$44)-(B3495)&lt;=0,1,MAX(0,IF(Inputs!$B$39="pvp",15,Inputs!$B$44)-MAX(5,B3495))/(IF(Inputs!$B$39="pvp",15,Inputs!$B$44)-(B3495))))*IF(AND(ArtifactsInput!$M$42,((Inputs!$B$9+((C3476=TRUE)*(F3476-Calc!F26))+B3484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3452*(1-MIN(100,(Inputs!$B$9+((C3476=TRUE)*(F3476-Calc!F26))+B3484+(ArtifactsInput!$M$24-ArtifactsInput!$M$24)*CHOOSE(ArtifactsInput!$N$24+1,10,12,14,16,18,20)+(IF(AND(Inputs!$B$39&lt;&gt;"pvp",Inputs!$B$44=0),1,IF(IF(Inputs!$B$39="pvp",15,Inputs!$B$44)-(B3495)&lt;=0,1,MAX(0,IF(Inputs!$B$39="pvp",15,Inputs!$B$44)-MAX(5,B3495))/(IF(Inputs!$B$39="pvp",15,Inputs!$B$44)-(B3495))))*IF(AND(ArtifactsInput!$M$42,((Inputs!$B$9+((C3476=TRUE)*(F3476-Calc!F26))+B3484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3452*(MIN(100,(Inputs!$B$9+((C3476=TRUE)*(F3476-Calc!F26))+B3484+(ArtifactsInput!$M$24-ArtifactsInput!$M$24)*CHOOSE(ArtifactsInput!$N$24+1,10,12,14,16,18,20)+(IF(AND(Inputs!$B$39&lt;&gt;"pvp",Inputs!$B$44=0),1,IF(IF(Inputs!$B$39="pvp",15,Inputs!$B$44)-(B3495)&lt;=0,1,MAX(0,IF(Inputs!$B$39="pvp",15,Inputs!$B$44)-MAX(5,B3495))/(IF(Inputs!$B$39="pvp",15,Inputs!$B$44)-(B3495))))*IF(AND(ArtifactsInput!$M$42,((Inputs!$B$9+((C3476=TRUE)*(F3476-Calc!F26))+B3484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3452">
        <f>MAX(0,(Inputs!$B$3-100)*3)+Inputs!$B$28+Inputs!$B$29</f>
        <v/>
      </c>
      <c r="V3452">
        <f>IF(C3452,(Skills!G2*N3452*B3490)*IF(Inputs!$B$39="pvp",1,(1+(Inputs!$B$21+Skills!Q2+B3485+(IF(ArtifactsInput!$M$33,CHOOSE(ArtifactsInput!$N$33+1,30,36,42,48,54,60),0))+(IF(AND(ArtifactsInput!$M$35,Inputs!$B$4&lt;&gt;"Chapter Hunt"),CHOOSE(ArtifactsInput!$N$35+1,15,18,21,24,27,30)*(1-EXP(-(0.2*B3488)*5)),0)+IF(AND(ArtifactsInput!$M$22,Inputs!$B$4&lt;&gt;"Chapter Hunt"),CHOOSE(ArtifactsInput!$N$22+1,10,12,14,16,18,20)*((0*(((0.15*B3488*5))^0/1)+1*(((0.15*B3488*5))^1/1)+2*(((0.15*B3488*5))^2/2)+3*(((0.15*B3488*5))^3/6)+4*(((0.15*B3488*5))^4/24)+5*(((0.15*B3488*5))^5/120))/((((0.15*B3488*5))^0/1)+(((0.15*B3488*5))^1/1)+(((0.15*B3488*5))^2/2)+(((0.15*B3488*5))^3/6)+(((0.15*B3488*5))^4/24)+(((0.15*B3488*5))^5/120))),0)))/100)*(MIN((6+Inputs!$B$33),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3453">
      <c r="A3453">
        <f>Skills!A3</f>
        <v/>
      </c>
      <c r="B3453">
        <f>Skills!B3</f>
        <v/>
      </c>
      <c r="C3453">
        <f>Inputs!$B$3&gt;=35</f>
        <v/>
      </c>
      <c r="D3453">
        <f>IF(Skills!C3=1,60+Inputs!$B$25+Inputs!$B$29,IF(Skills!C3=2,90+Inputs!$B$26+Inputs!$B$29,IF(Skills!C3=3,120+Inputs!$B$27+Inputs!$B$29,MAX(0,(Inputs!$B$3-100)*3)+Inputs!$B$28+Inputs!$B$29)))</f>
        <v/>
      </c>
      <c r="E3453">
        <f>INDEX(FactorTable!$B$2:$Y$301, MATCH(ROUND(MIN(300,MAX(1,D3453)),0), FactorTable!$A$2:$A$301,0), Skills!M3+1)</f>
        <v/>
      </c>
      <c r="F3453">
        <f>IF(Skills!N3=TRUE,(Skills!L3/10)*(E3453/1000),Skills!L3/10)+Skills!O3</f>
        <v/>
      </c>
      <c r="G3453">
        <f>Skills!G3*IF(Skills!H3&gt;0,IF(Inputs!$B$39="pvp",MIN(Skills!I3,15),Skills!I3)/Skills!H3,1)</f>
        <v/>
      </c>
      <c r="H3453">
        <f>1-(1-Skills!J3/100)^Skills!K3</f>
        <v/>
      </c>
      <c r="I3453" t="inlineStr">
        <is>
          <t>1</t>
        </is>
      </c>
      <c r="J3453" t="inlineStr"/>
      <c r="K3453" t="inlineStr"/>
      <c r="L3453" t="inlineStr"/>
      <c r="M3453" t="inlineStr"/>
      <c r="N3453" t="inlineStr"/>
      <c r="O3453">
        <f>(1-Summary!$B$11)*T3453+Summary!$B$11*V3453</f>
        <v/>
      </c>
      <c r="P3453">
        <f>IF(B3496=0,0,O3453/B3496)</f>
        <v/>
      </c>
      <c r="Q3453" t="n">
        <v>0</v>
      </c>
      <c r="R3453" t="n">
        <v>0</v>
      </c>
      <c r="S3453">
        <f>IFERROR(O3453/N3453,0)</f>
        <v/>
      </c>
      <c r="T3453" t="n">
        <v>0</v>
      </c>
      <c r="U3453">
        <f>INDEX(FactorTable!$B$2:$Y$301, MATCH(ROUND(MIN(300,MAX(1,U3452)),0), FactorTable!$A$2:$A$301,0), 22)</f>
        <v/>
      </c>
      <c r="V3453" t="n">
        <v>0</v>
      </c>
    </row>
    <row r="3454">
      <c r="A3454">
        <f>Skills!A4</f>
        <v/>
      </c>
      <c r="B3454">
        <f>Skills!B4</f>
        <v/>
      </c>
      <c r="C3454">
        <f>Inputs!$B$3&gt;=66</f>
        <v/>
      </c>
      <c r="D3454">
        <f>IF(Skills!C4=1,60+Inputs!$B$25+Inputs!$B$29,IF(Skills!C4=2,90+Inputs!$B$26+Inputs!$B$29,IF(Skills!C4=3,120+Inputs!$B$27+Inputs!$B$29,MAX(0,(Inputs!$B$3-100)*3)+Inputs!$B$28+Inputs!$B$29)))</f>
        <v/>
      </c>
      <c r="E3454">
        <f>INDEX(FactorTable!$B$2:$Y$301, MATCH(ROUND(MIN(300,MAX(1,D3454)),0), FactorTable!$A$2:$A$301,0), Skills!M4+1)</f>
        <v/>
      </c>
      <c r="F3454">
        <f>IF(Skills!N4=TRUE,(Skills!L4/10)*(E3454/1000),Skills!L4/10)+Skills!O4</f>
        <v/>
      </c>
      <c r="G3454">
        <f>Skills!G4*IF(Skills!H4&gt;0,IF(Inputs!$B$39="pvp",MIN(Skills!I4,15),Skills!I4)/Skills!H4,1)</f>
        <v/>
      </c>
      <c r="H3454">
        <f>1-(1-Skills!J4/100)^Skills!K4</f>
        <v/>
      </c>
      <c r="I3454" t="inlineStr">
        <is>
          <t>1</t>
        </is>
      </c>
      <c r="J3454">
        <f>((Inputs!$B$6*(1+Inputs!$B$7/100))+(((Inputs!$B$12*(1+Inputs!$B$13/100))-(Inputs!$B$12*(1+Inputs!$B$13/100)))+0.25*(Inputs!$B$14-Inputs!$B$14))*(1+Inputs!$B$7/100))*(F3454/100)</f>
        <v/>
      </c>
      <c r="K3454">
        <f>J3454*(1+((Inputs!$B$12*(1+Inputs!$B$13/100))*0.01+Inputs!$B$14*0.0025)/100)*(1+Inputs!$B$15/100)*(1+Inputs!$B$16/100)*(5000/(6000+Inputs!$B$43*(1-(100*(1-(1-Inputs!$B$19/100)*(1-CHOOSE(ArtifactsInput!$N$40+1,5,6,7,8,9,10)/100)^(ArtifactsInput!$M$40-ArtifactsInput!$M$40)))/100)))*(1+(Inputs!$B$24+((C3481=TRUE)*(F3481-Calc!F31))+((C3468=TRUE)*(F3468-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4="CRUEL_STAB",Inputs!$B$17+((C3478=TRUE)*(F3478-Calc!F28))+((IF(AND(Inputs!$B$39&lt;&gt;"pvp",Inputs!$B$44=0),1,IF(IF(Inputs!$B$39="pvp",15,Inputs!$B$44)-(B3495)&lt;=0,1,MAX(0,IF(Inputs!$B$39="pvp",15,Inputs!$B$44)-MAX(5,B3495))/(IF(Inputs!$B$39="pvp",15,Inputs!$B$44)-(B3495))))*(IF(AND(ArtifactsInput!$M$42,((Inputs!$B$9+((C3476=TRUE)*(F3476-Calc!F26))+B3484+(ArtifactsInput!$M$24-ArtifactsInput!$M$24)*CHOOSE(ArtifactsInput!$N$24+1,10,12,14,16,18,20)+IF(ArtifactsInput!$M$10,CHOOSE(ArtifactsInput!$N$10+1,15,18,21,24,27,30)*(IF(Inputs!$B$39="pvp",MIN(15,15)/15,IF(AND(Inputs!$B$39&lt;&gt;"pvp",Inputs!$B$44&gt;0),MIN(15,Inputs!$B$44)/(Inputs!$B$44),0))),0)))&gt;=100),MIN(100,((Inputs!$B$9+((C3476=TRUE)*(F3476-Calc!F26))+B3484+(ArtifactsInput!$M$24-ArtifactsInput!$M$24)*CHOOSE(ArtifactsInput!$N$24+1,10,12,14,16,18,20)+IF(ArtifactsInput!$M$10,CHOOSE(ArtifactsInput!$N$10+1,15,18,21,24,27,30)*(IF(Inputs!$B$39="pvp",MIN(15,15)/15,IF(AND(Inputs!$B$39&lt;&gt;"pvp",Inputs!$B$44&gt;0),MIN(15,Inputs!$B$44)/(Inputs!$B$44),0))),0)))-100),0))*CHOOSE(ArtifactsInput!$N$42+1,0.6,0.72,0.84,0.96,1.08,1.2))),Inputs!$B$18+((C3479=TRUE)*(F3479-Calc!F29))+(IF(AND(Inputs!$B$39&lt;&gt;"pvp",Inputs!$B$44=0),1,IF(IF(Inputs!$B$39="pvp",15,Inputs!$B$44)-(B3495)&lt;=0,1,MAX(0,IF(Inputs!$B$39="pvp",15,Inputs!$B$44)-MAX(5,B3495))/(IF(Inputs!$B$39="pvp",15,Inputs!$B$44)-(B3495))))*IF(AND(ArtifactsInput!$M$42,((Inputs!$B$9+((C3476=TRUE)*(F3476-Calc!F26))+B3484+(ArtifactsInput!$M$24-ArtifactsInput!$M$24)*CHOOSE(ArtifactsInput!$N$24+1,10,12,14,16,18,20)+IF(ArtifactsInput!$M$10,CHOOSE(ArtifactsInput!$N$10+1,15,18,21,24,27,30)*(IF(Inputs!$B$39="pvp",MIN(15,15)/15,IF(AND(Inputs!$B$39&lt;&gt;"pvp",Inputs!$B$44&gt;0),MIN(15,Inputs!$B$44)/(Inputs!$B$44),0))),0)))&gt;=100),CHOOSE(ArtifactsInput!$N$42+1,40,48,56,64,72,80),0))))/100)*(((1+(((C3472=TRUE)*F3472*IF(AND(Inputs!$B$39&lt;&gt;"pvp",Inputs!$B$44&gt;0),(((R3472-1)*MIN((Skills!Y22*(1+Inputs!$B$34/100)),(1/Q3472))+MIN((Skills!Y22*(1+Inputs!$B$34/100)),MAX(0,Inputs!$B$44-((R3472-1)*(1/Q3472)))))/Inputs!$B$44),IF(Inputs!$B$39="pvp",MIN((Skills!Y22*(1+Inputs!$B$34/100)),15)/15,MIN(1,(Skills!Y22*(1+Inputs!$B$34/100))/(1/Q3472)))))+((C3453=TRUE)*F3453*3)+((C3455=TRUE)*F3455*(1-EXP(-0.75*B3488*5)))+((C3474=TRUE)*(F3474-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3461=TRUE)*F3461*IF(AND(Inputs!$B$39&lt;&gt;"pvp",Inputs!$B$44&gt;0),(((R3461-1)*MIN((Skills!Y11*(1+Inputs!$B$34/100)),(1/Q3461))+MIN((Skills!Y11*(1+Inputs!$B$34/100)),MAX(0,Inputs!$B$44-((R3461-1)*(1/Q3461)))))/Inputs!$B$44),IF(Inputs!$B$39="pvp",MIN((Skills!Y11*(1+Inputs!$B$34/100)),15)/15,MIN(1,(Skills!Y11*(1+Inputs!$B$34/100))/(1/Q3461)))))/100)*(1+((C3466=TRUE)*F3466*IF(AND(Inputs!$B$39&lt;&gt;"pvp",Inputs!$B$44&gt;0),(((R3466-1)*MIN((Skills!Y16*(1+Inputs!$B$34/100)),(1/Q3466))+MIN((Skills!Y16*(1+Inputs!$B$34/100)),MAX(0,Inputs!$B$44-((R3466-1)*(1/Q3466)))))/Inputs!$B$44),IF(Inputs!$B$39="pvp",MIN((Skills!Y16*(1+Inputs!$B$34/100)),15)/15,MIN(1,(Skills!Y16*(1+Inputs!$B$34/100))/(1/Q3466)))))/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3486*I3454)</f>
        <v/>
      </c>
      <c r="L3454">
        <f>K3454*(MIN(Inputs!$B$22+((C3475=TRUE)*(F3475-Calc!F25)),(Inputs!$B$23+((C3480=TRUE)*(F3480-Calc!F30))+IF(ArtifactsInput!$M$15,CHOOSE(ArtifactsInput!$N$15+1,25,30,35,40,45,50)/100*(Inputs!$B$11-Inputs!$B$11),0)))/100+(Inputs!$B$23+((C3480=TRUE)*(F3480-Calc!F30))+IF(ArtifactsInput!$M$15,CHOOSE(ArtifactsInput!$N$15+1,25,30,35,40,45,50)/100*(Inputs!$B$11-Inputs!$B$11),0))/100)/2</f>
        <v/>
      </c>
      <c r="M3454">
        <f>L3454*(1+(Inputs!$B$10+((C3477=TRUE)*(F3477-Calc!F27))+B3491+(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3454">
        <f>L3454*(1-MIN((Inputs!$B$9+((C3476=TRUE)*(F3476-Calc!F26))+B3484+(ArtifactsInput!$M$24-ArtifactsInput!$M$24)*CHOOSE(ArtifactsInput!$N$24+1,10,12,14,16,18,20)+(IF(AND(Inputs!$B$39&lt;&gt;"pvp",Inputs!$B$44=0),1,IF(IF(Inputs!$B$39="pvp",15,Inputs!$B$44)-(B3495)&lt;=0,1,MAX(0,IF(Inputs!$B$39="pvp",15,Inputs!$B$44)-MAX(5,B3495))/(IF(Inputs!$B$39="pvp",15,Inputs!$B$44)-(B3495))))*IF(AND(ArtifactsInput!$M$42,((Inputs!$B$9+((C3476=TRUE)*(F3476-Calc!F26))+B3484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3454*(MIN((Inputs!$B$9+((C3476=TRUE)*(F3476-Calc!F26))+B3484+(ArtifactsInput!$M$24-ArtifactsInput!$M$24)*CHOOSE(ArtifactsInput!$N$24+1,10,12,14,16,18,20)+(IF(AND(Inputs!$B$39&lt;&gt;"pvp",Inputs!$B$44=0),1,IF(IF(Inputs!$B$39="pvp",15,Inputs!$B$44)-(B3495)&lt;=0,1,MAX(0,IF(Inputs!$B$39="pvp",15,Inputs!$B$44)-MAX(5,B3495))/(IF(Inputs!$B$39="pvp",15,Inputs!$B$44)-(B3495))))*IF(AND(ArtifactsInput!$M$42,((Inputs!$B$9+((C3476=TRUE)*(F3476-Calc!F26))+B3484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3454">
        <f>(1-Summary!$B$11)*T3454+Summary!$B$11*V3454</f>
        <v/>
      </c>
      <c r="P3454">
        <f>IF(B3496=0,0,O3454/B3496)</f>
        <v/>
      </c>
      <c r="Q3454">
        <f>IFERROR(1/IF(Inputs!$B$39="pvp",15,MAX(0.1,Skills!D4-IF(TRUE=TRUE,2.0,0))),0)</f>
        <v/>
      </c>
      <c r="R3454">
        <f>IF(AND(Inputs!$B$39&lt;&gt;"pvp",Inputs!$B$44&gt;0),IF(MAX(0,Inputs!$B$44-B3495)&lt;=0,0,(INT(MAX(0,Inputs!$B$44-B3495)/IF(Inputs!$B$39="pvp",15,MAX(0.1,Skills!D4-IF(TRUE=TRUE,2.0,0))))+1)),0)</f>
        <v/>
      </c>
      <c r="S3454">
        <f>IFERROR(O3454/N3454,0)</f>
        <v/>
      </c>
      <c r="T3454">
        <f>IF(C3454,(H3454*N3454*IF(AND(Inputs!$B$39&lt;&gt;"pvp",Inputs!$B$44&gt;0),((Skills!G4*((R3454-1)*IF(Skills!H4&gt;0,Skills!I4/Skills!H4,1)+IF(Skills!H4&gt;0,MIN(Skills!I4,MAX(0,MAX(0,Inputs!$B$44-B3495)-((R3454-1)*IF(Inputs!$B$39="pvp",15,MAX(0.1,Skills!D4-IF(TRUE=TRUE,2.0,0))))))/Skills!H4,1)))/Inputs!$B$44),G3454*Q3454))*IF(Inputs!$B$39="pvp",1,1+(Inputs!$B$20+0+Skills!P4+B3485+(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Hunt"),CHOOSE(ArtifactsInput!$N$35+1,15,18,21,24,27,30)*(1-EXP(-(0.2*B3488)*5)),0)+IF(AND(ArtifactsInput!$M$22,Inputs!$B$4&lt;&gt;"Chapter Hunt"),CHOOSE(ArtifactsInput!$N$22+1,10,12,14,16,18,20)*((0*(((0.15*B3488*5))^0/1)+1*(((0.15*B3488*5))^1/1)+2*(((0.15*B3488*5))^2/2)+3*(((0.15*B3488*5))^3/6)+4*(((0.15*B3488*5))^4/24)+5*(((0.15*B3488*5))^5/120))/((((0.15*B3488*5))^0/1)+(((0.15*B3488*5))^1/1)+(((0.15*B3488*5))^2/2)+(((0.15*B3488*5))^3/6)+(((0.15*B3488*5))^4/24)+(((0.15*B3488*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3454*(1-MIN(100,(Inputs!$B$9+((C3476=TRUE)*(F3476-Calc!F26))+B3484+(ArtifactsInput!$M$24-ArtifactsInput!$M$24)*CHOOSE(ArtifactsInput!$N$24+1,10,12,14,16,18,20)+(IF(AND(Inputs!$B$39&lt;&gt;"pvp",Inputs!$B$44=0),1,IF(IF(Inputs!$B$39="pvp",15,Inputs!$B$44)-(B3495)&lt;=0,1,MAX(0,IF(Inputs!$B$39="pvp",15,Inputs!$B$44)-MAX(5,B3495))/(IF(Inputs!$B$39="pvp",15,Inputs!$B$44)-(B3495))))*IF(AND(ArtifactsInput!$M$42,((Inputs!$B$9+((C3476=TRUE)*(F3476-Calc!F26))+B3484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3454*(MIN(100,(Inputs!$B$9+((C3476=TRUE)*(F3476-Calc!F26))+B3484+(ArtifactsInput!$M$24-ArtifactsInput!$M$24)*CHOOSE(ArtifactsInput!$N$24+1,10,12,14,16,18,20)+(IF(AND(Inputs!$B$39&lt;&gt;"pvp",Inputs!$B$44=0),1,IF(IF(Inputs!$B$39="pvp",15,Inputs!$B$44)-(B3495)&lt;=0,1,MAX(0,IF(Inputs!$B$39="pvp",15,Inputs!$B$44)-MAX(5,B3495))/(IF(Inputs!$B$39="pvp",15,Inputs!$B$44)-(B3495))))*IF(AND(ArtifactsInput!$M$42,((Inputs!$B$9+((C3476=TRUE)*(F3476-Calc!F26))+B3484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3454*(1-MIN(100,(Inputs!$B$9+((C3476=TRUE)*(F3476-Calc!F26))+B3484+(ArtifactsInput!$M$24-ArtifactsInput!$M$24)*CHOOSE(ArtifactsInput!$N$24+1,10,12,14,16,18,20)+(IF(AND(Inputs!$B$39&lt;&gt;"pvp",Inputs!$B$44=0),1,IF(IF(Inputs!$B$39="pvp",15,Inputs!$B$44)-(B3495)&lt;=0,1,MAX(0,IF(Inputs!$B$39="pvp",15,Inputs!$B$44)-MAX(5,B3495))/(IF(Inputs!$B$39="pvp",15,Inputs!$B$44)-(B3495))))*IF(AND(ArtifactsInput!$M$42,((Inputs!$B$9+((C3476=TRUE)*(F3476-Calc!F26))+B3484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3454*(MIN(100,(Inputs!$B$9+((C3476=TRUE)*(F3476-Calc!F26))+B3484+(ArtifactsInput!$M$24-ArtifactsInput!$M$24)*CHOOSE(ArtifactsInput!$N$24+1,10,12,14,16,18,20)+(IF(AND(Inputs!$B$39&lt;&gt;"pvp",Inputs!$B$44=0),1,IF(IF(Inputs!$B$39="pvp",15,Inputs!$B$44)-(B3495)&lt;=0,1,MAX(0,IF(Inputs!$B$39="pvp",15,Inputs!$B$44)-MAX(5,B3495))/(IF(Inputs!$B$39="pvp",15,Inputs!$B$44)-(B3495))))*IF(AND(ArtifactsInput!$M$42,((Inputs!$B$9+((C3476=TRUE)*(F3476-Calc!F26))+B3484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3454">
        <f>290*U3453/1000</f>
        <v/>
      </c>
      <c r="V3454">
        <f>IF(C3454,(H3454*N3454*IF(AND(Inputs!$B$39&lt;&gt;"pvp",Inputs!$B$44&gt;0),((Skills!G4*((R3454-1)*IF(Skills!H4&gt;0,Skills!I4/Skills!H4,1)+IF(Skills!H4&gt;0,MIN(Skills!I4,MAX(0,MAX(0,Inputs!$B$44-B3495)-((R3454-1)*IF(Inputs!$B$39="pvp",15,MAX(0.1,Skills!D4-IF(TRUE=TRUE,2.0,0))))))/Skills!H4,1)))/Inputs!$B$44),G3454*Q3454))*IF(Inputs!$B$39="pvp",1,(1+(Inputs!$B$21+Skills!Q4+B3485+(IF(ArtifactsInput!$M$33,CHOOSE(ArtifactsInput!$N$33+1,30,36,42,48,54,60),0))+(IF(AND(ArtifactsInput!$M$35,Inputs!$B$4&lt;&gt;"Chapter Hunt"),CHOOSE(ArtifactsInput!$N$35+1,15,18,21,24,27,30)*(1-EXP(-(0.2*B3488)*5)),0)+IF(AND(ArtifactsInput!$M$22,Inputs!$B$4&lt;&gt;"Chapter Hunt"),CHOOSE(ArtifactsInput!$N$22+1,10,12,14,16,18,20)*((0*(((0.15*B3488*5))^0/1)+1*(((0.15*B3488*5))^1/1)+2*(((0.15*B3488*5))^2/2)+3*(((0.15*B3488*5))^3/6)+4*(((0.15*B3488*5))^4/24)+5*(((0.15*B3488*5))^5/120))/((((0.15*B3488*5))^0/1)+(((0.15*B3488*5))^1/1)+(((0.15*B3488*5))^2/2)+(((0.15*B3488*5))^3/6)+(((0.15*B3488*5))^4/24)+(((0.15*B3488*5))^5/120))),0)))/100)*(MIN(MIN(10,IF(Inputs!$B$3&gt;=75,0.75,0.5)*B3488*(1/Q3454)),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3455">
      <c r="A3455">
        <f>Skills!A5</f>
        <v/>
      </c>
      <c r="B3455">
        <f>Skills!B5</f>
        <v/>
      </c>
      <c r="C3455">
        <f>Inputs!$B$3&gt;=75</f>
        <v/>
      </c>
      <c r="D3455">
        <f>IF(Skills!C5=1,60+Inputs!$B$25+Inputs!$B$29,IF(Skills!C5=2,90+Inputs!$B$26+Inputs!$B$29,IF(Skills!C5=3,120+Inputs!$B$27+Inputs!$B$29,MAX(0,(Inputs!$B$3-100)*3)+Inputs!$B$28+Inputs!$B$29)))</f>
        <v/>
      </c>
      <c r="E3455">
        <f>INDEX(FactorTable!$B$2:$Y$301, MATCH(ROUND(MIN(300,MAX(1,D3455)),0), FactorTable!$A$2:$A$301,0), Skills!M5+1)</f>
        <v/>
      </c>
      <c r="F3455">
        <f>IF(Skills!N5=TRUE,(Skills!L5/10)*(E3455/1000),Skills!L5/10)+Skills!O5</f>
        <v/>
      </c>
      <c r="G3455">
        <f>Skills!G5*IF(Skills!H5&gt;0,IF(Inputs!$B$39="pvp",MIN(Skills!I5,15),Skills!I5)/Skills!H5,1)</f>
        <v/>
      </c>
      <c r="H3455">
        <f>1-(1-Skills!J5/100)^Skills!K5</f>
        <v/>
      </c>
      <c r="I3455" t="inlineStr">
        <is>
          <t>1</t>
        </is>
      </c>
      <c r="J3455" t="inlineStr"/>
      <c r="K3455" t="inlineStr"/>
      <c r="L3455" t="inlineStr"/>
      <c r="M3455" t="inlineStr"/>
      <c r="N3455" t="inlineStr"/>
      <c r="O3455">
        <f>(1-Summary!$B$11)*T3455+Summary!$B$11*V3455</f>
        <v/>
      </c>
      <c r="P3455">
        <f>IF(B3496=0,0,O3455/B3496)</f>
        <v/>
      </c>
      <c r="Q3455" t="n">
        <v>0</v>
      </c>
      <c r="R3455" t="n">
        <v>0</v>
      </c>
      <c r="S3455">
        <f>IFERROR(O3455/N3455,0)</f>
        <v/>
      </c>
      <c r="T3455" t="n">
        <v>0</v>
      </c>
      <c r="V3455" t="n">
        <v>0</v>
      </c>
    </row>
    <row r="3456">
      <c r="A3456">
        <f>Skills!A6</f>
        <v/>
      </c>
      <c r="B3456">
        <f>Skills!B6</f>
        <v/>
      </c>
      <c r="C3456">
        <f>Inputs!$B$3&gt;=63</f>
        <v/>
      </c>
      <c r="D3456">
        <f>IF(Skills!C6=1,60+Inputs!$B$25+Inputs!$B$29,IF(Skills!C6=2,90+Inputs!$B$26+Inputs!$B$29,IF(Skills!C6=3,120+Inputs!$B$27+Inputs!$B$29,MAX(0,(Inputs!$B$3-100)*3)+Inputs!$B$28+Inputs!$B$29)))</f>
        <v/>
      </c>
      <c r="E3456">
        <f>INDEX(FactorTable!$B$2:$Y$301, MATCH(ROUND(MIN(300,MAX(1,D3456)),0), FactorTable!$A$2:$A$301,0), Skills!M6+1)</f>
        <v/>
      </c>
      <c r="F3456">
        <f>IF(Skills!N6=TRUE,(Skills!L6/10)*(E3456/1000),Skills!L6/10)+Skills!O6</f>
        <v/>
      </c>
      <c r="G3456">
        <f>Skills!G6*IF(Skills!H6&gt;0,IF(Inputs!$B$39="pvp",MIN(Skills!I6,15),Skills!I6)/Skills!H6,1)</f>
        <v/>
      </c>
      <c r="H3456">
        <f>1-(1-Skills!J6/100)^Skills!K6</f>
        <v/>
      </c>
      <c r="I3456" t="inlineStr">
        <is>
          <t>1</t>
        </is>
      </c>
      <c r="J3456">
        <f>((Inputs!$B$6*(1+Inputs!$B$7/100))+(((Inputs!$B$12*(1+Inputs!$B$13/100))-(Inputs!$B$12*(1+Inputs!$B$13/100)))+0.25*(Inputs!$B$14-Inputs!$B$14))*(1+Inputs!$B$7/100))*(F3456/100)</f>
        <v/>
      </c>
      <c r="K3456">
        <f>J3456*(1+((Inputs!$B$12*(1+Inputs!$B$13/100))*0.01+Inputs!$B$14*0.0025)/100)*(1+Inputs!$B$15/100)*(1+Inputs!$B$16/100)*(5000/(6000+Inputs!$B$43*(1-(100*(1-(1-Inputs!$B$19/100)*(1-CHOOSE(ArtifactsInput!$N$40+1,5,6,7,8,9,10)/100)^(ArtifactsInput!$M$40-ArtifactsInput!$M$40)))/100)))*(1+(Inputs!$B$24+((C3481=TRUE)*(F3481-Calc!F31))+((C3468=TRUE)*(F3468-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+2.6666666666666665*IF(C3469=TRUE,F3469,0)/100)*(1+(IF(Skills!A6="CRUEL_STAB",Inputs!$B$17+((C3478=TRUE)*(F3478-Calc!F28))+((IF(AND(Inputs!$B$39&lt;&gt;"pvp",Inputs!$B$44=0),1,IF(IF(Inputs!$B$39="pvp",15,Inputs!$B$44)-(B3495)&lt;=0,1,MAX(0,IF(Inputs!$B$39="pvp",15,Inputs!$B$44)-MAX(5,B3495))/(IF(Inputs!$B$39="pvp",15,Inputs!$B$44)-(B3495))))*(IF(AND(ArtifactsInput!$M$42,((Inputs!$B$9+((C3476=TRUE)*(F3476-Calc!F26))+B3484+(ArtifactsInput!$M$24-ArtifactsInput!$M$24)*CHOOSE(ArtifactsInput!$N$24+1,10,12,14,16,18,20)+IF(ArtifactsInput!$M$10,CHOOSE(ArtifactsInput!$N$10+1,15,18,21,24,27,30)*(IF(Inputs!$B$39="pvp",MIN(15,15)/15,IF(AND(Inputs!$B$39&lt;&gt;"pvp",Inputs!$B$44&gt;0),MIN(15,Inputs!$B$44)/(Inputs!$B$44),0))),0)))&gt;=100),MIN(100,((Inputs!$B$9+((C3476=TRUE)*(F3476-Calc!F26))+B3484+(ArtifactsInput!$M$24-ArtifactsInput!$M$24)*CHOOSE(ArtifactsInput!$N$24+1,10,12,14,16,18,20)+IF(ArtifactsInput!$M$10,CHOOSE(ArtifactsInput!$N$10+1,15,18,21,24,27,30)*(IF(Inputs!$B$39="pvp",MIN(15,15)/15,IF(AND(Inputs!$B$39&lt;&gt;"pvp",Inputs!$B$44&gt;0),MIN(15,Inputs!$B$44)/(Inputs!$B$44),0))),0)))-100),0))*CHOOSE(ArtifactsInput!$N$42+1,0.6,0.72,0.84,0.96,1.08,1.2))),Inputs!$B$18+((C3479=TRUE)*(F3479-Calc!F29))+(IF(AND(Inputs!$B$39&lt;&gt;"pvp",Inputs!$B$44=0),1,IF(IF(Inputs!$B$39="pvp",15,Inputs!$B$44)-(B3495)&lt;=0,1,MAX(0,IF(Inputs!$B$39="pvp",15,Inputs!$B$44)-MAX(5,B3495))/(IF(Inputs!$B$39="pvp",15,Inputs!$B$44)-(B3495))))*IF(AND(ArtifactsInput!$M$42,((Inputs!$B$9+((C3476=TRUE)*(F3476-Calc!F26))+B3484+(ArtifactsInput!$M$24-ArtifactsInput!$M$24)*CHOOSE(ArtifactsInput!$N$24+1,10,12,14,16,18,20)+IF(ArtifactsInput!$M$10,CHOOSE(ArtifactsInput!$N$10+1,15,18,21,24,27,30)*(IF(Inputs!$B$39="pvp",MIN(15,15)/15,IF(AND(Inputs!$B$39&lt;&gt;"pvp",Inputs!$B$44&gt;0),MIN(15,Inputs!$B$44)/(Inputs!$B$44),0))),0)))&gt;=100),CHOOSE(ArtifactsInput!$N$42+1,40,48,56,64,72,80),0))))/100)*(((1+(((C3472=TRUE)*F3472*IF(AND(Inputs!$B$39&lt;&gt;"pvp",Inputs!$B$44&gt;0),(((R3472-1)*MIN((Skills!Y22*(1+Inputs!$B$34/100)),(1/Q3472))+MIN((Skills!Y22*(1+Inputs!$B$34/100)),MAX(0,Inputs!$B$44-((R3472-1)*(1/Q3472)))))/Inputs!$B$44),IF(Inputs!$B$39="pvp",MIN((Skills!Y22*(1+Inputs!$B$34/100)),15)/15,MIN(1,(Skills!Y22*(1+Inputs!$B$34/100))/(1/Q3472)))))+((C3453=TRUE)*F3453*3)+((C3455=TRUE)*F3455*(1-EXP(-0.75*B3488*5)))+((C3474=TRUE)*(F3474-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3461=TRUE)*F3461*IF(AND(Inputs!$B$39&lt;&gt;"pvp",Inputs!$B$44&gt;0),(((R3461-1)*MIN((Skills!Y11*(1+Inputs!$B$34/100)),(1/Q3461))+MIN((Skills!Y11*(1+Inputs!$B$34/100)),MAX(0,Inputs!$B$44-((R3461-1)*(1/Q3461)))))/Inputs!$B$44),IF(Inputs!$B$39="pvp",MIN((Skills!Y11*(1+Inputs!$B$34/100)),15)/15,MIN(1,(Skills!Y11*(1+Inputs!$B$34/100))/(1/Q3461)))))/100)*(1+((C3466=TRUE)*F3466*IF(AND(Inputs!$B$39&lt;&gt;"pvp",Inputs!$B$44&gt;0),(((R3466-1)*MIN((Skills!Y16*(1+Inputs!$B$34/100)),(1/Q3466))+MIN((Skills!Y16*(1+Inputs!$B$34/100)),MAX(0,Inputs!$B$44-((R3466-1)*(1/Q3466)))))/Inputs!$B$44),IF(Inputs!$B$39="pvp",MIN((Skills!Y16*(1+Inputs!$B$34/100)),15)/15,MIN(1,(Skills!Y16*(1+Inputs!$B$34/100))/(1/Q3466)))))/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3486*I3456)</f>
        <v/>
      </c>
      <c r="L3456">
        <f>K3456*(MIN(Inputs!$B$22+((C3475=TRUE)*(F3475-Calc!F25)),(Inputs!$B$23+((C3480=TRUE)*(F3480-Calc!F30))+IF(ArtifactsInput!$M$15,CHOOSE(ArtifactsInput!$N$15+1,25,30,35,40,45,50)/100*(Inputs!$B$11-Inputs!$B$11),0)))/100+(Inputs!$B$23+((C3480=TRUE)*(F3480-Calc!F30))+IF(ArtifactsInput!$M$15,CHOOSE(ArtifactsInput!$N$15+1,25,30,35,40,45,50)/100*(Inputs!$B$11-Inputs!$B$11),0))/100)/2</f>
        <v/>
      </c>
      <c r="M3456">
        <f>L3456*(1+(Inputs!$B$10+((C3477=TRUE)*(F3477-Calc!F27))+B3491+(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3456">
        <f>L3456*(1-MIN((Inputs!$B$9+((C3476=TRUE)*(F3476-Calc!F26))+B3484+(ArtifactsInput!$M$24-ArtifactsInput!$M$24)*CHOOSE(ArtifactsInput!$N$24+1,10,12,14,16,18,20)+(IF(AND(Inputs!$B$39&lt;&gt;"pvp",Inputs!$B$44=0),1,IF(IF(Inputs!$B$39="pvp",15,Inputs!$B$44)-(B3495)&lt;=0,1,MAX(0,IF(Inputs!$B$39="pvp",15,Inputs!$B$44)-MAX(5,B3495))/(IF(Inputs!$B$39="pvp",15,Inputs!$B$44)-(B3495))))*IF(AND(ArtifactsInput!$M$42,((Inputs!$B$9+((C3476=TRUE)*(F3476-Calc!F26))+B3484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3456*(MIN((Inputs!$B$9+((C3476=TRUE)*(F3476-Calc!F26))+B3484+(ArtifactsInput!$M$24-ArtifactsInput!$M$24)*CHOOSE(ArtifactsInput!$N$24+1,10,12,14,16,18,20)+(IF(AND(Inputs!$B$39&lt;&gt;"pvp",Inputs!$B$44=0),1,IF(IF(Inputs!$B$39="pvp",15,Inputs!$B$44)-(B3495)&lt;=0,1,MAX(0,IF(Inputs!$B$39="pvp",15,Inputs!$B$44)-MAX(5,B3495))/(IF(Inputs!$B$39="pvp",15,Inputs!$B$44)-(B3495))))*IF(AND(ArtifactsInput!$M$42,((Inputs!$B$9+((C3476=TRUE)*(F3476-Calc!F26))+B3484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3456">
        <f>(1-Summary!$B$11)*T3456+Summary!$B$11*V3456</f>
        <v/>
      </c>
      <c r="P3456">
        <f>IF(B3496=0,0,O3456/B3496)</f>
        <v/>
      </c>
      <c r="Q3456">
        <f>IFERROR(1/IF(Inputs!$B$39="pvp",15,MAX(0.1,Skills!D6-IF(TRUE=TRUE,2.0,0))),0)</f>
        <v/>
      </c>
      <c r="R3456">
        <f>IF(AND(Inputs!$B$39&lt;&gt;"pvp",Inputs!$B$44&gt;0),IF(MAX(0,Inputs!$B$44-B3495)&lt;=0,0,(INT(MAX(0,Inputs!$B$44-B3495)/IF(Inputs!$B$39="pvp",15,MAX(0.1,Skills!D6-IF(TRUE=TRUE,2.0,0))))+1)),0)</f>
        <v/>
      </c>
      <c r="S3456">
        <f>IFERROR(O3456/N3456,0)</f>
        <v/>
      </c>
      <c r="T3456">
        <f>IF(C3456,(H3456*N3456*IF(AND(Inputs!$B$39&lt;&gt;"pvp",Inputs!$B$44&gt;0),((Skills!G6*((R3456-1)*IF(Skills!H6&gt;0,Skills!I6/Skills!H6,1)+IF(Skills!H6&gt;0,MIN(Skills!I6,MAX(0,MAX(0,Inputs!$B$44-B3495)-((R3456-1)*IF(Inputs!$B$39="pvp",15,MAX(0.1,Skills!D6-IF(TRUE=TRUE,2.0,0))))))/Skills!H6,1)))/Inputs!$B$44),G3456*Q3456))*IF(Inputs!$B$39="pvp",1,1+(Inputs!$B$20+0+Skills!P6+B3485+(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Hunt"),CHOOSE(ArtifactsInput!$N$35+1,15,18,21,24,27,30)*(1-EXP(-(0.2*B3488)*5)),0)+IF(AND(ArtifactsInput!$M$22,Inputs!$B$4&lt;&gt;"Chapter Hunt"),CHOOSE(ArtifactsInput!$N$22+1,10,12,14,16,18,20)*((0*(((0.15*B3488*5))^0/1)+1*(((0.15*B3488*5))^1/1)+2*(((0.15*B3488*5))^2/2)+3*(((0.15*B3488*5))^3/6)+4*(((0.15*B3488*5))^4/24)+5*(((0.15*B3488*5))^5/120))/((((0.15*B3488*5))^0/1)+(((0.15*B3488*5))^1/1)+(((0.15*B3488*5))^2/2)+(((0.15*B3488*5))^3/6)+(((0.15*B3488*5))^4/24)+(((0.15*B3488*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3456*(1-MIN(100,(Inputs!$B$9+((C3476=TRUE)*(F3476-Calc!F26))+B3484+(ArtifactsInput!$M$24-ArtifactsInput!$M$24)*CHOOSE(ArtifactsInput!$N$24+1,10,12,14,16,18,20)+(IF(AND(Inputs!$B$39&lt;&gt;"pvp",Inputs!$B$44=0),1,IF(IF(Inputs!$B$39="pvp",15,Inputs!$B$44)-(B3495)&lt;=0,1,MAX(0,IF(Inputs!$B$39="pvp",15,Inputs!$B$44)-MAX(5,B3495))/(IF(Inputs!$B$39="pvp",15,Inputs!$B$44)-(B3495))))*IF(AND(ArtifactsInput!$M$42,((Inputs!$B$9+((C3476=TRUE)*(F3476-Calc!F26))+B3484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3456*(MIN(100,(Inputs!$B$9+((C3476=TRUE)*(F3476-Calc!F26))+B3484+(ArtifactsInput!$M$24-ArtifactsInput!$M$24)*CHOOSE(ArtifactsInput!$N$24+1,10,12,14,16,18,20)+(IF(AND(Inputs!$B$39&lt;&gt;"pvp",Inputs!$B$44=0),1,IF(IF(Inputs!$B$39="pvp",15,Inputs!$B$44)-(B3495)&lt;=0,1,MAX(0,IF(Inputs!$B$39="pvp",15,Inputs!$B$44)-MAX(5,B3495))/(IF(Inputs!$B$39="pvp",15,Inputs!$B$44)-(B3495))))*IF(AND(ArtifactsInput!$M$42,((Inputs!$B$9+((C3476=TRUE)*(F3476-Calc!F26))+B3484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3456*(1-MIN(100,(Inputs!$B$9+((C3476=TRUE)*(F3476-Calc!F26))+B3484+(ArtifactsInput!$M$24-ArtifactsInput!$M$24)*CHOOSE(ArtifactsInput!$N$24+1,10,12,14,16,18,20)+(IF(AND(Inputs!$B$39&lt;&gt;"pvp",Inputs!$B$44=0),1,IF(IF(Inputs!$B$39="pvp",15,Inputs!$B$44)-(B3495)&lt;=0,1,MAX(0,IF(Inputs!$B$39="pvp",15,Inputs!$B$44)-MAX(5,B3495))/(IF(Inputs!$B$39="pvp",15,Inputs!$B$44)-(B3495))))*IF(AND(ArtifactsInput!$M$42,((Inputs!$B$9+((C3476=TRUE)*(F3476-Calc!F26))+B3484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3456*(MIN(100,(Inputs!$B$9+((C3476=TRUE)*(F3476-Calc!F26))+B3484+(ArtifactsInput!$M$24-ArtifactsInput!$M$24)*CHOOSE(ArtifactsInput!$N$24+1,10,12,14,16,18,20)+(IF(AND(Inputs!$B$39&lt;&gt;"pvp",Inputs!$B$44=0),1,IF(IF(Inputs!$B$39="pvp",15,Inputs!$B$44)-(B3495)&lt;=0,1,MAX(0,IF(Inputs!$B$39="pvp",15,Inputs!$B$44)-MAX(5,B3495))/(IF(Inputs!$B$39="pvp",15,Inputs!$B$44)-(B3495))))*IF(AND(ArtifactsInput!$M$42,((Inputs!$B$9+((C3476=TRUE)*(F3476-Calc!F26))+B3484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3456">
        <f>IF(C3456,(H3456*N3456*IF(AND(Inputs!$B$39&lt;&gt;"pvp",Inputs!$B$44&gt;0),((Skills!G6*((R3456-1)*IF(Skills!H6&gt;0,Skills!I6/Skills!H6,1)+IF(Skills!H6&gt;0,MIN(Skills!I6,MAX(0,MAX(0,Inputs!$B$44-B3495)-((R3456-1)*IF(Inputs!$B$39="pvp",15,MAX(0.1,Skills!D6-IF(TRUE=TRUE,2.0,0))))))/Skills!H6,1)))/Inputs!$B$44),G3456*Q3456))*IF(Inputs!$B$39="pvp",1,(1+(Inputs!$B$21+Skills!Q6+B3485+(IF(ArtifactsInput!$M$33,CHOOSE(ArtifactsInput!$N$33+1,30,36,42,48,54,60),0))+(IF(AND(ArtifactsInput!$M$35,Inputs!$B$4&lt;&gt;"Chapter Hunt"),CHOOSE(ArtifactsInput!$N$35+1,15,18,21,24,27,30)*(1-EXP(-(0.2*B3488)*5)),0)+IF(AND(ArtifactsInput!$M$22,Inputs!$B$4&lt;&gt;"Chapter Hunt"),CHOOSE(ArtifactsInput!$N$22+1,10,12,14,16,18,20)*((0*(((0.15*B3488*5))^0/1)+1*(((0.15*B3488*5))^1/1)+2*(((0.15*B3488*5))^2/2)+3*(((0.15*B3488*5))^3/6)+4*(((0.15*B3488*5))^4/24)+5*(((0.15*B3488*5))^5/120))/((((0.15*B3488*5))^0/1)+(((0.15*B3488*5))^1/1)+(((0.15*B3488*5))^2/2)+(((0.15*B3488*5))^3/6)+(((0.15*B3488*5))^4/24)+(((0.15*B3488*5))^5/120))),0)))/100)*(MIN(Skills!W6,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3457">
      <c r="A3457">
        <f>Skills!A7</f>
        <v/>
      </c>
      <c r="B3457">
        <f>Skills!B7</f>
        <v/>
      </c>
      <c r="C3457">
        <f>Inputs!$B$3&gt;=69</f>
        <v/>
      </c>
      <c r="D3457">
        <f>IF(Skills!C7=1,60+Inputs!$B$25+Inputs!$B$29,IF(Skills!C7=2,90+Inputs!$B$26+Inputs!$B$29,IF(Skills!C7=3,120+Inputs!$B$27+Inputs!$B$29,MAX(0,(Inputs!$B$3-100)*3)+Inputs!$B$28+Inputs!$B$29)))</f>
        <v/>
      </c>
      <c r="E3457">
        <f>INDEX(FactorTable!$B$2:$Y$301, MATCH(ROUND(MIN(300,MAX(1,D3457)),0), FactorTable!$A$2:$A$301,0), Skills!M7+1)</f>
        <v/>
      </c>
      <c r="F3457">
        <f>IF(Skills!N7=TRUE,(Skills!L7/10)*(E3457/1000),Skills!L7/10)+Skills!O7</f>
        <v/>
      </c>
      <c r="G3457">
        <f>Skills!G7*IF(Skills!H7&gt;0,IF(Inputs!$B$39="pvp",MIN(Skills!I7,15),Skills!I7)/Skills!H7,1)</f>
        <v/>
      </c>
      <c r="H3457">
        <f>1-(1-Skills!J7/100)^Skills!K7</f>
        <v/>
      </c>
      <c r="I3457" t="inlineStr">
        <is>
          <t>1</t>
        </is>
      </c>
      <c r="J3457">
        <f>((Inputs!$B$6*(1+Inputs!$B$7/100))+(((Inputs!$B$12*(1+Inputs!$B$13/100))-(Inputs!$B$12*(1+Inputs!$B$13/100)))+0.25*(Inputs!$B$14-Inputs!$B$14))*(1+Inputs!$B$7/100))*(F3457/100)</f>
        <v/>
      </c>
      <c r="K3457">
        <f>J3457*(1+((Inputs!$B$12*(1+Inputs!$B$13/100))*0.01+Inputs!$B$14*0.0025)/100)*(1+Inputs!$B$15/100)*(1+Inputs!$B$16/100)*(5000/(6000+Inputs!$B$43*(1-(100*(1-(1-Inputs!$B$19/100)*(1-CHOOSE(ArtifactsInput!$N$40+1,5,6,7,8,9,10)/100)^(ArtifactsInput!$M$40-ArtifactsInput!$M$40)))/100)))*(1+(Inputs!$B$24+((C3481=TRUE)*(F3481-Calc!F31))+((C3468=TRUE)*(F3468-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3469=TRUE,F3469,0)/100)*(1+(IF(Skills!A7="CRUEL_STAB",Inputs!$B$17+((C3478=TRUE)*(F3478-Calc!F28))+((IF(AND(Inputs!$B$39&lt;&gt;"pvp",Inputs!$B$44=0),1,IF(IF(Inputs!$B$39="pvp",15,Inputs!$B$44)-(B3495)&lt;=0,1,MAX(0,IF(Inputs!$B$39="pvp",15,Inputs!$B$44)-MAX(5,B3495))/(IF(Inputs!$B$39="pvp",15,Inputs!$B$44)-(B3495))))*(IF(AND(ArtifactsInput!$M$42,((Inputs!$B$9+((C3476=TRUE)*(F3476-Calc!F26))+B3484+(ArtifactsInput!$M$24-ArtifactsInput!$M$24)*CHOOSE(ArtifactsInput!$N$24+1,10,12,14,16,18,20)+IF(ArtifactsInput!$M$10,CHOOSE(ArtifactsInput!$N$10+1,15,18,21,24,27,30)*(IF(Inputs!$B$39="pvp",MIN(15,15)/15,IF(AND(Inputs!$B$39&lt;&gt;"pvp",Inputs!$B$44&gt;0),MIN(15,Inputs!$B$44)/(Inputs!$B$44),0))),0)))&gt;=100),MIN(100,((Inputs!$B$9+((C3476=TRUE)*(F3476-Calc!F26))+B3484+(ArtifactsInput!$M$24-ArtifactsInput!$M$24)*CHOOSE(ArtifactsInput!$N$24+1,10,12,14,16,18,20)+IF(ArtifactsInput!$M$10,CHOOSE(ArtifactsInput!$N$10+1,15,18,21,24,27,30)*(IF(Inputs!$B$39="pvp",MIN(15,15)/15,IF(AND(Inputs!$B$39&lt;&gt;"pvp",Inputs!$B$44&gt;0),MIN(15,Inputs!$B$44)/(Inputs!$B$44),0))),0)))-100),0))*CHOOSE(ArtifactsInput!$N$42+1,0.6,0.72,0.84,0.96,1.08,1.2))),Inputs!$B$18+((C3479=TRUE)*(F3479-Calc!F29))+(IF(AND(Inputs!$B$39&lt;&gt;"pvp",Inputs!$B$44=0),1,IF(IF(Inputs!$B$39="pvp",15,Inputs!$B$44)-(B3495)&lt;=0,1,MAX(0,IF(Inputs!$B$39="pvp",15,Inputs!$B$44)-MAX(5,B3495))/(IF(Inputs!$B$39="pvp",15,Inputs!$B$44)-(B3495))))*IF(AND(ArtifactsInput!$M$42,((Inputs!$B$9+((C3476=TRUE)*(F3476-Calc!F26))+B3484+(ArtifactsInput!$M$24-ArtifactsInput!$M$24)*CHOOSE(ArtifactsInput!$N$24+1,10,12,14,16,18,20)+IF(ArtifactsInput!$M$10,CHOOSE(ArtifactsInput!$N$10+1,15,18,21,24,27,30)*(IF(Inputs!$B$39="pvp",MIN(15,15)/15,IF(AND(Inputs!$B$39&lt;&gt;"pvp",Inputs!$B$44&gt;0),MIN(15,Inputs!$B$44)/(Inputs!$B$44),0))),0)))&gt;=100),CHOOSE(ArtifactsInput!$N$42+1,40,48,56,64,72,80),0))))/100)*(((1+(((C3472=TRUE)*F3472*IF(AND(Inputs!$B$39&lt;&gt;"pvp",Inputs!$B$44&gt;0),(((R3472-1)*MIN((Skills!Y22*(1+Inputs!$B$34/100)),(1/Q3472))+MIN((Skills!Y22*(1+Inputs!$B$34/100)),MAX(0,Inputs!$B$44-((R3472-1)*(1/Q3472)))))/Inputs!$B$44),IF(Inputs!$B$39="pvp",MIN((Skills!Y22*(1+Inputs!$B$34/100)),15)/15,MIN(1,(Skills!Y22*(1+Inputs!$B$34/100))/(1/Q3472)))))+((C3453=TRUE)*F3453*3)+((C3455=TRUE)*F3455*(1-EXP(-0.75*B3488*5)))+((C3474=TRUE)*(F3474-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3461=TRUE)*F3461*IF(AND(Inputs!$B$39&lt;&gt;"pvp",Inputs!$B$44&gt;0),(((R3461-1)*MIN((Skills!Y11*(1+Inputs!$B$34/100)),(1/Q3461))+MIN((Skills!Y11*(1+Inputs!$B$34/100)),MAX(0,Inputs!$B$44-((R3461-1)*(1/Q3461)))))/Inputs!$B$44),IF(Inputs!$B$39="pvp",MIN((Skills!Y11*(1+Inputs!$B$34/100)),15)/15,MIN(1,(Skills!Y11*(1+Inputs!$B$34/100))/(1/Q3461)))))/100)*(1+((C3466=TRUE)*F3466*IF(AND(Inputs!$B$39&lt;&gt;"pvp",Inputs!$B$44&gt;0),(((R3466-1)*MIN((Skills!Y16*(1+Inputs!$B$34/100)),(1/Q3466))+MIN((Skills!Y16*(1+Inputs!$B$34/100)),MAX(0,Inputs!$B$44-((R3466-1)*(1/Q3466)))))/Inputs!$B$44),IF(Inputs!$B$39="pvp",MIN((Skills!Y16*(1+Inputs!$B$34/100)),15)/15,MIN(1,(Skills!Y16*(1+Inputs!$B$34/100))/(1/Q3466)))))/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3486*I3457)</f>
        <v/>
      </c>
      <c r="L3457">
        <f>K3457*(MIN(Inputs!$B$22+((C3475=TRUE)*(F3475-Calc!F25)),(Inputs!$B$23+((C3480=TRUE)*(F3480-Calc!F30))+IF(ArtifactsInput!$M$15,CHOOSE(ArtifactsInput!$N$15+1,25,30,35,40,45,50)/100*(Inputs!$B$11-Inputs!$B$11),0)))/100+(Inputs!$B$23+((C3480=TRUE)*(F3480-Calc!F30))+IF(ArtifactsInput!$M$15,CHOOSE(ArtifactsInput!$N$15+1,25,30,35,40,45,50)/100*(Inputs!$B$11-Inputs!$B$11),0))/100)/2</f>
        <v/>
      </c>
      <c r="M3457">
        <f>L3457*(1+(Inputs!$B$10+((C3477=TRUE)*(F3477-Calc!F27))+B3491+(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3457">
        <f>L3457*(1-MIN((Inputs!$B$9+((C3476=TRUE)*(F3476-Calc!F26))+B3484+(ArtifactsInput!$M$24-ArtifactsInput!$M$24)*CHOOSE(ArtifactsInput!$N$24+1,10,12,14,16,18,20)+(IF(AND(Inputs!$B$39&lt;&gt;"pvp",Inputs!$B$44=0),1,IF(IF(Inputs!$B$39="pvp",15,Inputs!$B$44)-(B3495)&lt;=0,1,MAX(0,IF(Inputs!$B$39="pvp",15,Inputs!$B$44)-MAX(5,B3495))/(IF(Inputs!$B$39="pvp",15,Inputs!$B$44)-(B3495))))*IF(AND(ArtifactsInput!$M$42,((Inputs!$B$9+((C3476=TRUE)*(F3476-Calc!F26))+B3484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3457*(MIN((Inputs!$B$9+((C3476=TRUE)*(F3476-Calc!F26))+B3484+(ArtifactsInput!$M$24-ArtifactsInput!$M$24)*CHOOSE(ArtifactsInput!$N$24+1,10,12,14,16,18,20)+(IF(AND(Inputs!$B$39&lt;&gt;"pvp",Inputs!$B$44=0),1,IF(IF(Inputs!$B$39="pvp",15,Inputs!$B$44)-(B3495)&lt;=0,1,MAX(0,IF(Inputs!$B$39="pvp",15,Inputs!$B$44)-MAX(5,B3495))/(IF(Inputs!$B$39="pvp",15,Inputs!$B$44)-(B3495))))*IF(AND(ArtifactsInput!$M$42,((Inputs!$B$9+((C3476=TRUE)*(F3476-Calc!F26))+B3484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3457">
        <f>(1-Summary!$B$11)*T3457+Summary!$B$11*V3457</f>
        <v/>
      </c>
      <c r="P3457">
        <f>IF(B3496=0,0,O3457/B3496)</f>
        <v/>
      </c>
      <c r="Q3457">
        <f>IFERROR(1/IF(Inputs!$B$39="pvp",15,MAX(0.1,Skills!D7-IF(TRUE=TRUE,2.0,0))),0)</f>
        <v/>
      </c>
      <c r="R3457">
        <f>IF(AND(Inputs!$B$39&lt;&gt;"pvp",Inputs!$B$44&gt;0),IF(MAX(0,Inputs!$B$44-B3495)&lt;=0,0,(INT(MAX(0,Inputs!$B$44-B3495)/IF(Inputs!$B$39="pvp",15,MAX(0.1,Skills!D7-IF(TRUE=TRUE,2.0,0))))+1)),0)</f>
        <v/>
      </c>
      <c r="S3457">
        <f>IFERROR(O3457/N3457,0)</f>
        <v/>
      </c>
      <c r="T3457">
        <f>IF(C3457,(H3457*N3457*IF(AND(Inputs!$B$39&lt;&gt;"pvp",Inputs!$B$44&gt;0),((Skills!G7*((R3457-1)*IF(Skills!H7&gt;0,Skills!I7/Skills!H7,1)+IF(Skills!H7&gt;0,MIN(Skills!I7,MAX(0,MAX(0,Inputs!$B$44-B3495)-((R3457-1)*IF(Inputs!$B$39="pvp",15,MAX(0.1,Skills!D7-IF(TRUE=TRUE,2.0,0))))))/Skills!H7,1)))/Inputs!$B$44),G3457*Q3457))*IF(Inputs!$B$39="pvp",1,1+(Inputs!$B$20+0+Skills!P7+B3485+(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Hunt"),CHOOSE(ArtifactsInput!$N$35+1,15,18,21,24,27,30)*(1-EXP(-(0.2*B3488)*5)),0)+IF(AND(ArtifactsInput!$M$22,Inputs!$B$4&lt;&gt;"Chapter Hunt"),CHOOSE(ArtifactsInput!$N$22+1,10,12,14,16,18,20)*((0*(((0.15*B3488*5))^0/1)+1*(((0.15*B3488*5))^1/1)+2*(((0.15*B3488*5))^2/2)+3*(((0.15*B3488*5))^3/6)+4*(((0.15*B3488*5))^4/24)+5*(((0.15*B3488*5))^5/120))/((((0.15*B3488*5))^0/1)+(((0.15*B3488*5))^1/1)+(((0.15*B3488*5))^2/2)+(((0.15*B3488*5))^3/6)+(((0.15*B3488*5))^4/24)+(((0.15*B3488*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3457*(1-MIN(100,(Inputs!$B$9+((C3476=TRUE)*(F3476-Calc!F26))+B3484+(ArtifactsInput!$M$24-ArtifactsInput!$M$24)*CHOOSE(ArtifactsInput!$N$24+1,10,12,14,16,18,20)+(IF(AND(Inputs!$B$39&lt;&gt;"pvp",Inputs!$B$44=0),1,IF(IF(Inputs!$B$39="pvp",15,Inputs!$B$44)-(B3495)&lt;=0,1,MAX(0,IF(Inputs!$B$39="pvp",15,Inputs!$B$44)-MAX(5,B3495))/(IF(Inputs!$B$39="pvp",15,Inputs!$B$44)-(B3495))))*IF(AND(ArtifactsInput!$M$42,((Inputs!$B$9+((C3476=TRUE)*(F3476-Calc!F26))+B3484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3457*(MIN(100,(Inputs!$B$9+((C3476=TRUE)*(F3476-Calc!F26))+B3484+(ArtifactsInput!$M$24-ArtifactsInput!$M$24)*CHOOSE(ArtifactsInput!$N$24+1,10,12,14,16,18,20)+(IF(AND(Inputs!$B$39&lt;&gt;"pvp",Inputs!$B$44=0),1,IF(IF(Inputs!$B$39="pvp",15,Inputs!$B$44)-(B3495)&lt;=0,1,MAX(0,IF(Inputs!$B$39="pvp",15,Inputs!$B$44)-MAX(5,B3495))/(IF(Inputs!$B$39="pvp",15,Inputs!$B$44)-(B3495))))*IF(AND(ArtifactsInput!$M$42,((Inputs!$B$9+((C3476=TRUE)*(F3476-Calc!F26))+B3484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3457*(1-MIN(100,(Inputs!$B$9+((C3476=TRUE)*(F3476-Calc!F26))+B3484+(ArtifactsInput!$M$24-ArtifactsInput!$M$24)*CHOOSE(ArtifactsInput!$N$24+1,10,12,14,16,18,20)+(IF(AND(Inputs!$B$39&lt;&gt;"pvp",Inputs!$B$44=0),1,IF(IF(Inputs!$B$39="pvp",15,Inputs!$B$44)-(B3495)&lt;=0,1,MAX(0,IF(Inputs!$B$39="pvp",15,Inputs!$B$44)-MAX(5,B3495))/(IF(Inputs!$B$39="pvp",15,Inputs!$B$44)-(B3495))))*IF(AND(ArtifactsInput!$M$42,((Inputs!$B$9+((C3476=TRUE)*(F3476-Calc!F26))+B3484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3457*(MIN(100,(Inputs!$B$9+((C3476=TRUE)*(F3476-Calc!F26))+B3484+(ArtifactsInput!$M$24-ArtifactsInput!$M$24)*CHOOSE(ArtifactsInput!$N$24+1,10,12,14,16,18,20)+(IF(AND(Inputs!$B$39&lt;&gt;"pvp",Inputs!$B$44=0),1,IF(IF(Inputs!$B$39="pvp",15,Inputs!$B$44)-(B3495)&lt;=0,1,MAX(0,IF(Inputs!$B$39="pvp",15,Inputs!$B$44)-MAX(5,B3495))/(IF(Inputs!$B$39="pvp",15,Inputs!$B$44)-(B3495))))*IF(AND(ArtifactsInput!$M$42,((Inputs!$B$9+((C3476=TRUE)*(F3476-Calc!F26))+B3484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3457">
        <f>IF(C3457,(H3457*N3457*IF(AND(Inputs!$B$39&lt;&gt;"pvp",Inputs!$B$44&gt;0),((Skills!G7*((R3457-1)*IF(Skills!H7&gt;0,Skills!I7/Skills!H7,1)+IF(Skills!H7&gt;0,MIN(Skills!I7,MAX(0,MAX(0,Inputs!$B$44-B3495)-((R3457-1)*IF(Inputs!$B$39="pvp",15,MAX(0.1,Skills!D7-IF(TRUE=TRUE,2.0,0))))))/Skills!H7,1)))/Inputs!$B$44),G3457*Q3457))*IF(Inputs!$B$39="pvp",1,(1+(Inputs!$B$21+Skills!Q7+B3485+(IF(ArtifactsInput!$M$33,CHOOSE(ArtifactsInput!$N$33+1,30,36,42,48,54,60),0))+(IF(AND(ArtifactsInput!$M$35,Inputs!$B$4&lt;&gt;"Chapter Hunt"),CHOOSE(ArtifactsInput!$N$35+1,15,18,21,24,27,30)*(1-EXP(-(0.2*B3488)*5)),0)+IF(AND(ArtifactsInput!$M$22,Inputs!$B$4&lt;&gt;"Chapter Hunt"),CHOOSE(ArtifactsInput!$N$22+1,10,12,14,16,18,20)*((0*(((0.15*B3488*5))^0/1)+1*(((0.15*B3488*5))^1/1)+2*(((0.15*B3488*5))^2/2)+3*(((0.15*B3488*5))^3/6)+4*(((0.15*B3488*5))^4/24)+5*(((0.15*B3488*5))^5/120))/((((0.15*B3488*5))^0/1)+(((0.15*B3488*5))^1/1)+(((0.15*B3488*5))^2/2)+(((0.15*B3488*5))^3/6)+(((0.15*B3488*5))^4/24)+(((0.15*B3488*5))^5/120))),0)))/100)*(MIN(Skills!W7,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3458">
      <c r="A3458">
        <f>Skills!A8</f>
        <v/>
      </c>
      <c r="B3458">
        <f>Skills!B8</f>
        <v/>
      </c>
      <c r="C3458">
        <f>Inputs!$B$3&gt;=60</f>
        <v/>
      </c>
      <c r="D3458">
        <f>IF(Skills!C8=1,60+Inputs!$B$25+Inputs!$B$29,IF(Skills!C8=2,90+Inputs!$B$26+Inputs!$B$29,IF(Skills!C8=3,120+Inputs!$B$27+Inputs!$B$29,MAX(0,(Inputs!$B$3-100)*3)+Inputs!$B$28+Inputs!$B$29)))</f>
        <v/>
      </c>
      <c r="E3458">
        <f>INDEX(FactorTable!$B$2:$Y$301, MATCH(ROUND(MIN(300,MAX(1,D3458)),0), FactorTable!$A$2:$A$301,0), Skills!M8+1)</f>
        <v/>
      </c>
      <c r="F3458">
        <f>IF(Skills!N8=TRUE,(Skills!L8/10)*(E3458/1000),Skills!L8/10)+Skills!O8</f>
        <v/>
      </c>
      <c r="G3458">
        <f>Skills!G8*IF(Skills!H8&gt;0,IF(Inputs!$B$39="pvp",MIN(Skills!I8,15),Skills!I8)/Skills!H8,1)</f>
        <v/>
      </c>
      <c r="H3458">
        <f>1-(1-Skills!J8/100)^Skills!K8</f>
        <v/>
      </c>
      <c r="I3458" t="inlineStr">
        <is>
          <t>1</t>
        </is>
      </c>
      <c r="J3458" t="inlineStr"/>
      <c r="K3458" t="inlineStr"/>
      <c r="L3458" t="inlineStr"/>
      <c r="M3458" t="inlineStr"/>
      <c r="N3458" t="inlineStr"/>
      <c r="O3458">
        <f>(1-Summary!$B$11)*T3458+Summary!$B$11*V3458</f>
        <v/>
      </c>
      <c r="P3458">
        <f>IF(B3496=0,0,O3458/B3496)</f>
        <v/>
      </c>
      <c r="Q3458" t="n">
        <v>0</v>
      </c>
      <c r="R3458" t="n">
        <v>0</v>
      </c>
      <c r="S3458">
        <f>IFERROR(O3458/N3458,0)</f>
        <v/>
      </c>
      <c r="T3458" t="n">
        <v>0</v>
      </c>
      <c r="V3458" t="n">
        <v>0</v>
      </c>
    </row>
    <row r="3459">
      <c r="A3459">
        <f>Skills!A9</f>
        <v/>
      </c>
      <c r="B3459">
        <f>Skills!B9</f>
        <v/>
      </c>
      <c r="C3459">
        <f>Inputs!$B$3&gt;=72</f>
        <v/>
      </c>
      <c r="D3459">
        <f>IF(Skills!C9=1,60+Inputs!$B$25+Inputs!$B$29,IF(Skills!C9=2,90+Inputs!$B$26+Inputs!$B$29,IF(Skills!C9=3,120+Inputs!$B$27+Inputs!$B$29,MAX(0,(Inputs!$B$3-100)*3)+Inputs!$B$28+Inputs!$B$29)))</f>
        <v/>
      </c>
      <c r="E3459">
        <f>INDEX(FactorTable!$B$2:$Y$301, MATCH(ROUND(MIN(300,MAX(1,D3459)),0), FactorTable!$A$2:$A$301,0), Skills!M9+1)</f>
        <v/>
      </c>
      <c r="F3459">
        <f>IF(Skills!N9=TRUE,(Skills!L9/10)*(E3459/1000),Skills!L9/10)+Skills!O9</f>
        <v/>
      </c>
      <c r="G3459">
        <f>Skills!G9*IF(Skills!H9&gt;0,IF(Inputs!$B$39="pvp",MIN(Skills!I9,15),Skills!I9)/Skills!H9,1)</f>
        <v/>
      </c>
      <c r="H3459">
        <f>1-(1-Skills!J9/100)^Skills!K9</f>
        <v/>
      </c>
      <c r="I3459" t="inlineStr">
        <is>
          <t>1</t>
        </is>
      </c>
      <c r="J3459">
        <f>((Inputs!$B$6*(1+Inputs!$B$7/100))+(((Inputs!$B$12*(1+Inputs!$B$13/100))-(Inputs!$B$12*(1+Inputs!$B$13/100)))+0.25*(Inputs!$B$14-Inputs!$B$14))*(1+Inputs!$B$7/100))*(F3459/100)</f>
        <v/>
      </c>
      <c r="K3459">
        <f>J3459*(1+((Inputs!$B$12*(1+Inputs!$B$13/100))*0.01+Inputs!$B$14*0.0025)/100)*(1+Inputs!$B$15/100)*(1+Inputs!$B$16/100)*(5000/(6000+Inputs!$B$43*(1-(100*(1-(1-Inputs!$B$19/100)*(1-CHOOSE(ArtifactsInput!$N$40+1,5,6,7,8,9,10)/100)^(ArtifactsInput!$M$40-ArtifactsInput!$M$40)))/100)))*(1+(Inputs!$B$24+((C3481=TRUE)*(F3481-Calc!F31))+((C3468=TRUE)*(F3468-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+3.3333333333333335*IF(C3469=TRUE,F3469,0)/100)*(1+(IF(Skills!A9="CRUEL_STAB",Inputs!$B$17+((C3478=TRUE)*(F3478-Calc!F28))+((IF(AND(Inputs!$B$39&lt;&gt;"pvp",Inputs!$B$44=0),1,IF(IF(Inputs!$B$39="pvp",15,Inputs!$B$44)-(B3495)&lt;=0,1,MAX(0,IF(Inputs!$B$39="pvp",15,Inputs!$B$44)-MAX(5,B3495))/(IF(Inputs!$B$39="pvp",15,Inputs!$B$44)-(B3495))))*(IF(AND(ArtifactsInput!$M$42,((Inputs!$B$9+((C3476=TRUE)*(F3476-Calc!F26))+B3484+(ArtifactsInput!$M$24-ArtifactsInput!$M$24)*CHOOSE(ArtifactsInput!$N$24+1,10,12,14,16,18,20)+IF(ArtifactsInput!$M$10,CHOOSE(ArtifactsInput!$N$10+1,15,18,21,24,27,30)*(IF(Inputs!$B$39="pvp",MIN(15,15)/15,IF(AND(Inputs!$B$39&lt;&gt;"pvp",Inputs!$B$44&gt;0),MIN(15,Inputs!$B$44)/(Inputs!$B$44),0))),0)))&gt;=100),MIN(100,((Inputs!$B$9+((C3476=TRUE)*(F3476-Calc!F26))+B3484+(ArtifactsInput!$M$24-ArtifactsInput!$M$24)*CHOOSE(ArtifactsInput!$N$24+1,10,12,14,16,18,20)+IF(ArtifactsInput!$M$10,CHOOSE(ArtifactsInput!$N$10+1,15,18,21,24,27,30)*(IF(Inputs!$B$39="pvp",MIN(15,15)/15,IF(AND(Inputs!$B$39&lt;&gt;"pvp",Inputs!$B$44&gt;0),MIN(15,Inputs!$B$44)/(Inputs!$B$44),0))),0)))-100),0))*CHOOSE(ArtifactsInput!$N$42+1,0.6,0.72,0.84,0.96,1.08,1.2))),Inputs!$B$18+((C3479=TRUE)*(F3479-Calc!F29))+(IF(AND(Inputs!$B$39&lt;&gt;"pvp",Inputs!$B$44=0),1,IF(IF(Inputs!$B$39="pvp",15,Inputs!$B$44)-(B3495)&lt;=0,1,MAX(0,IF(Inputs!$B$39="pvp",15,Inputs!$B$44)-MAX(5,B3495))/(IF(Inputs!$B$39="pvp",15,Inputs!$B$44)-(B3495))))*IF(AND(ArtifactsInput!$M$42,((Inputs!$B$9+((C3476=TRUE)*(F3476-Calc!F26))+B3484+(ArtifactsInput!$M$24-ArtifactsInput!$M$24)*CHOOSE(ArtifactsInput!$N$24+1,10,12,14,16,18,20)+IF(ArtifactsInput!$M$10,CHOOSE(ArtifactsInput!$N$10+1,15,18,21,24,27,30)*(IF(Inputs!$B$39="pvp",MIN(15,15)/15,IF(AND(Inputs!$B$39&lt;&gt;"pvp",Inputs!$B$44&gt;0),MIN(15,Inputs!$B$44)/(Inputs!$B$44),0))),0)))&gt;=100),CHOOSE(ArtifactsInput!$N$42+1,40,48,56,64,72,80),0))))/100)*(((1+(((C3472=TRUE)*F3472*IF(AND(Inputs!$B$39&lt;&gt;"pvp",Inputs!$B$44&gt;0),(((R3472-1)*MIN((Skills!Y22*(1+Inputs!$B$34/100)),(1/Q3472))+MIN((Skills!Y22*(1+Inputs!$B$34/100)),MAX(0,Inputs!$B$44-((R3472-1)*(1/Q3472)))))/Inputs!$B$44),IF(Inputs!$B$39="pvp",MIN((Skills!Y22*(1+Inputs!$B$34/100)),15)/15,MIN(1,(Skills!Y22*(1+Inputs!$B$34/100))/(1/Q3472)))))+((C3453=TRUE)*F3453*3)+((C3455=TRUE)*F3455*(1-EXP(-0.75*B3488*5)))+((C3474=TRUE)*(F3474-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3461=TRUE)*F3461*IF(AND(Inputs!$B$39&lt;&gt;"pvp",Inputs!$B$44&gt;0),(((R3461-1)*MIN((Skills!Y11*(1+Inputs!$B$34/100)),(1/Q3461))+MIN((Skills!Y11*(1+Inputs!$B$34/100)),MAX(0,Inputs!$B$44-((R3461-1)*(1/Q3461)))))/Inputs!$B$44),IF(Inputs!$B$39="pvp",MIN((Skills!Y11*(1+Inputs!$B$34/100)),15)/15,MIN(1,(Skills!Y11*(1+Inputs!$B$34/100))/(1/Q3461)))))/100)*(1+((C3466=TRUE)*F3466*IF(AND(Inputs!$B$39&lt;&gt;"pvp",Inputs!$B$44&gt;0),(((R3466-1)*MIN((Skills!Y16*(1+Inputs!$B$34/100)),(1/Q3466))+MIN((Skills!Y16*(1+Inputs!$B$34/100)),MAX(0,Inputs!$B$44-((R3466-1)*(1/Q3466)))))/Inputs!$B$44),IF(Inputs!$B$39="pvp",MIN((Skills!Y16*(1+Inputs!$B$34/100)),15)/15,MIN(1,(Skills!Y16*(1+Inputs!$B$34/100))/(1/Q3466)))))/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3486*I3459)</f>
        <v/>
      </c>
      <c r="L3459">
        <f>K3459*(MIN(Inputs!$B$22+((C3475=TRUE)*(F3475-Calc!F25)),(Inputs!$B$23+((C3480=TRUE)*(F3480-Calc!F30))+IF(ArtifactsInput!$M$15,CHOOSE(ArtifactsInput!$N$15+1,25,30,35,40,45,50)/100*(Inputs!$B$11-Inputs!$B$11),0)))/100+(Inputs!$B$23+((C3480=TRUE)*(F3480-Calc!F30))+IF(ArtifactsInput!$M$15,CHOOSE(ArtifactsInput!$N$15+1,25,30,35,40,45,50)/100*(Inputs!$B$11-Inputs!$B$11),0))/100)/2</f>
        <v/>
      </c>
      <c r="M3459">
        <f>L3459*(1+(Inputs!$B$10+((C3477=TRUE)*(F3477-Calc!F27))+B3491+(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3459">
        <f>L3459*(1-MIN((Inputs!$B$9+((C3476=TRUE)*(F3476-Calc!F26))+B3484+(ArtifactsInput!$M$24-ArtifactsInput!$M$24)*CHOOSE(ArtifactsInput!$N$24+1,10,12,14,16,18,20)+(IF(AND(Inputs!$B$39&lt;&gt;"pvp",Inputs!$B$44=0),1,IF(IF(Inputs!$B$39="pvp",15,Inputs!$B$44)-(B3495)&lt;=0,1,MAX(0,IF(Inputs!$B$39="pvp",15,Inputs!$B$44)-MAX(5,B3495))/(IF(Inputs!$B$39="pvp",15,Inputs!$B$44)-(B3495))))*IF(AND(ArtifactsInput!$M$42,((Inputs!$B$9+((C3476=TRUE)*(F3476-Calc!F26))+B3484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3459*(MIN((Inputs!$B$9+((C3476=TRUE)*(F3476-Calc!F26))+B3484+(ArtifactsInput!$M$24-ArtifactsInput!$M$24)*CHOOSE(ArtifactsInput!$N$24+1,10,12,14,16,18,20)+(IF(AND(Inputs!$B$39&lt;&gt;"pvp",Inputs!$B$44=0),1,IF(IF(Inputs!$B$39="pvp",15,Inputs!$B$44)-(B3495)&lt;=0,1,MAX(0,IF(Inputs!$B$39="pvp",15,Inputs!$B$44)-MAX(5,B3495))/(IF(Inputs!$B$39="pvp",15,Inputs!$B$44)-(B3495))))*IF(AND(ArtifactsInput!$M$42,((Inputs!$B$9+((C3476=TRUE)*(F3476-Calc!F26))+B3484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3459">
        <f>(1-Summary!$B$11)*T3459+Summary!$B$11*V3459</f>
        <v/>
      </c>
      <c r="P3459">
        <f>IF(B3496=0,0,O3459/B3496)</f>
        <v/>
      </c>
      <c r="Q3459">
        <f>IFERROR(1/IF(Inputs!$B$39="pvp",15,MAX(0.1,Skills!D9-IF(FALSE=TRUE,2.0,0))),0)</f>
        <v/>
      </c>
      <c r="R3459">
        <f>IF(AND(Inputs!$B$39&lt;&gt;"pvp",Inputs!$B$44&gt;0),IF(MAX(0,Inputs!$B$44-B3495)&lt;=0,0,(INT(MAX(0,Inputs!$B$44-B3495)/IF(Inputs!$B$39="pvp",15,MAX(0.1,Skills!D9-IF(FALSE=TRUE,2.0,0))))+1)),0)</f>
        <v/>
      </c>
      <c r="S3459">
        <f>IFERROR(O3459/N3459,0)</f>
        <v/>
      </c>
      <c r="T3459">
        <f>IF(C3459,(H3459*N3459*IF(AND(Inputs!$B$39&lt;&gt;"pvp",Inputs!$B$44&gt;0),((Skills!G9*((R3459-1)*IF(Skills!H9&gt;0,Skills!I9/Skills!H9,1)+IF(Skills!H9&gt;0,MIN(Skills!I9,MAX(0,MAX(0,Inputs!$B$44-B3495)-((R3459-1)*IF(Inputs!$B$39="pvp",15,MAX(0.1,Skills!D9-IF(FALSE=TRUE,2.0,0))))))/Skills!H9,1)))/Inputs!$B$44),G3459*Q3459))*IF(Inputs!$B$39="pvp",1,1+(Inputs!$B$20+0+Skills!P9+B3485+(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Hunt"),CHOOSE(ArtifactsInput!$N$35+1,15,18,21,24,27,30)*(1-EXP(-(0.2*B3488)*5)),0)+IF(AND(ArtifactsInput!$M$22,Inputs!$B$4&lt;&gt;"Chapter Hunt"),CHOOSE(ArtifactsInput!$N$22+1,10,12,14,16,18,20)*((0*(((0.15*B3488*5))^0/1)+1*(((0.15*B3488*5))^1/1)+2*(((0.15*B3488*5))^2/2)+3*(((0.15*B3488*5))^3/6)+4*(((0.15*B3488*5))^4/24)+5*(((0.15*B3488*5))^5/120))/((((0.15*B3488*5))^0/1)+(((0.15*B3488*5))^1/1)+(((0.15*B3488*5))^2/2)+(((0.15*B3488*5))^3/6)+(((0.15*B3488*5))^4/24)+(((0.15*B3488*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3459*(1-MIN(100,(Inputs!$B$9+((C3476=TRUE)*(F3476-Calc!F26))+B3484+(ArtifactsInput!$M$24-ArtifactsInput!$M$24)*CHOOSE(ArtifactsInput!$N$24+1,10,12,14,16,18,20)+(IF(AND(Inputs!$B$39&lt;&gt;"pvp",Inputs!$B$44=0),1,IF(IF(Inputs!$B$39="pvp",15,Inputs!$B$44)-(B3495)&lt;=0,1,MAX(0,IF(Inputs!$B$39="pvp",15,Inputs!$B$44)-MAX(5,B3495))/(IF(Inputs!$B$39="pvp",15,Inputs!$B$44)-(B3495))))*IF(AND(ArtifactsInput!$M$42,((Inputs!$B$9+((C3476=TRUE)*(F3476-Calc!F26))+B3484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3459*(MIN(100,(Inputs!$B$9+((C3476=TRUE)*(F3476-Calc!F26))+B3484+(ArtifactsInput!$M$24-ArtifactsInput!$M$24)*CHOOSE(ArtifactsInput!$N$24+1,10,12,14,16,18,20)+(IF(AND(Inputs!$B$39&lt;&gt;"pvp",Inputs!$B$44=0),1,IF(IF(Inputs!$B$39="pvp",15,Inputs!$B$44)-(B3495)&lt;=0,1,MAX(0,IF(Inputs!$B$39="pvp",15,Inputs!$B$44)-MAX(5,B3495))/(IF(Inputs!$B$39="pvp",15,Inputs!$B$44)-(B3495))))*IF(AND(ArtifactsInput!$M$42,((Inputs!$B$9+((C3476=TRUE)*(F3476-Calc!F26))+B3484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3459*(1-MIN(100,(Inputs!$B$9+((C3476=TRUE)*(F3476-Calc!F26))+B3484+(ArtifactsInput!$M$24-ArtifactsInput!$M$24)*CHOOSE(ArtifactsInput!$N$24+1,10,12,14,16,18,20)+(IF(AND(Inputs!$B$39&lt;&gt;"pvp",Inputs!$B$44=0),1,IF(IF(Inputs!$B$39="pvp",15,Inputs!$B$44)-(B3495)&lt;=0,1,MAX(0,IF(Inputs!$B$39="pvp",15,Inputs!$B$44)-MAX(5,B3495))/(IF(Inputs!$B$39="pvp",15,Inputs!$B$44)-(B3495))))*IF(AND(ArtifactsInput!$M$42,((Inputs!$B$9+((C3476=TRUE)*(F3476-Calc!F26))+B3484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3459*(MIN(100,(Inputs!$B$9+((C3476=TRUE)*(F3476-Calc!F26))+B3484+(ArtifactsInput!$M$24-ArtifactsInput!$M$24)*CHOOSE(ArtifactsInput!$N$24+1,10,12,14,16,18,20)+(IF(AND(Inputs!$B$39&lt;&gt;"pvp",Inputs!$B$44=0),1,IF(IF(Inputs!$B$39="pvp",15,Inputs!$B$44)-(B3495)&lt;=0,1,MAX(0,IF(Inputs!$B$39="pvp",15,Inputs!$B$44)-MAX(5,B3495))/(IF(Inputs!$B$39="pvp",15,Inputs!$B$44)-(B3495))))*IF(AND(ArtifactsInput!$M$42,((Inputs!$B$9+((C3476=TRUE)*(F3476-Calc!F26))+B3484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3459">
        <f>IF(C3459,(H3459*N3459*IF(AND(Inputs!$B$39&lt;&gt;"pvp",Inputs!$B$44&gt;0),((Skills!G9*((R3459-1)*IF(Skills!H9&gt;0,Skills!I9/Skills!H9,1)+IF(Skills!H9&gt;0,MIN(Skills!I9,MAX(0,MAX(0,Inputs!$B$44-B3495)-((R3459-1)*IF(Inputs!$B$39="pvp",15,MAX(0.1,Skills!D9-IF(FALSE=TRUE,2.0,0))))))/Skills!H9,1)))/Inputs!$B$44),G3459*Q3459))*IF(Inputs!$B$39="pvp",1,(1+(Inputs!$B$21+Skills!Q9+B3485+(IF(ArtifactsInput!$M$33,CHOOSE(ArtifactsInput!$N$33+1,30,36,42,48,54,60),0))+(IF(AND(ArtifactsInput!$M$35,Inputs!$B$4&lt;&gt;"Chapter Hunt"),CHOOSE(ArtifactsInput!$N$35+1,15,18,21,24,27,30)*(1-EXP(-(0.2*B3488)*5)),0)+IF(AND(ArtifactsInput!$M$22,Inputs!$B$4&lt;&gt;"Chapter Hunt"),CHOOSE(ArtifactsInput!$N$22+1,10,12,14,16,18,20)*((0*(((0.15*B3488*5))^0/1)+1*(((0.15*B3488*5))^1/1)+2*(((0.15*B3488*5))^2/2)+3*(((0.15*B3488*5))^3/6)+4*(((0.15*B3488*5))^4/24)+5*(((0.15*B3488*5))^5/120))/((((0.15*B3488*5))^0/1)+(((0.15*B3488*5))^1/1)+(((0.15*B3488*5))^2/2)+(((0.15*B3488*5))^3/6)+(((0.15*B3488*5))^4/24)+(((0.15*B3488*5))^5/120))),0)))/100)*(MIN(Skills!W9,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3460">
      <c r="A3460">
        <f>Skills!A10</f>
        <v/>
      </c>
      <c r="B3460">
        <f>Skills!B10</f>
        <v/>
      </c>
      <c r="C3460">
        <f>Inputs!$B$3&gt;=117</f>
        <v/>
      </c>
      <c r="D3460">
        <f>IF(Skills!C10=1,60+Inputs!$B$25+Inputs!$B$29,IF(Skills!C10=2,90+Inputs!$B$26+Inputs!$B$29,IF(Skills!C10=3,120+Inputs!$B$27+Inputs!$B$29,MAX(0,(Inputs!$B$3-100)*3)+Inputs!$B$28+Inputs!$B$29)))</f>
        <v/>
      </c>
      <c r="E3460">
        <f>INDEX(FactorTable!$B$2:$Y$301, MATCH(ROUND(MIN(300,MAX(1,D3460)),0), FactorTable!$A$2:$A$301,0), Skills!M10+1)</f>
        <v/>
      </c>
      <c r="F3460">
        <f>IF(Skills!N10=TRUE,(Skills!L10/10)*(E3460/1000),Skills!L10/10)+Skills!O10</f>
        <v/>
      </c>
      <c r="G3460">
        <f>Skills!G10*IF(Skills!H10&gt;0,IF(Inputs!$B$39="pvp",MIN(Skills!I10,15),Skills!I10)/Skills!H10,1)</f>
        <v/>
      </c>
      <c r="H3460">
        <f>1-(1-Skills!J10/100)^Skills!K10</f>
        <v/>
      </c>
      <c r="I3460" t="inlineStr">
        <is>
          <t>1</t>
        </is>
      </c>
      <c r="J3460">
        <f>((Inputs!$B$6*(1+Inputs!$B$7/100))+(((Inputs!$B$12*(1+Inputs!$B$13/100))-(Inputs!$B$12*(1+Inputs!$B$13/100)))+0.25*(Inputs!$B$14-Inputs!$B$14))*(1+Inputs!$B$7/100))*(F3460/100)</f>
        <v/>
      </c>
      <c r="K3460">
        <f>J3460*(1+((Inputs!$B$12*(1+Inputs!$B$13/100))*0.01+Inputs!$B$14*0.0025)/100)*(1+Inputs!$B$15/100)*(1+Inputs!$B$16/100)*(5000/(6000+Inputs!$B$43*(1-(100*(1-(1-Inputs!$B$19/100)*(1-CHOOSE(ArtifactsInput!$N$40+1,5,6,7,8,9,10)/100)^(ArtifactsInput!$M$40-ArtifactsInput!$M$40)))/100)))*(1+(Inputs!$B$24+((C3481=TRUE)*(F3481-Calc!F31))+((C3468=TRUE)*(F3468-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10="CRUEL_STAB",Inputs!$B$17+((C3478=TRUE)*(F3478-Calc!F28))+((IF(AND(Inputs!$B$39&lt;&gt;"pvp",Inputs!$B$44=0),1,IF(IF(Inputs!$B$39="pvp",15,Inputs!$B$44)-(B3495)&lt;=0,1,MAX(0,IF(Inputs!$B$39="pvp",15,Inputs!$B$44)-MAX(5,B3495))/(IF(Inputs!$B$39="pvp",15,Inputs!$B$44)-(B3495))))*(IF(AND(ArtifactsInput!$M$42,((Inputs!$B$9+((C3476=TRUE)*(F3476-Calc!F26))+B3484+(ArtifactsInput!$M$24-ArtifactsInput!$M$24)*CHOOSE(ArtifactsInput!$N$24+1,10,12,14,16,18,20)+IF(ArtifactsInput!$M$10,CHOOSE(ArtifactsInput!$N$10+1,15,18,21,24,27,30)*(IF(Inputs!$B$39="pvp",MIN(15,15)/15,IF(AND(Inputs!$B$39&lt;&gt;"pvp",Inputs!$B$44&gt;0),MIN(15,Inputs!$B$44)/(Inputs!$B$44),0))),0)))&gt;=100),MIN(100,((Inputs!$B$9+((C3476=TRUE)*(F3476-Calc!F26))+B3484+(ArtifactsInput!$M$24-ArtifactsInput!$M$24)*CHOOSE(ArtifactsInput!$N$24+1,10,12,14,16,18,20)+IF(ArtifactsInput!$M$10,CHOOSE(ArtifactsInput!$N$10+1,15,18,21,24,27,30)*(IF(Inputs!$B$39="pvp",MIN(15,15)/15,IF(AND(Inputs!$B$39&lt;&gt;"pvp",Inputs!$B$44&gt;0),MIN(15,Inputs!$B$44)/(Inputs!$B$44),0))),0)))-100),0))*CHOOSE(ArtifactsInput!$N$42+1,0.6,0.72,0.84,0.96,1.08,1.2))),Inputs!$B$18+((C3479=TRUE)*(F3479-Calc!F29))+(IF(AND(Inputs!$B$39&lt;&gt;"pvp",Inputs!$B$44=0),1,IF(IF(Inputs!$B$39="pvp",15,Inputs!$B$44)-(B3495)&lt;=0,1,MAX(0,IF(Inputs!$B$39="pvp",15,Inputs!$B$44)-MAX(5,B3495))/(IF(Inputs!$B$39="pvp",15,Inputs!$B$44)-(B3495))))*IF(AND(ArtifactsInput!$M$42,((Inputs!$B$9+((C3476=TRUE)*(F3476-Calc!F26))+B3484+(ArtifactsInput!$M$24-ArtifactsInput!$M$24)*CHOOSE(ArtifactsInput!$N$24+1,10,12,14,16,18,20)+IF(ArtifactsInput!$M$10,CHOOSE(ArtifactsInput!$N$10+1,15,18,21,24,27,30)*(IF(Inputs!$B$39="pvp",MIN(15,15)/15,IF(AND(Inputs!$B$39&lt;&gt;"pvp",Inputs!$B$44&gt;0),MIN(15,Inputs!$B$44)/(Inputs!$B$44),0))),0)))&gt;=100),CHOOSE(ArtifactsInput!$N$42+1,40,48,56,64,72,80),0))))/100)*(((1+(((C3472=TRUE)*F3472*IF(AND(Inputs!$B$39&lt;&gt;"pvp",Inputs!$B$44&gt;0),(((R3472-1)*MIN((Skills!Y22*(1+Inputs!$B$34/100)),(1/Q3472))+MIN((Skills!Y22*(1+Inputs!$B$34/100)),MAX(0,Inputs!$B$44-((R3472-1)*(1/Q3472)))))/Inputs!$B$44),IF(Inputs!$B$39="pvp",MIN((Skills!Y22*(1+Inputs!$B$34/100)),15)/15,MIN(1,(Skills!Y22*(1+Inputs!$B$34/100))/(1/Q3472)))))+((C3453=TRUE)*F3453*3)+((C3455=TRUE)*F3455*(1-EXP(-0.75*B3488*5)))+((C3474=TRUE)*(F3474-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3461=TRUE)*F3461*IF(AND(Inputs!$B$39&lt;&gt;"pvp",Inputs!$B$44&gt;0),(((R3461-1)*MIN((Skills!Y11*(1+Inputs!$B$34/100)),(1/Q3461))+MIN((Skills!Y11*(1+Inputs!$B$34/100)),MAX(0,Inputs!$B$44-((R3461-1)*(1/Q3461)))))/Inputs!$B$44),IF(Inputs!$B$39="pvp",MIN((Skills!Y11*(1+Inputs!$B$34/100)),15)/15,MIN(1,(Skills!Y11*(1+Inputs!$B$34/100))/(1/Q3461)))))/100)*(1+((C3466=TRUE)*F3466*IF(AND(Inputs!$B$39&lt;&gt;"pvp",Inputs!$B$44&gt;0),(((R3466-1)*MIN((Skills!Y16*(1+Inputs!$B$34/100)),(1/Q3466))+MIN((Skills!Y16*(1+Inputs!$B$34/100)),MAX(0,Inputs!$B$44-((R3466-1)*(1/Q3466)))))/Inputs!$B$44),IF(Inputs!$B$39="pvp",MIN((Skills!Y16*(1+Inputs!$B$34/100)),15)/15,MIN(1,(Skills!Y16*(1+Inputs!$B$34/100))/(1/Q3466)))))/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3486*I3460)</f>
        <v/>
      </c>
      <c r="L3460">
        <f>K3460*(MIN(Inputs!$B$22+((C3475=TRUE)*(F3475-Calc!F25)),(Inputs!$B$23+((C3480=TRUE)*(F3480-Calc!F30))+IF(ArtifactsInput!$M$15,CHOOSE(ArtifactsInput!$N$15+1,25,30,35,40,45,50)/100*(Inputs!$B$11-Inputs!$B$11),0)))/100+(Inputs!$B$23+((C3480=TRUE)*(F3480-Calc!F30))+IF(ArtifactsInput!$M$15,CHOOSE(ArtifactsInput!$N$15+1,25,30,35,40,45,50)/100*(Inputs!$B$11-Inputs!$B$11),0))/100)/2</f>
        <v/>
      </c>
      <c r="M3460">
        <f>L3460*(1+(Inputs!$B$10+((C3477=TRUE)*(F3477-Calc!F27))+B3491+(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3460">
        <f>L3460*(1-MIN((Inputs!$B$9+((C3476=TRUE)*(F3476-Calc!F26))+B3484+(ArtifactsInput!$M$24-ArtifactsInput!$M$24)*CHOOSE(ArtifactsInput!$N$24+1,10,12,14,16,18,20)+(IF(AND(Inputs!$B$39&lt;&gt;"pvp",Inputs!$B$44=0),1,IF(IF(Inputs!$B$39="pvp",15,Inputs!$B$44)-(B3495)&lt;=0,1,MAX(0,IF(Inputs!$B$39="pvp",15,Inputs!$B$44)-MAX(5,B3495))/(IF(Inputs!$B$39="pvp",15,Inputs!$B$44)-(B3495))))*IF(AND(ArtifactsInput!$M$42,((Inputs!$B$9+((C3476=TRUE)*(F3476-Calc!F26))+B3484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3460*(MIN((Inputs!$B$9+((C3476=TRUE)*(F3476-Calc!F26))+B3484+(ArtifactsInput!$M$24-ArtifactsInput!$M$24)*CHOOSE(ArtifactsInput!$N$24+1,10,12,14,16,18,20)+(IF(AND(Inputs!$B$39&lt;&gt;"pvp",Inputs!$B$44=0),1,IF(IF(Inputs!$B$39="pvp",15,Inputs!$B$44)-(B3495)&lt;=0,1,MAX(0,IF(Inputs!$B$39="pvp",15,Inputs!$B$44)-MAX(5,B3495))/(IF(Inputs!$B$39="pvp",15,Inputs!$B$44)-(B3495))))*IF(AND(ArtifactsInput!$M$42,((Inputs!$B$9+((C3476=TRUE)*(F3476-Calc!F26))+B3484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3460">
        <f>(1-Summary!$B$11)*T3460+Summary!$B$11*V3460</f>
        <v/>
      </c>
      <c r="P3460">
        <f>IF(B3496=0,0,O3460/B3496)</f>
        <v/>
      </c>
      <c r="Q3460" t="n">
        <v>0</v>
      </c>
      <c r="R3460" t="n">
        <v>0</v>
      </c>
      <c r="S3460" t="n">
        <v>0</v>
      </c>
      <c r="T3460">
        <f>IF(C3460,(0.2*SUMPRODUCT((Skills!Z2:Z31=TRUE)*(C3452:C3481=TRUE)*S3452:S3481)*N3460)*IF(Inputs!$B$39="pvp",1,1+(Inputs!$B$20+0+Skills!P10+B3485+(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Hunt"),CHOOSE(ArtifactsInput!$N$35+1,15,18,21,24,27,30)*(1-EXP(-(0.2*B3488)*5)),0)+IF(AND(ArtifactsInput!$M$22,Inputs!$B$4&lt;&gt;"Chapter Hunt"),CHOOSE(ArtifactsInput!$N$22+1,10,12,14,16,18,20)*((0*(((0.15*B3488*5))^0/1)+1*(((0.15*B3488*5))^1/1)+2*(((0.15*B3488*5))^2/2)+3*(((0.15*B3488*5))^3/6)+4*(((0.15*B3488*5))^4/24)+5*(((0.15*B3488*5))^5/120))/((((0.15*B3488*5))^0/1)+(((0.15*B3488*5))^1/1)+(((0.15*B3488*5))^2/2)+(((0.15*B3488*5))^3/6)+(((0.15*B3488*5))^4/24)+(((0.15*B3488*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3460*(1-MIN(100,(Inputs!$B$9+((C3476=TRUE)*(F3476-Calc!F26))+B3484+(ArtifactsInput!$M$24-ArtifactsInput!$M$24)*CHOOSE(ArtifactsInput!$N$24+1,10,12,14,16,18,20)+(IF(AND(Inputs!$B$39&lt;&gt;"pvp",Inputs!$B$44=0),1,IF(IF(Inputs!$B$39="pvp",15,Inputs!$B$44)-(B3495)&lt;=0,1,MAX(0,IF(Inputs!$B$39="pvp",15,Inputs!$B$44)-MAX(5,B3495))/(IF(Inputs!$B$39="pvp",15,Inputs!$B$44)-(B3495))))*IF(AND(ArtifactsInput!$M$42,((Inputs!$B$9+((C3476=TRUE)*(F3476-Calc!F26))+B3484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3460*(MIN(100,(Inputs!$B$9+((C3476=TRUE)*(F3476-Calc!F26))+B3484+(ArtifactsInput!$M$24-ArtifactsInput!$M$24)*CHOOSE(ArtifactsInput!$N$24+1,10,12,14,16,18,20)+(IF(AND(Inputs!$B$39&lt;&gt;"pvp",Inputs!$B$44=0),1,IF(IF(Inputs!$B$39="pvp",15,Inputs!$B$44)-(B3495)&lt;=0,1,MAX(0,IF(Inputs!$B$39="pvp",15,Inputs!$B$44)-MAX(5,B3495))/(IF(Inputs!$B$39="pvp",15,Inputs!$B$44)-(B3495))))*IF(AND(ArtifactsInput!$M$42,((Inputs!$B$9+((C3476=TRUE)*(F3476-Calc!F26))+B3484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3460*(1-MIN(100,(Inputs!$B$9+((C3476=TRUE)*(F3476-Calc!F26))+B3484+(ArtifactsInput!$M$24-ArtifactsInput!$M$24)*CHOOSE(ArtifactsInput!$N$24+1,10,12,14,16,18,20)+(IF(AND(Inputs!$B$39&lt;&gt;"pvp",Inputs!$B$44=0),1,IF(IF(Inputs!$B$39="pvp",15,Inputs!$B$44)-(B3495)&lt;=0,1,MAX(0,IF(Inputs!$B$39="pvp",15,Inputs!$B$44)-MAX(5,B3495))/(IF(Inputs!$B$39="pvp",15,Inputs!$B$44)-(B3495))))*IF(AND(ArtifactsInput!$M$42,((Inputs!$B$9+((C3476=TRUE)*(F3476-Calc!F26))+B3484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3460*(MIN(100,(Inputs!$B$9+((C3476=TRUE)*(F3476-Calc!F26))+B3484+(ArtifactsInput!$M$24-ArtifactsInput!$M$24)*CHOOSE(ArtifactsInput!$N$24+1,10,12,14,16,18,20)+(IF(AND(Inputs!$B$39&lt;&gt;"pvp",Inputs!$B$44=0),1,IF(IF(Inputs!$B$39="pvp",15,Inputs!$B$44)-(B3495)&lt;=0,1,MAX(0,IF(Inputs!$B$39="pvp",15,Inputs!$B$44)-MAX(5,B3495))/(IF(Inputs!$B$39="pvp",15,Inputs!$B$44)-(B3495))))*IF(AND(ArtifactsInput!$M$42,((Inputs!$B$9+((C3476=TRUE)*(F3476-Calc!F26))+B3484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3460">
        <f>IF(C3460,(0.2*SUMPRODUCT((Skills!Z2:Z31=TRUE)*(C3452:C3481=TRUE)*S3452:S3481)*N3460)*IF(Inputs!$B$39="pvp",1,(1+(Inputs!$B$21+Skills!Q10+B3485+(IF(ArtifactsInput!$M$33,CHOOSE(ArtifactsInput!$N$33+1,30,36,42,48,54,60),0))+(IF(AND(ArtifactsInput!$M$35,Inputs!$B$4&lt;&gt;"Chapter Hunt"),CHOOSE(ArtifactsInput!$N$35+1,15,18,21,24,27,30)*(1-EXP(-(0.2*B3488)*5)),0)+IF(AND(ArtifactsInput!$M$22,Inputs!$B$4&lt;&gt;"Chapter Hunt"),CHOOSE(ArtifactsInput!$N$22+1,10,12,14,16,18,20)*((0*(((0.15*B3488*5))^0/1)+1*(((0.15*B3488*5))^1/1)+2*(((0.15*B3488*5))^2/2)+3*(((0.15*B3488*5))^3/6)+4*(((0.15*B3488*5))^4/24)+5*(((0.15*B3488*5))^5/120))/((((0.15*B3488*5))^0/1)+(((0.15*B3488*5))^1/1)+(((0.15*B3488*5))^2/2)+(((0.15*B3488*5))^3/6)+(((0.15*B3488*5))^4/24)+(((0.15*B3488*5))^5/120))),0)))/100)*(MIN(Skills!W10,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3461">
      <c r="A3461">
        <f>Skills!A11</f>
        <v/>
      </c>
      <c r="B3461">
        <f>Skills!B11</f>
        <v/>
      </c>
      <c r="C3461">
        <f>Inputs!$B$3&gt;=74</f>
        <v/>
      </c>
      <c r="D3461">
        <f>IF(Skills!C11=1,60+Inputs!$B$25+Inputs!$B$29,IF(Skills!C11=2,90+Inputs!$B$26+Inputs!$B$29,IF(Skills!C11=3,120+Inputs!$B$27+Inputs!$B$29,MAX(0,(Inputs!$B$3-100)*3)+Inputs!$B$28+Inputs!$B$29)))</f>
        <v/>
      </c>
      <c r="E3461">
        <f>INDEX(FactorTable!$B$2:$Y$301, MATCH(ROUND(MIN(300,MAX(1,D3461)),0), FactorTable!$A$2:$A$301,0), Skills!M11+1)</f>
        <v/>
      </c>
      <c r="F3461">
        <f>IF(Skills!N11=TRUE,(Skills!L11/10)*(E3461/1000),Skills!L11/10)+Skills!O11</f>
        <v/>
      </c>
      <c r="G3461">
        <f>Skills!G11*IF(Skills!H11&gt;0,IF(Inputs!$B$39="pvp",MIN(Skills!I11,15),Skills!I11)/Skills!H11,1)</f>
        <v/>
      </c>
      <c r="H3461">
        <f>1-(1-Skills!J11/100)^Skills!K11</f>
        <v/>
      </c>
      <c r="I3461" t="inlineStr">
        <is>
          <t>1</t>
        </is>
      </c>
      <c r="J3461" t="inlineStr"/>
      <c r="K3461" t="inlineStr"/>
      <c r="L3461" t="inlineStr"/>
      <c r="M3461" t="inlineStr"/>
      <c r="N3461" t="inlineStr"/>
      <c r="O3461">
        <f>(1-Summary!$B$11)*T3461+Summary!$B$11*V3461</f>
        <v/>
      </c>
      <c r="P3461">
        <f>IF(B3496=0,0,O3461/B3496)</f>
        <v/>
      </c>
      <c r="Q3461">
        <f>IFERROR(1/IF(Inputs!$B$39="pvp",15,MAX(0.1,Skills!D11-IF(TRUE=TRUE,2.0,0))),0)</f>
        <v/>
      </c>
      <c r="R3461">
        <f>IF(AND(Inputs!$B$39&lt;&gt;"pvp",Inputs!$B$44&gt;0),IF(Inputs!$B$44&lt;=0,0,(INT(Inputs!$B$44/IF(Inputs!$B$39="pvp",15,MAX(0.1,Skills!D11-IF(TRUE=TRUE,2.0,0))))+1)),0)</f>
        <v/>
      </c>
      <c r="S3461">
        <f>IFERROR(O3461/N3461,0)</f>
        <v/>
      </c>
      <c r="T3461" t="n">
        <v>0</v>
      </c>
      <c r="V3461" t="n">
        <v>0</v>
      </c>
    </row>
    <row r="3462">
      <c r="A3462">
        <f>Skills!A12</f>
        <v/>
      </c>
      <c r="B3462">
        <f>Skills!B12</f>
        <v/>
      </c>
      <c r="C3462">
        <f>Inputs!$B$3&gt;=103</f>
        <v/>
      </c>
      <c r="D3462">
        <f>IF(Skills!C12=1,60+Inputs!$B$25+Inputs!$B$29,IF(Skills!C12=2,90+Inputs!$B$26+Inputs!$B$29,IF(Skills!C12=3,120+Inputs!$B$27+Inputs!$B$29,MAX(0,(Inputs!$B$3-100)*3)+Inputs!$B$28+Inputs!$B$29)))</f>
        <v/>
      </c>
      <c r="E3462">
        <f>INDEX(FactorTable!$B$2:$Y$301, MATCH(ROUND(MIN(300,MAX(1,D3462)),0), FactorTable!$A$2:$A$301,0), Skills!M12+1)</f>
        <v/>
      </c>
      <c r="F3462">
        <f>(Skills!L12/10)*(E3462/1000)+IF(Inputs!$B$3&gt;=134,50,0)+0.5*(30000/10)*(INDEX(FactorTable!$B$2:$Y$301, MATCH(ROUND(MIN(300,MAX(1,D3462)),0), FactorTable!$A$2:$A$301,0), 13)/1000)*B3494</f>
        <v/>
      </c>
      <c r="G3462">
        <f>Skills!G12*IF(Skills!H12&gt;0,IF(Inputs!$B$39="pvp",MIN(Skills!I12,15),Skills!I12)/Skills!H12,1)</f>
        <v/>
      </c>
      <c r="H3462">
        <f>1-(1-Skills!J12/100)^Skills!K12</f>
        <v/>
      </c>
      <c r="I3462" t="inlineStr">
        <is>
          <t>1</t>
        </is>
      </c>
      <c r="J3462">
        <f>((Inputs!$B$6*(1+Inputs!$B$7/100))+(((Inputs!$B$12*(1+Inputs!$B$13/100))-(Inputs!$B$12*(1+Inputs!$B$13/100)))+0.25*(Inputs!$B$14-Inputs!$B$14))*(1+Inputs!$B$7/100))*(F3462/100)</f>
        <v/>
      </c>
      <c r="K3462">
        <f>J3462*(1+((Inputs!$B$12*(1+Inputs!$B$13/100))*0.01+Inputs!$B$14*0.0025)/100)*(1+Inputs!$B$15/100)*(1+Inputs!$B$16/100)*(5000/(6000+Inputs!$B$43*(1-(100*(1-(1-Inputs!$B$19/100)*(1-CHOOSE(ArtifactsInput!$N$40+1,5,6,7,8,9,10)/100)^(ArtifactsInput!$M$40-ArtifactsInput!$M$40)))/100)))*(1+(Inputs!$B$24+((C3481=TRUE)*(F3481-Calc!F31))+((C3468=TRUE)*(F3468-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12="CRUEL_STAB",Inputs!$B$17+((C3478=TRUE)*(F3478-Calc!F28))+((IF(AND(Inputs!$B$39&lt;&gt;"pvp",Inputs!$B$44=0),1,IF(IF(Inputs!$B$39="pvp",15,Inputs!$B$44)-(B3495)&lt;=0,1,MAX(0,IF(Inputs!$B$39="pvp",15,Inputs!$B$44)-MAX(5,B3495))/(IF(Inputs!$B$39="pvp",15,Inputs!$B$44)-(B3495))))*(IF(AND(ArtifactsInput!$M$42,((Inputs!$B$9+((C3476=TRUE)*(F3476-Calc!F26))+B3484+(ArtifactsInput!$M$24-ArtifactsInput!$M$24)*CHOOSE(ArtifactsInput!$N$24+1,10,12,14,16,18,20)+IF(ArtifactsInput!$M$10,CHOOSE(ArtifactsInput!$N$10+1,15,18,21,24,27,30)*(IF(Inputs!$B$39="pvp",MIN(15,15)/15,IF(AND(Inputs!$B$39&lt;&gt;"pvp",Inputs!$B$44&gt;0),MIN(15,Inputs!$B$44)/(Inputs!$B$44),0))),0)))&gt;=100),MIN(100,((Inputs!$B$9+((C3476=TRUE)*(F3476-Calc!F26))+B3484+(ArtifactsInput!$M$24-ArtifactsInput!$M$24)*CHOOSE(ArtifactsInput!$N$24+1,10,12,14,16,18,20)+IF(ArtifactsInput!$M$10,CHOOSE(ArtifactsInput!$N$10+1,15,18,21,24,27,30)*(IF(Inputs!$B$39="pvp",MIN(15,15)/15,IF(AND(Inputs!$B$39&lt;&gt;"pvp",Inputs!$B$44&gt;0),MIN(15,Inputs!$B$44)/(Inputs!$B$44),0))),0)))-100),0))*CHOOSE(ArtifactsInput!$N$42+1,0.6,0.72,0.84,0.96,1.08,1.2))),Inputs!$B$18+((C3479=TRUE)*(F3479-Calc!F29))+(IF(AND(Inputs!$B$39&lt;&gt;"pvp",Inputs!$B$44=0),1,IF(IF(Inputs!$B$39="pvp",15,Inputs!$B$44)-(B3495)&lt;=0,1,MAX(0,IF(Inputs!$B$39="pvp",15,Inputs!$B$44)-MAX(5,B3495))/(IF(Inputs!$B$39="pvp",15,Inputs!$B$44)-(B3495))))*IF(AND(ArtifactsInput!$M$42,((Inputs!$B$9+((C3476=TRUE)*(F3476-Calc!F26))+B3484+(ArtifactsInput!$M$24-ArtifactsInput!$M$24)*CHOOSE(ArtifactsInput!$N$24+1,10,12,14,16,18,20)+IF(ArtifactsInput!$M$10,CHOOSE(ArtifactsInput!$N$10+1,15,18,21,24,27,30)*(IF(Inputs!$B$39="pvp",MIN(15,15)/15,IF(AND(Inputs!$B$39&lt;&gt;"pvp",Inputs!$B$44&gt;0),MIN(15,Inputs!$B$44)/(Inputs!$B$44),0))),0)))&gt;=100),CHOOSE(ArtifactsInput!$N$42+1,40,48,56,64,72,80),0))))/100)*(((1+(((C3472=TRUE)*F3472*IF(AND(Inputs!$B$39&lt;&gt;"pvp",Inputs!$B$44&gt;0),(((R3472-1)*MIN((Skills!Y22*(1+Inputs!$B$34/100)),(1/Q3472))+MIN((Skills!Y22*(1+Inputs!$B$34/100)),MAX(0,Inputs!$B$44-((R3472-1)*(1/Q3472)))))/Inputs!$B$44),IF(Inputs!$B$39="pvp",MIN((Skills!Y22*(1+Inputs!$B$34/100)),15)/15,MIN(1,(Skills!Y22*(1+Inputs!$B$34/100))/(1/Q3472)))))+((C3453=TRUE)*F3453*3)+((C3455=TRUE)*F3455*(1-EXP(-0.75*B3488*5)))+((C3474=TRUE)*(F3474-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3461=TRUE)*F3461*IF(AND(Inputs!$B$39&lt;&gt;"pvp",Inputs!$B$44&gt;0),(((R3461-1)*MIN((Skills!Y11*(1+Inputs!$B$34/100)),(1/Q3461))+MIN((Skills!Y11*(1+Inputs!$B$34/100)),MAX(0,Inputs!$B$44-((R3461-1)*(1/Q3461)))))/Inputs!$B$44),IF(Inputs!$B$39="pvp",MIN((Skills!Y11*(1+Inputs!$B$34/100)),15)/15,MIN(1,(Skills!Y11*(1+Inputs!$B$34/100))/(1/Q3461)))))/100)*(1+((C3466=TRUE)*F3466*IF(AND(Inputs!$B$39&lt;&gt;"pvp",Inputs!$B$44&gt;0),(((R3466-1)*MIN((Skills!Y16*(1+Inputs!$B$34/100)),(1/Q3466))+MIN((Skills!Y16*(1+Inputs!$B$34/100)),MAX(0,Inputs!$B$44-((R3466-1)*(1/Q3466)))))/Inputs!$B$44),IF(Inputs!$B$39="pvp",MIN((Skills!Y16*(1+Inputs!$B$34/100)),15)/15,MIN(1,(Skills!Y16*(1+Inputs!$B$34/100))/(1/Q3466)))))/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3486*I3462)</f>
        <v/>
      </c>
      <c r="L3462">
        <f>K3462*(MIN(Inputs!$B$22+((C3475=TRUE)*(F3475-Calc!F25)),(Inputs!$B$23+((C3480=TRUE)*(F3480-Calc!F30))+IF(ArtifactsInput!$M$15,CHOOSE(ArtifactsInput!$N$15+1,25,30,35,40,45,50)/100*(Inputs!$B$11-Inputs!$B$11),0)))/100+(Inputs!$B$23+((C3480=TRUE)*(F3480-Calc!F30))+IF(ArtifactsInput!$M$15,CHOOSE(ArtifactsInput!$N$15+1,25,30,35,40,45,50)/100*(Inputs!$B$11-Inputs!$B$11),0))/100)/2</f>
        <v/>
      </c>
      <c r="M3462">
        <f>L3462*(1+(Inputs!$B$10+((C3477=TRUE)*(F3477-Calc!F27))+B3491+(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3462">
        <f>L3462*(1-MIN((Inputs!$B$9+((C3476=TRUE)*(F3476-Calc!F26))+B3484+(ArtifactsInput!$M$24-ArtifactsInput!$M$24)*CHOOSE(ArtifactsInput!$N$24+1,10,12,14,16,18,20)+(IF(AND(Inputs!$B$39&lt;&gt;"pvp",Inputs!$B$44=0),1,IF(IF(Inputs!$B$39="pvp",15,Inputs!$B$44)-(B3495)&lt;=0,1,MAX(0,IF(Inputs!$B$39="pvp",15,Inputs!$B$44)-MAX(5,B3495))/(IF(Inputs!$B$39="pvp",15,Inputs!$B$44)-(B3495))))*IF(AND(ArtifactsInput!$M$42,((Inputs!$B$9+((C3476=TRUE)*(F3476-Calc!F26))+B3484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3462*(MIN((Inputs!$B$9+((C3476=TRUE)*(F3476-Calc!F26))+B3484+(ArtifactsInput!$M$24-ArtifactsInput!$M$24)*CHOOSE(ArtifactsInput!$N$24+1,10,12,14,16,18,20)+(IF(AND(Inputs!$B$39&lt;&gt;"pvp",Inputs!$B$44=0),1,IF(IF(Inputs!$B$39="pvp",15,Inputs!$B$44)-(B3495)&lt;=0,1,MAX(0,IF(Inputs!$B$39="pvp",15,Inputs!$B$44)-MAX(5,B3495))/(IF(Inputs!$B$39="pvp",15,Inputs!$B$44)-(B3495))))*IF(AND(ArtifactsInput!$M$42,((Inputs!$B$9+((C3476=TRUE)*(F3476-Calc!F26))+B3484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3462">
        <f>(1-Summary!$B$11)*T3462+Summary!$B$11*V3462</f>
        <v/>
      </c>
      <c r="P3462">
        <f>IF(B3496=0,0,O3462/B3496)</f>
        <v/>
      </c>
      <c r="Q3462">
        <f>IFERROR(1/IF(Inputs!$B$39="pvp",15,MAX(0.1,Skills!D12-IF(TRUE=TRUE,2.0,0))),0)</f>
        <v/>
      </c>
      <c r="R3462">
        <f>IF(AND(Inputs!$B$39&lt;&gt;"pvp",Inputs!$B$44&gt;0),IF(MAX(0,Inputs!$B$44-B3495)&lt;=0,0,(INT(MAX(0,Inputs!$B$44-B3495)/IF(Inputs!$B$39="pvp",15,MAX(0.1,Skills!D12-IF(TRUE=TRUE,2.0,0))))+1)),0)</f>
        <v/>
      </c>
      <c r="S3462">
        <f>IFERROR(O3462/N3462,0)</f>
        <v/>
      </c>
      <c r="T3462">
        <f>IF(C3462,(H3462*N3462*IF(AND(Inputs!$B$39&lt;&gt;"pvp",Inputs!$B$44&gt;0),((Skills!G12*((R3462-1)*IF(Skills!H12&gt;0,Skills!I12/Skills!H12,1)+IF(Skills!H12&gt;0,MIN(Skills!I12,MAX(0,MAX(0,Inputs!$B$44-B3495)-((R3462-1)*IF(Inputs!$B$39="pvp",15,MAX(0.1,Skills!D12-IF(TRUE=TRUE,2.0,0))))))/Skills!H12,1)))/Inputs!$B$44),G3462*Q3462))*IF(Inputs!$B$39="pvp",1,1+(Inputs!$B$20+0+Skills!P12+B3485+(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Hunt"),CHOOSE(ArtifactsInput!$N$35+1,15,18,21,24,27,30)*(1-EXP(-(0.2*B3488)*5)),0)+IF(AND(ArtifactsInput!$M$22,Inputs!$B$4&lt;&gt;"Chapter Hunt"),CHOOSE(ArtifactsInput!$N$22+1,10,12,14,16,18,20)*((0*(((0.15*B3488*5))^0/1)+1*(((0.15*B3488*5))^1/1)+2*(((0.15*B3488*5))^2/2)+3*(((0.15*B3488*5))^3/6)+4*(((0.15*B3488*5))^4/24)+5*(((0.15*B3488*5))^5/120))/((((0.15*B3488*5))^0/1)+(((0.15*B3488*5))^1/1)+(((0.15*B3488*5))^2/2)+(((0.15*B3488*5))^3/6)+(((0.15*B3488*5))^4/24)+(((0.15*B3488*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3462*(1-MIN(100,(Inputs!$B$9+((C3476=TRUE)*(F3476-Calc!F26))+B3484+(ArtifactsInput!$M$24-ArtifactsInput!$M$24)*CHOOSE(ArtifactsInput!$N$24+1,10,12,14,16,18,20)+(IF(AND(Inputs!$B$39&lt;&gt;"pvp",Inputs!$B$44=0),1,IF(IF(Inputs!$B$39="pvp",15,Inputs!$B$44)-(B3495)&lt;=0,1,MAX(0,IF(Inputs!$B$39="pvp",15,Inputs!$B$44)-MAX(5,B3495))/(IF(Inputs!$B$39="pvp",15,Inputs!$B$44)-(B3495))))*IF(AND(ArtifactsInput!$M$42,((Inputs!$B$9+((C3476=TRUE)*(F3476-Calc!F26))+B3484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3462*(MIN(100,(Inputs!$B$9+((C3476=TRUE)*(F3476-Calc!F26))+B3484+(ArtifactsInput!$M$24-ArtifactsInput!$M$24)*CHOOSE(ArtifactsInput!$N$24+1,10,12,14,16,18,20)+(IF(AND(Inputs!$B$39&lt;&gt;"pvp",Inputs!$B$44=0),1,IF(IF(Inputs!$B$39="pvp",15,Inputs!$B$44)-(B3495)&lt;=0,1,MAX(0,IF(Inputs!$B$39="pvp",15,Inputs!$B$44)-MAX(5,B3495))/(IF(Inputs!$B$39="pvp",15,Inputs!$B$44)-(B3495))))*IF(AND(ArtifactsInput!$M$42,((Inputs!$B$9+((C3476=TRUE)*(F3476-Calc!F26))+B3484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3462*(1-MIN(100,(Inputs!$B$9+((C3476=TRUE)*(F3476-Calc!F26))+B3484+(ArtifactsInput!$M$24-ArtifactsInput!$M$24)*CHOOSE(ArtifactsInput!$N$24+1,10,12,14,16,18,20)+(IF(AND(Inputs!$B$39&lt;&gt;"pvp",Inputs!$B$44=0),1,IF(IF(Inputs!$B$39="pvp",15,Inputs!$B$44)-(B3495)&lt;=0,1,MAX(0,IF(Inputs!$B$39="pvp",15,Inputs!$B$44)-MAX(5,B3495))/(IF(Inputs!$B$39="pvp",15,Inputs!$B$44)-(B3495))))*IF(AND(ArtifactsInput!$M$42,((Inputs!$B$9+((C3476=TRUE)*(F3476-Calc!F26))+B3484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3462*(MIN(100,(Inputs!$B$9+((C3476=TRUE)*(F3476-Calc!F26))+B3484+(ArtifactsInput!$M$24-ArtifactsInput!$M$24)*CHOOSE(ArtifactsInput!$N$24+1,10,12,14,16,18,20)+(IF(AND(Inputs!$B$39&lt;&gt;"pvp",Inputs!$B$44=0),1,IF(IF(Inputs!$B$39="pvp",15,Inputs!$B$44)-(B3495)&lt;=0,1,MAX(0,IF(Inputs!$B$39="pvp",15,Inputs!$B$44)-MAX(5,B3495))/(IF(Inputs!$B$39="pvp",15,Inputs!$B$44)-(B3495))))*IF(AND(ArtifactsInput!$M$42,((Inputs!$B$9+((C3476=TRUE)*(F3476-Calc!F26))+B3484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3462">
        <f>IF(C3462,(H3462*N3462*IF(AND(Inputs!$B$39&lt;&gt;"pvp",Inputs!$B$44&gt;0),((Skills!G12*((R3462-1)*IF(Skills!H12&gt;0,Skills!I12/Skills!H12,1)+IF(Skills!H12&gt;0,MIN(Skills!I12,MAX(0,MAX(0,Inputs!$B$44-B3495)-((R3462-1)*IF(Inputs!$B$39="pvp",15,MAX(0.1,Skills!D12-IF(TRUE=TRUE,2.0,0))))))/Skills!H12,1)))/Inputs!$B$44),G3462*Q3462))*IF(Inputs!$B$39="pvp",1,(1+(Inputs!$B$21+Skills!Q12+B3485+(IF(ArtifactsInput!$M$33,CHOOSE(ArtifactsInput!$N$33+1,30,36,42,48,54,60),0))+(IF(AND(ArtifactsInput!$M$35,Inputs!$B$4&lt;&gt;"Chapter Hunt"),CHOOSE(ArtifactsInput!$N$35+1,15,18,21,24,27,30)*(1-EXP(-(0.2*B3488)*5)),0)+IF(AND(ArtifactsInput!$M$22,Inputs!$B$4&lt;&gt;"Chapter Hunt"),CHOOSE(ArtifactsInput!$N$22+1,10,12,14,16,18,20)*((0*(((0.15*B3488*5))^0/1)+1*(((0.15*B3488*5))^1/1)+2*(((0.15*B3488*5))^2/2)+3*(((0.15*B3488*5))^3/6)+4*(((0.15*B3488*5))^4/24)+5*(((0.15*B3488*5))^5/120))/((((0.15*B3488*5))^0/1)+(((0.15*B3488*5))^1/1)+(((0.15*B3488*5))^2/2)+(((0.15*B3488*5))^3/6)+(((0.15*B3488*5))^4/24)+(((0.15*B3488*5))^5/120))),0)))/100)*(MIN(Skills!W12,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3463">
      <c r="A3463">
        <f>Skills!A13</f>
        <v/>
      </c>
      <c r="B3463">
        <f>Skills!B13</f>
        <v/>
      </c>
      <c r="C3463">
        <f>Inputs!$B$3&gt;=105</f>
        <v/>
      </c>
      <c r="D3463">
        <f>IF(Skills!C13=1,60+Inputs!$B$25+Inputs!$B$29,IF(Skills!C13=2,90+Inputs!$B$26+Inputs!$B$29,IF(Skills!C13=3,120+Inputs!$B$27+Inputs!$B$29,MAX(0,(Inputs!$B$3-100)*3)+Inputs!$B$28+Inputs!$B$29)))</f>
        <v/>
      </c>
      <c r="E3463">
        <f>INDEX(FactorTable!$B$2:$Y$301, MATCH(ROUND(MIN(300,MAX(1,D3463)),0), FactorTable!$A$2:$A$301,0), Skills!M13+1)</f>
        <v/>
      </c>
      <c r="F3463">
        <f>IF(Skills!N13=TRUE,(Skills!L13/10)*(E3463/1000),Skills!L13/10)+Skills!O13</f>
        <v/>
      </c>
      <c r="G3463">
        <f>Skills!G13*IF(Skills!H13&gt;0,IF(Inputs!$B$39="pvp",MIN(Skills!I13,15),Skills!I13)/Skills!H13,1)</f>
        <v/>
      </c>
      <c r="H3463">
        <f>1-(1-Skills!J13/100)^Skills!K13</f>
        <v/>
      </c>
      <c r="I3463" t="inlineStr">
        <is>
          <t>1</t>
        </is>
      </c>
      <c r="J3463">
        <f>((Inputs!$B$6*(1+Inputs!$B$7/100))+(((Inputs!$B$12*(1+Inputs!$B$13/100))-(Inputs!$B$12*(1+Inputs!$B$13/100)))+0.25*(Inputs!$B$14-Inputs!$B$14))*(1+Inputs!$B$7/100))*(F3463/100)</f>
        <v/>
      </c>
      <c r="K3463">
        <f>J3463*(1+((Inputs!$B$12*(1+Inputs!$B$13/100))*0.01+Inputs!$B$14*0.0025)/100)*(1+Inputs!$B$15/100)*(1+Inputs!$B$16/100)*(5000/(6000+Inputs!$B$43*(1-(100*(1-(1-Inputs!$B$19/100)*(1-CHOOSE(ArtifactsInput!$N$40+1,5,6,7,8,9,10)/100)^(ArtifactsInput!$M$40-ArtifactsInput!$M$40)))/100)))*(1+(Inputs!$B$24+((C3481=TRUE)*(F3481-Calc!F31))+((C3468=TRUE)*(F3468-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13="CRUEL_STAB",Inputs!$B$17+((C3478=TRUE)*(F3478-Calc!F28))+((IF(AND(Inputs!$B$39&lt;&gt;"pvp",Inputs!$B$44=0),1,IF(IF(Inputs!$B$39="pvp",15,Inputs!$B$44)-(B3495)&lt;=0,1,MAX(0,IF(Inputs!$B$39="pvp",15,Inputs!$B$44)-MAX(5,B3495))/(IF(Inputs!$B$39="pvp",15,Inputs!$B$44)-(B3495))))*(IF(AND(ArtifactsInput!$M$42,((Inputs!$B$9+((C3476=TRUE)*(F3476-Calc!F26))+B3484+(ArtifactsInput!$M$24-ArtifactsInput!$M$24)*CHOOSE(ArtifactsInput!$N$24+1,10,12,14,16,18,20)+IF(ArtifactsInput!$M$10,CHOOSE(ArtifactsInput!$N$10+1,15,18,21,24,27,30)*(IF(Inputs!$B$39="pvp",MIN(15,15)/15,IF(AND(Inputs!$B$39&lt;&gt;"pvp",Inputs!$B$44&gt;0),MIN(15,Inputs!$B$44)/(Inputs!$B$44),0))),0)))&gt;=100),MIN(100,((Inputs!$B$9+((C3476=TRUE)*(F3476-Calc!F26))+B3484+(ArtifactsInput!$M$24-ArtifactsInput!$M$24)*CHOOSE(ArtifactsInput!$N$24+1,10,12,14,16,18,20)+IF(ArtifactsInput!$M$10,CHOOSE(ArtifactsInput!$N$10+1,15,18,21,24,27,30)*(IF(Inputs!$B$39="pvp",MIN(15,15)/15,IF(AND(Inputs!$B$39&lt;&gt;"pvp",Inputs!$B$44&gt;0),MIN(15,Inputs!$B$44)/(Inputs!$B$44),0))),0)))-100),0))*CHOOSE(ArtifactsInput!$N$42+1,0.6,0.72,0.84,0.96,1.08,1.2))),Inputs!$B$18+((C3479=TRUE)*(F3479-Calc!F29))+(IF(AND(Inputs!$B$39&lt;&gt;"pvp",Inputs!$B$44=0),1,IF(IF(Inputs!$B$39="pvp",15,Inputs!$B$44)-(B3495)&lt;=0,1,MAX(0,IF(Inputs!$B$39="pvp",15,Inputs!$B$44)-MAX(5,B3495))/(IF(Inputs!$B$39="pvp",15,Inputs!$B$44)-(B3495))))*IF(AND(ArtifactsInput!$M$42,((Inputs!$B$9+((C3476=TRUE)*(F3476-Calc!F26))+B3484+(ArtifactsInput!$M$24-ArtifactsInput!$M$24)*CHOOSE(ArtifactsInput!$N$24+1,10,12,14,16,18,20)+IF(ArtifactsInput!$M$10,CHOOSE(ArtifactsInput!$N$10+1,15,18,21,24,27,30)*(IF(Inputs!$B$39="pvp",MIN(15,15)/15,IF(AND(Inputs!$B$39&lt;&gt;"pvp",Inputs!$B$44&gt;0),MIN(15,Inputs!$B$44)/(Inputs!$B$44),0))),0)))&gt;=100),CHOOSE(ArtifactsInput!$N$42+1,40,48,56,64,72,80),0))))/100)*(((1+(((C3472=TRUE)*F3472*IF(AND(Inputs!$B$39&lt;&gt;"pvp",Inputs!$B$44&gt;0),(((R3472-1)*MIN((Skills!Y22*(1+Inputs!$B$34/100)),(1/Q3472))+MIN((Skills!Y22*(1+Inputs!$B$34/100)),MAX(0,Inputs!$B$44-((R3472-1)*(1/Q3472)))))/Inputs!$B$44),IF(Inputs!$B$39="pvp",MIN((Skills!Y22*(1+Inputs!$B$34/100)),15)/15,MIN(1,(Skills!Y22*(1+Inputs!$B$34/100))/(1/Q3472)))))+((C3453=TRUE)*F3453*3)+((C3455=TRUE)*F3455*(1-EXP(-0.75*B3488*5)))+((C3474=TRUE)*(F3474-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3461=TRUE)*F3461*IF(AND(Inputs!$B$39&lt;&gt;"pvp",Inputs!$B$44&gt;0),(((R3461-1)*MIN((Skills!Y11*(1+Inputs!$B$34/100)),(1/Q3461))+MIN((Skills!Y11*(1+Inputs!$B$34/100)),MAX(0,Inputs!$B$44-((R3461-1)*(1/Q3461)))))/Inputs!$B$44),IF(Inputs!$B$39="pvp",MIN((Skills!Y11*(1+Inputs!$B$34/100)),15)/15,MIN(1,(Skills!Y11*(1+Inputs!$B$34/100))/(1/Q3461)))))/100)*(1+((C3466=TRUE)*F3466*IF(AND(Inputs!$B$39&lt;&gt;"pvp",Inputs!$B$44&gt;0),(((R3466-1)*MIN((Skills!Y16*(1+Inputs!$B$34/100)),(1/Q3466))+MIN((Skills!Y16*(1+Inputs!$B$34/100)),MAX(0,Inputs!$B$44-((R3466-1)*(1/Q3466)))))/Inputs!$B$44),IF(Inputs!$B$39="pvp",MIN((Skills!Y16*(1+Inputs!$B$34/100)),15)/15,MIN(1,(Skills!Y16*(1+Inputs!$B$34/100))/(1/Q3466)))))/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3486*I3463)</f>
        <v/>
      </c>
      <c r="L3463">
        <f>K3463*(MIN(Inputs!$B$22+((C3475=TRUE)*(F3475-Calc!F25)),(Inputs!$B$23+((C3480=TRUE)*(F3480-Calc!F30))+IF(ArtifactsInput!$M$15,CHOOSE(ArtifactsInput!$N$15+1,25,30,35,40,45,50)/100*(Inputs!$B$11-Inputs!$B$11),0)))/100+(Inputs!$B$23+((C3480=TRUE)*(F3480-Calc!F30))+IF(ArtifactsInput!$M$15,CHOOSE(ArtifactsInput!$N$15+1,25,30,35,40,45,50)/100*(Inputs!$B$11-Inputs!$B$11),0))/100)/2</f>
        <v/>
      </c>
      <c r="M3463">
        <f>L3463*(1+(Inputs!$B$10+((C3477=TRUE)*(F3477-Calc!F27))+B3491+(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3463">
        <f>L3463*(1-MIN((Inputs!$B$9+((C3476=TRUE)*(F3476-Calc!F26))+B3484+(ArtifactsInput!$M$24-ArtifactsInput!$M$24)*CHOOSE(ArtifactsInput!$N$24+1,10,12,14,16,18,20)+(IF(AND(Inputs!$B$39&lt;&gt;"pvp",Inputs!$B$44=0),1,IF(IF(Inputs!$B$39="pvp",15,Inputs!$B$44)-(B3495)&lt;=0,1,MAX(0,IF(Inputs!$B$39="pvp",15,Inputs!$B$44)-MAX(5,B3495))/(IF(Inputs!$B$39="pvp",15,Inputs!$B$44)-(B3495))))*IF(AND(ArtifactsInput!$M$42,((Inputs!$B$9+((C3476=TRUE)*(F3476-Calc!F26))+B3484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3463*(MIN((Inputs!$B$9+((C3476=TRUE)*(F3476-Calc!F26))+B3484+(ArtifactsInput!$M$24-ArtifactsInput!$M$24)*CHOOSE(ArtifactsInput!$N$24+1,10,12,14,16,18,20)+(IF(AND(Inputs!$B$39&lt;&gt;"pvp",Inputs!$B$44=0),1,IF(IF(Inputs!$B$39="pvp",15,Inputs!$B$44)-(B3495)&lt;=0,1,MAX(0,IF(Inputs!$B$39="pvp",15,Inputs!$B$44)-MAX(5,B3495))/(IF(Inputs!$B$39="pvp",15,Inputs!$B$44)-(B3495))))*IF(AND(ArtifactsInput!$M$42,((Inputs!$B$9+((C3476=TRUE)*(F3476-Calc!F26))+B3484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3463">
        <f>(1-Summary!$B$11)*T3463+Summary!$B$11*V3463</f>
        <v/>
      </c>
      <c r="P3463">
        <f>IF(B3496=0,0,O3463/B3496)</f>
        <v/>
      </c>
      <c r="Q3463">
        <f>IFERROR(1/IF(Inputs!$B$39="pvp",15,MAX(0.1,Skills!D13-IF(TRUE=TRUE,2.0,0))),0)</f>
        <v/>
      </c>
      <c r="R3463">
        <f>IF(AND(Inputs!$B$39&lt;&gt;"pvp",Inputs!$B$44&gt;0),IF(MAX(0,Inputs!$B$44-B3495)&lt;=0,0,(INT(MAX(0,Inputs!$B$44-B3495)/IF(Inputs!$B$39="pvp",15,MAX(0.1,Skills!D13-IF(TRUE=TRUE,2.0,0))))+1)),0)</f>
        <v/>
      </c>
      <c r="S3463">
        <f>IFERROR(O3463/N3463,0)</f>
        <v/>
      </c>
      <c r="T3463">
        <f>IF(C3463,(H3463*N3463*IF(AND(Inputs!$B$39&lt;&gt;"pvp",Inputs!$B$44&gt;0),((Skills!G13*((R3463-1)*IF(Skills!H13&gt;0,Skills!I13/Skills!H13,1)+IF(Skills!H13&gt;0,MIN(Skills!I13,MAX(0,MAX(0,Inputs!$B$44-B3495)-((R3463-1)*IF(Inputs!$B$39="pvp",15,MAX(0.1,Skills!D13-IF(TRUE=TRUE,2.0,0))))))/Skills!H13,1)))/Inputs!$B$44),G3463*Q3463))*IF(Inputs!$B$39="pvp",1,1+(Inputs!$B$20+0+Skills!P13+B3485+(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Hunt"),CHOOSE(ArtifactsInput!$N$35+1,15,18,21,24,27,30)*(1-EXP(-(0.2*B3488)*5)),0)+IF(AND(ArtifactsInput!$M$22,Inputs!$B$4&lt;&gt;"Chapter Hunt"),CHOOSE(ArtifactsInput!$N$22+1,10,12,14,16,18,20)*((0*(((0.15*B3488*5))^0/1)+1*(((0.15*B3488*5))^1/1)+2*(((0.15*B3488*5))^2/2)+3*(((0.15*B3488*5))^3/6)+4*(((0.15*B3488*5))^4/24)+5*(((0.15*B3488*5))^5/120))/((((0.15*B3488*5))^0/1)+(((0.15*B3488*5))^1/1)+(((0.15*B3488*5))^2/2)+(((0.15*B3488*5))^3/6)+(((0.15*B3488*5))^4/24)+(((0.15*B3488*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3463*(1-MIN(100,(Inputs!$B$9+((C3476=TRUE)*(F3476-Calc!F26))+B3484+(ArtifactsInput!$M$24-ArtifactsInput!$M$24)*CHOOSE(ArtifactsInput!$N$24+1,10,12,14,16,18,20)+(IF(AND(Inputs!$B$39&lt;&gt;"pvp",Inputs!$B$44=0),1,IF(IF(Inputs!$B$39="pvp",15,Inputs!$B$44)-(B3495)&lt;=0,1,MAX(0,IF(Inputs!$B$39="pvp",15,Inputs!$B$44)-MAX(5,B3495))/(IF(Inputs!$B$39="pvp",15,Inputs!$B$44)-(B3495))))*IF(AND(ArtifactsInput!$M$42,((Inputs!$B$9+((C3476=TRUE)*(F3476-Calc!F26))+B3484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3463*(MIN(100,(Inputs!$B$9+((C3476=TRUE)*(F3476-Calc!F26))+B3484+(ArtifactsInput!$M$24-ArtifactsInput!$M$24)*CHOOSE(ArtifactsInput!$N$24+1,10,12,14,16,18,20)+(IF(AND(Inputs!$B$39&lt;&gt;"pvp",Inputs!$B$44=0),1,IF(IF(Inputs!$B$39="pvp",15,Inputs!$B$44)-(B3495)&lt;=0,1,MAX(0,IF(Inputs!$B$39="pvp",15,Inputs!$B$44)-MAX(5,B3495))/(IF(Inputs!$B$39="pvp",15,Inputs!$B$44)-(B3495))))*IF(AND(ArtifactsInput!$M$42,((Inputs!$B$9+((C3476=TRUE)*(F3476-Calc!F26))+B3484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3463*(1-MIN(100,(Inputs!$B$9+((C3476=TRUE)*(F3476-Calc!F26))+B3484+(ArtifactsInput!$M$24-ArtifactsInput!$M$24)*CHOOSE(ArtifactsInput!$N$24+1,10,12,14,16,18,20)+(IF(AND(Inputs!$B$39&lt;&gt;"pvp",Inputs!$B$44=0),1,IF(IF(Inputs!$B$39="pvp",15,Inputs!$B$44)-(B3495)&lt;=0,1,MAX(0,IF(Inputs!$B$39="pvp",15,Inputs!$B$44)-MAX(5,B3495))/(IF(Inputs!$B$39="pvp",15,Inputs!$B$44)-(B3495))))*IF(AND(ArtifactsInput!$M$42,((Inputs!$B$9+((C3476=TRUE)*(F3476-Calc!F26))+B3484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3463*(MIN(100,(Inputs!$B$9+((C3476=TRUE)*(F3476-Calc!F26))+B3484+(ArtifactsInput!$M$24-ArtifactsInput!$M$24)*CHOOSE(ArtifactsInput!$N$24+1,10,12,14,16,18,20)+(IF(AND(Inputs!$B$39&lt;&gt;"pvp",Inputs!$B$44=0),1,IF(IF(Inputs!$B$39="pvp",15,Inputs!$B$44)-(B3495)&lt;=0,1,MAX(0,IF(Inputs!$B$39="pvp",15,Inputs!$B$44)-MAX(5,B3495))/(IF(Inputs!$B$39="pvp",15,Inputs!$B$44)-(B3495))))*IF(AND(ArtifactsInput!$M$42,((Inputs!$B$9+((C3476=TRUE)*(F3476-Calc!F26))+B3484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3463">
        <f>IF(C3463,(H3463*N3463*IF(AND(Inputs!$B$39&lt;&gt;"pvp",Inputs!$B$44&gt;0),((Skills!G13*((R3463-1)*IF(Skills!H13&gt;0,Skills!I13/Skills!H13,1)+IF(Skills!H13&gt;0,MIN(Skills!I13,MAX(0,MAX(0,Inputs!$B$44-B3495)-((R3463-1)*IF(Inputs!$B$39="pvp",15,MAX(0.1,Skills!D13-IF(TRUE=TRUE,2.0,0))))))/Skills!H13,1)))/Inputs!$B$44),G3463*Q3463))*IF(Inputs!$B$39="pvp",1,(1+(Inputs!$B$21+Skills!Q13+B3485+(IF(ArtifactsInput!$M$33,CHOOSE(ArtifactsInput!$N$33+1,30,36,42,48,54,60),0))+(IF(AND(ArtifactsInput!$M$35,Inputs!$B$4&lt;&gt;"Chapter Hunt"),CHOOSE(ArtifactsInput!$N$35+1,15,18,21,24,27,30)*(1-EXP(-(0.2*B3488)*5)),0)+IF(AND(ArtifactsInput!$M$22,Inputs!$B$4&lt;&gt;"Chapter Hunt"),CHOOSE(ArtifactsInput!$N$22+1,10,12,14,16,18,20)*((0*(((0.15*B3488*5))^0/1)+1*(((0.15*B3488*5))^1/1)+2*(((0.15*B3488*5))^2/2)+3*(((0.15*B3488*5))^3/6)+4*(((0.15*B3488*5))^4/24)+5*(((0.15*B3488*5))^5/120))/((((0.15*B3488*5))^0/1)+(((0.15*B3488*5))^1/1)+(((0.15*B3488*5))^2/2)+(((0.15*B3488*5))^3/6)+(((0.15*B3488*5))^4/24)+(((0.15*B3488*5))^5/120))),0)))/100)*(MIN(Skills!W13,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3464">
      <c r="A3464">
        <f>Skills!A14</f>
        <v/>
      </c>
      <c r="B3464">
        <f>Skills!B14</f>
        <v/>
      </c>
      <c r="C3464">
        <f>Inputs!$B$3&gt;=105</f>
        <v/>
      </c>
      <c r="D3464">
        <f>IF(Skills!C14=1,60+Inputs!$B$25+Inputs!$B$29,IF(Skills!C14=2,90+Inputs!$B$26+Inputs!$B$29,IF(Skills!C14=3,120+Inputs!$B$27+Inputs!$B$29,MAX(0,(Inputs!$B$3-100)*3)+Inputs!$B$28+Inputs!$B$29)))</f>
        <v/>
      </c>
      <c r="E3464">
        <f>INDEX(FactorTable!$B$2:$Y$301, MATCH(ROUND(MIN(300,MAX(1,D3464)),0), FactorTable!$A$2:$A$301,0), Skills!M14+1)</f>
        <v/>
      </c>
      <c r="F3464">
        <f>IF(Skills!N14=TRUE,(Skills!L14/10)*(E3464/1000),Skills!L14/10)+Skills!O14</f>
        <v/>
      </c>
      <c r="G3464">
        <f>Skills!G14*IF(Skills!H14&gt;0,IF(Inputs!$B$39="pvp",MIN(Skills!I14,15),Skills!I14)/Skills!H14,1)</f>
        <v/>
      </c>
      <c r="H3464">
        <f>1-(1-Skills!J14/100)^Skills!K14</f>
        <v/>
      </c>
      <c r="I3464" t="inlineStr">
        <is>
          <t>1</t>
        </is>
      </c>
      <c r="J3464">
        <f>((Inputs!$B$6*(1+Inputs!$B$7/100))+(((Inputs!$B$12*(1+Inputs!$B$13/100))-(Inputs!$B$12*(1+Inputs!$B$13/100)))+0.25*(Inputs!$B$14-Inputs!$B$14))*(1+Inputs!$B$7/100))*(F3464/100)</f>
        <v/>
      </c>
      <c r="K3464">
        <f>J3464*(1+((Inputs!$B$12*(1+Inputs!$B$13/100))*0.01+Inputs!$B$14*0.0025)/100)*(1+Inputs!$B$15/100)*(1+Inputs!$B$16/100)*(5000/(6000+Inputs!$B$43*(1-(100*(1-(1-Inputs!$B$19/100)*(1-CHOOSE(ArtifactsInput!$N$40+1,5,6,7,8,9,10)/100)^(ArtifactsInput!$M$40-ArtifactsInput!$M$40)))/100)))*(1+(Inputs!$B$24+((C3481=TRUE)*(F3481-Calc!F31))+((C3468=TRUE)*(F3468-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14="CRUEL_STAB",Inputs!$B$17+((C3478=TRUE)*(F3478-Calc!F28))+((IF(AND(Inputs!$B$39&lt;&gt;"pvp",Inputs!$B$44=0),1,IF(IF(Inputs!$B$39="pvp",15,Inputs!$B$44)-(B3495)&lt;=0,1,MAX(0,IF(Inputs!$B$39="pvp",15,Inputs!$B$44)-MAX(5,B3495))/(IF(Inputs!$B$39="pvp",15,Inputs!$B$44)-(B3495))))*(IF(AND(ArtifactsInput!$M$42,((Inputs!$B$9+((C3476=TRUE)*(F3476-Calc!F26))+B3484+(ArtifactsInput!$M$24-ArtifactsInput!$M$24)*CHOOSE(ArtifactsInput!$N$24+1,10,12,14,16,18,20)+IF(ArtifactsInput!$M$10,CHOOSE(ArtifactsInput!$N$10+1,15,18,21,24,27,30)*(IF(Inputs!$B$39="pvp",MIN(15,15)/15,IF(AND(Inputs!$B$39&lt;&gt;"pvp",Inputs!$B$44&gt;0),MIN(15,Inputs!$B$44)/(Inputs!$B$44),0))),0)))&gt;=100),MIN(100,((Inputs!$B$9+((C3476=TRUE)*(F3476-Calc!F26))+B3484+(ArtifactsInput!$M$24-ArtifactsInput!$M$24)*CHOOSE(ArtifactsInput!$N$24+1,10,12,14,16,18,20)+IF(ArtifactsInput!$M$10,CHOOSE(ArtifactsInput!$N$10+1,15,18,21,24,27,30)*(IF(Inputs!$B$39="pvp",MIN(15,15)/15,IF(AND(Inputs!$B$39&lt;&gt;"pvp",Inputs!$B$44&gt;0),MIN(15,Inputs!$B$44)/(Inputs!$B$44),0))),0)))-100),0))*CHOOSE(ArtifactsInput!$N$42+1,0.6,0.72,0.84,0.96,1.08,1.2))),Inputs!$B$18+((C3479=TRUE)*(F3479-Calc!F29))+(IF(AND(Inputs!$B$39&lt;&gt;"pvp",Inputs!$B$44=0),1,IF(IF(Inputs!$B$39="pvp",15,Inputs!$B$44)-(B3495)&lt;=0,1,MAX(0,IF(Inputs!$B$39="pvp",15,Inputs!$B$44)-MAX(5,B3495))/(IF(Inputs!$B$39="pvp",15,Inputs!$B$44)-(B3495))))*IF(AND(ArtifactsInput!$M$42,((Inputs!$B$9+((C3476=TRUE)*(F3476-Calc!F26))+B3484+(ArtifactsInput!$M$24-ArtifactsInput!$M$24)*CHOOSE(ArtifactsInput!$N$24+1,10,12,14,16,18,20)+IF(ArtifactsInput!$M$10,CHOOSE(ArtifactsInput!$N$10+1,15,18,21,24,27,30)*(IF(Inputs!$B$39="pvp",MIN(15,15)/15,IF(AND(Inputs!$B$39&lt;&gt;"pvp",Inputs!$B$44&gt;0),MIN(15,Inputs!$B$44)/(Inputs!$B$44),0))),0)))&gt;=100),CHOOSE(ArtifactsInput!$N$42+1,40,48,56,64,72,80),0))))/100)*(((1+(((C3472=TRUE)*F3472*IF(AND(Inputs!$B$39&lt;&gt;"pvp",Inputs!$B$44&gt;0),(((R3472-1)*MIN((Skills!Y22*(1+Inputs!$B$34/100)),(1/Q3472))+MIN((Skills!Y22*(1+Inputs!$B$34/100)),MAX(0,Inputs!$B$44-((R3472-1)*(1/Q3472)))))/Inputs!$B$44),IF(Inputs!$B$39="pvp",MIN((Skills!Y22*(1+Inputs!$B$34/100)),15)/15,MIN(1,(Skills!Y22*(1+Inputs!$B$34/100))/(1/Q3472)))))+((C3453=TRUE)*F3453*3)+((C3455=TRUE)*F3455*(1-EXP(-0.75*B3488*5)))+((C3474=TRUE)*(F3474-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3461=TRUE)*F3461*IF(AND(Inputs!$B$39&lt;&gt;"pvp",Inputs!$B$44&gt;0),(((R3461-1)*MIN((Skills!Y11*(1+Inputs!$B$34/100)),(1/Q3461))+MIN((Skills!Y11*(1+Inputs!$B$34/100)),MAX(0,Inputs!$B$44-((R3461-1)*(1/Q3461)))))/Inputs!$B$44),IF(Inputs!$B$39="pvp",MIN((Skills!Y11*(1+Inputs!$B$34/100)),15)/15,MIN(1,(Skills!Y11*(1+Inputs!$B$34/100))/(1/Q3461)))))/100)*(1+((C3466=TRUE)*F3466*IF(AND(Inputs!$B$39&lt;&gt;"pvp",Inputs!$B$44&gt;0),(((R3466-1)*MIN((Skills!Y16*(1+Inputs!$B$34/100)),(1/Q3466))+MIN((Skills!Y16*(1+Inputs!$B$34/100)),MAX(0,Inputs!$B$44-((R3466-1)*(1/Q3466)))))/Inputs!$B$44),IF(Inputs!$B$39="pvp",MIN((Skills!Y16*(1+Inputs!$B$34/100)),15)/15,MIN(1,(Skills!Y16*(1+Inputs!$B$34/100))/(1/Q3466)))))/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3486*I3464)</f>
        <v/>
      </c>
      <c r="L3464">
        <f>K3464*(MIN(Inputs!$B$22+((C3475=TRUE)*(F3475-Calc!F25)),(Inputs!$B$23+((C3480=TRUE)*(F3480-Calc!F30))+IF(ArtifactsInput!$M$15,CHOOSE(ArtifactsInput!$N$15+1,25,30,35,40,45,50)/100*(Inputs!$B$11-Inputs!$B$11),0)))/100+(Inputs!$B$23+((C3480=TRUE)*(F3480-Calc!F30))+IF(ArtifactsInput!$M$15,CHOOSE(ArtifactsInput!$N$15+1,25,30,35,40,45,50)/100*(Inputs!$B$11-Inputs!$B$11),0))/100)/2</f>
        <v/>
      </c>
      <c r="M3464">
        <f>L3464*(1+(Inputs!$B$10+((C3477=TRUE)*(F3477-Calc!F27))+B3491+(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3464">
        <f>L3464*(1-MIN((Inputs!$B$9+((C3476=TRUE)*(F3476-Calc!F26))+B3484+(ArtifactsInput!$M$24-ArtifactsInput!$M$24)*CHOOSE(ArtifactsInput!$N$24+1,10,12,14,16,18,20)+(IF(AND(Inputs!$B$39&lt;&gt;"pvp",Inputs!$B$44=0),1,IF(IF(Inputs!$B$39="pvp",15,Inputs!$B$44)-(B3495)&lt;=0,1,MAX(0,IF(Inputs!$B$39="pvp",15,Inputs!$B$44)-MAX(5,B3495))/(IF(Inputs!$B$39="pvp",15,Inputs!$B$44)-(B3495))))*IF(AND(ArtifactsInput!$M$42,((Inputs!$B$9+((C3476=TRUE)*(F3476-Calc!F26))+B3484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3464*(MIN((Inputs!$B$9+((C3476=TRUE)*(F3476-Calc!F26))+B3484+(ArtifactsInput!$M$24-ArtifactsInput!$M$24)*CHOOSE(ArtifactsInput!$N$24+1,10,12,14,16,18,20)+(IF(AND(Inputs!$B$39&lt;&gt;"pvp",Inputs!$B$44=0),1,IF(IF(Inputs!$B$39="pvp",15,Inputs!$B$44)-(B3495)&lt;=0,1,MAX(0,IF(Inputs!$B$39="pvp",15,Inputs!$B$44)-MAX(5,B3495))/(IF(Inputs!$B$39="pvp",15,Inputs!$B$44)-(B3495))))*IF(AND(ArtifactsInput!$M$42,((Inputs!$B$9+((C3476=TRUE)*(F3476-Calc!F26))+B3484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3464">
        <f>(1-Summary!$B$11)*T3464+Summary!$B$11*V3464</f>
        <v/>
      </c>
      <c r="P3464">
        <f>IF(B3496=0,0,O3464/B3496)</f>
        <v/>
      </c>
      <c r="Q3464">
        <f>IFERROR(1/IF(Inputs!$B$39="pvp",15,MAX(0.1,Skills!D14-IF(TRUE=TRUE,2.0,0))),0)</f>
        <v/>
      </c>
      <c r="R3464">
        <f>IF(AND(Inputs!$B$39&lt;&gt;"pvp",Inputs!$B$44&gt;0),IF(MAX(0,Inputs!$B$44-B3495)&lt;=0,0,(INT(MAX(0,Inputs!$B$44-B3495)/IF(Inputs!$B$39="pvp",15,MAX(0.1,Skills!D14-IF(TRUE=TRUE,2.0,0))))+1)),0)</f>
        <v/>
      </c>
      <c r="S3464">
        <f>IFERROR(O3464/N3464,0)</f>
        <v/>
      </c>
      <c r="T3464">
        <f>IF(C3464,(H3464*N3464*IF(AND(Inputs!$B$39&lt;&gt;"pvp",Inputs!$B$44&gt;0),((Skills!G14*((R3464-1)*IF(Skills!H14&gt;0,Skills!I14/Skills!H14,1)+IF(Skills!H14&gt;0,MIN(Skills!I14,MAX(0,MAX(0,Inputs!$B$44-B3495)-((R3464-1)*IF(Inputs!$B$39="pvp",15,MAX(0.1,Skills!D14-IF(TRUE=TRUE,2.0,0))))))/Skills!H14,1)))/Inputs!$B$44),G3464*Q3464))*IF(Inputs!$B$39="pvp",1,1+(Inputs!$B$20+0+Skills!P14+B3485+(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Hunt"),CHOOSE(ArtifactsInput!$N$35+1,15,18,21,24,27,30)*(1-EXP(-(0.2*B3488)*5)),0)+IF(AND(ArtifactsInput!$M$22,Inputs!$B$4&lt;&gt;"Chapter Hunt"),CHOOSE(ArtifactsInput!$N$22+1,10,12,14,16,18,20)*((0*(((0.15*B3488*5))^0/1)+1*(((0.15*B3488*5))^1/1)+2*(((0.15*B3488*5))^2/2)+3*(((0.15*B3488*5))^3/6)+4*(((0.15*B3488*5))^4/24)+5*(((0.15*B3488*5))^5/120))/((((0.15*B3488*5))^0/1)+(((0.15*B3488*5))^1/1)+(((0.15*B3488*5))^2/2)+(((0.15*B3488*5))^3/6)+(((0.15*B3488*5))^4/24)+(((0.15*B3488*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3464*(1-MIN(100,(Inputs!$B$9+((C3476=TRUE)*(F3476-Calc!F26))+B3484+(ArtifactsInput!$M$24-ArtifactsInput!$M$24)*CHOOSE(ArtifactsInput!$N$24+1,10,12,14,16,18,20)+(IF(AND(Inputs!$B$39&lt;&gt;"pvp",Inputs!$B$44=0),1,IF(IF(Inputs!$B$39="pvp",15,Inputs!$B$44)-(B3495)&lt;=0,1,MAX(0,IF(Inputs!$B$39="pvp",15,Inputs!$B$44)-MAX(5,B3495))/(IF(Inputs!$B$39="pvp",15,Inputs!$B$44)-(B3495))))*IF(AND(ArtifactsInput!$M$42,((Inputs!$B$9+((C3476=TRUE)*(F3476-Calc!F26))+B3484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3464*(MIN(100,(Inputs!$B$9+((C3476=TRUE)*(F3476-Calc!F26))+B3484+(ArtifactsInput!$M$24-ArtifactsInput!$M$24)*CHOOSE(ArtifactsInput!$N$24+1,10,12,14,16,18,20)+(IF(AND(Inputs!$B$39&lt;&gt;"pvp",Inputs!$B$44=0),1,IF(IF(Inputs!$B$39="pvp",15,Inputs!$B$44)-(B3495)&lt;=0,1,MAX(0,IF(Inputs!$B$39="pvp",15,Inputs!$B$44)-MAX(5,B3495))/(IF(Inputs!$B$39="pvp",15,Inputs!$B$44)-(B3495))))*IF(AND(ArtifactsInput!$M$42,((Inputs!$B$9+((C3476=TRUE)*(F3476-Calc!F26))+B3484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3464*(1-MIN(100,(Inputs!$B$9+((C3476=TRUE)*(F3476-Calc!F26))+B3484+(ArtifactsInput!$M$24-ArtifactsInput!$M$24)*CHOOSE(ArtifactsInput!$N$24+1,10,12,14,16,18,20)+(IF(AND(Inputs!$B$39&lt;&gt;"pvp",Inputs!$B$44=0),1,IF(IF(Inputs!$B$39="pvp",15,Inputs!$B$44)-(B3495)&lt;=0,1,MAX(0,IF(Inputs!$B$39="pvp",15,Inputs!$B$44)-MAX(5,B3495))/(IF(Inputs!$B$39="pvp",15,Inputs!$B$44)-(B3495))))*IF(AND(ArtifactsInput!$M$42,((Inputs!$B$9+((C3476=TRUE)*(F3476-Calc!F26))+B3484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3464*(MIN(100,(Inputs!$B$9+((C3476=TRUE)*(F3476-Calc!F26))+B3484+(ArtifactsInput!$M$24-ArtifactsInput!$M$24)*CHOOSE(ArtifactsInput!$N$24+1,10,12,14,16,18,20)+(IF(AND(Inputs!$B$39&lt;&gt;"pvp",Inputs!$B$44=0),1,IF(IF(Inputs!$B$39="pvp",15,Inputs!$B$44)-(B3495)&lt;=0,1,MAX(0,IF(Inputs!$B$39="pvp",15,Inputs!$B$44)-MAX(5,B3495))/(IF(Inputs!$B$39="pvp",15,Inputs!$B$44)-(B3495))))*IF(AND(ArtifactsInput!$M$42,((Inputs!$B$9+((C3476=TRUE)*(F3476-Calc!F26))+B3484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3464">
        <f>IF(C3464,(H3464*N3464*IF(AND(Inputs!$B$39&lt;&gt;"pvp",Inputs!$B$44&gt;0),((Skills!G14*((R3464-1)*IF(Skills!H14&gt;0,Skills!I14/Skills!H14,1)+IF(Skills!H14&gt;0,MIN(Skills!I14,MAX(0,MAX(0,Inputs!$B$44-B3495)-((R3464-1)*IF(Inputs!$B$39="pvp",15,MAX(0.1,Skills!D14-IF(TRUE=TRUE,2.0,0))))))/Skills!H14,1)))/Inputs!$B$44),G3464*Q3464))*IF(Inputs!$B$39="pvp",1,(1+(Inputs!$B$21+Skills!Q14+B3485+(IF(ArtifactsInput!$M$33,CHOOSE(ArtifactsInput!$N$33+1,30,36,42,48,54,60),0))+(IF(AND(ArtifactsInput!$M$35,Inputs!$B$4&lt;&gt;"Chapter Hunt"),CHOOSE(ArtifactsInput!$N$35+1,15,18,21,24,27,30)*(1-EXP(-(0.2*B3488)*5)),0)+IF(AND(ArtifactsInput!$M$22,Inputs!$B$4&lt;&gt;"Chapter Hunt"),CHOOSE(ArtifactsInput!$N$22+1,10,12,14,16,18,20)*((0*(((0.15*B3488*5))^0/1)+1*(((0.15*B3488*5))^1/1)+2*(((0.15*B3488*5))^2/2)+3*(((0.15*B3488*5))^3/6)+4*(((0.15*B3488*5))^4/24)+5*(((0.15*B3488*5))^5/120))/((((0.15*B3488*5))^0/1)+(((0.15*B3488*5))^1/1)+(((0.15*B3488*5))^2/2)+(((0.15*B3488*5))^3/6)+(((0.15*B3488*5))^4/24)+(((0.15*B3488*5))^5/120))),0)))/100)*(MIN(Skills!W14,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3465">
      <c r="A3465">
        <f>Skills!A15</f>
        <v/>
      </c>
      <c r="B3465">
        <f>Skills!B15</f>
        <v/>
      </c>
      <c r="C3465">
        <f>Inputs!$B$3&gt;=107</f>
        <v/>
      </c>
      <c r="D3465">
        <f>IF(Skills!C15=1,60+Inputs!$B$25+Inputs!$B$29,IF(Skills!C15=2,90+Inputs!$B$26+Inputs!$B$29,IF(Skills!C15=3,120+Inputs!$B$27+Inputs!$B$29,MAX(0,(Inputs!$B$3-100)*3)+Inputs!$B$28+Inputs!$B$29)))</f>
        <v/>
      </c>
      <c r="E3465">
        <f>INDEX(FactorTable!$B$2:$Y$301, MATCH(ROUND(MIN(300,MAX(1,D3465)),0), FactorTable!$A$2:$A$301,0), Skills!M15+1)</f>
        <v/>
      </c>
      <c r="F3465">
        <f>IF(Skills!N15=TRUE,(Skills!L15/10)*(E3465/1000),Skills!L15/10)+Skills!O15</f>
        <v/>
      </c>
      <c r="G3465">
        <f>Skills!G15*IF(Skills!H15&gt;0,IF(Inputs!$B$39="pvp",MIN(Skills!I15,15),Skills!I15)/Skills!H15,1)</f>
        <v/>
      </c>
      <c r="H3465">
        <f>1-(1-Skills!J15/100)^Skills!K15</f>
        <v/>
      </c>
      <c r="I3465" t="inlineStr">
        <is>
          <t>1</t>
        </is>
      </c>
      <c r="J3465">
        <f>((Inputs!$B$6*(1+Inputs!$B$7/100))+(((Inputs!$B$12*(1+Inputs!$B$13/100))-(Inputs!$B$12*(1+Inputs!$B$13/100)))+0.25*(Inputs!$B$14-Inputs!$B$14))*(1+Inputs!$B$7/100))*(F3465/100)</f>
        <v/>
      </c>
      <c r="K3465">
        <f>J3465*(1+((Inputs!$B$12*(1+Inputs!$B$13/100))*0.01+Inputs!$B$14*0.0025)/100)*(1+Inputs!$B$15/100)*(1+Inputs!$B$16/100)*(5000/(6000+Inputs!$B$43*(1-(100*(1-(1-Inputs!$B$19/100)*(1-CHOOSE(ArtifactsInput!$N$40+1,5,6,7,8,9,10)/100)^(ArtifactsInput!$M$40-ArtifactsInput!$M$40)))/100)))*(1+(Inputs!$B$24+((C3481=TRUE)*(F3481-Calc!F31))+((C3468=TRUE)*(F3468-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15="CRUEL_STAB",Inputs!$B$17+((C3478=TRUE)*(F3478-Calc!F28))+((IF(AND(Inputs!$B$39&lt;&gt;"pvp",Inputs!$B$44=0),1,IF(IF(Inputs!$B$39="pvp",15,Inputs!$B$44)-(B3495)&lt;=0,1,MAX(0,IF(Inputs!$B$39="pvp",15,Inputs!$B$44)-MAX(5,B3495))/(IF(Inputs!$B$39="pvp",15,Inputs!$B$44)-(B3495))))*(IF(AND(ArtifactsInput!$M$42,((Inputs!$B$9+((C3476=TRUE)*(F3476-Calc!F26))+B3484+(ArtifactsInput!$M$24-ArtifactsInput!$M$24)*CHOOSE(ArtifactsInput!$N$24+1,10,12,14,16,18,20)+IF(ArtifactsInput!$M$10,CHOOSE(ArtifactsInput!$N$10+1,15,18,21,24,27,30)*(IF(Inputs!$B$39="pvp",MIN(15,15)/15,IF(AND(Inputs!$B$39&lt;&gt;"pvp",Inputs!$B$44&gt;0),MIN(15,Inputs!$B$44)/(Inputs!$B$44),0))),0)))&gt;=100),MIN(100,((Inputs!$B$9+((C3476=TRUE)*(F3476-Calc!F26))+B3484+(ArtifactsInput!$M$24-ArtifactsInput!$M$24)*CHOOSE(ArtifactsInput!$N$24+1,10,12,14,16,18,20)+IF(ArtifactsInput!$M$10,CHOOSE(ArtifactsInput!$N$10+1,15,18,21,24,27,30)*(IF(Inputs!$B$39="pvp",MIN(15,15)/15,IF(AND(Inputs!$B$39&lt;&gt;"pvp",Inputs!$B$44&gt;0),MIN(15,Inputs!$B$44)/(Inputs!$B$44),0))),0)))-100),0))*CHOOSE(ArtifactsInput!$N$42+1,0.6,0.72,0.84,0.96,1.08,1.2))),Inputs!$B$18+((C3479=TRUE)*(F3479-Calc!F29))+(IF(AND(Inputs!$B$39&lt;&gt;"pvp",Inputs!$B$44=0),1,IF(IF(Inputs!$B$39="pvp",15,Inputs!$B$44)-(B3495)&lt;=0,1,MAX(0,IF(Inputs!$B$39="pvp",15,Inputs!$B$44)-MAX(5,B3495))/(IF(Inputs!$B$39="pvp",15,Inputs!$B$44)-(B3495))))*IF(AND(ArtifactsInput!$M$42,((Inputs!$B$9+((C3476=TRUE)*(F3476-Calc!F26))+B3484+(ArtifactsInput!$M$24-ArtifactsInput!$M$24)*CHOOSE(ArtifactsInput!$N$24+1,10,12,14,16,18,20)+IF(ArtifactsInput!$M$10,CHOOSE(ArtifactsInput!$N$10+1,15,18,21,24,27,30)*(IF(Inputs!$B$39="pvp",MIN(15,15)/15,IF(AND(Inputs!$B$39&lt;&gt;"pvp",Inputs!$B$44&gt;0),MIN(15,Inputs!$B$44)/(Inputs!$B$44),0))),0)))&gt;=100),CHOOSE(ArtifactsInput!$N$42+1,40,48,56,64,72,80),0))))/100)*(((1+(((C3472=TRUE)*F3472*IF(AND(Inputs!$B$39&lt;&gt;"pvp",Inputs!$B$44&gt;0),(((R3472-1)*MIN((Skills!Y22*(1+Inputs!$B$34/100)),(1/Q3472))+MIN((Skills!Y22*(1+Inputs!$B$34/100)),MAX(0,Inputs!$B$44-((R3472-1)*(1/Q3472)))))/Inputs!$B$44),IF(Inputs!$B$39="pvp",MIN((Skills!Y22*(1+Inputs!$B$34/100)),15)/15,MIN(1,(Skills!Y22*(1+Inputs!$B$34/100))/(1/Q3472)))))+((C3453=TRUE)*F3453*3)+((C3455=TRUE)*F3455*(1-EXP(-0.75*B3488*5)))+((C3474=TRUE)*(F3474-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3461=TRUE)*F3461*IF(AND(Inputs!$B$39&lt;&gt;"pvp",Inputs!$B$44&gt;0),(((R3461-1)*MIN((Skills!Y11*(1+Inputs!$B$34/100)),(1/Q3461))+MIN((Skills!Y11*(1+Inputs!$B$34/100)),MAX(0,Inputs!$B$44-((R3461-1)*(1/Q3461)))))/Inputs!$B$44),IF(Inputs!$B$39="pvp",MIN((Skills!Y11*(1+Inputs!$B$34/100)),15)/15,MIN(1,(Skills!Y11*(1+Inputs!$B$34/100))/(1/Q3461)))))/100)*(1+((C3466=TRUE)*F3466*IF(AND(Inputs!$B$39&lt;&gt;"pvp",Inputs!$B$44&gt;0),(((R3466-1)*MIN((Skills!Y16*(1+Inputs!$B$34/100)),(1/Q3466))+MIN((Skills!Y16*(1+Inputs!$B$34/100)),MAX(0,Inputs!$B$44-((R3466-1)*(1/Q3466)))))/Inputs!$B$44),IF(Inputs!$B$39="pvp",MIN((Skills!Y16*(1+Inputs!$B$34/100)),15)/15,MIN(1,(Skills!Y16*(1+Inputs!$B$34/100))/(1/Q3466)))))/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3486*I3465)</f>
        <v/>
      </c>
      <c r="L3465">
        <f>K3465*(MIN(Inputs!$B$22+((C3475=TRUE)*(F3475-Calc!F25)),(Inputs!$B$23+((C3480=TRUE)*(F3480-Calc!F30))+IF(ArtifactsInput!$M$15,CHOOSE(ArtifactsInput!$N$15+1,25,30,35,40,45,50)/100*(Inputs!$B$11-Inputs!$B$11),0)))/100+(Inputs!$B$23+((C3480=TRUE)*(F3480-Calc!F30))+IF(ArtifactsInput!$M$15,CHOOSE(ArtifactsInput!$N$15+1,25,30,35,40,45,50)/100*(Inputs!$B$11-Inputs!$B$11),0))/100)/2</f>
        <v/>
      </c>
      <c r="M3465">
        <f>L3465*(1+(Inputs!$B$10+((C3477=TRUE)*(F3477-Calc!F27))+B3491+(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3465">
        <f>L3465*(1-MIN((Inputs!$B$9+((C3476=TRUE)*(F3476-Calc!F26))+B3484+(ArtifactsInput!$M$24-ArtifactsInput!$M$24)*CHOOSE(ArtifactsInput!$N$24+1,10,12,14,16,18,20)+(IF(AND(Inputs!$B$39&lt;&gt;"pvp",Inputs!$B$44=0),1,IF(IF(Inputs!$B$39="pvp",15,Inputs!$B$44)-(B3495)&lt;=0,1,MAX(0,IF(Inputs!$B$39="pvp",15,Inputs!$B$44)-MAX(5,B3495))/(IF(Inputs!$B$39="pvp",15,Inputs!$B$44)-(B3495))))*IF(AND(ArtifactsInput!$M$42,((Inputs!$B$9+((C3476=TRUE)*(F3476-Calc!F26))+B3484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3465*(MIN((Inputs!$B$9+((C3476=TRUE)*(F3476-Calc!F26))+B3484+(ArtifactsInput!$M$24-ArtifactsInput!$M$24)*CHOOSE(ArtifactsInput!$N$24+1,10,12,14,16,18,20)+(IF(AND(Inputs!$B$39&lt;&gt;"pvp",Inputs!$B$44=0),1,IF(IF(Inputs!$B$39="pvp",15,Inputs!$B$44)-(B3495)&lt;=0,1,MAX(0,IF(Inputs!$B$39="pvp",15,Inputs!$B$44)-MAX(5,B3495))/(IF(Inputs!$B$39="pvp",15,Inputs!$B$44)-(B3495))))*IF(AND(ArtifactsInput!$M$42,((Inputs!$B$9+((C3476=TRUE)*(F3476-Calc!F26))+B3484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3465">
        <f>(1-Summary!$B$11)*T3465+Summary!$B$11*V3465</f>
        <v/>
      </c>
      <c r="P3465">
        <f>IF(B3496=0,0,O3465/B3496)</f>
        <v/>
      </c>
      <c r="Q3465">
        <f>IFERROR(1/IF(Inputs!$B$39="pvp",15,MAX(0.1,Skills!D15-IF(TRUE=TRUE,2.0,0))),0)</f>
        <v/>
      </c>
      <c r="R3465">
        <f>IF(AND(Inputs!$B$39&lt;&gt;"pvp",Inputs!$B$44&gt;0),IF(MAX(0,Inputs!$B$44-B3495)&lt;=0,0,(INT(MAX(0,Inputs!$B$44-B3495)/IF(Inputs!$B$39="pvp",15,MAX(0.1,Skills!D15-IF(TRUE=TRUE,2.0,0))))+1)),0)</f>
        <v/>
      </c>
      <c r="S3465">
        <f>IFERROR(O3465/N3465,0)</f>
        <v/>
      </c>
      <c r="T3465">
        <f>IF(C3465,(H3465*N3465*IF(AND(Inputs!$B$39&lt;&gt;"pvp",Inputs!$B$44&gt;0),((Skills!G15*((R3465-1)*IF(Skills!H15&gt;0,Skills!I15/Skills!H15,1)+IF(Skills!H15&gt;0,MIN(Skills!I15,MAX(0,MAX(0,Inputs!$B$44-B3495)-((R3465-1)*IF(Inputs!$B$39="pvp",15,MAX(0.1,Skills!D15-IF(TRUE=TRUE,2.0,0))))))/Skills!H15,1)))/Inputs!$B$44),G3465*Q3465))*IF(Inputs!$B$39="pvp",1,1+(Inputs!$B$20+0+Skills!P15+B3485+(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Hunt"),CHOOSE(ArtifactsInput!$N$35+1,15,18,21,24,27,30)*(1-EXP(-(0.2*B3488)*5)),0)+IF(AND(ArtifactsInput!$M$22,Inputs!$B$4&lt;&gt;"Chapter Hunt"),CHOOSE(ArtifactsInput!$N$22+1,10,12,14,16,18,20)*((0*(((0.15*B3488*5))^0/1)+1*(((0.15*B3488*5))^1/1)+2*(((0.15*B3488*5))^2/2)+3*(((0.15*B3488*5))^3/6)+4*(((0.15*B3488*5))^4/24)+5*(((0.15*B3488*5))^5/120))/((((0.15*B3488*5))^0/1)+(((0.15*B3488*5))^1/1)+(((0.15*B3488*5))^2/2)+(((0.15*B3488*5))^3/6)+(((0.15*B3488*5))^4/24)+(((0.15*B3488*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3465*(1-MIN(100,(Inputs!$B$9+((C3476=TRUE)*(F3476-Calc!F26))+B3484+(ArtifactsInput!$M$24-ArtifactsInput!$M$24)*CHOOSE(ArtifactsInput!$N$24+1,10,12,14,16,18,20)+(IF(AND(Inputs!$B$39&lt;&gt;"pvp",Inputs!$B$44=0),1,IF(IF(Inputs!$B$39="pvp",15,Inputs!$B$44)-(B3495)&lt;=0,1,MAX(0,IF(Inputs!$B$39="pvp",15,Inputs!$B$44)-MAX(5,B3495))/(IF(Inputs!$B$39="pvp",15,Inputs!$B$44)-(B3495))))*IF(AND(ArtifactsInput!$M$42,((Inputs!$B$9+((C3476=TRUE)*(F3476-Calc!F26))+B3484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3465*(MIN(100,(Inputs!$B$9+((C3476=TRUE)*(F3476-Calc!F26))+B3484+(ArtifactsInput!$M$24-ArtifactsInput!$M$24)*CHOOSE(ArtifactsInput!$N$24+1,10,12,14,16,18,20)+(IF(AND(Inputs!$B$39&lt;&gt;"pvp",Inputs!$B$44=0),1,IF(IF(Inputs!$B$39="pvp",15,Inputs!$B$44)-(B3495)&lt;=0,1,MAX(0,IF(Inputs!$B$39="pvp",15,Inputs!$B$44)-MAX(5,B3495))/(IF(Inputs!$B$39="pvp",15,Inputs!$B$44)-(B3495))))*IF(AND(ArtifactsInput!$M$42,((Inputs!$B$9+((C3476=TRUE)*(F3476-Calc!F26))+B3484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3465*(1-MIN(100,(Inputs!$B$9+((C3476=TRUE)*(F3476-Calc!F26))+B3484+(ArtifactsInput!$M$24-ArtifactsInput!$M$24)*CHOOSE(ArtifactsInput!$N$24+1,10,12,14,16,18,20)+(IF(AND(Inputs!$B$39&lt;&gt;"pvp",Inputs!$B$44=0),1,IF(IF(Inputs!$B$39="pvp",15,Inputs!$B$44)-(B3495)&lt;=0,1,MAX(0,IF(Inputs!$B$39="pvp",15,Inputs!$B$44)-MAX(5,B3495))/(IF(Inputs!$B$39="pvp",15,Inputs!$B$44)-(B3495))))*IF(AND(ArtifactsInput!$M$42,((Inputs!$B$9+((C3476=TRUE)*(F3476-Calc!F26))+B3484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3465*(MIN(100,(Inputs!$B$9+((C3476=TRUE)*(F3476-Calc!F26))+B3484+(ArtifactsInput!$M$24-ArtifactsInput!$M$24)*CHOOSE(ArtifactsInput!$N$24+1,10,12,14,16,18,20)+(IF(AND(Inputs!$B$39&lt;&gt;"pvp",Inputs!$B$44=0),1,IF(IF(Inputs!$B$39="pvp",15,Inputs!$B$44)-(B3495)&lt;=0,1,MAX(0,IF(Inputs!$B$39="pvp",15,Inputs!$B$44)-MAX(5,B3495))/(IF(Inputs!$B$39="pvp",15,Inputs!$B$44)-(B3495))))*IF(AND(ArtifactsInput!$M$42,((Inputs!$B$9+((C3476=TRUE)*(F3476-Calc!F26))+B3484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3465">
        <f>IF(C3465,(H3465*N3465*IF(AND(Inputs!$B$39&lt;&gt;"pvp",Inputs!$B$44&gt;0),((Skills!G15*((R3465-1)*IF(Skills!H15&gt;0,Skills!I15/Skills!H15,1)+IF(Skills!H15&gt;0,MIN(Skills!I15,MAX(0,MAX(0,Inputs!$B$44-B3495)-((R3465-1)*IF(Inputs!$B$39="pvp",15,MAX(0.1,Skills!D15-IF(TRUE=TRUE,2.0,0))))))/Skills!H15,1)))/Inputs!$B$44),G3465*Q3465))*IF(Inputs!$B$39="pvp",1,(1+(Inputs!$B$21+Skills!Q15+B3485+(IF(ArtifactsInput!$M$33,CHOOSE(ArtifactsInput!$N$33+1,30,36,42,48,54,60),0))+(IF(AND(ArtifactsInput!$M$35,Inputs!$B$4&lt;&gt;"Chapter Hunt"),CHOOSE(ArtifactsInput!$N$35+1,15,18,21,24,27,30)*(1-EXP(-(0.2*B3488)*5)),0)+IF(AND(ArtifactsInput!$M$22,Inputs!$B$4&lt;&gt;"Chapter Hunt"),CHOOSE(ArtifactsInput!$N$22+1,10,12,14,16,18,20)*((0*(((0.15*B3488*5))^0/1)+1*(((0.15*B3488*5))^1/1)+2*(((0.15*B3488*5))^2/2)+3*(((0.15*B3488*5))^3/6)+4*(((0.15*B3488*5))^4/24)+5*(((0.15*B3488*5))^5/120))/((((0.15*B3488*5))^0/1)+(((0.15*B3488*5))^1/1)+(((0.15*B3488*5))^2/2)+(((0.15*B3488*5))^3/6)+(((0.15*B3488*5))^4/24)+(((0.15*B3488*5))^5/120))),0)))/100)*(MIN(MIN(5,0.5*IF(Inputs!$B$3&gt;=75,0.75,0.5)*B3488*(1/Q3454))*Skills!V15,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3466">
      <c r="A3466">
        <f>Skills!A16</f>
        <v/>
      </c>
      <c r="B3466">
        <f>Skills!B16</f>
        <v/>
      </c>
      <c r="C3466">
        <f>Inputs!$B$3&gt;=110</f>
        <v/>
      </c>
      <c r="D3466">
        <f>IF(Skills!C16=1,60+Inputs!$B$25+Inputs!$B$29,IF(Skills!C16=2,90+Inputs!$B$26+Inputs!$B$29,IF(Skills!C16=3,120+Inputs!$B$27+Inputs!$B$29,MAX(0,(Inputs!$B$3-100)*3)+Inputs!$B$28+Inputs!$B$29)))</f>
        <v/>
      </c>
      <c r="E3466">
        <f>INDEX(FactorTable!$B$2:$Y$301, MATCH(ROUND(MIN(300,MAX(1,D3466)),0), FactorTable!$A$2:$A$301,0), Skills!M16+1)</f>
        <v/>
      </c>
      <c r="F3466">
        <f>IF(Skills!N16=TRUE,(Skills!L16/10)*(E3466/1000),Skills!L16/10)+Skills!O16</f>
        <v/>
      </c>
      <c r="G3466">
        <f>Skills!G16*IF(Skills!H16&gt;0,IF(Inputs!$B$39="pvp",MIN(Skills!I16,15),Skills!I16)/Skills!H16,1)</f>
        <v/>
      </c>
      <c r="H3466">
        <f>1-(1-Skills!J16/100)^Skills!K16</f>
        <v/>
      </c>
      <c r="I3466" t="inlineStr">
        <is>
          <t>1</t>
        </is>
      </c>
      <c r="J3466" t="inlineStr"/>
      <c r="K3466" t="inlineStr"/>
      <c r="L3466" t="inlineStr"/>
      <c r="M3466" t="inlineStr"/>
      <c r="N3466" t="inlineStr"/>
      <c r="O3466">
        <f>(1-Summary!$B$11)*T3466+Summary!$B$11*V3466</f>
        <v/>
      </c>
      <c r="P3466">
        <f>IF(B3496=0,0,O3466/B3496)</f>
        <v/>
      </c>
      <c r="Q3466">
        <f>IFERROR(1/IF(Inputs!$B$39="pvp",15,MAX(0.1,Skills!D16-IF(TRUE=TRUE,2.0,0))),0)</f>
        <v/>
      </c>
      <c r="R3466">
        <f>IF(AND(Inputs!$B$39&lt;&gt;"pvp",Inputs!$B$44&gt;0),IF(Inputs!$B$44&lt;=0,0,(INT(Inputs!$B$44/IF(Inputs!$B$39="pvp",15,MAX(0.1,Skills!D16-IF(TRUE=TRUE,2.0,0))))+1)),0)</f>
        <v/>
      </c>
      <c r="S3466">
        <f>IFERROR(O3466/N3466,0)</f>
        <v/>
      </c>
      <c r="T3466" t="n">
        <v>0</v>
      </c>
      <c r="V3466" t="n">
        <v>0</v>
      </c>
    </row>
    <row r="3467">
      <c r="A3467">
        <f>Skills!A17</f>
        <v/>
      </c>
      <c r="B3467">
        <f>Skills!B17</f>
        <v/>
      </c>
      <c r="C3467">
        <f>Inputs!$B$3&gt;=115</f>
        <v/>
      </c>
      <c r="D3467">
        <f>IF(Skills!C17=1,60+Inputs!$B$25+Inputs!$B$29,IF(Skills!C17=2,90+Inputs!$B$26+Inputs!$B$29,IF(Skills!C17=3,120+Inputs!$B$27+Inputs!$B$29,MAX(0,(Inputs!$B$3-100)*3)+Inputs!$B$28+Inputs!$B$29)))</f>
        <v/>
      </c>
      <c r="E3467">
        <f>INDEX(FactorTable!$B$2:$Y$301, MATCH(ROUND(MIN(300,MAX(1,D3467)),0), FactorTable!$A$2:$A$301,0), Skills!M17+1)</f>
        <v/>
      </c>
      <c r="F3467">
        <f>IF(Skills!N17=TRUE,(Skills!L17/10)*(E3467/1000),Skills!L17/10)+Skills!O17</f>
        <v/>
      </c>
      <c r="G3467">
        <f>Skills!G17*IF(Skills!H17&gt;0,IF(Inputs!$B$39="pvp",MIN(Skills!I17,15),Skills!I17)/Skills!H17,1)</f>
        <v/>
      </c>
      <c r="H3467">
        <f>1-(1-Skills!J17/100)^Skills!K17</f>
        <v/>
      </c>
      <c r="I3467" t="inlineStr">
        <is>
          <t>1</t>
        </is>
      </c>
      <c r="J3467">
        <f>((Inputs!$B$6*(1+Inputs!$B$7/100))+(((Inputs!$B$12*(1+Inputs!$B$13/100))-(Inputs!$B$12*(1+Inputs!$B$13/100)))+0.25*(Inputs!$B$14-Inputs!$B$14))*(1+Inputs!$B$7/100))*(F3467/100)</f>
        <v/>
      </c>
      <c r="K3467">
        <f>J3467*(1+((Inputs!$B$12*(1+Inputs!$B$13/100))*0.01+Inputs!$B$14*0.0025)/100)*(1+Inputs!$B$15/100)*(1+Inputs!$B$16/100)*(5000/(6000+Inputs!$B$43*(1-(100*(1-(1-Inputs!$B$19/100)*(1-CHOOSE(ArtifactsInput!$N$40+1,5,6,7,8,9,10)/100)^(ArtifactsInput!$M$40-ArtifactsInput!$M$40)))/100)))*(1+(Inputs!$B$24+((C3481=TRUE)*(F3481-Calc!F31))+((C3468=TRUE)*(F3468-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17="CRUEL_STAB",Inputs!$B$17+((C3478=TRUE)*(F3478-Calc!F28))+((IF(AND(Inputs!$B$39&lt;&gt;"pvp",Inputs!$B$44=0),1,IF(IF(Inputs!$B$39="pvp",15,Inputs!$B$44)-(B3495)&lt;=0,1,MAX(0,IF(Inputs!$B$39="pvp",15,Inputs!$B$44)-MAX(5,B3495))/(IF(Inputs!$B$39="pvp",15,Inputs!$B$44)-(B3495))))*(IF(AND(ArtifactsInput!$M$42,((Inputs!$B$9+((C3476=TRUE)*(F3476-Calc!F26))+B3484+(ArtifactsInput!$M$24-ArtifactsInput!$M$24)*CHOOSE(ArtifactsInput!$N$24+1,10,12,14,16,18,20)+IF(ArtifactsInput!$M$10,CHOOSE(ArtifactsInput!$N$10+1,15,18,21,24,27,30)*(IF(Inputs!$B$39="pvp",MIN(15,15)/15,IF(AND(Inputs!$B$39&lt;&gt;"pvp",Inputs!$B$44&gt;0),MIN(15,Inputs!$B$44)/(Inputs!$B$44),0))),0)))&gt;=100),MIN(100,((Inputs!$B$9+((C3476=TRUE)*(F3476-Calc!F26))+B3484+(ArtifactsInput!$M$24-ArtifactsInput!$M$24)*CHOOSE(ArtifactsInput!$N$24+1,10,12,14,16,18,20)+IF(ArtifactsInput!$M$10,CHOOSE(ArtifactsInput!$N$10+1,15,18,21,24,27,30)*(IF(Inputs!$B$39="pvp",MIN(15,15)/15,IF(AND(Inputs!$B$39&lt;&gt;"pvp",Inputs!$B$44&gt;0),MIN(15,Inputs!$B$44)/(Inputs!$B$44),0))),0)))-100),0))*CHOOSE(ArtifactsInput!$N$42+1,0.6,0.72,0.84,0.96,1.08,1.2))),Inputs!$B$18+((C3479=TRUE)*(F3479-Calc!F29))+(IF(AND(Inputs!$B$39&lt;&gt;"pvp",Inputs!$B$44=0),1,IF(IF(Inputs!$B$39="pvp",15,Inputs!$B$44)-(B3495)&lt;=0,1,MAX(0,IF(Inputs!$B$39="pvp",15,Inputs!$B$44)-MAX(5,B3495))/(IF(Inputs!$B$39="pvp",15,Inputs!$B$44)-(B3495))))*IF(AND(ArtifactsInput!$M$42,((Inputs!$B$9+((C3476=TRUE)*(F3476-Calc!F26))+B3484+(ArtifactsInput!$M$24-ArtifactsInput!$M$24)*CHOOSE(ArtifactsInput!$N$24+1,10,12,14,16,18,20)+IF(ArtifactsInput!$M$10,CHOOSE(ArtifactsInput!$N$10+1,15,18,21,24,27,30)*(IF(Inputs!$B$39="pvp",MIN(15,15)/15,IF(AND(Inputs!$B$39&lt;&gt;"pvp",Inputs!$B$44&gt;0),MIN(15,Inputs!$B$44)/(Inputs!$B$44),0))),0)))&gt;=100),CHOOSE(ArtifactsInput!$N$42+1,40,48,56,64,72,80),0))))/100)*(((1+(((C3472=TRUE)*F3472*IF(AND(Inputs!$B$39&lt;&gt;"pvp",Inputs!$B$44&gt;0),(((R3472-1)*MIN((Skills!Y22*(1+Inputs!$B$34/100)),(1/Q3472))+MIN((Skills!Y22*(1+Inputs!$B$34/100)),MAX(0,Inputs!$B$44-((R3472-1)*(1/Q3472)))))/Inputs!$B$44),IF(Inputs!$B$39="pvp",MIN((Skills!Y22*(1+Inputs!$B$34/100)),15)/15,MIN(1,(Skills!Y22*(1+Inputs!$B$34/100))/(1/Q3472)))))+((C3453=TRUE)*F3453*3)+((C3455=TRUE)*F3455*(1-EXP(-0.75*B3488*5)))+((C3474=TRUE)*(F3474-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3461=TRUE)*F3461*IF(AND(Inputs!$B$39&lt;&gt;"pvp",Inputs!$B$44&gt;0),(((R3461-1)*MIN((Skills!Y11*(1+Inputs!$B$34/100)),(1/Q3461))+MIN((Skills!Y11*(1+Inputs!$B$34/100)),MAX(0,Inputs!$B$44-((R3461-1)*(1/Q3461)))))/Inputs!$B$44),IF(Inputs!$B$39="pvp",MIN((Skills!Y11*(1+Inputs!$B$34/100)),15)/15,MIN(1,(Skills!Y11*(1+Inputs!$B$34/100))/(1/Q3461)))))/100)*(1+((C3466=TRUE)*F3466*IF(AND(Inputs!$B$39&lt;&gt;"pvp",Inputs!$B$44&gt;0),(((R3466-1)*MIN((Skills!Y16*(1+Inputs!$B$34/100)),(1/Q3466))+MIN((Skills!Y16*(1+Inputs!$B$34/100)),MAX(0,Inputs!$B$44-((R3466-1)*(1/Q3466)))))/Inputs!$B$44),IF(Inputs!$B$39="pvp",MIN((Skills!Y16*(1+Inputs!$B$34/100)),15)/15,MIN(1,(Skills!Y16*(1+Inputs!$B$34/100))/(1/Q3466)))))/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3486*I3467)</f>
        <v/>
      </c>
      <c r="L3467">
        <f>K3467*(MIN(Inputs!$B$22+((C3475=TRUE)*(F3475-Calc!F25)),(Inputs!$B$23+((C3480=TRUE)*(F3480-Calc!F30))+IF(ArtifactsInput!$M$15,CHOOSE(ArtifactsInput!$N$15+1,25,30,35,40,45,50)/100*(Inputs!$B$11-Inputs!$B$11),0)))/100+(Inputs!$B$23+((C3480=TRUE)*(F3480-Calc!F30))+IF(ArtifactsInput!$M$15,CHOOSE(ArtifactsInput!$N$15+1,25,30,35,40,45,50)/100*(Inputs!$B$11-Inputs!$B$11),0))/100)/2</f>
        <v/>
      </c>
      <c r="M3467">
        <f>L3467*(1+(Inputs!$B$10+((C3477=TRUE)*(F3477-Calc!F27))+B3491+(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3467">
        <f>L3467*(1-MIN((Inputs!$B$9+((C3476=TRUE)*(F3476-Calc!F26))+B3484+(ArtifactsInput!$M$24-ArtifactsInput!$M$24)*CHOOSE(ArtifactsInput!$N$24+1,10,12,14,16,18,20)+(IF(AND(Inputs!$B$39&lt;&gt;"pvp",Inputs!$B$44=0),1,IF(IF(Inputs!$B$39="pvp",15,Inputs!$B$44)-(B3495)&lt;=0,1,MAX(0,IF(Inputs!$B$39="pvp",15,Inputs!$B$44)-MAX(5,B3495))/(IF(Inputs!$B$39="pvp",15,Inputs!$B$44)-(B3495))))*IF(AND(ArtifactsInput!$M$42,((Inputs!$B$9+((C3476=TRUE)*(F3476-Calc!F26))+B3484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3467*(MIN((Inputs!$B$9+((C3476=TRUE)*(F3476-Calc!F26))+B3484+(ArtifactsInput!$M$24-ArtifactsInput!$M$24)*CHOOSE(ArtifactsInput!$N$24+1,10,12,14,16,18,20)+(IF(AND(Inputs!$B$39&lt;&gt;"pvp",Inputs!$B$44=0),1,IF(IF(Inputs!$B$39="pvp",15,Inputs!$B$44)-(B3495)&lt;=0,1,MAX(0,IF(Inputs!$B$39="pvp",15,Inputs!$B$44)-MAX(5,B3495))/(IF(Inputs!$B$39="pvp",15,Inputs!$B$44)-(B3495))))*IF(AND(ArtifactsInput!$M$42,((Inputs!$B$9+((C3476=TRUE)*(F3476-Calc!F26))+B3484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3467">
        <f>(1-Summary!$B$11)*T3467+Summary!$B$11*V3467</f>
        <v/>
      </c>
      <c r="P3467">
        <f>IF(B3496=0,0,O3467/B3496)</f>
        <v/>
      </c>
      <c r="Q3467" t="n">
        <v>0</v>
      </c>
      <c r="R3467" t="n">
        <v>0</v>
      </c>
      <c r="S3467">
        <f>IFERROR(O3467/N3467,0)</f>
        <v/>
      </c>
      <c r="T3467">
        <f>IF(C3467,(Inputs!$B$38*0.2*N3467)*IF(Inputs!$B$39="pvp",1,1+(Inputs!$B$20+0+Skills!P17+B3485+(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Hunt"),CHOOSE(ArtifactsInput!$N$35+1,15,18,21,24,27,30)*(1-EXP(-(0.2*B3488)*5)),0)+IF(AND(ArtifactsInput!$M$22,Inputs!$B$4&lt;&gt;"Chapter Hunt"),CHOOSE(ArtifactsInput!$N$22+1,10,12,14,16,18,20)*((0*(((0.15*B3488*5))^0/1)+1*(((0.15*B3488*5))^1/1)+2*(((0.15*B3488*5))^2/2)+3*(((0.15*B3488*5))^3/6)+4*(((0.15*B3488*5))^4/24)+5*(((0.15*B3488*5))^5/120))/((((0.15*B3488*5))^0/1)+(((0.15*B3488*5))^1/1)+(((0.15*B3488*5))^2/2)+(((0.15*B3488*5))^3/6)+(((0.15*B3488*5))^4/24)+(((0.15*B3488*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3467*(1-MIN(100,(Inputs!$B$9+((C3476=TRUE)*(F3476-Calc!F26))+B3484+(ArtifactsInput!$M$24-ArtifactsInput!$M$24)*CHOOSE(ArtifactsInput!$N$24+1,10,12,14,16,18,20)+(IF(AND(Inputs!$B$39&lt;&gt;"pvp",Inputs!$B$44=0),1,IF(IF(Inputs!$B$39="pvp",15,Inputs!$B$44)-(B3495)&lt;=0,1,MAX(0,IF(Inputs!$B$39="pvp",15,Inputs!$B$44)-MAX(5,B3495))/(IF(Inputs!$B$39="pvp",15,Inputs!$B$44)-(B3495))))*IF(AND(ArtifactsInput!$M$42,((Inputs!$B$9+((C3476=TRUE)*(F3476-Calc!F26))+B3484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3467*(MIN(100,(Inputs!$B$9+((C3476=TRUE)*(F3476-Calc!F26))+B3484+(ArtifactsInput!$M$24-ArtifactsInput!$M$24)*CHOOSE(ArtifactsInput!$N$24+1,10,12,14,16,18,20)+(IF(AND(Inputs!$B$39&lt;&gt;"pvp",Inputs!$B$44=0),1,IF(IF(Inputs!$B$39="pvp",15,Inputs!$B$44)-(B3495)&lt;=0,1,MAX(0,IF(Inputs!$B$39="pvp",15,Inputs!$B$44)-MAX(5,B3495))/(IF(Inputs!$B$39="pvp",15,Inputs!$B$44)-(B3495))))*IF(AND(ArtifactsInput!$M$42,((Inputs!$B$9+((C3476=TRUE)*(F3476-Calc!F26))+B3484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3467*(1-MIN(100,(Inputs!$B$9+((C3476=TRUE)*(F3476-Calc!F26))+B3484+(ArtifactsInput!$M$24-ArtifactsInput!$M$24)*CHOOSE(ArtifactsInput!$N$24+1,10,12,14,16,18,20)+(IF(AND(Inputs!$B$39&lt;&gt;"pvp",Inputs!$B$44=0),1,IF(IF(Inputs!$B$39="pvp",15,Inputs!$B$44)-(B3495)&lt;=0,1,MAX(0,IF(Inputs!$B$39="pvp",15,Inputs!$B$44)-MAX(5,B3495))/(IF(Inputs!$B$39="pvp",15,Inputs!$B$44)-(B3495))))*IF(AND(ArtifactsInput!$M$42,((Inputs!$B$9+((C3476=TRUE)*(F3476-Calc!F26))+B3484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3467*(MIN(100,(Inputs!$B$9+((C3476=TRUE)*(F3476-Calc!F26))+B3484+(ArtifactsInput!$M$24-ArtifactsInput!$M$24)*CHOOSE(ArtifactsInput!$N$24+1,10,12,14,16,18,20)+(IF(AND(Inputs!$B$39&lt;&gt;"pvp",Inputs!$B$44=0),1,IF(IF(Inputs!$B$39="pvp",15,Inputs!$B$44)-(B3495)&lt;=0,1,MAX(0,IF(Inputs!$B$39="pvp",15,Inputs!$B$44)-MAX(5,B3495))/(IF(Inputs!$B$39="pvp",15,Inputs!$B$44)-(B3495))))*IF(AND(ArtifactsInput!$M$42,((Inputs!$B$9+((C3476=TRUE)*(F3476-Calc!F26))+B3484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3467">
        <f>IF(C3467,(Inputs!$B$38*0.2*N3467)*IF(Inputs!$B$39="pvp",1,(1+(Inputs!$B$21+Skills!Q17+B3485+(IF(ArtifactsInput!$M$33,CHOOSE(ArtifactsInput!$N$33+1,30,36,42,48,54,60),0))+(IF(AND(ArtifactsInput!$M$35,Inputs!$B$4&lt;&gt;"Chapter Hunt"),CHOOSE(ArtifactsInput!$N$35+1,15,18,21,24,27,30)*(1-EXP(-(0.2*B3488)*5)),0)+IF(AND(ArtifactsInput!$M$22,Inputs!$B$4&lt;&gt;"Chapter Hunt"),CHOOSE(ArtifactsInput!$N$22+1,10,12,14,16,18,20)*((0*(((0.15*B3488*5))^0/1)+1*(((0.15*B3488*5))^1/1)+2*(((0.15*B3488*5))^2/2)+3*(((0.15*B3488*5))^3/6)+4*(((0.15*B3488*5))^4/24)+5*(((0.15*B3488*5))^5/120))/((((0.15*B3488*5))^0/1)+(((0.15*B3488*5))^1/1)+(((0.15*B3488*5))^2/2)+(((0.15*B3488*5))^3/6)+(((0.15*B3488*5))^4/24)+(((0.15*B3488*5))^5/120))),0)))/100)*(MIN(Skills!W17,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3468">
      <c r="A3468">
        <f>Skills!A18</f>
        <v/>
      </c>
      <c r="B3468">
        <f>Skills!B18</f>
        <v/>
      </c>
      <c r="C3468">
        <f>Inputs!$B$3&gt;=115</f>
        <v/>
      </c>
      <c r="D3468">
        <f>IF(Skills!C18=1,60+Inputs!$B$25+Inputs!$B$29,IF(Skills!C18=2,90+Inputs!$B$26+Inputs!$B$29,IF(Skills!C18=3,120+Inputs!$B$27+Inputs!$B$29,MAX(0,(Inputs!$B$3-100)*3)+Inputs!$B$28+Inputs!$B$29)))</f>
        <v/>
      </c>
      <c r="E3468">
        <f>INDEX(FactorTable!$B$2:$Y$301, MATCH(ROUND(MIN(300,MAX(1,D3468)),0), FactorTable!$A$2:$A$301,0), Skills!M18+1)</f>
        <v/>
      </c>
      <c r="F3468">
        <f>IF(Skills!N18=TRUE,(Skills!L18/10)*(E3468/1000),Skills!L18/10)+Skills!O18</f>
        <v/>
      </c>
      <c r="G3468">
        <f>Skills!G18*IF(Skills!H18&gt;0,IF(Inputs!$B$39="pvp",MIN(Skills!I18,15),Skills!I18)/Skills!H18,1)</f>
        <v/>
      </c>
      <c r="H3468">
        <f>1-(1-Skills!J18/100)^Skills!K18</f>
        <v/>
      </c>
      <c r="I3468" t="inlineStr">
        <is>
          <t>1</t>
        </is>
      </c>
      <c r="J3468" t="inlineStr"/>
      <c r="K3468" t="inlineStr"/>
      <c r="L3468" t="inlineStr"/>
      <c r="M3468" t="inlineStr"/>
      <c r="N3468" t="inlineStr"/>
      <c r="O3468">
        <f>(1-Summary!$B$11)*T3468+Summary!$B$11*V3468</f>
        <v/>
      </c>
      <c r="P3468">
        <f>IF(B3496=0,0,O3468/B3496)</f>
        <v/>
      </c>
      <c r="Q3468" t="n">
        <v>0</v>
      </c>
      <c r="R3468" t="n">
        <v>0</v>
      </c>
      <c r="S3468">
        <f>IFERROR(O3468/N3468,0)</f>
        <v/>
      </c>
      <c r="T3468" t="n">
        <v>0</v>
      </c>
      <c r="V3468" t="n">
        <v>0</v>
      </c>
    </row>
    <row r="3469">
      <c r="A3469">
        <f>Skills!A19</f>
        <v/>
      </c>
      <c r="B3469">
        <f>Skills!B19</f>
        <v/>
      </c>
      <c r="C3469">
        <f>Inputs!$B$3&gt;=100</f>
        <v/>
      </c>
      <c r="D3469">
        <f>IF(Skills!C19=1,60+Inputs!$B$25+Inputs!$B$29,IF(Skills!C19=2,90+Inputs!$B$26+Inputs!$B$29,IF(Skills!C19=3,120+Inputs!$B$27+Inputs!$B$29,MAX(0,(Inputs!$B$3-100)*3)+Inputs!$B$28+Inputs!$B$29)))</f>
        <v/>
      </c>
      <c r="E3469">
        <f>INDEX(FactorTable!$B$2:$Y$301, MATCH(ROUND(MIN(300,MAX(1,D3469)),0), FactorTable!$A$2:$A$301,0), Skills!M19+1)</f>
        <v/>
      </c>
      <c r="F3469">
        <f>IF(Skills!N19=TRUE,(Skills!L19/10)*(E3469/1000),Skills!L19/10)+Skills!O19</f>
        <v/>
      </c>
      <c r="G3469">
        <f>Skills!G19*IF(Skills!H19&gt;0,IF(Inputs!$B$39="pvp",MIN(Skills!I19,15),Skills!I19)/Skills!H19,1)</f>
        <v/>
      </c>
      <c r="H3469">
        <f>1-(1-Skills!J19/100)^Skills!K19</f>
        <v/>
      </c>
      <c r="I3469" t="inlineStr">
        <is>
          <t>1</t>
        </is>
      </c>
      <c r="J3469" t="inlineStr"/>
      <c r="K3469" t="inlineStr"/>
      <c r="L3469" t="inlineStr"/>
      <c r="M3469" t="inlineStr"/>
      <c r="N3469" t="inlineStr"/>
      <c r="O3469">
        <f>(1-Summary!$B$11)*T3469+Summary!$B$11*V3469</f>
        <v/>
      </c>
      <c r="P3469">
        <f>IF(B3496=0,0,O3469/B3496)</f>
        <v/>
      </c>
      <c r="Q3469" t="n">
        <v>0</v>
      </c>
      <c r="R3469" t="n">
        <v>0</v>
      </c>
      <c r="S3469">
        <f>IFERROR(O3469/N3469,0)</f>
        <v/>
      </c>
      <c r="T3469" t="n">
        <v>0</v>
      </c>
      <c r="V3469" t="n">
        <v>0</v>
      </c>
    </row>
    <row r="3470">
      <c r="A3470">
        <f>Skills!A20</f>
        <v/>
      </c>
      <c r="B3470">
        <f>Skills!B20</f>
        <v/>
      </c>
      <c r="C3470">
        <f>TRUE</f>
        <v/>
      </c>
      <c r="D3470">
        <f>IF(Skills!C20=1,60+Inputs!$B$25+Inputs!$B$29,IF(Skills!C20=2,90+Inputs!$B$26+Inputs!$B$29,IF(Skills!C20=3,120+Inputs!$B$27+Inputs!$B$29,MAX(0,(Inputs!$B$3-100)*3)+Inputs!$B$28+Inputs!$B$29)))</f>
        <v/>
      </c>
      <c r="E3470">
        <f>INDEX(FactorTable!$B$2:$Y$301, MATCH(ROUND(MIN(300,MAX(1,D3470)),0), FactorTable!$A$2:$A$301,0), Skills!M20+1)</f>
        <v/>
      </c>
      <c r="F3470">
        <f>IF(Skills!N20=TRUE,(Skills!L20/10)*(E3470/1000),Skills!L20/10)+Skills!O20</f>
        <v/>
      </c>
      <c r="G3470">
        <f>Skills!G20*IF(Skills!H20&gt;0,IF(Inputs!$B$39="pvp",MIN(Skills!I20,15),Skills!I20)/Skills!H20,1)</f>
        <v/>
      </c>
      <c r="H3470">
        <f>1-(1-Skills!J20/100)^Skills!K20</f>
        <v/>
      </c>
      <c r="I3470" t="inlineStr">
        <is>
          <t>1</t>
        </is>
      </c>
      <c r="J3470" t="inlineStr"/>
      <c r="K3470" t="inlineStr"/>
      <c r="L3470" t="inlineStr"/>
      <c r="M3470" t="inlineStr"/>
      <c r="N3470" t="inlineStr"/>
      <c r="O3470">
        <f>(1-Summary!$B$11)*T3470+Summary!$B$11*V3470</f>
        <v/>
      </c>
      <c r="P3470">
        <f>IF(B3496=0,0,O3470/B3496)</f>
        <v/>
      </c>
      <c r="Q3470">
        <f>IFERROR(1/IF(Inputs!$B$39="pvp",15,MAX(0.1,Skills!D20-IF(TRUE=TRUE,2.0,0))),0)</f>
        <v/>
      </c>
      <c r="R3470">
        <f>IF(AND(Inputs!$B$39&lt;&gt;"pvp",Inputs!$B$44&gt;0),IF(Inputs!$B$44&lt;=0,0,(INT(Inputs!$B$44/IF(Inputs!$B$39="pvp",15,MAX(0.1,Skills!D20-IF(TRUE=TRUE,2.0,0))))+1)),0)</f>
        <v/>
      </c>
      <c r="S3470">
        <f>IFERROR(O3470/N3470,0)</f>
        <v/>
      </c>
      <c r="T3470" t="n">
        <v>0</v>
      </c>
      <c r="V3470" t="n">
        <v>0</v>
      </c>
    </row>
    <row r="3471">
      <c r="A3471">
        <f>Skills!A21</f>
        <v/>
      </c>
      <c r="B3471">
        <f>Skills!B21</f>
        <v/>
      </c>
      <c r="C3471">
        <f>Inputs!$B$3&gt;=15</f>
        <v/>
      </c>
      <c r="D3471">
        <f>IF(Skills!C21=1,60+Inputs!$B$25+Inputs!$B$29,IF(Skills!C21=2,90+Inputs!$B$26+Inputs!$B$29,IF(Skills!C21=3,120+Inputs!$B$27+Inputs!$B$29,MAX(0,(Inputs!$B$3-100)*3)+Inputs!$B$28+Inputs!$B$29)))</f>
        <v/>
      </c>
      <c r="E3471">
        <f>INDEX(FactorTable!$B$2:$Y$301, MATCH(ROUND(MIN(300,MAX(1,D3471)),0), FactorTable!$A$2:$A$301,0), Skills!M21+1)</f>
        <v/>
      </c>
      <c r="F3471">
        <f>IF(Skills!N21=TRUE,(Skills!L21/10)*(E3471/1000),Skills!L21/10)+Skills!O21</f>
        <v/>
      </c>
      <c r="G3471">
        <f>Skills!G21*IF(Skills!H21&gt;0,IF(Inputs!$B$39="pvp",MIN(Skills!I21,15),Skills!I21)/Skills!H21,1)</f>
        <v/>
      </c>
      <c r="H3471">
        <f>1-(1-Skills!J21/100)^Skills!K21</f>
        <v/>
      </c>
      <c r="I3471" t="inlineStr">
        <is>
          <t>1</t>
        </is>
      </c>
      <c r="J3471" t="inlineStr"/>
      <c r="K3471" t="inlineStr"/>
      <c r="L3471" t="inlineStr"/>
      <c r="M3471" t="inlineStr"/>
      <c r="N3471" t="inlineStr"/>
      <c r="O3471">
        <f>(1-Summary!$B$11)*T3471+Summary!$B$11*V3471</f>
        <v/>
      </c>
      <c r="P3471">
        <f>IF(B3496=0,0,O3471/B3496)</f>
        <v/>
      </c>
      <c r="Q3471">
        <f>IFERROR(1/IF(Inputs!$B$39="pvp",15,MAX(0.1,Skills!D21-IF(TRUE=TRUE,2.0,0))),0)</f>
        <v/>
      </c>
      <c r="R3471">
        <f>IF(AND(Inputs!$B$39&lt;&gt;"pvp",Inputs!$B$44&gt;0),IF(Inputs!$B$44&lt;=0,0,(INT(Inputs!$B$44/IF(Inputs!$B$39="pvp",15,MAX(0.1,Skills!D21-IF(TRUE=TRUE,2.0,0))))+1)),0)</f>
        <v/>
      </c>
      <c r="S3471">
        <f>IFERROR(O3471/N3471,0)</f>
        <v/>
      </c>
      <c r="T3471" t="n">
        <v>0</v>
      </c>
      <c r="V3471" t="n">
        <v>0</v>
      </c>
    </row>
    <row r="3472">
      <c r="A3472">
        <f>Skills!A22</f>
        <v/>
      </c>
      <c r="B3472">
        <f>Skills!B22</f>
        <v/>
      </c>
      <c r="C3472">
        <f>Inputs!$B$3&gt;=15</f>
        <v/>
      </c>
      <c r="D3472">
        <f>IF(Skills!C22=1,60+Inputs!$B$25+Inputs!$B$29,IF(Skills!C22=2,90+Inputs!$B$26+Inputs!$B$29,IF(Skills!C22=3,120+Inputs!$B$27+Inputs!$B$29,MAX(0,(Inputs!$B$3-100)*3)+Inputs!$B$28+Inputs!$B$29)))</f>
        <v/>
      </c>
      <c r="E3472">
        <f>INDEX(FactorTable!$B$2:$Y$301, MATCH(ROUND(MIN(300,MAX(1,D3472)),0), FactorTable!$A$2:$A$301,0), Skills!M22+1)</f>
        <v/>
      </c>
      <c r="F3472">
        <f>IF(Skills!N22=TRUE,(Skills!L22/10)*(E3472/1000),Skills!L22/10)+Skills!O22</f>
        <v/>
      </c>
      <c r="G3472">
        <f>Skills!G22*IF(Skills!H22&gt;0,IF(Inputs!$B$39="pvp",MIN(Skills!I22,15),Skills!I22)/Skills!H22,1)</f>
        <v/>
      </c>
      <c r="H3472">
        <f>1-(1-Skills!J22/100)^Skills!K22</f>
        <v/>
      </c>
      <c r="I3472" t="inlineStr">
        <is>
          <t>1</t>
        </is>
      </c>
      <c r="J3472" t="inlineStr"/>
      <c r="K3472" t="inlineStr"/>
      <c r="L3472" t="inlineStr"/>
      <c r="M3472" t="inlineStr"/>
      <c r="N3472" t="inlineStr"/>
      <c r="O3472">
        <f>(1-Summary!$B$11)*T3472+Summary!$B$11*V3472</f>
        <v/>
      </c>
      <c r="P3472">
        <f>IF(B3496=0,0,O3472/B3496)</f>
        <v/>
      </c>
      <c r="Q3472">
        <f>IFERROR(1/IF(Inputs!$B$39="pvp",15,MAX(0.1,Skills!D22-IF(TRUE=TRUE,2.0,0))),0)</f>
        <v/>
      </c>
      <c r="R3472">
        <f>IF(AND(Inputs!$B$39&lt;&gt;"pvp",Inputs!$B$44&gt;0),IF(Inputs!$B$44&lt;=0,0,(INT(Inputs!$B$44/IF(Inputs!$B$39="pvp",15,MAX(0.1,Skills!D22-IF(TRUE=TRUE,2.0,0))))+1)),0)</f>
        <v/>
      </c>
      <c r="S3472">
        <f>IFERROR(O3472/N3472,0)</f>
        <v/>
      </c>
      <c r="T3472" t="n">
        <v>0</v>
      </c>
      <c r="V3472" t="n">
        <v>0</v>
      </c>
    </row>
    <row r="3473">
      <c r="A3473">
        <f>Skills!A23</f>
        <v/>
      </c>
      <c r="B3473">
        <f>Skills!B23</f>
        <v/>
      </c>
      <c r="C3473">
        <f>Inputs!$B$3&gt;=33</f>
        <v/>
      </c>
      <c r="D3473">
        <f>IF(Skills!C23=1,60+Inputs!$B$25+Inputs!$B$29,IF(Skills!C23=2,90+Inputs!$B$26+Inputs!$B$29,IF(Skills!C23=3,120+Inputs!$B$27+Inputs!$B$29,MAX(0,(Inputs!$B$3-100)*3)+Inputs!$B$28+Inputs!$B$29)))</f>
        <v/>
      </c>
      <c r="E3473">
        <f>INDEX(FactorTable!$B$2:$Y$301, MATCH(ROUND(MIN(300,MAX(1,D3473)),0), FactorTable!$A$2:$A$301,0), Skills!M23+1)</f>
        <v/>
      </c>
      <c r="F3473">
        <f>IF(Skills!N23=TRUE,(Skills!L23/10)*(E3473/1000),Skills!L23/10)+Skills!O23</f>
        <v/>
      </c>
      <c r="G3473">
        <f>Skills!G23*IF(Skills!H23&gt;0,IF(Inputs!$B$39="pvp",MIN(Skills!I23,15),Skills!I23)/Skills!H23,1)</f>
        <v/>
      </c>
      <c r="H3473">
        <f>1-(1-Skills!J23/100)^Skills!K23</f>
        <v/>
      </c>
      <c r="I3473" t="inlineStr">
        <is>
          <t>1</t>
        </is>
      </c>
      <c r="J3473" t="inlineStr"/>
      <c r="K3473" t="inlineStr"/>
      <c r="L3473" t="inlineStr"/>
      <c r="M3473" t="inlineStr"/>
      <c r="N3473" t="inlineStr"/>
      <c r="O3473">
        <f>(1-Summary!$B$11)*T3473+Summary!$B$11*V3473</f>
        <v/>
      </c>
      <c r="P3473">
        <f>IF(B3496=0,0,O3473/B3496)</f>
        <v/>
      </c>
      <c r="Q3473" t="n">
        <v>0</v>
      </c>
      <c r="R3473" t="n">
        <v>0</v>
      </c>
      <c r="S3473">
        <f>IFERROR(O3473/N3473,0)</f>
        <v/>
      </c>
      <c r="T3473" t="n">
        <v>0</v>
      </c>
      <c r="V3473" t="n">
        <v>0</v>
      </c>
    </row>
    <row r="3474">
      <c r="A3474">
        <f>Skills!A24</f>
        <v/>
      </c>
      <c r="B3474">
        <f>Skills!B24</f>
        <v/>
      </c>
      <c r="C3474">
        <f>Inputs!$B$3&gt;=40</f>
        <v/>
      </c>
      <c r="D3474">
        <f>IF(Skills!C24=1,60+Inputs!$B$25+Inputs!$B$29,IF(Skills!C24=2,90+Inputs!$B$26+Inputs!$B$29,IF(Skills!C24=3,120+Inputs!$B$27+Inputs!$B$29,MAX(0,(Inputs!$B$3-100)*3)+Inputs!$B$28+Inputs!$B$29)))</f>
        <v/>
      </c>
      <c r="E3474">
        <f>INDEX(FactorTable!$B$2:$Y$301, MATCH(ROUND(MIN(300,MAX(1,D3474)),0), FactorTable!$A$2:$A$301,0), Skills!M24+1)</f>
        <v/>
      </c>
      <c r="F3474">
        <f>IF(Skills!N24=TRUE,(Skills!L24/10)*(E3474/1000),Skills!L24/10)+Skills!O24</f>
        <v/>
      </c>
      <c r="G3474">
        <f>Skills!G24*IF(Skills!H24&gt;0,IF(Inputs!$B$39="pvp",MIN(Skills!I24,15),Skills!I24)/Skills!H24,1)</f>
        <v/>
      </c>
      <c r="H3474">
        <f>1-(1-Skills!J24/100)^Skills!K24</f>
        <v/>
      </c>
      <c r="I3474" t="inlineStr">
        <is>
          <t>1</t>
        </is>
      </c>
      <c r="J3474" t="inlineStr"/>
      <c r="K3474" t="inlineStr"/>
      <c r="L3474" t="inlineStr"/>
      <c r="M3474" t="inlineStr"/>
      <c r="N3474" t="inlineStr"/>
      <c r="O3474">
        <f>(1-Summary!$B$11)*T3474+Summary!$B$11*V3474</f>
        <v/>
      </c>
      <c r="P3474">
        <f>IF(B3496=0,0,O3474/B3496)</f>
        <v/>
      </c>
      <c r="Q3474" t="n">
        <v>0</v>
      </c>
      <c r="R3474" t="n">
        <v>0</v>
      </c>
      <c r="S3474">
        <f>IFERROR(O3474/N3474,0)</f>
        <v/>
      </c>
      <c r="T3474" t="n">
        <v>0</v>
      </c>
      <c r="V3474" t="n">
        <v>0</v>
      </c>
    </row>
    <row r="3475">
      <c r="A3475">
        <f>Skills!A25</f>
        <v/>
      </c>
      <c r="B3475">
        <f>Skills!B25</f>
        <v/>
      </c>
      <c r="C3475">
        <f>Inputs!$B$3&gt;=43</f>
        <v/>
      </c>
      <c r="D3475">
        <f>IF(Skills!C25=1,60+Inputs!$B$25+Inputs!$B$29,IF(Skills!C25=2,90+Inputs!$B$26+Inputs!$B$29,IF(Skills!C25=3,120+Inputs!$B$27+Inputs!$B$29,MAX(0,(Inputs!$B$3-100)*3)+Inputs!$B$28+Inputs!$B$29)))</f>
        <v/>
      </c>
      <c r="E3475">
        <f>INDEX(FactorTable!$B$2:$Y$301, MATCH(ROUND(MIN(300,MAX(1,D3475)),0), FactorTable!$A$2:$A$301,0), Skills!M25+1)</f>
        <v/>
      </c>
      <c r="F3475">
        <f>IF(Skills!N25=TRUE,(Skills!L25/10)*(E3475/1000),Skills!L25/10)+Skills!O25</f>
        <v/>
      </c>
      <c r="G3475">
        <f>Skills!G25*IF(Skills!H25&gt;0,IF(Inputs!$B$39="pvp",MIN(Skills!I25,15),Skills!I25)/Skills!H25,1)</f>
        <v/>
      </c>
      <c r="H3475">
        <f>1-(1-Skills!J25/100)^Skills!K25</f>
        <v/>
      </c>
      <c r="I3475" t="inlineStr">
        <is>
          <t>1</t>
        </is>
      </c>
      <c r="J3475" t="inlineStr"/>
      <c r="K3475" t="inlineStr"/>
      <c r="L3475" t="inlineStr"/>
      <c r="M3475" t="inlineStr"/>
      <c r="N3475" t="inlineStr"/>
      <c r="O3475">
        <f>(1-Summary!$B$11)*T3475+Summary!$B$11*V3475</f>
        <v/>
      </c>
      <c r="P3475">
        <f>IF(B3496=0,0,O3475/B3496)</f>
        <v/>
      </c>
      <c r="Q3475" t="n">
        <v>0</v>
      </c>
      <c r="R3475" t="n">
        <v>0</v>
      </c>
      <c r="S3475">
        <f>IFERROR(O3475/N3475,0)</f>
        <v/>
      </c>
      <c r="T3475" t="n">
        <v>0</v>
      </c>
      <c r="V3475" t="n">
        <v>0</v>
      </c>
    </row>
    <row r="3476">
      <c r="A3476">
        <f>Skills!A26</f>
        <v/>
      </c>
      <c r="B3476">
        <f>Skills!B26</f>
        <v/>
      </c>
      <c r="C3476">
        <f>Inputs!$B$3&gt;=50</f>
        <v/>
      </c>
      <c r="D3476">
        <f>IF(Skills!C26=1,60+Inputs!$B$25+Inputs!$B$29,IF(Skills!C26=2,90+Inputs!$B$26+Inputs!$B$29,IF(Skills!C26=3,120+Inputs!$B$27+Inputs!$B$29,MAX(0,(Inputs!$B$3-100)*3)+Inputs!$B$28+Inputs!$B$29)))</f>
        <v/>
      </c>
      <c r="E3476">
        <f>INDEX(FactorTable!$B$2:$Y$301, MATCH(ROUND(MIN(300,MAX(1,D3476)),0), FactorTable!$A$2:$A$301,0), Skills!M26+1)</f>
        <v/>
      </c>
      <c r="F3476">
        <f>IF(Skills!N26=TRUE,(Skills!L26/10)*(E3476/1000),Skills!L26/10)+Skills!O26</f>
        <v/>
      </c>
      <c r="G3476">
        <f>Skills!G26*IF(Skills!H26&gt;0,IF(Inputs!$B$39="pvp",MIN(Skills!I26,15),Skills!I26)/Skills!H26,1)</f>
        <v/>
      </c>
      <c r="H3476">
        <f>1-(1-Skills!J26/100)^Skills!K26</f>
        <v/>
      </c>
      <c r="I3476" t="inlineStr">
        <is>
          <t>1</t>
        </is>
      </c>
      <c r="J3476" t="inlineStr"/>
      <c r="K3476" t="inlineStr"/>
      <c r="L3476" t="inlineStr"/>
      <c r="M3476" t="inlineStr"/>
      <c r="N3476" t="inlineStr"/>
      <c r="O3476">
        <f>(1-Summary!$B$11)*T3476+Summary!$B$11*V3476</f>
        <v/>
      </c>
      <c r="P3476">
        <f>IF(B3496=0,0,O3476/B3496)</f>
        <v/>
      </c>
      <c r="Q3476" t="n">
        <v>0</v>
      </c>
      <c r="R3476" t="n">
        <v>0</v>
      </c>
      <c r="S3476">
        <f>IFERROR(O3476/N3476,0)</f>
        <v/>
      </c>
      <c r="T3476" t="n">
        <v>0</v>
      </c>
      <c r="V3476" t="n">
        <v>0</v>
      </c>
    </row>
    <row r="3477">
      <c r="A3477">
        <f>Skills!A27</f>
        <v/>
      </c>
      <c r="B3477">
        <f>Skills!B27</f>
        <v/>
      </c>
      <c r="C3477">
        <f>Inputs!$B$3&gt;=50</f>
        <v/>
      </c>
      <c r="D3477">
        <f>IF(Skills!C27=1,60+Inputs!$B$25+Inputs!$B$29,IF(Skills!C27=2,90+Inputs!$B$26+Inputs!$B$29,IF(Skills!C27=3,120+Inputs!$B$27+Inputs!$B$29,MAX(0,(Inputs!$B$3-100)*3)+Inputs!$B$28+Inputs!$B$29)))</f>
        <v/>
      </c>
      <c r="E3477">
        <f>INDEX(FactorTable!$B$2:$Y$301, MATCH(ROUND(MIN(300,MAX(1,D3477)),0), FactorTable!$A$2:$A$301,0), Skills!M27+1)</f>
        <v/>
      </c>
      <c r="F3477">
        <f>IF(Skills!N27=TRUE,(Skills!L27/10)*(E3477/1000),Skills!L27/10)+Skills!O27</f>
        <v/>
      </c>
      <c r="G3477">
        <f>Skills!G27*IF(Skills!H27&gt;0,IF(Inputs!$B$39="pvp",MIN(Skills!I27,15),Skills!I27)/Skills!H27,1)</f>
        <v/>
      </c>
      <c r="H3477">
        <f>1-(1-Skills!J27/100)^Skills!K27</f>
        <v/>
      </c>
      <c r="I3477" t="inlineStr">
        <is>
          <t>1</t>
        </is>
      </c>
      <c r="J3477" t="inlineStr"/>
      <c r="K3477" t="inlineStr"/>
      <c r="L3477" t="inlineStr"/>
      <c r="M3477" t="inlineStr"/>
      <c r="N3477" t="inlineStr"/>
      <c r="O3477">
        <f>(1-Summary!$B$11)*T3477+Summary!$B$11*V3477</f>
        <v/>
      </c>
      <c r="P3477">
        <f>IF(B3496=0,0,O3477/B3496)</f>
        <v/>
      </c>
      <c r="Q3477" t="n">
        <v>0</v>
      </c>
      <c r="R3477" t="n">
        <v>0</v>
      </c>
      <c r="S3477">
        <f>IFERROR(O3477/N3477,0)</f>
        <v/>
      </c>
      <c r="T3477" t="n">
        <v>0</v>
      </c>
      <c r="V3477" t="n">
        <v>0</v>
      </c>
    </row>
    <row r="3478">
      <c r="A3478">
        <f>Skills!A28</f>
        <v/>
      </c>
      <c r="B3478">
        <f>Skills!B28</f>
        <v/>
      </c>
      <c r="C3478">
        <f>Inputs!$B$3&gt;=38</f>
        <v/>
      </c>
      <c r="D3478">
        <f>IF(Skills!C28=1,60+Inputs!$B$25+Inputs!$B$29,IF(Skills!C28=2,90+Inputs!$B$26+Inputs!$B$29,IF(Skills!C28=3,120+Inputs!$B$27+Inputs!$B$29,MAX(0,(Inputs!$B$3-100)*3)+Inputs!$B$28+Inputs!$B$29)))</f>
        <v/>
      </c>
      <c r="E3478">
        <f>INDEX(FactorTable!$B$2:$Y$301, MATCH(ROUND(MIN(300,MAX(1,D3478)),0), FactorTable!$A$2:$A$301,0), Skills!M28+1)</f>
        <v/>
      </c>
      <c r="F3478">
        <f>IF(Skills!N28=TRUE,(Skills!L28/10)*(E3478/1000),Skills!L28/10)+Skills!O28</f>
        <v/>
      </c>
      <c r="G3478">
        <f>Skills!G28*IF(Skills!H28&gt;0,IF(Inputs!$B$39="pvp",MIN(Skills!I28,15),Skills!I28)/Skills!H28,1)</f>
        <v/>
      </c>
      <c r="H3478">
        <f>1-(1-Skills!J28/100)^Skills!K28</f>
        <v/>
      </c>
      <c r="I3478" t="inlineStr">
        <is>
          <t>1</t>
        </is>
      </c>
      <c r="J3478" t="inlineStr"/>
      <c r="K3478" t="inlineStr"/>
      <c r="L3478" t="inlineStr"/>
      <c r="M3478" t="inlineStr"/>
      <c r="N3478" t="inlineStr"/>
      <c r="O3478">
        <f>(1-Summary!$B$11)*T3478+Summary!$B$11*V3478</f>
        <v/>
      </c>
      <c r="P3478">
        <f>IF(B3496=0,0,O3478/B3496)</f>
        <v/>
      </c>
      <c r="Q3478" t="n">
        <v>0</v>
      </c>
      <c r="R3478" t="n">
        <v>0</v>
      </c>
      <c r="S3478">
        <f>IFERROR(O3478/N3478,0)</f>
        <v/>
      </c>
      <c r="T3478" t="n">
        <v>0</v>
      </c>
      <c r="V3478" t="n">
        <v>0</v>
      </c>
    </row>
    <row r="3479">
      <c r="A3479">
        <f>Skills!A29</f>
        <v/>
      </c>
      <c r="B3479">
        <f>Skills!B29</f>
        <v/>
      </c>
      <c r="C3479">
        <f>Inputs!$B$3&gt;=120</f>
        <v/>
      </c>
      <c r="D3479">
        <f>IF(Skills!C29=1,60+Inputs!$B$25+Inputs!$B$29,IF(Skills!C29=2,90+Inputs!$B$26+Inputs!$B$29,IF(Skills!C29=3,120+Inputs!$B$27+Inputs!$B$29,MAX(0,(Inputs!$B$3-100)*3)+Inputs!$B$28+Inputs!$B$29)))</f>
        <v/>
      </c>
      <c r="E3479">
        <f>INDEX(FactorTable!$B$2:$Y$301, MATCH(ROUND(MIN(300,MAX(1,D3479)),0), FactorTable!$A$2:$A$301,0), Skills!M29+1)</f>
        <v/>
      </c>
      <c r="F3479">
        <f>IF(Skills!N29=TRUE,(Skills!L29/10)*(E3479/1000),Skills!L29/10)+Skills!O29</f>
        <v/>
      </c>
      <c r="G3479">
        <f>Skills!G29*IF(Skills!H29&gt;0,IF(Inputs!$B$39="pvp",MIN(Skills!I29,15),Skills!I29)/Skills!H29,1)</f>
        <v/>
      </c>
      <c r="H3479">
        <f>1-(1-Skills!J29/100)^Skills!K29</f>
        <v/>
      </c>
      <c r="I3479" t="inlineStr">
        <is>
          <t>1</t>
        </is>
      </c>
      <c r="J3479" t="inlineStr"/>
      <c r="K3479" t="inlineStr"/>
      <c r="L3479" t="inlineStr"/>
      <c r="M3479" t="inlineStr"/>
      <c r="N3479" t="inlineStr"/>
      <c r="O3479">
        <f>(1-Summary!$B$11)*T3479+Summary!$B$11*V3479</f>
        <v/>
      </c>
      <c r="P3479">
        <f>IF(B3496=0,0,O3479/B3496)</f>
        <v/>
      </c>
      <c r="Q3479" t="n">
        <v>0</v>
      </c>
      <c r="R3479" t="n">
        <v>0</v>
      </c>
      <c r="S3479">
        <f>IFERROR(O3479/N3479,0)</f>
        <v/>
      </c>
      <c r="T3479" t="n">
        <v>0</v>
      </c>
      <c r="V3479" t="n">
        <v>0</v>
      </c>
    </row>
    <row r="3480">
      <c r="A3480">
        <f>Skills!A30</f>
        <v/>
      </c>
      <c r="B3480">
        <f>Skills!B30</f>
        <v/>
      </c>
      <c r="C3480">
        <f>Inputs!$B$3&gt;=120</f>
        <v/>
      </c>
      <c r="D3480">
        <f>IF(Skills!C30=1,60+Inputs!$B$25+Inputs!$B$29,IF(Skills!C30=2,90+Inputs!$B$26+Inputs!$B$29,IF(Skills!C30=3,120+Inputs!$B$27+Inputs!$B$29,MAX(0,(Inputs!$B$3-100)*3)+Inputs!$B$28+Inputs!$B$29)))</f>
        <v/>
      </c>
      <c r="E3480">
        <f>INDEX(FactorTable!$B$2:$Y$301, MATCH(ROUND(MIN(300,MAX(1,D3480)),0), FactorTable!$A$2:$A$301,0), Skills!M30+1)</f>
        <v/>
      </c>
      <c r="F3480">
        <f>IF(Skills!N30=TRUE,(Skills!L30/10)*(E3480/1000),Skills!L30/10)+Skills!O30</f>
        <v/>
      </c>
      <c r="G3480">
        <f>Skills!G30*IF(Skills!H30&gt;0,IF(Inputs!$B$39="pvp",MIN(Skills!I30,15),Skills!I30)/Skills!H30,1)</f>
        <v/>
      </c>
      <c r="H3480">
        <f>1-(1-Skills!J30/100)^Skills!K30</f>
        <v/>
      </c>
      <c r="I3480" t="inlineStr">
        <is>
          <t>1</t>
        </is>
      </c>
      <c r="J3480" t="inlineStr"/>
      <c r="K3480" t="inlineStr"/>
      <c r="L3480" t="inlineStr"/>
      <c r="M3480" t="inlineStr"/>
      <c r="N3480" t="inlineStr"/>
      <c r="O3480">
        <f>(1-Summary!$B$11)*T3480+Summary!$B$11*V3480</f>
        <v/>
      </c>
      <c r="P3480">
        <f>IF(B3496=0,0,O3480/B3496)</f>
        <v/>
      </c>
      <c r="Q3480" t="n">
        <v>0</v>
      </c>
      <c r="R3480" t="n">
        <v>0</v>
      </c>
      <c r="S3480">
        <f>IFERROR(O3480/N3480,0)</f>
        <v/>
      </c>
      <c r="T3480" t="n">
        <v>0</v>
      </c>
      <c r="V3480" t="n">
        <v>0</v>
      </c>
    </row>
    <row r="3481">
      <c r="A3481">
        <f>Skills!A31</f>
        <v/>
      </c>
      <c r="B3481">
        <f>Skills!B31</f>
        <v/>
      </c>
      <c r="C3481">
        <f>Inputs!$B$3&gt;=125</f>
        <v/>
      </c>
      <c r="D3481">
        <f>IF(Skills!C31=1,60+Inputs!$B$25+Inputs!$B$29,IF(Skills!C31=2,90+Inputs!$B$26+Inputs!$B$29,IF(Skills!C31=3,120+Inputs!$B$27+Inputs!$B$29,MAX(0,(Inputs!$B$3-100)*3)+Inputs!$B$28+Inputs!$B$29)))</f>
        <v/>
      </c>
      <c r="E3481">
        <f>INDEX(FactorTable!$B$2:$Y$301, MATCH(ROUND(MIN(300,MAX(1,D3481)),0), FactorTable!$A$2:$A$301,0), Skills!M31+1)</f>
        <v/>
      </c>
      <c r="F3481">
        <f>IF(Skills!N31=TRUE,(Skills!L31/10)*(E3481/1000),Skills!L31/10)+Skills!O31</f>
        <v/>
      </c>
      <c r="G3481">
        <f>Skills!G31*IF(Skills!H31&gt;0,IF(Inputs!$B$39="pvp",MIN(Skills!I31,15),Skills!I31)/Skills!H31,1)</f>
        <v/>
      </c>
      <c r="H3481">
        <f>1-(1-Skills!J31/100)^Skills!K31</f>
        <v/>
      </c>
      <c r="I3481" t="inlineStr">
        <is>
          <t>1</t>
        </is>
      </c>
      <c r="J3481" t="inlineStr"/>
      <c r="K3481" t="inlineStr"/>
      <c r="L3481" t="inlineStr"/>
      <c r="M3481" t="inlineStr"/>
      <c r="N3481" t="inlineStr"/>
      <c r="O3481">
        <f>(1-Summary!$B$11)*T3481+Summary!$B$11*V3481</f>
        <v/>
      </c>
      <c r="P3481">
        <f>IF(B3496=0,0,O3481/B3496)</f>
        <v/>
      </c>
      <c r="Q3481" t="n">
        <v>0</v>
      </c>
      <c r="R3481" t="n">
        <v>0</v>
      </c>
      <c r="S3481">
        <f>IFERROR(O3481/N3481,0)</f>
        <v/>
      </c>
      <c r="T3481" t="n">
        <v>0</v>
      </c>
      <c r="V3481" t="n">
        <v>0</v>
      </c>
    </row>
    <row r="3483">
      <c r="A3483" t="inlineStr">
        <is>
          <t>Average Buff Multiplier</t>
        </is>
      </c>
      <c r="B3483">
        <f>(1+(((C3472=TRUE)*F3472*IF(AND(Inputs!$B$39&lt;&gt;"pvp",Inputs!$B$44&gt;0),(((R3472-1)*MIN((Skills!Y22*(1+Inputs!$B$34/100)),(1/Q3472))+MIN((Skills!Y22*(1+Inputs!$B$34/100)),MAX(0,Inputs!$B$44-((R3472-1)*(1/Q3472)))))/Inputs!$B$44),IF(Inputs!$B$39="pvp",MIN((Skills!Y22*(1+Inputs!$B$34/100)),15)/15,MIN(1,(Skills!Y22*(1+Inputs!$B$34/100))/(1/Q3472)))))+((C3453=TRUE)*F3453*3)+((C3455=TRUE)*F3455*(1-EXP(-0.75*B3488*5)))+((C3474=TRUE)*(F3474-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3461=TRUE)*F3461*IF(AND(Inputs!$B$39&lt;&gt;"pvp",Inputs!$B$44&gt;0),(((R3461-1)*MIN((Skills!Y11*(1+Inputs!$B$34/100)),(1/Q3461))+MIN((Skills!Y11*(1+Inputs!$B$34/100)),MAX(0,Inputs!$B$44-((R3461-1)*(1/Q3461)))))/Inputs!$B$44),IF(Inputs!$B$39="pvp",MIN((Skills!Y11*(1+Inputs!$B$34/100)),15)/15,MIN(1,(Skills!Y11*(1+Inputs!$B$34/100))/(1/Q3461)))))/100)*(1+((C3466=TRUE)*F3466*IF(AND(Inputs!$B$39&lt;&gt;"pvp",Inputs!$B$44&gt;0),(((R3466-1)*MIN((Skills!Y16*(1+Inputs!$B$34/100)),(1/Q3466))+MIN((Skills!Y16*(1+Inputs!$B$34/100)),MAX(0,Inputs!$B$44-((R3466-1)*(1/Q3466)))))/Inputs!$B$44),IF(Inputs!$B$39="pvp",MIN((Skills!Y16*(1+Inputs!$B$34/100)),15)/15,MIN(1,(Skills!Y16*(1+Inputs!$B$34/100))/(1/Q3466)))))/100)</f>
        <v/>
      </c>
    </row>
    <row r="3484">
      <c r="A3484" t="inlineStr">
        <is>
          <t>Global Crit Rate Bonus %</t>
        </is>
      </c>
      <c r="B3484">
        <f>((C3471=TRUE)*F3471*IF(AND(Inputs!$B$39&lt;&gt;"pvp",Inputs!$B$44&gt;0),(((R3471-1)*MIN((Skills!Y21*(1+Inputs!$B$34/100)),(1/Q3471))+MIN((Skills!Y21*(1+Inputs!$B$34/100)),MAX(0,Inputs!$B$44-((R3471-1)*(1/Q3471)))))/Inputs!$B$44),IF(Inputs!$B$39="pvp",MIN((Skills!Y21*(1+Inputs!$B$34/100)),15)/15,MIN(1,(Skills!Y21*(1+Inputs!$B$34/100))/(1/Q3471)))))</f>
        <v/>
      </c>
    </row>
    <row r="3485">
      <c r="A3485" t="inlineStr">
        <is>
          <t>Global Monster Damage-Taken Bonus %</t>
        </is>
      </c>
      <c r="B3485">
        <f>IF(Inputs!$B$3&gt;=82,15,0)</f>
        <v/>
      </c>
    </row>
    <row r="3486">
      <c r="A3486" t="inlineStr">
        <is>
          <t>Shadow Partner Average Multiplier</t>
        </is>
      </c>
      <c r="B3486">
        <f>1+((C3458=TRUE)*F3458*(1+3.3333333333333335*IF(C3469=TRUE,F3469,0)/100)*I3458*Skills!J8/100)/100</f>
        <v/>
      </c>
    </row>
    <row r="3487">
      <c r="A3487" t="inlineStr">
        <is>
          <t>Attack Speed Buff Bonus %</t>
        </is>
      </c>
      <c r="B3487">
        <f>((C3470=TRUE)*F3470*IF(AND(Inputs!$B$39&lt;&gt;"pvp",Inputs!$B$44&gt;0),(((R3470-1)*MIN((Skills!Y20*(1+Inputs!$B$34/100)),(1/Q3470))+MIN((Skills!Y20*(1+Inputs!$B$34/100)),MAX(0,Inputs!$B$44-((R3470-1)*(1/Q3470)))))/Inputs!$B$44),IF(Inputs!$B$39="pvp",MIN((Skills!Y20*(1+Inputs!$B$34/100)),15)/15,MIN(1,(Skills!Y20*(1+Inputs!$B$34/100))/(1/Q3470)))))</f>
        <v/>
      </c>
    </row>
    <row r="3488">
      <c r="A3488" t="inlineStr">
        <is>
          <t>Actions Per Second</t>
        </is>
      </c>
      <c r="B3488">
        <f>1+MIN(150,150*(1-(1-(Inputs!$B$11+((C3473=TRUE)*(F3473-Calc!F23)))/150)*(1-B3487/150)))/100</f>
        <v/>
      </c>
    </row>
    <row r="3489">
      <c r="A3489" t="inlineStr">
        <is>
          <t>Skill + Buff Cast Rate</t>
        </is>
      </c>
      <c r="B3489">
        <f>IF(AND(Inputs!$B$39&lt;&gt;"pvp",Inputs!$B$44&gt;0),SUMPRODUCT((Skills!E2:E31=TRUE)*(C3452:C3481=TRUE)*R3452:R3481*Skills!F2:F31)/Inputs!$B$44,SUMPRODUCT((Skills!E2:E31=TRUE)*(C3452:C3481=TRUE)*Q3452:Q3481*Skills!F2:F31))</f>
        <v/>
      </c>
    </row>
    <row r="3490">
      <c r="A3490" t="inlineStr">
        <is>
          <t>Cruel Stab Casts Per Second</t>
        </is>
      </c>
      <c r="B3490">
        <f>MAX(0,B3488-B3489)</f>
        <v/>
      </c>
    </row>
    <row r="3491">
      <c r="A3491" t="inlineStr">
        <is>
          <t>Global Critical Damage Bonus % (Smokescreen Mastery Lv.113)</t>
        </is>
      </c>
      <c r="B3491">
        <f>IF(Inputs!$B$3&gt;=113,30,0)*IF(AND(Inputs!$B$39&lt;&gt;"pvp",Inputs!$B$44&gt;0),(((R3466-1)*MIN((Skills!Y16*(1+Inputs!$B$34/100)),(1/Q3466))+MIN((Skills!Y16*(1+Inputs!$B$34/100)),MAX(0,Inputs!$B$44-((R3466-1)*(1/Q3466)))))/Inputs!$B$44),IF(Inputs!$B$39="pvp",MIN((Skills!Y16*(1+Inputs!$B$34/100)),15)/15,MIN(1,(Skills!Y16*(1+Inputs!$B$34/100))/(1/Q3466))))</f>
        <v/>
      </c>
    </row>
    <row r="3492">
      <c r="A3492" t="inlineStr">
        <is>
          <t>Meso Explosion average stack count</t>
        </is>
      </c>
      <c r="B3492">
        <f>MIN(10,IF(Inputs!$B$3&gt;=75,0.75,0.5)*B3488*(1/Q3454))</f>
        <v/>
      </c>
    </row>
    <row r="3493">
      <c r="A3493" t="inlineStr">
        <is>
          <t>Blood Money average stack count</t>
        </is>
      </c>
      <c r="B3493">
        <f>MIN(5,0.5*IF(Inputs!$B$3&gt;=75,0.75,0.5)*B3488*(1/Q3454))</f>
        <v/>
      </c>
    </row>
    <row r="3494">
      <c r="A3494" t="inlineStr">
        <is>
          <t>Assassinate Murderous Intent Multiplier</t>
        </is>
      </c>
      <c r="B3494">
        <f>1+IFERROR(MIN(1,Q3465*2/Q3462),0)</f>
        <v/>
      </c>
    </row>
    <row r="3495">
      <c r="A3495" t="inlineStr">
        <is>
          <t>Buff-Casting Startup Delay (s, fixed-duration only)</t>
        </is>
      </c>
      <c r="B3495">
        <f>IF(AND(Inputs!$B$39&lt;&gt;"pvp",Inputs!$B$44&gt;0),SUMPRODUCT((Skills!Y2:Y31&gt;0)*(Skills!E2:E31=TRUE)*(C3452:C3481=TRUE))/B3488,0)</f>
        <v/>
      </c>
    </row>
    <row r="3496">
      <c r="A3496" s="6" t="inlineStr">
        <is>
          <t>TOTAL DPS</t>
        </is>
      </c>
      <c r="B3496" s="6">
        <f>SUM(O3452:O3481)</f>
        <v/>
      </c>
    </row>
    <row r="3497">
      <c r="A3497" t="inlineStr">
        <is>
          <t>Boss-Only Total DPS (this block's swept value)</t>
        </is>
      </c>
      <c r="B3497">
        <f>SUM(T3452:T3481)</f>
        <v/>
      </c>
    </row>
    <row r="3498">
      <c r="A3498" t="inlineStr">
        <is>
          <t>Normal-Only Total DPS (this block's swept value)</t>
        </is>
      </c>
      <c r="B3498">
        <f>SUM(V3452:V3481)</f>
        <v/>
      </c>
    </row>
    <row r="3501">
      <c r="A3501" s="6" t="inlineStr">
        <is>
          <t>Stat: CDR = 2.5s</t>
        </is>
      </c>
    </row>
    <row r="3502">
      <c r="A3502" s="5" t="inlineStr">
        <is>
          <t>Key</t>
        </is>
      </c>
      <c r="B3502" s="5" t="inlineStr">
        <is>
          <t>Name</t>
        </is>
      </c>
      <c r="C3502" s="5" t="inlineStr">
        <is>
          <t>Unlocked</t>
        </is>
      </c>
      <c r="D3502" s="5" t="inlineStr">
        <is>
          <t>InputLevel</t>
        </is>
      </c>
      <c r="E3502" s="5" t="inlineStr">
        <is>
          <t>Factor</t>
        </is>
      </c>
      <c r="F3502" s="5" t="inlineStr">
        <is>
          <t>CoefficientPercent</t>
        </is>
      </c>
      <c r="G3502" s="5" t="inlineStr">
        <is>
          <t>EffectiveHits</t>
        </is>
      </c>
      <c r="H3502" s="5" t="inlineStr">
        <is>
          <t>ProcProbability</t>
        </is>
      </c>
      <c r="I3502" s="5" t="inlineStr">
        <is>
          <t>MapleHeroMultiplier</t>
        </is>
      </c>
      <c r="J3502" s="5" t="inlineStr">
        <is>
          <t>BaseDamage</t>
        </is>
      </c>
      <c r="K3502" s="5" t="inlineStr">
        <is>
          <t>BaseHitDamage</t>
        </is>
      </c>
      <c r="L3502" s="5" t="inlineStr">
        <is>
          <t>NonCritAvg</t>
        </is>
      </c>
      <c r="M3502" s="5" t="inlineStr">
        <is>
          <t>CritAvg</t>
        </is>
      </c>
      <c r="N3502" s="5" t="inlineStr">
        <is>
          <t>ExpectedDamage(perHit)</t>
        </is>
      </c>
      <c r="O3502" s="5" t="inlineStr">
        <is>
          <t>DPS</t>
        </is>
      </c>
      <c r="P3502" s="5" t="inlineStr">
        <is>
          <t>% of Total</t>
        </is>
      </c>
      <c r="Q3502" s="5" t="inlineStr">
        <is>
          <t>InvCooldown</t>
        </is>
      </c>
      <c r="R3502" s="5" t="inlineStr">
        <is>
          <t>CastsInFight</t>
        </is>
      </c>
      <c r="S3502" s="5" t="inlineStr">
        <is>
          <t>HitRate(perSec)</t>
        </is>
      </c>
      <c r="U3502" t="inlineStr">
        <is>
          <t>helpers</t>
        </is>
      </c>
    </row>
    <row r="3503">
      <c r="A3503">
        <f>Skills!A2</f>
        <v/>
      </c>
      <c r="B3503">
        <f>Skills!B2</f>
        <v/>
      </c>
      <c r="C3503">
        <f>Inputs!$B$3&gt;=100</f>
        <v/>
      </c>
      <c r="D3503" t="inlineStr"/>
      <c r="E3503" t="inlineStr"/>
      <c r="F3503">
        <f>U3505+Skills!O2</f>
        <v/>
      </c>
      <c r="G3503">
        <f>Skills!G2*IF(Skills!H2&gt;0,IF(Inputs!$B$39="pvp",MIN(Skills!I2,15),Skills!I2)/Skills!H2,1)</f>
        <v/>
      </c>
      <c r="H3503">
        <f>1-(1-Skills!J2/100)^Skills!K2</f>
        <v/>
      </c>
      <c r="I3503" t="inlineStr">
        <is>
          <t>1</t>
        </is>
      </c>
      <c r="J3503">
        <f>((Inputs!$B$6*(1+Inputs!$B$7/100))+(((Inputs!$B$12*(1+Inputs!$B$13/100))-(Inputs!$B$12*(1+Inputs!$B$13/100)))+0.25*(Inputs!$B$14-Inputs!$B$14))*(1+Inputs!$B$7/100))*(F3503/100)</f>
        <v/>
      </c>
      <c r="K3503">
        <f>J3503*(1+((Inputs!$B$12*(1+Inputs!$B$13/100))*0.01+Inputs!$B$14*0.0025)/100)*(1+Inputs!$B$15/100)*(1+Inputs!$B$16/100)*(5000/(6000+Inputs!$B$43*(1-(100*(1-(1-Inputs!$B$19/100)*(1-CHOOSE(ArtifactsInput!$N$40+1,5,6,7,8,9,10)/100)^(ArtifactsInput!$M$40-ArtifactsInput!$M$40)))/100)))*(1+(Inputs!$B$24+((C3532=TRUE)*(F3532-Calc!F31))+((C3519=TRUE)*(F3519-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CRUEL_STAB",Inputs!$B$17+((C3529=TRUE)*(F3529-Calc!F28))+((IF(AND(Inputs!$B$39&lt;&gt;"pvp",Inputs!$B$44=0),1,IF(IF(Inputs!$B$39="pvp",15,Inputs!$B$44)-(B3546)&lt;=0,1,MAX(0,IF(Inputs!$B$39="pvp",15,Inputs!$B$44)-MAX(5,B3546))/(IF(Inputs!$B$39="pvp",15,Inputs!$B$44)-(B3546))))*(IF(AND(ArtifactsInput!$M$42,((Inputs!$B$9+((C3527=TRUE)*(F3527-Calc!F26))+B3535+(ArtifactsInput!$M$24-ArtifactsInput!$M$24)*CHOOSE(ArtifactsInput!$N$24+1,10,12,14,16,18,20)+IF(ArtifactsInput!$M$10,CHOOSE(ArtifactsInput!$N$10+1,15,18,21,24,27,30)*(IF(Inputs!$B$39="pvp",MIN(15,15)/15,IF(AND(Inputs!$B$39&lt;&gt;"pvp",Inputs!$B$44&gt;0),MIN(15,Inputs!$B$44)/(Inputs!$B$44),0))),0)))&gt;=100),MIN(100,((Inputs!$B$9+((C3527=TRUE)*(F3527-Calc!F26))+B3535+(ArtifactsInput!$M$24-ArtifactsInput!$M$24)*CHOOSE(ArtifactsInput!$N$24+1,10,12,14,16,18,20)+IF(ArtifactsInput!$M$10,CHOOSE(ArtifactsInput!$N$10+1,15,18,21,24,27,30)*(IF(Inputs!$B$39="pvp",MIN(15,15)/15,IF(AND(Inputs!$B$39&lt;&gt;"pvp",Inputs!$B$44&gt;0),MIN(15,Inputs!$B$44)/(Inputs!$B$44),0))),0)))-100),0))*CHOOSE(ArtifactsInput!$N$42+1,0.6,0.72,0.84,0.96,1.08,1.2))),Inputs!$B$18+((C3530=TRUE)*(F3530-Calc!F29))+(IF(AND(Inputs!$B$39&lt;&gt;"pvp",Inputs!$B$44=0),1,IF(IF(Inputs!$B$39="pvp",15,Inputs!$B$44)-(B3546)&lt;=0,1,MAX(0,IF(Inputs!$B$39="pvp",15,Inputs!$B$44)-MAX(5,B3546))/(IF(Inputs!$B$39="pvp",15,Inputs!$B$44)-(B3546))))*IF(AND(ArtifactsInput!$M$42,((Inputs!$B$9+((C3527=TRUE)*(F3527-Calc!F26))+B3535+(ArtifactsInput!$M$24-ArtifactsInput!$M$24)*CHOOSE(ArtifactsInput!$N$24+1,10,12,14,16,18,20)+IF(ArtifactsInput!$M$10,CHOOSE(ArtifactsInput!$N$10+1,15,18,21,24,27,30)*(IF(Inputs!$B$39="pvp",MIN(15,15)/15,IF(AND(Inputs!$B$39&lt;&gt;"pvp",Inputs!$B$44&gt;0),MIN(15,Inputs!$B$44)/(Inputs!$B$44),0))),0)))&gt;=100),CHOOSE(ArtifactsInput!$N$42+1,40,48,56,64,72,80),0))))/100)*(((1+(((C3523=TRUE)*F3523*IF(AND(Inputs!$B$39&lt;&gt;"pvp",Inputs!$B$44&gt;0),(((R3523-1)*MIN((Skills!Y22*(1+Inputs!$B$34/100)),(1/Q3523))+MIN((Skills!Y22*(1+Inputs!$B$34/100)),MAX(0,Inputs!$B$44-((R3523-1)*(1/Q3523)))))/Inputs!$B$44),IF(Inputs!$B$39="pvp",MIN((Skills!Y22*(1+Inputs!$B$34/100)),15)/15,MIN(1,(Skills!Y22*(1+Inputs!$B$34/100))/(1/Q3523)))))+((C3504=TRUE)*F3504*3)+((C3506=TRUE)*F3506*(1-EXP(-0.75*B3539*5)))+((C3525=TRUE)*(F3525-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3512=TRUE)*F3512*IF(AND(Inputs!$B$39&lt;&gt;"pvp",Inputs!$B$44&gt;0),(((R3512-1)*MIN((Skills!Y11*(1+Inputs!$B$34/100)),(1/Q3512))+MIN((Skills!Y11*(1+Inputs!$B$34/100)),MAX(0,Inputs!$B$44-((R3512-1)*(1/Q3512)))))/Inputs!$B$44),IF(Inputs!$B$39="pvp",MIN((Skills!Y11*(1+Inputs!$B$34/100)),15)/15,MIN(1,(Skills!Y11*(1+Inputs!$B$34/100))/(1/Q3512)))))/100)*(1+((C3517=TRUE)*F3517*IF(AND(Inputs!$B$39&lt;&gt;"pvp",Inputs!$B$44&gt;0),(((R3517-1)*MIN((Skills!Y16*(1+Inputs!$B$34/100)),(1/Q3517))+MIN((Skills!Y16*(1+Inputs!$B$34/100)),MAX(0,Inputs!$B$44-((R3517-1)*(1/Q3517)))))/Inputs!$B$44),IF(Inputs!$B$39="pvp",MIN((Skills!Y16*(1+Inputs!$B$34/100)),15)/15,MIN(1,(Skills!Y16*(1+Inputs!$B$34/100))/(1/Q3517)))))/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3537*I3503)</f>
        <v/>
      </c>
      <c r="L3503">
        <f>K3503*(MIN(Inputs!$B$22+((C3526=TRUE)*(F3526-Calc!F25)),(Inputs!$B$23+((C3531=TRUE)*(F3531-Calc!F30))+IF(ArtifactsInput!$M$15,CHOOSE(ArtifactsInput!$N$15+1,25,30,35,40,45,50)/100*(Inputs!$B$11-Inputs!$B$11),0)))/100+(Inputs!$B$23+((C3531=TRUE)*(F3531-Calc!F30))+IF(ArtifactsInput!$M$15,CHOOSE(ArtifactsInput!$N$15+1,25,30,35,40,45,50)/100*(Inputs!$B$11-Inputs!$B$11),0))/100)/2</f>
        <v/>
      </c>
      <c r="M3503">
        <f>L3503*(1+(Inputs!$B$10+((C3528=TRUE)*(F3528-Calc!F27))+B3542+(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3503">
        <f>L3503*(1-MIN((Inputs!$B$9+((C3527=TRUE)*(F3527-Calc!F26))+B3535+(ArtifactsInput!$M$24-ArtifactsInput!$M$24)*CHOOSE(ArtifactsInput!$N$24+1,10,12,14,16,18,20)+(IF(AND(Inputs!$B$39&lt;&gt;"pvp",Inputs!$B$44=0),1,IF(IF(Inputs!$B$39="pvp",15,Inputs!$B$44)-(B3546)&lt;=0,1,MAX(0,IF(Inputs!$B$39="pvp",15,Inputs!$B$44)-MAX(5,B3546))/(IF(Inputs!$B$39="pvp",15,Inputs!$B$44)-(B3546))))*IF(AND(ArtifactsInput!$M$42,((Inputs!$B$9+((C3527=TRUE)*(F3527-Calc!F26))+B3535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3503*(MIN((Inputs!$B$9+((C3527=TRUE)*(F3527-Calc!F26))+B3535+(ArtifactsInput!$M$24-ArtifactsInput!$M$24)*CHOOSE(ArtifactsInput!$N$24+1,10,12,14,16,18,20)+(IF(AND(Inputs!$B$39&lt;&gt;"pvp",Inputs!$B$44=0),1,IF(IF(Inputs!$B$39="pvp",15,Inputs!$B$44)-(B3546)&lt;=0,1,MAX(0,IF(Inputs!$B$39="pvp",15,Inputs!$B$44)-MAX(5,B3546))/(IF(Inputs!$B$39="pvp",15,Inputs!$B$44)-(B3546))))*IF(AND(ArtifactsInput!$M$42,((Inputs!$B$9+((C3527=TRUE)*(F3527-Calc!F26))+B3535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3503">
        <f>(1-Summary!$B$11)*T3503+Summary!$B$11*V3503</f>
        <v/>
      </c>
      <c r="P3503">
        <f>IF(B3547=0,0,O3503/B3547)</f>
        <v/>
      </c>
      <c r="Q3503" t="n">
        <v>0</v>
      </c>
      <c r="R3503" t="n">
        <v>0</v>
      </c>
      <c r="S3503">
        <f>IFERROR(O3503/N3503,0)</f>
        <v/>
      </c>
      <c r="T3503">
        <f>IF(C3503,(Skills!G2*N3503*B3541)*IF(Inputs!$B$39="pvp",1,1+(Inputs!$B$20+0+Skills!P2+B3536+(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Hunt"),CHOOSE(ArtifactsInput!$N$35+1,15,18,21,24,27,30)*(1-EXP(-(0.2*B3539)*5)),0)+IF(AND(ArtifactsInput!$M$22,Inputs!$B$4&lt;&gt;"Chapter Hunt"),CHOOSE(ArtifactsInput!$N$22+1,10,12,14,16,18,20)*((0*(((0.15*B3539*5))^0/1)+1*(((0.15*B3539*5))^1/1)+2*(((0.15*B3539*5))^2/2)+3*(((0.15*B3539*5))^3/6)+4*(((0.15*B3539*5))^4/24)+5*(((0.15*B3539*5))^5/120))/((((0.15*B3539*5))^0/1)+(((0.15*B3539*5))^1/1)+(((0.15*B3539*5))^2/2)+(((0.15*B3539*5))^3/6)+(((0.15*B3539*5))^4/24)+(((0.15*B3539*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3503*(1-MIN(100,(Inputs!$B$9+((C3527=TRUE)*(F3527-Calc!F26))+B3535+(ArtifactsInput!$M$24-ArtifactsInput!$M$24)*CHOOSE(ArtifactsInput!$N$24+1,10,12,14,16,18,20)+(IF(AND(Inputs!$B$39&lt;&gt;"pvp",Inputs!$B$44=0),1,IF(IF(Inputs!$B$39="pvp",15,Inputs!$B$44)-(B3546)&lt;=0,1,MAX(0,IF(Inputs!$B$39="pvp",15,Inputs!$B$44)-MAX(5,B3546))/(IF(Inputs!$B$39="pvp",15,Inputs!$B$44)-(B3546))))*IF(AND(ArtifactsInput!$M$42,((Inputs!$B$9+((C3527=TRUE)*(F3527-Calc!F26))+B3535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3503*(MIN(100,(Inputs!$B$9+((C3527=TRUE)*(F3527-Calc!F26))+B3535+(ArtifactsInput!$M$24-ArtifactsInput!$M$24)*CHOOSE(ArtifactsInput!$N$24+1,10,12,14,16,18,20)+(IF(AND(Inputs!$B$39&lt;&gt;"pvp",Inputs!$B$44=0),1,IF(IF(Inputs!$B$39="pvp",15,Inputs!$B$44)-(B3546)&lt;=0,1,MAX(0,IF(Inputs!$B$39="pvp",15,Inputs!$B$44)-MAX(5,B3546))/(IF(Inputs!$B$39="pvp",15,Inputs!$B$44)-(B3546))))*IF(AND(ArtifactsInput!$M$42,((Inputs!$B$9+((C3527=TRUE)*(F3527-Calc!F26))+B3535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3503*(1-MIN(100,(Inputs!$B$9+((C3527=TRUE)*(F3527-Calc!F26))+B3535+(ArtifactsInput!$M$24-ArtifactsInput!$M$24)*CHOOSE(ArtifactsInput!$N$24+1,10,12,14,16,18,20)+(IF(AND(Inputs!$B$39&lt;&gt;"pvp",Inputs!$B$44=0),1,IF(IF(Inputs!$B$39="pvp",15,Inputs!$B$44)-(B3546)&lt;=0,1,MAX(0,IF(Inputs!$B$39="pvp",15,Inputs!$B$44)-MAX(5,B3546))/(IF(Inputs!$B$39="pvp",15,Inputs!$B$44)-(B3546))))*IF(AND(ArtifactsInput!$M$42,((Inputs!$B$9+((C3527=TRUE)*(F3527-Calc!F26))+B3535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3503*(MIN(100,(Inputs!$B$9+((C3527=TRUE)*(F3527-Calc!F26))+B3535+(ArtifactsInput!$M$24-ArtifactsInput!$M$24)*CHOOSE(ArtifactsInput!$N$24+1,10,12,14,16,18,20)+(IF(AND(Inputs!$B$39&lt;&gt;"pvp",Inputs!$B$44=0),1,IF(IF(Inputs!$B$39="pvp",15,Inputs!$B$44)-(B3546)&lt;=0,1,MAX(0,IF(Inputs!$B$39="pvp",15,Inputs!$B$44)-MAX(5,B3546))/(IF(Inputs!$B$39="pvp",15,Inputs!$B$44)-(B3546))))*IF(AND(ArtifactsInput!$M$42,((Inputs!$B$9+((C3527=TRUE)*(F3527-Calc!F26))+B3535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3503">
        <f>MAX(0,(Inputs!$B$3-100)*3)+Inputs!$B$28+Inputs!$B$29</f>
        <v/>
      </c>
      <c r="V3503">
        <f>IF(C3503,(Skills!G2*N3503*B3541)*IF(Inputs!$B$39="pvp",1,(1+(Inputs!$B$21+Skills!Q2+B3536+(IF(ArtifactsInput!$M$33,CHOOSE(ArtifactsInput!$N$33+1,30,36,42,48,54,60),0))+(IF(AND(ArtifactsInput!$M$35,Inputs!$B$4&lt;&gt;"Chapter Hunt"),CHOOSE(ArtifactsInput!$N$35+1,15,18,21,24,27,30)*(1-EXP(-(0.2*B3539)*5)),0)+IF(AND(ArtifactsInput!$M$22,Inputs!$B$4&lt;&gt;"Chapter Hunt"),CHOOSE(ArtifactsInput!$N$22+1,10,12,14,16,18,20)*((0*(((0.15*B3539*5))^0/1)+1*(((0.15*B3539*5))^1/1)+2*(((0.15*B3539*5))^2/2)+3*(((0.15*B3539*5))^3/6)+4*(((0.15*B3539*5))^4/24)+5*(((0.15*B3539*5))^5/120))/((((0.15*B3539*5))^0/1)+(((0.15*B3539*5))^1/1)+(((0.15*B3539*5))^2/2)+(((0.15*B3539*5))^3/6)+(((0.15*B3539*5))^4/24)+(((0.15*B3539*5))^5/120))),0)))/100)*(MIN((6+Inputs!$B$33),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3504">
      <c r="A3504">
        <f>Skills!A3</f>
        <v/>
      </c>
      <c r="B3504">
        <f>Skills!B3</f>
        <v/>
      </c>
      <c r="C3504">
        <f>Inputs!$B$3&gt;=35</f>
        <v/>
      </c>
      <c r="D3504">
        <f>IF(Skills!C3=1,60+Inputs!$B$25+Inputs!$B$29,IF(Skills!C3=2,90+Inputs!$B$26+Inputs!$B$29,IF(Skills!C3=3,120+Inputs!$B$27+Inputs!$B$29,MAX(0,(Inputs!$B$3-100)*3)+Inputs!$B$28+Inputs!$B$29)))</f>
        <v/>
      </c>
      <c r="E3504">
        <f>INDEX(FactorTable!$B$2:$Y$301, MATCH(ROUND(MIN(300,MAX(1,D3504)),0), FactorTable!$A$2:$A$301,0), Skills!M3+1)</f>
        <v/>
      </c>
      <c r="F3504">
        <f>IF(Skills!N3=TRUE,(Skills!L3/10)*(E3504/1000),Skills!L3/10)+Skills!O3</f>
        <v/>
      </c>
      <c r="G3504">
        <f>Skills!G3*IF(Skills!H3&gt;0,IF(Inputs!$B$39="pvp",MIN(Skills!I3,15),Skills!I3)/Skills!H3,1)</f>
        <v/>
      </c>
      <c r="H3504">
        <f>1-(1-Skills!J3/100)^Skills!K3</f>
        <v/>
      </c>
      <c r="I3504" t="inlineStr">
        <is>
          <t>1</t>
        </is>
      </c>
      <c r="J3504" t="inlineStr"/>
      <c r="K3504" t="inlineStr"/>
      <c r="L3504" t="inlineStr"/>
      <c r="M3504" t="inlineStr"/>
      <c r="N3504" t="inlineStr"/>
      <c r="O3504">
        <f>(1-Summary!$B$11)*T3504+Summary!$B$11*V3504</f>
        <v/>
      </c>
      <c r="P3504">
        <f>IF(B3547=0,0,O3504/B3547)</f>
        <v/>
      </c>
      <c r="Q3504" t="n">
        <v>0</v>
      </c>
      <c r="R3504" t="n">
        <v>0</v>
      </c>
      <c r="S3504">
        <f>IFERROR(O3504/N3504,0)</f>
        <v/>
      </c>
      <c r="T3504" t="n">
        <v>0</v>
      </c>
      <c r="U3504">
        <f>INDEX(FactorTable!$B$2:$Y$301, MATCH(ROUND(MIN(300,MAX(1,U3503)),0), FactorTable!$A$2:$A$301,0), 22)</f>
        <v/>
      </c>
      <c r="V3504" t="n">
        <v>0</v>
      </c>
    </row>
    <row r="3505">
      <c r="A3505">
        <f>Skills!A4</f>
        <v/>
      </c>
      <c r="B3505">
        <f>Skills!B4</f>
        <v/>
      </c>
      <c r="C3505">
        <f>Inputs!$B$3&gt;=66</f>
        <v/>
      </c>
      <c r="D3505">
        <f>IF(Skills!C4=1,60+Inputs!$B$25+Inputs!$B$29,IF(Skills!C4=2,90+Inputs!$B$26+Inputs!$B$29,IF(Skills!C4=3,120+Inputs!$B$27+Inputs!$B$29,MAX(0,(Inputs!$B$3-100)*3)+Inputs!$B$28+Inputs!$B$29)))</f>
        <v/>
      </c>
      <c r="E3505">
        <f>INDEX(FactorTable!$B$2:$Y$301, MATCH(ROUND(MIN(300,MAX(1,D3505)),0), FactorTable!$A$2:$A$301,0), Skills!M4+1)</f>
        <v/>
      </c>
      <c r="F3505">
        <f>IF(Skills!N4=TRUE,(Skills!L4/10)*(E3505/1000),Skills!L4/10)+Skills!O4</f>
        <v/>
      </c>
      <c r="G3505">
        <f>Skills!G4*IF(Skills!H4&gt;0,IF(Inputs!$B$39="pvp",MIN(Skills!I4,15),Skills!I4)/Skills!H4,1)</f>
        <v/>
      </c>
      <c r="H3505">
        <f>1-(1-Skills!J4/100)^Skills!K4</f>
        <v/>
      </c>
      <c r="I3505" t="inlineStr">
        <is>
          <t>1</t>
        </is>
      </c>
      <c r="J3505">
        <f>((Inputs!$B$6*(1+Inputs!$B$7/100))+(((Inputs!$B$12*(1+Inputs!$B$13/100))-(Inputs!$B$12*(1+Inputs!$B$13/100)))+0.25*(Inputs!$B$14-Inputs!$B$14))*(1+Inputs!$B$7/100))*(F3505/100)</f>
        <v/>
      </c>
      <c r="K3505">
        <f>J3505*(1+((Inputs!$B$12*(1+Inputs!$B$13/100))*0.01+Inputs!$B$14*0.0025)/100)*(1+Inputs!$B$15/100)*(1+Inputs!$B$16/100)*(5000/(6000+Inputs!$B$43*(1-(100*(1-(1-Inputs!$B$19/100)*(1-CHOOSE(ArtifactsInput!$N$40+1,5,6,7,8,9,10)/100)^(ArtifactsInput!$M$40-ArtifactsInput!$M$40)))/100)))*(1+(Inputs!$B$24+((C3532=TRUE)*(F3532-Calc!F31))+((C3519=TRUE)*(F3519-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4="CRUEL_STAB",Inputs!$B$17+((C3529=TRUE)*(F3529-Calc!F28))+((IF(AND(Inputs!$B$39&lt;&gt;"pvp",Inputs!$B$44=0),1,IF(IF(Inputs!$B$39="pvp",15,Inputs!$B$44)-(B3546)&lt;=0,1,MAX(0,IF(Inputs!$B$39="pvp",15,Inputs!$B$44)-MAX(5,B3546))/(IF(Inputs!$B$39="pvp",15,Inputs!$B$44)-(B3546))))*(IF(AND(ArtifactsInput!$M$42,((Inputs!$B$9+((C3527=TRUE)*(F3527-Calc!F26))+B3535+(ArtifactsInput!$M$24-ArtifactsInput!$M$24)*CHOOSE(ArtifactsInput!$N$24+1,10,12,14,16,18,20)+IF(ArtifactsInput!$M$10,CHOOSE(ArtifactsInput!$N$10+1,15,18,21,24,27,30)*(IF(Inputs!$B$39="pvp",MIN(15,15)/15,IF(AND(Inputs!$B$39&lt;&gt;"pvp",Inputs!$B$44&gt;0),MIN(15,Inputs!$B$44)/(Inputs!$B$44),0))),0)))&gt;=100),MIN(100,((Inputs!$B$9+((C3527=TRUE)*(F3527-Calc!F26))+B3535+(ArtifactsInput!$M$24-ArtifactsInput!$M$24)*CHOOSE(ArtifactsInput!$N$24+1,10,12,14,16,18,20)+IF(ArtifactsInput!$M$10,CHOOSE(ArtifactsInput!$N$10+1,15,18,21,24,27,30)*(IF(Inputs!$B$39="pvp",MIN(15,15)/15,IF(AND(Inputs!$B$39&lt;&gt;"pvp",Inputs!$B$44&gt;0),MIN(15,Inputs!$B$44)/(Inputs!$B$44),0))),0)))-100),0))*CHOOSE(ArtifactsInput!$N$42+1,0.6,0.72,0.84,0.96,1.08,1.2))),Inputs!$B$18+((C3530=TRUE)*(F3530-Calc!F29))+(IF(AND(Inputs!$B$39&lt;&gt;"pvp",Inputs!$B$44=0),1,IF(IF(Inputs!$B$39="pvp",15,Inputs!$B$44)-(B3546)&lt;=0,1,MAX(0,IF(Inputs!$B$39="pvp",15,Inputs!$B$44)-MAX(5,B3546))/(IF(Inputs!$B$39="pvp",15,Inputs!$B$44)-(B3546))))*IF(AND(ArtifactsInput!$M$42,((Inputs!$B$9+((C3527=TRUE)*(F3527-Calc!F26))+B3535+(ArtifactsInput!$M$24-ArtifactsInput!$M$24)*CHOOSE(ArtifactsInput!$N$24+1,10,12,14,16,18,20)+IF(ArtifactsInput!$M$10,CHOOSE(ArtifactsInput!$N$10+1,15,18,21,24,27,30)*(IF(Inputs!$B$39="pvp",MIN(15,15)/15,IF(AND(Inputs!$B$39&lt;&gt;"pvp",Inputs!$B$44&gt;0),MIN(15,Inputs!$B$44)/(Inputs!$B$44),0))),0)))&gt;=100),CHOOSE(ArtifactsInput!$N$42+1,40,48,56,64,72,80),0))))/100)*(((1+(((C3523=TRUE)*F3523*IF(AND(Inputs!$B$39&lt;&gt;"pvp",Inputs!$B$44&gt;0),(((R3523-1)*MIN((Skills!Y22*(1+Inputs!$B$34/100)),(1/Q3523))+MIN((Skills!Y22*(1+Inputs!$B$34/100)),MAX(0,Inputs!$B$44-((R3523-1)*(1/Q3523)))))/Inputs!$B$44),IF(Inputs!$B$39="pvp",MIN((Skills!Y22*(1+Inputs!$B$34/100)),15)/15,MIN(1,(Skills!Y22*(1+Inputs!$B$34/100))/(1/Q3523)))))+((C3504=TRUE)*F3504*3)+((C3506=TRUE)*F3506*(1-EXP(-0.75*B3539*5)))+((C3525=TRUE)*(F3525-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3512=TRUE)*F3512*IF(AND(Inputs!$B$39&lt;&gt;"pvp",Inputs!$B$44&gt;0),(((R3512-1)*MIN((Skills!Y11*(1+Inputs!$B$34/100)),(1/Q3512))+MIN((Skills!Y11*(1+Inputs!$B$34/100)),MAX(0,Inputs!$B$44-((R3512-1)*(1/Q3512)))))/Inputs!$B$44),IF(Inputs!$B$39="pvp",MIN((Skills!Y11*(1+Inputs!$B$34/100)),15)/15,MIN(1,(Skills!Y11*(1+Inputs!$B$34/100))/(1/Q3512)))))/100)*(1+((C3517=TRUE)*F3517*IF(AND(Inputs!$B$39&lt;&gt;"pvp",Inputs!$B$44&gt;0),(((R3517-1)*MIN((Skills!Y16*(1+Inputs!$B$34/100)),(1/Q3517))+MIN((Skills!Y16*(1+Inputs!$B$34/100)),MAX(0,Inputs!$B$44-((R3517-1)*(1/Q3517)))))/Inputs!$B$44),IF(Inputs!$B$39="pvp",MIN((Skills!Y16*(1+Inputs!$B$34/100)),15)/15,MIN(1,(Skills!Y16*(1+Inputs!$B$34/100))/(1/Q3517)))))/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3537*I3505)</f>
        <v/>
      </c>
      <c r="L3505">
        <f>K3505*(MIN(Inputs!$B$22+((C3526=TRUE)*(F3526-Calc!F25)),(Inputs!$B$23+((C3531=TRUE)*(F3531-Calc!F30))+IF(ArtifactsInput!$M$15,CHOOSE(ArtifactsInput!$N$15+1,25,30,35,40,45,50)/100*(Inputs!$B$11-Inputs!$B$11),0)))/100+(Inputs!$B$23+((C3531=TRUE)*(F3531-Calc!F30))+IF(ArtifactsInput!$M$15,CHOOSE(ArtifactsInput!$N$15+1,25,30,35,40,45,50)/100*(Inputs!$B$11-Inputs!$B$11),0))/100)/2</f>
        <v/>
      </c>
      <c r="M3505">
        <f>L3505*(1+(Inputs!$B$10+((C3528=TRUE)*(F3528-Calc!F27))+B3542+(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3505">
        <f>L3505*(1-MIN((Inputs!$B$9+((C3527=TRUE)*(F3527-Calc!F26))+B3535+(ArtifactsInput!$M$24-ArtifactsInput!$M$24)*CHOOSE(ArtifactsInput!$N$24+1,10,12,14,16,18,20)+(IF(AND(Inputs!$B$39&lt;&gt;"pvp",Inputs!$B$44=0),1,IF(IF(Inputs!$B$39="pvp",15,Inputs!$B$44)-(B3546)&lt;=0,1,MAX(0,IF(Inputs!$B$39="pvp",15,Inputs!$B$44)-MAX(5,B3546))/(IF(Inputs!$B$39="pvp",15,Inputs!$B$44)-(B3546))))*IF(AND(ArtifactsInput!$M$42,((Inputs!$B$9+((C3527=TRUE)*(F3527-Calc!F26))+B3535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3505*(MIN((Inputs!$B$9+((C3527=TRUE)*(F3527-Calc!F26))+B3535+(ArtifactsInput!$M$24-ArtifactsInput!$M$24)*CHOOSE(ArtifactsInput!$N$24+1,10,12,14,16,18,20)+(IF(AND(Inputs!$B$39&lt;&gt;"pvp",Inputs!$B$44=0),1,IF(IF(Inputs!$B$39="pvp",15,Inputs!$B$44)-(B3546)&lt;=0,1,MAX(0,IF(Inputs!$B$39="pvp",15,Inputs!$B$44)-MAX(5,B3546))/(IF(Inputs!$B$39="pvp",15,Inputs!$B$44)-(B3546))))*IF(AND(ArtifactsInput!$M$42,((Inputs!$B$9+((C3527=TRUE)*(F3527-Calc!F26))+B3535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3505">
        <f>(1-Summary!$B$11)*T3505+Summary!$B$11*V3505</f>
        <v/>
      </c>
      <c r="P3505">
        <f>IF(B3547=0,0,O3505/B3547)</f>
        <v/>
      </c>
      <c r="Q3505">
        <f>IFERROR(1/IF(Inputs!$B$39="pvp",15,MAX(0.1,Skills!D4-IF(TRUE=TRUE,2.5,0))),0)</f>
        <v/>
      </c>
      <c r="R3505">
        <f>IF(AND(Inputs!$B$39&lt;&gt;"pvp",Inputs!$B$44&gt;0),IF(MAX(0,Inputs!$B$44-B3546)&lt;=0,0,(INT(MAX(0,Inputs!$B$44-B3546)/IF(Inputs!$B$39="pvp",15,MAX(0.1,Skills!D4-IF(TRUE=TRUE,2.5,0))))+1)),0)</f>
        <v/>
      </c>
      <c r="S3505">
        <f>IFERROR(O3505/N3505,0)</f>
        <v/>
      </c>
      <c r="T3505">
        <f>IF(C3505,(H3505*N3505*IF(AND(Inputs!$B$39&lt;&gt;"pvp",Inputs!$B$44&gt;0),((Skills!G4*((R3505-1)*IF(Skills!H4&gt;0,Skills!I4/Skills!H4,1)+IF(Skills!H4&gt;0,MIN(Skills!I4,MAX(0,MAX(0,Inputs!$B$44-B3546)-((R3505-1)*IF(Inputs!$B$39="pvp",15,MAX(0.1,Skills!D4-IF(TRUE=TRUE,2.5,0))))))/Skills!H4,1)))/Inputs!$B$44),G3505*Q3505))*IF(Inputs!$B$39="pvp",1,1+(Inputs!$B$20+0+Skills!P4+B3536+(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Hunt"),CHOOSE(ArtifactsInput!$N$35+1,15,18,21,24,27,30)*(1-EXP(-(0.2*B3539)*5)),0)+IF(AND(ArtifactsInput!$M$22,Inputs!$B$4&lt;&gt;"Chapter Hunt"),CHOOSE(ArtifactsInput!$N$22+1,10,12,14,16,18,20)*((0*(((0.15*B3539*5))^0/1)+1*(((0.15*B3539*5))^1/1)+2*(((0.15*B3539*5))^2/2)+3*(((0.15*B3539*5))^3/6)+4*(((0.15*B3539*5))^4/24)+5*(((0.15*B3539*5))^5/120))/((((0.15*B3539*5))^0/1)+(((0.15*B3539*5))^1/1)+(((0.15*B3539*5))^2/2)+(((0.15*B3539*5))^3/6)+(((0.15*B3539*5))^4/24)+(((0.15*B3539*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3505*(1-MIN(100,(Inputs!$B$9+((C3527=TRUE)*(F3527-Calc!F26))+B3535+(ArtifactsInput!$M$24-ArtifactsInput!$M$24)*CHOOSE(ArtifactsInput!$N$24+1,10,12,14,16,18,20)+(IF(AND(Inputs!$B$39&lt;&gt;"pvp",Inputs!$B$44=0),1,IF(IF(Inputs!$B$39="pvp",15,Inputs!$B$44)-(B3546)&lt;=0,1,MAX(0,IF(Inputs!$B$39="pvp",15,Inputs!$B$44)-MAX(5,B3546))/(IF(Inputs!$B$39="pvp",15,Inputs!$B$44)-(B3546))))*IF(AND(ArtifactsInput!$M$42,((Inputs!$B$9+((C3527=TRUE)*(F3527-Calc!F26))+B3535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3505*(MIN(100,(Inputs!$B$9+((C3527=TRUE)*(F3527-Calc!F26))+B3535+(ArtifactsInput!$M$24-ArtifactsInput!$M$24)*CHOOSE(ArtifactsInput!$N$24+1,10,12,14,16,18,20)+(IF(AND(Inputs!$B$39&lt;&gt;"pvp",Inputs!$B$44=0),1,IF(IF(Inputs!$B$39="pvp",15,Inputs!$B$44)-(B3546)&lt;=0,1,MAX(0,IF(Inputs!$B$39="pvp",15,Inputs!$B$44)-MAX(5,B3546))/(IF(Inputs!$B$39="pvp",15,Inputs!$B$44)-(B3546))))*IF(AND(ArtifactsInput!$M$42,((Inputs!$B$9+((C3527=TRUE)*(F3527-Calc!F26))+B3535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3505*(1-MIN(100,(Inputs!$B$9+((C3527=TRUE)*(F3527-Calc!F26))+B3535+(ArtifactsInput!$M$24-ArtifactsInput!$M$24)*CHOOSE(ArtifactsInput!$N$24+1,10,12,14,16,18,20)+(IF(AND(Inputs!$B$39&lt;&gt;"pvp",Inputs!$B$44=0),1,IF(IF(Inputs!$B$39="pvp",15,Inputs!$B$44)-(B3546)&lt;=0,1,MAX(0,IF(Inputs!$B$39="pvp",15,Inputs!$B$44)-MAX(5,B3546))/(IF(Inputs!$B$39="pvp",15,Inputs!$B$44)-(B3546))))*IF(AND(ArtifactsInput!$M$42,((Inputs!$B$9+((C3527=TRUE)*(F3527-Calc!F26))+B3535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3505*(MIN(100,(Inputs!$B$9+((C3527=TRUE)*(F3527-Calc!F26))+B3535+(ArtifactsInput!$M$24-ArtifactsInput!$M$24)*CHOOSE(ArtifactsInput!$N$24+1,10,12,14,16,18,20)+(IF(AND(Inputs!$B$39&lt;&gt;"pvp",Inputs!$B$44=0),1,IF(IF(Inputs!$B$39="pvp",15,Inputs!$B$44)-(B3546)&lt;=0,1,MAX(0,IF(Inputs!$B$39="pvp",15,Inputs!$B$44)-MAX(5,B3546))/(IF(Inputs!$B$39="pvp",15,Inputs!$B$44)-(B3546))))*IF(AND(ArtifactsInput!$M$42,((Inputs!$B$9+((C3527=TRUE)*(F3527-Calc!F26))+B3535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3505">
        <f>290*U3504/1000</f>
        <v/>
      </c>
      <c r="V3505">
        <f>IF(C3505,(H3505*N3505*IF(AND(Inputs!$B$39&lt;&gt;"pvp",Inputs!$B$44&gt;0),((Skills!G4*((R3505-1)*IF(Skills!H4&gt;0,Skills!I4/Skills!H4,1)+IF(Skills!H4&gt;0,MIN(Skills!I4,MAX(0,MAX(0,Inputs!$B$44-B3546)-((R3505-1)*IF(Inputs!$B$39="pvp",15,MAX(0.1,Skills!D4-IF(TRUE=TRUE,2.5,0))))))/Skills!H4,1)))/Inputs!$B$44),G3505*Q3505))*IF(Inputs!$B$39="pvp",1,(1+(Inputs!$B$21+Skills!Q4+B3536+(IF(ArtifactsInput!$M$33,CHOOSE(ArtifactsInput!$N$33+1,30,36,42,48,54,60),0))+(IF(AND(ArtifactsInput!$M$35,Inputs!$B$4&lt;&gt;"Chapter Hunt"),CHOOSE(ArtifactsInput!$N$35+1,15,18,21,24,27,30)*(1-EXP(-(0.2*B3539)*5)),0)+IF(AND(ArtifactsInput!$M$22,Inputs!$B$4&lt;&gt;"Chapter Hunt"),CHOOSE(ArtifactsInput!$N$22+1,10,12,14,16,18,20)*((0*(((0.15*B3539*5))^0/1)+1*(((0.15*B3539*5))^1/1)+2*(((0.15*B3539*5))^2/2)+3*(((0.15*B3539*5))^3/6)+4*(((0.15*B3539*5))^4/24)+5*(((0.15*B3539*5))^5/120))/((((0.15*B3539*5))^0/1)+(((0.15*B3539*5))^1/1)+(((0.15*B3539*5))^2/2)+(((0.15*B3539*5))^3/6)+(((0.15*B3539*5))^4/24)+(((0.15*B3539*5))^5/120))),0)))/100)*(MIN(MIN(10,IF(Inputs!$B$3&gt;=75,0.75,0.5)*B3539*(1/Q3505)),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3506">
      <c r="A3506">
        <f>Skills!A5</f>
        <v/>
      </c>
      <c r="B3506">
        <f>Skills!B5</f>
        <v/>
      </c>
      <c r="C3506">
        <f>Inputs!$B$3&gt;=75</f>
        <v/>
      </c>
      <c r="D3506">
        <f>IF(Skills!C5=1,60+Inputs!$B$25+Inputs!$B$29,IF(Skills!C5=2,90+Inputs!$B$26+Inputs!$B$29,IF(Skills!C5=3,120+Inputs!$B$27+Inputs!$B$29,MAX(0,(Inputs!$B$3-100)*3)+Inputs!$B$28+Inputs!$B$29)))</f>
        <v/>
      </c>
      <c r="E3506">
        <f>INDEX(FactorTable!$B$2:$Y$301, MATCH(ROUND(MIN(300,MAX(1,D3506)),0), FactorTable!$A$2:$A$301,0), Skills!M5+1)</f>
        <v/>
      </c>
      <c r="F3506">
        <f>IF(Skills!N5=TRUE,(Skills!L5/10)*(E3506/1000),Skills!L5/10)+Skills!O5</f>
        <v/>
      </c>
      <c r="G3506">
        <f>Skills!G5*IF(Skills!H5&gt;0,IF(Inputs!$B$39="pvp",MIN(Skills!I5,15),Skills!I5)/Skills!H5,1)</f>
        <v/>
      </c>
      <c r="H3506">
        <f>1-(1-Skills!J5/100)^Skills!K5</f>
        <v/>
      </c>
      <c r="I3506" t="inlineStr">
        <is>
          <t>1</t>
        </is>
      </c>
      <c r="J3506" t="inlineStr"/>
      <c r="K3506" t="inlineStr"/>
      <c r="L3506" t="inlineStr"/>
      <c r="M3506" t="inlineStr"/>
      <c r="N3506" t="inlineStr"/>
      <c r="O3506">
        <f>(1-Summary!$B$11)*T3506+Summary!$B$11*V3506</f>
        <v/>
      </c>
      <c r="P3506">
        <f>IF(B3547=0,0,O3506/B3547)</f>
        <v/>
      </c>
      <c r="Q3506" t="n">
        <v>0</v>
      </c>
      <c r="R3506" t="n">
        <v>0</v>
      </c>
      <c r="S3506">
        <f>IFERROR(O3506/N3506,0)</f>
        <v/>
      </c>
      <c r="T3506" t="n">
        <v>0</v>
      </c>
      <c r="V3506" t="n">
        <v>0</v>
      </c>
    </row>
    <row r="3507">
      <c r="A3507">
        <f>Skills!A6</f>
        <v/>
      </c>
      <c r="B3507">
        <f>Skills!B6</f>
        <v/>
      </c>
      <c r="C3507">
        <f>Inputs!$B$3&gt;=63</f>
        <v/>
      </c>
      <c r="D3507">
        <f>IF(Skills!C6=1,60+Inputs!$B$25+Inputs!$B$29,IF(Skills!C6=2,90+Inputs!$B$26+Inputs!$B$29,IF(Skills!C6=3,120+Inputs!$B$27+Inputs!$B$29,MAX(0,(Inputs!$B$3-100)*3)+Inputs!$B$28+Inputs!$B$29)))</f>
        <v/>
      </c>
      <c r="E3507">
        <f>INDEX(FactorTable!$B$2:$Y$301, MATCH(ROUND(MIN(300,MAX(1,D3507)),0), FactorTable!$A$2:$A$301,0), Skills!M6+1)</f>
        <v/>
      </c>
      <c r="F3507">
        <f>IF(Skills!N6=TRUE,(Skills!L6/10)*(E3507/1000),Skills!L6/10)+Skills!O6</f>
        <v/>
      </c>
      <c r="G3507">
        <f>Skills!G6*IF(Skills!H6&gt;0,IF(Inputs!$B$39="pvp",MIN(Skills!I6,15),Skills!I6)/Skills!H6,1)</f>
        <v/>
      </c>
      <c r="H3507">
        <f>1-(1-Skills!J6/100)^Skills!K6</f>
        <v/>
      </c>
      <c r="I3507" t="inlineStr">
        <is>
          <t>1</t>
        </is>
      </c>
      <c r="J3507">
        <f>((Inputs!$B$6*(1+Inputs!$B$7/100))+(((Inputs!$B$12*(1+Inputs!$B$13/100))-(Inputs!$B$12*(1+Inputs!$B$13/100)))+0.25*(Inputs!$B$14-Inputs!$B$14))*(1+Inputs!$B$7/100))*(F3507/100)</f>
        <v/>
      </c>
      <c r="K3507">
        <f>J3507*(1+((Inputs!$B$12*(1+Inputs!$B$13/100))*0.01+Inputs!$B$14*0.0025)/100)*(1+Inputs!$B$15/100)*(1+Inputs!$B$16/100)*(5000/(6000+Inputs!$B$43*(1-(100*(1-(1-Inputs!$B$19/100)*(1-CHOOSE(ArtifactsInput!$N$40+1,5,6,7,8,9,10)/100)^(ArtifactsInput!$M$40-ArtifactsInput!$M$40)))/100)))*(1+(Inputs!$B$24+((C3532=TRUE)*(F3532-Calc!F31))+((C3519=TRUE)*(F3519-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+2.6666666666666665*IF(C3520=TRUE,F3520,0)/100)*(1+(IF(Skills!A6="CRUEL_STAB",Inputs!$B$17+((C3529=TRUE)*(F3529-Calc!F28))+((IF(AND(Inputs!$B$39&lt;&gt;"pvp",Inputs!$B$44=0),1,IF(IF(Inputs!$B$39="pvp",15,Inputs!$B$44)-(B3546)&lt;=0,1,MAX(0,IF(Inputs!$B$39="pvp",15,Inputs!$B$44)-MAX(5,B3546))/(IF(Inputs!$B$39="pvp",15,Inputs!$B$44)-(B3546))))*(IF(AND(ArtifactsInput!$M$42,((Inputs!$B$9+((C3527=TRUE)*(F3527-Calc!F26))+B3535+(ArtifactsInput!$M$24-ArtifactsInput!$M$24)*CHOOSE(ArtifactsInput!$N$24+1,10,12,14,16,18,20)+IF(ArtifactsInput!$M$10,CHOOSE(ArtifactsInput!$N$10+1,15,18,21,24,27,30)*(IF(Inputs!$B$39="pvp",MIN(15,15)/15,IF(AND(Inputs!$B$39&lt;&gt;"pvp",Inputs!$B$44&gt;0),MIN(15,Inputs!$B$44)/(Inputs!$B$44),0))),0)))&gt;=100),MIN(100,((Inputs!$B$9+((C3527=TRUE)*(F3527-Calc!F26))+B3535+(ArtifactsInput!$M$24-ArtifactsInput!$M$24)*CHOOSE(ArtifactsInput!$N$24+1,10,12,14,16,18,20)+IF(ArtifactsInput!$M$10,CHOOSE(ArtifactsInput!$N$10+1,15,18,21,24,27,30)*(IF(Inputs!$B$39="pvp",MIN(15,15)/15,IF(AND(Inputs!$B$39&lt;&gt;"pvp",Inputs!$B$44&gt;0),MIN(15,Inputs!$B$44)/(Inputs!$B$44),0))),0)))-100),0))*CHOOSE(ArtifactsInput!$N$42+1,0.6,0.72,0.84,0.96,1.08,1.2))),Inputs!$B$18+((C3530=TRUE)*(F3530-Calc!F29))+(IF(AND(Inputs!$B$39&lt;&gt;"pvp",Inputs!$B$44=0),1,IF(IF(Inputs!$B$39="pvp",15,Inputs!$B$44)-(B3546)&lt;=0,1,MAX(0,IF(Inputs!$B$39="pvp",15,Inputs!$B$44)-MAX(5,B3546))/(IF(Inputs!$B$39="pvp",15,Inputs!$B$44)-(B3546))))*IF(AND(ArtifactsInput!$M$42,((Inputs!$B$9+((C3527=TRUE)*(F3527-Calc!F26))+B3535+(ArtifactsInput!$M$24-ArtifactsInput!$M$24)*CHOOSE(ArtifactsInput!$N$24+1,10,12,14,16,18,20)+IF(ArtifactsInput!$M$10,CHOOSE(ArtifactsInput!$N$10+1,15,18,21,24,27,30)*(IF(Inputs!$B$39="pvp",MIN(15,15)/15,IF(AND(Inputs!$B$39&lt;&gt;"pvp",Inputs!$B$44&gt;0),MIN(15,Inputs!$B$44)/(Inputs!$B$44),0))),0)))&gt;=100),CHOOSE(ArtifactsInput!$N$42+1,40,48,56,64,72,80),0))))/100)*(((1+(((C3523=TRUE)*F3523*IF(AND(Inputs!$B$39&lt;&gt;"pvp",Inputs!$B$44&gt;0),(((R3523-1)*MIN((Skills!Y22*(1+Inputs!$B$34/100)),(1/Q3523))+MIN((Skills!Y22*(1+Inputs!$B$34/100)),MAX(0,Inputs!$B$44-((R3523-1)*(1/Q3523)))))/Inputs!$B$44),IF(Inputs!$B$39="pvp",MIN((Skills!Y22*(1+Inputs!$B$34/100)),15)/15,MIN(1,(Skills!Y22*(1+Inputs!$B$34/100))/(1/Q3523)))))+((C3504=TRUE)*F3504*3)+((C3506=TRUE)*F3506*(1-EXP(-0.75*B3539*5)))+((C3525=TRUE)*(F3525-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3512=TRUE)*F3512*IF(AND(Inputs!$B$39&lt;&gt;"pvp",Inputs!$B$44&gt;0),(((R3512-1)*MIN((Skills!Y11*(1+Inputs!$B$34/100)),(1/Q3512))+MIN((Skills!Y11*(1+Inputs!$B$34/100)),MAX(0,Inputs!$B$44-((R3512-1)*(1/Q3512)))))/Inputs!$B$44),IF(Inputs!$B$39="pvp",MIN((Skills!Y11*(1+Inputs!$B$34/100)),15)/15,MIN(1,(Skills!Y11*(1+Inputs!$B$34/100))/(1/Q3512)))))/100)*(1+((C3517=TRUE)*F3517*IF(AND(Inputs!$B$39&lt;&gt;"pvp",Inputs!$B$44&gt;0),(((R3517-1)*MIN((Skills!Y16*(1+Inputs!$B$34/100)),(1/Q3517))+MIN((Skills!Y16*(1+Inputs!$B$34/100)),MAX(0,Inputs!$B$44-((R3517-1)*(1/Q3517)))))/Inputs!$B$44),IF(Inputs!$B$39="pvp",MIN((Skills!Y16*(1+Inputs!$B$34/100)),15)/15,MIN(1,(Skills!Y16*(1+Inputs!$B$34/100))/(1/Q3517)))))/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3537*I3507)</f>
        <v/>
      </c>
      <c r="L3507">
        <f>K3507*(MIN(Inputs!$B$22+((C3526=TRUE)*(F3526-Calc!F25)),(Inputs!$B$23+((C3531=TRUE)*(F3531-Calc!F30))+IF(ArtifactsInput!$M$15,CHOOSE(ArtifactsInput!$N$15+1,25,30,35,40,45,50)/100*(Inputs!$B$11-Inputs!$B$11),0)))/100+(Inputs!$B$23+((C3531=TRUE)*(F3531-Calc!F30))+IF(ArtifactsInput!$M$15,CHOOSE(ArtifactsInput!$N$15+1,25,30,35,40,45,50)/100*(Inputs!$B$11-Inputs!$B$11),0))/100)/2</f>
        <v/>
      </c>
      <c r="M3507">
        <f>L3507*(1+(Inputs!$B$10+((C3528=TRUE)*(F3528-Calc!F27))+B3542+(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3507">
        <f>L3507*(1-MIN((Inputs!$B$9+((C3527=TRUE)*(F3527-Calc!F26))+B3535+(ArtifactsInput!$M$24-ArtifactsInput!$M$24)*CHOOSE(ArtifactsInput!$N$24+1,10,12,14,16,18,20)+(IF(AND(Inputs!$B$39&lt;&gt;"pvp",Inputs!$B$44=0),1,IF(IF(Inputs!$B$39="pvp",15,Inputs!$B$44)-(B3546)&lt;=0,1,MAX(0,IF(Inputs!$B$39="pvp",15,Inputs!$B$44)-MAX(5,B3546))/(IF(Inputs!$B$39="pvp",15,Inputs!$B$44)-(B3546))))*IF(AND(ArtifactsInput!$M$42,((Inputs!$B$9+((C3527=TRUE)*(F3527-Calc!F26))+B3535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3507*(MIN((Inputs!$B$9+((C3527=TRUE)*(F3527-Calc!F26))+B3535+(ArtifactsInput!$M$24-ArtifactsInput!$M$24)*CHOOSE(ArtifactsInput!$N$24+1,10,12,14,16,18,20)+(IF(AND(Inputs!$B$39&lt;&gt;"pvp",Inputs!$B$44=0),1,IF(IF(Inputs!$B$39="pvp",15,Inputs!$B$44)-(B3546)&lt;=0,1,MAX(0,IF(Inputs!$B$39="pvp",15,Inputs!$B$44)-MAX(5,B3546))/(IF(Inputs!$B$39="pvp",15,Inputs!$B$44)-(B3546))))*IF(AND(ArtifactsInput!$M$42,((Inputs!$B$9+((C3527=TRUE)*(F3527-Calc!F26))+B3535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3507">
        <f>(1-Summary!$B$11)*T3507+Summary!$B$11*V3507</f>
        <v/>
      </c>
      <c r="P3507">
        <f>IF(B3547=0,0,O3507/B3547)</f>
        <v/>
      </c>
      <c r="Q3507">
        <f>IFERROR(1/IF(Inputs!$B$39="pvp",15,MAX(0.1,Skills!D6-IF(TRUE=TRUE,2.5,0))),0)</f>
        <v/>
      </c>
      <c r="R3507">
        <f>IF(AND(Inputs!$B$39&lt;&gt;"pvp",Inputs!$B$44&gt;0),IF(MAX(0,Inputs!$B$44-B3546)&lt;=0,0,(INT(MAX(0,Inputs!$B$44-B3546)/IF(Inputs!$B$39="pvp",15,MAX(0.1,Skills!D6-IF(TRUE=TRUE,2.5,0))))+1)),0)</f>
        <v/>
      </c>
      <c r="S3507">
        <f>IFERROR(O3507/N3507,0)</f>
        <v/>
      </c>
      <c r="T3507">
        <f>IF(C3507,(H3507*N3507*IF(AND(Inputs!$B$39&lt;&gt;"pvp",Inputs!$B$44&gt;0),((Skills!G6*((R3507-1)*IF(Skills!H6&gt;0,Skills!I6/Skills!H6,1)+IF(Skills!H6&gt;0,MIN(Skills!I6,MAX(0,MAX(0,Inputs!$B$44-B3546)-((R3507-1)*IF(Inputs!$B$39="pvp",15,MAX(0.1,Skills!D6-IF(TRUE=TRUE,2.5,0))))))/Skills!H6,1)))/Inputs!$B$44),G3507*Q3507))*IF(Inputs!$B$39="pvp",1,1+(Inputs!$B$20+0+Skills!P6+B3536+(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Hunt"),CHOOSE(ArtifactsInput!$N$35+1,15,18,21,24,27,30)*(1-EXP(-(0.2*B3539)*5)),0)+IF(AND(ArtifactsInput!$M$22,Inputs!$B$4&lt;&gt;"Chapter Hunt"),CHOOSE(ArtifactsInput!$N$22+1,10,12,14,16,18,20)*((0*(((0.15*B3539*5))^0/1)+1*(((0.15*B3539*5))^1/1)+2*(((0.15*B3539*5))^2/2)+3*(((0.15*B3539*5))^3/6)+4*(((0.15*B3539*5))^4/24)+5*(((0.15*B3539*5))^5/120))/((((0.15*B3539*5))^0/1)+(((0.15*B3539*5))^1/1)+(((0.15*B3539*5))^2/2)+(((0.15*B3539*5))^3/6)+(((0.15*B3539*5))^4/24)+(((0.15*B3539*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3507*(1-MIN(100,(Inputs!$B$9+((C3527=TRUE)*(F3527-Calc!F26))+B3535+(ArtifactsInput!$M$24-ArtifactsInput!$M$24)*CHOOSE(ArtifactsInput!$N$24+1,10,12,14,16,18,20)+(IF(AND(Inputs!$B$39&lt;&gt;"pvp",Inputs!$B$44=0),1,IF(IF(Inputs!$B$39="pvp",15,Inputs!$B$44)-(B3546)&lt;=0,1,MAX(0,IF(Inputs!$B$39="pvp",15,Inputs!$B$44)-MAX(5,B3546))/(IF(Inputs!$B$39="pvp",15,Inputs!$B$44)-(B3546))))*IF(AND(ArtifactsInput!$M$42,((Inputs!$B$9+((C3527=TRUE)*(F3527-Calc!F26))+B3535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3507*(MIN(100,(Inputs!$B$9+((C3527=TRUE)*(F3527-Calc!F26))+B3535+(ArtifactsInput!$M$24-ArtifactsInput!$M$24)*CHOOSE(ArtifactsInput!$N$24+1,10,12,14,16,18,20)+(IF(AND(Inputs!$B$39&lt;&gt;"pvp",Inputs!$B$44=0),1,IF(IF(Inputs!$B$39="pvp",15,Inputs!$B$44)-(B3546)&lt;=0,1,MAX(0,IF(Inputs!$B$39="pvp",15,Inputs!$B$44)-MAX(5,B3546))/(IF(Inputs!$B$39="pvp",15,Inputs!$B$44)-(B3546))))*IF(AND(ArtifactsInput!$M$42,((Inputs!$B$9+((C3527=TRUE)*(F3527-Calc!F26))+B3535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3507*(1-MIN(100,(Inputs!$B$9+((C3527=TRUE)*(F3527-Calc!F26))+B3535+(ArtifactsInput!$M$24-ArtifactsInput!$M$24)*CHOOSE(ArtifactsInput!$N$24+1,10,12,14,16,18,20)+(IF(AND(Inputs!$B$39&lt;&gt;"pvp",Inputs!$B$44=0),1,IF(IF(Inputs!$B$39="pvp",15,Inputs!$B$44)-(B3546)&lt;=0,1,MAX(0,IF(Inputs!$B$39="pvp",15,Inputs!$B$44)-MAX(5,B3546))/(IF(Inputs!$B$39="pvp",15,Inputs!$B$44)-(B3546))))*IF(AND(ArtifactsInput!$M$42,((Inputs!$B$9+((C3527=TRUE)*(F3527-Calc!F26))+B3535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3507*(MIN(100,(Inputs!$B$9+((C3527=TRUE)*(F3527-Calc!F26))+B3535+(ArtifactsInput!$M$24-ArtifactsInput!$M$24)*CHOOSE(ArtifactsInput!$N$24+1,10,12,14,16,18,20)+(IF(AND(Inputs!$B$39&lt;&gt;"pvp",Inputs!$B$44=0),1,IF(IF(Inputs!$B$39="pvp",15,Inputs!$B$44)-(B3546)&lt;=0,1,MAX(0,IF(Inputs!$B$39="pvp",15,Inputs!$B$44)-MAX(5,B3546))/(IF(Inputs!$B$39="pvp",15,Inputs!$B$44)-(B3546))))*IF(AND(ArtifactsInput!$M$42,((Inputs!$B$9+((C3527=TRUE)*(F3527-Calc!F26))+B3535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3507">
        <f>IF(C3507,(H3507*N3507*IF(AND(Inputs!$B$39&lt;&gt;"pvp",Inputs!$B$44&gt;0),((Skills!G6*((R3507-1)*IF(Skills!H6&gt;0,Skills!I6/Skills!H6,1)+IF(Skills!H6&gt;0,MIN(Skills!I6,MAX(0,MAX(0,Inputs!$B$44-B3546)-((R3507-1)*IF(Inputs!$B$39="pvp",15,MAX(0.1,Skills!D6-IF(TRUE=TRUE,2.5,0))))))/Skills!H6,1)))/Inputs!$B$44),G3507*Q3507))*IF(Inputs!$B$39="pvp",1,(1+(Inputs!$B$21+Skills!Q6+B3536+(IF(ArtifactsInput!$M$33,CHOOSE(ArtifactsInput!$N$33+1,30,36,42,48,54,60),0))+(IF(AND(ArtifactsInput!$M$35,Inputs!$B$4&lt;&gt;"Chapter Hunt"),CHOOSE(ArtifactsInput!$N$35+1,15,18,21,24,27,30)*(1-EXP(-(0.2*B3539)*5)),0)+IF(AND(ArtifactsInput!$M$22,Inputs!$B$4&lt;&gt;"Chapter Hunt"),CHOOSE(ArtifactsInput!$N$22+1,10,12,14,16,18,20)*((0*(((0.15*B3539*5))^0/1)+1*(((0.15*B3539*5))^1/1)+2*(((0.15*B3539*5))^2/2)+3*(((0.15*B3539*5))^3/6)+4*(((0.15*B3539*5))^4/24)+5*(((0.15*B3539*5))^5/120))/((((0.15*B3539*5))^0/1)+(((0.15*B3539*5))^1/1)+(((0.15*B3539*5))^2/2)+(((0.15*B3539*5))^3/6)+(((0.15*B3539*5))^4/24)+(((0.15*B3539*5))^5/120))),0)))/100)*(MIN(Skills!W6,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3508">
      <c r="A3508">
        <f>Skills!A7</f>
        <v/>
      </c>
      <c r="B3508">
        <f>Skills!B7</f>
        <v/>
      </c>
      <c r="C3508">
        <f>Inputs!$B$3&gt;=69</f>
        <v/>
      </c>
      <c r="D3508">
        <f>IF(Skills!C7=1,60+Inputs!$B$25+Inputs!$B$29,IF(Skills!C7=2,90+Inputs!$B$26+Inputs!$B$29,IF(Skills!C7=3,120+Inputs!$B$27+Inputs!$B$29,MAX(0,(Inputs!$B$3-100)*3)+Inputs!$B$28+Inputs!$B$29)))</f>
        <v/>
      </c>
      <c r="E3508">
        <f>INDEX(FactorTable!$B$2:$Y$301, MATCH(ROUND(MIN(300,MAX(1,D3508)),0), FactorTable!$A$2:$A$301,0), Skills!M7+1)</f>
        <v/>
      </c>
      <c r="F3508">
        <f>IF(Skills!N7=TRUE,(Skills!L7/10)*(E3508/1000),Skills!L7/10)+Skills!O7</f>
        <v/>
      </c>
      <c r="G3508">
        <f>Skills!G7*IF(Skills!H7&gt;0,IF(Inputs!$B$39="pvp",MIN(Skills!I7,15),Skills!I7)/Skills!H7,1)</f>
        <v/>
      </c>
      <c r="H3508">
        <f>1-(1-Skills!J7/100)^Skills!K7</f>
        <v/>
      </c>
      <c r="I3508" t="inlineStr">
        <is>
          <t>1</t>
        </is>
      </c>
      <c r="J3508">
        <f>((Inputs!$B$6*(1+Inputs!$B$7/100))+(((Inputs!$B$12*(1+Inputs!$B$13/100))-(Inputs!$B$12*(1+Inputs!$B$13/100)))+0.25*(Inputs!$B$14-Inputs!$B$14))*(1+Inputs!$B$7/100))*(F3508/100)</f>
        <v/>
      </c>
      <c r="K3508">
        <f>J3508*(1+((Inputs!$B$12*(1+Inputs!$B$13/100))*0.01+Inputs!$B$14*0.0025)/100)*(1+Inputs!$B$15/100)*(1+Inputs!$B$16/100)*(5000/(6000+Inputs!$B$43*(1-(100*(1-(1-Inputs!$B$19/100)*(1-CHOOSE(ArtifactsInput!$N$40+1,5,6,7,8,9,10)/100)^(ArtifactsInput!$M$40-ArtifactsInput!$M$40)))/100)))*(1+(Inputs!$B$24+((C3532=TRUE)*(F3532-Calc!F31))+((C3519=TRUE)*(F3519-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3520=TRUE,F3520,0)/100)*(1+(IF(Skills!A7="CRUEL_STAB",Inputs!$B$17+((C3529=TRUE)*(F3529-Calc!F28))+((IF(AND(Inputs!$B$39&lt;&gt;"pvp",Inputs!$B$44=0),1,IF(IF(Inputs!$B$39="pvp",15,Inputs!$B$44)-(B3546)&lt;=0,1,MAX(0,IF(Inputs!$B$39="pvp",15,Inputs!$B$44)-MAX(5,B3546))/(IF(Inputs!$B$39="pvp",15,Inputs!$B$44)-(B3546))))*(IF(AND(ArtifactsInput!$M$42,((Inputs!$B$9+((C3527=TRUE)*(F3527-Calc!F26))+B3535+(ArtifactsInput!$M$24-ArtifactsInput!$M$24)*CHOOSE(ArtifactsInput!$N$24+1,10,12,14,16,18,20)+IF(ArtifactsInput!$M$10,CHOOSE(ArtifactsInput!$N$10+1,15,18,21,24,27,30)*(IF(Inputs!$B$39="pvp",MIN(15,15)/15,IF(AND(Inputs!$B$39&lt;&gt;"pvp",Inputs!$B$44&gt;0),MIN(15,Inputs!$B$44)/(Inputs!$B$44),0))),0)))&gt;=100),MIN(100,((Inputs!$B$9+((C3527=TRUE)*(F3527-Calc!F26))+B3535+(ArtifactsInput!$M$24-ArtifactsInput!$M$24)*CHOOSE(ArtifactsInput!$N$24+1,10,12,14,16,18,20)+IF(ArtifactsInput!$M$10,CHOOSE(ArtifactsInput!$N$10+1,15,18,21,24,27,30)*(IF(Inputs!$B$39="pvp",MIN(15,15)/15,IF(AND(Inputs!$B$39&lt;&gt;"pvp",Inputs!$B$44&gt;0),MIN(15,Inputs!$B$44)/(Inputs!$B$44),0))),0)))-100),0))*CHOOSE(ArtifactsInput!$N$42+1,0.6,0.72,0.84,0.96,1.08,1.2))),Inputs!$B$18+((C3530=TRUE)*(F3530-Calc!F29))+(IF(AND(Inputs!$B$39&lt;&gt;"pvp",Inputs!$B$44=0),1,IF(IF(Inputs!$B$39="pvp",15,Inputs!$B$44)-(B3546)&lt;=0,1,MAX(0,IF(Inputs!$B$39="pvp",15,Inputs!$B$44)-MAX(5,B3546))/(IF(Inputs!$B$39="pvp",15,Inputs!$B$44)-(B3546))))*IF(AND(ArtifactsInput!$M$42,((Inputs!$B$9+((C3527=TRUE)*(F3527-Calc!F26))+B3535+(ArtifactsInput!$M$24-ArtifactsInput!$M$24)*CHOOSE(ArtifactsInput!$N$24+1,10,12,14,16,18,20)+IF(ArtifactsInput!$M$10,CHOOSE(ArtifactsInput!$N$10+1,15,18,21,24,27,30)*(IF(Inputs!$B$39="pvp",MIN(15,15)/15,IF(AND(Inputs!$B$39&lt;&gt;"pvp",Inputs!$B$44&gt;0),MIN(15,Inputs!$B$44)/(Inputs!$B$44),0))),0)))&gt;=100),CHOOSE(ArtifactsInput!$N$42+1,40,48,56,64,72,80),0))))/100)*(((1+(((C3523=TRUE)*F3523*IF(AND(Inputs!$B$39&lt;&gt;"pvp",Inputs!$B$44&gt;0),(((R3523-1)*MIN((Skills!Y22*(1+Inputs!$B$34/100)),(1/Q3523))+MIN((Skills!Y22*(1+Inputs!$B$34/100)),MAX(0,Inputs!$B$44-((R3523-1)*(1/Q3523)))))/Inputs!$B$44),IF(Inputs!$B$39="pvp",MIN((Skills!Y22*(1+Inputs!$B$34/100)),15)/15,MIN(1,(Skills!Y22*(1+Inputs!$B$34/100))/(1/Q3523)))))+((C3504=TRUE)*F3504*3)+((C3506=TRUE)*F3506*(1-EXP(-0.75*B3539*5)))+((C3525=TRUE)*(F3525-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3512=TRUE)*F3512*IF(AND(Inputs!$B$39&lt;&gt;"pvp",Inputs!$B$44&gt;0),(((R3512-1)*MIN((Skills!Y11*(1+Inputs!$B$34/100)),(1/Q3512))+MIN((Skills!Y11*(1+Inputs!$B$34/100)),MAX(0,Inputs!$B$44-((R3512-1)*(1/Q3512)))))/Inputs!$B$44),IF(Inputs!$B$39="pvp",MIN((Skills!Y11*(1+Inputs!$B$34/100)),15)/15,MIN(1,(Skills!Y11*(1+Inputs!$B$34/100))/(1/Q3512)))))/100)*(1+((C3517=TRUE)*F3517*IF(AND(Inputs!$B$39&lt;&gt;"pvp",Inputs!$B$44&gt;0),(((R3517-1)*MIN((Skills!Y16*(1+Inputs!$B$34/100)),(1/Q3517))+MIN((Skills!Y16*(1+Inputs!$B$34/100)),MAX(0,Inputs!$B$44-((R3517-1)*(1/Q3517)))))/Inputs!$B$44),IF(Inputs!$B$39="pvp",MIN((Skills!Y16*(1+Inputs!$B$34/100)),15)/15,MIN(1,(Skills!Y16*(1+Inputs!$B$34/100))/(1/Q3517)))))/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3537*I3508)</f>
        <v/>
      </c>
      <c r="L3508">
        <f>K3508*(MIN(Inputs!$B$22+((C3526=TRUE)*(F3526-Calc!F25)),(Inputs!$B$23+((C3531=TRUE)*(F3531-Calc!F30))+IF(ArtifactsInput!$M$15,CHOOSE(ArtifactsInput!$N$15+1,25,30,35,40,45,50)/100*(Inputs!$B$11-Inputs!$B$11),0)))/100+(Inputs!$B$23+((C3531=TRUE)*(F3531-Calc!F30))+IF(ArtifactsInput!$M$15,CHOOSE(ArtifactsInput!$N$15+1,25,30,35,40,45,50)/100*(Inputs!$B$11-Inputs!$B$11),0))/100)/2</f>
        <v/>
      </c>
      <c r="M3508">
        <f>L3508*(1+(Inputs!$B$10+((C3528=TRUE)*(F3528-Calc!F27))+B3542+(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3508">
        <f>L3508*(1-MIN((Inputs!$B$9+((C3527=TRUE)*(F3527-Calc!F26))+B3535+(ArtifactsInput!$M$24-ArtifactsInput!$M$24)*CHOOSE(ArtifactsInput!$N$24+1,10,12,14,16,18,20)+(IF(AND(Inputs!$B$39&lt;&gt;"pvp",Inputs!$B$44=0),1,IF(IF(Inputs!$B$39="pvp",15,Inputs!$B$44)-(B3546)&lt;=0,1,MAX(0,IF(Inputs!$B$39="pvp",15,Inputs!$B$44)-MAX(5,B3546))/(IF(Inputs!$B$39="pvp",15,Inputs!$B$44)-(B3546))))*IF(AND(ArtifactsInput!$M$42,((Inputs!$B$9+((C3527=TRUE)*(F3527-Calc!F26))+B3535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3508*(MIN((Inputs!$B$9+((C3527=TRUE)*(F3527-Calc!F26))+B3535+(ArtifactsInput!$M$24-ArtifactsInput!$M$24)*CHOOSE(ArtifactsInput!$N$24+1,10,12,14,16,18,20)+(IF(AND(Inputs!$B$39&lt;&gt;"pvp",Inputs!$B$44=0),1,IF(IF(Inputs!$B$39="pvp",15,Inputs!$B$44)-(B3546)&lt;=0,1,MAX(0,IF(Inputs!$B$39="pvp",15,Inputs!$B$44)-MAX(5,B3546))/(IF(Inputs!$B$39="pvp",15,Inputs!$B$44)-(B3546))))*IF(AND(ArtifactsInput!$M$42,((Inputs!$B$9+((C3527=TRUE)*(F3527-Calc!F26))+B3535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3508">
        <f>(1-Summary!$B$11)*T3508+Summary!$B$11*V3508</f>
        <v/>
      </c>
      <c r="P3508">
        <f>IF(B3547=0,0,O3508/B3547)</f>
        <v/>
      </c>
      <c r="Q3508">
        <f>IFERROR(1/IF(Inputs!$B$39="pvp",15,MAX(0.1,Skills!D7-IF(TRUE=TRUE,2.5,0))),0)</f>
        <v/>
      </c>
      <c r="R3508">
        <f>IF(AND(Inputs!$B$39&lt;&gt;"pvp",Inputs!$B$44&gt;0),IF(MAX(0,Inputs!$B$44-B3546)&lt;=0,0,(INT(MAX(0,Inputs!$B$44-B3546)/IF(Inputs!$B$39="pvp",15,MAX(0.1,Skills!D7-IF(TRUE=TRUE,2.5,0))))+1)),0)</f>
        <v/>
      </c>
      <c r="S3508">
        <f>IFERROR(O3508/N3508,0)</f>
        <v/>
      </c>
      <c r="T3508">
        <f>IF(C3508,(H3508*N3508*IF(AND(Inputs!$B$39&lt;&gt;"pvp",Inputs!$B$44&gt;0),((Skills!G7*((R3508-1)*IF(Skills!H7&gt;0,Skills!I7/Skills!H7,1)+IF(Skills!H7&gt;0,MIN(Skills!I7,MAX(0,MAX(0,Inputs!$B$44-B3546)-((R3508-1)*IF(Inputs!$B$39="pvp",15,MAX(0.1,Skills!D7-IF(TRUE=TRUE,2.5,0))))))/Skills!H7,1)))/Inputs!$B$44),G3508*Q3508))*IF(Inputs!$B$39="pvp",1,1+(Inputs!$B$20+0+Skills!P7+B3536+(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Hunt"),CHOOSE(ArtifactsInput!$N$35+1,15,18,21,24,27,30)*(1-EXP(-(0.2*B3539)*5)),0)+IF(AND(ArtifactsInput!$M$22,Inputs!$B$4&lt;&gt;"Chapter Hunt"),CHOOSE(ArtifactsInput!$N$22+1,10,12,14,16,18,20)*((0*(((0.15*B3539*5))^0/1)+1*(((0.15*B3539*5))^1/1)+2*(((0.15*B3539*5))^2/2)+3*(((0.15*B3539*5))^3/6)+4*(((0.15*B3539*5))^4/24)+5*(((0.15*B3539*5))^5/120))/((((0.15*B3539*5))^0/1)+(((0.15*B3539*5))^1/1)+(((0.15*B3539*5))^2/2)+(((0.15*B3539*5))^3/6)+(((0.15*B3539*5))^4/24)+(((0.15*B3539*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3508*(1-MIN(100,(Inputs!$B$9+((C3527=TRUE)*(F3527-Calc!F26))+B3535+(ArtifactsInput!$M$24-ArtifactsInput!$M$24)*CHOOSE(ArtifactsInput!$N$24+1,10,12,14,16,18,20)+(IF(AND(Inputs!$B$39&lt;&gt;"pvp",Inputs!$B$44=0),1,IF(IF(Inputs!$B$39="pvp",15,Inputs!$B$44)-(B3546)&lt;=0,1,MAX(0,IF(Inputs!$B$39="pvp",15,Inputs!$B$44)-MAX(5,B3546))/(IF(Inputs!$B$39="pvp",15,Inputs!$B$44)-(B3546))))*IF(AND(ArtifactsInput!$M$42,((Inputs!$B$9+((C3527=TRUE)*(F3527-Calc!F26))+B3535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3508*(MIN(100,(Inputs!$B$9+((C3527=TRUE)*(F3527-Calc!F26))+B3535+(ArtifactsInput!$M$24-ArtifactsInput!$M$24)*CHOOSE(ArtifactsInput!$N$24+1,10,12,14,16,18,20)+(IF(AND(Inputs!$B$39&lt;&gt;"pvp",Inputs!$B$44=0),1,IF(IF(Inputs!$B$39="pvp",15,Inputs!$B$44)-(B3546)&lt;=0,1,MAX(0,IF(Inputs!$B$39="pvp",15,Inputs!$B$44)-MAX(5,B3546))/(IF(Inputs!$B$39="pvp",15,Inputs!$B$44)-(B3546))))*IF(AND(ArtifactsInput!$M$42,((Inputs!$B$9+((C3527=TRUE)*(F3527-Calc!F26))+B3535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3508*(1-MIN(100,(Inputs!$B$9+((C3527=TRUE)*(F3527-Calc!F26))+B3535+(ArtifactsInput!$M$24-ArtifactsInput!$M$24)*CHOOSE(ArtifactsInput!$N$24+1,10,12,14,16,18,20)+(IF(AND(Inputs!$B$39&lt;&gt;"pvp",Inputs!$B$44=0),1,IF(IF(Inputs!$B$39="pvp",15,Inputs!$B$44)-(B3546)&lt;=0,1,MAX(0,IF(Inputs!$B$39="pvp",15,Inputs!$B$44)-MAX(5,B3546))/(IF(Inputs!$B$39="pvp",15,Inputs!$B$44)-(B3546))))*IF(AND(ArtifactsInput!$M$42,((Inputs!$B$9+((C3527=TRUE)*(F3527-Calc!F26))+B3535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3508*(MIN(100,(Inputs!$B$9+((C3527=TRUE)*(F3527-Calc!F26))+B3535+(ArtifactsInput!$M$24-ArtifactsInput!$M$24)*CHOOSE(ArtifactsInput!$N$24+1,10,12,14,16,18,20)+(IF(AND(Inputs!$B$39&lt;&gt;"pvp",Inputs!$B$44=0),1,IF(IF(Inputs!$B$39="pvp",15,Inputs!$B$44)-(B3546)&lt;=0,1,MAX(0,IF(Inputs!$B$39="pvp",15,Inputs!$B$44)-MAX(5,B3546))/(IF(Inputs!$B$39="pvp",15,Inputs!$B$44)-(B3546))))*IF(AND(ArtifactsInput!$M$42,((Inputs!$B$9+((C3527=TRUE)*(F3527-Calc!F26))+B3535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3508">
        <f>IF(C3508,(H3508*N3508*IF(AND(Inputs!$B$39&lt;&gt;"pvp",Inputs!$B$44&gt;0),((Skills!G7*((R3508-1)*IF(Skills!H7&gt;0,Skills!I7/Skills!H7,1)+IF(Skills!H7&gt;0,MIN(Skills!I7,MAX(0,MAX(0,Inputs!$B$44-B3546)-((R3508-1)*IF(Inputs!$B$39="pvp",15,MAX(0.1,Skills!D7-IF(TRUE=TRUE,2.5,0))))))/Skills!H7,1)))/Inputs!$B$44),G3508*Q3508))*IF(Inputs!$B$39="pvp",1,(1+(Inputs!$B$21+Skills!Q7+B3536+(IF(ArtifactsInput!$M$33,CHOOSE(ArtifactsInput!$N$33+1,30,36,42,48,54,60),0))+(IF(AND(ArtifactsInput!$M$35,Inputs!$B$4&lt;&gt;"Chapter Hunt"),CHOOSE(ArtifactsInput!$N$35+1,15,18,21,24,27,30)*(1-EXP(-(0.2*B3539)*5)),0)+IF(AND(ArtifactsInput!$M$22,Inputs!$B$4&lt;&gt;"Chapter Hunt"),CHOOSE(ArtifactsInput!$N$22+1,10,12,14,16,18,20)*((0*(((0.15*B3539*5))^0/1)+1*(((0.15*B3539*5))^1/1)+2*(((0.15*B3539*5))^2/2)+3*(((0.15*B3539*5))^3/6)+4*(((0.15*B3539*5))^4/24)+5*(((0.15*B3539*5))^5/120))/((((0.15*B3539*5))^0/1)+(((0.15*B3539*5))^1/1)+(((0.15*B3539*5))^2/2)+(((0.15*B3539*5))^3/6)+(((0.15*B3539*5))^4/24)+(((0.15*B3539*5))^5/120))),0)))/100)*(MIN(Skills!W7,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3509">
      <c r="A3509">
        <f>Skills!A8</f>
        <v/>
      </c>
      <c r="B3509">
        <f>Skills!B8</f>
        <v/>
      </c>
      <c r="C3509">
        <f>Inputs!$B$3&gt;=60</f>
        <v/>
      </c>
      <c r="D3509">
        <f>IF(Skills!C8=1,60+Inputs!$B$25+Inputs!$B$29,IF(Skills!C8=2,90+Inputs!$B$26+Inputs!$B$29,IF(Skills!C8=3,120+Inputs!$B$27+Inputs!$B$29,MAX(0,(Inputs!$B$3-100)*3)+Inputs!$B$28+Inputs!$B$29)))</f>
        <v/>
      </c>
      <c r="E3509">
        <f>INDEX(FactorTable!$B$2:$Y$301, MATCH(ROUND(MIN(300,MAX(1,D3509)),0), FactorTable!$A$2:$A$301,0), Skills!M8+1)</f>
        <v/>
      </c>
      <c r="F3509">
        <f>IF(Skills!N8=TRUE,(Skills!L8/10)*(E3509/1000),Skills!L8/10)+Skills!O8</f>
        <v/>
      </c>
      <c r="G3509">
        <f>Skills!G8*IF(Skills!H8&gt;0,IF(Inputs!$B$39="pvp",MIN(Skills!I8,15),Skills!I8)/Skills!H8,1)</f>
        <v/>
      </c>
      <c r="H3509">
        <f>1-(1-Skills!J8/100)^Skills!K8</f>
        <v/>
      </c>
      <c r="I3509" t="inlineStr">
        <is>
          <t>1</t>
        </is>
      </c>
      <c r="J3509" t="inlineStr"/>
      <c r="K3509" t="inlineStr"/>
      <c r="L3509" t="inlineStr"/>
      <c r="M3509" t="inlineStr"/>
      <c r="N3509" t="inlineStr"/>
      <c r="O3509">
        <f>(1-Summary!$B$11)*T3509+Summary!$B$11*V3509</f>
        <v/>
      </c>
      <c r="P3509">
        <f>IF(B3547=0,0,O3509/B3547)</f>
        <v/>
      </c>
      <c r="Q3509" t="n">
        <v>0</v>
      </c>
      <c r="R3509" t="n">
        <v>0</v>
      </c>
      <c r="S3509">
        <f>IFERROR(O3509/N3509,0)</f>
        <v/>
      </c>
      <c r="T3509" t="n">
        <v>0</v>
      </c>
      <c r="V3509" t="n">
        <v>0</v>
      </c>
    </row>
    <row r="3510">
      <c r="A3510">
        <f>Skills!A9</f>
        <v/>
      </c>
      <c r="B3510">
        <f>Skills!B9</f>
        <v/>
      </c>
      <c r="C3510">
        <f>Inputs!$B$3&gt;=72</f>
        <v/>
      </c>
      <c r="D3510">
        <f>IF(Skills!C9=1,60+Inputs!$B$25+Inputs!$B$29,IF(Skills!C9=2,90+Inputs!$B$26+Inputs!$B$29,IF(Skills!C9=3,120+Inputs!$B$27+Inputs!$B$29,MAX(0,(Inputs!$B$3-100)*3)+Inputs!$B$28+Inputs!$B$29)))</f>
        <v/>
      </c>
      <c r="E3510">
        <f>INDEX(FactorTable!$B$2:$Y$301, MATCH(ROUND(MIN(300,MAX(1,D3510)),0), FactorTable!$A$2:$A$301,0), Skills!M9+1)</f>
        <v/>
      </c>
      <c r="F3510">
        <f>IF(Skills!N9=TRUE,(Skills!L9/10)*(E3510/1000),Skills!L9/10)+Skills!O9</f>
        <v/>
      </c>
      <c r="G3510">
        <f>Skills!G9*IF(Skills!H9&gt;0,IF(Inputs!$B$39="pvp",MIN(Skills!I9,15),Skills!I9)/Skills!H9,1)</f>
        <v/>
      </c>
      <c r="H3510">
        <f>1-(1-Skills!J9/100)^Skills!K9</f>
        <v/>
      </c>
      <c r="I3510" t="inlineStr">
        <is>
          <t>1</t>
        </is>
      </c>
      <c r="J3510">
        <f>((Inputs!$B$6*(1+Inputs!$B$7/100))+(((Inputs!$B$12*(1+Inputs!$B$13/100))-(Inputs!$B$12*(1+Inputs!$B$13/100)))+0.25*(Inputs!$B$14-Inputs!$B$14))*(1+Inputs!$B$7/100))*(F3510/100)</f>
        <v/>
      </c>
      <c r="K3510">
        <f>J3510*(1+((Inputs!$B$12*(1+Inputs!$B$13/100))*0.01+Inputs!$B$14*0.0025)/100)*(1+Inputs!$B$15/100)*(1+Inputs!$B$16/100)*(5000/(6000+Inputs!$B$43*(1-(100*(1-(1-Inputs!$B$19/100)*(1-CHOOSE(ArtifactsInput!$N$40+1,5,6,7,8,9,10)/100)^(ArtifactsInput!$M$40-ArtifactsInput!$M$40)))/100)))*(1+(Inputs!$B$24+((C3532=TRUE)*(F3532-Calc!F31))+((C3519=TRUE)*(F3519-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+3.3333333333333335*IF(C3520=TRUE,F3520,0)/100)*(1+(IF(Skills!A9="CRUEL_STAB",Inputs!$B$17+((C3529=TRUE)*(F3529-Calc!F28))+((IF(AND(Inputs!$B$39&lt;&gt;"pvp",Inputs!$B$44=0),1,IF(IF(Inputs!$B$39="pvp",15,Inputs!$B$44)-(B3546)&lt;=0,1,MAX(0,IF(Inputs!$B$39="pvp",15,Inputs!$B$44)-MAX(5,B3546))/(IF(Inputs!$B$39="pvp",15,Inputs!$B$44)-(B3546))))*(IF(AND(ArtifactsInput!$M$42,((Inputs!$B$9+((C3527=TRUE)*(F3527-Calc!F26))+B3535+(ArtifactsInput!$M$24-ArtifactsInput!$M$24)*CHOOSE(ArtifactsInput!$N$24+1,10,12,14,16,18,20)+IF(ArtifactsInput!$M$10,CHOOSE(ArtifactsInput!$N$10+1,15,18,21,24,27,30)*(IF(Inputs!$B$39="pvp",MIN(15,15)/15,IF(AND(Inputs!$B$39&lt;&gt;"pvp",Inputs!$B$44&gt;0),MIN(15,Inputs!$B$44)/(Inputs!$B$44),0))),0)))&gt;=100),MIN(100,((Inputs!$B$9+((C3527=TRUE)*(F3527-Calc!F26))+B3535+(ArtifactsInput!$M$24-ArtifactsInput!$M$24)*CHOOSE(ArtifactsInput!$N$24+1,10,12,14,16,18,20)+IF(ArtifactsInput!$M$10,CHOOSE(ArtifactsInput!$N$10+1,15,18,21,24,27,30)*(IF(Inputs!$B$39="pvp",MIN(15,15)/15,IF(AND(Inputs!$B$39&lt;&gt;"pvp",Inputs!$B$44&gt;0),MIN(15,Inputs!$B$44)/(Inputs!$B$44),0))),0)))-100),0))*CHOOSE(ArtifactsInput!$N$42+1,0.6,0.72,0.84,0.96,1.08,1.2))),Inputs!$B$18+((C3530=TRUE)*(F3530-Calc!F29))+(IF(AND(Inputs!$B$39&lt;&gt;"pvp",Inputs!$B$44=0),1,IF(IF(Inputs!$B$39="pvp",15,Inputs!$B$44)-(B3546)&lt;=0,1,MAX(0,IF(Inputs!$B$39="pvp",15,Inputs!$B$44)-MAX(5,B3546))/(IF(Inputs!$B$39="pvp",15,Inputs!$B$44)-(B3546))))*IF(AND(ArtifactsInput!$M$42,((Inputs!$B$9+((C3527=TRUE)*(F3527-Calc!F26))+B3535+(ArtifactsInput!$M$24-ArtifactsInput!$M$24)*CHOOSE(ArtifactsInput!$N$24+1,10,12,14,16,18,20)+IF(ArtifactsInput!$M$10,CHOOSE(ArtifactsInput!$N$10+1,15,18,21,24,27,30)*(IF(Inputs!$B$39="pvp",MIN(15,15)/15,IF(AND(Inputs!$B$39&lt;&gt;"pvp",Inputs!$B$44&gt;0),MIN(15,Inputs!$B$44)/(Inputs!$B$44),0))),0)))&gt;=100),CHOOSE(ArtifactsInput!$N$42+1,40,48,56,64,72,80),0))))/100)*(((1+(((C3523=TRUE)*F3523*IF(AND(Inputs!$B$39&lt;&gt;"pvp",Inputs!$B$44&gt;0),(((R3523-1)*MIN((Skills!Y22*(1+Inputs!$B$34/100)),(1/Q3523))+MIN((Skills!Y22*(1+Inputs!$B$34/100)),MAX(0,Inputs!$B$44-((R3523-1)*(1/Q3523)))))/Inputs!$B$44),IF(Inputs!$B$39="pvp",MIN((Skills!Y22*(1+Inputs!$B$34/100)),15)/15,MIN(1,(Skills!Y22*(1+Inputs!$B$34/100))/(1/Q3523)))))+((C3504=TRUE)*F3504*3)+((C3506=TRUE)*F3506*(1-EXP(-0.75*B3539*5)))+((C3525=TRUE)*(F3525-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3512=TRUE)*F3512*IF(AND(Inputs!$B$39&lt;&gt;"pvp",Inputs!$B$44&gt;0),(((R3512-1)*MIN((Skills!Y11*(1+Inputs!$B$34/100)),(1/Q3512))+MIN((Skills!Y11*(1+Inputs!$B$34/100)),MAX(0,Inputs!$B$44-((R3512-1)*(1/Q3512)))))/Inputs!$B$44),IF(Inputs!$B$39="pvp",MIN((Skills!Y11*(1+Inputs!$B$34/100)),15)/15,MIN(1,(Skills!Y11*(1+Inputs!$B$34/100))/(1/Q3512)))))/100)*(1+((C3517=TRUE)*F3517*IF(AND(Inputs!$B$39&lt;&gt;"pvp",Inputs!$B$44&gt;0),(((R3517-1)*MIN((Skills!Y16*(1+Inputs!$B$34/100)),(1/Q3517))+MIN((Skills!Y16*(1+Inputs!$B$34/100)),MAX(0,Inputs!$B$44-((R3517-1)*(1/Q3517)))))/Inputs!$B$44),IF(Inputs!$B$39="pvp",MIN((Skills!Y16*(1+Inputs!$B$34/100)),15)/15,MIN(1,(Skills!Y16*(1+Inputs!$B$34/100))/(1/Q3517)))))/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3537*I3510)</f>
        <v/>
      </c>
      <c r="L3510">
        <f>K3510*(MIN(Inputs!$B$22+((C3526=TRUE)*(F3526-Calc!F25)),(Inputs!$B$23+((C3531=TRUE)*(F3531-Calc!F30))+IF(ArtifactsInput!$M$15,CHOOSE(ArtifactsInput!$N$15+1,25,30,35,40,45,50)/100*(Inputs!$B$11-Inputs!$B$11),0)))/100+(Inputs!$B$23+((C3531=TRUE)*(F3531-Calc!F30))+IF(ArtifactsInput!$M$15,CHOOSE(ArtifactsInput!$N$15+1,25,30,35,40,45,50)/100*(Inputs!$B$11-Inputs!$B$11),0))/100)/2</f>
        <v/>
      </c>
      <c r="M3510">
        <f>L3510*(1+(Inputs!$B$10+((C3528=TRUE)*(F3528-Calc!F27))+B3542+(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3510">
        <f>L3510*(1-MIN((Inputs!$B$9+((C3527=TRUE)*(F3527-Calc!F26))+B3535+(ArtifactsInput!$M$24-ArtifactsInput!$M$24)*CHOOSE(ArtifactsInput!$N$24+1,10,12,14,16,18,20)+(IF(AND(Inputs!$B$39&lt;&gt;"pvp",Inputs!$B$44=0),1,IF(IF(Inputs!$B$39="pvp",15,Inputs!$B$44)-(B3546)&lt;=0,1,MAX(0,IF(Inputs!$B$39="pvp",15,Inputs!$B$44)-MAX(5,B3546))/(IF(Inputs!$B$39="pvp",15,Inputs!$B$44)-(B3546))))*IF(AND(ArtifactsInput!$M$42,((Inputs!$B$9+((C3527=TRUE)*(F3527-Calc!F26))+B3535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3510*(MIN((Inputs!$B$9+((C3527=TRUE)*(F3527-Calc!F26))+B3535+(ArtifactsInput!$M$24-ArtifactsInput!$M$24)*CHOOSE(ArtifactsInput!$N$24+1,10,12,14,16,18,20)+(IF(AND(Inputs!$B$39&lt;&gt;"pvp",Inputs!$B$44=0),1,IF(IF(Inputs!$B$39="pvp",15,Inputs!$B$44)-(B3546)&lt;=0,1,MAX(0,IF(Inputs!$B$39="pvp",15,Inputs!$B$44)-MAX(5,B3546))/(IF(Inputs!$B$39="pvp",15,Inputs!$B$44)-(B3546))))*IF(AND(ArtifactsInput!$M$42,((Inputs!$B$9+((C3527=TRUE)*(F3527-Calc!F26))+B3535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3510">
        <f>(1-Summary!$B$11)*T3510+Summary!$B$11*V3510</f>
        <v/>
      </c>
      <c r="P3510">
        <f>IF(B3547=0,0,O3510/B3547)</f>
        <v/>
      </c>
      <c r="Q3510">
        <f>IFERROR(1/IF(Inputs!$B$39="pvp",15,MAX(0.1,Skills!D9-IF(FALSE=TRUE,2.5,0))),0)</f>
        <v/>
      </c>
      <c r="R3510">
        <f>IF(AND(Inputs!$B$39&lt;&gt;"pvp",Inputs!$B$44&gt;0),IF(MAX(0,Inputs!$B$44-B3546)&lt;=0,0,(INT(MAX(0,Inputs!$B$44-B3546)/IF(Inputs!$B$39="pvp",15,MAX(0.1,Skills!D9-IF(FALSE=TRUE,2.5,0))))+1)),0)</f>
        <v/>
      </c>
      <c r="S3510">
        <f>IFERROR(O3510/N3510,0)</f>
        <v/>
      </c>
      <c r="T3510">
        <f>IF(C3510,(H3510*N3510*IF(AND(Inputs!$B$39&lt;&gt;"pvp",Inputs!$B$44&gt;0),((Skills!G9*((R3510-1)*IF(Skills!H9&gt;0,Skills!I9/Skills!H9,1)+IF(Skills!H9&gt;0,MIN(Skills!I9,MAX(0,MAX(0,Inputs!$B$44-B3546)-((R3510-1)*IF(Inputs!$B$39="pvp",15,MAX(0.1,Skills!D9-IF(FALSE=TRUE,2.5,0))))))/Skills!H9,1)))/Inputs!$B$44),G3510*Q3510))*IF(Inputs!$B$39="pvp",1,1+(Inputs!$B$20+0+Skills!P9+B3536+(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Hunt"),CHOOSE(ArtifactsInput!$N$35+1,15,18,21,24,27,30)*(1-EXP(-(0.2*B3539)*5)),0)+IF(AND(ArtifactsInput!$M$22,Inputs!$B$4&lt;&gt;"Chapter Hunt"),CHOOSE(ArtifactsInput!$N$22+1,10,12,14,16,18,20)*((0*(((0.15*B3539*5))^0/1)+1*(((0.15*B3539*5))^1/1)+2*(((0.15*B3539*5))^2/2)+3*(((0.15*B3539*5))^3/6)+4*(((0.15*B3539*5))^4/24)+5*(((0.15*B3539*5))^5/120))/((((0.15*B3539*5))^0/1)+(((0.15*B3539*5))^1/1)+(((0.15*B3539*5))^2/2)+(((0.15*B3539*5))^3/6)+(((0.15*B3539*5))^4/24)+(((0.15*B3539*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3510*(1-MIN(100,(Inputs!$B$9+((C3527=TRUE)*(F3527-Calc!F26))+B3535+(ArtifactsInput!$M$24-ArtifactsInput!$M$24)*CHOOSE(ArtifactsInput!$N$24+1,10,12,14,16,18,20)+(IF(AND(Inputs!$B$39&lt;&gt;"pvp",Inputs!$B$44=0),1,IF(IF(Inputs!$B$39="pvp",15,Inputs!$B$44)-(B3546)&lt;=0,1,MAX(0,IF(Inputs!$B$39="pvp",15,Inputs!$B$44)-MAX(5,B3546))/(IF(Inputs!$B$39="pvp",15,Inputs!$B$44)-(B3546))))*IF(AND(ArtifactsInput!$M$42,((Inputs!$B$9+((C3527=TRUE)*(F3527-Calc!F26))+B3535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3510*(MIN(100,(Inputs!$B$9+((C3527=TRUE)*(F3527-Calc!F26))+B3535+(ArtifactsInput!$M$24-ArtifactsInput!$M$24)*CHOOSE(ArtifactsInput!$N$24+1,10,12,14,16,18,20)+(IF(AND(Inputs!$B$39&lt;&gt;"pvp",Inputs!$B$44=0),1,IF(IF(Inputs!$B$39="pvp",15,Inputs!$B$44)-(B3546)&lt;=0,1,MAX(0,IF(Inputs!$B$39="pvp",15,Inputs!$B$44)-MAX(5,B3546))/(IF(Inputs!$B$39="pvp",15,Inputs!$B$44)-(B3546))))*IF(AND(ArtifactsInput!$M$42,((Inputs!$B$9+((C3527=TRUE)*(F3527-Calc!F26))+B3535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3510*(1-MIN(100,(Inputs!$B$9+((C3527=TRUE)*(F3527-Calc!F26))+B3535+(ArtifactsInput!$M$24-ArtifactsInput!$M$24)*CHOOSE(ArtifactsInput!$N$24+1,10,12,14,16,18,20)+(IF(AND(Inputs!$B$39&lt;&gt;"pvp",Inputs!$B$44=0),1,IF(IF(Inputs!$B$39="pvp",15,Inputs!$B$44)-(B3546)&lt;=0,1,MAX(0,IF(Inputs!$B$39="pvp",15,Inputs!$B$44)-MAX(5,B3546))/(IF(Inputs!$B$39="pvp",15,Inputs!$B$44)-(B3546))))*IF(AND(ArtifactsInput!$M$42,((Inputs!$B$9+((C3527=TRUE)*(F3527-Calc!F26))+B3535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3510*(MIN(100,(Inputs!$B$9+((C3527=TRUE)*(F3527-Calc!F26))+B3535+(ArtifactsInput!$M$24-ArtifactsInput!$M$24)*CHOOSE(ArtifactsInput!$N$24+1,10,12,14,16,18,20)+(IF(AND(Inputs!$B$39&lt;&gt;"pvp",Inputs!$B$44=0),1,IF(IF(Inputs!$B$39="pvp",15,Inputs!$B$44)-(B3546)&lt;=0,1,MAX(0,IF(Inputs!$B$39="pvp",15,Inputs!$B$44)-MAX(5,B3546))/(IF(Inputs!$B$39="pvp",15,Inputs!$B$44)-(B3546))))*IF(AND(ArtifactsInput!$M$42,((Inputs!$B$9+((C3527=TRUE)*(F3527-Calc!F26))+B3535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3510">
        <f>IF(C3510,(H3510*N3510*IF(AND(Inputs!$B$39&lt;&gt;"pvp",Inputs!$B$44&gt;0),((Skills!G9*((R3510-1)*IF(Skills!H9&gt;0,Skills!I9/Skills!H9,1)+IF(Skills!H9&gt;0,MIN(Skills!I9,MAX(0,MAX(0,Inputs!$B$44-B3546)-((R3510-1)*IF(Inputs!$B$39="pvp",15,MAX(0.1,Skills!D9-IF(FALSE=TRUE,2.5,0))))))/Skills!H9,1)))/Inputs!$B$44),G3510*Q3510))*IF(Inputs!$B$39="pvp",1,(1+(Inputs!$B$21+Skills!Q9+B3536+(IF(ArtifactsInput!$M$33,CHOOSE(ArtifactsInput!$N$33+1,30,36,42,48,54,60),0))+(IF(AND(ArtifactsInput!$M$35,Inputs!$B$4&lt;&gt;"Chapter Hunt"),CHOOSE(ArtifactsInput!$N$35+1,15,18,21,24,27,30)*(1-EXP(-(0.2*B3539)*5)),0)+IF(AND(ArtifactsInput!$M$22,Inputs!$B$4&lt;&gt;"Chapter Hunt"),CHOOSE(ArtifactsInput!$N$22+1,10,12,14,16,18,20)*((0*(((0.15*B3539*5))^0/1)+1*(((0.15*B3539*5))^1/1)+2*(((0.15*B3539*5))^2/2)+3*(((0.15*B3539*5))^3/6)+4*(((0.15*B3539*5))^4/24)+5*(((0.15*B3539*5))^5/120))/((((0.15*B3539*5))^0/1)+(((0.15*B3539*5))^1/1)+(((0.15*B3539*5))^2/2)+(((0.15*B3539*5))^3/6)+(((0.15*B3539*5))^4/24)+(((0.15*B3539*5))^5/120))),0)))/100)*(MIN(Skills!W9,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3511">
      <c r="A3511">
        <f>Skills!A10</f>
        <v/>
      </c>
      <c r="B3511">
        <f>Skills!B10</f>
        <v/>
      </c>
      <c r="C3511">
        <f>Inputs!$B$3&gt;=117</f>
        <v/>
      </c>
      <c r="D3511">
        <f>IF(Skills!C10=1,60+Inputs!$B$25+Inputs!$B$29,IF(Skills!C10=2,90+Inputs!$B$26+Inputs!$B$29,IF(Skills!C10=3,120+Inputs!$B$27+Inputs!$B$29,MAX(0,(Inputs!$B$3-100)*3)+Inputs!$B$28+Inputs!$B$29)))</f>
        <v/>
      </c>
      <c r="E3511">
        <f>INDEX(FactorTable!$B$2:$Y$301, MATCH(ROUND(MIN(300,MAX(1,D3511)),0), FactorTable!$A$2:$A$301,0), Skills!M10+1)</f>
        <v/>
      </c>
      <c r="F3511">
        <f>IF(Skills!N10=TRUE,(Skills!L10/10)*(E3511/1000),Skills!L10/10)+Skills!O10</f>
        <v/>
      </c>
      <c r="G3511">
        <f>Skills!G10*IF(Skills!H10&gt;0,IF(Inputs!$B$39="pvp",MIN(Skills!I10,15),Skills!I10)/Skills!H10,1)</f>
        <v/>
      </c>
      <c r="H3511">
        <f>1-(1-Skills!J10/100)^Skills!K10</f>
        <v/>
      </c>
      <c r="I3511" t="inlineStr">
        <is>
          <t>1</t>
        </is>
      </c>
      <c r="J3511">
        <f>((Inputs!$B$6*(1+Inputs!$B$7/100))+(((Inputs!$B$12*(1+Inputs!$B$13/100))-(Inputs!$B$12*(1+Inputs!$B$13/100)))+0.25*(Inputs!$B$14-Inputs!$B$14))*(1+Inputs!$B$7/100))*(F3511/100)</f>
        <v/>
      </c>
      <c r="K3511">
        <f>J3511*(1+((Inputs!$B$12*(1+Inputs!$B$13/100))*0.01+Inputs!$B$14*0.0025)/100)*(1+Inputs!$B$15/100)*(1+Inputs!$B$16/100)*(5000/(6000+Inputs!$B$43*(1-(100*(1-(1-Inputs!$B$19/100)*(1-CHOOSE(ArtifactsInput!$N$40+1,5,6,7,8,9,10)/100)^(ArtifactsInput!$M$40-ArtifactsInput!$M$40)))/100)))*(1+(Inputs!$B$24+((C3532=TRUE)*(F3532-Calc!F31))+((C3519=TRUE)*(F3519-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10="CRUEL_STAB",Inputs!$B$17+((C3529=TRUE)*(F3529-Calc!F28))+((IF(AND(Inputs!$B$39&lt;&gt;"pvp",Inputs!$B$44=0),1,IF(IF(Inputs!$B$39="pvp",15,Inputs!$B$44)-(B3546)&lt;=0,1,MAX(0,IF(Inputs!$B$39="pvp",15,Inputs!$B$44)-MAX(5,B3546))/(IF(Inputs!$B$39="pvp",15,Inputs!$B$44)-(B3546))))*(IF(AND(ArtifactsInput!$M$42,((Inputs!$B$9+((C3527=TRUE)*(F3527-Calc!F26))+B3535+(ArtifactsInput!$M$24-ArtifactsInput!$M$24)*CHOOSE(ArtifactsInput!$N$24+1,10,12,14,16,18,20)+IF(ArtifactsInput!$M$10,CHOOSE(ArtifactsInput!$N$10+1,15,18,21,24,27,30)*(IF(Inputs!$B$39="pvp",MIN(15,15)/15,IF(AND(Inputs!$B$39&lt;&gt;"pvp",Inputs!$B$44&gt;0),MIN(15,Inputs!$B$44)/(Inputs!$B$44),0))),0)))&gt;=100),MIN(100,((Inputs!$B$9+((C3527=TRUE)*(F3527-Calc!F26))+B3535+(ArtifactsInput!$M$24-ArtifactsInput!$M$24)*CHOOSE(ArtifactsInput!$N$24+1,10,12,14,16,18,20)+IF(ArtifactsInput!$M$10,CHOOSE(ArtifactsInput!$N$10+1,15,18,21,24,27,30)*(IF(Inputs!$B$39="pvp",MIN(15,15)/15,IF(AND(Inputs!$B$39&lt;&gt;"pvp",Inputs!$B$44&gt;0),MIN(15,Inputs!$B$44)/(Inputs!$B$44),0))),0)))-100),0))*CHOOSE(ArtifactsInput!$N$42+1,0.6,0.72,0.84,0.96,1.08,1.2))),Inputs!$B$18+((C3530=TRUE)*(F3530-Calc!F29))+(IF(AND(Inputs!$B$39&lt;&gt;"pvp",Inputs!$B$44=0),1,IF(IF(Inputs!$B$39="pvp",15,Inputs!$B$44)-(B3546)&lt;=0,1,MAX(0,IF(Inputs!$B$39="pvp",15,Inputs!$B$44)-MAX(5,B3546))/(IF(Inputs!$B$39="pvp",15,Inputs!$B$44)-(B3546))))*IF(AND(ArtifactsInput!$M$42,((Inputs!$B$9+((C3527=TRUE)*(F3527-Calc!F26))+B3535+(ArtifactsInput!$M$24-ArtifactsInput!$M$24)*CHOOSE(ArtifactsInput!$N$24+1,10,12,14,16,18,20)+IF(ArtifactsInput!$M$10,CHOOSE(ArtifactsInput!$N$10+1,15,18,21,24,27,30)*(IF(Inputs!$B$39="pvp",MIN(15,15)/15,IF(AND(Inputs!$B$39&lt;&gt;"pvp",Inputs!$B$44&gt;0),MIN(15,Inputs!$B$44)/(Inputs!$B$44),0))),0)))&gt;=100),CHOOSE(ArtifactsInput!$N$42+1,40,48,56,64,72,80),0))))/100)*(((1+(((C3523=TRUE)*F3523*IF(AND(Inputs!$B$39&lt;&gt;"pvp",Inputs!$B$44&gt;0),(((R3523-1)*MIN((Skills!Y22*(1+Inputs!$B$34/100)),(1/Q3523))+MIN((Skills!Y22*(1+Inputs!$B$34/100)),MAX(0,Inputs!$B$44-((R3523-1)*(1/Q3523)))))/Inputs!$B$44),IF(Inputs!$B$39="pvp",MIN((Skills!Y22*(1+Inputs!$B$34/100)),15)/15,MIN(1,(Skills!Y22*(1+Inputs!$B$34/100))/(1/Q3523)))))+((C3504=TRUE)*F3504*3)+((C3506=TRUE)*F3506*(1-EXP(-0.75*B3539*5)))+((C3525=TRUE)*(F3525-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3512=TRUE)*F3512*IF(AND(Inputs!$B$39&lt;&gt;"pvp",Inputs!$B$44&gt;0),(((R3512-1)*MIN((Skills!Y11*(1+Inputs!$B$34/100)),(1/Q3512))+MIN((Skills!Y11*(1+Inputs!$B$34/100)),MAX(0,Inputs!$B$44-((R3512-1)*(1/Q3512)))))/Inputs!$B$44),IF(Inputs!$B$39="pvp",MIN((Skills!Y11*(1+Inputs!$B$34/100)),15)/15,MIN(1,(Skills!Y11*(1+Inputs!$B$34/100))/(1/Q3512)))))/100)*(1+((C3517=TRUE)*F3517*IF(AND(Inputs!$B$39&lt;&gt;"pvp",Inputs!$B$44&gt;0),(((R3517-1)*MIN((Skills!Y16*(1+Inputs!$B$34/100)),(1/Q3517))+MIN((Skills!Y16*(1+Inputs!$B$34/100)),MAX(0,Inputs!$B$44-((R3517-1)*(1/Q3517)))))/Inputs!$B$44),IF(Inputs!$B$39="pvp",MIN((Skills!Y16*(1+Inputs!$B$34/100)),15)/15,MIN(1,(Skills!Y16*(1+Inputs!$B$34/100))/(1/Q3517)))))/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3537*I3511)</f>
        <v/>
      </c>
      <c r="L3511">
        <f>K3511*(MIN(Inputs!$B$22+((C3526=TRUE)*(F3526-Calc!F25)),(Inputs!$B$23+((C3531=TRUE)*(F3531-Calc!F30))+IF(ArtifactsInput!$M$15,CHOOSE(ArtifactsInput!$N$15+1,25,30,35,40,45,50)/100*(Inputs!$B$11-Inputs!$B$11),0)))/100+(Inputs!$B$23+((C3531=TRUE)*(F3531-Calc!F30))+IF(ArtifactsInput!$M$15,CHOOSE(ArtifactsInput!$N$15+1,25,30,35,40,45,50)/100*(Inputs!$B$11-Inputs!$B$11),0))/100)/2</f>
        <v/>
      </c>
      <c r="M3511">
        <f>L3511*(1+(Inputs!$B$10+((C3528=TRUE)*(F3528-Calc!F27))+B3542+(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3511">
        <f>L3511*(1-MIN((Inputs!$B$9+((C3527=TRUE)*(F3527-Calc!F26))+B3535+(ArtifactsInput!$M$24-ArtifactsInput!$M$24)*CHOOSE(ArtifactsInput!$N$24+1,10,12,14,16,18,20)+(IF(AND(Inputs!$B$39&lt;&gt;"pvp",Inputs!$B$44=0),1,IF(IF(Inputs!$B$39="pvp",15,Inputs!$B$44)-(B3546)&lt;=0,1,MAX(0,IF(Inputs!$B$39="pvp",15,Inputs!$B$44)-MAX(5,B3546))/(IF(Inputs!$B$39="pvp",15,Inputs!$B$44)-(B3546))))*IF(AND(ArtifactsInput!$M$42,((Inputs!$B$9+((C3527=TRUE)*(F3527-Calc!F26))+B3535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3511*(MIN((Inputs!$B$9+((C3527=TRUE)*(F3527-Calc!F26))+B3535+(ArtifactsInput!$M$24-ArtifactsInput!$M$24)*CHOOSE(ArtifactsInput!$N$24+1,10,12,14,16,18,20)+(IF(AND(Inputs!$B$39&lt;&gt;"pvp",Inputs!$B$44=0),1,IF(IF(Inputs!$B$39="pvp",15,Inputs!$B$44)-(B3546)&lt;=0,1,MAX(0,IF(Inputs!$B$39="pvp",15,Inputs!$B$44)-MAX(5,B3546))/(IF(Inputs!$B$39="pvp",15,Inputs!$B$44)-(B3546))))*IF(AND(ArtifactsInput!$M$42,((Inputs!$B$9+((C3527=TRUE)*(F3527-Calc!F26))+B3535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3511">
        <f>(1-Summary!$B$11)*T3511+Summary!$B$11*V3511</f>
        <v/>
      </c>
      <c r="P3511">
        <f>IF(B3547=0,0,O3511/B3547)</f>
        <v/>
      </c>
      <c r="Q3511" t="n">
        <v>0</v>
      </c>
      <c r="R3511" t="n">
        <v>0</v>
      </c>
      <c r="S3511" t="n">
        <v>0</v>
      </c>
      <c r="T3511">
        <f>IF(C3511,(0.2*SUMPRODUCT((Skills!Z2:Z31=TRUE)*(C3503:C3532=TRUE)*S3503:S3532)*N3511)*IF(Inputs!$B$39="pvp",1,1+(Inputs!$B$20+0+Skills!P10+B3536+(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Hunt"),CHOOSE(ArtifactsInput!$N$35+1,15,18,21,24,27,30)*(1-EXP(-(0.2*B3539)*5)),0)+IF(AND(ArtifactsInput!$M$22,Inputs!$B$4&lt;&gt;"Chapter Hunt"),CHOOSE(ArtifactsInput!$N$22+1,10,12,14,16,18,20)*((0*(((0.15*B3539*5))^0/1)+1*(((0.15*B3539*5))^1/1)+2*(((0.15*B3539*5))^2/2)+3*(((0.15*B3539*5))^3/6)+4*(((0.15*B3539*5))^4/24)+5*(((0.15*B3539*5))^5/120))/((((0.15*B3539*5))^0/1)+(((0.15*B3539*5))^1/1)+(((0.15*B3539*5))^2/2)+(((0.15*B3539*5))^3/6)+(((0.15*B3539*5))^4/24)+(((0.15*B3539*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3511*(1-MIN(100,(Inputs!$B$9+((C3527=TRUE)*(F3527-Calc!F26))+B3535+(ArtifactsInput!$M$24-ArtifactsInput!$M$24)*CHOOSE(ArtifactsInput!$N$24+1,10,12,14,16,18,20)+(IF(AND(Inputs!$B$39&lt;&gt;"pvp",Inputs!$B$44=0),1,IF(IF(Inputs!$B$39="pvp",15,Inputs!$B$44)-(B3546)&lt;=0,1,MAX(0,IF(Inputs!$B$39="pvp",15,Inputs!$B$44)-MAX(5,B3546))/(IF(Inputs!$B$39="pvp",15,Inputs!$B$44)-(B3546))))*IF(AND(ArtifactsInput!$M$42,((Inputs!$B$9+((C3527=TRUE)*(F3527-Calc!F26))+B3535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3511*(MIN(100,(Inputs!$B$9+((C3527=TRUE)*(F3527-Calc!F26))+B3535+(ArtifactsInput!$M$24-ArtifactsInput!$M$24)*CHOOSE(ArtifactsInput!$N$24+1,10,12,14,16,18,20)+(IF(AND(Inputs!$B$39&lt;&gt;"pvp",Inputs!$B$44=0),1,IF(IF(Inputs!$B$39="pvp",15,Inputs!$B$44)-(B3546)&lt;=0,1,MAX(0,IF(Inputs!$B$39="pvp",15,Inputs!$B$44)-MAX(5,B3546))/(IF(Inputs!$B$39="pvp",15,Inputs!$B$44)-(B3546))))*IF(AND(ArtifactsInput!$M$42,((Inputs!$B$9+((C3527=TRUE)*(F3527-Calc!F26))+B3535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3511*(1-MIN(100,(Inputs!$B$9+((C3527=TRUE)*(F3527-Calc!F26))+B3535+(ArtifactsInput!$M$24-ArtifactsInput!$M$24)*CHOOSE(ArtifactsInput!$N$24+1,10,12,14,16,18,20)+(IF(AND(Inputs!$B$39&lt;&gt;"pvp",Inputs!$B$44=0),1,IF(IF(Inputs!$B$39="pvp",15,Inputs!$B$44)-(B3546)&lt;=0,1,MAX(0,IF(Inputs!$B$39="pvp",15,Inputs!$B$44)-MAX(5,B3546))/(IF(Inputs!$B$39="pvp",15,Inputs!$B$44)-(B3546))))*IF(AND(ArtifactsInput!$M$42,((Inputs!$B$9+((C3527=TRUE)*(F3527-Calc!F26))+B3535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3511*(MIN(100,(Inputs!$B$9+((C3527=TRUE)*(F3527-Calc!F26))+B3535+(ArtifactsInput!$M$24-ArtifactsInput!$M$24)*CHOOSE(ArtifactsInput!$N$24+1,10,12,14,16,18,20)+(IF(AND(Inputs!$B$39&lt;&gt;"pvp",Inputs!$B$44=0),1,IF(IF(Inputs!$B$39="pvp",15,Inputs!$B$44)-(B3546)&lt;=0,1,MAX(0,IF(Inputs!$B$39="pvp",15,Inputs!$B$44)-MAX(5,B3546))/(IF(Inputs!$B$39="pvp",15,Inputs!$B$44)-(B3546))))*IF(AND(ArtifactsInput!$M$42,((Inputs!$B$9+((C3527=TRUE)*(F3527-Calc!F26))+B3535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3511">
        <f>IF(C3511,(0.2*SUMPRODUCT((Skills!Z2:Z31=TRUE)*(C3503:C3532=TRUE)*S3503:S3532)*N3511)*IF(Inputs!$B$39="pvp",1,(1+(Inputs!$B$21+Skills!Q10+B3536+(IF(ArtifactsInput!$M$33,CHOOSE(ArtifactsInput!$N$33+1,30,36,42,48,54,60),0))+(IF(AND(ArtifactsInput!$M$35,Inputs!$B$4&lt;&gt;"Chapter Hunt"),CHOOSE(ArtifactsInput!$N$35+1,15,18,21,24,27,30)*(1-EXP(-(0.2*B3539)*5)),0)+IF(AND(ArtifactsInput!$M$22,Inputs!$B$4&lt;&gt;"Chapter Hunt"),CHOOSE(ArtifactsInput!$N$22+1,10,12,14,16,18,20)*((0*(((0.15*B3539*5))^0/1)+1*(((0.15*B3539*5))^1/1)+2*(((0.15*B3539*5))^2/2)+3*(((0.15*B3539*5))^3/6)+4*(((0.15*B3539*5))^4/24)+5*(((0.15*B3539*5))^5/120))/((((0.15*B3539*5))^0/1)+(((0.15*B3539*5))^1/1)+(((0.15*B3539*5))^2/2)+(((0.15*B3539*5))^3/6)+(((0.15*B3539*5))^4/24)+(((0.15*B3539*5))^5/120))),0)))/100)*(MIN(Skills!W10,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3512">
      <c r="A3512">
        <f>Skills!A11</f>
        <v/>
      </c>
      <c r="B3512">
        <f>Skills!B11</f>
        <v/>
      </c>
      <c r="C3512">
        <f>Inputs!$B$3&gt;=74</f>
        <v/>
      </c>
      <c r="D3512">
        <f>IF(Skills!C11=1,60+Inputs!$B$25+Inputs!$B$29,IF(Skills!C11=2,90+Inputs!$B$26+Inputs!$B$29,IF(Skills!C11=3,120+Inputs!$B$27+Inputs!$B$29,MAX(0,(Inputs!$B$3-100)*3)+Inputs!$B$28+Inputs!$B$29)))</f>
        <v/>
      </c>
      <c r="E3512">
        <f>INDEX(FactorTable!$B$2:$Y$301, MATCH(ROUND(MIN(300,MAX(1,D3512)),0), FactorTable!$A$2:$A$301,0), Skills!M11+1)</f>
        <v/>
      </c>
      <c r="F3512">
        <f>IF(Skills!N11=TRUE,(Skills!L11/10)*(E3512/1000),Skills!L11/10)+Skills!O11</f>
        <v/>
      </c>
      <c r="G3512">
        <f>Skills!G11*IF(Skills!H11&gt;0,IF(Inputs!$B$39="pvp",MIN(Skills!I11,15),Skills!I11)/Skills!H11,1)</f>
        <v/>
      </c>
      <c r="H3512">
        <f>1-(1-Skills!J11/100)^Skills!K11</f>
        <v/>
      </c>
      <c r="I3512" t="inlineStr">
        <is>
          <t>1</t>
        </is>
      </c>
      <c r="J3512" t="inlineStr"/>
      <c r="K3512" t="inlineStr"/>
      <c r="L3512" t="inlineStr"/>
      <c r="M3512" t="inlineStr"/>
      <c r="N3512" t="inlineStr"/>
      <c r="O3512">
        <f>(1-Summary!$B$11)*T3512+Summary!$B$11*V3512</f>
        <v/>
      </c>
      <c r="P3512">
        <f>IF(B3547=0,0,O3512/B3547)</f>
        <v/>
      </c>
      <c r="Q3512">
        <f>IFERROR(1/IF(Inputs!$B$39="pvp",15,MAX(0.1,Skills!D11-IF(TRUE=TRUE,2.5,0))),0)</f>
        <v/>
      </c>
      <c r="R3512">
        <f>IF(AND(Inputs!$B$39&lt;&gt;"pvp",Inputs!$B$44&gt;0),IF(Inputs!$B$44&lt;=0,0,(INT(Inputs!$B$44/IF(Inputs!$B$39="pvp",15,MAX(0.1,Skills!D11-IF(TRUE=TRUE,2.5,0))))+1)),0)</f>
        <v/>
      </c>
      <c r="S3512">
        <f>IFERROR(O3512/N3512,0)</f>
        <v/>
      </c>
      <c r="T3512" t="n">
        <v>0</v>
      </c>
      <c r="V3512" t="n">
        <v>0</v>
      </c>
    </row>
    <row r="3513">
      <c r="A3513">
        <f>Skills!A12</f>
        <v/>
      </c>
      <c r="B3513">
        <f>Skills!B12</f>
        <v/>
      </c>
      <c r="C3513">
        <f>Inputs!$B$3&gt;=103</f>
        <v/>
      </c>
      <c r="D3513">
        <f>IF(Skills!C12=1,60+Inputs!$B$25+Inputs!$B$29,IF(Skills!C12=2,90+Inputs!$B$26+Inputs!$B$29,IF(Skills!C12=3,120+Inputs!$B$27+Inputs!$B$29,MAX(0,(Inputs!$B$3-100)*3)+Inputs!$B$28+Inputs!$B$29)))</f>
        <v/>
      </c>
      <c r="E3513">
        <f>INDEX(FactorTable!$B$2:$Y$301, MATCH(ROUND(MIN(300,MAX(1,D3513)),0), FactorTable!$A$2:$A$301,0), Skills!M12+1)</f>
        <v/>
      </c>
      <c r="F3513">
        <f>(Skills!L12/10)*(E3513/1000)+IF(Inputs!$B$3&gt;=134,50,0)+0.5*(30000/10)*(INDEX(FactorTable!$B$2:$Y$301, MATCH(ROUND(MIN(300,MAX(1,D3513)),0), FactorTable!$A$2:$A$301,0), 13)/1000)*B3545</f>
        <v/>
      </c>
      <c r="G3513">
        <f>Skills!G12*IF(Skills!H12&gt;0,IF(Inputs!$B$39="pvp",MIN(Skills!I12,15),Skills!I12)/Skills!H12,1)</f>
        <v/>
      </c>
      <c r="H3513">
        <f>1-(1-Skills!J12/100)^Skills!K12</f>
        <v/>
      </c>
      <c r="I3513" t="inlineStr">
        <is>
          <t>1</t>
        </is>
      </c>
      <c r="J3513">
        <f>((Inputs!$B$6*(1+Inputs!$B$7/100))+(((Inputs!$B$12*(1+Inputs!$B$13/100))-(Inputs!$B$12*(1+Inputs!$B$13/100)))+0.25*(Inputs!$B$14-Inputs!$B$14))*(1+Inputs!$B$7/100))*(F3513/100)</f>
        <v/>
      </c>
      <c r="K3513">
        <f>J3513*(1+((Inputs!$B$12*(1+Inputs!$B$13/100))*0.01+Inputs!$B$14*0.0025)/100)*(1+Inputs!$B$15/100)*(1+Inputs!$B$16/100)*(5000/(6000+Inputs!$B$43*(1-(100*(1-(1-Inputs!$B$19/100)*(1-CHOOSE(ArtifactsInput!$N$40+1,5,6,7,8,9,10)/100)^(ArtifactsInput!$M$40-ArtifactsInput!$M$40)))/100)))*(1+(Inputs!$B$24+((C3532=TRUE)*(F3532-Calc!F31))+((C3519=TRUE)*(F3519-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12="CRUEL_STAB",Inputs!$B$17+((C3529=TRUE)*(F3529-Calc!F28))+((IF(AND(Inputs!$B$39&lt;&gt;"pvp",Inputs!$B$44=0),1,IF(IF(Inputs!$B$39="pvp",15,Inputs!$B$44)-(B3546)&lt;=0,1,MAX(0,IF(Inputs!$B$39="pvp",15,Inputs!$B$44)-MAX(5,B3546))/(IF(Inputs!$B$39="pvp",15,Inputs!$B$44)-(B3546))))*(IF(AND(ArtifactsInput!$M$42,((Inputs!$B$9+((C3527=TRUE)*(F3527-Calc!F26))+B3535+(ArtifactsInput!$M$24-ArtifactsInput!$M$24)*CHOOSE(ArtifactsInput!$N$24+1,10,12,14,16,18,20)+IF(ArtifactsInput!$M$10,CHOOSE(ArtifactsInput!$N$10+1,15,18,21,24,27,30)*(IF(Inputs!$B$39="pvp",MIN(15,15)/15,IF(AND(Inputs!$B$39&lt;&gt;"pvp",Inputs!$B$44&gt;0),MIN(15,Inputs!$B$44)/(Inputs!$B$44),0))),0)))&gt;=100),MIN(100,((Inputs!$B$9+((C3527=TRUE)*(F3527-Calc!F26))+B3535+(ArtifactsInput!$M$24-ArtifactsInput!$M$24)*CHOOSE(ArtifactsInput!$N$24+1,10,12,14,16,18,20)+IF(ArtifactsInput!$M$10,CHOOSE(ArtifactsInput!$N$10+1,15,18,21,24,27,30)*(IF(Inputs!$B$39="pvp",MIN(15,15)/15,IF(AND(Inputs!$B$39&lt;&gt;"pvp",Inputs!$B$44&gt;0),MIN(15,Inputs!$B$44)/(Inputs!$B$44),0))),0)))-100),0))*CHOOSE(ArtifactsInput!$N$42+1,0.6,0.72,0.84,0.96,1.08,1.2))),Inputs!$B$18+((C3530=TRUE)*(F3530-Calc!F29))+(IF(AND(Inputs!$B$39&lt;&gt;"pvp",Inputs!$B$44=0),1,IF(IF(Inputs!$B$39="pvp",15,Inputs!$B$44)-(B3546)&lt;=0,1,MAX(0,IF(Inputs!$B$39="pvp",15,Inputs!$B$44)-MAX(5,B3546))/(IF(Inputs!$B$39="pvp",15,Inputs!$B$44)-(B3546))))*IF(AND(ArtifactsInput!$M$42,((Inputs!$B$9+((C3527=TRUE)*(F3527-Calc!F26))+B3535+(ArtifactsInput!$M$24-ArtifactsInput!$M$24)*CHOOSE(ArtifactsInput!$N$24+1,10,12,14,16,18,20)+IF(ArtifactsInput!$M$10,CHOOSE(ArtifactsInput!$N$10+1,15,18,21,24,27,30)*(IF(Inputs!$B$39="pvp",MIN(15,15)/15,IF(AND(Inputs!$B$39&lt;&gt;"pvp",Inputs!$B$44&gt;0),MIN(15,Inputs!$B$44)/(Inputs!$B$44),0))),0)))&gt;=100),CHOOSE(ArtifactsInput!$N$42+1,40,48,56,64,72,80),0))))/100)*(((1+(((C3523=TRUE)*F3523*IF(AND(Inputs!$B$39&lt;&gt;"pvp",Inputs!$B$44&gt;0),(((R3523-1)*MIN((Skills!Y22*(1+Inputs!$B$34/100)),(1/Q3523))+MIN((Skills!Y22*(1+Inputs!$B$34/100)),MAX(0,Inputs!$B$44-((R3523-1)*(1/Q3523)))))/Inputs!$B$44),IF(Inputs!$B$39="pvp",MIN((Skills!Y22*(1+Inputs!$B$34/100)),15)/15,MIN(1,(Skills!Y22*(1+Inputs!$B$34/100))/(1/Q3523)))))+((C3504=TRUE)*F3504*3)+((C3506=TRUE)*F3506*(1-EXP(-0.75*B3539*5)))+((C3525=TRUE)*(F3525-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3512=TRUE)*F3512*IF(AND(Inputs!$B$39&lt;&gt;"pvp",Inputs!$B$44&gt;0),(((R3512-1)*MIN((Skills!Y11*(1+Inputs!$B$34/100)),(1/Q3512))+MIN((Skills!Y11*(1+Inputs!$B$34/100)),MAX(0,Inputs!$B$44-((R3512-1)*(1/Q3512)))))/Inputs!$B$44),IF(Inputs!$B$39="pvp",MIN((Skills!Y11*(1+Inputs!$B$34/100)),15)/15,MIN(1,(Skills!Y11*(1+Inputs!$B$34/100))/(1/Q3512)))))/100)*(1+((C3517=TRUE)*F3517*IF(AND(Inputs!$B$39&lt;&gt;"pvp",Inputs!$B$44&gt;0),(((R3517-1)*MIN((Skills!Y16*(1+Inputs!$B$34/100)),(1/Q3517))+MIN((Skills!Y16*(1+Inputs!$B$34/100)),MAX(0,Inputs!$B$44-((R3517-1)*(1/Q3517)))))/Inputs!$B$44),IF(Inputs!$B$39="pvp",MIN((Skills!Y16*(1+Inputs!$B$34/100)),15)/15,MIN(1,(Skills!Y16*(1+Inputs!$B$34/100))/(1/Q3517)))))/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3537*I3513)</f>
        <v/>
      </c>
      <c r="L3513">
        <f>K3513*(MIN(Inputs!$B$22+((C3526=TRUE)*(F3526-Calc!F25)),(Inputs!$B$23+((C3531=TRUE)*(F3531-Calc!F30))+IF(ArtifactsInput!$M$15,CHOOSE(ArtifactsInput!$N$15+1,25,30,35,40,45,50)/100*(Inputs!$B$11-Inputs!$B$11),0)))/100+(Inputs!$B$23+((C3531=TRUE)*(F3531-Calc!F30))+IF(ArtifactsInput!$M$15,CHOOSE(ArtifactsInput!$N$15+1,25,30,35,40,45,50)/100*(Inputs!$B$11-Inputs!$B$11),0))/100)/2</f>
        <v/>
      </c>
      <c r="M3513">
        <f>L3513*(1+(Inputs!$B$10+((C3528=TRUE)*(F3528-Calc!F27))+B3542+(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3513">
        <f>L3513*(1-MIN((Inputs!$B$9+((C3527=TRUE)*(F3527-Calc!F26))+B3535+(ArtifactsInput!$M$24-ArtifactsInput!$M$24)*CHOOSE(ArtifactsInput!$N$24+1,10,12,14,16,18,20)+(IF(AND(Inputs!$B$39&lt;&gt;"pvp",Inputs!$B$44=0),1,IF(IF(Inputs!$B$39="pvp",15,Inputs!$B$44)-(B3546)&lt;=0,1,MAX(0,IF(Inputs!$B$39="pvp",15,Inputs!$B$44)-MAX(5,B3546))/(IF(Inputs!$B$39="pvp",15,Inputs!$B$44)-(B3546))))*IF(AND(ArtifactsInput!$M$42,((Inputs!$B$9+((C3527=TRUE)*(F3527-Calc!F26))+B3535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3513*(MIN((Inputs!$B$9+((C3527=TRUE)*(F3527-Calc!F26))+B3535+(ArtifactsInput!$M$24-ArtifactsInput!$M$24)*CHOOSE(ArtifactsInput!$N$24+1,10,12,14,16,18,20)+(IF(AND(Inputs!$B$39&lt;&gt;"pvp",Inputs!$B$44=0),1,IF(IF(Inputs!$B$39="pvp",15,Inputs!$B$44)-(B3546)&lt;=0,1,MAX(0,IF(Inputs!$B$39="pvp",15,Inputs!$B$44)-MAX(5,B3546))/(IF(Inputs!$B$39="pvp",15,Inputs!$B$44)-(B3546))))*IF(AND(ArtifactsInput!$M$42,((Inputs!$B$9+((C3527=TRUE)*(F3527-Calc!F26))+B3535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3513">
        <f>(1-Summary!$B$11)*T3513+Summary!$B$11*V3513</f>
        <v/>
      </c>
      <c r="P3513">
        <f>IF(B3547=0,0,O3513/B3547)</f>
        <v/>
      </c>
      <c r="Q3513">
        <f>IFERROR(1/IF(Inputs!$B$39="pvp",15,MAX(0.1,Skills!D12-IF(TRUE=TRUE,2.5,0))),0)</f>
        <v/>
      </c>
      <c r="R3513">
        <f>IF(AND(Inputs!$B$39&lt;&gt;"pvp",Inputs!$B$44&gt;0),IF(MAX(0,Inputs!$B$44-B3546)&lt;=0,0,(INT(MAX(0,Inputs!$B$44-B3546)/IF(Inputs!$B$39="pvp",15,MAX(0.1,Skills!D12-IF(TRUE=TRUE,2.5,0))))+1)),0)</f>
        <v/>
      </c>
      <c r="S3513">
        <f>IFERROR(O3513/N3513,0)</f>
        <v/>
      </c>
      <c r="T3513">
        <f>IF(C3513,(H3513*N3513*IF(AND(Inputs!$B$39&lt;&gt;"pvp",Inputs!$B$44&gt;0),((Skills!G12*((R3513-1)*IF(Skills!H12&gt;0,Skills!I12/Skills!H12,1)+IF(Skills!H12&gt;0,MIN(Skills!I12,MAX(0,MAX(0,Inputs!$B$44-B3546)-((R3513-1)*IF(Inputs!$B$39="pvp",15,MAX(0.1,Skills!D12-IF(TRUE=TRUE,2.5,0))))))/Skills!H12,1)))/Inputs!$B$44),G3513*Q3513))*IF(Inputs!$B$39="pvp",1,1+(Inputs!$B$20+0+Skills!P12+B3536+(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Hunt"),CHOOSE(ArtifactsInput!$N$35+1,15,18,21,24,27,30)*(1-EXP(-(0.2*B3539)*5)),0)+IF(AND(ArtifactsInput!$M$22,Inputs!$B$4&lt;&gt;"Chapter Hunt"),CHOOSE(ArtifactsInput!$N$22+1,10,12,14,16,18,20)*((0*(((0.15*B3539*5))^0/1)+1*(((0.15*B3539*5))^1/1)+2*(((0.15*B3539*5))^2/2)+3*(((0.15*B3539*5))^3/6)+4*(((0.15*B3539*5))^4/24)+5*(((0.15*B3539*5))^5/120))/((((0.15*B3539*5))^0/1)+(((0.15*B3539*5))^1/1)+(((0.15*B3539*5))^2/2)+(((0.15*B3539*5))^3/6)+(((0.15*B3539*5))^4/24)+(((0.15*B3539*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3513*(1-MIN(100,(Inputs!$B$9+((C3527=TRUE)*(F3527-Calc!F26))+B3535+(ArtifactsInput!$M$24-ArtifactsInput!$M$24)*CHOOSE(ArtifactsInput!$N$24+1,10,12,14,16,18,20)+(IF(AND(Inputs!$B$39&lt;&gt;"pvp",Inputs!$B$44=0),1,IF(IF(Inputs!$B$39="pvp",15,Inputs!$B$44)-(B3546)&lt;=0,1,MAX(0,IF(Inputs!$B$39="pvp",15,Inputs!$B$44)-MAX(5,B3546))/(IF(Inputs!$B$39="pvp",15,Inputs!$B$44)-(B3546))))*IF(AND(ArtifactsInput!$M$42,((Inputs!$B$9+((C3527=TRUE)*(F3527-Calc!F26))+B3535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3513*(MIN(100,(Inputs!$B$9+((C3527=TRUE)*(F3527-Calc!F26))+B3535+(ArtifactsInput!$M$24-ArtifactsInput!$M$24)*CHOOSE(ArtifactsInput!$N$24+1,10,12,14,16,18,20)+(IF(AND(Inputs!$B$39&lt;&gt;"pvp",Inputs!$B$44=0),1,IF(IF(Inputs!$B$39="pvp",15,Inputs!$B$44)-(B3546)&lt;=0,1,MAX(0,IF(Inputs!$B$39="pvp",15,Inputs!$B$44)-MAX(5,B3546))/(IF(Inputs!$B$39="pvp",15,Inputs!$B$44)-(B3546))))*IF(AND(ArtifactsInput!$M$42,((Inputs!$B$9+((C3527=TRUE)*(F3527-Calc!F26))+B3535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3513*(1-MIN(100,(Inputs!$B$9+((C3527=TRUE)*(F3527-Calc!F26))+B3535+(ArtifactsInput!$M$24-ArtifactsInput!$M$24)*CHOOSE(ArtifactsInput!$N$24+1,10,12,14,16,18,20)+(IF(AND(Inputs!$B$39&lt;&gt;"pvp",Inputs!$B$44=0),1,IF(IF(Inputs!$B$39="pvp",15,Inputs!$B$44)-(B3546)&lt;=0,1,MAX(0,IF(Inputs!$B$39="pvp",15,Inputs!$B$44)-MAX(5,B3546))/(IF(Inputs!$B$39="pvp",15,Inputs!$B$44)-(B3546))))*IF(AND(ArtifactsInput!$M$42,((Inputs!$B$9+((C3527=TRUE)*(F3527-Calc!F26))+B3535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3513*(MIN(100,(Inputs!$B$9+((C3527=TRUE)*(F3527-Calc!F26))+B3535+(ArtifactsInput!$M$24-ArtifactsInput!$M$24)*CHOOSE(ArtifactsInput!$N$24+1,10,12,14,16,18,20)+(IF(AND(Inputs!$B$39&lt;&gt;"pvp",Inputs!$B$44=0),1,IF(IF(Inputs!$B$39="pvp",15,Inputs!$B$44)-(B3546)&lt;=0,1,MAX(0,IF(Inputs!$B$39="pvp",15,Inputs!$B$44)-MAX(5,B3546))/(IF(Inputs!$B$39="pvp",15,Inputs!$B$44)-(B3546))))*IF(AND(ArtifactsInput!$M$42,((Inputs!$B$9+((C3527=TRUE)*(F3527-Calc!F26))+B3535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3513">
        <f>IF(C3513,(H3513*N3513*IF(AND(Inputs!$B$39&lt;&gt;"pvp",Inputs!$B$44&gt;0),((Skills!G12*((R3513-1)*IF(Skills!H12&gt;0,Skills!I12/Skills!H12,1)+IF(Skills!H12&gt;0,MIN(Skills!I12,MAX(0,MAX(0,Inputs!$B$44-B3546)-((R3513-1)*IF(Inputs!$B$39="pvp",15,MAX(0.1,Skills!D12-IF(TRUE=TRUE,2.5,0))))))/Skills!H12,1)))/Inputs!$B$44),G3513*Q3513))*IF(Inputs!$B$39="pvp",1,(1+(Inputs!$B$21+Skills!Q12+B3536+(IF(ArtifactsInput!$M$33,CHOOSE(ArtifactsInput!$N$33+1,30,36,42,48,54,60),0))+(IF(AND(ArtifactsInput!$M$35,Inputs!$B$4&lt;&gt;"Chapter Hunt"),CHOOSE(ArtifactsInput!$N$35+1,15,18,21,24,27,30)*(1-EXP(-(0.2*B3539)*5)),0)+IF(AND(ArtifactsInput!$M$22,Inputs!$B$4&lt;&gt;"Chapter Hunt"),CHOOSE(ArtifactsInput!$N$22+1,10,12,14,16,18,20)*((0*(((0.15*B3539*5))^0/1)+1*(((0.15*B3539*5))^1/1)+2*(((0.15*B3539*5))^2/2)+3*(((0.15*B3539*5))^3/6)+4*(((0.15*B3539*5))^4/24)+5*(((0.15*B3539*5))^5/120))/((((0.15*B3539*5))^0/1)+(((0.15*B3539*5))^1/1)+(((0.15*B3539*5))^2/2)+(((0.15*B3539*5))^3/6)+(((0.15*B3539*5))^4/24)+(((0.15*B3539*5))^5/120))),0)))/100)*(MIN(Skills!W12,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3514">
      <c r="A3514">
        <f>Skills!A13</f>
        <v/>
      </c>
      <c r="B3514">
        <f>Skills!B13</f>
        <v/>
      </c>
      <c r="C3514">
        <f>Inputs!$B$3&gt;=105</f>
        <v/>
      </c>
      <c r="D3514">
        <f>IF(Skills!C13=1,60+Inputs!$B$25+Inputs!$B$29,IF(Skills!C13=2,90+Inputs!$B$26+Inputs!$B$29,IF(Skills!C13=3,120+Inputs!$B$27+Inputs!$B$29,MAX(0,(Inputs!$B$3-100)*3)+Inputs!$B$28+Inputs!$B$29)))</f>
        <v/>
      </c>
      <c r="E3514">
        <f>INDEX(FactorTable!$B$2:$Y$301, MATCH(ROUND(MIN(300,MAX(1,D3514)),0), FactorTable!$A$2:$A$301,0), Skills!M13+1)</f>
        <v/>
      </c>
      <c r="F3514">
        <f>IF(Skills!N13=TRUE,(Skills!L13/10)*(E3514/1000),Skills!L13/10)+Skills!O13</f>
        <v/>
      </c>
      <c r="G3514">
        <f>Skills!G13*IF(Skills!H13&gt;0,IF(Inputs!$B$39="pvp",MIN(Skills!I13,15),Skills!I13)/Skills!H13,1)</f>
        <v/>
      </c>
      <c r="H3514">
        <f>1-(1-Skills!J13/100)^Skills!K13</f>
        <v/>
      </c>
      <c r="I3514" t="inlineStr">
        <is>
          <t>1</t>
        </is>
      </c>
      <c r="J3514">
        <f>((Inputs!$B$6*(1+Inputs!$B$7/100))+(((Inputs!$B$12*(1+Inputs!$B$13/100))-(Inputs!$B$12*(1+Inputs!$B$13/100)))+0.25*(Inputs!$B$14-Inputs!$B$14))*(1+Inputs!$B$7/100))*(F3514/100)</f>
        <v/>
      </c>
      <c r="K3514">
        <f>J3514*(1+((Inputs!$B$12*(1+Inputs!$B$13/100))*0.01+Inputs!$B$14*0.0025)/100)*(1+Inputs!$B$15/100)*(1+Inputs!$B$16/100)*(5000/(6000+Inputs!$B$43*(1-(100*(1-(1-Inputs!$B$19/100)*(1-CHOOSE(ArtifactsInput!$N$40+1,5,6,7,8,9,10)/100)^(ArtifactsInput!$M$40-ArtifactsInput!$M$40)))/100)))*(1+(Inputs!$B$24+((C3532=TRUE)*(F3532-Calc!F31))+((C3519=TRUE)*(F3519-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13="CRUEL_STAB",Inputs!$B$17+((C3529=TRUE)*(F3529-Calc!F28))+((IF(AND(Inputs!$B$39&lt;&gt;"pvp",Inputs!$B$44=0),1,IF(IF(Inputs!$B$39="pvp",15,Inputs!$B$44)-(B3546)&lt;=0,1,MAX(0,IF(Inputs!$B$39="pvp",15,Inputs!$B$44)-MAX(5,B3546))/(IF(Inputs!$B$39="pvp",15,Inputs!$B$44)-(B3546))))*(IF(AND(ArtifactsInput!$M$42,((Inputs!$B$9+((C3527=TRUE)*(F3527-Calc!F26))+B3535+(ArtifactsInput!$M$24-ArtifactsInput!$M$24)*CHOOSE(ArtifactsInput!$N$24+1,10,12,14,16,18,20)+IF(ArtifactsInput!$M$10,CHOOSE(ArtifactsInput!$N$10+1,15,18,21,24,27,30)*(IF(Inputs!$B$39="pvp",MIN(15,15)/15,IF(AND(Inputs!$B$39&lt;&gt;"pvp",Inputs!$B$44&gt;0),MIN(15,Inputs!$B$44)/(Inputs!$B$44),0))),0)))&gt;=100),MIN(100,((Inputs!$B$9+((C3527=TRUE)*(F3527-Calc!F26))+B3535+(ArtifactsInput!$M$24-ArtifactsInput!$M$24)*CHOOSE(ArtifactsInput!$N$24+1,10,12,14,16,18,20)+IF(ArtifactsInput!$M$10,CHOOSE(ArtifactsInput!$N$10+1,15,18,21,24,27,30)*(IF(Inputs!$B$39="pvp",MIN(15,15)/15,IF(AND(Inputs!$B$39&lt;&gt;"pvp",Inputs!$B$44&gt;0),MIN(15,Inputs!$B$44)/(Inputs!$B$44),0))),0)))-100),0))*CHOOSE(ArtifactsInput!$N$42+1,0.6,0.72,0.84,0.96,1.08,1.2))),Inputs!$B$18+((C3530=TRUE)*(F3530-Calc!F29))+(IF(AND(Inputs!$B$39&lt;&gt;"pvp",Inputs!$B$44=0),1,IF(IF(Inputs!$B$39="pvp",15,Inputs!$B$44)-(B3546)&lt;=0,1,MAX(0,IF(Inputs!$B$39="pvp",15,Inputs!$B$44)-MAX(5,B3546))/(IF(Inputs!$B$39="pvp",15,Inputs!$B$44)-(B3546))))*IF(AND(ArtifactsInput!$M$42,((Inputs!$B$9+((C3527=TRUE)*(F3527-Calc!F26))+B3535+(ArtifactsInput!$M$24-ArtifactsInput!$M$24)*CHOOSE(ArtifactsInput!$N$24+1,10,12,14,16,18,20)+IF(ArtifactsInput!$M$10,CHOOSE(ArtifactsInput!$N$10+1,15,18,21,24,27,30)*(IF(Inputs!$B$39="pvp",MIN(15,15)/15,IF(AND(Inputs!$B$39&lt;&gt;"pvp",Inputs!$B$44&gt;0),MIN(15,Inputs!$B$44)/(Inputs!$B$44),0))),0)))&gt;=100),CHOOSE(ArtifactsInput!$N$42+1,40,48,56,64,72,80),0))))/100)*(((1+(((C3523=TRUE)*F3523*IF(AND(Inputs!$B$39&lt;&gt;"pvp",Inputs!$B$44&gt;0),(((R3523-1)*MIN((Skills!Y22*(1+Inputs!$B$34/100)),(1/Q3523))+MIN((Skills!Y22*(1+Inputs!$B$34/100)),MAX(0,Inputs!$B$44-((R3523-1)*(1/Q3523)))))/Inputs!$B$44),IF(Inputs!$B$39="pvp",MIN((Skills!Y22*(1+Inputs!$B$34/100)),15)/15,MIN(1,(Skills!Y22*(1+Inputs!$B$34/100))/(1/Q3523)))))+((C3504=TRUE)*F3504*3)+((C3506=TRUE)*F3506*(1-EXP(-0.75*B3539*5)))+((C3525=TRUE)*(F3525-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3512=TRUE)*F3512*IF(AND(Inputs!$B$39&lt;&gt;"pvp",Inputs!$B$44&gt;0),(((R3512-1)*MIN((Skills!Y11*(1+Inputs!$B$34/100)),(1/Q3512))+MIN((Skills!Y11*(1+Inputs!$B$34/100)),MAX(0,Inputs!$B$44-((R3512-1)*(1/Q3512)))))/Inputs!$B$44),IF(Inputs!$B$39="pvp",MIN((Skills!Y11*(1+Inputs!$B$34/100)),15)/15,MIN(1,(Skills!Y11*(1+Inputs!$B$34/100))/(1/Q3512)))))/100)*(1+((C3517=TRUE)*F3517*IF(AND(Inputs!$B$39&lt;&gt;"pvp",Inputs!$B$44&gt;0),(((R3517-1)*MIN((Skills!Y16*(1+Inputs!$B$34/100)),(1/Q3517))+MIN((Skills!Y16*(1+Inputs!$B$34/100)),MAX(0,Inputs!$B$44-((R3517-1)*(1/Q3517)))))/Inputs!$B$44),IF(Inputs!$B$39="pvp",MIN((Skills!Y16*(1+Inputs!$B$34/100)),15)/15,MIN(1,(Skills!Y16*(1+Inputs!$B$34/100))/(1/Q3517)))))/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3537*I3514)</f>
        <v/>
      </c>
      <c r="L3514">
        <f>K3514*(MIN(Inputs!$B$22+((C3526=TRUE)*(F3526-Calc!F25)),(Inputs!$B$23+((C3531=TRUE)*(F3531-Calc!F30))+IF(ArtifactsInput!$M$15,CHOOSE(ArtifactsInput!$N$15+1,25,30,35,40,45,50)/100*(Inputs!$B$11-Inputs!$B$11),0)))/100+(Inputs!$B$23+((C3531=TRUE)*(F3531-Calc!F30))+IF(ArtifactsInput!$M$15,CHOOSE(ArtifactsInput!$N$15+1,25,30,35,40,45,50)/100*(Inputs!$B$11-Inputs!$B$11),0))/100)/2</f>
        <v/>
      </c>
      <c r="M3514">
        <f>L3514*(1+(Inputs!$B$10+((C3528=TRUE)*(F3528-Calc!F27))+B3542+(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3514">
        <f>L3514*(1-MIN((Inputs!$B$9+((C3527=TRUE)*(F3527-Calc!F26))+B3535+(ArtifactsInput!$M$24-ArtifactsInput!$M$24)*CHOOSE(ArtifactsInput!$N$24+1,10,12,14,16,18,20)+(IF(AND(Inputs!$B$39&lt;&gt;"pvp",Inputs!$B$44=0),1,IF(IF(Inputs!$B$39="pvp",15,Inputs!$B$44)-(B3546)&lt;=0,1,MAX(0,IF(Inputs!$B$39="pvp",15,Inputs!$B$44)-MAX(5,B3546))/(IF(Inputs!$B$39="pvp",15,Inputs!$B$44)-(B3546))))*IF(AND(ArtifactsInput!$M$42,((Inputs!$B$9+((C3527=TRUE)*(F3527-Calc!F26))+B3535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3514*(MIN((Inputs!$B$9+((C3527=TRUE)*(F3527-Calc!F26))+B3535+(ArtifactsInput!$M$24-ArtifactsInput!$M$24)*CHOOSE(ArtifactsInput!$N$24+1,10,12,14,16,18,20)+(IF(AND(Inputs!$B$39&lt;&gt;"pvp",Inputs!$B$44=0),1,IF(IF(Inputs!$B$39="pvp",15,Inputs!$B$44)-(B3546)&lt;=0,1,MAX(0,IF(Inputs!$B$39="pvp",15,Inputs!$B$44)-MAX(5,B3546))/(IF(Inputs!$B$39="pvp",15,Inputs!$B$44)-(B3546))))*IF(AND(ArtifactsInput!$M$42,((Inputs!$B$9+((C3527=TRUE)*(F3527-Calc!F26))+B3535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3514">
        <f>(1-Summary!$B$11)*T3514+Summary!$B$11*V3514</f>
        <v/>
      </c>
      <c r="P3514">
        <f>IF(B3547=0,0,O3514/B3547)</f>
        <v/>
      </c>
      <c r="Q3514">
        <f>IFERROR(1/IF(Inputs!$B$39="pvp",15,MAX(0.1,Skills!D13-IF(TRUE=TRUE,2.5,0))),0)</f>
        <v/>
      </c>
      <c r="R3514">
        <f>IF(AND(Inputs!$B$39&lt;&gt;"pvp",Inputs!$B$44&gt;0),IF(MAX(0,Inputs!$B$44-B3546)&lt;=0,0,(INT(MAX(0,Inputs!$B$44-B3546)/IF(Inputs!$B$39="pvp",15,MAX(0.1,Skills!D13-IF(TRUE=TRUE,2.5,0))))+1)),0)</f>
        <v/>
      </c>
      <c r="S3514">
        <f>IFERROR(O3514/N3514,0)</f>
        <v/>
      </c>
      <c r="T3514">
        <f>IF(C3514,(H3514*N3514*IF(AND(Inputs!$B$39&lt;&gt;"pvp",Inputs!$B$44&gt;0),((Skills!G13*((R3514-1)*IF(Skills!H13&gt;0,Skills!I13/Skills!H13,1)+IF(Skills!H13&gt;0,MIN(Skills!I13,MAX(0,MAX(0,Inputs!$B$44-B3546)-((R3514-1)*IF(Inputs!$B$39="pvp",15,MAX(0.1,Skills!D13-IF(TRUE=TRUE,2.5,0))))))/Skills!H13,1)))/Inputs!$B$44),G3514*Q3514))*IF(Inputs!$B$39="pvp",1,1+(Inputs!$B$20+0+Skills!P13+B3536+(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Hunt"),CHOOSE(ArtifactsInput!$N$35+1,15,18,21,24,27,30)*(1-EXP(-(0.2*B3539)*5)),0)+IF(AND(ArtifactsInput!$M$22,Inputs!$B$4&lt;&gt;"Chapter Hunt"),CHOOSE(ArtifactsInput!$N$22+1,10,12,14,16,18,20)*((0*(((0.15*B3539*5))^0/1)+1*(((0.15*B3539*5))^1/1)+2*(((0.15*B3539*5))^2/2)+3*(((0.15*B3539*5))^3/6)+4*(((0.15*B3539*5))^4/24)+5*(((0.15*B3539*5))^5/120))/((((0.15*B3539*5))^0/1)+(((0.15*B3539*5))^1/1)+(((0.15*B3539*5))^2/2)+(((0.15*B3539*5))^3/6)+(((0.15*B3539*5))^4/24)+(((0.15*B3539*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3514*(1-MIN(100,(Inputs!$B$9+((C3527=TRUE)*(F3527-Calc!F26))+B3535+(ArtifactsInput!$M$24-ArtifactsInput!$M$24)*CHOOSE(ArtifactsInput!$N$24+1,10,12,14,16,18,20)+(IF(AND(Inputs!$B$39&lt;&gt;"pvp",Inputs!$B$44=0),1,IF(IF(Inputs!$B$39="pvp",15,Inputs!$B$44)-(B3546)&lt;=0,1,MAX(0,IF(Inputs!$B$39="pvp",15,Inputs!$B$44)-MAX(5,B3546))/(IF(Inputs!$B$39="pvp",15,Inputs!$B$44)-(B3546))))*IF(AND(ArtifactsInput!$M$42,((Inputs!$B$9+((C3527=TRUE)*(F3527-Calc!F26))+B3535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3514*(MIN(100,(Inputs!$B$9+((C3527=TRUE)*(F3527-Calc!F26))+B3535+(ArtifactsInput!$M$24-ArtifactsInput!$M$24)*CHOOSE(ArtifactsInput!$N$24+1,10,12,14,16,18,20)+(IF(AND(Inputs!$B$39&lt;&gt;"pvp",Inputs!$B$44=0),1,IF(IF(Inputs!$B$39="pvp",15,Inputs!$B$44)-(B3546)&lt;=0,1,MAX(0,IF(Inputs!$B$39="pvp",15,Inputs!$B$44)-MAX(5,B3546))/(IF(Inputs!$B$39="pvp",15,Inputs!$B$44)-(B3546))))*IF(AND(ArtifactsInput!$M$42,((Inputs!$B$9+((C3527=TRUE)*(F3527-Calc!F26))+B3535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3514*(1-MIN(100,(Inputs!$B$9+((C3527=TRUE)*(F3527-Calc!F26))+B3535+(ArtifactsInput!$M$24-ArtifactsInput!$M$24)*CHOOSE(ArtifactsInput!$N$24+1,10,12,14,16,18,20)+(IF(AND(Inputs!$B$39&lt;&gt;"pvp",Inputs!$B$44=0),1,IF(IF(Inputs!$B$39="pvp",15,Inputs!$B$44)-(B3546)&lt;=0,1,MAX(0,IF(Inputs!$B$39="pvp",15,Inputs!$B$44)-MAX(5,B3546))/(IF(Inputs!$B$39="pvp",15,Inputs!$B$44)-(B3546))))*IF(AND(ArtifactsInput!$M$42,((Inputs!$B$9+((C3527=TRUE)*(F3527-Calc!F26))+B3535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3514*(MIN(100,(Inputs!$B$9+((C3527=TRUE)*(F3527-Calc!F26))+B3535+(ArtifactsInput!$M$24-ArtifactsInput!$M$24)*CHOOSE(ArtifactsInput!$N$24+1,10,12,14,16,18,20)+(IF(AND(Inputs!$B$39&lt;&gt;"pvp",Inputs!$B$44=0),1,IF(IF(Inputs!$B$39="pvp",15,Inputs!$B$44)-(B3546)&lt;=0,1,MAX(0,IF(Inputs!$B$39="pvp",15,Inputs!$B$44)-MAX(5,B3546))/(IF(Inputs!$B$39="pvp",15,Inputs!$B$44)-(B3546))))*IF(AND(ArtifactsInput!$M$42,((Inputs!$B$9+((C3527=TRUE)*(F3527-Calc!F26))+B3535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3514">
        <f>IF(C3514,(H3514*N3514*IF(AND(Inputs!$B$39&lt;&gt;"pvp",Inputs!$B$44&gt;0),((Skills!G13*((R3514-1)*IF(Skills!H13&gt;0,Skills!I13/Skills!H13,1)+IF(Skills!H13&gt;0,MIN(Skills!I13,MAX(0,MAX(0,Inputs!$B$44-B3546)-((R3514-1)*IF(Inputs!$B$39="pvp",15,MAX(0.1,Skills!D13-IF(TRUE=TRUE,2.5,0))))))/Skills!H13,1)))/Inputs!$B$44),G3514*Q3514))*IF(Inputs!$B$39="pvp",1,(1+(Inputs!$B$21+Skills!Q13+B3536+(IF(ArtifactsInput!$M$33,CHOOSE(ArtifactsInput!$N$33+1,30,36,42,48,54,60),0))+(IF(AND(ArtifactsInput!$M$35,Inputs!$B$4&lt;&gt;"Chapter Hunt"),CHOOSE(ArtifactsInput!$N$35+1,15,18,21,24,27,30)*(1-EXP(-(0.2*B3539)*5)),0)+IF(AND(ArtifactsInput!$M$22,Inputs!$B$4&lt;&gt;"Chapter Hunt"),CHOOSE(ArtifactsInput!$N$22+1,10,12,14,16,18,20)*((0*(((0.15*B3539*5))^0/1)+1*(((0.15*B3539*5))^1/1)+2*(((0.15*B3539*5))^2/2)+3*(((0.15*B3539*5))^3/6)+4*(((0.15*B3539*5))^4/24)+5*(((0.15*B3539*5))^5/120))/((((0.15*B3539*5))^0/1)+(((0.15*B3539*5))^1/1)+(((0.15*B3539*5))^2/2)+(((0.15*B3539*5))^3/6)+(((0.15*B3539*5))^4/24)+(((0.15*B3539*5))^5/120))),0)))/100)*(MIN(Skills!W13,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3515">
      <c r="A3515">
        <f>Skills!A14</f>
        <v/>
      </c>
      <c r="B3515">
        <f>Skills!B14</f>
        <v/>
      </c>
      <c r="C3515">
        <f>Inputs!$B$3&gt;=105</f>
        <v/>
      </c>
      <c r="D3515">
        <f>IF(Skills!C14=1,60+Inputs!$B$25+Inputs!$B$29,IF(Skills!C14=2,90+Inputs!$B$26+Inputs!$B$29,IF(Skills!C14=3,120+Inputs!$B$27+Inputs!$B$29,MAX(0,(Inputs!$B$3-100)*3)+Inputs!$B$28+Inputs!$B$29)))</f>
        <v/>
      </c>
      <c r="E3515">
        <f>INDEX(FactorTable!$B$2:$Y$301, MATCH(ROUND(MIN(300,MAX(1,D3515)),0), FactorTable!$A$2:$A$301,0), Skills!M14+1)</f>
        <v/>
      </c>
      <c r="F3515">
        <f>IF(Skills!N14=TRUE,(Skills!L14/10)*(E3515/1000),Skills!L14/10)+Skills!O14</f>
        <v/>
      </c>
      <c r="G3515">
        <f>Skills!G14*IF(Skills!H14&gt;0,IF(Inputs!$B$39="pvp",MIN(Skills!I14,15),Skills!I14)/Skills!H14,1)</f>
        <v/>
      </c>
      <c r="H3515">
        <f>1-(1-Skills!J14/100)^Skills!K14</f>
        <v/>
      </c>
      <c r="I3515" t="inlineStr">
        <is>
          <t>1</t>
        </is>
      </c>
      <c r="J3515">
        <f>((Inputs!$B$6*(1+Inputs!$B$7/100))+(((Inputs!$B$12*(1+Inputs!$B$13/100))-(Inputs!$B$12*(1+Inputs!$B$13/100)))+0.25*(Inputs!$B$14-Inputs!$B$14))*(1+Inputs!$B$7/100))*(F3515/100)</f>
        <v/>
      </c>
      <c r="K3515">
        <f>J3515*(1+((Inputs!$B$12*(1+Inputs!$B$13/100))*0.01+Inputs!$B$14*0.0025)/100)*(1+Inputs!$B$15/100)*(1+Inputs!$B$16/100)*(5000/(6000+Inputs!$B$43*(1-(100*(1-(1-Inputs!$B$19/100)*(1-CHOOSE(ArtifactsInput!$N$40+1,5,6,7,8,9,10)/100)^(ArtifactsInput!$M$40-ArtifactsInput!$M$40)))/100)))*(1+(Inputs!$B$24+((C3532=TRUE)*(F3532-Calc!F31))+((C3519=TRUE)*(F3519-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14="CRUEL_STAB",Inputs!$B$17+((C3529=TRUE)*(F3529-Calc!F28))+((IF(AND(Inputs!$B$39&lt;&gt;"pvp",Inputs!$B$44=0),1,IF(IF(Inputs!$B$39="pvp",15,Inputs!$B$44)-(B3546)&lt;=0,1,MAX(0,IF(Inputs!$B$39="pvp",15,Inputs!$B$44)-MAX(5,B3546))/(IF(Inputs!$B$39="pvp",15,Inputs!$B$44)-(B3546))))*(IF(AND(ArtifactsInput!$M$42,((Inputs!$B$9+((C3527=TRUE)*(F3527-Calc!F26))+B3535+(ArtifactsInput!$M$24-ArtifactsInput!$M$24)*CHOOSE(ArtifactsInput!$N$24+1,10,12,14,16,18,20)+IF(ArtifactsInput!$M$10,CHOOSE(ArtifactsInput!$N$10+1,15,18,21,24,27,30)*(IF(Inputs!$B$39="pvp",MIN(15,15)/15,IF(AND(Inputs!$B$39&lt;&gt;"pvp",Inputs!$B$44&gt;0),MIN(15,Inputs!$B$44)/(Inputs!$B$44),0))),0)))&gt;=100),MIN(100,((Inputs!$B$9+((C3527=TRUE)*(F3527-Calc!F26))+B3535+(ArtifactsInput!$M$24-ArtifactsInput!$M$24)*CHOOSE(ArtifactsInput!$N$24+1,10,12,14,16,18,20)+IF(ArtifactsInput!$M$10,CHOOSE(ArtifactsInput!$N$10+1,15,18,21,24,27,30)*(IF(Inputs!$B$39="pvp",MIN(15,15)/15,IF(AND(Inputs!$B$39&lt;&gt;"pvp",Inputs!$B$44&gt;0),MIN(15,Inputs!$B$44)/(Inputs!$B$44),0))),0)))-100),0))*CHOOSE(ArtifactsInput!$N$42+1,0.6,0.72,0.84,0.96,1.08,1.2))),Inputs!$B$18+((C3530=TRUE)*(F3530-Calc!F29))+(IF(AND(Inputs!$B$39&lt;&gt;"pvp",Inputs!$B$44=0),1,IF(IF(Inputs!$B$39="pvp",15,Inputs!$B$44)-(B3546)&lt;=0,1,MAX(0,IF(Inputs!$B$39="pvp",15,Inputs!$B$44)-MAX(5,B3546))/(IF(Inputs!$B$39="pvp",15,Inputs!$B$44)-(B3546))))*IF(AND(ArtifactsInput!$M$42,((Inputs!$B$9+((C3527=TRUE)*(F3527-Calc!F26))+B3535+(ArtifactsInput!$M$24-ArtifactsInput!$M$24)*CHOOSE(ArtifactsInput!$N$24+1,10,12,14,16,18,20)+IF(ArtifactsInput!$M$10,CHOOSE(ArtifactsInput!$N$10+1,15,18,21,24,27,30)*(IF(Inputs!$B$39="pvp",MIN(15,15)/15,IF(AND(Inputs!$B$39&lt;&gt;"pvp",Inputs!$B$44&gt;0),MIN(15,Inputs!$B$44)/(Inputs!$B$44),0))),0)))&gt;=100),CHOOSE(ArtifactsInput!$N$42+1,40,48,56,64,72,80),0))))/100)*(((1+(((C3523=TRUE)*F3523*IF(AND(Inputs!$B$39&lt;&gt;"pvp",Inputs!$B$44&gt;0),(((R3523-1)*MIN((Skills!Y22*(1+Inputs!$B$34/100)),(1/Q3523))+MIN((Skills!Y22*(1+Inputs!$B$34/100)),MAX(0,Inputs!$B$44-((R3523-1)*(1/Q3523)))))/Inputs!$B$44),IF(Inputs!$B$39="pvp",MIN((Skills!Y22*(1+Inputs!$B$34/100)),15)/15,MIN(1,(Skills!Y22*(1+Inputs!$B$34/100))/(1/Q3523)))))+((C3504=TRUE)*F3504*3)+((C3506=TRUE)*F3506*(1-EXP(-0.75*B3539*5)))+((C3525=TRUE)*(F3525-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3512=TRUE)*F3512*IF(AND(Inputs!$B$39&lt;&gt;"pvp",Inputs!$B$44&gt;0),(((R3512-1)*MIN((Skills!Y11*(1+Inputs!$B$34/100)),(1/Q3512))+MIN((Skills!Y11*(1+Inputs!$B$34/100)),MAX(0,Inputs!$B$44-((R3512-1)*(1/Q3512)))))/Inputs!$B$44),IF(Inputs!$B$39="pvp",MIN((Skills!Y11*(1+Inputs!$B$34/100)),15)/15,MIN(1,(Skills!Y11*(1+Inputs!$B$34/100))/(1/Q3512)))))/100)*(1+((C3517=TRUE)*F3517*IF(AND(Inputs!$B$39&lt;&gt;"pvp",Inputs!$B$44&gt;0),(((R3517-1)*MIN((Skills!Y16*(1+Inputs!$B$34/100)),(1/Q3517))+MIN((Skills!Y16*(1+Inputs!$B$34/100)),MAX(0,Inputs!$B$44-((R3517-1)*(1/Q3517)))))/Inputs!$B$44),IF(Inputs!$B$39="pvp",MIN((Skills!Y16*(1+Inputs!$B$34/100)),15)/15,MIN(1,(Skills!Y16*(1+Inputs!$B$34/100))/(1/Q3517)))))/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3537*I3515)</f>
        <v/>
      </c>
      <c r="L3515">
        <f>K3515*(MIN(Inputs!$B$22+((C3526=TRUE)*(F3526-Calc!F25)),(Inputs!$B$23+((C3531=TRUE)*(F3531-Calc!F30))+IF(ArtifactsInput!$M$15,CHOOSE(ArtifactsInput!$N$15+1,25,30,35,40,45,50)/100*(Inputs!$B$11-Inputs!$B$11),0)))/100+(Inputs!$B$23+((C3531=TRUE)*(F3531-Calc!F30))+IF(ArtifactsInput!$M$15,CHOOSE(ArtifactsInput!$N$15+1,25,30,35,40,45,50)/100*(Inputs!$B$11-Inputs!$B$11),0))/100)/2</f>
        <v/>
      </c>
      <c r="M3515">
        <f>L3515*(1+(Inputs!$B$10+((C3528=TRUE)*(F3528-Calc!F27))+B3542+(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3515">
        <f>L3515*(1-MIN((Inputs!$B$9+((C3527=TRUE)*(F3527-Calc!F26))+B3535+(ArtifactsInput!$M$24-ArtifactsInput!$M$24)*CHOOSE(ArtifactsInput!$N$24+1,10,12,14,16,18,20)+(IF(AND(Inputs!$B$39&lt;&gt;"pvp",Inputs!$B$44=0),1,IF(IF(Inputs!$B$39="pvp",15,Inputs!$B$44)-(B3546)&lt;=0,1,MAX(0,IF(Inputs!$B$39="pvp",15,Inputs!$B$44)-MAX(5,B3546))/(IF(Inputs!$B$39="pvp",15,Inputs!$B$44)-(B3546))))*IF(AND(ArtifactsInput!$M$42,((Inputs!$B$9+((C3527=TRUE)*(F3527-Calc!F26))+B3535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3515*(MIN((Inputs!$B$9+((C3527=TRUE)*(F3527-Calc!F26))+B3535+(ArtifactsInput!$M$24-ArtifactsInput!$M$24)*CHOOSE(ArtifactsInput!$N$24+1,10,12,14,16,18,20)+(IF(AND(Inputs!$B$39&lt;&gt;"pvp",Inputs!$B$44=0),1,IF(IF(Inputs!$B$39="pvp",15,Inputs!$B$44)-(B3546)&lt;=0,1,MAX(0,IF(Inputs!$B$39="pvp",15,Inputs!$B$44)-MAX(5,B3546))/(IF(Inputs!$B$39="pvp",15,Inputs!$B$44)-(B3546))))*IF(AND(ArtifactsInput!$M$42,((Inputs!$B$9+((C3527=TRUE)*(F3527-Calc!F26))+B3535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3515">
        <f>(1-Summary!$B$11)*T3515+Summary!$B$11*V3515</f>
        <v/>
      </c>
      <c r="P3515">
        <f>IF(B3547=0,0,O3515/B3547)</f>
        <v/>
      </c>
      <c r="Q3515">
        <f>IFERROR(1/IF(Inputs!$B$39="pvp",15,MAX(0.1,Skills!D14-IF(TRUE=TRUE,2.5,0))),0)</f>
        <v/>
      </c>
      <c r="R3515">
        <f>IF(AND(Inputs!$B$39&lt;&gt;"pvp",Inputs!$B$44&gt;0),IF(MAX(0,Inputs!$B$44-B3546)&lt;=0,0,(INT(MAX(0,Inputs!$B$44-B3546)/IF(Inputs!$B$39="pvp",15,MAX(0.1,Skills!D14-IF(TRUE=TRUE,2.5,0))))+1)),0)</f>
        <v/>
      </c>
      <c r="S3515">
        <f>IFERROR(O3515/N3515,0)</f>
        <v/>
      </c>
      <c r="T3515">
        <f>IF(C3515,(H3515*N3515*IF(AND(Inputs!$B$39&lt;&gt;"pvp",Inputs!$B$44&gt;0),((Skills!G14*((R3515-1)*IF(Skills!H14&gt;0,Skills!I14/Skills!H14,1)+IF(Skills!H14&gt;0,MIN(Skills!I14,MAX(0,MAX(0,Inputs!$B$44-B3546)-((R3515-1)*IF(Inputs!$B$39="pvp",15,MAX(0.1,Skills!D14-IF(TRUE=TRUE,2.5,0))))))/Skills!H14,1)))/Inputs!$B$44),G3515*Q3515))*IF(Inputs!$B$39="pvp",1,1+(Inputs!$B$20+0+Skills!P14+B3536+(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Hunt"),CHOOSE(ArtifactsInput!$N$35+1,15,18,21,24,27,30)*(1-EXP(-(0.2*B3539)*5)),0)+IF(AND(ArtifactsInput!$M$22,Inputs!$B$4&lt;&gt;"Chapter Hunt"),CHOOSE(ArtifactsInput!$N$22+1,10,12,14,16,18,20)*((0*(((0.15*B3539*5))^0/1)+1*(((0.15*B3539*5))^1/1)+2*(((0.15*B3539*5))^2/2)+3*(((0.15*B3539*5))^3/6)+4*(((0.15*B3539*5))^4/24)+5*(((0.15*B3539*5))^5/120))/((((0.15*B3539*5))^0/1)+(((0.15*B3539*5))^1/1)+(((0.15*B3539*5))^2/2)+(((0.15*B3539*5))^3/6)+(((0.15*B3539*5))^4/24)+(((0.15*B3539*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3515*(1-MIN(100,(Inputs!$B$9+((C3527=TRUE)*(F3527-Calc!F26))+B3535+(ArtifactsInput!$M$24-ArtifactsInput!$M$24)*CHOOSE(ArtifactsInput!$N$24+1,10,12,14,16,18,20)+(IF(AND(Inputs!$B$39&lt;&gt;"pvp",Inputs!$B$44=0),1,IF(IF(Inputs!$B$39="pvp",15,Inputs!$B$44)-(B3546)&lt;=0,1,MAX(0,IF(Inputs!$B$39="pvp",15,Inputs!$B$44)-MAX(5,B3546))/(IF(Inputs!$B$39="pvp",15,Inputs!$B$44)-(B3546))))*IF(AND(ArtifactsInput!$M$42,((Inputs!$B$9+((C3527=TRUE)*(F3527-Calc!F26))+B3535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3515*(MIN(100,(Inputs!$B$9+((C3527=TRUE)*(F3527-Calc!F26))+B3535+(ArtifactsInput!$M$24-ArtifactsInput!$M$24)*CHOOSE(ArtifactsInput!$N$24+1,10,12,14,16,18,20)+(IF(AND(Inputs!$B$39&lt;&gt;"pvp",Inputs!$B$44=0),1,IF(IF(Inputs!$B$39="pvp",15,Inputs!$B$44)-(B3546)&lt;=0,1,MAX(0,IF(Inputs!$B$39="pvp",15,Inputs!$B$44)-MAX(5,B3546))/(IF(Inputs!$B$39="pvp",15,Inputs!$B$44)-(B3546))))*IF(AND(ArtifactsInput!$M$42,((Inputs!$B$9+((C3527=TRUE)*(F3527-Calc!F26))+B3535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3515*(1-MIN(100,(Inputs!$B$9+((C3527=TRUE)*(F3527-Calc!F26))+B3535+(ArtifactsInput!$M$24-ArtifactsInput!$M$24)*CHOOSE(ArtifactsInput!$N$24+1,10,12,14,16,18,20)+(IF(AND(Inputs!$B$39&lt;&gt;"pvp",Inputs!$B$44=0),1,IF(IF(Inputs!$B$39="pvp",15,Inputs!$B$44)-(B3546)&lt;=0,1,MAX(0,IF(Inputs!$B$39="pvp",15,Inputs!$B$44)-MAX(5,B3546))/(IF(Inputs!$B$39="pvp",15,Inputs!$B$44)-(B3546))))*IF(AND(ArtifactsInput!$M$42,((Inputs!$B$9+((C3527=TRUE)*(F3527-Calc!F26))+B3535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3515*(MIN(100,(Inputs!$B$9+((C3527=TRUE)*(F3527-Calc!F26))+B3535+(ArtifactsInput!$M$24-ArtifactsInput!$M$24)*CHOOSE(ArtifactsInput!$N$24+1,10,12,14,16,18,20)+(IF(AND(Inputs!$B$39&lt;&gt;"pvp",Inputs!$B$44=0),1,IF(IF(Inputs!$B$39="pvp",15,Inputs!$B$44)-(B3546)&lt;=0,1,MAX(0,IF(Inputs!$B$39="pvp",15,Inputs!$B$44)-MAX(5,B3546))/(IF(Inputs!$B$39="pvp",15,Inputs!$B$44)-(B3546))))*IF(AND(ArtifactsInput!$M$42,((Inputs!$B$9+((C3527=TRUE)*(F3527-Calc!F26))+B3535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3515">
        <f>IF(C3515,(H3515*N3515*IF(AND(Inputs!$B$39&lt;&gt;"pvp",Inputs!$B$44&gt;0),((Skills!G14*((R3515-1)*IF(Skills!H14&gt;0,Skills!I14/Skills!H14,1)+IF(Skills!H14&gt;0,MIN(Skills!I14,MAX(0,MAX(0,Inputs!$B$44-B3546)-((R3515-1)*IF(Inputs!$B$39="pvp",15,MAX(0.1,Skills!D14-IF(TRUE=TRUE,2.5,0))))))/Skills!H14,1)))/Inputs!$B$44),G3515*Q3515))*IF(Inputs!$B$39="pvp",1,(1+(Inputs!$B$21+Skills!Q14+B3536+(IF(ArtifactsInput!$M$33,CHOOSE(ArtifactsInput!$N$33+1,30,36,42,48,54,60),0))+(IF(AND(ArtifactsInput!$M$35,Inputs!$B$4&lt;&gt;"Chapter Hunt"),CHOOSE(ArtifactsInput!$N$35+1,15,18,21,24,27,30)*(1-EXP(-(0.2*B3539)*5)),0)+IF(AND(ArtifactsInput!$M$22,Inputs!$B$4&lt;&gt;"Chapter Hunt"),CHOOSE(ArtifactsInput!$N$22+1,10,12,14,16,18,20)*((0*(((0.15*B3539*5))^0/1)+1*(((0.15*B3539*5))^1/1)+2*(((0.15*B3539*5))^2/2)+3*(((0.15*B3539*5))^3/6)+4*(((0.15*B3539*5))^4/24)+5*(((0.15*B3539*5))^5/120))/((((0.15*B3539*5))^0/1)+(((0.15*B3539*5))^1/1)+(((0.15*B3539*5))^2/2)+(((0.15*B3539*5))^3/6)+(((0.15*B3539*5))^4/24)+(((0.15*B3539*5))^5/120))),0)))/100)*(MIN(Skills!W14,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3516">
      <c r="A3516">
        <f>Skills!A15</f>
        <v/>
      </c>
      <c r="B3516">
        <f>Skills!B15</f>
        <v/>
      </c>
      <c r="C3516">
        <f>Inputs!$B$3&gt;=107</f>
        <v/>
      </c>
      <c r="D3516">
        <f>IF(Skills!C15=1,60+Inputs!$B$25+Inputs!$B$29,IF(Skills!C15=2,90+Inputs!$B$26+Inputs!$B$29,IF(Skills!C15=3,120+Inputs!$B$27+Inputs!$B$29,MAX(0,(Inputs!$B$3-100)*3)+Inputs!$B$28+Inputs!$B$29)))</f>
        <v/>
      </c>
      <c r="E3516">
        <f>INDEX(FactorTable!$B$2:$Y$301, MATCH(ROUND(MIN(300,MAX(1,D3516)),0), FactorTable!$A$2:$A$301,0), Skills!M15+1)</f>
        <v/>
      </c>
      <c r="F3516">
        <f>IF(Skills!N15=TRUE,(Skills!L15/10)*(E3516/1000),Skills!L15/10)+Skills!O15</f>
        <v/>
      </c>
      <c r="G3516">
        <f>Skills!G15*IF(Skills!H15&gt;0,IF(Inputs!$B$39="pvp",MIN(Skills!I15,15),Skills!I15)/Skills!H15,1)</f>
        <v/>
      </c>
      <c r="H3516">
        <f>1-(1-Skills!J15/100)^Skills!K15</f>
        <v/>
      </c>
      <c r="I3516" t="inlineStr">
        <is>
          <t>1</t>
        </is>
      </c>
      <c r="J3516">
        <f>((Inputs!$B$6*(1+Inputs!$B$7/100))+(((Inputs!$B$12*(1+Inputs!$B$13/100))-(Inputs!$B$12*(1+Inputs!$B$13/100)))+0.25*(Inputs!$B$14-Inputs!$B$14))*(1+Inputs!$B$7/100))*(F3516/100)</f>
        <v/>
      </c>
      <c r="K3516">
        <f>J3516*(1+((Inputs!$B$12*(1+Inputs!$B$13/100))*0.01+Inputs!$B$14*0.0025)/100)*(1+Inputs!$B$15/100)*(1+Inputs!$B$16/100)*(5000/(6000+Inputs!$B$43*(1-(100*(1-(1-Inputs!$B$19/100)*(1-CHOOSE(ArtifactsInput!$N$40+1,5,6,7,8,9,10)/100)^(ArtifactsInput!$M$40-ArtifactsInput!$M$40)))/100)))*(1+(Inputs!$B$24+((C3532=TRUE)*(F3532-Calc!F31))+((C3519=TRUE)*(F3519-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15="CRUEL_STAB",Inputs!$B$17+((C3529=TRUE)*(F3529-Calc!F28))+((IF(AND(Inputs!$B$39&lt;&gt;"pvp",Inputs!$B$44=0),1,IF(IF(Inputs!$B$39="pvp",15,Inputs!$B$44)-(B3546)&lt;=0,1,MAX(0,IF(Inputs!$B$39="pvp",15,Inputs!$B$44)-MAX(5,B3546))/(IF(Inputs!$B$39="pvp",15,Inputs!$B$44)-(B3546))))*(IF(AND(ArtifactsInput!$M$42,((Inputs!$B$9+((C3527=TRUE)*(F3527-Calc!F26))+B3535+(ArtifactsInput!$M$24-ArtifactsInput!$M$24)*CHOOSE(ArtifactsInput!$N$24+1,10,12,14,16,18,20)+IF(ArtifactsInput!$M$10,CHOOSE(ArtifactsInput!$N$10+1,15,18,21,24,27,30)*(IF(Inputs!$B$39="pvp",MIN(15,15)/15,IF(AND(Inputs!$B$39&lt;&gt;"pvp",Inputs!$B$44&gt;0),MIN(15,Inputs!$B$44)/(Inputs!$B$44),0))),0)))&gt;=100),MIN(100,((Inputs!$B$9+((C3527=TRUE)*(F3527-Calc!F26))+B3535+(ArtifactsInput!$M$24-ArtifactsInput!$M$24)*CHOOSE(ArtifactsInput!$N$24+1,10,12,14,16,18,20)+IF(ArtifactsInput!$M$10,CHOOSE(ArtifactsInput!$N$10+1,15,18,21,24,27,30)*(IF(Inputs!$B$39="pvp",MIN(15,15)/15,IF(AND(Inputs!$B$39&lt;&gt;"pvp",Inputs!$B$44&gt;0),MIN(15,Inputs!$B$44)/(Inputs!$B$44),0))),0)))-100),0))*CHOOSE(ArtifactsInput!$N$42+1,0.6,0.72,0.84,0.96,1.08,1.2))),Inputs!$B$18+((C3530=TRUE)*(F3530-Calc!F29))+(IF(AND(Inputs!$B$39&lt;&gt;"pvp",Inputs!$B$44=0),1,IF(IF(Inputs!$B$39="pvp",15,Inputs!$B$44)-(B3546)&lt;=0,1,MAX(0,IF(Inputs!$B$39="pvp",15,Inputs!$B$44)-MAX(5,B3546))/(IF(Inputs!$B$39="pvp",15,Inputs!$B$44)-(B3546))))*IF(AND(ArtifactsInput!$M$42,((Inputs!$B$9+((C3527=TRUE)*(F3527-Calc!F26))+B3535+(ArtifactsInput!$M$24-ArtifactsInput!$M$24)*CHOOSE(ArtifactsInput!$N$24+1,10,12,14,16,18,20)+IF(ArtifactsInput!$M$10,CHOOSE(ArtifactsInput!$N$10+1,15,18,21,24,27,30)*(IF(Inputs!$B$39="pvp",MIN(15,15)/15,IF(AND(Inputs!$B$39&lt;&gt;"pvp",Inputs!$B$44&gt;0),MIN(15,Inputs!$B$44)/(Inputs!$B$44),0))),0)))&gt;=100),CHOOSE(ArtifactsInput!$N$42+1,40,48,56,64,72,80),0))))/100)*(((1+(((C3523=TRUE)*F3523*IF(AND(Inputs!$B$39&lt;&gt;"pvp",Inputs!$B$44&gt;0),(((R3523-1)*MIN((Skills!Y22*(1+Inputs!$B$34/100)),(1/Q3523))+MIN((Skills!Y22*(1+Inputs!$B$34/100)),MAX(0,Inputs!$B$44-((R3523-1)*(1/Q3523)))))/Inputs!$B$44),IF(Inputs!$B$39="pvp",MIN((Skills!Y22*(1+Inputs!$B$34/100)),15)/15,MIN(1,(Skills!Y22*(1+Inputs!$B$34/100))/(1/Q3523)))))+((C3504=TRUE)*F3504*3)+((C3506=TRUE)*F3506*(1-EXP(-0.75*B3539*5)))+((C3525=TRUE)*(F3525-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3512=TRUE)*F3512*IF(AND(Inputs!$B$39&lt;&gt;"pvp",Inputs!$B$44&gt;0),(((R3512-1)*MIN((Skills!Y11*(1+Inputs!$B$34/100)),(1/Q3512))+MIN((Skills!Y11*(1+Inputs!$B$34/100)),MAX(0,Inputs!$B$44-((R3512-1)*(1/Q3512)))))/Inputs!$B$44),IF(Inputs!$B$39="pvp",MIN((Skills!Y11*(1+Inputs!$B$34/100)),15)/15,MIN(1,(Skills!Y11*(1+Inputs!$B$34/100))/(1/Q3512)))))/100)*(1+((C3517=TRUE)*F3517*IF(AND(Inputs!$B$39&lt;&gt;"pvp",Inputs!$B$44&gt;0),(((R3517-1)*MIN((Skills!Y16*(1+Inputs!$B$34/100)),(1/Q3517))+MIN((Skills!Y16*(1+Inputs!$B$34/100)),MAX(0,Inputs!$B$44-((R3517-1)*(1/Q3517)))))/Inputs!$B$44),IF(Inputs!$B$39="pvp",MIN((Skills!Y16*(1+Inputs!$B$34/100)),15)/15,MIN(1,(Skills!Y16*(1+Inputs!$B$34/100))/(1/Q3517)))))/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3537*I3516)</f>
        <v/>
      </c>
      <c r="L3516">
        <f>K3516*(MIN(Inputs!$B$22+((C3526=TRUE)*(F3526-Calc!F25)),(Inputs!$B$23+((C3531=TRUE)*(F3531-Calc!F30))+IF(ArtifactsInput!$M$15,CHOOSE(ArtifactsInput!$N$15+1,25,30,35,40,45,50)/100*(Inputs!$B$11-Inputs!$B$11),0)))/100+(Inputs!$B$23+((C3531=TRUE)*(F3531-Calc!F30))+IF(ArtifactsInput!$M$15,CHOOSE(ArtifactsInput!$N$15+1,25,30,35,40,45,50)/100*(Inputs!$B$11-Inputs!$B$11),0))/100)/2</f>
        <v/>
      </c>
      <c r="M3516">
        <f>L3516*(1+(Inputs!$B$10+((C3528=TRUE)*(F3528-Calc!F27))+B3542+(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3516">
        <f>L3516*(1-MIN((Inputs!$B$9+((C3527=TRUE)*(F3527-Calc!F26))+B3535+(ArtifactsInput!$M$24-ArtifactsInput!$M$24)*CHOOSE(ArtifactsInput!$N$24+1,10,12,14,16,18,20)+(IF(AND(Inputs!$B$39&lt;&gt;"pvp",Inputs!$B$44=0),1,IF(IF(Inputs!$B$39="pvp",15,Inputs!$B$44)-(B3546)&lt;=0,1,MAX(0,IF(Inputs!$B$39="pvp",15,Inputs!$B$44)-MAX(5,B3546))/(IF(Inputs!$B$39="pvp",15,Inputs!$B$44)-(B3546))))*IF(AND(ArtifactsInput!$M$42,((Inputs!$B$9+((C3527=TRUE)*(F3527-Calc!F26))+B3535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3516*(MIN((Inputs!$B$9+((C3527=TRUE)*(F3527-Calc!F26))+B3535+(ArtifactsInput!$M$24-ArtifactsInput!$M$24)*CHOOSE(ArtifactsInput!$N$24+1,10,12,14,16,18,20)+(IF(AND(Inputs!$B$39&lt;&gt;"pvp",Inputs!$B$44=0),1,IF(IF(Inputs!$B$39="pvp",15,Inputs!$B$44)-(B3546)&lt;=0,1,MAX(0,IF(Inputs!$B$39="pvp",15,Inputs!$B$44)-MAX(5,B3546))/(IF(Inputs!$B$39="pvp",15,Inputs!$B$44)-(B3546))))*IF(AND(ArtifactsInput!$M$42,((Inputs!$B$9+((C3527=TRUE)*(F3527-Calc!F26))+B3535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3516">
        <f>(1-Summary!$B$11)*T3516+Summary!$B$11*V3516</f>
        <v/>
      </c>
      <c r="P3516">
        <f>IF(B3547=0,0,O3516/B3547)</f>
        <v/>
      </c>
      <c r="Q3516">
        <f>IFERROR(1/IF(Inputs!$B$39="pvp",15,MAX(0.1,Skills!D15-IF(TRUE=TRUE,2.5,0))),0)</f>
        <v/>
      </c>
      <c r="R3516">
        <f>IF(AND(Inputs!$B$39&lt;&gt;"pvp",Inputs!$B$44&gt;0),IF(MAX(0,Inputs!$B$44-B3546)&lt;=0,0,(INT(MAX(0,Inputs!$B$44-B3546)/IF(Inputs!$B$39="pvp",15,MAX(0.1,Skills!D15-IF(TRUE=TRUE,2.5,0))))+1)),0)</f>
        <v/>
      </c>
      <c r="S3516">
        <f>IFERROR(O3516/N3516,0)</f>
        <v/>
      </c>
      <c r="T3516">
        <f>IF(C3516,(H3516*N3516*IF(AND(Inputs!$B$39&lt;&gt;"pvp",Inputs!$B$44&gt;0),((Skills!G15*((R3516-1)*IF(Skills!H15&gt;0,Skills!I15/Skills!H15,1)+IF(Skills!H15&gt;0,MIN(Skills!I15,MAX(0,MAX(0,Inputs!$B$44-B3546)-((R3516-1)*IF(Inputs!$B$39="pvp",15,MAX(0.1,Skills!D15-IF(TRUE=TRUE,2.5,0))))))/Skills!H15,1)))/Inputs!$B$44),G3516*Q3516))*IF(Inputs!$B$39="pvp",1,1+(Inputs!$B$20+0+Skills!P15+B3536+(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Hunt"),CHOOSE(ArtifactsInput!$N$35+1,15,18,21,24,27,30)*(1-EXP(-(0.2*B3539)*5)),0)+IF(AND(ArtifactsInput!$M$22,Inputs!$B$4&lt;&gt;"Chapter Hunt"),CHOOSE(ArtifactsInput!$N$22+1,10,12,14,16,18,20)*((0*(((0.15*B3539*5))^0/1)+1*(((0.15*B3539*5))^1/1)+2*(((0.15*B3539*5))^2/2)+3*(((0.15*B3539*5))^3/6)+4*(((0.15*B3539*5))^4/24)+5*(((0.15*B3539*5))^5/120))/((((0.15*B3539*5))^0/1)+(((0.15*B3539*5))^1/1)+(((0.15*B3539*5))^2/2)+(((0.15*B3539*5))^3/6)+(((0.15*B3539*5))^4/24)+(((0.15*B3539*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3516*(1-MIN(100,(Inputs!$B$9+((C3527=TRUE)*(F3527-Calc!F26))+B3535+(ArtifactsInput!$M$24-ArtifactsInput!$M$24)*CHOOSE(ArtifactsInput!$N$24+1,10,12,14,16,18,20)+(IF(AND(Inputs!$B$39&lt;&gt;"pvp",Inputs!$B$44=0),1,IF(IF(Inputs!$B$39="pvp",15,Inputs!$B$44)-(B3546)&lt;=0,1,MAX(0,IF(Inputs!$B$39="pvp",15,Inputs!$B$44)-MAX(5,B3546))/(IF(Inputs!$B$39="pvp",15,Inputs!$B$44)-(B3546))))*IF(AND(ArtifactsInput!$M$42,((Inputs!$B$9+((C3527=TRUE)*(F3527-Calc!F26))+B3535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3516*(MIN(100,(Inputs!$B$9+((C3527=TRUE)*(F3527-Calc!F26))+B3535+(ArtifactsInput!$M$24-ArtifactsInput!$M$24)*CHOOSE(ArtifactsInput!$N$24+1,10,12,14,16,18,20)+(IF(AND(Inputs!$B$39&lt;&gt;"pvp",Inputs!$B$44=0),1,IF(IF(Inputs!$B$39="pvp",15,Inputs!$B$44)-(B3546)&lt;=0,1,MAX(0,IF(Inputs!$B$39="pvp",15,Inputs!$B$44)-MAX(5,B3546))/(IF(Inputs!$B$39="pvp",15,Inputs!$B$44)-(B3546))))*IF(AND(ArtifactsInput!$M$42,((Inputs!$B$9+((C3527=TRUE)*(F3527-Calc!F26))+B3535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3516*(1-MIN(100,(Inputs!$B$9+((C3527=TRUE)*(F3527-Calc!F26))+B3535+(ArtifactsInput!$M$24-ArtifactsInput!$M$24)*CHOOSE(ArtifactsInput!$N$24+1,10,12,14,16,18,20)+(IF(AND(Inputs!$B$39&lt;&gt;"pvp",Inputs!$B$44=0),1,IF(IF(Inputs!$B$39="pvp",15,Inputs!$B$44)-(B3546)&lt;=0,1,MAX(0,IF(Inputs!$B$39="pvp",15,Inputs!$B$44)-MAX(5,B3546))/(IF(Inputs!$B$39="pvp",15,Inputs!$B$44)-(B3546))))*IF(AND(ArtifactsInput!$M$42,((Inputs!$B$9+((C3527=TRUE)*(F3527-Calc!F26))+B3535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3516*(MIN(100,(Inputs!$B$9+((C3527=TRUE)*(F3527-Calc!F26))+B3535+(ArtifactsInput!$M$24-ArtifactsInput!$M$24)*CHOOSE(ArtifactsInput!$N$24+1,10,12,14,16,18,20)+(IF(AND(Inputs!$B$39&lt;&gt;"pvp",Inputs!$B$44=0),1,IF(IF(Inputs!$B$39="pvp",15,Inputs!$B$44)-(B3546)&lt;=0,1,MAX(0,IF(Inputs!$B$39="pvp",15,Inputs!$B$44)-MAX(5,B3546))/(IF(Inputs!$B$39="pvp",15,Inputs!$B$44)-(B3546))))*IF(AND(ArtifactsInput!$M$42,((Inputs!$B$9+((C3527=TRUE)*(F3527-Calc!F26))+B3535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3516">
        <f>IF(C3516,(H3516*N3516*IF(AND(Inputs!$B$39&lt;&gt;"pvp",Inputs!$B$44&gt;0),((Skills!G15*((R3516-1)*IF(Skills!H15&gt;0,Skills!I15/Skills!H15,1)+IF(Skills!H15&gt;0,MIN(Skills!I15,MAX(0,MAX(0,Inputs!$B$44-B3546)-((R3516-1)*IF(Inputs!$B$39="pvp",15,MAX(0.1,Skills!D15-IF(TRUE=TRUE,2.5,0))))))/Skills!H15,1)))/Inputs!$B$44),G3516*Q3516))*IF(Inputs!$B$39="pvp",1,(1+(Inputs!$B$21+Skills!Q15+B3536+(IF(ArtifactsInput!$M$33,CHOOSE(ArtifactsInput!$N$33+1,30,36,42,48,54,60),0))+(IF(AND(ArtifactsInput!$M$35,Inputs!$B$4&lt;&gt;"Chapter Hunt"),CHOOSE(ArtifactsInput!$N$35+1,15,18,21,24,27,30)*(1-EXP(-(0.2*B3539)*5)),0)+IF(AND(ArtifactsInput!$M$22,Inputs!$B$4&lt;&gt;"Chapter Hunt"),CHOOSE(ArtifactsInput!$N$22+1,10,12,14,16,18,20)*((0*(((0.15*B3539*5))^0/1)+1*(((0.15*B3539*5))^1/1)+2*(((0.15*B3539*5))^2/2)+3*(((0.15*B3539*5))^3/6)+4*(((0.15*B3539*5))^4/24)+5*(((0.15*B3539*5))^5/120))/((((0.15*B3539*5))^0/1)+(((0.15*B3539*5))^1/1)+(((0.15*B3539*5))^2/2)+(((0.15*B3539*5))^3/6)+(((0.15*B3539*5))^4/24)+(((0.15*B3539*5))^5/120))),0)))/100)*(MIN(MIN(5,0.5*IF(Inputs!$B$3&gt;=75,0.75,0.5)*B3539*(1/Q3505))*Skills!V15,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3517">
      <c r="A3517">
        <f>Skills!A16</f>
        <v/>
      </c>
      <c r="B3517">
        <f>Skills!B16</f>
        <v/>
      </c>
      <c r="C3517">
        <f>Inputs!$B$3&gt;=110</f>
        <v/>
      </c>
      <c r="D3517">
        <f>IF(Skills!C16=1,60+Inputs!$B$25+Inputs!$B$29,IF(Skills!C16=2,90+Inputs!$B$26+Inputs!$B$29,IF(Skills!C16=3,120+Inputs!$B$27+Inputs!$B$29,MAX(0,(Inputs!$B$3-100)*3)+Inputs!$B$28+Inputs!$B$29)))</f>
        <v/>
      </c>
      <c r="E3517">
        <f>INDEX(FactorTable!$B$2:$Y$301, MATCH(ROUND(MIN(300,MAX(1,D3517)),0), FactorTable!$A$2:$A$301,0), Skills!M16+1)</f>
        <v/>
      </c>
      <c r="F3517">
        <f>IF(Skills!N16=TRUE,(Skills!L16/10)*(E3517/1000),Skills!L16/10)+Skills!O16</f>
        <v/>
      </c>
      <c r="G3517">
        <f>Skills!G16*IF(Skills!H16&gt;0,IF(Inputs!$B$39="pvp",MIN(Skills!I16,15),Skills!I16)/Skills!H16,1)</f>
        <v/>
      </c>
      <c r="H3517">
        <f>1-(1-Skills!J16/100)^Skills!K16</f>
        <v/>
      </c>
      <c r="I3517" t="inlineStr">
        <is>
          <t>1</t>
        </is>
      </c>
      <c r="J3517" t="inlineStr"/>
      <c r="K3517" t="inlineStr"/>
      <c r="L3517" t="inlineStr"/>
      <c r="M3517" t="inlineStr"/>
      <c r="N3517" t="inlineStr"/>
      <c r="O3517">
        <f>(1-Summary!$B$11)*T3517+Summary!$B$11*V3517</f>
        <v/>
      </c>
      <c r="P3517">
        <f>IF(B3547=0,0,O3517/B3547)</f>
        <v/>
      </c>
      <c r="Q3517">
        <f>IFERROR(1/IF(Inputs!$B$39="pvp",15,MAX(0.1,Skills!D16-IF(TRUE=TRUE,2.5,0))),0)</f>
        <v/>
      </c>
      <c r="R3517">
        <f>IF(AND(Inputs!$B$39&lt;&gt;"pvp",Inputs!$B$44&gt;0),IF(Inputs!$B$44&lt;=0,0,(INT(Inputs!$B$44/IF(Inputs!$B$39="pvp",15,MAX(0.1,Skills!D16-IF(TRUE=TRUE,2.5,0))))+1)),0)</f>
        <v/>
      </c>
      <c r="S3517">
        <f>IFERROR(O3517/N3517,0)</f>
        <v/>
      </c>
      <c r="T3517" t="n">
        <v>0</v>
      </c>
      <c r="V3517" t="n">
        <v>0</v>
      </c>
    </row>
    <row r="3518">
      <c r="A3518">
        <f>Skills!A17</f>
        <v/>
      </c>
      <c r="B3518">
        <f>Skills!B17</f>
        <v/>
      </c>
      <c r="C3518">
        <f>Inputs!$B$3&gt;=115</f>
        <v/>
      </c>
      <c r="D3518">
        <f>IF(Skills!C17=1,60+Inputs!$B$25+Inputs!$B$29,IF(Skills!C17=2,90+Inputs!$B$26+Inputs!$B$29,IF(Skills!C17=3,120+Inputs!$B$27+Inputs!$B$29,MAX(0,(Inputs!$B$3-100)*3)+Inputs!$B$28+Inputs!$B$29)))</f>
        <v/>
      </c>
      <c r="E3518">
        <f>INDEX(FactorTable!$B$2:$Y$301, MATCH(ROUND(MIN(300,MAX(1,D3518)),0), FactorTable!$A$2:$A$301,0), Skills!M17+1)</f>
        <v/>
      </c>
      <c r="F3518">
        <f>IF(Skills!N17=TRUE,(Skills!L17/10)*(E3518/1000),Skills!L17/10)+Skills!O17</f>
        <v/>
      </c>
      <c r="G3518">
        <f>Skills!G17*IF(Skills!H17&gt;0,IF(Inputs!$B$39="pvp",MIN(Skills!I17,15),Skills!I17)/Skills!H17,1)</f>
        <v/>
      </c>
      <c r="H3518">
        <f>1-(1-Skills!J17/100)^Skills!K17</f>
        <v/>
      </c>
      <c r="I3518" t="inlineStr">
        <is>
          <t>1</t>
        </is>
      </c>
      <c r="J3518">
        <f>((Inputs!$B$6*(1+Inputs!$B$7/100))+(((Inputs!$B$12*(1+Inputs!$B$13/100))-(Inputs!$B$12*(1+Inputs!$B$13/100)))+0.25*(Inputs!$B$14-Inputs!$B$14))*(1+Inputs!$B$7/100))*(F3518/100)</f>
        <v/>
      </c>
      <c r="K3518">
        <f>J3518*(1+((Inputs!$B$12*(1+Inputs!$B$13/100))*0.01+Inputs!$B$14*0.0025)/100)*(1+Inputs!$B$15/100)*(1+Inputs!$B$16/100)*(5000/(6000+Inputs!$B$43*(1-(100*(1-(1-Inputs!$B$19/100)*(1-CHOOSE(ArtifactsInput!$N$40+1,5,6,7,8,9,10)/100)^(ArtifactsInput!$M$40-ArtifactsInput!$M$40)))/100)))*(1+(Inputs!$B$24+((C3532=TRUE)*(F3532-Calc!F31))+((C3519=TRUE)*(F3519-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17="CRUEL_STAB",Inputs!$B$17+((C3529=TRUE)*(F3529-Calc!F28))+((IF(AND(Inputs!$B$39&lt;&gt;"pvp",Inputs!$B$44=0),1,IF(IF(Inputs!$B$39="pvp",15,Inputs!$B$44)-(B3546)&lt;=0,1,MAX(0,IF(Inputs!$B$39="pvp",15,Inputs!$B$44)-MAX(5,B3546))/(IF(Inputs!$B$39="pvp",15,Inputs!$B$44)-(B3546))))*(IF(AND(ArtifactsInput!$M$42,((Inputs!$B$9+((C3527=TRUE)*(F3527-Calc!F26))+B3535+(ArtifactsInput!$M$24-ArtifactsInput!$M$24)*CHOOSE(ArtifactsInput!$N$24+1,10,12,14,16,18,20)+IF(ArtifactsInput!$M$10,CHOOSE(ArtifactsInput!$N$10+1,15,18,21,24,27,30)*(IF(Inputs!$B$39="pvp",MIN(15,15)/15,IF(AND(Inputs!$B$39&lt;&gt;"pvp",Inputs!$B$44&gt;0),MIN(15,Inputs!$B$44)/(Inputs!$B$44),0))),0)))&gt;=100),MIN(100,((Inputs!$B$9+((C3527=TRUE)*(F3527-Calc!F26))+B3535+(ArtifactsInput!$M$24-ArtifactsInput!$M$24)*CHOOSE(ArtifactsInput!$N$24+1,10,12,14,16,18,20)+IF(ArtifactsInput!$M$10,CHOOSE(ArtifactsInput!$N$10+1,15,18,21,24,27,30)*(IF(Inputs!$B$39="pvp",MIN(15,15)/15,IF(AND(Inputs!$B$39&lt;&gt;"pvp",Inputs!$B$44&gt;0),MIN(15,Inputs!$B$44)/(Inputs!$B$44),0))),0)))-100),0))*CHOOSE(ArtifactsInput!$N$42+1,0.6,0.72,0.84,0.96,1.08,1.2))),Inputs!$B$18+((C3530=TRUE)*(F3530-Calc!F29))+(IF(AND(Inputs!$B$39&lt;&gt;"pvp",Inputs!$B$44=0),1,IF(IF(Inputs!$B$39="pvp",15,Inputs!$B$44)-(B3546)&lt;=0,1,MAX(0,IF(Inputs!$B$39="pvp",15,Inputs!$B$44)-MAX(5,B3546))/(IF(Inputs!$B$39="pvp",15,Inputs!$B$44)-(B3546))))*IF(AND(ArtifactsInput!$M$42,((Inputs!$B$9+((C3527=TRUE)*(F3527-Calc!F26))+B3535+(ArtifactsInput!$M$24-ArtifactsInput!$M$24)*CHOOSE(ArtifactsInput!$N$24+1,10,12,14,16,18,20)+IF(ArtifactsInput!$M$10,CHOOSE(ArtifactsInput!$N$10+1,15,18,21,24,27,30)*(IF(Inputs!$B$39="pvp",MIN(15,15)/15,IF(AND(Inputs!$B$39&lt;&gt;"pvp",Inputs!$B$44&gt;0),MIN(15,Inputs!$B$44)/(Inputs!$B$44),0))),0)))&gt;=100),CHOOSE(ArtifactsInput!$N$42+1,40,48,56,64,72,80),0))))/100)*(((1+(((C3523=TRUE)*F3523*IF(AND(Inputs!$B$39&lt;&gt;"pvp",Inputs!$B$44&gt;0),(((R3523-1)*MIN((Skills!Y22*(1+Inputs!$B$34/100)),(1/Q3523))+MIN((Skills!Y22*(1+Inputs!$B$34/100)),MAX(0,Inputs!$B$44-((R3523-1)*(1/Q3523)))))/Inputs!$B$44),IF(Inputs!$B$39="pvp",MIN((Skills!Y22*(1+Inputs!$B$34/100)),15)/15,MIN(1,(Skills!Y22*(1+Inputs!$B$34/100))/(1/Q3523)))))+((C3504=TRUE)*F3504*3)+((C3506=TRUE)*F3506*(1-EXP(-0.75*B3539*5)))+((C3525=TRUE)*(F3525-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3512=TRUE)*F3512*IF(AND(Inputs!$B$39&lt;&gt;"pvp",Inputs!$B$44&gt;0),(((R3512-1)*MIN((Skills!Y11*(1+Inputs!$B$34/100)),(1/Q3512))+MIN((Skills!Y11*(1+Inputs!$B$34/100)),MAX(0,Inputs!$B$44-((R3512-1)*(1/Q3512)))))/Inputs!$B$44),IF(Inputs!$B$39="pvp",MIN((Skills!Y11*(1+Inputs!$B$34/100)),15)/15,MIN(1,(Skills!Y11*(1+Inputs!$B$34/100))/(1/Q3512)))))/100)*(1+((C3517=TRUE)*F3517*IF(AND(Inputs!$B$39&lt;&gt;"pvp",Inputs!$B$44&gt;0),(((R3517-1)*MIN((Skills!Y16*(1+Inputs!$B$34/100)),(1/Q3517))+MIN((Skills!Y16*(1+Inputs!$B$34/100)),MAX(0,Inputs!$B$44-((R3517-1)*(1/Q3517)))))/Inputs!$B$44),IF(Inputs!$B$39="pvp",MIN((Skills!Y16*(1+Inputs!$B$34/100)),15)/15,MIN(1,(Skills!Y16*(1+Inputs!$B$34/100))/(1/Q3517)))))/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3537*I3518)</f>
        <v/>
      </c>
      <c r="L3518">
        <f>K3518*(MIN(Inputs!$B$22+((C3526=TRUE)*(F3526-Calc!F25)),(Inputs!$B$23+((C3531=TRUE)*(F3531-Calc!F30))+IF(ArtifactsInput!$M$15,CHOOSE(ArtifactsInput!$N$15+1,25,30,35,40,45,50)/100*(Inputs!$B$11-Inputs!$B$11),0)))/100+(Inputs!$B$23+((C3531=TRUE)*(F3531-Calc!F30))+IF(ArtifactsInput!$M$15,CHOOSE(ArtifactsInput!$N$15+1,25,30,35,40,45,50)/100*(Inputs!$B$11-Inputs!$B$11),0))/100)/2</f>
        <v/>
      </c>
      <c r="M3518">
        <f>L3518*(1+(Inputs!$B$10+((C3528=TRUE)*(F3528-Calc!F27))+B3542+(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3518">
        <f>L3518*(1-MIN((Inputs!$B$9+((C3527=TRUE)*(F3527-Calc!F26))+B3535+(ArtifactsInput!$M$24-ArtifactsInput!$M$24)*CHOOSE(ArtifactsInput!$N$24+1,10,12,14,16,18,20)+(IF(AND(Inputs!$B$39&lt;&gt;"pvp",Inputs!$B$44=0),1,IF(IF(Inputs!$B$39="pvp",15,Inputs!$B$44)-(B3546)&lt;=0,1,MAX(0,IF(Inputs!$B$39="pvp",15,Inputs!$B$44)-MAX(5,B3546))/(IF(Inputs!$B$39="pvp",15,Inputs!$B$44)-(B3546))))*IF(AND(ArtifactsInput!$M$42,((Inputs!$B$9+((C3527=TRUE)*(F3527-Calc!F26))+B3535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3518*(MIN((Inputs!$B$9+((C3527=TRUE)*(F3527-Calc!F26))+B3535+(ArtifactsInput!$M$24-ArtifactsInput!$M$24)*CHOOSE(ArtifactsInput!$N$24+1,10,12,14,16,18,20)+(IF(AND(Inputs!$B$39&lt;&gt;"pvp",Inputs!$B$44=0),1,IF(IF(Inputs!$B$39="pvp",15,Inputs!$B$44)-(B3546)&lt;=0,1,MAX(0,IF(Inputs!$B$39="pvp",15,Inputs!$B$44)-MAX(5,B3546))/(IF(Inputs!$B$39="pvp",15,Inputs!$B$44)-(B3546))))*IF(AND(ArtifactsInput!$M$42,((Inputs!$B$9+((C3527=TRUE)*(F3527-Calc!F26))+B3535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3518">
        <f>(1-Summary!$B$11)*T3518+Summary!$B$11*V3518</f>
        <v/>
      </c>
      <c r="P3518">
        <f>IF(B3547=0,0,O3518/B3547)</f>
        <v/>
      </c>
      <c r="Q3518" t="n">
        <v>0</v>
      </c>
      <c r="R3518" t="n">
        <v>0</v>
      </c>
      <c r="S3518">
        <f>IFERROR(O3518/N3518,0)</f>
        <v/>
      </c>
      <c r="T3518">
        <f>IF(C3518,(Inputs!$B$38*0.2*N3518)*IF(Inputs!$B$39="pvp",1,1+(Inputs!$B$20+0+Skills!P17+B3536+(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Hunt"),CHOOSE(ArtifactsInput!$N$35+1,15,18,21,24,27,30)*(1-EXP(-(0.2*B3539)*5)),0)+IF(AND(ArtifactsInput!$M$22,Inputs!$B$4&lt;&gt;"Chapter Hunt"),CHOOSE(ArtifactsInput!$N$22+1,10,12,14,16,18,20)*((0*(((0.15*B3539*5))^0/1)+1*(((0.15*B3539*5))^1/1)+2*(((0.15*B3539*5))^2/2)+3*(((0.15*B3539*5))^3/6)+4*(((0.15*B3539*5))^4/24)+5*(((0.15*B3539*5))^5/120))/((((0.15*B3539*5))^0/1)+(((0.15*B3539*5))^1/1)+(((0.15*B3539*5))^2/2)+(((0.15*B3539*5))^3/6)+(((0.15*B3539*5))^4/24)+(((0.15*B3539*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3518*(1-MIN(100,(Inputs!$B$9+((C3527=TRUE)*(F3527-Calc!F26))+B3535+(ArtifactsInput!$M$24-ArtifactsInput!$M$24)*CHOOSE(ArtifactsInput!$N$24+1,10,12,14,16,18,20)+(IF(AND(Inputs!$B$39&lt;&gt;"pvp",Inputs!$B$44=0),1,IF(IF(Inputs!$B$39="pvp",15,Inputs!$B$44)-(B3546)&lt;=0,1,MAX(0,IF(Inputs!$B$39="pvp",15,Inputs!$B$44)-MAX(5,B3546))/(IF(Inputs!$B$39="pvp",15,Inputs!$B$44)-(B3546))))*IF(AND(ArtifactsInput!$M$42,((Inputs!$B$9+((C3527=TRUE)*(F3527-Calc!F26))+B3535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3518*(MIN(100,(Inputs!$B$9+((C3527=TRUE)*(F3527-Calc!F26))+B3535+(ArtifactsInput!$M$24-ArtifactsInput!$M$24)*CHOOSE(ArtifactsInput!$N$24+1,10,12,14,16,18,20)+(IF(AND(Inputs!$B$39&lt;&gt;"pvp",Inputs!$B$44=0),1,IF(IF(Inputs!$B$39="pvp",15,Inputs!$B$44)-(B3546)&lt;=0,1,MAX(0,IF(Inputs!$B$39="pvp",15,Inputs!$B$44)-MAX(5,B3546))/(IF(Inputs!$B$39="pvp",15,Inputs!$B$44)-(B3546))))*IF(AND(ArtifactsInput!$M$42,((Inputs!$B$9+((C3527=TRUE)*(F3527-Calc!F26))+B3535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3518*(1-MIN(100,(Inputs!$B$9+((C3527=TRUE)*(F3527-Calc!F26))+B3535+(ArtifactsInput!$M$24-ArtifactsInput!$M$24)*CHOOSE(ArtifactsInput!$N$24+1,10,12,14,16,18,20)+(IF(AND(Inputs!$B$39&lt;&gt;"pvp",Inputs!$B$44=0),1,IF(IF(Inputs!$B$39="pvp",15,Inputs!$B$44)-(B3546)&lt;=0,1,MAX(0,IF(Inputs!$B$39="pvp",15,Inputs!$B$44)-MAX(5,B3546))/(IF(Inputs!$B$39="pvp",15,Inputs!$B$44)-(B3546))))*IF(AND(ArtifactsInput!$M$42,((Inputs!$B$9+((C3527=TRUE)*(F3527-Calc!F26))+B3535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3518*(MIN(100,(Inputs!$B$9+((C3527=TRUE)*(F3527-Calc!F26))+B3535+(ArtifactsInput!$M$24-ArtifactsInput!$M$24)*CHOOSE(ArtifactsInput!$N$24+1,10,12,14,16,18,20)+(IF(AND(Inputs!$B$39&lt;&gt;"pvp",Inputs!$B$44=0),1,IF(IF(Inputs!$B$39="pvp",15,Inputs!$B$44)-(B3546)&lt;=0,1,MAX(0,IF(Inputs!$B$39="pvp",15,Inputs!$B$44)-MAX(5,B3546))/(IF(Inputs!$B$39="pvp",15,Inputs!$B$44)-(B3546))))*IF(AND(ArtifactsInput!$M$42,((Inputs!$B$9+((C3527=TRUE)*(F3527-Calc!F26))+B3535+(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3518">
        <f>IF(C3518,(Inputs!$B$38*0.2*N3518)*IF(Inputs!$B$39="pvp",1,(1+(Inputs!$B$21+Skills!Q17+B3536+(IF(ArtifactsInput!$M$33,CHOOSE(ArtifactsInput!$N$33+1,30,36,42,48,54,60),0))+(IF(AND(ArtifactsInput!$M$35,Inputs!$B$4&lt;&gt;"Chapter Hunt"),CHOOSE(ArtifactsInput!$N$35+1,15,18,21,24,27,30)*(1-EXP(-(0.2*B3539)*5)),0)+IF(AND(ArtifactsInput!$M$22,Inputs!$B$4&lt;&gt;"Chapter Hunt"),CHOOSE(ArtifactsInput!$N$22+1,10,12,14,16,18,20)*((0*(((0.15*B3539*5))^0/1)+1*(((0.15*B3539*5))^1/1)+2*(((0.15*B3539*5))^2/2)+3*(((0.15*B3539*5))^3/6)+4*(((0.15*B3539*5))^4/24)+5*(((0.15*B3539*5))^5/120))/((((0.15*B3539*5))^0/1)+(((0.15*B3539*5))^1/1)+(((0.15*B3539*5))^2/2)+(((0.15*B3539*5))^3/6)+(((0.15*B3539*5))^4/24)+(((0.15*B3539*5))^5/120))),0)))/100)*(MIN(Skills!W17,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3519">
      <c r="A3519">
        <f>Skills!A18</f>
        <v/>
      </c>
      <c r="B3519">
        <f>Skills!B18</f>
        <v/>
      </c>
      <c r="C3519">
        <f>Inputs!$B$3&gt;=115</f>
        <v/>
      </c>
      <c r="D3519">
        <f>IF(Skills!C18=1,60+Inputs!$B$25+Inputs!$B$29,IF(Skills!C18=2,90+Inputs!$B$26+Inputs!$B$29,IF(Skills!C18=3,120+Inputs!$B$27+Inputs!$B$29,MAX(0,(Inputs!$B$3-100)*3)+Inputs!$B$28+Inputs!$B$29)))</f>
        <v/>
      </c>
      <c r="E3519">
        <f>INDEX(FactorTable!$B$2:$Y$301, MATCH(ROUND(MIN(300,MAX(1,D3519)),0), FactorTable!$A$2:$A$301,0), Skills!M18+1)</f>
        <v/>
      </c>
      <c r="F3519">
        <f>IF(Skills!N18=TRUE,(Skills!L18/10)*(E3519/1000),Skills!L18/10)+Skills!O18</f>
        <v/>
      </c>
      <c r="G3519">
        <f>Skills!G18*IF(Skills!H18&gt;0,IF(Inputs!$B$39="pvp",MIN(Skills!I18,15),Skills!I18)/Skills!H18,1)</f>
        <v/>
      </c>
      <c r="H3519">
        <f>1-(1-Skills!J18/100)^Skills!K18</f>
        <v/>
      </c>
      <c r="I3519" t="inlineStr">
        <is>
          <t>1</t>
        </is>
      </c>
      <c r="J3519" t="inlineStr"/>
      <c r="K3519" t="inlineStr"/>
      <c r="L3519" t="inlineStr"/>
      <c r="M3519" t="inlineStr"/>
      <c r="N3519" t="inlineStr"/>
      <c r="O3519">
        <f>(1-Summary!$B$11)*T3519+Summary!$B$11*V3519</f>
        <v/>
      </c>
      <c r="P3519">
        <f>IF(B3547=0,0,O3519/B3547)</f>
        <v/>
      </c>
      <c r="Q3519" t="n">
        <v>0</v>
      </c>
      <c r="R3519" t="n">
        <v>0</v>
      </c>
      <c r="S3519">
        <f>IFERROR(O3519/N3519,0)</f>
        <v/>
      </c>
      <c r="T3519" t="n">
        <v>0</v>
      </c>
      <c r="V3519" t="n">
        <v>0</v>
      </c>
    </row>
    <row r="3520">
      <c r="A3520">
        <f>Skills!A19</f>
        <v/>
      </c>
      <c r="B3520">
        <f>Skills!B19</f>
        <v/>
      </c>
      <c r="C3520">
        <f>Inputs!$B$3&gt;=100</f>
        <v/>
      </c>
      <c r="D3520">
        <f>IF(Skills!C19=1,60+Inputs!$B$25+Inputs!$B$29,IF(Skills!C19=2,90+Inputs!$B$26+Inputs!$B$29,IF(Skills!C19=3,120+Inputs!$B$27+Inputs!$B$29,MAX(0,(Inputs!$B$3-100)*3)+Inputs!$B$28+Inputs!$B$29)))</f>
        <v/>
      </c>
      <c r="E3520">
        <f>INDEX(FactorTable!$B$2:$Y$301, MATCH(ROUND(MIN(300,MAX(1,D3520)),0), FactorTable!$A$2:$A$301,0), Skills!M19+1)</f>
        <v/>
      </c>
      <c r="F3520">
        <f>IF(Skills!N19=TRUE,(Skills!L19/10)*(E3520/1000),Skills!L19/10)+Skills!O19</f>
        <v/>
      </c>
      <c r="G3520">
        <f>Skills!G19*IF(Skills!H19&gt;0,IF(Inputs!$B$39="pvp",MIN(Skills!I19,15),Skills!I19)/Skills!H19,1)</f>
        <v/>
      </c>
      <c r="H3520">
        <f>1-(1-Skills!J19/100)^Skills!K19</f>
        <v/>
      </c>
      <c r="I3520" t="inlineStr">
        <is>
          <t>1</t>
        </is>
      </c>
      <c r="J3520" t="inlineStr"/>
      <c r="K3520" t="inlineStr"/>
      <c r="L3520" t="inlineStr"/>
      <c r="M3520" t="inlineStr"/>
      <c r="N3520" t="inlineStr"/>
      <c r="O3520">
        <f>(1-Summary!$B$11)*T3520+Summary!$B$11*V3520</f>
        <v/>
      </c>
      <c r="P3520">
        <f>IF(B3547=0,0,O3520/B3547)</f>
        <v/>
      </c>
      <c r="Q3520" t="n">
        <v>0</v>
      </c>
      <c r="R3520" t="n">
        <v>0</v>
      </c>
      <c r="S3520">
        <f>IFERROR(O3520/N3520,0)</f>
        <v/>
      </c>
      <c r="T3520" t="n">
        <v>0</v>
      </c>
      <c r="V3520" t="n">
        <v>0</v>
      </c>
    </row>
    <row r="3521">
      <c r="A3521">
        <f>Skills!A20</f>
        <v/>
      </c>
      <c r="B3521">
        <f>Skills!B20</f>
        <v/>
      </c>
      <c r="C3521">
        <f>TRUE</f>
        <v/>
      </c>
      <c r="D3521">
        <f>IF(Skills!C20=1,60+Inputs!$B$25+Inputs!$B$29,IF(Skills!C20=2,90+Inputs!$B$26+Inputs!$B$29,IF(Skills!C20=3,120+Inputs!$B$27+Inputs!$B$29,MAX(0,(Inputs!$B$3-100)*3)+Inputs!$B$28+Inputs!$B$29)))</f>
        <v/>
      </c>
      <c r="E3521">
        <f>INDEX(FactorTable!$B$2:$Y$301, MATCH(ROUND(MIN(300,MAX(1,D3521)),0), FactorTable!$A$2:$A$301,0), Skills!M20+1)</f>
        <v/>
      </c>
      <c r="F3521">
        <f>IF(Skills!N20=TRUE,(Skills!L20/10)*(E3521/1000),Skills!L20/10)+Skills!O20</f>
        <v/>
      </c>
      <c r="G3521">
        <f>Skills!G20*IF(Skills!H20&gt;0,IF(Inputs!$B$39="pvp",MIN(Skills!I20,15),Skills!I20)/Skills!H20,1)</f>
        <v/>
      </c>
      <c r="H3521">
        <f>1-(1-Skills!J20/100)^Skills!K20</f>
        <v/>
      </c>
      <c r="I3521" t="inlineStr">
        <is>
          <t>1</t>
        </is>
      </c>
      <c r="J3521" t="inlineStr"/>
      <c r="K3521" t="inlineStr"/>
      <c r="L3521" t="inlineStr"/>
      <c r="M3521" t="inlineStr"/>
      <c r="N3521" t="inlineStr"/>
      <c r="O3521">
        <f>(1-Summary!$B$11)*T3521+Summary!$B$11*V3521</f>
        <v/>
      </c>
      <c r="P3521">
        <f>IF(B3547=0,0,O3521/B3547)</f>
        <v/>
      </c>
      <c r="Q3521">
        <f>IFERROR(1/IF(Inputs!$B$39="pvp",15,MAX(0.1,Skills!D20-IF(TRUE=TRUE,2.5,0))),0)</f>
        <v/>
      </c>
      <c r="R3521">
        <f>IF(AND(Inputs!$B$39&lt;&gt;"pvp",Inputs!$B$44&gt;0),IF(Inputs!$B$44&lt;=0,0,(INT(Inputs!$B$44/IF(Inputs!$B$39="pvp",15,MAX(0.1,Skills!D20-IF(TRUE=TRUE,2.5,0))))+1)),0)</f>
        <v/>
      </c>
      <c r="S3521">
        <f>IFERROR(O3521/N3521,0)</f>
        <v/>
      </c>
      <c r="T3521" t="n">
        <v>0</v>
      </c>
      <c r="V3521" t="n">
        <v>0</v>
      </c>
    </row>
    <row r="3522">
      <c r="A3522">
        <f>Skills!A21</f>
        <v/>
      </c>
      <c r="B3522">
        <f>Skills!B21</f>
        <v/>
      </c>
      <c r="C3522">
        <f>Inputs!$B$3&gt;=15</f>
        <v/>
      </c>
      <c r="D3522">
        <f>IF(Skills!C21=1,60+Inputs!$B$25+Inputs!$B$29,IF(Skills!C21=2,90+Inputs!$B$26+Inputs!$B$29,IF(Skills!C21=3,120+Inputs!$B$27+Inputs!$B$29,MAX(0,(Inputs!$B$3-100)*3)+Inputs!$B$28+Inputs!$B$29)))</f>
        <v/>
      </c>
      <c r="E3522">
        <f>INDEX(FactorTable!$B$2:$Y$301, MATCH(ROUND(MIN(300,MAX(1,D3522)),0), FactorTable!$A$2:$A$301,0), Skills!M21+1)</f>
        <v/>
      </c>
      <c r="F3522">
        <f>IF(Skills!N21=TRUE,(Skills!L21/10)*(E3522/1000),Skills!L21/10)+Skills!O21</f>
        <v/>
      </c>
      <c r="G3522">
        <f>Skills!G21*IF(Skills!H21&gt;0,IF(Inputs!$B$39="pvp",MIN(Skills!I21,15),Skills!I21)/Skills!H21,1)</f>
        <v/>
      </c>
      <c r="H3522">
        <f>1-(1-Skills!J21/100)^Skills!K21</f>
        <v/>
      </c>
      <c r="I3522" t="inlineStr">
        <is>
          <t>1</t>
        </is>
      </c>
      <c r="J3522" t="inlineStr"/>
      <c r="K3522" t="inlineStr"/>
      <c r="L3522" t="inlineStr"/>
      <c r="M3522" t="inlineStr"/>
      <c r="N3522" t="inlineStr"/>
      <c r="O3522">
        <f>(1-Summary!$B$11)*T3522+Summary!$B$11*V3522</f>
        <v/>
      </c>
      <c r="P3522">
        <f>IF(B3547=0,0,O3522/B3547)</f>
        <v/>
      </c>
      <c r="Q3522">
        <f>IFERROR(1/IF(Inputs!$B$39="pvp",15,MAX(0.1,Skills!D21-IF(TRUE=TRUE,2.5,0))),0)</f>
        <v/>
      </c>
      <c r="R3522">
        <f>IF(AND(Inputs!$B$39&lt;&gt;"pvp",Inputs!$B$44&gt;0),IF(Inputs!$B$44&lt;=0,0,(INT(Inputs!$B$44/IF(Inputs!$B$39="pvp",15,MAX(0.1,Skills!D21-IF(TRUE=TRUE,2.5,0))))+1)),0)</f>
        <v/>
      </c>
      <c r="S3522">
        <f>IFERROR(O3522/N3522,0)</f>
        <v/>
      </c>
      <c r="T3522" t="n">
        <v>0</v>
      </c>
      <c r="V3522" t="n">
        <v>0</v>
      </c>
    </row>
    <row r="3523">
      <c r="A3523">
        <f>Skills!A22</f>
        <v/>
      </c>
      <c r="B3523">
        <f>Skills!B22</f>
        <v/>
      </c>
      <c r="C3523">
        <f>Inputs!$B$3&gt;=15</f>
        <v/>
      </c>
      <c r="D3523">
        <f>IF(Skills!C22=1,60+Inputs!$B$25+Inputs!$B$29,IF(Skills!C22=2,90+Inputs!$B$26+Inputs!$B$29,IF(Skills!C22=3,120+Inputs!$B$27+Inputs!$B$29,MAX(0,(Inputs!$B$3-100)*3)+Inputs!$B$28+Inputs!$B$29)))</f>
        <v/>
      </c>
      <c r="E3523">
        <f>INDEX(FactorTable!$B$2:$Y$301, MATCH(ROUND(MIN(300,MAX(1,D3523)),0), FactorTable!$A$2:$A$301,0), Skills!M22+1)</f>
        <v/>
      </c>
      <c r="F3523">
        <f>IF(Skills!N22=TRUE,(Skills!L22/10)*(E3523/1000),Skills!L22/10)+Skills!O22</f>
        <v/>
      </c>
      <c r="G3523">
        <f>Skills!G22*IF(Skills!H22&gt;0,IF(Inputs!$B$39="pvp",MIN(Skills!I22,15),Skills!I22)/Skills!H22,1)</f>
        <v/>
      </c>
      <c r="H3523">
        <f>1-(1-Skills!J22/100)^Skills!K22</f>
        <v/>
      </c>
      <c r="I3523" t="inlineStr">
        <is>
          <t>1</t>
        </is>
      </c>
      <c r="J3523" t="inlineStr"/>
      <c r="K3523" t="inlineStr"/>
      <c r="L3523" t="inlineStr"/>
      <c r="M3523" t="inlineStr"/>
      <c r="N3523" t="inlineStr"/>
      <c r="O3523">
        <f>(1-Summary!$B$11)*T3523+Summary!$B$11*V3523</f>
        <v/>
      </c>
      <c r="P3523">
        <f>IF(B3547=0,0,O3523/B3547)</f>
        <v/>
      </c>
      <c r="Q3523">
        <f>IFERROR(1/IF(Inputs!$B$39="pvp",15,MAX(0.1,Skills!D22-IF(TRUE=TRUE,2.5,0))),0)</f>
        <v/>
      </c>
      <c r="R3523">
        <f>IF(AND(Inputs!$B$39&lt;&gt;"pvp",Inputs!$B$44&gt;0),IF(Inputs!$B$44&lt;=0,0,(INT(Inputs!$B$44/IF(Inputs!$B$39="pvp",15,MAX(0.1,Skills!D22-IF(TRUE=TRUE,2.5,0))))+1)),0)</f>
        <v/>
      </c>
      <c r="S3523">
        <f>IFERROR(O3523/N3523,0)</f>
        <v/>
      </c>
      <c r="T3523" t="n">
        <v>0</v>
      </c>
      <c r="V3523" t="n">
        <v>0</v>
      </c>
    </row>
    <row r="3524">
      <c r="A3524">
        <f>Skills!A23</f>
        <v/>
      </c>
      <c r="B3524">
        <f>Skills!B23</f>
        <v/>
      </c>
      <c r="C3524">
        <f>Inputs!$B$3&gt;=33</f>
        <v/>
      </c>
      <c r="D3524">
        <f>IF(Skills!C23=1,60+Inputs!$B$25+Inputs!$B$29,IF(Skills!C23=2,90+Inputs!$B$26+Inputs!$B$29,IF(Skills!C23=3,120+Inputs!$B$27+Inputs!$B$29,MAX(0,(Inputs!$B$3-100)*3)+Inputs!$B$28+Inputs!$B$29)))</f>
        <v/>
      </c>
      <c r="E3524">
        <f>INDEX(FactorTable!$B$2:$Y$301, MATCH(ROUND(MIN(300,MAX(1,D3524)),0), FactorTable!$A$2:$A$301,0), Skills!M23+1)</f>
        <v/>
      </c>
      <c r="F3524">
        <f>IF(Skills!N23=TRUE,(Skills!L23/10)*(E3524/1000),Skills!L23/10)+Skills!O23</f>
        <v/>
      </c>
      <c r="G3524">
        <f>Skills!G23*IF(Skills!H23&gt;0,IF(Inputs!$B$39="pvp",MIN(Skills!I23,15),Skills!I23)/Skills!H23,1)</f>
        <v/>
      </c>
      <c r="H3524">
        <f>1-(1-Skills!J23/100)^Skills!K23</f>
        <v/>
      </c>
      <c r="I3524" t="inlineStr">
        <is>
          <t>1</t>
        </is>
      </c>
      <c r="J3524" t="inlineStr"/>
      <c r="K3524" t="inlineStr"/>
      <c r="L3524" t="inlineStr"/>
      <c r="M3524" t="inlineStr"/>
      <c r="N3524" t="inlineStr"/>
      <c r="O3524">
        <f>(1-Summary!$B$11)*T3524+Summary!$B$11*V3524</f>
        <v/>
      </c>
      <c r="P3524">
        <f>IF(B3547=0,0,O3524/B3547)</f>
        <v/>
      </c>
      <c r="Q3524" t="n">
        <v>0</v>
      </c>
      <c r="R3524" t="n">
        <v>0</v>
      </c>
      <c r="S3524">
        <f>IFERROR(O3524/N3524,0)</f>
        <v/>
      </c>
      <c r="T3524" t="n">
        <v>0</v>
      </c>
      <c r="V3524" t="n">
        <v>0</v>
      </c>
    </row>
    <row r="3525">
      <c r="A3525">
        <f>Skills!A24</f>
        <v/>
      </c>
      <c r="B3525">
        <f>Skills!B24</f>
        <v/>
      </c>
      <c r="C3525">
        <f>Inputs!$B$3&gt;=40</f>
        <v/>
      </c>
      <c r="D3525">
        <f>IF(Skills!C24=1,60+Inputs!$B$25+Inputs!$B$29,IF(Skills!C24=2,90+Inputs!$B$26+Inputs!$B$29,IF(Skills!C24=3,120+Inputs!$B$27+Inputs!$B$29,MAX(0,(Inputs!$B$3-100)*3)+Inputs!$B$28+Inputs!$B$29)))</f>
        <v/>
      </c>
      <c r="E3525">
        <f>INDEX(FactorTable!$B$2:$Y$301, MATCH(ROUND(MIN(300,MAX(1,D3525)),0), FactorTable!$A$2:$A$301,0), Skills!M24+1)</f>
        <v/>
      </c>
      <c r="F3525">
        <f>IF(Skills!N24=TRUE,(Skills!L24/10)*(E3525/1000),Skills!L24/10)+Skills!O24</f>
        <v/>
      </c>
      <c r="G3525">
        <f>Skills!G24*IF(Skills!H24&gt;0,IF(Inputs!$B$39="pvp",MIN(Skills!I24,15),Skills!I24)/Skills!H24,1)</f>
        <v/>
      </c>
      <c r="H3525">
        <f>1-(1-Skills!J24/100)^Skills!K24</f>
        <v/>
      </c>
      <c r="I3525" t="inlineStr">
        <is>
          <t>1</t>
        </is>
      </c>
      <c r="J3525" t="inlineStr"/>
      <c r="K3525" t="inlineStr"/>
      <c r="L3525" t="inlineStr"/>
      <c r="M3525" t="inlineStr"/>
      <c r="N3525" t="inlineStr"/>
      <c r="O3525">
        <f>(1-Summary!$B$11)*T3525+Summary!$B$11*V3525</f>
        <v/>
      </c>
      <c r="P3525">
        <f>IF(B3547=0,0,O3525/B3547)</f>
        <v/>
      </c>
      <c r="Q3525" t="n">
        <v>0</v>
      </c>
      <c r="R3525" t="n">
        <v>0</v>
      </c>
      <c r="S3525">
        <f>IFERROR(O3525/N3525,0)</f>
        <v/>
      </c>
      <c r="T3525" t="n">
        <v>0</v>
      </c>
      <c r="V3525" t="n">
        <v>0</v>
      </c>
    </row>
    <row r="3526">
      <c r="A3526">
        <f>Skills!A25</f>
        <v/>
      </c>
      <c r="B3526">
        <f>Skills!B25</f>
        <v/>
      </c>
      <c r="C3526">
        <f>Inputs!$B$3&gt;=43</f>
        <v/>
      </c>
      <c r="D3526">
        <f>IF(Skills!C25=1,60+Inputs!$B$25+Inputs!$B$29,IF(Skills!C25=2,90+Inputs!$B$26+Inputs!$B$29,IF(Skills!C25=3,120+Inputs!$B$27+Inputs!$B$29,MAX(0,(Inputs!$B$3-100)*3)+Inputs!$B$28+Inputs!$B$29)))</f>
        <v/>
      </c>
      <c r="E3526">
        <f>INDEX(FactorTable!$B$2:$Y$301, MATCH(ROUND(MIN(300,MAX(1,D3526)),0), FactorTable!$A$2:$A$301,0), Skills!M25+1)</f>
        <v/>
      </c>
      <c r="F3526">
        <f>IF(Skills!N25=TRUE,(Skills!L25/10)*(E3526/1000),Skills!L25/10)+Skills!O25</f>
        <v/>
      </c>
      <c r="G3526">
        <f>Skills!G25*IF(Skills!H25&gt;0,IF(Inputs!$B$39="pvp",MIN(Skills!I25,15),Skills!I25)/Skills!H25,1)</f>
        <v/>
      </c>
      <c r="H3526">
        <f>1-(1-Skills!J25/100)^Skills!K25</f>
        <v/>
      </c>
      <c r="I3526" t="inlineStr">
        <is>
          <t>1</t>
        </is>
      </c>
      <c r="J3526" t="inlineStr"/>
      <c r="K3526" t="inlineStr"/>
      <c r="L3526" t="inlineStr"/>
      <c r="M3526" t="inlineStr"/>
      <c r="N3526" t="inlineStr"/>
      <c r="O3526">
        <f>(1-Summary!$B$11)*T3526+Summary!$B$11*V3526</f>
        <v/>
      </c>
      <c r="P3526">
        <f>IF(B3547=0,0,O3526/B3547)</f>
        <v/>
      </c>
      <c r="Q3526" t="n">
        <v>0</v>
      </c>
      <c r="R3526" t="n">
        <v>0</v>
      </c>
      <c r="S3526">
        <f>IFERROR(O3526/N3526,0)</f>
        <v/>
      </c>
      <c r="T3526" t="n">
        <v>0</v>
      </c>
      <c r="V3526" t="n">
        <v>0</v>
      </c>
    </row>
    <row r="3527">
      <c r="A3527">
        <f>Skills!A26</f>
        <v/>
      </c>
      <c r="B3527">
        <f>Skills!B26</f>
        <v/>
      </c>
      <c r="C3527">
        <f>Inputs!$B$3&gt;=50</f>
        <v/>
      </c>
      <c r="D3527">
        <f>IF(Skills!C26=1,60+Inputs!$B$25+Inputs!$B$29,IF(Skills!C26=2,90+Inputs!$B$26+Inputs!$B$29,IF(Skills!C26=3,120+Inputs!$B$27+Inputs!$B$29,MAX(0,(Inputs!$B$3-100)*3)+Inputs!$B$28+Inputs!$B$29)))</f>
        <v/>
      </c>
      <c r="E3527">
        <f>INDEX(FactorTable!$B$2:$Y$301, MATCH(ROUND(MIN(300,MAX(1,D3527)),0), FactorTable!$A$2:$A$301,0), Skills!M26+1)</f>
        <v/>
      </c>
      <c r="F3527">
        <f>IF(Skills!N26=TRUE,(Skills!L26/10)*(E3527/1000),Skills!L26/10)+Skills!O26</f>
        <v/>
      </c>
      <c r="G3527">
        <f>Skills!G26*IF(Skills!H26&gt;0,IF(Inputs!$B$39="pvp",MIN(Skills!I26,15),Skills!I26)/Skills!H26,1)</f>
        <v/>
      </c>
      <c r="H3527">
        <f>1-(1-Skills!J26/100)^Skills!K26</f>
        <v/>
      </c>
      <c r="I3527" t="inlineStr">
        <is>
          <t>1</t>
        </is>
      </c>
      <c r="J3527" t="inlineStr"/>
      <c r="K3527" t="inlineStr"/>
      <c r="L3527" t="inlineStr"/>
      <c r="M3527" t="inlineStr"/>
      <c r="N3527" t="inlineStr"/>
      <c r="O3527">
        <f>(1-Summary!$B$11)*T3527+Summary!$B$11*V3527</f>
        <v/>
      </c>
      <c r="P3527">
        <f>IF(B3547=0,0,O3527/B3547)</f>
        <v/>
      </c>
      <c r="Q3527" t="n">
        <v>0</v>
      </c>
      <c r="R3527" t="n">
        <v>0</v>
      </c>
      <c r="S3527">
        <f>IFERROR(O3527/N3527,0)</f>
        <v/>
      </c>
      <c r="T3527" t="n">
        <v>0</v>
      </c>
      <c r="V3527" t="n">
        <v>0</v>
      </c>
    </row>
    <row r="3528">
      <c r="A3528">
        <f>Skills!A27</f>
        <v/>
      </c>
      <c r="B3528">
        <f>Skills!B27</f>
        <v/>
      </c>
      <c r="C3528">
        <f>Inputs!$B$3&gt;=50</f>
        <v/>
      </c>
      <c r="D3528">
        <f>IF(Skills!C27=1,60+Inputs!$B$25+Inputs!$B$29,IF(Skills!C27=2,90+Inputs!$B$26+Inputs!$B$29,IF(Skills!C27=3,120+Inputs!$B$27+Inputs!$B$29,MAX(0,(Inputs!$B$3-100)*3)+Inputs!$B$28+Inputs!$B$29)))</f>
        <v/>
      </c>
      <c r="E3528">
        <f>INDEX(FactorTable!$B$2:$Y$301, MATCH(ROUND(MIN(300,MAX(1,D3528)),0), FactorTable!$A$2:$A$301,0), Skills!M27+1)</f>
        <v/>
      </c>
      <c r="F3528">
        <f>IF(Skills!N27=TRUE,(Skills!L27/10)*(E3528/1000),Skills!L27/10)+Skills!O27</f>
        <v/>
      </c>
      <c r="G3528">
        <f>Skills!G27*IF(Skills!H27&gt;0,IF(Inputs!$B$39="pvp",MIN(Skills!I27,15),Skills!I27)/Skills!H27,1)</f>
        <v/>
      </c>
      <c r="H3528">
        <f>1-(1-Skills!J27/100)^Skills!K27</f>
        <v/>
      </c>
      <c r="I3528" t="inlineStr">
        <is>
          <t>1</t>
        </is>
      </c>
      <c r="J3528" t="inlineStr"/>
      <c r="K3528" t="inlineStr"/>
      <c r="L3528" t="inlineStr"/>
      <c r="M3528" t="inlineStr"/>
      <c r="N3528" t="inlineStr"/>
      <c r="O3528">
        <f>(1-Summary!$B$11)*T3528+Summary!$B$11*V3528</f>
        <v/>
      </c>
      <c r="P3528">
        <f>IF(B3547=0,0,O3528/B3547)</f>
        <v/>
      </c>
      <c r="Q3528" t="n">
        <v>0</v>
      </c>
      <c r="R3528" t="n">
        <v>0</v>
      </c>
      <c r="S3528">
        <f>IFERROR(O3528/N3528,0)</f>
        <v/>
      </c>
      <c r="T3528" t="n">
        <v>0</v>
      </c>
      <c r="V3528" t="n">
        <v>0</v>
      </c>
    </row>
    <row r="3529">
      <c r="A3529">
        <f>Skills!A28</f>
        <v/>
      </c>
      <c r="B3529">
        <f>Skills!B28</f>
        <v/>
      </c>
      <c r="C3529">
        <f>Inputs!$B$3&gt;=38</f>
        <v/>
      </c>
      <c r="D3529">
        <f>IF(Skills!C28=1,60+Inputs!$B$25+Inputs!$B$29,IF(Skills!C28=2,90+Inputs!$B$26+Inputs!$B$29,IF(Skills!C28=3,120+Inputs!$B$27+Inputs!$B$29,MAX(0,(Inputs!$B$3-100)*3)+Inputs!$B$28+Inputs!$B$29)))</f>
        <v/>
      </c>
      <c r="E3529">
        <f>INDEX(FactorTable!$B$2:$Y$301, MATCH(ROUND(MIN(300,MAX(1,D3529)),0), FactorTable!$A$2:$A$301,0), Skills!M28+1)</f>
        <v/>
      </c>
      <c r="F3529">
        <f>IF(Skills!N28=TRUE,(Skills!L28/10)*(E3529/1000),Skills!L28/10)+Skills!O28</f>
        <v/>
      </c>
      <c r="G3529">
        <f>Skills!G28*IF(Skills!H28&gt;0,IF(Inputs!$B$39="pvp",MIN(Skills!I28,15),Skills!I28)/Skills!H28,1)</f>
        <v/>
      </c>
      <c r="H3529">
        <f>1-(1-Skills!J28/100)^Skills!K28</f>
        <v/>
      </c>
      <c r="I3529" t="inlineStr">
        <is>
          <t>1</t>
        </is>
      </c>
      <c r="J3529" t="inlineStr"/>
      <c r="K3529" t="inlineStr"/>
      <c r="L3529" t="inlineStr"/>
      <c r="M3529" t="inlineStr"/>
      <c r="N3529" t="inlineStr"/>
      <c r="O3529">
        <f>(1-Summary!$B$11)*T3529+Summary!$B$11*V3529</f>
        <v/>
      </c>
      <c r="P3529">
        <f>IF(B3547=0,0,O3529/B3547)</f>
        <v/>
      </c>
      <c r="Q3529" t="n">
        <v>0</v>
      </c>
      <c r="R3529" t="n">
        <v>0</v>
      </c>
      <c r="S3529">
        <f>IFERROR(O3529/N3529,0)</f>
        <v/>
      </c>
      <c r="T3529" t="n">
        <v>0</v>
      </c>
      <c r="V3529" t="n">
        <v>0</v>
      </c>
    </row>
    <row r="3530">
      <c r="A3530">
        <f>Skills!A29</f>
        <v/>
      </c>
      <c r="B3530">
        <f>Skills!B29</f>
        <v/>
      </c>
      <c r="C3530">
        <f>Inputs!$B$3&gt;=120</f>
        <v/>
      </c>
      <c r="D3530">
        <f>IF(Skills!C29=1,60+Inputs!$B$25+Inputs!$B$29,IF(Skills!C29=2,90+Inputs!$B$26+Inputs!$B$29,IF(Skills!C29=3,120+Inputs!$B$27+Inputs!$B$29,MAX(0,(Inputs!$B$3-100)*3)+Inputs!$B$28+Inputs!$B$29)))</f>
        <v/>
      </c>
      <c r="E3530">
        <f>INDEX(FactorTable!$B$2:$Y$301, MATCH(ROUND(MIN(300,MAX(1,D3530)),0), FactorTable!$A$2:$A$301,0), Skills!M29+1)</f>
        <v/>
      </c>
      <c r="F3530">
        <f>IF(Skills!N29=TRUE,(Skills!L29/10)*(E3530/1000),Skills!L29/10)+Skills!O29</f>
        <v/>
      </c>
      <c r="G3530">
        <f>Skills!G29*IF(Skills!H29&gt;0,IF(Inputs!$B$39="pvp",MIN(Skills!I29,15),Skills!I29)/Skills!H29,1)</f>
        <v/>
      </c>
      <c r="H3530">
        <f>1-(1-Skills!J29/100)^Skills!K29</f>
        <v/>
      </c>
      <c r="I3530" t="inlineStr">
        <is>
          <t>1</t>
        </is>
      </c>
      <c r="J3530" t="inlineStr"/>
      <c r="K3530" t="inlineStr"/>
      <c r="L3530" t="inlineStr"/>
      <c r="M3530" t="inlineStr"/>
      <c r="N3530" t="inlineStr"/>
      <c r="O3530">
        <f>(1-Summary!$B$11)*T3530+Summary!$B$11*V3530</f>
        <v/>
      </c>
      <c r="P3530">
        <f>IF(B3547=0,0,O3530/B3547)</f>
        <v/>
      </c>
      <c r="Q3530" t="n">
        <v>0</v>
      </c>
      <c r="R3530" t="n">
        <v>0</v>
      </c>
      <c r="S3530">
        <f>IFERROR(O3530/N3530,0)</f>
        <v/>
      </c>
      <c r="T3530" t="n">
        <v>0</v>
      </c>
      <c r="V3530" t="n">
        <v>0</v>
      </c>
    </row>
    <row r="3531">
      <c r="A3531">
        <f>Skills!A30</f>
        <v/>
      </c>
      <c r="B3531">
        <f>Skills!B30</f>
        <v/>
      </c>
      <c r="C3531">
        <f>Inputs!$B$3&gt;=120</f>
        <v/>
      </c>
      <c r="D3531">
        <f>IF(Skills!C30=1,60+Inputs!$B$25+Inputs!$B$29,IF(Skills!C30=2,90+Inputs!$B$26+Inputs!$B$29,IF(Skills!C30=3,120+Inputs!$B$27+Inputs!$B$29,MAX(0,(Inputs!$B$3-100)*3)+Inputs!$B$28+Inputs!$B$29)))</f>
        <v/>
      </c>
      <c r="E3531">
        <f>INDEX(FactorTable!$B$2:$Y$301, MATCH(ROUND(MIN(300,MAX(1,D3531)),0), FactorTable!$A$2:$A$301,0), Skills!M30+1)</f>
        <v/>
      </c>
      <c r="F3531">
        <f>IF(Skills!N30=TRUE,(Skills!L30/10)*(E3531/1000),Skills!L30/10)+Skills!O30</f>
        <v/>
      </c>
      <c r="G3531">
        <f>Skills!G30*IF(Skills!H30&gt;0,IF(Inputs!$B$39="pvp",MIN(Skills!I30,15),Skills!I30)/Skills!H30,1)</f>
        <v/>
      </c>
      <c r="H3531">
        <f>1-(1-Skills!J30/100)^Skills!K30</f>
        <v/>
      </c>
      <c r="I3531" t="inlineStr">
        <is>
          <t>1</t>
        </is>
      </c>
      <c r="J3531" t="inlineStr"/>
      <c r="K3531" t="inlineStr"/>
      <c r="L3531" t="inlineStr"/>
      <c r="M3531" t="inlineStr"/>
      <c r="N3531" t="inlineStr"/>
      <c r="O3531">
        <f>(1-Summary!$B$11)*T3531+Summary!$B$11*V3531</f>
        <v/>
      </c>
      <c r="P3531">
        <f>IF(B3547=0,0,O3531/B3547)</f>
        <v/>
      </c>
      <c r="Q3531" t="n">
        <v>0</v>
      </c>
      <c r="R3531" t="n">
        <v>0</v>
      </c>
      <c r="S3531">
        <f>IFERROR(O3531/N3531,0)</f>
        <v/>
      </c>
      <c r="T3531" t="n">
        <v>0</v>
      </c>
      <c r="V3531" t="n">
        <v>0</v>
      </c>
    </row>
    <row r="3532">
      <c r="A3532">
        <f>Skills!A31</f>
        <v/>
      </c>
      <c r="B3532">
        <f>Skills!B31</f>
        <v/>
      </c>
      <c r="C3532">
        <f>Inputs!$B$3&gt;=125</f>
        <v/>
      </c>
      <c r="D3532">
        <f>IF(Skills!C31=1,60+Inputs!$B$25+Inputs!$B$29,IF(Skills!C31=2,90+Inputs!$B$26+Inputs!$B$29,IF(Skills!C31=3,120+Inputs!$B$27+Inputs!$B$29,MAX(0,(Inputs!$B$3-100)*3)+Inputs!$B$28+Inputs!$B$29)))</f>
        <v/>
      </c>
      <c r="E3532">
        <f>INDEX(FactorTable!$B$2:$Y$301, MATCH(ROUND(MIN(300,MAX(1,D3532)),0), FactorTable!$A$2:$A$301,0), Skills!M31+1)</f>
        <v/>
      </c>
      <c r="F3532">
        <f>IF(Skills!N31=TRUE,(Skills!L31/10)*(E3532/1000),Skills!L31/10)+Skills!O31</f>
        <v/>
      </c>
      <c r="G3532">
        <f>Skills!G31*IF(Skills!H31&gt;0,IF(Inputs!$B$39="pvp",MIN(Skills!I31,15),Skills!I31)/Skills!H31,1)</f>
        <v/>
      </c>
      <c r="H3532">
        <f>1-(1-Skills!J31/100)^Skills!K31</f>
        <v/>
      </c>
      <c r="I3532" t="inlineStr">
        <is>
          <t>1</t>
        </is>
      </c>
      <c r="J3532" t="inlineStr"/>
      <c r="K3532" t="inlineStr"/>
      <c r="L3532" t="inlineStr"/>
      <c r="M3532" t="inlineStr"/>
      <c r="N3532" t="inlineStr"/>
      <c r="O3532">
        <f>(1-Summary!$B$11)*T3532+Summary!$B$11*V3532</f>
        <v/>
      </c>
      <c r="P3532">
        <f>IF(B3547=0,0,O3532/B3547)</f>
        <v/>
      </c>
      <c r="Q3532" t="n">
        <v>0</v>
      </c>
      <c r="R3532" t="n">
        <v>0</v>
      </c>
      <c r="S3532">
        <f>IFERROR(O3532/N3532,0)</f>
        <v/>
      </c>
      <c r="T3532" t="n">
        <v>0</v>
      </c>
      <c r="V3532" t="n">
        <v>0</v>
      </c>
    </row>
    <row r="3534">
      <c r="A3534" t="inlineStr">
        <is>
          <t>Average Buff Multiplier</t>
        </is>
      </c>
      <c r="B3534">
        <f>(1+(((C3523=TRUE)*F3523*IF(AND(Inputs!$B$39&lt;&gt;"pvp",Inputs!$B$44&gt;0),(((R3523-1)*MIN((Skills!Y22*(1+Inputs!$B$34/100)),(1/Q3523))+MIN((Skills!Y22*(1+Inputs!$B$34/100)),MAX(0,Inputs!$B$44-((R3523-1)*(1/Q3523)))))/Inputs!$B$44),IF(Inputs!$B$39="pvp",MIN((Skills!Y22*(1+Inputs!$B$34/100)),15)/15,MIN(1,(Skills!Y22*(1+Inputs!$B$34/100))/(1/Q3523)))))+((C3504=TRUE)*F3504*3)+((C3506=TRUE)*F3506*(1-EXP(-0.75*B3539*5)))+((C3525=TRUE)*(F3525-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3512=TRUE)*F3512*IF(AND(Inputs!$B$39&lt;&gt;"pvp",Inputs!$B$44&gt;0),(((R3512-1)*MIN((Skills!Y11*(1+Inputs!$B$34/100)),(1/Q3512))+MIN((Skills!Y11*(1+Inputs!$B$34/100)),MAX(0,Inputs!$B$44-((R3512-1)*(1/Q3512)))))/Inputs!$B$44),IF(Inputs!$B$39="pvp",MIN((Skills!Y11*(1+Inputs!$B$34/100)),15)/15,MIN(1,(Skills!Y11*(1+Inputs!$B$34/100))/(1/Q3512)))))/100)*(1+((C3517=TRUE)*F3517*IF(AND(Inputs!$B$39&lt;&gt;"pvp",Inputs!$B$44&gt;0),(((R3517-1)*MIN((Skills!Y16*(1+Inputs!$B$34/100)),(1/Q3517))+MIN((Skills!Y16*(1+Inputs!$B$34/100)),MAX(0,Inputs!$B$44-((R3517-1)*(1/Q3517)))))/Inputs!$B$44),IF(Inputs!$B$39="pvp",MIN((Skills!Y16*(1+Inputs!$B$34/100)),15)/15,MIN(1,(Skills!Y16*(1+Inputs!$B$34/100))/(1/Q3517)))))/100)</f>
        <v/>
      </c>
    </row>
    <row r="3535">
      <c r="A3535" t="inlineStr">
        <is>
          <t>Global Crit Rate Bonus %</t>
        </is>
      </c>
      <c r="B3535">
        <f>((C3522=TRUE)*F3522*IF(AND(Inputs!$B$39&lt;&gt;"pvp",Inputs!$B$44&gt;0),(((R3522-1)*MIN((Skills!Y21*(1+Inputs!$B$34/100)),(1/Q3522))+MIN((Skills!Y21*(1+Inputs!$B$34/100)),MAX(0,Inputs!$B$44-((R3522-1)*(1/Q3522)))))/Inputs!$B$44),IF(Inputs!$B$39="pvp",MIN((Skills!Y21*(1+Inputs!$B$34/100)),15)/15,MIN(1,(Skills!Y21*(1+Inputs!$B$34/100))/(1/Q3522)))))</f>
        <v/>
      </c>
    </row>
    <row r="3536">
      <c r="A3536" t="inlineStr">
        <is>
          <t>Global Monster Damage-Taken Bonus %</t>
        </is>
      </c>
      <c r="B3536">
        <f>IF(Inputs!$B$3&gt;=82,15,0)</f>
        <v/>
      </c>
    </row>
    <row r="3537">
      <c r="A3537" t="inlineStr">
        <is>
          <t>Shadow Partner Average Multiplier</t>
        </is>
      </c>
      <c r="B3537">
        <f>1+((C3509=TRUE)*F3509*(1+3.3333333333333335*IF(C3520=TRUE,F3520,0)/100)*I3509*Skills!J8/100)/100</f>
        <v/>
      </c>
    </row>
    <row r="3538">
      <c r="A3538" t="inlineStr">
        <is>
          <t>Attack Speed Buff Bonus %</t>
        </is>
      </c>
      <c r="B3538">
        <f>((C3521=TRUE)*F3521*IF(AND(Inputs!$B$39&lt;&gt;"pvp",Inputs!$B$44&gt;0),(((R3521-1)*MIN((Skills!Y20*(1+Inputs!$B$34/100)),(1/Q3521))+MIN((Skills!Y20*(1+Inputs!$B$34/100)),MAX(0,Inputs!$B$44-((R3521-1)*(1/Q3521)))))/Inputs!$B$44),IF(Inputs!$B$39="pvp",MIN((Skills!Y20*(1+Inputs!$B$34/100)),15)/15,MIN(1,(Skills!Y20*(1+Inputs!$B$34/100))/(1/Q3521)))))</f>
        <v/>
      </c>
    </row>
    <row r="3539">
      <c r="A3539" t="inlineStr">
        <is>
          <t>Actions Per Second</t>
        </is>
      </c>
      <c r="B3539">
        <f>1+MIN(150,150*(1-(1-(Inputs!$B$11+((C3524=TRUE)*(F3524-Calc!F23)))/150)*(1-B3538/150)))/100</f>
        <v/>
      </c>
    </row>
    <row r="3540">
      <c r="A3540" t="inlineStr">
        <is>
          <t>Skill + Buff Cast Rate</t>
        </is>
      </c>
      <c r="B3540">
        <f>IF(AND(Inputs!$B$39&lt;&gt;"pvp",Inputs!$B$44&gt;0),SUMPRODUCT((Skills!E2:E31=TRUE)*(C3503:C3532=TRUE)*R3503:R3532*Skills!F2:F31)/Inputs!$B$44,SUMPRODUCT((Skills!E2:E31=TRUE)*(C3503:C3532=TRUE)*Q3503:Q3532*Skills!F2:F31))</f>
        <v/>
      </c>
    </row>
    <row r="3541">
      <c r="A3541" t="inlineStr">
        <is>
          <t>Cruel Stab Casts Per Second</t>
        </is>
      </c>
      <c r="B3541">
        <f>MAX(0,B3539-B3540)</f>
        <v/>
      </c>
    </row>
    <row r="3542">
      <c r="A3542" t="inlineStr">
        <is>
          <t>Global Critical Damage Bonus % (Smokescreen Mastery Lv.113)</t>
        </is>
      </c>
      <c r="B3542">
        <f>IF(Inputs!$B$3&gt;=113,30,0)*IF(AND(Inputs!$B$39&lt;&gt;"pvp",Inputs!$B$44&gt;0),(((R3517-1)*MIN((Skills!Y16*(1+Inputs!$B$34/100)),(1/Q3517))+MIN((Skills!Y16*(1+Inputs!$B$34/100)),MAX(0,Inputs!$B$44-((R3517-1)*(1/Q3517)))))/Inputs!$B$44),IF(Inputs!$B$39="pvp",MIN((Skills!Y16*(1+Inputs!$B$34/100)),15)/15,MIN(1,(Skills!Y16*(1+Inputs!$B$34/100))/(1/Q3517))))</f>
        <v/>
      </c>
    </row>
    <row r="3543">
      <c r="A3543" t="inlineStr">
        <is>
          <t>Meso Explosion average stack count</t>
        </is>
      </c>
      <c r="B3543">
        <f>MIN(10,IF(Inputs!$B$3&gt;=75,0.75,0.5)*B3539*(1/Q3505))</f>
        <v/>
      </c>
    </row>
    <row r="3544">
      <c r="A3544" t="inlineStr">
        <is>
          <t>Blood Money average stack count</t>
        </is>
      </c>
      <c r="B3544">
        <f>MIN(5,0.5*IF(Inputs!$B$3&gt;=75,0.75,0.5)*B3539*(1/Q3505))</f>
        <v/>
      </c>
    </row>
    <row r="3545">
      <c r="A3545" t="inlineStr">
        <is>
          <t>Assassinate Murderous Intent Multiplier</t>
        </is>
      </c>
      <c r="B3545">
        <f>1+IFERROR(MIN(1,Q3516*2/Q3513),0)</f>
        <v/>
      </c>
    </row>
    <row r="3546">
      <c r="A3546" t="inlineStr">
        <is>
          <t>Buff-Casting Startup Delay (s, fixed-duration only)</t>
        </is>
      </c>
      <c r="B3546">
        <f>IF(AND(Inputs!$B$39&lt;&gt;"pvp",Inputs!$B$44&gt;0),SUMPRODUCT((Skills!Y2:Y31&gt;0)*(Skills!E2:E31=TRUE)*(C3503:C3532=TRUE))/B3539,0)</f>
        <v/>
      </c>
    </row>
    <row r="3547">
      <c r="A3547" s="6" t="inlineStr">
        <is>
          <t>TOTAL DPS</t>
        </is>
      </c>
      <c r="B3547" s="6">
        <f>SUM(O3503:O3532)</f>
        <v/>
      </c>
    </row>
    <row r="3548">
      <c r="A3548" t="inlineStr">
        <is>
          <t>Boss-Only Total DPS (this block's swept value)</t>
        </is>
      </c>
      <c r="B3548">
        <f>SUM(T3503:T3532)</f>
        <v/>
      </c>
    </row>
    <row r="3549">
      <c r="A3549" t="inlineStr">
        <is>
          <t>Normal-Only Total DPS (this block's swept value)</t>
        </is>
      </c>
      <c r="B3549">
        <f>SUM(V3503:V3532)</f>
        <v/>
      </c>
    </row>
    <row r="3552">
      <c r="A3552" s="6" t="inlineStr">
        <is>
          <t>Stat: CDR = 3.0s</t>
        </is>
      </c>
    </row>
    <row r="3553">
      <c r="A3553" s="5" t="inlineStr">
        <is>
          <t>Key</t>
        </is>
      </c>
      <c r="B3553" s="5" t="inlineStr">
        <is>
          <t>Name</t>
        </is>
      </c>
      <c r="C3553" s="5" t="inlineStr">
        <is>
          <t>Unlocked</t>
        </is>
      </c>
      <c r="D3553" s="5" t="inlineStr">
        <is>
          <t>InputLevel</t>
        </is>
      </c>
      <c r="E3553" s="5" t="inlineStr">
        <is>
          <t>Factor</t>
        </is>
      </c>
      <c r="F3553" s="5" t="inlineStr">
        <is>
          <t>CoefficientPercent</t>
        </is>
      </c>
      <c r="G3553" s="5" t="inlineStr">
        <is>
          <t>EffectiveHits</t>
        </is>
      </c>
      <c r="H3553" s="5" t="inlineStr">
        <is>
          <t>ProcProbability</t>
        </is>
      </c>
      <c r="I3553" s="5" t="inlineStr">
        <is>
          <t>MapleHeroMultiplier</t>
        </is>
      </c>
      <c r="J3553" s="5" t="inlineStr">
        <is>
          <t>BaseDamage</t>
        </is>
      </c>
      <c r="K3553" s="5" t="inlineStr">
        <is>
          <t>BaseHitDamage</t>
        </is>
      </c>
      <c r="L3553" s="5" t="inlineStr">
        <is>
          <t>NonCritAvg</t>
        </is>
      </c>
      <c r="M3553" s="5" t="inlineStr">
        <is>
          <t>CritAvg</t>
        </is>
      </c>
      <c r="N3553" s="5" t="inlineStr">
        <is>
          <t>ExpectedDamage(perHit)</t>
        </is>
      </c>
      <c r="O3553" s="5" t="inlineStr">
        <is>
          <t>DPS</t>
        </is>
      </c>
      <c r="P3553" s="5" t="inlineStr">
        <is>
          <t>% of Total</t>
        </is>
      </c>
      <c r="Q3553" s="5" t="inlineStr">
        <is>
          <t>InvCooldown</t>
        </is>
      </c>
      <c r="R3553" s="5" t="inlineStr">
        <is>
          <t>CastsInFight</t>
        </is>
      </c>
      <c r="S3553" s="5" t="inlineStr">
        <is>
          <t>HitRate(perSec)</t>
        </is>
      </c>
      <c r="U3553" t="inlineStr">
        <is>
          <t>helpers</t>
        </is>
      </c>
    </row>
    <row r="3554">
      <c r="A3554">
        <f>Skills!A2</f>
        <v/>
      </c>
      <c r="B3554">
        <f>Skills!B2</f>
        <v/>
      </c>
      <c r="C3554">
        <f>Inputs!$B$3&gt;=100</f>
        <v/>
      </c>
      <c r="D3554" t="inlineStr"/>
      <c r="E3554" t="inlineStr"/>
      <c r="F3554">
        <f>U3556+Skills!O2</f>
        <v/>
      </c>
      <c r="G3554">
        <f>Skills!G2*IF(Skills!H2&gt;0,IF(Inputs!$B$39="pvp",MIN(Skills!I2,15),Skills!I2)/Skills!H2,1)</f>
        <v/>
      </c>
      <c r="H3554">
        <f>1-(1-Skills!J2/100)^Skills!K2</f>
        <v/>
      </c>
      <c r="I3554" t="inlineStr">
        <is>
          <t>1</t>
        </is>
      </c>
      <c r="J3554">
        <f>((Inputs!$B$6*(1+Inputs!$B$7/100))+(((Inputs!$B$12*(1+Inputs!$B$13/100))-(Inputs!$B$12*(1+Inputs!$B$13/100)))+0.25*(Inputs!$B$14-Inputs!$B$14))*(1+Inputs!$B$7/100))*(F3554/100)</f>
        <v/>
      </c>
      <c r="K3554">
        <f>J3554*(1+((Inputs!$B$12*(1+Inputs!$B$13/100))*0.01+Inputs!$B$14*0.0025)/100)*(1+Inputs!$B$15/100)*(1+Inputs!$B$16/100)*(5000/(6000+Inputs!$B$43*(1-(100*(1-(1-Inputs!$B$19/100)*(1-CHOOSE(ArtifactsInput!$N$40+1,5,6,7,8,9,10)/100)^(ArtifactsInput!$M$40-ArtifactsInput!$M$40)))/100)))*(1+(Inputs!$B$24+((C3583=TRUE)*(F3583-Calc!F31))+((C3570=TRUE)*(F3570-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CRUEL_STAB",Inputs!$B$17+((C3580=TRUE)*(F3580-Calc!F28))+((IF(AND(Inputs!$B$39&lt;&gt;"pvp",Inputs!$B$44=0),1,IF(IF(Inputs!$B$39="pvp",15,Inputs!$B$44)-(B3597)&lt;=0,1,MAX(0,IF(Inputs!$B$39="pvp",15,Inputs!$B$44)-MAX(5,B3597))/(IF(Inputs!$B$39="pvp",15,Inputs!$B$44)-(B3597))))*(IF(AND(ArtifactsInput!$M$42,((Inputs!$B$9+((C3578=TRUE)*(F3578-Calc!F26))+B3586+(ArtifactsInput!$M$24-ArtifactsInput!$M$24)*CHOOSE(ArtifactsInput!$N$24+1,10,12,14,16,18,20)+IF(ArtifactsInput!$M$10,CHOOSE(ArtifactsInput!$N$10+1,15,18,21,24,27,30)*(IF(Inputs!$B$39="pvp",MIN(15,15)/15,IF(AND(Inputs!$B$39&lt;&gt;"pvp",Inputs!$B$44&gt;0),MIN(15,Inputs!$B$44)/(Inputs!$B$44),0))),0)))&gt;=100),MIN(100,((Inputs!$B$9+((C3578=TRUE)*(F3578-Calc!F26))+B3586+(ArtifactsInput!$M$24-ArtifactsInput!$M$24)*CHOOSE(ArtifactsInput!$N$24+1,10,12,14,16,18,20)+IF(ArtifactsInput!$M$10,CHOOSE(ArtifactsInput!$N$10+1,15,18,21,24,27,30)*(IF(Inputs!$B$39="pvp",MIN(15,15)/15,IF(AND(Inputs!$B$39&lt;&gt;"pvp",Inputs!$B$44&gt;0),MIN(15,Inputs!$B$44)/(Inputs!$B$44),0))),0)))-100),0))*CHOOSE(ArtifactsInput!$N$42+1,0.6,0.72,0.84,0.96,1.08,1.2))),Inputs!$B$18+((C3581=TRUE)*(F3581-Calc!F29))+(IF(AND(Inputs!$B$39&lt;&gt;"pvp",Inputs!$B$44=0),1,IF(IF(Inputs!$B$39="pvp",15,Inputs!$B$44)-(B3597)&lt;=0,1,MAX(0,IF(Inputs!$B$39="pvp",15,Inputs!$B$44)-MAX(5,B3597))/(IF(Inputs!$B$39="pvp",15,Inputs!$B$44)-(B3597))))*IF(AND(ArtifactsInput!$M$42,((Inputs!$B$9+((C3578=TRUE)*(F3578-Calc!F26))+B3586+(ArtifactsInput!$M$24-ArtifactsInput!$M$24)*CHOOSE(ArtifactsInput!$N$24+1,10,12,14,16,18,20)+IF(ArtifactsInput!$M$10,CHOOSE(ArtifactsInput!$N$10+1,15,18,21,24,27,30)*(IF(Inputs!$B$39="pvp",MIN(15,15)/15,IF(AND(Inputs!$B$39&lt;&gt;"pvp",Inputs!$B$44&gt;0),MIN(15,Inputs!$B$44)/(Inputs!$B$44),0))),0)))&gt;=100),CHOOSE(ArtifactsInput!$N$42+1,40,48,56,64,72,80),0))))/100)*(((1+(((C3574=TRUE)*F3574*IF(AND(Inputs!$B$39&lt;&gt;"pvp",Inputs!$B$44&gt;0),(((R3574-1)*MIN((Skills!Y22*(1+Inputs!$B$34/100)),(1/Q3574))+MIN((Skills!Y22*(1+Inputs!$B$34/100)),MAX(0,Inputs!$B$44-((R3574-1)*(1/Q3574)))))/Inputs!$B$44),IF(Inputs!$B$39="pvp",MIN((Skills!Y22*(1+Inputs!$B$34/100)),15)/15,MIN(1,(Skills!Y22*(1+Inputs!$B$34/100))/(1/Q3574)))))+((C3555=TRUE)*F3555*3)+((C3557=TRUE)*F3557*(1-EXP(-0.75*B3590*5)))+((C3576=TRUE)*(F3576-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3563=TRUE)*F3563*IF(AND(Inputs!$B$39&lt;&gt;"pvp",Inputs!$B$44&gt;0),(((R3563-1)*MIN((Skills!Y11*(1+Inputs!$B$34/100)),(1/Q3563))+MIN((Skills!Y11*(1+Inputs!$B$34/100)),MAX(0,Inputs!$B$44-((R3563-1)*(1/Q3563)))))/Inputs!$B$44),IF(Inputs!$B$39="pvp",MIN((Skills!Y11*(1+Inputs!$B$34/100)),15)/15,MIN(1,(Skills!Y11*(1+Inputs!$B$34/100))/(1/Q3563)))))/100)*(1+((C3568=TRUE)*F3568*IF(AND(Inputs!$B$39&lt;&gt;"pvp",Inputs!$B$44&gt;0),(((R3568-1)*MIN((Skills!Y16*(1+Inputs!$B$34/100)),(1/Q3568))+MIN((Skills!Y16*(1+Inputs!$B$34/100)),MAX(0,Inputs!$B$44-((R3568-1)*(1/Q3568)))))/Inputs!$B$44),IF(Inputs!$B$39="pvp",MIN((Skills!Y16*(1+Inputs!$B$34/100)),15)/15,MIN(1,(Skills!Y16*(1+Inputs!$B$34/100))/(1/Q3568)))))/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3588*I3554)</f>
        <v/>
      </c>
      <c r="L3554">
        <f>K3554*(MIN(Inputs!$B$22+((C3577=TRUE)*(F3577-Calc!F25)),(Inputs!$B$23+((C3582=TRUE)*(F3582-Calc!F30))+IF(ArtifactsInput!$M$15,CHOOSE(ArtifactsInput!$N$15+1,25,30,35,40,45,50)/100*(Inputs!$B$11-Inputs!$B$11),0)))/100+(Inputs!$B$23+((C3582=TRUE)*(F3582-Calc!F30))+IF(ArtifactsInput!$M$15,CHOOSE(ArtifactsInput!$N$15+1,25,30,35,40,45,50)/100*(Inputs!$B$11-Inputs!$B$11),0))/100)/2</f>
        <v/>
      </c>
      <c r="M3554">
        <f>L3554*(1+(Inputs!$B$10+((C3579=TRUE)*(F3579-Calc!F27))+B3593+(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3554">
        <f>L3554*(1-MIN((Inputs!$B$9+((C3578=TRUE)*(F3578-Calc!F26))+B3586+(ArtifactsInput!$M$24-ArtifactsInput!$M$24)*CHOOSE(ArtifactsInput!$N$24+1,10,12,14,16,18,20)+(IF(AND(Inputs!$B$39&lt;&gt;"pvp",Inputs!$B$44=0),1,IF(IF(Inputs!$B$39="pvp",15,Inputs!$B$44)-(B3597)&lt;=0,1,MAX(0,IF(Inputs!$B$39="pvp",15,Inputs!$B$44)-MAX(5,B3597))/(IF(Inputs!$B$39="pvp",15,Inputs!$B$44)-(B3597))))*IF(AND(ArtifactsInput!$M$42,((Inputs!$B$9+((C3578=TRUE)*(F3578-Calc!F26))+B3586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3554*(MIN((Inputs!$B$9+((C3578=TRUE)*(F3578-Calc!F26))+B3586+(ArtifactsInput!$M$24-ArtifactsInput!$M$24)*CHOOSE(ArtifactsInput!$N$24+1,10,12,14,16,18,20)+(IF(AND(Inputs!$B$39&lt;&gt;"pvp",Inputs!$B$44=0),1,IF(IF(Inputs!$B$39="pvp",15,Inputs!$B$44)-(B3597)&lt;=0,1,MAX(0,IF(Inputs!$B$39="pvp",15,Inputs!$B$44)-MAX(5,B3597))/(IF(Inputs!$B$39="pvp",15,Inputs!$B$44)-(B3597))))*IF(AND(ArtifactsInput!$M$42,((Inputs!$B$9+((C3578=TRUE)*(F3578-Calc!F26))+B3586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3554">
        <f>(1-Summary!$B$11)*T3554+Summary!$B$11*V3554</f>
        <v/>
      </c>
      <c r="P3554">
        <f>IF(B3598=0,0,O3554/B3598)</f>
        <v/>
      </c>
      <c r="Q3554" t="n">
        <v>0</v>
      </c>
      <c r="R3554" t="n">
        <v>0</v>
      </c>
      <c r="S3554">
        <f>IFERROR(O3554/N3554,0)</f>
        <v/>
      </c>
      <c r="T3554">
        <f>IF(C3554,(Skills!G2*N3554*B3592)*IF(Inputs!$B$39="pvp",1,1+(Inputs!$B$20+0+Skills!P2+B3587+(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Hunt"),CHOOSE(ArtifactsInput!$N$35+1,15,18,21,24,27,30)*(1-EXP(-(0.2*B3590)*5)),0)+IF(AND(ArtifactsInput!$M$22,Inputs!$B$4&lt;&gt;"Chapter Hunt"),CHOOSE(ArtifactsInput!$N$22+1,10,12,14,16,18,20)*((0*(((0.15*B3590*5))^0/1)+1*(((0.15*B3590*5))^1/1)+2*(((0.15*B3590*5))^2/2)+3*(((0.15*B3590*5))^3/6)+4*(((0.15*B3590*5))^4/24)+5*(((0.15*B3590*5))^5/120))/((((0.15*B3590*5))^0/1)+(((0.15*B3590*5))^1/1)+(((0.15*B3590*5))^2/2)+(((0.15*B3590*5))^3/6)+(((0.15*B3590*5))^4/24)+(((0.15*B3590*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3554*(1-MIN(100,(Inputs!$B$9+((C3578=TRUE)*(F3578-Calc!F26))+B3586+(ArtifactsInput!$M$24-ArtifactsInput!$M$24)*CHOOSE(ArtifactsInput!$N$24+1,10,12,14,16,18,20)+(IF(AND(Inputs!$B$39&lt;&gt;"pvp",Inputs!$B$44=0),1,IF(IF(Inputs!$B$39="pvp",15,Inputs!$B$44)-(B3597)&lt;=0,1,MAX(0,IF(Inputs!$B$39="pvp",15,Inputs!$B$44)-MAX(5,B3597))/(IF(Inputs!$B$39="pvp",15,Inputs!$B$44)-(B3597))))*IF(AND(ArtifactsInput!$M$42,((Inputs!$B$9+((C3578=TRUE)*(F3578-Calc!F26))+B3586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3554*(MIN(100,(Inputs!$B$9+((C3578=TRUE)*(F3578-Calc!F26))+B3586+(ArtifactsInput!$M$24-ArtifactsInput!$M$24)*CHOOSE(ArtifactsInput!$N$24+1,10,12,14,16,18,20)+(IF(AND(Inputs!$B$39&lt;&gt;"pvp",Inputs!$B$44=0),1,IF(IF(Inputs!$B$39="pvp",15,Inputs!$B$44)-(B3597)&lt;=0,1,MAX(0,IF(Inputs!$B$39="pvp",15,Inputs!$B$44)-MAX(5,B3597))/(IF(Inputs!$B$39="pvp",15,Inputs!$B$44)-(B3597))))*IF(AND(ArtifactsInput!$M$42,((Inputs!$B$9+((C3578=TRUE)*(F3578-Calc!F26))+B3586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3554*(1-MIN(100,(Inputs!$B$9+((C3578=TRUE)*(F3578-Calc!F26))+B3586+(ArtifactsInput!$M$24-ArtifactsInput!$M$24)*CHOOSE(ArtifactsInput!$N$24+1,10,12,14,16,18,20)+(IF(AND(Inputs!$B$39&lt;&gt;"pvp",Inputs!$B$44=0),1,IF(IF(Inputs!$B$39="pvp",15,Inputs!$B$44)-(B3597)&lt;=0,1,MAX(0,IF(Inputs!$B$39="pvp",15,Inputs!$B$44)-MAX(5,B3597))/(IF(Inputs!$B$39="pvp",15,Inputs!$B$44)-(B3597))))*IF(AND(ArtifactsInput!$M$42,((Inputs!$B$9+((C3578=TRUE)*(F3578-Calc!F26))+B3586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3554*(MIN(100,(Inputs!$B$9+((C3578=TRUE)*(F3578-Calc!F26))+B3586+(ArtifactsInput!$M$24-ArtifactsInput!$M$24)*CHOOSE(ArtifactsInput!$N$24+1,10,12,14,16,18,20)+(IF(AND(Inputs!$B$39&lt;&gt;"pvp",Inputs!$B$44=0),1,IF(IF(Inputs!$B$39="pvp",15,Inputs!$B$44)-(B3597)&lt;=0,1,MAX(0,IF(Inputs!$B$39="pvp",15,Inputs!$B$44)-MAX(5,B3597))/(IF(Inputs!$B$39="pvp",15,Inputs!$B$44)-(B3597))))*IF(AND(ArtifactsInput!$M$42,((Inputs!$B$9+((C3578=TRUE)*(F3578-Calc!F26))+B3586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3554">
        <f>MAX(0,(Inputs!$B$3-100)*3)+Inputs!$B$28+Inputs!$B$29</f>
        <v/>
      </c>
      <c r="V3554">
        <f>IF(C3554,(Skills!G2*N3554*B3592)*IF(Inputs!$B$39="pvp",1,(1+(Inputs!$B$21+Skills!Q2+B3587+(IF(ArtifactsInput!$M$33,CHOOSE(ArtifactsInput!$N$33+1,30,36,42,48,54,60),0))+(IF(AND(ArtifactsInput!$M$35,Inputs!$B$4&lt;&gt;"Chapter Hunt"),CHOOSE(ArtifactsInput!$N$35+1,15,18,21,24,27,30)*(1-EXP(-(0.2*B3590)*5)),0)+IF(AND(ArtifactsInput!$M$22,Inputs!$B$4&lt;&gt;"Chapter Hunt"),CHOOSE(ArtifactsInput!$N$22+1,10,12,14,16,18,20)*((0*(((0.15*B3590*5))^0/1)+1*(((0.15*B3590*5))^1/1)+2*(((0.15*B3590*5))^2/2)+3*(((0.15*B3590*5))^3/6)+4*(((0.15*B3590*5))^4/24)+5*(((0.15*B3590*5))^5/120))/((((0.15*B3590*5))^0/1)+(((0.15*B3590*5))^1/1)+(((0.15*B3590*5))^2/2)+(((0.15*B3590*5))^3/6)+(((0.15*B3590*5))^4/24)+(((0.15*B3590*5))^5/120))),0)))/100)*(MIN((6+Inputs!$B$33),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3555">
      <c r="A3555">
        <f>Skills!A3</f>
        <v/>
      </c>
      <c r="B3555">
        <f>Skills!B3</f>
        <v/>
      </c>
      <c r="C3555">
        <f>Inputs!$B$3&gt;=35</f>
        <v/>
      </c>
      <c r="D3555">
        <f>IF(Skills!C3=1,60+Inputs!$B$25+Inputs!$B$29,IF(Skills!C3=2,90+Inputs!$B$26+Inputs!$B$29,IF(Skills!C3=3,120+Inputs!$B$27+Inputs!$B$29,MAX(0,(Inputs!$B$3-100)*3)+Inputs!$B$28+Inputs!$B$29)))</f>
        <v/>
      </c>
      <c r="E3555">
        <f>INDEX(FactorTable!$B$2:$Y$301, MATCH(ROUND(MIN(300,MAX(1,D3555)),0), FactorTable!$A$2:$A$301,0), Skills!M3+1)</f>
        <v/>
      </c>
      <c r="F3555">
        <f>IF(Skills!N3=TRUE,(Skills!L3/10)*(E3555/1000),Skills!L3/10)+Skills!O3</f>
        <v/>
      </c>
      <c r="G3555">
        <f>Skills!G3*IF(Skills!H3&gt;0,IF(Inputs!$B$39="pvp",MIN(Skills!I3,15),Skills!I3)/Skills!H3,1)</f>
        <v/>
      </c>
      <c r="H3555">
        <f>1-(1-Skills!J3/100)^Skills!K3</f>
        <v/>
      </c>
      <c r="I3555" t="inlineStr">
        <is>
          <t>1</t>
        </is>
      </c>
      <c r="J3555" t="inlineStr"/>
      <c r="K3555" t="inlineStr"/>
      <c r="L3555" t="inlineStr"/>
      <c r="M3555" t="inlineStr"/>
      <c r="N3555" t="inlineStr"/>
      <c r="O3555">
        <f>(1-Summary!$B$11)*T3555+Summary!$B$11*V3555</f>
        <v/>
      </c>
      <c r="P3555">
        <f>IF(B3598=0,0,O3555/B3598)</f>
        <v/>
      </c>
      <c r="Q3555" t="n">
        <v>0</v>
      </c>
      <c r="R3555" t="n">
        <v>0</v>
      </c>
      <c r="S3555">
        <f>IFERROR(O3555/N3555,0)</f>
        <v/>
      </c>
      <c r="T3555" t="n">
        <v>0</v>
      </c>
      <c r="U3555">
        <f>INDEX(FactorTable!$B$2:$Y$301, MATCH(ROUND(MIN(300,MAX(1,U3554)),0), FactorTable!$A$2:$A$301,0), 22)</f>
        <v/>
      </c>
      <c r="V3555" t="n">
        <v>0</v>
      </c>
    </row>
    <row r="3556">
      <c r="A3556">
        <f>Skills!A4</f>
        <v/>
      </c>
      <c r="B3556">
        <f>Skills!B4</f>
        <v/>
      </c>
      <c r="C3556">
        <f>Inputs!$B$3&gt;=66</f>
        <v/>
      </c>
      <c r="D3556">
        <f>IF(Skills!C4=1,60+Inputs!$B$25+Inputs!$B$29,IF(Skills!C4=2,90+Inputs!$B$26+Inputs!$B$29,IF(Skills!C4=3,120+Inputs!$B$27+Inputs!$B$29,MAX(0,(Inputs!$B$3-100)*3)+Inputs!$B$28+Inputs!$B$29)))</f>
        <v/>
      </c>
      <c r="E3556">
        <f>INDEX(FactorTable!$B$2:$Y$301, MATCH(ROUND(MIN(300,MAX(1,D3556)),0), FactorTable!$A$2:$A$301,0), Skills!M4+1)</f>
        <v/>
      </c>
      <c r="F3556">
        <f>IF(Skills!N4=TRUE,(Skills!L4/10)*(E3556/1000),Skills!L4/10)+Skills!O4</f>
        <v/>
      </c>
      <c r="G3556">
        <f>Skills!G4*IF(Skills!H4&gt;0,IF(Inputs!$B$39="pvp",MIN(Skills!I4,15),Skills!I4)/Skills!H4,1)</f>
        <v/>
      </c>
      <c r="H3556">
        <f>1-(1-Skills!J4/100)^Skills!K4</f>
        <v/>
      </c>
      <c r="I3556" t="inlineStr">
        <is>
          <t>1</t>
        </is>
      </c>
      <c r="J3556">
        <f>((Inputs!$B$6*(1+Inputs!$B$7/100))+(((Inputs!$B$12*(1+Inputs!$B$13/100))-(Inputs!$B$12*(1+Inputs!$B$13/100)))+0.25*(Inputs!$B$14-Inputs!$B$14))*(1+Inputs!$B$7/100))*(F3556/100)</f>
        <v/>
      </c>
      <c r="K3556">
        <f>J3556*(1+((Inputs!$B$12*(1+Inputs!$B$13/100))*0.01+Inputs!$B$14*0.0025)/100)*(1+Inputs!$B$15/100)*(1+Inputs!$B$16/100)*(5000/(6000+Inputs!$B$43*(1-(100*(1-(1-Inputs!$B$19/100)*(1-CHOOSE(ArtifactsInput!$N$40+1,5,6,7,8,9,10)/100)^(ArtifactsInput!$M$40-ArtifactsInput!$M$40)))/100)))*(1+(Inputs!$B$24+((C3583=TRUE)*(F3583-Calc!F31))+((C3570=TRUE)*(F3570-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4="CRUEL_STAB",Inputs!$B$17+((C3580=TRUE)*(F3580-Calc!F28))+((IF(AND(Inputs!$B$39&lt;&gt;"pvp",Inputs!$B$44=0),1,IF(IF(Inputs!$B$39="pvp",15,Inputs!$B$44)-(B3597)&lt;=0,1,MAX(0,IF(Inputs!$B$39="pvp",15,Inputs!$B$44)-MAX(5,B3597))/(IF(Inputs!$B$39="pvp",15,Inputs!$B$44)-(B3597))))*(IF(AND(ArtifactsInput!$M$42,((Inputs!$B$9+((C3578=TRUE)*(F3578-Calc!F26))+B3586+(ArtifactsInput!$M$24-ArtifactsInput!$M$24)*CHOOSE(ArtifactsInput!$N$24+1,10,12,14,16,18,20)+IF(ArtifactsInput!$M$10,CHOOSE(ArtifactsInput!$N$10+1,15,18,21,24,27,30)*(IF(Inputs!$B$39="pvp",MIN(15,15)/15,IF(AND(Inputs!$B$39&lt;&gt;"pvp",Inputs!$B$44&gt;0),MIN(15,Inputs!$B$44)/(Inputs!$B$44),0))),0)))&gt;=100),MIN(100,((Inputs!$B$9+((C3578=TRUE)*(F3578-Calc!F26))+B3586+(ArtifactsInput!$M$24-ArtifactsInput!$M$24)*CHOOSE(ArtifactsInput!$N$24+1,10,12,14,16,18,20)+IF(ArtifactsInput!$M$10,CHOOSE(ArtifactsInput!$N$10+1,15,18,21,24,27,30)*(IF(Inputs!$B$39="pvp",MIN(15,15)/15,IF(AND(Inputs!$B$39&lt;&gt;"pvp",Inputs!$B$44&gt;0),MIN(15,Inputs!$B$44)/(Inputs!$B$44),0))),0)))-100),0))*CHOOSE(ArtifactsInput!$N$42+1,0.6,0.72,0.84,0.96,1.08,1.2))),Inputs!$B$18+((C3581=TRUE)*(F3581-Calc!F29))+(IF(AND(Inputs!$B$39&lt;&gt;"pvp",Inputs!$B$44=0),1,IF(IF(Inputs!$B$39="pvp",15,Inputs!$B$44)-(B3597)&lt;=0,1,MAX(0,IF(Inputs!$B$39="pvp",15,Inputs!$B$44)-MAX(5,B3597))/(IF(Inputs!$B$39="pvp",15,Inputs!$B$44)-(B3597))))*IF(AND(ArtifactsInput!$M$42,((Inputs!$B$9+((C3578=TRUE)*(F3578-Calc!F26))+B3586+(ArtifactsInput!$M$24-ArtifactsInput!$M$24)*CHOOSE(ArtifactsInput!$N$24+1,10,12,14,16,18,20)+IF(ArtifactsInput!$M$10,CHOOSE(ArtifactsInput!$N$10+1,15,18,21,24,27,30)*(IF(Inputs!$B$39="pvp",MIN(15,15)/15,IF(AND(Inputs!$B$39&lt;&gt;"pvp",Inputs!$B$44&gt;0),MIN(15,Inputs!$B$44)/(Inputs!$B$44),0))),0)))&gt;=100),CHOOSE(ArtifactsInput!$N$42+1,40,48,56,64,72,80),0))))/100)*(((1+(((C3574=TRUE)*F3574*IF(AND(Inputs!$B$39&lt;&gt;"pvp",Inputs!$B$44&gt;0),(((R3574-1)*MIN((Skills!Y22*(1+Inputs!$B$34/100)),(1/Q3574))+MIN((Skills!Y22*(1+Inputs!$B$34/100)),MAX(0,Inputs!$B$44-((R3574-1)*(1/Q3574)))))/Inputs!$B$44),IF(Inputs!$B$39="pvp",MIN((Skills!Y22*(1+Inputs!$B$34/100)),15)/15,MIN(1,(Skills!Y22*(1+Inputs!$B$34/100))/(1/Q3574)))))+((C3555=TRUE)*F3555*3)+((C3557=TRUE)*F3557*(1-EXP(-0.75*B3590*5)))+((C3576=TRUE)*(F3576-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3563=TRUE)*F3563*IF(AND(Inputs!$B$39&lt;&gt;"pvp",Inputs!$B$44&gt;0),(((R3563-1)*MIN((Skills!Y11*(1+Inputs!$B$34/100)),(1/Q3563))+MIN((Skills!Y11*(1+Inputs!$B$34/100)),MAX(0,Inputs!$B$44-((R3563-1)*(1/Q3563)))))/Inputs!$B$44),IF(Inputs!$B$39="pvp",MIN((Skills!Y11*(1+Inputs!$B$34/100)),15)/15,MIN(1,(Skills!Y11*(1+Inputs!$B$34/100))/(1/Q3563)))))/100)*(1+((C3568=TRUE)*F3568*IF(AND(Inputs!$B$39&lt;&gt;"pvp",Inputs!$B$44&gt;0),(((R3568-1)*MIN((Skills!Y16*(1+Inputs!$B$34/100)),(1/Q3568))+MIN((Skills!Y16*(1+Inputs!$B$34/100)),MAX(0,Inputs!$B$44-((R3568-1)*(1/Q3568)))))/Inputs!$B$44),IF(Inputs!$B$39="pvp",MIN((Skills!Y16*(1+Inputs!$B$34/100)),15)/15,MIN(1,(Skills!Y16*(1+Inputs!$B$34/100))/(1/Q3568)))))/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3588*I3556)</f>
        <v/>
      </c>
      <c r="L3556">
        <f>K3556*(MIN(Inputs!$B$22+((C3577=TRUE)*(F3577-Calc!F25)),(Inputs!$B$23+((C3582=TRUE)*(F3582-Calc!F30))+IF(ArtifactsInput!$M$15,CHOOSE(ArtifactsInput!$N$15+1,25,30,35,40,45,50)/100*(Inputs!$B$11-Inputs!$B$11),0)))/100+(Inputs!$B$23+((C3582=TRUE)*(F3582-Calc!F30))+IF(ArtifactsInput!$M$15,CHOOSE(ArtifactsInput!$N$15+1,25,30,35,40,45,50)/100*(Inputs!$B$11-Inputs!$B$11),0))/100)/2</f>
        <v/>
      </c>
      <c r="M3556">
        <f>L3556*(1+(Inputs!$B$10+((C3579=TRUE)*(F3579-Calc!F27))+B3593+(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3556">
        <f>L3556*(1-MIN((Inputs!$B$9+((C3578=TRUE)*(F3578-Calc!F26))+B3586+(ArtifactsInput!$M$24-ArtifactsInput!$M$24)*CHOOSE(ArtifactsInput!$N$24+1,10,12,14,16,18,20)+(IF(AND(Inputs!$B$39&lt;&gt;"pvp",Inputs!$B$44=0),1,IF(IF(Inputs!$B$39="pvp",15,Inputs!$B$44)-(B3597)&lt;=0,1,MAX(0,IF(Inputs!$B$39="pvp",15,Inputs!$B$44)-MAX(5,B3597))/(IF(Inputs!$B$39="pvp",15,Inputs!$B$44)-(B3597))))*IF(AND(ArtifactsInput!$M$42,((Inputs!$B$9+((C3578=TRUE)*(F3578-Calc!F26))+B3586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3556*(MIN((Inputs!$B$9+((C3578=TRUE)*(F3578-Calc!F26))+B3586+(ArtifactsInput!$M$24-ArtifactsInput!$M$24)*CHOOSE(ArtifactsInput!$N$24+1,10,12,14,16,18,20)+(IF(AND(Inputs!$B$39&lt;&gt;"pvp",Inputs!$B$44=0),1,IF(IF(Inputs!$B$39="pvp",15,Inputs!$B$44)-(B3597)&lt;=0,1,MAX(0,IF(Inputs!$B$39="pvp",15,Inputs!$B$44)-MAX(5,B3597))/(IF(Inputs!$B$39="pvp",15,Inputs!$B$44)-(B3597))))*IF(AND(ArtifactsInput!$M$42,((Inputs!$B$9+((C3578=TRUE)*(F3578-Calc!F26))+B3586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3556">
        <f>(1-Summary!$B$11)*T3556+Summary!$B$11*V3556</f>
        <v/>
      </c>
      <c r="P3556">
        <f>IF(B3598=0,0,O3556/B3598)</f>
        <v/>
      </c>
      <c r="Q3556">
        <f>IFERROR(1/IF(Inputs!$B$39="pvp",15,MAX(0.1,Skills!D4-IF(TRUE=TRUE,3.0,0))),0)</f>
        <v/>
      </c>
      <c r="R3556">
        <f>IF(AND(Inputs!$B$39&lt;&gt;"pvp",Inputs!$B$44&gt;0),IF(MAX(0,Inputs!$B$44-B3597)&lt;=0,0,(INT(MAX(0,Inputs!$B$44-B3597)/IF(Inputs!$B$39="pvp",15,MAX(0.1,Skills!D4-IF(TRUE=TRUE,3.0,0))))+1)),0)</f>
        <v/>
      </c>
      <c r="S3556">
        <f>IFERROR(O3556/N3556,0)</f>
        <v/>
      </c>
      <c r="T3556">
        <f>IF(C3556,(H3556*N3556*IF(AND(Inputs!$B$39&lt;&gt;"pvp",Inputs!$B$44&gt;0),((Skills!G4*((R3556-1)*IF(Skills!H4&gt;0,Skills!I4/Skills!H4,1)+IF(Skills!H4&gt;0,MIN(Skills!I4,MAX(0,MAX(0,Inputs!$B$44-B3597)-((R3556-1)*IF(Inputs!$B$39="pvp",15,MAX(0.1,Skills!D4-IF(TRUE=TRUE,3.0,0))))))/Skills!H4,1)))/Inputs!$B$44),G3556*Q3556))*IF(Inputs!$B$39="pvp",1,1+(Inputs!$B$20+0+Skills!P4+B3587+(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Hunt"),CHOOSE(ArtifactsInput!$N$35+1,15,18,21,24,27,30)*(1-EXP(-(0.2*B3590)*5)),0)+IF(AND(ArtifactsInput!$M$22,Inputs!$B$4&lt;&gt;"Chapter Hunt"),CHOOSE(ArtifactsInput!$N$22+1,10,12,14,16,18,20)*((0*(((0.15*B3590*5))^0/1)+1*(((0.15*B3590*5))^1/1)+2*(((0.15*B3590*5))^2/2)+3*(((0.15*B3590*5))^3/6)+4*(((0.15*B3590*5))^4/24)+5*(((0.15*B3590*5))^5/120))/((((0.15*B3590*5))^0/1)+(((0.15*B3590*5))^1/1)+(((0.15*B3590*5))^2/2)+(((0.15*B3590*5))^3/6)+(((0.15*B3590*5))^4/24)+(((0.15*B3590*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3556*(1-MIN(100,(Inputs!$B$9+((C3578=TRUE)*(F3578-Calc!F26))+B3586+(ArtifactsInput!$M$24-ArtifactsInput!$M$24)*CHOOSE(ArtifactsInput!$N$24+1,10,12,14,16,18,20)+(IF(AND(Inputs!$B$39&lt;&gt;"pvp",Inputs!$B$44=0),1,IF(IF(Inputs!$B$39="pvp",15,Inputs!$B$44)-(B3597)&lt;=0,1,MAX(0,IF(Inputs!$B$39="pvp",15,Inputs!$B$44)-MAX(5,B3597))/(IF(Inputs!$B$39="pvp",15,Inputs!$B$44)-(B3597))))*IF(AND(ArtifactsInput!$M$42,((Inputs!$B$9+((C3578=TRUE)*(F3578-Calc!F26))+B3586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3556*(MIN(100,(Inputs!$B$9+((C3578=TRUE)*(F3578-Calc!F26))+B3586+(ArtifactsInput!$M$24-ArtifactsInput!$M$24)*CHOOSE(ArtifactsInput!$N$24+1,10,12,14,16,18,20)+(IF(AND(Inputs!$B$39&lt;&gt;"pvp",Inputs!$B$44=0),1,IF(IF(Inputs!$B$39="pvp",15,Inputs!$B$44)-(B3597)&lt;=0,1,MAX(0,IF(Inputs!$B$39="pvp",15,Inputs!$B$44)-MAX(5,B3597))/(IF(Inputs!$B$39="pvp",15,Inputs!$B$44)-(B3597))))*IF(AND(ArtifactsInput!$M$42,((Inputs!$B$9+((C3578=TRUE)*(F3578-Calc!F26))+B3586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3556*(1-MIN(100,(Inputs!$B$9+((C3578=TRUE)*(F3578-Calc!F26))+B3586+(ArtifactsInput!$M$24-ArtifactsInput!$M$24)*CHOOSE(ArtifactsInput!$N$24+1,10,12,14,16,18,20)+(IF(AND(Inputs!$B$39&lt;&gt;"pvp",Inputs!$B$44=0),1,IF(IF(Inputs!$B$39="pvp",15,Inputs!$B$44)-(B3597)&lt;=0,1,MAX(0,IF(Inputs!$B$39="pvp",15,Inputs!$B$44)-MAX(5,B3597))/(IF(Inputs!$B$39="pvp",15,Inputs!$B$44)-(B3597))))*IF(AND(ArtifactsInput!$M$42,((Inputs!$B$9+((C3578=TRUE)*(F3578-Calc!F26))+B3586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3556*(MIN(100,(Inputs!$B$9+((C3578=TRUE)*(F3578-Calc!F26))+B3586+(ArtifactsInput!$M$24-ArtifactsInput!$M$24)*CHOOSE(ArtifactsInput!$N$24+1,10,12,14,16,18,20)+(IF(AND(Inputs!$B$39&lt;&gt;"pvp",Inputs!$B$44=0),1,IF(IF(Inputs!$B$39="pvp",15,Inputs!$B$44)-(B3597)&lt;=0,1,MAX(0,IF(Inputs!$B$39="pvp",15,Inputs!$B$44)-MAX(5,B3597))/(IF(Inputs!$B$39="pvp",15,Inputs!$B$44)-(B3597))))*IF(AND(ArtifactsInput!$M$42,((Inputs!$B$9+((C3578=TRUE)*(F3578-Calc!F26))+B3586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3556">
        <f>290*U3555/1000</f>
        <v/>
      </c>
      <c r="V3556">
        <f>IF(C3556,(H3556*N3556*IF(AND(Inputs!$B$39&lt;&gt;"pvp",Inputs!$B$44&gt;0),((Skills!G4*((R3556-1)*IF(Skills!H4&gt;0,Skills!I4/Skills!H4,1)+IF(Skills!H4&gt;0,MIN(Skills!I4,MAX(0,MAX(0,Inputs!$B$44-B3597)-((R3556-1)*IF(Inputs!$B$39="pvp",15,MAX(0.1,Skills!D4-IF(TRUE=TRUE,3.0,0))))))/Skills!H4,1)))/Inputs!$B$44),G3556*Q3556))*IF(Inputs!$B$39="pvp",1,(1+(Inputs!$B$21+Skills!Q4+B3587+(IF(ArtifactsInput!$M$33,CHOOSE(ArtifactsInput!$N$33+1,30,36,42,48,54,60),0))+(IF(AND(ArtifactsInput!$M$35,Inputs!$B$4&lt;&gt;"Chapter Hunt"),CHOOSE(ArtifactsInput!$N$35+1,15,18,21,24,27,30)*(1-EXP(-(0.2*B3590)*5)),0)+IF(AND(ArtifactsInput!$M$22,Inputs!$B$4&lt;&gt;"Chapter Hunt"),CHOOSE(ArtifactsInput!$N$22+1,10,12,14,16,18,20)*((0*(((0.15*B3590*5))^0/1)+1*(((0.15*B3590*5))^1/1)+2*(((0.15*B3590*5))^2/2)+3*(((0.15*B3590*5))^3/6)+4*(((0.15*B3590*5))^4/24)+5*(((0.15*B3590*5))^5/120))/((((0.15*B3590*5))^0/1)+(((0.15*B3590*5))^1/1)+(((0.15*B3590*5))^2/2)+(((0.15*B3590*5))^3/6)+(((0.15*B3590*5))^4/24)+(((0.15*B3590*5))^5/120))),0)))/100)*(MIN(MIN(10,IF(Inputs!$B$3&gt;=75,0.75,0.5)*B3590*(1/Q3556)),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3557">
      <c r="A3557">
        <f>Skills!A5</f>
        <v/>
      </c>
      <c r="B3557">
        <f>Skills!B5</f>
        <v/>
      </c>
      <c r="C3557">
        <f>Inputs!$B$3&gt;=75</f>
        <v/>
      </c>
      <c r="D3557">
        <f>IF(Skills!C5=1,60+Inputs!$B$25+Inputs!$B$29,IF(Skills!C5=2,90+Inputs!$B$26+Inputs!$B$29,IF(Skills!C5=3,120+Inputs!$B$27+Inputs!$B$29,MAX(0,(Inputs!$B$3-100)*3)+Inputs!$B$28+Inputs!$B$29)))</f>
        <v/>
      </c>
      <c r="E3557">
        <f>INDEX(FactorTable!$B$2:$Y$301, MATCH(ROUND(MIN(300,MAX(1,D3557)),0), FactorTable!$A$2:$A$301,0), Skills!M5+1)</f>
        <v/>
      </c>
      <c r="F3557">
        <f>IF(Skills!N5=TRUE,(Skills!L5/10)*(E3557/1000),Skills!L5/10)+Skills!O5</f>
        <v/>
      </c>
      <c r="G3557">
        <f>Skills!G5*IF(Skills!H5&gt;0,IF(Inputs!$B$39="pvp",MIN(Skills!I5,15),Skills!I5)/Skills!H5,1)</f>
        <v/>
      </c>
      <c r="H3557">
        <f>1-(1-Skills!J5/100)^Skills!K5</f>
        <v/>
      </c>
      <c r="I3557" t="inlineStr">
        <is>
          <t>1</t>
        </is>
      </c>
      <c r="J3557" t="inlineStr"/>
      <c r="K3557" t="inlineStr"/>
      <c r="L3557" t="inlineStr"/>
      <c r="M3557" t="inlineStr"/>
      <c r="N3557" t="inlineStr"/>
      <c r="O3557">
        <f>(1-Summary!$B$11)*T3557+Summary!$B$11*V3557</f>
        <v/>
      </c>
      <c r="P3557">
        <f>IF(B3598=0,0,O3557/B3598)</f>
        <v/>
      </c>
      <c r="Q3557" t="n">
        <v>0</v>
      </c>
      <c r="R3557" t="n">
        <v>0</v>
      </c>
      <c r="S3557">
        <f>IFERROR(O3557/N3557,0)</f>
        <v/>
      </c>
      <c r="T3557" t="n">
        <v>0</v>
      </c>
      <c r="V3557" t="n">
        <v>0</v>
      </c>
    </row>
    <row r="3558">
      <c r="A3558">
        <f>Skills!A6</f>
        <v/>
      </c>
      <c r="B3558">
        <f>Skills!B6</f>
        <v/>
      </c>
      <c r="C3558">
        <f>Inputs!$B$3&gt;=63</f>
        <v/>
      </c>
      <c r="D3558">
        <f>IF(Skills!C6=1,60+Inputs!$B$25+Inputs!$B$29,IF(Skills!C6=2,90+Inputs!$B$26+Inputs!$B$29,IF(Skills!C6=3,120+Inputs!$B$27+Inputs!$B$29,MAX(0,(Inputs!$B$3-100)*3)+Inputs!$B$28+Inputs!$B$29)))</f>
        <v/>
      </c>
      <c r="E3558">
        <f>INDEX(FactorTable!$B$2:$Y$301, MATCH(ROUND(MIN(300,MAX(1,D3558)),0), FactorTable!$A$2:$A$301,0), Skills!M6+1)</f>
        <v/>
      </c>
      <c r="F3558">
        <f>IF(Skills!N6=TRUE,(Skills!L6/10)*(E3558/1000),Skills!L6/10)+Skills!O6</f>
        <v/>
      </c>
      <c r="G3558">
        <f>Skills!G6*IF(Skills!H6&gt;0,IF(Inputs!$B$39="pvp",MIN(Skills!I6,15),Skills!I6)/Skills!H6,1)</f>
        <v/>
      </c>
      <c r="H3558">
        <f>1-(1-Skills!J6/100)^Skills!K6</f>
        <v/>
      </c>
      <c r="I3558" t="inlineStr">
        <is>
          <t>1</t>
        </is>
      </c>
      <c r="J3558">
        <f>((Inputs!$B$6*(1+Inputs!$B$7/100))+(((Inputs!$B$12*(1+Inputs!$B$13/100))-(Inputs!$B$12*(1+Inputs!$B$13/100)))+0.25*(Inputs!$B$14-Inputs!$B$14))*(1+Inputs!$B$7/100))*(F3558/100)</f>
        <v/>
      </c>
      <c r="K3558">
        <f>J3558*(1+((Inputs!$B$12*(1+Inputs!$B$13/100))*0.01+Inputs!$B$14*0.0025)/100)*(1+Inputs!$B$15/100)*(1+Inputs!$B$16/100)*(5000/(6000+Inputs!$B$43*(1-(100*(1-(1-Inputs!$B$19/100)*(1-CHOOSE(ArtifactsInput!$N$40+1,5,6,7,8,9,10)/100)^(ArtifactsInput!$M$40-ArtifactsInput!$M$40)))/100)))*(1+(Inputs!$B$24+((C3583=TRUE)*(F3583-Calc!F31))+((C3570=TRUE)*(F3570-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+2.6666666666666665*IF(C3571=TRUE,F3571,0)/100)*(1+(IF(Skills!A6="CRUEL_STAB",Inputs!$B$17+((C3580=TRUE)*(F3580-Calc!F28))+((IF(AND(Inputs!$B$39&lt;&gt;"pvp",Inputs!$B$44=0),1,IF(IF(Inputs!$B$39="pvp",15,Inputs!$B$44)-(B3597)&lt;=0,1,MAX(0,IF(Inputs!$B$39="pvp",15,Inputs!$B$44)-MAX(5,B3597))/(IF(Inputs!$B$39="pvp",15,Inputs!$B$44)-(B3597))))*(IF(AND(ArtifactsInput!$M$42,((Inputs!$B$9+((C3578=TRUE)*(F3578-Calc!F26))+B3586+(ArtifactsInput!$M$24-ArtifactsInput!$M$24)*CHOOSE(ArtifactsInput!$N$24+1,10,12,14,16,18,20)+IF(ArtifactsInput!$M$10,CHOOSE(ArtifactsInput!$N$10+1,15,18,21,24,27,30)*(IF(Inputs!$B$39="pvp",MIN(15,15)/15,IF(AND(Inputs!$B$39&lt;&gt;"pvp",Inputs!$B$44&gt;0),MIN(15,Inputs!$B$44)/(Inputs!$B$44),0))),0)))&gt;=100),MIN(100,((Inputs!$B$9+((C3578=TRUE)*(F3578-Calc!F26))+B3586+(ArtifactsInput!$M$24-ArtifactsInput!$M$24)*CHOOSE(ArtifactsInput!$N$24+1,10,12,14,16,18,20)+IF(ArtifactsInput!$M$10,CHOOSE(ArtifactsInput!$N$10+1,15,18,21,24,27,30)*(IF(Inputs!$B$39="pvp",MIN(15,15)/15,IF(AND(Inputs!$B$39&lt;&gt;"pvp",Inputs!$B$44&gt;0),MIN(15,Inputs!$B$44)/(Inputs!$B$44),0))),0)))-100),0))*CHOOSE(ArtifactsInput!$N$42+1,0.6,0.72,0.84,0.96,1.08,1.2))),Inputs!$B$18+((C3581=TRUE)*(F3581-Calc!F29))+(IF(AND(Inputs!$B$39&lt;&gt;"pvp",Inputs!$B$44=0),1,IF(IF(Inputs!$B$39="pvp",15,Inputs!$B$44)-(B3597)&lt;=0,1,MAX(0,IF(Inputs!$B$39="pvp",15,Inputs!$B$44)-MAX(5,B3597))/(IF(Inputs!$B$39="pvp",15,Inputs!$B$44)-(B3597))))*IF(AND(ArtifactsInput!$M$42,((Inputs!$B$9+((C3578=TRUE)*(F3578-Calc!F26))+B3586+(ArtifactsInput!$M$24-ArtifactsInput!$M$24)*CHOOSE(ArtifactsInput!$N$24+1,10,12,14,16,18,20)+IF(ArtifactsInput!$M$10,CHOOSE(ArtifactsInput!$N$10+1,15,18,21,24,27,30)*(IF(Inputs!$B$39="pvp",MIN(15,15)/15,IF(AND(Inputs!$B$39&lt;&gt;"pvp",Inputs!$B$44&gt;0),MIN(15,Inputs!$B$44)/(Inputs!$B$44),0))),0)))&gt;=100),CHOOSE(ArtifactsInput!$N$42+1,40,48,56,64,72,80),0))))/100)*(((1+(((C3574=TRUE)*F3574*IF(AND(Inputs!$B$39&lt;&gt;"pvp",Inputs!$B$44&gt;0),(((R3574-1)*MIN((Skills!Y22*(1+Inputs!$B$34/100)),(1/Q3574))+MIN((Skills!Y22*(1+Inputs!$B$34/100)),MAX(0,Inputs!$B$44-((R3574-1)*(1/Q3574)))))/Inputs!$B$44),IF(Inputs!$B$39="pvp",MIN((Skills!Y22*(1+Inputs!$B$34/100)),15)/15,MIN(1,(Skills!Y22*(1+Inputs!$B$34/100))/(1/Q3574)))))+((C3555=TRUE)*F3555*3)+((C3557=TRUE)*F3557*(1-EXP(-0.75*B3590*5)))+((C3576=TRUE)*(F3576-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3563=TRUE)*F3563*IF(AND(Inputs!$B$39&lt;&gt;"pvp",Inputs!$B$44&gt;0),(((R3563-1)*MIN((Skills!Y11*(1+Inputs!$B$34/100)),(1/Q3563))+MIN((Skills!Y11*(1+Inputs!$B$34/100)),MAX(0,Inputs!$B$44-((R3563-1)*(1/Q3563)))))/Inputs!$B$44),IF(Inputs!$B$39="pvp",MIN((Skills!Y11*(1+Inputs!$B$34/100)),15)/15,MIN(1,(Skills!Y11*(1+Inputs!$B$34/100))/(1/Q3563)))))/100)*(1+((C3568=TRUE)*F3568*IF(AND(Inputs!$B$39&lt;&gt;"pvp",Inputs!$B$44&gt;0),(((R3568-1)*MIN((Skills!Y16*(1+Inputs!$B$34/100)),(1/Q3568))+MIN((Skills!Y16*(1+Inputs!$B$34/100)),MAX(0,Inputs!$B$44-((R3568-1)*(1/Q3568)))))/Inputs!$B$44),IF(Inputs!$B$39="pvp",MIN((Skills!Y16*(1+Inputs!$B$34/100)),15)/15,MIN(1,(Skills!Y16*(1+Inputs!$B$34/100))/(1/Q3568)))))/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3588*I3558)</f>
        <v/>
      </c>
      <c r="L3558">
        <f>K3558*(MIN(Inputs!$B$22+((C3577=TRUE)*(F3577-Calc!F25)),(Inputs!$B$23+((C3582=TRUE)*(F3582-Calc!F30))+IF(ArtifactsInput!$M$15,CHOOSE(ArtifactsInput!$N$15+1,25,30,35,40,45,50)/100*(Inputs!$B$11-Inputs!$B$11),0)))/100+(Inputs!$B$23+((C3582=TRUE)*(F3582-Calc!F30))+IF(ArtifactsInput!$M$15,CHOOSE(ArtifactsInput!$N$15+1,25,30,35,40,45,50)/100*(Inputs!$B$11-Inputs!$B$11),0))/100)/2</f>
        <v/>
      </c>
      <c r="M3558">
        <f>L3558*(1+(Inputs!$B$10+((C3579=TRUE)*(F3579-Calc!F27))+B3593+(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3558">
        <f>L3558*(1-MIN((Inputs!$B$9+((C3578=TRUE)*(F3578-Calc!F26))+B3586+(ArtifactsInput!$M$24-ArtifactsInput!$M$24)*CHOOSE(ArtifactsInput!$N$24+1,10,12,14,16,18,20)+(IF(AND(Inputs!$B$39&lt;&gt;"pvp",Inputs!$B$44=0),1,IF(IF(Inputs!$B$39="pvp",15,Inputs!$B$44)-(B3597)&lt;=0,1,MAX(0,IF(Inputs!$B$39="pvp",15,Inputs!$B$44)-MAX(5,B3597))/(IF(Inputs!$B$39="pvp",15,Inputs!$B$44)-(B3597))))*IF(AND(ArtifactsInput!$M$42,((Inputs!$B$9+((C3578=TRUE)*(F3578-Calc!F26))+B3586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3558*(MIN((Inputs!$B$9+((C3578=TRUE)*(F3578-Calc!F26))+B3586+(ArtifactsInput!$M$24-ArtifactsInput!$M$24)*CHOOSE(ArtifactsInput!$N$24+1,10,12,14,16,18,20)+(IF(AND(Inputs!$B$39&lt;&gt;"pvp",Inputs!$B$44=0),1,IF(IF(Inputs!$B$39="pvp",15,Inputs!$B$44)-(B3597)&lt;=0,1,MAX(0,IF(Inputs!$B$39="pvp",15,Inputs!$B$44)-MAX(5,B3597))/(IF(Inputs!$B$39="pvp",15,Inputs!$B$44)-(B3597))))*IF(AND(ArtifactsInput!$M$42,((Inputs!$B$9+((C3578=TRUE)*(F3578-Calc!F26))+B3586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3558">
        <f>(1-Summary!$B$11)*T3558+Summary!$B$11*V3558</f>
        <v/>
      </c>
      <c r="P3558">
        <f>IF(B3598=0,0,O3558/B3598)</f>
        <v/>
      </c>
      <c r="Q3558">
        <f>IFERROR(1/IF(Inputs!$B$39="pvp",15,MAX(0.1,Skills!D6-IF(TRUE=TRUE,3.0,0))),0)</f>
        <v/>
      </c>
      <c r="R3558">
        <f>IF(AND(Inputs!$B$39&lt;&gt;"pvp",Inputs!$B$44&gt;0),IF(MAX(0,Inputs!$B$44-B3597)&lt;=0,0,(INT(MAX(0,Inputs!$B$44-B3597)/IF(Inputs!$B$39="pvp",15,MAX(0.1,Skills!D6-IF(TRUE=TRUE,3.0,0))))+1)),0)</f>
        <v/>
      </c>
      <c r="S3558">
        <f>IFERROR(O3558/N3558,0)</f>
        <v/>
      </c>
      <c r="T3558">
        <f>IF(C3558,(H3558*N3558*IF(AND(Inputs!$B$39&lt;&gt;"pvp",Inputs!$B$44&gt;0),((Skills!G6*((R3558-1)*IF(Skills!H6&gt;0,Skills!I6/Skills!H6,1)+IF(Skills!H6&gt;0,MIN(Skills!I6,MAX(0,MAX(0,Inputs!$B$44-B3597)-((R3558-1)*IF(Inputs!$B$39="pvp",15,MAX(0.1,Skills!D6-IF(TRUE=TRUE,3.0,0))))))/Skills!H6,1)))/Inputs!$B$44),G3558*Q3558))*IF(Inputs!$B$39="pvp",1,1+(Inputs!$B$20+0+Skills!P6+B3587+(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Hunt"),CHOOSE(ArtifactsInput!$N$35+1,15,18,21,24,27,30)*(1-EXP(-(0.2*B3590)*5)),0)+IF(AND(ArtifactsInput!$M$22,Inputs!$B$4&lt;&gt;"Chapter Hunt"),CHOOSE(ArtifactsInput!$N$22+1,10,12,14,16,18,20)*((0*(((0.15*B3590*5))^0/1)+1*(((0.15*B3590*5))^1/1)+2*(((0.15*B3590*5))^2/2)+3*(((0.15*B3590*5))^3/6)+4*(((0.15*B3590*5))^4/24)+5*(((0.15*B3590*5))^5/120))/((((0.15*B3590*5))^0/1)+(((0.15*B3590*5))^1/1)+(((0.15*B3590*5))^2/2)+(((0.15*B3590*5))^3/6)+(((0.15*B3590*5))^4/24)+(((0.15*B3590*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3558*(1-MIN(100,(Inputs!$B$9+((C3578=TRUE)*(F3578-Calc!F26))+B3586+(ArtifactsInput!$M$24-ArtifactsInput!$M$24)*CHOOSE(ArtifactsInput!$N$24+1,10,12,14,16,18,20)+(IF(AND(Inputs!$B$39&lt;&gt;"pvp",Inputs!$B$44=0),1,IF(IF(Inputs!$B$39="pvp",15,Inputs!$B$44)-(B3597)&lt;=0,1,MAX(0,IF(Inputs!$B$39="pvp",15,Inputs!$B$44)-MAX(5,B3597))/(IF(Inputs!$B$39="pvp",15,Inputs!$B$44)-(B3597))))*IF(AND(ArtifactsInput!$M$42,((Inputs!$B$9+((C3578=TRUE)*(F3578-Calc!F26))+B3586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3558*(MIN(100,(Inputs!$B$9+((C3578=TRUE)*(F3578-Calc!F26))+B3586+(ArtifactsInput!$M$24-ArtifactsInput!$M$24)*CHOOSE(ArtifactsInput!$N$24+1,10,12,14,16,18,20)+(IF(AND(Inputs!$B$39&lt;&gt;"pvp",Inputs!$B$44=0),1,IF(IF(Inputs!$B$39="pvp",15,Inputs!$B$44)-(B3597)&lt;=0,1,MAX(0,IF(Inputs!$B$39="pvp",15,Inputs!$B$44)-MAX(5,B3597))/(IF(Inputs!$B$39="pvp",15,Inputs!$B$44)-(B3597))))*IF(AND(ArtifactsInput!$M$42,((Inputs!$B$9+((C3578=TRUE)*(F3578-Calc!F26))+B3586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3558*(1-MIN(100,(Inputs!$B$9+((C3578=TRUE)*(F3578-Calc!F26))+B3586+(ArtifactsInput!$M$24-ArtifactsInput!$M$24)*CHOOSE(ArtifactsInput!$N$24+1,10,12,14,16,18,20)+(IF(AND(Inputs!$B$39&lt;&gt;"pvp",Inputs!$B$44=0),1,IF(IF(Inputs!$B$39="pvp",15,Inputs!$B$44)-(B3597)&lt;=0,1,MAX(0,IF(Inputs!$B$39="pvp",15,Inputs!$B$44)-MAX(5,B3597))/(IF(Inputs!$B$39="pvp",15,Inputs!$B$44)-(B3597))))*IF(AND(ArtifactsInput!$M$42,((Inputs!$B$9+((C3578=TRUE)*(F3578-Calc!F26))+B3586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3558*(MIN(100,(Inputs!$B$9+((C3578=TRUE)*(F3578-Calc!F26))+B3586+(ArtifactsInput!$M$24-ArtifactsInput!$M$24)*CHOOSE(ArtifactsInput!$N$24+1,10,12,14,16,18,20)+(IF(AND(Inputs!$B$39&lt;&gt;"pvp",Inputs!$B$44=0),1,IF(IF(Inputs!$B$39="pvp",15,Inputs!$B$44)-(B3597)&lt;=0,1,MAX(0,IF(Inputs!$B$39="pvp",15,Inputs!$B$44)-MAX(5,B3597))/(IF(Inputs!$B$39="pvp",15,Inputs!$B$44)-(B3597))))*IF(AND(ArtifactsInput!$M$42,((Inputs!$B$9+((C3578=TRUE)*(F3578-Calc!F26))+B3586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3558">
        <f>IF(C3558,(H3558*N3558*IF(AND(Inputs!$B$39&lt;&gt;"pvp",Inputs!$B$44&gt;0),((Skills!G6*((R3558-1)*IF(Skills!H6&gt;0,Skills!I6/Skills!H6,1)+IF(Skills!H6&gt;0,MIN(Skills!I6,MAX(0,MAX(0,Inputs!$B$44-B3597)-((R3558-1)*IF(Inputs!$B$39="pvp",15,MAX(0.1,Skills!D6-IF(TRUE=TRUE,3.0,0))))))/Skills!H6,1)))/Inputs!$B$44),G3558*Q3558))*IF(Inputs!$B$39="pvp",1,(1+(Inputs!$B$21+Skills!Q6+B3587+(IF(ArtifactsInput!$M$33,CHOOSE(ArtifactsInput!$N$33+1,30,36,42,48,54,60),0))+(IF(AND(ArtifactsInput!$M$35,Inputs!$B$4&lt;&gt;"Chapter Hunt"),CHOOSE(ArtifactsInput!$N$35+1,15,18,21,24,27,30)*(1-EXP(-(0.2*B3590)*5)),0)+IF(AND(ArtifactsInput!$M$22,Inputs!$B$4&lt;&gt;"Chapter Hunt"),CHOOSE(ArtifactsInput!$N$22+1,10,12,14,16,18,20)*((0*(((0.15*B3590*5))^0/1)+1*(((0.15*B3590*5))^1/1)+2*(((0.15*B3590*5))^2/2)+3*(((0.15*B3590*5))^3/6)+4*(((0.15*B3590*5))^4/24)+5*(((0.15*B3590*5))^5/120))/((((0.15*B3590*5))^0/1)+(((0.15*B3590*5))^1/1)+(((0.15*B3590*5))^2/2)+(((0.15*B3590*5))^3/6)+(((0.15*B3590*5))^4/24)+(((0.15*B3590*5))^5/120))),0)))/100)*(MIN(Skills!W6,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3559">
      <c r="A3559">
        <f>Skills!A7</f>
        <v/>
      </c>
      <c r="B3559">
        <f>Skills!B7</f>
        <v/>
      </c>
      <c r="C3559">
        <f>Inputs!$B$3&gt;=69</f>
        <v/>
      </c>
      <c r="D3559">
        <f>IF(Skills!C7=1,60+Inputs!$B$25+Inputs!$B$29,IF(Skills!C7=2,90+Inputs!$B$26+Inputs!$B$29,IF(Skills!C7=3,120+Inputs!$B$27+Inputs!$B$29,MAX(0,(Inputs!$B$3-100)*3)+Inputs!$B$28+Inputs!$B$29)))</f>
        <v/>
      </c>
      <c r="E3559">
        <f>INDEX(FactorTable!$B$2:$Y$301, MATCH(ROUND(MIN(300,MAX(1,D3559)),0), FactorTable!$A$2:$A$301,0), Skills!M7+1)</f>
        <v/>
      </c>
      <c r="F3559">
        <f>IF(Skills!N7=TRUE,(Skills!L7/10)*(E3559/1000),Skills!L7/10)+Skills!O7</f>
        <v/>
      </c>
      <c r="G3559">
        <f>Skills!G7*IF(Skills!H7&gt;0,IF(Inputs!$B$39="pvp",MIN(Skills!I7,15),Skills!I7)/Skills!H7,1)</f>
        <v/>
      </c>
      <c r="H3559">
        <f>1-(1-Skills!J7/100)^Skills!K7</f>
        <v/>
      </c>
      <c r="I3559" t="inlineStr">
        <is>
          <t>1</t>
        </is>
      </c>
      <c r="J3559">
        <f>((Inputs!$B$6*(1+Inputs!$B$7/100))+(((Inputs!$B$12*(1+Inputs!$B$13/100))-(Inputs!$B$12*(1+Inputs!$B$13/100)))+0.25*(Inputs!$B$14-Inputs!$B$14))*(1+Inputs!$B$7/100))*(F3559/100)</f>
        <v/>
      </c>
      <c r="K3559">
        <f>J3559*(1+((Inputs!$B$12*(1+Inputs!$B$13/100))*0.01+Inputs!$B$14*0.0025)/100)*(1+Inputs!$B$15/100)*(1+Inputs!$B$16/100)*(5000/(6000+Inputs!$B$43*(1-(100*(1-(1-Inputs!$B$19/100)*(1-CHOOSE(ArtifactsInput!$N$40+1,5,6,7,8,9,10)/100)^(ArtifactsInput!$M$40-ArtifactsInput!$M$40)))/100)))*(1+(Inputs!$B$24+((C3583=TRUE)*(F3583-Calc!F31))+((C3570=TRUE)*(F3570-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3571=TRUE,F3571,0)/100)*(1+(IF(Skills!A7="CRUEL_STAB",Inputs!$B$17+((C3580=TRUE)*(F3580-Calc!F28))+((IF(AND(Inputs!$B$39&lt;&gt;"pvp",Inputs!$B$44=0),1,IF(IF(Inputs!$B$39="pvp",15,Inputs!$B$44)-(B3597)&lt;=0,1,MAX(0,IF(Inputs!$B$39="pvp",15,Inputs!$B$44)-MAX(5,B3597))/(IF(Inputs!$B$39="pvp",15,Inputs!$B$44)-(B3597))))*(IF(AND(ArtifactsInput!$M$42,((Inputs!$B$9+((C3578=TRUE)*(F3578-Calc!F26))+B3586+(ArtifactsInput!$M$24-ArtifactsInput!$M$24)*CHOOSE(ArtifactsInput!$N$24+1,10,12,14,16,18,20)+IF(ArtifactsInput!$M$10,CHOOSE(ArtifactsInput!$N$10+1,15,18,21,24,27,30)*(IF(Inputs!$B$39="pvp",MIN(15,15)/15,IF(AND(Inputs!$B$39&lt;&gt;"pvp",Inputs!$B$44&gt;0),MIN(15,Inputs!$B$44)/(Inputs!$B$44),0))),0)))&gt;=100),MIN(100,((Inputs!$B$9+((C3578=TRUE)*(F3578-Calc!F26))+B3586+(ArtifactsInput!$M$24-ArtifactsInput!$M$24)*CHOOSE(ArtifactsInput!$N$24+1,10,12,14,16,18,20)+IF(ArtifactsInput!$M$10,CHOOSE(ArtifactsInput!$N$10+1,15,18,21,24,27,30)*(IF(Inputs!$B$39="pvp",MIN(15,15)/15,IF(AND(Inputs!$B$39&lt;&gt;"pvp",Inputs!$B$44&gt;0),MIN(15,Inputs!$B$44)/(Inputs!$B$44),0))),0)))-100),0))*CHOOSE(ArtifactsInput!$N$42+1,0.6,0.72,0.84,0.96,1.08,1.2))),Inputs!$B$18+((C3581=TRUE)*(F3581-Calc!F29))+(IF(AND(Inputs!$B$39&lt;&gt;"pvp",Inputs!$B$44=0),1,IF(IF(Inputs!$B$39="pvp",15,Inputs!$B$44)-(B3597)&lt;=0,1,MAX(0,IF(Inputs!$B$39="pvp",15,Inputs!$B$44)-MAX(5,B3597))/(IF(Inputs!$B$39="pvp",15,Inputs!$B$44)-(B3597))))*IF(AND(ArtifactsInput!$M$42,((Inputs!$B$9+((C3578=TRUE)*(F3578-Calc!F26))+B3586+(ArtifactsInput!$M$24-ArtifactsInput!$M$24)*CHOOSE(ArtifactsInput!$N$24+1,10,12,14,16,18,20)+IF(ArtifactsInput!$M$10,CHOOSE(ArtifactsInput!$N$10+1,15,18,21,24,27,30)*(IF(Inputs!$B$39="pvp",MIN(15,15)/15,IF(AND(Inputs!$B$39&lt;&gt;"pvp",Inputs!$B$44&gt;0),MIN(15,Inputs!$B$44)/(Inputs!$B$44),0))),0)))&gt;=100),CHOOSE(ArtifactsInput!$N$42+1,40,48,56,64,72,80),0))))/100)*(((1+(((C3574=TRUE)*F3574*IF(AND(Inputs!$B$39&lt;&gt;"pvp",Inputs!$B$44&gt;0),(((R3574-1)*MIN((Skills!Y22*(1+Inputs!$B$34/100)),(1/Q3574))+MIN((Skills!Y22*(1+Inputs!$B$34/100)),MAX(0,Inputs!$B$44-((R3574-1)*(1/Q3574)))))/Inputs!$B$44),IF(Inputs!$B$39="pvp",MIN((Skills!Y22*(1+Inputs!$B$34/100)),15)/15,MIN(1,(Skills!Y22*(1+Inputs!$B$34/100))/(1/Q3574)))))+((C3555=TRUE)*F3555*3)+((C3557=TRUE)*F3557*(1-EXP(-0.75*B3590*5)))+((C3576=TRUE)*(F3576-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3563=TRUE)*F3563*IF(AND(Inputs!$B$39&lt;&gt;"pvp",Inputs!$B$44&gt;0),(((R3563-1)*MIN((Skills!Y11*(1+Inputs!$B$34/100)),(1/Q3563))+MIN((Skills!Y11*(1+Inputs!$B$34/100)),MAX(0,Inputs!$B$44-((R3563-1)*(1/Q3563)))))/Inputs!$B$44),IF(Inputs!$B$39="pvp",MIN((Skills!Y11*(1+Inputs!$B$34/100)),15)/15,MIN(1,(Skills!Y11*(1+Inputs!$B$34/100))/(1/Q3563)))))/100)*(1+((C3568=TRUE)*F3568*IF(AND(Inputs!$B$39&lt;&gt;"pvp",Inputs!$B$44&gt;0),(((R3568-1)*MIN((Skills!Y16*(1+Inputs!$B$34/100)),(1/Q3568))+MIN((Skills!Y16*(1+Inputs!$B$34/100)),MAX(0,Inputs!$B$44-((R3568-1)*(1/Q3568)))))/Inputs!$B$44),IF(Inputs!$B$39="pvp",MIN((Skills!Y16*(1+Inputs!$B$34/100)),15)/15,MIN(1,(Skills!Y16*(1+Inputs!$B$34/100))/(1/Q3568)))))/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3588*I3559)</f>
        <v/>
      </c>
      <c r="L3559">
        <f>K3559*(MIN(Inputs!$B$22+((C3577=TRUE)*(F3577-Calc!F25)),(Inputs!$B$23+((C3582=TRUE)*(F3582-Calc!F30))+IF(ArtifactsInput!$M$15,CHOOSE(ArtifactsInput!$N$15+1,25,30,35,40,45,50)/100*(Inputs!$B$11-Inputs!$B$11),0)))/100+(Inputs!$B$23+((C3582=TRUE)*(F3582-Calc!F30))+IF(ArtifactsInput!$M$15,CHOOSE(ArtifactsInput!$N$15+1,25,30,35,40,45,50)/100*(Inputs!$B$11-Inputs!$B$11),0))/100)/2</f>
        <v/>
      </c>
      <c r="M3559">
        <f>L3559*(1+(Inputs!$B$10+((C3579=TRUE)*(F3579-Calc!F27))+B3593+(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3559">
        <f>L3559*(1-MIN((Inputs!$B$9+((C3578=TRUE)*(F3578-Calc!F26))+B3586+(ArtifactsInput!$M$24-ArtifactsInput!$M$24)*CHOOSE(ArtifactsInput!$N$24+1,10,12,14,16,18,20)+(IF(AND(Inputs!$B$39&lt;&gt;"pvp",Inputs!$B$44=0),1,IF(IF(Inputs!$B$39="pvp",15,Inputs!$B$44)-(B3597)&lt;=0,1,MAX(0,IF(Inputs!$B$39="pvp",15,Inputs!$B$44)-MAX(5,B3597))/(IF(Inputs!$B$39="pvp",15,Inputs!$B$44)-(B3597))))*IF(AND(ArtifactsInput!$M$42,((Inputs!$B$9+((C3578=TRUE)*(F3578-Calc!F26))+B3586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3559*(MIN((Inputs!$B$9+((C3578=TRUE)*(F3578-Calc!F26))+B3586+(ArtifactsInput!$M$24-ArtifactsInput!$M$24)*CHOOSE(ArtifactsInput!$N$24+1,10,12,14,16,18,20)+(IF(AND(Inputs!$B$39&lt;&gt;"pvp",Inputs!$B$44=0),1,IF(IF(Inputs!$B$39="pvp",15,Inputs!$B$44)-(B3597)&lt;=0,1,MAX(0,IF(Inputs!$B$39="pvp",15,Inputs!$B$44)-MAX(5,B3597))/(IF(Inputs!$B$39="pvp",15,Inputs!$B$44)-(B3597))))*IF(AND(ArtifactsInput!$M$42,((Inputs!$B$9+((C3578=TRUE)*(F3578-Calc!F26))+B3586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3559">
        <f>(1-Summary!$B$11)*T3559+Summary!$B$11*V3559</f>
        <v/>
      </c>
      <c r="P3559">
        <f>IF(B3598=0,0,O3559/B3598)</f>
        <v/>
      </c>
      <c r="Q3559">
        <f>IFERROR(1/IF(Inputs!$B$39="pvp",15,MAX(0.1,Skills!D7-IF(TRUE=TRUE,3.0,0))),0)</f>
        <v/>
      </c>
      <c r="R3559">
        <f>IF(AND(Inputs!$B$39&lt;&gt;"pvp",Inputs!$B$44&gt;0),IF(MAX(0,Inputs!$B$44-B3597)&lt;=0,0,(INT(MAX(0,Inputs!$B$44-B3597)/IF(Inputs!$B$39="pvp",15,MAX(0.1,Skills!D7-IF(TRUE=TRUE,3.0,0))))+1)),0)</f>
        <v/>
      </c>
      <c r="S3559">
        <f>IFERROR(O3559/N3559,0)</f>
        <v/>
      </c>
      <c r="T3559">
        <f>IF(C3559,(H3559*N3559*IF(AND(Inputs!$B$39&lt;&gt;"pvp",Inputs!$B$44&gt;0),((Skills!G7*((R3559-1)*IF(Skills!H7&gt;0,Skills!I7/Skills!H7,1)+IF(Skills!H7&gt;0,MIN(Skills!I7,MAX(0,MAX(0,Inputs!$B$44-B3597)-((R3559-1)*IF(Inputs!$B$39="pvp",15,MAX(0.1,Skills!D7-IF(TRUE=TRUE,3.0,0))))))/Skills!H7,1)))/Inputs!$B$44),G3559*Q3559))*IF(Inputs!$B$39="pvp",1,1+(Inputs!$B$20+0+Skills!P7+B3587+(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Hunt"),CHOOSE(ArtifactsInput!$N$35+1,15,18,21,24,27,30)*(1-EXP(-(0.2*B3590)*5)),0)+IF(AND(ArtifactsInput!$M$22,Inputs!$B$4&lt;&gt;"Chapter Hunt"),CHOOSE(ArtifactsInput!$N$22+1,10,12,14,16,18,20)*((0*(((0.15*B3590*5))^0/1)+1*(((0.15*B3590*5))^1/1)+2*(((0.15*B3590*5))^2/2)+3*(((0.15*B3590*5))^3/6)+4*(((0.15*B3590*5))^4/24)+5*(((0.15*B3590*5))^5/120))/((((0.15*B3590*5))^0/1)+(((0.15*B3590*5))^1/1)+(((0.15*B3590*5))^2/2)+(((0.15*B3590*5))^3/6)+(((0.15*B3590*5))^4/24)+(((0.15*B3590*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3559*(1-MIN(100,(Inputs!$B$9+((C3578=TRUE)*(F3578-Calc!F26))+B3586+(ArtifactsInput!$M$24-ArtifactsInput!$M$24)*CHOOSE(ArtifactsInput!$N$24+1,10,12,14,16,18,20)+(IF(AND(Inputs!$B$39&lt;&gt;"pvp",Inputs!$B$44=0),1,IF(IF(Inputs!$B$39="pvp",15,Inputs!$B$44)-(B3597)&lt;=0,1,MAX(0,IF(Inputs!$B$39="pvp",15,Inputs!$B$44)-MAX(5,B3597))/(IF(Inputs!$B$39="pvp",15,Inputs!$B$44)-(B3597))))*IF(AND(ArtifactsInput!$M$42,((Inputs!$B$9+((C3578=TRUE)*(F3578-Calc!F26))+B3586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3559*(MIN(100,(Inputs!$B$9+((C3578=TRUE)*(F3578-Calc!F26))+B3586+(ArtifactsInput!$M$24-ArtifactsInput!$M$24)*CHOOSE(ArtifactsInput!$N$24+1,10,12,14,16,18,20)+(IF(AND(Inputs!$B$39&lt;&gt;"pvp",Inputs!$B$44=0),1,IF(IF(Inputs!$B$39="pvp",15,Inputs!$B$44)-(B3597)&lt;=0,1,MAX(0,IF(Inputs!$B$39="pvp",15,Inputs!$B$44)-MAX(5,B3597))/(IF(Inputs!$B$39="pvp",15,Inputs!$B$44)-(B3597))))*IF(AND(ArtifactsInput!$M$42,((Inputs!$B$9+((C3578=TRUE)*(F3578-Calc!F26))+B3586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3559*(1-MIN(100,(Inputs!$B$9+((C3578=TRUE)*(F3578-Calc!F26))+B3586+(ArtifactsInput!$M$24-ArtifactsInput!$M$24)*CHOOSE(ArtifactsInput!$N$24+1,10,12,14,16,18,20)+(IF(AND(Inputs!$B$39&lt;&gt;"pvp",Inputs!$B$44=0),1,IF(IF(Inputs!$B$39="pvp",15,Inputs!$B$44)-(B3597)&lt;=0,1,MAX(0,IF(Inputs!$B$39="pvp",15,Inputs!$B$44)-MAX(5,B3597))/(IF(Inputs!$B$39="pvp",15,Inputs!$B$44)-(B3597))))*IF(AND(ArtifactsInput!$M$42,((Inputs!$B$9+((C3578=TRUE)*(F3578-Calc!F26))+B3586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3559*(MIN(100,(Inputs!$B$9+((C3578=TRUE)*(F3578-Calc!F26))+B3586+(ArtifactsInput!$M$24-ArtifactsInput!$M$24)*CHOOSE(ArtifactsInput!$N$24+1,10,12,14,16,18,20)+(IF(AND(Inputs!$B$39&lt;&gt;"pvp",Inputs!$B$44=0),1,IF(IF(Inputs!$B$39="pvp",15,Inputs!$B$44)-(B3597)&lt;=0,1,MAX(0,IF(Inputs!$B$39="pvp",15,Inputs!$B$44)-MAX(5,B3597))/(IF(Inputs!$B$39="pvp",15,Inputs!$B$44)-(B3597))))*IF(AND(ArtifactsInput!$M$42,((Inputs!$B$9+((C3578=TRUE)*(F3578-Calc!F26))+B3586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3559">
        <f>IF(C3559,(H3559*N3559*IF(AND(Inputs!$B$39&lt;&gt;"pvp",Inputs!$B$44&gt;0),((Skills!G7*((R3559-1)*IF(Skills!H7&gt;0,Skills!I7/Skills!H7,1)+IF(Skills!H7&gt;0,MIN(Skills!I7,MAX(0,MAX(0,Inputs!$B$44-B3597)-((R3559-1)*IF(Inputs!$B$39="pvp",15,MAX(0.1,Skills!D7-IF(TRUE=TRUE,3.0,0))))))/Skills!H7,1)))/Inputs!$B$44),G3559*Q3559))*IF(Inputs!$B$39="pvp",1,(1+(Inputs!$B$21+Skills!Q7+B3587+(IF(ArtifactsInput!$M$33,CHOOSE(ArtifactsInput!$N$33+1,30,36,42,48,54,60),0))+(IF(AND(ArtifactsInput!$M$35,Inputs!$B$4&lt;&gt;"Chapter Hunt"),CHOOSE(ArtifactsInput!$N$35+1,15,18,21,24,27,30)*(1-EXP(-(0.2*B3590)*5)),0)+IF(AND(ArtifactsInput!$M$22,Inputs!$B$4&lt;&gt;"Chapter Hunt"),CHOOSE(ArtifactsInput!$N$22+1,10,12,14,16,18,20)*((0*(((0.15*B3590*5))^0/1)+1*(((0.15*B3590*5))^1/1)+2*(((0.15*B3590*5))^2/2)+3*(((0.15*B3590*5))^3/6)+4*(((0.15*B3590*5))^4/24)+5*(((0.15*B3590*5))^5/120))/((((0.15*B3590*5))^0/1)+(((0.15*B3590*5))^1/1)+(((0.15*B3590*5))^2/2)+(((0.15*B3590*5))^3/6)+(((0.15*B3590*5))^4/24)+(((0.15*B3590*5))^5/120))),0)))/100)*(MIN(Skills!W7,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3560">
      <c r="A3560">
        <f>Skills!A8</f>
        <v/>
      </c>
      <c r="B3560">
        <f>Skills!B8</f>
        <v/>
      </c>
      <c r="C3560">
        <f>Inputs!$B$3&gt;=60</f>
        <v/>
      </c>
      <c r="D3560">
        <f>IF(Skills!C8=1,60+Inputs!$B$25+Inputs!$B$29,IF(Skills!C8=2,90+Inputs!$B$26+Inputs!$B$29,IF(Skills!C8=3,120+Inputs!$B$27+Inputs!$B$29,MAX(0,(Inputs!$B$3-100)*3)+Inputs!$B$28+Inputs!$B$29)))</f>
        <v/>
      </c>
      <c r="E3560">
        <f>INDEX(FactorTable!$B$2:$Y$301, MATCH(ROUND(MIN(300,MAX(1,D3560)),0), FactorTable!$A$2:$A$301,0), Skills!M8+1)</f>
        <v/>
      </c>
      <c r="F3560">
        <f>IF(Skills!N8=TRUE,(Skills!L8/10)*(E3560/1000),Skills!L8/10)+Skills!O8</f>
        <v/>
      </c>
      <c r="G3560">
        <f>Skills!G8*IF(Skills!H8&gt;0,IF(Inputs!$B$39="pvp",MIN(Skills!I8,15),Skills!I8)/Skills!H8,1)</f>
        <v/>
      </c>
      <c r="H3560">
        <f>1-(1-Skills!J8/100)^Skills!K8</f>
        <v/>
      </c>
      <c r="I3560" t="inlineStr">
        <is>
          <t>1</t>
        </is>
      </c>
      <c r="J3560" t="inlineStr"/>
      <c r="K3560" t="inlineStr"/>
      <c r="L3560" t="inlineStr"/>
      <c r="M3560" t="inlineStr"/>
      <c r="N3560" t="inlineStr"/>
      <c r="O3560">
        <f>(1-Summary!$B$11)*T3560+Summary!$B$11*V3560</f>
        <v/>
      </c>
      <c r="P3560">
        <f>IF(B3598=0,0,O3560/B3598)</f>
        <v/>
      </c>
      <c r="Q3560" t="n">
        <v>0</v>
      </c>
      <c r="R3560" t="n">
        <v>0</v>
      </c>
      <c r="S3560">
        <f>IFERROR(O3560/N3560,0)</f>
        <v/>
      </c>
      <c r="T3560" t="n">
        <v>0</v>
      </c>
      <c r="V3560" t="n">
        <v>0</v>
      </c>
    </row>
    <row r="3561">
      <c r="A3561">
        <f>Skills!A9</f>
        <v/>
      </c>
      <c r="B3561">
        <f>Skills!B9</f>
        <v/>
      </c>
      <c r="C3561">
        <f>Inputs!$B$3&gt;=72</f>
        <v/>
      </c>
      <c r="D3561">
        <f>IF(Skills!C9=1,60+Inputs!$B$25+Inputs!$B$29,IF(Skills!C9=2,90+Inputs!$B$26+Inputs!$B$29,IF(Skills!C9=3,120+Inputs!$B$27+Inputs!$B$29,MAX(0,(Inputs!$B$3-100)*3)+Inputs!$B$28+Inputs!$B$29)))</f>
        <v/>
      </c>
      <c r="E3561">
        <f>INDEX(FactorTable!$B$2:$Y$301, MATCH(ROUND(MIN(300,MAX(1,D3561)),0), FactorTable!$A$2:$A$301,0), Skills!M9+1)</f>
        <v/>
      </c>
      <c r="F3561">
        <f>IF(Skills!N9=TRUE,(Skills!L9/10)*(E3561/1000),Skills!L9/10)+Skills!O9</f>
        <v/>
      </c>
      <c r="G3561">
        <f>Skills!G9*IF(Skills!H9&gt;0,IF(Inputs!$B$39="pvp",MIN(Skills!I9,15),Skills!I9)/Skills!H9,1)</f>
        <v/>
      </c>
      <c r="H3561">
        <f>1-(1-Skills!J9/100)^Skills!K9</f>
        <v/>
      </c>
      <c r="I3561" t="inlineStr">
        <is>
          <t>1</t>
        </is>
      </c>
      <c r="J3561">
        <f>((Inputs!$B$6*(1+Inputs!$B$7/100))+(((Inputs!$B$12*(1+Inputs!$B$13/100))-(Inputs!$B$12*(1+Inputs!$B$13/100)))+0.25*(Inputs!$B$14-Inputs!$B$14))*(1+Inputs!$B$7/100))*(F3561/100)</f>
        <v/>
      </c>
      <c r="K3561">
        <f>J3561*(1+((Inputs!$B$12*(1+Inputs!$B$13/100))*0.01+Inputs!$B$14*0.0025)/100)*(1+Inputs!$B$15/100)*(1+Inputs!$B$16/100)*(5000/(6000+Inputs!$B$43*(1-(100*(1-(1-Inputs!$B$19/100)*(1-CHOOSE(ArtifactsInput!$N$40+1,5,6,7,8,9,10)/100)^(ArtifactsInput!$M$40-ArtifactsInput!$M$40)))/100)))*(1+(Inputs!$B$24+((C3583=TRUE)*(F3583-Calc!F31))+((C3570=TRUE)*(F3570-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+3.3333333333333335*IF(C3571=TRUE,F3571,0)/100)*(1+(IF(Skills!A9="CRUEL_STAB",Inputs!$B$17+((C3580=TRUE)*(F3580-Calc!F28))+((IF(AND(Inputs!$B$39&lt;&gt;"pvp",Inputs!$B$44=0),1,IF(IF(Inputs!$B$39="pvp",15,Inputs!$B$44)-(B3597)&lt;=0,1,MAX(0,IF(Inputs!$B$39="pvp",15,Inputs!$B$44)-MAX(5,B3597))/(IF(Inputs!$B$39="pvp",15,Inputs!$B$44)-(B3597))))*(IF(AND(ArtifactsInput!$M$42,((Inputs!$B$9+((C3578=TRUE)*(F3578-Calc!F26))+B3586+(ArtifactsInput!$M$24-ArtifactsInput!$M$24)*CHOOSE(ArtifactsInput!$N$24+1,10,12,14,16,18,20)+IF(ArtifactsInput!$M$10,CHOOSE(ArtifactsInput!$N$10+1,15,18,21,24,27,30)*(IF(Inputs!$B$39="pvp",MIN(15,15)/15,IF(AND(Inputs!$B$39&lt;&gt;"pvp",Inputs!$B$44&gt;0),MIN(15,Inputs!$B$44)/(Inputs!$B$44),0))),0)))&gt;=100),MIN(100,((Inputs!$B$9+((C3578=TRUE)*(F3578-Calc!F26))+B3586+(ArtifactsInput!$M$24-ArtifactsInput!$M$24)*CHOOSE(ArtifactsInput!$N$24+1,10,12,14,16,18,20)+IF(ArtifactsInput!$M$10,CHOOSE(ArtifactsInput!$N$10+1,15,18,21,24,27,30)*(IF(Inputs!$B$39="pvp",MIN(15,15)/15,IF(AND(Inputs!$B$39&lt;&gt;"pvp",Inputs!$B$44&gt;0),MIN(15,Inputs!$B$44)/(Inputs!$B$44),0))),0)))-100),0))*CHOOSE(ArtifactsInput!$N$42+1,0.6,0.72,0.84,0.96,1.08,1.2))),Inputs!$B$18+((C3581=TRUE)*(F3581-Calc!F29))+(IF(AND(Inputs!$B$39&lt;&gt;"pvp",Inputs!$B$44=0),1,IF(IF(Inputs!$B$39="pvp",15,Inputs!$B$44)-(B3597)&lt;=0,1,MAX(0,IF(Inputs!$B$39="pvp",15,Inputs!$B$44)-MAX(5,B3597))/(IF(Inputs!$B$39="pvp",15,Inputs!$B$44)-(B3597))))*IF(AND(ArtifactsInput!$M$42,((Inputs!$B$9+((C3578=TRUE)*(F3578-Calc!F26))+B3586+(ArtifactsInput!$M$24-ArtifactsInput!$M$24)*CHOOSE(ArtifactsInput!$N$24+1,10,12,14,16,18,20)+IF(ArtifactsInput!$M$10,CHOOSE(ArtifactsInput!$N$10+1,15,18,21,24,27,30)*(IF(Inputs!$B$39="pvp",MIN(15,15)/15,IF(AND(Inputs!$B$39&lt;&gt;"pvp",Inputs!$B$44&gt;0),MIN(15,Inputs!$B$44)/(Inputs!$B$44),0))),0)))&gt;=100),CHOOSE(ArtifactsInput!$N$42+1,40,48,56,64,72,80),0))))/100)*(((1+(((C3574=TRUE)*F3574*IF(AND(Inputs!$B$39&lt;&gt;"pvp",Inputs!$B$44&gt;0),(((R3574-1)*MIN((Skills!Y22*(1+Inputs!$B$34/100)),(1/Q3574))+MIN((Skills!Y22*(1+Inputs!$B$34/100)),MAX(0,Inputs!$B$44-((R3574-1)*(1/Q3574)))))/Inputs!$B$44),IF(Inputs!$B$39="pvp",MIN((Skills!Y22*(1+Inputs!$B$34/100)),15)/15,MIN(1,(Skills!Y22*(1+Inputs!$B$34/100))/(1/Q3574)))))+((C3555=TRUE)*F3555*3)+((C3557=TRUE)*F3557*(1-EXP(-0.75*B3590*5)))+((C3576=TRUE)*(F3576-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3563=TRUE)*F3563*IF(AND(Inputs!$B$39&lt;&gt;"pvp",Inputs!$B$44&gt;0),(((R3563-1)*MIN((Skills!Y11*(1+Inputs!$B$34/100)),(1/Q3563))+MIN((Skills!Y11*(1+Inputs!$B$34/100)),MAX(0,Inputs!$B$44-((R3563-1)*(1/Q3563)))))/Inputs!$B$44),IF(Inputs!$B$39="pvp",MIN((Skills!Y11*(1+Inputs!$B$34/100)),15)/15,MIN(1,(Skills!Y11*(1+Inputs!$B$34/100))/(1/Q3563)))))/100)*(1+((C3568=TRUE)*F3568*IF(AND(Inputs!$B$39&lt;&gt;"pvp",Inputs!$B$44&gt;0),(((R3568-1)*MIN((Skills!Y16*(1+Inputs!$B$34/100)),(1/Q3568))+MIN((Skills!Y16*(1+Inputs!$B$34/100)),MAX(0,Inputs!$B$44-((R3568-1)*(1/Q3568)))))/Inputs!$B$44),IF(Inputs!$B$39="pvp",MIN((Skills!Y16*(1+Inputs!$B$34/100)),15)/15,MIN(1,(Skills!Y16*(1+Inputs!$B$34/100))/(1/Q3568)))))/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3588*I3561)</f>
        <v/>
      </c>
      <c r="L3561">
        <f>K3561*(MIN(Inputs!$B$22+((C3577=TRUE)*(F3577-Calc!F25)),(Inputs!$B$23+((C3582=TRUE)*(F3582-Calc!F30))+IF(ArtifactsInput!$M$15,CHOOSE(ArtifactsInput!$N$15+1,25,30,35,40,45,50)/100*(Inputs!$B$11-Inputs!$B$11),0)))/100+(Inputs!$B$23+((C3582=TRUE)*(F3582-Calc!F30))+IF(ArtifactsInput!$M$15,CHOOSE(ArtifactsInput!$N$15+1,25,30,35,40,45,50)/100*(Inputs!$B$11-Inputs!$B$11),0))/100)/2</f>
        <v/>
      </c>
      <c r="M3561">
        <f>L3561*(1+(Inputs!$B$10+((C3579=TRUE)*(F3579-Calc!F27))+B3593+(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3561">
        <f>L3561*(1-MIN((Inputs!$B$9+((C3578=TRUE)*(F3578-Calc!F26))+B3586+(ArtifactsInput!$M$24-ArtifactsInput!$M$24)*CHOOSE(ArtifactsInput!$N$24+1,10,12,14,16,18,20)+(IF(AND(Inputs!$B$39&lt;&gt;"pvp",Inputs!$B$44=0),1,IF(IF(Inputs!$B$39="pvp",15,Inputs!$B$44)-(B3597)&lt;=0,1,MAX(0,IF(Inputs!$B$39="pvp",15,Inputs!$B$44)-MAX(5,B3597))/(IF(Inputs!$B$39="pvp",15,Inputs!$B$44)-(B3597))))*IF(AND(ArtifactsInput!$M$42,((Inputs!$B$9+((C3578=TRUE)*(F3578-Calc!F26))+B3586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3561*(MIN((Inputs!$B$9+((C3578=TRUE)*(F3578-Calc!F26))+B3586+(ArtifactsInput!$M$24-ArtifactsInput!$M$24)*CHOOSE(ArtifactsInput!$N$24+1,10,12,14,16,18,20)+(IF(AND(Inputs!$B$39&lt;&gt;"pvp",Inputs!$B$44=0),1,IF(IF(Inputs!$B$39="pvp",15,Inputs!$B$44)-(B3597)&lt;=0,1,MAX(0,IF(Inputs!$B$39="pvp",15,Inputs!$B$44)-MAX(5,B3597))/(IF(Inputs!$B$39="pvp",15,Inputs!$B$44)-(B3597))))*IF(AND(ArtifactsInput!$M$42,((Inputs!$B$9+((C3578=TRUE)*(F3578-Calc!F26))+B3586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3561">
        <f>(1-Summary!$B$11)*T3561+Summary!$B$11*V3561</f>
        <v/>
      </c>
      <c r="P3561">
        <f>IF(B3598=0,0,O3561/B3598)</f>
        <v/>
      </c>
      <c r="Q3561">
        <f>IFERROR(1/IF(Inputs!$B$39="pvp",15,MAX(0.1,Skills!D9-IF(FALSE=TRUE,3.0,0))),0)</f>
        <v/>
      </c>
      <c r="R3561">
        <f>IF(AND(Inputs!$B$39&lt;&gt;"pvp",Inputs!$B$44&gt;0),IF(MAX(0,Inputs!$B$44-B3597)&lt;=0,0,(INT(MAX(0,Inputs!$B$44-B3597)/IF(Inputs!$B$39="pvp",15,MAX(0.1,Skills!D9-IF(FALSE=TRUE,3.0,0))))+1)),0)</f>
        <v/>
      </c>
      <c r="S3561">
        <f>IFERROR(O3561/N3561,0)</f>
        <v/>
      </c>
      <c r="T3561">
        <f>IF(C3561,(H3561*N3561*IF(AND(Inputs!$B$39&lt;&gt;"pvp",Inputs!$B$44&gt;0),((Skills!G9*((R3561-1)*IF(Skills!H9&gt;0,Skills!I9/Skills!H9,1)+IF(Skills!H9&gt;0,MIN(Skills!I9,MAX(0,MAX(0,Inputs!$B$44-B3597)-((R3561-1)*IF(Inputs!$B$39="pvp",15,MAX(0.1,Skills!D9-IF(FALSE=TRUE,3.0,0))))))/Skills!H9,1)))/Inputs!$B$44),G3561*Q3561))*IF(Inputs!$B$39="pvp",1,1+(Inputs!$B$20+0+Skills!P9+B3587+(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Hunt"),CHOOSE(ArtifactsInput!$N$35+1,15,18,21,24,27,30)*(1-EXP(-(0.2*B3590)*5)),0)+IF(AND(ArtifactsInput!$M$22,Inputs!$B$4&lt;&gt;"Chapter Hunt"),CHOOSE(ArtifactsInput!$N$22+1,10,12,14,16,18,20)*((0*(((0.15*B3590*5))^0/1)+1*(((0.15*B3590*5))^1/1)+2*(((0.15*B3590*5))^2/2)+3*(((0.15*B3590*5))^3/6)+4*(((0.15*B3590*5))^4/24)+5*(((0.15*B3590*5))^5/120))/((((0.15*B3590*5))^0/1)+(((0.15*B3590*5))^1/1)+(((0.15*B3590*5))^2/2)+(((0.15*B3590*5))^3/6)+(((0.15*B3590*5))^4/24)+(((0.15*B3590*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3561*(1-MIN(100,(Inputs!$B$9+((C3578=TRUE)*(F3578-Calc!F26))+B3586+(ArtifactsInput!$M$24-ArtifactsInput!$M$24)*CHOOSE(ArtifactsInput!$N$24+1,10,12,14,16,18,20)+(IF(AND(Inputs!$B$39&lt;&gt;"pvp",Inputs!$B$44=0),1,IF(IF(Inputs!$B$39="pvp",15,Inputs!$B$44)-(B3597)&lt;=0,1,MAX(0,IF(Inputs!$B$39="pvp",15,Inputs!$B$44)-MAX(5,B3597))/(IF(Inputs!$B$39="pvp",15,Inputs!$B$44)-(B3597))))*IF(AND(ArtifactsInput!$M$42,((Inputs!$B$9+((C3578=TRUE)*(F3578-Calc!F26))+B3586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3561*(MIN(100,(Inputs!$B$9+((C3578=TRUE)*(F3578-Calc!F26))+B3586+(ArtifactsInput!$M$24-ArtifactsInput!$M$24)*CHOOSE(ArtifactsInput!$N$24+1,10,12,14,16,18,20)+(IF(AND(Inputs!$B$39&lt;&gt;"pvp",Inputs!$B$44=0),1,IF(IF(Inputs!$B$39="pvp",15,Inputs!$B$44)-(B3597)&lt;=0,1,MAX(0,IF(Inputs!$B$39="pvp",15,Inputs!$B$44)-MAX(5,B3597))/(IF(Inputs!$B$39="pvp",15,Inputs!$B$44)-(B3597))))*IF(AND(ArtifactsInput!$M$42,((Inputs!$B$9+((C3578=TRUE)*(F3578-Calc!F26))+B3586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3561*(1-MIN(100,(Inputs!$B$9+((C3578=TRUE)*(F3578-Calc!F26))+B3586+(ArtifactsInput!$M$24-ArtifactsInput!$M$24)*CHOOSE(ArtifactsInput!$N$24+1,10,12,14,16,18,20)+(IF(AND(Inputs!$B$39&lt;&gt;"pvp",Inputs!$B$44=0),1,IF(IF(Inputs!$B$39="pvp",15,Inputs!$B$44)-(B3597)&lt;=0,1,MAX(0,IF(Inputs!$B$39="pvp",15,Inputs!$B$44)-MAX(5,B3597))/(IF(Inputs!$B$39="pvp",15,Inputs!$B$44)-(B3597))))*IF(AND(ArtifactsInput!$M$42,((Inputs!$B$9+((C3578=TRUE)*(F3578-Calc!F26))+B3586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3561*(MIN(100,(Inputs!$B$9+((C3578=TRUE)*(F3578-Calc!F26))+B3586+(ArtifactsInput!$M$24-ArtifactsInput!$M$24)*CHOOSE(ArtifactsInput!$N$24+1,10,12,14,16,18,20)+(IF(AND(Inputs!$B$39&lt;&gt;"pvp",Inputs!$B$44=0),1,IF(IF(Inputs!$B$39="pvp",15,Inputs!$B$44)-(B3597)&lt;=0,1,MAX(0,IF(Inputs!$B$39="pvp",15,Inputs!$B$44)-MAX(5,B3597))/(IF(Inputs!$B$39="pvp",15,Inputs!$B$44)-(B3597))))*IF(AND(ArtifactsInput!$M$42,((Inputs!$B$9+((C3578=TRUE)*(F3578-Calc!F26))+B3586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3561">
        <f>IF(C3561,(H3561*N3561*IF(AND(Inputs!$B$39&lt;&gt;"pvp",Inputs!$B$44&gt;0),((Skills!G9*((R3561-1)*IF(Skills!H9&gt;0,Skills!I9/Skills!H9,1)+IF(Skills!H9&gt;0,MIN(Skills!I9,MAX(0,MAX(0,Inputs!$B$44-B3597)-((R3561-1)*IF(Inputs!$B$39="pvp",15,MAX(0.1,Skills!D9-IF(FALSE=TRUE,3.0,0))))))/Skills!H9,1)))/Inputs!$B$44),G3561*Q3561))*IF(Inputs!$B$39="pvp",1,(1+(Inputs!$B$21+Skills!Q9+B3587+(IF(ArtifactsInput!$M$33,CHOOSE(ArtifactsInput!$N$33+1,30,36,42,48,54,60),0))+(IF(AND(ArtifactsInput!$M$35,Inputs!$B$4&lt;&gt;"Chapter Hunt"),CHOOSE(ArtifactsInput!$N$35+1,15,18,21,24,27,30)*(1-EXP(-(0.2*B3590)*5)),0)+IF(AND(ArtifactsInput!$M$22,Inputs!$B$4&lt;&gt;"Chapter Hunt"),CHOOSE(ArtifactsInput!$N$22+1,10,12,14,16,18,20)*((0*(((0.15*B3590*5))^0/1)+1*(((0.15*B3590*5))^1/1)+2*(((0.15*B3590*5))^2/2)+3*(((0.15*B3590*5))^3/6)+4*(((0.15*B3590*5))^4/24)+5*(((0.15*B3590*5))^5/120))/((((0.15*B3590*5))^0/1)+(((0.15*B3590*5))^1/1)+(((0.15*B3590*5))^2/2)+(((0.15*B3590*5))^3/6)+(((0.15*B3590*5))^4/24)+(((0.15*B3590*5))^5/120))),0)))/100)*(MIN(Skills!W9,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3562">
      <c r="A3562">
        <f>Skills!A10</f>
        <v/>
      </c>
      <c r="B3562">
        <f>Skills!B10</f>
        <v/>
      </c>
      <c r="C3562">
        <f>Inputs!$B$3&gt;=117</f>
        <v/>
      </c>
      <c r="D3562">
        <f>IF(Skills!C10=1,60+Inputs!$B$25+Inputs!$B$29,IF(Skills!C10=2,90+Inputs!$B$26+Inputs!$B$29,IF(Skills!C10=3,120+Inputs!$B$27+Inputs!$B$29,MAX(0,(Inputs!$B$3-100)*3)+Inputs!$B$28+Inputs!$B$29)))</f>
        <v/>
      </c>
      <c r="E3562">
        <f>INDEX(FactorTable!$B$2:$Y$301, MATCH(ROUND(MIN(300,MAX(1,D3562)),0), FactorTable!$A$2:$A$301,0), Skills!M10+1)</f>
        <v/>
      </c>
      <c r="F3562">
        <f>IF(Skills!N10=TRUE,(Skills!L10/10)*(E3562/1000),Skills!L10/10)+Skills!O10</f>
        <v/>
      </c>
      <c r="G3562">
        <f>Skills!G10*IF(Skills!H10&gt;0,IF(Inputs!$B$39="pvp",MIN(Skills!I10,15),Skills!I10)/Skills!H10,1)</f>
        <v/>
      </c>
      <c r="H3562">
        <f>1-(1-Skills!J10/100)^Skills!K10</f>
        <v/>
      </c>
      <c r="I3562" t="inlineStr">
        <is>
          <t>1</t>
        </is>
      </c>
      <c r="J3562">
        <f>((Inputs!$B$6*(1+Inputs!$B$7/100))+(((Inputs!$B$12*(1+Inputs!$B$13/100))-(Inputs!$B$12*(1+Inputs!$B$13/100)))+0.25*(Inputs!$B$14-Inputs!$B$14))*(1+Inputs!$B$7/100))*(F3562/100)</f>
        <v/>
      </c>
      <c r="K3562">
        <f>J3562*(1+((Inputs!$B$12*(1+Inputs!$B$13/100))*0.01+Inputs!$B$14*0.0025)/100)*(1+Inputs!$B$15/100)*(1+Inputs!$B$16/100)*(5000/(6000+Inputs!$B$43*(1-(100*(1-(1-Inputs!$B$19/100)*(1-CHOOSE(ArtifactsInput!$N$40+1,5,6,7,8,9,10)/100)^(ArtifactsInput!$M$40-ArtifactsInput!$M$40)))/100)))*(1+(Inputs!$B$24+((C3583=TRUE)*(F3583-Calc!F31))+((C3570=TRUE)*(F3570-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10="CRUEL_STAB",Inputs!$B$17+((C3580=TRUE)*(F3580-Calc!F28))+((IF(AND(Inputs!$B$39&lt;&gt;"pvp",Inputs!$B$44=0),1,IF(IF(Inputs!$B$39="pvp",15,Inputs!$B$44)-(B3597)&lt;=0,1,MAX(0,IF(Inputs!$B$39="pvp",15,Inputs!$B$44)-MAX(5,B3597))/(IF(Inputs!$B$39="pvp",15,Inputs!$B$44)-(B3597))))*(IF(AND(ArtifactsInput!$M$42,((Inputs!$B$9+((C3578=TRUE)*(F3578-Calc!F26))+B3586+(ArtifactsInput!$M$24-ArtifactsInput!$M$24)*CHOOSE(ArtifactsInput!$N$24+1,10,12,14,16,18,20)+IF(ArtifactsInput!$M$10,CHOOSE(ArtifactsInput!$N$10+1,15,18,21,24,27,30)*(IF(Inputs!$B$39="pvp",MIN(15,15)/15,IF(AND(Inputs!$B$39&lt;&gt;"pvp",Inputs!$B$44&gt;0),MIN(15,Inputs!$B$44)/(Inputs!$B$44),0))),0)))&gt;=100),MIN(100,((Inputs!$B$9+((C3578=TRUE)*(F3578-Calc!F26))+B3586+(ArtifactsInput!$M$24-ArtifactsInput!$M$24)*CHOOSE(ArtifactsInput!$N$24+1,10,12,14,16,18,20)+IF(ArtifactsInput!$M$10,CHOOSE(ArtifactsInput!$N$10+1,15,18,21,24,27,30)*(IF(Inputs!$B$39="pvp",MIN(15,15)/15,IF(AND(Inputs!$B$39&lt;&gt;"pvp",Inputs!$B$44&gt;0),MIN(15,Inputs!$B$44)/(Inputs!$B$44),0))),0)))-100),0))*CHOOSE(ArtifactsInput!$N$42+1,0.6,0.72,0.84,0.96,1.08,1.2))),Inputs!$B$18+((C3581=TRUE)*(F3581-Calc!F29))+(IF(AND(Inputs!$B$39&lt;&gt;"pvp",Inputs!$B$44=0),1,IF(IF(Inputs!$B$39="pvp",15,Inputs!$B$44)-(B3597)&lt;=0,1,MAX(0,IF(Inputs!$B$39="pvp",15,Inputs!$B$44)-MAX(5,B3597))/(IF(Inputs!$B$39="pvp",15,Inputs!$B$44)-(B3597))))*IF(AND(ArtifactsInput!$M$42,((Inputs!$B$9+((C3578=TRUE)*(F3578-Calc!F26))+B3586+(ArtifactsInput!$M$24-ArtifactsInput!$M$24)*CHOOSE(ArtifactsInput!$N$24+1,10,12,14,16,18,20)+IF(ArtifactsInput!$M$10,CHOOSE(ArtifactsInput!$N$10+1,15,18,21,24,27,30)*(IF(Inputs!$B$39="pvp",MIN(15,15)/15,IF(AND(Inputs!$B$39&lt;&gt;"pvp",Inputs!$B$44&gt;0),MIN(15,Inputs!$B$44)/(Inputs!$B$44),0))),0)))&gt;=100),CHOOSE(ArtifactsInput!$N$42+1,40,48,56,64,72,80),0))))/100)*(((1+(((C3574=TRUE)*F3574*IF(AND(Inputs!$B$39&lt;&gt;"pvp",Inputs!$B$44&gt;0),(((R3574-1)*MIN((Skills!Y22*(1+Inputs!$B$34/100)),(1/Q3574))+MIN((Skills!Y22*(1+Inputs!$B$34/100)),MAX(0,Inputs!$B$44-((R3574-1)*(1/Q3574)))))/Inputs!$B$44),IF(Inputs!$B$39="pvp",MIN((Skills!Y22*(1+Inputs!$B$34/100)),15)/15,MIN(1,(Skills!Y22*(1+Inputs!$B$34/100))/(1/Q3574)))))+((C3555=TRUE)*F3555*3)+((C3557=TRUE)*F3557*(1-EXP(-0.75*B3590*5)))+((C3576=TRUE)*(F3576-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3563=TRUE)*F3563*IF(AND(Inputs!$B$39&lt;&gt;"pvp",Inputs!$B$44&gt;0),(((R3563-1)*MIN((Skills!Y11*(1+Inputs!$B$34/100)),(1/Q3563))+MIN((Skills!Y11*(1+Inputs!$B$34/100)),MAX(0,Inputs!$B$44-((R3563-1)*(1/Q3563)))))/Inputs!$B$44),IF(Inputs!$B$39="pvp",MIN((Skills!Y11*(1+Inputs!$B$34/100)),15)/15,MIN(1,(Skills!Y11*(1+Inputs!$B$34/100))/(1/Q3563)))))/100)*(1+((C3568=TRUE)*F3568*IF(AND(Inputs!$B$39&lt;&gt;"pvp",Inputs!$B$44&gt;0),(((R3568-1)*MIN((Skills!Y16*(1+Inputs!$B$34/100)),(1/Q3568))+MIN((Skills!Y16*(1+Inputs!$B$34/100)),MAX(0,Inputs!$B$44-((R3568-1)*(1/Q3568)))))/Inputs!$B$44),IF(Inputs!$B$39="pvp",MIN((Skills!Y16*(1+Inputs!$B$34/100)),15)/15,MIN(1,(Skills!Y16*(1+Inputs!$B$34/100))/(1/Q3568)))))/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3588*I3562)</f>
        <v/>
      </c>
      <c r="L3562">
        <f>K3562*(MIN(Inputs!$B$22+((C3577=TRUE)*(F3577-Calc!F25)),(Inputs!$B$23+((C3582=TRUE)*(F3582-Calc!F30))+IF(ArtifactsInput!$M$15,CHOOSE(ArtifactsInput!$N$15+1,25,30,35,40,45,50)/100*(Inputs!$B$11-Inputs!$B$11),0)))/100+(Inputs!$B$23+((C3582=TRUE)*(F3582-Calc!F30))+IF(ArtifactsInput!$M$15,CHOOSE(ArtifactsInput!$N$15+1,25,30,35,40,45,50)/100*(Inputs!$B$11-Inputs!$B$11),0))/100)/2</f>
        <v/>
      </c>
      <c r="M3562">
        <f>L3562*(1+(Inputs!$B$10+((C3579=TRUE)*(F3579-Calc!F27))+B3593+(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3562">
        <f>L3562*(1-MIN((Inputs!$B$9+((C3578=TRUE)*(F3578-Calc!F26))+B3586+(ArtifactsInput!$M$24-ArtifactsInput!$M$24)*CHOOSE(ArtifactsInput!$N$24+1,10,12,14,16,18,20)+(IF(AND(Inputs!$B$39&lt;&gt;"pvp",Inputs!$B$44=0),1,IF(IF(Inputs!$B$39="pvp",15,Inputs!$B$44)-(B3597)&lt;=0,1,MAX(0,IF(Inputs!$B$39="pvp",15,Inputs!$B$44)-MAX(5,B3597))/(IF(Inputs!$B$39="pvp",15,Inputs!$B$44)-(B3597))))*IF(AND(ArtifactsInput!$M$42,((Inputs!$B$9+((C3578=TRUE)*(F3578-Calc!F26))+B3586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3562*(MIN((Inputs!$B$9+((C3578=TRUE)*(F3578-Calc!F26))+B3586+(ArtifactsInput!$M$24-ArtifactsInput!$M$24)*CHOOSE(ArtifactsInput!$N$24+1,10,12,14,16,18,20)+(IF(AND(Inputs!$B$39&lt;&gt;"pvp",Inputs!$B$44=0),1,IF(IF(Inputs!$B$39="pvp",15,Inputs!$B$44)-(B3597)&lt;=0,1,MAX(0,IF(Inputs!$B$39="pvp",15,Inputs!$B$44)-MAX(5,B3597))/(IF(Inputs!$B$39="pvp",15,Inputs!$B$44)-(B3597))))*IF(AND(ArtifactsInput!$M$42,((Inputs!$B$9+((C3578=TRUE)*(F3578-Calc!F26))+B3586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3562">
        <f>(1-Summary!$B$11)*T3562+Summary!$B$11*V3562</f>
        <v/>
      </c>
      <c r="P3562">
        <f>IF(B3598=0,0,O3562/B3598)</f>
        <v/>
      </c>
      <c r="Q3562" t="n">
        <v>0</v>
      </c>
      <c r="R3562" t="n">
        <v>0</v>
      </c>
      <c r="S3562" t="n">
        <v>0</v>
      </c>
      <c r="T3562">
        <f>IF(C3562,(0.2*SUMPRODUCT((Skills!Z2:Z31=TRUE)*(C3554:C3583=TRUE)*S3554:S3583)*N3562)*IF(Inputs!$B$39="pvp",1,1+(Inputs!$B$20+0+Skills!P10+B3587+(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Hunt"),CHOOSE(ArtifactsInput!$N$35+1,15,18,21,24,27,30)*(1-EXP(-(0.2*B3590)*5)),0)+IF(AND(ArtifactsInput!$M$22,Inputs!$B$4&lt;&gt;"Chapter Hunt"),CHOOSE(ArtifactsInput!$N$22+1,10,12,14,16,18,20)*((0*(((0.15*B3590*5))^0/1)+1*(((0.15*B3590*5))^1/1)+2*(((0.15*B3590*5))^2/2)+3*(((0.15*B3590*5))^3/6)+4*(((0.15*B3590*5))^4/24)+5*(((0.15*B3590*5))^5/120))/((((0.15*B3590*5))^0/1)+(((0.15*B3590*5))^1/1)+(((0.15*B3590*5))^2/2)+(((0.15*B3590*5))^3/6)+(((0.15*B3590*5))^4/24)+(((0.15*B3590*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3562*(1-MIN(100,(Inputs!$B$9+((C3578=TRUE)*(F3578-Calc!F26))+B3586+(ArtifactsInput!$M$24-ArtifactsInput!$M$24)*CHOOSE(ArtifactsInput!$N$24+1,10,12,14,16,18,20)+(IF(AND(Inputs!$B$39&lt;&gt;"pvp",Inputs!$B$44=0),1,IF(IF(Inputs!$B$39="pvp",15,Inputs!$B$44)-(B3597)&lt;=0,1,MAX(0,IF(Inputs!$B$39="pvp",15,Inputs!$B$44)-MAX(5,B3597))/(IF(Inputs!$B$39="pvp",15,Inputs!$B$44)-(B3597))))*IF(AND(ArtifactsInput!$M$42,((Inputs!$B$9+((C3578=TRUE)*(F3578-Calc!F26))+B3586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3562*(MIN(100,(Inputs!$B$9+((C3578=TRUE)*(F3578-Calc!F26))+B3586+(ArtifactsInput!$M$24-ArtifactsInput!$M$24)*CHOOSE(ArtifactsInput!$N$24+1,10,12,14,16,18,20)+(IF(AND(Inputs!$B$39&lt;&gt;"pvp",Inputs!$B$44=0),1,IF(IF(Inputs!$B$39="pvp",15,Inputs!$B$44)-(B3597)&lt;=0,1,MAX(0,IF(Inputs!$B$39="pvp",15,Inputs!$B$44)-MAX(5,B3597))/(IF(Inputs!$B$39="pvp",15,Inputs!$B$44)-(B3597))))*IF(AND(ArtifactsInput!$M$42,((Inputs!$B$9+((C3578=TRUE)*(F3578-Calc!F26))+B3586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3562*(1-MIN(100,(Inputs!$B$9+((C3578=TRUE)*(F3578-Calc!F26))+B3586+(ArtifactsInput!$M$24-ArtifactsInput!$M$24)*CHOOSE(ArtifactsInput!$N$24+1,10,12,14,16,18,20)+(IF(AND(Inputs!$B$39&lt;&gt;"pvp",Inputs!$B$44=0),1,IF(IF(Inputs!$B$39="pvp",15,Inputs!$B$44)-(B3597)&lt;=0,1,MAX(0,IF(Inputs!$B$39="pvp",15,Inputs!$B$44)-MAX(5,B3597))/(IF(Inputs!$B$39="pvp",15,Inputs!$B$44)-(B3597))))*IF(AND(ArtifactsInput!$M$42,((Inputs!$B$9+((C3578=TRUE)*(F3578-Calc!F26))+B3586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3562*(MIN(100,(Inputs!$B$9+((C3578=TRUE)*(F3578-Calc!F26))+B3586+(ArtifactsInput!$M$24-ArtifactsInput!$M$24)*CHOOSE(ArtifactsInput!$N$24+1,10,12,14,16,18,20)+(IF(AND(Inputs!$B$39&lt;&gt;"pvp",Inputs!$B$44=0),1,IF(IF(Inputs!$B$39="pvp",15,Inputs!$B$44)-(B3597)&lt;=0,1,MAX(0,IF(Inputs!$B$39="pvp",15,Inputs!$B$44)-MAX(5,B3597))/(IF(Inputs!$B$39="pvp",15,Inputs!$B$44)-(B3597))))*IF(AND(ArtifactsInput!$M$42,((Inputs!$B$9+((C3578=TRUE)*(F3578-Calc!F26))+B3586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3562">
        <f>IF(C3562,(0.2*SUMPRODUCT((Skills!Z2:Z31=TRUE)*(C3554:C3583=TRUE)*S3554:S3583)*N3562)*IF(Inputs!$B$39="pvp",1,(1+(Inputs!$B$21+Skills!Q10+B3587+(IF(ArtifactsInput!$M$33,CHOOSE(ArtifactsInput!$N$33+1,30,36,42,48,54,60),0))+(IF(AND(ArtifactsInput!$M$35,Inputs!$B$4&lt;&gt;"Chapter Hunt"),CHOOSE(ArtifactsInput!$N$35+1,15,18,21,24,27,30)*(1-EXP(-(0.2*B3590)*5)),0)+IF(AND(ArtifactsInput!$M$22,Inputs!$B$4&lt;&gt;"Chapter Hunt"),CHOOSE(ArtifactsInput!$N$22+1,10,12,14,16,18,20)*((0*(((0.15*B3590*5))^0/1)+1*(((0.15*B3590*5))^1/1)+2*(((0.15*B3590*5))^2/2)+3*(((0.15*B3590*5))^3/6)+4*(((0.15*B3590*5))^4/24)+5*(((0.15*B3590*5))^5/120))/((((0.15*B3590*5))^0/1)+(((0.15*B3590*5))^1/1)+(((0.15*B3590*5))^2/2)+(((0.15*B3590*5))^3/6)+(((0.15*B3590*5))^4/24)+(((0.15*B3590*5))^5/120))),0)))/100)*(MIN(Skills!W10,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3563">
      <c r="A3563">
        <f>Skills!A11</f>
        <v/>
      </c>
      <c r="B3563">
        <f>Skills!B11</f>
        <v/>
      </c>
      <c r="C3563">
        <f>Inputs!$B$3&gt;=74</f>
        <v/>
      </c>
      <c r="D3563">
        <f>IF(Skills!C11=1,60+Inputs!$B$25+Inputs!$B$29,IF(Skills!C11=2,90+Inputs!$B$26+Inputs!$B$29,IF(Skills!C11=3,120+Inputs!$B$27+Inputs!$B$29,MAX(0,(Inputs!$B$3-100)*3)+Inputs!$B$28+Inputs!$B$29)))</f>
        <v/>
      </c>
      <c r="E3563">
        <f>INDEX(FactorTable!$B$2:$Y$301, MATCH(ROUND(MIN(300,MAX(1,D3563)),0), FactorTable!$A$2:$A$301,0), Skills!M11+1)</f>
        <v/>
      </c>
      <c r="F3563">
        <f>IF(Skills!N11=TRUE,(Skills!L11/10)*(E3563/1000),Skills!L11/10)+Skills!O11</f>
        <v/>
      </c>
      <c r="G3563">
        <f>Skills!G11*IF(Skills!H11&gt;0,IF(Inputs!$B$39="pvp",MIN(Skills!I11,15),Skills!I11)/Skills!H11,1)</f>
        <v/>
      </c>
      <c r="H3563">
        <f>1-(1-Skills!J11/100)^Skills!K11</f>
        <v/>
      </c>
      <c r="I3563" t="inlineStr">
        <is>
          <t>1</t>
        </is>
      </c>
      <c r="J3563" t="inlineStr"/>
      <c r="K3563" t="inlineStr"/>
      <c r="L3563" t="inlineStr"/>
      <c r="M3563" t="inlineStr"/>
      <c r="N3563" t="inlineStr"/>
      <c r="O3563">
        <f>(1-Summary!$B$11)*T3563+Summary!$B$11*V3563</f>
        <v/>
      </c>
      <c r="P3563">
        <f>IF(B3598=0,0,O3563/B3598)</f>
        <v/>
      </c>
      <c r="Q3563">
        <f>IFERROR(1/IF(Inputs!$B$39="pvp",15,MAX(0.1,Skills!D11-IF(TRUE=TRUE,3.0,0))),0)</f>
        <v/>
      </c>
      <c r="R3563">
        <f>IF(AND(Inputs!$B$39&lt;&gt;"pvp",Inputs!$B$44&gt;0),IF(Inputs!$B$44&lt;=0,0,(INT(Inputs!$B$44/IF(Inputs!$B$39="pvp",15,MAX(0.1,Skills!D11-IF(TRUE=TRUE,3.0,0))))+1)),0)</f>
        <v/>
      </c>
      <c r="S3563">
        <f>IFERROR(O3563/N3563,0)</f>
        <v/>
      </c>
      <c r="T3563" t="n">
        <v>0</v>
      </c>
      <c r="V3563" t="n">
        <v>0</v>
      </c>
    </row>
    <row r="3564">
      <c r="A3564">
        <f>Skills!A12</f>
        <v/>
      </c>
      <c r="B3564">
        <f>Skills!B12</f>
        <v/>
      </c>
      <c r="C3564">
        <f>Inputs!$B$3&gt;=103</f>
        <v/>
      </c>
      <c r="D3564">
        <f>IF(Skills!C12=1,60+Inputs!$B$25+Inputs!$B$29,IF(Skills!C12=2,90+Inputs!$B$26+Inputs!$B$29,IF(Skills!C12=3,120+Inputs!$B$27+Inputs!$B$29,MAX(0,(Inputs!$B$3-100)*3)+Inputs!$B$28+Inputs!$B$29)))</f>
        <v/>
      </c>
      <c r="E3564">
        <f>INDEX(FactorTable!$B$2:$Y$301, MATCH(ROUND(MIN(300,MAX(1,D3564)),0), FactorTable!$A$2:$A$301,0), Skills!M12+1)</f>
        <v/>
      </c>
      <c r="F3564">
        <f>(Skills!L12/10)*(E3564/1000)+IF(Inputs!$B$3&gt;=134,50,0)+0.5*(30000/10)*(INDEX(FactorTable!$B$2:$Y$301, MATCH(ROUND(MIN(300,MAX(1,D3564)),0), FactorTable!$A$2:$A$301,0), 13)/1000)*B3596</f>
        <v/>
      </c>
      <c r="G3564">
        <f>Skills!G12*IF(Skills!H12&gt;0,IF(Inputs!$B$39="pvp",MIN(Skills!I12,15),Skills!I12)/Skills!H12,1)</f>
        <v/>
      </c>
      <c r="H3564">
        <f>1-(1-Skills!J12/100)^Skills!K12</f>
        <v/>
      </c>
      <c r="I3564" t="inlineStr">
        <is>
          <t>1</t>
        </is>
      </c>
      <c r="J3564">
        <f>((Inputs!$B$6*(1+Inputs!$B$7/100))+(((Inputs!$B$12*(1+Inputs!$B$13/100))-(Inputs!$B$12*(1+Inputs!$B$13/100)))+0.25*(Inputs!$B$14-Inputs!$B$14))*(1+Inputs!$B$7/100))*(F3564/100)</f>
        <v/>
      </c>
      <c r="K3564">
        <f>J3564*(1+((Inputs!$B$12*(1+Inputs!$B$13/100))*0.01+Inputs!$B$14*0.0025)/100)*(1+Inputs!$B$15/100)*(1+Inputs!$B$16/100)*(5000/(6000+Inputs!$B$43*(1-(100*(1-(1-Inputs!$B$19/100)*(1-CHOOSE(ArtifactsInput!$N$40+1,5,6,7,8,9,10)/100)^(ArtifactsInput!$M$40-ArtifactsInput!$M$40)))/100)))*(1+(Inputs!$B$24+((C3583=TRUE)*(F3583-Calc!F31))+((C3570=TRUE)*(F3570-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12="CRUEL_STAB",Inputs!$B$17+((C3580=TRUE)*(F3580-Calc!F28))+((IF(AND(Inputs!$B$39&lt;&gt;"pvp",Inputs!$B$44=0),1,IF(IF(Inputs!$B$39="pvp",15,Inputs!$B$44)-(B3597)&lt;=0,1,MAX(0,IF(Inputs!$B$39="pvp",15,Inputs!$B$44)-MAX(5,B3597))/(IF(Inputs!$B$39="pvp",15,Inputs!$B$44)-(B3597))))*(IF(AND(ArtifactsInput!$M$42,((Inputs!$B$9+((C3578=TRUE)*(F3578-Calc!F26))+B3586+(ArtifactsInput!$M$24-ArtifactsInput!$M$24)*CHOOSE(ArtifactsInput!$N$24+1,10,12,14,16,18,20)+IF(ArtifactsInput!$M$10,CHOOSE(ArtifactsInput!$N$10+1,15,18,21,24,27,30)*(IF(Inputs!$B$39="pvp",MIN(15,15)/15,IF(AND(Inputs!$B$39&lt;&gt;"pvp",Inputs!$B$44&gt;0),MIN(15,Inputs!$B$44)/(Inputs!$B$44),0))),0)))&gt;=100),MIN(100,((Inputs!$B$9+((C3578=TRUE)*(F3578-Calc!F26))+B3586+(ArtifactsInput!$M$24-ArtifactsInput!$M$24)*CHOOSE(ArtifactsInput!$N$24+1,10,12,14,16,18,20)+IF(ArtifactsInput!$M$10,CHOOSE(ArtifactsInput!$N$10+1,15,18,21,24,27,30)*(IF(Inputs!$B$39="pvp",MIN(15,15)/15,IF(AND(Inputs!$B$39&lt;&gt;"pvp",Inputs!$B$44&gt;0),MIN(15,Inputs!$B$44)/(Inputs!$B$44),0))),0)))-100),0))*CHOOSE(ArtifactsInput!$N$42+1,0.6,0.72,0.84,0.96,1.08,1.2))),Inputs!$B$18+((C3581=TRUE)*(F3581-Calc!F29))+(IF(AND(Inputs!$B$39&lt;&gt;"pvp",Inputs!$B$44=0),1,IF(IF(Inputs!$B$39="pvp",15,Inputs!$B$44)-(B3597)&lt;=0,1,MAX(0,IF(Inputs!$B$39="pvp",15,Inputs!$B$44)-MAX(5,B3597))/(IF(Inputs!$B$39="pvp",15,Inputs!$B$44)-(B3597))))*IF(AND(ArtifactsInput!$M$42,((Inputs!$B$9+((C3578=TRUE)*(F3578-Calc!F26))+B3586+(ArtifactsInput!$M$24-ArtifactsInput!$M$24)*CHOOSE(ArtifactsInput!$N$24+1,10,12,14,16,18,20)+IF(ArtifactsInput!$M$10,CHOOSE(ArtifactsInput!$N$10+1,15,18,21,24,27,30)*(IF(Inputs!$B$39="pvp",MIN(15,15)/15,IF(AND(Inputs!$B$39&lt;&gt;"pvp",Inputs!$B$44&gt;0),MIN(15,Inputs!$B$44)/(Inputs!$B$44),0))),0)))&gt;=100),CHOOSE(ArtifactsInput!$N$42+1,40,48,56,64,72,80),0))))/100)*(((1+(((C3574=TRUE)*F3574*IF(AND(Inputs!$B$39&lt;&gt;"pvp",Inputs!$B$44&gt;0),(((R3574-1)*MIN((Skills!Y22*(1+Inputs!$B$34/100)),(1/Q3574))+MIN((Skills!Y22*(1+Inputs!$B$34/100)),MAX(0,Inputs!$B$44-((R3574-1)*(1/Q3574)))))/Inputs!$B$44),IF(Inputs!$B$39="pvp",MIN((Skills!Y22*(1+Inputs!$B$34/100)),15)/15,MIN(1,(Skills!Y22*(1+Inputs!$B$34/100))/(1/Q3574)))))+((C3555=TRUE)*F3555*3)+((C3557=TRUE)*F3557*(1-EXP(-0.75*B3590*5)))+((C3576=TRUE)*(F3576-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3563=TRUE)*F3563*IF(AND(Inputs!$B$39&lt;&gt;"pvp",Inputs!$B$44&gt;0),(((R3563-1)*MIN((Skills!Y11*(1+Inputs!$B$34/100)),(1/Q3563))+MIN((Skills!Y11*(1+Inputs!$B$34/100)),MAX(0,Inputs!$B$44-((R3563-1)*(1/Q3563)))))/Inputs!$B$44),IF(Inputs!$B$39="pvp",MIN((Skills!Y11*(1+Inputs!$B$34/100)),15)/15,MIN(1,(Skills!Y11*(1+Inputs!$B$34/100))/(1/Q3563)))))/100)*(1+((C3568=TRUE)*F3568*IF(AND(Inputs!$B$39&lt;&gt;"pvp",Inputs!$B$44&gt;0),(((R3568-1)*MIN((Skills!Y16*(1+Inputs!$B$34/100)),(1/Q3568))+MIN((Skills!Y16*(1+Inputs!$B$34/100)),MAX(0,Inputs!$B$44-((R3568-1)*(1/Q3568)))))/Inputs!$B$44),IF(Inputs!$B$39="pvp",MIN((Skills!Y16*(1+Inputs!$B$34/100)),15)/15,MIN(1,(Skills!Y16*(1+Inputs!$B$34/100))/(1/Q3568)))))/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3588*I3564)</f>
        <v/>
      </c>
      <c r="L3564">
        <f>K3564*(MIN(Inputs!$B$22+((C3577=TRUE)*(F3577-Calc!F25)),(Inputs!$B$23+((C3582=TRUE)*(F3582-Calc!F30))+IF(ArtifactsInput!$M$15,CHOOSE(ArtifactsInput!$N$15+1,25,30,35,40,45,50)/100*(Inputs!$B$11-Inputs!$B$11),0)))/100+(Inputs!$B$23+((C3582=TRUE)*(F3582-Calc!F30))+IF(ArtifactsInput!$M$15,CHOOSE(ArtifactsInput!$N$15+1,25,30,35,40,45,50)/100*(Inputs!$B$11-Inputs!$B$11),0))/100)/2</f>
        <v/>
      </c>
      <c r="M3564">
        <f>L3564*(1+(Inputs!$B$10+((C3579=TRUE)*(F3579-Calc!F27))+B3593+(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3564">
        <f>L3564*(1-MIN((Inputs!$B$9+((C3578=TRUE)*(F3578-Calc!F26))+B3586+(ArtifactsInput!$M$24-ArtifactsInput!$M$24)*CHOOSE(ArtifactsInput!$N$24+1,10,12,14,16,18,20)+(IF(AND(Inputs!$B$39&lt;&gt;"pvp",Inputs!$B$44=0),1,IF(IF(Inputs!$B$39="pvp",15,Inputs!$B$44)-(B3597)&lt;=0,1,MAX(0,IF(Inputs!$B$39="pvp",15,Inputs!$B$44)-MAX(5,B3597))/(IF(Inputs!$B$39="pvp",15,Inputs!$B$44)-(B3597))))*IF(AND(ArtifactsInput!$M$42,((Inputs!$B$9+((C3578=TRUE)*(F3578-Calc!F26))+B3586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3564*(MIN((Inputs!$B$9+((C3578=TRUE)*(F3578-Calc!F26))+B3586+(ArtifactsInput!$M$24-ArtifactsInput!$M$24)*CHOOSE(ArtifactsInput!$N$24+1,10,12,14,16,18,20)+(IF(AND(Inputs!$B$39&lt;&gt;"pvp",Inputs!$B$44=0),1,IF(IF(Inputs!$B$39="pvp",15,Inputs!$B$44)-(B3597)&lt;=0,1,MAX(0,IF(Inputs!$B$39="pvp",15,Inputs!$B$44)-MAX(5,B3597))/(IF(Inputs!$B$39="pvp",15,Inputs!$B$44)-(B3597))))*IF(AND(ArtifactsInput!$M$42,((Inputs!$B$9+((C3578=TRUE)*(F3578-Calc!F26))+B3586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3564">
        <f>(1-Summary!$B$11)*T3564+Summary!$B$11*V3564</f>
        <v/>
      </c>
      <c r="P3564">
        <f>IF(B3598=0,0,O3564/B3598)</f>
        <v/>
      </c>
      <c r="Q3564">
        <f>IFERROR(1/IF(Inputs!$B$39="pvp",15,MAX(0.1,Skills!D12-IF(TRUE=TRUE,3.0,0))),0)</f>
        <v/>
      </c>
      <c r="R3564">
        <f>IF(AND(Inputs!$B$39&lt;&gt;"pvp",Inputs!$B$44&gt;0),IF(MAX(0,Inputs!$B$44-B3597)&lt;=0,0,(INT(MAX(0,Inputs!$B$44-B3597)/IF(Inputs!$B$39="pvp",15,MAX(0.1,Skills!D12-IF(TRUE=TRUE,3.0,0))))+1)),0)</f>
        <v/>
      </c>
      <c r="S3564">
        <f>IFERROR(O3564/N3564,0)</f>
        <v/>
      </c>
      <c r="T3564">
        <f>IF(C3564,(H3564*N3564*IF(AND(Inputs!$B$39&lt;&gt;"pvp",Inputs!$B$44&gt;0),((Skills!G12*((R3564-1)*IF(Skills!H12&gt;0,Skills!I12/Skills!H12,1)+IF(Skills!H12&gt;0,MIN(Skills!I12,MAX(0,MAX(0,Inputs!$B$44-B3597)-((R3564-1)*IF(Inputs!$B$39="pvp",15,MAX(0.1,Skills!D12-IF(TRUE=TRUE,3.0,0))))))/Skills!H12,1)))/Inputs!$B$44),G3564*Q3564))*IF(Inputs!$B$39="pvp",1,1+(Inputs!$B$20+0+Skills!P12+B3587+(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Hunt"),CHOOSE(ArtifactsInput!$N$35+1,15,18,21,24,27,30)*(1-EXP(-(0.2*B3590)*5)),0)+IF(AND(ArtifactsInput!$M$22,Inputs!$B$4&lt;&gt;"Chapter Hunt"),CHOOSE(ArtifactsInput!$N$22+1,10,12,14,16,18,20)*((0*(((0.15*B3590*5))^0/1)+1*(((0.15*B3590*5))^1/1)+2*(((0.15*B3590*5))^2/2)+3*(((0.15*B3590*5))^3/6)+4*(((0.15*B3590*5))^4/24)+5*(((0.15*B3590*5))^5/120))/((((0.15*B3590*5))^0/1)+(((0.15*B3590*5))^1/1)+(((0.15*B3590*5))^2/2)+(((0.15*B3590*5))^3/6)+(((0.15*B3590*5))^4/24)+(((0.15*B3590*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3564*(1-MIN(100,(Inputs!$B$9+((C3578=TRUE)*(F3578-Calc!F26))+B3586+(ArtifactsInput!$M$24-ArtifactsInput!$M$24)*CHOOSE(ArtifactsInput!$N$24+1,10,12,14,16,18,20)+(IF(AND(Inputs!$B$39&lt;&gt;"pvp",Inputs!$B$44=0),1,IF(IF(Inputs!$B$39="pvp",15,Inputs!$B$44)-(B3597)&lt;=0,1,MAX(0,IF(Inputs!$B$39="pvp",15,Inputs!$B$44)-MAX(5,B3597))/(IF(Inputs!$B$39="pvp",15,Inputs!$B$44)-(B3597))))*IF(AND(ArtifactsInput!$M$42,((Inputs!$B$9+((C3578=TRUE)*(F3578-Calc!F26))+B3586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3564*(MIN(100,(Inputs!$B$9+((C3578=TRUE)*(F3578-Calc!F26))+B3586+(ArtifactsInput!$M$24-ArtifactsInput!$M$24)*CHOOSE(ArtifactsInput!$N$24+1,10,12,14,16,18,20)+(IF(AND(Inputs!$B$39&lt;&gt;"pvp",Inputs!$B$44=0),1,IF(IF(Inputs!$B$39="pvp",15,Inputs!$B$44)-(B3597)&lt;=0,1,MAX(0,IF(Inputs!$B$39="pvp",15,Inputs!$B$44)-MAX(5,B3597))/(IF(Inputs!$B$39="pvp",15,Inputs!$B$44)-(B3597))))*IF(AND(ArtifactsInput!$M$42,((Inputs!$B$9+((C3578=TRUE)*(F3578-Calc!F26))+B3586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3564*(1-MIN(100,(Inputs!$B$9+((C3578=TRUE)*(F3578-Calc!F26))+B3586+(ArtifactsInput!$M$24-ArtifactsInput!$M$24)*CHOOSE(ArtifactsInput!$N$24+1,10,12,14,16,18,20)+(IF(AND(Inputs!$B$39&lt;&gt;"pvp",Inputs!$B$44=0),1,IF(IF(Inputs!$B$39="pvp",15,Inputs!$B$44)-(B3597)&lt;=0,1,MAX(0,IF(Inputs!$B$39="pvp",15,Inputs!$B$44)-MAX(5,B3597))/(IF(Inputs!$B$39="pvp",15,Inputs!$B$44)-(B3597))))*IF(AND(ArtifactsInput!$M$42,((Inputs!$B$9+((C3578=TRUE)*(F3578-Calc!F26))+B3586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3564*(MIN(100,(Inputs!$B$9+((C3578=TRUE)*(F3578-Calc!F26))+B3586+(ArtifactsInput!$M$24-ArtifactsInput!$M$24)*CHOOSE(ArtifactsInput!$N$24+1,10,12,14,16,18,20)+(IF(AND(Inputs!$B$39&lt;&gt;"pvp",Inputs!$B$44=0),1,IF(IF(Inputs!$B$39="pvp",15,Inputs!$B$44)-(B3597)&lt;=0,1,MAX(0,IF(Inputs!$B$39="pvp",15,Inputs!$B$44)-MAX(5,B3597))/(IF(Inputs!$B$39="pvp",15,Inputs!$B$44)-(B3597))))*IF(AND(ArtifactsInput!$M$42,((Inputs!$B$9+((C3578=TRUE)*(F3578-Calc!F26))+B3586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3564">
        <f>IF(C3564,(H3564*N3564*IF(AND(Inputs!$B$39&lt;&gt;"pvp",Inputs!$B$44&gt;0),((Skills!G12*((R3564-1)*IF(Skills!H12&gt;0,Skills!I12/Skills!H12,1)+IF(Skills!H12&gt;0,MIN(Skills!I12,MAX(0,MAX(0,Inputs!$B$44-B3597)-((R3564-1)*IF(Inputs!$B$39="pvp",15,MAX(0.1,Skills!D12-IF(TRUE=TRUE,3.0,0))))))/Skills!H12,1)))/Inputs!$B$44),G3564*Q3564))*IF(Inputs!$B$39="pvp",1,(1+(Inputs!$B$21+Skills!Q12+B3587+(IF(ArtifactsInput!$M$33,CHOOSE(ArtifactsInput!$N$33+1,30,36,42,48,54,60),0))+(IF(AND(ArtifactsInput!$M$35,Inputs!$B$4&lt;&gt;"Chapter Hunt"),CHOOSE(ArtifactsInput!$N$35+1,15,18,21,24,27,30)*(1-EXP(-(0.2*B3590)*5)),0)+IF(AND(ArtifactsInput!$M$22,Inputs!$B$4&lt;&gt;"Chapter Hunt"),CHOOSE(ArtifactsInput!$N$22+1,10,12,14,16,18,20)*((0*(((0.15*B3590*5))^0/1)+1*(((0.15*B3590*5))^1/1)+2*(((0.15*B3590*5))^2/2)+3*(((0.15*B3590*5))^3/6)+4*(((0.15*B3590*5))^4/24)+5*(((0.15*B3590*5))^5/120))/((((0.15*B3590*5))^0/1)+(((0.15*B3590*5))^1/1)+(((0.15*B3590*5))^2/2)+(((0.15*B3590*5))^3/6)+(((0.15*B3590*5))^4/24)+(((0.15*B3590*5))^5/120))),0)))/100)*(MIN(Skills!W12,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3565">
      <c r="A3565">
        <f>Skills!A13</f>
        <v/>
      </c>
      <c r="B3565">
        <f>Skills!B13</f>
        <v/>
      </c>
      <c r="C3565">
        <f>Inputs!$B$3&gt;=105</f>
        <v/>
      </c>
      <c r="D3565">
        <f>IF(Skills!C13=1,60+Inputs!$B$25+Inputs!$B$29,IF(Skills!C13=2,90+Inputs!$B$26+Inputs!$B$29,IF(Skills!C13=3,120+Inputs!$B$27+Inputs!$B$29,MAX(0,(Inputs!$B$3-100)*3)+Inputs!$B$28+Inputs!$B$29)))</f>
        <v/>
      </c>
      <c r="E3565">
        <f>INDEX(FactorTable!$B$2:$Y$301, MATCH(ROUND(MIN(300,MAX(1,D3565)),0), FactorTable!$A$2:$A$301,0), Skills!M13+1)</f>
        <v/>
      </c>
      <c r="F3565">
        <f>IF(Skills!N13=TRUE,(Skills!L13/10)*(E3565/1000),Skills!L13/10)+Skills!O13</f>
        <v/>
      </c>
      <c r="G3565">
        <f>Skills!G13*IF(Skills!H13&gt;0,IF(Inputs!$B$39="pvp",MIN(Skills!I13,15),Skills!I13)/Skills!H13,1)</f>
        <v/>
      </c>
      <c r="H3565">
        <f>1-(1-Skills!J13/100)^Skills!K13</f>
        <v/>
      </c>
      <c r="I3565" t="inlineStr">
        <is>
          <t>1</t>
        </is>
      </c>
      <c r="J3565">
        <f>((Inputs!$B$6*(1+Inputs!$B$7/100))+(((Inputs!$B$12*(1+Inputs!$B$13/100))-(Inputs!$B$12*(1+Inputs!$B$13/100)))+0.25*(Inputs!$B$14-Inputs!$B$14))*(1+Inputs!$B$7/100))*(F3565/100)</f>
        <v/>
      </c>
      <c r="K3565">
        <f>J3565*(1+((Inputs!$B$12*(1+Inputs!$B$13/100))*0.01+Inputs!$B$14*0.0025)/100)*(1+Inputs!$B$15/100)*(1+Inputs!$B$16/100)*(5000/(6000+Inputs!$B$43*(1-(100*(1-(1-Inputs!$B$19/100)*(1-CHOOSE(ArtifactsInput!$N$40+1,5,6,7,8,9,10)/100)^(ArtifactsInput!$M$40-ArtifactsInput!$M$40)))/100)))*(1+(Inputs!$B$24+((C3583=TRUE)*(F3583-Calc!F31))+((C3570=TRUE)*(F3570-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13="CRUEL_STAB",Inputs!$B$17+((C3580=TRUE)*(F3580-Calc!F28))+((IF(AND(Inputs!$B$39&lt;&gt;"pvp",Inputs!$B$44=0),1,IF(IF(Inputs!$B$39="pvp",15,Inputs!$B$44)-(B3597)&lt;=0,1,MAX(0,IF(Inputs!$B$39="pvp",15,Inputs!$B$44)-MAX(5,B3597))/(IF(Inputs!$B$39="pvp",15,Inputs!$B$44)-(B3597))))*(IF(AND(ArtifactsInput!$M$42,((Inputs!$B$9+((C3578=TRUE)*(F3578-Calc!F26))+B3586+(ArtifactsInput!$M$24-ArtifactsInput!$M$24)*CHOOSE(ArtifactsInput!$N$24+1,10,12,14,16,18,20)+IF(ArtifactsInput!$M$10,CHOOSE(ArtifactsInput!$N$10+1,15,18,21,24,27,30)*(IF(Inputs!$B$39="pvp",MIN(15,15)/15,IF(AND(Inputs!$B$39&lt;&gt;"pvp",Inputs!$B$44&gt;0),MIN(15,Inputs!$B$44)/(Inputs!$B$44),0))),0)))&gt;=100),MIN(100,((Inputs!$B$9+((C3578=TRUE)*(F3578-Calc!F26))+B3586+(ArtifactsInput!$M$24-ArtifactsInput!$M$24)*CHOOSE(ArtifactsInput!$N$24+1,10,12,14,16,18,20)+IF(ArtifactsInput!$M$10,CHOOSE(ArtifactsInput!$N$10+1,15,18,21,24,27,30)*(IF(Inputs!$B$39="pvp",MIN(15,15)/15,IF(AND(Inputs!$B$39&lt;&gt;"pvp",Inputs!$B$44&gt;0),MIN(15,Inputs!$B$44)/(Inputs!$B$44),0))),0)))-100),0))*CHOOSE(ArtifactsInput!$N$42+1,0.6,0.72,0.84,0.96,1.08,1.2))),Inputs!$B$18+((C3581=TRUE)*(F3581-Calc!F29))+(IF(AND(Inputs!$B$39&lt;&gt;"pvp",Inputs!$B$44=0),1,IF(IF(Inputs!$B$39="pvp",15,Inputs!$B$44)-(B3597)&lt;=0,1,MAX(0,IF(Inputs!$B$39="pvp",15,Inputs!$B$44)-MAX(5,B3597))/(IF(Inputs!$B$39="pvp",15,Inputs!$B$44)-(B3597))))*IF(AND(ArtifactsInput!$M$42,((Inputs!$B$9+((C3578=TRUE)*(F3578-Calc!F26))+B3586+(ArtifactsInput!$M$24-ArtifactsInput!$M$24)*CHOOSE(ArtifactsInput!$N$24+1,10,12,14,16,18,20)+IF(ArtifactsInput!$M$10,CHOOSE(ArtifactsInput!$N$10+1,15,18,21,24,27,30)*(IF(Inputs!$B$39="pvp",MIN(15,15)/15,IF(AND(Inputs!$B$39&lt;&gt;"pvp",Inputs!$B$44&gt;0),MIN(15,Inputs!$B$44)/(Inputs!$B$44),0))),0)))&gt;=100),CHOOSE(ArtifactsInput!$N$42+1,40,48,56,64,72,80),0))))/100)*(((1+(((C3574=TRUE)*F3574*IF(AND(Inputs!$B$39&lt;&gt;"pvp",Inputs!$B$44&gt;0),(((R3574-1)*MIN((Skills!Y22*(1+Inputs!$B$34/100)),(1/Q3574))+MIN((Skills!Y22*(1+Inputs!$B$34/100)),MAX(0,Inputs!$B$44-((R3574-1)*(1/Q3574)))))/Inputs!$B$44),IF(Inputs!$B$39="pvp",MIN((Skills!Y22*(1+Inputs!$B$34/100)),15)/15,MIN(1,(Skills!Y22*(1+Inputs!$B$34/100))/(1/Q3574)))))+((C3555=TRUE)*F3555*3)+((C3557=TRUE)*F3557*(1-EXP(-0.75*B3590*5)))+((C3576=TRUE)*(F3576-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3563=TRUE)*F3563*IF(AND(Inputs!$B$39&lt;&gt;"pvp",Inputs!$B$44&gt;0),(((R3563-1)*MIN((Skills!Y11*(1+Inputs!$B$34/100)),(1/Q3563))+MIN((Skills!Y11*(1+Inputs!$B$34/100)),MAX(0,Inputs!$B$44-((R3563-1)*(1/Q3563)))))/Inputs!$B$44),IF(Inputs!$B$39="pvp",MIN((Skills!Y11*(1+Inputs!$B$34/100)),15)/15,MIN(1,(Skills!Y11*(1+Inputs!$B$34/100))/(1/Q3563)))))/100)*(1+((C3568=TRUE)*F3568*IF(AND(Inputs!$B$39&lt;&gt;"pvp",Inputs!$B$44&gt;0),(((R3568-1)*MIN((Skills!Y16*(1+Inputs!$B$34/100)),(1/Q3568))+MIN((Skills!Y16*(1+Inputs!$B$34/100)),MAX(0,Inputs!$B$44-((R3568-1)*(1/Q3568)))))/Inputs!$B$44),IF(Inputs!$B$39="pvp",MIN((Skills!Y16*(1+Inputs!$B$34/100)),15)/15,MIN(1,(Skills!Y16*(1+Inputs!$B$34/100))/(1/Q3568)))))/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3588*I3565)</f>
        <v/>
      </c>
      <c r="L3565">
        <f>K3565*(MIN(Inputs!$B$22+((C3577=TRUE)*(F3577-Calc!F25)),(Inputs!$B$23+((C3582=TRUE)*(F3582-Calc!F30))+IF(ArtifactsInput!$M$15,CHOOSE(ArtifactsInput!$N$15+1,25,30,35,40,45,50)/100*(Inputs!$B$11-Inputs!$B$11),0)))/100+(Inputs!$B$23+((C3582=TRUE)*(F3582-Calc!F30))+IF(ArtifactsInput!$M$15,CHOOSE(ArtifactsInput!$N$15+1,25,30,35,40,45,50)/100*(Inputs!$B$11-Inputs!$B$11),0))/100)/2</f>
        <v/>
      </c>
      <c r="M3565">
        <f>L3565*(1+(Inputs!$B$10+((C3579=TRUE)*(F3579-Calc!F27))+B3593+(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3565">
        <f>L3565*(1-MIN((Inputs!$B$9+((C3578=TRUE)*(F3578-Calc!F26))+B3586+(ArtifactsInput!$M$24-ArtifactsInput!$M$24)*CHOOSE(ArtifactsInput!$N$24+1,10,12,14,16,18,20)+(IF(AND(Inputs!$B$39&lt;&gt;"pvp",Inputs!$B$44=0),1,IF(IF(Inputs!$B$39="pvp",15,Inputs!$B$44)-(B3597)&lt;=0,1,MAX(0,IF(Inputs!$B$39="pvp",15,Inputs!$B$44)-MAX(5,B3597))/(IF(Inputs!$B$39="pvp",15,Inputs!$B$44)-(B3597))))*IF(AND(ArtifactsInput!$M$42,((Inputs!$B$9+((C3578=TRUE)*(F3578-Calc!F26))+B3586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3565*(MIN((Inputs!$B$9+((C3578=TRUE)*(F3578-Calc!F26))+B3586+(ArtifactsInput!$M$24-ArtifactsInput!$M$24)*CHOOSE(ArtifactsInput!$N$24+1,10,12,14,16,18,20)+(IF(AND(Inputs!$B$39&lt;&gt;"pvp",Inputs!$B$44=0),1,IF(IF(Inputs!$B$39="pvp",15,Inputs!$B$44)-(B3597)&lt;=0,1,MAX(0,IF(Inputs!$B$39="pvp",15,Inputs!$B$44)-MAX(5,B3597))/(IF(Inputs!$B$39="pvp",15,Inputs!$B$44)-(B3597))))*IF(AND(ArtifactsInput!$M$42,((Inputs!$B$9+((C3578=TRUE)*(F3578-Calc!F26))+B3586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3565">
        <f>(1-Summary!$B$11)*T3565+Summary!$B$11*V3565</f>
        <v/>
      </c>
      <c r="P3565">
        <f>IF(B3598=0,0,O3565/B3598)</f>
        <v/>
      </c>
      <c r="Q3565">
        <f>IFERROR(1/IF(Inputs!$B$39="pvp",15,MAX(0.1,Skills!D13-IF(TRUE=TRUE,3.0,0))),0)</f>
        <v/>
      </c>
      <c r="R3565">
        <f>IF(AND(Inputs!$B$39&lt;&gt;"pvp",Inputs!$B$44&gt;0),IF(MAX(0,Inputs!$B$44-B3597)&lt;=0,0,(INT(MAX(0,Inputs!$B$44-B3597)/IF(Inputs!$B$39="pvp",15,MAX(0.1,Skills!D13-IF(TRUE=TRUE,3.0,0))))+1)),0)</f>
        <v/>
      </c>
      <c r="S3565">
        <f>IFERROR(O3565/N3565,0)</f>
        <v/>
      </c>
      <c r="T3565">
        <f>IF(C3565,(H3565*N3565*IF(AND(Inputs!$B$39&lt;&gt;"pvp",Inputs!$B$44&gt;0),((Skills!G13*((R3565-1)*IF(Skills!H13&gt;0,Skills!I13/Skills!H13,1)+IF(Skills!H13&gt;0,MIN(Skills!I13,MAX(0,MAX(0,Inputs!$B$44-B3597)-((R3565-1)*IF(Inputs!$B$39="pvp",15,MAX(0.1,Skills!D13-IF(TRUE=TRUE,3.0,0))))))/Skills!H13,1)))/Inputs!$B$44),G3565*Q3565))*IF(Inputs!$B$39="pvp",1,1+(Inputs!$B$20+0+Skills!P13+B3587+(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Hunt"),CHOOSE(ArtifactsInput!$N$35+1,15,18,21,24,27,30)*(1-EXP(-(0.2*B3590)*5)),0)+IF(AND(ArtifactsInput!$M$22,Inputs!$B$4&lt;&gt;"Chapter Hunt"),CHOOSE(ArtifactsInput!$N$22+1,10,12,14,16,18,20)*((0*(((0.15*B3590*5))^0/1)+1*(((0.15*B3590*5))^1/1)+2*(((0.15*B3590*5))^2/2)+3*(((0.15*B3590*5))^3/6)+4*(((0.15*B3590*5))^4/24)+5*(((0.15*B3590*5))^5/120))/((((0.15*B3590*5))^0/1)+(((0.15*B3590*5))^1/1)+(((0.15*B3590*5))^2/2)+(((0.15*B3590*5))^3/6)+(((0.15*B3590*5))^4/24)+(((0.15*B3590*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3565*(1-MIN(100,(Inputs!$B$9+((C3578=TRUE)*(F3578-Calc!F26))+B3586+(ArtifactsInput!$M$24-ArtifactsInput!$M$24)*CHOOSE(ArtifactsInput!$N$24+1,10,12,14,16,18,20)+(IF(AND(Inputs!$B$39&lt;&gt;"pvp",Inputs!$B$44=0),1,IF(IF(Inputs!$B$39="pvp",15,Inputs!$B$44)-(B3597)&lt;=0,1,MAX(0,IF(Inputs!$B$39="pvp",15,Inputs!$B$44)-MAX(5,B3597))/(IF(Inputs!$B$39="pvp",15,Inputs!$B$44)-(B3597))))*IF(AND(ArtifactsInput!$M$42,((Inputs!$B$9+((C3578=TRUE)*(F3578-Calc!F26))+B3586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3565*(MIN(100,(Inputs!$B$9+((C3578=TRUE)*(F3578-Calc!F26))+B3586+(ArtifactsInput!$M$24-ArtifactsInput!$M$24)*CHOOSE(ArtifactsInput!$N$24+1,10,12,14,16,18,20)+(IF(AND(Inputs!$B$39&lt;&gt;"pvp",Inputs!$B$44=0),1,IF(IF(Inputs!$B$39="pvp",15,Inputs!$B$44)-(B3597)&lt;=0,1,MAX(0,IF(Inputs!$B$39="pvp",15,Inputs!$B$44)-MAX(5,B3597))/(IF(Inputs!$B$39="pvp",15,Inputs!$B$44)-(B3597))))*IF(AND(ArtifactsInput!$M$42,((Inputs!$B$9+((C3578=TRUE)*(F3578-Calc!F26))+B3586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3565*(1-MIN(100,(Inputs!$B$9+((C3578=TRUE)*(F3578-Calc!F26))+B3586+(ArtifactsInput!$M$24-ArtifactsInput!$M$24)*CHOOSE(ArtifactsInput!$N$24+1,10,12,14,16,18,20)+(IF(AND(Inputs!$B$39&lt;&gt;"pvp",Inputs!$B$44=0),1,IF(IF(Inputs!$B$39="pvp",15,Inputs!$B$44)-(B3597)&lt;=0,1,MAX(0,IF(Inputs!$B$39="pvp",15,Inputs!$B$44)-MAX(5,B3597))/(IF(Inputs!$B$39="pvp",15,Inputs!$B$44)-(B3597))))*IF(AND(ArtifactsInput!$M$42,((Inputs!$B$9+((C3578=TRUE)*(F3578-Calc!F26))+B3586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3565*(MIN(100,(Inputs!$B$9+((C3578=TRUE)*(F3578-Calc!F26))+B3586+(ArtifactsInput!$M$24-ArtifactsInput!$M$24)*CHOOSE(ArtifactsInput!$N$24+1,10,12,14,16,18,20)+(IF(AND(Inputs!$B$39&lt;&gt;"pvp",Inputs!$B$44=0),1,IF(IF(Inputs!$B$39="pvp",15,Inputs!$B$44)-(B3597)&lt;=0,1,MAX(0,IF(Inputs!$B$39="pvp",15,Inputs!$B$44)-MAX(5,B3597))/(IF(Inputs!$B$39="pvp",15,Inputs!$B$44)-(B3597))))*IF(AND(ArtifactsInput!$M$42,((Inputs!$B$9+((C3578=TRUE)*(F3578-Calc!F26))+B3586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3565">
        <f>IF(C3565,(H3565*N3565*IF(AND(Inputs!$B$39&lt;&gt;"pvp",Inputs!$B$44&gt;0),((Skills!G13*((R3565-1)*IF(Skills!H13&gt;0,Skills!I13/Skills!H13,1)+IF(Skills!H13&gt;0,MIN(Skills!I13,MAX(0,MAX(0,Inputs!$B$44-B3597)-((R3565-1)*IF(Inputs!$B$39="pvp",15,MAX(0.1,Skills!D13-IF(TRUE=TRUE,3.0,0))))))/Skills!H13,1)))/Inputs!$B$44),G3565*Q3565))*IF(Inputs!$B$39="pvp",1,(1+(Inputs!$B$21+Skills!Q13+B3587+(IF(ArtifactsInput!$M$33,CHOOSE(ArtifactsInput!$N$33+1,30,36,42,48,54,60),0))+(IF(AND(ArtifactsInput!$M$35,Inputs!$B$4&lt;&gt;"Chapter Hunt"),CHOOSE(ArtifactsInput!$N$35+1,15,18,21,24,27,30)*(1-EXP(-(0.2*B3590)*5)),0)+IF(AND(ArtifactsInput!$M$22,Inputs!$B$4&lt;&gt;"Chapter Hunt"),CHOOSE(ArtifactsInput!$N$22+1,10,12,14,16,18,20)*((0*(((0.15*B3590*5))^0/1)+1*(((0.15*B3590*5))^1/1)+2*(((0.15*B3590*5))^2/2)+3*(((0.15*B3590*5))^3/6)+4*(((0.15*B3590*5))^4/24)+5*(((0.15*B3590*5))^5/120))/((((0.15*B3590*5))^0/1)+(((0.15*B3590*5))^1/1)+(((0.15*B3590*5))^2/2)+(((0.15*B3590*5))^3/6)+(((0.15*B3590*5))^4/24)+(((0.15*B3590*5))^5/120))),0)))/100)*(MIN(Skills!W13,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3566">
      <c r="A3566">
        <f>Skills!A14</f>
        <v/>
      </c>
      <c r="B3566">
        <f>Skills!B14</f>
        <v/>
      </c>
      <c r="C3566">
        <f>Inputs!$B$3&gt;=105</f>
        <v/>
      </c>
      <c r="D3566">
        <f>IF(Skills!C14=1,60+Inputs!$B$25+Inputs!$B$29,IF(Skills!C14=2,90+Inputs!$B$26+Inputs!$B$29,IF(Skills!C14=3,120+Inputs!$B$27+Inputs!$B$29,MAX(0,(Inputs!$B$3-100)*3)+Inputs!$B$28+Inputs!$B$29)))</f>
        <v/>
      </c>
      <c r="E3566">
        <f>INDEX(FactorTable!$B$2:$Y$301, MATCH(ROUND(MIN(300,MAX(1,D3566)),0), FactorTable!$A$2:$A$301,0), Skills!M14+1)</f>
        <v/>
      </c>
      <c r="F3566">
        <f>IF(Skills!N14=TRUE,(Skills!L14/10)*(E3566/1000),Skills!L14/10)+Skills!O14</f>
        <v/>
      </c>
      <c r="G3566">
        <f>Skills!G14*IF(Skills!H14&gt;0,IF(Inputs!$B$39="pvp",MIN(Skills!I14,15),Skills!I14)/Skills!H14,1)</f>
        <v/>
      </c>
      <c r="H3566">
        <f>1-(1-Skills!J14/100)^Skills!K14</f>
        <v/>
      </c>
      <c r="I3566" t="inlineStr">
        <is>
          <t>1</t>
        </is>
      </c>
      <c r="J3566">
        <f>((Inputs!$B$6*(1+Inputs!$B$7/100))+(((Inputs!$B$12*(1+Inputs!$B$13/100))-(Inputs!$B$12*(1+Inputs!$B$13/100)))+0.25*(Inputs!$B$14-Inputs!$B$14))*(1+Inputs!$B$7/100))*(F3566/100)</f>
        <v/>
      </c>
      <c r="K3566">
        <f>J3566*(1+((Inputs!$B$12*(1+Inputs!$B$13/100))*0.01+Inputs!$B$14*0.0025)/100)*(1+Inputs!$B$15/100)*(1+Inputs!$B$16/100)*(5000/(6000+Inputs!$B$43*(1-(100*(1-(1-Inputs!$B$19/100)*(1-CHOOSE(ArtifactsInput!$N$40+1,5,6,7,8,9,10)/100)^(ArtifactsInput!$M$40-ArtifactsInput!$M$40)))/100)))*(1+(Inputs!$B$24+((C3583=TRUE)*(F3583-Calc!F31))+((C3570=TRUE)*(F3570-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14="CRUEL_STAB",Inputs!$B$17+((C3580=TRUE)*(F3580-Calc!F28))+((IF(AND(Inputs!$B$39&lt;&gt;"pvp",Inputs!$B$44=0),1,IF(IF(Inputs!$B$39="pvp",15,Inputs!$B$44)-(B3597)&lt;=0,1,MAX(0,IF(Inputs!$B$39="pvp",15,Inputs!$B$44)-MAX(5,B3597))/(IF(Inputs!$B$39="pvp",15,Inputs!$B$44)-(B3597))))*(IF(AND(ArtifactsInput!$M$42,((Inputs!$B$9+((C3578=TRUE)*(F3578-Calc!F26))+B3586+(ArtifactsInput!$M$24-ArtifactsInput!$M$24)*CHOOSE(ArtifactsInput!$N$24+1,10,12,14,16,18,20)+IF(ArtifactsInput!$M$10,CHOOSE(ArtifactsInput!$N$10+1,15,18,21,24,27,30)*(IF(Inputs!$B$39="pvp",MIN(15,15)/15,IF(AND(Inputs!$B$39&lt;&gt;"pvp",Inputs!$B$44&gt;0),MIN(15,Inputs!$B$44)/(Inputs!$B$44),0))),0)))&gt;=100),MIN(100,((Inputs!$B$9+((C3578=TRUE)*(F3578-Calc!F26))+B3586+(ArtifactsInput!$M$24-ArtifactsInput!$M$24)*CHOOSE(ArtifactsInput!$N$24+1,10,12,14,16,18,20)+IF(ArtifactsInput!$M$10,CHOOSE(ArtifactsInput!$N$10+1,15,18,21,24,27,30)*(IF(Inputs!$B$39="pvp",MIN(15,15)/15,IF(AND(Inputs!$B$39&lt;&gt;"pvp",Inputs!$B$44&gt;0),MIN(15,Inputs!$B$44)/(Inputs!$B$44),0))),0)))-100),0))*CHOOSE(ArtifactsInput!$N$42+1,0.6,0.72,0.84,0.96,1.08,1.2))),Inputs!$B$18+((C3581=TRUE)*(F3581-Calc!F29))+(IF(AND(Inputs!$B$39&lt;&gt;"pvp",Inputs!$B$44=0),1,IF(IF(Inputs!$B$39="pvp",15,Inputs!$B$44)-(B3597)&lt;=0,1,MAX(0,IF(Inputs!$B$39="pvp",15,Inputs!$B$44)-MAX(5,B3597))/(IF(Inputs!$B$39="pvp",15,Inputs!$B$44)-(B3597))))*IF(AND(ArtifactsInput!$M$42,((Inputs!$B$9+((C3578=TRUE)*(F3578-Calc!F26))+B3586+(ArtifactsInput!$M$24-ArtifactsInput!$M$24)*CHOOSE(ArtifactsInput!$N$24+1,10,12,14,16,18,20)+IF(ArtifactsInput!$M$10,CHOOSE(ArtifactsInput!$N$10+1,15,18,21,24,27,30)*(IF(Inputs!$B$39="pvp",MIN(15,15)/15,IF(AND(Inputs!$B$39&lt;&gt;"pvp",Inputs!$B$44&gt;0),MIN(15,Inputs!$B$44)/(Inputs!$B$44),0))),0)))&gt;=100),CHOOSE(ArtifactsInput!$N$42+1,40,48,56,64,72,80),0))))/100)*(((1+(((C3574=TRUE)*F3574*IF(AND(Inputs!$B$39&lt;&gt;"pvp",Inputs!$B$44&gt;0),(((R3574-1)*MIN((Skills!Y22*(1+Inputs!$B$34/100)),(1/Q3574))+MIN((Skills!Y22*(1+Inputs!$B$34/100)),MAX(0,Inputs!$B$44-((R3574-1)*(1/Q3574)))))/Inputs!$B$44),IF(Inputs!$B$39="pvp",MIN((Skills!Y22*(1+Inputs!$B$34/100)),15)/15,MIN(1,(Skills!Y22*(1+Inputs!$B$34/100))/(1/Q3574)))))+((C3555=TRUE)*F3555*3)+((C3557=TRUE)*F3557*(1-EXP(-0.75*B3590*5)))+((C3576=TRUE)*(F3576-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3563=TRUE)*F3563*IF(AND(Inputs!$B$39&lt;&gt;"pvp",Inputs!$B$44&gt;0),(((R3563-1)*MIN((Skills!Y11*(1+Inputs!$B$34/100)),(1/Q3563))+MIN((Skills!Y11*(1+Inputs!$B$34/100)),MAX(0,Inputs!$B$44-((R3563-1)*(1/Q3563)))))/Inputs!$B$44),IF(Inputs!$B$39="pvp",MIN((Skills!Y11*(1+Inputs!$B$34/100)),15)/15,MIN(1,(Skills!Y11*(1+Inputs!$B$34/100))/(1/Q3563)))))/100)*(1+((C3568=TRUE)*F3568*IF(AND(Inputs!$B$39&lt;&gt;"pvp",Inputs!$B$44&gt;0),(((R3568-1)*MIN((Skills!Y16*(1+Inputs!$B$34/100)),(1/Q3568))+MIN((Skills!Y16*(1+Inputs!$B$34/100)),MAX(0,Inputs!$B$44-((R3568-1)*(1/Q3568)))))/Inputs!$B$44),IF(Inputs!$B$39="pvp",MIN((Skills!Y16*(1+Inputs!$B$34/100)),15)/15,MIN(1,(Skills!Y16*(1+Inputs!$B$34/100))/(1/Q3568)))))/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3588*I3566)</f>
        <v/>
      </c>
      <c r="L3566">
        <f>K3566*(MIN(Inputs!$B$22+((C3577=TRUE)*(F3577-Calc!F25)),(Inputs!$B$23+((C3582=TRUE)*(F3582-Calc!F30))+IF(ArtifactsInput!$M$15,CHOOSE(ArtifactsInput!$N$15+1,25,30,35,40,45,50)/100*(Inputs!$B$11-Inputs!$B$11),0)))/100+(Inputs!$B$23+((C3582=TRUE)*(F3582-Calc!F30))+IF(ArtifactsInput!$M$15,CHOOSE(ArtifactsInput!$N$15+1,25,30,35,40,45,50)/100*(Inputs!$B$11-Inputs!$B$11),0))/100)/2</f>
        <v/>
      </c>
      <c r="M3566">
        <f>L3566*(1+(Inputs!$B$10+((C3579=TRUE)*(F3579-Calc!F27))+B3593+(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3566">
        <f>L3566*(1-MIN((Inputs!$B$9+((C3578=TRUE)*(F3578-Calc!F26))+B3586+(ArtifactsInput!$M$24-ArtifactsInput!$M$24)*CHOOSE(ArtifactsInput!$N$24+1,10,12,14,16,18,20)+(IF(AND(Inputs!$B$39&lt;&gt;"pvp",Inputs!$B$44=0),1,IF(IF(Inputs!$B$39="pvp",15,Inputs!$B$44)-(B3597)&lt;=0,1,MAX(0,IF(Inputs!$B$39="pvp",15,Inputs!$B$44)-MAX(5,B3597))/(IF(Inputs!$B$39="pvp",15,Inputs!$B$44)-(B3597))))*IF(AND(ArtifactsInput!$M$42,((Inputs!$B$9+((C3578=TRUE)*(F3578-Calc!F26))+B3586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3566*(MIN((Inputs!$B$9+((C3578=TRUE)*(F3578-Calc!F26))+B3586+(ArtifactsInput!$M$24-ArtifactsInput!$M$24)*CHOOSE(ArtifactsInput!$N$24+1,10,12,14,16,18,20)+(IF(AND(Inputs!$B$39&lt;&gt;"pvp",Inputs!$B$44=0),1,IF(IF(Inputs!$B$39="pvp",15,Inputs!$B$44)-(B3597)&lt;=0,1,MAX(0,IF(Inputs!$B$39="pvp",15,Inputs!$B$44)-MAX(5,B3597))/(IF(Inputs!$B$39="pvp",15,Inputs!$B$44)-(B3597))))*IF(AND(ArtifactsInput!$M$42,((Inputs!$B$9+((C3578=TRUE)*(F3578-Calc!F26))+B3586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3566">
        <f>(1-Summary!$B$11)*T3566+Summary!$B$11*V3566</f>
        <v/>
      </c>
      <c r="P3566">
        <f>IF(B3598=0,0,O3566/B3598)</f>
        <v/>
      </c>
      <c r="Q3566">
        <f>IFERROR(1/IF(Inputs!$B$39="pvp",15,MAX(0.1,Skills!D14-IF(TRUE=TRUE,3.0,0))),0)</f>
        <v/>
      </c>
      <c r="R3566">
        <f>IF(AND(Inputs!$B$39&lt;&gt;"pvp",Inputs!$B$44&gt;0),IF(MAX(0,Inputs!$B$44-B3597)&lt;=0,0,(INT(MAX(0,Inputs!$B$44-B3597)/IF(Inputs!$B$39="pvp",15,MAX(0.1,Skills!D14-IF(TRUE=TRUE,3.0,0))))+1)),0)</f>
        <v/>
      </c>
      <c r="S3566">
        <f>IFERROR(O3566/N3566,0)</f>
        <v/>
      </c>
      <c r="T3566">
        <f>IF(C3566,(H3566*N3566*IF(AND(Inputs!$B$39&lt;&gt;"pvp",Inputs!$B$44&gt;0),((Skills!G14*((R3566-1)*IF(Skills!H14&gt;0,Skills!I14/Skills!H14,1)+IF(Skills!H14&gt;0,MIN(Skills!I14,MAX(0,MAX(0,Inputs!$B$44-B3597)-((R3566-1)*IF(Inputs!$B$39="pvp",15,MAX(0.1,Skills!D14-IF(TRUE=TRUE,3.0,0))))))/Skills!H14,1)))/Inputs!$B$44),G3566*Q3566))*IF(Inputs!$B$39="pvp",1,1+(Inputs!$B$20+0+Skills!P14+B3587+(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Hunt"),CHOOSE(ArtifactsInput!$N$35+1,15,18,21,24,27,30)*(1-EXP(-(0.2*B3590)*5)),0)+IF(AND(ArtifactsInput!$M$22,Inputs!$B$4&lt;&gt;"Chapter Hunt"),CHOOSE(ArtifactsInput!$N$22+1,10,12,14,16,18,20)*((0*(((0.15*B3590*5))^0/1)+1*(((0.15*B3590*5))^1/1)+2*(((0.15*B3590*5))^2/2)+3*(((0.15*B3590*5))^3/6)+4*(((0.15*B3590*5))^4/24)+5*(((0.15*B3590*5))^5/120))/((((0.15*B3590*5))^0/1)+(((0.15*B3590*5))^1/1)+(((0.15*B3590*5))^2/2)+(((0.15*B3590*5))^3/6)+(((0.15*B3590*5))^4/24)+(((0.15*B3590*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3566*(1-MIN(100,(Inputs!$B$9+((C3578=TRUE)*(F3578-Calc!F26))+B3586+(ArtifactsInput!$M$24-ArtifactsInput!$M$24)*CHOOSE(ArtifactsInput!$N$24+1,10,12,14,16,18,20)+(IF(AND(Inputs!$B$39&lt;&gt;"pvp",Inputs!$B$44=0),1,IF(IF(Inputs!$B$39="pvp",15,Inputs!$B$44)-(B3597)&lt;=0,1,MAX(0,IF(Inputs!$B$39="pvp",15,Inputs!$B$44)-MAX(5,B3597))/(IF(Inputs!$B$39="pvp",15,Inputs!$B$44)-(B3597))))*IF(AND(ArtifactsInput!$M$42,((Inputs!$B$9+((C3578=TRUE)*(F3578-Calc!F26))+B3586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3566*(MIN(100,(Inputs!$B$9+((C3578=TRUE)*(F3578-Calc!F26))+B3586+(ArtifactsInput!$M$24-ArtifactsInput!$M$24)*CHOOSE(ArtifactsInput!$N$24+1,10,12,14,16,18,20)+(IF(AND(Inputs!$B$39&lt;&gt;"pvp",Inputs!$B$44=0),1,IF(IF(Inputs!$B$39="pvp",15,Inputs!$B$44)-(B3597)&lt;=0,1,MAX(0,IF(Inputs!$B$39="pvp",15,Inputs!$B$44)-MAX(5,B3597))/(IF(Inputs!$B$39="pvp",15,Inputs!$B$44)-(B3597))))*IF(AND(ArtifactsInput!$M$42,((Inputs!$B$9+((C3578=TRUE)*(F3578-Calc!F26))+B3586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3566*(1-MIN(100,(Inputs!$B$9+((C3578=TRUE)*(F3578-Calc!F26))+B3586+(ArtifactsInput!$M$24-ArtifactsInput!$M$24)*CHOOSE(ArtifactsInput!$N$24+1,10,12,14,16,18,20)+(IF(AND(Inputs!$B$39&lt;&gt;"pvp",Inputs!$B$44=0),1,IF(IF(Inputs!$B$39="pvp",15,Inputs!$B$44)-(B3597)&lt;=0,1,MAX(0,IF(Inputs!$B$39="pvp",15,Inputs!$B$44)-MAX(5,B3597))/(IF(Inputs!$B$39="pvp",15,Inputs!$B$44)-(B3597))))*IF(AND(ArtifactsInput!$M$42,((Inputs!$B$9+((C3578=TRUE)*(F3578-Calc!F26))+B3586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3566*(MIN(100,(Inputs!$B$9+((C3578=TRUE)*(F3578-Calc!F26))+B3586+(ArtifactsInput!$M$24-ArtifactsInput!$M$24)*CHOOSE(ArtifactsInput!$N$24+1,10,12,14,16,18,20)+(IF(AND(Inputs!$B$39&lt;&gt;"pvp",Inputs!$B$44=0),1,IF(IF(Inputs!$B$39="pvp",15,Inputs!$B$44)-(B3597)&lt;=0,1,MAX(0,IF(Inputs!$B$39="pvp",15,Inputs!$B$44)-MAX(5,B3597))/(IF(Inputs!$B$39="pvp",15,Inputs!$B$44)-(B3597))))*IF(AND(ArtifactsInput!$M$42,((Inputs!$B$9+((C3578=TRUE)*(F3578-Calc!F26))+B3586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3566">
        <f>IF(C3566,(H3566*N3566*IF(AND(Inputs!$B$39&lt;&gt;"pvp",Inputs!$B$44&gt;0),((Skills!G14*((R3566-1)*IF(Skills!H14&gt;0,Skills!I14/Skills!H14,1)+IF(Skills!H14&gt;0,MIN(Skills!I14,MAX(0,MAX(0,Inputs!$B$44-B3597)-((R3566-1)*IF(Inputs!$B$39="pvp",15,MAX(0.1,Skills!D14-IF(TRUE=TRUE,3.0,0))))))/Skills!H14,1)))/Inputs!$B$44),G3566*Q3566))*IF(Inputs!$B$39="pvp",1,(1+(Inputs!$B$21+Skills!Q14+B3587+(IF(ArtifactsInput!$M$33,CHOOSE(ArtifactsInput!$N$33+1,30,36,42,48,54,60),0))+(IF(AND(ArtifactsInput!$M$35,Inputs!$B$4&lt;&gt;"Chapter Hunt"),CHOOSE(ArtifactsInput!$N$35+1,15,18,21,24,27,30)*(1-EXP(-(0.2*B3590)*5)),0)+IF(AND(ArtifactsInput!$M$22,Inputs!$B$4&lt;&gt;"Chapter Hunt"),CHOOSE(ArtifactsInput!$N$22+1,10,12,14,16,18,20)*((0*(((0.15*B3590*5))^0/1)+1*(((0.15*B3590*5))^1/1)+2*(((0.15*B3590*5))^2/2)+3*(((0.15*B3590*5))^3/6)+4*(((0.15*B3590*5))^4/24)+5*(((0.15*B3590*5))^5/120))/((((0.15*B3590*5))^0/1)+(((0.15*B3590*5))^1/1)+(((0.15*B3590*5))^2/2)+(((0.15*B3590*5))^3/6)+(((0.15*B3590*5))^4/24)+(((0.15*B3590*5))^5/120))),0)))/100)*(MIN(Skills!W14,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3567">
      <c r="A3567">
        <f>Skills!A15</f>
        <v/>
      </c>
      <c r="B3567">
        <f>Skills!B15</f>
        <v/>
      </c>
      <c r="C3567">
        <f>Inputs!$B$3&gt;=107</f>
        <v/>
      </c>
      <c r="D3567">
        <f>IF(Skills!C15=1,60+Inputs!$B$25+Inputs!$B$29,IF(Skills!C15=2,90+Inputs!$B$26+Inputs!$B$29,IF(Skills!C15=3,120+Inputs!$B$27+Inputs!$B$29,MAX(0,(Inputs!$B$3-100)*3)+Inputs!$B$28+Inputs!$B$29)))</f>
        <v/>
      </c>
      <c r="E3567">
        <f>INDEX(FactorTable!$B$2:$Y$301, MATCH(ROUND(MIN(300,MAX(1,D3567)),0), FactorTable!$A$2:$A$301,0), Skills!M15+1)</f>
        <v/>
      </c>
      <c r="F3567">
        <f>IF(Skills!N15=TRUE,(Skills!L15/10)*(E3567/1000),Skills!L15/10)+Skills!O15</f>
        <v/>
      </c>
      <c r="G3567">
        <f>Skills!G15*IF(Skills!H15&gt;0,IF(Inputs!$B$39="pvp",MIN(Skills!I15,15),Skills!I15)/Skills!H15,1)</f>
        <v/>
      </c>
      <c r="H3567">
        <f>1-(1-Skills!J15/100)^Skills!K15</f>
        <v/>
      </c>
      <c r="I3567" t="inlineStr">
        <is>
          <t>1</t>
        </is>
      </c>
      <c r="J3567">
        <f>((Inputs!$B$6*(1+Inputs!$B$7/100))+(((Inputs!$B$12*(1+Inputs!$B$13/100))-(Inputs!$B$12*(1+Inputs!$B$13/100)))+0.25*(Inputs!$B$14-Inputs!$B$14))*(1+Inputs!$B$7/100))*(F3567/100)</f>
        <v/>
      </c>
      <c r="K3567">
        <f>J3567*(1+((Inputs!$B$12*(1+Inputs!$B$13/100))*0.01+Inputs!$B$14*0.0025)/100)*(1+Inputs!$B$15/100)*(1+Inputs!$B$16/100)*(5000/(6000+Inputs!$B$43*(1-(100*(1-(1-Inputs!$B$19/100)*(1-CHOOSE(ArtifactsInput!$N$40+1,5,6,7,8,9,10)/100)^(ArtifactsInput!$M$40-ArtifactsInput!$M$40)))/100)))*(1+(Inputs!$B$24+((C3583=TRUE)*(F3583-Calc!F31))+((C3570=TRUE)*(F3570-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15="CRUEL_STAB",Inputs!$B$17+((C3580=TRUE)*(F3580-Calc!F28))+((IF(AND(Inputs!$B$39&lt;&gt;"pvp",Inputs!$B$44=0),1,IF(IF(Inputs!$B$39="pvp",15,Inputs!$B$44)-(B3597)&lt;=0,1,MAX(0,IF(Inputs!$B$39="pvp",15,Inputs!$B$44)-MAX(5,B3597))/(IF(Inputs!$B$39="pvp",15,Inputs!$B$44)-(B3597))))*(IF(AND(ArtifactsInput!$M$42,((Inputs!$B$9+((C3578=TRUE)*(F3578-Calc!F26))+B3586+(ArtifactsInput!$M$24-ArtifactsInput!$M$24)*CHOOSE(ArtifactsInput!$N$24+1,10,12,14,16,18,20)+IF(ArtifactsInput!$M$10,CHOOSE(ArtifactsInput!$N$10+1,15,18,21,24,27,30)*(IF(Inputs!$B$39="pvp",MIN(15,15)/15,IF(AND(Inputs!$B$39&lt;&gt;"pvp",Inputs!$B$44&gt;0),MIN(15,Inputs!$B$44)/(Inputs!$B$44),0))),0)))&gt;=100),MIN(100,((Inputs!$B$9+((C3578=TRUE)*(F3578-Calc!F26))+B3586+(ArtifactsInput!$M$24-ArtifactsInput!$M$24)*CHOOSE(ArtifactsInput!$N$24+1,10,12,14,16,18,20)+IF(ArtifactsInput!$M$10,CHOOSE(ArtifactsInput!$N$10+1,15,18,21,24,27,30)*(IF(Inputs!$B$39="pvp",MIN(15,15)/15,IF(AND(Inputs!$B$39&lt;&gt;"pvp",Inputs!$B$44&gt;0),MIN(15,Inputs!$B$44)/(Inputs!$B$44),0))),0)))-100),0))*CHOOSE(ArtifactsInput!$N$42+1,0.6,0.72,0.84,0.96,1.08,1.2))),Inputs!$B$18+((C3581=TRUE)*(F3581-Calc!F29))+(IF(AND(Inputs!$B$39&lt;&gt;"pvp",Inputs!$B$44=0),1,IF(IF(Inputs!$B$39="pvp",15,Inputs!$B$44)-(B3597)&lt;=0,1,MAX(0,IF(Inputs!$B$39="pvp",15,Inputs!$B$44)-MAX(5,B3597))/(IF(Inputs!$B$39="pvp",15,Inputs!$B$44)-(B3597))))*IF(AND(ArtifactsInput!$M$42,((Inputs!$B$9+((C3578=TRUE)*(F3578-Calc!F26))+B3586+(ArtifactsInput!$M$24-ArtifactsInput!$M$24)*CHOOSE(ArtifactsInput!$N$24+1,10,12,14,16,18,20)+IF(ArtifactsInput!$M$10,CHOOSE(ArtifactsInput!$N$10+1,15,18,21,24,27,30)*(IF(Inputs!$B$39="pvp",MIN(15,15)/15,IF(AND(Inputs!$B$39&lt;&gt;"pvp",Inputs!$B$44&gt;0),MIN(15,Inputs!$B$44)/(Inputs!$B$44),0))),0)))&gt;=100),CHOOSE(ArtifactsInput!$N$42+1,40,48,56,64,72,80),0))))/100)*(((1+(((C3574=TRUE)*F3574*IF(AND(Inputs!$B$39&lt;&gt;"pvp",Inputs!$B$44&gt;0),(((R3574-1)*MIN((Skills!Y22*(1+Inputs!$B$34/100)),(1/Q3574))+MIN((Skills!Y22*(1+Inputs!$B$34/100)),MAX(0,Inputs!$B$44-((R3574-1)*(1/Q3574)))))/Inputs!$B$44),IF(Inputs!$B$39="pvp",MIN((Skills!Y22*(1+Inputs!$B$34/100)),15)/15,MIN(1,(Skills!Y22*(1+Inputs!$B$34/100))/(1/Q3574)))))+((C3555=TRUE)*F3555*3)+((C3557=TRUE)*F3557*(1-EXP(-0.75*B3590*5)))+((C3576=TRUE)*(F3576-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3563=TRUE)*F3563*IF(AND(Inputs!$B$39&lt;&gt;"pvp",Inputs!$B$44&gt;0),(((R3563-1)*MIN((Skills!Y11*(1+Inputs!$B$34/100)),(1/Q3563))+MIN((Skills!Y11*(1+Inputs!$B$34/100)),MAX(0,Inputs!$B$44-((R3563-1)*(1/Q3563)))))/Inputs!$B$44),IF(Inputs!$B$39="pvp",MIN((Skills!Y11*(1+Inputs!$B$34/100)),15)/15,MIN(1,(Skills!Y11*(1+Inputs!$B$34/100))/(1/Q3563)))))/100)*(1+((C3568=TRUE)*F3568*IF(AND(Inputs!$B$39&lt;&gt;"pvp",Inputs!$B$44&gt;0),(((R3568-1)*MIN((Skills!Y16*(1+Inputs!$B$34/100)),(1/Q3568))+MIN((Skills!Y16*(1+Inputs!$B$34/100)),MAX(0,Inputs!$B$44-((R3568-1)*(1/Q3568)))))/Inputs!$B$44),IF(Inputs!$B$39="pvp",MIN((Skills!Y16*(1+Inputs!$B$34/100)),15)/15,MIN(1,(Skills!Y16*(1+Inputs!$B$34/100))/(1/Q3568)))))/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3588*I3567)</f>
        <v/>
      </c>
      <c r="L3567">
        <f>K3567*(MIN(Inputs!$B$22+((C3577=TRUE)*(F3577-Calc!F25)),(Inputs!$B$23+((C3582=TRUE)*(F3582-Calc!F30))+IF(ArtifactsInput!$M$15,CHOOSE(ArtifactsInput!$N$15+1,25,30,35,40,45,50)/100*(Inputs!$B$11-Inputs!$B$11),0)))/100+(Inputs!$B$23+((C3582=TRUE)*(F3582-Calc!F30))+IF(ArtifactsInput!$M$15,CHOOSE(ArtifactsInput!$N$15+1,25,30,35,40,45,50)/100*(Inputs!$B$11-Inputs!$B$11),0))/100)/2</f>
        <v/>
      </c>
      <c r="M3567">
        <f>L3567*(1+(Inputs!$B$10+((C3579=TRUE)*(F3579-Calc!F27))+B3593+(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3567">
        <f>L3567*(1-MIN((Inputs!$B$9+((C3578=TRUE)*(F3578-Calc!F26))+B3586+(ArtifactsInput!$M$24-ArtifactsInput!$M$24)*CHOOSE(ArtifactsInput!$N$24+1,10,12,14,16,18,20)+(IF(AND(Inputs!$B$39&lt;&gt;"pvp",Inputs!$B$44=0),1,IF(IF(Inputs!$B$39="pvp",15,Inputs!$B$44)-(B3597)&lt;=0,1,MAX(0,IF(Inputs!$B$39="pvp",15,Inputs!$B$44)-MAX(5,B3597))/(IF(Inputs!$B$39="pvp",15,Inputs!$B$44)-(B3597))))*IF(AND(ArtifactsInput!$M$42,((Inputs!$B$9+((C3578=TRUE)*(F3578-Calc!F26))+B3586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3567*(MIN((Inputs!$B$9+((C3578=TRUE)*(F3578-Calc!F26))+B3586+(ArtifactsInput!$M$24-ArtifactsInput!$M$24)*CHOOSE(ArtifactsInput!$N$24+1,10,12,14,16,18,20)+(IF(AND(Inputs!$B$39&lt;&gt;"pvp",Inputs!$B$44=0),1,IF(IF(Inputs!$B$39="pvp",15,Inputs!$B$44)-(B3597)&lt;=0,1,MAX(0,IF(Inputs!$B$39="pvp",15,Inputs!$B$44)-MAX(5,B3597))/(IF(Inputs!$B$39="pvp",15,Inputs!$B$44)-(B3597))))*IF(AND(ArtifactsInput!$M$42,((Inputs!$B$9+((C3578=TRUE)*(F3578-Calc!F26))+B3586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3567">
        <f>(1-Summary!$B$11)*T3567+Summary!$B$11*V3567</f>
        <v/>
      </c>
      <c r="P3567">
        <f>IF(B3598=0,0,O3567/B3598)</f>
        <v/>
      </c>
      <c r="Q3567">
        <f>IFERROR(1/IF(Inputs!$B$39="pvp",15,MAX(0.1,Skills!D15-IF(TRUE=TRUE,3.0,0))),0)</f>
        <v/>
      </c>
      <c r="R3567">
        <f>IF(AND(Inputs!$B$39&lt;&gt;"pvp",Inputs!$B$44&gt;0),IF(MAX(0,Inputs!$B$44-B3597)&lt;=0,0,(INT(MAX(0,Inputs!$B$44-B3597)/IF(Inputs!$B$39="pvp",15,MAX(0.1,Skills!D15-IF(TRUE=TRUE,3.0,0))))+1)),0)</f>
        <v/>
      </c>
      <c r="S3567">
        <f>IFERROR(O3567/N3567,0)</f>
        <v/>
      </c>
      <c r="T3567">
        <f>IF(C3567,(H3567*N3567*IF(AND(Inputs!$B$39&lt;&gt;"pvp",Inputs!$B$44&gt;0),((Skills!G15*((R3567-1)*IF(Skills!H15&gt;0,Skills!I15/Skills!H15,1)+IF(Skills!H15&gt;0,MIN(Skills!I15,MAX(0,MAX(0,Inputs!$B$44-B3597)-((R3567-1)*IF(Inputs!$B$39="pvp",15,MAX(0.1,Skills!D15-IF(TRUE=TRUE,3.0,0))))))/Skills!H15,1)))/Inputs!$B$44),G3567*Q3567))*IF(Inputs!$B$39="pvp",1,1+(Inputs!$B$20+0+Skills!P15+B3587+(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Hunt"),CHOOSE(ArtifactsInput!$N$35+1,15,18,21,24,27,30)*(1-EXP(-(0.2*B3590)*5)),0)+IF(AND(ArtifactsInput!$M$22,Inputs!$B$4&lt;&gt;"Chapter Hunt"),CHOOSE(ArtifactsInput!$N$22+1,10,12,14,16,18,20)*((0*(((0.15*B3590*5))^0/1)+1*(((0.15*B3590*5))^1/1)+2*(((0.15*B3590*5))^2/2)+3*(((0.15*B3590*5))^3/6)+4*(((0.15*B3590*5))^4/24)+5*(((0.15*B3590*5))^5/120))/((((0.15*B3590*5))^0/1)+(((0.15*B3590*5))^1/1)+(((0.15*B3590*5))^2/2)+(((0.15*B3590*5))^3/6)+(((0.15*B3590*5))^4/24)+(((0.15*B3590*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3567*(1-MIN(100,(Inputs!$B$9+((C3578=TRUE)*(F3578-Calc!F26))+B3586+(ArtifactsInput!$M$24-ArtifactsInput!$M$24)*CHOOSE(ArtifactsInput!$N$24+1,10,12,14,16,18,20)+(IF(AND(Inputs!$B$39&lt;&gt;"pvp",Inputs!$B$44=0),1,IF(IF(Inputs!$B$39="pvp",15,Inputs!$B$44)-(B3597)&lt;=0,1,MAX(0,IF(Inputs!$B$39="pvp",15,Inputs!$B$44)-MAX(5,B3597))/(IF(Inputs!$B$39="pvp",15,Inputs!$B$44)-(B3597))))*IF(AND(ArtifactsInput!$M$42,((Inputs!$B$9+((C3578=TRUE)*(F3578-Calc!F26))+B3586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3567*(MIN(100,(Inputs!$B$9+((C3578=TRUE)*(F3578-Calc!F26))+B3586+(ArtifactsInput!$M$24-ArtifactsInput!$M$24)*CHOOSE(ArtifactsInput!$N$24+1,10,12,14,16,18,20)+(IF(AND(Inputs!$B$39&lt;&gt;"pvp",Inputs!$B$44=0),1,IF(IF(Inputs!$B$39="pvp",15,Inputs!$B$44)-(B3597)&lt;=0,1,MAX(0,IF(Inputs!$B$39="pvp",15,Inputs!$B$44)-MAX(5,B3597))/(IF(Inputs!$B$39="pvp",15,Inputs!$B$44)-(B3597))))*IF(AND(ArtifactsInput!$M$42,((Inputs!$B$9+((C3578=TRUE)*(F3578-Calc!F26))+B3586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3567*(1-MIN(100,(Inputs!$B$9+((C3578=TRUE)*(F3578-Calc!F26))+B3586+(ArtifactsInput!$M$24-ArtifactsInput!$M$24)*CHOOSE(ArtifactsInput!$N$24+1,10,12,14,16,18,20)+(IF(AND(Inputs!$B$39&lt;&gt;"pvp",Inputs!$B$44=0),1,IF(IF(Inputs!$B$39="pvp",15,Inputs!$B$44)-(B3597)&lt;=0,1,MAX(0,IF(Inputs!$B$39="pvp",15,Inputs!$B$44)-MAX(5,B3597))/(IF(Inputs!$B$39="pvp",15,Inputs!$B$44)-(B3597))))*IF(AND(ArtifactsInput!$M$42,((Inputs!$B$9+((C3578=TRUE)*(F3578-Calc!F26))+B3586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3567*(MIN(100,(Inputs!$B$9+((C3578=TRUE)*(F3578-Calc!F26))+B3586+(ArtifactsInput!$M$24-ArtifactsInput!$M$24)*CHOOSE(ArtifactsInput!$N$24+1,10,12,14,16,18,20)+(IF(AND(Inputs!$B$39&lt;&gt;"pvp",Inputs!$B$44=0),1,IF(IF(Inputs!$B$39="pvp",15,Inputs!$B$44)-(B3597)&lt;=0,1,MAX(0,IF(Inputs!$B$39="pvp",15,Inputs!$B$44)-MAX(5,B3597))/(IF(Inputs!$B$39="pvp",15,Inputs!$B$44)-(B3597))))*IF(AND(ArtifactsInput!$M$42,((Inputs!$B$9+((C3578=TRUE)*(F3578-Calc!F26))+B3586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3567">
        <f>IF(C3567,(H3567*N3567*IF(AND(Inputs!$B$39&lt;&gt;"pvp",Inputs!$B$44&gt;0),((Skills!G15*((R3567-1)*IF(Skills!H15&gt;0,Skills!I15/Skills!H15,1)+IF(Skills!H15&gt;0,MIN(Skills!I15,MAX(0,MAX(0,Inputs!$B$44-B3597)-((R3567-1)*IF(Inputs!$B$39="pvp",15,MAX(0.1,Skills!D15-IF(TRUE=TRUE,3.0,0))))))/Skills!H15,1)))/Inputs!$B$44),G3567*Q3567))*IF(Inputs!$B$39="pvp",1,(1+(Inputs!$B$21+Skills!Q15+B3587+(IF(ArtifactsInput!$M$33,CHOOSE(ArtifactsInput!$N$33+1,30,36,42,48,54,60),0))+(IF(AND(ArtifactsInput!$M$35,Inputs!$B$4&lt;&gt;"Chapter Hunt"),CHOOSE(ArtifactsInput!$N$35+1,15,18,21,24,27,30)*(1-EXP(-(0.2*B3590)*5)),0)+IF(AND(ArtifactsInput!$M$22,Inputs!$B$4&lt;&gt;"Chapter Hunt"),CHOOSE(ArtifactsInput!$N$22+1,10,12,14,16,18,20)*((0*(((0.15*B3590*5))^0/1)+1*(((0.15*B3590*5))^1/1)+2*(((0.15*B3590*5))^2/2)+3*(((0.15*B3590*5))^3/6)+4*(((0.15*B3590*5))^4/24)+5*(((0.15*B3590*5))^5/120))/((((0.15*B3590*5))^0/1)+(((0.15*B3590*5))^1/1)+(((0.15*B3590*5))^2/2)+(((0.15*B3590*5))^3/6)+(((0.15*B3590*5))^4/24)+(((0.15*B3590*5))^5/120))),0)))/100)*(MIN(MIN(5,0.5*IF(Inputs!$B$3&gt;=75,0.75,0.5)*B3590*(1/Q3556))*Skills!V15,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3568">
      <c r="A3568">
        <f>Skills!A16</f>
        <v/>
      </c>
      <c r="B3568">
        <f>Skills!B16</f>
        <v/>
      </c>
      <c r="C3568">
        <f>Inputs!$B$3&gt;=110</f>
        <v/>
      </c>
      <c r="D3568">
        <f>IF(Skills!C16=1,60+Inputs!$B$25+Inputs!$B$29,IF(Skills!C16=2,90+Inputs!$B$26+Inputs!$B$29,IF(Skills!C16=3,120+Inputs!$B$27+Inputs!$B$29,MAX(0,(Inputs!$B$3-100)*3)+Inputs!$B$28+Inputs!$B$29)))</f>
        <v/>
      </c>
      <c r="E3568">
        <f>INDEX(FactorTable!$B$2:$Y$301, MATCH(ROUND(MIN(300,MAX(1,D3568)),0), FactorTable!$A$2:$A$301,0), Skills!M16+1)</f>
        <v/>
      </c>
      <c r="F3568">
        <f>IF(Skills!N16=TRUE,(Skills!L16/10)*(E3568/1000),Skills!L16/10)+Skills!O16</f>
        <v/>
      </c>
      <c r="G3568">
        <f>Skills!G16*IF(Skills!H16&gt;0,IF(Inputs!$B$39="pvp",MIN(Skills!I16,15),Skills!I16)/Skills!H16,1)</f>
        <v/>
      </c>
      <c r="H3568">
        <f>1-(1-Skills!J16/100)^Skills!K16</f>
        <v/>
      </c>
      <c r="I3568" t="inlineStr">
        <is>
          <t>1</t>
        </is>
      </c>
      <c r="J3568" t="inlineStr"/>
      <c r="K3568" t="inlineStr"/>
      <c r="L3568" t="inlineStr"/>
      <c r="M3568" t="inlineStr"/>
      <c r="N3568" t="inlineStr"/>
      <c r="O3568">
        <f>(1-Summary!$B$11)*T3568+Summary!$B$11*V3568</f>
        <v/>
      </c>
      <c r="P3568">
        <f>IF(B3598=0,0,O3568/B3598)</f>
        <v/>
      </c>
      <c r="Q3568">
        <f>IFERROR(1/IF(Inputs!$B$39="pvp",15,MAX(0.1,Skills!D16-IF(TRUE=TRUE,3.0,0))),0)</f>
        <v/>
      </c>
      <c r="R3568">
        <f>IF(AND(Inputs!$B$39&lt;&gt;"pvp",Inputs!$B$44&gt;0),IF(Inputs!$B$44&lt;=0,0,(INT(Inputs!$B$44/IF(Inputs!$B$39="pvp",15,MAX(0.1,Skills!D16-IF(TRUE=TRUE,3.0,0))))+1)),0)</f>
        <v/>
      </c>
      <c r="S3568">
        <f>IFERROR(O3568/N3568,0)</f>
        <v/>
      </c>
      <c r="T3568" t="n">
        <v>0</v>
      </c>
      <c r="V3568" t="n">
        <v>0</v>
      </c>
    </row>
    <row r="3569">
      <c r="A3569">
        <f>Skills!A17</f>
        <v/>
      </c>
      <c r="B3569">
        <f>Skills!B17</f>
        <v/>
      </c>
      <c r="C3569">
        <f>Inputs!$B$3&gt;=115</f>
        <v/>
      </c>
      <c r="D3569">
        <f>IF(Skills!C17=1,60+Inputs!$B$25+Inputs!$B$29,IF(Skills!C17=2,90+Inputs!$B$26+Inputs!$B$29,IF(Skills!C17=3,120+Inputs!$B$27+Inputs!$B$29,MAX(0,(Inputs!$B$3-100)*3)+Inputs!$B$28+Inputs!$B$29)))</f>
        <v/>
      </c>
      <c r="E3569">
        <f>INDEX(FactorTable!$B$2:$Y$301, MATCH(ROUND(MIN(300,MAX(1,D3569)),0), FactorTable!$A$2:$A$301,0), Skills!M17+1)</f>
        <v/>
      </c>
      <c r="F3569">
        <f>IF(Skills!N17=TRUE,(Skills!L17/10)*(E3569/1000),Skills!L17/10)+Skills!O17</f>
        <v/>
      </c>
      <c r="G3569">
        <f>Skills!G17*IF(Skills!H17&gt;0,IF(Inputs!$B$39="pvp",MIN(Skills!I17,15),Skills!I17)/Skills!H17,1)</f>
        <v/>
      </c>
      <c r="H3569">
        <f>1-(1-Skills!J17/100)^Skills!K17</f>
        <v/>
      </c>
      <c r="I3569" t="inlineStr">
        <is>
          <t>1</t>
        </is>
      </c>
      <c r="J3569">
        <f>((Inputs!$B$6*(1+Inputs!$B$7/100))+(((Inputs!$B$12*(1+Inputs!$B$13/100))-(Inputs!$B$12*(1+Inputs!$B$13/100)))+0.25*(Inputs!$B$14-Inputs!$B$14))*(1+Inputs!$B$7/100))*(F3569/100)</f>
        <v/>
      </c>
      <c r="K3569">
        <f>J3569*(1+((Inputs!$B$12*(1+Inputs!$B$13/100))*0.01+Inputs!$B$14*0.0025)/100)*(1+Inputs!$B$15/100)*(1+Inputs!$B$16/100)*(5000/(6000+Inputs!$B$43*(1-(100*(1-(1-Inputs!$B$19/100)*(1-CHOOSE(ArtifactsInput!$N$40+1,5,6,7,8,9,10)/100)^(ArtifactsInput!$M$40-ArtifactsInput!$M$40)))/100)))*(1+(Inputs!$B$24+((C3583=TRUE)*(F3583-Calc!F31))+((C3570=TRUE)*(F3570-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17="CRUEL_STAB",Inputs!$B$17+((C3580=TRUE)*(F3580-Calc!F28))+((IF(AND(Inputs!$B$39&lt;&gt;"pvp",Inputs!$B$44=0),1,IF(IF(Inputs!$B$39="pvp",15,Inputs!$B$44)-(B3597)&lt;=0,1,MAX(0,IF(Inputs!$B$39="pvp",15,Inputs!$B$44)-MAX(5,B3597))/(IF(Inputs!$B$39="pvp",15,Inputs!$B$44)-(B3597))))*(IF(AND(ArtifactsInput!$M$42,((Inputs!$B$9+((C3578=TRUE)*(F3578-Calc!F26))+B3586+(ArtifactsInput!$M$24-ArtifactsInput!$M$24)*CHOOSE(ArtifactsInput!$N$24+1,10,12,14,16,18,20)+IF(ArtifactsInput!$M$10,CHOOSE(ArtifactsInput!$N$10+1,15,18,21,24,27,30)*(IF(Inputs!$B$39="pvp",MIN(15,15)/15,IF(AND(Inputs!$B$39&lt;&gt;"pvp",Inputs!$B$44&gt;0),MIN(15,Inputs!$B$44)/(Inputs!$B$44),0))),0)))&gt;=100),MIN(100,((Inputs!$B$9+((C3578=TRUE)*(F3578-Calc!F26))+B3586+(ArtifactsInput!$M$24-ArtifactsInput!$M$24)*CHOOSE(ArtifactsInput!$N$24+1,10,12,14,16,18,20)+IF(ArtifactsInput!$M$10,CHOOSE(ArtifactsInput!$N$10+1,15,18,21,24,27,30)*(IF(Inputs!$B$39="pvp",MIN(15,15)/15,IF(AND(Inputs!$B$39&lt;&gt;"pvp",Inputs!$B$44&gt;0),MIN(15,Inputs!$B$44)/(Inputs!$B$44),0))),0)))-100),0))*CHOOSE(ArtifactsInput!$N$42+1,0.6,0.72,0.84,0.96,1.08,1.2))),Inputs!$B$18+((C3581=TRUE)*(F3581-Calc!F29))+(IF(AND(Inputs!$B$39&lt;&gt;"pvp",Inputs!$B$44=0),1,IF(IF(Inputs!$B$39="pvp",15,Inputs!$B$44)-(B3597)&lt;=0,1,MAX(0,IF(Inputs!$B$39="pvp",15,Inputs!$B$44)-MAX(5,B3597))/(IF(Inputs!$B$39="pvp",15,Inputs!$B$44)-(B3597))))*IF(AND(ArtifactsInput!$M$42,((Inputs!$B$9+((C3578=TRUE)*(F3578-Calc!F26))+B3586+(ArtifactsInput!$M$24-ArtifactsInput!$M$24)*CHOOSE(ArtifactsInput!$N$24+1,10,12,14,16,18,20)+IF(ArtifactsInput!$M$10,CHOOSE(ArtifactsInput!$N$10+1,15,18,21,24,27,30)*(IF(Inputs!$B$39="pvp",MIN(15,15)/15,IF(AND(Inputs!$B$39&lt;&gt;"pvp",Inputs!$B$44&gt;0),MIN(15,Inputs!$B$44)/(Inputs!$B$44),0))),0)))&gt;=100),CHOOSE(ArtifactsInput!$N$42+1,40,48,56,64,72,80),0))))/100)*(((1+(((C3574=TRUE)*F3574*IF(AND(Inputs!$B$39&lt;&gt;"pvp",Inputs!$B$44&gt;0),(((R3574-1)*MIN((Skills!Y22*(1+Inputs!$B$34/100)),(1/Q3574))+MIN((Skills!Y22*(1+Inputs!$B$34/100)),MAX(0,Inputs!$B$44-((R3574-1)*(1/Q3574)))))/Inputs!$B$44),IF(Inputs!$B$39="pvp",MIN((Skills!Y22*(1+Inputs!$B$34/100)),15)/15,MIN(1,(Skills!Y22*(1+Inputs!$B$34/100))/(1/Q3574)))))+((C3555=TRUE)*F3555*3)+((C3557=TRUE)*F3557*(1-EXP(-0.75*B3590*5)))+((C3576=TRUE)*(F3576-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3563=TRUE)*F3563*IF(AND(Inputs!$B$39&lt;&gt;"pvp",Inputs!$B$44&gt;0),(((R3563-1)*MIN((Skills!Y11*(1+Inputs!$B$34/100)),(1/Q3563))+MIN((Skills!Y11*(1+Inputs!$B$34/100)),MAX(0,Inputs!$B$44-((R3563-1)*(1/Q3563)))))/Inputs!$B$44),IF(Inputs!$B$39="pvp",MIN((Skills!Y11*(1+Inputs!$B$34/100)),15)/15,MIN(1,(Skills!Y11*(1+Inputs!$B$34/100))/(1/Q3563)))))/100)*(1+((C3568=TRUE)*F3568*IF(AND(Inputs!$B$39&lt;&gt;"pvp",Inputs!$B$44&gt;0),(((R3568-1)*MIN((Skills!Y16*(1+Inputs!$B$34/100)),(1/Q3568))+MIN((Skills!Y16*(1+Inputs!$B$34/100)),MAX(0,Inputs!$B$44-((R3568-1)*(1/Q3568)))))/Inputs!$B$44),IF(Inputs!$B$39="pvp",MIN((Skills!Y16*(1+Inputs!$B$34/100)),15)/15,MIN(1,(Skills!Y16*(1+Inputs!$B$34/100))/(1/Q3568)))))/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3588*I3569)</f>
        <v/>
      </c>
      <c r="L3569">
        <f>K3569*(MIN(Inputs!$B$22+((C3577=TRUE)*(F3577-Calc!F25)),(Inputs!$B$23+((C3582=TRUE)*(F3582-Calc!F30))+IF(ArtifactsInput!$M$15,CHOOSE(ArtifactsInput!$N$15+1,25,30,35,40,45,50)/100*(Inputs!$B$11-Inputs!$B$11),0)))/100+(Inputs!$B$23+((C3582=TRUE)*(F3582-Calc!F30))+IF(ArtifactsInput!$M$15,CHOOSE(ArtifactsInput!$N$15+1,25,30,35,40,45,50)/100*(Inputs!$B$11-Inputs!$B$11),0))/100)/2</f>
        <v/>
      </c>
      <c r="M3569">
        <f>L3569*(1+(Inputs!$B$10+((C3579=TRUE)*(F3579-Calc!F27))+B3593+(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3569">
        <f>L3569*(1-MIN((Inputs!$B$9+((C3578=TRUE)*(F3578-Calc!F26))+B3586+(ArtifactsInput!$M$24-ArtifactsInput!$M$24)*CHOOSE(ArtifactsInput!$N$24+1,10,12,14,16,18,20)+(IF(AND(Inputs!$B$39&lt;&gt;"pvp",Inputs!$B$44=0),1,IF(IF(Inputs!$B$39="pvp",15,Inputs!$B$44)-(B3597)&lt;=0,1,MAX(0,IF(Inputs!$B$39="pvp",15,Inputs!$B$44)-MAX(5,B3597))/(IF(Inputs!$B$39="pvp",15,Inputs!$B$44)-(B3597))))*IF(AND(ArtifactsInput!$M$42,((Inputs!$B$9+((C3578=TRUE)*(F3578-Calc!F26))+B3586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3569*(MIN((Inputs!$B$9+((C3578=TRUE)*(F3578-Calc!F26))+B3586+(ArtifactsInput!$M$24-ArtifactsInput!$M$24)*CHOOSE(ArtifactsInput!$N$24+1,10,12,14,16,18,20)+(IF(AND(Inputs!$B$39&lt;&gt;"pvp",Inputs!$B$44=0),1,IF(IF(Inputs!$B$39="pvp",15,Inputs!$B$44)-(B3597)&lt;=0,1,MAX(0,IF(Inputs!$B$39="pvp",15,Inputs!$B$44)-MAX(5,B3597))/(IF(Inputs!$B$39="pvp",15,Inputs!$B$44)-(B3597))))*IF(AND(ArtifactsInput!$M$42,((Inputs!$B$9+((C3578=TRUE)*(F3578-Calc!F26))+B3586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3569">
        <f>(1-Summary!$B$11)*T3569+Summary!$B$11*V3569</f>
        <v/>
      </c>
      <c r="P3569">
        <f>IF(B3598=0,0,O3569/B3598)</f>
        <v/>
      </c>
      <c r="Q3569" t="n">
        <v>0</v>
      </c>
      <c r="R3569" t="n">
        <v>0</v>
      </c>
      <c r="S3569">
        <f>IFERROR(O3569/N3569,0)</f>
        <v/>
      </c>
      <c r="T3569">
        <f>IF(C3569,(Inputs!$B$38*0.2*N3569)*IF(Inputs!$B$39="pvp",1,1+(Inputs!$B$20+0+Skills!P17+B3587+(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Hunt"),CHOOSE(ArtifactsInput!$N$35+1,15,18,21,24,27,30)*(1-EXP(-(0.2*B3590)*5)),0)+IF(AND(ArtifactsInput!$M$22,Inputs!$B$4&lt;&gt;"Chapter Hunt"),CHOOSE(ArtifactsInput!$N$22+1,10,12,14,16,18,20)*((0*(((0.15*B3590*5))^0/1)+1*(((0.15*B3590*5))^1/1)+2*(((0.15*B3590*5))^2/2)+3*(((0.15*B3590*5))^3/6)+4*(((0.15*B3590*5))^4/24)+5*(((0.15*B3590*5))^5/120))/((((0.15*B3590*5))^0/1)+(((0.15*B3590*5))^1/1)+(((0.15*B3590*5))^2/2)+(((0.15*B3590*5))^3/6)+(((0.15*B3590*5))^4/24)+(((0.15*B3590*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3569*(1-MIN(100,(Inputs!$B$9+((C3578=TRUE)*(F3578-Calc!F26))+B3586+(ArtifactsInput!$M$24-ArtifactsInput!$M$24)*CHOOSE(ArtifactsInput!$N$24+1,10,12,14,16,18,20)+(IF(AND(Inputs!$B$39&lt;&gt;"pvp",Inputs!$B$44=0),1,IF(IF(Inputs!$B$39="pvp",15,Inputs!$B$44)-(B3597)&lt;=0,1,MAX(0,IF(Inputs!$B$39="pvp",15,Inputs!$B$44)-MAX(5,B3597))/(IF(Inputs!$B$39="pvp",15,Inputs!$B$44)-(B3597))))*IF(AND(ArtifactsInput!$M$42,((Inputs!$B$9+((C3578=TRUE)*(F3578-Calc!F26))+B3586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3569*(MIN(100,(Inputs!$B$9+((C3578=TRUE)*(F3578-Calc!F26))+B3586+(ArtifactsInput!$M$24-ArtifactsInput!$M$24)*CHOOSE(ArtifactsInput!$N$24+1,10,12,14,16,18,20)+(IF(AND(Inputs!$B$39&lt;&gt;"pvp",Inputs!$B$44=0),1,IF(IF(Inputs!$B$39="pvp",15,Inputs!$B$44)-(B3597)&lt;=0,1,MAX(0,IF(Inputs!$B$39="pvp",15,Inputs!$B$44)-MAX(5,B3597))/(IF(Inputs!$B$39="pvp",15,Inputs!$B$44)-(B3597))))*IF(AND(ArtifactsInput!$M$42,((Inputs!$B$9+((C3578=TRUE)*(F3578-Calc!F26))+B3586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3569*(1-MIN(100,(Inputs!$B$9+((C3578=TRUE)*(F3578-Calc!F26))+B3586+(ArtifactsInput!$M$24-ArtifactsInput!$M$24)*CHOOSE(ArtifactsInput!$N$24+1,10,12,14,16,18,20)+(IF(AND(Inputs!$B$39&lt;&gt;"pvp",Inputs!$B$44=0),1,IF(IF(Inputs!$B$39="pvp",15,Inputs!$B$44)-(B3597)&lt;=0,1,MAX(0,IF(Inputs!$B$39="pvp",15,Inputs!$B$44)-MAX(5,B3597))/(IF(Inputs!$B$39="pvp",15,Inputs!$B$44)-(B3597))))*IF(AND(ArtifactsInput!$M$42,((Inputs!$B$9+((C3578=TRUE)*(F3578-Calc!F26))+B3586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3569*(MIN(100,(Inputs!$B$9+((C3578=TRUE)*(F3578-Calc!F26))+B3586+(ArtifactsInput!$M$24-ArtifactsInput!$M$24)*CHOOSE(ArtifactsInput!$N$24+1,10,12,14,16,18,20)+(IF(AND(Inputs!$B$39&lt;&gt;"pvp",Inputs!$B$44=0),1,IF(IF(Inputs!$B$39="pvp",15,Inputs!$B$44)-(B3597)&lt;=0,1,MAX(0,IF(Inputs!$B$39="pvp",15,Inputs!$B$44)-MAX(5,B3597))/(IF(Inputs!$B$39="pvp",15,Inputs!$B$44)-(B3597))))*IF(AND(ArtifactsInput!$M$42,((Inputs!$B$9+((C3578=TRUE)*(F3578-Calc!F26))+B3586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3569">
        <f>IF(C3569,(Inputs!$B$38*0.2*N3569)*IF(Inputs!$B$39="pvp",1,(1+(Inputs!$B$21+Skills!Q17+B3587+(IF(ArtifactsInput!$M$33,CHOOSE(ArtifactsInput!$N$33+1,30,36,42,48,54,60),0))+(IF(AND(ArtifactsInput!$M$35,Inputs!$B$4&lt;&gt;"Chapter Hunt"),CHOOSE(ArtifactsInput!$N$35+1,15,18,21,24,27,30)*(1-EXP(-(0.2*B3590)*5)),0)+IF(AND(ArtifactsInput!$M$22,Inputs!$B$4&lt;&gt;"Chapter Hunt"),CHOOSE(ArtifactsInput!$N$22+1,10,12,14,16,18,20)*((0*(((0.15*B3590*5))^0/1)+1*(((0.15*B3590*5))^1/1)+2*(((0.15*B3590*5))^2/2)+3*(((0.15*B3590*5))^3/6)+4*(((0.15*B3590*5))^4/24)+5*(((0.15*B3590*5))^5/120))/((((0.15*B3590*5))^0/1)+(((0.15*B3590*5))^1/1)+(((0.15*B3590*5))^2/2)+(((0.15*B3590*5))^3/6)+(((0.15*B3590*5))^4/24)+(((0.15*B3590*5))^5/120))),0)))/100)*(MIN(Skills!W17,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3570">
      <c r="A3570">
        <f>Skills!A18</f>
        <v/>
      </c>
      <c r="B3570">
        <f>Skills!B18</f>
        <v/>
      </c>
      <c r="C3570">
        <f>Inputs!$B$3&gt;=115</f>
        <v/>
      </c>
      <c r="D3570">
        <f>IF(Skills!C18=1,60+Inputs!$B$25+Inputs!$B$29,IF(Skills!C18=2,90+Inputs!$B$26+Inputs!$B$29,IF(Skills!C18=3,120+Inputs!$B$27+Inputs!$B$29,MAX(0,(Inputs!$B$3-100)*3)+Inputs!$B$28+Inputs!$B$29)))</f>
        <v/>
      </c>
      <c r="E3570">
        <f>INDEX(FactorTable!$B$2:$Y$301, MATCH(ROUND(MIN(300,MAX(1,D3570)),0), FactorTable!$A$2:$A$301,0), Skills!M18+1)</f>
        <v/>
      </c>
      <c r="F3570">
        <f>IF(Skills!N18=TRUE,(Skills!L18/10)*(E3570/1000),Skills!L18/10)+Skills!O18</f>
        <v/>
      </c>
      <c r="G3570">
        <f>Skills!G18*IF(Skills!H18&gt;0,IF(Inputs!$B$39="pvp",MIN(Skills!I18,15),Skills!I18)/Skills!H18,1)</f>
        <v/>
      </c>
      <c r="H3570">
        <f>1-(1-Skills!J18/100)^Skills!K18</f>
        <v/>
      </c>
      <c r="I3570" t="inlineStr">
        <is>
          <t>1</t>
        </is>
      </c>
      <c r="J3570" t="inlineStr"/>
      <c r="K3570" t="inlineStr"/>
      <c r="L3570" t="inlineStr"/>
      <c r="M3570" t="inlineStr"/>
      <c r="N3570" t="inlineStr"/>
      <c r="O3570">
        <f>(1-Summary!$B$11)*T3570+Summary!$B$11*V3570</f>
        <v/>
      </c>
      <c r="P3570">
        <f>IF(B3598=0,0,O3570/B3598)</f>
        <v/>
      </c>
      <c r="Q3570" t="n">
        <v>0</v>
      </c>
      <c r="R3570" t="n">
        <v>0</v>
      </c>
      <c r="S3570">
        <f>IFERROR(O3570/N3570,0)</f>
        <v/>
      </c>
      <c r="T3570" t="n">
        <v>0</v>
      </c>
      <c r="V3570" t="n">
        <v>0</v>
      </c>
    </row>
    <row r="3571">
      <c r="A3571">
        <f>Skills!A19</f>
        <v/>
      </c>
      <c r="B3571">
        <f>Skills!B19</f>
        <v/>
      </c>
      <c r="C3571">
        <f>Inputs!$B$3&gt;=100</f>
        <v/>
      </c>
      <c r="D3571">
        <f>IF(Skills!C19=1,60+Inputs!$B$25+Inputs!$B$29,IF(Skills!C19=2,90+Inputs!$B$26+Inputs!$B$29,IF(Skills!C19=3,120+Inputs!$B$27+Inputs!$B$29,MAX(0,(Inputs!$B$3-100)*3)+Inputs!$B$28+Inputs!$B$29)))</f>
        <v/>
      </c>
      <c r="E3571">
        <f>INDEX(FactorTable!$B$2:$Y$301, MATCH(ROUND(MIN(300,MAX(1,D3571)),0), FactorTable!$A$2:$A$301,0), Skills!M19+1)</f>
        <v/>
      </c>
      <c r="F3571">
        <f>IF(Skills!N19=TRUE,(Skills!L19/10)*(E3571/1000),Skills!L19/10)+Skills!O19</f>
        <v/>
      </c>
      <c r="G3571">
        <f>Skills!G19*IF(Skills!H19&gt;0,IF(Inputs!$B$39="pvp",MIN(Skills!I19,15),Skills!I19)/Skills!H19,1)</f>
        <v/>
      </c>
      <c r="H3571">
        <f>1-(1-Skills!J19/100)^Skills!K19</f>
        <v/>
      </c>
      <c r="I3571" t="inlineStr">
        <is>
          <t>1</t>
        </is>
      </c>
      <c r="J3571" t="inlineStr"/>
      <c r="K3571" t="inlineStr"/>
      <c r="L3571" t="inlineStr"/>
      <c r="M3571" t="inlineStr"/>
      <c r="N3571" t="inlineStr"/>
      <c r="O3571">
        <f>(1-Summary!$B$11)*T3571+Summary!$B$11*V3571</f>
        <v/>
      </c>
      <c r="P3571">
        <f>IF(B3598=0,0,O3571/B3598)</f>
        <v/>
      </c>
      <c r="Q3571" t="n">
        <v>0</v>
      </c>
      <c r="R3571" t="n">
        <v>0</v>
      </c>
      <c r="S3571">
        <f>IFERROR(O3571/N3571,0)</f>
        <v/>
      </c>
      <c r="T3571" t="n">
        <v>0</v>
      </c>
      <c r="V3571" t="n">
        <v>0</v>
      </c>
    </row>
    <row r="3572">
      <c r="A3572">
        <f>Skills!A20</f>
        <v/>
      </c>
      <c r="B3572">
        <f>Skills!B20</f>
        <v/>
      </c>
      <c r="C3572">
        <f>TRUE</f>
        <v/>
      </c>
      <c r="D3572">
        <f>IF(Skills!C20=1,60+Inputs!$B$25+Inputs!$B$29,IF(Skills!C20=2,90+Inputs!$B$26+Inputs!$B$29,IF(Skills!C20=3,120+Inputs!$B$27+Inputs!$B$29,MAX(0,(Inputs!$B$3-100)*3)+Inputs!$B$28+Inputs!$B$29)))</f>
        <v/>
      </c>
      <c r="E3572">
        <f>INDEX(FactorTable!$B$2:$Y$301, MATCH(ROUND(MIN(300,MAX(1,D3572)),0), FactorTable!$A$2:$A$301,0), Skills!M20+1)</f>
        <v/>
      </c>
      <c r="F3572">
        <f>IF(Skills!N20=TRUE,(Skills!L20/10)*(E3572/1000),Skills!L20/10)+Skills!O20</f>
        <v/>
      </c>
      <c r="G3572">
        <f>Skills!G20*IF(Skills!H20&gt;0,IF(Inputs!$B$39="pvp",MIN(Skills!I20,15),Skills!I20)/Skills!H20,1)</f>
        <v/>
      </c>
      <c r="H3572">
        <f>1-(1-Skills!J20/100)^Skills!K20</f>
        <v/>
      </c>
      <c r="I3572" t="inlineStr">
        <is>
          <t>1</t>
        </is>
      </c>
      <c r="J3572" t="inlineStr"/>
      <c r="K3572" t="inlineStr"/>
      <c r="L3572" t="inlineStr"/>
      <c r="M3572" t="inlineStr"/>
      <c r="N3572" t="inlineStr"/>
      <c r="O3572">
        <f>(1-Summary!$B$11)*T3572+Summary!$B$11*V3572</f>
        <v/>
      </c>
      <c r="P3572">
        <f>IF(B3598=0,0,O3572/B3598)</f>
        <v/>
      </c>
      <c r="Q3572">
        <f>IFERROR(1/IF(Inputs!$B$39="pvp",15,MAX(0.1,Skills!D20-IF(TRUE=TRUE,3.0,0))),0)</f>
        <v/>
      </c>
      <c r="R3572">
        <f>IF(AND(Inputs!$B$39&lt;&gt;"pvp",Inputs!$B$44&gt;0),IF(Inputs!$B$44&lt;=0,0,(INT(Inputs!$B$44/IF(Inputs!$B$39="pvp",15,MAX(0.1,Skills!D20-IF(TRUE=TRUE,3.0,0))))+1)),0)</f>
        <v/>
      </c>
      <c r="S3572">
        <f>IFERROR(O3572/N3572,0)</f>
        <v/>
      </c>
      <c r="T3572" t="n">
        <v>0</v>
      </c>
      <c r="V3572" t="n">
        <v>0</v>
      </c>
    </row>
    <row r="3573">
      <c r="A3573">
        <f>Skills!A21</f>
        <v/>
      </c>
      <c r="B3573">
        <f>Skills!B21</f>
        <v/>
      </c>
      <c r="C3573">
        <f>Inputs!$B$3&gt;=15</f>
        <v/>
      </c>
      <c r="D3573">
        <f>IF(Skills!C21=1,60+Inputs!$B$25+Inputs!$B$29,IF(Skills!C21=2,90+Inputs!$B$26+Inputs!$B$29,IF(Skills!C21=3,120+Inputs!$B$27+Inputs!$B$29,MAX(0,(Inputs!$B$3-100)*3)+Inputs!$B$28+Inputs!$B$29)))</f>
        <v/>
      </c>
      <c r="E3573">
        <f>INDEX(FactorTable!$B$2:$Y$301, MATCH(ROUND(MIN(300,MAX(1,D3573)),0), FactorTable!$A$2:$A$301,0), Skills!M21+1)</f>
        <v/>
      </c>
      <c r="F3573">
        <f>IF(Skills!N21=TRUE,(Skills!L21/10)*(E3573/1000),Skills!L21/10)+Skills!O21</f>
        <v/>
      </c>
      <c r="G3573">
        <f>Skills!G21*IF(Skills!H21&gt;0,IF(Inputs!$B$39="pvp",MIN(Skills!I21,15),Skills!I21)/Skills!H21,1)</f>
        <v/>
      </c>
      <c r="H3573">
        <f>1-(1-Skills!J21/100)^Skills!K21</f>
        <v/>
      </c>
      <c r="I3573" t="inlineStr">
        <is>
          <t>1</t>
        </is>
      </c>
      <c r="J3573" t="inlineStr"/>
      <c r="K3573" t="inlineStr"/>
      <c r="L3573" t="inlineStr"/>
      <c r="M3573" t="inlineStr"/>
      <c r="N3573" t="inlineStr"/>
      <c r="O3573">
        <f>(1-Summary!$B$11)*T3573+Summary!$B$11*V3573</f>
        <v/>
      </c>
      <c r="P3573">
        <f>IF(B3598=0,0,O3573/B3598)</f>
        <v/>
      </c>
      <c r="Q3573">
        <f>IFERROR(1/IF(Inputs!$B$39="pvp",15,MAX(0.1,Skills!D21-IF(TRUE=TRUE,3.0,0))),0)</f>
        <v/>
      </c>
      <c r="R3573">
        <f>IF(AND(Inputs!$B$39&lt;&gt;"pvp",Inputs!$B$44&gt;0),IF(Inputs!$B$44&lt;=0,0,(INT(Inputs!$B$44/IF(Inputs!$B$39="pvp",15,MAX(0.1,Skills!D21-IF(TRUE=TRUE,3.0,0))))+1)),0)</f>
        <v/>
      </c>
      <c r="S3573">
        <f>IFERROR(O3573/N3573,0)</f>
        <v/>
      </c>
      <c r="T3573" t="n">
        <v>0</v>
      </c>
      <c r="V3573" t="n">
        <v>0</v>
      </c>
    </row>
    <row r="3574">
      <c r="A3574">
        <f>Skills!A22</f>
        <v/>
      </c>
      <c r="B3574">
        <f>Skills!B22</f>
        <v/>
      </c>
      <c r="C3574">
        <f>Inputs!$B$3&gt;=15</f>
        <v/>
      </c>
      <c r="D3574">
        <f>IF(Skills!C22=1,60+Inputs!$B$25+Inputs!$B$29,IF(Skills!C22=2,90+Inputs!$B$26+Inputs!$B$29,IF(Skills!C22=3,120+Inputs!$B$27+Inputs!$B$29,MAX(0,(Inputs!$B$3-100)*3)+Inputs!$B$28+Inputs!$B$29)))</f>
        <v/>
      </c>
      <c r="E3574">
        <f>INDEX(FactorTable!$B$2:$Y$301, MATCH(ROUND(MIN(300,MAX(1,D3574)),0), FactorTable!$A$2:$A$301,0), Skills!M22+1)</f>
        <v/>
      </c>
      <c r="F3574">
        <f>IF(Skills!N22=TRUE,(Skills!L22/10)*(E3574/1000),Skills!L22/10)+Skills!O22</f>
        <v/>
      </c>
      <c r="G3574">
        <f>Skills!G22*IF(Skills!H22&gt;0,IF(Inputs!$B$39="pvp",MIN(Skills!I22,15),Skills!I22)/Skills!H22,1)</f>
        <v/>
      </c>
      <c r="H3574">
        <f>1-(1-Skills!J22/100)^Skills!K22</f>
        <v/>
      </c>
      <c r="I3574" t="inlineStr">
        <is>
          <t>1</t>
        </is>
      </c>
      <c r="J3574" t="inlineStr"/>
      <c r="K3574" t="inlineStr"/>
      <c r="L3574" t="inlineStr"/>
      <c r="M3574" t="inlineStr"/>
      <c r="N3574" t="inlineStr"/>
      <c r="O3574">
        <f>(1-Summary!$B$11)*T3574+Summary!$B$11*V3574</f>
        <v/>
      </c>
      <c r="P3574">
        <f>IF(B3598=0,0,O3574/B3598)</f>
        <v/>
      </c>
      <c r="Q3574">
        <f>IFERROR(1/IF(Inputs!$B$39="pvp",15,MAX(0.1,Skills!D22-IF(TRUE=TRUE,3.0,0))),0)</f>
        <v/>
      </c>
      <c r="R3574">
        <f>IF(AND(Inputs!$B$39&lt;&gt;"pvp",Inputs!$B$44&gt;0),IF(Inputs!$B$44&lt;=0,0,(INT(Inputs!$B$44/IF(Inputs!$B$39="pvp",15,MAX(0.1,Skills!D22-IF(TRUE=TRUE,3.0,0))))+1)),0)</f>
        <v/>
      </c>
      <c r="S3574">
        <f>IFERROR(O3574/N3574,0)</f>
        <v/>
      </c>
      <c r="T3574" t="n">
        <v>0</v>
      </c>
      <c r="V3574" t="n">
        <v>0</v>
      </c>
    </row>
    <row r="3575">
      <c r="A3575">
        <f>Skills!A23</f>
        <v/>
      </c>
      <c r="B3575">
        <f>Skills!B23</f>
        <v/>
      </c>
      <c r="C3575">
        <f>Inputs!$B$3&gt;=33</f>
        <v/>
      </c>
      <c r="D3575">
        <f>IF(Skills!C23=1,60+Inputs!$B$25+Inputs!$B$29,IF(Skills!C23=2,90+Inputs!$B$26+Inputs!$B$29,IF(Skills!C23=3,120+Inputs!$B$27+Inputs!$B$29,MAX(0,(Inputs!$B$3-100)*3)+Inputs!$B$28+Inputs!$B$29)))</f>
        <v/>
      </c>
      <c r="E3575">
        <f>INDEX(FactorTable!$B$2:$Y$301, MATCH(ROUND(MIN(300,MAX(1,D3575)),0), FactorTable!$A$2:$A$301,0), Skills!M23+1)</f>
        <v/>
      </c>
      <c r="F3575">
        <f>IF(Skills!N23=TRUE,(Skills!L23/10)*(E3575/1000),Skills!L23/10)+Skills!O23</f>
        <v/>
      </c>
      <c r="G3575">
        <f>Skills!G23*IF(Skills!H23&gt;0,IF(Inputs!$B$39="pvp",MIN(Skills!I23,15),Skills!I23)/Skills!H23,1)</f>
        <v/>
      </c>
      <c r="H3575">
        <f>1-(1-Skills!J23/100)^Skills!K23</f>
        <v/>
      </c>
      <c r="I3575" t="inlineStr">
        <is>
          <t>1</t>
        </is>
      </c>
      <c r="J3575" t="inlineStr"/>
      <c r="K3575" t="inlineStr"/>
      <c r="L3575" t="inlineStr"/>
      <c r="M3575" t="inlineStr"/>
      <c r="N3575" t="inlineStr"/>
      <c r="O3575">
        <f>(1-Summary!$B$11)*T3575+Summary!$B$11*V3575</f>
        <v/>
      </c>
      <c r="P3575">
        <f>IF(B3598=0,0,O3575/B3598)</f>
        <v/>
      </c>
      <c r="Q3575" t="n">
        <v>0</v>
      </c>
      <c r="R3575" t="n">
        <v>0</v>
      </c>
      <c r="S3575">
        <f>IFERROR(O3575/N3575,0)</f>
        <v/>
      </c>
      <c r="T3575" t="n">
        <v>0</v>
      </c>
      <c r="V3575" t="n">
        <v>0</v>
      </c>
    </row>
    <row r="3576">
      <c r="A3576">
        <f>Skills!A24</f>
        <v/>
      </c>
      <c r="B3576">
        <f>Skills!B24</f>
        <v/>
      </c>
      <c r="C3576">
        <f>Inputs!$B$3&gt;=40</f>
        <v/>
      </c>
      <c r="D3576">
        <f>IF(Skills!C24=1,60+Inputs!$B$25+Inputs!$B$29,IF(Skills!C24=2,90+Inputs!$B$26+Inputs!$B$29,IF(Skills!C24=3,120+Inputs!$B$27+Inputs!$B$29,MAX(0,(Inputs!$B$3-100)*3)+Inputs!$B$28+Inputs!$B$29)))</f>
        <v/>
      </c>
      <c r="E3576">
        <f>INDEX(FactorTable!$B$2:$Y$301, MATCH(ROUND(MIN(300,MAX(1,D3576)),0), FactorTable!$A$2:$A$301,0), Skills!M24+1)</f>
        <v/>
      </c>
      <c r="F3576">
        <f>IF(Skills!N24=TRUE,(Skills!L24/10)*(E3576/1000),Skills!L24/10)+Skills!O24</f>
        <v/>
      </c>
      <c r="G3576">
        <f>Skills!G24*IF(Skills!H24&gt;0,IF(Inputs!$B$39="pvp",MIN(Skills!I24,15),Skills!I24)/Skills!H24,1)</f>
        <v/>
      </c>
      <c r="H3576">
        <f>1-(1-Skills!J24/100)^Skills!K24</f>
        <v/>
      </c>
      <c r="I3576" t="inlineStr">
        <is>
          <t>1</t>
        </is>
      </c>
      <c r="J3576" t="inlineStr"/>
      <c r="K3576" t="inlineStr"/>
      <c r="L3576" t="inlineStr"/>
      <c r="M3576" t="inlineStr"/>
      <c r="N3576" t="inlineStr"/>
      <c r="O3576">
        <f>(1-Summary!$B$11)*T3576+Summary!$B$11*V3576</f>
        <v/>
      </c>
      <c r="P3576">
        <f>IF(B3598=0,0,O3576/B3598)</f>
        <v/>
      </c>
      <c r="Q3576" t="n">
        <v>0</v>
      </c>
      <c r="R3576" t="n">
        <v>0</v>
      </c>
      <c r="S3576">
        <f>IFERROR(O3576/N3576,0)</f>
        <v/>
      </c>
      <c r="T3576" t="n">
        <v>0</v>
      </c>
      <c r="V3576" t="n">
        <v>0</v>
      </c>
    </row>
    <row r="3577">
      <c r="A3577">
        <f>Skills!A25</f>
        <v/>
      </c>
      <c r="B3577">
        <f>Skills!B25</f>
        <v/>
      </c>
      <c r="C3577">
        <f>Inputs!$B$3&gt;=43</f>
        <v/>
      </c>
      <c r="D3577">
        <f>IF(Skills!C25=1,60+Inputs!$B$25+Inputs!$B$29,IF(Skills!C25=2,90+Inputs!$B$26+Inputs!$B$29,IF(Skills!C25=3,120+Inputs!$B$27+Inputs!$B$29,MAX(0,(Inputs!$B$3-100)*3)+Inputs!$B$28+Inputs!$B$29)))</f>
        <v/>
      </c>
      <c r="E3577">
        <f>INDEX(FactorTable!$B$2:$Y$301, MATCH(ROUND(MIN(300,MAX(1,D3577)),0), FactorTable!$A$2:$A$301,0), Skills!M25+1)</f>
        <v/>
      </c>
      <c r="F3577">
        <f>IF(Skills!N25=TRUE,(Skills!L25/10)*(E3577/1000),Skills!L25/10)+Skills!O25</f>
        <v/>
      </c>
      <c r="G3577">
        <f>Skills!G25*IF(Skills!H25&gt;0,IF(Inputs!$B$39="pvp",MIN(Skills!I25,15),Skills!I25)/Skills!H25,1)</f>
        <v/>
      </c>
      <c r="H3577">
        <f>1-(1-Skills!J25/100)^Skills!K25</f>
        <v/>
      </c>
      <c r="I3577" t="inlineStr">
        <is>
          <t>1</t>
        </is>
      </c>
      <c r="J3577" t="inlineStr"/>
      <c r="K3577" t="inlineStr"/>
      <c r="L3577" t="inlineStr"/>
      <c r="M3577" t="inlineStr"/>
      <c r="N3577" t="inlineStr"/>
      <c r="O3577">
        <f>(1-Summary!$B$11)*T3577+Summary!$B$11*V3577</f>
        <v/>
      </c>
      <c r="P3577">
        <f>IF(B3598=0,0,O3577/B3598)</f>
        <v/>
      </c>
      <c r="Q3577" t="n">
        <v>0</v>
      </c>
      <c r="R3577" t="n">
        <v>0</v>
      </c>
      <c r="S3577">
        <f>IFERROR(O3577/N3577,0)</f>
        <v/>
      </c>
      <c r="T3577" t="n">
        <v>0</v>
      </c>
      <c r="V3577" t="n">
        <v>0</v>
      </c>
    </row>
    <row r="3578">
      <c r="A3578">
        <f>Skills!A26</f>
        <v/>
      </c>
      <c r="B3578">
        <f>Skills!B26</f>
        <v/>
      </c>
      <c r="C3578">
        <f>Inputs!$B$3&gt;=50</f>
        <v/>
      </c>
      <c r="D3578">
        <f>IF(Skills!C26=1,60+Inputs!$B$25+Inputs!$B$29,IF(Skills!C26=2,90+Inputs!$B$26+Inputs!$B$29,IF(Skills!C26=3,120+Inputs!$B$27+Inputs!$B$29,MAX(0,(Inputs!$B$3-100)*3)+Inputs!$B$28+Inputs!$B$29)))</f>
        <v/>
      </c>
      <c r="E3578">
        <f>INDEX(FactorTable!$B$2:$Y$301, MATCH(ROUND(MIN(300,MAX(1,D3578)),0), FactorTable!$A$2:$A$301,0), Skills!M26+1)</f>
        <v/>
      </c>
      <c r="F3578">
        <f>IF(Skills!N26=TRUE,(Skills!L26/10)*(E3578/1000),Skills!L26/10)+Skills!O26</f>
        <v/>
      </c>
      <c r="G3578">
        <f>Skills!G26*IF(Skills!H26&gt;0,IF(Inputs!$B$39="pvp",MIN(Skills!I26,15),Skills!I26)/Skills!H26,1)</f>
        <v/>
      </c>
      <c r="H3578">
        <f>1-(1-Skills!J26/100)^Skills!K26</f>
        <v/>
      </c>
      <c r="I3578" t="inlineStr">
        <is>
          <t>1</t>
        </is>
      </c>
      <c r="J3578" t="inlineStr"/>
      <c r="K3578" t="inlineStr"/>
      <c r="L3578" t="inlineStr"/>
      <c r="M3578" t="inlineStr"/>
      <c r="N3578" t="inlineStr"/>
      <c r="O3578">
        <f>(1-Summary!$B$11)*T3578+Summary!$B$11*V3578</f>
        <v/>
      </c>
      <c r="P3578">
        <f>IF(B3598=0,0,O3578/B3598)</f>
        <v/>
      </c>
      <c r="Q3578" t="n">
        <v>0</v>
      </c>
      <c r="R3578" t="n">
        <v>0</v>
      </c>
      <c r="S3578">
        <f>IFERROR(O3578/N3578,0)</f>
        <v/>
      </c>
      <c r="T3578" t="n">
        <v>0</v>
      </c>
      <c r="V3578" t="n">
        <v>0</v>
      </c>
    </row>
    <row r="3579">
      <c r="A3579">
        <f>Skills!A27</f>
        <v/>
      </c>
      <c r="B3579">
        <f>Skills!B27</f>
        <v/>
      </c>
      <c r="C3579">
        <f>Inputs!$B$3&gt;=50</f>
        <v/>
      </c>
      <c r="D3579">
        <f>IF(Skills!C27=1,60+Inputs!$B$25+Inputs!$B$29,IF(Skills!C27=2,90+Inputs!$B$26+Inputs!$B$29,IF(Skills!C27=3,120+Inputs!$B$27+Inputs!$B$29,MAX(0,(Inputs!$B$3-100)*3)+Inputs!$B$28+Inputs!$B$29)))</f>
        <v/>
      </c>
      <c r="E3579">
        <f>INDEX(FactorTable!$B$2:$Y$301, MATCH(ROUND(MIN(300,MAX(1,D3579)),0), FactorTable!$A$2:$A$301,0), Skills!M27+1)</f>
        <v/>
      </c>
      <c r="F3579">
        <f>IF(Skills!N27=TRUE,(Skills!L27/10)*(E3579/1000),Skills!L27/10)+Skills!O27</f>
        <v/>
      </c>
      <c r="G3579">
        <f>Skills!G27*IF(Skills!H27&gt;0,IF(Inputs!$B$39="pvp",MIN(Skills!I27,15),Skills!I27)/Skills!H27,1)</f>
        <v/>
      </c>
      <c r="H3579">
        <f>1-(1-Skills!J27/100)^Skills!K27</f>
        <v/>
      </c>
      <c r="I3579" t="inlineStr">
        <is>
          <t>1</t>
        </is>
      </c>
      <c r="J3579" t="inlineStr"/>
      <c r="K3579" t="inlineStr"/>
      <c r="L3579" t="inlineStr"/>
      <c r="M3579" t="inlineStr"/>
      <c r="N3579" t="inlineStr"/>
      <c r="O3579">
        <f>(1-Summary!$B$11)*T3579+Summary!$B$11*V3579</f>
        <v/>
      </c>
      <c r="P3579">
        <f>IF(B3598=0,0,O3579/B3598)</f>
        <v/>
      </c>
      <c r="Q3579" t="n">
        <v>0</v>
      </c>
      <c r="R3579" t="n">
        <v>0</v>
      </c>
      <c r="S3579">
        <f>IFERROR(O3579/N3579,0)</f>
        <v/>
      </c>
      <c r="T3579" t="n">
        <v>0</v>
      </c>
      <c r="V3579" t="n">
        <v>0</v>
      </c>
    </row>
    <row r="3580">
      <c r="A3580">
        <f>Skills!A28</f>
        <v/>
      </c>
      <c r="B3580">
        <f>Skills!B28</f>
        <v/>
      </c>
      <c r="C3580">
        <f>Inputs!$B$3&gt;=38</f>
        <v/>
      </c>
      <c r="D3580">
        <f>IF(Skills!C28=1,60+Inputs!$B$25+Inputs!$B$29,IF(Skills!C28=2,90+Inputs!$B$26+Inputs!$B$29,IF(Skills!C28=3,120+Inputs!$B$27+Inputs!$B$29,MAX(0,(Inputs!$B$3-100)*3)+Inputs!$B$28+Inputs!$B$29)))</f>
        <v/>
      </c>
      <c r="E3580">
        <f>INDEX(FactorTable!$B$2:$Y$301, MATCH(ROUND(MIN(300,MAX(1,D3580)),0), FactorTable!$A$2:$A$301,0), Skills!M28+1)</f>
        <v/>
      </c>
      <c r="F3580">
        <f>IF(Skills!N28=TRUE,(Skills!L28/10)*(E3580/1000),Skills!L28/10)+Skills!O28</f>
        <v/>
      </c>
      <c r="G3580">
        <f>Skills!G28*IF(Skills!H28&gt;0,IF(Inputs!$B$39="pvp",MIN(Skills!I28,15),Skills!I28)/Skills!H28,1)</f>
        <v/>
      </c>
      <c r="H3580">
        <f>1-(1-Skills!J28/100)^Skills!K28</f>
        <v/>
      </c>
      <c r="I3580" t="inlineStr">
        <is>
          <t>1</t>
        </is>
      </c>
      <c r="J3580" t="inlineStr"/>
      <c r="K3580" t="inlineStr"/>
      <c r="L3580" t="inlineStr"/>
      <c r="M3580" t="inlineStr"/>
      <c r="N3580" t="inlineStr"/>
      <c r="O3580">
        <f>(1-Summary!$B$11)*T3580+Summary!$B$11*V3580</f>
        <v/>
      </c>
      <c r="P3580">
        <f>IF(B3598=0,0,O3580/B3598)</f>
        <v/>
      </c>
      <c r="Q3580" t="n">
        <v>0</v>
      </c>
      <c r="R3580" t="n">
        <v>0</v>
      </c>
      <c r="S3580">
        <f>IFERROR(O3580/N3580,0)</f>
        <v/>
      </c>
      <c r="T3580" t="n">
        <v>0</v>
      </c>
      <c r="V3580" t="n">
        <v>0</v>
      </c>
    </row>
    <row r="3581">
      <c r="A3581">
        <f>Skills!A29</f>
        <v/>
      </c>
      <c r="B3581">
        <f>Skills!B29</f>
        <v/>
      </c>
      <c r="C3581">
        <f>Inputs!$B$3&gt;=120</f>
        <v/>
      </c>
      <c r="D3581">
        <f>IF(Skills!C29=1,60+Inputs!$B$25+Inputs!$B$29,IF(Skills!C29=2,90+Inputs!$B$26+Inputs!$B$29,IF(Skills!C29=3,120+Inputs!$B$27+Inputs!$B$29,MAX(0,(Inputs!$B$3-100)*3)+Inputs!$B$28+Inputs!$B$29)))</f>
        <v/>
      </c>
      <c r="E3581">
        <f>INDEX(FactorTable!$B$2:$Y$301, MATCH(ROUND(MIN(300,MAX(1,D3581)),0), FactorTable!$A$2:$A$301,0), Skills!M29+1)</f>
        <v/>
      </c>
      <c r="F3581">
        <f>IF(Skills!N29=TRUE,(Skills!L29/10)*(E3581/1000),Skills!L29/10)+Skills!O29</f>
        <v/>
      </c>
      <c r="G3581">
        <f>Skills!G29*IF(Skills!H29&gt;0,IF(Inputs!$B$39="pvp",MIN(Skills!I29,15),Skills!I29)/Skills!H29,1)</f>
        <v/>
      </c>
      <c r="H3581">
        <f>1-(1-Skills!J29/100)^Skills!K29</f>
        <v/>
      </c>
      <c r="I3581" t="inlineStr">
        <is>
          <t>1</t>
        </is>
      </c>
      <c r="J3581" t="inlineStr"/>
      <c r="K3581" t="inlineStr"/>
      <c r="L3581" t="inlineStr"/>
      <c r="M3581" t="inlineStr"/>
      <c r="N3581" t="inlineStr"/>
      <c r="O3581">
        <f>(1-Summary!$B$11)*T3581+Summary!$B$11*V3581</f>
        <v/>
      </c>
      <c r="P3581">
        <f>IF(B3598=0,0,O3581/B3598)</f>
        <v/>
      </c>
      <c r="Q3581" t="n">
        <v>0</v>
      </c>
      <c r="R3581" t="n">
        <v>0</v>
      </c>
      <c r="S3581">
        <f>IFERROR(O3581/N3581,0)</f>
        <v/>
      </c>
      <c r="T3581" t="n">
        <v>0</v>
      </c>
      <c r="V3581" t="n">
        <v>0</v>
      </c>
    </row>
    <row r="3582">
      <c r="A3582">
        <f>Skills!A30</f>
        <v/>
      </c>
      <c r="B3582">
        <f>Skills!B30</f>
        <v/>
      </c>
      <c r="C3582">
        <f>Inputs!$B$3&gt;=120</f>
        <v/>
      </c>
      <c r="D3582">
        <f>IF(Skills!C30=1,60+Inputs!$B$25+Inputs!$B$29,IF(Skills!C30=2,90+Inputs!$B$26+Inputs!$B$29,IF(Skills!C30=3,120+Inputs!$B$27+Inputs!$B$29,MAX(0,(Inputs!$B$3-100)*3)+Inputs!$B$28+Inputs!$B$29)))</f>
        <v/>
      </c>
      <c r="E3582">
        <f>INDEX(FactorTable!$B$2:$Y$301, MATCH(ROUND(MIN(300,MAX(1,D3582)),0), FactorTable!$A$2:$A$301,0), Skills!M30+1)</f>
        <v/>
      </c>
      <c r="F3582">
        <f>IF(Skills!N30=TRUE,(Skills!L30/10)*(E3582/1000),Skills!L30/10)+Skills!O30</f>
        <v/>
      </c>
      <c r="G3582">
        <f>Skills!G30*IF(Skills!H30&gt;0,IF(Inputs!$B$39="pvp",MIN(Skills!I30,15),Skills!I30)/Skills!H30,1)</f>
        <v/>
      </c>
      <c r="H3582">
        <f>1-(1-Skills!J30/100)^Skills!K30</f>
        <v/>
      </c>
      <c r="I3582" t="inlineStr">
        <is>
          <t>1</t>
        </is>
      </c>
      <c r="J3582" t="inlineStr"/>
      <c r="K3582" t="inlineStr"/>
      <c r="L3582" t="inlineStr"/>
      <c r="M3582" t="inlineStr"/>
      <c r="N3582" t="inlineStr"/>
      <c r="O3582">
        <f>(1-Summary!$B$11)*T3582+Summary!$B$11*V3582</f>
        <v/>
      </c>
      <c r="P3582">
        <f>IF(B3598=0,0,O3582/B3598)</f>
        <v/>
      </c>
      <c r="Q3582" t="n">
        <v>0</v>
      </c>
      <c r="R3582" t="n">
        <v>0</v>
      </c>
      <c r="S3582">
        <f>IFERROR(O3582/N3582,0)</f>
        <v/>
      </c>
      <c r="T3582" t="n">
        <v>0</v>
      </c>
      <c r="V3582" t="n">
        <v>0</v>
      </c>
    </row>
    <row r="3583">
      <c r="A3583">
        <f>Skills!A31</f>
        <v/>
      </c>
      <c r="B3583">
        <f>Skills!B31</f>
        <v/>
      </c>
      <c r="C3583">
        <f>Inputs!$B$3&gt;=125</f>
        <v/>
      </c>
      <c r="D3583">
        <f>IF(Skills!C31=1,60+Inputs!$B$25+Inputs!$B$29,IF(Skills!C31=2,90+Inputs!$B$26+Inputs!$B$29,IF(Skills!C31=3,120+Inputs!$B$27+Inputs!$B$29,MAX(0,(Inputs!$B$3-100)*3)+Inputs!$B$28+Inputs!$B$29)))</f>
        <v/>
      </c>
      <c r="E3583">
        <f>INDEX(FactorTable!$B$2:$Y$301, MATCH(ROUND(MIN(300,MAX(1,D3583)),0), FactorTable!$A$2:$A$301,0), Skills!M31+1)</f>
        <v/>
      </c>
      <c r="F3583">
        <f>IF(Skills!N31=TRUE,(Skills!L31/10)*(E3583/1000),Skills!L31/10)+Skills!O31</f>
        <v/>
      </c>
      <c r="G3583">
        <f>Skills!G31*IF(Skills!H31&gt;0,IF(Inputs!$B$39="pvp",MIN(Skills!I31,15),Skills!I31)/Skills!H31,1)</f>
        <v/>
      </c>
      <c r="H3583">
        <f>1-(1-Skills!J31/100)^Skills!K31</f>
        <v/>
      </c>
      <c r="I3583" t="inlineStr">
        <is>
          <t>1</t>
        </is>
      </c>
      <c r="J3583" t="inlineStr"/>
      <c r="K3583" t="inlineStr"/>
      <c r="L3583" t="inlineStr"/>
      <c r="M3583" t="inlineStr"/>
      <c r="N3583" t="inlineStr"/>
      <c r="O3583">
        <f>(1-Summary!$B$11)*T3583+Summary!$B$11*V3583</f>
        <v/>
      </c>
      <c r="P3583">
        <f>IF(B3598=0,0,O3583/B3598)</f>
        <v/>
      </c>
      <c r="Q3583" t="n">
        <v>0</v>
      </c>
      <c r="R3583" t="n">
        <v>0</v>
      </c>
      <c r="S3583">
        <f>IFERROR(O3583/N3583,0)</f>
        <v/>
      </c>
      <c r="T3583" t="n">
        <v>0</v>
      </c>
      <c r="V3583" t="n">
        <v>0</v>
      </c>
    </row>
    <row r="3585">
      <c r="A3585" t="inlineStr">
        <is>
          <t>Average Buff Multiplier</t>
        </is>
      </c>
      <c r="B3585">
        <f>(1+(((C3574=TRUE)*F3574*IF(AND(Inputs!$B$39&lt;&gt;"pvp",Inputs!$B$44&gt;0),(((R3574-1)*MIN((Skills!Y22*(1+Inputs!$B$34/100)),(1/Q3574))+MIN((Skills!Y22*(1+Inputs!$B$34/100)),MAX(0,Inputs!$B$44-((R3574-1)*(1/Q3574)))))/Inputs!$B$44),IF(Inputs!$B$39="pvp",MIN((Skills!Y22*(1+Inputs!$B$34/100)),15)/15,MIN(1,(Skills!Y22*(1+Inputs!$B$34/100))/(1/Q3574)))))+((C3555=TRUE)*F3555*3)+((C3557=TRUE)*F3557*(1-EXP(-0.75*B3590*5)))+((C3576=TRUE)*(F3576-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3563=TRUE)*F3563*IF(AND(Inputs!$B$39&lt;&gt;"pvp",Inputs!$B$44&gt;0),(((R3563-1)*MIN((Skills!Y11*(1+Inputs!$B$34/100)),(1/Q3563))+MIN((Skills!Y11*(1+Inputs!$B$34/100)),MAX(0,Inputs!$B$44-((R3563-1)*(1/Q3563)))))/Inputs!$B$44),IF(Inputs!$B$39="pvp",MIN((Skills!Y11*(1+Inputs!$B$34/100)),15)/15,MIN(1,(Skills!Y11*(1+Inputs!$B$34/100))/(1/Q3563)))))/100)*(1+((C3568=TRUE)*F3568*IF(AND(Inputs!$B$39&lt;&gt;"pvp",Inputs!$B$44&gt;0),(((R3568-1)*MIN((Skills!Y16*(1+Inputs!$B$34/100)),(1/Q3568))+MIN((Skills!Y16*(1+Inputs!$B$34/100)),MAX(0,Inputs!$B$44-((R3568-1)*(1/Q3568)))))/Inputs!$B$44),IF(Inputs!$B$39="pvp",MIN((Skills!Y16*(1+Inputs!$B$34/100)),15)/15,MIN(1,(Skills!Y16*(1+Inputs!$B$34/100))/(1/Q3568)))))/100)</f>
        <v/>
      </c>
    </row>
    <row r="3586">
      <c r="A3586" t="inlineStr">
        <is>
          <t>Global Crit Rate Bonus %</t>
        </is>
      </c>
      <c r="B3586">
        <f>((C3573=TRUE)*F3573*IF(AND(Inputs!$B$39&lt;&gt;"pvp",Inputs!$B$44&gt;0),(((R3573-1)*MIN((Skills!Y21*(1+Inputs!$B$34/100)),(1/Q3573))+MIN((Skills!Y21*(1+Inputs!$B$34/100)),MAX(0,Inputs!$B$44-((R3573-1)*(1/Q3573)))))/Inputs!$B$44),IF(Inputs!$B$39="pvp",MIN((Skills!Y21*(1+Inputs!$B$34/100)),15)/15,MIN(1,(Skills!Y21*(1+Inputs!$B$34/100))/(1/Q3573)))))</f>
        <v/>
      </c>
    </row>
    <row r="3587">
      <c r="A3587" t="inlineStr">
        <is>
          <t>Global Monster Damage-Taken Bonus %</t>
        </is>
      </c>
      <c r="B3587">
        <f>IF(Inputs!$B$3&gt;=82,15,0)</f>
        <v/>
      </c>
    </row>
    <row r="3588">
      <c r="A3588" t="inlineStr">
        <is>
          <t>Shadow Partner Average Multiplier</t>
        </is>
      </c>
      <c r="B3588">
        <f>1+((C3560=TRUE)*F3560*(1+3.3333333333333335*IF(C3571=TRUE,F3571,0)/100)*I3560*Skills!J8/100)/100</f>
        <v/>
      </c>
    </row>
    <row r="3589">
      <c r="A3589" t="inlineStr">
        <is>
          <t>Attack Speed Buff Bonus %</t>
        </is>
      </c>
      <c r="B3589">
        <f>((C3572=TRUE)*F3572*IF(AND(Inputs!$B$39&lt;&gt;"pvp",Inputs!$B$44&gt;0),(((R3572-1)*MIN((Skills!Y20*(1+Inputs!$B$34/100)),(1/Q3572))+MIN((Skills!Y20*(1+Inputs!$B$34/100)),MAX(0,Inputs!$B$44-((R3572-1)*(1/Q3572)))))/Inputs!$B$44),IF(Inputs!$B$39="pvp",MIN((Skills!Y20*(1+Inputs!$B$34/100)),15)/15,MIN(1,(Skills!Y20*(1+Inputs!$B$34/100))/(1/Q3572)))))</f>
        <v/>
      </c>
    </row>
    <row r="3590">
      <c r="A3590" t="inlineStr">
        <is>
          <t>Actions Per Second</t>
        </is>
      </c>
      <c r="B3590">
        <f>1+MIN(150,150*(1-(1-(Inputs!$B$11+((C3575=TRUE)*(F3575-Calc!F23)))/150)*(1-B3589/150)))/100</f>
        <v/>
      </c>
    </row>
    <row r="3591">
      <c r="A3591" t="inlineStr">
        <is>
          <t>Skill + Buff Cast Rate</t>
        </is>
      </c>
      <c r="B3591">
        <f>IF(AND(Inputs!$B$39&lt;&gt;"pvp",Inputs!$B$44&gt;0),SUMPRODUCT((Skills!E2:E31=TRUE)*(C3554:C3583=TRUE)*R3554:R3583*Skills!F2:F31)/Inputs!$B$44,SUMPRODUCT((Skills!E2:E31=TRUE)*(C3554:C3583=TRUE)*Q3554:Q3583*Skills!F2:F31))</f>
        <v/>
      </c>
    </row>
    <row r="3592">
      <c r="A3592" t="inlineStr">
        <is>
          <t>Cruel Stab Casts Per Second</t>
        </is>
      </c>
      <c r="B3592">
        <f>MAX(0,B3590-B3591)</f>
        <v/>
      </c>
    </row>
    <row r="3593">
      <c r="A3593" t="inlineStr">
        <is>
          <t>Global Critical Damage Bonus % (Smokescreen Mastery Lv.113)</t>
        </is>
      </c>
      <c r="B3593">
        <f>IF(Inputs!$B$3&gt;=113,30,0)*IF(AND(Inputs!$B$39&lt;&gt;"pvp",Inputs!$B$44&gt;0),(((R3568-1)*MIN((Skills!Y16*(1+Inputs!$B$34/100)),(1/Q3568))+MIN((Skills!Y16*(1+Inputs!$B$34/100)),MAX(0,Inputs!$B$44-((R3568-1)*(1/Q3568)))))/Inputs!$B$44),IF(Inputs!$B$39="pvp",MIN((Skills!Y16*(1+Inputs!$B$34/100)),15)/15,MIN(1,(Skills!Y16*(1+Inputs!$B$34/100))/(1/Q3568))))</f>
        <v/>
      </c>
    </row>
    <row r="3594">
      <c r="A3594" t="inlineStr">
        <is>
          <t>Meso Explosion average stack count</t>
        </is>
      </c>
      <c r="B3594">
        <f>MIN(10,IF(Inputs!$B$3&gt;=75,0.75,0.5)*B3590*(1/Q3556))</f>
        <v/>
      </c>
    </row>
    <row r="3595">
      <c r="A3595" t="inlineStr">
        <is>
          <t>Blood Money average stack count</t>
        </is>
      </c>
      <c r="B3595">
        <f>MIN(5,0.5*IF(Inputs!$B$3&gt;=75,0.75,0.5)*B3590*(1/Q3556))</f>
        <v/>
      </c>
    </row>
    <row r="3596">
      <c r="A3596" t="inlineStr">
        <is>
          <t>Assassinate Murderous Intent Multiplier</t>
        </is>
      </c>
      <c r="B3596">
        <f>1+IFERROR(MIN(1,Q3567*2/Q3564),0)</f>
        <v/>
      </c>
    </row>
    <row r="3597">
      <c r="A3597" t="inlineStr">
        <is>
          <t>Buff-Casting Startup Delay (s, fixed-duration only)</t>
        </is>
      </c>
      <c r="B3597">
        <f>IF(AND(Inputs!$B$39&lt;&gt;"pvp",Inputs!$B$44&gt;0),SUMPRODUCT((Skills!Y2:Y31&gt;0)*(Skills!E2:E31=TRUE)*(C3554:C3583=TRUE))/B3590,0)</f>
        <v/>
      </c>
    </row>
    <row r="3598">
      <c r="A3598" s="6" t="inlineStr">
        <is>
          <t>TOTAL DPS</t>
        </is>
      </c>
      <c r="B3598" s="6">
        <f>SUM(O3554:O3583)</f>
        <v/>
      </c>
    </row>
    <row r="3599">
      <c r="A3599" t="inlineStr">
        <is>
          <t>Boss-Only Total DPS (this block's swept value)</t>
        </is>
      </c>
      <c r="B3599">
        <f>SUM(T3554:T3583)</f>
        <v/>
      </c>
    </row>
    <row r="3600">
      <c r="A3600" t="inlineStr">
        <is>
          <t>Normal-Only Total DPS (this block's swept value)</t>
        </is>
      </c>
      <c r="B3600">
        <f>SUM(V3554:V3583)</f>
        <v/>
      </c>
    </row>
    <row r="3603">
      <c r="A3603" s="6" t="inlineStr">
        <is>
          <t>Stat: CDR = 3.5s</t>
        </is>
      </c>
    </row>
    <row r="3604">
      <c r="A3604" s="5" t="inlineStr">
        <is>
          <t>Key</t>
        </is>
      </c>
      <c r="B3604" s="5" t="inlineStr">
        <is>
          <t>Name</t>
        </is>
      </c>
      <c r="C3604" s="5" t="inlineStr">
        <is>
          <t>Unlocked</t>
        </is>
      </c>
      <c r="D3604" s="5" t="inlineStr">
        <is>
          <t>InputLevel</t>
        </is>
      </c>
      <c r="E3604" s="5" t="inlineStr">
        <is>
          <t>Factor</t>
        </is>
      </c>
      <c r="F3604" s="5" t="inlineStr">
        <is>
          <t>CoefficientPercent</t>
        </is>
      </c>
      <c r="G3604" s="5" t="inlineStr">
        <is>
          <t>EffectiveHits</t>
        </is>
      </c>
      <c r="H3604" s="5" t="inlineStr">
        <is>
          <t>ProcProbability</t>
        </is>
      </c>
      <c r="I3604" s="5" t="inlineStr">
        <is>
          <t>MapleHeroMultiplier</t>
        </is>
      </c>
      <c r="J3604" s="5" t="inlineStr">
        <is>
          <t>BaseDamage</t>
        </is>
      </c>
      <c r="K3604" s="5" t="inlineStr">
        <is>
          <t>BaseHitDamage</t>
        </is>
      </c>
      <c r="L3604" s="5" t="inlineStr">
        <is>
          <t>NonCritAvg</t>
        </is>
      </c>
      <c r="M3604" s="5" t="inlineStr">
        <is>
          <t>CritAvg</t>
        </is>
      </c>
      <c r="N3604" s="5" t="inlineStr">
        <is>
          <t>ExpectedDamage(perHit)</t>
        </is>
      </c>
      <c r="O3604" s="5" t="inlineStr">
        <is>
          <t>DPS</t>
        </is>
      </c>
      <c r="P3604" s="5" t="inlineStr">
        <is>
          <t>% of Total</t>
        </is>
      </c>
      <c r="Q3604" s="5" t="inlineStr">
        <is>
          <t>InvCooldown</t>
        </is>
      </c>
      <c r="R3604" s="5" t="inlineStr">
        <is>
          <t>CastsInFight</t>
        </is>
      </c>
      <c r="S3604" s="5" t="inlineStr">
        <is>
          <t>HitRate(perSec)</t>
        </is>
      </c>
      <c r="U3604" t="inlineStr">
        <is>
          <t>helpers</t>
        </is>
      </c>
    </row>
    <row r="3605">
      <c r="A3605">
        <f>Skills!A2</f>
        <v/>
      </c>
      <c r="B3605">
        <f>Skills!B2</f>
        <v/>
      </c>
      <c r="C3605">
        <f>Inputs!$B$3&gt;=100</f>
        <v/>
      </c>
      <c r="D3605" t="inlineStr"/>
      <c r="E3605" t="inlineStr"/>
      <c r="F3605">
        <f>U3607+Skills!O2</f>
        <v/>
      </c>
      <c r="G3605">
        <f>Skills!G2*IF(Skills!H2&gt;0,IF(Inputs!$B$39="pvp",MIN(Skills!I2,15),Skills!I2)/Skills!H2,1)</f>
        <v/>
      </c>
      <c r="H3605">
        <f>1-(1-Skills!J2/100)^Skills!K2</f>
        <v/>
      </c>
      <c r="I3605" t="inlineStr">
        <is>
          <t>1</t>
        </is>
      </c>
      <c r="J3605">
        <f>((Inputs!$B$6*(1+Inputs!$B$7/100))+(((Inputs!$B$12*(1+Inputs!$B$13/100))-(Inputs!$B$12*(1+Inputs!$B$13/100)))+0.25*(Inputs!$B$14-Inputs!$B$14))*(1+Inputs!$B$7/100))*(F3605/100)</f>
        <v/>
      </c>
      <c r="K3605">
        <f>J3605*(1+((Inputs!$B$12*(1+Inputs!$B$13/100))*0.01+Inputs!$B$14*0.0025)/100)*(1+Inputs!$B$15/100)*(1+Inputs!$B$16/100)*(5000/(6000+Inputs!$B$43*(1-(100*(1-(1-Inputs!$B$19/100)*(1-CHOOSE(ArtifactsInput!$N$40+1,5,6,7,8,9,10)/100)^(ArtifactsInput!$M$40-ArtifactsInput!$M$40)))/100)))*(1+(Inputs!$B$24+((C3634=TRUE)*(F3634-Calc!F31))+((C3621=TRUE)*(F3621-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CRUEL_STAB",Inputs!$B$17+((C3631=TRUE)*(F3631-Calc!F28))+((IF(AND(Inputs!$B$39&lt;&gt;"pvp",Inputs!$B$44=0),1,IF(IF(Inputs!$B$39="pvp",15,Inputs!$B$44)-(B3648)&lt;=0,1,MAX(0,IF(Inputs!$B$39="pvp",15,Inputs!$B$44)-MAX(5,B3648))/(IF(Inputs!$B$39="pvp",15,Inputs!$B$44)-(B3648))))*(IF(AND(ArtifactsInput!$M$42,((Inputs!$B$9+((C3629=TRUE)*(F3629-Calc!F26))+B3637+(ArtifactsInput!$M$24-ArtifactsInput!$M$24)*CHOOSE(ArtifactsInput!$N$24+1,10,12,14,16,18,20)+IF(ArtifactsInput!$M$10,CHOOSE(ArtifactsInput!$N$10+1,15,18,21,24,27,30)*(IF(Inputs!$B$39="pvp",MIN(15,15)/15,IF(AND(Inputs!$B$39&lt;&gt;"pvp",Inputs!$B$44&gt;0),MIN(15,Inputs!$B$44)/(Inputs!$B$44),0))),0)))&gt;=100),MIN(100,((Inputs!$B$9+((C3629=TRUE)*(F3629-Calc!F26))+B3637+(ArtifactsInput!$M$24-ArtifactsInput!$M$24)*CHOOSE(ArtifactsInput!$N$24+1,10,12,14,16,18,20)+IF(ArtifactsInput!$M$10,CHOOSE(ArtifactsInput!$N$10+1,15,18,21,24,27,30)*(IF(Inputs!$B$39="pvp",MIN(15,15)/15,IF(AND(Inputs!$B$39&lt;&gt;"pvp",Inputs!$B$44&gt;0),MIN(15,Inputs!$B$44)/(Inputs!$B$44),0))),0)))-100),0))*CHOOSE(ArtifactsInput!$N$42+1,0.6,0.72,0.84,0.96,1.08,1.2))),Inputs!$B$18+((C3632=TRUE)*(F3632-Calc!F29))+(IF(AND(Inputs!$B$39&lt;&gt;"pvp",Inputs!$B$44=0),1,IF(IF(Inputs!$B$39="pvp",15,Inputs!$B$44)-(B3648)&lt;=0,1,MAX(0,IF(Inputs!$B$39="pvp",15,Inputs!$B$44)-MAX(5,B3648))/(IF(Inputs!$B$39="pvp",15,Inputs!$B$44)-(B3648))))*IF(AND(ArtifactsInput!$M$42,((Inputs!$B$9+((C3629=TRUE)*(F3629-Calc!F26))+B3637+(ArtifactsInput!$M$24-ArtifactsInput!$M$24)*CHOOSE(ArtifactsInput!$N$24+1,10,12,14,16,18,20)+IF(ArtifactsInput!$M$10,CHOOSE(ArtifactsInput!$N$10+1,15,18,21,24,27,30)*(IF(Inputs!$B$39="pvp",MIN(15,15)/15,IF(AND(Inputs!$B$39&lt;&gt;"pvp",Inputs!$B$44&gt;0),MIN(15,Inputs!$B$44)/(Inputs!$B$44),0))),0)))&gt;=100),CHOOSE(ArtifactsInput!$N$42+1,40,48,56,64,72,80),0))))/100)*(((1+(((C3625=TRUE)*F3625*IF(AND(Inputs!$B$39&lt;&gt;"pvp",Inputs!$B$44&gt;0),(((R3625-1)*MIN((Skills!Y22*(1+Inputs!$B$34/100)),(1/Q3625))+MIN((Skills!Y22*(1+Inputs!$B$34/100)),MAX(0,Inputs!$B$44-((R3625-1)*(1/Q3625)))))/Inputs!$B$44),IF(Inputs!$B$39="pvp",MIN((Skills!Y22*(1+Inputs!$B$34/100)),15)/15,MIN(1,(Skills!Y22*(1+Inputs!$B$34/100))/(1/Q3625)))))+((C3606=TRUE)*F3606*3)+((C3608=TRUE)*F3608*(1-EXP(-0.75*B3641*5)))+((C3627=TRUE)*(F3627-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3614=TRUE)*F3614*IF(AND(Inputs!$B$39&lt;&gt;"pvp",Inputs!$B$44&gt;0),(((R3614-1)*MIN((Skills!Y11*(1+Inputs!$B$34/100)),(1/Q3614))+MIN((Skills!Y11*(1+Inputs!$B$34/100)),MAX(0,Inputs!$B$44-((R3614-1)*(1/Q3614)))))/Inputs!$B$44),IF(Inputs!$B$39="pvp",MIN((Skills!Y11*(1+Inputs!$B$34/100)),15)/15,MIN(1,(Skills!Y11*(1+Inputs!$B$34/100))/(1/Q3614)))))/100)*(1+((C3619=TRUE)*F3619*IF(AND(Inputs!$B$39&lt;&gt;"pvp",Inputs!$B$44&gt;0),(((R3619-1)*MIN((Skills!Y16*(1+Inputs!$B$34/100)),(1/Q3619))+MIN((Skills!Y16*(1+Inputs!$B$34/100)),MAX(0,Inputs!$B$44-((R3619-1)*(1/Q3619)))))/Inputs!$B$44),IF(Inputs!$B$39="pvp",MIN((Skills!Y16*(1+Inputs!$B$34/100)),15)/15,MIN(1,(Skills!Y16*(1+Inputs!$B$34/100))/(1/Q3619)))))/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3639*I3605)</f>
        <v/>
      </c>
      <c r="L3605">
        <f>K3605*(MIN(Inputs!$B$22+((C3628=TRUE)*(F3628-Calc!F25)),(Inputs!$B$23+((C3633=TRUE)*(F3633-Calc!F30))+IF(ArtifactsInput!$M$15,CHOOSE(ArtifactsInput!$N$15+1,25,30,35,40,45,50)/100*(Inputs!$B$11-Inputs!$B$11),0)))/100+(Inputs!$B$23+((C3633=TRUE)*(F3633-Calc!F30))+IF(ArtifactsInput!$M$15,CHOOSE(ArtifactsInput!$N$15+1,25,30,35,40,45,50)/100*(Inputs!$B$11-Inputs!$B$11),0))/100)/2</f>
        <v/>
      </c>
      <c r="M3605">
        <f>L3605*(1+(Inputs!$B$10+((C3630=TRUE)*(F3630-Calc!F27))+B3644+(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3605">
        <f>L3605*(1-MIN((Inputs!$B$9+((C3629=TRUE)*(F3629-Calc!F26))+B3637+(ArtifactsInput!$M$24-ArtifactsInput!$M$24)*CHOOSE(ArtifactsInput!$N$24+1,10,12,14,16,18,20)+(IF(AND(Inputs!$B$39&lt;&gt;"pvp",Inputs!$B$44=0),1,IF(IF(Inputs!$B$39="pvp",15,Inputs!$B$44)-(B3648)&lt;=0,1,MAX(0,IF(Inputs!$B$39="pvp",15,Inputs!$B$44)-MAX(5,B3648))/(IF(Inputs!$B$39="pvp",15,Inputs!$B$44)-(B3648))))*IF(AND(ArtifactsInput!$M$42,((Inputs!$B$9+((C3629=TRUE)*(F3629-Calc!F26))+B3637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3605*(MIN((Inputs!$B$9+((C3629=TRUE)*(F3629-Calc!F26))+B3637+(ArtifactsInput!$M$24-ArtifactsInput!$M$24)*CHOOSE(ArtifactsInput!$N$24+1,10,12,14,16,18,20)+(IF(AND(Inputs!$B$39&lt;&gt;"pvp",Inputs!$B$44=0),1,IF(IF(Inputs!$B$39="pvp",15,Inputs!$B$44)-(B3648)&lt;=0,1,MAX(0,IF(Inputs!$B$39="pvp",15,Inputs!$B$44)-MAX(5,B3648))/(IF(Inputs!$B$39="pvp",15,Inputs!$B$44)-(B3648))))*IF(AND(ArtifactsInput!$M$42,((Inputs!$B$9+((C3629=TRUE)*(F3629-Calc!F26))+B3637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3605">
        <f>(1-Summary!$B$11)*T3605+Summary!$B$11*V3605</f>
        <v/>
      </c>
      <c r="P3605">
        <f>IF(B3649=0,0,O3605/B3649)</f>
        <v/>
      </c>
      <c r="Q3605" t="n">
        <v>0</v>
      </c>
      <c r="R3605" t="n">
        <v>0</v>
      </c>
      <c r="S3605">
        <f>IFERROR(O3605/N3605,0)</f>
        <v/>
      </c>
      <c r="T3605">
        <f>IF(C3605,(Skills!G2*N3605*B3643)*IF(Inputs!$B$39="pvp",1,1+(Inputs!$B$20+0+Skills!P2+B3638+(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Hunt"),CHOOSE(ArtifactsInput!$N$35+1,15,18,21,24,27,30)*(1-EXP(-(0.2*B3641)*5)),0)+IF(AND(ArtifactsInput!$M$22,Inputs!$B$4&lt;&gt;"Chapter Hunt"),CHOOSE(ArtifactsInput!$N$22+1,10,12,14,16,18,20)*((0*(((0.15*B3641*5))^0/1)+1*(((0.15*B3641*5))^1/1)+2*(((0.15*B3641*5))^2/2)+3*(((0.15*B3641*5))^3/6)+4*(((0.15*B3641*5))^4/24)+5*(((0.15*B3641*5))^5/120))/((((0.15*B3641*5))^0/1)+(((0.15*B3641*5))^1/1)+(((0.15*B3641*5))^2/2)+(((0.15*B3641*5))^3/6)+(((0.15*B3641*5))^4/24)+(((0.15*B3641*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3605*(1-MIN(100,(Inputs!$B$9+((C3629=TRUE)*(F3629-Calc!F26))+B3637+(ArtifactsInput!$M$24-ArtifactsInput!$M$24)*CHOOSE(ArtifactsInput!$N$24+1,10,12,14,16,18,20)+(IF(AND(Inputs!$B$39&lt;&gt;"pvp",Inputs!$B$44=0),1,IF(IF(Inputs!$B$39="pvp",15,Inputs!$B$44)-(B3648)&lt;=0,1,MAX(0,IF(Inputs!$B$39="pvp",15,Inputs!$B$44)-MAX(5,B3648))/(IF(Inputs!$B$39="pvp",15,Inputs!$B$44)-(B3648))))*IF(AND(ArtifactsInput!$M$42,((Inputs!$B$9+((C3629=TRUE)*(F3629-Calc!F26))+B3637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3605*(MIN(100,(Inputs!$B$9+((C3629=TRUE)*(F3629-Calc!F26))+B3637+(ArtifactsInput!$M$24-ArtifactsInput!$M$24)*CHOOSE(ArtifactsInput!$N$24+1,10,12,14,16,18,20)+(IF(AND(Inputs!$B$39&lt;&gt;"pvp",Inputs!$B$44=0),1,IF(IF(Inputs!$B$39="pvp",15,Inputs!$B$44)-(B3648)&lt;=0,1,MAX(0,IF(Inputs!$B$39="pvp",15,Inputs!$B$44)-MAX(5,B3648))/(IF(Inputs!$B$39="pvp",15,Inputs!$B$44)-(B3648))))*IF(AND(ArtifactsInput!$M$42,((Inputs!$B$9+((C3629=TRUE)*(F3629-Calc!F26))+B3637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3605*(1-MIN(100,(Inputs!$B$9+((C3629=TRUE)*(F3629-Calc!F26))+B3637+(ArtifactsInput!$M$24-ArtifactsInput!$M$24)*CHOOSE(ArtifactsInput!$N$24+1,10,12,14,16,18,20)+(IF(AND(Inputs!$B$39&lt;&gt;"pvp",Inputs!$B$44=0),1,IF(IF(Inputs!$B$39="pvp",15,Inputs!$B$44)-(B3648)&lt;=0,1,MAX(0,IF(Inputs!$B$39="pvp",15,Inputs!$B$44)-MAX(5,B3648))/(IF(Inputs!$B$39="pvp",15,Inputs!$B$44)-(B3648))))*IF(AND(ArtifactsInput!$M$42,((Inputs!$B$9+((C3629=TRUE)*(F3629-Calc!F26))+B3637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3605*(MIN(100,(Inputs!$B$9+((C3629=TRUE)*(F3629-Calc!F26))+B3637+(ArtifactsInput!$M$24-ArtifactsInput!$M$24)*CHOOSE(ArtifactsInput!$N$24+1,10,12,14,16,18,20)+(IF(AND(Inputs!$B$39&lt;&gt;"pvp",Inputs!$B$44=0),1,IF(IF(Inputs!$B$39="pvp",15,Inputs!$B$44)-(B3648)&lt;=0,1,MAX(0,IF(Inputs!$B$39="pvp",15,Inputs!$B$44)-MAX(5,B3648))/(IF(Inputs!$B$39="pvp",15,Inputs!$B$44)-(B3648))))*IF(AND(ArtifactsInput!$M$42,((Inputs!$B$9+((C3629=TRUE)*(F3629-Calc!F26))+B3637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3605">
        <f>MAX(0,(Inputs!$B$3-100)*3)+Inputs!$B$28+Inputs!$B$29</f>
        <v/>
      </c>
      <c r="V3605">
        <f>IF(C3605,(Skills!G2*N3605*B3643)*IF(Inputs!$B$39="pvp",1,(1+(Inputs!$B$21+Skills!Q2+B3638+(IF(ArtifactsInput!$M$33,CHOOSE(ArtifactsInput!$N$33+1,30,36,42,48,54,60),0))+(IF(AND(ArtifactsInput!$M$35,Inputs!$B$4&lt;&gt;"Chapter Hunt"),CHOOSE(ArtifactsInput!$N$35+1,15,18,21,24,27,30)*(1-EXP(-(0.2*B3641)*5)),0)+IF(AND(ArtifactsInput!$M$22,Inputs!$B$4&lt;&gt;"Chapter Hunt"),CHOOSE(ArtifactsInput!$N$22+1,10,12,14,16,18,20)*((0*(((0.15*B3641*5))^0/1)+1*(((0.15*B3641*5))^1/1)+2*(((0.15*B3641*5))^2/2)+3*(((0.15*B3641*5))^3/6)+4*(((0.15*B3641*5))^4/24)+5*(((0.15*B3641*5))^5/120))/((((0.15*B3641*5))^0/1)+(((0.15*B3641*5))^1/1)+(((0.15*B3641*5))^2/2)+(((0.15*B3641*5))^3/6)+(((0.15*B3641*5))^4/24)+(((0.15*B3641*5))^5/120))),0)))/100)*(MIN((6+Inputs!$B$33),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3606">
      <c r="A3606">
        <f>Skills!A3</f>
        <v/>
      </c>
      <c r="B3606">
        <f>Skills!B3</f>
        <v/>
      </c>
      <c r="C3606">
        <f>Inputs!$B$3&gt;=35</f>
        <v/>
      </c>
      <c r="D3606">
        <f>IF(Skills!C3=1,60+Inputs!$B$25+Inputs!$B$29,IF(Skills!C3=2,90+Inputs!$B$26+Inputs!$B$29,IF(Skills!C3=3,120+Inputs!$B$27+Inputs!$B$29,MAX(0,(Inputs!$B$3-100)*3)+Inputs!$B$28+Inputs!$B$29)))</f>
        <v/>
      </c>
      <c r="E3606">
        <f>INDEX(FactorTable!$B$2:$Y$301, MATCH(ROUND(MIN(300,MAX(1,D3606)),0), FactorTable!$A$2:$A$301,0), Skills!M3+1)</f>
        <v/>
      </c>
      <c r="F3606">
        <f>IF(Skills!N3=TRUE,(Skills!L3/10)*(E3606/1000),Skills!L3/10)+Skills!O3</f>
        <v/>
      </c>
      <c r="G3606">
        <f>Skills!G3*IF(Skills!H3&gt;0,IF(Inputs!$B$39="pvp",MIN(Skills!I3,15),Skills!I3)/Skills!H3,1)</f>
        <v/>
      </c>
      <c r="H3606">
        <f>1-(1-Skills!J3/100)^Skills!K3</f>
        <v/>
      </c>
      <c r="I3606" t="inlineStr">
        <is>
          <t>1</t>
        </is>
      </c>
      <c r="J3606" t="inlineStr"/>
      <c r="K3606" t="inlineStr"/>
      <c r="L3606" t="inlineStr"/>
      <c r="M3606" t="inlineStr"/>
      <c r="N3606" t="inlineStr"/>
      <c r="O3606">
        <f>(1-Summary!$B$11)*T3606+Summary!$B$11*V3606</f>
        <v/>
      </c>
      <c r="P3606">
        <f>IF(B3649=0,0,O3606/B3649)</f>
        <v/>
      </c>
      <c r="Q3606" t="n">
        <v>0</v>
      </c>
      <c r="R3606" t="n">
        <v>0</v>
      </c>
      <c r="S3606">
        <f>IFERROR(O3606/N3606,0)</f>
        <v/>
      </c>
      <c r="T3606" t="n">
        <v>0</v>
      </c>
      <c r="U3606">
        <f>INDEX(FactorTable!$B$2:$Y$301, MATCH(ROUND(MIN(300,MAX(1,U3605)),0), FactorTable!$A$2:$A$301,0), 22)</f>
        <v/>
      </c>
      <c r="V3606" t="n">
        <v>0</v>
      </c>
    </row>
    <row r="3607">
      <c r="A3607">
        <f>Skills!A4</f>
        <v/>
      </c>
      <c r="B3607">
        <f>Skills!B4</f>
        <v/>
      </c>
      <c r="C3607">
        <f>Inputs!$B$3&gt;=66</f>
        <v/>
      </c>
      <c r="D3607">
        <f>IF(Skills!C4=1,60+Inputs!$B$25+Inputs!$B$29,IF(Skills!C4=2,90+Inputs!$B$26+Inputs!$B$29,IF(Skills!C4=3,120+Inputs!$B$27+Inputs!$B$29,MAX(0,(Inputs!$B$3-100)*3)+Inputs!$B$28+Inputs!$B$29)))</f>
        <v/>
      </c>
      <c r="E3607">
        <f>INDEX(FactorTable!$B$2:$Y$301, MATCH(ROUND(MIN(300,MAX(1,D3607)),0), FactorTable!$A$2:$A$301,0), Skills!M4+1)</f>
        <v/>
      </c>
      <c r="F3607">
        <f>IF(Skills!N4=TRUE,(Skills!L4/10)*(E3607/1000),Skills!L4/10)+Skills!O4</f>
        <v/>
      </c>
      <c r="G3607">
        <f>Skills!G4*IF(Skills!H4&gt;0,IF(Inputs!$B$39="pvp",MIN(Skills!I4,15),Skills!I4)/Skills!H4,1)</f>
        <v/>
      </c>
      <c r="H3607">
        <f>1-(1-Skills!J4/100)^Skills!K4</f>
        <v/>
      </c>
      <c r="I3607" t="inlineStr">
        <is>
          <t>1</t>
        </is>
      </c>
      <c r="J3607">
        <f>((Inputs!$B$6*(1+Inputs!$B$7/100))+(((Inputs!$B$12*(1+Inputs!$B$13/100))-(Inputs!$B$12*(1+Inputs!$B$13/100)))+0.25*(Inputs!$B$14-Inputs!$B$14))*(1+Inputs!$B$7/100))*(F3607/100)</f>
        <v/>
      </c>
      <c r="K3607">
        <f>J3607*(1+((Inputs!$B$12*(1+Inputs!$B$13/100))*0.01+Inputs!$B$14*0.0025)/100)*(1+Inputs!$B$15/100)*(1+Inputs!$B$16/100)*(5000/(6000+Inputs!$B$43*(1-(100*(1-(1-Inputs!$B$19/100)*(1-CHOOSE(ArtifactsInput!$N$40+1,5,6,7,8,9,10)/100)^(ArtifactsInput!$M$40-ArtifactsInput!$M$40)))/100)))*(1+(Inputs!$B$24+((C3634=TRUE)*(F3634-Calc!F31))+((C3621=TRUE)*(F3621-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4="CRUEL_STAB",Inputs!$B$17+((C3631=TRUE)*(F3631-Calc!F28))+((IF(AND(Inputs!$B$39&lt;&gt;"pvp",Inputs!$B$44=0),1,IF(IF(Inputs!$B$39="pvp",15,Inputs!$B$44)-(B3648)&lt;=0,1,MAX(0,IF(Inputs!$B$39="pvp",15,Inputs!$B$44)-MAX(5,B3648))/(IF(Inputs!$B$39="pvp",15,Inputs!$B$44)-(B3648))))*(IF(AND(ArtifactsInput!$M$42,((Inputs!$B$9+((C3629=TRUE)*(F3629-Calc!F26))+B3637+(ArtifactsInput!$M$24-ArtifactsInput!$M$24)*CHOOSE(ArtifactsInput!$N$24+1,10,12,14,16,18,20)+IF(ArtifactsInput!$M$10,CHOOSE(ArtifactsInput!$N$10+1,15,18,21,24,27,30)*(IF(Inputs!$B$39="pvp",MIN(15,15)/15,IF(AND(Inputs!$B$39&lt;&gt;"pvp",Inputs!$B$44&gt;0),MIN(15,Inputs!$B$44)/(Inputs!$B$44),0))),0)))&gt;=100),MIN(100,((Inputs!$B$9+((C3629=TRUE)*(F3629-Calc!F26))+B3637+(ArtifactsInput!$M$24-ArtifactsInput!$M$24)*CHOOSE(ArtifactsInput!$N$24+1,10,12,14,16,18,20)+IF(ArtifactsInput!$M$10,CHOOSE(ArtifactsInput!$N$10+1,15,18,21,24,27,30)*(IF(Inputs!$B$39="pvp",MIN(15,15)/15,IF(AND(Inputs!$B$39&lt;&gt;"pvp",Inputs!$B$44&gt;0),MIN(15,Inputs!$B$44)/(Inputs!$B$44),0))),0)))-100),0))*CHOOSE(ArtifactsInput!$N$42+1,0.6,0.72,0.84,0.96,1.08,1.2))),Inputs!$B$18+((C3632=TRUE)*(F3632-Calc!F29))+(IF(AND(Inputs!$B$39&lt;&gt;"pvp",Inputs!$B$44=0),1,IF(IF(Inputs!$B$39="pvp",15,Inputs!$B$44)-(B3648)&lt;=0,1,MAX(0,IF(Inputs!$B$39="pvp",15,Inputs!$B$44)-MAX(5,B3648))/(IF(Inputs!$B$39="pvp",15,Inputs!$B$44)-(B3648))))*IF(AND(ArtifactsInput!$M$42,((Inputs!$B$9+((C3629=TRUE)*(F3629-Calc!F26))+B3637+(ArtifactsInput!$M$24-ArtifactsInput!$M$24)*CHOOSE(ArtifactsInput!$N$24+1,10,12,14,16,18,20)+IF(ArtifactsInput!$M$10,CHOOSE(ArtifactsInput!$N$10+1,15,18,21,24,27,30)*(IF(Inputs!$B$39="pvp",MIN(15,15)/15,IF(AND(Inputs!$B$39&lt;&gt;"pvp",Inputs!$B$44&gt;0),MIN(15,Inputs!$B$44)/(Inputs!$B$44),0))),0)))&gt;=100),CHOOSE(ArtifactsInput!$N$42+1,40,48,56,64,72,80),0))))/100)*(((1+(((C3625=TRUE)*F3625*IF(AND(Inputs!$B$39&lt;&gt;"pvp",Inputs!$B$44&gt;0),(((R3625-1)*MIN((Skills!Y22*(1+Inputs!$B$34/100)),(1/Q3625))+MIN((Skills!Y22*(1+Inputs!$B$34/100)),MAX(0,Inputs!$B$44-((R3625-1)*(1/Q3625)))))/Inputs!$B$44),IF(Inputs!$B$39="pvp",MIN((Skills!Y22*(1+Inputs!$B$34/100)),15)/15,MIN(1,(Skills!Y22*(1+Inputs!$B$34/100))/(1/Q3625)))))+((C3606=TRUE)*F3606*3)+((C3608=TRUE)*F3608*(1-EXP(-0.75*B3641*5)))+((C3627=TRUE)*(F3627-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3614=TRUE)*F3614*IF(AND(Inputs!$B$39&lt;&gt;"pvp",Inputs!$B$44&gt;0),(((R3614-1)*MIN((Skills!Y11*(1+Inputs!$B$34/100)),(1/Q3614))+MIN((Skills!Y11*(1+Inputs!$B$34/100)),MAX(0,Inputs!$B$44-((R3614-1)*(1/Q3614)))))/Inputs!$B$44),IF(Inputs!$B$39="pvp",MIN((Skills!Y11*(1+Inputs!$B$34/100)),15)/15,MIN(1,(Skills!Y11*(1+Inputs!$B$34/100))/(1/Q3614)))))/100)*(1+((C3619=TRUE)*F3619*IF(AND(Inputs!$B$39&lt;&gt;"pvp",Inputs!$B$44&gt;0),(((R3619-1)*MIN((Skills!Y16*(1+Inputs!$B$34/100)),(1/Q3619))+MIN((Skills!Y16*(1+Inputs!$B$34/100)),MAX(0,Inputs!$B$44-((R3619-1)*(1/Q3619)))))/Inputs!$B$44),IF(Inputs!$B$39="pvp",MIN((Skills!Y16*(1+Inputs!$B$34/100)),15)/15,MIN(1,(Skills!Y16*(1+Inputs!$B$34/100))/(1/Q3619)))))/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3639*I3607)</f>
        <v/>
      </c>
      <c r="L3607">
        <f>K3607*(MIN(Inputs!$B$22+((C3628=TRUE)*(F3628-Calc!F25)),(Inputs!$B$23+((C3633=TRUE)*(F3633-Calc!F30))+IF(ArtifactsInput!$M$15,CHOOSE(ArtifactsInput!$N$15+1,25,30,35,40,45,50)/100*(Inputs!$B$11-Inputs!$B$11),0)))/100+(Inputs!$B$23+((C3633=TRUE)*(F3633-Calc!F30))+IF(ArtifactsInput!$M$15,CHOOSE(ArtifactsInput!$N$15+1,25,30,35,40,45,50)/100*(Inputs!$B$11-Inputs!$B$11),0))/100)/2</f>
        <v/>
      </c>
      <c r="M3607">
        <f>L3607*(1+(Inputs!$B$10+((C3630=TRUE)*(F3630-Calc!F27))+B3644+(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3607">
        <f>L3607*(1-MIN((Inputs!$B$9+((C3629=TRUE)*(F3629-Calc!F26))+B3637+(ArtifactsInput!$M$24-ArtifactsInput!$M$24)*CHOOSE(ArtifactsInput!$N$24+1,10,12,14,16,18,20)+(IF(AND(Inputs!$B$39&lt;&gt;"pvp",Inputs!$B$44=0),1,IF(IF(Inputs!$B$39="pvp",15,Inputs!$B$44)-(B3648)&lt;=0,1,MAX(0,IF(Inputs!$B$39="pvp",15,Inputs!$B$44)-MAX(5,B3648))/(IF(Inputs!$B$39="pvp",15,Inputs!$B$44)-(B3648))))*IF(AND(ArtifactsInput!$M$42,((Inputs!$B$9+((C3629=TRUE)*(F3629-Calc!F26))+B3637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3607*(MIN((Inputs!$B$9+((C3629=TRUE)*(F3629-Calc!F26))+B3637+(ArtifactsInput!$M$24-ArtifactsInput!$M$24)*CHOOSE(ArtifactsInput!$N$24+1,10,12,14,16,18,20)+(IF(AND(Inputs!$B$39&lt;&gt;"pvp",Inputs!$B$44=0),1,IF(IF(Inputs!$B$39="pvp",15,Inputs!$B$44)-(B3648)&lt;=0,1,MAX(0,IF(Inputs!$B$39="pvp",15,Inputs!$B$44)-MAX(5,B3648))/(IF(Inputs!$B$39="pvp",15,Inputs!$B$44)-(B3648))))*IF(AND(ArtifactsInput!$M$42,((Inputs!$B$9+((C3629=TRUE)*(F3629-Calc!F26))+B3637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3607">
        <f>(1-Summary!$B$11)*T3607+Summary!$B$11*V3607</f>
        <v/>
      </c>
      <c r="P3607">
        <f>IF(B3649=0,0,O3607/B3649)</f>
        <v/>
      </c>
      <c r="Q3607">
        <f>IFERROR(1/IF(Inputs!$B$39="pvp",15,MAX(0.1,Skills!D4-IF(TRUE=TRUE,3.5,0))),0)</f>
        <v/>
      </c>
      <c r="R3607">
        <f>IF(AND(Inputs!$B$39&lt;&gt;"pvp",Inputs!$B$44&gt;0),IF(MAX(0,Inputs!$B$44-B3648)&lt;=0,0,(INT(MAX(0,Inputs!$B$44-B3648)/IF(Inputs!$B$39="pvp",15,MAX(0.1,Skills!D4-IF(TRUE=TRUE,3.5,0))))+1)),0)</f>
        <v/>
      </c>
      <c r="S3607">
        <f>IFERROR(O3607/N3607,0)</f>
        <v/>
      </c>
      <c r="T3607">
        <f>IF(C3607,(H3607*N3607*IF(AND(Inputs!$B$39&lt;&gt;"pvp",Inputs!$B$44&gt;0),((Skills!G4*((R3607-1)*IF(Skills!H4&gt;0,Skills!I4/Skills!H4,1)+IF(Skills!H4&gt;0,MIN(Skills!I4,MAX(0,MAX(0,Inputs!$B$44-B3648)-((R3607-1)*IF(Inputs!$B$39="pvp",15,MAX(0.1,Skills!D4-IF(TRUE=TRUE,3.5,0))))))/Skills!H4,1)))/Inputs!$B$44),G3607*Q3607))*IF(Inputs!$B$39="pvp",1,1+(Inputs!$B$20+0+Skills!P4+B3638+(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Hunt"),CHOOSE(ArtifactsInput!$N$35+1,15,18,21,24,27,30)*(1-EXP(-(0.2*B3641)*5)),0)+IF(AND(ArtifactsInput!$M$22,Inputs!$B$4&lt;&gt;"Chapter Hunt"),CHOOSE(ArtifactsInput!$N$22+1,10,12,14,16,18,20)*((0*(((0.15*B3641*5))^0/1)+1*(((0.15*B3641*5))^1/1)+2*(((0.15*B3641*5))^2/2)+3*(((0.15*B3641*5))^3/6)+4*(((0.15*B3641*5))^4/24)+5*(((0.15*B3641*5))^5/120))/((((0.15*B3641*5))^0/1)+(((0.15*B3641*5))^1/1)+(((0.15*B3641*5))^2/2)+(((0.15*B3641*5))^3/6)+(((0.15*B3641*5))^4/24)+(((0.15*B3641*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3607*(1-MIN(100,(Inputs!$B$9+((C3629=TRUE)*(F3629-Calc!F26))+B3637+(ArtifactsInput!$M$24-ArtifactsInput!$M$24)*CHOOSE(ArtifactsInput!$N$24+1,10,12,14,16,18,20)+(IF(AND(Inputs!$B$39&lt;&gt;"pvp",Inputs!$B$44=0),1,IF(IF(Inputs!$B$39="pvp",15,Inputs!$B$44)-(B3648)&lt;=0,1,MAX(0,IF(Inputs!$B$39="pvp",15,Inputs!$B$44)-MAX(5,B3648))/(IF(Inputs!$B$39="pvp",15,Inputs!$B$44)-(B3648))))*IF(AND(ArtifactsInput!$M$42,((Inputs!$B$9+((C3629=TRUE)*(F3629-Calc!F26))+B3637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3607*(MIN(100,(Inputs!$B$9+((C3629=TRUE)*(F3629-Calc!F26))+B3637+(ArtifactsInput!$M$24-ArtifactsInput!$M$24)*CHOOSE(ArtifactsInput!$N$24+1,10,12,14,16,18,20)+(IF(AND(Inputs!$B$39&lt;&gt;"pvp",Inputs!$B$44=0),1,IF(IF(Inputs!$B$39="pvp",15,Inputs!$B$44)-(B3648)&lt;=0,1,MAX(0,IF(Inputs!$B$39="pvp",15,Inputs!$B$44)-MAX(5,B3648))/(IF(Inputs!$B$39="pvp",15,Inputs!$B$44)-(B3648))))*IF(AND(ArtifactsInput!$M$42,((Inputs!$B$9+((C3629=TRUE)*(F3629-Calc!F26))+B3637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3607*(1-MIN(100,(Inputs!$B$9+((C3629=TRUE)*(F3629-Calc!F26))+B3637+(ArtifactsInput!$M$24-ArtifactsInput!$M$24)*CHOOSE(ArtifactsInput!$N$24+1,10,12,14,16,18,20)+(IF(AND(Inputs!$B$39&lt;&gt;"pvp",Inputs!$B$44=0),1,IF(IF(Inputs!$B$39="pvp",15,Inputs!$B$44)-(B3648)&lt;=0,1,MAX(0,IF(Inputs!$B$39="pvp",15,Inputs!$B$44)-MAX(5,B3648))/(IF(Inputs!$B$39="pvp",15,Inputs!$B$44)-(B3648))))*IF(AND(ArtifactsInput!$M$42,((Inputs!$B$9+((C3629=TRUE)*(F3629-Calc!F26))+B3637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3607*(MIN(100,(Inputs!$B$9+((C3629=TRUE)*(F3629-Calc!F26))+B3637+(ArtifactsInput!$M$24-ArtifactsInput!$M$24)*CHOOSE(ArtifactsInput!$N$24+1,10,12,14,16,18,20)+(IF(AND(Inputs!$B$39&lt;&gt;"pvp",Inputs!$B$44=0),1,IF(IF(Inputs!$B$39="pvp",15,Inputs!$B$44)-(B3648)&lt;=0,1,MAX(0,IF(Inputs!$B$39="pvp",15,Inputs!$B$44)-MAX(5,B3648))/(IF(Inputs!$B$39="pvp",15,Inputs!$B$44)-(B3648))))*IF(AND(ArtifactsInput!$M$42,((Inputs!$B$9+((C3629=TRUE)*(F3629-Calc!F26))+B3637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3607">
        <f>290*U3606/1000</f>
        <v/>
      </c>
      <c r="V3607">
        <f>IF(C3607,(H3607*N3607*IF(AND(Inputs!$B$39&lt;&gt;"pvp",Inputs!$B$44&gt;0),((Skills!G4*((R3607-1)*IF(Skills!H4&gt;0,Skills!I4/Skills!H4,1)+IF(Skills!H4&gt;0,MIN(Skills!I4,MAX(0,MAX(0,Inputs!$B$44-B3648)-((R3607-1)*IF(Inputs!$B$39="pvp",15,MAX(0.1,Skills!D4-IF(TRUE=TRUE,3.5,0))))))/Skills!H4,1)))/Inputs!$B$44),G3607*Q3607))*IF(Inputs!$B$39="pvp",1,(1+(Inputs!$B$21+Skills!Q4+B3638+(IF(ArtifactsInput!$M$33,CHOOSE(ArtifactsInput!$N$33+1,30,36,42,48,54,60),0))+(IF(AND(ArtifactsInput!$M$35,Inputs!$B$4&lt;&gt;"Chapter Hunt"),CHOOSE(ArtifactsInput!$N$35+1,15,18,21,24,27,30)*(1-EXP(-(0.2*B3641)*5)),0)+IF(AND(ArtifactsInput!$M$22,Inputs!$B$4&lt;&gt;"Chapter Hunt"),CHOOSE(ArtifactsInput!$N$22+1,10,12,14,16,18,20)*((0*(((0.15*B3641*5))^0/1)+1*(((0.15*B3641*5))^1/1)+2*(((0.15*B3641*5))^2/2)+3*(((0.15*B3641*5))^3/6)+4*(((0.15*B3641*5))^4/24)+5*(((0.15*B3641*5))^5/120))/((((0.15*B3641*5))^0/1)+(((0.15*B3641*5))^1/1)+(((0.15*B3641*5))^2/2)+(((0.15*B3641*5))^3/6)+(((0.15*B3641*5))^4/24)+(((0.15*B3641*5))^5/120))),0)))/100)*(MIN(MIN(10,IF(Inputs!$B$3&gt;=75,0.75,0.5)*B3641*(1/Q3607)),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3608">
      <c r="A3608">
        <f>Skills!A5</f>
        <v/>
      </c>
      <c r="B3608">
        <f>Skills!B5</f>
        <v/>
      </c>
      <c r="C3608">
        <f>Inputs!$B$3&gt;=75</f>
        <v/>
      </c>
      <c r="D3608">
        <f>IF(Skills!C5=1,60+Inputs!$B$25+Inputs!$B$29,IF(Skills!C5=2,90+Inputs!$B$26+Inputs!$B$29,IF(Skills!C5=3,120+Inputs!$B$27+Inputs!$B$29,MAX(0,(Inputs!$B$3-100)*3)+Inputs!$B$28+Inputs!$B$29)))</f>
        <v/>
      </c>
      <c r="E3608">
        <f>INDEX(FactorTable!$B$2:$Y$301, MATCH(ROUND(MIN(300,MAX(1,D3608)),0), FactorTable!$A$2:$A$301,0), Skills!M5+1)</f>
        <v/>
      </c>
      <c r="F3608">
        <f>IF(Skills!N5=TRUE,(Skills!L5/10)*(E3608/1000),Skills!L5/10)+Skills!O5</f>
        <v/>
      </c>
      <c r="G3608">
        <f>Skills!G5*IF(Skills!H5&gt;0,IF(Inputs!$B$39="pvp",MIN(Skills!I5,15),Skills!I5)/Skills!H5,1)</f>
        <v/>
      </c>
      <c r="H3608">
        <f>1-(1-Skills!J5/100)^Skills!K5</f>
        <v/>
      </c>
      <c r="I3608" t="inlineStr">
        <is>
          <t>1</t>
        </is>
      </c>
      <c r="J3608" t="inlineStr"/>
      <c r="K3608" t="inlineStr"/>
      <c r="L3608" t="inlineStr"/>
      <c r="M3608" t="inlineStr"/>
      <c r="N3608" t="inlineStr"/>
      <c r="O3608">
        <f>(1-Summary!$B$11)*T3608+Summary!$B$11*V3608</f>
        <v/>
      </c>
      <c r="P3608">
        <f>IF(B3649=0,0,O3608/B3649)</f>
        <v/>
      </c>
      <c r="Q3608" t="n">
        <v>0</v>
      </c>
      <c r="R3608" t="n">
        <v>0</v>
      </c>
      <c r="S3608">
        <f>IFERROR(O3608/N3608,0)</f>
        <v/>
      </c>
      <c r="T3608" t="n">
        <v>0</v>
      </c>
      <c r="V3608" t="n">
        <v>0</v>
      </c>
    </row>
    <row r="3609">
      <c r="A3609">
        <f>Skills!A6</f>
        <v/>
      </c>
      <c r="B3609">
        <f>Skills!B6</f>
        <v/>
      </c>
      <c r="C3609">
        <f>Inputs!$B$3&gt;=63</f>
        <v/>
      </c>
      <c r="D3609">
        <f>IF(Skills!C6=1,60+Inputs!$B$25+Inputs!$B$29,IF(Skills!C6=2,90+Inputs!$B$26+Inputs!$B$29,IF(Skills!C6=3,120+Inputs!$B$27+Inputs!$B$29,MAX(0,(Inputs!$B$3-100)*3)+Inputs!$B$28+Inputs!$B$29)))</f>
        <v/>
      </c>
      <c r="E3609">
        <f>INDEX(FactorTable!$B$2:$Y$301, MATCH(ROUND(MIN(300,MAX(1,D3609)),0), FactorTable!$A$2:$A$301,0), Skills!M6+1)</f>
        <v/>
      </c>
      <c r="F3609">
        <f>IF(Skills!N6=TRUE,(Skills!L6/10)*(E3609/1000),Skills!L6/10)+Skills!O6</f>
        <v/>
      </c>
      <c r="G3609">
        <f>Skills!G6*IF(Skills!H6&gt;0,IF(Inputs!$B$39="pvp",MIN(Skills!I6,15),Skills!I6)/Skills!H6,1)</f>
        <v/>
      </c>
      <c r="H3609">
        <f>1-(1-Skills!J6/100)^Skills!K6</f>
        <v/>
      </c>
      <c r="I3609" t="inlineStr">
        <is>
          <t>1</t>
        </is>
      </c>
      <c r="J3609">
        <f>((Inputs!$B$6*(1+Inputs!$B$7/100))+(((Inputs!$B$12*(1+Inputs!$B$13/100))-(Inputs!$B$12*(1+Inputs!$B$13/100)))+0.25*(Inputs!$B$14-Inputs!$B$14))*(1+Inputs!$B$7/100))*(F3609/100)</f>
        <v/>
      </c>
      <c r="K3609">
        <f>J3609*(1+((Inputs!$B$12*(1+Inputs!$B$13/100))*0.01+Inputs!$B$14*0.0025)/100)*(1+Inputs!$B$15/100)*(1+Inputs!$B$16/100)*(5000/(6000+Inputs!$B$43*(1-(100*(1-(1-Inputs!$B$19/100)*(1-CHOOSE(ArtifactsInput!$N$40+1,5,6,7,8,9,10)/100)^(ArtifactsInput!$M$40-ArtifactsInput!$M$40)))/100)))*(1+(Inputs!$B$24+((C3634=TRUE)*(F3634-Calc!F31))+((C3621=TRUE)*(F3621-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+2.6666666666666665*IF(C3622=TRUE,F3622,0)/100)*(1+(IF(Skills!A6="CRUEL_STAB",Inputs!$B$17+((C3631=TRUE)*(F3631-Calc!F28))+((IF(AND(Inputs!$B$39&lt;&gt;"pvp",Inputs!$B$44=0),1,IF(IF(Inputs!$B$39="pvp",15,Inputs!$B$44)-(B3648)&lt;=0,1,MAX(0,IF(Inputs!$B$39="pvp",15,Inputs!$B$44)-MAX(5,B3648))/(IF(Inputs!$B$39="pvp",15,Inputs!$B$44)-(B3648))))*(IF(AND(ArtifactsInput!$M$42,((Inputs!$B$9+((C3629=TRUE)*(F3629-Calc!F26))+B3637+(ArtifactsInput!$M$24-ArtifactsInput!$M$24)*CHOOSE(ArtifactsInput!$N$24+1,10,12,14,16,18,20)+IF(ArtifactsInput!$M$10,CHOOSE(ArtifactsInput!$N$10+1,15,18,21,24,27,30)*(IF(Inputs!$B$39="pvp",MIN(15,15)/15,IF(AND(Inputs!$B$39&lt;&gt;"pvp",Inputs!$B$44&gt;0),MIN(15,Inputs!$B$44)/(Inputs!$B$44),0))),0)))&gt;=100),MIN(100,((Inputs!$B$9+((C3629=TRUE)*(F3629-Calc!F26))+B3637+(ArtifactsInput!$M$24-ArtifactsInput!$M$24)*CHOOSE(ArtifactsInput!$N$24+1,10,12,14,16,18,20)+IF(ArtifactsInput!$M$10,CHOOSE(ArtifactsInput!$N$10+1,15,18,21,24,27,30)*(IF(Inputs!$B$39="pvp",MIN(15,15)/15,IF(AND(Inputs!$B$39&lt;&gt;"pvp",Inputs!$B$44&gt;0),MIN(15,Inputs!$B$44)/(Inputs!$B$44),0))),0)))-100),0))*CHOOSE(ArtifactsInput!$N$42+1,0.6,0.72,0.84,0.96,1.08,1.2))),Inputs!$B$18+((C3632=TRUE)*(F3632-Calc!F29))+(IF(AND(Inputs!$B$39&lt;&gt;"pvp",Inputs!$B$44=0),1,IF(IF(Inputs!$B$39="pvp",15,Inputs!$B$44)-(B3648)&lt;=0,1,MAX(0,IF(Inputs!$B$39="pvp",15,Inputs!$B$44)-MAX(5,B3648))/(IF(Inputs!$B$39="pvp",15,Inputs!$B$44)-(B3648))))*IF(AND(ArtifactsInput!$M$42,((Inputs!$B$9+((C3629=TRUE)*(F3629-Calc!F26))+B3637+(ArtifactsInput!$M$24-ArtifactsInput!$M$24)*CHOOSE(ArtifactsInput!$N$24+1,10,12,14,16,18,20)+IF(ArtifactsInput!$M$10,CHOOSE(ArtifactsInput!$N$10+1,15,18,21,24,27,30)*(IF(Inputs!$B$39="pvp",MIN(15,15)/15,IF(AND(Inputs!$B$39&lt;&gt;"pvp",Inputs!$B$44&gt;0),MIN(15,Inputs!$B$44)/(Inputs!$B$44),0))),0)))&gt;=100),CHOOSE(ArtifactsInput!$N$42+1,40,48,56,64,72,80),0))))/100)*(((1+(((C3625=TRUE)*F3625*IF(AND(Inputs!$B$39&lt;&gt;"pvp",Inputs!$B$44&gt;0),(((R3625-1)*MIN((Skills!Y22*(1+Inputs!$B$34/100)),(1/Q3625))+MIN((Skills!Y22*(1+Inputs!$B$34/100)),MAX(0,Inputs!$B$44-((R3625-1)*(1/Q3625)))))/Inputs!$B$44),IF(Inputs!$B$39="pvp",MIN((Skills!Y22*(1+Inputs!$B$34/100)),15)/15,MIN(1,(Skills!Y22*(1+Inputs!$B$34/100))/(1/Q3625)))))+((C3606=TRUE)*F3606*3)+((C3608=TRUE)*F3608*(1-EXP(-0.75*B3641*5)))+((C3627=TRUE)*(F3627-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3614=TRUE)*F3614*IF(AND(Inputs!$B$39&lt;&gt;"pvp",Inputs!$B$44&gt;0),(((R3614-1)*MIN((Skills!Y11*(1+Inputs!$B$34/100)),(1/Q3614))+MIN((Skills!Y11*(1+Inputs!$B$34/100)),MAX(0,Inputs!$B$44-((R3614-1)*(1/Q3614)))))/Inputs!$B$44),IF(Inputs!$B$39="pvp",MIN((Skills!Y11*(1+Inputs!$B$34/100)),15)/15,MIN(1,(Skills!Y11*(1+Inputs!$B$34/100))/(1/Q3614)))))/100)*(1+((C3619=TRUE)*F3619*IF(AND(Inputs!$B$39&lt;&gt;"pvp",Inputs!$B$44&gt;0),(((R3619-1)*MIN((Skills!Y16*(1+Inputs!$B$34/100)),(1/Q3619))+MIN((Skills!Y16*(1+Inputs!$B$34/100)),MAX(0,Inputs!$B$44-((R3619-1)*(1/Q3619)))))/Inputs!$B$44),IF(Inputs!$B$39="pvp",MIN((Skills!Y16*(1+Inputs!$B$34/100)),15)/15,MIN(1,(Skills!Y16*(1+Inputs!$B$34/100))/(1/Q3619)))))/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3639*I3609)</f>
        <v/>
      </c>
      <c r="L3609">
        <f>K3609*(MIN(Inputs!$B$22+((C3628=TRUE)*(F3628-Calc!F25)),(Inputs!$B$23+((C3633=TRUE)*(F3633-Calc!F30))+IF(ArtifactsInput!$M$15,CHOOSE(ArtifactsInput!$N$15+1,25,30,35,40,45,50)/100*(Inputs!$B$11-Inputs!$B$11),0)))/100+(Inputs!$B$23+((C3633=TRUE)*(F3633-Calc!F30))+IF(ArtifactsInput!$M$15,CHOOSE(ArtifactsInput!$N$15+1,25,30,35,40,45,50)/100*(Inputs!$B$11-Inputs!$B$11),0))/100)/2</f>
        <v/>
      </c>
      <c r="M3609">
        <f>L3609*(1+(Inputs!$B$10+((C3630=TRUE)*(F3630-Calc!F27))+B3644+(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3609">
        <f>L3609*(1-MIN((Inputs!$B$9+((C3629=TRUE)*(F3629-Calc!F26))+B3637+(ArtifactsInput!$M$24-ArtifactsInput!$M$24)*CHOOSE(ArtifactsInput!$N$24+1,10,12,14,16,18,20)+(IF(AND(Inputs!$B$39&lt;&gt;"pvp",Inputs!$B$44=0),1,IF(IF(Inputs!$B$39="pvp",15,Inputs!$B$44)-(B3648)&lt;=0,1,MAX(0,IF(Inputs!$B$39="pvp",15,Inputs!$B$44)-MAX(5,B3648))/(IF(Inputs!$B$39="pvp",15,Inputs!$B$44)-(B3648))))*IF(AND(ArtifactsInput!$M$42,((Inputs!$B$9+((C3629=TRUE)*(F3629-Calc!F26))+B3637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3609*(MIN((Inputs!$B$9+((C3629=TRUE)*(F3629-Calc!F26))+B3637+(ArtifactsInput!$M$24-ArtifactsInput!$M$24)*CHOOSE(ArtifactsInput!$N$24+1,10,12,14,16,18,20)+(IF(AND(Inputs!$B$39&lt;&gt;"pvp",Inputs!$B$44=0),1,IF(IF(Inputs!$B$39="pvp",15,Inputs!$B$44)-(B3648)&lt;=0,1,MAX(0,IF(Inputs!$B$39="pvp",15,Inputs!$B$44)-MAX(5,B3648))/(IF(Inputs!$B$39="pvp",15,Inputs!$B$44)-(B3648))))*IF(AND(ArtifactsInput!$M$42,((Inputs!$B$9+((C3629=TRUE)*(F3629-Calc!F26))+B3637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3609">
        <f>(1-Summary!$B$11)*T3609+Summary!$B$11*V3609</f>
        <v/>
      </c>
      <c r="P3609">
        <f>IF(B3649=0,0,O3609/B3649)</f>
        <v/>
      </c>
      <c r="Q3609">
        <f>IFERROR(1/IF(Inputs!$B$39="pvp",15,MAX(0.1,Skills!D6-IF(TRUE=TRUE,3.5,0))),0)</f>
        <v/>
      </c>
      <c r="R3609">
        <f>IF(AND(Inputs!$B$39&lt;&gt;"pvp",Inputs!$B$44&gt;0),IF(MAX(0,Inputs!$B$44-B3648)&lt;=0,0,(INT(MAX(0,Inputs!$B$44-B3648)/IF(Inputs!$B$39="pvp",15,MAX(0.1,Skills!D6-IF(TRUE=TRUE,3.5,0))))+1)),0)</f>
        <v/>
      </c>
      <c r="S3609">
        <f>IFERROR(O3609/N3609,0)</f>
        <v/>
      </c>
      <c r="T3609">
        <f>IF(C3609,(H3609*N3609*IF(AND(Inputs!$B$39&lt;&gt;"pvp",Inputs!$B$44&gt;0),((Skills!G6*((R3609-1)*IF(Skills!H6&gt;0,Skills!I6/Skills!H6,1)+IF(Skills!H6&gt;0,MIN(Skills!I6,MAX(0,MAX(0,Inputs!$B$44-B3648)-((R3609-1)*IF(Inputs!$B$39="pvp",15,MAX(0.1,Skills!D6-IF(TRUE=TRUE,3.5,0))))))/Skills!H6,1)))/Inputs!$B$44),G3609*Q3609))*IF(Inputs!$B$39="pvp",1,1+(Inputs!$B$20+0+Skills!P6+B3638+(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Hunt"),CHOOSE(ArtifactsInput!$N$35+1,15,18,21,24,27,30)*(1-EXP(-(0.2*B3641)*5)),0)+IF(AND(ArtifactsInput!$M$22,Inputs!$B$4&lt;&gt;"Chapter Hunt"),CHOOSE(ArtifactsInput!$N$22+1,10,12,14,16,18,20)*((0*(((0.15*B3641*5))^0/1)+1*(((0.15*B3641*5))^1/1)+2*(((0.15*B3641*5))^2/2)+3*(((0.15*B3641*5))^3/6)+4*(((0.15*B3641*5))^4/24)+5*(((0.15*B3641*5))^5/120))/((((0.15*B3641*5))^0/1)+(((0.15*B3641*5))^1/1)+(((0.15*B3641*5))^2/2)+(((0.15*B3641*5))^3/6)+(((0.15*B3641*5))^4/24)+(((0.15*B3641*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3609*(1-MIN(100,(Inputs!$B$9+((C3629=TRUE)*(F3629-Calc!F26))+B3637+(ArtifactsInput!$M$24-ArtifactsInput!$M$24)*CHOOSE(ArtifactsInput!$N$24+1,10,12,14,16,18,20)+(IF(AND(Inputs!$B$39&lt;&gt;"pvp",Inputs!$B$44=0),1,IF(IF(Inputs!$B$39="pvp",15,Inputs!$B$44)-(B3648)&lt;=0,1,MAX(0,IF(Inputs!$B$39="pvp",15,Inputs!$B$44)-MAX(5,B3648))/(IF(Inputs!$B$39="pvp",15,Inputs!$B$44)-(B3648))))*IF(AND(ArtifactsInput!$M$42,((Inputs!$B$9+((C3629=TRUE)*(F3629-Calc!F26))+B3637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3609*(MIN(100,(Inputs!$B$9+((C3629=TRUE)*(F3629-Calc!F26))+B3637+(ArtifactsInput!$M$24-ArtifactsInput!$M$24)*CHOOSE(ArtifactsInput!$N$24+1,10,12,14,16,18,20)+(IF(AND(Inputs!$B$39&lt;&gt;"pvp",Inputs!$B$44=0),1,IF(IF(Inputs!$B$39="pvp",15,Inputs!$B$44)-(B3648)&lt;=0,1,MAX(0,IF(Inputs!$B$39="pvp",15,Inputs!$B$44)-MAX(5,B3648))/(IF(Inputs!$B$39="pvp",15,Inputs!$B$44)-(B3648))))*IF(AND(ArtifactsInput!$M$42,((Inputs!$B$9+((C3629=TRUE)*(F3629-Calc!F26))+B3637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3609*(1-MIN(100,(Inputs!$B$9+((C3629=TRUE)*(F3629-Calc!F26))+B3637+(ArtifactsInput!$M$24-ArtifactsInput!$M$24)*CHOOSE(ArtifactsInput!$N$24+1,10,12,14,16,18,20)+(IF(AND(Inputs!$B$39&lt;&gt;"pvp",Inputs!$B$44=0),1,IF(IF(Inputs!$B$39="pvp",15,Inputs!$B$44)-(B3648)&lt;=0,1,MAX(0,IF(Inputs!$B$39="pvp",15,Inputs!$B$44)-MAX(5,B3648))/(IF(Inputs!$B$39="pvp",15,Inputs!$B$44)-(B3648))))*IF(AND(ArtifactsInput!$M$42,((Inputs!$B$9+((C3629=TRUE)*(F3629-Calc!F26))+B3637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3609*(MIN(100,(Inputs!$B$9+((C3629=TRUE)*(F3629-Calc!F26))+B3637+(ArtifactsInput!$M$24-ArtifactsInput!$M$24)*CHOOSE(ArtifactsInput!$N$24+1,10,12,14,16,18,20)+(IF(AND(Inputs!$B$39&lt;&gt;"pvp",Inputs!$B$44=0),1,IF(IF(Inputs!$B$39="pvp",15,Inputs!$B$44)-(B3648)&lt;=0,1,MAX(0,IF(Inputs!$B$39="pvp",15,Inputs!$B$44)-MAX(5,B3648))/(IF(Inputs!$B$39="pvp",15,Inputs!$B$44)-(B3648))))*IF(AND(ArtifactsInput!$M$42,((Inputs!$B$9+((C3629=TRUE)*(F3629-Calc!F26))+B3637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3609">
        <f>IF(C3609,(H3609*N3609*IF(AND(Inputs!$B$39&lt;&gt;"pvp",Inputs!$B$44&gt;0),((Skills!G6*((R3609-1)*IF(Skills!H6&gt;0,Skills!I6/Skills!H6,1)+IF(Skills!H6&gt;0,MIN(Skills!I6,MAX(0,MAX(0,Inputs!$B$44-B3648)-((R3609-1)*IF(Inputs!$B$39="pvp",15,MAX(0.1,Skills!D6-IF(TRUE=TRUE,3.5,0))))))/Skills!H6,1)))/Inputs!$B$44),G3609*Q3609))*IF(Inputs!$B$39="pvp",1,(1+(Inputs!$B$21+Skills!Q6+B3638+(IF(ArtifactsInput!$M$33,CHOOSE(ArtifactsInput!$N$33+1,30,36,42,48,54,60),0))+(IF(AND(ArtifactsInput!$M$35,Inputs!$B$4&lt;&gt;"Chapter Hunt"),CHOOSE(ArtifactsInput!$N$35+1,15,18,21,24,27,30)*(1-EXP(-(0.2*B3641)*5)),0)+IF(AND(ArtifactsInput!$M$22,Inputs!$B$4&lt;&gt;"Chapter Hunt"),CHOOSE(ArtifactsInput!$N$22+1,10,12,14,16,18,20)*((0*(((0.15*B3641*5))^0/1)+1*(((0.15*B3641*5))^1/1)+2*(((0.15*B3641*5))^2/2)+3*(((0.15*B3641*5))^3/6)+4*(((0.15*B3641*5))^4/24)+5*(((0.15*B3641*5))^5/120))/((((0.15*B3641*5))^0/1)+(((0.15*B3641*5))^1/1)+(((0.15*B3641*5))^2/2)+(((0.15*B3641*5))^3/6)+(((0.15*B3641*5))^4/24)+(((0.15*B3641*5))^5/120))),0)))/100)*(MIN(Skills!W6,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3610">
      <c r="A3610">
        <f>Skills!A7</f>
        <v/>
      </c>
      <c r="B3610">
        <f>Skills!B7</f>
        <v/>
      </c>
      <c r="C3610">
        <f>Inputs!$B$3&gt;=69</f>
        <v/>
      </c>
      <c r="D3610">
        <f>IF(Skills!C7=1,60+Inputs!$B$25+Inputs!$B$29,IF(Skills!C7=2,90+Inputs!$B$26+Inputs!$B$29,IF(Skills!C7=3,120+Inputs!$B$27+Inputs!$B$29,MAX(0,(Inputs!$B$3-100)*3)+Inputs!$B$28+Inputs!$B$29)))</f>
        <v/>
      </c>
      <c r="E3610">
        <f>INDEX(FactorTable!$B$2:$Y$301, MATCH(ROUND(MIN(300,MAX(1,D3610)),0), FactorTable!$A$2:$A$301,0), Skills!M7+1)</f>
        <v/>
      </c>
      <c r="F3610">
        <f>IF(Skills!N7=TRUE,(Skills!L7/10)*(E3610/1000),Skills!L7/10)+Skills!O7</f>
        <v/>
      </c>
      <c r="G3610">
        <f>Skills!G7*IF(Skills!H7&gt;0,IF(Inputs!$B$39="pvp",MIN(Skills!I7,15),Skills!I7)/Skills!H7,1)</f>
        <v/>
      </c>
      <c r="H3610">
        <f>1-(1-Skills!J7/100)^Skills!K7</f>
        <v/>
      </c>
      <c r="I3610" t="inlineStr">
        <is>
          <t>1</t>
        </is>
      </c>
      <c r="J3610">
        <f>((Inputs!$B$6*(1+Inputs!$B$7/100))+(((Inputs!$B$12*(1+Inputs!$B$13/100))-(Inputs!$B$12*(1+Inputs!$B$13/100)))+0.25*(Inputs!$B$14-Inputs!$B$14))*(1+Inputs!$B$7/100))*(F3610/100)</f>
        <v/>
      </c>
      <c r="K3610">
        <f>J3610*(1+((Inputs!$B$12*(1+Inputs!$B$13/100))*0.01+Inputs!$B$14*0.0025)/100)*(1+Inputs!$B$15/100)*(1+Inputs!$B$16/100)*(5000/(6000+Inputs!$B$43*(1-(100*(1-(1-Inputs!$B$19/100)*(1-CHOOSE(ArtifactsInput!$N$40+1,5,6,7,8,9,10)/100)^(ArtifactsInput!$M$40-ArtifactsInput!$M$40)))/100)))*(1+(Inputs!$B$24+((C3634=TRUE)*(F3634-Calc!F31))+((C3621=TRUE)*(F3621-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3622=TRUE,F3622,0)/100)*(1+(IF(Skills!A7="CRUEL_STAB",Inputs!$B$17+((C3631=TRUE)*(F3631-Calc!F28))+((IF(AND(Inputs!$B$39&lt;&gt;"pvp",Inputs!$B$44=0),1,IF(IF(Inputs!$B$39="pvp",15,Inputs!$B$44)-(B3648)&lt;=0,1,MAX(0,IF(Inputs!$B$39="pvp",15,Inputs!$B$44)-MAX(5,B3648))/(IF(Inputs!$B$39="pvp",15,Inputs!$B$44)-(B3648))))*(IF(AND(ArtifactsInput!$M$42,((Inputs!$B$9+((C3629=TRUE)*(F3629-Calc!F26))+B3637+(ArtifactsInput!$M$24-ArtifactsInput!$M$24)*CHOOSE(ArtifactsInput!$N$24+1,10,12,14,16,18,20)+IF(ArtifactsInput!$M$10,CHOOSE(ArtifactsInput!$N$10+1,15,18,21,24,27,30)*(IF(Inputs!$B$39="pvp",MIN(15,15)/15,IF(AND(Inputs!$B$39&lt;&gt;"pvp",Inputs!$B$44&gt;0),MIN(15,Inputs!$B$44)/(Inputs!$B$44),0))),0)))&gt;=100),MIN(100,((Inputs!$B$9+((C3629=TRUE)*(F3629-Calc!F26))+B3637+(ArtifactsInput!$M$24-ArtifactsInput!$M$24)*CHOOSE(ArtifactsInput!$N$24+1,10,12,14,16,18,20)+IF(ArtifactsInput!$M$10,CHOOSE(ArtifactsInput!$N$10+1,15,18,21,24,27,30)*(IF(Inputs!$B$39="pvp",MIN(15,15)/15,IF(AND(Inputs!$B$39&lt;&gt;"pvp",Inputs!$B$44&gt;0),MIN(15,Inputs!$B$44)/(Inputs!$B$44),0))),0)))-100),0))*CHOOSE(ArtifactsInput!$N$42+1,0.6,0.72,0.84,0.96,1.08,1.2))),Inputs!$B$18+((C3632=TRUE)*(F3632-Calc!F29))+(IF(AND(Inputs!$B$39&lt;&gt;"pvp",Inputs!$B$44=0),1,IF(IF(Inputs!$B$39="pvp",15,Inputs!$B$44)-(B3648)&lt;=0,1,MAX(0,IF(Inputs!$B$39="pvp",15,Inputs!$B$44)-MAX(5,B3648))/(IF(Inputs!$B$39="pvp",15,Inputs!$B$44)-(B3648))))*IF(AND(ArtifactsInput!$M$42,((Inputs!$B$9+((C3629=TRUE)*(F3629-Calc!F26))+B3637+(ArtifactsInput!$M$24-ArtifactsInput!$M$24)*CHOOSE(ArtifactsInput!$N$24+1,10,12,14,16,18,20)+IF(ArtifactsInput!$M$10,CHOOSE(ArtifactsInput!$N$10+1,15,18,21,24,27,30)*(IF(Inputs!$B$39="pvp",MIN(15,15)/15,IF(AND(Inputs!$B$39&lt;&gt;"pvp",Inputs!$B$44&gt;0),MIN(15,Inputs!$B$44)/(Inputs!$B$44),0))),0)))&gt;=100),CHOOSE(ArtifactsInput!$N$42+1,40,48,56,64,72,80),0))))/100)*(((1+(((C3625=TRUE)*F3625*IF(AND(Inputs!$B$39&lt;&gt;"pvp",Inputs!$B$44&gt;0),(((R3625-1)*MIN((Skills!Y22*(1+Inputs!$B$34/100)),(1/Q3625))+MIN((Skills!Y22*(1+Inputs!$B$34/100)),MAX(0,Inputs!$B$44-((R3625-1)*(1/Q3625)))))/Inputs!$B$44),IF(Inputs!$B$39="pvp",MIN((Skills!Y22*(1+Inputs!$B$34/100)),15)/15,MIN(1,(Skills!Y22*(1+Inputs!$B$34/100))/(1/Q3625)))))+((C3606=TRUE)*F3606*3)+((C3608=TRUE)*F3608*(1-EXP(-0.75*B3641*5)))+((C3627=TRUE)*(F3627-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3614=TRUE)*F3614*IF(AND(Inputs!$B$39&lt;&gt;"pvp",Inputs!$B$44&gt;0),(((R3614-1)*MIN((Skills!Y11*(1+Inputs!$B$34/100)),(1/Q3614))+MIN((Skills!Y11*(1+Inputs!$B$34/100)),MAX(0,Inputs!$B$44-((R3614-1)*(1/Q3614)))))/Inputs!$B$44),IF(Inputs!$B$39="pvp",MIN((Skills!Y11*(1+Inputs!$B$34/100)),15)/15,MIN(1,(Skills!Y11*(1+Inputs!$B$34/100))/(1/Q3614)))))/100)*(1+((C3619=TRUE)*F3619*IF(AND(Inputs!$B$39&lt;&gt;"pvp",Inputs!$B$44&gt;0),(((R3619-1)*MIN((Skills!Y16*(1+Inputs!$B$34/100)),(1/Q3619))+MIN((Skills!Y16*(1+Inputs!$B$34/100)),MAX(0,Inputs!$B$44-((R3619-1)*(1/Q3619)))))/Inputs!$B$44),IF(Inputs!$B$39="pvp",MIN((Skills!Y16*(1+Inputs!$B$34/100)),15)/15,MIN(1,(Skills!Y16*(1+Inputs!$B$34/100))/(1/Q3619)))))/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3639*I3610)</f>
        <v/>
      </c>
      <c r="L3610">
        <f>K3610*(MIN(Inputs!$B$22+((C3628=TRUE)*(F3628-Calc!F25)),(Inputs!$B$23+((C3633=TRUE)*(F3633-Calc!F30))+IF(ArtifactsInput!$M$15,CHOOSE(ArtifactsInput!$N$15+1,25,30,35,40,45,50)/100*(Inputs!$B$11-Inputs!$B$11),0)))/100+(Inputs!$B$23+((C3633=TRUE)*(F3633-Calc!F30))+IF(ArtifactsInput!$M$15,CHOOSE(ArtifactsInput!$N$15+1,25,30,35,40,45,50)/100*(Inputs!$B$11-Inputs!$B$11),0))/100)/2</f>
        <v/>
      </c>
      <c r="M3610">
        <f>L3610*(1+(Inputs!$B$10+((C3630=TRUE)*(F3630-Calc!F27))+B3644+(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3610">
        <f>L3610*(1-MIN((Inputs!$B$9+((C3629=TRUE)*(F3629-Calc!F26))+B3637+(ArtifactsInput!$M$24-ArtifactsInput!$M$24)*CHOOSE(ArtifactsInput!$N$24+1,10,12,14,16,18,20)+(IF(AND(Inputs!$B$39&lt;&gt;"pvp",Inputs!$B$44=0),1,IF(IF(Inputs!$B$39="pvp",15,Inputs!$B$44)-(B3648)&lt;=0,1,MAX(0,IF(Inputs!$B$39="pvp",15,Inputs!$B$44)-MAX(5,B3648))/(IF(Inputs!$B$39="pvp",15,Inputs!$B$44)-(B3648))))*IF(AND(ArtifactsInput!$M$42,((Inputs!$B$9+((C3629=TRUE)*(F3629-Calc!F26))+B3637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3610*(MIN((Inputs!$B$9+((C3629=TRUE)*(F3629-Calc!F26))+B3637+(ArtifactsInput!$M$24-ArtifactsInput!$M$24)*CHOOSE(ArtifactsInput!$N$24+1,10,12,14,16,18,20)+(IF(AND(Inputs!$B$39&lt;&gt;"pvp",Inputs!$B$44=0),1,IF(IF(Inputs!$B$39="pvp",15,Inputs!$B$44)-(B3648)&lt;=0,1,MAX(0,IF(Inputs!$B$39="pvp",15,Inputs!$B$44)-MAX(5,B3648))/(IF(Inputs!$B$39="pvp",15,Inputs!$B$44)-(B3648))))*IF(AND(ArtifactsInput!$M$42,((Inputs!$B$9+((C3629=TRUE)*(F3629-Calc!F26))+B3637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3610">
        <f>(1-Summary!$B$11)*T3610+Summary!$B$11*V3610</f>
        <v/>
      </c>
      <c r="P3610">
        <f>IF(B3649=0,0,O3610/B3649)</f>
        <v/>
      </c>
      <c r="Q3610">
        <f>IFERROR(1/IF(Inputs!$B$39="pvp",15,MAX(0.1,Skills!D7-IF(TRUE=TRUE,3.5,0))),0)</f>
        <v/>
      </c>
      <c r="R3610">
        <f>IF(AND(Inputs!$B$39&lt;&gt;"pvp",Inputs!$B$44&gt;0),IF(MAX(0,Inputs!$B$44-B3648)&lt;=0,0,(INT(MAX(0,Inputs!$B$44-B3648)/IF(Inputs!$B$39="pvp",15,MAX(0.1,Skills!D7-IF(TRUE=TRUE,3.5,0))))+1)),0)</f>
        <v/>
      </c>
      <c r="S3610">
        <f>IFERROR(O3610/N3610,0)</f>
        <v/>
      </c>
      <c r="T3610">
        <f>IF(C3610,(H3610*N3610*IF(AND(Inputs!$B$39&lt;&gt;"pvp",Inputs!$B$44&gt;0),((Skills!G7*((R3610-1)*IF(Skills!H7&gt;0,Skills!I7/Skills!H7,1)+IF(Skills!H7&gt;0,MIN(Skills!I7,MAX(0,MAX(0,Inputs!$B$44-B3648)-((R3610-1)*IF(Inputs!$B$39="pvp",15,MAX(0.1,Skills!D7-IF(TRUE=TRUE,3.5,0))))))/Skills!H7,1)))/Inputs!$B$44),G3610*Q3610))*IF(Inputs!$B$39="pvp",1,1+(Inputs!$B$20+0+Skills!P7+B3638+(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Hunt"),CHOOSE(ArtifactsInput!$N$35+1,15,18,21,24,27,30)*(1-EXP(-(0.2*B3641)*5)),0)+IF(AND(ArtifactsInput!$M$22,Inputs!$B$4&lt;&gt;"Chapter Hunt"),CHOOSE(ArtifactsInput!$N$22+1,10,12,14,16,18,20)*((0*(((0.15*B3641*5))^0/1)+1*(((0.15*B3641*5))^1/1)+2*(((0.15*B3641*5))^2/2)+3*(((0.15*B3641*5))^3/6)+4*(((0.15*B3641*5))^4/24)+5*(((0.15*B3641*5))^5/120))/((((0.15*B3641*5))^0/1)+(((0.15*B3641*5))^1/1)+(((0.15*B3641*5))^2/2)+(((0.15*B3641*5))^3/6)+(((0.15*B3641*5))^4/24)+(((0.15*B3641*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3610*(1-MIN(100,(Inputs!$B$9+((C3629=TRUE)*(F3629-Calc!F26))+B3637+(ArtifactsInput!$M$24-ArtifactsInput!$M$24)*CHOOSE(ArtifactsInput!$N$24+1,10,12,14,16,18,20)+(IF(AND(Inputs!$B$39&lt;&gt;"pvp",Inputs!$B$44=0),1,IF(IF(Inputs!$B$39="pvp",15,Inputs!$B$44)-(B3648)&lt;=0,1,MAX(0,IF(Inputs!$B$39="pvp",15,Inputs!$B$44)-MAX(5,B3648))/(IF(Inputs!$B$39="pvp",15,Inputs!$B$44)-(B3648))))*IF(AND(ArtifactsInput!$M$42,((Inputs!$B$9+((C3629=TRUE)*(F3629-Calc!F26))+B3637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3610*(MIN(100,(Inputs!$B$9+((C3629=TRUE)*(F3629-Calc!F26))+B3637+(ArtifactsInput!$M$24-ArtifactsInput!$M$24)*CHOOSE(ArtifactsInput!$N$24+1,10,12,14,16,18,20)+(IF(AND(Inputs!$B$39&lt;&gt;"pvp",Inputs!$B$44=0),1,IF(IF(Inputs!$B$39="pvp",15,Inputs!$B$44)-(B3648)&lt;=0,1,MAX(0,IF(Inputs!$B$39="pvp",15,Inputs!$B$44)-MAX(5,B3648))/(IF(Inputs!$B$39="pvp",15,Inputs!$B$44)-(B3648))))*IF(AND(ArtifactsInput!$M$42,((Inputs!$B$9+((C3629=TRUE)*(F3629-Calc!F26))+B3637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3610*(1-MIN(100,(Inputs!$B$9+((C3629=TRUE)*(F3629-Calc!F26))+B3637+(ArtifactsInput!$M$24-ArtifactsInput!$M$24)*CHOOSE(ArtifactsInput!$N$24+1,10,12,14,16,18,20)+(IF(AND(Inputs!$B$39&lt;&gt;"pvp",Inputs!$B$44=0),1,IF(IF(Inputs!$B$39="pvp",15,Inputs!$B$44)-(B3648)&lt;=0,1,MAX(0,IF(Inputs!$B$39="pvp",15,Inputs!$B$44)-MAX(5,B3648))/(IF(Inputs!$B$39="pvp",15,Inputs!$B$44)-(B3648))))*IF(AND(ArtifactsInput!$M$42,((Inputs!$B$9+((C3629=TRUE)*(F3629-Calc!F26))+B3637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3610*(MIN(100,(Inputs!$B$9+((C3629=TRUE)*(F3629-Calc!F26))+B3637+(ArtifactsInput!$M$24-ArtifactsInput!$M$24)*CHOOSE(ArtifactsInput!$N$24+1,10,12,14,16,18,20)+(IF(AND(Inputs!$B$39&lt;&gt;"pvp",Inputs!$B$44=0),1,IF(IF(Inputs!$B$39="pvp",15,Inputs!$B$44)-(B3648)&lt;=0,1,MAX(0,IF(Inputs!$B$39="pvp",15,Inputs!$B$44)-MAX(5,B3648))/(IF(Inputs!$B$39="pvp",15,Inputs!$B$44)-(B3648))))*IF(AND(ArtifactsInput!$M$42,((Inputs!$B$9+((C3629=TRUE)*(F3629-Calc!F26))+B3637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3610">
        <f>IF(C3610,(H3610*N3610*IF(AND(Inputs!$B$39&lt;&gt;"pvp",Inputs!$B$44&gt;0),((Skills!G7*((R3610-1)*IF(Skills!H7&gt;0,Skills!I7/Skills!H7,1)+IF(Skills!H7&gt;0,MIN(Skills!I7,MAX(0,MAX(0,Inputs!$B$44-B3648)-((R3610-1)*IF(Inputs!$B$39="pvp",15,MAX(0.1,Skills!D7-IF(TRUE=TRUE,3.5,0))))))/Skills!H7,1)))/Inputs!$B$44),G3610*Q3610))*IF(Inputs!$B$39="pvp",1,(1+(Inputs!$B$21+Skills!Q7+B3638+(IF(ArtifactsInput!$M$33,CHOOSE(ArtifactsInput!$N$33+1,30,36,42,48,54,60),0))+(IF(AND(ArtifactsInput!$M$35,Inputs!$B$4&lt;&gt;"Chapter Hunt"),CHOOSE(ArtifactsInput!$N$35+1,15,18,21,24,27,30)*(1-EXP(-(0.2*B3641)*5)),0)+IF(AND(ArtifactsInput!$M$22,Inputs!$B$4&lt;&gt;"Chapter Hunt"),CHOOSE(ArtifactsInput!$N$22+1,10,12,14,16,18,20)*((0*(((0.15*B3641*5))^0/1)+1*(((0.15*B3641*5))^1/1)+2*(((0.15*B3641*5))^2/2)+3*(((0.15*B3641*5))^3/6)+4*(((0.15*B3641*5))^4/24)+5*(((0.15*B3641*5))^5/120))/((((0.15*B3641*5))^0/1)+(((0.15*B3641*5))^1/1)+(((0.15*B3641*5))^2/2)+(((0.15*B3641*5))^3/6)+(((0.15*B3641*5))^4/24)+(((0.15*B3641*5))^5/120))),0)))/100)*(MIN(Skills!W7,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3611">
      <c r="A3611">
        <f>Skills!A8</f>
        <v/>
      </c>
      <c r="B3611">
        <f>Skills!B8</f>
        <v/>
      </c>
      <c r="C3611">
        <f>Inputs!$B$3&gt;=60</f>
        <v/>
      </c>
      <c r="D3611">
        <f>IF(Skills!C8=1,60+Inputs!$B$25+Inputs!$B$29,IF(Skills!C8=2,90+Inputs!$B$26+Inputs!$B$29,IF(Skills!C8=3,120+Inputs!$B$27+Inputs!$B$29,MAX(0,(Inputs!$B$3-100)*3)+Inputs!$B$28+Inputs!$B$29)))</f>
        <v/>
      </c>
      <c r="E3611">
        <f>INDEX(FactorTable!$B$2:$Y$301, MATCH(ROUND(MIN(300,MAX(1,D3611)),0), FactorTable!$A$2:$A$301,0), Skills!M8+1)</f>
        <v/>
      </c>
      <c r="F3611">
        <f>IF(Skills!N8=TRUE,(Skills!L8/10)*(E3611/1000),Skills!L8/10)+Skills!O8</f>
        <v/>
      </c>
      <c r="G3611">
        <f>Skills!G8*IF(Skills!H8&gt;0,IF(Inputs!$B$39="pvp",MIN(Skills!I8,15),Skills!I8)/Skills!H8,1)</f>
        <v/>
      </c>
      <c r="H3611">
        <f>1-(1-Skills!J8/100)^Skills!K8</f>
        <v/>
      </c>
      <c r="I3611" t="inlineStr">
        <is>
          <t>1</t>
        </is>
      </c>
      <c r="J3611" t="inlineStr"/>
      <c r="K3611" t="inlineStr"/>
      <c r="L3611" t="inlineStr"/>
      <c r="M3611" t="inlineStr"/>
      <c r="N3611" t="inlineStr"/>
      <c r="O3611">
        <f>(1-Summary!$B$11)*T3611+Summary!$B$11*V3611</f>
        <v/>
      </c>
      <c r="P3611">
        <f>IF(B3649=0,0,O3611/B3649)</f>
        <v/>
      </c>
      <c r="Q3611" t="n">
        <v>0</v>
      </c>
      <c r="R3611" t="n">
        <v>0</v>
      </c>
      <c r="S3611">
        <f>IFERROR(O3611/N3611,0)</f>
        <v/>
      </c>
      <c r="T3611" t="n">
        <v>0</v>
      </c>
      <c r="V3611" t="n">
        <v>0</v>
      </c>
    </row>
    <row r="3612">
      <c r="A3612">
        <f>Skills!A9</f>
        <v/>
      </c>
      <c r="B3612">
        <f>Skills!B9</f>
        <v/>
      </c>
      <c r="C3612">
        <f>Inputs!$B$3&gt;=72</f>
        <v/>
      </c>
      <c r="D3612">
        <f>IF(Skills!C9=1,60+Inputs!$B$25+Inputs!$B$29,IF(Skills!C9=2,90+Inputs!$B$26+Inputs!$B$29,IF(Skills!C9=3,120+Inputs!$B$27+Inputs!$B$29,MAX(0,(Inputs!$B$3-100)*3)+Inputs!$B$28+Inputs!$B$29)))</f>
        <v/>
      </c>
      <c r="E3612">
        <f>INDEX(FactorTable!$B$2:$Y$301, MATCH(ROUND(MIN(300,MAX(1,D3612)),0), FactorTable!$A$2:$A$301,0), Skills!M9+1)</f>
        <v/>
      </c>
      <c r="F3612">
        <f>IF(Skills!N9=TRUE,(Skills!L9/10)*(E3612/1000),Skills!L9/10)+Skills!O9</f>
        <v/>
      </c>
      <c r="G3612">
        <f>Skills!G9*IF(Skills!H9&gt;0,IF(Inputs!$B$39="pvp",MIN(Skills!I9,15),Skills!I9)/Skills!H9,1)</f>
        <v/>
      </c>
      <c r="H3612">
        <f>1-(1-Skills!J9/100)^Skills!K9</f>
        <v/>
      </c>
      <c r="I3612" t="inlineStr">
        <is>
          <t>1</t>
        </is>
      </c>
      <c r="J3612">
        <f>((Inputs!$B$6*(1+Inputs!$B$7/100))+(((Inputs!$B$12*(1+Inputs!$B$13/100))-(Inputs!$B$12*(1+Inputs!$B$13/100)))+0.25*(Inputs!$B$14-Inputs!$B$14))*(1+Inputs!$B$7/100))*(F3612/100)</f>
        <v/>
      </c>
      <c r="K3612">
        <f>J3612*(1+((Inputs!$B$12*(1+Inputs!$B$13/100))*0.01+Inputs!$B$14*0.0025)/100)*(1+Inputs!$B$15/100)*(1+Inputs!$B$16/100)*(5000/(6000+Inputs!$B$43*(1-(100*(1-(1-Inputs!$B$19/100)*(1-CHOOSE(ArtifactsInput!$N$40+1,5,6,7,8,9,10)/100)^(ArtifactsInput!$M$40-ArtifactsInput!$M$40)))/100)))*(1+(Inputs!$B$24+((C3634=TRUE)*(F3634-Calc!F31))+((C3621=TRUE)*(F3621-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+3.3333333333333335*IF(C3622=TRUE,F3622,0)/100)*(1+(IF(Skills!A9="CRUEL_STAB",Inputs!$B$17+((C3631=TRUE)*(F3631-Calc!F28))+((IF(AND(Inputs!$B$39&lt;&gt;"pvp",Inputs!$B$44=0),1,IF(IF(Inputs!$B$39="pvp",15,Inputs!$B$44)-(B3648)&lt;=0,1,MAX(0,IF(Inputs!$B$39="pvp",15,Inputs!$B$44)-MAX(5,B3648))/(IF(Inputs!$B$39="pvp",15,Inputs!$B$44)-(B3648))))*(IF(AND(ArtifactsInput!$M$42,((Inputs!$B$9+((C3629=TRUE)*(F3629-Calc!F26))+B3637+(ArtifactsInput!$M$24-ArtifactsInput!$M$24)*CHOOSE(ArtifactsInput!$N$24+1,10,12,14,16,18,20)+IF(ArtifactsInput!$M$10,CHOOSE(ArtifactsInput!$N$10+1,15,18,21,24,27,30)*(IF(Inputs!$B$39="pvp",MIN(15,15)/15,IF(AND(Inputs!$B$39&lt;&gt;"pvp",Inputs!$B$44&gt;0),MIN(15,Inputs!$B$44)/(Inputs!$B$44),0))),0)))&gt;=100),MIN(100,((Inputs!$B$9+((C3629=TRUE)*(F3629-Calc!F26))+B3637+(ArtifactsInput!$M$24-ArtifactsInput!$M$24)*CHOOSE(ArtifactsInput!$N$24+1,10,12,14,16,18,20)+IF(ArtifactsInput!$M$10,CHOOSE(ArtifactsInput!$N$10+1,15,18,21,24,27,30)*(IF(Inputs!$B$39="pvp",MIN(15,15)/15,IF(AND(Inputs!$B$39&lt;&gt;"pvp",Inputs!$B$44&gt;0),MIN(15,Inputs!$B$44)/(Inputs!$B$44),0))),0)))-100),0))*CHOOSE(ArtifactsInput!$N$42+1,0.6,0.72,0.84,0.96,1.08,1.2))),Inputs!$B$18+((C3632=TRUE)*(F3632-Calc!F29))+(IF(AND(Inputs!$B$39&lt;&gt;"pvp",Inputs!$B$44=0),1,IF(IF(Inputs!$B$39="pvp",15,Inputs!$B$44)-(B3648)&lt;=0,1,MAX(0,IF(Inputs!$B$39="pvp",15,Inputs!$B$44)-MAX(5,B3648))/(IF(Inputs!$B$39="pvp",15,Inputs!$B$44)-(B3648))))*IF(AND(ArtifactsInput!$M$42,((Inputs!$B$9+((C3629=TRUE)*(F3629-Calc!F26))+B3637+(ArtifactsInput!$M$24-ArtifactsInput!$M$24)*CHOOSE(ArtifactsInput!$N$24+1,10,12,14,16,18,20)+IF(ArtifactsInput!$M$10,CHOOSE(ArtifactsInput!$N$10+1,15,18,21,24,27,30)*(IF(Inputs!$B$39="pvp",MIN(15,15)/15,IF(AND(Inputs!$B$39&lt;&gt;"pvp",Inputs!$B$44&gt;0),MIN(15,Inputs!$B$44)/(Inputs!$B$44),0))),0)))&gt;=100),CHOOSE(ArtifactsInput!$N$42+1,40,48,56,64,72,80),0))))/100)*(((1+(((C3625=TRUE)*F3625*IF(AND(Inputs!$B$39&lt;&gt;"pvp",Inputs!$B$44&gt;0),(((R3625-1)*MIN((Skills!Y22*(1+Inputs!$B$34/100)),(1/Q3625))+MIN((Skills!Y22*(1+Inputs!$B$34/100)),MAX(0,Inputs!$B$44-((R3625-1)*(1/Q3625)))))/Inputs!$B$44),IF(Inputs!$B$39="pvp",MIN((Skills!Y22*(1+Inputs!$B$34/100)),15)/15,MIN(1,(Skills!Y22*(1+Inputs!$B$34/100))/(1/Q3625)))))+((C3606=TRUE)*F3606*3)+((C3608=TRUE)*F3608*(1-EXP(-0.75*B3641*5)))+((C3627=TRUE)*(F3627-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3614=TRUE)*F3614*IF(AND(Inputs!$B$39&lt;&gt;"pvp",Inputs!$B$44&gt;0),(((R3614-1)*MIN((Skills!Y11*(1+Inputs!$B$34/100)),(1/Q3614))+MIN((Skills!Y11*(1+Inputs!$B$34/100)),MAX(0,Inputs!$B$44-((R3614-1)*(1/Q3614)))))/Inputs!$B$44),IF(Inputs!$B$39="pvp",MIN((Skills!Y11*(1+Inputs!$B$34/100)),15)/15,MIN(1,(Skills!Y11*(1+Inputs!$B$34/100))/(1/Q3614)))))/100)*(1+((C3619=TRUE)*F3619*IF(AND(Inputs!$B$39&lt;&gt;"pvp",Inputs!$B$44&gt;0),(((R3619-1)*MIN((Skills!Y16*(1+Inputs!$B$34/100)),(1/Q3619))+MIN((Skills!Y16*(1+Inputs!$B$34/100)),MAX(0,Inputs!$B$44-((R3619-1)*(1/Q3619)))))/Inputs!$B$44),IF(Inputs!$B$39="pvp",MIN((Skills!Y16*(1+Inputs!$B$34/100)),15)/15,MIN(1,(Skills!Y16*(1+Inputs!$B$34/100))/(1/Q3619)))))/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3639*I3612)</f>
        <v/>
      </c>
      <c r="L3612">
        <f>K3612*(MIN(Inputs!$B$22+((C3628=TRUE)*(F3628-Calc!F25)),(Inputs!$B$23+((C3633=TRUE)*(F3633-Calc!F30))+IF(ArtifactsInput!$M$15,CHOOSE(ArtifactsInput!$N$15+1,25,30,35,40,45,50)/100*(Inputs!$B$11-Inputs!$B$11),0)))/100+(Inputs!$B$23+((C3633=TRUE)*(F3633-Calc!F30))+IF(ArtifactsInput!$M$15,CHOOSE(ArtifactsInput!$N$15+1,25,30,35,40,45,50)/100*(Inputs!$B$11-Inputs!$B$11),0))/100)/2</f>
        <v/>
      </c>
      <c r="M3612">
        <f>L3612*(1+(Inputs!$B$10+((C3630=TRUE)*(F3630-Calc!F27))+B3644+(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3612">
        <f>L3612*(1-MIN((Inputs!$B$9+((C3629=TRUE)*(F3629-Calc!F26))+B3637+(ArtifactsInput!$M$24-ArtifactsInput!$M$24)*CHOOSE(ArtifactsInput!$N$24+1,10,12,14,16,18,20)+(IF(AND(Inputs!$B$39&lt;&gt;"pvp",Inputs!$B$44=0),1,IF(IF(Inputs!$B$39="pvp",15,Inputs!$B$44)-(B3648)&lt;=0,1,MAX(0,IF(Inputs!$B$39="pvp",15,Inputs!$B$44)-MAX(5,B3648))/(IF(Inputs!$B$39="pvp",15,Inputs!$B$44)-(B3648))))*IF(AND(ArtifactsInput!$M$42,((Inputs!$B$9+((C3629=TRUE)*(F3629-Calc!F26))+B3637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3612*(MIN((Inputs!$B$9+((C3629=TRUE)*(F3629-Calc!F26))+B3637+(ArtifactsInput!$M$24-ArtifactsInput!$M$24)*CHOOSE(ArtifactsInput!$N$24+1,10,12,14,16,18,20)+(IF(AND(Inputs!$B$39&lt;&gt;"pvp",Inputs!$B$44=0),1,IF(IF(Inputs!$B$39="pvp",15,Inputs!$B$44)-(B3648)&lt;=0,1,MAX(0,IF(Inputs!$B$39="pvp",15,Inputs!$B$44)-MAX(5,B3648))/(IF(Inputs!$B$39="pvp",15,Inputs!$B$44)-(B3648))))*IF(AND(ArtifactsInput!$M$42,((Inputs!$B$9+((C3629=TRUE)*(F3629-Calc!F26))+B3637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3612">
        <f>(1-Summary!$B$11)*T3612+Summary!$B$11*V3612</f>
        <v/>
      </c>
      <c r="P3612">
        <f>IF(B3649=0,0,O3612/B3649)</f>
        <v/>
      </c>
      <c r="Q3612">
        <f>IFERROR(1/IF(Inputs!$B$39="pvp",15,MAX(0.1,Skills!D9-IF(FALSE=TRUE,3.5,0))),0)</f>
        <v/>
      </c>
      <c r="R3612">
        <f>IF(AND(Inputs!$B$39&lt;&gt;"pvp",Inputs!$B$44&gt;0),IF(MAX(0,Inputs!$B$44-B3648)&lt;=0,0,(INT(MAX(0,Inputs!$B$44-B3648)/IF(Inputs!$B$39="pvp",15,MAX(0.1,Skills!D9-IF(FALSE=TRUE,3.5,0))))+1)),0)</f>
        <v/>
      </c>
      <c r="S3612">
        <f>IFERROR(O3612/N3612,0)</f>
        <v/>
      </c>
      <c r="T3612">
        <f>IF(C3612,(H3612*N3612*IF(AND(Inputs!$B$39&lt;&gt;"pvp",Inputs!$B$44&gt;0),((Skills!G9*((R3612-1)*IF(Skills!H9&gt;0,Skills!I9/Skills!H9,1)+IF(Skills!H9&gt;0,MIN(Skills!I9,MAX(0,MAX(0,Inputs!$B$44-B3648)-((R3612-1)*IF(Inputs!$B$39="pvp",15,MAX(0.1,Skills!D9-IF(FALSE=TRUE,3.5,0))))))/Skills!H9,1)))/Inputs!$B$44),G3612*Q3612))*IF(Inputs!$B$39="pvp",1,1+(Inputs!$B$20+0+Skills!P9+B3638+(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Hunt"),CHOOSE(ArtifactsInput!$N$35+1,15,18,21,24,27,30)*(1-EXP(-(0.2*B3641)*5)),0)+IF(AND(ArtifactsInput!$M$22,Inputs!$B$4&lt;&gt;"Chapter Hunt"),CHOOSE(ArtifactsInput!$N$22+1,10,12,14,16,18,20)*((0*(((0.15*B3641*5))^0/1)+1*(((0.15*B3641*5))^1/1)+2*(((0.15*B3641*5))^2/2)+3*(((0.15*B3641*5))^3/6)+4*(((0.15*B3641*5))^4/24)+5*(((0.15*B3641*5))^5/120))/((((0.15*B3641*5))^0/1)+(((0.15*B3641*5))^1/1)+(((0.15*B3641*5))^2/2)+(((0.15*B3641*5))^3/6)+(((0.15*B3641*5))^4/24)+(((0.15*B3641*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3612*(1-MIN(100,(Inputs!$B$9+((C3629=TRUE)*(F3629-Calc!F26))+B3637+(ArtifactsInput!$M$24-ArtifactsInput!$M$24)*CHOOSE(ArtifactsInput!$N$24+1,10,12,14,16,18,20)+(IF(AND(Inputs!$B$39&lt;&gt;"pvp",Inputs!$B$44=0),1,IF(IF(Inputs!$B$39="pvp",15,Inputs!$B$44)-(B3648)&lt;=0,1,MAX(0,IF(Inputs!$B$39="pvp",15,Inputs!$B$44)-MAX(5,B3648))/(IF(Inputs!$B$39="pvp",15,Inputs!$B$44)-(B3648))))*IF(AND(ArtifactsInput!$M$42,((Inputs!$B$9+((C3629=TRUE)*(F3629-Calc!F26))+B3637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3612*(MIN(100,(Inputs!$B$9+((C3629=TRUE)*(F3629-Calc!F26))+B3637+(ArtifactsInput!$M$24-ArtifactsInput!$M$24)*CHOOSE(ArtifactsInput!$N$24+1,10,12,14,16,18,20)+(IF(AND(Inputs!$B$39&lt;&gt;"pvp",Inputs!$B$44=0),1,IF(IF(Inputs!$B$39="pvp",15,Inputs!$B$44)-(B3648)&lt;=0,1,MAX(0,IF(Inputs!$B$39="pvp",15,Inputs!$B$44)-MAX(5,B3648))/(IF(Inputs!$B$39="pvp",15,Inputs!$B$44)-(B3648))))*IF(AND(ArtifactsInput!$M$42,((Inputs!$B$9+((C3629=TRUE)*(F3629-Calc!F26))+B3637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3612*(1-MIN(100,(Inputs!$B$9+((C3629=TRUE)*(F3629-Calc!F26))+B3637+(ArtifactsInput!$M$24-ArtifactsInput!$M$24)*CHOOSE(ArtifactsInput!$N$24+1,10,12,14,16,18,20)+(IF(AND(Inputs!$B$39&lt;&gt;"pvp",Inputs!$B$44=0),1,IF(IF(Inputs!$B$39="pvp",15,Inputs!$B$44)-(B3648)&lt;=0,1,MAX(0,IF(Inputs!$B$39="pvp",15,Inputs!$B$44)-MAX(5,B3648))/(IF(Inputs!$B$39="pvp",15,Inputs!$B$44)-(B3648))))*IF(AND(ArtifactsInput!$M$42,((Inputs!$B$9+((C3629=TRUE)*(F3629-Calc!F26))+B3637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3612*(MIN(100,(Inputs!$B$9+((C3629=TRUE)*(F3629-Calc!F26))+B3637+(ArtifactsInput!$M$24-ArtifactsInput!$M$24)*CHOOSE(ArtifactsInput!$N$24+1,10,12,14,16,18,20)+(IF(AND(Inputs!$B$39&lt;&gt;"pvp",Inputs!$B$44=0),1,IF(IF(Inputs!$B$39="pvp",15,Inputs!$B$44)-(B3648)&lt;=0,1,MAX(0,IF(Inputs!$B$39="pvp",15,Inputs!$B$44)-MAX(5,B3648))/(IF(Inputs!$B$39="pvp",15,Inputs!$B$44)-(B3648))))*IF(AND(ArtifactsInput!$M$42,((Inputs!$B$9+((C3629=TRUE)*(F3629-Calc!F26))+B3637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3612">
        <f>IF(C3612,(H3612*N3612*IF(AND(Inputs!$B$39&lt;&gt;"pvp",Inputs!$B$44&gt;0),((Skills!G9*((R3612-1)*IF(Skills!H9&gt;0,Skills!I9/Skills!H9,1)+IF(Skills!H9&gt;0,MIN(Skills!I9,MAX(0,MAX(0,Inputs!$B$44-B3648)-((R3612-1)*IF(Inputs!$B$39="pvp",15,MAX(0.1,Skills!D9-IF(FALSE=TRUE,3.5,0))))))/Skills!H9,1)))/Inputs!$B$44),G3612*Q3612))*IF(Inputs!$B$39="pvp",1,(1+(Inputs!$B$21+Skills!Q9+B3638+(IF(ArtifactsInput!$M$33,CHOOSE(ArtifactsInput!$N$33+1,30,36,42,48,54,60),0))+(IF(AND(ArtifactsInput!$M$35,Inputs!$B$4&lt;&gt;"Chapter Hunt"),CHOOSE(ArtifactsInput!$N$35+1,15,18,21,24,27,30)*(1-EXP(-(0.2*B3641)*5)),0)+IF(AND(ArtifactsInput!$M$22,Inputs!$B$4&lt;&gt;"Chapter Hunt"),CHOOSE(ArtifactsInput!$N$22+1,10,12,14,16,18,20)*((0*(((0.15*B3641*5))^0/1)+1*(((0.15*B3641*5))^1/1)+2*(((0.15*B3641*5))^2/2)+3*(((0.15*B3641*5))^3/6)+4*(((0.15*B3641*5))^4/24)+5*(((0.15*B3641*5))^5/120))/((((0.15*B3641*5))^0/1)+(((0.15*B3641*5))^1/1)+(((0.15*B3641*5))^2/2)+(((0.15*B3641*5))^3/6)+(((0.15*B3641*5))^4/24)+(((0.15*B3641*5))^5/120))),0)))/100)*(MIN(Skills!W9,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3613">
      <c r="A3613">
        <f>Skills!A10</f>
        <v/>
      </c>
      <c r="B3613">
        <f>Skills!B10</f>
        <v/>
      </c>
      <c r="C3613">
        <f>Inputs!$B$3&gt;=117</f>
        <v/>
      </c>
      <c r="D3613">
        <f>IF(Skills!C10=1,60+Inputs!$B$25+Inputs!$B$29,IF(Skills!C10=2,90+Inputs!$B$26+Inputs!$B$29,IF(Skills!C10=3,120+Inputs!$B$27+Inputs!$B$29,MAX(0,(Inputs!$B$3-100)*3)+Inputs!$B$28+Inputs!$B$29)))</f>
        <v/>
      </c>
      <c r="E3613">
        <f>INDEX(FactorTable!$B$2:$Y$301, MATCH(ROUND(MIN(300,MAX(1,D3613)),0), FactorTable!$A$2:$A$301,0), Skills!M10+1)</f>
        <v/>
      </c>
      <c r="F3613">
        <f>IF(Skills!N10=TRUE,(Skills!L10/10)*(E3613/1000),Skills!L10/10)+Skills!O10</f>
        <v/>
      </c>
      <c r="G3613">
        <f>Skills!G10*IF(Skills!H10&gt;0,IF(Inputs!$B$39="pvp",MIN(Skills!I10,15),Skills!I10)/Skills!H10,1)</f>
        <v/>
      </c>
      <c r="H3613">
        <f>1-(1-Skills!J10/100)^Skills!K10</f>
        <v/>
      </c>
      <c r="I3613" t="inlineStr">
        <is>
          <t>1</t>
        </is>
      </c>
      <c r="J3613">
        <f>((Inputs!$B$6*(1+Inputs!$B$7/100))+(((Inputs!$B$12*(1+Inputs!$B$13/100))-(Inputs!$B$12*(1+Inputs!$B$13/100)))+0.25*(Inputs!$B$14-Inputs!$B$14))*(1+Inputs!$B$7/100))*(F3613/100)</f>
        <v/>
      </c>
      <c r="K3613">
        <f>J3613*(1+((Inputs!$B$12*(1+Inputs!$B$13/100))*0.01+Inputs!$B$14*0.0025)/100)*(1+Inputs!$B$15/100)*(1+Inputs!$B$16/100)*(5000/(6000+Inputs!$B$43*(1-(100*(1-(1-Inputs!$B$19/100)*(1-CHOOSE(ArtifactsInput!$N$40+1,5,6,7,8,9,10)/100)^(ArtifactsInput!$M$40-ArtifactsInput!$M$40)))/100)))*(1+(Inputs!$B$24+((C3634=TRUE)*(F3634-Calc!F31))+((C3621=TRUE)*(F3621-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10="CRUEL_STAB",Inputs!$B$17+((C3631=TRUE)*(F3631-Calc!F28))+((IF(AND(Inputs!$B$39&lt;&gt;"pvp",Inputs!$B$44=0),1,IF(IF(Inputs!$B$39="pvp",15,Inputs!$B$44)-(B3648)&lt;=0,1,MAX(0,IF(Inputs!$B$39="pvp",15,Inputs!$B$44)-MAX(5,B3648))/(IF(Inputs!$B$39="pvp",15,Inputs!$B$44)-(B3648))))*(IF(AND(ArtifactsInput!$M$42,((Inputs!$B$9+((C3629=TRUE)*(F3629-Calc!F26))+B3637+(ArtifactsInput!$M$24-ArtifactsInput!$M$24)*CHOOSE(ArtifactsInput!$N$24+1,10,12,14,16,18,20)+IF(ArtifactsInput!$M$10,CHOOSE(ArtifactsInput!$N$10+1,15,18,21,24,27,30)*(IF(Inputs!$B$39="pvp",MIN(15,15)/15,IF(AND(Inputs!$B$39&lt;&gt;"pvp",Inputs!$B$44&gt;0),MIN(15,Inputs!$B$44)/(Inputs!$B$44),0))),0)))&gt;=100),MIN(100,((Inputs!$B$9+((C3629=TRUE)*(F3629-Calc!F26))+B3637+(ArtifactsInput!$M$24-ArtifactsInput!$M$24)*CHOOSE(ArtifactsInput!$N$24+1,10,12,14,16,18,20)+IF(ArtifactsInput!$M$10,CHOOSE(ArtifactsInput!$N$10+1,15,18,21,24,27,30)*(IF(Inputs!$B$39="pvp",MIN(15,15)/15,IF(AND(Inputs!$B$39&lt;&gt;"pvp",Inputs!$B$44&gt;0),MIN(15,Inputs!$B$44)/(Inputs!$B$44),0))),0)))-100),0))*CHOOSE(ArtifactsInput!$N$42+1,0.6,0.72,0.84,0.96,1.08,1.2))),Inputs!$B$18+((C3632=TRUE)*(F3632-Calc!F29))+(IF(AND(Inputs!$B$39&lt;&gt;"pvp",Inputs!$B$44=0),1,IF(IF(Inputs!$B$39="pvp",15,Inputs!$B$44)-(B3648)&lt;=0,1,MAX(0,IF(Inputs!$B$39="pvp",15,Inputs!$B$44)-MAX(5,B3648))/(IF(Inputs!$B$39="pvp",15,Inputs!$B$44)-(B3648))))*IF(AND(ArtifactsInput!$M$42,((Inputs!$B$9+((C3629=TRUE)*(F3629-Calc!F26))+B3637+(ArtifactsInput!$M$24-ArtifactsInput!$M$24)*CHOOSE(ArtifactsInput!$N$24+1,10,12,14,16,18,20)+IF(ArtifactsInput!$M$10,CHOOSE(ArtifactsInput!$N$10+1,15,18,21,24,27,30)*(IF(Inputs!$B$39="pvp",MIN(15,15)/15,IF(AND(Inputs!$B$39&lt;&gt;"pvp",Inputs!$B$44&gt;0),MIN(15,Inputs!$B$44)/(Inputs!$B$44),0))),0)))&gt;=100),CHOOSE(ArtifactsInput!$N$42+1,40,48,56,64,72,80),0))))/100)*(((1+(((C3625=TRUE)*F3625*IF(AND(Inputs!$B$39&lt;&gt;"pvp",Inputs!$B$44&gt;0),(((R3625-1)*MIN((Skills!Y22*(1+Inputs!$B$34/100)),(1/Q3625))+MIN((Skills!Y22*(1+Inputs!$B$34/100)),MAX(0,Inputs!$B$44-((R3625-1)*(1/Q3625)))))/Inputs!$B$44),IF(Inputs!$B$39="pvp",MIN((Skills!Y22*(1+Inputs!$B$34/100)),15)/15,MIN(1,(Skills!Y22*(1+Inputs!$B$34/100))/(1/Q3625)))))+((C3606=TRUE)*F3606*3)+((C3608=TRUE)*F3608*(1-EXP(-0.75*B3641*5)))+((C3627=TRUE)*(F3627-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3614=TRUE)*F3614*IF(AND(Inputs!$B$39&lt;&gt;"pvp",Inputs!$B$44&gt;0),(((R3614-1)*MIN((Skills!Y11*(1+Inputs!$B$34/100)),(1/Q3614))+MIN((Skills!Y11*(1+Inputs!$B$34/100)),MAX(0,Inputs!$B$44-((R3614-1)*(1/Q3614)))))/Inputs!$B$44),IF(Inputs!$B$39="pvp",MIN((Skills!Y11*(1+Inputs!$B$34/100)),15)/15,MIN(1,(Skills!Y11*(1+Inputs!$B$34/100))/(1/Q3614)))))/100)*(1+((C3619=TRUE)*F3619*IF(AND(Inputs!$B$39&lt;&gt;"pvp",Inputs!$B$44&gt;0),(((R3619-1)*MIN((Skills!Y16*(1+Inputs!$B$34/100)),(1/Q3619))+MIN((Skills!Y16*(1+Inputs!$B$34/100)),MAX(0,Inputs!$B$44-((R3619-1)*(1/Q3619)))))/Inputs!$B$44),IF(Inputs!$B$39="pvp",MIN((Skills!Y16*(1+Inputs!$B$34/100)),15)/15,MIN(1,(Skills!Y16*(1+Inputs!$B$34/100))/(1/Q3619)))))/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3639*I3613)</f>
        <v/>
      </c>
      <c r="L3613">
        <f>K3613*(MIN(Inputs!$B$22+((C3628=TRUE)*(F3628-Calc!F25)),(Inputs!$B$23+((C3633=TRUE)*(F3633-Calc!F30))+IF(ArtifactsInput!$M$15,CHOOSE(ArtifactsInput!$N$15+1,25,30,35,40,45,50)/100*(Inputs!$B$11-Inputs!$B$11),0)))/100+(Inputs!$B$23+((C3633=TRUE)*(F3633-Calc!F30))+IF(ArtifactsInput!$M$15,CHOOSE(ArtifactsInput!$N$15+1,25,30,35,40,45,50)/100*(Inputs!$B$11-Inputs!$B$11),0))/100)/2</f>
        <v/>
      </c>
      <c r="M3613">
        <f>L3613*(1+(Inputs!$B$10+((C3630=TRUE)*(F3630-Calc!F27))+B3644+(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3613">
        <f>L3613*(1-MIN((Inputs!$B$9+((C3629=TRUE)*(F3629-Calc!F26))+B3637+(ArtifactsInput!$M$24-ArtifactsInput!$M$24)*CHOOSE(ArtifactsInput!$N$24+1,10,12,14,16,18,20)+(IF(AND(Inputs!$B$39&lt;&gt;"pvp",Inputs!$B$44=0),1,IF(IF(Inputs!$B$39="pvp",15,Inputs!$B$44)-(B3648)&lt;=0,1,MAX(0,IF(Inputs!$B$39="pvp",15,Inputs!$B$44)-MAX(5,B3648))/(IF(Inputs!$B$39="pvp",15,Inputs!$B$44)-(B3648))))*IF(AND(ArtifactsInput!$M$42,((Inputs!$B$9+((C3629=TRUE)*(F3629-Calc!F26))+B3637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3613*(MIN((Inputs!$B$9+((C3629=TRUE)*(F3629-Calc!F26))+B3637+(ArtifactsInput!$M$24-ArtifactsInput!$M$24)*CHOOSE(ArtifactsInput!$N$24+1,10,12,14,16,18,20)+(IF(AND(Inputs!$B$39&lt;&gt;"pvp",Inputs!$B$44=0),1,IF(IF(Inputs!$B$39="pvp",15,Inputs!$B$44)-(B3648)&lt;=0,1,MAX(0,IF(Inputs!$B$39="pvp",15,Inputs!$B$44)-MAX(5,B3648))/(IF(Inputs!$B$39="pvp",15,Inputs!$B$44)-(B3648))))*IF(AND(ArtifactsInput!$M$42,((Inputs!$B$9+((C3629=TRUE)*(F3629-Calc!F26))+B3637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3613">
        <f>(1-Summary!$B$11)*T3613+Summary!$B$11*V3613</f>
        <v/>
      </c>
      <c r="P3613">
        <f>IF(B3649=0,0,O3613/B3649)</f>
        <v/>
      </c>
      <c r="Q3613" t="n">
        <v>0</v>
      </c>
      <c r="R3613" t="n">
        <v>0</v>
      </c>
      <c r="S3613" t="n">
        <v>0</v>
      </c>
      <c r="T3613">
        <f>IF(C3613,(0.2*SUMPRODUCT((Skills!Z2:Z31=TRUE)*(C3605:C3634=TRUE)*S3605:S3634)*N3613)*IF(Inputs!$B$39="pvp",1,1+(Inputs!$B$20+0+Skills!P10+B3638+(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Hunt"),CHOOSE(ArtifactsInput!$N$35+1,15,18,21,24,27,30)*(1-EXP(-(0.2*B3641)*5)),0)+IF(AND(ArtifactsInput!$M$22,Inputs!$B$4&lt;&gt;"Chapter Hunt"),CHOOSE(ArtifactsInput!$N$22+1,10,12,14,16,18,20)*((0*(((0.15*B3641*5))^0/1)+1*(((0.15*B3641*5))^1/1)+2*(((0.15*B3641*5))^2/2)+3*(((0.15*B3641*5))^3/6)+4*(((0.15*B3641*5))^4/24)+5*(((0.15*B3641*5))^5/120))/((((0.15*B3641*5))^0/1)+(((0.15*B3641*5))^1/1)+(((0.15*B3641*5))^2/2)+(((0.15*B3641*5))^3/6)+(((0.15*B3641*5))^4/24)+(((0.15*B3641*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3613*(1-MIN(100,(Inputs!$B$9+((C3629=TRUE)*(F3629-Calc!F26))+B3637+(ArtifactsInput!$M$24-ArtifactsInput!$M$24)*CHOOSE(ArtifactsInput!$N$24+1,10,12,14,16,18,20)+(IF(AND(Inputs!$B$39&lt;&gt;"pvp",Inputs!$B$44=0),1,IF(IF(Inputs!$B$39="pvp",15,Inputs!$B$44)-(B3648)&lt;=0,1,MAX(0,IF(Inputs!$B$39="pvp",15,Inputs!$B$44)-MAX(5,B3648))/(IF(Inputs!$B$39="pvp",15,Inputs!$B$44)-(B3648))))*IF(AND(ArtifactsInput!$M$42,((Inputs!$B$9+((C3629=TRUE)*(F3629-Calc!F26))+B3637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3613*(MIN(100,(Inputs!$B$9+((C3629=TRUE)*(F3629-Calc!F26))+B3637+(ArtifactsInput!$M$24-ArtifactsInput!$M$24)*CHOOSE(ArtifactsInput!$N$24+1,10,12,14,16,18,20)+(IF(AND(Inputs!$B$39&lt;&gt;"pvp",Inputs!$B$44=0),1,IF(IF(Inputs!$B$39="pvp",15,Inputs!$B$44)-(B3648)&lt;=0,1,MAX(0,IF(Inputs!$B$39="pvp",15,Inputs!$B$44)-MAX(5,B3648))/(IF(Inputs!$B$39="pvp",15,Inputs!$B$44)-(B3648))))*IF(AND(ArtifactsInput!$M$42,((Inputs!$B$9+((C3629=TRUE)*(F3629-Calc!F26))+B3637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3613*(1-MIN(100,(Inputs!$B$9+((C3629=TRUE)*(F3629-Calc!F26))+B3637+(ArtifactsInput!$M$24-ArtifactsInput!$M$24)*CHOOSE(ArtifactsInput!$N$24+1,10,12,14,16,18,20)+(IF(AND(Inputs!$B$39&lt;&gt;"pvp",Inputs!$B$44=0),1,IF(IF(Inputs!$B$39="pvp",15,Inputs!$B$44)-(B3648)&lt;=0,1,MAX(0,IF(Inputs!$B$39="pvp",15,Inputs!$B$44)-MAX(5,B3648))/(IF(Inputs!$B$39="pvp",15,Inputs!$B$44)-(B3648))))*IF(AND(ArtifactsInput!$M$42,((Inputs!$B$9+((C3629=TRUE)*(F3629-Calc!F26))+B3637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3613*(MIN(100,(Inputs!$B$9+((C3629=TRUE)*(F3629-Calc!F26))+B3637+(ArtifactsInput!$M$24-ArtifactsInput!$M$24)*CHOOSE(ArtifactsInput!$N$24+1,10,12,14,16,18,20)+(IF(AND(Inputs!$B$39&lt;&gt;"pvp",Inputs!$B$44=0),1,IF(IF(Inputs!$B$39="pvp",15,Inputs!$B$44)-(B3648)&lt;=0,1,MAX(0,IF(Inputs!$B$39="pvp",15,Inputs!$B$44)-MAX(5,B3648))/(IF(Inputs!$B$39="pvp",15,Inputs!$B$44)-(B3648))))*IF(AND(ArtifactsInput!$M$42,((Inputs!$B$9+((C3629=TRUE)*(F3629-Calc!F26))+B3637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3613">
        <f>IF(C3613,(0.2*SUMPRODUCT((Skills!Z2:Z31=TRUE)*(C3605:C3634=TRUE)*S3605:S3634)*N3613)*IF(Inputs!$B$39="pvp",1,(1+(Inputs!$B$21+Skills!Q10+B3638+(IF(ArtifactsInput!$M$33,CHOOSE(ArtifactsInput!$N$33+1,30,36,42,48,54,60),0))+(IF(AND(ArtifactsInput!$M$35,Inputs!$B$4&lt;&gt;"Chapter Hunt"),CHOOSE(ArtifactsInput!$N$35+1,15,18,21,24,27,30)*(1-EXP(-(0.2*B3641)*5)),0)+IF(AND(ArtifactsInput!$M$22,Inputs!$B$4&lt;&gt;"Chapter Hunt"),CHOOSE(ArtifactsInput!$N$22+1,10,12,14,16,18,20)*((0*(((0.15*B3641*5))^0/1)+1*(((0.15*B3641*5))^1/1)+2*(((0.15*B3641*5))^2/2)+3*(((0.15*B3641*5))^3/6)+4*(((0.15*B3641*5))^4/24)+5*(((0.15*B3641*5))^5/120))/((((0.15*B3641*5))^0/1)+(((0.15*B3641*5))^1/1)+(((0.15*B3641*5))^2/2)+(((0.15*B3641*5))^3/6)+(((0.15*B3641*5))^4/24)+(((0.15*B3641*5))^5/120))),0)))/100)*(MIN(Skills!W10,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3614">
      <c r="A3614">
        <f>Skills!A11</f>
        <v/>
      </c>
      <c r="B3614">
        <f>Skills!B11</f>
        <v/>
      </c>
      <c r="C3614">
        <f>Inputs!$B$3&gt;=74</f>
        <v/>
      </c>
      <c r="D3614">
        <f>IF(Skills!C11=1,60+Inputs!$B$25+Inputs!$B$29,IF(Skills!C11=2,90+Inputs!$B$26+Inputs!$B$29,IF(Skills!C11=3,120+Inputs!$B$27+Inputs!$B$29,MAX(0,(Inputs!$B$3-100)*3)+Inputs!$B$28+Inputs!$B$29)))</f>
        <v/>
      </c>
      <c r="E3614">
        <f>INDEX(FactorTable!$B$2:$Y$301, MATCH(ROUND(MIN(300,MAX(1,D3614)),0), FactorTable!$A$2:$A$301,0), Skills!M11+1)</f>
        <v/>
      </c>
      <c r="F3614">
        <f>IF(Skills!N11=TRUE,(Skills!L11/10)*(E3614/1000),Skills!L11/10)+Skills!O11</f>
        <v/>
      </c>
      <c r="G3614">
        <f>Skills!G11*IF(Skills!H11&gt;0,IF(Inputs!$B$39="pvp",MIN(Skills!I11,15),Skills!I11)/Skills!H11,1)</f>
        <v/>
      </c>
      <c r="H3614">
        <f>1-(1-Skills!J11/100)^Skills!K11</f>
        <v/>
      </c>
      <c r="I3614" t="inlineStr">
        <is>
          <t>1</t>
        </is>
      </c>
      <c r="J3614" t="inlineStr"/>
      <c r="K3614" t="inlineStr"/>
      <c r="L3614" t="inlineStr"/>
      <c r="M3614" t="inlineStr"/>
      <c r="N3614" t="inlineStr"/>
      <c r="O3614">
        <f>(1-Summary!$B$11)*T3614+Summary!$B$11*V3614</f>
        <v/>
      </c>
      <c r="P3614">
        <f>IF(B3649=0,0,O3614/B3649)</f>
        <v/>
      </c>
      <c r="Q3614">
        <f>IFERROR(1/IF(Inputs!$B$39="pvp",15,MAX(0.1,Skills!D11-IF(TRUE=TRUE,3.5,0))),0)</f>
        <v/>
      </c>
      <c r="R3614">
        <f>IF(AND(Inputs!$B$39&lt;&gt;"pvp",Inputs!$B$44&gt;0),IF(Inputs!$B$44&lt;=0,0,(INT(Inputs!$B$44/IF(Inputs!$B$39="pvp",15,MAX(0.1,Skills!D11-IF(TRUE=TRUE,3.5,0))))+1)),0)</f>
        <v/>
      </c>
      <c r="S3614">
        <f>IFERROR(O3614/N3614,0)</f>
        <v/>
      </c>
      <c r="T3614" t="n">
        <v>0</v>
      </c>
      <c r="V3614" t="n">
        <v>0</v>
      </c>
    </row>
    <row r="3615">
      <c r="A3615">
        <f>Skills!A12</f>
        <v/>
      </c>
      <c r="B3615">
        <f>Skills!B12</f>
        <v/>
      </c>
      <c r="C3615">
        <f>Inputs!$B$3&gt;=103</f>
        <v/>
      </c>
      <c r="D3615">
        <f>IF(Skills!C12=1,60+Inputs!$B$25+Inputs!$B$29,IF(Skills!C12=2,90+Inputs!$B$26+Inputs!$B$29,IF(Skills!C12=3,120+Inputs!$B$27+Inputs!$B$29,MAX(0,(Inputs!$B$3-100)*3)+Inputs!$B$28+Inputs!$B$29)))</f>
        <v/>
      </c>
      <c r="E3615">
        <f>INDEX(FactorTable!$B$2:$Y$301, MATCH(ROUND(MIN(300,MAX(1,D3615)),0), FactorTable!$A$2:$A$301,0), Skills!M12+1)</f>
        <v/>
      </c>
      <c r="F3615">
        <f>(Skills!L12/10)*(E3615/1000)+IF(Inputs!$B$3&gt;=134,50,0)+0.5*(30000/10)*(INDEX(FactorTable!$B$2:$Y$301, MATCH(ROUND(MIN(300,MAX(1,D3615)),0), FactorTable!$A$2:$A$301,0), 13)/1000)*B3647</f>
        <v/>
      </c>
      <c r="G3615">
        <f>Skills!G12*IF(Skills!H12&gt;0,IF(Inputs!$B$39="pvp",MIN(Skills!I12,15),Skills!I12)/Skills!H12,1)</f>
        <v/>
      </c>
      <c r="H3615">
        <f>1-(1-Skills!J12/100)^Skills!K12</f>
        <v/>
      </c>
      <c r="I3615" t="inlineStr">
        <is>
          <t>1</t>
        </is>
      </c>
      <c r="J3615">
        <f>((Inputs!$B$6*(1+Inputs!$B$7/100))+(((Inputs!$B$12*(1+Inputs!$B$13/100))-(Inputs!$B$12*(1+Inputs!$B$13/100)))+0.25*(Inputs!$B$14-Inputs!$B$14))*(1+Inputs!$B$7/100))*(F3615/100)</f>
        <v/>
      </c>
      <c r="K3615">
        <f>J3615*(1+((Inputs!$B$12*(1+Inputs!$B$13/100))*0.01+Inputs!$B$14*0.0025)/100)*(1+Inputs!$B$15/100)*(1+Inputs!$B$16/100)*(5000/(6000+Inputs!$B$43*(1-(100*(1-(1-Inputs!$B$19/100)*(1-CHOOSE(ArtifactsInput!$N$40+1,5,6,7,8,9,10)/100)^(ArtifactsInput!$M$40-ArtifactsInput!$M$40)))/100)))*(1+(Inputs!$B$24+((C3634=TRUE)*(F3634-Calc!F31))+((C3621=TRUE)*(F3621-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12="CRUEL_STAB",Inputs!$B$17+((C3631=TRUE)*(F3631-Calc!F28))+((IF(AND(Inputs!$B$39&lt;&gt;"pvp",Inputs!$B$44=0),1,IF(IF(Inputs!$B$39="pvp",15,Inputs!$B$44)-(B3648)&lt;=0,1,MAX(0,IF(Inputs!$B$39="pvp",15,Inputs!$B$44)-MAX(5,B3648))/(IF(Inputs!$B$39="pvp",15,Inputs!$B$44)-(B3648))))*(IF(AND(ArtifactsInput!$M$42,((Inputs!$B$9+((C3629=TRUE)*(F3629-Calc!F26))+B3637+(ArtifactsInput!$M$24-ArtifactsInput!$M$24)*CHOOSE(ArtifactsInput!$N$24+1,10,12,14,16,18,20)+IF(ArtifactsInput!$M$10,CHOOSE(ArtifactsInput!$N$10+1,15,18,21,24,27,30)*(IF(Inputs!$B$39="pvp",MIN(15,15)/15,IF(AND(Inputs!$B$39&lt;&gt;"pvp",Inputs!$B$44&gt;0),MIN(15,Inputs!$B$44)/(Inputs!$B$44),0))),0)))&gt;=100),MIN(100,((Inputs!$B$9+((C3629=TRUE)*(F3629-Calc!F26))+B3637+(ArtifactsInput!$M$24-ArtifactsInput!$M$24)*CHOOSE(ArtifactsInput!$N$24+1,10,12,14,16,18,20)+IF(ArtifactsInput!$M$10,CHOOSE(ArtifactsInput!$N$10+1,15,18,21,24,27,30)*(IF(Inputs!$B$39="pvp",MIN(15,15)/15,IF(AND(Inputs!$B$39&lt;&gt;"pvp",Inputs!$B$44&gt;0),MIN(15,Inputs!$B$44)/(Inputs!$B$44),0))),0)))-100),0))*CHOOSE(ArtifactsInput!$N$42+1,0.6,0.72,0.84,0.96,1.08,1.2))),Inputs!$B$18+((C3632=TRUE)*(F3632-Calc!F29))+(IF(AND(Inputs!$B$39&lt;&gt;"pvp",Inputs!$B$44=0),1,IF(IF(Inputs!$B$39="pvp",15,Inputs!$B$44)-(B3648)&lt;=0,1,MAX(0,IF(Inputs!$B$39="pvp",15,Inputs!$B$44)-MAX(5,B3648))/(IF(Inputs!$B$39="pvp",15,Inputs!$B$44)-(B3648))))*IF(AND(ArtifactsInput!$M$42,((Inputs!$B$9+((C3629=TRUE)*(F3629-Calc!F26))+B3637+(ArtifactsInput!$M$24-ArtifactsInput!$M$24)*CHOOSE(ArtifactsInput!$N$24+1,10,12,14,16,18,20)+IF(ArtifactsInput!$M$10,CHOOSE(ArtifactsInput!$N$10+1,15,18,21,24,27,30)*(IF(Inputs!$B$39="pvp",MIN(15,15)/15,IF(AND(Inputs!$B$39&lt;&gt;"pvp",Inputs!$B$44&gt;0),MIN(15,Inputs!$B$44)/(Inputs!$B$44),0))),0)))&gt;=100),CHOOSE(ArtifactsInput!$N$42+1,40,48,56,64,72,80),0))))/100)*(((1+(((C3625=TRUE)*F3625*IF(AND(Inputs!$B$39&lt;&gt;"pvp",Inputs!$B$44&gt;0),(((R3625-1)*MIN((Skills!Y22*(1+Inputs!$B$34/100)),(1/Q3625))+MIN((Skills!Y22*(1+Inputs!$B$34/100)),MAX(0,Inputs!$B$44-((R3625-1)*(1/Q3625)))))/Inputs!$B$44),IF(Inputs!$B$39="pvp",MIN((Skills!Y22*(1+Inputs!$B$34/100)),15)/15,MIN(1,(Skills!Y22*(1+Inputs!$B$34/100))/(1/Q3625)))))+((C3606=TRUE)*F3606*3)+((C3608=TRUE)*F3608*(1-EXP(-0.75*B3641*5)))+((C3627=TRUE)*(F3627-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3614=TRUE)*F3614*IF(AND(Inputs!$B$39&lt;&gt;"pvp",Inputs!$B$44&gt;0),(((R3614-1)*MIN((Skills!Y11*(1+Inputs!$B$34/100)),(1/Q3614))+MIN((Skills!Y11*(1+Inputs!$B$34/100)),MAX(0,Inputs!$B$44-((R3614-1)*(1/Q3614)))))/Inputs!$B$44),IF(Inputs!$B$39="pvp",MIN((Skills!Y11*(1+Inputs!$B$34/100)),15)/15,MIN(1,(Skills!Y11*(1+Inputs!$B$34/100))/(1/Q3614)))))/100)*(1+((C3619=TRUE)*F3619*IF(AND(Inputs!$B$39&lt;&gt;"pvp",Inputs!$B$44&gt;0),(((R3619-1)*MIN((Skills!Y16*(1+Inputs!$B$34/100)),(1/Q3619))+MIN((Skills!Y16*(1+Inputs!$B$34/100)),MAX(0,Inputs!$B$44-((R3619-1)*(1/Q3619)))))/Inputs!$B$44),IF(Inputs!$B$39="pvp",MIN((Skills!Y16*(1+Inputs!$B$34/100)),15)/15,MIN(1,(Skills!Y16*(1+Inputs!$B$34/100))/(1/Q3619)))))/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3639*I3615)</f>
        <v/>
      </c>
      <c r="L3615">
        <f>K3615*(MIN(Inputs!$B$22+((C3628=TRUE)*(F3628-Calc!F25)),(Inputs!$B$23+((C3633=TRUE)*(F3633-Calc!F30))+IF(ArtifactsInput!$M$15,CHOOSE(ArtifactsInput!$N$15+1,25,30,35,40,45,50)/100*(Inputs!$B$11-Inputs!$B$11),0)))/100+(Inputs!$B$23+((C3633=TRUE)*(F3633-Calc!F30))+IF(ArtifactsInput!$M$15,CHOOSE(ArtifactsInput!$N$15+1,25,30,35,40,45,50)/100*(Inputs!$B$11-Inputs!$B$11),0))/100)/2</f>
        <v/>
      </c>
      <c r="M3615">
        <f>L3615*(1+(Inputs!$B$10+((C3630=TRUE)*(F3630-Calc!F27))+B3644+(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3615">
        <f>L3615*(1-MIN((Inputs!$B$9+((C3629=TRUE)*(F3629-Calc!F26))+B3637+(ArtifactsInput!$M$24-ArtifactsInput!$M$24)*CHOOSE(ArtifactsInput!$N$24+1,10,12,14,16,18,20)+(IF(AND(Inputs!$B$39&lt;&gt;"pvp",Inputs!$B$44=0),1,IF(IF(Inputs!$B$39="pvp",15,Inputs!$B$44)-(B3648)&lt;=0,1,MAX(0,IF(Inputs!$B$39="pvp",15,Inputs!$B$44)-MAX(5,B3648))/(IF(Inputs!$B$39="pvp",15,Inputs!$B$44)-(B3648))))*IF(AND(ArtifactsInput!$M$42,((Inputs!$B$9+((C3629=TRUE)*(F3629-Calc!F26))+B3637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3615*(MIN((Inputs!$B$9+((C3629=TRUE)*(F3629-Calc!F26))+B3637+(ArtifactsInput!$M$24-ArtifactsInput!$M$24)*CHOOSE(ArtifactsInput!$N$24+1,10,12,14,16,18,20)+(IF(AND(Inputs!$B$39&lt;&gt;"pvp",Inputs!$B$44=0),1,IF(IF(Inputs!$B$39="pvp",15,Inputs!$B$44)-(B3648)&lt;=0,1,MAX(0,IF(Inputs!$B$39="pvp",15,Inputs!$B$44)-MAX(5,B3648))/(IF(Inputs!$B$39="pvp",15,Inputs!$B$44)-(B3648))))*IF(AND(ArtifactsInput!$M$42,((Inputs!$B$9+((C3629=TRUE)*(F3629-Calc!F26))+B3637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3615">
        <f>(1-Summary!$B$11)*T3615+Summary!$B$11*V3615</f>
        <v/>
      </c>
      <c r="P3615">
        <f>IF(B3649=0,0,O3615/B3649)</f>
        <v/>
      </c>
      <c r="Q3615">
        <f>IFERROR(1/IF(Inputs!$B$39="pvp",15,MAX(0.1,Skills!D12-IF(TRUE=TRUE,3.5,0))),0)</f>
        <v/>
      </c>
      <c r="R3615">
        <f>IF(AND(Inputs!$B$39&lt;&gt;"pvp",Inputs!$B$44&gt;0),IF(MAX(0,Inputs!$B$44-B3648)&lt;=0,0,(INT(MAX(0,Inputs!$B$44-B3648)/IF(Inputs!$B$39="pvp",15,MAX(0.1,Skills!D12-IF(TRUE=TRUE,3.5,0))))+1)),0)</f>
        <v/>
      </c>
      <c r="S3615">
        <f>IFERROR(O3615/N3615,0)</f>
        <v/>
      </c>
      <c r="T3615">
        <f>IF(C3615,(H3615*N3615*IF(AND(Inputs!$B$39&lt;&gt;"pvp",Inputs!$B$44&gt;0),((Skills!G12*((R3615-1)*IF(Skills!H12&gt;0,Skills!I12/Skills!H12,1)+IF(Skills!H12&gt;0,MIN(Skills!I12,MAX(0,MAX(0,Inputs!$B$44-B3648)-((R3615-1)*IF(Inputs!$B$39="pvp",15,MAX(0.1,Skills!D12-IF(TRUE=TRUE,3.5,0))))))/Skills!H12,1)))/Inputs!$B$44),G3615*Q3615))*IF(Inputs!$B$39="pvp",1,1+(Inputs!$B$20+0+Skills!P12+B3638+(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Hunt"),CHOOSE(ArtifactsInput!$N$35+1,15,18,21,24,27,30)*(1-EXP(-(0.2*B3641)*5)),0)+IF(AND(ArtifactsInput!$M$22,Inputs!$B$4&lt;&gt;"Chapter Hunt"),CHOOSE(ArtifactsInput!$N$22+1,10,12,14,16,18,20)*((0*(((0.15*B3641*5))^0/1)+1*(((0.15*B3641*5))^1/1)+2*(((0.15*B3641*5))^2/2)+3*(((0.15*B3641*5))^3/6)+4*(((0.15*B3641*5))^4/24)+5*(((0.15*B3641*5))^5/120))/((((0.15*B3641*5))^0/1)+(((0.15*B3641*5))^1/1)+(((0.15*B3641*5))^2/2)+(((0.15*B3641*5))^3/6)+(((0.15*B3641*5))^4/24)+(((0.15*B3641*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3615*(1-MIN(100,(Inputs!$B$9+((C3629=TRUE)*(F3629-Calc!F26))+B3637+(ArtifactsInput!$M$24-ArtifactsInput!$M$24)*CHOOSE(ArtifactsInput!$N$24+1,10,12,14,16,18,20)+(IF(AND(Inputs!$B$39&lt;&gt;"pvp",Inputs!$B$44=0),1,IF(IF(Inputs!$B$39="pvp",15,Inputs!$B$44)-(B3648)&lt;=0,1,MAX(0,IF(Inputs!$B$39="pvp",15,Inputs!$B$44)-MAX(5,B3648))/(IF(Inputs!$B$39="pvp",15,Inputs!$B$44)-(B3648))))*IF(AND(ArtifactsInput!$M$42,((Inputs!$B$9+((C3629=TRUE)*(F3629-Calc!F26))+B3637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3615*(MIN(100,(Inputs!$B$9+((C3629=TRUE)*(F3629-Calc!F26))+B3637+(ArtifactsInput!$M$24-ArtifactsInput!$M$24)*CHOOSE(ArtifactsInput!$N$24+1,10,12,14,16,18,20)+(IF(AND(Inputs!$B$39&lt;&gt;"pvp",Inputs!$B$44=0),1,IF(IF(Inputs!$B$39="pvp",15,Inputs!$B$44)-(B3648)&lt;=0,1,MAX(0,IF(Inputs!$B$39="pvp",15,Inputs!$B$44)-MAX(5,B3648))/(IF(Inputs!$B$39="pvp",15,Inputs!$B$44)-(B3648))))*IF(AND(ArtifactsInput!$M$42,((Inputs!$B$9+((C3629=TRUE)*(F3629-Calc!F26))+B3637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3615*(1-MIN(100,(Inputs!$B$9+((C3629=TRUE)*(F3629-Calc!F26))+B3637+(ArtifactsInput!$M$24-ArtifactsInput!$M$24)*CHOOSE(ArtifactsInput!$N$24+1,10,12,14,16,18,20)+(IF(AND(Inputs!$B$39&lt;&gt;"pvp",Inputs!$B$44=0),1,IF(IF(Inputs!$B$39="pvp",15,Inputs!$B$44)-(B3648)&lt;=0,1,MAX(0,IF(Inputs!$B$39="pvp",15,Inputs!$B$44)-MAX(5,B3648))/(IF(Inputs!$B$39="pvp",15,Inputs!$B$44)-(B3648))))*IF(AND(ArtifactsInput!$M$42,((Inputs!$B$9+((C3629=TRUE)*(F3629-Calc!F26))+B3637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3615*(MIN(100,(Inputs!$B$9+((C3629=TRUE)*(F3629-Calc!F26))+B3637+(ArtifactsInput!$M$24-ArtifactsInput!$M$24)*CHOOSE(ArtifactsInput!$N$24+1,10,12,14,16,18,20)+(IF(AND(Inputs!$B$39&lt;&gt;"pvp",Inputs!$B$44=0),1,IF(IF(Inputs!$B$39="pvp",15,Inputs!$B$44)-(B3648)&lt;=0,1,MAX(0,IF(Inputs!$B$39="pvp",15,Inputs!$B$44)-MAX(5,B3648))/(IF(Inputs!$B$39="pvp",15,Inputs!$B$44)-(B3648))))*IF(AND(ArtifactsInput!$M$42,((Inputs!$B$9+((C3629=TRUE)*(F3629-Calc!F26))+B3637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3615">
        <f>IF(C3615,(H3615*N3615*IF(AND(Inputs!$B$39&lt;&gt;"pvp",Inputs!$B$44&gt;0),((Skills!G12*((R3615-1)*IF(Skills!H12&gt;0,Skills!I12/Skills!H12,1)+IF(Skills!H12&gt;0,MIN(Skills!I12,MAX(0,MAX(0,Inputs!$B$44-B3648)-((R3615-1)*IF(Inputs!$B$39="pvp",15,MAX(0.1,Skills!D12-IF(TRUE=TRUE,3.5,0))))))/Skills!H12,1)))/Inputs!$B$44),G3615*Q3615))*IF(Inputs!$B$39="pvp",1,(1+(Inputs!$B$21+Skills!Q12+B3638+(IF(ArtifactsInput!$M$33,CHOOSE(ArtifactsInput!$N$33+1,30,36,42,48,54,60),0))+(IF(AND(ArtifactsInput!$M$35,Inputs!$B$4&lt;&gt;"Chapter Hunt"),CHOOSE(ArtifactsInput!$N$35+1,15,18,21,24,27,30)*(1-EXP(-(0.2*B3641)*5)),0)+IF(AND(ArtifactsInput!$M$22,Inputs!$B$4&lt;&gt;"Chapter Hunt"),CHOOSE(ArtifactsInput!$N$22+1,10,12,14,16,18,20)*((0*(((0.15*B3641*5))^0/1)+1*(((0.15*B3641*5))^1/1)+2*(((0.15*B3641*5))^2/2)+3*(((0.15*B3641*5))^3/6)+4*(((0.15*B3641*5))^4/24)+5*(((0.15*B3641*5))^5/120))/((((0.15*B3641*5))^0/1)+(((0.15*B3641*5))^1/1)+(((0.15*B3641*5))^2/2)+(((0.15*B3641*5))^3/6)+(((0.15*B3641*5))^4/24)+(((0.15*B3641*5))^5/120))),0)))/100)*(MIN(Skills!W12,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3616">
      <c r="A3616">
        <f>Skills!A13</f>
        <v/>
      </c>
      <c r="B3616">
        <f>Skills!B13</f>
        <v/>
      </c>
      <c r="C3616">
        <f>Inputs!$B$3&gt;=105</f>
        <v/>
      </c>
      <c r="D3616">
        <f>IF(Skills!C13=1,60+Inputs!$B$25+Inputs!$B$29,IF(Skills!C13=2,90+Inputs!$B$26+Inputs!$B$29,IF(Skills!C13=3,120+Inputs!$B$27+Inputs!$B$29,MAX(0,(Inputs!$B$3-100)*3)+Inputs!$B$28+Inputs!$B$29)))</f>
        <v/>
      </c>
      <c r="E3616">
        <f>INDEX(FactorTable!$B$2:$Y$301, MATCH(ROUND(MIN(300,MAX(1,D3616)),0), FactorTable!$A$2:$A$301,0), Skills!M13+1)</f>
        <v/>
      </c>
      <c r="F3616">
        <f>IF(Skills!N13=TRUE,(Skills!L13/10)*(E3616/1000),Skills!L13/10)+Skills!O13</f>
        <v/>
      </c>
      <c r="G3616">
        <f>Skills!G13*IF(Skills!H13&gt;0,IF(Inputs!$B$39="pvp",MIN(Skills!I13,15),Skills!I13)/Skills!H13,1)</f>
        <v/>
      </c>
      <c r="H3616">
        <f>1-(1-Skills!J13/100)^Skills!K13</f>
        <v/>
      </c>
      <c r="I3616" t="inlineStr">
        <is>
          <t>1</t>
        </is>
      </c>
      <c r="J3616">
        <f>((Inputs!$B$6*(1+Inputs!$B$7/100))+(((Inputs!$B$12*(1+Inputs!$B$13/100))-(Inputs!$B$12*(1+Inputs!$B$13/100)))+0.25*(Inputs!$B$14-Inputs!$B$14))*(1+Inputs!$B$7/100))*(F3616/100)</f>
        <v/>
      </c>
      <c r="K3616">
        <f>J3616*(1+((Inputs!$B$12*(1+Inputs!$B$13/100))*0.01+Inputs!$B$14*0.0025)/100)*(1+Inputs!$B$15/100)*(1+Inputs!$B$16/100)*(5000/(6000+Inputs!$B$43*(1-(100*(1-(1-Inputs!$B$19/100)*(1-CHOOSE(ArtifactsInput!$N$40+1,5,6,7,8,9,10)/100)^(ArtifactsInput!$M$40-ArtifactsInput!$M$40)))/100)))*(1+(Inputs!$B$24+((C3634=TRUE)*(F3634-Calc!F31))+((C3621=TRUE)*(F3621-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13="CRUEL_STAB",Inputs!$B$17+((C3631=TRUE)*(F3631-Calc!F28))+((IF(AND(Inputs!$B$39&lt;&gt;"pvp",Inputs!$B$44=0),1,IF(IF(Inputs!$B$39="pvp",15,Inputs!$B$44)-(B3648)&lt;=0,1,MAX(0,IF(Inputs!$B$39="pvp",15,Inputs!$B$44)-MAX(5,B3648))/(IF(Inputs!$B$39="pvp",15,Inputs!$B$44)-(B3648))))*(IF(AND(ArtifactsInput!$M$42,((Inputs!$B$9+((C3629=TRUE)*(F3629-Calc!F26))+B3637+(ArtifactsInput!$M$24-ArtifactsInput!$M$24)*CHOOSE(ArtifactsInput!$N$24+1,10,12,14,16,18,20)+IF(ArtifactsInput!$M$10,CHOOSE(ArtifactsInput!$N$10+1,15,18,21,24,27,30)*(IF(Inputs!$B$39="pvp",MIN(15,15)/15,IF(AND(Inputs!$B$39&lt;&gt;"pvp",Inputs!$B$44&gt;0),MIN(15,Inputs!$B$44)/(Inputs!$B$44),0))),0)))&gt;=100),MIN(100,((Inputs!$B$9+((C3629=TRUE)*(F3629-Calc!F26))+B3637+(ArtifactsInput!$M$24-ArtifactsInput!$M$24)*CHOOSE(ArtifactsInput!$N$24+1,10,12,14,16,18,20)+IF(ArtifactsInput!$M$10,CHOOSE(ArtifactsInput!$N$10+1,15,18,21,24,27,30)*(IF(Inputs!$B$39="pvp",MIN(15,15)/15,IF(AND(Inputs!$B$39&lt;&gt;"pvp",Inputs!$B$44&gt;0),MIN(15,Inputs!$B$44)/(Inputs!$B$44),0))),0)))-100),0))*CHOOSE(ArtifactsInput!$N$42+1,0.6,0.72,0.84,0.96,1.08,1.2))),Inputs!$B$18+((C3632=TRUE)*(F3632-Calc!F29))+(IF(AND(Inputs!$B$39&lt;&gt;"pvp",Inputs!$B$44=0),1,IF(IF(Inputs!$B$39="pvp",15,Inputs!$B$44)-(B3648)&lt;=0,1,MAX(0,IF(Inputs!$B$39="pvp",15,Inputs!$B$44)-MAX(5,B3648))/(IF(Inputs!$B$39="pvp",15,Inputs!$B$44)-(B3648))))*IF(AND(ArtifactsInput!$M$42,((Inputs!$B$9+((C3629=TRUE)*(F3629-Calc!F26))+B3637+(ArtifactsInput!$M$24-ArtifactsInput!$M$24)*CHOOSE(ArtifactsInput!$N$24+1,10,12,14,16,18,20)+IF(ArtifactsInput!$M$10,CHOOSE(ArtifactsInput!$N$10+1,15,18,21,24,27,30)*(IF(Inputs!$B$39="pvp",MIN(15,15)/15,IF(AND(Inputs!$B$39&lt;&gt;"pvp",Inputs!$B$44&gt;0),MIN(15,Inputs!$B$44)/(Inputs!$B$44),0))),0)))&gt;=100),CHOOSE(ArtifactsInput!$N$42+1,40,48,56,64,72,80),0))))/100)*(((1+(((C3625=TRUE)*F3625*IF(AND(Inputs!$B$39&lt;&gt;"pvp",Inputs!$B$44&gt;0),(((R3625-1)*MIN((Skills!Y22*(1+Inputs!$B$34/100)),(1/Q3625))+MIN((Skills!Y22*(1+Inputs!$B$34/100)),MAX(0,Inputs!$B$44-((R3625-1)*(1/Q3625)))))/Inputs!$B$44),IF(Inputs!$B$39="pvp",MIN((Skills!Y22*(1+Inputs!$B$34/100)),15)/15,MIN(1,(Skills!Y22*(1+Inputs!$B$34/100))/(1/Q3625)))))+((C3606=TRUE)*F3606*3)+((C3608=TRUE)*F3608*(1-EXP(-0.75*B3641*5)))+((C3627=TRUE)*(F3627-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3614=TRUE)*F3614*IF(AND(Inputs!$B$39&lt;&gt;"pvp",Inputs!$B$44&gt;0),(((R3614-1)*MIN((Skills!Y11*(1+Inputs!$B$34/100)),(1/Q3614))+MIN((Skills!Y11*(1+Inputs!$B$34/100)),MAX(0,Inputs!$B$44-((R3614-1)*(1/Q3614)))))/Inputs!$B$44),IF(Inputs!$B$39="pvp",MIN((Skills!Y11*(1+Inputs!$B$34/100)),15)/15,MIN(1,(Skills!Y11*(1+Inputs!$B$34/100))/(1/Q3614)))))/100)*(1+((C3619=TRUE)*F3619*IF(AND(Inputs!$B$39&lt;&gt;"pvp",Inputs!$B$44&gt;0),(((R3619-1)*MIN((Skills!Y16*(1+Inputs!$B$34/100)),(1/Q3619))+MIN((Skills!Y16*(1+Inputs!$B$34/100)),MAX(0,Inputs!$B$44-((R3619-1)*(1/Q3619)))))/Inputs!$B$44),IF(Inputs!$B$39="pvp",MIN((Skills!Y16*(1+Inputs!$B$34/100)),15)/15,MIN(1,(Skills!Y16*(1+Inputs!$B$34/100))/(1/Q3619)))))/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3639*I3616)</f>
        <v/>
      </c>
      <c r="L3616">
        <f>K3616*(MIN(Inputs!$B$22+((C3628=TRUE)*(F3628-Calc!F25)),(Inputs!$B$23+((C3633=TRUE)*(F3633-Calc!F30))+IF(ArtifactsInput!$M$15,CHOOSE(ArtifactsInput!$N$15+1,25,30,35,40,45,50)/100*(Inputs!$B$11-Inputs!$B$11),0)))/100+(Inputs!$B$23+((C3633=TRUE)*(F3633-Calc!F30))+IF(ArtifactsInput!$M$15,CHOOSE(ArtifactsInput!$N$15+1,25,30,35,40,45,50)/100*(Inputs!$B$11-Inputs!$B$11),0))/100)/2</f>
        <v/>
      </c>
      <c r="M3616">
        <f>L3616*(1+(Inputs!$B$10+((C3630=TRUE)*(F3630-Calc!F27))+B3644+(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3616">
        <f>L3616*(1-MIN((Inputs!$B$9+((C3629=TRUE)*(F3629-Calc!F26))+B3637+(ArtifactsInput!$M$24-ArtifactsInput!$M$24)*CHOOSE(ArtifactsInput!$N$24+1,10,12,14,16,18,20)+(IF(AND(Inputs!$B$39&lt;&gt;"pvp",Inputs!$B$44=0),1,IF(IF(Inputs!$B$39="pvp",15,Inputs!$B$44)-(B3648)&lt;=0,1,MAX(0,IF(Inputs!$B$39="pvp",15,Inputs!$B$44)-MAX(5,B3648))/(IF(Inputs!$B$39="pvp",15,Inputs!$B$44)-(B3648))))*IF(AND(ArtifactsInput!$M$42,((Inputs!$B$9+((C3629=TRUE)*(F3629-Calc!F26))+B3637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3616*(MIN((Inputs!$B$9+((C3629=TRUE)*(F3629-Calc!F26))+B3637+(ArtifactsInput!$M$24-ArtifactsInput!$M$24)*CHOOSE(ArtifactsInput!$N$24+1,10,12,14,16,18,20)+(IF(AND(Inputs!$B$39&lt;&gt;"pvp",Inputs!$B$44=0),1,IF(IF(Inputs!$B$39="pvp",15,Inputs!$B$44)-(B3648)&lt;=0,1,MAX(0,IF(Inputs!$B$39="pvp",15,Inputs!$B$44)-MAX(5,B3648))/(IF(Inputs!$B$39="pvp",15,Inputs!$B$44)-(B3648))))*IF(AND(ArtifactsInput!$M$42,((Inputs!$B$9+((C3629=TRUE)*(F3629-Calc!F26))+B3637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3616">
        <f>(1-Summary!$B$11)*T3616+Summary!$B$11*V3616</f>
        <v/>
      </c>
      <c r="P3616">
        <f>IF(B3649=0,0,O3616/B3649)</f>
        <v/>
      </c>
      <c r="Q3616">
        <f>IFERROR(1/IF(Inputs!$B$39="pvp",15,MAX(0.1,Skills!D13-IF(TRUE=TRUE,3.5,0))),0)</f>
        <v/>
      </c>
      <c r="R3616">
        <f>IF(AND(Inputs!$B$39&lt;&gt;"pvp",Inputs!$B$44&gt;0),IF(MAX(0,Inputs!$B$44-B3648)&lt;=0,0,(INT(MAX(0,Inputs!$B$44-B3648)/IF(Inputs!$B$39="pvp",15,MAX(0.1,Skills!D13-IF(TRUE=TRUE,3.5,0))))+1)),0)</f>
        <v/>
      </c>
      <c r="S3616">
        <f>IFERROR(O3616/N3616,0)</f>
        <v/>
      </c>
      <c r="T3616">
        <f>IF(C3616,(H3616*N3616*IF(AND(Inputs!$B$39&lt;&gt;"pvp",Inputs!$B$44&gt;0),((Skills!G13*((R3616-1)*IF(Skills!H13&gt;0,Skills!I13/Skills!H13,1)+IF(Skills!H13&gt;0,MIN(Skills!I13,MAX(0,MAX(0,Inputs!$B$44-B3648)-((R3616-1)*IF(Inputs!$B$39="pvp",15,MAX(0.1,Skills!D13-IF(TRUE=TRUE,3.5,0))))))/Skills!H13,1)))/Inputs!$B$44),G3616*Q3616))*IF(Inputs!$B$39="pvp",1,1+(Inputs!$B$20+0+Skills!P13+B3638+(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Hunt"),CHOOSE(ArtifactsInput!$N$35+1,15,18,21,24,27,30)*(1-EXP(-(0.2*B3641)*5)),0)+IF(AND(ArtifactsInput!$M$22,Inputs!$B$4&lt;&gt;"Chapter Hunt"),CHOOSE(ArtifactsInput!$N$22+1,10,12,14,16,18,20)*((0*(((0.15*B3641*5))^0/1)+1*(((0.15*B3641*5))^1/1)+2*(((0.15*B3641*5))^2/2)+3*(((0.15*B3641*5))^3/6)+4*(((0.15*B3641*5))^4/24)+5*(((0.15*B3641*5))^5/120))/((((0.15*B3641*5))^0/1)+(((0.15*B3641*5))^1/1)+(((0.15*B3641*5))^2/2)+(((0.15*B3641*5))^3/6)+(((0.15*B3641*5))^4/24)+(((0.15*B3641*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3616*(1-MIN(100,(Inputs!$B$9+((C3629=TRUE)*(F3629-Calc!F26))+B3637+(ArtifactsInput!$M$24-ArtifactsInput!$M$24)*CHOOSE(ArtifactsInput!$N$24+1,10,12,14,16,18,20)+(IF(AND(Inputs!$B$39&lt;&gt;"pvp",Inputs!$B$44=0),1,IF(IF(Inputs!$B$39="pvp",15,Inputs!$B$44)-(B3648)&lt;=0,1,MAX(0,IF(Inputs!$B$39="pvp",15,Inputs!$B$44)-MAX(5,B3648))/(IF(Inputs!$B$39="pvp",15,Inputs!$B$44)-(B3648))))*IF(AND(ArtifactsInput!$M$42,((Inputs!$B$9+((C3629=TRUE)*(F3629-Calc!F26))+B3637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3616*(MIN(100,(Inputs!$B$9+((C3629=TRUE)*(F3629-Calc!F26))+B3637+(ArtifactsInput!$M$24-ArtifactsInput!$M$24)*CHOOSE(ArtifactsInput!$N$24+1,10,12,14,16,18,20)+(IF(AND(Inputs!$B$39&lt;&gt;"pvp",Inputs!$B$44=0),1,IF(IF(Inputs!$B$39="pvp",15,Inputs!$B$44)-(B3648)&lt;=0,1,MAX(0,IF(Inputs!$B$39="pvp",15,Inputs!$B$44)-MAX(5,B3648))/(IF(Inputs!$B$39="pvp",15,Inputs!$B$44)-(B3648))))*IF(AND(ArtifactsInput!$M$42,((Inputs!$B$9+((C3629=TRUE)*(F3629-Calc!F26))+B3637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3616*(1-MIN(100,(Inputs!$B$9+((C3629=TRUE)*(F3629-Calc!F26))+B3637+(ArtifactsInput!$M$24-ArtifactsInput!$M$24)*CHOOSE(ArtifactsInput!$N$24+1,10,12,14,16,18,20)+(IF(AND(Inputs!$B$39&lt;&gt;"pvp",Inputs!$B$44=0),1,IF(IF(Inputs!$B$39="pvp",15,Inputs!$B$44)-(B3648)&lt;=0,1,MAX(0,IF(Inputs!$B$39="pvp",15,Inputs!$B$44)-MAX(5,B3648))/(IF(Inputs!$B$39="pvp",15,Inputs!$B$44)-(B3648))))*IF(AND(ArtifactsInput!$M$42,((Inputs!$B$9+((C3629=TRUE)*(F3629-Calc!F26))+B3637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3616*(MIN(100,(Inputs!$B$9+((C3629=TRUE)*(F3629-Calc!F26))+B3637+(ArtifactsInput!$M$24-ArtifactsInput!$M$24)*CHOOSE(ArtifactsInput!$N$24+1,10,12,14,16,18,20)+(IF(AND(Inputs!$B$39&lt;&gt;"pvp",Inputs!$B$44=0),1,IF(IF(Inputs!$B$39="pvp",15,Inputs!$B$44)-(B3648)&lt;=0,1,MAX(0,IF(Inputs!$B$39="pvp",15,Inputs!$B$44)-MAX(5,B3648))/(IF(Inputs!$B$39="pvp",15,Inputs!$B$44)-(B3648))))*IF(AND(ArtifactsInput!$M$42,((Inputs!$B$9+((C3629=TRUE)*(F3629-Calc!F26))+B3637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3616">
        <f>IF(C3616,(H3616*N3616*IF(AND(Inputs!$B$39&lt;&gt;"pvp",Inputs!$B$44&gt;0),((Skills!G13*((R3616-1)*IF(Skills!H13&gt;0,Skills!I13/Skills!H13,1)+IF(Skills!H13&gt;0,MIN(Skills!I13,MAX(0,MAX(0,Inputs!$B$44-B3648)-((R3616-1)*IF(Inputs!$B$39="pvp",15,MAX(0.1,Skills!D13-IF(TRUE=TRUE,3.5,0))))))/Skills!H13,1)))/Inputs!$B$44),G3616*Q3616))*IF(Inputs!$B$39="pvp",1,(1+(Inputs!$B$21+Skills!Q13+B3638+(IF(ArtifactsInput!$M$33,CHOOSE(ArtifactsInput!$N$33+1,30,36,42,48,54,60),0))+(IF(AND(ArtifactsInput!$M$35,Inputs!$B$4&lt;&gt;"Chapter Hunt"),CHOOSE(ArtifactsInput!$N$35+1,15,18,21,24,27,30)*(1-EXP(-(0.2*B3641)*5)),0)+IF(AND(ArtifactsInput!$M$22,Inputs!$B$4&lt;&gt;"Chapter Hunt"),CHOOSE(ArtifactsInput!$N$22+1,10,12,14,16,18,20)*((0*(((0.15*B3641*5))^0/1)+1*(((0.15*B3641*5))^1/1)+2*(((0.15*B3641*5))^2/2)+3*(((0.15*B3641*5))^3/6)+4*(((0.15*B3641*5))^4/24)+5*(((0.15*B3641*5))^5/120))/((((0.15*B3641*5))^0/1)+(((0.15*B3641*5))^1/1)+(((0.15*B3641*5))^2/2)+(((0.15*B3641*5))^3/6)+(((0.15*B3641*5))^4/24)+(((0.15*B3641*5))^5/120))),0)))/100)*(MIN(Skills!W13,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3617">
      <c r="A3617">
        <f>Skills!A14</f>
        <v/>
      </c>
      <c r="B3617">
        <f>Skills!B14</f>
        <v/>
      </c>
      <c r="C3617">
        <f>Inputs!$B$3&gt;=105</f>
        <v/>
      </c>
      <c r="D3617">
        <f>IF(Skills!C14=1,60+Inputs!$B$25+Inputs!$B$29,IF(Skills!C14=2,90+Inputs!$B$26+Inputs!$B$29,IF(Skills!C14=3,120+Inputs!$B$27+Inputs!$B$29,MAX(0,(Inputs!$B$3-100)*3)+Inputs!$B$28+Inputs!$B$29)))</f>
        <v/>
      </c>
      <c r="E3617">
        <f>INDEX(FactorTable!$B$2:$Y$301, MATCH(ROUND(MIN(300,MAX(1,D3617)),0), FactorTable!$A$2:$A$301,0), Skills!M14+1)</f>
        <v/>
      </c>
      <c r="F3617">
        <f>IF(Skills!N14=TRUE,(Skills!L14/10)*(E3617/1000),Skills!L14/10)+Skills!O14</f>
        <v/>
      </c>
      <c r="G3617">
        <f>Skills!G14*IF(Skills!H14&gt;0,IF(Inputs!$B$39="pvp",MIN(Skills!I14,15),Skills!I14)/Skills!H14,1)</f>
        <v/>
      </c>
      <c r="H3617">
        <f>1-(1-Skills!J14/100)^Skills!K14</f>
        <v/>
      </c>
      <c r="I3617" t="inlineStr">
        <is>
          <t>1</t>
        </is>
      </c>
      <c r="J3617">
        <f>((Inputs!$B$6*(1+Inputs!$B$7/100))+(((Inputs!$B$12*(1+Inputs!$B$13/100))-(Inputs!$B$12*(1+Inputs!$B$13/100)))+0.25*(Inputs!$B$14-Inputs!$B$14))*(1+Inputs!$B$7/100))*(F3617/100)</f>
        <v/>
      </c>
      <c r="K3617">
        <f>J3617*(1+((Inputs!$B$12*(1+Inputs!$B$13/100))*0.01+Inputs!$B$14*0.0025)/100)*(1+Inputs!$B$15/100)*(1+Inputs!$B$16/100)*(5000/(6000+Inputs!$B$43*(1-(100*(1-(1-Inputs!$B$19/100)*(1-CHOOSE(ArtifactsInput!$N$40+1,5,6,7,8,9,10)/100)^(ArtifactsInput!$M$40-ArtifactsInput!$M$40)))/100)))*(1+(Inputs!$B$24+((C3634=TRUE)*(F3634-Calc!F31))+((C3621=TRUE)*(F3621-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14="CRUEL_STAB",Inputs!$B$17+((C3631=TRUE)*(F3631-Calc!F28))+((IF(AND(Inputs!$B$39&lt;&gt;"pvp",Inputs!$B$44=0),1,IF(IF(Inputs!$B$39="pvp",15,Inputs!$B$44)-(B3648)&lt;=0,1,MAX(0,IF(Inputs!$B$39="pvp",15,Inputs!$B$44)-MAX(5,B3648))/(IF(Inputs!$B$39="pvp",15,Inputs!$B$44)-(B3648))))*(IF(AND(ArtifactsInput!$M$42,((Inputs!$B$9+((C3629=TRUE)*(F3629-Calc!F26))+B3637+(ArtifactsInput!$M$24-ArtifactsInput!$M$24)*CHOOSE(ArtifactsInput!$N$24+1,10,12,14,16,18,20)+IF(ArtifactsInput!$M$10,CHOOSE(ArtifactsInput!$N$10+1,15,18,21,24,27,30)*(IF(Inputs!$B$39="pvp",MIN(15,15)/15,IF(AND(Inputs!$B$39&lt;&gt;"pvp",Inputs!$B$44&gt;0),MIN(15,Inputs!$B$44)/(Inputs!$B$44),0))),0)))&gt;=100),MIN(100,((Inputs!$B$9+((C3629=TRUE)*(F3629-Calc!F26))+B3637+(ArtifactsInput!$M$24-ArtifactsInput!$M$24)*CHOOSE(ArtifactsInput!$N$24+1,10,12,14,16,18,20)+IF(ArtifactsInput!$M$10,CHOOSE(ArtifactsInput!$N$10+1,15,18,21,24,27,30)*(IF(Inputs!$B$39="pvp",MIN(15,15)/15,IF(AND(Inputs!$B$39&lt;&gt;"pvp",Inputs!$B$44&gt;0),MIN(15,Inputs!$B$44)/(Inputs!$B$44),0))),0)))-100),0))*CHOOSE(ArtifactsInput!$N$42+1,0.6,0.72,0.84,0.96,1.08,1.2))),Inputs!$B$18+((C3632=TRUE)*(F3632-Calc!F29))+(IF(AND(Inputs!$B$39&lt;&gt;"pvp",Inputs!$B$44=0),1,IF(IF(Inputs!$B$39="pvp",15,Inputs!$B$44)-(B3648)&lt;=0,1,MAX(0,IF(Inputs!$B$39="pvp",15,Inputs!$B$44)-MAX(5,B3648))/(IF(Inputs!$B$39="pvp",15,Inputs!$B$44)-(B3648))))*IF(AND(ArtifactsInput!$M$42,((Inputs!$B$9+((C3629=TRUE)*(F3629-Calc!F26))+B3637+(ArtifactsInput!$M$24-ArtifactsInput!$M$24)*CHOOSE(ArtifactsInput!$N$24+1,10,12,14,16,18,20)+IF(ArtifactsInput!$M$10,CHOOSE(ArtifactsInput!$N$10+1,15,18,21,24,27,30)*(IF(Inputs!$B$39="pvp",MIN(15,15)/15,IF(AND(Inputs!$B$39&lt;&gt;"pvp",Inputs!$B$44&gt;0),MIN(15,Inputs!$B$44)/(Inputs!$B$44),0))),0)))&gt;=100),CHOOSE(ArtifactsInput!$N$42+1,40,48,56,64,72,80),0))))/100)*(((1+(((C3625=TRUE)*F3625*IF(AND(Inputs!$B$39&lt;&gt;"pvp",Inputs!$B$44&gt;0),(((R3625-1)*MIN((Skills!Y22*(1+Inputs!$B$34/100)),(1/Q3625))+MIN((Skills!Y22*(1+Inputs!$B$34/100)),MAX(0,Inputs!$B$44-((R3625-1)*(1/Q3625)))))/Inputs!$B$44),IF(Inputs!$B$39="pvp",MIN((Skills!Y22*(1+Inputs!$B$34/100)),15)/15,MIN(1,(Skills!Y22*(1+Inputs!$B$34/100))/(1/Q3625)))))+((C3606=TRUE)*F3606*3)+((C3608=TRUE)*F3608*(1-EXP(-0.75*B3641*5)))+((C3627=TRUE)*(F3627-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3614=TRUE)*F3614*IF(AND(Inputs!$B$39&lt;&gt;"pvp",Inputs!$B$44&gt;0),(((R3614-1)*MIN((Skills!Y11*(1+Inputs!$B$34/100)),(1/Q3614))+MIN((Skills!Y11*(1+Inputs!$B$34/100)),MAX(0,Inputs!$B$44-((R3614-1)*(1/Q3614)))))/Inputs!$B$44),IF(Inputs!$B$39="pvp",MIN((Skills!Y11*(1+Inputs!$B$34/100)),15)/15,MIN(1,(Skills!Y11*(1+Inputs!$B$34/100))/(1/Q3614)))))/100)*(1+((C3619=TRUE)*F3619*IF(AND(Inputs!$B$39&lt;&gt;"pvp",Inputs!$B$44&gt;0),(((R3619-1)*MIN((Skills!Y16*(1+Inputs!$B$34/100)),(1/Q3619))+MIN((Skills!Y16*(1+Inputs!$B$34/100)),MAX(0,Inputs!$B$44-((R3619-1)*(1/Q3619)))))/Inputs!$B$44),IF(Inputs!$B$39="pvp",MIN((Skills!Y16*(1+Inputs!$B$34/100)),15)/15,MIN(1,(Skills!Y16*(1+Inputs!$B$34/100))/(1/Q3619)))))/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3639*I3617)</f>
        <v/>
      </c>
      <c r="L3617">
        <f>K3617*(MIN(Inputs!$B$22+((C3628=TRUE)*(F3628-Calc!F25)),(Inputs!$B$23+((C3633=TRUE)*(F3633-Calc!F30))+IF(ArtifactsInput!$M$15,CHOOSE(ArtifactsInput!$N$15+1,25,30,35,40,45,50)/100*(Inputs!$B$11-Inputs!$B$11),0)))/100+(Inputs!$B$23+((C3633=TRUE)*(F3633-Calc!F30))+IF(ArtifactsInput!$M$15,CHOOSE(ArtifactsInput!$N$15+1,25,30,35,40,45,50)/100*(Inputs!$B$11-Inputs!$B$11),0))/100)/2</f>
        <v/>
      </c>
      <c r="M3617">
        <f>L3617*(1+(Inputs!$B$10+((C3630=TRUE)*(F3630-Calc!F27))+B3644+(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3617">
        <f>L3617*(1-MIN((Inputs!$B$9+((C3629=TRUE)*(F3629-Calc!F26))+B3637+(ArtifactsInput!$M$24-ArtifactsInput!$M$24)*CHOOSE(ArtifactsInput!$N$24+1,10,12,14,16,18,20)+(IF(AND(Inputs!$B$39&lt;&gt;"pvp",Inputs!$B$44=0),1,IF(IF(Inputs!$B$39="pvp",15,Inputs!$B$44)-(B3648)&lt;=0,1,MAX(0,IF(Inputs!$B$39="pvp",15,Inputs!$B$44)-MAX(5,B3648))/(IF(Inputs!$B$39="pvp",15,Inputs!$B$44)-(B3648))))*IF(AND(ArtifactsInput!$M$42,((Inputs!$B$9+((C3629=TRUE)*(F3629-Calc!F26))+B3637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3617*(MIN((Inputs!$B$9+((C3629=TRUE)*(F3629-Calc!F26))+B3637+(ArtifactsInput!$M$24-ArtifactsInput!$M$24)*CHOOSE(ArtifactsInput!$N$24+1,10,12,14,16,18,20)+(IF(AND(Inputs!$B$39&lt;&gt;"pvp",Inputs!$B$44=0),1,IF(IF(Inputs!$B$39="pvp",15,Inputs!$B$44)-(B3648)&lt;=0,1,MAX(0,IF(Inputs!$B$39="pvp",15,Inputs!$B$44)-MAX(5,B3648))/(IF(Inputs!$B$39="pvp",15,Inputs!$B$44)-(B3648))))*IF(AND(ArtifactsInput!$M$42,((Inputs!$B$9+((C3629=TRUE)*(F3629-Calc!F26))+B3637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3617">
        <f>(1-Summary!$B$11)*T3617+Summary!$B$11*V3617</f>
        <v/>
      </c>
      <c r="P3617">
        <f>IF(B3649=0,0,O3617/B3649)</f>
        <v/>
      </c>
      <c r="Q3617">
        <f>IFERROR(1/IF(Inputs!$B$39="pvp",15,MAX(0.1,Skills!D14-IF(TRUE=TRUE,3.5,0))),0)</f>
        <v/>
      </c>
      <c r="R3617">
        <f>IF(AND(Inputs!$B$39&lt;&gt;"pvp",Inputs!$B$44&gt;0),IF(MAX(0,Inputs!$B$44-B3648)&lt;=0,0,(INT(MAX(0,Inputs!$B$44-B3648)/IF(Inputs!$B$39="pvp",15,MAX(0.1,Skills!D14-IF(TRUE=TRUE,3.5,0))))+1)),0)</f>
        <v/>
      </c>
      <c r="S3617">
        <f>IFERROR(O3617/N3617,0)</f>
        <v/>
      </c>
      <c r="T3617">
        <f>IF(C3617,(H3617*N3617*IF(AND(Inputs!$B$39&lt;&gt;"pvp",Inputs!$B$44&gt;0),((Skills!G14*((R3617-1)*IF(Skills!H14&gt;0,Skills!I14/Skills!H14,1)+IF(Skills!H14&gt;0,MIN(Skills!I14,MAX(0,MAX(0,Inputs!$B$44-B3648)-((R3617-1)*IF(Inputs!$B$39="pvp",15,MAX(0.1,Skills!D14-IF(TRUE=TRUE,3.5,0))))))/Skills!H14,1)))/Inputs!$B$44),G3617*Q3617))*IF(Inputs!$B$39="pvp",1,1+(Inputs!$B$20+0+Skills!P14+B3638+(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Hunt"),CHOOSE(ArtifactsInput!$N$35+1,15,18,21,24,27,30)*(1-EXP(-(0.2*B3641)*5)),0)+IF(AND(ArtifactsInput!$M$22,Inputs!$B$4&lt;&gt;"Chapter Hunt"),CHOOSE(ArtifactsInput!$N$22+1,10,12,14,16,18,20)*((0*(((0.15*B3641*5))^0/1)+1*(((0.15*B3641*5))^1/1)+2*(((0.15*B3641*5))^2/2)+3*(((0.15*B3641*5))^3/6)+4*(((0.15*B3641*5))^4/24)+5*(((0.15*B3641*5))^5/120))/((((0.15*B3641*5))^0/1)+(((0.15*B3641*5))^1/1)+(((0.15*B3641*5))^2/2)+(((0.15*B3641*5))^3/6)+(((0.15*B3641*5))^4/24)+(((0.15*B3641*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3617*(1-MIN(100,(Inputs!$B$9+((C3629=TRUE)*(F3629-Calc!F26))+B3637+(ArtifactsInput!$M$24-ArtifactsInput!$M$24)*CHOOSE(ArtifactsInput!$N$24+1,10,12,14,16,18,20)+(IF(AND(Inputs!$B$39&lt;&gt;"pvp",Inputs!$B$44=0),1,IF(IF(Inputs!$B$39="pvp",15,Inputs!$B$44)-(B3648)&lt;=0,1,MAX(0,IF(Inputs!$B$39="pvp",15,Inputs!$B$44)-MAX(5,B3648))/(IF(Inputs!$B$39="pvp",15,Inputs!$B$44)-(B3648))))*IF(AND(ArtifactsInput!$M$42,((Inputs!$B$9+((C3629=TRUE)*(F3629-Calc!F26))+B3637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3617*(MIN(100,(Inputs!$B$9+((C3629=TRUE)*(F3629-Calc!F26))+B3637+(ArtifactsInput!$M$24-ArtifactsInput!$M$24)*CHOOSE(ArtifactsInput!$N$24+1,10,12,14,16,18,20)+(IF(AND(Inputs!$B$39&lt;&gt;"pvp",Inputs!$B$44=0),1,IF(IF(Inputs!$B$39="pvp",15,Inputs!$B$44)-(B3648)&lt;=0,1,MAX(0,IF(Inputs!$B$39="pvp",15,Inputs!$B$44)-MAX(5,B3648))/(IF(Inputs!$B$39="pvp",15,Inputs!$B$44)-(B3648))))*IF(AND(ArtifactsInput!$M$42,((Inputs!$B$9+((C3629=TRUE)*(F3629-Calc!F26))+B3637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3617*(1-MIN(100,(Inputs!$B$9+((C3629=TRUE)*(F3629-Calc!F26))+B3637+(ArtifactsInput!$M$24-ArtifactsInput!$M$24)*CHOOSE(ArtifactsInput!$N$24+1,10,12,14,16,18,20)+(IF(AND(Inputs!$B$39&lt;&gt;"pvp",Inputs!$B$44=0),1,IF(IF(Inputs!$B$39="pvp",15,Inputs!$B$44)-(B3648)&lt;=0,1,MAX(0,IF(Inputs!$B$39="pvp",15,Inputs!$B$44)-MAX(5,B3648))/(IF(Inputs!$B$39="pvp",15,Inputs!$B$44)-(B3648))))*IF(AND(ArtifactsInput!$M$42,((Inputs!$B$9+((C3629=TRUE)*(F3629-Calc!F26))+B3637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3617*(MIN(100,(Inputs!$B$9+((C3629=TRUE)*(F3629-Calc!F26))+B3637+(ArtifactsInput!$M$24-ArtifactsInput!$M$24)*CHOOSE(ArtifactsInput!$N$24+1,10,12,14,16,18,20)+(IF(AND(Inputs!$B$39&lt;&gt;"pvp",Inputs!$B$44=0),1,IF(IF(Inputs!$B$39="pvp",15,Inputs!$B$44)-(B3648)&lt;=0,1,MAX(0,IF(Inputs!$B$39="pvp",15,Inputs!$B$44)-MAX(5,B3648))/(IF(Inputs!$B$39="pvp",15,Inputs!$B$44)-(B3648))))*IF(AND(ArtifactsInput!$M$42,((Inputs!$B$9+((C3629=TRUE)*(F3629-Calc!F26))+B3637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3617">
        <f>IF(C3617,(H3617*N3617*IF(AND(Inputs!$B$39&lt;&gt;"pvp",Inputs!$B$44&gt;0),((Skills!G14*((R3617-1)*IF(Skills!H14&gt;0,Skills!I14/Skills!H14,1)+IF(Skills!H14&gt;0,MIN(Skills!I14,MAX(0,MAX(0,Inputs!$B$44-B3648)-((R3617-1)*IF(Inputs!$B$39="pvp",15,MAX(0.1,Skills!D14-IF(TRUE=TRUE,3.5,0))))))/Skills!H14,1)))/Inputs!$B$44),G3617*Q3617))*IF(Inputs!$B$39="pvp",1,(1+(Inputs!$B$21+Skills!Q14+B3638+(IF(ArtifactsInput!$M$33,CHOOSE(ArtifactsInput!$N$33+1,30,36,42,48,54,60),0))+(IF(AND(ArtifactsInput!$M$35,Inputs!$B$4&lt;&gt;"Chapter Hunt"),CHOOSE(ArtifactsInput!$N$35+1,15,18,21,24,27,30)*(1-EXP(-(0.2*B3641)*5)),0)+IF(AND(ArtifactsInput!$M$22,Inputs!$B$4&lt;&gt;"Chapter Hunt"),CHOOSE(ArtifactsInput!$N$22+1,10,12,14,16,18,20)*((0*(((0.15*B3641*5))^0/1)+1*(((0.15*B3641*5))^1/1)+2*(((0.15*B3641*5))^2/2)+3*(((0.15*B3641*5))^3/6)+4*(((0.15*B3641*5))^4/24)+5*(((0.15*B3641*5))^5/120))/((((0.15*B3641*5))^0/1)+(((0.15*B3641*5))^1/1)+(((0.15*B3641*5))^2/2)+(((0.15*B3641*5))^3/6)+(((0.15*B3641*5))^4/24)+(((0.15*B3641*5))^5/120))),0)))/100)*(MIN(Skills!W14,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3618">
      <c r="A3618">
        <f>Skills!A15</f>
        <v/>
      </c>
      <c r="B3618">
        <f>Skills!B15</f>
        <v/>
      </c>
      <c r="C3618">
        <f>Inputs!$B$3&gt;=107</f>
        <v/>
      </c>
      <c r="D3618">
        <f>IF(Skills!C15=1,60+Inputs!$B$25+Inputs!$B$29,IF(Skills!C15=2,90+Inputs!$B$26+Inputs!$B$29,IF(Skills!C15=3,120+Inputs!$B$27+Inputs!$B$29,MAX(0,(Inputs!$B$3-100)*3)+Inputs!$B$28+Inputs!$B$29)))</f>
        <v/>
      </c>
      <c r="E3618">
        <f>INDEX(FactorTable!$B$2:$Y$301, MATCH(ROUND(MIN(300,MAX(1,D3618)),0), FactorTable!$A$2:$A$301,0), Skills!M15+1)</f>
        <v/>
      </c>
      <c r="F3618">
        <f>IF(Skills!N15=TRUE,(Skills!L15/10)*(E3618/1000),Skills!L15/10)+Skills!O15</f>
        <v/>
      </c>
      <c r="G3618">
        <f>Skills!G15*IF(Skills!H15&gt;0,IF(Inputs!$B$39="pvp",MIN(Skills!I15,15),Skills!I15)/Skills!H15,1)</f>
        <v/>
      </c>
      <c r="H3618">
        <f>1-(1-Skills!J15/100)^Skills!K15</f>
        <v/>
      </c>
      <c r="I3618" t="inlineStr">
        <is>
          <t>1</t>
        </is>
      </c>
      <c r="J3618">
        <f>((Inputs!$B$6*(1+Inputs!$B$7/100))+(((Inputs!$B$12*(1+Inputs!$B$13/100))-(Inputs!$B$12*(1+Inputs!$B$13/100)))+0.25*(Inputs!$B$14-Inputs!$B$14))*(1+Inputs!$B$7/100))*(F3618/100)</f>
        <v/>
      </c>
      <c r="K3618">
        <f>J3618*(1+((Inputs!$B$12*(1+Inputs!$B$13/100))*0.01+Inputs!$B$14*0.0025)/100)*(1+Inputs!$B$15/100)*(1+Inputs!$B$16/100)*(5000/(6000+Inputs!$B$43*(1-(100*(1-(1-Inputs!$B$19/100)*(1-CHOOSE(ArtifactsInput!$N$40+1,5,6,7,8,9,10)/100)^(ArtifactsInput!$M$40-ArtifactsInput!$M$40)))/100)))*(1+(Inputs!$B$24+((C3634=TRUE)*(F3634-Calc!F31))+((C3621=TRUE)*(F3621-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15="CRUEL_STAB",Inputs!$B$17+((C3631=TRUE)*(F3631-Calc!F28))+((IF(AND(Inputs!$B$39&lt;&gt;"pvp",Inputs!$B$44=0),1,IF(IF(Inputs!$B$39="pvp",15,Inputs!$B$44)-(B3648)&lt;=0,1,MAX(0,IF(Inputs!$B$39="pvp",15,Inputs!$B$44)-MAX(5,B3648))/(IF(Inputs!$B$39="pvp",15,Inputs!$B$44)-(B3648))))*(IF(AND(ArtifactsInput!$M$42,((Inputs!$B$9+((C3629=TRUE)*(F3629-Calc!F26))+B3637+(ArtifactsInput!$M$24-ArtifactsInput!$M$24)*CHOOSE(ArtifactsInput!$N$24+1,10,12,14,16,18,20)+IF(ArtifactsInput!$M$10,CHOOSE(ArtifactsInput!$N$10+1,15,18,21,24,27,30)*(IF(Inputs!$B$39="pvp",MIN(15,15)/15,IF(AND(Inputs!$B$39&lt;&gt;"pvp",Inputs!$B$44&gt;0),MIN(15,Inputs!$B$44)/(Inputs!$B$44),0))),0)))&gt;=100),MIN(100,((Inputs!$B$9+((C3629=TRUE)*(F3629-Calc!F26))+B3637+(ArtifactsInput!$M$24-ArtifactsInput!$M$24)*CHOOSE(ArtifactsInput!$N$24+1,10,12,14,16,18,20)+IF(ArtifactsInput!$M$10,CHOOSE(ArtifactsInput!$N$10+1,15,18,21,24,27,30)*(IF(Inputs!$B$39="pvp",MIN(15,15)/15,IF(AND(Inputs!$B$39&lt;&gt;"pvp",Inputs!$B$44&gt;0),MIN(15,Inputs!$B$44)/(Inputs!$B$44),0))),0)))-100),0))*CHOOSE(ArtifactsInput!$N$42+1,0.6,0.72,0.84,0.96,1.08,1.2))),Inputs!$B$18+((C3632=TRUE)*(F3632-Calc!F29))+(IF(AND(Inputs!$B$39&lt;&gt;"pvp",Inputs!$B$44=0),1,IF(IF(Inputs!$B$39="pvp",15,Inputs!$B$44)-(B3648)&lt;=0,1,MAX(0,IF(Inputs!$B$39="pvp",15,Inputs!$B$44)-MAX(5,B3648))/(IF(Inputs!$B$39="pvp",15,Inputs!$B$44)-(B3648))))*IF(AND(ArtifactsInput!$M$42,((Inputs!$B$9+((C3629=TRUE)*(F3629-Calc!F26))+B3637+(ArtifactsInput!$M$24-ArtifactsInput!$M$24)*CHOOSE(ArtifactsInput!$N$24+1,10,12,14,16,18,20)+IF(ArtifactsInput!$M$10,CHOOSE(ArtifactsInput!$N$10+1,15,18,21,24,27,30)*(IF(Inputs!$B$39="pvp",MIN(15,15)/15,IF(AND(Inputs!$B$39&lt;&gt;"pvp",Inputs!$B$44&gt;0),MIN(15,Inputs!$B$44)/(Inputs!$B$44),0))),0)))&gt;=100),CHOOSE(ArtifactsInput!$N$42+1,40,48,56,64,72,80),0))))/100)*(((1+(((C3625=TRUE)*F3625*IF(AND(Inputs!$B$39&lt;&gt;"pvp",Inputs!$B$44&gt;0),(((R3625-1)*MIN((Skills!Y22*(1+Inputs!$B$34/100)),(1/Q3625))+MIN((Skills!Y22*(1+Inputs!$B$34/100)),MAX(0,Inputs!$B$44-((R3625-1)*(1/Q3625)))))/Inputs!$B$44),IF(Inputs!$B$39="pvp",MIN((Skills!Y22*(1+Inputs!$B$34/100)),15)/15,MIN(1,(Skills!Y22*(1+Inputs!$B$34/100))/(1/Q3625)))))+((C3606=TRUE)*F3606*3)+((C3608=TRUE)*F3608*(1-EXP(-0.75*B3641*5)))+((C3627=TRUE)*(F3627-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3614=TRUE)*F3614*IF(AND(Inputs!$B$39&lt;&gt;"pvp",Inputs!$B$44&gt;0),(((R3614-1)*MIN((Skills!Y11*(1+Inputs!$B$34/100)),(1/Q3614))+MIN((Skills!Y11*(1+Inputs!$B$34/100)),MAX(0,Inputs!$B$44-((R3614-1)*(1/Q3614)))))/Inputs!$B$44),IF(Inputs!$B$39="pvp",MIN((Skills!Y11*(1+Inputs!$B$34/100)),15)/15,MIN(1,(Skills!Y11*(1+Inputs!$B$34/100))/(1/Q3614)))))/100)*(1+((C3619=TRUE)*F3619*IF(AND(Inputs!$B$39&lt;&gt;"pvp",Inputs!$B$44&gt;0),(((R3619-1)*MIN((Skills!Y16*(1+Inputs!$B$34/100)),(1/Q3619))+MIN((Skills!Y16*(1+Inputs!$B$34/100)),MAX(0,Inputs!$B$44-((R3619-1)*(1/Q3619)))))/Inputs!$B$44),IF(Inputs!$B$39="pvp",MIN((Skills!Y16*(1+Inputs!$B$34/100)),15)/15,MIN(1,(Skills!Y16*(1+Inputs!$B$34/100))/(1/Q3619)))))/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3639*I3618)</f>
        <v/>
      </c>
      <c r="L3618">
        <f>K3618*(MIN(Inputs!$B$22+((C3628=TRUE)*(F3628-Calc!F25)),(Inputs!$B$23+((C3633=TRUE)*(F3633-Calc!F30))+IF(ArtifactsInput!$M$15,CHOOSE(ArtifactsInput!$N$15+1,25,30,35,40,45,50)/100*(Inputs!$B$11-Inputs!$B$11),0)))/100+(Inputs!$B$23+((C3633=TRUE)*(F3633-Calc!F30))+IF(ArtifactsInput!$M$15,CHOOSE(ArtifactsInput!$N$15+1,25,30,35,40,45,50)/100*(Inputs!$B$11-Inputs!$B$11),0))/100)/2</f>
        <v/>
      </c>
      <c r="M3618">
        <f>L3618*(1+(Inputs!$B$10+((C3630=TRUE)*(F3630-Calc!F27))+B3644+(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3618">
        <f>L3618*(1-MIN((Inputs!$B$9+((C3629=TRUE)*(F3629-Calc!F26))+B3637+(ArtifactsInput!$M$24-ArtifactsInput!$M$24)*CHOOSE(ArtifactsInput!$N$24+1,10,12,14,16,18,20)+(IF(AND(Inputs!$B$39&lt;&gt;"pvp",Inputs!$B$44=0),1,IF(IF(Inputs!$B$39="pvp",15,Inputs!$B$44)-(B3648)&lt;=0,1,MAX(0,IF(Inputs!$B$39="pvp",15,Inputs!$B$44)-MAX(5,B3648))/(IF(Inputs!$B$39="pvp",15,Inputs!$B$44)-(B3648))))*IF(AND(ArtifactsInput!$M$42,((Inputs!$B$9+((C3629=TRUE)*(F3629-Calc!F26))+B3637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3618*(MIN((Inputs!$B$9+((C3629=TRUE)*(F3629-Calc!F26))+B3637+(ArtifactsInput!$M$24-ArtifactsInput!$M$24)*CHOOSE(ArtifactsInput!$N$24+1,10,12,14,16,18,20)+(IF(AND(Inputs!$B$39&lt;&gt;"pvp",Inputs!$B$44=0),1,IF(IF(Inputs!$B$39="pvp",15,Inputs!$B$44)-(B3648)&lt;=0,1,MAX(0,IF(Inputs!$B$39="pvp",15,Inputs!$B$44)-MAX(5,B3648))/(IF(Inputs!$B$39="pvp",15,Inputs!$B$44)-(B3648))))*IF(AND(ArtifactsInput!$M$42,((Inputs!$B$9+((C3629=TRUE)*(F3629-Calc!F26))+B3637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3618">
        <f>(1-Summary!$B$11)*T3618+Summary!$B$11*V3618</f>
        <v/>
      </c>
      <c r="P3618">
        <f>IF(B3649=0,0,O3618/B3649)</f>
        <v/>
      </c>
      <c r="Q3618">
        <f>IFERROR(1/IF(Inputs!$B$39="pvp",15,MAX(0.1,Skills!D15-IF(TRUE=TRUE,3.5,0))),0)</f>
        <v/>
      </c>
      <c r="R3618">
        <f>IF(AND(Inputs!$B$39&lt;&gt;"pvp",Inputs!$B$44&gt;0),IF(MAX(0,Inputs!$B$44-B3648)&lt;=0,0,(INT(MAX(0,Inputs!$B$44-B3648)/IF(Inputs!$B$39="pvp",15,MAX(0.1,Skills!D15-IF(TRUE=TRUE,3.5,0))))+1)),0)</f>
        <v/>
      </c>
      <c r="S3618">
        <f>IFERROR(O3618/N3618,0)</f>
        <v/>
      </c>
      <c r="T3618">
        <f>IF(C3618,(H3618*N3618*IF(AND(Inputs!$B$39&lt;&gt;"pvp",Inputs!$B$44&gt;0),((Skills!G15*((R3618-1)*IF(Skills!H15&gt;0,Skills!I15/Skills!H15,1)+IF(Skills!H15&gt;0,MIN(Skills!I15,MAX(0,MAX(0,Inputs!$B$44-B3648)-((R3618-1)*IF(Inputs!$B$39="pvp",15,MAX(0.1,Skills!D15-IF(TRUE=TRUE,3.5,0))))))/Skills!H15,1)))/Inputs!$B$44),G3618*Q3618))*IF(Inputs!$B$39="pvp",1,1+(Inputs!$B$20+0+Skills!P15+B3638+(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Hunt"),CHOOSE(ArtifactsInput!$N$35+1,15,18,21,24,27,30)*(1-EXP(-(0.2*B3641)*5)),0)+IF(AND(ArtifactsInput!$M$22,Inputs!$B$4&lt;&gt;"Chapter Hunt"),CHOOSE(ArtifactsInput!$N$22+1,10,12,14,16,18,20)*((0*(((0.15*B3641*5))^0/1)+1*(((0.15*B3641*5))^1/1)+2*(((0.15*B3641*5))^2/2)+3*(((0.15*B3641*5))^3/6)+4*(((0.15*B3641*5))^4/24)+5*(((0.15*B3641*5))^5/120))/((((0.15*B3641*5))^0/1)+(((0.15*B3641*5))^1/1)+(((0.15*B3641*5))^2/2)+(((0.15*B3641*5))^3/6)+(((0.15*B3641*5))^4/24)+(((0.15*B3641*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3618*(1-MIN(100,(Inputs!$B$9+((C3629=TRUE)*(F3629-Calc!F26))+B3637+(ArtifactsInput!$M$24-ArtifactsInput!$M$24)*CHOOSE(ArtifactsInput!$N$24+1,10,12,14,16,18,20)+(IF(AND(Inputs!$B$39&lt;&gt;"pvp",Inputs!$B$44=0),1,IF(IF(Inputs!$B$39="pvp",15,Inputs!$B$44)-(B3648)&lt;=0,1,MAX(0,IF(Inputs!$B$39="pvp",15,Inputs!$B$44)-MAX(5,B3648))/(IF(Inputs!$B$39="pvp",15,Inputs!$B$44)-(B3648))))*IF(AND(ArtifactsInput!$M$42,((Inputs!$B$9+((C3629=TRUE)*(F3629-Calc!F26))+B3637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3618*(MIN(100,(Inputs!$B$9+((C3629=TRUE)*(F3629-Calc!F26))+B3637+(ArtifactsInput!$M$24-ArtifactsInput!$M$24)*CHOOSE(ArtifactsInput!$N$24+1,10,12,14,16,18,20)+(IF(AND(Inputs!$B$39&lt;&gt;"pvp",Inputs!$B$44=0),1,IF(IF(Inputs!$B$39="pvp",15,Inputs!$B$44)-(B3648)&lt;=0,1,MAX(0,IF(Inputs!$B$39="pvp",15,Inputs!$B$44)-MAX(5,B3648))/(IF(Inputs!$B$39="pvp",15,Inputs!$B$44)-(B3648))))*IF(AND(ArtifactsInput!$M$42,((Inputs!$B$9+((C3629=TRUE)*(F3629-Calc!F26))+B3637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3618*(1-MIN(100,(Inputs!$B$9+((C3629=TRUE)*(F3629-Calc!F26))+B3637+(ArtifactsInput!$M$24-ArtifactsInput!$M$24)*CHOOSE(ArtifactsInput!$N$24+1,10,12,14,16,18,20)+(IF(AND(Inputs!$B$39&lt;&gt;"pvp",Inputs!$B$44=0),1,IF(IF(Inputs!$B$39="pvp",15,Inputs!$B$44)-(B3648)&lt;=0,1,MAX(0,IF(Inputs!$B$39="pvp",15,Inputs!$B$44)-MAX(5,B3648))/(IF(Inputs!$B$39="pvp",15,Inputs!$B$44)-(B3648))))*IF(AND(ArtifactsInput!$M$42,((Inputs!$B$9+((C3629=TRUE)*(F3629-Calc!F26))+B3637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3618*(MIN(100,(Inputs!$B$9+((C3629=TRUE)*(F3629-Calc!F26))+B3637+(ArtifactsInput!$M$24-ArtifactsInput!$M$24)*CHOOSE(ArtifactsInput!$N$24+1,10,12,14,16,18,20)+(IF(AND(Inputs!$B$39&lt;&gt;"pvp",Inputs!$B$44=0),1,IF(IF(Inputs!$B$39="pvp",15,Inputs!$B$44)-(B3648)&lt;=0,1,MAX(0,IF(Inputs!$B$39="pvp",15,Inputs!$B$44)-MAX(5,B3648))/(IF(Inputs!$B$39="pvp",15,Inputs!$B$44)-(B3648))))*IF(AND(ArtifactsInput!$M$42,((Inputs!$B$9+((C3629=TRUE)*(F3629-Calc!F26))+B3637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3618">
        <f>IF(C3618,(H3618*N3618*IF(AND(Inputs!$B$39&lt;&gt;"pvp",Inputs!$B$44&gt;0),((Skills!G15*((R3618-1)*IF(Skills!H15&gt;0,Skills!I15/Skills!H15,1)+IF(Skills!H15&gt;0,MIN(Skills!I15,MAX(0,MAX(0,Inputs!$B$44-B3648)-((R3618-1)*IF(Inputs!$B$39="pvp",15,MAX(0.1,Skills!D15-IF(TRUE=TRUE,3.5,0))))))/Skills!H15,1)))/Inputs!$B$44),G3618*Q3618))*IF(Inputs!$B$39="pvp",1,(1+(Inputs!$B$21+Skills!Q15+B3638+(IF(ArtifactsInput!$M$33,CHOOSE(ArtifactsInput!$N$33+1,30,36,42,48,54,60),0))+(IF(AND(ArtifactsInput!$M$35,Inputs!$B$4&lt;&gt;"Chapter Hunt"),CHOOSE(ArtifactsInput!$N$35+1,15,18,21,24,27,30)*(1-EXP(-(0.2*B3641)*5)),0)+IF(AND(ArtifactsInput!$M$22,Inputs!$B$4&lt;&gt;"Chapter Hunt"),CHOOSE(ArtifactsInput!$N$22+1,10,12,14,16,18,20)*((0*(((0.15*B3641*5))^0/1)+1*(((0.15*B3641*5))^1/1)+2*(((0.15*B3641*5))^2/2)+3*(((0.15*B3641*5))^3/6)+4*(((0.15*B3641*5))^4/24)+5*(((0.15*B3641*5))^5/120))/((((0.15*B3641*5))^0/1)+(((0.15*B3641*5))^1/1)+(((0.15*B3641*5))^2/2)+(((0.15*B3641*5))^3/6)+(((0.15*B3641*5))^4/24)+(((0.15*B3641*5))^5/120))),0)))/100)*(MIN(MIN(5,0.5*IF(Inputs!$B$3&gt;=75,0.75,0.5)*B3641*(1/Q3607))*Skills!V15,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3619">
      <c r="A3619">
        <f>Skills!A16</f>
        <v/>
      </c>
      <c r="B3619">
        <f>Skills!B16</f>
        <v/>
      </c>
      <c r="C3619">
        <f>Inputs!$B$3&gt;=110</f>
        <v/>
      </c>
      <c r="D3619">
        <f>IF(Skills!C16=1,60+Inputs!$B$25+Inputs!$B$29,IF(Skills!C16=2,90+Inputs!$B$26+Inputs!$B$29,IF(Skills!C16=3,120+Inputs!$B$27+Inputs!$B$29,MAX(0,(Inputs!$B$3-100)*3)+Inputs!$B$28+Inputs!$B$29)))</f>
        <v/>
      </c>
      <c r="E3619">
        <f>INDEX(FactorTable!$B$2:$Y$301, MATCH(ROUND(MIN(300,MAX(1,D3619)),0), FactorTable!$A$2:$A$301,0), Skills!M16+1)</f>
        <v/>
      </c>
      <c r="F3619">
        <f>IF(Skills!N16=TRUE,(Skills!L16/10)*(E3619/1000),Skills!L16/10)+Skills!O16</f>
        <v/>
      </c>
      <c r="G3619">
        <f>Skills!G16*IF(Skills!H16&gt;0,IF(Inputs!$B$39="pvp",MIN(Skills!I16,15),Skills!I16)/Skills!H16,1)</f>
        <v/>
      </c>
      <c r="H3619">
        <f>1-(1-Skills!J16/100)^Skills!K16</f>
        <v/>
      </c>
      <c r="I3619" t="inlineStr">
        <is>
          <t>1</t>
        </is>
      </c>
      <c r="J3619" t="inlineStr"/>
      <c r="K3619" t="inlineStr"/>
      <c r="L3619" t="inlineStr"/>
      <c r="M3619" t="inlineStr"/>
      <c r="N3619" t="inlineStr"/>
      <c r="O3619">
        <f>(1-Summary!$B$11)*T3619+Summary!$B$11*V3619</f>
        <v/>
      </c>
      <c r="P3619">
        <f>IF(B3649=0,0,O3619/B3649)</f>
        <v/>
      </c>
      <c r="Q3619">
        <f>IFERROR(1/IF(Inputs!$B$39="pvp",15,MAX(0.1,Skills!D16-IF(TRUE=TRUE,3.5,0))),0)</f>
        <v/>
      </c>
      <c r="R3619">
        <f>IF(AND(Inputs!$B$39&lt;&gt;"pvp",Inputs!$B$44&gt;0),IF(Inputs!$B$44&lt;=0,0,(INT(Inputs!$B$44/IF(Inputs!$B$39="pvp",15,MAX(0.1,Skills!D16-IF(TRUE=TRUE,3.5,0))))+1)),0)</f>
        <v/>
      </c>
      <c r="S3619">
        <f>IFERROR(O3619/N3619,0)</f>
        <v/>
      </c>
      <c r="T3619" t="n">
        <v>0</v>
      </c>
      <c r="V3619" t="n">
        <v>0</v>
      </c>
    </row>
    <row r="3620">
      <c r="A3620">
        <f>Skills!A17</f>
        <v/>
      </c>
      <c r="B3620">
        <f>Skills!B17</f>
        <v/>
      </c>
      <c r="C3620">
        <f>Inputs!$B$3&gt;=115</f>
        <v/>
      </c>
      <c r="D3620">
        <f>IF(Skills!C17=1,60+Inputs!$B$25+Inputs!$B$29,IF(Skills!C17=2,90+Inputs!$B$26+Inputs!$B$29,IF(Skills!C17=3,120+Inputs!$B$27+Inputs!$B$29,MAX(0,(Inputs!$B$3-100)*3)+Inputs!$B$28+Inputs!$B$29)))</f>
        <v/>
      </c>
      <c r="E3620">
        <f>INDEX(FactorTable!$B$2:$Y$301, MATCH(ROUND(MIN(300,MAX(1,D3620)),0), FactorTable!$A$2:$A$301,0), Skills!M17+1)</f>
        <v/>
      </c>
      <c r="F3620">
        <f>IF(Skills!N17=TRUE,(Skills!L17/10)*(E3620/1000),Skills!L17/10)+Skills!O17</f>
        <v/>
      </c>
      <c r="G3620">
        <f>Skills!G17*IF(Skills!H17&gt;0,IF(Inputs!$B$39="pvp",MIN(Skills!I17,15),Skills!I17)/Skills!H17,1)</f>
        <v/>
      </c>
      <c r="H3620">
        <f>1-(1-Skills!J17/100)^Skills!K17</f>
        <v/>
      </c>
      <c r="I3620" t="inlineStr">
        <is>
          <t>1</t>
        </is>
      </c>
      <c r="J3620">
        <f>((Inputs!$B$6*(1+Inputs!$B$7/100))+(((Inputs!$B$12*(1+Inputs!$B$13/100))-(Inputs!$B$12*(1+Inputs!$B$13/100)))+0.25*(Inputs!$B$14-Inputs!$B$14))*(1+Inputs!$B$7/100))*(F3620/100)</f>
        <v/>
      </c>
      <c r="K3620">
        <f>J3620*(1+((Inputs!$B$12*(1+Inputs!$B$13/100))*0.01+Inputs!$B$14*0.0025)/100)*(1+Inputs!$B$15/100)*(1+Inputs!$B$16/100)*(5000/(6000+Inputs!$B$43*(1-(100*(1-(1-Inputs!$B$19/100)*(1-CHOOSE(ArtifactsInput!$N$40+1,5,6,7,8,9,10)/100)^(ArtifactsInput!$M$40-ArtifactsInput!$M$40)))/100)))*(1+(Inputs!$B$24+((C3634=TRUE)*(F3634-Calc!F31))+((C3621=TRUE)*(F3621-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17="CRUEL_STAB",Inputs!$B$17+((C3631=TRUE)*(F3631-Calc!F28))+((IF(AND(Inputs!$B$39&lt;&gt;"pvp",Inputs!$B$44=0),1,IF(IF(Inputs!$B$39="pvp",15,Inputs!$B$44)-(B3648)&lt;=0,1,MAX(0,IF(Inputs!$B$39="pvp",15,Inputs!$B$44)-MAX(5,B3648))/(IF(Inputs!$B$39="pvp",15,Inputs!$B$44)-(B3648))))*(IF(AND(ArtifactsInput!$M$42,((Inputs!$B$9+((C3629=TRUE)*(F3629-Calc!F26))+B3637+(ArtifactsInput!$M$24-ArtifactsInput!$M$24)*CHOOSE(ArtifactsInput!$N$24+1,10,12,14,16,18,20)+IF(ArtifactsInput!$M$10,CHOOSE(ArtifactsInput!$N$10+1,15,18,21,24,27,30)*(IF(Inputs!$B$39="pvp",MIN(15,15)/15,IF(AND(Inputs!$B$39&lt;&gt;"pvp",Inputs!$B$44&gt;0),MIN(15,Inputs!$B$44)/(Inputs!$B$44),0))),0)))&gt;=100),MIN(100,((Inputs!$B$9+((C3629=TRUE)*(F3629-Calc!F26))+B3637+(ArtifactsInput!$M$24-ArtifactsInput!$M$24)*CHOOSE(ArtifactsInput!$N$24+1,10,12,14,16,18,20)+IF(ArtifactsInput!$M$10,CHOOSE(ArtifactsInput!$N$10+1,15,18,21,24,27,30)*(IF(Inputs!$B$39="pvp",MIN(15,15)/15,IF(AND(Inputs!$B$39&lt;&gt;"pvp",Inputs!$B$44&gt;0),MIN(15,Inputs!$B$44)/(Inputs!$B$44),0))),0)))-100),0))*CHOOSE(ArtifactsInput!$N$42+1,0.6,0.72,0.84,0.96,1.08,1.2))),Inputs!$B$18+((C3632=TRUE)*(F3632-Calc!F29))+(IF(AND(Inputs!$B$39&lt;&gt;"pvp",Inputs!$B$44=0),1,IF(IF(Inputs!$B$39="pvp",15,Inputs!$B$44)-(B3648)&lt;=0,1,MAX(0,IF(Inputs!$B$39="pvp",15,Inputs!$B$44)-MAX(5,B3648))/(IF(Inputs!$B$39="pvp",15,Inputs!$B$44)-(B3648))))*IF(AND(ArtifactsInput!$M$42,((Inputs!$B$9+((C3629=TRUE)*(F3629-Calc!F26))+B3637+(ArtifactsInput!$M$24-ArtifactsInput!$M$24)*CHOOSE(ArtifactsInput!$N$24+1,10,12,14,16,18,20)+IF(ArtifactsInput!$M$10,CHOOSE(ArtifactsInput!$N$10+1,15,18,21,24,27,30)*(IF(Inputs!$B$39="pvp",MIN(15,15)/15,IF(AND(Inputs!$B$39&lt;&gt;"pvp",Inputs!$B$44&gt;0),MIN(15,Inputs!$B$44)/(Inputs!$B$44),0))),0)))&gt;=100),CHOOSE(ArtifactsInput!$N$42+1,40,48,56,64,72,80),0))))/100)*(((1+(((C3625=TRUE)*F3625*IF(AND(Inputs!$B$39&lt;&gt;"pvp",Inputs!$B$44&gt;0),(((R3625-1)*MIN((Skills!Y22*(1+Inputs!$B$34/100)),(1/Q3625))+MIN((Skills!Y22*(1+Inputs!$B$34/100)),MAX(0,Inputs!$B$44-((R3625-1)*(1/Q3625)))))/Inputs!$B$44),IF(Inputs!$B$39="pvp",MIN((Skills!Y22*(1+Inputs!$B$34/100)),15)/15,MIN(1,(Skills!Y22*(1+Inputs!$B$34/100))/(1/Q3625)))))+((C3606=TRUE)*F3606*3)+((C3608=TRUE)*F3608*(1-EXP(-0.75*B3641*5)))+((C3627=TRUE)*(F3627-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3614=TRUE)*F3614*IF(AND(Inputs!$B$39&lt;&gt;"pvp",Inputs!$B$44&gt;0),(((R3614-1)*MIN((Skills!Y11*(1+Inputs!$B$34/100)),(1/Q3614))+MIN((Skills!Y11*(1+Inputs!$B$34/100)),MAX(0,Inputs!$B$44-((R3614-1)*(1/Q3614)))))/Inputs!$B$44),IF(Inputs!$B$39="pvp",MIN((Skills!Y11*(1+Inputs!$B$34/100)),15)/15,MIN(1,(Skills!Y11*(1+Inputs!$B$34/100))/(1/Q3614)))))/100)*(1+((C3619=TRUE)*F3619*IF(AND(Inputs!$B$39&lt;&gt;"pvp",Inputs!$B$44&gt;0),(((R3619-1)*MIN((Skills!Y16*(1+Inputs!$B$34/100)),(1/Q3619))+MIN((Skills!Y16*(1+Inputs!$B$34/100)),MAX(0,Inputs!$B$44-((R3619-1)*(1/Q3619)))))/Inputs!$B$44),IF(Inputs!$B$39="pvp",MIN((Skills!Y16*(1+Inputs!$B$34/100)),15)/15,MIN(1,(Skills!Y16*(1+Inputs!$B$34/100))/(1/Q3619)))))/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3639*I3620)</f>
        <v/>
      </c>
      <c r="L3620">
        <f>K3620*(MIN(Inputs!$B$22+((C3628=TRUE)*(F3628-Calc!F25)),(Inputs!$B$23+((C3633=TRUE)*(F3633-Calc!F30))+IF(ArtifactsInput!$M$15,CHOOSE(ArtifactsInput!$N$15+1,25,30,35,40,45,50)/100*(Inputs!$B$11-Inputs!$B$11),0)))/100+(Inputs!$B$23+((C3633=TRUE)*(F3633-Calc!F30))+IF(ArtifactsInput!$M$15,CHOOSE(ArtifactsInput!$N$15+1,25,30,35,40,45,50)/100*(Inputs!$B$11-Inputs!$B$11),0))/100)/2</f>
        <v/>
      </c>
      <c r="M3620">
        <f>L3620*(1+(Inputs!$B$10+((C3630=TRUE)*(F3630-Calc!F27))+B3644+(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3620">
        <f>L3620*(1-MIN((Inputs!$B$9+((C3629=TRUE)*(F3629-Calc!F26))+B3637+(ArtifactsInput!$M$24-ArtifactsInput!$M$24)*CHOOSE(ArtifactsInput!$N$24+1,10,12,14,16,18,20)+(IF(AND(Inputs!$B$39&lt;&gt;"pvp",Inputs!$B$44=0),1,IF(IF(Inputs!$B$39="pvp",15,Inputs!$B$44)-(B3648)&lt;=0,1,MAX(0,IF(Inputs!$B$39="pvp",15,Inputs!$B$44)-MAX(5,B3648))/(IF(Inputs!$B$39="pvp",15,Inputs!$B$44)-(B3648))))*IF(AND(ArtifactsInput!$M$42,((Inputs!$B$9+((C3629=TRUE)*(F3629-Calc!F26))+B3637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3620*(MIN((Inputs!$B$9+((C3629=TRUE)*(F3629-Calc!F26))+B3637+(ArtifactsInput!$M$24-ArtifactsInput!$M$24)*CHOOSE(ArtifactsInput!$N$24+1,10,12,14,16,18,20)+(IF(AND(Inputs!$B$39&lt;&gt;"pvp",Inputs!$B$44=0),1,IF(IF(Inputs!$B$39="pvp",15,Inputs!$B$44)-(B3648)&lt;=0,1,MAX(0,IF(Inputs!$B$39="pvp",15,Inputs!$B$44)-MAX(5,B3648))/(IF(Inputs!$B$39="pvp",15,Inputs!$B$44)-(B3648))))*IF(AND(ArtifactsInput!$M$42,((Inputs!$B$9+((C3629=TRUE)*(F3629-Calc!F26))+B3637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3620">
        <f>(1-Summary!$B$11)*T3620+Summary!$B$11*V3620</f>
        <v/>
      </c>
      <c r="P3620">
        <f>IF(B3649=0,0,O3620/B3649)</f>
        <v/>
      </c>
      <c r="Q3620" t="n">
        <v>0</v>
      </c>
      <c r="R3620" t="n">
        <v>0</v>
      </c>
      <c r="S3620">
        <f>IFERROR(O3620/N3620,0)</f>
        <v/>
      </c>
      <c r="T3620">
        <f>IF(C3620,(Inputs!$B$38*0.2*N3620)*IF(Inputs!$B$39="pvp",1,1+(Inputs!$B$20+0+Skills!P17+B3638+(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Hunt"),CHOOSE(ArtifactsInput!$N$35+1,15,18,21,24,27,30)*(1-EXP(-(0.2*B3641)*5)),0)+IF(AND(ArtifactsInput!$M$22,Inputs!$B$4&lt;&gt;"Chapter Hunt"),CHOOSE(ArtifactsInput!$N$22+1,10,12,14,16,18,20)*((0*(((0.15*B3641*5))^0/1)+1*(((0.15*B3641*5))^1/1)+2*(((0.15*B3641*5))^2/2)+3*(((0.15*B3641*5))^3/6)+4*(((0.15*B3641*5))^4/24)+5*(((0.15*B3641*5))^5/120))/((((0.15*B3641*5))^0/1)+(((0.15*B3641*5))^1/1)+(((0.15*B3641*5))^2/2)+(((0.15*B3641*5))^3/6)+(((0.15*B3641*5))^4/24)+(((0.15*B3641*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3620*(1-MIN(100,(Inputs!$B$9+((C3629=TRUE)*(F3629-Calc!F26))+B3637+(ArtifactsInput!$M$24-ArtifactsInput!$M$24)*CHOOSE(ArtifactsInput!$N$24+1,10,12,14,16,18,20)+(IF(AND(Inputs!$B$39&lt;&gt;"pvp",Inputs!$B$44=0),1,IF(IF(Inputs!$B$39="pvp",15,Inputs!$B$44)-(B3648)&lt;=0,1,MAX(0,IF(Inputs!$B$39="pvp",15,Inputs!$B$44)-MAX(5,B3648))/(IF(Inputs!$B$39="pvp",15,Inputs!$B$44)-(B3648))))*IF(AND(ArtifactsInput!$M$42,((Inputs!$B$9+((C3629=TRUE)*(F3629-Calc!F26))+B3637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3620*(MIN(100,(Inputs!$B$9+((C3629=TRUE)*(F3629-Calc!F26))+B3637+(ArtifactsInput!$M$24-ArtifactsInput!$M$24)*CHOOSE(ArtifactsInput!$N$24+1,10,12,14,16,18,20)+(IF(AND(Inputs!$B$39&lt;&gt;"pvp",Inputs!$B$44=0),1,IF(IF(Inputs!$B$39="pvp",15,Inputs!$B$44)-(B3648)&lt;=0,1,MAX(0,IF(Inputs!$B$39="pvp",15,Inputs!$B$44)-MAX(5,B3648))/(IF(Inputs!$B$39="pvp",15,Inputs!$B$44)-(B3648))))*IF(AND(ArtifactsInput!$M$42,((Inputs!$B$9+((C3629=TRUE)*(F3629-Calc!F26))+B3637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3620*(1-MIN(100,(Inputs!$B$9+((C3629=TRUE)*(F3629-Calc!F26))+B3637+(ArtifactsInput!$M$24-ArtifactsInput!$M$24)*CHOOSE(ArtifactsInput!$N$24+1,10,12,14,16,18,20)+(IF(AND(Inputs!$B$39&lt;&gt;"pvp",Inputs!$B$44=0),1,IF(IF(Inputs!$B$39="pvp",15,Inputs!$B$44)-(B3648)&lt;=0,1,MAX(0,IF(Inputs!$B$39="pvp",15,Inputs!$B$44)-MAX(5,B3648))/(IF(Inputs!$B$39="pvp",15,Inputs!$B$44)-(B3648))))*IF(AND(ArtifactsInput!$M$42,((Inputs!$B$9+((C3629=TRUE)*(F3629-Calc!F26))+B3637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3620*(MIN(100,(Inputs!$B$9+((C3629=TRUE)*(F3629-Calc!F26))+B3637+(ArtifactsInput!$M$24-ArtifactsInput!$M$24)*CHOOSE(ArtifactsInput!$N$24+1,10,12,14,16,18,20)+(IF(AND(Inputs!$B$39&lt;&gt;"pvp",Inputs!$B$44=0),1,IF(IF(Inputs!$B$39="pvp",15,Inputs!$B$44)-(B3648)&lt;=0,1,MAX(0,IF(Inputs!$B$39="pvp",15,Inputs!$B$44)-MAX(5,B3648))/(IF(Inputs!$B$39="pvp",15,Inputs!$B$44)-(B3648))))*IF(AND(ArtifactsInput!$M$42,((Inputs!$B$9+((C3629=TRUE)*(F3629-Calc!F26))+B3637+(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3620">
        <f>IF(C3620,(Inputs!$B$38*0.2*N3620)*IF(Inputs!$B$39="pvp",1,(1+(Inputs!$B$21+Skills!Q17+B3638+(IF(ArtifactsInput!$M$33,CHOOSE(ArtifactsInput!$N$33+1,30,36,42,48,54,60),0))+(IF(AND(ArtifactsInput!$M$35,Inputs!$B$4&lt;&gt;"Chapter Hunt"),CHOOSE(ArtifactsInput!$N$35+1,15,18,21,24,27,30)*(1-EXP(-(0.2*B3641)*5)),0)+IF(AND(ArtifactsInput!$M$22,Inputs!$B$4&lt;&gt;"Chapter Hunt"),CHOOSE(ArtifactsInput!$N$22+1,10,12,14,16,18,20)*((0*(((0.15*B3641*5))^0/1)+1*(((0.15*B3641*5))^1/1)+2*(((0.15*B3641*5))^2/2)+3*(((0.15*B3641*5))^3/6)+4*(((0.15*B3641*5))^4/24)+5*(((0.15*B3641*5))^5/120))/((((0.15*B3641*5))^0/1)+(((0.15*B3641*5))^1/1)+(((0.15*B3641*5))^2/2)+(((0.15*B3641*5))^3/6)+(((0.15*B3641*5))^4/24)+(((0.15*B3641*5))^5/120))),0)))/100)*(MIN(Skills!W17,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3621">
      <c r="A3621">
        <f>Skills!A18</f>
        <v/>
      </c>
      <c r="B3621">
        <f>Skills!B18</f>
        <v/>
      </c>
      <c r="C3621">
        <f>Inputs!$B$3&gt;=115</f>
        <v/>
      </c>
      <c r="D3621">
        <f>IF(Skills!C18=1,60+Inputs!$B$25+Inputs!$B$29,IF(Skills!C18=2,90+Inputs!$B$26+Inputs!$B$29,IF(Skills!C18=3,120+Inputs!$B$27+Inputs!$B$29,MAX(0,(Inputs!$B$3-100)*3)+Inputs!$B$28+Inputs!$B$29)))</f>
        <v/>
      </c>
      <c r="E3621">
        <f>INDEX(FactorTable!$B$2:$Y$301, MATCH(ROUND(MIN(300,MAX(1,D3621)),0), FactorTable!$A$2:$A$301,0), Skills!M18+1)</f>
        <v/>
      </c>
      <c r="F3621">
        <f>IF(Skills!N18=TRUE,(Skills!L18/10)*(E3621/1000),Skills!L18/10)+Skills!O18</f>
        <v/>
      </c>
      <c r="G3621">
        <f>Skills!G18*IF(Skills!H18&gt;0,IF(Inputs!$B$39="pvp",MIN(Skills!I18,15),Skills!I18)/Skills!H18,1)</f>
        <v/>
      </c>
      <c r="H3621">
        <f>1-(1-Skills!J18/100)^Skills!K18</f>
        <v/>
      </c>
      <c r="I3621" t="inlineStr">
        <is>
          <t>1</t>
        </is>
      </c>
      <c r="J3621" t="inlineStr"/>
      <c r="K3621" t="inlineStr"/>
      <c r="L3621" t="inlineStr"/>
      <c r="M3621" t="inlineStr"/>
      <c r="N3621" t="inlineStr"/>
      <c r="O3621">
        <f>(1-Summary!$B$11)*T3621+Summary!$B$11*V3621</f>
        <v/>
      </c>
      <c r="P3621">
        <f>IF(B3649=0,0,O3621/B3649)</f>
        <v/>
      </c>
      <c r="Q3621" t="n">
        <v>0</v>
      </c>
      <c r="R3621" t="n">
        <v>0</v>
      </c>
      <c r="S3621">
        <f>IFERROR(O3621/N3621,0)</f>
        <v/>
      </c>
      <c r="T3621" t="n">
        <v>0</v>
      </c>
      <c r="V3621" t="n">
        <v>0</v>
      </c>
    </row>
    <row r="3622">
      <c r="A3622">
        <f>Skills!A19</f>
        <v/>
      </c>
      <c r="B3622">
        <f>Skills!B19</f>
        <v/>
      </c>
      <c r="C3622">
        <f>Inputs!$B$3&gt;=100</f>
        <v/>
      </c>
      <c r="D3622">
        <f>IF(Skills!C19=1,60+Inputs!$B$25+Inputs!$B$29,IF(Skills!C19=2,90+Inputs!$B$26+Inputs!$B$29,IF(Skills!C19=3,120+Inputs!$B$27+Inputs!$B$29,MAX(0,(Inputs!$B$3-100)*3)+Inputs!$B$28+Inputs!$B$29)))</f>
        <v/>
      </c>
      <c r="E3622">
        <f>INDEX(FactorTable!$B$2:$Y$301, MATCH(ROUND(MIN(300,MAX(1,D3622)),0), FactorTable!$A$2:$A$301,0), Skills!M19+1)</f>
        <v/>
      </c>
      <c r="F3622">
        <f>IF(Skills!N19=TRUE,(Skills!L19/10)*(E3622/1000),Skills!L19/10)+Skills!O19</f>
        <v/>
      </c>
      <c r="G3622">
        <f>Skills!G19*IF(Skills!H19&gt;0,IF(Inputs!$B$39="pvp",MIN(Skills!I19,15),Skills!I19)/Skills!H19,1)</f>
        <v/>
      </c>
      <c r="H3622">
        <f>1-(1-Skills!J19/100)^Skills!K19</f>
        <v/>
      </c>
      <c r="I3622" t="inlineStr">
        <is>
          <t>1</t>
        </is>
      </c>
      <c r="J3622" t="inlineStr"/>
      <c r="K3622" t="inlineStr"/>
      <c r="L3622" t="inlineStr"/>
      <c r="M3622" t="inlineStr"/>
      <c r="N3622" t="inlineStr"/>
      <c r="O3622">
        <f>(1-Summary!$B$11)*T3622+Summary!$B$11*V3622</f>
        <v/>
      </c>
      <c r="P3622">
        <f>IF(B3649=0,0,O3622/B3649)</f>
        <v/>
      </c>
      <c r="Q3622" t="n">
        <v>0</v>
      </c>
      <c r="R3622" t="n">
        <v>0</v>
      </c>
      <c r="S3622">
        <f>IFERROR(O3622/N3622,0)</f>
        <v/>
      </c>
      <c r="T3622" t="n">
        <v>0</v>
      </c>
      <c r="V3622" t="n">
        <v>0</v>
      </c>
    </row>
    <row r="3623">
      <c r="A3623">
        <f>Skills!A20</f>
        <v/>
      </c>
      <c r="B3623">
        <f>Skills!B20</f>
        <v/>
      </c>
      <c r="C3623">
        <f>TRUE</f>
        <v/>
      </c>
      <c r="D3623">
        <f>IF(Skills!C20=1,60+Inputs!$B$25+Inputs!$B$29,IF(Skills!C20=2,90+Inputs!$B$26+Inputs!$B$29,IF(Skills!C20=3,120+Inputs!$B$27+Inputs!$B$29,MAX(0,(Inputs!$B$3-100)*3)+Inputs!$B$28+Inputs!$B$29)))</f>
        <v/>
      </c>
      <c r="E3623">
        <f>INDEX(FactorTable!$B$2:$Y$301, MATCH(ROUND(MIN(300,MAX(1,D3623)),0), FactorTable!$A$2:$A$301,0), Skills!M20+1)</f>
        <v/>
      </c>
      <c r="F3623">
        <f>IF(Skills!N20=TRUE,(Skills!L20/10)*(E3623/1000),Skills!L20/10)+Skills!O20</f>
        <v/>
      </c>
      <c r="G3623">
        <f>Skills!G20*IF(Skills!H20&gt;0,IF(Inputs!$B$39="pvp",MIN(Skills!I20,15),Skills!I20)/Skills!H20,1)</f>
        <v/>
      </c>
      <c r="H3623">
        <f>1-(1-Skills!J20/100)^Skills!K20</f>
        <v/>
      </c>
      <c r="I3623" t="inlineStr">
        <is>
          <t>1</t>
        </is>
      </c>
      <c r="J3623" t="inlineStr"/>
      <c r="K3623" t="inlineStr"/>
      <c r="L3623" t="inlineStr"/>
      <c r="M3623" t="inlineStr"/>
      <c r="N3623" t="inlineStr"/>
      <c r="O3623">
        <f>(1-Summary!$B$11)*T3623+Summary!$B$11*V3623</f>
        <v/>
      </c>
      <c r="P3623">
        <f>IF(B3649=0,0,O3623/B3649)</f>
        <v/>
      </c>
      <c r="Q3623">
        <f>IFERROR(1/IF(Inputs!$B$39="pvp",15,MAX(0.1,Skills!D20-IF(TRUE=TRUE,3.5,0))),0)</f>
        <v/>
      </c>
      <c r="R3623">
        <f>IF(AND(Inputs!$B$39&lt;&gt;"pvp",Inputs!$B$44&gt;0),IF(Inputs!$B$44&lt;=0,0,(INT(Inputs!$B$44/IF(Inputs!$B$39="pvp",15,MAX(0.1,Skills!D20-IF(TRUE=TRUE,3.5,0))))+1)),0)</f>
        <v/>
      </c>
      <c r="S3623">
        <f>IFERROR(O3623/N3623,0)</f>
        <v/>
      </c>
      <c r="T3623" t="n">
        <v>0</v>
      </c>
      <c r="V3623" t="n">
        <v>0</v>
      </c>
    </row>
    <row r="3624">
      <c r="A3624">
        <f>Skills!A21</f>
        <v/>
      </c>
      <c r="B3624">
        <f>Skills!B21</f>
        <v/>
      </c>
      <c r="C3624">
        <f>Inputs!$B$3&gt;=15</f>
        <v/>
      </c>
      <c r="D3624">
        <f>IF(Skills!C21=1,60+Inputs!$B$25+Inputs!$B$29,IF(Skills!C21=2,90+Inputs!$B$26+Inputs!$B$29,IF(Skills!C21=3,120+Inputs!$B$27+Inputs!$B$29,MAX(0,(Inputs!$B$3-100)*3)+Inputs!$B$28+Inputs!$B$29)))</f>
        <v/>
      </c>
      <c r="E3624">
        <f>INDEX(FactorTable!$B$2:$Y$301, MATCH(ROUND(MIN(300,MAX(1,D3624)),0), FactorTable!$A$2:$A$301,0), Skills!M21+1)</f>
        <v/>
      </c>
      <c r="F3624">
        <f>IF(Skills!N21=TRUE,(Skills!L21/10)*(E3624/1000),Skills!L21/10)+Skills!O21</f>
        <v/>
      </c>
      <c r="G3624">
        <f>Skills!G21*IF(Skills!H21&gt;0,IF(Inputs!$B$39="pvp",MIN(Skills!I21,15),Skills!I21)/Skills!H21,1)</f>
        <v/>
      </c>
      <c r="H3624">
        <f>1-(1-Skills!J21/100)^Skills!K21</f>
        <v/>
      </c>
      <c r="I3624" t="inlineStr">
        <is>
          <t>1</t>
        </is>
      </c>
      <c r="J3624" t="inlineStr"/>
      <c r="K3624" t="inlineStr"/>
      <c r="L3624" t="inlineStr"/>
      <c r="M3624" t="inlineStr"/>
      <c r="N3624" t="inlineStr"/>
      <c r="O3624">
        <f>(1-Summary!$B$11)*T3624+Summary!$B$11*V3624</f>
        <v/>
      </c>
      <c r="P3624">
        <f>IF(B3649=0,0,O3624/B3649)</f>
        <v/>
      </c>
      <c r="Q3624">
        <f>IFERROR(1/IF(Inputs!$B$39="pvp",15,MAX(0.1,Skills!D21-IF(TRUE=TRUE,3.5,0))),0)</f>
        <v/>
      </c>
      <c r="R3624">
        <f>IF(AND(Inputs!$B$39&lt;&gt;"pvp",Inputs!$B$44&gt;0),IF(Inputs!$B$44&lt;=0,0,(INT(Inputs!$B$44/IF(Inputs!$B$39="pvp",15,MAX(0.1,Skills!D21-IF(TRUE=TRUE,3.5,0))))+1)),0)</f>
        <v/>
      </c>
      <c r="S3624">
        <f>IFERROR(O3624/N3624,0)</f>
        <v/>
      </c>
      <c r="T3624" t="n">
        <v>0</v>
      </c>
      <c r="V3624" t="n">
        <v>0</v>
      </c>
    </row>
    <row r="3625">
      <c r="A3625">
        <f>Skills!A22</f>
        <v/>
      </c>
      <c r="B3625">
        <f>Skills!B22</f>
        <v/>
      </c>
      <c r="C3625">
        <f>Inputs!$B$3&gt;=15</f>
        <v/>
      </c>
      <c r="D3625">
        <f>IF(Skills!C22=1,60+Inputs!$B$25+Inputs!$B$29,IF(Skills!C22=2,90+Inputs!$B$26+Inputs!$B$29,IF(Skills!C22=3,120+Inputs!$B$27+Inputs!$B$29,MAX(0,(Inputs!$B$3-100)*3)+Inputs!$B$28+Inputs!$B$29)))</f>
        <v/>
      </c>
      <c r="E3625">
        <f>INDEX(FactorTable!$B$2:$Y$301, MATCH(ROUND(MIN(300,MAX(1,D3625)),0), FactorTable!$A$2:$A$301,0), Skills!M22+1)</f>
        <v/>
      </c>
      <c r="F3625">
        <f>IF(Skills!N22=TRUE,(Skills!L22/10)*(E3625/1000),Skills!L22/10)+Skills!O22</f>
        <v/>
      </c>
      <c r="G3625">
        <f>Skills!G22*IF(Skills!H22&gt;0,IF(Inputs!$B$39="pvp",MIN(Skills!I22,15),Skills!I22)/Skills!H22,1)</f>
        <v/>
      </c>
      <c r="H3625">
        <f>1-(1-Skills!J22/100)^Skills!K22</f>
        <v/>
      </c>
      <c r="I3625" t="inlineStr">
        <is>
          <t>1</t>
        </is>
      </c>
      <c r="J3625" t="inlineStr"/>
      <c r="K3625" t="inlineStr"/>
      <c r="L3625" t="inlineStr"/>
      <c r="M3625" t="inlineStr"/>
      <c r="N3625" t="inlineStr"/>
      <c r="O3625">
        <f>(1-Summary!$B$11)*T3625+Summary!$B$11*V3625</f>
        <v/>
      </c>
      <c r="P3625">
        <f>IF(B3649=0,0,O3625/B3649)</f>
        <v/>
      </c>
      <c r="Q3625">
        <f>IFERROR(1/IF(Inputs!$B$39="pvp",15,MAX(0.1,Skills!D22-IF(TRUE=TRUE,3.5,0))),0)</f>
        <v/>
      </c>
      <c r="R3625">
        <f>IF(AND(Inputs!$B$39&lt;&gt;"pvp",Inputs!$B$44&gt;0),IF(Inputs!$B$44&lt;=0,0,(INT(Inputs!$B$44/IF(Inputs!$B$39="pvp",15,MAX(0.1,Skills!D22-IF(TRUE=TRUE,3.5,0))))+1)),0)</f>
        <v/>
      </c>
      <c r="S3625">
        <f>IFERROR(O3625/N3625,0)</f>
        <v/>
      </c>
      <c r="T3625" t="n">
        <v>0</v>
      </c>
      <c r="V3625" t="n">
        <v>0</v>
      </c>
    </row>
    <row r="3626">
      <c r="A3626">
        <f>Skills!A23</f>
        <v/>
      </c>
      <c r="B3626">
        <f>Skills!B23</f>
        <v/>
      </c>
      <c r="C3626">
        <f>Inputs!$B$3&gt;=33</f>
        <v/>
      </c>
      <c r="D3626">
        <f>IF(Skills!C23=1,60+Inputs!$B$25+Inputs!$B$29,IF(Skills!C23=2,90+Inputs!$B$26+Inputs!$B$29,IF(Skills!C23=3,120+Inputs!$B$27+Inputs!$B$29,MAX(0,(Inputs!$B$3-100)*3)+Inputs!$B$28+Inputs!$B$29)))</f>
        <v/>
      </c>
      <c r="E3626">
        <f>INDEX(FactorTable!$B$2:$Y$301, MATCH(ROUND(MIN(300,MAX(1,D3626)),0), FactorTable!$A$2:$A$301,0), Skills!M23+1)</f>
        <v/>
      </c>
      <c r="F3626">
        <f>IF(Skills!N23=TRUE,(Skills!L23/10)*(E3626/1000),Skills!L23/10)+Skills!O23</f>
        <v/>
      </c>
      <c r="G3626">
        <f>Skills!G23*IF(Skills!H23&gt;0,IF(Inputs!$B$39="pvp",MIN(Skills!I23,15),Skills!I23)/Skills!H23,1)</f>
        <v/>
      </c>
      <c r="H3626">
        <f>1-(1-Skills!J23/100)^Skills!K23</f>
        <v/>
      </c>
      <c r="I3626" t="inlineStr">
        <is>
          <t>1</t>
        </is>
      </c>
      <c r="J3626" t="inlineStr"/>
      <c r="K3626" t="inlineStr"/>
      <c r="L3626" t="inlineStr"/>
      <c r="M3626" t="inlineStr"/>
      <c r="N3626" t="inlineStr"/>
      <c r="O3626">
        <f>(1-Summary!$B$11)*T3626+Summary!$B$11*V3626</f>
        <v/>
      </c>
      <c r="P3626">
        <f>IF(B3649=0,0,O3626/B3649)</f>
        <v/>
      </c>
      <c r="Q3626" t="n">
        <v>0</v>
      </c>
      <c r="R3626" t="n">
        <v>0</v>
      </c>
      <c r="S3626">
        <f>IFERROR(O3626/N3626,0)</f>
        <v/>
      </c>
      <c r="T3626" t="n">
        <v>0</v>
      </c>
      <c r="V3626" t="n">
        <v>0</v>
      </c>
    </row>
    <row r="3627">
      <c r="A3627">
        <f>Skills!A24</f>
        <v/>
      </c>
      <c r="B3627">
        <f>Skills!B24</f>
        <v/>
      </c>
      <c r="C3627">
        <f>Inputs!$B$3&gt;=40</f>
        <v/>
      </c>
      <c r="D3627">
        <f>IF(Skills!C24=1,60+Inputs!$B$25+Inputs!$B$29,IF(Skills!C24=2,90+Inputs!$B$26+Inputs!$B$29,IF(Skills!C24=3,120+Inputs!$B$27+Inputs!$B$29,MAX(0,(Inputs!$B$3-100)*3)+Inputs!$B$28+Inputs!$B$29)))</f>
        <v/>
      </c>
      <c r="E3627">
        <f>INDEX(FactorTable!$B$2:$Y$301, MATCH(ROUND(MIN(300,MAX(1,D3627)),0), FactorTable!$A$2:$A$301,0), Skills!M24+1)</f>
        <v/>
      </c>
      <c r="F3627">
        <f>IF(Skills!N24=TRUE,(Skills!L24/10)*(E3627/1000),Skills!L24/10)+Skills!O24</f>
        <v/>
      </c>
      <c r="G3627">
        <f>Skills!G24*IF(Skills!H24&gt;0,IF(Inputs!$B$39="pvp",MIN(Skills!I24,15),Skills!I24)/Skills!H24,1)</f>
        <v/>
      </c>
      <c r="H3627">
        <f>1-(1-Skills!J24/100)^Skills!K24</f>
        <v/>
      </c>
      <c r="I3627" t="inlineStr">
        <is>
          <t>1</t>
        </is>
      </c>
      <c r="J3627" t="inlineStr"/>
      <c r="K3627" t="inlineStr"/>
      <c r="L3627" t="inlineStr"/>
      <c r="M3627" t="inlineStr"/>
      <c r="N3627" t="inlineStr"/>
      <c r="O3627">
        <f>(1-Summary!$B$11)*T3627+Summary!$B$11*V3627</f>
        <v/>
      </c>
      <c r="P3627">
        <f>IF(B3649=0,0,O3627/B3649)</f>
        <v/>
      </c>
      <c r="Q3627" t="n">
        <v>0</v>
      </c>
      <c r="R3627" t="n">
        <v>0</v>
      </c>
      <c r="S3627">
        <f>IFERROR(O3627/N3627,0)</f>
        <v/>
      </c>
      <c r="T3627" t="n">
        <v>0</v>
      </c>
      <c r="V3627" t="n">
        <v>0</v>
      </c>
    </row>
    <row r="3628">
      <c r="A3628">
        <f>Skills!A25</f>
        <v/>
      </c>
      <c r="B3628">
        <f>Skills!B25</f>
        <v/>
      </c>
      <c r="C3628">
        <f>Inputs!$B$3&gt;=43</f>
        <v/>
      </c>
      <c r="D3628">
        <f>IF(Skills!C25=1,60+Inputs!$B$25+Inputs!$B$29,IF(Skills!C25=2,90+Inputs!$B$26+Inputs!$B$29,IF(Skills!C25=3,120+Inputs!$B$27+Inputs!$B$29,MAX(0,(Inputs!$B$3-100)*3)+Inputs!$B$28+Inputs!$B$29)))</f>
        <v/>
      </c>
      <c r="E3628">
        <f>INDEX(FactorTable!$B$2:$Y$301, MATCH(ROUND(MIN(300,MAX(1,D3628)),0), FactorTable!$A$2:$A$301,0), Skills!M25+1)</f>
        <v/>
      </c>
      <c r="F3628">
        <f>IF(Skills!N25=TRUE,(Skills!L25/10)*(E3628/1000),Skills!L25/10)+Skills!O25</f>
        <v/>
      </c>
      <c r="G3628">
        <f>Skills!G25*IF(Skills!H25&gt;0,IF(Inputs!$B$39="pvp",MIN(Skills!I25,15),Skills!I25)/Skills!H25,1)</f>
        <v/>
      </c>
      <c r="H3628">
        <f>1-(1-Skills!J25/100)^Skills!K25</f>
        <v/>
      </c>
      <c r="I3628" t="inlineStr">
        <is>
          <t>1</t>
        </is>
      </c>
      <c r="J3628" t="inlineStr"/>
      <c r="K3628" t="inlineStr"/>
      <c r="L3628" t="inlineStr"/>
      <c r="M3628" t="inlineStr"/>
      <c r="N3628" t="inlineStr"/>
      <c r="O3628">
        <f>(1-Summary!$B$11)*T3628+Summary!$B$11*V3628</f>
        <v/>
      </c>
      <c r="P3628">
        <f>IF(B3649=0,0,O3628/B3649)</f>
        <v/>
      </c>
      <c r="Q3628" t="n">
        <v>0</v>
      </c>
      <c r="R3628" t="n">
        <v>0</v>
      </c>
      <c r="S3628">
        <f>IFERROR(O3628/N3628,0)</f>
        <v/>
      </c>
      <c r="T3628" t="n">
        <v>0</v>
      </c>
      <c r="V3628" t="n">
        <v>0</v>
      </c>
    </row>
    <row r="3629">
      <c r="A3629">
        <f>Skills!A26</f>
        <v/>
      </c>
      <c r="B3629">
        <f>Skills!B26</f>
        <v/>
      </c>
      <c r="C3629">
        <f>Inputs!$B$3&gt;=50</f>
        <v/>
      </c>
      <c r="D3629">
        <f>IF(Skills!C26=1,60+Inputs!$B$25+Inputs!$B$29,IF(Skills!C26=2,90+Inputs!$B$26+Inputs!$B$29,IF(Skills!C26=3,120+Inputs!$B$27+Inputs!$B$29,MAX(0,(Inputs!$B$3-100)*3)+Inputs!$B$28+Inputs!$B$29)))</f>
        <v/>
      </c>
      <c r="E3629">
        <f>INDEX(FactorTable!$B$2:$Y$301, MATCH(ROUND(MIN(300,MAX(1,D3629)),0), FactorTable!$A$2:$A$301,0), Skills!M26+1)</f>
        <v/>
      </c>
      <c r="F3629">
        <f>IF(Skills!N26=TRUE,(Skills!L26/10)*(E3629/1000),Skills!L26/10)+Skills!O26</f>
        <v/>
      </c>
      <c r="G3629">
        <f>Skills!G26*IF(Skills!H26&gt;0,IF(Inputs!$B$39="pvp",MIN(Skills!I26,15),Skills!I26)/Skills!H26,1)</f>
        <v/>
      </c>
      <c r="H3629">
        <f>1-(1-Skills!J26/100)^Skills!K26</f>
        <v/>
      </c>
      <c r="I3629" t="inlineStr">
        <is>
          <t>1</t>
        </is>
      </c>
      <c r="J3629" t="inlineStr"/>
      <c r="K3629" t="inlineStr"/>
      <c r="L3629" t="inlineStr"/>
      <c r="M3629" t="inlineStr"/>
      <c r="N3629" t="inlineStr"/>
      <c r="O3629">
        <f>(1-Summary!$B$11)*T3629+Summary!$B$11*V3629</f>
        <v/>
      </c>
      <c r="P3629">
        <f>IF(B3649=0,0,O3629/B3649)</f>
        <v/>
      </c>
      <c r="Q3629" t="n">
        <v>0</v>
      </c>
      <c r="R3629" t="n">
        <v>0</v>
      </c>
      <c r="S3629">
        <f>IFERROR(O3629/N3629,0)</f>
        <v/>
      </c>
      <c r="T3629" t="n">
        <v>0</v>
      </c>
      <c r="V3629" t="n">
        <v>0</v>
      </c>
    </row>
    <row r="3630">
      <c r="A3630">
        <f>Skills!A27</f>
        <v/>
      </c>
      <c r="B3630">
        <f>Skills!B27</f>
        <v/>
      </c>
      <c r="C3630">
        <f>Inputs!$B$3&gt;=50</f>
        <v/>
      </c>
      <c r="D3630">
        <f>IF(Skills!C27=1,60+Inputs!$B$25+Inputs!$B$29,IF(Skills!C27=2,90+Inputs!$B$26+Inputs!$B$29,IF(Skills!C27=3,120+Inputs!$B$27+Inputs!$B$29,MAX(0,(Inputs!$B$3-100)*3)+Inputs!$B$28+Inputs!$B$29)))</f>
        <v/>
      </c>
      <c r="E3630">
        <f>INDEX(FactorTable!$B$2:$Y$301, MATCH(ROUND(MIN(300,MAX(1,D3630)),0), FactorTable!$A$2:$A$301,0), Skills!M27+1)</f>
        <v/>
      </c>
      <c r="F3630">
        <f>IF(Skills!N27=TRUE,(Skills!L27/10)*(E3630/1000),Skills!L27/10)+Skills!O27</f>
        <v/>
      </c>
      <c r="G3630">
        <f>Skills!G27*IF(Skills!H27&gt;0,IF(Inputs!$B$39="pvp",MIN(Skills!I27,15),Skills!I27)/Skills!H27,1)</f>
        <v/>
      </c>
      <c r="H3630">
        <f>1-(1-Skills!J27/100)^Skills!K27</f>
        <v/>
      </c>
      <c r="I3630" t="inlineStr">
        <is>
          <t>1</t>
        </is>
      </c>
      <c r="J3630" t="inlineStr"/>
      <c r="K3630" t="inlineStr"/>
      <c r="L3630" t="inlineStr"/>
      <c r="M3630" t="inlineStr"/>
      <c r="N3630" t="inlineStr"/>
      <c r="O3630">
        <f>(1-Summary!$B$11)*T3630+Summary!$B$11*V3630</f>
        <v/>
      </c>
      <c r="P3630">
        <f>IF(B3649=0,0,O3630/B3649)</f>
        <v/>
      </c>
      <c r="Q3630" t="n">
        <v>0</v>
      </c>
      <c r="R3630" t="n">
        <v>0</v>
      </c>
      <c r="S3630">
        <f>IFERROR(O3630/N3630,0)</f>
        <v/>
      </c>
      <c r="T3630" t="n">
        <v>0</v>
      </c>
      <c r="V3630" t="n">
        <v>0</v>
      </c>
    </row>
    <row r="3631">
      <c r="A3631">
        <f>Skills!A28</f>
        <v/>
      </c>
      <c r="B3631">
        <f>Skills!B28</f>
        <v/>
      </c>
      <c r="C3631">
        <f>Inputs!$B$3&gt;=38</f>
        <v/>
      </c>
      <c r="D3631">
        <f>IF(Skills!C28=1,60+Inputs!$B$25+Inputs!$B$29,IF(Skills!C28=2,90+Inputs!$B$26+Inputs!$B$29,IF(Skills!C28=3,120+Inputs!$B$27+Inputs!$B$29,MAX(0,(Inputs!$B$3-100)*3)+Inputs!$B$28+Inputs!$B$29)))</f>
        <v/>
      </c>
      <c r="E3631">
        <f>INDEX(FactorTable!$B$2:$Y$301, MATCH(ROUND(MIN(300,MAX(1,D3631)),0), FactorTable!$A$2:$A$301,0), Skills!M28+1)</f>
        <v/>
      </c>
      <c r="F3631">
        <f>IF(Skills!N28=TRUE,(Skills!L28/10)*(E3631/1000),Skills!L28/10)+Skills!O28</f>
        <v/>
      </c>
      <c r="G3631">
        <f>Skills!G28*IF(Skills!H28&gt;0,IF(Inputs!$B$39="pvp",MIN(Skills!I28,15),Skills!I28)/Skills!H28,1)</f>
        <v/>
      </c>
      <c r="H3631">
        <f>1-(1-Skills!J28/100)^Skills!K28</f>
        <v/>
      </c>
      <c r="I3631" t="inlineStr">
        <is>
          <t>1</t>
        </is>
      </c>
      <c r="J3631" t="inlineStr"/>
      <c r="K3631" t="inlineStr"/>
      <c r="L3631" t="inlineStr"/>
      <c r="M3631" t="inlineStr"/>
      <c r="N3631" t="inlineStr"/>
      <c r="O3631">
        <f>(1-Summary!$B$11)*T3631+Summary!$B$11*V3631</f>
        <v/>
      </c>
      <c r="P3631">
        <f>IF(B3649=0,0,O3631/B3649)</f>
        <v/>
      </c>
      <c r="Q3631" t="n">
        <v>0</v>
      </c>
      <c r="R3631" t="n">
        <v>0</v>
      </c>
      <c r="S3631">
        <f>IFERROR(O3631/N3631,0)</f>
        <v/>
      </c>
      <c r="T3631" t="n">
        <v>0</v>
      </c>
      <c r="V3631" t="n">
        <v>0</v>
      </c>
    </row>
    <row r="3632">
      <c r="A3632">
        <f>Skills!A29</f>
        <v/>
      </c>
      <c r="B3632">
        <f>Skills!B29</f>
        <v/>
      </c>
      <c r="C3632">
        <f>Inputs!$B$3&gt;=120</f>
        <v/>
      </c>
      <c r="D3632">
        <f>IF(Skills!C29=1,60+Inputs!$B$25+Inputs!$B$29,IF(Skills!C29=2,90+Inputs!$B$26+Inputs!$B$29,IF(Skills!C29=3,120+Inputs!$B$27+Inputs!$B$29,MAX(0,(Inputs!$B$3-100)*3)+Inputs!$B$28+Inputs!$B$29)))</f>
        <v/>
      </c>
      <c r="E3632">
        <f>INDEX(FactorTable!$B$2:$Y$301, MATCH(ROUND(MIN(300,MAX(1,D3632)),0), FactorTable!$A$2:$A$301,0), Skills!M29+1)</f>
        <v/>
      </c>
      <c r="F3632">
        <f>IF(Skills!N29=TRUE,(Skills!L29/10)*(E3632/1000),Skills!L29/10)+Skills!O29</f>
        <v/>
      </c>
      <c r="G3632">
        <f>Skills!G29*IF(Skills!H29&gt;0,IF(Inputs!$B$39="pvp",MIN(Skills!I29,15),Skills!I29)/Skills!H29,1)</f>
        <v/>
      </c>
      <c r="H3632">
        <f>1-(1-Skills!J29/100)^Skills!K29</f>
        <v/>
      </c>
      <c r="I3632" t="inlineStr">
        <is>
          <t>1</t>
        </is>
      </c>
      <c r="J3632" t="inlineStr"/>
      <c r="K3632" t="inlineStr"/>
      <c r="L3632" t="inlineStr"/>
      <c r="M3632" t="inlineStr"/>
      <c r="N3632" t="inlineStr"/>
      <c r="O3632">
        <f>(1-Summary!$B$11)*T3632+Summary!$B$11*V3632</f>
        <v/>
      </c>
      <c r="P3632">
        <f>IF(B3649=0,0,O3632/B3649)</f>
        <v/>
      </c>
      <c r="Q3632" t="n">
        <v>0</v>
      </c>
      <c r="R3632" t="n">
        <v>0</v>
      </c>
      <c r="S3632">
        <f>IFERROR(O3632/N3632,0)</f>
        <v/>
      </c>
      <c r="T3632" t="n">
        <v>0</v>
      </c>
      <c r="V3632" t="n">
        <v>0</v>
      </c>
    </row>
    <row r="3633">
      <c r="A3633">
        <f>Skills!A30</f>
        <v/>
      </c>
      <c r="B3633">
        <f>Skills!B30</f>
        <v/>
      </c>
      <c r="C3633">
        <f>Inputs!$B$3&gt;=120</f>
        <v/>
      </c>
      <c r="D3633">
        <f>IF(Skills!C30=1,60+Inputs!$B$25+Inputs!$B$29,IF(Skills!C30=2,90+Inputs!$B$26+Inputs!$B$29,IF(Skills!C30=3,120+Inputs!$B$27+Inputs!$B$29,MAX(0,(Inputs!$B$3-100)*3)+Inputs!$B$28+Inputs!$B$29)))</f>
        <v/>
      </c>
      <c r="E3633">
        <f>INDEX(FactorTable!$B$2:$Y$301, MATCH(ROUND(MIN(300,MAX(1,D3633)),0), FactorTable!$A$2:$A$301,0), Skills!M30+1)</f>
        <v/>
      </c>
      <c r="F3633">
        <f>IF(Skills!N30=TRUE,(Skills!L30/10)*(E3633/1000),Skills!L30/10)+Skills!O30</f>
        <v/>
      </c>
      <c r="G3633">
        <f>Skills!G30*IF(Skills!H30&gt;0,IF(Inputs!$B$39="pvp",MIN(Skills!I30,15),Skills!I30)/Skills!H30,1)</f>
        <v/>
      </c>
      <c r="H3633">
        <f>1-(1-Skills!J30/100)^Skills!K30</f>
        <v/>
      </c>
      <c r="I3633" t="inlineStr">
        <is>
          <t>1</t>
        </is>
      </c>
      <c r="J3633" t="inlineStr"/>
      <c r="K3633" t="inlineStr"/>
      <c r="L3633" t="inlineStr"/>
      <c r="M3633" t="inlineStr"/>
      <c r="N3633" t="inlineStr"/>
      <c r="O3633">
        <f>(1-Summary!$B$11)*T3633+Summary!$B$11*V3633</f>
        <v/>
      </c>
      <c r="P3633">
        <f>IF(B3649=0,0,O3633/B3649)</f>
        <v/>
      </c>
      <c r="Q3633" t="n">
        <v>0</v>
      </c>
      <c r="R3633" t="n">
        <v>0</v>
      </c>
      <c r="S3633">
        <f>IFERROR(O3633/N3633,0)</f>
        <v/>
      </c>
      <c r="T3633" t="n">
        <v>0</v>
      </c>
      <c r="V3633" t="n">
        <v>0</v>
      </c>
    </row>
    <row r="3634">
      <c r="A3634">
        <f>Skills!A31</f>
        <v/>
      </c>
      <c r="B3634">
        <f>Skills!B31</f>
        <v/>
      </c>
      <c r="C3634">
        <f>Inputs!$B$3&gt;=125</f>
        <v/>
      </c>
      <c r="D3634">
        <f>IF(Skills!C31=1,60+Inputs!$B$25+Inputs!$B$29,IF(Skills!C31=2,90+Inputs!$B$26+Inputs!$B$29,IF(Skills!C31=3,120+Inputs!$B$27+Inputs!$B$29,MAX(0,(Inputs!$B$3-100)*3)+Inputs!$B$28+Inputs!$B$29)))</f>
        <v/>
      </c>
      <c r="E3634">
        <f>INDEX(FactorTable!$B$2:$Y$301, MATCH(ROUND(MIN(300,MAX(1,D3634)),0), FactorTable!$A$2:$A$301,0), Skills!M31+1)</f>
        <v/>
      </c>
      <c r="F3634">
        <f>IF(Skills!N31=TRUE,(Skills!L31/10)*(E3634/1000),Skills!L31/10)+Skills!O31</f>
        <v/>
      </c>
      <c r="G3634">
        <f>Skills!G31*IF(Skills!H31&gt;0,IF(Inputs!$B$39="pvp",MIN(Skills!I31,15),Skills!I31)/Skills!H31,1)</f>
        <v/>
      </c>
      <c r="H3634">
        <f>1-(1-Skills!J31/100)^Skills!K31</f>
        <v/>
      </c>
      <c r="I3634" t="inlineStr">
        <is>
          <t>1</t>
        </is>
      </c>
      <c r="J3634" t="inlineStr"/>
      <c r="K3634" t="inlineStr"/>
      <c r="L3634" t="inlineStr"/>
      <c r="M3634" t="inlineStr"/>
      <c r="N3634" t="inlineStr"/>
      <c r="O3634">
        <f>(1-Summary!$B$11)*T3634+Summary!$B$11*V3634</f>
        <v/>
      </c>
      <c r="P3634">
        <f>IF(B3649=0,0,O3634/B3649)</f>
        <v/>
      </c>
      <c r="Q3634" t="n">
        <v>0</v>
      </c>
      <c r="R3634" t="n">
        <v>0</v>
      </c>
      <c r="S3634">
        <f>IFERROR(O3634/N3634,0)</f>
        <v/>
      </c>
      <c r="T3634" t="n">
        <v>0</v>
      </c>
      <c r="V3634" t="n">
        <v>0</v>
      </c>
    </row>
    <row r="3636">
      <c r="A3636" t="inlineStr">
        <is>
          <t>Average Buff Multiplier</t>
        </is>
      </c>
      <c r="B3636">
        <f>(1+(((C3625=TRUE)*F3625*IF(AND(Inputs!$B$39&lt;&gt;"pvp",Inputs!$B$44&gt;0),(((R3625-1)*MIN((Skills!Y22*(1+Inputs!$B$34/100)),(1/Q3625))+MIN((Skills!Y22*(1+Inputs!$B$34/100)),MAX(0,Inputs!$B$44-((R3625-1)*(1/Q3625)))))/Inputs!$B$44),IF(Inputs!$B$39="pvp",MIN((Skills!Y22*(1+Inputs!$B$34/100)),15)/15,MIN(1,(Skills!Y22*(1+Inputs!$B$34/100))/(1/Q3625)))))+((C3606=TRUE)*F3606*3)+((C3608=TRUE)*F3608*(1-EXP(-0.75*B3641*5)))+((C3627=TRUE)*(F3627-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3614=TRUE)*F3614*IF(AND(Inputs!$B$39&lt;&gt;"pvp",Inputs!$B$44&gt;0),(((R3614-1)*MIN((Skills!Y11*(1+Inputs!$B$34/100)),(1/Q3614))+MIN((Skills!Y11*(1+Inputs!$B$34/100)),MAX(0,Inputs!$B$44-((R3614-1)*(1/Q3614)))))/Inputs!$B$44),IF(Inputs!$B$39="pvp",MIN((Skills!Y11*(1+Inputs!$B$34/100)),15)/15,MIN(1,(Skills!Y11*(1+Inputs!$B$34/100))/(1/Q3614)))))/100)*(1+((C3619=TRUE)*F3619*IF(AND(Inputs!$B$39&lt;&gt;"pvp",Inputs!$B$44&gt;0),(((R3619-1)*MIN((Skills!Y16*(1+Inputs!$B$34/100)),(1/Q3619))+MIN((Skills!Y16*(1+Inputs!$B$34/100)),MAX(0,Inputs!$B$44-((R3619-1)*(1/Q3619)))))/Inputs!$B$44),IF(Inputs!$B$39="pvp",MIN((Skills!Y16*(1+Inputs!$B$34/100)),15)/15,MIN(1,(Skills!Y16*(1+Inputs!$B$34/100))/(1/Q3619)))))/100)</f>
        <v/>
      </c>
    </row>
    <row r="3637">
      <c r="A3637" t="inlineStr">
        <is>
          <t>Global Crit Rate Bonus %</t>
        </is>
      </c>
      <c r="B3637">
        <f>((C3624=TRUE)*F3624*IF(AND(Inputs!$B$39&lt;&gt;"pvp",Inputs!$B$44&gt;0),(((R3624-1)*MIN((Skills!Y21*(1+Inputs!$B$34/100)),(1/Q3624))+MIN((Skills!Y21*(1+Inputs!$B$34/100)),MAX(0,Inputs!$B$44-((R3624-1)*(1/Q3624)))))/Inputs!$B$44),IF(Inputs!$B$39="pvp",MIN((Skills!Y21*(1+Inputs!$B$34/100)),15)/15,MIN(1,(Skills!Y21*(1+Inputs!$B$34/100))/(1/Q3624)))))</f>
        <v/>
      </c>
    </row>
    <row r="3638">
      <c r="A3638" t="inlineStr">
        <is>
          <t>Global Monster Damage-Taken Bonus %</t>
        </is>
      </c>
      <c r="B3638">
        <f>IF(Inputs!$B$3&gt;=82,15,0)</f>
        <v/>
      </c>
    </row>
    <row r="3639">
      <c r="A3639" t="inlineStr">
        <is>
          <t>Shadow Partner Average Multiplier</t>
        </is>
      </c>
      <c r="B3639">
        <f>1+((C3611=TRUE)*F3611*(1+3.3333333333333335*IF(C3622=TRUE,F3622,0)/100)*I3611*Skills!J8/100)/100</f>
        <v/>
      </c>
    </row>
    <row r="3640">
      <c r="A3640" t="inlineStr">
        <is>
          <t>Attack Speed Buff Bonus %</t>
        </is>
      </c>
      <c r="B3640">
        <f>((C3623=TRUE)*F3623*IF(AND(Inputs!$B$39&lt;&gt;"pvp",Inputs!$B$44&gt;0),(((R3623-1)*MIN((Skills!Y20*(1+Inputs!$B$34/100)),(1/Q3623))+MIN((Skills!Y20*(1+Inputs!$B$34/100)),MAX(0,Inputs!$B$44-((R3623-1)*(1/Q3623)))))/Inputs!$B$44),IF(Inputs!$B$39="pvp",MIN((Skills!Y20*(1+Inputs!$B$34/100)),15)/15,MIN(1,(Skills!Y20*(1+Inputs!$B$34/100))/(1/Q3623)))))</f>
        <v/>
      </c>
    </row>
    <row r="3641">
      <c r="A3641" t="inlineStr">
        <is>
          <t>Actions Per Second</t>
        </is>
      </c>
      <c r="B3641">
        <f>1+MIN(150,150*(1-(1-(Inputs!$B$11+((C3626=TRUE)*(F3626-Calc!F23)))/150)*(1-B3640/150)))/100</f>
        <v/>
      </c>
    </row>
    <row r="3642">
      <c r="A3642" t="inlineStr">
        <is>
          <t>Skill + Buff Cast Rate</t>
        </is>
      </c>
      <c r="B3642">
        <f>IF(AND(Inputs!$B$39&lt;&gt;"pvp",Inputs!$B$44&gt;0),SUMPRODUCT((Skills!E2:E31=TRUE)*(C3605:C3634=TRUE)*R3605:R3634*Skills!F2:F31)/Inputs!$B$44,SUMPRODUCT((Skills!E2:E31=TRUE)*(C3605:C3634=TRUE)*Q3605:Q3634*Skills!F2:F31))</f>
        <v/>
      </c>
    </row>
    <row r="3643">
      <c r="A3643" t="inlineStr">
        <is>
          <t>Cruel Stab Casts Per Second</t>
        </is>
      </c>
      <c r="B3643">
        <f>MAX(0,B3641-B3642)</f>
        <v/>
      </c>
    </row>
    <row r="3644">
      <c r="A3644" t="inlineStr">
        <is>
          <t>Global Critical Damage Bonus % (Smokescreen Mastery Lv.113)</t>
        </is>
      </c>
      <c r="B3644">
        <f>IF(Inputs!$B$3&gt;=113,30,0)*IF(AND(Inputs!$B$39&lt;&gt;"pvp",Inputs!$B$44&gt;0),(((R3619-1)*MIN((Skills!Y16*(1+Inputs!$B$34/100)),(1/Q3619))+MIN((Skills!Y16*(1+Inputs!$B$34/100)),MAX(0,Inputs!$B$44-((R3619-1)*(1/Q3619)))))/Inputs!$B$44),IF(Inputs!$B$39="pvp",MIN((Skills!Y16*(1+Inputs!$B$34/100)),15)/15,MIN(1,(Skills!Y16*(1+Inputs!$B$34/100))/(1/Q3619))))</f>
        <v/>
      </c>
    </row>
    <row r="3645">
      <c r="A3645" t="inlineStr">
        <is>
          <t>Meso Explosion average stack count</t>
        </is>
      </c>
      <c r="B3645">
        <f>MIN(10,IF(Inputs!$B$3&gt;=75,0.75,0.5)*B3641*(1/Q3607))</f>
        <v/>
      </c>
    </row>
    <row r="3646">
      <c r="A3646" t="inlineStr">
        <is>
          <t>Blood Money average stack count</t>
        </is>
      </c>
      <c r="B3646">
        <f>MIN(5,0.5*IF(Inputs!$B$3&gt;=75,0.75,0.5)*B3641*(1/Q3607))</f>
        <v/>
      </c>
    </row>
    <row r="3647">
      <c r="A3647" t="inlineStr">
        <is>
          <t>Assassinate Murderous Intent Multiplier</t>
        </is>
      </c>
      <c r="B3647">
        <f>1+IFERROR(MIN(1,Q3618*2/Q3615),0)</f>
        <v/>
      </c>
    </row>
    <row r="3648">
      <c r="A3648" t="inlineStr">
        <is>
          <t>Buff-Casting Startup Delay (s, fixed-duration only)</t>
        </is>
      </c>
      <c r="B3648">
        <f>IF(AND(Inputs!$B$39&lt;&gt;"pvp",Inputs!$B$44&gt;0),SUMPRODUCT((Skills!Y2:Y31&gt;0)*(Skills!E2:E31=TRUE)*(C3605:C3634=TRUE))/B3641,0)</f>
        <v/>
      </c>
    </row>
    <row r="3649">
      <c r="A3649" s="6" t="inlineStr">
        <is>
          <t>TOTAL DPS</t>
        </is>
      </c>
      <c r="B3649" s="6">
        <f>SUM(O3605:O3634)</f>
        <v/>
      </c>
    </row>
    <row r="3650">
      <c r="A3650" t="inlineStr">
        <is>
          <t>Boss-Only Total DPS (this block's swept value)</t>
        </is>
      </c>
      <c r="B3650">
        <f>SUM(T3605:T3634)</f>
        <v/>
      </c>
    </row>
    <row r="3651">
      <c r="A3651" t="inlineStr">
        <is>
          <t>Normal-Only Total DPS (this block's swept value)</t>
        </is>
      </c>
      <c r="B3651">
        <f>SUM(V3605:V3634)</f>
        <v/>
      </c>
    </row>
    <row r="3654">
      <c r="A3654" s="6" t="inlineStr">
        <is>
          <t>Stat: CDR = 4.0s</t>
        </is>
      </c>
    </row>
    <row r="3655">
      <c r="A3655" s="5" t="inlineStr">
        <is>
          <t>Key</t>
        </is>
      </c>
      <c r="B3655" s="5" t="inlineStr">
        <is>
          <t>Name</t>
        </is>
      </c>
      <c r="C3655" s="5" t="inlineStr">
        <is>
          <t>Unlocked</t>
        </is>
      </c>
      <c r="D3655" s="5" t="inlineStr">
        <is>
          <t>InputLevel</t>
        </is>
      </c>
      <c r="E3655" s="5" t="inlineStr">
        <is>
          <t>Factor</t>
        </is>
      </c>
      <c r="F3655" s="5" t="inlineStr">
        <is>
          <t>CoefficientPercent</t>
        </is>
      </c>
      <c r="G3655" s="5" t="inlineStr">
        <is>
          <t>EffectiveHits</t>
        </is>
      </c>
      <c r="H3655" s="5" t="inlineStr">
        <is>
          <t>ProcProbability</t>
        </is>
      </c>
      <c r="I3655" s="5" t="inlineStr">
        <is>
          <t>MapleHeroMultiplier</t>
        </is>
      </c>
      <c r="J3655" s="5" t="inlineStr">
        <is>
          <t>BaseDamage</t>
        </is>
      </c>
      <c r="K3655" s="5" t="inlineStr">
        <is>
          <t>BaseHitDamage</t>
        </is>
      </c>
      <c r="L3655" s="5" t="inlineStr">
        <is>
          <t>NonCritAvg</t>
        </is>
      </c>
      <c r="M3655" s="5" t="inlineStr">
        <is>
          <t>CritAvg</t>
        </is>
      </c>
      <c r="N3655" s="5" t="inlineStr">
        <is>
          <t>ExpectedDamage(perHit)</t>
        </is>
      </c>
      <c r="O3655" s="5" t="inlineStr">
        <is>
          <t>DPS</t>
        </is>
      </c>
      <c r="P3655" s="5" t="inlineStr">
        <is>
          <t>% of Total</t>
        </is>
      </c>
      <c r="Q3655" s="5" t="inlineStr">
        <is>
          <t>InvCooldown</t>
        </is>
      </c>
      <c r="R3655" s="5" t="inlineStr">
        <is>
          <t>CastsInFight</t>
        </is>
      </c>
      <c r="S3655" s="5" t="inlineStr">
        <is>
          <t>HitRate(perSec)</t>
        </is>
      </c>
      <c r="U3655" t="inlineStr">
        <is>
          <t>helpers</t>
        </is>
      </c>
    </row>
    <row r="3656">
      <c r="A3656">
        <f>Skills!A2</f>
        <v/>
      </c>
      <c r="B3656">
        <f>Skills!B2</f>
        <v/>
      </c>
      <c r="C3656">
        <f>Inputs!$B$3&gt;=100</f>
        <v/>
      </c>
      <c r="D3656" t="inlineStr"/>
      <c r="E3656" t="inlineStr"/>
      <c r="F3656">
        <f>U3658+Skills!O2</f>
        <v/>
      </c>
      <c r="G3656">
        <f>Skills!G2*IF(Skills!H2&gt;0,IF(Inputs!$B$39="pvp",MIN(Skills!I2,15),Skills!I2)/Skills!H2,1)</f>
        <v/>
      </c>
      <c r="H3656">
        <f>1-(1-Skills!J2/100)^Skills!K2</f>
        <v/>
      </c>
      <c r="I3656" t="inlineStr">
        <is>
          <t>1</t>
        </is>
      </c>
      <c r="J3656">
        <f>((Inputs!$B$6*(1+Inputs!$B$7/100))+(((Inputs!$B$12*(1+Inputs!$B$13/100))-(Inputs!$B$12*(1+Inputs!$B$13/100)))+0.25*(Inputs!$B$14-Inputs!$B$14))*(1+Inputs!$B$7/100))*(F3656/100)</f>
        <v/>
      </c>
      <c r="K3656">
        <f>J3656*(1+((Inputs!$B$12*(1+Inputs!$B$13/100))*0.01+Inputs!$B$14*0.0025)/100)*(1+Inputs!$B$15/100)*(1+Inputs!$B$16/100)*(5000/(6000+Inputs!$B$43*(1-(100*(1-(1-Inputs!$B$19/100)*(1-CHOOSE(ArtifactsInput!$N$40+1,5,6,7,8,9,10)/100)^(ArtifactsInput!$M$40-ArtifactsInput!$M$40)))/100)))*(1+(Inputs!$B$24+((C3685=TRUE)*(F3685-Calc!F31))+((C3672=TRUE)*(F3672-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CRUEL_STAB",Inputs!$B$17+((C3682=TRUE)*(F3682-Calc!F28))+((IF(AND(Inputs!$B$39&lt;&gt;"pvp",Inputs!$B$44=0),1,IF(IF(Inputs!$B$39="pvp",15,Inputs!$B$44)-(B3699)&lt;=0,1,MAX(0,IF(Inputs!$B$39="pvp",15,Inputs!$B$44)-MAX(5,B3699))/(IF(Inputs!$B$39="pvp",15,Inputs!$B$44)-(B3699))))*(IF(AND(ArtifactsInput!$M$42,((Inputs!$B$9+((C3680=TRUE)*(F3680-Calc!F26))+B3688+(ArtifactsInput!$M$24-ArtifactsInput!$M$24)*CHOOSE(ArtifactsInput!$N$24+1,10,12,14,16,18,20)+IF(ArtifactsInput!$M$10,CHOOSE(ArtifactsInput!$N$10+1,15,18,21,24,27,30)*(IF(Inputs!$B$39="pvp",MIN(15,15)/15,IF(AND(Inputs!$B$39&lt;&gt;"pvp",Inputs!$B$44&gt;0),MIN(15,Inputs!$B$44)/(Inputs!$B$44),0))),0)))&gt;=100),MIN(100,((Inputs!$B$9+((C3680=TRUE)*(F3680-Calc!F26))+B3688+(ArtifactsInput!$M$24-ArtifactsInput!$M$24)*CHOOSE(ArtifactsInput!$N$24+1,10,12,14,16,18,20)+IF(ArtifactsInput!$M$10,CHOOSE(ArtifactsInput!$N$10+1,15,18,21,24,27,30)*(IF(Inputs!$B$39="pvp",MIN(15,15)/15,IF(AND(Inputs!$B$39&lt;&gt;"pvp",Inputs!$B$44&gt;0),MIN(15,Inputs!$B$44)/(Inputs!$B$44),0))),0)))-100),0))*CHOOSE(ArtifactsInput!$N$42+1,0.6,0.72,0.84,0.96,1.08,1.2))),Inputs!$B$18+((C3683=TRUE)*(F3683-Calc!F29))+(IF(AND(Inputs!$B$39&lt;&gt;"pvp",Inputs!$B$44=0),1,IF(IF(Inputs!$B$39="pvp",15,Inputs!$B$44)-(B3699)&lt;=0,1,MAX(0,IF(Inputs!$B$39="pvp",15,Inputs!$B$44)-MAX(5,B3699))/(IF(Inputs!$B$39="pvp",15,Inputs!$B$44)-(B3699))))*IF(AND(ArtifactsInput!$M$42,((Inputs!$B$9+((C3680=TRUE)*(F3680-Calc!F26))+B3688+(ArtifactsInput!$M$24-ArtifactsInput!$M$24)*CHOOSE(ArtifactsInput!$N$24+1,10,12,14,16,18,20)+IF(ArtifactsInput!$M$10,CHOOSE(ArtifactsInput!$N$10+1,15,18,21,24,27,30)*(IF(Inputs!$B$39="pvp",MIN(15,15)/15,IF(AND(Inputs!$B$39&lt;&gt;"pvp",Inputs!$B$44&gt;0),MIN(15,Inputs!$B$44)/(Inputs!$B$44),0))),0)))&gt;=100),CHOOSE(ArtifactsInput!$N$42+1,40,48,56,64,72,80),0))))/100)*(((1+(((C3676=TRUE)*F3676*IF(AND(Inputs!$B$39&lt;&gt;"pvp",Inputs!$B$44&gt;0),(((R3676-1)*MIN((Skills!Y22*(1+Inputs!$B$34/100)),(1/Q3676))+MIN((Skills!Y22*(1+Inputs!$B$34/100)),MAX(0,Inputs!$B$44-((R3676-1)*(1/Q3676)))))/Inputs!$B$44),IF(Inputs!$B$39="pvp",MIN((Skills!Y22*(1+Inputs!$B$34/100)),15)/15,MIN(1,(Skills!Y22*(1+Inputs!$B$34/100))/(1/Q3676)))))+((C3657=TRUE)*F3657*3)+((C3659=TRUE)*F3659*(1-EXP(-0.75*B3692*5)))+((C3678=TRUE)*(F3678-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3665=TRUE)*F3665*IF(AND(Inputs!$B$39&lt;&gt;"pvp",Inputs!$B$44&gt;0),(((R3665-1)*MIN((Skills!Y11*(1+Inputs!$B$34/100)),(1/Q3665))+MIN((Skills!Y11*(1+Inputs!$B$34/100)),MAX(0,Inputs!$B$44-((R3665-1)*(1/Q3665)))))/Inputs!$B$44),IF(Inputs!$B$39="pvp",MIN((Skills!Y11*(1+Inputs!$B$34/100)),15)/15,MIN(1,(Skills!Y11*(1+Inputs!$B$34/100))/(1/Q3665)))))/100)*(1+((C3670=TRUE)*F3670*IF(AND(Inputs!$B$39&lt;&gt;"pvp",Inputs!$B$44&gt;0),(((R3670-1)*MIN((Skills!Y16*(1+Inputs!$B$34/100)),(1/Q3670))+MIN((Skills!Y16*(1+Inputs!$B$34/100)),MAX(0,Inputs!$B$44-((R3670-1)*(1/Q3670)))))/Inputs!$B$44),IF(Inputs!$B$39="pvp",MIN((Skills!Y16*(1+Inputs!$B$34/100)),15)/15,MIN(1,(Skills!Y16*(1+Inputs!$B$34/100))/(1/Q3670)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3690*I3656)</f>
        <v/>
      </c>
      <c r="L3656">
        <f>K3656*(MIN(Inputs!$B$22+((C3679=TRUE)*(F3679-Calc!F25)),(Inputs!$B$23+((C3684=TRUE)*(F3684-Calc!F30))+IF(ArtifactsInput!$M$15,CHOOSE(ArtifactsInput!$N$15+1,25,30,35,40,45,50)/100*(Inputs!$B$11-Inputs!$B$11),0)))/100+(Inputs!$B$23+((C3684=TRUE)*(F3684-Calc!F30))+IF(ArtifactsInput!$M$15,CHOOSE(ArtifactsInput!$N$15+1,25,30,35,40,45,50)/100*(Inputs!$B$11-Inputs!$B$11),0))/100)/2</f>
        <v/>
      </c>
      <c r="M3656">
        <f>L3656*(1+(Inputs!$B$10+((C3681=TRUE)*(F3681-Calc!F27))+B3695+(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3656">
        <f>L3656*(1-MIN((Inputs!$B$9+((C3680=TRUE)*(F3680-Calc!F26))+B3688+(ArtifactsInput!$M$24-ArtifactsInput!$M$24)*CHOOSE(ArtifactsInput!$N$24+1,10,12,14,16,18,20)+(IF(AND(Inputs!$B$39&lt;&gt;"pvp",Inputs!$B$44=0),1,IF(IF(Inputs!$B$39="pvp",15,Inputs!$B$44)-(B3699)&lt;=0,1,MAX(0,IF(Inputs!$B$39="pvp",15,Inputs!$B$44)-MAX(5,B3699))/(IF(Inputs!$B$39="pvp",15,Inputs!$B$44)-(B3699))))*IF(AND(ArtifactsInput!$M$42,((Inputs!$B$9+((C3680=TRUE)*(F3680-Calc!F26))+B3688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3656*(MIN((Inputs!$B$9+((C3680=TRUE)*(F3680-Calc!F26))+B3688+(ArtifactsInput!$M$24-ArtifactsInput!$M$24)*CHOOSE(ArtifactsInput!$N$24+1,10,12,14,16,18,20)+(IF(AND(Inputs!$B$39&lt;&gt;"pvp",Inputs!$B$44=0),1,IF(IF(Inputs!$B$39="pvp",15,Inputs!$B$44)-(B3699)&lt;=0,1,MAX(0,IF(Inputs!$B$39="pvp",15,Inputs!$B$44)-MAX(5,B3699))/(IF(Inputs!$B$39="pvp",15,Inputs!$B$44)-(B3699))))*IF(AND(ArtifactsInput!$M$42,((Inputs!$B$9+((C3680=TRUE)*(F3680-Calc!F26))+B3688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3656">
        <f>(1-Summary!$B$11)*T3656+Summary!$B$11*V3656</f>
        <v/>
      </c>
      <c r="P3656">
        <f>IF(B3700=0,0,O3656/B3700)</f>
        <v/>
      </c>
      <c r="Q3656" t="n">
        <v>0</v>
      </c>
      <c r="R3656" t="n">
        <v>0</v>
      </c>
      <c r="S3656">
        <f>IFERROR(O3656/N3656,0)</f>
        <v/>
      </c>
      <c r="T3656">
        <f>IF(C3656,(Skills!G2*N3656*B3694)*IF(Inputs!$B$39="pvp",1,1+(Inputs!$B$20+0+Skills!P2+B3689+(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Hunt"),CHOOSE(ArtifactsInput!$N$35+1,15,18,21,24,27,30)*(1-EXP(-(0.2*B3692)*5)),0)+IF(AND(ArtifactsInput!$M$22,Inputs!$B$4&lt;&gt;"Chapter Hunt"),CHOOSE(ArtifactsInput!$N$22+1,10,12,14,16,18,20)*((0*(((0.15*B3692*5))^0/1)+1*(((0.15*B3692*5))^1/1)+2*(((0.15*B3692*5))^2/2)+3*(((0.15*B3692*5))^3/6)+4*(((0.15*B3692*5))^4/24)+5*(((0.15*B3692*5))^5/120))/((((0.15*B3692*5))^0/1)+(((0.15*B3692*5))^1/1)+(((0.15*B3692*5))^2/2)+(((0.15*B3692*5))^3/6)+(((0.15*B3692*5))^4/24)+(((0.15*B3692*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3656*(1-MIN(100,(Inputs!$B$9+((C3680=TRUE)*(F3680-Calc!F26))+B3688+(ArtifactsInput!$M$24-ArtifactsInput!$M$24)*CHOOSE(ArtifactsInput!$N$24+1,10,12,14,16,18,20)+(IF(AND(Inputs!$B$39&lt;&gt;"pvp",Inputs!$B$44=0),1,IF(IF(Inputs!$B$39="pvp",15,Inputs!$B$44)-(B3699)&lt;=0,1,MAX(0,IF(Inputs!$B$39="pvp",15,Inputs!$B$44)-MAX(5,B3699))/(IF(Inputs!$B$39="pvp",15,Inputs!$B$44)-(B3699))))*IF(AND(ArtifactsInput!$M$42,((Inputs!$B$9+((C3680=TRUE)*(F3680-Calc!F26))+B3688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3656*(MIN(100,(Inputs!$B$9+((C3680=TRUE)*(F3680-Calc!F26))+B3688+(ArtifactsInput!$M$24-ArtifactsInput!$M$24)*CHOOSE(ArtifactsInput!$N$24+1,10,12,14,16,18,20)+(IF(AND(Inputs!$B$39&lt;&gt;"pvp",Inputs!$B$44=0),1,IF(IF(Inputs!$B$39="pvp",15,Inputs!$B$44)-(B3699)&lt;=0,1,MAX(0,IF(Inputs!$B$39="pvp",15,Inputs!$B$44)-MAX(5,B3699))/(IF(Inputs!$B$39="pvp",15,Inputs!$B$44)-(B3699))))*IF(AND(ArtifactsInput!$M$42,((Inputs!$B$9+((C3680=TRUE)*(F3680-Calc!F26))+B3688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3656*(1-MIN(100,(Inputs!$B$9+((C3680=TRUE)*(F3680-Calc!F26))+B3688+(ArtifactsInput!$M$24-ArtifactsInput!$M$24)*CHOOSE(ArtifactsInput!$N$24+1,10,12,14,16,18,20)+(IF(AND(Inputs!$B$39&lt;&gt;"pvp",Inputs!$B$44=0),1,IF(IF(Inputs!$B$39="pvp",15,Inputs!$B$44)-(B3699)&lt;=0,1,MAX(0,IF(Inputs!$B$39="pvp",15,Inputs!$B$44)-MAX(5,B3699))/(IF(Inputs!$B$39="pvp",15,Inputs!$B$44)-(B3699))))*IF(AND(ArtifactsInput!$M$42,((Inputs!$B$9+((C3680=TRUE)*(F3680-Calc!F26))+B3688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3656*(MIN(100,(Inputs!$B$9+((C3680=TRUE)*(F3680-Calc!F26))+B3688+(ArtifactsInput!$M$24-ArtifactsInput!$M$24)*CHOOSE(ArtifactsInput!$N$24+1,10,12,14,16,18,20)+(IF(AND(Inputs!$B$39&lt;&gt;"pvp",Inputs!$B$44=0),1,IF(IF(Inputs!$B$39="pvp",15,Inputs!$B$44)-(B3699)&lt;=0,1,MAX(0,IF(Inputs!$B$39="pvp",15,Inputs!$B$44)-MAX(5,B3699))/(IF(Inputs!$B$39="pvp",15,Inputs!$B$44)-(B3699))))*IF(AND(ArtifactsInput!$M$42,((Inputs!$B$9+((C3680=TRUE)*(F3680-Calc!F26))+B3688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3656">
        <f>MAX(0,(Inputs!$B$3-100)*3)+Inputs!$B$28+Inputs!$B$29</f>
        <v/>
      </c>
      <c r="V3656">
        <f>IF(C3656,(Skills!G2*N3656*B3694)*IF(Inputs!$B$39="pvp",1,(1+(Inputs!$B$21+Skills!Q2+B3689+(IF(ArtifactsInput!$M$33,CHOOSE(ArtifactsInput!$N$33+1,30,36,42,48,54,60),0))+(IF(AND(ArtifactsInput!$M$35,Inputs!$B$4&lt;&gt;"Chapter Hunt"),CHOOSE(ArtifactsInput!$N$35+1,15,18,21,24,27,30)*(1-EXP(-(0.2*B3692)*5)),0)+IF(AND(ArtifactsInput!$M$22,Inputs!$B$4&lt;&gt;"Chapter Hunt"),CHOOSE(ArtifactsInput!$N$22+1,10,12,14,16,18,20)*((0*(((0.15*B3692*5))^0/1)+1*(((0.15*B3692*5))^1/1)+2*(((0.15*B3692*5))^2/2)+3*(((0.15*B3692*5))^3/6)+4*(((0.15*B3692*5))^4/24)+5*(((0.15*B3692*5))^5/120))/((((0.15*B3692*5))^0/1)+(((0.15*B3692*5))^1/1)+(((0.15*B3692*5))^2/2)+(((0.15*B3692*5))^3/6)+(((0.15*B3692*5))^4/24)+(((0.15*B3692*5))^5/120))),0)))/100)*(MIN((6+Inputs!$B$33),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3657">
      <c r="A3657">
        <f>Skills!A3</f>
        <v/>
      </c>
      <c r="B3657">
        <f>Skills!B3</f>
        <v/>
      </c>
      <c r="C3657">
        <f>Inputs!$B$3&gt;=35</f>
        <v/>
      </c>
      <c r="D3657">
        <f>IF(Skills!C3=1,60+Inputs!$B$25+Inputs!$B$29,IF(Skills!C3=2,90+Inputs!$B$26+Inputs!$B$29,IF(Skills!C3=3,120+Inputs!$B$27+Inputs!$B$29,MAX(0,(Inputs!$B$3-100)*3)+Inputs!$B$28+Inputs!$B$29)))</f>
        <v/>
      </c>
      <c r="E3657">
        <f>INDEX(FactorTable!$B$2:$Y$301, MATCH(ROUND(MIN(300,MAX(1,D3657)),0), FactorTable!$A$2:$A$301,0), Skills!M3+1)</f>
        <v/>
      </c>
      <c r="F3657">
        <f>IF(Skills!N3=TRUE,(Skills!L3/10)*(E3657/1000),Skills!L3/10)+Skills!O3</f>
        <v/>
      </c>
      <c r="G3657">
        <f>Skills!G3*IF(Skills!H3&gt;0,IF(Inputs!$B$39="pvp",MIN(Skills!I3,15),Skills!I3)/Skills!H3,1)</f>
        <v/>
      </c>
      <c r="H3657">
        <f>1-(1-Skills!J3/100)^Skills!K3</f>
        <v/>
      </c>
      <c r="I3657" t="inlineStr">
        <is>
          <t>1</t>
        </is>
      </c>
      <c r="J3657" t="inlineStr"/>
      <c r="K3657" t="inlineStr"/>
      <c r="L3657" t="inlineStr"/>
      <c r="M3657" t="inlineStr"/>
      <c r="N3657" t="inlineStr"/>
      <c r="O3657">
        <f>(1-Summary!$B$11)*T3657+Summary!$B$11*V3657</f>
        <v/>
      </c>
      <c r="P3657">
        <f>IF(B3700=0,0,O3657/B3700)</f>
        <v/>
      </c>
      <c r="Q3657" t="n">
        <v>0</v>
      </c>
      <c r="R3657" t="n">
        <v>0</v>
      </c>
      <c r="S3657">
        <f>IFERROR(O3657/N3657,0)</f>
        <v/>
      </c>
      <c r="T3657" t="n">
        <v>0</v>
      </c>
      <c r="U3657">
        <f>INDEX(FactorTable!$B$2:$Y$301, MATCH(ROUND(MIN(300,MAX(1,U3656)),0), FactorTable!$A$2:$A$301,0), 22)</f>
        <v/>
      </c>
      <c r="V3657" t="n">
        <v>0</v>
      </c>
    </row>
    <row r="3658">
      <c r="A3658">
        <f>Skills!A4</f>
        <v/>
      </c>
      <c r="B3658">
        <f>Skills!B4</f>
        <v/>
      </c>
      <c r="C3658">
        <f>Inputs!$B$3&gt;=66</f>
        <v/>
      </c>
      <c r="D3658">
        <f>IF(Skills!C4=1,60+Inputs!$B$25+Inputs!$B$29,IF(Skills!C4=2,90+Inputs!$B$26+Inputs!$B$29,IF(Skills!C4=3,120+Inputs!$B$27+Inputs!$B$29,MAX(0,(Inputs!$B$3-100)*3)+Inputs!$B$28+Inputs!$B$29)))</f>
        <v/>
      </c>
      <c r="E3658">
        <f>INDEX(FactorTable!$B$2:$Y$301, MATCH(ROUND(MIN(300,MAX(1,D3658)),0), FactorTable!$A$2:$A$301,0), Skills!M4+1)</f>
        <v/>
      </c>
      <c r="F3658">
        <f>IF(Skills!N4=TRUE,(Skills!L4/10)*(E3658/1000),Skills!L4/10)+Skills!O4</f>
        <v/>
      </c>
      <c r="G3658">
        <f>Skills!G4*IF(Skills!H4&gt;0,IF(Inputs!$B$39="pvp",MIN(Skills!I4,15),Skills!I4)/Skills!H4,1)</f>
        <v/>
      </c>
      <c r="H3658">
        <f>1-(1-Skills!J4/100)^Skills!K4</f>
        <v/>
      </c>
      <c r="I3658" t="inlineStr">
        <is>
          <t>1</t>
        </is>
      </c>
      <c r="J3658">
        <f>((Inputs!$B$6*(1+Inputs!$B$7/100))+(((Inputs!$B$12*(1+Inputs!$B$13/100))-(Inputs!$B$12*(1+Inputs!$B$13/100)))+0.25*(Inputs!$B$14-Inputs!$B$14))*(1+Inputs!$B$7/100))*(F3658/100)</f>
        <v/>
      </c>
      <c r="K3658">
        <f>J3658*(1+((Inputs!$B$12*(1+Inputs!$B$13/100))*0.01+Inputs!$B$14*0.0025)/100)*(1+Inputs!$B$15/100)*(1+Inputs!$B$16/100)*(5000/(6000+Inputs!$B$43*(1-(100*(1-(1-Inputs!$B$19/100)*(1-CHOOSE(ArtifactsInput!$N$40+1,5,6,7,8,9,10)/100)^(ArtifactsInput!$M$40-ArtifactsInput!$M$40)))/100)))*(1+(Inputs!$B$24+((C3685=TRUE)*(F3685-Calc!F31))+((C3672=TRUE)*(F3672-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4="CRUEL_STAB",Inputs!$B$17+((C3682=TRUE)*(F3682-Calc!F28))+((IF(AND(Inputs!$B$39&lt;&gt;"pvp",Inputs!$B$44=0),1,IF(IF(Inputs!$B$39="pvp",15,Inputs!$B$44)-(B3699)&lt;=0,1,MAX(0,IF(Inputs!$B$39="pvp",15,Inputs!$B$44)-MAX(5,B3699))/(IF(Inputs!$B$39="pvp",15,Inputs!$B$44)-(B3699))))*(IF(AND(ArtifactsInput!$M$42,((Inputs!$B$9+((C3680=TRUE)*(F3680-Calc!F26))+B3688+(ArtifactsInput!$M$24-ArtifactsInput!$M$24)*CHOOSE(ArtifactsInput!$N$24+1,10,12,14,16,18,20)+IF(ArtifactsInput!$M$10,CHOOSE(ArtifactsInput!$N$10+1,15,18,21,24,27,30)*(IF(Inputs!$B$39="pvp",MIN(15,15)/15,IF(AND(Inputs!$B$39&lt;&gt;"pvp",Inputs!$B$44&gt;0),MIN(15,Inputs!$B$44)/(Inputs!$B$44),0))),0)))&gt;=100),MIN(100,((Inputs!$B$9+((C3680=TRUE)*(F3680-Calc!F26))+B3688+(ArtifactsInput!$M$24-ArtifactsInput!$M$24)*CHOOSE(ArtifactsInput!$N$24+1,10,12,14,16,18,20)+IF(ArtifactsInput!$M$10,CHOOSE(ArtifactsInput!$N$10+1,15,18,21,24,27,30)*(IF(Inputs!$B$39="pvp",MIN(15,15)/15,IF(AND(Inputs!$B$39&lt;&gt;"pvp",Inputs!$B$44&gt;0),MIN(15,Inputs!$B$44)/(Inputs!$B$44),0))),0)))-100),0))*CHOOSE(ArtifactsInput!$N$42+1,0.6,0.72,0.84,0.96,1.08,1.2))),Inputs!$B$18+((C3683=TRUE)*(F3683-Calc!F29))+(IF(AND(Inputs!$B$39&lt;&gt;"pvp",Inputs!$B$44=0),1,IF(IF(Inputs!$B$39="pvp",15,Inputs!$B$44)-(B3699)&lt;=0,1,MAX(0,IF(Inputs!$B$39="pvp",15,Inputs!$B$44)-MAX(5,B3699))/(IF(Inputs!$B$39="pvp",15,Inputs!$B$44)-(B3699))))*IF(AND(ArtifactsInput!$M$42,((Inputs!$B$9+((C3680=TRUE)*(F3680-Calc!F26))+B3688+(ArtifactsInput!$M$24-ArtifactsInput!$M$24)*CHOOSE(ArtifactsInput!$N$24+1,10,12,14,16,18,20)+IF(ArtifactsInput!$M$10,CHOOSE(ArtifactsInput!$N$10+1,15,18,21,24,27,30)*(IF(Inputs!$B$39="pvp",MIN(15,15)/15,IF(AND(Inputs!$B$39&lt;&gt;"pvp",Inputs!$B$44&gt;0),MIN(15,Inputs!$B$44)/(Inputs!$B$44),0))),0)))&gt;=100),CHOOSE(ArtifactsInput!$N$42+1,40,48,56,64,72,80),0))))/100)*(((1+(((C3676=TRUE)*F3676*IF(AND(Inputs!$B$39&lt;&gt;"pvp",Inputs!$B$44&gt;0),(((R3676-1)*MIN((Skills!Y22*(1+Inputs!$B$34/100)),(1/Q3676))+MIN((Skills!Y22*(1+Inputs!$B$34/100)),MAX(0,Inputs!$B$44-((R3676-1)*(1/Q3676)))))/Inputs!$B$44),IF(Inputs!$B$39="pvp",MIN((Skills!Y22*(1+Inputs!$B$34/100)),15)/15,MIN(1,(Skills!Y22*(1+Inputs!$B$34/100))/(1/Q3676)))))+((C3657=TRUE)*F3657*3)+((C3659=TRUE)*F3659*(1-EXP(-0.75*B3692*5)))+((C3678=TRUE)*(F3678-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3665=TRUE)*F3665*IF(AND(Inputs!$B$39&lt;&gt;"pvp",Inputs!$B$44&gt;0),(((R3665-1)*MIN((Skills!Y11*(1+Inputs!$B$34/100)),(1/Q3665))+MIN((Skills!Y11*(1+Inputs!$B$34/100)),MAX(0,Inputs!$B$44-((R3665-1)*(1/Q3665)))))/Inputs!$B$44),IF(Inputs!$B$39="pvp",MIN((Skills!Y11*(1+Inputs!$B$34/100)),15)/15,MIN(1,(Skills!Y11*(1+Inputs!$B$34/100))/(1/Q3665)))))/100)*(1+((C3670=TRUE)*F3670*IF(AND(Inputs!$B$39&lt;&gt;"pvp",Inputs!$B$44&gt;0),(((R3670-1)*MIN((Skills!Y16*(1+Inputs!$B$34/100)),(1/Q3670))+MIN((Skills!Y16*(1+Inputs!$B$34/100)),MAX(0,Inputs!$B$44-((R3670-1)*(1/Q3670)))))/Inputs!$B$44),IF(Inputs!$B$39="pvp",MIN((Skills!Y16*(1+Inputs!$B$34/100)),15)/15,MIN(1,(Skills!Y16*(1+Inputs!$B$34/100))/(1/Q3670)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3690*I3658)</f>
        <v/>
      </c>
      <c r="L3658">
        <f>K3658*(MIN(Inputs!$B$22+((C3679=TRUE)*(F3679-Calc!F25)),(Inputs!$B$23+((C3684=TRUE)*(F3684-Calc!F30))+IF(ArtifactsInput!$M$15,CHOOSE(ArtifactsInput!$N$15+1,25,30,35,40,45,50)/100*(Inputs!$B$11-Inputs!$B$11),0)))/100+(Inputs!$B$23+((C3684=TRUE)*(F3684-Calc!F30))+IF(ArtifactsInput!$M$15,CHOOSE(ArtifactsInput!$N$15+1,25,30,35,40,45,50)/100*(Inputs!$B$11-Inputs!$B$11),0))/100)/2</f>
        <v/>
      </c>
      <c r="M3658">
        <f>L3658*(1+(Inputs!$B$10+((C3681=TRUE)*(F3681-Calc!F27))+B3695+(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3658">
        <f>L3658*(1-MIN((Inputs!$B$9+((C3680=TRUE)*(F3680-Calc!F26))+B3688+(ArtifactsInput!$M$24-ArtifactsInput!$M$24)*CHOOSE(ArtifactsInput!$N$24+1,10,12,14,16,18,20)+(IF(AND(Inputs!$B$39&lt;&gt;"pvp",Inputs!$B$44=0),1,IF(IF(Inputs!$B$39="pvp",15,Inputs!$B$44)-(B3699)&lt;=0,1,MAX(0,IF(Inputs!$B$39="pvp",15,Inputs!$B$44)-MAX(5,B3699))/(IF(Inputs!$B$39="pvp",15,Inputs!$B$44)-(B3699))))*IF(AND(ArtifactsInput!$M$42,((Inputs!$B$9+((C3680=TRUE)*(F3680-Calc!F26))+B3688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3658*(MIN((Inputs!$B$9+((C3680=TRUE)*(F3680-Calc!F26))+B3688+(ArtifactsInput!$M$24-ArtifactsInput!$M$24)*CHOOSE(ArtifactsInput!$N$24+1,10,12,14,16,18,20)+(IF(AND(Inputs!$B$39&lt;&gt;"pvp",Inputs!$B$44=0),1,IF(IF(Inputs!$B$39="pvp",15,Inputs!$B$44)-(B3699)&lt;=0,1,MAX(0,IF(Inputs!$B$39="pvp",15,Inputs!$B$44)-MAX(5,B3699))/(IF(Inputs!$B$39="pvp",15,Inputs!$B$44)-(B3699))))*IF(AND(ArtifactsInput!$M$42,((Inputs!$B$9+((C3680=TRUE)*(F3680-Calc!F26))+B3688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3658">
        <f>(1-Summary!$B$11)*T3658+Summary!$B$11*V3658</f>
        <v/>
      </c>
      <c r="P3658">
        <f>IF(B3700=0,0,O3658/B3700)</f>
        <v/>
      </c>
      <c r="Q3658">
        <f>IFERROR(1/IF(Inputs!$B$39="pvp",15,MAX(0.1,Skills!D4-IF(TRUE=TRUE,4.0,0))),0)</f>
        <v/>
      </c>
      <c r="R3658">
        <f>IF(AND(Inputs!$B$39&lt;&gt;"pvp",Inputs!$B$44&gt;0),IF(MAX(0,Inputs!$B$44-B3699)&lt;=0,0,(INT(MAX(0,Inputs!$B$44-B3699)/IF(Inputs!$B$39="pvp",15,MAX(0.1,Skills!D4-IF(TRUE=TRUE,4.0,0))))+1)),0)</f>
        <v/>
      </c>
      <c r="S3658">
        <f>IFERROR(O3658/N3658,0)</f>
        <v/>
      </c>
      <c r="T3658">
        <f>IF(C3658,(H3658*N3658*IF(AND(Inputs!$B$39&lt;&gt;"pvp",Inputs!$B$44&gt;0),((Skills!G4*((R3658-1)*IF(Skills!H4&gt;0,Skills!I4/Skills!H4,1)+IF(Skills!H4&gt;0,MIN(Skills!I4,MAX(0,MAX(0,Inputs!$B$44-B3699)-((R3658-1)*IF(Inputs!$B$39="pvp",15,MAX(0.1,Skills!D4-IF(TRUE=TRUE,4.0,0))))))/Skills!H4,1)))/Inputs!$B$44),G3658*Q3658))*IF(Inputs!$B$39="pvp",1,1+(Inputs!$B$20+0+Skills!P4+B3689+(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Hunt"),CHOOSE(ArtifactsInput!$N$35+1,15,18,21,24,27,30)*(1-EXP(-(0.2*B3692)*5)),0)+IF(AND(ArtifactsInput!$M$22,Inputs!$B$4&lt;&gt;"Chapter Hunt"),CHOOSE(ArtifactsInput!$N$22+1,10,12,14,16,18,20)*((0*(((0.15*B3692*5))^0/1)+1*(((0.15*B3692*5))^1/1)+2*(((0.15*B3692*5))^2/2)+3*(((0.15*B3692*5))^3/6)+4*(((0.15*B3692*5))^4/24)+5*(((0.15*B3692*5))^5/120))/((((0.15*B3692*5))^0/1)+(((0.15*B3692*5))^1/1)+(((0.15*B3692*5))^2/2)+(((0.15*B3692*5))^3/6)+(((0.15*B3692*5))^4/24)+(((0.15*B3692*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3658*(1-MIN(100,(Inputs!$B$9+((C3680=TRUE)*(F3680-Calc!F26))+B3688+(ArtifactsInput!$M$24-ArtifactsInput!$M$24)*CHOOSE(ArtifactsInput!$N$24+1,10,12,14,16,18,20)+(IF(AND(Inputs!$B$39&lt;&gt;"pvp",Inputs!$B$44=0),1,IF(IF(Inputs!$B$39="pvp",15,Inputs!$B$44)-(B3699)&lt;=0,1,MAX(0,IF(Inputs!$B$39="pvp",15,Inputs!$B$44)-MAX(5,B3699))/(IF(Inputs!$B$39="pvp",15,Inputs!$B$44)-(B3699))))*IF(AND(ArtifactsInput!$M$42,((Inputs!$B$9+((C3680=TRUE)*(F3680-Calc!F26))+B3688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3658*(MIN(100,(Inputs!$B$9+((C3680=TRUE)*(F3680-Calc!F26))+B3688+(ArtifactsInput!$M$24-ArtifactsInput!$M$24)*CHOOSE(ArtifactsInput!$N$24+1,10,12,14,16,18,20)+(IF(AND(Inputs!$B$39&lt;&gt;"pvp",Inputs!$B$44=0),1,IF(IF(Inputs!$B$39="pvp",15,Inputs!$B$44)-(B3699)&lt;=0,1,MAX(0,IF(Inputs!$B$39="pvp",15,Inputs!$B$44)-MAX(5,B3699))/(IF(Inputs!$B$39="pvp",15,Inputs!$B$44)-(B3699))))*IF(AND(ArtifactsInput!$M$42,((Inputs!$B$9+((C3680=TRUE)*(F3680-Calc!F26))+B3688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3658*(1-MIN(100,(Inputs!$B$9+((C3680=TRUE)*(F3680-Calc!F26))+B3688+(ArtifactsInput!$M$24-ArtifactsInput!$M$24)*CHOOSE(ArtifactsInput!$N$24+1,10,12,14,16,18,20)+(IF(AND(Inputs!$B$39&lt;&gt;"pvp",Inputs!$B$44=0),1,IF(IF(Inputs!$B$39="pvp",15,Inputs!$B$44)-(B3699)&lt;=0,1,MAX(0,IF(Inputs!$B$39="pvp",15,Inputs!$B$44)-MAX(5,B3699))/(IF(Inputs!$B$39="pvp",15,Inputs!$B$44)-(B3699))))*IF(AND(ArtifactsInput!$M$42,((Inputs!$B$9+((C3680=TRUE)*(F3680-Calc!F26))+B3688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3658*(MIN(100,(Inputs!$B$9+((C3680=TRUE)*(F3680-Calc!F26))+B3688+(ArtifactsInput!$M$24-ArtifactsInput!$M$24)*CHOOSE(ArtifactsInput!$N$24+1,10,12,14,16,18,20)+(IF(AND(Inputs!$B$39&lt;&gt;"pvp",Inputs!$B$44=0),1,IF(IF(Inputs!$B$39="pvp",15,Inputs!$B$44)-(B3699)&lt;=0,1,MAX(0,IF(Inputs!$B$39="pvp",15,Inputs!$B$44)-MAX(5,B3699))/(IF(Inputs!$B$39="pvp",15,Inputs!$B$44)-(B3699))))*IF(AND(ArtifactsInput!$M$42,((Inputs!$B$9+((C3680=TRUE)*(F3680-Calc!F26))+B3688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3658">
        <f>290*U3657/1000</f>
        <v/>
      </c>
      <c r="V3658">
        <f>IF(C3658,(H3658*N3658*IF(AND(Inputs!$B$39&lt;&gt;"pvp",Inputs!$B$44&gt;0),((Skills!G4*((R3658-1)*IF(Skills!H4&gt;0,Skills!I4/Skills!H4,1)+IF(Skills!H4&gt;0,MIN(Skills!I4,MAX(0,MAX(0,Inputs!$B$44-B3699)-((R3658-1)*IF(Inputs!$B$39="pvp",15,MAX(0.1,Skills!D4-IF(TRUE=TRUE,4.0,0))))))/Skills!H4,1)))/Inputs!$B$44),G3658*Q3658))*IF(Inputs!$B$39="pvp",1,(1+(Inputs!$B$21+Skills!Q4+B3689+(IF(ArtifactsInput!$M$33,CHOOSE(ArtifactsInput!$N$33+1,30,36,42,48,54,60),0))+(IF(AND(ArtifactsInput!$M$35,Inputs!$B$4&lt;&gt;"Chapter Hunt"),CHOOSE(ArtifactsInput!$N$35+1,15,18,21,24,27,30)*(1-EXP(-(0.2*B3692)*5)),0)+IF(AND(ArtifactsInput!$M$22,Inputs!$B$4&lt;&gt;"Chapter Hunt"),CHOOSE(ArtifactsInput!$N$22+1,10,12,14,16,18,20)*((0*(((0.15*B3692*5))^0/1)+1*(((0.15*B3692*5))^1/1)+2*(((0.15*B3692*5))^2/2)+3*(((0.15*B3692*5))^3/6)+4*(((0.15*B3692*5))^4/24)+5*(((0.15*B3692*5))^5/120))/((((0.15*B3692*5))^0/1)+(((0.15*B3692*5))^1/1)+(((0.15*B3692*5))^2/2)+(((0.15*B3692*5))^3/6)+(((0.15*B3692*5))^4/24)+(((0.15*B3692*5))^5/120))),0)))/100)*(MIN(MIN(10,IF(Inputs!$B$3&gt;=75,0.75,0.5)*B3692*(1/Q3658)),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3659">
      <c r="A3659">
        <f>Skills!A5</f>
        <v/>
      </c>
      <c r="B3659">
        <f>Skills!B5</f>
        <v/>
      </c>
      <c r="C3659">
        <f>Inputs!$B$3&gt;=75</f>
        <v/>
      </c>
      <c r="D3659">
        <f>IF(Skills!C5=1,60+Inputs!$B$25+Inputs!$B$29,IF(Skills!C5=2,90+Inputs!$B$26+Inputs!$B$29,IF(Skills!C5=3,120+Inputs!$B$27+Inputs!$B$29,MAX(0,(Inputs!$B$3-100)*3)+Inputs!$B$28+Inputs!$B$29)))</f>
        <v/>
      </c>
      <c r="E3659">
        <f>INDEX(FactorTable!$B$2:$Y$301, MATCH(ROUND(MIN(300,MAX(1,D3659)),0), FactorTable!$A$2:$A$301,0), Skills!M5+1)</f>
        <v/>
      </c>
      <c r="F3659">
        <f>IF(Skills!N5=TRUE,(Skills!L5/10)*(E3659/1000),Skills!L5/10)+Skills!O5</f>
        <v/>
      </c>
      <c r="G3659">
        <f>Skills!G5*IF(Skills!H5&gt;0,IF(Inputs!$B$39="pvp",MIN(Skills!I5,15),Skills!I5)/Skills!H5,1)</f>
        <v/>
      </c>
      <c r="H3659">
        <f>1-(1-Skills!J5/100)^Skills!K5</f>
        <v/>
      </c>
      <c r="I3659" t="inlineStr">
        <is>
          <t>1</t>
        </is>
      </c>
      <c r="J3659" t="inlineStr"/>
      <c r="K3659" t="inlineStr"/>
      <c r="L3659" t="inlineStr"/>
      <c r="M3659" t="inlineStr"/>
      <c r="N3659" t="inlineStr"/>
      <c r="O3659">
        <f>(1-Summary!$B$11)*T3659+Summary!$B$11*V3659</f>
        <v/>
      </c>
      <c r="P3659">
        <f>IF(B3700=0,0,O3659/B3700)</f>
        <v/>
      </c>
      <c r="Q3659" t="n">
        <v>0</v>
      </c>
      <c r="R3659" t="n">
        <v>0</v>
      </c>
      <c r="S3659">
        <f>IFERROR(O3659/N3659,0)</f>
        <v/>
      </c>
      <c r="T3659" t="n">
        <v>0</v>
      </c>
      <c r="V3659" t="n">
        <v>0</v>
      </c>
    </row>
    <row r="3660">
      <c r="A3660">
        <f>Skills!A6</f>
        <v/>
      </c>
      <c r="B3660">
        <f>Skills!B6</f>
        <v/>
      </c>
      <c r="C3660">
        <f>Inputs!$B$3&gt;=63</f>
        <v/>
      </c>
      <c r="D3660">
        <f>IF(Skills!C6=1,60+Inputs!$B$25+Inputs!$B$29,IF(Skills!C6=2,90+Inputs!$B$26+Inputs!$B$29,IF(Skills!C6=3,120+Inputs!$B$27+Inputs!$B$29,MAX(0,(Inputs!$B$3-100)*3)+Inputs!$B$28+Inputs!$B$29)))</f>
        <v/>
      </c>
      <c r="E3660">
        <f>INDEX(FactorTable!$B$2:$Y$301, MATCH(ROUND(MIN(300,MAX(1,D3660)),0), FactorTable!$A$2:$A$301,0), Skills!M6+1)</f>
        <v/>
      </c>
      <c r="F3660">
        <f>IF(Skills!N6=TRUE,(Skills!L6/10)*(E3660/1000),Skills!L6/10)+Skills!O6</f>
        <v/>
      </c>
      <c r="G3660">
        <f>Skills!G6*IF(Skills!H6&gt;0,IF(Inputs!$B$39="pvp",MIN(Skills!I6,15),Skills!I6)/Skills!H6,1)</f>
        <v/>
      </c>
      <c r="H3660">
        <f>1-(1-Skills!J6/100)^Skills!K6</f>
        <v/>
      </c>
      <c r="I3660" t="inlineStr">
        <is>
          <t>1</t>
        </is>
      </c>
      <c r="J3660">
        <f>((Inputs!$B$6*(1+Inputs!$B$7/100))+(((Inputs!$B$12*(1+Inputs!$B$13/100))-(Inputs!$B$12*(1+Inputs!$B$13/100)))+0.25*(Inputs!$B$14-Inputs!$B$14))*(1+Inputs!$B$7/100))*(F3660/100)</f>
        <v/>
      </c>
      <c r="K3660">
        <f>J3660*(1+((Inputs!$B$12*(1+Inputs!$B$13/100))*0.01+Inputs!$B$14*0.0025)/100)*(1+Inputs!$B$15/100)*(1+Inputs!$B$16/100)*(5000/(6000+Inputs!$B$43*(1-(100*(1-(1-Inputs!$B$19/100)*(1-CHOOSE(ArtifactsInput!$N$40+1,5,6,7,8,9,10)/100)^(ArtifactsInput!$M$40-ArtifactsInput!$M$40)))/100)))*(1+(Inputs!$B$24+((C3685=TRUE)*(F3685-Calc!F31))+((C3672=TRUE)*(F3672-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+2.6666666666666665*IF(C3673=TRUE,F3673,0)/100)*(1+(IF(Skills!A6="CRUEL_STAB",Inputs!$B$17+((C3682=TRUE)*(F3682-Calc!F28))+((IF(AND(Inputs!$B$39&lt;&gt;"pvp",Inputs!$B$44=0),1,IF(IF(Inputs!$B$39="pvp",15,Inputs!$B$44)-(B3699)&lt;=0,1,MAX(0,IF(Inputs!$B$39="pvp",15,Inputs!$B$44)-MAX(5,B3699))/(IF(Inputs!$B$39="pvp",15,Inputs!$B$44)-(B3699))))*(IF(AND(ArtifactsInput!$M$42,((Inputs!$B$9+((C3680=TRUE)*(F3680-Calc!F26))+B3688+(ArtifactsInput!$M$24-ArtifactsInput!$M$24)*CHOOSE(ArtifactsInput!$N$24+1,10,12,14,16,18,20)+IF(ArtifactsInput!$M$10,CHOOSE(ArtifactsInput!$N$10+1,15,18,21,24,27,30)*(IF(Inputs!$B$39="pvp",MIN(15,15)/15,IF(AND(Inputs!$B$39&lt;&gt;"pvp",Inputs!$B$44&gt;0),MIN(15,Inputs!$B$44)/(Inputs!$B$44),0))),0)))&gt;=100),MIN(100,((Inputs!$B$9+((C3680=TRUE)*(F3680-Calc!F26))+B3688+(ArtifactsInput!$M$24-ArtifactsInput!$M$24)*CHOOSE(ArtifactsInput!$N$24+1,10,12,14,16,18,20)+IF(ArtifactsInput!$M$10,CHOOSE(ArtifactsInput!$N$10+1,15,18,21,24,27,30)*(IF(Inputs!$B$39="pvp",MIN(15,15)/15,IF(AND(Inputs!$B$39&lt;&gt;"pvp",Inputs!$B$44&gt;0),MIN(15,Inputs!$B$44)/(Inputs!$B$44),0))),0)))-100),0))*CHOOSE(ArtifactsInput!$N$42+1,0.6,0.72,0.84,0.96,1.08,1.2))),Inputs!$B$18+((C3683=TRUE)*(F3683-Calc!F29))+(IF(AND(Inputs!$B$39&lt;&gt;"pvp",Inputs!$B$44=0),1,IF(IF(Inputs!$B$39="pvp",15,Inputs!$B$44)-(B3699)&lt;=0,1,MAX(0,IF(Inputs!$B$39="pvp",15,Inputs!$B$44)-MAX(5,B3699))/(IF(Inputs!$B$39="pvp",15,Inputs!$B$44)-(B3699))))*IF(AND(ArtifactsInput!$M$42,((Inputs!$B$9+((C3680=TRUE)*(F3680-Calc!F26))+B3688+(ArtifactsInput!$M$24-ArtifactsInput!$M$24)*CHOOSE(ArtifactsInput!$N$24+1,10,12,14,16,18,20)+IF(ArtifactsInput!$M$10,CHOOSE(ArtifactsInput!$N$10+1,15,18,21,24,27,30)*(IF(Inputs!$B$39="pvp",MIN(15,15)/15,IF(AND(Inputs!$B$39&lt;&gt;"pvp",Inputs!$B$44&gt;0),MIN(15,Inputs!$B$44)/(Inputs!$B$44),0))),0)))&gt;=100),CHOOSE(ArtifactsInput!$N$42+1,40,48,56,64,72,80),0))))/100)*(((1+(((C3676=TRUE)*F3676*IF(AND(Inputs!$B$39&lt;&gt;"pvp",Inputs!$B$44&gt;0),(((R3676-1)*MIN((Skills!Y22*(1+Inputs!$B$34/100)),(1/Q3676))+MIN((Skills!Y22*(1+Inputs!$B$34/100)),MAX(0,Inputs!$B$44-((R3676-1)*(1/Q3676)))))/Inputs!$B$44),IF(Inputs!$B$39="pvp",MIN((Skills!Y22*(1+Inputs!$B$34/100)),15)/15,MIN(1,(Skills!Y22*(1+Inputs!$B$34/100))/(1/Q3676)))))+((C3657=TRUE)*F3657*3)+((C3659=TRUE)*F3659*(1-EXP(-0.75*B3692*5)))+((C3678=TRUE)*(F3678-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3665=TRUE)*F3665*IF(AND(Inputs!$B$39&lt;&gt;"pvp",Inputs!$B$44&gt;0),(((R3665-1)*MIN((Skills!Y11*(1+Inputs!$B$34/100)),(1/Q3665))+MIN((Skills!Y11*(1+Inputs!$B$34/100)),MAX(0,Inputs!$B$44-((R3665-1)*(1/Q3665)))))/Inputs!$B$44),IF(Inputs!$B$39="pvp",MIN((Skills!Y11*(1+Inputs!$B$34/100)),15)/15,MIN(1,(Skills!Y11*(1+Inputs!$B$34/100))/(1/Q3665)))))/100)*(1+((C3670=TRUE)*F3670*IF(AND(Inputs!$B$39&lt;&gt;"pvp",Inputs!$B$44&gt;0),(((R3670-1)*MIN((Skills!Y16*(1+Inputs!$B$34/100)),(1/Q3670))+MIN((Skills!Y16*(1+Inputs!$B$34/100)),MAX(0,Inputs!$B$44-((R3670-1)*(1/Q3670)))))/Inputs!$B$44),IF(Inputs!$B$39="pvp",MIN((Skills!Y16*(1+Inputs!$B$34/100)),15)/15,MIN(1,(Skills!Y16*(1+Inputs!$B$34/100))/(1/Q3670)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3690*I3660)</f>
        <v/>
      </c>
      <c r="L3660">
        <f>K3660*(MIN(Inputs!$B$22+((C3679=TRUE)*(F3679-Calc!F25)),(Inputs!$B$23+((C3684=TRUE)*(F3684-Calc!F30))+IF(ArtifactsInput!$M$15,CHOOSE(ArtifactsInput!$N$15+1,25,30,35,40,45,50)/100*(Inputs!$B$11-Inputs!$B$11),0)))/100+(Inputs!$B$23+((C3684=TRUE)*(F3684-Calc!F30))+IF(ArtifactsInput!$M$15,CHOOSE(ArtifactsInput!$N$15+1,25,30,35,40,45,50)/100*(Inputs!$B$11-Inputs!$B$11),0))/100)/2</f>
        <v/>
      </c>
      <c r="M3660">
        <f>L3660*(1+(Inputs!$B$10+((C3681=TRUE)*(F3681-Calc!F27))+B3695+(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3660">
        <f>L3660*(1-MIN((Inputs!$B$9+((C3680=TRUE)*(F3680-Calc!F26))+B3688+(ArtifactsInput!$M$24-ArtifactsInput!$M$24)*CHOOSE(ArtifactsInput!$N$24+1,10,12,14,16,18,20)+(IF(AND(Inputs!$B$39&lt;&gt;"pvp",Inputs!$B$44=0),1,IF(IF(Inputs!$B$39="pvp",15,Inputs!$B$44)-(B3699)&lt;=0,1,MAX(0,IF(Inputs!$B$39="pvp",15,Inputs!$B$44)-MAX(5,B3699))/(IF(Inputs!$B$39="pvp",15,Inputs!$B$44)-(B3699))))*IF(AND(ArtifactsInput!$M$42,((Inputs!$B$9+((C3680=TRUE)*(F3680-Calc!F26))+B3688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3660*(MIN((Inputs!$B$9+((C3680=TRUE)*(F3680-Calc!F26))+B3688+(ArtifactsInput!$M$24-ArtifactsInput!$M$24)*CHOOSE(ArtifactsInput!$N$24+1,10,12,14,16,18,20)+(IF(AND(Inputs!$B$39&lt;&gt;"pvp",Inputs!$B$44=0),1,IF(IF(Inputs!$B$39="pvp",15,Inputs!$B$44)-(B3699)&lt;=0,1,MAX(0,IF(Inputs!$B$39="pvp",15,Inputs!$B$44)-MAX(5,B3699))/(IF(Inputs!$B$39="pvp",15,Inputs!$B$44)-(B3699))))*IF(AND(ArtifactsInput!$M$42,((Inputs!$B$9+((C3680=TRUE)*(F3680-Calc!F26))+B3688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3660">
        <f>(1-Summary!$B$11)*T3660+Summary!$B$11*V3660</f>
        <v/>
      </c>
      <c r="P3660">
        <f>IF(B3700=0,0,O3660/B3700)</f>
        <v/>
      </c>
      <c r="Q3660">
        <f>IFERROR(1/IF(Inputs!$B$39="pvp",15,MAX(0.1,Skills!D6-IF(TRUE=TRUE,4.0,0))),0)</f>
        <v/>
      </c>
      <c r="R3660">
        <f>IF(AND(Inputs!$B$39&lt;&gt;"pvp",Inputs!$B$44&gt;0),IF(MAX(0,Inputs!$B$44-B3699)&lt;=0,0,(INT(MAX(0,Inputs!$B$44-B3699)/IF(Inputs!$B$39="pvp",15,MAX(0.1,Skills!D6-IF(TRUE=TRUE,4.0,0))))+1)),0)</f>
        <v/>
      </c>
      <c r="S3660">
        <f>IFERROR(O3660/N3660,0)</f>
        <v/>
      </c>
      <c r="T3660">
        <f>IF(C3660,(H3660*N3660*IF(AND(Inputs!$B$39&lt;&gt;"pvp",Inputs!$B$44&gt;0),((Skills!G6*((R3660-1)*IF(Skills!H6&gt;0,Skills!I6/Skills!H6,1)+IF(Skills!H6&gt;0,MIN(Skills!I6,MAX(0,MAX(0,Inputs!$B$44-B3699)-((R3660-1)*IF(Inputs!$B$39="pvp",15,MAX(0.1,Skills!D6-IF(TRUE=TRUE,4.0,0))))))/Skills!H6,1)))/Inputs!$B$44),G3660*Q3660))*IF(Inputs!$B$39="pvp",1,1+(Inputs!$B$20+0+Skills!P6+B3689+(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Hunt"),CHOOSE(ArtifactsInput!$N$35+1,15,18,21,24,27,30)*(1-EXP(-(0.2*B3692)*5)),0)+IF(AND(ArtifactsInput!$M$22,Inputs!$B$4&lt;&gt;"Chapter Hunt"),CHOOSE(ArtifactsInput!$N$22+1,10,12,14,16,18,20)*((0*(((0.15*B3692*5))^0/1)+1*(((0.15*B3692*5))^1/1)+2*(((0.15*B3692*5))^2/2)+3*(((0.15*B3692*5))^3/6)+4*(((0.15*B3692*5))^4/24)+5*(((0.15*B3692*5))^5/120))/((((0.15*B3692*5))^0/1)+(((0.15*B3692*5))^1/1)+(((0.15*B3692*5))^2/2)+(((0.15*B3692*5))^3/6)+(((0.15*B3692*5))^4/24)+(((0.15*B3692*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3660*(1-MIN(100,(Inputs!$B$9+((C3680=TRUE)*(F3680-Calc!F26))+B3688+(ArtifactsInput!$M$24-ArtifactsInput!$M$24)*CHOOSE(ArtifactsInput!$N$24+1,10,12,14,16,18,20)+(IF(AND(Inputs!$B$39&lt;&gt;"pvp",Inputs!$B$44=0),1,IF(IF(Inputs!$B$39="pvp",15,Inputs!$B$44)-(B3699)&lt;=0,1,MAX(0,IF(Inputs!$B$39="pvp",15,Inputs!$B$44)-MAX(5,B3699))/(IF(Inputs!$B$39="pvp",15,Inputs!$B$44)-(B3699))))*IF(AND(ArtifactsInput!$M$42,((Inputs!$B$9+((C3680=TRUE)*(F3680-Calc!F26))+B3688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3660*(MIN(100,(Inputs!$B$9+((C3680=TRUE)*(F3680-Calc!F26))+B3688+(ArtifactsInput!$M$24-ArtifactsInput!$M$24)*CHOOSE(ArtifactsInput!$N$24+1,10,12,14,16,18,20)+(IF(AND(Inputs!$B$39&lt;&gt;"pvp",Inputs!$B$44=0),1,IF(IF(Inputs!$B$39="pvp",15,Inputs!$B$44)-(B3699)&lt;=0,1,MAX(0,IF(Inputs!$B$39="pvp",15,Inputs!$B$44)-MAX(5,B3699))/(IF(Inputs!$B$39="pvp",15,Inputs!$B$44)-(B3699))))*IF(AND(ArtifactsInput!$M$42,((Inputs!$B$9+((C3680=TRUE)*(F3680-Calc!F26))+B3688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3660*(1-MIN(100,(Inputs!$B$9+((C3680=TRUE)*(F3680-Calc!F26))+B3688+(ArtifactsInput!$M$24-ArtifactsInput!$M$24)*CHOOSE(ArtifactsInput!$N$24+1,10,12,14,16,18,20)+(IF(AND(Inputs!$B$39&lt;&gt;"pvp",Inputs!$B$44=0),1,IF(IF(Inputs!$B$39="pvp",15,Inputs!$B$44)-(B3699)&lt;=0,1,MAX(0,IF(Inputs!$B$39="pvp",15,Inputs!$B$44)-MAX(5,B3699))/(IF(Inputs!$B$39="pvp",15,Inputs!$B$44)-(B3699))))*IF(AND(ArtifactsInput!$M$42,((Inputs!$B$9+((C3680=TRUE)*(F3680-Calc!F26))+B3688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3660*(MIN(100,(Inputs!$B$9+((C3680=TRUE)*(F3680-Calc!F26))+B3688+(ArtifactsInput!$M$24-ArtifactsInput!$M$24)*CHOOSE(ArtifactsInput!$N$24+1,10,12,14,16,18,20)+(IF(AND(Inputs!$B$39&lt;&gt;"pvp",Inputs!$B$44=0),1,IF(IF(Inputs!$B$39="pvp",15,Inputs!$B$44)-(B3699)&lt;=0,1,MAX(0,IF(Inputs!$B$39="pvp",15,Inputs!$B$44)-MAX(5,B3699))/(IF(Inputs!$B$39="pvp",15,Inputs!$B$44)-(B3699))))*IF(AND(ArtifactsInput!$M$42,((Inputs!$B$9+((C3680=TRUE)*(F3680-Calc!F26))+B3688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3660">
        <f>IF(C3660,(H3660*N3660*IF(AND(Inputs!$B$39&lt;&gt;"pvp",Inputs!$B$44&gt;0),((Skills!G6*((R3660-1)*IF(Skills!H6&gt;0,Skills!I6/Skills!H6,1)+IF(Skills!H6&gt;0,MIN(Skills!I6,MAX(0,MAX(0,Inputs!$B$44-B3699)-((R3660-1)*IF(Inputs!$B$39="pvp",15,MAX(0.1,Skills!D6-IF(TRUE=TRUE,4.0,0))))))/Skills!H6,1)))/Inputs!$B$44),G3660*Q3660))*IF(Inputs!$B$39="pvp",1,(1+(Inputs!$B$21+Skills!Q6+B3689+(IF(ArtifactsInput!$M$33,CHOOSE(ArtifactsInput!$N$33+1,30,36,42,48,54,60),0))+(IF(AND(ArtifactsInput!$M$35,Inputs!$B$4&lt;&gt;"Chapter Hunt"),CHOOSE(ArtifactsInput!$N$35+1,15,18,21,24,27,30)*(1-EXP(-(0.2*B3692)*5)),0)+IF(AND(ArtifactsInput!$M$22,Inputs!$B$4&lt;&gt;"Chapter Hunt"),CHOOSE(ArtifactsInput!$N$22+1,10,12,14,16,18,20)*((0*(((0.15*B3692*5))^0/1)+1*(((0.15*B3692*5))^1/1)+2*(((0.15*B3692*5))^2/2)+3*(((0.15*B3692*5))^3/6)+4*(((0.15*B3692*5))^4/24)+5*(((0.15*B3692*5))^5/120))/((((0.15*B3692*5))^0/1)+(((0.15*B3692*5))^1/1)+(((0.15*B3692*5))^2/2)+(((0.15*B3692*5))^3/6)+(((0.15*B3692*5))^4/24)+(((0.15*B3692*5))^5/120))),0)))/100)*(MIN(Skills!W6,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3661">
      <c r="A3661">
        <f>Skills!A7</f>
        <v/>
      </c>
      <c r="B3661">
        <f>Skills!B7</f>
        <v/>
      </c>
      <c r="C3661">
        <f>Inputs!$B$3&gt;=69</f>
        <v/>
      </c>
      <c r="D3661">
        <f>IF(Skills!C7=1,60+Inputs!$B$25+Inputs!$B$29,IF(Skills!C7=2,90+Inputs!$B$26+Inputs!$B$29,IF(Skills!C7=3,120+Inputs!$B$27+Inputs!$B$29,MAX(0,(Inputs!$B$3-100)*3)+Inputs!$B$28+Inputs!$B$29)))</f>
        <v/>
      </c>
      <c r="E3661">
        <f>INDEX(FactorTable!$B$2:$Y$301, MATCH(ROUND(MIN(300,MAX(1,D3661)),0), FactorTable!$A$2:$A$301,0), Skills!M7+1)</f>
        <v/>
      </c>
      <c r="F3661">
        <f>IF(Skills!N7=TRUE,(Skills!L7/10)*(E3661/1000),Skills!L7/10)+Skills!O7</f>
        <v/>
      </c>
      <c r="G3661">
        <f>Skills!G7*IF(Skills!H7&gt;0,IF(Inputs!$B$39="pvp",MIN(Skills!I7,15),Skills!I7)/Skills!H7,1)</f>
        <v/>
      </c>
      <c r="H3661">
        <f>1-(1-Skills!J7/100)^Skills!K7</f>
        <v/>
      </c>
      <c r="I3661" t="inlineStr">
        <is>
          <t>1</t>
        </is>
      </c>
      <c r="J3661">
        <f>((Inputs!$B$6*(1+Inputs!$B$7/100))+(((Inputs!$B$12*(1+Inputs!$B$13/100))-(Inputs!$B$12*(1+Inputs!$B$13/100)))+0.25*(Inputs!$B$14-Inputs!$B$14))*(1+Inputs!$B$7/100))*(F3661/100)</f>
        <v/>
      </c>
      <c r="K3661">
        <f>J3661*(1+((Inputs!$B$12*(1+Inputs!$B$13/100))*0.01+Inputs!$B$14*0.0025)/100)*(1+Inputs!$B$15/100)*(1+Inputs!$B$16/100)*(5000/(6000+Inputs!$B$43*(1-(100*(1-(1-Inputs!$B$19/100)*(1-CHOOSE(ArtifactsInput!$N$40+1,5,6,7,8,9,10)/100)^(ArtifactsInput!$M$40-ArtifactsInput!$M$40)))/100)))*(1+(Inputs!$B$24+((C3685=TRUE)*(F3685-Calc!F31))+((C3672=TRUE)*(F3672-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3673=TRUE,F3673,0)/100)*(1+(IF(Skills!A7="CRUEL_STAB",Inputs!$B$17+((C3682=TRUE)*(F3682-Calc!F28))+((IF(AND(Inputs!$B$39&lt;&gt;"pvp",Inputs!$B$44=0),1,IF(IF(Inputs!$B$39="pvp",15,Inputs!$B$44)-(B3699)&lt;=0,1,MAX(0,IF(Inputs!$B$39="pvp",15,Inputs!$B$44)-MAX(5,B3699))/(IF(Inputs!$B$39="pvp",15,Inputs!$B$44)-(B3699))))*(IF(AND(ArtifactsInput!$M$42,((Inputs!$B$9+((C3680=TRUE)*(F3680-Calc!F26))+B3688+(ArtifactsInput!$M$24-ArtifactsInput!$M$24)*CHOOSE(ArtifactsInput!$N$24+1,10,12,14,16,18,20)+IF(ArtifactsInput!$M$10,CHOOSE(ArtifactsInput!$N$10+1,15,18,21,24,27,30)*(IF(Inputs!$B$39="pvp",MIN(15,15)/15,IF(AND(Inputs!$B$39&lt;&gt;"pvp",Inputs!$B$44&gt;0),MIN(15,Inputs!$B$44)/(Inputs!$B$44),0))),0)))&gt;=100),MIN(100,((Inputs!$B$9+((C3680=TRUE)*(F3680-Calc!F26))+B3688+(ArtifactsInput!$M$24-ArtifactsInput!$M$24)*CHOOSE(ArtifactsInput!$N$24+1,10,12,14,16,18,20)+IF(ArtifactsInput!$M$10,CHOOSE(ArtifactsInput!$N$10+1,15,18,21,24,27,30)*(IF(Inputs!$B$39="pvp",MIN(15,15)/15,IF(AND(Inputs!$B$39&lt;&gt;"pvp",Inputs!$B$44&gt;0),MIN(15,Inputs!$B$44)/(Inputs!$B$44),0))),0)))-100),0))*CHOOSE(ArtifactsInput!$N$42+1,0.6,0.72,0.84,0.96,1.08,1.2))),Inputs!$B$18+((C3683=TRUE)*(F3683-Calc!F29))+(IF(AND(Inputs!$B$39&lt;&gt;"pvp",Inputs!$B$44=0),1,IF(IF(Inputs!$B$39="pvp",15,Inputs!$B$44)-(B3699)&lt;=0,1,MAX(0,IF(Inputs!$B$39="pvp",15,Inputs!$B$44)-MAX(5,B3699))/(IF(Inputs!$B$39="pvp",15,Inputs!$B$44)-(B3699))))*IF(AND(ArtifactsInput!$M$42,((Inputs!$B$9+((C3680=TRUE)*(F3680-Calc!F26))+B3688+(ArtifactsInput!$M$24-ArtifactsInput!$M$24)*CHOOSE(ArtifactsInput!$N$24+1,10,12,14,16,18,20)+IF(ArtifactsInput!$M$10,CHOOSE(ArtifactsInput!$N$10+1,15,18,21,24,27,30)*(IF(Inputs!$B$39="pvp",MIN(15,15)/15,IF(AND(Inputs!$B$39&lt;&gt;"pvp",Inputs!$B$44&gt;0),MIN(15,Inputs!$B$44)/(Inputs!$B$44),0))),0)))&gt;=100),CHOOSE(ArtifactsInput!$N$42+1,40,48,56,64,72,80),0))))/100)*(((1+(((C3676=TRUE)*F3676*IF(AND(Inputs!$B$39&lt;&gt;"pvp",Inputs!$B$44&gt;0),(((R3676-1)*MIN((Skills!Y22*(1+Inputs!$B$34/100)),(1/Q3676))+MIN((Skills!Y22*(1+Inputs!$B$34/100)),MAX(0,Inputs!$B$44-((R3676-1)*(1/Q3676)))))/Inputs!$B$44),IF(Inputs!$B$39="pvp",MIN((Skills!Y22*(1+Inputs!$B$34/100)),15)/15,MIN(1,(Skills!Y22*(1+Inputs!$B$34/100))/(1/Q3676)))))+((C3657=TRUE)*F3657*3)+((C3659=TRUE)*F3659*(1-EXP(-0.75*B3692*5)))+((C3678=TRUE)*(F3678-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3665=TRUE)*F3665*IF(AND(Inputs!$B$39&lt;&gt;"pvp",Inputs!$B$44&gt;0),(((R3665-1)*MIN((Skills!Y11*(1+Inputs!$B$34/100)),(1/Q3665))+MIN((Skills!Y11*(1+Inputs!$B$34/100)),MAX(0,Inputs!$B$44-((R3665-1)*(1/Q3665)))))/Inputs!$B$44),IF(Inputs!$B$39="pvp",MIN((Skills!Y11*(1+Inputs!$B$34/100)),15)/15,MIN(1,(Skills!Y11*(1+Inputs!$B$34/100))/(1/Q3665)))))/100)*(1+((C3670=TRUE)*F3670*IF(AND(Inputs!$B$39&lt;&gt;"pvp",Inputs!$B$44&gt;0),(((R3670-1)*MIN((Skills!Y16*(1+Inputs!$B$34/100)),(1/Q3670))+MIN((Skills!Y16*(1+Inputs!$B$34/100)),MAX(0,Inputs!$B$44-((R3670-1)*(1/Q3670)))))/Inputs!$B$44),IF(Inputs!$B$39="pvp",MIN((Skills!Y16*(1+Inputs!$B$34/100)),15)/15,MIN(1,(Skills!Y16*(1+Inputs!$B$34/100))/(1/Q3670)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3690*I3661)</f>
        <v/>
      </c>
      <c r="L3661">
        <f>K3661*(MIN(Inputs!$B$22+((C3679=TRUE)*(F3679-Calc!F25)),(Inputs!$B$23+((C3684=TRUE)*(F3684-Calc!F30))+IF(ArtifactsInput!$M$15,CHOOSE(ArtifactsInput!$N$15+1,25,30,35,40,45,50)/100*(Inputs!$B$11-Inputs!$B$11),0)))/100+(Inputs!$B$23+((C3684=TRUE)*(F3684-Calc!F30))+IF(ArtifactsInput!$M$15,CHOOSE(ArtifactsInput!$N$15+1,25,30,35,40,45,50)/100*(Inputs!$B$11-Inputs!$B$11),0))/100)/2</f>
        <v/>
      </c>
      <c r="M3661">
        <f>L3661*(1+(Inputs!$B$10+((C3681=TRUE)*(F3681-Calc!F27))+B3695+(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3661">
        <f>L3661*(1-MIN((Inputs!$B$9+((C3680=TRUE)*(F3680-Calc!F26))+B3688+(ArtifactsInput!$M$24-ArtifactsInput!$M$24)*CHOOSE(ArtifactsInput!$N$24+1,10,12,14,16,18,20)+(IF(AND(Inputs!$B$39&lt;&gt;"pvp",Inputs!$B$44=0),1,IF(IF(Inputs!$B$39="pvp",15,Inputs!$B$44)-(B3699)&lt;=0,1,MAX(0,IF(Inputs!$B$39="pvp",15,Inputs!$B$44)-MAX(5,B3699))/(IF(Inputs!$B$39="pvp",15,Inputs!$B$44)-(B3699))))*IF(AND(ArtifactsInput!$M$42,((Inputs!$B$9+((C3680=TRUE)*(F3680-Calc!F26))+B3688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3661*(MIN((Inputs!$B$9+((C3680=TRUE)*(F3680-Calc!F26))+B3688+(ArtifactsInput!$M$24-ArtifactsInput!$M$24)*CHOOSE(ArtifactsInput!$N$24+1,10,12,14,16,18,20)+(IF(AND(Inputs!$B$39&lt;&gt;"pvp",Inputs!$B$44=0),1,IF(IF(Inputs!$B$39="pvp",15,Inputs!$B$44)-(B3699)&lt;=0,1,MAX(0,IF(Inputs!$B$39="pvp",15,Inputs!$B$44)-MAX(5,B3699))/(IF(Inputs!$B$39="pvp",15,Inputs!$B$44)-(B3699))))*IF(AND(ArtifactsInput!$M$42,((Inputs!$B$9+((C3680=TRUE)*(F3680-Calc!F26))+B3688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3661">
        <f>(1-Summary!$B$11)*T3661+Summary!$B$11*V3661</f>
        <v/>
      </c>
      <c r="P3661">
        <f>IF(B3700=0,0,O3661/B3700)</f>
        <v/>
      </c>
      <c r="Q3661">
        <f>IFERROR(1/IF(Inputs!$B$39="pvp",15,MAX(0.1,Skills!D7-IF(TRUE=TRUE,4.0,0))),0)</f>
        <v/>
      </c>
      <c r="R3661">
        <f>IF(AND(Inputs!$B$39&lt;&gt;"pvp",Inputs!$B$44&gt;0),IF(MAX(0,Inputs!$B$44-B3699)&lt;=0,0,(INT(MAX(0,Inputs!$B$44-B3699)/IF(Inputs!$B$39="pvp",15,MAX(0.1,Skills!D7-IF(TRUE=TRUE,4.0,0))))+1)),0)</f>
        <v/>
      </c>
      <c r="S3661">
        <f>IFERROR(O3661/N3661,0)</f>
        <v/>
      </c>
      <c r="T3661">
        <f>IF(C3661,(H3661*N3661*IF(AND(Inputs!$B$39&lt;&gt;"pvp",Inputs!$B$44&gt;0),((Skills!G7*((R3661-1)*IF(Skills!H7&gt;0,Skills!I7/Skills!H7,1)+IF(Skills!H7&gt;0,MIN(Skills!I7,MAX(0,MAX(0,Inputs!$B$44-B3699)-((R3661-1)*IF(Inputs!$B$39="pvp",15,MAX(0.1,Skills!D7-IF(TRUE=TRUE,4.0,0))))))/Skills!H7,1)))/Inputs!$B$44),G3661*Q3661))*IF(Inputs!$B$39="pvp",1,1+(Inputs!$B$20+0+Skills!P7+B3689+(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Hunt"),CHOOSE(ArtifactsInput!$N$35+1,15,18,21,24,27,30)*(1-EXP(-(0.2*B3692)*5)),0)+IF(AND(ArtifactsInput!$M$22,Inputs!$B$4&lt;&gt;"Chapter Hunt"),CHOOSE(ArtifactsInput!$N$22+1,10,12,14,16,18,20)*((0*(((0.15*B3692*5))^0/1)+1*(((0.15*B3692*5))^1/1)+2*(((0.15*B3692*5))^2/2)+3*(((0.15*B3692*5))^3/6)+4*(((0.15*B3692*5))^4/24)+5*(((0.15*B3692*5))^5/120))/((((0.15*B3692*5))^0/1)+(((0.15*B3692*5))^1/1)+(((0.15*B3692*5))^2/2)+(((0.15*B3692*5))^3/6)+(((0.15*B3692*5))^4/24)+(((0.15*B3692*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3661*(1-MIN(100,(Inputs!$B$9+((C3680=TRUE)*(F3680-Calc!F26))+B3688+(ArtifactsInput!$M$24-ArtifactsInput!$M$24)*CHOOSE(ArtifactsInput!$N$24+1,10,12,14,16,18,20)+(IF(AND(Inputs!$B$39&lt;&gt;"pvp",Inputs!$B$44=0),1,IF(IF(Inputs!$B$39="pvp",15,Inputs!$B$44)-(B3699)&lt;=0,1,MAX(0,IF(Inputs!$B$39="pvp",15,Inputs!$B$44)-MAX(5,B3699))/(IF(Inputs!$B$39="pvp",15,Inputs!$B$44)-(B3699))))*IF(AND(ArtifactsInput!$M$42,((Inputs!$B$9+((C3680=TRUE)*(F3680-Calc!F26))+B3688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3661*(MIN(100,(Inputs!$B$9+((C3680=TRUE)*(F3680-Calc!F26))+B3688+(ArtifactsInput!$M$24-ArtifactsInput!$M$24)*CHOOSE(ArtifactsInput!$N$24+1,10,12,14,16,18,20)+(IF(AND(Inputs!$B$39&lt;&gt;"pvp",Inputs!$B$44=0),1,IF(IF(Inputs!$B$39="pvp",15,Inputs!$B$44)-(B3699)&lt;=0,1,MAX(0,IF(Inputs!$B$39="pvp",15,Inputs!$B$44)-MAX(5,B3699))/(IF(Inputs!$B$39="pvp",15,Inputs!$B$44)-(B3699))))*IF(AND(ArtifactsInput!$M$42,((Inputs!$B$9+((C3680=TRUE)*(F3680-Calc!F26))+B3688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3661*(1-MIN(100,(Inputs!$B$9+((C3680=TRUE)*(F3680-Calc!F26))+B3688+(ArtifactsInput!$M$24-ArtifactsInput!$M$24)*CHOOSE(ArtifactsInput!$N$24+1,10,12,14,16,18,20)+(IF(AND(Inputs!$B$39&lt;&gt;"pvp",Inputs!$B$44=0),1,IF(IF(Inputs!$B$39="pvp",15,Inputs!$B$44)-(B3699)&lt;=0,1,MAX(0,IF(Inputs!$B$39="pvp",15,Inputs!$B$44)-MAX(5,B3699))/(IF(Inputs!$B$39="pvp",15,Inputs!$B$44)-(B3699))))*IF(AND(ArtifactsInput!$M$42,((Inputs!$B$9+((C3680=TRUE)*(F3680-Calc!F26))+B3688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3661*(MIN(100,(Inputs!$B$9+((C3680=TRUE)*(F3680-Calc!F26))+B3688+(ArtifactsInput!$M$24-ArtifactsInput!$M$24)*CHOOSE(ArtifactsInput!$N$24+1,10,12,14,16,18,20)+(IF(AND(Inputs!$B$39&lt;&gt;"pvp",Inputs!$B$44=0),1,IF(IF(Inputs!$B$39="pvp",15,Inputs!$B$44)-(B3699)&lt;=0,1,MAX(0,IF(Inputs!$B$39="pvp",15,Inputs!$B$44)-MAX(5,B3699))/(IF(Inputs!$B$39="pvp",15,Inputs!$B$44)-(B3699))))*IF(AND(ArtifactsInput!$M$42,((Inputs!$B$9+((C3680=TRUE)*(F3680-Calc!F26))+B3688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3661">
        <f>IF(C3661,(H3661*N3661*IF(AND(Inputs!$B$39&lt;&gt;"pvp",Inputs!$B$44&gt;0),((Skills!G7*((R3661-1)*IF(Skills!H7&gt;0,Skills!I7/Skills!H7,1)+IF(Skills!H7&gt;0,MIN(Skills!I7,MAX(0,MAX(0,Inputs!$B$44-B3699)-((R3661-1)*IF(Inputs!$B$39="pvp",15,MAX(0.1,Skills!D7-IF(TRUE=TRUE,4.0,0))))))/Skills!H7,1)))/Inputs!$B$44),G3661*Q3661))*IF(Inputs!$B$39="pvp",1,(1+(Inputs!$B$21+Skills!Q7+B3689+(IF(ArtifactsInput!$M$33,CHOOSE(ArtifactsInput!$N$33+1,30,36,42,48,54,60),0))+(IF(AND(ArtifactsInput!$M$35,Inputs!$B$4&lt;&gt;"Chapter Hunt"),CHOOSE(ArtifactsInput!$N$35+1,15,18,21,24,27,30)*(1-EXP(-(0.2*B3692)*5)),0)+IF(AND(ArtifactsInput!$M$22,Inputs!$B$4&lt;&gt;"Chapter Hunt"),CHOOSE(ArtifactsInput!$N$22+1,10,12,14,16,18,20)*((0*(((0.15*B3692*5))^0/1)+1*(((0.15*B3692*5))^1/1)+2*(((0.15*B3692*5))^2/2)+3*(((0.15*B3692*5))^3/6)+4*(((0.15*B3692*5))^4/24)+5*(((0.15*B3692*5))^5/120))/((((0.15*B3692*5))^0/1)+(((0.15*B3692*5))^1/1)+(((0.15*B3692*5))^2/2)+(((0.15*B3692*5))^3/6)+(((0.15*B3692*5))^4/24)+(((0.15*B3692*5))^5/120))),0)))/100)*(MIN(Skills!W7,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3662">
      <c r="A3662">
        <f>Skills!A8</f>
        <v/>
      </c>
      <c r="B3662">
        <f>Skills!B8</f>
        <v/>
      </c>
      <c r="C3662">
        <f>Inputs!$B$3&gt;=60</f>
        <v/>
      </c>
      <c r="D3662">
        <f>IF(Skills!C8=1,60+Inputs!$B$25+Inputs!$B$29,IF(Skills!C8=2,90+Inputs!$B$26+Inputs!$B$29,IF(Skills!C8=3,120+Inputs!$B$27+Inputs!$B$29,MAX(0,(Inputs!$B$3-100)*3)+Inputs!$B$28+Inputs!$B$29)))</f>
        <v/>
      </c>
      <c r="E3662">
        <f>INDEX(FactorTable!$B$2:$Y$301, MATCH(ROUND(MIN(300,MAX(1,D3662)),0), FactorTable!$A$2:$A$301,0), Skills!M8+1)</f>
        <v/>
      </c>
      <c r="F3662">
        <f>IF(Skills!N8=TRUE,(Skills!L8/10)*(E3662/1000),Skills!L8/10)+Skills!O8</f>
        <v/>
      </c>
      <c r="G3662">
        <f>Skills!G8*IF(Skills!H8&gt;0,IF(Inputs!$B$39="pvp",MIN(Skills!I8,15),Skills!I8)/Skills!H8,1)</f>
        <v/>
      </c>
      <c r="H3662">
        <f>1-(1-Skills!J8/100)^Skills!K8</f>
        <v/>
      </c>
      <c r="I3662" t="inlineStr">
        <is>
          <t>1</t>
        </is>
      </c>
      <c r="J3662" t="inlineStr"/>
      <c r="K3662" t="inlineStr"/>
      <c r="L3662" t="inlineStr"/>
      <c r="M3662" t="inlineStr"/>
      <c r="N3662" t="inlineStr"/>
      <c r="O3662">
        <f>(1-Summary!$B$11)*T3662+Summary!$B$11*V3662</f>
        <v/>
      </c>
      <c r="P3662">
        <f>IF(B3700=0,0,O3662/B3700)</f>
        <v/>
      </c>
      <c r="Q3662" t="n">
        <v>0</v>
      </c>
      <c r="R3662" t="n">
        <v>0</v>
      </c>
      <c r="S3662">
        <f>IFERROR(O3662/N3662,0)</f>
        <v/>
      </c>
      <c r="T3662" t="n">
        <v>0</v>
      </c>
      <c r="V3662" t="n">
        <v>0</v>
      </c>
    </row>
    <row r="3663">
      <c r="A3663">
        <f>Skills!A9</f>
        <v/>
      </c>
      <c r="B3663">
        <f>Skills!B9</f>
        <v/>
      </c>
      <c r="C3663">
        <f>Inputs!$B$3&gt;=72</f>
        <v/>
      </c>
      <c r="D3663">
        <f>IF(Skills!C9=1,60+Inputs!$B$25+Inputs!$B$29,IF(Skills!C9=2,90+Inputs!$B$26+Inputs!$B$29,IF(Skills!C9=3,120+Inputs!$B$27+Inputs!$B$29,MAX(0,(Inputs!$B$3-100)*3)+Inputs!$B$28+Inputs!$B$29)))</f>
        <v/>
      </c>
      <c r="E3663">
        <f>INDEX(FactorTable!$B$2:$Y$301, MATCH(ROUND(MIN(300,MAX(1,D3663)),0), FactorTable!$A$2:$A$301,0), Skills!M9+1)</f>
        <v/>
      </c>
      <c r="F3663">
        <f>IF(Skills!N9=TRUE,(Skills!L9/10)*(E3663/1000),Skills!L9/10)+Skills!O9</f>
        <v/>
      </c>
      <c r="G3663">
        <f>Skills!G9*IF(Skills!H9&gt;0,IF(Inputs!$B$39="pvp",MIN(Skills!I9,15),Skills!I9)/Skills!H9,1)</f>
        <v/>
      </c>
      <c r="H3663">
        <f>1-(1-Skills!J9/100)^Skills!K9</f>
        <v/>
      </c>
      <c r="I3663" t="inlineStr">
        <is>
          <t>1</t>
        </is>
      </c>
      <c r="J3663">
        <f>((Inputs!$B$6*(1+Inputs!$B$7/100))+(((Inputs!$B$12*(1+Inputs!$B$13/100))-(Inputs!$B$12*(1+Inputs!$B$13/100)))+0.25*(Inputs!$B$14-Inputs!$B$14))*(1+Inputs!$B$7/100))*(F3663/100)</f>
        <v/>
      </c>
      <c r="K3663">
        <f>J3663*(1+((Inputs!$B$12*(1+Inputs!$B$13/100))*0.01+Inputs!$B$14*0.0025)/100)*(1+Inputs!$B$15/100)*(1+Inputs!$B$16/100)*(5000/(6000+Inputs!$B$43*(1-(100*(1-(1-Inputs!$B$19/100)*(1-CHOOSE(ArtifactsInput!$N$40+1,5,6,7,8,9,10)/100)^(ArtifactsInput!$M$40-ArtifactsInput!$M$40)))/100)))*(1+(Inputs!$B$24+((C3685=TRUE)*(F3685-Calc!F31))+((C3672=TRUE)*(F3672-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+3.3333333333333335*IF(C3673=TRUE,F3673,0)/100)*(1+(IF(Skills!A9="CRUEL_STAB",Inputs!$B$17+((C3682=TRUE)*(F3682-Calc!F28))+((IF(AND(Inputs!$B$39&lt;&gt;"pvp",Inputs!$B$44=0),1,IF(IF(Inputs!$B$39="pvp",15,Inputs!$B$44)-(B3699)&lt;=0,1,MAX(0,IF(Inputs!$B$39="pvp",15,Inputs!$B$44)-MAX(5,B3699))/(IF(Inputs!$B$39="pvp",15,Inputs!$B$44)-(B3699))))*(IF(AND(ArtifactsInput!$M$42,((Inputs!$B$9+((C3680=TRUE)*(F3680-Calc!F26))+B3688+(ArtifactsInput!$M$24-ArtifactsInput!$M$24)*CHOOSE(ArtifactsInput!$N$24+1,10,12,14,16,18,20)+IF(ArtifactsInput!$M$10,CHOOSE(ArtifactsInput!$N$10+1,15,18,21,24,27,30)*(IF(Inputs!$B$39="pvp",MIN(15,15)/15,IF(AND(Inputs!$B$39&lt;&gt;"pvp",Inputs!$B$44&gt;0),MIN(15,Inputs!$B$44)/(Inputs!$B$44),0))),0)))&gt;=100),MIN(100,((Inputs!$B$9+((C3680=TRUE)*(F3680-Calc!F26))+B3688+(ArtifactsInput!$M$24-ArtifactsInput!$M$24)*CHOOSE(ArtifactsInput!$N$24+1,10,12,14,16,18,20)+IF(ArtifactsInput!$M$10,CHOOSE(ArtifactsInput!$N$10+1,15,18,21,24,27,30)*(IF(Inputs!$B$39="pvp",MIN(15,15)/15,IF(AND(Inputs!$B$39&lt;&gt;"pvp",Inputs!$B$44&gt;0),MIN(15,Inputs!$B$44)/(Inputs!$B$44),0))),0)))-100),0))*CHOOSE(ArtifactsInput!$N$42+1,0.6,0.72,0.84,0.96,1.08,1.2))),Inputs!$B$18+((C3683=TRUE)*(F3683-Calc!F29))+(IF(AND(Inputs!$B$39&lt;&gt;"pvp",Inputs!$B$44=0),1,IF(IF(Inputs!$B$39="pvp",15,Inputs!$B$44)-(B3699)&lt;=0,1,MAX(0,IF(Inputs!$B$39="pvp",15,Inputs!$B$44)-MAX(5,B3699))/(IF(Inputs!$B$39="pvp",15,Inputs!$B$44)-(B3699))))*IF(AND(ArtifactsInput!$M$42,((Inputs!$B$9+((C3680=TRUE)*(F3680-Calc!F26))+B3688+(ArtifactsInput!$M$24-ArtifactsInput!$M$24)*CHOOSE(ArtifactsInput!$N$24+1,10,12,14,16,18,20)+IF(ArtifactsInput!$M$10,CHOOSE(ArtifactsInput!$N$10+1,15,18,21,24,27,30)*(IF(Inputs!$B$39="pvp",MIN(15,15)/15,IF(AND(Inputs!$B$39&lt;&gt;"pvp",Inputs!$B$44&gt;0),MIN(15,Inputs!$B$44)/(Inputs!$B$44),0))),0)))&gt;=100),CHOOSE(ArtifactsInput!$N$42+1,40,48,56,64,72,80),0))))/100)*(((1+(((C3676=TRUE)*F3676*IF(AND(Inputs!$B$39&lt;&gt;"pvp",Inputs!$B$44&gt;0),(((R3676-1)*MIN((Skills!Y22*(1+Inputs!$B$34/100)),(1/Q3676))+MIN((Skills!Y22*(1+Inputs!$B$34/100)),MAX(0,Inputs!$B$44-((R3676-1)*(1/Q3676)))))/Inputs!$B$44),IF(Inputs!$B$39="pvp",MIN((Skills!Y22*(1+Inputs!$B$34/100)),15)/15,MIN(1,(Skills!Y22*(1+Inputs!$B$34/100))/(1/Q3676)))))+((C3657=TRUE)*F3657*3)+((C3659=TRUE)*F3659*(1-EXP(-0.75*B3692*5)))+((C3678=TRUE)*(F3678-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3665=TRUE)*F3665*IF(AND(Inputs!$B$39&lt;&gt;"pvp",Inputs!$B$44&gt;0),(((R3665-1)*MIN((Skills!Y11*(1+Inputs!$B$34/100)),(1/Q3665))+MIN((Skills!Y11*(1+Inputs!$B$34/100)),MAX(0,Inputs!$B$44-((R3665-1)*(1/Q3665)))))/Inputs!$B$44),IF(Inputs!$B$39="pvp",MIN((Skills!Y11*(1+Inputs!$B$34/100)),15)/15,MIN(1,(Skills!Y11*(1+Inputs!$B$34/100))/(1/Q3665)))))/100)*(1+((C3670=TRUE)*F3670*IF(AND(Inputs!$B$39&lt;&gt;"pvp",Inputs!$B$44&gt;0),(((R3670-1)*MIN((Skills!Y16*(1+Inputs!$B$34/100)),(1/Q3670))+MIN((Skills!Y16*(1+Inputs!$B$34/100)),MAX(0,Inputs!$B$44-((R3670-1)*(1/Q3670)))))/Inputs!$B$44),IF(Inputs!$B$39="pvp",MIN((Skills!Y16*(1+Inputs!$B$34/100)),15)/15,MIN(1,(Skills!Y16*(1+Inputs!$B$34/100))/(1/Q3670)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3690*I3663)</f>
        <v/>
      </c>
      <c r="L3663">
        <f>K3663*(MIN(Inputs!$B$22+((C3679=TRUE)*(F3679-Calc!F25)),(Inputs!$B$23+((C3684=TRUE)*(F3684-Calc!F30))+IF(ArtifactsInput!$M$15,CHOOSE(ArtifactsInput!$N$15+1,25,30,35,40,45,50)/100*(Inputs!$B$11-Inputs!$B$11),0)))/100+(Inputs!$B$23+((C3684=TRUE)*(F3684-Calc!F30))+IF(ArtifactsInput!$M$15,CHOOSE(ArtifactsInput!$N$15+1,25,30,35,40,45,50)/100*(Inputs!$B$11-Inputs!$B$11),0))/100)/2</f>
        <v/>
      </c>
      <c r="M3663">
        <f>L3663*(1+(Inputs!$B$10+((C3681=TRUE)*(F3681-Calc!F27))+B3695+(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3663">
        <f>L3663*(1-MIN((Inputs!$B$9+((C3680=TRUE)*(F3680-Calc!F26))+B3688+(ArtifactsInput!$M$24-ArtifactsInput!$M$24)*CHOOSE(ArtifactsInput!$N$24+1,10,12,14,16,18,20)+(IF(AND(Inputs!$B$39&lt;&gt;"pvp",Inputs!$B$44=0),1,IF(IF(Inputs!$B$39="pvp",15,Inputs!$B$44)-(B3699)&lt;=0,1,MAX(0,IF(Inputs!$B$39="pvp",15,Inputs!$B$44)-MAX(5,B3699))/(IF(Inputs!$B$39="pvp",15,Inputs!$B$44)-(B3699))))*IF(AND(ArtifactsInput!$M$42,((Inputs!$B$9+((C3680=TRUE)*(F3680-Calc!F26))+B3688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3663*(MIN((Inputs!$B$9+((C3680=TRUE)*(F3680-Calc!F26))+B3688+(ArtifactsInput!$M$24-ArtifactsInput!$M$24)*CHOOSE(ArtifactsInput!$N$24+1,10,12,14,16,18,20)+(IF(AND(Inputs!$B$39&lt;&gt;"pvp",Inputs!$B$44=0),1,IF(IF(Inputs!$B$39="pvp",15,Inputs!$B$44)-(B3699)&lt;=0,1,MAX(0,IF(Inputs!$B$39="pvp",15,Inputs!$B$44)-MAX(5,B3699))/(IF(Inputs!$B$39="pvp",15,Inputs!$B$44)-(B3699))))*IF(AND(ArtifactsInput!$M$42,((Inputs!$B$9+((C3680=TRUE)*(F3680-Calc!F26))+B3688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3663">
        <f>(1-Summary!$B$11)*T3663+Summary!$B$11*V3663</f>
        <v/>
      </c>
      <c r="P3663">
        <f>IF(B3700=0,0,O3663/B3700)</f>
        <v/>
      </c>
      <c r="Q3663">
        <f>IFERROR(1/IF(Inputs!$B$39="pvp",15,MAX(0.1,Skills!D9-IF(FALSE=TRUE,4.0,0))),0)</f>
        <v/>
      </c>
      <c r="R3663">
        <f>IF(AND(Inputs!$B$39&lt;&gt;"pvp",Inputs!$B$44&gt;0),IF(MAX(0,Inputs!$B$44-B3699)&lt;=0,0,(INT(MAX(0,Inputs!$B$44-B3699)/IF(Inputs!$B$39="pvp",15,MAX(0.1,Skills!D9-IF(FALSE=TRUE,4.0,0))))+1)),0)</f>
        <v/>
      </c>
      <c r="S3663">
        <f>IFERROR(O3663/N3663,0)</f>
        <v/>
      </c>
      <c r="T3663">
        <f>IF(C3663,(H3663*N3663*IF(AND(Inputs!$B$39&lt;&gt;"pvp",Inputs!$B$44&gt;0),((Skills!G9*((R3663-1)*IF(Skills!H9&gt;0,Skills!I9/Skills!H9,1)+IF(Skills!H9&gt;0,MIN(Skills!I9,MAX(0,MAX(0,Inputs!$B$44-B3699)-((R3663-1)*IF(Inputs!$B$39="pvp",15,MAX(0.1,Skills!D9-IF(FALSE=TRUE,4.0,0))))))/Skills!H9,1)))/Inputs!$B$44),G3663*Q3663))*IF(Inputs!$B$39="pvp",1,1+(Inputs!$B$20+0+Skills!P9+B3689+(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Hunt"),CHOOSE(ArtifactsInput!$N$35+1,15,18,21,24,27,30)*(1-EXP(-(0.2*B3692)*5)),0)+IF(AND(ArtifactsInput!$M$22,Inputs!$B$4&lt;&gt;"Chapter Hunt"),CHOOSE(ArtifactsInput!$N$22+1,10,12,14,16,18,20)*((0*(((0.15*B3692*5))^0/1)+1*(((0.15*B3692*5))^1/1)+2*(((0.15*B3692*5))^2/2)+3*(((0.15*B3692*5))^3/6)+4*(((0.15*B3692*5))^4/24)+5*(((0.15*B3692*5))^5/120))/((((0.15*B3692*5))^0/1)+(((0.15*B3692*5))^1/1)+(((0.15*B3692*5))^2/2)+(((0.15*B3692*5))^3/6)+(((0.15*B3692*5))^4/24)+(((0.15*B3692*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3663*(1-MIN(100,(Inputs!$B$9+((C3680=TRUE)*(F3680-Calc!F26))+B3688+(ArtifactsInput!$M$24-ArtifactsInput!$M$24)*CHOOSE(ArtifactsInput!$N$24+1,10,12,14,16,18,20)+(IF(AND(Inputs!$B$39&lt;&gt;"pvp",Inputs!$B$44=0),1,IF(IF(Inputs!$B$39="pvp",15,Inputs!$B$44)-(B3699)&lt;=0,1,MAX(0,IF(Inputs!$B$39="pvp",15,Inputs!$B$44)-MAX(5,B3699))/(IF(Inputs!$B$39="pvp",15,Inputs!$B$44)-(B3699))))*IF(AND(ArtifactsInput!$M$42,((Inputs!$B$9+((C3680=TRUE)*(F3680-Calc!F26))+B3688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3663*(MIN(100,(Inputs!$B$9+((C3680=TRUE)*(F3680-Calc!F26))+B3688+(ArtifactsInput!$M$24-ArtifactsInput!$M$24)*CHOOSE(ArtifactsInput!$N$24+1,10,12,14,16,18,20)+(IF(AND(Inputs!$B$39&lt;&gt;"pvp",Inputs!$B$44=0),1,IF(IF(Inputs!$B$39="pvp",15,Inputs!$B$44)-(B3699)&lt;=0,1,MAX(0,IF(Inputs!$B$39="pvp",15,Inputs!$B$44)-MAX(5,B3699))/(IF(Inputs!$B$39="pvp",15,Inputs!$B$44)-(B3699))))*IF(AND(ArtifactsInput!$M$42,((Inputs!$B$9+((C3680=TRUE)*(F3680-Calc!F26))+B3688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3663*(1-MIN(100,(Inputs!$B$9+((C3680=TRUE)*(F3680-Calc!F26))+B3688+(ArtifactsInput!$M$24-ArtifactsInput!$M$24)*CHOOSE(ArtifactsInput!$N$24+1,10,12,14,16,18,20)+(IF(AND(Inputs!$B$39&lt;&gt;"pvp",Inputs!$B$44=0),1,IF(IF(Inputs!$B$39="pvp",15,Inputs!$B$44)-(B3699)&lt;=0,1,MAX(0,IF(Inputs!$B$39="pvp",15,Inputs!$B$44)-MAX(5,B3699))/(IF(Inputs!$B$39="pvp",15,Inputs!$B$44)-(B3699))))*IF(AND(ArtifactsInput!$M$42,((Inputs!$B$9+((C3680=TRUE)*(F3680-Calc!F26))+B3688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3663*(MIN(100,(Inputs!$B$9+((C3680=TRUE)*(F3680-Calc!F26))+B3688+(ArtifactsInput!$M$24-ArtifactsInput!$M$24)*CHOOSE(ArtifactsInput!$N$24+1,10,12,14,16,18,20)+(IF(AND(Inputs!$B$39&lt;&gt;"pvp",Inputs!$B$44=0),1,IF(IF(Inputs!$B$39="pvp",15,Inputs!$B$44)-(B3699)&lt;=0,1,MAX(0,IF(Inputs!$B$39="pvp",15,Inputs!$B$44)-MAX(5,B3699))/(IF(Inputs!$B$39="pvp",15,Inputs!$B$44)-(B3699))))*IF(AND(ArtifactsInput!$M$42,((Inputs!$B$9+((C3680=TRUE)*(F3680-Calc!F26))+B3688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3663">
        <f>IF(C3663,(H3663*N3663*IF(AND(Inputs!$B$39&lt;&gt;"pvp",Inputs!$B$44&gt;0),((Skills!G9*((R3663-1)*IF(Skills!H9&gt;0,Skills!I9/Skills!H9,1)+IF(Skills!H9&gt;0,MIN(Skills!I9,MAX(0,MAX(0,Inputs!$B$44-B3699)-((R3663-1)*IF(Inputs!$B$39="pvp",15,MAX(0.1,Skills!D9-IF(FALSE=TRUE,4.0,0))))))/Skills!H9,1)))/Inputs!$B$44),G3663*Q3663))*IF(Inputs!$B$39="pvp",1,(1+(Inputs!$B$21+Skills!Q9+B3689+(IF(ArtifactsInput!$M$33,CHOOSE(ArtifactsInput!$N$33+1,30,36,42,48,54,60),0))+(IF(AND(ArtifactsInput!$M$35,Inputs!$B$4&lt;&gt;"Chapter Hunt"),CHOOSE(ArtifactsInput!$N$35+1,15,18,21,24,27,30)*(1-EXP(-(0.2*B3692)*5)),0)+IF(AND(ArtifactsInput!$M$22,Inputs!$B$4&lt;&gt;"Chapter Hunt"),CHOOSE(ArtifactsInput!$N$22+1,10,12,14,16,18,20)*((0*(((0.15*B3692*5))^0/1)+1*(((0.15*B3692*5))^1/1)+2*(((0.15*B3692*5))^2/2)+3*(((0.15*B3692*5))^3/6)+4*(((0.15*B3692*5))^4/24)+5*(((0.15*B3692*5))^5/120))/((((0.15*B3692*5))^0/1)+(((0.15*B3692*5))^1/1)+(((0.15*B3692*5))^2/2)+(((0.15*B3692*5))^3/6)+(((0.15*B3692*5))^4/24)+(((0.15*B3692*5))^5/120))),0)))/100)*(MIN(Skills!W9,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3664">
      <c r="A3664">
        <f>Skills!A10</f>
        <v/>
      </c>
      <c r="B3664">
        <f>Skills!B10</f>
        <v/>
      </c>
      <c r="C3664">
        <f>Inputs!$B$3&gt;=117</f>
        <v/>
      </c>
      <c r="D3664">
        <f>IF(Skills!C10=1,60+Inputs!$B$25+Inputs!$B$29,IF(Skills!C10=2,90+Inputs!$B$26+Inputs!$B$29,IF(Skills!C10=3,120+Inputs!$B$27+Inputs!$B$29,MAX(0,(Inputs!$B$3-100)*3)+Inputs!$B$28+Inputs!$B$29)))</f>
        <v/>
      </c>
      <c r="E3664">
        <f>INDEX(FactorTable!$B$2:$Y$301, MATCH(ROUND(MIN(300,MAX(1,D3664)),0), FactorTable!$A$2:$A$301,0), Skills!M10+1)</f>
        <v/>
      </c>
      <c r="F3664">
        <f>IF(Skills!N10=TRUE,(Skills!L10/10)*(E3664/1000),Skills!L10/10)+Skills!O10</f>
        <v/>
      </c>
      <c r="G3664">
        <f>Skills!G10*IF(Skills!H10&gt;0,IF(Inputs!$B$39="pvp",MIN(Skills!I10,15),Skills!I10)/Skills!H10,1)</f>
        <v/>
      </c>
      <c r="H3664">
        <f>1-(1-Skills!J10/100)^Skills!K10</f>
        <v/>
      </c>
      <c r="I3664" t="inlineStr">
        <is>
          <t>1</t>
        </is>
      </c>
      <c r="J3664">
        <f>((Inputs!$B$6*(1+Inputs!$B$7/100))+(((Inputs!$B$12*(1+Inputs!$B$13/100))-(Inputs!$B$12*(1+Inputs!$B$13/100)))+0.25*(Inputs!$B$14-Inputs!$B$14))*(1+Inputs!$B$7/100))*(F3664/100)</f>
        <v/>
      </c>
      <c r="K3664">
        <f>J3664*(1+((Inputs!$B$12*(1+Inputs!$B$13/100))*0.01+Inputs!$B$14*0.0025)/100)*(1+Inputs!$B$15/100)*(1+Inputs!$B$16/100)*(5000/(6000+Inputs!$B$43*(1-(100*(1-(1-Inputs!$B$19/100)*(1-CHOOSE(ArtifactsInput!$N$40+1,5,6,7,8,9,10)/100)^(ArtifactsInput!$M$40-ArtifactsInput!$M$40)))/100)))*(1+(Inputs!$B$24+((C3685=TRUE)*(F3685-Calc!F31))+((C3672=TRUE)*(F3672-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10="CRUEL_STAB",Inputs!$B$17+((C3682=TRUE)*(F3682-Calc!F28))+((IF(AND(Inputs!$B$39&lt;&gt;"pvp",Inputs!$B$44=0),1,IF(IF(Inputs!$B$39="pvp",15,Inputs!$B$44)-(B3699)&lt;=0,1,MAX(0,IF(Inputs!$B$39="pvp",15,Inputs!$B$44)-MAX(5,B3699))/(IF(Inputs!$B$39="pvp",15,Inputs!$B$44)-(B3699))))*(IF(AND(ArtifactsInput!$M$42,((Inputs!$B$9+((C3680=TRUE)*(F3680-Calc!F26))+B3688+(ArtifactsInput!$M$24-ArtifactsInput!$M$24)*CHOOSE(ArtifactsInput!$N$24+1,10,12,14,16,18,20)+IF(ArtifactsInput!$M$10,CHOOSE(ArtifactsInput!$N$10+1,15,18,21,24,27,30)*(IF(Inputs!$B$39="pvp",MIN(15,15)/15,IF(AND(Inputs!$B$39&lt;&gt;"pvp",Inputs!$B$44&gt;0),MIN(15,Inputs!$B$44)/(Inputs!$B$44),0))),0)))&gt;=100),MIN(100,((Inputs!$B$9+((C3680=TRUE)*(F3680-Calc!F26))+B3688+(ArtifactsInput!$M$24-ArtifactsInput!$M$24)*CHOOSE(ArtifactsInput!$N$24+1,10,12,14,16,18,20)+IF(ArtifactsInput!$M$10,CHOOSE(ArtifactsInput!$N$10+1,15,18,21,24,27,30)*(IF(Inputs!$B$39="pvp",MIN(15,15)/15,IF(AND(Inputs!$B$39&lt;&gt;"pvp",Inputs!$B$44&gt;0),MIN(15,Inputs!$B$44)/(Inputs!$B$44),0))),0)))-100),0))*CHOOSE(ArtifactsInput!$N$42+1,0.6,0.72,0.84,0.96,1.08,1.2))),Inputs!$B$18+((C3683=TRUE)*(F3683-Calc!F29))+(IF(AND(Inputs!$B$39&lt;&gt;"pvp",Inputs!$B$44=0),1,IF(IF(Inputs!$B$39="pvp",15,Inputs!$B$44)-(B3699)&lt;=0,1,MAX(0,IF(Inputs!$B$39="pvp",15,Inputs!$B$44)-MAX(5,B3699))/(IF(Inputs!$B$39="pvp",15,Inputs!$B$44)-(B3699))))*IF(AND(ArtifactsInput!$M$42,((Inputs!$B$9+((C3680=TRUE)*(F3680-Calc!F26))+B3688+(ArtifactsInput!$M$24-ArtifactsInput!$M$24)*CHOOSE(ArtifactsInput!$N$24+1,10,12,14,16,18,20)+IF(ArtifactsInput!$M$10,CHOOSE(ArtifactsInput!$N$10+1,15,18,21,24,27,30)*(IF(Inputs!$B$39="pvp",MIN(15,15)/15,IF(AND(Inputs!$B$39&lt;&gt;"pvp",Inputs!$B$44&gt;0),MIN(15,Inputs!$B$44)/(Inputs!$B$44),0))),0)))&gt;=100),CHOOSE(ArtifactsInput!$N$42+1,40,48,56,64,72,80),0))))/100)*(((1+(((C3676=TRUE)*F3676*IF(AND(Inputs!$B$39&lt;&gt;"pvp",Inputs!$B$44&gt;0),(((R3676-1)*MIN((Skills!Y22*(1+Inputs!$B$34/100)),(1/Q3676))+MIN((Skills!Y22*(1+Inputs!$B$34/100)),MAX(0,Inputs!$B$44-((R3676-1)*(1/Q3676)))))/Inputs!$B$44),IF(Inputs!$B$39="pvp",MIN((Skills!Y22*(1+Inputs!$B$34/100)),15)/15,MIN(1,(Skills!Y22*(1+Inputs!$B$34/100))/(1/Q3676)))))+((C3657=TRUE)*F3657*3)+((C3659=TRUE)*F3659*(1-EXP(-0.75*B3692*5)))+((C3678=TRUE)*(F3678-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3665=TRUE)*F3665*IF(AND(Inputs!$B$39&lt;&gt;"pvp",Inputs!$B$44&gt;0),(((R3665-1)*MIN((Skills!Y11*(1+Inputs!$B$34/100)),(1/Q3665))+MIN((Skills!Y11*(1+Inputs!$B$34/100)),MAX(0,Inputs!$B$44-((R3665-1)*(1/Q3665)))))/Inputs!$B$44),IF(Inputs!$B$39="pvp",MIN((Skills!Y11*(1+Inputs!$B$34/100)),15)/15,MIN(1,(Skills!Y11*(1+Inputs!$B$34/100))/(1/Q3665)))))/100)*(1+((C3670=TRUE)*F3670*IF(AND(Inputs!$B$39&lt;&gt;"pvp",Inputs!$B$44&gt;0),(((R3670-1)*MIN((Skills!Y16*(1+Inputs!$B$34/100)),(1/Q3670))+MIN((Skills!Y16*(1+Inputs!$B$34/100)),MAX(0,Inputs!$B$44-((R3670-1)*(1/Q3670)))))/Inputs!$B$44),IF(Inputs!$B$39="pvp",MIN((Skills!Y16*(1+Inputs!$B$34/100)),15)/15,MIN(1,(Skills!Y16*(1+Inputs!$B$34/100))/(1/Q3670)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3690*I3664)</f>
        <v/>
      </c>
      <c r="L3664">
        <f>K3664*(MIN(Inputs!$B$22+((C3679=TRUE)*(F3679-Calc!F25)),(Inputs!$B$23+((C3684=TRUE)*(F3684-Calc!F30))+IF(ArtifactsInput!$M$15,CHOOSE(ArtifactsInput!$N$15+1,25,30,35,40,45,50)/100*(Inputs!$B$11-Inputs!$B$11),0)))/100+(Inputs!$B$23+((C3684=TRUE)*(F3684-Calc!F30))+IF(ArtifactsInput!$M$15,CHOOSE(ArtifactsInput!$N$15+1,25,30,35,40,45,50)/100*(Inputs!$B$11-Inputs!$B$11),0))/100)/2</f>
        <v/>
      </c>
      <c r="M3664">
        <f>L3664*(1+(Inputs!$B$10+((C3681=TRUE)*(F3681-Calc!F27))+B3695+(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3664">
        <f>L3664*(1-MIN((Inputs!$B$9+((C3680=TRUE)*(F3680-Calc!F26))+B3688+(ArtifactsInput!$M$24-ArtifactsInput!$M$24)*CHOOSE(ArtifactsInput!$N$24+1,10,12,14,16,18,20)+(IF(AND(Inputs!$B$39&lt;&gt;"pvp",Inputs!$B$44=0),1,IF(IF(Inputs!$B$39="pvp",15,Inputs!$B$44)-(B3699)&lt;=0,1,MAX(0,IF(Inputs!$B$39="pvp",15,Inputs!$B$44)-MAX(5,B3699))/(IF(Inputs!$B$39="pvp",15,Inputs!$B$44)-(B3699))))*IF(AND(ArtifactsInput!$M$42,((Inputs!$B$9+((C3680=TRUE)*(F3680-Calc!F26))+B3688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3664*(MIN((Inputs!$B$9+((C3680=TRUE)*(F3680-Calc!F26))+B3688+(ArtifactsInput!$M$24-ArtifactsInput!$M$24)*CHOOSE(ArtifactsInput!$N$24+1,10,12,14,16,18,20)+(IF(AND(Inputs!$B$39&lt;&gt;"pvp",Inputs!$B$44=0),1,IF(IF(Inputs!$B$39="pvp",15,Inputs!$B$44)-(B3699)&lt;=0,1,MAX(0,IF(Inputs!$B$39="pvp",15,Inputs!$B$44)-MAX(5,B3699))/(IF(Inputs!$B$39="pvp",15,Inputs!$B$44)-(B3699))))*IF(AND(ArtifactsInput!$M$42,((Inputs!$B$9+((C3680=TRUE)*(F3680-Calc!F26))+B3688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3664">
        <f>(1-Summary!$B$11)*T3664+Summary!$B$11*V3664</f>
        <v/>
      </c>
      <c r="P3664">
        <f>IF(B3700=0,0,O3664/B3700)</f>
        <v/>
      </c>
      <c r="Q3664" t="n">
        <v>0</v>
      </c>
      <c r="R3664" t="n">
        <v>0</v>
      </c>
      <c r="S3664" t="n">
        <v>0</v>
      </c>
      <c r="T3664">
        <f>IF(C3664,(0.2*SUMPRODUCT((Skills!Z2:Z31=TRUE)*(C3656:C3685=TRUE)*S3656:S3685)*N3664)*IF(Inputs!$B$39="pvp",1,1+(Inputs!$B$20+0+Skills!P10+B3689+(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Hunt"),CHOOSE(ArtifactsInput!$N$35+1,15,18,21,24,27,30)*(1-EXP(-(0.2*B3692)*5)),0)+IF(AND(ArtifactsInput!$M$22,Inputs!$B$4&lt;&gt;"Chapter Hunt"),CHOOSE(ArtifactsInput!$N$22+1,10,12,14,16,18,20)*((0*(((0.15*B3692*5))^0/1)+1*(((0.15*B3692*5))^1/1)+2*(((0.15*B3692*5))^2/2)+3*(((0.15*B3692*5))^3/6)+4*(((0.15*B3692*5))^4/24)+5*(((0.15*B3692*5))^5/120))/((((0.15*B3692*5))^0/1)+(((0.15*B3692*5))^1/1)+(((0.15*B3692*5))^2/2)+(((0.15*B3692*5))^3/6)+(((0.15*B3692*5))^4/24)+(((0.15*B3692*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3664*(1-MIN(100,(Inputs!$B$9+((C3680=TRUE)*(F3680-Calc!F26))+B3688+(ArtifactsInput!$M$24-ArtifactsInput!$M$24)*CHOOSE(ArtifactsInput!$N$24+1,10,12,14,16,18,20)+(IF(AND(Inputs!$B$39&lt;&gt;"pvp",Inputs!$B$44=0),1,IF(IF(Inputs!$B$39="pvp",15,Inputs!$B$44)-(B3699)&lt;=0,1,MAX(0,IF(Inputs!$B$39="pvp",15,Inputs!$B$44)-MAX(5,B3699))/(IF(Inputs!$B$39="pvp",15,Inputs!$B$44)-(B3699))))*IF(AND(ArtifactsInput!$M$42,((Inputs!$B$9+((C3680=TRUE)*(F3680-Calc!F26))+B3688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3664*(MIN(100,(Inputs!$B$9+((C3680=TRUE)*(F3680-Calc!F26))+B3688+(ArtifactsInput!$M$24-ArtifactsInput!$M$24)*CHOOSE(ArtifactsInput!$N$24+1,10,12,14,16,18,20)+(IF(AND(Inputs!$B$39&lt;&gt;"pvp",Inputs!$B$44=0),1,IF(IF(Inputs!$B$39="pvp",15,Inputs!$B$44)-(B3699)&lt;=0,1,MAX(0,IF(Inputs!$B$39="pvp",15,Inputs!$B$44)-MAX(5,B3699))/(IF(Inputs!$B$39="pvp",15,Inputs!$B$44)-(B3699))))*IF(AND(ArtifactsInput!$M$42,((Inputs!$B$9+((C3680=TRUE)*(F3680-Calc!F26))+B3688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3664*(1-MIN(100,(Inputs!$B$9+((C3680=TRUE)*(F3680-Calc!F26))+B3688+(ArtifactsInput!$M$24-ArtifactsInput!$M$24)*CHOOSE(ArtifactsInput!$N$24+1,10,12,14,16,18,20)+(IF(AND(Inputs!$B$39&lt;&gt;"pvp",Inputs!$B$44=0),1,IF(IF(Inputs!$B$39="pvp",15,Inputs!$B$44)-(B3699)&lt;=0,1,MAX(0,IF(Inputs!$B$39="pvp",15,Inputs!$B$44)-MAX(5,B3699))/(IF(Inputs!$B$39="pvp",15,Inputs!$B$44)-(B3699))))*IF(AND(ArtifactsInput!$M$42,((Inputs!$B$9+((C3680=TRUE)*(F3680-Calc!F26))+B3688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3664*(MIN(100,(Inputs!$B$9+((C3680=TRUE)*(F3680-Calc!F26))+B3688+(ArtifactsInput!$M$24-ArtifactsInput!$M$24)*CHOOSE(ArtifactsInput!$N$24+1,10,12,14,16,18,20)+(IF(AND(Inputs!$B$39&lt;&gt;"pvp",Inputs!$B$44=0),1,IF(IF(Inputs!$B$39="pvp",15,Inputs!$B$44)-(B3699)&lt;=0,1,MAX(0,IF(Inputs!$B$39="pvp",15,Inputs!$B$44)-MAX(5,B3699))/(IF(Inputs!$B$39="pvp",15,Inputs!$B$44)-(B3699))))*IF(AND(ArtifactsInput!$M$42,((Inputs!$B$9+((C3680=TRUE)*(F3680-Calc!F26))+B3688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3664">
        <f>IF(C3664,(0.2*SUMPRODUCT((Skills!Z2:Z31=TRUE)*(C3656:C3685=TRUE)*S3656:S3685)*N3664)*IF(Inputs!$B$39="pvp",1,(1+(Inputs!$B$21+Skills!Q10+B3689+(IF(ArtifactsInput!$M$33,CHOOSE(ArtifactsInput!$N$33+1,30,36,42,48,54,60),0))+(IF(AND(ArtifactsInput!$M$35,Inputs!$B$4&lt;&gt;"Chapter Hunt"),CHOOSE(ArtifactsInput!$N$35+1,15,18,21,24,27,30)*(1-EXP(-(0.2*B3692)*5)),0)+IF(AND(ArtifactsInput!$M$22,Inputs!$B$4&lt;&gt;"Chapter Hunt"),CHOOSE(ArtifactsInput!$N$22+1,10,12,14,16,18,20)*((0*(((0.15*B3692*5))^0/1)+1*(((0.15*B3692*5))^1/1)+2*(((0.15*B3692*5))^2/2)+3*(((0.15*B3692*5))^3/6)+4*(((0.15*B3692*5))^4/24)+5*(((0.15*B3692*5))^5/120))/((((0.15*B3692*5))^0/1)+(((0.15*B3692*5))^1/1)+(((0.15*B3692*5))^2/2)+(((0.15*B3692*5))^3/6)+(((0.15*B3692*5))^4/24)+(((0.15*B3692*5))^5/120))),0)))/100)*(MIN(Skills!W10,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3665">
      <c r="A3665">
        <f>Skills!A11</f>
        <v/>
      </c>
      <c r="B3665">
        <f>Skills!B11</f>
        <v/>
      </c>
      <c r="C3665">
        <f>Inputs!$B$3&gt;=74</f>
        <v/>
      </c>
      <c r="D3665">
        <f>IF(Skills!C11=1,60+Inputs!$B$25+Inputs!$B$29,IF(Skills!C11=2,90+Inputs!$B$26+Inputs!$B$29,IF(Skills!C11=3,120+Inputs!$B$27+Inputs!$B$29,MAX(0,(Inputs!$B$3-100)*3)+Inputs!$B$28+Inputs!$B$29)))</f>
        <v/>
      </c>
      <c r="E3665">
        <f>INDEX(FactorTable!$B$2:$Y$301, MATCH(ROUND(MIN(300,MAX(1,D3665)),0), FactorTable!$A$2:$A$301,0), Skills!M11+1)</f>
        <v/>
      </c>
      <c r="F3665">
        <f>IF(Skills!N11=TRUE,(Skills!L11/10)*(E3665/1000),Skills!L11/10)+Skills!O11</f>
        <v/>
      </c>
      <c r="G3665">
        <f>Skills!G11*IF(Skills!H11&gt;0,IF(Inputs!$B$39="pvp",MIN(Skills!I11,15),Skills!I11)/Skills!H11,1)</f>
        <v/>
      </c>
      <c r="H3665">
        <f>1-(1-Skills!J11/100)^Skills!K11</f>
        <v/>
      </c>
      <c r="I3665" t="inlineStr">
        <is>
          <t>1</t>
        </is>
      </c>
      <c r="J3665" t="inlineStr"/>
      <c r="K3665" t="inlineStr"/>
      <c r="L3665" t="inlineStr"/>
      <c r="M3665" t="inlineStr"/>
      <c r="N3665" t="inlineStr"/>
      <c r="O3665">
        <f>(1-Summary!$B$11)*T3665+Summary!$B$11*V3665</f>
        <v/>
      </c>
      <c r="P3665">
        <f>IF(B3700=0,0,O3665/B3700)</f>
        <v/>
      </c>
      <c r="Q3665">
        <f>IFERROR(1/IF(Inputs!$B$39="pvp",15,MAX(0.1,Skills!D11-IF(TRUE=TRUE,4.0,0))),0)</f>
        <v/>
      </c>
      <c r="R3665">
        <f>IF(AND(Inputs!$B$39&lt;&gt;"pvp",Inputs!$B$44&gt;0),IF(Inputs!$B$44&lt;=0,0,(INT(Inputs!$B$44/IF(Inputs!$B$39="pvp",15,MAX(0.1,Skills!D11-IF(TRUE=TRUE,4.0,0))))+1)),0)</f>
        <v/>
      </c>
      <c r="S3665">
        <f>IFERROR(O3665/N3665,0)</f>
        <v/>
      </c>
      <c r="T3665" t="n">
        <v>0</v>
      </c>
      <c r="V3665" t="n">
        <v>0</v>
      </c>
    </row>
    <row r="3666">
      <c r="A3666">
        <f>Skills!A12</f>
        <v/>
      </c>
      <c r="B3666">
        <f>Skills!B12</f>
        <v/>
      </c>
      <c r="C3666">
        <f>Inputs!$B$3&gt;=103</f>
        <v/>
      </c>
      <c r="D3666">
        <f>IF(Skills!C12=1,60+Inputs!$B$25+Inputs!$B$29,IF(Skills!C12=2,90+Inputs!$B$26+Inputs!$B$29,IF(Skills!C12=3,120+Inputs!$B$27+Inputs!$B$29,MAX(0,(Inputs!$B$3-100)*3)+Inputs!$B$28+Inputs!$B$29)))</f>
        <v/>
      </c>
      <c r="E3666">
        <f>INDEX(FactorTable!$B$2:$Y$301, MATCH(ROUND(MIN(300,MAX(1,D3666)),0), FactorTable!$A$2:$A$301,0), Skills!M12+1)</f>
        <v/>
      </c>
      <c r="F3666">
        <f>(Skills!L12/10)*(E3666/1000)+IF(Inputs!$B$3&gt;=134,50,0)+0.5*(30000/10)*(INDEX(FactorTable!$B$2:$Y$301, MATCH(ROUND(MIN(300,MAX(1,D3666)),0), FactorTable!$A$2:$A$301,0), 13)/1000)*B3698</f>
        <v/>
      </c>
      <c r="G3666">
        <f>Skills!G12*IF(Skills!H12&gt;0,IF(Inputs!$B$39="pvp",MIN(Skills!I12,15),Skills!I12)/Skills!H12,1)</f>
        <v/>
      </c>
      <c r="H3666">
        <f>1-(1-Skills!J12/100)^Skills!K12</f>
        <v/>
      </c>
      <c r="I3666" t="inlineStr">
        <is>
          <t>1</t>
        </is>
      </c>
      <c r="J3666">
        <f>((Inputs!$B$6*(1+Inputs!$B$7/100))+(((Inputs!$B$12*(1+Inputs!$B$13/100))-(Inputs!$B$12*(1+Inputs!$B$13/100)))+0.25*(Inputs!$B$14-Inputs!$B$14))*(1+Inputs!$B$7/100))*(F3666/100)</f>
        <v/>
      </c>
      <c r="K3666">
        <f>J3666*(1+((Inputs!$B$12*(1+Inputs!$B$13/100))*0.01+Inputs!$B$14*0.0025)/100)*(1+Inputs!$B$15/100)*(1+Inputs!$B$16/100)*(5000/(6000+Inputs!$B$43*(1-(100*(1-(1-Inputs!$B$19/100)*(1-CHOOSE(ArtifactsInput!$N$40+1,5,6,7,8,9,10)/100)^(ArtifactsInput!$M$40-ArtifactsInput!$M$40)))/100)))*(1+(Inputs!$B$24+((C3685=TRUE)*(F3685-Calc!F31))+((C3672=TRUE)*(F3672-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12="CRUEL_STAB",Inputs!$B$17+((C3682=TRUE)*(F3682-Calc!F28))+((IF(AND(Inputs!$B$39&lt;&gt;"pvp",Inputs!$B$44=0),1,IF(IF(Inputs!$B$39="pvp",15,Inputs!$B$44)-(B3699)&lt;=0,1,MAX(0,IF(Inputs!$B$39="pvp",15,Inputs!$B$44)-MAX(5,B3699))/(IF(Inputs!$B$39="pvp",15,Inputs!$B$44)-(B3699))))*(IF(AND(ArtifactsInput!$M$42,((Inputs!$B$9+((C3680=TRUE)*(F3680-Calc!F26))+B3688+(ArtifactsInput!$M$24-ArtifactsInput!$M$24)*CHOOSE(ArtifactsInput!$N$24+1,10,12,14,16,18,20)+IF(ArtifactsInput!$M$10,CHOOSE(ArtifactsInput!$N$10+1,15,18,21,24,27,30)*(IF(Inputs!$B$39="pvp",MIN(15,15)/15,IF(AND(Inputs!$B$39&lt;&gt;"pvp",Inputs!$B$44&gt;0),MIN(15,Inputs!$B$44)/(Inputs!$B$44),0))),0)))&gt;=100),MIN(100,((Inputs!$B$9+((C3680=TRUE)*(F3680-Calc!F26))+B3688+(ArtifactsInput!$M$24-ArtifactsInput!$M$24)*CHOOSE(ArtifactsInput!$N$24+1,10,12,14,16,18,20)+IF(ArtifactsInput!$M$10,CHOOSE(ArtifactsInput!$N$10+1,15,18,21,24,27,30)*(IF(Inputs!$B$39="pvp",MIN(15,15)/15,IF(AND(Inputs!$B$39&lt;&gt;"pvp",Inputs!$B$44&gt;0),MIN(15,Inputs!$B$44)/(Inputs!$B$44),0))),0)))-100),0))*CHOOSE(ArtifactsInput!$N$42+1,0.6,0.72,0.84,0.96,1.08,1.2))),Inputs!$B$18+((C3683=TRUE)*(F3683-Calc!F29))+(IF(AND(Inputs!$B$39&lt;&gt;"pvp",Inputs!$B$44=0),1,IF(IF(Inputs!$B$39="pvp",15,Inputs!$B$44)-(B3699)&lt;=0,1,MAX(0,IF(Inputs!$B$39="pvp",15,Inputs!$B$44)-MAX(5,B3699))/(IF(Inputs!$B$39="pvp",15,Inputs!$B$44)-(B3699))))*IF(AND(ArtifactsInput!$M$42,((Inputs!$B$9+((C3680=TRUE)*(F3680-Calc!F26))+B3688+(ArtifactsInput!$M$24-ArtifactsInput!$M$24)*CHOOSE(ArtifactsInput!$N$24+1,10,12,14,16,18,20)+IF(ArtifactsInput!$M$10,CHOOSE(ArtifactsInput!$N$10+1,15,18,21,24,27,30)*(IF(Inputs!$B$39="pvp",MIN(15,15)/15,IF(AND(Inputs!$B$39&lt;&gt;"pvp",Inputs!$B$44&gt;0),MIN(15,Inputs!$B$44)/(Inputs!$B$44),0))),0)))&gt;=100),CHOOSE(ArtifactsInput!$N$42+1,40,48,56,64,72,80),0))))/100)*(((1+(((C3676=TRUE)*F3676*IF(AND(Inputs!$B$39&lt;&gt;"pvp",Inputs!$B$44&gt;0),(((R3676-1)*MIN((Skills!Y22*(1+Inputs!$B$34/100)),(1/Q3676))+MIN((Skills!Y22*(1+Inputs!$B$34/100)),MAX(0,Inputs!$B$44-((R3676-1)*(1/Q3676)))))/Inputs!$B$44),IF(Inputs!$B$39="pvp",MIN((Skills!Y22*(1+Inputs!$B$34/100)),15)/15,MIN(1,(Skills!Y22*(1+Inputs!$B$34/100))/(1/Q3676)))))+((C3657=TRUE)*F3657*3)+((C3659=TRUE)*F3659*(1-EXP(-0.75*B3692*5)))+((C3678=TRUE)*(F3678-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3665=TRUE)*F3665*IF(AND(Inputs!$B$39&lt;&gt;"pvp",Inputs!$B$44&gt;0),(((R3665-1)*MIN((Skills!Y11*(1+Inputs!$B$34/100)),(1/Q3665))+MIN((Skills!Y11*(1+Inputs!$B$34/100)),MAX(0,Inputs!$B$44-((R3665-1)*(1/Q3665)))))/Inputs!$B$44),IF(Inputs!$B$39="pvp",MIN((Skills!Y11*(1+Inputs!$B$34/100)),15)/15,MIN(1,(Skills!Y11*(1+Inputs!$B$34/100))/(1/Q3665)))))/100)*(1+((C3670=TRUE)*F3670*IF(AND(Inputs!$B$39&lt;&gt;"pvp",Inputs!$B$44&gt;0),(((R3670-1)*MIN((Skills!Y16*(1+Inputs!$B$34/100)),(1/Q3670))+MIN((Skills!Y16*(1+Inputs!$B$34/100)),MAX(0,Inputs!$B$44-((R3670-1)*(1/Q3670)))))/Inputs!$B$44),IF(Inputs!$B$39="pvp",MIN((Skills!Y16*(1+Inputs!$B$34/100)),15)/15,MIN(1,(Skills!Y16*(1+Inputs!$B$34/100))/(1/Q3670)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3690*I3666)</f>
        <v/>
      </c>
      <c r="L3666">
        <f>K3666*(MIN(Inputs!$B$22+((C3679=TRUE)*(F3679-Calc!F25)),(Inputs!$B$23+((C3684=TRUE)*(F3684-Calc!F30))+IF(ArtifactsInput!$M$15,CHOOSE(ArtifactsInput!$N$15+1,25,30,35,40,45,50)/100*(Inputs!$B$11-Inputs!$B$11),0)))/100+(Inputs!$B$23+((C3684=TRUE)*(F3684-Calc!F30))+IF(ArtifactsInput!$M$15,CHOOSE(ArtifactsInput!$N$15+1,25,30,35,40,45,50)/100*(Inputs!$B$11-Inputs!$B$11),0))/100)/2</f>
        <v/>
      </c>
      <c r="M3666">
        <f>L3666*(1+(Inputs!$B$10+((C3681=TRUE)*(F3681-Calc!F27))+B3695+(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3666">
        <f>L3666*(1-MIN((Inputs!$B$9+((C3680=TRUE)*(F3680-Calc!F26))+B3688+(ArtifactsInput!$M$24-ArtifactsInput!$M$24)*CHOOSE(ArtifactsInput!$N$24+1,10,12,14,16,18,20)+(IF(AND(Inputs!$B$39&lt;&gt;"pvp",Inputs!$B$44=0),1,IF(IF(Inputs!$B$39="pvp",15,Inputs!$B$44)-(B3699)&lt;=0,1,MAX(0,IF(Inputs!$B$39="pvp",15,Inputs!$B$44)-MAX(5,B3699))/(IF(Inputs!$B$39="pvp",15,Inputs!$B$44)-(B3699))))*IF(AND(ArtifactsInput!$M$42,((Inputs!$B$9+((C3680=TRUE)*(F3680-Calc!F26))+B3688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3666*(MIN((Inputs!$B$9+((C3680=TRUE)*(F3680-Calc!F26))+B3688+(ArtifactsInput!$M$24-ArtifactsInput!$M$24)*CHOOSE(ArtifactsInput!$N$24+1,10,12,14,16,18,20)+(IF(AND(Inputs!$B$39&lt;&gt;"pvp",Inputs!$B$44=0),1,IF(IF(Inputs!$B$39="pvp",15,Inputs!$B$44)-(B3699)&lt;=0,1,MAX(0,IF(Inputs!$B$39="pvp",15,Inputs!$B$44)-MAX(5,B3699))/(IF(Inputs!$B$39="pvp",15,Inputs!$B$44)-(B3699))))*IF(AND(ArtifactsInput!$M$42,((Inputs!$B$9+((C3680=TRUE)*(F3680-Calc!F26))+B3688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3666">
        <f>(1-Summary!$B$11)*T3666+Summary!$B$11*V3666</f>
        <v/>
      </c>
      <c r="P3666">
        <f>IF(B3700=0,0,O3666/B3700)</f>
        <v/>
      </c>
      <c r="Q3666">
        <f>IFERROR(1/IF(Inputs!$B$39="pvp",15,MAX(0.1,Skills!D12-IF(TRUE=TRUE,4.0,0))),0)</f>
        <v/>
      </c>
      <c r="R3666">
        <f>IF(AND(Inputs!$B$39&lt;&gt;"pvp",Inputs!$B$44&gt;0),IF(MAX(0,Inputs!$B$44-B3699)&lt;=0,0,(INT(MAX(0,Inputs!$B$44-B3699)/IF(Inputs!$B$39="pvp",15,MAX(0.1,Skills!D12-IF(TRUE=TRUE,4.0,0))))+1)),0)</f>
        <v/>
      </c>
      <c r="S3666">
        <f>IFERROR(O3666/N3666,0)</f>
        <v/>
      </c>
      <c r="T3666">
        <f>IF(C3666,(H3666*N3666*IF(AND(Inputs!$B$39&lt;&gt;"pvp",Inputs!$B$44&gt;0),((Skills!G12*((R3666-1)*IF(Skills!H12&gt;0,Skills!I12/Skills!H12,1)+IF(Skills!H12&gt;0,MIN(Skills!I12,MAX(0,MAX(0,Inputs!$B$44-B3699)-((R3666-1)*IF(Inputs!$B$39="pvp",15,MAX(0.1,Skills!D12-IF(TRUE=TRUE,4.0,0))))))/Skills!H12,1)))/Inputs!$B$44),G3666*Q3666))*IF(Inputs!$B$39="pvp",1,1+(Inputs!$B$20+0+Skills!P12+B3689+(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Hunt"),CHOOSE(ArtifactsInput!$N$35+1,15,18,21,24,27,30)*(1-EXP(-(0.2*B3692)*5)),0)+IF(AND(ArtifactsInput!$M$22,Inputs!$B$4&lt;&gt;"Chapter Hunt"),CHOOSE(ArtifactsInput!$N$22+1,10,12,14,16,18,20)*((0*(((0.15*B3692*5))^0/1)+1*(((0.15*B3692*5))^1/1)+2*(((0.15*B3692*5))^2/2)+3*(((0.15*B3692*5))^3/6)+4*(((0.15*B3692*5))^4/24)+5*(((0.15*B3692*5))^5/120))/((((0.15*B3692*5))^0/1)+(((0.15*B3692*5))^1/1)+(((0.15*B3692*5))^2/2)+(((0.15*B3692*5))^3/6)+(((0.15*B3692*5))^4/24)+(((0.15*B3692*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3666*(1-MIN(100,(Inputs!$B$9+((C3680=TRUE)*(F3680-Calc!F26))+B3688+(ArtifactsInput!$M$24-ArtifactsInput!$M$24)*CHOOSE(ArtifactsInput!$N$24+1,10,12,14,16,18,20)+(IF(AND(Inputs!$B$39&lt;&gt;"pvp",Inputs!$B$44=0),1,IF(IF(Inputs!$B$39="pvp",15,Inputs!$B$44)-(B3699)&lt;=0,1,MAX(0,IF(Inputs!$B$39="pvp",15,Inputs!$B$44)-MAX(5,B3699))/(IF(Inputs!$B$39="pvp",15,Inputs!$B$44)-(B3699))))*IF(AND(ArtifactsInput!$M$42,((Inputs!$B$9+((C3680=TRUE)*(F3680-Calc!F26))+B3688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3666*(MIN(100,(Inputs!$B$9+((C3680=TRUE)*(F3680-Calc!F26))+B3688+(ArtifactsInput!$M$24-ArtifactsInput!$M$24)*CHOOSE(ArtifactsInput!$N$24+1,10,12,14,16,18,20)+(IF(AND(Inputs!$B$39&lt;&gt;"pvp",Inputs!$B$44=0),1,IF(IF(Inputs!$B$39="pvp",15,Inputs!$B$44)-(B3699)&lt;=0,1,MAX(0,IF(Inputs!$B$39="pvp",15,Inputs!$B$44)-MAX(5,B3699))/(IF(Inputs!$B$39="pvp",15,Inputs!$B$44)-(B3699))))*IF(AND(ArtifactsInput!$M$42,((Inputs!$B$9+((C3680=TRUE)*(F3680-Calc!F26))+B3688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3666*(1-MIN(100,(Inputs!$B$9+((C3680=TRUE)*(F3680-Calc!F26))+B3688+(ArtifactsInput!$M$24-ArtifactsInput!$M$24)*CHOOSE(ArtifactsInput!$N$24+1,10,12,14,16,18,20)+(IF(AND(Inputs!$B$39&lt;&gt;"pvp",Inputs!$B$44=0),1,IF(IF(Inputs!$B$39="pvp",15,Inputs!$B$44)-(B3699)&lt;=0,1,MAX(0,IF(Inputs!$B$39="pvp",15,Inputs!$B$44)-MAX(5,B3699))/(IF(Inputs!$B$39="pvp",15,Inputs!$B$44)-(B3699))))*IF(AND(ArtifactsInput!$M$42,((Inputs!$B$9+((C3680=TRUE)*(F3680-Calc!F26))+B3688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3666*(MIN(100,(Inputs!$B$9+((C3680=TRUE)*(F3680-Calc!F26))+B3688+(ArtifactsInput!$M$24-ArtifactsInput!$M$24)*CHOOSE(ArtifactsInput!$N$24+1,10,12,14,16,18,20)+(IF(AND(Inputs!$B$39&lt;&gt;"pvp",Inputs!$B$44=0),1,IF(IF(Inputs!$B$39="pvp",15,Inputs!$B$44)-(B3699)&lt;=0,1,MAX(0,IF(Inputs!$B$39="pvp",15,Inputs!$B$44)-MAX(5,B3699))/(IF(Inputs!$B$39="pvp",15,Inputs!$B$44)-(B3699))))*IF(AND(ArtifactsInput!$M$42,((Inputs!$B$9+((C3680=TRUE)*(F3680-Calc!F26))+B3688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3666">
        <f>IF(C3666,(H3666*N3666*IF(AND(Inputs!$B$39&lt;&gt;"pvp",Inputs!$B$44&gt;0),((Skills!G12*((R3666-1)*IF(Skills!H12&gt;0,Skills!I12/Skills!H12,1)+IF(Skills!H12&gt;0,MIN(Skills!I12,MAX(0,MAX(0,Inputs!$B$44-B3699)-((R3666-1)*IF(Inputs!$B$39="pvp",15,MAX(0.1,Skills!D12-IF(TRUE=TRUE,4.0,0))))))/Skills!H12,1)))/Inputs!$B$44),G3666*Q3666))*IF(Inputs!$B$39="pvp",1,(1+(Inputs!$B$21+Skills!Q12+B3689+(IF(ArtifactsInput!$M$33,CHOOSE(ArtifactsInput!$N$33+1,30,36,42,48,54,60),0))+(IF(AND(ArtifactsInput!$M$35,Inputs!$B$4&lt;&gt;"Chapter Hunt"),CHOOSE(ArtifactsInput!$N$35+1,15,18,21,24,27,30)*(1-EXP(-(0.2*B3692)*5)),0)+IF(AND(ArtifactsInput!$M$22,Inputs!$B$4&lt;&gt;"Chapter Hunt"),CHOOSE(ArtifactsInput!$N$22+1,10,12,14,16,18,20)*((0*(((0.15*B3692*5))^0/1)+1*(((0.15*B3692*5))^1/1)+2*(((0.15*B3692*5))^2/2)+3*(((0.15*B3692*5))^3/6)+4*(((0.15*B3692*5))^4/24)+5*(((0.15*B3692*5))^5/120))/((((0.15*B3692*5))^0/1)+(((0.15*B3692*5))^1/1)+(((0.15*B3692*5))^2/2)+(((0.15*B3692*5))^3/6)+(((0.15*B3692*5))^4/24)+(((0.15*B3692*5))^5/120))),0)))/100)*(MIN(Skills!W12,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3667">
      <c r="A3667">
        <f>Skills!A13</f>
        <v/>
      </c>
      <c r="B3667">
        <f>Skills!B13</f>
        <v/>
      </c>
      <c r="C3667">
        <f>Inputs!$B$3&gt;=105</f>
        <v/>
      </c>
      <c r="D3667">
        <f>IF(Skills!C13=1,60+Inputs!$B$25+Inputs!$B$29,IF(Skills!C13=2,90+Inputs!$B$26+Inputs!$B$29,IF(Skills!C13=3,120+Inputs!$B$27+Inputs!$B$29,MAX(0,(Inputs!$B$3-100)*3)+Inputs!$B$28+Inputs!$B$29)))</f>
        <v/>
      </c>
      <c r="E3667">
        <f>INDEX(FactorTable!$B$2:$Y$301, MATCH(ROUND(MIN(300,MAX(1,D3667)),0), FactorTable!$A$2:$A$301,0), Skills!M13+1)</f>
        <v/>
      </c>
      <c r="F3667">
        <f>IF(Skills!N13=TRUE,(Skills!L13/10)*(E3667/1000),Skills!L13/10)+Skills!O13</f>
        <v/>
      </c>
      <c r="G3667">
        <f>Skills!G13*IF(Skills!H13&gt;0,IF(Inputs!$B$39="pvp",MIN(Skills!I13,15),Skills!I13)/Skills!H13,1)</f>
        <v/>
      </c>
      <c r="H3667">
        <f>1-(1-Skills!J13/100)^Skills!K13</f>
        <v/>
      </c>
      <c r="I3667" t="inlineStr">
        <is>
          <t>1</t>
        </is>
      </c>
      <c r="J3667">
        <f>((Inputs!$B$6*(1+Inputs!$B$7/100))+(((Inputs!$B$12*(1+Inputs!$B$13/100))-(Inputs!$B$12*(1+Inputs!$B$13/100)))+0.25*(Inputs!$B$14-Inputs!$B$14))*(1+Inputs!$B$7/100))*(F3667/100)</f>
        <v/>
      </c>
      <c r="K3667">
        <f>J3667*(1+((Inputs!$B$12*(1+Inputs!$B$13/100))*0.01+Inputs!$B$14*0.0025)/100)*(1+Inputs!$B$15/100)*(1+Inputs!$B$16/100)*(5000/(6000+Inputs!$B$43*(1-(100*(1-(1-Inputs!$B$19/100)*(1-CHOOSE(ArtifactsInput!$N$40+1,5,6,7,8,9,10)/100)^(ArtifactsInput!$M$40-ArtifactsInput!$M$40)))/100)))*(1+(Inputs!$B$24+((C3685=TRUE)*(F3685-Calc!F31))+((C3672=TRUE)*(F3672-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13="CRUEL_STAB",Inputs!$B$17+((C3682=TRUE)*(F3682-Calc!F28))+((IF(AND(Inputs!$B$39&lt;&gt;"pvp",Inputs!$B$44=0),1,IF(IF(Inputs!$B$39="pvp",15,Inputs!$B$44)-(B3699)&lt;=0,1,MAX(0,IF(Inputs!$B$39="pvp",15,Inputs!$B$44)-MAX(5,B3699))/(IF(Inputs!$B$39="pvp",15,Inputs!$B$44)-(B3699))))*(IF(AND(ArtifactsInput!$M$42,((Inputs!$B$9+((C3680=TRUE)*(F3680-Calc!F26))+B3688+(ArtifactsInput!$M$24-ArtifactsInput!$M$24)*CHOOSE(ArtifactsInput!$N$24+1,10,12,14,16,18,20)+IF(ArtifactsInput!$M$10,CHOOSE(ArtifactsInput!$N$10+1,15,18,21,24,27,30)*(IF(Inputs!$B$39="pvp",MIN(15,15)/15,IF(AND(Inputs!$B$39&lt;&gt;"pvp",Inputs!$B$44&gt;0),MIN(15,Inputs!$B$44)/(Inputs!$B$44),0))),0)))&gt;=100),MIN(100,((Inputs!$B$9+((C3680=TRUE)*(F3680-Calc!F26))+B3688+(ArtifactsInput!$M$24-ArtifactsInput!$M$24)*CHOOSE(ArtifactsInput!$N$24+1,10,12,14,16,18,20)+IF(ArtifactsInput!$M$10,CHOOSE(ArtifactsInput!$N$10+1,15,18,21,24,27,30)*(IF(Inputs!$B$39="pvp",MIN(15,15)/15,IF(AND(Inputs!$B$39&lt;&gt;"pvp",Inputs!$B$44&gt;0),MIN(15,Inputs!$B$44)/(Inputs!$B$44),0))),0)))-100),0))*CHOOSE(ArtifactsInput!$N$42+1,0.6,0.72,0.84,0.96,1.08,1.2))),Inputs!$B$18+((C3683=TRUE)*(F3683-Calc!F29))+(IF(AND(Inputs!$B$39&lt;&gt;"pvp",Inputs!$B$44=0),1,IF(IF(Inputs!$B$39="pvp",15,Inputs!$B$44)-(B3699)&lt;=0,1,MAX(0,IF(Inputs!$B$39="pvp",15,Inputs!$B$44)-MAX(5,B3699))/(IF(Inputs!$B$39="pvp",15,Inputs!$B$44)-(B3699))))*IF(AND(ArtifactsInput!$M$42,((Inputs!$B$9+((C3680=TRUE)*(F3680-Calc!F26))+B3688+(ArtifactsInput!$M$24-ArtifactsInput!$M$24)*CHOOSE(ArtifactsInput!$N$24+1,10,12,14,16,18,20)+IF(ArtifactsInput!$M$10,CHOOSE(ArtifactsInput!$N$10+1,15,18,21,24,27,30)*(IF(Inputs!$B$39="pvp",MIN(15,15)/15,IF(AND(Inputs!$B$39&lt;&gt;"pvp",Inputs!$B$44&gt;0),MIN(15,Inputs!$B$44)/(Inputs!$B$44),0))),0)))&gt;=100),CHOOSE(ArtifactsInput!$N$42+1,40,48,56,64,72,80),0))))/100)*(((1+(((C3676=TRUE)*F3676*IF(AND(Inputs!$B$39&lt;&gt;"pvp",Inputs!$B$44&gt;0),(((R3676-1)*MIN((Skills!Y22*(1+Inputs!$B$34/100)),(1/Q3676))+MIN((Skills!Y22*(1+Inputs!$B$34/100)),MAX(0,Inputs!$B$44-((R3676-1)*(1/Q3676)))))/Inputs!$B$44),IF(Inputs!$B$39="pvp",MIN((Skills!Y22*(1+Inputs!$B$34/100)),15)/15,MIN(1,(Skills!Y22*(1+Inputs!$B$34/100))/(1/Q3676)))))+((C3657=TRUE)*F3657*3)+((C3659=TRUE)*F3659*(1-EXP(-0.75*B3692*5)))+((C3678=TRUE)*(F3678-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3665=TRUE)*F3665*IF(AND(Inputs!$B$39&lt;&gt;"pvp",Inputs!$B$44&gt;0),(((R3665-1)*MIN((Skills!Y11*(1+Inputs!$B$34/100)),(1/Q3665))+MIN((Skills!Y11*(1+Inputs!$B$34/100)),MAX(0,Inputs!$B$44-((R3665-1)*(1/Q3665)))))/Inputs!$B$44),IF(Inputs!$B$39="pvp",MIN((Skills!Y11*(1+Inputs!$B$34/100)),15)/15,MIN(1,(Skills!Y11*(1+Inputs!$B$34/100))/(1/Q3665)))))/100)*(1+((C3670=TRUE)*F3670*IF(AND(Inputs!$B$39&lt;&gt;"pvp",Inputs!$B$44&gt;0),(((R3670-1)*MIN((Skills!Y16*(1+Inputs!$B$34/100)),(1/Q3670))+MIN((Skills!Y16*(1+Inputs!$B$34/100)),MAX(0,Inputs!$B$44-((R3670-1)*(1/Q3670)))))/Inputs!$B$44),IF(Inputs!$B$39="pvp",MIN((Skills!Y16*(1+Inputs!$B$34/100)),15)/15,MIN(1,(Skills!Y16*(1+Inputs!$B$34/100))/(1/Q3670)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3690*I3667)</f>
        <v/>
      </c>
      <c r="L3667">
        <f>K3667*(MIN(Inputs!$B$22+((C3679=TRUE)*(F3679-Calc!F25)),(Inputs!$B$23+((C3684=TRUE)*(F3684-Calc!F30))+IF(ArtifactsInput!$M$15,CHOOSE(ArtifactsInput!$N$15+1,25,30,35,40,45,50)/100*(Inputs!$B$11-Inputs!$B$11),0)))/100+(Inputs!$B$23+((C3684=TRUE)*(F3684-Calc!F30))+IF(ArtifactsInput!$M$15,CHOOSE(ArtifactsInput!$N$15+1,25,30,35,40,45,50)/100*(Inputs!$B$11-Inputs!$B$11),0))/100)/2</f>
        <v/>
      </c>
      <c r="M3667">
        <f>L3667*(1+(Inputs!$B$10+((C3681=TRUE)*(F3681-Calc!F27))+B3695+(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3667">
        <f>L3667*(1-MIN((Inputs!$B$9+((C3680=TRUE)*(F3680-Calc!F26))+B3688+(ArtifactsInput!$M$24-ArtifactsInput!$M$24)*CHOOSE(ArtifactsInput!$N$24+1,10,12,14,16,18,20)+(IF(AND(Inputs!$B$39&lt;&gt;"pvp",Inputs!$B$44=0),1,IF(IF(Inputs!$B$39="pvp",15,Inputs!$B$44)-(B3699)&lt;=0,1,MAX(0,IF(Inputs!$B$39="pvp",15,Inputs!$B$44)-MAX(5,B3699))/(IF(Inputs!$B$39="pvp",15,Inputs!$B$44)-(B3699))))*IF(AND(ArtifactsInput!$M$42,((Inputs!$B$9+((C3680=TRUE)*(F3680-Calc!F26))+B3688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3667*(MIN((Inputs!$B$9+((C3680=TRUE)*(F3680-Calc!F26))+B3688+(ArtifactsInput!$M$24-ArtifactsInput!$M$24)*CHOOSE(ArtifactsInput!$N$24+1,10,12,14,16,18,20)+(IF(AND(Inputs!$B$39&lt;&gt;"pvp",Inputs!$B$44=0),1,IF(IF(Inputs!$B$39="pvp",15,Inputs!$B$44)-(B3699)&lt;=0,1,MAX(0,IF(Inputs!$B$39="pvp",15,Inputs!$B$44)-MAX(5,B3699))/(IF(Inputs!$B$39="pvp",15,Inputs!$B$44)-(B3699))))*IF(AND(ArtifactsInput!$M$42,((Inputs!$B$9+((C3680=TRUE)*(F3680-Calc!F26))+B3688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3667">
        <f>(1-Summary!$B$11)*T3667+Summary!$B$11*V3667</f>
        <v/>
      </c>
      <c r="P3667">
        <f>IF(B3700=0,0,O3667/B3700)</f>
        <v/>
      </c>
      <c r="Q3667">
        <f>IFERROR(1/IF(Inputs!$B$39="pvp",15,MAX(0.1,Skills!D13-IF(TRUE=TRUE,4.0,0))),0)</f>
        <v/>
      </c>
      <c r="R3667">
        <f>IF(AND(Inputs!$B$39&lt;&gt;"pvp",Inputs!$B$44&gt;0),IF(MAX(0,Inputs!$B$44-B3699)&lt;=0,0,(INT(MAX(0,Inputs!$B$44-B3699)/IF(Inputs!$B$39="pvp",15,MAX(0.1,Skills!D13-IF(TRUE=TRUE,4.0,0))))+1)),0)</f>
        <v/>
      </c>
      <c r="S3667">
        <f>IFERROR(O3667/N3667,0)</f>
        <v/>
      </c>
      <c r="T3667">
        <f>IF(C3667,(H3667*N3667*IF(AND(Inputs!$B$39&lt;&gt;"pvp",Inputs!$B$44&gt;0),((Skills!G13*((R3667-1)*IF(Skills!H13&gt;0,Skills!I13/Skills!H13,1)+IF(Skills!H13&gt;0,MIN(Skills!I13,MAX(0,MAX(0,Inputs!$B$44-B3699)-((R3667-1)*IF(Inputs!$B$39="pvp",15,MAX(0.1,Skills!D13-IF(TRUE=TRUE,4.0,0))))))/Skills!H13,1)))/Inputs!$B$44),G3667*Q3667))*IF(Inputs!$B$39="pvp",1,1+(Inputs!$B$20+0+Skills!P13+B3689+(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Hunt"),CHOOSE(ArtifactsInput!$N$35+1,15,18,21,24,27,30)*(1-EXP(-(0.2*B3692)*5)),0)+IF(AND(ArtifactsInput!$M$22,Inputs!$B$4&lt;&gt;"Chapter Hunt"),CHOOSE(ArtifactsInput!$N$22+1,10,12,14,16,18,20)*((0*(((0.15*B3692*5))^0/1)+1*(((0.15*B3692*5))^1/1)+2*(((0.15*B3692*5))^2/2)+3*(((0.15*B3692*5))^3/6)+4*(((0.15*B3692*5))^4/24)+5*(((0.15*B3692*5))^5/120))/((((0.15*B3692*5))^0/1)+(((0.15*B3692*5))^1/1)+(((0.15*B3692*5))^2/2)+(((0.15*B3692*5))^3/6)+(((0.15*B3692*5))^4/24)+(((0.15*B3692*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3667*(1-MIN(100,(Inputs!$B$9+((C3680=TRUE)*(F3680-Calc!F26))+B3688+(ArtifactsInput!$M$24-ArtifactsInput!$M$24)*CHOOSE(ArtifactsInput!$N$24+1,10,12,14,16,18,20)+(IF(AND(Inputs!$B$39&lt;&gt;"pvp",Inputs!$B$44=0),1,IF(IF(Inputs!$B$39="pvp",15,Inputs!$B$44)-(B3699)&lt;=0,1,MAX(0,IF(Inputs!$B$39="pvp",15,Inputs!$B$44)-MAX(5,B3699))/(IF(Inputs!$B$39="pvp",15,Inputs!$B$44)-(B3699))))*IF(AND(ArtifactsInput!$M$42,((Inputs!$B$9+((C3680=TRUE)*(F3680-Calc!F26))+B3688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3667*(MIN(100,(Inputs!$B$9+((C3680=TRUE)*(F3680-Calc!F26))+B3688+(ArtifactsInput!$M$24-ArtifactsInput!$M$24)*CHOOSE(ArtifactsInput!$N$24+1,10,12,14,16,18,20)+(IF(AND(Inputs!$B$39&lt;&gt;"pvp",Inputs!$B$44=0),1,IF(IF(Inputs!$B$39="pvp",15,Inputs!$B$44)-(B3699)&lt;=0,1,MAX(0,IF(Inputs!$B$39="pvp",15,Inputs!$B$44)-MAX(5,B3699))/(IF(Inputs!$B$39="pvp",15,Inputs!$B$44)-(B3699))))*IF(AND(ArtifactsInput!$M$42,((Inputs!$B$9+((C3680=TRUE)*(F3680-Calc!F26))+B3688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3667*(1-MIN(100,(Inputs!$B$9+((C3680=TRUE)*(F3680-Calc!F26))+B3688+(ArtifactsInput!$M$24-ArtifactsInput!$M$24)*CHOOSE(ArtifactsInput!$N$24+1,10,12,14,16,18,20)+(IF(AND(Inputs!$B$39&lt;&gt;"pvp",Inputs!$B$44=0),1,IF(IF(Inputs!$B$39="pvp",15,Inputs!$B$44)-(B3699)&lt;=0,1,MAX(0,IF(Inputs!$B$39="pvp",15,Inputs!$B$44)-MAX(5,B3699))/(IF(Inputs!$B$39="pvp",15,Inputs!$B$44)-(B3699))))*IF(AND(ArtifactsInput!$M$42,((Inputs!$B$9+((C3680=TRUE)*(F3680-Calc!F26))+B3688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3667*(MIN(100,(Inputs!$B$9+((C3680=TRUE)*(F3680-Calc!F26))+B3688+(ArtifactsInput!$M$24-ArtifactsInput!$M$24)*CHOOSE(ArtifactsInput!$N$24+1,10,12,14,16,18,20)+(IF(AND(Inputs!$B$39&lt;&gt;"pvp",Inputs!$B$44=0),1,IF(IF(Inputs!$B$39="pvp",15,Inputs!$B$44)-(B3699)&lt;=0,1,MAX(0,IF(Inputs!$B$39="pvp",15,Inputs!$B$44)-MAX(5,B3699))/(IF(Inputs!$B$39="pvp",15,Inputs!$B$44)-(B3699))))*IF(AND(ArtifactsInput!$M$42,((Inputs!$B$9+((C3680=TRUE)*(F3680-Calc!F26))+B3688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3667">
        <f>IF(C3667,(H3667*N3667*IF(AND(Inputs!$B$39&lt;&gt;"pvp",Inputs!$B$44&gt;0),((Skills!G13*((R3667-1)*IF(Skills!H13&gt;0,Skills!I13/Skills!H13,1)+IF(Skills!H13&gt;0,MIN(Skills!I13,MAX(0,MAX(0,Inputs!$B$44-B3699)-((R3667-1)*IF(Inputs!$B$39="pvp",15,MAX(0.1,Skills!D13-IF(TRUE=TRUE,4.0,0))))))/Skills!H13,1)))/Inputs!$B$44),G3667*Q3667))*IF(Inputs!$B$39="pvp",1,(1+(Inputs!$B$21+Skills!Q13+B3689+(IF(ArtifactsInput!$M$33,CHOOSE(ArtifactsInput!$N$33+1,30,36,42,48,54,60),0))+(IF(AND(ArtifactsInput!$M$35,Inputs!$B$4&lt;&gt;"Chapter Hunt"),CHOOSE(ArtifactsInput!$N$35+1,15,18,21,24,27,30)*(1-EXP(-(0.2*B3692)*5)),0)+IF(AND(ArtifactsInput!$M$22,Inputs!$B$4&lt;&gt;"Chapter Hunt"),CHOOSE(ArtifactsInput!$N$22+1,10,12,14,16,18,20)*((0*(((0.15*B3692*5))^0/1)+1*(((0.15*B3692*5))^1/1)+2*(((0.15*B3692*5))^2/2)+3*(((0.15*B3692*5))^3/6)+4*(((0.15*B3692*5))^4/24)+5*(((0.15*B3692*5))^5/120))/((((0.15*B3692*5))^0/1)+(((0.15*B3692*5))^1/1)+(((0.15*B3692*5))^2/2)+(((0.15*B3692*5))^3/6)+(((0.15*B3692*5))^4/24)+(((0.15*B3692*5))^5/120))),0)))/100)*(MIN(Skills!W13,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3668">
      <c r="A3668">
        <f>Skills!A14</f>
        <v/>
      </c>
      <c r="B3668">
        <f>Skills!B14</f>
        <v/>
      </c>
      <c r="C3668">
        <f>Inputs!$B$3&gt;=105</f>
        <v/>
      </c>
      <c r="D3668">
        <f>IF(Skills!C14=1,60+Inputs!$B$25+Inputs!$B$29,IF(Skills!C14=2,90+Inputs!$B$26+Inputs!$B$29,IF(Skills!C14=3,120+Inputs!$B$27+Inputs!$B$29,MAX(0,(Inputs!$B$3-100)*3)+Inputs!$B$28+Inputs!$B$29)))</f>
        <v/>
      </c>
      <c r="E3668">
        <f>INDEX(FactorTable!$B$2:$Y$301, MATCH(ROUND(MIN(300,MAX(1,D3668)),0), FactorTable!$A$2:$A$301,0), Skills!M14+1)</f>
        <v/>
      </c>
      <c r="F3668">
        <f>IF(Skills!N14=TRUE,(Skills!L14/10)*(E3668/1000),Skills!L14/10)+Skills!O14</f>
        <v/>
      </c>
      <c r="G3668">
        <f>Skills!G14*IF(Skills!H14&gt;0,IF(Inputs!$B$39="pvp",MIN(Skills!I14,15),Skills!I14)/Skills!H14,1)</f>
        <v/>
      </c>
      <c r="H3668">
        <f>1-(1-Skills!J14/100)^Skills!K14</f>
        <v/>
      </c>
      <c r="I3668" t="inlineStr">
        <is>
          <t>1</t>
        </is>
      </c>
      <c r="J3668">
        <f>((Inputs!$B$6*(1+Inputs!$B$7/100))+(((Inputs!$B$12*(1+Inputs!$B$13/100))-(Inputs!$B$12*(1+Inputs!$B$13/100)))+0.25*(Inputs!$B$14-Inputs!$B$14))*(1+Inputs!$B$7/100))*(F3668/100)</f>
        <v/>
      </c>
      <c r="K3668">
        <f>J3668*(1+((Inputs!$B$12*(1+Inputs!$B$13/100))*0.01+Inputs!$B$14*0.0025)/100)*(1+Inputs!$B$15/100)*(1+Inputs!$B$16/100)*(5000/(6000+Inputs!$B$43*(1-(100*(1-(1-Inputs!$B$19/100)*(1-CHOOSE(ArtifactsInput!$N$40+1,5,6,7,8,9,10)/100)^(ArtifactsInput!$M$40-ArtifactsInput!$M$40)))/100)))*(1+(Inputs!$B$24+((C3685=TRUE)*(F3685-Calc!F31))+((C3672=TRUE)*(F3672-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14="CRUEL_STAB",Inputs!$B$17+((C3682=TRUE)*(F3682-Calc!F28))+((IF(AND(Inputs!$B$39&lt;&gt;"pvp",Inputs!$B$44=0),1,IF(IF(Inputs!$B$39="pvp",15,Inputs!$B$44)-(B3699)&lt;=0,1,MAX(0,IF(Inputs!$B$39="pvp",15,Inputs!$B$44)-MAX(5,B3699))/(IF(Inputs!$B$39="pvp",15,Inputs!$B$44)-(B3699))))*(IF(AND(ArtifactsInput!$M$42,((Inputs!$B$9+((C3680=TRUE)*(F3680-Calc!F26))+B3688+(ArtifactsInput!$M$24-ArtifactsInput!$M$24)*CHOOSE(ArtifactsInput!$N$24+1,10,12,14,16,18,20)+IF(ArtifactsInput!$M$10,CHOOSE(ArtifactsInput!$N$10+1,15,18,21,24,27,30)*(IF(Inputs!$B$39="pvp",MIN(15,15)/15,IF(AND(Inputs!$B$39&lt;&gt;"pvp",Inputs!$B$44&gt;0),MIN(15,Inputs!$B$44)/(Inputs!$B$44),0))),0)))&gt;=100),MIN(100,((Inputs!$B$9+((C3680=TRUE)*(F3680-Calc!F26))+B3688+(ArtifactsInput!$M$24-ArtifactsInput!$M$24)*CHOOSE(ArtifactsInput!$N$24+1,10,12,14,16,18,20)+IF(ArtifactsInput!$M$10,CHOOSE(ArtifactsInput!$N$10+1,15,18,21,24,27,30)*(IF(Inputs!$B$39="pvp",MIN(15,15)/15,IF(AND(Inputs!$B$39&lt;&gt;"pvp",Inputs!$B$44&gt;0),MIN(15,Inputs!$B$44)/(Inputs!$B$44),0))),0)))-100),0))*CHOOSE(ArtifactsInput!$N$42+1,0.6,0.72,0.84,0.96,1.08,1.2))),Inputs!$B$18+((C3683=TRUE)*(F3683-Calc!F29))+(IF(AND(Inputs!$B$39&lt;&gt;"pvp",Inputs!$B$44=0),1,IF(IF(Inputs!$B$39="pvp",15,Inputs!$B$44)-(B3699)&lt;=0,1,MAX(0,IF(Inputs!$B$39="pvp",15,Inputs!$B$44)-MAX(5,B3699))/(IF(Inputs!$B$39="pvp",15,Inputs!$B$44)-(B3699))))*IF(AND(ArtifactsInput!$M$42,((Inputs!$B$9+((C3680=TRUE)*(F3680-Calc!F26))+B3688+(ArtifactsInput!$M$24-ArtifactsInput!$M$24)*CHOOSE(ArtifactsInput!$N$24+1,10,12,14,16,18,20)+IF(ArtifactsInput!$M$10,CHOOSE(ArtifactsInput!$N$10+1,15,18,21,24,27,30)*(IF(Inputs!$B$39="pvp",MIN(15,15)/15,IF(AND(Inputs!$B$39&lt;&gt;"pvp",Inputs!$B$44&gt;0),MIN(15,Inputs!$B$44)/(Inputs!$B$44),0))),0)))&gt;=100),CHOOSE(ArtifactsInput!$N$42+1,40,48,56,64,72,80),0))))/100)*(((1+(((C3676=TRUE)*F3676*IF(AND(Inputs!$B$39&lt;&gt;"pvp",Inputs!$B$44&gt;0),(((R3676-1)*MIN((Skills!Y22*(1+Inputs!$B$34/100)),(1/Q3676))+MIN((Skills!Y22*(1+Inputs!$B$34/100)),MAX(0,Inputs!$B$44-((R3676-1)*(1/Q3676)))))/Inputs!$B$44),IF(Inputs!$B$39="pvp",MIN((Skills!Y22*(1+Inputs!$B$34/100)),15)/15,MIN(1,(Skills!Y22*(1+Inputs!$B$34/100))/(1/Q3676)))))+((C3657=TRUE)*F3657*3)+((C3659=TRUE)*F3659*(1-EXP(-0.75*B3692*5)))+((C3678=TRUE)*(F3678-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3665=TRUE)*F3665*IF(AND(Inputs!$B$39&lt;&gt;"pvp",Inputs!$B$44&gt;0),(((R3665-1)*MIN((Skills!Y11*(1+Inputs!$B$34/100)),(1/Q3665))+MIN((Skills!Y11*(1+Inputs!$B$34/100)),MAX(0,Inputs!$B$44-((R3665-1)*(1/Q3665)))))/Inputs!$B$44),IF(Inputs!$B$39="pvp",MIN((Skills!Y11*(1+Inputs!$B$34/100)),15)/15,MIN(1,(Skills!Y11*(1+Inputs!$B$34/100))/(1/Q3665)))))/100)*(1+((C3670=TRUE)*F3670*IF(AND(Inputs!$B$39&lt;&gt;"pvp",Inputs!$B$44&gt;0),(((R3670-1)*MIN((Skills!Y16*(1+Inputs!$B$34/100)),(1/Q3670))+MIN((Skills!Y16*(1+Inputs!$B$34/100)),MAX(0,Inputs!$B$44-((R3670-1)*(1/Q3670)))))/Inputs!$B$44),IF(Inputs!$B$39="pvp",MIN((Skills!Y16*(1+Inputs!$B$34/100)),15)/15,MIN(1,(Skills!Y16*(1+Inputs!$B$34/100))/(1/Q3670)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3690*I3668)</f>
        <v/>
      </c>
      <c r="L3668">
        <f>K3668*(MIN(Inputs!$B$22+((C3679=TRUE)*(F3679-Calc!F25)),(Inputs!$B$23+((C3684=TRUE)*(F3684-Calc!F30))+IF(ArtifactsInput!$M$15,CHOOSE(ArtifactsInput!$N$15+1,25,30,35,40,45,50)/100*(Inputs!$B$11-Inputs!$B$11),0)))/100+(Inputs!$B$23+((C3684=TRUE)*(F3684-Calc!F30))+IF(ArtifactsInput!$M$15,CHOOSE(ArtifactsInput!$N$15+1,25,30,35,40,45,50)/100*(Inputs!$B$11-Inputs!$B$11),0))/100)/2</f>
        <v/>
      </c>
      <c r="M3668">
        <f>L3668*(1+(Inputs!$B$10+((C3681=TRUE)*(F3681-Calc!F27))+B3695+(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3668">
        <f>L3668*(1-MIN((Inputs!$B$9+((C3680=TRUE)*(F3680-Calc!F26))+B3688+(ArtifactsInput!$M$24-ArtifactsInput!$M$24)*CHOOSE(ArtifactsInput!$N$24+1,10,12,14,16,18,20)+(IF(AND(Inputs!$B$39&lt;&gt;"pvp",Inputs!$B$44=0),1,IF(IF(Inputs!$B$39="pvp",15,Inputs!$B$44)-(B3699)&lt;=0,1,MAX(0,IF(Inputs!$B$39="pvp",15,Inputs!$B$44)-MAX(5,B3699))/(IF(Inputs!$B$39="pvp",15,Inputs!$B$44)-(B3699))))*IF(AND(ArtifactsInput!$M$42,((Inputs!$B$9+((C3680=TRUE)*(F3680-Calc!F26))+B3688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3668*(MIN((Inputs!$B$9+((C3680=TRUE)*(F3680-Calc!F26))+B3688+(ArtifactsInput!$M$24-ArtifactsInput!$M$24)*CHOOSE(ArtifactsInput!$N$24+1,10,12,14,16,18,20)+(IF(AND(Inputs!$B$39&lt;&gt;"pvp",Inputs!$B$44=0),1,IF(IF(Inputs!$B$39="pvp",15,Inputs!$B$44)-(B3699)&lt;=0,1,MAX(0,IF(Inputs!$B$39="pvp",15,Inputs!$B$44)-MAX(5,B3699))/(IF(Inputs!$B$39="pvp",15,Inputs!$B$44)-(B3699))))*IF(AND(ArtifactsInput!$M$42,((Inputs!$B$9+((C3680=TRUE)*(F3680-Calc!F26))+B3688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3668">
        <f>(1-Summary!$B$11)*T3668+Summary!$B$11*V3668</f>
        <v/>
      </c>
      <c r="P3668">
        <f>IF(B3700=0,0,O3668/B3700)</f>
        <v/>
      </c>
      <c r="Q3668">
        <f>IFERROR(1/IF(Inputs!$B$39="pvp",15,MAX(0.1,Skills!D14-IF(TRUE=TRUE,4.0,0))),0)</f>
        <v/>
      </c>
      <c r="R3668">
        <f>IF(AND(Inputs!$B$39&lt;&gt;"pvp",Inputs!$B$44&gt;0),IF(MAX(0,Inputs!$B$44-B3699)&lt;=0,0,(INT(MAX(0,Inputs!$B$44-B3699)/IF(Inputs!$B$39="pvp",15,MAX(0.1,Skills!D14-IF(TRUE=TRUE,4.0,0))))+1)),0)</f>
        <v/>
      </c>
      <c r="S3668">
        <f>IFERROR(O3668/N3668,0)</f>
        <v/>
      </c>
      <c r="T3668">
        <f>IF(C3668,(H3668*N3668*IF(AND(Inputs!$B$39&lt;&gt;"pvp",Inputs!$B$44&gt;0),((Skills!G14*((R3668-1)*IF(Skills!H14&gt;0,Skills!I14/Skills!H14,1)+IF(Skills!H14&gt;0,MIN(Skills!I14,MAX(0,MAX(0,Inputs!$B$44-B3699)-((R3668-1)*IF(Inputs!$B$39="pvp",15,MAX(0.1,Skills!D14-IF(TRUE=TRUE,4.0,0))))))/Skills!H14,1)))/Inputs!$B$44),G3668*Q3668))*IF(Inputs!$B$39="pvp",1,1+(Inputs!$B$20+0+Skills!P14+B3689+(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Hunt"),CHOOSE(ArtifactsInput!$N$35+1,15,18,21,24,27,30)*(1-EXP(-(0.2*B3692)*5)),0)+IF(AND(ArtifactsInput!$M$22,Inputs!$B$4&lt;&gt;"Chapter Hunt"),CHOOSE(ArtifactsInput!$N$22+1,10,12,14,16,18,20)*((0*(((0.15*B3692*5))^0/1)+1*(((0.15*B3692*5))^1/1)+2*(((0.15*B3692*5))^2/2)+3*(((0.15*B3692*5))^3/6)+4*(((0.15*B3692*5))^4/24)+5*(((0.15*B3692*5))^5/120))/((((0.15*B3692*5))^0/1)+(((0.15*B3692*5))^1/1)+(((0.15*B3692*5))^2/2)+(((0.15*B3692*5))^3/6)+(((0.15*B3692*5))^4/24)+(((0.15*B3692*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3668*(1-MIN(100,(Inputs!$B$9+((C3680=TRUE)*(F3680-Calc!F26))+B3688+(ArtifactsInput!$M$24-ArtifactsInput!$M$24)*CHOOSE(ArtifactsInput!$N$24+1,10,12,14,16,18,20)+(IF(AND(Inputs!$B$39&lt;&gt;"pvp",Inputs!$B$44=0),1,IF(IF(Inputs!$B$39="pvp",15,Inputs!$B$44)-(B3699)&lt;=0,1,MAX(0,IF(Inputs!$B$39="pvp",15,Inputs!$B$44)-MAX(5,B3699))/(IF(Inputs!$B$39="pvp",15,Inputs!$B$44)-(B3699))))*IF(AND(ArtifactsInput!$M$42,((Inputs!$B$9+((C3680=TRUE)*(F3680-Calc!F26))+B3688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3668*(MIN(100,(Inputs!$B$9+((C3680=TRUE)*(F3680-Calc!F26))+B3688+(ArtifactsInput!$M$24-ArtifactsInput!$M$24)*CHOOSE(ArtifactsInput!$N$24+1,10,12,14,16,18,20)+(IF(AND(Inputs!$B$39&lt;&gt;"pvp",Inputs!$B$44=0),1,IF(IF(Inputs!$B$39="pvp",15,Inputs!$B$44)-(B3699)&lt;=0,1,MAX(0,IF(Inputs!$B$39="pvp",15,Inputs!$B$44)-MAX(5,B3699))/(IF(Inputs!$B$39="pvp",15,Inputs!$B$44)-(B3699))))*IF(AND(ArtifactsInput!$M$42,((Inputs!$B$9+((C3680=TRUE)*(F3680-Calc!F26))+B3688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3668*(1-MIN(100,(Inputs!$B$9+((C3680=TRUE)*(F3680-Calc!F26))+B3688+(ArtifactsInput!$M$24-ArtifactsInput!$M$24)*CHOOSE(ArtifactsInput!$N$24+1,10,12,14,16,18,20)+(IF(AND(Inputs!$B$39&lt;&gt;"pvp",Inputs!$B$44=0),1,IF(IF(Inputs!$B$39="pvp",15,Inputs!$B$44)-(B3699)&lt;=0,1,MAX(0,IF(Inputs!$B$39="pvp",15,Inputs!$B$44)-MAX(5,B3699))/(IF(Inputs!$B$39="pvp",15,Inputs!$B$44)-(B3699))))*IF(AND(ArtifactsInput!$M$42,((Inputs!$B$9+((C3680=TRUE)*(F3680-Calc!F26))+B3688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3668*(MIN(100,(Inputs!$B$9+((C3680=TRUE)*(F3680-Calc!F26))+B3688+(ArtifactsInput!$M$24-ArtifactsInput!$M$24)*CHOOSE(ArtifactsInput!$N$24+1,10,12,14,16,18,20)+(IF(AND(Inputs!$B$39&lt;&gt;"pvp",Inputs!$B$44=0),1,IF(IF(Inputs!$B$39="pvp",15,Inputs!$B$44)-(B3699)&lt;=0,1,MAX(0,IF(Inputs!$B$39="pvp",15,Inputs!$B$44)-MAX(5,B3699))/(IF(Inputs!$B$39="pvp",15,Inputs!$B$44)-(B3699))))*IF(AND(ArtifactsInput!$M$42,((Inputs!$B$9+((C3680=TRUE)*(F3680-Calc!F26))+B3688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3668">
        <f>IF(C3668,(H3668*N3668*IF(AND(Inputs!$B$39&lt;&gt;"pvp",Inputs!$B$44&gt;0),((Skills!G14*((R3668-1)*IF(Skills!H14&gt;0,Skills!I14/Skills!H14,1)+IF(Skills!H14&gt;0,MIN(Skills!I14,MAX(0,MAX(0,Inputs!$B$44-B3699)-((R3668-1)*IF(Inputs!$B$39="pvp",15,MAX(0.1,Skills!D14-IF(TRUE=TRUE,4.0,0))))))/Skills!H14,1)))/Inputs!$B$44),G3668*Q3668))*IF(Inputs!$B$39="pvp",1,(1+(Inputs!$B$21+Skills!Q14+B3689+(IF(ArtifactsInput!$M$33,CHOOSE(ArtifactsInput!$N$33+1,30,36,42,48,54,60),0))+(IF(AND(ArtifactsInput!$M$35,Inputs!$B$4&lt;&gt;"Chapter Hunt"),CHOOSE(ArtifactsInput!$N$35+1,15,18,21,24,27,30)*(1-EXP(-(0.2*B3692)*5)),0)+IF(AND(ArtifactsInput!$M$22,Inputs!$B$4&lt;&gt;"Chapter Hunt"),CHOOSE(ArtifactsInput!$N$22+1,10,12,14,16,18,20)*((0*(((0.15*B3692*5))^0/1)+1*(((0.15*B3692*5))^1/1)+2*(((0.15*B3692*5))^2/2)+3*(((0.15*B3692*5))^3/6)+4*(((0.15*B3692*5))^4/24)+5*(((0.15*B3692*5))^5/120))/((((0.15*B3692*5))^0/1)+(((0.15*B3692*5))^1/1)+(((0.15*B3692*5))^2/2)+(((0.15*B3692*5))^3/6)+(((0.15*B3692*5))^4/24)+(((0.15*B3692*5))^5/120))),0)))/100)*(MIN(Skills!W14,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3669">
      <c r="A3669">
        <f>Skills!A15</f>
        <v/>
      </c>
      <c r="B3669">
        <f>Skills!B15</f>
        <v/>
      </c>
      <c r="C3669">
        <f>Inputs!$B$3&gt;=107</f>
        <v/>
      </c>
      <c r="D3669">
        <f>IF(Skills!C15=1,60+Inputs!$B$25+Inputs!$B$29,IF(Skills!C15=2,90+Inputs!$B$26+Inputs!$B$29,IF(Skills!C15=3,120+Inputs!$B$27+Inputs!$B$29,MAX(0,(Inputs!$B$3-100)*3)+Inputs!$B$28+Inputs!$B$29)))</f>
        <v/>
      </c>
      <c r="E3669">
        <f>INDEX(FactorTable!$B$2:$Y$301, MATCH(ROUND(MIN(300,MAX(1,D3669)),0), FactorTable!$A$2:$A$301,0), Skills!M15+1)</f>
        <v/>
      </c>
      <c r="F3669">
        <f>IF(Skills!N15=TRUE,(Skills!L15/10)*(E3669/1000),Skills!L15/10)+Skills!O15</f>
        <v/>
      </c>
      <c r="G3669">
        <f>Skills!G15*IF(Skills!H15&gt;0,IF(Inputs!$B$39="pvp",MIN(Skills!I15,15),Skills!I15)/Skills!H15,1)</f>
        <v/>
      </c>
      <c r="H3669">
        <f>1-(1-Skills!J15/100)^Skills!K15</f>
        <v/>
      </c>
      <c r="I3669" t="inlineStr">
        <is>
          <t>1</t>
        </is>
      </c>
      <c r="J3669">
        <f>((Inputs!$B$6*(1+Inputs!$B$7/100))+(((Inputs!$B$12*(1+Inputs!$B$13/100))-(Inputs!$B$12*(1+Inputs!$B$13/100)))+0.25*(Inputs!$B$14-Inputs!$B$14))*(1+Inputs!$B$7/100))*(F3669/100)</f>
        <v/>
      </c>
      <c r="K3669">
        <f>J3669*(1+((Inputs!$B$12*(1+Inputs!$B$13/100))*0.01+Inputs!$B$14*0.0025)/100)*(1+Inputs!$B$15/100)*(1+Inputs!$B$16/100)*(5000/(6000+Inputs!$B$43*(1-(100*(1-(1-Inputs!$B$19/100)*(1-CHOOSE(ArtifactsInput!$N$40+1,5,6,7,8,9,10)/100)^(ArtifactsInput!$M$40-ArtifactsInput!$M$40)))/100)))*(1+(Inputs!$B$24+((C3685=TRUE)*(F3685-Calc!F31))+((C3672=TRUE)*(F3672-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15="CRUEL_STAB",Inputs!$B$17+((C3682=TRUE)*(F3682-Calc!F28))+((IF(AND(Inputs!$B$39&lt;&gt;"pvp",Inputs!$B$44=0),1,IF(IF(Inputs!$B$39="pvp",15,Inputs!$B$44)-(B3699)&lt;=0,1,MAX(0,IF(Inputs!$B$39="pvp",15,Inputs!$B$44)-MAX(5,B3699))/(IF(Inputs!$B$39="pvp",15,Inputs!$B$44)-(B3699))))*(IF(AND(ArtifactsInput!$M$42,((Inputs!$B$9+((C3680=TRUE)*(F3680-Calc!F26))+B3688+(ArtifactsInput!$M$24-ArtifactsInput!$M$24)*CHOOSE(ArtifactsInput!$N$24+1,10,12,14,16,18,20)+IF(ArtifactsInput!$M$10,CHOOSE(ArtifactsInput!$N$10+1,15,18,21,24,27,30)*(IF(Inputs!$B$39="pvp",MIN(15,15)/15,IF(AND(Inputs!$B$39&lt;&gt;"pvp",Inputs!$B$44&gt;0),MIN(15,Inputs!$B$44)/(Inputs!$B$44),0))),0)))&gt;=100),MIN(100,((Inputs!$B$9+((C3680=TRUE)*(F3680-Calc!F26))+B3688+(ArtifactsInput!$M$24-ArtifactsInput!$M$24)*CHOOSE(ArtifactsInput!$N$24+1,10,12,14,16,18,20)+IF(ArtifactsInput!$M$10,CHOOSE(ArtifactsInput!$N$10+1,15,18,21,24,27,30)*(IF(Inputs!$B$39="pvp",MIN(15,15)/15,IF(AND(Inputs!$B$39&lt;&gt;"pvp",Inputs!$B$44&gt;0),MIN(15,Inputs!$B$44)/(Inputs!$B$44),0))),0)))-100),0))*CHOOSE(ArtifactsInput!$N$42+1,0.6,0.72,0.84,0.96,1.08,1.2))),Inputs!$B$18+((C3683=TRUE)*(F3683-Calc!F29))+(IF(AND(Inputs!$B$39&lt;&gt;"pvp",Inputs!$B$44=0),1,IF(IF(Inputs!$B$39="pvp",15,Inputs!$B$44)-(B3699)&lt;=0,1,MAX(0,IF(Inputs!$B$39="pvp",15,Inputs!$B$44)-MAX(5,B3699))/(IF(Inputs!$B$39="pvp",15,Inputs!$B$44)-(B3699))))*IF(AND(ArtifactsInput!$M$42,((Inputs!$B$9+((C3680=TRUE)*(F3680-Calc!F26))+B3688+(ArtifactsInput!$M$24-ArtifactsInput!$M$24)*CHOOSE(ArtifactsInput!$N$24+1,10,12,14,16,18,20)+IF(ArtifactsInput!$M$10,CHOOSE(ArtifactsInput!$N$10+1,15,18,21,24,27,30)*(IF(Inputs!$B$39="pvp",MIN(15,15)/15,IF(AND(Inputs!$B$39&lt;&gt;"pvp",Inputs!$B$44&gt;0),MIN(15,Inputs!$B$44)/(Inputs!$B$44),0))),0)))&gt;=100),CHOOSE(ArtifactsInput!$N$42+1,40,48,56,64,72,80),0))))/100)*(((1+(((C3676=TRUE)*F3676*IF(AND(Inputs!$B$39&lt;&gt;"pvp",Inputs!$B$44&gt;0),(((R3676-1)*MIN((Skills!Y22*(1+Inputs!$B$34/100)),(1/Q3676))+MIN((Skills!Y22*(1+Inputs!$B$34/100)),MAX(0,Inputs!$B$44-((R3676-1)*(1/Q3676)))))/Inputs!$B$44),IF(Inputs!$B$39="pvp",MIN((Skills!Y22*(1+Inputs!$B$34/100)),15)/15,MIN(1,(Skills!Y22*(1+Inputs!$B$34/100))/(1/Q3676)))))+((C3657=TRUE)*F3657*3)+((C3659=TRUE)*F3659*(1-EXP(-0.75*B3692*5)))+((C3678=TRUE)*(F3678-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3665=TRUE)*F3665*IF(AND(Inputs!$B$39&lt;&gt;"pvp",Inputs!$B$44&gt;0),(((R3665-1)*MIN((Skills!Y11*(1+Inputs!$B$34/100)),(1/Q3665))+MIN((Skills!Y11*(1+Inputs!$B$34/100)),MAX(0,Inputs!$B$44-((R3665-1)*(1/Q3665)))))/Inputs!$B$44),IF(Inputs!$B$39="pvp",MIN((Skills!Y11*(1+Inputs!$B$34/100)),15)/15,MIN(1,(Skills!Y11*(1+Inputs!$B$34/100))/(1/Q3665)))))/100)*(1+((C3670=TRUE)*F3670*IF(AND(Inputs!$B$39&lt;&gt;"pvp",Inputs!$B$44&gt;0),(((R3670-1)*MIN((Skills!Y16*(1+Inputs!$B$34/100)),(1/Q3670))+MIN((Skills!Y16*(1+Inputs!$B$34/100)),MAX(0,Inputs!$B$44-((R3670-1)*(1/Q3670)))))/Inputs!$B$44),IF(Inputs!$B$39="pvp",MIN((Skills!Y16*(1+Inputs!$B$34/100)),15)/15,MIN(1,(Skills!Y16*(1+Inputs!$B$34/100))/(1/Q3670)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3690*I3669)</f>
        <v/>
      </c>
      <c r="L3669">
        <f>K3669*(MIN(Inputs!$B$22+((C3679=TRUE)*(F3679-Calc!F25)),(Inputs!$B$23+((C3684=TRUE)*(F3684-Calc!F30))+IF(ArtifactsInput!$M$15,CHOOSE(ArtifactsInput!$N$15+1,25,30,35,40,45,50)/100*(Inputs!$B$11-Inputs!$B$11),0)))/100+(Inputs!$B$23+((C3684=TRUE)*(F3684-Calc!F30))+IF(ArtifactsInput!$M$15,CHOOSE(ArtifactsInput!$N$15+1,25,30,35,40,45,50)/100*(Inputs!$B$11-Inputs!$B$11),0))/100)/2</f>
        <v/>
      </c>
      <c r="M3669">
        <f>L3669*(1+(Inputs!$B$10+((C3681=TRUE)*(F3681-Calc!F27))+B3695+(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3669">
        <f>L3669*(1-MIN((Inputs!$B$9+((C3680=TRUE)*(F3680-Calc!F26))+B3688+(ArtifactsInput!$M$24-ArtifactsInput!$M$24)*CHOOSE(ArtifactsInput!$N$24+1,10,12,14,16,18,20)+(IF(AND(Inputs!$B$39&lt;&gt;"pvp",Inputs!$B$44=0),1,IF(IF(Inputs!$B$39="pvp",15,Inputs!$B$44)-(B3699)&lt;=0,1,MAX(0,IF(Inputs!$B$39="pvp",15,Inputs!$B$44)-MAX(5,B3699))/(IF(Inputs!$B$39="pvp",15,Inputs!$B$44)-(B3699))))*IF(AND(ArtifactsInput!$M$42,((Inputs!$B$9+((C3680=TRUE)*(F3680-Calc!F26))+B3688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3669*(MIN((Inputs!$B$9+((C3680=TRUE)*(F3680-Calc!F26))+B3688+(ArtifactsInput!$M$24-ArtifactsInput!$M$24)*CHOOSE(ArtifactsInput!$N$24+1,10,12,14,16,18,20)+(IF(AND(Inputs!$B$39&lt;&gt;"pvp",Inputs!$B$44=0),1,IF(IF(Inputs!$B$39="pvp",15,Inputs!$B$44)-(B3699)&lt;=0,1,MAX(0,IF(Inputs!$B$39="pvp",15,Inputs!$B$44)-MAX(5,B3699))/(IF(Inputs!$B$39="pvp",15,Inputs!$B$44)-(B3699))))*IF(AND(ArtifactsInput!$M$42,((Inputs!$B$9+((C3680=TRUE)*(F3680-Calc!F26))+B3688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3669">
        <f>(1-Summary!$B$11)*T3669+Summary!$B$11*V3669</f>
        <v/>
      </c>
      <c r="P3669">
        <f>IF(B3700=0,0,O3669/B3700)</f>
        <v/>
      </c>
      <c r="Q3669">
        <f>IFERROR(1/IF(Inputs!$B$39="pvp",15,MAX(0.1,Skills!D15-IF(TRUE=TRUE,4.0,0))),0)</f>
        <v/>
      </c>
      <c r="R3669">
        <f>IF(AND(Inputs!$B$39&lt;&gt;"pvp",Inputs!$B$44&gt;0),IF(MAX(0,Inputs!$B$44-B3699)&lt;=0,0,(INT(MAX(0,Inputs!$B$44-B3699)/IF(Inputs!$B$39="pvp",15,MAX(0.1,Skills!D15-IF(TRUE=TRUE,4.0,0))))+1)),0)</f>
        <v/>
      </c>
      <c r="S3669">
        <f>IFERROR(O3669/N3669,0)</f>
        <v/>
      </c>
      <c r="T3669">
        <f>IF(C3669,(H3669*N3669*IF(AND(Inputs!$B$39&lt;&gt;"pvp",Inputs!$B$44&gt;0),((Skills!G15*((R3669-1)*IF(Skills!H15&gt;0,Skills!I15/Skills!H15,1)+IF(Skills!H15&gt;0,MIN(Skills!I15,MAX(0,MAX(0,Inputs!$B$44-B3699)-((R3669-1)*IF(Inputs!$B$39="pvp",15,MAX(0.1,Skills!D15-IF(TRUE=TRUE,4.0,0))))))/Skills!H15,1)))/Inputs!$B$44),G3669*Q3669))*IF(Inputs!$B$39="pvp",1,1+(Inputs!$B$20+0+Skills!P15+B3689+(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Hunt"),CHOOSE(ArtifactsInput!$N$35+1,15,18,21,24,27,30)*(1-EXP(-(0.2*B3692)*5)),0)+IF(AND(ArtifactsInput!$M$22,Inputs!$B$4&lt;&gt;"Chapter Hunt"),CHOOSE(ArtifactsInput!$N$22+1,10,12,14,16,18,20)*((0*(((0.15*B3692*5))^0/1)+1*(((0.15*B3692*5))^1/1)+2*(((0.15*B3692*5))^2/2)+3*(((0.15*B3692*5))^3/6)+4*(((0.15*B3692*5))^4/24)+5*(((0.15*B3692*5))^5/120))/((((0.15*B3692*5))^0/1)+(((0.15*B3692*5))^1/1)+(((0.15*B3692*5))^2/2)+(((0.15*B3692*5))^3/6)+(((0.15*B3692*5))^4/24)+(((0.15*B3692*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3669*(1-MIN(100,(Inputs!$B$9+((C3680=TRUE)*(F3680-Calc!F26))+B3688+(ArtifactsInput!$M$24-ArtifactsInput!$M$24)*CHOOSE(ArtifactsInput!$N$24+1,10,12,14,16,18,20)+(IF(AND(Inputs!$B$39&lt;&gt;"pvp",Inputs!$B$44=0),1,IF(IF(Inputs!$B$39="pvp",15,Inputs!$B$44)-(B3699)&lt;=0,1,MAX(0,IF(Inputs!$B$39="pvp",15,Inputs!$B$44)-MAX(5,B3699))/(IF(Inputs!$B$39="pvp",15,Inputs!$B$44)-(B3699))))*IF(AND(ArtifactsInput!$M$42,((Inputs!$B$9+((C3680=TRUE)*(F3680-Calc!F26))+B3688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3669*(MIN(100,(Inputs!$B$9+((C3680=TRUE)*(F3680-Calc!F26))+B3688+(ArtifactsInput!$M$24-ArtifactsInput!$M$24)*CHOOSE(ArtifactsInput!$N$24+1,10,12,14,16,18,20)+(IF(AND(Inputs!$B$39&lt;&gt;"pvp",Inputs!$B$44=0),1,IF(IF(Inputs!$B$39="pvp",15,Inputs!$B$44)-(B3699)&lt;=0,1,MAX(0,IF(Inputs!$B$39="pvp",15,Inputs!$B$44)-MAX(5,B3699))/(IF(Inputs!$B$39="pvp",15,Inputs!$B$44)-(B3699))))*IF(AND(ArtifactsInput!$M$42,((Inputs!$B$9+((C3680=TRUE)*(F3680-Calc!F26))+B3688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3669*(1-MIN(100,(Inputs!$B$9+((C3680=TRUE)*(F3680-Calc!F26))+B3688+(ArtifactsInput!$M$24-ArtifactsInput!$M$24)*CHOOSE(ArtifactsInput!$N$24+1,10,12,14,16,18,20)+(IF(AND(Inputs!$B$39&lt;&gt;"pvp",Inputs!$B$44=0),1,IF(IF(Inputs!$B$39="pvp",15,Inputs!$B$44)-(B3699)&lt;=0,1,MAX(0,IF(Inputs!$B$39="pvp",15,Inputs!$B$44)-MAX(5,B3699))/(IF(Inputs!$B$39="pvp",15,Inputs!$B$44)-(B3699))))*IF(AND(ArtifactsInput!$M$42,((Inputs!$B$9+((C3680=TRUE)*(F3680-Calc!F26))+B3688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3669*(MIN(100,(Inputs!$B$9+((C3680=TRUE)*(F3680-Calc!F26))+B3688+(ArtifactsInput!$M$24-ArtifactsInput!$M$24)*CHOOSE(ArtifactsInput!$N$24+1,10,12,14,16,18,20)+(IF(AND(Inputs!$B$39&lt;&gt;"pvp",Inputs!$B$44=0),1,IF(IF(Inputs!$B$39="pvp",15,Inputs!$B$44)-(B3699)&lt;=0,1,MAX(0,IF(Inputs!$B$39="pvp",15,Inputs!$B$44)-MAX(5,B3699))/(IF(Inputs!$B$39="pvp",15,Inputs!$B$44)-(B3699))))*IF(AND(ArtifactsInput!$M$42,((Inputs!$B$9+((C3680=TRUE)*(F3680-Calc!F26))+B3688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3669">
        <f>IF(C3669,(H3669*N3669*IF(AND(Inputs!$B$39&lt;&gt;"pvp",Inputs!$B$44&gt;0),((Skills!G15*((R3669-1)*IF(Skills!H15&gt;0,Skills!I15/Skills!H15,1)+IF(Skills!H15&gt;0,MIN(Skills!I15,MAX(0,MAX(0,Inputs!$B$44-B3699)-((R3669-1)*IF(Inputs!$B$39="pvp",15,MAX(0.1,Skills!D15-IF(TRUE=TRUE,4.0,0))))))/Skills!H15,1)))/Inputs!$B$44),G3669*Q3669))*IF(Inputs!$B$39="pvp",1,(1+(Inputs!$B$21+Skills!Q15+B3689+(IF(ArtifactsInput!$M$33,CHOOSE(ArtifactsInput!$N$33+1,30,36,42,48,54,60),0))+(IF(AND(ArtifactsInput!$M$35,Inputs!$B$4&lt;&gt;"Chapter Hunt"),CHOOSE(ArtifactsInput!$N$35+1,15,18,21,24,27,30)*(1-EXP(-(0.2*B3692)*5)),0)+IF(AND(ArtifactsInput!$M$22,Inputs!$B$4&lt;&gt;"Chapter Hunt"),CHOOSE(ArtifactsInput!$N$22+1,10,12,14,16,18,20)*((0*(((0.15*B3692*5))^0/1)+1*(((0.15*B3692*5))^1/1)+2*(((0.15*B3692*5))^2/2)+3*(((0.15*B3692*5))^3/6)+4*(((0.15*B3692*5))^4/24)+5*(((0.15*B3692*5))^5/120))/((((0.15*B3692*5))^0/1)+(((0.15*B3692*5))^1/1)+(((0.15*B3692*5))^2/2)+(((0.15*B3692*5))^3/6)+(((0.15*B3692*5))^4/24)+(((0.15*B3692*5))^5/120))),0)))/100)*(MIN(MIN(5,0.5*IF(Inputs!$B$3&gt;=75,0.75,0.5)*B3692*(1/Q3658))*Skills!V15,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3670">
      <c r="A3670">
        <f>Skills!A16</f>
        <v/>
      </c>
      <c r="B3670">
        <f>Skills!B16</f>
        <v/>
      </c>
      <c r="C3670">
        <f>Inputs!$B$3&gt;=110</f>
        <v/>
      </c>
      <c r="D3670">
        <f>IF(Skills!C16=1,60+Inputs!$B$25+Inputs!$B$29,IF(Skills!C16=2,90+Inputs!$B$26+Inputs!$B$29,IF(Skills!C16=3,120+Inputs!$B$27+Inputs!$B$29,MAX(0,(Inputs!$B$3-100)*3)+Inputs!$B$28+Inputs!$B$29)))</f>
        <v/>
      </c>
      <c r="E3670">
        <f>INDEX(FactorTable!$B$2:$Y$301, MATCH(ROUND(MIN(300,MAX(1,D3670)),0), FactorTable!$A$2:$A$301,0), Skills!M16+1)</f>
        <v/>
      </c>
      <c r="F3670">
        <f>IF(Skills!N16=TRUE,(Skills!L16/10)*(E3670/1000),Skills!L16/10)+Skills!O16</f>
        <v/>
      </c>
      <c r="G3670">
        <f>Skills!G16*IF(Skills!H16&gt;0,IF(Inputs!$B$39="pvp",MIN(Skills!I16,15),Skills!I16)/Skills!H16,1)</f>
        <v/>
      </c>
      <c r="H3670">
        <f>1-(1-Skills!J16/100)^Skills!K16</f>
        <v/>
      </c>
      <c r="I3670" t="inlineStr">
        <is>
          <t>1</t>
        </is>
      </c>
      <c r="J3670" t="inlineStr"/>
      <c r="K3670" t="inlineStr"/>
      <c r="L3670" t="inlineStr"/>
      <c r="M3670" t="inlineStr"/>
      <c r="N3670" t="inlineStr"/>
      <c r="O3670">
        <f>(1-Summary!$B$11)*T3670+Summary!$B$11*V3670</f>
        <v/>
      </c>
      <c r="P3670">
        <f>IF(B3700=0,0,O3670/B3700)</f>
        <v/>
      </c>
      <c r="Q3670">
        <f>IFERROR(1/IF(Inputs!$B$39="pvp",15,MAX(0.1,Skills!D16-IF(TRUE=TRUE,4.0,0))),0)</f>
        <v/>
      </c>
      <c r="R3670">
        <f>IF(AND(Inputs!$B$39&lt;&gt;"pvp",Inputs!$B$44&gt;0),IF(Inputs!$B$44&lt;=0,0,(INT(Inputs!$B$44/IF(Inputs!$B$39="pvp",15,MAX(0.1,Skills!D16-IF(TRUE=TRUE,4.0,0))))+1)),0)</f>
        <v/>
      </c>
      <c r="S3670">
        <f>IFERROR(O3670/N3670,0)</f>
        <v/>
      </c>
      <c r="T3670" t="n">
        <v>0</v>
      </c>
      <c r="V3670" t="n">
        <v>0</v>
      </c>
    </row>
    <row r="3671">
      <c r="A3671">
        <f>Skills!A17</f>
        <v/>
      </c>
      <c r="B3671">
        <f>Skills!B17</f>
        <v/>
      </c>
      <c r="C3671">
        <f>Inputs!$B$3&gt;=115</f>
        <v/>
      </c>
      <c r="D3671">
        <f>IF(Skills!C17=1,60+Inputs!$B$25+Inputs!$B$29,IF(Skills!C17=2,90+Inputs!$B$26+Inputs!$B$29,IF(Skills!C17=3,120+Inputs!$B$27+Inputs!$B$29,MAX(0,(Inputs!$B$3-100)*3)+Inputs!$B$28+Inputs!$B$29)))</f>
        <v/>
      </c>
      <c r="E3671">
        <f>INDEX(FactorTable!$B$2:$Y$301, MATCH(ROUND(MIN(300,MAX(1,D3671)),0), FactorTable!$A$2:$A$301,0), Skills!M17+1)</f>
        <v/>
      </c>
      <c r="F3671">
        <f>IF(Skills!N17=TRUE,(Skills!L17/10)*(E3671/1000),Skills!L17/10)+Skills!O17</f>
        <v/>
      </c>
      <c r="G3671">
        <f>Skills!G17*IF(Skills!H17&gt;0,IF(Inputs!$B$39="pvp",MIN(Skills!I17,15),Skills!I17)/Skills!H17,1)</f>
        <v/>
      </c>
      <c r="H3671">
        <f>1-(1-Skills!J17/100)^Skills!K17</f>
        <v/>
      </c>
      <c r="I3671" t="inlineStr">
        <is>
          <t>1</t>
        </is>
      </c>
      <c r="J3671">
        <f>((Inputs!$B$6*(1+Inputs!$B$7/100))+(((Inputs!$B$12*(1+Inputs!$B$13/100))-(Inputs!$B$12*(1+Inputs!$B$13/100)))+0.25*(Inputs!$B$14-Inputs!$B$14))*(1+Inputs!$B$7/100))*(F3671/100)</f>
        <v/>
      </c>
      <c r="K3671">
        <f>J3671*(1+((Inputs!$B$12*(1+Inputs!$B$13/100))*0.01+Inputs!$B$14*0.0025)/100)*(1+Inputs!$B$15/100)*(1+Inputs!$B$16/100)*(5000/(6000+Inputs!$B$43*(1-(100*(1-(1-Inputs!$B$19/100)*(1-CHOOSE(ArtifactsInput!$N$40+1,5,6,7,8,9,10)/100)^(ArtifactsInput!$M$40-ArtifactsInput!$M$40)))/100)))*(1+(Inputs!$B$24+((C3685=TRUE)*(F3685-Calc!F31))+((C3672=TRUE)*(F3672-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17="CRUEL_STAB",Inputs!$B$17+((C3682=TRUE)*(F3682-Calc!F28))+((IF(AND(Inputs!$B$39&lt;&gt;"pvp",Inputs!$B$44=0),1,IF(IF(Inputs!$B$39="pvp",15,Inputs!$B$44)-(B3699)&lt;=0,1,MAX(0,IF(Inputs!$B$39="pvp",15,Inputs!$B$44)-MAX(5,B3699))/(IF(Inputs!$B$39="pvp",15,Inputs!$B$44)-(B3699))))*(IF(AND(ArtifactsInput!$M$42,((Inputs!$B$9+((C3680=TRUE)*(F3680-Calc!F26))+B3688+(ArtifactsInput!$M$24-ArtifactsInput!$M$24)*CHOOSE(ArtifactsInput!$N$24+1,10,12,14,16,18,20)+IF(ArtifactsInput!$M$10,CHOOSE(ArtifactsInput!$N$10+1,15,18,21,24,27,30)*(IF(Inputs!$B$39="pvp",MIN(15,15)/15,IF(AND(Inputs!$B$39&lt;&gt;"pvp",Inputs!$B$44&gt;0),MIN(15,Inputs!$B$44)/(Inputs!$B$44),0))),0)))&gt;=100),MIN(100,((Inputs!$B$9+((C3680=TRUE)*(F3680-Calc!F26))+B3688+(ArtifactsInput!$M$24-ArtifactsInput!$M$24)*CHOOSE(ArtifactsInput!$N$24+1,10,12,14,16,18,20)+IF(ArtifactsInput!$M$10,CHOOSE(ArtifactsInput!$N$10+1,15,18,21,24,27,30)*(IF(Inputs!$B$39="pvp",MIN(15,15)/15,IF(AND(Inputs!$B$39&lt;&gt;"pvp",Inputs!$B$44&gt;0),MIN(15,Inputs!$B$44)/(Inputs!$B$44),0))),0)))-100),0))*CHOOSE(ArtifactsInput!$N$42+1,0.6,0.72,0.84,0.96,1.08,1.2))),Inputs!$B$18+((C3683=TRUE)*(F3683-Calc!F29))+(IF(AND(Inputs!$B$39&lt;&gt;"pvp",Inputs!$B$44=0),1,IF(IF(Inputs!$B$39="pvp",15,Inputs!$B$44)-(B3699)&lt;=0,1,MAX(0,IF(Inputs!$B$39="pvp",15,Inputs!$B$44)-MAX(5,B3699))/(IF(Inputs!$B$39="pvp",15,Inputs!$B$44)-(B3699))))*IF(AND(ArtifactsInput!$M$42,((Inputs!$B$9+((C3680=TRUE)*(F3680-Calc!F26))+B3688+(ArtifactsInput!$M$24-ArtifactsInput!$M$24)*CHOOSE(ArtifactsInput!$N$24+1,10,12,14,16,18,20)+IF(ArtifactsInput!$M$10,CHOOSE(ArtifactsInput!$N$10+1,15,18,21,24,27,30)*(IF(Inputs!$B$39="pvp",MIN(15,15)/15,IF(AND(Inputs!$B$39&lt;&gt;"pvp",Inputs!$B$44&gt;0),MIN(15,Inputs!$B$44)/(Inputs!$B$44),0))),0)))&gt;=100),CHOOSE(ArtifactsInput!$N$42+1,40,48,56,64,72,80),0))))/100)*(((1+(((C3676=TRUE)*F3676*IF(AND(Inputs!$B$39&lt;&gt;"pvp",Inputs!$B$44&gt;0),(((R3676-1)*MIN((Skills!Y22*(1+Inputs!$B$34/100)),(1/Q3676))+MIN((Skills!Y22*(1+Inputs!$B$34/100)),MAX(0,Inputs!$B$44-((R3676-1)*(1/Q3676)))))/Inputs!$B$44),IF(Inputs!$B$39="pvp",MIN((Skills!Y22*(1+Inputs!$B$34/100)),15)/15,MIN(1,(Skills!Y22*(1+Inputs!$B$34/100))/(1/Q3676)))))+((C3657=TRUE)*F3657*3)+((C3659=TRUE)*F3659*(1-EXP(-0.75*B3692*5)))+((C3678=TRUE)*(F3678-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3665=TRUE)*F3665*IF(AND(Inputs!$B$39&lt;&gt;"pvp",Inputs!$B$44&gt;0),(((R3665-1)*MIN((Skills!Y11*(1+Inputs!$B$34/100)),(1/Q3665))+MIN((Skills!Y11*(1+Inputs!$B$34/100)),MAX(0,Inputs!$B$44-((R3665-1)*(1/Q3665)))))/Inputs!$B$44),IF(Inputs!$B$39="pvp",MIN((Skills!Y11*(1+Inputs!$B$34/100)),15)/15,MIN(1,(Skills!Y11*(1+Inputs!$B$34/100))/(1/Q3665)))))/100)*(1+((C3670=TRUE)*F3670*IF(AND(Inputs!$B$39&lt;&gt;"pvp",Inputs!$B$44&gt;0),(((R3670-1)*MIN((Skills!Y16*(1+Inputs!$B$34/100)),(1/Q3670))+MIN((Skills!Y16*(1+Inputs!$B$34/100)),MAX(0,Inputs!$B$44-((R3670-1)*(1/Q3670)))))/Inputs!$B$44),IF(Inputs!$B$39="pvp",MIN((Skills!Y16*(1+Inputs!$B$34/100)),15)/15,MIN(1,(Skills!Y16*(1+Inputs!$B$34/100))/(1/Q3670)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3690*I3671)</f>
        <v/>
      </c>
      <c r="L3671">
        <f>K3671*(MIN(Inputs!$B$22+((C3679=TRUE)*(F3679-Calc!F25)),(Inputs!$B$23+((C3684=TRUE)*(F3684-Calc!F30))+IF(ArtifactsInput!$M$15,CHOOSE(ArtifactsInput!$N$15+1,25,30,35,40,45,50)/100*(Inputs!$B$11-Inputs!$B$11),0)))/100+(Inputs!$B$23+((C3684=TRUE)*(F3684-Calc!F30))+IF(ArtifactsInput!$M$15,CHOOSE(ArtifactsInput!$N$15+1,25,30,35,40,45,50)/100*(Inputs!$B$11-Inputs!$B$11),0))/100)/2</f>
        <v/>
      </c>
      <c r="M3671">
        <f>L3671*(1+(Inputs!$B$10+((C3681=TRUE)*(F3681-Calc!F27))+B3695+(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3671">
        <f>L3671*(1-MIN((Inputs!$B$9+((C3680=TRUE)*(F3680-Calc!F26))+B3688+(ArtifactsInput!$M$24-ArtifactsInput!$M$24)*CHOOSE(ArtifactsInput!$N$24+1,10,12,14,16,18,20)+(IF(AND(Inputs!$B$39&lt;&gt;"pvp",Inputs!$B$44=0),1,IF(IF(Inputs!$B$39="pvp",15,Inputs!$B$44)-(B3699)&lt;=0,1,MAX(0,IF(Inputs!$B$39="pvp",15,Inputs!$B$44)-MAX(5,B3699))/(IF(Inputs!$B$39="pvp",15,Inputs!$B$44)-(B3699))))*IF(AND(ArtifactsInput!$M$42,((Inputs!$B$9+((C3680=TRUE)*(F3680-Calc!F26))+B3688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3671*(MIN((Inputs!$B$9+((C3680=TRUE)*(F3680-Calc!F26))+B3688+(ArtifactsInput!$M$24-ArtifactsInput!$M$24)*CHOOSE(ArtifactsInput!$N$24+1,10,12,14,16,18,20)+(IF(AND(Inputs!$B$39&lt;&gt;"pvp",Inputs!$B$44=0),1,IF(IF(Inputs!$B$39="pvp",15,Inputs!$B$44)-(B3699)&lt;=0,1,MAX(0,IF(Inputs!$B$39="pvp",15,Inputs!$B$44)-MAX(5,B3699))/(IF(Inputs!$B$39="pvp",15,Inputs!$B$44)-(B3699))))*IF(AND(ArtifactsInput!$M$42,((Inputs!$B$9+((C3680=TRUE)*(F3680-Calc!F26))+B3688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3671">
        <f>(1-Summary!$B$11)*T3671+Summary!$B$11*V3671</f>
        <v/>
      </c>
      <c r="P3671">
        <f>IF(B3700=0,0,O3671/B3700)</f>
        <v/>
      </c>
      <c r="Q3671" t="n">
        <v>0</v>
      </c>
      <c r="R3671" t="n">
        <v>0</v>
      </c>
      <c r="S3671">
        <f>IFERROR(O3671/N3671,0)</f>
        <v/>
      </c>
      <c r="T3671">
        <f>IF(C3671,(Inputs!$B$38*0.2*N3671)*IF(Inputs!$B$39="pvp",1,1+(Inputs!$B$20+0+Skills!P17+B3689+(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Hunt"),CHOOSE(ArtifactsInput!$N$35+1,15,18,21,24,27,30)*(1-EXP(-(0.2*B3692)*5)),0)+IF(AND(ArtifactsInput!$M$22,Inputs!$B$4&lt;&gt;"Chapter Hunt"),CHOOSE(ArtifactsInput!$N$22+1,10,12,14,16,18,20)*((0*(((0.15*B3692*5))^0/1)+1*(((0.15*B3692*5))^1/1)+2*(((0.15*B3692*5))^2/2)+3*(((0.15*B3692*5))^3/6)+4*(((0.15*B3692*5))^4/24)+5*(((0.15*B3692*5))^5/120))/((((0.15*B3692*5))^0/1)+(((0.15*B3692*5))^1/1)+(((0.15*B3692*5))^2/2)+(((0.15*B3692*5))^3/6)+(((0.15*B3692*5))^4/24)+(((0.15*B3692*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3671*(1-MIN(100,(Inputs!$B$9+((C3680=TRUE)*(F3680-Calc!F26))+B3688+(ArtifactsInput!$M$24-ArtifactsInput!$M$24)*CHOOSE(ArtifactsInput!$N$24+1,10,12,14,16,18,20)+(IF(AND(Inputs!$B$39&lt;&gt;"pvp",Inputs!$B$44=0),1,IF(IF(Inputs!$B$39="pvp",15,Inputs!$B$44)-(B3699)&lt;=0,1,MAX(0,IF(Inputs!$B$39="pvp",15,Inputs!$B$44)-MAX(5,B3699))/(IF(Inputs!$B$39="pvp",15,Inputs!$B$44)-(B3699))))*IF(AND(ArtifactsInput!$M$42,((Inputs!$B$9+((C3680=TRUE)*(F3680-Calc!F26))+B3688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3671*(MIN(100,(Inputs!$B$9+((C3680=TRUE)*(F3680-Calc!F26))+B3688+(ArtifactsInput!$M$24-ArtifactsInput!$M$24)*CHOOSE(ArtifactsInput!$N$24+1,10,12,14,16,18,20)+(IF(AND(Inputs!$B$39&lt;&gt;"pvp",Inputs!$B$44=0),1,IF(IF(Inputs!$B$39="pvp",15,Inputs!$B$44)-(B3699)&lt;=0,1,MAX(0,IF(Inputs!$B$39="pvp",15,Inputs!$B$44)-MAX(5,B3699))/(IF(Inputs!$B$39="pvp",15,Inputs!$B$44)-(B3699))))*IF(AND(ArtifactsInput!$M$42,((Inputs!$B$9+((C3680=TRUE)*(F3680-Calc!F26))+B3688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3671*(1-MIN(100,(Inputs!$B$9+((C3680=TRUE)*(F3680-Calc!F26))+B3688+(ArtifactsInput!$M$24-ArtifactsInput!$M$24)*CHOOSE(ArtifactsInput!$N$24+1,10,12,14,16,18,20)+(IF(AND(Inputs!$B$39&lt;&gt;"pvp",Inputs!$B$44=0),1,IF(IF(Inputs!$B$39="pvp",15,Inputs!$B$44)-(B3699)&lt;=0,1,MAX(0,IF(Inputs!$B$39="pvp",15,Inputs!$B$44)-MAX(5,B3699))/(IF(Inputs!$B$39="pvp",15,Inputs!$B$44)-(B3699))))*IF(AND(ArtifactsInput!$M$42,((Inputs!$B$9+((C3680=TRUE)*(F3680-Calc!F26))+B3688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3671*(MIN(100,(Inputs!$B$9+((C3680=TRUE)*(F3680-Calc!F26))+B3688+(ArtifactsInput!$M$24-ArtifactsInput!$M$24)*CHOOSE(ArtifactsInput!$N$24+1,10,12,14,16,18,20)+(IF(AND(Inputs!$B$39&lt;&gt;"pvp",Inputs!$B$44=0),1,IF(IF(Inputs!$B$39="pvp",15,Inputs!$B$44)-(B3699)&lt;=0,1,MAX(0,IF(Inputs!$B$39="pvp",15,Inputs!$B$44)-MAX(5,B3699))/(IF(Inputs!$B$39="pvp",15,Inputs!$B$44)-(B3699))))*IF(AND(ArtifactsInput!$M$42,((Inputs!$B$9+((C3680=TRUE)*(F3680-Calc!F26))+B3688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3671">
        <f>IF(C3671,(Inputs!$B$38*0.2*N3671)*IF(Inputs!$B$39="pvp",1,(1+(Inputs!$B$21+Skills!Q17+B3689+(IF(ArtifactsInput!$M$33,CHOOSE(ArtifactsInput!$N$33+1,30,36,42,48,54,60),0))+(IF(AND(ArtifactsInput!$M$35,Inputs!$B$4&lt;&gt;"Chapter Hunt"),CHOOSE(ArtifactsInput!$N$35+1,15,18,21,24,27,30)*(1-EXP(-(0.2*B3692)*5)),0)+IF(AND(ArtifactsInput!$M$22,Inputs!$B$4&lt;&gt;"Chapter Hunt"),CHOOSE(ArtifactsInput!$N$22+1,10,12,14,16,18,20)*((0*(((0.15*B3692*5))^0/1)+1*(((0.15*B3692*5))^1/1)+2*(((0.15*B3692*5))^2/2)+3*(((0.15*B3692*5))^3/6)+4*(((0.15*B3692*5))^4/24)+5*(((0.15*B3692*5))^5/120))/((((0.15*B3692*5))^0/1)+(((0.15*B3692*5))^1/1)+(((0.15*B3692*5))^2/2)+(((0.15*B3692*5))^3/6)+(((0.15*B3692*5))^4/24)+(((0.15*B3692*5))^5/120))),0)))/100)*(MIN(Skills!W17,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3672">
      <c r="A3672">
        <f>Skills!A18</f>
        <v/>
      </c>
      <c r="B3672">
        <f>Skills!B18</f>
        <v/>
      </c>
      <c r="C3672">
        <f>Inputs!$B$3&gt;=115</f>
        <v/>
      </c>
      <c r="D3672">
        <f>IF(Skills!C18=1,60+Inputs!$B$25+Inputs!$B$29,IF(Skills!C18=2,90+Inputs!$B$26+Inputs!$B$29,IF(Skills!C18=3,120+Inputs!$B$27+Inputs!$B$29,MAX(0,(Inputs!$B$3-100)*3)+Inputs!$B$28+Inputs!$B$29)))</f>
        <v/>
      </c>
      <c r="E3672">
        <f>INDEX(FactorTable!$B$2:$Y$301, MATCH(ROUND(MIN(300,MAX(1,D3672)),0), FactorTable!$A$2:$A$301,0), Skills!M18+1)</f>
        <v/>
      </c>
      <c r="F3672">
        <f>IF(Skills!N18=TRUE,(Skills!L18/10)*(E3672/1000),Skills!L18/10)+Skills!O18</f>
        <v/>
      </c>
      <c r="G3672">
        <f>Skills!G18*IF(Skills!H18&gt;0,IF(Inputs!$B$39="pvp",MIN(Skills!I18,15),Skills!I18)/Skills!H18,1)</f>
        <v/>
      </c>
      <c r="H3672">
        <f>1-(1-Skills!J18/100)^Skills!K18</f>
        <v/>
      </c>
      <c r="I3672" t="inlineStr">
        <is>
          <t>1</t>
        </is>
      </c>
      <c r="J3672" t="inlineStr"/>
      <c r="K3672" t="inlineStr"/>
      <c r="L3672" t="inlineStr"/>
      <c r="M3672" t="inlineStr"/>
      <c r="N3672" t="inlineStr"/>
      <c r="O3672">
        <f>(1-Summary!$B$11)*T3672+Summary!$B$11*V3672</f>
        <v/>
      </c>
      <c r="P3672">
        <f>IF(B3700=0,0,O3672/B3700)</f>
        <v/>
      </c>
      <c r="Q3672" t="n">
        <v>0</v>
      </c>
      <c r="R3672" t="n">
        <v>0</v>
      </c>
      <c r="S3672">
        <f>IFERROR(O3672/N3672,0)</f>
        <v/>
      </c>
      <c r="T3672" t="n">
        <v>0</v>
      </c>
      <c r="V3672" t="n">
        <v>0</v>
      </c>
    </row>
    <row r="3673">
      <c r="A3673">
        <f>Skills!A19</f>
        <v/>
      </c>
      <c r="B3673">
        <f>Skills!B19</f>
        <v/>
      </c>
      <c r="C3673">
        <f>Inputs!$B$3&gt;=100</f>
        <v/>
      </c>
      <c r="D3673">
        <f>IF(Skills!C19=1,60+Inputs!$B$25+Inputs!$B$29,IF(Skills!C19=2,90+Inputs!$B$26+Inputs!$B$29,IF(Skills!C19=3,120+Inputs!$B$27+Inputs!$B$29,MAX(0,(Inputs!$B$3-100)*3)+Inputs!$B$28+Inputs!$B$29)))</f>
        <v/>
      </c>
      <c r="E3673">
        <f>INDEX(FactorTable!$B$2:$Y$301, MATCH(ROUND(MIN(300,MAX(1,D3673)),0), FactorTable!$A$2:$A$301,0), Skills!M19+1)</f>
        <v/>
      </c>
      <c r="F3673">
        <f>IF(Skills!N19=TRUE,(Skills!L19/10)*(E3673/1000),Skills!L19/10)+Skills!O19</f>
        <v/>
      </c>
      <c r="G3673">
        <f>Skills!G19*IF(Skills!H19&gt;0,IF(Inputs!$B$39="pvp",MIN(Skills!I19,15),Skills!I19)/Skills!H19,1)</f>
        <v/>
      </c>
      <c r="H3673">
        <f>1-(1-Skills!J19/100)^Skills!K19</f>
        <v/>
      </c>
      <c r="I3673" t="inlineStr">
        <is>
          <t>1</t>
        </is>
      </c>
      <c r="J3673" t="inlineStr"/>
      <c r="K3673" t="inlineStr"/>
      <c r="L3673" t="inlineStr"/>
      <c r="M3673" t="inlineStr"/>
      <c r="N3673" t="inlineStr"/>
      <c r="O3673">
        <f>(1-Summary!$B$11)*T3673+Summary!$B$11*V3673</f>
        <v/>
      </c>
      <c r="P3673">
        <f>IF(B3700=0,0,O3673/B3700)</f>
        <v/>
      </c>
      <c r="Q3673" t="n">
        <v>0</v>
      </c>
      <c r="R3673" t="n">
        <v>0</v>
      </c>
      <c r="S3673">
        <f>IFERROR(O3673/N3673,0)</f>
        <v/>
      </c>
      <c r="T3673" t="n">
        <v>0</v>
      </c>
      <c r="V3673" t="n">
        <v>0</v>
      </c>
    </row>
    <row r="3674">
      <c r="A3674">
        <f>Skills!A20</f>
        <v/>
      </c>
      <c r="B3674">
        <f>Skills!B20</f>
        <v/>
      </c>
      <c r="C3674">
        <f>TRUE</f>
        <v/>
      </c>
      <c r="D3674">
        <f>IF(Skills!C20=1,60+Inputs!$B$25+Inputs!$B$29,IF(Skills!C20=2,90+Inputs!$B$26+Inputs!$B$29,IF(Skills!C20=3,120+Inputs!$B$27+Inputs!$B$29,MAX(0,(Inputs!$B$3-100)*3)+Inputs!$B$28+Inputs!$B$29)))</f>
        <v/>
      </c>
      <c r="E3674">
        <f>INDEX(FactorTable!$B$2:$Y$301, MATCH(ROUND(MIN(300,MAX(1,D3674)),0), FactorTable!$A$2:$A$301,0), Skills!M20+1)</f>
        <v/>
      </c>
      <c r="F3674">
        <f>IF(Skills!N20=TRUE,(Skills!L20/10)*(E3674/1000),Skills!L20/10)+Skills!O20</f>
        <v/>
      </c>
      <c r="G3674">
        <f>Skills!G20*IF(Skills!H20&gt;0,IF(Inputs!$B$39="pvp",MIN(Skills!I20,15),Skills!I20)/Skills!H20,1)</f>
        <v/>
      </c>
      <c r="H3674">
        <f>1-(1-Skills!J20/100)^Skills!K20</f>
        <v/>
      </c>
      <c r="I3674" t="inlineStr">
        <is>
          <t>1</t>
        </is>
      </c>
      <c r="J3674" t="inlineStr"/>
      <c r="K3674" t="inlineStr"/>
      <c r="L3674" t="inlineStr"/>
      <c r="M3674" t="inlineStr"/>
      <c r="N3674" t="inlineStr"/>
      <c r="O3674">
        <f>(1-Summary!$B$11)*T3674+Summary!$B$11*V3674</f>
        <v/>
      </c>
      <c r="P3674">
        <f>IF(B3700=0,0,O3674/B3700)</f>
        <v/>
      </c>
      <c r="Q3674">
        <f>IFERROR(1/IF(Inputs!$B$39="pvp",15,MAX(0.1,Skills!D20-IF(TRUE=TRUE,4.0,0))),0)</f>
        <v/>
      </c>
      <c r="R3674">
        <f>IF(AND(Inputs!$B$39&lt;&gt;"pvp",Inputs!$B$44&gt;0),IF(Inputs!$B$44&lt;=0,0,(INT(Inputs!$B$44/IF(Inputs!$B$39="pvp",15,MAX(0.1,Skills!D20-IF(TRUE=TRUE,4.0,0))))+1)),0)</f>
        <v/>
      </c>
      <c r="S3674">
        <f>IFERROR(O3674/N3674,0)</f>
        <v/>
      </c>
      <c r="T3674" t="n">
        <v>0</v>
      </c>
      <c r="V3674" t="n">
        <v>0</v>
      </c>
    </row>
    <row r="3675">
      <c r="A3675">
        <f>Skills!A21</f>
        <v/>
      </c>
      <c r="B3675">
        <f>Skills!B21</f>
        <v/>
      </c>
      <c r="C3675">
        <f>Inputs!$B$3&gt;=15</f>
        <v/>
      </c>
      <c r="D3675">
        <f>IF(Skills!C21=1,60+Inputs!$B$25+Inputs!$B$29,IF(Skills!C21=2,90+Inputs!$B$26+Inputs!$B$29,IF(Skills!C21=3,120+Inputs!$B$27+Inputs!$B$29,MAX(0,(Inputs!$B$3-100)*3)+Inputs!$B$28+Inputs!$B$29)))</f>
        <v/>
      </c>
      <c r="E3675">
        <f>INDEX(FactorTable!$B$2:$Y$301, MATCH(ROUND(MIN(300,MAX(1,D3675)),0), FactorTable!$A$2:$A$301,0), Skills!M21+1)</f>
        <v/>
      </c>
      <c r="F3675">
        <f>IF(Skills!N21=TRUE,(Skills!L21/10)*(E3675/1000),Skills!L21/10)+Skills!O21</f>
        <v/>
      </c>
      <c r="G3675">
        <f>Skills!G21*IF(Skills!H21&gt;0,IF(Inputs!$B$39="pvp",MIN(Skills!I21,15),Skills!I21)/Skills!H21,1)</f>
        <v/>
      </c>
      <c r="H3675">
        <f>1-(1-Skills!J21/100)^Skills!K21</f>
        <v/>
      </c>
      <c r="I3675" t="inlineStr">
        <is>
          <t>1</t>
        </is>
      </c>
      <c r="J3675" t="inlineStr"/>
      <c r="K3675" t="inlineStr"/>
      <c r="L3675" t="inlineStr"/>
      <c r="M3675" t="inlineStr"/>
      <c r="N3675" t="inlineStr"/>
      <c r="O3675">
        <f>(1-Summary!$B$11)*T3675+Summary!$B$11*V3675</f>
        <v/>
      </c>
      <c r="P3675">
        <f>IF(B3700=0,0,O3675/B3700)</f>
        <v/>
      </c>
      <c r="Q3675">
        <f>IFERROR(1/IF(Inputs!$B$39="pvp",15,MAX(0.1,Skills!D21-IF(TRUE=TRUE,4.0,0))),0)</f>
        <v/>
      </c>
      <c r="R3675">
        <f>IF(AND(Inputs!$B$39&lt;&gt;"pvp",Inputs!$B$44&gt;0),IF(Inputs!$B$44&lt;=0,0,(INT(Inputs!$B$44/IF(Inputs!$B$39="pvp",15,MAX(0.1,Skills!D21-IF(TRUE=TRUE,4.0,0))))+1)),0)</f>
        <v/>
      </c>
      <c r="S3675">
        <f>IFERROR(O3675/N3675,0)</f>
        <v/>
      </c>
      <c r="T3675" t="n">
        <v>0</v>
      </c>
      <c r="V3675" t="n">
        <v>0</v>
      </c>
    </row>
    <row r="3676">
      <c r="A3676">
        <f>Skills!A22</f>
        <v/>
      </c>
      <c r="B3676">
        <f>Skills!B22</f>
        <v/>
      </c>
      <c r="C3676">
        <f>Inputs!$B$3&gt;=15</f>
        <v/>
      </c>
      <c r="D3676">
        <f>IF(Skills!C22=1,60+Inputs!$B$25+Inputs!$B$29,IF(Skills!C22=2,90+Inputs!$B$26+Inputs!$B$29,IF(Skills!C22=3,120+Inputs!$B$27+Inputs!$B$29,MAX(0,(Inputs!$B$3-100)*3)+Inputs!$B$28+Inputs!$B$29)))</f>
        <v/>
      </c>
      <c r="E3676">
        <f>INDEX(FactorTable!$B$2:$Y$301, MATCH(ROUND(MIN(300,MAX(1,D3676)),0), FactorTable!$A$2:$A$301,0), Skills!M22+1)</f>
        <v/>
      </c>
      <c r="F3676">
        <f>IF(Skills!N22=TRUE,(Skills!L22/10)*(E3676/1000),Skills!L22/10)+Skills!O22</f>
        <v/>
      </c>
      <c r="G3676">
        <f>Skills!G22*IF(Skills!H22&gt;0,IF(Inputs!$B$39="pvp",MIN(Skills!I22,15),Skills!I22)/Skills!H22,1)</f>
        <v/>
      </c>
      <c r="H3676">
        <f>1-(1-Skills!J22/100)^Skills!K22</f>
        <v/>
      </c>
      <c r="I3676" t="inlineStr">
        <is>
          <t>1</t>
        </is>
      </c>
      <c r="J3676" t="inlineStr"/>
      <c r="K3676" t="inlineStr"/>
      <c r="L3676" t="inlineStr"/>
      <c r="M3676" t="inlineStr"/>
      <c r="N3676" t="inlineStr"/>
      <c r="O3676">
        <f>(1-Summary!$B$11)*T3676+Summary!$B$11*V3676</f>
        <v/>
      </c>
      <c r="P3676">
        <f>IF(B3700=0,0,O3676/B3700)</f>
        <v/>
      </c>
      <c r="Q3676">
        <f>IFERROR(1/IF(Inputs!$B$39="pvp",15,MAX(0.1,Skills!D22-IF(TRUE=TRUE,4.0,0))),0)</f>
        <v/>
      </c>
      <c r="R3676">
        <f>IF(AND(Inputs!$B$39&lt;&gt;"pvp",Inputs!$B$44&gt;0),IF(Inputs!$B$44&lt;=0,0,(INT(Inputs!$B$44/IF(Inputs!$B$39="pvp",15,MAX(0.1,Skills!D22-IF(TRUE=TRUE,4.0,0))))+1)),0)</f>
        <v/>
      </c>
      <c r="S3676">
        <f>IFERROR(O3676/N3676,0)</f>
        <v/>
      </c>
      <c r="T3676" t="n">
        <v>0</v>
      </c>
      <c r="V3676" t="n">
        <v>0</v>
      </c>
    </row>
    <row r="3677">
      <c r="A3677">
        <f>Skills!A23</f>
        <v/>
      </c>
      <c r="B3677">
        <f>Skills!B23</f>
        <v/>
      </c>
      <c r="C3677">
        <f>Inputs!$B$3&gt;=33</f>
        <v/>
      </c>
      <c r="D3677">
        <f>IF(Skills!C23=1,60+Inputs!$B$25+Inputs!$B$29,IF(Skills!C23=2,90+Inputs!$B$26+Inputs!$B$29,IF(Skills!C23=3,120+Inputs!$B$27+Inputs!$B$29,MAX(0,(Inputs!$B$3-100)*3)+Inputs!$B$28+Inputs!$B$29)))</f>
        <v/>
      </c>
      <c r="E3677">
        <f>INDEX(FactorTable!$B$2:$Y$301, MATCH(ROUND(MIN(300,MAX(1,D3677)),0), FactorTable!$A$2:$A$301,0), Skills!M23+1)</f>
        <v/>
      </c>
      <c r="F3677">
        <f>IF(Skills!N23=TRUE,(Skills!L23/10)*(E3677/1000),Skills!L23/10)+Skills!O23</f>
        <v/>
      </c>
      <c r="G3677">
        <f>Skills!G23*IF(Skills!H23&gt;0,IF(Inputs!$B$39="pvp",MIN(Skills!I23,15),Skills!I23)/Skills!H23,1)</f>
        <v/>
      </c>
      <c r="H3677">
        <f>1-(1-Skills!J23/100)^Skills!K23</f>
        <v/>
      </c>
      <c r="I3677" t="inlineStr">
        <is>
          <t>1</t>
        </is>
      </c>
      <c r="J3677" t="inlineStr"/>
      <c r="K3677" t="inlineStr"/>
      <c r="L3677" t="inlineStr"/>
      <c r="M3677" t="inlineStr"/>
      <c r="N3677" t="inlineStr"/>
      <c r="O3677">
        <f>(1-Summary!$B$11)*T3677+Summary!$B$11*V3677</f>
        <v/>
      </c>
      <c r="P3677">
        <f>IF(B3700=0,0,O3677/B3700)</f>
        <v/>
      </c>
      <c r="Q3677" t="n">
        <v>0</v>
      </c>
      <c r="R3677" t="n">
        <v>0</v>
      </c>
      <c r="S3677">
        <f>IFERROR(O3677/N3677,0)</f>
        <v/>
      </c>
      <c r="T3677" t="n">
        <v>0</v>
      </c>
      <c r="V3677" t="n">
        <v>0</v>
      </c>
    </row>
    <row r="3678">
      <c r="A3678">
        <f>Skills!A24</f>
        <v/>
      </c>
      <c r="B3678">
        <f>Skills!B24</f>
        <v/>
      </c>
      <c r="C3678">
        <f>Inputs!$B$3&gt;=40</f>
        <v/>
      </c>
      <c r="D3678">
        <f>IF(Skills!C24=1,60+Inputs!$B$25+Inputs!$B$29,IF(Skills!C24=2,90+Inputs!$B$26+Inputs!$B$29,IF(Skills!C24=3,120+Inputs!$B$27+Inputs!$B$29,MAX(0,(Inputs!$B$3-100)*3)+Inputs!$B$28+Inputs!$B$29)))</f>
        <v/>
      </c>
      <c r="E3678">
        <f>INDEX(FactorTable!$B$2:$Y$301, MATCH(ROUND(MIN(300,MAX(1,D3678)),0), FactorTable!$A$2:$A$301,0), Skills!M24+1)</f>
        <v/>
      </c>
      <c r="F3678">
        <f>IF(Skills!N24=TRUE,(Skills!L24/10)*(E3678/1000),Skills!L24/10)+Skills!O24</f>
        <v/>
      </c>
      <c r="G3678">
        <f>Skills!G24*IF(Skills!H24&gt;0,IF(Inputs!$B$39="pvp",MIN(Skills!I24,15),Skills!I24)/Skills!H24,1)</f>
        <v/>
      </c>
      <c r="H3678">
        <f>1-(1-Skills!J24/100)^Skills!K24</f>
        <v/>
      </c>
      <c r="I3678" t="inlineStr">
        <is>
          <t>1</t>
        </is>
      </c>
      <c r="J3678" t="inlineStr"/>
      <c r="K3678" t="inlineStr"/>
      <c r="L3678" t="inlineStr"/>
      <c r="M3678" t="inlineStr"/>
      <c r="N3678" t="inlineStr"/>
      <c r="O3678">
        <f>(1-Summary!$B$11)*T3678+Summary!$B$11*V3678</f>
        <v/>
      </c>
      <c r="P3678">
        <f>IF(B3700=0,0,O3678/B3700)</f>
        <v/>
      </c>
      <c r="Q3678" t="n">
        <v>0</v>
      </c>
      <c r="R3678" t="n">
        <v>0</v>
      </c>
      <c r="S3678">
        <f>IFERROR(O3678/N3678,0)</f>
        <v/>
      </c>
      <c r="T3678" t="n">
        <v>0</v>
      </c>
      <c r="V3678" t="n">
        <v>0</v>
      </c>
    </row>
    <row r="3679">
      <c r="A3679">
        <f>Skills!A25</f>
        <v/>
      </c>
      <c r="B3679">
        <f>Skills!B25</f>
        <v/>
      </c>
      <c r="C3679">
        <f>Inputs!$B$3&gt;=43</f>
        <v/>
      </c>
      <c r="D3679">
        <f>IF(Skills!C25=1,60+Inputs!$B$25+Inputs!$B$29,IF(Skills!C25=2,90+Inputs!$B$26+Inputs!$B$29,IF(Skills!C25=3,120+Inputs!$B$27+Inputs!$B$29,MAX(0,(Inputs!$B$3-100)*3)+Inputs!$B$28+Inputs!$B$29)))</f>
        <v/>
      </c>
      <c r="E3679">
        <f>INDEX(FactorTable!$B$2:$Y$301, MATCH(ROUND(MIN(300,MAX(1,D3679)),0), FactorTable!$A$2:$A$301,0), Skills!M25+1)</f>
        <v/>
      </c>
      <c r="F3679">
        <f>IF(Skills!N25=TRUE,(Skills!L25/10)*(E3679/1000),Skills!L25/10)+Skills!O25</f>
        <v/>
      </c>
      <c r="G3679">
        <f>Skills!G25*IF(Skills!H25&gt;0,IF(Inputs!$B$39="pvp",MIN(Skills!I25,15),Skills!I25)/Skills!H25,1)</f>
        <v/>
      </c>
      <c r="H3679">
        <f>1-(1-Skills!J25/100)^Skills!K25</f>
        <v/>
      </c>
      <c r="I3679" t="inlineStr">
        <is>
          <t>1</t>
        </is>
      </c>
      <c r="J3679" t="inlineStr"/>
      <c r="K3679" t="inlineStr"/>
      <c r="L3679" t="inlineStr"/>
      <c r="M3679" t="inlineStr"/>
      <c r="N3679" t="inlineStr"/>
      <c r="O3679">
        <f>(1-Summary!$B$11)*T3679+Summary!$B$11*V3679</f>
        <v/>
      </c>
      <c r="P3679">
        <f>IF(B3700=0,0,O3679/B3700)</f>
        <v/>
      </c>
      <c r="Q3679" t="n">
        <v>0</v>
      </c>
      <c r="R3679" t="n">
        <v>0</v>
      </c>
      <c r="S3679">
        <f>IFERROR(O3679/N3679,0)</f>
        <v/>
      </c>
      <c r="T3679" t="n">
        <v>0</v>
      </c>
      <c r="V3679" t="n">
        <v>0</v>
      </c>
    </row>
    <row r="3680">
      <c r="A3680">
        <f>Skills!A26</f>
        <v/>
      </c>
      <c r="B3680">
        <f>Skills!B26</f>
        <v/>
      </c>
      <c r="C3680">
        <f>Inputs!$B$3&gt;=50</f>
        <v/>
      </c>
      <c r="D3680">
        <f>IF(Skills!C26=1,60+Inputs!$B$25+Inputs!$B$29,IF(Skills!C26=2,90+Inputs!$B$26+Inputs!$B$29,IF(Skills!C26=3,120+Inputs!$B$27+Inputs!$B$29,MAX(0,(Inputs!$B$3-100)*3)+Inputs!$B$28+Inputs!$B$29)))</f>
        <v/>
      </c>
      <c r="E3680">
        <f>INDEX(FactorTable!$B$2:$Y$301, MATCH(ROUND(MIN(300,MAX(1,D3680)),0), FactorTable!$A$2:$A$301,0), Skills!M26+1)</f>
        <v/>
      </c>
      <c r="F3680">
        <f>IF(Skills!N26=TRUE,(Skills!L26/10)*(E3680/1000),Skills!L26/10)+Skills!O26</f>
        <v/>
      </c>
      <c r="G3680">
        <f>Skills!G26*IF(Skills!H26&gt;0,IF(Inputs!$B$39="pvp",MIN(Skills!I26,15),Skills!I26)/Skills!H26,1)</f>
        <v/>
      </c>
      <c r="H3680">
        <f>1-(1-Skills!J26/100)^Skills!K26</f>
        <v/>
      </c>
      <c r="I3680" t="inlineStr">
        <is>
          <t>1</t>
        </is>
      </c>
      <c r="J3680" t="inlineStr"/>
      <c r="K3680" t="inlineStr"/>
      <c r="L3680" t="inlineStr"/>
      <c r="M3680" t="inlineStr"/>
      <c r="N3680" t="inlineStr"/>
      <c r="O3680">
        <f>(1-Summary!$B$11)*T3680+Summary!$B$11*V3680</f>
        <v/>
      </c>
      <c r="P3680">
        <f>IF(B3700=0,0,O3680/B3700)</f>
        <v/>
      </c>
      <c r="Q3680" t="n">
        <v>0</v>
      </c>
      <c r="R3680" t="n">
        <v>0</v>
      </c>
      <c r="S3680">
        <f>IFERROR(O3680/N3680,0)</f>
        <v/>
      </c>
      <c r="T3680" t="n">
        <v>0</v>
      </c>
      <c r="V3680" t="n">
        <v>0</v>
      </c>
    </row>
    <row r="3681">
      <c r="A3681">
        <f>Skills!A27</f>
        <v/>
      </c>
      <c r="B3681">
        <f>Skills!B27</f>
        <v/>
      </c>
      <c r="C3681">
        <f>Inputs!$B$3&gt;=50</f>
        <v/>
      </c>
      <c r="D3681">
        <f>IF(Skills!C27=1,60+Inputs!$B$25+Inputs!$B$29,IF(Skills!C27=2,90+Inputs!$B$26+Inputs!$B$29,IF(Skills!C27=3,120+Inputs!$B$27+Inputs!$B$29,MAX(0,(Inputs!$B$3-100)*3)+Inputs!$B$28+Inputs!$B$29)))</f>
        <v/>
      </c>
      <c r="E3681">
        <f>INDEX(FactorTable!$B$2:$Y$301, MATCH(ROUND(MIN(300,MAX(1,D3681)),0), FactorTable!$A$2:$A$301,0), Skills!M27+1)</f>
        <v/>
      </c>
      <c r="F3681">
        <f>IF(Skills!N27=TRUE,(Skills!L27/10)*(E3681/1000),Skills!L27/10)+Skills!O27</f>
        <v/>
      </c>
      <c r="G3681">
        <f>Skills!G27*IF(Skills!H27&gt;0,IF(Inputs!$B$39="pvp",MIN(Skills!I27,15),Skills!I27)/Skills!H27,1)</f>
        <v/>
      </c>
      <c r="H3681">
        <f>1-(1-Skills!J27/100)^Skills!K27</f>
        <v/>
      </c>
      <c r="I3681" t="inlineStr">
        <is>
          <t>1</t>
        </is>
      </c>
      <c r="J3681" t="inlineStr"/>
      <c r="K3681" t="inlineStr"/>
      <c r="L3681" t="inlineStr"/>
      <c r="M3681" t="inlineStr"/>
      <c r="N3681" t="inlineStr"/>
      <c r="O3681">
        <f>(1-Summary!$B$11)*T3681+Summary!$B$11*V3681</f>
        <v/>
      </c>
      <c r="P3681">
        <f>IF(B3700=0,0,O3681/B3700)</f>
        <v/>
      </c>
      <c r="Q3681" t="n">
        <v>0</v>
      </c>
      <c r="R3681" t="n">
        <v>0</v>
      </c>
      <c r="S3681">
        <f>IFERROR(O3681/N3681,0)</f>
        <v/>
      </c>
      <c r="T3681" t="n">
        <v>0</v>
      </c>
      <c r="V3681" t="n">
        <v>0</v>
      </c>
    </row>
    <row r="3682">
      <c r="A3682">
        <f>Skills!A28</f>
        <v/>
      </c>
      <c r="B3682">
        <f>Skills!B28</f>
        <v/>
      </c>
      <c r="C3682">
        <f>Inputs!$B$3&gt;=38</f>
        <v/>
      </c>
      <c r="D3682">
        <f>IF(Skills!C28=1,60+Inputs!$B$25+Inputs!$B$29,IF(Skills!C28=2,90+Inputs!$B$26+Inputs!$B$29,IF(Skills!C28=3,120+Inputs!$B$27+Inputs!$B$29,MAX(0,(Inputs!$B$3-100)*3)+Inputs!$B$28+Inputs!$B$29)))</f>
        <v/>
      </c>
      <c r="E3682">
        <f>INDEX(FactorTable!$B$2:$Y$301, MATCH(ROUND(MIN(300,MAX(1,D3682)),0), FactorTable!$A$2:$A$301,0), Skills!M28+1)</f>
        <v/>
      </c>
      <c r="F3682">
        <f>IF(Skills!N28=TRUE,(Skills!L28/10)*(E3682/1000),Skills!L28/10)+Skills!O28</f>
        <v/>
      </c>
      <c r="G3682">
        <f>Skills!G28*IF(Skills!H28&gt;0,IF(Inputs!$B$39="pvp",MIN(Skills!I28,15),Skills!I28)/Skills!H28,1)</f>
        <v/>
      </c>
      <c r="H3682">
        <f>1-(1-Skills!J28/100)^Skills!K28</f>
        <v/>
      </c>
      <c r="I3682" t="inlineStr">
        <is>
          <t>1</t>
        </is>
      </c>
      <c r="J3682" t="inlineStr"/>
      <c r="K3682" t="inlineStr"/>
      <c r="L3682" t="inlineStr"/>
      <c r="M3682" t="inlineStr"/>
      <c r="N3682" t="inlineStr"/>
      <c r="O3682">
        <f>(1-Summary!$B$11)*T3682+Summary!$B$11*V3682</f>
        <v/>
      </c>
      <c r="P3682">
        <f>IF(B3700=0,0,O3682/B3700)</f>
        <v/>
      </c>
      <c r="Q3682" t="n">
        <v>0</v>
      </c>
      <c r="R3682" t="n">
        <v>0</v>
      </c>
      <c r="S3682">
        <f>IFERROR(O3682/N3682,0)</f>
        <v/>
      </c>
      <c r="T3682" t="n">
        <v>0</v>
      </c>
      <c r="V3682" t="n">
        <v>0</v>
      </c>
    </row>
    <row r="3683">
      <c r="A3683">
        <f>Skills!A29</f>
        <v/>
      </c>
      <c r="B3683">
        <f>Skills!B29</f>
        <v/>
      </c>
      <c r="C3683">
        <f>Inputs!$B$3&gt;=120</f>
        <v/>
      </c>
      <c r="D3683">
        <f>IF(Skills!C29=1,60+Inputs!$B$25+Inputs!$B$29,IF(Skills!C29=2,90+Inputs!$B$26+Inputs!$B$29,IF(Skills!C29=3,120+Inputs!$B$27+Inputs!$B$29,MAX(0,(Inputs!$B$3-100)*3)+Inputs!$B$28+Inputs!$B$29)))</f>
        <v/>
      </c>
      <c r="E3683">
        <f>INDEX(FactorTable!$B$2:$Y$301, MATCH(ROUND(MIN(300,MAX(1,D3683)),0), FactorTable!$A$2:$A$301,0), Skills!M29+1)</f>
        <v/>
      </c>
      <c r="F3683">
        <f>IF(Skills!N29=TRUE,(Skills!L29/10)*(E3683/1000),Skills!L29/10)+Skills!O29</f>
        <v/>
      </c>
      <c r="G3683">
        <f>Skills!G29*IF(Skills!H29&gt;0,IF(Inputs!$B$39="pvp",MIN(Skills!I29,15),Skills!I29)/Skills!H29,1)</f>
        <v/>
      </c>
      <c r="H3683">
        <f>1-(1-Skills!J29/100)^Skills!K29</f>
        <v/>
      </c>
      <c r="I3683" t="inlineStr">
        <is>
          <t>1</t>
        </is>
      </c>
      <c r="J3683" t="inlineStr"/>
      <c r="K3683" t="inlineStr"/>
      <c r="L3683" t="inlineStr"/>
      <c r="M3683" t="inlineStr"/>
      <c r="N3683" t="inlineStr"/>
      <c r="O3683">
        <f>(1-Summary!$B$11)*T3683+Summary!$B$11*V3683</f>
        <v/>
      </c>
      <c r="P3683">
        <f>IF(B3700=0,0,O3683/B3700)</f>
        <v/>
      </c>
      <c r="Q3683" t="n">
        <v>0</v>
      </c>
      <c r="R3683" t="n">
        <v>0</v>
      </c>
      <c r="S3683">
        <f>IFERROR(O3683/N3683,0)</f>
        <v/>
      </c>
      <c r="T3683" t="n">
        <v>0</v>
      </c>
      <c r="V3683" t="n">
        <v>0</v>
      </c>
    </row>
    <row r="3684">
      <c r="A3684">
        <f>Skills!A30</f>
        <v/>
      </c>
      <c r="B3684">
        <f>Skills!B30</f>
        <v/>
      </c>
      <c r="C3684">
        <f>Inputs!$B$3&gt;=120</f>
        <v/>
      </c>
      <c r="D3684">
        <f>IF(Skills!C30=1,60+Inputs!$B$25+Inputs!$B$29,IF(Skills!C30=2,90+Inputs!$B$26+Inputs!$B$29,IF(Skills!C30=3,120+Inputs!$B$27+Inputs!$B$29,MAX(0,(Inputs!$B$3-100)*3)+Inputs!$B$28+Inputs!$B$29)))</f>
        <v/>
      </c>
      <c r="E3684">
        <f>INDEX(FactorTable!$B$2:$Y$301, MATCH(ROUND(MIN(300,MAX(1,D3684)),0), FactorTable!$A$2:$A$301,0), Skills!M30+1)</f>
        <v/>
      </c>
      <c r="F3684">
        <f>IF(Skills!N30=TRUE,(Skills!L30/10)*(E3684/1000),Skills!L30/10)+Skills!O30</f>
        <v/>
      </c>
      <c r="G3684">
        <f>Skills!G30*IF(Skills!H30&gt;0,IF(Inputs!$B$39="pvp",MIN(Skills!I30,15),Skills!I30)/Skills!H30,1)</f>
        <v/>
      </c>
      <c r="H3684">
        <f>1-(1-Skills!J30/100)^Skills!K30</f>
        <v/>
      </c>
      <c r="I3684" t="inlineStr">
        <is>
          <t>1</t>
        </is>
      </c>
      <c r="J3684" t="inlineStr"/>
      <c r="K3684" t="inlineStr"/>
      <c r="L3684" t="inlineStr"/>
      <c r="M3684" t="inlineStr"/>
      <c r="N3684" t="inlineStr"/>
      <c r="O3684">
        <f>(1-Summary!$B$11)*T3684+Summary!$B$11*V3684</f>
        <v/>
      </c>
      <c r="P3684">
        <f>IF(B3700=0,0,O3684/B3700)</f>
        <v/>
      </c>
      <c r="Q3684" t="n">
        <v>0</v>
      </c>
      <c r="R3684" t="n">
        <v>0</v>
      </c>
      <c r="S3684">
        <f>IFERROR(O3684/N3684,0)</f>
        <v/>
      </c>
      <c r="T3684" t="n">
        <v>0</v>
      </c>
      <c r="V3684" t="n">
        <v>0</v>
      </c>
    </row>
    <row r="3685">
      <c r="A3685">
        <f>Skills!A31</f>
        <v/>
      </c>
      <c r="B3685">
        <f>Skills!B31</f>
        <v/>
      </c>
      <c r="C3685">
        <f>Inputs!$B$3&gt;=125</f>
        <v/>
      </c>
      <c r="D3685">
        <f>IF(Skills!C31=1,60+Inputs!$B$25+Inputs!$B$29,IF(Skills!C31=2,90+Inputs!$B$26+Inputs!$B$29,IF(Skills!C31=3,120+Inputs!$B$27+Inputs!$B$29,MAX(0,(Inputs!$B$3-100)*3)+Inputs!$B$28+Inputs!$B$29)))</f>
        <v/>
      </c>
      <c r="E3685">
        <f>INDEX(FactorTable!$B$2:$Y$301, MATCH(ROUND(MIN(300,MAX(1,D3685)),0), FactorTable!$A$2:$A$301,0), Skills!M31+1)</f>
        <v/>
      </c>
      <c r="F3685">
        <f>IF(Skills!N31=TRUE,(Skills!L31/10)*(E3685/1000),Skills!L31/10)+Skills!O31</f>
        <v/>
      </c>
      <c r="G3685">
        <f>Skills!G31*IF(Skills!H31&gt;0,IF(Inputs!$B$39="pvp",MIN(Skills!I31,15),Skills!I31)/Skills!H31,1)</f>
        <v/>
      </c>
      <c r="H3685">
        <f>1-(1-Skills!J31/100)^Skills!K31</f>
        <v/>
      </c>
      <c r="I3685" t="inlineStr">
        <is>
          <t>1</t>
        </is>
      </c>
      <c r="J3685" t="inlineStr"/>
      <c r="K3685" t="inlineStr"/>
      <c r="L3685" t="inlineStr"/>
      <c r="M3685" t="inlineStr"/>
      <c r="N3685" t="inlineStr"/>
      <c r="O3685">
        <f>(1-Summary!$B$11)*T3685+Summary!$B$11*V3685</f>
        <v/>
      </c>
      <c r="P3685">
        <f>IF(B3700=0,0,O3685/B3700)</f>
        <v/>
      </c>
      <c r="Q3685" t="n">
        <v>0</v>
      </c>
      <c r="R3685" t="n">
        <v>0</v>
      </c>
      <c r="S3685">
        <f>IFERROR(O3685/N3685,0)</f>
        <v/>
      </c>
      <c r="T3685" t="n">
        <v>0</v>
      </c>
      <c r="V3685" t="n">
        <v>0</v>
      </c>
    </row>
    <row r="3687">
      <c r="A3687" t="inlineStr">
        <is>
          <t>Average Buff Multiplier</t>
        </is>
      </c>
      <c r="B3687">
        <f>(1+(((C3676=TRUE)*F3676*IF(AND(Inputs!$B$39&lt;&gt;"pvp",Inputs!$B$44&gt;0),(((R3676-1)*MIN((Skills!Y22*(1+Inputs!$B$34/100)),(1/Q3676))+MIN((Skills!Y22*(1+Inputs!$B$34/100)),MAX(0,Inputs!$B$44-((R3676-1)*(1/Q3676)))))/Inputs!$B$44),IF(Inputs!$B$39="pvp",MIN((Skills!Y22*(1+Inputs!$B$34/100)),15)/15,MIN(1,(Skills!Y22*(1+Inputs!$B$34/100))/(1/Q3676)))))+((C3657=TRUE)*F3657*3)+((C3659=TRUE)*F3659*(1-EXP(-0.75*B3692*5)))+((C3678=TRUE)*(F3678-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3665=TRUE)*F3665*IF(AND(Inputs!$B$39&lt;&gt;"pvp",Inputs!$B$44&gt;0),(((R3665-1)*MIN((Skills!Y11*(1+Inputs!$B$34/100)),(1/Q3665))+MIN((Skills!Y11*(1+Inputs!$B$34/100)),MAX(0,Inputs!$B$44-((R3665-1)*(1/Q3665)))))/Inputs!$B$44),IF(Inputs!$B$39="pvp",MIN((Skills!Y11*(1+Inputs!$B$34/100)),15)/15,MIN(1,(Skills!Y11*(1+Inputs!$B$34/100))/(1/Q3665)))))/100)*(1+((C3670=TRUE)*F3670*IF(AND(Inputs!$B$39&lt;&gt;"pvp",Inputs!$B$44&gt;0),(((R3670-1)*MIN((Skills!Y16*(1+Inputs!$B$34/100)),(1/Q3670))+MIN((Skills!Y16*(1+Inputs!$B$34/100)),MAX(0,Inputs!$B$44-((R3670-1)*(1/Q3670)))))/Inputs!$B$44),IF(Inputs!$B$39="pvp",MIN((Skills!Y16*(1+Inputs!$B$34/100)),15)/15,MIN(1,(Skills!Y16*(1+Inputs!$B$34/100))/(1/Q3670)))))/100)</f>
        <v/>
      </c>
    </row>
    <row r="3688">
      <c r="A3688" t="inlineStr">
        <is>
          <t>Global Crit Rate Bonus %</t>
        </is>
      </c>
      <c r="B3688">
        <f>((C3675=TRUE)*F3675*IF(AND(Inputs!$B$39&lt;&gt;"pvp",Inputs!$B$44&gt;0),(((R3675-1)*MIN((Skills!Y21*(1+Inputs!$B$34/100)),(1/Q3675))+MIN((Skills!Y21*(1+Inputs!$B$34/100)),MAX(0,Inputs!$B$44-((R3675-1)*(1/Q3675)))))/Inputs!$B$44),IF(Inputs!$B$39="pvp",MIN((Skills!Y21*(1+Inputs!$B$34/100)),15)/15,MIN(1,(Skills!Y21*(1+Inputs!$B$34/100))/(1/Q3675)))))</f>
        <v/>
      </c>
    </row>
    <row r="3689">
      <c r="A3689" t="inlineStr">
        <is>
          <t>Global Monster Damage-Taken Bonus %</t>
        </is>
      </c>
      <c r="B3689">
        <f>IF(Inputs!$B$3&gt;=82,15,0)</f>
        <v/>
      </c>
    </row>
    <row r="3690">
      <c r="A3690" t="inlineStr">
        <is>
          <t>Shadow Partner Average Multiplier</t>
        </is>
      </c>
      <c r="B3690">
        <f>1+((C3662=TRUE)*F3662*(1+3.3333333333333335*IF(C3673=TRUE,F3673,0)/100)*I3662*Skills!J8/100)/100</f>
        <v/>
      </c>
    </row>
    <row r="3691">
      <c r="A3691" t="inlineStr">
        <is>
          <t>Attack Speed Buff Bonus %</t>
        </is>
      </c>
      <c r="B3691">
        <f>((C3674=TRUE)*F3674*IF(AND(Inputs!$B$39&lt;&gt;"pvp",Inputs!$B$44&gt;0),(((R3674-1)*MIN((Skills!Y20*(1+Inputs!$B$34/100)),(1/Q3674))+MIN((Skills!Y20*(1+Inputs!$B$34/100)),MAX(0,Inputs!$B$44-((R3674-1)*(1/Q3674)))))/Inputs!$B$44),IF(Inputs!$B$39="pvp",MIN((Skills!Y20*(1+Inputs!$B$34/100)),15)/15,MIN(1,(Skills!Y20*(1+Inputs!$B$34/100))/(1/Q3674)))))</f>
        <v/>
      </c>
    </row>
    <row r="3692">
      <c r="A3692" t="inlineStr">
        <is>
          <t>Actions Per Second</t>
        </is>
      </c>
      <c r="B3692">
        <f>1+MIN(150,150*(1-(1-(Inputs!$B$11+((C3677=TRUE)*(F3677-Calc!F23)))/150)*(1-B3691/150)))/100</f>
        <v/>
      </c>
    </row>
    <row r="3693">
      <c r="A3693" t="inlineStr">
        <is>
          <t>Skill + Buff Cast Rate</t>
        </is>
      </c>
      <c r="B3693">
        <f>IF(AND(Inputs!$B$39&lt;&gt;"pvp",Inputs!$B$44&gt;0),SUMPRODUCT((Skills!E2:E31=TRUE)*(C3656:C3685=TRUE)*R3656:R3685*Skills!F2:F31)/Inputs!$B$44,SUMPRODUCT((Skills!E2:E31=TRUE)*(C3656:C3685=TRUE)*Q3656:Q3685*Skills!F2:F31))</f>
        <v/>
      </c>
    </row>
    <row r="3694">
      <c r="A3694" t="inlineStr">
        <is>
          <t>Cruel Stab Casts Per Second</t>
        </is>
      </c>
      <c r="B3694">
        <f>MAX(0,B3692-B3693)</f>
        <v/>
      </c>
    </row>
    <row r="3695">
      <c r="A3695" t="inlineStr">
        <is>
          <t>Global Critical Damage Bonus % (Smokescreen Mastery Lv.113)</t>
        </is>
      </c>
      <c r="B3695">
        <f>IF(Inputs!$B$3&gt;=113,30,0)*IF(AND(Inputs!$B$39&lt;&gt;"pvp",Inputs!$B$44&gt;0),(((R3670-1)*MIN((Skills!Y16*(1+Inputs!$B$34/100)),(1/Q3670))+MIN((Skills!Y16*(1+Inputs!$B$34/100)),MAX(0,Inputs!$B$44-((R3670-1)*(1/Q3670)))))/Inputs!$B$44),IF(Inputs!$B$39="pvp",MIN((Skills!Y16*(1+Inputs!$B$34/100)),15)/15,MIN(1,(Skills!Y16*(1+Inputs!$B$34/100))/(1/Q3670))))</f>
        <v/>
      </c>
    </row>
    <row r="3696">
      <c r="A3696" t="inlineStr">
        <is>
          <t>Meso Explosion average stack count</t>
        </is>
      </c>
      <c r="B3696">
        <f>MIN(10,IF(Inputs!$B$3&gt;=75,0.75,0.5)*B3692*(1/Q3658))</f>
        <v/>
      </c>
    </row>
    <row r="3697">
      <c r="A3697" t="inlineStr">
        <is>
          <t>Blood Money average stack count</t>
        </is>
      </c>
      <c r="B3697">
        <f>MIN(5,0.5*IF(Inputs!$B$3&gt;=75,0.75,0.5)*B3692*(1/Q3658))</f>
        <v/>
      </c>
    </row>
    <row r="3698">
      <c r="A3698" t="inlineStr">
        <is>
          <t>Assassinate Murderous Intent Multiplier</t>
        </is>
      </c>
      <c r="B3698">
        <f>1+IFERROR(MIN(1,Q3669*2/Q3666),0)</f>
        <v/>
      </c>
    </row>
    <row r="3699">
      <c r="A3699" t="inlineStr">
        <is>
          <t>Buff-Casting Startup Delay (s, fixed-duration only)</t>
        </is>
      </c>
      <c r="B3699">
        <f>IF(AND(Inputs!$B$39&lt;&gt;"pvp",Inputs!$B$44&gt;0),SUMPRODUCT((Skills!Y2:Y31&gt;0)*(Skills!E2:E31=TRUE)*(C3656:C3685=TRUE))/B3692,0)</f>
        <v/>
      </c>
    </row>
    <row r="3700">
      <c r="A3700" s="6" t="inlineStr">
        <is>
          <t>TOTAL DPS</t>
        </is>
      </c>
      <c r="B3700" s="6">
        <f>SUM(O3656:O3685)</f>
        <v/>
      </c>
    </row>
    <row r="3701">
      <c r="A3701" t="inlineStr">
        <is>
          <t>Boss-Only Total DPS (this block's swept value)</t>
        </is>
      </c>
      <c r="B3701">
        <f>SUM(T3656:T3685)</f>
        <v/>
      </c>
    </row>
    <row r="3702">
      <c r="A3702" t="inlineStr">
        <is>
          <t>Normal-Only Total DPS (this block's swept value)</t>
        </is>
      </c>
      <c r="B3702">
        <f>SUM(V3656:V3685)</f>
        <v/>
      </c>
    </row>
    <row r="3705">
      <c r="A3705" s="6" t="inlineStr">
        <is>
          <t>Stat: CDR = 4.5s</t>
        </is>
      </c>
    </row>
    <row r="3706">
      <c r="A3706" s="5" t="inlineStr">
        <is>
          <t>Key</t>
        </is>
      </c>
      <c r="B3706" s="5" t="inlineStr">
        <is>
          <t>Name</t>
        </is>
      </c>
      <c r="C3706" s="5" t="inlineStr">
        <is>
          <t>Unlocked</t>
        </is>
      </c>
      <c r="D3706" s="5" t="inlineStr">
        <is>
          <t>InputLevel</t>
        </is>
      </c>
      <c r="E3706" s="5" t="inlineStr">
        <is>
          <t>Factor</t>
        </is>
      </c>
      <c r="F3706" s="5" t="inlineStr">
        <is>
          <t>CoefficientPercent</t>
        </is>
      </c>
      <c r="G3706" s="5" t="inlineStr">
        <is>
          <t>EffectiveHits</t>
        </is>
      </c>
      <c r="H3706" s="5" t="inlineStr">
        <is>
          <t>ProcProbability</t>
        </is>
      </c>
      <c r="I3706" s="5" t="inlineStr">
        <is>
          <t>MapleHeroMultiplier</t>
        </is>
      </c>
      <c r="J3706" s="5" t="inlineStr">
        <is>
          <t>BaseDamage</t>
        </is>
      </c>
      <c r="K3706" s="5" t="inlineStr">
        <is>
          <t>BaseHitDamage</t>
        </is>
      </c>
      <c r="L3706" s="5" t="inlineStr">
        <is>
          <t>NonCritAvg</t>
        </is>
      </c>
      <c r="M3706" s="5" t="inlineStr">
        <is>
          <t>CritAvg</t>
        </is>
      </c>
      <c r="N3706" s="5" t="inlineStr">
        <is>
          <t>ExpectedDamage(perHit)</t>
        </is>
      </c>
      <c r="O3706" s="5" t="inlineStr">
        <is>
          <t>DPS</t>
        </is>
      </c>
      <c r="P3706" s="5" t="inlineStr">
        <is>
          <t>% of Total</t>
        </is>
      </c>
      <c r="Q3706" s="5" t="inlineStr">
        <is>
          <t>InvCooldown</t>
        </is>
      </c>
      <c r="R3706" s="5" t="inlineStr">
        <is>
          <t>CastsInFight</t>
        </is>
      </c>
      <c r="S3706" s="5" t="inlineStr">
        <is>
          <t>HitRate(perSec)</t>
        </is>
      </c>
      <c r="U3706" t="inlineStr">
        <is>
          <t>helpers</t>
        </is>
      </c>
    </row>
    <row r="3707">
      <c r="A3707">
        <f>Skills!A2</f>
        <v/>
      </c>
      <c r="B3707">
        <f>Skills!B2</f>
        <v/>
      </c>
      <c r="C3707">
        <f>Inputs!$B$3&gt;=100</f>
        <v/>
      </c>
      <c r="D3707" t="inlineStr"/>
      <c r="E3707" t="inlineStr"/>
      <c r="F3707">
        <f>U3709+Skills!O2</f>
        <v/>
      </c>
      <c r="G3707">
        <f>Skills!G2*IF(Skills!H2&gt;0,IF(Inputs!$B$39="pvp",MIN(Skills!I2,15),Skills!I2)/Skills!H2,1)</f>
        <v/>
      </c>
      <c r="H3707">
        <f>1-(1-Skills!J2/100)^Skills!K2</f>
        <v/>
      </c>
      <c r="I3707" t="inlineStr">
        <is>
          <t>1</t>
        </is>
      </c>
      <c r="J3707">
        <f>((Inputs!$B$6*(1+Inputs!$B$7/100))+(((Inputs!$B$12*(1+Inputs!$B$13/100))-(Inputs!$B$12*(1+Inputs!$B$13/100)))+0.25*(Inputs!$B$14-Inputs!$B$14))*(1+Inputs!$B$7/100))*(F3707/100)</f>
        <v/>
      </c>
      <c r="K3707">
        <f>J3707*(1+((Inputs!$B$12*(1+Inputs!$B$13/100))*0.01+Inputs!$B$14*0.0025)/100)*(1+Inputs!$B$15/100)*(1+Inputs!$B$16/100)*(5000/(6000+Inputs!$B$43*(1-(100*(1-(1-Inputs!$B$19/100)*(1-CHOOSE(ArtifactsInput!$N$40+1,5,6,7,8,9,10)/100)^(ArtifactsInput!$M$40-ArtifactsInput!$M$40)))/100)))*(1+(Inputs!$B$24+((C3736=TRUE)*(F3736-Calc!F31))+((C3723=TRUE)*(F3723-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CRUEL_STAB",Inputs!$B$17+((C3733=TRUE)*(F3733-Calc!F28))+((IF(AND(Inputs!$B$39&lt;&gt;"pvp",Inputs!$B$44=0),1,IF(IF(Inputs!$B$39="pvp",15,Inputs!$B$44)-(B3750)&lt;=0,1,MAX(0,IF(Inputs!$B$39="pvp",15,Inputs!$B$44)-MAX(5,B3750))/(IF(Inputs!$B$39="pvp",15,Inputs!$B$44)-(B3750))))*(IF(AND(ArtifactsInput!$M$42,((Inputs!$B$9+((C3731=TRUE)*(F3731-Calc!F26))+B3739+(ArtifactsInput!$M$24-ArtifactsInput!$M$24)*CHOOSE(ArtifactsInput!$N$24+1,10,12,14,16,18,20)+IF(ArtifactsInput!$M$10,CHOOSE(ArtifactsInput!$N$10+1,15,18,21,24,27,30)*(IF(Inputs!$B$39="pvp",MIN(15,15)/15,IF(AND(Inputs!$B$39&lt;&gt;"pvp",Inputs!$B$44&gt;0),MIN(15,Inputs!$B$44)/(Inputs!$B$44),0))),0)))&gt;=100),MIN(100,((Inputs!$B$9+((C3731=TRUE)*(F3731-Calc!F26))+B3739+(ArtifactsInput!$M$24-ArtifactsInput!$M$24)*CHOOSE(ArtifactsInput!$N$24+1,10,12,14,16,18,20)+IF(ArtifactsInput!$M$10,CHOOSE(ArtifactsInput!$N$10+1,15,18,21,24,27,30)*(IF(Inputs!$B$39="pvp",MIN(15,15)/15,IF(AND(Inputs!$B$39&lt;&gt;"pvp",Inputs!$B$44&gt;0),MIN(15,Inputs!$B$44)/(Inputs!$B$44),0))),0)))-100),0))*CHOOSE(ArtifactsInput!$N$42+1,0.6,0.72,0.84,0.96,1.08,1.2))),Inputs!$B$18+((C3734=TRUE)*(F3734-Calc!F29))+(IF(AND(Inputs!$B$39&lt;&gt;"pvp",Inputs!$B$44=0),1,IF(IF(Inputs!$B$39="pvp",15,Inputs!$B$44)-(B3750)&lt;=0,1,MAX(0,IF(Inputs!$B$39="pvp",15,Inputs!$B$44)-MAX(5,B3750))/(IF(Inputs!$B$39="pvp",15,Inputs!$B$44)-(B3750))))*IF(AND(ArtifactsInput!$M$42,((Inputs!$B$9+((C3731=TRUE)*(F3731-Calc!F26))+B3739+(ArtifactsInput!$M$24-ArtifactsInput!$M$24)*CHOOSE(ArtifactsInput!$N$24+1,10,12,14,16,18,20)+IF(ArtifactsInput!$M$10,CHOOSE(ArtifactsInput!$N$10+1,15,18,21,24,27,30)*(IF(Inputs!$B$39="pvp",MIN(15,15)/15,IF(AND(Inputs!$B$39&lt;&gt;"pvp",Inputs!$B$44&gt;0),MIN(15,Inputs!$B$44)/(Inputs!$B$44),0))),0)))&gt;=100),CHOOSE(ArtifactsInput!$N$42+1,40,48,56,64,72,80),0))))/100)*(((1+(((C3727=TRUE)*F3727*IF(AND(Inputs!$B$39&lt;&gt;"pvp",Inputs!$B$44&gt;0),(((R3727-1)*MIN((Skills!Y22*(1+Inputs!$B$34/100)),(1/Q3727))+MIN((Skills!Y22*(1+Inputs!$B$34/100)),MAX(0,Inputs!$B$44-((R3727-1)*(1/Q3727)))))/Inputs!$B$44),IF(Inputs!$B$39="pvp",MIN((Skills!Y22*(1+Inputs!$B$34/100)),15)/15,MIN(1,(Skills!Y22*(1+Inputs!$B$34/100))/(1/Q3727)))))+((C3708=TRUE)*F3708*3)+((C3710=TRUE)*F3710*(1-EXP(-0.75*B3743*5)))+((C3729=TRUE)*(F3729-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3716=TRUE)*F3716*IF(AND(Inputs!$B$39&lt;&gt;"pvp",Inputs!$B$44&gt;0),(((R3716-1)*MIN((Skills!Y11*(1+Inputs!$B$34/100)),(1/Q3716))+MIN((Skills!Y11*(1+Inputs!$B$34/100)),MAX(0,Inputs!$B$44-((R3716-1)*(1/Q3716)))))/Inputs!$B$44),IF(Inputs!$B$39="pvp",MIN((Skills!Y11*(1+Inputs!$B$34/100)),15)/15,MIN(1,(Skills!Y11*(1+Inputs!$B$34/100))/(1/Q3716)))))/100)*(1+((C3721=TRUE)*F3721*IF(AND(Inputs!$B$39&lt;&gt;"pvp",Inputs!$B$44&gt;0),(((R3721-1)*MIN((Skills!Y16*(1+Inputs!$B$34/100)),(1/Q3721))+MIN((Skills!Y16*(1+Inputs!$B$34/100)),MAX(0,Inputs!$B$44-((R3721-1)*(1/Q3721)))))/Inputs!$B$44),IF(Inputs!$B$39="pvp",MIN((Skills!Y16*(1+Inputs!$B$34/100)),15)/15,MIN(1,(Skills!Y16*(1+Inputs!$B$34/100))/(1/Q3721)))))/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3741*I3707)</f>
        <v/>
      </c>
      <c r="L3707">
        <f>K3707*(MIN(Inputs!$B$22+((C3730=TRUE)*(F3730-Calc!F25)),(Inputs!$B$23+((C3735=TRUE)*(F3735-Calc!F30))+IF(ArtifactsInput!$M$15,CHOOSE(ArtifactsInput!$N$15+1,25,30,35,40,45,50)/100*(Inputs!$B$11-Inputs!$B$11),0)))/100+(Inputs!$B$23+((C3735=TRUE)*(F3735-Calc!F30))+IF(ArtifactsInput!$M$15,CHOOSE(ArtifactsInput!$N$15+1,25,30,35,40,45,50)/100*(Inputs!$B$11-Inputs!$B$11),0))/100)/2</f>
        <v/>
      </c>
      <c r="M3707">
        <f>L3707*(1+(Inputs!$B$10+((C3732=TRUE)*(F3732-Calc!F27))+B3746+(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3707">
        <f>L3707*(1-MIN((Inputs!$B$9+((C3731=TRUE)*(F3731-Calc!F26))+B3739+(ArtifactsInput!$M$24-ArtifactsInput!$M$24)*CHOOSE(ArtifactsInput!$N$24+1,10,12,14,16,18,20)+(IF(AND(Inputs!$B$39&lt;&gt;"pvp",Inputs!$B$44=0),1,IF(IF(Inputs!$B$39="pvp",15,Inputs!$B$44)-(B3750)&lt;=0,1,MAX(0,IF(Inputs!$B$39="pvp",15,Inputs!$B$44)-MAX(5,B3750))/(IF(Inputs!$B$39="pvp",15,Inputs!$B$44)-(B3750))))*IF(AND(ArtifactsInput!$M$42,((Inputs!$B$9+((C3731=TRUE)*(F3731-Calc!F26))+B3739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3707*(MIN((Inputs!$B$9+((C3731=TRUE)*(F3731-Calc!F26))+B3739+(ArtifactsInput!$M$24-ArtifactsInput!$M$24)*CHOOSE(ArtifactsInput!$N$24+1,10,12,14,16,18,20)+(IF(AND(Inputs!$B$39&lt;&gt;"pvp",Inputs!$B$44=0),1,IF(IF(Inputs!$B$39="pvp",15,Inputs!$B$44)-(B3750)&lt;=0,1,MAX(0,IF(Inputs!$B$39="pvp",15,Inputs!$B$44)-MAX(5,B3750))/(IF(Inputs!$B$39="pvp",15,Inputs!$B$44)-(B3750))))*IF(AND(ArtifactsInput!$M$42,((Inputs!$B$9+((C3731=TRUE)*(F3731-Calc!F26))+B3739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3707">
        <f>(1-Summary!$B$11)*T3707+Summary!$B$11*V3707</f>
        <v/>
      </c>
      <c r="P3707">
        <f>IF(B3751=0,0,O3707/B3751)</f>
        <v/>
      </c>
      <c r="Q3707" t="n">
        <v>0</v>
      </c>
      <c r="R3707" t="n">
        <v>0</v>
      </c>
      <c r="S3707">
        <f>IFERROR(O3707/N3707,0)</f>
        <v/>
      </c>
      <c r="T3707">
        <f>IF(C3707,(Skills!G2*N3707*B3745)*IF(Inputs!$B$39="pvp",1,1+(Inputs!$B$20+0+Skills!P2+B3740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Hunt"),CHOOSE(ArtifactsInput!$N$35+1,15,18,21,24,27,30)*(1-EXP(-(0.2*B3743)*5)),0)+IF(AND(ArtifactsInput!$M$22,Inputs!$B$4&lt;&gt;"Chapter Hunt"),CHOOSE(ArtifactsInput!$N$22+1,10,12,14,16,18,20)*((0*(((0.15*B3743*5))^0/1)+1*(((0.15*B3743*5))^1/1)+2*(((0.15*B3743*5))^2/2)+3*(((0.15*B3743*5))^3/6)+4*(((0.15*B3743*5))^4/24)+5*(((0.15*B3743*5))^5/120))/((((0.15*B3743*5))^0/1)+(((0.15*B3743*5))^1/1)+(((0.15*B3743*5))^2/2)+(((0.15*B3743*5))^3/6)+(((0.15*B3743*5))^4/24)+(((0.15*B3743*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3707*(1-MIN(100,(Inputs!$B$9+((C3731=TRUE)*(F3731-Calc!F26))+B3739+(ArtifactsInput!$M$24-ArtifactsInput!$M$24)*CHOOSE(ArtifactsInput!$N$24+1,10,12,14,16,18,20)+(IF(AND(Inputs!$B$39&lt;&gt;"pvp",Inputs!$B$44=0),1,IF(IF(Inputs!$B$39="pvp",15,Inputs!$B$44)-(B3750)&lt;=0,1,MAX(0,IF(Inputs!$B$39="pvp",15,Inputs!$B$44)-MAX(5,B3750))/(IF(Inputs!$B$39="pvp",15,Inputs!$B$44)-(B3750))))*IF(AND(ArtifactsInput!$M$42,((Inputs!$B$9+((C3731=TRUE)*(F3731-Calc!F26))+B3739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3707*(MIN(100,(Inputs!$B$9+((C3731=TRUE)*(F3731-Calc!F26))+B3739+(ArtifactsInput!$M$24-ArtifactsInput!$M$24)*CHOOSE(ArtifactsInput!$N$24+1,10,12,14,16,18,20)+(IF(AND(Inputs!$B$39&lt;&gt;"pvp",Inputs!$B$44=0),1,IF(IF(Inputs!$B$39="pvp",15,Inputs!$B$44)-(B3750)&lt;=0,1,MAX(0,IF(Inputs!$B$39="pvp",15,Inputs!$B$44)-MAX(5,B3750))/(IF(Inputs!$B$39="pvp",15,Inputs!$B$44)-(B3750))))*IF(AND(ArtifactsInput!$M$42,((Inputs!$B$9+((C3731=TRUE)*(F3731-Calc!F26))+B3739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3707*(1-MIN(100,(Inputs!$B$9+((C3731=TRUE)*(F3731-Calc!F26))+B3739+(ArtifactsInput!$M$24-ArtifactsInput!$M$24)*CHOOSE(ArtifactsInput!$N$24+1,10,12,14,16,18,20)+(IF(AND(Inputs!$B$39&lt;&gt;"pvp",Inputs!$B$44=0),1,IF(IF(Inputs!$B$39="pvp",15,Inputs!$B$44)-(B3750)&lt;=0,1,MAX(0,IF(Inputs!$B$39="pvp",15,Inputs!$B$44)-MAX(5,B3750))/(IF(Inputs!$B$39="pvp",15,Inputs!$B$44)-(B3750))))*IF(AND(ArtifactsInput!$M$42,((Inputs!$B$9+((C3731=TRUE)*(F3731-Calc!F26))+B3739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3707*(MIN(100,(Inputs!$B$9+((C3731=TRUE)*(F3731-Calc!F26))+B3739+(ArtifactsInput!$M$24-ArtifactsInput!$M$24)*CHOOSE(ArtifactsInput!$N$24+1,10,12,14,16,18,20)+(IF(AND(Inputs!$B$39&lt;&gt;"pvp",Inputs!$B$44=0),1,IF(IF(Inputs!$B$39="pvp",15,Inputs!$B$44)-(B3750)&lt;=0,1,MAX(0,IF(Inputs!$B$39="pvp",15,Inputs!$B$44)-MAX(5,B3750))/(IF(Inputs!$B$39="pvp",15,Inputs!$B$44)-(B3750))))*IF(AND(ArtifactsInput!$M$42,((Inputs!$B$9+((C3731=TRUE)*(F3731-Calc!F26))+B3739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3707">
        <f>MAX(0,(Inputs!$B$3-100)*3)+Inputs!$B$28+Inputs!$B$29</f>
        <v/>
      </c>
      <c r="V3707">
        <f>IF(C3707,(Skills!G2*N3707*B3745)*IF(Inputs!$B$39="pvp",1,(1+(Inputs!$B$21+Skills!Q2+B3740+(IF(ArtifactsInput!$M$33,CHOOSE(ArtifactsInput!$N$33+1,30,36,42,48,54,60),0))+(IF(AND(ArtifactsInput!$M$35,Inputs!$B$4&lt;&gt;"Chapter Hunt"),CHOOSE(ArtifactsInput!$N$35+1,15,18,21,24,27,30)*(1-EXP(-(0.2*B3743)*5)),0)+IF(AND(ArtifactsInput!$M$22,Inputs!$B$4&lt;&gt;"Chapter Hunt"),CHOOSE(ArtifactsInput!$N$22+1,10,12,14,16,18,20)*((0*(((0.15*B3743*5))^0/1)+1*(((0.15*B3743*5))^1/1)+2*(((0.15*B3743*5))^2/2)+3*(((0.15*B3743*5))^3/6)+4*(((0.15*B3743*5))^4/24)+5*(((0.15*B3743*5))^5/120))/((((0.15*B3743*5))^0/1)+(((0.15*B3743*5))^1/1)+(((0.15*B3743*5))^2/2)+(((0.15*B3743*5))^3/6)+(((0.15*B3743*5))^4/24)+(((0.15*B3743*5))^5/120))),0)))/100)*(MIN((6+Inputs!$B$33),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3708">
      <c r="A3708">
        <f>Skills!A3</f>
        <v/>
      </c>
      <c r="B3708">
        <f>Skills!B3</f>
        <v/>
      </c>
      <c r="C3708">
        <f>Inputs!$B$3&gt;=35</f>
        <v/>
      </c>
      <c r="D3708">
        <f>IF(Skills!C3=1,60+Inputs!$B$25+Inputs!$B$29,IF(Skills!C3=2,90+Inputs!$B$26+Inputs!$B$29,IF(Skills!C3=3,120+Inputs!$B$27+Inputs!$B$29,MAX(0,(Inputs!$B$3-100)*3)+Inputs!$B$28+Inputs!$B$29)))</f>
        <v/>
      </c>
      <c r="E3708">
        <f>INDEX(FactorTable!$B$2:$Y$301, MATCH(ROUND(MIN(300,MAX(1,D3708)),0), FactorTable!$A$2:$A$301,0), Skills!M3+1)</f>
        <v/>
      </c>
      <c r="F3708">
        <f>IF(Skills!N3=TRUE,(Skills!L3/10)*(E3708/1000),Skills!L3/10)+Skills!O3</f>
        <v/>
      </c>
      <c r="G3708">
        <f>Skills!G3*IF(Skills!H3&gt;0,IF(Inputs!$B$39="pvp",MIN(Skills!I3,15),Skills!I3)/Skills!H3,1)</f>
        <v/>
      </c>
      <c r="H3708">
        <f>1-(1-Skills!J3/100)^Skills!K3</f>
        <v/>
      </c>
      <c r="I3708" t="inlineStr">
        <is>
          <t>1</t>
        </is>
      </c>
      <c r="J3708" t="inlineStr"/>
      <c r="K3708" t="inlineStr"/>
      <c r="L3708" t="inlineStr"/>
      <c r="M3708" t="inlineStr"/>
      <c r="N3708" t="inlineStr"/>
      <c r="O3708">
        <f>(1-Summary!$B$11)*T3708+Summary!$B$11*V3708</f>
        <v/>
      </c>
      <c r="P3708">
        <f>IF(B3751=0,0,O3708/B3751)</f>
        <v/>
      </c>
      <c r="Q3708" t="n">
        <v>0</v>
      </c>
      <c r="R3708" t="n">
        <v>0</v>
      </c>
      <c r="S3708">
        <f>IFERROR(O3708/N3708,0)</f>
        <v/>
      </c>
      <c r="T3708" t="n">
        <v>0</v>
      </c>
      <c r="U3708">
        <f>INDEX(FactorTable!$B$2:$Y$301, MATCH(ROUND(MIN(300,MAX(1,U3707)),0), FactorTable!$A$2:$A$301,0), 22)</f>
        <v/>
      </c>
      <c r="V3708" t="n">
        <v>0</v>
      </c>
    </row>
    <row r="3709">
      <c r="A3709">
        <f>Skills!A4</f>
        <v/>
      </c>
      <c r="B3709">
        <f>Skills!B4</f>
        <v/>
      </c>
      <c r="C3709">
        <f>Inputs!$B$3&gt;=66</f>
        <v/>
      </c>
      <c r="D3709">
        <f>IF(Skills!C4=1,60+Inputs!$B$25+Inputs!$B$29,IF(Skills!C4=2,90+Inputs!$B$26+Inputs!$B$29,IF(Skills!C4=3,120+Inputs!$B$27+Inputs!$B$29,MAX(0,(Inputs!$B$3-100)*3)+Inputs!$B$28+Inputs!$B$29)))</f>
        <v/>
      </c>
      <c r="E3709">
        <f>INDEX(FactorTable!$B$2:$Y$301, MATCH(ROUND(MIN(300,MAX(1,D3709)),0), FactorTable!$A$2:$A$301,0), Skills!M4+1)</f>
        <v/>
      </c>
      <c r="F3709">
        <f>IF(Skills!N4=TRUE,(Skills!L4/10)*(E3709/1000),Skills!L4/10)+Skills!O4</f>
        <v/>
      </c>
      <c r="G3709">
        <f>Skills!G4*IF(Skills!H4&gt;0,IF(Inputs!$B$39="pvp",MIN(Skills!I4,15),Skills!I4)/Skills!H4,1)</f>
        <v/>
      </c>
      <c r="H3709">
        <f>1-(1-Skills!J4/100)^Skills!K4</f>
        <v/>
      </c>
      <c r="I3709" t="inlineStr">
        <is>
          <t>1</t>
        </is>
      </c>
      <c r="J3709">
        <f>((Inputs!$B$6*(1+Inputs!$B$7/100))+(((Inputs!$B$12*(1+Inputs!$B$13/100))-(Inputs!$B$12*(1+Inputs!$B$13/100)))+0.25*(Inputs!$B$14-Inputs!$B$14))*(1+Inputs!$B$7/100))*(F3709/100)</f>
        <v/>
      </c>
      <c r="K3709">
        <f>J3709*(1+((Inputs!$B$12*(1+Inputs!$B$13/100))*0.01+Inputs!$B$14*0.0025)/100)*(1+Inputs!$B$15/100)*(1+Inputs!$B$16/100)*(5000/(6000+Inputs!$B$43*(1-(100*(1-(1-Inputs!$B$19/100)*(1-CHOOSE(ArtifactsInput!$N$40+1,5,6,7,8,9,10)/100)^(ArtifactsInput!$M$40-ArtifactsInput!$M$40)))/100)))*(1+(Inputs!$B$24+((C3736=TRUE)*(F3736-Calc!F31))+((C3723=TRUE)*(F3723-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4="CRUEL_STAB",Inputs!$B$17+((C3733=TRUE)*(F3733-Calc!F28))+((IF(AND(Inputs!$B$39&lt;&gt;"pvp",Inputs!$B$44=0),1,IF(IF(Inputs!$B$39="pvp",15,Inputs!$B$44)-(B3750)&lt;=0,1,MAX(0,IF(Inputs!$B$39="pvp",15,Inputs!$B$44)-MAX(5,B3750))/(IF(Inputs!$B$39="pvp",15,Inputs!$B$44)-(B3750))))*(IF(AND(ArtifactsInput!$M$42,((Inputs!$B$9+((C3731=TRUE)*(F3731-Calc!F26))+B3739+(ArtifactsInput!$M$24-ArtifactsInput!$M$24)*CHOOSE(ArtifactsInput!$N$24+1,10,12,14,16,18,20)+IF(ArtifactsInput!$M$10,CHOOSE(ArtifactsInput!$N$10+1,15,18,21,24,27,30)*(IF(Inputs!$B$39="pvp",MIN(15,15)/15,IF(AND(Inputs!$B$39&lt;&gt;"pvp",Inputs!$B$44&gt;0),MIN(15,Inputs!$B$44)/(Inputs!$B$44),0))),0)))&gt;=100),MIN(100,((Inputs!$B$9+((C3731=TRUE)*(F3731-Calc!F26))+B3739+(ArtifactsInput!$M$24-ArtifactsInput!$M$24)*CHOOSE(ArtifactsInput!$N$24+1,10,12,14,16,18,20)+IF(ArtifactsInput!$M$10,CHOOSE(ArtifactsInput!$N$10+1,15,18,21,24,27,30)*(IF(Inputs!$B$39="pvp",MIN(15,15)/15,IF(AND(Inputs!$B$39&lt;&gt;"pvp",Inputs!$B$44&gt;0),MIN(15,Inputs!$B$44)/(Inputs!$B$44),0))),0)))-100),0))*CHOOSE(ArtifactsInput!$N$42+1,0.6,0.72,0.84,0.96,1.08,1.2))),Inputs!$B$18+((C3734=TRUE)*(F3734-Calc!F29))+(IF(AND(Inputs!$B$39&lt;&gt;"pvp",Inputs!$B$44=0),1,IF(IF(Inputs!$B$39="pvp",15,Inputs!$B$44)-(B3750)&lt;=0,1,MAX(0,IF(Inputs!$B$39="pvp",15,Inputs!$B$44)-MAX(5,B3750))/(IF(Inputs!$B$39="pvp",15,Inputs!$B$44)-(B3750))))*IF(AND(ArtifactsInput!$M$42,((Inputs!$B$9+((C3731=TRUE)*(F3731-Calc!F26))+B3739+(ArtifactsInput!$M$24-ArtifactsInput!$M$24)*CHOOSE(ArtifactsInput!$N$24+1,10,12,14,16,18,20)+IF(ArtifactsInput!$M$10,CHOOSE(ArtifactsInput!$N$10+1,15,18,21,24,27,30)*(IF(Inputs!$B$39="pvp",MIN(15,15)/15,IF(AND(Inputs!$B$39&lt;&gt;"pvp",Inputs!$B$44&gt;0),MIN(15,Inputs!$B$44)/(Inputs!$B$44),0))),0)))&gt;=100),CHOOSE(ArtifactsInput!$N$42+1,40,48,56,64,72,80),0))))/100)*(((1+(((C3727=TRUE)*F3727*IF(AND(Inputs!$B$39&lt;&gt;"pvp",Inputs!$B$44&gt;0),(((R3727-1)*MIN((Skills!Y22*(1+Inputs!$B$34/100)),(1/Q3727))+MIN((Skills!Y22*(1+Inputs!$B$34/100)),MAX(0,Inputs!$B$44-((R3727-1)*(1/Q3727)))))/Inputs!$B$44),IF(Inputs!$B$39="pvp",MIN((Skills!Y22*(1+Inputs!$B$34/100)),15)/15,MIN(1,(Skills!Y22*(1+Inputs!$B$34/100))/(1/Q3727)))))+((C3708=TRUE)*F3708*3)+((C3710=TRUE)*F3710*(1-EXP(-0.75*B3743*5)))+((C3729=TRUE)*(F3729-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3716=TRUE)*F3716*IF(AND(Inputs!$B$39&lt;&gt;"pvp",Inputs!$B$44&gt;0),(((R3716-1)*MIN((Skills!Y11*(1+Inputs!$B$34/100)),(1/Q3716))+MIN((Skills!Y11*(1+Inputs!$B$34/100)),MAX(0,Inputs!$B$44-((R3716-1)*(1/Q3716)))))/Inputs!$B$44),IF(Inputs!$B$39="pvp",MIN((Skills!Y11*(1+Inputs!$B$34/100)),15)/15,MIN(1,(Skills!Y11*(1+Inputs!$B$34/100))/(1/Q3716)))))/100)*(1+((C3721=TRUE)*F3721*IF(AND(Inputs!$B$39&lt;&gt;"pvp",Inputs!$B$44&gt;0),(((R3721-1)*MIN((Skills!Y16*(1+Inputs!$B$34/100)),(1/Q3721))+MIN((Skills!Y16*(1+Inputs!$B$34/100)),MAX(0,Inputs!$B$44-((R3721-1)*(1/Q3721)))))/Inputs!$B$44),IF(Inputs!$B$39="pvp",MIN((Skills!Y16*(1+Inputs!$B$34/100)),15)/15,MIN(1,(Skills!Y16*(1+Inputs!$B$34/100))/(1/Q3721)))))/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3741*I3709)</f>
        <v/>
      </c>
      <c r="L3709">
        <f>K3709*(MIN(Inputs!$B$22+((C3730=TRUE)*(F3730-Calc!F25)),(Inputs!$B$23+((C3735=TRUE)*(F3735-Calc!F30))+IF(ArtifactsInput!$M$15,CHOOSE(ArtifactsInput!$N$15+1,25,30,35,40,45,50)/100*(Inputs!$B$11-Inputs!$B$11),0)))/100+(Inputs!$B$23+((C3735=TRUE)*(F3735-Calc!F30))+IF(ArtifactsInput!$M$15,CHOOSE(ArtifactsInput!$N$15+1,25,30,35,40,45,50)/100*(Inputs!$B$11-Inputs!$B$11),0))/100)/2</f>
        <v/>
      </c>
      <c r="M3709">
        <f>L3709*(1+(Inputs!$B$10+((C3732=TRUE)*(F3732-Calc!F27))+B3746+(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3709">
        <f>L3709*(1-MIN((Inputs!$B$9+((C3731=TRUE)*(F3731-Calc!F26))+B3739+(ArtifactsInput!$M$24-ArtifactsInput!$M$24)*CHOOSE(ArtifactsInput!$N$24+1,10,12,14,16,18,20)+(IF(AND(Inputs!$B$39&lt;&gt;"pvp",Inputs!$B$44=0),1,IF(IF(Inputs!$B$39="pvp",15,Inputs!$B$44)-(B3750)&lt;=0,1,MAX(0,IF(Inputs!$B$39="pvp",15,Inputs!$B$44)-MAX(5,B3750))/(IF(Inputs!$B$39="pvp",15,Inputs!$B$44)-(B3750))))*IF(AND(ArtifactsInput!$M$42,((Inputs!$B$9+((C3731=TRUE)*(F3731-Calc!F26))+B3739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3709*(MIN((Inputs!$B$9+((C3731=TRUE)*(F3731-Calc!F26))+B3739+(ArtifactsInput!$M$24-ArtifactsInput!$M$24)*CHOOSE(ArtifactsInput!$N$24+1,10,12,14,16,18,20)+(IF(AND(Inputs!$B$39&lt;&gt;"pvp",Inputs!$B$44=0),1,IF(IF(Inputs!$B$39="pvp",15,Inputs!$B$44)-(B3750)&lt;=0,1,MAX(0,IF(Inputs!$B$39="pvp",15,Inputs!$B$44)-MAX(5,B3750))/(IF(Inputs!$B$39="pvp",15,Inputs!$B$44)-(B3750))))*IF(AND(ArtifactsInput!$M$42,((Inputs!$B$9+((C3731=TRUE)*(F3731-Calc!F26))+B3739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3709">
        <f>(1-Summary!$B$11)*T3709+Summary!$B$11*V3709</f>
        <v/>
      </c>
      <c r="P3709">
        <f>IF(B3751=0,0,O3709/B3751)</f>
        <v/>
      </c>
      <c r="Q3709">
        <f>IFERROR(1/IF(Inputs!$B$39="pvp",15,MAX(0.1,Skills!D4-IF(TRUE=TRUE,4.5,0))),0)</f>
        <v/>
      </c>
      <c r="R3709">
        <f>IF(AND(Inputs!$B$39&lt;&gt;"pvp",Inputs!$B$44&gt;0),IF(MAX(0,Inputs!$B$44-B3750)&lt;=0,0,(INT(MAX(0,Inputs!$B$44-B3750)/IF(Inputs!$B$39="pvp",15,MAX(0.1,Skills!D4-IF(TRUE=TRUE,4.5,0))))+1)),0)</f>
        <v/>
      </c>
      <c r="S3709">
        <f>IFERROR(O3709/N3709,0)</f>
        <v/>
      </c>
      <c r="T3709">
        <f>IF(C3709,(H3709*N3709*IF(AND(Inputs!$B$39&lt;&gt;"pvp",Inputs!$B$44&gt;0),((Skills!G4*((R3709-1)*IF(Skills!H4&gt;0,Skills!I4/Skills!H4,1)+IF(Skills!H4&gt;0,MIN(Skills!I4,MAX(0,MAX(0,Inputs!$B$44-B3750)-((R3709-1)*IF(Inputs!$B$39="pvp",15,MAX(0.1,Skills!D4-IF(TRUE=TRUE,4.5,0))))))/Skills!H4,1)))/Inputs!$B$44),G3709*Q3709))*IF(Inputs!$B$39="pvp",1,1+(Inputs!$B$20+0+Skills!P4+B3740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Hunt"),CHOOSE(ArtifactsInput!$N$35+1,15,18,21,24,27,30)*(1-EXP(-(0.2*B3743)*5)),0)+IF(AND(ArtifactsInput!$M$22,Inputs!$B$4&lt;&gt;"Chapter Hunt"),CHOOSE(ArtifactsInput!$N$22+1,10,12,14,16,18,20)*((0*(((0.15*B3743*5))^0/1)+1*(((0.15*B3743*5))^1/1)+2*(((0.15*B3743*5))^2/2)+3*(((0.15*B3743*5))^3/6)+4*(((0.15*B3743*5))^4/24)+5*(((0.15*B3743*5))^5/120))/((((0.15*B3743*5))^0/1)+(((0.15*B3743*5))^1/1)+(((0.15*B3743*5))^2/2)+(((0.15*B3743*5))^3/6)+(((0.15*B3743*5))^4/24)+(((0.15*B3743*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3709*(1-MIN(100,(Inputs!$B$9+((C3731=TRUE)*(F3731-Calc!F26))+B3739+(ArtifactsInput!$M$24-ArtifactsInput!$M$24)*CHOOSE(ArtifactsInput!$N$24+1,10,12,14,16,18,20)+(IF(AND(Inputs!$B$39&lt;&gt;"pvp",Inputs!$B$44=0),1,IF(IF(Inputs!$B$39="pvp",15,Inputs!$B$44)-(B3750)&lt;=0,1,MAX(0,IF(Inputs!$B$39="pvp",15,Inputs!$B$44)-MAX(5,B3750))/(IF(Inputs!$B$39="pvp",15,Inputs!$B$44)-(B3750))))*IF(AND(ArtifactsInput!$M$42,((Inputs!$B$9+((C3731=TRUE)*(F3731-Calc!F26))+B3739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3709*(MIN(100,(Inputs!$B$9+((C3731=TRUE)*(F3731-Calc!F26))+B3739+(ArtifactsInput!$M$24-ArtifactsInput!$M$24)*CHOOSE(ArtifactsInput!$N$24+1,10,12,14,16,18,20)+(IF(AND(Inputs!$B$39&lt;&gt;"pvp",Inputs!$B$44=0),1,IF(IF(Inputs!$B$39="pvp",15,Inputs!$B$44)-(B3750)&lt;=0,1,MAX(0,IF(Inputs!$B$39="pvp",15,Inputs!$B$44)-MAX(5,B3750))/(IF(Inputs!$B$39="pvp",15,Inputs!$B$44)-(B3750))))*IF(AND(ArtifactsInput!$M$42,((Inputs!$B$9+((C3731=TRUE)*(F3731-Calc!F26))+B3739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3709*(1-MIN(100,(Inputs!$B$9+((C3731=TRUE)*(F3731-Calc!F26))+B3739+(ArtifactsInput!$M$24-ArtifactsInput!$M$24)*CHOOSE(ArtifactsInput!$N$24+1,10,12,14,16,18,20)+(IF(AND(Inputs!$B$39&lt;&gt;"pvp",Inputs!$B$44=0),1,IF(IF(Inputs!$B$39="pvp",15,Inputs!$B$44)-(B3750)&lt;=0,1,MAX(0,IF(Inputs!$B$39="pvp",15,Inputs!$B$44)-MAX(5,B3750))/(IF(Inputs!$B$39="pvp",15,Inputs!$B$44)-(B3750))))*IF(AND(ArtifactsInput!$M$42,((Inputs!$B$9+((C3731=TRUE)*(F3731-Calc!F26))+B3739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3709*(MIN(100,(Inputs!$B$9+((C3731=TRUE)*(F3731-Calc!F26))+B3739+(ArtifactsInput!$M$24-ArtifactsInput!$M$24)*CHOOSE(ArtifactsInput!$N$24+1,10,12,14,16,18,20)+(IF(AND(Inputs!$B$39&lt;&gt;"pvp",Inputs!$B$44=0),1,IF(IF(Inputs!$B$39="pvp",15,Inputs!$B$44)-(B3750)&lt;=0,1,MAX(0,IF(Inputs!$B$39="pvp",15,Inputs!$B$44)-MAX(5,B3750))/(IF(Inputs!$B$39="pvp",15,Inputs!$B$44)-(B3750))))*IF(AND(ArtifactsInput!$M$42,((Inputs!$B$9+((C3731=TRUE)*(F3731-Calc!F26))+B3739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3709">
        <f>290*U3708/1000</f>
        <v/>
      </c>
      <c r="V3709">
        <f>IF(C3709,(H3709*N3709*IF(AND(Inputs!$B$39&lt;&gt;"pvp",Inputs!$B$44&gt;0),((Skills!G4*((R3709-1)*IF(Skills!H4&gt;0,Skills!I4/Skills!H4,1)+IF(Skills!H4&gt;0,MIN(Skills!I4,MAX(0,MAX(0,Inputs!$B$44-B3750)-((R3709-1)*IF(Inputs!$B$39="pvp",15,MAX(0.1,Skills!D4-IF(TRUE=TRUE,4.5,0))))))/Skills!H4,1)))/Inputs!$B$44),G3709*Q3709))*IF(Inputs!$B$39="pvp",1,(1+(Inputs!$B$21+Skills!Q4+B3740+(IF(ArtifactsInput!$M$33,CHOOSE(ArtifactsInput!$N$33+1,30,36,42,48,54,60),0))+(IF(AND(ArtifactsInput!$M$35,Inputs!$B$4&lt;&gt;"Chapter Hunt"),CHOOSE(ArtifactsInput!$N$35+1,15,18,21,24,27,30)*(1-EXP(-(0.2*B3743)*5)),0)+IF(AND(ArtifactsInput!$M$22,Inputs!$B$4&lt;&gt;"Chapter Hunt"),CHOOSE(ArtifactsInput!$N$22+1,10,12,14,16,18,20)*((0*(((0.15*B3743*5))^0/1)+1*(((0.15*B3743*5))^1/1)+2*(((0.15*B3743*5))^2/2)+3*(((0.15*B3743*5))^3/6)+4*(((0.15*B3743*5))^4/24)+5*(((0.15*B3743*5))^5/120))/((((0.15*B3743*5))^0/1)+(((0.15*B3743*5))^1/1)+(((0.15*B3743*5))^2/2)+(((0.15*B3743*5))^3/6)+(((0.15*B3743*5))^4/24)+(((0.15*B3743*5))^5/120))),0)))/100)*(MIN(MIN(10,IF(Inputs!$B$3&gt;=75,0.75,0.5)*B3743*(1/Q3709)),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3710">
      <c r="A3710">
        <f>Skills!A5</f>
        <v/>
      </c>
      <c r="B3710">
        <f>Skills!B5</f>
        <v/>
      </c>
      <c r="C3710">
        <f>Inputs!$B$3&gt;=75</f>
        <v/>
      </c>
      <c r="D3710">
        <f>IF(Skills!C5=1,60+Inputs!$B$25+Inputs!$B$29,IF(Skills!C5=2,90+Inputs!$B$26+Inputs!$B$29,IF(Skills!C5=3,120+Inputs!$B$27+Inputs!$B$29,MAX(0,(Inputs!$B$3-100)*3)+Inputs!$B$28+Inputs!$B$29)))</f>
        <v/>
      </c>
      <c r="E3710">
        <f>INDEX(FactorTable!$B$2:$Y$301, MATCH(ROUND(MIN(300,MAX(1,D3710)),0), FactorTable!$A$2:$A$301,0), Skills!M5+1)</f>
        <v/>
      </c>
      <c r="F3710">
        <f>IF(Skills!N5=TRUE,(Skills!L5/10)*(E3710/1000),Skills!L5/10)+Skills!O5</f>
        <v/>
      </c>
      <c r="G3710">
        <f>Skills!G5*IF(Skills!H5&gt;0,IF(Inputs!$B$39="pvp",MIN(Skills!I5,15),Skills!I5)/Skills!H5,1)</f>
        <v/>
      </c>
      <c r="H3710">
        <f>1-(1-Skills!J5/100)^Skills!K5</f>
        <v/>
      </c>
      <c r="I3710" t="inlineStr">
        <is>
          <t>1</t>
        </is>
      </c>
      <c r="J3710" t="inlineStr"/>
      <c r="K3710" t="inlineStr"/>
      <c r="L3710" t="inlineStr"/>
      <c r="M3710" t="inlineStr"/>
      <c r="N3710" t="inlineStr"/>
      <c r="O3710">
        <f>(1-Summary!$B$11)*T3710+Summary!$B$11*V3710</f>
        <v/>
      </c>
      <c r="P3710">
        <f>IF(B3751=0,0,O3710/B3751)</f>
        <v/>
      </c>
      <c r="Q3710" t="n">
        <v>0</v>
      </c>
      <c r="R3710" t="n">
        <v>0</v>
      </c>
      <c r="S3710">
        <f>IFERROR(O3710/N3710,0)</f>
        <v/>
      </c>
      <c r="T3710" t="n">
        <v>0</v>
      </c>
      <c r="V3710" t="n">
        <v>0</v>
      </c>
    </row>
    <row r="3711">
      <c r="A3711">
        <f>Skills!A6</f>
        <v/>
      </c>
      <c r="B3711">
        <f>Skills!B6</f>
        <v/>
      </c>
      <c r="C3711">
        <f>Inputs!$B$3&gt;=63</f>
        <v/>
      </c>
      <c r="D3711">
        <f>IF(Skills!C6=1,60+Inputs!$B$25+Inputs!$B$29,IF(Skills!C6=2,90+Inputs!$B$26+Inputs!$B$29,IF(Skills!C6=3,120+Inputs!$B$27+Inputs!$B$29,MAX(0,(Inputs!$B$3-100)*3)+Inputs!$B$28+Inputs!$B$29)))</f>
        <v/>
      </c>
      <c r="E3711">
        <f>INDEX(FactorTable!$B$2:$Y$301, MATCH(ROUND(MIN(300,MAX(1,D3711)),0), FactorTable!$A$2:$A$301,0), Skills!M6+1)</f>
        <v/>
      </c>
      <c r="F3711">
        <f>IF(Skills!N6=TRUE,(Skills!L6/10)*(E3711/1000),Skills!L6/10)+Skills!O6</f>
        <v/>
      </c>
      <c r="G3711">
        <f>Skills!G6*IF(Skills!H6&gt;0,IF(Inputs!$B$39="pvp",MIN(Skills!I6,15),Skills!I6)/Skills!H6,1)</f>
        <v/>
      </c>
      <c r="H3711">
        <f>1-(1-Skills!J6/100)^Skills!K6</f>
        <v/>
      </c>
      <c r="I3711" t="inlineStr">
        <is>
          <t>1</t>
        </is>
      </c>
      <c r="J3711">
        <f>((Inputs!$B$6*(1+Inputs!$B$7/100))+(((Inputs!$B$12*(1+Inputs!$B$13/100))-(Inputs!$B$12*(1+Inputs!$B$13/100)))+0.25*(Inputs!$B$14-Inputs!$B$14))*(1+Inputs!$B$7/100))*(F3711/100)</f>
        <v/>
      </c>
      <c r="K3711">
        <f>J3711*(1+((Inputs!$B$12*(1+Inputs!$B$13/100))*0.01+Inputs!$B$14*0.0025)/100)*(1+Inputs!$B$15/100)*(1+Inputs!$B$16/100)*(5000/(6000+Inputs!$B$43*(1-(100*(1-(1-Inputs!$B$19/100)*(1-CHOOSE(ArtifactsInput!$N$40+1,5,6,7,8,9,10)/100)^(ArtifactsInput!$M$40-ArtifactsInput!$M$40)))/100)))*(1+(Inputs!$B$24+((C3736=TRUE)*(F3736-Calc!F31))+((C3723=TRUE)*(F3723-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+2.6666666666666665*IF(C3724=TRUE,F3724,0)/100)*(1+(IF(Skills!A6="CRUEL_STAB",Inputs!$B$17+((C3733=TRUE)*(F3733-Calc!F28))+((IF(AND(Inputs!$B$39&lt;&gt;"pvp",Inputs!$B$44=0),1,IF(IF(Inputs!$B$39="pvp",15,Inputs!$B$44)-(B3750)&lt;=0,1,MAX(0,IF(Inputs!$B$39="pvp",15,Inputs!$B$44)-MAX(5,B3750))/(IF(Inputs!$B$39="pvp",15,Inputs!$B$44)-(B3750))))*(IF(AND(ArtifactsInput!$M$42,((Inputs!$B$9+((C3731=TRUE)*(F3731-Calc!F26))+B3739+(ArtifactsInput!$M$24-ArtifactsInput!$M$24)*CHOOSE(ArtifactsInput!$N$24+1,10,12,14,16,18,20)+IF(ArtifactsInput!$M$10,CHOOSE(ArtifactsInput!$N$10+1,15,18,21,24,27,30)*(IF(Inputs!$B$39="pvp",MIN(15,15)/15,IF(AND(Inputs!$B$39&lt;&gt;"pvp",Inputs!$B$44&gt;0),MIN(15,Inputs!$B$44)/(Inputs!$B$44),0))),0)))&gt;=100),MIN(100,((Inputs!$B$9+((C3731=TRUE)*(F3731-Calc!F26))+B3739+(ArtifactsInput!$M$24-ArtifactsInput!$M$24)*CHOOSE(ArtifactsInput!$N$24+1,10,12,14,16,18,20)+IF(ArtifactsInput!$M$10,CHOOSE(ArtifactsInput!$N$10+1,15,18,21,24,27,30)*(IF(Inputs!$B$39="pvp",MIN(15,15)/15,IF(AND(Inputs!$B$39&lt;&gt;"pvp",Inputs!$B$44&gt;0),MIN(15,Inputs!$B$44)/(Inputs!$B$44),0))),0)))-100),0))*CHOOSE(ArtifactsInput!$N$42+1,0.6,0.72,0.84,0.96,1.08,1.2))),Inputs!$B$18+((C3734=TRUE)*(F3734-Calc!F29))+(IF(AND(Inputs!$B$39&lt;&gt;"pvp",Inputs!$B$44=0),1,IF(IF(Inputs!$B$39="pvp",15,Inputs!$B$44)-(B3750)&lt;=0,1,MAX(0,IF(Inputs!$B$39="pvp",15,Inputs!$B$44)-MAX(5,B3750))/(IF(Inputs!$B$39="pvp",15,Inputs!$B$44)-(B3750))))*IF(AND(ArtifactsInput!$M$42,((Inputs!$B$9+((C3731=TRUE)*(F3731-Calc!F26))+B3739+(ArtifactsInput!$M$24-ArtifactsInput!$M$24)*CHOOSE(ArtifactsInput!$N$24+1,10,12,14,16,18,20)+IF(ArtifactsInput!$M$10,CHOOSE(ArtifactsInput!$N$10+1,15,18,21,24,27,30)*(IF(Inputs!$B$39="pvp",MIN(15,15)/15,IF(AND(Inputs!$B$39&lt;&gt;"pvp",Inputs!$B$44&gt;0),MIN(15,Inputs!$B$44)/(Inputs!$B$44),0))),0)))&gt;=100),CHOOSE(ArtifactsInput!$N$42+1,40,48,56,64,72,80),0))))/100)*(((1+(((C3727=TRUE)*F3727*IF(AND(Inputs!$B$39&lt;&gt;"pvp",Inputs!$B$44&gt;0),(((R3727-1)*MIN((Skills!Y22*(1+Inputs!$B$34/100)),(1/Q3727))+MIN((Skills!Y22*(1+Inputs!$B$34/100)),MAX(0,Inputs!$B$44-((R3727-1)*(1/Q3727)))))/Inputs!$B$44),IF(Inputs!$B$39="pvp",MIN((Skills!Y22*(1+Inputs!$B$34/100)),15)/15,MIN(1,(Skills!Y22*(1+Inputs!$B$34/100))/(1/Q3727)))))+((C3708=TRUE)*F3708*3)+((C3710=TRUE)*F3710*(1-EXP(-0.75*B3743*5)))+((C3729=TRUE)*(F3729-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3716=TRUE)*F3716*IF(AND(Inputs!$B$39&lt;&gt;"pvp",Inputs!$B$44&gt;0),(((R3716-1)*MIN((Skills!Y11*(1+Inputs!$B$34/100)),(1/Q3716))+MIN((Skills!Y11*(1+Inputs!$B$34/100)),MAX(0,Inputs!$B$44-((R3716-1)*(1/Q3716)))))/Inputs!$B$44),IF(Inputs!$B$39="pvp",MIN((Skills!Y11*(1+Inputs!$B$34/100)),15)/15,MIN(1,(Skills!Y11*(1+Inputs!$B$34/100))/(1/Q3716)))))/100)*(1+((C3721=TRUE)*F3721*IF(AND(Inputs!$B$39&lt;&gt;"pvp",Inputs!$B$44&gt;0),(((R3721-1)*MIN((Skills!Y16*(1+Inputs!$B$34/100)),(1/Q3721))+MIN((Skills!Y16*(1+Inputs!$B$34/100)),MAX(0,Inputs!$B$44-((R3721-1)*(1/Q3721)))))/Inputs!$B$44),IF(Inputs!$B$39="pvp",MIN((Skills!Y16*(1+Inputs!$B$34/100)),15)/15,MIN(1,(Skills!Y16*(1+Inputs!$B$34/100))/(1/Q3721)))))/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3741*I3711)</f>
        <v/>
      </c>
      <c r="L3711">
        <f>K3711*(MIN(Inputs!$B$22+((C3730=TRUE)*(F3730-Calc!F25)),(Inputs!$B$23+((C3735=TRUE)*(F3735-Calc!F30))+IF(ArtifactsInput!$M$15,CHOOSE(ArtifactsInput!$N$15+1,25,30,35,40,45,50)/100*(Inputs!$B$11-Inputs!$B$11),0)))/100+(Inputs!$B$23+((C3735=TRUE)*(F3735-Calc!F30))+IF(ArtifactsInput!$M$15,CHOOSE(ArtifactsInput!$N$15+1,25,30,35,40,45,50)/100*(Inputs!$B$11-Inputs!$B$11),0))/100)/2</f>
        <v/>
      </c>
      <c r="M3711">
        <f>L3711*(1+(Inputs!$B$10+((C3732=TRUE)*(F3732-Calc!F27))+B3746+(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3711">
        <f>L3711*(1-MIN((Inputs!$B$9+((C3731=TRUE)*(F3731-Calc!F26))+B3739+(ArtifactsInput!$M$24-ArtifactsInput!$M$24)*CHOOSE(ArtifactsInput!$N$24+1,10,12,14,16,18,20)+(IF(AND(Inputs!$B$39&lt;&gt;"pvp",Inputs!$B$44=0),1,IF(IF(Inputs!$B$39="pvp",15,Inputs!$B$44)-(B3750)&lt;=0,1,MAX(0,IF(Inputs!$B$39="pvp",15,Inputs!$B$44)-MAX(5,B3750))/(IF(Inputs!$B$39="pvp",15,Inputs!$B$44)-(B3750))))*IF(AND(ArtifactsInput!$M$42,((Inputs!$B$9+((C3731=TRUE)*(F3731-Calc!F26))+B3739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3711*(MIN((Inputs!$B$9+((C3731=TRUE)*(F3731-Calc!F26))+B3739+(ArtifactsInput!$M$24-ArtifactsInput!$M$24)*CHOOSE(ArtifactsInput!$N$24+1,10,12,14,16,18,20)+(IF(AND(Inputs!$B$39&lt;&gt;"pvp",Inputs!$B$44=0),1,IF(IF(Inputs!$B$39="pvp",15,Inputs!$B$44)-(B3750)&lt;=0,1,MAX(0,IF(Inputs!$B$39="pvp",15,Inputs!$B$44)-MAX(5,B3750))/(IF(Inputs!$B$39="pvp",15,Inputs!$B$44)-(B3750))))*IF(AND(ArtifactsInput!$M$42,((Inputs!$B$9+((C3731=TRUE)*(F3731-Calc!F26))+B3739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3711">
        <f>(1-Summary!$B$11)*T3711+Summary!$B$11*V3711</f>
        <v/>
      </c>
      <c r="P3711">
        <f>IF(B3751=0,0,O3711/B3751)</f>
        <v/>
      </c>
      <c r="Q3711">
        <f>IFERROR(1/IF(Inputs!$B$39="pvp",15,MAX(0.1,Skills!D6-IF(TRUE=TRUE,4.5,0))),0)</f>
        <v/>
      </c>
      <c r="R3711">
        <f>IF(AND(Inputs!$B$39&lt;&gt;"pvp",Inputs!$B$44&gt;0),IF(MAX(0,Inputs!$B$44-B3750)&lt;=0,0,(INT(MAX(0,Inputs!$B$44-B3750)/IF(Inputs!$B$39="pvp",15,MAX(0.1,Skills!D6-IF(TRUE=TRUE,4.5,0))))+1)),0)</f>
        <v/>
      </c>
      <c r="S3711">
        <f>IFERROR(O3711/N3711,0)</f>
        <v/>
      </c>
      <c r="T3711">
        <f>IF(C3711,(H3711*N3711*IF(AND(Inputs!$B$39&lt;&gt;"pvp",Inputs!$B$44&gt;0),((Skills!G6*((R3711-1)*IF(Skills!H6&gt;0,Skills!I6/Skills!H6,1)+IF(Skills!H6&gt;0,MIN(Skills!I6,MAX(0,MAX(0,Inputs!$B$44-B3750)-((R3711-1)*IF(Inputs!$B$39="pvp",15,MAX(0.1,Skills!D6-IF(TRUE=TRUE,4.5,0))))))/Skills!H6,1)))/Inputs!$B$44),G3711*Q3711))*IF(Inputs!$B$39="pvp",1,1+(Inputs!$B$20+0+Skills!P6+B3740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Hunt"),CHOOSE(ArtifactsInput!$N$35+1,15,18,21,24,27,30)*(1-EXP(-(0.2*B3743)*5)),0)+IF(AND(ArtifactsInput!$M$22,Inputs!$B$4&lt;&gt;"Chapter Hunt"),CHOOSE(ArtifactsInput!$N$22+1,10,12,14,16,18,20)*((0*(((0.15*B3743*5))^0/1)+1*(((0.15*B3743*5))^1/1)+2*(((0.15*B3743*5))^2/2)+3*(((0.15*B3743*5))^3/6)+4*(((0.15*B3743*5))^4/24)+5*(((0.15*B3743*5))^5/120))/((((0.15*B3743*5))^0/1)+(((0.15*B3743*5))^1/1)+(((0.15*B3743*5))^2/2)+(((0.15*B3743*5))^3/6)+(((0.15*B3743*5))^4/24)+(((0.15*B3743*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3711*(1-MIN(100,(Inputs!$B$9+((C3731=TRUE)*(F3731-Calc!F26))+B3739+(ArtifactsInput!$M$24-ArtifactsInput!$M$24)*CHOOSE(ArtifactsInput!$N$24+1,10,12,14,16,18,20)+(IF(AND(Inputs!$B$39&lt;&gt;"pvp",Inputs!$B$44=0),1,IF(IF(Inputs!$B$39="pvp",15,Inputs!$B$44)-(B3750)&lt;=0,1,MAX(0,IF(Inputs!$B$39="pvp",15,Inputs!$B$44)-MAX(5,B3750))/(IF(Inputs!$B$39="pvp",15,Inputs!$B$44)-(B3750))))*IF(AND(ArtifactsInput!$M$42,((Inputs!$B$9+((C3731=TRUE)*(F3731-Calc!F26))+B3739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3711*(MIN(100,(Inputs!$B$9+((C3731=TRUE)*(F3731-Calc!F26))+B3739+(ArtifactsInput!$M$24-ArtifactsInput!$M$24)*CHOOSE(ArtifactsInput!$N$24+1,10,12,14,16,18,20)+(IF(AND(Inputs!$B$39&lt;&gt;"pvp",Inputs!$B$44=0),1,IF(IF(Inputs!$B$39="pvp",15,Inputs!$B$44)-(B3750)&lt;=0,1,MAX(0,IF(Inputs!$B$39="pvp",15,Inputs!$B$44)-MAX(5,B3750))/(IF(Inputs!$B$39="pvp",15,Inputs!$B$44)-(B3750))))*IF(AND(ArtifactsInput!$M$42,((Inputs!$B$9+((C3731=TRUE)*(F3731-Calc!F26))+B3739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3711*(1-MIN(100,(Inputs!$B$9+((C3731=TRUE)*(F3731-Calc!F26))+B3739+(ArtifactsInput!$M$24-ArtifactsInput!$M$24)*CHOOSE(ArtifactsInput!$N$24+1,10,12,14,16,18,20)+(IF(AND(Inputs!$B$39&lt;&gt;"pvp",Inputs!$B$44=0),1,IF(IF(Inputs!$B$39="pvp",15,Inputs!$B$44)-(B3750)&lt;=0,1,MAX(0,IF(Inputs!$B$39="pvp",15,Inputs!$B$44)-MAX(5,B3750))/(IF(Inputs!$B$39="pvp",15,Inputs!$B$44)-(B3750))))*IF(AND(ArtifactsInput!$M$42,((Inputs!$B$9+((C3731=TRUE)*(F3731-Calc!F26))+B3739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3711*(MIN(100,(Inputs!$B$9+((C3731=TRUE)*(F3731-Calc!F26))+B3739+(ArtifactsInput!$M$24-ArtifactsInput!$M$24)*CHOOSE(ArtifactsInput!$N$24+1,10,12,14,16,18,20)+(IF(AND(Inputs!$B$39&lt;&gt;"pvp",Inputs!$B$44=0),1,IF(IF(Inputs!$B$39="pvp",15,Inputs!$B$44)-(B3750)&lt;=0,1,MAX(0,IF(Inputs!$B$39="pvp",15,Inputs!$B$44)-MAX(5,B3750))/(IF(Inputs!$B$39="pvp",15,Inputs!$B$44)-(B3750))))*IF(AND(ArtifactsInput!$M$42,((Inputs!$B$9+((C3731=TRUE)*(F3731-Calc!F26))+B3739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3711">
        <f>IF(C3711,(H3711*N3711*IF(AND(Inputs!$B$39&lt;&gt;"pvp",Inputs!$B$44&gt;0),((Skills!G6*((R3711-1)*IF(Skills!H6&gt;0,Skills!I6/Skills!H6,1)+IF(Skills!H6&gt;0,MIN(Skills!I6,MAX(0,MAX(0,Inputs!$B$44-B3750)-((R3711-1)*IF(Inputs!$B$39="pvp",15,MAX(0.1,Skills!D6-IF(TRUE=TRUE,4.5,0))))))/Skills!H6,1)))/Inputs!$B$44),G3711*Q3711))*IF(Inputs!$B$39="pvp",1,(1+(Inputs!$B$21+Skills!Q6+B3740+(IF(ArtifactsInput!$M$33,CHOOSE(ArtifactsInput!$N$33+1,30,36,42,48,54,60),0))+(IF(AND(ArtifactsInput!$M$35,Inputs!$B$4&lt;&gt;"Chapter Hunt"),CHOOSE(ArtifactsInput!$N$35+1,15,18,21,24,27,30)*(1-EXP(-(0.2*B3743)*5)),0)+IF(AND(ArtifactsInput!$M$22,Inputs!$B$4&lt;&gt;"Chapter Hunt"),CHOOSE(ArtifactsInput!$N$22+1,10,12,14,16,18,20)*((0*(((0.15*B3743*5))^0/1)+1*(((0.15*B3743*5))^1/1)+2*(((0.15*B3743*5))^2/2)+3*(((0.15*B3743*5))^3/6)+4*(((0.15*B3743*5))^4/24)+5*(((0.15*B3743*5))^5/120))/((((0.15*B3743*5))^0/1)+(((0.15*B3743*5))^1/1)+(((0.15*B3743*5))^2/2)+(((0.15*B3743*5))^3/6)+(((0.15*B3743*5))^4/24)+(((0.15*B3743*5))^5/120))),0)))/100)*(MIN(Skills!W6,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3712">
      <c r="A3712">
        <f>Skills!A7</f>
        <v/>
      </c>
      <c r="B3712">
        <f>Skills!B7</f>
        <v/>
      </c>
      <c r="C3712">
        <f>Inputs!$B$3&gt;=69</f>
        <v/>
      </c>
      <c r="D3712">
        <f>IF(Skills!C7=1,60+Inputs!$B$25+Inputs!$B$29,IF(Skills!C7=2,90+Inputs!$B$26+Inputs!$B$29,IF(Skills!C7=3,120+Inputs!$B$27+Inputs!$B$29,MAX(0,(Inputs!$B$3-100)*3)+Inputs!$B$28+Inputs!$B$29)))</f>
        <v/>
      </c>
      <c r="E3712">
        <f>INDEX(FactorTable!$B$2:$Y$301, MATCH(ROUND(MIN(300,MAX(1,D3712)),0), FactorTable!$A$2:$A$301,0), Skills!M7+1)</f>
        <v/>
      </c>
      <c r="F3712">
        <f>IF(Skills!N7=TRUE,(Skills!L7/10)*(E3712/1000),Skills!L7/10)+Skills!O7</f>
        <v/>
      </c>
      <c r="G3712">
        <f>Skills!G7*IF(Skills!H7&gt;0,IF(Inputs!$B$39="pvp",MIN(Skills!I7,15),Skills!I7)/Skills!H7,1)</f>
        <v/>
      </c>
      <c r="H3712">
        <f>1-(1-Skills!J7/100)^Skills!K7</f>
        <v/>
      </c>
      <c r="I3712" t="inlineStr">
        <is>
          <t>1</t>
        </is>
      </c>
      <c r="J3712">
        <f>((Inputs!$B$6*(1+Inputs!$B$7/100))+(((Inputs!$B$12*(1+Inputs!$B$13/100))-(Inputs!$B$12*(1+Inputs!$B$13/100)))+0.25*(Inputs!$B$14-Inputs!$B$14))*(1+Inputs!$B$7/100))*(F3712/100)</f>
        <v/>
      </c>
      <c r="K3712">
        <f>J3712*(1+((Inputs!$B$12*(1+Inputs!$B$13/100))*0.01+Inputs!$B$14*0.0025)/100)*(1+Inputs!$B$15/100)*(1+Inputs!$B$16/100)*(5000/(6000+Inputs!$B$43*(1-(100*(1-(1-Inputs!$B$19/100)*(1-CHOOSE(ArtifactsInput!$N$40+1,5,6,7,8,9,10)/100)^(ArtifactsInput!$M$40-ArtifactsInput!$M$40)))/100)))*(1+(Inputs!$B$24+((C3736=TRUE)*(F3736-Calc!F31))+((C3723=TRUE)*(F3723-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3724=TRUE,F3724,0)/100)*(1+(IF(Skills!A7="CRUEL_STAB",Inputs!$B$17+((C3733=TRUE)*(F3733-Calc!F28))+((IF(AND(Inputs!$B$39&lt;&gt;"pvp",Inputs!$B$44=0),1,IF(IF(Inputs!$B$39="pvp",15,Inputs!$B$44)-(B3750)&lt;=0,1,MAX(0,IF(Inputs!$B$39="pvp",15,Inputs!$B$44)-MAX(5,B3750))/(IF(Inputs!$B$39="pvp",15,Inputs!$B$44)-(B3750))))*(IF(AND(ArtifactsInput!$M$42,((Inputs!$B$9+((C3731=TRUE)*(F3731-Calc!F26))+B3739+(ArtifactsInput!$M$24-ArtifactsInput!$M$24)*CHOOSE(ArtifactsInput!$N$24+1,10,12,14,16,18,20)+IF(ArtifactsInput!$M$10,CHOOSE(ArtifactsInput!$N$10+1,15,18,21,24,27,30)*(IF(Inputs!$B$39="pvp",MIN(15,15)/15,IF(AND(Inputs!$B$39&lt;&gt;"pvp",Inputs!$B$44&gt;0),MIN(15,Inputs!$B$44)/(Inputs!$B$44),0))),0)))&gt;=100),MIN(100,((Inputs!$B$9+((C3731=TRUE)*(F3731-Calc!F26))+B3739+(ArtifactsInput!$M$24-ArtifactsInput!$M$24)*CHOOSE(ArtifactsInput!$N$24+1,10,12,14,16,18,20)+IF(ArtifactsInput!$M$10,CHOOSE(ArtifactsInput!$N$10+1,15,18,21,24,27,30)*(IF(Inputs!$B$39="pvp",MIN(15,15)/15,IF(AND(Inputs!$B$39&lt;&gt;"pvp",Inputs!$B$44&gt;0),MIN(15,Inputs!$B$44)/(Inputs!$B$44),0))),0)))-100),0))*CHOOSE(ArtifactsInput!$N$42+1,0.6,0.72,0.84,0.96,1.08,1.2))),Inputs!$B$18+((C3734=TRUE)*(F3734-Calc!F29))+(IF(AND(Inputs!$B$39&lt;&gt;"pvp",Inputs!$B$44=0),1,IF(IF(Inputs!$B$39="pvp",15,Inputs!$B$44)-(B3750)&lt;=0,1,MAX(0,IF(Inputs!$B$39="pvp",15,Inputs!$B$44)-MAX(5,B3750))/(IF(Inputs!$B$39="pvp",15,Inputs!$B$44)-(B3750))))*IF(AND(ArtifactsInput!$M$42,((Inputs!$B$9+((C3731=TRUE)*(F3731-Calc!F26))+B3739+(ArtifactsInput!$M$24-ArtifactsInput!$M$24)*CHOOSE(ArtifactsInput!$N$24+1,10,12,14,16,18,20)+IF(ArtifactsInput!$M$10,CHOOSE(ArtifactsInput!$N$10+1,15,18,21,24,27,30)*(IF(Inputs!$B$39="pvp",MIN(15,15)/15,IF(AND(Inputs!$B$39&lt;&gt;"pvp",Inputs!$B$44&gt;0),MIN(15,Inputs!$B$44)/(Inputs!$B$44),0))),0)))&gt;=100),CHOOSE(ArtifactsInput!$N$42+1,40,48,56,64,72,80),0))))/100)*(((1+(((C3727=TRUE)*F3727*IF(AND(Inputs!$B$39&lt;&gt;"pvp",Inputs!$B$44&gt;0),(((R3727-1)*MIN((Skills!Y22*(1+Inputs!$B$34/100)),(1/Q3727))+MIN((Skills!Y22*(1+Inputs!$B$34/100)),MAX(0,Inputs!$B$44-((R3727-1)*(1/Q3727)))))/Inputs!$B$44),IF(Inputs!$B$39="pvp",MIN((Skills!Y22*(1+Inputs!$B$34/100)),15)/15,MIN(1,(Skills!Y22*(1+Inputs!$B$34/100))/(1/Q3727)))))+((C3708=TRUE)*F3708*3)+((C3710=TRUE)*F3710*(1-EXP(-0.75*B3743*5)))+((C3729=TRUE)*(F3729-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3716=TRUE)*F3716*IF(AND(Inputs!$B$39&lt;&gt;"pvp",Inputs!$B$44&gt;0),(((R3716-1)*MIN((Skills!Y11*(1+Inputs!$B$34/100)),(1/Q3716))+MIN((Skills!Y11*(1+Inputs!$B$34/100)),MAX(0,Inputs!$B$44-((R3716-1)*(1/Q3716)))))/Inputs!$B$44),IF(Inputs!$B$39="pvp",MIN((Skills!Y11*(1+Inputs!$B$34/100)),15)/15,MIN(1,(Skills!Y11*(1+Inputs!$B$34/100))/(1/Q3716)))))/100)*(1+((C3721=TRUE)*F3721*IF(AND(Inputs!$B$39&lt;&gt;"pvp",Inputs!$B$44&gt;0),(((R3721-1)*MIN((Skills!Y16*(1+Inputs!$B$34/100)),(1/Q3721))+MIN((Skills!Y16*(1+Inputs!$B$34/100)),MAX(0,Inputs!$B$44-((R3721-1)*(1/Q3721)))))/Inputs!$B$44),IF(Inputs!$B$39="pvp",MIN((Skills!Y16*(1+Inputs!$B$34/100)),15)/15,MIN(1,(Skills!Y16*(1+Inputs!$B$34/100))/(1/Q3721)))))/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3741*I3712)</f>
        <v/>
      </c>
      <c r="L3712">
        <f>K3712*(MIN(Inputs!$B$22+((C3730=TRUE)*(F3730-Calc!F25)),(Inputs!$B$23+((C3735=TRUE)*(F3735-Calc!F30))+IF(ArtifactsInput!$M$15,CHOOSE(ArtifactsInput!$N$15+1,25,30,35,40,45,50)/100*(Inputs!$B$11-Inputs!$B$11),0)))/100+(Inputs!$B$23+((C3735=TRUE)*(F3735-Calc!F30))+IF(ArtifactsInput!$M$15,CHOOSE(ArtifactsInput!$N$15+1,25,30,35,40,45,50)/100*(Inputs!$B$11-Inputs!$B$11),0))/100)/2</f>
        <v/>
      </c>
      <c r="M3712">
        <f>L3712*(1+(Inputs!$B$10+((C3732=TRUE)*(F3732-Calc!F27))+B3746+(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3712">
        <f>L3712*(1-MIN((Inputs!$B$9+((C3731=TRUE)*(F3731-Calc!F26))+B3739+(ArtifactsInput!$M$24-ArtifactsInput!$M$24)*CHOOSE(ArtifactsInput!$N$24+1,10,12,14,16,18,20)+(IF(AND(Inputs!$B$39&lt;&gt;"pvp",Inputs!$B$44=0),1,IF(IF(Inputs!$B$39="pvp",15,Inputs!$B$44)-(B3750)&lt;=0,1,MAX(0,IF(Inputs!$B$39="pvp",15,Inputs!$B$44)-MAX(5,B3750))/(IF(Inputs!$B$39="pvp",15,Inputs!$B$44)-(B3750))))*IF(AND(ArtifactsInput!$M$42,((Inputs!$B$9+((C3731=TRUE)*(F3731-Calc!F26))+B3739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3712*(MIN((Inputs!$B$9+((C3731=TRUE)*(F3731-Calc!F26))+B3739+(ArtifactsInput!$M$24-ArtifactsInput!$M$24)*CHOOSE(ArtifactsInput!$N$24+1,10,12,14,16,18,20)+(IF(AND(Inputs!$B$39&lt;&gt;"pvp",Inputs!$B$44=0),1,IF(IF(Inputs!$B$39="pvp",15,Inputs!$B$44)-(B3750)&lt;=0,1,MAX(0,IF(Inputs!$B$39="pvp",15,Inputs!$B$44)-MAX(5,B3750))/(IF(Inputs!$B$39="pvp",15,Inputs!$B$44)-(B3750))))*IF(AND(ArtifactsInput!$M$42,((Inputs!$B$9+((C3731=TRUE)*(F3731-Calc!F26))+B3739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3712">
        <f>(1-Summary!$B$11)*T3712+Summary!$B$11*V3712</f>
        <v/>
      </c>
      <c r="P3712">
        <f>IF(B3751=0,0,O3712/B3751)</f>
        <v/>
      </c>
      <c r="Q3712">
        <f>IFERROR(1/IF(Inputs!$B$39="pvp",15,MAX(0.1,Skills!D7-IF(TRUE=TRUE,4.5,0))),0)</f>
        <v/>
      </c>
      <c r="R3712">
        <f>IF(AND(Inputs!$B$39&lt;&gt;"pvp",Inputs!$B$44&gt;0),IF(MAX(0,Inputs!$B$44-B3750)&lt;=0,0,(INT(MAX(0,Inputs!$B$44-B3750)/IF(Inputs!$B$39="pvp",15,MAX(0.1,Skills!D7-IF(TRUE=TRUE,4.5,0))))+1)),0)</f>
        <v/>
      </c>
      <c r="S3712">
        <f>IFERROR(O3712/N3712,0)</f>
        <v/>
      </c>
      <c r="T3712">
        <f>IF(C3712,(H3712*N3712*IF(AND(Inputs!$B$39&lt;&gt;"pvp",Inputs!$B$44&gt;0),((Skills!G7*((R3712-1)*IF(Skills!H7&gt;0,Skills!I7/Skills!H7,1)+IF(Skills!H7&gt;0,MIN(Skills!I7,MAX(0,MAX(0,Inputs!$B$44-B3750)-((R3712-1)*IF(Inputs!$B$39="pvp",15,MAX(0.1,Skills!D7-IF(TRUE=TRUE,4.5,0))))))/Skills!H7,1)))/Inputs!$B$44),G3712*Q3712))*IF(Inputs!$B$39="pvp",1,1+(Inputs!$B$20+0+Skills!P7+B3740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Hunt"),CHOOSE(ArtifactsInput!$N$35+1,15,18,21,24,27,30)*(1-EXP(-(0.2*B3743)*5)),0)+IF(AND(ArtifactsInput!$M$22,Inputs!$B$4&lt;&gt;"Chapter Hunt"),CHOOSE(ArtifactsInput!$N$22+1,10,12,14,16,18,20)*((0*(((0.15*B3743*5))^0/1)+1*(((0.15*B3743*5))^1/1)+2*(((0.15*B3743*5))^2/2)+3*(((0.15*B3743*5))^3/6)+4*(((0.15*B3743*5))^4/24)+5*(((0.15*B3743*5))^5/120))/((((0.15*B3743*5))^0/1)+(((0.15*B3743*5))^1/1)+(((0.15*B3743*5))^2/2)+(((0.15*B3743*5))^3/6)+(((0.15*B3743*5))^4/24)+(((0.15*B3743*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3712*(1-MIN(100,(Inputs!$B$9+((C3731=TRUE)*(F3731-Calc!F26))+B3739+(ArtifactsInput!$M$24-ArtifactsInput!$M$24)*CHOOSE(ArtifactsInput!$N$24+1,10,12,14,16,18,20)+(IF(AND(Inputs!$B$39&lt;&gt;"pvp",Inputs!$B$44=0),1,IF(IF(Inputs!$B$39="pvp",15,Inputs!$B$44)-(B3750)&lt;=0,1,MAX(0,IF(Inputs!$B$39="pvp",15,Inputs!$B$44)-MAX(5,B3750))/(IF(Inputs!$B$39="pvp",15,Inputs!$B$44)-(B3750))))*IF(AND(ArtifactsInput!$M$42,((Inputs!$B$9+((C3731=TRUE)*(F3731-Calc!F26))+B3739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3712*(MIN(100,(Inputs!$B$9+((C3731=TRUE)*(F3731-Calc!F26))+B3739+(ArtifactsInput!$M$24-ArtifactsInput!$M$24)*CHOOSE(ArtifactsInput!$N$24+1,10,12,14,16,18,20)+(IF(AND(Inputs!$B$39&lt;&gt;"pvp",Inputs!$B$44=0),1,IF(IF(Inputs!$B$39="pvp",15,Inputs!$B$44)-(B3750)&lt;=0,1,MAX(0,IF(Inputs!$B$39="pvp",15,Inputs!$B$44)-MAX(5,B3750))/(IF(Inputs!$B$39="pvp",15,Inputs!$B$44)-(B3750))))*IF(AND(ArtifactsInput!$M$42,((Inputs!$B$9+((C3731=TRUE)*(F3731-Calc!F26))+B3739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3712*(1-MIN(100,(Inputs!$B$9+((C3731=TRUE)*(F3731-Calc!F26))+B3739+(ArtifactsInput!$M$24-ArtifactsInput!$M$24)*CHOOSE(ArtifactsInput!$N$24+1,10,12,14,16,18,20)+(IF(AND(Inputs!$B$39&lt;&gt;"pvp",Inputs!$B$44=0),1,IF(IF(Inputs!$B$39="pvp",15,Inputs!$B$44)-(B3750)&lt;=0,1,MAX(0,IF(Inputs!$B$39="pvp",15,Inputs!$B$44)-MAX(5,B3750))/(IF(Inputs!$B$39="pvp",15,Inputs!$B$44)-(B3750))))*IF(AND(ArtifactsInput!$M$42,((Inputs!$B$9+((C3731=TRUE)*(F3731-Calc!F26))+B3739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3712*(MIN(100,(Inputs!$B$9+((C3731=TRUE)*(F3731-Calc!F26))+B3739+(ArtifactsInput!$M$24-ArtifactsInput!$M$24)*CHOOSE(ArtifactsInput!$N$24+1,10,12,14,16,18,20)+(IF(AND(Inputs!$B$39&lt;&gt;"pvp",Inputs!$B$44=0),1,IF(IF(Inputs!$B$39="pvp",15,Inputs!$B$44)-(B3750)&lt;=0,1,MAX(0,IF(Inputs!$B$39="pvp",15,Inputs!$B$44)-MAX(5,B3750))/(IF(Inputs!$B$39="pvp",15,Inputs!$B$44)-(B3750))))*IF(AND(ArtifactsInput!$M$42,((Inputs!$B$9+((C3731=TRUE)*(F3731-Calc!F26))+B3739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3712">
        <f>IF(C3712,(H3712*N3712*IF(AND(Inputs!$B$39&lt;&gt;"pvp",Inputs!$B$44&gt;0),((Skills!G7*((R3712-1)*IF(Skills!H7&gt;0,Skills!I7/Skills!H7,1)+IF(Skills!H7&gt;0,MIN(Skills!I7,MAX(0,MAX(0,Inputs!$B$44-B3750)-((R3712-1)*IF(Inputs!$B$39="pvp",15,MAX(0.1,Skills!D7-IF(TRUE=TRUE,4.5,0))))))/Skills!H7,1)))/Inputs!$B$44),G3712*Q3712))*IF(Inputs!$B$39="pvp",1,(1+(Inputs!$B$21+Skills!Q7+B3740+(IF(ArtifactsInput!$M$33,CHOOSE(ArtifactsInput!$N$33+1,30,36,42,48,54,60),0))+(IF(AND(ArtifactsInput!$M$35,Inputs!$B$4&lt;&gt;"Chapter Hunt"),CHOOSE(ArtifactsInput!$N$35+1,15,18,21,24,27,30)*(1-EXP(-(0.2*B3743)*5)),0)+IF(AND(ArtifactsInput!$M$22,Inputs!$B$4&lt;&gt;"Chapter Hunt"),CHOOSE(ArtifactsInput!$N$22+1,10,12,14,16,18,20)*((0*(((0.15*B3743*5))^0/1)+1*(((0.15*B3743*5))^1/1)+2*(((0.15*B3743*5))^2/2)+3*(((0.15*B3743*5))^3/6)+4*(((0.15*B3743*5))^4/24)+5*(((0.15*B3743*5))^5/120))/((((0.15*B3743*5))^0/1)+(((0.15*B3743*5))^1/1)+(((0.15*B3743*5))^2/2)+(((0.15*B3743*5))^3/6)+(((0.15*B3743*5))^4/24)+(((0.15*B3743*5))^5/120))),0)))/100)*(MIN(Skills!W7,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3713">
      <c r="A3713">
        <f>Skills!A8</f>
        <v/>
      </c>
      <c r="B3713">
        <f>Skills!B8</f>
        <v/>
      </c>
      <c r="C3713">
        <f>Inputs!$B$3&gt;=60</f>
        <v/>
      </c>
      <c r="D3713">
        <f>IF(Skills!C8=1,60+Inputs!$B$25+Inputs!$B$29,IF(Skills!C8=2,90+Inputs!$B$26+Inputs!$B$29,IF(Skills!C8=3,120+Inputs!$B$27+Inputs!$B$29,MAX(0,(Inputs!$B$3-100)*3)+Inputs!$B$28+Inputs!$B$29)))</f>
        <v/>
      </c>
      <c r="E3713">
        <f>INDEX(FactorTable!$B$2:$Y$301, MATCH(ROUND(MIN(300,MAX(1,D3713)),0), FactorTable!$A$2:$A$301,0), Skills!M8+1)</f>
        <v/>
      </c>
      <c r="F3713">
        <f>IF(Skills!N8=TRUE,(Skills!L8/10)*(E3713/1000),Skills!L8/10)+Skills!O8</f>
        <v/>
      </c>
      <c r="G3713">
        <f>Skills!G8*IF(Skills!H8&gt;0,IF(Inputs!$B$39="pvp",MIN(Skills!I8,15),Skills!I8)/Skills!H8,1)</f>
        <v/>
      </c>
      <c r="H3713">
        <f>1-(1-Skills!J8/100)^Skills!K8</f>
        <v/>
      </c>
      <c r="I3713" t="inlineStr">
        <is>
          <t>1</t>
        </is>
      </c>
      <c r="J3713" t="inlineStr"/>
      <c r="K3713" t="inlineStr"/>
      <c r="L3713" t="inlineStr"/>
      <c r="M3713" t="inlineStr"/>
      <c r="N3713" t="inlineStr"/>
      <c r="O3713">
        <f>(1-Summary!$B$11)*T3713+Summary!$B$11*V3713</f>
        <v/>
      </c>
      <c r="P3713">
        <f>IF(B3751=0,0,O3713/B3751)</f>
        <v/>
      </c>
      <c r="Q3713" t="n">
        <v>0</v>
      </c>
      <c r="R3713" t="n">
        <v>0</v>
      </c>
      <c r="S3713">
        <f>IFERROR(O3713/N3713,0)</f>
        <v/>
      </c>
      <c r="T3713" t="n">
        <v>0</v>
      </c>
      <c r="V3713" t="n">
        <v>0</v>
      </c>
    </row>
    <row r="3714">
      <c r="A3714">
        <f>Skills!A9</f>
        <v/>
      </c>
      <c r="B3714">
        <f>Skills!B9</f>
        <v/>
      </c>
      <c r="C3714">
        <f>Inputs!$B$3&gt;=72</f>
        <v/>
      </c>
      <c r="D3714">
        <f>IF(Skills!C9=1,60+Inputs!$B$25+Inputs!$B$29,IF(Skills!C9=2,90+Inputs!$B$26+Inputs!$B$29,IF(Skills!C9=3,120+Inputs!$B$27+Inputs!$B$29,MAX(0,(Inputs!$B$3-100)*3)+Inputs!$B$28+Inputs!$B$29)))</f>
        <v/>
      </c>
      <c r="E3714">
        <f>INDEX(FactorTable!$B$2:$Y$301, MATCH(ROUND(MIN(300,MAX(1,D3714)),0), FactorTable!$A$2:$A$301,0), Skills!M9+1)</f>
        <v/>
      </c>
      <c r="F3714">
        <f>IF(Skills!N9=TRUE,(Skills!L9/10)*(E3714/1000),Skills!L9/10)+Skills!O9</f>
        <v/>
      </c>
      <c r="G3714">
        <f>Skills!G9*IF(Skills!H9&gt;0,IF(Inputs!$B$39="pvp",MIN(Skills!I9,15),Skills!I9)/Skills!H9,1)</f>
        <v/>
      </c>
      <c r="H3714">
        <f>1-(1-Skills!J9/100)^Skills!K9</f>
        <v/>
      </c>
      <c r="I3714" t="inlineStr">
        <is>
          <t>1</t>
        </is>
      </c>
      <c r="J3714">
        <f>((Inputs!$B$6*(1+Inputs!$B$7/100))+(((Inputs!$B$12*(1+Inputs!$B$13/100))-(Inputs!$B$12*(1+Inputs!$B$13/100)))+0.25*(Inputs!$B$14-Inputs!$B$14))*(1+Inputs!$B$7/100))*(F3714/100)</f>
        <v/>
      </c>
      <c r="K3714">
        <f>J3714*(1+((Inputs!$B$12*(1+Inputs!$B$13/100))*0.01+Inputs!$B$14*0.0025)/100)*(1+Inputs!$B$15/100)*(1+Inputs!$B$16/100)*(5000/(6000+Inputs!$B$43*(1-(100*(1-(1-Inputs!$B$19/100)*(1-CHOOSE(ArtifactsInput!$N$40+1,5,6,7,8,9,10)/100)^(ArtifactsInput!$M$40-ArtifactsInput!$M$40)))/100)))*(1+(Inputs!$B$24+((C3736=TRUE)*(F3736-Calc!F31))+((C3723=TRUE)*(F3723-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+3.3333333333333335*IF(C3724=TRUE,F3724,0)/100)*(1+(IF(Skills!A9="CRUEL_STAB",Inputs!$B$17+((C3733=TRUE)*(F3733-Calc!F28))+((IF(AND(Inputs!$B$39&lt;&gt;"pvp",Inputs!$B$44=0),1,IF(IF(Inputs!$B$39="pvp",15,Inputs!$B$44)-(B3750)&lt;=0,1,MAX(0,IF(Inputs!$B$39="pvp",15,Inputs!$B$44)-MAX(5,B3750))/(IF(Inputs!$B$39="pvp",15,Inputs!$B$44)-(B3750))))*(IF(AND(ArtifactsInput!$M$42,((Inputs!$B$9+((C3731=TRUE)*(F3731-Calc!F26))+B3739+(ArtifactsInput!$M$24-ArtifactsInput!$M$24)*CHOOSE(ArtifactsInput!$N$24+1,10,12,14,16,18,20)+IF(ArtifactsInput!$M$10,CHOOSE(ArtifactsInput!$N$10+1,15,18,21,24,27,30)*(IF(Inputs!$B$39="pvp",MIN(15,15)/15,IF(AND(Inputs!$B$39&lt;&gt;"pvp",Inputs!$B$44&gt;0),MIN(15,Inputs!$B$44)/(Inputs!$B$44),0))),0)))&gt;=100),MIN(100,((Inputs!$B$9+((C3731=TRUE)*(F3731-Calc!F26))+B3739+(ArtifactsInput!$M$24-ArtifactsInput!$M$24)*CHOOSE(ArtifactsInput!$N$24+1,10,12,14,16,18,20)+IF(ArtifactsInput!$M$10,CHOOSE(ArtifactsInput!$N$10+1,15,18,21,24,27,30)*(IF(Inputs!$B$39="pvp",MIN(15,15)/15,IF(AND(Inputs!$B$39&lt;&gt;"pvp",Inputs!$B$44&gt;0),MIN(15,Inputs!$B$44)/(Inputs!$B$44),0))),0)))-100),0))*CHOOSE(ArtifactsInput!$N$42+1,0.6,0.72,0.84,0.96,1.08,1.2))),Inputs!$B$18+((C3734=TRUE)*(F3734-Calc!F29))+(IF(AND(Inputs!$B$39&lt;&gt;"pvp",Inputs!$B$44=0),1,IF(IF(Inputs!$B$39="pvp",15,Inputs!$B$44)-(B3750)&lt;=0,1,MAX(0,IF(Inputs!$B$39="pvp",15,Inputs!$B$44)-MAX(5,B3750))/(IF(Inputs!$B$39="pvp",15,Inputs!$B$44)-(B3750))))*IF(AND(ArtifactsInput!$M$42,((Inputs!$B$9+((C3731=TRUE)*(F3731-Calc!F26))+B3739+(ArtifactsInput!$M$24-ArtifactsInput!$M$24)*CHOOSE(ArtifactsInput!$N$24+1,10,12,14,16,18,20)+IF(ArtifactsInput!$M$10,CHOOSE(ArtifactsInput!$N$10+1,15,18,21,24,27,30)*(IF(Inputs!$B$39="pvp",MIN(15,15)/15,IF(AND(Inputs!$B$39&lt;&gt;"pvp",Inputs!$B$44&gt;0),MIN(15,Inputs!$B$44)/(Inputs!$B$44),0))),0)))&gt;=100),CHOOSE(ArtifactsInput!$N$42+1,40,48,56,64,72,80),0))))/100)*(((1+(((C3727=TRUE)*F3727*IF(AND(Inputs!$B$39&lt;&gt;"pvp",Inputs!$B$44&gt;0),(((R3727-1)*MIN((Skills!Y22*(1+Inputs!$B$34/100)),(1/Q3727))+MIN((Skills!Y22*(1+Inputs!$B$34/100)),MAX(0,Inputs!$B$44-((R3727-1)*(1/Q3727)))))/Inputs!$B$44),IF(Inputs!$B$39="pvp",MIN((Skills!Y22*(1+Inputs!$B$34/100)),15)/15,MIN(1,(Skills!Y22*(1+Inputs!$B$34/100))/(1/Q3727)))))+((C3708=TRUE)*F3708*3)+((C3710=TRUE)*F3710*(1-EXP(-0.75*B3743*5)))+((C3729=TRUE)*(F3729-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3716=TRUE)*F3716*IF(AND(Inputs!$B$39&lt;&gt;"pvp",Inputs!$B$44&gt;0),(((R3716-1)*MIN((Skills!Y11*(1+Inputs!$B$34/100)),(1/Q3716))+MIN((Skills!Y11*(1+Inputs!$B$34/100)),MAX(0,Inputs!$B$44-((R3716-1)*(1/Q3716)))))/Inputs!$B$44),IF(Inputs!$B$39="pvp",MIN((Skills!Y11*(1+Inputs!$B$34/100)),15)/15,MIN(1,(Skills!Y11*(1+Inputs!$B$34/100))/(1/Q3716)))))/100)*(1+((C3721=TRUE)*F3721*IF(AND(Inputs!$B$39&lt;&gt;"pvp",Inputs!$B$44&gt;0),(((R3721-1)*MIN((Skills!Y16*(1+Inputs!$B$34/100)),(1/Q3721))+MIN((Skills!Y16*(1+Inputs!$B$34/100)),MAX(0,Inputs!$B$44-((R3721-1)*(1/Q3721)))))/Inputs!$B$44),IF(Inputs!$B$39="pvp",MIN((Skills!Y16*(1+Inputs!$B$34/100)),15)/15,MIN(1,(Skills!Y16*(1+Inputs!$B$34/100))/(1/Q3721)))))/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3741*I3714)</f>
        <v/>
      </c>
      <c r="L3714">
        <f>K3714*(MIN(Inputs!$B$22+((C3730=TRUE)*(F3730-Calc!F25)),(Inputs!$B$23+((C3735=TRUE)*(F3735-Calc!F30))+IF(ArtifactsInput!$M$15,CHOOSE(ArtifactsInput!$N$15+1,25,30,35,40,45,50)/100*(Inputs!$B$11-Inputs!$B$11),0)))/100+(Inputs!$B$23+((C3735=TRUE)*(F3735-Calc!F30))+IF(ArtifactsInput!$M$15,CHOOSE(ArtifactsInput!$N$15+1,25,30,35,40,45,50)/100*(Inputs!$B$11-Inputs!$B$11),0))/100)/2</f>
        <v/>
      </c>
      <c r="M3714">
        <f>L3714*(1+(Inputs!$B$10+((C3732=TRUE)*(F3732-Calc!F27))+B3746+(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3714">
        <f>L3714*(1-MIN((Inputs!$B$9+((C3731=TRUE)*(F3731-Calc!F26))+B3739+(ArtifactsInput!$M$24-ArtifactsInput!$M$24)*CHOOSE(ArtifactsInput!$N$24+1,10,12,14,16,18,20)+(IF(AND(Inputs!$B$39&lt;&gt;"pvp",Inputs!$B$44=0),1,IF(IF(Inputs!$B$39="pvp",15,Inputs!$B$44)-(B3750)&lt;=0,1,MAX(0,IF(Inputs!$B$39="pvp",15,Inputs!$B$44)-MAX(5,B3750))/(IF(Inputs!$B$39="pvp",15,Inputs!$B$44)-(B3750))))*IF(AND(ArtifactsInput!$M$42,((Inputs!$B$9+((C3731=TRUE)*(F3731-Calc!F26))+B3739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3714*(MIN((Inputs!$B$9+((C3731=TRUE)*(F3731-Calc!F26))+B3739+(ArtifactsInput!$M$24-ArtifactsInput!$M$24)*CHOOSE(ArtifactsInput!$N$24+1,10,12,14,16,18,20)+(IF(AND(Inputs!$B$39&lt;&gt;"pvp",Inputs!$B$44=0),1,IF(IF(Inputs!$B$39="pvp",15,Inputs!$B$44)-(B3750)&lt;=0,1,MAX(0,IF(Inputs!$B$39="pvp",15,Inputs!$B$44)-MAX(5,B3750))/(IF(Inputs!$B$39="pvp",15,Inputs!$B$44)-(B3750))))*IF(AND(ArtifactsInput!$M$42,((Inputs!$B$9+((C3731=TRUE)*(F3731-Calc!F26))+B3739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3714">
        <f>(1-Summary!$B$11)*T3714+Summary!$B$11*V3714</f>
        <v/>
      </c>
      <c r="P3714">
        <f>IF(B3751=0,0,O3714/B3751)</f>
        <v/>
      </c>
      <c r="Q3714">
        <f>IFERROR(1/IF(Inputs!$B$39="pvp",15,MAX(0.1,Skills!D9-IF(FALSE=TRUE,4.5,0))),0)</f>
        <v/>
      </c>
      <c r="R3714">
        <f>IF(AND(Inputs!$B$39&lt;&gt;"pvp",Inputs!$B$44&gt;0),IF(MAX(0,Inputs!$B$44-B3750)&lt;=0,0,(INT(MAX(0,Inputs!$B$44-B3750)/IF(Inputs!$B$39="pvp",15,MAX(0.1,Skills!D9-IF(FALSE=TRUE,4.5,0))))+1)),0)</f>
        <v/>
      </c>
      <c r="S3714">
        <f>IFERROR(O3714/N3714,0)</f>
        <v/>
      </c>
      <c r="T3714">
        <f>IF(C3714,(H3714*N3714*IF(AND(Inputs!$B$39&lt;&gt;"pvp",Inputs!$B$44&gt;0),((Skills!G9*((R3714-1)*IF(Skills!H9&gt;0,Skills!I9/Skills!H9,1)+IF(Skills!H9&gt;0,MIN(Skills!I9,MAX(0,MAX(0,Inputs!$B$44-B3750)-((R3714-1)*IF(Inputs!$B$39="pvp",15,MAX(0.1,Skills!D9-IF(FALSE=TRUE,4.5,0))))))/Skills!H9,1)))/Inputs!$B$44),G3714*Q3714))*IF(Inputs!$B$39="pvp",1,1+(Inputs!$B$20+0+Skills!P9+B3740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Hunt"),CHOOSE(ArtifactsInput!$N$35+1,15,18,21,24,27,30)*(1-EXP(-(0.2*B3743)*5)),0)+IF(AND(ArtifactsInput!$M$22,Inputs!$B$4&lt;&gt;"Chapter Hunt"),CHOOSE(ArtifactsInput!$N$22+1,10,12,14,16,18,20)*((0*(((0.15*B3743*5))^0/1)+1*(((0.15*B3743*5))^1/1)+2*(((0.15*B3743*5))^2/2)+3*(((0.15*B3743*5))^3/6)+4*(((0.15*B3743*5))^4/24)+5*(((0.15*B3743*5))^5/120))/((((0.15*B3743*5))^0/1)+(((0.15*B3743*5))^1/1)+(((0.15*B3743*5))^2/2)+(((0.15*B3743*5))^3/6)+(((0.15*B3743*5))^4/24)+(((0.15*B3743*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3714*(1-MIN(100,(Inputs!$B$9+((C3731=TRUE)*(F3731-Calc!F26))+B3739+(ArtifactsInput!$M$24-ArtifactsInput!$M$24)*CHOOSE(ArtifactsInput!$N$24+1,10,12,14,16,18,20)+(IF(AND(Inputs!$B$39&lt;&gt;"pvp",Inputs!$B$44=0),1,IF(IF(Inputs!$B$39="pvp",15,Inputs!$B$44)-(B3750)&lt;=0,1,MAX(0,IF(Inputs!$B$39="pvp",15,Inputs!$B$44)-MAX(5,B3750))/(IF(Inputs!$B$39="pvp",15,Inputs!$B$44)-(B3750))))*IF(AND(ArtifactsInput!$M$42,((Inputs!$B$9+((C3731=TRUE)*(F3731-Calc!F26))+B3739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3714*(MIN(100,(Inputs!$B$9+((C3731=TRUE)*(F3731-Calc!F26))+B3739+(ArtifactsInput!$M$24-ArtifactsInput!$M$24)*CHOOSE(ArtifactsInput!$N$24+1,10,12,14,16,18,20)+(IF(AND(Inputs!$B$39&lt;&gt;"pvp",Inputs!$B$44=0),1,IF(IF(Inputs!$B$39="pvp",15,Inputs!$B$44)-(B3750)&lt;=0,1,MAX(0,IF(Inputs!$B$39="pvp",15,Inputs!$B$44)-MAX(5,B3750))/(IF(Inputs!$B$39="pvp",15,Inputs!$B$44)-(B3750))))*IF(AND(ArtifactsInput!$M$42,((Inputs!$B$9+((C3731=TRUE)*(F3731-Calc!F26))+B3739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3714*(1-MIN(100,(Inputs!$B$9+((C3731=TRUE)*(F3731-Calc!F26))+B3739+(ArtifactsInput!$M$24-ArtifactsInput!$M$24)*CHOOSE(ArtifactsInput!$N$24+1,10,12,14,16,18,20)+(IF(AND(Inputs!$B$39&lt;&gt;"pvp",Inputs!$B$44=0),1,IF(IF(Inputs!$B$39="pvp",15,Inputs!$B$44)-(B3750)&lt;=0,1,MAX(0,IF(Inputs!$B$39="pvp",15,Inputs!$B$44)-MAX(5,B3750))/(IF(Inputs!$B$39="pvp",15,Inputs!$B$44)-(B3750))))*IF(AND(ArtifactsInput!$M$42,((Inputs!$B$9+((C3731=TRUE)*(F3731-Calc!F26))+B3739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3714*(MIN(100,(Inputs!$B$9+((C3731=TRUE)*(F3731-Calc!F26))+B3739+(ArtifactsInput!$M$24-ArtifactsInput!$M$24)*CHOOSE(ArtifactsInput!$N$24+1,10,12,14,16,18,20)+(IF(AND(Inputs!$B$39&lt;&gt;"pvp",Inputs!$B$44=0),1,IF(IF(Inputs!$B$39="pvp",15,Inputs!$B$44)-(B3750)&lt;=0,1,MAX(0,IF(Inputs!$B$39="pvp",15,Inputs!$B$44)-MAX(5,B3750))/(IF(Inputs!$B$39="pvp",15,Inputs!$B$44)-(B3750))))*IF(AND(ArtifactsInput!$M$42,((Inputs!$B$9+((C3731=TRUE)*(F3731-Calc!F26))+B3739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3714">
        <f>IF(C3714,(H3714*N3714*IF(AND(Inputs!$B$39&lt;&gt;"pvp",Inputs!$B$44&gt;0),((Skills!G9*((R3714-1)*IF(Skills!H9&gt;0,Skills!I9/Skills!H9,1)+IF(Skills!H9&gt;0,MIN(Skills!I9,MAX(0,MAX(0,Inputs!$B$44-B3750)-((R3714-1)*IF(Inputs!$B$39="pvp",15,MAX(0.1,Skills!D9-IF(FALSE=TRUE,4.5,0))))))/Skills!H9,1)))/Inputs!$B$44),G3714*Q3714))*IF(Inputs!$B$39="pvp",1,(1+(Inputs!$B$21+Skills!Q9+B3740+(IF(ArtifactsInput!$M$33,CHOOSE(ArtifactsInput!$N$33+1,30,36,42,48,54,60),0))+(IF(AND(ArtifactsInput!$M$35,Inputs!$B$4&lt;&gt;"Chapter Hunt"),CHOOSE(ArtifactsInput!$N$35+1,15,18,21,24,27,30)*(1-EXP(-(0.2*B3743)*5)),0)+IF(AND(ArtifactsInput!$M$22,Inputs!$B$4&lt;&gt;"Chapter Hunt"),CHOOSE(ArtifactsInput!$N$22+1,10,12,14,16,18,20)*((0*(((0.15*B3743*5))^0/1)+1*(((0.15*B3743*5))^1/1)+2*(((0.15*B3743*5))^2/2)+3*(((0.15*B3743*5))^3/6)+4*(((0.15*B3743*5))^4/24)+5*(((0.15*B3743*5))^5/120))/((((0.15*B3743*5))^0/1)+(((0.15*B3743*5))^1/1)+(((0.15*B3743*5))^2/2)+(((0.15*B3743*5))^3/6)+(((0.15*B3743*5))^4/24)+(((0.15*B3743*5))^5/120))),0)))/100)*(MIN(Skills!W9,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3715">
      <c r="A3715">
        <f>Skills!A10</f>
        <v/>
      </c>
      <c r="B3715">
        <f>Skills!B10</f>
        <v/>
      </c>
      <c r="C3715">
        <f>Inputs!$B$3&gt;=117</f>
        <v/>
      </c>
      <c r="D3715">
        <f>IF(Skills!C10=1,60+Inputs!$B$25+Inputs!$B$29,IF(Skills!C10=2,90+Inputs!$B$26+Inputs!$B$29,IF(Skills!C10=3,120+Inputs!$B$27+Inputs!$B$29,MAX(0,(Inputs!$B$3-100)*3)+Inputs!$B$28+Inputs!$B$29)))</f>
        <v/>
      </c>
      <c r="E3715">
        <f>INDEX(FactorTable!$B$2:$Y$301, MATCH(ROUND(MIN(300,MAX(1,D3715)),0), FactorTable!$A$2:$A$301,0), Skills!M10+1)</f>
        <v/>
      </c>
      <c r="F3715">
        <f>IF(Skills!N10=TRUE,(Skills!L10/10)*(E3715/1000),Skills!L10/10)+Skills!O10</f>
        <v/>
      </c>
      <c r="G3715">
        <f>Skills!G10*IF(Skills!H10&gt;0,IF(Inputs!$B$39="pvp",MIN(Skills!I10,15),Skills!I10)/Skills!H10,1)</f>
        <v/>
      </c>
      <c r="H3715">
        <f>1-(1-Skills!J10/100)^Skills!K10</f>
        <v/>
      </c>
      <c r="I3715" t="inlineStr">
        <is>
          <t>1</t>
        </is>
      </c>
      <c r="J3715">
        <f>((Inputs!$B$6*(1+Inputs!$B$7/100))+(((Inputs!$B$12*(1+Inputs!$B$13/100))-(Inputs!$B$12*(1+Inputs!$B$13/100)))+0.25*(Inputs!$B$14-Inputs!$B$14))*(1+Inputs!$B$7/100))*(F3715/100)</f>
        <v/>
      </c>
      <c r="K3715">
        <f>J3715*(1+((Inputs!$B$12*(1+Inputs!$B$13/100))*0.01+Inputs!$B$14*0.0025)/100)*(1+Inputs!$B$15/100)*(1+Inputs!$B$16/100)*(5000/(6000+Inputs!$B$43*(1-(100*(1-(1-Inputs!$B$19/100)*(1-CHOOSE(ArtifactsInput!$N$40+1,5,6,7,8,9,10)/100)^(ArtifactsInput!$M$40-ArtifactsInput!$M$40)))/100)))*(1+(Inputs!$B$24+((C3736=TRUE)*(F3736-Calc!F31))+((C3723=TRUE)*(F3723-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10="CRUEL_STAB",Inputs!$B$17+((C3733=TRUE)*(F3733-Calc!F28))+((IF(AND(Inputs!$B$39&lt;&gt;"pvp",Inputs!$B$44=0),1,IF(IF(Inputs!$B$39="pvp",15,Inputs!$B$44)-(B3750)&lt;=0,1,MAX(0,IF(Inputs!$B$39="pvp",15,Inputs!$B$44)-MAX(5,B3750))/(IF(Inputs!$B$39="pvp",15,Inputs!$B$44)-(B3750))))*(IF(AND(ArtifactsInput!$M$42,((Inputs!$B$9+((C3731=TRUE)*(F3731-Calc!F26))+B3739+(ArtifactsInput!$M$24-ArtifactsInput!$M$24)*CHOOSE(ArtifactsInput!$N$24+1,10,12,14,16,18,20)+IF(ArtifactsInput!$M$10,CHOOSE(ArtifactsInput!$N$10+1,15,18,21,24,27,30)*(IF(Inputs!$B$39="pvp",MIN(15,15)/15,IF(AND(Inputs!$B$39&lt;&gt;"pvp",Inputs!$B$44&gt;0),MIN(15,Inputs!$B$44)/(Inputs!$B$44),0))),0)))&gt;=100),MIN(100,((Inputs!$B$9+((C3731=TRUE)*(F3731-Calc!F26))+B3739+(ArtifactsInput!$M$24-ArtifactsInput!$M$24)*CHOOSE(ArtifactsInput!$N$24+1,10,12,14,16,18,20)+IF(ArtifactsInput!$M$10,CHOOSE(ArtifactsInput!$N$10+1,15,18,21,24,27,30)*(IF(Inputs!$B$39="pvp",MIN(15,15)/15,IF(AND(Inputs!$B$39&lt;&gt;"pvp",Inputs!$B$44&gt;0),MIN(15,Inputs!$B$44)/(Inputs!$B$44),0))),0)))-100),0))*CHOOSE(ArtifactsInput!$N$42+1,0.6,0.72,0.84,0.96,1.08,1.2))),Inputs!$B$18+((C3734=TRUE)*(F3734-Calc!F29))+(IF(AND(Inputs!$B$39&lt;&gt;"pvp",Inputs!$B$44=0),1,IF(IF(Inputs!$B$39="pvp",15,Inputs!$B$44)-(B3750)&lt;=0,1,MAX(0,IF(Inputs!$B$39="pvp",15,Inputs!$B$44)-MAX(5,B3750))/(IF(Inputs!$B$39="pvp",15,Inputs!$B$44)-(B3750))))*IF(AND(ArtifactsInput!$M$42,((Inputs!$B$9+((C3731=TRUE)*(F3731-Calc!F26))+B3739+(ArtifactsInput!$M$24-ArtifactsInput!$M$24)*CHOOSE(ArtifactsInput!$N$24+1,10,12,14,16,18,20)+IF(ArtifactsInput!$M$10,CHOOSE(ArtifactsInput!$N$10+1,15,18,21,24,27,30)*(IF(Inputs!$B$39="pvp",MIN(15,15)/15,IF(AND(Inputs!$B$39&lt;&gt;"pvp",Inputs!$B$44&gt;0),MIN(15,Inputs!$B$44)/(Inputs!$B$44),0))),0)))&gt;=100),CHOOSE(ArtifactsInput!$N$42+1,40,48,56,64,72,80),0))))/100)*(((1+(((C3727=TRUE)*F3727*IF(AND(Inputs!$B$39&lt;&gt;"pvp",Inputs!$B$44&gt;0),(((R3727-1)*MIN((Skills!Y22*(1+Inputs!$B$34/100)),(1/Q3727))+MIN((Skills!Y22*(1+Inputs!$B$34/100)),MAX(0,Inputs!$B$44-((R3727-1)*(1/Q3727)))))/Inputs!$B$44),IF(Inputs!$B$39="pvp",MIN((Skills!Y22*(1+Inputs!$B$34/100)),15)/15,MIN(1,(Skills!Y22*(1+Inputs!$B$34/100))/(1/Q3727)))))+((C3708=TRUE)*F3708*3)+((C3710=TRUE)*F3710*(1-EXP(-0.75*B3743*5)))+((C3729=TRUE)*(F3729-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3716=TRUE)*F3716*IF(AND(Inputs!$B$39&lt;&gt;"pvp",Inputs!$B$44&gt;0),(((R3716-1)*MIN((Skills!Y11*(1+Inputs!$B$34/100)),(1/Q3716))+MIN((Skills!Y11*(1+Inputs!$B$34/100)),MAX(0,Inputs!$B$44-((R3716-1)*(1/Q3716)))))/Inputs!$B$44),IF(Inputs!$B$39="pvp",MIN((Skills!Y11*(1+Inputs!$B$34/100)),15)/15,MIN(1,(Skills!Y11*(1+Inputs!$B$34/100))/(1/Q3716)))))/100)*(1+((C3721=TRUE)*F3721*IF(AND(Inputs!$B$39&lt;&gt;"pvp",Inputs!$B$44&gt;0),(((R3721-1)*MIN((Skills!Y16*(1+Inputs!$B$34/100)),(1/Q3721))+MIN((Skills!Y16*(1+Inputs!$B$34/100)),MAX(0,Inputs!$B$44-((R3721-1)*(1/Q3721)))))/Inputs!$B$44),IF(Inputs!$B$39="pvp",MIN((Skills!Y16*(1+Inputs!$B$34/100)),15)/15,MIN(1,(Skills!Y16*(1+Inputs!$B$34/100))/(1/Q3721)))))/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3741*I3715)</f>
        <v/>
      </c>
      <c r="L3715">
        <f>K3715*(MIN(Inputs!$B$22+((C3730=TRUE)*(F3730-Calc!F25)),(Inputs!$B$23+((C3735=TRUE)*(F3735-Calc!F30))+IF(ArtifactsInput!$M$15,CHOOSE(ArtifactsInput!$N$15+1,25,30,35,40,45,50)/100*(Inputs!$B$11-Inputs!$B$11),0)))/100+(Inputs!$B$23+((C3735=TRUE)*(F3735-Calc!F30))+IF(ArtifactsInput!$M$15,CHOOSE(ArtifactsInput!$N$15+1,25,30,35,40,45,50)/100*(Inputs!$B$11-Inputs!$B$11),0))/100)/2</f>
        <v/>
      </c>
      <c r="M3715">
        <f>L3715*(1+(Inputs!$B$10+((C3732=TRUE)*(F3732-Calc!F27))+B3746+(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3715">
        <f>L3715*(1-MIN((Inputs!$B$9+((C3731=TRUE)*(F3731-Calc!F26))+B3739+(ArtifactsInput!$M$24-ArtifactsInput!$M$24)*CHOOSE(ArtifactsInput!$N$24+1,10,12,14,16,18,20)+(IF(AND(Inputs!$B$39&lt;&gt;"pvp",Inputs!$B$44=0),1,IF(IF(Inputs!$B$39="pvp",15,Inputs!$B$44)-(B3750)&lt;=0,1,MAX(0,IF(Inputs!$B$39="pvp",15,Inputs!$B$44)-MAX(5,B3750))/(IF(Inputs!$B$39="pvp",15,Inputs!$B$44)-(B3750))))*IF(AND(ArtifactsInput!$M$42,((Inputs!$B$9+((C3731=TRUE)*(F3731-Calc!F26))+B3739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3715*(MIN((Inputs!$B$9+((C3731=TRUE)*(F3731-Calc!F26))+B3739+(ArtifactsInput!$M$24-ArtifactsInput!$M$24)*CHOOSE(ArtifactsInput!$N$24+1,10,12,14,16,18,20)+(IF(AND(Inputs!$B$39&lt;&gt;"pvp",Inputs!$B$44=0),1,IF(IF(Inputs!$B$39="pvp",15,Inputs!$B$44)-(B3750)&lt;=0,1,MAX(0,IF(Inputs!$B$39="pvp",15,Inputs!$B$44)-MAX(5,B3750))/(IF(Inputs!$B$39="pvp",15,Inputs!$B$44)-(B3750))))*IF(AND(ArtifactsInput!$M$42,((Inputs!$B$9+((C3731=TRUE)*(F3731-Calc!F26))+B3739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3715">
        <f>(1-Summary!$B$11)*T3715+Summary!$B$11*V3715</f>
        <v/>
      </c>
      <c r="P3715">
        <f>IF(B3751=0,0,O3715/B3751)</f>
        <v/>
      </c>
      <c r="Q3715" t="n">
        <v>0</v>
      </c>
      <c r="R3715" t="n">
        <v>0</v>
      </c>
      <c r="S3715" t="n">
        <v>0</v>
      </c>
      <c r="T3715">
        <f>IF(C3715,(0.2*SUMPRODUCT((Skills!Z2:Z31=TRUE)*(C3707:C3736=TRUE)*S3707:S3736)*N3715)*IF(Inputs!$B$39="pvp",1,1+(Inputs!$B$20+0+Skills!P10+B3740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Hunt"),CHOOSE(ArtifactsInput!$N$35+1,15,18,21,24,27,30)*(1-EXP(-(0.2*B3743)*5)),0)+IF(AND(ArtifactsInput!$M$22,Inputs!$B$4&lt;&gt;"Chapter Hunt"),CHOOSE(ArtifactsInput!$N$22+1,10,12,14,16,18,20)*((0*(((0.15*B3743*5))^0/1)+1*(((0.15*B3743*5))^1/1)+2*(((0.15*B3743*5))^2/2)+3*(((0.15*B3743*5))^3/6)+4*(((0.15*B3743*5))^4/24)+5*(((0.15*B3743*5))^5/120))/((((0.15*B3743*5))^0/1)+(((0.15*B3743*5))^1/1)+(((0.15*B3743*5))^2/2)+(((0.15*B3743*5))^3/6)+(((0.15*B3743*5))^4/24)+(((0.15*B3743*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3715*(1-MIN(100,(Inputs!$B$9+((C3731=TRUE)*(F3731-Calc!F26))+B3739+(ArtifactsInput!$M$24-ArtifactsInput!$M$24)*CHOOSE(ArtifactsInput!$N$24+1,10,12,14,16,18,20)+(IF(AND(Inputs!$B$39&lt;&gt;"pvp",Inputs!$B$44=0),1,IF(IF(Inputs!$B$39="pvp",15,Inputs!$B$44)-(B3750)&lt;=0,1,MAX(0,IF(Inputs!$B$39="pvp",15,Inputs!$B$44)-MAX(5,B3750))/(IF(Inputs!$B$39="pvp",15,Inputs!$B$44)-(B3750))))*IF(AND(ArtifactsInput!$M$42,((Inputs!$B$9+((C3731=TRUE)*(F3731-Calc!F26))+B3739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3715*(MIN(100,(Inputs!$B$9+((C3731=TRUE)*(F3731-Calc!F26))+B3739+(ArtifactsInput!$M$24-ArtifactsInput!$M$24)*CHOOSE(ArtifactsInput!$N$24+1,10,12,14,16,18,20)+(IF(AND(Inputs!$B$39&lt;&gt;"pvp",Inputs!$B$44=0),1,IF(IF(Inputs!$B$39="pvp",15,Inputs!$B$44)-(B3750)&lt;=0,1,MAX(0,IF(Inputs!$B$39="pvp",15,Inputs!$B$44)-MAX(5,B3750))/(IF(Inputs!$B$39="pvp",15,Inputs!$B$44)-(B3750))))*IF(AND(ArtifactsInput!$M$42,((Inputs!$B$9+((C3731=TRUE)*(F3731-Calc!F26))+B3739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3715*(1-MIN(100,(Inputs!$B$9+((C3731=TRUE)*(F3731-Calc!F26))+B3739+(ArtifactsInput!$M$24-ArtifactsInput!$M$24)*CHOOSE(ArtifactsInput!$N$24+1,10,12,14,16,18,20)+(IF(AND(Inputs!$B$39&lt;&gt;"pvp",Inputs!$B$44=0),1,IF(IF(Inputs!$B$39="pvp",15,Inputs!$B$44)-(B3750)&lt;=0,1,MAX(0,IF(Inputs!$B$39="pvp",15,Inputs!$B$44)-MAX(5,B3750))/(IF(Inputs!$B$39="pvp",15,Inputs!$B$44)-(B3750))))*IF(AND(ArtifactsInput!$M$42,((Inputs!$B$9+((C3731=TRUE)*(F3731-Calc!F26))+B3739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3715*(MIN(100,(Inputs!$B$9+((C3731=TRUE)*(F3731-Calc!F26))+B3739+(ArtifactsInput!$M$24-ArtifactsInput!$M$24)*CHOOSE(ArtifactsInput!$N$24+1,10,12,14,16,18,20)+(IF(AND(Inputs!$B$39&lt;&gt;"pvp",Inputs!$B$44=0),1,IF(IF(Inputs!$B$39="pvp",15,Inputs!$B$44)-(B3750)&lt;=0,1,MAX(0,IF(Inputs!$B$39="pvp",15,Inputs!$B$44)-MAX(5,B3750))/(IF(Inputs!$B$39="pvp",15,Inputs!$B$44)-(B3750))))*IF(AND(ArtifactsInput!$M$42,((Inputs!$B$9+((C3731=TRUE)*(F3731-Calc!F26))+B3739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3715">
        <f>IF(C3715,(0.2*SUMPRODUCT((Skills!Z2:Z31=TRUE)*(C3707:C3736=TRUE)*S3707:S3736)*N3715)*IF(Inputs!$B$39="pvp",1,(1+(Inputs!$B$21+Skills!Q10+B3740+(IF(ArtifactsInput!$M$33,CHOOSE(ArtifactsInput!$N$33+1,30,36,42,48,54,60),0))+(IF(AND(ArtifactsInput!$M$35,Inputs!$B$4&lt;&gt;"Chapter Hunt"),CHOOSE(ArtifactsInput!$N$35+1,15,18,21,24,27,30)*(1-EXP(-(0.2*B3743)*5)),0)+IF(AND(ArtifactsInput!$M$22,Inputs!$B$4&lt;&gt;"Chapter Hunt"),CHOOSE(ArtifactsInput!$N$22+1,10,12,14,16,18,20)*((0*(((0.15*B3743*5))^0/1)+1*(((0.15*B3743*5))^1/1)+2*(((0.15*B3743*5))^2/2)+3*(((0.15*B3743*5))^3/6)+4*(((0.15*B3743*5))^4/24)+5*(((0.15*B3743*5))^5/120))/((((0.15*B3743*5))^0/1)+(((0.15*B3743*5))^1/1)+(((0.15*B3743*5))^2/2)+(((0.15*B3743*5))^3/6)+(((0.15*B3743*5))^4/24)+(((0.15*B3743*5))^5/120))),0)))/100)*(MIN(Skills!W10,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3716">
      <c r="A3716">
        <f>Skills!A11</f>
        <v/>
      </c>
      <c r="B3716">
        <f>Skills!B11</f>
        <v/>
      </c>
      <c r="C3716">
        <f>Inputs!$B$3&gt;=74</f>
        <v/>
      </c>
      <c r="D3716">
        <f>IF(Skills!C11=1,60+Inputs!$B$25+Inputs!$B$29,IF(Skills!C11=2,90+Inputs!$B$26+Inputs!$B$29,IF(Skills!C11=3,120+Inputs!$B$27+Inputs!$B$29,MAX(0,(Inputs!$B$3-100)*3)+Inputs!$B$28+Inputs!$B$29)))</f>
        <v/>
      </c>
      <c r="E3716">
        <f>INDEX(FactorTable!$B$2:$Y$301, MATCH(ROUND(MIN(300,MAX(1,D3716)),0), FactorTable!$A$2:$A$301,0), Skills!M11+1)</f>
        <v/>
      </c>
      <c r="F3716">
        <f>IF(Skills!N11=TRUE,(Skills!L11/10)*(E3716/1000),Skills!L11/10)+Skills!O11</f>
        <v/>
      </c>
      <c r="G3716">
        <f>Skills!G11*IF(Skills!H11&gt;0,IF(Inputs!$B$39="pvp",MIN(Skills!I11,15),Skills!I11)/Skills!H11,1)</f>
        <v/>
      </c>
      <c r="H3716">
        <f>1-(1-Skills!J11/100)^Skills!K11</f>
        <v/>
      </c>
      <c r="I3716" t="inlineStr">
        <is>
          <t>1</t>
        </is>
      </c>
      <c r="J3716" t="inlineStr"/>
      <c r="K3716" t="inlineStr"/>
      <c r="L3716" t="inlineStr"/>
      <c r="M3716" t="inlineStr"/>
      <c r="N3716" t="inlineStr"/>
      <c r="O3716">
        <f>(1-Summary!$B$11)*T3716+Summary!$B$11*V3716</f>
        <v/>
      </c>
      <c r="P3716">
        <f>IF(B3751=0,0,O3716/B3751)</f>
        <v/>
      </c>
      <c r="Q3716">
        <f>IFERROR(1/IF(Inputs!$B$39="pvp",15,MAX(0.1,Skills!D11-IF(TRUE=TRUE,4.5,0))),0)</f>
        <v/>
      </c>
      <c r="R3716">
        <f>IF(AND(Inputs!$B$39&lt;&gt;"pvp",Inputs!$B$44&gt;0),IF(Inputs!$B$44&lt;=0,0,(INT(Inputs!$B$44/IF(Inputs!$B$39="pvp",15,MAX(0.1,Skills!D11-IF(TRUE=TRUE,4.5,0))))+1)),0)</f>
        <v/>
      </c>
      <c r="S3716">
        <f>IFERROR(O3716/N3716,0)</f>
        <v/>
      </c>
      <c r="T3716" t="n">
        <v>0</v>
      </c>
      <c r="V3716" t="n">
        <v>0</v>
      </c>
    </row>
    <row r="3717">
      <c r="A3717">
        <f>Skills!A12</f>
        <v/>
      </c>
      <c r="B3717">
        <f>Skills!B12</f>
        <v/>
      </c>
      <c r="C3717">
        <f>Inputs!$B$3&gt;=103</f>
        <v/>
      </c>
      <c r="D3717">
        <f>IF(Skills!C12=1,60+Inputs!$B$25+Inputs!$B$29,IF(Skills!C12=2,90+Inputs!$B$26+Inputs!$B$29,IF(Skills!C12=3,120+Inputs!$B$27+Inputs!$B$29,MAX(0,(Inputs!$B$3-100)*3)+Inputs!$B$28+Inputs!$B$29)))</f>
        <v/>
      </c>
      <c r="E3717">
        <f>INDEX(FactorTable!$B$2:$Y$301, MATCH(ROUND(MIN(300,MAX(1,D3717)),0), FactorTable!$A$2:$A$301,0), Skills!M12+1)</f>
        <v/>
      </c>
      <c r="F3717">
        <f>(Skills!L12/10)*(E3717/1000)+IF(Inputs!$B$3&gt;=134,50,0)+0.5*(30000/10)*(INDEX(FactorTable!$B$2:$Y$301, MATCH(ROUND(MIN(300,MAX(1,D3717)),0), FactorTable!$A$2:$A$301,0), 13)/1000)*B3749</f>
        <v/>
      </c>
      <c r="G3717">
        <f>Skills!G12*IF(Skills!H12&gt;0,IF(Inputs!$B$39="pvp",MIN(Skills!I12,15),Skills!I12)/Skills!H12,1)</f>
        <v/>
      </c>
      <c r="H3717">
        <f>1-(1-Skills!J12/100)^Skills!K12</f>
        <v/>
      </c>
      <c r="I3717" t="inlineStr">
        <is>
          <t>1</t>
        </is>
      </c>
      <c r="J3717">
        <f>((Inputs!$B$6*(1+Inputs!$B$7/100))+(((Inputs!$B$12*(1+Inputs!$B$13/100))-(Inputs!$B$12*(1+Inputs!$B$13/100)))+0.25*(Inputs!$B$14-Inputs!$B$14))*(1+Inputs!$B$7/100))*(F3717/100)</f>
        <v/>
      </c>
      <c r="K3717">
        <f>J3717*(1+((Inputs!$B$12*(1+Inputs!$B$13/100))*0.01+Inputs!$B$14*0.0025)/100)*(1+Inputs!$B$15/100)*(1+Inputs!$B$16/100)*(5000/(6000+Inputs!$B$43*(1-(100*(1-(1-Inputs!$B$19/100)*(1-CHOOSE(ArtifactsInput!$N$40+1,5,6,7,8,9,10)/100)^(ArtifactsInput!$M$40-ArtifactsInput!$M$40)))/100)))*(1+(Inputs!$B$24+((C3736=TRUE)*(F3736-Calc!F31))+((C3723=TRUE)*(F3723-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12="CRUEL_STAB",Inputs!$B$17+((C3733=TRUE)*(F3733-Calc!F28))+((IF(AND(Inputs!$B$39&lt;&gt;"pvp",Inputs!$B$44=0),1,IF(IF(Inputs!$B$39="pvp",15,Inputs!$B$44)-(B3750)&lt;=0,1,MAX(0,IF(Inputs!$B$39="pvp",15,Inputs!$B$44)-MAX(5,B3750))/(IF(Inputs!$B$39="pvp",15,Inputs!$B$44)-(B3750))))*(IF(AND(ArtifactsInput!$M$42,((Inputs!$B$9+((C3731=TRUE)*(F3731-Calc!F26))+B3739+(ArtifactsInput!$M$24-ArtifactsInput!$M$24)*CHOOSE(ArtifactsInput!$N$24+1,10,12,14,16,18,20)+IF(ArtifactsInput!$M$10,CHOOSE(ArtifactsInput!$N$10+1,15,18,21,24,27,30)*(IF(Inputs!$B$39="pvp",MIN(15,15)/15,IF(AND(Inputs!$B$39&lt;&gt;"pvp",Inputs!$B$44&gt;0),MIN(15,Inputs!$B$44)/(Inputs!$B$44),0))),0)))&gt;=100),MIN(100,((Inputs!$B$9+((C3731=TRUE)*(F3731-Calc!F26))+B3739+(ArtifactsInput!$M$24-ArtifactsInput!$M$24)*CHOOSE(ArtifactsInput!$N$24+1,10,12,14,16,18,20)+IF(ArtifactsInput!$M$10,CHOOSE(ArtifactsInput!$N$10+1,15,18,21,24,27,30)*(IF(Inputs!$B$39="pvp",MIN(15,15)/15,IF(AND(Inputs!$B$39&lt;&gt;"pvp",Inputs!$B$44&gt;0),MIN(15,Inputs!$B$44)/(Inputs!$B$44),0))),0)))-100),0))*CHOOSE(ArtifactsInput!$N$42+1,0.6,0.72,0.84,0.96,1.08,1.2))),Inputs!$B$18+((C3734=TRUE)*(F3734-Calc!F29))+(IF(AND(Inputs!$B$39&lt;&gt;"pvp",Inputs!$B$44=0),1,IF(IF(Inputs!$B$39="pvp",15,Inputs!$B$44)-(B3750)&lt;=0,1,MAX(0,IF(Inputs!$B$39="pvp",15,Inputs!$B$44)-MAX(5,B3750))/(IF(Inputs!$B$39="pvp",15,Inputs!$B$44)-(B3750))))*IF(AND(ArtifactsInput!$M$42,((Inputs!$B$9+((C3731=TRUE)*(F3731-Calc!F26))+B3739+(ArtifactsInput!$M$24-ArtifactsInput!$M$24)*CHOOSE(ArtifactsInput!$N$24+1,10,12,14,16,18,20)+IF(ArtifactsInput!$M$10,CHOOSE(ArtifactsInput!$N$10+1,15,18,21,24,27,30)*(IF(Inputs!$B$39="pvp",MIN(15,15)/15,IF(AND(Inputs!$B$39&lt;&gt;"pvp",Inputs!$B$44&gt;0),MIN(15,Inputs!$B$44)/(Inputs!$B$44),0))),0)))&gt;=100),CHOOSE(ArtifactsInput!$N$42+1,40,48,56,64,72,80),0))))/100)*(((1+(((C3727=TRUE)*F3727*IF(AND(Inputs!$B$39&lt;&gt;"pvp",Inputs!$B$44&gt;0),(((R3727-1)*MIN((Skills!Y22*(1+Inputs!$B$34/100)),(1/Q3727))+MIN((Skills!Y22*(1+Inputs!$B$34/100)),MAX(0,Inputs!$B$44-((R3727-1)*(1/Q3727)))))/Inputs!$B$44),IF(Inputs!$B$39="pvp",MIN((Skills!Y22*(1+Inputs!$B$34/100)),15)/15,MIN(1,(Skills!Y22*(1+Inputs!$B$34/100))/(1/Q3727)))))+((C3708=TRUE)*F3708*3)+((C3710=TRUE)*F3710*(1-EXP(-0.75*B3743*5)))+((C3729=TRUE)*(F3729-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3716=TRUE)*F3716*IF(AND(Inputs!$B$39&lt;&gt;"pvp",Inputs!$B$44&gt;0),(((R3716-1)*MIN((Skills!Y11*(1+Inputs!$B$34/100)),(1/Q3716))+MIN((Skills!Y11*(1+Inputs!$B$34/100)),MAX(0,Inputs!$B$44-((R3716-1)*(1/Q3716)))))/Inputs!$B$44),IF(Inputs!$B$39="pvp",MIN((Skills!Y11*(1+Inputs!$B$34/100)),15)/15,MIN(1,(Skills!Y11*(1+Inputs!$B$34/100))/(1/Q3716)))))/100)*(1+((C3721=TRUE)*F3721*IF(AND(Inputs!$B$39&lt;&gt;"pvp",Inputs!$B$44&gt;0),(((R3721-1)*MIN((Skills!Y16*(1+Inputs!$B$34/100)),(1/Q3721))+MIN((Skills!Y16*(1+Inputs!$B$34/100)),MAX(0,Inputs!$B$44-((R3721-1)*(1/Q3721)))))/Inputs!$B$44),IF(Inputs!$B$39="pvp",MIN((Skills!Y16*(1+Inputs!$B$34/100)),15)/15,MIN(1,(Skills!Y16*(1+Inputs!$B$34/100))/(1/Q3721)))))/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3741*I3717)</f>
        <v/>
      </c>
      <c r="L3717">
        <f>K3717*(MIN(Inputs!$B$22+((C3730=TRUE)*(F3730-Calc!F25)),(Inputs!$B$23+((C3735=TRUE)*(F3735-Calc!F30))+IF(ArtifactsInput!$M$15,CHOOSE(ArtifactsInput!$N$15+1,25,30,35,40,45,50)/100*(Inputs!$B$11-Inputs!$B$11),0)))/100+(Inputs!$B$23+((C3735=TRUE)*(F3735-Calc!F30))+IF(ArtifactsInput!$M$15,CHOOSE(ArtifactsInput!$N$15+1,25,30,35,40,45,50)/100*(Inputs!$B$11-Inputs!$B$11),0))/100)/2</f>
        <v/>
      </c>
      <c r="M3717">
        <f>L3717*(1+(Inputs!$B$10+((C3732=TRUE)*(F3732-Calc!F27))+B3746+(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3717">
        <f>L3717*(1-MIN((Inputs!$B$9+((C3731=TRUE)*(F3731-Calc!F26))+B3739+(ArtifactsInput!$M$24-ArtifactsInput!$M$24)*CHOOSE(ArtifactsInput!$N$24+1,10,12,14,16,18,20)+(IF(AND(Inputs!$B$39&lt;&gt;"pvp",Inputs!$B$44=0),1,IF(IF(Inputs!$B$39="pvp",15,Inputs!$B$44)-(B3750)&lt;=0,1,MAX(0,IF(Inputs!$B$39="pvp",15,Inputs!$B$44)-MAX(5,B3750))/(IF(Inputs!$B$39="pvp",15,Inputs!$B$44)-(B3750))))*IF(AND(ArtifactsInput!$M$42,((Inputs!$B$9+((C3731=TRUE)*(F3731-Calc!F26))+B3739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3717*(MIN((Inputs!$B$9+((C3731=TRUE)*(F3731-Calc!F26))+B3739+(ArtifactsInput!$M$24-ArtifactsInput!$M$24)*CHOOSE(ArtifactsInput!$N$24+1,10,12,14,16,18,20)+(IF(AND(Inputs!$B$39&lt;&gt;"pvp",Inputs!$B$44=0),1,IF(IF(Inputs!$B$39="pvp",15,Inputs!$B$44)-(B3750)&lt;=0,1,MAX(0,IF(Inputs!$B$39="pvp",15,Inputs!$B$44)-MAX(5,B3750))/(IF(Inputs!$B$39="pvp",15,Inputs!$B$44)-(B3750))))*IF(AND(ArtifactsInput!$M$42,((Inputs!$B$9+((C3731=TRUE)*(F3731-Calc!F26))+B3739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3717">
        <f>(1-Summary!$B$11)*T3717+Summary!$B$11*V3717</f>
        <v/>
      </c>
      <c r="P3717">
        <f>IF(B3751=0,0,O3717/B3751)</f>
        <v/>
      </c>
      <c r="Q3717">
        <f>IFERROR(1/IF(Inputs!$B$39="pvp",15,MAX(0.1,Skills!D12-IF(TRUE=TRUE,4.5,0))),0)</f>
        <v/>
      </c>
      <c r="R3717">
        <f>IF(AND(Inputs!$B$39&lt;&gt;"pvp",Inputs!$B$44&gt;0),IF(MAX(0,Inputs!$B$44-B3750)&lt;=0,0,(INT(MAX(0,Inputs!$B$44-B3750)/IF(Inputs!$B$39="pvp",15,MAX(0.1,Skills!D12-IF(TRUE=TRUE,4.5,0))))+1)),0)</f>
        <v/>
      </c>
      <c r="S3717">
        <f>IFERROR(O3717/N3717,0)</f>
        <v/>
      </c>
      <c r="T3717">
        <f>IF(C3717,(H3717*N3717*IF(AND(Inputs!$B$39&lt;&gt;"pvp",Inputs!$B$44&gt;0),((Skills!G12*((R3717-1)*IF(Skills!H12&gt;0,Skills!I12/Skills!H12,1)+IF(Skills!H12&gt;0,MIN(Skills!I12,MAX(0,MAX(0,Inputs!$B$44-B3750)-((R3717-1)*IF(Inputs!$B$39="pvp",15,MAX(0.1,Skills!D12-IF(TRUE=TRUE,4.5,0))))))/Skills!H12,1)))/Inputs!$B$44),G3717*Q3717))*IF(Inputs!$B$39="pvp",1,1+(Inputs!$B$20+0+Skills!P12+B3740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Hunt"),CHOOSE(ArtifactsInput!$N$35+1,15,18,21,24,27,30)*(1-EXP(-(0.2*B3743)*5)),0)+IF(AND(ArtifactsInput!$M$22,Inputs!$B$4&lt;&gt;"Chapter Hunt"),CHOOSE(ArtifactsInput!$N$22+1,10,12,14,16,18,20)*((0*(((0.15*B3743*5))^0/1)+1*(((0.15*B3743*5))^1/1)+2*(((0.15*B3743*5))^2/2)+3*(((0.15*B3743*5))^3/6)+4*(((0.15*B3743*5))^4/24)+5*(((0.15*B3743*5))^5/120))/((((0.15*B3743*5))^0/1)+(((0.15*B3743*5))^1/1)+(((0.15*B3743*5))^2/2)+(((0.15*B3743*5))^3/6)+(((0.15*B3743*5))^4/24)+(((0.15*B3743*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3717*(1-MIN(100,(Inputs!$B$9+((C3731=TRUE)*(F3731-Calc!F26))+B3739+(ArtifactsInput!$M$24-ArtifactsInput!$M$24)*CHOOSE(ArtifactsInput!$N$24+1,10,12,14,16,18,20)+(IF(AND(Inputs!$B$39&lt;&gt;"pvp",Inputs!$B$44=0),1,IF(IF(Inputs!$B$39="pvp",15,Inputs!$B$44)-(B3750)&lt;=0,1,MAX(0,IF(Inputs!$B$39="pvp",15,Inputs!$B$44)-MAX(5,B3750))/(IF(Inputs!$B$39="pvp",15,Inputs!$B$44)-(B3750))))*IF(AND(ArtifactsInput!$M$42,((Inputs!$B$9+((C3731=TRUE)*(F3731-Calc!F26))+B3739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3717*(MIN(100,(Inputs!$B$9+((C3731=TRUE)*(F3731-Calc!F26))+B3739+(ArtifactsInput!$M$24-ArtifactsInput!$M$24)*CHOOSE(ArtifactsInput!$N$24+1,10,12,14,16,18,20)+(IF(AND(Inputs!$B$39&lt;&gt;"pvp",Inputs!$B$44=0),1,IF(IF(Inputs!$B$39="pvp",15,Inputs!$B$44)-(B3750)&lt;=0,1,MAX(0,IF(Inputs!$B$39="pvp",15,Inputs!$B$44)-MAX(5,B3750))/(IF(Inputs!$B$39="pvp",15,Inputs!$B$44)-(B3750))))*IF(AND(ArtifactsInput!$M$42,((Inputs!$B$9+((C3731=TRUE)*(F3731-Calc!F26))+B3739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3717*(1-MIN(100,(Inputs!$B$9+((C3731=TRUE)*(F3731-Calc!F26))+B3739+(ArtifactsInput!$M$24-ArtifactsInput!$M$24)*CHOOSE(ArtifactsInput!$N$24+1,10,12,14,16,18,20)+(IF(AND(Inputs!$B$39&lt;&gt;"pvp",Inputs!$B$44=0),1,IF(IF(Inputs!$B$39="pvp",15,Inputs!$B$44)-(B3750)&lt;=0,1,MAX(0,IF(Inputs!$B$39="pvp",15,Inputs!$B$44)-MAX(5,B3750))/(IF(Inputs!$B$39="pvp",15,Inputs!$B$44)-(B3750))))*IF(AND(ArtifactsInput!$M$42,((Inputs!$B$9+((C3731=TRUE)*(F3731-Calc!F26))+B3739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3717*(MIN(100,(Inputs!$B$9+((C3731=TRUE)*(F3731-Calc!F26))+B3739+(ArtifactsInput!$M$24-ArtifactsInput!$M$24)*CHOOSE(ArtifactsInput!$N$24+1,10,12,14,16,18,20)+(IF(AND(Inputs!$B$39&lt;&gt;"pvp",Inputs!$B$44=0),1,IF(IF(Inputs!$B$39="pvp",15,Inputs!$B$44)-(B3750)&lt;=0,1,MAX(0,IF(Inputs!$B$39="pvp",15,Inputs!$B$44)-MAX(5,B3750))/(IF(Inputs!$B$39="pvp",15,Inputs!$B$44)-(B3750))))*IF(AND(ArtifactsInput!$M$42,((Inputs!$B$9+((C3731=TRUE)*(F3731-Calc!F26))+B3739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3717">
        <f>IF(C3717,(H3717*N3717*IF(AND(Inputs!$B$39&lt;&gt;"pvp",Inputs!$B$44&gt;0),((Skills!G12*((R3717-1)*IF(Skills!H12&gt;0,Skills!I12/Skills!H12,1)+IF(Skills!H12&gt;0,MIN(Skills!I12,MAX(0,MAX(0,Inputs!$B$44-B3750)-((R3717-1)*IF(Inputs!$B$39="pvp",15,MAX(0.1,Skills!D12-IF(TRUE=TRUE,4.5,0))))))/Skills!H12,1)))/Inputs!$B$44),G3717*Q3717))*IF(Inputs!$B$39="pvp",1,(1+(Inputs!$B$21+Skills!Q12+B3740+(IF(ArtifactsInput!$M$33,CHOOSE(ArtifactsInput!$N$33+1,30,36,42,48,54,60),0))+(IF(AND(ArtifactsInput!$M$35,Inputs!$B$4&lt;&gt;"Chapter Hunt"),CHOOSE(ArtifactsInput!$N$35+1,15,18,21,24,27,30)*(1-EXP(-(0.2*B3743)*5)),0)+IF(AND(ArtifactsInput!$M$22,Inputs!$B$4&lt;&gt;"Chapter Hunt"),CHOOSE(ArtifactsInput!$N$22+1,10,12,14,16,18,20)*((0*(((0.15*B3743*5))^0/1)+1*(((0.15*B3743*5))^1/1)+2*(((0.15*B3743*5))^2/2)+3*(((0.15*B3743*5))^3/6)+4*(((0.15*B3743*5))^4/24)+5*(((0.15*B3743*5))^5/120))/((((0.15*B3743*5))^0/1)+(((0.15*B3743*5))^1/1)+(((0.15*B3743*5))^2/2)+(((0.15*B3743*5))^3/6)+(((0.15*B3743*5))^4/24)+(((0.15*B3743*5))^5/120))),0)))/100)*(MIN(Skills!W12,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3718">
      <c r="A3718">
        <f>Skills!A13</f>
        <v/>
      </c>
      <c r="B3718">
        <f>Skills!B13</f>
        <v/>
      </c>
      <c r="C3718">
        <f>Inputs!$B$3&gt;=105</f>
        <v/>
      </c>
      <c r="D3718">
        <f>IF(Skills!C13=1,60+Inputs!$B$25+Inputs!$B$29,IF(Skills!C13=2,90+Inputs!$B$26+Inputs!$B$29,IF(Skills!C13=3,120+Inputs!$B$27+Inputs!$B$29,MAX(0,(Inputs!$B$3-100)*3)+Inputs!$B$28+Inputs!$B$29)))</f>
        <v/>
      </c>
      <c r="E3718">
        <f>INDEX(FactorTable!$B$2:$Y$301, MATCH(ROUND(MIN(300,MAX(1,D3718)),0), FactorTable!$A$2:$A$301,0), Skills!M13+1)</f>
        <v/>
      </c>
      <c r="F3718">
        <f>IF(Skills!N13=TRUE,(Skills!L13/10)*(E3718/1000),Skills!L13/10)+Skills!O13</f>
        <v/>
      </c>
      <c r="G3718">
        <f>Skills!G13*IF(Skills!H13&gt;0,IF(Inputs!$B$39="pvp",MIN(Skills!I13,15),Skills!I13)/Skills!H13,1)</f>
        <v/>
      </c>
      <c r="H3718">
        <f>1-(1-Skills!J13/100)^Skills!K13</f>
        <v/>
      </c>
      <c r="I3718" t="inlineStr">
        <is>
          <t>1</t>
        </is>
      </c>
      <c r="J3718">
        <f>((Inputs!$B$6*(1+Inputs!$B$7/100))+(((Inputs!$B$12*(1+Inputs!$B$13/100))-(Inputs!$B$12*(1+Inputs!$B$13/100)))+0.25*(Inputs!$B$14-Inputs!$B$14))*(1+Inputs!$B$7/100))*(F3718/100)</f>
        <v/>
      </c>
      <c r="K3718">
        <f>J3718*(1+((Inputs!$B$12*(1+Inputs!$B$13/100))*0.01+Inputs!$B$14*0.0025)/100)*(1+Inputs!$B$15/100)*(1+Inputs!$B$16/100)*(5000/(6000+Inputs!$B$43*(1-(100*(1-(1-Inputs!$B$19/100)*(1-CHOOSE(ArtifactsInput!$N$40+1,5,6,7,8,9,10)/100)^(ArtifactsInput!$M$40-ArtifactsInput!$M$40)))/100)))*(1+(Inputs!$B$24+((C3736=TRUE)*(F3736-Calc!F31))+((C3723=TRUE)*(F3723-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13="CRUEL_STAB",Inputs!$B$17+((C3733=TRUE)*(F3733-Calc!F28))+((IF(AND(Inputs!$B$39&lt;&gt;"pvp",Inputs!$B$44=0),1,IF(IF(Inputs!$B$39="pvp",15,Inputs!$B$44)-(B3750)&lt;=0,1,MAX(0,IF(Inputs!$B$39="pvp",15,Inputs!$B$44)-MAX(5,B3750))/(IF(Inputs!$B$39="pvp",15,Inputs!$B$44)-(B3750))))*(IF(AND(ArtifactsInput!$M$42,((Inputs!$B$9+((C3731=TRUE)*(F3731-Calc!F26))+B3739+(ArtifactsInput!$M$24-ArtifactsInput!$M$24)*CHOOSE(ArtifactsInput!$N$24+1,10,12,14,16,18,20)+IF(ArtifactsInput!$M$10,CHOOSE(ArtifactsInput!$N$10+1,15,18,21,24,27,30)*(IF(Inputs!$B$39="pvp",MIN(15,15)/15,IF(AND(Inputs!$B$39&lt;&gt;"pvp",Inputs!$B$44&gt;0),MIN(15,Inputs!$B$44)/(Inputs!$B$44),0))),0)))&gt;=100),MIN(100,((Inputs!$B$9+((C3731=TRUE)*(F3731-Calc!F26))+B3739+(ArtifactsInput!$M$24-ArtifactsInput!$M$24)*CHOOSE(ArtifactsInput!$N$24+1,10,12,14,16,18,20)+IF(ArtifactsInput!$M$10,CHOOSE(ArtifactsInput!$N$10+1,15,18,21,24,27,30)*(IF(Inputs!$B$39="pvp",MIN(15,15)/15,IF(AND(Inputs!$B$39&lt;&gt;"pvp",Inputs!$B$44&gt;0),MIN(15,Inputs!$B$44)/(Inputs!$B$44),0))),0)))-100),0))*CHOOSE(ArtifactsInput!$N$42+1,0.6,0.72,0.84,0.96,1.08,1.2))),Inputs!$B$18+((C3734=TRUE)*(F3734-Calc!F29))+(IF(AND(Inputs!$B$39&lt;&gt;"pvp",Inputs!$B$44=0),1,IF(IF(Inputs!$B$39="pvp",15,Inputs!$B$44)-(B3750)&lt;=0,1,MAX(0,IF(Inputs!$B$39="pvp",15,Inputs!$B$44)-MAX(5,B3750))/(IF(Inputs!$B$39="pvp",15,Inputs!$B$44)-(B3750))))*IF(AND(ArtifactsInput!$M$42,((Inputs!$B$9+((C3731=TRUE)*(F3731-Calc!F26))+B3739+(ArtifactsInput!$M$24-ArtifactsInput!$M$24)*CHOOSE(ArtifactsInput!$N$24+1,10,12,14,16,18,20)+IF(ArtifactsInput!$M$10,CHOOSE(ArtifactsInput!$N$10+1,15,18,21,24,27,30)*(IF(Inputs!$B$39="pvp",MIN(15,15)/15,IF(AND(Inputs!$B$39&lt;&gt;"pvp",Inputs!$B$44&gt;0),MIN(15,Inputs!$B$44)/(Inputs!$B$44),0))),0)))&gt;=100),CHOOSE(ArtifactsInput!$N$42+1,40,48,56,64,72,80),0))))/100)*(((1+(((C3727=TRUE)*F3727*IF(AND(Inputs!$B$39&lt;&gt;"pvp",Inputs!$B$44&gt;0),(((R3727-1)*MIN((Skills!Y22*(1+Inputs!$B$34/100)),(1/Q3727))+MIN((Skills!Y22*(1+Inputs!$B$34/100)),MAX(0,Inputs!$B$44-((R3727-1)*(1/Q3727)))))/Inputs!$B$44),IF(Inputs!$B$39="pvp",MIN((Skills!Y22*(1+Inputs!$B$34/100)),15)/15,MIN(1,(Skills!Y22*(1+Inputs!$B$34/100))/(1/Q3727)))))+((C3708=TRUE)*F3708*3)+((C3710=TRUE)*F3710*(1-EXP(-0.75*B3743*5)))+((C3729=TRUE)*(F3729-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3716=TRUE)*F3716*IF(AND(Inputs!$B$39&lt;&gt;"pvp",Inputs!$B$44&gt;0),(((R3716-1)*MIN((Skills!Y11*(1+Inputs!$B$34/100)),(1/Q3716))+MIN((Skills!Y11*(1+Inputs!$B$34/100)),MAX(0,Inputs!$B$44-((R3716-1)*(1/Q3716)))))/Inputs!$B$44),IF(Inputs!$B$39="pvp",MIN((Skills!Y11*(1+Inputs!$B$34/100)),15)/15,MIN(1,(Skills!Y11*(1+Inputs!$B$34/100))/(1/Q3716)))))/100)*(1+((C3721=TRUE)*F3721*IF(AND(Inputs!$B$39&lt;&gt;"pvp",Inputs!$B$44&gt;0),(((R3721-1)*MIN((Skills!Y16*(1+Inputs!$B$34/100)),(1/Q3721))+MIN((Skills!Y16*(1+Inputs!$B$34/100)),MAX(0,Inputs!$B$44-((R3721-1)*(1/Q3721)))))/Inputs!$B$44),IF(Inputs!$B$39="pvp",MIN((Skills!Y16*(1+Inputs!$B$34/100)),15)/15,MIN(1,(Skills!Y16*(1+Inputs!$B$34/100))/(1/Q3721)))))/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3741*I3718)</f>
        <v/>
      </c>
      <c r="L3718">
        <f>K3718*(MIN(Inputs!$B$22+((C3730=TRUE)*(F3730-Calc!F25)),(Inputs!$B$23+((C3735=TRUE)*(F3735-Calc!F30))+IF(ArtifactsInput!$M$15,CHOOSE(ArtifactsInput!$N$15+1,25,30,35,40,45,50)/100*(Inputs!$B$11-Inputs!$B$11),0)))/100+(Inputs!$B$23+((C3735=TRUE)*(F3735-Calc!F30))+IF(ArtifactsInput!$M$15,CHOOSE(ArtifactsInput!$N$15+1,25,30,35,40,45,50)/100*(Inputs!$B$11-Inputs!$B$11),0))/100)/2</f>
        <v/>
      </c>
      <c r="M3718">
        <f>L3718*(1+(Inputs!$B$10+((C3732=TRUE)*(F3732-Calc!F27))+B3746+(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3718">
        <f>L3718*(1-MIN((Inputs!$B$9+((C3731=TRUE)*(F3731-Calc!F26))+B3739+(ArtifactsInput!$M$24-ArtifactsInput!$M$24)*CHOOSE(ArtifactsInput!$N$24+1,10,12,14,16,18,20)+(IF(AND(Inputs!$B$39&lt;&gt;"pvp",Inputs!$B$44=0),1,IF(IF(Inputs!$B$39="pvp",15,Inputs!$B$44)-(B3750)&lt;=0,1,MAX(0,IF(Inputs!$B$39="pvp",15,Inputs!$B$44)-MAX(5,B3750))/(IF(Inputs!$B$39="pvp",15,Inputs!$B$44)-(B3750))))*IF(AND(ArtifactsInput!$M$42,((Inputs!$B$9+((C3731=TRUE)*(F3731-Calc!F26))+B3739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3718*(MIN((Inputs!$B$9+((C3731=TRUE)*(F3731-Calc!F26))+B3739+(ArtifactsInput!$M$24-ArtifactsInput!$M$24)*CHOOSE(ArtifactsInput!$N$24+1,10,12,14,16,18,20)+(IF(AND(Inputs!$B$39&lt;&gt;"pvp",Inputs!$B$44=0),1,IF(IF(Inputs!$B$39="pvp",15,Inputs!$B$44)-(B3750)&lt;=0,1,MAX(0,IF(Inputs!$B$39="pvp",15,Inputs!$B$44)-MAX(5,B3750))/(IF(Inputs!$B$39="pvp",15,Inputs!$B$44)-(B3750))))*IF(AND(ArtifactsInput!$M$42,((Inputs!$B$9+((C3731=TRUE)*(F3731-Calc!F26))+B3739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3718">
        <f>(1-Summary!$B$11)*T3718+Summary!$B$11*V3718</f>
        <v/>
      </c>
      <c r="P3718">
        <f>IF(B3751=0,0,O3718/B3751)</f>
        <v/>
      </c>
      <c r="Q3718">
        <f>IFERROR(1/IF(Inputs!$B$39="pvp",15,MAX(0.1,Skills!D13-IF(TRUE=TRUE,4.5,0))),0)</f>
        <v/>
      </c>
      <c r="R3718">
        <f>IF(AND(Inputs!$B$39&lt;&gt;"pvp",Inputs!$B$44&gt;0),IF(MAX(0,Inputs!$B$44-B3750)&lt;=0,0,(INT(MAX(0,Inputs!$B$44-B3750)/IF(Inputs!$B$39="pvp",15,MAX(0.1,Skills!D13-IF(TRUE=TRUE,4.5,0))))+1)),0)</f>
        <v/>
      </c>
      <c r="S3718">
        <f>IFERROR(O3718/N3718,0)</f>
        <v/>
      </c>
      <c r="T3718">
        <f>IF(C3718,(H3718*N3718*IF(AND(Inputs!$B$39&lt;&gt;"pvp",Inputs!$B$44&gt;0),((Skills!G13*((R3718-1)*IF(Skills!H13&gt;0,Skills!I13/Skills!H13,1)+IF(Skills!H13&gt;0,MIN(Skills!I13,MAX(0,MAX(0,Inputs!$B$44-B3750)-((R3718-1)*IF(Inputs!$B$39="pvp",15,MAX(0.1,Skills!D13-IF(TRUE=TRUE,4.5,0))))))/Skills!H13,1)))/Inputs!$B$44),G3718*Q3718))*IF(Inputs!$B$39="pvp",1,1+(Inputs!$B$20+0+Skills!P13+B3740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Hunt"),CHOOSE(ArtifactsInput!$N$35+1,15,18,21,24,27,30)*(1-EXP(-(0.2*B3743)*5)),0)+IF(AND(ArtifactsInput!$M$22,Inputs!$B$4&lt;&gt;"Chapter Hunt"),CHOOSE(ArtifactsInput!$N$22+1,10,12,14,16,18,20)*((0*(((0.15*B3743*5))^0/1)+1*(((0.15*B3743*5))^1/1)+2*(((0.15*B3743*5))^2/2)+3*(((0.15*B3743*5))^3/6)+4*(((0.15*B3743*5))^4/24)+5*(((0.15*B3743*5))^5/120))/((((0.15*B3743*5))^0/1)+(((0.15*B3743*5))^1/1)+(((0.15*B3743*5))^2/2)+(((0.15*B3743*5))^3/6)+(((0.15*B3743*5))^4/24)+(((0.15*B3743*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3718*(1-MIN(100,(Inputs!$B$9+((C3731=TRUE)*(F3731-Calc!F26))+B3739+(ArtifactsInput!$M$24-ArtifactsInput!$M$24)*CHOOSE(ArtifactsInput!$N$24+1,10,12,14,16,18,20)+(IF(AND(Inputs!$B$39&lt;&gt;"pvp",Inputs!$B$44=0),1,IF(IF(Inputs!$B$39="pvp",15,Inputs!$B$44)-(B3750)&lt;=0,1,MAX(0,IF(Inputs!$B$39="pvp",15,Inputs!$B$44)-MAX(5,B3750))/(IF(Inputs!$B$39="pvp",15,Inputs!$B$44)-(B3750))))*IF(AND(ArtifactsInput!$M$42,((Inputs!$B$9+((C3731=TRUE)*(F3731-Calc!F26))+B3739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3718*(MIN(100,(Inputs!$B$9+((C3731=TRUE)*(F3731-Calc!F26))+B3739+(ArtifactsInput!$M$24-ArtifactsInput!$M$24)*CHOOSE(ArtifactsInput!$N$24+1,10,12,14,16,18,20)+(IF(AND(Inputs!$B$39&lt;&gt;"pvp",Inputs!$B$44=0),1,IF(IF(Inputs!$B$39="pvp",15,Inputs!$B$44)-(B3750)&lt;=0,1,MAX(0,IF(Inputs!$B$39="pvp",15,Inputs!$B$44)-MAX(5,B3750))/(IF(Inputs!$B$39="pvp",15,Inputs!$B$44)-(B3750))))*IF(AND(ArtifactsInput!$M$42,((Inputs!$B$9+((C3731=TRUE)*(F3731-Calc!F26))+B3739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3718*(1-MIN(100,(Inputs!$B$9+((C3731=TRUE)*(F3731-Calc!F26))+B3739+(ArtifactsInput!$M$24-ArtifactsInput!$M$24)*CHOOSE(ArtifactsInput!$N$24+1,10,12,14,16,18,20)+(IF(AND(Inputs!$B$39&lt;&gt;"pvp",Inputs!$B$44=0),1,IF(IF(Inputs!$B$39="pvp",15,Inputs!$B$44)-(B3750)&lt;=0,1,MAX(0,IF(Inputs!$B$39="pvp",15,Inputs!$B$44)-MAX(5,B3750))/(IF(Inputs!$B$39="pvp",15,Inputs!$B$44)-(B3750))))*IF(AND(ArtifactsInput!$M$42,((Inputs!$B$9+((C3731=TRUE)*(F3731-Calc!F26))+B3739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3718*(MIN(100,(Inputs!$B$9+((C3731=TRUE)*(F3731-Calc!F26))+B3739+(ArtifactsInput!$M$24-ArtifactsInput!$M$24)*CHOOSE(ArtifactsInput!$N$24+1,10,12,14,16,18,20)+(IF(AND(Inputs!$B$39&lt;&gt;"pvp",Inputs!$B$44=0),1,IF(IF(Inputs!$B$39="pvp",15,Inputs!$B$44)-(B3750)&lt;=0,1,MAX(0,IF(Inputs!$B$39="pvp",15,Inputs!$B$44)-MAX(5,B3750))/(IF(Inputs!$B$39="pvp",15,Inputs!$B$44)-(B3750))))*IF(AND(ArtifactsInput!$M$42,((Inputs!$B$9+((C3731=TRUE)*(F3731-Calc!F26))+B3739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3718">
        <f>IF(C3718,(H3718*N3718*IF(AND(Inputs!$B$39&lt;&gt;"pvp",Inputs!$B$44&gt;0),((Skills!G13*((R3718-1)*IF(Skills!H13&gt;0,Skills!I13/Skills!H13,1)+IF(Skills!H13&gt;0,MIN(Skills!I13,MAX(0,MAX(0,Inputs!$B$44-B3750)-((R3718-1)*IF(Inputs!$B$39="pvp",15,MAX(0.1,Skills!D13-IF(TRUE=TRUE,4.5,0))))))/Skills!H13,1)))/Inputs!$B$44),G3718*Q3718))*IF(Inputs!$B$39="pvp",1,(1+(Inputs!$B$21+Skills!Q13+B3740+(IF(ArtifactsInput!$M$33,CHOOSE(ArtifactsInput!$N$33+1,30,36,42,48,54,60),0))+(IF(AND(ArtifactsInput!$M$35,Inputs!$B$4&lt;&gt;"Chapter Hunt"),CHOOSE(ArtifactsInput!$N$35+1,15,18,21,24,27,30)*(1-EXP(-(0.2*B3743)*5)),0)+IF(AND(ArtifactsInput!$M$22,Inputs!$B$4&lt;&gt;"Chapter Hunt"),CHOOSE(ArtifactsInput!$N$22+1,10,12,14,16,18,20)*((0*(((0.15*B3743*5))^0/1)+1*(((0.15*B3743*5))^1/1)+2*(((0.15*B3743*5))^2/2)+3*(((0.15*B3743*5))^3/6)+4*(((0.15*B3743*5))^4/24)+5*(((0.15*B3743*5))^5/120))/((((0.15*B3743*5))^0/1)+(((0.15*B3743*5))^1/1)+(((0.15*B3743*5))^2/2)+(((0.15*B3743*5))^3/6)+(((0.15*B3743*5))^4/24)+(((0.15*B3743*5))^5/120))),0)))/100)*(MIN(Skills!W13,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3719">
      <c r="A3719">
        <f>Skills!A14</f>
        <v/>
      </c>
      <c r="B3719">
        <f>Skills!B14</f>
        <v/>
      </c>
      <c r="C3719">
        <f>Inputs!$B$3&gt;=105</f>
        <v/>
      </c>
      <c r="D3719">
        <f>IF(Skills!C14=1,60+Inputs!$B$25+Inputs!$B$29,IF(Skills!C14=2,90+Inputs!$B$26+Inputs!$B$29,IF(Skills!C14=3,120+Inputs!$B$27+Inputs!$B$29,MAX(0,(Inputs!$B$3-100)*3)+Inputs!$B$28+Inputs!$B$29)))</f>
        <v/>
      </c>
      <c r="E3719">
        <f>INDEX(FactorTable!$B$2:$Y$301, MATCH(ROUND(MIN(300,MAX(1,D3719)),0), FactorTable!$A$2:$A$301,0), Skills!M14+1)</f>
        <v/>
      </c>
      <c r="F3719">
        <f>IF(Skills!N14=TRUE,(Skills!L14/10)*(E3719/1000),Skills!L14/10)+Skills!O14</f>
        <v/>
      </c>
      <c r="G3719">
        <f>Skills!G14*IF(Skills!H14&gt;0,IF(Inputs!$B$39="pvp",MIN(Skills!I14,15),Skills!I14)/Skills!H14,1)</f>
        <v/>
      </c>
      <c r="H3719">
        <f>1-(1-Skills!J14/100)^Skills!K14</f>
        <v/>
      </c>
      <c r="I3719" t="inlineStr">
        <is>
          <t>1</t>
        </is>
      </c>
      <c r="J3719">
        <f>((Inputs!$B$6*(1+Inputs!$B$7/100))+(((Inputs!$B$12*(1+Inputs!$B$13/100))-(Inputs!$B$12*(1+Inputs!$B$13/100)))+0.25*(Inputs!$B$14-Inputs!$B$14))*(1+Inputs!$B$7/100))*(F3719/100)</f>
        <v/>
      </c>
      <c r="K3719">
        <f>J3719*(1+((Inputs!$B$12*(1+Inputs!$B$13/100))*0.01+Inputs!$B$14*0.0025)/100)*(1+Inputs!$B$15/100)*(1+Inputs!$B$16/100)*(5000/(6000+Inputs!$B$43*(1-(100*(1-(1-Inputs!$B$19/100)*(1-CHOOSE(ArtifactsInput!$N$40+1,5,6,7,8,9,10)/100)^(ArtifactsInput!$M$40-ArtifactsInput!$M$40)))/100)))*(1+(Inputs!$B$24+((C3736=TRUE)*(F3736-Calc!F31))+((C3723=TRUE)*(F3723-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14="CRUEL_STAB",Inputs!$B$17+((C3733=TRUE)*(F3733-Calc!F28))+((IF(AND(Inputs!$B$39&lt;&gt;"pvp",Inputs!$B$44=0),1,IF(IF(Inputs!$B$39="pvp",15,Inputs!$B$44)-(B3750)&lt;=0,1,MAX(0,IF(Inputs!$B$39="pvp",15,Inputs!$B$44)-MAX(5,B3750))/(IF(Inputs!$B$39="pvp",15,Inputs!$B$44)-(B3750))))*(IF(AND(ArtifactsInput!$M$42,((Inputs!$B$9+((C3731=TRUE)*(F3731-Calc!F26))+B3739+(ArtifactsInput!$M$24-ArtifactsInput!$M$24)*CHOOSE(ArtifactsInput!$N$24+1,10,12,14,16,18,20)+IF(ArtifactsInput!$M$10,CHOOSE(ArtifactsInput!$N$10+1,15,18,21,24,27,30)*(IF(Inputs!$B$39="pvp",MIN(15,15)/15,IF(AND(Inputs!$B$39&lt;&gt;"pvp",Inputs!$B$44&gt;0),MIN(15,Inputs!$B$44)/(Inputs!$B$44),0))),0)))&gt;=100),MIN(100,((Inputs!$B$9+((C3731=TRUE)*(F3731-Calc!F26))+B3739+(ArtifactsInput!$M$24-ArtifactsInput!$M$24)*CHOOSE(ArtifactsInput!$N$24+1,10,12,14,16,18,20)+IF(ArtifactsInput!$M$10,CHOOSE(ArtifactsInput!$N$10+1,15,18,21,24,27,30)*(IF(Inputs!$B$39="pvp",MIN(15,15)/15,IF(AND(Inputs!$B$39&lt;&gt;"pvp",Inputs!$B$44&gt;0),MIN(15,Inputs!$B$44)/(Inputs!$B$44),0))),0)))-100),0))*CHOOSE(ArtifactsInput!$N$42+1,0.6,0.72,0.84,0.96,1.08,1.2))),Inputs!$B$18+((C3734=TRUE)*(F3734-Calc!F29))+(IF(AND(Inputs!$B$39&lt;&gt;"pvp",Inputs!$B$44=0),1,IF(IF(Inputs!$B$39="pvp",15,Inputs!$B$44)-(B3750)&lt;=0,1,MAX(0,IF(Inputs!$B$39="pvp",15,Inputs!$B$44)-MAX(5,B3750))/(IF(Inputs!$B$39="pvp",15,Inputs!$B$44)-(B3750))))*IF(AND(ArtifactsInput!$M$42,((Inputs!$B$9+((C3731=TRUE)*(F3731-Calc!F26))+B3739+(ArtifactsInput!$M$24-ArtifactsInput!$M$24)*CHOOSE(ArtifactsInput!$N$24+1,10,12,14,16,18,20)+IF(ArtifactsInput!$M$10,CHOOSE(ArtifactsInput!$N$10+1,15,18,21,24,27,30)*(IF(Inputs!$B$39="pvp",MIN(15,15)/15,IF(AND(Inputs!$B$39&lt;&gt;"pvp",Inputs!$B$44&gt;0),MIN(15,Inputs!$B$44)/(Inputs!$B$44),0))),0)))&gt;=100),CHOOSE(ArtifactsInput!$N$42+1,40,48,56,64,72,80),0))))/100)*(((1+(((C3727=TRUE)*F3727*IF(AND(Inputs!$B$39&lt;&gt;"pvp",Inputs!$B$44&gt;0),(((R3727-1)*MIN((Skills!Y22*(1+Inputs!$B$34/100)),(1/Q3727))+MIN((Skills!Y22*(1+Inputs!$B$34/100)),MAX(0,Inputs!$B$44-((R3727-1)*(1/Q3727)))))/Inputs!$B$44),IF(Inputs!$B$39="pvp",MIN((Skills!Y22*(1+Inputs!$B$34/100)),15)/15,MIN(1,(Skills!Y22*(1+Inputs!$B$34/100))/(1/Q3727)))))+((C3708=TRUE)*F3708*3)+((C3710=TRUE)*F3710*(1-EXP(-0.75*B3743*5)))+((C3729=TRUE)*(F3729-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3716=TRUE)*F3716*IF(AND(Inputs!$B$39&lt;&gt;"pvp",Inputs!$B$44&gt;0),(((R3716-1)*MIN((Skills!Y11*(1+Inputs!$B$34/100)),(1/Q3716))+MIN((Skills!Y11*(1+Inputs!$B$34/100)),MAX(0,Inputs!$B$44-((R3716-1)*(1/Q3716)))))/Inputs!$B$44),IF(Inputs!$B$39="pvp",MIN((Skills!Y11*(1+Inputs!$B$34/100)),15)/15,MIN(1,(Skills!Y11*(1+Inputs!$B$34/100))/(1/Q3716)))))/100)*(1+((C3721=TRUE)*F3721*IF(AND(Inputs!$B$39&lt;&gt;"pvp",Inputs!$B$44&gt;0),(((R3721-1)*MIN((Skills!Y16*(1+Inputs!$B$34/100)),(1/Q3721))+MIN((Skills!Y16*(1+Inputs!$B$34/100)),MAX(0,Inputs!$B$44-((R3721-1)*(1/Q3721)))))/Inputs!$B$44),IF(Inputs!$B$39="pvp",MIN((Skills!Y16*(1+Inputs!$B$34/100)),15)/15,MIN(1,(Skills!Y16*(1+Inputs!$B$34/100))/(1/Q3721)))))/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3741*I3719)</f>
        <v/>
      </c>
      <c r="L3719">
        <f>K3719*(MIN(Inputs!$B$22+((C3730=TRUE)*(F3730-Calc!F25)),(Inputs!$B$23+((C3735=TRUE)*(F3735-Calc!F30))+IF(ArtifactsInput!$M$15,CHOOSE(ArtifactsInput!$N$15+1,25,30,35,40,45,50)/100*(Inputs!$B$11-Inputs!$B$11),0)))/100+(Inputs!$B$23+((C3735=TRUE)*(F3735-Calc!F30))+IF(ArtifactsInput!$M$15,CHOOSE(ArtifactsInput!$N$15+1,25,30,35,40,45,50)/100*(Inputs!$B$11-Inputs!$B$11),0))/100)/2</f>
        <v/>
      </c>
      <c r="M3719">
        <f>L3719*(1+(Inputs!$B$10+((C3732=TRUE)*(F3732-Calc!F27))+B3746+(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3719">
        <f>L3719*(1-MIN((Inputs!$B$9+((C3731=TRUE)*(F3731-Calc!F26))+B3739+(ArtifactsInput!$M$24-ArtifactsInput!$M$24)*CHOOSE(ArtifactsInput!$N$24+1,10,12,14,16,18,20)+(IF(AND(Inputs!$B$39&lt;&gt;"pvp",Inputs!$B$44=0),1,IF(IF(Inputs!$B$39="pvp",15,Inputs!$B$44)-(B3750)&lt;=0,1,MAX(0,IF(Inputs!$B$39="pvp",15,Inputs!$B$44)-MAX(5,B3750))/(IF(Inputs!$B$39="pvp",15,Inputs!$B$44)-(B3750))))*IF(AND(ArtifactsInput!$M$42,((Inputs!$B$9+((C3731=TRUE)*(F3731-Calc!F26))+B3739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3719*(MIN((Inputs!$B$9+((C3731=TRUE)*(F3731-Calc!F26))+B3739+(ArtifactsInput!$M$24-ArtifactsInput!$M$24)*CHOOSE(ArtifactsInput!$N$24+1,10,12,14,16,18,20)+(IF(AND(Inputs!$B$39&lt;&gt;"pvp",Inputs!$B$44=0),1,IF(IF(Inputs!$B$39="pvp",15,Inputs!$B$44)-(B3750)&lt;=0,1,MAX(0,IF(Inputs!$B$39="pvp",15,Inputs!$B$44)-MAX(5,B3750))/(IF(Inputs!$B$39="pvp",15,Inputs!$B$44)-(B3750))))*IF(AND(ArtifactsInput!$M$42,((Inputs!$B$9+((C3731=TRUE)*(F3731-Calc!F26))+B3739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3719">
        <f>(1-Summary!$B$11)*T3719+Summary!$B$11*V3719</f>
        <v/>
      </c>
      <c r="P3719">
        <f>IF(B3751=0,0,O3719/B3751)</f>
        <v/>
      </c>
      <c r="Q3719">
        <f>IFERROR(1/IF(Inputs!$B$39="pvp",15,MAX(0.1,Skills!D14-IF(TRUE=TRUE,4.5,0))),0)</f>
        <v/>
      </c>
      <c r="R3719">
        <f>IF(AND(Inputs!$B$39&lt;&gt;"pvp",Inputs!$B$44&gt;0),IF(MAX(0,Inputs!$B$44-B3750)&lt;=0,0,(INT(MAX(0,Inputs!$B$44-B3750)/IF(Inputs!$B$39="pvp",15,MAX(0.1,Skills!D14-IF(TRUE=TRUE,4.5,0))))+1)),0)</f>
        <v/>
      </c>
      <c r="S3719">
        <f>IFERROR(O3719/N3719,0)</f>
        <v/>
      </c>
      <c r="T3719">
        <f>IF(C3719,(H3719*N3719*IF(AND(Inputs!$B$39&lt;&gt;"pvp",Inputs!$B$44&gt;0),((Skills!G14*((R3719-1)*IF(Skills!H14&gt;0,Skills!I14/Skills!H14,1)+IF(Skills!H14&gt;0,MIN(Skills!I14,MAX(0,MAX(0,Inputs!$B$44-B3750)-((R3719-1)*IF(Inputs!$B$39="pvp",15,MAX(0.1,Skills!D14-IF(TRUE=TRUE,4.5,0))))))/Skills!H14,1)))/Inputs!$B$44),G3719*Q3719))*IF(Inputs!$B$39="pvp",1,1+(Inputs!$B$20+0+Skills!P14+B3740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Hunt"),CHOOSE(ArtifactsInput!$N$35+1,15,18,21,24,27,30)*(1-EXP(-(0.2*B3743)*5)),0)+IF(AND(ArtifactsInput!$M$22,Inputs!$B$4&lt;&gt;"Chapter Hunt"),CHOOSE(ArtifactsInput!$N$22+1,10,12,14,16,18,20)*((0*(((0.15*B3743*5))^0/1)+1*(((0.15*B3743*5))^1/1)+2*(((0.15*B3743*5))^2/2)+3*(((0.15*B3743*5))^3/6)+4*(((0.15*B3743*5))^4/24)+5*(((0.15*B3743*5))^5/120))/((((0.15*B3743*5))^0/1)+(((0.15*B3743*5))^1/1)+(((0.15*B3743*5))^2/2)+(((0.15*B3743*5))^3/6)+(((0.15*B3743*5))^4/24)+(((0.15*B3743*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3719*(1-MIN(100,(Inputs!$B$9+((C3731=TRUE)*(F3731-Calc!F26))+B3739+(ArtifactsInput!$M$24-ArtifactsInput!$M$24)*CHOOSE(ArtifactsInput!$N$24+1,10,12,14,16,18,20)+(IF(AND(Inputs!$B$39&lt;&gt;"pvp",Inputs!$B$44=0),1,IF(IF(Inputs!$B$39="pvp",15,Inputs!$B$44)-(B3750)&lt;=0,1,MAX(0,IF(Inputs!$B$39="pvp",15,Inputs!$B$44)-MAX(5,B3750))/(IF(Inputs!$B$39="pvp",15,Inputs!$B$44)-(B3750))))*IF(AND(ArtifactsInput!$M$42,((Inputs!$B$9+((C3731=TRUE)*(F3731-Calc!F26))+B3739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3719*(MIN(100,(Inputs!$B$9+((C3731=TRUE)*(F3731-Calc!F26))+B3739+(ArtifactsInput!$M$24-ArtifactsInput!$M$24)*CHOOSE(ArtifactsInput!$N$24+1,10,12,14,16,18,20)+(IF(AND(Inputs!$B$39&lt;&gt;"pvp",Inputs!$B$44=0),1,IF(IF(Inputs!$B$39="pvp",15,Inputs!$B$44)-(B3750)&lt;=0,1,MAX(0,IF(Inputs!$B$39="pvp",15,Inputs!$B$44)-MAX(5,B3750))/(IF(Inputs!$B$39="pvp",15,Inputs!$B$44)-(B3750))))*IF(AND(ArtifactsInput!$M$42,((Inputs!$B$9+((C3731=TRUE)*(F3731-Calc!F26))+B3739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3719*(1-MIN(100,(Inputs!$B$9+((C3731=TRUE)*(F3731-Calc!F26))+B3739+(ArtifactsInput!$M$24-ArtifactsInput!$M$24)*CHOOSE(ArtifactsInput!$N$24+1,10,12,14,16,18,20)+(IF(AND(Inputs!$B$39&lt;&gt;"pvp",Inputs!$B$44=0),1,IF(IF(Inputs!$B$39="pvp",15,Inputs!$B$44)-(B3750)&lt;=0,1,MAX(0,IF(Inputs!$B$39="pvp",15,Inputs!$B$44)-MAX(5,B3750))/(IF(Inputs!$B$39="pvp",15,Inputs!$B$44)-(B3750))))*IF(AND(ArtifactsInput!$M$42,((Inputs!$B$9+((C3731=TRUE)*(F3731-Calc!F26))+B3739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3719*(MIN(100,(Inputs!$B$9+((C3731=TRUE)*(F3731-Calc!F26))+B3739+(ArtifactsInput!$M$24-ArtifactsInput!$M$24)*CHOOSE(ArtifactsInput!$N$24+1,10,12,14,16,18,20)+(IF(AND(Inputs!$B$39&lt;&gt;"pvp",Inputs!$B$44=0),1,IF(IF(Inputs!$B$39="pvp",15,Inputs!$B$44)-(B3750)&lt;=0,1,MAX(0,IF(Inputs!$B$39="pvp",15,Inputs!$B$44)-MAX(5,B3750))/(IF(Inputs!$B$39="pvp",15,Inputs!$B$44)-(B3750))))*IF(AND(ArtifactsInput!$M$42,((Inputs!$B$9+((C3731=TRUE)*(F3731-Calc!F26))+B3739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3719">
        <f>IF(C3719,(H3719*N3719*IF(AND(Inputs!$B$39&lt;&gt;"pvp",Inputs!$B$44&gt;0),((Skills!G14*((R3719-1)*IF(Skills!H14&gt;0,Skills!I14/Skills!H14,1)+IF(Skills!H14&gt;0,MIN(Skills!I14,MAX(0,MAX(0,Inputs!$B$44-B3750)-((R3719-1)*IF(Inputs!$B$39="pvp",15,MAX(0.1,Skills!D14-IF(TRUE=TRUE,4.5,0))))))/Skills!H14,1)))/Inputs!$B$44),G3719*Q3719))*IF(Inputs!$B$39="pvp",1,(1+(Inputs!$B$21+Skills!Q14+B3740+(IF(ArtifactsInput!$M$33,CHOOSE(ArtifactsInput!$N$33+1,30,36,42,48,54,60),0))+(IF(AND(ArtifactsInput!$M$35,Inputs!$B$4&lt;&gt;"Chapter Hunt"),CHOOSE(ArtifactsInput!$N$35+1,15,18,21,24,27,30)*(1-EXP(-(0.2*B3743)*5)),0)+IF(AND(ArtifactsInput!$M$22,Inputs!$B$4&lt;&gt;"Chapter Hunt"),CHOOSE(ArtifactsInput!$N$22+1,10,12,14,16,18,20)*((0*(((0.15*B3743*5))^0/1)+1*(((0.15*B3743*5))^1/1)+2*(((0.15*B3743*5))^2/2)+3*(((0.15*B3743*5))^3/6)+4*(((0.15*B3743*5))^4/24)+5*(((0.15*B3743*5))^5/120))/((((0.15*B3743*5))^0/1)+(((0.15*B3743*5))^1/1)+(((0.15*B3743*5))^2/2)+(((0.15*B3743*5))^3/6)+(((0.15*B3743*5))^4/24)+(((0.15*B3743*5))^5/120))),0)))/100)*(MIN(Skills!W14,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3720">
      <c r="A3720">
        <f>Skills!A15</f>
        <v/>
      </c>
      <c r="B3720">
        <f>Skills!B15</f>
        <v/>
      </c>
      <c r="C3720">
        <f>Inputs!$B$3&gt;=107</f>
        <v/>
      </c>
      <c r="D3720">
        <f>IF(Skills!C15=1,60+Inputs!$B$25+Inputs!$B$29,IF(Skills!C15=2,90+Inputs!$B$26+Inputs!$B$29,IF(Skills!C15=3,120+Inputs!$B$27+Inputs!$B$29,MAX(0,(Inputs!$B$3-100)*3)+Inputs!$B$28+Inputs!$B$29)))</f>
        <v/>
      </c>
      <c r="E3720">
        <f>INDEX(FactorTable!$B$2:$Y$301, MATCH(ROUND(MIN(300,MAX(1,D3720)),0), FactorTable!$A$2:$A$301,0), Skills!M15+1)</f>
        <v/>
      </c>
      <c r="F3720">
        <f>IF(Skills!N15=TRUE,(Skills!L15/10)*(E3720/1000),Skills!L15/10)+Skills!O15</f>
        <v/>
      </c>
      <c r="G3720">
        <f>Skills!G15*IF(Skills!H15&gt;0,IF(Inputs!$B$39="pvp",MIN(Skills!I15,15),Skills!I15)/Skills!H15,1)</f>
        <v/>
      </c>
      <c r="H3720">
        <f>1-(1-Skills!J15/100)^Skills!K15</f>
        <v/>
      </c>
      <c r="I3720" t="inlineStr">
        <is>
          <t>1</t>
        </is>
      </c>
      <c r="J3720">
        <f>((Inputs!$B$6*(1+Inputs!$B$7/100))+(((Inputs!$B$12*(1+Inputs!$B$13/100))-(Inputs!$B$12*(1+Inputs!$B$13/100)))+0.25*(Inputs!$B$14-Inputs!$B$14))*(1+Inputs!$B$7/100))*(F3720/100)</f>
        <v/>
      </c>
      <c r="K3720">
        <f>J3720*(1+((Inputs!$B$12*(1+Inputs!$B$13/100))*0.01+Inputs!$B$14*0.0025)/100)*(1+Inputs!$B$15/100)*(1+Inputs!$B$16/100)*(5000/(6000+Inputs!$B$43*(1-(100*(1-(1-Inputs!$B$19/100)*(1-CHOOSE(ArtifactsInput!$N$40+1,5,6,7,8,9,10)/100)^(ArtifactsInput!$M$40-ArtifactsInput!$M$40)))/100)))*(1+(Inputs!$B$24+((C3736=TRUE)*(F3736-Calc!F31))+((C3723=TRUE)*(F3723-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15="CRUEL_STAB",Inputs!$B$17+((C3733=TRUE)*(F3733-Calc!F28))+((IF(AND(Inputs!$B$39&lt;&gt;"pvp",Inputs!$B$44=0),1,IF(IF(Inputs!$B$39="pvp",15,Inputs!$B$44)-(B3750)&lt;=0,1,MAX(0,IF(Inputs!$B$39="pvp",15,Inputs!$B$44)-MAX(5,B3750))/(IF(Inputs!$B$39="pvp",15,Inputs!$B$44)-(B3750))))*(IF(AND(ArtifactsInput!$M$42,((Inputs!$B$9+((C3731=TRUE)*(F3731-Calc!F26))+B3739+(ArtifactsInput!$M$24-ArtifactsInput!$M$24)*CHOOSE(ArtifactsInput!$N$24+1,10,12,14,16,18,20)+IF(ArtifactsInput!$M$10,CHOOSE(ArtifactsInput!$N$10+1,15,18,21,24,27,30)*(IF(Inputs!$B$39="pvp",MIN(15,15)/15,IF(AND(Inputs!$B$39&lt;&gt;"pvp",Inputs!$B$44&gt;0),MIN(15,Inputs!$B$44)/(Inputs!$B$44),0))),0)))&gt;=100),MIN(100,((Inputs!$B$9+((C3731=TRUE)*(F3731-Calc!F26))+B3739+(ArtifactsInput!$M$24-ArtifactsInput!$M$24)*CHOOSE(ArtifactsInput!$N$24+1,10,12,14,16,18,20)+IF(ArtifactsInput!$M$10,CHOOSE(ArtifactsInput!$N$10+1,15,18,21,24,27,30)*(IF(Inputs!$B$39="pvp",MIN(15,15)/15,IF(AND(Inputs!$B$39&lt;&gt;"pvp",Inputs!$B$44&gt;0),MIN(15,Inputs!$B$44)/(Inputs!$B$44),0))),0)))-100),0))*CHOOSE(ArtifactsInput!$N$42+1,0.6,0.72,0.84,0.96,1.08,1.2))),Inputs!$B$18+((C3734=TRUE)*(F3734-Calc!F29))+(IF(AND(Inputs!$B$39&lt;&gt;"pvp",Inputs!$B$44=0),1,IF(IF(Inputs!$B$39="pvp",15,Inputs!$B$44)-(B3750)&lt;=0,1,MAX(0,IF(Inputs!$B$39="pvp",15,Inputs!$B$44)-MAX(5,B3750))/(IF(Inputs!$B$39="pvp",15,Inputs!$B$44)-(B3750))))*IF(AND(ArtifactsInput!$M$42,((Inputs!$B$9+((C3731=TRUE)*(F3731-Calc!F26))+B3739+(ArtifactsInput!$M$24-ArtifactsInput!$M$24)*CHOOSE(ArtifactsInput!$N$24+1,10,12,14,16,18,20)+IF(ArtifactsInput!$M$10,CHOOSE(ArtifactsInput!$N$10+1,15,18,21,24,27,30)*(IF(Inputs!$B$39="pvp",MIN(15,15)/15,IF(AND(Inputs!$B$39&lt;&gt;"pvp",Inputs!$B$44&gt;0),MIN(15,Inputs!$B$44)/(Inputs!$B$44),0))),0)))&gt;=100),CHOOSE(ArtifactsInput!$N$42+1,40,48,56,64,72,80),0))))/100)*(((1+(((C3727=TRUE)*F3727*IF(AND(Inputs!$B$39&lt;&gt;"pvp",Inputs!$B$44&gt;0),(((R3727-1)*MIN((Skills!Y22*(1+Inputs!$B$34/100)),(1/Q3727))+MIN((Skills!Y22*(1+Inputs!$B$34/100)),MAX(0,Inputs!$B$44-((R3727-1)*(1/Q3727)))))/Inputs!$B$44),IF(Inputs!$B$39="pvp",MIN((Skills!Y22*(1+Inputs!$B$34/100)),15)/15,MIN(1,(Skills!Y22*(1+Inputs!$B$34/100))/(1/Q3727)))))+((C3708=TRUE)*F3708*3)+((C3710=TRUE)*F3710*(1-EXP(-0.75*B3743*5)))+((C3729=TRUE)*(F3729-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3716=TRUE)*F3716*IF(AND(Inputs!$B$39&lt;&gt;"pvp",Inputs!$B$44&gt;0),(((R3716-1)*MIN((Skills!Y11*(1+Inputs!$B$34/100)),(1/Q3716))+MIN((Skills!Y11*(1+Inputs!$B$34/100)),MAX(0,Inputs!$B$44-((R3716-1)*(1/Q3716)))))/Inputs!$B$44),IF(Inputs!$B$39="pvp",MIN((Skills!Y11*(1+Inputs!$B$34/100)),15)/15,MIN(1,(Skills!Y11*(1+Inputs!$B$34/100))/(1/Q3716)))))/100)*(1+((C3721=TRUE)*F3721*IF(AND(Inputs!$B$39&lt;&gt;"pvp",Inputs!$B$44&gt;0),(((R3721-1)*MIN((Skills!Y16*(1+Inputs!$B$34/100)),(1/Q3721))+MIN((Skills!Y16*(1+Inputs!$B$34/100)),MAX(0,Inputs!$B$44-((R3721-1)*(1/Q3721)))))/Inputs!$B$44),IF(Inputs!$B$39="pvp",MIN((Skills!Y16*(1+Inputs!$B$34/100)),15)/15,MIN(1,(Skills!Y16*(1+Inputs!$B$34/100))/(1/Q3721)))))/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3741*I3720)</f>
        <v/>
      </c>
      <c r="L3720">
        <f>K3720*(MIN(Inputs!$B$22+((C3730=TRUE)*(F3730-Calc!F25)),(Inputs!$B$23+((C3735=TRUE)*(F3735-Calc!F30))+IF(ArtifactsInput!$M$15,CHOOSE(ArtifactsInput!$N$15+1,25,30,35,40,45,50)/100*(Inputs!$B$11-Inputs!$B$11),0)))/100+(Inputs!$B$23+((C3735=TRUE)*(F3735-Calc!F30))+IF(ArtifactsInput!$M$15,CHOOSE(ArtifactsInput!$N$15+1,25,30,35,40,45,50)/100*(Inputs!$B$11-Inputs!$B$11),0))/100)/2</f>
        <v/>
      </c>
      <c r="M3720">
        <f>L3720*(1+(Inputs!$B$10+((C3732=TRUE)*(F3732-Calc!F27))+B3746+(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3720">
        <f>L3720*(1-MIN((Inputs!$B$9+((C3731=TRUE)*(F3731-Calc!F26))+B3739+(ArtifactsInput!$M$24-ArtifactsInput!$M$24)*CHOOSE(ArtifactsInput!$N$24+1,10,12,14,16,18,20)+(IF(AND(Inputs!$B$39&lt;&gt;"pvp",Inputs!$B$44=0),1,IF(IF(Inputs!$B$39="pvp",15,Inputs!$B$44)-(B3750)&lt;=0,1,MAX(0,IF(Inputs!$B$39="pvp",15,Inputs!$B$44)-MAX(5,B3750))/(IF(Inputs!$B$39="pvp",15,Inputs!$B$44)-(B3750))))*IF(AND(ArtifactsInput!$M$42,((Inputs!$B$9+((C3731=TRUE)*(F3731-Calc!F26))+B3739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3720*(MIN((Inputs!$B$9+((C3731=TRUE)*(F3731-Calc!F26))+B3739+(ArtifactsInput!$M$24-ArtifactsInput!$M$24)*CHOOSE(ArtifactsInput!$N$24+1,10,12,14,16,18,20)+(IF(AND(Inputs!$B$39&lt;&gt;"pvp",Inputs!$B$44=0),1,IF(IF(Inputs!$B$39="pvp",15,Inputs!$B$44)-(B3750)&lt;=0,1,MAX(0,IF(Inputs!$B$39="pvp",15,Inputs!$B$44)-MAX(5,B3750))/(IF(Inputs!$B$39="pvp",15,Inputs!$B$44)-(B3750))))*IF(AND(ArtifactsInput!$M$42,((Inputs!$B$9+((C3731=TRUE)*(F3731-Calc!F26))+B3739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3720">
        <f>(1-Summary!$B$11)*T3720+Summary!$B$11*V3720</f>
        <v/>
      </c>
      <c r="P3720">
        <f>IF(B3751=0,0,O3720/B3751)</f>
        <v/>
      </c>
      <c r="Q3720">
        <f>IFERROR(1/IF(Inputs!$B$39="pvp",15,MAX(0.1,Skills!D15-IF(TRUE=TRUE,4.5,0))),0)</f>
        <v/>
      </c>
      <c r="R3720">
        <f>IF(AND(Inputs!$B$39&lt;&gt;"pvp",Inputs!$B$44&gt;0),IF(MAX(0,Inputs!$B$44-B3750)&lt;=0,0,(INT(MAX(0,Inputs!$B$44-B3750)/IF(Inputs!$B$39="pvp",15,MAX(0.1,Skills!D15-IF(TRUE=TRUE,4.5,0))))+1)),0)</f>
        <v/>
      </c>
      <c r="S3720">
        <f>IFERROR(O3720/N3720,0)</f>
        <v/>
      </c>
      <c r="T3720">
        <f>IF(C3720,(H3720*N3720*IF(AND(Inputs!$B$39&lt;&gt;"pvp",Inputs!$B$44&gt;0),((Skills!G15*((R3720-1)*IF(Skills!H15&gt;0,Skills!I15/Skills!H15,1)+IF(Skills!H15&gt;0,MIN(Skills!I15,MAX(0,MAX(0,Inputs!$B$44-B3750)-((R3720-1)*IF(Inputs!$B$39="pvp",15,MAX(0.1,Skills!D15-IF(TRUE=TRUE,4.5,0))))))/Skills!H15,1)))/Inputs!$B$44),G3720*Q3720))*IF(Inputs!$B$39="pvp",1,1+(Inputs!$B$20+0+Skills!P15+B3740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Hunt"),CHOOSE(ArtifactsInput!$N$35+1,15,18,21,24,27,30)*(1-EXP(-(0.2*B3743)*5)),0)+IF(AND(ArtifactsInput!$M$22,Inputs!$B$4&lt;&gt;"Chapter Hunt"),CHOOSE(ArtifactsInput!$N$22+1,10,12,14,16,18,20)*((0*(((0.15*B3743*5))^0/1)+1*(((0.15*B3743*5))^1/1)+2*(((0.15*B3743*5))^2/2)+3*(((0.15*B3743*5))^3/6)+4*(((0.15*B3743*5))^4/24)+5*(((0.15*B3743*5))^5/120))/((((0.15*B3743*5))^0/1)+(((0.15*B3743*5))^1/1)+(((0.15*B3743*5))^2/2)+(((0.15*B3743*5))^3/6)+(((0.15*B3743*5))^4/24)+(((0.15*B3743*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3720*(1-MIN(100,(Inputs!$B$9+((C3731=TRUE)*(F3731-Calc!F26))+B3739+(ArtifactsInput!$M$24-ArtifactsInput!$M$24)*CHOOSE(ArtifactsInput!$N$24+1,10,12,14,16,18,20)+(IF(AND(Inputs!$B$39&lt;&gt;"pvp",Inputs!$B$44=0),1,IF(IF(Inputs!$B$39="pvp",15,Inputs!$B$44)-(B3750)&lt;=0,1,MAX(0,IF(Inputs!$B$39="pvp",15,Inputs!$B$44)-MAX(5,B3750))/(IF(Inputs!$B$39="pvp",15,Inputs!$B$44)-(B3750))))*IF(AND(ArtifactsInput!$M$42,((Inputs!$B$9+((C3731=TRUE)*(F3731-Calc!F26))+B3739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3720*(MIN(100,(Inputs!$B$9+((C3731=TRUE)*(F3731-Calc!F26))+B3739+(ArtifactsInput!$M$24-ArtifactsInput!$M$24)*CHOOSE(ArtifactsInput!$N$24+1,10,12,14,16,18,20)+(IF(AND(Inputs!$B$39&lt;&gt;"pvp",Inputs!$B$44=0),1,IF(IF(Inputs!$B$39="pvp",15,Inputs!$B$44)-(B3750)&lt;=0,1,MAX(0,IF(Inputs!$B$39="pvp",15,Inputs!$B$44)-MAX(5,B3750))/(IF(Inputs!$B$39="pvp",15,Inputs!$B$44)-(B3750))))*IF(AND(ArtifactsInput!$M$42,((Inputs!$B$9+((C3731=TRUE)*(F3731-Calc!F26))+B3739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3720*(1-MIN(100,(Inputs!$B$9+((C3731=TRUE)*(F3731-Calc!F26))+B3739+(ArtifactsInput!$M$24-ArtifactsInput!$M$24)*CHOOSE(ArtifactsInput!$N$24+1,10,12,14,16,18,20)+(IF(AND(Inputs!$B$39&lt;&gt;"pvp",Inputs!$B$44=0),1,IF(IF(Inputs!$B$39="pvp",15,Inputs!$B$44)-(B3750)&lt;=0,1,MAX(0,IF(Inputs!$B$39="pvp",15,Inputs!$B$44)-MAX(5,B3750))/(IF(Inputs!$B$39="pvp",15,Inputs!$B$44)-(B3750))))*IF(AND(ArtifactsInput!$M$42,((Inputs!$B$9+((C3731=TRUE)*(F3731-Calc!F26))+B3739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3720*(MIN(100,(Inputs!$B$9+((C3731=TRUE)*(F3731-Calc!F26))+B3739+(ArtifactsInput!$M$24-ArtifactsInput!$M$24)*CHOOSE(ArtifactsInput!$N$24+1,10,12,14,16,18,20)+(IF(AND(Inputs!$B$39&lt;&gt;"pvp",Inputs!$B$44=0),1,IF(IF(Inputs!$B$39="pvp",15,Inputs!$B$44)-(B3750)&lt;=0,1,MAX(0,IF(Inputs!$B$39="pvp",15,Inputs!$B$44)-MAX(5,B3750))/(IF(Inputs!$B$39="pvp",15,Inputs!$B$44)-(B3750))))*IF(AND(ArtifactsInput!$M$42,((Inputs!$B$9+((C3731=TRUE)*(F3731-Calc!F26))+B3739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3720">
        <f>IF(C3720,(H3720*N3720*IF(AND(Inputs!$B$39&lt;&gt;"pvp",Inputs!$B$44&gt;0),((Skills!G15*((R3720-1)*IF(Skills!H15&gt;0,Skills!I15/Skills!H15,1)+IF(Skills!H15&gt;0,MIN(Skills!I15,MAX(0,MAX(0,Inputs!$B$44-B3750)-((R3720-1)*IF(Inputs!$B$39="pvp",15,MAX(0.1,Skills!D15-IF(TRUE=TRUE,4.5,0))))))/Skills!H15,1)))/Inputs!$B$44),G3720*Q3720))*IF(Inputs!$B$39="pvp",1,(1+(Inputs!$B$21+Skills!Q15+B3740+(IF(ArtifactsInput!$M$33,CHOOSE(ArtifactsInput!$N$33+1,30,36,42,48,54,60),0))+(IF(AND(ArtifactsInput!$M$35,Inputs!$B$4&lt;&gt;"Chapter Hunt"),CHOOSE(ArtifactsInput!$N$35+1,15,18,21,24,27,30)*(1-EXP(-(0.2*B3743)*5)),0)+IF(AND(ArtifactsInput!$M$22,Inputs!$B$4&lt;&gt;"Chapter Hunt"),CHOOSE(ArtifactsInput!$N$22+1,10,12,14,16,18,20)*((0*(((0.15*B3743*5))^0/1)+1*(((0.15*B3743*5))^1/1)+2*(((0.15*B3743*5))^2/2)+3*(((0.15*B3743*5))^3/6)+4*(((0.15*B3743*5))^4/24)+5*(((0.15*B3743*5))^5/120))/((((0.15*B3743*5))^0/1)+(((0.15*B3743*5))^1/1)+(((0.15*B3743*5))^2/2)+(((0.15*B3743*5))^3/6)+(((0.15*B3743*5))^4/24)+(((0.15*B3743*5))^5/120))),0)))/100)*(MIN(MIN(5,0.5*IF(Inputs!$B$3&gt;=75,0.75,0.5)*B3743*(1/Q3709))*Skills!V15,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3721">
      <c r="A3721">
        <f>Skills!A16</f>
        <v/>
      </c>
      <c r="B3721">
        <f>Skills!B16</f>
        <v/>
      </c>
      <c r="C3721">
        <f>Inputs!$B$3&gt;=110</f>
        <v/>
      </c>
      <c r="D3721">
        <f>IF(Skills!C16=1,60+Inputs!$B$25+Inputs!$B$29,IF(Skills!C16=2,90+Inputs!$B$26+Inputs!$B$29,IF(Skills!C16=3,120+Inputs!$B$27+Inputs!$B$29,MAX(0,(Inputs!$B$3-100)*3)+Inputs!$B$28+Inputs!$B$29)))</f>
        <v/>
      </c>
      <c r="E3721">
        <f>INDEX(FactorTable!$B$2:$Y$301, MATCH(ROUND(MIN(300,MAX(1,D3721)),0), FactorTable!$A$2:$A$301,0), Skills!M16+1)</f>
        <v/>
      </c>
      <c r="F3721">
        <f>IF(Skills!N16=TRUE,(Skills!L16/10)*(E3721/1000),Skills!L16/10)+Skills!O16</f>
        <v/>
      </c>
      <c r="G3721">
        <f>Skills!G16*IF(Skills!H16&gt;0,IF(Inputs!$B$39="pvp",MIN(Skills!I16,15),Skills!I16)/Skills!H16,1)</f>
        <v/>
      </c>
      <c r="H3721">
        <f>1-(1-Skills!J16/100)^Skills!K16</f>
        <v/>
      </c>
      <c r="I3721" t="inlineStr">
        <is>
          <t>1</t>
        </is>
      </c>
      <c r="J3721" t="inlineStr"/>
      <c r="K3721" t="inlineStr"/>
      <c r="L3721" t="inlineStr"/>
      <c r="M3721" t="inlineStr"/>
      <c r="N3721" t="inlineStr"/>
      <c r="O3721">
        <f>(1-Summary!$B$11)*T3721+Summary!$B$11*V3721</f>
        <v/>
      </c>
      <c r="P3721">
        <f>IF(B3751=0,0,O3721/B3751)</f>
        <v/>
      </c>
      <c r="Q3721">
        <f>IFERROR(1/IF(Inputs!$B$39="pvp",15,MAX(0.1,Skills!D16-IF(TRUE=TRUE,4.5,0))),0)</f>
        <v/>
      </c>
      <c r="R3721">
        <f>IF(AND(Inputs!$B$39&lt;&gt;"pvp",Inputs!$B$44&gt;0),IF(Inputs!$B$44&lt;=0,0,(INT(Inputs!$B$44/IF(Inputs!$B$39="pvp",15,MAX(0.1,Skills!D16-IF(TRUE=TRUE,4.5,0))))+1)),0)</f>
        <v/>
      </c>
      <c r="S3721">
        <f>IFERROR(O3721/N3721,0)</f>
        <v/>
      </c>
      <c r="T3721" t="n">
        <v>0</v>
      </c>
      <c r="V3721" t="n">
        <v>0</v>
      </c>
    </row>
    <row r="3722">
      <c r="A3722">
        <f>Skills!A17</f>
        <v/>
      </c>
      <c r="B3722">
        <f>Skills!B17</f>
        <v/>
      </c>
      <c r="C3722">
        <f>Inputs!$B$3&gt;=115</f>
        <v/>
      </c>
      <c r="D3722">
        <f>IF(Skills!C17=1,60+Inputs!$B$25+Inputs!$B$29,IF(Skills!C17=2,90+Inputs!$B$26+Inputs!$B$29,IF(Skills!C17=3,120+Inputs!$B$27+Inputs!$B$29,MAX(0,(Inputs!$B$3-100)*3)+Inputs!$B$28+Inputs!$B$29)))</f>
        <v/>
      </c>
      <c r="E3722">
        <f>INDEX(FactorTable!$B$2:$Y$301, MATCH(ROUND(MIN(300,MAX(1,D3722)),0), FactorTable!$A$2:$A$301,0), Skills!M17+1)</f>
        <v/>
      </c>
      <c r="F3722">
        <f>IF(Skills!N17=TRUE,(Skills!L17/10)*(E3722/1000),Skills!L17/10)+Skills!O17</f>
        <v/>
      </c>
      <c r="G3722">
        <f>Skills!G17*IF(Skills!H17&gt;0,IF(Inputs!$B$39="pvp",MIN(Skills!I17,15),Skills!I17)/Skills!H17,1)</f>
        <v/>
      </c>
      <c r="H3722">
        <f>1-(1-Skills!J17/100)^Skills!K17</f>
        <v/>
      </c>
      <c r="I3722" t="inlineStr">
        <is>
          <t>1</t>
        </is>
      </c>
      <c r="J3722">
        <f>((Inputs!$B$6*(1+Inputs!$B$7/100))+(((Inputs!$B$12*(1+Inputs!$B$13/100))-(Inputs!$B$12*(1+Inputs!$B$13/100)))+0.25*(Inputs!$B$14-Inputs!$B$14))*(1+Inputs!$B$7/100))*(F3722/100)</f>
        <v/>
      </c>
      <c r="K3722">
        <f>J3722*(1+((Inputs!$B$12*(1+Inputs!$B$13/100))*0.01+Inputs!$B$14*0.0025)/100)*(1+Inputs!$B$15/100)*(1+Inputs!$B$16/100)*(5000/(6000+Inputs!$B$43*(1-(100*(1-(1-Inputs!$B$19/100)*(1-CHOOSE(ArtifactsInput!$N$40+1,5,6,7,8,9,10)/100)^(ArtifactsInput!$M$40-ArtifactsInput!$M$40)))/100)))*(1+(Inputs!$B$24+((C3736=TRUE)*(F3736-Calc!F31))+((C3723=TRUE)*(F3723-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17="CRUEL_STAB",Inputs!$B$17+((C3733=TRUE)*(F3733-Calc!F28))+((IF(AND(Inputs!$B$39&lt;&gt;"pvp",Inputs!$B$44=0),1,IF(IF(Inputs!$B$39="pvp",15,Inputs!$B$44)-(B3750)&lt;=0,1,MAX(0,IF(Inputs!$B$39="pvp",15,Inputs!$B$44)-MAX(5,B3750))/(IF(Inputs!$B$39="pvp",15,Inputs!$B$44)-(B3750))))*(IF(AND(ArtifactsInput!$M$42,((Inputs!$B$9+((C3731=TRUE)*(F3731-Calc!F26))+B3739+(ArtifactsInput!$M$24-ArtifactsInput!$M$24)*CHOOSE(ArtifactsInput!$N$24+1,10,12,14,16,18,20)+IF(ArtifactsInput!$M$10,CHOOSE(ArtifactsInput!$N$10+1,15,18,21,24,27,30)*(IF(Inputs!$B$39="pvp",MIN(15,15)/15,IF(AND(Inputs!$B$39&lt;&gt;"pvp",Inputs!$B$44&gt;0),MIN(15,Inputs!$B$44)/(Inputs!$B$44),0))),0)))&gt;=100),MIN(100,((Inputs!$B$9+((C3731=TRUE)*(F3731-Calc!F26))+B3739+(ArtifactsInput!$M$24-ArtifactsInput!$M$24)*CHOOSE(ArtifactsInput!$N$24+1,10,12,14,16,18,20)+IF(ArtifactsInput!$M$10,CHOOSE(ArtifactsInput!$N$10+1,15,18,21,24,27,30)*(IF(Inputs!$B$39="pvp",MIN(15,15)/15,IF(AND(Inputs!$B$39&lt;&gt;"pvp",Inputs!$B$44&gt;0),MIN(15,Inputs!$B$44)/(Inputs!$B$44),0))),0)))-100),0))*CHOOSE(ArtifactsInput!$N$42+1,0.6,0.72,0.84,0.96,1.08,1.2))),Inputs!$B$18+((C3734=TRUE)*(F3734-Calc!F29))+(IF(AND(Inputs!$B$39&lt;&gt;"pvp",Inputs!$B$44=0),1,IF(IF(Inputs!$B$39="pvp",15,Inputs!$B$44)-(B3750)&lt;=0,1,MAX(0,IF(Inputs!$B$39="pvp",15,Inputs!$B$44)-MAX(5,B3750))/(IF(Inputs!$B$39="pvp",15,Inputs!$B$44)-(B3750))))*IF(AND(ArtifactsInput!$M$42,((Inputs!$B$9+((C3731=TRUE)*(F3731-Calc!F26))+B3739+(ArtifactsInput!$M$24-ArtifactsInput!$M$24)*CHOOSE(ArtifactsInput!$N$24+1,10,12,14,16,18,20)+IF(ArtifactsInput!$M$10,CHOOSE(ArtifactsInput!$N$10+1,15,18,21,24,27,30)*(IF(Inputs!$B$39="pvp",MIN(15,15)/15,IF(AND(Inputs!$B$39&lt;&gt;"pvp",Inputs!$B$44&gt;0),MIN(15,Inputs!$B$44)/(Inputs!$B$44),0))),0)))&gt;=100),CHOOSE(ArtifactsInput!$N$42+1,40,48,56,64,72,80),0))))/100)*(((1+(((C3727=TRUE)*F3727*IF(AND(Inputs!$B$39&lt;&gt;"pvp",Inputs!$B$44&gt;0),(((R3727-1)*MIN((Skills!Y22*(1+Inputs!$B$34/100)),(1/Q3727))+MIN((Skills!Y22*(1+Inputs!$B$34/100)),MAX(0,Inputs!$B$44-((R3727-1)*(1/Q3727)))))/Inputs!$B$44),IF(Inputs!$B$39="pvp",MIN((Skills!Y22*(1+Inputs!$B$34/100)),15)/15,MIN(1,(Skills!Y22*(1+Inputs!$B$34/100))/(1/Q3727)))))+((C3708=TRUE)*F3708*3)+((C3710=TRUE)*F3710*(1-EXP(-0.75*B3743*5)))+((C3729=TRUE)*(F3729-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3716=TRUE)*F3716*IF(AND(Inputs!$B$39&lt;&gt;"pvp",Inputs!$B$44&gt;0),(((R3716-1)*MIN((Skills!Y11*(1+Inputs!$B$34/100)),(1/Q3716))+MIN((Skills!Y11*(1+Inputs!$B$34/100)),MAX(0,Inputs!$B$44-((R3716-1)*(1/Q3716)))))/Inputs!$B$44),IF(Inputs!$B$39="pvp",MIN((Skills!Y11*(1+Inputs!$B$34/100)),15)/15,MIN(1,(Skills!Y11*(1+Inputs!$B$34/100))/(1/Q3716)))))/100)*(1+((C3721=TRUE)*F3721*IF(AND(Inputs!$B$39&lt;&gt;"pvp",Inputs!$B$44&gt;0),(((R3721-1)*MIN((Skills!Y16*(1+Inputs!$B$34/100)),(1/Q3721))+MIN((Skills!Y16*(1+Inputs!$B$34/100)),MAX(0,Inputs!$B$44-((R3721-1)*(1/Q3721)))))/Inputs!$B$44),IF(Inputs!$B$39="pvp",MIN((Skills!Y16*(1+Inputs!$B$34/100)),15)/15,MIN(1,(Skills!Y16*(1+Inputs!$B$34/100))/(1/Q3721)))))/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3741*I3722)</f>
        <v/>
      </c>
      <c r="L3722">
        <f>K3722*(MIN(Inputs!$B$22+((C3730=TRUE)*(F3730-Calc!F25)),(Inputs!$B$23+((C3735=TRUE)*(F3735-Calc!F30))+IF(ArtifactsInput!$M$15,CHOOSE(ArtifactsInput!$N$15+1,25,30,35,40,45,50)/100*(Inputs!$B$11-Inputs!$B$11),0)))/100+(Inputs!$B$23+((C3735=TRUE)*(F3735-Calc!F30))+IF(ArtifactsInput!$M$15,CHOOSE(ArtifactsInput!$N$15+1,25,30,35,40,45,50)/100*(Inputs!$B$11-Inputs!$B$11),0))/100)/2</f>
        <v/>
      </c>
      <c r="M3722">
        <f>L3722*(1+(Inputs!$B$10+((C3732=TRUE)*(F3732-Calc!F27))+B3746+(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3722">
        <f>L3722*(1-MIN((Inputs!$B$9+((C3731=TRUE)*(F3731-Calc!F26))+B3739+(ArtifactsInput!$M$24-ArtifactsInput!$M$24)*CHOOSE(ArtifactsInput!$N$24+1,10,12,14,16,18,20)+(IF(AND(Inputs!$B$39&lt;&gt;"pvp",Inputs!$B$44=0),1,IF(IF(Inputs!$B$39="pvp",15,Inputs!$B$44)-(B3750)&lt;=0,1,MAX(0,IF(Inputs!$B$39="pvp",15,Inputs!$B$44)-MAX(5,B3750))/(IF(Inputs!$B$39="pvp",15,Inputs!$B$44)-(B3750))))*IF(AND(ArtifactsInput!$M$42,((Inputs!$B$9+((C3731=TRUE)*(F3731-Calc!F26))+B3739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3722*(MIN((Inputs!$B$9+((C3731=TRUE)*(F3731-Calc!F26))+B3739+(ArtifactsInput!$M$24-ArtifactsInput!$M$24)*CHOOSE(ArtifactsInput!$N$24+1,10,12,14,16,18,20)+(IF(AND(Inputs!$B$39&lt;&gt;"pvp",Inputs!$B$44=0),1,IF(IF(Inputs!$B$39="pvp",15,Inputs!$B$44)-(B3750)&lt;=0,1,MAX(0,IF(Inputs!$B$39="pvp",15,Inputs!$B$44)-MAX(5,B3750))/(IF(Inputs!$B$39="pvp",15,Inputs!$B$44)-(B3750))))*IF(AND(ArtifactsInput!$M$42,((Inputs!$B$9+((C3731=TRUE)*(F3731-Calc!F26))+B3739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3722">
        <f>(1-Summary!$B$11)*T3722+Summary!$B$11*V3722</f>
        <v/>
      </c>
      <c r="P3722">
        <f>IF(B3751=0,0,O3722/B3751)</f>
        <v/>
      </c>
      <c r="Q3722" t="n">
        <v>0</v>
      </c>
      <c r="R3722" t="n">
        <v>0</v>
      </c>
      <c r="S3722">
        <f>IFERROR(O3722/N3722,0)</f>
        <v/>
      </c>
      <c r="T3722">
        <f>IF(C3722,(Inputs!$B$38*0.2*N3722)*IF(Inputs!$B$39="pvp",1,1+(Inputs!$B$20+0+Skills!P17+B3740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Hunt"),CHOOSE(ArtifactsInput!$N$35+1,15,18,21,24,27,30)*(1-EXP(-(0.2*B3743)*5)),0)+IF(AND(ArtifactsInput!$M$22,Inputs!$B$4&lt;&gt;"Chapter Hunt"),CHOOSE(ArtifactsInput!$N$22+1,10,12,14,16,18,20)*((0*(((0.15*B3743*5))^0/1)+1*(((0.15*B3743*5))^1/1)+2*(((0.15*B3743*5))^2/2)+3*(((0.15*B3743*5))^3/6)+4*(((0.15*B3743*5))^4/24)+5*(((0.15*B3743*5))^5/120))/((((0.15*B3743*5))^0/1)+(((0.15*B3743*5))^1/1)+(((0.15*B3743*5))^2/2)+(((0.15*B3743*5))^3/6)+(((0.15*B3743*5))^4/24)+(((0.15*B3743*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3722*(1-MIN(100,(Inputs!$B$9+((C3731=TRUE)*(F3731-Calc!F26))+B3739+(ArtifactsInput!$M$24-ArtifactsInput!$M$24)*CHOOSE(ArtifactsInput!$N$24+1,10,12,14,16,18,20)+(IF(AND(Inputs!$B$39&lt;&gt;"pvp",Inputs!$B$44=0),1,IF(IF(Inputs!$B$39="pvp",15,Inputs!$B$44)-(B3750)&lt;=0,1,MAX(0,IF(Inputs!$B$39="pvp",15,Inputs!$B$44)-MAX(5,B3750))/(IF(Inputs!$B$39="pvp",15,Inputs!$B$44)-(B3750))))*IF(AND(ArtifactsInput!$M$42,((Inputs!$B$9+((C3731=TRUE)*(F3731-Calc!F26))+B3739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3722*(MIN(100,(Inputs!$B$9+((C3731=TRUE)*(F3731-Calc!F26))+B3739+(ArtifactsInput!$M$24-ArtifactsInput!$M$24)*CHOOSE(ArtifactsInput!$N$24+1,10,12,14,16,18,20)+(IF(AND(Inputs!$B$39&lt;&gt;"pvp",Inputs!$B$44=0),1,IF(IF(Inputs!$B$39="pvp",15,Inputs!$B$44)-(B3750)&lt;=0,1,MAX(0,IF(Inputs!$B$39="pvp",15,Inputs!$B$44)-MAX(5,B3750))/(IF(Inputs!$B$39="pvp",15,Inputs!$B$44)-(B3750))))*IF(AND(ArtifactsInput!$M$42,((Inputs!$B$9+((C3731=TRUE)*(F3731-Calc!F26))+B3739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3722*(1-MIN(100,(Inputs!$B$9+((C3731=TRUE)*(F3731-Calc!F26))+B3739+(ArtifactsInput!$M$24-ArtifactsInput!$M$24)*CHOOSE(ArtifactsInput!$N$24+1,10,12,14,16,18,20)+(IF(AND(Inputs!$B$39&lt;&gt;"pvp",Inputs!$B$44=0),1,IF(IF(Inputs!$B$39="pvp",15,Inputs!$B$44)-(B3750)&lt;=0,1,MAX(0,IF(Inputs!$B$39="pvp",15,Inputs!$B$44)-MAX(5,B3750))/(IF(Inputs!$B$39="pvp",15,Inputs!$B$44)-(B3750))))*IF(AND(ArtifactsInput!$M$42,((Inputs!$B$9+((C3731=TRUE)*(F3731-Calc!F26))+B3739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3722*(MIN(100,(Inputs!$B$9+((C3731=TRUE)*(F3731-Calc!F26))+B3739+(ArtifactsInput!$M$24-ArtifactsInput!$M$24)*CHOOSE(ArtifactsInput!$N$24+1,10,12,14,16,18,20)+(IF(AND(Inputs!$B$39&lt;&gt;"pvp",Inputs!$B$44=0),1,IF(IF(Inputs!$B$39="pvp",15,Inputs!$B$44)-(B3750)&lt;=0,1,MAX(0,IF(Inputs!$B$39="pvp",15,Inputs!$B$44)-MAX(5,B3750))/(IF(Inputs!$B$39="pvp",15,Inputs!$B$44)-(B3750))))*IF(AND(ArtifactsInput!$M$42,((Inputs!$B$9+((C3731=TRUE)*(F3731-Calc!F26))+B3739+(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3722">
        <f>IF(C3722,(Inputs!$B$38*0.2*N3722)*IF(Inputs!$B$39="pvp",1,(1+(Inputs!$B$21+Skills!Q17+B3740+(IF(ArtifactsInput!$M$33,CHOOSE(ArtifactsInput!$N$33+1,30,36,42,48,54,60),0))+(IF(AND(ArtifactsInput!$M$35,Inputs!$B$4&lt;&gt;"Chapter Hunt"),CHOOSE(ArtifactsInput!$N$35+1,15,18,21,24,27,30)*(1-EXP(-(0.2*B3743)*5)),0)+IF(AND(ArtifactsInput!$M$22,Inputs!$B$4&lt;&gt;"Chapter Hunt"),CHOOSE(ArtifactsInput!$N$22+1,10,12,14,16,18,20)*((0*(((0.15*B3743*5))^0/1)+1*(((0.15*B3743*5))^1/1)+2*(((0.15*B3743*5))^2/2)+3*(((0.15*B3743*5))^3/6)+4*(((0.15*B3743*5))^4/24)+5*(((0.15*B3743*5))^5/120))/((((0.15*B3743*5))^0/1)+(((0.15*B3743*5))^1/1)+(((0.15*B3743*5))^2/2)+(((0.15*B3743*5))^3/6)+(((0.15*B3743*5))^4/24)+(((0.15*B3743*5))^5/120))),0)))/100)*(MIN(Skills!W17,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3723">
      <c r="A3723">
        <f>Skills!A18</f>
        <v/>
      </c>
      <c r="B3723">
        <f>Skills!B18</f>
        <v/>
      </c>
      <c r="C3723">
        <f>Inputs!$B$3&gt;=115</f>
        <v/>
      </c>
      <c r="D3723">
        <f>IF(Skills!C18=1,60+Inputs!$B$25+Inputs!$B$29,IF(Skills!C18=2,90+Inputs!$B$26+Inputs!$B$29,IF(Skills!C18=3,120+Inputs!$B$27+Inputs!$B$29,MAX(0,(Inputs!$B$3-100)*3)+Inputs!$B$28+Inputs!$B$29)))</f>
        <v/>
      </c>
      <c r="E3723">
        <f>INDEX(FactorTable!$B$2:$Y$301, MATCH(ROUND(MIN(300,MAX(1,D3723)),0), FactorTable!$A$2:$A$301,0), Skills!M18+1)</f>
        <v/>
      </c>
      <c r="F3723">
        <f>IF(Skills!N18=TRUE,(Skills!L18/10)*(E3723/1000),Skills!L18/10)+Skills!O18</f>
        <v/>
      </c>
      <c r="G3723">
        <f>Skills!G18*IF(Skills!H18&gt;0,IF(Inputs!$B$39="pvp",MIN(Skills!I18,15),Skills!I18)/Skills!H18,1)</f>
        <v/>
      </c>
      <c r="H3723">
        <f>1-(1-Skills!J18/100)^Skills!K18</f>
        <v/>
      </c>
      <c r="I3723" t="inlineStr">
        <is>
          <t>1</t>
        </is>
      </c>
      <c r="J3723" t="inlineStr"/>
      <c r="K3723" t="inlineStr"/>
      <c r="L3723" t="inlineStr"/>
      <c r="M3723" t="inlineStr"/>
      <c r="N3723" t="inlineStr"/>
      <c r="O3723">
        <f>(1-Summary!$B$11)*T3723+Summary!$B$11*V3723</f>
        <v/>
      </c>
      <c r="P3723">
        <f>IF(B3751=0,0,O3723/B3751)</f>
        <v/>
      </c>
      <c r="Q3723" t="n">
        <v>0</v>
      </c>
      <c r="R3723" t="n">
        <v>0</v>
      </c>
      <c r="S3723">
        <f>IFERROR(O3723/N3723,0)</f>
        <v/>
      </c>
      <c r="T3723" t="n">
        <v>0</v>
      </c>
      <c r="V3723" t="n">
        <v>0</v>
      </c>
    </row>
    <row r="3724">
      <c r="A3724">
        <f>Skills!A19</f>
        <v/>
      </c>
      <c r="B3724">
        <f>Skills!B19</f>
        <v/>
      </c>
      <c r="C3724">
        <f>Inputs!$B$3&gt;=100</f>
        <v/>
      </c>
      <c r="D3724">
        <f>IF(Skills!C19=1,60+Inputs!$B$25+Inputs!$B$29,IF(Skills!C19=2,90+Inputs!$B$26+Inputs!$B$29,IF(Skills!C19=3,120+Inputs!$B$27+Inputs!$B$29,MAX(0,(Inputs!$B$3-100)*3)+Inputs!$B$28+Inputs!$B$29)))</f>
        <v/>
      </c>
      <c r="E3724">
        <f>INDEX(FactorTable!$B$2:$Y$301, MATCH(ROUND(MIN(300,MAX(1,D3724)),0), FactorTable!$A$2:$A$301,0), Skills!M19+1)</f>
        <v/>
      </c>
      <c r="F3724">
        <f>IF(Skills!N19=TRUE,(Skills!L19/10)*(E3724/1000),Skills!L19/10)+Skills!O19</f>
        <v/>
      </c>
      <c r="G3724">
        <f>Skills!G19*IF(Skills!H19&gt;0,IF(Inputs!$B$39="pvp",MIN(Skills!I19,15),Skills!I19)/Skills!H19,1)</f>
        <v/>
      </c>
      <c r="H3724">
        <f>1-(1-Skills!J19/100)^Skills!K19</f>
        <v/>
      </c>
      <c r="I3724" t="inlineStr">
        <is>
          <t>1</t>
        </is>
      </c>
      <c r="J3724" t="inlineStr"/>
      <c r="K3724" t="inlineStr"/>
      <c r="L3724" t="inlineStr"/>
      <c r="M3724" t="inlineStr"/>
      <c r="N3724" t="inlineStr"/>
      <c r="O3724">
        <f>(1-Summary!$B$11)*T3724+Summary!$B$11*V3724</f>
        <v/>
      </c>
      <c r="P3724">
        <f>IF(B3751=0,0,O3724/B3751)</f>
        <v/>
      </c>
      <c r="Q3724" t="n">
        <v>0</v>
      </c>
      <c r="R3724" t="n">
        <v>0</v>
      </c>
      <c r="S3724">
        <f>IFERROR(O3724/N3724,0)</f>
        <v/>
      </c>
      <c r="T3724" t="n">
        <v>0</v>
      </c>
      <c r="V3724" t="n">
        <v>0</v>
      </c>
    </row>
    <row r="3725">
      <c r="A3725">
        <f>Skills!A20</f>
        <v/>
      </c>
      <c r="B3725">
        <f>Skills!B20</f>
        <v/>
      </c>
      <c r="C3725">
        <f>TRUE</f>
        <v/>
      </c>
      <c r="D3725">
        <f>IF(Skills!C20=1,60+Inputs!$B$25+Inputs!$B$29,IF(Skills!C20=2,90+Inputs!$B$26+Inputs!$B$29,IF(Skills!C20=3,120+Inputs!$B$27+Inputs!$B$29,MAX(0,(Inputs!$B$3-100)*3)+Inputs!$B$28+Inputs!$B$29)))</f>
        <v/>
      </c>
      <c r="E3725">
        <f>INDEX(FactorTable!$B$2:$Y$301, MATCH(ROUND(MIN(300,MAX(1,D3725)),0), FactorTable!$A$2:$A$301,0), Skills!M20+1)</f>
        <v/>
      </c>
      <c r="F3725">
        <f>IF(Skills!N20=TRUE,(Skills!L20/10)*(E3725/1000),Skills!L20/10)+Skills!O20</f>
        <v/>
      </c>
      <c r="G3725">
        <f>Skills!G20*IF(Skills!H20&gt;0,IF(Inputs!$B$39="pvp",MIN(Skills!I20,15),Skills!I20)/Skills!H20,1)</f>
        <v/>
      </c>
      <c r="H3725">
        <f>1-(1-Skills!J20/100)^Skills!K20</f>
        <v/>
      </c>
      <c r="I3725" t="inlineStr">
        <is>
          <t>1</t>
        </is>
      </c>
      <c r="J3725" t="inlineStr"/>
      <c r="K3725" t="inlineStr"/>
      <c r="L3725" t="inlineStr"/>
      <c r="M3725" t="inlineStr"/>
      <c r="N3725" t="inlineStr"/>
      <c r="O3725">
        <f>(1-Summary!$B$11)*T3725+Summary!$B$11*V3725</f>
        <v/>
      </c>
      <c r="P3725">
        <f>IF(B3751=0,0,O3725/B3751)</f>
        <v/>
      </c>
      <c r="Q3725">
        <f>IFERROR(1/IF(Inputs!$B$39="pvp",15,MAX(0.1,Skills!D20-IF(TRUE=TRUE,4.5,0))),0)</f>
        <v/>
      </c>
      <c r="R3725">
        <f>IF(AND(Inputs!$B$39&lt;&gt;"pvp",Inputs!$B$44&gt;0),IF(Inputs!$B$44&lt;=0,0,(INT(Inputs!$B$44/IF(Inputs!$B$39="pvp",15,MAX(0.1,Skills!D20-IF(TRUE=TRUE,4.5,0))))+1)),0)</f>
        <v/>
      </c>
      <c r="S3725">
        <f>IFERROR(O3725/N3725,0)</f>
        <v/>
      </c>
      <c r="T3725" t="n">
        <v>0</v>
      </c>
      <c r="V3725" t="n">
        <v>0</v>
      </c>
    </row>
    <row r="3726">
      <c r="A3726">
        <f>Skills!A21</f>
        <v/>
      </c>
      <c r="B3726">
        <f>Skills!B21</f>
        <v/>
      </c>
      <c r="C3726">
        <f>Inputs!$B$3&gt;=15</f>
        <v/>
      </c>
      <c r="D3726">
        <f>IF(Skills!C21=1,60+Inputs!$B$25+Inputs!$B$29,IF(Skills!C21=2,90+Inputs!$B$26+Inputs!$B$29,IF(Skills!C21=3,120+Inputs!$B$27+Inputs!$B$29,MAX(0,(Inputs!$B$3-100)*3)+Inputs!$B$28+Inputs!$B$29)))</f>
        <v/>
      </c>
      <c r="E3726">
        <f>INDEX(FactorTable!$B$2:$Y$301, MATCH(ROUND(MIN(300,MAX(1,D3726)),0), FactorTable!$A$2:$A$301,0), Skills!M21+1)</f>
        <v/>
      </c>
      <c r="F3726">
        <f>IF(Skills!N21=TRUE,(Skills!L21/10)*(E3726/1000),Skills!L21/10)+Skills!O21</f>
        <v/>
      </c>
      <c r="G3726">
        <f>Skills!G21*IF(Skills!H21&gt;0,IF(Inputs!$B$39="pvp",MIN(Skills!I21,15),Skills!I21)/Skills!H21,1)</f>
        <v/>
      </c>
      <c r="H3726">
        <f>1-(1-Skills!J21/100)^Skills!K21</f>
        <v/>
      </c>
      <c r="I3726" t="inlineStr">
        <is>
          <t>1</t>
        </is>
      </c>
      <c r="J3726" t="inlineStr"/>
      <c r="K3726" t="inlineStr"/>
      <c r="L3726" t="inlineStr"/>
      <c r="M3726" t="inlineStr"/>
      <c r="N3726" t="inlineStr"/>
      <c r="O3726">
        <f>(1-Summary!$B$11)*T3726+Summary!$B$11*V3726</f>
        <v/>
      </c>
      <c r="P3726">
        <f>IF(B3751=0,0,O3726/B3751)</f>
        <v/>
      </c>
      <c r="Q3726">
        <f>IFERROR(1/IF(Inputs!$B$39="pvp",15,MAX(0.1,Skills!D21-IF(TRUE=TRUE,4.5,0))),0)</f>
        <v/>
      </c>
      <c r="R3726">
        <f>IF(AND(Inputs!$B$39&lt;&gt;"pvp",Inputs!$B$44&gt;0),IF(Inputs!$B$44&lt;=0,0,(INT(Inputs!$B$44/IF(Inputs!$B$39="pvp",15,MAX(0.1,Skills!D21-IF(TRUE=TRUE,4.5,0))))+1)),0)</f>
        <v/>
      </c>
      <c r="S3726">
        <f>IFERROR(O3726/N3726,0)</f>
        <v/>
      </c>
      <c r="T3726" t="n">
        <v>0</v>
      </c>
      <c r="V3726" t="n">
        <v>0</v>
      </c>
    </row>
    <row r="3727">
      <c r="A3727">
        <f>Skills!A22</f>
        <v/>
      </c>
      <c r="B3727">
        <f>Skills!B22</f>
        <v/>
      </c>
      <c r="C3727">
        <f>Inputs!$B$3&gt;=15</f>
        <v/>
      </c>
      <c r="D3727">
        <f>IF(Skills!C22=1,60+Inputs!$B$25+Inputs!$B$29,IF(Skills!C22=2,90+Inputs!$B$26+Inputs!$B$29,IF(Skills!C22=3,120+Inputs!$B$27+Inputs!$B$29,MAX(0,(Inputs!$B$3-100)*3)+Inputs!$B$28+Inputs!$B$29)))</f>
        <v/>
      </c>
      <c r="E3727">
        <f>INDEX(FactorTable!$B$2:$Y$301, MATCH(ROUND(MIN(300,MAX(1,D3727)),0), FactorTable!$A$2:$A$301,0), Skills!M22+1)</f>
        <v/>
      </c>
      <c r="F3727">
        <f>IF(Skills!N22=TRUE,(Skills!L22/10)*(E3727/1000),Skills!L22/10)+Skills!O22</f>
        <v/>
      </c>
      <c r="G3727">
        <f>Skills!G22*IF(Skills!H22&gt;0,IF(Inputs!$B$39="pvp",MIN(Skills!I22,15),Skills!I22)/Skills!H22,1)</f>
        <v/>
      </c>
      <c r="H3727">
        <f>1-(1-Skills!J22/100)^Skills!K22</f>
        <v/>
      </c>
      <c r="I3727" t="inlineStr">
        <is>
          <t>1</t>
        </is>
      </c>
      <c r="J3727" t="inlineStr"/>
      <c r="K3727" t="inlineStr"/>
      <c r="L3727" t="inlineStr"/>
      <c r="M3727" t="inlineStr"/>
      <c r="N3727" t="inlineStr"/>
      <c r="O3727">
        <f>(1-Summary!$B$11)*T3727+Summary!$B$11*V3727</f>
        <v/>
      </c>
      <c r="P3727">
        <f>IF(B3751=0,0,O3727/B3751)</f>
        <v/>
      </c>
      <c r="Q3727">
        <f>IFERROR(1/IF(Inputs!$B$39="pvp",15,MAX(0.1,Skills!D22-IF(TRUE=TRUE,4.5,0))),0)</f>
        <v/>
      </c>
      <c r="R3727">
        <f>IF(AND(Inputs!$B$39&lt;&gt;"pvp",Inputs!$B$44&gt;0),IF(Inputs!$B$44&lt;=0,0,(INT(Inputs!$B$44/IF(Inputs!$B$39="pvp",15,MAX(0.1,Skills!D22-IF(TRUE=TRUE,4.5,0))))+1)),0)</f>
        <v/>
      </c>
      <c r="S3727">
        <f>IFERROR(O3727/N3727,0)</f>
        <v/>
      </c>
      <c r="T3727" t="n">
        <v>0</v>
      </c>
      <c r="V3727" t="n">
        <v>0</v>
      </c>
    </row>
    <row r="3728">
      <c r="A3728">
        <f>Skills!A23</f>
        <v/>
      </c>
      <c r="B3728">
        <f>Skills!B23</f>
        <v/>
      </c>
      <c r="C3728">
        <f>Inputs!$B$3&gt;=33</f>
        <v/>
      </c>
      <c r="D3728">
        <f>IF(Skills!C23=1,60+Inputs!$B$25+Inputs!$B$29,IF(Skills!C23=2,90+Inputs!$B$26+Inputs!$B$29,IF(Skills!C23=3,120+Inputs!$B$27+Inputs!$B$29,MAX(0,(Inputs!$B$3-100)*3)+Inputs!$B$28+Inputs!$B$29)))</f>
        <v/>
      </c>
      <c r="E3728">
        <f>INDEX(FactorTable!$B$2:$Y$301, MATCH(ROUND(MIN(300,MAX(1,D3728)),0), FactorTable!$A$2:$A$301,0), Skills!M23+1)</f>
        <v/>
      </c>
      <c r="F3728">
        <f>IF(Skills!N23=TRUE,(Skills!L23/10)*(E3728/1000),Skills!L23/10)+Skills!O23</f>
        <v/>
      </c>
      <c r="G3728">
        <f>Skills!G23*IF(Skills!H23&gt;0,IF(Inputs!$B$39="pvp",MIN(Skills!I23,15),Skills!I23)/Skills!H23,1)</f>
        <v/>
      </c>
      <c r="H3728">
        <f>1-(1-Skills!J23/100)^Skills!K23</f>
        <v/>
      </c>
      <c r="I3728" t="inlineStr">
        <is>
          <t>1</t>
        </is>
      </c>
      <c r="J3728" t="inlineStr"/>
      <c r="K3728" t="inlineStr"/>
      <c r="L3728" t="inlineStr"/>
      <c r="M3728" t="inlineStr"/>
      <c r="N3728" t="inlineStr"/>
      <c r="O3728">
        <f>(1-Summary!$B$11)*T3728+Summary!$B$11*V3728</f>
        <v/>
      </c>
      <c r="P3728">
        <f>IF(B3751=0,0,O3728/B3751)</f>
        <v/>
      </c>
      <c r="Q3728" t="n">
        <v>0</v>
      </c>
      <c r="R3728" t="n">
        <v>0</v>
      </c>
      <c r="S3728">
        <f>IFERROR(O3728/N3728,0)</f>
        <v/>
      </c>
      <c r="T3728" t="n">
        <v>0</v>
      </c>
      <c r="V3728" t="n">
        <v>0</v>
      </c>
    </row>
    <row r="3729">
      <c r="A3729">
        <f>Skills!A24</f>
        <v/>
      </c>
      <c r="B3729">
        <f>Skills!B24</f>
        <v/>
      </c>
      <c r="C3729">
        <f>Inputs!$B$3&gt;=40</f>
        <v/>
      </c>
      <c r="D3729">
        <f>IF(Skills!C24=1,60+Inputs!$B$25+Inputs!$B$29,IF(Skills!C24=2,90+Inputs!$B$26+Inputs!$B$29,IF(Skills!C24=3,120+Inputs!$B$27+Inputs!$B$29,MAX(0,(Inputs!$B$3-100)*3)+Inputs!$B$28+Inputs!$B$29)))</f>
        <v/>
      </c>
      <c r="E3729">
        <f>INDEX(FactorTable!$B$2:$Y$301, MATCH(ROUND(MIN(300,MAX(1,D3729)),0), FactorTable!$A$2:$A$301,0), Skills!M24+1)</f>
        <v/>
      </c>
      <c r="F3729">
        <f>IF(Skills!N24=TRUE,(Skills!L24/10)*(E3729/1000),Skills!L24/10)+Skills!O24</f>
        <v/>
      </c>
      <c r="G3729">
        <f>Skills!G24*IF(Skills!H24&gt;0,IF(Inputs!$B$39="pvp",MIN(Skills!I24,15),Skills!I24)/Skills!H24,1)</f>
        <v/>
      </c>
      <c r="H3729">
        <f>1-(1-Skills!J24/100)^Skills!K24</f>
        <v/>
      </c>
      <c r="I3729" t="inlineStr">
        <is>
          <t>1</t>
        </is>
      </c>
      <c r="J3729" t="inlineStr"/>
      <c r="K3729" t="inlineStr"/>
      <c r="L3729" t="inlineStr"/>
      <c r="M3729" t="inlineStr"/>
      <c r="N3729" t="inlineStr"/>
      <c r="O3729">
        <f>(1-Summary!$B$11)*T3729+Summary!$B$11*V3729</f>
        <v/>
      </c>
      <c r="P3729">
        <f>IF(B3751=0,0,O3729/B3751)</f>
        <v/>
      </c>
      <c r="Q3729" t="n">
        <v>0</v>
      </c>
      <c r="R3729" t="n">
        <v>0</v>
      </c>
      <c r="S3729">
        <f>IFERROR(O3729/N3729,0)</f>
        <v/>
      </c>
      <c r="T3729" t="n">
        <v>0</v>
      </c>
      <c r="V3729" t="n">
        <v>0</v>
      </c>
    </row>
    <row r="3730">
      <c r="A3730">
        <f>Skills!A25</f>
        <v/>
      </c>
      <c r="B3730">
        <f>Skills!B25</f>
        <v/>
      </c>
      <c r="C3730">
        <f>Inputs!$B$3&gt;=43</f>
        <v/>
      </c>
      <c r="D3730">
        <f>IF(Skills!C25=1,60+Inputs!$B$25+Inputs!$B$29,IF(Skills!C25=2,90+Inputs!$B$26+Inputs!$B$29,IF(Skills!C25=3,120+Inputs!$B$27+Inputs!$B$29,MAX(0,(Inputs!$B$3-100)*3)+Inputs!$B$28+Inputs!$B$29)))</f>
        <v/>
      </c>
      <c r="E3730">
        <f>INDEX(FactorTable!$B$2:$Y$301, MATCH(ROUND(MIN(300,MAX(1,D3730)),0), FactorTable!$A$2:$A$301,0), Skills!M25+1)</f>
        <v/>
      </c>
      <c r="F3730">
        <f>IF(Skills!N25=TRUE,(Skills!L25/10)*(E3730/1000),Skills!L25/10)+Skills!O25</f>
        <v/>
      </c>
      <c r="G3730">
        <f>Skills!G25*IF(Skills!H25&gt;0,IF(Inputs!$B$39="pvp",MIN(Skills!I25,15),Skills!I25)/Skills!H25,1)</f>
        <v/>
      </c>
      <c r="H3730">
        <f>1-(1-Skills!J25/100)^Skills!K25</f>
        <v/>
      </c>
      <c r="I3730" t="inlineStr">
        <is>
          <t>1</t>
        </is>
      </c>
      <c r="J3730" t="inlineStr"/>
      <c r="K3730" t="inlineStr"/>
      <c r="L3730" t="inlineStr"/>
      <c r="M3730" t="inlineStr"/>
      <c r="N3730" t="inlineStr"/>
      <c r="O3730">
        <f>(1-Summary!$B$11)*T3730+Summary!$B$11*V3730</f>
        <v/>
      </c>
      <c r="P3730">
        <f>IF(B3751=0,0,O3730/B3751)</f>
        <v/>
      </c>
      <c r="Q3730" t="n">
        <v>0</v>
      </c>
      <c r="R3730" t="n">
        <v>0</v>
      </c>
      <c r="S3730">
        <f>IFERROR(O3730/N3730,0)</f>
        <v/>
      </c>
      <c r="T3730" t="n">
        <v>0</v>
      </c>
      <c r="V3730" t="n">
        <v>0</v>
      </c>
    </row>
    <row r="3731">
      <c r="A3731">
        <f>Skills!A26</f>
        <v/>
      </c>
      <c r="B3731">
        <f>Skills!B26</f>
        <v/>
      </c>
      <c r="C3731">
        <f>Inputs!$B$3&gt;=50</f>
        <v/>
      </c>
      <c r="D3731">
        <f>IF(Skills!C26=1,60+Inputs!$B$25+Inputs!$B$29,IF(Skills!C26=2,90+Inputs!$B$26+Inputs!$B$29,IF(Skills!C26=3,120+Inputs!$B$27+Inputs!$B$29,MAX(0,(Inputs!$B$3-100)*3)+Inputs!$B$28+Inputs!$B$29)))</f>
        <v/>
      </c>
      <c r="E3731">
        <f>INDEX(FactorTable!$B$2:$Y$301, MATCH(ROUND(MIN(300,MAX(1,D3731)),0), FactorTable!$A$2:$A$301,0), Skills!M26+1)</f>
        <v/>
      </c>
      <c r="F3731">
        <f>IF(Skills!N26=TRUE,(Skills!L26/10)*(E3731/1000),Skills!L26/10)+Skills!O26</f>
        <v/>
      </c>
      <c r="G3731">
        <f>Skills!G26*IF(Skills!H26&gt;0,IF(Inputs!$B$39="pvp",MIN(Skills!I26,15),Skills!I26)/Skills!H26,1)</f>
        <v/>
      </c>
      <c r="H3731">
        <f>1-(1-Skills!J26/100)^Skills!K26</f>
        <v/>
      </c>
      <c r="I3731" t="inlineStr">
        <is>
          <t>1</t>
        </is>
      </c>
      <c r="J3731" t="inlineStr"/>
      <c r="K3731" t="inlineStr"/>
      <c r="L3731" t="inlineStr"/>
      <c r="M3731" t="inlineStr"/>
      <c r="N3731" t="inlineStr"/>
      <c r="O3731">
        <f>(1-Summary!$B$11)*T3731+Summary!$B$11*V3731</f>
        <v/>
      </c>
      <c r="P3731">
        <f>IF(B3751=0,0,O3731/B3751)</f>
        <v/>
      </c>
      <c r="Q3731" t="n">
        <v>0</v>
      </c>
      <c r="R3731" t="n">
        <v>0</v>
      </c>
      <c r="S3731">
        <f>IFERROR(O3731/N3731,0)</f>
        <v/>
      </c>
      <c r="T3731" t="n">
        <v>0</v>
      </c>
      <c r="V3731" t="n">
        <v>0</v>
      </c>
    </row>
    <row r="3732">
      <c r="A3732">
        <f>Skills!A27</f>
        <v/>
      </c>
      <c r="B3732">
        <f>Skills!B27</f>
        <v/>
      </c>
      <c r="C3732">
        <f>Inputs!$B$3&gt;=50</f>
        <v/>
      </c>
      <c r="D3732">
        <f>IF(Skills!C27=1,60+Inputs!$B$25+Inputs!$B$29,IF(Skills!C27=2,90+Inputs!$B$26+Inputs!$B$29,IF(Skills!C27=3,120+Inputs!$B$27+Inputs!$B$29,MAX(0,(Inputs!$B$3-100)*3)+Inputs!$B$28+Inputs!$B$29)))</f>
        <v/>
      </c>
      <c r="E3732">
        <f>INDEX(FactorTable!$B$2:$Y$301, MATCH(ROUND(MIN(300,MAX(1,D3732)),0), FactorTable!$A$2:$A$301,0), Skills!M27+1)</f>
        <v/>
      </c>
      <c r="F3732">
        <f>IF(Skills!N27=TRUE,(Skills!L27/10)*(E3732/1000),Skills!L27/10)+Skills!O27</f>
        <v/>
      </c>
      <c r="G3732">
        <f>Skills!G27*IF(Skills!H27&gt;0,IF(Inputs!$B$39="pvp",MIN(Skills!I27,15),Skills!I27)/Skills!H27,1)</f>
        <v/>
      </c>
      <c r="H3732">
        <f>1-(1-Skills!J27/100)^Skills!K27</f>
        <v/>
      </c>
      <c r="I3732" t="inlineStr">
        <is>
          <t>1</t>
        </is>
      </c>
      <c r="J3732" t="inlineStr"/>
      <c r="K3732" t="inlineStr"/>
      <c r="L3732" t="inlineStr"/>
      <c r="M3732" t="inlineStr"/>
      <c r="N3732" t="inlineStr"/>
      <c r="O3732">
        <f>(1-Summary!$B$11)*T3732+Summary!$B$11*V3732</f>
        <v/>
      </c>
      <c r="P3732">
        <f>IF(B3751=0,0,O3732/B3751)</f>
        <v/>
      </c>
      <c r="Q3732" t="n">
        <v>0</v>
      </c>
      <c r="R3732" t="n">
        <v>0</v>
      </c>
      <c r="S3732">
        <f>IFERROR(O3732/N3732,0)</f>
        <v/>
      </c>
      <c r="T3732" t="n">
        <v>0</v>
      </c>
      <c r="V3732" t="n">
        <v>0</v>
      </c>
    </row>
    <row r="3733">
      <c r="A3733">
        <f>Skills!A28</f>
        <v/>
      </c>
      <c r="B3733">
        <f>Skills!B28</f>
        <v/>
      </c>
      <c r="C3733">
        <f>Inputs!$B$3&gt;=38</f>
        <v/>
      </c>
      <c r="D3733">
        <f>IF(Skills!C28=1,60+Inputs!$B$25+Inputs!$B$29,IF(Skills!C28=2,90+Inputs!$B$26+Inputs!$B$29,IF(Skills!C28=3,120+Inputs!$B$27+Inputs!$B$29,MAX(0,(Inputs!$B$3-100)*3)+Inputs!$B$28+Inputs!$B$29)))</f>
        <v/>
      </c>
      <c r="E3733">
        <f>INDEX(FactorTable!$B$2:$Y$301, MATCH(ROUND(MIN(300,MAX(1,D3733)),0), FactorTable!$A$2:$A$301,0), Skills!M28+1)</f>
        <v/>
      </c>
      <c r="F3733">
        <f>IF(Skills!N28=TRUE,(Skills!L28/10)*(E3733/1000),Skills!L28/10)+Skills!O28</f>
        <v/>
      </c>
      <c r="G3733">
        <f>Skills!G28*IF(Skills!H28&gt;0,IF(Inputs!$B$39="pvp",MIN(Skills!I28,15),Skills!I28)/Skills!H28,1)</f>
        <v/>
      </c>
      <c r="H3733">
        <f>1-(1-Skills!J28/100)^Skills!K28</f>
        <v/>
      </c>
      <c r="I3733" t="inlineStr">
        <is>
          <t>1</t>
        </is>
      </c>
      <c r="J3733" t="inlineStr"/>
      <c r="K3733" t="inlineStr"/>
      <c r="L3733" t="inlineStr"/>
      <c r="M3733" t="inlineStr"/>
      <c r="N3733" t="inlineStr"/>
      <c r="O3733">
        <f>(1-Summary!$B$11)*T3733+Summary!$B$11*V3733</f>
        <v/>
      </c>
      <c r="P3733">
        <f>IF(B3751=0,0,O3733/B3751)</f>
        <v/>
      </c>
      <c r="Q3733" t="n">
        <v>0</v>
      </c>
      <c r="R3733" t="n">
        <v>0</v>
      </c>
      <c r="S3733">
        <f>IFERROR(O3733/N3733,0)</f>
        <v/>
      </c>
      <c r="T3733" t="n">
        <v>0</v>
      </c>
      <c r="V3733" t="n">
        <v>0</v>
      </c>
    </row>
    <row r="3734">
      <c r="A3734">
        <f>Skills!A29</f>
        <v/>
      </c>
      <c r="B3734">
        <f>Skills!B29</f>
        <v/>
      </c>
      <c r="C3734">
        <f>Inputs!$B$3&gt;=120</f>
        <v/>
      </c>
      <c r="D3734">
        <f>IF(Skills!C29=1,60+Inputs!$B$25+Inputs!$B$29,IF(Skills!C29=2,90+Inputs!$B$26+Inputs!$B$29,IF(Skills!C29=3,120+Inputs!$B$27+Inputs!$B$29,MAX(0,(Inputs!$B$3-100)*3)+Inputs!$B$28+Inputs!$B$29)))</f>
        <v/>
      </c>
      <c r="E3734">
        <f>INDEX(FactorTable!$B$2:$Y$301, MATCH(ROUND(MIN(300,MAX(1,D3734)),0), FactorTable!$A$2:$A$301,0), Skills!M29+1)</f>
        <v/>
      </c>
      <c r="F3734">
        <f>IF(Skills!N29=TRUE,(Skills!L29/10)*(E3734/1000),Skills!L29/10)+Skills!O29</f>
        <v/>
      </c>
      <c r="G3734">
        <f>Skills!G29*IF(Skills!H29&gt;0,IF(Inputs!$B$39="pvp",MIN(Skills!I29,15),Skills!I29)/Skills!H29,1)</f>
        <v/>
      </c>
      <c r="H3734">
        <f>1-(1-Skills!J29/100)^Skills!K29</f>
        <v/>
      </c>
      <c r="I3734" t="inlineStr">
        <is>
          <t>1</t>
        </is>
      </c>
      <c r="J3734" t="inlineStr"/>
      <c r="K3734" t="inlineStr"/>
      <c r="L3734" t="inlineStr"/>
      <c r="M3734" t="inlineStr"/>
      <c r="N3734" t="inlineStr"/>
      <c r="O3734">
        <f>(1-Summary!$B$11)*T3734+Summary!$B$11*V3734</f>
        <v/>
      </c>
      <c r="P3734">
        <f>IF(B3751=0,0,O3734/B3751)</f>
        <v/>
      </c>
      <c r="Q3734" t="n">
        <v>0</v>
      </c>
      <c r="R3734" t="n">
        <v>0</v>
      </c>
      <c r="S3734">
        <f>IFERROR(O3734/N3734,0)</f>
        <v/>
      </c>
      <c r="T3734" t="n">
        <v>0</v>
      </c>
      <c r="V3734" t="n">
        <v>0</v>
      </c>
    </row>
    <row r="3735">
      <c r="A3735">
        <f>Skills!A30</f>
        <v/>
      </c>
      <c r="B3735">
        <f>Skills!B30</f>
        <v/>
      </c>
      <c r="C3735">
        <f>Inputs!$B$3&gt;=120</f>
        <v/>
      </c>
      <c r="D3735">
        <f>IF(Skills!C30=1,60+Inputs!$B$25+Inputs!$B$29,IF(Skills!C30=2,90+Inputs!$B$26+Inputs!$B$29,IF(Skills!C30=3,120+Inputs!$B$27+Inputs!$B$29,MAX(0,(Inputs!$B$3-100)*3)+Inputs!$B$28+Inputs!$B$29)))</f>
        <v/>
      </c>
      <c r="E3735">
        <f>INDEX(FactorTable!$B$2:$Y$301, MATCH(ROUND(MIN(300,MAX(1,D3735)),0), FactorTable!$A$2:$A$301,0), Skills!M30+1)</f>
        <v/>
      </c>
      <c r="F3735">
        <f>IF(Skills!N30=TRUE,(Skills!L30/10)*(E3735/1000),Skills!L30/10)+Skills!O30</f>
        <v/>
      </c>
      <c r="G3735">
        <f>Skills!G30*IF(Skills!H30&gt;0,IF(Inputs!$B$39="pvp",MIN(Skills!I30,15),Skills!I30)/Skills!H30,1)</f>
        <v/>
      </c>
      <c r="H3735">
        <f>1-(1-Skills!J30/100)^Skills!K30</f>
        <v/>
      </c>
      <c r="I3735" t="inlineStr">
        <is>
          <t>1</t>
        </is>
      </c>
      <c r="J3735" t="inlineStr"/>
      <c r="K3735" t="inlineStr"/>
      <c r="L3735" t="inlineStr"/>
      <c r="M3735" t="inlineStr"/>
      <c r="N3735" t="inlineStr"/>
      <c r="O3735">
        <f>(1-Summary!$B$11)*T3735+Summary!$B$11*V3735</f>
        <v/>
      </c>
      <c r="P3735">
        <f>IF(B3751=0,0,O3735/B3751)</f>
        <v/>
      </c>
      <c r="Q3735" t="n">
        <v>0</v>
      </c>
      <c r="R3735" t="n">
        <v>0</v>
      </c>
      <c r="S3735">
        <f>IFERROR(O3735/N3735,0)</f>
        <v/>
      </c>
      <c r="T3735" t="n">
        <v>0</v>
      </c>
      <c r="V3735" t="n">
        <v>0</v>
      </c>
    </row>
    <row r="3736">
      <c r="A3736">
        <f>Skills!A31</f>
        <v/>
      </c>
      <c r="B3736">
        <f>Skills!B31</f>
        <v/>
      </c>
      <c r="C3736">
        <f>Inputs!$B$3&gt;=125</f>
        <v/>
      </c>
      <c r="D3736">
        <f>IF(Skills!C31=1,60+Inputs!$B$25+Inputs!$B$29,IF(Skills!C31=2,90+Inputs!$B$26+Inputs!$B$29,IF(Skills!C31=3,120+Inputs!$B$27+Inputs!$B$29,MAX(0,(Inputs!$B$3-100)*3)+Inputs!$B$28+Inputs!$B$29)))</f>
        <v/>
      </c>
      <c r="E3736">
        <f>INDEX(FactorTable!$B$2:$Y$301, MATCH(ROUND(MIN(300,MAX(1,D3736)),0), FactorTable!$A$2:$A$301,0), Skills!M31+1)</f>
        <v/>
      </c>
      <c r="F3736">
        <f>IF(Skills!N31=TRUE,(Skills!L31/10)*(E3736/1000),Skills!L31/10)+Skills!O31</f>
        <v/>
      </c>
      <c r="G3736">
        <f>Skills!G31*IF(Skills!H31&gt;0,IF(Inputs!$B$39="pvp",MIN(Skills!I31,15),Skills!I31)/Skills!H31,1)</f>
        <v/>
      </c>
      <c r="H3736">
        <f>1-(1-Skills!J31/100)^Skills!K31</f>
        <v/>
      </c>
      <c r="I3736" t="inlineStr">
        <is>
          <t>1</t>
        </is>
      </c>
      <c r="J3736" t="inlineStr"/>
      <c r="K3736" t="inlineStr"/>
      <c r="L3736" t="inlineStr"/>
      <c r="M3736" t="inlineStr"/>
      <c r="N3736" t="inlineStr"/>
      <c r="O3736">
        <f>(1-Summary!$B$11)*T3736+Summary!$B$11*V3736</f>
        <v/>
      </c>
      <c r="P3736">
        <f>IF(B3751=0,0,O3736/B3751)</f>
        <v/>
      </c>
      <c r="Q3736" t="n">
        <v>0</v>
      </c>
      <c r="R3736" t="n">
        <v>0</v>
      </c>
      <c r="S3736">
        <f>IFERROR(O3736/N3736,0)</f>
        <v/>
      </c>
      <c r="T3736" t="n">
        <v>0</v>
      </c>
      <c r="V3736" t="n">
        <v>0</v>
      </c>
    </row>
    <row r="3738">
      <c r="A3738" t="inlineStr">
        <is>
          <t>Average Buff Multiplier</t>
        </is>
      </c>
      <c r="B3738">
        <f>(1+(((C3727=TRUE)*F3727*IF(AND(Inputs!$B$39&lt;&gt;"pvp",Inputs!$B$44&gt;0),(((R3727-1)*MIN((Skills!Y22*(1+Inputs!$B$34/100)),(1/Q3727))+MIN((Skills!Y22*(1+Inputs!$B$34/100)),MAX(0,Inputs!$B$44-((R3727-1)*(1/Q3727)))))/Inputs!$B$44),IF(Inputs!$B$39="pvp",MIN((Skills!Y22*(1+Inputs!$B$34/100)),15)/15,MIN(1,(Skills!Y22*(1+Inputs!$B$34/100))/(1/Q3727)))))+((C3708=TRUE)*F3708*3)+((C3710=TRUE)*F3710*(1-EXP(-0.75*B3743*5)))+((C3729=TRUE)*(F3729-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3716=TRUE)*F3716*IF(AND(Inputs!$B$39&lt;&gt;"pvp",Inputs!$B$44&gt;0),(((R3716-1)*MIN((Skills!Y11*(1+Inputs!$B$34/100)),(1/Q3716))+MIN((Skills!Y11*(1+Inputs!$B$34/100)),MAX(0,Inputs!$B$44-((R3716-1)*(1/Q3716)))))/Inputs!$B$44),IF(Inputs!$B$39="pvp",MIN((Skills!Y11*(1+Inputs!$B$34/100)),15)/15,MIN(1,(Skills!Y11*(1+Inputs!$B$34/100))/(1/Q3716)))))/100)*(1+((C3721=TRUE)*F3721*IF(AND(Inputs!$B$39&lt;&gt;"pvp",Inputs!$B$44&gt;0),(((R3721-1)*MIN((Skills!Y16*(1+Inputs!$B$34/100)),(1/Q3721))+MIN((Skills!Y16*(1+Inputs!$B$34/100)),MAX(0,Inputs!$B$44-((R3721-1)*(1/Q3721)))))/Inputs!$B$44),IF(Inputs!$B$39="pvp",MIN((Skills!Y16*(1+Inputs!$B$34/100)),15)/15,MIN(1,(Skills!Y16*(1+Inputs!$B$34/100))/(1/Q3721)))))/100)</f>
        <v/>
      </c>
    </row>
    <row r="3739">
      <c r="A3739" t="inlineStr">
        <is>
          <t>Global Crit Rate Bonus %</t>
        </is>
      </c>
      <c r="B3739">
        <f>((C3726=TRUE)*F3726*IF(AND(Inputs!$B$39&lt;&gt;"pvp",Inputs!$B$44&gt;0),(((R3726-1)*MIN((Skills!Y21*(1+Inputs!$B$34/100)),(1/Q3726))+MIN((Skills!Y21*(1+Inputs!$B$34/100)),MAX(0,Inputs!$B$44-((R3726-1)*(1/Q3726)))))/Inputs!$B$44),IF(Inputs!$B$39="pvp",MIN((Skills!Y21*(1+Inputs!$B$34/100)),15)/15,MIN(1,(Skills!Y21*(1+Inputs!$B$34/100))/(1/Q3726)))))</f>
        <v/>
      </c>
    </row>
    <row r="3740">
      <c r="A3740" t="inlineStr">
        <is>
          <t>Global Monster Damage-Taken Bonus %</t>
        </is>
      </c>
      <c r="B3740">
        <f>IF(Inputs!$B$3&gt;=82,15,0)</f>
        <v/>
      </c>
    </row>
    <row r="3741">
      <c r="A3741" t="inlineStr">
        <is>
          <t>Shadow Partner Average Multiplier</t>
        </is>
      </c>
      <c r="B3741">
        <f>1+((C3713=TRUE)*F3713*(1+3.3333333333333335*IF(C3724=TRUE,F3724,0)/100)*I3713*Skills!J8/100)/100</f>
        <v/>
      </c>
    </row>
    <row r="3742">
      <c r="A3742" t="inlineStr">
        <is>
          <t>Attack Speed Buff Bonus %</t>
        </is>
      </c>
      <c r="B3742">
        <f>((C3725=TRUE)*F3725*IF(AND(Inputs!$B$39&lt;&gt;"pvp",Inputs!$B$44&gt;0),(((R3725-1)*MIN((Skills!Y20*(1+Inputs!$B$34/100)),(1/Q3725))+MIN((Skills!Y20*(1+Inputs!$B$34/100)),MAX(0,Inputs!$B$44-((R3725-1)*(1/Q3725)))))/Inputs!$B$44),IF(Inputs!$B$39="pvp",MIN((Skills!Y20*(1+Inputs!$B$34/100)),15)/15,MIN(1,(Skills!Y20*(1+Inputs!$B$34/100))/(1/Q3725)))))</f>
        <v/>
      </c>
    </row>
    <row r="3743">
      <c r="A3743" t="inlineStr">
        <is>
          <t>Actions Per Second</t>
        </is>
      </c>
      <c r="B3743">
        <f>1+MIN(150,150*(1-(1-(Inputs!$B$11+((C3728=TRUE)*(F3728-Calc!F23)))/150)*(1-B3742/150)))/100</f>
        <v/>
      </c>
    </row>
    <row r="3744">
      <c r="A3744" t="inlineStr">
        <is>
          <t>Skill + Buff Cast Rate</t>
        </is>
      </c>
      <c r="B3744">
        <f>IF(AND(Inputs!$B$39&lt;&gt;"pvp",Inputs!$B$44&gt;0),SUMPRODUCT((Skills!E2:E31=TRUE)*(C3707:C3736=TRUE)*R3707:R3736*Skills!F2:F31)/Inputs!$B$44,SUMPRODUCT((Skills!E2:E31=TRUE)*(C3707:C3736=TRUE)*Q3707:Q3736*Skills!F2:F31))</f>
        <v/>
      </c>
    </row>
    <row r="3745">
      <c r="A3745" t="inlineStr">
        <is>
          <t>Cruel Stab Casts Per Second</t>
        </is>
      </c>
      <c r="B3745">
        <f>MAX(0,B3743-B3744)</f>
        <v/>
      </c>
    </row>
    <row r="3746">
      <c r="A3746" t="inlineStr">
        <is>
          <t>Global Critical Damage Bonus % (Smokescreen Mastery Lv.113)</t>
        </is>
      </c>
      <c r="B3746">
        <f>IF(Inputs!$B$3&gt;=113,30,0)*IF(AND(Inputs!$B$39&lt;&gt;"pvp",Inputs!$B$44&gt;0),(((R3721-1)*MIN((Skills!Y16*(1+Inputs!$B$34/100)),(1/Q3721))+MIN((Skills!Y16*(1+Inputs!$B$34/100)),MAX(0,Inputs!$B$44-((R3721-1)*(1/Q3721)))))/Inputs!$B$44),IF(Inputs!$B$39="pvp",MIN((Skills!Y16*(1+Inputs!$B$34/100)),15)/15,MIN(1,(Skills!Y16*(1+Inputs!$B$34/100))/(1/Q3721))))</f>
        <v/>
      </c>
    </row>
    <row r="3747">
      <c r="A3747" t="inlineStr">
        <is>
          <t>Meso Explosion average stack count</t>
        </is>
      </c>
      <c r="B3747">
        <f>MIN(10,IF(Inputs!$B$3&gt;=75,0.75,0.5)*B3743*(1/Q3709))</f>
        <v/>
      </c>
    </row>
    <row r="3748">
      <c r="A3748" t="inlineStr">
        <is>
          <t>Blood Money average stack count</t>
        </is>
      </c>
      <c r="B3748">
        <f>MIN(5,0.5*IF(Inputs!$B$3&gt;=75,0.75,0.5)*B3743*(1/Q3709))</f>
        <v/>
      </c>
    </row>
    <row r="3749">
      <c r="A3749" t="inlineStr">
        <is>
          <t>Assassinate Murderous Intent Multiplier</t>
        </is>
      </c>
      <c r="B3749">
        <f>1+IFERROR(MIN(1,Q3720*2/Q3717),0)</f>
        <v/>
      </c>
    </row>
    <row r="3750">
      <c r="A3750" t="inlineStr">
        <is>
          <t>Buff-Casting Startup Delay (s, fixed-duration only)</t>
        </is>
      </c>
      <c r="B3750">
        <f>IF(AND(Inputs!$B$39&lt;&gt;"pvp",Inputs!$B$44&gt;0),SUMPRODUCT((Skills!Y2:Y31&gt;0)*(Skills!E2:E31=TRUE)*(C3707:C3736=TRUE))/B3743,0)</f>
        <v/>
      </c>
    </row>
    <row r="3751">
      <c r="A3751" s="6" t="inlineStr">
        <is>
          <t>TOTAL DPS</t>
        </is>
      </c>
      <c r="B3751" s="6">
        <f>SUM(O3707:O3736)</f>
        <v/>
      </c>
    </row>
    <row r="3752">
      <c r="A3752" t="inlineStr">
        <is>
          <t>Boss-Only Total DPS (this block's swept value)</t>
        </is>
      </c>
      <c r="B3752">
        <f>SUM(T3707:T3736)</f>
        <v/>
      </c>
    </row>
    <row r="3753">
      <c r="A3753" t="inlineStr">
        <is>
          <t>Normal-Only Total DPS (this block's swept value)</t>
        </is>
      </c>
      <c r="B3753">
        <f>SUM(V3707:V3736)</f>
        <v/>
      </c>
    </row>
    <row r="3756">
      <c r="A3756" s="6" t="inlineStr">
        <is>
          <t>Stat: CDR = 5.0s</t>
        </is>
      </c>
    </row>
    <row r="3757">
      <c r="A3757" s="5" t="inlineStr">
        <is>
          <t>Key</t>
        </is>
      </c>
      <c r="B3757" s="5" t="inlineStr">
        <is>
          <t>Name</t>
        </is>
      </c>
      <c r="C3757" s="5" t="inlineStr">
        <is>
          <t>Unlocked</t>
        </is>
      </c>
      <c r="D3757" s="5" t="inlineStr">
        <is>
          <t>InputLevel</t>
        </is>
      </c>
      <c r="E3757" s="5" t="inlineStr">
        <is>
          <t>Factor</t>
        </is>
      </c>
      <c r="F3757" s="5" t="inlineStr">
        <is>
          <t>CoefficientPercent</t>
        </is>
      </c>
      <c r="G3757" s="5" t="inlineStr">
        <is>
          <t>EffectiveHits</t>
        </is>
      </c>
      <c r="H3757" s="5" t="inlineStr">
        <is>
          <t>ProcProbability</t>
        </is>
      </c>
      <c r="I3757" s="5" t="inlineStr">
        <is>
          <t>MapleHeroMultiplier</t>
        </is>
      </c>
      <c r="J3757" s="5" t="inlineStr">
        <is>
          <t>BaseDamage</t>
        </is>
      </c>
      <c r="K3757" s="5" t="inlineStr">
        <is>
          <t>BaseHitDamage</t>
        </is>
      </c>
      <c r="L3757" s="5" t="inlineStr">
        <is>
          <t>NonCritAvg</t>
        </is>
      </c>
      <c r="M3757" s="5" t="inlineStr">
        <is>
          <t>CritAvg</t>
        </is>
      </c>
      <c r="N3757" s="5" t="inlineStr">
        <is>
          <t>ExpectedDamage(perHit)</t>
        </is>
      </c>
      <c r="O3757" s="5" t="inlineStr">
        <is>
          <t>DPS</t>
        </is>
      </c>
      <c r="P3757" s="5" t="inlineStr">
        <is>
          <t>% of Total</t>
        </is>
      </c>
      <c r="Q3757" s="5" t="inlineStr">
        <is>
          <t>InvCooldown</t>
        </is>
      </c>
      <c r="R3757" s="5" t="inlineStr">
        <is>
          <t>CastsInFight</t>
        </is>
      </c>
      <c r="S3757" s="5" t="inlineStr">
        <is>
          <t>HitRate(perSec)</t>
        </is>
      </c>
      <c r="U3757" t="inlineStr">
        <is>
          <t>helpers</t>
        </is>
      </c>
    </row>
    <row r="3758">
      <c r="A3758">
        <f>Skills!A2</f>
        <v/>
      </c>
      <c r="B3758">
        <f>Skills!B2</f>
        <v/>
      </c>
      <c r="C3758">
        <f>Inputs!$B$3&gt;=100</f>
        <v/>
      </c>
      <c r="D3758" t="inlineStr"/>
      <c r="E3758" t="inlineStr"/>
      <c r="F3758">
        <f>U3760+Skills!O2</f>
        <v/>
      </c>
      <c r="G3758">
        <f>Skills!G2*IF(Skills!H2&gt;0,IF(Inputs!$B$39="pvp",MIN(Skills!I2,15),Skills!I2)/Skills!H2,1)</f>
        <v/>
      </c>
      <c r="H3758">
        <f>1-(1-Skills!J2/100)^Skills!K2</f>
        <v/>
      </c>
      <c r="I3758" t="inlineStr">
        <is>
          <t>1</t>
        </is>
      </c>
      <c r="J3758">
        <f>((Inputs!$B$6*(1+Inputs!$B$7/100))+(((Inputs!$B$12*(1+Inputs!$B$13/100))-(Inputs!$B$12*(1+Inputs!$B$13/100)))+0.25*(Inputs!$B$14-Inputs!$B$14))*(1+Inputs!$B$7/100))*(F3758/100)</f>
        <v/>
      </c>
      <c r="K3758">
        <f>J3758*(1+((Inputs!$B$12*(1+Inputs!$B$13/100))*0.01+Inputs!$B$14*0.0025)/100)*(1+Inputs!$B$15/100)*(1+Inputs!$B$16/100)*(5000/(6000+Inputs!$B$43*(1-(100*(1-(1-Inputs!$B$19/100)*(1-CHOOSE(ArtifactsInput!$N$40+1,5,6,7,8,9,10)/100)^(ArtifactsInput!$M$40-ArtifactsInput!$M$40)))/100)))*(1+(Inputs!$B$24+((C3787=TRUE)*(F3787-Calc!F31))+((C3774=TRUE)*(F3774-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2="CRUEL_STAB",Inputs!$B$17+((C3784=TRUE)*(F3784-Calc!F28))+((IF(AND(Inputs!$B$39&lt;&gt;"pvp",Inputs!$B$44=0),1,IF(IF(Inputs!$B$39="pvp",15,Inputs!$B$44)-(B3801)&lt;=0,1,MAX(0,IF(Inputs!$B$39="pvp",15,Inputs!$B$44)-MAX(5,B3801))/(IF(Inputs!$B$39="pvp",15,Inputs!$B$44)-(B3801))))*(IF(AND(ArtifactsInput!$M$42,((Inputs!$B$9+((C3782=TRUE)*(F3782-Calc!F26))+B3790+(ArtifactsInput!$M$24-ArtifactsInput!$M$24)*CHOOSE(ArtifactsInput!$N$24+1,10,12,14,16,18,20)+IF(ArtifactsInput!$M$10,CHOOSE(ArtifactsInput!$N$10+1,15,18,21,24,27,30)*(IF(Inputs!$B$39="pvp",MIN(15,15)/15,IF(AND(Inputs!$B$39&lt;&gt;"pvp",Inputs!$B$44&gt;0),MIN(15,Inputs!$B$44)/(Inputs!$B$44),0))),0)))&gt;=100),MIN(100,((Inputs!$B$9+((C3782=TRUE)*(F3782-Calc!F26))+B3790+(ArtifactsInput!$M$24-ArtifactsInput!$M$24)*CHOOSE(ArtifactsInput!$N$24+1,10,12,14,16,18,20)+IF(ArtifactsInput!$M$10,CHOOSE(ArtifactsInput!$N$10+1,15,18,21,24,27,30)*(IF(Inputs!$B$39="pvp",MIN(15,15)/15,IF(AND(Inputs!$B$39&lt;&gt;"pvp",Inputs!$B$44&gt;0),MIN(15,Inputs!$B$44)/(Inputs!$B$44),0))),0)))-100),0))*CHOOSE(ArtifactsInput!$N$42+1,0.6,0.72,0.84,0.96,1.08,1.2))),Inputs!$B$18+((C3785=TRUE)*(F3785-Calc!F29))+(IF(AND(Inputs!$B$39&lt;&gt;"pvp",Inputs!$B$44=0),1,IF(IF(Inputs!$B$39="pvp",15,Inputs!$B$44)-(B3801)&lt;=0,1,MAX(0,IF(Inputs!$B$39="pvp",15,Inputs!$B$44)-MAX(5,B3801))/(IF(Inputs!$B$39="pvp",15,Inputs!$B$44)-(B3801))))*IF(AND(ArtifactsInput!$M$42,((Inputs!$B$9+((C3782=TRUE)*(F3782-Calc!F26))+B3790+(ArtifactsInput!$M$24-ArtifactsInput!$M$24)*CHOOSE(ArtifactsInput!$N$24+1,10,12,14,16,18,20)+IF(ArtifactsInput!$M$10,CHOOSE(ArtifactsInput!$N$10+1,15,18,21,24,27,30)*(IF(Inputs!$B$39="pvp",MIN(15,15)/15,IF(AND(Inputs!$B$39&lt;&gt;"pvp",Inputs!$B$44&gt;0),MIN(15,Inputs!$B$44)/(Inputs!$B$44),0))),0)))&gt;=100),CHOOSE(ArtifactsInput!$N$42+1,40,48,56,64,72,80),0))))/100)*(((1+(((C3778=TRUE)*F3778*IF(AND(Inputs!$B$39&lt;&gt;"pvp",Inputs!$B$44&gt;0),(((R3778-1)*MIN((Skills!Y22*(1+Inputs!$B$34/100)),(1/Q3778))+MIN((Skills!Y22*(1+Inputs!$B$34/100)),MAX(0,Inputs!$B$44-((R3778-1)*(1/Q3778)))))/Inputs!$B$44),IF(Inputs!$B$39="pvp",MIN((Skills!Y22*(1+Inputs!$B$34/100)),15)/15,MIN(1,(Skills!Y22*(1+Inputs!$B$34/100))/(1/Q3778)))))+((C3759=TRUE)*F3759*3)+((C3761=TRUE)*F3761*(1-EXP(-0.75*B3794*5)))+((C3780=TRUE)*(F3780-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3767=TRUE)*F3767*IF(AND(Inputs!$B$39&lt;&gt;"pvp",Inputs!$B$44&gt;0),(((R3767-1)*MIN((Skills!Y11*(1+Inputs!$B$34/100)),(1/Q3767))+MIN((Skills!Y11*(1+Inputs!$B$34/100)),MAX(0,Inputs!$B$44-((R3767-1)*(1/Q3767)))))/Inputs!$B$44),IF(Inputs!$B$39="pvp",MIN((Skills!Y11*(1+Inputs!$B$34/100)),15)/15,MIN(1,(Skills!Y11*(1+Inputs!$B$34/100))/(1/Q3767)))))/100)*(1+((C3772=TRUE)*F3772*IF(AND(Inputs!$B$39&lt;&gt;"pvp",Inputs!$B$44&gt;0),(((R3772-1)*MIN((Skills!Y16*(1+Inputs!$B$34/100)),(1/Q3772))+MIN((Skills!Y16*(1+Inputs!$B$34/100)),MAX(0,Inputs!$B$44-((R3772-1)*(1/Q3772)))))/Inputs!$B$44),IF(Inputs!$B$39="pvp",MIN((Skills!Y16*(1+Inputs!$B$34/100)),15)/15,MIN(1,(Skills!Y16*(1+Inputs!$B$34/100))/(1/Q3772)))))/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3792*I3758)</f>
        <v/>
      </c>
      <c r="L3758">
        <f>K3758*(MIN(Inputs!$B$22+((C3781=TRUE)*(F3781-Calc!F25)),(Inputs!$B$23+((C3786=TRUE)*(F3786-Calc!F30))+IF(ArtifactsInput!$M$15,CHOOSE(ArtifactsInput!$N$15+1,25,30,35,40,45,50)/100*(Inputs!$B$11-Inputs!$B$11),0)))/100+(Inputs!$B$23+((C3786=TRUE)*(F3786-Calc!F30))+IF(ArtifactsInput!$M$15,CHOOSE(ArtifactsInput!$N$15+1,25,30,35,40,45,50)/100*(Inputs!$B$11-Inputs!$B$11),0))/100)/2</f>
        <v/>
      </c>
      <c r="M3758">
        <f>L3758*(1+(Inputs!$B$10+((C3783=TRUE)*(F3783-Calc!F27))+B3797+(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3758">
        <f>L3758*(1-MIN((Inputs!$B$9+((C3782=TRUE)*(F3782-Calc!F26))+B3790+(ArtifactsInput!$M$24-ArtifactsInput!$M$24)*CHOOSE(ArtifactsInput!$N$24+1,10,12,14,16,18,20)+(IF(AND(Inputs!$B$39&lt;&gt;"pvp",Inputs!$B$44=0),1,IF(IF(Inputs!$B$39="pvp",15,Inputs!$B$44)-(B3801)&lt;=0,1,MAX(0,IF(Inputs!$B$39="pvp",15,Inputs!$B$44)-MAX(5,B3801))/(IF(Inputs!$B$39="pvp",15,Inputs!$B$44)-(B3801))))*IF(AND(ArtifactsInput!$M$42,((Inputs!$B$9+((C3782=TRUE)*(F3782-Calc!F26))+B3790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3758*(MIN((Inputs!$B$9+((C3782=TRUE)*(F3782-Calc!F26))+B3790+(ArtifactsInput!$M$24-ArtifactsInput!$M$24)*CHOOSE(ArtifactsInput!$N$24+1,10,12,14,16,18,20)+(IF(AND(Inputs!$B$39&lt;&gt;"pvp",Inputs!$B$44=0),1,IF(IF(Inputs!$B$39="pvp",15,Inputs!$B$44)-(B3801)&lt;=0,1,MAX(0,IF(Inputs!$B$39="pvp",15,Inputs!$B$44)-MAX(5,B3801))/(IF(Inputs!$B$39="pvp",15,Inputs!$B$44)-(B3801))))*IF(AND(ArtifactsInput!$M$42,((Inputs!$B$9+((C3782=TRUE)*(F3782-Calc!F26))+B3790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3758">
        <f>(1-Summary!$B$11)*T3758+Summary!$B$11*V3758</f>
        <v/>
      </c>
      <c r="P3758">
        <f>IF(B3802=0,0,O3758/B3802)</f>
        <v/>
      </c>
      <c r="Q3758" t="n">
        <v>0</v>
      </c>
      <c r="R3758" t="n">
        <v>0</v>
      </c>
      <c r="S3758">
        <f>IFERROR(O3758/N3758,0)</f>
        <v/>
      </c>
      <c r="T3758">
        <f>IF(C3758,(Skills!G2*N3758*B3796)*IF(Inputs!$B$39="pvp",1,1+(Inputs!$B$20+0+Skills!P2+B3791+(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Hunt"),CHOOSE(ArtifactsInput!$N$35+1,15,18,21,24,27,30)*(1-EXP(-(0.2*B3794)*5)),0)+IF(AND(ArtifactsInput!$M$22,Inputs!$B$4&lt;&gt;"Chapter Hunt"),CHOOSE(ArtifactsInput!$N$22+1,10,12,14,16,18,20)*((0*(((0.15*B3794*5))^0/1)+1*(((0.15*B3794*5))^1/1)+2*(((0.15*B3794*5))^2/2)+3*(((0.15*B3794*5))^3/6)+4*(((0.15*B3794*5))^4/24)+5*(((0.15*B3794*5))^5/120))/((((0.15*B3794*5))^0/1)+(((0.15*B3794*5))^1/1)+(((0.15*B3794*5))^2/2)+(((0.15*B3794*5))^3/6)+(((0.15*B3794*5))^4/24)+(((0.15*B3794*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3758*(1-MIN(100,(Inputs!$B$9+((C3782=TRUE)*(F3782-Calc!F26))+B3790+(ArtifactsInput!$M$24-ArtifactsInput!$M$24)*CHOOSE(ArtifactsInput!$N$24+1,10,12,14,16,18,20)+(IF(AND(Inputs!$B$39&lt;&gt;"pvp",Inputs!$B$44=0),1,IF(IF(Inputs!$B$39="pvp",15,Inputs!$B$44)-(B3801)&lt;=0,1,MAX(0,IF(Inputs!$B$39="pvp",15,Inputs!$B$44)-MAX(5,B3801))/(IF(Inputs!$B$39="pvp",15,Inputs!$B$44)-(B3801))))*IF(AND(ArtifactsInput!$M$42,((Inputs!$B$9+((C3782=TRUE)*(F3782-Calc!F26))+B3790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3758*(MIN(100,(Inputs!$B$9+((C3782=TRUE)*(F3782-Calc!F26))+B3790+(ArtifactsInput!$M$24-ArtifactsInput!$M$24)*CHOOSE(ArtifactsInput!$N$24+1,10,12,14,16,18,20)+(IF(AND(Inputs!$B$39&lt;&gt;"pvp",Inputs!$B$44=0),1,IF(IF(Inputs!$B$39="pvp",15,Inputs!$B$44)-(B3801)&lt;=0,1,MAX(0,IF(Inputs!$B$39="pvp",15,Inputs!$B$44)-MAX(5,B3801))/(IF(Inputs!$B$39="pvp",15,Inputs!$B$44)-(B3801))))*IF(AND(ArtifactsInput!$M$42,((Inputs!$B$9+((C3782=TRUE)*(F3782-Calc!F26))+B3790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3758*(1-MIN(100,(Inputs!$B$9+((C3782=TRUE)*(F3782-Calc!F26))+B3790+(ArtifactsInput!$M$24-ArtifactsInput!$M$24)*CHOOSE(ArtifactsInput!$N$24+1,10,12,14,16,18,20)+(IF(AND(Inputs!$B$39&lt;&gt;"pvp",Inputs!$B$44=0),1,IF(IF(Inputs!$B$39="pvp",15,Inputs!$B$44)-(B3801)&lt;=0,1,MAX(0,IF(Inputs!$B$39="pvp",15,Inputs!$B$44)-MAX(5,B3801))/(IF(Inputs!$B$39="pvp",15,Inputs!$B$44)-(B3801))))*IF(AND(ArtifactsInput!$M$42,((Inputs!$B$9+((C3782=TRUE)*(F3782-Calc!F26))+B3790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3758*(MIN(100,(Inputs!$B$9+((C3782=TRUE)*(F3782-Calc!F26))+B3790+(ArtifactsInput!$M$24-ArtifactsInput!$M$24)*CHOOSE(ArtifactsInput!$N$24+1,10,12,14,16,18,20)+(IF(AND(Inputs!$B$39&lt;&gt;"pvp",Inputs!$B$44=0),1,IF(IF(Inputs!$B$39="pvp",15,Inputs!$B$44)-(B3801)&lt;=0,1,MAX(0,IF(Inputs!$B$39="pvp",15,Inputs!$B$44)-MAX(5,B3801))/(IF(Inputs!$B$39="pvp",15,Inputs!$B$44)-(B3801))))*IF(AND(ArtifactsInput!$M$42,((Inputs!$B$9+((C3782=TRUE)*(F3782-Calc!F26))+B3790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3758">
        <f>MAX(0,(Inputs!$B$3-100)*3)+Inputs!$B$28+Inputs!$B$29</f>
        <v/>
      </c>
      <c r="V3758">
        <f>IF(C3758,(Skills!G2*N3758*B3796)*IF(Inputs!$B$39="pvp",1,(1+(Inputs!$B$21+Skills!Q2+B3791+(IF(ArtifactsInput!$M$33,CHOOSE(ArtifactsInput!$N$33+1,30,36,42,48,54,60),0))+(IF(AND(ArtifactsInput!$M$35,Inputs!$B$4&lt;&gt;"Chapter Hunt"),CHOOSE(ArtifactsInput!$N$35+1,15,18,21,24,27,30)*(1-EXP(-(0.2*B3794)*5)),0)+IF(AND(ArtifactsInput!$M$22,Inputs!$B$4&lt;&gt;"Chapter Hunt"),CHOOSE(ArtifactsInput!$N$22+1,10,12,14,16,18,20)*((0*(((0.15*B3794*5))^0/1)+1*(((0.15*B3794*5))^1/1)+2*(((0.15*B3794*5))^2/2)+3*(((0.15*B3794*5))^3/6)+4*(((0.15*B3794*5))^4/24)+5*(((0.15*B3794*5))^5/120))/((((0.15*B3794*5))^0/1)+(((0.15*B3794*5))^1/1)+(((0.15*B3794*5))^2/2)+(((0.15*B3794*5))^3/6)+(((0.15*B3794*5))^4/24)+(((0.15*B3794*5))^5/120))),0)))/100)*(MIN((6+Inputs!$B$33),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3759">
      <c r="A3759">
        <f>Skills!A3</f>
        <v/>
      </c>
      <c r="B3759">
        <f>Skills!B3</f>
        <v/>
      </c>
      <c r="C3759">
        <f>Inputs!$B$3&gt;=35</f>
        <v/>
      </c>
      <c r="D3759">
        <f>IF(Skills!C3=1,60+Inputs!$B$25+Inputs!$B$29,IF(Skills!C3=2,90+Inputs!$B$26+Inputs!$B$29,IF(Skills!C3=3,120+Inputs!$B$27+Inputs!$B$29,MAX(0,(Inputs!$B$3-100)*3)+Inputs!$B$28+Inputs!$B$29)))</f>
        <v/>
      </c>
      <c r="E3759">
        <f>INDEX(FactorTable!$B$2:$Y$301, MATCH(ROUND(MIN(300,MAX(1,D3759)),0), FactorTable!$A$2:$A$301,0), Skills!M3+1)</f>
        <v/>
      </c>
      <c r="F3759">
        <f>IF(Skills!N3=TRUE,(Skills!L3/10)*(E3759/1000),Skills!L3/10)+Skills!O3</f>
        <v/>
      </c>
      <c r="G3759">
        <f>Skills!G3*IF(Skills!H3&gt;0,IF(Inputs!$B$39="pvp",MIN(Skills!I3,15),Skills!I3)/Skills!H3,1)</f>
        <v/>
      </c>
      <c r="H3759">
        <f>1-(1-Skills!J3/100)^Skills!K3</f>
        <v/>
      </c>
      <c r="I3759" t="inlineStr">
        <is>
          <t>1</t>
        </is>
      </c>
      <c r="J3759" t="inlineStr"/>
      <c r="K3759" t="inlineStr"/>
      <c r="L3759" t="inlineStr"/>
      <c r="M3759" t="inlineStr"/>
      <c r="N3759" t="inlineStr"/>
      <c r="O3759">
        <f>(1-Summary!$B$11)*T3759+Summary!$B$11*V3759</f>
        <v/>
      </c>
      <c r="P3759">
        <f>IF(B3802=0,0,O3759/B3802)</f>
        <v/>
      </c>
      <c r="Q3759" t="n">
        <v>0</v>
      </c>
      <c r="R3759" t="n">
        <v>0</v>
      </c>
      <c r="S3759">
        <f>IFERROR(O3759/N3759,0)</f>
        <v/>
      </c>
      <c r="T3759" t="n">
        <v>0</v>
      </c>
      <c r="U3759">
        <f>INDEX(FactorTable!$B$2:$Y$301, MATCH(ROUND(MIN(300,MAX(1,U3758)),0), FactorTable!$A$2:$A$301,0), 22)</f>
        <v/>
      </c>
      <c r="V3759" t="n">
        <v>0</v>
      </c>
    </row>
    <row r="3760">
      <c r="A3760">
        <f>Skills!A4</f>
        <v/>
      </c>
      <c r="B3760">
        <f>Skills!B4</f>
        <v/>
      </c>
      <c r="C3760">
        <f>Inputs!$B$3&gt;=66</f>
        <v/>
      </c>
      <c r="D3760">
        <f>IF(Skills!C4=1,60+Inputs!$B$25+Inputs!$B$29,IF(Skills!C4=2,90+Inputs!$B$26+Inputs!$B$29,IF(Skills!C4=3,120+Inputs!$B$27+Inputs!$B$29,MAX(0,(Inputs!$B$3-100)*3)+Inputs!$B$28+Inputs!$B$29)))</f>
        <v/>
      </c>
      <c r="E3760">
        <f>INDEX(FactorTable!$B$2:$Y$301, MATCH(ROUND(MIN(300,MAX(1,D3760)),0), FactorTable!$A$2:$A$301,0), Skills!M4+1)</f>
        <v/>
      </c>
      <c r="F3760">
        <f>IF(Skills!N4=TRUE,(Skills!L4/10)*(E3760/1000),Skills!L4/10)+Skills!O4</f>
        <v/>
      </c>
      <c r="G3760">
        <f>Skills!G4*IF(Skills!H4&gt;0,IF(Inputs!$B$39="pvp",MIN(Skills!I4,15),Skills!I4)/Skills!H4,1)</f>
        <v/>
      </c>
      <c r="H3760">
        <f>1-(1-Skills!J4/100)^Skills!K4</f>
        <v/>
      </c>
      <c r="I3760" t="inlineStr">
        <is>
          <t>1</t>
        </is>
      </c>
      <c r="J3760">
        <f>((Inputs!$B$6*(1+Inputs!$B$7/100))+(((Inputs!$B$12*(1+Inputs!$B$13/100))-(Inputs!$B$12*(1+Inputs!$B$13/100)))+0.25*(Inputs!$B$14-Inputs!$B$14))*(1+Inputs!$B$7/100))*(F3760/100)</f>
        <v/>
      </c>
      <c r="K3760">
        <f>J3760*(1+((Inputs!$B$12*(1+Inputs!$B$13/100))*0.01+Inputs!$B$14*0.0025)/100)*(1+Inputs!$B$15/100)*(1+Inputs!$B$16/100)*(5000/(6000+Inputs!$B$43*(1-(100*(1-(1-Inputs!$B$19/100)*(1-CHOOSE(ArtifactsInput!$N$40+1,5,6,7,8,9,10)/100)^(ArtifactsInput!$M$40-ArtifactsInput!$M$40)))/100)))*(1+(Inputs!$B$24+((C3787=TRUE)*(F3787-Calc!F31))+((C3774=TRUE)*(F3774-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4="CRUEL_STAB",Inputs!$B$17+((C3784=TRUE)*(F3784-Calc!F28))+((IF(AND(Inputs!$B$39&lt;&gt;"pvp",Inputs!$B$44=0),1,IF(IF(Inputs!$B$39="pvp",15,Inputs!$B$44)-(B3801)&lt;=0,1,MAX(0,IF(Inputs!$B$39="pvp",15,Inputs!$B$44)-MAX(5,B3801))/(IF(Inputs!$B$39="pvp",15,Inputs!$B$44)-(B3801))))*(IF(AND(ArtifactsInput!$M$42,((Inputs!$B$9+((C3782=TRUE)*(F3782-Calc!F26))+B3790+(ArtifactsInput!$M$24-ArtifactsInput!$M$24)*CHOOSE(ArtifactsInput!$N$24+1,10,12,14,16,18,20)+IF(ArtifactsInput!$M$10,CHOOSE(ArtifactsInput!$N$10+1,15,18,21,24,27,30)*(IF(Inputs!$B$39="pvp",MIN(15,15)/15,IF(AND(Inputs!$B$39&lt;&gt;"pvp",Inputs!$B$44&gt;0),MIN(15,Inputs!$B$44)/(Inputs!$B$44),0))),0)))&gt;=100),MIN(100,((Inputs!$B$9+((C3782=TRUE)*(F3782-Calc!F26))+B3790+(ArtifactsInput!$M$24-ArtifactsInput!$M$24)*CHOOSE(ArtifactsInput!$N$24+1,10,12,14,16,18,20)+IF(ArtifactsInput!$M$10,CHOOSE(ArtifactsInput!$N$10+1,15,18,21,24,27,30)*(IF(Inputs!$B$39="pvp",MIN(15,15)/15,IF(AND(Inputs!$B$39&lt;&gt;"pvp",Inputs!$B$44&gt;0),MIN(15,Inputs!$B$44)/(Inputs!$B$44),0))),0)))-100),0))*CHOOSE(ArtifactsInput!$N$42+1,0.6,0.72,0.84,0.96,1.08,1.2))),Inputs!$B$18+((C3785=TRUE)*(F3785-Calc!F29))+(IF(AND(Inputs!$B$39&lt;&gt;"pvp",Inputs!$B$44=0),1,IF(IF(Inputs!$B$39="pvp",15,Inputs!$B$44)-(B3801)&lt;=0,1,MAX(0,IF(Inputs!$B$39="pvp",15,Inputs!$B$44)-MAX(5,B3801))/(IF(Inputs!$B$39="pvp",15,Inputs!$B$44)-(B3801))))*IF(AND(ArtifactsInput!$M$42,((Inputs!$B$9+((C3782=TRUE)*(F3782-Calc!F26))+B3790+(ArtifactsInput!$M$24-ArtifactsInput!$M$24)*CHOOSE(ArtifactsInput!$N$24+1,10,12,14,16,18,20)+IF(ArtifactsInput!$M$10,CHOOSE(ArtifactsInput!$N$10+1,15,18,21,24,27,30)*(IF(Inputs!$B$39="pvp",MIN(15,15)/15,IF(AND(Inputs!$B$39&lt;&gt;"pvp",Inputs!$B$44&gt;0),MIN(15,Inputs!$B$44)/(Inputs!$B$44),0))),0)))&gt;=100),CHOOSE(ArtifactsInput!$N$42+1,40,48,56,64,72,80),0))))/100)*(((1+(((C3778=TRUE)*F3778*IF(AND(Inputs!$B$39&lt;&gt;"pvp",Inputs!$B$44&gt;0),(((R3778-1)*MIN((Skills!Y22*(1+Inputs!$B$34/100)),(1/Q3778))+MIN((Skills!Y22*(1+Inputs!$B$34/100)),MAX(0,Inputs!$B$44-((R3778-1)*(1/Q3778)))))/Inputs!$B$44),IF(Inputs!$B$39="pvp",MIN((Skills!Y22*(1+Inputs!$B$34/100)),15)/15,MIN(1,(Skills!Y22*(1+Inputs!$B$34/100))/(1/Q3778)))))+((C3759=TRUE)*F3759*3)+((C3761=TRUE)*F3761*(1-EXP(-0.75*B3794*5)))+((C3780=TRUE)*(F3780-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3767=TRUE)*F3767*IF(AND(Inputs!$B$39&lt;&gt;"pvp",Inputs!$B$44&gt;0),(((R3767-1)*MIN((Skills!Y11*(1+Inputs!$B$34/100)),(1/Q3767))+MIN((Skills!Y11*(1+Inputs!$B$34/100)),MAX(0,Inputs!$B$44-((R3767-1)*(1/Q3767)))))/Inputs!$B$44),IF(Inputs!$B$39="pvp",MIN((Skills!Y11*(1+Inputs!$B$34/100)),15)/15,MIN(1,(Skills!Y11*(1+Inputs!$B$34/100))/(1/Q3767)))))/100)*(1+((C3772=TRUE)*F3772*IF(AND(Inputs!$B$39&lt;&gt;"pvp",Inputs!$B$44&gt;0),(((R3772-1)*MIN((Skills!Y16*(1+Inputs!$B$34/100)),(1/Q3772))+MIN((Skills!Y16*(1+Inputs!$B$34/100)),MAX(0,Inputs!$B$44-((R3772-1)*(1/Q3772)))))/Inputs!$B$44),IF(Inputs!$B$39="pvp",MIN((Skills!Y16*(1+Inputs!$B$34/100)),15)/15,MIN(1,(Skills!Y16*(1+Inputs!$B$34/100))/(1/Q3772)))))/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3792*I3760)</f>
        <v/>
      </c>
      <c r="L3760">
        <f>K3760*(MIN(Inputs!$B$22+((C3781=TRUE)*(F3781-Calc!F25)),(Inputs!$B$23+((C3786=TRUE)*(F3786-Calc!F30))+IF(ArtifactsInput!$M$15,CHOOSE(ArtifactsInput!$N$15+1,25,30,35,40,45,50)/100*(Inputs!$B$11-Inputs!$B$11),0)))/100+(Inputs!$B$23+((C3786=TRUE)*(F3786-Calc!F30))+IF(ArtifactsInput!$M$15,CHOOSE(ArtifactsInput!$N$15+1,25,30,35,40,45,50)/100*(Inputs!$B$11-Inputs!$B$11),0))/100)/2</f>
        <v/>
      </c>
      <c r="M3760">
        <f>L3760*(1+(Inputs!$B$10+((C3783=TRUE)*(F3783-Calc!F27))+B3797+(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3760">
        <f>L3760*(1-MIN((Inputs!$B$9+((C3782=TRUE)*(F3782-Calc!F26))+B3790+(ArtifactsInput!$M$24-ArtifactsInput!$M$24)*CHOOSE(ArtifactsInput!$N$24+1,10,12,14,16,18,20)+(IF(AND(Inputs!$B$39&lt;&gt;"pvp",Inputs!$B$44=0),1,IF(IF(Inputs!$B$39="pvp",15,Inputs!$B$44)-(B3801)&lt;=0,1,MAX(0,IF(Inputs!$B$39="pvp",15,Inputs!$B$44)-MAX(5,B3801))/(IF(Inputs!$B$39="pvp",15,Inputs!$B$44)-(B3801))))*IF(AND(ArtifactsInput!$M$42,((Inputs!$B$9+((C3782=TRUE)*(F3782-Calc!F26))+B3790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3760*(MIN((Inputs!$B$9+((C3782=TRUE)*(F3782-Calc!F26))+B3790+(ArtifactsInput!$M$24-ArtifactsInput!$M$24)*CHOOSE(ArtifactsInput!$N$24+1,10,12,14,16,18,20)+(IF(AND(Inputs!$B$39&lt;&gt;"pvp",Inputs!$B$44=0),1,IF(IF(Inputs!$B$39="pvp",15,Inputs!$B$44)-(B3801)&lt;=0,1,MAX(0,IF(Inputs!$B$39="pvp",15,Inputs!$B$44)-MAX(5,B3801))/(IF(Inputs!$B$39="pvp",15,Inputs!$B$44)-(B3801))))*IF(AND(ArtifactsInput!$M$42,((Inputs!$B$9+((C3782=TRUE)*(F3782-Calc!F26))+B3790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3760">
        <f>(1-Summary!$B$11)*T3760+Summary!$B$11*V3760</f>
        <v/>
      </c>
      <c r="P3760">
        <f>IF(B3802=0,0,O3760/B3802)</f>
        <v/>
      </c>
      <c r="Q3760">
        <f>IFERROR(1/IF(Inputs!$B$39="pvp",15,MAX(0.1,Skills!D4-IF(TRUE=TRUE,5.0,0))),0)</f>
        <v/>
      </c>
      <c r="R3760">
        <f>IF(AND(Inputs!$B$39&lt;&gt;"pvp",Inputs!$B$44&gt;0),IF(MAX(0,Inputs!$B$44-B3801)&lt;=0,0,(INT(MAX(0,Inputs!$B$44-B3801)/IF(Inputs!$B$39="pvp",15,MAX(0.1,Skills!D4-IF(TRUE=TRUE,5.0,0))))+1)),0)</f>
        <v/>
      </c>
      <c r="S3760">
        <f>IFERROR(O3760/N3760,0)</f>
        <v/>
      </c>
      <c r="T3760">
        <f>IF(C3760,(H3760*N3760*IF(AND(Inputs!$B$39&lt;&gt;"pvp",Inputs!$B$44&gt;0),((Skills!G4*((R3760-1)*IF(Skills!H4&gt;0,Skills!I4/Skills!H4,1)+IF(Skills!H4&gt;0,MIN(Skills!I4,MAX(0,MAX(0,Inputs!$B$44-B3801)-((R3760-1)*IF(Inputs!$B$39="pvp",15,MAX(0.1,Skills!D4-IF(TRUE=TRUE,5.0,0))))))/Skills!H4,1)))/Inputs!$B$44),G3760*Q3760))*IF(Inputs!$B$39="pvp",1,1+(Inputs!$B$20+0+Skills!P4+B3791+(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Hunt"),CHOOSE(ArtifactsInput!$N$35+1,15,18,21,24,27,30)*(1-EXP(-(0.2*B3794)*5)),0)+IF(AND(ArtifactsInput!$M$22,Inputs!$B$4&lt;&gt;"Chapter Hunt"),CHOOSE(ArtifactsInput!$N$22+1,10,12,14,16,18,20)*((0*(((0.15*B3794*5))^0/1)+1*(((0.15*B3794*5))^1/1)+2*(((0.15*B3794*5))^2/2)+3*(((0.15*B3794*5))^3/6)+4*(((0.15*B3794*5))^4/24)+5*(((0.15*B3794*5))^5/120))/((((0.15*B3794*5))^0/1)+(((0.15*B3794*5))^1/1)+(((0.15*B3794*5))^2/2)+(((0.15*B3794*5))^3/6)+(((0.15*B3794*5))^4/24)+(((0.15*B3794*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3760*(1-MIN(100,(Inputs!$B$9+((C3782=TRUE)*(F3782-Calc!F26))+B3790+(ArtifactsInput!$M$24-ArtifactsInput!$M$24)*CHOOSE(ArtifactsInput!$N$24+1,10,12,14,16,18,20)+(IF(AND(Inputs!$B$39&lt;&gt;"pvp",Inputs!$B$44=0),1,IF(IF(Inputs!$B$39="pvp",15,Inputs!$B$44)-(B3801)&lt;=0,1,MAX(0,IF(Inputs!$B$39="pvp",15,Inputs!$B$44)-MAX(5,B3801))/(IF(Inputs!$B$39="pvp",15,Inputs!$B$44)-(B3801))))*IF(AND(ArtifactsInput!$M$42,((Inputs!$B$9+((C3782=TRUE)*(F3782-Calc!F26))+B3790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3760*(MIN(100,(Inputs!$B$9+((C3782=TRUE)*(F3782-Calc!F26))+B3790+(ArtifactsInput!$M$24-ArtifactsInput!$M$24)*CHOOSE(ArtifactsInput!$N$24+1,10,12,14,16,18,20)+(IF(AND(Inputs!$B$39&lt;&gt;"pvp",Inputs!$B$44=0),1,IF(IF(Inputs!$B$39="pvp",15,Inputs!$B$44)-(B3801)&lt;=0,1,MAX(0,IF(Inputs!$B$39="pvp",15,Inputs!$B$44)-MAX(5,B3801))/(IF(Inputs!$B$39="pvp",15,Inputs!$B$44)-(B3801))))*IF(AND(ArtifactsInput!$M$42,((Inputs!$B$9+((C3782=TRUE)*(F3782-Calc!F26))+B3790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3760*(1-MIN(100,(Inputs!$B$9+((C3782=TRUE)*(F3782-Calc!F26))+B3790+(ArtifactsInput!$M$24-ArtifactsInput!$M$24)*CHOOSE(ArtifactsInput!$N$24+1,10,12,14,16,18,20)+(IF(AND(Inputs!$B$39&lt;&gt;"pvp",Inputs!$B$44=0),1,IF(IF(Inputs!$B$39="pvp",15,Inputs!$B$44)-(B3801)&lt;=0,1,MAX(0,IF(Inputs!$B$39="pvp",15,Inputs!$B$44)-MAX(5,B3801))/(IF(Inputs!$B$39="pvp",15,Inputs!$B$44)-(B3801))))*IF(AND(ArtifactsInput!$M$42,((Inputs!$B$9+((C3782=TRUE)*(F3782-Calc!F26))+B3790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3760*(MIN(100,(Inputs!$B$9+((C3782=TRUE)*(F3782-Calc!F26))+B3790+(ArtifactsInput!$M$24-ArtifactsInput!$M$24)*CHOOSE(ArtifactsInput!$N$24+1,10,12,14,16,18,20)+(IF(AND(Inputs!$B$39&lt;&gt;"pvp",Inputs!$B$44=0),1,IF(IF(Inputs!$B$39="pvp",15,Inputs!$B$44)-(B3801)&lt;=0,1,MAX(0,IF(Inputs!$B$39="pvp",15,Inputs!$B$44)-MAX(5,B3801))/(IF(Inputs!$B$39="pvp",15,Inputs!$B$44)-(B3801))))*IF(AND(ArtifactsInput!$M$42,((Inputs!$B$9+((C3782=TRUE)*(F3782-Calc!F26))+B3790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3760">
        <f>290*U3759/1000</f>
        <v/>
      </c>
      <c r="V3760">
        <f>IF(C3760,(H3760*N3760*IF(AND(Inputs!$B$39&lt;&gt;"pvp",Inputs!$B$44&gt;0),((Skills!G4*((R3760-1)*IF(Skills!H4&gt;0,Skills!I4/Skills!H4,1)+IF(Skills!H4&gt;0,MIN(Skills!I4,MAX(0,MAX(0,Inputs!$B$44-B3801)-((R3760-1)*IF(Inputs!$B$39="pvp",15,MAX(0.1,Skills!D4-IF(TRUE=TRUE,5.0,0))))))/Skills!H4,1)))/Inputs!$B$44),G3760*Q3760))*IF(Inputs!$B$39="pvp",1,(1+(Inputs!$B$21+Skills!Q4+B3791+(IF(ArtifactsInput!$M$33,CHOOSE(ArtifactsInput!$N$33+1,30,36,42,48,54,60),0))+(IF(AND(ArtifactsInput!$M$35,Inputs!$B$4&lt;&gt;"Chapter Hunt"),CHOOSE(ArtifactsInput!$N$35+1,15,18,21,24,27,30)*(1-EXP(-(0.2*B3794)*5)),0)+IF(AND(ArtifactsInput!$M$22,Inputs!$B$4&lt;&gt;"Chapter Hunt"),CHOOSE(ArtifactsInput!$N$22+1,10,12,14,16,18,20)*((0*(((0.15*B3794*5))^0/1)+1*(((0.15*B3794*5))^1/1)+2*(((0.15*B3794*5))^2/2)+3*(((0.15*B3794*5))^3/6)+4*(((0.15*B3794*5))^4/24)+5*(((0.15*B3794*5))^5/120))/((((0.15*B3794*5))^0/1)+(((0.15*B3794*5))^1/1)+(((0.15*B3794*5))^2/2)+(((0.15*B3794*5))^3/6)+(((0.15*B3794*5))^4/24)+(((0.15*B3794*5))^5/120))),0)))/100)*(MIN(MIN(10,IF(Inputs!$B$3&gt;=75,0.75,0.5)*B3794*(1/Q3760)),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3761">
      <c r="A3761">
        <f>Skills!A5</f>
        <v/>
      </c>
      <c r="B3761">
        <f>Skills!B5</f>
        <v/>
      </c>
      <c r="C3761">
        <f>Inputs!$B$3&gt;=75</f>
        <v/>
      </c>
      <c r="D3761">
        <f>IF(Skills!C5=1,60+Inputs!$B$25+Inputs!$B$29,IF(Skills!C5=2,90+Inputs!$B$26+Inputs!$B$29,IF(Skills!C5=3,120+Inputs!$B$27+Inputs!$B$29,MAX(0,(Inputs!$B$3-100)*3)+Inputs!$B$28+Inputs!$B$29)))</f>
        <v/>
      </c>
      <c r="E3761">
        <f>INDEX(FactorTable!$B$2:$Y$301, MATCH(ROUND(MIN(300,MAX(1,D3761)),0), FactorTable!$A$2:$A$301,0), Skills!M5+1)</f>
        <v/>
      </c>
      <c r="F3761">
        <f>IF(Skills!N5=TRUE,(Skills!L5/10)*(E3761/1000),Skills!L5/10)+Skills!O5</f>
        <v/>
      </c>
      <c r="G3761">
        <f>Skills!G5*IF(Skills!H5&gt;0,IF(Inputs!$B$39="pvp",MIN(Skills!I5,15),Skills!I5)/Skills!H5,1)</f>
        <v/>
      </c>
      <c r="H3761">
        <f>1-(1-Skills!J5/100)^Skills!K5</f>
        <v/>
      </c>
      <c r="I3761" t="inlineStr">
        <is>
          <t>1</t>
        </is>
      </c>
      <c r="J3761" t="inlineStr"/>
      <c r="K3761" t="inlineStr"/>
      <c r="L3761" t="inlineStr"/>
      <c r="M3761" t="inlineStr"/>
      <c r="N3761" t="inlineStr"/>
      <c r="O3761">
        <f>(1-Summary!$B$11)*T3761+Summary!$B$11*V3761</f>
        <v/>
      </c>
      <c r="P3761">
        <f>IF(B3802=0,0,O3761/B3802)</f>
        <v/>
      </c>
      <c r="Q3761" t="n">
        <v>0</v>
      </c>
      <c r="R3761" t="n">
        <v>0</v>
      </c>
      <c r="S3761">
        <f>IFERROR(O3761/N3761,0)</f>
        <v/>
      </c>
      <c r="T3761" t="n">
        <v>0</v>
      </c>
      <c r="V3761" t="n">
        <v>0</v>
      </c>
    </row>
    <row r="3762">
      <c r="A3762">
        <f>Skills!A6</f>
        <v/>
      </c>
      <c r="B3762">
        <f>Skills!B6</f>
        <v/>
      </c>
      <c r="C3762">
        <f>Inputs!$B$3&gt;=63</f>
        <v/>
      </c>
      <c r="D3762">
        <f>IF(Skills!C6=1,60+Inputs!$B$25+Inputs!$B$29,IF(Skills!C6=2,90+Inputs!$B$26+Inputs!$B$29,IF(Skills!C6=3,120+Inputs!$B$27+Inputs!$B$29,MAX(0,(Inputs!$B$3-100)*3)+Inputs!$B$28+Inputs!$B$29)))</f>
        <v/>
      </c>
      <c r="E3762">
        <f>INDEX(FactorTable!$B$2:$Y$301, MATCH(ROUND(MIN(300,MAX(1,D3762)),0), FactorTable!$A$2:$A$301,0), Skills!M6+1)</f>
        <v/>
      </c>
      <c r="F3762">
        <f>IF(Skills!N6=TRUE,(Skills!L6/10)*(E3762/1000),Skills!L6/10)+Skills!O6</f>
        <v/>
      </c>
      <c r="G3762">
        <f>Skills!G6*IF(Skills!H6&gt;0,IF(Inputs!$B$39="pvp",MIN(Skills!I6,15),Skills!I6)/Skills!H6,1)</f>
        <v/>
      </c>
      <c r="H3762">
        <f>1-(1-Skills!J6/100)^Skills!K6</f>
        <v/>
      </c>
      <c r="I3762" t="inlineStr">
        <is>
          <t>1</t>
        </is>
      </c>
      <c r="J3762">
        <f>((Inputs!$B$6*(1+Inputs!$B$7/100))+(((Inputs!$B$12*(1+Inputs!$B$13/100))-(Inputs!$B$12*(1+Inputs!$B$13/100)))+0.25*(Inputs!$B$14-Inputs!$B$14))*(1+Inputs!$B$7/100))*(F3762/100)</f>
        <v/>
      </c>
      <c r="K3762">
        <f>J3762*(1+((Inputs!$B$12*(1+Inputs!$B$13/100))*0.01+Inputs!$B$14*0.0025)/100)*(1+Inputs!$B$15/100)*(1+Inputs!$B$16/100)*(5000/(6000+Inputs!$B$43*(1-(100*(1-(1-Inputs!$B$19/100)*(1-CHOOSE(ArtifactsInput!$N$40+1,5,6,7,8,9,10)/100)^(ArtifactsInput!$M$40-ArtifactsInput!$M$40)))/100)))*(1+(Inputs!$B$24+((C3787=TRUE)*(F3787-Calc!F31))+((C3774=TRUE)*(F3774-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+2.6666666666666665*IF(C3775=TRUE,F3775,0)/100)*(1+(IF(Skills!A6="CRUEL_STAB",Inputs!$B$17+((C3784=TRUE)*(F3784-Calc!F28))+((IF(AND(Inputs!$B$39&lt;&gt;"pvp",Inputs!$B$44=0),1,IF(IF(Inputs!$B$39="pvp",15,Inputs!$B$44)-(B3801)&lt;=0,1,MAX(0,IF(Inputs!$B$39="pvp",15,Inputs!$B$44)-MAX(5,B3801))/(IF(Inputs!$B$39="pvp",15,Inputs!$B$44)-(B3801))))*(IF(AND(ArtifactsInput!$M$42,((Inputs!$B$9+((C3782=TRUE)*(F3782-Calc!F26))+B3790+(ArtifactsInput!$M$24-ArtifactsInput!$M$24)*CHOOSE(ArtifactsInput!$N$24+1,10,12,14,16,18,20)+IF(ArtifactsInput!$M$10,CHOOSE(ArtifactsInput!$N$10+1,15,18,21,24,27,30)*(IF(Inputs!$B$39="pvp",MIN(15,15)/15,IF(AND(Inputs!$B$39&lt;&gt;"pvp",Inputs!$B$44&gt;0),MIN(15,Inputs!$B$44)/(Inputs!$B$44),0))),0)))&gt;=100),MIN(100,((Inputs!$B$9+((C3782=TRUE)*(F3782-Calc!F26))+B3790+(ArtifactsInput!$M$24-ArtifactsInput!$M$24)*CHOOSE(ArtifactsInput!$N$24+1,10,12,14,16,18,20)+IF(ArtifactsInput!$M$10,CHOOSE(ArtifactsInput!$N$10+1,15,18,21,24,27,30)*(IF(Inputs!$B$39="pvp",MIN(15,15)/15,IF(AND(Inputs!$B$39&lt;&gt;"pvp",Inputs!$B$44&gt;0),MIN(15,Inputs!$B$44)/(Inputs!$B$44),0))),0)))-100),0))*CHOOSE(ArtifactsInput!$N$42+1,0.6,0.72,0.84,0.96,1.08,1.2))),Inputs!$B$18+((C3785=TRUE)*(F3785-Calc!F29))+(IF(AND(Inputs!$B$39&lt;&gt;"pvp",Inputs!$B$44=0),1,IF(IF(Inputs!$B$39="pvp",15,Inputs!$B$44)-(B3801)&lt;=0,1,MAX(0,IF(Inputs!$B$39="pvp",15,Inputs!$B$44)-MAX(5,B3801))/(IF(Inputs!$B$39="pvp",15,Inputs!$B$44)-(B3801))))*IF(AND(ArtifactsInput!$M$42,((Inputs!$B$9+((C3782=TRUE)*(F3782-Calc!F26))+B3790+(ArtifactsInput!$M$24-ArtifactsInput!$M$24)*CHOOSE(ArtifactsInput!$N$24+1,10,12,14,16,18,20)+IF(ArtifactsInput!$M$10,CHOOSE(ArtifactsInput!$N$10+1,15,18,21,24,27,30)*(IF(Inputs!$B$39="pvp",MIN(15,15)/15,IF(AND(Inputs!$B$39&lt;&gt;"pvp",Inputs!$B$44&gt;0),MIN(15,Inputs!$B$44)/(Inputs!$B$44),0))),0)))&gt;=100),CHOOSE(ArtifactsInput!$N$42+1,40,48,56,64,72,80),0))))/100)*(((1+(((C3778=TRUE)*F3778*IF(AND(Inputs!$B$39&lt;&gt;"pvp",Inputs!$B$44&gt;0),(((R3778-1)*MIN((Skills!Y22*(1+Inputs!$B$34/100)),(1/Q3778))+MIN((Skills!Y22*(1+Inputs!$B$34/100)),MAX(0,Inputs!$B$44-((R3778-1)*(1/Q3778)))))/Inputs!$B$44),IF(Inputs!$B$39="pvp",MIN((Skills!Y22*(1+Inputs!$B$34/100)),15)/15,MIN(1,(Skills!Y22*(1+Inputs!$B$34/100))/(1/Q3778)))))+((C3759=TRUE)*F3759*3)+((C3761=TRUE)*F3761*(1-EXP(-0.75*B3794*5)))+((C3780=TRUE)*(F3780-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3767=TRUE)*F3767*IF(AND(Inputs!$B$39&lt;&gt;"pvp",Inputs!$B$44&gt;0),(((R3767-1)*MIN((Skills!Y11*(1+Inputs!$B$34/100)),(1/Q3767))+MIN((Skills!Y11*(1+Inputs!$B$34/100)),MAX(0,Inputs!$B$44-((R3767-1)*(1/Q3767)))))/Inputs!$B$44),IF(Inputs!$B$39="pvp",MIN((Skills!Y11*(1+Inputs!$B$34/100)),15)/15,MIN(1,(Skills!Y11*(1+Inputs!$B$34/100))/(1/Q3767)))))/100)*(1+((C3772=TRUE)*F3772*IF(AND(Inputs!$B$39&lt;&gt;"pvp",Inputs!$B$44&gt;0),(((R3772-1)*MIN((Skills!Y16*(1+Inputs!$B$34/100)),(1/Q3772))+MIN((Skills!Y16*(1+Inputs!$B$34/100)),MAX(0,Inputs!$B$44-((R3772-1)*(1/Q3772)))))/Inputs!$B$44),IF(Inputs!$B$39="pvp",MIN((Skills!Y16*(1+Inputs!$B$34/100)),15)/15,MIN(1,(Skills!Y16*(1+Inputs!$B$34/100))/(1/Q3772)))))/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3792*I3762)</f>
        <v/>
      </c>
      <c r="L3762">
        <f>K3762*(MIN(Inputs!$B$22+((C3781=TRUE)*(F3781-Calc!F25)),(Inputs!$B$23+((C3786=TRUE)*(F3786-Calc!F30))+IF(ArtifactsInput!$M$15,CHOOSE(ArtifactsInput!$N$15+1,25,30,35,40,45,50)/100*(Inputs!$B$11-Inputs!$B$11),0)))/100+(Inputs!$B$23+((C3786=TRUE)*(F3786-Calc!F30))+IF(ArtifactsInput!$M$15,CHOOSE(ArtifactsInput!$N$15+1,25,30,35,40,45,50)/100*(Inputs!$B$11-Inputs!$B$11),0))/100)/2</f>
        <v/>
      </c>
      <c r="M3762">
        <f>L3762*(1+(Inputs!$B$10+((C3783=TRUE)*(F3783-Calc!F27))+B3797+(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3762">
        <f>L3762*(1-MIN((Inputs!$B$9+((C3782=TRUE)*(F3782-Calc!F26))+B3790+(ArtifactsInput!$M$24-ArtifactsInput!$M$24)*CHOOSE(ArtifactsInput!$N$24+1,10,12,14,16,18,20)+(IF(AND(Inputs!$B$39&lt;&gt;"pvp",Inputs!$B$44=0),1,IF(IF(Inputs!$B$39="pvp",15,Inputs!$B$44)-(B3801)&lt;=0,1,MAX(0,IF(Inputs!$B$39="pvp",15,Inputs!$B$44)-MAX(5,B3801))/(IF(Inputs!$B$39="pvp",15,Inputs!$B$44)-(B3801))))*IF(AND(ArtifactsInput!$M$42,((Inputs!$B$9+((C3782=TRUE)*(F3782-Calc!F26))+B3790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3762*(MIN((Inputs!$B$9+((C3782=TRUE)*(F3782-Calc!F26))+B3790+(ArtifactsInput!$M$24-ArtifactsInput!$M$24)*CHOOSE(ArtifactsInput!$N$24+1,10,12,14,16,18,20)+(IF(AND(Inputs!$B$39&lt;&gt;"pvp",Inputs!$B$44=0),1,IF(IF(Inputs!$B$39="pvp",15,Inputs!$B$44)-(B3801)&lt;=0,1,MAX(0,IF(Inputs!$B$39="pvp",15,Inputs!$B$44)-MAX(5,B3801))/(IF(Inputs!$B$39="pvp",15,Inputs!$B$44)-(B3801))))*IF(AND(ArtifactsInput!$M$42,((Inputs!$B$9+((C3782=TRUE)*(F3782-Calc!F26))+B3790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3762">
        <f>(1-Summary!$B$11)*T3762+Summary!$B$11*V3762</f>
        <v/>
      </c>
      <c r="P3762">
        <f>IF(B3802=0,0,O3762/B3802)</f>
        <v/>
      </c>
      <c r="Q3762">
        <f>IFERROR(1/IF(Inputs!$B$39="pvp",15,MAX(0.1,Skills!D6-IF(TRUE=TRUE,5.0,0))),0)</f>
        <v/>
      </c>
      <c r="R3762">
        <f>IF(AND(Inputs!$B$39&lt;&gt;"pvp",Inputs!$B$44&gt;0),IF(MAX(0,Inputs!$B$44-B3801)&lt;=0,0,(INT(MAX(0,Inputs!$B$44-B3801)/IF(Inputs!$B$39="pvp",15,MAX(0.1,Skills!D6-IF(TRUE=TRUE,5.0,0))))+1)),0)</f>
        <v/>
      </c>
      <c r="S3762">
        <f>IFERROR(O3762/N3762,0)</f>
        <v/>
      </c>
      <c r="T3762">
        <f>IF(C3762,(H3762*N3762*IF(AND(Inputs!$B$39&lt;&gt;"pvp",Inputs!$B$44&gt;0),((Skills!G6*((R3762-1)*IF(Skills!H6&gt;0,Skills!I6/Skills!H6,1)+IF(Skills!H6&gt;0,MIN(Skills!I6,MAX(0,MAX(0,Inputs!$B$44-B3801)-((R3762-1)*IF(Inputs!$B$39="pvp",15,MAX(0.1,Skills!D6-IF(TRUE=TRUE,5.0,0))))))/Skills!H6,1)))/Inputs!$B$44),G3762*Q3762))*IF(Inputs!$B$39="pvp",1,1+(Inputs!$B$20+0+Skills!P6+B3791+(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Hunt"),CHOOSE(ArtifactsInput!$N$35+1,15,18,21,24,27,30)*(1-EXP(-(0.2*B3794)*5)),0)+IF(AND(ArtifactsInput!$M$22,Inputs!$B$4&lt;&gt;"Chapter Hunt"),CHOOSE(ArtifactsInput!$N$22+1,10,12,14,16,18,20)*((0*(((0.15*B3794*5))^0/1)+1*(((0.15*B3794*5))^1/1)+2*(((0.15*B3794*5))^2/2)+3*(((0.15*B3794*5))^3/6)+4*(((0.15*B3794*5))^4/24)+5*(((0.15*B3794*5))^5/120))/((((0.15*B3794*5))^0/1)+(((0.15*B3794*5))^1/1)+(((0.15*B3794*5))^2/2)+(((0.15*B3794*5))^3/6)+(((0.15*B3794*5))^4/24)+(((0.15*B3794*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3762*(1-MIN(100,(Inputs!$B$9+((C3782=TRUE)*(F3782-Calc!F26))+B3790+(ArtifactsInput!$M$24-ArtifactsInput!$M$24)*CHOOSE(ArtifactsInput!$N$24+1,10,12,14,16,18,20)+(IF(AND(Inputs!$B$39&lt;&gt;"pvp",Inputs!$B$44=0),1,IF(IF(Inputs!$B$39="pvp",15,Inputs!$B$44)-(B3801)&lt;=0,1,MAX(0,IF(Inputs!$B$39="pvp",15,Inputs!$B$44)-MAX(5,B3801))/(IF(Inputs!$B$39="pvp",15,Inputs!$B$44)-(B3801))))*IF(AND(ArtifactsInput!$M$42,((Inputs!$B$9+((C3782=TRUE)*(F3782-Calc!F26))+B3790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3762*(MIN(100,(Inputs!$B$9+((C3782=TRUE)*(F3782-Calc!F26))+B3790+(ArtifactsInput!$M$24-ArtifactsInput!$M$24)*CHOOSE(ArtifactsInput!$N$24+1,10,12,14,16,18,20)+(IF(AND(Inputs!$B$39&lt;&gt;"pvp",Inputs!$B$44=0),1,IF(IF(Inputs!$B$39="pvp",15,Inputs!$B$44)-(B3801)&lt;=0,1,MAX(0,IF(Inputs!$B$39="pvp",15,Inputs!$B$44)-MAX(5,B3801))/(IF(Inputs!$B$39="pvp",15,Inputs!$B$44)-(B3801))))*IF(AND(ArtifactsInput!$M$42,((Inputs!$B$9+((C3782=TRUE)*(F3782-Calc!F26))+B3790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3762*(1-MIN(100,(Inputs!$B$9+((C3782=TRUE)*(F3782-Calc!F26))+B3790+(ArtifactsInput!$M$24-ArtifactsInput!$M$24)*CHOOSE(ArtifactsInput!$N$24+1,10,12,14,16,18,20)+(IF(AND(Inputs!$B$39&lt;&gt;"pvp",Inputs!$B$44=0),1,IF(IF(Inputs!$B$39="pvp",15,Inputs!$B$44)-(B3801)&lt;=0,1,MAX(0,IF(Inputs!$B$39="pvp",15,Inputs!$B$44)-MAX(5,B3801))/(IF(Inputs!$B$39="pvp",15,Inputs!$B$44)-(B3801))))*IF(AND(ArtifactsInput!$M$42,((Inputs!$B$9+((C3782=TRUE)*(F3782-Calc!F26))+B3790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3762*(MIN(100,(Inputs!$B$9+((C3782=TRUE)*(F3782-Calc!F26))+B3790+(ArtifactsInput!$M$24-ArtifactsInput!$M$24)*CHOOSE(ArtifactsInput!$N$24+1,10,12,14,16,18,20)+(IF(AND(Inputs!$B$39&lt;&gt;"pvp",Inputs!$B$44=0),1,IF(IF(Inputs!$B$39="pvp",15,Inputs!$B$44)-(B3801)&lt;=0,1,MAX(0,IF(Inputs!$B$39="pvp",15,Inputs!$B$44)-MAX(5,B3801))/(IF(Inputs!$B$39="pvp",15,Inputs!$B$44)-(B3801))))*IF(AND(ArtifactsInput!$M$42,((Inputs!$B$9+((C3782=TRUE)*(F3782-Calc!F26))+B3790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3762">
        <f>IF(C3762,(H3762*N3762*IF(AND(Inputs!$B$39&lt;&gt;"pvp",Inputs!$B$44&gt;0),((Skills!G6*((R3762-1)*IF(Skills!H6&gt;0,Skills!I6/Skills!H6,1)+IF(Skills!H6&gt;0,MIN(Skills!I6,MAX(0,MAX(0,Inputs!$B$44-B3801)-((R3762-1)*IF(Inputs!$B$39="pvp",15,MAX(0.1,Skills!D6-IF(TRUE=TRUE,5.0,0))))))/Skills!H6,1)))/Inputs!$B$44),G3762*Q3762))*IF(Inputs!$B$39="pvp",1,(1+(Inputs!$B$21+Skills!Q6+B3791+(IF(ArtifactsInput!$M$33,CHOOSE(ArtifactsInput!$N$33+1,30,36,42,48,54,60),0))+(IF(AND(ArtifactsInput!$M$35,Inputs!$B$4&lt;&gt;"Chapter Hunt"),CHOOSE(ArtifactsInput!$N$35+1,15,18,21,24,27,30)*(1-EXP(-(0.2*B3794)*5)),0)+IF(AND(ArtifactsInput!$M$22,Inputs!$B$4&lt;&gt;"Chapter Hunt"),CHOOSE(ArtifactsInput!$N$22+1,10,12,14,16,18,20)*((0*(((0.15*B3794*5))^0/1)+1*(((0.15*B3794*5))^1/1)+2*(((0.15*B3794*5))^2/2)+3*(((0.15*B3794*5))^3/6)+4*(((0.15*B3794*5))^4/24)+5*(((0.15*B3794*5))^5/120))/((((0.15*B3794*5))^0/1)+(((0.15*B3794*5))^1/1)+(((0.15*B3794*5))^2/2)+(((0.15*B3794*5))^3/6)+(((0.15*B3794*5))^4/24)+(((0.15*B3794*5))^5/120))),0)))/100)*(MIN(Skills!W6,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3763">
      <c r="A3763">
        <f>Skills!A7</f>
        <v/>
      </c>
      <c r="B3763">
        <f>Skills!B7</f>
        <v/>
      </c>
      <c r="C3763">
        <f>Inputs!$B$3&gt;=69</f>
        <v/>
      </c>
      <c r="D3763">
        <f>IF(Skills!C7=1,60+Inputs!$B$25+Inputs!$B$29,IF(Skills!C7=2,90+Inputs!$B$26+Inputs!$B$29,IF(Skills!C7=3,120+Inputs!$B$27+Inputs!$B$29,MAX(0,(Inputs!$B$3-100)*3)+Inputs!$B$28+Inputs!$B$29)))</f>
        <v/>
      </c>
      <c r="E3763">
        <f>INDEX(FactorTable!$B$2:$Y$301, MATCH(ROUND(MIN(300,MAX(1,D3763)),0), FactorTable!$A$2:$A$301,0), Skills!M7+1)</f>
        <v/>
      </c>
      <c r="F3763">
        <f>IF(Skills!N7=TRUE,(Skills!L7/10)*(E3763/1000),Skills!L7/10)+Skills!O7</f>
        <v/>
      </c>
      <c r="G3763">
        <f>Skills!G7*IF(Skills!H7&gt;0,IF(Inputs!$B$39="pvp",MIN(Skills!I7,15),Skills!I7)/Skills!H7,1)</f>
        <v/>
      </c>
      <c r="H3763">
        <f>1-(1-Skills!J7/100)^Skills!K7</f>
        <v/>
      </c>
      <c r="I3763" t="inlineStr">
        <is>
          <t>1</t>
        </is>
      </c>
      <c r="J3763">
        <f>((Inputs!$B$6*(1+Inputs!$B$7/100))+(((Inputs!$B$12*(1+Inputs!$B$13/100))-(Inputs!$B$12*(1+Inputs!$B$13/100)))+0.25*(Inputs!$B$14-Inputs!$B$14))*(1+Inputs!$B$7/100))*(F3763/100)</f>
        <v/>
      </c>
      <c r="K3763">
        <f>J3763*(1+((Inputs!$B$12*(1+Inputs!$B$13/100))*0.01+Inputs!$B$14*0.0025)/100)*(1+Inputs!$B$15/100)*(1+Inputs!$B$16/100)*(5000/(6000+Inputs!$B$43*(1-(100*(1-(1-Inputs!$B$19/100)*(1-CHOOSE(ArtifactsInput!$N$40+1,5,6,7,8,9,10)/100)^(ArtifactsInput!$M$40-ArtifactsInput!$M$40)))/100)))*(1+(Inputs!$B$24+((C3787=TRUE)*(F3787-Calc!F31))+((C3774=TRUE)*(F3774-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+1.0*IF(C3775=TRUE,F3775,0)/100)*(1+(IF(Skills!A7="CRUEL_STAB",Inputs!$B$17+((C3784=TRUE)*(F3784-Calc!F28))+((IF(AND(Inputs!$B$39&lt;&gt;"pvp",Inputs!$B$44=0),1,IF(IF(Inputs!$B$39="pvp",15,Inputs!$B$44)-(B3801)&lt;=0,1,MAX(0,IF(Inputs!$B$39="pvp",15,Inputs!$B$44)-MAX(5,B3801))/(IF(Inputs!$B$39="pvp",15,Inputs!$B$44)-(B3801))))*(IF(AND(ArtifactsInput!$M$42,((Inputs!$B$9+((C3782=TRUE)*(F3782-Calc!F26))+B3790+(ArtifactsInput!$M$24-ArtifactsInput!$M$24)*CHOOSE(ArtifactsInput!$N$24+1,10,12,14,16,18,20)+IF(ArtifactsInput!$M$10,CHOOSE(ArtifactsInput!$N$10+1,15,18,21,24,27,30)*(IF(Inputs!$B$39="pvp",MIN(15,15)/15,IF(AND(Inputs!$B$39&lt;&gt;"pvp",Inputs!$B$44&gt;0),MIN(15,Inputs!$B$44)/(Inputs!$B$44),0))),0)))&gt;=100),MIN(100,((Inputs!$B$9+((C3782=TRUE)*(F3782-Calc!F26))+B3790+(ArtifactsInput!$M$24-ArtifactsInput!$M$24)*CHOOSE(ArtifactsInput!$N$24+1,10,12,14,16,18,20)+IF(ArtifactsInput!$M$10,CHOOSE(ArtifactsInput!$N$10+1,15,18,21,24,27,30)*(IF(Inputs!$B$39="pvp",MIN(15,15)/15,IF(AND(Inputs!$B$39&lt;&gt;"pvp",Inputs!$B$44&gt;0),MIN(15,Inputs!$B$44)/(Inputs!$B$44),0))),0)))-100),0))*CHOOSE(ArtifactsInput!$N$42+1,0.6,0.72,0.84,0.96,1.08,1.2))),Inputs!$B$18+((C3785=TRUE)*(F3785-Calc!F29))+(IF(AND(Inputs!$B$39&lt;&gt;"pvp",Inputs!$B$44=0),1,IF(IF(Inputs!$B$39="pvp",15,Inputs!$B$44)-(B3801)&lt;=0,1,MAX(0,IF(Inputs!$B$39="pvp",15,Inputs!$B$44)-MAX(5,B3801))/(IF(Inputs!$B$39="pvp",15,Inputs!$B$44)-(B3801))))*IF(AND(ArtifactsInput!$M$42,((Inputs!$B$9+((C3782=TRUE)*(F3782-Calc!F26))+B3790+(ArtifactsInput!$M$24-ArtifactsInput!$M$24)*CHOOSE(ArtifactsInput!$N$24+1,10,12,14,16,18,20)+IF(ArtifactsInput!$M$10,CHOOSE(ArtifactsInput!$N$10+1,15,18,21,24,27,30)*(IF(Inputs!$B$39="pvp",MIN(15,15)/15,IF(AND(Inputs!$B$39&lt;&gt;"pvp",Inputs!$B$44&gt;0),MIN(15,Inputs!$B$44)/(Inputs!$B$44),0))),0)))&gt;=100),CHOOSE(ArtifactsInput!$N$42+1,40,48,56,64,72,80),0))))/100)*(((1+(((C3778=TRUE)*F3778*IF(AND(Inputs!$B$39&lt;&gt;"pvp",Inputs!$B$44&gt;0),(((R3778-1)*MIN((Skills!Y22*(1+Inputs!$B$34/100)),(1/Q3778))+MIN((Skills!Y22*(1+Inputs!$B$34/100)),MAX(0,Inputs!$B$44-((R3778-1)*(1/Q3778)))))/Inputs!$B$44),IF(Inputs!$B$39="pvp",MIN((Skills!Y22*(1+Inputs!$B$34/100)),15)/15,MIN(1,(Skills!Y22*(1+Inputs!$B$34/100))/(1/Q3778)))))+((C3759=TRUE)*F3759*3)+((C3761=TRUE)*F3761*(1-EXP(-0.75*B3794*5)))+((C3780=TRUE)*(F3780-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3767=TRUE)*F3767*IF(AND(Inputs!$B$39&lt;&gt;"pvp",Inputs!$B$44&gt;0),(((R3767-1)*MIN((Skills!Y11*(1+Inputs!$B$34/100)),(1/Q3767))+MIN((Skills!Y11*(1+Inputs!$B$34/100)),MAX(0,Inputs!$B$44-((R3767-1)*(1/Q3767)))))/Inputs!$B$44),IF(Inputs!$B$39="pvp",MIN((Skills!Y11*(1+Inputs!$B$34/100)),15)/15,MIN(1,(Skills!Y11*(1+Inputs!$B$34/100))/(1/Q3767)))))/100)*(1+((C3772=TRUE)*F3772*IF(AND(Inputs!$B$39&lt;&gt;"pvp",Inputs!$B$44&gt;0),(((R3772-1)*MIN((Skills!Y16*(1+Inputs!$B$34/100)),(1/Q3772))+MIN((Skills!Y16*(1+Inputs!$B$34/100)),MAX(0,Inputs!$B$44-((R3772-1)*(1/Q3772)))))/Inputs!$B$44),IF(Inputs!$B$39="pvp",MIN((Skills!Y16*(1+Inputs!$B$34/100)),15)/15,MIN(1,(Skills!Y16*(1+Inputs!$B$34/100))/(1/Q3772)))))/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3792*I3763)</f>
        <v/>
      </c>
      <c r="L3763">
        <f>K3763*(MIN(Inputs!$B$22+((C3781=TRUE)*(F3781-Calc!F25)),(Inputs!$B$23+((C3786=TRUE)*(F3786-Calc!F30))+IF(ArtifactsInput!$M$15,CHOOSE(ArtifactsInput!$N$15+1,25,30,35,40,45,50)/100*(Inputs!$B$11-Inputs!$B$11),0)))/100+(Inputs!$B$23+((C3786=TRUE)*(F3786-Calc!F30))+IF(ArtifactsInput!$M$15,CHOOSE(ArtifactsInput!$N$15+1,25,30,35,40,45,50)/100*(Inputs!$B$11-Inputs!$B$11),0))/100)/2</f>
        <v/>
      </c>
      <c r="M3763">
        <f>L3763*(1+(Inputs!$B$10+((C3783=TRUE)*(F3783-Calc!F27))+B3797+(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3763">
        <f>L3763*(1-MIN((Inputs!$B$9+((C3782=TRUE)*(F3782-Calc!F26))+B3790+(ArtifactsInput!$M$24-ArtifactsInput!$M$24)*CHOOSE(ArtifactsInput!$N$24+1,10,12,14,16,18,20)+(IF(AND(Inputs!$B$39&lt;&gt;"pvp",Inputs!$B$44=0),1,IF(IF(Inputs!$B$39="pvp",15,Inputs!$B$44)-(B3801)&lt;=0,1,MAX(0,IF(Inputs!$B$39="pvp",15,Inputs!$B$44)-MAX(5,B3801))/(IF(Inputs!$B$39="pvp",15,Inputs!$B$44)-(B3801))))*IF(AND(ArtifactsInput!$M$42,((Inputs!$B$9+((C3782=TRUE)*(F3782-Calc!F26))+B3790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3763*(MIN((Inputs!$B$9+((C3782=TRUE)*(F3782-Calc!F26))+B3790+(ArtifactsInput!$M$24-ArtifactsInput!$M$24)*CHOOSE(ArtifactsInput!$N$24+1,10,12,14,16,18,20)+(IF(AND(Inputs!$B$39&lt;&gt;"pvp",Inputs!$B$44=0),1,IF(IF(Inputs!$B$39="pvp",15,Inputs!$B$44)-(B3801)&lt;=0,1,MAX(0,IF(Inputs!$B$39="pvp",15,Inputs!$B$44)-MAX(5,B3801))/(IF(Inputs!$B$39="pvp",15,Inputs!$B$44)-(B3801))))*IF(AND(ArtifactsInput!$M$42,((Inputs!$B$9+((C3782=TRUE)*(F3782-Calc!F26))+B3790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3763">
        <f>(1-Summary!$B$11)*T3763+Summary!$B$11*V3763</f>
        <v/>
      </c>
      <c r="P3763">
        <f>IF(B3802=0,0,O3763/B3802)</f>
        <v/>
      </c>
      <c r="Q3763">
        <f>IFERROR(1/IF(Inputs!$B$39="pvp",15,MAX(0.1,Skills!D7-IF(TRUE=TRUE,5.0,0))),0)</f>
        <v/>
      </c>
      <c r="R3763">
        <f>IF(AND(Inputs!$B$39&lt;&gt;"pvp",Inputs!$B$44&gt;0),IF(MAX(0,Inputs!$B$44-B3801)&lt;=0,0,(INT(MAX(0,Inputs!$B$44-B3801)/IF(Inputs!$B$39="pvp",15,MAX(0.1,Skills!D7-IF(TRUE=TRUE,5.0,0))))+1)),0)</f>
        <v/>
      </c>
      <c r="S3763">
        <f>IFERROR(O3763/N3763,0)</f>
        <v/>
      </c>
      <c r="T3763">
        <f>IF(C3763,(H3763*N3763*IF(AND(Inputs!$B$39&lt;&gt;"pvp",Inputs!$B$44&gt;0),((Skills!G7*((R3763-1)*IF(Skills!H7&gt;0,Skills!I7/Skills!H7,1)+IF(Skills!H7&gt;0,MIN(Skills!I7,MAX(0,MAX(0,Inputs!$B$44-B3801)-((R3763-1)*IF(Inputs!$B$39="pvp",15,MAX(0.1,Skills!D7-IF(TRUE=TRUE,5.0,0))))))/Skills!H7,1)))/Inputs!$B$44),G3763*Q3763))*IF(Inputs!$B$39="pvp",1,1+(Inputs!$B$20+0+Skills!P7+B3791+(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Hunt"),CHOOSE(ArtifactsInput!$N$35+1,15,18,21,24,27,30)*(1-EXP(-(0.2*B3794)*5)),0)+IF(AND(ArtifactsInput!$M$22,Inputs!$B$4&lt;&gt;"Chapter Hunt"),CHOOSE(ArtifactsInput!$N$22+1,10,12,14,16,18,20)*((0*(((0.15*B3794*5))^0/1)+1*(((0.15*B3794*5))^1/1)+2*(((0.15*B3794*5))^2/2)+3*(((0.15*B3794*5))^3/6)+4*(((0.15*B3794*5))^4/24)+5*(((0.15*B3794*5))^5/120))/((((0.15*B3794*5))^0/1)+(((0.15*B3794*5))^1/1)+(((0.15*B3794*5))^2/2)+(((0.15*B3794*5))^3/6)+(((0.15*B3794*5))^4/24)+(((0.15*B3794*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3763*(1-MIN(100,(Inputs!$B$9+((C3782=TRUE)*(F3782-Calc!F26))+B3790+(ArtifactsInput!$M$24-ArtifactsInput!$M$24)*CHOOSE(ArtifactsInput!$N$24+1,10,12,14,16,18,20)+(IF(AND(Inputs!$B$39&lt;&gt;"pvp",Inputs!$B$44=0),1,IF(IF(Inputs!$B$39="pvp",15,Inputs!$B$44)-(B3801)&lt;=0,1,MAX(0,IF(Inputs!$B$39="pvp",15,Inputs!$B$44)-MAX(5,B3801))/(IF(Inputs!$B$39="pvp",15,Inputs!$B$44)-(B3801))))*IF(AND(ArtifactsInput!$M$42,((Inputs!$B$9+((C3782=TRUE)*(F3782-Calc!F26))+B3790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3763*(MIN(100,(Inputs!$B$9+((C3782=TRUE)*(F3782-Calc!F26))+B3790+(ArtifactsInput!$M$24-ArtifactsInput!$M$24)*CHOOSE(ArtifactsInput!$N$24+1,10,12,14,16,18,20)+(IF(AND(Inputs!$B$39&lt;&gt;"pvp",Inputs!$B$44=0),1,IF(IF(Inputs!$B$39="pvp",15,Inputs!$B$44)-(B3801)&lt;=0,1,MAX(0,IF(Inputs!$B$39="pvp",15,Inputs!$B$44)-MAX(5,B3801))/(IF(Inputs!$B$39="pvp",15,Inputs!$B$44)-(B3801))))*IF(AND(ArtifactsInput!$M$42,((Inputs!$B$9+((C3782=TRUE)*(F3782-Calc!F26))+B3790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3763*(1-MIN(100,(Inputs!$B$9+((C3782=TRUE)*(F3782-Calc!F26))+B3790+(ArtifactsInput!$M$24-ArtifactsInput!$M$24)*CHOOSE(ArtifactsInput!$N$24+1,10,12,14,16,18,20)+(IF(AND(Inputs!$B$39&lt;&gt;"pvp",Inputs!$B$44=0),1,IF(IF(Inputs!$B$39="pvp",15,Inputs!$B$44)-(B3801)&lt;=0,1,MAX(0,IF(Inputs!$B$39="pvp",15,Inputs!$B$44)-MAX(5,B3801))/(IF(Inputs!$B$39="pvp",15,Inputs!$B$44)-(B3801))))*IF(AND(ArtifactsInput!$M$42,((Inputs!$B$9+((C3782=TRUE)*(F3782-Calc!F26))+B3790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3763*(MIN(100,(Inputs!$B$9+((C3782=TRUE)*(F3782-Calc!F26))+B3790+(ArtifactsInput!$M$24-ArtifactsInput!$M$24)*CHOOSE(ArtifactsInput!$N$24+1,10,12,14,16,18,20)+(IF(AND(Inputs!$B$39&lt;&gt;"pvp",Inputs!$B$44=0),1,IF(IF(Inputs!$B$39="pvp",15,Inputs!$B$44)-(B3801)&lt;=0,1,MAX(0,IF(Inputs!$B$39="pvp",15,Inputs!$B$44)-MAX(5,B3801))/(IF(Inputs!$B$39="pvp",15,Inputs!$B$44)-(B3801))))*IF(AND(ArtifactsInput!$M$42,((Inputs!$B$9+((C3782=TRUE)*(F3782-Calc!F26))+B3790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3763">
        <f>IF(C3763,(H3763*N3763*IF(AND(Inputs!$B$39&lt;&gt;"pvp",Inputs!$B$44&gt;0),((Skills!G7*((R3763-1)*IF(Skills!H7&gt;0,Skills!I7/Skills!H7,1)+IF(Skills!H7&gt;0,MIN(Skills!I7,MAX(0,MAX(0,Inputs!$B$44-B3801)-((R3763-1)*IF(Inputs!$B$39="pvp",15,MAX(0.1,Skills!D7-IF(TRUE=TRUE,5.0,0))))))/Skills!H7,1)))/Inputs!$B$44),G3763*Q3763))*IF(Inputs!$B$39="pvp",1,(1+(Inputs!$B$21+Skills!Q7+B3791+(IF(ArtifactsInput!$M$33,CHOOSE(ArtifactsInput!$N$33+1,30,36,42,48,54,60),0))+(IF(AND(ArtifactsInput!$M$35,Inputs!$B$4&lt;&gt;"Chapter Hunt"),CHOOSE(ArtifactsInput!$N$35+1,15,18,21,24,27,30)*(1-EXP(-(0.2*B3794)*5)),0)+IF(AND(ArtifactsInput!$M$22,Inputs!$B$4&lt;&gt;"Chapter Hunt"),CHOOSE(ArtifactsInput!$N$22+1,10,12,14,16,18,20)*((0*(((0.15*B3794*5))^0/1)+1*(((0.15*B3794*5))^1/1)+2*(((0.15*B3794*5))^2/2)+3*(((0.15*B3794*5))^3/6)+4*(((0.15*B3794*5))^4/24)+5*(((0.15*B3794*5))^5/120))/((((0.15*B3794*5))^0/1)+(((0.15*B3794*5))^1/1)+(((0.15*B3794*5))^2/2)+(((0.15*B3794*5))^3/6)+(((0.15*B3794*5))^4/24)+(((0.15*B3794*5))^5/120))),0)))/100)*(MIN(Skills!W7,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3764">
      <c r="A3764">
        <f>Skills!A8</f>
        <v/>
      </c>
      <c r="B3764">
        <f>Skills!B8</f>
        <v/>
      </c>
      <c r="C3764">
        <f>Inputs!$B$3&gt;=60</f>
        <v/>
      </c>
      <c r="D3764">
        <f>IF(Skills!C8=1,60+Inputs!$B$25+Inputs!$B$29,IF(Skills!C8=2,90+Inputs!$B$26+Inputs!$B$29,IF(Skills!C8=3,120+Inputs!$B$27+Inputs!$B$29,MAX(0,(Inputs!$B$3-100)*3)+Inputs!$B$28+Inputs!$B$29)))</f>
        <v/>
      </c>
      <c r="E3764">
        <f>INDEX(FactorTable!$B$2:$Y$301, MATCH(ROUND(MIN(300,MAX(1,D3764)),0), FactorTable!$A$2:$A$301,0), Skills!M8+1)</f>
        <v/>
      </c>
      <c r="F3764">
        <f>IF(Skills!N8=TRUE,(Skills!L8/10)*(E3764/1000),Skills!L8/10)+Skills!O8</f>
        <v/>
      </c>
      <c r="G3764">
        <f>Skills!G8*IF(Skills!H8&gt;0,IF(Inputs!$B$39="pvp",MIN(Skills!I8,15),Skills!I8)/Skills!H8,1)</f>
        <v/>
      </c>
      <c r="H3764">
        <f>1-(1-Skills!J8/100)^Skills!K8</f>
        <v/>
      </c>
      <c r="I3764" t="inlineStr">
        <is>
          <t>1</t>
        </is>
      </c>
      <c r="J3764" t="inlineStr"/>
      <c r="K3764" t="inlineStr"/>
      <c r="L3764" t="inlineStr"/>
      <c r="M3764" t="inlineStr"/>
      <c r="N3764" t="inlineStr"/>
      <c r="O3764">
        <f>(1-Summary!$B$11)*T3764+Summary!$B$11*V3764</f>
        <v/>
      </c>
      <c r="P3764">
        <f>IF(B3802=0,0,O3764/B3802)</f>
        <v/>
      </c>
      <c r="Q3764" t="n">
        <v>0</v>
      </c>
      <c r="R3764" t="n">
        <v>0</v>
      </c>
      <c r="S3764">
        <f>IFERROR(O3764/N3764,0)</f>
        <v/>
      </c>
      <c r="T3764" t="n">
        <v>0</v>
      </c>
      <c r="V3764" t="n">
        <v>0</v>
      </c>
    </row>
    <row r="3765">
      <c r="A3765">
        <f>Skills!A9</f>
        <v/>
      </c>
      <c r="B3765">
        <f>Skills!B9</f>
        <v/>
      </c>
      <c r="C3765">
        <f>Inputs!$B$3&gt;=72</f>
        <v/>
      </c>
      <c r="D3765">
        <f>IF(Skills!C9=1,60+Inputs!$B$25+Inputs!$B$29,IF(Skills!C9=2,90+Inputs!$B$26+Inputs!$B$29,IF(Skills!C9=3,120+Inputs!$B$27+Inputs!$B$29,MAX(0,(Inputs!$B$3-100)*3)+Inputs!$B$28+Inputs!$B$29)))</f>
        <v/>
      </c>
      <c r="E3765">
        <f>INDEX(FactorTable!$B$2:$Y$301, MATCH(ROUND(MIN(300,MAX(1,D3765)),0), FactorTable!$A$2:$A$301,0), Skills!M9+1)</f>
        <v/>
      </c>
      <c r="F3765">
        <f>IF(Skills!N9=TRUE,(Skills!L9/10)*(E3765/1000),Skills!L9/10)+Skills!O9</f>
        <v/>
      </c>
      <c r="G3765">
        <f>Skills!G9*IF(Skills!H9&gt;0,IF(Inputs!$B$39="pvp",MIN(Skills!I9,15),Skills!I9)/Skills!H9,1)</f>
        <v/>
      </c>
      <c r="H3765">
        <f>1-(1-Skills!J9/100)^Skills!K9</f>
        <v/>
      </c>
      <c r="I3765" t="inlineStr">
        <is>
          <t>1</t>
        </is>
      </c>
      <c r="J3765">
        <f>((Inputs!$B$6*(1+Inputs!$B$7/100))+(((Inputs!$B$12*(1+Inputs!$B$13/100))-(Inputs!$B$12*(1+Inputs!$B$13/100)))+0.25*(Inputs!$B$14-Inputs!$B$14))*(1+Inputs!$B$7/100))*(F3765/100)</f>
        <v/>
      </c>
      <c r="K3765">
        <f>J3765*(1+((Inputs!$B$12*(1+Inputs!$B$13/100))*0.01+Inputs!$B$14*0.0025)/100)*(1+Inputs!$B$15/100)*(1+Inputs!$B$16/100)*(5000/(6000+Inputs!$B$43*(1-(100*(1-(1-Inputs!$B$19/100)*(1-CHOOSE(ArtifactsInput!$N$40+1,5,6,7,8,9,10)/100)^(ArtifactsInput!$M$40-ArtifactsInput!$M$40)))/100)))*(1+(Inputs!$B$24+((C3787=TRUE)*(F3787-Calc!F31))+((C3774=TRUE)*(F3774-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+3.3333333333333335*IF(C3775=TRUE,F3775,0)/100)*(1+(IF(Skills!A9="CRUEL_STAB",Inputs!$B$17+((C3784=TRUE)*(F3784-Calc!F28))+((IF(AND(Inputs!$B$39&lt;&gt;"pvp",Inputs!$B$44=0),1,IF(IF(Inputs!$B$39="pvp",15,Inputs!$B$44)-(B3801)&lt;=0,1,MAX(0,IF(Inputs!$B$39="pvp",15,Inputs!$B$44)-MAX(5,B3801))/(IF(Inputs!$B$39="pvp",15,Inputs!$B$44)-(B3801))))*(IF(AND(ArtifactsInput!$M$42,((Inputs!$B$9+((C3782=TRUE)*(F3782-Calc!F26))+B3790+(ArtifactsInput!$M$24-ArtifactsInput!$M$24)*CHOOSE(ArtifactsInput!$N$24+1,10,12,14,16,18,20)+IF(ArtifactsInput!$M$10,CHOOSE(ArtifactsInput!$N$10+1,15,18,21,24,27,30)*(IF(Inputs!$B$39="pvp",MIN(15,15)/15,IF(AND(Inputs!$B$39&lt;&gt;"pvp",Inputs!$B$44&gt;0),MIN(15,Inputs!$B$44)/(Inputs!$B$44),0))),0)))&gt;=100),MIN(100,((Inputs!$B$9+((C3782=TRUE)*(F3782-Calc!F26))+B3790+(ArtifactsInput!$M$24-ArtifactsInput!$M$24)*CHOOSE(ArtifactsInput!$N$24+1,10,12,14,16,18,20)+IF(ArtifactsInput!$M$10,CHOOSE(ArtifactsInput!$N$10+1,15,18,21,24,27,30)*(IF(Inputs!$B$39="pvp",MIN(15,15)/15,IF(AND(Inputs!$B$39&lt;&gt;"pvp",Inputs!$B$44&gt;0),MIN(15,Inputs!$B$44)/(Inputs!$B$44),0))),0)))-100),0))*CHOOSE(ArtifactsInput!$N$42+1,0.6,0.72,0.84,0.96,1.08,1.2))),Inputs!$B$18+((C3785=TRUE)*(F3785-Calc!F29))+(IF(AND(Inputs!$B$39&lt;&gt;"pvp",Inputs!$B$44=0),1,IF(IF(Inputs!$B$39="pvp",15,Inputs!$B$44)-(B3801)&lt;=0,1,MAX(0,IF(Inputs!$B$39="pvp",15,Inputs!$B$44)-MAX(5,B3801))/(IF(Inputs!$B$39="pvp",15,Inputs!$B$44)-(B3801))))*IF(AND(ArtifactsInput!$M$42,((Inputs!$B$9+((C3782=TRUE)*(F3782-Calc!F26))+B3790+(ArtifactsInput!$M$24-ArtifactsInput!$M$24)*CHOOSE(ArtifactsInput!$N$24+1,10,12,14,16,18,20)+IF(ArtifactsInput!$M$10,CHOOSE(ArtifactsInput!$N$10+1,15,18,21,24,27,30)*(IF(Inputs!$B$39="pvp",MIN(15,15)/15,IF(AND(Inputs!$B$39&lt;&gt;"pvp",Inputs!$B$44&gt;0),MIN(15,Inputs!$B$44)/(Inputs!$B$44),0))),0)))&gt;=100),CHOOSE(ArtifactsInput!$N$42+1,40,48,56,64,72,80),0))))/100)*(((1+(((C3778=TRUE)*F3778*IF(AND(Inputs!$B$39&lt;&gt;"pvp",Inputs!$B$44&gt;0),(((R3778-1)*MIN((Skills!Y22*(1+Inputs!$B$34/100)),(1/Q3778))+MIN((Skills!Y22*(1+Inputs!$B$34/100)),MAX(0,Inputs!$B$44-((R3778-1)*(1/Q3778)))))/Inputs!$B$44),IF(Inputs!$B$39="pvp",MIN((Skills!Y22*(1+Inputs!$B$34/100)),15)/15,MIN(1,(Skills!Y22*(1+Inputs!$B$34/100))/(1/Q3778)))))+((C3759=TRUE)*F3759*3)+((C3761=TRUE)*F3761*(1-EXP(-0.75*B3794*5)))+((C3780=TRUE)*(F3780-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3767=TRUE)*F3767*IF(AND(Inputs!$B$39&lt;&gt;"pvp",Inputs!$B$44&gt;0),(((R3767-1)*MIN((Skills!Y11*(1+Inputs!$B$34/100)),(1/Q3767))+MIN((Skills!Y11*(1+Inputs!$B$34/100)),MAX(0,Inputs!$B$44-((R3767-1)*(1/Q3767)))))/Inputs!$B$44),IF(Inputs!$B$39="pvp",MIN((Skills!Y11*(1+Inputs!$B$34/100)),15)/15,MIN(1,(Skills!Y11*(1+Inputs!$B$34/100))/(1/Q3767)))))/100)*(1+((C3772=TRUE)*F3772*IF(AND(Inputs!$B$39&lt;&gt;"pvp",Inputs!$B$44&gt;0),(((R3772-1)*MIN((Skills!Y16*(1+Inputs!$B$34/100)),(1/Q3772))+MIN((Skills!Y16*(1+Inputs!$B$34/100)),MAX(0,Inputs!$B$44-((R3772-1)*(1/Q3772)))))/Inputs!$B$44),IF(Inputs!$B$39="pvp",MIN((Skills!Y16*(1+Inputs!$B$34/100)),15)/15,MIN(1,(Skills!Y16*(1+Inputs!$B$34/100))/(1/Q3772)))))/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3792*I3765)</f>
        <v/>
      </c>
      <c r="L3765">
        <f>K3765*(MIN(Inputs!$B$22+((C3781=TRUE)*(F3781-Calc!F25)),(Inputs!$B$23+((C3786=TRUE)*(F3786-Calc!F30))+IF(ArtifactsInput!$M$15,CHOOSE(ArtifactsInput!$N$15+1,25,30,35,40,45,50)/100*(Inputs!$B$11-Inputs!$B$11),0)))/100+(Inputs!$B$23+((C3786=TRUE)*(F3786-Calc!F30))+IF(ArtifactsInput!$M$15,CHOOSE(ArtifactsInput!$N$15+1,25,30,35,40,45,50)/100*(Inputs!$B$11-Inputs!$B$11),0))/100)/2</f>
        <v/>
      </c>
      <c r="M3765">
        <f>L3765*(1+(Inputs!$B$10+((C3783=TRUE)*(F3783-Calc!F27))+B3797+(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3765">
        <f>L3765*(1-MIN((Inputs!$B$9+((C3782=TRUE)*(F3782-Calc!F26))+B3790+(ArtifactsInput!$M$24-ArtifactsInput!$M$24)*CHOOSE(ArtifactsInput!$N$24+1,10,12,14,16,18,20)+(IF(AND(Inputs!$B$39&lt;&gt;"pvp",Inputs!$B$44=0),1,IF(IF(Inputs!$B$39="pvp",15,Inputs!$B$44)-(B3801)&lt;=0,1,MAX(0,IF(Inputs!$B$39="pvp",15,Inputs!$B$44)-MAX(5,B3801))/(IF(Inputs!$B$39="pvp",15,Inputs!$B$44)-(B3801))))*IF(AND(ArtifactsInput!$M$42,((Inputs!$B$9+((C3782=TRUE)*(F3782-Calc!F26))+B3790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3765*(MIN((Inputs!$B$9+((C3782=TRUE)*(F3782-Calc!F26))+B3790+(ArtifactsInput!$M$24-ArtifactsInput!$M$24)*CHOOSE(ArtifactsInput!$N$24+1,10,12,14,16,18,20)+(IF(AND(Inputs!$B$39&lt;&gt;"pvp",Inputs!$B$44=0),1,IF(IF(Inputs!$B$39="pvp",15,Inputs!$B$44)-(B3801)&lt;=0,1,MAX(0,IF(Inputs!$B$39="pvp",15,Inputs!$B$44)-MAX(5,B3801))/(IF(Inputs!$B$39="pvp",15,Inputs!$B$44)-(B3801))))*IF(AND(ArtifactsInput!$M$42,((Inputs!$B$9+((C3782=TRUE)*(F3782-Calc!F26))+B3790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3765">
        <f>(1-Summary!$B$11)*T3765+Summary!$B$11*V3765</f>
        <v/>
      </c>
      <c r="P3765">
        <f>IF(B3802=0,0,O3765/B3802)</f>
        <v/>
      </c>
      <c r="Q3765">
        <f>IFERROR(1/IF(Inputs!$B$39="pvp",15,MAX(0.1,Skills!D9-IF(FALSE=TRUE,5.0,0))),0)</f>
        <v/>
      </c>
      <c r="R3765">
        <f>IF(AND(Inputs!$B$39&lt;&gt;"pvp",Inputs!$B$44&gt;0),IF(MAX(0,Inputs!$B$44-B3801)&lt;=0,0,(INT(MAX(0,Inputs!$B$44-B3801)/IF(Inputs!$B$39="pvp",15,MAX(0.1,Skills!D9-IF(FALSE=TRUE,5.0,0))))+1)),0)</f>
        <v/>
      </c>
      <c r="S3765">
        <f>IFERROR(O3765/N3765,0)</f>
        <v/>
      </c>
      <c r="T3765">
        <f>IF(C3765,(H3765*N3765*IF(AND(Inputs!$B$39&lt;&gt;"pvp",Inputs!$B$44&gt;0),((Skills!G9*((R3765-1)*IF(Skills!H9&gt;0,Skills!I9/Skills!H9,1)+IF(Skills!H9&gt;0,MIN(Skills!I9,MAX(0,MAX(0,Inputs!$B$44-B3801)-((R3765-1)*IF(Inputs!$B$39="pvp",15,MAX(0.1,Skills!D9-IF(FALSE=TRUE,5.0,0))))))/Skills!H9,1)))/Inputs!$B$44),G3765*Q3765))*IF(Inputs!$B$39="pvp",1,1+(Inputs!$B$20+0+Skills!P9+B3791+(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Hunt"),CHOOSE(ArtifactsInput!$N$35+1,15,18,21,24,27,30)*(1-EXP(-(0.2*B3794)*5)),0)+IF(AND(ArtifactsInput!$M$22,Inputs!$B$4&lt;&gt;"Chapter Hunt"),CHOOSE(ArtifactsInput!$N$22+1,10,12,14,16,18,20)*((0*(((0.15*B3794*5))^0/1)+1*(((0.15*B3794*5))^1/1)+2*(((0.15*B3794*5))^2/2)+3*(((0.15*B3794*5))^3/6)+4*(((0.15*B3794*5))^4/24)+5*(((0.15*B3794*5))^5/120))/((((0.15*B3794*5))^0/1)+(((0.15*B3794*5))^1/1)+(((0.15*B3794*5))^2/2)+(((0.15*B3794*5))^3/6)+(((0.15*B3794*5))^4/24)+(((0.15*B3794*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3765*(1-MIN(100,(Inputs!$B$9+((C3782=TRUE)*(F3782-Calc!F26))+B3790+(ArtifactsInput!$M$24-ArtifactsInput!$M$24)*CHOOSE(ArtifactsInput!$N$24+1,10,12,14,16,18,20)+(IF(AND(Inputs!$B$39&lt;&gt;"pvp",Inputs!$B$44=0),1,IF(IF(Inputs!$B$39="pvp",15,Inputs!$B$44)-(B3801)&lt;=0,1,MAX(0,IF(Inputs!$B$39="pvp",15,Inputs!$B$44)-MAX(5,B3801))/(IF(Inputs!$B$39="pvp",15,Inputs!$B$44)-(B3801))))*IF(AND(ArtifactsInput!$M$42,((Inputs!$B$9+((C3782=TRUE)*(F3782-Calc!F26))+B3790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3765*(MIN(100,(Inputs!$B$9+((C3782=TRUE)*(F3782-Calc!F26))+B3790+(ArtifactsInput!$M$24-ArtifactsInput!$M$24)*CHOOSE(ArtifactsInput!$N$24+1,10,12,14,16,18,20)+(IF(AND(Inputs!$B$39&lt;&gt;"pvp",Inputs!$B$44=0),1,IF(IF(Inputs!$B$39="pvp",15,Inputs!$B$44)-(B3801)&lt;=0,1,MAX(0,IF(Inputs!$B$39="pvp",15,Inputs!$B$44)-MAX(5,B3801))/(IF(Inputs!$B$39="pvp",15,Inputs!$B$44)-(B3801))))*IF(AND(ArtifactsInput!$M$42,((Inputs!$B$9+((C3782=TRUE)*(F3782-Calc!F26))+B3790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3765*(1-MIN(100,(Inputs!$B$9+((C3782=TRUE)*(F3782-Calc!F26))+B3790+(ArtifactsInput!$M$24-ArtifactsInput!$M$24)*CHOOSE(ArtifactsInput!$N$24+1,10,12,14,16,18,20)+(IF(AND(Inputs!$B$39&lt;&gt;"pvp",Inputs!$B$44=0),1,IF(IF(Inputs!$B$39="pvp",15,Inputs!$B$44)-(B3801)&lt;=0,1,MAX(0,IF(Inputs!$B$39="pvp",15,Inputs!$B$44)-MAX(5,B3801))/(IF(Inputs!$B$39="pvp",15,Inputs!$B$44)-(B3801))))*IF(AND(ArtifactsInput!$M$42,((Inputs!$B$9+((C3782=TRUE)*(F3782-Calc!F26))+B3790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3765*(MIN(100,(Inputs!$B$9+((C3782=TRUE)*(F3782-Calc!F26))+B3790+(ArtifactsInput!$M$24-ArtifactsInput!$M$24)*CHOOSE(ArtifactsInput!$N$24+1,10,12,14,16,18,20)+(IF(AND(Inputs!$B$39&lt;&gt;"pvp",Inputs!$B$44=0),1,IF(IF(Inputs!$B$39="pvp",15,Inputs!$B$44)-(B3801)&lt;=0,1,MAX(0,IF(Inputs!$B$39="pvp",15,Inputs!$B$44)-MAX(5,B3801))/(IF(Inputs!$B$39="pvp",15,Inputs!$B$44)-(B3801))))*IF(AND(ArtifactsInput!$M$42,((Inputs!$B$9+((C3782=TRUE)*(F3782-Calc!F26))+B3790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3765">
        <f>IF(C3765,(H3765*N3765*IF(AND(Inputs!$B$39&lt;&gt;"pvp",Inputs!$B$44&gt;0),((Skills!G9*((R3765-1)*IF(Skills!H9&gt;0,Skills!I9/Skills!H9,1)+IF(Skills!H9&gt;0,MIN(Skills!I9,MAX(0,MAX(0,Inputs!$B$44-B3801)-((R3765-1)*IF(Inputs!$B$39="pvp",15,MAX(0.1,Skills!D9-IF(FALSE=TRUE,5.0,0))))))/Skills!H9,1)))/Inputs!$B$44),G3765*Q3765))*IF(Inputs!$B$39="pvp",1,(1+(Inputs!$B$21+Skills!Q9+B3791+(IF(ArtifactsInput!$M$33,CHOOSE(ArtifactsInput!$N$33+1,30,36,42,48,54,60),0))+(IF(AND(ArtifactsInput!$M$35,Inputs!$B$4&lt;&gt;"Chapter Hunt"),CHOOSE(ArtifactsInput!$N$35+1,15,18,21,24,27,30)*(1-EXP(-(0.2*B3794)*5)),0)+IF(AND(ArtifactsInput!$M$22,Inputs!$B$4&lt;&gt;"Chapter Hunt"),CHOOSE(ArtifactsInput!$N$22+1,10,12,14,16,18,20)*((0*(((0.15*B3794*5))^0/1)+1*(((0.15*B3794*5))^1/1)+2*(((0.15*B3794*5))^2/2)+3*(((0.15*B3794*5))^3/6)+4*(((0.15*B3794*5))^4/24)+5*(((0.15*B3794*5))^5/120))/((((0.15*B3794*5))^0/1)+(((0.15*B3794*5))^1/1)+(((0.15*B3794*5))^2/2)+(((0.15*B3794*5))^3/6)+(((0.15*B3794*5))^4/24)+(((0.15*B3794*5))^5/120))),0)))/100)*(MIN(Skills!W9,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3766">
      <c r="A3766">
        <f>Skills!A10</f>
        <v/>
      </c>
      <c r="B3766">
        <f>Skills!B10</f>
        <v/>
      </c>
      <c r="C3766">
        <f>Inputs!$B$3&gt;=117</f>
        <v/>
      </c>
      <c r="D3766">
        <f>IF(Skills!C10=1,60+Inputs!$B$25+Inputs!$B$29,IF(Skills!C10=2,90+Inputs!$B$26+Inputs!$B$29,IF(Skills!C10=3,120+Inputs!$B$27+Inputs!$B$29,MAX(0,(Inputs!$B$3-100)*3)+Inputs!$B$28+Inputs!$B$29)))</f>
        <v/>
      </c>
      <c r="E3766">
        <f>INDEX(FactorTable!$B$2:$Y$301, MATCH(ROUND(MIN(300,MAX(1,D3766)),0), FactorTable!$A$2:$A$301,0), Skills!M10+1)</f>
        <v/>
      </c>
      <c r="F3766">
        <f>IF(Skills!N10=TRUE,(Skills!L10/10)*(E3766/1000),Skills!L10/10)+Skills!O10</f>
        <v/>
      </c>
      <c r="G3766">
        <f>Skills!G10*IF(Skills!H10&gt;0,IF(Inputs!$B$39="pvp",MIN(Skills!I10,15),Skills!I10)/Skills!H10,1)</f>
        <v/>
      </c>
      <c r="H3766">
        <f>1-(1-Skills!J10/100)^Skills!K10</f>
        <v/>
      </c>
      <c r="I3766" t="inlineStr">
        <is>
          <t>1</t>
        </is>
      </c>
      <c r="J3766">
        <f>((Inputs!$B$6*(1+Inputs!$B$7/100))+(((Inputs!$B$12*(1+Inputs!$B$13/100))-(Inputs!$B$12*(1+Inputs!$B$13/100)))+0.25*(Inputs!$B$14-Inputs!$B$14))*(1+Inputs!$B$7/100))*(F3766/100)</f>
        <v/>
      </c>
      <c r="K3766">
        <f>J3766*(1+((Inputs!$B$12*(1+Inputs!$B$13/100))*0.01+Inputs!$B$14*0.0025)/100)*(1+Inputs!$B$15/100)*(1+Inputs!$B$16/100)*(5000/(6000+Inputs!$B$43*(1-(100*(1-(1-Inputs!$B$19/100)*(1-CHOOSE(ArtifactsInput!$N$40+1,5,6,7,8,9,10)/100)^(ArtifactsInput!$M$40-ArtifactsInput!$M$40)))/100)))*(1+(Inputs!$B$24+((C3787=TRUE)*(F3787-Calc!F31))+((C3774=TRUE)*(F3774-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10="CRUEL_STAB",Inputs!$B$17+((C3784=TRUE)*(F3784-Calc!F28))+((IF(AND(Inputs!$B$39&lt;&gt;"pvp",Inputs!$B$44=0),1,IF(IF(Inputs!$B$39="pvp",15,Inputs!$B$44)-(B3801)&lt;=0,1,MAX(0,IF(Inputs!$B$39="pvp",15,Inputs!$B$44)-MAX(5,B3801))/(IF(Inputs!$B$39="pvp",15,Inputs!$B$44)-(B3801))))*(IF(AND(ArtifactsInput!$M$42,((Inputs!$B$9+((C3782=TRUE)*(F3782-Calc!F26))+B3790+(ArtifactsInput!$M$24-ArtifactsInput!$M$24)*CHOOSE(ArtifactsInput!$N$24+1,10,12,14,16,18,20)+IF(ArtifactsInput!$M$10,CHOOSE(ArtifactsInput!$N$10+1,15,18,21,24,27,30)*(IF(Inputs!$B$39="pvp",MIN(15,15)/15,IF(AND(Inputs!$B$39&lt;&gt;"pvp",Inputs!$B$44&gt;0),MIN(15,Inputs!$B$44)/(Inputs!$B$44),0))),0)))&gt;=100),MIN(100,((Inputs!$B$9+((C3782=TRUE)*(F3782-Calc!F26))+B3790+(ArtifactsInput!$M$24-ArtifactsInput!$M$24)*CHOOSE(ArtifactsInput!$N$24+1,10,12,14,16,18,20)+IF(ArtifactsInput!$M$10,CHOOSE(ArtifactsInput!$N$10+1,15,18,21,24,27,30)*(IF(Inputs!$B$39="pvp",MIN(15,15)/15,IF(AND(Inputs!$B$39&lt;&gt;"pvp",Inputs!$B$44&gt;0),MIN(15,Inputs!$B$44)/(Inputs!$B$44),0))),0)))-100),0))*CHOOSE(ArtifactsInput!$N$42+1,0.6,0.72,0.84,0.96,1.08,1.2))),Inputs!$B$18+((C3785=TRUE)*(F3785-Calc!F29))+(IF(AND(Inputs!$B$39&lt;&gt;"pvp",Inputs!$B$44=0),1,IF(IF(Inputs!$B$39="pvp",15,Inputs!$B$44)-(B3801)&lt;=0,1,MAX(0,IF(Inputs!$B$39="pvp",15,Inputs!$B$44)-MAX(5,B3801))/(IF(Inputs!$B$39="pvp",15,Inputs!$B$44)-(B3801))))*IF(AND(ArtifactsInput!$M$42,((Inputs!$B$9+((C3782=TRUE)*(F3782-Calc!F26))+B3790+(ArtifactsInput!$M$24-ArtifactsInput!$M$24)*CHOOSE(ArtifactsInput!$N$24+1,10,12,14,16,18,20)+IF(ArtifactsInput!$M$10,CHOOSE(ArtifactsInput!$N$10+1,15,18,21,24,27,30)*(IF(Inputs!$B$39="pvp",MIN(15,15)/15,IF(AND(Inputs!$B$39&lt;&gt;"pvp",Inputs!$B$44&gt;0),MIN(15,Inputs!$B$44)/(Inputs!$B$44),0))),0)))&gt;=100),CHOOSE(ArtifactsInput!$N$42+1,40,48,56,64,72,80),0))))/100)*(((1+(((C3778=TRUE)*F3778*IF(AND(Inputs!$B$39&lt;&gt;"pvp",Inputs!$B$44&gt;0),(((R3778-1)*MIN((Skills!Y22*(1+Inputs!$B$34/100)),(1/Q3778))+MIN((Skills!Y22*(1+Inputs!$B$34/100)),MAX(0,Inputs!$B$44-((R3778-1)*(1/Q3778)))))/Inputs!$B$44),IF(Inputs!$B$39="pvp",MIN((Skills!Y22*(1+Inputs!$B$34/100)),15)/15,MIN(1,(Skills!Y22*(1+Inputs!$B$34/100))/(1/Q3778)))))+((C3759=TRUE)*F3759*3)+((C3761=TRUE)*F3761*(1-EXP(-0.75*B3794*5)))+((C3780=TRUE)*(F3780-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3767=TRUE)*F3767*IF(AND(Inputs!$B$39&lt;&gt;"pvp",Inputs!$B$44&gt;0),(((R3767-1)*MIN((Skills!Y11*(1+Inputs!$B$34/100)),(1/Q3767))+MIN((Skills!Y11*(1+Inputs!$B$34/100)),MAX(0,Inputs!$B$44-((R3767-1)*(1/Q3767)))))/Inputs!$B$44),IF(Inputs!$B$39="pvp",MIN((Skills!Y11*(1+Inputs!$B$34/100)),15)/15,MIN(1,(Skills!Y11*(1+Inputs!$B$34/100))/(1/Q3767)))))/100)*(1+((C3772=TRUE)*F3772*IF(AND(Inputs!$B$39&lt;&gt;"pvp",Inputs!$B$44&gt;0),(((R3772-1)*MIN((Skills!Y16*(1+Inputs!$B$34/100)),(1/Q3772))+MIN((Skills!Y16*(1+Inputs!$B$34/100)),MAX(0,Inputs!$B$44-((R3772-1)*(1/Q3772)))))/Inputs!$B$44),IF(Inputs!$B$39="pvp",MIN((Skills!Y16*(1+Inputs!$B$34/100)),15)/15,MIN(1,(Skills!Y16*(1+Inputs!$B$34/100))/(1/Q3772)))))/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3792*I3766)</f>
        <v/>
      </c>
      <c r="L3766">
        <f>K3766*(MIN(Inputs!$B$22+((C3781=TRUE)*(F3781-Calc!F25)),(Inputs!$B$23+((C3786=TRUE)*(F3786-Calc!F30))+IF(ArtifactsInput!$M$15,CHOOSE(ArtifactsInput!$N$15+1,25,30,35,40,45,50)/100*(Inputs!$B$11-Inputs!$B$11),0)))/100+(Inputs!$B$23+((C3786=TRUE)*(F3786-Calc!F30))+IF(ArtifactsInput!$M$15,CHOOSE(ArtifactsInput!$N$15+1,25,30,35,40,45,50)/100*(Inputs!$B$11-Inputs!$B$11),0))/100)/2</f>
        <v/>
      </c>
      <c r="M3766">
        <f>L3766*(1+(Inputs!$B$10+((C3783=TRUE)*(F3783-Calc!F27))+B3797+(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3766">
        <f>L3766*(1-MIN((Inputs!$B$9+((C3782=TRUE)*(F3782-Calc!F26))+B3790+(ArtifactsInput!$M$24-ArtifactsInput!$M$24)*CHOOSE(ArtifactsInput!$N$24+1,10,12,14,16,18,20)+(IF(AND(Inputs!$B$39&lt;&gt;"pvp",Inputs!$B$44=0),1,IF(IF(Inputs!$B$39="pvp",15,Inputs!$B$44)-(B3801)&lt;=0,1,MAX(0,IF(Inputs!$B$39="pvp",15,Inputs!$B$44)-MAX(5,B3801))/(IF(Inputs!$B$39="pvp",15,Inputs!$B$44)-(B3801))))*IF(AND(ArtifactsInput!$M$42,((Inputs!$B$9+((C3782=TRUE)*(F3782-Calc!F26))+B3790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3766*(MIN((Inputs!$B$9+((C3782=TRUE)*(F3782-Calc!F26))+B3790+(ArtifactsInput!$M$24-ArtifactsInput!$M$24)*CHOOSE(ArtifactsInput!$N$24+1,10,12,14,16,18,20)+(IF(AND(Inputs!$B$39&lt;&gt;"pvp",Inputs!$B$44=0),1,IF(IF(Inputs!$B$39="pvp",15,Inputs!$B$44)-(B3801)&lt;=0,1,MAX(0,IF(Inputs!$B$39="pvp",15,Inputs!$B$44)-MAX(5,B3801))/(IF(Inputs!$B$39="pvp",15,Inputs!$B$44)-(B3801))))*IF(AND(ArtifactsInput!$M$42,((Inputs!$B$9+((C3782=TRUE)*(F3782-Calc!F26))+B3790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3766">
        <f>(1-Summary!$B$11)*T3766+Summary!$B$11*V3766</f>
        <v/>
      </c>
      <c r="P3766">
        <f>IF(B3802=0,0,O3766/B3802)</f>
        <v/>
      </c>
      <c r="Q3766" t="n">
        <v>0</v>
      </c>
      <c r="R3766" t="n">
        <v>0</v>
      </c>
      <c r="S3766" t="n">
        <v>0</v>
      </c>
      <c r="T3766">
        <f>IF(C3766,(0.2*SUMPRODUCT((Skills!Z2:Z31=TRUE)*(C3758:C3787=TRUE)*S3758:S3787)*N3766)*IF(Inputs!$B$39="pvp",1,1+(Inputs!$B$20+0+Skills!P10+B3791+(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Hunt"),CHOOSE(ArtifactsInput!$N$35+1,15,18,21,24,27,30)*(1-EXP(-(0.2*B3794)*5)),0)+IF(AND(ArtifactsInput!$M$22,Inputs!$B$4&lt;&gt;"Chapter Hunt"),CHOOSE(ArtifactsInput!$N$22+1,10,12,14,16,18,20)*((0*(((0.15*B3794*5))^0/1)+1*(((0.15*B3794*5))^1/1)+2*(((0.15*B3794*5))^2/2)+3*(((0.15*B3794*5))^3/6)+4*(((0.15*B3794*5))^4/24)+5*(((0.15*B3794*5))^5/120))/((((0.15*B3794*5))^0/1)+(((0.15*B3794*5))^1/1)+(((0.15*B3794*5))^2/2)+(((0.15*B3794*5))^3/6)+(((0.15*B3794*5))^4/24)+(((0.15*B3794*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3766*(1-MIN(100,(Inputs!$B$9+((C3782=TRUE)*(F3782-Calc!F26))+B3790+(ArtifactsInput!$M$24-ArtifactsInput!$M$24)*CHOOSE(ArtifactsInput!$N$24+1,10,12,14,16,18,20)+(IF(AND(Inputs!$B$39&lt;&gt;"pvp",Inputs!$B$44=0),1,IF(IF(Inputs!$B$39="pvp",15,Inputs!$B$44)-(B3801)&lt;=0,1,MAX(0,IF(Inputs!$B$39="pvp",15,Inputs!$B$44)-MAX(5,B3801))/(IF(Inputs!$B$39="pvp",15,Inputs!$B$44)-(B3801))))*IF(AND(ArtifactsInput!$M$42,((Inputs!$B$9+((C3782=TRUE)*(F3782-Calc!F26))+B3790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3766*(MIN(100,(Inputs!$B$9+((C3782=TRUE)*(F3782-Calc!F26))+B3790+(ArtifactsInput!$M$24-ArtifactsInput!$M$24)*CHOOSE(ArtifactsInput!$N$24+1,10,12,14,16,18,20)+(IF(AND(Inputs!$B$39&lt;&gt;"pvp",Inputs!$B$44=0),1,IF(IF(Inputs!$B$39="pvp",15,Inputs!$B$44)-(B3801)&lt;=0,1,MAX(0,IF(Inputs!$B$39="pvp",15,Inputs!$B$44)-MAX(5,B3801))/(IF(Inputs!$B$39="pvp",15,Inputs!$B$44)-(B3801))))*IF(AND(ArtifactsInput!$M$42,((Inputs!$B$9+((C3782=TRUE)*(F3782-Calc!F26))+B3790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3766*(1-MIN(100,(Inputs!$B$9+((C3782=TRUE)*(F3782-Calc!F26))+B3790+(ArtifactsInput!$M$24-ArtifactsInput!$M$24)*CHOOSE(ArtifactsInput!$N$24+1,10,12,14,16,18,20)+(IF(AND(Inputs!$B$39&lt;&gt;"pvp",Inputs!$B$44=0),1,IF(IF(Inputs!$B$39="pvp",15,Inputs!$B$44)-(B3801)&lt;=0,1,MAX(0,IF(Inputs!$B$39="pvp",15,Inputs!$B$44)-MAX(5,B3801))/(IF(Inputs!$B$39="pvp",15,Inputs!$B$44)-(B3801))))*IF(AND(ArtifactsInput!$M$42,((Inputs!$B$9+((C3782=TRUE)*(F3782-Calc!F26))+B3790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3766*(MIN(100,(Inputs!$B$9+((C3782=TRUE)*(F3782-Calc!F26))+B3790+(ArtifactsInput!$M$24-ArtifactsInput!$M$24)*CHOOSE(ArtifactsInput!$N$24+1,10,12,14,16,18,20)+(IF(AND(Inputs!$B$39&lt;&gt;"pvp",Inputs!$B$44=0),1,IF(IF(Inputs!$B$39="pvp",15,Inputs!$B$44)-(B3801)&lt;=0,1,MAX(0,IF(Inputs!$B$39="pvp",15,Inputs!$B$44)-MAX(5,B3801))/(IF(Inputs!$B$39="pvp",15,Inputs!$B$44)-(B3801))))*IF(AND(ArtifactsInput!$M$42,((Inputs!$B$9+((C3782=TRUE)*(F3782-Calc!F26))+B3790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3766">
        <f>IF(C3766,(0.2*SUMPRODUCT((Skills!Z2:Z31=TRUE)*(C3758:C3787=TRUE)*S3758:S3787)*N3766)*IF(Inputs!$B$39="pvp",1,(1+(Inputs!$B$21+Skills!Q10+B3791+(IF(ArtifactsInput!$M$33,CHOOSE(ArtifactsInput!$N$33+1,30,36,42,48,54,60),0))+(IF(AND(ArtifactsInput!$M$35,Inputs!$B$4&lt;&gt;"Chapter Hunt"),CHOOSE(ArtifactsInput!$N$35+1,15,18,21,24,27,30)*(1-EXP(-(0.2*B3794)*5)),0)+IF(AND(ArtifactsInput!$M$22,Inputs!$B$4&lt;&gt;"Chapter Hunt"),CHOOSE(ArtifactsInput!$N$22+1,10,12,14,16,18,20)*((0*(((0.15*B3794*5))^0/1)+1*(((0.15*B3794*5))^1/1)+2*(((0.15*B3794*5))^2/2)+3*(((0.15*B3794*5))^3/6)+4*(((0.15*B3794*5))^4/24)+5*(((0.15*B3794*5))^5/120))/((((0.15*B3794*5))^0/1)+(((0.15*B3794*5))^1/1)+(((0.15*B3794*5))^2/2)+(((0.15*B3794*5))^3/6)+(((0.15*B3794*5))^4/24)+(((0.15*B3794*5))^5/120))),0)))/100)*(MIN(Skills!W10,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3767">
      <c r="A3767">
        <f>Skills!A11</f>
        <v/>
      </c>
      <c r="B3767">
        <f>Skills!B11</f>
        <v/>
      </c>
      <c r="C3767">
        <f>Inputs!$B$3&gt;=74</f>
        <v/>
      </c>
      <c r="D3767">
        <f>IF(Skills!C11=1,60+Inputs!$B$25+Inputs!$B$29,IF(Skills!C11=2,90+Inputs!$B$26+Inputs!$B$29,IF(Skills!C11=3,120+Inputs!$B$27+Inputs!$B$29,MAX(0,(Inputs!$B$3-100)*3)+Inputs!$B$28+Inputs!$B$29)))</f>
        <v/>
      </c>
      <c r="E3767">
        <f>INDEX(FactorTable!$B$2:$Y$301, MATCH(ROUND(MIN(300,MAX(1,D3767)),0), FactorTable!$A$2:$A$301,0), Skills!M11+1)</f>
        <v/>
      </c>
      <c r="F3767">
        <f>IF(Skills!N11=TRUE,(Skills!L11/10)*(E3767/1000),Skills!L11/10)+Skills!O11</f>
        <v/>
      </c>
      <c r="G3767">
        <f>Skills!G11*IF(Skills!H11&gt;0,IF(Inputs!$B$39="pvp",MIN(Skills!I11,15),Skills!I11)/Skills!H11,1)</f>
        <v/>
      </c>
      <c r="H3767">
        <f>1-(1-Skills!J11/100)^Skills!K11</f>
        <v/>
      </c>
      <c r="I3767" t="inlineStr">
        <is>
          <t>1</t>
        </is>
      </c>
      <c r="J3767" t="inlineStr"/>
      <c r="K3767" t="inlineStr"/>
      <c r="L3767" t="inlineStr"/>
      <c r="M3767" t="inlineStr"/>
      <c r="N3767" t="inlineStr"/>
      <c r="O3767">
        <f>(1-Summary!$B$11)*T3767+Summary!$B$11*V3767</f>
        <v/>
      </c>
      <c r="P3767">
        <f>IF(B3802=0,0,O3767/B3802)</f>
        <v/>
      </c>
      <c r="Q3767">
        <f>IFERROR(1/IF(Inputs!$B$39="pvp",15,MAX(0.1,Skills!D11-IF(TRUE=TRUE,5.0,0))),0)</f>
        <v/>
      </c>
      <c r="R3767">
        <f>IF(AND(Inputs!$B$39&lt;&gt;"pvp",Inputs!$B$44&gt;0),IF(Inputs!$B$44&lt;=0,0,(INT(Inputs!$B$44/IF(Inputs!$B$39="pvp",15,MAX(0.1,Skills!D11-IF(TRUE=TRUE,5.0,0))))+1)),0)</f>
        <v/>
      </c>
      <c r="S3767">
        <f>IFERROR(O3767/N3767,0)</f>
        <v/>
      </c>
      <c r="T3767" t="n">
        <v>0</v>
      </c>
      <c r="V3767" t="n">
        <v>0</v>
      </c>
    </row>
    <row r="3768">
      <c r="A3768">
        <f>Skills!A12</f>
        <v/>
      </c>
      <c r="B3768">
        <f>Skills!B12</f>
        <v/>
      </c>
      <c r="C3768">
        <f>Inputs!$B$3&gt;=103</f>
        <v/>
      </c>
      <c r="D3768">
        <f>IF(Skills!C12=1,60+Inputs!$B$25+Inputs!$B$29,IF(Skills!C12=2,90+Inputs!$B$26+Inputs!$B$29,IF(Skills!C12=3,120+Inputs!$B$27+Inputs!$B$29,MAX(0,(Inputs!$B$3-100)*3)+Inputs!$B$28+Inputs!$B$29)))</f>
        <v/>
      </c>
      <c r="E3768">
        <f>INDEX(FactorTable!$B$2:$Y$301, MATCH(ROUND(MIN(300,MAX(1,D3768)),0), FactorTable!$A$2:$A$301,0), Skills!M12+1)</f>
        <v/>
      </c>
      <c r="F3768">
        <f>(Skills!L12/10)*(E3768/1000)+IF(Inputs!$B$3&gt;=134,50,0)+0.5*(30000/10)*(INDEX(FactorTable!$B$2:$Y$301, MATCH(ROUND(MIN(300,MAX(1,D3768)),0), FactorTable!$A$2:$A$301,0), 13)/1000)*B3800</f>
        <v/>
      </c>
      <c r="G3768">
        <f>Skills!G12*IF(Skills!H12&gt;0,IF(Inputs!$B$39="pvp",MIN(Skills!I12,15),Skills!I12)/Skills!H12,1)</f>
        <v/>
      </c>
      <c r="H3768">
        <f>1-(1-Skills!J12/100)^Skills!K12</f>
        <v/>
      </c>
      <c r="I3768" t="inlineStr">
        <is>
          <t>1</t>
        </is>
      </c>
      <c r="J3768">
        <f>((Inputs!$B$6*(1+Inputs!$B$7/100))+(((Inputs!$B$12*(1+Inputs!$B$13/100))-(Inputs!$B$12*(1+Inputs!$B$13/100)))+0.25*(Inputs!$B$14-Inputs!$B$14))*(1+Inputs!$B$7/100))*(F3768/100)</f>
        <v/>
      </c>
      <c r="K3768">
        <f>J3768*(1+((Inputs!$B$12*(1+Inputs!$B$13/100))*0.01+Inputs!$B$14*0.0025)/100)*(1+Inputs!$B$15/100)*(1+Inputs!$B$16/100)*(5000/(6000+Inputs!$B$43*(1-(100*(1-(1-Inputs!$B$19/100)*(1-CHOOSE(ArtifactsInput!$N$40+1,5,6,7,8,9,10)/100)^(ArtifactsInput!$M$40-ArtifactsInput!$M$40)))/100)))*(1+(Inputs!$B$24+((C3787=TRUE)*(F3787-Calc!F31))+((C3774=TRUE)*(F3774-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12="CRUEL_STAB",Inputs!$B$17+((C3784=TRUE)*(F3784-Calc!F28))+((IF(AND(Inputs!$B$39&lt;&gt;"pvp",Inputs!$B$44=0),1,IF(IF(Inputs!$B$39="pvp",15,Inputs!$B$44)-(B3801)&lt;=0,1,MAX(0,IF(Inputs!$B$39="pvp",15,Inputs!$B$44)-MAX(5,B3801))/(IF(Inputs!$B$39="pvp",15,Inputs!$B$44)-(B3801))))*(IF(AND(ArtifactsInput!$M$42,((Inputs!$B$9+((C3782=TRUE)*(F3782-Calc!F26))+B3790+(ArtifactsInput!$M$24-ArtifactsInput!$M$24)*CHOOSE(ArtifactsInput!$N$24+1,10,12,14,16,18,20)+IF(ArtifactsInput!$M$10,CHOOSE(ArtifactsInput!$N$10+1,15,18,21,24,27,30)*(IF(Inputs!$B$39="pvp",MIN(15,15)/15,IF(AND(Inputs!$B$39&lt;&gt;"pvp",Inputs!$B$44&gt;0),MIN(15,Inputs!$B$44)/(Inputs!$B$44),0))),0)))&gt;=100),MIN(100,((Inputs!$B$9+((C3782=TRUE)*(F3782-Calc!F26))+B3790+(ArtifactsInput!$M$24-ArtifactsInput!$M$24)*CHOOSE(ArtifactsInput!$N$24+1,10,12,14,16,18,20)+IF(ArtifactsInput!$M$10,CHOOSE(ArtifactsInput!$N$10+1,15,18,21,24,27,30)*(IF(Inputs!$B$39="pvp",MIN(15,15)/15,IF(AND(Inputs!$B$39&lt;&gt;"pvp",Inputs!$B$44&gt;0),MIN(15,Inputs!$B$44)/(Inputs!$B$44),0))),0)))-100),0))*CHOOSE(ArtifactsInput!$N$42+1,0.6,0.72,0.84,0.96,1.08,1.2))),Inputs!$B$18+((C3785=TRUE)*(F3785-Calc!F29))+(IF(AND(Inputs!$B$39&lt;&gt;"pvp",Inputs!$B$44=0),1,IF(IF(Inputs!$B$39="pvp",15,Inputs!$B$44)-(B3801)&lt;=0,1,MAX(0,IF(Inputs!$B$39="pvp",15,Inputs!$B$44)-MAX(5,B3801))/(IF(Inputs!$B$39="pvp",15,Inputs!$B$44)-(B3801))))*IF(AND(ArtifactsInput!$M$42,((Inputs!$B$9+((C3782=TRUE)*(F3782-Calc!F26))+B3790+(ArtifactsInput!$M$24-ArtifactsInput!$M$24)*CHOOSE(ArtifactsInput!$N$24+1,10,12,14,16,18,20)+IF(ArtifactsInput!$M$10,CHOOSE(ArtifactsInput!$N$10+1,15,18,21,24,27,30)*(IF(Inputs!$B$39="pvp",MIN(15,15)/15,IF(AND(Inputs!$B$39&lt;&gt;"pvp",Inputs!$B$44&gt;0),MIN(15,Inputs!$B$44)/(Inputs!$B$44),0))),0)))&gt;=100),CHOOSE(ArtifactsInput!$N$42+1,40,48,56,64,72,80),0))))/100)*(((1+(((C3778=TRUE)*F3778*IF(AND(Inputs!$B$39&lt;&gt;"pvp",Inputs!$B$44&gt;0),(((R3778-1)*MIN((Skills!Y22*(1+Inputs!$B$34/100)),(1/Q3778))+MIN((Skills!Y22*(1+Inputs!$B$34/100)),MAX(0,Inputs!$B$44-((R3778-1)*(1/Q3778)))))/Inputs!$B$44),IF(Inputs!$B$39="pvp",MIN((Skills!Y22*(1+Inputs!$B$34/100)),15)/15,MIN(1,(Skills!Y22*(1+Inputs!$B$34/100))/(1/Q3778)))))+((C3759=TRUE)*F3759*3)+((C3761=TRUE)*F3761*(1-EXP(-0.75*B3794*5)))+((C3780=TRUE)*(F3780-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3767=TRUE)*F3767*IF(AND(Inputs!$B$39&lt;&gt;"pvp",Inputs!$B$44&gt;0),(((R3767-1)*MIN((Skills!Y11*(1+Inputs!$B$34/100)),(1/Q3767))+MIN((Skills!Y11*(1+Inputs!$B$34/100)),MAX(0,Inputs!$B$44-((R3767-1)*(1/Q3767)))))/Inputs!$B$44),IF(Inputs!$B$39="pvp",MIN((Skills!Y11*(1+Inputs!$B$34/100)),15)/15,MIN(1,(Skills!Y11*(1+Inputs!$B$34/100))/(1/Q3767)))))/100)*(1+((C3772=TRUE)*F3772*IF(AND(Inputs!$B$39&lt;&gt;"pvp",Inputs!$B$44&gt;0),(((R3772-1)*MIN((Skills!Y16*(1+Inputs!$B$34/100)),(1/Q3772))+MIN((Skills!Y16*(1+Inputs!$B$34/100)),MAX(0,Inputs!$B$44-((R3772-1)*(1/Q3772)))))/Inputs!$B$44),IF(Inputs!$B$39="pvp",MIN((Skills!Y16*(1+Inputs!$B$34/100)),15)/15,MIN(1,(Skills!Y16*(1+Inputs!$B$34/100))/(1/Q3772)))))/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3792*I3768)</f>
        <v/>
      </c>
      <c r="L3768">
        <f>K3768*(MIN(Inputs!$B$22+((C3781=TRUE)*(F3781-Calc!F25)),(Inputs!$B$23+((C3786=TRUE)*(F3786-Calc!F30))+IF(ArtifactsInput!$M$15,CHOOSE(ArtifactsInput!$N$15+1,25,30,35,40,45,50)/100*(Inputs!$B$11-Inputs!$B$11),0)))/100+(Inputs!$B$23+((C3786=TRUE)*(F3786-Calc!F30))+IF(ArtifactsInput!$M$15,CHOOSE(ArtifactsInput!$N$15+1,25,30,35,40,45,50)/100*(Inputs!$B$11-Inputs!$B$11),0))/100)/2</f>
        <v/>
      </c>
      <c r="M3768">
        <f>L3768*(1+(Inputs!$B$10+((C3783=TRUE)*(F3783-Calc!F27))+B3797+(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3768">
        <f>L3768*(1-MIN((Inputs!$B$9+((C3782=TRUE)*(F3782-Calc!F26))+B3790+(ArtifactsInput!$M$24-ArtifactsInput!$M$24)*CHOOSE(ArtifactsInput!$N$24+1,10,12,14,16,18,20)+(IF(AND(Inputs!$B$39&lt;&gt;"pvp",Inputs!$B$44=0),1,IF(IF(Inputs!$B$39="pvp",15,Inputs!$B$44)-(B3801)&lt;=0,1,MAX(0,IF(Inputs!$B$39="pvp",15,Inputs!$B$44)-MAX(5,B3801))/(IF(Inputs!$B$39="pvp",15,Inputs!$B$44)-(B3801))))*IF(AND(ArtifactsInput!$M$42,((Inputs!$B$9+((C3782=TRUE)*(F3782-Calc!F26))+B3790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3768*(MIN((Inputs!$B$9+((C3782=TRUE)*(F3782-Calc!F26))+B3790+(ArtifactsInput!$M$24-ArtifactsInput!$M$24)*CHOOSE(ArtifactsInput!$N$24+1,10,12,14,16,18,20)+(IF(AND(Inputs!$B$39&lt;&gt;"pvp",Inputs!$B$44=0),1,IF(IF(Inputs!$B$39="pvp",15,Inputs!$B$44)-(B3801)&lt;=0,1,MAX(0,IF(Inputs!$B$39="pvp",15,Inputs!$B$44)-MAX(5,B3801))/(IF(Inputs!$B$39="pvp",15,Inputs!$B$44)-(B3801))))*IF(AND(ArtifactsInput!$M$42,((Inputs!$B$9+((C3782=TRUE)*(F3782-Calc!F26))+B3790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3768">
        <f>(1-Summary!$B$11)*T3768+Summary!$B$11*V3768</f>
        <v/>
      </c>
      <c r="P3768">
        <f>IF(B3802=0,0,O3768/B3802)</f>
        <v/>
      </c>
      <c r="Q3768">
        <f>IFERROR(1/IF(Inputs!$B$39="pvp",15,MAX(0.1,Skills!D12-IF(TRUE=TRUE,5.0,0))),0)</f>
        <v/>
      </c>
      <c r="R3768">
        <f>IF(AND(Inputs!$B$39&lt;&gt;"pvp",Inputs!$B$44&gt;0),IF(MAX(0,Inputs!$B$44-B3801)&lt;=0,0,(INT(MAX(0,Inputs!$B$44-B3801)/IF(Inputs!$B$39="pvp",15,MAX(0.1,Skills!D12-IF(TRUE=TRUE,5.0,0))))+1)),0)</f>
        <v/>
      </c>
      <c r="S3768">
        <f>IFERROR(O3768/N3768,0)</f>
        <v/>
      </c>
      <c r="T3768">
        <f>IF(C3768,(H3768*N3768*IF(AND(Inputs!$B$39&lt;&gt;"pvp",Inputs!$B$44&gt;0),((Skills!G12*((R3768-1)*IF(Skills!H12&gt;0,Skills!I12/Skills!H12,1)+IF(Skills!H12&gt;0,MIN(Skills!I12,MAX(0,MAX(0,Inputs!$B$44-B3801)-((R3768-1)*IF(Inputs!$B$39="pvp",15,MAX(0.1,Skills!D12-IF(TRUE=TRUE,5.0,0))))))/Skills!H12,1)))/Inputs!$B$44),G3768*Q3768))*IF(Inputs!$B$39="pvp",1,1+(Inputs!$B$20+0+Skills!P12+B3791+(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Hunt"),CHOOSE(ArtifactsInput!$N$35+1,15,18,21,24,27,30)*(1-EXP(-(0.2*B3794)*5)),0)+IF(AND(ArtifactsInput!$M$22,Inputs!$B$4&lt;&gt;"Chapter Hunt"),CHOOSE(ArtifactsInput!$N$22+1,10,12,14,16,18,20)*((0*(((0.15*B3794*5))^0/1)+1*(((0.15*B3794*5))^1/1)+2*(((0.15*B3794*5))^2/2)+3*(((0.15*B3794*5))^3/6)+4*(((0.15*B3794*5))^4/24)+5*(((0.15*B3794*5))^5/120))/((((0.15*B3794*5))^0/1)+(((0.15*B3794*5))^1/1)+(((0.15*B3794*5))^2/2)+(((0.15*B3794*5))^3/6)+(((0.15*B3794*5))^4/24)+(((0.15*B3794*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3768*(1-MIN(100,(Inputs!$B$9+((C3782=TRUE)*(F3782-Calc!F26))+B3790+(ArtifactsInput!$M$24-ArtifactsInput!$M$24)*CHOOSE(ArtifactsInput!$N$24+1,10,12,14,16,18,20)+(IF(AND(Inputs!$B$39&lt;&gt;"pvp",Inputs!$B$44=0),1,IF(IF(Inputs!$B$39="pvp",15,Inputs!$B$44)-(B3801)&lt;=0,1,MAX(0,IF(Inputs!$B$39="pvp",15,Inputs!$B$44)-MAX(5,B3801))/(IF(Inputs!$B$39="pvp",15,Inputs!$B$44)-(B3801))))*IF(AND(ArtifactsInput!$M$42,((Inputs!$B$9+((C3782=TRUE)*(F3782-Calc!F26))+B3790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3768*(MIN(100,(Inputs!$B$9+((C3782=TRUE)*(F3782-Calc!F26))+B3790+(ArtifactsInput!$M$24-ArtifactsInput!$M$24)*CHOOSE(ArtifactsInput!$N$24+1,10,12,14,16,18,20)+(IF(AND(Inputs!$B$39&lt;&gt;"pvp",Inputs!$B$44=0),1,IF(IF(Inputs!$B$39="pvp",15,Inputs!$B$44)-(B3801)&lt;=0,1,MAX(0,IF(Inputs!$B$39="pvp",15,Inputs!$B$44)-MAX(5,B3801))/(IF(Inputs!$B$39="pvp",15,Inputs!$B$44)-(B3801))))*IF(AND(ArtifactsInput!$M$42,((Inputs!$B$9+((C3782=TRUE)*(F3782-Calc!F26))+B3790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3768*(1-MIN(100,(Inputs!$B$9+((C3782=TRUE)*(F3782-Calc!F26))+B3790+(ArtifactsInput!$M$24-ArtifactsInput!$M$24)*CHOOSE(ArtifactsInput!$N$24+1,10,12,14,16,18,20)+(IF(AND(Inputs!$B$39&lt;&gt;"pvp",Inputs!$B$44=0),1,IF(IF(Inputs!$B$39="pvp",15,Inputs!$B$44)-(B3801)&lt;=0,1,MAX(0,IF(Inputs!$B$39="pvp",15,Inputs!$B$44)-MAX(5,B3801))/(IF(Inputs!$B$39="pvp",15,Inputs!$B$44)-(B3801))))*IF(AND(ArtifactsInput!$M$42,((Inputs!$B$9+((C3782=TRUE)*(F3782-Calc!F26))+B3790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3768*(MIN(100,(Inputs!$B$9+((C3782=TRUE)*(F3782-Calc!F26))+B3790+(ArtifactsInput!$M$24-ArtifactsInput!$M$24)*CHOOSE(ArtifactsInput!$N$24+1,10,12,14,16,18,20)+(IF(AND(Inputs!$B$39&lt;&gt;"pvp",Inputs!$B$44=0),1,IF(IF(Inputs!$B$39="pvp",15,Inputs!$B$44)-(B3801)&lt;=0,1,MAX(0,IF(Inputs!$B$39="pvp",15,Inputs!$B$44)-MAX(5,B3801))/(IF(Inputs!$B$39="pvp",15,Inputs!$B$44)-(B3801))))*IF(AND(ArtifactsInput!$M$42,((Inputs!$B$9+((C3782=TRUE)*(F3782-Calc!F26))+B3790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3768">
        <f>IF(C3768,(H3768*N3768*IF(AND(Inputs!$B$39&lt;&gt;"pvp",Inputs!$B$44&gt;0),((Skills!G12*((R3768-1)*IF(Skills!H12&gt;0,Skills!I12/Skills!H12,1)+IF(Skills!H12&gt;0,MIN(Skills!I12,MAX(0,MAX(0,Inputs!$B$44-B3801)-((R3768-1)*IF(Inputs!$B$39="pvp",15,MAX(0.1,Skills!D12-IF(TRUE=TRUE,5.0,0))))))/Skills!H12,1)))/Inputs!$B$44),G3768*Q3768))*IF(Inputs!$B$39="pvp",1,(1+(Inputs!$B$21+Skills!Q12+B3791+(IF(ArtifactsInput!$M$33,CHOOSE(ArtifactsInput!$N$33+1,30,36,42,48,54,60),0))+(IF(AND(ArtifactsInput!$M$35,Inputs!$B$4&lt;&gt;"Chapter Hunt"),CHOOSE(ArtifactsInput!$N$35+1,15,18,21,24,27,30)*(1-EXP(-(0.2*B3794)*5)),0)+IF(AND(ArtifactsInput!$M$22,Inputs!$B$4&lt;&gt;"Chapter Hunt"),CHOOSE(ArtifactsInput!$N$22+1,10,12,14,16,18,20)*((0*(((0.15*B3794*5))^0/1)+1*(((0.15*B3794*5))^1/1)+2*(((0.15*B3794*5))^2/2)+3*(((0.15*B3794*5))^3/6)+4*(((0.15*B3794*5))^4/24)+5*(((0.15*B3794*5))^5/120))/((((0.15*B3794*5))^0/1)+(((0.15*B3794*5))^1/1)+(((0.15*B3794*5))^2/2)+(((0.15*B3794*5))^3/6)+(((0.15*B3794*5))^4/24)+(((0.15*B3794*5))^5/120))),0)))/100)*(MIN(Skills!W12,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3769">
      <c r="A3769">
        <f>Skills!A13</f>
        <v/>
      </c>
      <c r="B3769">
        <f>Skills!B13</f>
        <v/>
      </c>
      <c r="C3769">
        <f>Inputs!$B$3&gt;=105</f>
        <v/>
      </c>
      <c r="D3769">
        <f>IF(Skills!C13=1,60+Inputs!$B$25+Inputs!$B$29,IF(Skills!C13=2,90+Inputs!$B$26+Inputs!$B$29,IF(Skills!C13=3,120+Inputs!$B$27+Inputs!$B$29,MAX(0,(Inputs!$B$3-100)*3)+Inputs!$B$28+Inputs!$B$29)))</f>
        <v/>
      </c>
      <c r="E3769">
        <f>INDEX(FactorTable!$B$2:$Y$301, MATCH(ROUND(MIN(300,MAX(1,D3769)),0), FactorTable!$A$2:$A$301,0), Skills!M13+1)</f>
        <v/>
      </c>
      <c r="F3769">
        <f>IF(Skills!N13=TRUE,(Skills!L13/10)*(E3769/1000),Skills!L13/10)+Skills!O13</f>
        <v/>
      </c>
      <c r="G3769">
        <f>Skills!G13*IF(Skills!H13&gt;0,IF(Inputs!$B$39="pvp",MIN(Skills!I13,15),Skills!I13)/Skills!H13,1)</f>
        <v/>
      </c>
      <c r="H3769">
        <f>1-(1-Skills!J13/100)^Skills!K13</f>
        <v/>
      </c>
      <c r="I3769" t="inlineStr">
        <is>
          <t>1</t>
        </is>
      </c>
      <c r="J3769">
        <f>((Inputs!$B$6*(1+Inputs!$B$7/100))+(((Inputs!$B$12*(1+Inputs!$B$13/100))-(Inputs!$B$12*(1+Inputs!$B$13/100)))+0.25*(Inputs!$B$14-Inputs!$B$14))*(1+Inputs!$B$7/100))*(F3769/100)</f>
        <v/>
      </c>
      <c r="K3769">
        <f>J3769*(1+((Inputs!$B$12*(1+Inputs!$B$13/100))*0.01+Inputs!$B$14*0.0025)/100)*(1+Inputs!$B$15/100)*(1+Inputs!$B$16/100)*(5000/(6000+Inputs!$B$43*(1-(100*(1-(1-Inputs!$B$19/100)*(1-CHOOSE(ArtifactsInput!$N$40+1,5,6,7,8,9,10)/100)^(ArtifactsInput!$M$40-ArtifactsInput!$M$40)))/100)))*(1+(Inputs!$B$24+((C3787=TRUE)*(F3787-Calc!F31))+((C3774=TRUE)*(F3774-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13="CRUEL_STAB",Inputs!$B$17+((C3784=TRUE)*(F3784-Calc!F28))+((IF(AND(Inputs!$B$39&lt;&gt;"pvp",Inputs!$B$44=0),1,IF(IF(Inputs!$B$39="pvp",15,Inputs!$B$44)-(B3801)&lt;=0,1,MAX(0,IF(Inputs!$B$39="pvp",15,Inputs!$B$44)-MAX(5,B3801))/(IF(Inputs!$B$39="pvp",15,Inputs!$B$44)-(B3801))))*(IF(AND(ArtifactsInput!$M$42,((Inputs!$B$9+((C3782=TRUE)*(F3782-Calc!F26))+B3790+(ArtifactsInput!$M$24-ArtifactsInput!$M$24)*CHOOSE(ArtifactsInput!$N$24+1,10,12,14,16,18,20)+IF(ArtifactsInput!$M$10,CHOOSE(ArtifactsInput!$N$10+1,15,18,21,24,27,30)*(IF(Inputs!$B$39="pvp",MIN(15,15)/15,IF(AND(Inputs!$B$39&lt;&gt;"pvp",Inputs!$B$44&gt;0),MIN(15,Inputs!$B$44)/(Inputs!$B$44),0))),0)))&gt;=100),MIN(100,((Inputs!$B$9+((C3782=TRUE)*(F3782-Calc!F26))+B3790+(ArtifactsInput!$M$24-ArtifactsInput!$M$24)*CHOOSE(ArtifactsInput!$N$24+1,10,12,14,16,18,20)+IF(ArtifactsInput!$M$10,CHOOSE(ArtifactsInput!$N$10+1,15,18,21,24,27,30)*(IF(Inputs!$B$39="pvp",MIN(15,15)/15,IF(AND(Inputs!$B$39&lt;&gt;"pvp",Inputs!$B$44&gt;0),MIN(15,Inputs!$B$44)/(Inputs!$B$44),0))),0)))-100),0))*CHOOSE(ArtifactsInput!$N$42+1,0.6,0.72,0.84,0.96,1.08,1.2))),Inputs!$B$18+((C3785=TRUE)*(F3785-Calc!F29))+(IF(AND(Inputs!$B$39&lt;&gt;"pvp",Inputs!$B$44=0),1,IF(IF(Inputs!$B$39="pvp",15,Inputs!$B$44)-(B3801)&lt;=0,1,MAX(0,IF(Inputs!$B$39="pvp",15,Inputs!$B$44)-MAX(5,B3801))/(IF(Inputs!$B$39="pvp",15,Inputs!$B$44)-(B3801))))*IF(AND(ArtifactsInput!$M$42,((Inputs!$B$9+((C3782=TRUE)*(F3782-Calc!F26))+B3790+(ArtifactsInput!$M$24-ArtifactsInput!$M$24)*CHOOSE(ArtifactsInput!$N$24+1,10,12,14,16,18,20)+IF(ArtifactsInput!$M$10,CHOOSE(ArtifactsInput!$N$10+1,15,18,21,24,27,30)*(IF(Inputs!$B$39="pvp",MIN(15,15)/15,IF(AND(Inputs!$B$39&lt;&gt;"pvp",Inputs!$B$44&gt;0),MIN(15,Inputs!$B$44)/(Inputs!$B$44),0))),0)))&gt;=100),CHOOSE(ArtifactsInput!$N$42+1,40,48,56,64,72,80),0))))/100)*(((1+(((C3778=TRUE)*F3778*IF(AND(Inputs!$B$39&lt;&gt;"pvp",Inputs!$B$44&gt;0),(((R3778-1)*MIN((Skills!Y22*(1+Inputs!$B$34/100)),(1/Q3778))+MIN((Skills!Y22*(1+Inputs!$B$34/100)),MAX(0,Inputs!$B$44-((R3778-1)*(1/Q3778)))))/Inputs!$B$44),IF(Inputs!$B$39="pvp",MIN((Skills!Y22*(1+Inputs!$B$34/100)),15)/15,MIN(1,(Skills!Y22*(1+Inputs!$B$34/100))/(1/Q3778)))))+((C3759=TRUE)*F3759*3)+((C3761=TRUE)*F3761*(1-EXP(-0.75*B3794*5)))+((C3780=TRUE)*(F3780-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3767=TRUE)*F3767*IF(AND(Inputs!$B$39&lt;&gt;"pvp",Inputs!$B$44&gt;0),(((R3767-1)*MIN((Skills!Y11*(1+Inputs!$B$34/100)),(1/Q3767))+MIN((Skills!Y11*(1+Inputs!$B$34/100)),MAX(0,Inputs!$B$44-((R3767-1)*(1/Q3767)))))/Inputs!$B$44),IF(Inputs!$B$39="pvp",MIN((Skills!Y11*(1+Inputs!$B$34/100)),15)/15,MIN(1,(Skills!Y11*(1+Inputs!$B$34/100))/(1/Q3767)))))/100)*(1+((C3772=TRUE)*F3772*IF(AND(Inputs!$B$39&lt;&gt;"pvp",Inputs!$B$44&gt;0),(((R3772-1)*MIN((Skills!Y16*(1+Inputs!$B$34/100)),(1/Q3772))+MIN((Skills!Y16*(1+Inputs!$B$34/100)),MAX(0,Inputs!$B$44-((R3772-1)*(1/Q3772)))))/Inputs!$B$44),IF(Inputs!$B$39="pvp",MIN((Skills!Y16*(1+Inputs!$B$34/100)),15)/15,MIN(1,(Skills!Y16*(1+Inputs!$B$34/100))/(1/Q3772)))))/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3792*I3769)</f>
        <v/>
      </c>
      <c r="L3769">
        <f>K3769*(MIN(Inputs!$B$22+((C3781=TRUE)*(F3781-Calc!F25)),(Inputs!$B$23+((C3786=TRUE)*(F3786-Calc!F30))+IF(ArtifactsInput!$M$15,CHOOSE(ArtifactsInput!$N$15+1,25,30,35,40,45,50)/100*(Inputs!$B$11-Inputs!$B$11),0)))/100+(Inputs!$B$23+((C3786=TRUE)*(F3786-Calc!F30))+IF(ArtifactsInput!$M$15,CHOOSE(ArtifactsInput!$N$15+1,25,30,35,40,45,50)/100*(Inputs!$B$11-Inputs!$B$11),0))/100)/2</f>
        <v/>
      </c>
      <c r="M3769">
        <f>L3769*(1+(Inputs!$B$10+((C3783=TRUE)*(F3783-Calc!F27))+B3797+(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3769">
        <f>L3769*(1-MIN((Inputs!$B$9+((C3782=TRUE)*(F3782-Calc!F26))+B3790+(ArtifactsInput!$M$24-ArtifactsInput!$M$24)*CHOOSE(ArtifactsInput!$N$24+1,10,12,14,16,18,20)+(IF(AND(Inputs!$B$39&lt;&gt;"pvp",Inputs!$B$44=0),1,IF(IF(Inputs!$B$39="pvp",15,Inputs!$B$44)-(B3801)&lt;=0,1,MAX(0,IF(Inputs!$B$39="pvp",15,Inputs!$B$44)-MAX(5,B3801))/(IF(Inputs!$B$39="pvp",15,Inputs!$B$44)-(B3801))))*IF(AND(ArtifactsInput!$M$42,((Inputs!$B$9+((C3782=TRUE)*(F3782-Calc!F26))+B3790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3769*(MIN((Inputs!$B$9+((C3782=TRUE)*(F3782-Calc!F26))+B3790+(ArtifactsInput!$M$24-ArtifactsInput!$M$24)*CHOOSE(ArtifactsInput!$N$24+1,10,12,14,16,18,20)+(IF(AND(Inputs!$B$39&lt;&gt;"pvp",Inputs!$B$44=0),1,IF(IF(Inputs!$B$39="pvp",15,Inputs!$B$44)-(B3801)&lt;=0,1,MAX(0,IF(Inputs!$B$39="pvp",15,Inputs!$B$44)-MAX(5,B3801))/(IF(Inputs!$B$39="pvp",15,Inputs!$B$44)-(B3801))))*IF(AND(ArtifactsInput!$M$42,((Inputs!$B$9+((C3782=TRUE)*(F3782-Calc!F26))+B3790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3769">
        <f>(1-Summary!$B$11)*T3769+Summary!$B$11*V3769</f>
        <v/>
      </c>
      <c r="P3769">
        <f>IF(B3802=0,0,O3769/B3802)</f>
        <v/>
      </c>
      <c r="Q3769">
        <f>IFERROR(1/IF(Inputs!$B$39="pvp",15,MAX(0.1,Skills!D13-IF(TRUE=TRUE,5.0,0))),0)</f>
        <v/>
      </c>
      <c r="R3769">
        <f>IF(AND(Inputs!$B$39&lt;&gt;"pvp",Inputs!$B$44&gt;0),IF(MAX(0,Inputs!$B$44-B3801)&lt;=0,0,(INT(MAX(0,Inputs!$B$44-B3801)/IF(Inputs!$B$39="pvp",15,MAX(0.1,Skills!D13-IF(TRUE=TRUE,5.0,0))))+1)),0)</f>
        <v/>
      </c>
      <c r="S3769">
        <f>IFERROR(O3769/N3769,0)</f>
        <v/>
      </c>
      <c r="T3769">
        <f>IF(C3769,(H3769*N3769*IF(AND(Inputs!$B$39&lt;&gt;"pvp",Inputs!$B$44&gt;0),((Skills!G13*((R3769-1)*IF(Skills!H13&gt;0,Skills!I13/Skills!H13,1)+IF(Skills!H13&gt;0,MIN(Skills!I13,MAX(0,MAX(0,Inputs!$B$44-B3801)-((R3769-1)*IF(Inputs!$B$39="pvp",15,MAX(0.1,Skills!D13-IF(TRUE=TRUE,5.0,0))))))/Skills!H13,1)))/Inputs!$B$44),G3769*Q3769))*IF(Inputs!$B$39="pvp",1,1+(Inputs!$B$20+0+Skills!P13+B3791+(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Hunt"),CHOOSE(ArtifactsInput!$N$35+1,15,18,21,24,27,30)*(1-EXP(-(0.2*B3794)*5)),0)+IF(AND(ArtifactsInput!$M$22,Inputs!$B$4&lt;&gt;"Chapter Hunt"),CHOOSE(ArtifactsInput!$N$22+1,10,12,14,16,18,20)*((0*(((0.15*B3794*5))^0/1)+1*(((0.15*B3794*5))^1/1)+2*(((0.15*B3794*5))^2/2)+3*(((0.15*B3794*5))^3/6)+4*(((0.15*B3794*5))^4/24)+5*(((0.15*B3794*5))^5/120))/((((0.15*B3794*5))^0/1)+(((0.15*B3794*5))^1/1)+(((0.15*B3794*5))^2/2)+(((0.15*B3794*5))^3/6)+(((0.15*B3794*5))^4/24)+(((0.15*B3794*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3769*(1-MIN(100,(Inputs!$B$9+((C3782=TRUE)*(F3782-Calc!F26))+B3790+(ArtifactsInput!$M$24-ArtifactsInput!$M$24)*CHOOSE(ArtifactsInput!$N$24+1,10,12,14,16,18,20)+(IF(AND(Inputs!$B$39&lt;&gt;"pvp",Inputs!$B$44=0),1,IF(IF(Inputs!$B$39="pvp",15,Inputs!$B$44)-(B3801)&lt;=0,1,MAX(0,IF(Inputs!$B$39="pvp",15,Inputs!$B$44)-MAX(5,B3801))/(IF(Inputs!$B$39="pvp",15,Inputs!$B$44)-(B3801))))*IF(AND(ArtifactsInput!$M$42,((Inputs!$B$9+((C3782=TRUE)*(F3782-Calc!F26))+B3790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3769*(MIN(100,(Inputs!$B$9+((C3782=TRUE)*(F3782-Calc!F26))+B3790+(ArtifactsInput!$M$24-ArtifactsInput!$M$24)*CHOOSE(ArtifactsInput!$N$24+1,10,12,14,16,18,20)+(IF(AND(Inputs!$B$39&lt;&gt;"pvp",Inputs!$B$44=0),1,IF(IF(Inputs!$B$39="pvp",15,Inputs!$B$44)-(B3801)&lt;=0,1,MAX(0,IF(Inputs!$B$39="pvp",15,Inputs!$B$44)-MAX(5,B3801))/(IF(Inputs!$B$39="pvp",15,Inputs!$B$44)-(B3801))))*IF(AND(ArtifactsInput!$M$42,((Inputs!$B$9+((C3782=TRUE)*(F3782-Calc!F26))+B3790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3769*(1-MIN(100,(Inputs!$B$9+((C3782=TRUE)*(F3782-Calc!F26))+B3790+(ArtifactsInput!$M$24-ArtifactsInput!$M$24)*CHOOSE(ArtifactsInput!$N$24+1,10,12,14,16,18,20)+(IF(AND(Inputs!$B$39&lt;&gt;"pvp",Inputs!$B$44=0),1,IF(IF(Inputs!$B$39="pvp",15,Inputs!$B$44)-(B3801)&lt;=0,1,MAX(0,IF(Inputs!$B$39="pvp",15,Inputs!$B$44)-MAX(5,B3801))/(IF(Inputs!$B$39="pvp",15,Inputs!$B$44)-(B3801))))*IF(AND(ArtifactsInput!$M$42,((Inputs!$B$9+((C3782=TRUE)*(F3782-Calc!F26))+B3790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3769*(MIN(100,(Inputs!$B$9+((C3782=TRUE)*(F3782-Calc!F26))+B3790+(ArtifactsInput!$M$24-ArtifactsInput!$M$24)*CHOOSE(ArtifactsInput!$N$24+1,10,12,14,16,18,20)+(IF(AND(Inputs!$B$39&lt;&gt;"pvp",Inputs!$B$44=0),1,IF(IF(Inputs!$B$39="pvp",15,Inputs!$B$44)-(B3801)&lt;=0,1,MAX(0,IF(Inputs!$B$39="pvp",15,Inputs!$B$44)-MAX(5,B3801))/(IF(Inputs!$B$39="pvp",15,Inputs!$B$44)-(B3801))))*IF(AND(ArtifactsInput!$M$42,((Inputs!$B$9+((C3782=TRUE)*(F3782-Calc!F26))+B3790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3769">
        <f>IF(C3769,(H3769*N3769*IF(AND(Inputs!$B$39&lt;&gt;"pvp",Inputs!$B$44&gt;0),((Skills!G13*((R3769-1)*IF(Skills!H13&gt;0,Skills!I13/Skills!H13,1)+IF(Skills!H13&gt;0,MIN(Skills!I13,MAX(0,MAX(0,Inputs!$B$44-B3801)-((R3769-1)*IF(Inputs!$B$39="pvp",15,MAX(0.1,Skills!D13-IF(TRUE=TRUE,5.0,0))))))/Skills!H13,1)))/Inputs!$B$44),G3769*Q3769))*IF(Inputs!$B$39="pvp",1,(1+(Inputs!$B$21+Skills!Q13+B3791+(IF(ArtifactsInput!$M$33,CHOOSE(ArtifactsInput!$N$33+1,30,36,42,48,54,60),0))+(IF(AND(ArtifactsInput!$M$35,Inputs!$B$4&lt;&gt;"Chapter Hunt"),CHOOSE(ArtifactsInput!$N$35+1,15,18,21,24,27,30)*(1-EXP(-(0.2*B3794)*5)),0)+IF(AND(ArtifactsInput!$M$22,Inputs!$B$4&lt;&gt;"Chapter Hunt"),CHOOSE(ArtifactsInput!$N$22+1,10,12,14,16,18,20)*((0*(((0.15*B3794*5))^0/1)+1*(((0.15*B3794*5))^1/1)+2*(((0.15*B3794*5))^2/2)+3*(((0.15*B3794*5))^3/6)+4*(((0.15*B3794*5))^4/24)+5*(((0.15*B3794*5))^5/120))/((((0.15*B3794*5))^0/1)+(((0.15*B3794*5))^1/1)+(((0.15*B3794*5))^2/2)+(((0.15*B3794*5))^3/6)+(((0.15*B3794*5))^4/24)+(((0.15*B3794*5))^5/120))),0)))/100)*(MIN(Skills!W13,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3770">
      <c r="A3770">
        <f>Skills!A14</f>
        <v/>
      </c>
      <c r="B3770">
        <f>Skills!B14</f>
        <v/>
      </c>
      <c r="C3770">
        <f>Inputs!$B$3&gt;=105</f>
        <v/>
      </c>
      <c r="D3770">
        <f>IF(Skills!C14=1,60+Inputs!$B$25+Inputs!$B$29,IF(Skills!C14=2,90+Inputs!$B$26+Inputs!$B$29,IF(Skills!C14=3,120+Inputs!$B$27+Inputs!$B$29,MAX(0,(Inputs!$B$3-100)*3)+Inputs!$B$28+Inputs!$B$29)))</f>
        <v/>
      </c>
      <c r="E3770">
        <f>INDEX(FactorTable!$B$2:$Y$301, MATCH(ROUND(MIN(300,MAX(1,D3770)),0), FactorTable!$A$2:$A$301,0), Skills!M14+1)</f>
        <v/>
      </c>
      <c r="F3770">
        <f>IF(Skills!N14=TRUE,(Skills!L14/10)*(E3770/1000),Skills!L14/10)+Skills!O14</f>
        <v/>
      </c>
      <c r="G3770">
        <f>Skills!G14*IF(Skills!H14&gt;0,IF(Inputs!$B$39="pvp",MIN(Skills!I14,15),Skills!I14)/Skills!H14,1)</f>
        <v/>
      </c>
      <c r="H3770">
        <f>1-(1-Skills!J14/100)^Skills!K14</f>
        <v/>
      </c>
      <c r="I3770" t="inlineStr">
        <is>
          <t>1</t>
        </is>
      </c>
      <c r="J3770">
        <f>((Inputs!$B$6*(1+Inputs!$B$7/100))+(((Inputs!$B$12*(1+Inputs!$B$13/100))-(Inputs!$B$12*(1+Inputs!$B$13/100)))+0.25*(Inputs!$B$14-Inputs!$B$14))*(1+Inputs!$B$7/100))*(F3770/100)</f>
        <v/>
      </c>
      <c r="K3770">
        <f>J3770*(1+((Inputs!$B$12*(1+Inputs!$B$13/100))*0.01+Inputs!$B$14*0.0025)/100)*(1+Inputs!$B$15/100)*(1+Inputs!$B$16/100)*(5000/(6000+Inputs!$B$43*(1-(100*(1-(1-Inputs!$B$19/100)*(1-CHOOSE(ArtifactsInput!$N$40+1,5,6,7,8,9,10)/100)^(ArtifactsInput!$M$40-ArtifactsInput!$M$40)))/100)))*(1+(Inputs!$B$24+((C3787=TRUE)*(F3787-Calc!F31))+((C3774=TRUE)*(F3774-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14="CRUEL_STAB",Inputs!$B$17+((C3784=TRUE)*(F3784-Calc!F28))+((IF(AND(Inputs!$B$39&lt;&gt;"pvp",Inputs!$B$44=0),1,IF(IF(Inputs!$B$39="pvp",15,Inputs!$B$44)-(B3801)&lt;=0,1,MAX(0,IF(Inputs!$B$39="pvp",15,Inputs!$B$44)-MAX(5,B3801))/(IF(Inputs!$B$39="pvp",15,Inputs!$B$44)-(B3801))))*(IF(AND(ArtifactsInput!$M$42,((Inputs!$B$9+((C3782=TRUE)*(F3782-Calc!F26))+B3790+(ArtifactsInput!$M$24-ArtifactsInput!$M$24)*CHOOSE(ArtifactsInput!$N$24+1,10,12,14,16,18,20)+IF(ArtifactsInput!$M$10,CHOOSE(ArtifactsInput!$N$10+1,15,18,21,24,27,30)*(IF(Inputs!$B$39="pvp",MIN(15,15)/15,IF(AND(Inputs!$B$39&lt;&gt;"pvp",Inputs!$B$44&gt;0),MIN(15,Inputs!$B$44)/(Inputs!$B$44),0))),0)))&gt;=100),MIN(100,((Inputs!$B$9+((C3782=TRUE)*(F3782-Calc!F26))+B3790+(ArtifactsInput!$M$24-ArtifactsInput!$M$24)*CHOOSE(ArtifactsInput!$N$24+1,10,12,14,16,18,20)+IF(ArtifactsInput!$M$10,CHOOSE(ArtifactsInput!$N$10+1,15,18,21,24,27,30)*(IF(Inputs!$B$39="pvp",MIN(15,15)/15,IF(AND(Inputs!$B$39&lt;&gt;"pvp",Inputs!$B$44&gt;0),MIN(15,Inputs!$B$44)/(Inputs!$B$44),0))),0)))-100),0))*CHOOSE(ArtifactsInput!$N$42+1,0.6,0.72,0.84,0.96,1.08,1.2))),Inputs!$B$18+((C3785=TRUE)*(F3785-Calc!F29))+(IF(AND(Inputs!$B$39&lt;&gt;"pvp",Inputs!$B$44=0),1,IF(IF(Inputs!$B$39="pvp",15,Inputs!$B$44)-(B3801)&lt;=0,1,MAX(0,IF(Inputs!$B$39="pvp",15,Inputs!$B$44)-MAX(5,B3801))/(IF(Inputs!$B$39="pvp",15,Inputs!$B$44)-(B3801))))*IF(AND(ArtifactsInput!$M$42,((Inputs!$B$9+((C3782=TRUE)*(F3782-Calc!F26))+B3790+(ArtifactsInput!$M$24-ArtifactsInput!$M$24)*CHOOSE(ArtifactsInput!$N$24+1,10,12,14,16,18,20)+IF(ArtifactsInput!$M$10,CHOOSE(ArtifactsInput!$N$10+1,15,18,21,24,27,30)*(IF(Inputs!$B$39="pvp",MIN(15,15)/15,IF(AND(Inputs!$B$39&lt;&gt;"pvp",Inputs!$B$44&gt;0),MIN(15,Inputs!$B$44)/(Inputs!$B$44),0))),0)))&gt;=100),CHOOSE(ArtifactsInput!$N$42+1,40,48,56,64,72,80),0))))/100)*(((1+(((C3778=TRUE)*F3778*IF(AND(Inputs!$B$39&lt;&gt;"pvp",Inputs!$B$44&gt;0),(((R3778-1)*MIN((Skills!Y22*(1+Inputs!$B$34/100)),(1/Q3778))+MIN((Skills!Y22*(1+Inputs!$B$34/100)),MAX(0,Inputs!$B$44-((R3778-1)*(1/Q3778)))))/Inputs!$B$44),IF(Inputs!$B$39="pvp",MIN((Skills!Y22*(1+Inputs!$B$34/100)),15)/15,MIN(1,(Skills!Y22*(1+Inputs!$B$34/100))/(1/Q3778)))))+((C3759=TRUE)*F3759*3)+((C3761=TRUE)*F3761*(1-EXP(-0.75*B3794*5)))+((C3780=TRUE)*(F3780-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3767=TRUE)*F3767*IF(AND(Inputs!$B$39&lt;&gt;"pvp",Inputs!$B$44&gt;0),(((R3767-1)*MIN((Skills!Y11*(1+Inputs!$B$34/100)),(1/Q3767))+MIN((Skills!Y11*(1+Inputs!$B$34/100)),MAX(0,Inputs!$B$44-((R3767-1)*(1/Q3767)))))/Inputs!$B$44),IF(Inputs!$B$39="pvp",MIN((Skills!Y11*(1+Inputs!$B$34/100)),15)/15,MIN(1,(Skills!Y11*(1+Inputs!$B$34/100))/(1/Q3767)))))/100)*(1+((C3772=TRUE)*F3772*IF(AND(Inputs!$B$39&lt;&gt;"pvp",Inputs!$B$44&gt;0),(((R3772-1)*MIN((Skills!Y16*(1+Inputs!$B$34/100)),(1/Q3772))+MIN((Skills!Y16*(1+Inputs!$B$34/100)),MAX(0,Inputs!$B$44-((R3772-1)*(1/Q3772)))))/Inputs!$B$44),IF(Inputs!$B$39="pvp",MIN((Skills!Y16*(1+Inputs!$B$34/100)),15)/15,MIN(1,(Skills!Y16*(1+Inputs!$B$34/100))/(1/Q3772)))))/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3792*I3770)</f>
        <v/>
      </c>
      <c r="L3770">
        <f>K3770*(MIN(Inputs!$B$22+((C3781=TRUE)*(F3781-Calc!F25)),(Inputs!$B$23+((C3786=TRUE)*(F3786-Calc!F30))+IF(ArtifactsInput!$M$15,CHOOSE(ArtifactsInput!$N$15+1,25,30,35,40,45,50)/100*(Inputs!$B$11-Inputs!$B$11),0)))/100+(Inputs!$B$23+((C3786=TRUE)*(F3786-Calc!F30))+IF(ArtifactsInput!$M$15,CHOOSE(ArtifactsInput!$N$15+1,25,30,35,40,45,50)/100*(Inputs!$B$11-Inputs!$B$11),0))/100)/2</f>
        <v/>
      </c>
      <c r="M3770">
        <f>L3770*(1+(Inputs!$B$10+((C3783=TRUE)*(F3783-Calc!F27))+B3797+(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3770">
        <f>L3770*(1-MIN((Inputs!$B$9+((C3782=TRUE)*(F3782-Calc!F26))+B3790+(ArtifactsInput!$M$24-ArtifactsInput!$M$24)*CHOOSE(ArtifactsInput!$N$24+1,10,12,14,16,18,20)+(IF(AND(Inputs!$B$39&lt;&gt;"pvp",Inputs!$B$44=0),1,IF(IF(Inputs!$B$39="pvp",15,Inputs!$B$44)-(B3801)&lt;=0,1,MAX(0,IF(Inputs!$B$39="pvp",15,Inputs!$B$44)-MAX(5,B3801))/(IF(Inputs!$B$39="pvp",15,Inputs!$B$44)-(B3801))))*IF(AND(ArtifactsInput!$M$42,((Inputs!$B$9+((C3782=TRUE)*(F3782-Calc!F26))+B3790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3770*(MIN((Inputs!$B$9+((C3782=TRUE)*(F3782-Calc!F26))+B3790+(ArtifactsInput!$M$24-ArtifactsInput!$M$24)*CHOOSE(ArtifactsInput!$N$24+1,10,12,14,16,18,20)+(IF(AND(Inputs!$B$39&lt;&gt;"pvp",Inputs!$B$44=0),1,IF(IF(Inputs!$B$39="pvp",15,Inputs!$B$44)-(B3801)&lt;=0,1,MAX(0,IF(Inputs!$B$39="pvp",15,Inputs!$B$44)-MAX(5,B3801))/(IF(Inputs!$B$39="pvp",15,Inputs!$B$44)-(B3801))))*IF(AND(ArtifactsInput!$M$42,((Inputs!$B$9+((C3782=TRUE)*(F3782-Calc!F26))+B3790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3770">
        <f>(1-Summary!$B$11)*T3770+Summary!$B$11*V3770</f>
        <v/>
      </c>
      <c r="P3770">
        <f>IF(B3802=0,0,O3770/B3802)</f>
        <v/>
      </c>
      <c r="Q3770">
        <f>IFERROR(1/IF(Inputs!$B$39="pvp",15,MAX(0.1,Skills!D14-IF(TRUE=TRUE,5.0,0))),0)</f>
        <v/>
      </c>
      <c r="R3770">
        <f>IF(AND(Inputs!$B$39&lt;&gt;"pvp",Inputs!$B$44&gt;0),IF(MAX(0,Inputs!$B$44-B3801)&lt;=0,0,(INT(MAX(0,Inputs!$B$44-B3801)/IF(Inputs!$B$39="pvp",15,MAX(0.1,Skills!D14-IF(TRUE=TRUE,5.0,0))))+1)),0)</f>
        <v/>
      </c>
      <c r="S3770">
        <f>IFERROR(O3770/N3770,0)</f>
        <v/>
      </c>
      <c r="T3770">
        <f>IF(C3770,(H3770*N3770*IF(AND(Inputs!$B$39&lt;&gt;"pvp",Inputs!$B$44&gt;0),((Skills!G14*((R3770-1)*IF(Skills!H14&gt;0,Skills!I14/Skills!H14,1)+IF(Skills!H14&gt;0,MIN(Skills!I14,MAX(0,MAX(0,Inputs!$B$44-B3801)-((R3770-1)*IF(Inputs!$B$39="pvp",15,MAX(0.1,Skills!D14-IF(TRUE=TRUE,5.0,0))))))/Skills!H14,1)))/Inputs!$B$44),G3770*Q3770))*IF(Inputs!$B$39="pvp",1,1+(Inputs!$B$20+0+Skills!P14+B3791+(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Hunt"),CHOOSE(ArtifactsInput!$N$35+1,15,18,21,24,27,30)*(1-EXP(-(0.2*B3794)*5)),0)+IF(AND(ArtifactsInput!$M$22,Inputs!$B$4&lt;&gt;"Chapter Hunt"),CHOOSE(ArtifactsInput!$N$22+1,10,12,14,16,18,20)*((0*(((0.15*B3794*5))^0/1)+1*(((0.15*B3794*5))^1/1)+2*(((0.15*B3794*5))^2/2)+3*(((0.15*B3794*5))^3/6)+4*(((0.15*B3794*5))^4/24)+5*(((0.15*B3794*5))^5/120))/((((0.15*B3794*5))^0/1)+(((0.15*B3794*5))^1/1)+(((0.15*B3794*5))^2/2)+(((0.15*B3794*5))^3/6)+(((0.15*B3794*5))^4/24)+(((0.15*B3794*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3770*(1-MIN(100,(Inputs!$B$9+((C3782=TRUE)*(F3782-Calc!F26))+B3790+(ArtifactsInput!$M$24-ArtifactsInput!$M$24)*CHOOSE(ArtifactsInput!$N$24+1,10,12,14,16,18,20)+(IF(AND(Inputs!$B$39&lt;&gt;"pvp",Inputs!$B$44=0),1,IF(IF(Inputs!$B$39="pvp",15,Inputs!$B$44)-(B3801)&lt;=0,1,MAX(0,IF(Inputs!$B$39="pvp",15,Inputs!$B$44)-MAX(5,B3801))/(IF(Inputs!$B$39="pvp",15,Inputs!$B$44)-(B3801))))*IF(AND(ArtifactsInput!$M$42,((Inputs!$B$9+((C3782=TRUE)*(F3782-Calc!F26))+B3790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3770*(MIN(100,(Inputs!$B$9+((C3782=TRUE)*(F3782-Calc!F26))+B3790+(ArtifactsInput!$M$24-ArtifactsInput!$M$24)*CHOOSE(ArtifactsInput!$N$24+1,10,12,14,16,18,20)+(IF(AND(Inputs!$B$39&lt;&gt;"pvp",Inputs!$B$44=0),1,IF(IF(Inputs!$B$39="pvp",15,Inputs!$B$44)-(B3801)&lt;=0,1,MAX(0,IF(Inputs!$B$39="pvp",15,Inputs!$B$44)-MAX(5,B3801))/(IF(Inputs!$B$39="pvp",15,Inputs!$B$44)-(B3801))))*IF(AND(ArtifactsInput!$M$42,((Inputs!$B$9+((C3782=TRUE)*(F3782-Calc!F26))+B3790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3770*(1-MIN(100,(Inputs!$B$9+((C3782=TRUE)*(F3782-Calc!F26))+B3790+(ArtifactsInput!$M$24-ArtifactsInput!$M$24)*CHOOSE(ArtifactsInput!$N$24+1,10,12,14,16,18,20)+(IF(AND(Inputs!$B$39&lt;&gt;"pvp",Inputs!$B$44=0),1,IF(IF(Inputs!$B$39="pvp",15,Inputs!$B$44)-(B3801)&lt;=0,1,MAX(0,IF(Inputs!$B$39="pvp",15,Inputs!$B$44)-MAX(5,B3801))/(IF(Inputs!$B$39="pvp",15,Inputs!$B$44)-(B3801))))*IF(AND(ArtifactsInput!$M$42,((Inputs!$B$9+((C3782=TRUE)*(F3782-Calc!F26))+B3790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3770*(MIN(100,(Inputs!$B$9+((C3782=TRUE)*(F3782-Calc!F26))+B3790+(ArtifactsInput!$M$24-ArtifactsInput!$M$24)*CHOOSE(ArtifactsInput!$N$24+1,10,12,14,16,18,20)+(IF(AND(Inputs!$B$39&lt;&gt;"pvp",Inputs!$B$44=0),1,IF(IF(Inputs!$B$39="pvp",15,Inputs!$B$44)-(B3801)&lt;=0,1,MAX(0,IF(Inputs!$B$39="pvp",15,Inputs!$B$44)-MAX(5,B3801))/(IF(Inputs!$B$39="pvp",15,Inputs!$B$44)-(B3801))))*IF(AND(ArtifactsInput!$M$42,((Inputs!$B$9+((C3782=TRUE)*(F3782-Calc!F26))+B3790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3770">
        <f>IF(C3770,(H3770*N3770*IF(AND(Inputs!$B$39&lt;&gt;"pvp",Inputs!$B$44&gt;0),((Skills!G14*((R3770-1)*IF(Skills!H14&gt;0,Skills!I14/Skills!H14,1)+IF(Skills!H14&gt;0,MIN(Skills!I14,MAX(0,MAX(0,Inputs!$B$44-B3801)-((R3770-1)*IF(Inputs!$B$39="pvp",15,MAX(0.1,Skills!D14-IF(TRUE=TRUE,5.0,0))))))/Skills!H14,1)))/Inputs!$B$44),G3770*Q3770))*IF(Inputs!$B$39="pvp",1,(1+(Inputs!$B$21+Skills!Q14+B3791+(IF(ArtifactsInput!$M$33,CHOOSE(ArtifactsInput!$N$33+1,30,36,42,48,54,60),0))+(IF(AND(ArtifactsInput!$M$35,Inputs!$B$4&lt;&gt;"Chapter Hunt"),CHOOSE(ArtifactsInput!$N$35+1,15,18,21,24,27,30)*(1-EXP(-(0.2*B3794)*5)),0)+IF(AND(ArtifactsInput!$M$22,Inputs!$B$4&lt;&gt;"Chapter Hunt"),CHOOSE(ArtifactsInput!$N$22+1,10,12,14,16,18,20)*((0*(((0.15*B3794*5))^0/1)+1*(((0.15*B3794*5))^1/1)+2*(((0.15*B3794*5))^2/2)+3*(((0.15*B3794*5))^3/6)+4*(((0.15*B3794*5))^4/24)+5*(((0.15*B3794*5))^5/120))/((((0.15*B3794*5))^0/1)+(((0.15*B3794*5))^1/1)+(((0.15*B3794*5))^2/2)+(((0.15*B3794*5))^3/6)+(((0.15*B3794*5))^4/24)+(((0.15*B3794*5))^5/120))),0)))/100)*(MIN(Skills!W14,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3771">
      <c r="A3771">
        <f>Skills!A15</f>
        <v/>
      </c>
      <c r="B3771">
        <f>Skills!B15</f>
        <v/>
      </c>
      <c r="C3771">
        <f>Inputs!$B$3&gt;=107</f>
        <v/>
      </c>
      <c r="D3771">
        <f>IF(Skills!C15=1,60+Inputs!$B$25+Inputs!$B$29,IF(Skills!C15=2,90+Inputs!$B$26+Inputs!$B$29,IF(Skills!C15=3,120+Inputs!$B$27+Inputs!$B$29,MAX(0,(Inputs!$B$3-100)*3)+Inputs!$B$28+Inputs!$B$29)))</f>
        <v/>
      </c>
      <c r="E3771">
        <f>INDEX(FactorTable!$B$2:$Y$301, MATCH(ROUND(MIN(300,MAX(1,D3771)),0), FactorTable!$A$2:$A$301,0), Skills!M15+1)</f>
        <v/>
      </c>
      <c r="F3771">
        <f>IF(Skills!N15=TRUE,(Skills!L15/10)*(E3771/1000),Skills!L15/10)+Skills!O15</f>
        <v/>
      </c>
      <c r="G3771">
        <f>Skills!G15*IF(Skills!H15&gt;0,IF(Inputs!$B$39="pvp",MIN(Skills!I15,15),Skills!I15)/Skills!H15,1)</f>
        <v/>
      </c>
      <c r="H3771">
        <f>1-(1-Skills!J15/100)^Skills!K15</f>
        <v/>
      </c>
      <c r="I3771" t="inlineStr">
        <is>
          <t>1</t>
        </is>
      </c>
      <c r="J3771">
        <f>((Inputs!$B$6*(1+Inputs!$B$7/100))+(((Inputs!$B$12*(1+Inputs!$B$13/100))-(Inputs!$B$12*(1+Inputs!$B$13/100)))+0.25*(Inputs!$B$14-Inputs!$B$14))*(1+Inputs!$B$7/100))*(F3771/100)</f>
        <v/>
      </c>
      <c r="K3771">
        <f>J3771*(1+((Inputs!$B$12*(1+Inputs!$B$13/100))*0.01+Inputs!$B$14*0.0025)/100)*(1+Inputs!$B$15/100)*(1+Inputs!$B$16/100)*(5000/(6000+Inputs!$B$43*(1-(100*(1-(1-Inputs!$B$19/100)*(1-CHOOSE(ArtifactsInput!$N$40+1,5,6,7,8,9,10)/100)^(ArtifactsInput!$M$40-ArtifactsInput!$M$40)))/100)))*(1+(Inputs!$B$24+((C3787=TRUE)*(F3787-Calc!F31))+((C3774=TRUE)*(F3774-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15="CRUEL_STAB",Inputs!$B$17+((C3784=TRUE)*(F3784-Calc!F28))+((IF(AND(Inputs!$B$39&lt;&gt;"pvp",Inputs!$B$44=0),1,IF(IF(Inputs!$B$39="pvp",15,Inputs!$B$44)-(B3801)&lt;=0,1,MAX(0,IF(Inputs!$B$39="pvp",15,Inputs!$B$44)-MAX(5,B3801))/(IF(Inputs!$B$39="pvp",15,Inputs!$B$44)-(B3801))))*(IF(AND(ArtifactsInput!$M$42,((Inputs!$B$9+((C3782=TRUE)*(F3782-Calc!F26))+B3790+(ArtifactsInput!$M$24-ArtifactsInput!$M$24)*CHOOSE(ArtifactsInput!$N$24+1,10,12,14,16,18,20)+IF(ArtifactsInput!$M$10,CHOOSE(ArtifactsInput!$N$10+1,15,18,21,24,27,30)*(IF(Inputs!$B$39="pvp",MIN(15,15)/15,IF(AND(Inputs!$B$39&lt;&gt;"pvp",Inputs!$B$44&gt;0),MIN(15,Inputs!$B$44)/(Inputs!$B$44),0))),0)))&gt;=100),MIN(100,((Inputs!$B$9+((C3782=TRUE)*(F3782-Calc!F26))+B3790+(ArtifactsInput!$M$24-ArtifactsInput!$M$24)*CHOOSE(ArtifactsInput!$N$24+1,10,12,14,16,18,20)+IF(ArtifactsInput!$M$10,CHOOSE(ArtifactsInput!$N$10+1,15,18,21,24,27,30)*(IF(Inputs!$B$39="pvp",MIN(15,15)/15,IF(AND(Inputs!$B$39&lt;&gt;"pvp",Inputs!$B$44&gt;0),MIN(15,Inputs!$B$44)/(Inputs!$B$44),0))),0)))-100),0))*CHOOSE(ArtifactsInput!$N$42+1,0.6,0.72,0.84,0.96,1.08,1.2))),Inputs!$B$18+((C3785=TRUE)*(F3785-Calc!F29))+(IF(AND(Inputs!$B$39&lt;&gt;"pvp",Inputs!$B$44=0),1,IF(IF(Inputs!$B$39="pvp",15,Inputs!$B$44)-(B3801)&lt;=0,1,MAX(0,IF(Inputs!$B$39="pvp",15,Inputs!$B$44)-MAX(5,B3801))/(IF(Inputs!$B$39="pvp",15,Inputs!$B$44)-(B3801))))*IF(AND(ArtifactsInput!$M$42,((Inputs!$B$9+((C3782=TRUE)*(F3782-Calc!F26))+B3790+(ArtifactsInput!$M$24-ArtifactsInput!$M$24)*CHOOSE(ArtifactsInput!$N$24+1,10,12,14,16,18,20)+IF(ArtifactsInput!$M$10,CHOOSE(ArtifactsInput!$N$10+1,15,18,21,24,27,30)*(IF(Inputs!$B$39="pvp",MIN(15,15)/15,IF(AND(Inputs!$B$39&lt;&gt;"pvp",Inputs!$B$44&gt;0),MIN(15,Inputs!$B$44)/(Inputs!$B$44),0))),0)))&gt;=100),CHOOSE(ArtifactsInput!$N$42+1,40,48,56,64,72,80),0))))/100)*(((1+(((C3778=TRUE)*F3778*IF(AND(Inputs!$B$39&lt;&gt;"pvp",Inputs!$B$44&gt;0),(((R3778-1)*MIN((Skills!Y22*(1+Inputs!$B$34/100)),(1/Q3778))+MIN((Skills!Y22*(1+Inputs!$B$34/100)),MAX(0,Inputs!$B$44-((R3778-1)*(1/Q3778)))))/Inputs!$B$44),IF(Inputs!$B$39="pvp",MIN((Skills!Y22*(1+Inputs!$B$34/100)),15)/15,MIN(1,(Skills!Y22*(1+Inputs!$B$34/100))/(1/Q3778)))))+((C3759=TRUE)*F3759*3)+((C3761=TRUE)*F3761*(1-EXP(-0.75*B3794*5)))+((C3780=TRUE)*(F3780-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3767=TRUE)*F3767*IF(AND(Inputs!$B$39&lt;&gt;"pvp",Inputs!$B$44&gt;0),(((R3767-1)*MIN((Skills!Y11*(1+Inputs!$B$34/100)),(1/Q3767))+MIN((Skills!Y11*(1+Inputs!$B$34/100)),MAX(0,Inputs!$B$44-((R3767-1)*(1/Q3767)))))/Inputs!$B$44),IF(Inputs!$B$39="pvp",MIN((Skills!Y11*(1+Inputs!$B$34/100)),15)/15,MIN(1,(Skills!Y11*(1+Inputs!$B$34/100))/(1/Q3767)))))/100)*(1+((C3772=TRUE)*F3772*IF(AND(Inputs!$B$39&lt;&gt;"pvp",Inputs!$B$44&gt;0),(((R3772-1)*MIN((Skills!Y16*(1+Inputs!$B$34/100)),(1/Q3772))+MIN((Skills!Y16*(1+Inputs!$B$34/100)),MAX(0,Inputs!$B$44-((R3772-1)*(1/Q3772)))))/Inputs!$B$44),IF(Inputs!$B$39="pvp",MIN((Skills!Y16*(1+Inputs!$B$34/100)),15)/15,MIN(1,(Skills!Y16*(1+Inputs!$B$34/100))/(1/Q3772)))))/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3792*I3771)</f>
        <v/>
      </c>
      <c r="L3771">
        <f>K3771*(MIN(Inputs!$B$22+((C3781=TRUE)*(F3781-Calc!F25)),(Inputs!$B$23+((C3786=TRUE)*(F3786-Calc!F30))+IF(ArtifactsInput!$M$15,CHOOSE(ArtifactsInput!$N$15+1,25,30,35,40,45,50)/100*(Inputs!$B$11-Inputs!$B$11),0)))/100+(Inputs!$B$23+((C3786=TRUE)*(F3786-Calc!F30))+IF(ArtifactsInput!$M$15,CHOOSE(ArtifactsInput!$N$15+1,25,30,35,40,45,50)/100*(Inputs!$B$11-Inputs!$B$11),0))/100)/2</f>
        <v/>
      </c>
      <c r="M3771">
        <f>L3771*(1+(Inputs!$B$10+((C3783=TRUE)*(F3783-Calc!F27))+B3797+(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3771">
        <f>L3771*(1-MIN((Inputs!$B$9+((C3782=TRUE)*(F3782-Calc!F26))+B3790+(ArtifactsInput!$M$24-ArtifactsInput!$M$24)*CHOOSE(ArtifactsInput!$N$24+1,10,12,14,16,18,20)+(IF(AND(Inputs!$B$39&lt;&gt;"pvp",Inputs!$B$44=0),1,IF(IF(Inputs!$B$39="pvp",15,Inputs!$B$44)-(B3801)&lt;=0,1,MAX(0,IF(Inputs!$B$39="pvp",15,Inputs!$B$44)-MAX(5,B3801))/(IF(Inputs!$B$39="pvp",15,Inputs!$B$44)-(B3801))))*IF(AND(ArtifactsInput!$M$42,((Inputs!$B$9+((C3782=TRUE)*(F3782-Calc!F26))+B3790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3771*(MIN((Inputs!$B$9+((C3782=TRUE)*(F3782-Calc!F26))+B3790+(ArtifactsInput!$M$24-ArtifactsInput!$M$24)*CHOOSE(ArtifactsInput!$N$24+1,10,12,14,16,18,20)+(IF(AND(Inputs!$B$39&lt;&gt;"pvp",Inputs!$B$44=0),1,IF(IF(Inputs!$B$39="pvp",15,Inputs!$B$44)-(B3801)&lt;=0,1,MAX(0,IF(Inputs!$B$39="pvp",15,Inputs!$B$44)-MAX(5,B3801))/(IF(Inputs!$B$39="pvp",15,Inputs!$B$44)-(B3801))))*IF(AND(ArtifactsInput!$M$42,((Inputs!$B$9+((C3782=TRUE)*(F3782-Calc!F26))+B3790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3771">
        <f>(1-Summary!$B$11)*T3771+Summary!$B$11*V3771</f>
        <v/>
      </c>
      <c r="P3771">
        <f>IF(B3802=0,0,O3771/B3802)</f>
        <v/>
      </c>
      <c r="Q3771">
        <f>IFERROR(1/IF(Inputs!$B$39="pvp",15,MAX(0.1,Skills!D15-IF(TRUE=TRUE,5.0,0))),0)</f>
        <v/>
      </c>
      <c r="R3771">
        <f>IF(AND(Inputs!$B$39&lt;&gt;"pvp",Inputs!$B$44&gt;0),IF(MAX(0,Inputs!$B$44-B3801)&lt;=0,0,(INT(MAX(0,Inputs!$B$44-B3801)/IF(Inputs!$B$39="pvp",15,MAX(0.1,Skills!D15-IF(TRUE=TRUE,5.0,0))))+1)),0)</f>
        <v/>
      </c>
      <c r="S3771">
        <f>IFERROR(O3771/N3771,0)</f>
        <v/>
      </c>
      <c r="T3771">
        <f>IF(C3771,(H3771*N3771*IF(AND(Inputs!$B$39&lt;&gt;"pvp",Inputs!$B$44&gt;0),((Skills!G15*((R3771-1)*IF(Skills!H15&gt;0,Skills!I15/Skills!H15,1)+IF(Skills!H15&gt;0,MIN(Skills!I15,MAX(0,MAX(0,Inputs!$B$44-B3801)-((R3771-1)*IF(Inputs!$B$39="pvp",15,MAX(0.1,Skills!D15-IF(TRUE=TRUE,5.0,0))))))/Skills!H15,1)))/Inputs!$B$44),G3771*Q3771))*IF(Inputs!$B$39="pvp",1,1+(Inputs!$B$20+0+Skills!P15+B3791+(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Hunt"),CHOOSE(ArtifactsInput!$N$35+1,15,18,21,24,27,30)*(1-EXP(-(0.2*B3794)*5)),0)+IF(AND(ArtifactsInput!$M$22,Inputs!$B$4&lt;&gt;"Chapter Hunt"),CHOOSE(ArtifactsInput!$N$22+1,10,12,14,16,18,20)*((0*(((0.15*B3794*5))^0/1)+1*(((0.15*B3794*5))^1/1)+2*(((0.15*B3794*5))^2/2)+3*(((0.15*B3794*5))^3/6)+4*(((0.15*B3794*5))^4/24)+5*(((0.15*B3794*5))^5/120))/((((0.15*B3794*5))^0/1)+(((0.15*B3794*5))^1/1)+(((0.15*B3794*5))^2/2)+(((0.15*B3794*5))^3/6)+(((0.15*B3794*5))^4/24)+(((0.15*B3794*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3771*(1-MIN(100,(Inputs!$B$9+((C3782=TRUE)*(F3782-Calc!F26))+B3790+(ArtifactsInput!$M$24-ArtifactsInput!$M$24)*CHOOSE(ArtifactsInput!$N$24+1,10,12,14,16,18,20)+(IF(AND(Inputs!$B$39&lt;&gt;"pvp",Inputs!$B$44=0),1,IF(IF(Inputs!$B$39="pvp",15,Inputs!$B$44)-(B3801)&lt;=0,1,MAX(0,IF(Inputs!$B$39="pvp",15,Inputs!$B$44)-MAX(5,B3801))/(IF(Inputs!$B$39="pvp",15,Inputs!$B$44)-(B3801))))*IF(AND(ArtifactsInput!$M$42,((Inputs!$B$9+((C3782=TRUE)*(F3782-Calc!F26))+B3790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3771*(MIN(100,(Inputs!$B$9+((C3782=TRUE)*(F3782-Calc!F26))+B3790+(ArtifactsInput!$M$24-ArtifactsInput!$M$24)*CHOOSE(ArtifactsInput!$N$24+1,10,12,14,16,18,20)+(IF(AND(Inputs!$B$39&lt;&gt;"pvp",Inputs!$B$44=0),1,IF(IF(Inputs!$B$39="pvp",15,Inputs!$B$44)-(B3801)&lt;=0,1,MAX(0,IF(Inputs!$B$39="pvp",15,Inputs!$B$44)-MAX(5,B3801))/(IF(Inputs!$B$39="pvp",15,Inputs!$B$44)-(B3801))))*IF(AND(ArtifactsInput!$M$42,((Inputs!$B$9+((C3782=TRUE)*(F3782-Calc!F26))+B3790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3771*(1-MIN(100,(Inputs!$B$9+((C3782=TRUE)*(F3782-Calc!F26))+B3790+(ArtifactsInput!$M$24-ArtifactsInput!$M$24)*CHOOSE(ArtifactsInput!$N$24+1,10,12,14,16,18,20)+(IF(AND(Inputs!$B$39&lt;&gt;"pvp",Inputs!$B$44=0),1,IF(IF(Inputs!$B$39="pvp",15,Inputs!$B$44)-(B3801)&lt;=0,1,MAX(0,IF(Inputs!$B$39="pvp",15,Inputs!$B$44)-MAX(5,B3801))/(IF(Inputs!$B$39="pvp",15,Inputs!$B$44)-(B3801))))*IF(AND(ArtifactsInput!$M$42,((Inputs!$B$9+((C3782=TRUE)*(F3782-Calc!F26))+B3790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3771*(MIN(100,(Inputs!$B$9+((C3782=TRUE)*(F3782-Calc!F26))+B3790+(ArtifactsInput!$M$24-ArtifactsInput!$M$24)*CHOOSE(ArtifactsInput!$N$24+1,10,12,14,16,18,20)+(IF(AND(Inputs!$B$39&lt;&gt;"pvp",Inputs!$B$44=0),1,IF(IF(Inputs!$B$39="pvp",15,Inputs!$B$44)-(B3801)&lt;=0,1,MAX(0,IF(Inputs!$B$39="pvp",15,Inputs!$B$44)-MAX(5,B3801))/(IF(Inputs!$B$39="pvp",15,Inputs!$B$44)-(B3801))))*IF(AND(ArtifactsInput!$M$42,((Inputs!$B$9+((C3782=TRUE)*(F3782-Calc!F26))+B3790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3771">
        <f>IF(C3771,(H3771*N3771*IF(AND(Inputs!$B$39&lt;&gt;"pvp",Inputs!$B$44&gt;0),((Skills!G15*((R3771-1)*IF(Skills!H15&gt;0,Skills!I15/Skills!H15,1)+IF(Skills!H15&gt;0,MIN(Skills!I15,MAX(0,MAX(0,Inputs!$B$44-B3801)-((R3771-1)*IF(Inputs!$B$39="pvp",15,MAX(0.1,Skills!D15-IF(TRUE=TRUE,5.0,0))))))/Skills!H15,1)))/Inputs!$B$44),G3771*Q3771))*IF(Inputs!$B$39="pvp",1,(1+(Inputs!$B$21+Skills!Q15+B3791+(IF(ArtifactsInput!$M$33,CHOOSE(ArtifactsInput!$N$33+1,30,36,42,48,54,60),0))+(IF(AND(ArtifactsInput!$M$35,Inputs!$B$4&lt;&gt;"Chapter Hunt"),CHOOSE(ArtifactsInput!$N$35+1,15,18,21,24,27,30)*(1-EXP(-(0.2*B3794)*5)),0)+IF(AND(ArtifactsInput!$M$22,Inputs!$B$4&lt;&gt;"Chapter Hunt"),CHOOSE(ArtifactsInput!$N$22+1,10,12,14,16,18,20)*((0*(((0.15*B3794*5))^0/1)+1*(((0.15*B3794*5))^1/1)+2*(((0.15*B3794*5))^2/2)+3*(((0.15*B3794*5))^3/6)+4*(((0.15*B3794*5))^4/24)+5*(((0.15*B3794*5))^5/120))/((((0.15*B3794*5))^0/1)+(((0.15*B3794*5))^1/1)+(((0.15*B3794*5))^2/2)+(((0.15*B3794*5))^3/6)+(((0.15*B3794*5))^4/24)+(((0.15*B3794*5))^5/120))),0)))/100)*(MIN(MIN(5,0.5*IF(Inputs!$B$3&gt;=75,0.75,0.5)*B3794*(1/Q3760))*Skills!V15,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3772">
      <c r="A3772">
        <f>Skills!A16</f>
        <v/>
      </c>
      <c r="B3772">
        <f>Skills!B16</f>
        <v/>
      </c>
      <c r="C3772">
        <f>Inputs!$B$3&gt;=110</f>
        <v/>
      </c>
      <c r="D3772">
        <f>IF(Skills!C16=1,60+Inputs!$B$25+Inputs!$B$29,IF(Skills!C16=2,90+Inputs!$B$26+Inputs!$B$29,IF(Skills!C16=3,120+Inputs!$B$27+Inputs!$B$29,MAX(0,(Inputs!$B$3-100)*3)+Inputs!$B$28+Inputs!$B$29)))</f>
        <v/>
      </c>
      <c r="E3772">
        <f>INDEX(FactorTable!$B$2:$Y$301, MATCH(ROUND(MIN(300,MAX(1,D3772)),0), FactorTable!$A$2:$A$301,0), Skills!M16+1)</f>
        <v/>
      </c>
      <c r="F3772">
        <f>IF(Skills!N16=TRUE,(Skills!L16/10)*(E3772/1000),Skills!L16/10)+Skills!O16</f>
        <v/>
      </c>
      <c r="G3772">
        <f>Skills!G16*IF(Skills!H16&gt;0,IF(Inputs!$B$39="pvp",MIN(Skills!I16,15),Skills!I16)/Skills!H16,1)</f>
        <v/>
      </c>
      <c r="H3772">
        <f>1-(1-Skills!J16/100)^Skills!K16</f>
        <v/>
      </c>
      <c r="I3772" t="inlineStr">
        <is>
          <t>1</t>
        </is>
      </c>
      <c r="J3772" t="inlineStr"/>
      <c r="K3772" t="inlineStr"/>
      <c r="L3772" t="inlineStr"/>
      <c r="M3772" t="inlineStr"/>
      <c r="N3772" t="inlineStr"/>
      <c r="O3772">
        <f>(1-Summary!$B$11)*T3772+Summary!$B$11*V3772</f>
        <v/>
      </c>
      <c r="P3772">
        <f>IF(B3802=0,0,O3772/B3802)</f>
        <v/>
      </c>
      <c r="Q3772">
        <f>IFERROR(1/IF(Inputs!$B$39="pvp",15,MAX(0.1,Skills!D16-IF(TRUE=TRUE,5.0,0))),0)</f>
        <v/>
      </c>
      <c r="R3772">
        <f>IF(AND(Inputs!$B$39&lt;&gt;"pvp",Inputs!$B$44&gt;0),IF(Inputs!$B$44&lt;=0,0,(INT(Inputs!$B$44/IF(Inputs!$B$39="pvp",15,MAX(0.1,Skills!D16-IF(TRUE=TRUE,5.0,0))))+1)),0)</f>
        <v/>
      </c>
      <c r="S3772">
        <f>IFERROR(O3772/N3772,0)</f>
        <v/>
      </c>
      <c r="T3772" t="n">
        <v>0</v>
      </c>
      <c r="V3772" t="n">
        <v>0</v>
      </c>
    </row>
    <row r="3773">
      <c r="A3773">
        <f>Skills!A17</f>
        <v/>
      </c>
      <c r="B3773">
        <f>Skills!B17</f>
        <v/>
      </c>
      <c r="C3773">
        <f>Inputs!$B$3&gt;=115</f>
        <v/>
      </c>
      <c r="D3773">
        <f>IF(Skills!C17=1,60+Inputs!$B$25+Inputs!$B$29,IF(Skills!C17=2,90+Inputs!$B$26+Inputs!$B$29,IF(Skills!C17=3,120+Inputs!$B$27+Inputs!$B$29,MAX(0,(Inputs!$B$3-100)*3)+Inputs!$B$28+Inputs!$B$29)))</f>
        <v/>
      </c>
      <c r="E3773">
        <f>INDEX(FactorTable!$B$2:$Y$301, MATCH(ROUND(MIN(300,MAX(1,D3773)),0), FactorTable!$A$2:$A$301,0), Skills!M17+1)</f>
        <v/>
      </c>
      <c r="F3773">
        <f>IF(Skills!N17=TRUE,(Skills!L17/10)*(E3773/1000),Skills!L17/10)+Skills!O17</f>
        <v/>
      </c>
      <c r="G3773">
        <f>Skills!G17*IF(Skills!H17&gt;0,IF(Inputs!$B$39="pvp",MIN(Skills!I17,15),Skills!I17)/Skills!H17,1)</f>
        <v/>
      </c>
      <c r="H3773">
        <f>1-(1-Skills!J17/100)^Skills!K17</f>
        <v/>
      </c>
      <c r="I3773" t="inlineStr">
        <is>
          <t>1</t>
        </is>
      </c>
      <c r="J3773">
        <f>((Inputs!$B$6*(1+Inputs!$B$7/100))+(((Inputs!$B$12*(1+Inputs!$B$13/100))-(Inputs!$B$12*(1+Inputs!$B$13/100)))+0.25*(Inputs!$B$14-Inputs!$B$14))*(1+Inputs!$B$7/100))*(F3773/100)</f>
        <v/>
      </c>
      <c r="K3773">
        <f>J3773*(1+((Inputs!$B$12*(1+Inputs!$B$13/100))*0.01+Inputs!$B$14*0.0025)/100)*(1+Inputs!$B$15/100)*(1+Inputs!$B$16/100)*(5000/(6000+Inputs!$B$43*(1-(100*(1-(1-Inputs!$B$19/100)*(1-CHOOSE(ArtifactsInput!$N$40+1,5,6,7,8,9,10)/100)^(ArtifactsInput!$M$40-ArtifactsInput!$M$40)))/100)))*(1+(Inputs!$B$24+((C3787=TRUE)*(F3787-Calc!F31))+((C3774=TRUE)*(F3774-Calc!F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$11-60))),0)-IF(ArtifactsInput!$M$34,MIN(CHOOSE(ArtifactsInput!$N$34+1,10,12,14,16,18,20),MAX(0,(CHOOSE(ArtifactsInput!$N$34+1,0.5,0.6,0.7,0.8,0.9,1)/3)*(Inputs!$B$11-60))),0)))/100)*(1+(IF(Skills!A17="CRUEL_STAB",Inputs!$B$17+((C3784=TRUE)*(F3784-Calc!F28))+((IF(AND(Inputs!$B$39&lt;&gt;"pvp",Inputs!$B$44=0),1,IF(IF(Inputs!$B$39="pvp",15,Inputs!$B$44)-(B3801)&lt;=0,1,MAX(0,IF(Inputs!$B$39="pvp",15,Inputs!$B$44)-MAX(5,B3801))/(IF(Inputs!$B$39="pvp",15,Inputs!$B$44)-(B3801))))*(IF(AND(ArtifactsInput!$M$42,((Inputs!$B$9+((C3782=TRUE)*(F3782-Calc!F26))+B3790+(ArtifactsInput!$M$24-ArtifactsInput!$M$24)*CHOOSE(ArtifactsInput!$N$24+1,10,12,14,16,18,20)+IF(ArtifactsInput!$M$10,CHOOSE(ArtifactsInput!$N$10+1,15,18,21,24,27,30)*(IF(Inputs!$B$39="pvp",MIN(15,15)/15,IF(AND(Inputs!$B$39&lt;&gt;"pvp",Inputs!$B$44&gt;0),MIN(15,Inputs!$B$44)/(Inputs!$B$44),0))),0)))&gt;=100),MIN(100,((Inputs!$B$9+((C3782=TRUE)*(F3782-Calc!F26))+B3790+(ArtifactsInput!$M$24-ArtifactsInput!$M$24)*CHOOSE(ArtifactsInput!$N$24+1,10,12,14,16,18,20)+IF(ArtifactsInput!$M$10,CHOOSE(ArtifactsInput!$N$10+1,15,18,21,24,27,30)*(IF(Inputs!$B$39="pvp",MIN(15,15)/15,IF(AND(Inputs!$B$39&lt;&gt;"pvp",Inputs!$B$44&gt;0),MIN(15,Inputs!$B$44)/(Inputs!$B$44),0))),0)))-100),0))*CHOOSE(ArtifactsInput!$N$42+1,0.6,0.72,0.84,0.96,1.08,1.2))),Inputs!$B$18+((C3785=TRUE)*(F3785-Calc!F29))+(IF(AND(Inputs!$B$39&lt;&gt;"pvp",Inputs!$B$44=0),1,IF(IF(Inputs!$B$39="pvp",15,Inputs!$B$44)-(B3801)&lt;=0,1,MAX(0,IF(Inputs!$B$39="pvp",15,Inputs!$B$44)-MAX(5,B3801))/(IF(Inputs!$B$39="pvp",15,Inputs!$B$44)-(B3801))))*IF(AND(ArtifactsInput!$M$42,((Inputs!$B$9+((C3782=TRUE)*(F3782-Calc!F26))+B3790+(ArtifactsInput!$M$24-ArtifactsInput!$M$24)*CHOOSE(ArtifactsInput!$N$24+1,10,12,14,16,18,20)+IF(ArtifactsInput!$M$10,CHOOSE(ArtifactsInput!$N$10+1,15,18,21,24,27,30)*(IF(Inputs!$B$39="pvp",MIN(15,15)/15,IF(AND(Inputs!$B$39&lt;&gt;"pvp",Inputs!$B$44&gt;0),MIN(15,Inputs!$B$44)/(Inputs!$B$44),0))),0)))&gt;=100),CHOOSE(ArtifactsInput!$N$42+1,40,48,56,64,72,80),0))))/100)*(((1+(((C3778=TRUE)*F3778*IF(AND(Inputs!$B$39&lt;&gt;"pvp",Inputs!$B$44&gt;0),(((R3778-1)*MIN((Skills!Y22*(1+Inputs!$B$34/100)),(1/Q3778))+MIN((Skills!Y22*(1+Inputs!$B$34/100)),MAX(0,Inputs!$B$44-((R3778-1)*(1/Q3778)))))/Inputs!$B$44),IF(Inputs!$B$39="pvp",MIN((Skills!Y22*(1+Inputs!$B$34/100)),15)/15,MIN(1,(Skills!Y22*(1+Inputs!$B$34/100))/(1/Q3778)))))+((C3759=TRUE)*F3759*3)+((C3761=TRUE)*F3761*(1-EXP(-0.75*B3794*5)))+((C3780=TRUE)*(F3780-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3767=TRUE)*F3767*IF(AND(Inputs!$B$39&lt;&gt;"pvp",Inputs!$B$44&gt;0),(((R3767-1)*MIN((Skills!Y11*(1+Inputs!$B$34/100)),(1/Q3767))+MIN((Skills!Y11*(1+Inputs!$B$34/100)),MAX(0,Inputs!$B$44-((R3767-1)*(1/Q3767)))))/Inputs!$B$44),IF(Inputs!$B$39="pvp",MIN((Skills!Y11*(1+Inputs!$B$34/100)),15)/15,MIN(1,(Skills!Y11*(1+Inputs!$B$34/100))/(1/Q3767)))))/100)*(1+((C3772=TRUE)*F3772*IF(AND(Inputs!$B$39&lt;&gt;"pvp",Inputs!$B$44&gt;0),(((R3772-1)*MIN((Skills!Y16*(1+Inputs!$B$34/100)),(1/Q3772))+MIN((Skills!Y16*(1+Inputs!$B$34/100)),MAX(0,Inputs!$B$44-((R3772-1)*(1/Q3772)))))/Inputs!$B$44),IF(Inputs!$B$39="pvp",MIN((Skills!Y16*(1+Inputs!$B$34/100)),15)/15,MIN(1,(Skills!Y16*(1+Inputs!$B$34/100))/(1/Q3772)))))/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B3792*I3773)</f>
        <v/>
      </c>
      <c r="L3773">
        <f>K3773*(MIN(Inputs!$B$22+((C3781=TRUE)*(F3781-Calc!F25)),(Inputs!$B$23+((C3786=TRUE)*(F3786-Calc!F30))+IF(ArtifactsInput!$M$15,CHOOSE(ArtifactsInput!$N$15+1,25,30,35,40,45,50)/100*(Inputs!$B$11-Inputs!$B$11),0)))/100+(Inputs!$B$23+((C3786=TRUE)*(F3786-Calc!F30))+IF(ArtifactsInput!$M$15,CHOOSE(ArtifactsInput!$N$15+1,25,30,35,40,45,50)/100*(Inputs!$B$11-Inputs!$B$11),0))/100)/2</f>
        <v/>
      </c>
      <c r="M3773">
        <f>L3773*(1+(Inputs!$B$10+((C3783=TRUE)*(F3783-Calc!F27))+B3797+(IF(ArtifactsInput!$M$24,CHOOSE(ArtifactsInput!$N$24+1,30,36,42,48,54,60)/100*(Inputs!$B$9-Inputs!$B$9),0)+IF(ArtifactsInput!$M$10,CHOOSE(ArtifactsInput!$N$10+1,20,24,28,32,36,40)*(IF(Inputs!$B$39="pvp",MIN(15,15)/15,IF(AND(Inputs!$B$39&lt;&gt;"pvp",Inputs!$B$44&gt;0),MIN(15,Inputs!$B$44)/(Inputs!$B$44),0))),0)+IF(ArtifactsInput!$M$31,1.5*CHOOSE(ArtifactsInput!$N$31+1,20,24,28,32,36,40),0)))/100)</f>
        <v/>
      </c>
      <c r="N3773">
        <f>L3773*(1-MIN((Inputs!$B$9+((C3782=TRUE)*(F3782-Calc!F26))+B3790+(ArtifactsInput!$M$24-ArtifactsInput!$M$24)*CHOOSE(ArtifactsInput!$N$24+1,10,12,14,16,18,20)+(IF(AND(Inputs!$B$39&lt;&gt;"pvp",Inputs!$B$44=0),1,IF(IF(Inputs!$B$39="pvp",15,Inputs!$B$44)-(B3801)&lt;=0,1,MAX(0,IF(Inputs!$B$39="pvp",15,Inputs!$B$44)-MAX(5,B3801))/(IF(Inputs!$B$39="pvp",15,Inputs!$B$44)-(B3801))))*IF(AND(ArtifactsInput!$M$42,((Inputs!$B$9+((C3782=TRUE)*(F3782-Calc!F26))+B3790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3773*(MIN((Inputs!$B$9+((C3782=TRUE)*(F3782-Calc!F26))+B3790+(ArtifactsInput!$M$24-ArtifactsInput!$M$24)*CHOOSE(ArtifactsInput!$N$24+1,10,12,14,16,18,20)+(IF(AND(Inputs!$B$39&lt;&gt;"pvp",Inputs!$B$44=0),1,IF(IF(Inputs!$B$39="pvp",15,Inputs!$B$44)-(B3801)&lt;=0,1,MAX(0,IF(Inputs!$B$39="pvp",15,Inputs!$B$44)-MAX(5,B3801))/(IF(Inputs!$B$39="pvp",15,Inputs!$B$44)-(B3801))))*IF(AND(ArtifactsInput!$M$42,((Inputs!$B$9+((C3782=TRUE)*(F3782-Calc!F26))+B3790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3773">
        <f>(1-Summary!$B$11)*T3773+Summary!$B$11*V3773</f>
        <v/>
      </c>
      <c r="P3773">
        <f>IF(B3802=0,0,O3773/B3802)</f>
        <v/>
      </c>
      <c r="Q3773" t="n">
        <v>0</v>
      </c>
      <c r="R3773" t="n">
        <v>0</v>
      </c>
      <c r="S3773">
        <f>IFERROR(O3773/N3773,0)</f>
        <v/>
      </c>
      <c r="T3773">
        <f>IF(C3773,(Inputs!$B$38*0.2*N3773)*IF(Inputs!$B$39="pvp",1,1+(Inputs!$B$20+0+Skills!P17+B3791+(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IF(AND(ArtifactsInput!$M$35,Inputs!$B$4&lt;&gt;"Chapter Hunt"),CHOOSE(ArtifactsInput!$N$35+1,15,18,21,24,27,30)*(1-EXP(-(0.2*B3794)*5)),0)+IF(AND(ArtifactsInput!$M$22,Inputs!$B$4&lt;&gt;"Chapter Hunt"),CHOOSE(ArtifactsInput!$N$22+1,10,12,14,16,18,20)*((0*(((0.15*B3794*5))^0/1)+1*(((0.15*B3794*5))^1/1)+2*(((0.15*B3794*5))^2/2)+3*(((0.15*B3794*5))^3/6)+4*(((0.15*B3794*5))^4/24)+5*(((0.15*B3794*5))^5/120))/((((0.15*B3794*5))^0/1)+(((0.15*B3794*5))^1/1)+(((0.15*B3794*5))^2/2)+(((0.15*B3794*5))^3/6)+(((0.15*B3794*5))^4/24)+(((0.15*B3794*5))^5/120))),0)))/100)*((((5000/(6000+Inputs!$B$43*(1-(100*(1-(1-(100*(1-(1-Inputs!$B$19/100)*(1-CHOOSE(ArtifactsInput!$N$40+1,5,6,7,8,9,10)/100)^(ArtifactsInput!$M$40-ArtifactsInput!$M$40)))/100)*(1-IF(ArtifactsInput!$M$40,CHOOSE(ArtifactsInput!$N$40+1,5,6,7,8,9,10),0)/100)^IF(Inputs!$B$39="pvp",1,2)))/100)))/(5000/(6000+Inputs!$B$43*(1-(100*(1-(1-Inputs!$B$19/100)*(1-CHOOSE(ArtifactsInput!$N$40+1,5,6,7,8,9,10)/100)^(ArtifactsInput!$M$40-ArtifactsInput!$M$40)))/100))))*((L3773*(1-MIN(100,(Inputs!$B$9+((C3782=TRUE)*(F3782-Calc!F26))+B3790+(ArtifactsInput!$M$24-ArtifactsInput!$M$24)*CHOOSE(ArtifactsInput!$N$24+1,10,12,14,16,18,20)+(IF(AND(Inputs!$B$39&lt;&gt;"pvp",Inputs!$B$44=0),1,IF(IF(Inputs!$B$39="pvp",15,Inputs!$B$44)-(B3801)&lt;=0,1,MAX(0,IF(Inputs!$B$39="pvp",15,Inputs!$B$44)-MAX(5,B3801))/(IF(Inputs!$B$39="pvp",15,Inputs!$B$44)-(B3801))))*IF(AND(ArtifactsInput!$M$42,((Inputs!$B$9+((C3782=TRUE)*(F3782-Calc!F26))+B3790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3773*(MIN(100,(Inputs!$B$9+((C3782=TRUE)*(F3782-Calc!F26))+B3790+(ArtifactsInput!$M$24-ArtifactsInput!$M$24)*CHOOSE(ArtifactsInput!$N$24+1,10,12,14,16,18,20)+(IF(AND(Inputs!$B$39&lt;&gt;"pvp",Inputs!$B$44=0),1,IF(IF(Inputs!$B$39="pvp",15,Inputs!$B$44)-(B3801)&lt;=0,1,MAX(0,IF(Inputs!$B$39="pvp",15,Inputs!$B$44)-MAX(5,B3801))/(IF(Inputs!$B$39="pvp",15,Inputs!$B$44)-(B3801))))*IF(AND(ArtifactsInput!$M$42,((Inputs!$B$9+((C3782=TRUE)*(F3782-Calc!F26))+B3790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3773*(1-MIN(100,(Inputs!$B$9+((C3782=TRUE)*(F3782-Calc!F26))+B3790+(ArtifactsInput!$M$24-ArtifactsInput!$M$24)*CHOOSE(ArtifactsInput!$N$24+1,10,12,14,16,18,20)+(IF(AND(Inputs!$B$39&lt;&gt;"pvp",Inputs!$B$44=0),1,IF(IF(Inputs!$B$39="pvp",15,Inputs!$B$44)-(B3801)&lt;=0,1,MAX(0,IF(Inputs!$B$39="pvp",15,Inputs!$B$44)-MAX(5,B3801))/(IF(Inputs!$B$39="pvp",15,Inputs!$B$44)-(B3801))))*IF(AND(ArtifactsInput!$M$42,((Inputs!$B$9+((C3782=TRUE)*(F3782-Calc!F26))+B3790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3773*(MIN(100,(Inputs!$B$9+((C3782=TRUE)*(F3782-Calc!F26))+B3790+(ArtifactsInput!$M$24-ArtifactsInput!$M$24)*CHOOSE(ArtifactsInput!$N$24+1,10,12,14,16,18,20)+(IF(AND(Inputs!$B$39&lt;&gt;"pvp",Inputs!$B$44=0),1,IF(IF(Inputs!$B$39="pvp",15,Inputs!$B$44)-(B3801)&lt;=0,1,MAX(0,IF(Inputs!$B$39="pvp",15,Inputs!$B$44)-MAX(5,B3801))/(IF(Inputs!$B$39="pvp",15,Inputs!$B$44)-(B3801))))*IF(AND(ArtifactsInput!$M$42,((Inputs!$B$9+((C3782=TRUE)*(F3782-Calc!F26))+B3790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3773">
        <f>IF(C3773,(Inputs!$B$38*0.2*N3773)*IF(Inputs!$B$39="pvp",1,(1+(Inputs!$B$21+Skills!Q17+B3791+(IF(ArtifactsInput!$M$33,CHOOSE(ArtifactsInput!$N$33+1,30,36,42,48,54,60),0))+(IF(AND(ArtifactsInput!$M$35,Inputs!$B$4&lt;&gt;"Chapter Hunt"),CHOOSE(ArtifactsInput!$N$35+1,15,18,21,24,27,30)*(1-EXP(-(0.2*B3794)*5)),0)+IF(AND(ArtifactsInput!$M$22,Inputs!$B$4&lt;&gt;"Chapter Hunt"),CHOOSE(ArtifactsInput!$N$22+1,10,12,14,16,18,20)*((0*(((0.15*B3794*5))^0/1)+1*(((0.15*B3794*5))^1/1)+2*(((0.15*B3794*5))^2/2)+3*(((0.15*B3794*5))^3/6)+4*(((0.15*B3794*5))^4/24)+5*(((0.15*B3794*5))^5/120))/((((0.15*B3794*5))^0/1)+(((0.15*B3794*5))^1/1)+(((0.15*B3794*5))^2/2)+(((0.15*B3794*5))^3/6)+(((0.15*B3794*5))^4/24)+(((0.15*B3794*5))^5/120))),0)))/100)*(MIN(Skills!W17,Inputs!$B$37)))*((1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3774">
      <c r="A3774">
        <f>Skills!A18</f>
        <v/>
      </c>
      <c r="B3774">
        <f>Skills!B18</f>
        <v/>
      </c>
      <c r="C3774">
        <f>Inputs!$B$3&gt;=115</f>
        <v/>
      </c>
      <c r="D3774">
        <f>IF(Skills!C18=1,60+Inputs!$B$25+Inputs!$B$29,IF(Skills!C18=2,90+Inputs!$B$26+Inputs!$B$29,IF(Skills!C18=3,120+Inputs!$B$27+Inputs!$B$29,MAX(0,(Inputs!$B$3-100)*3)+Inputs!$B$28+Inputs!$B$29)))</f>
        <v/>
      </c>
      <c r="E3774">
        <f>INDEX(FactorTable!$B$2:$Y$301, MATCH(ROUND(MIN(300,MAX(1,D3774)),0), FactorTable!$A$2:$A$301,0), Skills!M18+1)</f>
        <v/>
      </c>
      <c r="F3774">
        <f>IF(Skills!N18=TRUE,(Skills!L18/10)*(E3774/1000),Skills!L18/10)+Skills!O18</f>
        <v/>
      </c>
      <c r="G3774">
        <f>Skills!G18*IF(Skills!H18&gt;0,IF(Inputs!$B$39="pvp",MIN(Skills!I18,15),Skills!I18)/Skills!H18,1)</f>
        <v/>
      </c>
      <c r="H3774">
        <f>1-(1-Skills!J18/100)^Skills!K18</f>
        <v/>
      </c>
      <c r="I3774" t="inlineStr">
        <is>
          <t>1</t>
        </is>
      </c>
      <c r="J3774" t="inlineStr"/>
      <c r="K3774" t="inlineStr"/>
      <c r="L3774" t="inlineStr"/>
      <c r="M3774" t="inlineStr"/>
      <c r="N3774" t="inlineStr"/>
      <c r="O3774">
        <f>(1-Summary!$B$11)*T3774+Summary!$B$11*V3774</f>
        <v/>
      </c>
      <c r="P3774">
        <f>IF(B3802=0,0,O3774/B3802)</f>
        <v/>
      </c>
      <c r="Q3774" t="n">
        <v>0</v>
      </c>
      <c r="R3774" t="n">
        <v>0</v>
      </c>
      <c r="S3774">
        <f>IFERROR(O3774/N3774,0)</f>
        <v/>
      </c>
      <c r="T3774" t="n">
        <v>0</v>
      </c>
      <c r="V3774" t="n">
        <v>0</v>
      </c>
    </row>
    <row r="3775">
      <c r="A3775">
        <f>Skills!A19</f>
        <v/>
      </c>
      <c r="B3775">
        <f>Skills!B19</f>
        <v/>
      </c>
      <c r="C3775">
        <f>Inputs!$B$3&gt;=100</f>
        <v/>
      </c>
      <c r="D3775">
        <f>IF(Skills!C19=1,60+Inputs!$B$25+Inputs!$B$29,IF(Skills!C19=2,90+Inputs!$B$26+Inputs!$B$29,IF(Skills!C19=3,120+Inputs!$B$27+Inputs!$B$29,MAX(0,(Inputs!$B$3-100)*3)+Inputs!$B$28+Inputs!$B$29)))</f>
        <v/>
      </c>
      <c r="E3775">
        <f>INDEX(FactorTable!$B$2:$Y$301, MATCH(ROUND(MIN(300,MAX(1,D3775)),0), FactorTable!$A$2:$A$301,0), Skills!M19+1)</f>
        <v/>
      </c>
      <c r="F3775">
        <f>IF(Skills!N19=TRUE,(Skills!L19/10)*(E3775/1000),Skills!L19/10)+Skills!O19</f>
        <v/>
      </c>
      <c r="G3775">
        <f>Skills!G19*IF(Skills!H19&gt;0,IF(Inputs!$B$39="pvp",MIN(Skills!I19,15),Skills!I19)/Skills!H19,1)</f>
        <v/>
      </c>
      <c r="H3775">
        <f>1-(1-Skills!J19/100)^Skills!K19</f>
        <v/>
      </c>
      <c r="I3775" t="inlineStr">
        <is>
          <t>1</t>
        </is>
      </c>
      <c r="J3775" t="inlineStr"/>
      <c r="K3775" t="inlineStr"/>
      <c r="L3775" t="inlineStr"/>
      <c r="M3775" t="inlineStr"/>
      <c r="N3775" t="inlineStr"/>
      <c r="O3775">
        <f>(1-Summary!$B$11)*T3775+Summary!$B$11*V3775</f>
        <v/>
      </c>
      <c r="P3775">
        <f>IF(B3802=0,0,O3775/B3802)</f>
        <v/>
      </c>
      <c r="Q3775" t="n">
        <v>0</v>
      </c>
      <c r="R3775" t="n">
        <v>0</v>
      </c>
      <c r="S3775">
        <f>IFERROR(O3775/N3775,0)</f>
        <v/>
      </c>
      <c r="T3775" t="n">
        <v>0</v>
      </c>
      <c r="V3775" t="n">
        <v>0</v>
      </c>
    </row>
    <row r="3776">
      <c r="A3776">
        <f>Skills!A20</f>
        <v/>
      </c>
      <c r="B3776">
        <f>Skills!B20</f>
        <v/>
      </c>
      <c r="C3776">
        <f>TRUE</f>
        <v/>
      </c>
      <c r="D3776">
        <f>IF(Skills!C20=1,60+Inputs!$B$25+Inputs!$B$29,IF(Skills!C20=2,90+Inputs!$B$26+Inputs!$B$29,IF(Skills!C20=3,120+Inputs!$B$27+Inputs!$B$29,MAX(0,(Inputs!$B$3-100)*3)+Inputs!$B$28+Inputs!$B$29)))</f>
        <v/>
      </c>
      <c r="E3776">
        <f>INDEX(FactorTable!$B$2:$Y$301, MATCH(ROUND(MIN(300,MAX(1,D3776)),0), FactorTable!$A$2:$A$301,0), Skills!M20+1)</f>
        <v/>
      </c>
      <c r="F3776">
        <f>IF(Skills!N20=TRUE,(Skills!L20/10)*(E3776/1000),Skills!L20/10)+Skills!O20</f>
        <v/>
      </c>
      <c r="G3776">
        <f>Skills!G20*IF(Skills!H20&gt;0,IF(Inputs!$B$39="pvp",MIN(Skills!I20,15),Skills!I20)/Skills!H20,1)</f>
        <v/>
      </c>
      <c r="H3776">
        <f>1-(1-Skills!J20/100)^Skills!K20</f>
        <v/>
      </c>
      <c r="I3776" t="inlineStr">
        <is>
          <t>1</t>
        </is>
      </c>
      <c r="J3776" t="inlineStr"/>
      <c r="K3776" t="inlineStr"/>
      <c r="L3776" t="inlineStr"/>
      <c r="M3776" t="inlineStr"/>
      <c r="N3776" t="inlineStr"/>
      <c r="O3776">
        <f>(1-Summary!$B$11)*T3776+Summary!$B$11*V3776</f>
        <v/>
      </c>
      <c r="P3776">
        <f>IF(B3802=0,0,O3776/B3802)</f>
        <v/>
      </c>
      <c r="Q3776">
        <f>IFERROR(1/IF(Inputs!$B$39="pvp",15,MAX(0.1,Skills!D20-IF(TRUE=TRUE,5.0,0))),0)</f>
        <v/>
      </c>
      <c r="R3776">
        <f>IF(AND(Inputs!$B$39&lt;&gt;"pvp",Inputs!$B$44&gt;0),IF(Inputs!$B$44&lt;=0,0,(INT(Inputs!$B$44/IF(Inputs!$B$39="pvp",15,MAX(0.1,Skills!D20-IF(TRUE=TRUE,5.0,0))))+1)),0)</f>
        <v/>
      </c>
      <c r="S3776">
        <f>IFERROR(O3776/N3776,0)</f>
        <v/>
      </c>
      <c r="T3776" t="n">
        <v>0</v>
      </c>
      <c r="V3776" t="n">
        <v>0</v>
      </c>
    </row>
    <row r="3777">
      <c r="A3777">
        <f>Skills!A21</f>
        <v/>
      </c>
      <c r="B3777">
        <f>Skills!B21</f>
        <v/>
      </c>
      <c r="C3777">
        <f>Inputs!$B$3&gt;=15</f>
        <v/>
      </c>
      <c r="D3777">
        <f>IF(Skills!C21=1,60+Inputs!$B$25+Inputs!$B$29,IF(Skills!C21=2,90+Inputs!$B$26+Inputs!$B$29,IF(Skills!C21=3,120+Inputs!$B$27+Inputs!$B$29,MAX(0,(Inputs!$B$3-100)*3)+Inputs!$B$28+Inputs!$B$29)))</f>
        <v/>
      </c>
      <c r="E3777">
        <f>INDEX(FactorTable!$B$2:$Y$301, MATCH(ROUND(MIN(300,MAX(1,D3777)),0), FactorTable!$A$2:$A$301,0), Skills!M21+1)</f>
        <v/>
      </c>
      <c r="F3777">
        <f>IF(Skills!N21=TRUE,(Skills!L21/10)*(E3777/1000),Skills!L21/10)+Skills!O21</f>
        <v/>
      </c>
      <c r="G3777">
        <f>Skills!G21*IF(Skills!H21&gt;0,IF(Inputs!$B$39="pvp",MIN(Skills!I21,15),Skills!I21)/Skills!H21,1)</f>
        <v/>
      </c>
      <c r="H3777">
        <f>1-(1-Skills!J21/100)^Skills!K21</f>
        <v/>
      </c>
      <c r="I3777" t="inlineStr">
        <is>
          <t>1</t>
        </is>
      </c>
      <c r="J3777" t="inlineStr"/>
      <c r="K3777" t="inlineStr"/>
      <c r="L3777" t="inlineStr"/>
      <c r="M3777" t="inlineStr"/>
      <c r="N3777" t="inlineStr"/>
      <c r="O3777">
        <f>(1-Summary!$B$11)*T3777+Summary!$B$11*V3777</f>
        <v/>
      </c>
      <c r="P3777">
        <f>IF(B3802=0,0,O3777/B3802)</f>
        <v/>
      </c>
      <c r="Q3777">
        <f>IFERROR(1/IF(Inputs!$B$39="pvp",15,MAX(0.1,Skills!D21-IF(TRUE=TRUE,5.0,0))),0)</f>
        <v/>
      </c>
      <c r="R3777">
        <f>IF(AND(Inputs!$B$39&lt;&gt;"pvp",Inputs!$B$44&gt;0),IF(Inputs!$B$44&lt;=0,0,(INT(Inputs!$B$44/IF(Inputs!$B$39="pvp",15,MAX(0.1,Skills!D21-IF(TRUE=TRUE,5.0,0))))+1)),0)</f>
        <v/>
      </c>
      <c r="S3777">
        <f>IFERROR(O3777/N3777,0)</f>
        <v/>
      </c>
      <c r="T3777" t="n">
        <v>0</v>
      </c>
      <c r="V3777" t="n">
        <v>0</v>
      </c>
    </row>
    <row r="3778">
      <c r="A3778">
        <f>Skills!A22</f>
        <v/>
      </c>
      <c r="B3778">
        <f>Skills!B22</f>
        <v/>
      </c>
      <c r="C3778">
        <f>Inputs!$B$3&gt;=15</f>
        <v/>
      </c>
      <c r="D3778">
        <f>IF(Skills!C22=1,60+Inputs!$B$25+Inputs!$B$29,IF(Skills!C22=2,90+Inputs!$B$26+Inputs!$B$29,IF(Skills!C22=3,120+Inputs!$B$27+Inputs!$B$29,MAX(0,(Inputs!$B$3-100)*3)+Inputs!$B$28+Inputs!$B$29)))</f>
        <v/>
      </c>
      <c r="E3778">
        <f>INDEX(FactorTable!$B$2:$Y$301, MATCH(ROUND(MIN(300,MAX(1,D3778)),0), FactorTable!$A$2:$A$301,0), Skills!M22+1)</f>
        <v/>
      </c>
      <c r="F3778">
        <f>IF(Skills!N22=TRUE,(Skills!L22/10)*(E3778/1000),Skills!L22/10)+Skills!O22</f>
        <v/>
      </c>
      <c r="G3778">
        <f>Skills!G22*IF(Skills!H22&gt;0,IF(Inputs!$B$39="pvp",MIN(Skills!I22,15),Skills!I22)/Skills!H22,1)</f>
        <v/>
      </c>
      <c r="H3778">
        <f>1-(1-Skills!J22/100)^Skills!K22</f>
        <v/>
      </c>
      <c r="I3778" t="inlineStr">
        <is>
          <t>1</t>
        </is>
      </c>
      <c r="J3778" t="inlineStr"/>
      <c r="K3778" t="inlineStr"/>
      <c r="L3778" t="inlineStr"/>
      <c r="M3778" t="inlineStr"/>
      <c r="N3778" t="inlineStr"/>
      <c r="O3778">
        <f>(1-Summary!$B$11)*T3778+Summary!$B$11*V3778</f>
        <v/>
      </c>
      <c r="P3778">
        <f>IF(B3802=0,0,O3778/B3802)</f>
        <v/>
      </c>
      <c r="Q3778">
        <f>IFERROR(1/IF(Inputs!$B$39="pvp",15,MAX(0.1,Skills!D22-IF(TRUE=TRUE,5.0,0))),0)</f>
        <v/>
      </c>
      <c r="R3778">
        <f>IF(AND(Inputs!$B$39&lt;&gt;"pvp",Inputs!$B$44&gt;0),IF(Inputs!$B$44&lt;=0,0,(INT(Inputs!$B$44/IF(Inputs!$B$39="pvp",15,MAX(0.1,Skills!D22-IF(TRUE=TRUE,5.0,0))))+1)),0)</f>
        <v/>
      </c>
      <c r="S3778">
        <f>IFERROR(O3778/N3778,0)</f>
        <v/>
      </c>
      <c r="T3778" t="n">
        <v>0</v>
      </c>
      <c r="V3778" t="n">
        <v>0</v>
      </c>
    </row>
    <row r="3779">
      <c r="A3779">
        <f>Skills!A23</f>
        <v/>
      </c>
      <c r="B3779">
        <f>Skills!B23</f>
        <v/>
      </c>
      <c r="C3779">
        <f>Inputs!$B$3&gt;=33</f>
        <v/>
      </c>
      <c r="D3779">
        <f>IF(Skills!C23=1,60+Inputs!$B$25+Inputs!$B$29,IF(Skills!C23=2,90+Inputs!$B$26+Inputs!$B$29,IF(Skills!C23=3,120+Inputs!$B$27+Inputs!$B$29,MAX(0,(Inputs!$B$3-100)*3)+Inputs!$B$28+Inputs!$B$29)))</f>
        <v/>
      </c>
      <c r="E3779">
        <f>INDEX(FactorTable!$B$2:$Y$301, MATCH(ROUND(MIN(300,MAX(1,D3779)),0), FactorTable!$A$2:$A$301,0), Skills!M23+1)</f>
        <v/>
      </c>
      <c r="F3779">
        <f>IF(Skills!N23=TRUE,(Skills!L23/10)*(E3779/1000),Skills!L23/10)+Skills!O23</f>
        <v/>
      </c>
      <c r="G3779">
        <f>Skills!G23*IF(Skills!H23&gt;0,IF(Inputs!$B$39="pvp",MIN(Skills!I23,15),Skills!I23)/Skills!H23,1)</f>
        <v/>
      </c>
      <c r="H3779">
        <f>1-(1-Skills!J23/100)^Skills!K23</f>
        <v/>
      </c>
      <c r="I3779" t="inlineStr">
        <is>
          <t>1</t>
        </is>
      </c>
      <c r="J3779" t="inlineStr"/>
      <c r="K3779" t="inlineStr"/>
      <c r="L3779" t="inlineStr"/>
      <c r="M3779" t="inlineStr"/>
      <c r="N3779" t="inlineStr"/>
      <c r="O3779">
        <f>(1-Summary!$B$11)*T3779+Summary!$B$11*V3779</f>
        <v/>
      </c>
      <c r="P3779">
        <f>IF(B3802=0,0,O3779/B3802)</f>
        <v/>
      </c>
      <c r="Q3779" t="n">
        <v>0</v>
      </c>
      <c r="R3779" t="n">
        <v>0</v>
      </c>
      <c r="S3779">
        <f>IFERROR(O3779/N3779,0)</f>
        <v/>
      </c>
      <c r="T3779" t="n">
        <v>0</v>
      </c>
      <c r="V3779" t="n">
        <v>0</v>
      </c>
    </row>
    <row r="3780">
      <c r="A3780">
        <f>Skills!A24</f>
        <v/>
      </c>
      <c r="B3780">
        <f>Skills!B24</f>
        <v/>
      </c>
      <c r="C3780">
        <f>Inputs!$B$3&gt;=40</f>
        <v/>
      </c>
      <c r="D3780">
        <f>IF(Skills!C24=1,60+Inputs!$B$25+Inputs!$B$29,IF(Skills!C24=2,90+Inputs!$B$26+Inputs!$B$29,IF(Skills!C24=3,120+Inputs!$B$27+Inputs!$B$29,MAX(0,(Inputs!$B$3-100)*3)+Inputs!$B$28+Inputs!$B$29)))</f>
        <v/>
      </c>
      <c r="E3780">
        <f>INDEX(FactorTable!$B$2:$Y$301, MATCH(ROUND(MIN(300,MAX(1,D3780)),0), FactorTable!$A$2:$A$301,0), Skills!M24+1)</f>
        <v/>
      </c>
      <c r="F3780">
        <f>IF(Skills!N24=TRUE,(Skills!L24/10)*(E3780/1000),Skills!L24/10)+Skills!O24</f>
        <v/>
      </c>
      <c r="G3780">
        <f>Skills!G24*IF(Skills!H24&gt;0,IF(Inputs!$B$39="pvp",MIN(Skills!I24,15),Skills!I24)/Skills!H24,1)</f>
        <v/>
      </c>
      <c r="H3780">
        <f>1-(1-Skills!J24/100)^Skills!K24</f>
        <v/>
      </c>
      <c r="I3780" t="inlineStr">
        <is>
          <t>1</t>
        </is>
      </c>
      <c r="J3780" t="inlineStr"/>
      <c r="K3780" t="inlineStr"/>
      <c r="L3780" t="inlineStr"/>
      <c r="M3780" t="inlineStr"/>
      <c r="N3780" t="inlineStr"/>
      <c r="O3780">
        <f>(1-Summary!$B$11)*T3780+Summary!$B$11*V3780</f>
        <v/>
      </c>
      <c r="P3780">
        <f>IF(B3802=0,0,O3780/B3802)</f>
        <v/>
      </c>
      <c r="Q3780" t="n">
        <v>0</v>
      </c>
      <c r="R3780" t="n">
        <v>0</v>
      </c>
      <c r="S3780">
        <f>IFERROR(O3780/N3780,0)</f>
        <v/>
      </c>
      <c r="T3780" t="n">
        <v>0</v>
      </c>
      <c r="V3780" t="n">
        <v>0</v>
      </c>
    </row>
    <row r="3781">
      <c r="A3781">
        <f>Skills!A25</f>
        <v/>
      </c>
      <c r="B3781">
        <f>Skills!B25</f>
        <v/>
      </c>
      <c r="C3781">
        <f>Inputs!$B$3&gt;=43</f>
        <v/>
      </c>
      <c r="D3781">
        <f>IF(Skills!C25=1,60+Inputs!$B$25+Inputs!$B$29,IF(Skills!C25=2,90+Inputs!$B$26+Inputs!$B$29,IF(Skills!C25=3,120+Inputs!$B$27+Inputs!$B$29,MAX(0,(Inputs!$B$3-100)*3)+Inputs!$B$28+Inputs!$B$29)))</f>
        <v/>
      </c>
      <c r="E3781">
        <f>INDEX(FactorTable!$B$2:$Y$301, MATCH(ROUND(MIN(300,MAX(1,D3781)),0), FactorTable!$A$2:$A$301,0), Skills!M25+1)</f>
        <v/>
      </c>
      <c r="F3781">
        <f>IF(Skills!N25=TRUE,(Skills!L25/10)*(E3781/1000),Skills!L25/10)+Skills!O25</f>
        <v/>
      </c>
      <c r="G3781">
        <f>Skills!G25*IF(Skills!H25&gt;0,IF(Inputs!$B$39="pvp",MIN(Skills!I25,15),Skills!I25)/Skills!H25,1)</f>
        <v/>
      </c>
      <c r="H3781">
        <f>1-(1-Skills!J25/100)^Skills!K25</f>
        <v/>
      </c>
      <c r="I3781" t="inlineStr">
        <is>
          <t>1</t>
        </is>
      </c>
      <c r="J3781" t="inlineStr"/>
      <c r="K3781" t="inlineStr"/>
      <c r="L3781" t="inlineStr"/>
      <c r="M3781" t="inlineStr"/>
      <c r="N3781" t="inlineStr"/>
      <c r="O3781">
        <f>(1-Summary!$B$11)*T3781+Summary!$B$11*V3781</f>
        <v/>
      </c>
      <c r="P3781">
        <f>IF(B3802=0,0,O3781/B3802)</f>
        <v/>
      </c>
      <c r="Q3781" t="n">
        <v>0</v>
      </c>
      <c r="R3781" t="n">
        <v>0</v>
      </c>
      <c r="S3781">
        <f>IFERROR(O3781/N3781,0)</f>
        <v/>
      </c>
      <c r="T3781" t="n">
        <v>0</v>
      </c>
      <c r="V3781" t="n">
        <v>0</v>
      </c>
    </row>
    <row r="3782">
      <c r="A3782">
        <f>Skills!A26</f>
        <v/>
      </c>
      <c r="B3782">
        <f>Skills!B26</f>
        <v/>
      </c>
      <c r="C3782">
        <f>Inputs!$B$3&gt;=50</f>
        <v/>
      </c>
      <c r="D3782">
        <f>IF(Skills!C26=1,60+Inputs!$B$25+Inputs!$B$29,IF(Skills!C26=2,90+Inputs!$B$26+Inputs!$B$29,IF(Skills!C26=3,120+Inputs!$B$27+Inputs!$B$29,MAX(0,(Inputs!$B$3-100)*3)+Inputs!$B$28+Inputs!$B$29)))</f>
        <v/>
      </c>
      <c r="E3782">
        <f>INDEX(FactorTable!$B$2:$Y$301, MATCH(ROUND(MIN(300,MAX(1,D3782)),0), FactorTable!$A$2:$A$301,0), Skills!M26+1)</f>
        <v/>
      </c>
      <c r="F3782">
        <f>IF(Skills!N26=TRUE,(Skills!L26/10)*(E3782/1000),Skills!L26/10)+Skills!O26</f>
        <v/>
      </c>
      <c r="G3782">
        <f>Skills!G26*IF(Skills!H26&gt;0,IF(Inputs!$B$39="pvp",MIN(Skills!I26,15),Skills!I26)/Skills!H26,1)</f>
        <v/>
      </c>
      <c r="H3782">
        <f>1-(1-Skills!J26/100)^Skills!K26</f>
        <v/>
      </c>
      <c r="I3782" t="inlineStr">
        <is>
          <t>1</t>
        </is>
      </c>
      <c r="J3782" t="inlineStr"/>
      <c r="K3782" t="inlineStr"/>
      <c r="L3782" t="inlineStr"/>
      <c r="M3782" t="inlineStr"/>
      <c r="N3782" t="inlineStr"/>
      <c r="O3782">
        <f>(1-Summary!$B$11)*T3782+Summary!$B$11*V3782</f>
        <v/>
      </c>
      <c r="P3782">
        <f>IF(B3802=0,0,O3782/B3802)</f>
        <v/>
      </c>
      <c r="Q3782" t="n">
        <v>0</v>
      </c>
      <c r="R3782" t="n">
        <v>0</v>
      </c>
      <c r="S3782">
        <f>IFERROR(O3782/N3782,0)</f>
        <v/>
      </c>
      <c r="T3782" t="n">
        <v>0</v>
      </c>
      <c r="V3782" t="n">
        <v>0</v>
      </c>
    </row>
    <row r="3783">
      <c r="A3783">
        <f>Skills!A27</f>
        <v/>
      </c>
      <c r="B3783">
        <f>Skills!B27</f>
        <v/>
      </c>
      <c r="C3783">
        <f>Inputs!$B$3&gt;=50</f>
        <v/>
      </c>
      <c r="D3783">
        <f>IF(Skills!C27=1,60+Inputs!$B$25+Inputs!$B$29,IF(Skills!C27=2,90+Inputs!$B$26+Inputs!$B$29,IF(Skills!C27=3,120+Inputs!$B$27+Inputs!$B$29,MAX(0,(Inputs!$B$3-100)*3)+Inputs!$B$28+Inputs!$B$29)))</f>
        <v/>
      </c>
      <c r="E3783">
        <f>INDEX(FactorTable!$B$2:$Y$301, MATCH(ROUND(MIN(300,MAX(1,D3783)),0), FactorTable!$A$2:$A$301,0), Skills!M27+1)</f>
        <v/>
      </c>
      <c r="F3783">
        <f>IF(Skills!N27=TRUE,(Skills!L27/10)*(E3783/1000),Skills!L27/10)+Skills!O27</f>
        <v/>
      </c>
      <c r="G3783">
        <f>Skills!G27*IF(Skills!H27&gt;0,IF(Inputs!$B$39="pvp",MIN(Skills!I27,15),Skills!I27)/Skills!H27,1)</f>
        <v/>
      </c>
      <c r="H3783">
        <f>1-(1-Skills!J27/100)^Skills!K27</f>
        <v/>
      </c>
      <c r="I3783" t="inlineStr">
        <is>
          <t>1</t>
        </is>
      </c>
      <c r="J3783" t="inlineStr"/>
      <c r="K3783" t="inlineStr"/>
      <c r="L3783" t="inlineStr"/>
      <c r="M3783" t="inlineStr"/>
      <c r="N3783" t="inlineStr"/>
      <c r="O3783">
        <f>(1-Summary!$B$11)*T3783+Summary!$B$11*V3783</f>
        <v/>
      </c>
      <c r="P3783">
        <f>IF(B3802=0,0,O3783/B3802)</f>
        <v/>
      </c>
      <c r="Q3783" t="n">
        <v>0</v>
      </c>
      <c r="R3783" t="n">
        <v>0</v>
      </c>
      <c r="S3783">
        <f>IFERROR(O3783/N3783,0)</f>
        <v/>
      </c>
      <c r="T3783" t="n">
        <v>0</v>
      </c>
      <c r="V3783" t="n">
        <v>0</v>
      </c>
    </row>
    <row r="3784">
      <c r="A3784">
        <f>Skills!A28</f>
        <v/>
      </c>
      <c r="B3784">
        <f>Skills!B28</f>
        <v/>
      </c>
      <c r="C3784">
        <f>Inputs!$B$3&gt;=38</f>
        <v/>
      </c>
      <c r="D3784">
        <f>IF(Skills!C28=1,60+Inputs!$B$25+Inputs!$B$29,IF(Skills!C28=2,90+Inputs!$B$26+Inputs!$B$29,IF(Skills!C28=3,120+Inputs!$B$27+Inputs!$B$29,MAX(0,(Inputs!$B$3-100)*3)+Inputs!$B$28+Inputs!$B$29)))</f>
        <v/>
      </c>
      <c r="E3784">
        <f>INDEX(FactorTable!$B$2:$Y$301, MATCH(ROUND(MIN(300,MAX(1,D3784)),0), FactorTable!$A$2:$A$301,0), Skills!M28+1)</f>
        <v/>
      </c>
      <c r="F3784">
        <f>IF(Skills!N28=TRUE,(Skills!L28/10)*(E3784/1000),Skills!L28/10)+Skills!O28</f>
        <v/>
      </c>
      <c r="G3784">
        <f>Skills!G28*IF(Skills!H28&gt;0,IF(Inputs!$B$39="pvp",MIN(Skills!I28,15),Skills!I28)/Skills!H28,1)</f>
        <v/>
      </c>
      <c r="H3784">
        <f>1-(1-Skills!J28/100)^Skills!K28</f>
        <v/>
      </c>
      <c r="I3784" t="inlineStr">
        <is>
          <t>1</t>
        </is>
      </c>
      <c r="J3784" t="inlineStr"/>
      <c r="K3784" t="inlineStr"/>
      <c r="L3784" t="inlineStr"/>
      <c r="M3784" t="inlineStr"/>
      <c r="N3784" t="inlineStr"/>
      <c r="O3784">
        <f>(1-Summary!$B$11)*T3784+Summary!$B$11*V3784</f>
        <v/>
      </c>
      <c r="P3784">
        <f>IF(B3802=0,0,O3784/B3802)</f>
        <v/>
      </c>
      <c r="Q3784" t="n">
        <v>0</v>
      </c>
      <c r="R3784" t="n">
        <v>0</v>
      </c>
      <c r="S3784">
        <f>IFERROR(O3784/N3784,0)</f>
        <v/>
      </c>
      <c r="T3784" t="n">
        <v>0</v>
      </c>
      <c r="V3784" t="n">
        <v>0</v>
      </c>
    </row>
    <row r="3785">
      <c r="A3785">
        <f>Skills!A29</f>
        <v/>
      </c>
      <c r="B3785">
        <f>Skills!B29</f>
        <v/>
      </c>
      <c r="C3785">
        <f>Inputs!$B$3&gt;=120</f>
        <v/>
      </c>
      <c r="D3785">
        <f>IF(Skills!C29=1,60+Inputs!$B$25+Inputs!$B$29,IF(Skills!C29=2,90+Inputs!$B$26+Inputs!$B$29,IF(Skills!C29=3,120+Inputs!$B$27+Inputs!$B$29,MAX(0,(Inputs!$B$3-100)*3)+Inputs!$B$28+Inputs!$B$29)))</f>
        <v/>
      </c>
      <c r="E3785">
        <f>INDEX(FactorTable!$B$2:$Y$301, MATCH(ROUND(MIN(300,MAX(1,D3785)),0), FactorTable!$A$2:$A$301,0), Skills!M29+1)</f>
        <v/>
      </c>
      <c r="F3785">
        <f>IF(Skills!N29=TRUE,(Skills!L29/10)*(E3785/1000),Skills!L29/10)+Skills!O29</f>
        <v/>
      </c>
      <c r="G3785">
        <f>Skills!G29*IF(Skills!H29&gt;0,IF(Inputs!$B$39="pvp",MIN(Skills!I29,15),Skills!I29)/Skills!H29,1)</f>
        <v/>
      </c>
      <c r="H3785">
        <f>1-(1-Skills!J29/100)^Skills!K29</f>
        <v/>
      </c>
      <c r="I3785" t="inlineStr">
        <is>
          <t>1</t>
        </is>
      </c>
      <c r="J3785" t="inlineStr"/>
      <c r="K3785" t="inlineStr"/>
      <c r="L3785" t="inlineStr"/>
      <c r="M3785" t="inlineStr"/>
      <c r="N3785" t="inlineStr"/>
      <c r="O3785">
        <f>(1-Summary!$B$11)*T3785+Summary!$B$11*V3785</f>
        <v/>
      </c>
      <c r="P3785">
        <f>IF(B3802=0,0,O3785/B3802)</f>
        <v/>
      </c>
      <c r="Q3785" t="n">
        <v>0</v>
      </c>
      <c r="R3785" t="n">
        <v>0</v>
      </c>
      <c r="S3785">
        <f>IFERROR(O3785/N3785,0)</f>
        <v/>
      </c>
      <c r="T3785" t="n">
        <v>0</v>
      </c>
      <c r="V3785" t="n">
        <v>0</v>
      </c>
    </row>
    <row r="3786">
      <c r="A3786">
        <f>Skills!A30</f>
        <v/>
      </c>
      <c r="B3786">
        <f>Skills!B30</f>
        <v/>
      </c>
      <c r="C3786">
        <f>Inputs!$B$3&gt;=120</f>
        <v/>
      </c>
      <c r="D3786">
        <f>IF(Skills!C30=1,60+Inputs!$B$25+Inputs!$B$29,IF(Skills!C30=2,90+Inputs!$B$26+Inputs!$B$29,IF(Skills!C30=3,120+Inputs!$B$27+Inputs!$B$29,MAX(0,(Inputs!$B$3-100)*3)+Inputs!$B$28+Inputs!$B$29)))</f>
        <v/>
      </c>
      <c r="E3786">
        <f>INDEX(FactorTable!$B$2:$Y$301, MATCH(ROUND(MIN(300,MAX(1,D3786)),0), FactorTable!$A$2:$A$301,0), Skills!M30+1)</f>
        <v/>
      </c>
      <c r="F3786">
        <f>IF(Skills!N30=TRUE,(Skills!L30/10)*(E3786/1000),Skills!L30/10)+Skills!O30</f>
        <v/>
      </c>
      <c r="G3786">
        <f>Skills!G30*IF(Skills!H30&gt;0,IF(Inputs!$B$39="pvp",MIN(Skills!I30,15),Skills!I30)/Skills!H30,1)</f>
        <v/>
      </c>
      <c r="H3786">
        <f>1-(1-Skills!J30/100)^Skills!K30</f>
        <v/>
      </c>
      <c r="I3786" t="inlineStr">
        <is>
          <t>1</t>
        </is>
      </c>
      <c r="J3786" t="inlineStr"/>
      <c r="K3786" t="inlineStr"/>
      <c r="L3786" t="inlineStr"/>
      <c r="M3786" t="inlineStr"/>
      <c r="N3786" t="inlineStr"/>
      <c r="O3786">
        <f>(1-Summary!$B$11)*T3786+Summary!$B$11*V3786</f>
        <v/>
      </c>
      <c r="P3786">
        <f>IF(B3802=0,0,O3786/B3802)</f>
        <v/>
      </c>
      <c r="Q3786" t="n">
        <v>0</v>
      </c>
      <c r="R3786" t="n">
        <v>0</v>
      </c>
      <c r="S3786">
        <f>IFERROR(O3786/N3786,0)</f>
        <v/>
      </c>
      <c r="T3786" t="n">
        <v>0</v>
      </c>
      <c r="V3786" t="n">
        <v>0</v>
      </c>
    </row>
    <row r="3787">
      <c r="A3787">
        <f>Skills!A31</f>
        <v/>
      </c>
      <c r="B3787">
        <f>Skills!B31</f>
        <v/>
      </c>
      <c r="C3787">
        <f>Inputs!$B$3&gt;=125</f>
        <v/>
      </c>
      <c r="D3787">
        <f>IF(Skills!C31=1,60+Inputs!$B$25+Inputs!$B$29,IF(Skills!C31=2,90+Inputs!$B$26+Inputs!$B$29,IF(Skills!C31=3,120+Inputs!$B$27+Inputs!$B$29,MAX(0,(Inputs!$B$3-100)*3)+Inputs!$B$28+Inputs!$B$29)))</f>
        <v/>
      </c>
      <c r="E3787">
        <f>INDEX(FactorTable!$B$2:$Y$301, MATCH(ROUND(MIN(300,MAX(1,D3787)),0), FactorTable!$A$2:$A$301,0), Skills!M31+1)</f>
        <v/>
      </c>
      <c r="F3787">
        <f>IF(Skills!N31=TRUE,(Skills!L31/10)*(E3787/1000),Skills!L31/10)+Skills!O31</f>
        <v/>
      </c>
      <c r="G3787">
        <f>Skills!G31*IF(Skills!H31&gt;0,IF(Inputs!$B$39="pvp",MIN(Skills!I31,15),Skills!I31)/Skills!H31,1)</f>
        <v/>
      </c>
      <c r="H3787">
        <f>1-(1-Skills!J31/100)^Skills!K31</f>
        <v/>
      </c>
      <c r="I3787" t="inlineStr">
        <is>
          <t>1</t>
        </is>
      </c>
      <c r="J3787" t="inlineStr"/>
      <c r="K3787" t="inlineStr"/>
      <c r="L3787" t="inlineStr"/>
      <c r="M3787" t="inlineStr"/>
      <c r="N3787" t="inlineStr"/>
      <c r="O3787">
        <f>(1-Summary!$B$11)*T3787+Summary!$B$11*V3787</f>
        <v/>
      </c>
      <c r="P3787">
        <f>IF(B3802=0,0,O3787/B3802)</f>
        <v/>
      </c>
      <c r="Q3787" t="n">
        <v>0</v>
      </c>
      <c r="R3787" t="n">
        <v>0</v>
      </c>
      <c r="S3787">
        <f>IFERROR(O3787/N3787,0)</f>
        <v/>
      </c>
      <c r="T3787" t="n">
        <v>0</v>
      </c>
      <c r="V3787" t="n">
        <v>0</v>
      </c>
    </row>
    <row r="3789">
      <c r="A3789" t="inlineStr">
        <is>
          <t>Average Buff Multiplier</t>
        </is>
      </c>
      <c r="B3789">
        <f>(1+(((C3778=TRUE)*F3778*IF(AND(Inputs!$B$39&lt;&gt;"pvp",Inputs!$B$44&gt;0),(((R3778-1)*MIN((Skills!Y22*(1+Inputs!$B$34/100)),(1/Q3778))+MIN((Skills!Y22*(1+Inputs!$B$34/100)),MAX(0,Inputs!$B$44-((R3778-1)*(1/Q3778)))))/Inputs!$B$44),IF(Inputs!$B$39="pvp",MIN((Skills!Y22*(1+Inputs!$B$34/100)),15)/15,MIN(1,(Skills!Y22*(1+Inputs!$B$34/100))/(1/Q3778)))))+((C3759=TRUE)*F3759*3)+((C3761=TRUE)*F3761*(1-EXP(-0.75*B3794*5)))+((C3780=TRUE)*(F3780-Calc!F24))+(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C3767=TRUE)*F3767*IF(AND(Inputs!$B$39&lt;&gt;"pvp",Inputs!$B$44&gt;0),(((R3767-1)*MIN((Skills!Y11*(1+Inputs!$B$34/100)),(1/Q3767))+MIN((Skills!Y11*(1+Inputs!$B$34/100)),MAX(0,Inputs!$B$44-((R3767-1)*(1/Q3767)))))/Inputs!$B$44),IF(Inputs!$B$39="pvp",MIN((Skills!Y11*(1+Inputs!$B$34/100)),15)/15,MIN(1,(Skills!Y11*(1+Inputs!$B$34/100))/(1/Q3767)))))/100)*(1+((C3772=TRUE)*F3772*IF(AND(Inputs!$B$39&lt;&gt;"pvp",Inputs!$B$44&gt;0),(((R3772-1)*MIN((Skills!Y16*(1+Inputs!$B$34/100)),(1/Q3772))+MIN((Skills!Y16*(1+Inputs!$B$34/100)),MAX(0,Inputs!$B$44-((R3772-1)*(1/Q3772)))))/Inputs!$B$44),IF(Inputs!$B$39="pvp",MIN((Skills!Y16*(1+Inputs!$B$34/100)),15)/15,MIN(1,(Skills!Y16*(1+Inputs!$B$34/100))/(1/Q3772)))))/100)</f>
        <v/>
      </c>
    </row>
    <row r="3790">
      <c r="A3790" t="inlineStr">
        <is>
          <t>Global Crit Rate Bonus %</t>
        </is>
      </c>
      <c r="B3790">
        <f>((C3777=TRUE)*F3777*IF(AND(Inputs!$B$39&lt;&gt;"pvp",Inputs!$B$44&gt;0),(((R3777-1)*MIN((Skills!Y21*(1+Inputs!$B$34/100)),(1/Q3777))+MIN((Skills!Y21*(1+Inputs!$B$34/100)),MAX(0,Inputs!$B$44-((R3777-1)*(1/Q3777)))))/Inputs!$B$44),IF(Inputs!$B$39="pvp",MIN((Skills!Y21*(1+Inputs!$B$34/100)),15)/15,MIN(1,(Skills!Y21*(1+Inputs!$B$34/100))/(1/Q3777)))))</f>
        <v/>
      </c>
    </row>
    <row r="3791">
      <c r="A3791" t="inlineStr">
        <is>
          <t>Global Monster Damage-Taken Bonus %</t>
        </is>
      </c>
      <c r="B3791">
        <f>IF(Inputs!$B$3&gt;=82,15,0)</f>
        <v/>
      </c>
    </row>
    <row r="3792">
      <c r="A3792" t="inlineStr">
        <is>
          <t>Shadow Partner Average Multiplier</t>
        </is>
      </c>
      <c r="B3792">
        <f>1+((C3764=TRUE)*F3764*(1+3.3333333333333335*IF(C3775=TRUE,F3775,0)/100)*I3764*Skills!J8/100)/100</f>
        <v/>
      </c>
    </row>
    <row r="3793">
      <c r="A3793" t="inlineStr">
        <is>
          <t>Attack Speed Buff Bonus %</t>
        </is>
      </c>
      <c r="B3793">
        <f>((C3776=TRUE)*F3776*IF(AND(Inputs!$B$39&lt;&gt;"pvp",Inputs!$B$44&gt;0),(((R3776-1)*MIN((Skills!Y20*(1+Inputs!$B$34/100)),(1/Q3776))+MIN((Skills!Y20*(1+Inputs!$B$34/100)),MAX(0,Inputs!$B$44-((R3776-1)*(1/Q3776)))))/Inputs!$B$44),IF(Inputs!$B$39="pvp",MIN((Skills!Y20*(1+Inputs!$B$34/100)),15)/15,MIN(1,(Skills!Y20*(1+Inputs!$B$34/100))/(1/Q3776)))))</f>
        <v/>
      </c>
    </row>
    <row r="3794">
      <c r="A3794" t="inlineStr">
        <is>
          <t>Actions Per Second</t>
        </is>
      </c>
      <c r="B3794">
        <f>1+MIN(150,150*(1-(1-(Inputs!$B$11+((C3779=TRUE)*(F3779-Calc!F23)))/150)*(1-B3793/150)))/100</f>
        <v/>
      </c>
    </row>
    <row r="3795">
      <c r="A3795" t="inlineStr">
        <is>
          <t>Skill + Buff Cast Rate</t>
        </is>
      </c>
      <c r="B3795">
        <f>IF(AND(Inputs!$B$39&lt;&gt;"pvp",Inputs!$B$44&gt;0),SUMPRODUCT((Skills!E2:E31=TRUE)*(C3758:C3787=TRUE)*R3758:R3787*Skills!F2:F31)/Inputs!$B$44,SUMPRODUCT((Skills!E2:E31=TRUE)*(C3758:C3787=TRUE)*Q3758:Q3787*Skills!F2:F31))</f>
        <v/>
      </c>
    </row>
    <row r="3796">
      <c r="A3796" t="inlineStr">
        <is>
          <t>Cruel Stab Casts Per Second</t>
        </is>
      </c>
      <c r="B3796">
        <f>MAX(0,B3794-B3795)</f>
        <v/>
      </c>
    </row>
    <row r="3797">
      <c r="A3797" t="inlineStr">
        <is>
          <t>Global Critical Damage Bonus % (Smokescreen Mastery Lv.113)</t>
        </is>
      </c>
      <c r="B3797">
        <f>IF(Inputs!$B$3&gt;=113,30,0)*IF(AND(Inputs!$B$39&lt;&gt;"pvp",Inputs!$B$44&gt;0),(((R3772-1)*MIN((Skills!Y16*(1+Inputs!$B$34/100)),(1/Q3772))+MIN((Skills!Y16*(1+Inputs!$B$34/100)),MAX(0,Inputs!$B$44-((R3772-1)*(1/Q3772)))))/Inputs!$B$44),IF(Inputs!$B$39="pvp",MIN((Skills!Y16*(1+Inputs!$B$34/100)),15)/15,MIN(1,(Skills!Y16*(1+Inputs!$B$34/100))/(1/Q3772))))</f>
        <v/>
      </c>
    </row>
    <row r="3798">
      <c r="A3798" t="inlineStr">
        <is>
          <t>Meso Explosion average stack count</t>
        </is>
      </c>
      <c r="B3798">
        <f>MIN(10,IF(Inputs!$B$3&gt;=75,0.75,0.5)*B3794*(1/Q3760))</f>
        <v/>
      </c>
    </row>
    <row r="3799">
      <c r="A3799" t="inlineStr">
        <is>
          <t>Blood Money average stack count</t>
        </is>
      </c>
      <c r="B3799">
        <f>MIN(5,0.5*IF(Inputs!$B$3&gt;=75,0.75,0.5)*B3794*(1/Q3760))</f>
        <v/>
      </c>
    </row>
    <row r="3800">
      <c r="A3800" t="inlineStr">
        <is>
          <t>Assassinate Murderous Intent Multiplier</t>
        </is>
      </c>
      <c r="B3800">
        <f>1+IFERROR(MIN(1,Q3771*2/Q3768),0)</f>
        <v/>
      </c>
    </row>
    <row r="3801">
      <c r="A3801" t="inlineStr">
        <is>
          <t>Buff-Casting Startup Delay (s, fixed-duration only)</t>
        </is>
      </c>
      <c r="B3801">
        <f>IF(AND(Inputs!$B$39&lt;&gt;"pvp",Inputs!$B$44&gt;0),SUMPRODUCT((Skills!Y2:Y31&gt;0)*(Skills!E2:E31=TRUE)*(C3758:C3787=TRUE))/B3794,0)</f>
        <v/>
      </c>
    </row>
    <row r="3802">
      <c r="A3802" s="6" t="inlineStr">
        <is>
          <t>TOTAL DPS</t>
        </is>
      </c>
      <c r="B3802" s="6">
        <f>SUM(O3758:O3787)</f>
        <v/>
      </c>
    </row>
    <row r="3803">
      <c r="A3803" t="inlineStr">
        <is>
          <t>Boss-Only Total DPS (this block's swept value)</t>
        </is>
      </c>
      <c r="B3803">
        <f>SUM(T3758:T3787)</f>
        <v/>
      </c>
    </row>
    <row r="3804">
      <c r="A3804" t="inlineStr">
        <is>
          <t>Normal-Only Total DPS (this block's swept value)</t>
        </is>
      </c>
      <c r="B3804">
        <f>SUM(V3758:V3787)</f>
        <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Q21"/>
  <sheetViews>
    <sheetView workbookViewId="0">
      <pane ySplit="4" topLeftCell="A5" activePane="bottomLeft" state="frozen"/>
      <selection pane="bottomLeft" activeCell="A1" sqref="A1"/>
    </sheetView>
  </sheetViews>
  <sheetFormatPr baseColWidth="8" defaultRowHeight="15"/>
  <cols>
    <col width="26" customWidth="1" min="1" max="1"/>
    <col width="22" customWidth="1" min="2" max="2"/>
    <col width="12" customWidth="1" min="3" max="3"/>
    <col hidden="1" width="13" customWidth="1" min="5" max="5"/>
    <col hidden="1" width="13" customWidth="1" min="6" max="6"/>
    <col hidden="1" width="13" customWidth="1" min="7" max="7"/>
    <col width="22" customWidth="1" min="9" max="9"/>
    <col width="12" customWidth="1" min="10" max="10"/>
    <col hidden="1" width="13" customWidth="1" min="12" max="12"/>
    <col hidden="1" width="13" customWidth="1" min="13" max="13"/>
    <col hidden="1" width="13" customWidth="1" min="14" max="14"/>
    <col hidden="1" width="13" customWidth="1" min="17" max="17"/>
  </cols>
  <sheetData>
    <row r="1">
      <c r="A1" s="4" t="inlineStr">
        <is>
          <t>Shadower — Equipment Compare</t>
        </is>
      </c>
      <c r="Q1" t="inlineStr">
        <is>
          <t>Main Stat (flat)</t>
        </is>
      </c>
    </row>
    <row r="2">
      <c r="A2" t="inlineStr">
        <is>
          <t>Compare a candidate replacement equip against what you currently have, one Attack line plus up to 5 more stat lines each. Uses the same $/unit marginal-DPS values as Potential Cubes/Artifact Potentials: two lines of the SAME stat correctly add (two 5% Max Damage lines = one 10% Max Damage bucket), but two DIFFERENT stats correctly compound multiplicatively rather than just summing (two independent 1% gains combine to 1.01x1.01-1=2.0201%, not a naive 2%) — exact, not an approximation, since both equips are concrete/fixed sets of lines rather than an open-ended reroll search.</t>
        </is>
      </c>
      <c r="Q2" t="inlineStr">
        <is>
          <t>Main Stat %</t>
        </is>
      </c>
    </row>
    <row r="3">
      <c r="Q3" t="inlineStr">
        <is>
          <t>Attack (flat)</t>
        </is>
      </c>
    </row>
    <row r="4">
      <c r="B4" s="11" t="inlineStr">
        <is>
          <t>Current Equip</t>
        </is>
      </c>
      <c r="C4" s="12" t="n"/>
      <c r="D4" s="12" t="n"/>
      <c r="E4" s="12" t="n"/>
      <c r="F4" s="12" t="n"/>
      <c r="G4" s="12" t="n"/>
      <c r="I4" s="11" t="inlineStr">
        <is>
          <t>New Equip</t>
        </is>
      </c>
      <c r="J4" s="12" t="n"/>
      <c r="K4" s="12" t="n"/>
      <c r="L4" s="12" t="n"/>
      <c r="M4" s="12" t="n"/>
      <c r="N4" s="12" t="n"/>
      <c r="Q4" t="inlineStr">
        <is>
          <t>Min Damage %</t>
        </is>
      </c>
    </row>
    <row r="5">
      <c r="A5" s="6" t="inlineStr">
        <is>
          <t>Attack (flat)</t>
        </is>
      </c>
      <c r="B5" s="8" t="inlineStr">
        <is>
          <t>Attack (flat)</t>
        </is>
      </c>
      <c r="C5" s="7" t="n">
        <v>0</v>
      </c>
      <c r="D5">
        <f>C5*Sensitivity!H26</f>
        <v/>
      </c>
      <c r="E5">
        <f>SUMIF($B$5:$B$10,B5,$D$5:$D$10)</f>
        <v/>
      </c>
      <c r="F5">
        <f>TRUE</f>
        <v/>
      </c>
      <c r="G5">
        <f>IF(NOT(F5),1,1+E5/Summary!$B$3)</f>
        <v/>
      </c>
      <c r="I5" s="8" t="inlineStr">
        <is>
          <t>Attack (flat)</t>
        </is>
      </c>
      <c r="J5" s="7" t="n">
        <v>0</v>
      </c>
      <c r="K5">
        <f>J5*Sensitivity!H26</f>
        <v/>
      </c>
      <c r="L5">
        <f>SUMIF($I$5:$I$10,I5,$K$5:$K$10)</f>
        <v/>
      </c>
      <c r="M5">
        <f>TRUE</f>
        <v/>
      </c>
      <c r="N5">
        <f>IF(NOT(M5),1,1+L5/Summary!$B$3)</f>
        <v/>
      </c>
      <c r="Q5" t="inlineStr">
        <is>
          <t>Max Damage %</t>
        </is>
      </c>
    </row>
    <row r="6">
      <c r="A6" s="6" t="inlineStr">
        <is>
          <t>Line 2</t>
        </is>
      </c>
      <c r="B6" s="7" t="inlineStr">
        <is>
          <t>(none)</t>
        </is>
      </c>
      <c r="C6" s="7" t="n">
        <v>0</v>
      </c>
      <c r="D6">
        <f>IF(B6="(none)",0,C6*(IF(B6="Main Stat (flat)",Sensitivity!H5,IF(B6="Main Stat %",Sensitivity!H6,IF(B6="Attack (flat)",Sensitivity!H26,IF(B6="Min Damage %",Sensitivity!H13,IF(B6="Max Damage %",Sensitivity!H14,IF(B6="Damage %",Sensitivity!H8,IF(B6="Critical Rate %",IF(AND(Inputs!$B$9+Summary!$B$14+Artifacts!$B$32&gt;=100,NOT(ArtifactsInput!$M$42),NOT(ArtifactsInput!$M$24)),Sensitivity!H16,Sensitivity!H15),IF(B6="Critical Damage %",Sensitivity!H16,IF(B6="Boss Monster Damage %",Sensitivity!H10,IF(B6="Normal Monster Damage %",Sensitivity!H11,IF(B6="Defense Penetration %",Sensitivity!H18,IF(B6="Defense (flat)",0,IF(B6="Skill Level Bonus — 1st Job",Sensitivity!H21,IF(B6="Skill Level Bonus — 2nd Job",Sensitivity!H22,IF(B6="Skill Level Bonus — 3rd Job",Sensitivity!H23,IF(B6="Skill Level Bonus — 4th Job",Sensitivity!H24,IF(B6="Skill Level Bonus — All Skills",Sensitivity!H25,IF(B6="Final Damage %",Sensitivity!H12,IF(B6="Basic Attack Damage %",Sensitivity!H19,IF(B6="Skill Damage %",Sensitivity!H20,IF(B6="Attack Speed %",Sensitivity!H17,0)))))))))))))))))))))))</f>
        <v/>
      </c>
      <c r="E6">
        <f>SUMIF($B$5:$B$10,B6,$D$5:$D$10)</f>
        <v/>
      </c>
      <c r="F6">
        <f>AND(B6&lt;&gt;"(none)",COUNTIF($B$5:B5,B6)=0)</f>
        <v/>
      </c>
      <c r="G6">
        <f>IF(NOT(F6),1,1+E6/Summary!$B$3)</f>
        <v/>
      </c>
      <c r="I6" s="7" t="inlineStr">
        <is>
          <t>(none)</t>
        </is>
      </c>
      <c r="J6" s="7" t="n">
        <v>0</v>
      </c>
      <c r="K6">
        <f>IF(I6="(none)",0,J6*(IF(I6="Main Stat (flat)",Sensitivity!H5,IF(I6="Main Stat %",Sensitivity!H6,IF(I6="Attack (flat)",Sensitivity!H26,IF(I6="Min Damage %",Sensitivity!H13,IF(I6="Max Damage %",Sensitivity!H14,IF(I6="Damage %",Sensitivity!H8,IF(I6="Critical Rate %",IF(AND(Inputs!$B$9+Summary!$B$14+Artifacts!$B$32&gt;=100,NOT(ArtifactsInput!$M$42),NOT(ArtifactsInput!$M$24)),Sensitivity!H16,Sensitivity!H15),IF(I6="Critical Damage %",Sensitivity!H16,IF(I6="Boss Monster Damage %",Sensitivity!H10,IF(I6="Normal Monster Damage %",Sensitivity!H11,IF(I6="Defense Penetration %",Sensitivity!H18,IF(I6="Defense (flat)",0,IF(I6="Skill Level Bonus — 1st Job",Sensitivity!H21,IF(I6="Skill Level Bonus — 2nd Job",Sensitivity!H22,IF(I6="Skill Level Bonus — 3rd Job",Sensitivity!H23,IF(I6="Skill Level Bonus — 4th Job",Sensitivity!H24,IF(I6="Skill Level Bonus — All Skills",Sensitivity!H25,IF(I6="Final Damage %",Sensitivity!H12,IF(I6="Basic Attack Damage %",Sensitivity!H19,IF(I6="Skill Damage %",Sensitivity!H20,IF(I6="Attack Speed %",Sensitivity!H17,0)))))))))))))))))))))))</f>
        <v/>
      </c>
      <c r="L6">
        <f>SUMIF($I$5:$I$10,I6,$K$5:$K$10)</f>
        <v/>
      </c>
      <c r="M6">
        <f>AND(I6&lt;&gt;"(none)",COUNTIF($I$5:I5,I6)=0)</f>
        <v/>
      </c>
      <c r="N6">
        <f>IF(NOT(M6),1,1+L6/Summary!$B$3)</f>
        <v/>
      </c>
      <c r="Q6" t="inlineStr">
        <is>
          <t>Damage %</t>
        </is>
      </c>
    </row>
    <row r="7">
      <c r="A7" s="6" t="inlineStr">
        <is>
          <t>Line 3</t>
        </is>
      </c>
      <c r="B7" s="7" t="inlineStr">
        <is>
          <t>(none)</t>
        </is>
      </c>
      <c r="C7" s="7" t="n">
        <v>0</v>
      </c>
      <c r="D7">
        <f>IF(B7="(none)",0,C7*(IF(B7="Main Stat (flat)",Sensitivity!H5,IF(B7="Main Stat %",Sensitivity!H6,IF(B7="Attack (flat)",Sensitivity!H26,IF(B7="Min Damage %",Sensitivity!H13,IF(B7="Max Damage %",Sensitivity!H14,IF(B7="Damage %",Sensitivity!H8,IF(B7="Critical Rate %",IF(AND(Inputs!$B$9+Summary!$B$14+Artifacts!$B$32&gt;=100,NOT(ArtifactsInput!$M$42),NOT(ArtifactsInput!$M$24)),Sensitivity!H16,Sensitivity!H15),IF(B7="Critical Damage %",Sensitivity!H16,IF(B7="Boss Monster Damage %",Sensitivity!H10,IF(B7="Normal Monster Damage %",Sensitivity!H11,IF(B7="Defense Penetration %",Sensitivity!H18,IF(B7="Defense (flat)",0,IF(B7="Skill Level Bonus — 1st Job",Sensitivity!H21,IF(B7="Skill Level Bonus — 2nd Job",Sensitivity!H22,IF(B7="Skill Level Bonus — 3rd Job",Sensitivity!H23,IF(B7="Skill Level Bonus — 4th Job",Sensitivity!H24,IF(B7="Skill Level Bonus — All Skills",Sensitivity!H25,IF(B7="Final Damage %",Sensitivity!H12,IF(B7="Basic Attack Damage %",Sensitivity!H19,IF(B7="Skill Damage %",Sensitivity!H20,IF(B7="Attack Speed %",Sensitivity!H17,0)))))))))))))))))))))))</f>
        <v/>
      </c>
      <c r="E7">
        <f>SUMIF($B$5:$B$10,B7,$D$5:$D$10)</f>
        <v/>
      </c>
      <c r="F7">
        <f>AND(B7&lt;&gt;"(none)",COUNTIF($B$5:B6,B7)=0)</f>
        <v/>
      </c>
      <c r="G7">
        <f>IF(NOT(F7),1,1+E7/Summary!$B$3)</f>
        <v/>
      </c>
      <c r="I7" s="7" t="inlineStr">
        <is>
          <t>(none)</t>
        </is>
      </c>
      <c r="J7" s="7" t="n">
        <v>0</v>
      </c>
      <c r="K7">
        <f>IF(I7="(none)",0,J7*(IF(I7="Main Stat (flat)",Sensitivity!H5,IF(I7="Main Stat %",Sensitivity!H6,IF(I7="Attack (flat)",Sensitivity!H26,IF(I7="Min Damage %",Sensitivity!H13,IF(I7="Max Damage %",Sensitivity!H14,IF(I7="Damage %",Sensitivity!H8,IF(I7="Critical Rate %",IF(AND(Inputs!$B$9+Summary!$B$14+Artifacts!$B$32&gt;=100,NOT(ArtifactsInput!$M$42),NOT(ArtifactsInput!$M$24)),Sensitivity!H16,Sensitivity!H15),IF(I7="Critical Damage %",Sensitivity!H16,IF(I7="Boss Monster Damage %",Sensitivity!H10,IF(I7="Normal Monster Damage %",Sensitivity!H11,IF(I7="Defense Penetration %",Sensitivity!H18,IF(I7="Defense (flat)",0,IF(I7="Skill Level Bonus — 1st Job",Sensitivity!H21,IF(I7="Skill Level Bonus — 2nd Job",Sensitivity!H22,IF(I7="Skill Level Bonus — 3rd Job",Sensitivity!H23,IF(I7="Skill Level Bonus — 4th Job",Sensitivity!H24,IF(I7="Skill Level Bonus — All Skills",Sensitivity!H25,IF(I7="Final Damage %",Sensitivity!H12,IF(I7="Basic Attack Damage %",Sensitivity!H19,IF(I7="Skill Damage %",Sensitivity!H20,IF(I7="Attack Speed %",Sensitivity!H17,0)))))))))))))))))))))))</f>
        <v/>
      </c>
      <c r="L7">
        <f>SUMIF($I$5:$I$10,I7,$K$5:$K$10)</f>
        <v/>
      </c>
      <c r="M7">
        <f>AND(I7&lt;&gt;"(none)",COUNTIF($I$5:I6,I7)=0)</f>
        <v/>
      </c>
      <c r="N7">
        <f>IF(NOT(M7),1,1+L7/Summary!$B$3)</f>
        <v/>
      </c>
      <c r="Q7" t="inlineStr">
        <is>
          <t>Critical Rate %</t>
        </is>
      </c>
    </row>
    <row r="8">
      <c r="A8" s="6" t="inlineStr">
        <is>
          <t>Line 4</t>
        </is>
      </c>
      <c r="B8" s="7" t="inlineStr">
        <is>
          <t>(none)</t>
        </is>
      </c>
      <c r="C8" s="7" t="n">
        <v>0</v>
      </c>
      <c r="D8">
        <f>IF(B8="(none)",0,C8*(IF(B8="Main Stat (flat)",Sensitivity!H5,IF(B8="Main Stat %",Sensitivity!H6,IF(B8="Attack (flat)",Sensitivity!H26,IF(B8="Min Damage %",Sensitivity!H13,IF(B8="Max Damage %",Sensitivity!H14,IF(B8="Damage %",Sensitivity!H8,IF(B8="Critical Rate %",IF(AND(Inputs!$B$9+Summary!$B$14+Artifacts!$B$32&gt;=100,NOT(ArtifactsInput!$M$42),NOT(ArtifactsInput!$M$24)),Sensitivity!H16,Sensitivity!H15),IF(B8="Critical Damage %",Sensitivity!H16,IF(B8="Boss Monster Damage %",Sensitivity!H10,IF(B8="Normal Monster Damage %",Sensitivity!H11,IF(B8="Defense Penetration %",Sensitivity!H18,IF(B8="Defense (flat)",0,IF(B8="Skill Level Bonus — 1st Job",Sensitivity!H21,IF(B8="Skill Level Bonus — 2nd Job",Sensitivity!H22,IF(B8="Skill Level Bonus — 3rd Job",Sensitivity!H23,IF(B8="Skill Level Bonus — 4th Job",Sensitivity!H24,IF(B8="Skill Level Bonus — All Skills",Sensitivity!H25,IF(B8="Final Damage %",Sensitivity!H12,IF(B8="Basic Attack Damage %",Sensitivity!H19,IF(B8="Skill Damage %",Sensitivity!H20,IF(B8="Attack Speed %",Sensitivity!H17,0)))))))))))))))))))))))</f>
        <v/>
      </c>
      <c r="E8">
        <f>SUMIF($B$5:$B$10,B8,$D$5:$D$10)</f>
        <v/>
      </c>
      <c r="F8">
        <f>AND(B8&lt;&gt;"(none)",COUNTIF($B$5:B7,B8)=0)</f>
        <v/>
      </c>
      <c r="G8">
        <f>IF(NOT(F8),1,1+E8/Summary!$B$3)</f>
        <v/>
      </c>
      <c r="I8" s="7" t="inlineStr">
        <is>
          <t>(none)</t>
        </is>
      </c>
      <c r="J8" s="7" t="n">
        <v>0</v>
      </c>
      <c r="K8">
        <f>IF(I8="(none)",0,J8*(IF(I8="Main Stat (flat)",Sensitivity!H5,IF(I8="Main Stat %",Sensitivity!H6,IF(I8="Attack (flat)",Sensitivity!H26,IF(I8="Min Damage %",Sensitivity!H13,IF(I8="Max Damage %",Sensitivity!H14,IF(I8="Damage %",Sensitivity!H8,IF(I8="Critical Rate %",IF(AND(Inputs!$B$9+Summary!$B$14+Artifacts!$B$32&gt;=100,NOT(ArtifactsInput!$M$42),NOT(ArtifactsInput!$M$24)),Sensitivity!H16,Sensitivity!H15),IF(I8="Critical Damage %",Sensitivity!H16,IF(I8="Boss Monster Damage %",Sensitivity!H10,IF(I8="Normal Monster Damage %",Sensitivity!H11,IF(I8="Defense Penetration %",Sensitivity!H18,IF(I8="Defense (flat)",0,IF(I8="Skill Level Bonus — 1st Job",Sensitivity!H21,IF(I8="Skill Level Bonus — 2nd Job",Sensitivity!H22,IF(I8="Skill Level Bonus — 3rd Job",Sensitivity!H23,IF(I8="Skill Level Bonus — 4th Job",Sensitivity!H24,IF(I8="Skill Level Bonus — All Skills",Sensitivity!H25,IF(I8="Final Damage %",Sensitivity!H12,IF(I8="Basic Attack Damage %",Sensitivity!H19,IF(I8="Skill Damage %",Sensitivity!H20,IF(I8="Attack Speed %",Sensitivity!H17,0)))))))))))))))))))))))</f>
        <v/>
      </c>
      <c r="L8">
        <f>SUMIF($I$5:$I$10,I8,$K$5:$K$10)</f>
        <v/>
      </c>
      <c r="M8">
        <f>AND(I8&lt;&gt;"(none)",COUNTIF($I$5:I7,I8)=0)</f>
        <v/>
      </c>
      <c r="N8">
        <f>IF(NOT(M8),1,1+L8/Summary!$B$3)</f>
        <v/>
      </c>
      <c r="Q8" t="inlineStr">
        <is>
          <t>Critical Damage %</t>
        </is>
      </c>
    </row>
    <row r="9">
      <c r="A9" s="6" t="inlineStr">
        <is>
          <t>Line 5</t>
        </is>
      </c>
      <c r="B9" s="7" t="inlineStr">
        <is>
          <t>(none)</t>
        </is>
      </c>
      <c r="C9" s="7" t="n">
        <v>0</v>
      </c>
      <c r="D9">
        <f>IF(B9="(none)",0,C9*(IF(B9="Main Stat (flat)",Sensitivity!H5,IF(B9="Main Stat %",Sensitivity!H6,IF(B9="Attack (flat)",Sensitivity!H26,IF(B9="Min Damage %",Sensitivity!H13,IF(B9="Max Damage %",Sensitivity!H14,IF(B9="Damage %",Sensitivity!H8,IF(B9="Critical Rate %",IF(AND(Inputs!$B$9+Summary!$B$14+Artifacts!$B$32&gt;=100,NOT(ArtifactsInput!$M$42),NOT(ArtifactsInput!$M$24)),Sensitivity!H16,Sensitivity!H15),IF(B9="Critical Damage %",Sensitivity!H16,IF(B9="Boss Monster Damage %",Sensitivity!H10,IF(B9="Normal Monster Damage %",Sensitivity!H11,IF(B9="Defense Penetration %",Sensitivity!H18,IF(B9="Defense (flat)",0,IF(B9="Skill Level Bonus — 1st Job",Sensitivity!H21,IF(B9="Skill Level Bonus — 2nd Job",Sensitivity!H22,IF(B9="Skill Level Bonus — 3rd Job",Sensitivity!H23,IF(B9="Skill Level Bonus — 4th Job",Sensitivity!H24,IF(B9="Skill Level Bonus — All Skills",Sensitivity!H25,IF(B9="Final Damage %",Sensitivity!H12,IF(B9="Basic Attack Damage %",Sensitivity!H19,IF(B9="Skill Damage %",Sensitivity!H20,IF(B9="Attack Speed %",Sensitivity!H17,0)))))))))))))))))))))))</f>
        <v/>
      </c>
      <c r="E9">
        <f>SUMIF($B$5:$B$10,B9,$D$5:$D$10)</f>
        <v/>
      </c>
      <c r="F9">
        <f>AND(B9&lt;&gt;"(none)",COUNTIF($B$5:B8,B9)=0)</f>
        <v/>
      </c>
      <c r="G9">
        <f>IF(NOT(F9),1,1+E9/Summary!$B$3)</f>
        <v/>
      </c>
      <c r="I9" s="7" t="inlineStr">
        <is>
          <t>(none)</t>
        </is>
      </c>
      <c r="J9" s="7" t="n">
        <v>0</v>
      </c>
      <c r="K9">
        <f>IF(I9="(none)",0,J9*(IF(I9="Main Stat (flat)",Sensitivity!H5,IF(I9="Main Stat %",Sensitivity!H6,IF(I9="Attack (flat)",Sensitivity!H26,IF(I9="Min Damage %",Sensitivity!H13,IF(I9="Max Damage %",Sensitivity!H14,IF(I9="Damage %",Sensitivity!H8,IF(I9="Critical Rate %",IF(AND(Inputs!$B$9+Summary!$B$14+Artifacts!$B$32&gt;=100,NOT(ArtifactsInput!$M$42),NOT(ArtifactsInput!$M$24)),Sensitivity!H16,Sensitivity!H15),IF(I9="Critical Damage %",Sensitivity!H16,IF(I9="Boss Monster Damage %",Sensitivity!H10,IF(I9="Normal Monster Damage %",Sensitivity!H11,IF(I9="Defense Penetration %",Sensitivity!H18,IF(I9="Defense (flat)",0,IF(I9="Skill Level Bonus — 1st Job",Sensitivity!H21,IF(I9="Skill Level Bonus — 2nd Job",Sensitivity!H22,IF(I9="Skill Level Bonus — 3rd Job",Sensitivity!H23,IF(I9="Skill Level Bonus — 4th Job",Sensitivity!H24,IF(I9="Skill Level Bonus — All Skills",Sensitivity!H25,IF(I9="Final Damage %",Sensitivity!H12,IF(I9="Basic Attack Damage %",Sensitivity!H19,IF(I9="Skill Damage %",Sensitivity!H20,IF(I9="Attack Speed %",Sensitivity!H17,0)))))))))))))))))))))))</f>
        <v/>
      </c>
      <c r="L9">
        <f>SUMIF($I$5:$I$10,I9,$K$5:$K$10)</f>
        <v/>
      </c>
      <c r="M9">
        <f>AND(I9&lt;&gt;"(none)",COUNTIF($I$5:I8,I9)=0)</f>
        <v/>
      </c>
      <c r="N9">
        <f>IF(NOT(M9),1,1+L9/Summary!$B$3)</f>
        <v/>
      </c>
      <c r="Q9" t="inlineStr">
        <is>
          <t>Boss Monster Damage %</t>
        </is>
      </c>
    </row>
    <row r="10">
      <c r="A10" s="6" t="inlineStr">
        <is>
          <t>Line 6</t>
        </is>
      </c>
      <c r="B10" s="7" t="inlineStr">
        <is>
          <t>(none)</t>
        </is>
      </c>
      <c r="C10" s="7" t="n">
        <v>0</v>
      </c>
      <c r="D10">
        <f>IF(B10="(none)",0,C10*(IF(B10="Main Stat (flat)",Sensitivity!H5,IF(B10="Main Stat %",Sensitivity!H6,IF(B10="Attack (flat)",Sensitivity!H26,IF(B10="Min Damage %",Sensitivity!H13,IF(B10="Max Damage %",Sensitivity!H14,IF(B10="Damage %",Sensitivity!H8,IF(B10="Critical Rate %",IF(AND(Inputs!$B$9+Summary!$B$14+Artifacts!$B$32&gt;=100,NOT(ArtifactsInput!$M$42),NOT(ArtifactsInput!$M$24)),Sensitivity!H16,Sensitivity!H15),IF(B10="Critical Damage %",Sensitivity!H16,IF(B10="Boss Monster Damage %",Sensitivity!H10,IF(B10="Normal Monster Damage %",Sensitivity!H11,IF(B10="Defense Penetration %",Sensitivity!H18,IF(B10="Defense (flat)",0,IF(B10="Skill Level Bonus — 1st Job",Sensitivity!H21,IF(B10="Skill Level Bonus — 2nd Job",Sensitivity!H22,IF(B10="Skill Level Bonus — 3rd Job",Sensitivity!H23,IF(B10="Skill Level Bonus — 4th Job",Sensitivity!H24,IF(B10="Skill Level Bonus — All Skills",Sensitivity!H25,IF(B10="Final Damage %",Sensitivity!H12,IF(B10="Basic Attack Damage %",Sensitivity!H19,IF(B10="Skill Damage %",Sensitivity!H20,IF(B10="Attack Speed %",Sensitivity!H17,0)))))))))))))))))))))))</f>
        <v/>
      </c>
      <c r="E10">
        <f>SUMIF($B$5:$B$10,B10,$D$5:$D$10)</f>
        <v/>
      </c>
      <c r="F10">
        <f>AND(B10&lt;&gt;"(none)",COUNTIF($B$5:B9,B10)=0)</f>
        <v/>
      </c>
      <c r="G10">
        <f>IF(NOT(F10),1,1+E10/Summary!$B$3)</f>
        <v/>
      </c>
      <c r="I10" s="7" t="inlineStr">
        <is>
          <t>(none)</t>
        </is>
      </c>
      <c r="J10" s="7" t="n">
        <v>0</v>
      </c>
      <c r="K10">
        <f>IF(I10="(none)",0,J10*(IF(I10="Main Stat (flat)",Sensitivity!H5,IF(I10="Main Stat %",Sensitivity!H6,IF(I10="Attack (flat)",Sensitivity!H26,IF(I10="Min Damage %",Sensitivity!H13,IF(I10="Max Damage %",Sensitivity!H14,IF(I10="Damage %",Sensitivity!H8,IF(I10="Critical Rate %",IF(AND(Inputs!$B$9+Summary!$B$14+Artifacts!$B$32&gt;=100,NOT(ArtifactsInput!$M$42),NOT(ArtifactsInput!$M$24)),Sensitivity!H16,Sensitivity!H15),IF(I10="Critical Damage %",Sensitivity!H16,IF(I10="Boss Monster Damage %",Sensitivity!H10,IF(I10="Normal Monster Damage %",Sensitivity!H11,IF(I10="Defense Penetration %",Sensitivity!H18,IF(I10="Defense (flat)",0,IF(I10="Skill Level Bonus — 1st Job",Sensitivity!H21,IF(I10="Skill Level Bonus — 2nd Job",Sensitivity!H22,IF(I10="Skill Level Bonus — 3rd Job",Sensitivity!H23,IF(I10="Skill Level Bonus — 4th Job",Sensitivity!H24,IF(I10="Skill Level Bonus — All Skills",Sensitivity!H25,IF(I10="Final Damage %",Sensitivity!H12,IF(I10="Basic Attack Damage %",Sensitivity!H19,IF(I10="Skill Damage %",Sensitivity!H20,IF(I10="Attack Speed %",Sensitivity!H17,0)))))))))))))))))))))))</f>
        <v/>
      </c>
      <c r="L10">
        <f>SUMIF($I$5:$I$10,I10,$K$5:$K$10)</f>
        <v/>
      </c>
      <c r="M10">
        <f>AND(I10&lt;&gt;"(none)",COUNTIF($I$5:I9,I10)=0)</f>
        <v/>
      </c>
      <c r="N10">
        <f>IF(NOT(M10),1,1+L10/Summary!$B$3)</f>
        <v/>
      </c>
      <c r="Q10" t="inlineStr">
        <is>
          <t>Normal Monster Damage %</t>
        </is>
      </c>
    </row>
    <row r="11">
      <c r="Q11" t="inlineStr">
        <is>
          <t>Defense Penetration %</t>
        </is>
      </c>
    </row>
    <row r="12">
      <c r="A12" s="6" t="inlineStr">
        <is>
          <t>Total DPS Gain</t>
        </is>
      </c>
      <c r="D12">
        <f>Summary!$B$3*(PRODUCT($G$5:$G$10)-1)</f>
        <v/>
      </c>
      <c r="K12">
        <f>Summary!$B$3*(PRODUCT($N$5:$N$10)-1)</f>
        <v/>
      </c>
      <c r="Q12" t="inlineStr">
        <is>
          <t>Defense (flat)</t>
        </is>
      </c>
    </row>
    <row r="13">
      <c r="A13" s="6" t="inlineStr">
        <is>
          <t>% of Total DPS</t>
        </is>
      </c>
      <c r="D13" s="13">
        <f>D12/Summary!$B$3*100</f>
        <v/>
      </c>
      <c r="K13" s="13">
        <f>K12/Summary!$B$3*100</f>
        <v/>
      </c>
      <c r="Q13" t="inlineStr">
        <is>
          <t>Skill Level Bonus — 1st Job</t>
        </is>
      </c>
    </row>
    <row r="14">
      <c r="Q14" t="inlineStr">
        <is>
          <t>Skill Level Bonus — 2nd Job</t>
        </is>
      </c>
    </row>
    <row r="15">
      <c r="A15" s="9" t="inlineStr">
        <is>
          <t>New vs Current — DPS % Delta</t>
        </is>
      </c>
      <c r="D15" s="14">
        <f>K13-D13</f>
        <v/>
      </c>
      <c r="Q15" t="inlineStr">
        <is>
          <t>Skill Level Bonus — 3rd Job</t>
        </is>
      </c>
    </row>
    <row r="16">
      <c r="Q16" t="inlineStr">
        <is>
          <t>Skill Level Bonus — 4th Job</t>
        </is>
      </c>
    </row>
    <row r="17">
      <c r="Q17" t="inlineStr">
        <is>
          <t>Skill Level Bonus — All Skills</t>
        </is>
      </c>
    </row>
    <row r="18">
      <c r="Q18" t="inlineStr">
        <is>
          <t>Final Damage %</t>
        </is>
      </c>
    </row>
    <row r="19">
      <c r="Q19" t="inlineStr">
        <is>
          <t>Basic Attack Damage %</t>
        </is>
      </c>
    </row>
    <row r="20">
      <c r="Q20" t="inlineStr">
        <is>
          <t>Skill Damage %</t>
        </is>
      </c>
    </row>
    <row r="21">
      <c r="Q21" t="inlineStr">
        <is>
          <t>Attack Speed %</t>
        </is>
      </c>
    </row>
  </sheetData>
  <dataValidations count="1">
    <dataValidation sqref="B6 B7 B8 B9 B10 I6 I7 I8 I9 I10" showDropDown="0" showInputMessage="0" showErrorMessage="0" allowBlank="0" type="list">
      <formula1>=$Q$1:$Q$21</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Q709"/>
  <sheetViews>
    <sheetView workbookViewId="0">
      <pane ySplit="1" topLeftCell="A2" activePane="bottomLeft" state="frozen"/>
      <selection pane="bottomLeft" activeCell="A1" sqref="A1"/>
    </sheetView>
  </sheetViews>
  <sheetFormatPr baseColWidth="8" defaultRowHeight="15"/>
  <cols>
    <col width="10" customWidth="1" min="1" max="1"/>
    <col width="12" customWidth="1" min="2" max="2"/>
    <col width="6" customWidth="1" min="3" max="3"/>
    <col width="26" customWidth="1" min="4" max="4"/>
    <col width="9" customWidth="1" min="5" max="5"/>
    <col width="9" customWidth="1" min="6" max="6"/>
    <col width="8" customWidth="1" min="7" max="7"/>
    <col width="13" customWidth="1" min="8" max="8"/>
    <col width="2" customWidth="1" min="9" max="9"/>
    <col width="26" customWidth="1" min="10" max="10"/>
    <col width="13" customWidth="1" min="11" max="11"/>
    <col width="2" customWidth="1" min="12" max="12"/>
    <col width="12" customWidth="1" min="13" max="13"/>
    <col width="10" customWidth="1" min="14" max="14"/>
    <col width="9" customWidth="1" min="15" max="15"/>
    <col width="15" customWidth="1" min="16" max="16"/>
    <col width="14" customWidth="1" min="17" max="17"/>
  </cols>
  <sheetData>
    <row r="1">
      <c r="A1" s="5" t="inlineStr">
        <is>
          <t>Slot</t>
        </is>
      </c>
      <c r="B1" s="5" t="inlineStr">
        <is>
          <t>Rarity</t>
        </is>
      </c>
      <c r="C1" s="5" t="inlineStr">
        <is>
          <t>Line</t>
        </is>
      </c>
      <c r="D1" s="5" t="inlineStr">
        <is>
          <t>Stat</t>
        </is>
      </c>
      <c r="E1" s="5" t="inlineStr">
        <is>
          <t>Value</t>
        </is>
      </c>
      <c r="F1" s="5" t="inlineStr">
        <is>
          <t>Weight</t>
        </is>
      </c>
      <c r="G1" s="5" t="inlineStr">
        <is>
          <t>Prime</t>
        </is>
      </c>
      <c r="H1" s="5" t="inlineStr">
        <is>
          <t>DPSPerUnit</t>
        </is>
      </c>
      <c r="J1" s="11" t="inlineStr">
        <is>
          <t>Stat</t>
        </is>
      </c>
      <c r="K1" s="11" t="inlineStr">
        <is>
          <t>DPSPerUnit</t>
        </is>
      </c>
      <c r="M1" s="11" t="inlineStr">
        <is>
          <t>Rarity</t>
        </is>
      </c>
      <c r="N1" s="11" t="inlineStr">
        <is>
          <t>Rate</t>
        </is>
      </c>
      <c r="O1" s="11" t="inlineStr">
        <is>
          <t>MaxPity</t>
        </is>
      </c>
      <c r="P1" s="11" t="inlineStr">
        <is>
          <t>PotentialType</t>
        </is>
      </c>
      <c r="Q1" s="11" t="inlineStr">
        <is>
          <t>SlotList</t>
        </is>
      </c>
    </row>
    <row r="2">
      <c r="A2" t="inlineStr">
        <is>
          <t>ALL</t>
        </is>
      </c>
      <c r="B2" t="inlineStr">
        <is>
          <t>normal</t>
        </is>
      </c>
      <c r="C2" t="n">
        <v>1</v>
      </c>
      <c r="D2" t="inlineStr">
        <is>
          <t>Critical Rate %</t>
        </is>
      </c>
      <c r="E2" t="n">
        <v>3</v>
      </c>
      <c r="F2" t="n">
        <v>2.5</v>
      </c>
      <c r="G2" t="b">
        <v>0</v>
      </c>
      <c r="H2">
        <f>IF(AND(Inputs!$B$9+Summary!$B$14+Artifacts!$B$32&gt;=100,NOT(ArtifactsInput!$M$42),NOT(ArtifactsInput!$M$24)),Sensitivity!H16,Sensitivity!H15)</f>
        <v/>
      </c>
      <c r="J2" t="inlineStr">
        <is>
          <t>(none)</t>
        </is>
      </c>
      <c r="K2" t="n">
        <v>0</v>
      </c>
      <c r="M2" t="inlineStr">
        <is>
          <t>normal</t>
        </is>
      </c>
      <c r="N2" t="n">
        <v>0.06</v>
      </c>
      <c r="O2" t="n">
        <v>30</v>
      </c>
      <c r="P2" t="inlineStr">
        <is>
          <t>Potential</t>
        </is>
      </c>
      <c r="Q2" t="inlineStr">
        <is>
          <t>head</t>
        </is>
      </c>
    </row>
    <row r="3">
      <c r="A3" t="inlineStr">
        <is>
          <t>ALL</t>
        </is>
      </c>
      <c r="B3" t="inlineStr">
        <is>
          <t>normal</t>
        </is>
      </c>
      <c r="C3" t="n">
        <v>1</v>
      </c>
      <c r="D3" t="inlineStr">
        <is>
          <t>Attack Speed %</t>
        </is>
      </c>
      <c r="E3" t="n">
        <v>3</v>
      </c>
      <c r="F3" t="n">
        <v>2.5</v>
      </c>
      <c r="G3" t="b">
        <v>0</v>
      </c>
      <c r="H3">
        <f>Sensitivity!H17</f>
        <v/>
      </c>
      <c r="J3" t="inlineStr">
        <is>
          <t>All Skill Level</t>
        </is>
      </c>
      <c r="K3">
        <f>Sensitivity!H25</f>
        <v/>
      </c>
      <c r="M3" t="inlineStr">
        <is>
          <t>rare</t>
        </is>
      </c>
      <c r="N3" t="n">
        <v>0.03333</v>
      </c>
      <c r="O3" t="n">
        <v>60</v>
      </c>
      <c r="P3" t="inlineStr">
        <is>
          <t>Potential</t>
        </is>
      </c>
      <c r="Q3" t="inlineStr">
        <is>
          <t>cape</t>
        </is>
      </c>
    </row>
    <row r="4">
      <c r="A4" t="inlineStr">
        <is>
          <t>ALL</t>
        </is>
      </c>
      <c r="B4" t="inlineStr">
        <is>
          <t>normal</t>
        </is>
      </c>
      <c r="C4" t="n">
        <v>1</v>
      </c>
      <c r="D4" t="inlineStr">
        <is>
          <t>Damage %</t>
        </is>
      </c>
      <c r="E4" t="n">
        <v>5</v>
      </c>
      <c r="F4" t="n">
        <v>4</v>
      </c>
      <c r="G4" t="b">
        <v>0</v>
      </c>
      <c r="H4">
        <f>Sensitivity!H8</f>
        <v/>
      </c>
      <c r="J4" t="inlineStr">
        <is>
          <t>Attack Speed %</t>
        </is>
      </c>
      <c r="K4">
        <f>Sensitivity!H17</f>
        <v/>
      </c>
      <c r="M4" t="inlineStr">
        <is>
          <t>epic</t>
        </is>
      </c>
      <c r="N4" t="n">
        <v>0.0167</v>
      </c>
      <c r="O4" t="n">
        <v>120</v>
      </c>
      <c r="P4" t="inlineStr">
        <is>
          <t>Potential</t>
        </is>
      </c>
      <c r="Q4" t="inlineStr">
        <is>
          <t>chest</t>
        </is>
      </c>
    </row>
    <row r="5">
      <c r="A5" t="inlineStr">
        <is>
          <t>ALL</t>
        </is>
      </c>
      <c r="B5" t="inlineStr">
        <is>
          <t>normal</t>
        </is>
      </c>
      <c r="C5" t="n">
        <v>1</v>
      </c>
      <c r="D5" t="inlineStr">
        <is>
          <t>Min Damage Multiplier %</t>
        </is>
      </c>
      <c r="E5" t="n">
        <v>3</v>
      </c>
      <c r="F5" t="n">
        <v>4</v>
      </c>
      <c r="G5" t="b">
        <v>0</v>
      </c>
      <c r="H5">
        <f>Sensitivity!H13</f>
        <v/>
      </c>
      <c r="J5" t="inlineStr">
        <is>
          <t>Basic Attack Damage %</t>
        </is>
      </c>
      <c r="K5">
        <f>Sensitivity!H19</f>
        <v/>
      </c>
      <c r="M5" t="inlineStr">
        <is>
          <t>unique</t>
        </is>
      </c>
      <c r="N5" t="n">
        <v>0.006</v>
      </c>
      <c r="O5" t="n">
        <v>333</v>
      </c>
      <c r="P5" t="inlineStr">
        <is>
          <t>Potential</t>
        </is>
      </c>
      <c r="Q5" t="inlineStr">
        <is>
          <t>shoulders</t>
        </is>
      </c>
    </row>
    <row r="6">
      <c r="A6" t="inlineStr">
        <is>
          <t>ALL</t>
        </is>
      </c>
      <c r="B6" t="inlineStr">
        <is>
          <t>normal</t>
        </is>
      </c>
      <c r="C6" t="n">
        <v>1</v>
      </c>
      <c r="D6" t="inlineStr">
        <is>
          <t>Max Damage Multiplier %</t>
        </is>
      </c>
      <c r="E6" t="n">
        <v>3</v>
      </c>
      <c r="F6" t="n">
        <v>4</v>
      </c>
      <c r="G6" t="b">
        <v>0</v>
      </c>
      <c r="H6">
        <f>Sensitivity!H14</f>
        <v/>
      </c>
      <c r="J6" t="inlineStr">
        <is>
          <t>Basic Attack Target Increase</t>
        </is>
      </c>
      <c r="K6">
        <f>Sensitivity!H29</f>
        <v/>
      </c>
      <c r="M6" t="inlineStr">
        <is>
          <t>legendary</t>
        </is>
      </c>
      <c r="N6" t="n">
        <v>0.0021</v>
      </c>
      <c r="O6" t="n">
        <v>714</v>
      </c>
      <c r="P6" t="inlineStr">
        <is>
          <t>Potential</t>
        </is>
      </c>
      <c r="Q6" t="inlineStr">
        <is>
          <t>legs</t>
        </is>
      </c>
    </row>
    <row r="7">
      <c r="A7" t="inlineStr">
        <is>
          <t>ALL</t>
        </is>
      </c>
      <c r="B7" t="inlineStr">
        <is>
          <t>normal</t>
        </is>
      </c>
      <c r="C7" t="n">
        <v>1</v>
      </c>
      <c r="D7" t="inlineStr">
        <is>
          <t>Str %</t>
        </is>
      </c>
      <c r="E7" t="n">
        <v>3</v>
      </c>
      <c r="F7" t="n">
        <v>4.5</v>
      </c>
      <c r="G7" t="b">
        <v>0</v>
      </c>
      <c r="H7" t="inlineStr">
        <is>
          <t>0</t>
        </is>
      </c>
      <c r="J7" t="inlineStr">
        <is>
          <t>Buff Duration Increase %</t>
        </is>
      </c>
      <c r="K7">
        <f>Sensitivity!H30</f>
        <v/>
      </c>
      <c r="M7" t="inlineStr">
        <is>
          <t>mystic</t>
        </is>
      </c>
      <c r="N7" t="n">
        <v>0</v>
      </c>
      <c r="O7" t="n">
        <v>0</v>
      </c>
      <c r="P7" t="inlineStr">
        <is>
          <t>Potential</t>
        </is>
      </c>
      <c r="Q7" t="inlineStr">
        <is>
          <t>belt</t>
        </is>
      </c>
    </row>
    <row r="8">
      <c r="A8" t="inlineStr">
        <is>
          <t>ALL</t>
        </is>
      </c>
      <c r="B8" t="inlineStr">
        <is>
          <t>normal</t>
        </is>
      </c>
      <c r="C8" t="n">
        <v>1</v>
      </c>
      <c r="D8" t="inlineStr">
        <is>
          <t>Dex %</t>
        </is>
      </c>
      <c r="E8" t="n">
        <v>3</v>
      </c>
      <c r="F8" t="n">
        <v>4.5</v>
      </c>
      <c r="G8" t="b">
        <v>0</v>
      </c>
      <c r="H8">
        <f>Sensitivity!H7*Inputs!$B$14/100</f>
        <v/>
      </c>
      <c r="J8" t="inlineStr">
        <is>
          <t>Companion Summoning Time Increase %</t>
        </is>
      </c>
      <c r="K8">
        <f>Sensitivity!H16</f>
        <v/>
      </c>
      <c r="M8" t="inlineStr">
        <is>
          <t>normal</t>
        </is>
      </c>
      <c r="N8" t="n">
        <v>0.06</v>
      </c>
      <c r="O8" t="n">
        <v>42</v>
      </c>
      <c r="P8" t="inlineStr">
        <is>
          <t>Bonus Potential</t>
        </is>
      </c>
      <c r="Q8" t="inlineStr">
        <is>
          <t>gloves</t>
        </is>
      </c>
    </row>
    <row r="9">
      <c r="A9" t="inlineStr">
        <is>
          <t>ALL</t>
        </is>
      </c>
      <c r="B9" t="inlineStr">
        <is>
          <t>normal</t>
        </is>
      </c>
      <c r="C9" t="n">
        <v>1</v>
      </c>
      <c r="D9" t="inlineStr">
        <is>
          <t>Int %</t>
        </is>
      </c>
      <c r="E9" t="n">
        <v>3</v>
      </c>
      <c r="F9" t="n">
        <v>4.5</v>
      </c>
      <c r="G9" t="b">
        <v>0</v>
      </c>
      <c r="H9" t="inlineStr">
        <is>
          <t>0</t>
        </is>
      </c>
      <c r="J9" t="inlineStr">
        <is>
          <t>Critical Damage %</t>
        </is>
      </c>
      <c r="K9">
        <f>Sensitivity!H16</f>
        <v/>
      </c>
      <c r="M9" t="inlineStr">
        <is>
          <t>rare</t>
        </is>
      </c>
      <c r="N9" t="n">
        <v>0.03333</v>
      </c>
      <c r="O9" t="n">
        <v>75</v>
      </c>
      <c r="P9" t="inlineStr">
        <is>
          <t>Bonus Potential</t>
        </is>
      </c>
      <c r="Q9" t="inlineStr">
        <is>
          <t>boots</t>
        </is>
      </c>
    </row>
    <row r="10">
      <c r="A10" t="inlineStr">
        <is>
          <t>ALL</t>
        </is>
      </c>
      <c r="B10" t="inlineStr">
        <is>
          <t>normal</t>
        </is>
      </c>
      <c r="C10" t="n">
        <v>1</v>
      </c>
      <c r="D10" t="inlineStr">
        <is>
          <t>Luk %</t>
        </is>
      </c>
      <c r="E10" t="n">
        <v>3</v>
      </c>
      <c r="F10" t="n">
        <v>4.5</v>
      </c>
      <c r="G10" t="b">
        <v>0</v>
      </c>
      <c r="H10">
        <f>Sensitivity!H6</f>
        <v/>
      </c>
      <c r="J10" t="inlineStr">
        <is>
          <t>Critical Rate %</t>
        </is>
      </c>
      <c r="K10">
        <f>IF(AND(Inputs!$B$9+Summary!$B$14+Artifacts!$B$32&gt;=100,NOT(ArtifactsInput!$M$42),NOT(ArtifactsInput!$M$24)),Sensitivity!H16,Sensitivity!H15)</f>
        <v/>
      </c>
      <c r="M10" t="inlineStr">
        <is>
          <t>epic</t>
        </is>
      </c>
      <c r="N10" t="n">
        <v>0.0167</v>
      </c>
      <c r="O10" t="n">
        <v>150</v>
      </c>
      <c r="P10" t="inlineStr">
        <is>
          <t>Bonus Potential</t>
        </is>
      </c>
      <c r="Q10" t="inlineStr">
        <is>
          <t>ring</t>
        </is>
      </c>
    </row>
    <row r="11">
      <c r="A11" t="inlineStr">
        <is>
          <t>ALL</t>
        </is>
      </c>
      <c r="B11" t="inlineStr">
        <is>
          <t>normal</t>
        </is>
      </c>
      <c r="C11" t="n">
        <v>1</v>
      </c>
      <c r="D11" t="inlineStr">
        <is>
          <t>Defense %</t>
        </is>
      </c>
      <c r="E11" t="n">
        <v>3</v>
      </c>
      <c r="F11" t="n">
        <v>9</v>
      </c>
      <c r="G11" t="b">
        <v>0</v>
      </c>
      <c r="H11" t="inlineStr">
        <is>
          <t>0</t>
        </is>
      </c>
      <c r="J11" t="inlineStr">
        <is>
          <t>Damage %</t>
        </is>
      </c>
      <c r="K11">
        <f>Sensitivity!H8</f>
        <v/>
      </c>
      <c r="M11" t="inlineStr">
        <is>
          <t>unique</t>
        </is>
      </c>
      <c r="N11" t="n">
        <v>0.006</v>
      </c>
      <c r="O11" t="n">
        <v>417</v>
      </c>
      <c r="P11" t="inlineStr">
        <is>
          <t>Bonus Potential</t>
        </is>
      </c>
      <c r="Q11" t="inlineStr">
        <is>
          <t>neck</t>
        </is>
      </c>
    </row>
    <row r="12">
      <c r="A12" t="inlineStr">
        <is>
          <t>ALL</t>
        </is>
      </c>
      <c r="B12" t="inlineStr">
        <is>
          <t>normal</t>
        </is>
      </c>
      <c r="C12" t="n">
        <v>1</v>
      </c>
      <c r="D12" t="inlineStr">
        <is>
          <t>Max HP %</t>
        </is>
      </c>
      <c r="E12" t="n">
        <v>6</v>
      </c>
      <c r="F12" t="n">
        <v>9</v>
      </c>
      <c r="G12" t="b">
        <v>0</v>
      </c>
      <c r="H12" t="inlineStr">
        <is>
          <t>0</t>
        </is>
      </c>
      <c r="J12" t="inlineStr">
        <is>
          <t>Defense %</t>
        </is>
      </c>
      <c r="K12" t="inlineStr">
        <is>
          <t>0</t>
        </is>
      </c>
      <c r="M12" t="inlineStr">
        <is>
          <t>legendary</t>
        </is>
      </c>
      <c r="N12" t="n">
        <v>0.0021</v>
      </c>
      <c r="O12" t="n">
        <v>714</v>
      </c>
      <c r="P12" t="inlineStr">
        <is>
          <t>Bonus Potential</t>
        </is>
      </c>
      <c r="Q12" t="inlineStr">
        <is>
          <t>eye-accessory</t>
        </is>
      </c>
    </row>
    <row r="13">
      <c r="A13" t="inlineStr">
        <is>
          <t>ALL</t>
        </is>
      </c>
      <c r="B13" t="inlineStr">
        <is>
          <t>normal</t>
        </is>
      </c>
      <c r="C13" t="n">
        <v>1</v>
      </c>
      <c r="D13" t="inlineStr">
        <is>
          <t>Max MP %</t>
        </is>
      </c>
      <c r="E13" t="n">
        <v>3</v>
      </c>
      <c r="F13" t="n">
        <v>9</v>
      </c>
      <c r="G13" t="b">
        <v>0</v>
      </c>
      <c r="H13" t="inlineStr">
        <is>
          <t>0</t>
        </is>
      </c>
      <c r="J13" t="inlineStr">
        <is>
          <t>Defense Penetration</t>
        </is>
      </c>
      <c r="K13">
        <f>Sensitivity!H18</f>
        <v/>
      </c>
      <c r="M13" t="inlineStr">
        <is>
          <t>mystic</t>
        </is>
      </c>
      <c r="N13" t="n">
        <v>0</v>
      </c>
      <c r="O13" t="n">
        <v>0</v>
      </c>
      <c r="P13" t="inlineStr">
        <is>
          <t>Bonus Potential</t>
        </is>
      </c>
      <c r="Q13" t="inlineStr">
        <is>
          <t>ring2</t>
        </is>
      </c>
    </row>
    <row r="14">
      <c r="A14" t="inlineStr">
        <is>
          <t>ALL</t>
        </is>
      </c>
      <c r="B14" t="inlineStr">
        <is>
          <t>normal</t>
        </is>
      </c>
      <c r="C14" t="n">
        <v>1</v>
      </c>
      <c r="D14" t="inlineStr">
        <is>
          <t>Str</t>
        </is>
      </c>
      <c r="E14" t="n">
        <v>50</v>
      </c>
      <c r="F14" t="n">
        <v>9.5</v>
      </c>
      <c r="G14" t="b">
        <v>0</v>
      </c>
      <c r="H14" t="inlineStr">
        <is>
          <t>0</t>
        </is>
      </c>
      <c r="J14" t="inlineStr">
        <is>
          <t>Dex</t>
        </is>
      </c>
      <c r="K14">
        <f>Sensitivity!H7</f>
        <v/>
      </c>
      <c r="Q14" t="inlineStr">
        <is>
          <t>face</t>
        </is>
      </c>
    </row>
    <row r="15">
      <c r="A15" t="inlineStr">
        <is>
          <t>ALL</t>
        </is>
      </c>
      <c r="B15" t="inlineStr">
        <is>
          <t>normal</t>
        </is>
      </c>
      <c r="C15" t="n">
        <v>1</v>
      </c>
      <c r="D15" t="inlineStr">
        <is>
          <t>Dex</t>
        </is>
      </c>
      <c r="E15" t="n">
        <v>50</v>
      </c>
      <c r="F15" t="n">
        <v>9.5</v>
      </c>
      <c r="G15" t="b">
        <v>0</v>
      </c>
      <c r="H15">
        <f>Sensitivity!H7</f>
        <v/>
      </c>
      <c r="J15" t="inlineStr">
        <is>
          <t>Dex %</t>
        </is>
      </c>
      <c r="K15">
        <f>Sensitivity!H7*Inputs!$B$14/100</f>
        <v/>
      </c>
      <c r="Q15" t="inlineStr">
        <is>
          <t>earrings</t>
        </is>
      </c>
    </row>
    <row r="16">
      <c r="A16" t="inlineStr">
        <is>
          <t>ALL</t>
        </is>
      </c>
      <c r="B16" t="inlineStr">
        <is>
          <t>normal</t>
        </is>
      </c>
      <c r="C16" t="n">
        <v>1</v>
      </c>
      <c r="D16" t="inlineStr">
        <is>
          <t>Int</t>
        </is>
      </c>
      <c r="E16" t="n">
        <v>50</v>
      </c>
      <c r="F16" t="n">
        <v>9.5</v>
      </c>
      <c r="G16" t="b">
        <v>0</v>
      </c>
      <c r="H16" t="inlineStr">
        <is>
          <t>0</t>
        </is>
      </c>
      <c r="J16" t="inlineStr">
        <is>
          <t>Final Damage %</t>
        </is>
      </c>
      <c r="K16">
        <f>Sensitivity!H12</f>
        <v/>
      </c>
      <c r="Q16" t="inlineStr">
        <is>
          <t>pocket</t>
        </is>
      </c>
    </row>
    <row r="17">
      <c r="A17" t="inlineStr">
        <is>
          <t>ALL</t>
        </is>
      </c>
      <c r="B17" t="inlineStr">
        <is>
          <t>normal</t>
        </is>
      </c>
      <c r="C17" t="n">
        <v>1</v>
      </c>
      <c r="D17" t="inlineStr">
        <is>
          <t>Luk</t>
        </is>
      </c>
      <c r="E17" t="n">
        <v>50</v>
      </c>
      <c r="F17" t="n">
        <v>9.5</v>
      </c>
      <c r="G17" t="b">
        <v>0</v>
      </c>
      <c r="H17">
        <f>Sensitivity!H5</f>
        <v/>
      </c>
      <c r="J17" t="inlineStr">
        <is>
          <t>Int</t>
        </is>
      </c>
      <c r="K17" t="inlineStr">
        <is>
          <t>0</t>
        </is>
      </c>
    </row>
    <row r="18">
      <c r="A18" t="inlineStr">
        <is>
          <t>ALL</t>
        </is>
      </c>
      <c r="B18" t="inlineStr">
        <is>
          <t>normal</t>
        </is>
      </c>
      <c r="C18" t="n">
        <v>2</v>
      </c>
      <c r="D18" t="inlineStr">
        <is>
          <t>Critical Rate %</t>
        </is>
      </c>
      <c r="E18" t="n">
        <v>3</v>
      </c>
      <c r="F18" t="n">
        <v>2.5</v>
      </c>
      <c r="G18" t="b">
        <v>0</v>
      </c>
      <c r="H18">
        <f>IF(AND(Inputs!$B$9+Summary!$B$14+Artifacts!$B$32&gt;=100,NOT(ArtifactsInput!$M$42),NOT(ArtifactsInput!$M$24)),Sensitivity!H16,Sensitivity!H15)</f>
        <v/>
      </c>
      <c r="J18" t="inlineStr">
        <is>
          <t>Int %</t>
        </is>
      </c>
      <c r="K18" t="inlineStr">
        <is>
          <t>0</t>
        </is>
      </c>
    </row>
    <row r="19">
      <c r="A19" t="inlineStr">
        <is>
          <t>ALL</t>
        </is>
      </c>
      <c r="B19" t="inlineStr">
        <is>
          <t>normal</t>
        </is>
      </c>
      <c r="C19" t="n">
        <v>2</v>
      </c>
      <c r="D19" t="inlineStr">
        <is>
          <t>Attack Speed %</t>
        </is>
      </c>
      <c r="E19" t="n">
        <v>3</v>
      </c>
      <c r="F19" t="n">
        <v>2.5</v>
      </c>
      <c r="G19" t="b">
        <v>0</v>
      </c>
      <c r="H19">
        <f>Sensitivity!H17</f>
        <v/>
      </c>
      <c r="J19" t="inlineStr">
        <is>
          <t>Luk</t>
        </is>
      </c>
      <c r="K19">
        <f>Sensitivity!H5</f>
        <v/>
      </c>
    </row>
    <row r="20">
      <c r="A20" t="inlineStr">
        <is>
          <t>ALL</t>
        </is>
      </c>
      <c r="B20" t="inlineStr">
        <is>
          <t>normal</t>
        </is>
      </c>
      <c r="C20" t="n">
        <v>2</v>
      </c>
      <c r="D20" t="inlineStr">
        <is>
          <t>Damage %</t>
        </is>
      </c>
      <c r="E20" t="n">
        <v>5</v>
      </c>
      <c r="F20" t="n">
        <v>4</v>
      </c>
      <c r="G20" t="b">
        <v>0</v>
      </c>
      <c r="H20">
        <f>Sensitivity!H8</f>
        <v/>
      </c>
      <c r="J20" t="inlineStr">
        <is>
          <t>Luk %</t>
        </is>
      </c>
      <c r="K20">
        <f>Sensitivity!H6</f>
        <v/>
      </c>
    </row>
    <row r="21">
      <c r="A21" t="inlineStr">
        <is>
          <t>ALL</t>
        </is>
      </c>
      <c r="B21" t="inlineStr">
        <is>
          <t>normal</t>
        </is>
      </c>
      <c r="C21" t="n">
        <v>2</v>
      </c>
      <c r="D21" t="inlineStr">
        <is>
          <t>Min Damage Multiplier %</t>
        </is>
      </c>
      <c r="E21" t="n">
        <v>3</v>
      </c>
      <c r="F21" t="n">
        <v>4</v>
      </c>
      <c r="G21" t="b">
        <v>0</v>
      </c>
      <c r="H21">
        <f>Sensitivity!H13</f>
        <v/>
      </c>
      <c r="J21" t="inlineStr">
        <is>
          <t>Main Stat % per 4 Levels</t>
        </is>
      </c>
      <c r="K21">
        <f>Sensitivity!H6*INT(Inputs!$B$3/4)</f>
        <v/>
      </c>
    </row>
    <row r="22">
      <c r="A22" t="inlineStr">
        <is>
          <t>ALL</t>
        </is>
      </c>
      <c r="B22" t="inlineStr">
        <is>
          <t>normal</t>
        </is>
      </c>
      <c r="C22" t="n">
        <v>2</v>
      </c>
      <c r="D22" t="inlineStr">
        <is>
          <t>Max Damage Multiplier %</t>
        </is>
      </c>
      <c r="E22" t="n">
        <v>3</v>
      </c>
      <c r="F22" t="n">
        <v>4</v>
      </c>
      <c r="G22" t="b">
        <v>0</v>
      </c>
      <c r="H22">
        <f>Sensitivity!H14</f>
        <v/>
      </c>
      <c r="J22" t="inlineStr">
        <is>
          <t>Main Stat Per Level</t>
        </is>
      </c>
      <c r="K22">
        <f>Sensitivity!H5*Inputs!$B$3</f>
        <v/>
      </c>
    </row>
    <row r="23">
      <c r="A23" t="inlineStr">
        <is>
          <t>ALL</t>
        </is>
      </c>
      <c r="B23" t="inlineStr">
        <is>
          <t>normal</t>
        </is>
      </c>
      <c r="C23" t="n">
        <v>2</v>
      </c>
      <c r="D23" t="inlineStr">
        <is>
          <t>Str %</t>
        </is>
      </c>
      <c r="E23" t="n">
        <v>3</v>
      </c>
      <c r="F23" t="n">
        <v>4.5</v>
      </c>
      <c r="G23" t="b">
        <v>0</v>
      </c>
      <c r="H23" t="inlineStr">
        <is>
          <t>0</t>
        </is>
      </c>
      <c r="J23" t="inlineStr">
        <is>
          <t>Max Damage Multiplier %</t>
        </is>
      </c>
      <c r="K23">
        <f>Sensitivity!H14</f>
        <v/>
      </c>
    </row>
    <row r="24">
      <c r="A24" t="inlineStr">
        <is>
          <t>ALL</t>
        </is>
      </c>
      <c r="B24" t="inlineStr">
        <is>
          <t>normal</t>
        </is>
      </c>
      <c r="C24" t="n">
        <v>2</v>
      </c>
      <c r="D24" t="inlineStr">
        <is>
          <t>Dex %</t>
        </is>
      </c>
      <c r="E24" t="n">
        <v>3</v>
      </c>
      <c r="F24" t="n">
        <v>4.5</v>
      </c>
      <c r="G24" t="b">
        <v>0</v>
      </c>
      <c r="H24">
        <f>Sensitivity!H7*Inputs!$B$14/100</f>
        <v/>
      </c>
      <c r="J24" t="inlineStr">
        <is>
          <t>Max HP %</t>
        </is>
      </c>
      <c r="K24" t="inlineStr">
        <is>
          <t>0</t>
        </is>
      </c>
    </row>
    <row r="25">
      <c r="A25" t="inlineStr">
        <is>
          <t>ALL</t>
        </is>
      </c>
      <c r="B25" t="inlineStr">
        <is>
          <t>normal</t>
        </is>
      </c>
      <c r="C25" t="n">
        <v>2</v>
      </c>
      <c r="D25" t="inlineStr">
        <is>
          <t>Int %</t>
        </is>
      </c>
      <c r="E25" t="n">
        <v>3</v>
      </c>
      <c r="F25" t="n">
        <v>4.5</v>
      </c>
      <c r="G25" t="b">
        <v>0</v>
      </c>
      <c r="H25" t="inlineStr">
        <is>
          <t>0</t>
        </is>
      </c>
      <c r="J25" t="inlineStr">
        <is>
          <t>Max MP %</t>
        </is>
      </c>
      <c r="K25" t="inlineStr">
        <is>
          <t>0</t>
        </is>
      </c>
    </row>
    <row r="26">
      <c r="A26" t="inlineStr">
        <is>
          <t>ALL</t>
        </is>
      </c>
      <c r="B26" t="inlineStr">
        <is>
          <t>normal</t>
        </is>
      </c>
      <c r="C26" t="n">
        <v>2</v>
      </c>
      <c r="D26" t="inlineStr">
        <is>
          <t>Luk %</t>
        </is>
      </c>
      <c r="E26" t="n">
        <v>3</v>
      </c>
      <c r="F26" t="n">
        <v>4.5</v>
      </c>
      <c r="G26" t="b">
        <v>0</v>
      </c>
      <c r="H26">
        <f>Sensitivity!H6</f>
        <v/>
      </c>
      <c r="J26" t="inlineStr">
        <is>
          <t>Min Damage Multiplier %</t>
        </is>
      </c>
      <c r="K26">
        <f>Sensitivity!H13</f>
        <v/>
      </c>
    </row>
    <row r="27">
      <c r="A27" t="inlineStr">
        <is>
          <t>ALL</t>
        </is>
      </c>
      <c r="B27" t="inlineStr">
        <is>
          <t>normal</t>
        </is>
      </c>
      <c r="C27" t="n">
        <v>2</v>
      </c>
      <c r="D27" t="inlineStr">
        <is>
          <t>Defense %</t>
        </is>
      </c>
      <c r="E27" t="n">
        <v>3</v>
      </c>
      <c r="F27" t="n">
        <v>9</v>
      </c>
      <c r="G27" t="b">
        <v>0</v>
      </c>
      <c r="H27" t="inlineStr">
        <is>
          <t>0</t>
        </is>
      </c>
      <c r="J27" t="inlineStr">
        <is>
          <t>Skill Cooldown Decrease (seconds)</t>
        </is>
      </c>
      <c r="K27">
        <f>Sensitivity!H28</f>
        <v/>
      </c>
    </row>
    <row r="28">
      <c r="A28" t="inlineStr">
        <is>
          <t>ALL</t>
        </is>
      </c>
      <c r="B28" t="inlineStr">
        <is>
          <t>normal</t>
        </is>
      </c>
      <c r="C28" t="n">
        <v>2</v>
      </c>
      <c r="D28" t="inlineStr">
        <is>
          <t>Max HP %</t>
        </is>
      </c>
      <c r="E28" t="n">
        <v>6</v>
      </c>
      <c r="F28" t="n">
        <v>9</v>
      </c>
      <c r="G28" t="b">
        <v>0</v>
      </c>
      <c r="H28" t="inlineStr">
        <is>
          <t>0</t>
        </is>
      </c>
      <c r="J28" t="inlineStr">
        <is>
          <t>Skill Damage %</t>
        </is>
      </c>
      <c r="K28">
        <f>Sensitivity!H20</f>
        <v/>
      </c>
    </row>
    <row r="29">
      <c r="A29" t="inlineStr">
        <is>
          <t>ALL</t>
        </is>
      </c>
      <c r="B29" t="inlineStr">
        <is>
          <t>normal</t>
        </is>
      </c>
      <c r="C29" t="n">
        <v>2</v>
      </c>
      <c r="D29" t="inlineStr">
        <is>
          <t>Max MP %</t>
        </is>
      </c>
      <c r="E29" t="n">
        <v>3</v>
      </c>
      <c r="F29" t="n">
        <v>9</v>
      </c>
      <c r="G29" t="b">
        <v>0</v>
      </c>
      <c r="H29" t="inlineStr">
        <is>
          <t>0</t>
        </is>
      </c>
      <c r="J29" t="inlineStr">
        <is>
          <t>Str</t>
        </is>
      </c>
      <c r="K29" t="inlineStr">
        <is>
          <t>0</t>
        </is>
      </c>
    </row>
    <row r="30">
      <c r="A30" t="inlineStr">
        <is>
          <t>ALL</t>
        </is>
      </c>
      <c r="B30" t="inlineStr">
        <is>
          <t>normal</t>
        </is>
      </c>
      <c r="C30" t="n">
        <v>2</v>
      </c>
      <c r="D30" t="inlineStr">
        <is>
          <t>Str</t>
        </is>
      </c>
      <c r="E30" t="n">
        <v>50</v>
      </c>
      <c r="F30" t="n">
        <v>9.5</v>
      </c>
      <c r="G30" t="b">
        <v>0</v>
      </c>
      <c r="H30" t="inlineStr">
        <is>
          <t>0</t>
        </is>
      </c>
      <c r="J30" t="inlineStr">
        <is>
          <t>Str %</t>
        </is>
      </c>
      <c r="K30" t="inlineStr">
        <is>
          <t>0</t>
        </is>
      </c>
    </row>
    <row r="31">
      <c r="A31" t="inlineStr">
        <is>
          <t>ALL</t>
        </is>
      </c>
      <c r="B31" t="inlineStr">
        <is>
          <t>normal</t>
        </is>
      </c>
      <c r="C31" t="n">
        <v>2</v>
      </c>
      <c r="D31" t="inlineStr">
        <is>
          <t>Dex</t>
        </is>
      </c>
      <c r="E31" t="n">
        <v>50</v>
      </c>
      <c r="F31" t="n">
        <v>9.5</v>
      </c>
      <c r="G31" t="b">
        <v>0</v>
      </c>
      <c r="H31">
        <f>Sensitivity!H7</f>
        <v/>
      </c>
    </row>
    <row r="32">
      <c r="A32" t="inlineStr">
        <is>
          <t>ALL</t>
        </is>
      </c>
      <c r="B32" t="inlineStr">
        <is>
          <t>normal</t>
        </is>
      </c>
      <c r="C32" t="n">
        <v>2</v>
      </c>
      <c r="D32" t="inlineStr">
        <is>
          <t>Int</t>
        </is>
      </c>
      <c r="E32" t="n">
        <v>50</v>
      </c>
      <c r="F32" t="n">
        <v>9.5</v>
      </c>
      <c r="G32" t="b">
        <v>0</v>
      </c>
      <c r="H32" t="inlineStr">
        <is>
          <t>0</t>
        </is>
      </c>
    </row>
    <row r="33">
      <c r="A33" t="inlineStr">
        <is>
          <t>ALL</t>
        </is>
      </c>
      <c r="B33" t="inlineStr">
        <is>
          <t>normal</t>
        </is>
      </c>
      <c r="C33" t="n">
        <v>2</v>
      </c>
      <c r="D33" t="inlineStr">
        <is>
          <t>Luk</t>
        </is>
      </c>
      <c r="E33" t="n">
        <v>50</v>
      </c>
      <c r="F33" t="n">
        <v>9.5</v>
      </c>
      <c r="G33" t="b">
        <v>0</v>
      </c>
      <c r="H33">
        <f>Sensitivity!H5</f>
        <v/>
      </c>
    </row>
    <row r="34">
      <c r="A34" t="inlineStr">
        <is>
          <t>ALL</t>
        </is>
      </c>
      <c r="B34" t="inlineStr">
        <is>
          <t>normal</t>
        </is>
      </c>
      <c r="C34" t="n">
        <v>3</v>
      </c>
      <c r="D34" t="inlineStr">
        <is>
          <t>Critical Rate %</t>
        </is>
      </c>
      <c r="E34" t="n">
        <v>3</v>
      </c>
      <c r="F34" t="n">
        <v>2.5</v>
      </c>
      <c r="G34" t="b">
        <v>0</v>
      </c>
      <c r="H34">
        <f>IF(AND(Inputs!$B$9+Summary!$B$14+Artifacts!$B$32&gt;=100,NOT(ArtifactsInput!$M$42),NOT(ArtifactsInput!$M$24)),Sensitivity!H16,Sensitivity!H15)</f>
        <v/>
      </c>
    </row>
    <row r="35">
      <c r="A35" t="inlineStr">
        <is>
          <t>ALL</t>
        </is>
      </c>
      <c r="B35" t="inlineStr">
        <is>
          <t>normal</t>
        </is>
      </c>
      <c r="C35" t="n">
        <v>3</v>
      </c>
      <c r="D35" t="inlineStr">
        <is>
          <t>Attack Speed %</t>
        </is>
      </c>
      <c r="E35" t="n">
        <v>3</v>
      </c>
      <c r="F35" t="n">
        <v>2.5</v>
      </c>
      <c r="G35" t="b">
        <v>0</v>
      </c>
      <c r="H35">
        <f>Sensitivity!H17</f>
        <v/>
      </c>
    </row>
    <row r="36">
      <c r="A36" t="inlineStr">
        <is>
          <t>ALL</t>
        </is>
      </c>
      <c r="B36" t="inlineStr">
        <is>
          <t>normal</t>
        </is>
      </c>
      <c r="C36" t="n">
        <v>3</v>
      </c>
      <c r="D36" t="inlineStr">
        <is>
          <t>Damage %</t>
        </is>
      </c>
      <c r="E36" t="n">
        <v>5</v>
      </c>
      <c r="F36" t="n">
        <v>4</v>
      </c>
      <c r="G36" t="b">
        <v>0</v>
      </c>
      <c r="H36">
        <f>Sensitivity!H8</f>
        <v/>
      </c>
    </row>
    <row r="37">
      <c r="A37" t="inlineStr">
        <is>
          <t>ALL</t>
        </is>
      </c>
      <c r="B37" t="inlineStr">
        <is>
          <t>normal</t>
        </is>
      </c>
      <c r="C37" t="n">
        <v>3</v>
      </c>
      <c r="D37" t="inlineStr">
        <is>
          <t>Min Damage Multiplier %</t>
        </is>
      </c>
      <c r="E37" t="n">
        <v>3</v>
      </c>
      <c r="F37" t="n">
        <v>4</v>
      </c>
      <c r="G37" t="b">
        <v>0</v>
      </c>
      <c r="H37">
        <f>Sensitivity!H13</f>
        <v/>
      </c>
    </row>
    <row r="38">
      <c r="A38" t="inlineStr">
        <is>
          <t>ALL</t>
        </is>
      </c>
      <c r="B38" t="inlineStr">
        <is>
          <t>normal</t>
        </is>
      </c>
      <c r="C38" t="n">
        <v>3</v>
      </c>
      <c r="D38" t="inlineStr">
        <is>
          <t>Max Damage Multiplier %</t>
        </is>
      </c>
      <c r="E38" t="n">
        <v>3</v>
      </c>
      <c r="F38" t="n">
        <v>4</v>
      </c>
      <c r="G38" t="b">
        <v>0</v>
      </c>
      <c r="H38">
        <f>Sensitivity!H14</f>
        <v/>
      </c>
    </row>
    <row r="39">
      <c r="A39" t="inlineStr">
        <is>
          <t>ALL</t>
        </is>
      </c>
      <c r="B39" t="inlineStr">
        <is>
          <t>normal</t>
        </is>
      </c>
      <c r="C39" t="n">
        <v>3</v>
      </c>
      <c r="D39" t="inlineStr">
        <is>
          <t>Str %</t>
        </is>
      </c>
      <c r="E39" t="n">
        <v>3</v>
      </c>
      <c r="F39" t="n">
        <v>4.5</v>
      </c>
      <c r="G39" t="b">
        <v>0</v>
      </c>
      <c r="H39" t="inlineStr">
        <is>
          <t>0</t>
        </is>
      </c>
    </row>
    <row r="40">
      <c r="A40" t="inlineStr">
        <is>
          <t>ALL</t>
        </is>
      </c>
      <c r="B40" t="inlineStr">
        <is>
          <t>normal</t>
        </is>
      </c>
      <c r="C40" t="n">
        <v>3</v>
      </c>
      <c r="D40" t="inlineStr">
        <is>
          <t>Dex %</t>
        </is>
      </c>
      <c r="E40" t="n">
        <v>3</v>
      </c>
      <c r="F40" t="n">
        <v>4.5</v>
      </c>
      <c r="G40" t="b">
        <v>0</v>
      </c>
      <c r="H40">
        <f>Sensitivity!H7*Inputs!$B$14/100</f>
        <v/>
      </c>
    </row>
    <row r="41">
      <c r="A41" t="inlineStr">
        <is>
          <t>ALL</t>
        </is>
      </c>
      <c r="B41" t="inlineStr">
        <is>
          <t>normal</t>
        </is>
      </c>
      <c r="C41" t="n">
        <v>3</v>
      </c>
      <c r="D41" t="inlineStr">
        <is>
          <t>Int %</t>
        </is>
      </c>
      <c r="E41" t="n">
        <v>3</v>
      </c>
      <c r="F41" t="n">
        <v>4.5</v>
      </c>
      <c r="G41" t="b">
        <v>0</v>
      </c>
      <c r="H41" t="inlineStr">
        <is>
          <t>0</t>
        </is>
      </c>
    </row>
    <row r="42">
      <c r="A42" t="inlineStr">
        <is>
          <t>ALL</t>
        </is>
      </c>
      <c r="B42" t="inlineStr">
        <is>
          <t>normal</t>
        </is>
      </c>
      <c r="C42" t="n">
        <v>3</v>
      </c>
      <c r="D42" t="inlineStr">
        <is>
          <t>Luk %</t>
        </is>
      </c>
      <c r="E42" t="n">
        <v>3</v>
      </c>
      <c r="F42" t="n">
        <v>4.5</v>
      </c>
      <c r="G42" t="b">
        <v>0</v>
      </c>
      <c r="H42">
        <f>Sensitivity!H6</f>
        <v/>
      </c>
    </row>
    <row r="43">
      <c r="A43" t="inlineStr">
        <is>
          <t>ALL</t>
        </is>
      </c>
      <c r="B43" t="inlineStr">
        <is>
          <t>normal</t>
        </is>
      </c>
      <c r="C43" t="n">
        <v>3</v>
      </c>
      <c r="D43" t="inlineStr">
        <is>
          <t>Defense %</t>
        </is>
      </c>
      <c r="E43" t="n">
        <v>3</v>
      </c>
      <c r="F43" t="n">
        <v>9</v>
      </c>
      <c r="G43" t="b">
        <v>0</v>
      </c>
      <c r="H43" t="inlineStr">
        <is>
          <t>0</t>
        </is>
      </c>
    </row>
    <row r="44">
      <c r="A44" t="inlineStr">
        <is>
          <t>ALL</t>
        </is>
      </c>
      <c r="B44" t="inlineStr">
        <is>
          <t>normal</t>
        </is>
      </c>
      <c r="C44" t="n">
        <v>3</v>
      </c>
      <c r="D44" t="inlineStr">
        <is>
          <t>Max HP %</t>
        </is>
      </c>
      <c r="E44" t="n">
        <v>6</v>
      </c>
      <c r="F44" t="n">
        <v>9</v>
      </c>
      <c r="G44" t="b">
        <v>0</v>
      </c>
      <c r="H44" t="inlineStr">
        <is>
          <t>0</t>
        </is>
      </c>
    </row>
    <row r="45">
      <c r="A45" t="inlineStr">
        <is>
          <t>ALL</t>
        </is>
      </c>
      <c r="B45" t="inlineStr">
        <is>
          <t>normal</t>
        </is>
      </c>
      <c r="C45" t="n">
        <v>3</v>
      </c>
      <c r="D45" t="inlineStr">
        <is>
          <t>Max MP %</t>
        </is>
      </c>
      <c r="E45" t="n">
        <v>3</v>
      </c>
      <c r="F45" t="n">
        <v>9</v>
      </c>
      <c r="G45" t="b">
        <v>0</v>
      </c>
      <c r="H45" t="inlineStr">
        <is>
          <t>0</t>
        </is>
      </c>
    </row>
    <row r="46">
      <c r="A46" t="inlineStr">
        <is>
          <t>ALL</t>
        </is>
      </c>
      <c r="B46" t="inlineStr">
        <is>
          <t>normal</t>
        </is>
      </c>
      <c r="C46" t="n">
        <v>3</v>
      </c>
      <c r="D46" t="inlineStr">
        <is>
          <t>Str</t>
        </is>
      </c>
      <c r="E46" t="n">
        <v>50</v>
      </c>
      <c r="F46" t="n">
        <v>9.5</v>
      </c>
      <c r="G46" t="b">
        <v>0</v>
      </c>
      <c r="H46" t="inlineStr">
        <is>
          <t>0</t>
        </is>
      </c>
    </row>
    <row r="47">
      <c r="A47" t="inlineStr">
        <is>
          <t>ALL</t>
        </is>
      </c>
      <c r="B47" t="inlineStr">
        <is>
          <t>normal</t>
        </is>
      </c>
      <c r="C47" t="n">
        <v>3</v>
      </c>
      <c r="D47" t="inlineStr">
        <is>
          <t>Dex</t>
        </is>
      </c>
      <c r="E47" t="n">
        <v>50</v>
      </c>
      <c r="F47" t="n">
        <v>9.5</v>
      </c>
      <c r="G47" t="b">
        <v>0</v>
      </c>
      <c r="H47">
        <f>Sensitivity!H7</f>
        <v/>
      </c>
    </row>
    <row r="48">
      <c r="A48" t="inlineStr">
        <is>
          <t>ALL</t>
        </is>
      </c>
      <c r="B48" t="inlineStr">
        <is>
          <t>normal</t>
        </is>
      </c>
      <c r="C48" t="n">
        <v>3</v>
      </c>
      <c r="D48" t="inlineStr">
        <is>
          <t>Int</t>
        </is>
      </c>
      <c r="E48" t="n">
        <v>50</v>
      </c>
      <c r="F48" t="n">
        <v>9.5</v>
      </c>
      <c r="G48" t="b">
        <v>0</v>
      </c>
      <c r="H48" t="inlineStr">
        <is>
          <t>0</t>
        </is>
      </c>
    </row>
    <row r="49">
      <c r="A49" t="inlineStr">
        <is>
          <t>ALL</t>
        </is>
      </c>
      <c r="B49" t="inlineStr">
        <is>
          <t>normal</t>
        </is>
      </c>
      <c r="C49" t="n">
        <v>3</v>
      </c>
      <c r="D49" t="inlineStr">
        <is>
          <t>Luk</t>
        </is>
      </c>
      <c r="E49" t="n">
        <v>50</v>
      </c>
      <c r="F49" t="n">
        <v>9.5</v>
      </c>
      <c r="G49" t="b">
        <v>0</v>
      </c>
      <c r="H49">
        <f>Sensitivity!H5</f>
        <v/>
      </c>
    </row>
    <row r="50">
      <c r="A50" t="inlineStr">
        <is>
          <t>ALL</t>
        </is>
      </c>
      <c r="B50" t="inlineStr">
        <is>
          <t>rare</t>
        </is>
      </c>
      <c r="C50" t="n">
        <v>1</v>
      </c>
      <c r="D50" t="inlineStr">
        <is>
          <t>Critical Rate %</t>
        </is>
      </c>
      <c r="E50" t="n">
        <v>4.5</v>
      </c>
      <c r="F50" t="n">
        <v>2.5</v>
      </c>
      <c r="G50" t="b">
        <v>1</v>
      </c>
      <c r="H50">
        <f>IF(AND(Inputs!$B$9+Summary!$B$14+Artifacts!$B$32&gt;=100,NOT(ArtifactsInput!$M$42),NOT(ArtifactsInput!$M$24)),Sensitivity!H16,Sensitivity!H15)</f>
        <v/>
      </c>
    </row>
    <row r="51">
      <c r="A51" t="inlineStr">
        <is>
          <t>ALL</t>
        </is>
      </c>
      <c r="B51" t="inlineStr">
        <is>
          <t>rare</t>
        </is>
      </c>
      <c r="C51" t="n">
        <v>1</v>
      </c>
      <c r="D51" t="inlineStr">
        <is>
          <t>Attack Speed %</t>
        </is>
      </c>
      <c r="E51" t="n">
        <v>3.5</v>
      </c>
      <c r="F51" t="n">
        <v>2.5</v>
      </c>
      <c r="G51" t="b">
        <v>1</v>
      </c>
      <c r="H51">
        <f>Sensitivity!H17</f>
        <v/>
      </c>
    </row>
    <row r="52">
      <c r="A52" t="inlineStr">
        <is>
          <t>ALL</t>
        </is>
      </c>
      <c r="B52" t="inlineStr">
        <is>
          <t>rare</t>
        </is>
      </c>
      <c r="C52" t="n">
        <v>1</v>
      </c>
      <c r="D52" t="inlineStr">
        <is>
          <t>Damage %</t>
        </is>
      </c>
      <c r="E52" t="n">
        <v>8</v>
      </c>
      <c r="F52" t="n">
        <v>4</v>
      </c>
      <c r="G52" t="b">
        <v>1</v>
      </c>
      <c r="H52">
        <f>Sensitivity!H8</f>
        <v/>
      </c>
    </row>
    <row r="53">
      <c r="A53" t="inlineStr">
        <is>
          <t>ALL</t>
        </is>
      </c>
      <c r="B53" t="inlineStr">
        <is>
          <t>rare</t>
        </is>
      </c>
      <c r="C53" t="n">
        <v>1</v>
      </c>
      <c r="D53" t="inlineStr">
        <is>
          <t>Min Damage Multiplier %</t>
        </is>
      </c>
      <c r="E53" t="n">
        <v>6</v>
      </c>
      <c r="F53" t="n">
        <v>4</v>
      </c>
      <c r="G53" t="b">
        <v>1</v>
      </c>
      <c r="H53">
        <f>Sensitivity!H13</f>
        <v/>
      </c>
    </row>
    <row r="54">
      <c r="A54" t="inlineStr">
        <is>
          <t>ALL</t>
        </is>
      </c>
      <c r="B54" t="inlineStr">
        <is>
          <t>rare</t>
        </is>
      </c>
      <c r="C54" t="n">
        <v>1</v>
      </c>
      <c r="D54" t="inlineStr">
        <is>
          <t>Max Damage Multiplier %</t>
        </is>
      </c>
      <c r="E54" t="n">
        <v>6</v>
      </c>
      <c r="F54" t="n">
        <v>4</v>
      </c>
      <c r="G54" t="b">
        <v>1</v>
      </c>
      <c r="H54">
        <f>Sensitivity!H14</f>
        <v/>
      </c>
    </row>
    <row r="55">
      <c r="A55" t="inlineStr">
        <is>
          <t>ALL</t>
        </is>
      </c>
      <c r="B55" t="inlineStr">
        <is>
          <t>rare</t>
        </is>
      </c>
      <c r="C55" t="n">
        <v>1</v>
      </c>
      <c r="D55" t="inlineStr">
        <is>
          <t>Str %</t>
        </is>
      </c>
      <c r="E55" t="n">
        <v>4.5</v>
      </c>
      <c r="F55" t="n">
        <v>4.5</v>
      </c>
      <c r="G55" t="b">
        <v>1</v>
      </c>
      <c r="H55" t="inlineStr">
        <is>
          <t>0</t>
        </is>
      </c>
    </row>
    <row r="56">
      <c r="A56" t="inlineStr">
        <is>
          <t>ALL</t>
        </is>
      </c>
      <c r="B56" t="inlineStr">
        <is>
          <t>rare</t>
        </is>
      </c>
      <c r="C56" t="n">
        <v>1</v>
      </c>
      <c r="D56" t="inlineStr">
        <is>
          <t>Dex %</t>
        </is>
      </c>
      <c r="E56" t="n">
        <v>4.5</v>
      </c>
      <c r="F56" t="n">
        <v>4.5</v>
      </c>
      <c r="G56" t="b">
        <v>1</v>
      </c>
      <c r="H56">
        <f>Sensitivity!H7*Inputs!$B$14/100</f>
        <v/>
      </c>
    </row>
    <row r="57">
      <c r="A57" t="inlineStr">
        <is>
          <t>ALL</t>
        </is>
      </c>
      <c r="B57" t="inlineStr">
        <is>
          <t>rare</t>
        </is>
      </c>
      <c r="C57" t="n">
        <v>1</v>
      </c>
      <c r="D57" t="inlineStr">
        <is>
          <t>Int %</t>
        </is>
      </c>
      <c r="E57" t="n">
        <v>4.5</v>
      </c>
      <c r="F57" t="n">
        <v>4.5</v>
      </c>
      <c r="G57" t="b">
        <v>1</v>
      </c>
      <c r="H57" t="inlineStr">
        <is>
          <t>0</t>
        </is>
      </c>
    </row>
    <row r="58">
      <c r="A58" t="inlineStr">
        <is>
          <t>ALL</t>
        </is>
      </c>
      <c r="B58" t="inlineStr">
        <is>
          <t>rare</t>
        </is>
      </c>
      <c r="C58" t="n">
        <v>1</v>
      </c>
      <c r="D58" t="inlineStr">
        <is>
          <t>Luk %</t>
        </is>
      </c>
      <c r="E58" t="n">
        <v>4.5</v>
      </c>
      <c r="F58" t="n">
        <v>4.5</v>
      </c>
      <c r="G58" t="b">
        <v>1</v>
      </c>
      <c r="H58">
        <f>Sensitivity!H6</f>
        <v/>
      </c>
    </row>
    <row r="59">
      <c r="A59" t="inlineStr">
        <is>
          <t>ALL</t>
        </is>
      </c>
      <c r="B59" t="inlineStr">
        <is>
          <t>rare</t>
        </is>
      </c>
      <c r="C59" t="n">
        <v>1</v>
      </c>
      <c r="D59" t="inlineStr">
        <is>
          <t>Defense %</t>
        </is>
      </c>
      <c r="E59" t="n">
        <v>4.5</v>
      </c>
      <c r="F59" t="n">
        <v>9</v>
      </c>
      <c r="G59" t="b">
        <v>1</v>
      </c>
      <c r="H59" t="inlineStr">
        <is>
          <t>0</t>
        </is>
      </c>
    </row>
    <row r="60">
      <c r="A60" t="inlineStr">
        <is>
          <t>ALL</t>
        </is>
      </c>
      <c r="B60" t="inlineStr">
        <is>
          <t>rare</t>
        </is>
      </c>
      <c r="C60" t="n">
        <v>1</v>
      </c>
      <c r="D60" t="inlineStr">
        <is>
          <t>Max HP %</t>
        </is>
      </c>
      <c r="E60" t="n">
        <v>9</v>
      </c>
      <c r="F60" t="n">
        <v>9</v>
      </c>
      <c r="G60" t="b">
        <v>1</v>
      </c>
      <c r="H60" t="inlineStr">
        <is>
          <t>0</t>
        </is>
      </c>
    </row>
    <row r="61">
      <c r="A61" t="inlineStr">
        <is>
          <t>ALL</t>
        </is>
      </c>
      <c r="B61" t="inlineStr">
        <is>
          <t>rare</t>
        </is>
      </c>
      <c r="C61" t="n">
        <v>1</v>
      </c>
      <c r="D61" t="inlineStr">
        <is>
          <t>Max MP %</t>
        </is>
      </c>
      <c r="E61" t="n">
        <v>4.5</v>
      </c>
      <c r="F61" t="n">
        <v>9</v>
      </c>
      <c r="G61" t="b">
        <v>1</v>
      </c>
      <c r="H61" t="inlineStr">
        <is>
          <t>0</t>
        </is>
      </c>
    </row>
    <row r="62">
      <c r="A62" t="inlineStr">
        <is>
          <t>ALL</t>
        </is>
      </c>
      <c r="B62" t="inlineStr">
        <is>
          <t>rare</t>
        </is>
      </c>
      <c r="C62" t="n">
        <v>1</v>
      </c>
      <c r="D62" t="inlineStr">
        <is>
          <t>Str</t>
        </is>
      </c>
      <c r="E62" t="n">
        <v>100</v>
      </c>
      <c r="F62" t="n">
        <v>9.5</v>
      </c>
      <c r="G62" t="b">
        <v>1</v>
      </c>
      <c r="H62" t="inlineStr">
        <is>
          <t>0</t>
        </is>
      </c>
    </row>
    <row r="63">
      <c r="A63" t="inlineStr">
        <is>
          <t>ALL</t>
        </is>
      </c>
      <c r="B63" t="inlineStr">
        <is>
          <t>rare</t>
        </is>
      </c>
      <c r="C63" t="n">
        <v>1</v>
      </c>
      <c r="D63" t="inlineStr">
        <is>
          <t>Dex</t>
        </is>
      </c>
      <c r="E63" t="n">
        <v>100</v>
      </c>
      <c r="F63" t="n">
        <v>9.5</v>
      </c>
      <c r="G63" t="b">
        <v>1</v>
      </c>
      <c r="H63">
        <f>Sensitivity!H7</f>
        <v/>
      </c>
    </row>
    <row r="64">
      <c r="A64" t="inlineStr">
        <is>
          <t>ALL</t>
        </is>
      </c>
      <c r="B64" t="inlineStr">
        <is>
          <t>rare</t>
        </is>
      </c>
      <c r="C64" t="n">
        <v>1</v>
      </c>
      <c r="D64" t="inlineStr">
        <is>
          <t>Int</t>
        </is>
      </c>
      <c r="E64" t="n">
        <v>100</v>
      </c>
      <c r="F64" t="n">
        <v>9.5</v>
      </c>
      <c r="G64" t="b">
        <v>1</v>
      </c>
      <c r="H64" t="inlineStr">
        <is>
          <t>0</t>
        </is>
      </c>
    </row>
    <row r="65">
      <c r="A65" t="inlineStr">
        <is>
          <t>ALL</t>
        </is>
      </c>
      <c r="B65" t="inlineStr">
        <is>
          <t>rare</t>
        </is>
      </c>
      <c r="C65" t="n">
        <v>1</v>
      </c>
      <c r="D65" t="inlineStr">
        <is>
          <t>Luk</t>
        </is>
      </c>
      <c r="E65" t="n">
        <v>100</v>
      </c>
      <c r="F65" t="n">
        <v>9.5</v>
      </c>
      <c r="G65" t="b">
        <v>1</v>
      </c>
      <c r="H65">
        <f>Sensitivity!H5</f>
        <v/>
      </c>
    </row>
    <row r="66">
      <c r="A66" t="inlineStr">
        <is>
          <t>ALL</t>
        </is>
      </c>
      <c r="B66" t="inlineStr">
        <is>
          <t>rare</t>
        </is>
      </c>
      <c r="C66" t="n">
        <v>2</v>
      </c>
      <c r="D66" t="inlineStr">
        <is>
          <t>Critical Rate %</t>
        </is>
      </c>
      <c r="E66" t="n">
        <v>3</v>
      </c>
      <c r="F66" t="n">
        <v>1.9</v>
      </c>
      <c r="G66" t="b">
        <v>0</v>
      </c>
      <c r="H66">
        <f>IF(AND(Inputs!$B$9+Summary!$B$14+Artifacts!$B$32&gt;=100,NOT(ArtifactsInput!$M$42),NOT(ArtifactsInput!$M$24)),Sensitivity!H16,Sensitivity!H15)</f>
        <v/>
      </c>
    </row>
    <row r="67">
      <c r="A67" t="inlineStr">
        <is>
          <t>ALL</t>
        </is>
      </c>
      <c r="B67" t="inlineStr">
        <is>
          <t>rare</t>
        </is>
      </c>
      <c r="C67" t="n">
        <v>2</v>
      </c>
      <c r="D67" t="inlineStr">
        <is>
          <t>Critical Rate %</t>
        </is>
      </c>
      <c r="E67" t="n">
        <v>4.5</v>
      </c>
      <c r="F67" t="n">
        <v>0.6</v>
      </c>
      <c r="G67" t="b">
        <v>1</v>
      </c>
      <c r="H67">
        <f>IF(AND(Inputs!$B$9+Summary!$B$14+Artifacts!$B$32&gt;=100,NOT(ArtifactsInput!$M$42),NOT(ArtifactsInput!$M$24)),Sensitivity!H16,Sensitivity!H15)</f>
        <v/>
      </c>
    </row>
    <row r="68">
      <c r="A68" t="inlineStr">
        <is>
          <t>ALL</t>
        </is>
      </c>
      <c r="B68" t="inlineStr">
        <is>
          <t>rare</t>
        </is>
      </c>
      <c r="C68" t="n">
        <v>2</v>
      </c>
      <c r="D68" t="inlineStr">
        <is>
          <t>Attack Speed %</t>
        </is>
      </c>
      <c r="E68" t="n">
        <v>3</v>
      </c>
      <c r="F68" t="n">
        <v>1.9</v>
      </c>
      <c r="G68" t="b">
        <v>0</v>
      </c>
      <c r="H68">
        <f>Sensitivity!H17</f>
        <v/>
      </c>
    </row>
    <row r="69">
      <c r="A69" t="inlineStr">
        <is>
          <t>ALL</t>
        </is>
      </c>
      <c r="B69" t="inlineStr">
        <is>
          <t>rare</t>
        </is>
      </c>
      <c r="C69" t="n">
        <v>2</v>
      </c>
      <c r="D69" t="inlineStr">
        <is>
          <t>Attack Speed %</t>
        </is>
      </c>
      <c r="E69" t="n">
        <v>3.5</v>
      </c>
      <c r="F69" t="n">
        <v>0.6</v>
      </c>
      <c r="G69" t="b">
        <v>1</v>
      </c>
      <c r="H69">
        <f>Sensitivity!H17</f>
        <v/>
      </c>
    </row>
    <row r="70">
      <c r="A70" t="inlineStr">
        <is>
          <t>ALL</t>
        </is>
      </c>
      <c r="B70" t="inlineStr">
        <is>
          <t>rare</t>
        </is>
      </c>
      <c r="C70" t="n">
        <v>2</v>
      </c>
      <c r="D70" t="inlineStr">
        <is>
          <t>Damage %</t>
        </is>
      </c>
      <c r="E70" t="n">
        <v>5</v>
      </c>
      <c r="F70" t="n">
        <v>3.04</v>
      </c>
      <c r="G70" t="b">
        <v>0</v>
      </c>
      <c r="H70">
        <f>Sensitivity!H8</f>
        <v/>
      </c>
    </row>
    <row r="71">
      <c r="A71" t="inlineStr">
        <is>
          <t>ALL</t>
        </is>
      </c>
      <c r="B71" t="inlineStr">
        <is>
          <t>rare</t>
        </is>
      </c>
      <c r="C71" t="n">
        <v>2</v>
      </c>
      <c r="D71" t="inlineStr">
        <is>
          <t>Damage %</t>
        </is>
      </c>
      <c r="E71" t="n">
        <v>8</v>
      </c>
      <c r="F71" t="n">
        <v>0.96</v>
      </c>
      <c r="G71" t="b">
        <v>1</v>
      </c>
      <c r="H71">
        <f>Sensitivity!H8</f>
        <v/>
      </c>
    </row>
    <row r="72">
      <c r="A72" t="inlineStr">
        <is>
          <t>ALL</t>
        </is>
      </c>
      <c r="B72" t="inlineStr">
        <is>
          <t>rare</t>
        </is>
      </c>
      <c r="C72" t="n">
        <v>2</v>
      </c>
      <c r="D72" t="inlineStr">
        <is>
          <t>Min Damage Multiplier %</t>
        </is>
      </c>
      <c r="E72" t="n">
        <v>3</v>
      </c>
      <c r="F72" t="n">
        <v>3.04</v>
      </c>
      <c r="G72" t="b">
        <v>0</v>
      </c>
      <c r="H72">
        <f>Sensitivity!H13</f>
        <v/>
      </c>
    </row>
    <row r="73">
      <c r="A73" t="inlineStr">
        <is>
          <t>ALL</t>
        </is>
      </c>
      <c r="B73" t="inlineStr">
        <is>
          <t>rare</t>
        </is>
      </c>
      <c r="C73" t="n">
        <v>2</v>
      </c>
      <c r="D73" t="inlineStr">
        <is>
          <t>Min Damage Multiplier %</t>
        </is>
      </c>
      <c r="E73" t="n">
        <v>6</v>
      </c>
      <c r="F73" t="n">
        <v>0.96</v>
      </c>
      <c r="G73" t="b">
        <v>1</v>
      </c>
      <c r="H73">
        <f>Sensitivity!H13</f>
        <v/>
      </c>
    </row>
    <row r="74">
      <c r="A74" t="inlineStr">
        <is>
          <t>ALL</t>
        </is>
      </c>
      <c r="B74" t="inlineStr">
        <is>
          <t>rare</t>
        </is>
      </c>
      <c r="C74" t="n">
        <v>2</v>
      </c>
      <c r="D74" t="inlineStr">
        <is>
          <t>Max Damage Multiplier %</t>
        </is>
      </c>
      <c r="E74" t="n">
        <v>3</v>
      </c>
      <c r="F74" t="n">
        <v>3.04</v>
      </c>
      <c r="G74" t="b">
        <v>0</v>
      </c>
      <c r="H74">
        <f>Sensitivity!H14</f>
        <v/>
      </c>
    </row>
    <row r="75">
      <c r="A75" t="inlineStr">
        <is>
          <t>ALL</t>
        </is>
      </c>
      <c r="B75" t="inlineStr">
        <is>
          <t>rare</t>
        </is>
      </c>
      <c r="C75" t="n">
        <v>2</v>
      </c>
      <c r="D75" t="inlineStr">
        <is>
          <t>Max Damage Multiplier %</t>
        </is>
      </c>
      <c r="E75" t="n">
        <v>6</v>
      </c>
      <c r="F75" t="n">
        <v>0.96</v>
      </c>
      <c r="G75" t="b">
        <v>1</v>
      </c>
      <c r="H75">
        <f>Sensitivity!H14</f>
        <v/>
      </c>
    </row>
    <row r="76">
      <c r="A76" t="inlineStr">
        <is>
          <t>ALL</t>
        </is>
      </c>
      <c r="B76" t="inlineStr">
        <is>
          <t>rare</t>
        </is>
      </c>
      <c r="C76" t="n">
        <v>2</v>
      </c>
      <c r="D76" t="inlineStr">
        <is>
          <t>Str %</t>
        </is>
      </c>
      <c r="E76" t="n">
        <v>3</v>
      </c>
      <c r="F76" t="n">
        <v>3.42</v>
      </c>
      <c r="G76" t="b">
        <v>0</v>
      </c>
      <c r="H76" t="inlineStr">
        <is>
          <t>0</t>
        </is>
      </c>
    </row>
    <row r="77">
      <c r="A77" t="inlineStr">
        <is>
          <t>ALL</t>
        </is>
      </c>
      <c r="B77" t="inlineStr">
        <is>
          <t>rare</t>
        </is>
      </c>
      <c r="C77" t="n">
        <v>2</v>
      </c>
      <c r="D77" t="inlineStr">
        <is>
          <t>Str %</t>
        </is>
      </c>
      <c r="E77" t="n">
        <v>4.5</v>
      </c>
      <c r="F77" t="n">
        <v>1.08</v>
      </c>
      <c r="G77" t="b">
        <v>1</v>
      </c>
      <c r="H77" t="inlineStr">
        <is>
          <t>0</t>
        </is>
      </c>
    </row>
    <row r="78">
      <c r="A78" t="inlineStr">
        <is>
          <t>ALL</t>
        </is>
      </c>
      <c r="B78" t="inlineStr">
        <is>
          <t>rare</t>
        </is>
      </c>
      <c r="C78" t="n">
        <v>2</v>
      </c>
      <c r="D78" t="inlineStr">
        <is>
          <t>Dex %</t>
        </is>
      </c>
      <c r="E78" t="n">
        <v>3</v>
      </c>
      <c r="F78" t="n">
        <v>3.42</v>
      </c>
      <c r="G78" t="b">
        <v>0</v>
      </c>
      <c r="H78">
        <f>Sensitivity!H7*Inputs!$B$14/100</f>
        <v/>
      </c>
    </row>
    <row r="79">
      <c r="A79" t="inlineStr">
        <is>
          <t>ALL</t>
        </is>
      </c>
      <c r="B79" t="inlineStr">
        <is>
          <t>rare</t>
        </is>
      </c>
      <c r="C79" t="n">
        <v>2</v>
      </c>
      <c r="D79" t="inlineStr">
        <is>
          <t>Dex %</t>
        </is>
      </c>
      <c r="E79" t="n">
        <v>4.5</v>
      </c>
      <c r="F79" t="n">
        <v>1.08</v>
      </c>
      <c r="G79" t="b">
        <v>1</v>
      </c>
      <c r="H79">
        <f>Sensitivity!H7*Inputs!$B$14/100</f>
        <v/>
      </c>
    </row>
    <row r="80">
      <c r="A80" t="inlineStr">
        <is>
          <t>ALL</t>
        </is>
      </c>
      <c r="B80" t="inlineStr">
        <is>
          <t>rare</t>
        </is>
      </c>
      <c r="C80" t="n">
        <v>2</v>
      </c>
      <c r="D80" t="inlineStr">
        <is>
          <t>Int %</t>
        </is>
      </c>
      <c r="E80" t="n">
        <v>3</v>
      </c>
      <c r="F80" t="n">
        <v>3.42</v>
      </c>
      <c r="G80" t="b">
        <v>0</v>
      </c>
      <c r="H80" t="inlineStr">
        <is>
          <t>0</t>
        </is>
      </c>
    </row>
    <row r="81">
      <c r="A81" t="inlineStr">
        <is>
          <t>ALL</t>
        </is>
      </c>
      <c r="B81" t="inlineStr">
        <is>
          <t>rare</t>
        </is>
      </c>
      <c r="C81" t="n">
        <v>2</v>
      </c>
      <c r="D81" t="inlineStr">
        <is>
          <t>Int %</t>
        </is>
      </c>
      <c r="E81" t="n">
        <v>4.5</v>
      </c>
      <c r="F81" t="n">
        <v>1.08</v>
      </c>
      <c r="G81" t="b">
        <v>1</v>
      </c>
      <c r="H81" t="inlineStr">
        <is>
          <t>0</t>
        </is>
      </c>
    </row>
    <row r="82">
      <c r="A82" t="inlineStr">
        <is>
          <t>ALL</t>
        </is>
      </c>
      <c r="B82" t="inlineStr">
        <is>
          <t>rare</t>
        </is>
      </c>
      <c r="C82" t="n">
        <v>2</v>
      </c>
      <c r="D82" t="inlineStr">
        <is>
          <t>Luk %</t>
        </is>
      </c>
      <c r="E82" t="n">
        <v>3</v>
      </c>
      <c r="F82" t="n">
        <v>3.42</v>
      </c>
      <c r="G82" t="b">
        <v>0</v>
      </c>
      <c r="H82">
        <f>Sensitivity!H6</f>
        <v/>
      </c>
    </row>
    <row r="83">
      <c r="A83" t="inlineStr">
        <is>
          <t>ALL</t>
        </is>
      </c>
      <c r="B83" t="inlineStr">
        <is>
          <t>rare</t>
        </is>
      </c>
      <c r="C83" t="n">
        <v>2</v>
      </c>
      <c r="D83" t="inlineStr">
        <is>
          <t>Luk %</t>
        </is>
      </c>
      <c r="E83" t="n">
        <v>4.5</v>
      </c>
      <c r="F83" t="n">
        <v>1.08</v>
      </c>
      <c r="G83" t="b">
        <v>1</v>
      </c>
      <c r="H83">
        <f>Sensitivity!H6</f>
        <v/>
      </c>
    </row>
    <row r="84">
      <c r="A84" t="inlineStr">
        <is>
          <t>ALL</t>
        </is>
      </c>
      <c r="B84" t="inlineStr">
        <is>
          <t>rare</t>
        </is>
      </c>
      <c r="C84" t="n">
        <v>2</v>
      </c>
      <c r="D84" t="inlineStr">
        <is>
          <t>Defense %</t>
        </is>
      </c>
      <c r="E84" t="n">
        <v>3</v>
      </c>
      <c r="F84" t="n">
        <v>6.84</v>
      </c>
      <c r="G84" t="b">
        <v>0</v>
      </c>
      <c r="H84" t="inlineStr">
        <is>
          <t>0</t>
        </is>
      </c>
    </row>
    <row r="85">
      <c r="A85" t="inlineStr">
        <is>
          <t>ALL</t>
        </is>
      </c>
      <c r="B85" t="inlineStr">
        <is>
          <t>rare</t>
        </is>
      </c>
      <c r="C85" t="n">
        <v>2</v>
      </c>
      <c r="D85" t="inlineStr">
        <is>
          <t>Defense %</t>
        </is>
      </c>
      <c r="E85" t="n">
        <v>4.5</v>
      </c>
      <c r="F85" t="n">
        <v>2.16</v>
      </c>
      <c r="G85" t="b">
        <v>1</v>
      </c>
      <c r="H85" t="inlineStr">
        <is>
          <t>0</t>
        </is>
      </c>
    </row>
    <row r="86">
      <c r="A86" t="inlineStr">
        <is>
          <t>ALL</t>
        </is>
      </c>
      <c r="B86" t="inlineStr">
        <is>
          <t>rare</t>
        </is>
      </c>
      <c r="C86" t="n">
        <v>2</v>
      </c>
      <c r="D86" t="inlineStr">
        <is>
          <t>Max HP %</t>
        </is>
      </c>
      <c r="E86" t="n">
        <v>6</v>
      </c>
      <c r="F86" t="n">
        <v>6.84</v>
      </c>
      <c r="G86" t="b">
        <v>0</v>
      </c>
      <c r="H86" t="inlineStr">
        <is>
          <t>0</t>
        </is>
      </c>
    </row>
    <row r="87">
      <c r="A87" t="inlineStr">
        <is>
          <t>ALL</t>
        </is>
      </c>
      <c r="B87" t="inlineStr">
        <is>
          <t>rare</t>
        </is>
      </c>
      <c r="C87" t="n">
        <v>2</v>
      </c>
      <c r="D87" t="inlineStr">
        <is>
          <t>Max HP %</t>
        </is>
      </c>
      <c r="E87" t="n">
        <v>9</v>
      </c>
      <c r="F87" t="n">
        <v>2.16</v>
      </c>
      <c r="G87" t="b">
        <v>1</v>
      </c>
      <c r="H87" t="inlineStr">
        <is>
          <t>0</t>
        </is>
      </c>
    </row>
    <row r="88">
      <c r="A88" t="inlineStr">
        <is>
          <t>ALL</t>
        </is>
      </c>
      <c r="B88" t="inlineStr">
        <is>
          <t>rare</t>
        </is>
      </c>
      <c r="C88" t="n">
        <v>2</v>
      </c>
      <c r="D88" t="inlineStr">
        <is>
          <t>Max MP %</t>
        </is>
      </c>
      <c r="E88" t="n">
        <v>3</v>
      </c>
      <c r="F88" t="n">
        <v>6.84</v>
      </c>
      <c r="G88" t="b">
        <v>0</v>
      </c>
      <c r="H88" t="inlineStr">
        <is>
          <t>0</t>
        </is>
      </c>
    </row>
    <row r="89">
      <c r="A89" t="inlineStr">
        <is>
          <t>ALL</t>
        </is>
      </c>
      <c r="B89" t="inlineStr">
        <is>
          <t>rare</t>
        </is>
      </c>
      <c r="C89" t="n">
        <v>2</v>
      </c>
      <c r="D89" t="inlineStr">
        <is>
          <t>Max MP %</t>
        </is>
      </c>
      <c r="E89" t="n">
        <v>4.5</v>
      </c>
      <c r="F89" t="n">
        <v>2.16</v>
      </c>
      <c r="G89" t="b">
        <v>1</v>
      </c>
      <c r="H89" t="inlineStr">
        <is>
          <t>0</t>
        </is>
      </c>
    </row>
    <row r="90">
      <c r="A90" t="inlineStr">
        <is>
          <t>ALL</t>
        </is>
      </c>
      <c r="B90" t="inlineStr">
        <is>
          <t>rare</t>
        </is>
      </c>
      <c r="C90" t="n">
        <v>2</v>
      </c>
      <c r="D90" t="inlineStr">
        <is>
          <t>Str</t>
        </is>
      </c>
      <c r="E90" t="n">
        <v>50</v>
      </c>
      <c r="F90" t="n">
        <v>7.22</v>
      </c>
      <c r="G90" t="b">
        <v>0</v>
      </c>
      <c r="H90" t="inlineStr">
        <is>
          <t>0</t>
        </is>
      </c>
    </row>
    <row r="91">
      <c r="A91" t="inlineStr">
        <is>
          <t>ALL</t>
        </is>
      </c>
      <c r="B91" t="inlineStr">
        <is>
          <t>rare</t>
        </is>
      </c>
      <c r="C91" t="n">
        <v>2</v>
      </c>
      <c r="D91" t="inlineStr">
        <is>
          <t>Str</t>
        </is>
      </c>
      <c r="E91" t="n">
        <v>100</v>
      </c>
      <c r="F91" t="n">
        <v>2.28</v>
      </c>
      <c r="G91" t="b">
        <v>1</v>
      </c>
      <c r="H91" t="inlineStr">
        <is>
          <t>0</t>
        </is>
      </c>
    </row>
    <row r="92">
      <c r="A92" t="inlineStr">
        <is>
          <t>ALL</t>
        </is>
      </c>
      <c r="B92" t="inlineStr">
        <is>
          <t>rare</t>
        </is>
      </c>
      <c r="C92" t="n">
        <v>2</v>
      </c>
      <c r="D92" t="inlineStr">
        <is>
          <t>Dex</t>
        </is>
      </c>
      <c r="E92" t="n">
        <v>50</v>
      </c>
      <c r="F92" t="n">
        <v>7.22</v>
      </c>
      <c r="G92" t="b">
        <v>0</v>
      </c>
      <c r="H92">
        <f>Sensitivity!H7</f>
        <v/>
      </c>
    </row>
    <row r="93">
      <c r="A93" t="inlineStr">
        <is>
          <t>ALL</t>
        </is>
      </c>
      <c r="B93" t="inlineStr">
        <is>
          <t>rare</t>
        </is>
      </c>
      <c r="C93" t="n">
        <v>2</v>
      </c>
      <c r="D93" t="inlineStr">
        <is>
          <t>Dex</t>
        </is>
      </c>
      <c r="E93" t="n">
        <v>100</v>
      </c>
      <c r="F93" t="n">
        <v>2.28</v>
      </c>
      <c r="G93" t="b">
        <v>1</v>
      </c>
      <c r="H93">
        <f>Sensitivity!H7</f>
        <v/>
      </c>
    </row>
    <row r="94">
      <c r="A94" t="inlineStr">
        <is>
          <t>ALL</t>
        </is>
      </c>
      <c r="B94" t="inlineStr">
        <is>
          <t>rare</t>
        </is>
      </c>
      <c r="C94" t="n">
        <v>2</v>
      </c>
      <c r="D94" t="inlineStr">
        <is>
          <t>Int</t>
        </is>
      </c>
      <c r="E94" t="n">
        <v>50</v>
      </c>
      <c r="F94" t="n">
        <v>7.22</v>
      </c>
      <c r="G94" t="b">
        <v>0</v>
      </c>
      <c r="H94" t="inlineStr">
        <is>
          <t>0</t>
        </is>
      </c>
    </row>
    <row r="95">
      <c r="A95" t="inlineStr">
        <is>
          <t>ALL</t>
        </is>
      </c>
      <c r="B95" t="inlineStr">
        <is>
          <t>rare</t>
        </is>
      </c>
      <c r="C95" t="n">
        <v>2</v>
      </c>
      <c r="D95" t="inlineStr">
        <is>
          <t>Int</t>
        </is>
      </c>
      <c r="E95" t="n">
        <v>100</v>
      </c>
      <c r="F95" t="n">
        <v>2.28</v>
      </c>
      <c r="G95" t="b">
        <v>1</v>
      </c>
      <c r="H95" t="inlineStr">
        <is>
          <t>0</t>
        </is>
      </c>
    </row>
    <row r="96">
      <c r="A96" t="inlineStr">
        <is>
          <t>ALL</t>
        </is>
      </c>
      <c r="B96" t="inlineStr">
        <is>
          <t>rare</t>
        </is>
      </c>
      <c r="C96" t="n">
        <v>2</v>
      </c>
      <c r="D96" t="inlineStr">
        <is>
          <t>Luk</t>
        </is>
      </c>
      <c r="E96" t="n">
        <v>50</v>
      </c>
      <c r="F96" t="n">
        <v>7.22</v>
      </c>
      <c r="G96" t="b">
        <v>0</v>
      </c>
      <c r="H96">
        <f>Sensitivity!H5</f>
        <v/>
      </c>
    </row>
    <row r="97">
      <c r="A97" t="inlineStr">
        <is>
          <t>ALL</t>
        </is>
      </c>
      <c r="B97" t="inlineStr">
        <is>
          <t>rare</t>
        </is>
      </c>
      <c r="C97" t="n">
        <v>2</v>
      </c>
      <c r="D97" t="inlineStr">
        <is>
          <t>Luk</t>
        </is>
      </c>
      <c r="E97" t="n">
        <v>100</v>
      </c>
      <c r="F97" t="n">
        <v>2.28</v>
      </c>
      <c r="G97" t="b">
        <v>1</v>
      </c>
      <c r="H97">
        <f>Sensitivity!H5</f>
        <v/>
      </c>
    </row>
    <row r="98">
      <c r="A98" t="inlineStr">
        <is>
          <t>ALL</t>
        </is>
      </c>
      <c r="B98" t="inlineStr">
        <is>
          <t>rare</t>
        </is>
      </c>
      <c r="C98" t="n">
        <v>3</v>
      </c>
      <c r="D98" t="inlineStr">
        <is>
          <t>Critical Rate %</t>
        </is>
      </c>
      <c r="E98" t="n">
        <v>3</v>
      </c>
      <c r="F98" t="n">
        <v>2.3</v>
      </c>
      <c r="G98" t="b">
        <v>0</v>
      </c>
      <c r="H98">
        <f>IF(AND(Inputs!$B$9+Summary!$B$14+Artifacts!$B$32&gt;=100,NOT(ArtifactsInput!$M$42),NOT(ArtifactsInput!$M$24)),Sensitivity!H16,Sensitivity!H15)</f>
        <v/>
      </c>
    </row>
    <row r="99">
      <c r="A99" t="inlineStr">
        <is>
          <t>ALL</t>
        </is>
      </c>
      <c r="B99" t="inlineStr">
        <is>
          <t>rare</t>
        </is>
      </c>
      <c r="C99" t="n">
        <v>3</v>
      </c>
      <c r="D99" t="inlineStr">
        <is>
          <t>Critical Rate %</t>
        </is>
      </c>
      <c r="E99" t="n">
        <v>4.5</v>
      </c>
      <c r="F99" t="n">
        <v>0.2</v>
      </c>
      <c r="G99" t="b">
        <v>1</v>
      </c>
      <c r="H99">
        <f>IF(AND(Inputs!$B$9+Summary!$B$14+Artifacts!$B$32&gt;=100,NOT(ArtifactsInput!$M$42),NOT(ArtifactsInput!$M$24)),Sensitivity!H16,Sensitivity!H15)</f>
        <v/>
      </c>
    </row>
    <row r="100">
      <c r="A100" t="inlineStr">
        <is>
          <t>ALL</t>
        </is>
      </c>
      <c r="B100" t="inlineStr">
        <is>
          <t>rare</t>
        </is>
      </c>
      <c r="C100" t="n">
        <v>3</v>
      </c>
      <c r="D100" t="inlineStr">
        <is>
          <t>Attack Speed %</t>
        </is>
      </c>
      <c r="E100" t="n">
        <v>3</v>
      </c>
      <c r="F100" t="n">
        <v>2.3</v>
      </c>
      <c r="G100" t="b">
        <v>0</v>
      </c>
      <c r="H100">
        <f>Sensitivity!H17</f>
        <v/>
      </c>
    </row>
    <row r="101">
      <c r="A101" t="inlineStr">
        <is>
          <t>ALL</t>
        </is>
      </c>
      <c r="B101" t="inlineStr">
        <is>
          <t>rare</t>
        </is>
      </c>
      <c r="C101" t="n">
        <v>3</v>
      </c>
      <c r="D101" t="inlineStr">
        <is>
          <t>Attack Speed %</t>
        </is>
      </c>
      <c r="E101" t="n">
        <v>3.5</v>
      </c>
      <c r="F101" t="n">
        <v>0.2</v>
      </c>
      <c r="G101" t="b">
        <v>1</v>
      </c>
      <c r="H101">
        <f>Sensitivity!H17</f>
        <v/>
      </c>
    </row>
    <row r="102">
      <c r="A102" t="inlineStr">
        <is>
          <t>ALL</t>
        </is>
      </c>
      <c r="B102" t="inlineStr">
        <is>
          <t>rare</t>
        </is>
      </c>
      <c r="C102" t="n">
        <v>3</v>
      </c>
      <c r="D102" t="inlineStr">
        <is>
          <t>Damage %</t>
        </is>
      </c>
      <c r="E102" t="n">
        <v>5</v>
      </c>
      <c r="F102" t="n">
        <v>3.68</v>
      </c>
      <c r="G102" t="b">
        <v>0</v>
      </c>
      <c r="H102">
        <f>Sensitivity!H8</f>
        <v/>
      </c>
    </row>
    <row r="103">
      <c r="A103" t="inlineStr">
        <is>
          <t>ALL</t>
        </is>
      </c>
      <c r="B103" t="inlineStr">
        <is>
          <t>rare</t>
        </is>
      </c>
      <c r="C103" t="n">
        <v>3</v>
      </c>
      <c r="D103" t="inlineStr">
        <is>
          <t>Damage %</t>
        </is>
      </c>
      <c r="E103" t="n">
        <v>8</v>
      </c>
      <c r="F103" t="n">
        <v>0.32</v>
      </c>
      <c r="G103" t="b">
        <v>1</v>
      </c>
      <c r="H103">
        <f>Sensitivity!H8</f>
        <v/>
      </c>
    </row>
    <row r="104">
      <c r="A104" t="inlineStr">
        <is>
          <t>ALL</t>
        </is>
      </c>
      <c r="B104" t="inlineStr">
        <is>
          <t>rare</t>
        </is>
      </c>
      <c r="C104" t="n">
        <v>3</v>
      </c>
      <c r="D104" t="inlineStr">
        <is>
          <t>Min Damage Multiplier %</t>
        </is>
      </c>
      <c r="E104" t="n">
        <v>3</v>
      </c>
      <c r="F104" t="n">
        <v>3.68</v>
      </c>
      <c r="G104" t="b">
        <v>0</v>
      </c>
      <c r="H104">
        <f>Sensitivity!H13</f>
        <v/>
      </c>
    </row>
    <row r="105">
      <c r="A105" t="inlineStr">
        <is>
          <t>ALL</t>
        </is>
      </c>
      <c r="B105" t="inlineStr">
        <is>
          <t>rare</t>
        </is>
      </c>
      <c r="C105" t="n">
        <v>3</v>
      </c>
      <c r="D105" t="inlineStr">
        <is>
          <t>Min Damage Multiplier %</t>
        </is>
      </c>
      <c r="E105" t="n">
        <v>6</v>
      </c>
      <c r="F105" t="n">
        <v>0.32</v>
      </c>
      <c r="G105" t="b">
        <v>1</v>
      </c>
      <c r="H105">
        <f>Sensitivity!H13</f>
        <v/>
      </c>
    </row>
    <row r="106">
      <c r="A106" t="inlineStr">
        <is>
          <t>ALL</t>
        </is>
      </c>
      <c r="B106" t="inlineStr">
        <is>
          <t>rare</t>
        </is>
      </c>
      <c r="C106" t="n">
        <v>3</v>
      </c>
      <c r="D106" t="inlineStr">
        <is>
          <t>Max Damage Multiplier %</t>
        </is>
      </c>
      <c r="E106" t="n">
        <v>3</v>
      </c>
      <c r="F106" t="n">
        <v>3.68</v>
      </c>
      <c r="G106" t="b">
        <v>0</v>
      </c>
      <c r="H106">
        <f>Sensitivity!H14</f>
        <v/>
      </c>
    </row>
    <row r="107">
      <c r="A107" t="inlineStr">
        <is>
          <t>ALL</t>
        </is>
      </c>
      <c r="B107" t="inlineStr">
        <is>
          <t>rare</t>
        </is>
      </c>
      <c r="C107" t="n">
        <v>3</v>
      </c>
      <c r="D107" t="inlineStr">
        <is>
          <t>Max Damage Multiplier %</t>
        </is>
      </c>
      <c r="E107" t="n">
        <v>6</v>
      </c>
      <c r="F107" t="n">
        <v>0.32</v>
      </c>
      <c r="G107" t="b">
        <v>1</v>
      </c>
      <c r="H107">
        <f>Sensitivity!H14</f>
        <v/>
      </c>
    </row>
    <row r="108">
      <c r="A108" t="inlineStr">
        <is>
          <t>ALL</t>
        </is>
      </c>
      <c r="B108" t="inlineStr">
        <is>
          <t>rare</t>
        </is>
      </c>
      <c r="C108" t="n">
        <v>3</v>
      </c>
      <c r="D108" t="inlineStr">
        <is>
          <t>Str %</t>
        </is>
      </c>
      <c r="E108" t="n">
        <v>3</v>
      </c>
      <c r="F108" t="n">
        <v>4.14</v>
      </c>
      <c r="G108" t="b">
        <v>0</v>
      </c>
      <c r="H108" t="inlineStr">
        <is>
          <t>0</t>
        </is>
      </c>
    </row>
    <row r="109">
      <c r="A109" t="inlineStr">
        <is>
          <t>ALL</t>
        </is>
      </c>
      <c r="B109" t="inlineStr">
        <is>
          <t>rare</t>
        </is>
      </c>
      <c r="C109" t="n">
        <v>3</v>
      </c>
      <c r="D109" t="inlineStr">
        <is>
          <t>Str %</t>
        </is>
      </c>
      <c r="E109" t="n">
        <v>4.5</v>
      </c>
      <c r="F109" t="n">
        <v>0.36</v>
      </c>
      <c r="G109" t="b">
        <v>1</v>
      </c>
      <c r="H109" t="inlineStr">
        <is>
          <t>0</t>
        </is>
      </c>
    </row>
    <row r="110">
      <c r="A110" t="inlineStr">
        <is>
          <t>ALL</t>
        </is>
      </c>
      <c r="B110" t="inlineStr">
        <is>
          <t>rare</t>
        </is>
      </c>
      <c r="C110" t="n">
        <v>3</v>
      </c>
      <c r="D110" t="inlineStr">
        <is>
          <t>Dex %</t>
        </is>
      </c>
      <c r="E110" t="n">
        <v>3</v>
      </c>
      <c r="F110" t="n">
        <v>4.14</v>
      </c>
      <c r="G110" t="b">
        <v>0</v>
      </c>
      <c r="H110">
        <f>Sensitivity!H7*Inputs!$B$14/100</f>
        <v/>
      </c>
    </row>
    <row r="111">
      <c r="A111" t="inlineStr">
        <is>
          <t>ALL</t>
        </is>
      </c>
      <c r="B111" t="inlineStr">
        <is>
          <t>rare</t>
        </is>
      </c>
      <c r="C111" t="n">
        <v>3</v>
      </c>
      <c r="D111" t="inlineStr">
        <is>
          <t>Dex %</t>
        </is>
      </c>
      <c r="E111" t="n">
        <v>4.5</v>
      </c>
      <c r="F111" t="n">
        <v>0.36</v>
      </c>
      <c r="G111" t="b">
        <v>1</v>
      </c>
      <c r="H111">
        <f>Sensitivity!H7*Inputs!$B$14/100</f>
        <v/>
      </c>
    </row>
    <row r="112">
      <c r="A112" t="inlineStr">
        <is>
          <t>ALL</t>
        </is>
      </c>
      <c r="B112" t="inlineStr">
        <is>
          <t>rare</t>
        </is>
      </c>
      <c r="C112" t="n">
        <v>3</v>
      </c>
      <c r="D112" t="inlineStr">
        <is>
          <t>Int %</t>
        </is>
      </c>
      <c r="E112" t="n">
        <v>3</v>
      </c>
      <c r="F112" t="n">
        <v>4.14</v>
      </c>
      <c r="G112" t="b">
        <v>0</v>
      </c>
      <c r="H112" t="inlineStr">
        <is>
          <t>0</t>
        </is>
      </c>
    </row>
    <row r="113">
      <c r="A113" t="inlineStr">
        <is>
          <t>ALL</t>
        </is>
      </c>
      <c r="B113" t="inlineStr">
        <is>
          <t>rare</t>
        </is>
      </c>
      <c r="C113" t="n">
        <v>3</v>
      </c>
      <c r="D113" t="inlineStr">
        <is>
          <t>Int %</t>
        </is>
      </c>
      <c r="E113" t="n">
        <v>4.5</v>
      </c>
      <c r="F113" t="n">
        <v>0.36</v>
      </c>
      <c r="G113" t="b">
        <v>1</v>
      </c>
      <c r="H113" t="inlineStr">
        <is>
          <t>0</t>
        </is>
      </c>
    </row>
    <row r="114">
      <c r="A114" t="inlineStr">
        <is>
          <t>ALL</t>
        </is>
      </c>
      <c r="B114" t="inlineStr">
        <is>
          <t>rare</t>
        </is>
      </c>
      <c r="C114" t="n">
        <v>3</v>
      </c>
      <c r="D114" t="inlineStr">
        <is>
          <t>Luk %</t>
        </is>
      </c>
      <c r="E114" t="n">
        <v>3</v>
      </c>
      <c r="F114" t="n">
        <v>4.14</v>
      </c>
      <c r="G114" t="b">
        <v>0</v>
      </c>
      <c r="H114">
        <f>Sensitivity!H6</f>
        <v/>
      </c>
    </row>
    <row r="115">
      <c r="A115" t="inlineStr">
        <is>
          <t>ALL</t>
        </is>
      </c>
      <c r="B115" t="inlineStr">
        <is>
          <t>rare</t>
        </is>
      </c>
      <c r="C115" t="n">
        <v>3</v>
      </c>
      <c r="D115" t="inlineStr">
        <is>
          <t>Luk %</t>
        </is>
      </c>
      <c r="E115" t="n">
        <v>4.5</v>
      </c>
      <c r="F115" t="n">
        <v>0.36</v>
      </c>
      <c r="G115" t="b">
        <v>1</v>
      </c>
      <c r="H115">
        <f>Sensitivity!H6</f>
        <v/>
      </c>
    </row>
    <row r="116">
      <c r="A116" t="inlineStr">
        <is>
          <t>ALL</t>
        </is>
      </c>
      <c r="B116" t="inlineStr">
        <is>
          <t>rare</t>
        </is>
      </c>
      <c r="C116" t="n">
        <v>3</v>
      </c>
      <c r="D116" t="inlineStr">
        <is>
          <t>Defense %</t>
        </is>
      </c>
      <c r="E116" t="n">
        <v>3</v>
      </c>
      <c r="F116" t="n">
        <v>8.279999999999999</v>
      </c>
      <c r="G116" t="b">
        <v>0</v>
      </c>
      <c r="H116" t="inlineStr">
        <is>
          <t>0</t>
        </is>
      </c>
    </row>
    <row r="117">
      <c r="A117" t="inlineStr">
        <is>
          <t>ALL</t>
        </is>
      </c>
      <c r="B117" t="inlineStr">
        <is>
          <t>rare</t>
        </is>
      </c>
      <c r="C117" t="n">
        <v>3</v>
      </c>
      <c r="D117" t="inlineStr">
        <is>
          <t>Defense %</t>
        </is>
      </c>
      <c r="E117" t="n">
        <v>4.5</v>
      </c>
      <c r="F117" t="n">
        <v>0.72</v>
      </c>
      <c r="G117" t="b">
        <v>1</v>
      </c>
      <c r="H117" t="inlineStr">
        <is>
          <t>0</t>
        </is>
      </c>
    </row>
    <row r="118">
      <c r="A118" t="inlineStr">
        <is>
          <t>ALL</t>
        </is>
      </c>
      <c r="B118" t="inlineStr">
        <is>
          <t>rare</t>
        </is>
      </c>
      <c r="C118" t="n">
        <v>3</v>
      </c>
      <c r="D118" t="inlineStr">
        <is>
          <t>Max HP %</t>
        </is>
      </c>
      <c r="E118" t="n">
        <v>6</v>
      </c>
      <c r="F118" t="n">
        <v>8.279999999999999</v>
      </c>
      <c r="G118" t="b">
        <v>0</v>
      </c>
      <c r="H118" t="inlineStr">
        <is>
          <t>0</t>
        </is>
      </c>
    </row>
    <row r="119">
      <c r="A119" t="inlineStr">
        <is>
          <t>ALL</t>
        </is>
      </c>
      <c r="B119" t="inlineStr">
        <is>
          <t>rare</t>
        </is>
      </c>
      <c r="C119" t="n">
        <v>3</v>
      </c>
      <c r="D119" t="inlineStr">
        <is>
          <t>Max HP %</t>
        </is>
      </c>
      <c r="E119" t="n">
        <v>9</v>
      </c>
      <c r="F119" t="n">
        <v>0.72</v>
      </c>
      <c r="G119" t="b">
        <v>1</v>
      </c>
      <c r="H119" t="inlineStr">
        <is>
          <t>0</t>
        </is>
      </c>
    </row>
    <row r="120">
      <c r="A120" t="inlineStr">
        <is>
          <t>ALL</t>
        </is>
      </c>
      <c r="B120" t="inlineStr">
        <is>
          <t>rare</t>
        </is>
      </c>
      <c r="C120" t="n">
        <v>3</v>
      </c>
      <c r="D120" t="inlineStr">
        <is>
          <t>Max MP %</t>
        </is>
      </c>
      <c r="E120" t="n">
        <v>3</v>
      </c>
      <c r="F120" t="n">
        <v>8.279999999999999</v>
      </c>
      <c r="G120" t="b">
        <v>0</v>
      </c>
      <c r="H120" t="inlineStr">
        <is>
          <t>0</t>
        </is>
      </c>
    </row>
    <row r="121">
      <c r="A121" t="inlineStr">
        <is>
          <t>ALL</t>
        </is>
      </c>
      <c r="B121" t="inlineStr">
        <is>
          <t>rare</t>
        </is>
      </c>
      <c r="C121" t="n">
        <v>3</v>
      </c>
      <c r="D121" t="inlineStr">
        <is>
          <t>Max MP %</t>
        </is>
      </c>
      <c r="E121" t="n">
        <v>4.5</v>
      </c>
      <c r="F121" t="n">
        <v>0.72</v>
      </c>
      <c r="G121" t="b">
        <v>1</v>
      </c>
      <c r="H121" t="inlineStr">
        <is>
          <t>0</t>
        </is>
      </c>
    </row>
    <row r="122">
      <c r="A122" t="inlineStr">
        <is>
          <t>ALL</t>
        </is>
      </c>
      <c r="B122" t="inlineStr">
        <is>
          <t>rare</t>
        </is>
      </c>
      <c r="C122" t="n">
        <v>3</v>
      </c>
      <c r="D122" t="inlineStr">
        <is>
          <t>Str</t>
        </is>
      </c>
      <c r="E122" t="n">
        <v>50</v>
      </c>
      <c r="F122" t="n">
        <v>8.74</v>
      </c>
      <c r="G122" t="b">
        <v>0</v>
      </c>
      <c r="H122" t="inlineStr">
        <is>
          <t>0</t>
        </is>
      </c>
    </row>
    <row r="123">
      <c r="A123" t="inlineStr">
        <is>
          <t>ALL</t>
        </is>
      </c>
      <c r="B123" t="inlineStr">
        <is>
          <t>rare</t>
        </is>
      </c>
      <c r="C123" t="n">
        <v>3</v>
      </c>
      <c r="D123" t="inlineStr">
        <is>
          <t>Str</t>
        </is>
      </c>
      <c r="E123" t="n">
        <v>100</v>
      </c>
      <c r="F123" t="n">
        <v>0.76</v>
      </c>
      <c r="G123" t="b">
        <v>1</v>
      </c>
      <c r="H123" t="inlineStr">
        <is>
          <t>0</t>
        </is>
      </c>
    </row>
    <row r="124">
      <c r="A124" t="inlineStr">
        <is>
          <t>ALL</t>
        </is>
      </c>
      <c r="B124" t="inlineStr">
        <is>
          <t>rare</t>
        </is>
      </c>
      <c r="C124" t="n">
        <v>3</v>
      </c>
      <c r="D124" t="inlineStr">
        <is>
          <t>Dex</t>
        </is>
      </c>
      <c r="E124" t="n">
        <v>50</v>
      </c>
      <c r="F124" t="n">
        <v>8.74</v>
      </c>
      <c r="G124" t="b">
        <v>0</v>
      </c>
      <c r="H124">
        <f>Sensitivity!H7</f>
        <v/>
      </c>
    </row>
    <row r="125">
      <c r="A125" t="inlineStr">
        <is>
          <t>ALL</t>
        </is>
      </c>
      <c r="B125" t="inlineStr">
        <is>
          <t>rare</t>
        </is>
      </c>
      <c r="C125" t="n">
        <v>3</v>
      </c>
      <c r="D125" t="inlineStr">
        <is>
          <t>Dex</t>
        </is>
      </c>
      <c r="E125" t="n">
        <v>100</v>
      </c>
      <c r="F125" t="n">
        <v>0.76</v>
      </c>
      <c r="G125" t="b">
        <v>1</v>
      </c>
      <c r="H125">
        <f>Sensitivity!H7</f>
        <v/>
      </c>
    </row>
    <row r="126">
      <c r="A126" t="inlineStr">
        <is>
          <t>ALL</t>
        </is>
      </c>
      <c r="B126" t="inlineStr">
        <is>
          <t>rare</t>
        </is>
      </c>
      <c r="C126" t="n">
        <v>3</v>
      </c>
      <c r="D126" t="inlineStr">
        <is>
          <t>Int</t>
        </is>
      </c>
      <c r="E126" t="n">
        <v>50</v>
      </c>
      <c r="F126" t="n">
        <v>8.74</v>
      </c>
      <c r="G126" t="b">
        <v>0</v>
      </c>
      <c r="H126" t="inlineStr">
        <is>
          <t>0</t>
        </is>
      </c>
    </row>
    <row r="127">
      <c r="A127" t="inlineStr">
        <is>
          <t>ALL</t>
        </is>
      </c>
      <c r="B127" t="inlineStr">
        <is>
          <t>rare</t>
        </is>
      </c>
      <c r="C127" t="n">
        <v>3</v>
      </c>
      <c r="D127" t="inlineStr">
        <is>
          <t>Int</t>
        </is>
      </c>
      <c r="E127" t="n">
        <v>100</v>
      </c>
      <c r="F127" t="n">
        <v>0.76</v>
      </c>
      <c r="G127" t="b">
        <v>1</v>
      </c>
      <c r="H127" t="inlineStr">
        <is>
          <t>0</t>
        </is>
      </c>
    </row>
    <row r="128">
      <c r="A128" t="inlineStr">
        <is>
          <t>ALL</t>
        </is>
      </c>
      <c r="B128" t="inlineStr">
        <is>
          <t>rare</t>
        </is>
      </c>
      <c r="C128" t="n">
        <v>3</v>
      </c>
      <c r="D128" t="inlineStr">
        <is>
          <t>Luk</t>
        </is>
      </c>
      <c r="E128" t="n">
        <v>50</v>
      </c>
      <c r="F128" t="n">
        <v>8.74</v>
      </c>
      <c r="G128" t="b">
        <v>0</v>
      </c>
      <c r="H128">
        <f>Sensitivity!H5</f>
        <v/>
      </c>
    </row>
    <row r="129">
      <c r="A129" t="inlineStr">
        <is>
          <t>ALL</t>
        </is>
      </c>
      <c r="B129" t="inlineStr">
        <is>
          <t>rare</t>
        </is>
      </c>
      <c r="C129" t="n">
        <v>3</v>
      </c>
      <c r="D129" t="inlineStr">
        <is>
          <t>Luk</t>
        </is>
      </c>
      <c r="E129" t="n">
        <v>100</v>
      </c>
      <c r="F129" t="n">
        <v>0.76</v>
      </c>
      <c r="G129" t="b">
        <v>1</v>
      </c>
      <c r="H129">
        <f>Sensitivity!H5</f>
        <v/>
      </c>
    </row>
    <row r="130">
      <c r="A130" t="inlineStr">
        <is>
          <t>ALL</t>
        </is>
      </c>
      <c r="B130" t="inlineStr">
        <is>
          <t>epic</t>
        </is>
      </c>
      <c r="C130" t="n">
        <v>1</v>
      </c>
      <c r="D130" t="inlineStr">
        <is>
          <t>Critical Rate %</t>
        </is>
      </c>
      <c r="E130" t="n">
        <v>6</v>
      </c>
      <c r="F130" t="n">
        <v>2.5</v>
      </c>
      <c r="G130" t="b">
        <v>1</v>
      </c>
      <c r="H130">
        <f>IF(AND(Inputs!$B$9+Summary!$B$14+Artifacts!$B$32&gt;=100,NOT(ArtifactsInput!$M$42),NOT(ArtifactsInput!$M$24)),Sensitivity!H16,Sensitivity!H15)</f>
        <v/>
      </c>
    </row>
    <row r="131">
      <c r="A131" t="inlineStr">
        <is>
          <t>ALL</t>
        </is>
      </c>
      <c r="B131" t="inlineStr">
        <is>
          <t>epic</t>
        </is>
      </c>
      <c r="C131" t="n">
        <v>1</v>
      </c>
      <c r="D131" t="inlineStr">
        <is>
          <t>Attack Speed %</t>
        </is>
      </c>
      <c r="E131" t="n">
        <v>4</v>
      </c>
      <c r="F131" t="n">
        <v>2.5</v>
      </c>
      <c r="G131" t="b">
        <v>1</v>
      </c>
      <c r="H131">
        <f>Sensitivity!H17</f>
        <v/>
      </c>
    </row>
    <row r="132">
      <c r="A132" t="inlineStr">
        <is>
          <t>ALL</t>
        </is>
      </c>
      <c r="B132" t="inlineStr">
        <is>
          <t>epic</t>
        </is>
      </c>
      <c r="C132" t="n">
        <v>1</v>
      </c>
      <c r="D132" t="inlineStr">
        <is>
          <t>Damage %</t>
        </is>
      </c>
      <c r="E132" t="n">
        <v>12</v>
      </c>
      <c r="F132" t="n">
        <v>4</v>
      </c>
      <c r="G132" t="b">
        <v>1</v>
      </c>
      <c r="H132">
        <f>Sensitivity!H8</f>
        <v/>
      </c>
    </row>
    <row r="133">
      <c r="A133" t="inlineStr">
        <is>
          <t>ALL</t>
        </is>
      </c>
      <c r="B133" t="inlineStr">
        <is>
          <t>epic</t>
        </is>
      </c>
      <c r="C133" t="n">
        <v>1</v>
      </c>
      <c r="D133" t="inlineStr">
        <is>
          <t>Min Damage Multiplier %</t>
        </is>
      </c>
      <c r="E133" t="n">
        <v>8</v>
      </c>
      <c r="F133" t="n">
        <v>4</v>
      </c>
      <c r="G133" t="b">
        <v>1</v>
      </c>
      <c r="H133">
        <f>Sensitivity!H13</f>
        <v/>
      </c>
    </row>
    <row r="134">
      <c r="A134" t="inlineStr">
        <is>
          <t>ALL</t>
        </is>
      </c>
      <c r="B134" t="inlineStr">
        <is>
          <t>epic</t>
        </is>
      </c>
      <c r="C134" t="n">
        <v>1</v>
      </c>
      <c r="D134" t="inlineStr">
        <is>
          <t>Max Damage Multiplier %</t>
        </is>
      </c>
      <c r="E134" t="n">
        <v>8</v>
      </c>
      <c r="F134" t="n">
        <v>4</v>
      </c>
      <c r="G134" t="b">
        <v>1</v>
      </c>
      <c r="H134">
        <f>Sensitivity!H14</f>
        <v/>
      </c>
    </row>
    <row r="135">
      <c r="A135" t="inlineStr">
        <is>
          <t>ALL</t>
        </is>
      </c>
      <c r="B135" t="inlineStr">
        <is>
          <t>epic</t>
        </is>
      </c>
      <c r="C135" t="n">
        <v>1</v>
      </c>
      <c r="D135" t="inlineStr">
        <is>
          <t>Str %</t>
        </is>
      </c>
      <c r="E135" t="n">
        <v>6</v>
      </c>
      <c r="F135" t="n">
        <v>4.5</v>
      </c>
      <c r="G135" t="b">
        <v>1</v>
      </c>
      <c r="H135" t="inlineStr">
        <is>
          <t>0</t>
        </is>
      </c>
    </row>
    <row r="136">
      <c r="A136" t="inlineStr">
        <is>
          <t>ALL</t>
        </is>
      </c>
      <c r="B136" t="inlineStr">
        <is>
          <t>epic</t>
        </is>
      </c>
      <c r="C136" t="n">
        <v>1</v>
      </c>
      <c r="D136" t="inlineStr">
        <is>
          <t>Dex %</t>
        </is>
      </c>
      <c r="E136" t="n">
        <v>6</v>
      </c>
      <c r="F136" t="n">
        <v>4.5</v>
      </c>
      <c r="G136" t="b">
        <v>1</v>
      </c>
      <c r="H136">
        <f>Sensitivity!H7*Inputs!$B$14/100</f>
        <v/>
      </c>
    </row>
    <row r="137">
      <c r="A137" t="inlineStr">
        <is>
          <t>ALL</t>
        </is>
      </c>
      <c r="B137" t="inlineStr">
        <is>
          <t>epic</t>
        </is>
      </c>
      <c r="C137" t="n">
        <v>1</v>
      </c>
      <c r="D137" t="inlineStr">
        <is>
          <t>Int %</t>
        </is>
      </c>
      <c r="E137" t="n">
        <v>6</v>
      </c>
      <c r="F137" t="n">
        <v>4.5</v>
      </c>
      <c r="G137" t="b">
        <v>1</v>
      </c>
      <c r="H137" t="inlineStr">
        <is>
          <t>0</t>
        </is>
      </c>
    </row>
    <row r="138">
      <c r="A138" t="inlineStr">
        <is>
          <t>ALL</t>
        </is>
      </c>
      <c r="B138" t="inlineStr">
        <is>
          <t>epic</t>
        </is>
      </c>
      <c r="C138" t="n">
        <v>1</v>
      </c>
      <c r="D138" t="inlineStr">
        <is>
          <t>Luk %</t>
        </is>
      </c>
      <c r="E138" t="n">
        <v>6</v>
      </c>
      <c r="F138" t="n">
        <v>4.5</v>
      </c>
      <c r="G138" t="b">
        <v>1</v>
      </c>
      <c r="H138">
        <f>Sensitivity!H6</f>
        <v/>
      </c>
    </row>
    <row r="139">
      <c r="A139" t="inlineStr">
        <is>
          <t>ALL</t>
        </is>
      </c>
      <c r="B139" t="inlineStr">
        <is>
          <t>epic</t>
        </is>
      </c>
      <c r="C139" t="n">
        <v>1</v>
      </c>
      <c r="D139" t="inlineStr">
        <is>
          <t>Defense %</t>
        </is>
      </c>
      <c r="E139" t="n">
        <v>6</v>
      </c>
      <c r="F139" t="n">
        <v>9</v>
      </c>
      <c r="G139" t="b">
        <v>1</v>
      </c>
      <c r="H139" t="inlineStr">
        <is>
          <t>0</t>
        </is>
      </c>
    </row>
    <row r="140">
      <c r="A140" t="inlineStr">
        <is>
          <t>ALL</t>
        </is>
      </c>
      <c r="B140" t="inlineStr">
        <is>
          <t>epic</t>
        </is>
      </c>
      <c r="C140" t="n">
        <v>1</v>
      </c>
      <c r="D140" t="inlineStr">
        <is>
          <t>Max HP %</t>
        </is>
      </c>
      <c r="E140" t="n">
        <v>12</v>
      </c>
      <c r="F140" t="n">
        <v>9</v>
      </c>
      <c r="G140" t="b">
        <v>1</v>
      </c>
      <c r="H140" t="inlineStr">
        <is>
          <t>0</t>
        </is>
      </c>
    </row>
    <row r="141">
      <c r="A141" t="inlineStr">
        <is>
          <t>ALL</t>
        </is>
      </c>
      <c r="B141" t="inlineStr">
        <is>
          <t>epic</t>
        </is>
      </c>
      <c r="C141" t="n">
        <v>1</v>
      </c>
      <c r="D141" t="inlineStr">
        <is>
          <t>Max MP %</t>
        </is>
      </c>
      <c r="E141" t="n">
        <v>6</v>
      </c>
      <c r="F141" t="n">
        <v>9</v>
      </c>
      <c r="G141" t="b">
        <v>1</v>
      </c>
      <c r="H141" t="inlineStr">
        <is>
          <t>0</t>
        </is>
      </c>
    </row>
    <row r="142">
      <c r="A142" t="inlineStr">
        <is>
          <t>ALL</t>
        </is>
      </c>
      <c r="B142" t="inlineStr">
        <is>
          <t>epic</t>
        </is>
      </c>
      <c r="C142" t="n">
        <v>1</v>
      </c>
      <c r="D142" t="inlineStr">
        <is>
          <t>Str</t>
        </is>
      </c>
      <c r="E142" t="n">
        <v>200</v>
      </c>
      <c r="F142" t="n">
        <v>9.25</v>
      </c>
      <c r="G142" t="b">
        <v>1</v>
      </c>
      <c r="H142" t="inlineStr">
        <is>
          <t>0</t>
        </is>
      </c>
    </row>
    <row r="143">
      <c r="A143" t="inlineStr">
        <is>
          <t>ALL</t>
        </is>
      </c>
      <c r="B143" t="inlineStr">
        <is>
          <t>epic</t>
        </is>
      </c>
      <c r="C143" t="n">
        <v>1</v>
      </c>
      <c r="D143" t="inlineStr">
        <is>
          <t>Dex</t>
        </is>
      </c>
      <c r="E143" t="n">
        <v>200</v>
      </c>
      <c r="F143" t="n">
        <v>9.25</v>
      </c>
      <c r="G143" t="b">
        <v>1</v>
      </c>
      <c r="H143">
        <f>Sensitivity!H7</f>
        <v/>
      </c>
    </row>
    <row r="144">
      <c r="A144" t="inlineStr">
        <is>
          <t>ALL</t>
        </is>
      </c>
      <c r="B144" t="inlineStr">
        <is>
          <t>epic</t>
        </is>
      </c>
      <c r="C144" t="n">
        <v>1</v>
      </c>
      <c r="D144" t="inlineStr">
        <is>
          <t>Int</t>
        </is>
      </c>
      <c r="E144" t="n">
        <v>200</v>
      </c>
      <c r="F144" t="n">
        <v>9.25</v>
      </c>
      <c r="G144" t="b">
        <v>1</v>
      </c>
      <c r="H144" t="inlineStr">
        <is>
          <t>0</t>
        </is>
      </c>
    </row>
    <row r="145">
      <c r="A145" t="inlineStr">
        <is>
          <t>ALL</t>
        </is>
      </c>
      <c r="B145" t="inlineStr">
        <is>
          <t>epic</t>
        </is>
      </c>
      <c r="C145" t="n">
        <v>1</v>
      </c>
      <c r="D145" t="inlineStr">
        <is>
          <t>Luk</t>
        </is>
      </c>
      <c r="E145" t="n">
        <v>200</v>
      </c>
      <c r="F145" t="n">
        <v>9.25</v>
      </c>
      <c r="G145" t="b">
        <v>1</v>
      </c>
      <c r="H145">
        <f>Sensitivity!H5</f>
        <v/>
      </c>
    </row>
    <row r="146">
      <c r="A146" t="inlineStr">
        <is>
          <t>ALL</t>
        </is>
      </c>
      <c r="B146" t="inlineStr">
        <is>
          <t>epic</t>
        </is>
      </c>
      <c r="C146" t="n">
        <v>2</v>
      </c>
      <c r="D146" t="inlineStr">
        <is>
          <t>Critical Rate %</t>
        </is>
      </c>
      <c r="E146" t="n">
        <v>4.5</v>
      </c>
      <c r="F146" t="n">
        <v>1.9</v>
      </c>
      <c r="G146" t="b">
        <v>0</v>
      </c>
      <c r="H146">
        <f>IF(AND(Inputs!$B$9+Summary!$B$14+Artifacts!$B$32&gt;=100,NOT(ArtifactsInput!$M$42),NOT(ArtifactsInput!$M$24)),Sensitivity!H16,Sensitivity!H15)</f>
        <v/>
      </c>
    </row>
    <row r="147">
      <c r="A147" t="inlineStr">
        <is>
          <t>ALL</t>
        </is>
      </c>
      <c r="B147" t="inlineStr">
        <is>
          <t>epic</t>
        </is>
      </c>
      <c r="C147" t="n">
        <v>2</v>
      </c>
      <c r="D147" t="inlineStr">
        <is>
          <t>Critical Rate %</t>
        </is>
      </c>
      <c r="E147" t="n">
        <v>6</v>
      </c>
      <c r="F147" t="n">
        <v>0.6</v>
      </c>
      <c r="G147" t="b">
        <v>1</v>
      </c>
      <c r="H147">
        <f>IF(AND(Inputs!$B$9+Summary!$B$14+Artifacts!$B$32&gt;=100,NOT(ArtifactsInput!$M$42),NOT(ArtifactsInput!$M$24)),Sensitivity!H16,Sensitivity!H15)</f>
        <v/>
      </c>
    </row>
    <row r="148">
      <c r="A148" t="inlineStr">
        <is>
          <t>ALL</t>
        </is>
      </c>
      <c r="B148" t="inlineStr">
        <is>
          <t>epic</t>
        </is>
      </c>
      <c r="C148" t="n">
        <v>2</v>
      </c>
      <c r="D148" t="inlineStr">
        <is>
          <t>Attack Speed %</t>
        </is>
      </c>
      <c r="E148" t="n">
        <v>3.5</v>
      </c>
      <c r="F148" t="n">
        <v>1.9</v>
      </c>
      <c r="G148" t="b">
        <v>0</v>
      </c>
      <c r="H148">
        <f>Sensitivity!H17</f>
        <v/>
      </c>
    </row>
    <row r="149">
      <c r="A149" t="inlineStr">
        <is>
          <t>ALL</t>
        </is>
      </c>
      <c r="B149" t="inlineStr">
        <is>
          <t>epic</t>
        </is>
      </c>
      <c r="C149" t="n">
        <v>2</v>
      </c>
      <c r="D149" t="inlineStr">
        <is>
          <t>Attack Speed %</t>
        </is>
      </c>
      <c r="E149" t="n">
        <v>4</v>
      </c>
      <c r="F149" t="n">
        <v>0.6</v>
      </c>
      <c r="G149" t="b">
        <v>1</v>
      </c>
      <c r="H149">
        <f>Sensitivity!H17</f>
        <v/>
      </c>
    </row>
    <row r="150">
      <c r="A150" t="inlineStr">
        <is>
          <t>ALL</t>
        </is>
      </c>
      <c r="B150" t="inlineStr">
        <is>
          <t>epic</t>
        </is>
      </c>
      <c r="C150" t="n">
        <v>2</v>
      </c>
      <c r="D150" t="inlineStr">
        <is>
          <t>Damage %</t>
        </is>
      </c>
      <c r="E150" t="n">
        <v>8</v>
      </c>
      <c r="F150" t="n">
        <v>3.04</v>
      </c>
      <c r="G150" t="b">
        <v>0</v>
      </c>
      <c r="H150">
        <f>Sensitivity!H8</f>
        <v/>
      </c>
    </row>
    <row r="151">
      <c r="A151" t="inlineStr">
        <is>
          <t>ALL</t>
        </is>
      </c>
      <c r="B151" t="inlineStr">
        <is>
          <t>epic</t>
        </is>
      </c>
      <c r="C151" t="n">
        <v>2</v>
      </c>
      <c r="D151" t="inlineStr">
        <is>
          <t>Damage %</t>
        </is>
      </c>
      <c r="E151" t="n">
        <v>12</v>
      </c>
      <c r="F151" t="n">
        <v>0.96</v>
      </c>
      <c r="G151" t="b">
        <v>1</v>
      </c>
      <c r="H151">
        <f>Sensitivity!H8</f>
        <v/>
      </c>
    </row>
    <row r="152">
      <c r="A152" t="inlineStr">
        <is>
          <t>ALL</t>
        </is>
      </c>
      <c r="B152" t="inlineStr">
        <is>
          <t>epic</t>
        </is>
      </c>
      <c r="C152" t="n">
        <v>2</v>
      </c>
      <c r="D152" t="inlineStr">
        <is>
          <t>Min Damage Multiplier %</t>
        </is>
      </c>
      <c r="E152" t="n">
        <v>6</v>
      </c>
      <c r="F152" t="n">
        <v>3.04</v>
      </c>
      <c r="G152" t="b">
        <v>0</v>
      </c>
      <c r="H152">
        <f>Sensitivity!H13</f>
        <v/>
      </c>
    </row>
    <row r="153">
      <c r="A153" t="inlineStr">
        <is>
          <t>ALL</t>
        </is>
      </c>
      <c r="B153" t="inlineStr">
        <is>
          <t>epic</t>
        </is>
      </c>
      <c r="C153" t="n">
        <v>2</v>
      </c>
      <c r="D153" t="inlineStr">
        <is>
          <t>Min Damage Multiplier %</t>
        </is>
      </c>
      <c r="E153" t="n">
        <v>8</v>
      </c>
      <c r="F153" t="n">
        <v>0.96</v>
      </c>
      <c r="G153" t="b">
        <v>1</v>
      </c>
      <c r="H153">
        <f>Sensitivity!H13</f>
        <v/>
      </c>
    </row>
    <row r="154">
      <c r="A154" t="inlineStr">
        <is>
          <t>ALL</t>
        </is>
      </c>
      <c r="B154" t="inlineStr">
        <is>
          <t>epic</t>
        </is>
      </c>
      <c r="C154" t="n">
        <v>2</v>
      </c>
      <c r="D154" t="inlineStr">
        <is>
          <t>Max Damage Multiplier %</t>
        </is>
      </c>
      <c r="E154" t="n">
        <v>6</v>
      </c>
      <c r="F154" t="n">
        <v>3.04</v>
      </c>
      <c r="G154" t="b">
        <v>0</v>
      </c>
      <c r="H154">
        <f>Sensitivity!H14</f>
        <v/>
      </c>
    </row>
    <row r="155">
      <c r="A155" t="inlineStr">
        <is>
          <t>ALL</t>
        </is>
      </c>
      <c r="B155" t="inlineStr">
        <is>
          <t>epic</t>
        </is>
      </c>
      <c r="C155" t="n">
        <v>2</v>
      </c>
      <c r="D155" t="inlineStr">
        <is>
          <t>Max Damage Multiplier %</t>
        </is>
      </c>
      <c r="E155" t="n">
        <v>8</v>
      </c>
      <c r="F155" t="n">
        <v>0.96</v>
      </c>
      <c r="G155" t="b">
        <v>1</v>
      </c>
      <c r="H155">
        <f>Sensitivity!H14</f>
        <v/>
      </c>
    </row>
    <row r="156">
      <c r="A156" t="inlineStr">
        <is>
          <t>ALL</t>
        </is>
      </c>
      <c r="B156" t="inlineStr">
        <is>
          <t>epic</t>
        </is>
      </c>
      <c r="C156" t="n">
        <v>2</v>
      </c>
      <c r="D156" t="inlineStr">
        <is>
          <t>Str %</t>
        </is>
      </c>
      <c r="E156" t="n">
        <v>4.5</v>
      </c>
      <c r="F156" t="n">
        <v>3.42</v>
      </c>
      <c r="G156" t="b">
        <v>0</v>
      </c>
      <c r="H156" t="inlineStr">
        <is>
          <t>0</t>
        </is>
      </c>
    </row>
    <row r="157">
      <c r="A157" t="inlineStr">
        <is>
          <t>ALL</t>
        </is>
      </c>
      <c r="B157" t="inlineStr">
        <is>
          <t>epic</t>
        </is>
      </c>
      <c r="C157" t="n">
        <v>2</v>
      </c>
      <c r="D157" t="inlineStr">
        <is>
          <t>Str %</t>
        </is>
      </c>
      <c r="E157" t="n">
        <v>6</v>
      </c>
      <c r="F157" t="n">
        <v>1.08</v>
      </c>
      <c r="G157" t="b">
        <v>1</v>
      </c>
      <c r="H157" t="inlineStr">
        <is>
          <t>0</t>
        </is>
      </c>
    </row>
    <row r="158">
      <c r="A158" t="inlineStr">
        <is>
          <t>ALL</t>
        </is>
      </c>
      <c r="B158" t="inlineStr">
        <is>
          <t>epic</t>
        </is>
      </c>
      <c r="C158" t="n">
        <v>2</v>
      </c>
      <c r="D158" t="inlineStr">
        <is>
          <t>Dex %</t>
        </is>
      </c>
      <c r="E158" t="n">
        <v>4.5</v>
      </c>
      <c r="F158" t="n">
        <v>3.42</v>
      </c>
      <c r="G158" t="b">
        <v>0</v>
      </c>
      <c r="H158">
        <f>Sensitivity!H7*Inputs!$B$14/100</f>
        <v/>
      </c>
    </row>
    <row r="159">
      <c r="A159" t="inlineStr">
        <is>
          <t>ALL</t>
        </is>
      </c>
      <c r="B159" t="inlineStr">
        <is>
          <t>epic</t>
        </is>
      </c>
      <c r="C159" t="n">
        <v>2</v>
      </c>
      <c r="D159" t="inlineStr">
        <is>
          <t>Dex %</t>
        </is>
      </c>
      <c r="E159" t="n">
        <v>6</v>
      </c>
      <c r="F159" t="n">
        <v>1.08</v>
      </c>
      <c r="G159" t="b">
        <v>1</v>
      </c>
      <c r="H159">
        <f>Sensitivity!H7*Inputs!$B$14/100</f>
        <v/>
      </c>
    </row>
    <row r="160">
      <c r="A160" t="inlineStr">
        <is>
          <t>ALL</t>
        </is>
      </c>
      <c r="B160" t="inlineStr">
        <is>
          <t>epic</t>
        </is>
      </c>
      <c r="C160" t="n">
        <v>2</v>
      </c>
      <c r="D160" t="inlineStr">
        <is>
          <t>Int %</t>
        </is>
      </c>
      <c r="E160" t="n">
        <v>4.5</v>
      </c>
      <c r="F160" t="n">
        <v>3.42</v>
      </c>
      <c r="G160" t="b">
        <v>0</v>
      </c>
      <c r="H160" t="inlineStr">
        <is>
          <t>0</t>
        </is>
      </c>
    </row>
    <row r="161">
      <c r="A161" t="inlineStr">
        <is>
          <t>ALL</t>
        </is>
      </c>
      <c r="B161" t="inlineStr">
        <is>
          <t>epic</t>
        </is>
      </c>
      <c r="C161" t="n">
        <v>2</v>
      </c>
      <c r="D161" t="inlineStr">
        <is>
          <t>Int %</t>
        </is>
      </c>
      <c r="E161" t="n">
        <v>6</v>
      </c>
      <c r="F161" t="n">
        <v>1.08</v>
      </c>
      <c r="G161" t="b">
        <v>1</v>
      </c>
      <c r="H161" t="inlineStr">
        <is>
          <t>0</t>
        </is>
      </c>
    </row>
    <row r="162">
      <c r="A162" t="inlineStr">
        <is>
          <t>ALL</t>
        </is>
      </c>
      <c r="B162" t="inlineStr">
        <is>
          <t>epic</t>
        </is>
      </c>
      <c r="C162" t="n">
        <v>2</v>
      </c>
      <c r="D162" t="inlineStr">
        <is>
          <t>Luk %</t>
        </is>
      </c>
      <c r="E162" t="n">
        <v>4.5</v>
      </c>
      <c r="F162" t="n">
        <v>3.42</v>
      </c>
      <c r="G162" t="b">
        <v>0</v>
      </c>
      <c r="H162">
        <f>Sensitivity!H6</f>
        <v/>
      </c>
    </row>
    <row r="163">
      <c r="A163" t="inlineStr">
        <is>
          <t>ALL</t>
        </is>
      </c>
      <c r="B163" t="inlineStr">
        <is>
          <t>epic</t>
        </is>
      </c>
      <c r="C163" t="n">
        <v>2</v>
      </c>
      <c r="D163" t="inlineStr">
        <is>
          <t>Luk %</t>
        </is>
      </c>
      <c r="E163" t="n">
        <v>6</v>
      </c>
      <c r="F163" t="n">
        <v>1.08</v>
      </c>
      <c r="G163" t="b">
        <v>1</v>
      </c>
      <c r="H163">
        <f>Sensitivity!H6</f>
        <v/>
      </c>
    </row>
    <row r="164">
      <c r="A164" t="inlineStr">
        <is>
          <t>ALL</t>
        </is>
      </c>
      <c r="B164" t="inlineStr">
        <is>
          <t>epic</t>
        </is>
      </c>
      <c r="C164" t="n">
        <v>2</v>
      </c>
      <c r="D164" t="inlineStr">
        <is>
          <t>Defense %</t>
        </is>
      </c>
      <c r="E164" t="n">
        <v>4.5</v>
      </c>
      <c r="F164" t="n">
        <v>6.84</v>
      </c>
      <c r="G164" t="b">
        <v>0</v>
      </c>
      <c r="H164" t="inlineStr">
        <is>
          <t>0</t>
        </is>
      </c>
    </row>
    <row r="165">
      <c r="A165" t="inlineStr">
        <is>
          <t>ALL</t>
        </is>
      </c>
      <c r="B165" t="inlineStr">
        <is>
          <t>epic</t>
        </is>
      </c>
      <c r="C165" t="n">
        <v>2</v>
      </c>
      <c r="D165" t="inlineStr">
        <is>
          <t>Defense %</t>
        </is>
      </c>
      <c r="E165" t="n">
        <v>6</v>
      </c>
      <c r="F165" t="n">
        <v>2.16</v>
      </c>
      <c r="G165" t="b">
        <v>1</v>
      </c>
      <c r="H165" t="inlineStr">
        <is>
          <t>0</t>
        </is>
      </c>
    </row>
    <row r="166">
      <c r="A166" t="inlineStr">
        <is>
          <t>ALL</t>
        </is>
      </c>
      <c r="B166" t="inlineStr">
        <is>
          <t>epic</t>
        </is>
      </c>
      <c r="C166" t="n">
        <v>2</v>
      </c>
      <c r="D166" t="inlineStr">
        <is>
          <t>Max HP %</t>
        </is>
      </c>
      <c r="E166" t="n">
        <v>9</v>
      </c>
      <c r="F166" t="n">
        <v>6.84</v>
      </c>
      <c r="G166" t="b">
        <v>0</v>
      </c>
      <c r="H166" t="inlineStr">
        <is>
          <t>0</t>
        </is>
      </c>
    </row>
    <row r="167">
      <c r="A167" t="inlineStr">
        <is>
          <t>ALL</t>
        </is>
      </c>
      <c r="B167" t="inlineStr">
        <is>
          <t>epic</t>
        </is>
      </c>
      <c r="C167" t="n">
        <v>2</v>
      </c>
      <c r="D167" t="inlineStr">
        <is>
          <t>Max HP %</t>
        </is>
      </c>
      <c r="E167" t="n">
        <v>12</v>
      </c>
      <c r="F167" t="n">
        <v>2.16</v>
      </c>
      <c r="G167" t="b">
        <v>1</v>
      </c>
      <c r="H167" t="inlineStr">
        <is>
          <t>0</t>
        </is>
      </c>
    </row>
    <row r="168">
      <c r="A168" t="inlineStr">
        <is>
          <t>ALL</t>
        </is>
      </c>
      <c r="B168" t="inlineStr">
        <is>
          <t>epic</t>
        </is>
      </c>
      <c r="C168" t="n">
        <v>2</v>
      </c>
      <c r="D168" t="inlineStr">
        <is>
          <t>Max MP %</t>
        </is>
      </c>
      <c r="E168" t="n">
        <v>4.5</v>
      </c>
      <c r="F168" t="n">
        <v>6.84</v>
      </c>
      <c r="G168" t="b">
        <v>0</v>
      </c>
      <c r="H168" t="inlineStr">
        <is>
          <t>0</t>
        </is>
      </c>
    </row>
    <row r="169">
      <c r="A169" t="inlineStr">
        <is>
          <t>ALL</t>
        </is>
      </c>
      <c r="B169" t="inlineStr">
        <is>
          <t>epic</t>
        </is>
      </c>
      <c r="C169" t="n">
        <v>2</v>
      </c>
      <c r="D169" t="inlineStr">
        <is>
          <t>Max MP %</t>
        </is>
      </c>
      <c r="E169" t="n">
        <v>6</v>
      </c>
      <c r="F169" t="n">
        <v>2.16</v>
      </c>
      <c r="G169" t="b">
        <v>1</v>
      </c>
      <c r="H169" t="inlineStr">
        <is>
          <t>0</t>
        </is>
      </c>
    </row>
    <row r="170">
      <c r="A170" t="inlineStr">
        <is>
          <t>ALL</t>
        </is>
      </c>
      <c r="B170" t="inlineStr">
        <is>
          <t>epic</t>
        </is>
      </c>
      <c r="C170" t="n">
        <v>2</v>
      </c>
      <c r="D170" t="inlineStr">
        <is>
          <t>Str</t>
        </is>
      </c>
      <c r="E170" t="n">
        <v>100</v>
      </c>
      <c r="F170" t="n">
        <v>7.22</v>
      </c>
      <c r="G170" t="b">
        <v>0</v>
      </c>
      <c r="H170" t="inlineStr">
        <is>
          <t>0</t>
        </is>
      </c>
    </row>
    <row r="171">
      <c r="A171" t="inlineStr">
        <is>
          <t>ALL</t>
        </is>
      </c>
      <c r="B171" t="inlineStr">
        <is>
          <t>epic</t>
        </is>
      </c>
      <c r="C171" t="n">
        <v>2</v>
      </c>
      <c r="D171" t="inlineStr">
        <is>
          <t>Str</t>
        </is>
      </c>
      <c r="E171" t="n">
        <v>200</v>
      </c>
      <c r="F171" t="n">
        <v>2.22</v>
      </c>
      <c r="G171" t="b">
        <v>1</v>
      </c>
      <c r="H171" t="inlineStr">
        <is>
          <t>0</t>
        </is>
      </c>
    </row>
    <row r="172">
      <c r="A172" t="inlineStr">
        <is>
          <t>ALL</t>
        </is>
      </c>
      <c r="B172" t="inlineStr">
        <is>
          <t>epic</t>
        </is>
      </c>
      <c r="C172" t="n">
        <v>2</v>
      </c>
      <c r="D172" t="inlineStr">
        <is>
          <t>Dex</t>
        </is>
      </c>
      <c r="E172" t="n">
        <v>100</v>
      </c>
      <c r="F172" t="n">
        <v>7.22</v>
      </c>
      <c r="G172" t="b">
        <v>0</v>
      </c>
      <c r="H172">
        <f>Sensitivity!H7</f>
        <v/>
      </c>
    </row>
    <row r="173">
      <c r="A173" t="inlineStr">
        <is>
          <t>ALL</t>
        </is>
      </c>
      <c r="B173" t="inlineStr">
        <is>
          <t>epic</t>
        </is>
      </c>
      <c r="C173" t="n">
        <v>2</v>
      </c>
      <c r="D173" t="inlineStr">
        <is>
          <t>Dex</t>
        </is>
      </c>
      <c r="E173" t="n">
        <v>200</v>
      </c>
      <c r="F173" t="n">
        <v>2.22</v>
      </c>
      <c r="G173" t="b">
        <v>1</v>
      </c>
      <c r="H173">
        <f>Sensitivity!H7</f>
        <v/>
      </c>
    </row>
    <row r="174">
      <c r="A174" t="inlineStr">
        <is>
          <t>ALL</t>
        </is>
      </c>
      <c r="B174" t="inlineStr">
        <is>
          <t>epic</t>
        </is>
      </c>
      <c r="C174" t="n">
        <v>2</v>
      </c>
      <c r="D174" t="inlineStr">
        <is>
          <t>Int</t>
        </is>
      </c>
      <c r="E174" t="n">
        <v>100</v>
      </c>
      <c r="F174" t="n">
        <v>7.22</v>
      </c>
      <c r="G174" t="b">
        <v>0</v>
      </c>
      <c r="H174" t="inlineStr">
        <is>
          <t>0</t>
        </is>
      </c>
    </row>
    <row r="175">
      <c r="A175" t="inlineStr">
        <is>
          <t>ALL</t>
        </is>
      </c>
      <c r="B175" t="inlineStr">
        <is>
          <t>epic</t>
        </is>
      </c>
      <c r="C175" t="n">
        <v>2</v>
      </c>
      <c r="D175" t="inlineStr">
        <is>
          <t>Int</t>
        </is>
      </c>
      <c r="E175" t="n">
        <v>200</v>
      </c>
      <c r="F175" t="n">
        <v>2.22</v>
      </c>
      <c r="G175" t="b">
        <v>1</v>
      </c>
      <c r="H175" t="inlineStr">
        <is>
          <t>0</t>
        </is>
      </c>
    </row>
    <row r="176">
      <c r="A176" t="inlineStr">
        <is>
          <t>ALL</t>
        </is>
      </c>
      <c r="B176" t="inlineStr">
        <is>
          <t>epic</t>
        </is>
      </c>
      <c r="C176" t="n">
        <v>2</v>
      </c>
      <c r="D176" t="inlineStr">
        <is>
          <t>Luk</t>
        </is>
      </c>
      <c r="E176" t="n">
        <v>100</v>
      </c>
      <c r="F176" t="n">
        <v>7.22</v>
      </c>
      <c r="G176" t="b">
        <v>0</v>
      </c>
      <c r="H176">
        <f>Sensitivity!H5</f>
        <v/>
      </c>
    </row>
    <row r="177">
      <c r="A177" t="inlineStr">
        <is>
          <t>ALL</t>
        </is>
      </c>
      <c r="B177" t="inlineStr">
        <is>
          <t>epic</t>
        </is>
      </c>
      <c r="C177" t="n">
        <v>2</v>
      </c>
      <c r="D177" t="inlineStr">
        <is>
          <t>Luk</t>
        </is>
      </c>
      <c r="E177" t="n">
        <v>200</v>
      </c>
      <c r="F177" t="n">
        <v>2.22</v>
      </c>
      <c r="G177" t="b">
        <v>1</v>
      </c>
      <c r="H177">
        <f>Sensitivity!H5</f>
        <v/>
      </c>
    </row>
    <row r="178">
      <c r="A178" t="inlineStr">
        <is>
          <t>ALL</t>
        </is>
      </c>
      <c r="B178" t="inlineStr">
        <is>
          <t>epic</t>
        </is>
      </c>
      <c r="C178" t="n">
        <v>3</v>
      </c>
      <c r="D178" t="inlineStr">
        <is>
          <t>Critical Rate %</t>
        </is>
      </c>
      <c r="E178" t="n">
        <v>4.5</v>
      </c>
      <c r="F178" t="n">
        <v>2.3</v>
      </c>
      <c r="G178" t="b">
        <v>0</v>
      </c>
      <c r="H178">
        <f>IF(AND(Inputs!$B$9+Summary!$B$14+Artifacts!$B$32&gt;=100,NOT(ArtifactsInput!$M$42),NOT(ArtifactsInput!$M$24)),Sensitivity!H16,Sensitivity!H15)</f>
        <v/>
      </c>
    </row>
    <row r="179">
      <c r="A179" t="inlineStr">
        <is>
          <t>ALL</t>
        </is>
      </c>
      <c r="B179" t="inlineStr">
        <is>
          <t>epic</t>
        </is>
      </c>
      <c r="C179" t="n">
        <v>3</v>
      </c>
      <c r="D179" t="inlineStr">
        <is>
          <t>Critical Rate %</t>
        </is>
      </c>
      <c r="E179" t="n">
        <v>6</v>
      </c>
      <c r="F179" t="n">
        <v>0.2</v>
      </c>
      <c r="G179" t="b">
        <v>1</v>
      </c>
      <c r="H179">
        <f>IF(AND(Inputs!$B$9+Summary!$B$14+Artifacts!$B$32&gt;=100,NOT(ArtifactsInput!$M$42),NOT(ArtifactsInput!$M$24)),Sensitivity!H16,Sensitivity!H15)</f>
        <v/>
      </c>
    </row>
    <row r="180">
      <c r="A180" t="inlineStr">
        <is>
          <t>ALL</t>
        </is>
      </c>
      <c r="B180" t="inlineStr">
        <is>
          <t>epic</t>
        </is>
      </c>
      <c r="C180" t="n">
        <v>3</v>
      </c>
      <c r="D180" t="inlineStr">
        <is>
          <t>Attack Speed %</t>
        </is>
      </c>
      <c r="E180" t="n">
        <v>3.5</v>
      </c>
      <c r="F180" t="n">
        <v>2.3</v>
      </c>
      <c r="G180" t="b">
        <v>0</v>
      </c>
      <c r="H180">
        <f>Sensitivity!H17</f>
        <v/>
      </c>
    </row>
    <row r="181">
      <c r="A181" t="inlineStr">
        <is>
          <t>ALL</t>
        </is>
      </c>
      <c r="B181" t="inlineStr">
        <is>
          <t>epic</t>
        </is>
      </c>
      <c r="C181" t="n">
        <v>3</v>
      </c>
      <c r="D181" t="inlineStr">
        <is>
          <t>Attack Speed %</t>
        </is>
      </c>
      <c r="E181" t="n">
        <v>4</v>
      </c>
      <c r="F181" t="n">
        <v>0.2</v>
      </c>
      <c r="G181" t="b">
        <v>1</v>
      </c>
      <c r="H181">
        <f>Sensitivity!H17</f>
        <v/>
      </c>
    </row>
    <row r="182">
      <c r="A182" t="inlineStr">
        <is>
          <t>ALL</t>
        </is>
      </c>
      <c r="B182" t="inlineStr">
        <is>
          <t>epic</t>
        </is>
      </c>
      <c r="C182" t="n">
        <v>3</v>
      </c>
      <c r="D182" t="inlineStr">
        <is>
          <t>Damage %</t>
        </is>
      </c>
      <c r="E182" t="n">
        <v>8</v>
      </c>
      <c r="F182" t="n">
        <v>3.68</v>
      </c>
      <c r="G182" t="b">
        <v>0</v>
      </c>
      <c r="H182">
        <f>Sensitivity!H8</f>
        <v/>
      </c>
    </row>
    <row r="183">
      <c r="A183" t="inlineStr">
        <is>
          <t>ALL</t>
        </is>
      </c>
      <c r="B183" t="inlineStr">
        <is>
          <t>epic</t>
        </is>
      </c>
      <c r="C183" t="n">
        <v>3</v>
      </c>
      <c r="D183" t="inlineStr">
        <is>
          <t>Damage %</t>
        </is>
      </c>
      <c r="E183" t="n">
        <v>12</v>
      </c>
      <c r="F183" t="n">
        <v>0.32</v>
      </c>
      <c r="G183" t="b">
        <v>1</v>
      </c>
      <c r="H183">
        <f>Sensitivity!H8</f>
        <v/>
      </c>
    </row>
    <row r="184">
      <c r="A184" t="inlineStr">
        <is>
          <t>ALL</t>
        </is>
      </c>
      <c r="B184" t="inlineStr">
        <is>
          <t>epic</t>
        </is>
      </c>
      <c r="C184" t="n">
        <v>3</v>
      </c>
      <c r="D184" t="inlineStr">
        <is>
          <t>Min Damage Multiplier %</t>
        </is>
      </c>
      <c r="E184" t="n">
        <v>6</v>
      </c>
      <c r="F184" t="n">
        <v>3.68</v>
      </c>
      <c r="G184" t="b">
        <v>0</v>
      </c>
      <c r="H184">
        <f>Sensitivity!H13</f>
        <v/>
      </c>
    </row>
    <row r="185">
      <c r="A185" t="inlineStr">
        <is>
          <t>ALL</t>
        </is>
      </c>
      <c r="B185" t="inlineStr">
        <is>
          <t>epic</t>
        </is>
      </c>
      <c r="C185" t="n">
        <v>3</v>
      </c>
      <c r="D185" t="inlineStr">
        <is>
          <t>Min Damage Multiplier %</t>
        </is>
      </c>
      <c r="E185" t="n">
        <v>8</v>
      </c>
      <c r="F185" t="n">
        <v>0.32</v>
      </c>
      <c r="G185" t="b">
        <v>1</v>
      </c>
      <c r="H185">
        <f>Sensitivity!H13</f>
        <v/>
      </c>
    </row>
    <row r="186">
      <c r="A186" t="inlineStr">
        <is>
          <t>ALL</t>
        </is>
      </c>
      <c r="B186" t="inlineStr">
        <is>
          <t>epic</t>
        </is>
      </c>
      <c r="C186" t="n">
        <v>3</v>
      </c>
      <c r="D186" t="inlineStr">
        <is>
          <t>Max Damage Multiplier %</t>
        </is>
      </c>
      <c r="E186" t="n">
        <v>6</v>
      </c>
      <c r="F186" t="n">
        <v>3.68</v>
      </c>
      <c r="G186" t="b">
        <v>0</v>
      </c>
      <c r="H186">
        <f>Sensitivity!H14</f>
        <v/>
      </c>
    </row>
    <row r="187">
      <c r="A187" t="inlineStr">
        <is>
          <t>ALL</t>
        </is>
      </c>
      <c r="B187" t="inlineStr">
        <is>
          <t>epic</t>
        </is>
      </c>
      <c r="C187" t="n">
        <v>3</v>
      </c>
      <c r="D187" t="inlineStr">
        <is>
          <t>Max Damage Multiplier %</t>
        </is>
      </c>
      <c r="E187" t="n">
        <v>8</v>
      </c>
      <c r="F187" t="n">
        <v>0.32</v>
      </c>
      <c r="G187" t="b">
        <v>1</v>
      </c>
      <c r="H187">
        <f>Sensitivity!H14</f>
        <v/>
      </c>
    </row>
    <row r="188">
      <c r="A188" t="inlineStr">
        <is>
          <t>ALL</t>
        </is>
      </c>
      <c r="B188" t="inlineStr">
        <is>
          <t>epic</t>
        </is>
      </c>
      <c r="C188" t="n">
        <v>3</v>
      </c>
      <c r="D188" t="inlineStr">
        <is>
          <t>Str %</t>
        </is>
      </c>
      <c r="E188" t="n">
        <v>4.5</v>
      </c>
      <c r="F188" t="n">
        <v>4.14</v>
      </c>
      <c r="G188" t="b">
        <v>0</v>
      </c>
      <c r="H188" t="inlineStr">
        <is>
          <t>0</t>
        </is>
      </c>
    </row>
    <row r="189">
      <c r="A189" t="inlineStr">
        <is>
          <t>ALL</t>
        </is>
      </c>
      <c r="B189" t="inlineStr">
        <is>
          <t>epic</t>
        </is>
      </c>
      <c r="C189" t="n">
        <v>3</v>
      </c>
      <c r="D189" t="inlineStr">
        <is>
          <t>Str %</t>
        </is>
      </c>
      <c r="E189" t="n">
        <v>6</v>
      </c>
      <c r="F189" t="n">
        <v>0.36</v>
      </c>
      <c r="G189" t="b">
        <v>1</v>
      </c>
      <c r="H189" t="inlineStr">
        <is>
          <t>0</t>
        </is>
      </c>
    </row>
    <row r="190">
      <c r="A190" t="inlineStr">
        <is>
          <t>ALL</t>
        </is>
      </c>
      <c r="B190" t="inlineStr">
        <is>
          <t>epic</t>
        </is>
      </c>
      <c r="C190" t="n">
        <v>3</v>
      </c>
      <c r="D190" t="inlineStr">
        <is>
          <t>Dex %</t>
        </is>
      </c>
      <c r="E190" t="n">
        <v>4.5</v>
      </c>
      <c r="F190" t="n">
        <v>4.14</v>
      </c>
      <c r="G190" t="b">
        <v>0</v>
      </c>
      <c r="H190">
        <f>Sensitivity!H7*Inputs!$B$14/100</f>
        <v/>
      </c>
    </row>
    <row r="191">
      <c r="A191" t="inlineStr">
        <is>
          <t>ALL</t>
        </is>
      </c>
      <c r="B191" t="inlineStr">
        <is>
          <t>epic</t>
        </is>
      </c>
      <c r="C191" t="n">
        <v>3</v>
      </c>
      <c r="D191" t="inlineStr">
        <is>
          <t>Dex %</t>
        </is>
      </c>
      <c r="E191" t="n">
        <v>6</v>
      </c>
      <c r="F191" t="n">
        <v>0.36</v>
      </c>
      <c r="G191" t="b">
        <v>1</v>
      </c>
      <c r="H191">
        <f>Sensitivity!H7*Inputs!$B$14/100</f>
        <v/>
      </c>
    </row>
    <row r="192">
      <c r="A192" t="inlineStr">
        <is>
          <t>ALL</t>
        </is>
      </c>
      <c r="B192" t="inlineStr">
        <is>
          <t>epic</t>
        </is>
      </c>
      <c r="C192" t="n">
        <v>3</v>
      </c>
      <c r="D192" t="inlineStr">
        <is>
          <t>Int %</t>
        </is>
      </c>
      <c r="E192" t="n">
        <v>4.5</v>
      </c>
      <c r="F192" t="n">
        <v>4.14</v>
      </c>
      <c r="G192" t="b">
        <v>0</v>
      </c>
      <c r="H192" t="inlineStr">
        <is>
          <t>0</t>
        </is>
      </c>
    </row>
    <row r="193">
      <c r="A193" t="inlineStr">
        <is>
          <t>ALL</t>
        </is>
      </c>
      <c r="B193" t="inlineStr">
        <is>
          <t>epic</t>
        </is>
      </c>
      <c r="C193" t="n">
        <v>3</v>
      </c>
      <c r="D193" t="inlineStr">
        <is>
          <t>Int %</t>
        </is>
      </c>
      <c r="E193" t="n">
        <v>6</v>
      </c>
      <c r="F193" t="n">
        <v>0.36</v>
      </c>
      <c r="G193" t="b">
        <v>1</v>
      </c>
      <c r="H193" t="inlineStr">
        <is>
          <t>0</t>
        </is>
      </c>
    </row>
    <row r="194">
      <c r="A194" t="inlineStr">
        <is>
          <t>ALL</t>
        </is>
      </c>
      <c r="B194" t="inlineStr">
        <is>
          <t>epic</t>
        </is>
      </c>
      <c r="C194" t="n">
        <v>3</v>
      </c>
      <c r="D194" t="inlineStr">
        <is>
          <t>Luk %</t>
        </is>
      </c>
      <c r="E194" t="n">
        <v>4.5</v>
      </c>
      <c r="F194" t="n">
        <v>4.14</v>
      </c>
      <c r="G194" t="b">
        <v>0</v>
      </c>
      <c r="H194">
        <f>Sensitivity!H6</f>
        <v/>
      </c>
    </row>
    <row r="195">
      <c r="A195" t="inlineStr">
        <is>
          <t>ALL</t>
        </is>
      </c>
      <c r="B195" t="inlineStr">
        <is>
          <t>epic</t>
        </is>
      </c>
      <c r="C195" t="n">
        <v>3</v>
      </c>
      <c r="D195" t="inlineStr">
        <is>
          <t>Luk %</t>
        </is>
      </c>
      <c r="E195" t="n">
        <v>6</v>
      </c>
      <c r="F195" t="n">
        <v>0.36</v>
      </c>
      <c r="G195" t="b">
        <v>1</v>
      </c>
      <c r="H195">
        <f>Sensitivity!H6</f>
        <v/>
      </c>
    </row>
    <row r="196">
      <c r="A196" t="inlineStr">
        <is>
          <t>ALL</t>
        </is>
      </c>
      <c r="B196" t="inlineStr">
        <is>
          <t>epic</t>
        </is>
      </c>
      <c r="C196" t="n">
        <v>3</v>
      </c>
      <c r="D196" t="inlineStr">
        <is>
          <t>Defense %</t>
        </is>
      </c>
      <c r="E196" t="n">
        <v>4.5</v>
      </c>
      <c r="F196" t="n">
        <v>8.279999999999999</v>
      </c>
      <c r="G196" t="b">
        <v>0</v>
      </c>
      <c r="H196" t="inlineStr">
        <is>
          <t>0</t>
        </is>
      </c>
    </row>
    <row r="197">
      <c r="A197" t="inlineStr">
        <is>
          <t>ALL</t>
        </is>
      </c>
      <c r="B197" t="inlineStr">
        <is>
          <t>epic</t>
        </is>
      </c>
      <c r="C197" t="n">
        <v>3</v>
      </c>
      <c r="D197" t="inlineStr">
        <is>
          <t>Defense %</t>
        </is>
      </c>
      <c r="E197" t="n">
        <v>6</v>
      </c>
      <c r="F197" t="n">
        <v>0.72</v>
      </c>
      <c r="G197" t="b">
        <v>1</v>
      </c>
      <c r="H197" t="inlineStr">
        <is>
          <t>0</t>
        </is>
      </c>
    </row>
    <row r="198">
      <c r="A198" t="inlineStr">
        <is>
          <t>ALL</t>
        </is>
      </c>
      <c r="B198" t="inlineStr">
        <is>
          <t>epic</t>
        </is>
      </c>
      <c r="C198" t="n">
        <v>3</v>
      </c>
      <c r="D198" t="inlineStr">
        <is>
          <t>Max HP %</t>
        </is>
      </c>
      <c r="E198" t="n">
        <v>9</v>
      </c>
      <c r="F198" t="n">
        <v>8.279999999999999</v>
      </c>
      <c r="G198" t="b">
        <v>0</v>
      </c>
      <c r="H198" t="inlineStr">
        <is>
          <t>0</t>
        </is>
      </c>
    </row>
    <row r="199">
      <c r="A199" t="inlineStr">
        <is>
          <t>ALL</t>
        </is>
      </c>
      <c r="B199" t="inlineStr">
        <is>
          <t>epic</t>
        </is>
      </c>
      <c r="C199" t="n">
        <v>3</v>
      </c>
      <c r="D199" t="inlineStr">
        <is>
          <t>Max HP %</t>
        </is>
      </c>
      <c r="E199" t="n">
        <v>12</v>
      </c>
      <c r="F199" t="n">
        <v>0.72</v>
      </c>
      <c r="G199" t="b">
        <v>1</v>
      </c>
      <c r="H199" t="inlineStr">
        <is>
          <t>0</t>
        </is>
      </c>
    </row>
    <row r="200">
      <c r="A200" t="inlineStr">
        <is>
          <t>ALL</t>
        </is>
      </c>
      <c r="B200" t="inlineStr">
        <is>
          <t>epic</t>
        </is>
      </c>
      <c r="C200" t="n">
        <v>3</v>
      </c>
      <c r="D200" t="inlineStr">
        <is>
          <t>Max MP %</t>
        </is>
      </c>
      <c r="E200" t="n">
        <v>4.5</v>
      </c>
      <c r="F200" t="n">
        <v>8.279999999999999</v>
      </c>
      <c r="G200" t="b">
        <v>0</v>
      </c>
      <c r="H200" t="inlineStr">
        <is>
          <t>0</t>
        </is>
      </c>
    </row>
    <row r="201">
      <c r="A201" t="inlineStr">
        <is>
          <t>ALL</t>
        </is>
      </c>
      <c r="B201" t="inlineStr">
        <is>
          <t>epic</t>
        </is>
      </c>
      <c r="C201" t="n">
        <v>3</v>
      </c>
      <c r="D201" t="inlineStr">
        <is>
          <t>Max MP %</t>
        </is>
      </c>
      <c r="E201" t="n">
        <v>6</v>
      </c>
      <c r="F201" t="n">
        <v>0.72</v>
      </c>
      <c r="G201" t="b">
        <v>1</v>
      </c>
      <c r="H201" t="inlineStr">
        <is>
          <t>0</t>
        </is>
      </c>
    </row>
    <row r="202">
      <c r="A202" t="inlineStr">
        <is>
          <t>ALL</t>
        </is>
      </c>
      <c r="B202" t="inlineStr">
        <is>
          <t>epic</t>
        </is>
      </c>
      <c r="C202" t="n">
        <v>3</v>
      </c>
      <c r="D202" t="inlineStr">
        <is>
          <t>Str</t>
        </is>
      </c>
      <c r="E202" t="n">
        <v>100</v>
      </c>
      <c r="F202" t="n">
        <v>8.74</v>
      </c>
      <c r="G202" t="b">
        <v>0</v>
      </c>
      <c r="H202" t="inlineStr">
        <is>
          <t>0</t>
        </is>
      </c>
    </row>
    <row r="203">
      <c r="A203" t="inlineStr">
        <is>
          <t>ALL</t>
        </is>
      </c>
      <c r="B203" t="inlineStr">
        <is>
          <t>epic</t>
        </is>
      </c>
      <c r="C203" t="n">
        <v>3</v>
      </c>
      <c r="D203" t="inlineStr">
        <is>
          <t>Str</t>
        </is>
      </c>
      <c r="E203" t="n">
        <v>200</v>
      </c>
      <c r="F203" t="n">
        <v>0.74</v>
      </c>
      <c r="G203" t="b">
        <v>1</v>
      </c>
      <c r="H203" t="inlineStr">
        <is>
          <t>0</t>
        </is>
      </c>
    </row>
    <row r="204">
      <c r="A204" t="inlineStr">
        <is>
          <t>ALL</t>
        </is>
      </c>
      <c r="B204" t="inlineStr">
        <is>
          <t>epic</t>
        </is>
      </c>
      <c r="C204" t="n">
        <v>3</v>
      </c>
      <c r="D204" t="inlineStr">
        <is>
          <t>Dex</t>
        </is>
      </c>
      <c r="E204" t="n">
        <v>100</v>
      </c>
      <c r="F204" t="n">
        <v>8.74</v>
      </c>
      <c r="G204" t="b">
        <v>0</v>
      </c>
      <c r="H204">
        <f>Sensitivity!H7</f>
        <v/>
      </c>
    </row>
    <row r="205">
      <c r="A205" t="inlineStr">
        <is>
          <t>ALL</t>
        </is>
      </c>
      <c r="B205" t="inlineStr">
        <is>
          <t>epic</t>
        </is>
      </c>
      <c r="C205" t="n">
        <v>3</v>
      </c>
      <c r="D205" t="inlineStr">
        <is>
          <t>Dex</t>
        </is>
      </c>
      <c r="E205" t="n">
        <v>200</v>
      </c>
      <c r="F205" t="n">
        <v>0.74</v>
      </c>
      <c r="G205" t="b">
        <v>1</v>
      </c>
      <c r="H205">
        <f>Sensitivity!H7</f>
        <v/>
      </c>
    </row>
    <row r="206">
      <c r="A206" t="inlineStr">
        <is>
          <t>ALL</t>
        </is>
      </c>
      <c r="B206" t="inlineStr">
        <is>
          <t>epic</t>
        </is>
      </c>
      <c r="C206" t="n">
        <v>3</v>
      </c>
      <c r="D206" t="inlineStr">
        <is>
          <t>Int</t>
        </is>
      </c>
      <c r="E206" t="n">
        <v>100</v>
      </c>
      <c r="F206" t="n">
        <v>8.74</v>
      </c>
      <c r="G206" t="b">
        <v>0</v>
      </c>
      <c r="H206" t="inlineStr">
        <is>
          <t>0</t>
        </is>
      </c>
    </row>
    <row r="207">
      <c r="A207" t="inlineStr">
        <is>
          <t>ALL</t>
        </is>
      </c>
      <c r="B207" t="inlineStr">
        <is>
          <t>epic</t>
        </is>
      </c>
      <c r="C207" t="n">
        <v>3</v>
      </c>
      <c r="D207" t="inlineStr">
        <is>
          <t>Int</t>
        </is>
      </c>
      <c r="E207" t="n">
        <v>200</v>
      </c>
      <c r="F207" t="n">
        <v>0.74</v>
      </c>
      <c r="G207" t="b">
        <v>1</v>
      </c>
      <c r="H207" t="inlineStr">
        <is>
          <t>0</t>
        </is>
      </c>
    </row>
    <row r="208">
      <c r="A208" t="inlineStr">
        <is>
          <t>ALL</t>
        </is>
      </c>
      <c r="B208" t="inlineStr">
        <is>
          <t>epic</t>
        </is>
      </c>
      <c r="C208" t="n">
        <v>3</v>
      </c>
      <c r="D208" t="inlineStr">
        <is>
          <t>Luk</t>
        </is>
      </c>
      <c r="E208" t="n">
        <v>100</v>
      </c>
      <c r="F208" t="n">
        <v>8.74</v>
      </c>
      <c r="G208" t="b">
        <v>0</v>
      </c>
      <c r="H208">
        <f>Sensitivity!H5</f>
        <v/>
      </c>
    </row>
    <row r="209">
      <c r="A209" t="inlineStr">
        <is>
          <t>ALL</t>
        </is>
      </c>
      <c r="B209" t="inlineStr">
        <is>
          <t>epic</t>
        </is>
      </c>
      <c r="C209" t="n">
        <v>3</v>
      </c>
      <c r="D209" t="inlineStr">
        <is>
          <t>Luk</t>
        </is>
      </c>
      <c r="E209" t="n">
        <v>200</v>
      </c>
      <c r="F209" t="n">
        <v>0.74</v>
      </c>
      <c r="G209" t="b">
        <v>1</v>
      </c>
      <c r="H209">
        <f>Sensitivity!H5</f>
        <v/>
      </c>
    </row>
    <row r="210">
      <c r="A210" t="inlineStr">
        <is>
          <t>ALL</t>
        </is>
      </c>
      <c r="B210" t="inlineStr">
        <is>
          <t>unique</t>
        </is>
      </c>
      <c r="C210" t="n">
        <v>1</v>
      </c>
      <c r="D210" t="inlineStr">
        <is>
          <t>Critical Rate %</t>
        </is>
      </c>
      <c r="E210" t="n">
        <v>9</v>
      </c>
      <c r="F210" t="n">
        <v>2.5</v>
      </c>
      <c r="G210" t="b">
        <v>1</v>
      </c>
      <c r="H210">
        <f>IF(AND(Inputs!$B$9+Summary!$B$14+Artifacts!$B$32&gt;=100,NOT(ArtifactsInput!$M$42),NOT(ArtifactsInput!$M$24)),Sensitivity!H16,Sensitivity!H15)</f>
        <v/>
      </c>
    </row>
    <row r="211">
      <c r="A211" t="inlineStr">
        <is>
          <t>ALL</t>
        </is>
      </c>
      <c r="B211" t="inlineStr">
        <is>
          <t>unique</t>
        </is>
      </c>
      <c r="C211" t="n">
        <v>1</v>
      </c>
      <c r="D211" t="inlineStr">
        <is>
          <t>Attack Speed %</t>
        </is>
      </c>
      <c r="E211" t="n">
        <v>5</v>
      </c>
      <c r="F211" t="n">
        <v>2.5</v>
      </c>
      <c r="G211" t="b">
        <v>1</v>
      </c>
      <c r="H211">
        <f>Sensitivity!H17</f>
        <v/>
      </c>
    </row>
    <row r="212">
      <c r="A212" t="inlineStr">
        <is>
          <t>ALL</t>
        </is>
      </c>
      <c r="B212" t="inlineStr">
        <is>
          <t>unique</t>
        </is>
      </c>
      <c r="C212" t="n">
        <v>1</v>
      </c>
      <c r="D212" t="inlineStr">
        <is>
          <t>Damage %</t>
        </is>
      </c>
      <c r="E212" t="n">
        <v>18</v>
      </c>
      <c r="F212" t="n">
        <v>4</v>
      </c>
      <c r="G212" t="b">
        <v>1</v>
      </c>
      <c r="H212">
        <f>Sensitivity!H8</f>
        <v/>
      </c>
    </row>
    <row r="213">
      <c r="A213" t="inlineStr">
        <is>
          <t>ALL</t>
        </is>
      </c>
      <c r="B213" t="inlineStr">
        <is>
          <t>unique</t>
        </is>
      </c>
      <c r="C213" t="n">
        <v>1</v>
      </c>
      <c r="D213" t="inlineStr">
        <is>
          <t>Min Damage Multiplier %</t>
        </is>
      </c>
      <c r="E213" t="n">
        <v>10</v>
      </c>
      <c r="F213" t="n">
        <v>4</v>
      </c>
      <c r="G213" t="b">
        <v>1</v>
      </c>
      <c r="H213">
        <f>Sensitivity!H13</f>
        <v/>
      </c>
    </row>
    <row r="214">
      <c r="A214" t="inlineStr">
        <is>
          <t>ALL</t>
        </is>
      </c>
      <c r="B214" t="inlineStr">
        <is>
          <t>unique</t>
        </is>
      </c>
      <c r="C214" t="n">
        <v>1</v>
      </c>
      <c r="D214" t="inlineStr">
        <is>
          <t>Max Damage Multiplier %</t>
        </is>
      </c>
      <c r="E214" t="n">
        <v>10</v>
      </c>
      <c r="F214" t="n">
        <v>4</v>
      </c>
      <c r="G214" t="b">
        <v>1</v>
      </c>
      <c r="H214">
        <f>Sensitivity!H14</f>
        <v/>
      </c>
    </row>
    <row r="215">
      <c r="A215" t="inlineStr">
        <is>
          <t>ALL</t>
        </is>
      </c>
      <c r="B215" t="inlineStr">
        <is>
          <t>unique</t>
        </is>
      </c>
      <c r="C215" t="n">
        <v>1</v>
      </c>
      <c r="D215" t="inlineStr">
        <is>
          <t>Str %</t>
        </is>
      </c>
      <c r="E215" t="n">
        <v>9</v>
      </c>
      <c r="F215" t="n">
        <v>4.5</v>
      </c>
      <c r="G215" t="b">
        <v>1</v>
      </c>
      <c r="H215" t="inlineStr">
        <is>
          <t>0</t>
        </is>
      </c>
    </row>
    <row r="216">
      <c r="A216" t="inlineStr">
        <is>
          <t>ALL</t>
        </is>
      </c>
      <c r="B216" t="inlineStr">
        <is>
          <t>unique</t>
        </is>
      </c>
      <c r="C216" t="n">
        <v>1</v>
      </c>
      <c r="D216" t="inlineStr">
        <is>
          <t>Dex %</t>
        </is>
      </c>
      <c r="E216" t="n">
        <v>9</v>
      </c>
      <c r="F216" t="n">
        <v>4.5</v>
      </c>
      <c r="G216" t="b">
        <v>1</v>
      </c>
      <c r="H216">
        <f>Sensitivity!H7*Inputs!$B$14/100</f>
        <v/>
      </c>
    </row>
    <row r="217">
      <c r="A217" t="inlineStr">
        <is>
          <t>ALL</t>
        </is>
      </c>
      <c r="B217" t="inlineStr">
        <is>
          <t>unique</t>
        </is>
      </c>
      <c r="C217" t="n">
        <v>1</v>
      </c>
      <c r="D217" t="inlineStr">
        <is>
          <t>Int %</t>
        </is>
      </c>
      <c r="E217" t="n">
        <v>9</v>
      </c>
      <c r="F217" t="n">
        <v>4.5</v>
      </c>
      <c r="G217" t="b">
        <v>1</v>
      </c>
      <c r="H217" t="inlineStr">
        <is>
          <t>0</t>
        </is>
      </c>
    </row>
    <row r="218">
      <c r="A218" t="inlineStr">
        <is>
          <t>ALL</t>
        </is>
      </c>
      <c r="B218" t="inlineStr">
        <is>
          <t>unique</t>
        </is>
      </c>
      <c r="C218" t="n">
        <v>1</v>
      </c>
      <c r="D218" t="inlineStr">
        <is>
          <t>Luk %</t>
        </is>
      </c>
      <c r="E218" t="n">
        <v>9</v>
      </c>
      <c r="F218" t="n">
        <v>4.5</v>
      </c>
      <c r="G218" t="b">
        <v>1</v>
      </c>
      <c r="H218">
        <f>Sensitivity!H6</f>
        <v/>
      </c>
    </row>
    <row r="219">
      <c r="A219" t="inlineStr">
        <is>
          <t>ALL</t>
        </is>
      </c>
      <c r="B219" t="inlineStr">
        <is>
          <t>unique</t>
        </is>
      </c>
      <c r="C219" t="n">
        <v>1</v>
      </c>
      <c r="D219" t="inlineStr">
        <is>
          <t>Defense %</t>
        </is>
      </c>
      <c r="E219" t="n">
        <v>9</v>
      </c>
      <c r="F219" t="n">
        <v>9</v>
      </c>
      <c r="G219" t="b">
        <v>1</v>
      </c>
      <c r="H219" t="inlineStr">
        <is>
          <t>0</t>
        </is>
      </c>
    </row>
    <row r="220">
      <c r="A220" t="inlineStr">
        <is>
          <t>ALL</t>
        </is>
      </c>
      <c r="B220" t="inlineStr">
        <is>
          <t>unique</t>
        </is>
      </c>
      <c r="C220" t="n">
        <v>1</v>
      </c>
      <c r="D220" t="inlineStr">
        <is>
          <t>Max HP %</t>
        </is>
      </c>
      <c r="E220" t="n">
        <v>15</v>
      </c>
      <c r="F220" t="n">
        <v>9</v>
      </c>
      <c r="G220" t="b">
        <v>1</v>
      </c>
      <c r="H220" t="inlineStr">
        <is>
          <t>0</t>
        </is>
      </c>
    </row>
    <row r="221">
      <c r="A221" t="inlineStr">
        <is>
          <t>ALL</t>
        </is>
      </c>
      <c r="B221" t="inlineStr">
        <is>
          <t>unique</t>
        </is>
      </c>
      <c r="C221" t="n">
        <v>1</v>
      </c>
      <c r="D221" t="inlineStr">
        <is>
          <t>Max MP %</t>
        </is>
      </c>
      <c r="E221" t="n">
        <v>9</v>
      </c>
      <c r="F221" t="n">
        <v>9</v>
      </c>
      <c r="G221" t="b">
        <v>1</v>
      </c>
      <c r="H221" t="inlineStr">
        <is>
          <t>0</t>
        </is>
      </c>
    </row>
    <row r="222">
      <c r="A222" t="inlineStr">
        <is>
          <t>ALL</t>
        </is>
      </c>
      <c r="B222" t="inlineStr">
        <is>
          <t>unique</t>
        </is>
      </c>
      <c r="C222" t="n">
        <v>1</v>
      </c>
      <c r="D222" t="inlineStr">
        <is>
          <t>Str</t>
        </is>
      </c>
      <c r="E222" t="n">
        <v>400</v>
      </c>
      <c r="F222" t="n">
        <v>9.25</v>
      </c>
      <c r="G222" t="b">
        <v>1</v>
      </c>
      <c r="H222" t="inlineStr">
        <is>
          <t>0</t>
        </is>
      </c>
    </row>
    <row r="223">
      <c r="A223" t="inlineStr">
        <is>
          <t>ALL</t>
        </is>
      </c>
      <c r="B223" t="inlineStr">
        <is>
          <t>unique</t>
        </is>
      </c>
      <c r="C223" t="n">
        <v>1</v>
      </c>
      <c r="D223" t="inlineStr">
        <is>
          <t>Dex</t>
        </is>
      </c>
      <c r="E223" t="n">
        <v>400</v>
      </c>
      <c r="F223" t="n">
        <v>9.25</v>
      </c>
      <c r="G223" t="b">
        <v>1</v>
      </c>
      <c r="H223">
        <f>Sensitivity!H7</f>
        <v/>
      </c>
    </row>
    <row r="224">
      <c r="A224" t="inlineStr">
        <is>
          <t>ALL</t>
        </is>
      </c>
      <c r="B224" t="inlineStr">
        <is>
          <t>unique</t>
        </is>
      </c>
      <c r="C224" t="n">
        <v>1</v>
      </c>
      <c r="D224" t="inlineStr">
        <is>
          <t>Int</t>
        </is>
      </c>
      <c r="E224" t="n">
        <v>400</v>
      </c>
      <c r="F224" t="n">
        <v>9.25</v>
      </c>
      <c r="G224" t="b">
        <v>1</v>
      </c>
      <c r="H224" t="inlineStr">
        <is>
          <t>0</t>
        </is>
      </c>
    </row>
    <row r="225">
      <c r="A225" t="inlineStr">
        <is>
          <t>ALL</t>
        </is>
      </c>
      <c r="B225" t="inlineStr">
        <is>
          <t>unique</t>
        </is>
      </c>
      <c r="C225" t="n">
        <v>1</v>
      </c>
      <c r="D225" t="inlineStr">
        <is>
          <t>Luk</t>
        </is>
      </c>
      <c r="E225" t="n">
        <v>400</v>
      </c>
      <c r="F225" t="n">
        <v>9.25</v>
      </c>
      <c r="G225" t="b">
        <v>1</v>
      </c>
      <c r="H225">
        <f>Sensitivity!H5</f>
        <v/>
      </c>
    </row>
    <row r="226">
      <c r="A226" t="inlineStr">
        <is>
          <t>ALL</t>
        </is>
      </c>
      <c r="B226" t="inlineStr">
        <is>
          <t>unique</t>
        </is>
      </c>
      <c r="C226" t="n">
        <v>2</v>
      </c>
      <c r="D226" t="inlineStr">
        <is>
          <t>Critical Rate %</t>
        </is>
      </c>
      <c r="E226" t="n">
        <v>6</v>
      </c>
      <c r="F226" t="n">
        <v>1.9</v>
      </c>
      <c r="G226" t="b">
        <v>0</v>
      </c>
      <c r="H226">
        <f>IF(AND(Inputs!$B$9+Summary!$B$14+Artifacts!$B$32&gt;=100,NOT(ArtifactsInput!$M$42),NOT(ArtifactsInput!$M$24)),Sensitivity!H16,Sensitivity!H15)</f>
        <v/>
      </c>
    </row>
    <row r="227">
      <c r="A227" t="inlineStr">
        <is>
          <t>ALL</t>
        </is>
      </c>
      <c r="B227" t="inlineStr">
        <is>
          <t>unique</t>
        </is>
      </c>
      <c r="C227" t="n">
        <v>2</v>
      </c>
      <c r="D227" t="inlineStr">
        <is>
          <t>Critical Rate %</t>
        </is>
      </c>
      <c r="E227" t="n">
        <v>9</v>
      </c>
      <c r="F227" t="n">
        <v>0.6</v>
      </c>
      <c r="G227" t="b">
        <v>1</v>
      </c>
      <c r="H227">
        <f>IF(AND(Inputs!$B$9+Summary!$B$14+Artifacts!$B$32&gt;=100,NOT(ArtifactsInput!$M$42),NOT(ArtifactsInput!$M$24)),Sensitivity!H16,Sensitivity!H15)</f>
        <v/>
      </c>
    </row>
    <row r="228">
      <c r="A228" t="inlineStr">
        <is>
          <t>ALL</t>
        </is>
      </c>
      <c r="B228" t="inlineStr">
        <is>
          <t>unique</t>
        </is>
      </c>
      <c r="C228" t="n">
        <v>2</v>
      </c>
      <c r="D228" t="inlineStr">
        <is>
          <t>Attack Speed %</t>
        </is>
      </c>
      <c r="E228" t="n">
        <v>4</v>
      </c>
      <c r="F228" t="n">
        <v>1.9</v>
      </c>
      <c r="G228" t="b">
        <v>0</v>
      </c>
      <c r="H228">
        <f>Sensitivity!H17</f>
        <v/>
      </c>
    </row>
    <row r="229">
      <c r="A229" t="inlineStr">
        <is>
          <t>ALL</t>
        </is>
      </c>
      <c r="B229" t="inlineStr">
        <is>
          <t>unique</t>
        </is>
      </c>
      <c r="C229" t="n">
        <v>2</v>
      </c>
      <c r="D229" t="inlineStr">
        <is>
          <t>Attack Speed %</t>
        </is>
      </c>
      <c r="E229" t="n">
        <v>5</v>
      </c>
      <c r="F229" t="n">
        <v>0.6</v>
      </c>
      <c r="G229" t="b">
        <v>1</v>
      </c>
      <c r="H229">
        <f>Sensitivity!H17</f>
        <v/>
      </c>
    </row>
    <row r="230">
      <c r="A230" t="inlineStr">
        <is>
          <t>ALL</t>
        </is>
      </c>
      <c r="B230" t="inlineStr">
        <is>
          <t>unique</t>
        </is>
      </c>
      <c r="C230" t="n">
        <v>2</v>
      </c>
      <c r="D230" t="inlineStr">
        <is>
          <t>Damage %</t>
        </is>
      </c>
      <c r="E230" t="n">
        <v>12</v>
      </c>
      <c r="F230" t="n">
        <v>3.04</v>
      </c>
      <c r="G230" t="b">
        <v>0</v>
      </c>
      <c r="H230">
        <f>Sensitivity!H8</f>
        <v/>
      </c>
    </row>
    <row r="231">
      <c r="A231" t="inlineStr">
        <is>
          <t>ALL</t>
        </is>
      </c>
      <c r="B231" t="inlineStr">
        <is>
          <t>unique</t>
        </is>
      </c>
      <c r="C231" t="n">
        <v>2</v>
      </c>
      <c r="D231" t="inlineStr">
        <is>
          <t>Damage %</t>
        </is>
      </c>
      <c r="E231" t="n">
        <v>18</v>
      </c>
      <c r="F231" t="n">
        <v>0.96</v>
      </c>
      <c r="G231" t="b">
        <v>1</v>
      </c>
      <c r="H231">
        <f>Sensitivity!H8</f>
        <v/>
      </c>
    </row>
    <row r="232">
      <c r="A232" t="inlineStr">
        <is>
          <t>ALL</t>
        </is>
      </c>
      <c r="B232" t="inlineStr">
        <is>
          <t>unique</t>
        </is>
      </c>
      <c r="C232" t="n">
        <v>2</v>
      </c>
      <c r="D232" t="inlineStr">
        <is>
          <t>Min Damage Multiplier %</t>
        </is>
      </c>
      <c r="E232" t="n">
        <v>8</v>
      </c>
      <c r="F232" t="n">
        <v>3.04</v>
      </c>
      <c r="G232" t="b">
        <v>0</v>
      </c>
      <c r="H232">
        <f>Sensitivity!H13</f>
        <v/>
      </c>
    </row>
    <row r="233">
      <c r="A233" t="inlineStr">
        <is>
          <t>ALL</t>
        </is>
      </c>
      <c r="B233" t="inlineStr">
        <is>
          <t>unique</t>
        </is>
      </c>
      <c r="C233" t="n">
        <v>2</v>
      </c>
      <c r="D233" t="inlineStr">
        <is>
          <t>Min Damage Multiplier %</t>
        </is>
      </c>
      <c r="E233" t="n">
        <v>10</v>
      </c>
      <c r="F233" t="n">
        <v>0.96</v>
      </c>
      <c r="G233" t="b">
        <v>1</v>
      </c>
      <c r="H233">
        <f>Sensitivity!H13</f>
        <v/>
      </c>
    </row>
    <row r="234">
      <c r="A234" t="inlineStr">
        <is>
          <t>ALL</t>
        </is>
      </c>
      <c r="B234" t="inlineStr">
        <is>
          <t>unique</t>
        </is>
      </c>
      <c r="C234" t="n">
        <v>2</v>
      </c>
      <c r="D234" t="inlineStr">
        <is>
          <t>Max Damage Multiplier %</t>
        </is>
      </c>
      <c r="E234" t="n">
        <v>8</v>
      </c>
      <c r="F234" t="n">
        <v>3.04</v>
      </c>
      <c r="G234" t="b">
        <v>0</v>
      </c>
      <c r="H234">
        <f>Sensitivity!H14</f>
        <v/>
      </c>
    </row>
    <row r="235">
      <c r="A235" t="inlineStr">
        <is>
          <t>ALL</t>
        </is>
      </c>
      <c r="B235" t="inlineStr">
        <is>
          <t>unique</t>
        </is>
      </c>
      <c r="C235" t="n">
        <v>2</v>
      </c>
      <c r="D235" t="inlineStr">
        <is>
          <t>Max Damage Multiplier %</t>
        </is>
      </c>
      <c r="E235" t="n">
        <v>10</v>
      </c>
      <c r="F235" t="n">
        <v>0.96</v>
      </c>
      <c r="G235" t="b">
        <v>1</v>
      </c>
      <c r="H235">
        <f>Sensitivity!H14</f>
        <v/>
      </c>
    </row>
    <row r="236">
      <c r="A236" t="inlineStr">
        <is>
          <t>ALL</t>
        </is>
      </c>
      <c r="B236" t="inlineStr">
        <is>
          <t>unique</t>
        </is>
      </c>
      <c r="C236" t="n">
        <v>2</v>
      </c>
      <c r="D236" t="inlineStr">
        <is>
          <t>Str %</t>
        </is>
      </c>
      <c r="E236" t="n">
        <v>6</v>
      </c>
      <c r="F236" t="n">
        <v>3.42</v>
      </c>
      <c r="G236" t="b">
        <v>0</v>
      </c>
      <c r="H236" t="inlineStr">
        <is>
          <t>0</t>
        </is>
      </c>
    </row>
    <row r="237">
      <c r="A237" t="inlineStr">
        <is>
          <t>ALL</t>
        </is>
      </c>
      <c r="B237" t="inlineStr">
        <is>
          <t>unique</t>
        </is>
      </c>
      <c r="C237" t="n">
        <v>2</v>
      </c>
      <c r="D237" t="inlineStr">
        <is>
          <t>Str %</t>
        </is>
      </c>
      <c r="E237" t="n">
        <v>9</v>
      </c>
      <c r="F237" t="n">
        <v>1.08</v>
      </c>
      <c r="G237" t="b">
        <v>1</v>
      </c>
      <c r="H237" t="inlineStr">
        <is>
          <t>0</t>
        </is>
      </c>
    </row>
    <row r="238">
      <c r="A238" t="inlineStr">
        <is>
          <t>ALL</t>
        </is>
      </c>
      <c r="B238" t="inlineStr">
        <is>
          <t>unique</t>
        </is>
      </c>
      <c r="C238" t="n">
        <v>2</v>
      </c>
      <c r="D238" t="inlineStr">
        <is>
          <t>Dex %</t>
        </is>
      </c>
      <c r="E238" t="n">
        <v>6</v>
      </c>
      <c r="F238" t="n">
        <v>3.42</v>
      </c>
      <c r="G238" t="b">
        <v>0</v>
      </c>
      <c r="H238">
        <f>Sensitivity!H7*Inputs!$B$14/100</f>
        <v/>
      </c>
    </row>
    <row r="239">
      <c r="A239" t="inlineStr">
        <is>
          <t>ALL</t>
        </is>
      </c>
      <c r="B239" t="inlineStr">
        <is>
          <t>unique</t>
        </is>
      </c>
      <c r="C239" t="n">
        <v>2</v>
      </c>
      <c r="D239" t="inlineStr">
        <is>
          <t>Dex %</t>
        </is>
      </c>
      <c r="E239" t="n">
        <v>9</v>
      </c>
      <c r="F239" t="n">
        <v>1.08</v>
      </c>
      <c r="G239" t="b">
        <v>1</v>
      </c>
      <c r="H239">
        <f>Sensitivity!H7*Inputs!$B$14/100</f>
        <v/>
      </c>
    </row>
    <row r="240">
      <c r="A240" t="inlineStr">
        <is>
          <t>ALL</t>
        </is>
      </c>
      <c r="B240" t="inlineStr">
        <is>
          <t>unique</t>
        </is>
      </c>
      <c r="C240" t="n">
        <v>2</v>
      </c>
      <c r="D240" t="inlineStr">
        <is>
          <t>Int %</t>
        </is>
      </c>
      <c r="E240" t="n">
        <v>6</v>
      </c>
      <c r="F240" t="n">
        <v>3.42</v>
      </c>
      <c r="G240" t="b">
        <v>0</v>
      </c>
      <c r="H240" t="inlineStr">
        <is>
          <t>0</t>
        </is>
      </c>
    </row>
    <row r="241">
      <c r="A241" t="inlineStr">
        <is>
          <t>ALL</t>
        </is>
      </c>
      <c r="B241" t="inlineStr">
        <is>
          <t>unique</t>
        </is>
      </c>
      <c r="C241" t="n">
        <v>2</v>
      </c>
      <c r="D241" t="inlineStr">
        <is>
          <t>Int %</t>
        </is>
      </c>
      <c r="E241" t="n">
        <v>9</v>
      </c>
      <c r="F241" t="n">
        <v>1.08</v>
      </c>
      <c r="G241" t="b">
        <v>1</v>
      </c>
      <c r="H241" t="inlineStr">
        <is>
          <t>0</t>
        </is>
      </c>
    </row>
    <row r="242">
      <c r="A242" t="inlineStr">
        <is>
          <t>ALL</t>
        </is>
      </c>
      <c r="B242" t="inlineStr">
        <is>
          <t>unique</t>
        </is>
      </c>
      <c r="C242" t="n">
        <v>2</v>
      </c>
      <c r="D242" t="inlineStr">
        <is>
          <t>Luk %</t>
        </is>
      </c>
      <c r="E242" t="n">
        <v>6</v>
      </c>
      <c r="F242" t="n">
        <v>3.42</v>
      </c>
      <c r="G242" t="b">
        <v>0</v>
      </c>
      <c r="H242">
        <f>Sensitivity!H6</f>
        <v/>
      </c>
    </row>
    <row r="243">
      <c r="A243" t="inlineStr">
        <is>
          <t>ALL</t>
        </is>
      </c>
      <c r="B243" t="inlineStr">
        <is>
          <t>unique</t>
        </is>
      </c>
      <c r="C243" t="n">
        <v>2</v>
      </c>
      <c r="D243" t="inlineStr">
        <is>
          <t>Luk %</t>
        </is>
      </c>
      <c r="E243" t="n">
        <v>9</v>
      </c>
      <c r="F243" t="n">
        <v>1.08</v>
      </c>
      <c r="G243" t="b">
        <v>1</v>
      </c>
      <c r="H243">
        <f>Sensitivity!H6</f>
        <v/>
      </c>
    </row>
    <row r="244">
      <c r="A244" t="inlineStr">
        <is>
          <t>ALL</t>
        </is>
      </c>
      <c r="B244" t="inlineStr">
        <is>
          <t>unique</t>
        </is>
      </c>
      <c r="C244" t="n">
        <v>2</v>
      </c>
      <c r="D244" t="inlineStr">
        <is>
          <t>Defense %</t>
        </is>
      </c>
      <c r="E244" t="n">
        <v>6</v>
      </c>
      <c r="F244" t="n">
        <v>6.84</v>
      </c>
      <c r="G244" t="b">
        <v>0</v>
      </c>
      <c r="H244" t="inlineStr">
        <is>
          <t>0</t>
        </is>
      </c>
    </row>
    <row r="245">
      <c r="A245" t="inlineStr">
        <is>
          <t>ALL</t>
        </is>
      </c>
      <c r="B245" t="inlineStr">
        <is>
          <t>unique</t>
        </is>
      </c>
      <c r="C245" t="n">
        <v>2</v>
      </c>
      <c r="D245" t="inlineStr">
        <is>
          <t>Defense %</t>
        </is>
      </c>
      <c r="E245" t="n">
        <v>9</v>
      </c>
      <c r="F245" t="n">
        <v>2.16</v>
      </c>
      <c r="G245" t="b">
        <v>1</v>
      </c>
      <c r="H245" t="inlineStr">
        <is>
          <t>0</t>
        </is>
      </c>
    </row>
    <row r="246">
      <c r="A246" t="inlineStr">
        <is>
          <t>ALL</t>
        </is>
      </c>
      <c r="B246" t="inlineStr">
        <is>
          <t>unique</t>
        </is>
      </c>
      <c r="C246" t="n">
        <v>2</v>
      </c>
      <c r="D246" t="inlineStr">
        <is>
          <t>Max HP %</t>
        </is>
      </c>
      <c r="E246" t="n">
        <v>12</v>
      </c>
      <c r="F246" t="n">
        <v>6.84</v>
      </c>
      <c r="G246" t="b">
        <v>0</v>
      </c>
      <c r="H246" t="inlineStr">
        <is>
          <t>0</t>
        </is>
      </c>
    </row>
    <row r="247">
      <c r="A247" t="inlineStr">
        <is>
          <t>ALL</t>
        </is>
      </c>
      <c r="B247" t="inlineStr">
        <is>
          <t>unique</t>
        </is>
      </c>
      <c r="C247" t="n">
        <v>2</v>
      </c>
      <c r="D247" t="inlineStr">
        <is>
          <t>Max HP %</t>
        </is>
      </c>
      <c r="E247" t="n">
        <v>15</v>
      </c>
      <c r="F247" t="n">
        <v>2.16</v>
      </c>
      <c r="G247" t="b">
        <v>1</v>
      </c>
      <c r="H247" t="inlineStr">
        <is>
          <t>0</t>
        </is>
      </c>
    </row>
    <row r="248">
      <c r="A248" t="inlineStr">
        <is>
          <t>ALL</t>
        </is>
      </c>
      <c r="B248" t="inlineStr">
        <is>
          <t>unique</t>
        </is>
      </c>
      <c r="C248" t="n">
        <v>2</v>
      </c>
      <c r="D248" t="inlineStr">
        <is>
          <t>Max MP %</t>
        </is>
      </c>
      <c r="E248" t="n">
        <v>6</v>
      </c>
      <c r="F248" t="n">
        <v>6.84</v>
      </c>
      <c r="G248" t="b">
        <v>0</v>
      </c>
      <c r="H248" t="inlineStr">
        <is>
          <t>0</t>
        </is>
      </c>
    </row>
    <row r="249">
      <c r="A249" t="inlineStr">
        <is>
          <t>ALL</t>
        </is>
      </c>
      <c r="B249" t="inlineStr">
        <is>
          <t>unique</t>
        </is>
      </c>
      <c r="C249" t="n">
        <v>2</v>
      </c>
      <c r="D249" t="inlineStr">
        <is>
          <t>Max MP %</t>
        </is>
      </c>
      <c r="E249" t="n">
        <v>9</v>
      </c>
      <c r="F249" t="n">
        <v>2.16</v>
      </c>
      <c r="G249" t="b">
        <v>1</v>
      </c>
      <c r="H249" t="inlineStr">
        <is>
          <t>0</t>
        </is>
      </c>
    </row>
    <row r="250">
      <c r="A250" t="inlineStr">
        <is>
          <t>ALL</t>
        </is>
      </c>
      <c r="B250" t="inlineStr">
        <is>
          <t>unique</t>
        </is>
      </c>
      <c r="C250" t="n">
        <v>2</v>
      </c>
      <c r="D250" t="inlineStr">
        <is>
          <t>Str</t>
        </is>
      </c>
      <c r="E250" t="n">
        <v>200</v>
      </c>
      <c r="F250" t="n">
        <v>7.03</v>
      </c>
      <c r="G250" t="b">
        <v>0</v>
      </c>
      <c r="H250" t="inlineStr">
        <is>
          <t>0</t>
        </is>
      </c>
    </row>
    <row r="251">
      <c r="A251" t="inlineStr">
        <is>
          <t>ALL</t>
        </is>
      </c>
      <c r="B251" t="inlineStr">
        <is>
          <t>unique</t>
        </is>
      </c>
      <c r="C251" t="n">
        <v>2</v>
      </c>
      <c r="D251" t="inlineStr">
        <is>
          <t>Str</t>
        </is>
      </c>
      <c r="E251" t="n">
        <v>400</v>
      </c>
      <c r="F251" t="n">
        <v>2.22</v>
      </c>
      <c r="G251" t="b">
        <v>1</v>
      </c>
      <c r="H251" t="inlineStr">
        <is>
          <t>0</t>
        </is>
      </c>
    </row>
    <row r="252">
      <c r="A252" t="inlineStr">
        <is>
          <t>ALL</t>
        </is>
      </c>
      <c r="B252" t="inlineStr">
        <is>
          <t>unique</t>
        </is>
      </c>
      <c r="C252" t="n">
        <v>2</v>
      </c>
      <c r="D252" t="inlineStr">
        <is>
          <t>Dex</t>
        </is>
      </c>
      <c r="E252" t="n">
        <v>200</v>
      </c>
      <c r="F252" t="n">
        <v>7.03</v>
      </c>
      <c r="G252" t="b">
        <v>0</v>
      </c>
      <c r="H252">
        <f>Sensitivity!H7</f>
        <v/>
      </c>
    </row>
    <row r="253">
      <c r="A253" t="inlineStr">
        <is>
          <t>ALL</t>
        </is>
      </c>
      <c r="B253" t="inlineStr">
        <is>
          <t>unique</t>
        </is>
      </c>
      <c r="C253" t="n">
        <v>2</v>
      </c>
      <c r="D253" t="inlineStr">
        <is>
          <t>Dex</t>
        </is>
      </c>
      <c r="E253" t="n">
        <v>400</v>
      </c>
      <c r="F253" t="n">
        <v>2.22</v>
      </c>
      <c r="G253" t="b">
        <v>1</v>
      </c>
      <c r="H253">
        <f>Sensitivity!H7</f>
        <v/>
      </c>
    </row>
    <row r="254">
      <c r="A254" t="inlineStr">
        <is>
          <t>ALL</t>
        </is>
      </c>
      <c r="B254" t="inlineStr">
        <is>
          <t>unique</t>
        </is>
      </c>
      <c r="C254" t="n">
        <v>2</v>
      </c>
      <c r="D254" t="inlineStr">
        <is>
          <t>Int</t>
        </is>
      </c>
      <c r="E254" t="n">
        <v>200</v>
      </c>
      <c r="F254" t="n">
        <v>7.03</v>
      </c>
      <c r="G254" t="b">
        <v>0</v>
      </c>
      <c r="H254" t="inlineStr">
        <is>
          <t>0</t>
        </is>
      </c>
    </row>
    <row r="255">
      <c r="A255" t="inlineStr">
        <is>
          <t>ALL</t>
        </is>
      </c>
      <c r="B255" t="inlineStr">
        <is>
          <t>unique</t>
        </is>
      </c>
      <c r="C255" t="n">
        <v>2</v>
      </c>
      <c r="D255" t="inlineStr">
        <is>
          <t>Int</t>
        </is>
      </c>
      <c r="E255" t="n">
        <v>400</v>
      </c>
      <c r="F255" t="n">
        <v>2.22</v>
      </c>
      <c r="G255" t="b">
        <v>1</v>
      </c>
      <c r="H255" t="inlineStr">
        <is>
          <t>0</t>
        </is>
      </c>
    </row>
    <row r="256">
      <c r="A256" t="inlineStr">
        <is>
          <t>ALL</t>
        </is>
      </c>
      <c r="B256" t="inlineStr">
        <is>
          <t>unique</t>
        </is>
      </c>
      <c r="C256" t="n">
        <v>2</v>
      </c>
      <c r="D256" t="inlineStr">
        <is>
          <t>Luk</t>
        </is>
      </c>
      <c r="E256" t="n">
        <v>200</v>
      </c>
      <c r="F256" t="n">
        <v>7.03</v>
      </c>
      <c r="G256" t="b">
        <v>0</v>
      </c>
      <c r="H256">
        <f>Sensitivity!H5</f>
        <v/>
      </c>
    </row>
    <row r="257">
      <c r="A257" t="inlineStr">
        <is>
          <t>ALL</t>
        </is>
      </c>
      <c r="B257" t="inlineStr">
        <is>
          <t>unique</t>
        </is>
      </c>
      <c r="C257" t="n">
        <v>2</v>
      </c>
      <c r="D257" t="inlineStr">
        <is>
          <t>Luk</t>
        </is>
      </c>
      <c r="E257" t="n">
        <v>400</v>
      </c>
      <c r="F257" t="n">
        <v>2.22</v>
      </c>
      <c r="G257" t="b">
        <v>1</v>
      </c>
      <c r="H257">
        <f>Sensitivity!H5</f>
        <v/>
      </c>
    </row>
    <row r="258">
      <c r="A258" t="inlineStr">
        <is>
          <t>ALL</t>
        </is>
      </c>
      <c r="B258" t="inlineStr">
        <is>
          <t>unique</t>
        </is>
      </c>
      <c r="C258" t="n">
        <v>3</v>
      </c>
      <c r="D258" t="inlineStr">
        <is>
          <t>Critical Rate %</t>
        </is>
      </c>
      <c r="E258" t="n">
        <v>6</v>
      </c>
      <c r="F258" t="n">
        <v>2.3</v>
      </c>
      <c r="G258" t="b">
        <v>0</v>
      </c>
      <c r="H258">
        <f>IF(AND(Inputs!$B$9+Summary!$B$14+Artifacts!$B$32&gt;=100,NOT(ArtifactsInput!$M$42),NOT(ArtifactsInput!$M$24)),Sensitivity!H16,Sensitivity!H15)</f>
        <v/>
      </c>
    </row>
    <row r="259">
      <c r="A259" t="inlineStr">
        <is>
          <t>ALL</t>
        </is>
      </c>
      <c r="B259" t="inlineStr">
        <is>
          <t>unique</t>
        </is>
      </c>
      <c r="C259" t="n">
        <v>3</v>
      </c>
      <c r="D259" t="inlineStr">
        <is>
          <t>Critical Rate %</t>
        </is>
      </c>
      <c r="E259" t="n">
        <v>9</v>
      </c>
      <c r="F259" t="n">
        <v>0.2</v>
      </c>
      <c r="G259" t="b">
        <v>1</v>
      </c>
      <c r="H259">
        <f>IF(AND(Inputs!$B$9+Summary!$B$14+Artifacts!$B$32&gt;=100,NOT(ArtifactsInput!$M$42),NOT(ArtifactsInput!$M$24)),Sensitivity!H16,Sensitivity!H15)</f>
        <v/>
      </c>
    </row>
    <row r="260">
      <c r="A260" t="inlineStr">
        <is>
          <t>ALL</t>
        </is>
      </c>
      <c r="B260" t="inlineStr">
        <is>
          <t>unique</t>
        </is>
      </c>
      <c r="C260" t="n">
        <v>3</v>
      </c>
      <c r="D260" t="inlineStr">
        <is>
          <t>Attack Speed %</t>
        </is>
      </c>
      <c r="E260" t="n">
        <v>4</v>
      </c>
      <c r="F260" t="n">
        <v>2.3</v>
      </c>
      <c r="G260" t="b">
        <v>0</v>
      </c>
      <c r="H260">
        <f>Sensitivity!H17</f>
        <v/>
      </c>
    </row>
    <row r="261">
      <c r="A261" t="inlineStr">
        <is>
          <t>ALL</t>
        </is>
      </c>
      <c r="B261" t="inlineStr">
        <is>
          <t>unique</t>
        </is>
      </c>
      <c r="C261" t="n">
        <v>3</v>
      </c>
      <c r="D261" t="inlineStr">
        <is>
          <t>Attack Speed %</t>
        </is>
      </c>
      <c r="E261" t="n">
        <v>5</v>
      </c>
      <c r="F261" t="n">
        <v>0.2</v>
      </c>
      <c r="G261" t="b">
        <v>1</v>
      </c>
      <c r="H261">
        <f>Sensitivity!H17</f>
        <v/>
      </c>
    </row>
    <row r="262">
      <c r="A262" t="inlineStr">
        <is>
          <t>ALL</t>
        </is>
      </c>
      <c r="B262" t="inlineStr">
        <is>
          <t>unique</t>
        </is>
      </c>
      <c r="C262" t="n">
        <v>3</v>
      </c>
      <c r="D262" t="inlineStr">
        <is>
          <t>Damage %</t>
        </is>
      </c>
      <c r="E262" t="n">
        <v>12</v>
      </c>
      <c r="F262" t="n">
        <v>3.68</v>
      </c>
      <c r="G262" t="b">
        <v>0</v>
      </c>
      <c r="H262">
        <f>Sensitivity!H8</f>
        <v/>
      </c>
    </row>
    <row r="263">
      <c r="A263" t="inlineStr">
        <is>
          <t>ALL</t>
        </is>
      </c>
      <c r="B263" t="inlineStr">
        <is>
          <t>unique</t>
        </is>
      </c>
      <c r="C263" t="n">
        <v>3</v>
      </c>
      <c r="D263" t="inlineStr">
        <is>
          <t>Damage %</t>
        </is>
      </c>
      <c r="E263" t="n">
        <v>18</v>
      </c>
      <c r="F263" t="n">
        <v>0.32</v>
      </c>
      <c r="G263" t="b">
        <v>1</v>
      </c>
      <c r="H263">
        <f>Sensitivity!H8</f>
        <v/>
      </c>
    </row>
    <row r="264">
      <c r="A264" t="inlineStr">
        <is>
          <t>ALL</t>
        </is>
      </c>
      <c r="B264" t="inlineStr">
        <is>
          <t>unique</t>
        </is>
      </c>
      <c r="C264" t="n">
        <v>3</v>
      </c>
      <c r="D264" t="inlineStr">
        <is>
          <t>Min Damage Multiplier %</t>
        </is>
      </c>
      <c r="E264" t="n">
        <v>8</v>
      </c>
      <c r="F264" t="n">
        <v>3.68</v>
      </c>
      <c r="G264" t="b">
        <v>0</v>
      </c>
      <c r="H264">
        <f>Sensitivity!H13</f>
        <v/>
      </c>
    </row>
    <row r="265">
      <c r="A265" t="inlineStr">
        <is>
          <t>ALL</t>
        </is>
      </c>
      <c r="B265" t="inlineStr">
        <is>
          <t>unique</t>
        </is>
      </c>
      <c r="C265" t="n">
        <v>3</v>
      </c>
      <c r="D265" t="inlineStr">
        <is>
          <t>Min Damage Multiplier %</t>
        </is>
      </c>
      <c r="E265" t="n">
        <v>10</v>
      </c>
      <c r="F265" t="n">
        <v>0.32</v>
      </c>
      <c r="G265" t="b">
        <v>1</v>
      </c>
      <c r="H265">
        <f>Sensitivity!H13</f>
        <v/>
      </c>
    </row>
    <row r="266">
      <c r="A266" t="inlineStr">
        <is>
          <t>ALL</t>
        </is>
      </c>
      <c r="B266" t="inlineStr">
        <is>
          <t>unique</t>
        </is>
      </c>
      <c r="C266" t="n">
        <v>3</v>
      </c>
      <c r="D266" t="inlineStr">
        <is>
          <t>Max Damage Multiplier %</t>
        </is>
      </c>
      <c r="E266" t="n">
        <v>8</v>
      </c>
      <c r="F266" t="n">
        <v>3.68</v>
      </c>
      <c r="G266" t="b">
        <v>0</v>
      </c>
      <c r="H266">
        <f>Sensitivity!H14</f>
        <v/>
      </c>
    </row>
    <row r="267">
      <c r="A267" t="inlineStr">
        <is>
          <t>ALL</t>
        </is>
      </c>
      <c r="B267" t="inlineStr">
        <is>
          <t>unique</t>
        </is>
      </c>
      <c r="C267" t="n">
        <v>3</v>
      </c>
      <c r="D267" t="inlineStr">
        <is>
          <t>Max Damage Multiplier %</t>
        </is>
      </c>
      <c r="E267" t="n">
        <v>10</v>
      </c>
      <c r="F267" t="n">
        <v>0.32</v>
      </c>
      <c r="G267" t="b">
        <v>1</v>
      </c>
      <c r="H267">
        <f>Sensitivity!H14</f>
        <v/>
      </c>
    </row>
    <row r="268">
      <c r="A268" t="inlineStr">
        <is>
          <t>ALL</t>
        </is>
      </c>
      <c r="B268" t="inlineStr">
        <is>
          <t>unique</t>
        </is>
      </c>
      <c r="C268" t="n">
        <v>3</v>
      </c>
      <c r="D268" t="inlineStr">
        <is>
          <t>Str %</t>
        </is>
      </c>
      <c r="E268" t="n">
        <v>6</v>
      </c>
      <c r="F268" t="n">
        <v>4.14</v>
      </c>
      <c r="G268" t="b">
        <v>0</v>
      </c>
      <c r="H268" t="inlineStr">
        <is>
          <t>0</t>
        </is>
      </c>
    </row>
    <row r="269">
      <c r="A269" t="inlineStr">
        <is>
          <t>ALL</t>
        </is>
      </c>
      <c r="B269" t="inlineStr">
        <is>
          <t>unique</t>
        </is>
      </c>
      <c r="C269" t="n">
        <v>3</v>
      </c>
      <c r="D269" t="inlineStr">
        <is>
          <t>Str %</t>
        </is>
      </c>
      <c r="E269" t="n">
        <v>9</v>
      </c>
      <c r="F269" t="n">
        <v>0.36</v>
      </c>
      <c r="G269" t="b">
        <v>1</v>
      </c>
      <c r="H269" t="inlineStr">
        <is>
          <t>0</t>
        </is>
      </c>
    </row>
    <row r="270">
      <c r="A270" t="inlineStr">
        <is>
          <t>ALL</t>
        </is>
      </c>
      <c r="B270" t="inlineStr">
        <is>
          <t>unique</t>
        </is>
      </c>
      <c r="C270" t="n">
        <v>3</v>
      </c>
      <c r="D270" t="inlineStr">
        <is>
          <t>Dex %</t>
        </is>
      </c>
      <c r="E270" t="n">
        <v>6</v>
      </c>
      <c r="F270" t="n">
        <v>4.14</v>
      </c>
      <c r="G270" t="b">
        <v>0</v>
      </c>
      <c r="H270">
        <f>Sensitivity!H7*Inputs!$B$14/100</f>
        <v/>
      </c>
    </row>
    <row r="271">
      <c r="A271" t="inlineStr">
        <is>
          <t>ALL</t>
        </is>
      </c>
      <c r="B271" t="inlineStr">
        <is>
          <t>unique</t>
        </is>
      </c>
      <c r="C271" t="n">
        <v>3</v>
      </c>
      <c r="D271" t="inlineStr">
        <is>
          <t>Dex %</t>
        </is>
      </c>
      <c r="E271" t="n">
        <v>9</v>
      </c>
      <c r="F271" t="n">
        <v>0.36</v>
      </c>
      <c r="G271" t="b">
        <v>1</v>
      </c>
      <c r="H271">
        <f>Sensitivity!H7*Inputs!$B$14/100</f>
        <v/>
      </c>
    </row>
    <row r="272">
      <c r="A272" t="inlineStr">
        <is>
          <t>ALL</t>
        </is>
      </c>
      <c r="B272" t="inlineStr">
        <is>
          <t>unique</t>
        </is>
      </c>
      <c r="C272" t="n">
        <v>3</v>
      </c>
      <c r="D272" t="inlineStr">
        <is>
          <t>Int %</t>
        </is>
      </c>
      <c r="E272" t="n">
        <v>6</v>
      </c>
      <c r="F272" t="n">
        <v>4.14</v>
      </c>
      <c r="G272" t="b">
        <v>0</v>
      </c>
      <c r="H272" t="inlineStr">
        <is>
          <t>0</t>
        </is>
      </c>
    </row>
    <row r="273">
      <c r="A273" t="inlineStr">
        <is>
          <t>ALL</t>
        </is>
      </c>
      <c r="B273" t="inlineStr">
        <is>
          <t>unique</t>
        </is>
      </c>
      <c r="C273" t="n">
        <v>3</v>
      </c>
      <c r="D273" t="inlineStr">
        <is>
          <t>Int %</t>
        </is>
      </c>
      <c r="E273" t="n">
        <v>9</v>
      </c>
      <c r="F273" t="n">
        <v>0.36</v>
      </c>
      <c r="G273" t="b">
        <v>1</v>
      </c>
      <c r="H273" t="inlineStr">
        <is>
          <t>0</t>
        </is>
      </c>
    </row>
    <row r="274">
      <c r="A274" t="inlineStr">
        <is>
          <t>ALL</t>
        </is>
      </c>
      <c r="B274" t="inlineStr">
        <is>
          <t>unique</t>
        </is>
      </c>
      <c r="C274" t="n">
        <v>3</v>
      </c>
      <c r="D274" t="inlineStr">
        <is>
          <t>Luk %</t>
        </is>
      </c>
      <c r="E274" t="n">
        <v>6</v>
      </c>
      <c r="F274" t="n">
        <v>4.14</v>
      </c>
      <c r="G274" t="b">
        <v>0</v>
      </c>
      <c r="H274">
        <f>Sensitivity!H6</f>
        <v/>
      </c>
    </row>
    <row r="275">
      <c r="A275" t="inlineStr">
        <is>
          <t>ALL</t>
        </is>
      </c>
      <c r="B275" t="inlineStr">
        <is>
          <t>unique</t>
        </is>
      </c>
      <c r="C275" t="n">
        <v>3</v>
      </c>
      <c r="D275" t="inlineStr">
        <is>
          <t>Luk %</t>
        </is>
      </c>
      <c r="E275" t="n">
        <v>9</v>
      </c>
      <c r="F275" t="n">
        <v>0.36</v>
      </c>
      <c r="G275" t="b">
        <v>1</v>
      </c>
      <c r="H275">
        <f>Sensitivity!H6</f>
        <v/>
      </c>
    </row>
    <row r="276">
      <c r="A276" t="inlineStr">
        <is>
          <t>ALL</t>
        </is>
      </c>
      <c r="B276" t="inlineStr">
        <is>
          <t>unique</t>
        </is>
      </c>
      <c r="C276" t="n">
        <v>3</v>
      </c>
      <c r="D276" t="inlineStr">
        <is>
          <t>Defense %</t>
        </is>
      </c>
      <c r="E276" t="n">
        <v>6</v>
      </c>
      <c r="F276" t="n">
        <v>8.279999999999999</v>
      </c>
      <c r="G276" t="b">
        <v>0</v>
      </c>
      <c r="H276" t="inlineStr">
        <is>
          <t>0</t>
        </is>
      </c>
    </row>
    <row r="277">
      <c r="A277" t="inlineStr">
        <is>
          <t>ALL</t>
        </is>
      </c>
      <c r="B277" t="inlineStr">
        <is>
          <t>unique</t>
        </is>
      </c>
      <c r="C277" t="n">
        <v>3</v>
      </c>
      <c r="D277" t="inlineStr">
        <is>
          <t>Defense %</t>
        </is>
      </c>
      <c r="E277" t="n">
        <v>9</v>
      </c>
      <c r="F277" t="n">
        <v>0.72</v>
      </c>
      <c r="G277" t="b">
        <v>1</v>
      </c>
      <c r="H277" t="inlineStr">
        <is>
          <t>0</t>
        </is>
      </c>
    </row>
    <row r="278">
      <c r="A278" t="inlineStr">
        <is>
          <t>ALL</t>
        </is>
      </c>
      <c r="B278" t="inlineStr">
        <is>
          <t>unique</t>
        </is>
      </c>
      <c r="C278" t="n">
        <v>3</v>
      </c>
      <c r="D278" t="inlineStr">
        <is>
          <t>Max HP %</t>
        </is>
      </c>
      <c r="E278" t="n">
        <v>12</v>
      </c>
      <c r="F278" t="n">
        <v>8.279999999999999</v>
      </c>
      <c r="G278" t="b">
        <v>0</v>
      </c>
      <c r="H278" t="inlineStr">
        <is>
          <t>0</t>
        </is>
      </c>
    </row>
    <row r="279">
      <c r="A279" t="inlineStr">
        <is>
          <t>ALL</t>
        </is>
      </c>
      <c r="B279" t="inlineStr">
        <is>
          <t>unique</t>
        </is>
      </c>
      <c r="C279" t="n">
        <v>3</v>
      </c>
      <c r="D279" t="inlineStr">
        <is>
          <t>Max HP %</t>
        </is>
      </c>
      <c r="E279" t="n">
        <v>15</v>
      </c>
      <c r="F279" t="n">
        <v>0.72</v>
      </c>
      <c r="G279" t="b">
        <v>1</v>
      </c>
      <c r="H279" t="inlineStr">
        <is>
          <t>0</t>
        </is>
      </c>
    </row>
    <row r="280">
      <c r="A280" t="inlineStr">
        <is>
          <t>ALL</t>
        </is>
      </c>
      <c r="B280" t="inlineStr">
        <is>
          <t>unique</t>
        </is>
      </c>
      <c r="C280" t="n">
        <v>3</v>
      </c>
      <c r="D280" t="inlineStr">
        <is>
          <t>Max MP %</t>
        </is>
      </c>
      <c r="E280" t="n">
        <v>6</v>
      </c>
      <c r="F280" t="n">
        <v>8.279999999999999</v>
      </c>
      <c r="G280" t="b">
        <v>0</v>
      </c>
      <c r="H280" t="inlineStr">
        <is>
          <t>0</t>
        </is>
      </c>
    </row>
    <row r="281">
      <c r="A281" t="inlineStr">
        <is>
          <t>ALL</t>
        </is>
      </c>
      <c r="B281" t="inlineStr">
        <is>
          <t>unique</t>
        </is>
      </c>
      <c r="C281" t="n">
        <v>3</v>
      </c>
      <c r="D281" t="inlineStr">
        <is>
          <t>Max MP %</t>
        </is>
      </c>
      <c r="E281" t="n">
        <v>9</v>
      </c>
      <c r="F281" t="n">
        <v>0.72</v>
      </c>
      <c r="G281" t="b">
        <v>1</v>
      </c>
      <c r="H281" t="inlineStr">
        <is>
          <t>0</t>
        </is>
      </c>
    </row>
    <row r="282">
      <c r="A282" t="inlineStr">
        <is>
          <t>ALL</t>
        </is>
      </c>
      <c r="B282" t="inlineStr">
        <is>
          <t>unique</t>
        </is>
      </c>
      <c r="C282" t="n">
        <v>3</v>
      </c>
      <c r="D282" t="inlineStr">
        <is>
          <t>Str</t>
        </is>
      </c>
      <c r="E282" t="n">
        <v>200</v>
      </c>
      <c r="F282" t="n">
        <v>8.51</v>
      </c>
      <c r="G282" t="b">
        <v>0</v>
      </c>
      <c r="H282" t="inlineStr">
        <is>
          <t>0</t>
        </is>
      </c>
    </row>
    <row r="283">
      <c r="A283" t="inlineStr">
        <is>
          <t>ALL</t>
        </is>
      </c>
      <c r="B283" t="inlineStr">
        <is>
          <t>unique</t>
        </is>
      </c>
      <c r="C283" t="n">
        <v>3</v>
      </c>
      <c r="D283" t="inlineStr">
        <is>
          <t>Str</t>
        </is>
      </c>
      <c r="E283" t="n">
        <v>400</v>
      </c>
      <c r="F283" t="n">
        <v>0.74</v>
      </c>
      <c r="G283" t="b">
        <v>1</v>
      </c>
      <c r="H283" t="inlineStr">
        <is>
          <t>0</t>
        </is>
      </c>
    </row>
    <row r="284">
      <c r="A284" t="inlineStr">
        <is>
          <t>ALL</t>
        </is>
      </c>
      <c r="B284" t="inlineStr">
        <is>
          <t>unique</t>
        </is>
      </c>
      <c r="C284" t="n">
        <v>3</v>
      </c>
      <c r="D284" t="inlineStr">
        <is>
          <t>Dex</t>
        </is>
      </c>
      <c r="E284" t="n">
        <v>200</v>
      </c>
      <c r="F284" t="n">
        <v>8.51</v>
      </c>
      <c r="G284" t="b">
        <v>0</v>
      </c>
      <c r="H284">
        <f>Sensitivity!H7</f>
        <v/>
      </c>
    </row>
    <row r="285">
      <c r="A285" t="inlineStr">
        <is>
          <t>ALL</t>
        </is>
      </c>
      <c r="B285" t="inlineStr">
        <is>
          <t>unique</t>
        </is>
      </c>
      <c r="C285" t="n">
        <v>3</v>
      </c>
      <c r="D285" t="inlineStr">
        <is>
          <t>Dex</t>
        </is>
      </c>
      <c r="E285" t="n">
        <v>400</v>
      </c>
      <c r="F285" t="n">
        <v>0.74</v>
      </c>
      <c r="G285" t="b">
        <v>1</v>
      </c>
      <c r="H285">
        <f>Sensitivity!H7</f>
        <v/>
      </c>
    </row>
    <row r="286">
      <c r="A286" t="inlineStr">
        <is>
          <t>ALL</t>
        </is>
      </c>
      <c r="B286" t="inlineStr">
        <is>
          <t>unique</t>
        </is>
      </c>
      <c r="C286" t="n">
        <v>3</v>
      </c>
      <c r="D286" t="inlineStr">
        <is>
          <t>Int</t>
        </is>
      </c>
      <c r="E286" t="n">
        <v>200</v>
      </c>
      <c r="F286" t="n">
        <v>8.51</v>
      </c>
      <c r="G286" t="b">
        <v>0</v>
      </c>
      <c r="H286" t="inlineStr">
        <is>
          <t>0</t>
        </is>
      </c>
    </row>
    <row r="287">
      <c r="A287" t="inlineStr">
        <is>
          <t>ALL</t>
        </is>
      </c>
      <c r="B287" t="inlineStr">
        <is>
          <t>unique</t>
        </is>
      </c>
      <c r="C287" t="n">
        <v>3</v>
      </c>
      <c r="D287" t="inlineStr">
        <is>
          <t>Int</t>
        </is>
      </c>
      <c r="E287" t="n">
        <v>400</v>
      </c>
      <c r="F287" t="n">
        <v>0.74</v>
      </c>
      <c r="G287" t="b">
        <v>1</v>
      </c>
      <c r="H287" t="inlineStr">
        <is>
          <t>0</t>
        </is>
      </c>
    </row>
    <row r="288">
      <c r="A288" t="inlineStr">
        <is>
          <t>ALL</t>
        </is>
      </c>
      <c r="B288" t="inlineStr">
        <is>
          <t>unique</t>
        </is>
      </c>
      <c r="C288" t="n">
        <v>3</v>
      </c>
      <c r="D288" t="inlineStr">
        <is>
          <t>Luk</t>
        </is>
      </c>
      <c r="E288" t="n">
        <v>200</v>
      </c>
      <c r="F288" t="n">
        <v>8.51</v>
      </c>
      <c r="G288" t="b">
        <v>0</v>
      </c>
      <c r="H288">
        <f>Sensitivity!H5</f>
        <v/>
      </c>
    </row>
    <row r="289">
      <c r="A289" t="inlineStr">
        <is>
          <t>ALL</t>
        </is>
      </c>
      <c r="B289" t="inlineStr">
        <is>
          <t>unique</t>
        </is>
      </c>
      <c r="C289" t="n">
        <v>3</v>
      </c>
      <c r="D289" t="inlineStr">
        <is>
          <t>Luk</t>
        </is>
      </c>
      <c r="E289" t="n">
        <v>400</v>
      </c>
      <c r="F289" t="n">
        <v>0.74</v>
      </c>
      <c r="G289" t="b">
        <v>1</v>
      </c>
      <c r="H289">
        <f>Sensitivity!H5</f>
        <v/>
      </c>
    </row>
    <row r="290">
      <c r="A290" t="inlineStr">
        <is>
          <t>ALL</t>
        </is>
      </c>
      <c r="B290" t="inlineStr">
        <is>
          <t>legendary</t>
        </is>
      </c>
      <c r="C290" t="n">
        <v>1</v>
      </c>
      <c r="D290" t="inlineStr">
        <is>
          <t>Critical Rate %</t>
        </is>
      </c>
      <c r="E290" t="n">
        <v>12</v>
      </c>
      <c r="F290" t="n">
        <v>2.5</v>
      </c>
      <c r="G290" t="b">
        <v>0</v>
      </c>
      <c r="H290">
        <f>IF(AND(Inputs!$B$9+Summary!$B$14+Artifacts!$B$32&gt;=100,NOT(ArtifactsInput!$M$42),NOT(ArtifactsInput!$M$24)),Sensitivity!H16,Sensitivity!H15)</f>
        <v/>
      </c>
    </row>
    <row r="291">
      <c r="A291" t="inlineStr">
        <is>
          <t>ALL</t>
        </is>
      </c>
      <c r="B291" t="inlineStr">
        <is>
          <t>legendary</t>
        </is>
      </c>
      <c r="C291" t="n">
        <v>1</v>
      </c>
      <c r="D291" t="inlineStr">
        <is>
          <t>Attack Speed %</t>
        </is>
      </c>
      <c r="E291" t="n">
        <v>7</v>
      </c>
      <c r="F291" t="n">
        <v>2.5</v>
      </c>
      <c r="G291" t="b">
        <v>0</v>
      </c>
      <c r="H291">
        <f>Sensitivity!H17</f>
        <v/>
      </c>
    </row>
    <row r="292">
      <c r="A292" t="inlineStr">
        <is>
          <t>ALL</t>
        </is>
      </c>
      <c r="B292" t="inlineStr">
        <is>
          <t>legendary</t>
        </is>
      </c>
      <c r="C292" t="n">
        <v>1</v>
      </c>
      <c r="D292" t="inlineStr">
        <is>
          <t>Damage %</t>
        </is>
      </c>
      <c r="E292" t="n">
        <v>25</v>
      </c>
      <c r="F292" t="n">
        <v>4</v>
      </c>
      <c r="G292" t="b">
        <v>0</v>
      </c>
      <c r="H292">
        <f>Sensitivity!H8</f>
        <v/>
      </c>
    </row>
    <row r="293">
      <c r="A293" t="inlineStr">
        <is>
          <t>ALL</t>
        </is>
      </c>
      <c r="B293" t="inlineStr">
        <is>
          <t>legendary</t>
        </is>
      </c>
      <c r="C293" t="n">
        <v>1</v>
      </c>
      <c r="D293" t="inlineStr">
        <is>
          <t>Min Damage Multiplier %</t>
        </is>
      </c>
      <c r="E293" t="n">
        <v>15</v>
      </c>
      <c r="F293" t="n">
        <v>4</v>
      </c>
      <c r="G293" t="b">
        <v>0</v>
      </c>
      <c r="H293">
        <f>Sensitivity!H13</f>
        <v/>
      </c>
    </row>
    <row r="294">
      <c r="A294" t="inlineStr">
        <is>
          <t>ALL</t>
        </is>
      </c>
      <c r="B294" t="inlineStr">
        <is>
          <t>legendary</t>
        </is>
      </c>
      <c r="C294" t="n">
        <v>1</v>
      </c>
      <c r="D294" t="inlineStr">
        <is>
          <t>Max Damage Multiplier %</t>
        </is>
      </c>
      <c r="E294" t="n">
        <v>15</v>
      </c>
      <c r="F294" t="n">
        <v>4</v>
      </c>
      <c r="G294" t="b">
        <v>0</v>
      </c>
      <c r="H294">
        <f>Sensitivity!H14</f>
        <v/>
      </c>
    </row>
    <row r="295">
      <c r="A295" t="inlineStr">
        <is>
          <t>ALL</t>
        </is>
      </c>
      <c r="B295" t="inlineStr">
        <is>
          <t>legendary</t>
        </is>
      </c>
      <c r="C295" t="n">
        <v>1</v>
      </c>
      <c r="D295" t="inlineStr">
        <is>
          <t>Str %</t>
        </is>
      </c>
      <c r="E295" t="n">
        <v>12</v>
      </c>
      <c r="F295" t="n">
        <v>4.5</v>
      </c>
      <c r="G295" t="b">
        <v>0</v>
      </c>
      <c r="H295" t="inlineStr">
        <is>
          <t>0</t>
        </is>
      </c>
    </row>
    <row r="296">
      <c r="A296" t="inlineStr">
        <is>
          <t>ALL</t>
        </is>
      </c>
      <c r="B296" t="inlineStr">
        <is>
          <t>legendary</t>
        </is>
      </c>
      <c r="C296" t="n">
        <v>1</v>
      </c>
      <c r="D296" t="inlineStr">
        <is>
          <t>Dex %</t>
        </is>
      </c>
      <c r="E296" t="n">
        <v>12</v>
      </c>
      <c r="F296" t="n">
        <v>4.5</v>
      </c>
      <c r="G296" t="b">
        <v>0</v>
      </c>
      <c r="H296">
        <f>Sensitivity!H7*Inputs!$B$14/100</f>
        <v/>
      </c>
    </row>
    <row r="297">
      <c r="A297" t="inlineStr">
        <is>
          <t>ALL</t>
        </is>
      </c>
      <c r="B297" t="inlineStr">
        <is>
          <t>legendary</t>
        </is>
      </c>
      <c r="C297" t="n">
        <v>1</v>
      </c>
      <c r="D297" t="inlineStr">
        <is>
          <t>Int %</t>
        </is>
      </c>
      <c r="E297" t="n">
        <v>12</v>
      </c>
      <c r="F297" t="n">
        <v>4.5</v>
      </c>
      <c r="G297" t="b">
        <v>0</v>
      </c>
      <c r="H297" t="inlineStr">
        <is>
          <t>0</t>
        </is>
      </c>
    </row>
    <row r="298">
      <c r="A298" t="inlineStr">
        <is>
          <t>ALL</t>
        </is>
      </c>
      <c r="B298" t="inlineStr">
        <is>
          <t>legendary</t>
        </is>
      </c>
      <c r="C298" t="n">
        <v>1</v>
      </c>
      <c r="D298" t="inlineStr">
        <is>
          <t>Luk %</t>
        </is>
      </c>
      <c r="E298" t="n">
        <v>12</v>
      </c>
      <c r="F298" t="n">
        <v>4.5</v>
      </c>
      <c r="G298" t="b">
        <v>0</v>
      </c>
      <c r="H298">
        <f>Sensitivity!H6</f>
        <v/>
      </c>
    </row>
    <row r="299">
      <c r="A299" t="inlineStr">
        <is>
          <t>ALL</t>
        </is>
      </c>
      <c r="B299" t="inlineStr">
        <is>
          <t>legendary</t>
        </is>
      </c>
      <c r="C299" t="n">
        <v>1</v>
      </c>
      <c r="D299" t="inlineStr">
        <is>
          <t>Defense %</t>
        </is>
      </c>
      <c r="E299" t="n">
        <v>12</v>
      </c>
      <c r="F299" t="n">
        <v>9</v>
      </c>
      <c r="G299" t="b">
        <v>0</v>
      </c>
      <c r="H299" t="inlineStr">
        <is>
          <t>0</t>
        </is>
      </c>
    </row>
    <row r="300">
      <c r="A300" t="inlineStr">
        <is>
          <t>ALL</t>
        </is>
      </c>
      <c r="B300" t="inlineStr">
        <is>
          <t>legendary</t>
        </is>
      </c>
      <c r="C300" t="n">
        <v>1</v>
      </c>
      <c r="D300" t="inlineStr">
        <is>
          <t>Max HP %</t>
        </is>
      </c>
      <c r="E300" t="n">
        <v>20</v>
      </c>
      <c r="F300" t="n">
        <v>9</v>
      </c>
      <c r="G300" t="b">
        <v>0</v>
      </c>
      <c r="H300" t="inlineStr">
        <is>
          <t>0</t>
        </is>
      </c>
    </row>
    <row r="301">
      <c r="A301" t="inlineStr">
        <is>
          <t>ALL</t>
        </is>
      </c>
      <c r="B301" t="inlineStr">
        <is>
          <t>legendary</t>
        </is>
      </c>
      <c r="C301" t="n">
        <v>1</v>
      </c>
      <c r="D301" t="inlineStr">
        <is>
          <t>Max MP %</t>
        </is>
      </c>
      <c r="E301" t="n">
        <v>12</v>
      </c>
      <c r="F301" t="n">
        <v>9</v>
      </c>
      <c r="G301" t="b">
        <v>0</v>
      </c>
      <c r="H301" t="inlineStr">
        <is>
          <t>0</t>
        </is>
      </c>
    </row>
    <row r="302">
      <c r="A302" t="inlineStr">
        <is>
          <t>ALL</t>
        </is>
      </c>
      <c r="B302" t="inlineStr">
        <is>
          <t>legendary</t>
        </is>
      </c>
      <c r="C302" t="n">
        <v>1</v>
      </c>
      <c r="D302" t="inlineStr">
        <is>
          <t>Str</t>
        </is>
      </c>
      <c r="E302" t="n">
        <v>600</v>
      </c>
      <c r="F302" t="n">
        <v>9.25</v>
      </c>
      <c r="G302" t="b">
        <v>0</v>
      </c>
      <c r="H302" t="inlineStr">
        <is>
          <t>0</t>
        </is>
      </c>
    </row>
    <row r="303">
      <c r="A303" t="inlineStr">
        <is>
          <t>ALL</t>
        </is>
      </c>
      <c r="B303" t="inlineStr">
        <is>
          <t>legendary</t>
        </is>
      </c>
      <c r="C303" t="n">
        <v>1</v>
      </c>
      <c r="D303" t="inlineStr">
        <is>
          <t>Dex</t>
        </is>
      </c>
      <c r="E303" t="n">
        <v>600</v>
      </c>
      <c r="F303" t="n">
        <v>9.25</v>
      </c>
      <c r="G303" t="b">
        <v>0</v>
      </c>
      <c r="H303">
        <f>Sensitivity!H7</f>
        <v/>
      </c>
    </row>
    <row r="304">
      <c r="A304" t="inlineStr">
        <is>
          <t>ALL</t>
        </is>
      </c>
      <c r="B304" t="inlineStr">
        <is>
          <t>legendary</t>
        </is>
      </c>
      <c r="C304" t="n">
        <v>1</v>
      </c>
      <c r="D304" t="inlineStr">
        <is>
          <t>Int</t>
        </is>
      </c>
      <c r="E304" t="n">
        <v>600</v>
      </c>
      <c r="F304" t="n">
        <v>9.25</v>
      </c>
      <c r="G304" t="b">
        <v>0</v>
      </c>
      <c r="H304" t="inlineStr">
        <is>
          <t>0</t>
        </is>
      </c>
    </row>
    <row r="305">
      <c r="A305" t="inlineStr">
        <is>
          <t>ALL</t>
        </is>
      </c>
      <c r="B305" t="inlineStr">
        <is>
          <t>legendary</t>
        </is>
      </c>
      <c r="C305" t="n">
        <v>1</v>
      </c>
      <c r="D305" t="inlineStr">
        <is>
          <t>Luk</t>
        </is>
      </c>
      <c r="E305" t="n">
        <v>600</v>
      </c>
      <c r="F305" t="n">
        <v>9.25</v>
      </c>
      <c r="G305" t="b">
        <v>0</v>
      </c>
      <c r="H305">
        <f>Sensitivity!H5</f>
        <v/>
      </c>
    </row>
    <row r="306">
      <c r="A306" t="inlineStr">
        <is>
          <t>ALL</t>
        </is>
      </c>
      <c r="B306" t="inlineStr">
        <is>
          <t>legendary</t>
        </is>
      </c>
      <c r="C306" t="n">
        <v>2</v>
      </c>
      <c r="D306" t="inlineStr">
        <is>
          <t>Critical Rate %</t>
        </is>
      </c>
      <c r="E306" t="n">
        <v>9</v>
      </c>
      <c r="F306" t="n">
        <v>1.9</v>
      </c>
      <c r="G306" t="b">
        <v>0</v>
      </c>
      <c r="H306">
        <f>IF(AND(Inputs!$B$9+Summary!$B$14+Artifacts!$B$32&gt;=100,NOT(ArtifactsInput!$M$42),NOT(ArtifactsInput!$M$24)),Sensitivity!H16,Sensitivity!H15)</f>
        <v/>
      </c>
    </row>
    <row r="307">
      <c r="A307" t="inlineStr">
        <is>
          <t>ALL</t>
        </is>
      </c>
      <c r="B307" t="inlineStr">
        <is>
          <t>legendary</t>
        </is>
      </c>
      <c r="C307" t="n">
        <v>2</v>
      </c>
      <c r="D307" t="inlineStr">
        <is>
          <t>Critical Rate %</t>
        </is>
      </c>
      <c r="E307" t="n">
        <v>12</v>
      </c>
      <c r="F307" t="n">
        <v>0.6</v>
      </c>
      <c r="G307" t="b">
        <v>1</v>
      </c>
      <c r="H307">
        <f>IF(AND(Inputs!$B$9+Summary!$B$14+Artifacts!$B$32&gt;=100,NOT(ArtifactsInput!$M$42),NOT(ArtifactsInput!$M$24)),Sensitivity!H16,Sensitivity!H15)</f>
        <v/>
      </c>
    </row>
    <row r="308">
      <c r="A308" t="inlineStr">
        <is>
          <t>ALL</t>
        </is>
      </c>
      <c r="B308" t="inlineStr">
        <is>
          <t>legendary</t>
        </is>
      </c>
      <c r="C308" t="n">
        <v>2</v>
      </c>
      <c r="D308" t="inlineStr">
        <is>
          <t>Attack Speed %</t>
        </is>
      </c>
      <c r="E308" t="n">
        <v>5</v>
      </c>
      <c r="F308" t="n">
        <v>1.9</v>
      </c>
      <c r="G308" t="b">
        <v>0</v>
      </c>
      <c r="H308">
        <f>Sensitivity!H17</f>
        <v/>
      </c>
    </row>
    <row r="309">
      <c r="A309" t="inlineStr">
        <is>
          <t>ALL</t>
        </is>
      </c>
      <c r="B309" t="inlineStr">
        <is>
          <t>legendary</t>
        </is>
      </c>
      <c r="C309" t="n">
        <v>2</v>
      </c>
      <c r="D309" t="inlineStr">
        <is>
          <t>Attack Speed %</t>
        </is>
      </c>
      <c r="E309" t="n">
        <v>7</v>
      </c>
      <c r="F309" t="n">
        <v>0.6</v>
      </c>
      <c r="G309" t="b">
        <v>1</v>
      </c>
      <c r="H309">
        <f>Sensitivity!H17</f>
        <v/>
      </c>
    </row>
    <row r="310">
      <c r="A310" t="inlineStr">
        <is>
          <t>ALL</t>
        </is>
      </c>
      <c r="B310" t="inlineStr">
        <is>
          <t>legendary</t>
        </is>
      </c>
      <c r="C310" t="n">
        <v>2</v>
      </c>
      <c r="D310" t="inlineStr">
        <is>
          <t>Damage %</t>
        </is>
      </c>
      <c r="E310" t="n">
        <v>18</v>
      </c>
      <c r="F310" t="n">
        <v>3.04</v>
      </c>
      <c r="G310" t="b">
        <v>0</v>
      </c>
      <c r="H310">
        <f>Sensitivity!H8</f>
        <v/>
      </c>
    </row>
    <row r="311">
      <c r="A311" t="inlineStr">
        <is>
          <t>ALL</t>
        </is>
      </c>
      <c r="B311" t="inlineStr">
        <is>
          <t>legendary</t>
        </is>
      </c>
      <c r="C311" t="n">
        <v>2</v>
      </c>
      <c r="D311" t="inlineStr">
        <is>
          <t>Damage %</t>
        </is>
      </c>
      <c r="E311" t="n">
        <v>25</v>
      </c>
      <c r="F311" t="n">
        <v>0.96</v>
      </c>
      <c r="G311" t="b">
        <v>1</v>
      </c>
      <c r="H311">
        <f>Sensitivity!H8</f>
        <v/>
      </c>
    </row>
    <row r="312">
      <c r="A312" t="inlineStr">
        <is>
          <t>ALL</t>
        </is>
      </c>
      <c r="B312" t="inlineStr">
        <is>
          <t>legendary</t>
        </is>
      </c>
      <c r="C312" t="n">
        <v>2</v>
      </c>
      <c r="D312" t="inlineStr">
        <is>
          <t>Min Damage Multiplier %</t>
        </is>
      </c>
      <c r="E312" t="n">
        <v>10</v>
      </c>
      <c r="F312" t="n">
        <v>3.04</v>
      </c>
      <c r="G312" t="b">
        <v>0</v>
      </c>
      <c r="H312">
        <f>Sensitivity!H13</f>
        <v/>
      </c>
    </row>
    <row r="313">
      <c r="A313" t="inlineStr">
        <is>
          <t>ALL</t>
        </is>
      </c>
      <c r="B313" t="inlineStr">
        <is>
          <t>legendary</t>
        </is>
      </c>
      <c r="C313" t="n">
        <v>2</v>
      </c>
      <c r="D313" t="inlineStr">
        <is>
          <t>Min Damage Multiplier %</t>
        </is>
      </c>
      <c r="E313" t="n">
        <v>15</v>
      </c>
      <c r="F313" t="n">
        <v>0.96</v>
      </c>
      <c r="G313" t="b">
        <v>1</v>
      </c>
      <c r="H313">
        <f>Sensitivity!H13</f>
        <v/>
      </c>
    </row>
    <row r="314">
      <c r="A314" t="inlineStr">
        <is>
          <t>ALL</t>
        </is>
      </c>
      <c r="B314" t="inlineStr">
        <is>
          <t>legendary</t>
        </is>
      </c>
      <c r="C314" t="n">
        <v>2</v>
      </c>
      <c r="D314" t="inlineStr">
        <is>
          <t>Max Damage Multiplier %</t>
        </is>
      </c>
      <c r="E314" t="n">
        <v>10</v>
      </c>
      <c r="F314" t="n">
        <v>3.04</v>
      </c>
      <c r="G314" t="b">
        <v>0</v>
      </c>
      <c r="H314">
        <f>Sensitivity!H14</f>
        <v/>
      </c>
    </row>
    <row r="315">
      <c r="A315" t="inlineStr">
        <is>
          <t>ALL</t>
        </is>
      </c>
      <c r="B315" t="inlineStr">
        <is>
          <t>legendary</t>
        </is>
      </c>
      <c r="C315" t="n">
        <v>2</v>
      </c>
      <c r="D315" t="inlineStr">
        <is>
          <t>Max Damage Multiplier %</t>
        </is>
      </c>
      <c r="E315" t="n">
        <v>15</v>
      </c>
      <c r="F315" t="n">
        <v>0.96</v>
      </c>
      <c r="G315" t="b">
        <v>1</v>
      </c>
      <c r="H315">
        <f>Sensitivity!H14</f>
        <v/>
      </c>
    </row>
    <row r="316">
      <c r="A316" t="inlineStr">
        <is>
          <t>ALL</t>
        </is>
      </c>
      <c r="B316" t="inlineStr">
        <is>
          <t>legendary</t>
        </is>
      </c>
      <c r="C316" t="n">
        <v>2</v>
      </c>
      <c r="D316" t="inlineStr">
        <is>
          <t>Str %</t>
        </is>
      </c>
      <c r="E316" t="n">
        <v>9</v>
      </c>
      <c r="F316" t="n">
        <v>3.42</v>
      </c>
      <c r="G316" t="b">
        <v>0</v>
      </c>
      <c r="H316" t="inlineStr">
        <is>
          <t>0</t>
        </is>
      </c>
    </row>
    <row r="317">
      <c r="A317" t="inlineStr">
        <is>
          <t>ALL</t>
        </is>
      </c>
      <c r="B317" t="inlineStr">
        <is>
          <t>legendary</t>
        </is>
      </c>
      <c r="C317" t="n">
        <v>2</v>
      </c>
      <c r="D317" t="inlineStr">
        <is>
          <t>Str %</t>
        </is>
      </c>
      <c r="E317" t="n">
        <v>12</v>
      </c>
      <c r="F317" t="n">
        <v>1.08</v>
      </c>
      <c r="G317" t="b">
        <v>1</v>
      </c>
      <c r="H317" t="inlineStr">
        <is>
          <t>0</t>
        </is>
      </c>
    </row>
    <row r="318">
      <c r="A318" t="inlineStr">
        <is>
          <t>ALL</t>
        </is>
      </c>
      <c r="B318" t="inlineStr">
        <is>
          <t>legendary</t>
        </is>
      </c>
      <c r="C318" t="n">
        <v>2</v>
      </c>
      <c r="D318" t="inlineStr">
        <is>
          <t>Dex %</t>
        </is>
      </c>
      <c r="E318" t="n">
        <v>9</v>
      </c>
      <c r="F318" t="n">
        <v>3.42</v>
      </c>
      <c r="G318" t="b">
        <v>0</v>
      </c>
      <c r="H318">
        <f>Sensitivity!H7*Inputs!$B$14/100</f>
        <v/>
      </c>
    </row>
    <row r="319">
      <c r="A319" t="inlineStr">
        <is>
          <t>ALL</t>
        </is>
      </c>
      <c r="B319" t="inlineStr">
        <is>
          <t>legendary</t>
        </is>
      </c>
      <c r="C319" t="n">
        <v>2</v>
      </c>
      <c r="D319" t="inlineStr">
        <is>
          <t>Dex %</t>
        </is>
      </c>
      <c r="E319" t="n">
        <v>12</v>
      </c>
      <c r="F319" t="n">
        <v>1.08</v>
      </c>
      <c r="G319" t="b">
        <v>1</v>
      </c>
      <c r="H319">
        <f>Sensitivity!H7*Inputs!$B$14/100</f>
        <v/>
      </c>
    </row>
    <row r="320">
      <c r="A320" t="inlineStr">
        <is>
          <t>ALL</t>
        </is>
      </c>
      <c r="B320" t="inlineStr">
        <is>
          <t>legendary</t>
        </is>
      </c>
      <c r="C320" t="n">
        <v>2</v>
      </c>
      <c r="D320" t="inlineStr">
        <is>
          <t>Int %</t>
        </is>
      </c>
      <c r="E320" t="n">
        <v>9</v>
      </c>
      <c r="F320" t="n">
        <v>3.42</v>
      </c>
      <c r="G320" t="b">
        <v>0</v>
      </c>
      <c r="H320" t="inlineStr">
        <is>
          <t>0</t>
        </is>
      </c>
    </row>
    <row r="321">
      <c r="A321" t="inlineStr">
        <is>
          <t>ALL</t>
        </is>
      </c>
      <c r="B321" t="inlineStr">
        <is>
          <t>legendary</t>
        </is>
      </c>
      <c r="C321" t="n">
        <v>2</v>
      </c>
      <c r="D321" t="inlineStr">
        <is>
          <t>Int %</t>
        </is>
      </c>
      <c r="E321" t="n">
        <v>12</v>
      </c>
      <c r="F321" t="n">
        <v>1.08</v>
      </c>
      <c r="G321" t="b">
        <v>1</v>
      </c>
      <c r="H321" t="inlineStr">
        <is>
          <t>0</t>
        </is>
      </c>
    </row>
    <row r="322">
      <c r="A322" t="inlineStr">
        <is>
          <t>ALL</t>
        </is>
      </c>
      <c r="B322" t="inlineStr">
        <is>
          <t>legendary</t>
        </is>
      </c>
      <c r="C322" t="n">
        <v>2</v>
      </c>
      <c r="D322" t="inlineStr">
        <is>
          <t>Luk %</t>
        </is>
      </c>
      <c r="E322" t="n">
        <v>9</v>
      </c>
      <c r="F322" t="n">
        <v>3.42</v>
      </c>
      <c r="G322" t="b">
        <v>0</v>
      </c>
      <c r="H322">
        <f>Sensitivity!H6</f>
        <v/>
      </c>
    </row>
    <row r="323">
      <c r="A323" t="inlineStr">
        <is>
          <t>ALL</t>
        </is>
      </c>
      <c r="B323" t="inlineStr">
        <is>
          <t>legendary</t>
        </is>
      </c>
      <c r="C323" t="n">
        <v>2</v>
      </c>
      <c r="D323" t="inlineStr">
        <is>
          <t>Luk %</t>
        </is>
      </c>
      <c r="E323" t="n">
        <v>12</v>
      </c>
      <c r="F323" t="n">
        <v>1.08</v>
      </c>
      <c r="G323" t="b">
        <v>1</v>
      </c>
      <c r="H323">
        <f>Sensitivity!H6</f>
        <v/>
      </c>
    </row>
    <row r="324">
      <c r="A324" t="inlineStr">
        <is>
          <t>ALL</t>
        </is>
      </c>
      <c r="B324" t="inlineStr">
        <is>
          <t>legendary</t>
        </is>
      </c>
      <c r="C324" t="n">
        <v>2</v>
      </c>
      <c r="D324" t="inlineStr">
        <is>
          <t>Defense %</t>
        </is>
      </c>
      <c r="E324" t="n">
        <v>9</v>
      </c>
      <c r="F324" t="n">
        <v>6.84</v>
      </c>
      <c r="G324" t="b">
        <v>0</v>
      </c>
      <c r="H324" t="inlineStr">
        <is>
          <t>0</t>
        </is>
      </c>
    </row>
    <row r="325">
      <c r="A325" t="inlineStr">
        <is>
          <t>ALL</t>
        </is>
      </c>
      <c r="B325" t="inlineStr">
        <is>
          <t>legendary</t>
        </is>
      </c>
      <c r="C325" t="n">
        <v>2</v>
      </c>
      <c r="D325" t="inlineStr">
        <is>
          <t>Defense %</t>
        </is>
      </c>
      <c r="E325" t="n">
        <v>12</v>
      </c>
      <c r="F325" t="n">
        <v>2.16</v>
      </c>
      <c r="G325" t="b">
        <v>1</v>
      </c>
      <c r="H325" t="inlineStr">
        <is>
          <t>0</t>
        </is>
      </c>
    </row>
    <row r="326">
      <c r="A326" t="inlineStr">
        <is>
          <t>ALL</t>
        </is>
      </c>
      <c r="B326" t="inlineStr">
        <is>
          <t>legendary</t>
        </is>
      </c>
      <c r="C326" t="n">
        <v>2</v>
      </c>
      <c r="D326" t="inlineStr">
        <is>
          <t>Max HP %</t>
        </is>
      </c>
      <c r="E326" t="n">
        <v>15</v>
      </c>
      <c r="F326" t="n">
        <v>6.84</v>
      </c>
      <c r="G326" t="b">
        <v>0</v>
      </c>
      <c r="H326" t="inlineStr">
        <is>
          <t>0</t>
        </is>
      </c>
    </row>
    <row r="327">
      <c r="A327" t="inlineStr">
        <is>
          <t>ALL</t>
        </is>
      </c>
      <c r="B327" t="inlineStr">
        <is>
          <t>legendary</t>
        </is>
      </c>
      <c r="C327" t="n">
        <v>2</v>
      </c>
      <c r="D327" t="inlineStr">
        <is>
          <t>Max HP %</t>
        </is>
      </c>
      <c r="E327" t="n">
        <v>20</v>
      </c>
      <c r="F327" t="n">
        <v>2.16</v>
      </c>
      <c r="G327" t="b">
        <v>1</v>
      </c>
      <c r="H327" t="inlineStr">
        <is>
          <t>0</t>
        </is>
      </c>
    </row>
    <row r="328">
      <c r="A328" t="inlineStr">
        <is>
          <t>ALL</t>
        </is>
      </c>
      <c r="B328" t="inlineStr">
        <is>
          <t>legendary</t>
        </is>
      </c>
      <c r="C328" t="n">
        <v>2</v>
      </c>
      <c r="D328" t="inlineStr">
        <is>
          <t>Max MP %</t>
        </is>
      </c>
      <c r="E328" t="n">
        <v>9</v>
      </c>
      <c r="F328" t="n">
        <v>6.84</v>
      </c>
      <c r="G328" t="b">
        <v>0</v>
      </c>
      <c r="H328" t="inlineStr">
        <is>
          <t>0</t>
        </is>
      </c>
    </row>
    <row r="329">
      <c r="A329" t="inlineStr">
        <is>
          <t>ALL</t>
        </is>
      </c>
      <c r="B329" t="inlineStr">
        <is>
          <t>legendary</t>
        </is>
      </c>
      <c r="C329" t="n">
        <v>2</v>
      </c>
      <c r="D329" t="inlineStr">
        <is>
          <t>Max MP %</t>
        </is>
      </c>
      <c r="E329" t="n">
        <v>12</v>
      </c>
      <c r="F329" t="n">
        <v>2.16</v>
      </c>
      <c r="G329" t="b">
        <v>1</v>
      </c>
      <c r="H329" t="inlineStr">
        <is>
          <t>0</t>
        </is>
      </c>
    </row>
    <row r="330">
      <c r="A330" t="inlineStr">
        <is>
          <t>ALL</t>
        </is>
      </c>
      <c r="B330" t="inlineStr">
        <is>
          <t>legendary</t>
        </is>
      </c>
      <c r="C330" t="n">
        <v>2</v>
      </c>
      <c r="D330" t="inlineStr">
        <is>
          <t>Str</t>
        </is>
      </c>
      <c r="E330" t="n">
        <v>400</v>
      </c>
      <c r="F330" t="n">
        <v>7.03</v>
      </c>
      <c r="G330" t="b">
        <v>0</v>
      </c>
      <c r="H330" t="inlineStr">
        <is>
          <t>0</t>
        </is>
      </c>
    </row>
    <row r="331">
      <c r="A331" t="inlineStr">
        <is>
          <t>ALL</t>
        </is>
      </c>
      <c r="B331" t="inlineStr">
        <is>
          <t>legendary</t>
        </is>
      </c>
      <c r="C331" t="n">
        <v>2</v>
      </c>
      <c r="D331" t="inlineStr">
        <is>
          <t>Str</t>
        </is>
      </c>
      <c r="E331" t="n">
        <v>600</v>
      </c>
      <c r="F331" t="n">
        <v>2.22</v>
      </c>
      <c r="G331" t="b">
        <v>1</v>
      </c>
      <c r="H331" t="inlineStr">
        <is>
          <t>0</t>
        </is>
      </c>
    </row>
    <row r="332">
      <c r="A332" t="inlineStr">
        <is>
          <t>ALL</t>
        </is>
      </c>
      <c r="B332" t="inlineStr">
        <is>
          <t>legendary</t>
        </is>
      </c>
      <c r="C332" t="n">
        <v>2</v>
      </c>
      <c r="D332" t="inlineStr">
        <is>
          <t>Dex</t>
        </is>
      </c>
      <c r="E332" t="n">
        <v>400</v>
      </c>
      <c r="F332" t="n">
        <v>7.03</v>
      </c>
      <c r="G332" t="b">
        <v>0</v>
      </c>
      <c r="H332">
        <f>Sensitivity!H7</f>
        <v/>
      </c>
    </row>
    <row r="333">
      <c r="A333" t="inlineStr">
        <is>
          <t>ALL</t>
        </is>
      </c>
      <c r="B333" t="inlineStr">
        <is>
          <t>legendary</t>
        </is>
      </c>
      <c r="C333" t="n">
        <v>2</v>
      </c>
      <c r="D333" t="inlineStr">
        <is>
          <t>Dex</t>
        </is>
      </c>
      <c r="E333" t="n">
        <v>600</v>
      </c>
      <c r="F333" t="n">
        <v>2.22</v>
      </c>
      <c r="G333" t="b">
        <v>1</v>
      </c>
      <c r="H333">
        <f>Sensitivity!H7</f>
        <v/>
      </c>
    </row>
    <row r="334">
      <c r="A334" t="inlineStr">
        <is>
          <t>ALL</t>
        </is>
      </c>
      <c r="B334" t="inlineStr">
        <is>
          <t>legendary</t>
        </is>
      </c>
      <c r="C334" t="n">
        <v>2</v>
      </c>
      <c r="D334" t="inlineStr">
        <is>
          <t>Int</t>
        </is>
      </c>
      <c r="E334" t="n">
        <v>400</v>
      </c>
      <c r="F334" t="n">
        <v>7.03</v>
      </c>
      <c r="G334" t="b">
        <v>0</v>
      </c>
      <c r="H334" t="inlineStr">
        <is>
          <t>0</t>
        </is>
      </c>
    </row>
    <row r="335">
      <c r="A335" t="inlineStr">
        <is>
          <t>ALL</t>
        </is>
      </c>
      <c r="B335" t="inlineStr">
        <is>
          <t>legendary</t>
        </is>
      </c>
      <c r="C335" t="n">
        <v>2</v>
      </c>
      <c r="D335" t="inlineStr">
        <is>
          <t>Int</t>
        </is>
      </c>
      <c r="E335" t="n">
        <v>600</v>
      </c>
      <c r="F335" t="n">
        <v>2.22</v>
      </c>
      <c r="G335" t="b">
        <v>1</v>
      </c>
      <c r="H335" t="inlineStr">
        <is>
          <t>0</t>
        </is>
      </c>
    </row>
    <row r="336">
      <c r="A336" t="inlineStr">
        <is>
          <t>ALL</t>
        </is>
      </c>
      <c r="B336" t="inlineStr">
        <is>
          <t>legendary</t>
        </is>
      </c>
      <c r="C336" t="n">
        <v>2</v>
      </c>
      <c r="D336" t="inlineStr">
        <is>
          <t>Luk</t>
        </is>
      </c>
      <c r="E336" t="n">
        <v>400</v>
      </c>
      <c r="F336" t="n">
        <v>7.03</v>
      </c>
      <c r="G336" t="b">
        <v>0</v>
      </c>
      <c r="H336">
        <f>Sensitivity!H5</f>
        <v/>
      </c>
    </row>
    <row r="337">
      <c r="A337" t="inlineStr">
        <is>
          <t>ALL</t>
        </is>
      </c>
      <c r="B337" t="inlineStr">
        <is>
          <t>legendary</t>
        </is>
      </c>
      <c r="C337" t="n">
        <v>2</v>
      </c>
      <c r="D337" t="inlineStr">
        <is>
          <t>Luk</t>
        </is>
      </c>
      <c r="E337" t="n">
        <v>600</v>
      </c>
      <c r="F337" t="n">
        <v>2.22</v>
      </c>
      <c r="G337" t="b">
        <v>1</v>
      </c>
      <c r="H337">
        <f>Sensitivity!H5</f>
        <v/>
      </c>
    </row>
    <row r="338">
      <c r="A338" t="inlineStr">
        <is>
          <t>ALL</t>
        </is>
      </c>
      <c r="B338" t="inlineStr">
        <is>
          <t>legendary</t>
        </is>
      </c>
      <c r="C338" t="n">
        <v>3</v>
      </c>
      <c r="D338" t="inlineStr">
        <is>
          <t>Critical Rate %</t>
        </is>
      </c>
      <c r="E338" t="n">
        <v>9</v>
      </c>
      <c r="F338" t="n">
        <v>2.3</v>
      </c>
      <c r="G338" t="b">
        <v>0</v>
      </c>
      <c r="H338">
        <f>IF(AND(Inputs!$B$9+Summary!$B$14+Artifacts!$B$32&gt;=100,NOT(ArtifactsInput!$M$42),NOT(ArtifactsInput!$M$24)),Sensitivity!H16,Sensitivity!H15)</f>
        <v/>
      </c>
    </row>
    <row r="339">
      <c r="A339" t="inlineStr">
        <is>
          <t>ALL</t>
        </is>
      </c>
      <c r="B339" t="inlineStr">
        <is>
          <t>legendary</t>
        </is>
      </c>
      <c r="C339" t="n">
        <v>3</v>
      </c>
      <c r="D339" t="inlineStr">
        <is>
          <t>Critical Rate %</t>
        </is>
      </c>
      <c r="E339" t="n">
        <v>12</v>
      </c>
      <c r="F339" t="n">
        <v>0.2</v>
      </c>
      <c r="G339" t="b">
        <v>1</v>
      </c>
      <c r="H339">
        <f>IF(AND(Inputs!$B$9+Summary!$B$14+Artifacts!$B$32&gt;=100,NOT(ArtifactsInput!$M$42),NOT(ArtifactsInput!$M$24)),Sensitivity!H16,Sensitivity!H15)</f>
        <v/>
      </c>
    </row>
    <row r="340">
      <c r="A340" t="inlineStr">
        <is>
          <t>ALL</t>
        </is>
      </c>
      <c r="B340" t="inlineStr">
        <is>
          <t>legendary</t>
        </is>
      </c>
      <c r="C340" t="n">
        <v>3</v>
      </c>
      <c r="D340" t="inlineStr">
        <is>
          <t>Attack Speed %</t>
        </is>
      </c>
      <c r="E340" t="n">
        <v>5</v>
      </c>
      <c r="F340" t="n">
        <v>2.3</v>
      </c>
      <c r="G340" t="b">
        <v>0</v>
      </c>
      <c r="H340">
        <f>Sensitivity!H17</f>
        <v/>
      </c>
    </row>
    <row r="341">
      <c r="A341" t="inlineStr">
        <is>
          <t>ALL</t>
        </is>
      </c>
      <c r="B341" t="inlineStr">
        <is>
          <t>legendary</t>
        </is>
      </c>
      <c r="C341" t="n">
        <v>3</v>
      </c>
      <c r="D341" t="inlineStr">
        <is>
          <t>Attack Speed %</t>
        </is>
      </c>
      <c r="E341" t="n">
        <v>7</v>
      </c>
      <c r="F341" t="n">
        <v>0.2</v>
      </c>
      <c r="G341" t="b">
        <v>1</v>
      </c>
      <c r="H341">
        <f>Sensitivity!H17</f>
        <v/>
      </c>
    </row>
    <row r="342">
      <c r="A342" t="inlineStr">
        <is>
          <t>ALL</t>
        </is>
      </c>
      <c r="B342" t="inlineStr">
        <is>
          <t>legendary</t>
        </is>
      </c>
      <c r="C342" t="n">
        <v>3</v>
      </c>
      <c r="D342" t="inlineStr">
        <is>
          <t>Damage %</t>
        </is>
      </c>
      <c r="E342" t="n">
        <v>18</v>
      </c>
      <c r="F342" t="n">
        <v>3.68</v>
      </c>
      <c r="G342" t="b">
        <v>0</v>
      </c>
      <c r="H342">
        <f>Sensitivity!H8</f>
        <v/>
      </c>
    </row>
    <row r="343">
      <c r="A343" t="inlineStr">
        <is>
          <t>ALL</t>
        </is>
      </c>
      <c r="B343" t="inlineStr">
        <is>
          <t>legendary</t>
        </is>
      </c>
      <c r="C343" t="n">
        <v>3</v>
      </c>
      <c r="D343" t="inlineStr">
        <is>
          <t>Damage %</t>
        </is>
      </c>
      <c r="E343" t="n">
        <v>25</v>
      </c>
      <c r="F343" t="n">
        <v>0.32</v>
      </c>
      <c r="G343" t="b">
        <v>1</v>
      </c>
      <c r="H343">
        <f>Sensitivity!H8</f>
        <v/>
      </c>
    </row>
    <row r="344">
      <c r="A344" t="inlineStr">
        <is>
          <t>ALL</t>
        </is>
      </c>
      <c r="B344" t="inlineStr">
        <is>
          <t>legendary</t>
        </is>
      </c>
      <c r="C344" t="n">
        <v>3</v>
      </c>
      <c r="D344" t="inlineStr">
        <is>
          <t>Min Damage Multiplier %</t>
        </is>
      </c>
      <c r="E344" t="n">
        <v>10</v>
      </c>
      <c r="F344" t="n">
        <v>3.68</v>
      </c>
      <c r="G344" t="b">
        <v>0</v>
      </c>
      <c r="H344">
        <f>Sensitivity!H13</f>
        <v/>
      </c>
    </row>
    <row r="345">
      <c r="A345" t="inlineStr">
        <is>
          <t>ALL</t>
        </is>
      </c>
      <c r="B345" t="inlineStr">
        <is>
          <t>legendary</t>
        </is>
      </c>
      <c r="C345" t="n">
        <v>3</v>
      </c>
      <c r="D345" t="inlineStr">
        <is>
          <t>Min Damage Multiplier %</t>
        </is>
      </c>
      <c r="E345" t="n">
        <v>15</v>
      </c>
      <c r="F345" t="n">
        <v>0.32</v>
      </c>
      <c r="G345" t="b">
        <v>1</v>
      </c>
      <c r="H345">
        <f>Sensitivity!H13</f>
        <v/>
      </c>
    </row>
    <row r="346">
      <c r="A346" t="inlineStr">
        <is>
          <t>ALL</t>
        </is>
      </c>
      <c r="B346" t="inlineStr">
        <is>
          <t>legendary</t>
        </is>
      </c>
      <c r="C346" t="n">
        <v>3</v>
      </c>
      <c r="D346" t="inlineStr">
        <is>
          <t>Max Damage Multiplier %</t>
        </is>
      </c>
      <c r="E346" t="n">
        <v>10</v>
      </c>
      <c r="F346" t="n">
        <v>3.68</v>
      </c>
      <c r="G346" t="b">
        <v>0</v>
      </c>
      <c r="H346">
        <f>Sensitivity!H14</f>
        <v/>
      </c>
    </row>
    <row r="347">
      <c r="A347" t="inlineStr">
        <is>
          <t>ALL</t>
        </is>
      </c>
      <c r="B347" t="inlineStr">
        <is>
          <t>legendary</t>
        </is>
      </c>
      <c r="C347" t="n">
        <v>3</v>
      </c>
      <c r="D347" t="inlineStr">
        <is>
          <t>Max Damage Multiplier %</t>
        </is>
      </c>
      <c r="E347" t="n">
        <v>15</v>
      </c>
      <c r="F347" t="n">
        <v>0.32</v>
      </c>
      <c r="G347" t="b">
        <v>1</v>
      </c>
      <c r="H347">
        <f>Sensitivity!H14</f>
        <v/>
      </c>
    </row>
    <row r="348">
      <c r="A348" t="inlineStr">
        <is>
          <t>ALL</t>
        </is>
      </c>
      <c r="B348" t="inlineStr">
        <is>
          <t>legendary</t>
        </is>
      </c>
      <c r="C348" t="n">
        <v>3</v>
      </c>
      <c r="D348" t="inlineStr">
        <is>
          <t>Str %</t>
        </is>
      </c>
      <c r="E348" t="n">
        <v>9</v>
      </c>
      <c r="F348" t="n">
        <v>4.14</v>
      </c>
      <c r="G348" t="b">
        <v>0</v>
      </c>
      <c r="H348" t="inlineStr">
        <is>
          <t>0</t>
        </is>
      </c>
    </row>
    <row r="349">
      <c r="A349" t="inlineStr">
        <is>
          <t>ALL</t>
        </is>
      </c>
      <c r="B349" t="inlineStr">
        <is>
          <t>legendary</t>
        </is>
      </c>
      <c r="C349" t="n">
        <v>3</v>
      </c>
      <c r="D349" t="inlineStr">
        <is>
          <t>Str %</t>
        </is>
      </c>
      <c r="E349" t="n">
        <v>12</v>
      </c>
      <c r="F349" t="n">
        <v>0.36</v>
      </c>
      <c r="G349" t="b">
        <v>1</v>
      </c>
      <c r="H349" t="inlineStr">
        <is>
          <t>0</t>
        </is>
      </c>
    </row>
    <row r="350">
      <c r="A350" t="inlineStr">
        <is>
          <t>ALL</t>
        </is>
      </c>
      <c r="B350" t="inlineStr">
        <is>
          <t>legendary</t>
        </is>
      </c>
      <c r="C350" t="n">
        <v>3</v>
      </c>
      <c r="D350" t="inlineStr">
        <is>
          <t>Dex %</t>
        </is>
      </c>
      <c r="E350" t="n">
        <v>9</v>
      </c>
      <c r="F350" t="n">
        <v>4.14</v>
      </c>
      <c r="G350" t="b">
        <v>0</v>
      </c>
      <c r="H350">
        <f>Sensitivity!H7*Inputs!$B$14/100</f>
        <v/>
      </c>
    </row>
    <row r="351">
      <c r="A351" t="inlineStr">
        <is>
          <t>ALL</t>
        </is>
      </c>
      <c r="B351" t="inlineStr">
        <is>
          <t>legendary</t>
        </is>
      </c>
      <c r="C351" t="n">
        <v>3</v>
      </c>
      <c r="D351" t="inlineStr">
        <is>
          <t>Dex %</t>
        </is>
      </c>
      <c r="E351" t="n">
        <v>12</v>
      </c>
      <c r="F351" t="n">
        <v>0.36</v>
      </c>
      <c r="G351" t="b">
        <v>1</v>
      </c>
      <c r="H351">
        <f>Sensitivity!H7*Inputs!$B$14/100</f>
        <v/>
      </c>
    </row>
    <row r="352">
      <c r="A352" t="inlineStr">
        <is>
          <t>ALL</t>
        </is>
      </c>
      <c r="B352" t="inlineStr">
        <is>
          <t>legendary</t>
        </is>
      </c>
      <c r="C352" t="n">
        <v>3</v>
      </c>
      <c r="D352" t="inlineStr">
        <is>
          <t>Int %</t>
        </is>
      </c>
      <c r="E352" t="n">
        <v>9</v>
      </c>
      <c r="F352" t="n">
        <v>4.14</v>
      </c>
      <c r="G352" t="b">
        <v>0</v>
      </c>
      <c r="H352" t="inlineStr">
        <is>
          <t>0</t>
        </is>
      </c>
    </row>
    <row r="353">
      <c r="A353" t="inlineStr">
        <is>
          <t>ALL</t>
        </is>
      </c>
      <c r="B353" t="inlineStr">
        <is>
          <t>legendary</t>
        </is>
      </c>
      <c r="C353" t="n">
        <v>3</v>
      </c>
      <c r="D353" t="inlineStr">
        <is>
          <t>Int %</t>
        </is>
      </c>
      <c r="E353" t="n">
        <v>12</v>
      </c>
      <c r="F353" t="n">
        <v>0.36</v>
      </c>
      <c r="G353" t="b">
        <v>1</v>
      </c>
      <c r="H353" t="inlineStr">
        <is>
          <t>0</t>
        </is>
      </c>
    </row>
    <row r="354">
      <c r="A354" t="inlineStr">
        <is>
          <t>ALL</t>
        </is>
      </c>
      <c r="B354" t="inlineStr">
        <is>
          <t>legendary</t>
        </is>
      </c>
      <c r="C354" t="n">
        <v>3</v>
      </c>
      <c r="D354" t="inlineStr">
        <is>
          <t>Luk %</t>
        </is>
      </c>
      <c r="E354" t="n">
        <v>9</v>
      </c>
      <c r="F354" t="n">
        <v>4.14</v>
      </c>
      <c r="G354" t="b">
        <v>0</v>
      </c>
      <c r="H354">
        <f>Sensitivity!H6</f>
        <v/>
      </c>
    </row>
    <row r="355">
      <c r="A355" t="inlineStr">
        <is>
          <t>ALL</t>
        </is>
      </c>
      <c r="B355" t="inlineStr">
        <is>
          <t>legendary</t>
        </is>
      </c>
      <c r="C355" t="n">
        <v>3</v>
      </c>
      <c r="D355" t="inlineStr">
        <is>
          <t>Luk %</t>
        </is>
      </c>
      <c r="E355" t="n">
        <v>12</v>
      </c>
      <c r="F355" t="n">
        <v>0.36</v>
      </c>
      <c r="G355" t="b">
        <v>1</v>
      </c>
      <c r="H355">
        <f>Sensitivity!H6</f>
        <v/>
      </c>
    </row>
    <row r="356">
      <c r="A356" t="inlineStr">
        <is>
          <t>ALL</t>
        </is>
      </c>
      <c r="B356" t="inlineStr">
        <is>
          <t>legendary</t>
        </is>
      </c>
      <c r="C356" t="n">
        <v>3</v>
      </c>
      <c r="D356" t="inlineStr">
        <is>
          <t>Defense %</t>
        </is>
      </c>
      <c r="E356" t="n">
        <v>9</v>
      </c>
      <c r="F356" t="n">
        <v>8.279999999999999</v>
      </c>
      <c r="G356" t="b">
        <v>0</v>
      </c>
      <c r="H356" t="inlineStr">
        <is>
          <t>0</t>
        </is>
      </c>
    </row>
    <row r="357">
      <c r="A357" t="inlineStr">
        <is>
          <t>ALL</t>
        </is>
      </c>
      <c r="B357" t="inlineStr">
        <is>
          <t>legendary</t>
        </is>
      </c>
      <c r="C357" t="n">
        <v>3</v>
      </c>
      <c r="D357" t="inlineStr">
        <is>
          <t>Defense %</t>
        </is>
      </c>
      <c r="E357" t="n">
        <v>12</v>
      </c>
      <c r="F357" t="n">
        <v>0.72</v>
      </c>
      <c r="G357" t="b">
        <v>1</v>
      </c>
      <c r="H357" t="inlineStr">
        <is>
          <t>0</t>
        </is>
      </c>
    </row>
    <row r="358">
      <c r="A358" t="inlineStr">
        <is>
          <t>ALL</t>
        </is>
      </c>
      <c r="B358" t="inlineStr">
        <is>
          <t>legendary</t>
        </is>
      </c>
      <c r="C358" t="n">
        <v>3</v>
      </c>
      <c r="D358" t="inlineStr">
        <is>
          <t>Max HP %</t>
        </is>
      </c>
      <c r="E358" t="n">
        <v>15</v>
      </c>
      <c r="F358" t="n">
        <v>8.279999999999999</v>
      </c>
      <c r="G358" t="b">
        <v>0</v>
      </c>
      <c r="H358" t="inlineStr">
        <is>
          <t>0</t>
        </is>
      </c>
    </row>
    <row r="359">
      <c r="A359" t="inlineStr">
        <is>
          <t>ALL</t>
        </is>
      </c>
      <c r="B359" t="inlineStr">
        <is>
          <t>legendary</t>
        </is>
      </c>
      <c r="C359" t="n">
        <v>3</v>
      </c>
      <c r="D359" t="inlineStr">
        <is>
          <t>Max HP %</t>
        </is>
      </c>
      <c r="E359" t="n">
        <v>20</v>
      </c>
      <c r="F359" t="n">
        <v>0.72</v>
      </c>
      <c r="G359" t="b">
        <v>1</v>
      </c>
      <c r="H359" t="inlineStr">
        <is>
          <t>0</t>
        </is>
      </c>
    </row>
    <row r="360">
      <c r="A360" t="inlineStr">
        <is>
          <t>ALL</t>
        </is>
      </c>
      <c r="B360" t="inlineStr">
        <is>
          <t>legendary</t>
        </is>
      </c>
      <c r="C360" t="n">
        <v>3</v>
      </c>
      <c r="D360" t="inlineStr">
        <is>
          <t>Max MP %</t>
        </is>
      </c>
      <c r="E360" t="n">
        <v>9</v>
      </c>
      <c r="F360" t="n">
        <v>8.279999999999999</v>
      </c>
      <c r="G360" t="b">
        <v>0</v>
      </c>
      <c r="H360" t="inlineStr">
        <is>
          <t>0</t>
        </is>
      </c>
    </row>
    <row r="361">
      <c r="A361" t="inlineStr">
        <is>
          <t>ALL</t>
        </is>
      </c>
      <c r="B361" t="inlineStr">
        <is>
          <t>legendary</t>
        </is>
      </c>
      <c r="C361" t="n">
        <v>3</v>
      </c>
      <c r="D361" t="inlineStr">
        <is>
          <t>Max MP %</t>
        </is>
      </c>
      <c r="E361" t="n">
        <v>12</v>
      </c>
      <c r="F361" t="n">
        <v>0.72</v>
      </c>
      <c r="G361" t="b">
        <v>1</v>
      </c>
      <c r="H361" t="inlineStr">
        <is>
          <t>0</t>
        </is>
      </c>
    </row>
    <row r="362">
      <c r="A362" t="inlineStr">
        <is>
          <t>ALL</t>
        </is>
      </c>
      <c r="B362" t="inlineStr">
        <is>
          <t>legendary</t>
        </is>
      </c>
      <c r="C362" t="n">
        <v>3</v>
      </c>
      <c r="D362" t="inlineStr">
        <is>
          <t>Str</t>
        </is>
      </c>
      <c r="E362" t="n">
        <v>400</v>
      </c>
      <c r="F362" t="n">
        <v>8.51</v>
      </c>
      <c r="G362" t="b">
        <v>0</v>
      </c>
      <c r="H362" t="inlineStr">
        <is>
          <t>0</t>
        </is>
      </c>
    </row>
    <row r="363">
      <c r="A363" t="inlineStr">
        <is>
          <t>ALL</t>
        </is>
      </c>
      <c r="B363" t="inlineStr">
        <is>
          <t>legendary</t>
        </is>
      </c>
      <c r="C363" t="n">
        <v>3</v>
      </c>
      <c r="D363" t="inlineStr">
        <is>
          <t>Str</t>
        </is>
      </c>
      <c r="E363" t="n">
        <v>600</v>
      </c>
      <c r="F363" t="n">
        <v>0.74</v>
      </c>
      <c r="G363" t="b">
        <v>1</v>
      </c>
      <c r="H363" t="inlineStr">
        <is>
          <t>0</t>
        </is>
      </c>
    </row>
    <row r="364">
      <c r="A364" t="inlineStr">
        <is>
          <t>ALL</t>
        </is>
      </c>
      <c r="B364" t="inlineStr">
        <is>
          <t>legendary</t>
        </is>
      </c>
      <c r="C364" t="n">
        <v>3</v>
      </c>
      <c r="D364" t="inlineStr">
        <is>
          <t>Dex</t>
        </is>
      </c>
      <c r="E364" t="n">
        <v>400</v>
      </c>
      <c r="F364" t="n">
        <v>8.51</v>
      </c>
      <c r="G364" t="b">
        <v>0</v>
      </c>
      <c r="H364">
        <f>Sensitivity!H7</f>
        <v/>
      </c>
    </row>
    <row r="365">
      <c r="A365" t="inlineStr">
        <is>
          <t>ALL</t>
        </is>
      </c>
      <c r="B365" t="inlineStr">
        <is>
          <t>legendary</t>
        </is>
      </c>
      <c r="C365" t="n">
        <v>3</v>
      </c>
      <c r="D365" t="inlineStr">
        <is>
          <t>Dex</t>
        </is>
      </c>
      <c r="E365" t="n">
        <v>600</v>
      </c>
      <c r="F365" t="n">
        <v>0.74</v>
      </c>
      <c r="G365" t="b">
        <v>1</v>
      </c>
      <c r="H365">
        <f>Sensitivity!H7</f>
        <v/>
      </c>
    </row>
    <row r="366">
      <c r="A366" t="inlineStr">
        <is>
          <t>ALL</t>
        </is>
      </c>
      <c r="B366" t="inlineStr">
        <is>
          <t>legendary</t>
        </is>
      </c>
      <c r="C366" t="n">
        <v>3</v>
      </c>
      <c r="D366" t="inlineStr">
        <is>
          <t>Int</t>
        </is>
      </c>
      <c r="E366" t="n">
        <v>400</v>
      </c>
      <c r="F366" t="n">
        <v>8.51</v>
      </c>
      <c r="G366" t="b">
        <v>0</v>
      </c>
      <c r="H366" t="inlineStr">
        <is>
          <t>0</t>
        </is>
      </c>
    </row>
    <row r="367">
      <c r="A367" t="inlineStr">
        <is>
          <t>ALL</t>
        </is>
      </c>
      <c r="B367" t="inlineStr">
        <is>
          <t>legendary</t>
        </is>
      </c>
      <c r="C367" t="n">
        <v>3</v>
      </c>
      <c r="D367" t="inlineStr">
        <is>
          <t>Int</t>
        </is>
      </c>
      <c r="E367" t="n">
        <v>600</v>
      </c>
      <c r="F367" t="n">
        <v>0.74</v>
      </c>
      <c r="G367" t="b">
        <v>1</v>
      </c>
      <c r="H367" t="inlineStr">
        <is>
          <t>0</t>
        </is>
      </c>
    </row>
    <row r="368">
      <c r="A368" t="inlineStr">
        <is>
          <t>ALL</t>
        </is>
      </c>
      <c r="B368" t="inlineStr">
        <is>
          <t>legendary</t>
        </is>
      </c>
      <c r="C368" t="n">
        <v>3</v>
      </c>
      <c r="D368" t="inlineStr">
        <is>
          <t>Luk</t>
        </is>
      </c>
      <c r="E368" t="n">
        <v>400</v>
      </c>
      <c r="F368" t="n">
        <v>8.51</v>
      </c>
      <c r="G368" t="b">
        <v>0</v>
      </c>
      <c r="H368">
        <f>Sensitivity!H5</f>
        <v/>
      </c>
    </row>
    <row r="369">
      <c r="A369" t="inlineStr">
        <is>
          <t>ALL</t>
        </is>
      </c>
      <c r="B369" t="inlineStr">
        <is>
          <t>legendary</t>
        </is>
      </c>
      <c r="C369" t="n">
        <v>3</v>
      </c>
      <c r="D369" t="inlineStr">
        <is>
          <t>Luk</t>
        </is>
      </c>
      <c r="E369" t="n">
        <v>600</v>
      </c>
      <c r="F369" t="n">
        <v>0.74</v>
      </c>
      <c r="G369" t="b">
        <v>1</v>
      </c>
      <c r="H369">
        <f>Sensitivity!H5</f>
        <v/>
      </c>
    </row>
    <row r="370">
      <c r="A370" t="inlineStr">
        <is>
          <t>ALL</t>
        </is>
      </c>
      <c r="B370" t="inlineStr">
        <is>
          <t>mystic</t>
        </is>
      </c>
      <c r="C370" t="n">
        <v>1</v>
      </c>
      <c r="D370" t="inlineStr">
        <is>
          <t>Critical Rate %</t>
        </is>
      </c>
      <c r="E370" t="n">
        <v>15</v>
      </c>
      <c r="F370" t="n">
        <v>2.5</v>
      </c>
      <c r="G370" t="b">
        <v>0</v>
      </c>
      <c r="H370">
        <f>IF(AND(Inputs!$B$9+Summary!$B$14+Artifacts!$B$32&gt;=100,NOT(ArtifactsInput!$M$42),NOT(ArtifactsInput!$M$24)),Sensitivity!H16,Sensitivity!H15)</f>
        <v/>
      </c>
    </row>
    <row r="371">
      <c r="A371" t="inlineStr">
        <is>
          <t>ALL</t>
        </is>
      </c>
      <c r="B371" t="inlineStr">
        <is>
          <t>mystic</t>
        </is>
      </c>
      <c r="C371" t="n">
        <v>1</v>
      </c>
      <c r="D371" t="inlineStr">
        <is>
          <t>Attack Speed %</t>
        </is>
      </c>
      <c r="E371" t="n">
        <v>10</v>
      </c>
      <c r="F371" t="n">
        <v>2.5</v>
      </c>
      <c r="G371" t="b">
        <v>0</v>
      </c>
      <c r="H371">
        <f>Sensitivity!H17</f>
        <v/>
      </c>
    </row>
    <row r="372">
      <c r="A372" t="inlineStr">
        <is>
          <t>ALL</t>
        </is>
      </c>
      <c r="B372" t="inlineStr">
        <is>
          <t>mystic</t>
        </is>
      </c>
      <c r="C372" t="n">
        <v>1</v>
      </c>
      <c r="D372" t="inlineStr">
        <is>
          <t>Damage %</t>
        </is>
      </c>
      <c r="E372" t="n">
        <v>35</v>
      </c>
      <c r="F372" t="n">
        <v>4</v>
      </c>
      <c r="G372" t="b">
        <v>0</v>
      </c>
      <c r="H372">
        <f>Sensitivity!H8</f>
        <v/>
      </c>
    </row>
    <row r="373">
      <c r="A373" t="inlineStr">
        <is>
          <t>ALL</t>
        </is>
      </c>
      <c r="B373" t="inlineStr">
        <is>
          <t>mystic</t>
        </is>
      </c>
      <c r="C373" t="n">
        <v>1</v>
      </c>
      <c r="D373" t="inlineStr">
        <is>
          <t>Min Damage Multiplier %</t>
        </is>
      </c>
      <c r="E373" t="n">
        <v>25</v>
      </c>
      <c r="F373" t="n">
        <v>4</v>
      </c>
      <c r="G373" t="b">
        <v>0</v>
      </c>
      <c r="H373">
        <f>Sensitivity!H13</f>
        <v/>
      </c>
    </row>
    <row r="374">
      <c r="A374" t="inlineStr">
        <is>
          <t>ALL</t>
        </is>
      </c>
      <c r="B374" t="inlineStr">
        <is>
          <t>mystic</t>
        </is>
      </c>
      <c r="C374" t="n">
        <v>1</v>
      </c>
      <c r="D374" t="inlineStr">
        <is>
          <t>Max Damage Multiplier %</t>
        </is>
      </c>
      <c r="E374" t="n">
        <v>25</v>
      </c>
      <c r="F374" t="n">
        <v>4</v>
      </c>
      <c r="G374" t="b">
        <v>0</v>
      </c>
      <c r="H374">
        <f>Sensitivity!H14</f>
        <v/>
      </c>
    </row>
    <row r="375">
      <c r="A375" t="inlineStr">
        <is>
          <t>ALL</t>
        </is>
      </c>
      <c r="B375" t="inlineStr">
        <is>
          <t>mystic</t>
        </is>
      </c>
      <c r="C375" t="n">
        <v>1</v>
      </c>
      <c r="D375" t="inlineStr">
        <is>
          <t>Str %</t>
        </is>
      </c>
      <c r="E375" t="n">
        <v>15</v>
      </c>
      <c r="F375" t="n">
        <v>4.5</v>
      </c>
      <c r="G375" t="b">
        <v>0</v>
      </c>
      <c r="H375" t="inlineStr">
        <is>
          <t>0</t>
        </is>
      </c>
    </row>
    <row r="376">
      <c r="A376" t="inlineStr">
        <is>
          <t>ALL</t>
        </is>
      </c>
      <c r="B376" t="inlineStr">
        <is>
          <t>mystic</t>
        </is>
      </c>
      <c r="C376" t="n">
        <v>1</v>
      </c>
      <c r="D376" t="inlineStr">
        <is>
          <t>Dex %</t>
        </is>
      </c>
      <c r="E376" t="n">
        <v>15</v>
      </c>
      <c r="F376" t="n">
        <v>4.5</v>
      </c>
      <c r="G376" t="b">
        <v>0</v>
      </c>
      <c r="H376">
        <f>Sensitivity!H7*Inputs!$B$14/100</f>
        <v/>
      </c>
    </row>
    <row r="377">
      <c r="A377" t="inlineStr">
        <is>
          <t>ALL</t>
        </is>
      </c>
      <c r="B377" t="inlineStr">
        <is>
          <t>mystic</t>
        </is>
      </c>
      <c r="C377" t="n">
        <v>1</v>
      </c>
      <c r="D377" t="inlineStr">
        <is>
          <t>Int %</t>
        </is>
      </c>
      <c r="E377" t="n">
        <v>15</v>
      </c>
      <c r="F377" t="n">
        <v>4.5</v>
      </c>
      <c r="G377" t="b">
        <v>0</v>
      </c>
      <c r="H377" t="inlineStr">
        <is>
          <t>0</t>
        </is>
      </c>
    </row>
    <row r="378">
      <c r="A378" t="inlineStr">
        <is>
          <t>ALL</t>
        </is>
      </c>
      <c r="B378" t="inlineStr">
        <is>
          <t>mystic</t>
        </is>
      </c>
      <c r="C378" t="n">
        <v>1</v>
      </c>
      <c r="D378" t="inlineStr">
        <is>
          <t>Luk %</t>
        </is>
      </c>
      <c r="E378" t="n">
        <v>15</v>
      </c>
      <c r="F378" t="n">
        <v>4.5</v>
      </c>
      <c r="G378" t="b">
        <v>0</v>
      </c>
      <c r="H378">
        <f>Sensitivity!H6</f>
        <v/>
      </c>
    </row>
    <row r="379">
      <c r="A379" t="inlineStr">
        <is>
          <t>ALL</t>
        </is>
      </c>
      <c r="B379" t="inlineStr">
        <is>
          <t>mystic</t>
        </is>
      </c>
      <c r="C379" t="n">
        <v>1</v>
      </c>
      <c r="D379" t="inlineStr">
        <is>
          <t>Defense %</t>
        </is>
      </c>
      <c r="E379" t="n">
        <v>15</v>
      </c>
      <c r="F379" t="n">
        <v>9</v>
      </c>
      <c r="G379" t="b">
        <v>0</v>
      </c>
      <c r="H379" t="inlineStr">
        <is>
          <t>0</t>
        </is>
      </c>
    </row>
    <row r="380">
      <c r="A380" t="inlineStr">
        <is>
          <t>ALL</t>
        </is>
      </c>
      <c r="B380" t="inlineStr">
        <is>
          <t>mystic</t>
        </is>
      </c>
      <c r="C380" t="n">
        <v>1</v>
      </c>
      <c r="D380" t="inlineStr">
        <is>
          <t>Max HP %</t>
        </is>
      </c>
      <c r="E380" t="n">
        <v>25</v>
      </c>
      <c r="F380" t="n">
        <v>9</v>
      </c>
      <c r="G380" t="b">
        <v>0</v>
      </c>
      <c r="H380" t="inlineStr">
        <is>
          <t>0</t>
        </is>
      </c>
    </row>
    <row r="381">
      <c r="A381" t="inlineStr">
        <is>
          <t>ALL</t>
        </is>
      </c>
      <c r="B381" t="inlineStr">
        <is>
          <t>mystic</t>
        </is>
      </c>
      <c r="C381" t="n">
        <v>1</v>
      </c>
      <c r="D381" t="inlineStr">
        <is>
          <t>Max MP %</t>
        </is>
      </c>
      <c r="E381" t="n">
        <v>15</v>
      </c>
      <c r="F381" t="n">
        <v>9</v>
      </c>
      <c r="G381" t="b">
        <v>0</v>
      </c>
      <c r="H381" t="inlineStr">
        <is>
          <t>0</t>
        </is>
      </c>
    </row>
    <row r="382">
      <c r="A382" t="inlineStr">
        <is>
          <t>ALL</t>
        </is>
      </c>
      <c r="B382" t="inlineStr">
        <is>
          <t>mystic</t>
        </is>
      </c>
      <c r="C382" t="n">
        <v>1</v>
      </c>
      <c r="D382" t="inlineStr">
        <is>
          <t>Str</t>
        </is>
      </c>
      <c r="E382" t="n">
        <v>1000</v>
      </c>
      <c r="F382" t="n">
        <v>9.25</v>
      </c>
      <c r="G382" t="b">
        <v>0</v>
      </c>
      <c r="H382" t="inlineStr">
        <is>
          <t>0</t>
        </is>
      </c>
    </row>
    <row r="383">
      <c r="A383" t="inlineStr">
        <is>
          <t>ALL</t>
        </is>
      </c>
      <c r="B383" t="inlineStr">
        <is>
          <t>mystic</t>
        </is>
      </c>
      <c r="C383" t="n">
        <v>1</v>
      </c>
      <c r="D383" t="inlineStr">
        <is>
          <t>Dex</t>
        </is>
      </c>
      <c r="E383" t="n">
        <v>1000</v>
      </c>
      <c r="F383" t="n">
        <v>9.25</v>
      </c>
      <c r="G383" t="b">
        <v>0</v>
      </c>
      <c r="H383">
        <f>Sensitivity!H7</f>
        <v/>
      </c>
    </row>
    <row r="384">
      <c r="A384" t="inlineStr">
        <is>
          <t>ALL</t>
        </is>
      </c>
      <c r="B384" t="inlineStr">
        <is>
          <t>mystic</t>
        </is>
      </c>
      <c r="C384" t="n">
        <v>1</v>
      </c>
      <c r="D384" t="inlineStr">
        <is>
          <t>Int</t>
        </is>
      </c>
      <c r="E384" t="n">
        <v>1000</v>
      </c>
      <c r="F384" t="n">
        <v>9.25</v>
      </c>
      <c r="G384" t="b">
        <v>0</v>
      </c>
      <c r="H384" t="inlineStr">
        <is>
          <t>0</t>
        </is>
      </c>
    </row>
    <row r="385">
      <c r="A385" t="inlineStr">
        <is>
          <t>ALL</t>
        </is>
      </c>
      <c r="B385" t="inlineStr">
        <is>
          <t>mystic</t>
        </is>
      </c>
      <c r="C385" t="n">
        <v>1</v>
      </c>
      <c r="D385" t="inlineStr">
        <is>
          <t>Luk</t>
        </is>
      </c>
      <c r="E385" t="n">
        <v>1000</v>
      </c>
      <c r="F385" t="n">
        <v>9.25</v>
      </c>
      <c r="G385" t="b">
        <v>0</v>
      </c>
      <c r="H385">
        <f>Sensitivity!H5</f>
        <v/>
      </c>
    </row>
    <row r="386">
      <c r="A386" t="inlineStr">
        <is>
          <t>ALL</t>
        </is>
      </c>
      <c r="B386" t="inlineStr">
        <is>
          <t>mystic</t>
        </is>
      </c>
      <c r="C386" t="n">
        <v>2</v>
      </c>
      <c r="D386" t="inlineStr">
        <is>
          <t>Critical Rate %</t>
        </is>
      </c>
      <c r="E386" t="n">
        <v>12</v>
      </c>
      <c r="F386" t="n">
        <v>1.9</v>
      </c>
      <c r="G386" t="b">
        <v>0</v>
      </c>
      <c r="H386">
        <f>IF(AND(Inputs!$B$9+Summary!$B$14+Artifacts!$B$32&gt;=100,NOT(ArtifactsInput!$M$42),NOT(ArtifactsInput!$M$24)),Sensitivity!H16,Sensitivity!H15)</f>
        <v/>
      </c>
    </row>
    <row r="387">
      <c r="A387" t="inlineStr">
        <is>
          <t>ALL</t>
        </is>
      </c>
      <c r="B387" t="inlineStr">
        <is>
          <t>mystic</t>
        </is>
      </c>
      <c r="C387" t="n">
        <v>2</v>
      </c>
      <c r="D387" t="inlineStr">
        <is>
          <t>Critical Rate %</t>
        </is>
      </c>
      <c r="E387" t="n">
        <v>15</v>
      </c>
      <c r="F387" t="n">
        <v>0.6</v>
      </c>
      <c r="G387" t="b">
        <v>1</v>
      </c>
      <c r="H387">
        <f>IF(AND(Inputs!$B$9+Summary!$B$14+Artifacts!$B$32&gt;=100,NOT(ArtifactsInput!$M$42),NOT(ArtifactsInput!$M$24)),Sensitivity!H16,Sensitivity!H15)</f>
        <v/>
      </c>
    </row>
    <row r="388">
      <c r="A388" t="inlineStr">
        <is>
          <t>ALL</t>
        </is>
      </c>
      <c r="B388" t="inlineStr">
        <is>
          <t>mystic</t>
        </is>
      </c>
      <c r="C388" t="n">
        <v>2</v>
      </c>
      <c r="D388" t="inlineStr">
        <is>
          <t>Attack Speed %</t>
        </is>
      </c>
      <c r="E388" t="n">
        <v>7</v>
      </c>
      <c r="F388" t="n">
        <v>1.9</v>
      </c>
      <c r="G388" t="b">
        <v>0</v>
      </c>
      <c r="H388">
        <f>Sensitivity!H17</f>
        <v/>
      </c>
    </row>
    <row r="389">
      <c r="A389" t="inlineStr">
        <is>
          <t>ALL</t>
        </is>
      </c>
      <c r="B389" t="inlineStr">
        <is>
          <t>mystic</t>
        </is>
      </c>
      <c r="C389" t="n">
        <v>2</v>
      </c>
      <c r="D389" t="inlineStr">
        <is>
          <t>Attack Speed %</t>
        </is>
      </c>
      <c r="E389" t="n">
        <v>10</v>
      </c>
      <c r="F389" t="n">
        <v>0.6</v>
      </c>
      <c r="G389" t="b">
        <v>1</v>
      </c>
      <c r="H389">
        <f>Sensitivity!H17</f>
        <v/>
      </c>
    </row>
    <row r="390">
      <c r="A390" t="inlineStr">
        <is>
          <t>ALL</t>
        </is>
      </c>
      <c r="B390" t="inlineStr">
        <is>
          <t>mystic</t>
        </is>
      </c>
      <c r="C390" t="n">
        <v>2</v>
      </c>
      <c r="D390" t="inlineStr">
        <is>
          <t>Damage %</t>
        </is>
      </c>
      <c r="E390" t="n">
        <v>25</v>
      </c>
      <c r="F390" t="n">
        <v>3.04</v>
      </c>
      <c r="G390" t="b">
        <v>0</v>
      </c>
      <c r="H390">
        <f>Sensitivity!H8</f>
        <v/>
      </c>
    </row>
    <row r="391">
      <c r="A391" t="inlineStr">
        <is>
          <t>ALL</t>
        </is>
      </c>
      <c r="B391" t="inlineStr">
        <is>
          <t>mystic</t>
        </is>
      </c>
      <c r="C391" t="n">
        <v>2</v>
      </c>
      <c r="D391" t="inlineStr">
        <is>
          <t>Damage %</t>
        </is>
      </c>
      <c r="E391" t="n">
        <v>35</v>
      </c>
      <c r="F391" t="n">
        <v>0.96</v>
      </c>
      <c r="G391" t="b">
        <v>1</v>
      </c>
      <c r="H391">
        <f>Sensitivity!H8</f>
        <v/>
      </c>
    </row>
    <row r="392">
      <c r="A392" t="inlineStr">
        <is>
          <t>ALL</t>
        </is>
      </c>
      <c r="B392" t="inlineStr">
        <is>
          <t>mystic</t>
        </is>
      </c>
      <c r="C392" t="n">
        <v>2</v>
      </c>
      <c r="D392" t="inlineStr">
        <is>
          <t>Min Damage Multiplier %</t>
        </is>
      </c>
      <c r="E392" t="n">
        <v>15</v>
      </c>
      <c r="F392" t="n">
        <v>3.04</v>
      </c>
      <c r="G392" t="b">
        <v>0</v>
      </c>
      <c r="H392">
        <f>Sensitivity!H13</f>
        <v/>
      </c>
    </row>
    <row r="393">
      <c r="A393" t="inlineStr">
        <is>
          <t>ALL</t>
        </is>
      </c>
      <c r="B393" t="inlineStr">
        <is>
          <t>mystic</t>
        </is>
      </c>
      <c r="C393" t="n">
        <v>2</v>
      </c>
      <c r="D393" t="inlineStr">
        <is>
          <t>Min Damage Multiplier %</t>
        </is>
      </c>
      <c r="E393" t="n">
        <v>25</v>
      </c>
      <c r="F393" t="n">
        <v>0.96</v>
      </c>
      <c r="G393" t="b">
        <v>1</v>
      </c>
      <c r="H393">
        <f>Sensitivity!H13</f>
        <v/>
      </c>
    </row>
    <row r="394">
      <c r="A394" t="inlineStr">
        <is>
          <t>ALL</t>
        </is>
      </c>
      <c r="B394" t="inlineStr">
        <is>
          <t>mystic</t>
        </is>
      </c>
      <c r="C394" t="n">
        <v>2</v>
      </c>
      <c r="D394" t="inlineStr">
        <is>
          <t>Max Damage Multiplier %</t>
        </is>
      </c>
      <c r="E394" t="n">
        <v>15</v>
      </c>
      <c r="F394" t="n">
        <v>3.04</v>
      </c>
      <c r="G394" t="b">
        <v>0</v>
      </c>
      <c r="H394">
        <f>Sensitivity!H14</f>
        <v/>
      </c>
    </row>
    <row r="395">
      <c r="A395" t="inlineStr">
        <is>
          <t>ALL</t>
        </is>
      </c>
      <c r="B395" t="inlineStr">
        <is>
          <t>mystic</t>
        </is>
      </c>
      <c r="C395" t="n">
        <v>2</v>
      </c>
      <c r="D395" t="inlineStr">
        <is>
          <t>Max Damage Multiplier %</t>
        </is>
      </c>
      <c r="E395" t="n">
        <v>25</v>
      </c>
      <c r="F395" t="n">
        <v>0.96</v>
      </c>
      <c r="G395" t="b">
        <v>1</v>
      </c>
      <c r="H395">
        <f>Sensitivity!H14</f>
        <v/>
      </c>
    </row>
    <row r="396">
      <c r="A396" t="inlineStr">
        <is>
          <t>ALL</t>
        </is>
      </c>
      <c r="B396" t="inlineStr">
        <is>
          <t>mystic</t>
        </is>
      </c>
      <c r="C396" t="n">
        <v>2</v>
      </c>
      <c r="D396" t="inlineStr">
        <is>
          <t>Str %</t>
        </is>
      </c>
      <c r="E396" t="n">
        <v>12</v>
      </c>
      <c r="F396" t="n">
        <v>3.42</v>
      </c>
      <c r="G396" t="b">
        <v>0</v>
      </c>
      <c r="H396" t="inlineStr">
        <is>
          <t>0</t>
        </is>
      </c>
    </row>
    <row r="397">
      <c r="A397" t="inlineStr">
        <is>
          <t>ALL</t>
        </is>
      </c>
      <c r="B397" t="inlineStr">
        <is>
          <t>mystic</t>
        </is>
      </c>
      <c r="C397" t="n">
        <v>2</v>
      </c>
      <c r="D397" t="inlineStr">
        <is>
          <t>Str %</t>
        </is>
      </c>
      <c r="E397" t="n">
        <v>15</v>
      </c>
      <c r="F397" t="n">
        <v>1.08</v>
      </c>
      <c r="G397" t="b">
        <v>1</v>
      </c>
      <c r="H397" t="inlineStr">
        <is>
          <t>0</t>
        </is>
      </c>
    </row>
    <row r="398">
      <c r="A398" t="inlineStr">
        <is>
          <t>ALL</t>
        </is>
      </c>
      <c r="B398" t="inlineStr">
        <is>
          <t>mystic</t>
        </is>
      </c>
      <c r="C398" t="n">
        <v>2</v>
      </c>
      <c r="D398" t="inlineStr">
        <is>
          <t>Dex %</t>
        </is>
      </c>
      <c r="E398" t="n">
        <v>12</v>
      </c>
      <c r="F398" t="n">
        <v>3.42</v>
      </c>
      <c r="G398" t="b">
        <v>0</v>
      </c>
      <c r="H398">
        <f>Sensitivity!H7*Inputs!$B$14/100</f>
        <v/>
      </c>
    </row>
    <row r="399">
      <c r="A399" t="inlineStr">
        <is>
          <t>ALL</t>
        </is>
      </c>
      <c r="B399" t="inlineStr">
        <is>
          <t>mystic</t>
        </is>
      </c>
      <c r="C399" t="n">
        <v>2</v>
      </c>
      <c r="D399" t="inlineStr">
        <is>
          <t>Dex %</t>
        </is>
      </c>
      <c r="E399" t="n">
        <v>15</v>
      </c>
      <c r="F399" t="n">
        <v>1.08</v>
      </c>
      <c r="G399" t="b">
        <v>1</v>
      </c>
      <c r="H399">
        <f>Sensitivity!H7*Inputs!$B$14/100</f>
        <v/>
      </c>
    </row>
    <row r="400">
      <c r="A400" t="inlineStr">
        <is>
          <t>ALL</t>
        </is>
      </c>
      <c r="B400" t="inlineStr">
        <is>
          <t>mystic</t>
        </is>
      </c>
      <c r="C400" t="n">
        <v>2</v>
      </c>
      <c r="D400" t="inlineStr">
        <is>
          <t>Int %</t>
        </is>
      </c>
      <c r="E400" t="n">
        <v>12</v>
      </c>
      <c r="F400" t="n">
        <v>3.42</v>
      </c>
      <c r="G400" t="b">
        <v>0</v>
      </c>
      <c r="H400" t="inlineStr">
        <is>
          <t>0</t>
        </is>
      </c>
    </row>
    <row r="401">
      <c r="A401" t="inlineStr">
        <is>
          <t>ALL</t>
        </is>
      </c>
      <c r="B401" t="inlineStr">
        <is>
          <t>mystic</t>
        </is>
      </c>
      <c r="C401" t="n">
        <v>2</v>
      </c>
      <c r="D401" t="inlineStr">
        <is>
          <t>Int %</t>
        </is>
      </c>
      <c r="E401" t="n">
        <v>15</v>
      </c>
      <c r="F401" t="n">
        <v>1.08</v>
      </c>
      <c r="G401" t="b">
        <v>1</v>
      </c>
      <c r="H401" t="inlineStr">
        <is>
          <t>0</t>
        </is>
      </c>
    </row>
    <row r="402">
      <c r="A402" t="inlineStr">
        <is>
          <t>ALL</t>
        </is>
      </c>
      <c r="B402" t="inlineStr">
        <is>
          <t>mystic</t>
        </is>
      </c>
      <c r="C402" t="n">
        <v>2</v>
      </c>
      <c r="D402" t="inlineStr">
        <is>
          <t>Luk %</t>
        </is>
      </c>
      <c r="E402" t="n">
        <v>12</v>
      </c>
      <c r="F402" t="n">
        <v>3.42</v>
      </c>
      <c r="G402" t="b">
        <v>0</v>
      </c>
      <c r="H402">
        <f>Sensitivity!H6</f>
        <v/>
      </c>
    </row>
    <row r="403">
      <c r="A403" t="inlineStr">
        <is>
          <t>ALL</t>
        </is>
      </c>
      <c r="B403" t="inlineStr">
        <is>
          <t>mystic</t>
        </is>
      </c>
      <c r="C403" t="n">
        <v>2</v>
      </c>
      <c r="D403" t="inlineStr">
        <is>
          <t>Luk %</t>
        </is>
      </c>
      <c r="E403" t="n">
        <v>15</v>
      </c>
      <c r="F403" t="n">
        <v>1.08</v>
      </c>
      <c r="G403" t="b">
        <v>1</v>
      </c>
      <c r="H403">
        <f>Sensitivity!H6</f>
        <v/>
      </c>
    </row>
    <row r="404">
      <c r="A404" t="inlineStr">
        <is>
          <t>ALL</t>
        </is>
      </c>
      <c r="B404" t="inlineStr">
        <is>
          <t>mystic</t>
        </is>
      </c>
      <c r="C404" t="n">
        <v>2</v>
      </c>
      <c r="D404" t="inlineStr">
        <is>
          <t>Defense %</t>
        </is>
      </c>
      <c r="E404" t="n">
        <v>12</v>
      </c>
      <c r="F404" t="n">
        <v>6.84</v>
      </c>
      <c r="G404" t="b">
        <v>0</v>
      </c>
      <c r="H404" t="inlineStr">
        <is>
          <t>0</t>
        </is>
      </c>
    </row>
    <row r="405">
      <c r="A405" t="inlineStr">
        <is>
          <t>ALL</t>
        </is>
      </c>
      <c r="B405" t="inlineStr">
        <is>
          <t>mystic</t>
        </is>
      </c>
      <c r="C405" t="n">
        <v>2</v>
      </c>
      <c r="D405" t="inlineStr">
        <is>
          <t>Defense %</t>
        </is>
      </c>
      <c r="E405" t="n">
        <v>15</v>
      </c>
      <c r="F405" t="n">
        <v>2.16</v>
      </c>
      <c r="G405" t="b">
        <v>1</v>
      </c>
      <c r="H405" t="inlineStr">
        <is>
          <t>0</t>
        </is>
      </c>
    </row>
    <row r="406">
      <c r="A406" t="inlineStr">
        <is>
          <t>ALL</t>
        </is>
      </c>
      <c r="B406" t="inlineStr">
        <is>
          <t>mystic</t>
        </is>
      </c>
      <c r="C406" t="n">
        <v>2</v>
      </c>
      <c r="D406" t="inlineStr">
        <is>
          <t>Max HP %</t>
        </is>
      </c>
      <c r="E406" t="n">
        <v>20</v>
      </c>
      <c r="F406" t="n">
        <v>6.84</v>
      </c>
      <c r="G406" t="b">
        <v>0</v>
      </c>
      <c r="H406" t="inlineStr">
        <is>
          <t>0</t>
        </is>
      </c>
    </row>
    <row r="407">
      <c r="A407" t="inlineStr">
        <is>
          <t>ALL</t>
        </is>
      </c>
      <c r="B407" t="inlineStr">
        <is>
          <t>mystic</t>
        </is>
      </c>
      <c r="C407" t="n">
        <v>2</v>
      </c>
      <c r="D407" t="inlineStr">
        <is>
          <t>Max HP %</t>
        </is>
      </c>
      <c r="E407" t="n">
        <v>25</v>
      </c>
      <c r="F407" t="n">
        <v>2.16</v>
      </c>
      <c r="G407" t="b">
        <v>1</v>
      </c>
      <c r="H407" t="inlineStr">
        <is>
          <t>0</t>
        </is>
      </c>
    </row>
    <row r="408">
      <c r="A408" t="inlineStr">
        <is>
          <t>ALL</t>
        </is>
      </c>
      <c r="B408" t="inlineStr">
        <is>
          <t>mystic</t>
        </is>
      </c>
      <c r="C408" t="n">
        <v>2</v>
      </c>
      <c r="D408" t="inlineStr">
        <is>
          <t>Max MP %</t>
        </is>
      </c>
      <c r="E408" t="n">
        <v>12</v>
      </c>
      <c r="F408" t="n">
        <v>6.84</v>
      </c>
      <c r="G408" t="b">
        <v>0</v>
      </c>
      <c r="H408" t="inlineStr">
        <is>
          <t>0</t>
        </is>
      </c>
    </row>
    <row r="409">
      <c r="A409" t="inlineStr">
        <is>
          <t>ALL</t>
        </is>
      </c>
      <c r="B409" t="inlineStr">
        <is>
          <t>mystic</t>
        </is>
      </c>
      <c r="C409" t="n">
        <v>2</v>
      </c>
      <c r="D409" t="inlineStr">
        <is>
          <t>Max MP %</t>
        </is>
      </c>
      <c r="E409" t="n">
        <v>15</v>
      </c>
      <c r="F409" t="n">
        <v>2.16</v>
      </c>
      <c r="G409" t="b">
        <v>1</v>
      </c>
      <c r="H409" t="inlineStr">
        <is>
          <t>0</t>
        </is>
      </c>
    </row>
    <row r="410">
      <c r="A410" t="inlineStr">
        <is>
          <t>ALL</t>
        </is>
      </c>
      <c r="B410" t="inlineStr">
        <is>
          <t>mystic</t>
        </is>
      </c>
      <c r="C410" t="n">
        <v>2</v>
      </c>
      <c r="D410" t="inlineStr">
        <is>
          <t>Str</t>
        </is>
      </c>
      <c r="E410" t="n">
        <v>600</v>
      </c>
      <c r="F410" t="n">
        <v>7.03</v>
      </c>
      <c r="G410" t="b">
        <v>0</v>
      </c>
      <c r="H410" t="inlineStr">
        <is>
          <t>0</t>
        </is>
      </c>
    </row>
    <row r="411">
      <c r="A411" t="inlineStr">
        <is>
          <t>ALL</t>
        </is>
      </c>
      <c r="B411" t="inlineStr">
        <is>
          <t>mystic</t>
        </is>
      </c>
      <c r="C411" t="n">
        <v>2</v>
      </c>
      <c r="D411" t="inlineStr">
        <is>
          <t>Str</t>
        </is>
      </c>
      <c r="E411" t="n">
        <v>1000</v>
      </c>
      <c r="F411" t="n">
        <v>2.22</v>
      </c>
      <c r="G411" t="b">
        <v>1</v>
      </c>
      <c r="H411" t="inlineStr">
        <is>
          <t>0</t>
        </is>
      </c>
    </row>
    <row r="412">
      <c r="A412" t="inlineStr">
        <is>
          <t>ALL</t>
        </is>
      </c>
      <c r="B412" t="inlineStr">
        <is>
          <t>mystic</t>
        </is>
      </c>
      <c r="C412" t="n">
        <v>2</v>
      </c>
      <c r="D412" t="inlineStr">
        <is>
          <t>Dex</t>
        </is>
      </c>
      <c r="E412" t="n">
        <v>600</v>
      </c>
      <c r="F412" t="n">
        <v>7.03</v>
      </c>
      <c r="G412" t="b">
        <v>0</v>
      </c>
      <c r="H412">
        <f>Sensitivity!H7</f>
        <v/>
      </c>
    </row>
    <row r="413">
      <c r="A413" t="inlineStr">
        <is>
          <t>ALL</t>
        </is>
      </c>
      <c r="B413" t="inlineStr">
        <is>
          <t>mystic</t>
        </is>
      </c>
      <c r="C413" t="n">
        <v>2</v>
      </c>
      <c r="D413" t="inlineStr">
        <is>
          <t>Dex</t>
        </is>
      </c>
      <c r="E413" t="n">
        <v>1000</v>
      </c>
      <c r="F413" t="n">
        <v>2.22</v>
      </c>
      <c r="G413" t="b">
        <v>1</v>
      </c>
      <c r="H413">
        <f>Sensitivity!H7</f>
        <v/>
      </c>
    </row>
    <row r="414">
      <c r="A414" t="inlineStr">
        <is>
          <t>ALL</t>
        </is>
      </c>
      <c r="B414" t="inlineStr">
        <is>
          <t>mystic</t>
        </is>
      </c>
      <c r="C414" t="n">
        <v>2</v>
      </c>
      <c r="D414" t="inlineStr">
        <is>
          <t>Int</t>
        </is>
      </c>
      <c r="E414" t="n">
        <v>600</v>
      </c>
      <c r="F414" t="n">
        <v>7.03</v>
      </c>
      <c r="G414" t="b">
        <v>0</v>
      </c>
      <c r="H414" t="inlineStr">
        <is>
          <t>0</t>
        </is>
      </c>
    </row>
    <row r="415">
      <c r="A415" t="inlineStr">
        <is>
          <t>ALL</t>
        </is>
      </c>
      <c r="B415" t="inlineStr">
        <is>
          <t>mystic</t>
        </is>
      </c>
      <c r="C415" t="n">
        <v>2</v>
      </c>
      <c r="D415" t="inlineStr">
        <is>
          <t>Int</t>
        </is>
      </c>
      <c r="E415" t="n">
        <v>1000</v>
      </c>
      <c r="F415" t="n">
        <v>2.22</v>
      </c>
      <c r="G415" t="b">
        <v>1</v>
      </c>
      <c r="H415" t="inlineStr">
        <is>
          <t>0</t>
        </is>
      </c>
    </row>
    <row r="416">
      <c r="A416" t="inlineStr">
        <is>
          <t>ALL</t>
        </is>
      </c>
      <c r="B416" t="inlineStr">
        <is>
          <t>mystic</t>
        </is>
      </c>
      <c r="C416" t="n">
        <v>2</v>
      </c>
      <c r="D416" t="inlineStr">
        <is>
          <t>Luk</t>
        </is>
      </c>
      <c r="E416" t="n">
        <v>600</v>
      </c>
      <c r="F416" t="n">
        <v>7.03</v>
      </c>
      <c r="G416" t="b">
        <v>0</v>
      </c>
      <c r="H416">
        <f>Sensitivity!H5</f>
        <v/>
      </c>
    </row>
    <row r="417">
      <c r="A417" t="inlineStr">
        <is>
          <t>ALL</t>
        </is>
      </c>
      <c r="B417" t="inlineStr">
        <is>
          <t>mystic</t>
        </is>
      </c>
      <c r="C417" t="n">
        <v>2</v>
      </c>
      <c r="D417" t="inlineStr">
        <is>
          <t>Luk</t>
        </is>
      </c>
      <c r="E417" t="n">
        <v>1000</v>
      </c>
      <c r="F417" t="n">
        <v>2.22</v>
      </c>
      <c r="G417" t="b">
        <v>1</v>
      </c>
      <c r="H417">
        <f>Sensitivity!H5</f>
        <v/>
      </c>
    </row>
    <row r="418">
      <c r="A418" t="inlineStr">
        <is>
          <t>ALL</t>
        </is>
      </c>
      <c r="B418" t="inlineStr">
        <is>
          <t>mystic</t>
        </is>
      </c>
      <c r="C418" t="n">
        <v>3</v>
      </c>
      <c r="D418" t="inlineStr">
        <is>
          <t>Critical Rate %</t>
        </is>
      </c>
      <c r="E418" t="n">
        <v>12</v>
      </c>
      <c r="F418" t="n">
        <v>2.3</v>
      </c>
      <c r="G418" t="b">
        <v>0</v>
      </c>
      <c r="H418">
        <f>IF(AND(Inputs!$B$9+Summary!$B$14+Artifacts!$B$32&gt;=100,NOT(ArtifactsInput!$M$42),NOT(ArtifactsInput!$M$24)),Sensitivity!H16,Sensitivity!H15)</f>
        <v/>
      </c>
    </row>
    <row r="419">
      <c r="A419" t="inlineStr">
        <is>
          <t>ALL</t>
        </is>
      </c>
      <c r="B419" t="inlineStr">
        <is>
          <t>mystic</t>
        </is>
      </c>
      <c r="C419" t="n">
        <v>3</v>
      </c>
      <c r="D419" t="inlineStr">
        <is>
          <t>Critical Rate %</t>
        </is>
      </c>
      <c r="E419" t="n">
        <v>15</v>
      </c>
      <c r="F419" t="n">
        <v>0.2</v>
      </c>
      <c r="G419" t="b">
        <v>1</v>
      </c>
      <c r="H419">
        <f>IF(AND(Inputs!$B$9+Summary!$B$14+Artifacts!$B$32&gt;=100,NOT(ArtifactsInput!$M$42),NOT(ArtifactsInput!$M$24)),Sensitivity!H16,Sensitivity!H15)</f>
        <v/>
      </c>
    </row>
    <row r="420">
      <c r="A420" t="inlineStr">
        <is>
          <t>ALL</t>
        </is>
      </c>
      <c r="B420" t="inlineStr">
        <is>
          <t>mystic</t>
        </is>
      </c>
      <c r="C420" t="n">
        <v>3</v>
      </c>
      <c r="D420" t="inlineStr">
        <is>
          <t>Attack Speed %</t>
        </is>
      </c>
      <c r="E420" t="n">
        <v>7</v>
      </c>
      <c r="F420" t="n">
        <v>2.3</v>
      </c>
      <c r="G420" t="b">
        <v>0</v>
      </c>
      <c r="H420">
        <f>Sensitivity!H17</f>
        <v/>
      </c>
    </row>
    <row r="421">
      <c r="A421" t="inlineStr">
        <is>
          <t>ALL</t>
        </is>
      </c>
      <c r="B421" t="inlineStr">
        <is>
          <t>mystic</t>
        </is>
      </c>
      <c r="C421" t="n">
        <v>3</v>
      </c>
      <c r="D421" t="inlineStr">
        <is>
          <t>Attack Speed %</t>
        </is>
      </c>
      <c r="E421" t="n">
        <v>10</v>
      </c>
      <c r="F421" t="n">
        <v>0.2</v>
      </c>
      <c r="G421" t="b">
        <v>1</v>
      </c>
      <c r="H421">
        <f>Sensitivity!H17</f>
        <v/>
      </c>
    </row>
    <row r="422">
      <c r="A422" t="inlineStr">
        <is>
          <t>ALL</t>
        </is>
      </c>
      <c r="B422" t="inlineStr">
        <is>
          <t>mystic</t>
        </is>
      </c>
      <c r="C422" t="n">
        <v>3</v>
      </c>
      <c r="D422" t="inlineStr">
        <is>
          <t>Damage %</t>
        </is>
      </c>
      <c r="E422" t="n">
        <v>25</v>
      </c>
      <c r="F422" t="n">
        <v>3.68</v>
      </c>
      <c r="G422" t="b">
        <v>0</v>
      </c>
      <c r="H422">
        <f>Sensitivity!H8</f>
        <v/>
      </c>
    </row>
    <row r="423">
      <c r="A423" t="inlineStr">
        <is>
          <t>ALL</t>
        </is>
      </c>
      <c r="B423" t="inlineStr">
        <is>
          <t>mystic</t>
        </is>
      </c>
      <c r="C423" t="n">
        <v>3</v>
      </c>
      <c r="D423" t="inlineStr">
        <is>
          <t>Damage %</t>
        </is>
      </c>
      <c r="E423" t="n">
        <v>35</v>
      </c>
      <c r="F423" t="n">
        <v>0.32</v>
      </c>
      <c r="G423" t="b">
        <v>1</v>
      </c>
      <c r="H423">
        <f>Sensitivity!H8</f>
        <v/>
      </c>
    </row>
    <row r="424">
      <c r="A424" t="inlineStr">
        <is>
          <t>ALL</t>
        </is>
      </c>
      <c r="B424" t="inlineStr">
        <is>
          <t>mystic</t>
        </is>
      </c>
      <c r="C424" t="n">
        <v>3</v>
      </c>
      <c r="D424" t="inlineStr">
        <is>
          <t>Min Damage Multiplier %</t>
        </is>
      </c>
      <c r="E424" t="n">
        <v>15</v>
      </c>
      <c r="F424" t="n">
        <v>3.68</v>
      </c>
      <c r="G424" t="b">
        <v>0</v>
      </c>
      <c r="H424">
        <f>Sensitivity!H13</f>
        <v/>
      </c>
    </row>
    <row r="425">
      <c r="A425" t="inlineStr">
        <is>
          <t>ALL</t>
        </is>
      </c>
      <c r="B425" t="inlineStr">
        <is>
          <t>mystic</t>
        </is>
      </c>
      <c r="C425" t="n">
        <v>3</v>
      </c>
      <c r="D425" t="inlineStr">
        <is>
          <t>Min Damage Multiplier %</t>
        </is>
      </c>
      <c r="E425" t="n">
        <v>25</v>
      </c>
      <c r="F425" t="n">
        <v>0.32</v>
      </c>
      <c r="G425" t="b">
        <v>1</v>
      </c>
      <c r="H425">
        <f>Sensitivity!H13</f>
        <v/>
      </c>
    </row>
    <row r="426">
      <c r="A426" t="inlineStr">
        <is>
          <t>ALL</t>
        </is>
      </c>
      <c r="B426" t="inlineStr">
        <is>
          <t>mystic</t>
        </is>
      </c>
      <c r="C426" t="n">
        <v>3</v>
      </c>
      <c r="D426" t="inlineStr">
        <is>
          <t>Max Damage Multiplier %</t>
        </is>
      </c>
      <c r="E426" t="n">
        <v>15</v>
      </c>
      <c r="F426" t="n">
        <v>3.68</v>
      </c>
      <c r="G426" t="b">
        <v>0</v>
      </c>
      <c r="H426">
        <f>Sensitivity!H14</f>
        <v/>
      </c>
    </row>
    <row r="427">
      <c r="A427" t="inlineStr">
        <is>
          <t>ALL</t>
        </is>
      </c>
      <c r="B427" t="inlineStr">
        <is>
          <t>mystic</t>
        </is>
      </c>
      <c r="C427" t="n">
        <v>3</v>
      </c>
      <c r="D427" t="inlineStr">
        <is>
          <t>Max Damage Multiplier %</t>
        </is>
      </c>
      <c r="E427" t="n">
        <v>25</v>
      </c>
      <c r="F427" t="n">
        <v>0.32</v>
      </c>
      <c r="G427" t="b">
        <v>1</v>
      </c>
      <c r="H427">
        <f>Sensitivity!H14</f>
        <v/>
      </c>
    </row>
    <row r="428">
      <c r="A428" t="inlineStr">
        <is>
          <t>ALL</t>
        </is>
      </c>
      <c r="B428" t="inlineStr">
        <is>
          <t>mystic</t>
        </is>
      </c>
      <c r="C428" t="n">
        <v>3</v>
      </c>
      <c r="D428" t="inlineStr">
        <is>
          <t>Str %</t>
        </is>
      </c>
      <c r="E428" t="n">
        <v>12</v>
      </c>
      <c r="F428" t="n">
        <v>4.14</v>
      </c>
      <c r="G428" t="b">
        <v>0</v>
      </c>
      <c r="H428" t="inlineStr">
        <is>
          <t>0</t>
        </is>
      </c>
    </row>
    <row r="429">
      <c r="A429" t="inlineStr">
        <is>
          <t>ALL</t>
        </is>
      </c>
      <c r="B429" t="inlineStr">
        <is>
          <t>mystic</t>
        </is>
      </c>
      <c r="C429" t="n">
        <v>3</v>
      </c>
      <c r="D429" t="inlineStr">
        <is>
          <t>Str %</t>
        </is>
      </c>
      <c r="E429" t="n">
        <v>15</v>
      </c>
      <c r="F429" t="n">
        <v>0.36</v>
      </c>
      <c r="G429" t="b">
        <v>1</v>
      </c>
      <c r="H429" t="inlineStr">
        <is>
          <t>0</t>
        </is>
      </c>
    </row>
    <row r="430">
      <c r="A430" t="inlineStr">
        <is>
          <t>ALL</t>
        </is>
      </c>
      <c r="B430" t="inlineStr">
        <is>
          <t>mystic</t>
        </is>
      </c>
      <c r="C430" t="n">
        <v>3</v>
      </c>
      <c r="D430" t="inlineStr">
        <is>
          <t>Dex %</t>
        </is>
      </c>
      <c r="E430" t="n">
        <v>12</v>
      </c>
      <c r="F430" t="n">
        <v>4.14</v>
      </c>
      <c r="G430" t="b">
        <v>0</v>
      </c>
      <c r="H430">
        <f>Sensitivity!H7*Inputs!$B$14/100</f>
        <v/>
      </c>
    </row>
    <row r="431">
      <c r="A431" t="inlineStr">
        <is>
          <t>ALL</t>
        </is>
      </c>
      <c r="B431" t="inlineStr">
        <is>
          <t>mystic</t>
        </is>
      </c>
      <c r="C431" t="n">
        <v>3</v>
      </c>
      <c r="D431" t="inlineStr">
        <is>
          <t>Dex %</t>
        </is>
      </c>
      <c r="E431" t="n">
        <v>15</v>
      </c>
      <c r="F431" t="n">
        <v>0.36</v>
      </c>
      <c r="G431" t="b">
        <v>1</v>
      </c>
      <c r="H431">
        <f>Sensitivity!H7*Inputs!$B$14/100</f>
        <v/>
      </c>
    </row>
    <row r="432">
      <c r="A432" t="inlineStr">
        <is>
          <t>ALL</t>
        </is>
      </c>
      <c r="B432" t="inlineStr">
        <is>
          <t>mystic</t>
        </is>
      </c>
      <c r="C432" t="n">
        <v>3</v>
      </c>
      <c r="D432" t="inlineStr">
        <is>
          <t>Int %</t>
        </is>
      </c>
      <c r="E432" t="n">
        <v>12</v>
      </c>
      <c r="F432" t="n">
        <v>4.14</v>
      </c>
      <c r="G432" t="b">
        <v>0</v>
      </c>
      <c r="H432" t="inlineStr">
        <is>
          <t>0</t>
        </is>
      </c>
    </row>
    <row r="433">
      <c r="A433" t="inlineStr">
        <is>
          <t>ALL</t>
        </is>
      </c>
      <c r="B433" t="inlineStr">
        <is>
          <t>mystic</t>
        </is>
      </c>
      <c r="C433" t="n">
        <v>3</v>
      </c>
      <c r="D433" t="inlineStr">
        <is>
          <t>Int %</t>
        </is>
      </c>
      <c r="E433" t="n">
        <v>15</v>
      </c>
      <c r="F433" t="n">
        <v>0.36</v>
      </c>
      <c r="G433" t="b">
        <v>1</v>
      </c>
      <c r="H433" t="inlineStr">
        <is>
          <t>0</t>
        </is>
      </c>
    </row>
    <row r="434">
      <c r="A434" t="inlineStr">
        <is>
          <t>ALL</t>
        </is>
      </c>
      <c r="B434" t="inlineStr">
        <is>
          <t>mystic</t>
        </is>
      </c>
      <c r="C434" t="n">
        <v>3</v>
      </c>
      <c r="D434" t="inlineStr">
        <is>
          <t>Luk %</t>
        </is>
      </c>
      <c r="E434" t="n">
        <v>12</v>
      </c>
      <c r="F434" t="n">
        <v>4.14</v>
      </c>
      <c r="G434" t="b">
        <v>0</v>
      </c>
      <c r="H434">
        <f>Sensitivity!H6</f>
        <v/>
      </c>
    </row>
    <row r="435">
      <c r="A435" t="inlineStr">
        <is>
          <t>ALL</t>
        </is>
      </c>
      <c r="B435" t="inlineStr">
        <is>
          <t>mystic</t>
        </is>
      </c>
      <c r="C435" t="n">
        <v>3</v>
      </c>
      <c r="D435" t="inlineStr">
        <is>
          <t>Luk %</t>
        </is>
      </c>
      <c r="E435" t="n">
        <v>15</v>
      </c>
      <c r="F435" t="n">
        <v>0.36</v>
      </c>
      <c r="G435" t="b">
        <v>1</v>
      </c>
      <c r="H435">
        <f>Sensitivity!H6</f>
        <v/>
      </c>
    </row>
    <row r="436">
      <c r="A436" t="inlineStr">
        <is>
          <t>ALL</t>
        </is>
      </c>
      <c r="B436" t="inlineStr">
        <is>
          <t>mystic</t>
        </is>
      </c>
      <c r="C436" t="n">
        <v>3</v>
      </c>
      <c r="D436" t="inlineStr">
        <is>
          <t>Defense %</t>
        </is>
      </c>
      <c r="E436" t="n">
        <v>12</v>
      </c>
      <c r="F436" t="n">
        <v>8.279999999999999</v>
      </c>
      <c r="G436" t="b">
        <v>0</v>
      </c>
      <c r="H436" t="inlineStr">
        <is>
          <t>0</t>
        </is>
      </c>
    </row>
    <row r="437">
      <c r="A437" t="inlineStr">
        <is>
          <t>ALL</t>
        </is>
      </c>
      <c r="B437" t="inlineStr">
        <is>
          <t>mystic</t>
        </is>
      </c>
      <c r="C437" t="n">
        <v>3</v>
      </c>
      <c r="D437" t="inlineStr">
        <is>
          <t>Defense %</t>
        </is>
      </c>
      <c r="E437" t="n">
        <v>15</v>
      </c>
      <c r="F437" t="n">
        <v>0.72</v>
      </c>
      <c r="G437" t="b">
        <v>1</v>
      </c>
      <c r="H437" t="inlineStr">
        <is>
          <t>0</t>
        </is>
      </c>
    </row>
    <row r="438">
      <c r="A438" t="inlineStr">
        <is>
          <t>ALL</t>
        </is>
      </c>
      <c r="B438" t="inlineStr">
        <is>
          <t>mystic</t>
        </is>
      </c>
      <c r="C438" t="n">
        <v>3</v>
      </c>
      <c r="D438" t="inlineStr">
        <is>
          <t>Max HP %</t>
        </is>
      </c>
      <c r="E438" t="n">
        <v>20</v>
      </c>
      <c r="F438" t="n">
        <v>8.279999999999999</v>
      </c>
      <c r="G438" t="b">
        <v>0</v>
      </c>
      <c r="H438" t="inlineStr">
        <is>
          <t>0</t>
        </is>
      </c>
    </row>
    <row r="439">
      <c r="A439" t="inlineStr">
        <is>
          <t>ALL</t>
        </is>
      </c>
      <c r="B439" t="inlineStr">
        <is>
          <t>mystic</t>
        </is>
      </c>
      <c r="C439" t="n">
        <v>3</v>
      </c>
      <c r="D439" t="inlineStr">
        <is>
          <t>Max HP %</t>
        </is>
      </c>
      <c r="E439" t="n">
        <v>25</v>
      </c>
      <c r="F439" t="n">
        <v>0.72</v>
      </c>
      <c r="G439" t="b">
        <v>1</v>
      </c>
      <c r="H439" t="inlineStr">
        <is>
          <t>0</t>
        </is>
      </c>
    </row>
    <row r="440">
      <c r="A440" t="inlineStr">
        <is>
          <t>ALL</t>
        </is>
      </c>
      <c r="B440" t="inlineStr">
        <is>
          <t>mystic</t>
        </is>
      </c>
      <c r="C440" t="n">
        <v>3</v>
      </c>
      <c r="D440" t="inlineStr">
        <is>
          <t>Max MP %</t>
        </is>
      </c>
      <c r="E440" t="n">
        <v>12</v>
      </c>
      <c r="F440" t="n">
        <v>8.279999999999999</v>
      </c>
      <c r="G440" t="b">
        <v>0</v>
      </c>
      <c r="H440" t="inlineStr">
        <is>
          <t>0</t>
        </is>
      </c>
    </row>
    <row r="441">
      <c r="A441" t="inlineStr">
        <is>
          <t>ALL</t>
        </is>
      </c>
      <c r="B441" t="inlineStr">
        <is>
          <t>mystic</t>
        </is>
      </c>
      <c r="C441" t="n">
        <v>3</v>
      </c>
      <c r="D441" t="inlineStr">
        <is>
          <t>Max MP %</t>
        </is>
      </c>
      <c r="E441" t="n">
        <v>15</v>
      </c>
      <c r="F441" t="n">
        <v>0.72</v>
      </c>
      <c r="G441" t="b">
        <v>1</v>
      </c>
      <c r="H441" t="inlineStr">
        <is>
          <t>0</t>
        </is>
      </c>
    </row>
    <row r="442">
      <c r="A442" t="inlineStr">
        <is>
          <t>ALL</t>
        </is>
      </c>
      <c r="B442" t="inlineStr">
        <is>
          <t>mystic</t>
        </is>
      </c>
      <c r="C442" t="n">
        <v>3</v>
      </c>
      <c r="D442" t="inlineStr">
        <is>
          <t>Str</t>
        </is>
      </c>
      <c r="E442" t="n">
        <v>600</v>
      </c>
      <c r="F442" t="n">
        <v>8.51</v>
      </c>
      <c r="G442" t="b">
        <v>0</v>
      </c>
      <c r="H442" t="inlineStr">
        <is>
          <t>0</t>
        </is>
      </c>
    </row>
    <row r="443">
      <c r="A443" t="inlineStr">
        <is>
          <t>ALL</t>
        </is>
      </c>
      <c r="B443" t="inlineStr">
        <is>
          <t>mystic</t>
        </is>
      </c>
      <c r="C443" t="n">
        <v>3</v>
      </c>
      <c r="D443" t="inlineStr">
        <is>
          <t>Str</t>
        </is>
      </c>
      <c r="E443" t="n">
        <v>1000</v>
      </c>
      <c r="F443" t="n">
        <v>0.74</v>
      </c>
      <c r="G443" t="b">
        <v>1</v>
      </c>
      <c r="H443" t="inlineStr">
        <is>
          <t>0</t>
        </is>
      </c>
    </row>
    <row r="444">
      <c r="A444" t="inlineStr">
        <is>
          <t>ALL</t>
        </is>
      </c>
      <c r="B444" t="inlineStr">
        <is>
          <t>mystic</t>
        </is>
      </c>
      <c r="C444" t="n">
        <v>3</v>
      </c>
      <c r="D444" t="inlineStr">
        <is>
          <t>Dex</t>
        </is>
      </c>
      <c r="E444" t="n">
        <v>600</v>
      </c>
      <c r="F444" t="n">
        <v>8.51</v>
      </c>
      <c r="G444" t="b">
        <v>0</v>
      </c>
      <c r="H444">
        <f>Sensitivity!H7</f>
        <v/>
      </c>
    </row>
    <row r="445">
      <c r="A445" t="inlineStr">
        <is>
          <t>ALL</t>
        </is>
      </c>
      <c r="B445" t="inlineStr">
        <is>
          <t>mystic</t>
        </is>
      </c>
      <c r="C445" t="n">
        <v>3</v>
      </c>
      <c r="D445" t="inlineStr">
        <is>
          <t>Dex</t>
        </is>
      </c>
      <c r="E445" t="n">
        <v>1000</v>
      </c>
      <c r="F445" t="n">
        <v>0.74</v>
      </c>
      <c r="G445" t="b">
        <v>1</v>
      </c>
      <c r="H445">
        <f>Sensitivity!H7</f>
        <v/>
      </c>
    </row>
    <row r="446">
      <c r="A446" t="inlineStr">
        <is>
          <t>ALL</t>
        </is>
      </c>
      <c r="B446" t="inlineStr">
        <is>
          <t>mystic</t>
        </is>
      </c>
      <c r="C446" t="n">
        <v>3</v>
      </c>
      <c r="D446" t="inlineStr">
        <is>
          <t>Int</t>
        </is>
      </c>
      <c r="E446" t="n">
        <v>600</v>
      </c>
      <c r="F446" t="n">
        <v>8.51</v>
      </c>
      <c r="G446" t="b">
        <v>0</v>
      </c>
      <c r="H446" t="inlineStr">
        <is>
          <t>0</t>
        </is>
      </c>
    </row>
    <row r="447">
      <c r="A447" t="inlineStr">
        <is>
          <t>ALL</t>
        </is>
      </c>
      <c r="B447" t="inlineStr">
        <is>
          <t>mystic</t>
        </is>
      </c>
      <c r="C447" t="n">
        <v>3</v>
      </c>
      <c r="D447" t="inlineStr">
        <is>
          <t>Int</t>
        </is>
      </c>
      <c r="E447" t="n">
        <v>1000</v>
      </c>
      <c r="F447" t="n">
        <v>0.74</v>
      </c>
      <c r="G447" t="b">
        <v>1</v>
      </c>
      <c r="H447" t="inlineStr">
        <is>
          <t>0</t>
        </is>
      </c>
    </row>
    <row r="448">
      <c r="A448" t="inlineStr">
        <is>
          <t>ALL</t>
        </is>
      </c>
      <c r="B448" t="inlineStr">
        <is>
          <t>mystic</t>
        </is>
      </c>
      <c r="C448" t="n">
        <v>3</v>
      </c>
      <c r="D448" t="inlineStr">
        <is>
          <t>Luk</t>
        </is>
      </c>
      <c r="E448" t="n">
        <v>600</v>
      </c>
      <c r="F448" t="n">
        <v>8.51</v>
      </c>
      <c r="G448" t="b">
        <v>0</v>
      </c>
      <c r="H448">
        <f>Sensitivity!H5</f>
        <v/>
      </c>
    </row>
    <row r="449">
      <c r="A449" t="inlineStr">
        <is>
          <t>ALL</t>
        </is>
      </c>
      <c r="B449" t="inlineStr">
        <is>
          <t>mystic</t>
        </is>
      </c>
      <c r="C449" t="n">
        <v>3</v>
      </c>
      <c r="D449" t="inlineStr">
        <is>
          <t>Luk</t>
        </is>
      </c>
      <c r="E449" t="n">
        <v>1000</v>
      </c>
      <c r="F449" t="n">
        <v>0.74</v>
      </c>
      <c r="G449" t="b">
        <v>1</v>
      </c>
      <c r="H449">
        <f>Sensitivity!H5</f>
        <v/>
      </c>
    </row>
    <row r="450">
      <c r="A450" t="inlineStr">
        <is>
          <t>head</t>
        </is>
      </c>
      <c r="B450" t="inlineStr">
        <is>
          <t>epic</t>
        </is>
      </c>
      <c r="C450" t="n">
        <v>1</v>
      </c>
      <c r="D450" t="inlineStr">
        <is>
          <t>Skill Cooldown Decrease (seconds)</t>
        </is>
      </c>
      <c r="E450" t="n">
        <v>0.5</v>
      </c>
      <c r="F450" t="n">
        <v>1</v>
      </c>
      <c r="G450" t="b">
        <v>1</v>
      </c>
      <c r="H450">
        <f>Sensitivity!H28</f>
        <v/>
      </c>
    </row>
    <row r="451">
      <c r="A451" t="inlineStr">
        <is>
          <t>head</t>
        </is>
      </c>
      <c r="B451" t="inlineStr">
        <is>
          <t>epic</t>
        </is>
      </c>
      <c r="C451" t="n">
        <v>2</v>
      </c>
      <c r="D451" t="inlineStr">
        <is>
          <t>Skill Cooldown Decrease (seconds)</t>
        </is>
      </c>
      <c r="E451" t="n">
        <v>0.5</v>
      </c>
      <c r="F451" t="n">
        <v>0.24</v>
      </c>
      <c r="G451" t="b">
        <v>1</v>
      </c>
      <c r="H451">
        <f>Sensitivity!H28</f>
        <v/>
      </c>
    </row>
    <row r="452">
      <c r="A452" t="inlineStr">
        <is>
          <t>head</t>
        </is>
      </c>
      <c r="B452" t="inlineStr">
        <is>
          <t>epic</t>
        </is>
      </c>
      <c r="C452" t="n">
        <v>3</v>
      </c>
      <c r="D452" t="inlineStr">
        <is>
          <t>Skill Cooldown Decrease (seconds)</t>
        </is>
      </c>
      <c r="E452" t="n">
        <v>0.5</v>
      </c>
      <c r="F452" t="n">
        <v>0.08</v>
      </c>
      <c r="G452" t="b">
        <v>1</v>
      </c>
      <c r="H452">
        <f>Sensitivity!H28</f>
        <v/>
      </c>
    </row>
    <row r="453">
      <c r="A453" t="inlineStr">
        <is>
          <t>head</t>
        </is>
      </c>
      <c r="B453" t="inlineStr">
        <is>
          <t>unique</t>
        </is>
      </c>
      <c r="C453" t="n">
        <v>1</v>
      </c>
      <c r="D453" t="inlineStr">
        <is>
          <t>Skill Cooldown Decrease (seconds)</t>
        </is>
      </c>
      <c r="E453" t="n">
        <v>1</v>
      </c>
      <c r="F453" t="n">
        <v>1</v>
      </c>
      <c r="G453" t="b">
        <v>1</v>
      </c>
      <c r="H453">
        <f>Sensitivity!H28</f>
        <v/>
      </c>
    </row>
    <row r="454">
      <c r="A454" t="inlineStr">
        <is>
          <t>head</t>
        </is>
      </c>
      <c r="B454" t="inlineStr">
        <is>
          <t>unique</t>
        </is>
      </c>
      <c r="C454" t="n">
        <v>2</v>
      </c>
      <c r="D454" t="inlineStr">
        <is>
          <t>Skill Cooldown Decrease (seconds)</t>
        </is>
      </c>
      <c r="E454" t="n">
        <v>1</v>
      </c>
      <c r="F454" t="n">
        <v>0.24</v>
      </c>
      <c r="G454" t="b">
        <v>1</v>
      </c>
      <c r="H454">
        <f>Sensitivity!H28</f>
        <v/>
      </c>
    </row>
    <row r="455">
      <c r="A455" t="inlineStr">
        <is>
          <t>head</t>
        </is>
      </c>
      <c r="B455" t="inlineStr">
        <is>
          <t>unique</t>
        </is>
      </c>
      <c r="C455" t="n">
        <v>2</v>
      </c>
      <c r="D455" t="inlineStr">
        <is>
          <t>Skill Cooldown Decrease (seconds)</t>
        </is>
      </c>
      <c r="E455" t="n">
        <v>0.5</v>
      </c>
      <c r="F455" t="n">
        <v>0.76</v>
      </c>
      <c r="G455" t="b">
        <v>0</v>
      </c>
      <c r="H455">
        <f>Sensitivity!H28</f>
        <v/>
      </c>
    </row>
    <row r="456">
      <c r="A456" t="inlineStr">
        <is>
          <t>head</t>
        </is>
      </c>
      <c r="B456" t="inlineStr">
        <is>
          <t>unique</t>
        </is>
      </c>
      <c r="C456" t="n">
        <v>3</v>
      </c>
      <c r="D456" t="inlineStr">
        <is>
          <t>Skill Cooldown Decrease (seconds)</t>
        </is>
      </c>
      <c r="E456" t="n">
        <v>1</v>
      </c>
      <c r="F456" t="n">
        <v>0.08</v>
      </c>
      <c r="G456" t="b">
        <v>1</v>
      </c>
      <c r="H456">
        <f>Sensitivity!H28</f>
        <v/>
      </c>
    </row>
    <row r="457">
      <c r="A457" t="inlineStr">
        <is>
          <t>head</t>
        </is>
      </c>
      <c r="B457" t="inlineStr">
        <is>
          <t>unique</t>
        </is>
      </c>
      <c r="C457" t="n">
        <v>3</v>
      </c>
      <c r="D457" t="inlineStr">
        <is>
          <t>Skill Cooldown Decrease (seconds)</t>
        </is>
      </c>
      <c r="E457" t="n">
        <v>0.5</v>
      </c>
      <c r="F457" t="n">
        <v>0.92</v>
      </c>
      <c r="G457" t="b">
        <v>0</v>
      </c>
      <c r="H457">
        <f>Sensitivity!H28</f>
        <v/>
      </c>
    </row>
    <row r="458">
      <c r="A458" t="inlineStr">
        <is>
          <t>head</t>
        </is>
      </c>
      <c r="B458" t="inlineStr">
        <is>
          <t>legendary</t>
        </is>
      </c>
      <c r="C458" t="n">
        <v>1</v>
      </c>
      <c r="D458" t="inlineStr">
        <is>
          <t>Skill Cooldown Decrease (seconds)</t>
        </is>
      </c>
      <c r="E458" t="n">
        <v>1.5</v>
      </c>
      <c r="F458" t="n">
        <v>1</v>
      </c>
      <c r="G458" t="b">
        <v>1</v>
      </c>
      <c r="H458">
        <f>Sensitivity!H28</f>
        <v/>
      </c>
    </row>
    <row r="459">
      <c r="A459" t="inlineStr">
        <is>
          <t>head</t>
        </is>
      </c>
      <c r="B459" t="inlineStr">
        <is>
          <t>legendary</t>
        </is>
      </c>
      <c r="C459" t="n">
        <v>2</v>
      </c>
      <c r="D459" t="inlineStr">
        <is>
          <t>Skill Cooldown Decrease (seconds)</t>
        </is>
      </c>
      <c r="E459" t="n">
        <v>1.5</v>
      </c>
      <c r="F459" t="n">
        <v>0.24</v>
      </c>
      <c r="G459" t="b">
        <v>1</v>
      </c>
      <c r="H459">
        <f>Sensitivity!H28</f>
        <v/>
      </c>
    </row>
    <row r="460">
      <c r="A460" t="inlineStr">
        <is>
          <t>head</t>
        </is>
      </c>
      <c r="B460" t="inlineStr">
        <is>
          <t>legendary</t>
        </is>
      </c>
      <c r="C460" t="n">
        <v>2</v>
      </c>
      <c r="D460" t="inlineStr">
        <is>
          <t>Skill Cooldown Decrease (seconds)</t>
        </is>
      </c>
      <c r="E460" t="n">
        <v>1</v>
      </c>
      <c r="F460" t="n">
        <v>0.76</v>
      </c>
      <c r="G460" t="b">
        <v>0</v>
      </c>
      <c r="H460">
        <f>Sensitivity!H28</f>
        <v/>
      </c>
    </row>
    <row r="461">
      <c r="A461" t="inlineStr">
        <is>
          <t>head</t>
        </is>
      </c>
      <c r="B461" t="inlineStr">
        <is>
          <t>legendary</t>
        </is>
      </c>
      <c r="C461" t="n">
        <v>3</v>
      </c>
      <c r="D461" t="inlineStr">
        <is>
          <t>Skill Cooldown Decrease (seconds)</t>
        </is>
      </c>
      <c r="E461" t="n">
        <v>1.5</v>
      </c>
      <c r="F461" t="n">
        <v>0.08</v>
      </c>
      <c r="G461" t="b">
        <v>1</v>
      </c>
      <c r="H461">
        <f>Sensitivity!H28</f>
        <v/>
      </c>
    </row>
    <row r="462">
      <c r="A462" t="inlineStr">
        <is>
          <t>head</t>
        </is>
      </c>
      <c r="B462" t="inlineStr">
        <is>
          <t>legendary</t>
        </is>
      </c>
      <c r="C462" t="n">
        <v>3</v>
      </c>
      <c r="D462" t="inlineStr">
        <is>
          <t>Skill Cooldown Decrease (seconds)</t>
        </is>
      </c>
      <c r="E462" t="n">
        <v>1</v>
      </c>
      <c r="F462" t="n">
        <v>0.92</v>
      </c>
      <c r="G462" t="b">
        <v>0</v>
      </c>
      <c r="H462">
        <f>Sensitivity!H28</f>
        <v/>
      </c>
    </row>
    <row r="463">
      <c r="A463" t="inlineStr">
        <is>
          <t>head</t>
        </is>
      </c>
      <c r="B463" t="inlineStr">
        <is>
          <t>mystic</t>
        </is>
      </c>
      <c r="C463" t="n">
        <v>1</v>
      </c>
      <c r="D463" t="inlineStr">
        <is>
          <t>Skill Cooldown Decrease (seconds)</t>
        </is>
      </c>
      <c r="E463" t="n">
        <v>2</v>
      </c>
      <c r="F463" t="n">
        <v>1</v>
      </c>
      <c r="G463" t="b">
        <v>1</v>
      </c>
      <c r="H463">
        <f>Sensitivity!H28</f>
        <v/>
      </c>
    </row>
    <row r="464">
      <c r="A464" t="inlineStr">
        <is>
          <t>head</t>
        </is>
      </c>
      <c r="B464" t="inlineStr">
        <is>
          <t>mystic</t>
        </is>
      </c>
      <c r="C464" t="n">
        <v>2</v>
      </c>
      <c r="D464" t="inlineStr">
        <is>
          <t>Skill Cooldown Decrease (seconds)</t>
        </is>
      </c>
      <c r="E464" t="n">
        <v>2</v>
      </c>
      <c r="F464" t="n">
        <v>0.24</v>
      </c>
      <c r="G464" t="b">
        <v>1</v>
      </c>
      <c r="H464">
        <f>Sensitivity!H28</f>
        <v/>
      </c>
    </row>
    <row r="465">
      <c r="A465" t="inlineStr">
        <is>
          <t>head</t>
        </is>
      </c>
      <c r="B465" t="inlineStr">
        <is>
          <t>mystic</t>
        </is>
      </c>
      <c r="C465" t="n">
        <v>2</v>
      </c>
      <c r="D465" t="inlineStr">
        <is>
          <t>Skill Cooldown Decrease (seconds)</t>
        </is>
      </c>
      <c r="E465" t="n">
        <v>1.5</v>
      </c>
      <c r="F465" t="n">
        <v>0.76</v>
      </c>
      <c r="G465" t="b">
        <v>0</v>
      </c>
      <c r="H465">
        <f>Sensitivity!H28</f>
        <v/>
      </c>
    </row>
    <row r="466">
      <c r="A466" t="inlineStr">
        <is>
          <t>head</t>
        </is>
      </c>
      <c r="B466" t="inlineStr">
        <is>
          <t>mystic</t>
        </is>
      </c>
      <c r="C466" t="n">
        <v>3</v>
      </c>
      <c r="D466" t="inlineStr">
        <is>
          <t>Skill Cooldown Decrease (seconds)</t>
        </is>
      </c>
      <c r="E466" t="n">
        <v>2</v>
      </c>
      <c r="F466" t="n">
        <v>0.08</v>
      </c>
      <c r="G466" t="b">
        <v>1</v>
      </c>
      <c r="H466">
        <f>Sensitivity!H28</f>
        <v/>
      </c>
    </row>
    <row r="467">
      <c r="A467" t="inlineStr">
        <is>
          <t>head</t>
        </is>
      </c>
      <c r="B467" t="inlineStr">
        <is>
          <t>mystic</t>
        </is>
      </c>
      <c r="C467" t="n">
        <v>3</v>
      </c>
      <c r="D467" t="inlineStr">
        <is>
          <t>Skill Cooldown Decrease (seconds)</t>
        </is>
      </c>
      <c r="E467" t="n">
        <v>1.5</v>
      </c>
      <c r="F467" t="n">
        <v>0.92</v>
      </c>
      <c r="G467" t="b">
        <v>0</v>
      </c>
      <c r="H467">
        <f>Sensitivity!H28</f>
        <v/>
      </c>
    </row>
    <row r="468">
      <c r="A468" t="inlineStr">
        <is>
          <t>cape</t>
        </is>
      </c>
      <c r="B468" t="inlineStr">
        <is>
          <t>epic</t>
        </is>
      </c>
      <c r="C468" t="n">
        <v>1</v>
      </c>
      <c r="D468" t="inlineStr">
        <is>
          <t>Final Damage %</t>
        </is>
      </c>
      <c r="E468" t="n">
        <v>3</v>
      </c>
      <c r="F468" t="n">
        <v>1</v>
      </c>
      <c r="G468" t="b">
        <v>1</v>
      </c>
      <c r="H468">
        <f>Sensitivity!H12</f>
        <v/>
      </c>
    </row>
    <row r="469">
      <c r="A469" t="inlineStr">
        <is>
          <t>cape</t>
        </is>
      </c>
      <c r="B469" t="inlineStr">
        <is>
          <t>epic</t>
        </is>
      </c>
      <c r="C469" t="n">
        <v>2</v>
      </c>
      <c r="D469" t="inlineStr">
        <is>
          <t>Final Damage %</t>
        </is>
      </c>
      <c r="E469" t="n">
        <v>3</v>
      </c>
      <c r="F469" t="n">
        <v>0.24</v>
      </c>
      <c r="G469" t="b">
        <v>1</v>
      </c>
      <c r="H469">
        <f>Sensitivity!H12</f>
        <v/>
      </c>
    </row>
    <row r="470">
      <c r="A470" t="inlineStr">
        <is>
          <t>cape</t>
        </is>
      </c>
      <c r="B470" t="inlineStr">
        <is>
          <t>epic</t>
        </is>
      </c>
      <c r="C470" t="n">
        <v>3</v>
      </c>
      <c r="D470" t="inlineStr">
        <is>
          <t>Final Damage %</t>
        </is>
      </c>
      <c r="E470" t="n">
        <v>3</v>
      </c>
      <c r="F470" t="n">
        <v>0.08</v>
      </c>
      <c r="G470" t="b">
        <v>1</v>
      </c>
      <c r="H470">
        <f>Sensitivity!H12</f>
        <v/>
      </c>
    </row>
    <row r="471">
      <c r="A471" t="inlineStr">
        <is>
          <t>cape</t>
        </is>
      </c>
      <c r="B471" t="inlineStr">
        <is>
          <t>unique</t>
        </is>
      </c>
      <c r="C471" t="n">
        <v>1</v>
      </c>
      <c r="D471" t="inlineStr">
        <is>
          <t>Final Damage %</t>
        </is>
      </c>
      <c r="E471" t="n">
        <v>5</v>
      </c>
      <c r="F471" t="n">
        <v>1</v>
      </c>
      <c r="G471" t="b">
        <v>1</v>
      </c>
      <c r="H471">
        <f>Sensitivity!H12</f>
        <v/>
      </c>
    </row>
    <row r="472">
      <c r="A472" t="inlineStr">
        <is>
          <t>cape</t>
        </is>
      </c>
      <c r="B472" t="inlineStr">
        <is>
          <t>unique</t>
        </is>
      </c>
      <c r="C472" t="n">
        <v>2</v>
      </c>
      <c r="D472" t="inlineStr">
        <is>
          <t>Final Damage %</t>
        </is>
      </c>
      <c r="E472" t="n">
        <v>5</v>
      </c>
      <c r="F472" t="n">
        <v>0.24</v>
      </c>
      <c r="G472" t="b">
        <v>1</v>
      </c>
      <c r="H472">
        <f>Sensitivity!H12</f>
        <v/>
      </c>
    </row>
    <row r="473">
      <c r="A473" t="inlineStr">
        <is>
          <t>cape</t>
        </is>
      </c>
      <c r="B473" t="inlineStr">
        <is>
          <t>unique</t>
        </is>
      </c>
      <c r="C473" t="n">
        <v>2</v>
      </c>
      <c r="D473" t="inlineStr">
        <is>
          <t>Final Damage %</t>
        </is>
      </c>
      <c r="E473" t="n">
        <v>3</v>
      </c>
      <c r="F473" t="n">
        <v>0.76</v>
      </c>
      <c r="G473" t="b">
        <v>0</v>
      </c>
      <c r="H473">
        <f>Sensitivity!H12</f>
        <v/>
      </c>
    </row>
    <row r="474">
      <c r="A474" t="inlineStr">
        <is>
          <t>cape</t>
        </is>
      </c>
      <c r="B474" t="inlineStr">
        <is>
          <t>unique</t>
        </is>
      </c>
      <c r="C474" t="n">
        <v>3</v>
      </c>
      <c r="D474" t="inlineStr">
        <is>
          <t>Final Damage %</t>
        </is>
      </c>
      <c r="E474" t="n">
        <v>5</v>
      </c>
      <c r="F474" t="n">
        <v>0.08</v>
      </c>
      <c r="G474" t="b">
        <v>1</v>
      </c>
      <c r="H474">
        <f>Sensitivity!H12</f>
        <v/>
      </c>
    </row>
    <row r="475">
      <c r="A475" t="inlineStr">
        <is>
          <t>cape</t>
        </is>
      </c>
      <c r="B475" t="inlineStr">
        <is>
          <t>unique</t>
        </is>
      </c>
      <c r="C475" t="n">
        <v>3</v>
      </c>
      <c r="D475" t="inlineStr">
        <is>
          <t>Final Damage %</t>
        </is>
      </c>
      <c r="E475" t="n">
        <v>3</v>
      </c>
      <c r="F475" t="n">
        <v>0.92</v>
      </c>
      <c r="G475" t="b">
        <v>0</v>
      </c>
      <c r="H475">
        <f>Sensitivity!H12</f>
        <v/>
      </c>
    </row>
    <row r="476">
      <c r="A476" t="inlineStr">
        <is>
          <t>cape</t>
        </is>
      </c>
      <c r="B476" t="inlineStr">
        <is>
          <t>legendary</t>
        </is>
      </c>
      <c r="C476" t="n">
        <v>1</v>
      </c>
      <c r="D476" t="inlineStr">
        <is>
          <t>Final Damage %</t>
        </is>
      </c>
      <c r="E476" t="n">
        <v>8</v>
      </c>
      <c r="F476" t="n">
        <v>1</v>
      </c>
      <c r="G476" t="b">
        <v>1</v>
      </c>
      <c r="H476">
        <f>Sensitivity!H12</f>
        <v/>
      </c>
    </row>
    <row r="477">
      <c r="A477" t="inlineStr">
        <is>
          <t>cape</t>
        </is>
      </c>
      <c r="B477" t="inlineStr">
        <is>
          <t>legendary</t>
        </is>
      </c>
      <c r="C477" t="n">
        <v>2</v>
      </c>
      <c r="D477" t="inlineStr">
        <is>
          <t>Final Damage %</t>
        </is>
      </c>
      <c r="E477" t="n">
        <v>8</v>
      </c>
      <c r="F477" t="n">
        <v>0.24</v>
      </c>
      <c r="G477" t="b">
        <v>1</v>
      </c>
      <c r="H477">
        <f>Sensitivity!H12</f>
        <v/>
      </c>
    </row>
    <row r="478">
      <c r="A478" t="inlineStr">
        <is>
          <t>cape</t>
        </is>
      </c>
      <c r="B478" t="inlineStr">
        <is>
          <t>legendary</t>
        </is>
      </c>
      <c r="C478" t="n">
        <v>2</v>
      </c>
      <c r="D478" t="inlineStr">
        <is>
          <t>Final Damage %</t>
        </is>
      </c>
      <c r="E478" t="n">
        <v>5</v>
      </c>
      <c r="F478" t="n">
        <v>0.76</v>
      </c>
      <c r="G478" t="b">
        <v>0</v>
      </c>
      <c r="H478">
        <f>Sensitivity!H12</f>
        <v/>
      </c>
    </row>
    <row r="479">
      <c r="A479" t="inlineStr">
        <is>
          <t>cape</t>
        </is>
      </c>
      <c r="B479" t="inlineStr">
        <is>
          <t>legendary</t>
        </is>
      </c>
      <c r="C479" t="n">
        <v>3</v>
      </c>
      <c r="D479" t="inlineStr">
        <is>
          <t>Final Damage %</t>
        </is>
      </c>
      <c r="E479" t="n">
        <v>8</v>
      </c>
      <c r="F479" t="n">
        <v>0.08</v>
      </c>
      <c r="G479" t="b">
        <v>1</v>
      </c>
      <c r="H479">
        <f>Sensitivity!H12</f>
        <v/>
      </c>
    </row>
    <row r="480">
      <c r="A480" t="inlineStr">
        <is>
          <t>cape</t>
        </is>
      </c>
      <c r="B480" t="inlineStr">
        <is>
          <t>legendary</t>
        </is>
      </c>
      <c r="C480" t="n">
        <v>3</v>
      </c>
      <c r="D480" t="inlineStr">
        <is>
          <t>Final Damage %</t>
        </is>
      </c>
      <c r="E480" t="n">
        <v>5</v>
      </c>
      <c r="F480" t="n">
        <v>0.92</v>
      </c>
      <c r="G480" t="b">
        <v>0</v>
      </c>
      <c r="H480">
        <f>Sensitivity!H12</f>
        <v/>
      </c>
    </row>
    <row r="481">
      <c r="A481" t="inlineStr">
        <is>
          <t>cape</t>
        </is>
      </c>
      <c r="B481" t="inlineStr">
        <is>
          <t>mystic</t>
        </is>
      </c>
      <c r="C481" t="n">
        <v>1</v>
      </c>
      <c r="D481" t="inlineStr">
        <is>
          <t>Final Damage %</t>
        </is>
      </c>
      <c r="E481" t="n">
        <v>12</v>
      </c>
      <c r="F481" t="n">
        <v>1</v>
      </c>
      <c r="G481" t="b">
        <v>1</v>
      </c>
      <c r="H481">
        <f>Sensitivity!H12</f>
        <v/>
      </c>
    </row>
    <row r="482">
      <c r="A482" t="inlineStr">
        <is>
          <t>cape</t>
        </is>
      </c>
      <c r="B482" t="inlineStr">
        <is>
          <t>mystic</t>
        </is>
      </c>
      <c r="C482" t="n">
        <v>2</v>
      </c>
      <c r="D482" t="inlineStr">
        <is>
          <t>Final Damage %</t>
        </is>
      </c>
      <c r="E482" t="n">
        <v>12</v>
      </c>
      <c r="F482" t="n">
        <v>0.24</v>
      </c>
      <c r="G482" t="b">
        <v>1</v>
      </c>
      <c r="H482">
        <f>Sensitivity!H12</f>
        <v/>
      </c>
    </row>
    <row r="483">
      <c r="A483" t="inlineStr">
        <is>
          <t>cape</t>
        </is>
      </c>
      <c r="B483" t="inlineStr">
        <is>
          <t>mystic</t>
        </is>
      </c>
      <c r="C483" t="n">
        <v>2</v>
      </c>
      <c r="D483" t="inlineStr">
        <is>
          <t>Final Damage %</t>
        </is>
      </c>
      <c r="E483" t="n">
        <v>8</v>
      </c>
      <c r="F483" t="n">
        <v>0.76</v>
      </c>
      <c r="G483" t="b">
        <v>0</v>
      </c>
      <c r="H483">
        <f>Sensitivity!H12</f>
        <v/>
      </c>
    </row>
    <row r="484">
      <c r="A484" t="inlineStr">
        <is>
          <t>cape</t>
        </is>
      </c>
      <c r="B484" t="inlineStr">
        <is>
          <t>mystic</t>
        </is>
      </c>
      <c r="C484" t="n">
        <v>3</v>
      </c>
      <c r="D484" t="inlineStr">
        <is>
          <t>Final Damage %</t>
        </is>
      </c>
      <c r="E484" t="n">
        <v>12</v>
      </c>
      <c r="F484" t="n">
        <v>0.08</v>
      </c>
      <c r="G484" t="b">
        <v>1</v>
      </c>
      <c r="H484">
        <f>Sensitivity!H12</f>
        <v/>
      </c>
    </row>
    <row r="485">
      <c r="A485" t="inlineStr">
        <is>
          <t>cape</t>
        </is>
      </c>
      <c r="B485" t="inlineStr">
        <is>
          <t>mystic</t>
        </is>
      </c>
      <c r="C485" t="n">
        <v>3</v>
      </c>
      <c r="D485" t="inlineStr">
        <is>
          <t>Final Damage %</t>
        </is>
      </c>
      <c r="E485" t="n">
        <v>8</v>
      </c>
      <c r="F485" t="n">
        <v>0.92</v>
      </c>
      <c r="G485" t="b">
        <v>0</v>
      </c>
      <c r="H485">
        <f>Sensitivity!H12</f>
        <v/>
      </c>
    </row>
    <row r="486">
      <c r="A486" t="inlineStr">
        <is>
          <t>chest</t>
        </is>
      </c>
      <c r="B486" t="inlineStr">
        <is>
          <t>unique</t>
        </is>
      </c>
      <c r="C486" t="n">
        <v>1</v>
      </c>
      <c r="D486" t="inlineStr">
        <is>
          <t>Basic Attack Target Increase</t>
        </is>
      </c>
      <c r="E486" t="n">
        <v>1</v>
      </c>
      <c r="F486" t="n">
        <v>1</v>
      </c>
      <c r="G486" t="b">
        <v>1</v>
      </c>
      <c r="H486">
        <f>Sensitivity!H29</f>
        <v/>
      </c>
    </row>
    <row r="487">
      <c r="A487" t="inlineStr">
        <is>
          <t>chest</t>
        </is>
      </c>
      <c r="B487" t="inlineStr">
        <is>
          <t>unique</t>
        </is>
      </c>
      <c r="C487" t="n">
        <v>2</v>
      </c>
      <c r="D487" t="inlineStr">
        <is>
          <t>Basic Attack Target Increase</t>
        </is>
      </c>
      <c r="E487" t="n">
        <v>1</v>
      </c>
      <c r="F487" t="n">
        <v>0.24</v>
      </c>
      <c r="G487" t="b">
        <v>1</v>
      </c>
      <c r="H487">
        <f>Sensitivity!H29</f>
        <v/>
      </c>
    </row>
    <row r="488">
      <c r="A488" t="inlineStr">
        <is>
          <t>chest</t>
        </is>
      </c>
      <c r="B488" t="inlineStr">
        <is>
          <t>unique</t>
        </is>
      </c>
      <c r="C488" t="n">
        <v>3</v>
      </c>
      <c r="D488" t="inlineStr">
        <is>
          <t>Basic Attack Target Increase</t>
        </is>
      </c>
      <c r="E488" t="n">
        <v>1</v>
      </c>
      <c r="F488" t="n">
        <v>0.08</v>
      </c>
      <c r="G488" t="b">
        <v>1</v>
      </c>
      <c r="H488">
        <f>Sensitivity!H29</f>
        <v/>
      </c>
    </row>
    <row r="489">
      <c r="A489" t="inlineStr">
        <is>
          <t>chest</t>
        </is>
      </c>
      <c r="B489" t="inlineStr">
        <is>
          <t>legendary</t>
        </is>
      </c>
      <c r="C489" t="n">
        <v>1</v>
      </c>
      <c r="D489" t="inlineStr">
        <is>
          <t>Basic Attack Target Increase</t>
        </is>
      </c>
      <c r="E489" t="n">
        <v>2</v>
      </c>
      <c r="F489" t="n">
        <v>1</v>
      </c>
      <c r="G489" t="b">
        <v>1</v>
      </c>
      <c r="H489">
        <f>Sensitivity!H29</f>
        <v/>
      </c>
    </row>
    <row r="490">
      <c r="A490" t="inlineStr">
        <is>
          <t>chest</t>
        </is>
      </c>
      <c r="B490" t="inlineStr">
        <is>
          <t>legendary</t>
        </is>
      </c>
      <c r="C490" t="n">
        <v>2</v>
      </c>
      <c r="D490" t="inlineStr">
        <is>
          <t>Basic Attack Target Increase</t>
        </is>
      </c>
      <c r="E490" t="n">
        <v>2</v>
      </c>
      <c r="F490" t="n">
        <v>0.24</v>
      </c>
      <c r="G490" t="b">
        <v>1</v>
      </c>
      <c r="H490">
        <f>Sensitivity!H29</f>
        <v/>
      </c>
    </row>
    <row r="491">
      <c r="A491" t="inlineStr">
        <is>
          <t>chest</t>
        </is>
      </c>
      <c r="B491" t="inlineStr">
        <is>
          <t>legendary</t>
        </is>
      </c>
      <c r="C491" t="n">
        <v>2</v>
      </c>
      <c r="D491" t="inlineStr">
        <is>
          <t>Basic Attack Target Increase</t>
        </is>
      </c>
      <c r="E491" t="n">
        <v>1</v>
      </c>
      <c r="F491" t="n">
        <v>0.76</v>
      </c>
      <c r="G491" t="b">
        <v>0</v>
      </c>
      <c r="H491">
        <f>Sensitivity!H29</f>
        <v/>
      </c>
    </row>
    <row r="492">
      <c r="A492" t="inlineStr">
        <is>
          <t>chest</t>
        </is>
      </c>
      <c r="B492" t="inlineStr">
        <is>
          <t>legendary</t>
        </is>
      </c>
      <c r="C492" t="n">
        <v>3</v>
      </c>
      <c r="D492" t="inlineStr">
        <is>
          <t>Basic Attack Target Increase</t>
        </is>
      </c>
      <c r="E492" t="n">
        <v>2</v>
      </c>
      <c r="F492" t="n">
        <v>0.08</v>
      </c>
      <c r="G492" t="b">
        <v>1</v>
      </c>
      <c r="H492">
        <f>Sensitivity!H29</f>
        <v/>
      </c>
    </row>
    <row r="493">
      <c r="A493" t="inlineStr">
        <is>
          <t>chest</t>
        </is>
      </c>
      <c r="B493" t="inlineStr">
        <is>
          <t>legendary</t>
        </is>
      </c>
      <c r="C493" t="n">
        <v>3</v>
      </c>
      <c r="D493" t="inlineStr">
        <is>
          <t>Basic Attack Target Increase</t>
        </is>
      </c>
      <c r="E493" t="n">
        <v>1</v>
      </c>
      <c r="F493" t="n">
        <v>0.92</v>
      </c>
      <c r="G493" t="b">
        <v>0</v>
      </c>
      <c r="H493">
        <f>Sensitivity!H29</f>
        <v/>
      </c>
    </row>
    <row r="494">
      <c r="A494" t="inlineStr">
        <is>
          <t>chest</t>
        </is>
      </c>
      <c r="B494" t="inlineStr">
        <is>
          <t>mystic</t>
        </is>
      </c>
      <c r="C494" t="n">
        <v>1</v>
      </c>
      <c r="D494" t="inlineStr">
        <is>
          <t>Basic Attack Target Increase</t>
        </is>
      </c>
      <c r="E494" t="n">
        <v>3</v>
      </c>
      <c r="F494" t="n">
        <v>1</v>
      </c>
      <c r="G494" t="b">
        <v>1</v>
      </c>
      <c r="H494">
        <f>Sensitivity!H29</f>
        <v/>
      </c>
    </row>
    <row r="495">
      <c r="A495" t="inlineStr">
        <is>
          <t>chest</t>
        </is>
      </c>
      <c r="B495" t="inlineStr">
        <is>
          <t>mystic</t>
        </is>
      </c>
      <c r="C495" t="n">
        <v>2</v>
      </c>
      <c r="D495" t="inlineStr">
        <is>
          <t>Basic Attack Target Increase</t>
        </is>
      </c>
      <c r="E495" t="n">
        <v>3</v>
      </c>
      <c r="F495" t="n">
        <v>0.24</v>
      </c>
      <c r="G495" t="b">
        <v>1</v>
      </c>
      <c r="H495">
        <f>Sensitivity!H29</f>
        <v/>
      </c>
    </row>
    <row r="496">
      <c r="A496" t="inlineStr">
        <is>
          <t>chest</t>
        </is>
      </c>
      <c r="B496" t="inlineStr">
        <is>
          <t>mystic</t>
        </is>
      </c>
      <c r="C496" t="n">
        <v>2</v>
      </c>
      <c r="D496" t="inlineStr">
        <is>
          <t>Basic Attack Target Increase</t>
        </is>
      </c>
      <c r="E496" t="n">
        <v>2</v>
      </c>
      <c r="F496" t="n">
        <v>0.76</v>
      </c>
      <c r="G496" t="b">
        <v>0</v>
      </c>
      <c r="H496">
        <f>Sensitivity!H29</f>
        <v/>
      </c>
    </row>
    <row r="497">
      <c r="A497" t="inlineStr">
        <is>
          <t>chest</t>
        </is>
      </c>
      <c r="B497" t="inlineStr">
        <is>
          <t>mystic</t>
        </is>
      </c>
      <c r="C497" t="n">
        <v>3</v>
      </c>
      <c r="D497" t="inlineStr">
        <is>
          <t>Basic Attack Target Increase</t>
        </is>
      </c>
      <c r="E497" t="n">
        <v>3</v>
      </c>
      <c r="F497" t="n">
        <v>0.08</v>
      </c>
      <c r="G497" t="b">
        <v>1</v>
      </c>
      <c r="H497">
        <f>Sensitivity!H29</f>
        <v/>
      </c>
    </row>
    <row r="498">
      <c r="A498" t="inlineStr">
        <is>
          <t>chest</t>
        </is>
      </c>
      <c r="B498" t="inlineStr">
        <is>
          <t>mystic</t>
        </is>
      </c>
      <c r="C498" t="n">
        <v>3</v>
      </c>
      <c r="D498" t="inlineStr">
        <is>
          <t>Basic Attack Target Increase</t>
        </is>
      </c>
      <c r="E498" t="n">
        <v>2</v>
      </c>
      <c r="F498" t="n">
        <v>0.92</v>
      </c>
      <c r="G498" t="b">
        <v>0</v>
      </c>
      <c r="H498">
        <f>Sensitivity!H29</f>
        <v/>
      </c>
    </row>
    <row r="499">
      <c r="A499" t="inlineStr">
        <is>
          <t>shoulders</t>
        </is>
      </c>
      <c r="B499" t="inlineStr">
        <is>
          <t>unique</t>
        </is>
      </c>
      <c r="C499" t="n">
        <v>1</v>
      </c>
      <c r="D499" t="inlineStr">
        <is>
          <t>Defense Penetration</t>
        </is>
      </c>
      <c r="E499" t="n">
        <v>8</v>
      </c>
      <c r="F499" t="n">
        <v>1</v>
      </c>
      <c r="G499" t="b">
        <v>1</v>
      </c>
      <c r="H499">
        <f>Sensitivity!H18</f>
        <v/>
      </c>
    </row>
    <row r="500">
      <c r="A500" t="inlineStr">
        <is>
          <t>shoulders</t>
        </is>
      </c>
      <c r="B500" t="inlineStr">
        <is>
          <t>unique</t>
        </is>
      </c>
      <c r="C500" t="n">
        <v>2</v>
      </c>
      <c r="D500" t="inlineStr">
        <is>
          <t>Defense Penetration</t>
        </is>
      </c>
      <c r="E500" t="n">
        <v>8</v>
      </c>
      <c r="F500" t="n">
        <v>0.24</v>
      </c>
      <c r="G500" t="b">
        <v>1</v>
      </c>
      <c r="H500">
        <f>Sensitivity!H18</f>
        <v/>
      </c>
    </row>
    <row r="501">
      <c r="A501" t="inlineStr">
        <is>
          <t>shoulders</t>
        </is>
      </c>
      <c r="B501" t="inlineStr">
        <is>
          <t>unique</t>
        </is>
      </c>
      <c r="C501" t="n">
        <v>3</v>
      </c>
      <c r="D501" t="inlineStr">
        <is>
          <t>Defense Penetration</t>
        </is>
      </c>
      <c r="E501" t="n">
        <v>8</v>
      </c>
      <c r="F501" t="n">
        <v>0.08</v>
      </c>
      <c r="G501" t="b">
        <v>1</v>
      </c>
      <c r="H501">
        <f>Sensitivity!H18</f>
        <v/>
      </c>
    </row>
    <row r="502">
      <c r="A502" t="inlineStr">
        <is>
          <t>shoulders</t>
        </is>
      </c>
      <c r="B502" t="inlineStr">
        <is>
          <t>legendary</t>
        </is>
      </c>
      <c r="C502" t="n">
        <v>1</v>
      </c>
      <c r="D502" t="inlineStr">
        <is>
          <t>Defense Penetration</t>
        </is>
      </c>
      <c r="E502" t="n">
        <v>12</v>
      </c>
      <c r="F502" t="n">
        <v>1</v>
      </c>
      <c r="G502" t="b">
        <v>1</v>
      </c>
      <c r="H502">
        <f>Sensitivity!H18</f>
        <v/>
      </c>
    </row>
    <row r="503">
      <c r="A503" t="inlineStr">
        <is>
          <t>shoulders</t>
        </is>
      </c>
      <c r="B503" t="inlineStr">
        <is>
          <t>legendary</t>
        </is>
      </c>
      <c r="C503" t="n">
        <v>2</v>
      </c>
      <c r="D503" t="inlineStr">
        <is>
          <t>Defense Penetration</t>
        </is>
      </c>
      <c r="E503" t="n">
        <v>12</v>
      </c>
      <c r="F503" t="n">
        <v>0.24</v>
      </c>
      <c r="G503" t="b">
        <v>1</v>
      </c>
      <c r="H503">
        <f>Sensitivity!H18</f>
        <v/>
      </c>
    </row>
    <row r="504">
      <c r="A504" t="inlineStr">
        <is>
          <t>shoulders</t>
        </is>
      </c>
      <c r="B504" t="inlineStr">
        <is>
          <t>legendary</t>
        </is>
      </c>
      <c r="C504" t="n">
        <v>2</v>
      </c>
      <c r="D504" t="inlineStr">
        <is>
          <t>Defense Penetration</t>
        </is>
      </c>
      <c r="E504" t="n">
        <v>8</v>
      </c>
      <c r="F504" t="n">
        <v>0.76</v>
      </c>
      <c r="G504" t="b">
        <v>0</v>
      </c>
      <c r="H504">
        <f>Sensitivity!H18</f>
        <v/>
      </c>
    </row>
    <row r="505">
      <c r="A505" t="inlineStr">
        <is>
          <t>shoulders</t>
        </is>
      </c>
      <c r="B505" t="inlineStr">
        <is>
          <t>legendary</t>
        </is>
      </c>
      <c r="C505" t="n">
        <v>3</v>
      </c>
      <c r="D505" t="inlineStr">
        <is>
          <t>Defense Penetration</t>
        </is>
      </c>
      <c r="E505" t="n">
        <v>12</v>
      </c>
      <c r="F505" t="n">
        <v>0.08</v>
      </c>
      <c r="G505" t="b">
        <v>1</v>
      </c>
      <c r="H505">
        <f>Sensitivity!H18</f>
        <v/>
      </c>
    </row>
    <row r="506">
      <c r="A506" t="inlineStr">
        <is>
          <t>shoulders</t>
        </is>
      </c>
      <c r="B506" t="inlineStr">
        <is>
          <t>legendary</t>
        </is>
      </c>
      <c r="C506" t="n">
        <v>3</v>
      </c>
      <c r="D506" t="inlineStr">
        <is>
          <t>Defense Penetration</t>
        </is>
      </c>
      <c r="E506" t="n">
        <v>8</v>
      </c>
      <c r="F506" t="n">
        <v>0.92</v>
      </c>
      <c r="G506" t="b">
        <v>0</v>
      </c>
      <c r="H506">
        <f>Sensitivity!H18</f>
        <v/>
      </c>
    </row>
    <row r="507">
      <c r="A507" t="inlineStr">
        <is>
          <t>shoulders</t>
        </is>
      </c>
      <c r="B507" t="inlineStr">
        <is>
          <t>mystic</t>
        </is>
      </c>
      <c r="C507" t="n">
        <v>1</v>
      </c>
      <c r="D507" t="inlineStr">
        <is>
          <t>Defense Penetration</t>
        </is>
      </c>
      <c r="E507" t="n">
        <v>20</v>
      </c>
      <c r="F507" t="n">
        <v>1</v>
      </c>
      <c r="G507" t="b">
        <v>1</v>
      </c>
      <c r="H507">
        <f>Sensitivity!H18</f>
        <v/>
      </c>
    </row>
    <row r="508">
      <c r="A508" t="inlineStr">
        <is>
          <t>shoulders</t>
        </is>
      </c>
      <c r="B508" t="inlineStr">
        <is>
          <t>mystic</t>
        </is>
      </c>
      <c r="C508" t="n">
        <v>2</v>
      </c>
      <c r="D508" t="inlineStr">
        <is>
          <t>Defense Penetration</t>
        </is>
      </c>
      <c r="E508" t="n">
        <v>20</v>
      </c>
      <c r="F508" t="n">
        <v>0.24</v>
      </c>
      <c r="G508" t="b">
        <v>1</v>
      </c>
      <c r="H508">
        <f>Sensitivity!H18</f>
        <v/>
      </c>
    </row>
    <row r="509">
      <c r="A509" t="inlineStr">
        <is>
          <t>shoulders</t>
        </is>
      </c>
      <c r="B509" t="inlineStr">
        <is>
          <t>mystic</t>
        </is>
      </c>
      <c r="C509" t="n">
        <v>2</v>
      </c>
      <c r="D509" t="inlineStr">
        <is>
          <t>Defense Penetration</t>
        </is>
      </c>
      <c r="E509" t="n">
        <v>12</v>
      </c>
      <c r="F509" t="n">
        <v>0.76</v>
      </c>
      <c r="G509" t="b">
        <v>0</v>
      </c>
      <c r="H509">
        <f>Sensitivity!H18</f>
        <v/>
      </c>
    </row>
    <row r="510">
      <c r="A510" t="inlineStr">
        <is>
          <t>shoulders</t>
        </is>
      </c>
      <c r="B510" t="inlineStr">
        <is>
          <t>mystic</t>
        </is>
      </c>
      <c r="C510" t="n">
        <v>3</v>
      </c>
      <c r="D510" t="inlineStr">
        <is>
          <t>Defense Penetration</t>
        </is>
      </c>
      <c r="E510" t="n">
        <v>20</v>
      </c>
      <c r="F510" t="n">
        <v>0.08</v>
      </c>
      <c r="G510" t="b">
        <v>1</v>
      </c>
      <c r="H510">
        <f>Sensitivity!H18</f>
        <v/>
      </c>
    </row>
    <row r="511">
      <c r="A511" t="inlineStr">
        <is>
          <t>shoulders</t>
        </is>
      </c>
      <c r="B511" t="inlineStr">
        <is>
          <t>mystic</t>
        </is>
      </c>
      <c r="C511" t="n">
        <v>3</v>
      </c>
      <c r="D511" t="inlineStr">
        <is>
          <t>Defense Penetration</t>
        </is>
      </c>
      <c r="E511" t="n">
        <v>12</v>
      </c>
      <c r="F511" t="n">
        <v>0.92</v>
      </c>
      <c r="G511" t="b">
        <v>0</v>
      </c>
      <c r="H511">
        <f>Sensitivity!H18</f>
        <v/>
      </c>
    </row>
    <row r="512">
      <c r="A512" t="inlineStr">
        <is>
          <t>legs</t>
        </is>
      </c>
      <c r="B512" t="inlineStr">
        <is>
          <t>epic</t>
        </is>
      </c>
      <c r="C512" t="n">
        <v>1</v>
      </c>
      <c r="D512" t="inlineStr">
        <is>
          <t>Final Damage %</t>
        </is>
      </c>
      <c r="E512" t="n">
        <v>3</v>
      </c>
      <c r="F512" t="n">
        <v>1</v>
      </c>
      <c r="G512" t="b">
        <v>1</v>
      </c>
      <c r="H512">
        <f>Sensitivity!H12</f>
        <v/>
      </c>
    </row>
    <row r="513">
      <c r="A513" t="inlineStr">
        <is>
          <t>legs</t>
        </is>
      </c>
      <c r="B513" t="inlineStr">
        <is>
          <t>epic</t>
        </is>
      </c>
      <c r="C513" t="n">
        <v>2</v>
      </c>
      <c r="D513" t="inlineStr">
        <is>
          <t>Final Damage %</t>
        </is>
      </c>
      <c r="E513" t="n">
        <v>3</v>
      </c>
      <c r="F513" t="n">
        <v>0.24</v>
      </c>
      <c r="G513" t="b">
        <v>1</v>
      </c>
      <c r="H513">
        <f>Sensitivity!H12</f>
        <v/>
      </c>
    </row>
    <row r="514">
      <c r="A514" t="inlineStr">
        <is>
          <t>legs</t>
        </is>
      </c>
      <c r="B514" t="inlineStr">
        <is>
          <t>epic</t>
        </is>
      </c>
      <c r="C514" t="n">
        <v>3</v>
      </c>
      <c r="D514" t="inlineStr">
        <is>
          <t>Final Damage %</t>
        </is>
      </c>
      <c r="E514" t="n">
        <v>3</v>
      </c>
      <c r="F514" t="n">
        <v>0.08</v>
      </c>
      <c r="G514" t="b">
        <v>1</v>
      </c>
      <c r="H514">
        <f>Sensitivity!H12</f>
        <v/>
      </c>
    </row>
    <row r="515">
      <c r="A515" t="inlineStr">
        <is>
          <t>legs</t>
        </is>
      </c>
      <c r="B515" t="inlineStr">
        <is>
          <t>unique</t>
        </is>
      </c>
      <c r="C515" t="n">
        <v>1</v>
      </c>
      <c r="D515" t="inlineStr">
        <is>
          <t>Final Damage %</t>
        </is>
      </c>
      <c r="E515" t="n">
        <v>5</v>
      </c>
      <c r="F515" t="n">
        <v>1</v>
      </c>
      <c r="G515" t="b">
        <v>1</v>
      </c>
      <c r="H515">
        <f>Sensitivity!H12</f>
        <v/>
      </c>
    </row>
    <row r="516">
      <c r="A516" t="inlineStr">
        <is>
          <t>legs</t>
        </is>
      </c>
      <c r="B516" t="inlineStr">
        <is>
          <t>unique</t>
        </is>
      </c>
      <c r="C516" t="n">
        <v>2</v>
      </c>
      <c r="D516" t="inlineStr">
        <is>
          <t>Final Damage %</t>
        </is>
      </c>
      <c r="E516" t="n">
        <v>5</v>
      </c>
      <c r="F516" t="n">
        <v>0.24</v>
      </c>
      <c r="G516" t="b">
        <v>1</v>
      </c>
      <c r="H516">
        <f>Sensitivity!H12</f>
        <v/>
      </c>
    </row>
    <row r="517">
      <c r="A517" t="inlineStr">
        <is>
          <t>legs</t>
        </is>
      </c>
      <c r="B517" t="inlineStr">
        <is>
          <t>unique</t>
        </is>
      </c>
      <c r="C517" t="n">
        <v>2</v>
      </c>
      <c r="D517" t="inlineStr">
        <is>
          <t>Final Damage %</t>
        </is>
      </c>
      <c r="E517" t="n">
        <v>3</v>
      </c>
      <c r="F517" t="n">
        <v>0.76</v>
      </c>
      <c r="G517" t="b">
        <v>0</v>
      </c>
      <c r="H517">
        <f>Sensitivity!H12</f>
        <v/>
      </c>
    </row>
    <row r="518">
      <c r="A518" t="inlineStr">
        <is>
          <t>legs</t>
        </is>
      </c>
      <c r="B518" t="inlineStr">
        <is>
          <t>unique</t>
        </is>
      </c>
      <c r="C518" t="n">
        <v>3</v>
      </c>
      <c r="D518" t="inlineStr">
        <is>
          <t>Final Damage %</t>
        </is>
      </c>
      <c r="E518" t="n">
        <v>5</v>
      </c>
      <c r="F518" t="n">
        <v>0.08</v>
      </c>
      <c r="G518" t="b">
        <v>1</v>
      </c>
      <c r="H518">
        <f>Sensitivity!H12</f>
        <v/>
      </c>
    </row>
    <row r="519">
      <c r="A519" t="inlineStr">
        <is>
          <t>legs</t>
        </is>
      </c>
      <c r="B519" t="inlineStr">
        <is>
          <t>unique</t>
        </is>
      </c>
      <c r="C519" t="n">
        <v>3</v>
      </c>
      <c r="D519" t="inlineStr">
        <is>
          <t>Final Damage %</t>
        </is>
      </c>
      <c r="E519" t="n">
        <v>3</v>
      </c>
      <c r="F519" t="n">
        <v>0.92</v>
      </c>
      <c r="G519" t="b">
        <v>0</v>
      </c>
      <c r="H519">
        <f>Sensitivity!H12</f>
        <v/>
      </c>
    </row>
    <row r="520">
      <c r="A520" t="inlineStr">
        <is>
          <t>legs</t>
        </is>
      </c>
      <c r="B520" t="inlineStr">
        <is>
          <t>legendary</t>
        </is>
      </c>
      <c r="C520" t="n">
        <v>1</v>
      </c>
      <c r="D520" t="inlineStr">
        <is>
          <t>Final Damage %</t>
        </is>
      </c>
      <c r="E520" t="n">
        <v>8</v>
      </c>
      <c r="F520" t="n">
        <v>1</v>
      </c>
      <c r="G520" t="b">
        <v>1</v>
      </c>
      <c r="H520">
        <f>Sensitivity!H12</f>
        <v/>
      </c>
    </row>
    <row r="521">
      <c r="A521" t="inlineStr">
        <is>
          <t>legs</t>
        </is>
      </c>
      <c r="B521" t="inlineStr">
        <is>
          <t>legendary</t>
        </is>
      </c>
      <c r="C521" t="n">
        <v>2</v>
      </c>
      <c r="D521" t="inlineStr">
        <is>
          <t>Final Damage %</t>
        </is>
      </c>
      <c r="E521" t="n">
        <v>8</v>
      </c>
      <c r="F521" t="n">
        <v>0.24</v>
      </c>
      <c r="G521" t="b">
        <v>1</v>
      </c>
      <c r="H521">
        <f>Sensitivity!H12</f>
        <v/>
      </c>
    </row>
    <row r="522">
      <c r="A522" t="inlineStr">
        <is>
          <t>legs</t>
        </is>
      </c>
      <c r="B522" t="inlineStr">
        <is>
          <t>legendary</t>
        </is>
      </c>
      <c r="C522" t="n">
        <v>2</v>
      </c>
      <c r="D522" t="inlineStr">
        <is>
          <t>Final Damage %</t>
        </is>
      </c>
      <c r="E522" t="n">
        <v>5</v>
      </c>
      <c r="F522" t="n">
        <v>0.76</v>
      </c>
      <c r="G522" t="b">
        <v>0</v>
      </c>
      <c r="H522">
        <f>Sensitivity!H12</f>
        <v/>
      </c>
    </row>
    <row r="523">
      <c r="A523" t="inlineStr">
        <is>
          <t>legs</t>
        </is>
      </c>
      <c r="B523" t="inlineStr">
        <is>
          <t>legendary</t>
        </is>
      </c>
      <c r="C523" t="n">
        <v>3</v>
      </c>
      <c r="D523" t="inlineStr">
        <is>
          <t>Final Damage %</t>
        </is>
      </c>
      <c r="E523" t="n">
        <v>8</v>
      </c>
      <c r="F523" t="n">
        <v>0.08</v>
      </c>
      <c r="G523" t="b">
        <v>1</v>
      </c>
      <c r="H523">
        <f>Sensitivity!H12</f>
        <v/>
      </c>
    </row>
    <row r="524">
      <c r="A524" t="inlineStr">
        <is>
          <t>legs</t>
        </is>
      </c>
      <c r="B524" t="inlineStr">
        <is>
          <t>legendary</t>
        </is>
      </c>
      <c r="C524" t="n">
        <v>3</v>
      </c>
      <c r="D524" t="inlineStr">
        <is>
          <t>Final Damage %</t>
        </is>
      </c>
      <c r="E524" t="n">
        <v>5</v>
      </c>
      <c r="F524" t="n">
        <v>0.92</v>
      </c>
      <c r="G524" t="b">
        <v>0</v>
      </c>
      <c r="H524">
        <f>Sensitivity!H12</f>
        <v/>
      </c>
    </row>
    <row r="525">
      <c r="A525" t="inlineStr">
        <is>
          <t>legs</t>
        </is>
      </c>
      <c r="B525" t="inlineStr">
        <is>
          <t>mystic</t>
        </is>
      </c>
      <c r="C525" t="n">
        <v>1</v>
      </c>
      <c r="D525" t="inlineStr">
        <is>
          <t>Final Damage %</t>
        </is>
      </c>
      <c r="E525" t="n">
        <v>12</v>
      </c>
      <c r="F525" t="n">
        <v>1</v>
      </c>
      <c r="G525" t="b">
        <v>1</v>
      </c>
      <c r="H525">
        <f>Sensitivity!H12</f>
        <v/>
      </c>
    </row>
    <row r="526">
      <c r="A526" t="inlineStr">
        <is>
          <t>legs</t>
        </is>
      </c>
      <c r="B526" t="inlineStr">
        <is>
          <t>mystic</t>
        </is>
      </c>
      <c r="C526" t="n">
        <v>2</v>
      </c>
      <c r="D526" t="inlineStr">
        <is>
          <t>Final Damage %</t>
        </is>
      </c>
      <c r="E526" t="n">
        <v>12</v>
      </c>
      <c r="F526" t="n">
        <v>0.24</v>
      </c>
      <c r="G526" t="b">
        <v>1</v>
      </c>
      <c r="H526">
        <f>Sensitivity!H12</f>
        <v/>
      </c>
    </row>
    <row r="527">
      <c r="A527" t="inlineStr">
        <is>
          <t>legs</t>
        </is>
      </c>
      <c r="B527" t="inlineStr">
        <is>
          <t>mystic</t>
        </is>
      </c>
      <c r="C527" t="n">
        <v>2</v>
      </c>
      <c r="D527" t="inlineStr">
        <is>
          <t>Final Damage %</t>
        </is>
      </c>
      <c r="E527" t="n">
        <v>8</v>
      </c>
      <c r="F527" t="n">
        <v>0.76</v>
      </c>
      <c r="G527" t="b">
        <v>0</v>
      </c>
      <c r="H527">
        <f>Sensitivity!H12</f>
        <v/>
      </c>
    </row>
    <row r="528">
      <c r="A528" t="inlineStr">
        <is>
          <t>legs</t>
        </is>
      </c>
      <c r="B528" t="inlineStr">
        <is>
          <t>mystic</t>
        </is>
      </c>
      <c r="C528" t="n">
        <v>3</v>
      </c>
      <c r="D528" t="inlineStr">
        <is>
          <t>Final Damage %</t>
        </is>
      </c>
      <c r="E528" t="n">
        <v>12</v>
      </c>
      <c r="F528" t="n">
        <v>0.08</v>
      </c>
      <c r="G528" t="b">
        <v>1</v>
      </c>
      <c r="H528">
        <f>Sensitivity!H12</f>
        <v/>
      </c>
    </row>
    <row r="529">
      <c r="A529" t="inlineStr">
        <is>
          <t>legs</t>
        </is>
      </c>
      <c r="B529" t="inlineStr">
        <is>
          <t>mystic</t>
        </is>
      </c>
      <c r="C529" t="n">
        <v>3</v>
      </c>
      <c r="D529" t="inlineStr">
        <is>
          <t>Final Damage %</t>
        </is>
      </c>
      <c r="E529" t="n">
        <v>8</v>
      </c>
      <c r="F529" t="n">
        <v>0.92</v>
      </c>
      <c r="G529" t="b">
        <v>0</v>
      </c>
      <c r="H529">
        <f>Sensitivity!H12</f>
        <v/>
      </c>
    </row>
    <row r="530">
      <c r="A530" t="inlineStr">
        <is>
          <t>belt</t>
        </is>
      </c>
      <c r="B530" t="inlineStr">
        <is>
          <t>epic</t>
        </is>
      </c>
      <c r="C530" t="n">
        <v>1</v>
      </c>
      <c r="D530" t="inlineStr">
        <is>
          <t>Buff Duration Increase %</t>
        </is>
      </c>
      <c r="E530" t="n">
        <v>5</v>
      </c>
      <c r="F530" t="n">
        <v>1</v>
      </c>
      <c r="G530" t="b">
        <v>1</v>
      </c>
      <c r="H530">
        <f>Sensitivity!H30</f>
        <v/>
      </c>
    </row>
    <row r="531">
      <c r="A531" t="inlineStr">
        <is>
          <t>belt</t>
        </is>
      </c>
      <c r="B531" t="inlineStr">
        <is>
          <t>epic</t>
        </is>
      </c>
      <c r="C531" t="n">
        <v>2</v>
      </c>
      <c r="D531" t="inlineStr">
        <is>
          <t>Buff Duration Increase %</t>
        </is>
      </c>
      <c r="E531" t="n">
        <v>5</v>
      </c>
      <c r="F531" t="n">
        <v>0.24</v>
      </c>
      <c r="G531" t="b">
        <v>1</v>
      </c>
      <c r="H531">
        <f>Sensitivity!H30</f>
        <v/>
      </c>
    </row>
    <row r="532">
      <c r="A532" t="inlineStr">
        <is>
          <t>belt</t>
        </is>
      </c>
      <c r="B532" t="inlineStr">
        <is>
          <t>epic</t>
        </is>
      </c>
      <c r="C532" t="n">
        <v>3</v>
      </c>
      <c r="D532" t="inlineStr">
        <is>
          <t>Buff Duration Increase %</t>
        </is>
      </c>
      <c r="E532" t="n">
        <v>5</v>
      </c>
      <c r="F532" t="n">
        <v>0.08</v>
      </c>
      <c r="G532" t="b">
        <v>1</v>
      </c>
      <c r="H532">
        <f>Sensitivity!H30</f>
        <v/>
      </c>
    </row>
    <row r="533">
      <c r="A533" t="inlineStr">
        <is>
          <t>belt</t>
        </is>
      </c>
      <c r="B533" t="inlineStr">
        <is>
          <t>unique</t>
        </is>
      </c>
      <c r="C533" t="n">
        <v>1</v>
      </c>
      <c r="D533" t="inlineStr">
        <is>
          <t>Buff Duration Increase %</t>
        </is>
      </c>
      <c r="E533" t="n">
        <v>8</v>
      </c>
      <c r="F533" t="n">
        <v>1</v>
      </c>
      <c r="G533" t="b">
        <v>1</v>
      </c>
      <c r="H533">
        <f>Sensitivity!H30</f>
        <v/>
      </c>
    </row>
    <row r="534">
      <c r="A534" t="inlineStr">
        <is>
          <t>belt</t>
        </is>
      </c>
      <c r="B534" t="inlineStr">
        <is>
          <t>unique</t>
        </is>
      </c>
      <c r="C534" t="n">
        <v>2</v>
      </c>
      <c r="D534" t="inlineStr">
        <is>
          <t>Buff Duration Increase %</t>
        </is>
      </c>
      <c r="E534" t="n">
        <v>8</v>
      </c>
      <c r="F534" t="n">
        <v>0.24</v>
      </c>
      <c r="G534" t="b">
        <v>1</v>
      </c>
      <c r="H534">
        <f>Sensitivity!H30</f>
        <v/>
      </c>
    </row>
    <row r="535">
      <c r="A535" t="inlineStr">
        <is>
          <t>belt</t>
        </is>
      </c>
      <c r="B535" t="inlineStr">
        <is>
          <t>unique</t>
        </is>
      </c>
      <c r="C535" t="n">
        <v>2</v>
      </c>
      <c r="D535" t="inlineStr">
        <is>
          <t>Buff Duration Increase %</t>
        </is>
      </c>
      <c r="E535" t="n">
        <v>5</v>
      </c>
      <c r="F535" t="n">
        <v>0.76</v>
      </c>
      <c r="G535" t="b">
        <v>0</v>
      </c>
      <c r="H535">
        <f>Sensitivity!H30</f>
        <v/>
      </c>
    </row>
    <row r="536">
      <c r="A536" t="inlineStr">
        <is>
          <t>belt</t>
        </is>
      </c>
      <c r="B536" t="inlineStr">
        <is>
          <t>unique</t>
        </is>
      </c>
      <c r="C536" t="n">
        <v>3</v>
      </c>
      <c r="D536" t="inlineStr">
        <is>
          <t>Buff Duration Increase %</t>
        </is>
      </c>
      <c r="E536" t="n">
        <v>8</v>
      </c>
      <c r="F536" t="n">
        <v>0.08</v>
      </c>
      <c r="G536" t="b">
        <v>1</v>
      </c>
      <c r="H536">
        <f>Sensitivity!H30</f>
        <v/>
      </c>
    </row>
    <row r="537">
      <c r="A537" t="inlineStr">
        <is>
          <t>belt</t>
        </is>
      </c>
      <c r="B537" t="inlineStr">
        <is>
          <t>unique</t>
        </is>
      </c>
      <c r="C537" t="n">
        <v>3</v>
      </c>
      <c r="D537" t="inlineStr">
        <is>
          <t>Buff Duration Increase %</t>
        </is>
      </c>
      <c r="E537" t="n">
        <v>5</v>
      </c>
      <c r="F537" t="n">
        <v>0.92</v>
      </c>
      <c r="G537" t="b">
        <v>0</v>
      </c>
      <c r="H537">
        <f>Sensitivity!H30</f>
        <v/>
      </c>
    </row>
    <row r="538">
      <c r="A538" t="inlineStr">
        <is>
          <t>belt</t>
        </is>
      </c>
      <c r="B538" t="inlineStr">
        <is>
          <t>legendary</t>
        </is>
      </c>
      <c r="C538" t="n">
        <v>1</v>
      </c>
      <c r="D538" t="inlineStr">
        <is>
          <t>Buff Duration Increase %</t>
        </is>
      </c>
      <c r="E538" t="n">
        <v>12</v>
      </c>
      <c r="F538" t="n">
        <v>1</v>
      </c>
      <c r="G538" t="b">
        <v>1</v>
      </c>
      <c r="H538">
        <f>Sensitivity!H30</f>
        <v/>
      </c>
    </row>
    <row r="539">
      <c r="A539" t="inlineStr">
        <is>
          <t>belt</t>
        </is>
      </c>
      <c r="B539" t="inlineStr">
        <is>
          <t>legendary</t>
        </is>
      </c>
      <c r="C539" t="n">
        <v>2</v>
      </c>
      <c r="D539" t="inlineStr">
        <is>
          <t>Buff Duration Increase %</t>
        </is>
      </c>
      <c r="E539" t="n">
        <v>12</v>
      </c>
      <c r="F539" t="n">
        <v>0.24</v>
      </c>
      <c r="G539" t="b">
        <v>1</v>
      </c>
      <c r="H539">
        <f>Sensitivity!H30</f>
        <v/>
      </c>
    </row>
    <row r="540">
      <c r="A540" t="inlineStr">
        <is>
          <t>belt</t>
        </is>
      </c>
      <c r="B540" t="inlineStr">
        <is>
          <t>legendary</t>
        </is>
      </c>
      <c r="C540" t="n">
        <v>2</v>
      </c>
      <c r="D540" t="inlineStr">
        <is>
          <t>Buff Duration Increase %</t>
        </is>
      </c>
      <c r="E540" t="n">
        <v>8</v>
      </c>
      <c r="F540" t="n">
        <v>0.76</v>
      </c>
      <c r="G540" t="b">
        <v>0</v>
      </c>
      <c r="H540">
        <f>Sensitivity!H30</f>
        <v/>
      </c>
    </row>
    <row r="541">
      <c r="A541" t="inlineStr">
        <is>
          <t>belt</t>
        </is>
      </c>
      <c r="B541" t="inlineStr">
        <is>
          <t>legendary</t>
        </is>
      </c>
      <c r="C541" t="n">
        <v>3</v>
      </c>
      <c r="D541" t="inlineStr">
        <is>
          <t>Buff Duration Increase %</t>
        </is>
      </c>
      <c r="E541" t="n">
        <v>12</v>
      </c>
      <c r="F541" t="n">
        <v>0.08</v>
      </c>
      <c r="G541" t="b">
        <v>1</v>
      </c>
      <c r="H541">
        <f>Sensitivity!H30</f>
        <v/>
      </c>
    </row>
    <row r="542">
      <c r="A542" t="inlineStr">
        <is>
          <t>belt</t>
        </is>
      </c>
      <c r="B542" t="inlineStr">
        <is>
          <t>legendary</t>
        </is>
      </c>
      <c r="C542" t="n">
        <v>3</v>
      </c>
      <c r="D542" t="inlineStr">
        <is>
          <t>Buff Duration Increase %</t>
        </is>
      </c>
      <c r="E542" t="n">
        <v>8</v>
      </c>
      <c r="F542" t="n">
        <v>0.92</v>
      </c>
      <c r="G542" t="b">
        <v>0</v>
      </c>
      <c r="H542">
        <f>Sensitivity!H30</f>
        <v/>
      </c>
    </row>
    <row r="543">
      <c r="A543" t="inlineStr">
        <is>
          <t>belt</t>
        </is>
      </c>
      <c r="B543" t="inlineStr">
        <is>
          <t>mystic</t>
        </is>
      </c>
      <c r="C543" t="n">
        <v>1</v>
      </c>
      <c r="D543" t="inlineStr">
        <is>
          <t>Buff Duration Increase %</t>
        </is>
      </c>
      <c r="E543" t="n">
        <v>20</v>
      </c>
      <c r="F543" t="n">
        <v>1</v>
      </c>
      <c r="G543" t="b">
        <v>1</v>
      </c>
      <c r="H543">
        <f>Sensitivity!H30</f>
        <v/>
      </c>
    </row>
    <row r="544">
      <c r="A544" t="inlineStr">
        <is>
          <t>belt</t>
        </is>
      </c>
      <c r="B544" t="inlineStr">
        <is>
          <t>mystic</t>
        </is>
      </c>
      <c r="C544" t="n">
        <v>2</v>
      </c>
      <c r="D544" t="inlineStr">
        <is>
          <t>Buff Duration Increase %</t>
        </is>
      </c>
      <c r="E544" t="n">
        <v>20</v>
      </c>
      <c r="F544" t="n">
        <v>0.24</v>
      </c>
      <c r="G544" t="b">
        <v>1</v>
      </c>
      <c r="H544">
        <f>Sensitivity!H30</f>
        <v/>
      </c>
    </row>
    <row r="545">
      <c r="A545" t="inlineStr">
        <is>
          <t>belt</t>
        </is>
      </c>
      <c r="B545" t="inlineStr">
        <is>
          <t>mystic</t>
        </is>
      </c>
      <c r="C545" t="n">
        <v>2</v>
      </c>
      <c r="D545" t="inlineStr">
        <is>
          <t>Buff Duration Increase %</t>
        </is>
      </c>
      <c r="E545" t="n">
        <v>12</v>
      </c>
      <c r="F545" t="n">
        <v>0.76</v>
      </c>
      <c r="G545" t="b">
        <v>0</v>
      </c>
      <c r="H545">
        <f>Sensitivity!H30</f>
        <v/>
      </c>
    </row>
    <row r="546">
      <c r="A546" t="inlineStr">
        <is>
          <t>belt</t>
        </is>
      </c>
      <c r="B546" t="inlineStr">
        <is>
          <t>mystic</t>
        </is>
      </c>
      <c r="C546" t="n">
        <v>3</v>
      </c>
      <c r="D546" t="inlineStr">
        <is>
          <t>Buff Duration Increase %</t>
        </is>
      </c>
      <c r="E546" t="n">
        <v>20</v>
      </c>
      <c r="F546" t="n">
        <v>0.08</v>
      </c>
      <c r="G546" t="b">
        <v>1</v>
      </c>
      <c r="H546">
        <f>Sensitivity!H30</f>
        <v/>
      </c>
    </row>
    <row r="547">
      <c r="A547" t="inlineStr">
        <is>
          <t>belt</t>
        </is>
      </c>
      <c r="B547" t="inlineStr">
        <is>
          <t>mystic</t>
        </is>
      </c>
      <c r="C547" t="n">
        <v>3</v>
      </c>
      <c r="D547" t="inlineStr">
        <is>
          <t>Buff Duration Increase %</t>
        </is>
      </c>
      <c r="E547" t="n">
        <v>12</v>
      </c>
      <c r="F547" t="n">
        <v>0.92</v>
      </c>
      <c r="G547" t="b">
        <v>0</v>
      </c>
      <c r="H547">
        <f>Sensitivity!H30</f>
        <v/>
      </c>
    </row>
    <row r="548">
      <c r="A548" t="inlineStr">
        <is>
          <t>gloves</t>
        </is>
      </c>
      <c r="B548" t="inlineStr">
        <is>
          <t>epic</t>
        </is>
      </c>
      <c r="C548" t="n">
        <v>1</v>
      </c>
      <c r="D548" t="inlineStr">
        <is>
          <t>Critical Damage %</t>
        </is>
      </c>
      <c r="E548" t="n">
        <v>10</v>
      </c>
      <c r="F548" t="n">
        <v>1</v>
      </c>
      <c r="G548" t="b">
        <v>1</v>
      </c>
      <c r="H548">
        <f>Sensitivity!H16</f>
        <v/>
      </c>
    </row>
    <row r="549">
      <c r="A549" t="inlineStr">
        <is>
          <t>gloves</t>
        </is>
      </c>
      <c r="B549" t="inlineStr">
        <is>
          <t>epic</t>
        </is>
      </c>
      <c r="C549" t="n">
        <v>2</v>
      </c>
      <c r="D549" t="inlineStr">
        <is>
          <t>Critical Damage %</t>
        </is>
      </c>
      <c r="E549" t="n">
        <v>10</v>
      </c>
      <c r="F549" t="n">
        <v>0.24</v>
      </c>
      <c r="G549" t="b">
        <v>1</v>
      </c>
      <c r="H549">
        <f>Sensitivity!H16</f>
        <v/>
      </c>
    </row>
    <row r="550">
      <c r="A550" t="inlineStr">
        <is>
          <t>gloves</t>
        </is>
      </c>
      <c r="B550" t="inlineStr">
        <is>
          <t>epic</t>
        </is>
      </c>
      <c r="C550" t="n">
        <v>3</v>
      </c>
      <c r="D550" t="inlineStr">
        <is>
          <t>Critical Damage %</t>
        </is>
      </c>
      <c r="E550" t="n">
        <v>10</v>
      </c>
      <c r="F550" t="n">
        <v>0.08</v>
      </c>
      <c r="G550" t="b">
        <v>1</v>
      </c>
      <c r="H550">
        <f>Sensitivity!H16</f>
        <v/>
      </c>
    </row>
    <row r="551">
      <c r="A551" t="inlineStr">
        <is>
          <t>gloves</t>
        </is>
      </c>
      <c r="B551" t="inlineStr">
        <is>
          <t>unique</t>
        </is>
      </c>
      <c r="C551" t="n">
        <v>1</v>
      </c>
      <c r="D551" t="inlineStr">
        <is>
          <t>Critical Damage %</t>
        </is>
      </c>
      <c r="E551" t="n">
        <v>20</v>
      </c>
      <c r="F551" t="n">
        <v>1</v>
      </c>
      <c r="G551" t="b">
        <v>1</v>
      </c>
      <c r="H551">
        <f>Sensitivity!H16</f>
        <v/>
      </c>
    </row>
    <row r="552">
      <c r="A552" t="inlineStr">
        <is>
          <t>gloves</t>
        </is>
      </c>
      <c r="B552" t="inlineStr">
        <is>
          <t>unique</t>
        </is>
      </c>
      <c r="C552" t="n">
        <v>2</v>
      </c>
      <c r="D552" t="inlineStr">
        <is>
          <t>Critical Damage %</t>
        </is>
      </c>
      <c r="E552" t="n">
        <v>20</v>
      </c>
      <c r="F552" t="n">
        <v>0.24</v>
      </c>
      <c r="G552" t="b">
        <v>1</v>
      </c>
      <c r="H552">
        <f>Sensitivity!H16</f>
        <v/>
      </c>
    </row>
    <row r="553">
      <c r="A553" t="inlineStr">
        <is>
          <t>gloves</t>
        </is>
      </c>
      <c r="B553" t="inlineStr">
        <is>
          <t>unique</t>
        </is>
      </c>
      <c r="C553" t="n">
        <v>2</v>
      </c>
      <c r="D553" t="inlineStr">
        <is>
          <t>Critical Damage %</t>
        </is>
      </c>
      <c r="E553" t="n">
        <v>10</v>
      </c>
      <c r="F553" t="n">
        <v>0.76</v>
      </c>
      <c r="G553" t="b">
        <v>0</v>
      </c>
      <c r="H553">
        <f>Sensitivity!H16</f>
        <v/>
      </c>
    </row>
    <row r="554">
      <c r="A554" t="inlineStr">
        <is>
          <t>gloves</t>
        </is>
      </c>
      <c r="B554" t="inlineStr">
        <is>
          <t>unique</t>
        </is>
      </c>
      <c r="C554" t="n">
        <v>3</v>
      </c>
      <c r="D554" t="inlineStr">
        <is>
          <t>Critical Damage %</t>
        </is>
      </c>
      <c r="E554" t="n">
        <v>20</v>
      </c>
      <c r="F554" t="n">
        <v>0.08</v>
      </c>
      <c r="G554" t="b">
        <v>1</v>
      </c>
      <c r="H554">
        <f>Sensitivity!H16</f>
        <v/>
      </c>
    </row>
    <row r="555">
      <c r="A555" t="inlineStr">
        <is>
          <t>gloves</t>
        </is>
      </c>
      <c r="B555" t="inlineStr">
        <is>
          <t>unique</t>
        </is>
      </c>
      <c r="C555" t="n">
        <v>3</v>
      </c>
      <c r="D555" t="inlineStr">
        <is>
          <t>Critical Damage %</t>
        </is>
      </c>
      <c r="E555" t="n">
        <v>10</v>
      </c>
      <c r="F555" t="n">
        <v>0.92</v>
      </c>
      <c r="G555" t="b">
        <v>0</v>
      </c>
      <c r="H555">
        <f>Sensitivity!H16</f>
        <v/>
      </c>
    </row>
    <row r="556">
      <c r="A556" t="inlineStr">
        <is>
          <t>gloves</t>
        </is>
      </c>
      <c r="B556" t="inlineStr">
        <is>
          <t>legendary</t>
        </is>
      </c>
      <c r="C556" t="n">
        <v>1</v>
      </c>
      <c r="D556" t="inlineStr">
        <is>
          <t>Critical Damage %</t>
        </is>
      </c>
      <c r="E556" t="n">
        <v>30</v>
      </c>
      <c r="F556" t="n">
        <v>1</v>
      </c>
      <c r="G556" t="b">
        <v>1</v>
      </c>
      <c r="H556">
        <f>Sensitivity!H16</f>
        <v/>
      </c>
    </row>
    <row r="557">
      <c r="A557" t="inlineStr">
        <is>
          <t>gloves</t>
        </is>
      </c>
      <c r="B557" t="inlineStr">
        <is>
          <t>legendary</t>
        </is>
      </c>
      <c r="C557" t="n">
        <v>2</v>
      </c>
      <c r="D557" t="inlineStr">
        <is>
          <t>Critical Damage %</t>
        </is>
      </c>
      <c r="E557" t="n">
        <v>30</v>
      </c>
      <c r="F557" t="n">
        <v>0.24</v>
      </c>
      <c r="G557" t="b">
        <v>1</v>
      </c>
      <c r="H557">
        <f>Sensitivity!H16</f>
        <v/>
      </c>
    </row>
    <row r="558">
      <c r="A558" t="inlineStr">
        <is>
          <t>gloves</t>
        </is>
      </c>
      <c r="B558" t="inlineStr">
        <is>
          <t>legendary</t>
        </is>
      </c>
      <c r="C558" t="n">
        <v>2</v>
      </c>
      <c r="D558" t="inlineStr">
        <is>
          <t>Critical Damage %</t>
        </is>
      </c>
      <c r="E558" t="n">
        <v>20</v>
      </c>
      <c r="F558" t="n">
        <v>0.76</v>
      </c>
      <c r="G558" t="b">
        <v>0</v>
      </c>
      <c r="H558">
        <f>Sensitivity!H16</f>
        <v/>
      </c>
    </row>
    <row r="559">
      <c r="A559" t="inlineStr">
        <is>
          <t>gloves</t>
        </is>
      </c>
      <c r="B559" t="inlineStr">
        <is>
          <t>legendary</t>
        </is>
      </c>
      <c r="C559" t="n">
        <v>3</v>
      </c>
      <c r="D559" t="inlineStr">
        <is>
          <t>Critical Damage %</t>
        </is>
      </c>
      <c r="E559" t="n">
        <v>30</v>
      </c>
      <c r="F559" t="n">
        <v>0.08</v>
      </c>
      <c r="G559" t="b">
        <v>1</v>
      </c>
      <c r="H559">
        <f>Sensitivity!H16</f>
        <v/>
      </c>
    </row>
    <row r="560">
      <c r="A560" t="inlineStr">
        <is>
          <t>gloves</t>
        </is>
      </c>
      <c r="B560" t="inlineStr">
        <is>
          <t>legendary</t>
        </is>
      </c>
      <c r="C560" t="n">
        <v>3</v>
      </c>
      <c r="D560" t="inlineStr">
        <is>
          <t>Critical Damage %</t>
        </is>
      </c>
      <c r="E560" t="n">
        <v>20</v>
      </c>
      <c r="F560" t="n">
        <v>0.92</v>
      </c>
      <c r="G560" t="b">
        <v>0</v>
      </c>
      <c r="H560">
        <f>Sensitivity!H16</f>
        <v/>
      </c>
    </row>
    <row r="561">
      <c r="A561" t="inlineStr">
        <is>
          <t>gloves</t>
        </is>
      </c>
      <c r="B561" t="inlineStr">
        <is>
          <t>mystic</t>
        </is>
      </c>
      <c r="C561" t="n">
        <v>1</v>
      </c>
      <c r="D561" t="inlineStr">
        <is>
          <t>Critical Damage %</t>
        </is>
      </c>
      <c r="E561" t="n">
        <v>50</v>
      </c>
      <c r="F561" t="n">
        <v>1</v>
      </c>
      <c r="G561" t="b">
        <v>1</v>
      </c>
      <c r="H561">
        <f>Sensitivity!H16</f>
        <v/>
      </c>
    </row>
    <row r="562">
      <c r="A562" t="inlineStr">
        <is>
          <t>gloves</t>
        </is>
      </c>
      <c r="B562" t="inlineStr">
        <is>
          <t>mystic</t>
        </is>
      </c>
      <c r="C562" t="n">
        <v>2</v>
      </c>
      <c r="D562" t="inlineStr">
        <is>
          <t>Critical Damage %</t>
        </is>
      </c>
      <c r="E562" t="n">
        <v>50</v>
      </c>
      <c r="F562" t="n">
        <v>0.24</v>
      </c>
      <c r="G562" t="b">
        <v>1</v>
      </c>
      <c r="H562">
        <f>Sensitivity!H16</f>
        <v/>
      </c>
    </row>
    <row r="563">
      <c r="A563" t="inlineStr">
        <is>
          <t>gloves</t>
        </is>
      </c>
      <c r="B563" t="inlineStr">
        <is>
          <t>mystic</t>
        </is>
      </c>
      <c r="C563" t="n">
        <v>2</v>
      </c>
      <c r="D563" t="inlineStr">
        <is>
          <t>Critical Damage %</t>
        </is>
      </c>
      <c r="E563" t="n">
        <v>30</v>
      </c>
      <c r="F563" t="n">
        <v>0.76</v>
      </c>
      <c r="G563" t="b">
        <v>0</v>
      </c>
      <c r="H563">
        <f>Sensitivity!H16</f>
        <v/>
      </c>
    </row>
    <row r="564">
      <c r="A564" t="inlineStr">
        <is>
          <t>gloves</t>
        </is>
      </c>
      <c r="B564" t="inlineStr">
        <is>
          <t>mystic</t>
        </is>
      </c>
      <c r="C564" t="n">
        <v>3</v>
      </c>
      <c r="D564" t="inlineStr">
        <is>
          <t>Critical Damage %</t>
        </is>
      </c>
      <c r="E564" t="n">
        <v>50</v>
      </c>
      <c r="F564" t="n">
        <v>0.08</v>
      </c>
      <c r="G564" t="b">
        <v>1</v>
      </c>
      <c r="H564">
        <f>Sensitivity!H16</f>
        <v/>
      </c>
    </row>
    <row r="565">
      <c r="A565" t="inlineStr">
        <is>
          <t>gloves</t>
        </is>
      </c>
      <c r="B565" t="inlineStr">
        <is>
          <t>mystic</t>
        </is>
      </c>
      <c r="C565" t="n">
        <v>3</v>
      </c>
      <c r="D565" t="inlineStr">
        <is>
          <t>Critical Damage %</t>
        </is>
      </c>
      <c r="E565" t="n">
        <v>30</v>
      </c>
      <c r="F565" t="n">
        <v>0.92</v>
      </c>
      <c r="G565" t="b">
        <v>0</v>
      </c>
      <c r="H565">
        <f>Sensitivity!H16</f>
        <v/>
      </c>
    </row>
    <row r="566">
      <c r="A566" t="inlineStr">
        <is>
          <t>boots</t>
        </is>
      </c>
      <c r="B566" t="inlineStr">
        <is>
          <t>epic</t>
        </is>
      </c>
      <c r="C566" t="n">
        <v>1</v>
      </c>
      <c r="D566" t="inlineStr">
        <is>
          <t>Companion Summoning Time Increase %</t>
        </is>
      </c>
      <c r="E566" t="n">
        <v>5</v>
      </c>
      <c r="F566" t="n">
        <v>1</v>
      </c>
      <c r="G566" t="b">
        <v>1</v>
      </c>
      <c r="H566">
        <f>Sensitivity!H16</f>
        <v/>
      </c>
    </row>
    <row r="567">
      <c r="A567" t="inlineStr">
        <is>
          <t>boots</t>
        </is>
      </c>
      <c r="B567" t="inlineStr">
        <is>
          <t>epic</t>
        </is>
      </c>
      <c r="C567" t="n">
        <v>2</v>
      </c>
      <c r="D567" t="inlineStr">
        <is>
          <t>Companion Summoning Time Increase %</t>
        </is>
      </c>
      <c r="E567" t="n">
        <v>5</v>
      </c>
      <c r="F567" t="n">
        <v>0.24</v>
      </c>
      <c r="G567" t="b">
        <v>1</v>
      </c>
      <c r="H567">
        <f>Sensitivity!H16</f>
        <v/>
      </c>
    </row>
    <row r="568">
      <c r="A568" t="inlineStr">
        <is>
          <t>boots</t>
        </is>
      </c>
      <c r="B568" t="inlineStr">
        <is>
          <t>epic</t>
        </is>
      </c>
      <c r="C568" t="n">
        <v>3</v>
      </c>
      <c r="D568" t="inlineStr">
        <is>
          <t>Companion Summoning Time Increase %</t>
        </is>
      </c>
      <c r="E568" t="n">
        <v>5</v>
      </c>
      <c r="F568" t="n">
        <v>0.08</v>
      </c>
      <c r="G568" t="b">
        <v>1</v>
      </c>
      <c r="H568">
        <f>Sensitivity!H16</f>
        <v/>
      </c>
    </row>
    <row r="569">
      <c r="A569" t="inlineStr">
        <is>
          <t>boots</t>
        </is>
      </c>
      <c r="B569" t="inlineStr">
        <is>
          <t>unique</t>
        </is>
      </c>
      <c r="C569" t="n">
        <v>1</v>
      </c>
      <c r="D569" t="inlineStr">
        <is>
          <t>Companion Summoning Time Increase %</t>
        </is>
      </c>
      <c r="E569" t="n">
        <v>8</v>
      </c>
      <c r="F569" t="n">
        <v>1</v>
      </c>
      <c r="G569" t="b">
        <v>1</v>
      </c>
      <c r="H569">
        <f>Sensitivity!H16</f>
        <v/>
      </c>
    </row>
    <row r="570">
      <c r="A570" t="inlineStr">
        <is>
          <t>boots</t>
        </is>
      </c>
      <c r="B570" t="inlineStr">
        <is>
          <t>unique</t>
        </is>
      </c>
      <c r="C570" t="n">
        <v>2</v>
      </c>
      <c r="D570" t="inlineStr">
        <is>
          <t>Companion Summoning Time Increase %</t>
        </is>
      </c>
      <c r="E570" t="n">
        <v>8</v>
      </c>
      <c r="F570" t="n">
        <v>0.24</v>
      </c>
      <c r="G570" t="b">
        <v>1</v>
      </c>
      <c r="H570">
        <f>Sensitivity!H16</f>
        <v/>
      </c>
    </row>
    <row r="571">
      <c r="A571" t="inlineStr">
        <is>
          <t>boots</t>
        </is>
      </c>
      <c r="B571" t="inlineStr">
        <is>
          <t>unique</t>
        </is>
      </c>
      <c r="C571" t="n">
        <v>2</v>
      </c>
      <c r="D571" t="inlineStr">
        <is>
          <t>Companion Summoning Time Increase %</t>
        </is>
      </c>
      <c r="E571" t="n">
        <v>5</v>
      </c>
      <c r="F571" t="n">
        <v>0.76</v>
      </c>
      <c r="G571" t="b">
        <v>0</v>
      </c>
      <c r="H571">
        <f>Sensitivity!H16</f>
        <v/>
      </c>
    </row>
    <row r="572">
      <c r="A572" t="inlineStr">
        <is>
          <t>boots</t>
        </is>
      </c>
      <c r="B572" t="inlineStr">
        <is>
          <t>unique</t>
        </is>
      </c>
      <c r="C572" t="n">
        <v>3</v>
      </c>
      <c r="D572" t="inlineStr">
        <is>
          <t>Companion Summoning Time Increase %</t>
        </is>
      </c>
      <c r="E572" t="n">
        <v>8</v>
      </c>
      <c r="F572" t="n">
        <v>0.08</v>
      </c>
      <c r="G572" t="b">
        <v>1</v>
      </c>
      <c r="H572">
        <f>Sensitivity!H16</f>
        <v/>
      </c>
    </row>
    <row r="573">
      <c r="A573" t="inlineStr">
        <is>
          <t>boots</t>
        </is>
      </c>
      <c r="B573" t="inlineStr">
        <is>
          <t>unique</t>
        </is>
      </c>
      <c r="C573" t="n">
        <v>3</v>
      </c>
      <c r="D573" t="inlineStr">
        <is>
          <t>Companion Summoning Time Increase %</t>
        </is>
      </c>
      <c r="E573" t="n">
        <v>5</v>
      </c>
      <c r="F573" t="n">
        <v>0.92</v>
      </c>
      <c r="G573" t="b">
        <v>0</v>
      </c>
      <c r="H573">
        <f>Sensitivity!H16</f>
        <v/>
      </c>
    </row>
    <row r="574">
      <c r="A574" t="inlineStr">
        <is>
          <t>boots</t>
        </is>
      </c>
      <c r="B574" t="inlineStr">
        <is>
          <t>legendary</t>
        </is>
      </c>
      <c r="C574" t="n">
        <v>1</v>
      </c>
      <c r="D574" t="inlineStr">
        <is>
          <t>Companion Summoning Time Increase %</t>
        </is>
      </c>
      <c r="E574" t="n">
        <v>12</v>
      </c>
      <c r="F574" t="n">
        <v>1</v>
      </c>
      <c r="G574" t="b">
        <v>1</v>
      </c>
      <c r="H574">
        <f>Sensitivity!H16</f>
        <v/>
      </c>
    </row>
    <row r="575">
      <c r="A575" t="inlineStr">
        <is>
          <t>boots</t>
        </is>
      </c>
      <c r="B575" t="inlineStr">
        <is>
          <t>legendary</t>
        </is>
      </c>
      <c r="C575" t="n">
        <v>2</v>
      </c>
      <c r="D575" t="inlineStr">
        <is>
          <t>Companion Summoning Time Increase %</t>
        </is>
      </c>
      <c r="E575" t="n">
        <v>12</v>
      </c>
      <c r="F575" t="n">
        <v>0.24</v>
      </c>
      <c r="G575" t="b">
        <v>1</v>
      </c>
      <c r="H575">
        <f>Sensitivity!H16</f>
        <v/>
      </c>
    </row>
    <row r="576">
      <c r="A576" t="inlineStr">
        <is>
          <t>boots</t>
        </is>
      </c>
      <c r="B576" t="inlineStr">
        <is>
          <t>legendary</t>
        </is>
      </c>
      <c r="C576" t="n">
        <v>2</v>
      </c>
      <c r="D576" t="inlineStr">
        <is>
          <t>Companion Summoning Time Increase %</t>
        </is>
      </c>
      <c r="E576" t="n">
        <v>8</v>
      </c>
      <c r="F576" t="n">
        <v>0.76</v>
      </c>
      <c r="G576" t="b">
        <v>0</v>
      </c>
      <c r="H576">
        <f>Sensitivity!H16</f>
        <v/>
      </c>
    </row>
    <row r="577">
      <c r="A577" t="inlineStr">
        <is>
          <t>boots</t>
        </is>
      </c>
      <c r="B577" t="inlineStr">
        <is>
          <t>legendary</t>
        </is>
      </c>
      <c r="C577" t="n">
        <v>3</v>
      </c>
      <c r="D577" t="inlineStr">
        <is>
          <t>Companion Summoning Time Increase %</t>
        </is>
      </c>
      <c r="E577" t="n">
        <v>12</v>
      </c>
      <c r="F577" t="n">
        <v>0.08</v>
      </c>
      <c r="G577" t="b">
        <v>1</v>
      </c>
      <c r="H577">
        <f>Sensitivity!H16</f>
        <v/>
      </c>
    </row>
    <row r="578">
      <c r="A578" t="inlineStr">
        <is>
          <t>boots</t>
        </is>
      </c>
      <c r="B578" t="inlineStr">
        <is>
          <t>legendary</t>
        </is>
      </c>
      <c r="C578" t="n">
        <v>3</v>
      </c>
      <c r="D578" t="inlineStr">
        <is>
          <t>Companion Summoning Time Increase %</t>
        </is>
      </c>
      <c r="E578" t="n">
        <v>8</v>
      </c>
      <c r="F578" t="n">
        <v>0.92</v>
      </c>
      <c r="G578" t="b">
        <v>0</v>
      </c>
      <c r="H578">
        <f>Sensitivity!H16</f>
        <v/>
      </c>
    </row>
    <row r="579">
      <c r="A579" t="inlineStr">
        <is>
          <t>boots</t>
        </is>
      </c>
      <c r="B579" t="inlineStr">
        <is>
          <t>mystic</t>
        </is>
      </c>
      <c r="C579" t="n">
        <v>1</v>
      </c>
      <c r="D579" t="inlineStr">
        <is>
          <t>Companion Summoning Time Increase %</t>
        </is>
      </c>
      <c r="E579" t="n">
        <v>20</v>
      </c>
      <c r="F579" t="n">
        <v>1</v>
      </c>
      <c r="G579" t="b">
        <v>1</v>
      </c>
      <c r="H579">
        <f>Sensitivity!H16</f>
        <v/>
      </c>
    </row>
    <row r="580">
      <c r="A580" t="inlineStr">
        <is>
          <t>boots</t>
        </is>
      </c>
      <c r="B580" t="inlineStr">
        <is>
          <t>mystic</t>
        </is>
      </c>
      <c r="C580" t="n">
        <v>2</v>
      </c>
      <c r="D580" t="inlineStr">
        <is>
          <t>Companion Summoning Time Increase %</t>
        </is>
      </c>
      <c r="E580" t="n">
        <v>20</v>
      </c>
      <c r="F580" t="n">
        <v>0.24</v>
      </c>
      <c r="G580" t="b">
        <v>1</v>
      </c>
      <c r="H580">
        <f>Sensitivity!H16</f>
        <v/>
      </c>
    </row>
    <row r="581">
      <c r="A581" t="inlineStr">
        <is>
          <t>boots</t>
        </is>
      </c>
      <c r="B581" t="inlineStr">
        <is>
          <t>mystic</t>
        </is>
      </c>
      <c r="C581" t="n">
        <v>2</v>
      </c>
      <c r="D581" t="inlineStr">
        <is>
          <t>Companion Summoning Time Increase %</t>
        </is>
      </c>
      <c r="E581" t="n">
        <v>12</v>
      </c>
      <c r="F581" t="n">
        <v>0.76</v>
      </c>
      <c r="G581" t="b">
        <v>0</v>
      </c>
      <c r="H581">
        <f>Sensitivity!H16</f>
        <v/>
      </c>
    </row>
    <row r="582">
      <c r="A582" t="inlineStr">
        <is>
          <t>boots</t>
        </is>
      </c>
      <c r="B582" t="inlineStr">
        <is>
          <t>mystic</t>
        </is>
      </c>
      <c r="C582" t="n">
        <v>3</v>
      </c>
      <c r="D582" t="inlineStr">
        <is>
          <t>Companion Summoning Time Increase %</t>
        </is>
      </c>
      <c r="E582" t="n">
        <v>20</v>
      </c>
      <c r="F582" t="n">
        <v>0.08</v>
      </c>
      <c r="G582" t="b">
        <v>1</v>
      </c>
      <c r="H582">
        <f>Sensitivity!H16</f>
        <v/>
      </c>
    </row>
    <row r="583">
      <c r="A583" t="inlineStr">
        <is>
          <t>boots</t>
        </is>
      </c>
      <c r="B583" t="inlineStr">
        <is>
          <t>mystic</t>
        </is>
      </c>
      <c r="C583" t="n">
        <v>3</v>
      </c>
      <c r="D583" t="inlineStr">
        <is>
          <t>Companion Summoning Time Increase %</t>
        </is>
      </c>
      <c r="E583" t="n">
        <v>12</v>
      </c>
      <c r="F583" t="n">
        <v>0.92</v>
      </c>
      <c r="G583" t="b">
        <v>0</v>
      </c>
      <c r="H583">
        <f>Sensitivity!H16</f>
        <v/>
      </c>
    </row>
    <row r="584">
      <c r="A584" t="inlineStr">
        <is>
          <t>ring</t>
        </is>
      </c>
      <c r="B584" t="inlineStr">
        <is>
          <t>epic</t>
        </is>
      </c>
      <c r="C584" t="n">
        <v>1</v>
      </c>
      <c r="D584" t="inlineStr">
        <is>
          <t>All Skill Level</t>
        </is>
      </c>
      <c r="E584" t="n">
        <v>5</v>
      </c>
      <c r="F584" t="n">
        <v>1</v>
      </c>
      <c r="G584" t="b">
        <v>1</v>
      </c>
      <c r="H584">
        <f>Sensitivity!H25</f>
        <v/>
      </c>
    </row>
    <row r="585">
      <c r="A585" t="inlineStr">
        <is>
          <t>ring</t>
        </is>
      </c>
      <c r="B585" t="inlineStr">
        <is>
          <t>epic</t>
        </is>
      </c>
      <c r="C585" t="n">
        <v>2</v>
      </c>
      <c r="D585" t="inlineStr">
        <is>
          <t>All Skill Level</t>
        </is>
      </c>
      <c r="E585" t="n">
        <v>5</v>
      </c>
      <c r="F585" t="n">
        <v>0.24</v>
      </c>
      <c r="G585" t="b">
        <v>1</v>
      </c>
      <c r="H585">
        <f>Sensitivity!H25</f>
        <v/>
      </c>
    </row>
    <row r="586">
      <c r="A586" t="inlineStr">
        <is>
          <t>ring</t>
        </is>
      </c>
      <c r="B586" t="inlineStr">
        <is>
          <t>epic</t>
        </is>
      </c>
      <c r="C586" t="n">
        <v>3</v>
      </c>
      <c r="D586" t="inlineStr">
        <is>
          <t>All Skill Level</t>
        </is>
      </c>
      <c r="E586" t="n">
        <v>5</v>
      </c>
      <c r="F586" t="n">
        <v>0.08</v>
      </c>
      <c r="G586" t="b">
        <v>1</v>
      </c>
      <c r="H586">
        <f>Sensitivity!H25</f>
        <v/>
      </c>
    </row>
    <row r="587">
      <c r="A587" t="inlineStr">
        <is>
          <t>ring</t>
        </is>
      </c>
      <c r="B587" t="inlineStr">
        <is>
          <t>unique</t>
        </is>
      </c>
      <c r="C587" t="n">
        <v>1</v>
      </c>
      <c r="D587" t="inlineStr">
        <is>
          <t>All Skill Level</t>
        </is>
      </c>
      <c r="E587" t="n">
        <v>8</v>
      </c>
      <c r="F587" t="n">
        <v>1</v>
      </c>
      <c r="G587" t="b">
        <v>1</v>
      </c>
      <c r="H587">
        <f>Sensitivity!H25</f>
        <v/>
      </c>
    </row>
    <row r="588">
      <c r="A588" t="inlineStr">
        <is>
          <t>ring</t>
        </is>
      </c>
      <c r="B588" t="inlineStr">
        <is>
          <t>unique</t>
        </is>
      </c>
      <c r="C588" t="n">
        <v>2</v>
      </c>
      <c r="D588" t="inlineStr">
        <is>
          <t>All Skill Level</t>
        </is>
      </c>
      <c r="E588" t="n">
        <v>8</v>
      </c>
      <c r="F588" t="n">
        <v>0.24</v>
      </c>
      <c r="G588" t="b">
        <v>1</v>
      </c>
      <c r="H588">
        <f>Sensitivity!H25</f>
        <v/>
      </c>
    </row>
    <row r="589">
      <c r="A589" t="inlineStr">
        <is>
          <t>ring</t>
        </is>
      </c>
      <c r="B589" t="inlineStr">
        <is>
          <t>unique</t>
        </is>
      </c>
      <c r="C589" t="n">
        <v>2</v>
      </c>
      <c r="D589" t="inlineStr">
        <is>
          <t>All Skill Level</t>
        </is>
      </c>
      <c r="E589" t="n">
        <v>5</v>
      </c>
      <c r="F589" t="n">
        <v>0.76</v>
      </c>
      <c r="G589" t="b">
        <v>0</v>
      </c>
      <c r="H589">
        <f>Sensitivity!H25</f>
        <v/>
      </c>
    </row>
    <row r="590">
      <c r="A590" t="inlineStr">
        <is>
          <t>ring</t>
        </is>
      </c>
      <c r="B590" t="inlineStr">
        <is>
          <t>unique</t>
        </is>
      </c>
      <c r="C590" t="n">
        <v>3</v>
      </c>
      <c r="D590" t="inlineStr">
        <is>
          <t>All Skill Level</t>
        </is>
      </c>
      <c r="E590" t="n">
        <v>8</v>
      </c>
      <c r="F590" t="n">
        <v>0.08</v>
      </c>
      <c r="G590" t="b">
        <v>1</v>
      </c>
      <c r="H590">
        <f>Sensitivity!H25</f>
        <v/>
      </c>
    </row>
    <row r="591">
      <c r="A591" t="inlineStr">
        <is>
          <t>ring</t>
        </is>
      </c>
      <c r="B591" t="inlineStr">
        <is>
          <t>unique</t>
        </is>
      </c>
      <c r="C591" t="n">
        <v>3</v>
      </c>
      <c r="D591" t="inlineStr">
        <is>
          <t>All Skill Level</t>
        </is>
      </c>
      <c r="E591" t="n">
        <v>5</v>
      </c>
      <c r="F591" t="n">
        <v>0.92</v>
      </c>
      <c r="G591" t="b">
        <v>0</v>
      </c>
      <c r="H591">
        <f>Sensitivity!H25</f>
        <v/>
      </c>
    </row>
    <row r="592">
      <c r="A592" t="inlineStr">
        <is>
          <t>ring</t>
        </is>
      </c>
      <c r="B592" t="inlineStr">
        <is>
          <t>legendary</t>
        </is>
      </c>
      <c r="C592" t="n">
        <v>1</v>
      </c>
      <c r="D592" t="inlineStr">
        <is>
          <t>All Skill Level</t>
        </is>
      </c>
      <c r="E592" t="n">
        <v>12</v>
      </c>
      <c r="F592" t="n">
        <v>1</v>
      </c>
      <c r="G592" t="b">
        <v>1</v>
      </c>
      <c r="H592">
        <f>Sensitivity!H25</f>
        <v/>
      </c>
    </row>
    <row r="593">
      <c r="A593" t="inlineStr">
        <is>
          <t>ring</t>
        </is>
      </c>
      <c r="B593" t="inlineStr">
        <is>
          <t>legendary</t>
        </is>
      </c>
      <c r="C593" t="n">
        <v>2</v>
      </c>
      <c r="D593" t="inlineStr">
        <is>
          <t>All Skill Level</t>
        </is>
      </c>
      <c r="E593" t="n">
        <v>12</v>
      </c>
      <c r="F593" t="n">
        <v>0.24</v>
      </c>
      <c r="G593" t="b">
        <v>1</v>
      </c>
      <c r="H593">
        <f>Sensitivity!H25</f>
        <v/>
      </c>
    </row>
    <row r="594">
      <c r="A594" t="inlineStr">
        <is>
          <t>ring</t>
        </is>
      </c>
      <c r="B594" t="inlineStr">
        <is>
          <t>legendary</t>
        </is>
      </c>
      <c r="C594" t="n">
        <v>2</v>
      </c>
      <c r="D594" t="inlineStr">
        <is>
          <t>All Skill Level</t>
        </is>
      </c>
      <c r="E594" t="n">
        <v>8</v>
      </c>
      <c r="F594" t="n">
        <v>0.76</v>
      </c>
      <c r="G594" t="b">
        <v>0</v>
      </c>
      <c r="H594">
        <f>Sensitivity!H25</f>
        <v/>
      </c>
    </row>
    <row r="595">
      <c r="A595" t="inlineStr">
        <is>
          <t>ring</t>
        </is>
      </c>
      <c r="B595" t="inlineStr">
        <is>
          <t>legendary</t>
        </is>
      </c>
      <c r="C595" t="n">
        <v>3</v>
      </c>
      <c r="D595" t="inlineStr">
        <is>
          <t>All Skill Level</t>
        </is>
      </c>
      <c r="E595" t="n">
        <v>12</v>
      </c>
      <c r="F595" t="n">
        <v>0.08</v>
      </c>
      <c r="G595" t="b">
        <v>1</v>
      </c>
      <c r="H595">
        <f>Sensitivity!H25</f>
        <v/>
      </c>
    </row>
    <row r="596">
      <c r="A596" t="inlineStr">
        <is>
          <t>ring</t>
        </is>
      </c>
      <c r="B596" t="inlineStr">
        <is>
          <t>legendary</t>
        </is>
      </c>
      <c r="C596" t="n">
        <v>3</v>
      </c>
      <c r="D596" t="inlineStr">
        <is>
          <t>All Skill Level</t>
        </is>
      </c>
      <c r="E596" t="n">
        <v>8</v>
      </c>
      <c r="F596" t="n">
        <v>0.92</v>
      </c>
      <c r="G596" t="b">
        <v>0</v>
      </c>
      <c r="H596">
        <f>Sensitivity!H25</f>
        <v/>
      </c>
    </row>
    <row r="597">
      <c r="A597" t="inlineStr">
        <is>
          <t>ring</t>
        </is>
      </c>
      <c r="B597" t="inlineStr">
        <is>
          <t>mystic</t>
        </is>
      </c>
      <c r="C597" t="n">
        <v>1</v>
      </c>
      <c r="D597" t="inlineStr">
        <is>
          <t>All Skill Level</t>
        </is>
      </c>
      <c r="E597" t="n">
        <v>16</v>
      </c>
      <c r="F597" t="n">
        <v>1</v>
      </c>
      <c r="G597" t="b">
        <v>1</v>
      </c>
      <c r="H597">
        <f>Sensitivity!H25</f>
        <v/>
      </c>
    </row>
    <row r="598">
      <c r="A598" t="inlineStr">
        <is>
          <t>ring</t>
        </is>
      </c>
      <c r="B598" t="inlineStr">
        <is>
          <t>mystic</t>
        </is>
      </c>
      <c r="C598" t="n">
        <v>2</v>
      </c>
      <c r="D598" t="inlineStr">
        <is>
          <t>All Skill Level</t>
        </is>
      </c>
      <c r="E598" t="n">
        <v>16</v>
      </c>
      <c r="F598" t="n">
        <v>0.24</v>
      </c>
      <c r="G598" t="b">
        <v>1</v>
      </c>
      <c r="H598">
        <f>Sensitivity!H25</f>
        <v/>
      </c>
    </row>
    <row r="599">
      <c r="A599" t="inlineStr">
        <is>
          <t>ring</t>
        </is>
      </c>
      <c r="B599" t="inlineStr">
        <is>
          <t>mystic</t>
        </is>
      </c>
      <c r="C599" t="n">
        <v>2</v>
      </c>
      <c r="D599" t="inlineStr">
        <is>
          <t>All Skill Level</t>
        </is>
      </c>
      <c r="E599" t="n">
        <v>12</v>
      </c>
      <c r="F599" t="n">
        <v>0.76</v>
      </c>
      <c r="G599" t="b">
        <v>0</v>
      </c>
      <c r="H599">
        <f>Sensitivity!H25</f>
        <v/>
      </c>
    </row>
    <row r="600">
      <c r="A600" t="inlineStr">
        <is>
          <t>ring</t>
        </is>
      </c>
      <c r="B600" t="inlineStr">
        <is>
          <t>mystic</t>
        </is>
      </c>
      <c r="C600" t="n">
        <v>3</v>
      </c>
      <c r="D600" t="inlineStr">
        <is>
          <t>All Skill Level</t>
        </is>
      </c>
      <c r="E600" t="n">
        <v>16</v>
      </c>
      <c r="F600" t="n">
        <v>0.08</v>
      </c>
      <c r="G600" t="b">
        <v>1</v>
      </c>
      <c r="H600">
        <f>Sensitivity!H25</f>
        <v/>
      </c>
    </row>
    <row r="601">
      <c r="A601" t="inlineStr">
        <is>
          <t>ring</t>
        </is>
      </c>
      <c r="B601" t="inlineStr">
        <is>
          <t>mystic</t>
        </is>
      </c>
      <c r="C601" t="n">
        <v>3</v>
      </c>
      <c r="D601" t="inlineStr">
        <is>
          <t>All Skill Level</t>
        </is>
      </c>
      <c r="E601" t="n">
        <v>12</v>
      </c>
      <c r="F601" t="n">
        <v>0.92</v>
      </c>
      <c r="G601" t="b">
        <v>0</v>
      </c>
      <c r="H601">
        <f>Sensitivity!H25</f>
        <v/>
      </c>
    </row>
    <row r="602">
      <c r="A602" t="inlineStr">
        <is>
          <t>neck</t>
        </is>
      </c>
      <c r="B602" t="inlineStr">
        <is>
          <t>epic</t>
        </is>
      </c>
      <c r="C602" t="n">
        <v>1</v>
      </c>
      <c r="D602" t="inlineStr">
        <is>
          <t>All Skill Level</t>
        </is>
      </c>
      <c r="E602" t="n">
        <v>5</v>
      </c>
      <c r="F602" t="n">
        <v>1</v>
      </c>
      <c r="G602" t="b">
        <v>1</v>
      </c>
      <c r="H602">
        <f>Sensitivity!H25</f>
        <v/>
      </c>
    </row>
    <row r="603">
      <c r="A603" t="inlineStr">
        <is>
          <t>neck</t>
        </is>
      </c>
      <c r="B603" t="inlineStr">
        <is>
          <t>epic</t>
        </is>
      </c>
      <c r="C603" t="n">
        <v>2</v>
      </c>
      <c r="D603" t="inlineStr">
        <is>
          <t>All Skill Level</t>
        </is>
      </c>
      <c r="E603" t="n">
        <v>5</v>
      </c>
      <c r="F603" t="n">
        <v>0.24</v>
      </c>
      <c r="G603" t="b">
        <v>1</v>
      </c>
      <c r="H603">
        <f>Sensitivity!H25</f>
        <v/>
      </c>
    </row>
    <row r="604">
      <c r="A604" t="inlineStr">
        <is>
          <t>neck</t>
        </is>
      </c>
      <c r="B604" t="inlineStr">
        <is>
          <t>epic</t>
        </is>
      </c>
      <c r="C604" t="n">
        <v>3</v>
      </c>
      <c r="D604" t="inlineStr">
        <is>
          <t>All Skill Level</t>
        </is>
      </c>
      <c r="E604" t="n">
        <v>5</v>
      </c>
      <c r="F604" t="n">
        <v>0.08</v>
      </c>
      <c r="G604" t="b">
        <v>1</v>
      </c>
      <c r="H604">
        <f>Sensitivity!H25</f>
        <v/>
      </c>
    </row>
    <row r="605">
      <c r="A605" t="inlineStr">
        <is>
          <t>neck</t>
        </is>
      </c>
      <c r="B605" t="inlineStr">
        <is>
          <t>unique</t>
        </is>
      </c>
      <c r="C605" t="n">
        <v>1</v>
      </c>
      <c r="D605" t="inlineStr">
        <is>
          <t>All Skill Level</t>
        </is>
      </c>
      <c r="E605" t="n">
        <v>8</v>
      </c>
      <c r="F605" t="n">
        <v>1</v>
      </c>
      <c r="G605" t="b">
        <v>1</v>
      </c>
      <c r="H605">
        <f>Sensitivity!H25</f>
        <v/>
      </c>
    </row>
    <row r="606">
      <c r="A606" t="inlineStr">
        <is>
          <t>neck</t>
        </is>
      </c>
      <c r="B606" t="inlineStr">
        <is>
          <t>unique</t>
        </is>
      </c>
      <c r="C606" t="n">
        <v>2</v>
      </c>
      <c r="D606" t="inlineStr">
        <is>
          <t>All Skill Level</t>
        </is>
      </c>
      <c r="E606" t="n">
        <v>8</v>
      </c>
      <c r="F606" t="n">
        <v>0.24</v>
      </c>
      <c r="G606" t="b">
        <v>1</v>
      </c>
      <c r="H606">
        <f>Sensitivity!H25</f>
        <v/>
      </c>
    </row>
    <row r="607">
      <c r="A607" t="inlineStr">
        <is>
          <t>neck</t>
        </is>
      </c>
      <c r="B607" t="inlineStr">
        <is>
          <t>unique</t>
        </is>
      </c>
      <c r="C607" t="n">
        <v>2</v>
      </c>
      <c r="D607" t="inlineStr">
        <is>
          <t>All Skill Level</t>
        </is>
      </c>
      <c r="E607" t="n">
        <v>5</v>
      </c>
      <c r="F607" t="n">
        <v>0.76</v>
      </c>
      <c r="G607" t="b">
        <v>0</v>
      </c>
      <c r="H607">
        <f>Sensitivity!H25</f>
        <v/>
      </c>
    </row>
    <row r="608">
      <c r="A608" t="inlineStr">
        <is>
          <t>neck</t>
        </is>
      </c>
      <c r="B608" t="inlineStr">
        <is>
          <t>unique</t>
        </is>
      </c>
      <c r="C608" t="n">
        <v>3</v>
      </c>
      <c r="D608" t="inlineStr">
        <is>
          <t>All Skill Level</t>
        </is>
      </c>
      <c r="E608" t="n">
        <v>8</v>
      </c>
      <c r="F608" t="n">
        <v>0.08</v>
      </c>
      <c r="G608" t="b">
        <v>1</v>
      </c>
      <c r="H608">
        <f>Sensitivity!H25</f>
        <v/>
      </c>
    </row>
    <row r="609">
      <c r="A609" t="inlineStr">
        <is>
          <t>neck</t>
        </is>
      </c>
      <c r="B609" t="inlineStr">
        <is>
          <t>unique</t>
        </is>
      </c>
      <c r="C609" t="n">
        <v>3</v>
      </c>
      <c r="D609" t="inlineStr">
        <is>
          <t>All Skill Level</t>
        </is>
      </c>
      <c r="E609" t="n">
        <v>5</v>
      </c>
      <c r="F609" t="n">
        <v>0.92</v>
      </c>
      <c r="G609" t="b">
        <v>0</v>
      </c>
      <c r="H609">
        <f>Sensitivity!H25</f>
        <v/>
      </c>
    </row>
    <row r="610">
      <c r="A610" t="inlineStr">
        <is>
          <t>neck</t>
        </is>
      </c>
      <c r="B610" t="inlineStr">
        <is>
          <t>legendary</t>
        </is>
      </c>
      <c r="C610" t="n">
        <v>1</v>
      </c>
      <c r="D610" t="inlineStr">
        <is>
          <t>All Skill Level</t>
        </is>
      </c>
      <c r="E610" t="n">
        <v>12</v>
      </c>
      <c r="F610" t="n">
        <v>1</v>
      </c>
      <c r="G610" t="b">
        <v>1</v>
      </c>
      <c r="H610">
        <f>Sensitivity!H25</f>
        <v/>
      </c>
    </row>
    <row r="611">
      <c r="A611" t="inlineStr">
        <is>
          <t>neck</t>
        </is>
      </c>
      <c r="B611" t="inlineStr">
        <is>
          <t>legendary</t>
        </is>
      </c>
      <c r="C611" t="n">
        <v>2</v>
      </c>
      <c r="D611" t="inlineStr">
        <is>
          <t>All Skill Level</t>
        </is>
      </c>
      <c r="E611" t="n">
        <v>12</v>
      </c>
      <c r="F611" t="n">
        <v>0.24</v>
      </c>
      <c r="G611" t="b">
        <v>1</v>
      </c>
      <c r="H611">
        <f>Sensitivity!H25</f>
        <v/>
      </c>
    </row>
    <row r="612">
      <c r="A612" t="inlineStr">
        <is>
          <t>neck</t>
        </is>
      </c>
      <c r="B612" t="inlineStr">
        <is>
          <t>legendary</t>
        </is>
      </c>
      <c r="C612" t="n">
        <v>2</v>
      </c>
      <c r="D612" t="inlineStr">
        <is>
          <t>All Skill Level</t>
        </is>
      </c>
      <c r="E612" t="n">
        <v>8</v>
      </c>
      <c r="F612" t="n">
        <v>0.76</v>
      </c>
      <c r="G612" t="b">
        <v>0</v>
      </c>
      <c r="H612">
        <f>Sensitivity!H25</f>
        <v/>
      </c>
    </row>
    <row r="613">
      <c r="A613" t="inlineStr">
        <is>
          <t>neck</t>
        </is>
      </c>
      <c r="B613" t="inlineStr">
        <is>
          <t>legendary</t>
        </is>
      </c>
      <c r="C613" t="n">
        <v>3</v>
      </c>
      <c r="D613" t="inlineStr">
        <is>
          <t>All Skill Level</t>
        </is>
      </c>
      <c r="E613" t="n">
        <v>12</v>
      </c>
      <c r="F613" t="n">
        <v>0.08</v>
      </c>
      <c r="G613" t="b">
        <v>1</v>
      </c>
      <c r="H613">
        <f>Sensitivity!H25</f>
        <v/>
      </c>
    </row>
    <row r="614">
      <c r="A614" t="inlineStr">
        <is>
          <t>neck</t>
        </is>
      </c>
      <c r="B614" t="inlineStr">
        <is>
          <t>legendary</t>
        </is>
      </c>
      <c r="C614" t="n">
        <v>3</v>
      </c>
      <c r="D614" t="inlineStr">
        <is>
          <t>All Skill Level</t>
        </is>
      </c>
      <c r="E614" t="n">
        <v>8</v>
      </c>
      <c r="F614" t="n">
        <v>0.92</v>
      </c>
      <c r="G614" t="b">
        <v>0</v>
      </c>
      <c r="H614">
        <f>Sensitivity!H25</f>
        <v/>
      </c>
    </row>
    <row r="615">
      <c r="A615" t="inlineStr">
        <is>
          <t>neck</t>
        </is>
      </c>
      <c r="B615" t="inlineStr">
        <is>
          <t>mystic</t>
        </is>
      </c>
      <c r="C615" t="n">
        <v>1</v>
      </c>
      <c r="D615" t="inlineStr">
        <is>
          <t>All Skill Level</t>
        </is>
      </c>
      <c r="E615" t="n">
        <v>16</v>
      </c>
      <c r="F615" t="n">
        <v>1</v>
      </c>
      <c r="G615" t="b">
        <v>1</v>
      </c>
      <c r="H615">
        <f>Sensitivity!H25</f>
        <v/>
      </c>
    </row>
    <row r="616">
      <c r="A616" t="inlineStr">
        <is>
          <t>neck</t>
        </is>
      </c>
      <c r="B616" t="inlineStr">
        <is>
          <t>mystic</t>
        </is>
      </c>
      <c r="C616" t="n">
        <v>2</v>
      </c>
      <c r="D616" t="inlineStr">
        <is>
          <t>All Skill Level</t>
        </is>
      </c>
      <c r="E616" t="n">
        <v>16</v>
      </c>
      <c r="F616" t="n">
        <v>0.24</v>
      </c>
      <c r="G616" t="b">
        <v>1</v>
      </c>
      <c r="H616">
        <f>Sensitivity!H25</f>
        <v/>
      </c>
    </row>
    <row r="617">
      <c r="A617" t="inlineStr">
        <is>
          <t>neck</t>
        </is>
      </c>
      <c r="B617" t="inlineStr">
        <is>
          <t>mystic</t>
        </is>
      </c>
      <c r="C617" t="n">
        <v>2</v>
      </c>
      <c r="D617" t="inlineStr">
        <is>
          <t>All Skill Level</t>
        </is>
      </c>
      <c r="E617" t="n">
        <v>12</v>
      </c>
      <c r="F617" t="n">
        <v>0.76</v>
      </c>
      <c r="G617" t="b">
        <v>0</v>
      </c>
      <c r="H617">
        <f>Sensitivity!H25</f>
        <v/>
      </c>
    </row>
    <row r="618">
      <c r="A618" t="inlineStr">
        <is>
          <t>neck</t>
        </is>
      </c>
      <c r="B618" t="inlineStr">
        <is>
          <t>mystic</t>
        </is>
      </c>
      <c r="C618" t="n">
        <v>3</v>
      </c>
      <c r="D618" t="inlineStr">
        <is>
          <t>All Skill Level</t>
        </is>
      </c>
      <c r="E618" t="n">
        <v>16</v>
      </c>
      <c r="F618" t="n">
        <v>0.08</v>
      </c>
      <c r="G618" t="b">
        <v>1</v>
      </c>
      <c r="H618">
        <f>Sensitivity!H25</f>
        <v/>
      </c>
    </row>
    <row r="619">
      <c r="A619" t="inlineStr">
        <is>
          <t>neck</t>
        </is>
      </c>
      <c r="B619" t="inlineStr">
        <is>
          <t>mystic</t>
        </is>
      </c>
      <c r="C619" t="n">
        <v>3</v>
      </c>
      <c r="D619" t="inlineStr">
        <is>
          <t>All Skill Level</t>
        </is>
      </c>
      <c r="E619" t="n">
        <v>12</v>
      </c>
      <c r="F619" t="n">
        <v>0.92</v>
      </c>
      <c r="G619" t="b">
        <v>0</v>
      </c>
      <c r="H619">
        <f>Sensitivity!H25</f>
        <v/>
      </c>
    </row>
    <row r="620">
      <c r="A620" t="inlineStr">
        <is>
          <t>eye-accessory</t>
        </is>
      </c>
      <c r="B620" t="inlineStr">
        <is>
          <t>epic</t>
        </is>
      </c>
      <c r="C620" t="n">
        <v>1</v>
      </c>
      <c r="D620" t="inlineStr">
        <is>
          <t>Main Stat Per Level</t>
        </is>
      </c>
      <c r="E620" t="n">
        <v>10</v>
      </c>
      <c r="F620" t="n">
        <v>1</v>
      </c>
      <c r="G620" t="b">
        <v>1</v>
      </c>
      <c r="H620">
        <f>Sensitivity!H5*Inputs!$B$3</f>
        <v/>
      </c>
    </row>
    <row r="621">
      <c r="A621" t="inlineStr">
        <is>
          <t>eye-accessory</t>
        </is>
      </c>
      <c r="B621" t="inlineStr">
        <is>
          <t>epic</t>
        </is>
      </c>
      <c r="C621" t="n">
        <v>2</v>
      </c>
      <c r="D621" t="inlineStr">
        <is>
          <t>Main Stat Per Level</t>
        </is>
      </c>
      <c r="E621" t="n">
        <v>10</v>
      </c>
      <c r="F621" t="n">
        <v>0.24</v>
      </c>
      <c r="G621" t="b">
        <v>1</v>
      </c>
      <c r="H621">
        <f>Sensitivity!H5*Inputs!$B$3</f>
        <v/>
      </c>
    </row>
    <row r="622">
      <c r="A622" t="inlineStr">
        <is>
          <t>eye-accessory</t>
        </is>
      </c>
      <c r="B622" t="inlineStr">
        <is>
          <t>epic</t>
        </is>
      </c>
      <c r="C622" t="n">
        <v>3</v>
      </c>
      <c r="D622" t="inlineStr">
        <is>
          <t>Main Stat Per Level</t>
        </is>
      </c>
      <c r="E622" t="n">
        <v>10</v>
      </c>
      <c r="F622" t="n">
        <v>0.08</v>
      </c>
      <c r="G622" t="b">
        <v>1</v>
      </c>
      <c r="H622">
        <f>Sensitivity!H5*Inputs!$B$3</f>
        <v/>
      </c>
    </row>
    <row r="623">
      <c r="A623" t="inlineStr">
        <is>
          <t>eye-accessory</t>
        </is>
      </c>
      <c r="B623" t="inlineStr">
        <is>
          <t>unique</t>
        </is>
      </c>
      <c r="C623" t="n">
        <v>1</v>
      </c>
      <c r="D623" t="inlineStr">
        <is>
          <t>Main Stat Per Level</t>
        </is>
      </c>
      <c r="E623" t="n">
        <v>20</v>
      </c>
      <c r="F623" t="n">
        <v>1</v>
      </c>
      <c r="G623" t="b">
        <v>1</v>
      </c>
      <c r="H623">
        <f>Sensitivity!H5*Inputs!$B$3</f>
        <v/>
      </c>
    </row>
    <row r="624">
      <c r="A624" t="inlineStr">
        <is>
          <t>eye-accessory</t>
        </is>
      </c>
      <c r="B624" t="inlineStr">
        <is>
          <t>unique</t>
        </is>
      </c>
      <c r="C624" t="n">
        <v>2</v>
      </c>
      <c r="D624" t="inlineStr">
        <is>
          <t>Main Stat Per Level</t>
        </is>
      </c>
      <c r="E624" t="n">
        <v>20</v>
      </c>
      <c r="F624" t="n">
        <v>0.24</v>
      </c>
      <c r="G624" t="b">
        <v>1</v>
      </c>
      <c r="H624">
        <f>Sensitivity!H5*Inputs!$B$3</f>
        <v/>
      </c>
    </row>
    <row r="625">
      <c r="A625" t="inlineStr">
        <is>
          <t>eye-accessory</t>
        </is>
      </c>
      <c r="B625" t="inlineStr">
        <is>
          <t>unique</t>
        </is>
      </c>
      <c r="C625" t="n">
        <v>2</v>
      </c>
      <c r="D625" t="inlineStr">
        <is>
          <t>Main Stat Per Level</t>
        </is>
      </c>
      <c r="E625" t="n">
        <v>10</v>
      </c>
      <c r="F625" t="n">
        <v>0.76</v>
      </c>
      <c r="G625" t="b">
        <v>0</v>
      </c>
      <c r="H625">
        <f>Sensitivity!H5*Inputs!$B$3</f>
        <v/>
      </c>
    </row>
    <row r="626">
      <c r="A626" t="inlineStr">
        <is>
          <t>eye-accessory</t>
        </is>
      </c>
      <c r="B626" t="inlineStr">
        <is>
          <t>unique</t>
        </is>
      </c>
      <c r="C626" t="n">
        <v>3</v>
      </c>
      <c r="D626" t="inlineStr">
        <is>
          <t>Main Stat Per Level</t>
        </is>
      </c>
      <c r="E626" t="n">
        <v>20</v>
      </c>
      <c r="F626" t="n">
        <v>0.08</v>
      </c>
      <c r="G626" t="b">
        <v>1</v>
      </c>
      <c r="H626">
        <f>Sensitivity!H5*Inputs!$B$3</f>
        <v/>
      </c>
    </row>
    <row r="627">
      <c r="A627" t="inlineStr">
        <is>
          <t>eye-accessory</t>
        </is>
      </c>
      <c r="B627" t="inlineStr">
        <is>
          <t>unique</t>
        </is>
      </c>
      <c r="C627" t="n">
        <v>3</v>
      </c>
      <c r="D627" t="inlineStr">
        <is>
          <t>Main Stat Per Level</t>
        </is>
      </c>
      <c r="E627" t="n">
        <v>10</v>
      </c>
      <c r="F627" t="n">
        <v>0.92</v>
      </c>
      <c r="G627" t="b">
        <v>0</v>
      </c>
      <c r="H627">
        <f>Sensitivity!H5*Inputs!$B$3</f>
        <v/>
      </c>
    </row>
    <row r="628">
      <c r="A628" t="inlineStr">
        <is>
          <t>eye-accessory</t>
        </is>
      </c>
      <c r="B628" t="inlineStr">
        <is>
          <t>legendary</t>
        </is>
      </c>
      <c r="C628" t="n">
        <v>1</v>
      </c>
      <c r="D628" t="inlineStr">
        <is>
          <t>Main Stat Per Level</t>
        </is>
      </c>
      <c r="E628" t="n">
        <v>35</v>
      </c>
      <c r="F628" t="n">
        <v>1</v>
      </c>
      <c r="G628" t="b">
        <v>1</v>
      </c>
      <c r="H628">
        <f>Sensitivity!H5*Inputs!$B$3</f>
        <v/>
      </c>
    </row>
    <row r="629">
      <c r="A629" t="inlineStr">
        <is>
          <t>eye-accessory</t>
        </is>
      </c>
      <c r="B629" t="inlineStr">
        <is>
          <t>legendary</t>
        </is>
      </c>
      <c r="C629" t="n">
        <v>2</v>
      </c>
      <c r="D629" t="inlineStr">
        <is>
          <t>Main Stat Per Level</t>
        </is>
      </c>
      <c r="E629" t="n">
        <v>35</v>
      </c>
      <c r="F629" t="n">
        <v>0.24</v>
      </c>
      <c r="G629" t="b">
        <v>1</v>
      </c>
      <c r="H629">
        <f>Sensitivity!H5*Inputs!$B$3</f>
        <v/>
      </c>
    </row>
    <row r="630">
      <c r="A630" t="inlineStr">
        <is>
          <t>eye-accessory</t>
        </is>
      </c>
      <c r="B630" t="inlineStr">
        <is>
          <t>legendary</t>
        </is>
      </c>
      <c r="C630" t="n">
        <v>2</v>
      </c>
      <c r="D630" t="inlineStr">
        <is>
          <t>Main Stat Per Level</t>
        </is>
      </c>
      <c r="E630" t="n">
        <v>20</v>
      </c>
      <c r="F630" t="n">
        <v>0.76</v>
      </c>
      <c r="G630" t="b">
        <v>0</v>
      </c>
      <c r="H630">
        <f>Sensitivity!H5*Inputs!$B$3</f>
        <v/>
      </c>
    </row>
    <row r="631">
      <c r="A631" t="inlineStr">
        <is>
          <t>eye-accessory</t>
        </is>
      </c>
      <c r="B631" t="inlineStr">
        <is>
          <t>legendary</t>
        </is>
      </c>
      <c r="C631" t="n">
        <v>3</v>
      </c>
      <c r="D631" t="inlineStr">
        <is>
          <t>Main Stat Per Level</t>
        </is>
      </c>
      <c r="E631" t="n">
        <v>35</v>
      </c>
      <c r="F631" t="n">
        <v>0.08</v>
      </c>
      <c r="G631" t="b">
        <v>1</v>
      </c>
      <c r="H631">
        <f>Sensitivity!H5*Inputs!$B$3</f>
        <v/>
      </c>
    </row>
    <row r="632">
      <c r="A632" t="inlineStr">
        <is>
          <t>eye-accessory</t>
        </is>
      </c>
      <c r="B632" t="inlineStr">
        <is>
          <t>legendary</t>
        </is>
      </c>
      <c r="C632" t="n">
        <v>3</v>
      </c>
      <c r="D632" t="inlineStr">
        <is>
          <t>Main Stat Per Level</t>
        </is>
      </c>
      <c r="E632" t="n">
        <v>20</v>
      </c>
      <c r="F632" t="n">
        <v>0.92</v>
      </c>
      <c r="G632" t="b">
        <v>0</v>
      </c>
      <c r="H632">
        <f>Sensitivity!H5*Inputs!$B$3</f>
        <v/>
      </c>
    </row>
    <row r="633">
      <c r="A633" t="inlineStr">
        <is>
          <t>eye-accessory</t>
        </is>
      </c>
      <c r="B633" t="inlineStr">
        <is>
          <t>mystic</t>
        </is>
      </c>
      <c r="C633" t="n">
        <v>1</v>
      </c>
      <c r="D633" t="inlineStr">
        <is>
          <t>Main Stat Per Level</t>
        </is>
      </c>
      <c r="E633" t="n">
        <v>50</v>
      </c>
      <c r="F633" t="n">
        <v>1</v>
      </c>
      <c r="G633" t="b">
        <v>1</v>
      </c>
      <c r="H633">
        <f>Sensitivity!H5*Inputs!$B$3</f>
        <v/>
      </c>
    </row>
    <row r="634">
      <c r="A634" t="inlineStr">
        <is>
          <t>eye-accessory</t>
        </is>
      </c>
      <c r="B634" t="inlineStr">
        <is>
          <t>mystic</t>
        </is>
      </c>
      <c r="C634" t="n">
        <v>2</v>
      </c>
      <c r="D634" t="inlineStr">
        <is>
          <t>Main Stat Per Level</t>
        </is>
      </c>
      <c r="E634" t="n">
        <v>50</v>
      </c>
      <c r="F634" t="n">
        <v>0.24</v>
      </c>
      <c r="G634" t="b">
        <v>1</v>
      </c>
      <c r="H634">
        <f>Sensitivity!H5*Inputs!$B$3</f>
        <v/>
      </c>
    </row>
    <row r="635">
      <c r="A635" t="inlineStr">
        <is>
          <t>eye-accessory</t>
        </is>
      </c>
      <c r="B635" t="inlineStr">
        <is>
          <t>mystic</t>
        </is>
      </c>
      <c r="C635" t="n">
        <v>2</v>
      </c>
      <c r="D635" t="inlineStr">
        <is>
          <t>Main Stat Per Level</t>
        </is>
      </c>
      <c r="E635" t="n">
        <v>35</v>
      </c>
      <c r="F635" t="n">
        <v>0.76</v>
      </c>
      <c r="G635" t="b">
        <v>0</v>
      </c>
      <c r="H635">
        <f>Sensitivity!H5*Inputs!$B$3</f>
        <v/>
      </c>
    </row>
    <row r="636">
      <c r="A636" t="inlineStr">
        <is>
          <t>eye-accessory</t>
        </is>
      </c>
      <c r="B636" t="inlineStr">
        <is>
          <t>mystic</t>
        </is>
      </c>
      <c r="C636" t="n">
        <v>3</v>
      </c>
      <c r="D636" t="inlineStr">
        <is>
          <t>Main Stat Per Level</t>
        </is>
      </c>
      <c r="E636" t="n">
        <v>50</v>
      </c>
      <c r="F636" t="n">
        <v>0.08</v>
      </c>
      <c r="G636" t="b">
        <v>1</v>
      </c>
      <c r="H636">
        <f>Sensitivity!H5*Inputs!$B$3</f>
        <v/>
      </c>
    </row>
    <row r="637">
      <c r="A637" t="inlineStr">
        <is>
          <t>eye-accessory</t>
        </is>
      </c>
      <c r="B637" t="inlineStr">
        <is>
          <t>mystic</t>
        </is>
      </c>
      <c r="C637" t="n">
        <v>3</v>
      </c>
      <c r="D637" t="inlineStr">
        <is>
          <t>Main Stat Per Level</t>
        </is>
      </c>
      <c r="E637" t="n">
        <v>35</v>
      </c>
      <c r="F637" t="n">
        <v>0.92</v>
      </c>
      <c r="G637" t="b">
        <v>0</v>
      </c>
      <c r="H637">
        <f>Sensitivity!H5*Inputs!$B$3</f>
        <v/>
      </c>
    </row>
    <row r="638">
      <c r="A638" t="inlineStr">
        <is>
          <t>ring2</t>
        </is>
      </c>
      <c r="B638" t="inlineStr">
        <is>
          <t>epic</t>
        </is>
      </c>
      <c r="C638" t="n">
        <v>1</v>
      </c>
      <c r="D638" t="inlineStr">
        <is>
          <t>Basic Attack Damage %</t>
        </is>
      </c>
      <c r="E638" t="n">
        <v>8</v>
      </c>
      <c r="F638" t="n">
        <v>1</v>
      </c>
      <c r="G638" t="b">
        <v>1</v>
      </c>
      <c r="H638">
        <f>Sensitivity!H19</f>
        <v/>
      </c>
    </row>
    <row r="639">
      <c r="A639" t="inlineStr">
        <is>
          <t>ring2</t>
        </is>
      </c>
      <c r="B639" t="inlineStr">
        <is>
          <t>epic</t>
        </is>
      </c>
      <c r="C639" t="n">
        <v>2</v>
      </c>
      <c r="D639" t="inlineStr">
        <is>
          <t>Basic Attack Damage %</t>
        </is>
      </c>
      <c r="E639" t="n">
        <v>8</v>
      </c>
      <c r="F639" t="n">
        <v>0.24</v>
      </c>
      <c r="G639" t="b">
        <v>1</v>
      </c>
      <c r="H639">
        <f>Sensitivity!H19</f>
        <v/>
      </c>
    </row>
    <row r="640">
      <c r="A640" t="inlineStr">
        <is>
          <t>ring2</t>
        </is>
      </c>
      <c r="B640" t="inlineStr">
        <is>
          <t>epic</t>
        </is>
      </c>
      <c r="C640" t="n">
        <v>3</v>
      </c>
      <c r="D640" t="inlineStr">
        <is>
          <t>Basic Attack Damage %</t>
        </is>
      </c>
      <c r="E640" t="n">
        <v>8</v>
      </c>
      <c r="F640" t="n">
        <v>0.08</v>
      </c>
      <c r="G640" t="b">
        <v>1</v>
      </c>
      <c r="H640">
        <f>Sensitivity!H19</f>
        <v/>
      </c>
    </row>
    <row r="641">
      <c r="A641" t="inlineStr">
        <is>
          <t>ring2</t>
        </is>
      </c>
      <c r="B641" t="inlineStr">
        <is>
          <t>unique</t>
        </is>
      </c>
      <c r="C641" t="n">
        <v>1</v>
      </c>
      <c r="D641" t="inlineStr">
        <is>
          <t>Basic Attack Damage %</t>
        </is>
      </c>
      <c r="E641" t="n">
        <v>14</v>
      </c>
      <c r="F641" t="n">
        <v>1</v>
      </c>
      <c r="G641" t="b">
        <v>1</v>
      </c>
      <c r="H641">
        <f>Sensitivity!H19</f>
        <v/>
      </c>
    </row>
    <row r="642">
      <c r="A642" t="inlineStr">
        <is>
          <t>ring2</t>
        </is>
      </c>
      <c r="B642" t="inlineStr">
        <is>
          <t>unique</t>
        </is>
      </c>
      <c r="C642" t="n">
        <v>2</v>
      </c>
      <c r="D642" t="inlineStr">
        <is>
          <t>Basic Attack Damage %</t>
        </is>
      </c>
      <c r="E642" t="n">
        <v>14</v>
      </c>
      <c r="F642" t="n">
        <v>0.24</v>
      </c>
      <c r="G642" t="b">
        <v>1</v>
      </c>
      <c r="H642">
        <f>Sensitivity!H19</f>
        <v/>
      </c>
    </row>
    <row r="643">
      <c r="A643" t="inlineStr">
        <is>
          <t>ring2</t>
        </is>
      </c>
      <c r="B643" t="inlineStr">
        <is>
          <t>unique</t>
        </is>
      </c>
      <c r="C643" t="n">
        <v>2</v>
      </c>
      <c r="D643" t="inlineStr">
        <is>
          <t>Basic Attack Damage %</t>
        </is>
      </c>
      <c r="E643" t="n">
        <v>8</v>
      </c>
      <c r="F643" t="n">
        <v>0.76</v>
      </c>
      <c r="G643" t="b">
        <v>0</v>
      </c>
      <c r="H643">
        <f>Sensitivity!H19</f>
        <v/>
      </c>
    </row>
    <row r="644">
      <c r="A644" t="inlineStr">
        <is>
          <t>ring2</t>
        </is>
      </c>
      <c r="B644" t="inlineStr">
        <is>
          <t>unique</t>
        </is>
      </c>
      <c r="C644" t="n">
        <v>3</v>
      </c>
      <c r="D644" t="inlineStr">
        <is>
          <t>Basic Attack Damage %</t>
        </is>
      </c>
      <c r="E644" t="n">
        <v>14</v>
      </c>
      <c r="F644" t="n">
        <v>0.08</v>
      </c>
      <c r="G644" t="b">
        <v>1</v>
      </c>
      <c r="H644">
        <f>Sensitivity!H19</f>
        <v/>
      </c>
    </row>
    <row r="645">
      <c r="A645" t="inlineStr">
        <is>
          <t>ring2</t>
        </is>
      </c>
      <c r="B645" t="inlineStr">
        <is>
          <t>unique</t>
        </is>
      </c>
      <c r="C645" t="n">
        <v>3</v>
      </c>
      <c r="D645" t="inlineStr">
        <is>
          <t>Basic Attack Damage %</t>
        </is>
      </c>
      <c r="E645" t="n">
        <v>8</v>
      </c>
      <c r="F645" t="n">
        <v>0.92</v>
      </c>
      <c r="G645" t="b">
        <v>0</v>
      </c>
      <c r="H645">
        <f>Sensitivity!H19</f>
        <v/>
      </c>
    </row>
    <row r="646">
      <c r="A646" t="inlineStr">
        <is>
          <t>ring2</t>
        </is>
      </c>
      <c r="B646" t="inlineStr">
        <is>
          <t>legendary</t>
        </is>
      </c>
      <c r="C646" t="n">
        <v>1</v>
      </c>
      <c r="D646" t="inlineStr">
        <is>
          <t>Basic Attack Damage %</t>
        </is>
      </c>
      <c r="E646" t="n">
        <v>21</v>
      </c>
      <c r="F646" t="n">
        <v>1</v>
      </c>
      <c r="G646" t="b">
        <v>1</v>
      </c>
      <c r="H646">
        <f>Sensitivity!H19</f>
        <v/>
      </c>
    </row>
    <row r="647">
      <c r="A647" t="inlineStr">
        <is>
          <t>ring2</t>
        </is>
      </c>
      <c r="B647" t="inlineStr">
        <is>
          <t>legendary</t>
        </is>
      </c>
      <c r="C647" t="n">
        <v>2</v>
      </c>
      <c r="D647" t="inlineStr">
        <is>
          <t>Basic Attack Damage %</t>
        </is>
      </c>
      <c r="E647" t="n">
        <v>21</v>
      </c>
      <c r="F647" t="n">
        <v>0.24</v>
      </c>
      <c r="G647" t="b">
        <v>1</v>
      </c>
      <c r="H647">
        <f>Sensitivity!H19</f>
        <v/>
      </c>
    </row>
    <row r="648">
      <c r="A648" t="inlineStr">
        <is>
          <t>ring2</t>
        </is>
      </c>
      <c r="B648" t="inlineStr">
        <is>
          <t>legendary</t>
        </is>
      </c>
      <c r="C648" t="n">
        <v>2</v>
      </c>
      <c r="D648" t="inlineStr">
        <is>
          <t>Basic Attack Damage %</t>
        </is>
      </c>
      <c r="E648" t="n">
        <v>14</v>
      </c>
      <c r="F648" t="n">
        <v>0.76</v>
      </c>
      <c r="G648" t="b">
        <v>0</v>
      </c>
      <c r="H648">
        <f>Sensitivity!H19</f>
        <v/>
      </c>
    </row>
    <row r="649">
      <c r="A649" t="inlineStr">
        <is>
          <t>ring2</t>
        </is>
      </c>
      <c r="B649" t="inlineStr">
        <is>
          <t>legendary</t>
        </is>
      </c>
      <c r="C649" t="n">
        <v>3</v>
      </c>
      <c r="D649" t="inlineStr">
        <is>
          <t>Basic Attack Damage %</t>
        </is>
      </c>
      <c r="E649" t="n">
        <v>21</v>
      </c>
      <c r="F649" t="n">
        <v>0.08</v>
      </c>
      <c r="G649" t="b">
        <v>1</v>
      </c>
      <c r="H649">
        <f>Sensitivity!H19</f>
        <v/>
      </c>
    </row>
    <row r="650">
      <c r="A650" t="inlineStr">
        <is>
          <t>ring2</t>
        </is>
      </c>
      <c r="B650" t="inlineStr">
        <is>
          <t>legendary</t>
        </is>
      </c>
      <c r="C650" t="n">
        <v>3</v>
      </c>
      <c r="D650" t="inlineStr">
        <is>
          <t>Basic Attack Damage %</t>
        </is>
      </c>
      <c r="E650" t="n">
        <v>14</v>
      </c>
      <c r="F650" t="n">
        <v>0.92</v>
      </c>
      <c r="G650" t="b">
        <v>0</v>
      </c>
      <c r="H650">
        <f>Sensitivity!H19</f>
        <v/>
      </c>
    </row>
    <row r="651">
      <c r="A651" t="inlineStr">
        <is>
          <t>ring2</t>
        </is>
      </c>
      <c r="B651" t="inlineStr">
        <is>
          <t>mystic</t>
        </is>
      </c>
      <c r="C651" t="n">
        <v>1</v>
      </c>
      <c r="D651" t="inlineStr">
        <is>
          <t>Basic Attack Damage %</t>
        </is>
      </c>
      <c r="E651" t="n">
        <v>30</v>
      </c>
      <c r="F651" t="n">
        <v>1</v>
      </c>
      <c r="G651" t="b">
        <v>1</v>
      </c>
      <c r="H651">
        <f>Sensitivity!H19</f>
        <v/>
      </c>
    </row>
    <row r="652">
      <c r="A652" t="inlineStr">
        <is>
          <t>ring2</t>
        </is>
      </c>
      <c r="B652" t="inlineStr">
        <is>
          <t>mystic</t>
        </is>
      </c>
      <c r="C652" t="n">
        <v>2</v>
      </c>
      <c r="D652" t="inlineStr">
        <is>
          <t>Basic Attack Damage %</t>
        </is>
      </c>
      <c r="E652" t="n">
        <v>30</v>
      </c>
      <c r="F652" t="n">
        <v>0.24</v>
      </c>
      <c r="G652" t="b">
        <v>1</v>
      </c>
      <c r="H652">
        <f>Sensitivity!H19</f>
        <v/>
      </c>
    </row>
    <row r="653">
      <c r="A653" t="inlineStr">
        <is>
          <t>ring2</t>
        </is>
      </c>
      <c r="B653" t="inlineStr">
        <is>
          <t>mystic</t>
        </is>
      </c>
      <c r="C653" t="n">
        <v>2</v>
      </c>
      <c r="D653" t="inlineStr">
        <is>
          <t>Basic Attack Damage %</t>
        </is>
      </c>
      <c r="E653" t="n">
        <v>21</v>
      </c>
      <c r="F653" t="n">
        <v>0.76</v>
      </c>
      <c r="G653" t="b">
        <v>0</v>
      </c>
      <c r="H653">
        <f>Sensitivity!H19</f>
        <v/>
      </c>
    </row>
    <row r="654">
      <c r="A654" t="inlineStr">
        <is>
          <t>ring2</t>
        </is>
      </c>
      <c r="B654" t="inlineStr">
        <is>
          <t>mystic</t>
        </is>
      </c>
      <c r="C654" t="n">
        <v>3</v>
      </c>
      <c r="D654" t="inlineStr">
        <is>
          <t>Basic Attack Damage %</t>
        </is>
      </c>
      <c r="E654" t="n">
        <v>30</v>
      </c>
      <c r="F654" t="n">
        <v>0.08</v>
      </c>
      <c r="G654" t="b">
        <v>1</v>
      </c>
      <c r="H654">
        <f>Sensitivity!H19</f>
        <v/>
      </c>
    </row>
    <row r="655">
      <c r="A655" t="inlineStr">
        <is>
          <t>ring2</t>
        </is>
      </c>
      <c r="B655" t="inlineStr">
        <is>
          <t>mystic</t>
        </is>
      </c>
      <c r="C655" t="n">
        <v>3</v>
      </c>
      <c r="D655" t="inlineStr">
        <is>
          <t>Basic Attack Damage %</t>
        </is>
      </c>
      <c r="E655" t="n">
        <v>21</v>
      </c>
      <c r="F655" t="n">
        <v>0.92</v>
      </c>
      <c r="G655" t="b">
        <v>0</v>
      </c>
      <c r="H655">
        <f>Sensitivity!H19</f>
        <v/>
      </c>
    </row>
    <row r="656">
      <c r="A656" t="inlineStr">
        <is>
          <t>face</t>
        </is>
      </c>
      <c r="B656" t="inlineStr">
        <is>
          <t>epic</t>
        </is>
      </c>
      <c r="C656" t="n">
        <v>1</v>
      </c>
      <c r="D656" t="inlineStr">
        <is>
          <t>Final Damage %</t>
        </is>
      </c>
      <c r="E656" t="n">
        <v>3</v>
      </c>
      <c r="F656" t="n">
        <v>1</v>
      </c>
      <c r="G656" t="b">
        <v>1</v>
      </c>
      <c r="H656">
        <f>Sensitivity!H12</f>
        <v/>
      </c>
    </row>
    <row r="657">
      <c r="A657" t="inlineStr">
        <is>
          <t>face</t>
        </is>
      </c>
      <c r="B657" t="inlineStr">
        <is>
          <t>epic</t>
        </is>
      </c>
      <c r="C657" t="n">
        <v>2</v>
      </c>
      <c r="D657" t="inlineStr">
        <is>
          <t>Final Damage %</t>
        </is>
      </c>
      <c r="E657" t="n">
        <v>3</v>
      </c>
      <c r="F657" t="n">
        <v>0.24</v>
      </c>
      <c r="G657" t="b">
        <v>1</v>
      </c>
      <c r="H657">
        <f>Sensitivity!H12</f>
        <v/>
      </c>
    </row>
    <row r="658">
      <c r="A658" t="inlineStr">
        <is>
          <t>face</t>
        </is>
      </c>
      <c r="B658" t="inlineStr">
        <is>
          <t>epic</t>
        </is>
      </c>
      <c r="C658" t="n">
        <v>3</v>
      </c>
      <c r="D658" t="inlineStr">
        <is>
          <t>Final Damage %</t>
        </is>
      </c>
      <c r="E658" t="n">
        <v>3</v>
      </c>
      <c r="F658" t="n">
        <v>0.08</v>
      </c>
      <c r="G658" t="b">
        <v>1</v>
      </c>
      <c r="H658">
        <f>Sensitivity!H12</f>
        <v/>
      </c>
    </row>
    <row r="659">
      <c r="A659" t="inlineStr">
        <is>
          <t>face</t>
        </is>
      </c>
      <c r="B659" t="inlineStr">
        <is>
          <t>unique</t>
        </is>
      </c>
      <c r="C659" t="n">
        <v>1</v>
      </c>
      <c r="D659" t="inlineStr">
        <is>
          <t>Final Damage %</t>
        </is>
      </c>
      <c r="E659" t="n">
        <v>5</v>
      </c>
      <c r="F659" t="n">
        <v>1</v>
      </c>
      <c r="G659" t="b">
        <v>1</v>
      </c>
      <c r="H659">
        <f>Sensitivity!H12</f>
        <v/>
      </c>
    </row>
    <row r="660">
      <c r="A660" t="inlineStr">
        <is>
          <t>face</t>
        </is>
      </c>
      <c r="B660" t="inlineStr">
        <is>
          <t>unique</t>
        </is>
      </c>
      <c r="C660" t="n">
        <v>2</v>
      </c>
      <c r="D660" t="inlineStr">
        <is>
          <t>Final Damage %</t>
        </is>
      </c>
      <c r="E660" t="n">
        <v>5</v>
      </c>
      <c r="F660" t="n">
        <v>0.24</v>
      </c>
      <c r="G660" t="b">
        <v>1</v>
      </c>
      <c r="H660">
        <f>Sensitivity!H12</f>
        <v/>
      </c>
    </row>
    <row r="661">
      <c r="A661" t="inlineStr">
        <is>
          <t>face</t>
        </is>
      </c>
      <c r="B661" t="inlineStr">
        <is>
          <t>unique</t>
        </is>
      </c>
      <c r="C661" t="n">
        <v>2</v>
      </c>
      <c r="D661" t="inlineStr">
        <is>
          <t>Final Damage %</t>
        </is>
      </c>
      <c r="E661" t="n">
        <v>3</v>
      </c>
      <c r="F661" t="n">
        <v>0.76</v>
      </c>
      <c r="G661" t="b">
        <v>0</v>
      </c>
      <c r="H661">
        <f>Sensitivity!H12</f>
        <v/>
      </c>
    </row>
    <row r="662">
      <c r="A662" t="inlineStr">
        <is>
          <t>face</t>
        </is>
      </c>
      <c r="B662" t="inlineStr">
        <is>
          <t>unique</t>
        </is>
      </c>
      <c r="C662" t="n">
        <v>3</v>
      </c>
      <c r="D662" t="inlineStr">
        <is>
          <t>Final Damage %</t>
        </is>
      </c>
      <c r="E662" t="n">
        <v>5</v>
      </c>
      <c r="F662" t="n">
        <v>0.08</v>
      </c>
      <c r="G662" t="b">
        <v>1</v>
      </c>
      <c r="H662">
        <f>Sensitivity!H12</f>
        <v/>
      </c>
    </row>
    <row r="663">
      <c r="A663" t="inlineStr">
        <is>
          <t>face</t>
        </is>
      </c>
      <c r="B663" t="inlineStr">
        <is>
          <t>unique</t>
        </is>
      </c>
      <c r="C663" t="n">
        <v>3</v>
      </c>
      <c r="D663" t="inlineStr">
        <is>
          <t>Final Damage %</t>
        </is>
      </c>
      <c r="E663" t="n">
        <v>3</v>
      </c>
      <c r="F663" t="n">
        <v>0.92</v>
      </c>
      <c r="G663" t="b">
        <v>0</v>
      </c>
      <c r="H663">
        <f>Sensitivity!H12</f>
        <v/>
      </c>
    </row>
    <row r="664">
      <c r="A664" t="inlineStr">
        <is>
          <t>face</t>
        </is>
      </c>
      <c r="B664" t="inlineStr">
        <is>
          <t>legendary</t>
        </is>
      </c>
      <c r="C664" t="n">
        <v>1</v>
      </c>
      <c r="D664" t="inlineStr">
        <is>
          <t>Final Damage %</t>
        </is>
      </c>
      <c r="E664" t="n">
        <v>8</v>
      </c>
      <c r="F664" t="n">
        <v>1</v>
      </c>
      <c r="G664" t="b">
        <v>1</v>
      </c>
      <c r="H664">
        <f>Sensitivity!H12</f>
        <v/>
      </c>
    </row>
    <row r="665">
      <c r="A665" t="inlineStr">
        <is>
          <t>face</t>
        </is>
      </c>
      <c r="B665" t="inlineStr">
        <is>
          <t>legendary</t>
        </is>
      </c>
      <c r="C665" t="n">
        <v>2</v>
      </c>
      <c r="D665" t="inlineStr">
        <is>
          <t>Final Damage %</t>
        </is>
      </c>
      <c r="E665" t="n">
        <v>8</v>
      </c>
      <c r="F665" t="n">
        <v>0.24</v>
      </c>
      <c r="G665" t="b">
        <v>1</v>
      </c>
      <c r="H665">
        <f>Sensitivity!H12</f>
        <v/>
      </c>
    </row>
    <row r="666">
      <c r="A666" t="inlineStr">
        <is>
          <t>face</t>
        </is>
      </c>
      <c r="B666" t="inlineStr">
        <is>
          <t>legendary</t>
        </is>
      </c>
      <c r="C666" t="n">
        <v>2</v>
      </c>
      <c r="D666" t="inlineStr">
        <is>
          <t>Final Damage %</t>
        </is>
      </c>
      <c r="E666" t="n">
        <v>5</v>
      </c>
      <c r="F666" t="n">
        <v>0.76</v>
      </c>
      <c r="G666" t="b">
        <v>0</v>
      </c>
      <c r="H666">
        <f>Sensitivity!H12</f>
        <v/>
      </c>
    </row>
    <row r="667">
      <c r="A667" t="inlineStr">
        <is>
          <t>face</t>
        </is>
      </c>
      <c r="B667" t="inlineStr">
        <is>
          <t>legendary</t>
        </is>
      </c>
      <c r="C667" t="n">
        <v>3</v>
      </c>
      <c r="D667" t="inlineStr">
        <is>
          <t>Final Damage %</t>
        </is>
      </c>
      <c r="E667" t="n">
        <v>8</v>
      </c>
      <c r="F667" t="n">
        <v>0.08</v>
      </c>
      <c r="G667" t="b">
        <v>1</v>
      </c>
      <c r="H667">
        <f>Sensitivity!H12</f>
        <v/>
      </c>
    </row>
    <row r="668">
      <c r="A668" t="inlineStr">
        <is>
          <t>face</t>
        </is>
      </c>
      <c r="B668" t="inlineStr">
        <is>
          <t>legendary</t>
        </is>
      </c>
      <c r="C668" t="n">
        <v>3</v>
      </c>
      <c r="D668" t="inlineStr">
        <is>
          <t>Final Damage %</t>
        </is>
      </c>
      <c r="E668" t="n">
        <v>5</v>
      </c>
      <c r="F668" t="n">
        <v>0.92</v>
      </c>
      <c r="G668" t="b">
        <v>0</v>
      </c>
      <c r="H668">
        <f>Sensitivity!H12</f>
        <v/>
      </c>
    </row>
    <row r="669">
      <c r="A669" t="inlineStr">
        <is>
          <t>face</t>
        </is>
      </c>
      <c r="B669" t="inlineStr">
        <is>
          <t>mystic</t>
        </is>
      </c>
      <c r="C669" t="n">
        <v>1</v>
      </c>
      <c r="D669" t="inlineStr">
        <is>
          <t>Final Damage %</t>
        </is>
      </c>
      <c r="E669" t="n">
        <v>12</v>
      </c>
      <c r="F669" t="n">
        <v>1</v>
      </c>
      <c r="G669" t="b">
        <v>1</v>
      </c>
      <c r="H669">
        <f>Sensitivity!H12</f>
        <v/>
      </c>
    </row>
    <row r="670">
      <c r="A670" t="inlineStr">
        <is>
          <t>face</t>
        </is>
      </c>
      <c r="B670" t="inlineStr">
        <is>
          <t>mystic</t>
        </is>
      </c>
      <c r="C670" t="n">
        <v>2</v>
      </c>
      <c r="D670" t="inlineStr">
        <is>
          <t>Final Damage %</t>
        </is>
      </c>
      <c r="E670" t="n">
        <v>12</v>
      </c>
      <c r="F670" t="n">
        <v>0.24</v>
      </c>
      <c r="G670" t="b">
        <v>1</v>
      </c>
      <c r="H670">
        <f>Sensitivity!H12</f>
        <v/>
      </c>
    </row>
    <row r="671">
      <c r="A671" t="inlineStr">
        <is>
          <t>face</t>
        </is>
      </c>
      <c r="B671" t="inlineStr">
        <is>
          <t>mystic</t>
        </is>
      </c>
      <c r="C671" t="n">
        <v>2</v>
      </c>
      <c r="D671" t="inlineStr">
        <is>
          <t>Final Damage %</t>
        </is>
      </c>
      <c r="E671" t="n">
        <v>8</v>
      </c>
      <c r="F671" t="n">
        <v>0.76</v>
      </c>
      <c r="G671" t="b">
        <v>0</v>
      </c>
      <c r="H671">
        <f>Sensitivity!H12</f>
        <v/>
      </c>
    </row>
    <row r="672">
      <c r="A672" t="inlineStr">
        <is>
          <t>face</t>
        </is>
      </c>
      <c r="B672" t="inlineStr">
        <is>
          <t>mystic</t>
        </is>
      </c>
      <c r="C672" t="n">
        <v>3</v>
      </c>
      <c r="D672" t="inlineStr">
        <is>
          <t>Final Damage %</t>
        </is>
      </c>
      <c r="E672" t="n">
        <v>12</v>
      </c>
      <c r="F672" t="n">
        <v>0.08</v>
      </c>
      <c r="G672" t="b">
        <v>1</v>
      </c>
      <c r="H672">
        <f>Sensitivity!H12</f>
        <v/>
      </c>
    </row>
    <row r="673">
      <c r="A673" t="inlineStr">
        <is>
          <t>face</t>
        </is>
      </c>
      <c r="B673" t="inlineStr">
        <is>
          <t>mystic</t>
        </is>
      </c>
      <c r="C673" t="n">
        <v>3</v>
      </c>
      <c r="D673" t="inlineStr">
        <is>
          <t>Final Damage %</t>
        </is>
      </c>
      <c r="E673" t="n">
        <v>8</v>
      </c>
      <c r="F673" t="n">
        <v>0.92</v>
      </c>
      <c r="G673" t="b">
        <v>0</v>
      </c>
      <c r="H673">
        <f>Sensitivity!H12</f>
        <v/>
      </c>
    </row>
    <row r="674">
      <c r="A674" t="inlineStr">
        <is>
          <t>earrings</t>
        </is>
      </c>
      <c r="B674" t="inlineStr">
        <is>
          <t>epic</t>
        </is>
      </c>
      <c r="C674" t="n">
        <v>1</v>
      </c>
      <c r="D674" t="inlineStr">
        <is>
          <t>Skill Damage %</t>
        </is>
      </c>
      <c r="E674" t="n">
        <v>8</v>
      </c>
      <c r="F674" t="n">
        <v>1</v>
      </c>
      <c r="G674" t="b">
        <v>1</v>
      </c>
      <c r="H674">
        <f>Sensitivity!H20</f>
        <v/>
      </c>
    </row>
    <row r="675">
      <c r="A675" t="inlineStr">
        <is>
          <t>earrings</t>
        </is>
      </c>
      <c r="B675" t="inlineStr">
        <is>
          <t>epic</t>
        </is>
      </c>
      <c r="C675" t="n">
        <v>2</v>
      </c>
      <c r="D675" t="inlineStr">
        <is>
          <t>Skill Damage %</t>
        </is>
      </c>
      <c r="E675" t="n">
        <v>8</v>
      </c>
      <c r="F675" t="n">
        <v>0.24</v>
      </c>
      <c r="G675" t="b">
        <v>1</v>
      </c>
      <c r="H675">
        <f>Sensitivity!H20</f>
        <v/>
      </c>
    </row>
    <row r="676">
      <c r="A676" t="inlineStr">
        <is>
          <t>earrings</t>
        </is>
      </c>
      <c r="B676" t="inlineStr">
        <is>
          <t>epic</t>
        </is>
      </c>
      <c r="C676" t="n">
        <v>3</v>
      </c>
      <c r="D676" t="inlineStr">
        <is>
          <t>Skill Damage %</t>
        </is>
      </c>
      <c r="E676" t="n">
        <v>8</v>
      </c>
      <c r="F676" t="n">
        <v>0.08</v>
      </c>
      <c r="G676" t="b">
        <v>1</v>
      </c>
      <c r="H676">
        <f>Sensitivity!H20</f>
        <v/>
      </c>
    </row>
    <row r="677">
      <c r="A677" t="inlineStr">
        <is>
          <t>earrings</t>
        </is>
      </c>
      <c r="B677" t="inlineStr">
        <is>
          <t>unique</t>
        </is>
      </c>
      <c r="C677" t="n">
        <v>1</v>
      </c>
      <c r="D677" t="inlineStr">
        <is>
          <t>Skill Damage %</t>
        </is>
      </c>
      <c r="E677" t="n">
        <v>14</v>
      </c>
      <c r="F677" t="n">
        <v>1</v>
      </c>
      <c r="G677" t="b">
        <v>1</v>
      </c>
      <c r="H677">
        <f>Sensitivity!H20</f>
        <v/>
      </c>
    </row>
    <row r="678">
      <c r="A678" t="inlineStr">
        <is>
          <t>earrings</t>
        </is>
      </c>
      <c r="B678" t="inlineStr">
        <is>
          <t>unique</t>
        </is>
      </c>
      <c r="C678" t="n">
        <v>2</v>
      </c>
      <c r="D678" t="inlineStr">
        <is>
          <t>Skill Damage %</t>
        </is>
      </c>
      <c r="E678" t="n">
        <v>14</v>
      </c>
      <c r="F678" t="n">
        <v>0.24</v>
      </c>
      <c r="G678" t="b">
        <v>1</v>
      </c>
      <c r="H678">
        <f>Sensitivity!H20</f>
        <v/>
      </c>
    </row>
    <row r="679">
      <c r="A679" t="inlineStr">
        <is>
          <t>earrings</t>
        </is>
      </c>
      <c r="B679" t="inlineStr">
        <is>
          <t>unique</t>
        </is>
      </c>
      <c r="C679" t="n">
        <v>2</v>
      </c>
      <c r="D679" t="inlineStr">
        <is>
          <t>Skill Damage %</t>
        </is>
      </c>
      <c r="E679" t="n">
        <v>8</v>
      </c>
      <c r="F679" t="n">
        <v>0.76</v>
      </c>
      <c r="G679" t="b">
        <v>0</v>
      </c>
      <c r="H679">
        <f>Sensitivity!H20</f>
        <v/>
      </c>
    </row>
    <row r="680">
      <c r="A680" t="inlineStr">
        <is>
          <t>earrings</t>
        </is>
      </c>
      <c r="B680" t="inlineStr">
        <is>
          <t>unique</t>
        </is>
      </c>
      <c r="C680" t="n">
        <v>3</v>
      </c>
      <c r="D680" t="inlineStr">
        <is>
          <t>Skill Damage %</t>
        </is>
      </c>
      <c r="E680" t="n">
        <v>14</v>
      </c>
      <c r="F680" t="n">
        <v>0.08</v>
      </c>
      <c r="G680" t="b">
        <v>1</v>
      </c>
      <c r="H680">
        <f>Sensitivity!H20</f>
        <v/>
      </c>
    </row>
    <row r="681">
      <c r="A681" t="inlineStr">
        <is>
          <t>earrings</t>
        </is>
      </c>
      <c r="B681" t="inlineStr">
        <is>
          <t>unique</t>
        </is>
      </c>
      <c r="C681" t="n">
        <v>3</v>
      </c>
      <c r="D681" t="inlineStr">
        <is>
          <t>Skill Damage %</t>
        </is>
      </c>
      <c r="E681" t="n">
        <v>8</v>
      </c>
      <c r="F681" t="n">
        <v>0.92</v>
      </c>
      <c r="G681" t="b">
        <v>0</v>
      </c>
      <c r="H681">
        <f>Sensitivity!H20</f>
        <v/>
      </c>
    </row>
    <row r="682">
      <c r="A682" t="inlineStr">
        <is>
          <t>earrings</t>
        </is>
      </c>
      <c r="B682" t="inlineStr">
        <is>
          <t>legendary</t>
        </is>
      </c>
      <c r="C682" t="n">
        <v>1</v>
      </c>
      <c r="D682" t="inlineStr">
        <is>
          <t>Skill Damage %</t>
        </is>
      </c>
      <c r="E682" t="n">
        <v>21</v>
      </c>
      <c r="F682" t="n">
        <v>1</v>
      </c>
      <c r="G682" t="b">
        <v>1</v>
      </c>
      <c r="H682">
        <f>Sensitivity!H20</f>
        <v/>
      </c>
    </row>
    <row r="683">
      <c r="A683" t="inlineStr">
        <is>
          <t>earrings</t>
        </is>
      </c>
      <c r="B683" t="inlineStr">
        <is>
          <t>legendary</t>
        </is>
      </c>
      <c r="C683" t="n">
        <v>2</v>
      </c>
      <c r="D683" t="inlineStr">
        <is>
          <t>Skill Damage %</t>
        </is>
      </c>
      <c r="E683" t="n">
        <v>21</v>
      </c>
      <c r="F683" t="n">
        <v>0.24</v>
      </c>
      <c r="G683" t="b">
        <v>1</v>
      </c>
      <c r="H683">
        <f>Sensitivity!H20</f>
        <v/>
      </c>
    </row>
    <row r="684">
      <c r="A684" t="inlineStr">
        <is>
          <t>earrings</t>
        </is>
      </c>
      <c r="B684" t="inlineStr">
        <is>
          <t>legendary</t>
        </is>
      </c>
      <c r="C684" t="n">
        <v>2</v>
      </c>
      <c r="D684" t="inlineStr">
        <is>
          <t>Skill Damage %</t>
        </is>
      </c>
      <c r="E684" t="n">
        <v>14</v>
      </c>
      <c r="F684" t="n">
        <v>0.76</v>
      </c>
      <c r="G684" t="b">
        <v>0</v>
      </c>
      <c r="H684">
        <f>Sensitivity!H20</f>
        <v/>
      </c>
    </row>
    <row r="685">
      <c r="A685" t="inlineStr">
        <is>
          <t>earrings</t>
        </is>
      </c>
      <c r="B685" t="inlineStr">
        <is>
          <t>legendary</t>
        </is>
      </c>
      <c r="C685" t="n">
        <v>3</v>
      </c>
      <c r="D685" t="inlineStr">
        <is>
          <t>Skill Damage %</t>
        </is>
      </c>
      <c r="E685" t="n">
        <v>21</v>
      </c>
      <c r="F685" t="n">
        <v>0.08</v>
      </c>
      <c r="G685" t="b">
        <v>1</v>
      </c>
      <c r="H685">
        <f>Sensitivity!H20</f>
        <v/>
      </c>
    </row>
    <row r="686">
      <c r="A686" t="inlineStr">
        <is>
          <t>earrings</t>
        </is>
      </c>
      <c r="B686" t="inlineStr">
        <is>
          <t>legendary</t>
        </is>
      </c>
      <c r="C686" t="n">
        <v>3</v>
      </c>
      <c r="D686" t="inlineStr">
        <is>
          <t>Skill Damage %</t>
        </is>
      </c>
      <c r="E686" t="n">
        <v>14</v>
      </c>
      <c r="F686" t="n">
        <v>0.92</v>
      </c>
      <c r="G686" t="b">
        <v>0</v>
      </c>
      <c r="H686">
        <f>Sensitivity!H20</f>
        <v/>
      </c>
    </row>
    <row r="687">
      <c r="A687" t="inlineStr">
        <is>
          <t>earrings</t>
        </is>
      </c>
      <c r="B687" t="inlineStr">
        <is>
          <t>mystic</t>
        </is>
      </c>
      <c r="C687" t="n">
        <v>1</v>
      </c>
      <c r="D687" t="inlineStr">
        <is>
          <t>Skill Damage %</t>
        </is>
      </c>
      <c r="E687" t="n">
        <v>30</v>
      </c>
      <c r="F687" t="n">
        <v>1</v>
      </c>
      <c r="G687" t="b">
        <v>1</v>
      </c>
      <c r="H687">
        <f>Sensitivity!H20</f>
        <v/>
      </c>
    </row>
    <row r="688">
      <c r="A688" t="inlineStr">
        <is>
          <t>earrings</t>
        </is>
      </c>
      <c r="B688" t="inlineStr">
        <is>
          <t>mystic</t>
        </is>
      </c>
      <c r="C688" t="n">
        <v>2</v>
      </c>
      <c r="D688" t="inlineStr">
        <is>
          <t>Skill Damage %</t>
        </is>
      </c>
      <c r="E688" t="n">
        <v>30</v>
      </c>
      <c r="F688" t="n">
        <v>0.24</v>
      </c>
      <c r="G688" t="b">
        <v>1</v>
      </c>
      <c r="H688">
        <f>Sensitivity!H20</f>
        <v/>
      </c>
    </row>
    <row r="689">
      <c r="A689" t="inlineStr">
        <is>
          <t>earrings</t>
        </is>
      </c>
      <c r="B689" t="inlineStr">
        <is>
          <t>mystic</t>
        </is>
      </c>
      <c r="C689" t="n">
        <v>2</v>
      </c>
      <c r="D689" t="inlineStr">
        <is>
          <t>Skill Damage %</t>
        </is>
      </c>
      <c r="E689" t="n">
        <v>21</v>
      </c>
      <c r="F689" t="n">
        <v>0.76</v>
      </c>
      <c r="G689" t="b">
        <v>0</v>
      </c>
      <c r="H689">
        <f>Sensitivity!H20</f>
        <v/>
      </c>
    </row>
    <row r="690">
      <c r="A690" t="inlineStr">
        <is>
          <t>earrings</t>
        </is>
      </c>
      <c r="B690" t="inlineStr">
        <is>
          <t>mystic</t>
        </is>
      </c>
      <c r="C690" t="n">
        <v>3</v>
      </c>
      <c r="D690" t="inlineStr">
        <is>
          <t>Skill Damage %</t>
        </is>
      </c>
      <c r="E690" t="n">
        <v>30</v>
      </c>
      <c r="F690" t="n">
        <v>0.08</v>
      </c>
      <c r="G690" t="b">
        <v>1</v>
      </c>
      <c r="H690">
        <f>Sensitivity!H20</f>
        <v/>
      </c>
    </row>
    <row r="691">
      <c r="A691" t="inlineStr">
        <is>
          <t>earrings</t>
        </is>
      </c>
      <c r="B691" t="inlineStr">
        <is>
          <t>mystic</t>
        </is>
      </c>
      <c r="C691" t="n">
        <v>3</v>
      </c>
      <c r="D691" t="inlineStr">
        <is>
          <t>Skill Damage %</t>
        </is>
      </c>
      <c r="E691" t="n">
        <v>21</v>
      </c>
      <c r="F691" t="n">
        <v>0.92</v>
      </c>
      <c r="G691" t="b">
        <v>0</v>
      </c>
      <c r="H691">
        <f>Sensitivity!H20</f>
        <v/>
      </c>
    </row>
    <row r="692">
      <c r="A692" t="inlineStr">
        <is>
          <t>pocket</t>
        </is>
      </c>
      <c r="B692" t="inlineStr">
        <is>
          <t>epic</t>
        </is>
      </c>
      <c r="C692" t="n">
        <v>1</v>
      </c>
      <c r="D692" t="inlineStr">
        <is>
          <t>Main Stat % per 4 Levels</t>
        </is>
      </c>
      <c r="E692" t="n">
        <v>0.4</v>
      </c>
      <c r="F692" t="n">
        <v>1</v>
      </c>
      <c r="G692" t="b">
        <v>1</v>
      </c>
      <c r="H692">
        <f>Sensitivity!H6*INT(Inputs!$B$3/4)</f>
        <v/>
      </c>
    </row>
    <row r="693">
      <c r="A693" t="inlineStr">
        <is>
          <t>pocket</t>
        </is>
      </c>
      <c r="B693" t="inlineStr">
        <is>
          <t>epic</t>
        </is>
      </c>
      <c r="C693" t="n">
        <v>2</v>
      </c>
      <c r="D693" t="inlineStr">
        <is>
          <t>Main Stat % per 4 Levels</t>
        </is>
      </c>
      <c r="E693" t="n">
        <v>0.4</v>
      </c>
      <c r="F693" t="n">
        <v>0.24</v>
      </c>
      <c r="G693" t="b">
        <v>1</v>
      </c>
      <c r="H693">
        <f>Sensitivity!H6*INT(Inputs!$B$3/4)</f>
        <v/>
      </c>
    </row>
    <row r="694">
      <c r="A694" t="inlineStr">
        <is>
          <t>pocket</t>
        </is>
      </c>
      <c r="B694" t="inlineStr">
        <is>
          <t>epic</t>
        </is>
      </c>
      <c r="C694" t="n">
        <v>3</v>
      </c>
      <c r="D694" t="inlineStr">
        <is>
          <t>Main Stat % per 4 Levels</t>
        </is>
      </c>
      <c r="E694" t="n">
        <v>0.4</v>
      </c>
      <c r="F694" t="n">
        <v>0.08</v>
      </c>
      <c r="G694" t="b">
        <v>1</v>
      </c>
      <c r="H694">
        <f>Sensitivity!H6*INT(Inputs!$B$3/4)</f>
        <v/>
      </c>
    </row>
    <row r="695">
      <c r="A695" t="inlineStr">
        <is>
          <t>pocket</t>
        </is>
      </c>
      <c r="B695" t="inlineStr">
        <is>
          <t>unique</t>
        </is>
      </c>
      <c r="C695" t="n">
        <v>1</v>
      </c>
      <c r="D695" t="inlineStr">
        <is>
          <t>Main Stat % per 4 Levels</t>
        </is>
      </c>
      <c r="E695" t="n">
        <v>0.6</v>
      </c>
      <c r="F695" t="n">
        <v>1</v>
      </c>
      <c r="G695" t="b">
        <v>1</v>
      </c>
      <c r="H695">
        <f>Sensitivity!H6*INT(Inputs!$B$3/4)</f>
        <v/>
      </c>
    </row>
    <row r="696">
      <c r="A696" t="inlineStr">
        <is>
          <t>pocket</t>
        </is>
      </c>
      <c r="B696" t="inlineStr">
        <is>
          <t>unique</t>
        </is>
      </c>
      <c r="C696" t="n">
        <v>2</v>
      </c>
      <c r="D696" t="inlineStr">
        <is>
          <t>Main Stat % per 4 Levels</t>
        </is>
      </c>
      <c r="E696" t="n">
        <v>0.6</v>
      </c>
      <c r="F696" t="n">
        <v>0.24</v>
      </c>
      <c r="G696" t="b">
        <v>1</v>
      </c>
      <c r="H696">
        <f>Sensitivity!H6*INT(Inputs!$B$3/4)</f>
        <v/>
      </c>
    </row>
    <row r="697">
      <c r="A697" t="inlineStr">
        <is>
          <t>pocket</t>
        </is>
      </c>
      <c r="B697" t="inlineStr">
        <is>
          <t>unique</t>
        </is>
      </c>
      <c r="C697" t="n">
        <v>2</v>
      </c>
      <c r="D697" t="inlineStr">
        <is>
          <t>Main Stat % per 4 Levels</t>
        </is>
      </c>
      <c r="E697" t="n">
        <v>0.4</v>
      </c>
      <c r="F697" t="n">
        <v>0.76</v>
      </c>
      <c r="G697" t="b">
        <v>0</v>
      </c>
      <c r="H697">
        <f>Sensitivity!H6*INT(Inputs!$B$3/4)</f>
        <v/>
      </c>
    </row>
    <row r="698">
      <c r="A698" t="inlineStr">
        <is>
          <t>pocket</t>
        </is>
      </c>
      <c r="B698" t="inlineStr">
        <is>
          <t>unique</t>
        </is>
      </c>
      <c r="C698" t="n">
        <v>3</v>
      </c>
      <c r="D698" t="inlineStr">
        <is>
          <t>Main Stat % per 4 Levels</t>
        </is>
      </c>
      <c r="E698" t="n">
        <v>0.6</v>
      </c>
      <c r="F698" t="n">
        <v>0.08</v>
      </c>
      <c r="G698" t="b">
        <v>1</v>
      </c>
      <c r="H698">
        <f>Sensitivity!H6*INT(Inputs!$B$3/4)</f>
        <v/>
      </c>
    </row>
    <row r="699">
      <c r="A699" t="inlineStr">
        <is>
          <t>pocket</t>
        </is>
      </c>
      <c r="B699" t="inlineStr">
        <is>
          <t>unique</t>
        </is>
      </c>
      <c r="C699" t="n">
        <v>3</v>
      </c>
      <c r="D699" t="inlineStr">
        <is>
          <t>Main Stat % per 4 Levels</t>
        </is>
      </c>
      <c r="E699" t="n">
        <v>0.4</v>
      </c>
      <c r="F699" t="n">
        <v>0.92</v>
      </c>
      <c r="G699" t="b">
        <v>0</v>
      </c>
      <c r="H699">
        <f>Sensitivity!H6*INT(Inputs!$B$3/4)</f>
        <v/>
      </c>
    </row>
    <row r="700">
      <c r="A700" t="inlineStr">
        <is>
          <t>pocket</t>
        </is>
      </c>
      <c r="B700" t="inlineStr">
        <is>
          <t>legendary</t>
        </is>
      </c>
      <c r="C700" t="n">
        <v>1</v>
      </c>
      <c r="D700" t="inlineStr">
        <is>
          <t>Main Stat % per 4 Levels</t>
        </is>
      </c>
      <c r="E700" t="n">
        <v>0.8</v>
      </c>
      <c r="F700" t="n">
        <v>1</v>
      </c>
      <c r="G700" t="b">
        <v>1</v>
      </c>
      <c r="H700">
        <f>Sensitivity!H6*INT(Inputs!$B$3/4)</f>
        <v/>
      </c>
    </row>
    <row r="701">
      <c r="A701" t="inlineStr">
        <is>
          <t>pocket</t>
        </is>
      </c>
      <c r="B701" t="inlineStr">
        <is>
          <t>legendary</t>
        </is>
      </c>
      <c r="C701" t="n">
        <v>2</v>
      </c>
      <c r="D701" t="inlineStr">
        <is>
          <t>Main Stat % per 4 Levels</t>
        </is>
      </c>
      <c r="E701" t="n">
        <v>0.8</v>
      </c>
      <c r="F701" t="n">
        <v>0.24</v>
      </c>
      <c r="G701" t="b">
        <v>1</v>
      </c>
      <c r="H701">
        <f>Sensitivity!H6*INT(Inputs!$B$3/4)</f>
        <v/>
      </c>
    </row>
    <row r="702">
      <c r="A702" t="inlineStr">
        <is>
          <t>pocket</t>
        </is>
      </c>
      <c r="B702" t="inlineStr">
        <is>
          <t>legendary</t>
        </is>
      </c>
      <c r="C702" t="n">
        <v>2</v>
      </c>
      <c r="D702" t="inlineStr">
        <is>
          <t>Main Stat % per 4 Levels</t>
        </is>
      </c>
      <c r="E702" t="n">
        <v>0.6</v>
      </c>
      <c r="F702" t="n">
        <v>0.76</v>
      </c>
      <c r="G702" t="b">
        <v>0</v>
      </c>
      <c r="H702">
        <f>Sensitivity!H6*INT(Inputs!$B$3/4)</f>
        <v/>
      </c>
    </row>
    <row r="703">
      <c r="A703" t="inlineStr">
        <is>
          <t>pocket</t>
        </is>
      </c>
      <c r="B703" t="inlineStr">
        <is>
          <t>legendary</t>
        </is>
      </c>
      <c r="C703" t="n">
        <v>3</v>
      </c>
      <c r="D703" t="inlineStr">
        <is>
          <t>Main Stat % per 4 Levels</t>
        </is>
      </c>
      <c r="E703" t="n">
        <v>0.8</v>
      </c>
      <c r="F703" t="n">
        <v>0.08</v>
      </c>
      <c r="G703" t="b">
        <v>1</v>
      </c>
      <c r="H703">
        <f>Sensitivity!H6*INT(Inputs!$B$3/4)</f>
        <v/>
      </c>
    </row>
    <row r="704">
      <c r="A704" t="inlineStr">
        <is>
          <t>pocket</t>
        </is>
      </c>
      <c r="B704" t="inlineStr">
        <is>
          <t>legendary</t>
        </is>
      </c>
      <c r="C704" t="n">
        <v>3</v>
      </c>
      <c r="D704" t="inlineStr">
        <is>
          <t>Main Stat % per 4 Levels</t>
        </is>
      </c>
      <c r="E704" t="n">
        <v>0.6</v>
      </c>
      <c r="F704" t="n">
        <v>0.92</v>
      </c>
      <c r="G704" t="b">
        <v>0</v>
      </c>
      <c r="H704">
        <f>Sensitivity!H6*INT(Inputs!$B$3/4)</f>
        <v/>
      </c>
    </row>
    <row r="705">
      <c r="A705" t="inlineStr">
        <is>
          <t>pocket</t>
        </is>
      </c>
      <c r="B705" t="inlineStr">
        <is>
          <t>mystic</t>
        </is>
      </c>
      <c r="C705" t="n">
        <v>1</v>
      </c>
      <c r="D705" t="inlineStr">
        <is>
          <t>Main Stat % per 4 Levels</t>
        </is>
      </c>
      <c r="E705" t="n">
        <v>1.2</v>
      </c>
      <c r="F705" t="n">
        <v>1</v>
      </c>
      <c r="G705" t="b">
        <v>1</v>
      </c>
      <c r="H705">
        <f>Sensitivity!H6*INT(Inputs!$B$3/4)</f>
        <v/>
      </c>
    </row>
    <row r="706">
      <c r="A706" t="inlineStr">
        <is>
          <t>pocket</t>
        </is>
      </c>
      <c r="B706" t="inlineStr">
        <is>
          <t>mystic</t>
        </is>
      </c>
      <c r="C706" t="n">
        <v>2</v>
      </c>
      <c r="D706" t="inlineStr">
        <is>
          <t>Main Stat % per 4 Levels</t>
        </is>
      </c>
      <c r="E706" t="n">
        <v>1.2</v>
      </c>
      <c r="F706" t="n">
        <v>0.24</v>
      </c>
      <c r="G706" t="b">
        <v>1</v>
      </c>
      <c r="H706">
        <f>Sensitivity!H6*INT(Inputs!$B$3/4)</f>
        <v/>
      </c>
    </row>
    <row r="707">
      <c r="A707" t="inlineStr">
        <is>
          <t>pocket</t>
        </is>
      </c>
      <c r="B707" t="inlineStr">
        <is>
          <t>mystic</t>
        </is>
      </c>
      <c r="C707" t="n">
        <v>2</v>
      </c>
      <c r="D707" t="inlineStr">
        <is>
          <t>Main Stat % per 4 Levels</t>
        </is>
      </c>
      <c r="E707" t="n">
        <v>0.8</v>
      </c>
      <c r="F707" t="n">
        <v>0.76</v>
      </c>
      <c r="G707" t="b">
        <v>0</v>
      </c>
      <c r="H707">
        <f>Sensitivity!H6*INT(Inputs!$B$3/4)</f>
        <v/>
      </c>
    </row>
    <row r="708">
      <c r="A708" t="inlineStr">
        <is>
          <t>pocket</t>
        </is>
      </c>
      <c r="B708" t="inlineStr">
        <is>
          <t>mystic</t>
        </is>
      </c>
      <c r="C708" t="n">
        <v>3</v>
      </c>
      <c r="D708" t="inlineStr">
        <is>
          <t>Main Stat % per 4 Levels</t>
        </is>
      </c>
      <c r="E708" t="n">
        <v>1.2</v>
      </c>
      <c r="F708" t="n">
        <v>0.08</v>
      </c>
      <c r="G708" t="b">
        <v>1</v>
      </c>
      <c r="H708">
        <f>Sensitivity!H6*INT(Inputs!$B$3/4)</f>
        <v/>
      </c>
    </row>
    <row r="709">
      <c r="A709" t="inlineStr">
        <is>
          <t>pocket</t>
        </is>
      </c>
      <c r="B709" t="inlineStr">
        <is>
          <t>mystic</t>
        </is>
      </c>
      <c r="C709" t="n">
        <v>3</v>
      </c>
      <c r="D709" t="inlineStr">
        <is>
          <t>Main Stat % per 4 Levels</t>
        </is>
      </c>
      <c r="E709" t="n">
        <v>0.8</v>
      </c>
      <c r="F709" t="n">
        <v>0.92</v>
      </c>
      <c r="G709" t="b">
        <v>0</v>
      </c>
      <c r="H709">
        <f>Sensitivity!H6*INT(Inputs!$B$3/4)</f>
        <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N42"/>
  <sheetViews>
    <sheetView workbookViewId="0">
      <pane ySplit="4" topLeftCell="A5" activePane="bottomLeft" state="frozen"/>
      <selection pane="bottomLeft" activeCell="A1" sqref="A1"/>
    </sheetView>
  </sheetViews>
  <sheetFormatPr baseColWidth="8" defaultRowHeight="15"/>
  <cols>
    <col width="42" customWidth="1" min="1" max="1"/>
    <col width="12" customWidth="1" min="2" max="2"/>
    <col width="12" customWidth="1" min="3" max="3"/>
    <col width="26" customWidth="1" min="4" max="4"/>
    <col width="14" customWidth="1" min="5" max="5"/>
    <col width="12" customWidth="1" min="6" max="6"/>
    <col width="26" customWidth="1" min="7" max="7"/>
    <col width="14" customWidth="1" min="8" max="8"/>
    <col width="12" customWidth="1" min="9" max="9"/>
    <col width="26" customWidth="1" min="10" max="10"/>
    <col width="14" customWidth="1" min="11" max="11"/>
    <col width="16" customWidth="1" min="12" max="12"/>
    <col width="18" customWidth="1" min="13" max="13"/>
    <col width="20" customWidth="1" min="14" max="14"/>
  </cols>
  <sheetData>
    <row r="1">
      <c r="A1" s="4" t="inlineStr">
        <is>
          <t>Shadower — Artifacts (Star Level + Potentials)</t>
        </is>
      </c>
    </row>
    <row r="2">
      <c r="A2" t="inlineStr">
        <is>
          <t>Equipped artifacts are picked on the Inputs sheet now (Equipped Artifacts section, per content type). Every artifact's Star Level (or "Not Unlocked") and Potential lines are tracked separately regardless of whether it's currently equipped, so swapping gear doesn't lose your progress. Potential lines are reference-only (their DPS Gain is NOT added to live Total DPS) — the assumption is the same as Book of Ancient etc.: once you decide to keep a roll, fold its value into your own Inputs manually. Sensitivity's Artifact Equip-Toggle table DOES include each artifact's current potential-line DPS Gain, since potentials only apply while the artifact is actually equipped.</t>
        </is>
      </c>
    </row>
    <row r="3">
      <c r="A3" s="9" t="inlineStr">
        <is>
          <t>All Artifacts — Star Level + Potentials</t>
        </is>
      </c>
    </row>
    <row r="4">
      <c r="A4" s="5" t="inlineStr">
        <is>
          <t>Artifact</t>
        </is>
      </c>
      <c r="B4" s="5" t="inlineStr">
        <is>
          <t>Star Level</t>
        </is>
      </c>
      <c r="C4" s="5" t="inlineStr">
        <is>
          <t>Line 1 Rarity</t>
        </is>
      </c>
      <c r="D4" s="5" t="inlineStr">
        <is>
          <t>Line 1 Stat</t>
        </is>
      </c>
      <c r="E4" s="5" t="inlineStr">
        <is>
          <t>Line 1 DPS Gain</t>
        </is>
      </c>
      <c r="F4" s="5" t="inlineStr">
        <is>
          <t>Line 2 Rarity</t>
        </is>
      </c>
      <c r="G4" s="5" t="inlineStr">
        <is>
          <t>Line 2 Stat</t>
        </is>
      </c>
      <c r="H4" s="5" t="inlineStr">
        <is>
          <t>Line 2 DPS Gain</t>
        </is>
      </c>
      <c r="I4" s="5" t="inlineStr">
        <is>
          <t>Line 3 Rarity (Legendary only)</t>
        </is>
      </c>
      <c r="J4" s="5" t="inlineStr">
        <is>
          <t>Line 3 Stat (Legendary only)</t>
        </is>
      </c>
      <c r="K4" s="5" t="inlineStr">
        <is>
          <t>Line 3 DPS Gain</t>
        </is>
      </c>
      <c r="L4" s="5" t="inlineStr">
        <is>
          <t>Total Potential DPS Gain</t>
        </is>
      </c>
      <c r="M4" s="5" t="inlineStr">
        <is>
          <t>Equipped? (computed)</t>
        </is>
      </c>
      <c r="N4" s="5" t="inlineStr">
        <is>
          <t>Star Level, resolved (computed)</t>
        </is>
      </c>
    </row>
    <row r="5">
      <c r="A5" s="6" t="inlineStr">
        <is>
          <t>Charm of the Undead</t>
        </is>
      </c>
      <c r="B5" s="7" t="n">
        <v>5</v>
      </c>
      <c r="C5" s="7" t="inlineStr">
        <is>
          <t>Rare</t>
        </is>
      </c>
      <c r="D5" s="7" t="inlineStr">
        <is>
          <t>(none)</t>
        </is>
      </c>
      <c r="E5">
        <f>IF($N$5&gt;=1,IF($D$5="Main Stat %",(CHOOSE(MATCH($C$5,{"Rare","Epic","Unique","Legendary","Mystic","Mystic (Prime)"},0),2,3,4.5,7,10,12))*Sensitivity!$H$6,IF($D$5="Damage Taken Decrease %",0,IF($D$5="Defense %",0,IF($D$5="Accuracy",0,IF($D$5="Critical Rate %",(CHOOSE(MATCH($C$5,{"Rare","Epic","Unique","Legendary","Mystic","Mystic (Prime)"},0),2,3,4.5,7,10,12))*Sensitivity!$H$15,IF($D$5="Min Damage Multiplier %",(CHOOSE(MATCH($C$5,{"Rare","Epic","Unique","Legendary","Mystic","Mystic (Prime)"},0),2,3,4.5,7,10,12))*Sensitivity!$H$13,IF($D$5="Max Damage Multiplier %",(CHOOSE(MATCH($C$5,{"Rare","Epic","Unique","Legendary","Mystic","Mystic (Prime)"},0),2,3,4.5,7,10,12))*Sensitivity!$H$14,IF($D$5="Boss Monster Damage %",(CHOOSE(MATCH($C$5,{"Rare","Epic","Unique","Legendary","Mystic","Mystic (Prime)"},0),4,6,9,14,20,24))*Sensitivity!$H$10,IF($D$5="Normal Monster Damage %",(CHOOSE(MATCH($C$5,{"Rare","Epic","Unique","Legendary","Mystic","Mystic (Prime)"},0),4,6,9,14,20,24))*Sensitivity!$H$11,IF($D$5="Status Effect Damage %",0,IF($D$5="Damage %",(CHOOSE(MATCH($C$5,{"Rare","Epic","Unique","Legendary","Mystic","Mystic (Prime)"},0),4,6,9,14,20,24))*Sensitivity!$H$8,IF($D$5="Defense Penetration %",(CHOOSE(MATCH($C$5,{"Rare","Epic","Unique","Legendary","Mystic","Mystic (Prime)"},0),2,3,4.5,7,10,12))*Sensitivity!$H$18,0)))))))))))),0)</f>
        <v/>
      </c>
      <c r="F5" s="7" t="inlineStr">
        <is>
          <t>Rare</t>
        </is>
      </c>
      <c r="G5" s="7" t="inlineStr">
        <is>
          <t>(none)</t>
        </is>
      </c>
      <c r="H5">
        <f>IF($N$5&gt;=2,IF($G$5="Main Stat %",(CHOOSE(MATCH($F$5,{"Rare","Epic","Unique","Legendary","Mystic","Mystic (Prime)"},0),2,3,4.5,7,10,12))*Sensitivity!$H$6,IF($G$5="Damage Taken Decrease %",0,IF($G$5="Defense %",0,IF($G$5="Accuracy",0,IF($G$5="Critical Rate %",(CHOOSE(MATCH($F$5,{"Rare","Epic","Unique","Legendary","Mystic","Mystic (Prime)"},0),2,3,4.5,7,10,12))*Sensitivity!$H$15,IF($G$5="Min Damage Multiplier %",(CHOOSE(MATCH($F$5,{"Rare","Epic","Unique","Legendary","Mystic","Mystic (Prime)"},0),2,3,4.5,7,10,12))*Sensitivity!$H$13,IF($G$5="Max Damage Multiplier %",(CHOOSE(MATCH($F$5,{"Rare","Epic","Unique","Legendary","Mystic","Mystic (Prime)"},0),2,3,4.5,7,10,12))*Sensitivity!$H$14,IF($G$5="Boss Monster Damage %",(CHOOSE(MATCH($F$5,{"Rare","Epic","Unique","Legendary","Mystic","Mystic (Prime)"},0),4,6,9,14,20,24))*Sensitivity!$H$10,IF($G$5="Normal Monster Damage %",(CHOOSE(MATCH($F$5,{"Rare","Epic","Unique","Legendary","Mystic","Mystic (Prime)"},0),4,6,9,14,20,24))*Sensitivity!$H$11,IF($G$5="Status Effect Damage %",0,IF($G$5="Damage %",(CHOOSE(MATCH($F$5,{"Rare","Epic","Unique","Legendary","Mystic","Mystic (Prime)"},0),4,6,9,14,20,24))*Sensitivity!$H$8,IF($G$5="Defense Penetration %",(CHOOSE(MATCH($F$5,{"Rare","Epic","Unique","Legendary","Mystic","Mystic (Prime)"},0),2,3,4.5,7,10,12))*Sensitivity!$H$18,0)))))))))))),0)</f>
        <v/>
      </c>
      <c r="L5">
        <f>Summary!$B$3*((IF(D5="(none)",1,1+(E5+IF(G5=D5,H5,0)+IF(J5=D5,K5,0))/Summary!$B$3))*(IF(OR(G5="(none)",G5=D5),1,1+(H5+IF(D5=G5,E5,0)+IF(J5=G5,K5,0))/Summary!$B$3))*(IF(OR(J5="",J5="(none)",J5=D5,J5=G5),1,1+(K5+IF(D5=J5,E5,0)+IF(G5=J5,H5,0))/Summary!$B$3))-1)</f>
        <v/>
      </c>
      <c r="M5">
        <f>OR(Inputs!$B$47="Charm of the Undead",Inputs!$B$48="Charm of the Undead",Inputs!$B$49="Charm of the Undead",Inputs!$B$50="Charm of the Undead")</f>
        <v/>
      </c>
      <c r="N5">
        <f>IF(B5="Not Unlocked",0,B5)</f>
        <v/>
      </c>
    </row>
    <row r="6">
      <c r="A6" s="6" t="inlineStr">
        <is>
          <t>Pig's Ribbon</t>
        </is>
      </c>
      <c r="B6" s="7" t="n">
        <v>5</v>
      </c>
      <c r="C6" s="7" t="inlineStr">
        <is>
          <t>Rare</t>
        </is>
      </c>
      <c r="D6" s="7" t="inlineStr">
        <is>
          <t>(none)</t>
        </is>
      </c>
      <c r="E6">
        <f>IF($N$6&gt;=1,IF($D$6="Main Stat %",(CHOOSE(MATCH($C$6,{"Rare","Epic","Unique","Legendary","Mystic","Mystic (Prime)"},0),2,3,4.5,7,10,12))*Sensitivity!$H$6,IF($D$6="Damage Taken Decrease %",0,IF($D$6="Defense %",0,IF($D$6="Accuracy",0,IF($D$6="Critical Rate %",(CHOOSE(MATCH($C$6,{"Rare","Epic","Unique","Legendary","Mystic","Mystic (Prime)"},0),2,3,4.5,7,10,12))*Sensitivity!$H$15,IF($D$6="Min Damage Multiplier %",(CHOOSE(MATCH($C$6,{"Rare","Epic","Unique","Legendary","Mystic","Mystic (Prime)"},0),2,3,4.5,7,10,12))*Sensitivity!$H$13,IF($D$6="Max Damage Multiplier %",(CHOOSE(MATCH($C$6,{"Rare","Epic","Unique","Legendary","Mystic","Mystic (Prime)"},0),2,3,4.5,7,10,12))*Sensitivity!$H$14,IF($D$6="Boss Monster Damage %",(CHOOSE(MATCH($C$6,{"Rare","Epic","Unique","Legendary","Mystic","Mystic (Prime)"},0),4,6,9,14,20,24))*Sensitivity!$H$10,IF($D$6="Normal Monster Damage %",(CHOOSE(MATCH($C$6,{"Rare","Epic","Unique","Legendary","Mystic","Mystic (Prime)"},0),4,6,9,14,20,24))*Sensitivity!$H$11,IF($D$6="Status Effect Damage %",0,IF($D$6="Damage %",(CHOOSE(MATCH($C$6,{"Rare","Epic","Unique","Legendary","Mystic","Mystic (Prime)"},0),4,6,9,14,20,24))*Sensitivity!$H$8,IF($D$6="Defense Penetration %",(CHOOSE(MATCH($C$6,{"Rare","Epic","Unique","Legendary","Mystic","Mystic (Prime)"},0),2,3,4.5,7,10,12))*Sensitivity!$H$18,0)))))))))))),0)</f>
        <v/>
      </c>
      <c r="F6" s="7" t="inlineStr">
        <is>
          <t>Rare</t>
        </is>
      </c>
      <c r="G6" s="7" t="inlineStr">
        <is>
          <t>(none)</t>
        </is>
      </c>
      <c r="H6">
        <f>IF($N$6&gt;=2,IF($G$6="Main Stat %",(CHOOSE(MATCH($F$6,{"Rare","Epic","Unique","Legendary","Mystic","Mystic (Prime)"},0),2,3,4.5,7,10,12))*Sensitivity!$H$6,IF($G$6="Damage Taken Decrease %",0,IF($G$6="Defense %",0,IF($G$6="Accuracy",0,IF($G$6="Critical Rate %",(CHOOSE(MATCH($F$6,{"Rare","Epic","Unique","Legendary","Mystic","Mystic (Prime)"},0),2,3,4.5,7,10,12))*Sensitivity!$H$15,IF($G$6="Min Damage Multiplier %",(CHOOSE(MATCH($F$6,{"Rare","Epic","Unique","Legendary","Mystic","Mystic (Prime)"},0),2,3,4.5,7,10,12))*Sensitivity!$H$13,IF($G$6="Max Damage Multiplier %",(CHOOSE(MATCH($F$6,{"Rare","Epic","Unique","Legendary","Mystic","Mystic (Prime)"},0),2,3,4.5,7,10,12))*Sensitivity!$H$14,IF($G$6="Boss Monster Damage %",(CHOOSE(MATCH($F$6,{"Rare","Epic","Unique","Legendary","Mystic","Mystic (Prime)"},0),4,6,9,14,20,24))*Sensitivity!$H$10,IF($G$6="Normal Monster Damage %",(CHOOSE(MATCH($F$6,{"Rare","Epic","Unique","Legendary","Mystic","Mystic (Prime)"},0),4,6,9,14,20,24))*Sensitivity!$H$11,IF($G$6="Status Effect Damage %",0,IF($G$6="Damage %",(CHOOSE(MATCH($F$6,{"Rare","Epic","Unique","Legendary","Mystic","Mystic (Prime)"},0),4,6,9,14,20,24))*Sensitivity!$H$8,IF($G$6="Defense Penetration %",(CHOOSE(MATCH($F$6,{"Rare","Epic","Unique","Legendary","Mystic","Mystic (Prime)"},0),2,3,4.5,7,10,12))*Sensitivity!$H$18,0)))))))))))),0)</f>
        <v/>
      </c>
      <c r="L6">
        <f>Summary!$B$3*((IF(D6="(none)",1,1+(E6+IF(G6=D6,H6,0)+IF(J6=D6,K6,0))/Summary!$B$3))*(IF(OR(G6="(none)",G6=D6),1,1+(H6+IF(D6=G6,E6,0)+IF(J6=G6,K6,0))/Summary!$B$3))*(IF(OR(J6="",J6="(none)",J6=D6,J6=G6),1,1+(K6+IF(D6=J6,E6,0)+IF(G6=J6,H6,0))/Summary!$B$3))-1)</f>
        <v/>
      </c>
      <c r="M6">
        <f>OR(Inputs!$B$47="Pig's Ribbon",Inputs!$B$48="Pig's Ribbon",Inputs!$B$49="Pig's Ribbon",Inputs!$B$50="Pig's Ribbon")</f>
        <v/>
      </c>
      <c r="N6">
        <f>IF(B6="Not Unlocked",0,B6)</f>
        <v/>
      </c>
    </row>
    <row r="7">
      <c r="A7" s="6" t="inlineStr">
        <is>
          <t>Shamaness Marble</t>
        </is>
      </c>
      <c r="B7" s="7" t="n">
        <v>5</v>
      </c>
      <c r="C7" s="7" t="inlineStr">
        <is>
          <t>Rare</t>
        </is>
      </c>
      <c r="D7" s="7" t="inlineStr">
        <is>
          <t>(none)</t>
        </is>
      </c>
      <c r="E7">
        <f>IF($N$7&gt;=1,IF($D$7="Main Stat %",(CHOOSE(MATCH($C$7,{"Rare","Epic","Unique","Legendary","Mystic","Mystic (Prime)"},0),2,3,4.5,7,10,12))*Sensitivity!$H$6,IF($D$7="Damage Taken Decrease %",0,IF($D$7="Defense %",0,IF($D$7="Accuracy",0,IF($D$7="Critical Rate %",(CHOOSE(MATCH($C$7,{"Rare","Epic","Unique","Legendary","Mystic","Mystic (Prime)"},0),2,3,4.5,7,10,12))*Sensitivity!$H$15,IF($D$7="Min Damage Multiplier %",(CHOOSE(MATCH($C$7,{"Rare","Epic","Unique","Legendary","Mystic","Mystic (Prime)"},0),2,3,4.5,7,10,12))*Sensitivity!$H$13,IF($D$7="Max Damage Multiplier %",(CHOOSE(MATCH($C$7,{"Rare","Epic","Unique","Legendary","Mystic","Mystic (Prime)"},0),2,3,4.5,7,10,12))*Sensitivity!$H$14,IF($D$7="Boss Monster Damage %",(CHOOSE(MATCH($C$7,{"Rare","Epic","Unique","Legendary","Mystic","Mystic (Prime)"},0),4,6,9,14,20,24))*Sensitivity!$H$10,IF($D$7="Normal Monster Damage %",(CHOOSE(MATCH($C$7,{"Rare","Epic","Unique","Legendary","Mystic","Mystic (Prime)"},0),4,6,9,14,20,24))*Sensitivity!$H$11,IF($D$7="Status Effect Damage %",0,IF($D$7="Damage %",(CHOOSE(MATCH($C$7,{"Rare","Epic","Unique","Legendary","Mystic","Mystic (Prime)"},0),4,6,9,14,20,24))*Sensitivity!$H$8,IF($D$7="Defense Penetration %",(CHOOSE(MATCH($C$7,{"Rare","Epic","Unique","Legendary","Mystic","Mystic (Prime)"},0),2,3,4.5,7,10,12))*Sensitivity!$H$18,0)))))))))))),0)</f>
        <v/>
      </c>
      <c r="F7" s="7" t="inlineStr">
        <is>
          <t>Rare</t>
        </is>
      </c>
      <c r="G7" s="7" t="inlineStr">
        <is>
          <t>(none)</t>
        </is>
      </c>
      <c r="H7">
        <f>IF($N$7&gt;=2,IF($G$7="Main Stat %",(CHOOSE(MATCH($F$7,{"Rare","Epic","Unique","Legendary","Mystic","Mystic (Prime)"},0),2,3,4.5,7,10,12))*Sensitivity!$H$6,IF($G$7="Damage Taken Decrease %",0,IF($G$7="Defense %",0,IF($G$7="Accuracy",0,IF($G$7="Critical Rate %",(CHOOSE(MATCH($F$7,{"Rare","Epic","Unique","Legendary","Mystic","Mystic (Prime)"},0),2,3,4.5,7,10,12))*Sensitivity!$H$15,IF($G$7="Min Damage Multiplier %",(CHOOSE(MATCH($F$7,{"Rare","Epic","Unique","Legendary","Mystic","Mystic (Prime)"},0),2,3,4.5,7,10,12))*Sensitivity!$H$13,IF($G$7="Max Damage Multiplier %",(CHOOSE(MATCH($F$7,{"Rare","Epic","Unique","Legendary","Mystic","Mystic (Prime)"},0),2,3,4.5,7,10,12))*Sensitivity!$H$14,IF($G$7="Boss Monster Damage %",(CHOOSE(MATCH($F$7,{"Rare","Epic","Unique","Legendary","Mystic","Mystic (Prime)"},0),4,6,9,14,20,24))*Sensitivity!$H$10,IF($G$7="Normal Monster Damage %",(CHOOSE(MATCH($F$7,{"Rare","Epic","Unique","Legendary","Mystic","Mystic (Prime)"},0),4,6,9,14,20,24))*Sensitivity!$H$11,IF($G$7="Status Effect Damage %",0,IF($G$7="Damage %",(CHOOSE(MATCH($F$7,{"Rare","Epic","Unique","Legendary","Mystic","Mystic (Prime)"},0),4,6,9,14,20,24))*Sensitivity!$H$8,IF($G$7="Defense Penetration %",(CHOOSE(MATCH($F$7,{"Rare","Epic","Unique","Legendary","Mystic","Mystic (Prime)"},0),2,3,4.5,7,10,12))*Sensitivity!$H$18,0)))))))))))),0)</f>
        <v/>
      </c>
      <c r="L7">
        <f>Summary!$B$3*((IF(D7="(none)",1,1+(E7+IF(G7=D7,H7,0)+IF(J7=D7,K7,0))/Summary!$B$3))*(IF(OR(G7="(none)",G7=D7),1,1+(H7+IF(D7=G7,E7,0)+IF(J7=G7,K7,0))/Summary!$B$3))*(IF(OR(J7="",J7="(none)",J7=D7,J7=G7),1,1+(K7+IF(D7=J7,E7,0)+IF(G7=J7,H7,0))/Summary!$B$3))-1)</f>
        <v/>
      </c>
      <c r="M7">
        <f>OR(Inputs!$B$47="Shamaness Marble",Inputs!$B$48="Shamaness Marble",Inputs!$B$49="Shamaness Marble",Inputs!$B$50="Shamaness Marble")</f>
        <v/>
      </c>
      <c r="N7">
        <f>IF(B7="Not Unlocked",0,B7)</f>
        <v/>
      </c>
    </row>
    <row r="8">
      <c r="A8" s="6" t="inlineStr">
        <is>
          <t>The Contract of Darkness</t>
        </is>
      </c>
      <c r="B8" s="7" t="n">
        <v>5</v>
      </c>
      <c r="C8" s="7" t="inlineStr">
        <is>
          <t>Rare</t>
        </is>
      </c>
      <c r="D8" s="7" t="inlineStr">
        <is>
          <t>(none)</t>
        </is>
      </c>
      <c r="E8">
        <f>IF($N$8&gt;=1,IF($D$8="Main Stat %",(CHOOSE(MATCH($C$8,{"Rare","Epic","Unique","Legendary","Mystic","Mystic (Prime)"},0),2,3,4.5,7,10,12))*Sensitivity!$H$6,IF($D$8="Damage Taken Decrease %",0,IF($D$8="Defense %",0,IF($D$8="Accuracy",0,IF($D$8="Critical Rate %",(CHOOSE(MATCH($C$8,{"Rare","Epic","Unique","Legendary","Mystic","Mystic (Prime)"},0),2,3,4.5,7,10,12))*Sensitivity!$H$15,IF($D$8="Min Damage Multiplier %",(CHOOSE(MATCH($C$8,{"Rare","Epic","Unique","Legendary","Mystic","Mystic (Prime)"},0),2,3,4.5,7,10,12))*Sensitivity!$H$13,IF($D$8="Max Damage Multiplier %",(CHOOSE(MATCH($C$8,{"Rare","Epic","Unique","Legendary","Mystic","Mystic (Prime)"},0),2,3,4.5,7,10,12))*Sensitivity!$H$14,IF($D$8="Boss Monster Damage %",(CHOOSE(MATCH($C$8,{"Rare","Epic","Unique","Legendary","Mystic","Mystic (Prime)"},0),4,6,9,14,20,24))*Sensitivity!$H$10,IF($D$8="Normal Monster Damage %",(CHOOSE(MATCH($C$8,{"Rare","Epic","Unique","Legendary","Mystic","Mystic (Prime)"},0),4,6,9,14,20,24))*Sensitivity!$H$11,IF($D$8="Status Effect Damage %",0,IF($D$8="Damage %",(CHOOSE(MATCH($C$8,{"Rare","Epic","Unique","Legendary","Mystic","Mystic (Prime)"},0),4,6,9,14,20,24))*Sensitivity!$H$8,IF($D$8="Defense Penetration %",(CHOOSE(MATCH($C$8,{"Rare","Epic","Unique","Legendary","Mystic","Mystic (Prime)"},0),2,3,4.5,7,10,12))*Sensitivity!$H$18,0)))))))))))),0)</f>
        <v/>
      </c>
      <c r="F8" s="7" t="inlineStr">
        <is>
          <t>Rare</t>
        </is>
      </c>
      <c r="G8" s="7" t="inlineStr">
        <is>
          <t>(none)</t>
        </is>
      </c>
      <c r="H8">
        <f>IF($N$8&gt;=2,IF($G$8="Main Stat %",(CHOOSE(MATCH($F$8,{"Rare","Epic","Unique","Legendary","Mystic","Mystic (Prime)"},0),2,3,4.5,7,10,12))*Sensitivity!$H$6,IF($G$8="Damage Taken Decrease %",0,IF($G$8="Defense %",0,IF($G$8="Accuracy",0,IF($G$8="Critical Rate %",(CHOOSE(MATCH($F$8,{"Rare","Epic","Unique","Legendary","Mystic","Mystic (Prime)"},0),2,3,4.5,7,10,12))*Sensitivity!$H$15,IF($G$8="Min Damage Multiplier %",(CHOOSE(MATCH($F$8,{"Rare","Epic","Unique","Legendary","Mystic","Mystic (Prime)"},0),2,3,4.5,7,10,12))*Sensitivity!$H$13,IF($G$8="Max Damage Multiplier %",(CHOOSE(MATCH($F$8,{"Rare","Epic","Unique","Legendary","Mystic","Mystic (Prime)"},0),2,3,4.5,7,10,12))*Sensitivity!$H$14,IF($G$8="Boss Monster Damage %",(CHOOSE(MATCH($F$8,{"Rare","Epic","Unique","Legendary","Mystic","Mystic (Prime)"},0),4,6,9,14,20,24))*Sensitivity!$H$10,IF($G$8="Normal Monster Damage %",(CHOOSE(MATCH($F$8,{"Rare","Epic","Unique","Legendary","Mystic","Mystic (Prime)"},0),4,6,9,14,20,24))*Sensitivity!$H$11,IF($G$8="Status Effect Damage %",0,IF($G$8="Damage %",(CHOOSE(MATCH($F$8,{"Rare","Epic","Unique","Legendary","Mystic","Mystic (Prime)"},0),4,6,9,14,20,24))*Sensitivity!$H$8,IF($G$8="Defense Penetration %",(CHOOSE(MATCH($F$8,{"Rare","Epic","Unique","Legendary","Mystic","Mystic (Prime)"},0),2,3,4.5,7,10,12))*Sensitivity!$H$18,0)))))))))))),0)</f>
        <v/>
      </c>
      <c r="L8">
        <f>Summary!$B$3*((IF(D8="(none)",1,1+(E8+IF(G8=D8,H8,0)+IF(J8=D8,K8,0))/Summary!$B$3))*(IF(OR(G8="(none)",G8=D8),1,1+(H8+IF(D8=G8,E8,0)+IF(J8=G8,K8,0))/Summary!$B$3))*(IF(OR(J8="",J8="(none)",J8=D8,J8=G8),1,1+(K8+IF(D8=J8,E8,0)+IF(G8=J8,H8,0))/Summary!$B$3))-1)</f>
        <v/>
      </c>
      <c r="M8">
        <f>OR(Inputs!$B$47="The Contract of Darkness",Inputs!$B$48="The Contract of Darkness",Inputs!$B$49="The Contract of Darkness",Inputs!$B$50="The Contract of Darkness")</f>
        <v/>
      </c>
      <c r="N8">
        <f>IF(B8="Not Unlocked",0,B8)</f>
        <v/>
      </c>
    </row>
    <row r="10">
      <c r="A10" s="6" t="inlineStr">
        <is>
          <t>Rainbow-colored Snail Shell</t>
        </is>
      </c>
      <c r="B10" s="7" t="n">
        <v>3</v>
      </c>
      <c r="C10" s="7" t="inlineStr">
        <is>
          <t>Rare</t>
        </is>
      </c>
      <c r="D10" s="7" t="inlineStr">
        <is>
          <t>(none)</t>
        </is>
      </c>
      <c r="E10">
        <f>IF($N$10&gt;=1,IF($D$10="Main Stat %",(CHOOSE(MATCH($C$10,{"Rare","Epic","Unique","Legendary","Mystic","Mystic (Prime)"},0),2,3,4.5,7,10,12))*Sensitivity!$H$6,IF($D$10="Damage Taken Decrease %",0,IF($D$10="Defense %",0,IF($D$10="Accuracy",0,IF($D$10="Critical Rate %",(CHOOSE(MATCH($C$10,{"Rare","Epic","Unique","Legendary","Mystic","Mystic (Prime)"},0),2,3,4.5,7,10,12))*Sensitivity!$H$15,IF($D$10="Min Damage Multiplier %",(CHOOSE(MATCH($C$10,{"Rare","Epic","Unique","Legendary","Mystic","Mystic (Prime)"},0),2,3,4.5,7,10,12))*Sensitivity!$H$13,IF($D$10="Max Damage Multiplier %",(CHOOSE(MATCH($C$10,{"Rare","Epic","Unique","Legendary","Mystic","Mystic (Prime)"},0),2,3,4.5,7,10,12))*Sensitivity!$H$14,IF($D$10="Boss Monster Damage %",(CHOOSE(MATCH($C$10,{"Rare","Epic","Unique","Legendary","Mystic","Mystic (Prime)"},0),4,6,9,14,20,24))*Sensitivity!$H$10,IF($D$10="Normal Monster Damage %",(CHOOSE(MATCH($C$10,{"Rare","Epic","Unique","Legendary","Mystic","Mystic (Prime)"},0),4,6,9,14,20,24))*Sensitivity!$H$11,IF($D$10="Status Effect Damage %",0,IF($D$10="Damage %",(CHOOSE(MATCH($C$10,{"Rare","Epic","Unique","Legendary","Mystic","Mystic (Prime)"},0),4,6,9,14,20,24))*Sensitivity!$H$8,IF($D$10="Defense Penetration %",(CHOOSE(MATCH($C$10,{"Rare","Epic","Unique","Legendary","Mystic","Mystic (Prime)"},0),2,3,4.5,7,10,12))*Sensitivity!$H$18,0)))))))))))),0)</f>
        <v/>
      </c>
      <c r="F10" s="7" t="inlineStr">
        <is>
          <t>Rare</t>
        </is>
      </c>
      <c r="G10" s="7" t="inlineStr">
        <is>
          <t>(none)</t>
        </is>
      </c>
      <c r="H10">
        <f>IF($N$10&gt;=2,IF($G$10="Main Stat %",(CHOOSE(MATCH($F$10,{"Rare","Epic","Unique","Legendary","Mystic","Mystic (Prime)"},0),2,3,4.5,7,10,12))*Sensitivity!$H$6,IF($G$10="Damage Taken Decrease %",0,IF($G$10="Defense %",0,IF($G$10="Accuracy",0,IF($G$10="Critical Rate %",(CHOOSE(MATCH($F$10,{"Rare","Epic","Unique","Legendary","Mystic","Mystic (Prime)"},0),2,3,4.5,7,10,12))*Sensitivity!$H$15,IF($G$10="Min Damage Multiplier %",(CHOOSE(MATCH($F$10,{"Rare","Epic","Unique","Legendary","Mystic","Mystic (Prime)"},0),2,3,4.5,7,10,12))*Sensitivity!$H$13,IF($G$10="Max Damage Multiplier %",(CHOOSE(MATCH($F$10,{"Rare","Epic","Unique","Legendary","Mystic","Mystic (Prime)"},0),2,3,4.5,7,10,12))*Sensitivity!$H$14,IF($G$10="Boss Monster Damage %",(CHOOSE(MATCH($F$10,{"Rare","Epic","Unique","Legendary","Mystic","Mystic (Prime)"},0),4,6,9,14,20,24))*Sensitivity!$H$10,IF($G$10="Normal Monster Damage %",(CHOOSE(MATCH($F$10,{"Rare","Epic","Unique","Legendary","Mystic","Mystic (Prime)"},0),4,6,9,14,20,24))*Sensitivity!$H$11,IF($G$10="Status Effect Damage %",0,IF($G$10="Damage %",(CHOOSE(MATCH($F$10,{"Rare","Epic","Unique","Legendary","Mystic","Mystic (Prime)"},0),4,6,9,14,20,24))*Sensitivity!$H$8,IF($G$10="Defense Penetration %",(CHOOSE(MATCH($F$10,{"Rare","Epic","Unique","Legendary","Mystic","Mystic (Prime)"},0),2,3,4.5,7,10,12))*Sensitivity!$H$18,0)))))))))))),0)</f>
        <v/>
      </c>
      <c r="L10">
        <f>Summary!$B$3*((IF(D10="(none)",1,1+(E10+IF(G10=D10,H10,0)+IF(J10=D10,K10,0))/Summary!$B$3))*(IF(OR(G10="(none)",G10=D10),1,1+(H10+IF(D10=G10,E10,0)+IF(J10=G10,K10,0))/Summary!$B$3))*(IF(OR(J10="",J10="(none)",J10=D10,J10=G10),1,1+(K10+IF(D10=J10,E10,0)+IF(G10=J10,H10,0))/Summary!$B$3))-1)</f>
        <v/>
      </c>
      <c r="M10">
        <f>OR(Inputs!$B$47="Rainbow-colored Snail Shell",Inputs!$B$48="Rainbow-colored Snail Shell",Inputs!$B$49="Rainbow-colored Snail Shell",Inputs!$B$50="Rainbow-colored Snail Shell")</f>
        <v/>
      </c>
      <c r="N10">
        <f>IF(B10="Not Unlocked",0,B10)</f>
        <v/>
      </c>
    </row>
    <row r="11">
      <c r="A11" s="6" t="inlineStr">
        <is>
          <t>Hexagon Necklace</t>
        </is>
      </c>
      <c r="B11" s="7" t="n">
        <v>3</v>
      </c>
      <c r="C11" s="7" t="inlineStr">
        <is>
          <t>Rare</t>
        </is>
      </c>
      <c r="D11" s="7" t="inlineStr">
        <is>
          <t>(none)</t>
        </is>
      </c>
      <c r="E11">
        <f>IF($N$11&gt;=1,IF($D$11="Main Stat %",(CHOOSE(MATCH($C$11,{"Rare","Epic","Unique","Legendary","Mystic","Mystic (Prime)"},0),2,3,4.5,7,10,12))*Sensitivity!$H$6,IF($D$11="Damage Taken Decrease %",0,IF($D$11="Defense %",0,IF($D$11="Accuracy",0,IF($D$11="Critical Rate %",(CHOOSE(MATCH($C$11,{"Rare","Epic","Unique","Legendary","Mystic","Mystic (Prime)"},0),2,3,4.5,7,10,12))*Sensitivity!$H$15,IF($D$11="Min Damage Multiplier %",(CHOOSE(MATCH($C$11,{"Rare","Epic","Unique","Legendary","Mystic","Mystic (Prime)"},0),2,3,4.5,7,10,12))*Sensitivity!$H$13,IF($D$11="Max Damage Multiplier %",(CHOOSE(MATCH($C$11,{"Rare","Epic","Unique","Legendary","Mystic","Mystic (Prime)"},0),2,3,4.5,7,10,12))*Sensitivity!$H$14,IF($D$11="Boss Monster Damage %",(CHOOSE(MATCH($C$11,{"Rare","Epic","Unique","Legendary","Mystic","Mystic (Prime)"},0),4,6,9,14,20,24))*Sensitivity!$H$10,IF($D$11="Normal Monster Damage %",(CHOOSE(MATCH($C$11,{"Rare","Epic","Unique","Legendary","Mystic","Mystic (Prime)"},0),4,6,9,14,20,24))*Sensitivity!$H$11,IF($D$11="Status Effect Damage %",0,IF($D$11="Damage %",(CHOOSE(MATCH($C$11,{"Rare","Epic","Unique","Legendary","Mystic","Mystic (Prime)"},0),4,6,9,14,20,24))*Sensitivity!$H$8,IF($D$11="Defense Penetration %",(CHOOSE(MATCH($C$11,{"Rare","Epic","Unique","Legendary","Mystic","Mystic (Prime)"},0),2,3,4.5,7,10,12))*Sensitivity!$H$18,0)))))))))))),0)</f>
        <v/>
      </c>
      <c r="F11" s="7" t="inlineStr">
        <is>
          <t>Rare</t>
        </is>
      </c>
      <c r="G11" s="7" t="inlineStr">
        <is>
          <t>(none)</t>
        </is>
      </c>
      <c r="H11">
        <f>IF($N$11&gt;=2,IF($G$11="Main Stat %",(CHOOSE(MATCH($F$11,{"Rare","Epic","Unique","Legendary","Mystic","Mystic (Prime)"},0),2,3,4.5,7,10,12))*Sensitivity!$H$6,IF($G$11="Damage Taken Decrease %",0,IF($G$11="Defense %",0,IF($G$11="Accuracy",0,IF($G$11="Critical Rate %",(CHOOSE(MATCH($F$11,{"Rare","Epic","Unique","Legendary","Mystic","Mystic (Prime)"},0),2,3,4.5,7,10,12))*Sensitivity!$H$15,IF($G$11="Min Damage Multiplier %",(CHOOSE(MATCH($F$11,{"Rare","Epic","Unique","Legendary","Mystic","Mystic (Prime)"},0),2,3,4.5,7,10,12))*Sensitivity!$H$13,IF($G$11="Max Damage Multiplier %",(CHOOSE(MATCH($F$11,{"Rare","Epic","Unique","Legendary","Mystic","Mystic (Prime)"},0),2,3,4.5,7,10,12))*Sensitivity!$H$14,IF($G$11="Boss Monster Damage %",(CHOOSE(MATCH($F$11,{"Rare","Epic","Unique","Legendary","Mystic","Mystic (Prime)"},0),4,6,9,14,20,24))*Sensitivity!$H$10,IF($G$11="Normal Monster Damage %",(CHOOSE(MATCH($F$11,{"Rare","Epic","Unique","Legendary","Mystic","Mystic (Prime)"},0),4,6,9,14,20,24))*Sensitivity!$H$11,IF($G$11="Status Effect Damage %",0,IF($G$11="Damage %",(CHOOSE(MATCH($F$11,{"Rare","Epic","Unique","Legendary","Mystic","Mystic (Prime)"},0),4,6,9,14,20,24))*Sensitivity!$H$8,IF($G$11="Defense Penetration %",(CHOOSE(MATCH($F$11,{"Rare","Epic","Unique","Legendary","Mystic","Mystic (Prime)"},0),2,3,4.5,7,10,12))*Sensitivity!$H$18,0)))))))))))),0)</f>
        <v/>
      </c>
      <c r="L11">
        <f>Summary!$B$3*((IF(D11="(none)",1,1+(E11+IF(G11=D11,H11,0)+IF(J11=D11,K11,0))/Summary!$B$3))*(IF(OR(G11="(none)",G11=D11),1,1+(H11+IF(D11=G11,E11,0)+IF(J11=G11,K11,0))/Summary!$B$3))*(IF(OR(J11="",J11="(none)",J11=D11,J11=G11),1,1+(K11+IF(D11=J11,E11,0)+IF(G11=J11,H11,0))/Summary!$B$3))-1)</f>
        <v/>
      </c>
      <c r="M11">
        <f>OR(Inputs!$B$47="Hexagon Necklace",Inputs!$B$48="Hexagon Necklace",Inputs!$B$49="Hexagon Necklace",Inputs!$B$50="Hexagon Necklace")</f>
        <v/>
      </c>
      <c r="N11">
        <f>IF(B11="Not Unlocked",0,B11)</f>
        <v/>
      </c>
    </row>
    <row r="12">
      <c r="A12" s="6" t="inlineStr">
        <is>
          <t>Arwen's Glass Shoes</t>
        </is>
      </c>
      <c r="B12" s="7" t="n">
        <v>3</v>
      </c>
      <c r="C12" s="7" t="inlineStr">
        <is>
          <t>Rare</t>
        </is>
      </c>
      <c r="D12" s="7" t="inlineStr">
        <is>
          <t>(none)</t>
        </is>
      </c>
      <c r="E12">
        <f>IF($N$12&gt;=1,IF($D$12="Main Stat %",(CHOOSE(MATCH($C$12,{"Rare","Epic","Unique","Legendary","Mystic","Mystic (Prime)"},0),2,3,4.5,7,10,12))*Sensitivity!$H$6,IF($D$12="Damage Taken Decrease %",0,IF($D$12="Defense %",0,IF($D$12="Accuracy",0,IF($D$12="Critical Rate %",(CHOOSE(MATCH($C$12,{"Rare","Epic","Unique","Legendary","Mystic","Mystic (Prime)"},0),2,3,4.5,7,10,12))*Sensitivity!$H$15,IF($D$12="Min Damage Multiplier %",(CHOOSE(MATCH($C$12,{"Rare","Epic","Unique","Legendary","Mystic","Mystic (Prime)"},0),2,3,4.5,7,10,12))*Sensitivity!$H$13,IF($D$12="Max Damage Multiplier %",(CHOOSE(MATCH($C$12,{"Rare","Epic","Unique","Legendary","Mystic","Mystic (Prime)"},0),2,3,4.5,7,10,12))*Sensitivity!$H$14,IF($D$12="Boss Monster Damage %",(CHOOSE(MATCH($C$12,{"Rare","Epic","Unique","Legendary","Mystic","Mystic (Prime)"},0),4,6,9,14,20,24))*Sensitivity!$H$10,IF($D$12="Normal Monster Damage %",(CHOOSE(MATCH($C$12,{"Rare","Epic","Unique","Legendary","Mystic","Mystic (Prime)"},0),4,6,9,14,20,24))*Sensitivity!$H$11,IF($D$12="Status Effect Damage %",0,IF($D$12="Damage %",(CHOOSE(MATCH($C$12,{"Rare","Epic","Unique","Legendary","Mystic","Mystic (Prime)"},0),4,6,9,14,20,24))*Sensitivity!$H$8,IF($D$12="Defense Penetration %",(CHOOSE(MATCH($C$12,{"Rare","Epic","Unique","Legendary","Mystic","Mystic (Prime)"},0),2,3,4.5,7,10,12))*Sensitivity!$H$18,0)))))))))))),0)</f>
        <v/>
      </c>
      <c r="F12" s="7" t="inlineStr">
        <is>
          <t>Rare</t>
        </is>
      </c>
      <c r="G12" s="7" t="inlineStr">
        <is>
          <t>(none)</t>
        </is>
      </c>
      <c r="H12">
        <f>IF($N$12&gt;=2,IF($G$12="Main Stat %",(CHOOSE(MATCH($F$12,{"Rare","Epic","Unique","Legendary","Mystic","Mystic (Prime)"},0),2,3,4.5,7,10,12))*Sensitivity!$H$6,IF($G$12="Damage Taken Decrease %",0,IF($G$12="Defense %",0,IF($G$12="Accuracy",0,IF($G$12="Critical Rate %",(CHOOSE(MATCH($F$12,{"Rare","Epic","Unique","Legendary","Mystic","Mystic (Prime)"},0),2,3,4.5,7,10,12))*Sensitivity!$H$15,IF($G$12="Min Damage Multiplier %",(CHOOSE(MATCH($F$12,{"Rare","Epic","Unique","Legendary","Mystic","Mystic (Prime)"},0),2,3,4.5,7,10,12))*Sensitivity!$H$13,IF($G$12="Max Damage Multiplier %",(CHOOSE(MATCH($F$12,{"Rare","Epic","Unique","Legendary","Mystic","Mystic (Prime)"},0),2,3,4.5,7,10,12))*Sensitivity!$H$14,IF($G$12="Boss Monster Damage %",(CHOOSE(MATCH($F$12,{"Rare","Epic","Unique","Legendary","Mystic","Mystic (Prime)"},0),4,6,9,14,20,24))*Sensitivity!$H$10,IF($G$12="Normal Monster Damage %",(CHOOSE(MATCH($F$12,{"Rare","Epic","Unique","Legendary","Mystic","Mystic (Prime)"},0),4,6,9,14,20,24))*Sensitivity!$H$11,IF($G$12="Status Effect Damage %",0,IF($G$12="Damage %",(CHOOSE(MATCH($F$12,{"Rare","Epic","Unique","Legendary","Mystic","Mystic (Prime)"},0),4,6,9,14,20,24))*Sensitivity!$H$8,IF($G$12="Defense Penetration %",(CHOOSE(MATCH($F$12,{"Rare","Epic","Unique","Legendary","Mystic","Mystic (Prime)"},0),2,3,4.5,7,10,12))*Sensitivity!$H$18,0)))))))))))),0)</f>
        <v/>
      </c>
      <c r="L12">
        <f>Summary!$B$3*((IF(D12="(none)",1,1+(E12+IF(G12=D12,H12,0)+IF(J12=D12,K12,0))/Summary!$B$3))*(IF(OR(G12="(none)",G12=D12),1,1+(H12+IF(D12=G12,E12,0)+IF(J12=G12,K12,0))/Summary!$B$3))*(IF(OR(J12="",J12="(none)",J12=D12,J12=G12),1,1+(K12+IF(D12=J12,E12,0)+IF(G12=J12,H12,0))/Summary!$B$3))-1)</f>
        <v/>
      </c>
      <c r="M12">
        <f>OR(Inputs!$B$47="Arwen's Glass Shoes",Inputs!$B$48="Arwen's Glass Shoes",Inputs!$B$49="Arwen's Glass Shoes",Inputs!$B$50="Arwen's Glass Shoes")</f>
        <v/>
      </c>
      <c r="N12">
        <f>IF(B12="Not Unlocked",0,B12)</f>
        <v/>
      </c>
    </row>
    <row r="13">
      <c r="A13" s="6" t="inlineStr">
        <is>
          <t>Mushmom's Cap</t>
        </is>
      </c>
      <c r="B13" s="7" t="n">
        <v>3</v>
      </c>
      <c r="C13" s="7" t="inlineStr">
        <is>
          <t>Rare</t>
        </is>
      </c>
      <c r="D13" s="7" t="inlineStr">
        <is>
          <t>(none)</t>
        </is>
      </c>
      <c r="E13">
        <f>IF($N$13&gt;=1,IF($D$13="Main Stat %",(CHOOSE(MATCH($C$13,{"Rare","Epic","Unique","Legendary","Mystic","Mystic (Prime)"},0),2,3,4.5,7,10,12))*Sensitivity!$H$6,IF($D$13="Damage Taken Decrease %",0,IF($D$13="Defense %",0,IF($D$13="Accuracy",0,IF($D$13="Critical Rate %",(CHOOSE(MATCH($C$13,{"Rare","Epic","Unique","Legendary","Mystic","Mystic (Prime)"},0),2,3,4.5,7,10,12))*Sensitivity!$H$15,IF($D$13="Min Damage Multiplier %",(CHOOSE(MATCH($C$13,{"Rare","Epic","Unique","Legendary","Mystic","Mystic (Prime)"},0),2,3,4.5,7,10,12))*Sensitivity!$H$13,IF($D$13="Max Damage Multiplier %",(CHOOSE(MATCH($C$13,{"Rare","Epic","Unique","Legendary","Mystic","Mystic (Prime)"},0),2,3,4.5,7,10,12))*Sensitivity!$H$14,IF($D$13="Boss Monster Damage %",(CHOOSE(MATCH($C$13,{"Rare","Epic","Unique","Legendary","Mystic","Mystic (Prime)"},0),4,6,9,14,20,24))*Sensitivity!$H$10,IF($D$13="Normal Monster Damage %",(CHOOSE(MATCH($C$13,{"Rare","Epic","Unique","Legendary","Mystic","Mystic (Prime)"},0),4,6,9,14,20,24))*Sensitivity!$H$11,IF($D$13="Status Effect Damage %",0,IF($D$13="Damage %",(CHOOSE(MATCH($C$13,{"Rare","Epic","Unique","Legendary","Mystic","Mystic (Prime)"},0),4,6,9,14,20,24))*Sensitivity!$H$8,IF($D$13="Defense Penetration %",(CHOOSE(MATCH($C$13,{"Rare","Epic","Unique","Legendary","Mystic","Mystic (Prime)"},0),2,3,4.5,7,10,12))*Sensitivity!$H$18,0)))))))))))),0)</f>
        <v/>
      </c>
      <c r="F13" s="7" t="inlineStr">
        <is>
          <t>Rare</t>
        </is>
      </c>
      <c r="G13" s="7" t="inlineStr">
        <is>
          <t>(none)</t>
        </is>
      </c>
      <c r="H13">
        <f>IF($N$13&gt;=2,IF($G$13="Main Stat %",(CHOOSE(MATCH($F$13,{"Rare","Epic","Unique","Legendary","Mystic","Mystic (Prime)"},0),2,3,4.5,7,10,12))*Sensitivity!$H$6,IF($G$13="Damage Taken Decrease %",0,IF($G$13="Defense %",0,IF($G$13="Accuracy",0,IF($G$13="Critical Rate %",(CHOOSE(MATCH($F$13,{"Rare","Epic","Unique","Legendary","Mystic","Mystic (Prime)"},0),2,3,4.5,7,10,12))*Sensitivity!$H$15,IF($G$13="Min Damage Multiplier %",(CHOOSE(MATCH($F$13,{"Rare","Epic","Unique","Legendary","Mystic","Mystic (Prime)"},0),2,3,4.5,7,10,12))*Sensitivity!$H$13,IF($G$13="Max Damage Multiplier %",(CHOOSE(MATCH($F$13,{"Rare","Epic","Unique","Legendary","Mystic","Mystic (Prime)"},0),2,3,4.5,7,10,12))*Sensitivity!$H$14,IF($G$13="Boss Monster Damage %",(CHOOSE(MATCH($F$13,{"Rare","Epic","Unique","Legendary","Mystic","Mystic (Prime)"},0),4,6,9,14,20,24))*Sensitivity!$H$10,IF($G$13="Normal Monster Damage %",(CHOOSE(MATCH($F$13,{"Rare","Epic","Unique","Legendary","Mystic","Mystic (Prime)"},0),4,6,9,14,20,24))*Sensitivity!$H$11,IF($G$13="Status Effect Damage %",0,IF($G$13="Damage %",(CHOOSE(MATCH($F$13,{"Rare","Epic","Unique","Legendary","Mystic","Mystic (Prime)"},0),4,6,9,14,20,24))*Sensitivity!$H$8,IF($G$13="Defense Penetration %",(CHOOSE(MATCH($F$13,{"Rare","Epic","Unique","Legendary","Mystic","Mystic (Prime)"},0),2,3,4.5,7,10,12))*Sensitivity!$H$18,0)))))))))))),0)</f>
        <v/>
      </c>
      <c r="L13">
        <f>Summary!$B$3*((IF(D13="(none)",1,1+(E13+IF(G13=D13,H13,0)+IF(J13=D13,K13,0))/Summary!$B$3))*(IF(OR(G13="(none)",G13=D13),1,1+(H13+IF(D13=G13,E13,0)+IF(J13=G13,K13,0))/Summary!$B$3))*(IF(OR(J13="",J13="(none)",J13=D13,J13=G13),1,1+(K13+IF(D13=J13,E13,0)+IF(G13=J13,H13,0))/Summary!$B$3))-1)</f>
        <v/>
      </c>
      <c r="M13">
        <f>OR(Inputs!$B$47="Mushmom's Cap",Inputs!$B$48="Mushmom's Cap",Inputs!$B$49="Mushmom's Cap",Inputs!$B$50="Mushmom's Cap")</f>
        <v/>
      </c>
      <c r="N13">
        <f>IF(B13="Not Unlocked",0,B13)</f>
        <v/>
      </c>
    </row>
    <row r="14">
      <c r="A14" s="6" t="inlineStr">
        <is>
          <t>Clear Spring Water</t>
        </is>
      </c>
      <c r="B14" s="7" t="n">
        <v>3</v>
      </c>
      <c r="C14" s="7" t="inlineStr">
        <is>
          <t>Rare</t>
        </is>
      </c>
      <c r="D14" s="7" t="inlineStr">
        <is>
          <t>(none)</t>
        </is>
      </c>
      <c r="E14">
        <f>IF($N$14&gt;=1,IF($D$14="Main Stat %",(CHOOSE(MATCH($C$14,{"Rare","Epic","Unique","Legendary","Mystic","Mystic (Prime)"},0),2,3,4.5,7,10,12))*Sensitivity!$H$6,IF($D$14="Damage Taken Decrease %",0,IF($D$14="Defense %",0,IF($D$14="Accuracy",0,IF($D$14="Critical Rate %",(CHOOSE(MATCH($C$14,{"Rare","Epic","Unique","Legendary","Mystic","Mystic (Prime)"},0),2,3,4.5,7,10,12))*Sensitivity!$H$15,IF($D$14="Min Damage Multiplier %",(CHOOSE(MATCH($C$14,{"Rare","Epic","Unique","Legendary","Mystic","Mystic (Prime)"},0),2,3,4.5,7,10,12))*Sensitivity!$H$13,IF($D$14="Max Damage Multiplier %",(CHOOSE(MATCH($C$14,{"Rare","Epic","Unique","Legendary","Mystic","Mystic (Prime)"},0),2,3,4.5,7,10,12))*Sensitivity!$H$14,IF($D$14="Boss Monster Damage %",(CHOOSE(MATCH($C$14,{"Rare","Epic","Unique","Legendary","Mystic","Mystic (Prime)"},0),4,6,9,14,20,24))*Sensitivity!$H$10,IF($D$14="Normal Monster Damage %",(CHOOSE(MATCH($C$14,{"Rare","Epic","Unique","Legendary","Mystic","Mystic (Prime)"},0),4,6,9,14,20,24))*Sensitivity!$H$11,IF($D$14="Status Effect Damage %",0,IF($D$14="Damage %",(CHOOSE(MATCH($C$14,{"Rare","Epic","Unique","Legendary","Mystic","Mystic (Prime)"},0),4,6,9,14,20,24))*Sensitivity!$H$8,IF($D$14="Defense Penetration %",(CHOOSE(MATCH($C$14,{"Rare","Epic","Unique","Legendary","Mystic","Mystic (Prime)"},0),2,3,4.5,7,10,12))*Sensitivity!$H$18,0)))))))))))),0)</f>
        <v/>
      </c>
      <c r="F14" s="7" t="inlineStr">
        <is>
          <t>Rare</t>
        </is>
      </c>
      <c r="G14" s="7" t="inlineStr">
        <is>
          <t>(none)</t>
        </is>
      </c>
      <c r="H14">
        <f>IF($N$14&gt;=2,IF($G$14="Main Stat %",(CHOOSE(MATCH($F$14,{"Rare","Epic","Unique","Legendary","Mystic","Mystic (Prime)"},0),2,3,4.5,7,10,12))*Sensitivity!$H$6,IF($G$14="Damage Taken Decrease %",0,IF($G$14="Defense %",0,IF($G$14="Accuracy",0,IF($G$14="Critical Rate %",(CHOOSE(MATCH($F$14,{"Rare","Epic","Unique","Legendary","Mystic","Mystic (Prime)"},0),2,3,4.5,7,10,12))*Sensitivity!$H$15,IF($G$14="Min Damage Multiplier %",(CHOOSE(MATCH($F$14,{"Rare","Epic","Unique","Legendary","Mystic","Mystic (Prime)"},0),2,3,4.5,7,10,12))*Sensitivity!$H$13,IF($G$14="Max Damage Multiplier %",(CHOOSE(MATCH($F$14,{"Rare","Epic","Unique","Legendary","Mystic","Mystic (Prime)"},0),2,3,4.5,7,10,12))*Sensitivity!$H$14,IF($G$14="Boss Monster Damage %",(CHOOSE(MATCH($F$14,{"Rare","Epic","Unique","Legendary","Mystic","Mystic (Prime)"},0),4,6,9,14,20,24))*Sensitivity!$H$10,IF($G$14="Normal Monster Damage %",(CHOOSE(MATCH($F$14,{"Rare","Epic","Unique","Legendary","Mystic","Mystic (Prime)"},0),4,6,9,14,20,24))*Sensitivity!$H$11,IF($G$14="Status Effect Damage %",0,IF($G$14="Damage %",(CHOOSE(MATCH($F$14,{"Rare","Epic","Unique","Legendary","Mystic","Mystic (Prime)"},0),4,6,9,14,20,24))*Sensitivity!$H$8,IF($G$14="Defense Penetration %",(CHOOSE(MATCH($F$14,{"Rare","Epic","Unique","Legendary","Mystic","Mystic (Prime)"},0),2,3,4.5,7,10,12))*Sensitivity!$H$18,0)))))))))))),0)</f>
        <v/>
      </c>
      <c r="L14">
        <f>Summary!$B$3*((IF(D14="(none)",1,1+(E14+IF(G14=D14,H14,0)+IF(J14=D14,K14,0))/Summary!$B$3))*(IF(OR(G14="(none)",G14=D14),1,1+(H14+IF(D14=G14,E14,0)+IF(J14=G14,K14,0))/Summary!$B$3))*(IF(OR(J14="",J14="(none)",J14=D14,J14=G14),1,1+(K14+IF(D14=J14,E14,0)+IF(G14=J14,H14,0))/Summary!$B$3))-1)</f>
        <v/>
      </c>
      <c r="M14">
        <f>OR(Inputs!$B$47="Clear Spring Water",Inputs!$B$48="Clear Spring Water",Inputs!$B$49="Clear Spring Water",Inputs!$B$50="Clear Spring Water")</f>
        <v/>
      </c>
      <c r="N14">
        <f>IF(B14="Not Unlocked",0,B14)</f>
        <v/>
      </c>
    </row>
    <row r="15">
      <c r="A15" s="6" t="inlineStr">
        <is>
          <t>Athena Pierce's Old Gloves</t>
        </is>
      </c>
      <c r="B15" s="7" t="n">
        <v>3</v>
      </c>
      <c r="C15" s="7" t="inlineStr">
        <is>
          <t>Rare</t>
        </is>
      </c>
      <c r="D15" s="7" t="inlineStr">
        <is>
          <t>(none)</t>
        </is>
      </c>
      <c r="E15">
        <f>IF($N$15&gt;=1,IF($D$15="Main Stat %",(CHOOSE(MATCH($C$15,{"Rare","Epic","Unique","Legendary","Mystic","Mystic (Prime)"},0),2,3,4.5,7,10,12))*Sensitivity!$H$6,IF($D$15="Damage Taken Decrease %",0,IF($D$15="Defense %",0,IF($D$15="Accuracy",0,IF($D$15="Critical Rate %",(CHOOSE(MATCH($C$15,{"Rare","Epic","Unique","Legendary","Mystic","Mystic (Prime)"},0),2,3,4.5,7,10,12))*Sensitivity!$H$15,IF($D$15="Min Damage Multiplier %",(CHOOSE(MATCH($C$15,{"Rare","Epic","Unique","Legendary","Mystic","Mystic (Prime)"},0),2,3,4.5,7,10,12))*Sensitivity!$H$13,IF($D$15="Max Damage Multiplier %",(CHOOSE(MATCH($C$15,{"Rare","Epic","Unique","Legendary","Mystic","Mystic (Prime)"},0),2,3,4.5,7,10,12))*Sensitivity!$H$14,IF($D$15="Boss Monster Damage %",(CHOOSE(MATCH($C$15,{"Rare","Epic","Unique","Legendary","Mystic","Mystic (Prime)"},0),4,6,9,14,20,24))*Sensitivity!$H$10,IF($D$15="Normal Monster Damage %",(CHOOSE(MATCH($C$15,{"Rare","Epic","Unique","Legendary","Mystic","Mystic (Prime)"},0),4,6,9,14,20,24))*Sensitivity!$H$11,IF($D$15="Status Effect Damage %",0,IF($D$15="Damage %",(CHOOSE(MATCH($C$15,{"Rare","Epic","Unique","Legendary","Mystic","Mystic (Prime)"},0),4,6,9,14,20,24))*Sensitivity!$H$8,IF($D$15="Defense Penetration %",(CHOOSE(MATCH($C$15,{"Rare","Epic","Unique","Legendary","Mystic","Mystic (Prime)"},0),2,3,4.5,7,10,12))*Sensitivity!$H$18,0)))))))))))),0)</f>
        <v/>
      </c>
      <c r="F15" s="7" t="inlineStr">
        <is>
          <t>Rare</t>
        </is>
      </c>
      <c r="G15" s="7" t="inlineStr">
        <is>
          <t>(none)</t>
        </is>
      </c>
      <c r="H15">
        <f>IF($N$15&gt;=2,IF($G$15="Main Stat %",(CHOOSE(MATCH($F$15,{"Rare","Epic","Unique","Legendary","Mystic","Mystic (Prime)"},0),2,3,4.5,7,10,12))*Sensitivity!$H$6,IF($G$15="Damage Taken Decrease %",0,IF($G$15="Defense %",0,IF($G$15="Accuracy",0,IF($G$15="Critical Rate %",(CHOOSE(MATCH($F$15,{"Rare","Epic","Unique","Legendary","Mystic","Mystic (Prime)"},0),2,3,4.5,7,10,12))*Sensitivity!$H$15,IF($G$15="Min Damage Multiplier %",(CHOOSE(MATCH($F$15,{"Rare","Epic","Unique","Legendary","Mystic","Mystic (Prime)"},0),2,3,4.5,7,10,12))*Sensitivity!$H$13,IF($G$15="Max Damage Multiplier %",(CHOOSE(MATCH($F$15,{"Rare","Epic","Unique","Legendary","Mystic","Mystic (Prime)"},0),2,3,4.5,7,10,12))*Sensitivity!$H$14,IF($G$15="Boss Monster Damage %",(CHOOSE(MATCH($F$15,{"Rare","Epic","Unique","Legendary","Mystic","Mystic (Prime)"},0),4,6,9,14,20,24))*Sensitivity!$H$10,IF($G$15="Normal Monster Damage %",(CHOOSE(MATCH($F$15,{"Rare","Epic","Unique","Legendary","Mystic","Mystic (Prime)"},0),4,6,9,14,20,24))*Sensitivity!$H$11,IF($G$15="Status Effect Damage %",0,IF($G$15="Damage %",(CHOOSE(MATCH($F$15,{"Rare","Epic","Unique","Legendary","Mystic","Mystic (Prime)"},0),4,6,9,14,20,24))*Sensitivity!$H$8,IF($G$15="Defense Penetration %",(CHOOSE(MATCH($F$15,{"Rare","Epic","Unique","Legendary","Mystic","Mystic (Prime)"},0),2,3,4.5,7,10,12))*Sensitivity!$H$18,0)))))))))))),0)</f>
        <v/>
      </c>
      <c r="L15">
        <f>Summary!$B$3*((IF(D15="(none)",1,1+(E15+IF(G15=D15,H15,0)+IF(J15=D15,K15,0))/Summary!$B$3))*(IF(OR(G15="(none)",G15=D15),1,1+(H15+IF(D15=G15,E15,0)+IF(J15=G15,K15,0))/Summary!$B$3))*(IF(OR(J15="",J15="(none)",J15=D15,J15=G15),1,1+(K15+IF(D15=J15,E15,0)+IF(G15=J15,H15,0))/Summary!$B$3))-1)</f>
        <v/>
      </c>
      <c r="M15">
        <f>OR(Inputs!$B$47="Athena Pierce's Old Gloves",Inputs!$B$48="Athena Pierce's Old Gloves",Inputs!$B$49="Athena Pierce's Old Gloves",Inputs!$B$50="Athena Pierce's Old Gloves")</f>
        <v/>
      </c>
      <c r="N15">
        <f>IF(B15="Not Unlocked",0,B15)</f>
        <v/>
      </c>
    </row>
    <row r="16">
      <c r="A16" s="6" t="inlineStr">
        <is>
          <t>Zakum's Stone Piece</t>
        </is>
      </c>
      <c r="B16" s="7" t="n">
        <v>3</v>
      </c>
      <c r="C16" s="7" t="inlineStr">
        <is>
          <t>Rare</t>
        </is>
      </c>
      <c r="D16" s="7" t="inlineStr">
        <is>
          <t>(none)</t>
        </is>
      </c>
      <c r="E16">
        <f>IF($N$16&gt;=1,IF($D$16="Main Stat %",(CHOOSE(MATCH($C$16,{"Rare","Epic","Unique","Legendary","Mystic","Mystic (Prime)"},0),2,3,4.5,7,10,12))*Sensitivity!$H$6,IF($D$16="Damage Taken Decrease %",0,IF($D$16="Defense %",0,IF($D$16="Accuracy",0,IF($D$16="Critical Rate %",(CHOOSE(MATCH($C$16,{"Rare","Epic","Unique","Legendary","Mystic","Mystic (Prime)"},0),2,3,4.5,7,10,12))*Sensitivity!$H$15,IF($D$16="Min Damage Multiplier %",(CHOOSE(MATCH($C$16,{"Rare","Epic","Unique","Legendary","Mystic","Mystic (Prime)"},0),2,3,4.5,7,10,12))*Sensitivity!$H$13,IF($D$16="Max Damage Multiplier %",(CHOOSE(MATCH($C$16,{"Rare","Epic","Unique","Legendary","Mystic","Mystic (Prime)"},0),2,3,4.5,7,10,12))*Sensitivity!$H$14,IF($D$16="Boss Monster Damage %",(CHOOSE(MATCH($C$16,{"Rare","Epic","Unique","Legendary","Mystic","Mystic (Prime)"},0),4,6,9,14,20,24))*Sensitivity!$H$10,IF($D$16="Normal Monster Damage %",(CHOOSE(MATCH($C$16,{"Rare","Epic","Unique","Legendary","Mystic","Mystic (Prime)"},0),4,6,9,14,20,24))*Sensitivity!$H$11,IF($D$16="Status Effect Damage %",0,IF($D$16="Damage %",(CHOOSE(MATCH($C$16,{"Rare","Epic","Unique","Legendary","Mystic","Mystic (Prime)"},0),4,6,9,14,20,24))*Sensitivity!$H$8,IF($D$16="Defense Penetration %",(CHOOSE(MATCH($C$16,{"Rare","Epic","Unique","Legendary","Mystic","Mystic (Prime)"},0),2,3,4.5,7,10,12))*Sensitivity!$H$18,0)))))))))))),0)</f>
        <v/>
      </c>
      <c r="F16" s="7" t="inlineStr">
        <is>
          <t>Rare</t>
        </is>
      </c>
      <c r="G16" s="7" t="inlineStr">
        <is>
          <t>(none)</t>
        </is>
      </c>
      <c r="H16">
        <f>IF($N$16&gt;=2,IF($G$16="Main Stat %",(CHOOSE(MATCH($F$16,{"Rare","Epic","Unique","Legendary","Mystic","Mystic (Prime)"},0),2,3,4.5,7,10,12))*Sensitivity!$H$6,IF($G$16="Damage Taken Decrease %",0,IF($G$16="Defense %",0,IF($G$16="Accuracy",0,IF($G$16="Critical Rate %",(CHOOSE(MATCH($F$16,{"Rare","Epic","Unique","Legendary","Mystic","Mystic (Prime)"},0),2,3,4.5,7,10,12))*Sensitivity!$H$15,IF($G$16="Min Damage Multiplier %",(CHOOSE(MATCH($F$16,{"Rare","Epic","Unique","Legendary","Mystic","Mystic (Prime)"},0),2,3,4.5,7,10,12))*Sensitivity!$H$13,IF($G$16="Max Damage Multiplier %",(CHOOSE(MATCH($F$16,{"Rare","Epic","Unique","Legendary","Mystic","Mystic (Prime)"},0),2,3,4.5,7,10,12))*Sensitivity!$H$14,IF($G$16="Boss Monster Damage %",(CHOOSE(MATCH($F$16,{"Rare","Epic","Unique","Legendary","Mystic","Mystic (Prime)"},0),4,6,9,14,20,24))*Sensitivity!$H$10,IF($G$16="Normal Monster Damage %",(CHOOSE(MATCH($F$16,{"Rare","Epic","Unique","Legendary","Mystic","Mystic (Prime)"},0),4,6,9,14,20,24))*Sensitivity!$H$11,IF($G$16="Status Effect Damage %",0,IF($G$16="Damage %",(CHOOSE(MATCH($F$16,{"Rare","Epic","Unique","Legendary","Mystic","Mystic (Prime)"},0),4,6,9,14,20,24))*Sensitivity!$H$8,IF($G$16="Defense Penetration %",(CHOOSE(MATCH($F$16,{"Rare","Epic","Unique","Legendary","Mystic","Mystic (Prime)"},0),2,3,4.5,7,10,12))*Sensitivity!$H$18,0)))))))))))),0)</f>
        <v/>
      </c>
      <c r="L16">
        <f>Summary!$B$3*((IF(D16="(none)",1,1+(E16+IF(G16=D16,H16,0)+IF(J16=D16,K16,0))/Summary!$B$3))*(IF(OR(G16="(none)",G16=D16),1,1+(H16+IF(D16=G16,E16,0)+IF(J16=G16,K16,0))/Summary!$B$3))*(IF(OR(J16="",J16="(none)",J16=D16,J16=G16),1,1+(K16+IF(D16=J16,E16,0)+IF(G16=J16,H16,0))/Summary!$B$3))-1)</f>
        <v/>
      </c>
      <c r="M16">
        <f>OR(Inputs!$B$47="Zakum's Stone Piece",Inputs!$B$48="Zakum's Stone Piece",Inputs!$B$49="Zakum's Stone Piece",Inputs!$B$50="Zakum's Stone Piece")</f>
        <v/>
      </c>
      <c r="N16">
        <f>IF(B16="Not Unlocked",0,B16)</f>
        <v/>
      </c>
    </row>
    <row r="17">
      <c r="A17" s="6" t="inlineStr">
        <is>
          <t>Horntail's Scale</t>
        </is>
      </c>
      <c r="B17" s="7" t="n">
        <v>3</v>
      </c>
      <c r="C17" s="7" t="inlineStr">
        <is>
          <t>Rare</t>
        </is>
      </c>
      <c r="D17" s="7" t="inlineStr">
        <is>
          <t>(none)</t>
        </is>
      </c>
      <c r="E17">
        <f>IF($N$17&gt;=1,IF($D$17="Main Stat %",(CHOOSE(MATCH($C$17,{"Rare","Epic","Unique","Legendary","Mystic","Mystic (Prime)"},0),2,3,4.5,7,10,12))*Sensitivity!$H$6,IF($D$17="Damage Taken Decrease %",0,IF($D$17="Defense %",0,IF($D$17="Accuracy",0,IF($D$17="Critical Rate %",(CHOOSE(MATCH($C$17,{"Rare","Epic","Unique","Legendary","Mystic","Mystic (Prime)"},0),2,3,4.5,7,10,12))*Sensitivity!$H$15,IF($D$17="Min Damage Multiplier %",(CHOOSE(MATCH($C$17,{"Rare","Epic","Unique","Legendary","Mystic","Mystic (Prime)"},0),2,3,4.5,7,10,12))*Sensitivity!$H$13,IF($D$17="Max Damage Multiplier %",(CHOOSE(MATCH($C$17,{"Rare","Epic","Unique","Legendary","Mystic","Mystic (Prime)"},0),2,3,4.5,7,10,12))*Sensitivity!$H$14,IF($D$17="Boss Monster Damage %",(CHOOSE(MATCH($C$17,{"Rare","Epic","Unique","Legendary","Mystic","Mystic (Prime)"},0),4,6,9,14,20,24))*Sensitivity!$H$10,IF($D$17="Normal Monster Damage %",(CHOOSE(MATCH($C$17,{"Rare","Epic","Unique","Legendary","Mystic","Mystic (Prime)"},0),4,6,9,14,20,24))*Sensitivity!$H$11,IF($D$17="Status Effect Damage %",0,IF($D$17="Damage %",(CHOOSE(MATCH($C$17,{"Rare","Epic","Unique","Legendary","Mystic","Mystic (Prime)"},0),4,6,9,14,20,24))*Sensitivity!$H$8,IF($D$17="Defense Penetration %",(CHOOSE(MATCH($C$17,{"Rare","Epic","Unique","Legendary","Mystic","Mystic (Prime)"},0),2,3,4.5,7,10,12))*Sensitivity!$H$18,0)))))))))))),0)</f>
        <v/>
      </c>
      <c r="F17" s="7" t="inlineStr">
        <is>
          <t>Rare</t>
        </is>
      </c>
      <c r="G17" s="7" t="inlineStr">
        <is>
          <t>(none)</t>
        </is>
      </c>
      <c r="H17">
        <f>IF($N$17&gt;=2,IF($G$17="Main Stat %",(CHOOSE(MATCH($F$17,{"Rare","Epic","Unique","Legendary","Mystic","Mystic (Prime)"},0),2,3,4.5,7,10,12))*Sensitivity!$H$6,IF($G$17="Damage Taken Decrease %",0,IF($G$17="Defense %",0,IF($G$17="Accuracy",0,IF($G$17="Critical Rate %",(CHOOSE(MATCH($F$17,{"Rare","Epic","Unique","Legendary","Mystic","Mystic (Prime)"},0),2,3,4.5,7,10,12))*Sensitivity!$H$15,IF($G$17="Min Damage Multiplier %",(CHOOSE(MATCH($F$17,{"Rare","Epic","Unique","Legendary","Mystic","Mystic (Prime)"},0),2,3,4.5,7,10,12))*Sensitivity!$H$13,IF($G$17="Max Damage Multiplier %",(CHOOSE(MATCH($F$17,{"Rare","Epic","Unique","Legendary","Mystic","Mystic (Prime)"},0),2,3,4.5,7,10,12))*Sensitivity!$H$14,IF($G$17="Boss Monster Damage %",(CHOOSE(MATCH($F$17,{"Rare","Epic","Unique","Legendary","Mystic","Mystic (Prime)"},0),4,6,9,14,20,24))*Sensitivity!$H$10,IF($G$17="Normal Monster Damage %",(CHOOSE(MATCH($F$17,{"Rare","Epic","Unique","Legendary","Mystic","Mystic (Prime)"},0),4,6,9,14,20,24))*Sensitivity!$H$11,IF($G$17="Status Effect Damage %",0,IF($G$17="Damage %",(CHOOSE(MATCH($F$17,{"Rare","Epic","Unique","Legendary","Mystic","Mystic (Prime)"},0),4,6,9,14,20,24))*Sensitivity!$H$8,IF($G$17="Defense Penetration %",(CHOOSE(MATCH($F$17,{"Rare","Epic","Unique","Legendary","Mystic","Mystic (Prime)"},0),2,3,4.5,7,10,12))*Sensitivity!$H$18,0)))))))))))),0)</f>
        <v/>
      </c>
      <c r="L17">
        <f>Summary!$B$3*((IF(D17="(none)",1,1+(E17+IF(G17=D17,H17,0)+IF(J17=D17,K17,0))/Summary!$B$3))*(IF(OR(G17="(none)",G17=D17),1,1+(H17+IF(D17=G17,E17,0)+IF(J17=G17,K17,0))/Summary!$B$3))*(IF(OR(J17="",J17="(none)",J17=D17,J17=G17),1,1+(K17+IF(D17=J17,E17,0)+IF(G17=J17,H17,0))/Summary!$B$3))-1)</f>
        <v/>
      </c>
      <c r="M17">
        <f>OR(Inputs!$B$47="Horntail's Scale",Inputs!$B$48="Horntail's Scale",Inputs!$B$49="Horntail's Scale",Inputs!$B$50="Horntail's Scale")</f>
        <v/>
      </c>
      <c r="N17">
        <f>IF(B17="Not Unlocked",0,B17)</f>
        <v/>
      </c>
    </row>
    <row r="18">
      <c r="A18" s="6" t="inlineStr">
        <is>
          <t>Pink Bean's Giant Rib</t>
        </is>
      </c>
      <c r="B18" s="7" t="n">
        <v>3</v>
      </c>
      <c r="C18" s="7" t="inlineStr">
        <is>
          <t>Rare</t>
        </is>
      </c>
      <c r="D18" s="7" t="inlineStr">
        <is>
          <t>(none)</t>
        </is>
      </c>
      <c r="E18">
        <f>IF($N$18&gt;=1,IF($D$18="Main Stat %",(CHOOSE(MATCH($C$18,{"Rare","Epic","Unique","Legendary","Mystic","Mystic (Prime)"},0),2,3,4.5,7,10,12))*Sensitivity!$H$6,IF($D$18="Damage Taken Decrease %",0,IF($D$18="Defense %",0,IF($D$18="Accuracy",0,IF($D$18="Critical Rate %",(CHOOSE(MATCH($C$18,{"Rare","Epic","Unique","Legendary","Mystic","Mystic (Prime)"},0),2,3,4.5,7,10,12))*Sensitivity!$H$15,IF($D$18="Min Damage Multiplier %",(CHOOSE(MATCH($C$18,{"Rare","Epic","Unique","Legendary","Mystic","Mystic (Prime)"},0),2,3,4.5,7,10,12))*Sensitivity!$H$13,IF($D$18="Max Damage Multiplier %",(CHOOSE(MATCH($C$18,{"Rare","Epic","Unique","Legendary","Mystic","Mystic (Prime)"},0),2,3,4.5,7,10,12))*Sensitivity!$H$14,IF($D$18="Boss Monster Damage %",(CHOOSE(MATCH($C$18,{"Rare","Epic","Unique","Legendary","Mystic","Mystic (Prime)"},0),4,6,9,14,20,24))*Sensitivity!$H$10,IF($D$18="Normal Monster Damage %",(CHOOSE(MATCH($C$18,{"Rare","Epic","Unique","Legendary","Mystic","Mystic (Prime)"},0),4,6,9,14,20,24))*Sensitivity!$H$11,IF($D$18="Status Effect Damage %",0,IF($D$18="Damage %",(CHOOSE(MATCH($C$18,{"Rare","Epic","Unique","Legendary","Mystic","Mystic (Prime)"},0),4,6,9,14,20,24))*Sensitivity!$H$8,IF($D$18="Defense Penetration %",(CHOOSE(MATCH($C$18,{"Rare","Epic","Unique","Legendary","Mystic","Mystic (Prime)"},0),2,3,4.5,7,10,12))*Sensitivity!$H$18,0)))))))))))),0)</f>
        <v/>
      </c>
      <c r="F18" s="7" t="inlineStr">
        <is>
          <t>Rare</t>
        </is>
      </c>
      <c r="G18" s="7" t="inlineStr">
        <is>
          <t>(none)</t>
        </is>
      </c>
      <c r="H18">
        <f>IF($N$18&gt;=2,IF($G$18="Main Stat %",(CHOOSE(MATCH($F$18,{"Rare","Epic","Unique","Legendary","Mystic","Mystic (Prime)"},0),2,3,4.5,7,10,12))*Sensitivity!$H$6,IF($G$18="Damage Taken Decrease %",0,IF($G$18="Defense %",0,IF($G$18="Accuracy",0,IF($G$18="Critical Rate %",(CHOOSE(MATCH($F$18,{"Rare","Epic","Unique","Legendary","Mystic","Mystic (Prime)"},0),2,3,4.5,7,10,12))*Sensitivity!$H$15,IF($G$18="Min Damage Multiplier %",(CHOOSE(MATCH($F$18,{"Rare","Epic","Unique","Legendary","Mystic","Mystic (Prime)"},0),2,3,4.5,7,10,12))*Sensitivity!$H$13,IF($G$18="Max Damage Multiplier %",(CHOOSE(MATCH($F$18,{"Rare","Epic","Unique","Legendary","Mystic","Mystic (Prime)"},0),2,3,4.5,7,10,12))*Sensitivity!$H$14,IF($G$18="Boss Monster Damage %",(CHOOSE(MATCH($F$18,{"Rare","Epic","Unique","Legendary","Mystic","Mystic (Prime)"},0),4,6,9,14,20,24))*Sensitivity!$H$10,IF($G$18="Normal Monster Damage %",(CHOOSE(MATCH($F$18,{"Rare","Epic","Unique","Legendary","Mystic","Mystic (Prime)"},0),4,6,9,14,20,24))*Sensitivity!$H$11,IF($G$18="Status Effect Damage %",0,IF($G$18="Damage %",(CHOOSE(MATCH($F$18,{"Rare","Epic","Unique","Legendary","Mystic","Mystic (Prime)"},0),4,6,9,14,20,24))*Sensitivity!$H$8,IF($G$18="Defense Penetration %",(CHOOSE(MATCH($F$18,{"Rare","Epic","Unique","Legendary","Mystic","Mystic (Prime)"},0),2,3,4.5,7,10,12))*Sensitivity!$H$18,0)))))))))))),0)</f>
        <v/>
      </c>
      <c r="L18">
        <f>Summary!$B$3*((IF(D18="(none)",1,1+(E18+IF(G18=D18,H18,0)+IF(J18=D18,K18,0))/Summary!$B$3))*(IF(OR(G18="(none)",G18=D18),1,1+(H18+IF(D18=G18,E18,0)+IF(J18=G18,K18,0))/Summary!$B$3))*(IF(OR(J18="",J18="(none)",J18=D18,J18=G18),1,1+(K18+IF(D18=J18,E18,0)+IF(G18=J18,H18,0))/Summary!$B$3))-1)</f>
        <v/>
      </c>
      <c r="M18">
        <f>OR(Inputs!$B$47="Pink Bean's Giant Rib",Inputs!$B$48="Pink Bean's Giant Rib",Inputs!$B$49="Pink Bean's Giant Rib",Inputs!$B$50="Pink Bean's Giant Rib")</f>
        <v/>
      </c>
      <c r="N18">
        <f>IF(B18="Not Unlocked",0,B18)</f>
        <v/>
      </c>
    </row>
    <row r="20">
      <c r="A20" s="6" t="inlineStr">
        <is>
          <t>Chalice</t>
        </is>
      </c>
      <c r="B20" s="7" t="inlineStr">
        <is>
          <t>Not Unlocked</t>
        </is>
      </c>
      <c r="C20" s="7" t="inlineStr">
        <is>
          <t>Rare</t>
        </is>
      </c>
      <c r="D20" s="7" t="inlineStr">
        <is>
          <t>(none)</t>
        </is>
      </c>
      <c r="E20">
        <f>IF($N$20&gt;=1,IF($D$20="Main Stat %",(CHOOSE(MATCH($C$20,{"Rare","Epic","Unique","Legendary","Mystic","Mystic (Prime)"},0),2,3,4.5,7,10,12))*Sensitivity!$H$6,IF($D$20="Damage Taken Decrease %",0,IF($D$20="Defense %",0,IF($D$20="Accuracy",0,IF($D$20="Critical Rate %",(CHOOSE(MATCH($C$20,{"Rare","Epic","Unique","Legendary","Mystic","Mystic (Prime)"},0),2,3,4.5,7,10,12))*Sensitivity!$H$15,IF($D$20="Min Damage Multiplier %",(CHOOSE(MATCH($C$20,{"Rare","Epic","Unique","Legendary","Mystic","Mystic (Prime)"},0),2,3,4.5,7,10,12))*Sensitivity!$H$13,IF($D$20="Max Damage Multiplier %",(CHOOSE(MATCH($C$20,{"Rare","Epic","Unique","Legendary","Mystic","Mystic (Prime)"},0),2,3,4.5,7,10,12))*Sensitivity!$H$14,IF($D$20="Boss Monster Damage %",(CHOOSE(MATCH($C$20,{"Rare","Epic","Unique","Legendary","Mystic","Mystic (Prime)"},0),4,6,9,14,20,24))*Sensitivity!$H$10,IF($D$20="Normal Monster Damage %",(CHOOSE(MATCH($C$20,{"Rare","Epic","Unique","Legendary","Mystic","Mystic (Prime)"},0),4,6,9,14,20,24))*Sensitivity!$H$11,IF($D$20="Status Effect Damage %",0,IF($D$20="Damage %",(CHOOSE(MATCH($C$20,{"Rare","Epic","Unique","Legendary","Mystic","Mystic (Prime)"},0),4,6,9,14,20,24))*Sensitivity!$H$8,IF($D$20="Defense Penetration %",(CHOOSE(MATCH($C$20,{"Rare","Epic","Unique","Legendary","Mystic","Mystic (Prime)"},0),2,3,4.5,7,10,12))*Sensitivity!$H$18,0)))))))))))),0)</f>
        <v/>
      </c>
      <c r="F20" s="7" t="inlineStr">
        <is>
          <t>Rare</t>
        </is>
      </c>
      <c r="G20" s="7" t="inlineStr">
        <is>
          <t>(none)</t>
        </is>
      </c>
      <c r="H20">
        <f>IF($N$20&gt;=2,IF($G$20="Main Stat %",(CHOOSE(MATCH($F$20,{"Rare","Epic","Unique","Legendary","Mystic","Mystic (Prime)"},0),2,3,4.5,7,10,12))*Sensitivity!$H$6,IF($G$20="Damage Taken Decrease %",0,IF($G$20="Defense %",0,IF($G$20="Accuracy",0,IF($G$20="Critical Rate %",(CHOOSE(MATCH($F$20,{"Rare","Epic","Unique","Legendary","Mystic","Mystic (Prime)"},0),2,3,4.5,7,10,12))*Sensitivity!$H$15,IF($G$20="Min Damage Multiplier %",(CHOOSE(MATCH($F$20,{"Rare","Epic","Unique","Legendary","Mystic","Mystic (Prime)"},0),2,3,4.5,7,10,12))*Sensitivity!$H$13,IF($G$20="Max Damage Multiplier %",(CHOOSE(MATCH($F$20,{"Rare","Epic","Unique","Legendary","Mystic","Mystic (Prime)"},0),2,3,4.5,7,10,12))*Sensitivity!$H$14,IF($G$20="Boss Monster Damage %",(CHOOSE(MATCH($F$20,{"Rare","Epic","Unique","Legendary","Mystic","Mystic (Prime)"},0),4,6,9,14,20,24))*Sensitivity!$H$10,IF($G$20="Normal Monster Damage %",(CHOOSE(MATCH($F$20,{"Rare","Epic","Unique","Legendary","Mystic","Mystic (Prime)"},0),4,6,9,14,20,24))*Sensitivity!$H$11,IF($G$20="Status Effect Damage %",0,IF($G$20="Damage %",(CHOOSE(MATCH($F$20,{"Rare","Epic","Unique","Legendary","Mystic","Mystic (Prime)"},0),4,6,9,14,20,24))*Sensitivity!$H$8,IF($G$20="Defense Penetration %",(CHOOSE(MATCH($F$20,{"Rare","Epic","Unique","Legendary","Mystic","Mystic (Prime)"},0),2,3,4.5,7,10,12))*Sensitivity!$H$18,0)))))))))))),0)</f>
        <v/>
      </c>
      <c r="I20" s="7" t="inlineStr">
        <is>
          <t>Rare</t>
        </is>
      </c>
      <c r="J20" s="7" t="inlineStr">
        <is>
          <t>(none)</t>
        </is>
      </c>
      <c r="K20">
        <f>IF($N$20&gt;=5,IF($J$20="Main Stat %",(CHOOSE(MATCH($I$20,{"Rare","Epic","Unique","Legendary","Mystic","Mystic (Prime)"},0),2,3,4.5,7,10,12))*Sensitivity!$H$6,IF($J$20="Damage Taken Decrease %",0,IF($J$20="Defense %",0,IF($J$20="Accuracy",0,IF($J$20="Critical Rate %",(CHOOSE(MATCH($I$20,{"Rare","Epic","Unique","Legendary","Mystic","Mystic (Prime)"},0),2,3,4.5,7,10,12))*Sensitivity!$H$15,IF($J$20="Min Damage Multiplier %",(CHOOSE(MATCH($I$20,{"Rare","Epic","Unique","Legendary","Mystic","Mystic (Prime)"},0),2,3,4.5,7,10,12))*Sensitivity!$H$13,IF($J$20="Max Damage Multiplier %",(CHOOSE(MATCH($I$20,{"Rare","Epic","Unique","Legendary","Mystic","Mystic (Prime)"},0),2,3,4.5,7,10,12))*Sensitivity!$H$14,IF($J$20="Boss Monster Damage %",(CHOOSE(MATCH($I$20,{"Rare","Epic","Unique","Legendary","Mystic","Mystic (Prime)"},0),4,6,9,14,20,24))*Sensitivity!$H$10,IF($J$20="Normal Monster Damage %",(CHOOSE(MATCH($I$20,{"Rare","Epic","Unique","Legendary","Mystic","Mystic (Prime)"},0),4,6,9,14,20,24))*Sensitivity!$H$11,IF($J$20="Status Effect Damage %",0,IF($J$20="Damage %",(CHOOSE(MATCH($I$20,{"Rare","Epic","Unique","Legendary","Mystic","Mystic (Prime)"},0),4,6,9,14,20,24))*Sensitivity!$H$8,IF($J$20="Defense Penetration %",(CHOOSE(MATCH($I$20,{"Rare","Epic","Unique","Legendary","Mystic","Mystic (Prime)"},0),2,3,4.5,7,10,12))*Sensitivity!$H$18,0)))))))))))),0)</f>
        <v/>
      </c>
      <c r="L20">
        <f>Summary!$B$3*((IF(D20="(none)",1,1+(E20+IF(G20=D20,H20,0)+IF(J20=D20,K20,0))/Summary!$B$3))*(IF(OR(G20="(none)",G20=D20),1,1+(H20+IF(D20=G20,E20,0)+IF(J20=G20,K20,0))/Summary!$B$3))*(IF(OR(J20="",J20="(none)",J20=D20,J20=G20),1,1+(K20+IF(D20=J20,E20,0)+IF(G20=J20,H20,0))/Summary!$B$3))-1)</f>
        <v/>
      </c>
      <c r="M20">
        <f>OR(Inputs!$B$47="Chalice",Inputs!$B$48="Chalice",Inputs!$B$49="Chalice",Inputs!$B$50="Chalice")</f>
        <v/>
      </c>
      <c r="N20">
        <f>IF(B20="Not Unlocked",0,B20)</f>
        <v/>
      </c>
    </row>
    <row r="21">
      <c r="A21" s="6" t="inlineStr">
        <is>
          <t>Old Music Box</t>
        </is>
      </c>
      <c r="B21" s="7" t="inlineStr">
        <is>
          <t>Not Unlocked</t>
        </is>
      </c>
      <c r="C21" s="7" t="inlineStr">
        <is>
          <t>Rare</t>
        </is>
      </c>
      <c r="D21" s="7" t="inlineStr">
        <is>
          <t>(none)</t>
        </is>
      </c>
      <c r="E21">
        <f>IF($N$21&gt;=1,IF($D$21="Main Stat %",(CHOOSE(MATCH($C$21,{"Rare","Epic","Unique","Legendary","Mystic","Mystic (Prime)"},0),2,3,4.5,7,10,12))*Sensitivity!$H$6,IF($D$21="Damage Taken Decrease %",0,IF($D$21="Defense %",0,IF($D$21="Accuracy",0,IF($D$21="Critical Rate %",(CHOOSE(MATCH($C$21,{"Rare","Epic","Unique","Legendary","Mystic","Mystic (Prime)"},0),2,3,4.5,7,10,12))*Sensitivity!$H$15,IF($D$21="Min Damage Multiplier %",(CHOOSE(MATCH($C$21,{"Rare","Epic","Unique","Legendary","Mystic","Mystic (Prime)"},0),2,3,4.5,7,10,12))*Sensitivity!$H$13,IF($D$21="Max Damage Multiplier %",(CHOOSE(MATCH($C$21,{"Rare","Epic","Unique","Legendary","Mystic","Mystic (Prime)"},0),2,3,4.5,7,10,12))*Sensitivity!$H$14,IF($D$21="Boss Monster Damage %",(CHOOSE(MATCH($C$21,{"Rare","Epic","Unique","Legendary","Mystic","Mystic (Prime)"},0),4,6,9,14,20,24))*Sensitivity!$H$10,IF($D$21="Normal Monster Damage %",(CHOOSE(MATCH($C$21,{"Rare","Epic","Unique","Legendary","Mystic","Mystic (Prime)"},0),4,6,9,14,20,24))*Sensitivity!$H$11,IF($D$21="Status Effect Damage %",0,IF($D$21="Damage %",(CHOOSE(MATCH($C$21,{"Rare","Epic","Unique","Legendary","Mystic","Mystic (Prime)"},0),4,6,9,14,20,24))*Sensitivity!$H$8,IF($D$21="Defense Penetration %",(CHOOSE(MATCH($C$21,{"Rare","Epic","Unique","Legendary","Mystic","Mystic (Prime)"},0),2,3,4.5,7,10,12))*Sensitivity!$H$18,0)))))))))))),0)</f>
        <v/>
      </c>
      <c r="F21" s="7" t="inlineStr">
        <is>
          <t>Rare</t>
        </is>
      </c>
      <c r="G21" s="7" t="inlineStr">
        <is>
          <t>(none)</t>
        </is>
      </c>
      <c r="H21">
        <f>IF($N$21&gt;=2,IF($G$21="Main Stat %",(CHOOSE(MATCH($F$21,{"Rare","Epic","Unique","Legendary","Mystic","Mystic (Prime)"},0),2,3,4.5,7,10,12))*Sensitivity!$H$6,IF($G$21="Damage Taken Decrease %",0,IF($G$21="Defense %",0,IF($G$21="Accuracy",0,IF($G$21="Critical Rate %",(CHOOSE(MATCH($F$21,{"Rare","Epic","Unique","Legendary","Mystic","Mystic (Prime)"},0),2,3,4.5,7,10,12))*Sensitivity!$H$15,IF($G$21="Min Damage Multiplier %",(CHOOSE(MATCH($F$21,{"Rare","Epic","Unique","Legendary","Mystic","Mystic (Prime)"},0),2,3,4.5,7,10,12))*Sensitivity!$H$13,IF($G$21="Max Damage Multiplier %",(CHOOSE(MATCH($F$21,{"Rare","Epic","Unique","Legendary","Mystic","Mystic (Prime)"},0),2,3,4.5,7,10,12))*Sensitivity!$H$14,IF($G$21="Boss Monster Damage %",(CHOOSE(MATCH($F$21,{"Rare","Epic","Unique","Legendary","Mystic","Mystic (Prime)"},0),4,6,9,14,20,24))*Sensitivity!$H$10,IF($G$21="Normal Monster Damage %",(CHOOSE(MATCH($F$21,{"Rare","Epic","Unique","Legendary","Mystic","Mystic (Prime)"},0),4,6,9,14,20,24))*Sensitivity!$H$11,IF($G$21="Status Effect Damage %",0,IF($G$21="Damage %",(CHOOSE(MATCH($F$21,{"Rare","Epic","Unique","Legendary","Mystic","Mystic (Prime)"},0),4,6,9,14,20,24))*Sensitivity!$H$8,IF($G$21="Defense Penetration %",(CHOOSE(MATCH($F$21,{"Rare","Epic","Unique","Legendary","Mystic","Mystic (Prime)"},0),2,3,4.5,7,10,12))*Sensitivity!$H$18,0)))))))))))),0)</f>
        <v/>
      </c>
      <c r="I21" s="7" t="inlineStr">
        <is>
          <t>Rare</t>
        </is>
      </c>
      <c r="J21" s="7" t="inlineStr">
        <is>
          <t>(none)</t>
        </is>
      </c>
      <c r="K21">
        <f>IF($N$21&gt;=5,IF($J$21="Main Stat %",(CHOOSE(MATCH($I$21,{"Rare","Epic","Unique","Legendary","Mystic","Mystic (Prime)"},0),2,3,4.5,7,10,12))*Sensitivity!$H$6,IF($J$21="Damage Taken Decrease %",0,IF($J$21="Defense %",0,IF($J$21="Accuracy",0,IF($J$21="Critical Rate %",(CHOOSE(MATCH($I$21,{"Rare","Epic","Unique","Legendary","Mystic","Mystic (Prime)"},0),2,3,4.5,7,10,12))*Sensitivity!$H$15,IF($J$21="Min Damage Multiplier %",(CHOOSE(MATCH($I$21,{"Rare","Epic","Unique","Legendary","Mystic","Mystic (Prime)"},0),2,3,4.5,7,10,12))*Sensitivity!$H$13,IF($J$21="Max Damage Multiplier %",(CHOOSE(MATCH($I$21,{"Rare","Epic","Unique","Legendary","Mystic","Mystic (Prime)"},0),2,3,4.5,7,10,12))*Sensitivity!$H$14,IF($J$21="Boss Monster Damage %",(CHOOSE(MATCH($I$21,{"Rare","Epic","Unique","Legendary","Mystic","Mystic (Prime)"},0),4,6,9,14,20,24))*Sensitivity!$H$10,IF($J$21="Normal Monster Damage %",(CHOOSE(MATCH($I$21,{"Rare","Epic","Unique","Legendary","Mystic","Mystic (Prime)"},0),4,6,9,14,20,24))*Sensitivity!$H$11,IF($J$21="Status Effect Damage %",0,IF($J$21="Damage %",(CHOOSE(MATCH($I$21,{"Rare","Epic","Unique","Legendary","Mystic","Mystic (Prime)"},0),4,6,9,14,20,24))*Sensitivity!$H$8,IF($J$21="Defense Penetration %",(CHOOSE(MATCH($I$21,{"Rare","Epic","Unique","Legendary","Mystic","Mystic (Prime)"},0),2,3,4.5,7,10,12))*Sensitivity!$H$18,0)))))))))))),0)</f>
        <v/>
      </c>
      <c r="L21">
        <f>Summary!$B$3*((IF(D21="(none)",1,1+(E21+IF(G21=D21,H21,0)+IF(J21=D21,K21,0))/Summary!$B$3))*(IF(OR(G21="(none)",G21=D21),1,1+(H21+IF(D21=G21,E21,0)+IF(J21=G21,K21,0))/Summary!$B$3))*(IF(OR(J21="",J21="(none)",J21=D21,J21=G21),1,1+(K21+IF(D21=J21,E21,0)+IF(G21=J21,H21,0))/Summary!$B$3))-1)</f>
        <v/>
      </c>
      <c r="M21">
        <f>OR(Inputs!$B$47="Old Music Box",Inputs!$B$48="Old Music Box",Inputs!$B$49="Old Music Box",Inputs!$B$50="Old Music Box")</f>
        <v/>
      </c>
      <c r="N21">
        <f>IF(B21="Not Unlocked",0,B21)</f>
        <v/>
      </c>
    </row>
    <row r="22">
      <c r="A22" s="6" t="inlineStr">
        <is>
          <t>Silver Pendant</t>
        </is>
      </c>
      <c r="B22" s="7" t="inlineStr">
        <is>
          <t>Not Unlocked</t>
        </is>
      </c>
      <c r="C22" s="7" t="inlineStr">
        <is>
          <t>Rare</t>
        </is>
      </c>
      <c r="D22" s="7" t="inlineStr">
        <is>
          <t>(none)</t>
        </is>
      </c>
      <c r="E22">
        <f>IF($N$22&gt;=1,IF($D$22="Main Stat %",(CHOOSE(MATCH($C$22,{"Rare","Epic","Unique","Legendary","Mystic","Mystic (Prime)"},0),2,3,4.5,7,10,12))*Sensitivity!$H$6,IF($D$22="Damage Taken Decrease %",0,IF($D$22="Defense %",0,IF($D$22="Accuracy",0,IF($D$22="Critical Rate %",(CHOOSE(MATCH($C$22,{"Rare","Epic","Unique","Legendary","Mystic","Mystic (Prime)"},0),2,3,4.5,7,10,12))*Sensitivity!$H$15,IF($D$22="Min Damage Multiplier %",(CHOOSE(MATCH($C$22,{"Rare","Epic","Unique","Legendary","Mystic","Mystic (Prime)"},0),2,3,4.5,7,10,12))*Sensitivity!$H$13,IF($D$22="Max Damage Multiplier %",(CHOOSE(MATCH($C$22,{"Rare","Epic","Unique","Legendary","Mystic","Mystic (Prime)"},0),2,3,4.5,7,10,12))*Sensitivity!$H$14,IF($D$22="Boss Monster Damage %",(CHOOSE(MATCH($C$22,{"Rare","Epic","Unique","Legendary","Mystic","Mystic (Prime)"},0),4,6,9,14,20,24))*Sensitivity!$H$10,IF($D$22="Normal Monster Damage %",(CHOOSE(MATCH($C$22,{"Rare","Epic","Unique","Legendary","Mystic","Mystic (Prime)"},0),4,6,9,14,20,24))*Sensitivity!$H$11,IF($D$22="Status Effect Damage %",0,IF($D$22="Damage %",(CHOOSE(MATCH($C$22,{"Rare","Epic","Unique","Legendary","Mystic","Mystic (Prime)"},0),4,6,9,14,20,24))*Sensitivity!$H$8,IF($D$22="Defense Penetration %",(CHOOSE(MATCH($C$22,{"Rare","Epic","Unique","Legendary","Mystic","Mystic (Prime)"},0),2,3,4.5,7,10,12))*Sensitivity!$H$18,0)))))))))))),0)</f>
        <v/>
      </c>
      <c r="F22" s="7" t="inlineStr">
        <is>
          <t>Rare</t>
        </is>
      </c>
      <c r="G22" s="7" t="inlineStr">
        <is>
          <t>(none)</t>
        </is>
      </c>
      <c r="H22">
        <f>IF($N$22&gt;=2,IF($G$22="Main Stat %",(CHOOSE(MATCH($F$22,{"Rare","Epic","Unique","Legendary","Mystic","Mystic (Prime)"},0),2,3,4.5,7,10,12))*Sensitivity!$H$6,IF($G$22="Damage Taken Decrease %",0,IF($G$22="Defense %",0,IF($G$22="Accuracy",0,IF($G$22="Critical Rate %",(CHOOSE(MATCH($F$22,{"Rare","Epic","Unique","Legendary","Mystic","Mystic (Prime)"},0),2,3,4.5,7,10,12))*Sensitivity!$H$15,IF($G$22="Min Damage Multiplier %",(CHOOSE(MATCH($F$22,{"Rare","Epic","Unique","Legendary","Mystic","Mystic (Prime)"},0),2,3,4.5,7,10,12))*Sensitivity!$H$13,IF($G$22="Max Damage Multiplier %",(CHOOSE(MATCH($F$22,{"Rare","Epic","Unique","Legendary","Mystic","Mystic (Prime)"},0),2,3,4.5,7,10,12))*Sensitivity!$H$14,IF($G$22="Boss Monster Damage %",(CHOOSE(MATCH($F$22,{"Rare","Epic","Unique","Legendary","Mystic","Mystic (Prime)"},0),4,6,9,14,20,24))*Sensitivity!$H$10,IF($G$22="Normal Monster Damage %",(CHOOSE(MATCH($F$22,{"Rare","Epic","Unique","Legendary","Mystic","Mystic (Prime)"},0),4,6,9,14,20,24))*Sensitivity!$H$11,IF($G$22="Status Effect Damage %",0,IF($G$22="Damage %",(CHOOSE(MATCH($F$22,{"Rare","Epic","Unique","Legendary","Mystic","Mystic (Prime)"},0),4,6,9,14,20,24))*Sensitivity!$H$8,IF($G$22="Defense Penetration %",(CHOOSE(MATCH($F$22,{"Rare","Epic","Unique","Legendary","Mystic","Mystic (Prime)"},0),2,3,4.5,7,10,12))*Sensitivity!$H$18,0)))))))))))),0)</f>
        <v/>
      </c>
      <c r="I22" s="7" t="inlineStr">
        <is>
          <t>Rare</t>
        </is>
      </c>
      <c r="J22" s="7" t="inlineStr">
        <is>
          <t>(none)</t>
        </is>
      </c>
      <c r="K22">
        <f>IF($N$22&gt;=5,IF($J$22="Main Stat %",(CHOOSE(MATCH($I$22,{"Rare","Epic","Unique","Legendary","Mystic","Mystic (Prime)"},0),2,3,4.5,7,10,12))*Sensitivity!$H$6,IF($J$22="Damage Taken Decrease %",0,IF($J$22="Defense %",0,IF($J$22="Accuracy",0,IF($J$22="Critical Rate %",(CHOOSE(MATCH($I$22,{"Rare","Epic","Unique","Legendary","Mystic","Mystic (Prime)"},0),2,3,4.5,7,10,12))*Sensitivity!$H$15,IF($J$22="Min Damage Multiplier %",(CHOOSE(MATCH($I$22,{"Rare","Epic","Unique","Legendary","Mystic","Mystic (Prime)"},0),2,3,4.5,7,10,12))*Sensitivity!$H$13,IF($J$22="Max Damage Multiplier %",(CHOOSE(MATCH($I$22,{"Rare","Epic","Unique","Legendary","Mystic","Mystic (Prime)"},0),2,3,4.5,7,10,12))*Sensitivity!$H$14,IF($J$22="Boss Monster Damage %",(CHOOSE(MATCH($I$22,{"Rare","Epic","Unique","Legendary","Mystic","Mystic (Prime)"},0),4,6,9,14,20,24))*Sensitivity!$H$10,IF($J$22="Normal Monster Damage %",(CHOOSE(MATCH($I$22,{"Rare","Epic","Unique","Legendary","Mystic","Mystic (Prime)"},0),4,6,9,14,20,24))*Sensitivity!$H$11,IF($J$22="Status Effect Damage %",0,IF($J$22="Damage %",(CHOOSE(MATCH($I$22,{"Rare","Epic","Unique","Legendary","Mystic","Mystic (Prime)"},0),4,6,9,14,20,24))*Sensitivity!$H$8,IF($J$22="Defense Penetration %",(CHOOSE(MATCH($I$22,{"Rare","Epic","Unique","Legendary","Mystic","Mystic (Prime)"},0),2,3,4.5,7,10,12))*Sensitivity!$H$18,0)))))))))))),0)</f>
        <v/>
      </c>
      <c r="L22">
        <f>Summary!$B$3*((IF(D22="(none)",1,1+(E22+IF(G22=D22,H22,0)+IF(J22=D22,K22,0))/Summary!$B$3))*(IF(OR(G22="(none)",G22=D22),1,1+(H22+IF(D22=G22,E22,0)+IF(J22=G22,K22,0))/Summary!$B$3))*(IF(OR(J22="",J22="(none)",J22=D22,J22=G22),1,1+(K22+IF(D22=J22,E22,0)+IF(G22=J22,H22,0))/Summary!$B$3))-1)</f>
        <v/>
      </c>
      <c r="M22">
        <f>OR(Inputs!$B$47="Silver Pendant",Inputs!$B$48="Silver Pendant",Inputs!$B$49="Silver Pendant",Inputs!$B$50="Silver Pendant")</f>
        <v/>
      </c>
      <c r="N22">
        <f>IF(B22="Not Unlocked",0,B22)</f>
        <v/>
      </c>
    </row>
    <row r="23">
      <c r="A23" s="6" t="inlineStr">
        <is>
          <t>Star Rock</t>
        </is>
      </c>
      <c r="B23" s="7" t="inlineStr">
        <is>
          <t>Not Unlocked</t>
        </is>
      </c>
      <c r="C23" s="7" t="inlineStr">
        <is>
          <t>Rare</t>
        </is>
      </c>
      <c r="D23" s="7" t="inlineStr">
        <is>
          <t>(none)</t>
        </is>
      </c>
      <c r="E23">
        <f>IF($N$23&gt;=1,IF($D$23="Main Stat %",(CHOOSE(MATCH($C$23,{"Rare","Epic","Unique","Legendary","Mystic","Mystic (Prime)"},0),2,3,4.5,7,10,12))*Sensitivity!$H$6,IF($D$23="Damage Taken Decrease %",0,IF($D$23="Defense %",0,IF($D$23="Accuracy",0,IF($D$23="Critical Rate %",(CHOOSE(MATCH($C$23,{"Rare","Epic","Unique","Legendary","Mystic","Mystic (Prime)"},0),2,3,4.5,7,10,12))*Sensitivity!$H$15,IF($D$23="Min Damage Multiplier %",(CHOOSE(MATCH($C$23,{"Rare","Epic","Unique","Legendary","Mystic","Mystic (Prime)"},0),2,3,4.5,7,10,12))*Sensitivity!$H$13,IF($D$23="Max Damage Multiplier %",(CHOOSE(MATCH($C$23,{"Rare","Epic","Unique","Legendary","Mystic","Mystic (Prime)"},0),2,3,4.5,7,10,12))*Sensitivity!$H$14,IF($D$23="Boss Monster Damage %",(CHOOSE(MATCH($C$23,{"Rare","Epic","Unique","Legendary","Mystic","Mystic (Prime)"},0),4,6,9,14,20,24))*Sensitivity!$H$10,IF($D$23="Normal Monster Damage %",(CHOOSE(MATCH($C$23,{"Rare","Epic","Unique","Legendary","Mystic","Mystic (Prime)"},0),4,6,9,14,20,24))*Sensitivity!$H$11,IF($D$23="Status Effect Damage %",0,IF($D$23="Damage %",(CHOOSE(MATCH($C$23,{"Rare","Epic","Unique","Legendary","Mystic","Mystic (Prime)"},0),4,6,9,14,20,24))*Sensitivity!$H$8,IF($D$23="Defense Penetration %",(CHOOSE(MATCH($C$23,{"Rare","Epic","Unique","Legendary","Mystic","Mystic (Prime)"},0),2,3,4.5,7,10,12))*Sensitivity!$H$18,0)))))))))))),0)</f>
        <v/>
      </c>
      <c r="F23" s="7" t="inlineStr">
        <is>
          <t>Rare</t>
        </is>
      </c>
      <c r="G23" s="7" t="inlineStr">
        <is>
          <t>(none)</t>
        </is>
      </c>
      <c r="H23">
        <f>IF($N$23&gt;=2,IF($G$23="Main Stat %",(CHOOSE(MATCH($F$23,{"Rare","Epic","Unique","Legendary","Mystic","Mystic (Prime)"},0),2,3,4.5,7,10,12))*Sensitivity!$H$6,IF($G$23="Damage Taken Decrease %",0,IF($G$23="Defense %",0,IF($G$23="Accuracy",0,IF($G$23="Critical Rate %",(CHOOSE(MATCH($F$23,{"Rare","Epic","Unique","Legendary","Mystic","Mystic (Prime)"},0),2,3,4.5,7,10,12))*Sensitivity!$H$15,IF($G$23="Min Damage Multiplier %",(CHOOSE(MATCH($F$23,{"Rare","Epic","Unique","Legendary","Mystic","Mystic (Prime)"},0),2,3,4.5,7,10,12))*Sensitivity!$H$13,IF($G$23="Max Damage Multiplier %",(CHOOSE(MATCH($F$23,{"Rare","Epic","Unique","Legendary","Mystic","Mystic (Prime)"},0),2,3,4.5,7,10,12))*Sensitivity!$H$14,IF($G$23="Boss Monster Damage %",(CHOOSE(MATCH($F$23,{"Rare","Epic","Unique","Legendary","Mystic","Mystic (Prime)"},0),4,6,9,14,20,24))*Sensitivity!$H$10,IF($G$23="Normal Monster Damage %",(CHOOSE(MATCH($F$23,{"Rare","Epic","Unique","Legendary","Mystic","Mystic (Prime)"},0),4,6,9,14,20,24))*Sensitivity!$H$11,IF($G$23="Status Effect Damage %",0,IF($G$23="Damage %",(CHOOSE(MATCH($F$23,{"Rare","Epic","Unique","Legendary","Mystic","Mystic (Prime)"},0),4,6,9,14,20,24))*Sensitivity!$H$8,IF($G$23="Defense Penetration %",(CHOOSE(MATCH($F$23,{"Rare","Epic","Unique","Legendary","Mystic","Mystic (Prime)"},0),2,3,4.5,7,10,12))*Sensitivity!$H$18,0)))))))))))),0)</f>
        <v/>
      </c>
      <c r="I23" s="7" t="inlineStr">
        <is>
          <t>Rare</t>
        </is>
      </c>
      <c r="J23" s="7" t="inlineStr">
        <is>
          <t>(none)</t>
        </is>
      </c>
      <c r="K23">
        <f>IF($N$23&gt;=5,IF($J$23="Main Stat %",(CHOOSE(MATCH($I$23,{"Rare","Epic","Unique","Legendary","Mystic","Mystic (Prime)"},0),2,3,4.5,7,10,12))*Sensitivity!$H$6,IF($J$23="Damage Taken Decrease %",0,IF($J$23="Defense %",0,IF($J$23="Accuracy",0,IF($J$23="Critical Rate %",(CHOOSE(MATCH($I$23,{"Rare","Epic","Unique","Legendary","Mystic","Mystic (Prime)"},0),2,3,4.5,7,10,12))*Sensitivity!$H$15,IF($J$23="Min Damage Multiplier %",(CHOOSE(MATCH($I$23,{"Rare","Epic","Unique","Legendary","Mystic","Mystic (Prime)"},0),2,3,4.5,7,10,12))*Sensitivity!$H$13,IF($J$23="Max Damage Multiplier %",(CHOOSE(MATCH($I$23,{"Rare","Epic","Unique","Legendary","Mystic","Mystic (Prime)"},0),2,3,4.5,7,10,12))*Sensitivity!$H$14,IF($J$23="Boss Monster Damage %",(CHOOSE(MATCH($I$23,{"Rare","Epic","Unique","Legendary","Mystic","Mystic (Prime)"},0),4,6,9,14,20,24))*Sensitivity!$H$10,IF($J$23="Normal Monster Damage %",(CHOOSE(MATCH($I$23,{"Rare","Epic","Unique","Legendary","Mystic","Mystic (Prime)"},0),4,6,9,14,20,24))*Sensitivity!$H$11,IF($J$23="Status Effect Damage %",0,IF($J$23="Damage %",(CHOOSE(MATCH($I$23,{"Rare","Epic","Unique","Legendary","Mystic","Mystic (Prime)"},0),4,6,9,14,20,24))*Sensitivity!$H$8,IF($J$23="Defense Penetration %",(CHOOSE(MATCH($I$23,{"Rare","Epic","Unique","Legendary","Mystic","Mystic (Prime)"},0),2,3,4.5,7,10,12))*Sensitivity!$H$18,0)))))))))))),0)</f>
        <v/>
      </c>
      <c r="L23">
        <f>Summary!$B$3*((IF(D23="(none)",1,1+(E23+IF(G23=D23,H23,0)+IF(J23=D23,K23,0))/Summary!$B$3))*(IF(OR(G23="(none)",G23=D23),1,1+(H23+IF(D23=G23,E23,0)+IF(J23=G23,K23,0))/Summary!$B$3))*(IF(OR(J23="",J23="(none)",J23=D23,J23=G23),1,1+(K23+IF(D23=J23,E23,0)+IF(G23=J23,H23,0))/Summary!$B$3))-1)</f>
        <v/>
      </c>
      <c r="M23">
        <f>OR(Inputs!$B$47="Star Rock",Inputs!$B$48="Star Rock",Inputs!$B$49="Star Rock",Inputs!$B$50="Star Rock")</f>
        <v/>
      </c>
      <c r="N23">
        <f>IF(B23="Not Unlocked",0,B23)</f>
        <v/>
      </c>
    </row>
    <row r="24">
      <c r="A24" s="6" t="inlineStr">
        <is>
          <t>Book of Ancient</t>
        </is>
      </c>
      <c r="B24" s="7" t="inlineStr">
        <is>
          <t>Not Unlocked</t>
        </is>
      </c>
      <c r="C24" s="7" t="inlineStr">
        <is>
          <t>Rare</t>
        </is>
      </c>
      <c r="D24" s="7" t="inlineStr">
        <is>
          <t>(none)</t>
        </is>
      </c>
      <c r="E24">
        <f>IF($N$24&gt;=1,IF($D$24="Main Stat %",(CHOOSE(MATCH($C$24,{"Rare","Epic","Unique","Legendary","Mystic","Mystic (Prime)"},0),2,3,4.5,7,10,12))*Sensitivity!$H$6,IF($D$24="Damage Taken Decrease %",0,IF($D$24="Defense %",0,IF($D$24="Accuracy",0,IF($D$24="Critical Rate %",(CHOOSE(MATCH($C$24,{"Rare","Epic","Unique","Legendary","Mystic","Mystic (Prime)"},0),2,3,4.5,7,10,12))*Sensitivity!$H$15,IF($D$24="Min Damage Multiplier %",(CHOOSE(MATCH($C$24,{"Rare","Epic","Unique","Legendary","Mystic","Mystic (Prime)"},0),2,3,4.5,7,10,12))*Sensitivity!$H$13,IF($D$24="Max Damage Multiplier %",(CHOOSE(MATCH($C$24,{"Rare","Epic","Unique","Legendary","Mystic","Mystic (Prime)"},0),2,3,4.5,7,10,12))*Sensitivity!$H$14,IF($D$24="Boss Monster Damage %",(CHOOSE(MATCH($C$24,{"Rare","Epic","Unique","Legendary","Mystic","Mystic (Prime)"},0),4,6,9,14,20,24))*Sensitivity!$H$10,IF($D$24="Normal Monster Damage %",(CHOOSE(MATCH($C$24,{"Rare","Epic","Unique","Legendary","Mystic","Mystic (Prime)"},0),4,6,9,14,20,24))*Sensitivity!$H$11,IF($D$24="Status Effect Damage %",0,IF($D$24="Damage %",(CHOOSE(MATCH($C$24,{"Rare","Epic","Unique","Legendary","Mystic","Mystic (Prime)"},0),4,6,9,14,20,24))*Sensitivity!$H$8,IF($D$24="Defense Penetration %",(CHOOSE(MATCH($C$24,{"Rare","Epic","Unique","Legendary","Mystic","Mystic (Prime)"},0),2,3,4.5,7,10,12))*Sensitivity!$H$18,0)))))))))))),0)</f>
        <v/>
      </c>
      <c r="F24" s="7" t="inlineStr">
        <is>
          <t>Rare</t>
        </is>
      </c>
      <c r="G24" s="7" t="inlineStr">
        <is>
          <t>(none)</t>
        </is>
      </c>
      <c r="H24">
        <f>IF($N$24&gt;=2,IF($G$24="Main Stat %",(CHOOSE(MATCH($F$24,{"Rare","Epic","Unique","Legendary","Mystic","Mystic (Prime)"},0),2,3,4.5,7,10,12))*Sensitivity!$H$6,IF($G$24="Damage Taken Decrease %",0,IF($G$24="Defense %",0,IF($G$24="Accuracy",0,IF($G$24="Critical Rate %",(CHOOSE(MATCH($F$24,{"Rare","Epic","Unique","Legendary","Mystic","Mystic (Prime)"},0),2,3,4.5,7,10,12))*Sensitivity!$H$15,IF($G$24="Min Damage Multiplier %",(CHOOSE(MATCH($F$24,{"Rare","Epic","Unique","Legendary","Mystic","Mystic (Prime)"},0),2,3,4.5,7,10,12))*Sensitivity!$H$13,IF($G$24="Max Damage Multiplier %",(CHOOSE(MATCH($F$24,{"Rare","Epic","Unique","Legendary","Mystic","Mystic (Prime)"},0),2,3,4.5,7,10,12))*Sensitivity!$H$14,IF($G$24="Boss Monster Damage %",(CHOOSE(MATCH($F$24,{"Rare","Epic","Unique","Legendary","Mystic","Mystic (Prime)"},0),4,6,9,14,20,24))*Sensitivity!$H$10,IF($G$24="Normal Monster Damage %",(CHOOSE(MATCH($F$24,{"Rare","Epic","Unique","Legendary","Mystic","Mystic (Prime)"},0),4,6,9,14,20,24))*Sensitivity!$H$11,IF($G$24="Status Effect Damage %",0,IF($G$24="Damage %",(CHOOSE(MATCH($F$24,{"Rare","Epic","Unique","Legendary","Mystic","Mystic (Prime)"},0),4,6,9,14,20,24))*Sensitivity!$H$8,IF($G$24="Defense Penetration %",(CHOOSE(MATCH($F$24,{"Rare","Epic","Unique","Legendary","Mystic","Mystic (Prime)"},0),2,3,4.5,7,10,12))*Sensitivity!$H$18,0)))))))))))),0)</f>
        <v/>
      </c>
      <c r="I24" s="7" t="inlineStr">
        <is>
          <t>Rare</t>
        </is>
      </c>
      <c r="J24" s="7" t="inlineStr">
        <is>
          <t>(none)</t>
        </is>
      </c>
      <c r="K24">
        <f>IF($N$24&gt;=5,IF($J$24="Main Stat %",(CHOOSE(MATCH($I$24,{"Rare","Epic","Unique","Legendary","Mystic","Mystic (Prime)"},0),2,3,4.5,7,10,12))*Sensitivity!$H$6,IF($J$24="Damage Taken Decrease %",0,IF($J$24="Defense %",0,IF($J$24="Accuracy",0,IF($J$24="Critical Rate %",(CHOOSE(MATCH($I$24,{"Rare","Epic","Unique","Legendary","Mystic","Mystic (Prime)"},0),2,3,4.5,7,10,12))*Sensitivity!$H$15,IF($J$24="Min Damage Multiplier %",(CHOOSE(MATCH($I$24,{"Rare","Epic","Unique","Legendary","Mystic","Mystic (Prime)"},0),2,3,4.5,7,10,12))*Sensitivity!$H$13,IF($J$24="Max Damage Multiplier %",(CHOOSE(MATCH($I$24,{"Rare","Epic","Unique","Legendary","Mystic","Mystic (Prime)"},0),2,3,4.5,7,10,12))*Sensitivity!$H$14,IF($J$24="Boss Monster Damage %",(CHOOSE(MATCH($I$24,{"Rare","Epic","Unique","Legendary","Mystic","Mystic (Prime)"},0),4,6,9,14,20,24))*Sensitivity!$H$10,IF($J$24="Normal Monster Damage %",(CHOOSE(MATCH($I$24,{"Rare","Epic","Unique","Legendary","Mystic","Mystic (Prime)"},0),4,6,9,14,20,24))*Sensitivity!$H$11,IF($J$24="Status Effect Damage %",0,IF($J$24="Damage %",(CHOOSE(MATCH($I$24,{"Rare","Epic","Unique","Legendary","Mystic","Mystic (Prime)"},0),4,6,9,14,20,24))*Sensitivity!$H$8,IF($J$24="Defense Penetration %",(CHOOSE(MATCH($I$24,{"Rare","Epic","Unique","Legendary","Mystic","Mystic (Prime)"},0),2,3,4.5,7,10,12))*Sensitivity!$H$18,0)))))))))))),0)</f>
        <v/>
      </c>
      <c r="L24">
        <f>Summary!$B$3*((IF(D24="(none)",1,1+(E24+IF(G24=D24,H24,0)+IF(J24=D24,K24,0))/Summary!$B$3))*(IF(OR(G24="(none)",G24=D24),1,1+(H24+IF(D24=G24,E24,0)+IF(J24=G24,K24,0))/Summary!$B$3))*(IF(OR(J24="",J24="(none)",J24=D24,J24=G24),1,1+(K24+IF(D24=J24,E24,0)+IF(G24=J24,H24,0))/Summary!$B$3))-1)</f>
        <v/>
      </c>
      <c r="M24">
        <f>OR(Inputs!$B$47="Book of Ancient",Inputs!$B$48="Book of Ancient",Inputs!$B$49="Book of Ancient",Inputs!$B$50="Book of Ancient")</f>
        <v/>
      </c>
      <c r="N24">
        <f>IF(B24="Not Unlocked",0,B24)</f>
        <v/>
      </c>
    </row>
    <row r="25">
      <c r="A25" s="6" t="inlineStr">
        <is>
          <t>Lunar Dew</t>
        </is>
      </c>
      <c r="B25" s="7" t="inlineStr">
        <is>
          <t>Not Unlocked</t>
        </is>
      </c>
      <c r="C25" s="7" t="inlineStr">
        <is>
          <t>Rare</t>
        </is>
      </c>
      <c r="D25" s="7" t="inlineStr">
        <is>
          <t>(none)</t>
        </is>
      </c>
      <c r="E25">
        <f>IF($N$25&gt;=1,IF($D$25="Main Stat %",(CHOOSE(MATCH($C$25,{"Rare","Epic","Unique","Legendary","Mystic","Mystic (Prime)"},0),2,3,4.5,7,10,12))*Sensitivity!$H$6,IF($D$25="Damage Taken Decrease %",0,IF($D$25="Defense %",0,IF($D$25="Accuracy",0,IF($D$25="Critical Rate %",(CHOOSE(MATCH($C$25,{"Rare","Epic","Unique","Legendary","Mystic","Mystic (Prime)"},0),2,3,4.5,7,10,12))*Sensitivity!$H$15,IF($D$25="Min Damage Multiplier %",(CHOOSE(MATCH($C$25,{"Rare","Epic","Unique","Legendary","Mystic","Mystic (Prime)"},0),2,3,4.5,7,10,12))*Sensitivity!$H$13,IF($D$25="Max Damage Multiplier %",(CHOOSE(MATCH($C$25,{"Rare","Epic","Unique","Legendary","Mystic","Mystic (Prime)"},0),2,3,4.5,7,10,12))*Sensitivity!$H$14,IF($D$25="Boss Monster Damage %",(CHOOSE(MATCH($C$25,{"Rare","Epic","Unique","Legendary","Mystic","Mystic (Prime)"},0),4,6,9,14,20,24))*Sensitivity!$H$10,IF($D$25="Normal Monster Damage %",(CHOOSE(MATCH($C$25,{"Rare","Epic","Unique","Legendary","Mystic","Mystic (Prime)"},0),4,6,9,14,20,24))*Sensitivity!$H$11,IF($D$25="Status Effect Damage %",0,IF($D$25="Damage %",(CHOOSE(MATCH($C$25,{"Rare","Epic","Unique","Legendary","Mystic","Mystic (Prime)"},0),4,6,9,14,20,24))*Sensitivity!$H$8,IF($D$25="Defense Penetration %",(CHOOSE(MATCH($C$25,{"Rare","Epic","Unique","Legendary","Mystic","Mystic (Prime)"},0),2,3,4.5,7,10,12))*Sensitivity!$H$18,0)))))))))))),0)</f>
        <v/>
      </c>
      <c r="F25" s="7" t="inlineStr">
        <is>
          <t>Rare</t>
        </is>
      </c>
      <c r="G25" s="7" t="inlineStr">
        <is>
          <t>(none)</t>
        </is>
      </c>
      <c r="H25">
        <f>IF($N$25&gt;=2,IF($G$25="Main Stat %",(CHOOSE(MATCH($F$25,{"Rare","Epic","Unique","Legendary","Mystic","Mystic (Prime)"},0),2,3,4.5,7,10,12))*Sensitivity!$H$6,IF($G$25="Damage Taken Decrease %",0,IF($G$25="Defense %",0,IF($G$25="Accuracy",0,IF($G$25="Critical Rate %",(CHOOSE(MATCH($F$25,{"Rare","Epic","Unique","Legendary","Mystic","Mystic (Prime)"},0),2,3,4.5,7,10,12))*Sensitivity!$H$15,IF($G$25="Min Damage Multiplier %",(CHOOSE(MATCH($F$25,{"Rare","Epic","Unique","Legendary","Mystic","Mystic (Prime)"},0),2,3,4.5,7,10,12))*Sensitivity!$H$13,IF($G$25="Max Damage Multiplier %",(CHOOSE(MATCH($F$25,{"Rare","Epic","Unique","Legendary","Mystic","Mystic (Prime)"},0),2,3,4.5,7,10,12))*Sensitivity!$H$14,IF($G$25="Boss Monster Damage %",(CHOOSE(MATCH($F$25,{"Rare","Epic","Unique","Legendary","Mystic","Mystic (Prime)"},0),4,6,9,14,20,24))*Sensitivity!$H$10,IF($G$25="Normal Monster Damage %",(CHOOSE(MATCH($F$25,{"Rare","Epic","Unique","Legendary","Mystic","Mystic (Prime)"},0),4,6,9,14,20,24))*Sensitivity!$H$11,IF($G$25="Status Effect Damage %",0,IF($G$25="Damage %",(CHOOSE(MATCH($F$25,{"Rare","Epic","Unique","Legendary","Mystic","Mystic (Prime)"},0),4,6,9,14,20,24))*Sensitivity!$H$8,IF($G$25="Defense Penetration %",(CHOOSE(MATCH($F$25,{"Rare","Epic","Unique","Legendary","Mystic","Mystic (Prime)"},0),2,3,4.5,7,10,12))*Sensitivity!$H$18,0)))))))))))),0)</f>
        <v/>
      </c>
      <c r="I25" s="7" t="inlineStr">
        <is>
          <t>Rare</t>
        </is>
      </c>
      <c r="J25" s="7" t="inlineStr">
        <is>
          <t>(none)</t>
        </is>
      </c>
      <c r="K25">
        <f>IF($N$25&gt;=5,IF($J$25="Main Stat %",(CHOOSE(MATCH($I$25,{"Rare","Epic","Unique","Legendary","Mystic","Mystic (Prime)"},0),2,3,4.5,7,10,12))*Sensitivity!$H$6,IF($J$25="Damage Taken Decrease %",0,IF($J$25="Defense %",0,IF($J$25="Accuracy",0,IF($J$25="Critical Rate %",(CHOOSE(MATCH($I$25,{"Rare","Epic","Unique","Legendary","Mystic","Mystic (Prime)"},0),2,3,4.5,7,10,12))*Sensitivity!$H$15,IF($J$25="Min Damage Multiplier %",(CHOOSE(MATCH($I$25,{"Rare","Epic","Unique","Legendary","Mystic","Mystic (Prime)"},0),2,3,4.5,7,10,12))*Sensitivity!$H$13,IF($J$25="Max Damage Multiplier %",(CHOOSE(MATCH($I$25,{"Rare","Epic","Unique","Legendary","Mystic","Mystic (Prime)"},0),2,3,4.5,7,10,12))*Sensitivity!$H$14,IF($J$25="Boss Monster Damage %",(CHOOSE(MATCH($I$25,{"Rare","Epic","Unique","Legendary","Mystic","Mystic (Prime)"},0),4,6,9,14,20,24))*Sensitivity!$H$10,IF($J$25="Normal Monster Damage %",(CHOOSE(MATCH($I$25,{"Rare","Epic","Unique","Legendary","Mystic","Mystic (Prime)"},0),4,6,9,14,20,24))*Sensitivity!$H$11,IF($J$25="Status Effect Damage %",0,IF($J$25="Damage %",(CHOOSE(MATCH($I$25,{"Rare","Epic","Unique","Legendary","Mystic","Mystic (Prime)"},0),4,6,9,14,20,24))*Sensitivity!$H$8,IF($J$25="Defense Penetration %",(CHOOSE(MATCH($I$25,{"Rare","Epic","Unique","Legendary","Mystic","Mystic (Prime)"},0),2,3,4.5,7,10,12))*Sensitivity!$H$18,0)))))))))))),0)</f>
        <v/>
      </c>
      <c r="L25">
        <f>Summary!$B$3*((IF(D25="(none)",1,1+(E25+IF(G25=D25,H25,0)+IF(J25=D25,K25,0))/Summary!$B$3))*(IF(OR(G25="(none)",G25=D25),1,1+(H25+IF(D25=G25,E25,0)+IF(J25=G25,K25,0))/Summary!$B$3))*(IF(OR(J25="",J25="(none)",J25=D25,J25=G25),1,1+(K25+IF(D25=J25,E25,0)+IF(G25=J25,H25,0))/Summary!$B$3))-1)</f>
        <v/>
      </c>
      <c r="M25">
        <f>OR(Inputs!$B$47="Lunar Dew",Inputs!$B$48="Lunar Dew",Inputs!$B$49="Lunar Dew",Inputs!$B$50="Lunar Dew")</f>
        <v/>
      </c>
      <c r="N25">
        <f>IF(B25="Not Unlocked",0,B25)</f>
        <v/>
      </c>
    </row>
    <row r="26">
      <c r="A26" s="6" t="inlineStr">
        <is>
          <t>Fire Flower</t>
        </is>
      </c>
      <c r="B26" s="7" t="inlineStr">
        <is>
          <t>Not Unlocked</t>
        </is>
      </c>
      <c r="C26" s="7" t="inlineStr">
        <is>
          <t>Rare</t>
        </is>
      </c>
      <c r="D26" s="7" t="inlineStr">
        <is>
          <t>(none)</t>
        </is>
      </c>
      <c r="E26">
        <f>IF($N$26&gt;=1,IF($D$26="Main Stat %",(CHOOSE(MATCH($C$26,{"Rare","Epic","Unique","Legendary","Mystic","Mystic (Prime)"},0),2,3,4.5,7,10,12))*Sensitivity!$H$6,IF($D$26="Damage Taken Decrease %",0,IF($D$26="Defense %",0,IF($D$26="Accuracy",0,IF($D$26="Critical Rate %",(CHOOSE(MATCH($C$26,{"Rare","Epic","Unique","Legendary","Mystic","Mystic (Prime)"},0),2,3,4.5,7,10,12))*Sensitivity!$H$15,IF($D$26="Min Damage Multiplier %",(CHOOSE(MATCH($C$26,{"Rare","Epic","Unique","Legendary","Mystic","Mystic (Prime)"},0),2,3,4.5,7,10,12))*Sensitivity!$H$13,IF($D$26="Max Damage Multiplier %",(CHOOSE(MATCH($C$26,{"Rare","Epic","Unique","Legendary","Mystic","Mystic (Prime)"},0),2,3,4.5,7,10,12))*Sensitivity!$H$14,IF($D$26="Boss Monster Damage %",(CHOOSE(MATCH($C$26,{"Rare","Epic","Unique","Legendary","Mystic","Mystic (Prime)"},0),4,6,9,14,20,24))*Sensitivity!$H$10,IF($D$26="Normal Monster Damage %",(CHOOSE(MATCH($C$26,{"Rare","Epic","Unique","Legendary","Mystic","Mystic (Prime)"},0),4,6,9,14,20,24))*Sensitivity!$H$11,IF($D$26="Status Effect Damage %",0,IF($D$26="Damage %",(CHOOSE(MATCH($C$26,{"Rare","Epic","Unique","Legendary","Mystic","Mystic (Prime)"},0),4,6,9,14,20,24))*Sensitivity!$H$8,IF($D$26="Defense Penetration %",(CHOOSE(MATCH($C$26,{"Rare","Epic","Unique","Legendary","Mystic","Mystic (Prime)"},0),2,3,4.5,7,10,12))*Sensitivity!$H$18,0)))))))))))),0)</f>
        <v/>
      </c>
      <c r="F26" s="7" t="inlineStr">
        <is>
          <t>Rare</t>
        </is>
      </c>
      <c r="G26" s="7" t="inlineStr">
        <is>
          <t>(none)</t>
        </is>
      </c>
      <c r="H26">
        <f>IF($N$26&gt;=2,IF($G$26="Main Stat %",(CHOOSE(MATCH($F$26,{"Rare","Epic","Unique","Legendary","Mystic","Mystic (Prime)"},0),2,3,4.5,7,10,12))*Sensitivity!$H$6,IF($G$26="Damage Taken Decrease %",0,IF($G$26="Defense %",0,IF($G$26="Accuracy",0,IF($G$26="Critical Rate %",(CHOOSE(MATCH($F$26,{"Rare","Epic","Unique","Legendary","Mystic","Mystic (Prime)"},0),2,3,4.5,7,10,12))*Sensitivity!$H$15,IF($G$26="Min Damage Multiplier %",(CHOOSE(MATCH($F$26,{"Rare","Epic","Unique","Legendary","Mystic","Mystic (Prime)"},0),2,3,4.5,7,10,12))*Sensitivity!$H$13,IF($G$26="Max Damage Multiplier %",(CHOOSE(MATCH($F$26,{"Rare","Epic","Unique","Legendary","Mystic","Mystic (Prime)"},0),2,3,4.5,7,10,12))*Sensitivity!$H$14,IF($G$26="Boss Monster Damage %",(CHOOSE(MATCH($F$26,{"Rare","Epic","Unique","Legendary","Mystic","Mystic (Prime)"},0),4,6,9,14,20,24))*Sensitivity!$H$10,IF($G$26="Normal Monster Damage %",(CHOOSE(MATCH($F$26,{"Rare","Epic","Unique","Legendary","Mystic","Mystic (Prime)"},0),4,6,9,14,20,24))*Sensitivity!$H$11,IF($G$26="Status Effect Damage %",0,IF($G$26="Damage %",(CHOOSE(MATCH($F$26,{"Rare","Epic","Unique","Legendary","Mystic","Mystic (Prime)"},0),4,6,9,14,20,24))*Sensitivity!$H$8,IF($G$26="Defense Penetration %",(CHOOSE(MATCH($F$26,{"Rare","Epic","Unique","Legendary","Mystic","Mystic (Prime)"},0),2,3,4.5,7,10,12))*Sensitivity!$H$18,0)))))))))))),0)</f>
        <v/>
      </c>
      <c r="I26" s="7" t="inlineStr">
        <is>
          <t>Rare</t>
        </is>
      </c>
      <c r="J26" s="7" t="inlineStr">
        <is>
          <t>(none)</t>
        </is>
      </c>
      <c r="K26">
        <f>IF($N$26&gt;=5,IF($J$26="Main Stat %",(CHOOSE(MATCH($I$26,{"Rare","Epic","Unique","Legendary","Mystic","Mystic (Prime)"},0),2,3,4.5,7,10,12))*Sensitivity!$H$6,IF($J$26="Damage Taken Decrease %",0,IF($J$26="Defense %",0,IF($J$26="Accuracy",0,IF($J$26="Critical Rate %",(CHOOSE(MATCH($I$26,{"Rare","Epic","Unique","Legendary","Mystic","Mystic (Prime)"},0),2,3,4.5,7,10,12))*Sensitivity!$H$15,IF($J$26="Min Damage Multiplier %",(CHOOSE(MATCH($I$26,{"Rare","Epic","Unique","Legendary","Mystic","Mystic (Prime)"},0),2,3,4.5,7,10,12))*Sensitivity!$H$13,IF($J$26="Max Damage Multiplier %",(CHOOSE(MATCH($I$26,{"Rare","Epic","Unique","Legendary","Mystic","Mystic (Prime)"},0),2,3,4.5,7,10,12))*Sensitivity!$H$14,IF($J$26="Boss Monster Damage %",(CHOOSE(MATCH($I$26,{"Rare","Epic","Unique","Legendary","Mystic","Mystic (Prime)"},0),4,6,9,14,20,24))*Sensitivity!$H$10,IF($J$26="Normal Monster Damage %",(CHOOSE(MATCH($I$26,{"Rare","Epic","Unique","Legendary","Mystic","Mystic (Prime)"},0),4,6,9,14,20,24))*Sensitivity!$H$11,IF($J$26="Status Effect Damage %",0,IF($J$26="Damage %",(CHOOSE(MATCH($I$26,{"Rare","Epic","Unique","Legendary","Mystic","Mystic (Prime)"},0),4,6,9,14,20,24))*Sensitivity!$H$8,IF($J$26="Defense Penetration %",(CHOOSE(MATCH($I$26,{"Rare","Epic","Unique","Legendary","Mystic","Mystic (Prime)"},0),2,3,4.5,7,10,12))*Sensitivity!$H$18,0)))))))))))),0)</f>
        <v/>
      </c>
      <c r="L26">
        <f>Summary!$B$3*((IF(D26="(none)",1,1+(E26+IF(G26=D26,H26,0)+IF(J26=D26,K26,0))/Summary!$B$3))*(IF(OR(G26="(none)",G26=D26),1,1+(H26+IF(D26=G26,E26,0)+IF(J26=G26,K26,0))/Summary!$B$3))*(IF(OR(J26="",J26="(none)",J26=D26,J26=G26),1,1+(K26+IF(D26=J26,E26,0)+IF(G26=J26,H26,0))/Summary!$B$3))-1)</f>
        <v/>
      </c>
      <c r="M26">
        <f>OR(Inputs!$B$47="Fire Flower",Inputs!$B$48="Fire Flower",Inputs!$B$49="Fire Flower",Inputs!$B$50="Fire Flower")</f>
        <v/>
      </c>
      <c r="N26">
        <f>IF(B26="Not Unlocked",0,B26)</f>
        <v/>
      </c>
    </row>
    <row r="27">
      <c r="A27" s="6" t="inlineStr">
        <is>
          <t>Soul Contract</t>
        </is>
      </c>
      <c r="B27" s="7" t="inlineStr">
        <is>
          <t>Not Unlocked</t>
        </is>
      </c>
      <c r="C27" s="7" t="inlineStr">
        <is>
          <t>Rare</t>
        </is>
      </c>
      <c r="D27" s="7" t="inlineStr">
        <is>
          <t>(none)</t>
        </is>
      </c>
      <c r="E27">
        <f>IF($N$27&gt;=1,IF($D$27="Main Stat %",(CHOOSE(MATCH($C$27,{"Rare","Epic","Unique","Legendary","Mystic","Mystic (Prime)"},0),2,3,4.5,7,10,12))*Sensitivity!$H$6,IF($D$27="Damage Taken Decrease %",0,IF($D$27="Defense %",0,IF($D$27="Accuracy",0,IF($D$27="Critical Rate %",(CHOOSE(MATCH($C$27,{"Rare","Epic","Unique","Legendary","Mystic","Mystic (Prime)"},0),2,3,4.5,7,10,12))*Sensitivity!$H$15,IF($D$27="Min Damage Multiplier %",(CHOOSE(MATCH($C$27,{"Rare","Epic","Unique","Legendary","Mystic","Mystic (Prime)"},0),2,3,4.5,7,10,12))*Sensitivity!$H$13,IF($D$27="Max Damage Multiplier %",(CHOOSE(MATCH($C$27,{"Rare","Epic","Unique","Legendary","Mystic","Mystic (Prime)"},0),2,3,4.5,7,10,12))*Sensitivity!$H$14,IF($D$27="Boss Monster Damage %",(CHOOSE(MATCH($C$27,{"Rare","Epic","Unique","Legendary","Mystic","Mystic (Prime)"},0),4,6,9,14,20,24))*Sensitivity!$H$10,IF($D$27="Normal Monster Damage %",(CHOOSE(MATCH($C$27,{"Rare","Epic","Unique","Legendary","Mystic","Mystic (Prime)"},0),4,6,9,14,20,24))*Sensitivity!$H$11,IF($D$27="Status Effect Damage %",0,IF($D$27="Damage %",(CHOOSE(MATCH($C$27,{"Rare","Epic","Unique","Legendary","Mystic","Mystic (Prime)"},0),4,6,9,14,20,24))*Sensitivity!$H$8,IF($D$27="Defense Penetration %",(CHOOSE(MATCH($C$27,{"Rare","Epic","Unique","Legendary","Mystic","Mystic (Prime)"},0),2,3,4.5,7,10,12))*Sensitivity!$H$18,0)))))))))))),0)</f>
        <v/>
      </c>
      <c r="F27" s="7" t="inlineStr">
        <is>
          <t>Rare</t>
        </is>
      </c>
      <c r="G27" s="7" t="inlineStr">
        <is>
          <t>(none)</t>
        </is>
      </c>
      <c r="H27">
        <f>IF($N$27&gt;=2,IF($G$27="Main Stat %",(CHOOSE(MATCH($F$27,{"Rare","Epic","Unique","Legendary","Mystic","Mystic (Prime)"},0),2,3,4.5,7,10,12))*Sensitivity!$H$6,IF($G$27="Damage Taken Decrease %",0,IF($G$27="Defense %",0,IF($G$27="Accuracy",0,IF($G$27="Critical Rate %",(CHOOSE(MATCH($F$27,{"Rare","Epic","Unique","Legendary","Mystic","Mystic (Prime)"},0),2,3,4.5,7,10,12))*Sensitivity!$H$15,IF($G$27="Min Damage Multiplier %",(CHOOSE(MATCH($F$27,{"Rare","Epic","Unique","Legendary","Mystic","Mystic (Prime)"},0),2,3,4.5,7,10,12))*Sensitivity!$H$13,IF($G$27="Max Damage Multiplier %",(CHOOSE(MATCH($F$27,{"Rare","Epic","Unique","Legendary","Mystic","Mystic (Prime)"},0),2,3,4.5,7,10,12))*Sensitivity!$H$14,IF($G$27="Boss Monster Damage %",(CHOOSE(MATCH($F$27,{"Rare","Epic","Unique","Legendary","Mystic","Mystic (Prime)"},0),4,6,9,14,20,24))*Sensitivity!$H$10,IF($G$27="Normal Monster Damage %",(CHOOSE(MATCH($F$27,{"Rare","Epic","Unique","Legendary","Mystic","Mystic (Prime)"},0),4,6,9,14,20,24))*Sensitivity!$H$11,IF($G$27="Status Effect Damage %",0,IF($G$27="Damage %",(CHOOSE(MATCH($F$27,{"Rare","Epic","Unique","Legendary","Mystic","Mystic (Prime)"},0),4,6,9,14,20,24))*Sensitivity!$H$8,IF($G$27="Defense Penetration %",(CHOOSE(MATCH($F$27,{"Rare","Epic","Unique","Legendary","Mystic","Mystic (Prime)"},0),2,3,4.5,7,10,12))*Sensitivity!$H$18,0)))))))))))),0)</f>
        <v/>
      </c>
      <c r="I27" s="7" t="inlineStr">
        <is>
          <t>Rare</t>
        </is>
      </c>
      <c r="J27" s="7" t="inlineStr">
        <is>
          <t>(none)</t>
        </is>
      </c>
      <c r="K27">
        <f>IF($N$27&gt;=5,IF($J$27="Main Stat %",(CHOOSE(MATCH($I$27,{"Rare","Epic","Unique","Legendary","Mystic","Mystic (Prime)"},0),2,3,4.5,7,10,12))*Sensitivity!$H$6,IF($J$27="Damage Taken Decrease %",0,IF($J$27="Defense %",0,IF($J$27="Accuracy",0,IF($J$27="Critical Rate %",(CHOOSE(MATCH($I$27,{"Rare","Epic","Unique","Legendary","Mystic","Mystic (Prime)"},0),2,3,4.5,7,10,12))*Sensitivity!$H$15,IF($J$27="Min Damage Multiplier %",(CHOOSE(MATCH($I$27,{"Rare","Epic","Unique","Legendary","Mystic","Mystic (Prime)"},0),2,3,4.5,7,10,12))*Sensitivity!$H$13,IF($J$27="Max Damage Multiplier %",(CHOOSE(MATCH($I$27,{"Rare","Epic","Unique","Legendary","Mystic","Mystic (Prime)"},0),2,3,4.5,7,10,12))*Sensitivity!$H$14,IF($J$27="Boss Monster Damage %",(CHOOSE(MATCH($I$27,{"Rare","Epic","Unique","Legendary","Mystic","Mystic (Prime)"},0),4,6,9,14,20,24))*Sensitivity!$H$10,IF($J$27="Normal Monster Damage %",(CHOOSE(MATCH($I$27,{"Rare","Epic","Unique","Legendary","Mystic","Mystic (Prime)"},0),4,6,9,14,20,24))*Sensitivity!$H$11,IF($J$27="Status Effect Damage %",0,IF($J$27="Damage %",(CHOOSE(MATCH($I$27,{"Rare","Epic","Unique","Legendary","Mystic","Mystic (Prime)"},0),4,6,9,14,20,24))*Sensitivity!$H$8,IF($J$27="Defense Penetration %",(CHOOSE(MATCH($I$27,{"Rare","Epic","Unique","Legendary","Mystic","Mystic (Prime)"},0),2,3,4.5,7,10,12))*Sensitivity!$H$18,0)))))))))))),0)</f>
        <v/>
      </c>
      <c r="L27">
        <f>Summary!$B$3*((IF(D27="(none)",1,1+(E27+IF(G27=D27,H27,0)+IF(J27=D27,K27,0))/Summary!$B$3))*(IF(OR(G27="(none)",G27=D27),1,1+(H27+IF(D27=G27,E27,0)+IF(J27=G27,K27,0))/Summary!$B$3))*(IF(OR(J27="",J27="(none)",J27=D27,J27=G27),1,1+(K27+IF(D27=J27,E27,0)+IF(G27=J27,H27,0))/Summary!$B$3))-1)</f>
        <v/>
      </c>
      <c r="M27">
        <f>OR(Inputs!$B$47="Soul Contract",Inputs!$B$48="Soul Contract",Inputs!$B$49="Soul Contract",Inputs!$B$50="Soul Contract")</f>
        <v/>
      </c>
      <c r="N27">
        <f>IF(B27="Not Unlocked",0,B27)</f>
        <v/>
      </c>
    </row>
    <row r="28">
      <c r="A28" s="6" t="inlineStr">
        <is>
          <t>Lit Lamp</t>
        </is>
      </c>
      <c r="B28" s="7" t="inlineStr">
        <is>
          <t>Not Unlocked</t>
        </is>
      </c>
      <c r="C28" s="7" t="inlineStr">
        <is>
          <t>Rare</t>
        </is>
      </c>
      <c r="D28" s="7" t="inlineStr">
        <is>
          <t>(none)</t>
        </is>
      </c>
      <c r="E28">
        <f>IF($N$28&gt;=1,IF($D$28="Main Stat %",(CHOOSE(MATCH($C$28,{"Rare","Epic","Unique","Legendary","Mystic","Mystic (Prime)"},0),2,3,4.5,7,10,12))*Sensitivity!$H$6,IF($D$28="Damage Taken Decrease %",0,IF($D$28="Defense %",0,IF($D$28="Accuracy",0,IF($D$28="Critical Rate %",(CHOOSE(MATCH($C$28,{"Rare","Epic","Unique","Legendary","Mystic","Mystic (Prime)"},0),2,3,4.5,7,10,12))*Sensitivity!$H$15,IF($D$28="Min Damage Multiplier %",(CHOOSE(MATCH($C$28,{"Rare","Epic","Unique","Legendary","Mystic","Mystic (Prime)"},0),2,3,4.5,7,10,12))*Sensitivity!$H$13,IF($D$28="Max Damage Multiplier %",(CHOOSE(MATCH($C$28,{"Rare","Epic","Unique","Legendary","Mystic","Mystic (Prime)"},0),2,3,4.5,7,10,12))*Sensitivity!$H$14,IF($D$28="Boss Monster Damage %",(CHOOSE(MATCH($C$28,{"Rare","Epic","Unique","Legendary","Mystic","Mystic (Prime)"},0),4,6,9,14,20,24))*Sensitivity!$H$10,IF($D$28="Normal Monster Damage %",(CHOOSE(MATCH($C$28,{"Rare","Epic","Unique","Legendary","Mystic","Mystic (Prime)"},0),4,6,9,14,20,24))*Sensitivity!$H$11,IF($D$28="Status Effect Damage %",0,IF($D$28="Damage %",(CHOOSE(MATCH($C$28,{"Rare","Epic","Unique","Legendary","Mystic","Mystic (Prime)"},0),4,6,9,14,20,24))*Sensitivity!$H$8,IF($D$28="Defense Penetration %",(CHOOSE(MATCH($C$28,{"Rare","Epic","Unique","Legendary","Mystic","Mystic (Prime)"},0),2,3,4.5,7,10,12))*Sensitivity!$H$18,0)))))))))))),0)</f>
        <v/>
      </c>
      <c r="F28" s="7" t="inlineStr">
        <is>
          <t>Rare</t>
        </is>
      </c>
      <c r="G28" s="7" t="inlineStr">
        <is>
          <t>(none)</t>
        </is>
      </c>
      <c r="H28">
        <f>IF($N$28&gt;=2,IF($G$28="Main Stat %",(CHOOSE(MATCH($F$28,{"Rare","Epic","Unique","Legendary","Mystic","Mystic (Prime)"},0),2,3,4.5,7,10,12))*Sensitivity!$H$6,IF($G$28="Damage Taken Decrease %",0,IF($G$28="Defense %",0,IF($G$28="Accuracy",0,IF($G$28="Critical Rate %",(CHOOSE(MATCH($F$28,{"Rare","Epic","Unique","Legendary","Mystic","Mystic (Prime)"},0),2,3,4.5,7,10,12))*Sensitivity!$H$15,IF($G$28="Min Damage Multiplier %",(CHOOSE(MATCH($F$28,{"Rare","Epic","Unique","Legendary","Mystic","Mystic (Prime)"},0),2,3,4.5,7,10,12))*Sensitivity!$H$13,IF($G$28="Max Damage Multiplier %",(CHOOSE(MATCH($F$28,{"Rare","Epic","Unique","Legendary","Mystic","Mystic (Prime)"},0),2,3,4.5,7,10,12))*Sensitivity!$H$14,IF($G$28="Boss Monster Damage %",(CHOOSE(MATCH($F$28,{"Rare","Epic","Unique","Legendary","Mystic","Mystic (Prime)"},0),4,6,9,14,20,24))*Sensitivity!$H$10,IF($G$28="Normal Monster Damage %",(CHOOSE(MATCH($F$28,{"Rare","Epic","Unique","Legendary","Mystic","Mystic (Prime)"},0),4,6,9,14,20,24))*Sensitivity!$H$11,IF($G$28="Status Effect Damage %",0,IF($G$28="Damage %",(CHOOSE(MATCH($F$28,{"Rare","Epic","Unique","Legendary","Mystic","Mystic (Prime)"},0),4,6,9,14,20,24))*Sensitivity!$H$8,IF($G$28="Defense Penetration %",(CHOOSE(MATCH($F$28,{"Rare","Epic","Unique","Legendary","Mystic","Mystic (Prime)"},0),2,3,4.5,7,10,12))*Sensitivity!$H$18,0)))))))))))),0)</f>
        <v/>
      </c>
      <c r="I28" s="7" t="inlineStr">
        <is>
          <t>Rare</t>
        </is>
      </c>
      <c r="J28" s="7" t="inlineStr">
        <is>
          <t>(none)</t>
        </is>
      </c>
      <c r="K28">
        <f>IF($N$28&gt;=5,IF($J$28="Main Stat %",(CHOOSE(MATCH($I$28,{"Rare","Epic","Unique","Legendary","Mystic","Mystic (Prime)"},0),2,3,4.5,7,10,12))*Sensitivity!$H$6,IF($J$28="Damage Taken Decrease %",0,IF($J$28="Defense %",0,IF($J$28="Accuracy",0,IF($J$28="Critical Rate %",(CHOOSE(MATCH($I$28,{"Rare","Epic","Unique","Legendary","Mystic","Mystic (Prime)"},0),2,3,4.5,7,10,12))*Sensitivity!$H$15,IF($J$28="Min Damage Multiplier %",(CHOOSE(MATCH($I$28,{"Rare","Epic","Unique","Legendary","Mystic","Mystic (Prime)"},0),2,3,4.5,7,10,12))*Sensitivity!$H$13,IF($J$28="Max Damage Multiplier %",(CHOOSE(MATCH($I$28,{"Rare","Epic","Unique","Legendary","Mystic","Mystic (Prime)"},0),2,3,4.5,7,10,12))*Sensitivity!$H$14,IF($J$28="Boss Monster Damage %",(CHOOSE(MATCH($I$28,{"Rare","Epic","Unique","Legendary","Mystic","Mystic (Prime)"},0),4,6,9,14,20,24))*Sensitivity!$H$10,IF($J$28="Normal Monster Damage %",(CHOOSE(MATCH($I$28,{"Rare","Epic","Unique","Legendary","Mystic","Mystic (Prime)"},0),4,6,9,14,20,24))*Sensitivity!$H$11,IF($J$28="Status Effect Damage %",0,IF($J$28="Damage %",(CHOOSE(MATCH($I$28,{"Rare","Epic","Unique","Legendary","Mystic","Mystic (Prime)"},0),4,6,9,14,20,24))*Sensitivity!$H$8,IF($J$28="Defense Penetration %",(CHOOSE(MATCH($I$28,{"Rare","Epic","Unique","Legendary","Mystic","Mystic (Prime)"},0),2,3,4.5,7,10,12))*Sensitivity!$H$18,0)))))))))))),0)</f>
        <v/>
      </c>
      <c r="L28">
        <f>Summary!$B$3*((IF(D28="(none)",1,1+(E28+IF(G28=D28,H28,0)+IF(J28=D28,K28,0))/Summary!$B$3))*(IF(OR(G28="(none)",G28=D28),1,1+(H28+IF(D28=G28,E28,0)+IF(J28=G28,K28,0))/Summary!$B$3))*(IF(OR(J28="",J28="(none)",J28=D28,J28=G28),1,1+(K28+IF(D28=J28,E28,0)+IF(G28=J28,H28,0))/Summary!$B$3))-1)</f>
        <v/>
      </c>
      <c r="M28">
        <f>OR(Inputs!$B$47="Lit Lamp",Inputs!$B$48="Lit Lamp",Inputs!$B$49="Lit Lamp",Inputs!$B$50="Lit Lamp")</f>
        <v/>
      </c>
      <c r="N28">
        <f>IF(B28="Not Unlocked",0,B28)</f>
        <v/>
      </c>
    </row>
    <row r="29">
      <c r="A29" s="6" t="inlineStr">
        <is>
          <t>Soul Pouch</t>
        </is>
      </c>
      <c r="B29" s="7" t="inlineStr">
        <is>
          <t>Not Unlocked</t>
        </is>
      </c>
      <c r="C29" s="7" t="inlineStr">
        <is>
          <t>Rare</t>
        </is>
      </c>
      <c r="D29" s="7" t="inlineStr">
        <is>
          <t>(none)</t>
        </is>
      </c>
      <c r="E29">
        <f>IF($N$29&gt;=1,IF($D$29="Main Stat %",(CHOOSE(MATCH($C$29,{"Rare","Epic","Unique","Legendary","Mystic","Mystic (Prime)"},0),2,3,4.5,7,10,12))*Sensitivity!$H$6,IF($D$29="Damage Taken Decrease %",0,IF($D$29="Defense %",0,IF($D$29="Accuracy",0,IF($D$29="Critical Rate %",(CHOOSE(MATCH($C$29,{"Rare","Epic","Unique","Legendary","Mystic","Mystic (Prime)"},0),2,3,4.5,7,10,12))*Sensitivity!$H$15,IF($D$29="Min Damage Multiplier %",(CHOOSE(MATCH($C$29,{"Rare","Epic","Unique","Legendary","Mystic","Mystic (Prime)"},0),2,3,4.5,7,10,12))*Sensitivity!$H$13,IF($D$29="Max Damage Multiplier %",(CHOOSE(MATCH($C$29,{"Rare","Epic","Unique","Legendary","Mystic","Mystic (Prime)"},0),2,3,4.5,7,10,12))*Sensitivity!$H$14,IF($D$29="Boss Monster Damage %",(CHOOSE(MATCH($C$29,{"Rare","Epic","Unique","Legendary","Mystic","Mystic (Prime)"},0),4,6,9,14,20,24))*Sensitivity!$H$10,IF($D$29="Normal Monster Damage %",(CHOOSE(MATCH($C$29,{"Rare","Epic","Unique","Legendary","Mystic","Mystic (Prime)"},0),4,6,9,14,20,24))*Sensitivity!$H$11,IF($D$29="Status Effect Damage %",0,IF($D$29="Damage %",(CHOOSE(MATCH($C$29,{"Rare","Epic","Unique","Legendary","Mystic","Mystic (Prime)"},0),4,6,9,14,20,24))*Sensitivity!$H$8,IF($D$29="Defense Penetration %",(CHOOSE(MATCH($C$29,{"Rare","Epic","Unique","Legendary","Mystic","Mystic (Prime)"},0),2,3,4.5,7,10,12))*Sensitivity!$H$18,0)))))))))))),0)</f>
        <v/>
      </c>
      <c r="F29" s="7" t="inlineStr">
        <is>
          <t>Rare</t>
        </is>
      </c>
      <c r="G29" s="7" t="inlineStr">
        <is>
          <t>(none)</t>
        </is>
      </c>
      <c r="H29">
        <f>IF($N$29&gt;=2,IF($G$29="Main Stat %",(CHOOSE(MATCH($F$29,{"Rare","Epic","Unique","Legendary","Mystic","Mystic (Prime)"},0),2,3,4.5,7,10,12))*Sensitivity!$H$6,IF($G$29="Damage Taken Decrease %",0,IF($G$29="Defense %",0,IF($G$29="Accuracy",0,IF($G$29="Critical Rate %",(CHOOSE(MATCH($F$29,{"Rare","Epic","Unique","Legendary","Mystic","Mystic (Prime)"},0),2,3,4.5,7,10,12))*Sensitivity!$H$15,IF($G$29="Min Damage Multiplier %",(CHOOSE(MATCH($F$29,{"Rare","Epic","Unique","Legendary","Mystic","Mystic (Prime)"},0),2,3,4.5,7,10,12))*Sensitivity!$H$13,IF($G$29="Max Damage Multiplier %",(CHOOSE(MATCH($F$29,{"Rare","Epic","Unique","Legendary","Mystic","Mystic (Prime)"},0),2,3,4.5,7,10,12))*Sensitivity!$H$14,IF($G$29="Boss Monster Damage %",(CHOOSE(MATCH($F$29,{"Rare","Epic","Unique","Legendary","Mystic","Mystic (Prime)"},0),4,6,9,14,20,24))*Sensitivity!$H$10,IF($G$29="Normal Monster Damage %",(CHOOSE(MATCH($F$29,{"Rare","Epic","Unique","Legendary","Mystic","Mystic (Prime)"},0),4,6,9,14,20,24))*Sensitivity!$H$11,IF($G$29="Status Effect Damage %",0,IF($G$29="Damage %",(CHOOSE(MATCH($F$29,{"Rare","Epic","Unique","Legendary","Mystic","Mystic (Prime)"},0),4,6,9,14,20,24))*Sensitivity!$H$8,IF($G$29="Defense Penetration %",(CHOOSE(MATCH($F$29,{"Rare","Epic","Unique","Legendary","Mystic","Mystic (Prime)"},0),2,3,4.5,7,10,12))*Sensitivity!$H$18,0)))))))))))),0)</f>
        <v/>
      </c>
      <c r="I29" s="7" t="inlineStr">
        <is>
          <t>Rare</t>
        </is>
      </c>
      <c r="J29" s="7" t="inlineStr">
        <is>
          <t>(none)</t>
        </is>
      </c>
      <c r="K29">
        <f>IF($N$29&gt;=5,IF($J$29="Main Stat %",(CHOOSE(MATCH($I$29,{"Rare","Epic","Unique","Legendary","Mystic","Mystic (Prime)"},0),2,3,4.5,7,10,12))*Sensitivity!$H$6,IF($J$29="Damage Taken Decrease %",0,IF($J$29="Defense %",0,IF($J$29="Accuracy",0,IF($J$29="Critical Rate %",(CHOOSE(MATCH($I$29,{"Rare","Epic","Unique","Legendary","Mystic","Mystic (Prime)"},0),2,3,4.5,7,10,12))*Sensitivity!$H$15,IF($J$29="Min Damage Multiplier %",(CHOOSE(MATCH($I$29,{"Rare","Epic","Unique","Legendary","Mystic","Mystic (Prime)"},0),2,3,4.5,7,10,12))*Sensitivity!$H$13,IF($J$29="Max Damage Multiplier %",(CHOOSE(MATCH($I$29,{"Rare","Epic","Unique","Legendary","Mystic","Mystic (Prime)"},0),2,3,4.5,7,10,12))*Sensitivity!$H$14,IF($J$29="Boss Monster Damage %",(CHOOSE(MATCH($I$29,{"Rare","Epic","Unique","Legendary","Mystic","Mystic (Prime)"},0),4,6,9,14,20,24))*Sensitivity!$H$10,IF($J$29="Normal Monster Damage %",(CHOOSE(MATCH($I$29,{"Rare","Epic","Unique","Legendary","Mystic","Mystic (Prime)"},0),4,6,9,14,20,24))*Sensitivity!$H$11,IF($J$29="Status Effect Damage %",0,IF($J$29="Damage %",(CHOOSE(MATCH($I$29,{"Rare","Epic","Unique","Legendary","Mystic","Mystic (Prime)"},0),4,6,9,14,20,24))*Sensitivity!$H$8,IF($J$29="Defense Penetration %",(CHOOSE(MATCH($I$29,{"Rare","Epic","Unique","Legendary","Mystic","Mystic (Prime)"},0),2,3,4.5,7,10,12))*Sensitivity!$H$18,0)))))))))))),0)</f>
        <v/>
      </c>
      <c r="L29">
        <f>Summary!$B$3*((IF(D29="(none)",1,1+(E29+IF(G29=D29,H29,0)+IF(J29=D29,K29,0))/Summary!$B$3))*(IF(OR(G29="(none)",G29=D29),1,1+(H29+IF(D29=G29,E29,0)+IF(J29=G29,K29,0))/Summary!$B$3))*(IF(OR(J29="",J29="(none)",J29=D29,J29=G29),1,1+(K29+IF(D29=J29,E29,0)+IF(G29=J29,H29,0))/Summary!$B$3))-1)</f>
        <v/>
      </c>
      <c r="M29">
        <f>OR(Inputs!$B$47="Soul Pouch",Inputs!$B$48="Soul Pouch",Inputs!$B$49="Soul Pouch",Inputs!$B$50="Soul Pouch")</f>
        <v/>
      </c>
      <c r="N29">
        <f>IF(B29="Not Unlocked",0,B29)</f>
        <v/>
      </c>
    </row>
    <row r="30">
      <c r="A30" s="6" t="inlineStr">
        <is>
          <t>Ancient Text Piece</t>
        </is>
      </c>
      <c r="B30" s="7" t="inlineStr">
        <is>
          <t>Not Unlocked</t>
        </is>
      </c>
      <c r="C30" s="7" t="inlineStr">
        <is>
          <t>Rare</t>
        </is>
      </c>
      <c r="D30" s="7" t="inlineStr">
        <is>
          <t>(none)</t>
        </is>
      </c>
      <c r="E30">
        <f>IF($N$30&gt;=1,IF($D$30="Main Stat %",(CHOOSE(MATCH($C$30,{"Rare","Epic","Unique","Legendary","Mystic","Mystic (Prime)"},0),2,3,4.5,7,10,12))*Sensitivity!$H$6,IF($D$30="Damage Taken Decrease %",0,IF($D$30="Defense %",0,IF($D$30="Accuracy",0,IF($D$30="Critical Rate %",(CHOOSE(MATCH($C$30,{"Rare","Epic","Unique","Legendary","Mystic","Mystic (Prime)"},0),2,3,4.5,7,10,12))*Sensitivity!$H$15,IF($D$30="Min Damage Multiplier %",(CHOOSE(MATCH($C$30,{"Rare","Epic","Unique","Legendary","Mystic","Mystic (Prime)"},0),2,3,4.5,7,10,12))*Sensitivity!$H$13,IF($D$30="Max Damage Multiplier %",(CHOOSE(MATCH($C$30,{"Rare","Epic","Unique","Legendary","Mystic","Mystic (Prime)"},0),2,3,4.5,7,10,12))*Sensitivity!$H$14,IF($D$30="Boss Monster Damage %",(CHOOSE(MATCH($C$30,{"Rare","Epic","Unique","Legendary","Mystic","Mystic (Prime)"},0),4,6,9,14,20,24))*Sensitivity!$H$10,IF($D$30="Normal Monster Damage %",(CHOOSE(MATCH($C$30,{"Rare","Epic","Unique","Legendary","Mystic","Mystic (Prime)"},0),4,6,9,14,20,24))*Sensitivity!$H$11,IF($D$30="Status Effect Damage %",0,IF($D$30="Damage %",(CHOOSE(MATCH($C$30,{"Rare","Epic","Unique","Legendary","Mystic","Mystic (Prime)"},0),4,6,9,14,20,24))*Sensitivity!$H$8,IF($D$30="Defense Penetration %",(CHOOSE(MATCH($C$30,{"Rare","Epic","Unique","Legendary","Mystic","Mystic (Prime)"},0),2,3,4.5,7,10,12))*Sensitivity!$H$18,0)))))))))))),0)</f>
        <v/>
      </c>
      <c r="F30" s="7" t="inlineStr">
        <is>
          <t>Rare</t>
        </is>
      </c>
      <c r="G30" s="7" t="inlineStr">
        <is>
          <t>(none)</t>
        </is>
      </c>
      <c r="H30">
        <f>IF($N$30&gt;=2,IF($G$30="Main Stat %",(CHOOSE(MATCH($F$30,{"Rare","Epic","Unique","Legendary","Mystic","Mystic (Prime)"},0),2,3,4.5,7,10,12))*Sensitivity!$H$6,IF($G$30="Damage Taken Decrease %",0,IF($G$30="Defense %",0,IF($G$30="Accuracy",0,IF($G$30="Critical Rate %",(CHOOSE(MATCH($F$30,{"Rare","Epic","Unique","Legendary","Mystic","Mystic (Prime)"},0),2,3,4.5,7,10,12))*Sensitivity!$H$15,IF($G$30="Min Damage Multiplier %",(CHOOSE(MATCH($F$30,{"Rare","Epic","Unique","Legendary","Mystic","Mystic (Prime)"},0),2,3,4.5,7,10,12))*Sensitivity!$H$13,IF($G$30="Max Damage Multiplier %",(CHOOSE(MATCH($F$30,{"Rare","Epic","Unique","Legendary","Mystic","Mystic (Prime)"},0),2,3,4.5,7,10,12))*Sensitivity!$H$14,IF($G$30="Boss Monster Damage %",(CHOOSE(MATCH($F$30,{"Rare","Epic","Unique","Legendary","Mystic","Mystic (Prime)"},0),4,6,9,14,20,24))*Sensitivity!$H$10,IF($G$30="Normal Monster Damage %",(CHOOSE(MATCH($F$30,{"Rare","Epic","Unique","Legendary","Mystic","Mystic (Prime)"},0),4,6,9,14,20,24))*Sensitivity!$H$11,IF($G$30="Status Effect Damage %",0,IF($G$30="Damage %",(CHOOSE(MATCH($F$30,{"Rare","Epic","Unique","Legendary","Mystic","Mystic (Prime)"},0),4,6,9,14,20,24))*Sensitivity!$H$8,IF($G$30="Defense Penetration %",(CHOOSE(MATCH($F$30,{"Rare","Epic","Unique","Legendary","Mystic","Mystic (Prime)"},0),2,3,4.5,7,10,12))*Sensitivity!$H$18,0)))))))))))),0)</f>
        <v/>
      </c>
      <c r="I30" s="7" t="inlineStr">
        <is>
          <t>Rare</t>
        </is>
      </c>
      <c r="J30" s="7" t="inlineStr">
        <is>
          <t>(none)</t>
        </is>
      </c>
      <c r="K30">
        <f>IF($N$30&gt;=5,IF($J$30="Main Stat %",(CHOOSE(MATCH($I$30,{"Rare","Epic","Unique","Legendary","Mystic","Mystic (Prime)"},0),2,3,4.5,7,10,12))*Sensitivity!$H$6,IF($J$30="Damage Taken Decrease %",0,IF($J$30="Defense %",0,IF($J$30="Accuracy",0,IF($J$30="Critical Rate %",(CHOOSE(MATCH($I$30,{"Rare","Epic","Unique","Legendary","Mystic","Mystic (Prime)"},0),2,3,4.5,7,10,12))*Sensitivity!$H$15,IF($J$30="Min Damage Multiplier %",(CHOOSE(MATCH($I$30,{"Rare","Epic","Unique","Legendary","Mystic","Mystic (Prime)"},0),2,3,4.5,7,10,12))*Sensitivity!$H$13,IF($J$30="Max Damage Multiplier %",(CHOOSE(MATCH($I$30,{"Rare","Epic","Unique","Legendary","Mystic","Mystic (Prime)"},0),2,3,4.5,7,10,12))*Sensitivity!$H$14,IF($J$30="Boss Monster Damage %",(CHOOSE(MATCH($I$30,{"Rare","Epic","Unique","Legendary","Mystic","Mystic (Prime)"},0),4,6,9,14,20,24))*Sensitivity!$H$10,IF($J$30="Normal Monster Damage %",(CHOOSE(MATCH($I$30,{"Rare","Epic","Unique","Legendary","Mystic","Mystic (Prime)"},0),4,6,9,14,20,24))*Sensitivity!$H$11,IF($J$30="Status Effect Damage %",0,IF($J$30="Damage %",(CHOOSE(MATCH($I$30,{"Rare","Epic","Unique","Legendary","Mystic","Mystic (Prime)"},0),4,6,9,14,20,24))*Sensitivity!$H$8,IF($J$30="Defense Penetration %",(CHOOSE(MATCH($I$30,{"Rare","Epic","Unique","Legendary","Mystic","Mystic (Prime)"},0),2,3,4.5,7,10,12))*Sensitivity!$H$18,0)))))))))))),0)</f>
        <v/>
      </c>
      <c r="L30">
        <f>Summary!$B$3*((IF(D30="(none)",1,1+(E30+IF(G30=D30,H30,0)+IF(J30=D30,K30,0))/Summary!$B$3))*(IF(OR(G30="(none)",G30=D30),1,1+(H30+IF(D30=G30,E30,0)+IF(J30=G30,K30,0))/Summary!$B$3))*(IF(OR(J30="",J30="(none)",J30=D30,J30=G30),1,1+(K30+IF(D30=J30,E30,0)+IF(G30=J30,H30,0))/Summary!$B$3))-1)</f>
        <v/>
      </c>
      <c r="M30">
        <f>OR(Inputs!$B$47="Ancient Text Piece",Inputs!$B$48="Ancient Text Piece",Inputs!$B$49="Ancient Text Piece",Inputs!$B$50="Ancient Text Piece")</f>
        <v/>
      </c>
      <c r="N30">
        <f>IF(B30="Not Unlocked",0,B30)</f>
        <v/>
      </c>
    </row>
    <row r="31">
      <c r="A31" s="6" t="inlineStr">
        <is>
          <t>Icy Soul Rock</t>
        </is>
      </c>
      <c r="B31" s="7" t="inlineStr">
        <is>
          <t>Not Unlocked</t>
        </is>
      </c>
      <c r="C31" s="7" t="inlineStr">
        <is>
          <t>Rare</t>
        </is>
      </c>
      <c r="D31" s="7" t="inlineStr">
        <is>
          <t>(none)</t>
        </is>
      </c>
      <c r="E31">
        <f>IF($N$31&gt;=1,IF($D$31="Main Stat %",(CHOOSE(MATCH($C$31,{"Rare","Epic","Unique","Legendary","Mystic","Mystic (Prime)"},0),2,3,4.5,7,10,12))*Sensitivity!$H$6,IF($D$31="Damage Taken Decrease %",0,IF($D$31="Defense %",0,IF($D$31="Accuracy",0,IF($D$31="Critical Rate %",(CHOOSE(MATCH($C$31,{"Rare","Epic","Unique","Legendary","Mystic","Mystic (Prime)"},0),2,3,4.5,7,10,12))*Sensitivity!$H$15,IF($D$31="Min Damage Multiplier %",(CHOOSE(MATCH($C$31,{"Rare","Epic","Unique","Legendary","Mystic","Mystic (Prime)"},0),2,3,4.5,7,10,12))*Sensitivity!$H$13,IF($D$31="Max Damage Multiplier %",(CHOOSE(MATCH($C$31,{"Rare","Epic","Unique","Legendary","Mystic","Mystic (Prime)"},0),2,3,4.5,7,10,12))*Sensitivity!$H$14,IF($D$31="Boss Monster Damage %",(CHOOSE(MATCH($C$31,{"Rare","Epic","Unique","Legendary","Mystic","Mystic (Prime)"},0),4,6,9,14,20,24))*Sensitivity!$H$10,IF($D$31="Normal Monster Damage %",(CHOOSE(MATCH($C$31,{"Rare","Epic","Unique","Legendary","Mystic","Mystic (Prime)"},0),4,6,9,14,20,24))*Sensitivity!$H$11,IF($D$31="Status Effect Damage %",0,IF($D$31="Damage %",(CHOOSE(MATCH($C$31,{"Rare","Epic","Unique","Legendary","Mystic","Mystic (Prime)"},0),4,6,9,14,20,24))*Sensitivity!$H$8,IF($D$31="Defense Penetration %",(CHOOSE(MATCH($C$31,{"Rare","Epic","Unique","Legendary","Mystic","Mystic (Prime)"},0),2,3,4.5,7,10,12))*Sensitivity!$H$18,0)))))))))))),0)</f>
        <v/>
      </c>
      <c r="F31" s="7" t="inlineStr">
        <is>
          <t>Rare</t>
        </is>
      </c>
      <c r="G31" s="7" t="inlineStr">
        <is>
          <t>(none)</t>
        </is>
      </c>
      <c r="H31">
        <f>IF($N$31&gt;=2,IF($G$31="Main Stat %",(CHOOSE(MATCH($F$31,{"Rare","Epic","Unique","Legendary","Mystic","Mystic (Prime)"},0),2,3,4.5,7,10,12))*Sensitivity!$H$6,IF($G$31="Damage Taken Decrease %",0,IF($G$31="Defense %",0,IF($G$31="Accuracy",0,IF($G$31="Critical Rate %",(CHOOSE(MATCH($F$31,{"Rare","Epic","Unique","Legendary","Mystic","Mystic (Prime)"},0),2,3,4.5,7,10,12))*Sensitivity!$H$15,IF($G$31="Min Damage Multiplier %",(CHOOSE(MATCH($F$31,{"Rare","Epic","Unique","Legendary","Mystic","Mystic (Prime)"},0),2,3,4.5,7,10,12))*Sensitivity!$H$13,IF($G$31="Max Damage Multiplier %",(CHOOSE(MATCH($F$31,{"Rare","Epic","Unique","Legendary","Mystic","Mystic (Prime)"},0),2,3,4.5,7,10,12))*Sensitivity!$H$14,IF($G$31="Boss Monster Damage %",(CHOOSE(MATCH($F$31,{"Rare","Epic","Unique","Legendary","Mystic","Mystic (Prime)"},0),4,6,9,14,20,24))*Sensitivity!$H$10,IF($G$31="Normal Monster Damage %",(CHOOSE(MATCH($F$31,{"Rare","Epic","Unique","Legendary","Mystic","Mystic (Prime)"},0),4,6,9,14,20,24))*Sensitivity!$H$11,IF($G$31="Status Effect Damage %",0,IF($G$31="Damage %",(CHOOSE(MATCH($F$31,{"Rare","Epic","Unique","Legendary","Mystic","Mystic (Prime)"},0),4,6,9,14,20,24))*Sensitivity!$H$8,IF($G$31="Defense Penetration %",(CHOOSE(MATCH($F$31,{"Rare","Epic","Unique","Legendary","Mystic","Mystic (Prime)"},0),2,3,4.5,7,10,12))*Sensitivity!$H$18,0)))))))))))),0)</f>
        <v/>
      </c>
      <c r="I31" s="7" t="inlineStr">
        <is>
          <t>Rare</t>
        </is>
      </c>
      <c r="J31" s="7" t="inlineStr">
        <is>
          <t>(none)</t>
        </is>
      </c>
      <c r="K31">
        <f>IF($N$31&gt;=5,IF($J$31="Main Stat %",(CHOOSE(MATCH($I$31,{"Rare","Epic","Unique","Legendary","Mystic","Mystic (Prime)"},0),2,3,4.5,7,10,12))*Sensitivity!$H$6,IF($J$31="Damage Taken Decrease %",0,IF($J$31="Defense %",0,IF($J$31="Accuracy",0,IF($J$31="Critical Rate %",(CHOOSE(MATCH($I$31,{"Rare","Epic","Unique","Legendary","Mystic","Mystic (Prime)"},0),2,3,4.5,7,10,12))*Sensitivity!$H$15,IF($J$31="Min Damage Multiplier %",(CHOOSE(MATCH($I$31,{"Rare","Epic","Unique","Legendary","Mystic","Mystic (Prime)"},0),2,3,4.5,7,10,12))*Sensitivity!$H$13,IF($J$31="Max Damage Multiplier %",(CHOOSE(MATCH($I$31,{"Rare","Epic","Unique","Legendary","Mystic","Mystic (Prime)"},0),2,3,4.5,7,10,12))*Sensitivity!$H$14,IF($J$31="Boss Monster Damage %",(CHOOSE(MATCH($I$31,{"Rare","Epic","Unique","Legendary","Mystic","Mystic (Prime)"},0),4,6,9,14,20,24))*Sensitivity!$H$10,IF($J$31="Normal Monster Damage %",(CHOOSE(MATCH($I$31,{"Rare","Epic","Unique","Legendary","Mystic","Mystic (Prime)"},0),4,6,9,14,20,24))*Sensitivity!$H$11,IF($J$31="Status Effect Damage %",0,IF($J$31="Damage %",(CHOOSE(MATCH($I$31,{"Rare","Epic","Unique","Legendary","Mystic","Mystic (Prime)"},0),4,6,9,14,20,24))*Sensitivity!$H$8,IF($J$31="Defense Penetration %",(CHOOSE(MATCH($I$31,{"Rare","Epic","Unique","Legendary","Mystic","Mystic (Prime)"},0),2,3,4.5,7,10,12))*Sensitivity!$H$18,0)))))))))))),0)</f>
        <v/>
      </c>
      <c r="L31">
        <f>Summary!$B$3*((IF(D31="(none)",1,1+(E31+IF(G31=D31,H31,0)+IF(J31=D31,K31,0))/Summary!$B$3))*(IF(OR(G31="(none)",G31=D31),1,1+(H31+IF(D31=G31,E31,0)+IF(J31=G31,K31,0))/Summary!$B$3))*(IF(OR(J31="",J31="(none)",J31=D31,J31=G31),1,1+(K31+IF(D31=J31,E31,0)+IF(G31=J31,H31,0))/Summary!$B$3))-1)</f>
        <v/>
      </c>
      <c r="M31">
        <f>OR(Inputs!$B$47="Icy Soul Rock",Inputs!$B$48="Icy Soul Rock",Inputs!$B$49="Icy Soul Rock",Inputs!$B$50="Icy Soul Rock")</f>
        <v/>
      </c>
      <c r="N31">
        <f>IF(B31="Not Unlocked",0,B31)</f>
        <v/>
      </c>
    </row>
    <row r="32">
      <c r="A32" s="6" t="inlineStr">
        <is>
          <t>Flaming Lava</t>
        </is>
      </c>
      <c r="B32" s="7" t="inlineStr">
        <is>
          <t>Not Unlocked</t>
        </is>
      </c>
      <c r="C32" s="7" t="inlineStr">
        <is>
          <t>Rare</t>
        </is>
      </c>
      <c r="D32" s="7" t="inlineStr">
        <is>
          <t>(none)</t>
        </is>
      </c>
      <c r="E32">
        <f>IF($N$32&gt;=1,IF($D$32="Main Stat %",(CHOOSE(MATCH($C$32,{"Rare","Epic","Unique","Legendary","Mystic","Mystic (Prime)"},0),2,3,4.5,7,10,12))*Sensitivity!$H$6,IF($D$32="Damage Taken Decrease %",0,IF($D$32="Defense %",0,IF($D$32="Accuracy",0,IF($D$32="Critical Rate %",(CHOOSE(MATCH($C$32,{"Rare","Epic","Unique","Legendary","Mystic","Mystic (Prime)"},0),2,3,4.5,7,10,12))*Sensitivity!$H$15,IF($D$32="Min Damage Multiplier %",(CHOOSE(MATCH($C$32,{"Rare","Epic","Unique","Legendary","Mystic","Mystic (Prime)"},0),2,3,4.5,7,10,12))*Sensitivity!$H$13,IF($D$32="Max Damage Multiplier %",(CHOOSE(MATCH($C$32,{"Rare","Epic","Unique","Legendary","Mystic","Mystic (Prime)"},0),2,3,4.5,7,10,12))*Sensitivity!$H$14,IF($D$32="Boss Monster Damage %",(CHOOSE(MATCH($C$32,{"Rare","Epic","Unique","Legendary","Mystic","Mystic (Prime)"},0),4,6,9,14,20,24))*Sensitivity!$H$10,IF($D$32="Normal Monster Damage %",(CHOOSE(MATCH($C$32,{"Rare","Epic","Unique","Legendary","Mystic","Mystic (Prime)"},0),4,6,9,14,20,24))*Sensitivity!$H$11,IF($D$32="Status Effect Damage %",0,IF($D$32="Damage %",(CHOOSE(MATCH($C$32,{"Rare","Epic","Unique","Legendary","Mystic","Mystic (Prime)"},0),4,6,9,14,20,24))*Sensitivity!$H$8,IF($D$32="Defense Penetration %",(CHOOSE(MATCH($C$32,{"Rare","Epic","Unique","Legendary","Mystic","Mystic (Prime)"},0),2,3,4.5,7,10,12))*Sensitivity!$H$18,0)))))))))))),0)</f>
        <v/>
      </c>
      <c r="F32" s="7" t="inlineStr">
        <is>
          <t>Rare</t>
        </is>
      </c>
      <c r="G32" s="7" t="inlineStr">
        <is>
          <t>(none)</t>
        </is>
      </c>
      <c r="H32">
        <f>IF($N$32&gt;=2,IF($G$32="Main Stat %",(CHOOSE(MATCH($F$32,{"Rare","Epic","Unique","Legendary","Mystic","Mystic (Prime)"},0),2,3,4.5,7,10,12))*Sensitivity!$H$6,IF($G$32="Damage Taken Decrease %",0,IF($G$32="Defense %",0,IF($G$32="Accuracy",0,IF($G$32="Critical Rate %",(CHOOSE(MATCH($F$32,{"Rare","Epic","Unique","Legendary","Mystic","Mystic (Prime)"},0),2,3,4.5,7,10,12))*Sensitivity!$H$15,IF($G$32="Min Damage Multiplier %",(CHOOSE(MATCH($F$32,{"Rare","Epic","Unique","Legendary","Mystic","Mystic (Prime)"},0),2,3,4.5,7,10,12))*Sensitivity!$H$13,IF($G$32="Max Damage Multiplier %",(CHOOSE(MATCH($F$32,{"Rare","Epic","Unique","Legendary","Mystic","Mystic (Prime)"},0),2,3,4.5,7,10,12))*Sensitivity!$H$14,IF($G$32="Boss Monster Damage %",(CHOOSE(MATCH($F$32,{"Rare","Epic","Unique","Legendary","Mystic","Mystic (Prime)"},0),4,6,9,14,20,24))*Sensitivity!$H$10,IF($G$32="Normal Monster Damage %",(CHOOSE(MATCH($F$32,{"Rare","Epic","Unique","Legendary","Mystic","Mystic (Prime)"},0),4,6,9,14,20,24))*Sensitivity!$H$11,IF($G$32="Status Effect Damage %",0,IF($G$32="Damage %",(CHOOSE(MATCH($F$32,{"Rare","Epic","Unique","Legendary","Mystic","Mystic (Prime)"},0),4,6,9,14,20,24))*Sensitivity!$H$8,IF($G$32="Defense Penetration %",(CHOOSE(MATCH($F$32,{"Rare","Epic","Unique","Legendary","Mystic","Mystic (Prime)"},0),2,3,4.5,7,10,12))*Sensitivity!$H$18,0)))))))))))),0)</f>
        <v/>
      </c>
      <c r="I32" s="7" t="inlineStr">
        <is>
          <t>Rare</t>
        </is>
      </c>
      <c r="J32" s="7" t="inlineStr">
        <is>
          <t>(none)</t>
        </is>
      </c>
      <c r="K32">
        <f>IF($N$32&gt;=5,IF($J$32="Main Stat %",(CHOOSE(MATCH($I$32,{"Rare","Epic","Unique","Legendary","Mystic","Mystic (Prime)"},0),2,3,4.5,7,10,12))*Sensitivity!$H$6,IF($J$32="Damage Taken Decrease %",0,IF($J$32="Defense %",0,IF($J$32="Accuracy",0,IF($J$32="Critical Rate %",(CHOOSE(MATCH($I$32,{"Rare","Epic","Unique","Legendary","Mystic","Mystic (Prime)"},0),2,3,4.5,7,10,12))*Sensitivity!$H$15,IF($J$32="Min Damage Multiplier %",(CHOOSE(MATCH($I$32,{"Rare","Epic","Unique","Legendary","Mystic","Mystic (Prime)"},0),2,3,4.5,7,10,12))*Sensitivity!$H$13,IF($J$32="Max Damage Multiplier %",(CHOOSE(MATCH($I$32,{"Rare","Epic","Unique","Legendary","Mystic","Mystic (Prime)"},0),2,3,4.5,7,10,12))*Sensitivity!$H$14,IF($J$32="Boss Monster Damage %",(CHOOSE(MATCH($I$32,{"Rare","Epic","Unique","Legendary","Mystic","Mystic (Prime)"},0),4,6,9,14,20,24))*Sensitivity!$H$10,IF($J$32="Normal Monster Damage %",(CHOOSE(MATCH($I$32,{"Rare","Epic","Unique","Legendary","Mystic","Mystic (Prime)"},0),4,6,9,14,20,24))*Sensitivity!$H$11,IF($J$32="Status Effect Damage %",0,IF($J$32="Damage %",(CHOOSE(MATCH($I$32,{"Rare","Epic","Unique","Legendary","Mystic","Mystic (Prime)"},0),4,6,9,14,20,24))*Sensitivity!$H$8,IF($J$32="Defense Penetration %",(CHOOSE(MATCH($I$32,{"Rare","Epic","Unique","Legendary","Mystic","Mystic (Prime)"},0),2,3,4.5,7,10,12))*Sensitivity!$H$18,0)))))))))))),0)</f>
        <v/>
      </c>
      <c r="L32">
        <f>Summary!$B$3*((IF(D32="(none)",1,1+(E32+IF(G32=D32,H32,0)+IF(J32=D32,K32,0))/Summary!$B$3))*(IF(OR(G32="(none)",G32=D32),1,1+(H32+IF(D32=G32,E32,0)+IF(J32=G32,K32,0))/Summary!$B$3))*(IF(OR(J32="",J32="(none)",J32=D32,J32=G32),1,1+(K32+IF(D32=J32,E32,0)+IF(G32=J32,H32,0))/Summary!$B$3))-1)</f>
        <v/>
      </c>
      <c r="M32">
        <f>OR(Inputs!$B$47="Flaming Lava",Inputs!$B$48="Flaming Lava",Inputs!$B$49="Flaming Lava",Inputs!$B$50="Flaming Lava")</f>
        <v/>
      </c>
      <c r="N32">
        <f>IF(B32="Not Unlocked",0,B32)</f>
        <v/>
      </c>
    </row>
    <row r="33">
      <c r="A33" s="6" t="inlineStr">
        <is>
          <t>Sayram's Necklace</t>
        </is>
      </c>
      <c r="B33" s="7" t="inlineStr">
        <is>
          <t>Not Unlocked</t>
        </is>
      </c>
      <c r="C33" s="7" t="inlineStr">
        <is>
          <t>Rare</t>
        </is>
      </c>
      <c r="D33" s="7" t="inlineStr">
        <is>
          <t>(none)</t>
        </is>
      </c>
      <c r="E33">
        <f>IF($N$33&gt;=1,IF($D$33="Main Stat %",(CHOOSE(MATCH($C$33,{"Rare","Epic","Unique","Legendary","Mystic","Mystic (Prime)"},0),2,3,4.5,7,10,12))*Sensitivity!$H$6,IF($D$33="Damage Taken Decrease %",0,IF($D$33="Defense %",0,IF($D$33="Accuracy",0,IF($D$33="Critical Rate %",(CHOOSE(MATCH($C$33,{"Rare","Epic","Unique","Legendary","Mystic","Mystic (Prime)"},0),2,3,4.5,7,10,12))*Sensitivity!$H$15,IF($D$33="Min Damage Multiplier %",(CHOOSE(MATCH($C$33,{"Rare","Epic","Unique","Legendary","Mystic","Mystic (Prime)"},0),2,3,4.5,7,10,12))*Sensitivity!$H$13,IF($D$33="Max Damage Multiplier %",(CHOOSE(MATCH($C$33,{"Rare","Epic","Unique","Legendary","Mystic","Mystic (Prime)"},0),2,3,4.5,7,10,12))*Sensitivity!$H$14,IF($D$33="Boss Monster Damage %",(CHOOSE(MATCH($C$33,{"Rare","Epic","Unique","Legendary","Mystic","Mystic (Prime)"},0),4,6,9,14,20,24))*Sensitivity!$H$10,IF($D$33="Normal Monster Damage %",(CHOOSE(MATCH($C$33,{"Rare","Epic","Unique","Legendary","Mystic","Mystic (Prime)"},0),4,6,9,14,20,24))*Sensitivity!$H$11,IF($D$33="Status Effect Damage %",0,IF($D$33="Damage %",(CHOOSE(MATCH($C$33,{"Rare","Epic","Unique","Legendary","Mystic","Mystic (Prime)"},0),4,6,9,14,20,24))*Sensitivity!$H$8,IF($D$33="Defense Penetration %",(CHOOSE(MATCH($C$33,{"Rare","Epic","Unique","Legendary","Mystic","Mystic (Prime)"},0),2,3,4.5,7,10,12))*Sensitivity!$H$18,0)))))))))))),0)</f>
        <v/>
      </c>
      <c r="F33" s="7" t="inlineStr">
        <is>
          <t>Rare</t>
        </is>
      </c>
      <c r="G33" s="7" t="inlineStr">
        <is>
          <t>(none)</t>
        </is>
      </c>
      <c r="H33">
        <f>IF($N$33&gt;=2,IF($G$33="Main Stat %",(CHOOSE(MATCH($F$33,{"Rare","Epic","Unique","Legendary","Mystic","Mystic (Prime)"},0),2,3,4.5,7,10,12))*Sensitivity!$H$6,IF($G$33="Damage Taken Decrease %",0,IF($G$33="Defense %",0,IF($G$33="Accuracy",0,IF($G$33="Critical Rate %",(CHOOSE(MATCH($F$33,{"Rare","Epic","Unique","Legendary","Mystic","Mystic (Prime)"},0),2,3,4.5,7,10,12))*Sensitivity!$H$15,IF($G$33="Min Damage Multiplier %",(CHOOSE(MATCH($F$33,{"Rare","Epic","Unique","Legendary","Mystic","Mystic (Prime)"},0),2,3,4.5,7,10,12))*Sensitivity!$H$13,IF($G$33="Max Damage Multiplier %",(CHOOSE(MATCH($F$33,{"Rare","Epic","Unique","Legendary","Mystic","Mystic (Prime)"},0),2,3,4.5,7,10,12))*Sensitivity!$H$14,IF($G$33="Boss Monster Damage %",(CHOOSE(MATCH($F$33,{"Rare","Epic","Unique","Legendary","Mystic","Mystic (Prime)"},0),4,6,9,14,20,24))*Sensitivity!$H$10,IF($G$33="Normal Monster Damage %",(CHOOSE(MATCH($F$33,{"Rare","Epic","Unique","Legendary","Mystic","Mystic (Prime)"},0),4,6,9,14,20,24))*Sensitivity!$H$11,IF($G$33="Status Effect Damage %",0,IF($G$33="Damage %",(CHOOSE(MATCH($F$33,{"Rare","Epic","Unique","Legendary","Mystic","Mystic (Prime)"},0),4,6,9,14,20,24))*Sensitivity!$H$8,IF($G$33="Defense Penetration %",(CHOOSE(MATCH($F$33,{"Rare","Epic","Unique","Legendary","Mystic","Mystic (Prime)"},0),2,3,4.5,7,10,12))*Sensitivity!$H$18,0)))))))))))),0)</f>
        <v/>
      </c>
      <c r="I33" s="7" t="inlineStr">
        <is>
          <t>Rare</t>
        </is>
      </c>
      <c r="J33" s="7" t="inlineStr">
        <is>
          <t>(none)</t>
        </is>
      </c>
      <c r="K33">
        <f>IF($N$33&gt;=5,IF($J$33="Main Stat %",(CHOOSE(MATCH($I$33,{"Rare","Epic","Unique","Legendary","Mystic","Mystic (Prime)"},0),2,3,4.5,7,10,12))*Sensitivity!$H$6,IF($J$33="Damage Taken Decrease %",0,IF($J$33="Defense %",0,IF($J$33="Accuracy",0,IF($J$33="Critical Rate %",(CHOOSE(MATCH($I$33,{"Rare","Epic","Unique","Legendary","Mystic","Mystic (Prime)"},0),2,3,4.5,7,10,12))*Sensitivity!$H$15,IF($J$33="Min Damage Multiplier %",(CHOOSE(MATCH($I$33,{"Rare","Epic","Unique","Legendary","Mystic","Mystic (Prime)"},0),2,3,4.5,7,10,12))*Sensitivity!$H$13,IF($J$33="Max Damage Multiplier %",(CHOOSE(MATCH($I$33,{"Rare","Epic","Unique","Legendary","Mystic","Mystic (Prime)"},0),2,3,4.5,7,10,12))*Sensitivity!$H$14,IF($J$33="Boss Monster Damage %",(CHOOSE(MATCH($I$33,{"Rare","Epic","Unique","Legendary","Mystic","Mystic (Prime)"},0),4,6,9,14,20,24))*Sensitivity!$H$10,IF($J$33="Normal Monster Damage %",(CHOOSE(MATCH($I$33,{"Rare","Epic","Unique","Legendary","Mystic","Mystic (Prime)"},0),4,6,9,14,20,24))*Sensitivity!$H$11,IF($J$33="Status Effect Damage %",0,IF($J$33="Damage %",(CHOOSE(MATCH($I$33,{"Rare","Epic","Unique","Legendary","Mystic","Mystic (Prime)"},0),4,6,9,14,20,24))*Sensitivity!$H$8,IF($J$33="Defense Penetration %",(CHOOSE(MATCH($I$33,{"Rare","Epic","Unique","Legendary","Mystic","Mystic (Prime)"},0),2,3,4.5,7,10,12))*Sensitivity!$H$18,0)))))))))))),0)</f>
        <v/>
      </c>
      <c r="L33">
        <f>Summary!$B$3*((IF(D33="(none)",1,1+(E33+IF(G33=D33,H33,0)+IF(J33=D33,K33,0))/Summary!$B$3))*(IF(OR(G33="(none)",G33=D33),1,1+(H33+IF(D33=G33,E33,0)+IF(J33=G33,K33,0))/Summary!$B$3))*(IF(OR(J33="",J33="(none)",J33=D33,J33=G33),1,1+(K33+IF(D33=J33,E33,0)+IF(G33=J33,H33,0))/Summary!$B$3))-1)</f>
        <v/>
      </c>
      <c r="M33">
        <f>OR(Inputs!$B$47="Sayram's Necklace",Inputs!$B$48="Sayram's Necklace",Inputs!$B$49="Sayram's Necklace",Inputs!$B$50="Sayram's Necklace")</f>
        <v/>
      </c>
      <c r="N33">
        <f>IF(B33="Not Unlocked",0,B33)</f>
        <v/>
      </c>
    </row>
    <row r="34">
      <c r="A34" s="6" t="inlineStr">
        <is>
          <t>Bottle of Emotion</t>
        </is>
      </c>
      <c r="B34" s="7" t="inlineStr">
        <is>
          <t>Not Unlocked</t>
        </is>
      </c>
      <c r="C34" s="7" t="inlineStr">
        <is>
          <t>Rare</t>
        </is>
      </c>
      <c r="D34" s="7" t="inlineStr">
        <is>
          <t>(none)</t>
        </is>
      </c>
      <c r="E34">
        <f>IF($N$34&gt;=1,IF($D$34="Main Stat %",(CHOOSE(MATCH($C$34,{"Rare","Epic","Unique","Legendary","Mystic","Mystic (Prime)"},0),2,3,4.5,7,10,12))*Sensitivity!$H$6,IF($D$34="Damage Taken Decrease %",0,IF($D$34="Defense %",0,IF($D$34="Accuracy",0,IF($D$34="Critical Rate %",(CHOOSE(MATCH($C$34,{"Rare","Epic","Unique","Legendary","Mystic","Mystic (Prime)"},0),2,3,4.5,7,10,12))*Sensitivity!$H$15,IF($D$34="Min Damage Multiplier %",(CHOOSE(MATCH($C$34,{"Rare","Epic","Unique","Legendary","Mystic","Mystic (Prime)"},0),2,3,4.5,7,10,12))*Sensitivity!$H$13,IF($D$34="Max Damage Multiplier %",(CHOOSE(MATCH($C$34,{"Rare","Epic","Unique","Legendary","Mystic","Mystic (Prime)"},0),2,3,4.5,7,10,12))*Sensitivity!$H$14,IF($D$34="Boss Monster Damage %",(CHOOSE(MATCH($C$34,{"Rare","Epic","Unique","Legendary","Mystic","Mystic (Prime)"},0),4,6,9,14,20,24))*Sensitivity!$H$10,IF($D$34="Normal Monster Damage %",(CHOOSE(MATCH($C$34,{"Rare","Epic","Unique","Legendary","Mystic","Mystic (Prime)"},0),4,6,9,14,20,24))*Sensitivity!$H$11,IF($D$34="Status Effect Damage %",0,IF($D$34="Damage %",(CHOOSE(MATCH($C$34,{"Rare","Epic","Unique","Legendary","Mystic","Mystic (Prime)"},0),4,6,9,14,20,24))*Sensitivity!$H$8,IF($D$34="Defense Penetration %",(CHOOSE(MATCH($C$34,{"Rare","Epic","Unique","Legendary","Mystic","Mystic (Prime)"},0),2,3,4.5,7,10,12))*Sensitivity!$H$18,0)))))))))))),0)</f>
        <v/>
      </c>
      <c r="F34" s="7" t="inlineStr">
        <is>
          <t>Rare</t>
        </is>
      </c>
      <c r="G34" s="7" t="inlineStr">
        <is>
          <t>(none)</t>
        </is>
      </c>
      <c r="H34">
        <f>IF($N$34&gt;=2,IF($G$34="Main Stat %",(CHOOSE(MATCH($F$34,{"Rare","Epic","Unique","Legendary","Mystic","Mystic (Prime)"},0),2,3,4.5,7,10,12))*Sensitivity!$H$6,IF($G$34="Damage Taken Decrease %",0,IF($G$34="Defense %",0,IF($G$34="Accuracy",0,IF($G$34="Critical Rate %",(CHOOSE(MATCH($F$34,{"Rare","Epic","Unique","Legendary","Mystic","Mystic (Prime)"},0),2,3,4.5,7,10,12))*Sensitivity!$H$15,IF($G$34="Min Damage Multiplier %",(CHOOSE(MATCH($F$34,{"Rare","Epic","Unique","Legendary","Mystic","Mystic (Prime)"},0),2,3,4.5,7,10,12))*Sensitivity!$H$13,IF($G$34="Max Damage Multiplier %",(CHOOSE(MATCH($F$34,{"Rare","Epic","Unique","Legendary","Mystic","Mystic (Prime)"},0),2,3,4.5,7,10,12))*Sensitivity!$H$14,IF($G$34="Boss Monster Damage %",(CHOOSE(MATCH($F$34,{"Rare","Epic","Unique","Legendary","Mystic","Mystic (Prime)"},0),4,6,9,14,20,24))*Sensitivity!$H$10,IF($G$34="Normal Monster Damage %",(CHOOSE(MATCH($F$34,{"Rare","Epic","Unique","Legendary","Mystic","Mystic (Prime)"},0),4,6,9,14,20,24))*Sensitivity!$H$11,IF($G$34="Status Effect Damage %",0,IF($G$34="Damage %",(CHOOSE(MATCH($F$34,{"Rare","Epic","Unique","Legendary","Mystic","Mystic (Prime)"},0),4,6,9,14,20,24))*Sensitivity!$H$8,IF($G$34="Defense Penetration %",(CHOOSE(MATCH($F$34,{"Rare","Epic","Unique","Legendary","Mystic","Mystic (Prime)"},0),2,3,4.5,7,10,12))*Sensitivity!$H$18,0)))))))))))),0)</f>
        <v/>
      </c>
      <c r="I34" s="7" t="inlineStr">
        <is>
          <t>Rare</t>
        </is>
      </c>
      <c r="J34" s="7" t="inlineStr">
        <is>
          <t>(none)</t>
        </is>
      </c>
      <c r="K34">
        <f>IF($N$34&gt;=5,IF($J$34="Main Stat %",(CHOOSE(MATCH($I$34,{"Rare","Epic","Unique","Legendary","Mystic","Mystic (Prime)"},0),2,3,4.5,7,10,12))*Sensitivity!$H$6,IF($J$34="Damage Taken Decrease %",0,IF($J$34="Defense %",0,IF($J$34="Accuracy",0,IF($J$34="Critical Rate %",(CHOOSE(MATCH($I$34,{"Rare","Epic","Unique","Legendary","Mystic","Mystic (Prime)"},0),2,3,4.5,7,10,12))*Sensitivity!$H$15,IF($J$34="Min Damage Multiplier %",(CHOOSE(MATCH($I$34,{"Rare","Epic","Unique","Legendary","Mystic","Mystic (Prime)"},0),2,3,4.5,7,10,12))*Sensitivity!$H$13,IF($J$34="Max Damage Multiplier %",(CHOOSE(MATCH($I$34,{"Rare","Epic","Unique","Legendary","Mystic","Mystic (Prime)"},0),2,3,4.5,7,10,12))*Sensitivity!$H$14,IF($J$34="Boss Monster Damage %",(CHOOSE(MATCH($I$34,{"Rare","Epic","Unique","Legendary","Mystic","Mystic (Prime)"},0),4,6,9,14,20,24))*Sensitivity!$H$10,IF($J$34="Normal Monster Damage %",(CHOOSE(MATCH($I$34,{"Rare","Epic","Unique","Legendary","Mystic","Mystic (Prime)"},0),4,6,9,14,20,24))*Sensitivity!$H$11,IF($J$34="Status Effect Damage %",0,IF($J$34="Damage %",(CHOOSE(MATCH($I$34,{"Rare","Epic","Unique","Legendary","Mystic","Mystic (Prime)"},0),4,6,9,14,20,24))*Sensitivity!$H$8,IF($J$34="Defense Penetration %",(CHOOSE(MATCH($I$34,{"Rare","Epic","Unique","Legendary","Mystic","Mystic (Prime)"},0),2,3,4.5,7,10,12))*Sensitivity!$H$18,0)))))))))))),0)</f>
        <v/>
      </c>
      <c r="L34">
        <f>Summary!$B$3*((IF(D34="(none)",1,1+(E34+IF(G34=D34,H34,0)+IF(J34=D34,K34,0))/Summary!$B$3))*(IF(OR(G34="(none)",G34=D34),1,1+(H34+IF(D34=G34,E34,0)+IF(J34=G34,K34,0))/Summary!$B$3))*(IF(OR(J34="",J34="(none)",J34=D34,J34=G34),1,1+(K34+IF(D34=J34,E34,0)+IF(G34=J34,H34,0))/Summary!$B$3))-1)</f>
        <v/>
      </c>
      <c r="M34">
        <f>OR(Inputs!$B$47="Bottle of Emotion",Inputs!$B$48="Bottle of Emotion",Inputs!$B$49="Bottle of Emotion",Inputs!$B$50="Bottle of Emotion")</f>
        <v/>
      </c>
      <c r="N34">
        <f>IF(B34="Not Unlocked",0,B34)</f>
        <v/>
      </c>
    </row>
    <row r="35">
      <c r="A35" s="6" t="inlineStr">
        <is>
          <t>Peach Tree Herb Pouch</t>
        </is>
      </c>
      <c r="B35" s="7" t="inlineStr">
        <is>
          <t>Not Unlocked</t>
        </is>
      </c>
      <c r="C35" s="7" t="inlineStr">
        <is>
          <t>Rare</t>
        </is>
      </c>
      <c r="D35" s="7" t="inlineStr">
        <is>
          <t>(none)</t>
        </is>
      </c>
      <c r="E35">
        <f>IF($N$35&gt;=1,IF($D$35="Main Stat %",(CHOOSE(MATCH($C$35,{"Rare","Epic","Unique","Legendary","Mystic","Mystic (Prime)"},0),2,3,4.5,7,10,12))*Sensitivity!$H$6,IF($D$35="Damage Taken Decrease %",0,IF($D$35="Defense %",0,IF($D$35="Accuracy",0,IF($D$35="Critical Rate %",(CHOOSE(MATCH($C$35,{"Rare","Epic","Unique","Legendary","Mystic","Mystic (Prime)"},0),2,3,4.5,7,10,12))*Sensitivity!$H$15,IF($D$35="Min Damage Multiplier %",(CHOOSE(MATCH($C$35,{"Rare","Epic","Unique","Legendary","Mystic","Mystic (Prime)"},0),2,3,4.5,7,10,12))*Sensitivity!$H$13,IF($D$35="Max Damage Multiplier %",(CHOOSE(MATCH($C$35,{"Rare","Epic","Unique","Legendary","Mystic","Mystic (Prime)"},0),2,3,4.5,7,10,12))*Sensitivity!$H$14,IF($D$35="Boss Monster Damage %",(CHOOSE(MATCH($C$35,{"Rare","Epic","Unique","Legendary","Mystic","Mystic (Prime)"},0),4,6,9,14,20,24))*Sensitivity!$H$10,IF($D$35="Normal Monster Damage %",(CHOOSE(MATCH($C$35,{"Rare","Epic","Unique","Legendary","Mystic","Mystic (Prime)"},0),4,6,9,14,20,24))*Sensitivity!$H$11,IF($D$35="Status Effect Damage %",0,IF($D$35="Damage %",(CHOOSE(MATCH($C$35,{"Rare","Epic","Unique","Legendary","Mystic","Mystic (Prime)"},0),4,6,9,14,20,24))*Sensitivity!$H$8,IF($D$35="Defense Penetration %",(CHOOSE(MATCH($C$35,{"Rare","Epic","Unique","Legendary","Mystic","Mystic (Prime)"},0),2,3,4.5,7,10,12))*Sensitivity!$H$18,0)))))))))))),0)</f>
        <v/>
      </c>
      <c r="F35" s="7" t="inlineStr">
        <is>
          <t>Rare</t>
        </is>
      </c>
      <c r="G35" s="7" t="inlineStr">
        <is>
          <t>(none)</t>
        </is>
      </c>
      <c r="H35">
        <f>IF($N$35&gt;=2,IF($G$35="Main Stat %",(CHOOSE(MATCH($F$35,{"Rare","Epic","Unique","Legendary","Mystic","Mystic (Prime)"},0),2,3,4.5,7,10,12))*Sensitivity!$H$6,IF($G$35="Damage Taken Decrease %",0,IF($G$35="Defense %",0,IF($G$35="Accuracy",0,IF($G$35="Critical Rate %",(CHOOSE(MATCH($F$35,{"Rare","Epic","Unique","Legendary","Mystic","Mystic (Prime)"},0),2,3,4.5,7,10,12))*Sensitivity!$H$15,IF($G$35="Min Damage Multiplier %",(CHOOSE(MATCH($F$35,{"Rare","Epic","Unique","Legendary","Mystic","Mystic (Prime)"},0),2,3,4.5,7,10,12))*Sensitivity!$H$13,IF($G$35="Max Damage Multiplier %",(CHOOSE(MATCH($F$35,{"Rare","Epic","Unique","Legendary","Mystic","Mystic (Prime)"},0),2,3,4.5,7,10,12))*Sensitivity!$H$14,IF($G$35="Boss Monster Damage %",(CHOOSE(MATCH($F$35,{"Rare","Epic","Unique","Legendary","Mystic","Mystic (Prime)"},0),4,6,9,14,20,24))*Sensitivity!$H$10,IF($G$35="Normal Monster Damage %",(CHOOSE(MATCH($F$35,{"Rare","Epic","Unique","Legendary","Mystic","Mystic (Prime)"},0),4,6,9,14,20,24))*Sensitivity!$H$11,IF($G$35="Status Effect Damage %",0,IF($G$35="Damage %",(CHOOSE(MATCH($F$35,{"Rare","Epic","Unique","Legendary","Mystic","Mystic (Prime)"},0),4,6,9,14,20,24))*Sensitivity!$H$8,IF($G$35="Defense Penetration %",(CHOOSE(MATCH($F$35,{"Rare","Epic","Unique","Legendary","Mystic","Mystic (Prime)"},0),2,3,4.5,7,10,12))*Sensitivity!$H$18,0)))))))))))),0)</f>
        <v/>
      </c>
      <c r="I35" s="7" t="inlineStr">
        <is>
          <t>Rare</t>
        </is>
      </c>
      <c r="J35" s="7" t="inlineStr">
        <is>
          <t>(none)</t>
        </is>
      </c>
      <c r="K35">
        <f>IF($N$35&gt;=5,IF($J$35="Main Stat %",(CHOOSE(MATCH($I$35,{"Rare","Epic","Unique","Legendary","Mystic","Mystic (Prime)"},0),2,3,4.5,7,10,12))*Sensitivity!$H$6,IF($J$35="Damage Taken Decrease %",0,IF($J$35="Defense %",0,IF($J$35="Accuracy",0,IF($J$35="Critical Rate %",(CHOOSE(MATCH($I$35,{"Rare","Epic","Unique","Legendary","Mystic","Mystic (Prime)"},0),2,3,4.5,7,10,12))*Sensitivity!$H$15,IF($J$35="Min Damage Multiplier %",(CHOOSE(MATCH($I$35,{"Rare","Epic","Unique","Legendary","Mystic","Mystic (Prime)"},0),2,3,4.5,7,10,12))*Sensitivity!$H$13,IF($J$35="Max Damage Multiplier %",(CHOOSE(MATCH($I$35,{"Rare","Epic","Unique","Legendary","Mystic","Mystic (Prime)"},0),2,3,4.5,7,10,12))*Sensitivity!$H$14,IF($J$35="Boss Monster Damage %",(CHOOSE(MATCH($I$35,{"Rare","Epic","Unique","Legendary","Mystic","Mystic (Prime)"},0),4,6,9,14,20,24))*Sensitivity!$H$10,IF($J$35="Normal Monster Damage %",(CHOOSE(MATCH($I$35,{"Rare","Epic","Unique","Legendary","Mystic","Mystic (Prime)"},0),4,6,9,14,20,24))*Sensitivity!$H$11,IF($J$35="Status Effect Damage %",0,IF($J$35="Damage %",(CHOOSE(MATCH($I$35,{"Rare","Epic","Unique","Legendary","Mystic","Mystic (Prime)"},0),4,6,9,14,20,24))*Sensitivity!$H$8,IF($J$35="Defense Penetration %",(CHOOSE(MATCH($I$35,{"Rare","Epic","Unique","Legendary","Mystic","Mystic (Prime)"},0),2,3,4.5,7,10,12))*Sensitivity!$H$18,0)))))))))))),0)</f>
        <v/>
      </c>
      <c r="L35">
        <f>Summary!$B$3*((IF(D35="(none)",1,1+(E35+IF(G35=D35,H35,0)+IF(J35=D35,K35,0))/Summary!$B$3))*(IF(OR(G35="(none)",G35=D35),1,1+(H35+IF(D35=G35,E35,0)+IF(J35=G35,K35,0))/Summary!$B$3))*(IF(OR(J35="",J35="(none)",J35=D35,J35=G35),1,1+(K35+IF(D35=J35,E35,0)+IF(G35=J35,H35,0))/Summary!$B$3))-1)</f>
        <v/>
      </c>
      <c r="M35">
        <f>OR(Inputs!$B$47="Peach Tree Herb Pouch",Inputs!$B$48="Peach Tree Herb Pouch",Inputs!$B$49="Peach Tree Herb Pouch",Inputs!$B$50="Peach Tree Herb Pouch")</f>
        <v/>
      </c>
      <c r="N35">
        <f>IF(B35="Not Unlocked",0,B35)</f>
        <v/>
      </c>
    </row>
    <row r="36">
      <c r="A36" s="6" t="inlineStr">
        <is>
          <t>Candle</t>
        </is>
      </c>
      <c r="B36" s="7" t="inlineStr">
        <is>
          <t>Not Unlocked</t>
        </is>
      </c>
      <c r="C36" s="7" t="inlineStr">
        <is>
          <t>Rare</t>
        </is>
      </c>
      <c r="D36" s="7" t="inlineStr">
        <is>
          <t>(none)</t>
        </is>
      </c>
      <c r="E36">
        <f>IF($N$36&gt;=1,IF($D$36="Main Stat %",(CHOOSE(MATCH($C$36,{"Rare","Epic","Unique","Legendary","Mystic","Mystic (Prime)"},0),2,3,4.5,7,10,12))*Sensitivity!$H$6,IF($D$36="Damage Taken Decrease %",0,IF($D$36="Defense %",0,IF($D$36="Accuracy",0,IF($D$36="Critical Rate %",(CHOOSE(MATCH($C$36,{"Rare","Epic","Unique","Legendary","Mystic","Mystic (Prime)"},0),2,3,4.5,7,10,12))*Sensitivity!$H$15,IF($D$36="Min Damage Multiplier %",(CHOOSE(MATCH($C$36,{"Rare","Epic","Unique","Legendary","Mystic","Mystic (Prime)"},0),2,3,4.5,7,10,12))*Sensitivity!$H$13,IF($D$36="Max Damage Multiplier %",(CHOOSE(MATCH($C$36,{"Rare","Epic","Unique","Legendary","Mystic","Mystic (Prime)"},0),2,3,4.5,7,10,12))*Sensitivity!$H$14,IF($D$36="Boss Monster Damage %",(CHOOSE(MATCH($C$36,{"Rare","Epic","Unique","Legendary","Mystic","Mystic (Prime)"},0),4,6,9,14,20,24))*Sensitivity!$H$10,IF($D$36="Normal Monster Damage %",(CHOOSE(MATCH($C$36,{"Rare","Epic","Unique","Legendary","Mystic","Mystic (Prime)"},0),4,6,9,14,20,24))*Sensitivity!$H$11,IF($D$36="Status Effect Damage %",0,IF($D$36="Damage %",(CHOOSE(MATCH($C$36,{"Rare","Epic","Unique","Legendary","Mystic","Mystic (Prime)"},0),4,6,9,14,20,24))*Sensitivity!$H$8,IF($D$36="Defense Penetration %",(CHOOSE(MATCH($C$36,{"Rare","Epic","Unique","Legendary","Mystic","Mystic (Prime)"},0),2,3,4.5,7,10,12))*Sensitivity!$H$18,0)))))))))))),0)</f>
        <v/>
      </c>
      <c r="F36" s="7" t="inlineStr">
        <is>
          <t>Rare</t>
        </is>
      </c>
      <c r="G36" s="7" t="inlineStr">
        <is>
          <t>(none)</t>
        </is>
      </c>
      <c r="H36">
        <f>IF($N$36&gt;=2,IF($G$36="Main Stat %",(CHOOSE(MATCH($F$36,{"Rare","Epic","Unique","Legendary","Mystic","Mystic (Prime)"},0),2,3,4.5,7,10,12))*Sensitivity!$H$6,IF($G$36="Damage Taken Decrease %",0,IF($G$36="Defense %",0,IF($G$36="Accuracy",0,IF($G$36="Critical Rate %",(CHOOSE(MATCH($F$36,{"Rare","Epic","Unique","Legendary","Mystic","Mystic (Prime)"},0),2,3,4.5,7,10,12))*Sensitivity!$H$15,IF($G$36="Min Damage Multiplier %",(CHOOSE(MATCH($F$36,{"Rare","Epic","Unique","Legendary","Mystic","Mystic (Prime)"},0),2,3,4.5,7,10,12))*Sensitivity!$H$13,IF($G$36="Max Damage Multiplier %",(CHOOSE(MATCH($F$36,{"Rare","Epic","Unique","Legendary","Mystic","Mystic (Prime)"},0),2,3,4.5,7,10,12))*Sensitivity!$H$14,IF($G$36="Boss Monster Damage %",(CHOOSE(MATCH($F$36,{"Rare","Epic","Unique","Legendary","Mystic","Mystic (Prime)"},0),4,6,9,14,20,24))*Sensitivity!$H$10,IF($G$36="Normal Monster Damage %",(CHOOSE(MATCH($F$36,{"Rare","Epic","Unique","Legendary","Mystic","Mystic (Prime)"},0),4,6,9,14,20,24))*Sensitivity!$H$11,IF($G$36="Status Effect Damage %",0,IF($G$36="Damage %",(CHOOSE(MATCH($F$36,{"Rare","Epic","Unique","Legendary","Mystic","Mystic (Prime)"},0),4,6,9,14,20,24))*Sensitivity!$H$8,IF($G$36="Defense Penetration %",(CHOOSE(MATCH($F$36,{"Rare","Epic","Unique","Legendary","Mystic","Mystic (Prime)"},0),2,3,4.5,7,10,12))*Sensitivity!$H$18,0)))))))))))),0)</f>
        <v/>
      </c>
      <c r="I36" s="7" t="inlineStr">
        <is>
          <t>Rare</t>
        </is>
      </c>
      <c r="J36" s="7" t="inlineStr">
        <is>
          <t>(none)</t>
        </is>
      </c>
      <c r="K36">
        <f>IF($N$36&gt;=5,IF($J$36="Main Stat %",(CHOOSE(MATCH($I$36,{"Rare","Epic","Unique","Legendary","Mystic","Mystic (Prime)"},0),2,3,4.5,7,10,12))*Sensitivity!$H$6,IF($J$36="Damage Taken Decrease %",0,IF($J$36="Defense %",0,IF($J$36="Accuracy",0,IF($J$36="Critical Rate %",(CHOOSE(MATCH($I$36,{"Rare","Epic","Unique","Legendary","Mystic","Mystic (Prime)"},0),2,3,4.5,7,10,12))*Sensitivity!$H$15,IF($J$36="Min Damage Multiplier %",(CHOOSE(MATCH($I$36,{"Rare","Epic","Unique","Legendary","Mystic","Mystic (Prime)"},0),2,3,4.5,7,10,12))*Sensitivity!$H$13,IF($J$36="Max Damage Multiplier %",(CHOOSE(MATCH($I$36,{"Rare","Epic","Unique","Legendary","Mystic","Mystic (Prime)"},0),2,3,4.5,7,10,12))*Sensitivity!$H$14,IF($J$36="Boss Monster Damage %",(CHOOSE(MATCH($I$36,{"Rare","Epic","Unique","Legendary","Mystic","Mystic (Prime)"},0),4,6,9,14,20,24))*Sensitivity!$H$10,IF($J$36="Normal Monster Damage %",(CHOOSE(MATCH($I$36,{"Rare","Epic","Unique","Legendary","Mystic","Mystic (Prime)"},0),4,6,9,14,20,24))*Sensitivity!$H$11,IF($J$36="Status Effect Damage %",0,IF($J$36="Damage %",(CHOOSE(MATCH($I$36,{"Rare","Epic","Unique","Legendary","Mystic","Mystic (Prime)"},0),4,6,9,14,20,24))*Sensitivity!$H$8,IF($J$36="Defense Penetration %",(CHOOSE(MATCH($I$36,{"Rare","Epic","Unique","Legendary","Mystic","Mystic (Prime)"},0),2,3,4.5,7,10,12))*Sensitivity!$H$18,0)))))))))))),0)</f>
        <v/>
      </c>
      <c r="L36">
        <f>Summary!$B$3*((IF(D36="(none)",1,1+(E36+IF(G36=D36,H36,0)+IF(J36=D36,K36,0))/Summary!$B$3))*(IF(OR(G36="(none)",G36=D36),1,1+(H36+IF(D36=G36,E36,0)+IF(J36=G36,K36,0))/Summary!$B$3))*(IF(OR(J36="",J36="(none)",J36=D36,J36=G36),1,1+(K36+IF(D36=J36,E36,0)+IF(G36=J36,H36,0))/Summary!$B$3))-1)</f>
        <v/>
      </c>
      <c r="M36">
        <f>OR(Inputs!$B$47="Candle",Inputs!$B$48="Candle",Inputs!$B$49="Candle",Inputs!$B$50="Candle")</f>
        <v/>
      </c>
      <c r="N36">
        <f>IF(B36="Not Unlocked",0,B36)</f>
        <v/>
      </c>
    </row>
    <row r="37">
      <c r="A37" s="6" t="inlineStr">
        <is>
          <t>Alliance Badge</t>
        </is>
      </c>
      <c r="B37" s="7" t="inlineStr">
        <is>
          <t>Not Unlocked</t>
        </is>
      </c>
      <c r="C37" s="7" t="inlineStr">
        <is>
          <t>Rare</t>
        </is>
      </c>
      <c r="D37" s="7" t="inlineStr">
        <is>
          <t>(none)</t>
        </is>
      </c>
      <c r="E37">
        <f>IF($N$37&gt;=1,IF($D$37="Main Stat %",(CHOOSE(MATCH($C$37,{"Rare","Epic","Unique","Legendary","Mystic","Mystic (Prime)"},0),2,3,4.5,7,10,12))*Sensitivity!$H$6,IF($D$37="Damage Taken Decrease %",0,IF($D$37="Defense %",0,IF($D$37="Accuracy",0,IF($D$37="Critical Rate %",(CHOOSE(MATCH($C$37,{"Rare","Epic","Unique","Legendary","Mystic","Mystic (Prime)"},0),2,3,4.5,7,10,12))*Sensitivity!$H$15,IF($D$37="Min Damage Multiplier %",(CHOOSE(MATCH($C$37,{"Rare","Epic","Unique","Legendary","Mystic","Mystic (Prime)"},0),2,3,4.5,7,10,12))*Sensitivity!$H$13,IF($D$37="Max Damage Multiplier %",(CHOOSE(MATCH($C$37,{"Rare","Epic","Unique","Legendary","Mystic","Mystic (Prime)"},0),2,3,4.5,7,10,12))*Sensitivity!$H$14,IF($D$37="Boss Monster Damage %",(CHOOSE(MATCH($C$37,{"Rare","Epic","Unique","Legendary","Mystic","Mystic (Prime)"},0),4,6,9,14,20,24))*Sensitivity!$H$10,IF($D$37="Normal Monster Damage %",(CHOOSE(MATCH($C$37,{"Rare","Epic","Unique","Legendary","Mystic","Mystic (Prime)"},0),4,6,9,14,20,24))*Sensitivity!$H$11,IF($D$37="Status Effect Damage %",0,IF($D$37="Damage %",(CHOOSE(MATCH($C$37,{"Rare","Epic","Unique","Legendary","Mystic","Mystic (Prime)"},0),4,6,9,14,20,24))*Sensitivity!$H$8,IF($D$37="Defense Penetration %",(CHOOSE(MATCH($C$37,{"Rare","Epic","Unique","Legendary","Mystic","Mystic (Prime)"},0),2,3,4.5,7,10,12))*Sensitivity!$H$18,0)))))))))))),0)</f>
        <v/>
      </c>
      <c r="F37" s="7" t="inlineStr">
        <is>
          <t>Rare</t>
        </is>
      </c>
      <c r="G37" s="7" t="inlineStr">
        <is>
          <t>(none)</t>
        </is>
      </c>
      <c r="H37">
        <f>IF($N$37&gt;=2,IF($G$37="Main Stat %",(CHOOSE(MATCH($F$37,{"Rare","Epic","Unique","Legendary","Mystic","Mystic (Prime)"},0),2,3,4.5,7,10,12))*Sensitivity!$H$6,IF($G$37="Damage Taken Decrease %",0,IF($G$37="Defense %",0,IF($G$37="Accuracy",0,IF($G$37="Critical Rate %",(CHOOSE(MATCH($F$37,{"Rare","Epic","Unique","Legendary","Mystic","Mystic (Prime)"},0),2,3,4.5,7,10,12))*Sensitivity!$H$15,IF($G$37="Min Damage Multiplier %",(CHOOSE(MATCH($F$37,{"Rare","Epic","Unique","Legendary","Mystic","Mystic (Prime)"},0),2,3,4.5,7,10,12))*Sensitivity!$H$13,IF($G$37="Max Damage Multiplier %",(CHOOSE(MATCH($F$37,{"Rare","Epic","Unique","Legendary","Mystic","Mystic (Prime)"},0),2,3,4.5,7,10,12))*Sensitivity!$H$14,IF($G$37="Boss Monster Damage %",(CHOOSE(MATCH($F$37,{"Rare","Epic","Unique","Legendary","Mystic","Mystic (Prime)"},0),4,6,9,14,20,24))*Sensitivity!$H$10,IF($G$37="Normal Monster Damage %",(CHOOSE(MATCH($F$37,{"Rare","Epic","Unique","Legendary","Mystic","Mystic (Prime)"},0),4,6,9,14,20,24))*Sensitivity!$H$11,IF($G$37="Status Effect Damage %",0,IF($G$37="Damage %",(CHOOSE(MATCH($F$37,{"Rare","Epic","Unique","Legendary","Mystic","Mystic (Prime)"},0),4,6,9,14,20,24))*Sensitivity!$H$8,IF($G$37="Defense Penetration %",(CHOOSE(MATCH($F$37,{"Rare","Epic","Unique","Legendary","Mystic","Mystic (Prime)"},0),2,3,4.5,7,10,12))*Sensitivity!$H$18,0)))))))))))),0)</f>
        <v/>
      </c>
      <c r="I37" s="7" t="inlineStr">
        <is>
          <t>Rare</t>
        </is>
      </c>
      <c r="J37" s="7" t="inlineStr">
        <is>
          <t>(none)</t>
        </is>
      </c>
      <c r="K37">
        <f>IF($N$37&gt;=5,IF($J$37="Main Stat %",(CHOOSE(MATCH($I$37,{"Rare","Epic","Unique","Legendary","Mystic","Mystic (Prime)"},0),2,3,4.5,7,10,12))*Sensitivity!$H$6,IF($J$37="Damage Taken Decrease %",0,IF($J$37="Defense %",0,IF($J$37="Accuracy",0,IF($J$37="Critical Rate %",(CHOOSE(MATCH($I$37,{"Rare","Epic","Unique","Legendary","Mystic","Mystic (Prime)"},0),2,3,4.5,7,10,12))*Sensitivity!$H$15,IF($J$37="Min Damage Multiplier %",(CHOOSE(MATCH($I$37,{"Rare","Epic","Unique","Legendary","Mystic","Mystic (Prime)"},0),2,3,4.5,7,10,12))*Sensitivity!$H$13,IF($J$37="Max Damage Multiplier %",(CHOOSE(MATCH($I$37,{"Rare","Epic","Unique","Legendary","Mystic","Mystic (Prime)"},0),2,3,4.5,7,10,12))*Sensitivity!$H$14,IF($J$37="Boss Monster Damage %",(CHOOSE(MATCH($I$37,{"Rare","Epic","Unique","Legendary","Mystic","Mystic (Prime)"},0),4,6,9,14,20,24))*Sensitivity!$H$10,IF($J$37="Normal Monster Damage %",(CHOOSE(MATCH($I$37,{"Rare","Epic","Unique","Legendary","Mystic","Mystic (Prime)"},0),4,6,9,14,20,24))*Sensitivity!$H$11,IF($J$37="Status Effect Damage %",0,IF($J$37="Damage %",(CHOOSE(MATCH($I$37,{"Rare","Epic","Unique","Legendary","Mystic","Mystic (Prime)"},0),4,6,9,14,20,24))*Sensitivity!$H$8,IF($J$37="Defense Penetration %",(CHOOSE(MATCH($I$37,{"Rare","Epic","Unique","Legendary","Mystic","Mystic (Prime)"},0),2,3,4.5,7,10,12))*Sensitivity!$H$18,0)))))))))))),0)</f>
        <v/>
      </c>
      <c r="L37">
        <f>Summary!$B$3*((IF(D37="(none)",1,1+(E37+IF(G37=D37,H37,0)+IF(J37=D37,K37,0))/Summary!$B$3))*(IF(OR(G37="(none)",G37=D37),1,1+(H37+IF(D37=G37,E37,0)+IF(J37=G37,K37,0))/Summary!$B$3))*(IF(OR(J37="",J37="(none)",J37=D37,J37=G37),1,1+(K37+IF(D37=J37,E37,0)+IF(G37=J37,H37,0))/Summary!$B$3))-1)</f>
        <v/>
      </c>
      <c r="M37">
        <f>OR(Inputs!$B$47="Alliance Badge",Inputs!$B$48="Alliance Badge",Inputs!$B$49="Alliance Badge",Inputs!$B$50="Alliance Badge")</f>
        <v/>
      </c>
      <c r="N37">
        <f>IF(B37="Not Unlocked",0,B37)</f>
        <v/>
      </c>
    </row>
    <row r="38">
      <c r="A38" s="6" t="inlineStr">
        <is>
          <t>Horn Flute</t>
        </is>
      </c>
      <c r="B38" s="7" t="inlineStr">
        <is>
          <t>Not Unlocked</t>
        </is>
      </c>
      <c r="C38" s="7" t="inlineStr">
        <is>
          <t>Rare</t>
        </is>
      </c>
      <c r="D38" s="7" t="inlineStr">
        <is>
          <t>(none)</t>
        </is>
      </c>
      <c r="E38">
        <f>IF($N$38&gt;=1,IF($D$38="Main Stat %",(CHOOSE(MATCH($C$38,{"Rare","Epic","Unique","Legendary","Mystic","Mystic (Prime)"},0),2,3,4.5,7,10,12))*Sensitivity!$H$6,IF($D$38="Damage Taken Decrease %",0,IF($D$38="Defense %",0,IF($D$38="Accuracy",0,IF($D$38="Critical Rate %",(CHOOSE(MATCH($C$38,{"Rare","Epic","Unique","Legendary","Mystic","Mystic (Prime)"},0),2,3,4.5,7,10,12))*Sensitivity!$H$15,IF($D$38="Min Damage Multiplier %",(CHOOSE(MATCH($C$38,{"Rare","Epic","Unique","Legendary","Mystic","Mystic (Prime)"},0),2,3,4.5,7,10,12))*Sensitivity!$H$13,IF($D$38="Max Damage Multiplier %",(CHOOSE(MATCH($C$38,{"Rare","Epic","Unique","Legendary","Mystic","Mystic (Prime)"},0),2,3,4.5,7,10,12))*Sensitivity!$H$14,IF($D$38="Boss Monster Damage %",(CHOOSE(MATCH($C$38,{"Rare","Epic","Unique","Legendary","Mystic","Mystic (Prime)"},0),4,6,9,14,20,24))*Sensitivity!$H$10,IF($D$38="Normal Monster Damage %",(CHOOSE(MATCH($C$38,{"Rare","Epic","Unique","Legendary","Mystic","Mystic (Prime)"},0),4,6,9,14,20,24))*Sensitivity!$H$11,IF($D$38="Status Effect Damage %",0,IF($D$38="Damage %",(CHOOSE(MATCH($C$38,{"Rare","Epic","Unique","Legendary","Mystic","Mystic (Prime)"},0),4,6,9,14,20,24))*Sensitivity!$H$8,IF($D$38="Defense Penetration %",(CHOOSE(MATCH($C$38,{"Rare","Epic","Unique","Legendary","Mystic","Mystic (Prime)"},0),2,3,4.5,7,10,12))*Sensitivity!$H$18,0)))))))))))),0)</f>
        <v/>
      </c>
      <c r="F38" s="7" t="inlineStr">
        <is>
          <t>Rare</t>
        </is>
      </c>
      <c r="G38" s="7" t="inlineStr">
        <is>
          <t>(none)</t>
        </is>
      </c>
      <c r="H38">
        <f>IF($N$38&gt;=2,IF($G$38="Main Stat %",(CHOOSE(MATCH($F$38,{"Rare","Epic","Unique","Legendary","Mystic","Mystic (Prime)"},0),2,3,4.5,7,10,12))*Sensitivity!$H$6,IF($G$38="Damage Taken Decrease %",0,IF($G$38="Defense %",0,IF($G$38="Accuracy",0,IF($G$38="Critical Rate %",(CHOOSE(MATCH($F$38,{"Rare","Epic","Unique","Legendary","Mystic","Mystic (Prime)"},0),2,3,4.5,7,10,12))*Sensitivity!$H$15,IF($G$38="Min Damage Multiplier %",(CHOOSE(MATCH($F$38,{"Rare","Epic","Unique","Legendary","Mystic","Mystic (Prime)"},0),2,3,4.5,7,10,12))*Sensitivity!$H$13,IF($G$38="Max Damage Multiplier %",(CHOOSE(MATCH($F$38,{"Rare","Epic","Unique","Legendary","Mystic","Mystic (Prime)"},0),2,3,4.5,7,10,12))*Sensitivity!$H$14,IF($G$38="Boss Monster Damage %",(CHOOSE(MATCH($F$38,{"Rare","Epic","Unique","Legendary","Mystic","Mystic (Prime)"},0),4,6,9,14,20,24))*Sensitivity!$H$10,IF($G$38="Normal Monster Damage %",(CHOOSE(MATCH($F$38,{"Rare","Epic","Unique","Legendary","Mystic","Mystic (Prime)"},0),4,6,9,14,20,24))*Sensitivity!$H$11,IF($G$38="Status Effect Damage %",0,IF($G$38="Damage %",(CHOOSE(MATCH($F$38,{"Rare","Epic","Unique","Legendary","Mystic","Mystic (Prime)"},0),4,6,9,14,20,24))*Sensitivity!$H$8,IF($G$38="Defense Penetration %",(CHOOSE(MATCH($F$38,{"Rare","Epic","Unique","Legendary","Mystic","Mystic (Prime)"},0),2,3,4.5,7,10,12))*Sensitivity!$H$18,0)))))))))))),0)</f>
        <v/>
      </c>
      <c r="I38" s="7" t="inlineStr">
        <is>
          <t>Rare</t>
        </is>
      </c>
      <c r="J38" s="7" t="inlineStr">
        <is>
          <t>(none)</t>
        </is>
      </c>
      <c r="K38">
        <f>IF($N$38&gt;=5,IF($J$38="Main Stat %",(CHOOSE(MATCH($I$38,{"Rare","Epic","Unique","Legendary","Mystic","Mystic (Prime)"},0),2,3,4.5,7,10,12))*Sensitivity!$H$6,IF($J$38="Damage Taken Decrease %",0,IF($J$38="Defense %",0,IF($J$38="Accuracy",0,IF($J$38="Critical Rate %",(CHOOSE(MATCH($I$38,{"Rare","Epic","Unique","Legendary","Mystic","Mystic (Prime)"},0),2,3,4.5,7,10,12))*Sensitivity!$H$15,IF($J$38="Min Damage Multiplier %",(CHOOSE(MATCH($I$38,{"Rare","Epic","Unique","Legendary","Mystic","Mystic (Prime)"},0),2,3,4.5,7,10,12))*Sensitivity!$H$13,IF($J$38="Max Damage Multiplier %",(CHOOSE(MATCH($I$38,{"Rare","Epic","Unique","Legendary","Mystic","Mystic (Prime)"},0),2,3,4.5,7,10,12))*Sensitivity!$H$14,IF($J$38="Boss Monster Damage %",(CHOOSE(MATCH($I$38,{"Rare","Epic","Unique","Legendary","Mystic","Mystic (Prime)"},0),4,6,9,14,20,24))*Sensitivity!$H$10,IF($J$38="Normal Monster Damage %",(CHOOSE(MATCH($I$38,{"Rare","Epic","Unique","Legendary","Mystic","Mystic (Prime)"},0),4,6,9,14,20,24))*Sensitivity!$H$11,IF($J$38="Status Effect Damage %",0,IF($J$38="Damage %",(CHOOSE(MATCH($I$38,{"Rare","Epic","Unique","Legendary","Mystic","Mystic (Prime)"},0),4,6,9,14,20,24))*Sensitivity!$H$8,IF($J$38="Defense Penetration %",(CHOOSE(MATCH($I$38,{"Rare","Epic","Unique","Legendary","Mystic","Mystic (Prime)"},0),2,3,4.5,7,10,12))*Sensitivity!$H$18,0)))))))))))),0)</f>
        <v/>
      </c>
      <c r="L38">
        <f>Summary!$B$3*((IF(D38="(none)",1,1+(E38+IF(G38=D38,H38,0)+IF(J38=D38,K38,0))/Summary!$B$3))*(IF(OR(G38="(none)",G38=D38),1,1+(H38+IF(D38=G38,E38,0)+IF(J38=G38,K38,0))/Summary!$B$3))*(IF(OR(J38="",J38="(none)",J38=D38,J38=G38),1,1+(K38+IF(D38=J38,E38,0)+IF(G38=J38,H38,0))/Summary!$B$3))-1)</f>
        <v/>
      </c>
      <c r="M38">
        <f>OR(Inputs!$B$47="Horn Flute",Inputs!$B$48="Horn Flute",Inputs!$B$49="Horn Flute",Inputs!$B$50="Horn Flute")</f>
        <v/>
      </c>
      <c r="N38">
        <f>IF(B38="Not Unlocked",0,B38)</f>
        <v/>
      </c>
    </row>
    <row r="39">
      <c r="A39" s="6" t="inlineStr">
        <is>
          <t>Cursed Doll</t>
        </is>
      </c>
      <c r="B39" s="7" t="inlineStr">
        <is>
          <t>Not Unlocked</t>
        </is>
      </c>
      <c r="C39" s="7" t="inlineStr">
        <is>
          <t>Rare</t>
        </is>
      </c>
      <c r="D39" s="7" t="inlineStr">
        <is>
          <t>(none)</t>
        </is>
      </c>
      <c r="E39">
        <f>IF($N$39&gt;=1,IF($D$39="Main Stat %",(CHOOSE(MATCH($C$39,{"Rare","Epic","Unique","Legendary","Mystic","Mystic (Prime)"},0),2,3,4.5,7,10,12))*Sensitivity!$H$6,IF($D$39="Damage Taken Decrease %",0,IF($D$39="Defense %",0,IF($D$39="Accuracy",0,IF($D$39="Critical Rate %",(CHOOSE(MATCH($C$39,{"Rare","Epic","Unique","Legendary","Mystic","Mystic (Prime)"},0),2,3,4.5,7,10,12))*Sensitivity!$H$15,IF($D$39="Min Damage Multiplier %",(CHOOSE(MATCH($C$39,{"Rare","Epic","Unique","Legendary","Mystic","Mystic (Prime)"},0),2,3,4.5,7,10,12))*Sensitivity!$H$13,IF($D$39="Max Damage Multiplier %",(CHOOSE(MATCH($C$39,{"Rare","Epic","Unique","Legendary","Mystic","Mystic (Prime)"},0),2,3,4.5,7,10,12))*Sensitivity!$H$14,IF($D$39="Boss Monster Damage %",(CHOOSE(MATCH($C$39,{"Rare","Epic","Unique","Legendary","Mystic","Mystic (Prime)"},0),4,6,9,14,20,24))*Sensitivity!$H$10,IF($D$39="Normal Monster Damage %",(CHOOSE(MATCH($C$39,{"Rare","Epic","Unique","Legendary","Mystic","Mystic (Prime)"},0),4,6,9,14,20,24))*Sensitivity!$H$11,IF($D$39="Status Effect Damage %",0,IF($D$39="Damage %",(CHOOSE(MATCH($C$39,{"Rare","Epic","Unique","Legendary","Mystic","Mystic (Prime)"},0),4,6,9,14,20,24))*Sensitivity!$H$8,IF($D$39="Defense Penetration %",(CHOOSE(MATCH($C$39,{"Rare","Epic","Unique","Legendary","Mystic","Mystic (Prime)"},0),2,3,4.5,7,10,12))*Sensitivity!$H$18,0)))))))))))),0)</f>
        <v/>
      </c>
      <c r="F39" s="7" t="inlineStr">
        <is>
          <t>Rare</t>
        </is>
      </c>
      <c r="G39" s="7" t="inlineStr">
        <is>
          <t>(none)</t>
        </is>
      </c>
      <c r="H39">
        <f>IF($N$39&gt;=2,IF($G$39="Main Stat %",(CHOOSE(MATCH($F$39,{"Rare","Epic","Unique","Legendary","Mystic","Mystic (Prime)"},0),2,3,4.5,7,10,12))*Sensitivity!$H$6,IF($G$39="Damage Taken Decrease %",0,IF($G$39="Defense %",0,IF($G$39="Accuracy",0,IF($G$39="Critical Rate %",(CHOOSE(MATCH($F$39,{"Rare","Epic","Unique","Legendary","Mystic","Mystic (Prime)"},0),2,3,4.5,7,10,12))*Sensitivity!$H$15,IF($G$39="Min Damage Multiplier %",(CHOOSE(MATCH($F$39,{"Rare","Epic","Unique","Legendary","Mystic","Mystic (Prime)"},0),2,3,4.5,7,10,12))*Sensitivity!$H$13,IF($G$39="Max Damage Multiplier %",(CHOOSE(MATCH($F$39,{"Rare","Epic","Unique","Legendary","Mystic","Mystic (Prime)"},0),2,3,4.5,7,10,12))*Sensitivity!$H$14,IF($G$39="Boss Monster Damage %",(CHOOSE(MATCH($F$39,{"Rare","Epic","Unique","Legendary","Mystic","Mystic (Prime)"},0),4,6,9,14,20,24))*Sensitivity!$H$10,IF($G$39="Normal Monster Damage %",(CHOOSE(MATCH($F$39,{"Rare","Epic","Unique","Legendary","Mystic","Mystic (Prime)"},0),4,6,9,14,20,24))*Sensitivity!$H$11,IF($G$39="Status Effect Damage %",0,IF($G$39="Damage %",(CHOOSE(MATCH($F$39,{"Rare","Epic","Unique","Legendary","Mystic","Mystic (Prime)"},0),4,6,9,14,20,24))*Sensitivity!$H$8,IF($G$39="Defense Penetration %",(CHOOSE(MATCH($F$39,{"Rare","Epic","Unique","Legendary","Mystic","Mystic (Prime)"},0),2,3,4.5,7,10,12))*Sensitivity!$H$18,0)))))))))))),0)</f>
        <v/>
      </c>
      <c r="I39" s="7" t="inlineStr">
        <is>
          <t>Rare</t>
        </is>
      </c>
      <c r="J39" s="7" t="inlineStr">
        <is>
          <t>(none)</t>
        </is>
      </c>
      <c r="K39">
        <f>IF($N$39&gt;=5,IF($J$39="Main Stat %",(CHOOSE(MATCH($I$39,{"Rare","Epic","Unique","Legendary","Mystic","Mystic (Prime)"},0),2,3,4.5,7,10,12))*Sensitivity!$H$6,IF($J$39="Damage Taken Decrease %",0,IF($J$39="Defense %",0,IF($J$39="Accuracy",0,IF($J$39="Critical Rate %",(CHOOSE(MATCH($I$39,{"Rare","Epic","Unique","Legendary","Mystic","Mystic (Prime)"},0),2,3,4.5,7,10,12))*Sensitivity!$H$15,IF($J$39="Min Damage Multiplier %",(CHOOSE(MATCH($I$39,{"Rare","Epic","Unique","Legendary","Mystic","Mystic (Prime)"},0),2,3,4.5,7,10,12))*Sensitivity!$H$13,IF($J$39="Max Damage Multiplier %",(CHOOSE(MATCH($I$39,{"Rare","Epic","Unique","Legendary","Mystic","Mystic (Prime)"},0),2,3,4.5,7,10,12))*Sensitivity!$H$14,IF($J$39="Boss Monster Damage %",(CHOOSE(MATCH($I$39,{"Rare","Epic","Unique","Legendary","Mystic","Mystic (Prime)"},0),4,6,9,14,20,24))*Sensitivity!$H$10,IF($J$39="Normal Monster Damage %",(CHOOSE(MATCH($I$39,{"Rare","Epic","Unique","Legendary","Mystic","Mystic (Prime)"},0),4,6,9,14,20,24))*Sensitivity!$H$11,IF($J$39="Status Effect Damage %",0,IF($J$39="Damage %",(CHOOSE(MATCH($I$39,{"Rare","Epic","Unique","Legendary","Mystic","Mystic (Prime)"},0),4,6,9,14,20,24))*Sensitivity!$H$8,IF($J$39="Defense Penetration %",(CHOOSE(MATCH($I$39,{"Rare","Epic","Unique","Legendary","Mystic","Mystic (Prime)"},0),2,3,4.5,7,10,12))*Sensitivity!$H$18,0)))))))))))),0)</f>
        <v/>
      </c>
      <c r="L39">
        <f>Summary!$B$3*((IF(D39="(none)",1,1+(E39+IF(G39=D39,H39,0)+IF(J39=D39,K39,0))/Summary!$B$3))*(IF(OR(G39="(none)",G39=D39),1,1+(H39+IF(D39=G39,E39,0)+IF(J39=G39,K39,0))/Summary!$B$3))*(IF(OR(J39="",J39="(none)",J39=D39,J39=G39),1,1+(K39+IF(D39=J39,E39,0)+IF(G39=J39,H39,0))/Summary!$B$3))-1)</f>
        <v/>
      </c>
      <c r="M39">
        <f>OR(Inputs!$B$47="Cursed Doll",Inputs!$B$48="Cursed Doll",Inputs!$B$49="Cursed Doll",Inputs!$B$50="Cursed Doll")</f>
        <v/>
      </c>
      <c r="N39">
        <f>IF(B39="Not Unlocked",0,B39)</f>
        <v/>
      </c>
    </row>
    <row r="40">
      <c r="A40" s="6" t="inlineStr">
        <is>
          <t>Reindeer's Spear</t>
        </is>
      </c>
      <c r="B40" s="7" t="inlineStr">
        <is>
          <t>Not Unlocked</t>
        </is>
      </c>
      <c r="C40" s="7" t="inlineStr">
        <is>
          <t>Rare</t>
        </is>
      </c>
      <c r="D40" s="7" t="inlineStr">
        <is>
          <t>(none)</t>
        </is>
      </c>
      <c r="E40">
        <f>IF($N$40&gt;=1,IF($D$40="Main Stat %",(CHOOSE(MATCH($C$40,{"Rare","Epic","Unique","Legendary","Mystic","Mystic (Prime)"},0),2,3,4.5,7,10,12))*Sensitivity!$H$6,IF($D$40="Damage Taken Decrease %",0,IF($D$40="Defense %",0,IF($D$40="Accuracy",0,IF($D$40="Critical Rate %",(CHOOSE(MATCH($C$40,{"Rare","Epic","Unique","Legendary","Mystic","Mystic (Prime)"},0),2,3,4.5,7,10,12))*Sensitivity!$H$15,IF($D$40="Min Damage Multiplier %",(CHOOSE(MATCH($C$40,{"Rare","Epic","Unique","Legendary","Mystic","Mystic (Prime)"},0),2,3,4.5,7,10,12))*Sensitivity!$H$13,IF($D$40="Max Damage Multiplier %",(CHOOSE(MATCH($C$40,{"Rare","Epic","Unique","Legendary","Mystic","Mystic (Prime)"},0),2,3,4.5,7,10,12))*Sensitivity!$H$14,IF($D$40="Boss Monster Damage %",(CHOOSE(MATCH($C$40,{"Rare","Epic","Unique","Legendary","Mystic","Mystic (Prime)"},0),4,6,9,14,20,24))*Sensitivity!$H$10,IF($D$40="Normal Monster Damage %",(CHOOSE(MATCH($C$40,{"Rare","Epic","Unique","Legendary","Mystic","Mystic (Prime)"},0),4,6,9,14,20,24))*Sensitivity!$H$11,IF($D$40="Status Effect Damage %",0,IF($D$40="Damage %",(CHOOSE(MATCH($C$40,{"Rare","Epic","Unique","Legendary","Mystic","Mystic (Prime)"},0),4,6,9,14,20,24))*Sensitivity!$H$8,IF($D$40="Defense Penetration %",(CHOOSE(MATCH($C$40,{"Rare","Epic","Unique","Legendary","Mystic","Mystic (Prime)"},0),2,3,4.5,7,10,12))*Sensitivity!$H$18,0)))))))))))),0)</f>
        <v/>
      </c>
      <c r="F40" s="7" t="inlineStr">
        <is>
          <t>Rare</t>
        </is>
      </c>
      <c r="G40" s="7" t="inlineStr">
        <is>
          <t>(none)</t>
        </is>
      </c>
      <c r="H40">
        <f>IF($N$40&gt;=2,IF($G$40="Main Stat %",(CHOOSE(MATCH($F$40,{"Rare","Epic","Unique","Legendary","Mystic","Mystic (Prime)"},0),2,3,4.5,7,10,12))*Sensitivity!$H$6,IF($G$40="Damage Taken Decrease %",0,IF($G$40="Defense %",0,IF($G$40="Accuracy",0,IF($G$40="Critical Rate %",(CHOOSE(MATCH($F$40,{"Rare","Epic","Unique","Legendary","Mystic","Mystic (Prime)"},0),2,3,4.5,7,10,12))*Sensitivity!$H$15,IF($G$40="Min Damage Multiplier %",(CHOOSE(MATCH($F$40,{"Rare","Epic","Unique","Legendary","Mystic","Mystic (Prime)"},0),2,3,4.5,7,10,12))*Sensitivity!$H$13,IF($G$40="Max Damage Multiplier %",(CHOOSE(MATCH($F$40,{"Rare","Epic","Unique","Legendary","Mystic","Mystic (Prime)"},0),2,3,4.5,7,10,12))*Sensitivity!$H$14,IF($G$40="Boss Monster Damage %",(CHOOSE(MATCH($F$40,{"Rare","Epic","Unique","Legendary","Mystic","Mystic (Prime)"},0),4,6,9,14,20,24))*Sensitivity!$H$10,IF($G$40="Normal Monster Damage %",(CHOOSE(MATCH($F$40,{"Rare","Epic","Unique","Legendary","Mystic","Mystic (Prime)"},0),4,6,9,14,20,24))*Sensitivity!$H$11,IF($G$40="Status Effect Damage %",0,IF($G$40="Damage %",(CHOOSE(MATCH($F$40,{"Rare","Epic","Unique","Legendary","Mystic","Mystic (Prime)"},0),4,6,9,14,20,24))*Sensitivity!$H$8,IF($G$40="Defense Penetration %",(CHOOSE(MATCH($F$40,{"Rare","Epic","Unique","Legendary","Mystic","Mystic (Prime)"},0),2,3,4.5,7,10,12))*Sensitivity!$H$18,0)))))))))))),0)</f>
        <v/>
      </c>
      <c r="I40" s="7" t="inlineStr">
        <is>
          <t>Rare</t>
        </is>
      </c>
      <c r="J40" s="7" t="inlineStr">
        <is>
          <t>(none)</t>
        </is>
      </c>
      <c r="K40">
        <f>IF($N$40&gt;=5,IF($J$40="Main Stat %",(CHOOSE(MATCH($I$40,{"Rare","Epic","Unique","Legendary","Mystic","Mystic (Prime)"},0),2,3,4.5,7,10,12))*Sensitivity!$H$6,IF($J$40="Damage Taken Decrease %",0,IF($J$40="Defense %",0,IF($J$40="Accuracy",0,IF($J$40="Critical Rate %",(CHOOSE(MATCH($I$40,{"Rare","Epic","Unique","Legendary","Mystic","Mystic (Prime)"},0),2,3,4.5,7,10,12))*Sensitivity!$H$15,IF($J$40="Min Damage Multiplier %",(CHOOSE(MATCH($I$40,{"Rare","Epic","Unique","Legendary","Mystic","Mystic (Prime)"},0),2,3,4.5,7,10,12))*Sensitivity!$H$13,IF($J$40="Max Damage Multiplier %",(CHOOSE(MATCH($I$40,{"Rare","Epic","Unique","Legendary","Mystic","Mystic (Prime)"},0),2,3,4.5,7,10,12))*Sensitivity!$H$14,IF($J$40="Boss Monster Damage %",(CHOOSE(MATCH($I$40,{"Rare","Epic","Unique","Legendary","Mystic","Mystic (Prime)"},0),4,6,9,14,20,24))*Sensitivity!$H$10,IF($J$40="Normal Monster Damage %",(CHOOSE(MATCH($I$40,{"Rare","Epic","Unique","Legendary","Mystic","Mystic (Prime)"},0),4,6,9,14,20,24))*Sensitivity!$H$11,IF($J$40="Status Effect Damage %",0,IF($J$40="Damage %",(CHOOSE(MATCH($I$40,{"Rare","Epic","Unique","Legendary","Mystic","Mystic (Prime)"},0),4,6,9,14,20,24))*Sensitivity!$H$8,IF($J$40="Defense Penetration %",(CHOOSE(MATCH($I$40,{"Rare","Epic","Unique","Legendary","Mystic","Mystic (Prime)"},0),2,3,4.5,7,10,12))*Sensitivity!$H$18,0)))))))))))),0)</f>
        <v/>
      </c>
      <c r="L40">
        <f>Summary!$B$3*((IF(D40="(none)",1,1+(E40+IF(G40=D40,H40,0)+IF(J40=D40,K40,0))/Summary!$B$3))*(IF(OR(G40="(none)",G40=D40),1,1+(H40+IF(D40=G40,E40,0)+IF(J40=G40,K40,0))/Summary!$B$3))*(IF(OR(J40="",J40="(none)",J40=D40,J40=G40),1,1+(K40+IF(D40=J40,E40,0)+IF(G40=J40,H40,0))/Summary!$B$3))-1)</f>
        <v/>
      </c>
      <c r="M40">
        <f>OR(Inputs!$B$47="Reindeer's Spear",Inputs!$B$48="Reindeer's Spear",Inputs!$B$49="Reindeer's Spear",Inputs!$B$50="Reindeer's Spear")</f>
        <v/>
      </c>
      <c r="N40">
        <f>IF(B40="Not Unlocked",0,B40)</f>
        <v/>
      </c>
    </row>
    <row r="41">
      <c r="A41" s="6" t="inlineStr">
        <is>
          <t>Secret Map</t>
        </is>
      </c>
      <c r="B41" s="7" t="inlineStr">
        <is>
          <t>Not Unlocked</t>
        </is>
      </c>
      <c r="C41" s="7" t="inlineStr">
        <is>
          <t>Rare</t>
        </is>
      </c>
      <c r="D41" s="7" t="inlineStr">
        <is>
          <t>(none)</t>
        </is>
      </c>
      <c r="E41">
        <f>IF($N$41&gt;=1,IF($D$41="Main Stat %",(CHOOSE(MATCH($C$41,{"Rare","Epic","Unique","Legendary","Mystic","Mystic (Prime)"},0),2,3,4.5,7,10,12))*Sensitivity!$H$6,IF($D$41="Damage Taken Decrease %",0,IF($D$41="Defense %",0,IF($D$41="Accuracy",0,IF($D$41="Critical Rate %",(CHOOSE(MATCH($C$41,{"Rare","Epic","Unique","Legendary","Mystic","Mystic (Prime)"},0),2,3,4.5,7,10,12))*Sensitivity!$H$15,IF($D$41="Min Damage Multiplier %",(CHOOSE(MATCH($C$41,{"Rare","Epic","Unique","Legendary","Mystic","Mystic (Prime)"},0),2,3,4.5,7,10,12))*Sensitivity!$H$13,IF($D$41="Max Damage Multiplier %",(CHOOSE(MATCH($C$41,{"Rare","Epic","Unique","Legendary","Mystic","Mystic (Prime)"},0),2,3,4.5,7,10,12))*Sensitivity!$H$14,IF($D$41="Boss Monster Damage %",(CHOOSE(MATCH($C$41,{"Rare","Epic","Unique","Legendary","Mystic","Mystic (Prime)"},0),4,6,9,14,20,24))*Sensitivity!$H$10,IF($D$41="Normal Monster Damage %",(CHOOSE(MATCH($C$41,{"Rare","Epic","Unique","Legendary","Mystic","Mystic (Prime)"},0),4,6,9,14,20,24))*Sensitivity!$H$11,IF($D$41="Status Effect Damage %",0,IF($D$41="Damage %",(CHOOSE(MATCH($C$41,{"Rare","Epic","Unique","Legendary","Mystic","Mystic (Prime)"},0),4,6,9,14,20,24))*Sensitivity!$H$8,IF($D$41="Defense Penetration %",(CHOOSE(MATCH($C$41,{"Rare","Epic","Unique","Legendary","Mystic","Mystic (Prime)"},0),2,3,4.5,7,10,12))*Sensitivity!$H$18,0)))))))))))),0)</f>
        <v/>
      </c>
      <c r="F41" s="7" t="inlineStr">
        <is>
          <t>Rare</t>
        </is>
      </c>
      <c r="G41" s="7" t="inlineStr">
        <is>
          <t>(none)</t>
        </is>
      </c>
      <c r="H41">
        <f>IF($N$41&gt;=2,IF($G$41="Main Stat %",(CHOOSE(MATCH($F$41,{"Rare","Epic","Unique","Legendary","Mystic","Mystic (Prime)"},0),2,3,4.5,7,10,12))*Sensitivity!$H$6,IF($G$41="Damage Taken Decrease %",0,IF($G$41="Defense %",0,IF($G$41="Accuracy",0,IF($G$41="Critical Rate %",(CHOOSE(MATCH($F$41,{"Rare","Epic","Unique","Legendary","Mystic","Mystic (Prime)"},0),2,3,4.5,7,10,12))*Sensitivity!$H$15,IF($G$41="Min Damage Multiplier %",(CHOOSE(MATCH($F$41,{"Rare","Epic","Unique","Legendary","Mystic","Mystic (Prime)"},0),2,3,4.5,7,10,12))*Sensitivity!$H$13,IF($G$41="Max Damage Multiplier %",(CHOOSE(MATCH($F$41,{"Rare","Epic","Unique","Legendary","Mystic","Mystic (Prime)"},0),2,3,4.5,7,10,12))*Sensitivity!$H$14,IF($G$41="Boss Monster Damage %",(CHOOSE(MATCH($F$41,{"Rare","Epic","Unique","Legendary","Mystic","Mystic (Prime)"},0),4,6,9,14,20,24))*Sensitivity!$H$10,IF($G$41="Normal Monster Damage %",(CHOOSE(MATCH($F$41,{"Rare","Epic","Unique","Legendary","Mystic","Mystic (Prime)"},0),4,6,9,14,20,24))*Sensitivity!$H$11,IF($G$41="Status Effect Damage %",0,IF($G$41="Damage %",(CHOOSE(MATCH($F$41,{"Rare","Epic","Unique","Legendary","Mystic","Mystic (Prime)"},0),4,6,9,14,20,24))*Sensitivity!$H$8,IF($G$41="Defense Penetration %",(CHOOSE(MATCH($F$41,{"Rare","Epic","Unique","Legendary","Mystic","Mystic (Prime)"},0),2,3,4.5,7,10,12))*Sensitivity!$H$18,0)))))))))))),0)</f>
        <v/>
      </c>
      <c r="I41" s="7" t="inlineStr">
        <is>
          <t>Rare</t>
        </is>
      </c>
      <c r="J41" s="7" t="inlineStr">
        <is>
          <t>(none)</t>
        </is>
      </c>
      <c r="K41">
        <f>IF($N$41&gt;=5,IF($J$41="Main Stat %",(CHOOSE(MATCH($I$41,{"Rare","Epic","Unique","Legendary","Mystic","Mystic (Prime)"},0),2,3,4.5,7,10,12))*Sensitivity!$H$6,IF($J$41="Damage Taken Decrease %",0,IF($J$41="Defense %",0,IF($J$41="Accuracy",0,IF($J$41="Critical Rate %",(CHOOSE(MATCH($I$41,{"Rare","Epic","Unique","Legendary","Mystic","Mystic (Prime)"},0),2,3,4.5,7,10,12))*Sensitivity!$H$15,IF($J$41="Min Damage Multiplier %",(CHOOSE(MATCH($I$41,{"Rare","Epic","Unique","Legendary","Mystic","Mystic (Prime)"},0),2,3,4.5,7,10,12))*Sensitivity!$H$13,IF($J$41="Max Damage Multiplier %",(CHOOSE(MATCH($I$41,{"Rare","Epic","Unique","Legendary","Mystic","Mystic (Prime)"},0),2,3,4.5,7,10,12))*Sensitivity!$H$14,IF($J$41="Boss Monster Damage %",(CHOOSE(MATCH($I$41,{"Rare","Epic","Unique","Legendary","Mystic","Mystic (Prime)"},0),4,6,9,14,20,24))*Sensitivity!$H$10,IF($J$41="Normal Monster Damage %",(CHOOSE(MATCH($I$41,{"Rare","Epic","Unique","Legendary","Mystic","Mystic (Prime)"},0),4,6,9,14,20,24))*Sensitivity!$H$11,IF($J$41="Status Effect Damage %",0,IF($J$41="Damage %",(CHOOSE(MATCH($I$41,{"Rare","Epic","Unique","Legendary","Mystic","Mystic (Prime)"},0),4,6,9,14,20,24))*Sensitivity!$H$8,IF($J$41="Defense Penetration %",(CHOOSE(MATCH($I$41,{"Rare","Epic","Unique","Legendary","Mystic","Mystic (Prime)"},0),2,3,4.5,7,10,12))*Sensitivity!$H$18,0)))))))))))),0)</f>
        <v/>
      </c>
      <c r="L41">
        <f>Summary!$B$3*((IF(D41="(none)",1,1+(E41+IF(G41=D41,H41,0)+IF(J41=D41,K41,0))/Summary!$B$3))*(IF(OR(G41="(none)",G41=D41),1,1+(H41+IF(D41=G41,E41,0)+IF(J41=G41,K41,0))/Summary!$B$3))*(IF(OR(J41="",J41="(none)",J41=D41,J41=G41),1,1+(K41+IF(D41=J41,E41,0)+IF(G41=J41,H41,0))/Summary!$B$3))-1)</f>
        <v/>
      </c>
      <c r="M41">
        <f>OR(Inputs!$B$47="Secret Map",Inputs!$B$48="Secret Map",Inputs!$B$49="Secret Map",Inputs!$B$50="Secret Map")</f>
        <v/>
      </c>
      <c r="N41">
        <f>IF(B41="Not Unlocked",0,B41)</f>
        <v/>
      </c>
    </row>
    <row r="42">
      <c r="A42" s="6" t="inlineStr">
        <is>
          <t>Ring of Cycles</t>
        </is>
      </c>
      <c r="B42" s="7" t="inlineStr">
        <is>
          <t>Not Unlocked</t>
        </is>
      </c>
      <c r="C42" s="7" t="inlineStr">
        <is>
          <t>Rare</t>
        </is>
      </c>
      <c r="D42" s="7" t="inlineStr">
        <is>
          <t>(none)</t>
        </is>
      </c>
      <c r="E42">
        <f>IF($N$42&gt;=1,IF($D$42="Main Stat %",(CHOOSE(MATCH($C$42,{"Rare","Epic","Unique","Legendary","Mystic","Mystic (Prime)"},0),2,3,4.5,7,10,12))*Sensitivity!$H$6,IF($D$42="Damage Taken Decrease %",0,IF($D$42="Defense %",0,IF($D$42="Accuracy",0,IF($D$42="Critical Rate %",(CHOOSE(MATCH($C$42,{"Rare","Epic","Unique","Legendary","Mystic","Mystic (Prime)"},0),2,3,4.5,7,10,12))*Sensitivity!$H$15,IF($D$42="Min Damage Multiplier %",(CHOOSE(MATCH($C$42,{"Rare","Epic","Unique","Legendary","Mystic","Mystic (Prime)"},0),2,3,4.5,7,10,12))*Sensitivity!$H$13,IF($D$42="Max Damage Multiplier %",(CHOOSE(MATCH($C$42,{"Rare","Epic","Unique","Legendary","Mystic","Mystic (Prime)"},0),2,3,4.5,7,10,12))*Sensitivity!$H$14,IF($D$42="Boss Monster Damage %",(CHOOSE(MATCH($C$42,{"Rare","Epic","Unique","Legendary","Mystic","Mystic (Prime)"},0),4,6,9,14,20,24))*Sensitivity!$H$10,IF($D$42="Normal Monster Damage %",(CHOOSE(MATCH($C$42,{"Rare","Epic","Unique","Legendary","Mystic","Mystic (Prime)"},0),4,6,9,14,20,24))*Sensitivity!$H$11,IF($D$42="Status Effect Damage %",0,IF($D$42="Damage %",(CHOOSE(MATCH($C$42,{"Rare","Epic","Unique","Legendary","Mystic","Mystic (Prime)"},0),4,6,9,14,20,24))*Sensitivity!$H$8,IF($D$42="Defense Penetration %",(CHOOSE(MATCH($C$42,{"Rare","Epic","Unique","Legendary","Mystic","Mystic (Prime)"},0),2,3,4.5,7,10,12))*Sensitivity!$H$18,0)))))))))))),0)</f>
        <v/>
      </c>
      <c r="F42" s="7" t="inlineStr">
        <is>
          <t>Rare</t>
        </is>
      </c>
      <c r="G42" s="7" t="inlineStr">
        <is>
          <t>(none)</t>
        </is>
      </c>
      <c r="H42">
        <f>IF($N$42&gt;=2,IF($G$42="Main Stat %",(CHOOSE(MATCH($F$42,{"Rare","Epic","Unique","Legendary","Mystic","Mystic (Prime)"},0),2,3,4.5,7,10,12))*Sensitivity!$H$6,IF($G$42="Damage Taken Decrease %",0,IF($G$42="Defense %",0,IF($G$42="Accuracy",0,IF($G$42="Critical Rate %",(CHOOSE(MATCH($F$42,{"Rare","Epic","Unique","Legendary","Mystic","Mystic (Prime)"},0),2,3,4.5,7,10,12))*Sensitivity!$H$15,IF($G$42="Min Damage Multiplier %",(CHOOSE(MATCH($F$42,{"Rare","Epic","Unique","Legendary","Mystic","Mystic (Prime)"},0),2,3,4.5,7,10,12))*Sensitivity!$H$13,IF($G$42="Max Damage Multiplier %",(CHOOSE(MATCH($F$42,{"Rare","Epic","Unique","Legendary","Mystic","Mystic (Prime)"},0),2,3,4.5,7,10,12))*Sensitivity!$H$14,IF($G$42="Boss Monster Damage %",(CHOOSE(MATCH($F$42,{"Rare","Epic","Unique","Legendary","Mystic","Mystic (Prime)"},0),4,6,9,14,20,24))*Sensitivity!$H$10,IF($G$42="Normal Monster Damage %",(CHOOSE(MATCH($F$42,{"Rare","Epic","Unique","Legendary","Mystic","Mystic (Prime)"},0),4,6,9,14,20,24))*Sensitivity!$H$11,IF($G$42="Status Effect Damage %",0,IF($G$42="Damage %",(CHOOSE(MATCH($F$42,{"Rare","Epic","Unique","Legendary","Mystic","Mystic (Prime)"},0),4,6,9,14,20,24))*Sensitivity!$H$8,IF($G$42="Defense Penetration %",(CHOOSE(MATCH($F$42,{"Rare","Epic","Unique","Legendary","Mystic","Mystic (Prime)"},0),2,3,4.5,7,10,12))*Sensitivity!$H$18,0)))))))))))),0)</f>
        <v/>
      </c>
      <c r="I42" s="7" t="inlineStr">
        <is>
          <t>Rare</t>
        </is>
      </c>
      <c r="J42" s="7" t="inlineStr">
        <is>
          <t>(none)</t>
        </is>
      </c>
      <c r="K42">
        <f>IF($N$42&gt;=5,IF($J$42="Main Stat %",(CHOOSE(MATCH($I$42,{"Rare","Epic","Unique","Legendary","Mystic","Mystic (Prime)"},0),2,3,4.5,7,10,12))*Sensitivity!$H$6,IF($J$42="Damage Taken Decrease %",0,IF($J$42="Defense %",0,IF($J$42="Accuracy",0,IF($J$42="Critical Rate %",(CHOOSE(MATCH($I$42,{"Rare","Epic","Unique","Legendary","Mystic","Mystic (Prime)"},0),2,3,4.5,7,10,12))*Sensitivity!$H$15,IF($J$42="Min Damage Multiplier %",(CHOOSE(MATCH($I$42,{"Rare","Epic","Unique","Legendary","Mystic","Mystic (Prime)"},0),2,3,4.5,7,10,12))*Sensitivity!$H$13,IF($J$42="Max Damage Multiplier %",(CHOOSE(MATCH($I$42,{"Rare","Epic","Unique","Legendary","Mystic","Mystic (Prime)"},0),2,3,4.5,7,10,12))*Sensitivity!$H$14,IF($J$42="Boss Monster Damage %",(CHOOSE(MATCH($I$42,{"Rare","Epic","Unique","Legendary","Mystic","Mystic (Prime)"},0),4,6,9,14,20,24))*Sensitivity!$H$10,IF($J$42="Normal Monster Damage %",(CHOOSE(MATCH($I$42,{"Rare","Epic","Unique","Legendary","Mystic","Mystic (Prime)"},0),4,6,9,14,20,24))*Sensitivity!$H$11,IF($J$42="Status Effect Damage %",0,IF($J$42="Damage %",(CHOOSE(MATCH($I$42,{"Rare","Epic","Unique","Legendary","Mystic","Mystic (Prime)"},0),4,6,9,14,20,24))*Sensitivity!$H$8,IF($J$42="Defense Penetration %",(CHOOSE(MATCH($I$42,{"Rare","Epic","Unique","Legendary","Mystic","Mystic (Prime)"},0),2,3,4.5,7,10,12))*Sensitivity!$H$18,0)))))))))))),0)</f>
        <v/>
      </c>
      <c r="L42">
        <f>Summary!$B$3*((IF(D42="(none)",1,1+(E42+IF(G42=D42,H42,0)+IF(J42=D42,K42,0))/Summary!$B$3))*(IF(OR(G42="(none)",G42=D42),1,1+(H42+IF(D42=G42,E42,0)+IF(J42=G42,K42,0))/Summary!$B$3))*(IF(OR(J42="",J42="(none)",J42=D42,J42=G42),1,1+(K42+IF(D42=J42,E42,0)+IF(G42=J42,H42,0))/Summary!$B$3))-1)</f>
        <v/>
      </c>
      <c r="M42">
        <f>OR(Inputs!$B$47="Ring of Cycles",Inputs!$B$48="Ring of Cycles",Inputs!$B$49="Ring of Cycles",Inputs!$B$50="Ring of Cycles")</f>
        <v/>
      </c>
      <c r="N42">
        <f>IF(B42="Not Unlocked",0,B42)</f>
        <v/>
      </c>
    </row>
  </sheetData>
  <dataValidations count="3">
    <dataValidation sqref="B5 B6 B7 B8 B10 B11 B12 B13 B14 B15 B16 B17 B18 B20 B21 B22 B23 B24 B25 B26 B27 B28 B29 B30 B31 B32 B33 B34 B35 B36 B37 B38 B39 B40 B41 B42" showDropDown="0" showInputMessage="0" showErrorMessage="0" allowBlank="0" type="list">
      <formula1>"Not Unlocked,0,1,2,3,4,5"</formula1>
    </dataValidation>
    <dataValidation sqref="C5 C6 C7 C8 C10 C11 C12 C13 C14 C15 C16 C17 C18 C20 C21 C22 C23 C24 C25 C26 C27 C28 C29 C30 C31 C32 C33 C34 C35 C36 C37 C38 C39 C40 C41 C42 F5 F6 F7 F8 F10 F11 F12 F13 F14 F15 F16 F17 F18 F20 F21 F22 F23 F24 F25 F26 F27 F28 F29 F30 F31 F32 F33 F34 F35 F36 F37 F38 F39 F40 F41 F42 I20 I21 I22 I23 I24 I25 I26 I27 I28 I29 I30 I31 I32 I33 I34 I35 I36 I37 I38 I39 I40 I41 I42" showDropDown="0" showInputMessage="0" showErrorMessage="0" allowBlank="0" type="list">
      <formula1>"Rare,Epic,Unique,Legendary,Mystic,Mystic (Prime)"</formula1>
    </dataValidation>
    <dataValidation sqref="D5 D6 D7 D8 D10 D11 D12 D13 D14 D15 D16 D17 D18 D20 D21 D22 D23 D24 D25 D26 D27 D28 D29 D30 D31 D32 D33 D34 D35 D36 D37 D38 D39 D40 D41 D42 G5 G6 G7 G8 G10 G11 G12 G13 G14 G15 G16 G17 G18 G20 G21 G22 G23 G24 G25 G26 G27 G28 G29 G30 G31 G32 G33 G34 G35 G36 G37 G38 G39 G40 G41 G42 J20 J21 J22 J23 J24 J25 J26 J27 J28 J29 J30 J31 J32 J33 J34 J35 J36 J37 J38 J39 J40 J41 J42" showDropDown="0" showInputMessage="0" showErrorMessage="0" allowBlank="0" type="list">
      <formula1>"(none),Main Stat %,Damage Taken Decrease %,Defense %,Accuracy,Critical Rate %,Min Damage Multiplier %,Max Damage Multiplier %,Boss Monster Damage %,Normal Monster Damage %,Status Effect Damage %,Damage %,Defense Penetration %"</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J35"/>
  <sheetViews>
    <sheetView workbookViewId="0">
      <pane ySplit="5" topLeftCell="A6" activePane="bottomLeft" state="frozen"/>
      <selection pane="bottomLeft" activeCell="A1" sqref="A1"/>
    </sheetView>
  </sheetViews>
  <sheetFormatPr baseColWidth="8" defaultRowHeight="15"/>
  <cols>
    <col width="12" customWidth="1" min="1" max="1"/>
    <col width="15" customWidth="1" min="2" max="2"/>
    <col width="13" customWidth="1" min="3" max="3"/>
    <col width="18" customWidth="1" min="4" max="4"/>
    <col width="26" customWidth="1" min="5" max="5"/>
    <col width="11" customWidth="1" min="6" max="6"/>
    <col width="26" customWidth="1" min="7" max="7"/>
    <col width="11" customWidth="1" min="8" max="8"/>
    <col width="26" customWidth="1" min="9" max="9"/>
    <col width="11" customWidth="1" min="10" max="10"/>
  </cols>
  <sheetData>
    <row r="1">
      <c r="A1" s="4" t="inlineStr">
        <is>
          <t>Potential Cubes — Current Gear State</t>
        </is>
      </c>
    </row>
    <row r="2">
      <c r="A2" t="inlineStr">
        <is>
          <t>Fill in your actual current gear for every slot/potential-type you want EV results for, then run `python3 tools/potential_cubes_ev.py` — it reads this table plus the live CubeData sheet and computes exact 'expected value of the best roll kept after N rerolls' for all 30 rows (printed + written to a CSV), via a full line1 x line2 x line3 enumeration per rarity/slot rather than a single-roll average.</t>
        </is>
      </c>
    </row>
    <row r="3">
      <c r="A3" t="inlineStr">
        <is>
          <t>Leave a line's Stat as "(none)" if that line isn't rolled yet / doesn't matter.</t>
        </is>
      </c>
    </row>
    <row r="5">
      <c r="A5" s="5" t="inlineStr">
        <is>
          <t>Slot</t>
        </is>
      </c>
      <c r="B5" s="5" t="inlineStr">
        <is>
          <t>Potential Type</t>
        </is>
      </c>
      <c r="C5" s="5" t="inlineStr">
        <is>
          <t>Current Rarity</t>
        </is>
      </c>
      <c r="D5" s="5" t="inlineStr">
        <is>
          <t>Current Pity Count</t>
        </is>
      </c>
      <c r="E5" s="5" t="inlineStr">
        <is>
          <t>Line 1 Stat</t>
        </is>
      </c>
      <c r="F5" s="5" t="inlineStr">
        <is>
          <t>Line 1 Value</t>
        </is>
      </c>
      <c r="G5" s="5" t="inlineStr">
        <is>
          <t>Line 2 Stat</t>
        </is>
      </c>
      <c r="H5" s="5" t="inlineStr">
        <is>
          <t>Line 2 Value</t>
        </is>
      </c>
      <c r="I5" s="5" t="inlineStr">
        <is>
          <t>Line 3 Stat</t>
        </is>
      </c>
      <c r="J5" s="5" t="inlineStr">
        <is>
          <t>Line 3 Value</t>
        </is>
      </c>
    </row>
    <row r="6">
      <c r="A6" t="inlineStr">
        <is>
          <t>head</t>
        </is>
      </c>
      <c r="B6" t="inlineStr">
        <is>
          <t>Potential</t>
        </is>
      </c>
      <c r="C6" t="inlineStr">
        <is>
          <t>unique</t>
        </is>
      </c>
      <c r="D6" t="n">
        <v>25</v>
      </c>
      <c r="E6" t="inlineStr">
        <is>
          <t>Luk %</t>
        </is>
      </c>
      <c r="F6" t="n">
        <v>9</v>
      </c>
      <c r="G6" t="inlineStr">
        <is>
          <t>Luk %</t>
        </is>
      </c>
      <c r="H6" t="n">
        <v>6</v>
      </c>
      <c r="I6" t="inlineStr">
        <is>
          <t>Max Damage Multiplier %</t>
        </is>
      </c>
      <c r="J6" t="n">
        <v>8</v>
      </c>
    </row>
    <row r="7">
      <c r="A7" t="inlineStr">
        <is>
          <t>head</t>
        </is>
      </c>
      <c r="B7" t="inlineStr">
        <is>
          <t>Bonus Potential</t>
        </is>
      </c>
      <c r="C7" t="inlineStr">
        <is>
          <t>epic</t>
        </is>
      </c>
      <c r="D7" t="n">
        <v>4</v>
      </c>
      <c r="E7" t="inlineStr">
        <is>
          <t>Luk %</t>
        </is>
      </c>
      <c r="F7" t="n">
        <v>6</v>
      </c>
      <c r="G7" t="inlineStr">
        <is>
          <t>Str</t>
        </is>
      </c>
      <c r="H7" t="n">
        <v>100</v>
      </c>
      <c r="I7" t="inlineStr">
        <is>
          <t>Luk %</t>
        </is>
      </c>
      <c r="J7" t="n">
        <v>4.5</v>
      </c>
    </row>
    <row r="8">
      <c r="A8" t="inlineStr">
        <is>
          <t>cape</t>
        </is>
      </c>
      <c r="B8" t="inlineStr">
        <is>
          <t>Potential</t>
        </is>
      </c>
      <c r="C8" t="inlineStr">
        <is>
          <t>legendary</t>
        </is>
      </c>
      <c r="D8" t="n">
        <v>15</v>
      </c>
      <c r="E8" t="inlineStr">
        <is>
          <t>Luk %</t>
        </is>
      </c>
      <c r="F8" t="n">
        <v>12</v>
      </c>
      <c r="G8" t="inlineStr">
        <is>
          <t>Luk</t>
        </is>
      </c>
      <c r="H8" t="n">
        <v>400</v>
      </c>
      <c r="I8" t="inlineStr">
        <is>
          <t>Damage %</t>
        </is>
      </c>
      <c r="J8" t="n">
        <v>18</v>
      </c>
    </row>
    <row r="9">
      <c r="A9" t="inlineStr">
        <is>
          <t>cape</t>
        </is>
      </c>
      <c r="B9" t="inlineStr">
        <is>
          <t>Bonus Potential</t>
        </is>
      </c>
      <c r="C9" t="inlineStr">
        <is>
          <t>epic</t>
        </is>
      </c>
      <c r="D9" t="n">
        <v>3</v>
      </c>
      <c r="E9" t="inlineStr">
        <is>
          <t>Max MP %</t>
        </is>
      </c>
      <c r="F9" t="n">
        <v>6</v>
      </c>
      <c r="G9" t="inlineStr">
        <is>
          <t>Max Damage Multiplier %</t>
        </is>
      </c>
      <c r="H9" t="n">
        <v>8</v>
      </c>
      <c r="I9" t="inlineStr">
        <is>
          <t>Luk %</t>
        </is>
      </c>
      <c r="J9" t="n">
        <v>4.5</v>
      </c>
    </row>
    <row r="10">
      <c r="A10" t="inlineStr">
        <is>
          <t>chest</t>
        </is>
      </c>
      <c r="B10" t="inlineStr">
        <is>
          <t>Potential</t>
        </is>
      </c>
      <c r="C10" t="inlineStr">
        <is>
          <t>unique</t>
        </is>
      </c>
      <c r="D10" t="n">
        <v>41</v>
      </c>
      <c r="E10" t="inlineStr">
        <is>
          <t>Luk %</t>
        </is>
      </c>
      <c r="F10" t="n">
        <v>12</v>
      </c>
      <c r="G10" t="inlineStr">
        <is>
          <t>Luk %</t>
        </is>
      </c>
      <c r="H10" t="n">
        <v>12</v>
      </c>
      <c r="I10" t="inlineStr">
        <is>
          <t>Max HP %</t>
        </is>
      </c>
      <c r="J10" t="n">
        <v>15</v>
      </c>
    </row>
    <row r="11">
      <c r="A11" t="inlineStr">
        <is>
          <t>chest</t>
        </is>
      </c>
      <c r="B11" t="inlineStr">
        <is>
          <t>Bonus Potential</t>
        </is>
      </c>
      <c r="C11" t="inlineStr">
        <is>
          <t>epic</t>
        </is>
      </c>
      <c r="D11" t="n">
        <v>3</v>
      </c>
      <c r="E11" t="inlineStr">
        <is>
          <t>Max Damage Multiplier %</t>
        </is>
      </c>
      <c r="F11" t="n">
        <v>8</v>
      </c>
      <c r="G11" t="inlineStr">
        <is>
          <t>Max Damage Multiplier %</t>
        </is>
      </c>
      <c r="H11" t="n">
        <v>6</v>
      </c>
      <c r="I11" t="inlineStr">
        <is>
          <t>Max Damage Multiplier %</t>
        </is>
      </c>
      <c r="J11" t="n">
        <v>6</v>
      </c>
    </row>
    <row r="12">
      <c r="A12" t="inlineStr">
        <is>
          <t>shoulders</t>
        </is>
      </c>
      <c r="B12" t="inlineStr">
        <is>
          <t>Potential</t>
        </is>
      </c>
      <c r="C12" t="inlineStr">
        <is>
          <t>legendary</t>
        </is>
      </c>
      <c r="D12" t="n">
        <v>123</v>
      </c>
      <c r="E12" t="inlineStr">
        <is>
          <t>Damage %</t>
        </is>
      </c>
      <c r="F12" t="n">
        <v>25</v>
      </c>
      <c r="G12" t="inlineStr">
        <is>
          <t>Luk %</t>
        </is>
      </c>
      <c r="H12" t="n">
        <v>12</v>
      </c>
      <c r="I12" t="inlineStr">
        <is>
          <t>Max Damage Multiplier %</t>
        </is>
      </c>
      <c r="J12" t="n">
        <v>10</v>
      </c>
    </row>
    <row r="13">
      <c r="A13" t="inlineStr">
        <is>
          <t>shoulders</t>
        </is>
      </c>
      <c r="B13" t="inlineStr">
        <is>
          <t>Bonus Potential</t>
        </is>
      </c>
      <c r="C13" t="inlineStr">
        <is>
          <t>epic</t>
        </is>
      </c>
      <c r="D13" t="n">
        <v>3</v>
      </c>
      <c r="E13" t="inlineStr">
        <is>
          <t>Critical Rate %</t>
        </is>
      </c>
      <c r="F13" t="n">
        <v>6</v>
      </c>
      <c r="G13" t="inlineStr">
        <is>
          <t>Damage %</t>
        </is>
      </c>
      <c r="H13" t="n">
        <v>8</v>
      </c>
      <c r="I13" t="inlineStr">
        <is>
          <t>Min Damage Multiplier %</t>
        </is>
      </c>
      <c r="J13" t="n">
        <v>6</v>
      </c>
    </row>
    <row r="14">
      <c r="A14" t="inlineStr">
        <is>
          <t>legs</t>
        </is>
      </c>
      <c r="B14" t="inlineStr">
        <is>
          <t>Potential</t>
        </is>
      </c>
      <c r="C14" t="inlineStr">
        <is>
          <t>mystic</t>
        </is>
      </c>
      <c r="D14" t="n">
        <v>0</v>
      </c>
      <c r="E14" t="inlineStr">
        <is>
          <t>Luk %</t>
        </is>
      </c>
      <c r="F14" t="n">
        <v>15</v>
      </c>
      <c r="G14" t="inlineStr">
        <is>
          <t>Critical Rate %</t>
        </is>
      </c>
      <c r="H14" t="n">
        <v>15</v>
      </c>
      <c r="I14" t="inlineStr">
        <is>
          <t>Luk %</t>
        </is>
      </c>
      <c r="J14" t="n">
        <v>15</v>
      </c>
    </row>
    <row r="15">
      <c r="A15" t="inlineStr">
        <is>
          <t>legs</t>
        </is>
      </c>
      <c r="B15" t="inlineStr">
        <is>
          <t>Bonus Potential</t>
        </is>
      </c>
      <c r="C15" t="inlineStr">
        <is>
          <t>epic</t>
        </is>
      </c>
      <c r="D15" t="n">
        <v>3</v>
      </c>
      <c r="E15" t="inlineStr">
        <is>
          <t>Dex %</t>
        </is>
      </c>
      <c r="F15" t="n">
        <v>6</v>
      </c>
      <c r="G15" t="inlineStr">
        <is>
          <t>Luk %</t>
        </is>
      </c>
      <c r="H15" t="n">
        <v>4.5</v>
      </c>
      <c r="I15" t="inlineStr">
        <is>
          <t>Luk %</t>
        </is>
      </c>
      <c r="J15" t="n">
        <v>6</v>
      </c>
    </row>
    <row r="16">
      <c r="A16" t="inlineStr">
        <is>
          <t>belt</t>
        </is>
      </c>
      <c r="B16" t="inlineStr">
        <is>
          <t>Potential</t>
        </is>
      </c>
      <c r="C16" t="inlineStr">
        <is>
          <t>legendary</t>
        </is>
      </c>
      <c r="D16" t="n">
        <v>100</v>
      </c>
      <c r="E16" t="inlineStr">
        <is>
          <t>Damage %</t>
        </is>
      </c>
      <c r="F16" t="n">
        <v>25</v>
      </c>
      <c r="G16" t="inlineStr">
        <is>
          <t>Str %</t>
        </is>
      </c>
      <c r="H16" t="n">
        <v>9</v>
      </c>
      <c r="I16" t="inlineStr">
        <is>
          <t>Luk %</t>
        </is>
      </c>
      <c r="J16" t="n">
        <v>9</v>
      </c>
    </row>
    <row r="17">
      <c r="A17" t="inlineStr">
        <is>
          <t>belt</t>
        </is>
      </c>
      <c r="B17" t="inlineStr">
        <is>
          <t>Bonus Potential</t>
        </is>
      </c>
      <c r="C17" t="inlineStr">
        <is>
          <t>epic</t>
        </is>
      </c>
      <c r="D17" t="n">
        <v>6</v>
      </c>
      <c r="E17" t="inlineStr">
        <is>
          <t>Luk</t>
        </is>
      </c>
      <c r="F17" t="n">
        <v>200</v>
      </c>
      <c r="G17" t="inlineStr">
        <is>
          <t>Luk %</t>
        </is>
      </c>
      <c r="H17" t="n">
        <v>4.5</v>
      </c>
      <c r="I17" t="inlineStr">
        <is>
          <t>Luk %</t>
        </is>
      </c>
      <c r="J17" t="n">
        <v>4.5</v>
      </c>
    </row>
    <row r="18">
      <c r="A18" t="inlineStr">
        <is>
          <t>gloves</t>
        </is>
      </c>
      <c r="B18" t="inlineStr">
        <is>
          <t>Potential</t>
        </is>
      </c>
      <c r="C18" t="inlineStr">
        <is>
          <t>legendary</t>
        </is>
      </c>
      <c r="D18" t="n">
        <v>2</v>
      </c>
      <c r="E18" t="inlineStr">
        <is>
          <t>Critical Damage %</t>
        </is>
      </c>
      <c r="F18" t="n">
        <v>30</v>
      </c>
      <c r="G18" t="inlineStr">
        <is>
          <t>Critical Damage %</t>
        </is>
      </c>
      <c r="H18" t="n">
        <v>20</v>
      </c>
      <c r="I18" t="inlineStr">
        <is>
          <t>Int</t>
        </is>
      </c>
      <c r="J18" t="n">
        <v>400</v>
      </c>
    </row>
    <row r="19">
      <c r="A19" t="inlineStr">
        <is>
          <t>gloves</t>
        </is>
      </c>
      <c r="B19" t="inlineStr">
        <is>
          <t>Bonus Potential</t>
        </is>
      </c>
      <c r="C19" t="inlineStr">
        <is>
          <t>unique</t>
        </is>
      </c>
      <c r="D19" t="n">
        <v>14</v>
      </c>
      <c r="E19" t="inlineStr">
        <is>
          <t>Luk %</t>
        </is>
      </c>
      <c r="F19" t="n">
        <v>9</v>
      </c>
      <c r="G19" t="inlineStr">
        <is>
          <t>Min Damage Multiplier %</t>
        </is>
      </c>
      <c r="H19" t="n">
        <v>8</v>
      </c>
      <c r="I19" t="inlineStr">
        <is>
          <t>Attack Speed %</t>
        </is>
      </c>
      <c r="J19" t="n">
        <v>4</v>
      </c>
    </row>
    <row r="20">
      <c r="A20" t="inlineStr">
        <is>
          <t>boots</t>
        </is>
      </c>
      <c r="B20" t="inlineStr">
        <is>
          <t>Potential</t>
        </is>
      </c>
      <c r="C20" t="inlineStr">
        <is>
          <t>legendary</t>
        </is>
      </c>
      <c r="D20" t="n">
        <v>5</v>
      </c>
      <c r="E20" t="inlineStr">
        <is>
          <t>Companion Summoning Time Increase %</t>
        </is>
      </c>
      <c r="F20" t="n">
        <v>12</v>
      </c>
      <c r="G20" t="inlineStr">
        <is>
          <t>Damage %</t>
        </is>
      </c>
      <c r="H20" t="n">
        <v>18</v>
      </c>
      <c r="I20" t="inlineStr">
        <is>
          <t>Luk</t>
        </is>
      </c>
      <c r="J20" t="n">
        <v>400</v>
      </c>
    </row>
    <row r="21">
      <c r="A21" t="inlineStr">
        <is>
          <t>boots</t>
        </is>
      </c>
      <c r="B21" t="inlineStr">
        <is>
          <t>Bonus Potential</t>
        </is>
      </c>
      <c r="C21" t="inlineStr">
        <is>
          <t>epic</t>
        </is>
      </c>
      <c r="D21" t="n">
        <v>37</v>
      </c>
      <c r="E21" t="inlineStr">
        <is>
          <t>Luk %</t>
        </is>
      </c>
      <c r="F21" t="n">
        <v>6</v>
      </c>
      <c r="G21" t="inlineStr">
        <is>
          <t>Luk</t>
        </is>
      </c>
      <c r="H21" t="n">
        <v>100</v>
      </c>
      <c r="I21" t="inlineStr">
        <is>
          <t>Luk</t>
        </is>
      </c>
      <c r="J21" t="n">
        <v>100</v>
      </c>
    </row>
    <row r="22">
      <c r="A22" t="inlineStr">
        <is>
          <t>ring</t>
        </is>
      </c>
      <c r="B22" t="inlineStr">
        <is>
          <t>Potential</t>
        </is>
      </c>
      <c r="C22" t="inlineStr">
        <is>
          <t>legendary</t>
        </is>
      </c>
      <c r="D22" t="n">
        <v>40</v>
      </c>
      <c r="E22" t="inlineStr">
        <is>
          <t>Luk %</t>
        </is>
      </c>
      <c r="F22" t="n">
        <v>12</v>
      </c>
      <c r="G22" t="inlineStr">
        <is>
          <t>Str</t>
        </is>
      </c>
      <c r="H22" t="n">
        <v>400</v>
      </c>
      <c r="I22" t="inlineStr">
        <is>
          <t>Luk %</t>
        </is>
      </c>
      <c r="J22" t="n">
        <v>9</v>
      </c>
    </row>
    <row r="23">
      <c r="A23" t="inlineStr">
        <is>
          <t>ring</t>
        </is>
      </c>
      <c r="B23" t="inlineStr">
        <is>
          <t>Bonus Potential</t>
        </is>
      </c>
      <c r="C23" t="inlineStr">
        <is>
          <t>epic</t>
        </is>
      </c>
      <c r="D23" t="n">
        <v>0</v>
      </c>
      <c r="E23" t="inlineStr">
        <is>
          <t>Dex %</t>
        </is>
      </c>
      <c r="F23" t="n">
        <v>6</v>
      </c>
      <c r="G23" t="inlineStr">
        <is>
          <t>Damage %</t>
        </is>
      </c>
      <c r="H23" t="n">
        <v>12</v>
      </c>
      <c r="I23" t="inlineStr">
        <is>
          <t>Damage %</t>
        </is>
      </c>
      <c r="J23" t="n">
        <v>8</v>
      </c>
    </row>
    <row r="24">
      <c r="A24" t="inlineStr">
        <is>
          <t>neck</t>
        </is>
      </c>
      <c r="B24" t="inlineStr">
        <is>
          <t>Potential</t>
        </is>
      </c>
      <c r="C24" t="inlineStr">
        <is>
          <t>unique</t>
        </is>
      </c>
      <c r="D24" t="n">
        <v>31</v>
      </c>
      <c r="E24" t="inlineStr">
        <is>
          <t>Luk %</t>
        </is>
      </c>
      <c r="F24" t="n">
        <v>9</v>
      </c>
      <c r="G24" t="inlineStr">
        <is>
          <t>Damage %</t>
        </is>
      </c>
      <c r="H24" t="n">
        <v>12</v>
      </c>
      <c r="I24" t="inlineStr">
        <is>
          <t>Dex %</t>
        </is>
      </c>
      <c r="J24" t="n">
        <v>9</v>
      </c>
    </row>
    <row r="25">
      <c r="A25" t="inlineStr">
        <is>
          <t>neck</t>
        </is>
      </c>
      <c r="B25" t="inlineStr">
        <is>
          <t>Bonus Potential</t>
        </is>
      </c>
      <c r="C25" t="inlineStr">
        <is>
          <t>rare</t>
        </is>
      </c>
      <c r="D25" t="n">
        <v>26</v>
      </c>
      <c r="E25" t="inlineStr">
        <is>
          <t>Luk %</t>
        </is>
      </c>
      <c r="F25" t="n">
        <v>4.5</v>
      </c>
      <c r="G25" t="inlineStr">
        <is>
          <t>Dex</t>
        </is>
      </c>
      <c r="H25" t="n">
        <v>50</v>
      </c>
      <c r="I25" t="inlineStr">
        <is>
          <t>Min Damage Multiplier %</t>
        </is>
      </c>
      <c r="J25" t="n">
        <v>6</v>
      </c>
    </row>
    <row r="26">
      <c r="A26" t="inlineStr">
        <is>
          <t>eye-accessory</t>
        </is>
      </c>
      <c r="B26" t="inlineStr">
        <is>
          <t>Potential</t>
        </is>
      </c>
      <c r="C26" t="inlineStr">
        <is>
          <t>legendary</t>
        </is>
      </c>
      <c r="D26" t="n">
        <v>21</v>
      </c>
      <c r="E26" t="inlineStr">
        <is>
          <t>Luk %</t>
        </is>
      </c>
      <c r="F26" t="n">
        <v>12</v>
      </c>
      <c r="G26" t="inlineStr">
        <is>
          <t>Luk %</t>
        </is>
      </c>
      <c r="H26" t="n">
        <v>9</v>
      </c>
      <c r="I26" t="inlineStr">
        <is>
          <t>Luk</t>
        </is>
      </c>
      <c r="J26" t="n">
        <v>400</v>
      </c>
    </row>
    <row r="27">
      <c r="A27" t="inlineStr">
        <is>
          <t>eye-accessory</t>
        </is>
      </c>
      <c r="B27" t="inlineStr">
        <is>
          <t>Bonus Potential</t>
        </is>
      </c>
      <c r="C27" t="inlineStr">
        <is>
          <t>epic</t>
        </is>
      </c>
      <c r="D27" t="n">
        <v>9</v>
      </c>
      <c r="E27" t="inlineStr">
        <is>
          <t>Max Damage Multiplier %</t>
        </is>
      </c>
      <c r="F27" t="n">
        <v>8</v>
      </c>
      <c r="G27" t="inlineStr">
        <is>
          <t>Min Damage Multiplier %</t>
        </is>
      </c>
      <c r="H27" t="n">
        <v>8</v>
      </c>
      <c r="I27" t="inlineStr">
        <is>
          <t>Dex</t>
        </is>
      </c>
      <c r="J27" t="n">
        <v>100</v>
      </c>
    </row>
    <row r="28">
      <c r="A28" t="inlineStr">
        <is>
          <t>ring2</t>
        </is>
      </c>
      <c r="B28" t="inlineStr">
        <is>
          <t>Potential</t>
        </is>
      </c>
      <c r="C28" t="inlineStr">
        <is>
          <t>unique</t>
        </is>
      </c>
      <c r="D28" t="n">
        <v>63</v>
      </c>
      <c r="E28" t="inlineStr">
        <is>
          <t>Basic Attack Damage %</t>
        </is>
      </c>
      <c r="F28" t="n">
        <v>14</v>
      </c>
      <c r="G28" t="inlineStr">
        <is>
          <t>Min Damage Multiplier %</t>
        </is>
      </c>
      <c r="H28" t="n">
        <v>8</v>
      </c>
      <c r="I28" t="inlineStr">
        <is>
          <t>Critical Rate %</t>
        </is>
      </c>
      <c r="J28" t="n">
        <v>6</v>
      </c>
    </row>
    <row r="29">
      <c r="A29" t="inlineStr">
        <is>
          <t>ring2</t>
        </is>
      </c>
      <c r="B29" t="inlineStr">
        <is>
          <t>Bonus Potential</t>
        </is>
      </c>
      <c r="C29" t="inlineStr">
        <is>
          <t>epic</t>
        </is>
      </c>
      <c r="D29" t="n">
        <v>14</v>
      </c>
      <c r="E29" t="inlineStr">
        <is>
          <t>Max Damage Multiplier %</t>
        </is>
      </c>
      <c r="F29" t="n">
        <v>8</v>
      </c>
      <c r="G29" t="inlineStr">
        <is>
          <t>Defense %</t>
        </is>
      </c>
      <c r="H29" t="n">
        <v>6</v>
      </c>
      <c r="I29" t="inlineStr">
        <is>
          <t>Attack Speed %</t>
        </is>
      </c>
      <c r="J29" t="n">
        <v>3.5</v>
      </c>
    </row>
    <row r="30">
      <c r="A30" t="inlineStr">
        <is>
          <t>face</t>
        </is>
      </c>
      <c r="B30" t="inlineStr">
        <is>
          <t>Potential</t>
        </is>
      </c>
      <c r="C30" t="inlineStr">
        <is>
          <t>legendary</t>
        </is>
      </c>
      <c r="D30" t="n">
        <v>70</v>
      </c>
      <c r="E30" t="inlineStr">
        <is>
          <t>Luk %</t>
        </is>
      </c>
      <c r="F30" t="n">
        <v>12</v>
      </c>
      <c r="G30" t="inlineStr">
        <is>
          <t>Min Damage Multiplier %</t>
        </is>
      </c>
      <c r="H30" t="n">
        <v>15</v>
      </c>
      <c r="I30" t="inlineStr">
        <is>
          <t>Damage %</t>
        </is>
      </c>
      <c r="J30" t="n">
        <v>18</v>
      </c>
    </row>
    <row r="31">
      <c r="A31" t="inlineStr">
        <is>
          <t>face</t>
        </is>
      </c>
      <c r="B31" t="inlineStr">
        <is>
          <t>Bonus Potential</t>
        </is>
      </c>
      <c r="C31" t="inlineStr">
        <is>
          <t>epic</t>
        </is>
      </c>
      <c r="D31" t="n">
        <v>21</v>
      </c>
      <c r="E31" t="inlineStr">
        <is>
          <t>Luk %</t>
        </is>
      </c>
      <c r="F31" t="n">
        <v>6</v>
      </c>
      <c r="G31" t="inlineStr">
        <is>
          <t>Dex</t>
        </is>
      </c>
      <c r="H31" t="n">
        <v>100</v>
      </c>
      <c r="I31" t="inlineStr">
        <is>
          <t>Critical Rate %</t>
        </is>
      </c>
      <c r="J31" t="n">
        <v>6</v>
      </c>
    </row>
    <row r="32">
      <c r="A32" t="inlineStr">
        <is>
          <t>earrings</t>
        </is>
      </c>
      <c r="B32" t="inlineStr">
        <is>
          <t>Potential</t>
        </is>
      </c>
      <c r="C32" t="inlineStr">
        <is>
          <t>legendary</t>
        </is>
      </c>
      <c r="D32" t="n">
        <v>17</v>
      </c>
      <c r="E32" t="inlineStr">
        <is>
          <t>Luk %</t>
        </is>
      </c>
      <c r="F32" t="n">
        <v>12</v>
      </c>
      <c r="G32" t="inlineStr">
        <is>
          <t>Defense %</t>
        </is>
      </c>
      <c r="H32" t="n">
        <v>9</v>
      </c>
      <c r="I32" t="inlineStr">
        <is>
          <t>Luk</t>
        </is>
      </c>
      <c r="J32" t="n">
        <v>600</v>
      </c>
    </row>
    <row r="33">
      <c r="A33" t="inlineStr">
        <is>
          <t>earrings</t>
        </is>
      </c>
      <c r="B33" t="inlineStr">
        <is>
          <t>Bonus Potential</t>
        </is>
      </c>
      <c r="C33" t="inlineStr">
        <is>
          <t>legendary</t>
        </is>
      </c>
      <c r="D33" t="n">
        <v>12</v>
      </c>
      <c r="E33" t="inlineStr">
        <is>
          <t>Min Damage Multiplier %</t>
        </is>
      </c>
      <c r="F33" t="n">
        <v>15</v>
      </c>
      <c r="G33" t="inlineStr">
        <is>
          <t>Max Damage Multiplier %</t>
        </is>
      </c>
      <c r="H33" t="n">
        <v>10</v>
      </c>
      <c r="I33" t="inlineStr">
        <is>
          <t>Max Damage Multiplier %</t>
        </is>
      </c>
      <c r="J33" t="n">
        <v>10</v>
      </c>
    </row>
    <row r="34">
      <c r="A34" t="inlineStr">
        <is>
          <t>pocket</t>
        </is>
      </c>
      <c r="B34" t="inlineStr">
        <is>
          <t>Potential</t>
        </is>
      </c>
      <c r="C34" t="inlineStr">
        <is>
          <t>legendary</t>
        </is>
      </c>
      <c r="D34" t="n">
        <v>68</v>
      </c>
      <c r="E34" t="inlineStr">
        <is>
          <t>Main Stat % per 4 Levels</t>
        </is>
      </c>
      <c r="F34" t="n">
        <v>0.8</v>
      </c>
      <c r="G34" t="inlineStr">
        <is>
          <t>Luk %</t>
        </is>
      </c>
      <c r="H34" t="n">
        <v>9</v>
      </c>
      <c r="I34" t="inlineStr">
        <is>
          <t>Max HP %</t>
        </is>
      </c>
      <c r="J34" t="n">
        <v>15</v>
      </c>
    </row>
    <row r="35">
      <c r="A35" t="inlineStr">
        <is>
          <t>pocket</t>
        </is>
      </c>
      <c r="B35" t="inlineStr">
        <is>
          <t>Bonus Potential</t>
        </is>
      </c>
      <c r="C35" t="inlineStr">
        <is>
          <t>normal</t>
        </is>
      </c>
      <c r="D35" t="n">
        <v>0</v>
      </c>
      <c r="E35" t="inlineStr">
        <is>
          <t>Luk %</t>
        </is>
      </c>
      <c r="F35" t="n">
        <v>3</v>
      </c>
      <c r="G35" t="inlineStr">
        <is>
          <t>Max HP %</t>
        </is>
      </c>
      <c r="H35" t="n">
        <v>3</v>
      </c>
      <c r="I35" t="inlineStr">
        <is>
          <t>Int</t>
        </is>
      </c>
      <c r="J35" t="n">
        <v>50</v>
      </c>
    </row>
  </sheetData>
  <dataValidations count="2">
    <dataValidation sqref="C6 C7 C8 C9 C10 C11 C12 C13 C14 C15 C16 C17 C18 C19 C20 C21 C22 C23 C24 C25 C26 C27 C28 C29 C30 C31 C32 C33 C34 C35" showDropDown="0" showInputMessage="0" showErrorMessage="0" allowBlank="0" type="list">
      <formula1>"normal,rare,epic,unique,legendary,mystic"</formula1>
    </dataValidation>
    <dataValidation sqref="E6 E7 E8 E9 E10 E11 E12 E13 E14 E15 E16 E17 E18 E19 E20 E21 E22 E23 E24 E25 E26 E27 E28 E29 E30 E31 E32 E33 E34 E35 G6 G7 G8 G9 G10 G11 G12 G13 G14 G15 G16 G17 G18 G19 G20 G21 G22 G23 G24 G25 G26 G27 G28 G29 G30 G31 G32 G33 G34 G35 I6 I7 I8 I9 I10 I11 I12 I13 I14 I15 I16 I17 I18 I19 I20 I21 I22 I23 I24 I25 I26 I27 I28 I29 I30 I31 I32 I33 I34 I35" showDropDown="0" showInputMessage="0" showErrorMessage="0" allowBlank="0" type="list">
      <formula1>=CubeData!$J$2:$J$30</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2026-10-22T15:47:20Z</dcterms:created>
  <dcterms:modified xsi:type="dcterms:W3CDTF">2026-10-22T15:47:21Z</dcterms:modified>
</cp:coreProperties>
</file>